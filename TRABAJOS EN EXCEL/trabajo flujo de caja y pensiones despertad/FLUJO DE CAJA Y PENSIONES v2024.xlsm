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fita_OMEN\Downloads\trabajo flujo de caja y pensiones despertad\"/>
    </mc:Choice>
  </mc:AlternateContent>
  <xr:revisionPtr revIDLastSave="0" documentId="13_ncr:1_{5DC9BCC2-EA08-4D1C-B903-617AE6B906D9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IMPRESION ING DESP" sheetId="16" r:id="rId1"/>
    <sheet name="RECIBO INGRESOS AKADIA" sheetId="14" r:id="rId2"/>
    <sheet name="RECIBO INGRESOS DESPERTAD" sheetId="9" r:id="rId3"/>
    <sheet name="RECIBO EGRESOS" sheetId="13" r:id="rId4"/>
    <sheet name="CODIGOS" sheetId="1" r:id="rId5"/>
    <sheet name="FLUJO DE CAJA" sheetId="10" r:id="rId6"/>
    <sheet name="SUELDOS" sheetId="12" r:id="rId7"/>
    <sheet name="LISTAS" sheetId="11" r:id="rId8"/>
    <sheet name="Hoja1" sheetId="15" r:id="rId9"/>
    <sheet name="tarj ANVERSO" sheetId="2" r:id="rId10"/>
    <sheet name="tarj REVERSO" sheetId="3" r:id="rId11"/>
    <sheet name="SEGURO" sheetId="4" r:id="rId12"/>
  </sheets>
  <externalReferences>
    <externalReference r:id="rId13"/>
  </externalReferences>
  <definedNames>
    <definedName name="_xlnm._FilterDatabase" localSheetId="4" hidden="1">CODIGOS!$A$1:$D$89</definedName>
    <definedName name="_xlnm.Print_Area" localSheetId="4">CODIGOS!$A$2:$D$198</definedName>
    <definedName name="_xlnm.Print_Area" localSheetId="3">'RECIBO EGRESOS'!$A$1:$L$43</definedName>
    <definedName name="_xlnm.Print_Area" localSheetId="1">'RECIBO INGRESOS AKADIA'!$A$1:$L$43</definedName>
    <definedName name="_xlnm.Print_Area" localSheetId="2">'RECIBO INGRESOS DESPERTAD'!$A$1:$L$43</definedName>
    <definedName name="_xlnm.Print_Area" localSheetId="11">SEGURO!$A$1:$E$860</definedName>
    <definedName name="_xlnm.Print_Area" localSheetId="6">SUELDOS!#REF!</definedName>
    <definedName name="cursos">#REF!</definedName>
    <definedName name="_xlnm.Print_Titles" localSheetId="11">SEGURO!$1:$3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3" l="1"/>
  <c r="H2" i="14"/>
  <c r="H2" i="9"/>
  <c r="M5" i="16"/>
  <c r="C8" i="13" a="1"/>
  <c r="C8" i="13" s="1"/>
  <c r="AGN1556" i="10" a="1"/>
  <c r="AGN1556" i="10" s="1"/>
  <c r="AGM1556" i="10" a="1"/>
  <c r="AGM1556" i="10" s="1"/>
  <c r="AGL1556" i="10" a="1"/>
  <c r="AGL1556" i="10" s="1"/>
  <c r="AGK1556" i="10" a="1"/>
  <c r="AGK1556" i="10" s="1"/>
  <c r="AGJ1556" i="10" a="1"/>
  <c r="AGJ1556" i="10" s="1"/>
  <c r="AGI1556" i="10" a="1"/>
  <c r="AGI1556" i="10" s="1"/>
  <c r="AGH1556" i="10" a="1"/>
  <c r="AGH1556" i="10" s="1"/>
  <c r="AGG1556" i="10" a="1"/>
  <c r="AGG1556" i="10" s="1"/>
  <c r="AGF1556" i="10" a="1"/>
  <c r="AGF1556" i="10" s="1"/>
  <c r="AGE1556" i="10" a="1"/>
  <c r="AGE1556" i="10" s="1"/>
  <c r="AGD1556" i="10" a="1"/>
  <c r="AGD1556" i="10" s="1"/>
  <c r="AGC1556" i="10" a="1"/>
  <c r="AGC1556" i="10" s="1"/>
  <c r="AGB1556" i="10" a="1"/>
  <c r="AGB1556" i="10" s="1"/>
  <c r="AGA1556" i="10" a="1"/>
  <c r="AGA1556" i="10" s="1"/>
  <c r="AFZ1556" i="10" a="1"/>
  <c r="AFZ1556" i="10" s="1"/>
  <c r="AFY1556" i="10" a="1"/>
  <c r="AFY1556" i="10" s="1"/>
  <c r="AFX1556" i="10" a="1"/>
  <c r="AFX1556" i="10" s="1"/>
  <c r="AFW1556" i="10" a="1"/>
  <c r="AFW1556" i="10" s="1"/>
  <c r="AFV1556" i="10" a="1"/>
  <c r="AFV1556" i="10" s="1"/>
  <c r="AFU1556" i="10" a="1"/>
  <c r="AFU1556" i="10" s="1"/>
  <c r="AFT1556" i="10" a="1"/>
  <c r="AFT1556" i="10" s="1"/>
  <c r="AFS1556" i="10" a="1"/>
  <c r="AFS1556" i="10" s="1"/>
  <c r="AFR1556" i="10" a="1"/>
  <c r="AFR1556" i="10" s="1"/>
  <c r="AFQ1556" i="10" a="1"/>
  <c r="AFQ1556" i="10" s="1"/>
  <c r="AFP1556" i="10" a="1"/>
  <c r="AFP1556" i="10" s="1"/>
  <c r="AFO1556" i="10" a="1"/>
  <c r="AFO1556" i="10" s="1"/>
  <c r="AFN1556" i="10" a="1"/>
  <c r="AFN1556" i="10" s="1"/>
  <c r="AFM1556" i="10" a="1"/>
  <c r="AFM1556" i="10" s="1"/>
  <c r="AFL1556" i="10" a="1"/>
  <c r="AFL1556" i="10" s="1"/>
  <c r="AFK1556" i="10" a="1"/>
  <c r="AFK1556" i="10" s="1"/>
  <c r="AFJ1556" i="10" a="1"/>
  <c r="AFJ1556" i="10" s="1"/>
  <c r="AFI1556" i="10" a="1"/>
  <c r="AFI1556" i="10" s="1"/>
  <c r="AFH1556" i="10" a="1"/>
  <c r="AFH1556" i="10" s="1"/>
  <c r="AFG1556" i="10" a="1"/>
  <c r="AFG1556" i="10" s="1"/>
  <c r="AFF1556" i="10" a="1"/>
  <c r="AFF1556" i="10" s="1"/>
  <c r="AFE1556" i="10" a="1"/>
  <c r="AFE1556" i="10" s="1"/>
  <c r="AFD1556" i="10" a="1"/>
  <c r="AFD1556" i="10" s="1"/>
  <c r="AFC1556" i="10" a="1"/>
  <c r="AFC1556" i="10" s="1"/>
  <c r="AFB1556" i="10" a="1"/>
  <c r="AFB1556" i="10" s="1"/>
  <c r="AFA1556" i="10" a="1"/>
  <c r="AFA1556" i="10" s="1"/>
  <c r="AEZ1556" i="10" a="1"/>
  <c r="AEZ1556" i="10" s="1"/>
  <c r="AEY1556" i="10" a="1"/>
  <c r="AEY1556" i="10" s="1"/>
  <c r="AEX1556" i="10" a="1"/>
  <c r="AEX1556" i="10" s="1"/>
  <c r="AEW1556" i="10" a="1"/>
  <c r="AEW1556" i="10" s="1"/>
  <c r="AEV1556" i="10" a="1"/>
  <c r="AEV1556" i="10" s="1"/>
  <c r="AEU1556" i="10" a="1"/>
  <c r="AEU1556" i="10" s="1"/>
  <c r="AET1556" i="10" a="1"/>
  <c r="AET1556" i="10" s="1"/>
  <c r="AES1556" i="10" a="1"/>
  <c r="AES1556" i="10" s="1"/>
  <c r="AER1556" i="10" a="1"/>
  <c r="AER1556" i="10" s="1"/>
  <c r="AEQ1556" i="10" a="1"/>
  <c r="AEQ1556" i="10" s="1"/>
  <c r="AEP1556" i="10" a="1"/>
  <c r="AEP1556" i="10" s="1"/>
  <c r="AEO1556" i="10" a="1"/>
  <c r="AEO1556" i="10" s="1"/>
  <c r="AEN1556" i="10" a="1"/>
  <c r="AEN1556" i="10" s="1"/>
  <c r="AEM1556" i="10" a="1"/>
  <c r="AEM1556" i="10" s="1"/>
  <c r="AEL1556" i="10" a="1"/>
  <c r="AEL1556" i="10" s="1"/>
  <c r="AEK1556" i="10" a="1"/>
  <c r="AEK1556" i="10" s="1"/>
  <c r="AEJ1556" i="10" a="1"/>
  <c r="AEJ1556" i="10" s="1"/>
  <c r="AEI1556" i="10" a="1"/>
  <c r="AEI1556" i="10" s="1"/>
  <c r="AEH1556" i="10" a="1"/>
  <c r="AEH1556" i="10" s="1"/>
  <c r="AEG1556" i="10" a="1"/>
  <c r="AEG1556" i="10" s="1"/>
  <c r="AEF1556" i="10" a="1"/>
  <c r="AEF1556" i="10" s="1"/>
  <c r="AEE1556" i="10" a="1"/>
  <c r="AEE1556" i="10" s="1"/>
  <c r="AED1556" i="10" a="1"/>
  <c r="AED1556" i="10" s="1"/>
  <c r="AEC1556" i="10" a="1"/>
  <c r="AEC1556" i="10" s="1"/>
  <c r="AEB1556" i="10" a="1"/>
  <c r="AEB1556" i="10" s="1"/>
  <c r="AEA1556" i="10" a="1"/>
  <c r="AEA1556" i="10" s="1"/>
  <c r="ADZ1556" i="10" a="1"/>
  <c r="ADZ1556" i="10" s="1"/>
  <c r="ADY1556" i="10" a="1"/>
  <c r="ADY1556" i="10" s="1"/>
  <c r="ADX1556" i="10" a="1"/>
  <c r="ADX1556" i="10" s="1"/>
  <c r="ADW1556" i="10" a="1"/>
  <c r="ADW1556" i="10" s="1"/>
  <c r="ADV1556" i="10" a="1"/>
  <c r="ADV1556" i="10" s="1"/>
  <c r="ADU1556" i="10" a="1"/>
  <c r="ADU1556" i="10" s="1"/>
  <c r="ADT1556" i="10" a="1"/>
  <c r="ADT1556" i="10" s="1"/>
  <c r="ADS1556" i="10" a="1"/>
  <c r="ADS1556" i="10" s="1"/>
  <c r="ADR1556" i="10" a="1"/>
  <c r="ADR1556" i="10" s="1"/>
  <c r="ADQ1556" i="10" a="1"/>
  <c r="ADQ1556" i="10" s="1"/>
  <c r="ADP1556" i="10" a="1"/>
  <c r="ADP1556" i="10" s="1"/>
  <c r="ADO1556" i="10" a="1"/>
  <c r="ADO1556" i="10" s="1"/>
  <c r="ADN1556" i="10" a="1"/>
  <c r="ADN1556" i="10" s="1"/>
  <c r="ADM1556" i="10" a="1"/>
  <c r="ADM1556" i="10" s="1"/>
  <c r="ADL1556" i="10" a="1"/>
  <c r="ADL1556" i="10" s="1"/>
  <c r="ADK1556" i="10" a="1"/>
  <c r="ADK1556" i="10" s="1"/>
  <c r="ADJ1556" i="10" a="1"/>
  <c r="ADJ1556" i="10" s="1"/>
  <c r="ADI1556" i="10" a="1"/>
  <c r="ADI1556" i="10" s="1"/>
  <c r="ADH1556" i="10" a="1"/>
  <c r="ADH1556" i="10" s="1"/>
  <c r="ADG1556" i="10" a="1"/>
  <c r="ADG1556" i="10" s="1"/>
  <c r="ADF1556" i="10" a="1"/>
  <c r="ADF1556" i="10" s="1"/>
  <c r="ADE1556" i="10" a="1"/>
  <c r="ADE1556" i="10" s="1"/>
  <c r="ADD1556" i="10" a="1"/>
  <c r="ADD1556" i="10" s="1"/>
  <c r="ADC1556" i="10" a="1"/>
  <c r="ADC1556" i="10" s="1"/>
  <c r="ADB1556" i="10" a="1"/>
  <c r="ADB1556" i="10" s="1"/>
  <c r="ADA1556" i="10" a="1"/>
  <c r="ADA1556" i="10" s="1"/>
  <c r="ACZ1556" i="10" a="1"/>
  <c r="ACZ1556" i="10" s="1"/>
  <c r="ACY1556" i="10" a="1"/>
  <c r="ACY1556" i="10" s="1"/>
  <c r="ACX1556" i="10" a="1"/>
  <c r="ACX1556" i="10" s="1"/>
  <c r="ACW1556" i="10" a="1"/>
  <c r="ACW1556" i="10" s="1"/>
  <c r="ACV1556" i="10" a="1"/>
  <c r="ACV1556" i="10" s="1"/>
  <c r="ACU1556" i="10" a="1"/>
  <c r="ACU1556" i="10" s="1"/>
  <c r="ACT1556" i="10" a="1"/>
  <c r="ACT1556" i="10" s="1"/>
  <c r="ACS1556" i="10" a="1"/>
  <c r="ACS1556" i="10" s="1"/>
  <c r="ACR1556" i="10" a="1"/>
  <c r="ACR1556" i="10" s="1"/>
  <c r="ACQ1556" i="10" a="1"/>
  <c r="ACQ1556" i="10" s="1"/>
  <c r="ACP1556" i="10" a="1"/>
  <c r="ACP1556" i="10" s="1"/>
  <c r="ACO1556" i="10" a="1"/>
  <c r="ACO1556" i="10" s="1"/>
  <c r="ACN1556" i="10" a="1"/>
  <c r="ACN1556" i="10" s="1"/>
  <c r="ACM1556" i="10" a="1"/>
  <c r="ACM1556" i="10" s="1"/>
  <c r="ACL1556" i="10" a="1"/>
  <c r="ACL1556" i="10" s="1"/>
  <c r="ACK1556" i="10" a="1"/>
  <c r="ACK1556" i="10" s="1"/>
  <c r="ACJ1556" i="10" a="1"/>
  <c r="ACJ1556" i="10" s="1"/>
  <c r="ACI1556" i="10" a="1"/>
  <c r="ACI1556" i="10" s="1"/>
  <c r="ACH1556" i="10" a="1"/>
  <c r="ACH1556" i="10" s="1"/>
  <c r="ACG1556" i="10" a="1"/>
  <c r="ACG1556" i="10" s="1"/>
  <c r="ACF1556" i="10" a="1"/>
  <c r="ACF1556" i="10" s="1"/>
  <c r="ACE1556" i="10" a="1"/>
  <c r="ACE1556" i="10" s="1"/>
  <c r="ACD1556" i="10" a="1"/>
  <c r="ACD1556" i="10" s="1"/>
  <c r="ACC1556" i="10" a="1"/>
  <c r="ACC1556" i="10" s="1"/>
  <c r="ACB1556" i="10" a="1"/>
  <c r="ACB1556" i="10" s="1"/>
  <c r="ACA1556" i="10" a="1"/>
  <c r="ACA1556" i="10" s="1"/>
  <c r="ABZ1556" i="10" a="1"/>
  <c r="ABZ1556" i="10" s="1"/>
  <c r="ABY1556" i="10" a="1"/>
  <c r="ABY1556" i="10" s="1"/>
  <c r="ABX1556" i="10" a="1"/>
  <c r="ABX1556" i="10" s="1"/>
  <c r="ABW1556" i="10" a="1"/>
  <c r="ABW1556" i="10" s="1"/>
  <c r="ABV1556" i="10" a="1"/>
  <c r="ABV1556" i="10" s="1"/>
  <c r="ABU1556" i="10" a="1"/>
  <c r="ABU1556" i="10" s="1"/>
  <c r="ABT1556" i="10" a="1"/>
  <c r="ABT1556" i="10" s="1"/>
  <c r="ABS1556" i="10" a="1"/>
  <c r="ABS1556" i="10" s="1"/>
  <c r="ABR1556" i="10" a="1"/>
  <c r="ABR1556" i="10" s="1"/>
  <c r="ABQ1556" i="10" a="1"/>
  <c r="ABQ1556" i="10" s="1"/>
  <c r="ABP1556" i="10" a="1"/>
  <c r="ABP1556" i="10" s="1"/>
  <c r="ABO1556" i="10" a="1"/>
  <c r="ABO1556" i="10" s="1"/>
  <c r="ABN1556" i="10" a="1"/>
  <c r="ABN1556" i="10" s="1"/>
  <c r="ABM1556" i="10" a="1"/>
  <c r="ABM1556" i="10" s="1"/>
  <c r="ABL1556" i="10" a="1"/>
  <c r="ABL1556" i="10" s="1"/>
  <c r="ABK1556" i="10" a="1"/>
  <c r="ABK1556" i="10" s="1"/>
  <c r="ABJ1556" i="10" a="1"/>
  <c r="ABJ1556" i="10" s="1"/>
  <c r="ABI1556" i="10" a="1"/>
  <c r="ABI1556" i="10" s="1"/>
  <c r="ABH1556" i="10" a="1"/>
  <c r="ABH1556" i="10" s="1"/>
  <c r="ABG1556" i="10" a="1"/>
  <c r="ABG1556" i="10" s="1"/>
  <c r="ABF1556" i="10" a="1"/>
  <c r="ABF1556" i="10" s="1"/>
  <c r="ABE1556" i="10" a="1"/>
  <c r="ABE1556" i="10" s="1"/>
  <c r="ABD1556" i="10" a="1"/>
  <c r="ABD1556" i="10" s="1"/>
  <c r="ABC1556" i="10" a="1"/>
  <c r="ABC1556" i="10" s="1"/>
  <c r="ABB1556" i="10" a="1"/>
  <c r="ABB1556" i="10" s="1"/>
  <c r="ABA1556" i="10" a="1"/>
  <c r="ABA1556" i="10" s="1"/>
  <c r="AAZ1556" i="10" a="1"/>
  <c r="AAZ1556" i="10" s="1"/>
  <c r="AAY1556" i="10" a="1"/>
  <c r="AAY1556" i="10" s="1"/>
  <c r="AAX1556" i="10" a="1"/>
  <c r="AAX1556" i="10" s="1"/>
  <c r="AAW1556" i="10" a="1"/>
  <c r="AAW1556" i="10" s="1"/>
  <c r="AAV1556" i="10" a="1"/>
  <c r="AAV1556" i="10" s="1"/>
  <c r="AAU1556" i="10" a="1"/>
  <c r="AAU1556" i="10" s="1"/>
  <c r="AAT1556" i="10" a="1"/>
  <c r="AAT1556" i="10" s="1"/>
  <c r="AAS1556" i="10" a="1"/>
  <c r="AAS1556" i="10" s="1"/>
  <c r="AAR1556" i="10" a="1"/>
  <c r="AAR1556" i="10" s="1"/>
  <c r="AAQ1556" i="10" a="1"/>
  <c r="AAQ1556" i="10" s="1"/>
  <c r="AAP1556" i="10" a="1"/>
  <c r="AAP1556" i="10" s="1"/>
  <c r="AAO1556" i="10" a="1"/>
  <c r="AAO1556" i="10" s="1"/>
  <c r="AAN1556" i="10" a="1"/>
  <c r="AAN1556" i="10" s="1"/>
  <c r="AAM1556" i="10" a="1"/>
  <c r="AAM1556" i="10" s="1"/>
  <c r="AAL1556" i="10" a="1"/>
  <c r="AAL1556" i="10" s="1"/>
  <c r="AAK1556" i="10" a="1"/>
  <c r="AAK1556" i="10" s="1"/>
  <c r="AAJ1556" i="10" a="1"/>
  <c r="AAJ1556" i="10" s="1"/>
  <c r="AAI1556" i="10" a="1"/>
  <c r="AAI1556" i="10" s="1"/>
  <c r="AAH1556" i="10" a="1"/>
  <c r="AAH1556" i="10" s="1"/>
  <c r="AAG1556" i="10" a="1"/>
  <c r="AAG1556" i="10" s="1"/>
  <c r="AAF1556" i="10" a="1"/>
  <c r="AAF1556" i="10" s="1"/>
  <c r="AAE1556" i="10" a="1"/>
  <c r="AAE1556" i="10" s="1"/>
  <c r="AAD1556" i="10" a="1"/>
  <c r="AAD1556" i="10" s="1"/>
  <c r="AAC1556" i="10" a="1"/>
  <c r="AAC1556" i="10" s="1"/>
  <c r="AAB1556" i="10" a="1"/>
  <c r="AAB1556" i="10" s="1"/>
  <c r="AAA1556" i="10" a="1"/>
  <c r="AAA1556" i="10" s="1"/>
  <c r="ZZ1556" i="10" a="1"/>
  <c r="ZZ1556" i="10" s="1"/>
  <c r="ZY1556" i="10" a="1"/>
  <c r="ZY1556" i="10" s="1"/>
  <c r="ZX1556" i="10" a="1"/>
  <c r="ZX1556" i="10" s="1"/>
  <c r="ZW1556" i="10" a="1"/>
  <c r="ZW1556" i="10" s="1"/>
  <c r="ZV1556" i="10" a="1"/>
  <c r="ZV1556" i="10" s="1"/>
  <c r="ZU1556" i="10" a="1"/>
  <c r="ZU1556" i="10" s="1"/>
  <c r="ZT1556" i="10" a="1"/>
  <c r="ZT1556" i="10" s="1"/>
  <c r="ZS1556" i="10" a="1"/>
  <c r="ZS1556" i="10" s="1"/>
  <c r="ZR1556" i="10" a="1"/>
  <c r="ZR1556" i="10" s="1"/>
  <c r="ZQ1556" i="10" a="1"/>
  <c r="ZQ1556" i="10" s="1"/>
  <c r="ZP1556" i="10" a="1"/>
  <c r="ZP1556" i="10" s="1"/>
  <c r="ZO1556" i="10" a="1"/>
  <c r="ZO1556" i="10" s="1"/>
  <c r="ZN1556" i="10" a="1"/>
  <c r="ZN1556" i="10" s="1"/>
  <c r="ZM1556" i="10" a="1"/>
  <c r="ZM1556" i="10" s="1"/>
  <c r="ZL1556" i="10" a="1"/>
  <c r="ZL1556" i="10" s="1"/>
  <c r="ZK1556" i="10" a="1"/>
  <c r="ZK1556" i="10" s="1"/>
  <c r="ZJ1556" i="10" a="1"/>
  <c r="ZJ1556" i="10" s="1"/>
  <c r="ZI1556" i="10" a="1"/>
  <c r="ZI1556" i="10" s="1"/>
  <c r="ZH1556" i="10" a="1"/>
  <c r="ZH1556" i="10" s="1"/>
  <c r="ZG1556" i="10" a="1"/>
  <c r="ZG1556" i="10" s="1"/>
  <c r="ZF1556" i="10" a="1"/>
  <c r="ZF1556" i="10" s="1"/>
  <c r="ZE1556" i="10" a="1"/>
  <c r="ZE1556" i="10" s="1"/>
  <c r="ZD1556" i="10" a="1"/>
  <c r="ZD1556" i="10" s="1"/>
  <c r="ZC1556" i="10" a="1"/>
  <c r="ZC1556" i="10" s="1"/>
  <c r="ZB1556" i="10" a="1"/>
  <c r="ZB1556" i="10" s="1"/>
  <c r="ZA1556" i="10" a="1"/>
  <c r="ZA1556" i="10" s="1"/>
  <c r="YZ1556" i="10" a="1"/>
  <c r="YZ1556" i="10" s="1"/>
  <c r="YY1556" i="10" a="1"/>
  <c r="YY1556" i="10" s="1"/>
  <c r="YX1556" i="10" a="1"/>
  <c r="YX1556" i="10" s="1"/>
  <c r="YW1556" i="10" a="1"/>
  <c r="YW1556" i="10" s="1"/>
  <c r="YV1556" i="10" a="1"/>
  <c r="YV1556" i="10" s="1"/>
  <c r="YU1556" i="10" a="1"/>
  <c r="YU1556" i="10" s="1"/>
  <c r="YT1556" i="10" a="1"/>
  <c r="YT1556" i="10" s="1"/>
  <c r="YS1556" i="10" a="1"/>
  <c r="YS1556" i="10" s="1"/>
  <c r="YR1556" i="10" a="1"/>
  <c r="YR1556" i="10" s="1"/>
  <c r="YQ1556" i="10" a="1"/>
  <c r="YQ1556" i="10" s="1"/>
  <c r="YP1556" i="10" a="1"/>
  <c r="YP1556" i="10" s="1"/>
  <c r="YO1556" i="10" a="1"/>
  <c r="YO1556" i="10" s="1"/>
  <c r="YN1556" i="10" a="1"/>
  <c r="YN1556" i="10" s="1"/>
  <c r="YM1556" i="10" a="1"/>
  <c r="YM1556" i="10" s="1"/>
  <c r="YL1556" i="10" a="1"/>
  <c r="YL1556" i="10" s="1"/>
  <c r="YK1556" i="10" a="1"/>
  <c r="YK1556" i="10" s="1"/>
  <c r="YJ1556" i="10" a="1"/>
  <c r="YJ1556" i="10" s="1"/>
  <c r="YI1556" i="10" a="1"/>
  <c r="YI1556" i="10" s="1"/>
  <c r="YH1556" i="10" a="1"/>
  <c r="YH1556" i="10" s="1"/>
  <c r="YG1556" i="10" a="1"/>
  <c r="YG1556" i="10" s="1"/>
  <c r="YF1556" i="10" a="1"/>
  <c r="YF1556" i="10" s="1"/>
  <c r="YE1556" i="10" a="1"/>
  <c r="YE1556" i="10" s="1"/>
  <c r="YD1556" i="10" a="1"/>
  <c r="YD1556" i="10" s="1"/>
  <c r="YC1556" i="10" a="1"/>
  <c r="YC1556" i="10" s="1"/>
  <c r="YB1556" i="10" a="1"/>
  <c r="YB1556" i="10" s="1"/>
  <c r="YA1556" i="10" a="1"/>
  <c r="YA1556" i="10" s="1"/>
  <c r="XZ1556" i="10" a="1"/>
  <c r="XZ1556" i="10" s="1"/>
  <c r="XY1556" i="10" a="1"/>
  <c r="XY1556" i="10" s="1"/>
  <c r="XX1556" i="10" a="1"/>
  <c r="XX1556" i="10" s="1"/>
  <c r="XW1556" i="10" a="1"/>
  <c r="XW1556" i="10" s="1"/>
  <c r="XV1556" i="10" a="1"/>
  <c r="XV1556" i="10" s="1"/>
  <c r="XU1556" i="10" a="1"/>
  <c r="XU1556" i="10" s="1"/>
  <c r="XT1556" i="10" a="1"/>
  <c r="XT1556" i="10" s="1"/>
  <c r="XS1556" i="10" a="1"/>
  <c r="XS1556" i="10" s="1"/>
  <c r="XR1556" i="10" a="1"/>
  <c r="XR1556" i="10" s="1"/>
  <c r="XQ1556" i="10" a="1"/>
  <c r="XQ1556" i="10" s="1"/>
  <c r="XP1556" i="10" a="1"/>
  <c r="XP1556" i="10" s="1"/>
  <c r="XO1556" i="10" a="1"/>
  <c r="XO1556" i="10" s="1"/>
  <c r="XN1556" i="10" a="1"/>
  <c r="XN1556" i="10" s="1"/>
  <c r="XM1556" i="10" a="1"/>
  <c r="XM1556" i="10" s="1"/>
  <c r="XL1556" i="10" a="1"/>
  <c r="XL1556" i="10" s="1"/>
  <c r="XK1556" i="10" a="1"/>
  <c r="XK1556" i="10" s="1"/>
  <c r="XJ1556" i="10" a="1"/>
  <c r="XJ1556" i="10" s="1"/>
  <c r="XI1556" i="10" a="1"/>
  <c r="XI1556" i="10" s="1"/>
  <c r="XH1556" i="10" a="1"/>
  <c r="XH1556" i="10" s="1"/>
  <c r="XG1556" i="10" a="1"/>
  <c r="XG1556" i="10" s="1"/>
  <c r="XF1556" i="10" a="1"/>
  <c r="XF1556" i="10" s="1"/>
  <c r="XE1556" i="10" a="1"/>
  <c r="XE1556" i="10" s="1"/>
  <c r="XD1556" i="10" a="1"/>
  <c r="XD1556" i="10" s="1"/>
  <c r="XC1556" i="10" a="1"/>
  <c r="XC1556" i="10" s="1"/>
  <c r="XB1556" i="10" a="1"/>
  <c r="XB1556" i="10" s="1"/>
  <c r="XA1556" i="10" a="1"/>
  <c r="XA1556" i="10" s="1"/>
  <c r="WZ1556" i="10" a="1"/>
  <c r="WZ1556" i="10" s="1"/>
  <c r="WY1556" i="10" a="1"/>
  <c r="WY1556" i="10" s="1"/>
  <c r="WX1556" i="10" a="1"/>
  <c r="WX1556" i="10" s="1"/>
  <c r="WW1556" i="10" a="1"/>
  <c r="WW1556" i="10" s="1"/>
  <c r="WV1556" i="10" a="1"/>
  <c r="WV1556" i="10" s="1"/>
  <c r="WU1556" i="10" a="1"/>
  <c r="WU1556" i="10" s="1"/>
  <c r="WT1556" i="10" a="1"/>
  <c r="WT1556" i="10" s="1"/>
  <c r="WS1556" i="10" a="1"/>
  <c r="WS1556" i="10" s="1"/>
  <c r="WR1556" i="10" a="1"/>
  <c r="WR1556" i="10" s="1"/>
  <c r="WQ1556" i="10" a="1"/>
  <c r="WQ1556" i="10" s="1"/>
  <c r="WP1556" i="10" a="1"/>
  <c r="WP1556" i="10" s="1"/>
  <c r="WO1556" i="10" a="1"/>
  <c r="WO1556" i="10" s="1"/>
  <c r="WN1556" i="10" a="1"/>
  <c r="WN1556" i="10" s="1"/>
  <c r="WM1556" i="10" a="1"/>
  <c r="WM1556" i="10" s="1"/>
  <c r="WL1556" i="10" a="1"/>
  <c r="WL1556" i="10" s="1"/>
  <c r="WK1556" i="10" a="1"/>
  <c r="WK1556" i="10" s="1"/>
  <c r="WJ1556" i="10" a="1"/>
  <c r="WJ1556" i="10" s="1"/>
  <c r="WI1556" i="10" a="1"/>
  <c r="WI1556" i="10" s="1"/>
  <c r="WH1556" i="10" a="1"/>
  <c r="WH1556" i="10" s="1"/>
  <c r="WG1556" i="10" a="1"/>
  <c r="WG1556" i="10" s="1"/>
  <c r="WF1556" i="10" a="1"/>
  <c r="WF1556" i="10" s="1"/>
  <c r="WE1556" i="10" a="1"/>
  <c r="WE1556" i="10" s="1"/>
  <c r="WD1556" i="10" a="1"/>
  <c r="WD1556" i="10" s="1"/>
  <c r="WC1556" i="10" a="1"/>
  <c r="WC1556" i="10" s="1"/>
  <c r="WB1556" i="10" a="1"/>
  <c r="WB1556" i="10" s="1"/>
  <c r="WA1556" i="10" a="1"/>
  <c r="WA1556" i="10" s="1"/>
  <c r="VZ1556" i="10" a="1"/>
  <c r="VZ1556" i="10" s="1"/>
  <c r="VY1556" i="10" a="1"/>
  <c r="VY1556" i="10" s="1"/>
  <c r="VX1556" i="10" a="1"/>
  <c r="VX1556" i="10" s="1"/>
  <c r="VW1556" i="10" a="1"/>
  <c r="VW1556" i="10" s="1"/>
  <c r="VV1556" i="10" a="1"/>
  <c r="VV1556" i="10" s="1"/>
  <c r="VU1556" i="10" a="1"/>
  <c r="VU1556" i="10" s="1"/>
  <c r="VT1556" i="10" a="1"/>
  <c r="VT1556" i="10" s="1"/>
  <c r="VS1556" i="10" a="1"/>
  <c r="VS1556" i="10" s="1"/>
  <c r="VR1556" i="10" a="1"/>
  <c r="VR1556" i="10" s="1"/>
  <c r="VQ1556" i="10" a="1"/>
  <c r="VQ1556" i="10" s="1"/>
  <c r="VP1556" i="10" a="1"/>
  <c r="VP1556" i="10" s="1"/>
  <c r="VO1556" i="10" a="1"/>
  <c r="VO1556" i="10" s="1"/>
  <c r="VN1556" i="10" a="1"/>
  <c r="VN1556" i="10" s="1"/>
  <c r="VM1556" i="10" a="1"/>
  <c r="VM1556" i="10" s="1"/>
  <c r="VL1556" i="10" a="1"/>
  <c r="VL1556" i="10" s="1"/>
  <c r="VK1556" i="10" a="1"/>
  <c r="VK1556" i="10" s="1"/>
  <c r="VJ1556" i="10" a="1"/>
  <c r="VJ1556" i="10" s="1"/>
  <c r="VI1556" i="10" a="1"/>
  <c r="VI1556" i="10" s="1"/>
  <c r="VH1556" i="10" a="1"/>
  <c r="VH1556" i="10" s="1"/>
  <c r="VG1556" i="10" a="1"/>
  <c r="VG1556" i="10" s="1"/>
  <c r="VF1556" i="10" a="1"/>
  <c r="VF1556" i="10" s="1"/>
  <c r="VE1556" i="10" a="1"/>
  <c r="VE1556" i="10" s="1"/>
  <c r="VD1556" i="10" a="1"/>
  <c r="VD1556" i="10" s="1"/>
  <c r="VC1556" i="10" a="1"/>
  <c r="VC1556" i="10" s="1"/>
  <c r="VB1556" i="10" a="1"/>
  <c r="VB1556" i="10" s="1"/>
  <c r="VA1556" i="10" a="1"/>
  <c r="VA1556" i="10" s="1"/>
  <c r="UZ1556" i="10" a="1"/>
  <c r="UZ1556" i="10" s="1"/>
  <c r="UY1556" i="10" a="1"/>
  <c r="UY1556" i="10" s="1"/>
  <c r="UX1556" i="10" a="1"/>
  <c r="UX1556" i="10" s="1"/>
  <c r="UW1556" i="10" a="1"/>
  <c r="UW1556" i="10" s="1"/>
  <c r="UV1556" i="10" a="1"/>
  <c r="UV1556" i="10" s="1"/>
  <c r="UU1556" i="10" a="1"/>
  <c r="UU1556" i="10" s="1"/>
  <c r="UT1556" i="10" a="1"/>
  <c r="UT1556" i="10" s="1"/>
  <c r="US1556" i="10" a="1"/>
  <c r="US1556" i="10" s="1"/>
  <c r="UR1556" i="10" a="1"/>
  <c r="UR1556" i="10" s="1"/>
  <c r="UQ1556" i="10" a="1"/>
  <c r="UQ1556" i="10" s="1"/>
  <c r="UP1556" i="10" a="1"/>
  <c r="UP1556" i="10" s="1"/>
  <c r="UO1556" i="10" a="1"/>
  <c r="UO1556" i="10" s="1"/>
  <c r="UN1556" i="10" a="1"/>
  <c r="UN1556" i="10" s="1"/>
  <c r="UM1556" i="10" a="1"/>
  <c r="UM1556" i="10" s="1"/>
  <c r="UL1556" i="10" a="1"/>
  <c r="UL1556" i="10" s="1"/>
  <c r="UK1556" i="10" a="1"/>
  <c r="UK1556" i="10" s="1"/>
  <c r="UJ1556" i="10" a="1"/>
  <c r="UJ1556" i="10" s="1"/>
  <c r="UI1556" i="10" a="1"/>
  <c r="UI1556" i="10" s="1"/>
  <c r="UH1556" i="10" a="1"/>
  <c r="UH1556" i="10" s="1"/>
  <c r="UG1556" i="10" a="1"/>
  <c r="UG1556" i="10" s="1"/>
  <c r="UF1556" i="10" a="1"/>
  <c r="UF1556" i="10" s="1"/>
  <c r="UE1556" i="10" a="1"/>
  <c r="UE1556" i="10" s="1"/>
  <c r="UD1556" i="10" a="1"/>
  <c r="UD1556" i="10" s="1"/>
  <c r="UC1556" i="10" a="1"/>
  <c r="UC1556" i="10" s="1"/>
  <c r="UB1556" i="10" a="1"/>
  <c r="UB1556" i="10" s="1"/>
  <c r="UA1556" i="10" a="1"/>
  <c r="UA1556" i="10" s="1"/>
  <c r="TZ1556" i="10" a="1"/>
  <c r="TZ1556" i="10" s="1"/>
  <c r="TY1556" i="10" a="1"/>
  <c r="TY1556" i="10" s="1"/>
  <c r="TX1556" i="10" a="1"/>
  <c r="TX1556" i="10" s="1"/>
  <c r="TW1556" i="10" a="1"/>
  <c r="TW1556" i="10" s="1"/>
  <c r="TV1556" i="10" a="1"/>
  <c r="TV1556" i="10" s="1"/>
  <c r="TU1556" i="10" a="1"/>
  <c r="TU1556" i="10" s="1"/>
  <c r="TT1556" i="10" a="1"/>
  <c r="TT1556" i="10" s="1"/>
  <c r="TS1556" i="10" a="1"/>
  <c r="TS1556" i="10" s="1"/>
  <c r="TR1556" i="10" a="1"/>
  <c r="TR1556" i="10" s="1"/>
  <c r="TQ1556" i="10" a="1"/>
  <c r="TQ1556" i="10" s="1"/>
  <c r="TP1556" i="10" a="1"/>
  <c r="TP1556" i="10" s="1"/>
  <c r="TO1556" i="10" a="1"/>
  <c r="TO1556" i="10" s="1"/>
  <c r="TN1556" i="10" a="1"/>
  <c r="TN1556" i="10" s="1"/>
  <c r="TM1556" i="10" a="1"/>
  <c r="TM1556" i="10" s="1"/>
  <c r="TL1556" i="10" a="1"/>
  <c r="TL1556" i="10" s="1"/>
  <c r="TK1556" i="10" a="1"/>
  <c r="TK1556" i="10" s="1"/>
  <c r="TJ1556" i="10" a="1"/>
  <c r="TJ1556" i="10" s="1"/>
  <c r="TI1556" i="10" a="1"/>
  <c r="TI1556" i="10" s="1"/>
  <c r="TH1556" i="10" a="1"/>
  <c r="TH1556" i="10" s="1"/>
  <c r="TG1556" i="10" a="1"/>
  <c r="TG1556" i="10" s="1"/>
  <c r="TF1556" i="10" a="1"/>
  <c r="TF1556" i="10" s="1"/>
  <c r="TE1556" i="10" a="1"/>
  <c r="TE1556" i="10" s="1"/>
  <c r="TD1556" i="10" a="1"/>
  <c r="TD1556" i="10" s="1"/>
  <c r="TC1556" i="10" a="1"/>
  <c r="TC1556" i="10" s="1"/>
  <c r="TB1556" i="10" a="1"/>
  <c r="TB1556" i="10" s="1"/>
  <c r="TA1556" i="10" a="1"/>
  <c r="TA1556" i="10" s="1"/>
  <c r="SZ1556" i="10" a="1"/>
  <c r="SZ1556" i="10" s="1"/>
  <c r="SY1556" i="10" a="1"/>
  <c r="SY1556" i="10" s="1"/>
  <c r="SX1556" i="10" a="1"/>
  <c r="SX1556" i="10" s="1"/>
  <c r="SW1556" i="10" a="1"/>
  <c r="SW1556" i="10" s="1"/>
  <c r="SV1556" i="10" a="1"/>
  <c r="SV1556" i="10" s="1"/>
  <c r="SU1556" i="10" a="1"/>
  <c r="SU1556" i="10" s="1"/>
  <c r="ST1556" i="10" a="1"/>
  <c r="ST1556" i="10" s="1"/>
  <c r="SS1556" i="10" a="1"/>
  <c r="SS1556" i="10" s="1"/>
  <c r="SR1556" i="10" a="1"/>
  <c r="SR1556" i="10" s="1"/>
  <c r="SQ1556" i="10" a="1"/>
  <c r="SQ1556" i="10" s="1"/>
  <c r="SP1556" i="10" a="1"/>
  <c r="SP1556" i="10" s="1"/>
  <c r="SO1556" i="10" a="1"/>
  <c r="SO1556" i="10" s="1"/>
  <c r="SN1556" i="10" a="1"/>
  <c r="SN1556" i="10" s="1"/>
  <c r="SM1556" i="10" a="1"/>
  <c r="SM1556" i="10" s="1"/>
  <c r="SL1556" i="10" a="1"/>
  <c r="SL1556" i="10" s="1"/>
  <c r="SK1556" i="10" a="1"/>
  <c r="SK1556" i="10" s="1"/>
  <c r="SJ1556" i="10" a="1"/>
  <c r="SJ1556" i="10" s="1"/>
  <c r="SI1556" i="10" a="1"/>
  <c r="SI1556" i="10" s="1"/>
  <c r="SH1556" i="10" a="1"/>
  <c r="SH1556" i="10" s="1"/>
  <c r="SG1556" i="10" a="1"/>
  <c r="SG1556" i="10" s="1"/>
  <c r="SF1556" i="10" a="1"/>
  <c r="SF1556" i="10" s="1"/>
  <c r="SE1556" i="10" a="1"/>
  <c r="SE1556" i="10" s="1"/>
  <c r="SD1556" i="10" a="1"/>
  <c r="SD1556" i="10" s="1"/>
  <c r="SC1556" i="10" a="1"/>
  <c r="SC1556" i="10" s="1"/>
  <c r="SB1556" i="10" a="1"/>
  <c r="SB1556" i="10" s="1"/>
  <c r="SA1556" i="10" a="1"/>
  <c r="SA1556" i="10" s="1"/>
  <c r="RZ1556" i="10" a="1"/>
  <c r="RZ1556" i="10" s="1"/>
  <c r="RY1556" i="10" a="1"/>
  <c r="RY1556" i="10" s="1"/>
  <c r="RX1556" i="10" a="1"/>
  <c r="RX1556" i="10" s="1"/>
  <c r="RW1556" i="10" a="1"/>
  <c r="RW1556" i="10" s="1"/>
  <c r="RV1556" i="10" a="1"/>
  <c r="RV1556" i="10" s="1"/>
  <c r="RU1556" i="10" a="1"/>
  <c r="RU1556" i="10" s="1"/>
  <c r="RT1556" i="10" a="1"/>
  <c r="RT1556" i="10" s="1"/>
  <c r="RS1556" i="10" a="1"/>
  <c r="RS1556" i="10" s="1"/>
  <c r="RR1556" i="10" a="1"/>
  <c r="RR1556" i="10" s="1"/>
  <c r="RQ1556" i="10" a="1"/>
  <c r="RQ1556" i="10" s="1"/>
  <c r="RP1556" i="10" a="1"/>
  <c r="RP1556" i="10" s="1"/>
  <c r="RO1556" i="10" a="1"/>
  <c r="RO1556" i="10" s="1"/>
  <c r="RN1556" i="10" a="1"/>
  <c r="RN1556" i="10" s="1"/>
  <c r="RM1556" i="10" a="1"/>
  <c r="RM1556" i="10" s="1"/>
  <c r="RL1556" i="10" a="1"/>
  <c r="RL1556" i="10" s="1"/>
  <c r="RK1556" i="10" a="1"/>
  <c r="RK1556" i="10" s="1"/>
  <c r="RJ1556" i="10" a="1"/>
  <c r="RJ1556" i="10" s="1"/>
  <c r="RI1556" i="10" a="1"/>
  <c r="RI1556" i="10" s="1"/>
  <c r="RH1556" i="10" a="1"/>
  <c r="RH1556" i="10" s="1"/>
  <c r="RG1556" i="10" a="1"/>
  <c r="RG1556" i="10" s="1"/>
  <c r="RF1556" i="10" a="1"/>
  <c r="RF1556" i="10" s="1"/>
  <c r="RE1556" i="10" a="1"/>
  <c r="RE1556" i="10" s="1"/>
  <c r="RD1556" i="10" a="1"/>
  <c r="RD1556" i="10" s="1"/>
  <c r="RC1556" i="10" a="1"/>
  <c r="RC1556" i="10" s="1"/>
  <c r="RB1556" i="10" a="1"/>
  <c r="RB1556" i="10" s="1"/>
  <c r="RA1556" i="10" a="1"/>
  <c r="RA1556" i="10" s="1"/>
  <c r="QZ1556" i="10" a="1"/>
  <c r="QZ1556" i="10" s="1"/>
  <c r="QY1556" i="10" a="1"/>
  <c r="QY1556" i="10" s="1"/>
  <c r="QX1556" i="10" a="1"/>
  <c r="QX1556" i="10" s="1"/>
  <c r="QW1556" i="10" a="1"/>
  <c r="QW1556" i="10" s="1"/>
  <c r="QV1556" i="10" a="1"/>
  <c r="QV1556" i="10" s="1"/>
  <c r="QU1556" i="10" a="1"/>
  <c r="QU1556" i="10" s="1"/>
  <c r="QT1556" i="10" a="1"/>
  <c r="QT1556" i="10" s="1"/>
  <c r="QS1556" i="10" a="1"/>
  <c r="QS1556" i="10" s="1"/>
  <c r="QR1556" i="10" a="1"/>
  <c r="QR1556" i="10" s="1"/>
  <c r="QQ1556" i="10" a="1"/>
  <c r="QQ1556" i="10" s="1"/>
  <c r="QP1556" i="10" a="1"/>
  <c r="QP1556" i="10" s="1"/>
  <c r="QO1556" i="10" a="1"/>
  <c r="QO1556" i="10" s="1"/>
  <c r="QN1556" i="10" a="1"/>
  <c r="QN1556" i="10" s="1"/>
  <c r="QM1556" i="10" a="1"/>
  <c r="QM1556" i="10" s="1"/>
  <c r="QL1556" i="10" a="1"/>
  <c r="QL1556" i="10" s="1"/>
  <c r="QK1556" i="10" a="1"/>
  <c r="QK1556" i="10" s="1"/>
  <c r="QJ1556" i="10" a="1"/>
  <c r="QJ1556" i="10" s="1"/>
  <c r="QI1556" i="10" a="1"/>
  <c r="QI1556" i="10" s="1"/>
  <c r="QH1556" i="10" a="1"/>
  <c r="QH1556" i="10" s="1"/>
  <c r="QG1556" i="10" a="1"/>
  <c r="QG1556" i="10" s="1"/>
  <c r="QF1556" i="10" a="1"/>
  <c r="QF1556" i="10" s="1"/>
  <c r="QE1556" i="10" a="1"/>
  <c r="QE1556" i="10" s="1"/>
  <c r="QD1556" i="10" a="1"/>
  <c r="QD1556" i="10" s="1"/>
  <c r="QC1556" i="10" a="1"/>
  <c r="QC1556" i="10" s="1"/>
  <c r="QB1556" i="10" a="1"/>
  <c r="QB1556" i="10" s="1"/>
  <c r="QA1556" i="10" a="1"/>
  <c r="QA1556" i="10" s="1"/>
  <c r="PZ1556" i="10" a="1"/>
  <c r="PZ1556" i="10" s="1"/>
  <c r="PY1556" i="10" a="1"/>
  <c r="PY1556" i="10" s="1"/>
  <c r="PX1556" i="10" a="1"/>
  <c r="PX1556" i="10" s="1"/>
  <c r="PW1556" i="10" a="1"/>
  <c r="PW1556" i="10" s="1"/>
  <c r="PV1556" i="10" a="1"/>
  <c r="PV1556" i="10" s="1"/>
  <c r="PU1556" i="10" a="1"/>
  <c r="PU1556" i="10" s="1"/>
  <c r="PT1556" i="10" a="1"/>
  <c r="PT1556" i="10" s="1"/>
  <c r="PS1556" i="10" a="1"/>
  <c r="PS1556" i="10" s="1"/>
  <c r="PR1556" i="10" a="1"/>
  <c r="PR1556" i="10" s="1"/>
  <c r="PQ1556" i="10" a="1"/>
  <c r="PQ1556" i="10" s="1"/>
  <c r="PP1556" i="10" a="1"/>
  <c r="PP1556" i="10" s="1"/>
  <c r="PO1556" i="10" a="1"/>
  <c r="PO1556" i="10" s="1"/>
  <c r="PN1556" i="10" a="1"/>
  <c r="PN1556" i="10" s="1"/>
  <c r="PM1556" i="10" a="1"/>
  <c r="PM1556" i="10" s="1"/>
  <c r="PL1556" i="10" a="1"/>
  <c r="PL1556" i="10" s="1"/>
  <c r="PK1556" i="10" a="1"/>
  <c r="PK1556" i="10" s="1"/>
  <c r="PJ1556" i="10" a="1"/>
  <c r="PJ1556" i="10" s="1"/>
  <c r="PI1556" i="10" a="1"/>
  <c r="PI1556" i="10" s="1"/>
  <c r="PH1556" i="10" a="1"/>
  <c r="PH1556" i="10" s="1"/>
  <c r="PG1556" i="10" a="1"/>
  <c r="PG1556" i="10" s="1"/>
  <c r="PF1556" i="10" a="1"/>
  <c r="PF1556" i="10" s="1"/>
  <c r="PE1556" i="10" a="1"/>
  <c r="PE1556" i="10" s="1"/>
  <c r="PD1556" i="10" a="1"/>
  <c r="PD1556" i="10" s="1"/>
  <c r="PC1556" i="10" a="1"/>
  <c r="PC1556" i="10" s="1"/>
  <c r="PB1556" i="10" a="1"/>
  <c r="PB1556" i="10" s="1"/>
  <c r="PA1556" i="10" a="1"/>
  <c r="PA1556" i="10" s="1"/>
  <c r="OZ1556" i="10" a="1"/>
  <c r="OZ1556" i="10" s="1"/>
  <c r="OY1556" i="10" a="1"/>
  <c r="OY1556" i="10" s="1"/>
  <c r="OX1556" i="10" a="1"/>
  <c r="OX1556" i="10" s="1"/>
  <c r="OW1556" i="10" a="1"/>
  <c r="OW1556" i="10" s="1"/>
  <c r="OV1556" i="10" a="1"/>
  <c r="OV1556" i="10" s="1"/>
  <c r="OU1556" i="10" a="1"/>
  <c r="OU1556" i="10" s="1"/>
  <c r="OT1556" i="10" a="1"/>
  <c r="OT1556" i="10" s="1"/>
  <c r="OS1556" i="10" a="1"/>
  <c r="OS1556" i="10" s="1"/>
  <c r="OR1556" i="10" a="1"/>
  <c r="OR1556" i="10" s="1"/>
  <c r="OQ1556" i="10" a="1"/>
  <c r="OQ1556" i="10" s="1"/>
  <c r="OP1556" i="10" a="1"/>
  <c r="OP1556" i="10" s="1"/>
  <c r="OO1556" i="10" a="1"/>
  <c r="OO1556" i="10" s="1"/>
  <c r="ON1556" i="10" a="1"/>
  <c r="ON1556" i="10" s="1"/>
  <c r="OM1556" i="10" a="1"/>
  <c r="OM1556" i="10" s="1"/>
  <c r="OL1556" i="10" a="1"/>
  <c r="OL1556" i="10" s="1"/>
  <c r="OK1556" i="10" a="1"/>
  <c r="OK1556" i="10" s="1"/>
  <c r="OJ1556" i="10" a="1"/>
  <c r="OJ1556" i="10" s="1"/>
  <c r="OI1556" i="10" a="1"/>
  <c r="OI1556" i="10" s="1"/>
  <c r="OH1556" i="10" a="1"/>
  <c r="OH1556" i="10" s="1"/>
  <c r="OG1556" i="10" a="1"/>
  <c r="OG1556" i="10" s="1"/>
  <c r="OF1556" i="10" a="1"/>
  <c r="OF1556" i="10" s="1"/>
  <c r="OE1556" i="10" a="1"/>
  <c r="OE1556" i="10" s="1"/>
  <c r="OD1556" i="10" a="1"/>
  <c r="OD1556" i="10" s="1"/>
  <c r="OC1556" i="10" a="1"/>
  <c r="OC1556" i="10" s="1"/>
  <c r="OB1556" i="10" a="1"/>
  <c r="OB1556" i="10" s="1"/>
  <c r="OA1556" i="10" a="1"/>
  <c r="OA1556" i="10" s="1"/>
  <c r="NZ1556" i="10" a="1"/>
  <c r="NZ1556" i="10" s="1"/>
  <c r="NY1556" i="10" a="1"/>
  <c r="NY1556" i="10" s="1"/>
  <c r="NX1556" i="10" a="1"/>
  <c r="NX1556" i="10" s="1"/>
  <c r="NW1556" i="10" a="1"/>
  <c r="NW1556" i="10" s="1"/>
  <c r="NV1556" i="10" a="1"/>
  <c r="NV1556" i="10" s="1"/>
  <c r="NU1556" i="10" a="1"/>
  <c r="NU1556" i="10" s="1"/>
  <c r="NT1556" i="10" a="1"/>
  <c r="NT1556" i="10" s="1"/>
  <c r="NS1556" i="10" a="1"/>
  <c r="NS1556" i="10" s="1"/>
  <c r="NR1556" i="10" a="1"/>
  <c r="NR1556" i="10" s="1"/>
  <c r="NQ1556" i="10" a="1"/>
  <c r="NQ1556" i="10" s="1"/>
  <c r="NP1556" i="10" a="1"/>
  <c r="NP1556" i="10" s="1"/>
  <c r="NO1556" i="10" a="1"/>
  <c r="NO1556" i="10" s="1"/>
  <c r="NN1556" i="10" a="1"/>
  <c r="NN1556" i="10" s="1"/>
  <c r="NM1556" i="10" a="1"/>
  <c r="NM1556" i="10" s="1"/>
  <c r="NL1556" i="10" a="1"/>
  <c r="NL1556" i="10" s="1"/>
  <c r="NK1556" i="10" a="1"/>
  <c r="NK1556" i="10" s="1"/>
  <c r="NJ1556" i="10" a="1"/>
  <c r="NJ1556" i="10" s="1"/>
  <c r="NI1556" i="10" a="1"/>
  <c r="NI1556" i="10" s="1"/>
  <c r="NH1556" i="10" a="1"/>
  <c r="NH1556" i="10" s="1"/>
  <c r="NG1556" i="10" a="1"/>
  <c r="NG1556" i="10" s="1"/>
  <c r="NF1556" i="10" a="1"/>
  <c r="NF1556" i="10" s="1"/>
  <c r="NE1556" i="10" a="1"/>
  <c r="NE1556" i="10" s="1"/>
  <c r="ND1556" i="10" a="1"/>
  <c r="ND1556" i="10" s="1"/>
  <c r="NC1556" i="10" a="1"/>
  <c r="NC1556" i="10" s="1"/>
  <c r="NB1556" i="10" a="1"/>
  <c r="NB1556" i="10" s="1"/>
  <c r="NA1556" i="10" a="1"/>
  <c r="NA1556" i="10" s="1"/>
  <c r="MZ1556" i="10" a="1"/>
  <c r="MZ1556" i="10" s="1"/>
  <c r="MY1556" i="10" a="1"/>
  <c r="MY1556" i="10" s="1"/>
  <c r="MX1556" i="10" a="1"/>
  <c r="MX1556" i="10" s="1"/>
  <c r="MW1556" i="10" a="1"/>
  <c r="MW1556" i="10" s="1"/>
  <c r="MV1556" i="10" a="1"/>
  <c r="MV1556" i="10" s="1"/>
  <c r="MU1556" i="10" a="1"/>
  <c r="MU1556" i="10" s="1"/>
  <c r="MT1556" i="10" a="1"/>
  <c r="MT1556" i="10" s="1"/>
  <c r="MS1556" i="10" a="1"/>
  <c r="MS1556" i="10" s="1"/>
  <c r="MR1556" i="10" a="1"/>
  <c r="MR1556" i="10" s="1"/>
  <c r="MQ1556" i="10" a="1"/>
  <c r="MQ1556" i="10" s="1"/>
  <c r="MP1556" i="10" a="1"/>
  <c r="MP1556" i="10" s="1"/>
  <c r="MO1556" i="10" a="1"/>
  <c r="MO1556" i="10" s="1"/>
  <c r="MN1556" i="10" a="1"/>
  <c r="MN1556" i="10" s="1"/>
  <c r="MM1556" i="10" a="1"/>
  <c r="MM1556" i="10" s="1"/>
  <c r="ML1556" i="10" a="1"/>
  <c r="ML1556" i="10" s="1"/>
  <c r="MK1556" i="10" a="1"/>
  <c r="MK1556" i="10" s="1"/>
  <c r="MJ1556" i="10" a="1"/>
  <c r="MJ1556" i="10" s="1"/>
  <c r="MI1556" i="10" a="1"/>
  <c r="MI1556" i="10" s="1"/>
  <c r="MH1556" i="10" a="1"/>
  <c r="MH1556" i="10" s="1"/>
  <c r="MG1556" i="10" a="1"/>
  <c r="MG1556" i="10" s="1"/>
  <c r="MF1556" i="10" a="1"/>
  <c r="MF1556" i="10" s="1"/>
  <c r="ME1556" i="10" a="1"/>
  <c r="ME1556" i="10" s="1"/>
  <c r="MD1556" i="10" a="1"/>
  <c r="MD1556" i="10" s="1"/>
  <c r="MC1556" i="10" a="1"/>
  <c r="MC1556" i="10" s="1"/>
  <c r="MB1556" i="10" a="1"/>
  <c r="MB1556" i="10" s="1"/>
  <c r="MA1556" i="10" a="1"/>
  <c r="MA1556" i="10" s="1"/>
  <c r="LZ1556" i="10" a="1"/>
  <c r="LZ1556" i="10" s="1"/>
  <c r="LY1556" i="10" a="1"/>
  <c r="LY1556" i="10" s="1"/>
  <c r="LX1556" i="10" a="1"/>
  <c r="LX1556" i="10" s="1"/>
  <c r="LW1556" i="10" a="1"/>
  <c r="LW1556" i="10" s="1"/>
  <c r="LV1556" i="10" a="1"/>
  <c r="LV1556" i="10" s="1"/>
  <c r="LU1556" i="10" a="1"/>
  <c r="LU1556" i="10" s="1"/>
  <c r="LT1556" i="10" a="1"/>
  <c r="LT1556" i="10" s="1"/>
  <c r="LS1556" i="10" a="1"/>
  <c r="LS1556" i="10" s="1"/>
  <c r="LR1556" i="10" a="1"/>
  <c r="LR1556" i="10" s="1"/>
  <c r="LQ1556" i="10" a="1"/>
  <c r="LQ1556" i="10" s="1"/>
  <c r="LP1556" i="10" a="1"/>
  <c r="LP1556" i="10" s="1"/>
  <c r="LO1556" i="10" a="1"/>
  <c r="LO1556" i="10" s="1"/>
  <c r="LN1556" i="10" a="1"/>
  <c r="LN1556" i="10" s="1"/>
  <c r="LM1556" i="10" a="1"/>
  <c r="LM1556" i="10" s="1"/>
  <c r="LL1556" i="10" a="1"/>
  <c r="LL1556" i="10" s="1"/>
  <c r="LK1556" i="10" a="1"/>
  <c r="LK1556" i="10" s="1"/>
  <c r="LJ1556" i="10" a="1"/>
  <c r="LJ1556" i="10" s="1"/>
  <c r="LI1556" i="10" a="1"/>
  <c r="LI1556" i="10" s="1"/>
  <c r="LH1556" i="10" a="1"/>
  <c r="LH1556" i="10" s="1"/>
  <c r="LG1556" i="10" a="1"/>
  <c r="LG1556" i="10" s="1"/>
  <c r="LF1556" i="10" a="1"/>
  <c r="LF1556" i="10" s="1"/>
  <c r="LE1556" i="10" a="1"/>
  <c r="LE1556" i="10" s="1"/>
  <c r="LD1556" i="10" a="1"/>
  <c r="LD1556" i="10" s="1"/>
  <c r="LC1556" i="10" a="1"/>
  <c r="LC1556" i="10" s="1"/>
  <c r="LB1556" i="10" a="1"/>
  <c r="LB1556" i="10" s="1"/>
  <c r="LA1556" i="10" a="1"/>
  <c r="LA1556" i="10" s="1"/>
  <c r="KZ1556" i="10" a="1"/>
  <c r="KZ1556" i="10" s="1"/>
  <c r="KY1556" i="10" a="1"/>
  <c r="KY1556" i="10" s="1"/>
  <c r="KX1556" i="10" a="1"/>
  <c r="KX1556" i="10" s="1"/>
  <c r="KW1556" i="10" a="1"/>
  <c r="KW1556" i="10" s="1"/>
  <c r="KV1556" i="10" a="1"/>
  <c r="KV1556" i="10" s="1"/>
  <c r="KU1556" i="10" a="1"/>
  <c r="KU1556" i="10" s="1"/>
  <c r="KT1556" i="10" a="1"/>
  <c r="KT1556" i="10" s="1"/>
  <c r="KS1556" i="10" a="1"/>
  <c r="KS1556" i="10" s="1"/>
  <c r="KR1556" i="10" a="1"/>
  <c r="KR1556" i="10" s="1"/>
  <c r="KQ1556" i="10" a="1"/>
  <c r="KQ1556" i="10" s="1"/>
  <c r="KP1556" i="10" a="1"/>
  <c r="KP1556" i="10" s="1"/>
  <c r="KO1556" i="10" a="1"/>
  <c r="KO1556" i="10" s="1"/>
  <c r="KN1556" i="10" a="1"/>
  <c r="KN1556" i="10" s="1"/>
  <c r="KM1556" i="10" a="1"/>
  <c r="KM1556" i="10" s="1"/>
  <c r="KL1556" i="10" a="1"/>
  <c r="KL1556" i="10" s="1"/>
  <c r="KK1556" i="10" a="1"/>
  <c r="KK1556" i="10" s="1"/>
  <c r="KJ1556" i="10" a="1"/>
  <c r="KJ1556" i="10" s="1"/>
  <c r="KI1556" i="10" a="1"/>
  <c r="KI1556" i="10" s="1"/>
  <c r="KH1556" i="10" a="1"/>
  <c r="KH1556" i="10" s="1"/>
  <c r="KG1556" i="10" a="1"/>
  <c r="KG1556" i="10" s="1"/>
  <c r="KF1556" i="10" a="1"/>
  <c r="KF1556" i="10" s="1"/>
  <c r="KE1556" i="10" a="1"/>
  <c r="KE1556" i="10" s="1"/>
  <c r="KD1556" i="10" a="1"/>
  <c r="KD1556" i="10" s="1"/>
  <c r="KC1556" i="10" a="1"/>
  <c r="KC1556" i="10" s="1"/>
  <c r="KB1556" i="10" a="1"/>
  <c r="KB1556" i="10" s="1"/>
  <c r="KA1556" i="10" a="1"/>
  <c r="KA1556" i="10" s="1"/>
  <c r="JZ1556" i="10" a="1"/>
  <c r="JZ1556" i="10" s="1"/>
  <c r="JY1556" i="10" a="1"/>
  <c r="JY1556" i="10" s="1"/>
  <c r="JX1556" i="10" a="1"/>
  <c r="JX1556" i="10" s="1"/>
  <c r="JW1556" i="10" a="1"/>
  <c r="JW1556" i="10" s="1"/>
  <c r="JV1556" i="10" a="1"/>
  <c r="JV1556" i="10" s="1"/>
  <c r="JU1556" i="10" a="1"/>
  <c r="JU1556" i="10" s="1"/>
  <c r="JT1556" i="10" a="1"/>
  <c r="JT1556" i="10" s="1"/>
  <c r="JS1556" i="10" a="1"/>
  <c r="JS1556" i="10" s="1"/>
  <c r="JR1556" i="10" a="1"/>
  <c r="JR1556" i="10" s="1"/>
  <c r="JQ1556" i="10" a="1"/>
  <c r="JQ1556" i="10" s="1"/>
  <c r="JP1556" i="10" a="1"/>
  <c r="JP1556" i="10" s="1"/>
  <c r="JO1556" i="10" a="1"/>
  <c r="JO1556" i="10" s="1"/>
  <c r="JN1556" i="10" a="1"/>
  <c r="JN1556" i="10" s="1"/>
  <c r="JM1556" i="10" a="1"/>
  <c r="JM1556" i="10" s="1"/>
  <c r="JL1556" i="10" a="1"/>
  <c r="JL1556" i="10" s="1"/>
  <c r="JK1556" i="10" a="1"/>
  <c r="JK1556" i="10" s="1"/>
  <c r="JJ1556" i="10" a="1"/>
  <c r="JJ1556" i="10" s="1"/>
  <c r="JI1556" i="10" a="1"/>
  <c r="JI1556" i="10" s="1"/>
  <c r="JH1556" i="10" a="1"/>
  <c r="JH1556" i="10" s="1"/>
  <c r="JG1556" i="10" a="1"/>
  <c r="JG1556" i="10" s="1"/>
  <c r="JF1556" i="10" a="1"/>
  <c r="JF1556" i="10" s="1"/>
  <c r="JE1556" i="10" a="1"/>
  <c r="JE1556" i="10" s="1"/>
  <c r="JD1556" i="10" a="1"/>
  <c r="JD1556" i="10" s="1"/>
  <c r="JC1556" i="10" a="1"/>
  <c r="JC1556" i="10" s="1"/>
  <c r="JB1556" i="10" a="1"/>
  <c r="JB1556" i="10" s="1"/>
  <c r="JA1556" i="10" a="1"/>
  <c r="JA1556" i="10" s="1"/>
  <c r="IZ1556" i="10" a="1"/>
  <c r="IZ1556" i="10" s="1"/>
  <c r="IY1556" i="10" a="1"/>
  <c r="IY1556" i="10" s="1"/>
  <c r="IX1556" i="10" a="1"/>
  <c r="IX1556" i="10" s="1"/>
  <c r="IW1556" i="10" a="1"/>
  <c r="IW1556" i="10" s="1"/>
  <c r="IV1556" i="10" a="1"/>
  <c r="IV1556" i="10" s="1"/>
  <c r="IU1556" i="10" a="1"/>
  <c r="IU1556" i="10" s="1"/>
  <c r="IT1556" i="10" a="1"/>
  <c r="IT1556" i="10" s="1"/>
  <c r="IS1556" i="10" a="1"/>
  <c r="IS1556" i="10" s="1"/>
  <c r="IR1556" i="10" a="1"/>
  <c r="IR1556" i="10" s="1"/>
  <c r="IQ1556" i="10" a="1"/>
  <c r="IQ1556" i="10" s="1"/>
  <c r="IP1556" i="10" a="1"/>
  <c r="IP1556" i="10" s="1"/>
  <c r="IO1556" i="10" a="1"/>
  <c r="IO1556" i="10" s="1"/>
  <c r="IN1556" i="10" a="1"/>
  <c r="IN1556" i="10" s="1"/>
  <c r="IM1556" i="10" a="1"/>
  <c r="IM1556" i="10" s="1"/>
  <c r="IL1556" i="10" a="1"/>
  <c r="IL1556" i="10" s="1"/>
  <c r="IK1556" i="10" a="1"/>
  <c r="IK1556" i="10" s="1"/>
  <c r="IJ1556" i="10" a="1"/>
  <c r="IJ1556" i="10" s="1"/>
  <c r="II1556" i="10" a="1"/>
  <c r="II1556" i="10" s="1"/>
  <c r="IH1556" i="10" a="1"/>
  <c r="IH1556" i="10" s="1"/>
  <c r="IG1556" i="10" a="1"/>
  <c r="IG1556" i="10" s="1"/>
  <c r="IF1556" i="10" a="1"/>
  <c r="IF1556" i="10" s="1"/>
  <c r="IE1556" i="10" a="1"/>
  <c r="IE1556" i="10" s="1"/>
  <c r="ID1556" i="10" a="1"/>
  <c r="ID1556" i="10" s="1"/>
  <c r="IC1556" i="10" a="1"/>
  <c r="IC1556" i="10" s="1"/>
  <c r="IB1556" i="10" a="1"/>
  <c r="IB1556" i="10" s="1"/>
  <c r="IA1556" i="10" a="1"/>
  <c r="IA1556" i="10" s="1"/>
  <c r="HZ1556" i="10" a="1"/>
  <c r="HZ1556" i="10" s="1"/>
  <c r="HY1556" i="10" a="1"/>
  <c r="HY1556" i="10" s="1"/>
  <c r="HX1556" i="10" a="1"/>
  <c r="HX1556" i="10" s="1"/>
  <c r="HW1556" i="10" a="1"/>
  <c r="HW1556" i="10" s="1"/>
  <c r="HV1556" i="10" a="1"/>
  <c r="HV1556" i="10" s="1"/>
  <c r="HU1556" i="10" a="1"/>
  <c r="HU1556" i="10" s="1"/>
  <c r="HT1556" i="10" a="1"/>
  <c r="HT1556" i="10" s="1"/>
  <c r="HS1556" i="10" a="1"/>
  <c r="HS1556" i="10" s="1"/>
  <c r="HR1556" i="10" a="1"/>
  <c r="HR1556" i="10" s="1"/>
  <c r="HQ1556" i="10" a="1"/>
  <c r="HQ1556" i="10" s="1"/>
  <c r="HP1556" i="10" a="1"/>
  <c r="HP1556" i="10" s="1"/>
  <c r="HO1556" i="10" a="1"/>
  <c r="HO1556" i="10" s="1"/>
  <c r="HN1556" i="10" a="1"/>
  <c r="HN1556" i="10" s="1"/>
  <c r="HM1556" i="10" a="1"/>
  <c r="HM1556" i="10" s="1"/>
  <c r="HL1556" i="10" a="1"/>
  <c r="HL1556" i="10" s="1"/>
  <c r="HK1556" i="10" a="1"/>
  <c r="HK1556" i="10" s="1"/>
  <c r="HJ1556" i="10" a="1"/>
  <c r="HJ1556" i="10" s="1"/>
  <c r="HI1556" i="10" a="1"/>
  <c r="HI1556" i="10" s="1"/>
  <c r="HH1556" i="10" a="1"/>
  <c r="HH1556" i="10" s="1"/>
  <c r="HG1556" i="10" a="1"/>
  <c r="HG1556" i="10" s="1"/>
  <c r="HF1556" i="10" a="1"/>
  <c r="HF1556" i="10" s="1"/>
  <c r="HE1556" i="10" a="1"/>
  <c r="HE1556" i="10" s="1"/>
  <c r="HD1556" i="10" a="1"/>
  <c r="HD1556" i="10" s="1"/>
  <c r="HC1556" i="10" a="1"/>
  <c r="HC1556" i="10" s="1"/>
  <c r="HB1556" i="10" a="1"/>
  <c r="HB1556" i="10" s="1"/>
  <c r="HA1556" i="10" a="1"/>
  <c r="HA1556" i="10" s="1"/>
  <c r="GZ1556" i="10" a="1"/>
  <c r="GZ1556" i="10" s="1"/>
  <c r="GY1556" i="10" a="1"/>
  <c r="GY1556" i="10" s="1"/>
  <c r="GX1556" i="10" a="1"/>
  <c r="GX1556" i="10" s="1"/>
  <c r="GW1556" i="10" a="1"/>
  <c r="GW1556" i="10" s="1"/>
  <c r="GV1556" i="10" a="1"/>
  <c r="GV1556" i="10" s="1"/>
  <c r="GU1556" i="10" a="1"/>
  <c r="GU1556" i="10" s="1"/>
  <c r="GT1556" i="10" a="1"/>
  <c r="GT1556" i="10" s="1"/>
  <c r="GS1556" i="10" a="1"/>
  <c r="GS1556" i="10" s="1"/>
  <c r="GR1556" i="10" a="1"/>
  <c r="GR1556" i="10" s="1"/>
  <c r="GQ1556" i="10" a="1"/>
  <c r="GQ1556" i="10" s="1"/>
  <c r="GP1556" i="10" a="1"/>
  <c r="GP1556" i="10" s="1"/>
  <c r="GO1556" i="10" a="1"/>
  <c r="GO1556" i="10" s="1"/>
  <c r="GN1556" i="10" a="1"/>
  <c r="GN1556" i="10" s="1"/>
  <c r="GM1556" i="10" a="1"/>
  <c r="GM1556" i="10" s="1"/>
  <c r="GL1556" i="10" a="1"/>
  <c r="GL1556" i="10" s="1"/>
  <c r="GK1556" i="10" a="1"/>
  <c r="GK1556" i="10" s="1"/>
  <c r="GJ1556" i="10" a="1"/>
  <c r="GJ1556" i="10" s="1"/>
  <c r="GI1556" i="10" a="1"/>
  <c r="GI1556" i="10" s="1"/>
  <c r="GH1556" i="10" a="1"/>
  <c r="GH1556" i="10" s="1"/>
  <c r="GG1556" i="10" a="1"/>
  <c r="GG1556" i="10" s="1"/>
  <c r="GF1556" i="10" a="1"/>
  <c r="GF1556" i="10" s="1"/>
  <c r="GE1556" i="10" a="1"/>
  <c r="GE1556" i="10" s="1"/>
  <c r="GD1556" i="10" a="1"/>
  <c r="GD1556" i="10" s="1"/>
  <c r="GC1556" i="10" a="1"/>
  <c r="GC1556" i="10" s="1"/>
  <c r="GB1556" i="10" a="1"/>
  <c r="GB1556" i="10" s="1"/>
  <c r="GA1556" i="10" a="1"/>
  <c r="GA1556" i="10" s="1"/>
  <c r="FZ1556" i="10" a="1"/>
  <c r="FZ1556" i="10" s="1"/>
  <c r="FY1556" i="10" a="1"/>
  <c r="FY1556" i="10" s="1"/>
  <c r="FX1556" i="10" a="1"/>
  <c r="FX1556" i="10" s="1"/>
  <c r="FW1556" i="10" a="1"/>
  <c r="FW1556" i="10" s="1"/>
  <c r="FV1556" i="10" a="1"/>
  <c r="FV1556" i="10" s="1"/>
  <c r="FU1556" i="10" a="1"/>
  <c r="FU1556" i="10" s="1"/>
  <c r="FT1556" i="10" a="1"/>
  <c r="FT1556" i="10" s="1"/>
  <c r="FS1556" i="10" a="1"/>
  <c r="FS1556" i="10" s="1"/>
  <c r="FR1556" i="10" a="1"/>
  <c r="FR1556" i="10" s="1"/>
  <c r="FQ1556" i="10" a="1"/>
  <c r="FQ1556" i="10" s="1"/>
  <c r="FP1556" i="10" a="1"/>
  <c r="FP1556" i="10" s="1"/>
  <c r="FO1556" i="10" a="1"/>
  <c r="FO1556" i="10" s="1"/>
  <c r="FN1556" i="10" a="1"/>
  <c r="FN1556" i="10" s="1"/>
  <c r="FM1556" i="10" a="1"/>
  <c r="FM1556" i="10" s="1"/>
  <c r="FL1556" i="10" a="1"/>
  <c r="FL1556" i="10" s="1"/>
  <c r="FK1556" i="10" a="1"/>
  <c r="FK1556" i="10" s="1"/>
  <c r="FJ1556" i="10" a="1"/>
  <c r="FJ1556" i="10" s="1"/>
  <c r="FI1556" i="10" a="1"/>
  <c r="FI1556" i="10" s="1"/>
  <c r="FH1556" i="10" a="1"/>
  <c r="FH1556" i="10" s="1"/>
  <c r="FG1556" i="10" a="1"/>
  <c r="FG1556" i="10" s="1"/>
  <c r="FF1556" i="10" a="1"/>
  <c r="FF1556" i="10" s="1"/>
  <c r="FE1556" i="10" a="1"/>
  <c r="FE1556" i="10" s="1"/>
  <c r="FD1556" i="10" a="1"/>
  <c r="FD1556" i="10" s="1"/>
  <c r="FC1556" i="10" a="1"/>
  <c r="FC1556" i="10" s="1"/>
  <c r="FB1556" i="10" a="1"/>
  <c r="FB1556" i="10" s="1"/>
  <c r="FA1556" i="10" a="1"/>
  <c r="FA1556" i="10" s="1"/>
  <c r="EZ1556" i="10" a="1"/>
  <c r="EZ1556" i="10" s="1"/>
  <c r="EY1556" i="10" a="1"/>
  <c r="EY1556" i="10" s="1"/>
  <c r="EX1556" i="10" a="1"/>
  <c r="EX1556" i="10" s="1"/>
  <c r="EW1556" i="10" a="1"/>
  <c r="EW1556" i="10" s="1"/>
  <c r="EV1556" i="10" a="1"/>
  <c r="EV1556" i="10" s="1"/>
  <c r="EU1556" i="10" a="1"/>
  <c r="EU1556" i="10" s="1"/>
  <c r="ET1556" i="10" a="1"/>
  <c r="ET1556" i="10" s="1"/>
  <c r="ES1556" i="10" a="1"/>
  <c r="ES1556" i="10" s="1"/>
  <c r="ER1556" i="10" a="1"/>
  <c r="ER1556" i="10" s="1"/>
  <c r="EQ1556" i="10" a="1"/>
  <c r="EQ1556" i="10" s="1"/>
  <c r="EP1556" i="10" a="1"/>
  <c r="EP1556" i="10" s="1"/>
  <c r="EO1556" i="10" a="1"/>
  <c r="EO1556" i="10" s="1"/>
  <c r="EN1556" i="10" a="1"/>
  <c r="EN1556" i="10" s="1"/>
  <c r="EM1556" i="10" a="1"/>
  <c r="EM1556" i="10" s="1"/>
  <c r="EL1556" i="10" a="1"/>
  <c r="EL1556" i="10" s="1"/>
  <c r="EK1556" i="10" a="1"/>
  <c r="EK1556" i="10" s="1"/>
  <c r="EJ1556" i="10" a="1"/>
  <c r="EJ1556" i="10" s="1"/>
  <c r="EI1556" i="10" a="1"/>
  <c r="EI1556" i="10" s="1"/>
  <c r="EH1556" i="10" a="1"/>
  <c r="EH1556" i="10" s="1"/>
  <c r="EG1556" i="10" a="1"/>
  <c r="EG1556" i="10" s="1"/>
  <c r="EF1556" i="10" a="1"/>
  <c r="EF1556" i="10" s="1"/>
  <c r="EE1556" i="10" a="1"/>
  <c r="EE1556" i="10" s="1"/>
  <c r="ED1556" i="10" a="1"/>
  <c r="ED1556" i="10" s="1"/>
  <c r="EC1556" i="10" a="1"/>
  <c r="EC1556" i="10" s="1"/>
  <c r="EB1556" i="10" a="1"/>
  <c r="EB1556" i="10" s="1"/>
  <c r="EA1556" i="10" a="1"/>
  <c r="EA1556" i="10" s="1"/>
  <c r="DZ1556" i="10" a="1"/>
  <c r="DZ1556" i="10" s="1"/>
  <c r="DY1556" i="10" a="1"/>
  <c r="DY1556" i="10" s="1"/>
  <c r="DX1556" i="10" a="1"/>
  <c r="DX1556" i="10" s="1"/>
  <c r="DW1556" i="10" a="1"/>
  <c r="DW1556" i="10" s="1"/>
  <c r="DV1556" i="10" a="1"/>
  <c r="DV1556" i="10" s="1"/>
  <c r="DU1556" i="10" a="1"/>
  <c r="DU1556" i="10" s="1"/>
  <c r="DT1556" i="10" a="1"/>
  <c r="DT1556" i="10" s="1"/>
  <c r="DS1556" i="10" a="1"/>
  <c r="DS1556" i="10" s="1"/>
  <c r="DR1556" i="10" a="1"/>
  <c r="DR1556" i="10" s="1"/>
  <c r="DQ1556" i="10" a="1"/>
  <c r="DQ1556" i="10" s="1"/>
  <c r="DP1556" i="10" a="1"/>
  <c r="DP1556" i="10" s="1"/>
  <c r="DO1556" i="10" a="1"/>
  <c r="DO1556" i="10" s="1"/>
  <c r="DN1556" i="10" a="1"/>
  <c r="DN1556" i="10" s="1"/>
  <c r="DM1556" i="10" a="1"/>
  <c r="DM1556" i="10" s="1"/>
  <c r="DL1556" i="10" a="1"/>
  <c r="DL1556" i="10" s="1"/>
  <c r="DK1556" i="10" a="1"/>
  <c r="DK1556" i="10" s="1"/>
  <c r="DJ1556" i="10" a="1"/>
  <c r="DJ1556" i="10" s="1"/>
  <c r="DI1556" i="10" a="1"/>
  <c r="DI1556" i="10" s="1"/>
  <c r="DH1556" i="10" a="1"/>
  <c r="DH1556" i="10" s="1"/>
  <c r="DG1556" i="10" a="1"/>
  <c r="DG1556" i="10" s="1"/>
  <c r="DF1556" i="10" a="1"/>
  <c r="DF1556" i="10" s="1"/>
  <c r="DE1556" i="10" a="1"/>
  <c r="DE1556" i="10" s="1"/>
  <c r="DD1556" i="10" a="1"/>
  <c r="DD1556" i="10" s="1"/>
  <c r="DC1556" i="10" a="1"/>
  <c r="DC1556" i="10" s="1"/>
  <c r="DB1556" i="10" a="1"/>
  <c r="DB1556" i="10" s="1"/>
  <c r="DA1556" i="10" a="1"/>
  <c r="DA1556" i="10" s="1"/>
  <c r="CZ1556" i="10" a="1"/>
  <c r="CZ1556" i="10" s="1"/>
  <c r="CY1556" i="10" a="1"/>
  <c r="CY1556" i="10" s="1"/>
  <c r="CX1556" i="10" a="1"/>
  <c r="CX1556" i="10" s="1"/>
  <c r="CW1556" i="10" a="1"/>
  <c r="CW1556" i="10" s="1"/>
  <c r="CV1556" i="10" a="1"/>
  <c r="CV1556" i="10" s="1"/>
  <c r="CU1556" i="10" a="1"/>
  <c r="CU1556" i="10" s="1"/>
  <c r="CT1556" i="10" a="1"/>
  <c r="CT1556" i="10" s="1"/>
  <c r="CS1556" i="10" a="1"/>
  <c r="CS1556" i="10" s="1"/>
  <c r="CR1556" i="10" a="1"/>
  <c r="CR1556" i="10" s="1"/>
  <c r="CQ1556" i="10" a="1"/>
  <c r="CQ1556" i="10" s="1"/>
  <c r="CP1556" i="10" a="1"/>
  <c r="CP1556" i="10" s="1"/>
  <c r="CO1556" i="10" a="1"/>
  <c r="CO1556" i="10" s="1"/>
  <c r="CN1556" i="10" a="1"/>
  <c r="CN1556" i="10" s="1"/>
  <c r="CM1556" i="10" a="1"/>
  <c r="CM1556" i="10" s="1"/>
  <c r="CL1556" i="10" a="1"/>
  <c r="CL1556" i="10" s="1"/>
  <c r="CK1556" i="10" a="1"/>
  <c r="CK1556" i="10" s="1"/>
  <c r="CJ1556" i="10" a="1"/>
  <c r="CJ1556" i="10" s="1"/>
  <c r="CI1556" i="10" a="1"/>
  <c r="CI1556" i="10" s="1"/>
  <c r="CH1556" i="10" a="1"/>
  <c r="CH1556" i="10" s="1"/>
  <c r="CG1556" i="10" a="1"/>
  <c r="CG1556" i="10" s="1"/>
  <c r="CF1556" i="10" a="1"/>
  <c r="CF1556" i="10" s="1"/>
  <c r="CE1556" i="10" a="1"/>
  <c r="CE1556" i="10" s="1"/>
  <c r="CD1556" i="10" a="1"/>
  <c r="CD1556" i="10" s="1"/>
  <c r="CC1556" i="10" a="1"/>
  <c r="CC1556" i="10" s="1"/>
  <c r="CB1556" i="10" a="1"/>
  <c r="CB1556" i="10" s="1"/>
  <c r="CA1556" i="10" a="1"/>
  <c r="CA1556" i="10" s="1"/>
  <c r="BZ1556" i="10" a="1"/>
  <c r="BZ1556" i="10" s="1"/>
  <c r="BY1556" i="10" a="1"/>
  <c r="BY1556" i="10" s="1"/>
  <c r="BX1556" i="10" a="1"/>
  <c r="BX1556" i="10" s="1"/>
  <c r="BW1556" i="10" a="1"/>
  <c r="BW1556" i="10" s="1"/>
  <c r="BV1556" i="10" a="1"/>
  <c r="BV1556" i="10" s="1"/>
  <c r="BU1556" i="10" a="1"/>
  <c r="BU1556" i="10" s="1"/>
  <c r="BT1556" i="10" a="1"/>
  <c r="BT1556" i="10" s="1"/>
  <c r="BS1556" i="10" a="1"/>
  <c r="BS1556" i="10" s="1"/>
  <c r="BR1556" i="10" a="1"/>
  <c r="BR1556" i="10" s="1"/>
  <c r="BQ1556" i="10" a="1"/>
  <c r="BQ1556" i="10" s="1"/>
  <c r="BP1556" i="10" a="1"/>
  <c r="BP1556" i="10" s="1"/>
  <c r="BO1556" i="10" a="1"/>
  <c r="BO1556" i="10" s="1"/>
  <c r="BN1556" i="10" a="1"/>
  <c r="BN1556" i="10" s="1"/>
  <c r="BM1556" i="10" a="1"/>
  <c r="BM1556" i="10" s="1"/>
  <c r="BL1556" i="10" a="1"/>
  <c r="BL1556" i="10" s="1"/>
  <c r="BK1556" i="10" a="1"/>
  <c r="BK1556" i="10" s="1"/>
  <c r="BJ1556" i="10" a="1"/>
  <c r="BJ1556" i="10" s="1"/>
  <c r="BI1556" i="10" a="1"/>
  <c r="BI1556" i="10" s="1"/>
  <c r="BH1556" i="10" a="1"/>
  <c r="BH1556" i="10" s="1"/>
  <c r="BG1556" i="10" a="1"/>
  <c r="BG1556" i="10" s="1"/>
  <c r="BF1556" i="10" a="1"/>
  <c r="BF1556" i="10" s="1"/>
  <c r="BE1556" i="10" a="1"/>
  <c r="BE1556" i="10" s="1"/>
  <c r="BD1556" i="10" a="1"/>
  <c r="BD1556" i="10" s="1"/>
  <c r="BC1556" i="10" a="1"/>
  <c r="BC1556" i="10" s="1"/>
  <c r="BB1556" i="10" a="1"/>
  <c r="BB1556" i="10" s="1"/>
  <c r="BA1556" i="10" a="1"/>
  <c r="BA1556" i="10" s="1"/>
  <c r="AZ1556" i="10" a="1"/>
  <c r="AZ1556" i="10" s="1"/>
  <c r="AY1556" i="10" a="1"/>
  <c r="AY1556" i="10" s="1"/>
  <c r="AX1556" i="10" a="1"/>
  <c r="AX1556" i="10" s="1"/>
  <c r="AW1556" i="10" a="1"/>
  <c r="AW1556" i="10" s="1"/>
  <c r="AV1556" i="10" a="1"/>
  <c r="AV1556" i="10" s="1"/>
  <c r="AU1556" i="10" a="1"/>
  <c r="AU1556" i="10" s="1"/>
  <c r="AT1556" i="10" a="1"/>
  <c r="AT1556" i="10" s="1"/>
  <c r="AS1556" i="10" a="1"/>
  <c r="AS1556" i="10" s="1"/>
  <c r="AR1556" i="10" a="1"/>
  <c r="AR1556" i="10" s="1"/>
  <c r="AQ1556" i="10" a="1"/>
  <c r="AQ1556" i="10" s="1"/>
  <c r="AP1556" i="10" a="1"/>
  <c r="AP1556" i="10" s="1"/>
  <c r="AO1556" i="10" a="1"/>
  <c r="AO1556" i="10" s="1"/>
  <c r="AN1556" i="10" a="1"/>
  <c r="AN1556" i="10" s="1"/>
  <c r="AM1556" i="10" a="1"/>
  <c r="AM1556" i="10" s="1"/>
  <c r="AL1556" i="10" a="1"/>
  <c r="AL1556" i="10" s="1"/>
  <c r="Q34" i="9" s="1"/>
  <c r="AK1556" i="10" a="1"/>
  <c r="AK1556" i="10" s="1"/>
  <c r="AJ1556" i="10" a="1"/>
  <c r="AJ1556" i="10" s="1"/>
  <c r="AI1556" i="10" a="1"/>
  <c r="AI1556" i="10" s="1"/>
  <c r="AH1556" i="10" a="1"/>
  <c r="AH1556" i="10" s="1"/>
  <c r="AG1556" i="10" a="1"/>
  <c r="AG1556" i="10" s="1"/>
  <c r="AF1556" i="10" a="1"/>
  <c r="AF1556" i="10" s="1"/>
  <c r="AE1556" i="10" a="1"/>
  <c r="AE1556" i="10" s="1"/>
  <c r="AD1556" i="10" a="1"/>
  <c r="AD1556" i="10" s="1"/>
  <c r="AC1556" i="10" a="1"/>
  <c r="AC1556" i="10" s="1"/>
  <c r="AB1556" i="10" a="1"/>
  <c r="AB1556" i="10" s="1"/>
  <c r="AA1556" i="10" a="1"/>
  <c r="AA1556" i="10" s="1"/>
  <c r="Z1556" i="10" a="1"/>
  <c r="Z1556" i="10" s="1"/>
  <c r="Y1556" i="10" a="1"/>
  <c r="Y1556" i="10" s="1"/>
  <c r="X1556" i="10" a="1"/>
  <c r="X1556" i="10" s="1"/>
  <c r="W1556" i="10" a="1"/>
  <c r="W1556" i="10" s="1"/>
  <c r="V1556" i="10" a="1"/>
  <c r="V1556" i="10" s="1"/>
  <c r="U1556" i="10" a="1"/>
  <c r="U1556" i="10" s="1"/>
  <c r="T1556" i="10" a="1"/>
  <c r="T1556" i="10" s="1"/>
  <c r="S1556" i="10" a="1"/>
  <c r="S1556" i="10" s="1"/>
  <c r="R1556" i="10" a="1"/>
  <c r="R1556" i="10" s="1"/>
  <c r="Q1556" i="10" a="1"/>
  <c r="Q1556" i="10" s="1"/>
  <c r="P1556" i="10" a="1"/>
  <c r="P1556" i="10" s="1"/>
  <c r="AGN1555" i="10" a="1"/>
  <c r="AGN1555" i="10" s="1"/>
  <c r="AGM1555" i="10" a="1"/>
  <c r="AGM1555" i="10" s="1"/>
  <c r="AGL1555" i="10" a="1"/>
  <c r="AGL1555" i="10" s="1"/>
  <c r="AGK1555" i="10" a="1"/>
  <c r="AGK1555" i="10" s="1"/>
  <c r="AGJ1555" i="10" a="1"/>
  <c r="AGJ1555" i="10" s="1"/>
  <c r="AGI1555" i="10" a="1"/>
  <c r="AGI1555" i="10" s="1"/>
  <c r="AGH1555" i="10" a="1"/>
  <c r="AGH1555" i="10" s="1"/>
  <c r="AGG1555" i="10" a="1"/>
  <c r="AGG1555" i="10" s="1"/>
  <c r="AGF1555" i="10" a="1"/>
  <c r="AGF1555" i="10" s="1"/>
  <c r="AGE1555" i="10" a="1"/>
  <c r="AGE1555" i="10" s="1"/>
  <c r="AGD1555" i="10" a="1"/>
  <c r="AGD1555" i="10" s="1"/>
  <c r="AGC1555" i="10" a="1"/>
  <c r="AGC1555" i="10" s="1"/>
  <c r="AGB1555" i="10" a="1"/>
  <c r="AGB1555" i="10" s="1"/>
  <c r="AGA1555" i="10" a="1"/>
  <c r="AGA1555" i="10" s="1"/>
  <c r="AFZ1555" i="10" a="1"/>
  <c r="AFZ1555" i="10" s="1"/>
  <c r="AFY1555" i="10" a="1"/>
  <c r="AFY1555" i="10" s="1"/>
  <c r="AFX1555" i="10" a="1"/>
  <c r="AFX1555" i="10" s="1"/>
  <c r="AFW1555" i="10" a="1"/>
  <c r="AFW1555" i="10" s="1"/>
  <c r="AFV1555" i="10" a="1"/>
  <c r="AFV1555" i="10" s="1"/>
  <c r="AFU1555" i="10" a="1"/>
  <c r="AFU1555" i="10" s="1"/>
  <c r="AFT1555" i="10" a="1"/>
  <c r="AFT1555" i="10" s="1"/>
  <c r="AFS1555" i="10" a="1"/>
  <c r="AFS1555" i="10" s="1"/>
  <c r="AFR1555" i="10" a="1"/>
  <c r="AFR1555" i="10" s="1"/>
  <c r="AFQ1555" i="10" a="1"/>
  <c r="AFQ1555" i="10" s="1"/>
  <c r="AFP1555" i="10" a="1"/>
  <c r="AFP1555" i="10" s="1"/>
  <c r="AFO1555" i="10" a="1"/>
  <c r="AFO1555" i="10" s="1"/>
  <c r="AFN1555" i="10" a="1"/>
  <c r="AFN1555" i="10" s="1"/>
  <c r="AFM1555" i="10" a="1"/>
  <c r="AFM1555" i="10" s="1"/>
  <c r="AFL1555" i="10" a="1"/>
  <c r="AFL1555" i="10" s="1"/>
  <c r="AFK1555" i="10" a="1"/>
  <c r="AFK1555" i="10" s="1"/>
  <c r="AFJ1555" i="10" a="1"/>
  <c r="AFJ1555" i="10" s="1"/>
  <c r="AFI1555" i="10" a="1"/>
  <c r="AFI1555" i="10" s="1"/>
  <c r="AFH1555" i="10" a="1"/>
  <c r="AFH1555" i="10" s="1"/>
  <c r="AFG1555" i="10" a="1"/>
  <c r="AFG1555" i="10" s="1"/>
  <c r="AFF1555" i="10" a="1"/>
  <c r="AFF1555" i="10" s="1"/>
  <c r="AFE1555" i="10" a="1"/>
  <c r="AFE1555" i="10" s="1"/>
  <c r="AFD1555" i="10" a="1"/>
  <c r="AFD1555" i="10" s="1"/>
  <c r="AFC1555" i="10" a="1"/>
  <c r="AFC1555" i="10" s="1"/>
  <c r="AFB1555" i="10" a="1"/>
  <c r="AFB1555" i="10" s="1"/>
  <c r="AFA1555" i="10" a="1"/>
  <c r="AFA1555" i="10" s="1"/>
  <c r="AEZ1555" i="10" a="1"/>
  <c r="AEZ1555" i="10" s="1"/>
  <c r="AEY1555" i="10" a="1"/>
  <c r="AEY1555" i="10" s="1"/>
  <c r="AEX1555" i="10" a="1"/>
  <c r="AEX1555" i="10" s="1"/>
  <c r="AEW1555" i="10" a="1"/>
  <c r="AEW1555" i="10" s="1"/>
  <c r="AEV1555" i="10" a="1"/>
  <c r="AEV1555" i="10" s="1"/>
  <c r="AEU1555" i="10" a="1"/>
  <c r="AEU1555" i="10" s="1"/>
  <c r="AET1555" i="10" a="1"/>
  <c r="AET1555" i="10" s="1"/>
  <c r="AES1555" i="10" a="1"/>
  <c r="AES1555" i="10" s="1"/>
  <c r="AER1555" i="10" a="1"/>
  <c r="AER1555" i="10" s="1"/>
  <c r="AEQ1555" i="10" a="1"/>
  <c r="AEQ1555" i="10" s="1"/>
  <c r="AEP1555" i="10" a="1"/>
  <c r="AEP1555" i="10" s="1"/>
  <c r="AEO1555" i="10" a="1"/>
  <c r="AEO1555" i="10" s="1"/>
  <c r="AEN1555" i="10" a="1"/>
  <c r="AEN1555" i="10" s="1"/>
  <c r="AEM1555" i="10" a="1"/>
  <c r="AEM1555" i="10" s="1"/>
  <c r="AEL1555" i="10" a="1"/>
  <c r="AEL1555" i="10" s="1"/>
  <c r="AEK1555" i="10" a="1"/>
  <c r="AEK1555" i="10" s="1"/>
  <c r="AEJ1555" i="10" a="1"/>
  <c r="AEJ1555" i="10" s="1"/>
  <c r="AEI1555" i="10" a="1"/>
  <c r="AEI1555" i="10" s="1"/>
  <c r="AEH1555" i="10" a="1"/>
  <c r="AEH1555" i="10" s="1"/>
  <c r="AEG1555" i="10" a="1"/>
  <c r="AEG1555" i="10" s="1"/>
  <c r="AEF1555" i="10" a="1"/>
  <c r="AEF1555" i="10" s="1"/>
  <c r="AEE1555" i="10" a="1"/>
  <c r="AEE1555" i="10" s="1"/>
  <c r="AED1555" i="10" a="1"/>
  <c r="AED1555" i="10" s="1"/>
  <c r="AEC1555" i="10" a="1"/>
  <c r="AEC1555" i="10" s="1"/>
  <c r="AEB1555" i="10" a="1"/>
  <c r="AEB1555" i="10" s="1"/>
  <c r="AEA1555" i="10" a="1"/>
  <c r="AEA1555" i="10" s="1"/>
  <c r="ADZ1555" i="10" a="1"/>
  <c r="ADZ1555" i="10" s="1"/>
  <c r="ADY1555" i="10" a="1"/>
  <c r="ADY1555" i="10" s="1"/>
  <c r="ADX1555" i="10" a="1"/>
  <c r="ADX1555" i="10" s="1"/>
  <c r="ADW1555" i="10" a="1"/>
  <c r="ADW1555" i="10" s="1"/>
  <c r="ADV1555" i="10" a="1"/>
  <c r="ADV1555" i="10" s="1"/>
  <c r="ADU1555" i="10" a="1"/>
  <c r="ADU1555" i="10" s="1"/>
  <c r="ADT1555" i="10" a="1"/>
  <c r="ADT1555" i="10" s="1"/>
  <c r="ADS1555" i="10" a="1"/>
  <c r="ADS1555" i="10" s="1"/>
  <c r="ADR1555" i="10" a="1"/>
  <c r="ADR1555" i="10" s="1"/>
  <c r="ADQ1555" i="10" a="1"/>
  <c r="ADQ1555" i="10" s="1"/>
  <c r="ADP1555" i="10" a="1"/>
  <c r="ADP1555" i="10" s="1"/>
  <c r="ADO1555" i="10" a="1"/>
  <c r="ADO1555" i="10" s="1"/>
  <c r="ADN1555" i="10" a="1"/>
  <c r="ADN1555" i="10" s="1"/>
  <c r="ADM1555" i="10" a="1"/>
  <c r="ADM1555" i="10" s="1"/>
  <c r="ADL1555" i="10" a="1"/>
  <c r="ADL1555" i="10" s="1"/>
  <c r="ADK1555" i="10" a="1"/>
  <c r="ADK1555" i="10" s="1"/>
  <c r="ADJ1555" i="10" a="1"/>
  <c r="ADJ1555" i="10" s="1"/>
  <c r="ADI1555" i="10" a="1"/>
  <c r="ADI1555" i="10" s="1"/>
  <c r="ADH1555" i="10" a="1"/>
  <c r="ADH1555" i="10" s="1"/>
  <c r="ADG1555" i="10" a="1"/>
  <c r="ADG1555" i="10" s="1"/>
  <c r="ADF1555" i="10" a="1"/>
  <c r="ADF1555" i="10" s="1"/>
  <c r="ADE1555" i="10" a="1"/>
  <c r="ADE1555" i="10" s="1"/>
  <c r="ADD1555" i="10" a="1"/>
  <c r="ADD1555" i="10" s="1"/>
  <c r="ADC1555" i="10" a="1"/>
  <c r="ADC1555" i="10" s="1"/>
  <c r="ADB1555" i="10" a="1"/>
  <c r="ADB1555" i="10" s="1"/>
  <c r="ADA1555" i="10" a="1"/>
  <c r="ADA1555" i="10" s="1"/>
  <c r="ACZ1555" i="10" a="1"/>
  <c r="ACZ1555" i="10" s="1"/>
  <c r="ACY1555" i="10" a="1"/>
  <c r="ACY1555" i="10" s="1"/>
  <c r="ACX1555" i="10" a="1"/>
  <c r="ACX1555" i="10" s="1"/>
  <c r="ACW1555" i="10" a="1"/>
  <c r="ACW1555" i="10" s="1"/>
  <c r="ACV1555" i="10" a="1"/>
  <c r="ACV1555" i="10" s="1"/>
  <c r="ACU1555" i="10" a="1"/>
  <c r="ACU1555" i="10" s="1"/>
  <c r="ACT1555" i="10" a="1"/>
  <c r="ACT1555" i="10" s="1"/>
  <c r="ACS1555" i="10" a="1"/>
  <c r="ACS1555" i="10" s="1"/>
  <c r="ACR1555" i="10" a="1"/>
  <c r="ACR1555" i="10" s="1"/>
  <c r="ACQ1555" i="10" a="1"/>
  <c r="ACQ1555" i="10" s="1"/>
  <c r="ACP1555" i="10" a="1"/>
  <c r="ACP1555" i="10" s="1"/>
  <c r="ACO1555" i="10" a="1"/>
  <c r="ACO1555" i="10" s="1"/>
  <c r="ACN1555" i="10" a="1"/>
  <c r="ACN1555" i="10" s="1"/>
  <c r="ACM1555" i="10" a="1"/>
  <c r="ACM1555" i="10" s="1"/>
  <c r="ACL1555" i="10" a="1"/>
  <c r="ACL1555" i="10" s="1"/>
  <c r="ACK1555" i="10" a="1"/>
  <c r="ACK1555" i="10" s="1"/>
  <c r="ACJ1555" i="10" a="1"/>
  <c r="ACJ1555" i="10" s="1"/>
  <c r="ACI1555" i="10" a="1"/>
  <c r="ACI1555" i="10" s="1"/>
  <c r="ACH1555" i="10" a="1"/>
  <c r="ACH1555" i="10" s="1"/>
  <c r="ACG1555" i="10" a="1"/>
  <c r="ACG1555" i="10" s="1"/>
  <c r="ACF1555" i="10" a="1"/>
  <c r="ACF1555" i="10" s="1"/>
  <c r="ACE1555" i="10" a="1"/>
  <c r="ACE1555" i="10" s="1"/>
  <c r="ACD1555" i="10" a="1"/>
  <c r="ACD1555" i="10" s="1"/>
  <c r="ACC1555" i="10" a="1"/>
  <c r="ACC1555" i="10" s="1"/>
  <c r="ACB1555" i="10" a="1"/>
  <c r="ACB1555" i="10" s="1"/>
  <c r="ACA1555" i="10" a="1"/>
  <c r="ACA1555" i="10" s="1"/>
  <c r="ABZ1555" i="10" a="1"/>
  <c r="ABZ1555" i="10" s="1"/>
  <c r="ABY1555" i="10" a="1"/>
  <c r="ABY1555" i="10" s="1"/>
  <c r="ABX1555" i="10" a="1"/>
  <c r="ABX1555" i="10" s="1"/>
  <c r="ABW1555" i="10" a="1"/>
  <c r="ABW1555" i="10" s="1"/>
  <c r="ABV1555" i="10" a="1"/>
  <c r="ABV1555" i="10" s="1"/>
  <c r="ABU1555" i="10" a="1"/>
  <c r="ABU1555" i="10" s="1"/>
  <c r="ABT1555" i="10" a="1"/>
  <c r="ABT1555" i="10" s="1"/>
  <c r="ABS1555" i="10" a="1"/>
  <c r="ABS1555" i="10" s="1"/>
  <c r="ABR1555" i="10" a="1"/>
  <c r="ABR1555" i="10" s="1"/>
  <c r="ABQ1555" i="10" a="1"/>
  <c r="ABQ1555" i="10" s="1"/>
  <c r="ABP1555" i="10" a="1"/>
  <c r="ABP1555" i="10" s="1"/>
  <c r="ABO1555" i="10" a="1"/>
  <c r="ABO1555" i="10" s="1"/>
  <c r="ABN1555" i="10" a="1"/>
  <c r="ABN1555" i="10" s="1"/>
  <c r="ABM1555" i="10" a="1"/>
  <c r="ABM1555" i="10" s="1"/>
  <c r="ABL1555" i="10" a="1"/>
  <c r="ABL1555" i="10" s="1"/>
  <c r="ABK1555" i="10" a="1"/>
  <c r="ABK1555" i="10" s="1"/>
  <c r="ABJ1555" i="10" a="1"/>
  <c r="ABJ1555" i="10" s="1"/>
  <c r="ABI1555" i="10" a="1"/>
  <c r="ABI1555" i="10" s="1"/>
  <c r="ABH1555" i="10" a="1"/>
  <c r="ABH1555" i="10" s="1"/>
  <c r="ABG1555" i="10" a="1"/>
  <c r="ABG1555" i="10" s="1"/>
  <c r="ABF1555" i="10" a="1"/>
  <c r="ABF1555" i="10" s="1"/>
  <c r="ABE1555" i="10" a="1"/>
  <c r="ABE1555" i="10" s="1"/>
  <c r="ABD1555" i="10" a="1"/>
  <c r="ABD1555" i="10" s="1"/>
  <c r="ABC1555" i="10" a="1"/>
  <c r="ABC1555" i="10" s="1"/>
  <c r="ABB1555" i="10" a="1"/>
  <c r="ABB1555" i="10" s="1"/>
  <c r="ABA1555" i="10" a="1"/>
  <c r="ABA1555" i="10" s="1"/>
  <c r="AAZ1555" i="10" a="1"/>
  <c r="AAZ1555" i="10" s="1"/>
  <c r="AAY1555" i="10" a="1"/>
  <c r="AAY1555" i="10" s="1"/>
  <c r="AAX1555" i="10" a="1"/>
  <c r="AAX1555" i="10" s="1"/>
  <c r="AAW1555" i="10" a="1"/>
  <c r="AAW1555" i="10" s="1"/>
  <c r="AAV1555" i="10" a="1"/>
  <c r="AAV1555" i="10" s="1"/>
  <c r="AAU1555" i="10" a="1"/>
  <c r="AAU1555" i="10" s="1"/>
  <c r="AAT1555" i="10" a="1"/>
  <c r="AAT1555" i="10" s="1"/>
  <c r="AAS1555" i="10" a="1"/>
  <c r="AAS1555" i="10" s="1"/>
  <c r="AAR1555" i="10" a="1"/>
  <c r="AAR1555" i="10" s="1"/>
  <c r="AAQ1555" i="10" a="1"/>
  <c r="AAQ1555" i="10" s="1"/>
  <c r="AAP1555" i="10" a="1"/>
  <c r="AAP1555" i="10" s="1"/>
  <c r="AAO1555" i="10" a="1"/>
  <c r="AAO1555" i="10" s="1"/>
  <c r="AAN1555" i="10" a="1"/>
  <c r="AAN1555" i="10" s="1"/>
  <c r="AAM1555" i="10" a="1"/>
  <c r="AAM1555" i="10" s="1"/>
  <c r="AAL1555" i="10" a="1"/>
  <c r="AAL1555" i="10" s="1"/>
  <c r="AAK1555" i="10" a="1"/>
  <c r="AAK1555" i="10" s="1"/>
  <c r="AAJ1555" i="10" a="1"/>
  <c r="AAJ1555" i="10" s="1"/>
  <c r="AAI1555" i="10" a="1"/>
  <c r="AAI1555" i="10" s="1"/>
  <c r="AAH1555" i="10" a="1"/>
  <c r="AAH1555" i="10" s="1"/>
  <c r="AAG1555" i="10" a="1"/>
  <c r="AAG1555" i="10" s="1"/>
  <c r="AAF1555" i="10" a="1"/>
  <c r="AAF1555" i="10" s="1"/>
  <c r="AAE1555" i="10" a="1"/>
  <c r="AAE1555" i="10" s="1"/>
  <c r="AAD1555" i="10" a="1"/>
  <c r="AAD1555" i="10" s="1"/>
  <c r="AAC1555" i="10" a="1"/>
  <c r="AAC1555" i="10" s="1"/>
  <c r="AAB1555" i="10" a="1"/>
  <c r="AAB1555" i="10" s="1"/>
  <c r="AAA1555" i="10" a="1"/>
  <c r="AAA1555" i="10" s="1"/>
  <c r="ZZ1555" i="10" a="1"/>
  <c r="ZZ1555" i="10" s="1"/>
  <c r="ZY1555" i="10" a="1"/>
  <c r="ZY1555" i="10" s="1"/>
  <c r="ZX1555" i="10" a="1"/>
  <c r="ZX1555" i="10" s="1"/>
  <c r="ZW1555" i="10" a="1"/>
  <c r="ZW1555" i="10" s="1"/>
  <c r="ZV1555" i="10" a="1"/>
  <c r="ZV1555" i="10" s="1"/>
  <c r="ZU1555" i="10" a="1"/>
  <c r="ZU1555" i="10" s="1"/>
  <c r="ZT1555" i="10" a="1"/>
  <c r="ZT1555" i="10" s="1"/>
  <c r="ZS1555" i="10" a="1"/>
  <c r="ZS1555" i="10" s="1"/>
  <c r="ZR1555" i="10" a="1"/>
  <c r="ZR1555" i="10" s="1"/>
  <c r="ZQ1555" i="10" a="1"/>
  <c r="ZQ1555" i="10" s="1"/>
  <c r="ZP1555" i="10" a="1"/>
  <c r="ZP1555" i="10" s="1"/>
  <c r="ZO1555" i="10" a="1"/>
  <c r="ZO1555" i="10" s="1"/>
  <c r="ZN1555" i="10" a="1"/>
  <c r="ZN1555" i="10" s="1"/>
  <c r="ZM1555" i="10" a="1"/>
  <c r="ZM1555" i="10" s="1"/>
  <c r="ZL1555" i="10" a="1"/>
  <c r="ZL1555" i="10" s="1"/>
  <c r="ZK1555" i="10" a="1"/>
  <c r="ZK1555" i="10" s="1"/>
  <c r="ZJ1555" i="10" a="1"/>
  <c r="ZJ1555" i="10" s="1"/>
  <c r="ZI1555" i="10" a="1"/>
  <c r="ZI1555" i="10" s="1"/>
  <c r="ZH1555" i="10" a="1"/>
  <c r="ZH1555" i="10" s="1"/>
  <c r="ZG1555" i="10" a="1"/>
  <c r="ZG1555" i="10" s="1"/>
  <c r="ZF1555" i="10" a="1"/>
  <c r="ZF1555" i="10" s="1"/>
  <c r="ZE1555" i="10" a="1"/>
  <c r="ZE1555" i="10" s="1"/>
  <c r="ZD1555" i="10" a="1"/>
  <c r="ZD1555" i="10" s="1"/>
  <c r="ZC1555" i="10" a="1"/>
  <c r="ZC1555" i="10" s="1"/>
  <c r="ZB1555" i="10" a="1"/>
  <c r="ZB1555" i="10" s="1"/>
  <c r="ZA1555" i="10" a="1"/>
  <c r="ZA1555" i="10" s="1"/>
  <c r="YZ1555" i="10" a="1"/>
  <c r="YZ1555" i="10" s="1"/>
  <c r="YY1555" i="10" a="1"/>
  <c r="YY1555" i="10" s="1"/>
  <c r="YX1555" i="10" a="1"/>
  <c r="YX1555" i="10" s="1"/>
  <c r="YW1555" i="10" a="1"/>
  <c r="YW1555" i="10" s="1"/>
  <c r="YV1555" i="10" a="1"/>
  <c r="YV1555" i="10" s="1"/>
  <c r="YU1555" i="10" a="1"/>
  <c r="YU1555" i="10" s="1"/>
  <c r="YT1555" i="10" a="1"/>
  <c r="YT1555" i="10" s="1"/>
  <c r="YS1555" i="10" a="1"/>
  <c r="YS1555" i="10" s="1"/>
  <c r="YR1555" i="10" a="1"/>
  <c r="YR1555" i="10" s="1"/>
  <c r="YQ1555" i="10" a="1"/>
  <c r="YQ1555" i="10" s="1"/>
  <c r="YP1555" i="10" a="1"/>
  <c r="YP1555" i="10" s="1"/>
  <c r="YO1555" i="10" a="1"/>
  <c r="YO1555" i="10" s="1"/>
  <c r="YN1555" i="10" a="1"/>
  <c r="YN1555" i="10" s="1"/>
  <c r="YM1555" i="10" a="1"/>
  <c r="YM1555" i="10" s="1"/>
  <c r="YL1555" i="10" a="1"/>
  <c r="YL1555" i="10" s="1"/>
  <c r="YK1555" i="10" a="1"/>
  <c r="YK1555" i="10" s="1"/>
  <c r="YJ1555" i="10" a="1"/>
  <c r="YJ1555" i="10" s="1"/>
  <c r="YI1555" i="10" a="1"/>
  <c r="YI1555" i="10" s="1"/>
  <c r="YH1555" i="10" a="1"/>
  <c r="YH1555" i="10" s="1"/>
  <c r="YG1555" i="10" a="1"/>
  <c r="YG1555" i="10" s="1"/>
  <c r="YF1555" i="10" a="1"/>
  <c r="YF1555" i="10" s="1"/>
  <c r="YE1555" i="10" a="1"/>
  <c r="YE1555" i="10" s="1"/>
  <c r="YD1555" i="10" a="1"/>
  <c r="YD1555" i="10" s="1"/>
  <c r="YC1555" i="10" a="1"/>
  <c r="YC1555" i="10" s="1"/>
  <c r="YB1555" i="10" a="1"/>
  <c r="YB1555" i="10" s="1"/>
  <c r="YA1555" i="10" a="1"/>
  <c r="YA1555" i="10" s="1"/>
  <c r="XZ1555" i="10" a="1"/>
  <c r="XZ1555" i="10" s="1"/>
  <c r="XY1555" i="10" a="1"/>
  <c r="XY1555" i="10" s="1"/>
  <c r="XX1555" i="10" a="1"/>
  <c r="XX1555" i="10" s="1"/>
  <c r="XW1555" i="10" a="1"/>
  <c r="XW1555" i="10" s="1"/>
  <c r="XV1555" i="10" a="1"/>
  <c r="XV1555" i="10" s="1"/>
  <c r="XU1555" i="10" a="1"/>
  <c r="XU1555" i="10" s="1"/>
  <c r="XT1555" i="10" a="1"/>
  <c r="XT1555" i="10" s="1"/>
  <c r="XS1555" i="10" a="1"/>
  <c r="XS1555" i="10" s="1"/>
  <c r="XR1555" i="10" a="1"/>
  <c r="XR1555" i="10" s="1"/>
  <c r="XQ1555" i="10" a="1"/>
  <c r="XQ1555" i="10" s="1"/>
  <c r="XP1555" i="10" a="1"/>
  <c r="XP1555" i="10" s="1"/>
  <c r="XO1555" i="10" a="1"/>
  <c r="XO1555" i="10" s="1"/>
  <c r="XN1555" i="10" a="1"/>
  <c r="XN1555" i="10" s="1"/>
  <c r="XM1555" i="10" a="1"/>
  <c r="XM1555" i="10" s="1"/>
  <c r="XL1555" i="10" a="1"/>
  <c r="XL1555" i="10" s="1"/>
  <c r="XK1555" i="10" a="1"/>
  <c r="XK1555" i="10" s="1"/>
  <c r="XJ1555" i="10" a="1"/>
  <c r="XJ1555" i="10" s="1"/>
  <c r="XI1555" i="10" a="1"/>
  <c r="XI1555" i="10" s="1"/>
  <c r="XH1555" i="10" a="1"/>
  <c r="XH1555" i="10" s="1"/>
  <c r="XG1555" i="10" a="1"/>
  <c r="XG1555" i="10" s="1"/>
  <c r="XF1555" i="10" a="1"/>
  <c r="XF1555" i="10" s="1"/>
  <c r="XE1555" i="10" a="1"/>
  <c r="XE1555" i="10" s="1"/>
  <c r="XD1555" i="10" a="1"/>
  <c r="XD1555" i="10" s="1"/>
  <c r="XC1555" i="10" a="1"/>
  <c r="XC1555" i="10" s="1"/>
  <c r="XB1555" i="10" a="1"/>
  <c r="XB1555" i="10" s="1"/>
  <c r="XA1555" i="10" a="1"/>
  <c r="XA1555" i="10" s="1"/>
  <c r="WZ1555" i="10" a="1"/>
  <c r="WZ1555" i="10" s="1"/>
  <c r="WY1555" i="10" a="1"/>
  <c r="WY1555" i="10" s="1"/>
  <c r="WX1555" i="10" a="1"/>
  <c r="WX1555" i="10" s="1"/>
  <c r="WW1555" i="10" a="1"/>
  <c r="WW1555" i="10" s="1"/>
  <c r="WV1555" i="10" a="1"/>
  <c r="WV1555" i="10" s="1"/>
  <c r="WU1555" i="10" a="1"/>
  <c r="WU1555" i="10" s="1"/>
  <c r="WT1555" i="10" a="1"/>
  <c r="WT1555" i="10" s="1"/>
  <c r="WS1555" i="10" a="1"/>
  <c r="WS1555" i="10" s="1"/>
  <c r="WR1555" i="10" a="1"/>
  <c r="WR1555" i="10" s="1"/>
  <c r="WQ1555" i="10" a="1"/>
  <c r="WQ1555" i="10" s="1"/>
  <c r="WP1555" i="10" a="1"/>
  <c r="WP1555" i="10" s="1"/>
  <c r="WO1555" i="10" a="1"/>
  <c r="WO1555" i="10" s="1"/>
  <c r="WN1555" i="10" a="1"/>
  <c r="WN1555" i="10" s="1"/>
  <c r="WM1555" i="10" a="1"/>
  <c r="WM1555" i="10" s="1"/>
  <c r="WL1555" i="10" a="1"/>
  <c r="WL1555" i="10" s="1"/>
  <c r="WK1555" i="10" a="1"/>
  <c r="WK1555" i="10" s="1"/>
  <c r="WJ1555" i="10" a="1"/>
  <c r="WJ1555" i="10" s="1"/>
  <c r="WI1555" i="10" a="1"/>
  <c r="WI1555" i="10" s="1"/>
  <c r="WH1555" i="10" a="1"/>
  <c r="WH1555" i="10" s="1"/>
  <c r="WG1555" i="10" a="1"/>
  <c r="WG1555" i="10" s="1"/>
  <c r="WF1555" i="10" a="1"/>
  <c r="WF1555" i="10" s="1"/>
  <c r="WE1555" i="10" a="1"/>
  <c r="WE1555" i="10" s="1"/>
  <c r="WD1555" i="10" a="1"/>
  <c r="WD1555" i="10" s="1"/>
  <c r="WC1555" i="10" a="1"/>
  <c r="WC1555" i="10" s="1"/>
  <c r="WB1555" i="10" a="1"/>
  <c r="WB1555" i="10" s="1"/>
  <c r="WA1555" i="10" a="1"/>
  <c r="WA1555" i="10" s="1"/>
  <c r="VZ1555" i="10" a="1"/>
  <c r="VZ1555" i="10" s="1"/>
  <c r="VY1555" i="10" a="1"/>
  <c r="VY1555" i="10" s="1"/>
  <c r="VX1555" i="10" a="1"/>
  <c r="VX1555" i="10" s="1"/>
  <c r="VW1555" i="10" a="1"/>
  <c r="VW1555" i="10" s="1"/>
  <c r="VV1555" i="10" a="1"/>
  <c r="VV1555" i="10" s="1"/>
  <c r="VU1555" i="10" a="1"/>
  <c r="VU1555" i="10" s="1"/>
  <c r="VT1555" i="10" a="1"/>
  <c r="VT1555" i="10" s="1"/>
  <c r="VS1555" i="10" a="1"/>
  <c r="VS1555" i="10" s="1"/>
  <c r="VR1555" i="10" a="1"/>
  <c r="VR1555" i="10" s="1"/>
  <c r="VQ1555" i="10" a="1"/>
  <c r="VQ1555" i="10" s="1"/>
  <c r="VP1555" i="10" a="1"/>
  <c r="VP1555" i="10" s="1"/>
  <c r="VO1555" i="10" a="1"/>
  <c r="VO1555" i="10" s="1"/>
  <c r="VN1555" i="10" a="1"/>
  <c r="VN1555" i="10" s="1"/>
  <c r="VM1555" i="10" a="1"/>
  <c r="VM1555" i="10" s="1"/>
  <c r="VL1555" i="10" a="1"/>
  <c r="VL1555" i="10" s="1"/>
  <c r="VK1555" i="10" a="1"/>
  <c r="VK1555" i="10" s="1"/>
  <c r="VJ1555" i="10" a="1"/>
  <c r="VJ1555" i="10" s="1"/>
  <c r="VI1555" i="10" a="1"/>
  <c r="VI1555" i="10" s="1"/>
  <c r="VH1555" i="10" a="1"/>
  <c r="VH1555" i="10" s="1"/>
  <c r="VG1555" i="10" a="1"/>
  <c r="VG1555" i="10" s="1"/>
  <c r="VF1555" i="10" a="1"/>
  <c r="VF1555" i="10" s="1"/>
  <c r="VE1555" i="10" a="1"/>
  <c r="VE1555" i="10" s="1"/>
  <c r="VD1555" i="10" a="1"/>
  <c r="VD1555" i="10" s="1"/>
  <c r="VC1555" i="10" a="1"/>
  <c r="VC1555" i="10" s="1"/>
  <c r="VB1555" i="10" a="1"/>
  <c r="VB1555" i="10" s="1"/>
  <c r="VA1555" i="10" a="1"/>
  <c r="VA1555" i="10" s="1"/>
  <c r="UZ1555" i="10" a="1"/>
  <c r="UZ1555" i="10" s="1"/>
  <c r="UY1555" i="10" a="1"/>
  <c r="UY1555" i="10" s="1"/>
  <c r="UX1555" i="10" a="1"/>
  <c r="UX1555" i="10" s="1"/>
  <c r="UW1555" i="10" a="1"/>
  <c r="UW1555" i="10" s="1"/>
  <c r="UV1555" i="10" a="1"/>
  <c r="UV1555" i="10" s="1"/>
  <c r="UU1555" i="10" a="1"/>
  <c r="UU1555" i="10" s="1"/>
  <c r="UT1555" i="10" a="1"/>
  <c r="UT1555" i="10" s="1"/>
  <c r="US1555" i="10" a="1"/>
  <c r="US1555" i="10" s="1"/>
  <c r="UR1555" i="10" a="1"/>
  <c r="UR1555" i="10" s="1"/>
  <c r="UQ1555" i="10" a="1"/>
  <c r="UQ1555" i="10" s="1"/>
  <c r="UP1555" i="10" a="1"/>
  <c r="UP1555" i="10" s="1"/>
  <c r="UO1555" i="10" a="1"/>
  <c r="UO1555" i="10" s="1"/>
  <c r="UN1555" i="10" a="1"/>
  <c r="UN1555" i="10" s="1"/>
  <c r="UM1555" i="10" a="1"/>
  <c r="UM1555" i="10" s="1"/>
  <c r="UL1555" i="10" a="1"/>
  <c r="UL1555" i="10" s="1"/>
  <c r="UK1555" i="10" a="1"/>
  <c r="UK1555" i="10" s="1"/>
  <c r="UJ1555" i="10" a="1"/>
  <c r="UJ1555" i="10" s="1"/>
  <c r="UI1555" i="10" a="1"/>
  <c r="UI1555" i="10" s="1"/>
  <c r="UH1555" i="10" a="1"/>
  <c r="UH1555" i="10" s="1"/>
  <c r="UG1555" i="10" a="1"/>
  <c r="UG1555" i="10" s="1"/>
  <c r="UF1555" i="10" a="1"/>
  <c r="UF1555" i="10" s="1"/>
  <c r="UE1555" i="10" a="1"/>
  <c r="UE1555" i="10" s="1"/>
  <c r="UD1555" i="10" a="1"/>
  <c r="UD1555" i="10" s="1"/>
  <c r="UC1555" i="10" a="1"/>
  <c r="UC1555" i="10" s="1"/>
  <c r="UB1555" i="10" a="1"/>
  <c r="UB1555" i="10" s="1"/>
  <c r="UA1555" i="10" a="1"/>
  <c r="UA1555" i="10" s="1"/>
  <c r="TZ1555" i="10" a="1"/>
  <c r="TZ1555" i="10" s="1"/>
  <c r="TY1555" i="10" a="1"/>
  <c r="TY1555" i="10" s="1"/>
  <c r="TX1555" i="10" a="1"/>
  <c r="TX1555" i="10" s="1"/>
  <c r="TW1555" i="10" a="1"/>
  <c r="TW1555" i="10" s="1"/>
  <c r="TV1555" i="10" a="1"/>
  <c r="TV1555" i="10" s="1"/>
  <c r="TU1555" i="10" a="1"/>
  <c r="TU1555" i="10" s="1"/>
  <c r="TT1555" i="10" a="1"/>
  <c r="TT1555" i="10" s="1"/>
  <c r="TS1555" i="10" a="1"/>
  <c r="TS1555" i="10" s="1"/>
  <c r="TR1555" i="10" a="1"/>
  <c r="TR1555" i="10" s="1"/>
  <c r="TQ1555" i="10" a="1"/>
  <c r="TQ1555" i="10" s="1"/>
  <c r="TP1555" i="10" a="1"/>
  <c r="TP1555" i="10" s="1"/>
  <c r="TO1555" i="10" a="1"/>
  <c r="TO1555" i="10" s="1"/>
  <c r="TN1555" i="10" a="1"/>
  <c r="TN1555" i="10" s="1"/>
  <c r="TM1555" i="10" a="1"/>
  <c r="TM1555" i="10" s="1"/>
  <c r="TL1555" i="10" a="1"/>
  <c r="TL1555" i="10" s="1"/>
  <c r="TK1555" i="10" a="1"/>
  <c r="TK1555" i="10" s="1"/>
  <c r="TJ1555" i="10" a="1"/>
  <c r="TJ1555" i="10" s="1"/>
  <c r="TI1555" i="10" a="1"/>
  <c r="TI1555" i="10" s="1"/>
  <c r="TH1555" i="10" a="1"/>
  <c r="TH1555" i="10" s="1"/>
  <c r="TG1555" i="10" a="1"/>
  <c r="TG1555" i="10" s="1"/>
  <c r="TF1555" i="10" a="1"/>
  <c r="TF1555" i="10" s="1"/>
  <c r="TE1555" i="10" a="1"/>
  <c r="TE1555" i="10" s="1"/>
  <c r="TD1555" i="10" a="1"/>
  <c r="TD1555" i="10" s="1"/>
  <c r="TC1555" i="10" a="1"/>
  <c r="TC1555" i="10" s="1"/>
  <c r="TB1555" i="10" a="1"/>
  <c r="TB1555" i="10" s="1"/>
  <c r="TA1555" i="10" a="1"/>
  <c r="TA1555" i="10" s="1"/>
  <c r="SZ1555" i="10" a="1"/>
  <c r="SZ1555" i="10" s="1"/>
  <c r="SY1555" i="10" a="1"/>
  <c r="SY1555" i="10" s="1"/>
  <c r="SX1555" i="10" a="1"/>
  <c r="SX1555" i="10" s="1"/>
  <c r="SW1555" i="10" a="1"/>
  <c r="SW1555" i="10" s="1"/>
  <c r="SV1555" i="10" a="1"/>
  <c r="SV1555" i="10" s="1"/>
  <c r="SU1555" i="10" a="1"/>
  <c r="SU1555" i="10" s="1"/>
  <c r="ST1555" i="10" a="1"/>
  <c r="ST1555" i="10" s="1"/>
  <c r="SS1555" i="10" a="1"/>
  <c r="SS1555" i="10" s="1"/>
  <c r="SR1555" i="10" a="1"/>
  <c r="SR1555" i="10" s="1"/>
  <c r="SQ1555" i="10" a="1"/>
  <c r="SQ1555" i="10" s="1"/>
  <c r="SP1555" i="10" a="1"/>
  <c r="SP1555" i="10" s="1"/>
  <c r="SO1555" i="10" a="1"/>
  <c r="SO1555" i="10" s="1"/>
  <c r="SN1555" i="10" a="1"/>
  <c r="SN1555" i="10" s="1"/>
  <c r="SM1555" i="10" a="1"/>
  <c r="SM1555" i="10" s="1"/>
  <c r="SL1555" i="10" a="1"/>
  <c r="SL1555" i="10" s="1"/>
  <c r="SK1555" i="10" a="1"/>
  <c r="SK1555" i="10" s="1"/>
  <c r="SJ1555" i="10" a="1"/>
  <c r="SJ1555" i="10" s="1"/>
  <c r="SI1555" i="10" a="1"/>
  <c r="SI1555" i="10" s="1"/>
  <c r="SH1555" i="10" a="1"/>
  <c r="SH1555" i="10" s="1"/>
  <c r="SG1555" i="10" a="1"/>
  <c r="SG1555" i="10" s="1"/>
  <c r="SF1555" i="10" a="1"/>
  <c r="SF1555" i="10" s="1"/>
  <c r="SE1555" i="10" a="1"/>
  <c r="SE1555" i="10" s="1"/>
  <c r="SD1555" i="10" a="1"/>
  <c r="SD1555" i="10" s="1"/>
  <c r="SC1555" i="10" a="1"/>
  <c r="SC1555" i="10" s="1"/>
  <c r="SB1555" i="10" a="1"/>
  <c r="SB1555" i="10" s="1"/>
  <c r="SA1555" i="10" a="1"/>
  <c r="SA1555" i="10" s="1"/>
  <c r="RZ1555" i="10" a="1"/>
  <c r="RZ1555" i="10" s="1"/>
  <c r="RY1555" i="10" a="1"/>
  <c r="RY1555" i="10" s="1"/>
  <c r="RX1555" i="10" a="1"/>
  <c r="RX1555" i="10" s="1"/>
  <c r="RW1555" i="10" a="1"/>
  <c r="RW1555" i="10" s="1"/>
  <c r="RV1555" i="10" a="1"/>
  <c r="RV1555" i="10" s="1"/>
  <c r="RU1555" i="10" a="1"/>
  <c r="RU1555" i="10" s="1"/>
  <c r="RT1555" i="10" a="1"/>
  <c r="RT1555" i="10" s="1"/>
  <c r="RS1555" i="10" a="1"/>
  <c r="RS1555" i="10" s="1"/>
  <c r="RR1555" i="10" a="1"/>
  <c r="RR1555" i="10" s="1"/>
  <c r="RQ1555" i="10" a="1"/>
  <c r="RQ1555" i="10" s="1"/>
  <c r="RP1555" i="10" a="1"/>
  <c r="RP1555" i="10" s="1"/>
  <c r="RO1555" i="10" a="1"/>
  <c r="RO1555" i="10" s="1"/>
  <c r="RN1555" i="10" a="1"/>
  <c r="RN1555" i="10" s="1"/>
  <c r="RM1555" i="10" a="1"/>
  <c r="RM1555" i="10" s="1"/>
  <c r="RL1555" i="10" a="1"/>
  <c r="RL1555" i="10" s="1"/>
  <c r="RK1555" i="10" a="1"/>
  <c r="RK1555" i="10" s="1"/>
  <c r="RJ1555" i="10" a="1"/>
  <c r="RJ1555" i="10" s="1"/>
  <c r="RI1555" i="10" a="1"/>
  <c r="RI1555" i="10" s="1"/>
  <c r="RH1555" i="10" a="1"/>
  <c r="RH1555" i="10" s="1"/>
  <c r="RG1555" i="10" a="1"/>
  <c r="RG1555" i="10" s="1"/>
  <c r="RF1555" i="10" a="1"/>
  <c r="RF1555" i="10" s="1"/>
  <c r="RE1555" i="10" a="1"/>
  <c r="RE1555" i="10" s="1"/>
  <c r="RD1555" i="10" a="1"/>
  <c r="RD1555" i="10" s="1"/>
  <c r="RC1555" i="10" a="1"/>
  <c r="RC1555" i="10" s="1"/>
  <c r="RB1555" i="10" a="1"/>
  <c r="RB1555" i="10" s="1"/>
  <c r="RA1555" i="10" a="1"/>
  <c r="RA1555" i="10" s="1"/>
  <c r="QZ1555" i="10" a="1"/>
  <c r="QZ1555" i="10" s="1"/>
  <c r="QY1555" i="10" a="1"/>
  <c r="QY1555" i="10" s="1"/>
  <c r="QX1555" i="10" a="1"/>
  <c r="QX1555" i="10" s="1"/>
  <c r="QW1555" i="10" a="1"/>
  <c r="QW1555" i="10" s="1"/>
  <c r="QV1555" i="10" a="1"/>
  <c r="QV1555" i="10" s="1"/>
  <c r="QU1555" i="10" a="1"/>
  <c r="QU1555" i="10" s="1"/>
  <c r="QT1555" i="10" a="1"/>
  <c r="QT1555" i="10" s="1"/>
  <c r="QS1555" i="10" a="1"/>
  <c r="QS1555" i="10" s="1"/>
  <c r="QR1555" i="10" a="1"/>
  <c r="QR1555" i="10" s="1"/>
  <c r="QQ1555" i="10" a="1"/>
  <c r="QQ1555" i="10" s="1"/>
  <c r="QP1555" i="10" a="1"/>
  <c r="QP1555" i="10" s="1"/>
  <c r="QO1555" i="10" a="1"/>
  <c r="QO1555" i="10" s="1"/>
  <c r="QN1555" i="10" a="1"/>
  <c r="QN1555" i="10" s="1"/>
  <c r="QM1555" i="10" a="1"/>
  <c r="QM1555" i="10" s="1"/>
  <c r="QL1555" i="10" a="1"/>
  <c r="QL1555" i="10" s="1"/>
  <c r="QK1555" i="10" a="1"/>
  <c r="QK1555" i="10" s="1"/>
  <c r="QJ1555" i="10" a="1"/>
  <c r="QJ1555" i="10" s="1"/>
  <c r="QI1555" i="10" a="1"/>
  <c r="QI1555" i="10" s="1"/>
  <c r="QH1555" i="10" a="1"/>
  <c r="QH1555" i="10" s="1"/>
  <c r="QG1555" i="10" a="1"/>
  <c r="QG1555" i="10" s="1"/>
  <c r="QF1555" i="10" a="1"/>
  <c r="QF1555" i="10" s="1"/>
  <c r="QE1555" i="10" a="1"/>
  <c r="QE1555" i="10" s="1"/>
  <c r="QD1555" i="10" a="1"/>
  <c r="QD1555" i="10" s="1"/>
  <c r="QC1555" i="10" a="1"/>
  <c r="QC1555" i="10" s="1"/>
  <c r="QB1555" i="10" a="1"/>
  <c r="QB1555" i="10" s="1"/>
  <c r="QA1555" i="10" a="1"/>
  <c r="QA1555" i="10" s="1"/>
  <c r="PZ1555" i="10" a="1"/>
  <c r="PZ1555" i="10" s="1"/>
  <c r="PY1555" i="10" a="1"/>
  <c r="PY1555" i="10" s="1"/>
  <c r="PX1555" i="10" a="1"/>
  <c r="PX1555" i="10" s="1"/>
  <c r="PW1555" i="10" a="1"/>
  <c r="PW1555" i="10" s="1"/>
  <c r="PV1555" i="10" a="1"/>
  <c r="PV1555" i="10" s="1"/>
  <c r="PU1555" i="10" a="1"/>
  <c r="PU1555" i="10" s="1"/>
  <c r="PT1555" i="10" a="1"/>
  <c r="PT1555" i="10" s="1"/>
  <c r="PS1555" i="10" a="1"/>
  <c r="PS1555" i="10" s="1"/>
  <c r="PR1555" i="10" a="1"/>
  <c r="PR1555" i="10" s="1"/>
  <c r="PQ1555" i="10" a="1"/>
  <c r="PQ1555" i="10" s="1"/>
  <c r="PP1555" i="10" a="1"/>
  <c r="PP1555" i="10" s="1"/>
  <c r="PO1555" i="10" a="1"/>
  <c r="PO1555" i="10" s="1"/>
  <c r="PN1555" i="10" a="1"/>
  <c r="PN1555" i="10" s="1"/>
  <c r="PM1555" i="10" a="1"/>
  <c r="PM1555" i="10" s="1"/>
  <c r="PL1555" i="10" a="1"/>
  <c r="PL1555" i="10" s="1"/>
  <c r="PK1555" i="10" a="1"/>
  <c r="PK1555" i="10" s="1"/>
  <c r="PJ1555" i="10" a="1"/>
  <c r="PJ1555" i="10" s="1"/>
  <c r="PI1555" i="10" a="1"/>
  <c r="PI1555" i="10" s="1"/>
  <c r="PH1555" i="10" a="1"/>
  <c r="PH1555" i="10" s="1"/>
  <c r="PG1555" i="10" a="1"/>
  <c r="PG1555" i="10" s="1"/>
  <c r="PF1555" i="10" a="1"/>
  <c r="PF1555" i="10" s="1"/>
  <c r="PE1555" i="10" a="1"/>
  <c r="PE1555" i="10" s="1"/>
  <c r="PD1555" i="10" a="1"/>
  <c r="PD1555" i="10" s="1"/>
  <c r="PC1555" i="10" a="1"/>
  <c r="PC1555" i="10" s="1"/>
  <c r="PB1555" i="10" a="1"/>
  <c r="PB1555" i="10" s="1"/>
  <c r="PA1555" i="10" a="1"/>
  <c r="PA1555" i="10" s="1"/>
  <c r="OZ1555" i="10" a="1"/>
  <c r="OZ1555" i="10" s="1"/>
  <c r="OY1555" i="10" a="1"/>
  <c r="OY1555" i="10" s="1"/>
  <c r="OX1555" i="10" a="1"/>
  <c r="OX1555" i="10" s="1"/>
  <c r="OW1555" i="10" a="1"/>
  <c r="OW1555" i="10" s="1"/>
  <c r="OV1555" i="10" a="1"/>
  <c r="OV1555" i="10" s="1"/>
  <c r="OU1555" i="10" a="1"/>
  <c r="OU1555" i="10" s="1"/>
  <c r="OT1555" i="10" a="1"/>
  <c r="OT1555" i="10" s="1"/>
  <c r="OS1555" i="10" a="1"/>
  <c r="OS1555" i="10" s="1"/>
  <c r="OR1555" i="10" a="1"/>
  <c r="OR1555" i="10" s="1"/>
  <c r="OQ1555" i="10" a="1"/>
  <c r="OQ1555" i="10" s="1"/>
  <c r="OP1555" i="10" a="1"/>
  <c r="OP1555" i="10" s="1"/>
  <c r="OO1555" i="10" a="1"/>
  <c r="OO1555" i="10" s="1"/>
  <c r="ON1555" i="10" a="1"/>
  <c r="ON1555" i="10" s="1"/>
  <c r="OM1555" i="10" a="1"/>
  <c r="OM1555" i="10" s="1"/>
  <c r="OL1555" i="10" a="1"/>
  <c r="OL1555" i="10" s="1"/>
  <c r="OK1555" i="10" a="1"/>
  <c r="OK1555" i="10" s="1"/>
  <c r="OJ1555" i="10" a="1"/>
  <c r="OJ1555" i="10" s="1"/>
  <c r="OI1555" i="10" a="1"/>
  <c r="OI1555" i="10" s="1"/>
  <c r="OH1555" i="10" a="1"/>
  <c r="OH1555" i="10" s="1"/>
  <c r="OG1555" i="10" a="1"/>
  <c r="OG1555" i="10" s="1"/>
  <c r="OF1555" i="10" a="1"/>
  <c r="OF1555" i="10" s="1"/>
  <c r="OE1555" i="10" a="1"/>
  <c r="OE1555" i="10" s="1"/>
  <c r="OD1555" i="10" a="1"/>
  <c r="OD1555" i="10" s="1"/>
  <c r="OC1555" i="10" a="1"/>
  <c r="OC1555" i="10" s="1"/>
  <c r="OB1555" i="10" a="1"/>
  <c r="OB1555" i="10" s="1"/>
  <c r="OA1555" i="10" a="1"/>
  <c r="OA1555" i="10" s="1"/>
  <c r="NZ1555" i="10" a="1"/>
  <c r="NZ1555" i="10" s="1"/>
  <c r="NY1555" i="10" a="1"/>
  <c r="NY1555" i="10" s="1"/>
  <c r="NX1555" i="10" a="1"/>
  <c r="NX1555" i="10" s="1"/>
  <c r="NW1555" i="10" a="1"/>
  <c r="NW1555" i="10" s="1"/>
  <c r="NV1555" i="10" a="1"/>
  <c r="NV1555" i="10" s="1"/>
  <c r="NU1555" i="10" a="1"/>
  <c r="NU1555" i="10" s="1"/>
  <c r="NT1555" i="10" a="1"/>
  <c r="NT1555" i="10" s="1"/>
  <c r="NS1555" i="10" a="1"/>
  <c r="NS1555" i="10" s="1"/>
  <c r="NR1555" i="10" a="1"/>
  <c r="NR1555" i="10" s="1"/>
  <c r="NQ1555" i="10" a="1"/>
  <c r="NQ1555" i="10" s="1"/>
  <c r="NP1555" i="10" a="1"/>
  <c r="NP1555" i="10" s="1"/>
  <c r="NO1555" i="10" a="1"/>
  <c r="NO1555" i="10" s="1"/>
  <c r="NN1555" i="10" a="1"/>
  <c r="NN1555" i="10" s="1"/>
  <c r="NM1555" i="10" a="1"/>
  <c r="NM1555" i="10" s="1"/>
  <c r="NL1555" i="10" a="1"/>
  <c r="NL1555" i="10" s="1"/>
  <c r="NK1555" i="10" a="1"/>
  <c r="NK1555" i="10" s="1"/>
  <c r="NJ1555" i="10" a="1"/>
  <c r="NJ1555" i="10" s="1"/>
  <c r="NI1555" i="10" a="1"/>
  <c r="NI1555" i="10" s="1"/>
  <c r="NH1555" i="10" a="1"/>
  <c r="NH1555" i="10" s="1"/>
  <c r="NG1555" i="10" a="1"/>
  <c r="NG1555" i="10" s="1"/>
  <c r="NF1555" i="10" a="1"/>
  <c r="NF1555" i="10" s="1"/>
  <c r="NE1555" i="10" a="1"/>
  <c r="NE1555" i="10" s="1"/>
  <c r="ND1555" i="10" a="1"/>
  <c r="ND1555" i="10" s="1"/>
  <c r="NC1555" i="10" a="1"/>
  <c r="NC1555" i="10" s="1"/>
  <c r="NB1555" i="10" a="1"/>
  <c r="NB1555" i="10" s="1"/>
  <c r="NA1555" i="10" a="1"/>
  <c r="NA1555" i="10" s="1"/>
  <c r="MZ1555" i="10" a="1"/>
  <c r="MZ1555" i="10" s="1"/>
  <c r="MY1555" i="10" a="1"/>
  <c r="MY1555" i="10" s="1"/>
  <c r="MX1555" i="10" a="1"/>
  <c r="MX1555" i="10" s="1"/>
  <c r="MW1555" i="10" a="1"/>
  <c r="MW1555" i="10" s="1"/>
  <c r="MV1555" i="10" a="1"/>
  <c r="MV1555" i="10" s="1"/>
  <c r="MU1555" i="10" a="1"/>
  <c r="MU1555" i="10" s="1"/>
  <c r="MT1555" i="10" a="1"/>
  <c r="MT1555" i="10" s="1"/>
  <c r="MS1555" i="10" a="1"/>
  <c r="MS1555" i="10" s="1"/>
  <c r="MR1555" i="10" a="1"/>
  <c r="MR1555" i="10" s="1"/>
  <c r="MQ1555" i="10" a="1"/>
  <c r="MQ1555" i="10" s="1"/>
  <c r="MP1555" i="10" a="1"/>
  <c r="MP1555" i="10" s="1"/>
  <c r="MO1555" i="10" a="1"/>
  <c r="MO1555" i="10" s="1"/>
  <c r="MN1555" i="10" a="1"/>
  <c r="MN1555" i="10" s="1"/>
  <c r="MM1555" i="10" a="1"/>
  <c r="MM1555" i="10" s="1"/>
  <c r="ML1555" i="10" a="1"/>
  <c r="ML1555" i="10" s="1"/>
  <c r="MK1555" i="10" a="1"/>
  <c r="MK1555" i="10" s="1"/>
  <c r="MJ1555" i="10" a="1"/>
  <c r="MJ1555" i="10" s="1"/>
  <c r="MI1555" i="10" a="1"/>
  <c r="MI1555" i="10" s="1"/>
  <c r="MH1555" i="10" a="1"/>
  <c r="MH1555" i="10" s="1"/>
  <c r="MG1555" i="10" a="1"/>
  <c r="MG1555" i="10" s="1"/>
  <c r="MF1555" i="10" a="1"/>
  <c r="MF1555" i="10" s="1"/>
  <c r="ME1555" i="10" a="1"/>
  <c r="ME1555" i="10" s="1"/>
  <c r="MD1555" i="10" a="1"/>
  <c r="MD1555" i="10" s="1"/>
  <c r="MC1555" i="10" a="1"/>
  <c r="MC1555" i="10" s="1"/>
  <c r="MB1555" i="10" a="1"/>
  <c r="MB1555" i="10" s="1"/>
  <c r="MA1555" i="10" a="1"/>
  <c r="MA1555" i="10" s="1"/>
  <c r="LZ1555" i="10" a="1"/>
  <c r="LZ1555" i="10" s="1"/>
  <c r="LY1555" i="10" a="1"/>
  <c r="LY1555" i="10" s="1"/>
  <c r="LX1555" i="10" a="1"/>
  <c r="LX1555" i="10" s="1"/>
  <c r="LW1555" i="10" a="1"/>
  <c r="LW1555" i="10" s="1"/>
  <c r="LV1555" i="10" a="1"/>
  <c r="LV1555" i="10" s="1"/>
  <c r="LU1555" i="10" a="1"/>
  <c r="LU1555" i="10" s="1"/>
  <c r="LT1555" i="10" a="1"/>
  <c r="LT1555" i="10" s="1"/>
  <c r="LS1555" i="10" a="1"/>
  <c r="LS1555" i="10" s="1"/>
  <c r="LR1555" i="10" a="1"/>
  <c r="LR1555" i="10" s="1"/>
  <c r="LQ1555" i="10" a="1"/>
  <c r="LQ1555" i="10" s="1"/>
  <c r="LP1555" i="10" a="1"/>
  <c r="LP1555" i="10" s="1"/>
  <c r="LO1555" i="10" a="1"/>
  <c r="LO1555" i="10" s="1"/>
  <c r="LN1555" i="10" a="1"/>
  <c r="LN1555" i="10" s="1"/>
  <c r="LM1555" i="10" a="1"/>
  <c r="LM1555" i="10" s="1"/>
  <c r="LL1555" i="10" a="1"/>
  <c r="LL1555" i="10" s="1"/>
  <c r="LK1555" i="10" a="1"/>
  <c r="LK1555" i="10" s="1"/>
  <c r="LJ1555" i="10" a="1"/>
  <c r="LJ1555" i="10" s="1"/>
  <c r="LI1555" i="10" a="1"/>
  <c r="LI1555" i="10" s="1"/>
  <c r="LH1555" i="10" a="1"/>
  <c r="LH1555" i="10" s="1"/>
  <c r="LG1555" i="10" a="1"/>
  <c r="LG1555" i="10" s="1"/>
  <c r="LF1555" i="10" a="1"/>
  <c r="LF1555" i="10" s="1"/>
  <c r="LE1555" i="10" a="1"/>
  <c r="LE1555" i="10" s="1"/>
  <c r="LD1555" i="10" a="1"/>
  <c r="LD1555" i="10" s="1"/>
  <c r="LC1555" i="10" a="1"/>
  <c r="LC1555" i="10" s="1"/>
  <c r="LB1555" i="10" a="1"/>
  <c r="LB1555" i="10" s="1"/>
  <c r="LA1555" i="10" a="1"/>
  <c r="LA1555" i="10" s="1"/>
  <c r="KZ1555" i="10" a="1"/>
  <c r="KZ1555" i="10" s="1"/>
  <c r="KY1555" i="10" a="1"/>
  <c r="KY1555" i="10" s="1"/>
  <c r="KX1555" i="10" a="1"/>
  <c r="KX1555" i="10" s="1"/>
  <c r="KW1555" i="10" a="1"/>
  <c r="KW1555" i="10" s="1"/>
  <c r="KV1555" i="10" a="1"/>
  <c r="KV1555" i="10" s="1"/>
  <c r="KU1555" i="10" a="1"/>
  <c r="KU1555" i="10" s="1"/>
  <c r="KT1555" i="10" a="1"/>
  <c r="KT1555" i="10" s="1"/>
  <c r="KS1555" i="10" a="1"/>
  <c r="KS1555" i="10" s="1"/>
  <c r="KR1555" i="10" a="1"/>
  <c r="KR1555" i="10" s="1"/>
  <c r="KQ1555" i="10" a="1"/>
  <c r="KQ1555" i="10" s="1"/>
  <c r="KP1555" i="10" a="1"/>
  <c r="KP1555" i="10" s="1"/>
  <c r="KO1555" i="10" a="1"/>
  <c r="KO1555" i="10" s="1"/>
  <c r="KN1555" i="10" a="1"/>
  <c r="KN1555" i="10" s="1"/>
  <c r="KM1555" i="10" a="1"/>
  <c r="KM1555" i="10" s="1"/>
  <c r="KL1555" i="10" a="1"/>
  <c r="KL1555" i="10" s="1"/>
  <c r="KK1555" i="10" a="1"/>
  <c r="KK1555" i="10" s="1"/>
  <c r="KJ1555" i="10" a="1"/>
  <c r="KJ1555" i="10" s="1"/>
  <c r="KI1555" i="10" a="1"/>
  <c r="KI1555" i="10" s="1"/>
  <c r="KH1555" i="10" a="1"/>
  <c r="KH1555" i="10" s="1"/>
  <c r="KG1555" i="10" a="1"/>
  <c r="KG1555" i="10" s="1"/>
  <c r="KF1555" i="10" a="1"/>
  <c r="KF1555" i="10" s="1"/>
  <c r="KE1555" i="10" a="1"/>
  <c r="KE1555" i="10" s="1"/>
  <c r="KD1555" i="10" a="1"/>
  <c r="KD1555" i="10" s="1"/>
  <c r="KC1555" i="10" a="1"/>
  <c r="KC1555" i="10" s="1"/>
  <c r="KB1555" i="10" a="1"/>
  <c r="KB1555" i="10" s="1"/>
  <c r="KA1555" i="10" a="1"/>
  <c r="KA1555" i="10" s="1"/>
  <c r="JZ1555" i="10" a="1"/>
  <c r="JZ1555" i="10" s="1"/>
  <c r="JY1555" i="10" a="1"/>
  <c r="JY1555" i="10" s="1"/>
  <c r="JX1555" i="10" a="1"/>
  <c r="JX1555" i="10" s="1"/>
  <c r="JW1555" i="10" a="1"/>
  <c r="JW1555" i="10" s="1"/>
  <c r="JV1555" i="10" a="1"/>
  <c r="JV1555" i="10" s="1"/>
  <c r="JU1555" i="10" a="1"/>
  <c r="JU1555" i="10" s="1"/>
  <c r="JT1555" i="10" a="1"/>
  <c r="JT1555" i="10" s="1"/>
  <c r="JS1555" i="10" a="1"/>
  <c r="JS1555" i="10" s="1"/>
  <c r="JR1555" i="10" a="1"/>
  <c r="JR1555" i="10" s="1"/>
  <c r="JQ1555" i="10" a="1"/>
  <c r="JQ1555" i="10" s="1"/>
  <c r="JP1555" i="10" a="1"/>
  <c r="JP1555" i="10" s="1"/>
  <c r="JO1555" i="10" a="1"/>
  <c r="JO1555" i="10" s="1"/>
  <c r="JN1555" i="10" a="1"/>
  <c r="JN1555" i="10" s="1"/>
  <c r="JM1555" i="10" a="1"/>
  <c r="JM1555" i="10" s="1"/>
  <c r="JL1555" i="10" a="1"/>
  <c r="JL1555" i="10" s="1"/>
  <c r="JK1555" i="10" a="1"/>
  <c r="JK1555" i="10" s="1"/>
  <c r="JJ1555" i="10" a="1"/>
  <c r="JJ1555" i="10" s="1"/>
  <c r="JI1555" i="10" a="1"/>
  <c r="JI1555" i="10" s="1"/>
  <c r="JH1555" i="10" a="1"/>
  <c r="JH1555" i="10" s="1"/>
  <c r="JG1555" i="10" a="1"/>
  <c r="JG1555" i="10" s="1"/>
  <c r="JF1555" i="10" a="1"/>
  <c r="JF1555" i="10" s="1"/>
  <c r="JE1555" i="10" a="1"/>
  <c r="JE1555" i="10" s="1"/>
  <c r="JD1555" i="10" a="1"/>
  <c r="JD1555" i="10" s="1"/>
  <c r="JC1555" i="10" a="1"/>
  <c r="JC1555" i="10" s="1"/>
  <c r="JB1555" i="10" a="1"/>
  <c r="JB1555" i="10" s="1"/>
  <c r="JA1555" i="10" a="1"/>
  <c r="JA1555" i="10" s="1"/>
  <c r="IZ1555" i="10" a="1"/>
  <c r="IZ1555" i="10" s="1"/>
  <c r="IY1555" i="10" a="1"/>
  <c r="IY1555" i="10" s="1"/>
  <c r="IX1555" i="10" a="1"/>
  <c r="IX1555" i="10" s="1"/>
  <c r="IW1555" i="10" a="1"/>
  <c r="IW1555" i="10" s="1"/>
  <c r="IV1555" i="10" a="1"/>
  <c r="IV1555" i="10" s="1"/>
  <c r="IU1555" i="10" a="1"/>
  <c r="IU1555" i="10" s="1"/>
  <c r="IT1555" i="10" a="1"/>
  <c r="IT1555" i="10" s="1"/>
  <c r="IS1555" i="10" a="1"/>
  <c r="IS1555" i="10" s="1"/>
  <c r="IR1555" i="10" a="1"/>
  <c r="IR1555" i="10" s="1"/>
  <c r="IQ1555" i="10" a="1"/>
  <c r="IQ1555" i="10" s="1"/>
  <c r="IP1555" i="10" a="1"/>
  <c r="IP1555" i="10" s="1"/>
  <c r="IO1555" i="10" a="1"/>
  <c r="IO1555" i="10" s="1"/>
  <c r="IN1555" i="10" a="1"/>
  <c r="IN1555" i="10" s="1"/>
  <c r="IM1555" i="10" a="1"/>
  <c r="IM1555" i="10" s="1"/>
  <c r="IL1555" i="10" a="1"/>
  <c r="IL1555" i="10" s="1"/>
  <c r="IK1555" i="10" a="1"/>
  <c r="IK1555" i="10" s="1"/>
  <c r="IJ1555" i="10" a="1"/>
  <c r="IJ1555" i="10" s="1"/>
  <c r="II1555" i="10" a="1"/>
  <c r="II1555" i="10" s="1"/>
  <c r="IH1555" i="10" a="1"/>
  <c r="IH1555" i="10" s="1"/>
  <c r="IG1555" i="10" a="1"/>
  <c r="IG1555" i="10" s="1"/>
  <c r="IF1555" i="10" a="1"/>
  <c r="IF1555" i="10" s="1"/>
  <c r="IE1555" i="10" a="1"/>
  <c r="IE1555" i="10" s="1"/>
  <c r="ID1555" i="10" a="1"/>
  <c r="ID1555" i="10" s="1"/>
  <c r="IC1555" i="10" a="1"/>
  <c r="IC1555" i="10" s="1"/>
  <c r="IB1555" i="10" a="1"/>
  <c r="IB1555" i="10" s="1"/>
  <c r="IA1555" i="10" a="1"/>
  <c r="IA1555" i="10" s="1"/>
  <c r="HZ1555" i="10" a="1"/>
  <c r="HZ1555" i="10" s="1"/>
  <c r="HY1555" i="10" a="1"/>
  <c r="HY1555" i="10" s="1"/>
  <c r="HX1555" i="10" a="1"/>
  <c r="HX1555" i="10" s="1"/>
  <c r="HW1555" i="10" a="1"/>
  <c r="HW1555" i="10" s="1"/>
  <c r="HV1555" i="10" a="1"/>
  <c r="HV1555" i="10" s="1"/>
  <c r="HU1555" i="10" a="1"/>
  <c r="HU1555" i="10" s="1"/>
  <c r="HT1555" i="10" a="1"/>
  <c r="HT1555" i="10" s="1"/>
  <c r="HS1555" i="10" a="1"/>
  <c r="HS1555" i="10" s="1"/>
  <c r="HR1555" i="10" a="1"/>
  <c r="HR1555" i="10" s="1"/>
  <c r="HQ1555" i="10" a="1"/>
  <c r="HQ1555" i="10" s="1"/>
  <c r="HP1555" i="10" a="1"/>
  <c r="HP1555" i="10" s="1"/>
  <c r="HO1555" i="10" a="1"/>
  <c r="HO1555" i="10" s="1"/>
  <c r="HN1555" i="10" a="1"/>
  <c r="HN1555" i="10" s="1"/>
  <c r="HM1555" i="10" a="1"/>
  <c r="HM1555" i="10" s="1"/>
  <c r="HL1555" i="10" a="1"/>
  <c r="HL1555" i="10" s="1"/>
  <c r="HK1555" i="10" a="1"/>
  <c r="HK1555" i="10" s="1"/>
  <c r="HJ1555" i="10" a="1"/>
  <c r="HJ1555" i="10" s="1"/>
  <c r="HI1555" i="10" a="1"/>
  <c r="HI1555" i="10" s="1"/>
  <c r="HH1555" i="10" a="1"/>
  <c r="HH1555" i="10" s="1"/>
  <c r="HG1555" i="10" a="1"/>
  <c r="HG1555" i="10" s="1"/>
  <c r="HF1555" i="10" a="1"/>
  <c r="HF1555" i="10" s="1"/>
  <c r="HE1555" i="10" a="1"/>
  <c r="HE1555" i="10" s="1"/>
  <c r="HD1555" i="10" a="1"/>
  <c r="HD1555" i="10" s="1"/>
  <c r="HC1555" i="10" a="1"/>
  <c r="HC1555" i="10" s="1"/>
  <c r="HB1555" i="10" a="1"/>
  <c r="HB1555" i="10" s="1"/>
  <c r="HA1555" i="10" a="1"/>
  <c r="HA1555" i="10" s="1"/>
  <c r="GZ1555" i="10" a="1"/>
  <c r="GZ1555" i="10" s="1"/>
  <c r="GY1555" i="10" a="1"/>
  <c r="GY1555" i="10" s="1"/>
  <c r="GX1555" i="10" a="1"/>
  <c r="GX1555" i="10" s="1"/>
  <c r="GW1555" i="10" a="1"/>
  <c r="GW1555" i="10" s="1"/>
  <c r="GV1555" i="10" a="1"/>
  <c r="GV1555" i="10" s="1"/>
  <c r="GU1555" i="10" a="1"/>
  <c r="GU1555" i="10" s="1"/>
  <c r="GT1555" i="10" a="1"/>
  <c r="GT1555" i="10" s="1"/>
  <c r="GS1555" i="10" a="1"/>
  <c r="GS1555" i="10" s="1"/>
  <c r="GR1555" i="10" a="1"/>
  <c r="GR1555" i="10" s="1"/>
  <c r="GQ1555" i="10" a="1"/>
  <c r="GQ1555" i="10" s="1"/>
  <c r="GP1555" i="10" a="1"/>
  <c r="GP1555" i="10" s="1"/>
  <c r="GO1555" i="10" a="1"/>
  <c r="GO1555" i="10" s="1"/>
  <c r="GN1555" i="10" a="1"/>
  <c r="GN1555" i="10" s="1"/>
  <c r="GM1555" i="10" a="1"/>
  <c r="GM1555" i="10" s="1"/>
  <c r="GL1555" i="10" a="1"/>
  <c r="GL1555" i="10" s="1"/>
  <c r="GK1555" i="10" a="1"/>
  <c r="GK1555" i="10" s="1"/>
  <c r="GJ1555" i="10" a="1"/>
  <c r="GJ1555" i="10" s="1"/>
  <c r="GI1555" i="10" a="1"/>
  <c r="GI1555" i="10" s="1"/>
  <c r="GH1555" i="10" a="1"/>
  <c r="GH1555" i="10" s="1"/>
  <c r="GG1555" i="10" a="1"/>
  <c r="GG1555" i="10" s="1"/>
  <c r="GF1555" i="10" a="1"/>
  <c r="GF1555" i="10" s="1"/>
  <c r="GE1555" i="10" a="1"/>
  <c r="GE1555" i="10" s="1"/>
  <c r="GD1555" i="10" a="1"/>
  <c r="GD1555" i="10" s="1"/>
  <c r="GC1555" i="10" a="1"/>
  <c r="GC1555" i="10" s="1"/>
  <c r="GB1555" i="10" a="1"/>
  <c r="GB1555" i="10" s="1"/>
  <c r="GA1555" i="10" a="1"/>
  <c r="GA1555" i="10" s="1"/>
  <c r="FZ1555" i="10" a="1"/>
  <c r="FZ1555" i="10" s="1"/>
  <c r="FY1555" i="10" a="1"/>
  <c r="FY1555" i="10" s="1"/>
  <c r="FX1555" i="10" a="1"/>
  <c r="FX1555" i="10" s="1"/>
  <c r="FW1555" i="10" a="1"/>
  <c r="FW1555" i="10" s="1"/>
  <c r="FV1555" i="10" a="1"/>
  <c r="FV1555" i="10" s="1"/>
  <c r="FU1555" i="10" a="1"/>
  <c r="FU1555" i="10" s="1"/>
  <c r="FT1555" i="10" a="1"/>
  <c r="FT1555" i="10" s="1"/>
  <c r="FS1555" i="10" a="1"/>
  <c r="FS1555" i="10" s="1"/>
  <c r="FR1555" i="10" a="1"/>
  <c r="FR1555" i="10" s="1"/>
  <c r="FQ1555" i="10" a="1"/>
  <c r="FQ1555" i="10" s="1"/>
  <c r="FP1555" i="10" a="1"/>
  <c r="FP1555" i="10" s="1"/>
  <c r="FO1555" i="10" a="1"/>
  <c r="FO1555" i="10" s="1"/>
  <c r="FN1555" i="10" a="1"/>
  <c r="FN1555" i="10" s="1"/>
  <c r="FM1555" i="10" a="1"/>
  <c r="FM1555" i="10" s="1"/>
  <c r="FL1555" i="10" a="1"/>
  <c r="FL1555" i="10" s="1"/>
  <c r="FK1555" i="10" a="1"/>
  <c r="FK1555" i="10" s="1"/>
  <c r="FJ1555" i="10" a="1"/>
  <c r="FJ1555" i="10" s="1"/>
  <c r="FI1555" i="10" a="1"/>
  <c r="FI1555" i="10" s="1"/>
  <c r="FH1555" i="10" a="1"/>
  <c r="FH1555" i="10" s="1"/>
  <c r="FG1555" i="10" a="1"/>
  <c r="FG1555" i="10" s="1"/>
  <c r="FF1555" i="10" a="1"/>
  <c r="FF1555" i="10" s="1"/>
  <c r="FE1555" i="10" a="1"/>
  <c r="FE1555" i="10" s="1"/>
  <c r="FD1555" i="10" a="1"/>
  <c r="FD1555" i="10" s="1"/>
  <c r="FC1555" i="10" a="1"/>
  <c r="FC1555" i="10" s="1"/>
  <c r="FB1555" i="10" a="1"/>
  <c r="FB1555" i="10" s="1"/>
  <c r="FA1555" i="10" a="1"/>
  <c r="FA1555" i="10" s="1"/>
  <c r="EZ1555" i="10" a="1"/>
  <c r="EZ1555" i="10" s="1"/>
  <c r="EY1555" i="10" a="1"/>
  <c r="EY1555" i="10" s="1"/>
  <c r="EX1555" i="10" a="1"/>
  <c r="EX1555" i="10" s="1"/>
  <c r="EW1555" i="10" a="1"/>
  <c r="EW1555" i="10" s="1"/>
  <c r="EV1555" i="10" a="1"/>
  <c r="EV1555" i="10" s="1"/>
  <c r="EU1555" i="10" a="1"/>
  <c r="EU1555" i="10" s="1"/>
  <c r="ET1555" i="10" a="1"/>
  <c r="ET1555" i="10" s="1"/>
  <c r="ES1555" i="10" a="1"/>
  <c r="ES1555" i="10" s="1"/>
  <c r="ER1555" i="10" a="1"/>
  <c r="ER1555" i="10" s="1"/>
  <c r="EQ1555" i="10" a="1"/>
  <c r="EQ1555" i="10" s="1"/>
  <c r="EP1555" i="10" a="1"/>
  <c r="EP1555" i="10" s="1"/>
  <c r="EO1555" i="10" a="1"/>
  <c r="EO1555" i="10" s="1"/>
  <c r="EN1555" i="10" a="1"/>
  <c r="EN1555" i="10" s="1"/>
  <c r="EM1555" i="10" a="1"/>
  <c r="EM1555" i="10" s="1"/>
  <c r="EL1555" i="10" a="1"/>
  <c r="EL1555" i="10" s="1"/>
  <c r="EK1555" i="10" a="1"/>
  <c r="EK1555" i="10" s="1"/>
  <c r="EJ1555" i="10" a="1"/>
  <c r="EJ1555" i="10" s="1"/>
  <c r="EI1555" i="10" a="1"/>
  <c r="EI1555" i="10" s="1"/>
  <c r="EH1555" i="10" a="1"/>
  <c r="EH1555" i="10" s="1"/>
  <c r="EG1555" i="10" a="1"/>
  <c r="EG1555" i="10" s="1"/>
  <c r="EF1555" i="10" a="1"/>
  <c r="EF1555" i="10" s="1"/>
  <c r="EE1555" i="10" a="1"/>
  <c r="EE1555" i="10" s="1"/>
  <c r="ED1555" i="10" a="1"/>
  <c r="ED1555" i="10" s="1"/>
  <c r="EC1555" i="10" a="1"/>
  <c r="EC1555" i="10" s="1"/>
  <c r="EB1555" i="10" a="1"/>
  <c r="EB1555" i="10" s="1"/>
  <c r="EA1555" i="10" a="1"/>
  <c r="EA1555" i="10" s="1"/>
  <c r="DZ1555" i="10" a="1"/>
  <c r="DZ1555" i="10" s="1"/>
  <c r="DY1555" i="10" a="1"/>
  <c r="DY1555" i="10" s="1"/>
  <c r="DX1555" i="10" a="1"/>
  <c r="DX1555" i="10" s="1"/>
  <c r="DW1555" i="10" a="1"/>
  <c r="DW1555" i="10" s="1"/>
  <c r="DV1555" i="10" a="1"/>
  <c r="DV1555" i="10" s="1"/>
  <c r="DU1555" i="10" a="1"/>
  <c r="DU1555" i="10" s="1"/>
  <c r="DT1555" i="10" a="1"/>
  <c r="DT1555" i="10" s="1"/>
  <c r="DS1555" i="10" a="1"/>
  <c r="DS1555" i="10" s="1"/>
  <c r="DR1555" i="10" a="1"/>
  <c r="DR1555" i="10" s="1"/>
  <c r="DQ1555" i="10" a="1"/>
  <c r="DQ1555" i="10" s="1"/>
  <c r="DP1555" i="10" a="1"/>
  <c r="DP1555" i="10" s="1"/>
  <c r="DO1555" i="10" a="1"/>
  <c r="DO1555" i="10" s="1"/>
  <c r="DN1555" i="10" a="1"/>
  <c r="DN1555" i="10" s="1"/>
  <c r="DM1555" i="10" a="1"/>
  <c r="DM1555" i="10" s="1"/>
  <c r="DL1555" i="10" a="1"/>
  <c r="DL1555" i="10" s="1"/>
  <c r="DK1555" i="10" a="1"/>
  <c r="DK1555" i="10" s="1"/>
  <c r="DJ1555" i="10" a="1"/>
  <c r="DJ1555" i="10" s="1"/>
  <c r="DI1555" i="10" a="1"/>
  <c r="DI1555" i="10" s="1"/>
  <c r="DH1555" i="10" a="1"/>
  <c r="DH1555" i="10" s="1"/>
  <c r="DG1555" i="10" a="1"/>
  <c r="DG1555" i="10" s="1"/>
  <c r="DF1555" i="10" a="1"/>
  <c r="DF1555" i="10" s="1"/>
  <c r="DE1555" i="10" a="1"/>
  <c r="DE1555" i="10" s="1"/>
  <c r="DD1555" i="10" a="1"/>
  <c r="DD1555" i="10" s="1"/>
  <c r="DC1555" i="10" a="1"/>
  <c r="DC1555" i="10" s="1"/>
  <c r="DB1555" i="10" a="1"/>
  <c r="DB1555" i="10" s="1"/>
  <c r="DA1555" i="10" a="1"/>
  <c r="DA1555" i="10" s="1"/>
  <c r="CZ1555" i="10" a="1"/>
  <c r="CZ1555" i="10" s="1"/>
  <c r="CY1555" i="10" a="1"/>
  <c r="CY1555" i="10" s="1"/>
  <c r="CX1555" i="10" a="1"/>
  <c r="CX1555" i="10" s="1"/>
  <c r="CW1555" i="10" a="1"/>
  <c r="CW1555" i="10" s="1"/>
  <c r="CV1555" i="10" a="1"/>
  <c r="CV1555" i="10" s="1"/>
  <c r="CU1555" i="10" a="1"/>
  <c r="CU1555" i="10" s="1"/>
  <c r="CT1555" i="10" a="1"/>
  <c r="CT1555" i="10" s="1"/>
  <c r="CS1555" i="10" a="1"/>
  <c r="CS1555" i="10" s="1"/>
  <c r="CR1555" i="10" a="1"/>
  <c r="CR1555" i="10" s="1"/>
  <c r="CQ1555" i="10" a="1"/>
  <c r="CQ1555" i="10" s="1"/>
  <c r="CP1555" i="10" a="1"/>
  <c r="CP1555" i="10" s="1"/>
  <c r="CO1555" i="10" a="1"/>
  <c r="CO1555" i="10" s="1"/>
  <c r="CN1555" i="10" a="1"/>
  <c r="CN1555" i="10" s="1"/>
  <c r="CM1555" i="10" a="1"/>
  <c r="CM1555" i="10" s="1"/>
  <c r="CL1555" i="10" a="1"/>
  <c r="CL1555" i="10" s="1"/>
  <c r="CK1555" i="10" a="1"/>
  <c r="CK1555" i="10" s="1"/>
  <c r="CJ1555" i="10" a="1"/>
  <c r="CJ1555" i="10" s="1"/>
  <c r="CI1555" i="10" a="1"/>
  <c r="CI1555" i="10" s="1"/>
  <c r="CH1555" i="10" a="1"/>
  <c r="CH1555" i="10" s="1"/>
  <c r="CG1555" i="10" a="1"/>
  <c r="CG1555" i="10" s="1"/>
  <c r="CF1555" i="10" a="1"/>
  <c r="CF1555" i="10" s="1"/>
  <c r="CE1555" i="10" a="1"/>
  <c r="CE1555" i="10" s="1"/>
  <c r="CD1555" i="10" a="1"/>
  <c r="CD1555" i="10" s="1"/>
  <c r="CC1555" i="10" a="1"/>
  <c r="CC1555" i="10" s="1"/>
  <c r="CB1555" i="10" a="1"/>
  <c r="CB1555" i="10" s="1"/>
  <c r="CA1555" i="10" a="1"/>
  <c r="CA1555" i="10" s="1"/>
  <c r="BZ1555" i="10" a="1"/>
  <c r="BZ1555" i="10" s="1"/>
  <c r="BY1555" i="10" a="1"/>
  <c r="BY1555" i="10" s="1"/>
  <c r="BX1555" i="10" a="1"/>
  <c r="BX1555" i="10" s="1"/>
  <c r="BW1555" i="10" a="1"/>
  <c r="BW1555" i="10" s="1"/>
  <c r="BV1555" i="10" a="1"/>
  <c r="BV1555" i="10" s="1"/>
  <c r="BU1555" i="10" a="1"/>
  <c r="BU1555" i="10" s="1"/>
  <c r="BT1555" i="10" a="1"/>
  <c r="BT1555" i="10" s="1"/>
  <c r="BS1555" i="10" a="1"/>
  <c r="BS1555" i="10" s="1"/>
  <c r="BR1555" i="10" a="1"/>
  <c r="BR1555" i="10" s="1"/>
  <c r="BQ1555" i="10" a="1"/>
  <c r="BQ1555" i="10" s="1"/>
  <c r="BP1555" i="10" a="1"/>
  <c r="BP1555" i="10" s="1"/>
  <c r="BO1555" i="10" a="1"/>
  <c r="BO1555" i="10" s="1"/>
  <c r="BN1555" i="10" a="1"/>
  <c r="BN1555" i="10" s="1"/>
  <c r="BM1555" i="10" a="1"/>
  <c r="BM1555" i="10" s="1"/>
  <c r="BL1555" i="10" a="1"/>
  <c r="BL1555" i="10" s="1"/>
  <c r="BK1555" i="10" a="1"/>
  <c r="BK1555" i="10" s="1"/>
  <c r="BJ1555" i="10" a="1"/>
  <c r="BJ1555" i="10" s="1"/>
  <c r="BI1555" i="10" a="1"/>
  <c r="BI1555" i="10" s="1"/>
  <c r="BH1555" i="10" a="1"/>
  <c r="BH1555" i="10" s="1"/>
  <c r="BG1555" i="10" a="1"/>
  <c r="BG1555" i="10" s="1"/>
  <c r="BF1555" i="10" a="1"/>
  <c r="BF1555" i="10" s="1"/>
  <c r="BE1555" i="10" a="1"/>
  <c r="BE1555" i="10" s="1"/>
  <c r="BD1555" i="10" a="1"/>
  <c r="BD1555" i="10" s="1"/>
  <c r="BC1555" i="10" a="1"/>
  <c r="BC1555" i="10" s="1"/>
  <c r="BB1555" i="10" a="1"/>
  <c r="BB1555" i="10" s="1"/>
  <c r="BA1555" i="10" a="1"/>
  <c r="BA1555" i="10" s="1"/>
  <c r="AZ1555" i="10" a="1"/>
  <c r="AZ1555" i="10" s="1"/>
  <c r="AY1555" i="10" a="1"/>
  <c r="AY1555" i="10" s="1"/>
  <c r="AX1555" i="10" a="1"/>
  <c r="AX1555" i="10" s="1"/>
  <c r="AW1555" i="10" a="1"/>
  <c r="AW1555" i="10" s="1"/>
  <c r="AV1555" i="10" a="1"/>
  <c r="AV1555" i="10" s="1"/>
  <c r="AU1555" i="10" a="1"/>
  <c r="AU1555" i="10" s="1"/>
  <c r="AT1555" i="10" a="1"/>
  <c r="AT1555" i="10" s="1"/>
  <c r="AS1555" i="10" a="1"/>
  <c r="AS1555" i="10" s="1"/>
  <c r="AR1555" i="10" a="1"/>
  <c r="AR1555" i="10" s="1"/>
  <c r="AQ1555" i="10" a="1"/>
  <c r="AQ1555" i="10" s="1"/>
  <c r="AP1555" i="10" a="1"/>
  <c r="AP1555" i="10" s="1"/>
  <c r="AO1555" i="10" a="1"/>
  <c r="AO1555" i="10" s="1"/>
  <c r="AN1555" i="10" a="1"/>
  <c r="AN1555" i="10" s="1"/>
  <c r="AM1555" i="10" a="1"/>
  <c r="AM1555" i="10" s="1"/>
  <c r="AL1555" i="10" a="1"/>
  <c r="AL1555" i="10" s="1"/>
  <c r="Q33" i="9" s="1"/>
  <c r="AK1555" i="10" a="1"/>
  <c r="AK1555" i="10" s="1"/>
  <c r="AJ1555" i="10" a="1"/>
  <c r="AJ1555" i="10" s="1"/>
  <c r="AI1555" i="10" a="1"/>
  <c r="AI1555" i="10" s="1"/>
  <c r="AH1555" i="10" a="1"/>
  <c r="AH1555" i="10" s="1"/>
  <c r="AG1555" i="10" a="1"/>
  <c r="AG1555" i="10" s="1"/>
  <c r="AF1555" i="10" a="1"/>
  <c r="AF1555" i="10" s="1"/>
  <c r="AE1555" i="10" a="1"/>
  <c r="AE1555" i="10" s="1"/>
  <c r="AD1555" i="10" a="1"/>
  <c r="AD1555" i="10" s="1"/>
  <c r="AC1555" i="10" a="1"/>
  <c r="AC1555" i="10" s="1"/>
  <c r="AB1555" i="10" a="1"/>
  <c r="AB1555" i="10" s="1"/>
  <c r="AA1555" i="10" a="1"/>
  <c r="AA1555" i="10" s="1"/>
  <c r="Z1555" i="10" a="1"/>
  <c r="Z1555" i="10" s="1"/>
  <c r="Y1555" i="10" a="1"/>
  <c r="Y1555" i="10" s="1"/>
  <c r="X1555" i="10" a="1"/>
  <c r="X1555" i="10" s="1"/>
  <c r="W1555" i="10" a="1"/>
  <c r="W1555" i="10" s="1"/>
  <c r="V1555" i="10" a="1"/>
  <c r="V1555" i="10" s="1"/>
  <c r="U1555" i="10" a="1"/>
  <c r="U1555" i="10" s="1"/>
  <c r="T1555" i="10" a="1"/>
  <c r="T1555" i="10" s="1"/>
  <c r="S1555" i="10" a="1"/>
  <c r="S1555" i="10" s="1"/>
  <c r="R1555" i="10" a="1"/>
  <c r="R1555" i="10" s="1"/>
  <c r="Q1555" i="10" a="1"/>
  <c r="Q1555" i="10" s="1"/>
  <c r="P1555" i="10" a="1"/>
  <c r="P1555" i="10" s="1"/>
  <c r="AGN1554" i="10" a="1"/>
  <c r="AGN1554" i="10" s="1"/>
  <c r="AGM1554" i="10" a="1"/>
  <c r="AGM1554" i="10" s="1"/>
  <c r="AGL1554" i="10" a="1"/>
  <c r="AGL1554" i="10" s="1"/>
  <c r="AGK1554" i="10" a="1"/>
  <c r="AGK1554" i="10" s="1"/>
  <c r="AGJ1554" i="10" a="1"/>
  <c r="AGJ1554" i="10" s="1"/>
  <c r="AGI1554" i="10" a="1"/>
  <c r="AGI1554" i="10" s="1"/>
  <c r="AGH1554" i="10" a="1"/>
  <c r="AGH1554" i="10" s="1"/>
  <c r="AGG1554" i="10" a="1"/>
  <c r="AGG1554" i="10" s="1"/>
  <c r="AGF1554" i="10" a="1"/>
  <c r="AGF1554" i="10" s="1"/>
  <c r="AGE1554" i="10" a="1"/>
  <c r="AGE1554" i="10" s="1"/>
  <c r="AGD1554" i="10" a="1"/>
  <c r="AGD1554" i="10" s="1"/>
  <c r="AGC1554" i="10" a="1"/>
  <c r="AGC1554" i="10" s="1"/>
  <c r="AGB1554" i="10" a="1"/>
  <c r="AGB1554" i="10" s="1"/>
  <c r="AGA1554" i="10" a="1"/>
  <c r="AGA1554" i="10" s="1"/>
  <c r="AFZ1554" i="10" a="1"/>
  <c r="AFZ1554" i="10" s="1"/>
  <c r="AFY1554" i="10" a="1"/>
  <c r="AFY1554" i="10" s="1"/>
  <c r="AFX1554" i="10" a="1"/>
  <c r="AFX1554" i="10" s="1"/>
  <c r="AFW1554" i="10" a="1"/>
  <c r="AFW1554" i="10" s="1"/>
  <c r="AFV1554" i="10" a="1"/>
  <c r="AFV1554" i="10" s="1"/>
  <c r="AFU1554" i="10" a="1"/>
  <c r="AFU1554" i="10" s="1"/>
  <c r="AFT1554" i="10" a="1"/>
  <c r="AFT1554" i="10" s="1"/>
  <c r="AFS1554" i="10" a="1"/>
  <c r="AFS1554" i="10" s="1"/>
  <c r="AFR1554" i="10" a="1"/>
  <c r="AFR1554" i="10" s="1"/>
  <c r="AFQ1554" i="10" a="1"/>
  <c r="AFQ1554" i="10" s="1"/>
  <c r="AFP1554" i="10" a="1"/>
  <c r="AFP1554" i="10" s="1"/>
  <c r="AFO1554" i="10" a="1"/>
  <c r="AFO1554" i="10" s="1"/>
  <c r="AFN1554" i="10" a="1"/>
  <c r="AFN1554" i="10" s="1"/>
  <c r="AFM1554" i="10" a="1"/>
  <c r="AFM1554" i="10" s="1"/>
  <c r="AFL1554" i="10" a="1"/>
  <c r="AFL1554" i="10" s="1"/>
  <c r="AFK1554" i="10" a="1"/>
  <c r="AFK1554" i="10" s="1"/>
  <c r="AFJ1554" i="10" a="1"/>
  <c r="AFJ1554" i="10" s="1"/>
  <c r="AFI1554" i="10" a="1"/>
  <c r="AFI1554" i="10" s="1"/>
  <c r="AFH1554" i="10" a="1"/>
  <c r="AFH1554" i="10" s="1"/>
  <c r="AFG1554" i="10" a="1"/>
  <c r="AFG1554" i="10" s="1"/>
  <c r="AFF1554" i="10" a="1"/>
  <c r="AFF1554" i="10" s="1"/>
  <c r="AFE1554" i="10" a="1"/>
  <c r="AFE1554" i="10" s="1"/>
  <c r="AFD1554" i="10" a="1"/>
  <c r="AFD1554" i="10" s="1"/>
  <c r="AFC1554" i="10" a="1"/>
  <c r="AFC1554" i="10" s="1"/>
  <c r="AFB1554" i="10" a="1"/>
  <c r="AFB1554" i="10" s="1"/>
  <c r="AFA1554" i="10" a="1"/>
  <c r="AFA1554" i="10" s="1"/>
  <c r="AEZ1554" i="10" a="1"/>
  <c r="AEZ1554" i="10" s="1"/>
  <c r="AEY1554" i="10" a="1"/>
  <c r="AEY1554" i="10" s="1"/>
  <c r="AEX1554" i="10" a="1"/>
  <c r="AEX1554" i="10" s="1"/>
  <c r="AEW1554" i="10" a="1"/>
  <c r="AEW1554" i="10" s="1"/>
  <c r="AEV1554" i="10" a="1"/>
  <c r="AEV1554" i="10" s="1"/>
  <c r="AEU1554" i="10" a="1"/>
  <c r="AEU1554" i="10" s="1"/>
  <c r="AET1554" i="10" a="1"/>
  <c r="AET1554" i="10" s="1"/>
  <c r="AES1554" i="10" a="1"/>
  <c r="AES1554" i="10" s="1"/>
  <c r="AER1554" i="10" a="1"/>
  <c r="AER1554" i="10" s="1"/>
  <c r="AEQ1554" i="10" a="1"/>
  <c r="AEQ1554" i="10" s="1"/>
  <c r="AEP1554" i="10" a="1"/>
  <c r="AEP1554" i="10" s="1"/>
  <c r="AEO1554" i="10" a="1"/>
  <c r="AEO1554" i="10" s="1"/>
  <c r="AEN1554" i="10" a="1"/>
  <c r="AEN1554" i="10" s="1"/>
  <c r="AEM1554" i="10" a="1"/>
  <c r="AEM1554" i="10" s="1"/>
  <c r="AEL1554" i="10" a="1"/>
  <c r="AEL1554" i="10" s="1"/>
  <c r="AEK1554" i="10" a="1"/>
  <c r="AEK1554" i="10" s="1"/>
  <c r="AEJ1554" i="10" a="1"/>
  <c r="AEJ1554" i="10" s="1"/>
  <c r="AEI1554" i="10" a="1"/>
  <c r="AEI1554" i="10" s="1"/>
  <c r="AEH1554" i="10" a="1"/>
  <c r="AEH1554" i="10" s="1"/>
  <c r="AEG1554" i="10" a="1"/>
  <c r="AEG1554" i="10" s="1"/>
  <c r="AEF1554" i="10" a="1"/>
  <c r="AEF1554" i="10" s="1"/>
  <c r="AEE1554" i="10" a="1"/>
  <c r="AEE1554" i="10" s="1"/>
  <c r="AED1554" i="10" a="1"/>
  <c r="AED1554" i="10" s="1"/>
  <c r="AEC1554" i="10" a="1"/>
  <c r="AEC1554" i="10" s="1"/>
  <c r="AEB1554" i="10" a="1"/>
  <c r="AEB1554" i="10" s="1"/>
  <c r="AEA1554" i="10" a="1"/>
  <c r="AEA1554" i="10" s="1"/>
  <c r="ADZ1554" i="10" a="1"/>
  <c r="ADZ1554" i="10" s="1"/>
  <c r="ADY1554" i="10" a="1"/>
  <c r="ADY1554" i="10" s="1"/>
  <c r="ADX1554" i="10" a="1"/>
  <c r="ADX1554" i="10" s="1"/>
  <c r="ADW1554" i="10" a="1"/>
  <c r="ADW1554" i="10" s="1"/>
  <c r="ADV1554" i="10" a="1"/>
  <c r="ADV1554" i="10" s="1"/>
  <c r="ADU1554" i="10" a="1"/>
  <c r="ADU1554" i="10" s="1"/>
  <c r="ADT1554" i="10" a="1"/>
  <c r="ADT1554" i="10" s="1"/>
  <c r="ADS1554" i="10" a="1"/>
  <c r="ADS1554" i="10" s="1"/>
  <c r="ADR1554" i="10" a="1"/>
  <c r="ADR1554" i="10" s="1"/>
  <c r="ADQ1554" i="10" a="1"/>
  <c r="ADQ1554" i="10" s="1"/>
  <c r="ADP1554" i="10" a="1"/>
  <c r="ADP1554" i="10" s="1"/>
  <c r="ADO1554" i="10" a="1"/>
  <c r="ADO1554" i="10" s="1"/>
  <c r="ADN1554" i="10" a="1"/>
  <c r="ADN1554" i="10" s="1"/>
  <c r="ADM1554" i="10" a="1"/>
  <c r="ADM1554" i="10" s="1"/>
  <c r="ADL1554" i="10" a="1"/>
  <c r="ADL1554" i="10" s="1"/>
  <c r="ADK1554" i="10" a="1"/>
  <c r="ADK1554" i="10" s="1"/>
  <c r="ADJ1554" i="10" a="1"/>
  <c r="ADJ1554" i="10" s="1"/>
  <c r="ADI1554" i="10" a="1"/>
  <c r="ADI1554" i="10" s="1"/>
  <c r="ADH1554" i="10" a="1"/>
  <c r="ADH1554" i="10" s="1"/>
  <c r="ADG1554" i="10" a="1"/>
  <c r="ADG1554" i="10" s="1"/>
  <c r="ADF1554" i="10" a="1"/>
  <c r="ADF1554" i="10" s="1"/>
  <c r="ADE1554" i="10" a="1"/>
  <c r="ADE1554" i="10" s="1"/>
  <c r="ADD1554" i="10" a="1"/>
  <c r="ADD1554" i="10" s="1"/>
  <c r="ADC1554" i="10" a="1"/>
  <c r="ADC1554" i="10" s="1"/>
  <c r="ADB1554" i="10" a="1"/>
  <c r="ADB1554" i="10" s="1"/>
  <c r="ADA1554" i="10" a="1"/>
  <c r="ADA1554" i="10" s="1"/>
  <c r="ACZ1554" i="10" a="1"/>
  <c r="ACZ1554" i="10" s="1"/>
  <c r="ACY1554" i="10" a="1"/>
  <c r="ACY1554" i="10" s="1"/>
  <c r="ACX1554" i="10" a="1"/>
  <c r="ACX1554" i="10" s="1"/>
  <c r="ACW1554" i="10" a="1"/>
  <c r="ACW1554" i="10" s="1"/>
  <c r="ACV1554" i="10" a="1"/>
  <c r="ACV1554" i="10" s="1"/>
  <c r="ACU1554" i="10" a="1"/>
  <c r="ACU1554" i="10" s="1"/>
  <c r="ACT1554" i="10" a="1"/>
  <c r="ACT1554" i="10" s="1"/>
  <c r="ACS1554" i="10" a="1"/>
  <c r="ACS1554" i="10" s="1"/>
  <c r="ACR1554" i="10" a="1"/>
  <c r="ACR1554" i="10" s="1"/>
  <c r="ACQ1554" i="10" a="1"/>
  <c r="ACQ1554" i="10" s="1"/>
  <c r="ACP1554" i="10" a="1"/>
  <c r="ACP1554" i="10" s="1"/>
  <c r="ACO1554" i="10" a="1"/>
  <c r="ACO1554" i="10" s="1"/>
  <c r="ACN1554" i="10" a="1"/>
  <c r="ACN1554" i="10" s="1"/>
  <c r="ACM1554" i="10" a="1"/>
  <c r="ACM1554" i="10" s="1"/>
  <c r="ACL1554" i="10" a="1"/>
  <c r="ACL1554" i="10" s="1"/>
  <c r="ACK1554" i="10" a="1"/>
  <c r="ACK1554" i="10" s="1"/>
  <c r="ACJ1554" i="10" a="1"/>
  <c r="ACJ1554" i="10" s="1"/>
  <c r="ACI1554" i="10" a="1"/>
  <c r="ACI1554" i="10" s="1"/>
  <c r="ACH1554" i="10" a="1"/>
  <c r="ACH1554" i="10" s="1"/>
  <c r="ACG1554" i="10" a="1"/>
  <c r="ACG1554" i="10" s="1"/>
  <c r="ACF1554" i="10" a="1"/>
  <c r="ACF1554" i="10" s="1"/>
  <c r="ACE1554" i="10" a="1"/>
  <c r="ACE1554" i="10" s="1"/>
  <c r="ACD1554" i="10" a="1"/>
  <c r="ACD1554" i="10" s="1"/>
  <c r="ACC1554" i="10" a="1"/>
  <c r="ACC1554" i="10" s="1"/>
  <c r="ACB1554" i="10" a="1"/>
  <c r="ACB1554" i="10" s="1"/>
  <c r="ACA1554" i="10" a="1"/>
  <c r="ACA1554" i="10" s="1"/>
  <c r="ABZ1554" i="10" a="1"/>
  <c r="ABZ1554" i="10" s="1"/>
  <c r="ABY1554" i="10" a="1"/>
  <c r="ABY1554" i="10" s="1"/>
  <c r="ABX1554" i="10" a="1"/>
  <c r="ABX1554" i="10" s="1"/>
  <c r="ABW1554" i="10" a="1"/>
  <c r="ABW1554" i="10" s="1"/>
  <c r="ABV1554" i="10" a="1"/>
  <c r="ABV1554" i="10" s="1"/>
  <c r="ABU1554" i="10" a="1"/>
  <c r="ABU1554" i="10" s="1"/>
  <c r="ABT1554" i="10" a="1"/>
  <c r="ABT1554" i="10" s="1"/>
  <c r="ABS1554" i="10" a="1"/>
  <c r="ABS1554" i="10" s="1"/>
  <c r="ABR1554" i="10" a="1"/>
  <c r="ABR1554" i="10" s="1"/>
  <c r="ABQ1554" i="10" a="1"/>
  <c r="ABQ1554" i="10" s="1"/>
  <c r="ABP1554" i="10" a="1"/>
  <c r="ABP1554" i="10" s="1"/>
  <c r="ABO1554" i="10" a="1"/>
  <c r="ABO1554" i="10" s="1"/>
  <c r="ABN1554" i="10" a="1"/>
  <c r="ABN1554" i="10" s="1"/>
  <c r="ABM1554" i="10" a="1"/>
  <c r="ABM1554" i="10" s="1"/>
  <c r="ABL1554" i="10" a="1"/>
  <c r="ABL1554" i="10" s="1"/>
  <c r="ABK1554" i="10" a="1"/>
  <c r="ABK1554" i="10" s="1"/>
  <c r="ABJ1554" i="10" a="1"/>
  <c r="ABJ1554" i="10" s="1"/>
  <c r="ABI1554" i="10" a="1"/>
  <c r="ABI1554" i="10" s="1"/>
  <c r="ABH1554" i="10" a="1"/>
  <c r="ABH1554" i="10" s="1"/>
  <c r="ABG1554" i="10" a="1"/>
  <c r="ABG1554" i="10" s="1"/>
  <c r="ABF1554" i="10" a="1"/>
  <c r="ABF1554" i="10" s="1"/>
  <c r="ABE1554" i="10" a="1"/>
  <c r="ABE1554" i="10" s="1"/>
  <c r="ABD1554" i="10" a="1"/>
  <c r="ABD1554" i="10" s="1"/>
  <c r="ABC1554" i="10" a="1"/>
  <c r="ABC1554" i="10" s="1"/>
  <c r="ABB1554" i="10" a="1"/>
  <c r="ABB1554" i="10" s="1"/>
  <c r="ABA1554" i="10" a="1"/>
  <c r="ABA1554" i="10" s="1"/>
  <c r="AAZ1554" i="10" a="1"/>
  <c r="AAZ1554" i="10" s="1"/>
  <c r="AAY1554" i="10" a="1"/>
  <c r="AAY1554" i="10" s="1"/>
  <c r="AAX1554" i="10" a="1"/>
  <c r="AAX1554" i="10" s="1"/>
  <c r="AAW1554" i="10" a="1"/>
  <c r="AAW1554" i="10" s="1"/>
  <c r="AAV1554" i="10" a="1"/>
  <c r="AAV1554" i="10" s="1"/>
  <c r="AAU1554" i="10" a="1"/>
  <c r="AAU1554" i="10" s="1"/>
  <c r="AAT1554" i="10" a="1"/>
  <c r="AAT1554" i="10" s="1"/>
  <c r="AAS1554" i="10" a="1"/>
  <c r="AAS1554" i="10" s="1"/>
  <c r="AAR1554" i="10" a="1"/>
  <c r="AAR1554" i="10" s="1"/>
  <c r="AAQ1554" i="10" a="1"/>
  <c r="AAQ1554" i="10" s="1"/>
  <c r="AAP1554" i="10" a="1"/>
  <c r="AAP1554" i="10" s="1"/>
  <c r="AAO1554" i="10" a="1"/>
  <c r="AAO1554" i="10" s="1"/>
  <c r="AAN1554" i="10" a="1"/>
  <c r="AAN1554" i="10" s="1"/>
  <c r="AAM1554" i="10" a="1"/>
  <c r="AAM1554" i="10" s="1"/>
  <c r="AAL1554" i="10" a="1"/>
  <c r="AAL1554" i="10" s="1"/>
  <c r="AAK1554" i="10" a="1"/>
  <c r="AAK1554" i="10" s="1"/>
  <c r="AAJ1554" i="10" a="1"/>
  <c r="AAJ1554" i="10" s="1"/>
  <c r="AAI1554" i="10" a="1"/>
  <c r="AAI1554" i="10" s="1"/>
  <c r="AAH1554" i="10" a="1"/>
  <c r="AAH1554" i="10" s="1"/>
  <c r="AAG1554" i="10" a="1"/>
  <c r="AAG1554" i="10" s="1"/>
  <c r="AAF1554" i="10" a="1"/>
  <c r="AAF1554" i="10" s="1"/>
  <c r="AAE1554" i="10" a="1"/>
  <c r="AAE1554" i="10" s="1"/>
  <c r="AAD1554" i="10" a="1"/>
  <c r="AAD1554" i="10" s="1"/>
  <c r="AAC1554" i="10" a="1"/>
  <c r="AAC1554" i="10" s="1"/>
  <c r="AAB1554" i="10" a="1"/>
  <c r="AAB1554" i="10" s="1"/>
  <c r="AAA1554" i="10" a="1"/>
  <c r="AAA1554" i="10" s="1"/>
  <c r="ZZ1554" i="10" a="1"/>
  <c r="ZZ1554" i="10" s="1"/>
  <c r="ZY1554" i="10" a="1"/>
  <c r="ZY1554" i="10" s="1"/>
  <c r="ZX1554" i="10" a="1"/>
  <c r="ZX1554" i="10" s="1"/>
  <c r="ZW1554" i="10" a="1"/>
  <c r="ZW1554" i="10" s="1"/>
  <c r="ZV1554" i="10" a="1"/>
  <c r="ZV1554" i="10" s="1"/>
  <c r="ZU1554" i="10" a="1"/>
  <c r="ZU1554" i="10" s="1"/>
  <c r="ZT1554" i="10" a="1"/>
  <c r="ZT1554" i="10" s="1"/>
  <c r="ZS1554" i="10" a="1"/>
  <c r="ZS1554" i="10" s="1"/>
  <c r="ZR1554" i="10" a="1"/>
  <c r="ZR1554" i="10" s="1"/>
  <c r="ZQ1554" i="10" a="1"/>
  <c r="ZQ1554" i="10" s="1"/>
  <c r="ZP1554" i="10" a="1"/>
  <c r="ZP1554" i="10" s="1"/>
  <c r="ZO1554" i="10" a="1"/>
  <c r="ZO1554" i="10" s="1"/>
  <c r="ZN1554" i="10" a="1"/>
  <c r="ZN1554" i="10" s="1"/>
  <c r="ZM1554" i="10" a="1"/>
  <c r="ZM1554" i="10" s="1"/>
  <c r="ZL1554" i="10" a="1"/>
  <c r="ZL1554" i="10" s="1"/>
  <c r="ZK1554" i="10" a="1"/>
  <c r="ZK1554" i="10" s="1"/>
  <c r="ZJ1554" i="10" a="1"/>
  <c r="ZJ1554" i="10" s="1"/>
  <c r="ZI1554" i="10" a="1"/>
  <c r="ZI1554" i="10" s="1"/>
  <c r="ZH1554" i="10" a="1"/>
  <c r="ZH1554" i="10" s="1"/>
  <c r="ZG1554" i="10" a="1"/>
  <c r="ZG1554" i="10" s="1"/>
  <c r="ZF1554" i="10" a="1"/>
  <c r="ZF1554" i="10" s="1"/>
  <c r="ZE1554" i="10" a="1"/>
  <c r="ZE1554" i="10" s="1"/>
  <c r="ZD1554" i="10" a="1"/>
  <c r="ZD1554" i="10" s="1"/>
  <c r="ZC1554" i="10" a="1"/>
  <c r="ZC1554" i="10" s="1"/>
  <c r="ZB1554" i="10" a="1"/>
  <c r="ZB1554" i="10" s="1"/>
  <c r="ZA1554" i="10" a="1"/>
  <c r="ZA1554" i="10" s="1"/>
  <c r="YZ1554" i="10" a="1"/>
  <c r="YZ1554" i="10" s="1"/>
  <c r="YY1554" i="10" a="1"/>
  <c r="YY1554" i="10" s="1"/>
  <c r="YX1554" i="10" a="1"/>
  <c r="YX1554" i="10" s="1"/>
  <c r="YW1554" i="10" a="1"/>
  <c r="YW1554" i="10" s="1"/>
  <c r="YV1554" i="10" a="1"/>
  <c r="YV1554" i="10" s="1"/>
  <c r="YU1554" i="10" a="1"/>
  <c r="YU1554" i="10" s="1"/>
  <c r="YT1554" i="10" a="1"/>
  <c r="YT1554" i="10" s="1"/>
  <c r="YS1554" i="10" a="1"/>
  <c r="YS1554" i="10" s="1"/>
  <c r="YR1554" i="10" a="1"/>
  <c r="YR1554" i="10" s="1"/>
  <c r="YQ1554" i="10" a="1"/>
  <c r="YQ1554" i="10" s="1"/>
  <c r="YP1554" i="10" a="1"/>
  <c r="YP1554" i="10" s="1"/>
  <c r="YO1554" i="10" a="1"/>
  <c r="YO1554" i="10" s="1"/>
  <c r="YN1554" i="10" a="1"/>
  <c r="YN1554" i="10" s="1"/>
  <c r="YM1554" i="10" a="1"/>
  <c r="YM1554" i="10" s="1"/>
  <c r="YL1554" i="10" a="1"/>
  <c r="YL1554" i="10" s="1"/>
  <c r="YK1554" i="10" a="1"/>
  <c r="YK1554" i="10" s="1"/>
  <c r="YJ1554" i="10" a="1"/>
  <c r="YJ1554" i="10" s="1"/>
  <c r="YI1554" i="10" a="1"/>
  <c r="YI1554" i="10" s="1"/>
  <c r="YH1554" i="10" a="1"/>
  <c r="YH1554" i="10" s="1"/>
  <c r="YG1554" i="10" a="1"/>
  <c r="YG1554" i="10" s="1"/>
  <c r="YF1554" i="10" a="1"/>
  <c r="YF1554" i="10" s="1"/>
  <c r="YE1554" i="10" a="1"/>
  <c r="YE1554" i="10" s="1"/>
  <c r="YD1554" i="10" a="1"/>
  <c r="YD1554" i="10" s="1"/>
  <c r="YC1554" i="10" a="1"/>
  <c r="YC1554" i="10" s="1"/>
  <c r="YB1554" i="10" a="1"/>
  <c r="YB1554" i="10" s="1"/>
  <c r="YA1554" i="10" a="1"/>
  <c r="YA1554" i="10" s="1"/>
  <c r="XZ1554" i="10" a="1"/>
  <c r="XZ1554" i="10" s="1"/>
  <c r="XY1554" i="10" a="1"/>
  <c r="XY1554" i="10" s="1"/>
  <c r="XX1554" i="10" a="1"/>
  <c r="XX1554" i="10" s="1"/>
  <c r="XW1554" i="10" a="1"/>
  <c r="XW1554" i="10" s="1"/>
  <c r="XV1554" i="10" a="1"/>
  <c r="XV1554" i="10" s="1"/>
  <c r="XU1554" i="10" a="1"/>
  <c r="XU1554" i="10" s="1"/>
  <c r="XT1554" i="10" a="1"/>
  <c r="XT1554" i="10" s="1"/>
  <c r="XS1554" i="10" a="1"/>
  <c r="XS1554" i="10" s="1"/>
  <c r="XR1554" i="10" a="1"/>
  <c r="XR1554" i="10" s="1"/>
  <c r="XQ1554" i="10" a="1"/>
  <c r="XQ1554" i="10" s="1"/>
  <c r="XP1554" i="10" a="1"/>
  <c r="XP1554" i="10" s="1"/>
  <c r="XO1554" i="10" a="1"/>
  <c r="XO1554" i="10" s="1"/>
  <c r="XN1554" i="10" a="1"/>
  <c r="XN1554" i="10" s="1"/>
  <c r="XM1554" i="10" a="1"/>
  <c r="XM1554" i="10" s="1"/>
  <c r="XL1554" i="10" a="1"/>
  <c r="XL1554" i="10" s="1"/>
  <c r="XK1554" i="10" a="1"/>
  <c r="XK1554" i="10" s="1"/>
  <c r="XJ1554" i="10" a="1"/>
  <c r="XJ1554" i="10" s="1"/>
  <c r="XI1554" i="10" a="1"/>
  <c r="XI1554" i="10" s="1"/>
  <c r="XH1554" i="10" a="1"/>
  <c r="XH1554" i="10" s="1"/>
  <c r="XG1554" i="10" a="1"/>
  <c r="XG1554" i="10" s="1"/>
  <c r="XF1554" i="10" a="1"/>
  <c r="XF1554" i="10" s="1"/>
  <c r="XE1554" i="10" a="1"/>
  <c r="XE1554" i="10" s="1"/>
  <c r="XD1554" i="10" a="1"/>
  <c r="XD1554" i="10" s="1"/>
  <c r="XC1554" i="10" a="1"/>
  <c r="XC1554" i="10" s="1"/>
  <c r="XB1554" i="10" a="1"/>
  <c r="XB1554" i="10" s="1"/>
  <c r="XA1554" i="10" a="1"/>
  <c r="XA1554" i="10" s="1"/>
  <c r="WZ1554" i="10" a="1"/>
  <c r="WZ1554" i="10" s="1"/>
  <c r="WY1554" i="10" a="1"/>
  <c r="WY1554" i="10" s="1"/>
  <c r="WX1554" i="10" a="1"/>
  <c r="WX1554" i="10" s="1"/>
  <c r="WW1554" i="10" a="1"/>
  <c r="WW1554" i="10" s="1"/>
  <c r="WV1554" i="10" a="1"/>
  <c r="WV1554" i="10" s="1"/>
  <c r="WU1554" i="10" a="1"/>
  <c r="WU1554" i="10" s="1"/>
  <c r="WT1554" i="10" a="1"/>
  <c r="WT1554" i="10" s="1"/>
  <c r="WS1554" i="10" a="1"/>
  <c r="WS1554" i="10" s="1"/>
  <c r="WR1554" i="10" a="1"/>
  <c r="WR1554" i="10" s="1"/>
  <c r="WQ1554" i="10" a="1"/>
  <c r="WQ1554" i="10" s="1"/>
  <c r="WP1554" i="10" a="1"/>
  <c r="WP1554" i="10" s="1"/>
  <c r="WO1554" i="10" a="1"/>
  <c r="WO1554" i="10" s="1"/>
  <c r="WN1554" i="10" a="1"/>
  <c r="WN1554" i="10" s="1"/>
  <c r="WM1554" i="10" a="1"/>
  <c r="WM1554" i="10" s="1"/>
  <c r="WL1554" i="10" a="1"/>
  <c r="WL1554" i="10" s="1"/>
  <c r="WK1554" i="10" a="1"/>
  <c r="WK1554" i="10" s="1"/>
  <c r="WJ1554" i="10" a="1"/>
  <c r="WJ1554" i="10" s="1"/>
  <c r="WI1554" i="10" a="1"/>
  <c r="WI1554" i="10" s="1"/>
  <c r="WH1554" i="10" a="1"/>
  <c r="WH1554" i="10" s="1"/>
  <c r="WG1554" i="10" a="1"/>
  <c r="WG1554" i="10" s="1"/>
  <c r="WF1554" i="10" a="1"/>
  <c r="WF1554" i="10" s="1"/>
  <c r="WE1554" i="10" a="1"/>
  <c r="WE1554" i="10" s="1"/>
  <c r="WD1554" i="10" a="1"/>
  <c r="WD1554" i="10" s="1"/>
  <c r="WC1554" i="10" a="1"/>
  <c r="WC1554" i="10" s="1"/>
  <c r="WB1554" i="10" a="1"/>
  <c r="WB1554" i="10" s="1"/>
  <c r="WA1554" i="10" a="1"/>
  <c r="WA1554" i="10" s="1"/>
  <c r="VZ1554" i="10" a="1"/>
  <c r="VZ1554" i="10" s="1"/>
  <c r="VY1554" i="10" a="1"/>
  <c r="VY1554" i="10" s="1"/>
  <c r="VX1554" i="10" a="1"/>
  <c r="VX1554" i="10" s="1"/>
  <c r="VW1554" i="10" a="1"/>
  <c r="VW1554" i="10" s="1"/>
  <c r="VV1554" i="10" a="1"/>
  <c r="VV1554" i="10" s="1"/>
  <c r="VU1554" i="10" a="1"/>
  <c r="VU1554" i="10" s="1"/>
  <c r="VT1554" i="10" a="1"/>
  <c r="VT1554" i="10" s="1"/>
  <c r="VS1554" i="10" a="1"/>
  <c r="VS1554" i="10" s="1"/>
  <c r="VR1554" i="10" a="1"/>
  <c r="VR1554" i="10" s="1"/>
  <c r="VQ1554" i="10" a="1"/>
  <c r="VQ1554" i="10" s="1"/>
  <c r="VP1554" i="10" a="1"/>
  <c r="VP1554" i="10" s="1"/>
  <c r="VO1554" i="10" a="1"/>
  <c r="VO1554" i="10" s="1"/>
  <c r="VN1554" i="10" a="1"/>
  <c r="VN1554" i="10" s="1"/>
  <c r="VM1554" i="10" a="1"/>
  <c r="VM1554" i="10" s="1"/>
  <c r="VL1554" i="10" a="1"/>
  <c r="VL1554" i="10" s="1"/>
  <c r="VK1554" i="10" a="1"/>
  <c r="VK1554" i="10" s="1"/>
  <c r="VJ1554" i="10" a="1"/>
  <c r="VJ1554" i="10" s="1"/>
  <c r="VI1554" i="10" a="1"/>
  <c r="VI1554" i="10" s="1"/>
  <c r="VH1554" i="10" a="1"/>
  <c r="VH1554" i="10" s="1"/>
  <c r="VG1554" i="10" a="1"/>
  <c r="VG1554" i="10" s="1"/>
  <c r="VF1554" i="10" a="1"/>
  <c r="VF1554" i="10" s="1"/>
  <c r="VE1554" i="10" a="1"/>
  <c r="VE1554" i="10" s="1"/>
  <c r="VD1554" i="10" a="1"/>
  <c r="VD1554" i="10" s="1"/>
  <c r="VC1554" i="10" a="1"/>
  <c r="VC1554" i="10" s="1"/>
  <c r="VB1554" i="10" a="1"/>
  <c r="VB1554" i="10" s="1"/>
  <c r="VA1554" i="10" a="1"/>
  <c r="VA1554" i="10" s="1"/>
  <c r="UZ1554" i="10" a="1"/>
  <c r="UZ1554" i="10" s="1"/>
  <c r="UY1554" i="10" a="1"/>
  <c r="UY1554" i="10" s="1"/>
  <c r="UX1554" i="10" a="1"/>
  <c r="UX1554" i="10" s="1"/>
  <c r="UW1554" i="10" a="1"/>
  <c r="UW1554" i="10" s="1"/>
  <c r="UV1554" i="10" a="1"/>
  <c r="UV1554" i="10" s="1"/>
  <c r="UU1554" i="10" a="1"/>
  <c r="UU1554" i="10" s="1"/>
  <c r="UT1554" i="10" a="1"/>
  <c r="UT1554" i="10" s="1"/>
  <c r="US1554" i="10" a="1"/>
  <c r="US1554" i="10" s="1"/>
  <c r="UR1554" i="10" a="1"/>
  <c r="UR1554" i="10" s="1"/>
  <c r="UQ1554" i="10" a="1"/>
  <c r="UQ1554" i="10" s="1"/>
  <c r="UP1554" i="10" a="1"/>
  <c r="UP1554" i="10" s="1"/>
  <c r="UO1554" i="10" a="1"/>
  <c r="UO1554" i="10" s="1"/>
  <c r="UN1554" i="10" a="1"/>
  <c r="UN1554" i="10" s="1"/>
  <c r="UM1554" i="10" a="1"/>
  <c r="UM1554" i="10" s="1"/>
  <c r="UL1554" i="10" a="1"/>
  <c r="UL1554" i="10" s="1"/>
  <c r="UK1554" i="10" a="1"/>
  <c r="UK1554" i="10" s="1"/>
  <c r="UJ1554" i="10" a="1"/>
  <c r="UJ1554" i="10" s="1"/>
  <c r="UI1554" i="10" a="1"/>
  <c r="UI1554" i="10" s="1"/>
  <c r="UH1554" i="10" a="1"/>
  <c r="UH1554" i="10" s="1"/>
  <c r="UG1554" i="10" a="1"/>
  <c r="UG1554" i="10" s="1"/>
  <c r="UF1554" i="10" a="1"/>
  <c r="UF1554" i="10" s="1"/>
  <c r="UE1554" i="10" a="1"/>
  <c r="UE1554" i="10" s="1"/>
  <c r="UD1554" i="10" a="1"/>
  <c r="UD1554" i="10" s="1"/>
  <c r="UC1554" i="10" a="1"/>
  <c r="UC1554" i="10" s="1"/>
  <c r="UB1554" i="10" a="1"/>
  <c r="UB1554" i="10" s="1"/>
  <c r="UA1554" i="10" a="1"/>
  <c r="UA1554" i="10" s="1"/>
  <c r="TZ1554" i="10" a="1"/>
  <c r="TZ1554" i="10" s="1"/>
  <c r="TY1554" i="10" a="1"/>
  <c r="TY1554" i="10" s="1"/>
  <c r="TX1554" i="10" a="1"/>
  <c r="TX1554" i="10" s="1"/>
  <c r="TW1554" i="10" a="1"/>
  <c r="TW1554" i="10" s="1"/>
  <c r="TV1554" i="10" a="1"/>
  <c r="TV1554" i="10" s="1"/>
  <c r="TU1554" i="10" a="1"/>
  <c r="TU1554" i="10" s="1"/>
  <c r="TT1554" i="10" a="1"/>
  <c r="TT1554" i="10" s="1"/>
  <c r="TS1554" i="10" a="1"/>
  <c r="TS1554" i="10" s="1"/>
  <c r="TR1554" i="10" a="1"/>
  <c r="TR1554" i="10" s="1"/>
  <c r="TQ1554" i="10" a="1"/>
  <c r="TQ1554" i="10" s="1"/>
  <c r="TP1554" i="10" a="1"/>
  <c r="TP1554" i="10" s="1"/>
  <c r="TO1554" i="10" a="1"/>
  <c r="TO1554" i="10" s="1"/>
  <c r="TN1554" i="10" a="1"/>
  <c r="TN1554" i="10" s="1"/>
  <c r="TM1554" i="10" a="1"/>
  <c r="TM1554" i="10" s="1"/>
  <c r="TL1554" i="10" a="1"/>
  <c r="TL1554" i="10" s="1"/>
  <c r="TK1554" i="10" a="1"/>
  <c r="TK1554" i="10" s="1"/>
  <c r="TJ1554" i="10" a="1"/>
  <c r="TJ1554" i="10" s="1"/>
  <c r="TI1554" i="10" a="1"/>
  <c r="TI1554" i="10" s="1"/>
  <c r="TH1554" i="10" a="1"/>
  <c r="TH1554" i="10" s="1"/>
  <c r="TG1554" i="10" a="1"/>
  <c r="TG1554" i="10" s="1"/>
  <c r="TF1554" i="10" a="1"/>
  <c r="TF1554" i="10" s="1"/>
  <c r="TE1554" i="10" a="1"/>
  <c r="TE1554" i="10" s="1"/>
  <c r="TD1554" i="10" a="1"/>
  <c r="TD1554" i="10" s="1"/>
  <c r="TC1554" i="10" a="1"/>
  <c r="TC1554" i="10" s="1"/>
  <c r="TB1554" i="10" a="1"/>
  <c r="TB1554" i="10" s="1"/>
  <c r="TA1554" i="10" a="1"/>
  <c r="TA1554" i="10" s="1"/>
  <c r="SZ1554" i="10" a="1"/>
  <c r="SZ1554" i="10" s="1"/>
  <c r="SY1554" i="10" a="1"/>
  <c r="SY1554" i="10" s="1"/>
  <c r="SX1554" i="10" a="1"/>
  <c r="SX1554" i="10" s="1"/>
  <c r="SW1554" i="10" a="1"/>
  <c r="SW1554" i="10" s="1"/>
  <c r="SV1554" i="10" a="1"/>
  <c r="SV1554" i="10" s="1"/>
  <c r="SU1554" i="10" a="1"/>
  <c r="SU1554" i="10" s="1"/>
  <c r="ST1554" i="10" a="1"/>
  <c r="ST1554" i="10" s="1"/>
  <c r="SS1554" i="10" a="1"/>
  <c r="SS1554" i="10" s="1"/>
  <c r="SR1554" i="10" a="1"/>
  <c r="SR1554" i="10" s="1"/>
  <c r="SQ1554" i="10" a="1"/>
  <c r="SQ1554" i="10" s="1"/>
  <c r="SP1554" i="10" a="1"/>
  <c r="SP1554" i="10" s="1"/>
  <c r="SO1554" i="10" a="1"/>
  <c r="SO1554" i="10" s="1"/>
  <c r="SN1554" i="10" a="1"/>
  <c r="SN1554" i="10" s="1"/>
  <c r="SM1554" i="10" a="1"/>
  <c r="SM1554" i="10" s="1"/>
  <c r="SL1554" i="10" a="1"/>
  <c r="SL1554" i="10" s="1"/>
  <c r="SK1554" i="10" a="1"/>
  <c r="SK1554" i="10" s="1"/>
  <c r="SJ1554" i="10" a="1"/>
  <c r="SJ1554" i="10" s="1"/>
  <c r="SI1554" i="10" a="1"/>
  <c r="SI1554" i="10" s="1"/>
  <c r="SH1554" i="10" a="1"/>
  <c r="SH1554" i="10" s="1"/>
  <c r="SG1554" i="10" a="1"/>
  <c r="SG1554" i="10" s="1"/>
  <c r="SF1554" i="10" a="1"/>
  <c r="SF1554" i="10" s="1"/>
  <c r="SE1554" i="10" a="1"/>
  <c r="SE1554" i="10" s="1"/>
  <c r="SD1554" i="10" a="1"/>
  <c r="SD1554" i="10" s="1"/>
  <c r="SC1554" i="10" a="1"/>
  <c r="SC1554" i="10" s="1"/>
  <c r="SB1554" i="10" a="1"/>
  <c r="SB1554" i="10" s="1"/>
  <c r="SA1554" i="10" a="1"/>
  <c r="SA1554" i="10" s="1"/>
  <c r="RZ1554" i="10" a="1"/>
  <c r="RZ1554" i="10" s="1"/>
  <c r="RY1554" i="10" a="1"/>
  <c r="RY1554" i="10" s="1"/>
  <c r="RX1554" i="10" a="1"/>
  <c r="RX1554" i="10" s="1"/>
  <c r="RW1554" i="10" a="1"/>
  <c r="RW1554" i="10" s="1"/>
  <c r="RV1554" i="10" a="1"/>
  <c r="RV1554" i="10" s="1"/>
  <c r="RU1554" i="10" a="1"/>
  <c r="RU1554" i="10" s="1"/>
  <c r="RT1554" i="10" a="1"/>
  <c r="RT1554" i="10" s="1"/>
  <c r="RS1554" i="10" a="1"/>
  <c r="RS1554" i="10" s="1"/>
  <c r="RR1554" i="10" a="1"/>
  <c r="RR1554" i="10" s="1"/>
  <c r="RQ1554" i="10" a="1"/>
  <c r="RQ1554" i="10" s="1"/>
  <c r="RP1554" i="10" a="1"/>
  <c r="RP1554" i="10" s="1"/>
  <c r="RO1554" i="10" a="1"/>
  <c r="RO1554" i="10" s="1"/>
  <c r="RN1554" i="10" a="1"/>
  <c r="RN1554" i="10" s="1"/>
  <c r="RM1554" i="10" a="1"/>
  <c r="RM1554" i="10" s="1"/>
  <c r="RL1554" i="10" a="1"/>
  <c r="RL1554" i="10" s="1"/>
  <c r="RK1554" i="10" a="1"/>
  <c r="RK1554" i="10" s="1"/>
  <c r="RJ1554" i="10" a="1"/>
  <c r="RJ1554" i="10" s="1"/>
  <c r="RI1554" i="10" a="1"/>
  <c r="RI1554" i="10" s="1"/>
  <c r="RH1554" i="10" a="1"/>
  <c r="RH1554" i="10" s="1"/>
  <c r="RG1554" i="10" a="1"/>
  <c r="RG1554" i="10" s="1"/>
  <c r="RF1554" i="10" a="1"/>
  <c r="RF1554" i="10" s="1"/>
  <c r="RE1554" i="10" a="1"/>
  <c r="RE1554" i="10" s="1"/>
  <c r="RD1554" i="10" a="1"/>
  <c r="RD1554" i="10" s="1"/>
  <c r="RC1554" i="10" a="1"/>
  <c r="RC1554" i="10" s="1"/>
  <c r="RB1554" i="10" a="1"/>
  <c r="RB1554" i="10" s="1"/>
  <c r="RA1554" i="10" a="1"/>
  <c r="RA1554" i="10" s="1"/>
  <c r="QZ1554" i="10" a="1"/>
  <c r="QZ1554" i="10" s="1"/>
  <c r="QY1554" i="10" a="1"/>
  <c r="QY1554" i="10" s="1"/>
  <c r="QX1554" i="10" a="1"/>
  <c r="QX1554" i="10" s="1"/>
  <c r="QW1554" i="10" a="1"/>
  <c r="QW1554" i="10" s="1"/>
  <c r="QV1554" i="10" a="1"/>
  <c r="QV1554" i="10" s="1"/>
  <c r="QU1554" i="10" a="1"/>
  <c r="QU1554" i="10" s="1"/>
  <c r="QT1554" i="10" a="1"/>
  <c r="QT1554" i="10" s="1"/>
  <c r="QS1554" i="10" a="1"/>
  <c r="QS1554" i="10" s="1"/>
  <c r="QR1554" i="10" a="1"/>
  <c r="QR1554" i="10" s="1"/>
  <c r="QQ1554" i="10" a="1"/>
  <c r="QQ1554" i="10" s="1"/>
  <c r="QP1554" i="10" a="1"/>
  <c r="QP1554" i="10" s="1"/>
  <c r="QO1554" i="10" a="1"/>
  <c r="QO1554" i="10" s="1"/>
  <c r="QN1554" i="10" a="1"/>
  <c r="QN1554" i="10" s="1"/>
  <c r="QM1554" i="10" a="1"/>
  <c r="QM1554" i="10" s="1"/>
  <c r="QL1554" i="10" a="1"/>
  <c r="QL1554" i="10" s="1"/>
  <c r="QK1554" i="10" a="1"/>
  <c r="QK1554" i="10" s="1"/>
  <c r="QJ1554" i="10" a="1"/>
  <c r="QJ1554" i="10" s="1"/>
  <c r="QI1554" i="10" a="1"/>
  <c r="QI1554" i="10" s="1"/>
  <c r="QH1554" i="10" a="1"/>
  <c r="QH1554" i="10" s="1"/>
  <c r="QG1554" i="10" a="1"/>
  <c r="QG1554" i="10" s="1"/>
  <c r="QF1554" i="10" a="1"/>
  <c r="QF1554" i="10" s="1"/>
  <c r="QE1554" i="10" a="1"/>
  <c r="QE1554" i="10" s="1"/>
  <c r="QD1554" i="10" a="1"/>
  <c r="QD1554" i="10" s="1"/>
  <c r="QC1554" i="10" a="1"/>
  <c r="QC1554" i="10" s="1"/>
  <c r="QB1554" i="10" a="1"/>
  <c r="QB1554" i="10" s="1"/>
  <c r="QA1554" i="10" a="1"/>
  <c r="QA1554" i="10" s="1"/>
  <c r="PZ1554" i="10" a="1"/>
  <c r="PZ1554" i="10" s="1"/>
  <c r="PY1554" i="10" a="1"/>
  <c r="PY1554" i="10" s="1"/>
  <c r="PX1554" i="10" a="1"/>
  <c r="PX1554" i="10" s="1"/>
  <c r="PW1554" i="10" a="1"/>
  <c r="PW1554" i="10" s="1"/>
  <c r="PV1554" i="10" a="1"/>
  <c r="PV1554" i="10" s="1"/>
  <c r="PU1554" i="10" a="1"/>
  <c r="PU1554" i="10" s="1"/>
  <c r="PT1554" i="10" a="1"/>
  <c r="PT1554" i="10" s="1"/>
  <c r="PS1554" i="10" a="1"/>
  <c r="PS1554" i="10" s="1"/>
  <c r="PR1554" i="10" a="1"/>
  <c r="PR1554" i="10" s="1"/>
  <c r="PQ1554" i="10" a="1"/>
  <c r="PQ1554" i="10" s="1"/>
  <c r="PP1554" i="10" a="1"/>
  <c r="PP1554" i="10" s="1"/>
  <c r="PO1554" i="10" a="1"/>
  <c r="PO1554" i="10" s="1"/>
  <c r="PN1554" i="10" a="1"/>
  <c r="PN1554" i="10" s="1"/>
  <c r="PM1554" i="10" a="1"/>
  <c r="PM1554" i="10" s="1"/>
  <c r="PL1554" i="10" a="1"/>
  <c r="PL1554" i="10" s="1"/>
  <c r="PK1554" i="10" a="1"/>
  <c r="PK1554" i="10" s="1"/>
  <c r="PJ1554" i="10" a="1"/>
  <c r="PJ1554" i="10" s="1"/>
  <c r="PI1554" i="10" a="1"/>
  <c r="PI1554" i="10" s="1"/>
  <c r="PH1554" i="10" a="1"/>
  <c r="PH1554" i="10" s="1"/>
  <c r="PG1554" i="10" a="1"/>
  <c r="PG1554" i="10" s="1"/>
  <c r="PF1554" i="10" a="1"/>
  <c r="PF1554" i="10" s="1"/>
  <c r="PE1554" i="10" a="1"/>
  <c r="PE1554" i="10" s="1"/>
  <c r="PD1554" i="10" a="1"/>
  <c r="PD1554" i="10" s="1"/>
  <c r="PC1554" i="10" a="1"/>
  <c r="PC1554" i="10" s="1"/>
  <c r="PB1554" i="10" a="1"/>
  <c r="PB1554" i="10" s="1"/>
  <c r="PA1554" i="10" a="1"/>
  <c r="PA1554" i="10" s="1"/>
  <c r="OZ1554" i="10" a="1"/>
  <c r="OZ1554" i="10" s="1"/>
  <c r="OY1554" i="10" a="1"/>
  <c r="OY1554" i="10" s="1"/>
  <c r="OX1554" i="10" a="1"/>
  <c r="OX1554" i="10" s="1"/>
  <c r="OW1554" i="10" a="1"/>
  <c r="OW1554" i="10" s="1"/>
  <c r="OV1554" i="10" a="1"/>
  <c r="OV1554" i="10" s="1"/>
  <c r="OU1554" i="10" a="1"/>
  <c r="OU1554" i="10" s="1"/>
  <c r="OT1554" i="10" a="1"/>
  <c r="OT1554" i="10" s="1"/>
  <c r="OS1554" i="10" a="1"/>
  <c r="OS1554" i="10" s="1"/>
  <c r="OR1554" i="10" a="1"/>
  <c r="OR1554" i="10" s="1"/>
  <c r="OQ1554" i="10" a="1"/>
  <c r="OQ1554" i="10" s="1"/>
  <c r="OP1554" i="10" a="1"/>
  <c r="OP1554" i="10" s="1"/>
  <c r="OO1554" i="10" a="1"/>
  <c r="OO1554" i="10" s="1"/>
  <c r="ON1554" i="10" a="1"/>
  <c r="ON1554" i="10" s="1"/>
  <c r="OM1554" i="10" a="1"/>
  <c r="OM1554" i="10" s="1"/>
  <c r="OL1554" i="10" a="1"/>
  <c r="OL1554" i="10" s="1"/>
  <c r="OK1554" i="10" a="1"/>
  <c r="OK1554" i="10" s="1"/>
  <c r="OJ1554" i="10" a="1"/>
  <c r="OJ1554" i="10" s="1"/>
  <c r="OI1554" i="10" a="1"/>
  <c r="OI1554" i="10" s="1"/>
  <c r="OH1554" i="10" a="1"/>
  <c r="OH1554" i="10" s="1"/>
  <c r="OG1554" i="10" a="1"/>
  <c r="OG1554" i="10" s="1"/>
  <c r="OF1554" i="10" a="1"/>
  <c r="OF1554" i="10" s="1"/>
  <c r="OE1554" i="10" a="1"/>
  <c r="OE1554" i="10" s="1"/>
  <c r="OD1554" i="10" a="1"/>
  <c r="OD1554" i="10" s="1"/>
  <c r="OC1554" i="10" a="1"/>
  <c r="OC1554" i="10" s="1"/>
  <c r="OB1554" i="10" a="1"/>
  <c r="OB1554" i="10" s="1"/>
  <c r="OA1554" i="10" a="1"/>
  <c r="OA1554" i="10" s="1"/>
  <c r="NZ1554" i="10" a="1"/>
  <c r="NZ1554" i="10" s="1"/>
  <c r="NY1554" i="10" a="1"/>
  <c r="NY1554" i="10" s="1"/>
  <c r="NX1554" i="10" a="1"/>
  <c r="NX1554" i="10" s="1"/>
  <c r="NW1554" i="10" a="1"/>
  <c r="NW1554" i="10" s="1"/>
  <c r="NV1554" i="10" a="1"/>
  <c r="NV1554" i="10" s="1"/>
  <c r="NU1554" i="10" a="1"/>
  <c r="NU1554" i="10" s="1"/>
  <c r="NT1554" i="10" a="1"/>
  <c r="NT1554" i="10" s="1"/>
  <c r="NS1554" i="10" a="1"/>
  <c r="NS1554" i="10" s="1"/>
  <c r="NR1554" i="10" a="1"/>
  <c r="NR1554" i="10" s="1"/>
  <c r="NQ1554" i="10" a="1"/>
  <c r="NQ1554" i="10" s="1"/>
  <c r="NP1554" i="10" a="1"/>
  <c r="NP1554" i="10" s="1"/>
  <c r="NO1554" i="10" a="1"/>
  <c r="NO1554" i="10" s="1"/>
  <c r="NN1554" i="10" a="1"/>
  <c r="NN1554" i="10" s="1"/>
  <c r="NM1554" i="10" a="1"/>
  <c r="NM1554" i="10" s="1"/>
  <c r="NL1554" i="10" a="1"/>
  <c r="NL1554" i="10" s="1"/>
  <c r="NK1554" i="10" a="1"/>
  <c r="NK1554" i="10" s="1"/>
  <c r="NJ1554" i="10" a="1"/>
  <c r="NJ1554" i="10" s="1"/>
  <c r="NI1554" i="10" a="1"/>
  <c r="NI1554" i="10" s="1"/>
  <c r="NH1554" i="10" a="1"/>
  <c r="NH1554" i="10" s="1"/>
  <c r="NG1554" i="10" a="1"/>
  <c r="NG1554" i="10" s="1"/>
  <c r="NF1554" i="10" a="1"/>
  <c r="NF1554" i="10" s="1"/>
  <c r="NE1554" i="10" a="1"/>
  <c r="NE1554" i="10" s="1"/>
  <c r="ND1554" i="10" a="1"/>
  <c r="ND1554" i="10" s="1"/>
  <c r="NC1554" i="10" a="1"/>
  <c r="NC1554" i="10" s="1"/>
  <c r="NB1554" i="10" a="1"/>
  <c r="NB1554" i="10" s="1"/>
  <c r="NA1554" i="10" a="1"/>
  <c r="NA1554" i="10" s="1"/>
  <c r="MZ1554" i="10" a="1"/>
  <c r="MZ1554" i="10" s="1"/>
  <c r="MY1554" i="10" a="1"/>
  <c r="MY1554" i="10" s="1"/>
  <c r="MX1554" i="10" a="1"/>
  <c r="MX1554" i="10" s="1"/>
  <c r="MW1554" i="10" a="1"/>
  <c r="MW1554" i="10" s="1"/>
  <c r="MV1554" i="10" a="1"/>
  <c r="MV1554" i="10" s="1"/>
  <c r="MU1554" i="10" a="1"/>
  <c r="MU1554" i="10" s="1"/>
  <c r="MT1554" i="10" a="1"/>
  <c r="MT1554" i="10" s="1"/>
  <c r="MS1554" i="10" a="1"/>
  <c r="MS1554" i="10" s="1"/>
  <c r="MR1554" i="10" a="1"/>
  <c r="MR1554" i="10" s="1"/>
  <c r="MQ1554" i="10" a="1"/>
  <c r="MQ1554" i="10" s="1"/>
  <c r="MP1554" i="10" a="1"/>
  <c r="MP1554" i="10" s="1"/>
  <c r="MO1554" i="10" a="1"/>
  <c r="MO1554" i="10" s="1"/>
  <c r="MN1554" i="10" a="1"/>
  <c r="MN1554" i="10" s="1"/>
  <c r="MM1554" i="10" a="1"/>
  <c r="MM1554" i="10" s="1"/>
  <c r="ML1554" i="10" a="1"/>
  <c r="ML1554" i="10" s="1"/>
  <c r="MK1554" i="10" a="1"/>
  <c r="MK1554" i="10" s="1"/>
  <c r="MJ1554" i="10" a="1"/>
  <c r="MJ1554" i="10" s="1"/>
  <c r="MI1554" i="10" a="1"/>
  <c r="MI1554" i="10" s="1"/>
  <c r="MH1554" i="10" a="1"/>
  <c r="MH1554" i="10" s="1"/>
  <c r="MG1554" i="10" a="1"/>
  <c r="MG1554" i="10" s="1"/>
  <c r="MF1554" i="10" a="1"/>
  <c r="MF1554" i="10" s="1"/>
  <c r="ME1554" i="10" a="1"/>
  <c r="ME1554" i="10" s="1"/>
  <c r="MD1554" i="10" a="1"/>
  <c r="MD1554" i="10" s="1"/>
  <c r="MC1554" i="10" a="1"/>
  <c r="MC1554" i="10" s="1"/>
  <c r="MB1554" i="10" a="1"/>
  <c r="MB1554" i="10" s="1"/>
  <c r="MA1554" i="10" a="1"/>
  <c r="MA1554" i="10" s="1"/>
  <c r="LZ1554" i="10" a="1"/>
  <c r="LZ1554" i="10" s="1"/>
  <c r="LY1554" i="10" a="1"/>
  <c r="LY1554" i="10" s="1"/>
  <c r="LX1554" i="10" a="1"/>
  <c r="LX1554" i="10" s="1"/>
  <c r="LW1554" i="10" a="1"/>
  <c r="LW1554" i="10" s="1"/>
  <c r="LV1554" i="10" a="1"/>
  <c r="LV1554" i="10" s="1"/>
  <c r="LU1554" i="10" a="1"/>
  <c r="LU1554" i="10" s="1"/>
  <c r="LT1554" i="10" a="1"/>
  <c r="LT1554" i="10" s="1"/>
  <c r="LS1554" i="10" a="1"/>
  <c r="LS1554" i="10" s="1"/>
  <c r="LR1554" i="10" a="1"/>
  <c r="LR1554" i="10" s="1"/>
  <c r="LQ1554" i="10" a="1"/>
  <c r="LQ1554" i="10" s="1"/>
  <c r="LP1554" i="10" a="1"/>
  <c r="LP1554" i="10" s="1"/>
  <c r="LO1554" i="10" a="1"/>
  <c r="LO1554" i="10" s="1"/>
  <c r="LN1554" i="10" a="1"/>
  <c r="LN1554" i="10" s="1"/>
  <c r="LM1554" i="10" a="1"/>
  <c r="LM1554" i="10" s="1"/>
  <c r="LL1554" i="10" a="1"/>
  <c r="LL1554" i="10" s="1"/>
  <c r="LK1554" i="10" a="1"/>
  <c r="LK1554" i="10" s="1"/>
  <c r="LJ1554" i="10" a="1"/>
  <c r="LJ1554" i="10" s="1"/>
  <c r="LI1554" i="10" a="1"/>
  <c r="LI1554" i="10" s="1"/>
  <c r="LH1554" i="10" a="1"/>
  <c r="LH1554" i="10" s="1"/>
  <c r="LG1554" i="10" a="1"/>
  <c r="LG1554" i="10" s="1"/>
  <c r="LF1554" i="10" a="1"/>
  <c r="LF1554" i="10" s="1"/>
  <c r="LE1554" i="10" a="1"/>
  <c r="LE1554" i="10" s="1"/>
  <c r="LD1554" i="10" a="1"/>
  <c r="LD1554" i="10" s="1"/>
  <c r="LC1554" i="10" a="1"/>
  <c r="LC1554" i="10" s="1"/>
  <c r="LB1554" i="10" a="1"/>
  <c r="LB1554" i="10" s="1"/>
  <c r="LA1554" i="10" a="1"/>
  <c r="LA1554" i="10" s="1"/>
  <c r="KZ1554" i="10" a="1"/>
  <c r="KZ1554" i="10" s="1"/>
  <c r="KY1554" i="10" a="1"/>
  <c r="KY1554" i="10" s="1"/>
  <c r="KX1554" i="10" a="1"/>
  <c r="KX1554" i="10" s="1"/>
  <c r="KW1554" i="10" a="1"/>
  <c r="KW1554" i="10" s="1"/>
  <c r="KV1554" i="10" a="1"/>
  <c r="KV1554" i="10" s="1"/>
  <c r="KU1554" i="10" a="1"/>
  <c r="KU1554" i="10" s="1"/>
  <c r="KT1554" i="10" a="1"/>
  <c r="KT1554" i="10" s="1"/>
  <c r="KS1554" i="10" a="1"/>
  <c r="KS1554" i="10" s="1"/>
  <c r="KR1554" i="10" a="1"/>
  <c r="KR1554" i="10" s="1"/>
  <c r="KQ1554" i="10" a="1"/>
  <c r="KQ1554" i="10" s="1"/>
  <c r="KP1554" i="10" a="1"/>
  <c r="KP1554" i="10" s="1"/>
  <c r="KO1554" i="10" a="1"/>
  <c r="KO1554" i="10" s="1"/>
  <c r="KN1554" i="10" a="1"/>
  <c r="KN1554" i="10" s="1"/>
  <c r="KM1554" i="10" a="1"/>
  <c r="KM1554" i="10" s="1"/>
  <c r="KL1554" i="10" a="1"/>
  <c r="KL1554" i="10" s="1"/>
  <c r="KK1554" i="10" a="1"/>
  <c r="KK1554" i="10" s="1"/>
  <c r="KJ1554" i="10" a="1"/>
  <c r="KJ1554" i="10" s="1"/>
  <c r="KI1554" i="10" a="1"/>
  <c r="KI1554" i="10" s="1"/>
  <c r="KH1554" i="10" a="1"/>
  <c r="KH1554" i="10" s="1"/>
  <c r="KG1554" i="10" a="1"/>
  <c r="KG1554" i="10" s="1"/>
  <c r="KF1554" i="10" a="1"/>
  <c r="KF1554" i="10" s="1"/>
  <c r="KE1554" i="10" a="1"/>
  <c r="KE1554" i="10" s="1"/>
  <c r="KD1554" i="10" a="1"/>
  <c r="KD1554" i="10" s="1"/>
  <c r="KC1554" i="10" a="1"/>
  <c r="KC1554" i="10" s="1"/>
  <c r="KB1554" i="10" a="1"/>
  <c r="KB1554" i="10" s="1"/>
  <c r="KA1554" i="10" a="1"/>
  <c r="KA1554" i="10" s="1"/>
  <c r="JZ1554" i="10" a="1"/>
  <c r="JZ1554" i="10" s="1"/>
  <c r="JY1554" i="10" a="1"/>
  <c r="JY1554" i="10" s="1"/>
  <c r="JX1554" i="10" a="1"/>
  <c r="JX1554" i="10" s="1"/>
  <c r="JW1554" i="10" a="1"/>
  <c r="JW1554" i="10" s="1"/>
  <c r="JV1554" i="10" a="1"/>
  <c r="JV1554" i="10" s="1"/>
  <c r="JU1554" i="10" a="1"/>
  <c r="JU1554" i="10" s="1"/>
  <c r="JT1554" i="10" a="1"/>
  <c r="JT1554" i="10" s="1"/>
  <c r="JS1554" i="10" a="1"/>
  <c r="JS1554" i="10" s="1"/>
  <c r="JR1554" i="10" a="1"/>
  <c r="JR1554" i="10" s="1"/>
  <c r="JQ1554" i="10" a="1"/>
  <c r="JQ1554" i="10" s="1"/>
  <c r="JP1554" i="10" a="1"/>
  <c r="JP1554" i="10" s="1"/>
  <c r="JO1554" i="10" a="1"/>
  <c r="JO1554" i="10" s="1"/>
  <c r="JN1554" i="10" a="1"/>
  <c r="JN1554" i="10" s="1"/>
  <c r="JM1554" i="10" a="1"/>
  <c r="JM1554" i="10" s="1"/>
  <c r="JL1554" i="10" a="1"/>
  <c r="JL1554" i="10" s="1"/>
  <c r="JK1554" i="10" a="1"/>
  <c r="JK1554" i="10" s="1"/>
  <c r="JJ1554" i="10" a="1"/>
  <c r="JJ1554" i="10" s="1"/>
  <c r="JI1554" i="10" a="1"/>
  <c r="JI1554" i="10" s="1"/>
  <c r="JH1554" i="10" a="1"/>
  <c r="JH1554" i="10" s="1"/>
  <c r="JG1554" i="10" a="1"/>
  <c r="JG1554" i="10" s="1"/>
  <c r="JF1554" i="10" a="1"/>
  <c r="JF1554" i="10" s="1"/>
  <c r="JE1554" i="10" a="1"/>
  <c r="JE1554" i="10" s="1"/>
  <c r="JD1554" i="10" a="1"/>
  <c r="JD1554" i="10" s="1"/>
  <c r="JC1554" i="10" a="1"/>
  <c r="JC1554" i="10" s="1"/>
  <c r="JB1554" i="10" a="1"/>
  <c r="JB1554" i="10" s="1"/>
  <c r="JA1554" i="10" a="1"/>
  <c r="JA1554" i="10" s="1"/>
  <c r="IZ1554" i="10" a="1"/>
  <c r="IZ1554" i="10" s="1"/>
  <c r="IY1554" i="10" a="1"/>
  <c r="IY1554" i="10" s="1"/>
  <c r="IX1554" i="10" a="1"/>
  <c r="IX1554" i="10" s="1"/>
  <c r="IW1554" i="10" a="1"/>
  <c r="IW1554" i="10" s="1"/>
  <c r="IV1554" i="10" a="1"/>
  <c r="IV1554" i="10" s="1"/>
  <c r="IU1554" i="10" a="1"/>
  <c r="IU1554" i="10" s="1"/>
  <c r="IT1554" i="10" a="1"/>
  <c r="IT1554" i="10" s="1"/>
  <c r="IS1554" i="10" a="1"/>
  <c r="IS1554" i="10" s="1"/>
  <c r="IR1554" i="10" a="1"/>
  <c r="IR1554" i="10" s="1"/>
  <c r="IQ1554" i="10" a="1"/>
  <c r="IQ1554" i="10" s="1"/>
  <c r="IP1554" i="10" a="1"/>
  <c r="IP1554" i="10" s="1"/>
  <c r="IO1554" i="10" a="1"/>
  <c r="IO1554" i="10" s="1"/>
  <c r="IN1554" i="10" a="1"/>
  <c r="IN1554" i="10" s="1"/>
  <c r="IM1554" i="10" a="1"/>
  <c r="IM1554" i="10" s="1"/>
  <c r="IL1554" i="10" a="1"/>
  <c r="IL1554" i="10" s="1"/>
  <c r="IK1554" i="10" a="1"/>
  <c r="IK1554" i="10" s="1"/>
  <c r="IJ1554" i="10" a="1"/>
  <c r="IJ1554" i="10" s="1"/>
  <c r="II1554" i="10" a="1"/>
  <c r="II1554" i="10" s="1"/>
  <c r="IH1554" i="10" a="1"/>
  <c r="IH1554" i="10" s="1"/>
  <c r="IG1554" i="10" a="1"/>
  <c r="IG1554" i="10" s="1"/>
  <c r="IF1554" i="10" a="1"/>
  <c r="IF1554" i="10" s="1"/>
  <c r="IE1554" i="10" a="1"/>
  <c r="IE1554" i="10" s="1"/>
  <c r="ID1554" i="10" a="1"/>
  <c r="ID1554" i="10" s="1"/>
  <c r="IC1554" i="10" a="1"/>
  <c r="IC1554" i="10" s="1"/>
  <c r="IB1554" i="10" a="1"/>
  <c r="IB1554" i="10" s="1"/>
  <c r="IA1554" i="10" a="1"/>
  <c r="IA1554" i="10" s="1"/>
  <c r="HZ1554" i="10" a="1"/>
  <c r="HZ1554" i="10" s="1"/>
  <c r="HY1554" i="10" a="1"/>
  <c r="HY1554" i="10" s="1"/>
  <c r="HX1554" i="10" a="1"/>
  <c r="HX1554" i="10" s="1"/>
  <c r="HW1554" i="10" a="1"/>
  <c r="HW1554" i="10" s="1"/>
  <c r="HV1554" i="10" a="1"/>
  <c r="HV1554" i="10" s="1"/>
  <c r="HU1554" i="10" a="1"/>
  <c r="HU1554" i="10" s="1"/>
  <c r="HT1554" i="10" a="1"/>
  <c r="HT1554" i="10" s="1"/>
  <c r="HS1554" i="10" a="1"/>
  <c r="HS1554" i="10" s="1"/>
  <c r="HR1554" i="10" a="1"/>
  <c r="HR1554" i="10" s="1"/>
  <c r="HQ1554" i="10" a="1"/>
  <c r="HQ1554" i="10" s="1"/>
  <c r="HP1554" i="10" a="1"/>
  <c r="HP1554" i="10" s="1"/>
  <c r="HO1554" i="10" a="1"/>
  <c r="HO1554" i="10" s="1"/>
  <c r="HN1554" i="10" a="1"/>
  <c r="HN1554" i="10" s="1"/>
  <c r="HM1554" i="10" a="1"/>
  <c r="HM1554" i="10" s="1"/>
  <c r="HL1554" i="10" a="1"/>
  <c r="HL1554" i="10" s="1"/>
  <c r="HK1554" i="10" a="1"/>
  <c r="HK1554" i="10" s="1"/>
  <c r="HJ1554" i="10" a="1"/>
  <c r="HJ1554" i="10" s="1"/>
  <c r="HI1554" i="10" a="1"/>
  <c r="HI1554" i="10" s="1"/>
  <c r="HH1554" i="10" a="1"/>
  <c r="HH1554" i="10" s="1"/>
  <c r="HG1554" i="10" a="1"/>
  <c r="HG1554" i="10" s="1"/>
  <c r="HF1554" i="10" a="1"/>
  <c r="HF1554" i="10" s="1"/>
  <c r="HE1554" i="10" a="1"/>
  <c r="HE1554" i="10" s="1"/>
  <c r="HD1554" i="10" a="1"/>
  <c r="HD1554" i="10" s="1"/>
  <c r="HC1554" i="10" a="1"/>
  <c r="HC1554" i="10" s="1"/>
  <c r="HB1554" i="10" a="1"/>
  <c r="HB1554" i="10" s="1"/>
  <c r="HA1554" i="10" a="1"/>
  <c r="HA1554" i="10" s="1"/>
  <c r="GZ1554" i="10" a="1"/>
  <c r="GZ1554" i="10" s="1"/>
  <c r="GY1554" i="10" a="1"/>
  <c r="GY1554" i="10" s="1"/>
  <c r="GX1554" i="10" a="1"/>
  <c r="GX1554" i="10" s="1"/>
  <c r="GW1554" i="10" a="1"/>
  <c r="GW1554" i="10" s="1"/>
  <c r="GV1554" i="10" a="1"/>
  <c r="GV1554" i="10" s="1"/>
  <c r="GU1554" i="10" a="1"/>
  <c r="GU1554" i="10" s="1"/>
  <c r="GT1554" i="10" a="1"/>
  <c r="GT1554" i="10" s="1"/>
  <c r="GS1554" i="10" a="1"/>
  <c r="GS1554" i="10" s="1"/>
  <c r="GR1554" i="10" a="1"/>
  <c r="GR1554" i="10" s="1"/>
  <c r="GQ1554" i="10" a="1"/>
  <c r="GQ1554" i="10" s="1"/>
  <c r="GP1554" i="10" a="1"/>
  <c r="GP1554" i="10" s="1"/>
  <c r="GO1554" i="10" a="1"/>
  <c r="GO1554" i="10" s="1"/>
  <c r="GN1554" i="10" a="1"/>
  <c r="GN1554" i="10" s="1"/>
  <c r="GM1554" i="10" a="1"/>
  <c r="GM1554" i="10" s="1"/>
  <c r="GL1554" i="10" a="1"/>
  <c r="GL1554" i="10" s="1"/>
  <c r="GK1554" i="10" a="1"/>
  <c r="GK1554" i="10" s="1"/>
  <c r="GJ1554" i="10" a="1"/>
  <c r="GJ1554" i="10" s="1"/>
  <c r="GI1554" i="10" a="1"/>
  <c r="GI1554" i="10" s="1"/>
  <c r="GH1554" i="10" a="1"/>
  <c r="GH1554" i="10" s="1"/>
  <c r="GG1554" i="10" a="1"/>
  <c r="GG1554" i="10" s="1"/>
  <c r="GF1554" i="10" a="1"/>
  <c r="GF1554" i="10" s="1"/>
  <c r="GE1554" i="10" a="1"/>
  <c r="GE1554" i="10" s="1"/>
  <c r="GD1554" i="10" a="1"/>
  <c r="GD1554" i="10" s="1"/>
  <c r="GC1554" i="10" a="1"/>
  <c r="GC1554" i="10" s="1"/>
  <c r="GB1554" i="10" a="1"/>
  <c r="GB1554" i="10" s="1"/>
  <c r="GA1554" i="10" a="1"/>
  <c r="GA1554" i="10" s="1"/>
  <c r="FZ1554" i="10" a="1"/>
  <c r="FZ1554" i="10" s="1"/>
  <c r="FY1554" i="10" a="1"/>
  <c r="FY1554" i="10" s="1"/>
  <c r="FX1554" i="10" a="1"/>
  <c r="FX1554" i="10" s="1"/>
  <c r="FW1554" i="10" a="1"/>
  <c r="FW1554" i="10" s="1"/>
  <c r="FV1554" i="10" a="1"/>
  <c r="FV1554" i="10" s="1"/>
  <c r="FU1554" i="10" a="1"/>
  <c r="FU1554" i="10" s="1"/>
  <c r="FT1554" i="10" a="1"/>
  <c r="FT1554" i="10" s="1"/>
  <c r="FS1554" i="10" a="1"/>
  <c r="FS1554" i="10" s="1"/>
  <c r="FR1554" i="10" a="1"/>
  <c r="FR1554" i="10" s="1"/>
  <c r="FQ1554" i="10" a="1"/>
  <c r="FQ1554" i="10" s="1"/>
  <c r="FP1554" i="10" a="1"/>
  <c r="FP1554" i="10" s="1"/>
  <c r="FO1554" i="10" a="1"/>
  <c r="FO1554" i="10" s="1"/>
  <c r="FN1554" i="10" a="1"/>
  <c r="FN1554" i="10" s="1"/>
  <c r="FM1554" i="10" a="1"/>
  <c r="FM1554" i="10" s="1"/>
  <c r="FL1554" i="10" a="1"/>
  <c r="FL1554" i="10" s="1"/>
  <c r="FK1554" i="10" a="1"/>
  <c r="FK1554" i="10" s="1"/>
  <c r="FJ1554" i="10" a="1"/>
  <c r="FJ1554" i="10" s="1"/>
  <c r="FI1554" i="10" a="1"/>
  <c r="FI1554" i="10" s="1"/>
  <c r="FH1554" i="10" a="1"/>
  <c r="FH1554" i="10" s="1"/>
  <c r="FG1554" i="10" a="1"/>
  <c r="FG1554" i="10" s="1"/>
  <c r="FF1554" i="10" a="1"/>
  <c r="FF1554" i="10" s="1"/>
  <c r="FE1554" i="10" a="1"/>
  <c r="FE1554" i="10" s="1"/>
  <c r="FD1554" i="10" a="1"/>
  <c r="FD1554" i="10" s="1"/>
  <c r="FC1554" i="10" a="1"/>
  <c r="FC1554" i="10" s="1"/>
  <c r="FB1554" i="10" a="1"/>
  <c r="FB1554" i="10" s="1"/>
  <c r="FA1554" i="10" a="1"/>
  <c r="FA1554" i="10" s="1"/>
  <c r="EZ1554" i="10" a="1"/>
  <c r="EZ1554" i="10" s="1"/>
  <c r="EY1554" i="10" a="1"/>
  <c r="EY1554" i="10" s="1"/>
  <c r="EX1554" i="10" a="1"/>
  <c r="EX1554" i="10" s="1"/>
  <c r="EW1554" i="10" a="1"/>
  <c r="EW1554" i="10" s="1"/>
  <c r="EV1554" i="10" a="1"/>
  <c r="EV1554" i="10" s="1"/>
  <c r="EU1554" i="10" a="1"/>
  <c r="EU1554" i="10" s="1"/>
  <c r="ET1554" i="10" a="1"/>
  <c r="ET1554" i="10" s="1"/>
  <c r="ES1554" i="10" a="1"/>
  <c r="ES1554" i="10" s="1"/>
  <c r="ER1554" i="10" a="1"/>
  <c r="ER1554" i="10" s="1"/>
  <c r="EQ1554" i="10" a="1"/>
  <c r="EQ1554" i="10" s="1"/>
  <c r="EP1554" i="10" a="1"/>
  <c r="EP1554" i="10" s="1"/>
  <c r="EO1554" i="10" a="1"/>
  <c r="EO1554" i="10" s="1"/>
  <c r="EN1554" i="10" a="1"/>
  <c r="EN1554" i="10" s="1"/>
  <c r="EM1554" i="10" a="1"/>
  <c r="EM1554" i="10" s="1"/>
  <c r="EL1554" i="10" a="1"/>
  <c r="EL1554" i="10" s="1"/>
  <c r="EK1554" i="10" a="1"/>
  <c r="EK1554" i="10" s="1"/>
  <c r="EJ1554" i="10" a="1"/>
  <c r="EJ1554" i="10" s="1"/>
  <c r="EI1554" i="10" a="1"/>
  <c r="EI1554" i="10" s="1"/>
  <c r="EH1554" i="10" a="1"/>
  <c r="EH1554" i="10" s="1"/>
  <c r="EG1554" i="10" a="1"/>
  <c r="EG1554" i="10" s="1"/>
  <c r="EF1554" i="10" a="1"/>
  <c r="EF1554" i="10" s="1"/>
  <c r="EE1554" i="10" a="1"/>
  <c r="EE1554" i="10" s="1"/>
  <c r="ED1554" i="10" a="1"/>
  <c r="ED1554" i="10" s="1"/>
  <c r="EC1554" i="10" a="1"/>
  <c r="EC1554" i="10" s="1"/>
  <c r="EB1554" i="10" a="1"/>
  <c r="EB1554" i="10" s="1"/>
  <c r="EA1554" i="10" a="1"/>
  <c r="EA1554" i="10" s="1"/>
  <c r="DZ1554" i="10" a="1"/>
  <c r="DZ1554" i="10" s="1"/>
  <c r="DY1554" i="10" a="1"/>
  <c r="DY1554" i="10" s="1"/>
  <c r="DX1554" i="10" a="1"/>
  <c r="DX1554" i="10" s="1"/>
  <c r="DW1554" i="10" a="1"/>
  <c r="DW1554" i="10" s="1"/>
  <c r="DV1554" i="10" a="1"/>
  <c r="DV1554" i="10" s="1"/>
  <c r="DU1554" i="10" a="1"/>
  <c r="DU1554" i="10" s="1"/>
  <c r="DT1554" i="10" a="1"/>
  <c r="DT1554" i="10" s="1"/>
  <c r="DS1554" i="10" a="1"/>
  <c r="DS1554" i="10" s="1"/>
  <c r="DR1554" i="10" a="1"/>
  <c r="DR1554" i="10" s="1"/>
  <c r="DQ1554" i="10" a="1"/>
  <c r="DQ1554" i="10" s="1"/>
  <c r="DP1554" i="10" a="1"/>
  <c r="DP1554" i="10" s="1"/>
  <c r="DO1554" i="10" a="1"/>
  <c r="DO1554" i="10" s="1"/>
  <c r="DN1554" i="10" a="1"/>
  <c r="DN1554" i="10" s="1"/>
  <c r="DM1554" i="10" a="1"/>
  <c r="DM1554" i="10" s="1"/>
  <c r="DL1554" i="10" a="1"/>
  <c r="DL1554" i="10" s="1"/>
  <c r="DK1554" i="10" a="1"/>
  <c r="DK1554" i="10" s="1"/>
  <c r="DJ1554" i="10" a="1"/>
  <c r="DJ1554" i="10" s="1"/>
  <c r="DI1554" i="10" a="1"/>
  <c r="DI1554" i="10" s="1"/>
  <c r="DH1554" i="10" a="1"/>
  <c r="DH1554" i="10" s="1"/>
  <c r="DG1554" i="10" a="1"/>
  <c r="DG1554" i="10" s="1"/>
  <c r="DF1554" i="10" a="1"/>
  <c r="DF1554" i="10" s="1"/>
  <c r="DE1554" i="10" a="1"/>
  <c r="DE1554" i="10" s="1"/>
  <c r="DD1554" i="10" a="1"/>
  <c r="DD1554" i="10" s="1"/>
  <c r="DC1554" i="10" a="1"/>
  <c r="DC1554" i="10" s="1"/>
  <c r="DB1554" i="10" a="1"/>
  <c r="DB1554" i="10" s="1"/>
  <c r="DA1554" i="10" a="1"/>
  <c r="DA1554" i="10" s="1"/>
  <c r="CZ1554" i="10" a="1"/>
  <c r="CZ1554" i="10" s="1"/>
  <c r="CY1554" i="10" a="1"/>
  <c r="CY1554" i="10" s="1"/>
  <c r="CX1554" i="10" a="1"/>
  <c r="CX1554" i="10" s="1"/>
  <c r="CW1554" i="10" a="1"/>
  <c r="CW1554" i="10" s="1"/>
  <c r="CV1554" i="10" a="1"/>
  <c r="CV1554" i="10" s="1"/>
  <c r="CU1554" i="10" a="1"/>
  <c r="CU1554" i="10" s="1"/>
  <c r="CT1554" i="10" a="1"/>
  <c r="CT1554" i="10" s="1"/>
  <c r="CS1554" i="10" a="1"/>
  <c r="CS1554" i="10" s="1"/>
  <c r="CR1554" i="10" a="1"/>
  <c r="CR1554" i="10" s="1"/>
  <c r="CQ1554" i="10" a="1"/>
  <c r="CQ1554" i="10" s="1"/>
  <c r="CP1554" i="10" a="1"/>
  <c r="CP1554" i="10" s="1"/>
  <c r="CO1554" i="10" a="1"/>
  <c r="CO1554" i="10" s="1"/>
  <c r="CN1554" i="10" a="1"/>
  <c r="CN1554" i="10" s="1"/>
  <c r="CM1554" i="10" a="1"/>
  <c r="CM1554" i="10" s="1"/>
  <c r="CL1554" i="10" a="1"/>
  <c r="CL1554" i="10" s="1"/>
  <c r="CK1554" i="10" a="1"/>
  <c r="CK1554" i="10" s="1"/>
  <c r="CJ1554" i="10" a="1"/>
  <c r="CJ1554" i="10" s="1"/>
  <c r="CI1554" i="10" a="1"/>
  <c r="CI1554" i="10" s="1"/>
  <c r="CH1554" i="10" a="1"/>
  <c r="CH1554" i="10" s="1"/>
  <c r="CG1554" i="10" a="1"/>
  <c r="CG1554" i="10" s="1"/>
  <c r="CF1554" i="10" a="1"/>
  <c r="CF1554" i="10" s="1"/>
  <c r="CE1554" i="10" a="1"/>
  <c r="CE1554" i="10" s="1"/>
  <c r="CD1554" i="10" a="1"/>
  <c r="CD1554" i="10" s="1"/>
  <c r="CC1554" i="10" a="1"/>
  <c r="CC1554" i="10" s="1"/>
  <c r="CB1554" i="10" a="1"/>
  <c r="CB1554" i="10" s="1"/>
  <c r="CA1554" i="10" a="1"/>
  <c r="CA1554" i="10" s="1"/>
  <c r="BZ1554" i="10" a="1"/>
  <c r="BZ1554" i="10" s="1"/>
  <c r="BY1554" i="10" a="1"/>
  <c r="BY1554" i="10" s="1"/>
  <c r="BX1554" i="10" a="1"/>
  <c r="BX1554" i="10" s="1"/>
  <c r="BW1554" i="10" a="1"/>
  <c r="BW1554" i="10" s="1"/>
  <c r="BV1554" i="10" a="1"/>
  <c r="BV1554" i="10" s="1"/>
  <c r="BU1554" i="10" a="1"/>
  <c r="BU1554" i="10" s="1"/>
  <c r="BT1554" i="10" a="1"/>
  <c r="BT1554" i="10" s="1"/>
  <c r="BS1554" i="10" a="1"/>
  <c r="BS1554" i="10" s="1"/>
  <c r="BR1554" i="10" a="1"/>
  <c r="BR1554" i="10" s="1"/>
  <c r="BQ1554" i="10" a="1"/>
  <c r="BQ1554" i="10" s="1"/>
  <c r="BP1554" i="10" a="1"/>
  <c r="BP1554" i="10" s="1"/>
  <c r="BO1554" i="10" a="1"/>
  <c r="BO1554" i="10" s="1"/>
  <c r="BN1554" i="10" a="1"/>
  <c r="BN1554" i="10" s="1"/>
  <c r="BM1554" i="10" a="1"/>
  <c r="BM1554" i="10" s="1"/>
  <c r="BL1554" i="10" a="1"/>
  <c r="BL1554" i="10" s="1"/>
  <c r="BK1554" i="10" a="1"/>
  <c r="BK1554" i="10" s="1"/>
  <c r="BJ1554" i="10" a="1"/>
  <c r="BJ1554" i="10" s="1"/>
  <c r="BI1554" i="10" a="1"/>
  <c r="BI1554" i="10" s="1"/>
  <c r="BH1554" i="10" a="1"/>
  <c r="BH1554" i="10" s="1"/>
  <c r="BG1554" i="10" a="1"/>
  <c r="BG1554" i="10" s="1"/>
  <c r="BF1554" i="10" a="1"/>
  <c r="BF1554" i="10" s="1"/>
  <c r="BE1554" i="10" a="1"/>
  <c r="BE1554" i="10" s="1"/>
  <c r="BD1554" i="10" a="1"/>
  <c r="BD1554" i="10" s="1"/>
  <c r="BC1554" i="10" a="1"/>
  <c r="BC1554" i="10" s="1"/>
  <c r="BB1554" i="10" a="1"/>
  <c r="BB1554" i="10" s="1"/>
  <c r="BA1554" i="10" a="1"/>
  <c r="BA1554" i="10" s="1"/>
  <c r="AZ1554" i="10" a="1"/>
  <c r="AZ1554" i="10" s="1"/>
  <c r="AY1554" i="10" a="1"/>
  <c r="AY1554" i="10" s="1"/>
  <c r="AX1554" i="10" a="1"/>
  <c r="AX1554" i="10" s="1"/>
  <c r="AW1554" i="10" a="1"/>
  <c r="AW1554" i="10" s="1"/>
  <c r="AV1554" i="10" a="1"/>
  <c r="AV1554" i="10" s="1"/>
  <c r="AU1554" i="10" a="1"/>
  <c r="AU1554" i="10" s="1"/>
  <c r="AT1554" i="10" a="1"/>
  <c r="AT1554" i="10" s="1"/>
  <c r="AS1554" i="10" a="1"/>
  <c r="AS1554" i="10" s="1"/>
  <c r="AR1554" i="10" a="1"/>
  <c r="AR1554" i="10" s="1"/>
  <c r="AQ1554" i="10" a="1"/>
  <c r="AQ1554" i="10" s="1"/>
  <c r="AP1554" i="10" a="1"/>
  <c r="AP1554" i="10" s="1"/>
  <c r="AO1554" i="10" a="1"/>
  <c r="AO1554" i="10" s="1"/>
  <c r="AN1554" i="10" a="1"/>
  <c r="AN1554" i="10" s="1"/>
  <c r="AM1554" i="10" a="1"/>
  <c r="AM1554" i="10" s="1"/>
  <c r="AL1554" i="10" a="1"/>
  <c r="AL1554" i="10" s="1"/>
  <c r="Q32" i="9" s="1"/>
  <c r="AK1554" i="10" a="1"/>
  <c r="AK1554" i="10" s="1"/>
  <c r="AJ1554" i="10" a="1"/>
  <c r="AJ1554" i="10" s="1"/>
  <c r="AI1554" i="10" a="1"/>
  <c r="AI1554" i="10" s="1"/>
  <c r="AH1554" i="10" a="1"/>
  <c r="AH1554" i="10" s="1"/>
  <c r="AG1554" i="10" a="1"/>
  <c r="AG1554" i="10" s="1"/>
  <c r="AF1554" i="10" a="1"/>
  <c r="AF1554" i="10" s="1"/>
  <c r="AE1554" i="10" a="1"/>
  <c r="AE1554" i="10" s="1"/>
  <c r="AD1554" i="10" a="1"/>
  <c r="AD1554" i="10" s="1"/>
  <c r="AC1554" i="10" a="1"/>
  <c r="AC1554" i="10" s="1"/>
  <c r="AB1554" i="10" a="1"/>
  <c r="AB1554" i="10" s="1"/>
  <c r="AA1554" i="10" a="1"/>
  <c r="AA1554" i="10" s="1"/>
  <c r="Z1554" i="10" a="1"/>
  <c r="Z1554" i="10" s="1"/>
  <c r="Y1554" i="10" a="1"/>
  <c r="Y1554" i="10" s="1"/>
  <c r="X1554" i="10" a="1"/>
  <c r="X1554" i="10" s="1"/>
  <c r="W1554" i="10" a="1"/>
  <c r="W1554" i="10" s="1"/>
  <c r="V1554" i="10" a="1"/>
  <c r="V1554" i="10" s="1"/>
  <c r="U1554" i="10" a="1"/>
  <c r="U1554" i="10" s="1"/>
  <c r="T1554" i="10" a="1"/>
  <c r="T1554" i="10" s="1"/>
  <c r="S1554" i="10" a="1"/>
  <c r="S1554" i="10" s="1"/>
  <c r="R1554" i="10" a="1"/>
  <c r="R1554" i="10" s="1"/>
  <c r="Q1554" i="10" a="1"/>
  <c r="Q1554" i="10" s="1"/>
  <c r="P1554" i="10" a="1"/>
  <c r="P1554" i="10" s="1"/>
  <c r="AGN1553" i="10" a="1"/>
  <c r="AGN1553" i="10" s="1"/>
  <c r="AGM1553" i="10" a="1"/>
  <c r="AGM1553" i="10" s="1"/>
  <c r="AGL1553" i="10" a="1"/>
  <c r="AGL1553" i="10" s="1"/>
  <c r="AGK1553" i="10" a="1"/>
  <c r="AGK1553" i="10" s="1"/>
  <c r="AGJ1553" i="10" a="1"/>
  <c r="AGJ1553" i="10" s="1"/>
  <c r="AGI1553" i="10" a="1"/>
  <c r="AGI1553" i="10" s="1"/>
  <c r="AGH1553" i="10" a="1"/>
  <c r="AGH1553" i="10" s="1"/>
  <c r="AGG1553" i="10" a="1"/>
  <c r="AGG1553" i="10" s="1"/>
  <c r="AGF1553" i="10" a="1"/>
  <c r="AGF1553" i="10" s="1"/>
  <c r="AGE1553" i="10" a="1"/>
  <c r="AGE1553" i="10" s="1"/>
  <c r="AGD1553" i="10" a="1"/>
  <c r="AGD1553" i="10" s="1"/>
  <c r="AGC1553" i="10" a="1"/>
  <c r="AGC1553" i="10" s="1"/>
  <c r="AGB1553" i="10" a="1"/>
  <c r="AGB1553" i="10" s="1"/>
  <c r="AGA1553" i="10" a="1"/>
  <c r="AGA1553" i="10" s="1"/>
  <c r="AFZ1553" i="10" a="1"/>
  <c r="AFZ1553" i="10" s="1"/>
  <c r="AFY1553" i="10" a="1"/>
  <c r="AFY1553" i="10" s="1"/>
  <c r="AFX1553" i="10" a="1"/>
  <c r="AFX1553" i="10" s="1"/>
  <c r="AFW1553" i="10" a="1"/>
  <c r="AFW1553" i="10" s="1"/>
  <c r="AFV1553" i="10" a="1"/>
  <c r="AFV1553" i="10" s="1"/>
  <c r="AFU1553" i="10" a="1"/>
  <c r="AFU1553" i="10" s="1"/>
  <c r="AFT1553" i="10" a="1"/>
  <c r="AFT1553" i="10" s="1"/>
  <c r="AFS1553" i="10" a="1"/>
  <c r="AFS1553" i="10" s="1"/>
  <c r="AFR1553" i="10" a="1"/>
  <c r="AFR1553" i="10" s="1"/>
  <c r="AFQ1553" i="10" a="1"/>
  <c r="AFQ1553" i="10" s="1"/>
  <c r="AFP1553" i="10" a="1"/>
  <c r="AFP1553" i="10" s="1"/>
  <c r="AFO1553" i="10" a="1"/>
  <c r="AFO1553" i="10" s="1"/>
  <c r="AFN1553" i="10" a="1"/>
  <c r="AFN1553" i="10" s="1"/>
  <c r="AFM1553" i="10" a="1"/>
  <c r="AFM1553" i="10" s="1"/>
  <c r="AFL1553" i="10" a="1"/>
  <c r="AFL1553" i="10" s="1"/>
  <c r="AFK1553" i="10" a="1"/>
  <c r="AFK1553" i="10" s="1"/>
  <c r="AFJ1553" i="10" a="1"/>
  <c r="AFJ1553" i="10" s="1"/>
  <c r="AFI1553" i="10" a="1"/>
  <c r="AFI1553" i="10" s="1"/>
  <c r="AFH1553" i="10" a="1"/>
  <c r="AFH1553" i="10" s="1"/>
  <c r="AFG1553" i="10" a="1"/>
  <c r="AFG1553" i="10" s="1"/>
  <c r="AFF1553" i="10" a="1"/>
  <c r="AFF1553" i="10" s="1"/>
  <c r="AFE1553" i="10" a="1"/>
  <c r="AFE1553" i="10" s="1"/>
  <c r="AFD1553" i="10" a="1"/>
  <c r="AFD1553" i="10" s="1"/>
  <c r="AFC1553" i="10" a="1"/>
  <c r="AFC1553" i="10" s="1"/>
  <c r="AFB1553" i="10" a="1"/>
  <c r="AFB1553" i="10" s="1"/>
  <c r="AFA1553" i="10" a="1"/>
  <c r="AFA1553" i="10" s="1"/>
  <c r="AEZ1553" i="10" a="1"/>
  <c r="AEZ1553" i="10" s="1"/>
  <c r="AEY1553" i="10" a="1"/>
  <c r="AEY1553" i="10" s="1"/>
  <c r="AEX1553" i="10" a="1"/>
  <c r="AEX1553" i="10" s="1"/>
  <c r="AEW1553" i="10" a="1"/>
  <c r="AEW1553" i="10" s="1"/>
  <c r="AEV1553" i="10" a="1"/>
  <c r="AEV1553" i="10" s="1"/>
  <c r="AEU1553" i="10" a="1"/>
  <c r="AEU1553" i="10" s="1"/>
  <c r="AET1553" i="10" a="1"/>
  <c r="AET1553" i="10" s="1"/>
  <c r="AES1553" i="10" a="1"/>
  <c r="AES1553" i="10" s="1"/>
  <c r="AER1553" i="10" a="1"/>
  <c r="AER1553" i="10" s="1"/>
  <c r="AEQ1553" i="10" a="1"/>
  <c r="AEQ1553" i="10" s="1"/>
  <c r="AEP1553" i="10" a="1"/>
  <c r="AEP1553" i="10" s="1"/>
  <c r="AEO1553" i="10" a="1"/>
  <c r="AEO1553" i="10" s="1"/>
  <c r="AEN1553" i="10" a="1"/>
  <c r="AEN1553" i="10" s="1"/>
  <c r="AEM1553" i="10" a="1"/>
  <c r="AEM1553" i="10" s="1"/>
  <c r="AEL1553" i="10" a="1"/>
  <c r="AEL1553" i="10" s="1"/>
  <c r="AEK1553" i="10" a="1"/>
  <c r="AEK1553" i="10" s="1"/>
  <c r="AEJ1553" i="10" a="1"/>
  <c r="AEJ1553" i="10" s="1"/>
  <c r="AEI1553" i="10" a="1"/>
  <c r="AEI1553" i="10" s="1"/>
  <c r="AEH1553" i="10" a="1"/>
  <c r="AEH1553" i="10" s="1"/>
  <c r="AEG1553" i="10" a="1"/>
  <c r="AEG1553" i="10" s="1"/>
  <c r="AEF1553" i="10" a="1"/>
  <c r="AEF1553" i="10" s="1"/>
  <c r="AEE1553" i="10" a="1"/>
  <c r="AEE1553" i="10" s="1"/>
  <c r="AED1553" i="10" a="1"/>
  <c r="AED1553" i="10" s="1"/>
  <c r="AEC1553" i="10" a="1"/>
  <c r="AEC1553" i="10" s="1"/>
  <c r="AEB1553" i="10" a="1"/>
  <c r="AEB1553" i="10" s="1"/>
  <c r="AEA1553" i="10" a="1"/>
  <c r="AEA1553" i="10" s="1"/>
  <c r="ADZ1553" i="10" a="1"/>
  <c r="ADZ1553" i="10" s="1"/>
  <c r="ADY1553" i="10" a="1"/>
  <c r="ADY1553" i="10" s="1"/>
  <c r="ADX1553" i="10" a="1"/>
  <c r="ADX1553" i="10" s="1"/>
  <c r="ADW1553" i="10" a="1"/>
  <c r="ADW1553" i="10" s="1"/>
  <c r="ADV1553" i="10" a="1"/>
  <c r="ADV1553" i="10" s="1"/>
  <c r="ADU1553" i="10" a="1"/>
  <c r="ADU1553" i="10" s="1"/>
  <c r="ADT1553" i="10" a="1"/>
  <c r="ADT1553" i="10" s="1"/>
  <c r="ADS1553" i="10" a="1"/>
  <c r="ADS1553" i="10" s="1"/>
  <c r="ADR1553" i="10" a="1"/>
  <c r="ADR1553" i="10" s="1"/>
  <c r="ADQ1553" i="10" a="1"/>
  <c r="ADQ1553" i="10" s="1"/>
  <c r="ADP1553" i="10" a="1"/>
  <c r="ADP1553" i="10" s="1"/>
  <c r="ADO1553" i="10" a="1"/>
  <c r="ADO1553" i="10" s="1"/>
  <c r="ADN1553" i="10" a="1"/>
  <c r="ADN1553" i="10" s="1"/>
  <c r="ADM1553" i="10" a="1"/>
  <c r="ADM1553" i="10" s="1"/>
  <c r="ADL1553" i="10" a="1"/>
  <c r="ADL1553" i="10" s="1"/>
  <c r="ADK1553" i="10" a="1"/>
  <c r="ADK1553" i="10" s="1"/>
  <c r="ADJ1553" i="10" a="1"/>
  <c r="ADJ1553" i="10" s="1"/>
  <c r="ADI1553" i="10" a="1"/>
  <c r="ADI1553" i="10" s="1"/>
  <c r="ADH1553" i="10" a="1"/>
  <c r="ADH1553" i="10" s="1"/>
  <c r="ADG1553" i="10" a="1"/>
  <c r="ADG1553" i="10" s="1"/>
  <c r="ADF1553" i="10" a="1"/>
  <c r="ADF1553" i="10" s="1"/>
  <c r="ADE1553" i="10" a="1"/>
  <c r="ADE1553" i="10" s="1"/>
  <c r="ADD1553" i="10" a="1"/>
  <c r="ADD1553" i="10" s="1"/>
  <c r="ADC1553" i="10" a="1"/>
  <c r="ADC1553" i="10" s="1"/>
  <c r="ADB1553" i="10" a="1"/>
  <c r="ADB1553" i="10" s="1"/>
  <c r="ADA1553" i="10" a="1"/>
  <c r="ADA1553" i="10" s="1"/>
  <c r="ACZ1553" i="10" a="1"/>
  <c r="ACZ1553" i="10" s="1"/>
  <c r="ACY1553" i="10" a="1"/>
  <c r="ACY1553" i="10" s="1"/>
  <c r="ACX1553" i="10" a="1"/>
  <c r="ACX1553" i="10" s="1"/>
  <c r="ACW1553" i="10" a="1"/>
  <c r="ACW1553" i="10" s="1"/>
  <c r="ACV1553" i="10" a="1"/>
  <c r="ACV1553" i="10" s="1"/>
  <c r="ACU1553" i="10" a="1"/>
  <c r="ACU1553" i="10" s="1"/>
  <c r="ACT1553" i="10" a="1"/>
  <c r="ACT1553" i="10" s="1"/>
  <c r="ACS1553" i="10" a="1"/>
  <c r="ACS1553" i="10" s="1"/>
  <c r="ACR1553" i="10" a="1"/>
  <c r="ACR1553" i="10" s="1"/>
  <c r="ACQ1553" i="10" a="1"/>
  <c r="ACQ1553" i="10" s="1"/>
  <c r="ACP1553" i="10" a="1"/>
  <c r="ACP1553" i="10" s="1"/>
  <c r="ACO1553" i="10" a="1"/>
  <c r="ACO1553" i="10" s="1"/>
  <c r="ACN1553" i="10" a="1"/>
  <c r="ACN1553" i="10" s="1"/>
  <c r="ACM1553" i="10" a="1"/>
  <c r="ACM1553" i="10" s="1"/>
  <c r="ACL1553" i="10" a="1"/>
  <c r="ACL1553" i="10" s="1"/>
  <c r="ACK1553" i="10" a="1"/>
  <c r="ACK1553" i="10" s="1"/>
  <c r="ACJ1553" i="10" a="1"/>
  <c r="ACJ1553" i="10" s="1"/>
  <c r="ACI1553" i="10" a="1"/>
  <c r="ACI1553" i="10" s="1"/>
  <c r="ACH1553" i="10" a="1"/>
  <c r="ACH1553" i="10" s="1"/>
  <c r="ACG1553" i="10" a="1"/>
  <c r="ACG1553" i="10" s="1"/>
  <c r="ACF1553" i="10" a="1"/>
  <c r="ACF1553" i="10" s="1"/>
  <c r="ACE1553" i="10" a="1"/>
  <c r="ACE1553" i="10" s="1"/>
  <c r="ACD1553" i="10" a="1"/>
  <c r="ACD1553" i="10" s="1"/>
  <c r="ACC1553" i="10" a="1"/>
  <c r="ACC1553" i="10" s="1"/>
  <c r="ACB1553" i="10" a="1"/>
  <c r="ACB1553" i="10" s="1"/>
  <c r="ACA1553" i="10" a="1"/>
  <c r="ACA1553" i="10" s="1"/>
  <c r="ABZ1553" i="10" a="1"/>
  <c r="ABZ1553" i="10" s="1"/>
  <c r="ABY1553" i="10" a="1"/>
  <c r="ABY1553" i="10" s="1"/>
  <c r="ABX1553" i="10" a="1"/>
  <c r="ABX1553" i="10" s="1"/>
  <c r="ABW1553" i="10" a="1"/>
  <c r="ABW1553" i="10" s="1"/>
  <c r="ABV1553" i="10" a="1"/>
  <c r="ABV1553" i="10" s="1"/>
  <c r="ABU1553" i="10" a="1"/>
  <c r="ABU1553" i="10" s="1"/>
  <c r="ABT1553" i="10" a="1"/>
  <c r="ABT1553" i="10" s="1"/>
  <c r="ABS1553" i="10" a="1"/>
  <c r="ABS1553" i="10" s="1"/>
  <c r="ABR1553" i="10" a="1"/>
  <c r="ABR1553" i="10" s="1"/>
  <c r="ABQ1553" i="10" a="1"/>
  <c r="ABQ1553" i="10" s="1"/>
  <c r="ABP1553" i="10" a="1"/>
  <c r="ABP1553" i="10" s="1"/>
  <c r="ABO1553" i="10" a="1"/>
  <c r="ABO1553" i="10" s="1"/>
  <c r="ABN1553" i="10" a="1"/>
  <c r="ABN1553" i="10" s="1"/>
  <c r="ABM1553" i="10" a="1"/>
  <c r="ABM1553" i="10" s="1"/>
  <c r="ABL1553" i="10" a="1"/>
  <c r="ABL1553" i="10" s="1"/>
  <c r="ABK1553" i="10" a="1"/>
  <c r="ABK1553" i="10" s="1"/>
  <c r="ABJ1553" i="10" a="1"/>
  <c r="ABJ1553" i="10" s="1"/>
  <c r="ABI1553" i="10" a="1"/>
  <c r="ABI1553" i="10" s="1"/>
  <c r="ABH1553" i="10" a="1"/>
  <c r="ABH1553" i="10" s="1"/>
  <c r="ABG1553" i="10" a="1"/>
  <c r="ABG1553" i="10" s="1"/>
  <c r="ABF1553" i="10" a="1"/>
  <c r="ABF1553" i="10" s="1"/>
  <c r="ABE1553" i="10" a="1"/>
  <c r="ABE1553" i="10" s="1"/>
  <c r="ABD1553" i="10" a="1"/>
  <c r="ABD1553" i="10" s="1"/>
  <c r="ABC1553" i="10" a="1"/>
  <c r="ABC1553" i="10" s="1"/>
  <c r="ABB1553" i="10" a="1"/>
  <c r="ABB1553" i="10" s="1"/>
  <c r="ABA1553" i="10" a="1"/>
  <c r="ABA1553" i="10" s="1"/>
  <c r="AAZ1553" i="10" a="1"/>
  <c r="AAZ1553" i="10" s="1"/>
  <c r="AAY1553" i="10" a="1"/>
  <c r="AAY1553" i="10" s="1"/>
  <c r="AAX1553" i="10" a="1"/>
  <c r="AAX1553" i="10" s="1"/>
  <c r="AAW1553" i="10" a="1"/>
  <c r="AAW1553" i="10" s="1"/>
  <c r="AAV1553" i="10" a="1"/>
  <c r="AAV1553" i="10" s="1"/>
  <c r="AAU1553" i="10" a="1"/>
  <c r="AAU1553" i="10" s="1"/>
  <c r="AAT1553" i="10" a="1"/>
  <c r="AAT1553" i="10" s="1"/>
  <c r="AAS1553" i="10" a="1"/>
  <c r="AAS1553" i="10" s="1"/>
  <c r="AAR1553" i="10" a="1"/>
  <c r="AAR1553" i="10" s="1"/>
  <c r="AAQ1553" i="10" a="1"/>
  <c r="AAQ1553" i="10" s="1"/>
  <c r="AAP1553" i="10" a="1"/>
  <c r="AAP1553" i="10" s="1"/>
  <c r="AAO1553" i="10" a="1"/>
  <c r="AAO1553" i="10" s="1"/>
  <c r="AAN1553" i="10" a="1"/>
  <c r="AAN1553" i="10" s="1"/>
  <c r="AAM1553" i="10" a="1"/>
  <c r="AAM1553" i="10" s="1"/>
  <c r="AAL1553" i="10" a="1"/>
  <c r="AAL1553" i="10" s="1"/>
  <c r="AAK1553" i="10" a="1"/>
  <c r="AAK1553" i="10" s="1"/>
  <c r="AAJ1553" i="10" a="1"/>
  <c r="AAJ1553" i="10" s="1"/>
  <c r="AAI1553" i="10" a="1"/>
  <c r="AAI1553" i="10" s="1"/>
  <c r="AAH1553" i="10" a="1"/>
  <c r="AAH1553" i="10" s="1"/>
  <c r="AAG1553" i="10" a="1"/>
  <c r="AAG1553" i="10" s="1"/>
  <c r="AAF1553" i="10" a="1"/>
  <c r="AAF1553" i="10" s="1"/>
  <c r="AAE1553" i="10" a="1"/>
  <c r="AAE1553" i="10" s="1"/>
  <c r="AAD1553" i="10" a="1"/>
  <c r="AAD1553" i="10" s="1"/>
  <c r="AAC1553" i="10" a="1"/>
  <c r="AAC1553" i="10" s="1"/>
  <c r="AAB1553" i="10" a="1"/>
  <c r="AAB1553" i="10" s="1"/>
  <c r="AAA1553" i="10" a="1"/>
  <c r="AAA1553" i="10" s="1"/>
  <c r="ZZ1553" i="10" a="1"/>
  <c r="ZZ1553" i="10" s="1"/>
  <c r="ZY1553" i="10" a="1"/>
  <c r="ZY1553" i="10" s="1"/>
  <c r="ZX1553" i="10" a="1"/>
  <c r="ZX1553" i="10" s="1"/>
  <c r="ZW1553" i="10" a="1"/>
  <c r="ZW1553" i="10" s="1"/>
  <c r="ZV1553" i="10" a="1"/>
  <c r="ZV1553" i="10" s="1"/>
  <c r="ZU1553" i="10" a="1"/>
  <c r="ZU1553" i="10" s="1"/>
  <c r="ZT1553" i="10" a="1"/>
  <c r="ZT1553" i="10" s="1"/>
  <c r="ZS1553" i="10" a="1"/>
  <c r="ZS1553" i="10" s="1"/>
  <c r="ZR1553" i="10" a="1"/>
  <c r="ZR1553" i="10" s="1"/>
  <c r="ZQ1553" i="10" a="1"/>
  <c r="ZQ1553" i="10" s="1"/>
  <c r="ZP1553" i="10" a="1"/>
  <c r="ZP1553" i="10" s="1"/>
  <c r="ZO1553" i="10" a="1"/>
  <c r="ZO1553" i="10" s="1"/>
  <c r="ZN1553" i="10" a="1"/>
  <c r="ZN1553" i="10" s="1"/>
  <c r="ZM1553" i="10" a="1"/>
  <c r="ZM1553" i="10" s="1"/>
  <c r="ZL1553" i="10" a="1"/>
  <c r="ZL1553" i="10" s="1"/>
  <c r="ZK1553" i="10" a="1"/>
  <c r="ZK1553" i="10" s="1"/>
  <c r="ZJ1553" i="10" a="1"/>
  <c r="ZJ1553" i="10" s="1"/>
  <c r="ZI1553" i="10" a="1"/>
  <c r="ZI1553" i="10" s="1"/>
  <c r="ZH1553" i="10" a="1"/>
  <c r="ZH1553" i="10" s="1"/>
  <c r="ZG1553" i="10" a="1"/>
  <c r="ZG1553" i="10" s="1"/>
  <c r="ZF1553" i="10" a="1"/>
  <c r="ZF1553" i="10" s="1"/>
  <c r="ZE1553" i="10" a="1"/>
  <c r="ZE1553" i="10" s="1"/>
  <c r="ZD1553" i="10" a="1"/>
  <c r="ZD1553" i="10" s="1"/>
  <c r="ZC1553" i="10" a="1"/>
  <c r="ZC1553" i="10" s="1"/>
  <c r="ZB1553" i="10" a="1"/>
  <c r="ZB1553" i="10" s="1"/>
  <c r="ZA1553" i="10" a="1"/>
  <c r="ZA1553" i="10" s="1"/>
  <c r="YZ1553" i="10" a="1"/>
  <c r="YZ1553" i="10" s="1"/>
  <c r="YY1553" i="10" a="1"/>
  <c r="YY1553" i="10" s="1"/>
  <c r="YX1553" i="10" a="1"/>
  <c r="YX1553" i="10" s="1"/>
  <c r="YW1553" i="10" a="1"/>
  <c r="YW1553" i="10" s="1"/>
  <c r="YV1553" i="10" a="1"/>
  <c r="YV1553" i="10" s="1"/>
  <c r="YU1553" i="10" a="1"/>
  <c r="YU1553" i="10" s="1"/>
  <c r="YT1553" i="10" a="1"/>
  <c r="YT1553" i="10" s="1"/>
  <c r="YS1553" i="10" a="1"/>
  <c r="YS1553" i="10" s="1"/>
  <c r="YR1553" i="10" a="1"/>
  <c r="YR1553" i="10" s="1"/>
  <c r="YQ1553" i="10" a="1"/>
  <c r="YQ1553" i="10" s="1"/>
  <c r="YP1553" i="10" a="1"/>
  <c r="YP1553" i="10" s="1"/>
  <c r="YO1553" i="10" a="1"/>
  <c r="YO1553" i="10" s="1"/>
  <c r="YN1553" i="10" a="1"/>
  <c r="YN1553" i="10" s="1"/>
  <c r="YM1553" i="10" a="1"/>
  <c r="YM1553" i="10" s="1"/>
  <c r="YL1553" i="10" a="1"/>
  <c r="YL1553" i="10" s="1"/>
  <c r="YK1553" i="10" a="1"/>
  <c r="YK1553" i="10" s="1"/>
  <c r="YJ1553" i="10" a="1"/>
  <c r="YJ1553" i="10" s="1"/>
  <c r="YI1553" i="10" a="1"/>
  <c r="YI1553" i="10" s="1"/>
  <c r="YH1553" i="10" a="1"/>
  <c r="YH1553" i="10" s="1"/>
  <c r="YG1553" i="10" a="1"/>
  <c r="YG1553" i="10" s="1"/>
  <c r="YF1553" i="10" a="1"/>
  <c r="YF1553" i="10" s="1"/>
  <c r="YE1553" i="10" a="1"/>
  <c r="YE1553" i="10" s="1"/>
  <c r="YD1553" i="10" a="1"/>
  <c r="YD1553" i="10" s="1"/>
  <c r="YC1553" i="10" a="1"/>
  <c r="YC1553" i="10" s="1"/>
  <c r="YB1553" i="10" a="1"/>
  <c r="YB1553" i="10" s="1"/>
  <c r="YA1553" i="10" a="1"/>
  <c r="YA1553" i="10" s="1"/>
  <c r="XZ1553" i="10" a="1"/>
  <c r="XZ1553" i="10" s="1"/>
  <c r="XY1553" i="10" a="1"/>
  <c r="XY1553" i="10" s="1"/>
  <c r="XX1553" i="10" a="1"/>
  <c r="XX1553" i="10" s="1"/>
  <c r="XW1553" i="10" a="1"/>
  <c r="XW1553" i="10" s="1"/>
  <c r="XV1553" i="10" a="1"/>
  <c r="XV1553" i="10" s="1"/>
  <c r="XU1553" i="10" a="1"/>
  <c r="XU1553" i="10" s="1"/>
  <c r="XT1553" i="10" a="1"/>
  <c r="XT1553" i="10" s="1"/>
  <c r="XS1553" i="10" a="1"/>
  <c r="XS1553" i="10" s="1"/>
  <c r="XR1553" i="10" a="1"/>
  <c r="XR1553" i="10" s="1"/>
  <c r="XQ1553" i="10" a="1"/>
  <c r="XQ1553" i="10" s="1"/>
  <c r="XP1553" i="10" a="1"/>
  <c r="XP1553" i="10" s="1"/>
  <c r="XO1553" i="10" a="1"/>
  <c r="XO1553" i="10" s="1"/>
  <c r="XN1553" i="10" a="1"/>
  <c r="XN1553" i="10" s="1"/>
  <c r="XM1553" i="10" a="1"/>
  <c r="XM1553" i="10" s="1"/>
  <c r="XL1553" i="10" a="1"/>
  <c r="XL1553" i="10" s="1"/>
  <c r="XK1553" i="10" a="1"/>
  <c r="XK1553" i="10" s="1"/>
  <c r="XJ1553" i="10" a="1"/>
  <c r="XJ1553" i="10" s="1"/>
  <c r="XI1553" i="10" a="1"/>
  <c r="XI1553" i="10" s="1"/>
  <c r="XH1553" i="10" a="1"/>
  <c r="XH1553" i="10" s="1"/>
  <c r="XG1553" i="10" a="1"/>
  <c r="XG1553" i="10" s="1"/>
  <c r="XF1553" i="10" a="1"/>
  <c r="XF1553" i="10" s="1"/>
  <c r="XE1553" i="10" a="1"/>
  <c r="XE1553" i="10" s="1"/>
  <c r="XD1553" i="10" a="1"/>
  <c r="XD1553" i="10" s="1"/>
  <c r="XC1553" i="10" a="1"/>
  <c r="XC1553" i="10" s="1"/>
  <c r="XB1553" i="10" a="1"/>
  <c r="XB1553" i="10" s="1"/>
  <c r="XA1553" i="10" a="1"/>
  <c r="XA1553" i="10" s="1"/>
  <c r="WZ1553" i="10" a="1"/>
  <c r="WZ1553" i="10" s="1"/>
  <c r="WY1553" i="10" a="1"/>
  <c r="WY1553" i="10" s="1"/>
  <c r="WX1553" i="10" a="1"/>
  <c r="WX1553" i="10" s="1"/>
  <c r="WW1553" i="10" a="1"/>
  <c r="WW1553" i="10" s="1"/>
  <c r="WV1553" i="10" a="1"/>
  <c r="WV1553" i="10" s="1"/>
  <c r="WU1553" i="10" a="1"/>
  <c r="WU1553" i="10" s="1"/>
  <c r="WT1553" i="10" a="1"/>
  <c r="WT1553" i="10" s="1"/>
  <c r="WS1553" i="10" a="1"/>
  <c r="WS1553" i="10" s="1"/>
  <c r="WR1553" i="10" a="1"/>
  <c r="WR1553" i="10" s="1"/>
  <c r="WQ1553" i="10" a="1"/>
  <c r="WQ1553" i="10" s="1"/>
  <c r="WP1553" i="10" a="1"/>
  <c r="WP1553" i="10" s="1"/>
  <c r="WO1553" i="10" a="1"/>
  <c r="WO1553" i="10" s="1"/>
  <c r="WN1553" i="10" a="1"/>
  <c r="WN1553" i="10" s="1"/>
  <c r="WM1553" i="10" a="1"/>
  <c r="WM1553" i="10" s="1"/>
  <c r="WL1553" i="10" a="1"/>
  <c r="WL1553" i="10" s="1"/>
  <c r="WK1553" i="10" a="1"/>
  <c r="WK1553" i="10" s="1"/>
  <c r="WJ1553" i="10" a="1"/>
  <c r="WJ1553" i="10" s="1"/>
  <c r="WI1553" i="10" a="1"/>
  <c r="WI1553" i="10" s="1"/>
  <c r="WH1553" i="10" a="1"/>
  <c r="WH1553" i="10" s="1"/>
  <c r="WG1553" i="10" a="1"/>
  <c r="WG1553" i="10" s="1"/>
  <c r="WF1553" i="10" a="1"/>
  <c r="WF1553" i="10" s="1"/>
  <c r="WE1553" i="10" a="1"/>
  <c r="WE1553" i="10" s="1"/>
  <c r="WD1553" i="10" a="1"/>
  <c r="WD1553" i="10" s="1"/>
  <c r="WC1553" i="10" a="1"/>
  <c r="WC1553" i="10" s="1"/>
  <c r="WB1553" i="10" a="1"/>
  <c r="WB1553" i="10" s="1"/>
  <c r="WA1553" i="10" a="1"/>
  <c r="WA1553" i="10" s="1"/>
  <c r="VZ1553" i="10" a="1"/>
  <c r="VZ1553" i="10" s="1"/>
  <c r="VY1553" i="10" a="1"/>
  <c r="VY1553" i="10" s="1"/>
  <c r="VX1553" i="10" a="1"/>
  <c r="VX1553" i="10" s="1"/>
  <c r="VW1553" i="10" a="1"/>
  <c r="VW1553" i="10" s="1"/>
  <c r="VV1553" i="10" a="1"/>
  <c r="VV1553" i="10" s="1"/>
  <c r="VU1553" i="10" a="1"/>
  <c r="VU1553" i="10" s="1"/>
  <c r="VT1553" i="10" a="1"/>
  <c r="VT1553" i="10" s="1"/>
  <c r="VS1553" i="10" a="1"/>
  <c r="VS1553" i="10" s="1"/>
  <c r="VR1553" i="10" a="1"/>
  <c r="VR1553" i="10" s="1"/>
  <c r="VQ1553" i="10" a="1"/>
  <c r="VQ1553" i="10" s="1"/>
  <c r="VP1553" i="10" a="1"/>
  <c r="VP1553" i="10" s="1"/>
  <c r="VO1553" i="10" a="1"/>
  <c r="VO1553" i="10" s="1"/>
  <c r="VN1553" i="10" a="1"/>
  <c r="VN1553" i="10" s="1"/>
  <c r="VM1553" i="10" a="1"/>
  <c r="VM1553" i="10" s="1"/>
  <c r="VL1553" i="10" a="1"/>
  <c r="VL1553" i="10" s="1"/>
  <c r="VK1553" i="10" a="1"/>
  <c r="VK1553" i="10" s="1"/>
  <c r="VJ1553" i="10" a="1"/>
  <c r="VJ1553" i="10" s="1"/>
  <c r="VI1553" i="10" a="1"/>
  <c r="VI1553" i="10" s="1"/>
  <c r="VH1553" i="10" a="1"/>
  <c r="VH1553" i="10" s="1"/>
  <c r="VG1553" i="10" a="1"/>
  <c r="VG1553" i="10" s="1"/>
  <c r="VF1553" i="10" a="1"/>
  <c r="VF1553" i="10" s="1"/>
  <c r="VE1553" i="10" a="1"/>
  <c r="VE1553" i="10" s="1"/>
  <c r="VD1553" i="10" a="1"/>
  <c r="VD1553" i="10" s="1"/>
  <c r="VC1553" i="10" a="1"/>
  <c r="VC1553" i="10" s="1"/>
  <c r="VB1553" i="10" a="1"/>
  <c r="VB1553" i="10" s="1"/>
  <c r="VA1553" i="10" a="1"/>
  <c r="VA1553" i="10" s="1"/>
  <c r="UZ1553" i="10" a="1"/>
  <c r="UZ1553" i="10" s="1"/>
  <c r="UY1553" i="10" a="1"/>
  <c r="UY1553" i="10" s="1"/>
  <c r="UX1553" i="10" a="1"/>
  <c r="UX1553" i="10" s="1"/>
  <c r="UW1553" i="10" a="1"/>
  <c r="UW1553" i="10" s="1"/>
  <c r="UV1553" i="10" a="1"/>
  <c r="UV1553" i="10" s="1"/>
  <c r="UU1553" i="10" a="1"/>
  <c r="UU1553" i="10" s="1"/>
  <c r="UT1553" i="10" a="1"/>
  <c r="UT1553" i="10" s="1"/>
  <c r="US1553" i="10" a="1"/>
  <c r="US1553" i="10" s="1"/>
  <c r="UR1553" i="10" a="1"/>
  <c r="UR1553" i="10" s="1"/>
  <c r="UQ1553" i="10" a="1"/>
  <c r="UQ1553" i="10" s="1"/>
  <c r="UP1553" i="10" a="1"/>
  <c r="UP1553" i="10" s="1"/>
  <c r="UO1553" i="10" a="1"/>
  <c r="UO1553" i="10" s="1"/>
  <c r="UN1553" i="10" a="1"/>
  <c r="UN1553" i="10" s="1"/>
  <c r="UM1553" i="10" a="1"/>
  <c r="UM1553" i="10" s="1"/>
  <c r="UL1553" i="10" a="1"/>
  <c r="UL1553" i="10" s="1"/>
  <c r="UK1553" i="10" a="1"/>
  <c r="UK1553" i="10" s="1"/>
  <c r="UJ1553" i="10" a="1"/>
  <c r="UJ1553" i="10" s="1"/>
  <c r="UI1553" i="10" a="1"/>
  <c r="UI1553" i="10" s="1"/>
  <c r="UH1553" i="10" a="1"/>
  <c r="UH1553" i="10" s="1"/>
  <c r="UG1553" i="10" a="1"/>
  <c r="UG1553" i="10" s="1"/>
  <c r="UF1553" i="10" a="1"/>
  <c r="UF1553" i="10" s="1"/>
  <c r="UE1553" i="10" a="1"/>
  <c r="UE1553" i="10" s="1"/>
  <c r="UD1553" i="10" a="1"/>
  <c r="UD1553" i="10" s="1"/>
  <c r="UC1553" i="10" a="1"/>
  <c r="UC1553" i="10" s="1"/>
  <c r="UB1553" i="10" a="1"/>
  <c r="UB1553" i="10" s="1"/>
  <c r="UA1553" i="10" a="1"/>
  <c r="UA1553" i="10" s="1"/>
  <c r="TZ1553" i="10" a="1"/>
  <c r="TZ1553" i="10" s="1"/>
  <c r="TY1553" i="10" a="1"/>
  <c r="TY1553" i="10" s="1"/>
  <c r="TX1553" i="10" a="1"/>
  <c r="TX1553" i="10" s="1"/>
  <c r="TW1553" i="10" a="1"/>
  <c r="TW1553" i="10" s="1"/>
  <c r="TV1553" i="10" a="1"/>
  <c r="TV1553" i="10" s="1"/>
  <c r="TU1553" i="10" a="1"/>
  <c r="TU1553" i="10" s="1"/>
  <c r="TT1553" i="10" a="1"/>
  <c r="TT1553" i="10" s="1"/>
  <c r="TS1553" i="10" a="1"/>
  <c r="TS1553" i="10" s="1"/>
  <c r="TR1553" i="10" a="1"/>
  <c r="TR1553" i="10" s="1"/>
  <c r="TQ1553" i="10" a="1"/>
  <c r="TQ1553" i="10" s="1"/>
  <c r="TP1553" i="10" a="1"/>
  <c r="TP1553" i="10" s="1"/>
  <c r="TO1553" i="10" a="1"/>
  <c r="TO1553" i="10" s="1"/>
  <c r="TN1553" i="10" a="1"/>
  <c r="TN1553" i="10" s="1"/>
  <c r="TM1553" i="10" a="1"/>
  <c r="TM1553" i="10" s="1"/>
  <c r="TL1553" i="10" a="1"/>
  <c r="TL1553" i="10" s="1"/>
  <c r="TK1553" i="10" a="1"/>
  <c r="TK1553" i="10" s="1"/>
  <c r="TJ1553" i="10" a="1"/>
  <c r="TJ1553" i="10" s="1"/>
  <c r="TI1553" i="10" a="1"/>
  <c r="TI1553" i="10" s="1"/>
  <c r="TH1553" i="10" a="1"/>
  <c r="TH1553" i="10" s="1"/>
  <c r="TG1553" i="10" a="1"/>
  <c r="TG1553" i="10" s="1"/>
  <c r="TF1553" i="10" a="1"/>
  <c r="TF1553" i="10" s="1"/>
  <c r="TE1553" i="10" a="1"/>
  <c r="TE1553" i="10" s="1"/>
  <c r="TD1553" i="10" a="1"/>
  <c r="TD1553" i="10" s="1"/>
  <c r="TC1553" i="10" a="1"/>
  <c r="TC1553" i="10" s="1"/>
  <c r="TB1553" i="10" a="1"/>
  <c r="TB1553" i="10" s="1"/>
  <c r="TA1553" i="10" a="1"/>
  <c r="TA1553" i="10" s="1"/>
  <c r="SZ1553" i="10" a="1"/>
  <c r="SZ1553" i="10" s="1"/>
  <c r="SY1553" i="10" a="1"/>
  <c r="SY1553" i="10" s="1"/>
  <c r="SX1553" i="10" a="1"/>
  <c r="SX1553" i="10" s="1"/>
  <c r="SW1553" i="10" a="1"/>
  <c r="SW1553" i="10" s="1"/>
  <c r="SV1553" i="10" a="1"/>
  <c r="SV1553" i="10" s="1"/>
  <c r="SU1553" i="10" a="1"/>
  <c r="SU1553" i="10" s="1"/>
  <c r="ST1553" i="10" a="1"/>
  <c r="ST1553" i="10" s="1"/>
  <c r="SS1553" i="10" a="1"/>
  <c r="SS1553" i="10" s="1"/>
  <c r="SR1553" i="10" a="1"/>
  <c r="SR1553" i="10" s="1"/>
  <c r="SQ1553" i="10" a="1"/>
  <c r="SQ1553" i="10" s="1"/>
  <c r="SP1553" i="10" a="1"/>
  <c r="SP1553" i="10" s="1"/>
  <c r="SO1553" i="10" a="1"/>
  <c r="SO1553" i="10" s="1"/>
  <c r="SN1553" i="10" a="1"/>
  <c r="SN1553" i="10" s="1"/>
  <c r="SM1553" i="10" a="1"/>
  <c r="SM1553" i="10" s="1"/>
  <c r="SL1553" i="10" a="1"/>
  <c r="SL1553" i="10" s="1"/>
  <c r="SK1553" i="10" a="1"/>
  <c r="SK1553" i="10" s="1"/>
  <c r="SJ1553" i="10" a="1"/>
  <c r="SJ1553" i="10" s="1"/>
  <c r="SI1553" i="10" a="1"/>
  <c r="SI1553" i="10" s="1"/>
  <c r="SH1553" i="10" a="1"/>
  <c r="SH1553" i="10" s="1"/>
  <c r="SG1553" i="10" a="1"/>
  <c r="SG1553" i="10" s="1"/>
  <c r="SF1553" i="10" a="1"/>
  <c r="SF1553" i="10" s="1"/>
  <c r="SE1553" i="10" a="1"/>
  <c r="SE1553" i="10" s="1"/>
  <c r="SD1553" i="10" a="1"/>
  <c r="SD1553" i="10" s="1"/>
  <c r="SC1553" i="10" a="1"/>
  <c r="SC1553" i="10" s="1"/>
  <c r="SB1553" i="10" a="1"/>
  <c r="SB1553" i="10" s="1"/>
  <c r="SA1553" i="10" a="1"/>
  <c r="SA1553" i="10" s="1"/>
  <c r="RZ1553" i="10" a="1"/>
  <c r="RZ1553" i="10" s="1"/>
  <c r="RY1553" i="10" a="1"/>
  <c r="RY1553" i="10" s="1"/>
  <c r="RX1553" i="10" a="1"/>
  <c r="RX1553" i="10" s="1"/>
  <c r="RW1553" i="10" a="1"/>
  <c r="RW1553" i="10" s="1"/>
  <c r="RV1553" i="10" a="1"/>
  <c r="RV1553" i="10" s="1"/>
  <c r="RU1553" i="10" a="1"/>
  <c r="RU1553" i="10" s="1"/>
  <c r="RT1553" i="10" a="1"/>
  <c r="RT1553" i="10" s="1"/>
  <c r="RS1553" i="10" a="1"/>
  <c r="RS1553" i="10" s="1"/>
  <c r="RR1553" i="10" a="1"/>
  <c r="RR1553" i="10" s="1"/>
  <c r="RQ1553" i="10" a="1"/>
  <c r="RQ1553" i="10" s="1"/>
  <c r="RP1553" i="10" a="1"/>
  <c r="RP1553" i="10" s="1"/>
  <c r="RO1553" i="10" a="1"/>
  <c r="RO1553" i="10" s="1"/>
  <c r="RN1553" i="10" a="1"/>
  <c r="RN1553" i="10" s="1"/>
  <c r="RM1553" i="10" a="1"/>
  <c r="RM1553" i="10" s="1"/>
  <c r="RL1553" i="10" a="1"/>
  <c r="RL1553" i="10" s="1"/>
  <c r="RK1553" i="10" a="1"/>
  <c r="RK1553" i="10" s="1"/>
  <c r="RJ1553" i="10" a="1"/>
  <c r="RJ1553" i="10" s="1"/>
  <c r="RI1553" i="10" a="1"/>
  <c r="RI1553" i="10" s="1"/>
  <c r="RH1553" i="10" a="1"/>
  <c r="RH1553" i="10" s="1"/>
  <c r="RG1553" i="10" a="1"/>
  <c r="RG1553" i="10" s="1"/>
  <c r="RF1553" i="10" a="1"/>
  <c r="RF1553" i="10" s="1"/>
  <c r="RE1553" i="10" a="1"/>
  <c r="RE1553" i="10" s="1"/>
  <c r="RD1553" i="10" a="1"/>
  <c r="RD1553" i="10" s="1"/>
  <c r="RC1553" i="10" a="1"/>
  <c r="RC1553" i="10" s="1"/>
  <c r="RB1553" i="10" a="1"/>
  <c r="RB1553" i="10" s="1"/>
  <c r="RA1553" i="10" a="1"/>
  <c r="RA1553" i="10" s="1"/>
  <c r="QZ1553" i="10" a="1"/>
  <c r="QZ1553" i="10" s="1"/>
  <c r="QY1553" i="10" a="1"/>
  <c r="QY1553" i="10" s="1"/>
  <c r="QX1553" i="10" a="1"/>
  <c r="QX1553" i="10" s="1"/>
  <c r="QW1553" i="10" a="1"/>
  <c r="QW1553" i="10" s="1"/>
  <c r="QV1553" i="10" a="1"/>
  <c r="QV1553" i="10" s="1"/>
  <c r="QU1553" i="10" a="1"/>
  <c r="QU1553" i="10" s="1"/>
  <c r="QT1553" i="10" a="1"/>
  <c r="QT1553" i="10" s="1"/>
  <c r="QS1553" i="10" a="1"/>
  <c r="QS1553" i="10" s="1"/>
  <c r="QR1553" i="10" a="1"/>
  <c r="QR1553" i="10" s="1"/>
  <c r="QQ1553" i="10" a="1"/>
  <c r="QQ1553" i="10" s="1"/>
  <c r="QP1553" i="10" a="1"/>
  <c r="QP1553" i="10" s="1"/>
  <c r="QO1553" i="10" a="1"/>
  <c r="QO1553" i="10" s="1"/>
  <c r="QN1553" i="10" a="1"/>
  <c r="QN1553" i="10" s="1"/>
  <c r="QM1553" i="10" a="1"/>
  <c r="QM1553" i="10" s="1"/>
  <c r="QL1553" i="10" a="1"/>
  <c r="QL1553" i="10" s="1"/>
  <c r="QK1553" i="10" a="1"/>
  <c r="QK1553" i="10" s="1"/>
  <c r="QJ1553" i="10" a="1"/>
  <c r="QJ1553" i="10" s="1"/>
  <c r="QI1553" i="10" a="1"/>
  <c r="QI1553" i="10" s="1"/>
  <c r="QH1553" i="10" a="1"/>
  <c r="QH1553" i="10" s="1"/>
  <c r="QG1553" i="10" a="1"/>
  <c r="QG1553" i="10" s="1"/>
  <c r="QF1553" i="10" a="1"/>
  <c r="QF1553" i="10" s="1"/>
  <c r="QE1553" i="10" a="1"/>
  <c r="QE1553" i="10" s="1"/>
  <c r="QD1553" i="10" a="1"/>
  <c r="QD1553" i="10" s="1"/>
  <c r="QC1553" i="10" a="1"/>
  <c r="QC1553" i="10" s="1"/>
  <c r="QB1553" i="10" a="1"/>
  <c r="QB1553" i="10" s="1"/>
  <c r="QA1553" i="10" a="1"/>
  <c r="QA1553" i="10" s="1"/>
  <c r="PZ1553" i="10" a="1"/>
  <c r="PZ1553" i="10" s="1"/>
  <c r="PY1553" i="10" a="1"/>
  <c r="PY1553" i="10" s="1"/>
  <c r="PX1553" i="10" a="1"/>
  <c r="PX1553" i="10" s="1"/>
  <c r="PW1553" i="10" a="1"/>
  <c r="PW1553" i="10" s="1"/>
  <c r="PV1553" i="10" a="1"/>
  <c r="PV1553" i="10" s="1"/>
  <c r="PU1553" i="10" a="1"/>
  <c r="PU1553" i="10" s="1"/>
  <c r="PT1553" i="10" a="1"/>
  <c r="PT1553" i="10" s="1"/>
  <c r="PS1553" i="10" a="1"/>
  <c r="PS1553" i="10" s="1"/>
  <c r="PR1553" i="10" a="1"/>
  <c r="PR1553" i="10" s="1"/>
  <c r="PQ1553" i="10" a="1"/>
  <c r="PQ1553" i="10" s="1"/>
  <c r="PP1553" i="10" a="1"/>
  <c r="PP1553" i="10" s="1"/>
  <c r="PO1553" i="10" a="1"/>
  <c r="PO1553" i="10" s="1"/>
  <c r="PN1553" i="10" a="1"/>
  <c r="PN1553" i="10" s="1"/>
  <c r="PM1553" i="10" a="1"/>
  <c r="PM1553" i="10" s="1"/>
  <c r="PL1553" i="10" a="1"/>
  <c r="PL1553" i="10" s="1"/>
  <c r="PK1553" i="10" a="1"/>
  <c r="PK1553" i="10" s="1"/>
  <c r="PJ1553" i="10" a="1"/>
  <c r="PJ1553" i="10" s="1"/>
  <c r="PI1553" i="10" a="1"/>
  <c r="PI1553" i="10" s="1"/>
  <c r="PH1553" i="10" a="1"/>
  <c r="PH1553" i="10" s="1"/>
  <c r="PG1553" i="10" a="1"/>
  <c r="PG1553" i="10" s="1"/>
  <c r="PF1553" i="10" a="1"/>
  <c r="PF1553" i="10" s="1"/>
  <c r="PE1553" i="10" a="1"/>
  <c r="PE1553" i="10" s="1"/>
  <c r="PD1553" i="10" a="1"/>
  <c r="PD1553" i="10" s="1"/>
  <c r="PC1553" i="10" a="1"/>
  <c r="PC1553" i="10" s="1"/>
  <c r="PB1553" i="10" a="1"/>
  <c r="PB1553" i="10" s="1"/>
  <c r="PA1553" i="10" a="1"/>
  <c r="PA1553" i="10" s="1"/>
  <c r="OZ1553" i="10" a="1"/>
  <c r="OZ1553" i="10" s="1"/>
  <c r="OY1553" i="10" a="1"/>
  <c r="OY1553" i="10" s="1"/>
  <c r="OX1553" i="10" a="1"/>
  <c r="OX1553" i="10" s="1"/>
  <c r="OW1553" i="10" a="1"/>
  <c r="OW1553" i="10" s="1"/>
  <c r="OV1553" i="10" a="1"/>
  <c r="OV1553" i="10" s="1"/>
  <c r="OU1553" i="10" a="1"/>
  <c r="OU1553" i="10" s="1"/>
  <c r="OT1553" i="10" a="1"/>
  <c r="OT1553" i="10" s="1"/>
  <c r="OS1553" i="10" a="1"/>
  <c r="OS1553" i="10" s="1"/>
  <c r="OR1553" i="10" a="1"/>
  <c r="OR1553" i="10" s="1"/>
  <c r="OQ1553" i="10" a="1"/>
  <c r="OQ1553" i="10" s="1"/>
  <c r="OP1553" i="10" a="1"/>
  <c r="OP1553" i="10" s="1"/>
  <c r="OO1553" i="10" a="1"/>
  <c r="OO1553" i="10" s="1"/>
  <c r="ON1553" i="10" a="1"/>
  <c r="ON1553" i="10" s="1"/>
  <c r="OM1553" i="10" a="1"/>
  <c r="OM1553" i="10" s="1"/>
  <c r="OL1553" i="10" a="1"/>
  <c r="OL1553" i="10" s="1"/>
  <c r="OK1553" i="10" a="1"/>
  <c r="OK1553" i="10" s="1"/>
  <c r="OJ1553" i="10" a="1"/>
  <c r="OJ1553" i="10" s="1"/>
  <c r="OI1553" i="10" a="1"/>
  <c r="OI1553" i="10" s="1"/>
  <c r="OH1553" i="10" a="1"/>
  <c r="OH1553" i="10" s="1"/>
  <c r="OG1553" i="10" a="1"/>
  <c r="OG1553" i="10" s="1"/>
  <c r="OF1553" i="10" a="1"/>
  <c r="OF1553" i="10" s="1"/>
  <c r="OE1553" i="10" a="1"/>
  <c r="OE1553" i="10" s="1"/>
  <c r="OD1553" i="10" a="1"/>
  <c r="OD1553" i="10" s="1"/>
  <c r="OC1553" i="10" a="1"/>
  <c r="OC1553" i="10" s="1"/>
  <c r="OB1553" i="10" a="1"/>
  <c r="OB1553" i="10" s="1"/>
  <c r="OA1553" i="10" a="1"/>
  <c r="OA1553" i="10" s="1"/>
  <c r="NZ1553" i="10" a="1"/>
  <c r="NZ1553" i="10" s="1"/>
  <c r="NY1553" i="10" a="1"/>
  <c r="NY1553" i="10" s="1"/>
  <c r="NX1553" i="10" a="1"/>
  <c r="NX1553" i="10" s="1"/>
  <c r="NW1553" i="10" a="1"/>
  <c r="NW1553" i="10" s="1"/>
  <c r="NV1553" i="10" a="1"/>
  <c r="NV1553" i="10" s="1"/>
  <c r="NU1553" i="10" a="1"/>
  <c r="NU1553" i="10" s="1"/>
  <c r="NT1553" i="10" a="1"/>
  <c r="NT1553" i="10" s="1"/>
  <c r="NS1553" i="10" a="1"/>
  <c r="NS1553" i="10" s="1"/>
  <c r="NR1553" i="10" a="1"/>
  <c r="NR1553" i="10" s="1"/>
  <c r="NQ1553" i="10" a="1"/>
  <c r="NQ1553" i="10" s="1"/>
  <c r="NP1553" i="10" a="1"/>
  <c r="NP1553" i="10" s="1"/>
  <c r="NO1553" i="10" a="1"/>
  <c r="NO1553" i="10" s="1"/>
  <c r="NN1553" i="10" a="1"/>
  <c r="NN1553" i="10" s="1"/>
  <c r="NM1553" i="10" a="1"/>
  <c r="NM1553" i="10" s="1"/>
  <c r="NL1553" i="10" a="1"/>
  <c r="NL1553" i="10" s="1"/>
  <c r="NK1553" i="10" a="1"/>
  <c r="NK1553" i="10" s="1"/>
  <c r="NJ1553" i="10" a="1"/>
  <c r="NJ1553" i="10" s="1"/>
  <c r="NI1553" i="10" a="1"/>
  <c r="NI1553" i="10" s="1"/>
  <c r="NH1553" i="10" a="1"/>
  <c r="NH1553" i="10" s="1"/>
  <c r="NG1553" i="10" a="1"/>
  <c r="NG1553" i="10" s="1"/>
  <c r="NF1553" i="10" a="1"/>
  <c r="NF1553" i="10" s="1"/>
  <c r="NE1553" i="10" a="1"/>
  <c r="NE1553" i="10" s="1"/>
  <c r="ND1553" i="10" a="1"/>
  <c r="ND1553" i="10" s="1"/>
  <c r="NC1553" i="10" a="1"/>
  <c r="NC1553" i="10" s="1"/>
  <c r="NB1553" i="10" a="1"/>
  <c r="NB1553" i="10" s="1"/>
  <c r="NA1553" i="10" a="1"/>
  <c r="NA1553" i="10" s="1"/>
  <c r="MZ1553" i="10" a="1"/>
  <c r="MZ1553" i="10" s="1"/>
  <c r="MY1553" i="10" a="1"/>
  <c r="MY1553" i="10" s="1"/>
  <c r="MX1553" i="10" a="1"/>
  <c r="MX1553" i="10" s="1"/>
  <c r="MW1553" i="10" a="1"/>
  <c r="MW1553" i="10" s="1"/>
  <c r="MV1553" i="10" a="1"/>
  <c r="MV1553" i="10" s="1"/>
  <c r="MU1553" i="10" a="1"/>
  <c r="MU1553" i="10" s="1"/>
  <c r="MT1553" i="10" a="1"/>
  <c r="MT1553" i="10" s="1"/>
  <c r="MS1553" i="10" a="1"/>
  <c r="MS1553" i="10" s="1"/>
  <c r="MR1553" i="10" a="1"/>
  <c r="MR1553" i="10" s="1"/>
  <c r="MQ1553" i="10" a="1"/>
  <c r="MQ1553" i="10" s="1"/>
  <c r="MP1553" i="10" a="1"/>
  <c r="MP1553" i="10" s="1"/>
  <c r="MO1553" i="10" a="1"/>
  <c r="MO1553" i="10" s="1"/>
  <c r="MN1553" i="10" a="1"/>
  <c r="MN1553" i="10" s="1"/>
  <c r="MM1553" i="10" a="1"/>
  <c r="MM1553" i="10" s="1"/>
  <c r="ML1553" i="10" a="1"/>
  <c r="ML1553" i="10" s="1"/>
  <c r="MK1553" i="10" a="1"/>
  <c r="MK1553" i="10" s="1"/>
  <c r="MJ1553" i="10" a="1"/>
  <c r="MJ1553" i="10" s="1"/>
  <c r="MI1553" i="10" a="1"/>
  <c r="MI1553" i="10" s="1"/>
  <c r="MH1553" i="10" a="1"/>
  <c r="MH1553" i="10" s="1"/>
  <c r="MG1553" i="10" a="1"/>
  <c r="MG1553" i="10" s="1"/>
  <c r="MF1553" i="10" a="1"/>
  <c r="MF1553" i="10" s="1"/>
  <c r="ME1553" i="10" a="1"/>
  <c r="ME1553" i="10" s="1"/>
  <c r="MD1553" i="10" a="1"/>
  <c r="MD1553" i="10" s="1"/>
  <c r="MC1553" i="10" a="1"/>
  <c r="MC1553" i="10" s="1"/>
  <c r="MB1553" i="10" a="1"/>
  <c r="MB1553" i="10" s="1"/>
  <c r="MA1553" i="10" a="1"/>
  <c r="MA1553" i="10" s="1"/>
  <c r="LZ1553" i="10" a="1"/>
  <c r="LZ1553" i="10" s="1"/>
  <c r="LY1553" i="10" a="1"/>
  <c r="LY1553" i="10" s="1"/>
  <c r="LX1553" i="10" a="1"/>
  <c r="LX1553" i="10" s="1"/>
  <c r="LW1553" i="10" a="1"/>
  <c r="LW1553" i="10" s="1"/>
  <c r="LV1553" i="10" a="1"/>
  <c r="LV1553" i="10" s="1"/>
  <c r="LU1553" i="10" a="1"/>
  <c r="LU1553" i="10" s="1"/>
  <c r="LT1553" i="10" a="1"/>
  <c r="LT1553" i="10" s="1"/>
  <c r="LS1553" i="10" a="1"/>
  <c r="LS1553" i="10" s="1"/>
  <c r="LR1553" i="10" a="1"/>
  <c r="LR1553" i="10" s="1"/>
  <c r="LQ1553" i="10" a="1"/>
  <c r="LQ1553" i="10" s="1"/>
  <c r="LP1553" i="10" a="1"/>
  <c r="LP1553" i="10" s="1"/>
  <c r="LO1553" i="10" a="1"/>
  <c r="LO1553" i="10" s="1"/>
  <c r="LN1553" i="10" a="1"/>
  <c r="LN1553" i="10" s="1"/>
  <c r="LM1553" i="10" a="1"/>
  <c r="LM1553" i="10" s="1"/>
  <c r="LL1553" i="10" a="1"/>
  <c r="LL1553" i="10" s="1"/>
  <c r="LK1553" i="10" a="1"/>
  <c r="LK1553" i="10" s="1"/>
  <c r="LJ1553" i="10" a="1"/>
  <c r="LJ1553" i="10" s="1"/>
  <c r="LI1553" i="10" a="1"/>
  <c r="LI1553" i="10" s="1"/>
  <c r="LH1553" i="10" a="1"/>
  <c r="LH1553" i="10" s="1"/>
  <c r="LG1553" i="10" a="1"/>
  <c r="LG1553" i="10" s="1"/>
  <c r="LF1553" i="10" a="1"/>
  <c r="LF1553" i="10" s="1"/>
  <c r="LE1553" i="10" a="1"/>
  <c r="LE1553" i="10" s="1"/>
  <c r="LD1553" i="10" a="1"/>
  <c r="LD1553" i="10" s="1"/>
  <c r="LC1553" i="10" a="1"/>
  <c r="LC1553" i="10" s="1"/>
  <c r="LB1553" i="10" a="1"/>
  <c r="LB1553" i="10" s="1"/>
  <c r="LA1553" i="10" a="1"/>
  <c r="LA1553" i="10" s="1"/>
  <c r="KZ1553" i="10" a="1"/>
  <c r="KZ1553" i="10" s="1"/>
  <c r="KY1553" i="10" a="1"/>
  <c r="KY1553" i="10" s="1"/>
  <c r="KX1553" i="10" a="1"/>
  <c r="KX1553" i="10" s="1"/>
  <c r="KW1553" i="10" a="1"/>
  <c r="KW1553" i="10" s="1"/>
  <c r="KV1553" i="10" a="1"/>
  <c r="KV1553" i="10" s="1"/>
  <c r="KU1553" i="10" a="1"/>
  <c r="KU1553" i="10" s="1"/>
  <c r="KT1553" i="10" a="1"/>
  <c r="KT1553" i="10" s="1"/>
  <c r="KS1553" i="10" a="1"/>
  <c r="KS1553" i="10" s="1"/>
  <c r="KR1553" i="10" a="1"/>
  <c r="KR1553" i="10" s="1"/>
  <c r="KQ1553" i="10" a="1"/>
  <c r="KQ1553" i="10" s="1"/>
  <c r="KP1553" i="10" a="1"/>
  <c r="KP1553" i="10" s="1"/>
  <c r="KO1553" i="10" a="1"/>
  <c r="KO1553" i="10" s="1"/>
  <c r="KN1553" i="10" a="1"/>
  <c r="KN1553" i="10" s="1"/>
  <c r="KM1553" i="10" a="1"/>
  <c r="KM1553" i="10" s="1"/>
  <c r="KL1553" i="10" a="1"/>
  <c r="KL1553" i="10" s="1"/>
  <c r="KK1553" i="10" a="1"/>
  <c r="KK1553" i="10" s="1"/>
  <c r="KJ1553" i="10" a="1"/>
  <c r="KJ1553" i="10" s="1"/>
  <c r="KI1553" i="10" a="1"/>
  <c r="KI1553" i="10" s="1"/>
  <c r="KH1553" i="10" a="1"/>
  <c r="KH1553" i="10" s="1"/>
  <c r="KG1553" i="10" a="1"/>
  <c r="KG1553" i="10" s="1"/>
  <c r="KF1553" i="10" a="1"/>
  <c r="KF1553" i="10" s="1"/>
  <c r="KE1553" i="10" a="1"/>
  <c r="KE1553" i="10" s="1"/>
  <c r="KD1553" i="10" a="1"/>
  <c r="KD1553" i="10" s="1"/>
  <c r="KC1553" i="10" a="1"/>
  <c r="KC1553" i="10" s="1"/>
  <c r="KB1553" i="10" a="1"/>
  <c r="KB1553" i="10" s="1"/>
  <c r="KA1553" i="10" a="1"/>
  <c r="KA1553" i="10" s="1"/>
  <c r="JZ1553" i="10" a="1"/>
  <c r="JZ1553" i="10" s="1"/>
  <c r="JY1553" i="10" a="1"/>
  <c r="JY1553" i="10" s="1"/>
  <c r="JX1553" i="10" a="1"/>
  <c r="JX1553" i="10" s="1"/>
  <c r="JW1553" i="10" a="1"/>
  <c r="JW1553" i="10" s="1"/>
  <c r="JV1553" i="10" a="1"/>
  <c r="JV1553" i="10" s="1"/>
  <c r="JU1553" i="10" a="1"/>
  <c r="JU1553" i="10" s="1"/>
  <c r="JT1553" i="10" a="1"/>
  <c r="JT1553" i="10" s="1"/>
  <c r="JS1553" i="10" a="1"/>
  <c r="JS1553" i="10" s="1"/>
  <c r="JR1553" i="10" a="1"/>
  <c r="JR1553" i="10" s="1"/>
  <c r="JQ1553" i="10" a="1"/>
  <c r="JQ1553" i="10" s="1"/>
  <c r="JP1553" i="10" a="1"/>
  <c r="JP1553" i="10" s="1"/>
  <c r="JO1553" i="10" a="1"/>
  <c r="JO1553" i="10" s="1"/>
  <c r="JN1553" i="10" a="1"/>
  <c r="JN1553" i="10" s="1"/>
  <c r="JM1553" i="10" a="1"/>
  <c r="JM1553" i="10" s="1"/>
  <c r="JL1553" i="10" a="1"/>
  <c r="JL1553" i="10" s="1"/>
  <c r="JK1553" i="10" a="1"/>
  <c r="JK1553" i="10" s="1"/>
  <c r="JJ1553" i="10" a="1"/>
  <c r="JJ1553" i="10" s="1"/>
  <c r="JI1553" i="10" a="1"/>
  <c r="JI1553" i="10" s="1"/>
  <c r="JH1553" i="10" a="1"/>
  <c r="JH1553" i="10" s="1"/>
  <c r="JG1553" i="10" a="1"/>
  <c r="JG1553" i="10" s="1"/>
  <c r="JF1553" i="10" a="1"/>
  <c r="JF1553" i="10" s="1"/>
  <c r="JE1553" i="10" a="1"/>
  <c r="JE1553" i="10" s="1"/>
  <c r="JD1553" i="10" a="1"/>
  <c r="JD1553" i="10" s="1"/>
  <c r="JC1553" i="10" a="1"/>
  <c r="JC1553" i="10" s="1"/>
  <c r="JB1553" i="10" a="1"/>
  <c r="JB1553" i="10" s="1"/>
  <c r="JA1553" i="10" a="1"/>
  <c r="JA1553" i="10" s="1"/>
  <c r="IZ1553" i="10" a="1"/>
  <c r="IZ1553" i="10" s="1"/>
  <c r="IY1553" i="10" a="1"/>
  <c r="IY1553" i="10" s="1"/>
  <c r="IX1553" i="10" a="1"/>
  <c r="IX1553" i="10" s="1"/>
  <c r="IW1553" i="10" a="1"/>
  <c r="IW1553" i="10" s="1"/>
  <c r="IV1553" i="10" a="1"/>
  <c r="IV1553" i="10" s="1"/>
  <c r="IU1553" i="10" a="1"/>
  <c r="IU1553" i="10" s="1"/>
  <c r="IT1553" i="10" a="1"/>
  <c r="IT1553" i="10" s="1"/>
  <c r="IS1553" i="10" a="1"/>
  <c r="IS1553" i="10" s="1"/>
  <c r="IR1553" i="10" a="1"/>
  <c r="IR1553" i="10" s="1"/>
  <c r="IQ1553" i="10" a="1"/>
  <c r="IQ1553" i="10" s="1"/>
  <c r="IP1553" i="10" a="1"/>
  <c r="IP1553" i="10" s="1"/>
  <c r="IO1553" i="10" a="1"/>
  <c r="IO1553" i="10" s="1"/>
  <c r="IN1553" i="10" a="1"/>
  <c r="IN1553" i="10" s="1"/>
  <c r="IM1553" i="10" a="1"/>
  <c r="IM1553" i="10" s="1"/>
  <c r="IL1553" i="10" a="1"/>
  <c r="IL1553" i="10" s="1"/>
  <c r="IK1553" i="10" a="1"/>
  <c r="IK1553" i="10" s="1"/>
  <c r="IJ1553" i="10" a="1"/>
  <c r="IJ1553" i="10" s="1"/>
  <c r="II1553" i="10" a="1"/>
  <c r="II1553" i="10" s="1"/>
  <c r="IH1553" i="10" a="1"/>
  <c r="IH1553" i="10" s="1"/>
  <c r="IG1553" i="10" a="1"/>
  <c r="IG1553" i="10" s="1"/>
  <c r="IF1553" i="10" a="1"/>
  <c r="IF1553" i="10" s="1"/>
  <c r="IE1553" i="10" a="1"/>
  <c r="IE1553" i="10" s="1"/>
  <c r="ID1553" i="10" a="1"/>
  <c r="ID1553" i="10" s="1"/>
  <c r="IC1553" i="10" a="1"/>
  <c r="IC1553" i="10" s="1"/>
  <c r="IB1553" i="10" a="1"/>
  <c r="IB1553" i="10" s="1"/>
  <c r="IA1553" i="10" a="1"/>
  <c r="IA1553" i="10" s="1"/>
  <c r="HZ1553" i="10" a="1"/>
  <c r="HZ1553" i="10" s="1"/>
  <c r="HY1553" i="10" a="1"/>
  <c r="HY1553" i="10" s="1"/>
  <c r="HX1553" i="10" a="1"/>
  <c r="HX1553" i="10" s="1"/>
  <c r="HW1553" i="10" a="1"/>
  <c r="HW1553" i="10" s="1"/>
  <c r="HV1553" i="10" a="1"/>
  <c r="HV1553" i="10" s="1"/>
  <c r="HU1553" i="10" a="1"/>
  <c r="HU1553" i="10" s="1"/>
  <c r="HT1553" i="10" a="1"/>
  <c r="HT1553" i="10" s="1"/>
  <c r="HS1553" i="10" a="1"/>
  <c r="HS1553" i="10" s="1"/>
  <c r="HR1553" i="10" a="1"/>
  <c r="HR1553" i="10" s="1"/>
  <c r="HQ1553" i="10" a="1"/>
  <c r="HQ1553" i="10" s="1"/>
  <c r="HP1553" i="10" a="1"/>
  <c r="HP1553" i="10" s="1"/>
  <c r="HO1553" i="10" a="1"/>
  <c r="HO1553" i="10" s="1"/>
  <c r="HN1553" i="10" a="1"/>
  <c r="HN1553" i="10" s="1"/>
  <c r="HM1553" i="10" a="1"/>
  <c r="HM1553" i="10" s="1"/>
  <c r="HL1553" i="10" a="1"/>
  <c r="HL1553" i="10" s="1"/>
  <c r="HK1553" i="10" a="1"/>
  <c r="HK1553" i="10" s="1"/>
  <c r="HJ1553" i="10" a="1"/>
  <c r="HJ1553" i="10" s="1"/>
  <c r="HI1553" i="10" a="1"/>
  <c r="HI1553" i="10" s="1"/>
  <c r="HH1553" i="10" a="1"/>
  <c r="HH1553" i="10" s="1"/>
  <c r="HG1553" i="10" a="1"/>
  <c r="HG1553" i="10" s="1"/>
  <c r="HF1553" i="10" a="1"/>
  <c r="HF1553" i="10" s="1"/>
  <c r="HE1553" i="10" a="1"/>
  <c r="HE1553" i="10" s="1"/>
  <c r="HD1553" i="10" a="1"/>
  <c r="HD1553" i="10" s="1"/>
  <c r="HC1553" i="10" a="1"/>
  <c r="HC1553" i="10" s="1"/>
  <c r="HB1553" i="10" a="1"/>
  <c r="HB1553" i="10" s="1"/>
  <c r="HA1553" i="10" a="1"/>
  <c r="HA1553" i="10" s="1"/>
  <c r="GZ1553" i="10" a="1"/>
  <c r="GZ1553" i="10" s="1"/>
  <c r="GY1553" i="10" a="1"/>
  <c r="GY1553" i="10" s="1"/>
  <c r="GX1553" i="10" a="1"/>
  <c r="GX1553" i="10" s="1"/>
  <c r="GW1553" i="10" a="1"/>
  <c r="GW1553" i="10" s="1"/>
  <c r="GV1553" i="10" a="1"/>
  <c r="GV1553" i="10" s="1"/>
  <c r="GU1553" i="10" a="1"/>
  <c r="GU1553" i="10" s="1"/>
  <c r="GT1553" i="10" a="1"/>
  <c r="GT1553" i="10" s="1"/>
  <c r="GS1553" i="10" a="1"/>
  <c r="GS1553" i="10" s="1"/>
  <c r="GR1553" i="10" a="1"/>
  <c r="GR1553" i="10" s="1"/>
  <c r="GQ1553" i="10" a="1"/>
  <c r="GQ1553" i="10" s="1"/>
  <c r="GP1553" i="10" a="1"/>
  <c r="GP1553" i="10" s="1"/>
  <c r="GO1553" i="10" a="1"/>
  <c r="GO1553" i="10" s="1"/>
  <c r="GN1553" i="10" a="1"/>
  <c r="GN1553" i="10" s="1"/>
  <c r="GM1553" i="10" a="1"/>
  <c r="GM1553" i="10" s="1"/>
  <c r="GL1553" i="10" a="1"/>
  <c r="GL1553" i="10" s="1"/>
  <c r="GK1553" i="10" a="1"/>
  <c r="GK1553" i="10" s="1"/>
  <c r="GJ1553" i="10" a="1"/>
  <c r="GJ1553" i="10" s="1"/>
  <c r="GI1553" i="10" a="1"/>
  <c r="GI1553" i="10" s="1"/>
  <c r="GH1553" i="10" a="1"/>
  <c r="GH1553" i="10" s="1"/>
  <c r="GG1553" i="10" a="1"/>
  <c r="GG1553" i="10" s="1"/>
  <c r="GF1553" i="10" a="1"/>
  <c r="GF1553" i="10" s="1"/>
  <c r="GE1553" i="10" a="1"/>
  <c r="GE1553" i="10" s="1"/>
  <c r="GD1553" i="10" a="1"/>
  <c r="GD1553" i="10" s="1"/>
  <c r="GC1553" i="10" a="1"/>
  <c r="GC1553" i="10" s="1"/>
  <c r="GB1553" i="10" a="1"/>
  <c r="GB1553" i="10" s="1"/>
  <c r="GA1553" i="10" a="1"/>
  <c r="GA1553" i="10" s="1"/>
  <c r="FZ1553" i="10" a="1"/>
  <c r="FZ1553" i="10" s="1"/>
  <c r="FY1553" i="10" a="1"/>
  <c r="FY1553" i="10" s="1"/>
  <c r="FX1553" i="10" a="1"/>
  <c r="FX1553" i="10" s="1"/>
  <c r="FW1553" i="10" a="1"/>
  <c r="FW1553" i="10" s="1"/>
  <c r="FV1553" i="10" a="1"/>
  <c r="FV1553" i="10" s="1"/>
  <c r="FU1553" i="10" a="1"/>
  <c r="FU1553" i="10" s="1"/>
  <c r="FT1553" i="10" a="1"/>
  <c r="FT1553" i="10" s="1"/>
  <c r="FS1553" i="10" a="1"/>
  <c r="FS1553" i="10" s="1"/>
  <c r="FR1553" i="10" a="1"/>
  <c r="FR1553" i="10" s="1"/>
  <c r="FQ1553" i="10" a="1"/>
  <c r="FQ1553" i="10" s="1"/>
  <c r="FP1553" i="10" a="1"/>
  <c r="FP1553" i="10" s="1"/>
  <c r="FO1553" i="10" a="1"/>
  <c r="FO1553" i="10" s="1"/>
  <c r="FN1553" i="10" a="1"/>
  <c r="FN1553" i="10" s="1"/>
  <c r="FM1553" i="10" a="1"/>
  <c r="FM1553" i="10" s="1"/>
  <c r="FL1553" i="10" a="1"/>
  <c r="FL1553" i="10" s="1"/>
  <c r="FK1553" i="10" a="1"/>
  <c r="FK1553" i="10" s="1"/>
  <c r="FJ1553" i="10" a="1"/>
  <c r="FJ1553" i="10" s="1"/>
  <c r="FI1553" i="10" a="1"/>
  <c r="FI1553" i="10" s="1"/>
  <c r="FH1553" i="10" a="1"/>
  <c r="FH1553" i="10" s="1"/>
  <c r="FG1553" i="10" a="1"/>
  <c r="FG1553" i="10" s="1"/>
  <c r="FF1553" i="10" a="1"/>
  <c r="FF1553" i="10" s="1"/>
  <c r="FE1553" i="10" a="1"/>
  <c r="FE1553" i="10" s="1"/>
  <c r="FD1553" i="10" a="1"/>
  <c r="FD1553" i="10" s="1"/>
  <c r="FC1553" i="10" a="1"/>
  <c r="FC1553" i="10" s="1"/>
  <c r="FB1553" i="10" a="1"/>
  <c r="FB1553" i="10" s="1"/>
  <c r="FA1553" i="10" a="1"/>
  <c r="FA1553" i="10" s="1"/>
  <c r="EZ1553" i="10" a="1"/>
  <c r="EZ1553" i="10" s="1"/>
  <c r="EY1553" i="10" a="1"/>
  <c r="EY1553" i="10" s="1"/>
  <c r="EX1553" i="10" a="1"/>
  <c r="EX1553" i="10" s="1"/>
  <c r="EW1553" i="10" a="1"/>
  <c r="EW1553" i="10" s="1"/>
  <c r="EV1553" i="10" a="1"/>
  <c r="EV1553" i="10" s="1"/>
  <c r="EU1553" i="10" a="1"/>
  <c r="EU1553" i="10" s="1"/>
  <c r="ET1553" i="10" a="1"/>
  <c r="ET1553" i="10" s="1"/>
  <c r="ES1553" i="10" a="1"/>
  <c r="ES1553" i="10" s="1"/>
  <c r="ER1553" i="10" a="1"/>
  <c r="ER1553" i="10" s="1"/>
  <c r="EQ1553" i="10" a="1"/>
  <c r="EQ1553" i="10" s="1"/>
  <c r="EP1553" i="10" a="1"/>
  <c r="EP1553" i="10" s="1"/>
  <c r="EO1553" i="10" a="1"/>
  <c r="EO1553" i="10" s="1"/>
  <c r="EN1553" i="10" a="1"/>
  <c r="EN1553" i="10" s="1"/>
  <c r="EM1553" i="10" a="1"/>
  <c r="EM1553" i="10" s="1"/>
  <c r="EL1553" i="10" a="1"/>
  <c r="EL1553" i="10" s="1"/>
  <c r="EK1553" i="10" a="1"/>
  <c r="EK1553" i="10" s="1"/>
  <c r="EJ1553" i="10" a="1"/>
  <c r="EJ1553" i="10" s="1"/>
  <c r="EI1553" i="10" a="1"/>
  <c r="EI1553" i="10" s="1"/>
  <c r="EH1553" i="10" a="1"/>
  <c r="EH1553" i="10" s="1"/>
  <c r="EG1553" i="10" a="1"/>
  <c r="EG1553" i="10" s="1"/>
  <c r="EF1553" i="10" a="1"/>
  <c r="EF1553" i="10" s="1"/>
  <c r="EE1553" i="10" a="1"/>
  <c r="EE1553" i="10" s="1"/>
  <c r="ED1553" i="10" a="1"/>
  <c r="ED1553" i="10" s="1"/>
  <c r="EC1553" i="10" a="1"/>
  <c r="EC1553" i="10" s="1"/>
  <c r="EB1553" i="10" a="1"/>
  <c r="EB1553" i="10" s="1"/>
  <c r="EA1553" i="10" a="1"/>
  <c r="EA1553" i="10" s="1"/>
  <c r="DZ1553" i="10" a="1"/>
  <c r="DZ1553" i="10" s="1"/>
  <c r="DY1553" i="10" a="1"/>
  <c r="DY1553" i="10" s="1"/>
  <c r="DX1553" i="10" a="1"/>
  <c r="DX1553" i="10" s="1"/>
  <c r="DW1553" i="10" a="1"/>
  <c r="DW1553" i="10" s="1"/>
  <c r="DV1553" i="10" a="1"/>
  <c r="DV1553" i="10" s="1"/>
  <c r="DU1553" i="10" a="1"/>
  <c r="DU1553" i="10" s="1"/>
  <c r="DT1553" i="10" a="1"/>
  <c r="DT1553" i="10" s="1"/>
  <c r="DS1553" i="10" a="1"/>
  <c r="DS1553" i="10" s="1"/>
  <c r="DR1553" i="10" a="1"/>
  <c r="DR1553" i="10" s="1"/>
  <c r="DQ1553" i="10" a="1"/>
  <c r="DQ1553" i="10" s="1"/>
  <c r="DP1553" i="10" a="1"/>
  <c r="DP1553" i="10" s="1"/>
  <c r="DO1553" i="10" a="1"/>
  <c r="DO1553" i="10" s="1"/>
  <c r="DN1553" i="10" a="1"/>
  <c r="DN1553" i="10" s="1"/>
  <c r="DM1553" i="10" a="1"/>
  <c r="DM1553" i="10" s="1"/>
  <c r="DL1553" i="10" a="1"/>
  <c r="DL1553" i="10" s="1"/>
  <c r="DK1553" i="10" a="1"/>
  <c r="DK1553" i="10" s="1"/>
  <c r="DJ1553" i="10" a="1"/>
  <c r="DJ1553" i="10" s="1"/>
  <c r="DI1553" i="10" a="1"/>
  <c r="DI1553" i="10" s="1"/>
  <c r="DH1553" i="10" a="1"/>
  <c r="DH1553" i="10" s="1"/>
  <c r="DG1553" i="10" a="1"/>
  <c r="DG1553" i="10" s="1"/>
  <c r="DF1553" i="10" a="1"/>
  <c r="DF1553" i="10" s="1"/>
  <c r="DE1553" i="10" a="1"/>
  <c r="DE1553" i="10" s="1"/>
  <c r="DD1553" i="10" a="1"/>
  <c r="DD1553" i="10" s="1"/>
  <c r="DC1553" i="10" a="1"/>
  <c r="DC1553" i="10" s="1"/>
  <c r="DB1553" i="10" a="1"/>
  <c r="DB1553" i="10" s="1"/>
  <c r="DA1553" i="10" a="1"/>
  <c r="DA1553" i="10" s="1"/>
  <c r="CZ1553" i="10" a="1"/>
  <c r="CZ1553" i="10" s="1"/>
  <c r="CY1553" i="10" a="1"/>
  <c r="CY1553" i="10" s="1"/>
  <c r="CX1553" i="10" a="1"/>
  <c r="CX1553" i="10" s="1"/>
  <c r="CW1553" i="10" a="1"/>
  <c r="CW1553" i="10" s="1"/>
  <c r="CV1553" i="10" a="1"/>
  <c r="CV1553" i="10" s="1"/>
  <c r="CU1553" i="10" a="1"/>
  <c r="CU1553" i="10" s="1"/>
  <c r="CT1553" i="10" a="1"/>
  <c r="CT1553" i="10" s="1"/>
  <c r="CS1553" i="10" a="1"/>
  <c r="CS1553" i="10" s="1"/>
  <c r="CR1553" i="10" a="1"/>
  <c r="CR1553" i="10" s="1"/>
  <c r="CQ1553" i="10" a="1"/>
  <c r="CQ1553" i="10" s="1"/>
  <c r="CP1553" i="10" a="1"/>
  <c r="CP1553" i="10" s="1"/>
  <c r="CO1553" i="10" a="1"/>
  <c r="CO1553" i="10" s="1"/>
  <c r="CN1553" i="10" a="1"/>
  <c r="CN1553" i="10" s="1"/>
  <c r="CM1553" i="10" a="1"/>
  <c r="CM1553" i="10" s="1"/>
  <c r="CL1553" i="10" a="1"/>
  <c r="CL1553" i="10" s="1"/>
  <c r="CK1553" i="10" a="1"/>
  <c r="CK1553" i="10" s="1"/>
  <c r="CJ1553" i="10" a="1"/>
  <c r="CJ1553" i="10" s="1"/>
  <c r="CI1553" i="10" a="1"/>
  <c r="CI1553" i="10" s="1"/>
  <c r="CH1553" i="10" a="1"/>
  <c r="CH1553" i="10" s="1"/>
  <c r="CG1553" i="10" a="1"/>
  <c r="CG1553" i="10" s="1"/>
  <c r="CF1553" i="10" a="1"/>
  <c r="CF1553" i="10" s="1"/>
  <c r="CE1553" i="10" a="1"/>
  <c r="CE1553" i="10" s="1"/>
  <c r="CD1553" i="10" a="1"/>
  <c r="CD1553" i="10" s="1"/>
  <c r="CC1553" i="10" a="1"/>
  <c r="CC1553" i="10" s="1"/>
  <c r="CB1553" i="10" a="1"/>
  <c r="CB1553" i="10" s="1"/>
  <c r="CA1553" i="10" a="1"/>
  <c r="CA1553" i="10" s="1"/>
  <c r="BZ1553" i="10" a="1"/>
  <c r="BZ1553" i="10" s="1"/>
  <c r="BY1553" i="10" a="1"/>
  <c r="BY1553" i="10" s="1"/>
  <c r="BX1553" i="10" a="1"/>
  <c r="BX1553" i="10" s="1"/>
  <c r="BW1553" i="10" a="1"/>
  <c r="BW1553" i="10" s="1"/>
  <c r="BV1553" i="10" a="1"/>
  <c r="BV1553" i="10" s="1"/>
  <c r="BU1553" i="10" a="1"/>
  <c r="BU1553" i="10" s="1"/>
  <c r="BT1553" i="10" a="1"/>
  <c r="BT1553" i="10" s="1"/>
  <c r="BS1553" i="10" a="1"/>
  <c r="BS1553" i="10" s="1"/>
  <c r="BR1553" i="10" a="1"/>
  <c r="BR1553" i="10" s="1"/>
  <c r="BQ1553" i="10" a="1"/>
  <c r="BQ1553" i="10" s="1"/>
  <c r="BP1553" i="10" a="1"/>
  <c r="BP1553" i="10" s="1"/>
  <c r="BO1553" i="10" a="1"/>
  <c r="BO1553" i="10" s="1"/>
  <c r="BN1553" i="10" a="1"/>
  <c r="BN1553" i="10" s="1"/>
  <c r="BM1553" i="10" a="1"/>
  <c r="BM1553" i="10" s="1"/>
  <c r="BL1553" i="10" a="1"/>
  <c r="BL1553" i="10" s="1"/>
  <c r="BK1553" i="10" a="1"/>
  <c r="BK1553" i="10" s="1"/>
  <c r="BJ1553" i="10" a="1"/>
  <c r="BJ1553" i="10" s="1"/>
  <c r="BI1553" i="10" a="1"/>
  <c r="BI1553" i="10" s="1"/>
  <c r="BH1553" i="10" a="1"/>
  <c r="BH1553" i="10" s="1"/>
  <c r="BG1553" i="10" a="1"/>
  <c r="BG1553" i="10" s="1"/>
  <c r="BF1553" i="10" a="1"/>
  <c r="BF1553" i="10" s="1"/>
  <c r="BE1553" i="10" a="1"/>
  <c r="BE1553" i="10" s="1"/>
  <c r="BD1553" i="10" a="1"/>
  <c r="BD1553" i="10" s="1"/>
  <c r="BC1553" i="10" a="1"/>
  <c r="BC1553" i="10" s="1"/>
  <c r="BB1553" i="10" a="1"/>
  <c r="BB1553" i="10" s="1"/>
  <c r="BA1553" i="10" a="1"/>
  <c r="BA1553" i="10" s="1"/>
  <c r="AZ1553" i="10" a="1"/>
  <c r="AZ1553" i="10" s="1"/>
  <c r="AY1553" i="10" a="1"/>
  <c r="AY1553" i="10" s="1"/>
  <c r="AX1553" i="10" a="1"/>
  <c r="AX1553" i="10" s="1"/>
  <c r="AW1553" i="10" a="1"/>
  <c r="AW1553" i="10" s="1"/>
  <c r="AV1553" i="10" a="1"/>
  <c r="AV1553" i="10" s="1"/>
  <c r="AU1553" i="10" a="1"/>
  <c r="AU1553" i="10" s="1"/>
  <c r="AT1553" i="10" a="1"/>
  <c r="AT1553" i="10" s="1"/>
  <c r="AS1553" i="10" a="1"/>
  <c r="AS1553" i="10" s="1"/>
  <c r="AR1553" i="10" a="1"/>
  <c r="AR1553" i="10" s="1"/>
  <c r="AQ1553" i="10" a="1"/>
  <c r="AQ1553" i="10" s="1"/>
  <c r="AP1553" i="10" a="1"/>
  <c r="AP1553" i="10" s="1"/>
  <c r="AO1553" i="10" a="1"/>
  <c r="AO1553" i="10" s="1"/>
  <c r="AN1553" i="10" a="1"/>
  <c r="AN1553" i="10" s="1"/>
  <c r="AM1553" i="10" a="1"/>
  <c r="AM1553" i="10" s="1"/>
  <c r="AL1553" i="10" a="1"/>
  <c r="AL1553" i="10" s="1"/>
  <c r="Q31" i="9" s="1"/>
  <c r="AK1553" i="10" a="1"/>
  <c r="AK1553" i="10" s="1"/>
  <c r="AJ1553" i="10" a="1"/>
  <c r="AJ1553" i="10" s="1"/>
  <c r="AI1553" i="10" a="1"/>
  <c r="AI1553" i="10" s="1"/>
  <c r="AH1553" i="10" a="1"/>
  <c r="AH1553" i="10" s="1"/>
  <c r="AG1553" i="10" a="1"/>
  <c r="AG1553" i="10" s="1"/>
  <c r="AF1553" i="10" a="1"/>
  <c r="AF1553" i="10" s="1"/>
  <c r="AE1553" i="10" a="1"/>
  <c r="AE1553" i="10" s="1"/>
  <c r="AD1553" i="10" a="1"/>
  <c r="AD1553" i="10" s="1"/>
  <c r="AC1553" i="10" a="1"/>
  <c r="AC1553" i="10" s="1"/>
  <c r="AB1553" i="10" a="1"/>
  <c r="AB1553" i="10" s="1"/>
  <c r="AA1553" i="10" a="1"/>
  <c r="AA1553" i="10" s="1"/>
  <c r="Z1553" i="10" a="1"/>
  <c r="Z1553" i="10" s="1"/>
  <c r="Y1553" i="10" a="1"/>
  <c r="Y1553" i="10" s="1"/>
  <c r="X1553" i="10" a="1"/>
  <c r="X1553" i="10" s="1"/>
  <c r="W1553" i="10" a="1"/>
  <c r="W1553" i="10" s="1"/>
  <c r="V1553" i="10" a="1"/>
  <c r="V1553" i="10" s="1"/>
  <c r="U1553" i="10" a="1"/>
  <c r="U1553" i="10" s="1"/>
  <c r="T1553" i="10" a="1"/>
  <c r="T1553" i="10" s="1"/>
  <c r="S1553" i="10" a="1"/>
  <c r="S1553" i="10" s="1"/>
  <c r="R1553" i="10" a="1"/>
  <c r="R1553" i="10" s="1"/>
  <c r="Q1553" i="10" a="1"/>
  <c r="Q1553" i="10" s="1"/>
  <c r="P1553" i="10" a="1"/>
  <c r="P1553" i="10" s="1"/>
  <c r="AGN1552" i="10" a="1"/>
  <c r="AGN1552" i="10" s="1"/>
  <c r="AGM1552" i="10" a="1"/>
  <c r="AGM1552" i="10" s="1"/>
  <c r="AGL1552" i="10" a="1"/>
  <c r="AGL1552" i="10" s="1"/>
  <c r="AGK1552" i="10" a="1"/>
  <c r="AGK1552" i="10" s="1"/>
  <c r="AGJ1552" i="10" a="1"/>
  <c r="AGJ1552" i="10" s="1"/>
  <c r="AGI1552" i="10" a="1"/>
  <c r="AGI1552" i="10" s="1"/>
  <c r="AGH1552" i="10" a="1"/>
  <c r="AGH1552" i="10" s="1"/>
  <c r="AGG1552" i="10" a="1"/>
  <c r="AGG1552" i="10" s="1"/>
  <c r="AGF1552" i="10" a="1"/>
  <c r="AGF1552" i="10" s="1"/>
  <c r="AGE1552" i="10" a="1"/>
  <c r="AGE1552" i="10" s="1"/>
  <c r="AGD1552" i="10" a="1"/>
  <c r="AGD1552" i="10" s="1"/>
  <c r="AGC1552" i="10" a="1"/>
  <c r="AGC1552" i="10" s="1"/>
  <c r="AGB1552" i="10" a="1"/>
  <c r="AGB1552" i="10" s="1"/>
  <c r="AGA1552" i="10" a="1"/>
  <c r="AGA1552" i="10" s="1"/>
  <c r="AFZ1552" i="10" a="1"/>
  <c r="AFZ1552" i="10" s="1"/>
  <c r="AFY1552" i="10" a="1"/>
  <c r="AFY1552" i="10" s="1"/>
  <c r="AFX1552" i="10" a="1"/>
  <c r="AFX1552" i="10" s="1"/>
  <c r="AFW1552" i="10" a="1"/>
  <c r="AFW1552" i="10" s="1"/>
  <c r="AFV1552" i="10" a="1"/>
  <c r="AFV1552" i="10" s="1"/>
  <c r="AFU1552" i="10" a="1"/>
  <c r="AFU1552" i="10" s="1"/>
  <c r="AFT1552" i="10" a="1"/>
  <c r="AFT1552" i="10" s="1"/>
  <c r="AFS1552" i="10" a="1"/>
  <c r="AFS1552" i="10" s="1"/>
  <c r="AFR1552" i="10" a="1"/>
  <c r="AFR1552" i="10" s="1"/>
  <c r="AFQ1552" i="10" a="1"/>
  <c r="AFQ1552" i="10" s="1"/>
  <c r="AFP1552" i="10" a="1"/>
  <c r="AFP1552" i="10" s="1"/>
  <c r="AFO1552" i="10" a="1"/>
  <c r="AFO1552" i="10" s="1"/>
  <c r="AFN1552" i="10" a="1"/>
  <c r="AFN1552" i="10" s="1"/>
  <c r="AFM1552" i="10" a="1"/>
  <c r="AFM1552" i="10" s="1"/>
  <c r="AFL1552" i="10" a="1"/>
  <c r="AFL1552" i="10" s="1"/>
  <c r="AFK1552" i="10" a="1"/>
  <c r="AFK1552" i="10" s="1"/>
  <c r="AFJ1552" i="10" a="1"/>
  <c r="AFJ1552" i="10" s="1"/>
  <c r="AFI1552" i="10" a="1"/>
  <c r="AFI1552" i="10" s="1"/>
  <c r="AFH1552" i="10" a="1"/>
  <c r="AFH1552" i="10" s="1"/>
  <c r="AFG1552" i="10" a="1"/>
  <c r="AFG1552" i="10" s="1"/>
  <c r="AFF1552" i="10" a="1"/>
  <c r="AFF1552" i="10" s="1"/>
  <c r="AFE1552" i="10" a="1"/>
  <c r="AFE1552" i="10" s="1"/>
  <c r="AFD1552" i="10" a="1"/>
  <c r="AFD1552" i="10" s="1"/>
  <c r="AFC1552" i="10" a="1"/>
  <c r="AFC1552" i="10" s="1"/>
  <c r="AFB1552" i="10" a="1"/>
  <c r="AFB1552" i="10" s="1"/>
  <c r="AFA1552" i="10" a="1"/>
  <c r="AFA1552" i="10" s="1"/>
  <c r="AEZ1552" i="10" a="1"/>
  <c r="AEZ1552" i="10" s="1"/>
  <c r="AEY1552" i="10" a="1"/>
  <c r="AEY1552" i="10" s="1"/>
  <c r="AEX1552" i="10" a="1"/>
  <c r="AEX1552" i="10" s="1"/>
  <c r="AEW1552" i="10" a="1"/>
  <c r="AEW1552" i="10" s="1"/>
  <c r="AEV1552" i="10" a="1"/>
  <c r="AEV1552" i="10" s="1"/>
  <c r="AEU1552" i="10" a="1"/>
  <c r="AEU1552" i="10" s="1"/>
  <c r="AET1552" i="10" a="1"/>
  <c r="AET1552" i="10" s="1"/>
  <c r="AES1552" i="10" a="1"/>
  <c r="AES1552" i="10" s="1"/>
  <c r="AER1552" i="10" a="1"/>
  <c r="AER1552" i="10" s="1"/>
  <c r="AEQ1552" i="10" a="1"/>
  <c r="AEQ1552" i="10" s="1"/>
  <c r="AEP1552" i="10" a="1"/>
  <c r="AEP1552" i="10" s="1"/>
  <c r="AEO1552" i="10" a="1"/>
  <c r="AEO1552" i="10" s="1"/>
  <c r="AEN1552" i="10" a="1"/>
  <c r="AEN1552" i="10" s="1"/>
  <c r="AEM1552" i="10" a="1"/>
  <c r="AEM1552" i="10" s="1"/>
  <c r="AEL1552" i="10" a="1"/>
  <c r="AEL1552" i="10" s="1"/>
  <c r="AEK1552" i="10" a="1"/>
  <c r="AEK1552" i="10" s="1"/>
  <c r="AEJ1552" i="10" a="1"/>
  <c r="AEJ1552" i="10" s="1"/>
  <c r="AEI1552" i="10" a="1"/>
  <c r="AEI1552" i="10" s="1"/>
  <c r="AEH1552" i="10" a="1"/>
  <c r="AEH1552" i="10" s="1"/>
  <c r="AEG1552" i="10" a="1"/>
  <c r="AEG1552" i="10" s="1"/>
  <c r="AEF1552" i="10" a="1"/>
  <c r="AEF1552" i="10" s="1"/>
  <c r="AEE1552" i="10" a="1"/>
  <c r="AEE1552" i="10" s="1"/>
  <c r="AED1552" i="10" a="1"/>
  <c r="AED1552" i="10" s="1"/>
  <c r="AEC1552" i="10" a="1"/>
  <c r="AEC1552" i="10" s="1"/>
  <c r="AEB1552" i="10" a="1"/>
  <c r="AEB1552" i="10" s="1"/>
  <c r="AEA1552" i="10" a="1"/>
  <c r="AEA1552" i="10" s="1"/>
  <c r="ADZ1552" i="10" a="1"/>
  <c r="ADZ1552" i="10" s="1"/>
  <c r="ADY1552" i="10" a="1"/>
  <c r="ADY1552" i="10" s="1"/>
  <c r="ADX1552" i="10" a="1"/>
  <c r="ADX1552" i="10" s="1"/>
  <c r="ADW1552" i="10" a="1"/>
  <c r="ADW1552" i="10" s="1"/>
  <c r="ADV1552" i="10" a="1"/>
  <c r="ADV1552" i="10" s="1"/>
  <c r="ADU1552" i="10" a="1"/>
  <c r="ADU1552" i="10" s="1"/>
  <c r="ADT1552" i="10" a="1"/>
  <c r="ADT1552" i="10" s="1"/>
  <c r="ADS1552" i="10" a="1"/>
  <c r="ADS1552" i="10" s="1"/>
  <c r="ADR1552" i="10" a="1"/>
  <c r="ADR1552" i="10" s="1"/>
  <c r="ADQ1552" i="10" a="1"/>
  <c r="ADQ1552" i="10" s="1"/>
  <c r="ADP1552" i="10" a="1"/>
  <c r="ADP1552" i="10" s="1"/>
  <c r="ADO1552" i="10" a="1"/>
  <c r="ADO1552" i="10" s="1"/>
  <c r="ADN1552" i="10" a="1"/>
  <c r="ADN1552" i="10" s="1"/>
  <c r="ADM1552" i="10" a="1"/>
  <c r="ADM1552" i="10" s="1"/>
  <c r="ADL1552" i="10" a="1"/>
  <c r="ADL1552" i="10" s="1"/>
  <c r="ADK1552" i="10" a="1"/>
  <c r="ADK1552" i="10" s="1"/>
  <c r="ADJ1552" i="10" a="1"/>
  <c r="ADJ1552" i="10" s="1"/>
  <c r="ADI1552" i="10" a="1"/>
  <c r="ADI1552" i="10" s="1"/>
  <c r="ADH1552" i="10" a="1"/>
  <c r="ADH1552" i="10" s="1"/>
  <c r="ADG1552" i="10" a="1"/>
  <c r="ADG1552" i="10" s="1"/>
  <c r="ADF1552" i="10" a="1"/>
  <c r="ADF1552" i="10" s="1"/>
  <c r="ADE1552" i="10" a="1"/>
  <c r="ADE1552" i="10" s="1"/>
  <c r="ADD1552" i="10" a="1"/>
  <c r="ADD1552" i="10" s="1"/>
  <c r="ADC1552" i="10" a="1"/>
  <c r="ADC1552" i="10" s="1"/>
  <c r="ADB1552" i="10" a="1"/>
  <c r="ADB1552" i="10" s="1"/>
  <c r="ADA1552" i="10" a="1"/>
  <c r="ADA1552" i="10" s="1"/>
  <c r="ACZ1552" i="10" a="1"/>
  <c r="ACZ1552" i="10" s="1"/>
  <c r="ACY1552" i="10" a="1"/>
  <c r="ACY1552" i="10" s="1"/>
  <c r="ACX1552" i="10" a="1"/>
  <c r="ACX1552" i="10" s="1"/>
  <c r="ACW1552" i="10" a="1"/>
  <c r="ACW1552" i="10" s="1"/>
  <c r="ACV1552" i="10" a="1"/>
  <c r="ACV1552" i="10" s="1"/>
  <c r="ACU1552" i="10" a="1"/>
  <c r="ACU1552" i="10" s="1"/>
  <c r="ACT1552" i="10" a="1"/>
  <c r="ACT1552" i="10" s="1"/>
  <c r="ACS1552" i="10" a="1"/>
  <c r="ACS1552" i="10" s="1"/>
  <c r="ACR1552" i="10" a="1"/>
  <c r="ACR1552" i="10" s="1"/>
  <c r="ACQ1552" i="10" a="1"/>
  <c r="ACQ1552" i="10" s="1"/>
  <c r="ACP1552" i="10" a="1"/>
  <c r="ACP1552" i="10" s="1"/>
  <c r="ACO1552" i="10" a="1"/>
  <c r="ACO1552" i="10" s="1"/>
  <c r="ACN1552" i="10" a="1"/>
  <c r="ACN1552" i="10" s="1"/>
  <c r="ACM1552" i="10" a="1"/>
  <c r="ACM1552" i="10" s="1"/>
  <c r="ACL1552" i="10" a="1"/>
  <c r="ACL1552" i="10" s="1"/>
  <c r="ACK1552" i="10" a="1"/>
  <c r="ACK1552" i="10" s="1"/>
  <c r="ACJ1552" i="10" a="1"/>
  <c r="ACJ1552" i="10" s="1"/>
  <c r="ACI1552" i="10" a="1"/>
  <c r="ACI1552" i="10" s="1"/>
  <c r="ACH1552" i="10" a="1"/>
  <c r="ACH1552" i="10" s="1"/>
  <c r="ACG1552" i="10" a="1"/>
  <c r="ACG1552" i="10" s="1"/>
  <c r="ACF1552" i="10" a="1"/>
  <c r="ACF1552" i="10" s="1"/>
  <c r="ACE1552" i="10" a="1"/>
  <c r="ACE1552" i="10" s="1"/>
  <c r="ACD1552" i="10" a="1"/>
  <c r="ACD1552" i="10" s="1"/>
  <c r="ACC1552" i="10" a="1"/>
  <c r="ACC1552" i="10" s="1"/>
  <c r="ACB1552" i="10" a="1"/>
  <c r="ACB1552" i="10" s="1"/>
  <c r="ACA1552" i="10" a="1"/>
  <c r="ACA1552" i="10" s="1"/>
  <c r="ABZ1552" i="10" a="1"/>
  <c r="ABZ1552" i="10" s="1"/>
  <c r="ABY1552" i="10" a="1"/>
  <c r="ABY1552" i="10" s="1"/>
  <c r="ABX1552" i="10" a="1"/>
  <c r="ABX1552" i="10" s="1"/>
  <c r="ABW1552" i="10" a="1"/>
  <c r="ABW1552" i="10" s="1"/>
  <c r="ABV1552" i="10" a="1"/>
  <c r="ABV1552" i="10" s="1"/>
  <c r="ABU1552" i="10" a="1"/>
  <c r="ABU1552" i="10" s="1"/>
  <c r="ABT1552" i="10" a="1"/>
  <c r="ABT1552" i="10" s="1"/>
  <c r="ABS1552" i="10" a="1"/>
  <c r="ABS1552" i="10" s="1"/>
  <c r="ABR1552" i="10" a="1"/>
  <c r="ABR1552" i="10" s="1"/>
  <c r="ABQ1552" i="10" a="1"/>
  <c r="ABQ1552" i="10" s="1"/>
  <c r="ABP1552" i="10" a="1"/>
  <c r="ABP1552" i="10" s="1"/>
  <c r="ABO1552" i="10" a="1"/>
  <c r="ABO1552" i="10" s="1"/>
  <c r="ABN1552" i="10" a="1"/>
  <c r="ABN1552" i="10" s="1"/>
  <c r="ABM1552" i="10" a="1"/>
  <c r="ABM1552" i="10" s="1"/>
  <c r="ABL1552" i="10" a="1"/>
  <c r="ABL1552" i="10" s="1"/>
  <c r="ABK1552" i="10" a="1"/>
  <c r="ABK1552" i="10" s="1"/>
  <c r="ABJ1552" i="10" a="1"/>
  <c r="ABJ1552" i="10" s="1"/>
  <c r="ABI1552" i="10" a="1"/>
  <c r="ABI1552" i="10" s="1"/>
  <c r="ABH1552" i="10" a="1"/>
  <c r="ABH1552" i="10" s="1"/>
  <c r="ABG1552" i="10" a="1"/>
  <c r="ABG1552" i="10" s="1"/>
  <c r="ABF1552" i="10" a="1"/>
  <c r="ABF1552" i="10" s="1"/>
  <c r="ABE1552" i="10" a="1"/>
  <c r="ABE1552" i="10" s="1"/>
  <c r="ABD1552" i="10" a="1"/>
  <c r="ABD1552" i="10" s="1"/>
  <c r="ABC1552" i="10" a="1"/>
  <c r="ABC1552" i="10" s="1"/>
  <c r="ABB1552" i="10" a="1"/>
  <c r="ABB1552" i="10" s="1"/>
  <c r="ABA1552" i="10" a="1"/>
  <c r="ABA1552" i="10" s="1"/>
  <c r="AAZ1552" i="10" a="1"/>
  <c r="AAZ1552" i="10" s="1"/>
  <c r="AAY1552" i="10" a="1"/>
  <c r="AAY1552" i="10" s="1"/>
  <c r="AAX1552" i="10" a="1"/>
  <c r="AAX1552" i="10" s="1"/>
  <c r="AAW1552" i="10" a="1"/>
  <c r="AAW1552" i="10" s="1"/>
  <c r="AAV1552" i="10" a="1"/>
  <c r="AAV1552" i="10" s="1"/>
  <c r="AAU1552" i="10" a="1"/>
  <c r="AAU1552" i="10" s="1"/>
  <c r="AAT1552" i="10" a="1"/>
  <c r="AAT1552" i="10" s="1"/>
  <c r="AAS1552" i="10" a="1"/>
  <c r="AAS1552" i="10" s="1"/>
  <c r="AAR1552" i="10" a="1"/>
  <c r="AAR1552" i="10" s="1"/>
  <c r="AAQ1552" i="10" a="1"/>
  <c r="AAQ1552" i="10" s="1"/>
  <c r="AAP1552" i="10" a="1"/>
  <c r="AAP1552" i="10" s="1"/>
  <c r="AAO1552" i="10" a="1"/>
  <c r="AAO1552" i="10" s="1"/>
  <c r="AAN1552" i="10" a="1"/>
  <c r="AAN1552" i="10" s="1"/>
  <c r="AAM1552" i="10" a="1"/>
  <c r="AAM1552" i="10" s="1"/>
  <c r="AAL1552" i="10" a="1"/>
  <c r="AAL1552" i="10" s="1"/>
  <c r="AAK1552" i="10" a="1"/>
  <c r="AAK1552" i="10" s="1"/>
  <c r="AAJ1552" i="10" a="1"/>
  <c r="AAJ1552" i="10" s="1"/>
  <c r="AAI1552" i="10" a="1"/>
  <c r="AAI1552" i="10" s="1"/>
  <c r="AAH1552" i="10" a="1"/>
  <c r="AAH1552" i="10" s="1"/>
  <c r="AAG1552" i="10" a="1"/>
  <c r="AAG1552" i="10" s="1"/>
  <c r="AAF1552" i="10" a="1"/>
  <c r="AAF1552" i="10" s="1"/>
  <c r="AAE1552" i="10" a="1"/>
  <c r="AAE1552" i="10" s="1"/>
  <c r="AAD1552" i="10" a="1"/>
  <c r="AAD1552" i="10" s="1"/>
  <c r="AAC1552" i="10" a="1"/>
  <c r="AAC1552" i="10" s="1"/>
  <c r="AAB1552" i="10" a="1"/>
  <c r="AAB1552" i="10" s="1"/>
  <c r="AAA1552" i="10" a="1"/>
  <c r="AAA1552" i="10" s="1"/>
  <c r="ZZ1552" i="10" a="1"/>
  <c r="ZZ1552" i="10" s="1"/>
  <c r="ZY1552" i="10" a="1"/>
  <c r="ZY1552" i="10" s="1"/>
  <c r="ZX1552" i="10" a="1"/>
  <c r="ZX1552" i="10" s="1"/>
  <c r="ZW1552" i="10" a="1"/>
  <c r="ZW1552" i="10" s="1"/>
  <c r="ZV1552" i="10" a="1"/>
  <c r="ZV1552" i="10" s="1"/>
  <c r="ZU1552" i="10" a="1"/>
  <c r="ZU1552" i="10" s="1"/>
  <c r="ZT1552" i="10" a="1"/>
  <c r="ZT1552" i="10" s="1"/>
  <c r="ZS1552" i="10" a="1"/>
  <c r="ZS1552" i="10" s="1"/>
  <c r="ZR1552" i="10" a="1"/>
  <c r="ZR1552" i="10" s="1"/>
  <c r="ZQ1552" i="10" a="1"/>
  <c r="ZQ1552" i="10" s="1"/>
  <c r="ZP1552" i="10" a="1"/>
  <c r="ZP1552" i="10" s="1"/>
  <c r="ZO1552" i="10" a="1"/>
  <c r="ZO1552" i="10" s="1"/>
  <c r="ZN1552" i="10" a="1"/>
  <c r="ZN1552" i="10" s="1"/>
  <c r="ZM1552" i="10" a="1"/>
  <c r="ZM1552" i="10" s="1"/>
  <c r="ZL1552" i="10" a="1"/>
  <c r="ZL1552" i="10" s="1"/>
  <c r="ZK1552" i="10" a="1"/>
  <c r="ZK1552" i="10" s="1"/>
  <c r="ZJ1552" i="10" a="1"/>
  <c r="ZJ1552" i="10" s="1"/>
  <c r="ZI1552" i="10" a="1"/>
  <c r="ZI1552" i="10" s="1"/>
  <c r="ZH1552" i="10" a="1"/>
  <c r="ZH1552" i="10" s="1"/>
  <c r="ZG1552" i="10" a="1"/>
  <c r="ZG1552" i="10" s="1"/>
  <c r="ZF1552" i="10" a="1"/>
  <c r="ZF1552" i="10" s="1"/>
  <c r="ZE1552" i="10" a="1"/>
  <c r="ZE1552" i="10" s="1"/>
  <c r="ZD1552" i="10" a="1"/>
  <c r="ZD1552" i="10" s="1"/>
  <c r="ZC1552" i="10" a="1"/>
  <c r="ZC1552" i="10" s="1"/>
  <c r="ZB1552" i="10" a="1"/>
  <c r="ZB1552" i="10" s="1"/>
  <c r="ZA1552" i="10" a="1"/>
  <c r="ZA1552" i="10" s="1"/>
  <c r="YZ1552" i="10" a="1"/>
  <c r="YZ1552" i="10" s="1"/>
  <c r="YY1552" i="10" a="1"/>
  <c r="YY1552" i="10" s="1"/>
  <c r="YX1552" i="10" a="1"/>
  <c r="YX1552" i="10" s="1"/>
  <c r="YW1552" i="10" a="1"/>
  <c r="YW1552" i="10" s="1"/>
  <c r="YV1552" i="10" a="1"/>
  <c r="YV1552" i="10" s="1"/>
  <c r="YU1552" i="10" a="1"/>
  <c r="YU1552" i="10" s="1"/>
  <c r="YT1552" i="10" a="1"/>
  <c r="YT1552" i="10" s="1"/>
  <c r="YS1552" i="10" a="1"/>
  <c r="YS1552" i="10" s="1"/>
  <c r="YR1552" i="10" a="1"/>
  <c r="YR1552" i="10" s="1"/>
  <c r="YQ1552" i="10" a="1"/>
  <c r="YQ1552" i="10" s="1"/>
  <c r="YP1552" i="10" a="1"/>
  <c r="YP1552" i="10" s="1"/>
  <c r="YO1552" i="10" a="1"/>
  <c r="YO1552" i="10" s="1"/>
  <c r="YN1552" i="10" a="1"/>
  <c r="YN1552" i="10" s="1"/>
  <c r="YM1552" i="10" a="1"/>
  <c r="YM1552" i="10" s="1"/>
  <c r="YL1552" i="10" a="1"/>
  <c r="YL1552" i="10" s="1"/>
  <c r="YK1552" i="10" a="1"/>
  <c r="YK1552" i="10" s="1"/>
  <c r="YJ1552" i="10" a="1"/>
  <c r="YJ1552" i="10" s="1"/>
  <c r="YI1552" i="10" a="1"/>
  <c r="YI1552" i="10" s="1"/>
  <c r="YH1552" i="10" a="1"/>
  <c r="YH1552" i="10" s="1"/>
  <c r="YG1552" i="10" a="1"/>
  <c r="YG1552" i="10" s="1"/>
  <c r="YF1552" i="10" a="1"/>
  <c r="YF1552" i="10" s="1"/>
  <c r="YE1552" i="10" a="1"/>
  <c r="YE1552" i="10" s="1"/>
  <c r="YD1552" i="10" a="1"/>
  <c r="YD1552" i="10" s="1"/>
  <c r="YC1552" i="10" a="1"/>
  <c r="YC1552" i="10" s="1"/>
  <c r="YB1552" i="10" a="1"/>
  <c r="YB1552" i="10" s="1"/>
  <c r="YA1552" i="10" a="1"/>
  <c r="YA1552" i="10" s="1"/>
  <c r="XZ1552" i="10" a="1"/>
  <c r="XZ1552" i="10" s="1"/>
  <c r="XY1552" i="10" a="1"/>
  <c r="XY1552" i="10" s="1"/>
  <c r="XX1552" i="10" a="1"/>
  <c r="XX1552" i="10" s="1"/>
  <c r="XW1552" i="10" a="1"/>
  <c r="XW1552" i="10" s="1"/>
  <c r="XV1552" i="10" a="1"/>
  <c r="XV1552" i="10" s="1"/>
  <c r="XU1552" i="10" a="1"/>
  <c r="XU1552" i="10" s="1"/>
  <c r="XT1552" i="10" a="1"/>
  <c r="XT1552" i="10" s="1"/>
  <c r="XS1552" i="10" a="1"/>
  <c r="XS1552" i="10" s="1"/>
  <c r="XR1552" i="10" a="1"/>
  <c r="XR1552" i="10" s="1"/>
  <c r="XQ1552" i="10" a="1"/>
  <c r="XQ1552" i="10" s="1"/>
  <c r="XP1552" i="10" a="1"/>
  <c r="XP1552" i="10" s="1"/>
  <c r="XO1552" i="10" a="1"/>
  <c r="XO1552" i="10" s="1"/>
  <c r="XN1552" i="10" a="1"/>
  <c r="XN1552" i="10" s="1"/>
  <c r="XM1552" i="10" a="1"/>
  <c r="XM1552" i="10" s="1"/>
  <c r="XL1552" i="10" a="1"/>
  <c r="XL1552" i="10" s="1"/>
  <c r="XK1552" i="10" a="1"/>
  <c r="XK1552" i="10" s="1"/>
  <c r="XJ1552" i="10" a="1"/>
  <c r="XJ1552" i="10" s="1"/>
  <c r="XI1552" i="10" a="1"/>
  <c r="XI1552" i="10" s="1"/>
  <c r="XH1552" i="10" a="1"/>
  <c r="XH1552" i="10" s="1"/>
  <c r="XG1552" i="10" a="1"/>
  <c r="XG1552" i="10" s="1"/>
  <c r="XF1552" i="10" a="1"/>
  <c r="XF1552" i="10" s="1"/>
  <c r="XE1552" i="10" a="1"/>
  <c r="XE1552" i="10" s="1"/>
  <c r="XD1552" i="10" a="1"/>
  <c r="XD1552" i="10" s="1"/>
  <c r="XC1552" i="10" a="1"/>
  <c r="XC1552" i="10" s="1"/>
  <c r="XB1552" i="10" a="1"/>
  <c r="XB1552" i="10" s="1"/>
  <c r="XA1552" i="10" a="1"/>
  <c r="XA1552" i="10" s="1"/>
  <c r="WZ1552" i="10" a="1"/>
  <c r="WZ1552" i="10" s="1"/>
  <c r="WY1552" i="10" a="1"/>
  <c r="WY1552" i="10" s="1"/>
  <c r="WX1552" i="10" a="1"/>
  <c r="WX1552" i="10" s="1"/>
  <c r="WW1552" i="10" a="1"/>
  <c r="WW1552" i="10" s="1"/>
  <c r="WV1552" i="10" a="1"/>
  <c r="WV1552" i="10" s="1"/>
  <c r="WU1552" i="10" a="1"/>
  <c r="WU1552" i="10" s="1"/>
  <c r="WT1552" i="10" a="1"/>
  <c r="WT1552" i="10" s="1"/>
  <c r="WS1552" i="10" a="1"/>
  <c r="WS1552" i="10" s="1"/>
  <c r="WR1552" i="10" a="1"/>
  <c r="WR1552" i="10" s="1"/>
  <c r="WQ1552" i="10" a="1"/>
  <c r="WQ1552" i="10" s="1"/>
  <c r="WP1552" i="10" a="1"/>
  <c r="WP1552" i="10" s="1"/>
  <c r="WO1552" i="10" a="1"/>
  <c r="WO1552" i="10" s="1"/>
  <c r="WN1552" i="10" a="1"/>
  <c r="WN1552" i="10" s="1"/>
  <c r="WM1552" i="10" a="1"/>
  <c r="WM1552" i="10" s="1"/>
  <c r="WL1552" i="10" a="1"/>
  <c r="WL1552" i="10" s="1"/>
  <c r="WK1552" i="10" a="1"/>
  <c r="WK1552" i="10" s="1"/>
  <c r="WJ1552" i="10" a="1"/>
  <c r="WJ1552" i="10" s="1"/>
  <c r="WI1552" i="10" a="1"/>
  <c r="WI1552" i="10" s="1"/>
  <c r="WH1552" i="10" a="1"/>
  <c r="WH1552" i="10" s="1"/>
  <c r="WG1552" i="10" a="1"/>
  <c r="WG1552" i="10" s="1"/>
  <c r="WF1552" i="10" a="1"/>
  <c r="WF1552" i="10" s="1"/>
  <c r="WE1552" i="10" a="1"/>
  <c r="WE1552" i="10" s="1"/>
  <c r="WD1552" i="10" a="1"/>
  <c r="WD1552" i="10" s="1"/>
  <c r="WC1552" i="10" a="1"/>
  <c r="WC1552" i="10" s="1"/>
  <c r="WB1552" i="10" a="1"/>
  <c r="WB1552" i="10" s="1"/>
  <c r="WA1552" i="10" a="1"/>
  <c r="WA1552" i="10" s="1"/>
  <c r="VZ1552" i="10" a="1"/>
  <c r="VZ1552" i="10" s="1"/>
  <c r="VY1552" i="10" a="1"/>
  <c r="VY1552" i="10" s="1"/>
  <c r="VX1552" i="10" a="1"/>
  <c r="VX1552" i="10" s="1"/>
  <c r="VW1552" i="10" a="1"/>
  <c r="VW1552" i="10" s="1"/>
  <c r="VV1552" i="10" a="1"/>
  <c r="VV1552" i="10" s="1"/>
  <c r="VU1552" i="10" a="1"/>
  <c r="VU1552" i="10" s="1"/>
  <c r="VT1552" i="10" a="1"/>
  <c r="VT1552" i="10" s="1"/>
  <c r="VS1552" i="10" a="1"/>
  <c r="VS1552" i="10" s="1"/>
  <c r="VR1552" i="10" a="1"/>
  <c r="VR1552" i="10" s="1"/>
  <c r="VQ1552" i="10" a="1"/>
  <c r="VQ1552" i="10" s="1"/>
  <c r="VP1552" i="10" a="1"/>
  <c r="VP1552" i="10" s="1"/>
  <c r="VO1552" i="10" a="1"/>
  <c r="VO1552" i="10" s="1"/>
  <c r="VN1552" i="10" a="1"/>
  <c r="VN1552" i="10" s="1"/>
  <c r="VM1552" i="10" a="1"/>
  <c r="VM1552" i="10" s="1"/>
  <c r="VL1552" i="10" a="1"/>
  <c r="VL1552" i="10" s="1"/>
  <c r="VK1552" i="10" a="1"/>
  <c r="VK1552" i="10" s="1"/>
  <c r="VJ1552" i="10" a="1"/>
  <c r="VJ1552" i="10" s="1"/>
  <c r="VI1552" i="10" a="1"/>
  <c r="VI1552" i="10" s="1"/>
  <c r="VH1552" i="10" a="1"/>
  <c r="VH1552" i="10" s="1"/>
  <c r="VG1552" i="10" a="1"/>
  <c r="VG1552" i="10" s="1"/>
  <c r="VF1552" i="10" a="1"/>
  <c r="VF1552" i="10" s="1"/>
  <c r="VE1552" i="10" a="1"/>
  <c r="VE1552" i="10" s="1"/>
  <c r="VD1552" i="10" a="1"/>
  <c r="VD1552" i="10" s="1"/>
  <c r="VC1552" i="10" a="1"/>
  <c r="VC1552" i="10" s="1"/>
  <c r="VB1552" i="10" a="1"/>
  <c r="VB1552" i="10" s="1"/>
  <c r="VA1552" i="10" a="1"/>
  <c r="VA1552" i="10" s="1"/>
  <c r="UZ1552" i="10" a="1"/>
  <c r="UZ1552" i="10" s="1"/>
  <c r="UY1552" i="10" a="1"/>
  <c r="UY1552" i="10" s="1"/>
  <c r="UX1552" i="10" a="1"/>
  <c r="UX1552" i="10" s="1"/>
  <c r="UW1552" i="10" a="1"/>
  <c r="UW1552" i="10" s="1"/>
  <c r="UV1552" i="10" a="1"/>
  <c r="UV1552" i="10" s="1"/>
  <c r="UU1552" i="10" a="1"/>
  <c r="UU1552" i="10" s="1"/>
  <c r="UT1552" i="10" a="1"/>
  <c r="UT1552" i="10" s="1"/>
  <c r="US1552" i="10" a="1"/>
  <c r="US1552" i="10" s="1"/>
  <c r="UR1552" i="10" a="1"/>
  <c r="UR1552" i="10" s="1"/>
  <c r="UQ1552" i="10" a="1"/>
  <c r="UQ1552" i="10" s="1"/>
  <c r="UP1552" i="10" a="1"/>
  <c r="UP1552" i="10" s="1"/>
  <c r="UO1552" i="10" a="1"/>
  <c r="UO1552" i="10" s="1"/>
  <c r="UN1552" i="10" a="1"/>
  <c r="UN1552" i="10" s="1"/>
  <c r="UM1552" i="10" a="1"/>
  <c r="UM1552" i="10" s="1"/>
  <c r="UL1552" i="10" a="1"/>
  <c r="UL1552" i="10" s="1"/>
  <c r="UK1552" i="10" a="1"/>
  <c r="UK1552" i="10" s="1"/>
  <c r="UJ1552" i="10" a="1"/>
  <c r="UJ1552" i="10" s="1"/>
  <c r="UI1552" i="10" a="1"/>
  <c r="UI1552" i="10" s="1"/>
  <c r="UH1552" i="10" a="1"/>
  <c r="UH1552" i="10" s="1"/>
  <c r="UG1552" i="10" a="1"/>
  <c r="UG1552" i="10" s="1"/>
  <c r="UF1552" i="10" a="1"/>
  <c r="UF1552" i="10" s="1"/>
  <c r="UE1552" i="10" a="1"/>
  <c r="UE1552" i="10" s="1"/>
  <c r="UD1552" i="10" a="1"/>
  <c r="UD1552" i="10" s="1"/>
  <c r="UC1552" i="10" a="1"/>
  <c r="UC1552" i="10" s="1"/>
  <c r="UB1552" i="10" a="1"/>
  <c r="UB1552" i="10" s="1"/>
  <c r="UA1552" i="10" a="1"/>
  <c r="UA1552" i="10" s="1"/>
  <c r="TZ1552" i="10" a="1"/>
  <c r="TZ1552" i="10" s="1"/>
  <c r="TY1552" i="10" a="1"/>
  <c r="TY1552" i="10" s="1"/>
  <c r="TX1552" i="10" a="1"/>
  <c r="TX1552" i="10" s="1"/>
  <c r="TW1552" i="10" a="1"/>
  <c r="TW1552" i="10" s="1"/>
  <c r="TV1552" i="10" a="1"/>
  <c r="TV1552" i="10" s="1"/>
  <c r="TU1552" i="10" a="1"/>
  <c r="TU1552" i="10" s="1"/>
  <c r="TT1552" i="10" a="1"/>
  <c r="TT1552" i="10" s="1"/>
  <c r="TS1552" i="10" a="1"/>
  <c r="TS1552" i="10" s="1"/>
  <c r="TR1552" i="10" a="1"/>
  <c r="TR1552" i="10" s="1"/>
  <c r="TQ1552" i="10" a="1"/>
  <c r="TQ1552" i="10" s="1"/>
  <c r="TP1552" i="10" a="1"/>
  <c r="TP1552" i="10" s="1"/>
  <c r="TO1552" i="10" a="1"/>
  <c r="TO1552" i="10" s="1"/>
  <c r="TN1552" i="10" a="1"/>
  <c r="TN1552" i="10" s="1"/>
  <c r="TM1552" i="10" a="1"/>
  <c r="TM1552" i="10" s="1"/>
  <c r="TL1552" i="10" a="1"/>
  <c r="TL1552" i="10" s="1"/>
  <c r="TK1552" i="10" a="1"/>
  <c r="TK1552" i="10" s="1"/>
  <c r="TJ1552" i="10" a="1"/>
  <c r="TJ1552" i="10" s="1"/>
  <c r="TI1552" i="10" a="1"/>
  <c r="TI1552" i="10" s="1"/>
  <c r="TH1552" i="10" a="1"/>
  <c r="TH1552" i="10" s="1"/>
  <c r="TG1552" i="10" a="1"/>
  <c r="TG1552" i="10" s="1"/>
  <c r="TF1552" i="10" a="1"/>
  <c r="TF1552" i="10" s="1"/>
  <c r="TE1552" i="10" a="1"/>
  <c r="TE1552" i="10" s="1"/>
  <c r="TD1552" i="10" a="1"/>
  <c r="TD1552" i="10" s="1"/>
  <c r="TC1552" i="10" a="1"/>
  <c r="TC1552" i="10" s="1"/>
  <c r="TB1552" i="10" a="1"/>
  <c r="TB1552" i="10" s="1"/>
  <c r="TA1552" i="10" a="1"/>
  <c r="TA1552" i="10" s="1"/>
  <c r="SZ1552" i="10" a="1"/>
  <c r="SZ1552" i="10" s="1"/>
  <c r="SY1552" i="10" a="1"/>
  <c r="SY1552" i="10" s="1"/>
  <c r="SX1552" i="10" a="1"/>
  <c r="SX1552" i="10" s="1"/>
  <c r="SW1552" i="10" a="1"/>
  <c r="SW1552" i="10" s="1"/>
  <c r="SV1552" i="10" a="1"/>
  <c r="SV1552" i="10" s="1"/>
  <c r="SU1552" i="10" a="1"/>
  <c r="SU1552" i="10" s="1"/>
  <c r="ST1552" i="10" a="1"/>
  <c r="ST1552" i="10" s="1"/>
  <c r="SS1552" i="10" a="1"/>
  <c r="SS1552" i="10" s="1"/>
  <c r="SR1552" i="10" a="1"/>
  <c r="SR1552" i="10" s="1"/>
  <c r="SQ1552" i="10" a="1"/>
  <c r="SQ1552" i="10" s="1"/>
  <c r="SP1552" i="10" a="1"/>
  <c r="SP1552" i="10" s="1"/>
  <c r="SO1552" i="10" a="1"/>
  <c r="SO1552" i="10" s="1"/>
  <c r="SN1552" i="10" a="1"/>
  <c r="SN1552" i="10" s="1"/>
  <c r="SM1552" i="10" a="1"/>
  <c r="SM1552" i="10" s="1"/>
  <c r="SL1552" i="10" a="1"/>
  <c r="SL1552" i="10" s="1"/>
  <c r="SK1552" i="10" a="1"/>
  <c r="SK1552" i="10" s="1"/>
  <c r="SJ1552" i="10" a="1"/>
  <c r="SJ1552" i="10" s="1"/>
  <c r="SI1552" i="10" a="1"/>
  <c r="SI1552" i="10" s="1"/>
  <c r="SH1552" i="10" a="1"/>
  <c r="SH1552" i="10" s="1"/>
  <c r="SG1552" i="10" a="1"/>
  <c r="SG1552" i="10" s="1"/>
  <c r="SF1552" i="10" a="1"/>
  <c r="SF1552" i="10" s="1"/>
  <c r="SE1552" i="10" a="1"/>
  <c r="SE1552" i="10" s="1"/>
  <c r="SD1552" i="10" a="1"/>
  <c r="SD1552" i="10" s="1"/>
  <c r="SC1552" i="10" a="1"/>
  <c r="SC1552" i="10" s="1"/>
  <c r="SB1552" i="10" a="1"/>
  <c r="SB1552" i="10" s="1"/>
  <c r="SA1552" i="10" a="1"/>
  <c r="SA1552" i="10" s="1"/>
  <c r="RZ1552" i="10" a="1"/>
  <c r="RZ1552" i="10" s="1"/>
  <c r="RY1552" i="10" a="1"/>
  <c r="RY1552" i="10" s="1"/>
  <c r="RX1552" i="10" a="1"/>
  <c r="RX1552" i="10" s="1"/>
  <c r="RW1552" i="10" a="1"/>
  <c r="RW1552" i="10" s="1"/>
  <c r="RV1552" i="10" a="1"/>
  <c r="RV1552" i="10" s="1"/>
  <c r="RU1552" i="10" a="1"/>
  <c r="RU1552" i="10" s="1"/>
  <c r="RT1552" i="10" a="1"/>
  <c r="RT1552" i="10" s="1"/>
  <c r="RS1552" i="10" a="1"/>
  <c r="RS1552" i="10" s="1"/>
  <c r="RR1552" i="10" a="1"/>
  <c r="RR1552" i="10" s="1"/>
  <c r="RQ1552" i="10" a="1"/>
  <c r="RQ1552" i="10" s="1"/>
  <c r="RP1552" i="10" a="1"/>
  <c r="RP1552" i="10" s="1"/>
  <c r="RO1552" i="10" a="1"/>
  <c r="RO1552" i="10" s="1"/>
  <c r="RN1552" i="10" a="1"/>
  <c r="RN1552" i="10" s="1"/>
  <c r="RM1552" i="10" a="1"/>
  <c r="RM1552" i="10" s="1"/>
  <c r="RL1552" i="10" a="1"/>
  <c r="RL1552" i="10" s="1"/>
  <c r="RK1552" i="10" a="1"/>
  <c r="RK1552" i="10" s="1"/>
  <c r="RJ1552" i="10" a="1"/>
  <c r="RJ1552" i="10" s="1"/>
  <c r="RI1552" i="10" a="1"/>
  <c r="RI1552" i="10" s="1"/>
  <c r="RH1552" i="10" a="1"/>
  <c r="RH1552" i="10" s="1"/>
  <c r="RG1552" i="10" a="1"/>
  <c r="RG1552" i="10" s="1"/>
  <c r="RF1552" i="10" a="1"/>
  <c r="RF1552" i="10" s="1"/>
  <c r="RE1552" i="10" a="1"/>
  <c r="RE1552" i="10" s="1"/>
  <c r="RD1552" i="10" a="1"/>
  <c r="RD1552" i="10" s="1"/>
  <c r="RC1552" i="10" a="1"/>
  <c r="RC1552" i="10" s="1"/>
  <c r="RB1552" i="10" a="1"/>
  <c r="RB1552" i="10" s="1"/>
  <c r="RA1552" i="10" a="1"/>
  <c r="RA1552" i="10" s="1"/>
  <c r="QZ1552" i="10" a="1"/>
  <c r="QZ1552" i="10" s="1"/>
  <c r="QY1552" i="10" a="1"/>
  <c r="QY1552" i="10" s="1"/>
  <c r="QX1552" i="10" a="1"/>
  <c r="QX1552" i="10" s="1"/>
  <c r="QW1552" i="10" a="1"/>
  <c r="QW1552" i="10" s="1"/>
  <c r="QV1552" i="10" a="1"/>
  <c r="QV1552" i="10" s="1"/>
  <c r="QU1552" i="10" a="1"/>
  <c r="QU1552" i="10" s="1"/>
  <c r="QT1552" i="10" a="1"/>
  <c r="QT1552" i="10" s="1"/>
  <c r="QS1552" i="10" a="1"/>
  <c r="QS1552" i="10" s="1"/>
  <c r="QR1552" i="10" a="1"/>
  <c r="QR1552" i="10" s="1"/>
  <c r="QQ1552" i="10" a="1"/>
  <c r="QQ1552" i="10" s="1"/>
  <c r="QP1552" i="10" a="1"/>
  <c r="QP1552" i="10" s="1"/>
  <c r="QO1552" i="10" a="1"/>
  <c r="QO1552" i="10" s="1"/>
  <c r="QN1552" i="10" a="1"/>
  <c r="QN1552" i="10" s="1"/>
  <c r="QM1552" i="10" a="1"/>
  <c r="QM1552" i="10" s="1"/>
  <c r="QL1552" i="10" a="1"/>
  <c r="QL1552" i="10" s="1"/>
  <c r="QK1552" i="10" a="1"/>
  <c r="QK1552" i="10" s="1"/>
  <c r="QJ1552" i="10" a="1"/>
  <c r="QJ1552" i="10" s="1"/>
  <c r="QI1552" i="10" a="1"/>
  <c r="QI1552" i="10" s="1"/>
  <c r="QH1552" i="10" a="1"/>
  <c r="QH1552" i="10" s="1"/>
  <c r="QG1552" i="10" a="1"/>
  <c r="QG1552" i="10" s="1"/>
  <c r="QF1552" i="10" a="1"/>
  <c r="QF1552" i="10" s="1"/>
  <c r="QE1552" i="10" a="1"/>
  <c r="QE1552" i="10" s="1"/>
  <c r="QD1552" i="10" a="1"/>
  <c r="QD1552" i="10" s="1"/>
  <c r="QC1552" i="10" a="1"/>
  <c r="QC1552" i="10" s="1"/>
  <c r="QB1552" i="10" a="1"/>
  <c r="QB1552" i="10" s="1"/>
  <c r="QA1552" i="10" a="1"/>
  <c r="QA1552" i="10" s="1"/>
  <c r="PZ1552" i="10" a="1"/>
  <c r="PZ1552" i="10" s="1"/>
  <c r="PY1552" i="10" a="1"/>
  <c r="PY1552" i="10" s="1"/>
  <c r="PX1552" i="10" a="1"/>
  <c r="PX1552" i="10" s="1"/>
  <c r="PW1552" i="10" a="1"/>
  <c r="PW1552" i="10" s="1"/>
  <c r="PV1552" i="10" a="1"/>
  <c r="PV1552" i="10" s="1"/>
  <c r="PU1552" i="10" a="1"/>
  <c r="PU1552" i="10" s="1"/>
  <c r="PT1552" i="10" a="1"/>
  <c r="PT1552" i="10" s="1"/>
  <c r="PS1552" i="10" a="1"/>
  <c r="PS1552" i="10" s="1"/>
  <c r="PR1552" i="10" a="1"/>
  <c r="PR1552" i="10" s="1"/>
  <c r="PQ1552" i="10" a="1"/>
  <c r="PQ1552" i="10" s="1"/>
  <c r="PP1552" i="10" a="1"/>
  <c r="PP1552" i="10" s="1"/>
  <c r="PO1552" i="10" a="1"/>
  <c r="PO1552" i="10" s="1"/>
  <c r="PN1552" i="10" a="1"/>
  <c r="PN1552" i="10" s="1"/>
  <c r="PM1552" i="10" a="1"/>
  <c r="PM1552" i="10" s="1"/>
  <c r="PL1552" i="10" a="1"/>
  <c r="PL1552" i="10" s="1"/>
  <c r="PK1552" i="10" a="1"/>
  <c r="PK1552" i="10" s="1"/>
  <c r="PJ1552" i="10" a="1"/>
  <c r="PJ1552" i="10" s="1"/>
  <c r="PI1552" i="10" a="1"/>
  <c r="PI1552" i="10" s="1"/>
  <c r="PH1552" i="10" a="1"/>
  <c r="PH1552" i="10" s="1"/>
  <c r="PG1552" i="10" a="1"/>
  <c r="PG1552" i="10" s="1"/>
  <c r="PF1552" i="10" a="1"/>
  <c r="PF1552" i="10" s="1"/>
  <c r="PE1552" i="10" a="1"/>
  <c r="PE1552" i="10" s="1"/>
  <c r="PD1552" i="10" a="1"/>
  <c r="PD1552" i="10" s="1"/>
  <c r="PC1552" i="10" a="1"/>
  <c r="PC1552" i="10" s="1"/>
  <c r="PB1552" i="10" a="1"/>
  <c r="PB1552" i="10" s="1"/>
  <c r="PA1552" i="10" a="1"/>
  <c r="PA1552" i="10" s="1"/>
  <c r="OZ1552" i="10" a="1"/>
  <c r="OZ1552" i="10" s="1"/>
  <c r="OY1552" i="10" a="1"/>
  <c r="OY1552" i="10" s="1"/>
  <c r="OX1552" i="10" a="1"/>
  <c r="OX1552" i="10" s="1"/>
  <c r="OW1552" i="10" a="1"/>
  <c r="OW1552" i="10" s="1"/>
  <c r="OV1552" i="10" a="1"/>
  <c r="OV1552" i="10" s="1"/>
  <c r="OU1552" i="10" a="1"/>
  <c r="OU1552" i="10" s="1"/>
  <c r="OT1552" i="10" a="1"/>
  <c r="OT1552" i="10" s="1"/>
  <c r="OS1552" i="10" a="1"/>
  <c r="OS1552" i="10" s="1"/>
  <c r="OR1552" i="10" a="1"/>
  <c r="OR1552" i="10" s="1"/>
  <c r="OQ1552" i="10" a="1"/>
  <c r="OQ1552" i="10" s="1"/>
  <c r="OP1552" i="10" a="1"/>
  <c r="OP1552" i="10" s="1"/>
  <c r="OO1552" i="10" a="1"/>
  <c r="OO1552" i="10" s="1"/>
  <c r="ON1552" i="10" a="1"/>
  <c r="ON1552" i="10" s="1"/>
  <c r="OM1552" i="10" a="1"/>
  <c r="OM1552" i="10" s="1"/>
  <c r="OL1552" i="10" a="1"/>
  <c r="OL1552" i="10" s="1"/>
  <c r="OK1552" i="10" a="1"/>
  <c r="OK1552" i="10" s="1"/>
  <c r="OJ1552" i="10" a="1"/>
  <c r="OJ1552" i="10" s="1"/>
  <c r="OI1552" i="10" a="1"/>
  <c r="OI1552" i="10" s="1"/>
  <c r="OH1552" i="10" a="1"/>
  <c r="OH1552" i="10" s="1"/>
  <c r="OG1552" i="10" a="1"/>
  <c r="OG1552" i="10" s="1"/>
  <c r="OF1552" i="10" a="1"/>
  <c r="OF1552" i="10" s="1"/>
  <c r="OE1552" i="10" a="1"/>
  <c r="OE1552" i="10" s="1"/>
  <c r="OD1552" i="10" a="1"/>
  <c r="OD1552" i="10" s="1"/>
  <c r="OC1552" i="10" a="1"/>
  <c r="OC1552" i="10" s="1"/>
  <c r="OB1552" i="10" a="1"/>
  <c r="OB1552" i="10" s="1"/>
  <c r="OA1552" i="10" a="1"/>
  <c r="OA1552" i="10" s="1"/>
  <c r="NZ1552" i="10" a="1"/>
  <c r="NZ1552" i="10" s="1"/>
  <c r="NY1552" i="10" a="1"/>
  <c r="NY1552" i="10" s="1"/>
  <c r="NX1552" i="10" a="1"/>
  <c r="NX1552" i="10" s="1"/>
  <c r="NW1552" i="10" a="1"/>
  <c r="NW1552" i="10" s="1"/>
  <c r="NV1552" i="10" a="1"/>
  <c r="NV1552" i="10" s="1"/>
  <c r="NU1552" i="10" a="1"/>
  <c r="NU1552" i="10" s="1"/>
  <c r="NT1552" i="10" a="1"/>
  <c r="NT1552" i="10" s="1"/>
  <c r="NS1552" i="10" a="1"/>
  <c r="NS1552" i="10" s="1"/>
  <c r="NR1552" i="10" a="1"/>
  <c r="NR1552" i="10" s="1"/>
  <c r="NQ1552" i="10" a="1"/>
  <c r="NQ1552" i="10" s="1"/>
  <c r="NP1552" i="10" a="1"/>
  <c r="NP1552" i="10" s="1"/>
  <c r="NO1552" i="10" a="1"/>
  <c r="NO1552" i="10" s="1"/>
  <c r="NN1552" i="10" a="1"/>
  <c r="NN1552" i="10" s="1"/>
  <c r="NM1552" i="10" a="1"/>
  <c r="NM1552" i="10" s="1"/>
  <c r="NL1552" i="10" a="1"/>
  <c r="NL1552" i="10" s="1"/>
  <c r="NK1552" i="10" a="1"/>
  <c r="NK1552" i="10" s="1"/>
  <c r="NJ1552" i="10" a="1"/>
  <c r="NJ1552" i="10" s="1"/>
  <c r="NI1552" i="10" a="1"/>
  <c r="NI1552" i="10" s="1"/>
  <c r="NH1552" i="10" a="1"/>
  <c r="NH1552" i="10" s="1"/>
  <c r="NG1552" i="10" a="1"/>
  <c r="NG1552" i="10" s="1"/>
  <c r="NF1552" i="10" a="1"/>
  <c r="NF1552" i="10" s="1"/>
  <c r="NE1552" i="10" a="1"/>
  <c r="NE1552" i="10" s="1"/>
  <c r="ND1552" i="10" a="1"/>
  <c r="ND1552" i="10" s="1"/>
  <c r="NC1552" i="10" a="1"/>
  <c r="NC1552" i="10" s="1"/>
  <c r="NB1552" i="10" a="1"/>
  <c r="NB1552" i="10" s="1"/>
  <c r="NA1552" i="10" a="1"/>
  <c r="NA1552" i="10" s="1"/>
  <c r="MZ1552" i="10" a="1"/>
  <c r="MZ1552" i="10" s="1"/>
  <c r="MY1552" i="10" a="1"/>
  <c r="MY1552" i="10" s="1"/>
  <c r="MX1552" i="10" a="1"/>
  <c r="MX1552" i="10" s="1"/>
  <c r="MW1552" i="10" a="1"/>
  <c r="MW1552" i="10" s="1"/>
  <c r="MV1552" i="10" a="1"/>
  <c r="MV1552" i="10" s="1"/>
  <c r="MU1552" i="10" a="1"/>
  <c r="MU1552" i="10" s="1"/>
  <c r="MT1552" i="10" a="1"/>
  <c r="MT1552" i="10" s="1"/>
  <c r="MS1552" i="10" a="1"/>
  <c r="MS1552" i="10" s="1"/>
  <c r="MR1552" i="10" a="1"/>
  <c r="MR1552" i="10" s="1"/>
  <c r="MQ1552" i="10" a="1"/>
  <c r="MQ1552" i="10" s="1"/>
  <c r="MP1552" i="10" a="1"/>
  <c r="MP1552" i="10" s="1"/>
  <c r="MO1552" i="10" a="1"/>
  <c r="MO1552" i="10" s="1"/>
  <c r="MN1552" i="10" a="1"/>
  <c r="MN1552" i="10" s="1"/>
  <c r="MM1552" i="10" a="1"/>
  <c r="MM1552" i="10" s="1"/>
  <c r="ML1552" i="10" a="1"/>
  <c r="ML1552" i="10" s="1"/>
  <c r="MK1552" i="10" a="1"/>
  <c r="MK1552" i="10" s="1"/>
  <c r="MJ1552" i="10" a="1"/>
  <c r="MJ1552" i="10" s="1"/>
  <c r="MI1552" i="10" a="1"/>
  <c r="MI1552" i="10" s="1"/>
  <c r="MH1552" i="10" a="1"/>
  <c r="MH1552" i="10" s="1"/>
  <c r="MG1552" i="10" a="1"/>
  <c r="MG1552" i="10" s="1"/>
  <c r="MF1552" i="10" a="1"/>
  <c r="MF1552" i="10" s="1"/>
  <c r="ME1552" i="10" a="1"/>
  <c r="ME1552" i="10" s="1"/>
  <c r="MD1552" i="10" a="1"/>
  <c r="MD1552" i="10" s="1"/>
  <c r="MC1552" i="10" a="1"/>
  <c r="MC1552" i="10" s="1"/>
  <c r="MB1552" i="10" a="1"/>
  <c r="MB1552" i="10" s="1"/>
  <c r="MA1552" i="10" a="1"/>
  <c r="MA1552" i="10" s="1"/>
  <c r="LZ1552" i="10" a="1"/>
  <c r="LZ1552" i="10" s="1"/>
  <c r="LY1552" i="10" a="1"/>
  <c r="LY1552" i="10" s="1"/>
  <c r="LX1552" i="10" a="1"/>
  <c r="LX1552" i="10" s="1"/>
  <c r="LW1552" i="10" a="1"/>
  <c r="LW1552" i="10" s="1"/>
  <c r="LV1552" i="10" a="1"/>
  <c r="LV1552" i="10" s="1"/>
  <c r="LU1552" i="10" a="1"/>
  <c r="LU1552" i="10" s="1"/>
  <c r="LT1552" i="10" a="1"/>
  <c r="LT1552" i="10" s="1"/>
  <c r="LS1552" i="10" a="1"/>
  <c r="LS1552" i="10" s="1"/>
  <c r="LR1552" i="10" a="1"/>
  <c r="LR1552" i="10" s="1"/>
  <c r="LQ1552" i="10" a="1"/>
  <c r="LQ1552" i="10" s="1"/>
  <c r="LP1552" i="10" a="1"/>
  <c r="LP1552" i="10" s="1"/>
  <c r="LO1552" i="10" a="1"/>
  <c r="LO1552" i="10" s="1"/>
  <c r="LN1552" i="10" a="1"/>
  <c r="LN1552" i="10" s="1"/>
  <c r="LM1552" i="10" a="1"/>
  <c r="LM1552" i="10" s="1"/>
  <c r="LL1552" i="10" a="1"/>
  <c r="LL1552" i="10" s="1"/>
  <c r="LK1552" i="10" a="1"/>
  <c r="LK1552" i="10" s="1"/>
  <c r="LJ1552" i="10" a="1"/>
  <c r="LJ1552" i="10" s="1"/>
  <c r="LI1552" i="10" a="1"/>
  <c r="LI1552" i="10" s="1"/>
  <c r="LH1552" i="10" a="1"/>
  <c r="LH1552" i="10" s="1"/>
  <c r="LG1552" i="10" a="1"/>
  <c r="LG1552" i="10" s="1"/>
  <c r="LF1552" i="10" a="1"/>
  <c r="LF1552" i="10" s="1"/>
  <c r="LE1552" i="10" a="1"/>
  <c r="LE1552" i="10" s="1"/>
  <c r="LD1552" i="10" a="1"/>
  <c r="LD1552" i="10" s="1"/>
  <c r="LC1552" i="10" a="1"/>
  <c r="LC1552" i="10" s="1"/>
  <c r="LB1552" i="10" a="1"/>
  <c r="LB1552" i="10" s="1"/>
  <c r="LA1552" i="10" a="1"/>
  <c r="LA1552" i="10" s="1"/>
  <c r="KZ1552" i="10" a="1"/>
  <c r="KZ1552" i="10" s="1"/>
  <c r="KY1552" i="10" a="1"/>
  <c r="KY1552" i="10" s="1"/>
  <c r="KX1552" i="10" a="1"/>
  <c r="KX1552" i="10" s="1"/>
  <c r="KW1552" i="10" a="1"/>
  <c r="KW1552" i="10" s="1"/>
  <c r="KV1552" i="10" a="1"/>
  <c r="KV1552" i="10" s="1"/>
  <c r="KU1552" i="10" a="1"/>
  <c r="KU1552" i="10" s="1"/>
  <c r="KT1552" i="10" a="1"/>
  <c r="KT1552" i="10" s="1"/>
  <c r="KS1552" i="10" a="1"/>
  <c r="KS1552" i="10" s="1"/>
  <c r="KR1552" i="10" a="1"/>
  <c r="KR1552" i="10" s="1"/>
  <c r="KQ1552" i="10" a="1"/>
  <c r="KQ1552" i="10" s="1"/>
  <c r="KP1552" i="10" a="1"/>
  <c r="KP1552" i="10" s="1"/>
  <c r="KO1552" i="10" a="1"/>
  <c r="KO1552" i="10" s="1"/>
  <c r="KN1552" i="10" a="1"/>
  <c r="KN1552" i="10" s="1"/>
  <c r="KM1552" i="10" a="1"/>
  <c r="KM1552" i="10" s="1"/>
  <c r="KL1552" i="10" a="1"/>
  <c r="KL1552" i="10" s="1"/>
  <c r="KK1552" i="10" a="1"/>
  <c r="KK1552" i="10" s="1"/>
  <c r="KJ1552" i="10" a="1"/>
  <c r="KJ1552" i="10" s="1"/>
  <c r="KI1552" i="10" a="1"/>
  <c r="KI1552" i="10" s="1"/>
  <c r="KH1552" i="10" a="1"/>
  <c r="KH1552" i="10" s="1"/>
  <c r="KG1552" i="10" a="1"/>
  <c r="KG1552" i="10" s="1"/>
  <c r="KF1552" i="10" a="1"/>
  <c r="KF1552" i="10" s="1"/>
  <c r="KE1552" i="10" a="1"/>
  <c r="KE1552" i="10" s="1"/>
  <c r="KD1552" i="10" a="1"/>
  <c r="KD1552" i="10" s="1"/>
  <c r="KC1552" i="10" a="1"/>
  <c r="KC1552" i="10" s="1"/>
  <c r="KB1552" i="10" a="1"/>
  <c r="KB1552" i="10" s="1"/>
  <c r="KA1552" i="10" a="1"/>
  <c r="KA1552" i="10" s="1"/>
  <c r="JZ1552" i="10" a="1"/>
  <c r="JZ1552" i="10" s="1"/>
  <c r="JY1552" i="10" a="1"/>
  <c r="JY1552" i="10" s="1"/>
  <c r="JX1552" i="10" a="1"/>
  <c r="JX1552" i="10" s="1"/>
  <c r="JW1552" i="10" a="1"/>
  <c r="JW1552" i="10" s="1"/>
  <c r="JV1552" i="10" a="1"/>
  <c r="JV1552" i="10" s="1"/>
  <c r="JU1552" i="10" a="1"/>
  <c r="JU1552" i="10" s="1"/>
  <c r="JT1552" i="10" a="1"/>
  <c r="JT1552" i="10" s="1"/>
  <c r="JS1552" i="10" a="1"/>
  <c r="JS1552" i="10" s="1"/>
  <c r="JR1552" i="10" a="1"/>
  <c r="JR1552" i="10" s="1"/>
  <c r="JQ1552" i="10" a="1"/>
  <c r="JQ1552" i="10" s="1"/>
  <c r="JP1552" i="10" a="1"/>
  <c r="JP1552" i="10" s="1"/>
  <c r="JO1552" i="10" a="1"/>
  <c r="JO1552" i="10" s="1"/>
  <c r="JN1552" i="10" a="1"/>
  <c r="JN1552" i="10" s="1"/>
  <c r="JM1552" i="10" a="1"/>
  <c r="JM1552" i="10" s="1"/>
  <c r="JL1552" i="10" a="1"/>
  <c r="JL1552" i="10" s="1"/>
  <c r="JK1552" i="10" a="1"/>
  <c r="JK1552" i="10" s="1"/>
  <c r="JJ1552" i="10" a="1"/>
  <c r="JJ1552" i="10" s="1"/>
  <c r="JI1552" i="10" a="1"/>
  <c r="JI1552" i="10" s="1"/>
  <c r="JH1552" i="10" a="1"/>
  <c r="JH1552" i="10" s="1"/>
  <c r="JG1552" i="10" a="1"/>
  <c r="JG1552" i="10" s="1"/>
  <c r="JF1552" i="10" a="1"/>
  <c r="JF1552" i="10" s="1"/>
  <c r="JE1552" i="10" a="1"/>
  <c r="JE1552" i="10" s="1"/>
  <c r="JD1552" i="10" a="1"/>
  <c r="JD1552" i="10" s="1"/>
  <c r="JC1552" i="10" a="1"/>
  <c r="JC1552" i="10" s="1"/>
  <c r="JB1552" i="10" a="1"/>
  <c r="JB1552" i="10" s="1"/>
  <c r="JA1552" i="10" a="1"/>
  <c r="JA1552" i="10" s="1"/>
  <c r="IZ1552" i="10" a="1"/>
  <c r="IZ1552" i="10" s="1"/>
  <c r="IY1552" i="10" a="1"/>
  <c r="IY1552" i="10" s="1"/>
  <c r="IX1552" i="10" a="1"/>
  <c r="IX1552" i="10" s="1"/>
  <c r="IW1552" i="10" a="1"/>
  <c r="IW1552" i="10" s="1"/>
  <c r="IV1552" i="10" a="1"/>
  <c r="IV1552" i="10" s="1"/>
  <c r="IU1552" i="10" a="1"/>
  <c r="IU1552" i="10" s="1"/>
  <c r="IT1552" i="10" a="1"/>
  <c r="IT1552" i="10" s="1"/>
  <c r="IS1552" i="10" a="1"/>
  <c r="IS1552" i="10" s="1"/>
  <c r="IR1552" i="10" a="1"/>
  <c r="IR1552" i="10" s="1"/>
  <c r="IQ1552" i="10" a="1"/>
  <c r="IQ1552" i="10" s="1"/>
  <c r="IP1552" i="10" a="1"/>
  <c r="IP1552" i="10" s="1"/>
  <c r="IO1552" i="10" a="1"/>
  <c r="IO1552" i="10" s="1"/>
  <c r="IN1552" i="10" a="1"/>
  <c r="IN1552" i="10" s="1"/>
  <c r="IM1552" i="10" a="1"/>
  <c r="IM1552" i="10" s="1"/>
  <c r="IL1552" i="10" a="1"/>
  <c r="IL1552" i="10" s="1"/>
  <c r="IK1552" i="10" a="1"/>
  <c r="IK1552" i="10" s="1"/>
  <c r="IJ1552" i="10" a="1"/>
  <c r="IJ1552" i="10" s="1"/>
  <c r="II1552" i="10" a="1"/>
  <c r="II1552" i="10" s="1"/>
  <c r="IH1552" i="10" a="1"/>
  <c r="IH1552" i="10" s="1"/>
  <c r="IG1552" i="10" a="1"/>
  <c r="IG1552" i="10" s="1"/>
  <c r="IF1552" i="10" a="1"/>
  <c r="IF1552" i="10" s="1"/>
  <c r="IE1552" i="10" a="1"/>
  <c r="IE1552" i="10" s="1"/>
  <c r="ID1552" i="10" a="1"/>
  <c r="ID1552" i="10" s="1"/>
  <c r="IC1552" i="10" a="1"/>
  <c r="IC1552" i="10" s="1"/>
  <c r="IB1552" i="10" a="1"/>
  <c r="IB1552" i="10" s="1"/>
  <c r="IA1552" i="10" a="1"/>
  <c r="IA1552" i="10" s="1"/>
  <c r="HZ1552" i="10" a="1"/>
  <c r="HZ1552" i="10" s="1"/>
  <c r="HY1552" i="10" a="1"/>
  <c r="HY1552" i="10" s="1"/>
  <c r="HX1552" i="10" a="1"/>
  <c r="HX1552" i="10" s="1"/>
  <c r="HW1552" i="10" a="1"/>
  <c r="HW1552" i="10" s="1"/>
  <c r="HV1552" i="10" a="1"/>
  <c r="HV1552" i="10" s="1"/>
  <c r="HU1552" i="10" a="1"/>
  <c r="HU1552" i="10" s="1"/>
  <c r="HT1552" i="10" a="1"/>
  <c r="HT1552" i="10" s="1"/>
  <c r="HS1552" i="10" a="1"/>
  <c r="HS1552" i="10" s="1"/>
  <c r="HR1552" i="10" a="1"/>
  <c r="HR1552" i="10" s="1"/>
  <c r="HQ1552" i="10" a="1"/>
  <c r="HQ1552" i="10" s="1"/>
  <c r="HP1552" i="10" a="1"/>
  <c r="HP1552" i="10" s="1"/>
  <c r="HO1552" i="10" a="1"/>
  <c r="HO1552" i="10" s="1"/>
  <c r="HN1552" i="10" a="1"/>
  <c r="HN1552" i="10" s="1"/>
  <c r="HM1552" i="10" a="1"/>
  <c r="HM1552" i="10" s="1"/>
  <c r="HL1552" i="10" a="1"/>
  <c r="HL1552" i="10" s="1"/>
  <c r="HK1552" i="10" a="1"/>
  <c r="HK1552" i="10" s="1"/>
  <c r="HJ1552" i="10" a="1"/>
  <c r="HJ1552" i="10" s="1"/>
  <c r="HI1552" i="10" a="1"/>
  <c r="HI1552" i="10" s="1"/>
  <c r="HH1552" i="10" a="1"/>
  <c r="HH1552" i="10" s="1"/>
  <c r="HG1552" i="10" a="1"/>
  <c r="HG1552" i="10" s="1"/>
  <c r="HF1552" i="10" a="1"/>
  <c r="HF1552" i="10" s="1"/>
  <c r="HE1552" i="10" a="1"/>
  <c r="HE1552" i="10" s="1"/>
  <c r="HD1552" i="10" a="1"/>
  <c r="HD1552" i="10" s="1"/>
  <c r="HC1552" i="10" a="1"/>
  <c r="HC1552" i="10" s="1"/>
  <c r="HB1552" i="10" a="1"/>
  <c r="HB1552" i="10" s="1"/>
  <c r="HA1552" i="10" a="1"/>
  <c r="HA1552" i="10" s="1"/>
  <c r="GZ1552" i="10" a="1"/>
  <c r="GZ1552" i="10" s="1"/>
  <c r="GY1552" i="10" a="1"/>
  <c r="GY1552" i="10" s="1"/>
  <c r="GX1552" i="10" a="1"/>
  <c r="GX1552" i="10" s="1"/>
  <c r="GW1552" i="10" a="1"/>
  <c r="GW1552" i="10" s="1"/>
  <c r="GV1552" i="10" a="1"/>
  <c r="GV1552" i="10" s="1"/>
  <c r="GU1552" i="10" a="1"/>
  <c r="GU1552" i="10" s="1"/>
  <c r="GT1552" i="10" a="1"/>
  <c r="GT1552" i="10" s="1"/>
  <c r="GS1552" i="10" a="1"/>
  <c r="GS1552" i="10" s="1"/>
  <c r="GR1552" i="10" a="1"/>
  <c r="GR1552" i="10" s="1"/>
  <c r="GQ1552" i="10" a="1"/>
  <c r="GQ1552" i="10" s="1"/>
  <c r="GP1552" i="10" a="1"/>
  <c r="GP1552" i="10" s="1"/>
  <c r="GO1552" i="10" a="1"/>
  <c r="GO1552" i="10" s="1"/>
  <c r="GN1552" i="10" a="1"/>
  <c r="GN1552" i="10" s="1"/>
  <c r="GM1552" i="10" a="1"/>
  <c r="GM1552" i="10" s="1"/>
  <c r="GL1552" i="10" a="1"/>
  <c r="GL1552" i="10" s="1"/>
  <c r="GK1552" i="10" a="1"/>
  <c r="GK1552" i="10" s="1"/>
  <c r="GJ1552" i="10" a="1"/>
  <c r="GJ1552" i="10" s="1"/>
  <c r="GI1552" i="10" a="1"/>
  <c r="GI1552" i="10" s="1"/>
  <c r="GH1552" i="10" a="1"/>
  <c r="GH1552" i="10" s="1"/>
  <c r="GG1552" i="10" a="1"/>
  <c r="GG1552" i="10" s="1"/>
  <c r="GF1552" i="10" a="1"/>
  <c r="GF1552" i="10" s="1"/>
  <c r="GE1552" i="10" a="1"/>
  <c r="GE1552" i="10" s="1"/>
  <c r="GD1552" i="10" a="1"/>
  <c r="GD1552" i="10" s="1"/>
  <c r="GC1552" i="10" a="1"/>
  <c r="GC1552" i="10" s="1"/>
  <c r="GB1552" i="10" a="1"/>
  <c r="GB1552" i="10" s="1"/>
  <c r="GA1552" i="10" a="1"/>
  <c r="GA1552" i="10" s="1"/>
  <c r="FZ1552" i="10" a="1"/>
  <c r="FZ1552" i="10" s="1"/>
  <c r="FY1552" i="10" a="1"/>
  <c r="FY1552" i="10" s="1"/>
  <c r="FX1552" i="10" a="1"/>
  <c r="FX1552" i="10" s="1"/>
  <c r="FW1552" i="10" a="1"/>
  <c r="FW1552" i="10" s="1"/>
  <c r="FV1552" i="10" a="1"/>
  <c r="FV1552" i="10" s="1"/>
  <c r="FU1552" i="10" a="1"/>
  <c r="FU1552" i="10" s="1"/>
  <c r="FT1552" i="10" a="1"/>
  <c r="FT1552" i="10" s="1"/>
  <c r="FS1552" i="10" a="1"/>
  <c r="FS1552" i="10" s="1"/>
  <c r="FR1552" i="10" a="1"/>
  <c r="FR1552" i="10" s="1"/>
  <c r="FQ1552" i="10" a="1"/>
  <c r="FQ1552" i="10" s="1"/>
  <c r="FP1552" i="10" a="1"/>
  <c r="FP1552" i="10" s="1"/>
  <c r="FO1552" i="10" a="1"/>
  <c r="FO1552" i="10" s="1"/>
  <c r="FN1552" i="10" a="1"/>
  <c r="FN1552" i="10" s="1"/>
  <c r="FM1552" i="10" a="1"/>
  <c r="FM1552" i="10" s="1"/>
  <c r="FL1552" i="10" a="1"/>
  <c r="FL1552" i="10" s="1"/>
  <c r="FK1552" i="10" a="1"/>
  <c r="FK1552" i="10" s="1"/>
  <c r="FJ1552" i="10" a="1"/>
  <c r="FJ1552" i="10" s="1"/>
  <c r="FI1552" i="10" a="1"/>
  <c r="FI1552" i="10" s="1"/>
  <c r="FH1552" i="10" a="1"/>
  <c r="FH1552" i="10" s="1"/>
  <c r="FG1552" i="10" a="1"/>
  <c r="FG1552" i="10" s="1"/>
  <c r="FF1552" i="10" a="1"/>
  <c r="FF1552" i="10" s="1"/>
  <c r="FE1552" i="10" a="1"/>
  <c r="FE1552" i="10" s="1"/>
  <c r="FD1552" i="10" a="1"/>
  <c r="FD1552" i="10" s="1"/>
  <c r="FC1552" i="10" a="1"/>
  <c r="FC1552" i="10" s="1"/>
  <c r="FB1552" i="10" a="1"/>
  <c r="FB1552" i="10" s="1"/>
  <c r="FA1552" i="10" a="1"/>
  <c r="FA1552" i="10" s="1"/>
  <c r="EZ1552" i="10" a="1"/>
  <c r="EZ1552" i="10" s="1"/>
  <c r="EY1552" i="10" a="1"/>
  <c r="EY1552" i="10" s="1"/>
  <c r="EX1552" i="10" a="1"/>
  <c r="EX1552" i="10" s="1"/>
  <c r="EW1552" i="10" a="1"/>
  <c r="EW1552" i="10" s="1"/>
  <c r="EV1552" i="10" a="1"/>
  <c r="EV1552" i="10" s="1"/>
  <c r="EU1552" i="10" a="1"/>
  <c r="EU1552" i="10" s="1"/>
  <c r="ET1552" i="10" a="1"/>
  <c r="ET1552" i="10" s="1"/>
  <c r="ES1552" i="10" a="1"/>
  <c r="ES1552" i="10" s="1"/>
  <c r="ER1552" i="10" a="1"/>
  <c r="ER1552" i="10" s="1"/>
  <c r="EQ1552" i="10" a="1"/>
  <c r="EQ1552" i="10" s="1"/>
  <c r="EP1552" i="10" a="1"/>
  <c r="EP1552" i="10" s="1"/>
  <c r="EO1552" i="10" a="1"/>
  <c r="EO1552" i="10" s="1"/>
  <c r="EN1552" i="10" a="1"/>
  <c r="EN1552" i="10" s="1"/>
  <c r="EM1552" i="10" a="1"/>
  <c r="EM1552" i="10" s="1"/>
  <c r="EL1552" i="10" a="1"/>
  <c r="EL1552" i="10" s="1"/>
  <c r="EK1552" i="10" a="1"/>
  <c r="EK1552" i="10" s="1"/>
  <c r="EJ1552" i="10" a="1"/>
  <c r="EJ1552" i="10" s="1"/>
  <c r="EI1552" i="10" a="1"/>
  <c r="EI1552" i="10" s="1"/>
  <c r="EH1552" i="10" a="1"/>
  <c r="EH1552" i="10" s="1"/>
  <c r="EG1552" i="10" a="1"/>
  <c r="EG1552" i="10" s="1"/>
  <c r="EF1552" i="10" a="1"/>
  <c r="EF1552" i="10" s="1"/>
  <c r="EE1552" i="10" a="1"/>
  <c r="EE1552" i="10" s="1"/>
  <c r="ED1552" i="10" a="1"/>
  <c r="ED1552" i="10" s="1"/>
  <c r="EC1552" i="10" a="1"/>
  <c r="EC1552" i="10" s="1"/>
  <c r="EB1552" i="10" a="1"/>
  <c r="EB1552" i="10" s="1"/>
  <c r="EA1552" i="10" a="1"/>
  <c r="EA1552" i="10" s="1"/>
  <c r="DZ1552" i="10" a="1"/>
  <c r="DZ1552" i="10" s="1"/>
  <c r="DY1552" i="10" a="1"/>
  <c r="DY1552" i="10" s="1"/>
  <c r="DX1552" i="10" a="1"/>
  <c r="DX1552" i="10" s="1"/>
  <c r="DW1552" i="10" a="1"/>
  <c r="DW1552" i="10" s="1"/>
  <c r="DV1552" i="10" a="1"/>
  <c r="DV1552" i="10" s="1"/>
  <c r="DU1552" i="10" a="1"/>
  <c r="DU1552" i="10" s="1"/>
  <c r="DT1552" i="10" a="1"/>
  <c r="DT1552" i="10" s="1"/>
  <c r="DS1552" i="10" a="1"/>
  <c r="DS1552" i="10" s="1"/>
  <c r="DR1552" i="10" a="1"/>
  <c r="DR1552" i="10" s="1"/>
  <c r="DQ1552" i="10" a="1"/>
  <c r="DQ1552" i="10" s="1"/>
  <c r="DP1552" i="10" a="1"/>
  <c r="DP1552" i="10" s="1"/>
  <c r="DO1552" i="10" a="1"/>
  <c r="DO1552" i="10" s="1"/>
  <c r="DN1552" i="10" a="1"/>
  <c r="DN1552" i="10" s="1"/>
  <c r="DM1552" i="10" a="1"/>
  <c r="DM1552" i="10" s="1"/>
  <c r="DL1552" i="10" a="1"/>
  <c r="DL1552" i="10" s="1"/>
  <c r="DK1552" i="10" a="1"/>
  <c r="DK1552" i="10" s="1"/>
  <c r="DJ1552" i="10" a="1"/>
  <c r="DJ1552" i="10" s="1"/>
  <c r="DI1552" i="10" a="1"/>
  <c r="DI1552" i="10" s="1"/>
  <c r="DH1552" i="10" a="1"/>
  <c r="DH1552" i="10" s="1"/>
  <c r="DG1552" i="10" a="1"/>
  <c r="DG1552" i="10" s="1"/>
  <c r="DF1552" i="10" a="1"/>
  <c r="DF1552" i="10" s="1"/>
  <c r="DE1552" i="10" a="1"/>
  <c r="DE1552" i="10" s="1"/>
  <c r="DD1552" i="10" a="1"/>
  <c r="DD1552" i="10" s="1"/>
  <c r="DC1552" i="10" a="1"/>
  <c r="DC1552" i="10" s="1"/>
  <c r="DB1552" i="10" a="1"/>
  <c r="DB1552" i="10" s="1"/>
  <c r="DA1552" i="10" a="1"/>
  <c r="DA1552" i="10" s="1"/>
  <c r="CZ1552" i="10" a="1"/>
  <c r="CZ1552" i="10" s="1"/>
  <c r="CY1552" i="10" a="1"/>
  <c r="CY1552" i="10" s="1"/>
  <c r="CX1552" i="10" a="1"/>
  <c r="CX1552" i="10" s="1"/>
  <c r="CW1552" i="10" a="1"/>
  <c r="CW1552" i="10" s="1"/>
  <c r="CV1552" i="10" a="1"/>
  <c r="CV1552" i="10" s="1"/>
  <c r="CU1552" i="10" a="1"/>
  <c r="CU1552" i="10" s="1"/>
  <c r="CT1552" i="10" a="1"/>
  <c r="CT1552" i="10" s="1"/>
  <c r="CS1552" i="10" a="1"/>
  <c r="CS1552" i="10" s="1"/>
  <c r="CR1552" i="10" a="1"/>
  <c r="CR1552" i="10" s="1"/>
  <c r="CQ1552" i="10" a="1"/>
  <c r="CQ1552" i="10" s="1"/>
  <c r="CP1552" i="10" a="1"/>
  <c r="CP1552" i="10" s="1"/>
  <c r="CO1552" i="10" a="1"/>
  <c r="CO1552" i="10" s="1"/>
  <c r="CN1552" i="10" a="1"/>
  <c r="CN1552" i="10" s="1"/>
  <c r="CM1552" i="10" a="1"/>
  <c r="CM1552" i="10" s="1"/>
  <c r="CL1552" i="10" a="1"/>
  <c r="CL1552" i="10" s="1"/>
  <c r="CK1552" i="10" a="1"/>
  <c r="CK1552" i="10" s="1"/>
  <c r="CJ1552" i="10" a="1"/>
  <c r="CJ1552" i="10" s="1"/>
  <c r="CI1552" i="10" a="1"/>
  <c r="CI1552" i="10" s="1"/>
  <c r="CH1552" i="10" a="1"/>
  <c r="CH1552" i="10" s="1"/>
  <c r="CG1552" i="10" a="1"/>
  <c r="CG1552" i="10" s="1"/>
  <c r="CF1552" i="10" a="1"/>
  <c r="CF1552" i="10" s="1"/>
  <c r="CE1552" i="10" a="1"/>
  <c r="CE1552" i="10" s="1"/>
  <c r="CD1552" i="10" a="1"/>
  <c r="CD1552" i="10" s="1"/>
  <c r="CC1552" i="10" a="1"/>
  <c r="CC1552" i="10" s="1"/>
  <c r="CB1552" i="10" a="1"/>
  <c r="CB1552" i="10" s="1"/>
  <c r="CA1552" i="10" a="1"/>
  <c r="CA1552" i="10" s="1"/>
  <c r="BZ1552" i="10" a="1"/>
  <c r="BZ1552" i="10" s="1"/>
  <c r="BY1552" i="10" a="1"/>
  <c r="BY1552" i="10" s="1"/>
  <c r="BX1552" i="10" a="1"/>
  <c r="BX1552" i="10" s="1"/>
  <c r="BW1552" i="10" a="1"/>
  <c r="BW1552" i="10" s="1"/>
  <c r="BV1552" i="10" a="1"/>
  <c r="BV1552" i="10" s="1"/>
  <c r="BU1552" i="10" a="1"/>
  <c r="BU1552" i="10" s="1"/>
  <c r="BT1552" i="10" a="1"/>
  <c r="BT1552" i="10" s="1"/>
  <c r="BS1552" i="10" a="1"/>
  <c r="BS1552" i="10" s="1"/>
  <c r="BR1552" i="10" a="1"/>
  <c r="BR1552" i="10" s="1"/>
  <c r="BQ1552" i="10" a="1"/>
  <c r="BQ1552" i="10" s="1"/>
  <c r="BP1552" i="10" a="1"/>
  <c r="BP1552" i="10" s="1"/>
  <c r="BO1552" i="10" a="1"/>
  <c r="BO1552" i="10" s="1"/>
  <c r="BN1552" i="10" a="1"/>
  <c r="BN1552" i="10" s="1"/>
  <c r="BM1552" i="10" a="1"/>
  <c r="BM1552" i="10" s="1"/>
  <c r="BL1552" i="10" a="1"/>
  <c r="BL1552" i="10" s="1"/>
  <c r="BK1552" i="10" a="1"/>
  <c r="BK1552" i="10" s="1"/>
  <c r="BJ1552" i="10" a="1"/>
  <c r="BJ1552" i="10" s="1"/>
  <c r="BI1552" i="10" a="1"/>
  <c r="BI1552" i="10" s="1"/>
  <c r="BH1552" i="10" a="1"/>
  <c r="BH1552" i="10" s="1"/>
  <c r="BG1552" i="10" a="1"/>
  <c r="BG1552" i="10" s="1"/>
  <c r="BF1552" i="10" a="1"/>
  <c r="BF1552" i="10" s="1"/>
  <c r="BE1552" i="10" a="1"/>
  <c r="BE1552" i="10" s="1"/>
  <c r="BD1552" i="10" a="1"/>
  <c r="BD1552" i="10" s="1"/>
  <c r="BC1552" i="10" a="1"/>
  <c r="BC1552" i="10" s="1"/>
  <c r="BB1552" i="10" a="1"/>
  <c r="BB1552" i="10" s="1"/>
  <c r="BA1552" i="10" a="1"/>
  <c r="BA1552" i="10" s="1"/>
  <c r="AZ1552" i="10" a="1"/>
  <c r="AZ1552" i="10" s="1"/>
  <c r="AY1552" i="10" a="1"/>
  <c r="AY1552" i="10" s="1"/>
  <c r="AX1552" i="10" a="1"/>
  <c r="AX1552" i="10" s="1"/>
  <c r="AW1552" i="10" a="1"/>
  <c r="AW1552" i="10" s="1"/>
  <c r="AV1552" i="10" a="1"/>
  <c r="AV1552" i="10" s="1"/>
  <c r="AU1552" i="10" a="1"/>
  <c r="AU1552" i="10" s="1"/>
  <c r="AT1552" i="10" a="1"/>
  <c r="AT1552" i="10" s="1"/>
  <c r="AS1552" i="10" a="1"/>
  <c r="AS1552" i="10" s="1"/>
  <c r="AR1552" i="10" a="1"/>
  <c r="AR1552" i="10" s="1"/>
  <c r="AQ1552" i="10" a="1"/>
  <c r="AQ1552" i="10" s="1"/>
  <c r="AP1552" i="10" a="1"/>
  <c r="AP1552" i="10" s="1"/>
  <c r="AO1552" i="10" a="1"/>
  <c r="AO1552" i="10" s="1"/>
  <c r="AN1552" i="10" a="1"/>
  <c r="AN1552" i="10" s="1"/>
  <c r="AM1552" i="10" a="1"/>
  <c r="AM1552" i="10" s="1"/>
  <c r="AL1552" i="10" a="1"/>
  <c r="AL1552" i="10" s="1"/>
  <c r="Q30" i="9" s="1"/>
  <c r="AK1552" i="10" a="1"/>
  <c r="AK1552" i="10" s="1"/>
  <c r="AJ1552" i="10" a="1"/>
  <c r="AJ1552" i="10" s="1"/>
  <c r="AI1552" i="10" a="1"/>
  <c r="AI1552" i="10" s="1"/>
  <c r="AH1552" i="10" a="1"/>
  <c r="AH1552" i="10" s="1"/>
  <c r="AG1552" i="10" a="1"/>
  <c r="AG1552" i="10" s="1"/>
  <c r="AF1552" i="10" a="1"/>
  <c r="AF1552" i="10" s="1"/>
  <c r="AE1552" i="10" a="1"/>
  <c r="AE1552" i="10" s="1"/>
  <c r="AD1552" i="10" a="1"/>
  <c r="AD1552" i="10" s="1"/>
  <c r="AC1552" i="10" a="1"/>
  <c r="AC1552" i="10" s="1"/>
  <c r="AB1552" i="10" a="1"/>
  <c r="AB1552" i="10" s="1"/>
  <c r="AA1552" i="10" a="1"/>
  <c r="AA1552" i="10" s="1"/>
  <c r="Z1552" i="10" a="1"/>
  <c r="Z1552" i="10" s="1"/>
  <c r="Y1552" i="10" a="1"/>
  <c r="Y1552" i="10" s="1"/>
  <c r="X1552" i="10" a="1"/>
  <c r="X1552" i="10" s="1"/>
  <c r="W1552" i="10" a="1"/>
  <c r="W1552" i="10" s="1"/>
  <c r="V1552" i="10" a="1"/>
  <c r="V1552" i="10" s="1"/>
  <c r="U1552" i="10" a="1"/>
  <c r="U1552" i="10" s="1"/>
  <c r="T1552" i="10" a="1"/>
  <c r="T1552" i="10" s="1"/>
  <c r="S1552" i="10" a="1"/>
  <c r="S1552" i="10" s="1"/>
  <c r="R1552" i="10" a="1"/>
  <c r="R1552" i="10" s="1"/>
  <c r="Q1552" i="10" a="1"/>
  <c r="Q1552" i="10" s="1"/>
  <c r="P1552" i="10" a="1"/>
  <c r="P1552" i="10" s="1"/>
  <c r="AGN1551" i="10" a="1"/>
  <c r="AGN1551" i="10" s="1"/>
  <c r="AGM1551" i="10" a="1"/>
  <c r="AGM1551" i="10" s="1"/>
  <c r="AGL1551" i="10" a="1"/>
  <c r="AGL1551" i="10" s="1"/>
  <c r="AGK1551" i="10" a="1"/>
  <c r="AGK1551" i="10" s="1"/>
  <c r="AGJ1551" i="10" a="1"/>
  <c r="AGJ1551" i="10" s="1"/>
  <c r="AGI1551" i="10" a="1"/>
  <c r="AGI1551" i="10" s="1"/>
  <c r="AGH1551" i="10" a="1"/>
  <c r="AGH1551" i="10" s="1"/>
  <c r="AGG1551" i="10" a="1"/>
  <c r="AGG1551" i="10" s="1"/>
  <c r="AGF1551" i="10" a="1"/>
  <c r="AGF1551" i="10" s="1"/>
  <c r="AGE1551" i="10" a="1"/>
  <c r="AGE1551" i="10" s="1"/>
  <c r="AGD1551" i="10" a="1"/>
  <c r="AGD1551" i="10" s="1"/>
  <c r="AGC1551" i="10" a="1"/>
  <c r="AGC1551" i="10" s="1"/>
  <c r="AGB1551" i="10" a="1"/>
  <c r="AGB1551" i="10" s="1"/>
  <c r="AGA1551" i="10" a="1"/>
  <c r="AGA1551" i="10" s="1"/>
  <c r="AFZ1551" i="10" a="1"/>
  <c r="AFZ1551" i="10" s="1"/>
  <c r="AFY1551" i="10" a="1"/>
  <c r="AFY1551" i="10" s="1"/>
  <c r="AFX1551" i="10" a="1"/>
  <c r="AFX1551" i="10" s="1"/>
  <c r="AFW1551" i="10" a="1"/>
  <c r="AFW1551" i="10" s="1"/>
  <c r="AFV1551" i="10" a="1"/>
  <c r="AFV1551" i="10" s="1"/>
  <c r="AFU1551" i="10" a="1"/>
  <c r="AFU1551" i="10" s="1"/>
  <c r="AFT1551" i="10" a="1"/>
  <c r="AFT1551" i="10" s="1"/>
  <c r="AFS1551" i="10" a="1"/>
  <c r="AFS1551" i="10" s="1"/>
  <c r="AFR1551" i="10" a="1"/>
  <c r="AFR1551" i="10" s="1"/>
  <c r="AFQ1551" i="10" a="1"/>
  <c r="AFQ1551" i="10" s="1"/>
  <c r="AFP1551" i="10" a="1"/>
  <c r="AFP1551" i="10" s="1"/>
  <c r="AFO1551" i="10" a="1"/>
  <c r="AFO1551" i="10" s="1"/>
  <c r="AFN1551" i="10" a="1"/>
  <c r="AFN1551" i="10" s="1"/>
  <c r="AFM1551" i="10" a="1"/>
  <c r="AFM1551" i="10" s="1"/>
  <c r="AFL1551" i="10" a="1"/>
  <c r="AFL1551" i="10" s="1"/>
  <c r="AFK1551" i="10" a="1"/>
  <c r="AFK1551" i="10" s="1"/>
  <c r="AFJ1551" i="10" a="1"/>
  <c r="AFJ1551" i="10" s="1"/>
  <c r="AFI1551" i="10" a="1"/>
  <c r="AFI1551" i="10" s="1"/>
  <c r="AFH1551" i="10" a="1"/>
  <c r="AFH1551" i="10" s="1"/>
  <c r="AFG1551" i="10" a="1"/>
  <c r="AFG1551" i="10" s="1"/>
  <c r="AFF1551" i="10" a="1"/>
  <c r="AFF1551" i="10" s="1"/>
  <c r="AFE1551" i="10" a="1"/>
  <c r="AFE1551" i="10" s="1"/>
  <c r="AFD1551" i="10" a="1"/>
  <c r="AFD1551" i="10" s="1"/>
  <c r="AFC1551" i="10" a="1"/>
  <c r="AFC1551" i="10" s="1"/>
  <c r="AFB1551" i="10" a="1"/>
  <c r="AFB1551" i="10" s="1"/>
  <c r="AFA1551" i="10" a="1"/>
  <c r="AFA1551" i="10" s="1"/>
  <c r="AEZ1551" i="10" a="1"/>
  <c r="AEZ1551" i="10" s="1"/>
  <c r="AEY1551" i="10" a="1"/>
  <c r="AEY1551" i="10" s="1"/>
  <c r="AEX1551" i="10" a="1"/>
  <c r="AEX1551" i="10" s="1"/>
  <c r="AEW1551" i="10" a="1"/>
  <c r="AEW1551" i="10" s="1"/>
  <c r="AEV1551" i="10" a="1"/>
  <c r="AEV1551" i="10" s="1"/>
  <c r="AEU1551" i="10" a="1"/>
  <c r="AEU1551" i="10" s="1"/>
  <c r="AET1551" i="10" a="1"/>
  <c r="AET1551" i="10" s="1"/>
  <c r="AES1551" i="10" a="1"/>
  <c r="AES1551" i="10" s="1"/>
  <c r="AER1551" i="10" a="1"/>
  <c r="AER1551" i="10" s="1"/>
  <c r="AEQ1551" i="10" a="1"/>
  <c r="AEQ1551" i="10" s="1"/>
  <c r="AEP1551" i="10" a="1"/>
  <c r="AEP1551" i="10" s="1"/>
  <c r="AEO1551" i="10" a="1"/>
  <c r="AEO1551" i="10" s="1"/>
  <c r="AEN1551" i="10" a="1"/>
  <c r="AEN1551" i="10" s="1"/>
  <c r="AEM1551" i="10" a="1"/>
  <c r="AEM1551" i="10" s="1"/>
  <c r="AEL1551" i="10" a="1"/>
  <c r="AEL1551" i="10" s="1"/>
  <c r="AEK1551" i="10" a="1"/>
  <c r="AEK1551" i="10" s="1"/>
  <c r="AEJ1551" i="10" a="1"/>
  <c r="AEJ1551" i="10" s="1"/>
  <c r="AEI1551" i="10" a="1"/>
  <c r="AEI1551" i="10" s="1"/>
  <c r="AEH1551" i="10" a="1"/>
  <c r="AEH1551" i="10" s="1"/>
  <c r="AEG1551" i="10" a="1"/>
  <c r="AEG1551" i="10" s="1"/>
  <c r="AEF1551" i="10" a="1"/>
  <c r="AEF1551" i="10" s="1"/>
  <c r="AEE1551" i="10" a="1"/>
  <c r="AEE1551" i="10" s="1"/>
  <c r="AED1551" i="10" a="1"/>
  <c r="AED1551" i="10" s="1"/>
  <c r="AEC1551" i="10" a="1"/>
  <c r="AEC1551" i="10" s="1"/>
  <c r="AEB1551" i="10" a="1"/>
  <c r="AEB1551" i="10" s="1"/>
  <c r="AEA1551" i="10" a="1"/>
  <c r="AEA1551" i="10" s="1"/>
  <c r="ADZ1551" i="10" a="1"/>
  <c r="ADZ1551" i="10" s="1"/>
  <c r="ADY1551" i="10" a="1"/>
  <c r="ADY1551" i="10" s="1"/>
  <c r="ADX1551" i="10" a="1"/>
  <c r="ADX1551" i="10" s="1"/>
  <c r="ADW1551" i="10" a="1"/>
  <c r="ADW1551" i="10" s="1"/>
  <c r="ADV1551" i="10" a="1"/>
  <c r="ADV1551" i="10" s="1"/>
  <c r="ADU1551" i="10" a="1"/>
  <c r="ADU1551" i="10" s="1"/>
  <c r="ADT1551" i="10" a="1"/>
  <c r="ADT1551" i="10" s="1"/>
  <c r="ADS1551" i="10" a="1"/>
  <c r="ADS1551" i="10" s="1"/>
  <c r="ADR1551" i="10" a="1"/>
  <c r="ADR1551" i="10" s="1"/>
  <c r="ADQ1551" i="10" a="1"/>
  <c r="ADQ1551" i="10" s="1"/>
  <c r="ADP1551" i="10" a="1"/>
  <c r="ADP1551" i="10" s="1"/>
  <c r="ADO1551" i="10" a="1"/>
  <c r="ADO1551" i="10" s="1"/>
  <c r="ADN1551" i="10" a="1"/>
  <c r="ADN1551" i="10" s="1"/>
  <c r="ADM1551" i="10" a="1"/>
  <c r="ADM1551" i="10" s="1"/>
  <c r="ADL1551" i="10" a="1"/>
  <c r="ADL1551" i="10" s="1"/>
  <c r="ADK1551" i="10" a="1"/>
  <c r="ADK1551" i="10" s="1"/>
  <c r="ADJ1551" i="10" a="1"/>
  <c r="ADJ1551" i="10" s="1"/>
  <c r="ADI1551" i="10" a="1"/>
  <c r="ADI1551" i="10" s="1"/>
  <c r="ADH1551" i="10" a="1"/>
  <c r="ADH1551" i="10" s="1"/>
  <c r="ADG1551" i="10" a="1"/>
  <c r="ADG1551" i="10" s="1"/>
  <c r="ADF1551" i="10" a="1"/>
  <c r="ADF1551" i="10" s="1"/>
  <c r="ADE1551" i="10" a="1"/>
  <c r="ADE1551" i="10" s="1"/>
  <c r="ADD1551" i="10" a="1"/>
  <c r="ADD1551" i="10" s="1"/>
  <c r="ADC1551" i="10" a="1"/>
  <c r="ADC1551" i="10" s="1"/>
  <c r="ADB1551" i="10" a="1"/>
  <c r="ADB1551" i="10" s="1"/>
  <c r="ADA1551" i="10" a="1"/>
  <c r="ADA1551" i="10" s="1"/>
  <c r="ACZ1551" i="10" a="1"/>
  <c r="ACZ1551" i="10" s="1"/>
  <c r="ACY1551" i="10" a="1"/>
  <c r="ACY1551" i="10" s="1"/>
  <c r="ACX1551" i="10" a="1"/>
  <c r="ACX1551" i="10" s="1"/>
  <c r="ACW1551" i="10" a="1"/>
  <c r="ACW1551" i="10" s="1"/>
  <c r="ACV1551" i="10" a="1"/>
  <c r="ACV1551" i="10" s="1"/>
  <c r="ACU1551" i="10" a="1"/>
  <c r="ACU1551" i="10" s="1"/>
  <c r="ACT1551" i="10" a="1"/>
  <c r="ACT1551" i="10" s="1"/>
  <c r="ACS1551" i="10" a="1"/>
  <c r="ACS1551" i="10" s="1"/>
  <c r="ACR1551" i="10" a="1"/>
  <c r="ACR1551" i="10" s="1"/>
  <c r="ACQ1551" i="10" a="1"/>
  <c r="ACQ1551" i="10" s="1"/>
  <c r="ACP1551" i="10" a="1"/>
  <c r="ACP1551" i="10" s="1"/>
  <c r="ACO1551" i="10" a="1"/>
  <c r="ACO1551" i="10" s="1"/>
  <c r="ACN1551" i="10" a="1"/>
  <c r="ACN1551" i="10" s="1"/>
  <c r="ACM1551" i="10" a="1"/>
  <c r="ACM1551" i="10" s="1"/>
  <c r="ACL1551" i="10" a="1"/>
  <c r="ACL1551" i="10" s="1"/>
  <c r="ACK1551" i="10" a="1"/>
  <c r="ACK1551" i="10" s="1"/>
  <c r="ACJ1551" i="10" a="1"/>
  <c r="ACJ1551" i="10" s="1"/>
  <c r="ACI1551" i="10" a="1"/>
  <c r="ACI1551" i="10" s="1"/>
  <c r="ACH1551" i="10" a="1"/>
  <c r="ACH1551" i="10" s="1"/>
  <c r="ACG1551" i="10" a="1"/>
  <c r="ACG1551" i="10" s="1"/>
  <c r="ACF1551" i="10" a="1"/>
  <c r="ACF1551" i="10" s="1"/>
  <c r="ACE1551" i="10" a="1"/>
  <c r="ACE1551" i="10" s="1"/>
  <c r="ACD1551" i="10" a="1"/>
  <c r="ACD1551" i="10" s="1"/>
  <c r="ACC1551" i="10" a="1"/>
  <c r="ACC1551" i="10" s="1"/>
  <c r="ACB1551" i="10" a="1"/>
  <c r="ACB1551" i="10" s="1"/>
  <c r="ACA1551" i="10" a="1"/>
  <c r="ACA1551" i="10" s="1"/>
  <c r="ABZ1551" i="10" a="1"/>
  <c r="ABZ1551" i="10" s="1"/>
  <c r="ABY1551" i="10" a="1"/>
  <c r="ABY1551" i="10" s="1"/>
  <c r="ABX1551" i="10" a="1"/>
  <c r="ABX1551" i="10" s="1"/>
  <c r="ABW1551" i="10" a="1"/>
  <c r="ABW1551" i="10" s="1"/>
  <c r="ABV1551" i="10" a="1"/>
  <c r="ABV1551" i="10" s="1"/>
  <c r="ABU1551" i="10" a="1"/>
  <c r="ABU1551" i="10" s="1"/>
  <c r="ABT1551" i="10" a="1"/>
  <c r="ABT1551" i="10" s="1"/>
  <c r="ABS1551" i="10" a="1"/>
  <c r="ABS1551" i="10" s="1"/>
  <c r="ABR1551" i="10" a="1"/>
  <c r="ABR1551" i="10" s="1"/>
  <c r="ABQ1551" i="10" a="1"/>
  <c r="ABQ1551" i="10" s="1"/>
  <c r="ABP1551" i="10" a="1"/>
  <c r="ABP1551" i="10" s="1"/>
  <c r="ABO1551" i="10" a="1"/>
  <c r="ABO1551" i="10" s="1"/>
  <c r="ABN1551" i="10" a="1"/>
  <c r="ABN1551" i="10" s="1"/>
  <c r="ABM1551" i="10" a="1"/>
  <c r="ABM1551" i="10" s="1"/>
  <c r="ABL1551" i="10" a="1"/>
  <c r="ABL1551" i="10" s="1"/>
  <c r="ABK1551" i="10" a="1"/>
  <c r="ABK1551" i="10" s="1"/>
  <c r="ABJ1551" i="10" a="1"/>
  <c r="ABJ1551" i="10" s="1"/>
  <c r="ABI1551" i="10" a="1"/>
  <c r="ABI1551" i="10" s="1"/>
  <c r="ABH1551" i="10" a="1"/>
  <c r="ABH1551" i="10" s="1"/>
  <c r="ABG1551" i="10" a="1"/>
  <c r="ABG1551" i="10" s="1"/>
  <c r="ABF1551" i="10" a="1"/>
  <c r="ABF1551" i="10" s="1"/>
  <c r="ABE1551" i="10" a="1"/>
  <c r="ABE1551" i="10" s="1"/>
  <c r="ABD1551" i="10" a="1"/>
  <c r="ABD1551" i="10" s="1"/>
  <c r="ABC1551" i="10" a="1"/>
  <c r="ABC1551" i="10" s="1"/>
  <c r="ABB1551" i="10" a="1"/>
  <c r="ABB1551" i="10" s="1"/>
  <c r="ABA1551" i="10" a="1"/>
  <c r="ABA1551" i="10" s="1"/>
  <c r="AAZ1551" i="10" a="1"/>
  <c r="AAZ1551" i="10" s="1"/>
  <c r="AAY1551" i="10" a="1"/>
  <c r="AAY1551" i="10" s="1"/>
  <c r="AAX1551" i="10" a="1"/>
  <c r="AAX1551" i="10" s="1"/>
  <c r="AAW1551" i="10" a="1"/>
  <c r="AAW1551" i="10" s="1"/>
  <c r="AAV1551" i="10" a="1"/>
  <c r="AAV1551" i="10" s="1"/>
  <c r="AAU1551" i="10" a="1"/>
  <c r="AAU1551" i="10" s="1"/>
  <c r="AAT1551" i="10" a="1"/>
  <c r="AAT1551" i="10" s="1"/>
  <c r="AAS1551" i="10" a="1"/>
  <c r="AAS1551" i="10" s="1"/>
  <c r="AAR1551" i="10" a="1"/>
  <c r="AAR1551" i="10" s="1"/>
  <c r="AAQ1551" i="10" a="1"/>
  <c r="AAQ1551" i="10" s="1"/>
  <c r="AAP1551" i="10" a="1"/>
  <c r="AAP1551" i="10" s="1"/>
  <c r="AAO1551" i="10" a="1"/>
  <c r="AAO1551" i="10" s="1"/>
  <c r="AAN1551" i="10" a="1"/>
  <c r="AAN1551" i="10" s="1"/>
  <c r="AAM1551" i="10" a="1"/>
  <c r="AAM1551" i="10" s="1"/>
  <c r="AAL1551" i="10" a="1"/>
  <c r="AAL1551" i="10" s="1"/>
  <c r="AAK1551" i="10" a="1"/>
  <c r="AAK1551" i="10" s="1"/>
  <c r="AAJ1551" i="10" a="1"/>
  <c r="AAJ1551" i="10" s="1"/>
  <c r="AAI1551" i="10" a="1"/>
  <c r="AAI1551" i="10" s="1"/>
  <c r="AAH1551" i="10" a="1"/>
  <c r="AAH1551" i="10" s="1"/>
  <c r="AAG1551" i="10" a="1"/>
  <c r="AAG1551" i="10" s="1"/>
  <c r="AAF1551" i="10" a="1"/>
  <c r="AAF1551" i="10" s="1"/>
  <c r="AAE1551" i="10" a="1"/>
  <c r="AAE1551" i="10" s="1"/>
  <c r="AAD1551" i="10" a="1"/>
  <c r="AAD1551" i="10" s="1"/>
  <c r="AAC1551" i="10" a="1"/>
  <c r="AAC1551" i="10" s="1"/>
  <c r="AAB1551" i="10" a="1"/>
  <c r="AAB1551" i="10" s="1"/>
  <c r="AAA1551" i="10" a="1"/>
  <c r="AAA1551" i="10" s="1"/>
  <c r="ZZ1551" i="10" a="1"/>
  <c r="ZZ1551" i="10" s="1"/>
  <c r="ZY1551" i="10" a="1"/>
  <c r="ZY1551" i="10" s="1"/>
  <c r="ZX1551" i="10" a="1"/>
  <c r="ZX1551" i="10" s="1"/>
  <c r="ZW1551" i="10" a="1"/>
  <c r="ZW1551" i="10" s="1"/>
  <c r="ZV1551" i="10" a="1"/>
  <c r="ZV1551" i="10" s="1"/>
  <c r="ZU1551" i="10" a="1"/>
  <c r="ZU1551" i="10" s="1"/>
  <c r="ZT1551" i="10" a="1"/>
  <c r="ZT1551" i="10" s="1"/>
  <c r="ZS1551" i="10" a="1"/>
  <c r="ZS1551" i="10" s="1"/>
  <c r="ZR1551" i="10" a="1"/>
  <c r="ZR1551" i="10" s="1"/>
  <c r="ZQ1551" i="10" a="1"/>
  <c r="ZQ1551" i="10" s="1"/>
  <c r="ZP1551" i="10" a="1"/>
  <c r="ZP1551" i="10" s="1"/>
  <c r="ZO1551" i="10" a="1"/>
  <c r="ZO1551" i="10" s="1"/>
  <c r="ZN1551" i="10" a="1"/>
  <c r="ZN1551" i="10" s="1"/>
  <c r="ZM1551" i="10" a="1"/>
  <c r="ZM1551" i="10" s="1"/>
  <c r="ZL1551" i="10" a="1"/>
  <c r="ZL1551" i="10" s="1"/>
  <c r="ZK1551" i="10" a="1"/>
  <c r="ZK1551" i="10" s="1"/>
  <c r="ZJ1551" i="10" a="1"/>
  <c r="ZJ1551" i="10" s="1"/>
  <c r="ZI1551" i="10" a="1"/>
  <c r="ZI1551" i="10" s="1"/>
  <c r="ZH1551" i="10" a="1"/>
  <c r="ZH1551" i="10" s="1"/>
  <c r="ZG1551" i="10" a="1"/>
  <c r="ZG1551" i="10" s="1"/>
  <c r="ZF1551" i="10" a="1"/>
  <c r="ZF1551" i="10" s="1"/>
  <c r="ZE1551" i="10" a="1"/>
  <c r="ZE1551" i="10" s="1"/>
  <c r="ZD1551" i="10" a="1"/>
  <c r="ZD1551" i="10" s="1"/>
  <c r="ZC1551" i="10" a="1"/>
  <c r="ZC1551" i="10" s="1"/>
  <c r="ZB1551" i="10" a="1"/>
  <c r="ZB1551" i="10" s="1"/>
  <c r="ZA1551" i="10" a="1"/>
  <c r="ZA1551" i="10" s="1"/>
  <c r="YZ1551" i="10" a="1"/>
  <c r="YZ1551" i="10" s="1"/>
  <c r="YY1551" i="10" a="1"/>
  <c r="YY1551" i="10" s="1"/>
  <c r="YX1551" i="10" a="1"/>
  <c r="YX1551" i="10" s="1"/>
  <c r="YW1551" i="10" a="1"/>
  <c r="YW1551" i="10" s="1"/>
  <c r="YV1551" i="10" a="1"/>
  <c r="YV1551" i="10" s="1"/>
  <c r="YU1551" i="10" a="1"/>
  <c r="YU1551" i="10" s="1"/>
  <c r="YT1551" i="10" a="1"/>
  <c r="YT1551" i="10" s="1"/>
  <c r="YS1551" i="10" a="1"/>
  <c r="YS1551" i="10" s="1"/>
  <c r="YR1551" i="10" a="1"/>
  <c r="YR1551" i="10" s="1"/>
  <c r="YQ1551" i="10" a="1"/>
  <c r="YQ1551" i="10" s="1"/>
  <c r="YP1551" i="10" a="1"/>
  <c r="YP1551" i="10" s="1"/>
  <c r="YO1551" i="10" a="1"/>
  <c r="YO1551" i="10" s="1"/>
  <c r="YN1551" i="10" a="1"/>
  <c r="YN1551" i="10" s="1"/>
  <c r="YM1551" i="10" a="1"/>
  <c r="YM1551" i="10" s="1"/>
  <c r="YL1551" i="10" a="1"/>
  <c r="YL1551" i="10" s="1"/>
  <c r="YK1551" i="10" a="1"/>
  <c r="YK1551" i="10" s="1"/>
  <c r="YJ1551" i="10" a="1"/>
  <c r="YJ1551" i="10" s="1"/>
  <c r="YI1551" i="10" a="1"/>
  <c r="YI1551" i="10" s="1"/>
  <c r="YH1551" i="10" a="1"/>
  <c r="YH1551" i="10" s="1"/>
  <c r="YG1551" i="10" a="1"/>
  <c r="YG1551" i="10" s="1"/>
  <c r="YF1551" i="10" a="1"/>
  <c r="YF1551" i="10" s="1"/>
  <c r="YE1551" i="10" a="1"/>
  <c r="YE1551" i="10" s="1"/>
  <c r="YD1551" i="10" a="1"/>
  <c r="YD1551" i="10" s="1"/>
  <c r="YC1551" i="10" a="1"/>
  <c r="YC1551" i="10" s="1"/>
  <c r="YB1551" i="10" a="1"/>
  <c r="YB1551" i="10" s="1"/>
  <c r="YA1551" i="10" a="1"/>
  <c r="YA1551" i="10" s="1"/>
  <c r="XZ1551" i="10" a="1"/>
  <c r="XZ1551" i="10" s="1"/>
  <c r="XY1551" i="10" a="1"/>
  <c r="XY1551" i="10" s="1"/>
  <c r="XX1551" i="10" a="1"/>
  <c r="XX1551" i="10" s="1"/>
  <c r="XW1551" i="10" a="1"/>
  <c r="XW1551" i="10" s="1"/>
  <c r="XV1551" i="10" a="1"/>
  <c r="XV1551" i="10" s="1"/>
  <c r="XU1551" i="10" a="1"/>
  <c r="XU1551" i="10" s="1"/>
  <c r="XT1551" i="10" a="1"/>
  <c r="XT1551" i="10" s="1"/>
  <c r="XS1551" i="10" a="1"/>
  <c r="XS1551" i="10" s="1"/>
  <c r="XR1551" i="10" a="1"/>
  <c r="XR1551" i="10" s="1"/>
  <c r="XQ1551" i="10" a="1"/>
  <c r="XQ1551" i="10" s="1"/>
  <c r="XP1551" i="10" a="1"/>
  <c r="XP1551" i="10" s="1"/>
  <c r="XO1551" i="10" a="1"/>
  <c r="XO1551" i="10" s="1"/>
  <c r="XN1551" i="10" a="1"/>
  <c r="XN1551" i="10" s="1"/>
  <c r="XM1551" i="10" a="1"/>
  <c r="XM1551" i="10" s="1"/>
  <c r="XL1551" i="10" a="1"/>
  <c r="XL1551" i="10" s="1"/>
  <c r="XK1551" i="10" a="1"/>
  <c r="XK1551" i="10" s="1"/>
  <c r="XJ1551" i="10" a="1"/>
  <c r="XJ1551" i="10" s="1"/>
  <c r="XI1551" i="10" a="1"/>
  <c r="XI1551" i="10" s="1"/>
  <c r="XH1551" i="10" a="1"/>
  <c r="XH1551" i="10" s="1"/>
  <c r="XG1551" i="10" a="1"/>
  <c r="XG1551" i="10" s="1"/>
  <c r="XF1551" i="10" a="1"/>
  <c r="XF1551" i="10" s="1"/>
  <c r="XE1551" i="10" a="1"/>
  <c r="XE1551" i="10" s="1"/>
  <c r="XD1551" i="10" a="1"/>
  <c r="XD1551" i="10" s="1"/>
  <c r="XC1551" i="10" a="1"/>
  <c r="XC1551" i="10" s="1"/>
  <c r="XB1551" i="10" a="1"/>
  <c r="XB1551" i="10" s="1"/>
  <c r="XA1551" i="10" a="1"/>
  <c r="XA1551" i="10" s="1"/>
  <c r="WZ1551" i="10" a="1"/>
  <c r="WZ1551" i="10" s="1"/>
  <c r="WY1551" i="10" a="1"/>
  <c r="WY1551" i="10" s="1"/>
  <c r="WX1551" i="10" a="1"/>
  <c r="WX1551" i="10" s="1"/>
  <c r="WW1551" i="10" a="1"/>
  <c r="WW1551" i="10" s="1"/>
  <c r="WV1551" i="10" a="1"/>
  <c r="WV1551" i="10" s="1"/>
  <c r="WU1551" i="10" a="1"/>
  <c r="WU1551" i="10" s="1"/>
  <c r="WT1551" i="10" a="1"/>
  <c r="WT1551" i="10" s="1"/>
  <c r="WS1551" i="10" a="1"/>
  <c r="WS1551" i="10" s="1"/>
  <c r="WR1551" i="10" a="1"/>
  <c r="WR1551" i="10" s="1"/>
  <c r="WQ1551" i="10" a="1"/>
  <c r="WQ1551" i="10" s="1"/>
  <c r="WP1551" i="10" a="1"/>
  <c r="WP1551" i="10" s="1"/>
  <c r="WO1551" i="10" a="1"/>
  <c r="WO1551" i="10" s="1"/>
  <c r="WN1551" i="10" a="1"/>
  <c r="WN1551" i="10" s="1"/>
  <c r="WM1551" i="10" a="1"/>
  <c r="WM1551" i="10" s="1"/>
  <c r="WL1551" i="10" a="1"/>
  <c r="WL1551" i="10" s="1"/>
  <c r="WK1551" i="10" a="1"/>
  <c r="WK1551" i="10" s="1"/>
  <c r="WJ1551" i="10" a="1"/>
  <c r="WJ1551" i="10" s="1"/>
  <c r="WI1551" i="10" a="1"/>
  <c r="WI1551" i="10" s="1"/>
  <c r="WH1551" i="10" a="1"/>
  <c r="WH1551" i="10" s="1"/>
  <c r="WG1551" i="10" a="1"/>
  <c r="WG1551" i="10" s="1"/>
  <c r="WF1551" i="10" a="1"/>
  <c r="WF1551" i="10" s="1"/>
  <c r="WE1551" i="10" a="1"/>
  <c r="WE1551" i="10" s="1"/>
  <c r="WD1551" i="10" a="1"/>
  <c r="WD1551" i="10" s="1"/>
  <c r="WC1551" i="10" a="1"/>
  <c r="WC1551" i="10" s="1"/>
  <c r="WB1551" i="10" a="1"/>
  <c r="WB1551" i="10" s="1"/>
  <c r="WA1551" i="10" a="1"/>
  <c r="WA1551" i="10" s="1"/>
  <c r="VZ1551" i="10" a="1"/>
  <c r="VZ1551" i="10" s="1"/>
  <c r="VY1551" i="10" a="1"/>
  <c r="VY1551" i="10" s="1"/>
  <c r="VX1551" i="10" a="1"/>
  <c r="VX1551" i="10" s="1"/>
  <c r="VW1551" i="10" a="1"/>
  <c r="VW1551" i="10" s="1"/>
  <c r="VV1551" i="10" a="1"/>
  <c r="VV1551" i="10" s="1"/>
  <c r="VU1551" i="10" a="1"/>
  <c r="VU1551" i="10" s="1"/>
  <c r="VT1551" i="10" a="1"/>
  <c r="VT1551" i="10" s="1"/>
  <c r="VS1551" i="10" a="1"/>
  <c r="VS1551" i="10" s="1"/>
  <c r="VR1551" i="10" a="1"/>
  <c r="VR1551" i="10" s="1"/>
  <c r="VQ1551" i="10" a="1"/>
  <c r="VQ1551" i="10" s="1"/>
  <c r="VP1551" i="10" a="1"/>
  <c r="VP1551" i="10" s="1"/>
  <c r="VO1551" i="10" a="1"/>
  <c r="VO1551" i="10" s="1"/>
  <c r="VN1551" i="10" a="1"/>
  <c r="VN1551" i="10" s="1"/>
  <c r="VM1551" i="10" a="1"/>
  <c r="VM1551" i="10" s="1"/>
  <c r="VL1551" i="10" a="1"/>
  <c r="VL1551" i="10" s="1"/>
  <c r="VK1551" i="10" a="1"/>
  <c r="VK1551" i="10" s="1"/>
  <c r="VJ1551" i="10" a="1"/>
  <c r="VJ1551" i="10" s="1"/>
  <c r="VI1551" i="10" a="1"/>
  <c r="VI1551" i="10" s="1"/>
  <c r="VH1551" i="10" a="1"/>
  <c r="VH1551" i="10" s="1"/>
  <c r="VG1551" i="10" a="1"/>
  <c r="VG1551" i="10" s="1"/>
  <c r="VF1551" i="10" a="1"/>
  <c r="VF1551" i="10" s="1"/>
  <c r="VE1551" i="10" a="1"/>
  <c r="VE1551" i="10" s="1"/>
  <c r="VD1551" i="10" a="1"/>
  <c r="VD1551" i="10" s="1"/>
  <c r="VC1551" i="10" a="1"/>
  <c r="VC1551" i="10" s="1"/>
  <c r="VB1551" i="10" a="1"/>
  <c r="VB1551" i="10" s="1"/>
  <c r="VA1551" i="10" a="1"/>
  <c r="VA1551" i="10" s="1"/>
  <c r="UZ1551" i="10" a="1"/>
  <c r="UZ1551" i="10" s="1"/>
  <c r="UY1551" i="10" a="1"/>
  <c r="UY1551" i="10" s="1"/>
  <c r="UX1551" i="10" a="1"/>
  <c r="UX1551" i="10" s="1"/>
  <c r="UW1551" i="10" a="1"/>
  <c r="UW1551" i="10" s="1"/>
  <c r="UV1551" i="10" a="1"/>
  <c r="UV1551" i="10" s="1"/>
  <c r="UU1551" i="10" a="1"/>
  <c r="UU1551" i="10" s="1"/>
  <c r="UT1551" i="10" a="1"/>
  <c r="UT1551" i="10" s="1"/>
  <c r="US1551" i="10" a="1"/>
  <c r="US1551" i="10" s="1"/>
  <c r="UR1551" i="10" a="1"/>
  <c r="UR1551" i="10" s="1"/>
  <c r="UQ1551" i="10" a="1"/>
  <c r="UQ1551" i="10" s="1"/>
  <c r="UP1551" i="10" a="1"/>
  <c r="UP1551" i="10" s="1"/>
  <c r="UO1551" i="10" a="1"/>
  <c r="UO1551" i="10" s="1"/>
  <c r="UN1551" i="10" a="1"/>
  <c r="UN1551" i="10" s="1"/>
  <c r="UM1551" i="10" a="1"/>
  <c r="UM1551" i="10" s="1"/>
  <c r="UL1551" i="10" a="1"/>
  <c r="UL1551" i="10" s="1"/>
  <c r="UK1551" i="10" a="1"/>
  <c r="UK1551" i="10" s="1"/>
  <c r="UJ1551" i="10" a="1"/>
  <c r="UJ1551" i="10" s="1"/>
  <c r="UI1551" i="10" a="1"/>
  <c r="UI1551" i="10" s="1"/>
  <c r="UH1551" i="10" a="1"/>
  <c r="UH1551" i="10" s="1"/>
  <c r="UG1551" i="10" a="1"/>
  <c r="UG1551" i="10" s="1"/>
  <c r="UF1551" i="10" a="1"/>
  <c r="UF1551" i="10" s="1"/>
  <c r="UE1551" i="10" a="1"/>
  <c r="UE1551" i="10" s="1"/>
  <c r="UD1551" i="10" a="1"/>
  <c r="UD1551" i="10" s="1"/>
  <c r="UC1551" i="10" a="1"/>
  <c r="UC1551" i="10" s="1"/>
  <c r="UB1551" i="10" a="1"/>
  <c r="UB1551" i="10" s="1"/>
  <c r="UA1551" i="10" a="1"/>
  <c r="UA1551" i="10" s="1"/>
  <c r="TZ1551" i="10" a="1"/>
  <c r="TZ1551" i="10" s="1"/>
  <c r="TY1551" i="10" a="1"/>
  <c r="TY1551" i="10" s="1"/>
  <c r="TX1551" i="10" a="1"/>
  <c r="TX1551" i="10" s="1"/>
  <c r="TW1551" i="10" a="1"/>
  <c r="TW1551" i="10" s="1"/>
  <c r="TV1551" i="10" a="1"/>
  <c r="TV1551" i="10" s="1"/>
  <c r="TU1551" i="10" a="1"/>
  <c r="TU1551" i="10" s="1"/>
  <c r="TT1551" i="10" a="1"/>
  <c r="TT1551" i="10" s="1"/>
  <c r="TS1551" i="10" a="1"/>
  <c r="TS1551" i="10" s="1"/>
  <c r="TR1551" i="10" a="1"/>
  <c r="TR1551" i="10" s="1"/>
  <c r="TQ1551" i="10" a="1"/>
  <c r="TQ1551" i="10" s="1"/>
  <c r="TP1551" i="10" a="1"/>
  <c r="TP1551" i="10" s="1"/>
  <c r="TO1551" i="10" a="1"/>
  <c r="TO1551" i="10" s="1"/>
  <c r="TN1551" i="10" a="1"/>
  <c r="TN1551" i="10" s="1"/>
  <c r="TM1551" i="10" a="1"/>
  <c r="TM1551" i="10" s="1"/>
  <c r="TL1551" i="10" a="1"/>
  <c r="TL1551" i="10" s="1"/>
  <c r="TK1551" i="10" a="1"/>
  <c r="TK1551" i="10" s="1"/>
  <c r="TJ1551" i="10" a="1"/>
  <c r="TJ1551" i="10" s="1"/>
  <c r="TI1551" i="10" a="1"/>
  <c r="TI1551" i="10" s="1"/>
  <c r="TH1551" i="10" a="1"/>
  <c r="TH1551" i="10" s="1"/>
  <c r="TG1551" i="10" a="1"/>
  <c r="TG1551" i="10" s="1"/>
  <c r="TF1551" i="10" a="1"/>
  <c r="TF1551" i="10" s="1"/>
  <c r="TE1551" i="10" a="1"/>
  <c r="TE1551" i="10" s="1"/>
  <c r="TD1551" i="10" a="1"/>
  <c r="TD1551" i="10" s="1"/>
  <c r="TC1551" i="10" a="1"/>
  <c r="TC1551" i="10" s="1"/>
  <c r="TB1551" i="10" a="1"/>
  <c r="TB1551" i="10" s="1"/>
  <c r="TA1551" i="10" a="1"/>
  <c r="TA1551" i="10" s="1"/>
  <c r="SZ1551" i="10" a="1"/>
  <c r="SZ1551" i="10" s="1"/>
  <c r="SY1551" i="10" a="1"/>
  <c r="SY1551" i="10" s="1"/>
  <c r="SX1551" i="10" a="1"/>
  <c r="SX1551" i="10" s="1"/>
  <c r="SW1551" i="10" a="1"/>
  <c r="SW1551" i="10" s="1"/>
  <c r="SV1551" i="10" a="1"/>
  <c r="SV1551" i="10" s="1"/>
  <c r="SU1551" i="10" a="1"/>
  <c r="SU1551" i="10" s="1"/>
  <c r="ST1551" i="10" a="1"/>
  <c r="ST1551" i="10" s="1"/>
  <c r="SS1551" i="10" a="1"/>
  <c r="SS1551" i="10" s="1"/>
  <c r="SR1551" i="10" a="1"/>
  <c r="SR1551" i="10" s="1"/>
  <c r="SQ1551" i="10" a="1"/>
  <c r="SQ1551" i="10" s="1"/>
  <c r="SP1551" i="10" a="1"/>
  <c r="SP1551" i="10" s="1"/>
  <c r="SO1551" i="10" a="1"/>
  <c r="SO1551" i="10" s="1"/>
  <c r="SN1551" i="10" a="1"/>
  <c r="SN1551" i="10" s="1"/>
  <c r="SM1551" i="10" a="1"/>
  <c r="SM1551" i="10" s="1"/>
  <c r="SL1551" i="10" a="1"/>
  <c r="SL1551" i="10" s="1"/>
  <c r="SK1551" i="10" a="1"/>
  <c r="SK1551" i="10" s="1"/>
  <c r="SJ1551" i="10" a="1"/>
  <c r="SJ1551" i="10" s="1"/>
  <c r="SI1551" i="10" a="1"/>
  <c r="SI1551" i="10" s="1"/>
  <c r="SH1551" i="10" a="1"/>
  <c r="SH1551" i="10" s="1"/>
  <c r="SG1551" i="10" a="1"/>
  <c r="SG1551" i="10" s="1"/>
  <c r="SF1551" i="10" a="1"/>
  <c r="SF1551" i="10" s="1"/>
  <c r="SE1551" i="10" a="1"/>
  <c r="SE1551" i="10" s="1"/>
  <c r="SD1551" i="10" a="1"/>
  <c r="SD1551" i="10" s="1"/>
  <c r="SC1551" i="10" a="1"/>
  <c r="SC1551" i="10" s="1"/>
  <c r="SB1551" i="10" a="1"/>
  <c r="SB1551" i="10" s="1"/>
  <c r="SA1551" i="10" a="1"/>
  <c r="SA1551" i="10" s="1"/>
  <c r="RZ1551" i="10" a="1"/>
  <c r="RZ1551" i="10" s="1"/>
  <c r="RY1551" i="10" a="1"/>
  <c r="RY1551" i="10" s="1"/>
  <c r="RX1551" i="10" a="1"/>
  <c r="RX1551" i="10" s="1"/>
  <c r="RW1551" i="10" a="1"/>
  <c r="RW1551" i="10" s="1"/>
  <c r="RV1551" i="10" a="1"/>
  <c r="RV1551" i="10" s="1"/>
  <c r="RU1551" i="10" a="1"/>
  <c r="RU1551" i="10" s="1"/>
  <c r="RT1551" i="10" a="1"/>
  <c r="RT1551" i="10" s="1"/>
  <c r="RS1551" i="10" a="1"/>
  <c r="RS1551" i="10" s="1"/>
  <c r="RR1551" i="10" a="1"/>
  <c r="RR1551" i="10" s="1"/>
  <c r="RQ1551" i="10" a="1"/>
  <c r="RQ1551" i="10" s="1"/>
  <c r="RP1551" i="10" a="1"/>
  <c r="RP1551" i="10" s="1"/>
  <c r="RO1551" i="10" a="1"/>
  <c r="RO1551" i="10" s="1"/>
  <c r="RN1551" i="10" a="1"/>
  <c r="RN1551" i="10" s="1"/>
  <c r="RM1551" i="10" a="1"/>
  <c r="RM1551" i="10" s="1"/>
  <c r="RL1551" i="10" a="1"/>
  <c r="RL1551" i="10" s="1"/>
  <c r="RK1551" i="10" a="1"/>
  <c r="RK1551" i="10" s="1"/>
  <c r="RJ1551" i="10" a="1"/>
  <c r="RJ1551" i="10" s="1"/>
  <c r="RI1551" i="10" a="1"/>
  <c r="RI1551" i="10" s="1"/>
  <c r="RH1551" i="10" a="1"/>
  <c r="RH1551" i="10" s="1"/>
  <c r="RG1551" i="10" a="1"/>
  <c r="RG1551" i="10" s="1"/>
  <c r="RF1551" i="10" a="1"/>
  <c r="RF1551" i="10" s="1"/>
  <c r="RE1551" i="10" a="1"/>
  <c r="RE1551" i="10" s="1"/>
  <c r="RD1551" i="10" a="1"/>
  <c r="RD1551" i="10" s="1"/>
  <c r="RC1551" i="10" a="1"/>
  <c r="RC1551" i="10" s="1"/>
  <c r="RB1551" i="10" a="1"/>
  <c r="RB1551" i="10" s="1"/>
  <c r="RA1551" i="10" a="1"/>
  <c r="RA1551" i="10" s="1"/>
  <c r="QZ1551" i="10" a="1"/>
  <c r="QZ1551" i="10" s="1"/>
  <c r="QY1551" i="10" a="1"/>
  <c r="QY1551" i="10" s="1"/>
  <c r="QX1551" i="10" a="1"/>
  <c r="QX1551" i="10" s="1"/>
  <c r="QW1551" i="10" a="1"/>
  <c r="QW1551" i="10" s="1"/>
  <c r="QV1551" i="10" a="1"/>
  <c r="QV1551" i="10" s="1"/>
  <c r="QU1551" i="10" a="1"/>
  <c r="QU1551" i="10" s="1"/>
  <c r="QT1551" i="10" a="1"/>
  <c r="QT1551" i="10" s="1"/>
  <c r="QS1551" i="10" a="1"/>
  <c r="QS1551" i="10" s="1"/>
  <c r="QR1551" i="10" a="1"/>
  <c r="QR1551" i="10" s="1"/>
  <c r="QQ1551" i="10" a="1"/>
  <c r="QQ1551" i="10" s="1"/>
  <c r="QP1551" i="10" a="1"/>
  <c r="QP1551" i="10" s="1"/>
  <c r="QO1551" i="10" a="1"/>
  <c r="QO1551" i="10" s="1"/>
  <c r="QN1551" i="10" a="1"/>
  <c r="QN1551" i="10" s="1"/>
  <c r="QM1551" i="10" a="1"/>
  <c r="QM1551" i="10" s="1"/>
  <c r="QL1551" i="10" a="1"/>
  <c r="QL1551" i="10" s="1"/>
  <c r="QK1551" i="10" a="1"/>
  <c r="QK1551" i="10" s="1"/>
  <c r="QJ1551" i="10" a="1"/>
  <c r="QJ1551" i="10" s="1"/>
  <c r="QI1551" i="10" a="1"/>
  <c r="QI1551" i="10" s="1"/>
  <c r="QH1551" i="10" a="1"/>
  <c r="QH1551" i="10" s="1"/>
  <c r="QG1551" i="10" a="1"/>
  <c r="QG1551" i="10" s="1"/>
  <c r="QF1551" i="10" a="1"/>
  <c r="QF1551" i="10" s="1"/>
  <c r="QE1551" i="10" a="1"/>
  <c r="QE1551" i="10" s="1"/>
  <c r="QD1551" i="10" a="1"/>
  <c r="QD1551" i="10" s="1"/>
  <c r="QC1551" i="10" a="1"/>
  <c r="QC1551" i="10" s="1"/>
  <c r="QB1551" i="10" a="1"/>
  <c r="QB1551" i="10" s="1"/>
  <c r="QA1551" i="10" a="1"/>
  <c r="QA1551" i="10" s="1"/>
  <c r="PZ1551" i="10" a="1"/>
  <c r="PZ1551" i="10" s="1"/>
  <c r="PY1551" i="10" a="1"/>
  <c r="PY1551" i="10" s="1"/>
  <c r="PX1551" i="10" a="1"/>
  <c r="PX1551" i="10" s="1"/>
  <c r="PW1551" i="10" a="1"/>
  <c r="PW1551" i="10" s="1"/>
  <c r="PV1551" i="10" a="1"/>
  <c r="PV1551" i="10" s="1"/>
  <c r="PU1551" i="10" a="1"/>
  <c r="PU1551" i="10" s="1"/>
  <c r="PT1551" i="10" a="1"/>
  <c r="PT1551" i="10" s="1"/>
  <c r="PS1551" i="10" a="1"/>
  <c r="PS1551" i="10" s="1"/>
  <c r="PR1551" i="10" a="1"/>
  <c r="PR1551" i="10" s="1"/>
  <c r="PQ1551" i="10" a="1"/>
  <c r="PQ1551" i="10" s="1"/>
  <c r="PP1551" i="10" a="1"/>
  <c r="PP1551" i="10" s="1"/>
  <c r="PO1551" i="10" a="1"/>
  <c r="PO1551" i="10" s="1"/>
  <c r="PN1551" i="10" a="1"/>
  <c r="PN1551" i="10" s="1"/>
  <c r="PM1551" i="10" a="1"/>
  <c r="PM1551" i="10" s="1"/>
  <c r="PL1551" i="10" a="1"/>
  <c r="PL1551" i="10" s="1"/>
  <c r="PK1551" i="10" a="1"/>
  <c r="PK1551" i="10" s="1"/>
  <c r="PJ1551" i="10" a="1"/>
  <c r="PJ1551" i="10" s="1"/>
  <c r="PI1551" i="10" a="1"/>
  <c r="PI1551" i="10" s="1"/>
  <c r="PH1551" i="10" a="1"/>
  <c r="PH1551" i="10" s="1"/>
  <c r="PG1551" i="10" a="1"/>
  <c r="PG1551" i="10" s="1"/>
  <c r="PF1551" i="10" a="1"/>
  <c r="PF1551" i="10" s="1"/>
  <c r="PE1551" i="10" a="1"/>
  <c r="PE1551" i="10" s="1"/>
  <c r="PD1551" i="10" a="1"/>
  <c r="PD1551" i="10" s="1"/>
  <c r="PC1551" i="10" a="1"/>
  <c r="PC1551" i="10" s="1"/>
  <c r="PB1551" i="10" a="1"/>
  <c r="PB1551" i="10" s="1"/>
  <c r="PA1551" i="10" a="1"/>
  <c r="PA1551" i="10" s="1"/>
  <c r="OZ1551" i="10" a="1"/>
  <c r="OZ1551" i="10" s="1"/>
  <c r="OY1551" i="10" a="1"/>
  <c r="OY1551" i="10" s="1"/>
  <c r="OX1551" i="10" a="1"/>
  <c r="OX1551" i="10" s="1"/>
  <c r="OW1551" i="10" a="1"/>
  <c r="OW1551" i="10" s="1"/>
  <c r="OV1551" i="10" a="1"/>
  <c r="OV1551" i="10" s="1"/>
  <c r="OU1551" i="10" a="1"/>
  <c r="OU1551" i="10" s="1"/>
  <c r="OT1551" i="10" a="1"/>
  <c r="OT1551" i="10" s="1"/>
  <c r="OS1551" i="10" a="1"/>
  <c r="OS1551" i="10" s="1"/>
  <c r="OR1551" i="10" a="1"/>
  <c r="OR1551" i="10" s="1"/>
  <c r="OQ1551" i="10" a="1"/>
  <c r="OQ1551" i="10" s="1"/>
  <c r="OP1551" i="10" a="1"/>
  <c r="OP1551" i="10" s="1"/>
  <c r="OO1551" i="10" a="1"/>
  <c r="OO1551" i="10" s="1"/>
  <c r="ON1551" i="10" a="1"/>
  <c r="ON1551" i="10" s="1"/>
  <c r="OM1551" i="10" a="1"/>
  <c r="OM1551" i="10" s="1"/>
  <c r="OL1551" i="10" a="1"/>
  <c r="OL1551" i="10" s="1"/>
  <c r="OK1551" i="10" a="1"/>
  <c r="OK1551" i="10" s="1"/>
  <c r="OJ1551" i="10" a="1"/>
  <c r="OJ1551" i="10" s="1"/>
  <c r="OI1551" i="10" a="1"/>
  <c r="OI1551" i="10" s="1"/>
  <c r="OH1551" i="10" a="1"/>
  <c r="OH1551" i="10" s="1"/>
  <c r="OG1551" i="10" a="1"/>
  <c r="OG1551" i="10" s="1"/>
  <c r="OF1551" i="10" a="1"/>
  <c r="OF1551" i="10" s="1"/>
  <c r="OE1551" i="10" a="1"/>
  <c r="OE1551" i="10" s="1"/>
  <c r="OD1551" i="10" a="1"/>
  <c r="OD1551" i="10" s="1"/>
  <c r="OC1551" i="10" a="1"/>
  <c r="OC1551" i="10" s="1"/>
  <c r="OB1551" i="10" a="1"/>
  <c r="OB1551" i="10" s="1"/>
  <c r="OA1551" i="10" a="1"/>
  <c r="OA1551" i="10" s="1"/>
  <c r="NZ1551" i="10" a="1"/>
  <c r="NZ1551" i="10" s="1"/>
  <c r="NY1551" i="10" a="1"/>
  <c r="NY1551" i="10" s="1"/>
  <c r="NX1551" i="10" a="1"/>
  <c r="NX1551" i="10" s="1"/>
  <c r="NW1551" i="10" a="1"/>
  <c r="NW1551" i="10" s="1"/>
  <c r="NV1551" i="10" a="1"/>
  <c r="NV1551" i="10" s="1"/>
  <c r="NU1551" i="10" a="1"/>
  <c r="NU1551" i="10" s="1"/>
  <c r="NT1551" i="10" a="1"/>
  <c r="NT1551" i="10" s="1"/>
  <c r="NS1551" i="10" a="1"/>
  <c r="NS1551" i="10" s="1"/>
  <c r="NR1551" i="10" a="1"/>
  <c r="NR1551" i="10" s="1"/>
  <c r="NQ1551" i="10" a="1"/>
  <c r="NQ1551" i="10" s="1"/>
  <c r="NP1551" i="10" a="1"/>
  <c r="NP1551" i="10" s="1"/>
  <c r="NO1551" i="10" a="1"/>
  <c r="NO1551" i="10" s="1"/>
  <c r="NN1551" i="10" a="1"/>
  <c r="NN1551" i="10" s="1"/>
  <c r="NM1551" i="10" a="1"/>
  <c r="NM1551" i="10" s="1"/>
  <c r="NL1551" i="10" a="1"/>
  <c r="NL1551" i="10" s="1"/>
  <c r="NK1551" i="10" a="1"/>
  <c r="NK1551" i="10" s="1"/>
  <c r="NJ1551" i="10" a="1"/>
  <c r="NJ1551" i="10" s="1"/>
  <c r="NI1551" i="10" a="1"/>
  <c r="NI1551" i="10" s="1"/>
  <c r="NH1551" i="10" a="1"/>
  <c r="NH1551" i="10" s="1"/>
  <c r="NG1551" i="10" a="1"/>
  <c r="NG1551" i="10" s="1"/>
  <c r="NF1551" i="10" a="1"/>
  <c r="NF1551" i="10" s="1"/>
  <c r="NE1551" i="10" a="1"/>
  <c r="NE1551" i="10" s="1"/>
  <c r="ND1551" i="10" a="1"/>
  <c r="ND1551" i="10" s="1"/>
  <c r="NC1551" i="10" a="1"/>
  <c r="NC1551" i="10" s="1"/>
  <c r="NB1551" i="10" a="1"/>
  <c r="NB1551" i="10" s="1"/>
  <c r="NA1551" i="10" a="1"/>
  <c r="NA1551" i="10" s="1"/>
  <c r="MZ1551" i="10" a="1"/>
  <c r="MZ1551" i="10" s="1"/>
  <c r="MY1551" i="10" a="1"/>
  <c r="MY1551" i="10" s="1"/>
  <c r="MX1551" i="10" a="1"/>
  <c r="MX1551" i="10" s="1"/>
  <c r="MW1551" i="10" a="1"/>
  <c r="MW1551" i="10" s="1"/>
  <c r="MV1551" i="10" a="1"/>
  <c r="MV1551" i="10" s="1"/>
  <c r="MU1551" i="10" a="1"/>
  <c r="MU1551" i="10" s="1"/>
  <c r="MT1551" i="10" a="1"/>
  <c r="MT1551" i="10" s="1"/>
  <c r="MS1551" i="10" a="1"/>
  <c r="MS1551" i="10" s="1"/>
  <c r="MR1551" i="10" a="1"/>
  <c r="MR1551" i="10" s="1"/>
  <c r="MQ1551" i="10" a="1"/>
  <c r="MQ1551" i="10" s="1"/>
  <c r="MP1551" i="10" a="1"/>
  <c r="MP1551" i="10" s="1"/>
  <c r="MO1551" i="10" a="1"/>
  <c r="MO1551" i="10" s="1"/>
  <c r="MN1551" i="10" a="1"/>
  <c r="MN1551" i="10" s="1"/>
  <c r="MM1551" i="10" a="1"/>
  <c r="MM1551" i="10" s="1"/>
  <c r="ML1551" i="10" a="1"/>
  <c r="ML1551" i="10" s="1"/>
  <c r="MK1551" i="10" a="1"/>
  <c r="MK1551" i="10" s="1"/>
  <c r="MJ1551" i="10" a="1"/>
  <c r="MJ1551" i="10" s="1"/>
  <c r="MI1551" i="10" a="1"/>
  <c r="MI1551" i="10" s="1"/>
  <c r="MH1551" i="10" a="1"/>
  <c r="MH1551" i="10" s="1"/>
  <c r="MG1551" i="10" a="1"/>
  <c r="MG1551" i="10" s="1"/>
  <c r="MF1551" i="10" a="1"/>
  <c r="MF1551" i="10" s="1"/>
  <c r="ME1551" i="10" a="1"/>
  <c r="ME1551" i="10" s="1"/>
  <c r="MD1551" i="10" a="1"/>
  <c r="MD1551" i="10" s="1"/>
  <c r="MC1551" i="10" a="1"/>
  <c r="MC1551" i="10" s="1"/>
  <c r="MB1551" i="10" a="1"/>
  <c r="MB1551" i="10" s="1"/>
  <c r="MA1551" i="10" a="1"/>
  <c r="MA1551" i="10" s="1"/>
  <c r="LZ1551" i="10" a="1"/>
  <c r="LZ1551" i="10" s="1"/>
  <c r="LY1551" i="10" a="1"/>
  <c r="LY1551" i="10" s="1"/>
  <c r="LX1551" i="10" a="1"/>
  <c r="LX1551" i="10" s="1"/>
  <c r="LW1551" i="10" a="1"/>
  <c r="LW1551" i="10" s="1"/>
  <c r="LV1551" i="10" a="1"/>
  <c r="LV1551" i="10" s="1"/>
  <c r="LU1551" i="10" a="1"/>
  <c r="LU1551" i="10" s="1"/>
  <c r="LT1551" i="10" a="1"/>
  <c r="LT1551" i="10" s="1"/>
  <c r="LS1551" i="10" a="1"/>
  <c r="LS1551" i="10" s="1"/>
  <c r="LR1551" i="10" a="1"/>
  <c r="LR1551" i="10" s="1"/>
  <c r="LQ1551" i="10" a="1"/>
  <c r="LQ1551" i="10" s="1"/>
  <c r="LP1551" i="10" a="1"/>
  <c r="LP1551" i="10" s="1"/>
  <c r="LO1551" i="10" a="1"/>
  <c r="LO1551" i="10" s="1"/>
  <c r="LN1551" i="10" a="1"/>
  <c r="LN1551" i="10" s="1"/>
  <c r="LM1551" i="10" a="1"/>
  <c r="LM1551" i="10" s="1"/>
  <c r="LL1551" i="10" a="1"/>
  <c r="LL1551" i="10" s="1"/>
  <c r="LK1551" i="10" a="1"/>
  <c r="LK1551" i="10" s="1"/>
  <c r="LJ1551" i="10" a="1"/>
  <c r="LJ1551" i="10" s="1"/>
  <c r="LI1551" i="10" a="1"/>
  <c r="LI1551" i="10" s="1"/>
  <c r="LH1551" i="10" a="1"/>
  <c r="LH1551" i="10" s="1"/>
  <c r="LG1551" i="10" a="1"/>
  <c r="LG1551" i="10" s="1"/>
  <c r="LF1551" i="10" a="1"/>
  <c r="LF1551" i="10" s="1"/>
  <c r="LE1551" i="10" a="1"/>
  <c r="LE1551" i="10" s="1"/>
  <c r="LD1551" i="10" a="1"/>
  <c r="LD1551" i="10" s="1"/>
  <c r="LC1551" i="10" a="1"/>
  <c r="LC1551" i="10" s="1"/>
  <c r="LB1551" i="10" a="1"/>
  <c r="LB1551" i="10" s="1"/>
  <c r="LA1551" i="10" a="1"/>
  <c r="LA1551" i="10" s="1"/>
  <c r="KZ1551" i="10" a="1"/>
  <c r="KZ1551" i="10" s="1"/>
  <c r="KY1551" i="10" a="1"/>
  <c r="KY1551" i="10" s="1"/>
  <c r="KX1551" i="10" a="1"/>
  <c r="KX1551" i="10" s="1"/>
  <c r="KW1551" i="10" a="1"/>
  <c r="KW1551" i="10" s="1"/>
  <c r="KV1551" i="10" a="1"/>
  <c r="KV1551" i="10" s="1"/>
  <c r="KU1551" i="10" a="1"/>
  <c r="KU1551" i="10" s="1"/>
  <c r="KT1551" i="10" a="1"/>
  <c r="KT1551" i="10" s="1"/>
  <c r="KS1551" i="10" a="1"/>
  <c r="KS1551" i="10" s="1"/>
  <c r="KR1551" i="10" a="1"/>
  <c r="KR1551" i="10" s="1"/>
  <c r="KQ1551" i="10" a="1"/>
  <c r="KQ1551" i="10" s="1"/>
  <c r="KP1551" i="10" a="1"/>
  <c r="KP1551" i="10" s="1"/>
  <c r="KO1551" i="10" a="1"/>
  <c r="KO1551" i="10" s="1"/>
  <c r="KN1551" i="10" a="1"/>
  <c r="KN1551" i="10" s="1"/>
  <c r="KM1551" i="10" a="1"/>
  <c r="KM1551" i="10" s="1"/>
  <c r="KL1551" i="10" a="1"/>
  <c r="KL1551" i="10" s="1"/>
  <c r="KK1551" i="10" a="1"/>
  <c r="KK1551" i="10" s="1"/>
  <c r="KJ1551" i="10" a="1"/>
  <c r="KJ1551" i="10" s="1"/>
  <c r="KI1551" i="10" a="1"/>
  <c r="KI1551" i="10" s="1"/>
  <c r="KH1551" i="10" a="1"/>
  <c r="KH1551" i="10" s="1"/>
  <c r="KG1551" i="10" a="1"/>
  <c r="KG1551" i="10" s="1"/>
  <c r="KF1551" i="10" a="1"/>
  <c r="KF1551" i="10" s="1"/>
  <c r="KE1551" i="10" a="1"/>
  <c r="KE1551" i="10" s="1"/>
  <c r="KD1551" i="10" a="1"/>
  <c r="KD1551" i="10" s="1"/>
  <c r="KC1551" i="10" a="1"/>
  <c r="KC1551" i="10" s="1"/>
  <c r="KB1551" i="10" a="1"/>
  <c r="KB1551" i="10" s="1"/>
  <c r="KA1551" i="10" a="1"/>
  <c r="KA1551" i="10" s="1"/>
  <c r="JZ1551" i="10" a="1"/>
  <c r="JZ1551" i="10" s="1"/>
  <c r="JY1551" i="10" a="1"/>
  <c r="JY1551" i="10" s="1"/>
  <c r="JX1551" i="10" a="1"/>
  <c r="JX1551" i="10" s="1"/>
  <c r="JW1551" i="10" a="1"/>
  <c r="JW1551" i="10" s="1"/>
  <c r="JV1551" i="10" a="1"/>
  <c r="JV1551" i="10" s="1"/>
  <c r="JU1551" i="10" a="1"/>
  <c r="JU1551" i="10" s="1"/>
  <c r="JT1551" i="10" a="1"/>
  <c r="JT1551" i="10" s="1"/>
  <c r="JS1551" i="10" a="1"/>
  <c r="JS1551" i="10" s="1"/>
  <c r="JR1551" i="10" a="1"/>
  <c r="JR1551" i="10" s="1"/>
  <c r="JQ1551" i="10" a="1"/>
  <c r="JQ1551" i="10" s="1"/>
  <c r="JP1551" i="10" a="1"/>
  <c r="JP1551" i="10" s="1"/>
  <c r="JO1551" i="10" a="1"/>
  <c r="JO1551" i="10" s="1"/>
  <c r="JN1551" i="10" a="1"/>
  <c r="JN1551" i="10" s="1"/>
  <c r="JM1551" i="10" a="1"/>
  <c r="JM1551" i="10" s="1"/>
  <c r="JL1551" i="10" a="1"/>
  <c r="JL1551" i="10" s="1"/>
  <c r="JK1551" i="10" a="1"/>
  <c r="JK1551" i="10" s="1"/>
  <c r="JJ1551" i="10" a="1"/>
  <c r="JJ1551" i="10" s="1"/>
  <c r="JI1551" i="10" a="1"/>
  <c r="JI1551" i="10" s="1"/>
  <c r="JH1551" i="10" a="1"/>
  <c r="JH1551" i="10" s="1"/>
  <c r="JG1551" i="10" a="1"/>
  <c r="JG1551" i="10" s="1"/>
  <c r="JF1551" i="10" a="1"/>
  <c r="JF1551" i="10" s="1"/>
  <c r="JE1551" i="10" a="1"/>
  <c r="JE1551" i="10" s="1"/>
  <c r="JD1551" i="10" a="1"/>
  <c r="JD1551" i="10" s="1"/>
  <c r="JC1551" i="10" a="1"/>
  <c r="JC1551" i="10" s="1"/>
  <c r="JB1551" i="10" a="1"/>
  <c r="JB1551" i="10" s="1"/>
  <c r="JA1551" i="10" a="1"/>
  <c r="JA1551" i="10" s="1"/>
  <c r="IZ1551" i="10" a="1"/>
  <c r="IZ1551" i="10" s="1"/>
  <c r="IY1551" i="10" a="1"/>
  <c r="IY1551" i="10" s="1"/>
  <c r="IX1551" i="10" a="1"/>
  <c r="IX1551" i="10" s="1"/>
  <c r="IW1551" i="10" a="1"/>
  <c r="IW1551" i="10" s="1"/>
  <c r="IV1551" i="10" a="1"/>
  <c r="IV1551" i="10" s="1"/>
  <c r="IU1551" i="10" a="1"/>
  <c r="IU1551" i="10" s="1"/>
  <c r="IT1551" i="10" a="1"/>
  <c r="IT1551" i="10" s="1"/>
  <c r="IS1551" i="10" a="1"/>
  <c r="IS1551" i="10" s="1"/>
  <c r="IR1551" i="10" a="1"/>
  <c r="IR1551" i="10" s="1"/>
  <c r="IQ1551" i="10" a="1"/>
  <c r="IQ1551" i="10" s="1"/>
  <c r="IP1551" i="10" a="1"/>
  <c r="IP1551" i="10" s="1"/>
  <c r="IO1551" i="10" a="1"/>
  <c r="IO1551" i="10" s="1"/>
  <c r="IN1551" i="10" a="1"/>
  <c r="IN1551" i="10" s="1"/>
  <c r="IM1551" i="10" a="1"/>
  <c r="IM1551" i="10" s="1"/>
  <c r="IL1551" i="10" a="1"/>
  <c r="IL1551" i="10" s="1"/>
  <c r="IK1551" i="10" a="1"/>
  <c r="IK1551" i="10" s="1"/>
  <c r="IJ1551" i="10" a="1"/>
  <c r="IJ1551" i="10" s="1"/>
  <c r="II1551" i="10" a="1"/>
  <c r="II1551" i="10" s="1"/>
  <c r="IH1551" i="10" a="1"/>
  <c r="IH1551" i="10" s="1"/>
  <c r="IG1551" i="10" a="1"/>
  <c r="IG1551" i="10" s="1"/>
  <c r="IF1551" i="10" a="1"/>
  <c r="IF1551" i="10" s="1"/>
  <c r="IE1551" i="10" a="1"/>
  <c r="IE1551" i="10" s="1"/>
  <c r="ID1551" i="10" a="1"/>
  <c r="ID1551" i="10" s="1"/>
  <c r="IC1551" i="10" a="1"/>
  <c r="IC1551" i="10" s="1"/>
  <c r="IB1551" i="10" a="1"/>
  <c r="IB1551" i="10" s="1"/>
  <c r="IA1551" i="10" a="1"/>
  <c r="IA1551" i="10" s="1"/>
  <c r="HZ1551" i="10" a="1"/>
  <c r="HZ1551" i="10" s="1"/>
  <c r="HY1551" i="10" a="1"/>
  <c r="HY1551" i="10" s="1"/>
  <c r="HX1551" i="10" a="1"/>
  <c r="HX1551" i="10" s="1"/>
  <c r="HW1551" i="10" a="1"/>
  <c r="HW1551" i="10" s="1"/>
  <c r="HV1551" i="10" a="1"/>
  <c r="HV1551" i="10" s="1"/>
  <c r="HU1551" i="10" a="1"/>
  <c r="HU1551" i="10" s="1"/>
  <c r="HT1551" i="10" a="1"/>
  <c r="HT1551" i="10" s="1"/>
  <c r="HS1551" i="10" a="1"/>
  <c r="HS1551" i="10" s="1"/>
  <c r="HR1551" i="10" a="1"/>
  <c r="HR1551" i="10" s="1"/>
  <c r="HQ1551" i="10" a="1"/>
  <c r="HQ1551" i="10" s="1"/>
  <c r="HP1551" i="10" a="1"/>
  <c r="HP1551" i="10" s="1"/>
  <c r="HO1551" i="10" a="1"/>
  <c r="HO1551" i="10" s="1"/>
  <c r="HN1551" i="10" a="1"/>
  <c r="HN1551" i="10" s="1"/>
  <c r="HM1551" i="10" a="1"/>
  <c r="HM1551" i="10" s="1"/>
  <c r="HL1551" i="10" a="1"/>
  <c r="HL1551" i="10" s="1"/>
  <c r="HK1551" i="10" a="1"/>
  <c r="HK1551" i="10" s="1"/>
  <c r="HJ1551" i="10" a="1"/>
  <c r="HJ1551" i="10" s="1"/>
  <c r="HI1551" i="10" a="1"/>
  <c r="HI1551" i="10" s="1"/>
  <c r="HH1551" i="10" a="1"/>
  <c r="HH1551" i="10" s="1"/>
  <c r="HG1551" i="10" a="1"/>
  <c r="HG1551" i="10" s="1"/>
  <c r="HF1551" i="10" a="1"/>
  <c r="HF1551" i="10" s="1"/>
  <c r="HE1551" i="10" a="1"/>
  <c r="HE1551" i="10" s="1"/>
  <c r="HD1551" i="10" a="1"/>
  <c r="HD1551" i="10" s="1"/>
  <c r="HC1551" i="10" a="1"/>
  <c r="HC1551" i="10" s="1"/>
  <c r="HB1551" i="10" a="1"/>
  <c r="HB1551" i="10" s="1"/>
  <c r="HA1551" i="10" a="1"/>
  <c r="HA1551" i="10" s="1"/>
  <c r="GZ1551" i="10" a="1"/>
  <c r="GZ1551" i="10" s="1"/>
  <c r="GY1551" i="10" a="1"/>
  <c r="GY1551" i="10" s="1"/>
  <c r="GX1551" i="10" a="1"/>
  <c r="GX1551" i="10" s="1"/>
  <c r="GW1551" i="10" a="1"/>
  <c r="GW1551" i="10" s="1"/>
  <c r="GV1551" i="10" a="1"/>
  <c r="GV1551" i="10" s="1"/>
  <c r="GU1551" i="10" a="1"/>
  <c r="GU1551" i="10" s="1"/>
  <c r="GT1551" i="10" a="1"/>
  <c r="GT1551" i="10" s="1"/>
  <c r="GS1551" i="10" a="1"/>
  <c r="GS1551" i="10" s="1"/>
  <c r="GR1551" i="10" a="1"/>
  <c r="GR1551" i="10" s="1"/>
  <c r="GQ1551" i="10" a="1"/>
  <c r="GQ1551" i="10" s="1"/>
  <c r="GP1551" i="10" a="1"/>
  <c r="GP1551" i="10" s="1"/>
  <c r="GO1551" i="10" a="1"/>
  <c r="GO1551" i="10" s="1"/>
  <c r="GN1551" i="10" a="1"/>
  <c r="GN1551" i="10" s="1"/>
  <c r="GM1551" i="10" a="1"/>
  <c r="GM1551" i="10" s="1"/>
  <c r="GL1551" i="10" a="1"/>
  <c r="GL1551" i="10" s="1"/>
  <c r="GK1551" i="10" a="1"/>
  <c r="GK1551" i="10" s="1"/>
  <c r="GJ1551" i="10" a="1"/>
  <c r="GJ1551" i="10" s="1"/>
  <c r="GI1551" i="10" a="1"/>
  <c r="GI1551" i="10" s="1"/>
  <c r="GH1551" i="10" a="1"/>
  <c r="GH1551" i="10" s="1"/>
  <c r="GG1551" i="10" a="1"/>
  <c r="GG1551" i="10" s="1"/>
  <c r="GF1551" i="10" a="1"/>
  <c r="GF1551" i="10" s="1"/>
  <c r="GE1551" i="10" a="1"/>
  <c r="GE1551" i="10" s="1"/>
  <c r="GD1551" i="10" a="1"/>
  <c r="GD1551" i="10" s="1"/>
  <c r="GC1551" i="10" a="1"/>
  <c r="GC1551" i="10" s="1"/>
  <c r="GB1551" i="10" a="1"/>
  <c r="GB1551" i="10" s="1"/>
  <c r="GA1551" i="10" a="1"/>
  <c r="GA1551" i="10" s="1"/>
  <c r="FZ1551" i="10" a="1"/>
  <c r="FZ1551" i="10" s="1"/>
  <c r="FY1551" i="10" a="1"/>
  <c r="FY1551" i="10" s="1"/>
  <c r="FX1551" i="10" a="1"/>
  <c r="FX1551" i="10" s="1"/>
  <c r="FW1551" i="10" a="1"/>
  <c r="FW1551" i="10" s="1"/>
  <c r="FV1551" i="10" a="1"/>
  <c r="FV1551" i="10" s="1"/>
  <c r="FU1551" i="10" a="1"/>
  <c r="FU1551" i="10" s="1"/>
  <c r="FT1551" i="10" a="1"/>
  <c r="FT1551" i="10" s="1"/>
  <c r="FS1551" i="10" a="1"/>
  <c r="FS1551" i="10" s="1"/>
  <c r="FR1551" i="10" a="1"/>
  <c r="FR1551" i="10" s="1"/>
  <c r="FQ1551" i="10" a="1"/>
  <c r="FQ1551" i="10" s="1"/>
  <c r="FP1551" i="10" a="1"/>
  <c r="FP1551" i="10" s="1"/>
  <c r="FO1551" i="10" a="1"/>
  <c r="FO1551" i="10" s="1"/>
  <c r="FN1551" i="10" a="1"/>
  <c r="FN1551" i="10" s="1"/>
  <c r="FM1551" i="10" a="1"/>
  <c r="FM1551" i="10" s="1"/>
  <c r="FL1551" i="10" a="1"/>
  <c r="FL1551" i="10" s="1"/>
  <c r="FK1551" i="10" a="1"/>
  <c r="FK1551" i="10" s="1"/>
  <c r="FJ1551" i="10" a="1"/>
  <c r="FJ1551" i="10" s="1"/>
  <c r="FI1551" i="10" a="1"/>
  <c r="FI1551" i="10" s="1"/>
  <c r="FH1551" i="10" a="1"/>
  <c r="FH1551" i="10" s="1"/>
  <c r="FG1551" i="10" a="1"/>
  <c r="FG1551" i="10" s="1"/>
  <c r="FF1551" i="10" a="1"/>
  <c r="FF1551" i="10" s="1"/>
  <c r="FE1551" i="10" a="1"/>
  <c r="FE1551" i="10" s="1"/>
  <c r="FD1551" i="10" a="1"/>
  <c r="FD1551" i="10" s="1"/>
  <c r="FC1551" i="10" a="1"/>
  <c r="FC1551" i="10" s="1"/>
  <c r="FB1551" i="10" a="1"/>
  <c r="FB1551" i="10" s="1"/>
  <c r="FA1551" i="10" a="1"/>
  <c r="FA1551" i="10" s="1"/>
  <c r="EZ1551" i="10" a="1"/>
  <c r="EZ1551" i="10" s="1"/>
  <c r="EY1551" i="10" a="1"/>
  <c r="EY1551" i="10" s="1"/>
  <c r="EX1551" i="10" a="1"/>
  <c r="EX1551" i="10" s="1"/>
  <c r="EW1551" i="10" a="1"/>
  <c r="EW1551" i="10" s="1"/>
  <c r="EV1551" i="10" a="1"/>
  <c r="EV1551" i="10" s="1"/>
  <c r="EU1551" i="10" a="1"/>
  <c r="EU1551" i="10" s="1"/>
  <c r="ET1551" i="10" a="1"/>
  <c r="ET1551" i="10" s="1"/>
  <c r="ES1551" i="10" a="1"/>
  <c r="ES1551" i="10" s="1"/>
  <c r="ER1551" i="10" a="1"/>
  <c r="ER1551" i="10" s="1"/>
  <c r="EQ1551" i="10" a="1"/>
  <c r="EQ1551" i="10" s="1"/>
  <c r="EP1551" i="10" a="1"/>
  <c r="EP1551" i="10" s="1"/>
  <c r="EO1551" i="10" a="1"/>
  <c r="EO1551" i="10" s="1"/>
  <c r="EN1551" i="10" a="1"/>
  <c r="EN1551" i="10" s="1"/>
  <c r="EM1551" i="10" a="1"/>
  <c r="EM1551" i="10" s="1"/>
  <c r="EL1551" i="10" a="1"/>
  <c r="EL1551" i="10" s="1"/>
  <c r="EK1551" i="10" a="1"/>
  <c r="EK1551" i="10" s="1"/>
  <c r="EJ1551" i="10" a="1"/>
  <c r="EJ1551" i="10" s="1"/>
  <c r="EI1551" i="10" a="1"/>
  <c r="EI1551" i="10" s="1"/>
  <c r="EH1551" i="10" a="1"/>
  <c r="EH1551" i="10" s="1"/>
  <c r="EG1551" i="10" a="1"/>
  <c r="EG1551" i="10" s="1"/>
  <c r="EF1551" i="10" a="1"/>
  <c r="EF1551" i="10" s="1"/>
  <c r="EE1551" i="10" a="1"/>
  <c r="EE1551" i="10" s="1"/>
  <c r="ED1551" i="10" a="1"/>
  <c r="ED1551" i="10" s="1"/>
  <c r="EC1551" i="10" a="1"/>
  <c r="EC1551" i="10" s="1"/>
  <c r="EB1551" i="10" a="1"/>
  <c r="EB1551" i="10" s="1"/>
  <c r="EA1551" i="10" a="1"/>
  <c r="EA1551" i="10" s="1"/>
  <c r="DZ1551" i="10" a="1"/>
  <c r="DZ1551" i="10" s="1"/>
  <c r="DY1551" i="10" a="1"/>
  <c r="DY1551" i="10" s="1"/>
  <c r="DX1551" i="10" a="1"/>
  <c r="DX1551" i="10" s="1"/>
  <c r="DW1551" i="10" a="1"/>
  <c r="DW1551" i="10" s="1"/>
  <c r="DV1551" i="10" a="1"/>
  <c r="DV1551" i="10" s="1"/>
  <c r="DU1551" i="10" a="1"/>
  <c r="DU1551" i="10" s="1"/>
  <c r="DT1551" i="10" a="1"/>
  <c r="DT1551" i="10" s="1"/>
  <c r="DS1551" i="10" a="1"/>
  <c r="DS1551" i="10" s="1"/>
  <c r="DR1551" i="10" a="1"/>
  <c r="DR1551" i="10" s="1"/>
  <c r="DQ1551" i="10" a="1"/>
  <c r="DQ1551" i="10" s="1"/>
  <c r="DP1551" i="10" a="1"/>
  <c r="DP1551" i="10" s="1"/>
  <c r="DO1551" i="10" a="1"/>
  <c r="DO1551" i="10" s="1"/>
  <c r="DN1551" i="10" a="1"/>
  <c r="DN1551" i="10" s="1"/>
  <c r="DM1551" i="10" a="1"/>
  <c r="DM1551" i="10" s="1"/>
  <c r="DL1551" i="10" a="1"/>
  <c r="DL1551" i="10" s="1"/>
  <c r="DK1551" i="10" a="1"/>
  <c r="DK1551" i="10" s="1"/>
  <c r="DJ1551" i="10" a="1"/>
  <c r="DJ1551" i="10" s="1"/>
  <c r="DI1551" i="10" a="1"/>
  <c r="DI1551" i="10" s="1"/>
  <c r="DH1551" i="10" a="1"/>
  <c r="DH1551" i="10" s="1"/>
  <c r="DG1551" i="10" a="1"/>
  <c r="DG1551" i="10" s="1"/>
  <c r="DF1551" i="10" a="1"/>
  <c r="DF1551" i="10" s="1"/>
  <c r="DE1551" i="10" a="1"/>
  <c r="DE1551" i="10" s="1"/>
  <c r="DD1551" i="10" a="1"/>
  <c r="DD1551" i="10" s="1"/>
  <c r="DC1551" i="10" a="1"/>
  <c r="DC1551" i="10" s="1"/>
  <c r="DB1551" i="10" a="1"/>
  <c r="DB1551" i="10" s="1"/>
  <c r="DA1551" i="10" a="1"/>
  <c r="DA1551" i="10" s="1"/>
  <c r="CZ1551" i="10" a="1"/>
  <c r="CZ1551" i="10" s="1"/>
  <c r="CY1551" i="10" a="1"/>
  <c r="CY1551" i="10" s="1"/>
  <c r="CX1551" i="10" a="1"/>
  <c r="CX1551" i="10" s="1"/>
  <c r="CW1551" i="10" a="1"/>
  <c r="CW1551" i="10" s="1"/>
  <c r="CV1551" i="10" a="1"/>
  <c r="CV1551" i="10" s="1"/>
  <c r="CU1551" i="10" a="1"/>
  <c r="CU1551" i="10" s="1"/>
  <c r="CT1551" i="10" a="1"/>
  <c r="CT1551" i="10" s="1"/>
  <c r="CS1551" i="10" a="1"/>
  <c r="CS1551" i="10" s="1"/>
  <c r="CR1551" i="10" a="1"/>
  <c r="CR1551" i="10" s="1"/>
  <c r="CQ1551" i="10" a="1"/>
  <c r="CQ1551" i="10" s="1"/>
  <c r="CP1551" i="10" a="1"/>
  <c r="CP1551" i="10" s="1"/>
  <c r="CO1551" i="10" a="1"/>
  <c r="CO1551" i="10" s="1"/>
  <c r="CN1551" i="10" a="1"/>
  <c r="CN1551" i="10" s="1"/>
  <c r="CM1551" i="10" a="1"/>
  <c r="CM1551" i="10" s="1"/>
  <c r="CL1551" i="10" a="1"/>
  <c r="CL1551" i="10" s="1"/>
  <c r="CK1551" i="10" a="1"/>
  <c r="CK1551" i="10" s="1"/>
  <c r="CJ1551" i="10" a="1"/>
  <c r="CJ1551" i="10" s="1"/>
  <c r="CI1551" i="10" a="1"/>
  <c r="CI1551" i="10" s="1"/>
  <c r="CH1551" i="10" a="1"/>
  <c r="CH1551" i="10" s="1"/>
  <c r="CG1551" i="10" a="1"/>
  <c r="CG1551" i="10" s="1"/>
  <c r="CF1551" i="10" a="1"/>
  <c r="CF1551" i="10" s="1"/>
  <c r="CE1551" i="10" a="1"/>
  <c r="CE1551" i="10" s="1"/>
  <c r="CD1551" i="10" a="1"/>
  <c r="CD1551" i="10" s="1"/>
  <c r="CC1551" i="10" a="1"/>
  <c r="CC1551" i="10" s="1"/>
  <c r="CB1551" i="10" a="1"/>
  <c r="CB1551" i="10" s="1"/>
  <c r="CA1551" i="10" a="1"/>
  <c r="CA1551" i="10" s="1"/>
  <c r="BZ1551" i="10" a="1"/>
  <c r="BZ1551" i="10" s="1"/>
  <c r="BY1551" i="10" a="1"/>
  <c r="BY1551" i="10" s="1"/>
  <c r="BX1551" i="10" a="1"/>
  <c r="BX1551" i="10" s="1"/>
  <c r="BW1551" i="10" a="1"/>
  <c r="BW1551" i="10" s="1"/>
  <c r="BV1551" i="10" a="1"/>
  <c r="BV1551" i="10" s="1"/>
  <c r="BU1551" i="10" a="1"/>
  <c r="BU1551" i="10" s="1"/>
  <c r="BT1551" i="10" a="1"/>
  <c r="BT1551" i="10" s="1"/>
  <c r="BS1551" i="10" a="1"/>
  <c r="BS1551" i="10" s="1"/>
  <c r="BR1551" i="10" a="1"/>
  <c r="BR1551" i="10" s="1"/>
  <c r="BQ1551" i="10" a="1"/>
  <c r="BQ1551" i="10" s="1"/>
  <c r="BP1551" i="10" a="1"/>
  <c r="BP1551" i="10" s="1"/>
  <c r="BO1551" i="10" a="1"/>
  <c r="BO1551" i="10" s="1"/>
  <c r="BN1551" i="10" a="1"/>
  <c r="BN1551" i="10" s="1"/>
  <c r="BM1551" i="10" a="1"/>
  <c r="BM1551" i="10" s="1"/>
  <c r="BL1551" i="10" a="1"/>
  <c r="BL1551" i="10" s="1"/>
  <c r="BK1551" i="10" a="1"/>
  <c r="BK1551" i="10" s="1"/>
  <c r="BJ1551" i="10" a="1"/>
  <c r="BJ1551" i="10" s="1"/>
  <c r="BI1551" i="10" a="1"/>
  <c r="BI1551" i="10" s="1"/>
  <c r="BH1551" i="10" a="1"/>
  <c r="BH1551" i="10" s="1"/>
  <c r="BG1551" i="10" a="1"/>
  <c r="BG1551" i="10" s="1"/>
  <c r="BF1551" i="10" a="1"/>
  <c r="BF1551" i="10" s="1"/>
  <c r="BE1551" i="10" a="1"/>
  <c r="BE1551" i="10" s="1"/>
  <c r="BD1551" i="10" a="1"/>
  <c r="BD1551" i="10" s="1"/>
  <c r="BC1551" i="10" a="1"/>
  <c r="BC1551" i="10" s="1"/>
  <c r="BB1551" i="10" a="1"/>
  <c r="BB1551" i="10" s="1"/>
  <c r="BA1551" i="10" a="1"/>
  <c r="BA1551" i="10" s="1"/>
  <c r="AZ1551" i="10" a="1"/>
  <c r="AZ1551" i="10" s="1"/>
  <c r="AY1551" i="10" a="1"/>
  <c r="AY1551" i="10" s="1"/>
  <c r="AX1551" i="10" a="1"/>
  <c r="AX1551" i="10" s="1"/>
  <c r="AW1551" i="10" a="1"/>
  <c r="AW1551" i="10" s="1"/>
  <c r="AV1551" i="10" a="1"/>
  <c r="AV1551" i="10" s="1"/>
  <c r="AU1551" i="10" a="1"/>
  <c r="AU1551" i="10" s="1"/>
  <c r="AT1551" i="10" a="1"/>
  <c r="AT1551" i="10" s="1"/>
  <c r="AS1551" i="10" a="1"/>
  <c r="AS1551" i="10" s="1"/>
  <c r="AR1551" i="10" a="1"/>
  <c r="AR1551" i="10" s="1"/>
  <c r="AQ1551" i="10" a="1"/>
  <c r="AQ1551" i="10" s="1"/>
  <c r="AP1551" i="10" a="1"/>
  <c r="AP1551" i="10" s="1"/>
  <c r="AO1551" i="10" a="1"/>
  <c r="AO1551" i="10" s="1"/>
  <c r="AN1551" i="10" a="1"/>
  <c r="AN1551" i="10" s="1"/>
  <c r="AM1551" i="10" a="1"/>
  <c r="AM1551" i="10" s="1"/>
  <c r="AL1551" i="10" a="1"/>
  <c r="AL1551" i="10" s="1"/>
  <c r="Q29" i="9" s="1"/>
  <c r="AK1551" i="10" a="1"/>
  <c r="AK1551" i="10" s="1"/>
  <c r="AJ1551" i="10" a="1"/>
  <c r="AJ1551" i="10" s="1"/>
  <c r="AI1551" i="10" a="1"/>
  <c r="AI1551" i="10" s="1"/>
  <c r="AH1551" i="10" a="1"/>
  <c r="AH1551" i="10" s="1"/>
  <c r="AG1551" i="10" a="1"/>
  <c r="AG1551" i="10" s="1"/>
  <c r="AF1551" i="10" a="1"/>
  <c r="AF1551" i="10" s="1"/>
  <c r="AE1551" i="10" a="1"/>
  <c r="AE1551" i="10" s="1"/>
  <c r="AD1551" i="10" a="1"/>
  <c r="AD1551" i="10" s="1"/>
  <c r="AC1551" i="10" a="1"/>
  <c r="AC1551" i="10" s="1"/>
  <c r="AB1551" i="10" a="1"/>
  <c r="AB1551" i="10" s="1"/>
  <c r="AA1551" i="10" a="1"/>
  <c r="AA1551" i="10" s="1"/>
  <c r="Z1551" i="10" a="1"/>
  <c r="Z1551" i="10" s="1"/>
  <c r="Y1551" i="10" a="1"/>
  <c r="Y1551" i="10" s="1"/>
  <c r="X1551" i="10" a="1"/>
  <c r="X1551" i="10" s="1"/>
  <c r="W1551" i="10" a="1"/>
  <c r="W1551" i="10" s="1"/>
  <c r="V1551" i="10" a="1"/>
  <c r="V1551" i="10" s="1"/>
  <c r="U1551" i="10" a="1"/>
  <c r="U1551" i="10" s="1"/>
  <c r="T1551" i="10" a="1"/>
  <c r="T1551" i="10" s="1"/>
  <c r="S1551" i="10" a="1"/>
  <c r="S1551" i="10" s="1"/>
  <c r="R1551" i="10" a="1"/>
  <c r="R1551" i="10" s="1"/>
  <c r="Q1551" i="10" a="1"/>
  <c r="Q1551" i="10" s="1"/>
  <c r="P1551" i="10" a="1"/>
  <c r="P1551" i="10" s="1"/>
  <c r="AGN1550" i="10" a="1"/>
  <c r="AGN1550" i="10" s="1"/>
  <c r="AGM1550" i="10" a="1"/>
  <c r="AGM1550" i="10" s="1"/>
  <c r="AGL1550" i="10" a="1"/>
  <c r="AGL1550" i="10" s="1"/>
  <c r="AGK1550" i="10" a="1"/>
  <c r="AGK1550" i="10" s="1"/>
  <c r="AGJ1550" i="10" a="1"/>
  <c r="AGJ1550" i="10" s="1"/>
  <c r="AGI1550" i="10" a="1"/>
  <c r="AGI1550" i="10" s="1"/>
  <c r="AGH1550" i="10" a="1"/>
  <c r="AGH1550" i="10" s="1"/>
  <c r="AGG1550" i="10" a="1"/>
  <c r="AGG1550" i="10" s="1"/>
  <c r="AGF1550" i="10" a="1"/>
  <c r="AGF1550" i="10" s="1"/>
  <c r="AGE1550" i="10" a="1"/>
  <c r="AGE1550" i="10" s="1"/>
  <c r="AGD1550" i="10" a="1"/>
  <c r="AGD1550" i="10" s="1"/>
  <c r="AGC1550" i="10" a="1"/>
  <c r="AGC1550" i="10" s="1"/>
  <c r="AGB1550" i="10" a="1"/>
  <c r="AGB1550" i="10" s="1"/>
  <c r="AGA1550" i="10" a="1"/>
  <c r="AGA1550" i="10" s="1"/>
  <c r="AFZ1550" i="10" a="1"/>
  <c r="AFZ1550" i="10" s="1"/>
  <c r="AFY1550" i="10" a="1"/>
  <c r="AFY1550" i="10" s="1"/>
  <c r="AFX1550" i="10" a="1"/>
  <c r="AFX1550" i="10" s="1"/>
  <c r="AFW1550" i="10" a="1"/>
  <c r="AFW1550" i="10" s="1"/>
  <c r="AFV1550" i="10" a="1"/>
  <c r="AFV1550" i="10" s="1"/>
  <c r="AFU1550" i="10" a="1"/>
  <c r="AFU1550" i="10" s="1"/>
  <c r="AFT1550" i="10" a="1"/>
  <c r="AFT1550" i="10" s="1"/>
  <c r="AFS1550" i="10" a="1"/>
  <c r="AFS1550" i="10" s="1"/>
  <c r="AFR1550" i="10" a="1"/>
  <c r="AFR1550" i="10" s="1"/>
  <c r="AFQ1550" i="10" a="1"/>
  <c r="AFQ1550" i="10" s="1"/>
  <c r="AFP1550" i="10" a="1"/>
  <c r="AFP1550" i="10" s="1"/>
  <c r="AFO1550" i="10" a="1"/>
  <c r="AFO1550" i="10" s="1"/>
  <c r="AFN1550" i="10" a="1"/>
  <c r="AFN1550" i="10" s="1"/>
  <c r="AFM1550" i="10" a="1"/>
  <c r="AFM1550" i="10" s="1"/>
  <c r="AFL1550" i="10" a="1"/>
  <c r="AFL1550" i="10" s="1"/>
  <c r="AFK1550" i="10" a="1"/>
  <c r="AFK1550" i="10" s="1"/>
  <c r="AFJ1550" i="10" a="1"/>
  <c r="AFJ1550" i="10" s="1"/>
  <c r="AFI1550" i="10" a="1"/>
  <c r="AFI1550" i="10" s="1"/>
  <c r="AFH1550" i="10" a="1"/>
  <c r="AFH1550" i="10" s="1"/>
  <c r="AFG1550" i="10" a="1"/>
  <c r="AFG1550" i="10" s="1"/>
  <c r="AFF1550" i="10" a="1"/>
  <c r="AFF1550" i="10" s="1"/>
  <c r="AFE1550" i="10" a="1"/>
  <c r="AFE1550" i="10" s="1"/>
  <c r="AFD1550" i="10" a="1"/>
  <c r="AFD1550" i="10" s="1"/>
  <c r="AFC1550" i="10" a="1"/>
  <c r="AFC1550" i="10" s="1"/>
  <c r="AFB1550" i="10" a="1"/>
  <c r="AFB1550" i="10" s="1"/>
  <c r="AFA1550" i="10" a="1"/>
  <c r="AFA1550" i="10" s="1"/>
  <c r="AEZ1550" i="10" a="1"/>
  <c r="AEZ1550" i="10" s="1"/>
  <c r="AEY1550" i="10" a="1"/>
  <c r="AEY1550" i="10" s="1"/>
  <c r="AEX1550" i="10" a="1"/>
  <c r="AEX1550" i="10" s="1"/>
  <c r="AEW1550" i="10" a="1"/>
  <c r="AEW1550" i="10" s="1"/>
  <c r="AEV1550" i="10" a="1"/>
  <c r="AEV1550" i="10" s="1"/>
  <c r="AEU1550" i="10" a="1"/>
  <c r="AEU1550" i="10" s="1"/>
  <c r="AET1550" i="10" a="1"/>
  <c r="AET1550" i="10" s="1"/>
  <c r="AES1550" i="10" a="1"/>
  <c r="AES1550" i="10" s="1"/>
  <c r="AER1550" i="10" a="1"/>
  <c r="AER1550" i="10" s="1"/>
  <c r="AEQ1550" i="10" a="1"/>
  <c r="AEQ1550" i="10" s="1"/>
  <c r="AEP1550" i="10" a="1"/>
  <c r="AEP1550" i="10" s="1"/>
  <c r="AEO1550" i="10" a="1"/>
  <c r="AEO1550" i="10" s="1"/>
  <c r="AEN1550" i="10" a="1"/>
  <c r="AEN1550" i="10" s="1"/>
  <c r="AEM1550" i="10" a="1"/>
  <c r="AEM1550" i="10" s="1"/>
  <c r="AEL1550" i="10" a="1"/>
  <c r="AEL1550" i="10" s="1"/>
  <c r="AEK1550" i="10" a="1"/>
  <c r="AEK1550" i="10" s="1"/>
  <c r="AEJ1550" i="10" a="1"/>
  <c r="AEJ1550" i="10" s="1"/>
  <c r="AEI1550" i="10" a="1"/>
  <c r="AEI1550" i="10" s="1"/>
  <c r="AEH1550" i="10" a="1"/>
  <c r="AEH1550" i="10" s="1"/>
  <c r="AEG1550" i="10" a="1"/>
  <c r="AEG1550" i="10" s="1"/>
  <c r="AEF1550" i="10" a="1"/>
  <c r="AEF1550" i="10" s="1"/>
  <c r="AEE1550" i="10" a="1"/>
  <c r="AEE1550" i="10" s="1"/>
  <c r="AED1550" i="10" a="1"/>
  <c r="AED1550" i="10" s="1"/>
  <c r="AEC1550" i="10" a="1"/>
  <c r="AEC1550" i="10" s="1"/>
  <c r="AEB1550" i="10" a="1"/>
  <c r="AEB1550" i="10" s="1"/>
  <c r="AEA1550" i="10" a="1"/>
  <c r="AEA1550" i="10" s="1"/>
  <c r="ADZ1550" i="10" a="1"/>
  <c r="ADZ1550" i="10" s="1"/>
  <c r="ADY1550" i="10" a="1"/>
  <c r="ADY1550" i="10" s="1"/>
  <c r="ADX1550" i="10" a="1"/>
  <c r="ADX1550" i="10" s="1"/>
  <c r="ADW1550" i="10" a="1"/>
  <c r="ADW1550" i="10" s="1"/>
  <c r="ADV1550" i="10" a="1"/>
  <c r="ADV1550" i="10" s="1"/>
  <c r="ADU1550" i="10" a="1"/>
  <c r="ADU1550" i="10" s="1"/>
  <c r="ADT1550" i="10" a="1"/>
  <c r="ADT1550" i="10" s="1"/>
  <c r="ADS1550" i="10" a="1"/>
  <c r="ADS1550" i="10" s="1"/>
  <c r="ADR1550" i="10" a="1"/>
  <c r="ADR1550" i="10" s="1"/>
  <c r="ADQ1550" i="10" a="1"/>
  <c r="ADQ1550" i="10" s="1"/>
  <c r="ADP1550" i="10" a="1"/>
  <c r="ADP1550" i="10" s="1"/>
  <c r="ADO1550" i="10" a="1"/>
  <c r="ADO1550" i="10" s="1"/>
  <c r="ADN1550" i="10" a="1"/>
  <c r="ADN1550" i="10" s="1"/>
  <c r="ADM1550" i="10" a="1"/>
  <c r="ADM1550" i="10" s="1"/>
  <c r="ADL1550" i="10" a="1"/>
  <c r="ADL1550" i="10" s="1"/>
  <c r="ADK1550" i="10" a="1"/>
  <c r="ADK1550" i="10" s="1"/>
  <c r="ADJ1550" i="10" a="1"/>
  <c r="ADJ1550" i="10" s="1"/>
  <c r="ADI1550" i="10" a="1"/>
  <c r="ADI1550" i="10" s="1"/>
  <c r="ADH1550" i="10" a="1"/>
  <c r="ADH1550" i="10" s="1"/>
  <c r="ADG1550" i="10" a="1"/>
  <c r="ADG1550" i="10" s="1"/>
  <c r="ADF1550" i="10" a="1"/>
  <c r="ADF1550" i="10" s="1"/>
  <c r="ADE1550" i="10" a="1"/>
  <c r="ADE1550" i="10" s="1"/>
  <c r="ADD1550" i="10" a="1"/>
  <c r="ADD1550" i="10" s="1"/>
  <c r="ADC1550" i="10" a="1"/>
  <c r="ADC1550" i="10" s="1"/>
  <c r="ADB1550" i="10" a="1"/>
  <c r="ADB1550" i="10" s="1"/>
  <c r="ADA1550" i="10" a="1"/>
  <c r="ADA1550" i="10" s="1"/>
  <c r="ACZ1550" i="10" a="1"/>
  <c r="ACZ1550" i="10" s="1"/>
  <c r="ACY1550" i="10" a="1"/>
  <c r="ACY1550" i="10" s="1"/>
  <c r="ACX1550" i="10" a="1"/>
  <c r="ACX1550" i="10" s="1"/>
  <c r="ACW1550" i="10" a="1"/>
  <c r="ACW1550" i="10" s="1"/>
  <c r="ACV1550" i="10" a="1"/>
  <c r="ACV1550" i="10" s="1"/>
  <c r="ACU1550" i="10" a="1"/>
  <c r="ACU1550" i="10" s="1"/>
  <c r="ACT1550" i="10" a="1"/>
  <c r="ACT1550" i="10" s="1"/>
  <c r="ACS1550" i="10" a="1"/>
  <c r="ACS1550" i="10" s="1"/>
  <c r="ACR1550" i="10" a="1"/>
  <c r="ACR1550" i="10" s="1"/>
  <c r="ACQ1550" i="10" a="1"/>
  <c r="ACQ1550" i="10" s="1"/>
  <c r="ACP1550" i="10" a="1"/>
  <c r="ACP1550" i="10" s="1"/>
  <c r="ACO1550" i="10" a="1"/>
  <c r="ACO1550" i="10" s="1"/>
  <c r="ACN1550" i="10" a="1"/>
  <c r="ACN1550" i="10" s="1"/>
  <c r="ACM1550" i="10" a="1"/>
  <c r="ACM1550" i="10" s="1"/>
  <c r="ACL1550" i="10" a="1"/>
  <c r="ACL1550" i="10" s="1"/>
  <c r="ACK1550" i="10" a="1"/>
  <c r="ACK1550" i="10" s="1"/>
  <c r="ACJ1550" i="10" a="1"/>
  <c r="ACJ1550" i="10" s="1"/>
  <c r="ACI1550" i="10" a="1"/>
  <c r="ACI1550" i="10" s="1"/>
  <c r="ACH1550" i="10" a="1"/>
  <c r="ACH1550" i="10" s="1"/>
  <c r="ACG1550" i="10" a="1"/>
  <c r="ACG1550" i="10" s="1"/>
  <c r="ACF1550" i="10" a="1"/>
  <c r="ACF1550" i="10" s="1"/>
  <c r="ACE1550" i="10" a="1"/>
  <c r="ACE1550" i="10" s="1"/>
  <c r="ACD1550" i="10" a="1"/>
  <c r="ACD1550" i="10" s="1"/>
  <c r="ACC1550" i="10" a="1"/>
  <c r="ACC1550" i="10" s="1"/>
  <c r="ACB1550" i="10" a="1"/>
  <c r="ACB1550" i="10" s="1"/>
  <c r="ACA1550" i="10" a="1"/>
  <c r="ACA1550" i="10" s="1"/>
  <c r="ABZ1550" i="10" a="1"/>
  <c r="ABZ1550" i="10" s="1"/>
  <c r="ABY1550" i="10" a="1"/>
  <c r="ABY1550" i="10" s="1"/>
  <c r="ABX1550" i="10" a="1"/>
  <c r="ABX1550" i="10" s="1"/>
  <c r="ABW1550" i="10" a="1"/>
  <c r="ABW1550" i="10" s="1"/>
  <c r="ABV1550" i="10" a="1"/>
  <c r="ABV1550" i="10" s="1"/>
  <c r="ABU1550" i="10" a="1"/>
  <c r="ABU1550" i="10" s="1"/>
  <c r="ABT1550" i="10" a="1"/>
  <c r="ABT1550" i="10" s="1"/>
  <c r="ABS1550" i="10" a="1"/>
  <c r="ABS1550" i="10" s="1"/>
  <c r="ABR1550" i="10" a="1"/>
  <c r="ABR1550" i="10" s="1"/>
  <c r="ABQ1550" i="10" a="1"/>
  <c r="ABQ1550" i="10" s="1"/>
  <c r="ABP1550" i="10" a="1"/>
  <c r="ABP1550" i="10" s="1"/>
  <c r="ABO1550" i="10" a="1"/>
  <c r="ABO1550" i="10" s="1"/>
  <c r="ABN1550" i="10" a="1"/>
  <c r="ABN1550" i="10" s="1"/>
  <c r="ABM1550" i="10" a="1"/>
  <c r="ABM1550" i="10" s="1"/>
  <c r="ABL1550" i="10" a="1"/>
  <c r="ABL1550" i="10" s="1"/>
  <c r="ABK1550" i="10" a="1"/>
  <c r="ABK1550" i="10" s="1"/>
  <c r="ABJ1550" i="10" a="1"/>
  <c r="ABJ1550" i="10" s="1"/>
  <c r="ABI1550" i="10" a="1"/>
  <c r="ABI1550" i="10" s="1"/>
  <c r="ABH1550" i="10" a="1"/>
  <c r="ABH1550" i="10" s="1"/>
  <c r="ABG1550" i="10" a="1"/>
  <c r="ABG1550" i="10" s="1"/>
  <c r="ABF1550" i="10" a="1"/>
  <c r="ABF1550" i="10" s="1"/>
  <c r="ABE1550" i="10" a="1"/>
  <c r="ABE1550" i="10" s="1"/>
  <c r="ABD1550" i="10" a="1"/>
  <c r="ABD1550" i="10" s="1"/>
  <c r="ABC1550" i="10" a="1"/>
  <c r="ABC1550" i="10" s="1"/>
  <c r="ABB1550" i="10" a="1"/>
  <c r="ABB1550" i="10" s="1"/>
  <c r="ABA1550" i="10" a="1"/>
  <c r="ABA1550" i="10" s="1"/>
  <c r="AAZ1550" i="10" a="1"/>
  <c r="AAZ1550" i="10" s="1"/>
  <c r="AAY1550" i="10" a="1"/>
  <c r="AAY1550" i="10" s="1"/>
  <c r="AAX1550" i="10" a="1"/>
  <c r="AAX1550" i="10" s="1"/>
  <c r="AAW1550" i="10" a="1"/>
  <c r="AAW1550" i="10" s="1"/>
  <c r="AAV1550" i="10" a="1"/>
  <c r="AAV1550" i="10" s="1"/>
  <c r="AAU1550" i="10" a="1"/>
  <c r="AAU1550" i="10" s="1"/>
  <c r="AAT1550" i="10" a="1"/>
  <c r="AAT1550" i="10" s="1"/>
  <c r="AAS1550" i="10" a="1"/>
  <c r="AAS1550" i="10" s="1"/>
  <c r="AAR1550" i="10" a="1"/>
  <c r="AAR1550" i="10" s="1"/>
  <c r="AAQ1550" i="10" a="1"/>
  <c r="AAQ1550" i="10" s="1"/>
  <c r="AAP1550" i="10" a="1"/>
  <c r="AAP1550" i="10" s="1"/>
  <c r="AAO1550" i="10" a="1"/>
  <c r="AAO1550" i="10" s="1"/>
  <c r="AAN1550" i="10" a="1"/>
  <c r="AAN1550" i="10" s="1"/>
  <c r="AAM1550" i="10" a="1"/>
  <c r="AAM1550" i="10" s="1"/>
  <c r="AAL1550" i="10" a="1"/>
  <c r="AAL1550" i="10" s="1"/>
  <c r="AAK1550" i="10" a="1"/>
  <c r="AAK1550" i="10" s="1"/>
  <c r="AAJ1550" i="10" a="1"/>
  <c r="AAJ1550" i="10" s="1"/>
  <c r="AAI1550" i="10" a="1"/>
  <c r="AAI1550" i="10" s="1"/>
  <c r="AAH1550" i="10" a="1"/>
  <c r="AAH1550" i="10" s="1"/>
  <c r="AAG1550" i="10" a="1"/>
  <c r="AAG1550" i="10" s="1"/>
  <c r="AAF1550" i="10" a="1"/>
  <c r="AAF1550" i="10" s="1"/>
  <c r="AAE1550" i="10" a="1"/>
  <c r="AAE1550" i="10" s="1"/>
  <c r="AAD1550" i="10" a="1"/>
  <c r="AAD1550" i="10" s="1"/>
  <c r="AAC1550" i="10" a="1"/>
  <c r="AAC1550" i="10" s="1"/>
  <c r="AAB1550" i="10" a="1"/>
  <c r="AAB1550" i="10" s="1"/>
  <c r="AAA1550" i="10" a="1"/>
  <c r="AAA1550" i="10" s="1"/>
  <c r="ZZ1550" i="10" a="1"/>
  <c r="ZZ1550" i="10" s="1"/>
  <c r="ZY1550" i="10" a="1"/>
  <c r="ZY1550" i="10" s="1"/>
  <c r="ZX1550" i="10" a="1"/>
  <c r="ZX1550" i="10" s="1"/>
  <c r="ZW1550" i="10" a="1"/>
  <c r="ZW1550" i="10" s="1"/>
  <c r="ZV1550" i="10" a="1"/>
  <c r="ZV1550" i="10" s="1"/>
  <c r="ZU1550" i="10" a="1"/>
  <c r="ZU1550" i="10" s="1"/>
  <c r="ZT1550" i="10" a="1"/>
  <c r="ZT1550" i="10" s="1"/>
  <c r="ZS1550" i="10" a="1"/>
  <c r="ZS1550" i="10" s="1"/>
  <c r="ZR1550" i="10" a="1"/>
  <c r="ZR1550" i="10" s="1"/>
  <c r="ZQ1550" i="10" a="1"/>
  <c r="ZQ1550" i="10" s="1"/>
  <c r="ZP1550" i="10" a="1"/>
  <c r="ZP1550" i="10" s="1"/>
  <c r="ZO1550" i="10" a="1"/>
  <c r="ZO1550" i="10" s="1"/>
  <c r="ZN1550" i="10" a="1"/>
  <c r="ZN1550" i="10" s="1"/>
  <c r="ZM1550" i="10" a="1"/>
  <c r="ZM1550" i="10" s="1"/>
  <c r="ZL1550" i="10" a="1"/>
  <c r="ZL1550" i="10" s="1"/>
  <c r="ZK1550" i="10" a="1"/>
  <c r="ZK1550" i="10" s="1"/>
  <c r="ZJ1550" i="10" a="1"/>
  <c r="ZJ1550" i="10" s="1"/>
  <c r="ZI1550" i="10" a="1"/>
  <c r="ZI1550" i="10" s="1"/>
  <c r="ZH1550" i="10" a="1"/>
  <c r="ZH1550" i="10" s="1"/>
  <c r="ZG1550" i="10" a="1"/>
  <c r="ZG1550" i="10" s="1"/>
  <c r="ZF1550" i="10" a="1"/>
  <c r="ZF1550" i="10" s="1"/>
  <c r="ZE1550" i="10" a="1"/>
  <c r="ZE1550" i="10" s="1"/>
  <c r="ZD1550" i="10" a="1"/>
  <c r="ZD1550" i="10" s="1"/>
  <c r="ZC1550" i="10" a="1"/>
  <c r="ZC1550" i="10" s="1"/>
  <c r="ZB1550" i="10" a="1"/>
  <c r="ZB1550" i="10" s="1"/>
  <c r="ZA1550" i="10" a="1"/>
  <c r="ZA1550" i="10" s="1"/>
  <c r="YZ1550" i="10" a="1"/>
  <c r="YZ1550" i="10" s="1"/>
  <c r="YY1550" i="10" a="1"/>
  <c r="YY1550" i="10" s="1"/>
  <c r="YX1550" i="10" a="1"/>
  <c r="YX1550" i="10" s="1"/>
  <c r="YW1550" i="10" a="1"/>
  <c r="YW1550" i="10" s="1"/>
  <c r="YV1550" i="10" a="1"/>
  <c r="YV1550" i="10" s="1"/>
  <c r="YU1550" i="10" a="1"/>
  <c r="YU1550" i="10" s="1"/>
  <c r="YT1550" i="10" a="1"/>
  <c r="YT1550" i="10" s="1"/>
  <c r="YS1550" i="10" a="1"/>
  <c r="YS1550" i="10" s="1"/>
  <c r="YR1550" i="10" a="1"/>
  <c r="YR1550" i="10" s="1"/>
  <c r="YQ1550" i="10" a="1"/>
  <c r="YQ1550" i="10" s="1"/>
  <c r="YP1550" i="10" a="1"/>
  <c r="YP1550" i="10" s="1"/>
  <c r="YO1550" i="10" a="1"/>
  <c r="YO1550" i="10" s="1"/>
  <c r="YN1550" i="10" a="1"/>
  <c r="YN1550" i="10" s="1"/>
  <c r="YM1550" i="10" a="1"/>
  <c r="YM1550" i="10" s="1"/>
  <c r="YL1550" i="10" a="1"/>
  <c r="YL1550" i="10" s="1"/>
  <c r="YK1550" i="10" a="1"/>
  <c r="YK1550" i="10" s="1"/>
  <c r="YJ1550" i="10" a="1"/>
  <c r="YJ1550" i="10" s="1"/>
  <c r="YI1550" i="10" a="1"/>
  <c r="YI1550" i="10" s="1"/>
  <c r="YH1550" i="10" a="1"/>
  <c r="YH1550" i="10" s="1"/>
  <c r="YG1550" i="10" a="1"/>
  <c r="YG1550" i="10" s="1"/>
  <c r="YF1550" i="10" a="1"/>
  <c r="YF1550" i="10" s="1"/>
  <c r="YE1550" i="10" a="1"/>
  <c r="YE1550" i="10" s="1"/>
  <c r="YD1550" i="10" a="1"/>
  <c r="YD1550" i="10" s="1"/>
  <c r="YC1550" i="10" a="1"/>
  <c r="YC1550" i="10" s="1"/>
  <c r="YB1550" i="10" a="1"/>
  <c r="YB1550" i="10" s="1"/>
  <c r="YA1550" i="10" a="1"/>
  <c r="YA1550" i="10" s="1"/>
  <c r="XZ1550" i="10" a="1"/>
  <c r="XZ1550" i="10" s="1"/>
  <c r="XY1550" i="10" a="1"/>
  <c r="XY1550" i="10" s="1"/>
  <c r="XX1550" i="10" a="1"/>
  <c r="XX1550" i="10" s="1"/>
  <c r="XW1550" i="10" a="1"/>
  <c r="XW1550" i="10" s="1"/>
  <c r="XV1550" i="10" a="1"/>
  <c r="XV1550" i="10" s="1"/>
  <c r="XU1550" i="10" a="1"/>
  <c r="XU1550" i="10" s="1"/>
  <c r="XT1550" i="10" a="1"/>
  <c r="XT1550" i="10" s="1"/>
  <c r="XS1550" i="10" a="1"/>
  <c r="XS1550" i="10" s="1"/>
  <c r="XR1550" i="10" a="1"/>
  <c r="XR1550" i="10" s="1"/>
  <c r="XQ1550" i="10" a="1"/>
  <c r="XQ1550" i="10" s="1"/>
  <c r="XP1550" i="10" a="1"/>
  <c r="XP1550" i="10" s="1"/>
  <c r="XO1550" i="10" a="1"/>
  <c r="XO1550" i="10" s="1"/>
  <c r="XN1550" i="10" a="1"/>
  <c r="XN1550" i="10" s="1"/>
  <c r="XM1550" i="10" a="1"/>
  <c r="XM1550" i="10" s="1"/>
  <c r="XL1550" i="10" a="1"/>
  <c r="XL1550" i="10" s="1"/>
  <c r="XK1550" i="10" a="1"/>
  <c r="XK1550" i="10" s="1"/>
  <c r="XJ1550" i="10" a="1"/>
  <c r="XJ1550" i="10" s="1"/>
  <c r="XI1550" i="10" a="1"/>
  <c r="XI1550" i="10" s="1"/>
  <c r="XH1550" i="10" a="1"/>
  <c r="XH1550" i="10" s="1"/>
  <c r="XG1550" i="10" a="1"/>
  <c r="XG1550" i="10" s="1"/>
  <c r="XF1550" i="10" a="1"/>
  <c r="XF1550" i="10" s="1"/>
  <c r="XE1550" i="10" a="1"/>
  <c r="XE1550" i="10" s="1"/>
  <c r="XD1550" i="10" a="1"/>
  <c r="XD1550" i="10" s="1"/>
  <c r="XC1550" i="10" a="1"/>
  <c r="XC1550" i="10" s="1"/>
  <c r="XB1550" i="10" a="1"/>
  <c r="XB1550" i="10" s="1"/>
  <c r="XA1550" i="10" a="1"/>
  <c r="XA1550" i="10" s="1"/>
  <c r="WZ1550" i="10" a="1"/>
  <c r="WZ1550" i="10" s="1"/>
  <c r="WY1550" i="10" a="1"/>
  <c r="WY1550" i="10" s="1"/>
  <c r="WX1550" i="10" a="1"/>
  <c r="WX1550" i="10" s="1"/>
  <c r="WW1550" i="10" a="1"/>
  <c r="WW1550" i="10" s="1"/>
  <c r="WV1550" i="10" a="1"/>
  <c r="WV1550" i="10" s="1"/>
  <c r="WU1550" i="10" a="1"/>
  <c r="WU1550" i="10" s="1"/>
  <c r="WT1550" i="10" a="1"/>
  <c r="WT1550" i="10" s="1"/>
  <c r="WS1550" i="10" a="1"/>
  <c r="WS1550" i="10" s="1"/>
  <c r="WR1550" i="10" a="1"/>
  <c r="WR1550" i="10" s="1"/>
  <c r="WQ1550" i="10" a="1"/>
  <c r="WQ1550" i="10" s="1"/>
  <c r="WP1550" i="10" a="1"/>
  <c r="WP1550" i="10" s="1"/>
  <c r="WO1550" i="10" a="1"/>
  <c r="WO1550" i="10" s="1"/>
  <c r="WN1550" i="10" a="1"/>
  <c r="WN1550" i="10" s="1"/>
  <c r="WM1550" i="10" a="1"/>
  <c r="WM1550" i="10" s="1"/>
  <c r="WL1550" i="10" a="1"/>
  <c r="WL1550" i="10" s="1"/>
  <c r="WK1550" i="10" a="1"/>
  <c r="WK1550" i="10" s="1"/>
  <c r="WJ1550" i="10" a="1"/>
  <c r="WJ1550" i="10" s="1"/>
  <c r="WI1550" i="10" a="1"/>
  <c r="WI1550" i="10" s="1"/>
  <c r="WH1550" i="10" a="1"/>
  <c r="WH1550" i="10" s="1"/>
  <c r="WG1550" i="10" a="1"/>
  <c r="WG1550" i="10" s="1"/>
  <c r="WF1550" i="10" a="1"/>
  <c r="WF1550" i="10" s="1"/>
  <c r="WE1550" i="10" a="1"/>
  <c r="WE1550" i="10" s="1"/>
  <c r="WD1550" i="10" a="1"/>
  <c r="WD1550" i="10" s="1"/>
  <c r="WC1550" i="10" a="1"/>
  <c r="WC1550" i="10" s="1"/>
  <c r="WB1550" i="10" a="1"/>
  <c r="WB1550" i="10" s="1"/>
  <c r="WA1550" i="10" a="1"/>
  <c r="WA1550" i="10" s="1"/>
  <c r="VZ1550" i="10" a="1"/>
  <c r="VZ1550" i="10" s="1"/>
  <c r="VY1550" i="10" a="1"/>
  <c r="VY1550" i="10" s="1"/>
  <c r="VX1550" i="10" a="1"/>
  <c r="VX1550" i="10" s="1"/>
  <c r="VW1550" i="10" a="1"/>
  <c r="VW1550" i="10" s="1"/>
  <c r="VV1550" i="10" a="1"/>
  <c r="VV1550" i="10" s="1"/>
  <c r="VU1550" i="10" a="1"/>
  <c r="VU1550" i="10" s="1"/>
  <c r="VT1550" i="10" a="1"/>
  <c r="VT1550" i="10" s="1"/>
  <c r="VS1550" i="10" a="1"/>
  <c r="VS1550" i="10" s="1"/>
  <c r="VR1550" i="10" a="1"/>
  <c r="VR1550" i="10" s="1"/>
  <c r="VQ1550" i="10" a="1"/>
  <c r="VQ1550" i="10" s="1"/>
  <c r="VP1550" i="10" a="1"/>
  <c r="VP1550" i="10" s="1"/>
  <c r="VO1550" i="10" a="1"/>
  <c r="VO1550" i="10" s="1"/>
  <c r="VN1550" i="10" a="1"/>
  <c r="VN1550" i="10" s="1"/>
  <c r="VM1550" i="10" a="1"/>
  <c r="VM1550" i="10" s="1"/>
  <c r="VL1550" i="10" a="1"/>
  <c r="VL1550" i="10" s="1"/>
  <c r="VK1550" i="10" a="1"/>
  <c r="VK1550" i="10" s="1"/>
  <c r="VJ1550" i="10" a="1"/>
  <c r="VJ1550" i="10" s="1"/>
  <c r="VI1550" i="10" a="1"/>
  <c r="VI1550" i="10" s="1"/>
  <c r="VH1550" i="10" a="1"/>
  <c r="VH1550" i="10" s="1"/>
  <c r="VG1550" i="10" a="1"/>
  <c r="VG1550" i="10" s="1"/>
  <c r="VF1550" i="10" a="1"/>
  <c r="VF1550" i="10" s="1"/>
  <c r="VE1550" i="10" a="1"/>
  <c r="VE1550" i="10" s="1"/>
  <c r="VD1550" i="10" a="1"/>
  <c r="VD1550" i="10" s="1"/>
  <c r="VC1550" i="10" a="1"/>
  <c r="VC1550" i="10" s="1"/>
  <c r="VB1550" i="10" a="1"/>
  <c r="VB1550" i="10" s="1"/>
  <c r="VA1550" i="10" a="1"/>
  <c r="VA1550" i="10" s="1"/>
  <c r="UZ1550" i="10" a="1"/>
  <c r="UZ1550" i="10" s="1"/>
  <c r="UY1550" i="10" a="1"/>
  <c r="UY1550" i="10" s="1"/>
  <c r="UX1550" i="10" a="1"/>
  <c r="UX1550" i="10" s="1"/>
  <c r="UW1550" i="10" a="1"/>
  <c r="UW1550" i="10" s="1"/>
  <c r="UV1550" i="10" a="1"/>
  <c r="UV1550" i="10" s="1"/>
  <c r="UU1550" i="10" a="1"/>
  <c r="UU1550" i="10" s="1"/>
  <c r="UT1550" i="10" a="1"/>
  <c r="UT1550" i="10" s="1"/>
  <c r="US1550" i="10" a="1"/>
  <c r="US1550" i="10" s="1"/>
  <c r="UR1550" i="10" a="1"/>
  <c r="UR1550" i="10" s="1"/>
  <c r="UQ1550" i="10" a="1"/>
  <c r="UQ1550" i="10" s="1"/>
  <c r="UP1550" i="10" a="1"/>
  <c r="UP1550" i="10" s="1"/>
  <c r="UO1550" i="10" a="1"/>
  <c r="UO1550" i="10" s="1"/>
  <c r="UN1550" i="10" a="1"/>
  <c r="UN1550" i="10" s="1"/>
  <c r="UM1550" i="10" a="1"/>
  <c r="UM1550" i="10" s="1"/>
  <c r="UL1550" i="10" a="1"/>
  <c r="UL1550" i="10" s="1"/>
  <c r="UK1550" i="10" a="1"/>
  <c r="UK1550" i="10" s="1"/>
  <c r="UJ1550" i="10" a="1"/>
  <c r="UJ1550" i="10" s="1"/>
  <c r="UI1550" i="10" a="1"/>
  <c r="UI1550" i="10" s="1"/>
  <c r="UH1550" i="10" a="1"/>
  <c r="UH1550" i="10" s="1"/>
  <c r="UG1550" i="10" a="1"/>
  <c r="UG1550" i="10" s="1"/>
  <c r="UF1550" i="10" a="1"/>
  <c r="UF1550" i="10" s="1"/>
  <c r="UE1550" i="10" a="1"/>
  <c r="UE1550" i="10" s="1"/>
  <c r="UD1550" i="10" a="1"/>
  <c r="UD1550" i="10" s="1"/>
  <c r="UC1550" i="10" a="1"/>
  <c r="UC1550" i="10" s="1"/>
  <c r="UB1550" i="10" a="1"/>
  <c r="UB1550" i="10" s="1"/>
  <c r="UA1550" i="10" a="1"/>
  <c r="UA1550" i="10" s="1"/>
  <c r="TZ1550" i="10" a="1"/>
  <c r="TZ1550" i="10" s="1"/>
  <c r="TY1550" i="10" a="1"/>
  <c r="TY1550" i="10" s="1"/>
  <c r="TX1550" i="10" a="1"/>
  <c r="TX1550" i="10" s="1"/>
  <c r="TW1550" i="10" a="1"/>
  <c r="TW1550" i="10" s="1"/>
  <c r="TV1550" i="10" a="1"/>
  <c r="TV1550" i="10" s="1"/>
  <c r="TU1550" i="10" a="1"/>
  <c r="TU1550" i="10" s="1"/>
  <c r="TT1550" i="10" a="1"/>
  <c r="TT1550" i="10" s="1"/>
  <c r="TS1550" i="10" a="1"/>
  <c r="TS1550" i="10" s="1"/>
  <c r="TR1550" i="10" a="1"/>
  <c r="TR1550" i="10" s="1"/>
  <c r="TQ1550" i="10" a="1"/>
  <c r="TQ1550" i="10" s="1"/>
  <c r="TP1550" i="10" a="1"/>
  <c r="TP1550" i="10" s="1"/>
  <c r="TO1550" i="10" a="1"/>
  <c r="TO1550" i="10" s="1"/>
  <c r="TN1550" i="10" a="1"/>
  <c r="TN1550" i="10" s="1"/>
  <c r="TM1550" i="10" a="1"/>
  <c r="TM1550" i="10" s="1"/>
  <c r="TL1550" i="10" a="1"/>
  <c r="TL1550" i="10" s="1"/>
  <c r="TK1550" i="10" a="1"/>
  <c r="TK1550" i="10" s="1"/>
  <c r="TJ1550" i="10" a="1"/>
  <c r="TJ1550" i="10" s="1"/>
  <c r="TI1550" i="10" a="1"/>
  <c r="TI1550" i="10" s="1"/>
  <c r="TH1550" i="10" a="1"/>
  <c r="TH1550" i="10" s="1"/>
  <c r="TG1550" i="10" a="1"/>
  <c r="TG1550" i="10" s="1"/>
  <c r="TF1550" i="10" a="1"/>
  <c r="TF1550" i="10" s="1"/>
  <c r="TE1550" i="10" a="1"/>
  <c r="TE1550" i="10" s="1"/>
  <c r="TD1550" i="10" a="1"/>
  <c r="TD1550" i="10" s="1"/>
  <c r="TC1550" i="10" a="1"/>
  <c r="TC1550" i="10" s="1"/>
  <c r="TB1550" i="10" a="1"/>
  <c r="TB1550" i="10" s="1"/>
  <c r="TA1550" i="10" a="1"/>
  <c r="TA1550" i="10" s="1"/>
  <c r="SZ1550" i="10" a="1"/>
  <c r="SZ1550" i="10" s="1"/>
  <c r="SY1550" i="10" a="1"/>
  <c r="SY1550" i="10" s="1"/>
  <c r="SX1550" i="10" a="1"/>
  <c r="SX1550" i="10" s="1"/>
  <c r="SW1550" i="10" a="1"/>
  <c r="SW1550" i="10" s="1"/>
  <c r="SV1550" i="10" a="1"/>
  <c r="SV1550" i="10" s="1"/>
  <c r="SU1550" i="10" a="1"/>
  <c r="SU1550" i="10" s="1"/>
  <c r="ST1550" i="10" a="1"/>
  <c r="ST1550" i="10" s="1"/>
  <c r="SS1550" i="10" a="1"/>
  <c r="SS1550" i="10" s="1"/>
  <c r="SR1550" i="10" a="1"/>
  <c r="SR1550" i="10" s="1"/>
  <c r="SQ1550" i="10" a="1"/>
  <c r="SQ1550" i="10" s="1"/>
  <c r="SP1550" i="10" a="1"/>
  <c r="SP1550" i="10" s="1"/>
  <c r="SO1550" i="10" a="1"/>
  <c r="SO1550" i="10" s="1"/>
  <c r="SN1550" i="10" a="1"/>
  <c r="SN1550" i="10" s="1"/>
  <c r="SM1550" i="10" a="1"/>
  <c r="SM1550" i="10" s="1"/>
  <c r="SL1550" i="10" a="1"/>
  <c r="SL1550" i="10" s="1"/>
  <c r="SK1550" i="10" a="1"/>
  <c r="SK1550" i="10" s="1"/>
  <c r="SJ1550" i="10" a="1"/>
  <c r="SJ1550" i="10" s="1"/>
  <c r="SI1550" i="10" a="1"/>
  <c r="SI1550" i="10" s="1"/>
  <c r="SH1550" i="10" a="1"/>
  <c r="SH1550" i="10" s="1"/>
  <c r="SG1550" i="10" a="1"/>
  <c r="SG1550" i="10" s="1"/>
  <c r="SF1550" i="10" a="1"/>
  <c r="SF1550" i="10" s="1"/>
  <c r="SE1550" i="10" a="1"/>
  <c r="SE1550" i="10" s="1"/>
  <c r="SD1550" i="10" a="1"/>
  <c r="SD1550" i="10" s="1"/>
  <c r="SC1550" i="10" a="1"/>
  <c r="SC1550" i="10" s="1"/>
  <c r="SB1550" i="10" a="1"/>
  <c r="SB1550" i="10" s="1"/>
  <c r="SA1550" i="10" a="1"/>
  <c r="SA1550" i="10" s="1"/>
  <c r="RZ1550" i="10" a="1"/>
  <c r="RZ1550" i="10" s="1"/>
  <c r="RY1550" i="10" a="1"/>
  <c r="RY1550" i="10" s="1"/>
  <c r="RX1550" i="10" a="1"/>
  <c r="RX1550" i="10" s="1"/>
  <c r="RW1550" i="10" a="1"/>
  <c r="RW1550" i="10" s="1"/>
  <c r="RV1550" i="10" a="1"/>
  <c r="RV1550" i="10" s="1"/>
  <c r="RU1550" i="10" a="1"/>
  <c r="RU1550" i="10" s="1"/>
  <c r="RT1550" i="10" a="1"/>
  <c r="RT1550" i="10" s="1"/>
  <c r="RS1550" i="10" a="1"/>
  <c r="RS1550" i="10" s="1"/>
  <c r="RR1550" i="10" a="1"/>
  <c r="RR1550" i="10" s="1"/>
  <c r="RQ1550" i="10" a="1"/>
  <c r="RQ1550" i="10" s="1"/>
  <c r="RP1550" i="10" a="1"/>
  <c r="RP1550" i="10" s="1"/>
  <c r="RO1550" i="10" a="1"/>
  <c r="RO1550" i="10" s="1"/>
  <c r="RN1550" i="10" a="1"/>
  <c r="RN1550" i="10" s="1"/>
  <c r="RM1550" i="10" a="1"/>
  <c r="RM1550" i="10" s="1"/>
  <c r="RL1550" i="10" a="1"/>
  <c r="RL1550" i="10" s="1"/>
  <c r="RK1550" i="10" a="1"/>
  <c r="RK1550" i="10" s="1"/>
  <c r="RJ1550" i="10" a="1"/>
  <c r="RJ1550" i="10" s="1"/>
  <c r="RI1550" i="10" a="1"/>
  <c r="RI1550" i="10" s="1"/>
  <c r="RH1550" i="10" a="1"/>
  <c r="RH1550" i="10" s="1"/>
  <c r="RG1550" i="10" a="1"/>
  <c r="RG1550" i="10" s="1"/>
  <c r="RF1550" i="10" a="1"/>
  <c r="RF1550" i="10" s="1"/>
  <c r="RE1550" i="10" a="1"/>
  <c r="RE1550" i="10" s="1"/>
  <c r="RD1550" i="10" a="1"/>
  <c r="RD1550" i="10" s="1"/>
  <c r="RC1550" i="10" a="1"/>
  <c r="RC1550" i="10" s="1"/>
  <c r="RB1550" i="10" a="1"/>
  <c r="RB1550" i="10" s="1"/>
  <c r="RA1550" i="10" a="1"/>
  <c r="RA1550" i="10" s="1"/>
  <c r="QZ1550" i="10" a="1"/>
  <c r="QZ1550" i="10" s="1"/>
  <c r="QY1550" i="10" a="1"/>
  <c r="QY1550" i="10" s="1"/>
  <c r="QX1550" i="10" a="1"/>
  <c r="QX1550" i="10" s="1"/>
  <c r="QW1550" i="10" a="1"/>
  <c r="QW1550" i="10" s="1"/>
  <c r="QV1550" i="10" a="1"/>
  <c r="QV1550" i="10" s="1"/>
  <c r="QU1550" i="10" a="1"/>
  <c r="QU1550" i="10" s="1"/>
  <c r="QT1550" i="10" a="1"/>
  <c r="QT1550" i="10" s="1"/>
  <c r="QS1550" i="10" a="1"/>
  <c r="QS1550" i="10" s="1"/>
  <c r="QR1550" i="10" a="1"/>
  <c r="QR1550" i="10" s="1"/>
  <c r="QQ1550" i="10" a="1"/>
  <c r="QQ1550" i="10" s="1"/>
  <c r="QP1550" i="10" a="1"/>
  <c r="QP1550" i="10" s="1"/>
  <c r="QO1550" i="10" a="1"/>
  <c r="QO1550" i="10" s="1"/>
  <c r="QN1550" i="10" a="1"/>
  <c r="QN1550" i="10" s="1"/>
  <c r="QM1550" i="10" a="1"/>
  <c r="QM1550" i="10" s="1"/>
  <c r="QL1550" i="10" a="1"/>
  <c r="QL1550" i="10" s="1"/>
  <c r="QK1550" i="10" a="1"/>
  <c r="QK1550" i="10" s="1"/>
  <c r="QJ1550" i="10" a="1"/>
  <c r="QJ1550" i="10" s="1"/>
  <c r="QI1550" i="10" a="1"/>
  <c r="QI1550" i="10" s="1"/>
  <c r="QH1550" i="10" a="1"/>
  <c r="QH1550" i="10" s="1"/>
  <c r="QG1550" i="10" a="1"/>
  <c r="QG1550" i="10" s="1"/>
  <c r="QF1550" i="10" a="1"/>
  <c r="QF1550" i="10" s="1"/>
  <c r="QE1550" i="10" a="1"/>
  <c r="QE1550" i="10" s="1"/>
  <c r="QD1550" i="10" a="1"/>
  <c r="QD1550" i="10" s="1"/>
  <c r="QC1550" i="10" a="1"/>
  <c r="QC1550" i="10" s="1"/>
  <c r="QB1550" i="10" a="1"/>
  <c r="QB1550" i="10" s="1"/>
  <c r="QA1550" i="10" a="1"/>
  <c r="QA1550" i="10" s="1"/>
  <c r="PZ1550" i="10" a="1"/>
  <c r="PZ1550" i="10" s="1"/>
  <c r="PY1550" i="10" a="1"/>
  <c r="PY1550" i="10" s="1"/>
  <c r="PX1550" i="10" a="1"/>
  <c r="PX1550" i="10" s="1"/>
  <c r="PW1550" i="10" a="1"/>
  <c r="PW1550" i="10" s="1"/>
  <c r="PV1550" i="10" a="1"/>
  <c r="PV1550" i="10" s="1"/>
  <c r="PU1550" i="10" a="1"/>
  <c r="PU1550" i="10" s="1"/>
  <c r="PT1550" i="10" a="1"/>
  <c r="PT1550" i="10" s="1"/>
  <c r="PS1550" i="10" a="1"/>
  <c r="PS1550" i="10" s="1"/>
  <c r="PR1550" i="10" a="1"/>
  <c r="PR1550" i="10" s="1"/>
  <c r="PQ1550" i="10" a="1"/>
  <c r="PQ1550" i="10" s="1"/>
  <c r="PP1550" i="10" a="1"/>
  <c r="PP1550" i="10" s="1"/>
  <c r="PO1550" i="10" a="1"/>
  <c r="PO1550" i="10" s="1"/>
  <c r="PN1550" i="10" a="1"/>
  <c r="PN1550" i="10" s="1"/>
  <c r="PM1550" i="10" a="1"/>
  <c r="PM1550" i="10" s="1"/>
  <c r="PL1550" i="10" a="1"/>
  <c r="PL1550" i="10" s="1"/>
  <c r="PK1550" i="10" a="1"/>
  <c r="PK1550" i="10" s="1"/>
  <c r="PJ1550" i="10" a="1"/>
  <c r="PJ1550" i="10" s="1"/>
  <c r="PI1550" i="10" a="1"/>
  <c r="PI1550" i="10" s="1"/>
  <c r="PH1550" i="10" a="1"/>
  <c r="PH1550" i="10" s="1"/>
  <c r="PG1550" i="10" a="1"/>
  <c r="PG1550" i="10" s="1"/>
  <c r="PF1550" i="10" a="1"/>
  <c r="PF1550" i="10" s="1"/>
  <c r="PE1550" i="10" a="1"/>
  <c r="PE1550" i="10" s="1"/>
  <c r="PD1550" i="10" a="1"/>
  <c r="PD1550" i="10" s="1"/>
  <c r="PC1550" i="10" a="1"/>
  <c r="PC1550" i="10" s="1"/>
  <c r="PB1550" i="10" a="1"/>
  <c r="PB1550" i="10" s="1"/>
  <c r="PA1550" i="10" a="1"/>
  <c r="PA1550" i="10" s="1"/>
  <c r="OZ1550" i="10" a="1"/>
  <c r="OZ1550" i="10" s="1"/>
  <c r="OY1550" i="10" a="1"/>
  <c r="OY1550" i="10" s="1"/>
  <c r="OX1550" i="10" a="1"/>
  <c r="OX1550" i="10" s="1"/>
  <c r="OW1550" i="10" a="1"/>
  <c r="OW1550" i="10" s="1"/>
  <c r="OV1550" i="10" a="1"/>
  <c r="OV1550" i="10" s="1"/>
  <c r="OU1550" i="10" a="1"/>
  <c r="OU1550" i="10" s="1"/>
  <c r="OT1550" i="10" a="1"/>
  <c r="OT1550" i="10" s="1"/>
  <c r="OS1550" i="10" a="1"/>
  <c r="OS1550" i="10" s="1"/>
  <c r="OR1550" i="10" a="1"/>
  <c r="OR1550" i="10" s="1"/>
  <c r="OQ1550" i="10" a="1"/>
  <c r="OQ1550" i="10" s="1"/>
  <c r="OP1550" i="10" a="1"/>
  <c r="OP1550" i="10" s="1"/>
  <c r="OO1550" i="10" a="1"/>
  <c r="OO1550" i="10" s="1"/>
  <c r="ON1550" i="10" a="1"/>
  <c r="ON1550" i="10" s="1"/>
  <c r="OM1550" i="10" a="1"/>
  <c r="OM1550" i="10" s="1"/>
  <c r="OL1550" i="10" a="1"/>
  <c r="OL1550" i="10" s="1"/>
  <c r="OK1550" i="10" a="1"/>
  <c r="OK1550" i="10" s="1"/>
  <c r="OJ1550" i="10" a="1"/>
  <c r="OJ1550" i="10" s="1"/>
  <c r="OI1550" i="10" a="1"/>
  <c r="OI1550" i="10" s="1"/>
  <c r="OH1550" i="10" a="1"/>
  <c r="OH1550" i="10" s="1"/>
  <c r="OG1550" i="10" a="1"/>
  <c r="OG1550" i="10" s="1"/>
  <c r="OF1550" i="10" a="1"/>
  <c r="OF1550" i="10" s="1"/>
  <c r="OE1550" i="10" a="1"/>
  <c r="OE1550" i="10" s="1"/>
  <c r="OD1550" i="10" a="1"/>
  <c r="OD1550" i="10" s="1"/>
  <c r="OC1550" i="10" a="1"/>
  <c r="OC1550" i="10" s="1"/>
  <c r="OB1550" i="10" a="1"/>
  <c r="OB1550" i="10" s="1"/>
  <c r="OA1550" i="10" a="1"/>
  <c r="OA1550" i="10" s="1"/>
  <c r="NZ1550" i="10" a="1"/>
  <c r="NZ1550" i="10" s="1"/>
  <c r="NY1550" i="10" a="1"/>
  <c r="NY1550" i="10" s="1"/>
  <c r="NX1550" i="10" a="1"/>
  <c r="NX1550" i="10" s="1"/>
  <c r="NW1550" i="10" a="1"/>
  <c r="NW1550" i="10" s="1"/>
  <c r="NV1550" i="10" a="1"/>
  <c r="NV1550" i="10" s="1"/>
  <c r="NU1550" i="10" a="1"/>
  <c r="NU1550" i="10" s="1"/>
  <c r="NT1550" i="10" a="1"/>
  <c r="NT1550" i="10" s="1"/>
  <c r="NS1550" i="10" a="1"/>
  <c r="NS1550" i="10" s="1"/>
  <c r="NR1550" i="10" a="1"/>
  <c r="NR1550" i="10" s="1"/>
  <c r="NQ1550" i="10" a="1"/>
  <c r="NQ1550" i="10" s="1"/>
  <c r="NP1550" i="10" a="1"/>
  <c r="NP1550" i="10" s="1"/>
  <c r="NO1550" i="10" a="1"/>
  <c r="NO1550" i="10" s="1"/>
  <c r="NN1550" i="10" a="1"/>
  <c r="NN1550" i="10" s="1"/>
  <c r="NM1550" i="10" a="1"/>
  <c r="NM1550" i="10" s="1"/>
  <c r="NL1550" i="10" a="1"/>
  <c r="NL1550" i="10" s="1"/>
  <c r="NK1550" i="10" a="1"/>
  <c r="NK1550" i="10" s="1"/>
  <c r="NJ1550" i="10" a="1"/>
  <c r="NJ1550" i="10" s="1"/>
  <c r="NI1550" i="10" a="1"/>
  <c r="NI1550" i="10" s="1"/>
  <c r="NH1550" i="10" a="1"/>
  <c r="NH1550" i="10" s="1"/>
  <c r="NG1550" i="10" a="1"/>
  <c r="NG1550" i="10" s="1"/>
  <c r="NF1550" i="10" a="1"/>
  <c r="NF1550" i="10" s="1"/>
  <c r="NE1550" i="10" a="1"/>
  <c r="NE1550" i="10" s="1"/>
  <c r="ND1550" i="10" a="1"/>
  <c r="ND1550" i="10" s="1"/>
  <c r="NC1550" i="10" a="1"/>
  <c r="NC1550" i="10" s="1"/>
  <c r="NB1550" i="10" a="1"/>
  <c r="NB1550" i="10" s="1"/>
  <c r="NA1550" i="10" a="1"/>
  <c r="NA1550" i="10" s="1"/>
  <c r="MZ1550" i="10" a="1"/>
  <c r="MZ1550" i="10" s="1"/>
  <c r="MY1550" i="10" a="1"/>
  <c r="MY1550" i="10" s="1"/>
  <c r="MX1550" i="10" a="1"/>
  <c r="MX1550" i="10" s="1"/>
  <c r="MW1550" i="10" a="1"/>
  <c r="MW1550" i="10" s="1"/>
  <c r="MV1550" i="10" a="1"/>
  <c r="MV1550" i="10" s="1"/>
  <c r="MU1550" i="10" a="1"/>
  <c r="MU1550" i="10" s="1"/>
  <c r="MT1550" i="10" a="1"/>
  <c r="MT1550" i="10" s="1"/>
  <c r="MS1550" i="10" a="1"/>
  <c r="MS1550" i="10" s="1"/>
  <c r="MR1550" i="10" a="1"/>
  <c r="MR1550" i="10" s="1"/>
  <c r="MQ1550" i="10" a="1"/>
  <c r="MQ1550" i="10" s="1"/>
  <c r="MP1550" i="10" a="1"/>
  <c r="MP1550" i="10" s="1"/>
  <c r="MO1550" i="10" a="1"/>
  <c r="MO1550" i="10" s="1"/>
  <c r="MN1550" i="10" a="1"/>
  <c r="MN1550" i="10" s="1"/>
  <c r="MM1550" i="10" a="1"/>
  <c r="MM1550" i="10" s="1"/>
  <c r="ML1550" i="10" a="1"/>
  <c r="ML1550" i="10" s="1"/>
  <c r="MK1550" i="10" a="1"/>
  <c r="MK1550" i="10" s="1"/>
  <c r="MJ1550" i="10" a="1"/>
  <c r="MJ1550" i="10" s="1"/>
  <c r="MI1550" i="10" a="1"/>
  <c r="MI1550" i="10" s="1"/>
  <c r="MH1550" i="10" a="1"/>
  <c r="MH1550" i="10" s="1"/>
  <c r="MG1550" i="10" a="1"/>
  <c r="MG1550" i="10" s="1"/>
  <c r="MF1550" i="10" a="1"/>
  <c r="MF1550" i="10" s="1"/>
  <c r="ME1550" i="10" a="1"/>
  <c r="ME1550" i="10" s="1"/>
  <c r="MD1550" i="10" a="1"/>
  <c r="MD1550" i="10" s="1"/>
  <c r="MC1550" i="10" a="1"/>
  <c r="MC1550" i="10" s="1"/>
  <c r="MB1550" i="10" a="1"/>
  <c r="MB1550" i="10" s="1"/>
  <c r="MA1550" i="10" a="1"/>
  <c r="MA1550" i="10" s="1"/>
  <c r="LZ1550" i="10" a="1"/>
  <c r="LZ1550" i="10" s="1"/>
  <c r="LY1550" i="10" a="1"/>
  <c r="LY1550" i="10" s="1"/>
  <c r="LX1550" i="10" a="1"/>
  <c r="LX1550" i="10" s="1"/>
  <c r="LW1550" i="10" a="1"/>
  <c r="LW1550" i="10" s="1"/>
  <c r="LV1550" i="10" a="1"/>
  <c r="LV1550" i="10" s="1"/>
  <c r="LU1550" i="10" a="1"/>
  <c r="LU1550" i="10" s="1"/>
  <c r="LT1550" i="10" a="1"/>
  <c r="LT1550" i="10" s="1"/>
  <c r="LS1550" i="10" a="1"/>
  <c r="LS1550" i="10" s="1"/>
  <c r="LR1550" i="10" a="1"/>
  <c r="LR1550" i="10" s="1"/>
  <c r="LQ1550" i="10" a="1"/>
  <c r="LQ1550" i="10" s="1"/>
  <c r="LP1550" i="10" a="1"/>
  <c r="LP1550" i="10" s="1"/>
  <c r="LO1550" i="10" a="1"/>
  <c r="LO1550" i="10" s="1"/>
  <c r="LN1550" i="10" a="1"/>
  <c r="LN1550" i="10" s="1"/>
  <c r="LM1550" i="10" a="1"/>
  <c r="LM1550" i="10" s="1"/>
  <c r="LL1550" i="10" a="1"/>
  <c r="LL1550" i="10" s="1"/>
  <c r="LK1550" i="10" a="1"/>
  <c r="LK1550" i="10" s="1"/>
  <c r="LJ1550" i="10" a="1"/>
  <c r="LJ1550" i="10" s="1"/>
  <c r="LI1550" i="10" a="1"/>
  <c r="LI1550" i="10" s="1"/>
  <c r="LH1550" i="10" a="1"/>
  <c r="LH1550" i="10" s="1"/>
  <c r="LG1550" i="10" a="1"/>
  <c r="LG1550" i="10" s="1"/>
  <c r="LF1550" i="10" a="1"/>
  <c r="LF1550" i="10" s="1"/>
  <c r="LE1550" i="10" a="1"/>
  <c r="LE1550" i="10" s="1"/>
  <c r="LD1550" i="10" a="1"/>
  <c r="LD1550" i="10" s="1"/>
  <c r="LC1550" i="10" a="1"/>
  <c r="LC1550" i="10" s="1"/>
  <c r="LB1550" i="10" a="1"/>
  <c r="LB1550" i="10" s="1"/>
  <c r="LA1550" i="10" a="1"/>
  <c r="LA1550" i="10" s="1"/>
  <c r="KZ1550" i="10" a="1"/>
  <c r="KZ1550" i="10" s="1"/>
  <c r="KY1550" i="10" a="1"/>
  <c r="KY1550" i="10" s="1"/>
  <c r="KX1550" i="10" a="1"/>
  <c r="KX1550" i="10" s="1"/>
  <c r="KW1550" i="10" a="1"/>
  <c r="KW1550" i="10" s="1"/>
  <c r="KV1550" i="10" a="1"/>
  <c r="KV1550" i="10" s="1"/>
  <c r="KU1550" i="10" a="1"/>
  <c r="KU1550" i="10" s="1"/>
  <c r="KT1550" i="10" a="1"/>
  <c r="KT1550" i="10" s="1"/>
  <c r="KS1550" i="10" a="1"/>
  <c r="KS1550" i="10" s="1"/>
  <c r="KR1550" i="10" a="1"/>
  <c r="KR1550" i="10" s="1"/>
  <c r="KQ1550" i="10" a="1"/>
  <c r="KQ1550" i="10" s="1"/>
  <c r="KP1550" i="10" a="1"/>
  <c r="KP1550" i="10" s="1"/>
  <c r="KO1550" i="10" a="1"/>
  <c r="KO1550" i="10" s="1"/>
  <c r="KN1550" i="10" a="1"/>
  <c r="KN1550" i="10" s="1"/>
  <c r="KM1550" i="10" a="1"/>
  <c r="KM1550" i="10" s="1"/>
  <c r="KL1550" i="10" a="1"/>
  <c r="KL1550" i="10" s="1"/>
  <c r="KK1550" i="10" a="1"/>
  <c r="KK1550" i="10" s="1"/>
  <c r="KJ1550" i="10" a="1"/>
  <c r="KJ1550" i="10" s="1"/>
  <c r="KI1550" i="10" a="1"/>
  <c r="KI1550" i="10" s="1"/>
  <c r="KH1550" i="10" a="1"/>
  <c r="KH1550" i="10" s="1"/>
  <c r="KG1550" i="10" a="1"/>
  <c r="KG1550" i="10" s="1"/>
  <c r="KF1550" i="10" a="1"/>
  <c r="KF1550" i="10" s="1"/>
  <c r="KE1550" i="10" a="1"/>
  <c r="KE1550" i="10" s="1"/>
  <c r="KD1550" i="10" a="1"/>
  <c r="KD1550" i="10" s="1"/>
  <c r="KC1550" i="10" a="1"/>
  <c r="KC1550" i="10" s="1"/>
  <c r="KB1550" i="10" a="1"/>
  <c r="KB1550" i="10" s="1"/>
  <c r="KA1550" i="10" a="1"/>
  <c r="KA1550" i="10" s="1"/>
  <c r="JZ1550" i="10" a="1"/>
  <c r="JZ1550" i="10" s="1"/>
  <c r="JY1550" i="10" a="1"/>
  <c r="JY1550" i="10" s="1"/>
  <c r="JX1550" i="10" a="1"/>
  <c r="JX1550" i="10" s="1"/>
  <c r="JW1550" i="10" a="1"/>
  <c r="JW1550" i="10" s="1"/>
  <c r="JV1550" i="10" a="1"/>
  <c r="JV1550" i="10" s="1"/>
  <c r="JU1550" i="10" a="1"/>
  <c r="JU1550" i="10" s="1"/>
  <c r="JT1550" i="10" a="1"/>
  <c r="JT1550" i="10" s="1"/>
  <c r="JS1550" i="10" a="1"/>
  <c r="JS1550" i="10" s="1"/>
  <c r="JR1550" i="10" a="1"/>
  <c r="JR1550" i="10" s="1"/>
  <c r="JQ1550" i="10" a="1"/>
  <c r="JQ1550" i="10" s="1"/>
  <c r="JP1550" i="10" a="1"/>
  <c r="JP1550" i="10" s="1"/>
  <c r="JO1550" i="10" a="1"/>
  <c r="JO1550" i="10" s="1"/>
  <c r="JN1550" i="10" a="1"/>
  <c r="JN1550" i="10" s="1"/>
  <c r="JM1550" i="10" a="1"/>
  <c r="JM1550" i="10" s="1"/>
  <c r="JL1550" i="10" a="1"/>
  <c r="JL1550" i="10" s="1"/>
  <c r="JK1550" i="10" a="1"/>
  <c r="JK1550" i="10" s="1"/>
  <c r="JJ1550" i="10" a="1"/>
  <c r="JJ1550" i="10" s="1"/>
  <c r="JI1550" i="10" a="1"/>
  <c r="JI1550" i="10" s="1"/>
  <c r="JH1550" i="10" a="1"/>
  <c r="JH1550" i="10" s="1"/>
  <c r="JG1550" i="10" a="1"/>
  <c r="JG1550" i="10" s="1"/>
  <c r="JF1550" i="10" a="1"/>
  <c r="JF1550" i="10" s="1"/>
  <c r="JE1550" i="10" a="1"/>
  <c r="JE1550" i="10" s="1"/>
  <c r="JD1550" i="10" a="1"/>
  <c r="JD1550" i="10" s="1"/>
  <c r="JC1550" i="10" a="1"/>
  <c r="JC1550" i="10" s="1"/>
  <c r="JB1550" i="10" a="1"/>
  <c r="JB1550" i="10" s="1"/>
  <c r="JA1550" i="10" a="1"/>
  <c r="JA1550" i="10" s="1"/>
  <c r="IZ1550" i="10" a="1"/>
  <c r="IZ1550" i="10" s="1"/>
  <c r="IY1550" i="10" a="1"/>
  <c r="IY1550" i="10" s="1"/>
  <c r="IX1550" i="10" a="1"/>
  <c r="IX1550" i="10" s="1"/>
  <c r="IW1550" i="10" a="1"/>
  <c r="IW1550" i="10" s="1"/>
  <c r="IV1550" i="10" a="1"/>
  <c r="IV1550" i="10" s="1"/>
  <c r="IU1550" i="10" a="1"/>
  <c r="IU1550" i="10" s="1"/>
  <c r="IT1550" i="10" a="1"/>
  <c r="IT1550" i="10" s="1"/>
  <c r="IS1550" i="10" a="1"/>
  <c r="IS1550" i="10" s="1"/>
  <c r="IR1550" i="10" a="1"/>
  <c r="IR1550" i="10" s="1"/>
  <c r="IQ1550" i="10" a="1"/>
  <c r="IQ1550" i="10" s="1"/>
  <c r="IP1550" i="10" a="1"/>
  <c r="IP1550" i="10" s="1"/>
  <c r="IO1550" i="10" a="1"/>
  <c r="IO1550" i="10" s="1"/>
  <c r="IN1550" i="10" a="1"/>
  <c r="IN1550" i="10" s="1"/>
  <c r="IM1550" i="10" a="1"/>
  <c r="IM1550" i="10" s="1"/>
  <c r="IL1550" i="10" a="1"/>
  <c r="IL1550" i="10" s="1"/>
  <c r="IK1550" i="10" a="1"/>
  <c r="IK1550" i="10" s="1"/>
  <c r="IJ1550" i="10" a="1"/>
  <c r="IJ1550" i="10" s="1"/>
  <c r="II1550" i="10" a="1"/>
  <c r="II1550" i="10" s="1"/>
  <c r="IH1550" i="10" a="1"/>
  <c r="IH1550" i="10" s="1"/>
  <c r="IG1550" i="10" a="1"/>
  <c r="IG1550" i="10" s="1"/>
  <c r="IF1550" i="10" a="1"/>
  <c r="IF1550" i="10" s="1"/>
  <c r="IE1550" i="10" a="1"/>
  <c r="IE1550" i="10" s="1"/>
  <c r="ID1550" i="10" a="1"/>
  <c r="ID1550" i="10" s="1"/>
  <c r="IC1550" i="10" a="1"/>
  <c r="IC1550" i="10" s="1"/>
  <c r="IB1550" i="10" a="1"/>
  <c r="IB1550" i="10" s="1"/>
  <c r="IA1550" i="10" a="1"/>
  <c r="IA1550" i="10" s="1"/>
  <c r="HZ1550" i="10" a="1"/>
  <c r="HZ1550" i="10" s="1"/>
  <c r="HY1550" i="10" a="1"/>
  <c r="HY1550" i="10" s="1"/>
  <c r="HX1550" i="10" a="1"/>
  <c r="HX1550" i="10" s="1"/>
  <c r="HW1550" i="10" a="1"/>
  <c r="HW1550" i="10" s="1"/>
  <c r="HV1550" i="10" a="1"/>
  <c r="HV1550" i="10" s="1"/>
  <c r="HU1550" i="10" a="1"/>
  <c r="HU1550" i="10" s="1"/>
  <c r="HT1550" i="10" a="1"/>
  <c r="HT1550" i="10" s="1"/>
  <c r="HS1550" i="10" a="1"/>
  <c r="HS1550" i="10" s="1"/>
  <c r="HR1550" i="10" a="1"/>
  <c r="HR1550" i="10" s="1"/>
  <c r="HQ1550" i="10" a="1"/>
  <c r="HQ1550" i="10" s="1"/>
  <c r="HP1550" i="10" a="1"/>
  <c r="HP1550" i="10" s="1"/>
  <c r="HO1550" i="10" a="1"/>
  <c r="HO1550" i="10" s="1"/>
  <c r="HN1550" i="10" a="1"/>
  <c r="HN1550" i="10" s="1"/>
  <c r="HM1550" i="10" a="1"/>
  <c r="HM1550" i="10" s="1"/>
  <c r="HL1550" i="10" a="1"/>
  <c r="HL1550" i="10" s="1"/>
  <c r="HK1550" i="10" a="1"/>
  <c r="HK1550" i="10" s="1"/>
  <c r="HJ1550" i="10" a="1"/>
  <c r="HJ1550" i="10" s="1"/>
  <c r="HI1550" i="10" a="1"/>
  <c r="HI1550" i="10" s="1"/>
  <c r="HH1550" i="10" a="1"/>
  <c r="HH1550" i="10" s="1"/>
  <c r="HG1550" i="10" a="1"/>
  <c r="HG1550" i="10" s="1"/>
  <c r="HF1550" i="10" a="1"/>
  <c r="HF1550" i="10" s="1"/>
  <c r="HE1550" i="10" a="1"/>
  <c r="HE1550" i="10" s="1"/>
  <c r="HD1550" i="10" a="1"/>
  <c r="HD1550" i="10" s="1"/>
  <c r="HC1550" i="10" a="1"/>
  <c r="HC1550" i="10" s="1"/>
  <c r="HB1550" i="10" a="1"/>
  <c r="HB1550" i="10" s="1"/>
  <c r="HA1550" i="10" a="1"/>
  <c r="HA1550" i="10" s="1"/>
  <c r="GZ1550" i="10" a="1"/>
  <c r="GZ1550" i="10" s="1"/>
  <c r="GY1550" i="10" a="1"/>
  <c r="GY1550" i="10" s="1"/>
  <c r="GX1550" i="10" a="1"/>
  <c r="GX1550" i="10" s="1"/>
  <c r="GW1550" i="10" a="1"/>
  <c r="GW1550" i="10" s="1"/>
  <c r="GV1550" i="10" a="1"/>
  <c r="GV1550" i="10" s="1"/>
  <c r="GU1550" i="10" a="1"/>
  <c r="GU1550" i="10" s="1"/>
  <c r="GT1550" i="10" a="1"/>
  <c r="GT1550" i="10" s="1"/>
  <c r="GS1550" i="10" a="1"/>
  <c r="GS1550" i="10" s="1"/>
  <c r="GR1550" i="10" a="1"/>
  <c r="GR1550" i="10" s="1"/>
  <c r="GQ1550" i="10" a="1"/>
  <c r="GQ1550" i="10" s="1"/>
  <c r="GP1550" i="10" a="1"/>
  <c r="GP1550" i="10" s="1"/>
  <c r="GO1550" i="10" a="1"/>
  <c r="GO1550" i="10" s="1"/>
  <c r="GN1550" i="10" a="1"/>
  <c r="GN1550" i="10" s="1"/>
  <c r="GM1550" i="10" a="1"/>
  <c r="GM1550" i="10" s="1"/>
  <c r="GL1550" i="10" a="1"/>
  <c r="GL1550" i="10" s="1"/>
  <c r="GK1550" i="10" a="1"/>
  <c r="GK1550" i="10" s="1"/>
  <c r="GJ1550" i="10" a="1"/>
  <c r="GJ1550" i="10" s="1"/>
  <c r="GI1550" i="10" a="1"/>
  <c r="GI1550" i="10" s="1"/>
  <c r="GH1550" i="10" a="1"/>
  <c r="GH1550" i="10" s="1"/>
  <c r="GG1550" i="10" a="1"/>
  <c r="GG1550" i="10" s="1"/>
  <c r="GF1550" i="10" a="1"/>
  <c r="GF1550" i="10" s="1"/>
  <c r="GE1550" i="10" a="1"/>
  <c r="GE1550" i="10" s="1"/>
  <c r="GD1550" i="10" a="1"/>
  <c r="GD1550" i="10" s="1"/>
  <c r="GC1550" i="10" a="1"/>
  <c r="GC1550" i="10" s="1"/>
  <c r="GB1550" i="10" a="1"/>
  <c r="GB1550" i="10" s="1"/>
  <c r="GA1550" i="10" a="1"/>
  <c r="GA1550" i="10" s="1"/>
  <c r="FZ1550" i="10" a="1"/>
  <c r="FZ1550" i="10" s="1"/>
  <c r="FY1550" i="10" a="1"/>
  <c r="FY1550" i="10" s="1"/>
  <c r="FX1550" i="10" a="1"/>
  <c r="FX1550" i="10" s="1"/>
  <c r="FW1550" i="10" a="1"/>
  <c r="FW1550" i="10" s="1"/>
  <c r="FV1550" i="10" a="1"/>
  <c r="FV1550" i="10" s="1"/>
  <c r="FU1550" i="10" a="1"/>
  <c r="FU1550" i="10" s="1"/>
  <c r="FT1550" i="10" a="1"/>
  <c r="FT1550" i="10" s="1"/>
  <c r="FS1550" i="10" a="1"/>
  <c r="FS1550" i="10" s="1"/>
  <c r="FR1550" i="10" a="1"/>
  <c r="FR1550" i="10" s="1"/>
  <c r="FQ1550" i="10" a="1"/>
  <c r="FQ1550" i="10" s="1"/>
  <c r="FP1550" i="10" a="1"/>
  <c r="FP1550" i="10" s="1"/>
  <c r="FO1550" i="10" a="1"/>
  <c r="FO1550" i="10" s="1"/>
  <c r="FN1550" i="10" a="1"/>
  <c r="FN1550" i="10" s="1"/>
  <c r="FM1550" i="10" a="1"/>
  <c r="FM1550" i="10" s="1"/>
  <c r="FL1550" i="10" a="1"/>
  <c r="FL1550" i="10" s="1"/>
  <c r="FK1550" i="10" a="1"/>
  <c r="FK1550" i="10" s="1"/>
  <c r="FJ1550" i="10" a="1"/>
  <c r="FJ1550" i="10" s="1"/>
  <c r="FI1550" i="10" a="1"/>
  <c r="FI1550" i="10" s="1"/>
  <c r="FH1550" i="10" a="1"/>
  <c r="FH1550" i="10" s="1"/>
  <c r="FG1550" i="10" a="1"/>
  <c r="FG1550" i="10" s="1"/>
  <c r="FF1550" i="10" a="1"/>
  <c r="FF1550" i="10" s="1"/>
  <c r="FE1550" i="10" a="1"/>
  <c r="FE1550" i="10" s="1"/>
  <c r="FD1550" i="10" a="1"/>
  <c r="FD1550" i="10" s="1"/>
  <c r="FC1550" i="10" a="1"/>
  <c r="FC1550" i="10" s="1"/>
  <c r="FB1550" i="10" a="1"/>
  <c r="FB1550" i="10" s="1"/>
  <c r="FA1550" i="10" a="1"/>
  <c r="FA1550" i="10" s="1"/>
  <c r="EZ1550" i="10" a="1"/>
  <c r="EZ1550" i="10" s="1"/>
  <c r="EY1550" i="10" a="1"/>
  <c r="EY1550" i="10" s="1"/>
  <c r="EX1550" i="10" a="1"/>
  <c r="EX1550" i="10" s="1"/>
  <c r="EW1550" i="10" a="1"/>
  <c r="EW1550" i="10" s="1"/>
  <c r="EV1550" i="10" a="1"/>
  <c r="EV1550" i="10" s="1"/>
  <c r="EU1550" i="10" a="1"/>
  <c r="EU1550" i="10" s="1"/>
  <c r="ET1550" i="10" a="1"/>
  <c r="ET1550" i="10" s="1"/>
  <c r="ES1550" i="10" a="1"/>
  <c r="ES1550" i="10" s="1"/>
  <c r="ER1550" i="10" a="1"/>
  <c r="ER1550" i="10" s="1"/>
  <c r="EQ1550" i="10" a="1"/>
  <c r="EQ1550" i="10" s="1"/>
  <c r="EP1550" i="10" a="1"/>
  <c r="EP1550" i="10" s="1"/>
  <c r="EO1550" i="10" a="1"/>
  <c r="EO1550" i="10" s="1"/>
  <c r="EN1550" i="10" a="1"/>
  <c r="EN1550" i="10" s="1"/>
  <c r="EM1550" i="10" a="1"/>
  <c r="EM1550" i="10" s="1"/>
  <c r="EL1550" i="10" a="1"/>
  <c r="EL1550" i="10" s="1"/>
  <c r="EK1550" i="10" a="1"/>
  <c r="EK1550" i="10" s="1"/>
  <c r="EJ1550" i="10" a="1"/>
  <c r="EJ1550" i="10" s="1"/>
  <c r="EI1550" i="10" a="1"/>
  <c r="EI1550" i="10" s="1"/>
  <c r="EH1550" i="10" a="1"/>
  <c r="EH1550" i="10" s="1"/>
  <c r="EG1550" i="10" a="1"/>
  <c r="EG1550" i="10" s="1"/>
  <c r="EF1550" i="10" a="1"/>
  <c r="EF1550" i="10" s="1"/>
  <c r="EE1550" i="10" a="1"/>
  <c r="EE1550" i="10" s="1"/>
  <c r="ED1550" i="10" a="1"/>
  <c r="ED1550" i="10" s="1"/>
  <c r="EC1550" i="10" a="1"/>
  <c r="EC1550" i="10" s="1"/>
  <c r="EB1550" i="10" a="1"/>
  <c r="EB1550" i="10" s="1"/>
  <c r="EA1550" i="10" a="1"/>
  <c r="EA1550" i="10" s="1"/>
  <c r="DZ1550" i="10" a="1"/>
  <c r="DZ1550" i="10" s="1"/>
  <c r="DY1550" i="10" a="1"/>
  <c r="DY1550" i="10" s="1"/>
  <c r="DX1550" i="10" a="1"/>
  <c r="DX1550" i="10" s="1"/>
  <c r="DW1550" i="10" a="1"/>
  <c r="DW1550" i="10" s="1"/>
  <c r="DV1550" i="10" a="1"/>
  <c r="DV1550" i="10" s="1"/>
  <c r="DU1550" i="10" a="1"/>
  <c r="DU1550" i="10" s="1"/>
  <c r="DT1550" i="10" a="1"/>
  <c r="DT1550" i="10" s="1"/>
  <c r="DS1550" i="10" a="1"/>
  <c r="DS1550" i="10" s="1"/>
  <c r="DR1550" i="10" a="1"/>
  <c r="DR1550" i="10" s="1"/>
  <c r="DQ1550" i="10" a="1"/>
  <c r="DQ1550" i="10" s="1"/>
  <c r="DP1550" i="10" a="1"/>
  <c r="DP1550" i="10" s="1"/>
  <c r="DO1550" i="10" a="1"/>
  <c r="DO1550" i="10" s="1"/>
  <c r="DN1550" i="10" a="1"/>
  <c r="DN1550" i="10" s="1"/>
  <c r="DM1550" i="10" a="1"/>
  <c r="DM1550" i="10" s="1"/>
  <c r="DL1550" i="10" a="1"/>
  <c r="DL1550" i="10" s="1"/>
  <c r="DK1550" i="10" a="1"/>
  <c r="DK1550" i="10" s="1"/>
  <c r="DJ1550" i="10" a="1"/>
  <c r="DJ1550" i="10" s="1"/>
  <c r="DI1550" i="10" a="1"/>
  <c r="DI1550" i="10" s="1"/>
  <c r="DH1550" i="10" a="1"/>
  <c r="DH1550" i="10" s="1"/>
  <c r="DG1550" i="10" a="1"/>
  <c r="DG1550" i="10" s="1"/>
  <c r="DF1550" i="10" a="1"/>
  <c r="DF1550" i="10" s="1"/>
  <c r="DE1550" i="10" a="1"/>
  <c r="DE1550" i="10" s="1"/>
  <c r="DD1550" i="10" a="1"/>
  <c r="DD1550" i="10" s="1"/>
  <c r="DC1550" i="10" a="1"/>
  <c r="DC1550" i="10" s="1"/>
  <c r="DB1550" i="10" a="1"/>
  <c r="DB1550" i="10" s="1"/>
  <c r="DA1550" i="10" a="1"/>
  <c r="DA1550" i="10" s="1"/>
  <c r="CZ1550" i="10" a="1"/>
  <c r="CZ1550" i="10" s="1"/>
  <c r="CY1550" i="10" a="1"/>
  <c r="CY1550" i="10" s="1"/>
  <c r="CX1550" i="10" a="1"/>
  <c r="CX1550" i="10" s="1"/>
  <c r="CW1550" i="10" a="1"/>
  <c r="CW1550" i="10" s="1"/>
  <c r="CV1550" i="10" a="1"/>
  <c r="CV1550" i="10" s="1"/>
  <c r="CU1550" i="10" a="1"/>
  <c r="CU1550" i="10" s="1"/>
  <c r="CT1550" i="10" a="1"/>
  <c r="CT1550" i="10" s="1"/>
  <c r="CS1550" i="10" a="1"/>
  <c r="CS1550" i="10" s="1"/>
  <c r="CR1550" i="10" a="1"/>
  <c r="CR1550" i="10" s="1"/>
  <c r="CQ1550" i="10" a="1"/>
  <c r="CQ1550" i="10" s="1"/>
  <c r="CP1550" i="10" a="1"/>
  <c r="CP1550" i="10" s="1"/>
  <c r="CO1550" i="10" a="1"/>
  <c r="CO1550" i="10" s="1"/>
  <c r="CN1550" i="10" a="1"/>
  <c r="CN1550" i="10" s="1"/>
  <c r="CM1550" i="10" a="1"/>
  <c r="CM1550" i="10" s="1"/>
  <c r="CL1550" i="10" a="1"/>
  <c r="CL1550" i="10" s="1"/>
  <c r="CK1550" i="10" a="1"/>
  <c r="CK1550" i="10" s="1"/>
  <c r="CJ1550" i="10" a="1"/>
  <c r="CJ1550" i="10" s="1"/>
  <c r="CI1550" i="10" a="1"/>
  <c r="CI1550" i="10" s="1"/>
  <c r="CH1550" i="10" a="1"/>
  <c r="CH1550" i="10" s="1"/>
  <c r="CG1550" i="10" a="1"/>
  <c r="CG1550" i="10" s="1"/>
  <c r="CF1550" i="10" a="1"/>
  <c r="CF1550" i="10" s="1"/>
  <c r="CE1550" i="10" a="1"/>
  <c r="CE1550" i="10" s="1"/>
  <c r="CD1550" i="10" a="1"/>
  <c r="CD1550" i="10" s="1"/>
  <c r="CC1550" i="10" a="1"/>
  <c r="CC1550" i="10" s="1"/>
  <c r="CB1550" i="10" a="1"/>
  <c r="CB1550" i="10" s="1"/>
  <c r="CA1550" i="10" a="1"/>
  <c r="CA1550" i="10" s="1"/>
  <c r="BZ1550" i="10" a="1"/>
  <c r="BZ1550" i="10" s="1"/>
  <c r="BY1550" i="10" a="1"/>
  <c r="BY1550" i="10" s="1"/>
  <c r="BX1550" i="10" a="1"/>
  <c r="BX1550" i="10" s="1"/>
  <c r="BW1550" i="10" a="1"/>
  <c r="BW1550" i="10" s="1"/>
  <c r="BV1550" i="10" a="1"/>
  <c r="BV1550" i="10" s="1"/>
  <c r="BU1550" i="10" a="1"/>
  <c r="BU1550" i="10" s="1"/>
  <c r="BT1550" i="10" a="1"/>
  <c r="BT1550" i="10" s="1"/>
  <c r="BS1550" i="10" a="1"/>
  <c r="BS1550" i="10" s="1"/>
  <c r="BR1550" i="10" a="1"/>
  <c r="BR1550" i="10" s="1"/>
  <c r="BQ1550" i="10" a="1"/>
  <c r="BQ1550" i="10" s="1"/>
  <c r="BP1550" i="10" a="1"/>
  <c r="BP1550" i="10" s="1"/>
  <c r="BO1550" i="10" a="1"/>
  <c r="BO1550" i="10" s="1"/>
  <c r="BN1550" i="10" a="1"/>
  <c r="BN1550" i="10" s="1"/>
  <c r="BM1550" i="10" a="1"/>
  <c r="BM1550" i="10" s="1"/>
  <c r="BL1550" i="10" a="1"/>
  <c r="BL1550" i="10" s="1"/>
  <c r="BK1550" i="10" a="1"/>
  <c r="BK1550" i="10" s="1"/>
  <c r="BJ1550" i="10" a="1"/>
  <c r="BJ1550" i="10" s="1"/>
  <c r="BI1550" i="10" a="1"/>
  <c r="BI1550" i="10" s="1"/>
  <c r="BH1550" i="10" a="1"/>
  <c r="BH1550" i="10" s="1"/>
  <c r="BG1550" i="10" a="1"/>
  <c r="BG1550" i="10" s="1"/>
  <c r="BF1550" i="10" a="1"/>
  <c r="BF1550" i="10" s="1"/>
  <c r="BE1550" i="10" a="1"/>
  <c r="BE1550" i="10" s="1"/>
  <c r="BD1550" i="10" a="1"/>
  <c r="BD1550" i="10" s="1"/>
  <c r="BC1550" i="10" a="1"/>
  <c r="BC1550" i="10" s="1"/>
  <c r="BB1550" i="10" a="1"/>
  <c r="BB1550" i="10" s="1"/>
  <c r="BA1550" i="10" a="1"/>
  <c r="BA1550" i="10" s="1"/>
  <c r="AZ1550" i="10" a="1"/>
  <c r="AZ1550" i="10" s="1"/>
  <c r="AY1550" i="10" a="1"/>
  <c r="AY1550" i="10" s="1"/>
  <c r="AX1550" i="10" a="1"/>
  <c r="AX1550" i="10" s="1"/>
  <c r="AW1550" i="10" a="1"/>
  <c r="AW1550" i="10" s="1"/>
  <c r="AV1550" i="10" a="1"/>
  <c r="AV1550" i="10" s="1"/>
  <c r="AU1550" i="10" a="1"/>
  <c r="AU1550" i="10" s="1"/>
  <c r="AT1550" i="10" a="1"/>
  <c r="AT1550" i="10" s="1"/>
  <c r="AS1550" i="10" a="1"/>
  <c r="AS1550" i="10" s="1"/>
  <c r="AR1550" i="10" a="1"/>
  <c r="AR1550" i="10" s="1"/>
  <c r="AQ1550" i="10" a="1"/>
  <c r="AQ1550" i="10" s="1"/>
  <c r="AP1550" i="10" a="1"/>
  <c r="AP1550" i="10" s="1"/>
  <c r="AO1550" i="10" a="1"/>
  <c r="AO1550" i="10" s="1"/>
  <c r="AN1550" i="10" a="1"/>
  <c r="AN1550" i="10" s="1"/>
  <c r="AM1550" i="10" a="1"/>
  <c r="AM1550" i="10" s="1"/>
  <c r="AL1550" i="10" a="1"/>
  <c r="AL1550" i="10" s="1"/>
  <c r="Q28" i="9" s="1"/>
  <c r="AK1550" i="10" a="1"/>
  <c r="AK1550" i="10" s="1"/>
  <c r="AJ1550" i="10" a="1"/>
  <c r="AJ1550" i="10" s="1"/>
  <c r="AI1550" i="10" a="1"/>
  <c r="AI1550" i="10" s="1"/>
  <c r="AH1550" i="10" a="1"/>
  <c r="AH1550" i="10" s="1"/>
  <c r="AG1550" i="10" a="1"/>
  <c r="AG1550" i="10" s="1"/>
  <c r="AF1550" i="10" a="1"/>
  <c r="AF1550" i="10" s="1"/>
  <c r="AE1550" i="10" a="1"/>
  <c r="AE1550" i="10" s="1"/>
  <c r="AD1550" i="10" a="1"/>
  <c r="AD1550" i="10" s="1"/>
  <c r="AC1550" i="10" a="1"/>
  <c r="AC1550" i="10" s="1"/>
  <c r="AB1550" i="10" a="1"/>
  <c r="AB1550" i="10" s="1"/>
  <c r="AA1550" i="10" a="1"/>
  <c r="AA1550" i="10" s="1"/>
  <c r="Z1550" i="10" a="1"/>
  <c r="Z1550" i="10" s="1"/>
  <c r="Y1550" i="10" a="1"/>
  <c r="Y1550" i="10" s="1"/>
  <c r="X1550" i="10" a="1"/>
  <c r="X1550" i="10" s="1"/>
  <c r="W1550" i="10" a="1"/>
  <c r="W1550" i="10" s="1"/>
  <c r="V1550" i="10" a="1"/>
  <c r="V1550" i="10" s="1"/>
  <c r="U1550" i="10" a="1"/>
  <c r="U1550" i="10" s="1"/>
  <c r="T1550" i="10" a="1"/>
  <c r="T1550" i="10" s="1"/>
  <c r="S1550" i="10" a="1"/>
  <c r="S1550" i="10" s="1"/>
  <c r="R1550" i="10" a="1"/>
  <c r="R1550" i="10" s="1"/>
  <c r="Q1550" i="10" a="1"/>
  <c r="Q1550" i="10" s="1"/>
  <c r="P1550" i="10" a="1"/>
  <c r="P1550" i="10" s="1"/>
  <c r="AGN1549" i="10" a="1"/>
  <c r="AGN1549" i="10" s="1"/>
  <c r="AGM1549" i="10" a="1"/>
  <c r="AGM1549" i="10" s="1"/>
  <c r="AGL1549" i="10" a="1"/>
  <c r="AGL1549" i="10" s="1"/>
  <c r="AGK1549" i="10" a="1"/>
  <c r="AGK1549" i="10" s="1"/>
  <c r="AGJ1549" i="10" a="1"/>
  <c r="AGJ1549" i="10" s="1"/>
  <c r="AGI1549" i="10" a="1"/>
  <c r="AGI1549" i="10" s="1"/>
  <c r="AGH1549" i="10" a="1"/>
  <c r="AGH1549" i="10" s="1"/>
  <c r="AGG1549" i="10" a="1"/>
  <c r="AGG1549" i="10" s="1"/>
  <c r="AGF1549" i="10" a="1"/>
  <c r="AGF1549" i="10" s="1"/>
  <c r="AGE1549" i="10" a="1"/>
  <c r="AGE1549" i="10" s="1"/>
  <c r="AGD1549" i="10" a="1"/>
  <c r="AGD1549" i="10" s="1"/>
  <c r="AGC1549" i="10" a="1"/>
  <c r="AGC1549" i="10" s="1"/>
  <c r="AGB1549" i="10" a="1"/>
  <c r="AGB1549" i="10" s="1"/>
  <c r="AGA1549" i="10" a="1"/>
  <c r="AGA1549" i="10" s="1"/>
  <c r="AFZ1549" i="10" a="1"/>
  <c r="AFZ1549" i="10" s="1"/>
  <c r="AFY1549" i="10" a="1"/>
  <c r="AFY1549" i="10" s="1"/>
  <c r="AFX1549" i="10" a="1"/>
  <c r="AFX1549" i="10" s="1"/>
  <c r="AFW1549" i="10" a="1"/>
  <c r="AFW1549" i="10" s="1"/>
  <c r="AFV1549" i="10" a="1"/>
  <c r="AFV1549" i="10" s="1"/>
  <c r="AFU1549" i="10" a="1"/>
  <c r="AFU1549" i="10" s="1"/>
  <c r="AFT1549" i="10" a="1"/>
  <c r="AFT1549" i="10" s="1"/>
  <c r="AFS1549" i="10" a="1"/>
  <c r="AFS1549" i="10" s="1"/>
  <c r="AFR1549" i="10" a="1"/>
  <c r="AFR1549" i="10" s="1"/>
  <c r="AFQ1549" i="10" a="1"/>
  <c r="AFQ1549" i="10" s="1"/>
  <c r="AFP1549" i="10" a="1"/>
  <c r="AFP1549" i="10" s="1"/>
  <c r="AFO1549" i="10" a="1"/>
  <c r="AFO1549" i="10" s="1"/>
  <c r="AFN1549" i="10" a="1"/>
  <c r="AFN1549" i="10" s="1"/>
  <c r="AFM1549" i="10" a="1"/>
  <c r="AFM1549" i="10" s="1"/>
  <c r="AFL1549" i="10" a="1"/>
  <c r="AFL1549" i="10" s="1"/>
  <c r="AFK1549" i="10" a="1"/>
  <c r="AFK1549" i="10" s="1"/>
  <c r="AFJ1549" i="10" a="1"/>
  <c r="AFJ1549" i="10" s="1"/>
  <c r="AFI1549" i="10" a="1"/>
  <c r="AFI1549" i="10" s="1"/>
  <c r="AFH1549" i="10" a="1"/>
  <c r="AFH1549" i="10" s="1"/>
  <c r="AFG1549" i="10" a="1"/>
  <c r="AFG1549" i="10" s="1"/>
  <c r="AFF1549" i="10" a="1"/>
  <c r="AFF1549" i="10" s="1"/>
  <c r="AFE1549" i="10" a="1"/>
  <c r="AFE1549" i="10" s="1"/>
  <c r="AFD1549" i="10" a="1"/>
  <c r="AFD1549" i="10" s="1"/>
  <c r="AFC1549" i="10" a="1"/>
  <c r="AFC1549" i="10" s="1"/>
  <c r="AFB1549" i="10" a="1"/>
  <c r="AFB1549" i="10" s="1"/>
  <c r="AFA1549" i="10" a="1"/>
  <c r="AFA1549" i="10" s="1"/>
  <c r="AEZ1549" i="10" a="1"/>
  <c r="AEZ1549" i="10" s="1"/>
  <c r="AEY1549" i="10" a="1"/>
  <c r="AEY1549" i="10" s="1"/>
  <c r="AEX1549" i="10" a="1"/>
  <c r="AEX1549" i="10" s="1"/>
  <c r="AEW1549" i="10" a="1"/>
  <c r="AEW1549" i="10" s="1"/>
  <c r="AEV1549" i="10" a="1"/>
  <c r="AEV1549" i="10" s="1"/>
  <c r="AEU1549" i="10" a="1"/>
  <c r="AEU1549" i="10" s="1"/>
  <c r="AET1549" i="10" a="1"/>
  <c r="AET1549" i="10" s="1"/>
  <c r="AES1549" i="10" a="1"/>
  <c r="AES1549" i="10" s="1"/>
  <c r="AER1549" i="10" a="1"/>
  <c r="AER1549" i="10" s="1"/>
  <c r="AEQ1549" i="10" a="1"/>
  <c r="AEQ1549" i="10" s="1"/>
  <c r="AEP1549" i="10" a="1"/>
  <c r="AEP1549" i="10" s="1"/>
  <c r="AEO1549" i="10" a="1"/>
  <c r="AEO1549" i="10" s="1"/>
  <c r="AEN1549" i="10" a="1"/>
  <c r="AEN1549" i="10" s="1"/>
  <c r="AEM1549" i="10" a="1"/>
  <c r="AEM1549" i="10" s="1"/>
  <c r="AEL1549" i="10" a="1"/>
  <c r="AEL1549" i="10" s="1"/>
  <c r="AEK1549" i="10" a="1"/>
  <c r="AEK1549" i="10" s="1"/>
  <c r="AEJ1549" i="10" a="1"/>
  <c r="AEJ1549" i="10" s="1"/>
  <c r="AEI1549" i="10" a="1"/>
  <c r="AEI1549" i="10" s="1"/>
  <c r="AEH1549" i="10" a="1"/>
  <c r="AEH1549" i="10" s="1"/>
  <c r="AEG1549" i="10" a="1"/>
  <c r="AEG1549" i="10" s="1"/>
  <c r="AEF1549" i="10" a="1"/>
  <c r="AEF1549" i="10" s="1"/>
  <c r="AEE1549" i="10" a="1"/>
  <c r="AEE1549" i="10" s="1"/>
  <c r="AED1549" i="10" a="1"/>
  <c r="AED1549" i="10" s="1"/>
  <c r="AEC1549" i="10" a="1"/>
  <c r="AEC1549" i="10" s="1"/>
  <c r="AEB1549" i="10" a="1"/>
  <c r="AEB1549" i="10" s="1"/>
  <c r="AEA1549" i="10" a="1"/>
  <c r="AEA1549" i="10" s="1"/>
  <c r="ADZ1549" i="10" a="1"/>
  <c r="ADZ1549" i="10" s="1"/>
  <c r="ADY1549" i="10" a="1"/>
  <c r="ADY1549" i="10" s="1"/>
  <c r="ADX1549" i="10" a="1"/>
  <c r="ADX1549" i="10" s="1"/>
  <c r="ADW1549" i="10" a="1"/>
  <c r="ADW1549" i="10" s="1"/>
  <c r="ADV1549" i="10" a="1"/>
  <c r="ADV1549" i="10" s="1"/>
  <c r="ADU1549" i="10" a="1"/>
  <c r="ADU1549" i="10" s="1"/>
  <c r="ADT1549" i="10" a="1"/>
  <c r="ADT1549" i="10" s="1"/>
  <c r="ADS1549" i="10" a="1"/>
  <c r="ADS1549" i="10" s="1"/>
  <c r="ADR1549" i="10" a="1"/>
  <c r="ADR1549" i="10" s="1"/>
  <c r="ADQ1549" i="10" a="1"/>
  <c r="ADQ1549" i="10" s="1"/>
  <c r="ADP1549" i="10" a="1"/>
  <c r="ADP1549" i="10" s="1"/>
  <c r="ADO1549" i="10" a="1"/>
  <c r="ADO1549" i="10" s="1"/>
  <c r="ADN1549" i="10" a="1"/>
  <c r="ADN1549" i="10" s="1"/>
  <c r="ADM1549" i="10" a="1"/>
  <c r="ADM1549" i="10" s="1"/>
  <c r="ADL1549" i="10" a="1"/>
  <c r="ADL1549" i="10" s="1"/>
  <c r="ADK1549" i="10" a="1"/>
  <c r="ADK1549" i="10" s="1"/>
  <c r="ADJ1549" i="10" a="1"/>
  <c r="ADJ1549" i="10" s="1"/>
  <c r="ADI1549" i="10" a="1"/>
  <c r="ADI1549" i="10" s="1"/>
  <c r="ADH1549" i="10" a="1"/>
  <c r="ADH1549" i="10" s="1"/>
  <c r="ADG1549" i="10" a="1"/>
  <c r="ADG1549" i="10" s="1"/>
  <c r="ADF1549" i="10" a="1"/>
  <c r="ADF1549" i="10" s="1"/>
  <c r="ADE1549" i="10" a="1"/>
  <c r="ADE1549" i="10" s="1"/>
  <c r="ADD1549" i="10" a="1"/>
  <c r="ADD1549" i="10" s="1"/>
  <c r="ADC1549" i="10" a="1"/>
  <c r="ADC1549" i="10" s="1"/>
  <c r="ADB1549" i="10" a="1"/>
  <c r="ADB1549" i="10" s="1"/>
  <c r="ADA1549" i="10" a="1"/>
  <c r="ADA1549" i="10" s="1"/>
  <c r="ACZ1549" i="10" a="1"/>
  <c r="ACZ1549" i="10" s="1"/>
  <c r="ACY1549" i="10" a="1"/>
  <c r="ACY1549" i="10" s="1"/>
  <c r="ACX1549" i="10" a="1"/>
  <c r="ACX1549" i="10" s="1"/>
  <c r="ACW1549" i="10" a="1"/>
  <c r="ACW1549" i="10" s="1"/>
  <c r="ACV1549" i="10" a="1"/>
  <c r="ACV1549" i="10" s="1"/>
  <c r="ACU1549" i="10" a="1"/>
  <c r="ACU1549" i="10" s="1"/>
  <c r="ACT1549" i="10" a="1"/>
  <c r="ACT1549" i="10" s="1"/>
  <c r="ACS1549" i="10" a="1"/>
  <c r="ACS1549" i="10" s="1"/>
  <c r="ACR1549" i="10" a="1"/>
  <c r="ACR1549" i="10" s="1"/>
  <c r="ACQ1549" i="10" a="1"/>
  <c r="ACQ1549" i="10" s="1"/>
  <c r="ACP1549" i="10" a="1"/>
  <c r="ACP1549" i="10" s="1"/>
  <c r="ACO1549" i="10" a="1"/>
  <c r="ACO1549" i="10" s="1"/>
  <c r="ACN1549" i="10" a="1"/>
  <c r="ACN1549" i="10" s="1"/>
  <c r="ACM1549" i="10" a="1"/>
  <c r="ACM1549" i="10" s="1"/>
  <c r="ACL1549" i="10" a="1"/>
  <c r="ACL1549" i="10" s="1"/>
  <c r="ACK1549" i="10" a="1"/>
  <c r="ACK1549" i="10" s="1"/>
  <c r="ACJ1549" i="10" a="1"/>
  <c r="ACJ1549" i="10" s="1"/>
  <c r="ACI1549" i="10" a="1"/>
  <c r="ACI1549" i="10" s="1"/>
  <c r="ACH1549" i="10" a="1"/>
  <c r="ACH1549" i="10" s="1"/>
  <c r="ACG1549" i="10" a="1"/>
  <c r="ACG1549" i="10" s="1"/>
  <c r="ACF1549" i="10" a="1"/>
  <c r="ACF1549" i="10" s="1"/>
  <c r="ACE1549" i="10" a="1"/>
  <c r="ACE1549" i="10" s="1"/>
  <c r="ACD1549" i="10" a="1"/>
  <c r="ACD1549" i="10" s="1"/>
  <c r="ACC1549" i="10" a="1"/>
  <c r="ACC1549" i="10" s="1"/>
  <c r="ACB1549" i="10" a="1"/>
  <c r="ACB1549" i="10" s="1"/>
  <c r="ACA1549" i="10" a="1"/>
  <c r="ACA1549" i="10" s="1"/>
  <c r="ABZ1549" i="10" a="1"/>
  <c r="ABZ1549" i="10" s="1"/>
  <c r="ABY1549" i="10" a="1"/>
  <c r="ABY1549" i="10" s="1"/>
  <c r="ABX1549" i="10" a="1"/>
  <c r="ABX1549" i="10" s="1"/>
  <c r="ABW1549" i="10" a="1"/>
  <c r="ABW1549" i="10" s="1"/>
  <c r="ABV1549" i="10" a="1"/>
  <c r="ABV1549" i="10" s="1"/>
  <c r="ABU1549" i="10" a="1"/>
  <c r="ABU1549" i="10" s="1"/>
  <c r="ABT1549" i="10" a="1"/>
  <c r="ABT1549" i="10" s="1"/>
  <c r="ABS1549" i="10" a="1"/>
  <c r="ABS1549" i="10" s="1"/>
  <c r="ABR1549" i="10" a="1"/>
  <c r="ABR1549" i="10" s="1"/>
  <c r="ABQ1549" i="10" a="1"/>
  <c r="ABQ1549" i="10" s="1"/>
  <c r="ABP1549" i="10" a="1"/>
  <c r="ABP1549" i="10" s="1"/>
  <c r="ABO1549" i="10" a="1"/>
  <c r="ABO1549" i="10" s="1"/>
  <c r="ABN1549" i="10" a="1"/>
  <c r="ABN1549" i="10" s="1"/>
  <c r="ABM1549" i="10" a="1"/>
  <c r="ABM1549" i="10" s="1"/>
  <c r="ABL1549" i="10" a="1"/>
  <c r="ABL1549" i="10" s="1"/>
  <c r="ABK1549" i="10" a="1"/>
  <c r="ABK1549" i="10" s="1"/>
  <c r="ABJ1549" i="10" a="1"/>
  <c r="ABJ1549" i="10" s="1"/>
  <c r="ABI1549" i="10" a="1"/>
  <c r="ABI1549" i="10" s="1"/>
  <c r="ABH1549" i="10" a="1"/>
  <c r="ABH1549" i="10" s="1"/>
  <c r="ABG1549" i="10" a="1"/>
  <c r="ABG1549" i="10" s="1"/>
  <c r="ABF1549" i="10" a="1"/>
  <c r="ABF1549" i="10" s="1"/>
  <c r="ABE1549" i="10" a="1"/>
  <c r="ABE1549" i="10" s="1"/>
  <c r="ABD1549" i="10" a="1"/>
  <c r="ABD1549" i="10" s="1"/>
  <c r="ABC1549" i="10" a="1"/>
  <c r="ABC1549" i="10" s="1"/>
  <c r="ABB1549" i="10" a="1"/>
  <c r="ABB1549" i="10" s="1"/>
  <c r="ABA1549" i="10" a="1"/>
  <c r="ABA1549" i="10" s="1"/>
  <c r="AAZ1549" i="10" a="1"/>
  <c r="AAZ1549" i="10" s="1"/>
  <c r="AAY1549" i="10" a="1"/>
  <c r="AAY1549" i="10" s="1"/>
  <c r="AAX1549" i="10" a="1"/>
  <c r="AAX1549" i="10" s="1"/>
  <c r="AAW1549" i="10" a="1"/>
  <c r="AAW1549" i="10" s="1"/>
  <c r="AAV1549" i="10" a="1"/>
  <c r="AAV1549" i="10" s="1"/>
  <c r="AAU1549" i="10" a="1"/>
  <c r="AAU1549" i="10" s="1"/>
  <c r="AAT1549" i="10" a="1"/>
  <c r="AAT1549" i="10" s="1"/>
  <c r="AAS1549" i="10" a="1"/>
  <c r="AAS1549" i="10" s="1"/>
  <c r="AAR1549" i="10" a="1"/>
  <c r="AAR1549" i="10" s="1"/>
  <c r="AAQ1549" i="10" a="1"/>
  <c r="AAQ1549" i="10" s="1"/>
  <c r="AAP1549" i="10" a="1"/>
  <c r="AAP1549" i="10" s="1"/>
  <c r="AAO1549" i="10" a="1"/>
  <c r="AAO1549" i="10" s="1"/>
  <c r="AAN1549" i="10" a="1"/>
  <c r="AAN1549" i="10" s="1"/>
  <c r="AAM1549" i="10" a="1"/>
  <c r="AAM1549" i="10" s="1"/>
  <c r="AAL1549" i="10" a="1"/>
  <c r="AAL1549" i="10" s="1"/>
  <c r="AAK1549" i="10" a="1"/>
  <c r="AAK1549" i="10" s="1"/>
  <c r="AAJ1549" i="10" a="1"/>
  <c r="AAJ1549" i="10" s="1"/>
  <c r="AAI1549" i="10" a="1"/>
  <c r="AAI1549" i="10" s="1"/>
  <c r="AAH1549" i="10" a="1"/>
  <c r="AAH1549" i="10" s="1"/>
  <c r="AAG1549" i="10" a="1"/>
  <c r="AAG1549" i="10" s="1"/>
  <c r="AAF1549" i="10" a="1"/>
  <c r="AAF1549" i="10" s="1"/>
  <c r="AAE1549" i="10" a="1"/>
  <c r="AAE1549" i="10" s="1"/>
  <c r="AAD1549" i="10" a="1"/>
  <c r="AAD1549" i="10" s="1"/>
  <c r="AAC1549" i="10" a="1"/>
  <c r="AAC1549" i="10" s="1"/>
  <c r="AAB1549" i="10" a="1"/>
  <c r="AAB1549" i="10" s="1"/>
  <c r="AAA1549" i="10" a="1"/>
  <c r="AAA1549" i="10" s="1"/>
  <c r="ZZ1549" i="10" a="1"/>
  <c r="ZZ1549" i="10" s="1"/>
  <c r="ZY1549" i="10" a="1"/>
  <c r="ZY1549" i="10" s="1"/>
  <c r="ZX1549" i="10" a="1"/>
  <c r="ZX1549" i="10" s="1"/>
  <c r="ZW1549" i="10" a="1"/>
  <c r="ZW1549" i="10" s="1"/>
  <c r="ZV1549" i="10" a="1"/>
  <c r="ZV1549" i="10" s="1"/>
  <c r="ZU1549" i="10" a="1"/>
  <c r="ZU1549" i="10" s="1"/>
  <c r="ZT1549" i="10" a="1"/>
  <c r="ZT1549" i="10" s="1"/>
  <c r="ZS1549" i="10" a="1"/>
  <c r="ZS1549" i="10" s="1"/>
  <c r="ZR1549" i="10" a="1"/>
  <c r="ZR1549" i="10" s="1"/>
  <c r="ZQ1549" i="10" a="1"/>
  <c r="ZQ1549" i="10" s="1"/>
  <c r="ZP1549" i="10" a="1"/>
  <c r="ZP1549" i="10" s="1"/>
  <c r="ZO1549" i="10" a="1"/>
  <c r="ZO1549" i="10" s="1"/>
  <c r="ZN1549" i="10" a="1"/>
  <c r="ZN1549" i="10" s="1"/>
  <c r="ZM1549" i="10" a="1"/>
  <c r="ZM1549" i="10" s="1"/>
  <c r="ZL1549" i="10" a="1"/>
  <c r="ZL1549" i="10" s="1"/>
  <c r="ZK1549" i="10" a="1"/>
  <c r="ZK1549" i="10" s="1"/>
  <c r="ZJ1549" i="10" a="1"/>
  <c r="ZJ1549" i="10" s="1"/>
  <c r="ZI1549" i="10" a="1"/>
  <c r="ZI1549" i="10" s="1"/>
  <c r="ZH1549" i="10" a="1"/>
  <c r="ZH1549" i="10" s="1"/>
  <c r="ZG1549" i="10" a="1"/>
  <c r="ZG1549" i="10" s="1"/>
  <c r="ZF1549" i="10" a="1"/>
  <c r="ZF1549" i="10" s="1"/>
  <c r="ZE1549" i="10" a="1"/>
  <c r="ZE1549" i="10" s="1"/>
  <c r="ZD1549" i="10" a="1"/>
  <c r="ZD1549" i="10" s="1"/>
  <c r="ZC1549" i="10" a="1"/>
  <c r="ZC1549" i="10" s="1"/>
  <c r="ZB1549" i="10" a="1"/>
  <c r="ZB1549" i="10" s="1"/>
  <c r="ZA1549" i="10" a="1"/>
  <c r="ZA1549" i="10" s="1"/>
  <c r="YZ1549" i="10" a="1"/>
  <c r="YZ1549" i="10" s="1"/>
  <c r="YY1549" i="10" a="1"/>
  <c r="YY1549" i="10" s="1"/>
  <c r="YX1549" i="10" a="1"/>
  <c r="YX1549" i="10" s="1"/>
  <c r="YW1549" i="10" a="1"/>
  <c r="YW1549" i="10" s="1"/>
  <c r="YV1549" i="10" a="1"/>
  <c r="YV1549" i="10" s="1"/>
  <c r="YU1549" i="10" a="1"/>
  <c r="YU1549" i="10" s="1"/>
  <c r="YT1549" i="10" a="1"/>
  <c r="YT1549" i="10" s="1"/>
  <c r="YS1549" i="10" a="1"/>
  <c r="YS1549" i="10" s="1"/>
  <c r="YR1549" i="10" a="1"/>
  <c r="YR1549" i="10" s="1"/>
  <c r="YQ1549" i="10" a="1"/>
  <c r="YQ1549" i="10" s="1"/>
  <c r="YP1549" i="10" a="1"/>
  <c r="YP1549" i="10" s="1"/>
  <c r="YO1549" i="10" a="1"/>
  <c r="YO1549" i="10" s="1"/>
  <c r="YN1549" i="10" a="1"/>
  <c r="YN1549" i="10" s="1"/>
  <c r="YM1549" i="10" a="1"/>
  <c r="YM1549" i="10" s="1"/>
  <c r="YL1549" i="10" a="1"/>
  <c r="YL1549" i="10" s="1"/>
  <c r="YK1549" i="10" a="1"/>
  <c r="YK1549" i="10" s="1"/>
  <c r="YJ1549" i="10" a="1"/>
  <c r="YJ1549" i="10" s="1"/>
  <c r="YI1549" i="10" a="1"/>
  <c r="YI1549" i="10" s="1"/>
  <c r="YH1549" i="10" a="1"/>
  <c r="YH1549" i="10" s="1"/>
  <c r="YG1549" i="10" a="1"/>
  <c r="YG1549" i="10" s="1"/>
  <c r="YF1549" i="10" a="1"/>
  <c r="YF1549" i="10" s="1"/>
  <c r="YE1549" i="10" a="1"/>
  <c r="YE1549" i="10" s="1"/>
  <c r="YD1549" i="10" a="1"/>
  <c r="YD1549" i="10" s="1"/>
  <c r="YC1549" i="10" a="1"/>
  <c r="YC1549" i="10" s="1"/>
  <c r="YB1549" i="10" a="1"/>
  <c r="YB1549" i="10" s="1"/>
  <c r="YA1549" i="10" a="1"/>
  <c r="YA1549" i="10" s="1"/>
  <c r="XZ1549" i="10" a="1"/>
  <c r="XZ1549" i="10" s="1"/>
  <c r="XY1549" i="10" a="1"/>
  <c r="XY1549" i="10" s="1"/>
  <c r="XX1549" i="10" a="1"/>
  <c r="XX1549" i="10" s="1"/>
  <c r="XW1549" i="10" a="1"/>
  <c r="XW1549" i="10" s="1"/>
  <c r="XV1549" i="10" a="1"/>
  <c r="XV1549" i="10" s="1"/>
  <c r="XU1549" i="10" a="1"/>
  <c r="XU1549" i="10" s="1"/>
  <c r="XT1549" i="10" a="1"/>
  <c r="XT1549" i="10" s="1"/>
  <c r="XS1549" i="10" a="1"/>
  <c r="XS1549" i="10" s="1"/>
  <c r="XR1549" i="10" a="1"/>
  <c r="XR1549" i="10" s="1"/>
  <c r="XQ1549" i="10" a="1"/>
  <c r="XQ1549" i="10" s="1"/>
  <c r="XP1549" i="10" a="1"/>
  <c r="XP1549" i="10" s="1"/>
  <c r="XO1549" i="10" a="1"/>
  <c r="XO1549" i="10" s="1"/>
  <c r="XN1549" i="10" a="1"/>
  <c r="XN1549" i="10" s="1"/>
  <c r="XM1549" i="10" a="1"/>
  <c r="XM1549" i="10" s="1"/>
  <c r="XL1549" i="10" a="1"/>
  <c r="XL1549" i="10" s="1"/>
  <c r="XK1549" i="10" a="1"/>
  <c r="XK1549" i="10" s="1"/>
  <c r="XJ1549" i="10" a="1"/>
  <c r="XJ1549" i="10" s="1"/>
  <c r="XI1549" i="10" a="1"/>
  <c r="XI1549" i="10" s="1"/>
  <c r="XH1549" i="10" a="1"/>
  <c r="XH1549" i="10" s="1"/>
  <c r="XG1549" i="10" a="1"/>
  <c r="XG1549" i="10" s="1"/>
  <c r="XF1549" i="10" a="1"/>
  <c r="XF1549" i="10" s="1"/>
  <c r="XE1549" i="10" a="1"/>
  <c r="XE1549" i="10" s="1"/>
  <c r="XD1549" i="10" a="1"/>
  <c r="XD1549" i="10" s="1"/>
  <c r="XC1549" i="10" a="1"/>
  <c r="XC1549" i="10" s="1"/>
  <c r="XB1549" i="10" a="1"/>
  <c r="XB1549" i="10" s="1"/>
  <c r="XA1549" i="10" a="1"/>
  <c r="XA1549" i="10" s="1"/>
  <c r="WZ1549" i="10" a="1"/>
  <c r="WZ1549" i="10" s="1"/>
  <c r="WY1549" i="10" a="1"/>
  <c r="WY1549" i="10" s="1"/>
  <c r="WX1549" i="10" a="1"/>
  <c r="WX1549" i="10" s="1"/>
  <c r="WW1549" i="10" a="1"/>
  <c r="WW1549" i="10" s="1"/>
  <c r="WV1549" i="10" a="1"/>
  <c r="WV1549" i="10" s="1"/>
  <c r="WU1549" i="10" a="1"/>
  <c r="WU1549" i="10" s="1"/>
  <c r="WT1549" i="10" a="1"/>
  <c r="WT1549" i="10" s="1"/>
  <c r="WS1549" i="10" a="1"/>
  <c r="WS1549" i="10" s="1"/>
  <c r="WR1549" i="10" a="1"/>
  <c r="WR1549" i="10" s="1"/>
  <c r="WQ1549" i="10" a="1"/>
  <c r="WQ1549" i="10" s="1"/>
  <c r="WP1549" i="10" a="1"/>
  <c r="WP1549" i="10" s="1"/>
  <c r="WO1549" i="10" a="1"/>
  <c r="WO1549" i="10" s="1"/>
  <c r="WN1549" i="10" a="1"/>
  <c r="WN1549" i="10" s="1"/>
  <c r="WM1549" i="10" a="1"/>
  <c r="WM1549" i="10" s="1"/>
  <c r="WL1549" i="10" a="1"/>
  <c r="WL1549" i="10" s="1"/>
  <c r="WK1549" i="10" a="1"/>
  <c r="WK1549" i="10" s="1"/>
  <c r="WJ1549" i="10" a="1"/>
  <c r="WJ1549" i="10" s="1"/>
  <c r="WI1549" i="10" a="1"/>
  <c r="WI1549" i="10" s="1"/>
  <c r="WH1549" i="10" a="1"/>
  <c r="WH1549" i="10" s="1"/>
  <c r="WG1549" i="10" a="1"/>
  <c r="WG1549" i="10" s="1"/>
  <c r="WF1549" i="10" a="1"/>
  <c r="WF1549" i="10" s="1"/>
  <c r="WE1549" i="10" a="1"/>
  <c r="WE1549" i="10" s="1"/>
  <c r="WD1549" i="10" a="1"/>
  <c r="WD1549" i="10" s="1"/>
  <c r="WC1549" i="10" a="1"/>
  <c r="WC1549" i="10" s="1"/>
  <c r="WB1549" i="10" a="1"/>
  <c r="WB1549" i="10" s="1"/>
  <c r="WA1549" i="10" a="1"/>
  <c r="WA1549" i="10" s="1"/>
  <c r="VZ1549" i="10" a="1"/>
  <c r="VZ1549" i="10" s="1"/>
  <c r="VY1549" i="10" a="1"/>
  <c r="VY1549" i="10" s="1"/>
  <c r="VX1549" i="10" a="1"/>
  <c r="VX1549" i="10" s="1"/>
  <c r="VW1549" i="10" a="1"/>
  <c r="VW1549" i="10" s="1"/>
  <c r="VV1549" i="10" a="1"/>
  <c r="VV1549" i="10" s="1"/>
  <c r="VU1549" i="10" a="1"/>
  <c r="VU1549" i="10" s="1"/>
  <c r="VT1549" i="10" a="1"/>
  <c r="VT1549" i="10" s="1"/>
  <c r="VS1549" i="10" a="1"/>
  <c r="VS1549" i="10" s="1"/>
  <c r="VR1549" i="10" a="1"/>
  <c r="VR1549" i="10" s="1"/>
  <c r="VQ1549" i="10" a="1"/>
  <c r="VQ1549" i="10" s="1"/>
  <c r="VP1549" i="10" a="1"/>
  <c r="VP1549" i="10" s="1"/>
  <c r="VO1549" i="10" a="1"/>
  <c r="VO1549" i="10" s="1"/>
  <c r="VN1549" i="10" a="1"/>
  <c r="VN1549" i="10" s="1"/>
  <c r="VM1549" i="10" a="1"/>
  <c r="VM1549" i="10" s="1"/>
  <c r="VL1549" i="10" a="1"/>
  <c r="VL1549" i="10" s="1"/>
  <c r="VK1549" i="10" a="1"/>
  <c r="VK1549" i="10" s="1"/>
  <c r="VJ1549" i="10" a="1"/>
  <c r="VJ1549" i="10" s="1"/>
  <c r="VI1549" i="10" a="1"/>
  <c r="VI1549" i="10" s="1"/>
  <c r="VH1549" i="10" a="1"/>
  <c r="VH1549" i="10" s="1"/>
  <c r="VG1549" i="10" a="1"/>
  <c r="VG1549" i="10" s="1"/>
  <c r="VF1549" i="10" a="1"/>
  <c r="VF1549" i="10" s="1"/>
  <c r="VE1549" i="10" a="1"/>
  <c r="VE1549" i="10" s="1"/>
  <c r="VD1549" i="10" a="1"/>
  <c r="VD1549" i="10" s="1"/>
  <c r="VC1549" i="10" a="1"/>
  <c r="VC1549" i="10" s="1"/>
  <c r="VB1549" i="10" a="1"/>
  <c r="VB1549" i="10" s="1"/>
  <c r="VA1549" i="10" a="1"/>
  <c r="VA1549" i="10" s="1"/>
  <c r="UZ1549" i="10" a="1"/>
  <c r="UZ1549" i="10" s="1"/>
  <c r="UY1549" i="10" a="1"/>
  <c r="UY1549" i="10" s="1"/>
  <c r="UX1549" i="10" a="1"/>
  <c r="UX1549" i="10" s="1"/>
  <c r="UW1549" i="10" a="1"/>
  <c r="UW1549" i="10" s="1"/>
  <c r="UV1549" i="10" a="1"/>
  <c r="UV1549" i="10" s="1"/>
  <c r="UU1549" i="10" a="1"/>
  <c r="UU1549" i="10" s="1"/>
  <c r="UT1549" i="10" a="1"/>
  <c r="UT1549" i="10" s="1"/>
  <c r="US1549" i="10" a="1"/>
  <c r="US1549" i="10" s="1"/>
  <c r="UR1549" i="10" a="1"/>
  <c r="UR1549" i="10" s="1"/>
  <c r="UQ1549" i="10" a="1"/>
  <c r="UQ1549" i="10" s="1"/>
  <c r="UP1549" i="10" a="1"/>
  <c r="UP1549" i="10" s="1"/>
  <c r="UO1549" i="10" a="1"/>
  <c r="UO1549" i="10" s="1"/>
  <c r="UN1549" i="10" a="1"/>
  <c r="UN1549" i="10" s="1"/>
  <c r="UM1549" i="10" a="1"/>
  <c r="UM1549" i="10" s="1"/>
  <c r="UL1549" i="10" a="1"/>
  <c r="UL1549" i="10" s="1"/>
  <c r="UK1549" i="10" a="1"/>
  <c r="UK1549" i="10" s="1"/>
  <c r="UJ1549" i="10" a="1"/>
  <c r="UJ1549" i="10" s="1"/>
  <c r="UI1549" i="10" a="1"/>
  <c r="UI1549" i="10" s="1"/>
  <c r="UH1549" i="10" a="1"/>
  <c r="UH1549" i="10" s="1"/>
  <c r="UG1549" i="10" a="1"/>
  <c r="UG1549" i="10" s="1"/>
  <c r="UF1549" i="10" a="1"/>
  <c r="UF1549" i="10" s="1"/>
  <c r="UE1549" i="10" a="1"/>
  <c r="UE1549" i="10" s="1"/>
  <c r="UD1549" i="10" a="1"/>
  <c r="UD1549" i="10" s="1"/>
  <c r="UC1549" i="10" a="1"/>
  <c r="UC1549" i="10" s="1"/>
  <c r="UB1549" i="10" a="1"/>
  <c r="UB1549" i="10" s="1"/>
  <c r="UA1549" i="10" a="1"/>
  <c r="UA1549" i="10" s="1"/>
  <c r="TZ1549" i="10" a="1"/>
  <c r="TZ1549" i="10" s="1"/>
  <c r="TY1549" i="10" a="1"/>
  <c r="TY1549" i="10" s="1"/>
  <c r="TX1549" i="10" a="1"/>
  <c r="TX1549" i="10" s="1"/>
  <c r="TW1549" i="10" a="1"/>
  <c r="TW1549" i="10" s="1"/>
  <c r="TV1549" i="10" a="1"/>
  <c r="TV1549" i="10" s="1"/>
  <c r="TU1549" i="10" a="1"/>
  <c r="TU1549" i="10" s="1"/>
  <c r="TT1549" i="10" a="1"/>
  <c r="TT1549" i="10" s="1"/>
  <c r="TS1549" i="10" a="1"/>
  <c r="TS1549" i="10" s="1"/>
  <c r="TR1549" i="10" a="1"/>
  <c r="TR1549" i="10" s="1"/>
  <c r="TQ1549" i="10" a="1"/>
  <c r="TQ1549" i="10" s="1"/>
  <c r="TP1549" i="10" a="1"/>
  <c r="TP1549" i="10" s="1"/>
  <c r="TO1549" i="10" a="1"/>
  <c r="TO1549" i="10" s="1"/>
  <c r="TN1549" i="10" a="1"/>
  <c r="TN1549" i="10" s="1"/>
  <c r="TM1549" i="10" a="1"/>
  <c r="TM1549" i="10" s="1"/>
  <c r="TL1549" i="10" a="1"/>
  <c r="TL1549" i="10" s="1"/>
  <c r="TK1549" i="10" a="1"/>
  <c r="TK1549" i="10" s="1"/>
  <c r="TJ1549" i="10" a="1"/>
  <c r="TJ1549" i="10" s="1"/>
  <c r="TI1549" i="10" a="1"/>
  <c r="TI1549" i="10" s="1"/>
  <c r="TH1549" i="10" a="1"/>
  <c r="TH1549" i="10" s="1"/>
  <c r="TG1549" i="10" a="1"/>
  <c r="TG1549" i="10" s="1"/>
  <c r="TF1549" i="10" a="1"/>
  <c r="TF1549" i="10" s="1"/>
  <c r="TE1549" i="10" a="1"/>
  <c r="TE1549" i="10" s="1"/>
  <c r="TD1549" i="10" a="1"/>
  <c r="TD1549" i="10" s="1"/>
  <c r="TC1549" i="10" a="1"/>
  <c r="TC1549" i="10" s="1"/>
  <c r="TB1549" i="10" a="1"/>
  <c r="TB1549" i="10" s="1"/>
  <c r="TA1549" i="10" a="1"/>
  <c r="TA1549" i="10" s="1"/>
  <c r="SZ1549" i="10" a="1"/>
  <c r="SZ1549" i="10" s="1"/>
  <c r="SY1549" i="10" a="1"/>
  <c r="SY1549" i="10" s="1"/>
  <c r="SX1549" i="10" a="1"/>
  <c r="SX1549" i="10" s="1"/>
  <c r="SW1549" i="10" a="1"/>
  <c r="SW1549" i="10" s="1"/>
  <c r="SV1549" i="10" a="1"/>
  <c r="SV1549" i="10" s="1"/>
  <c r="SU1549" i="10" a="1"/>
  <c r="SU1549" i="10" s="1"/>
  <c r="ST1549" i="10" a="1"/>
  <c r="ST1549" i="10" s="1"/>
  <c r="SS1549" i="10" a="1"/>
  <c r="SS1549" i="10" s="1"/>
  <c r="SR1549" i="10" a="1"/>
  <c r="SR1549" i="10" s="1"/>
  <c r="SQ1549" i="10" a="1"/>
  <c r="SQ1549" i="10" s="1"/>
  <c r="SP1549" i="10" a="1"/>
  <c r="SP1549" i="10" s="1"/>
  <c r="SO1549" i="10" a="1"/>
  <c r="SO1549" i="10" s="1"/>
  <c r="SN1549" i="10" a="1"/>
  <c r="SN1549" i="10" s="1"/>
  <c r="SM1549" i="10" a="1"/>
  <c r="SM1549" i="10" s="1"/>
  <c r="SL1549" i="10" a="1"/>
  <c r="SL1549" i="10" s="1"/>
  <c r="SK1549" i="10" a="1"/>
  <c r="SK1549" i="10" s="1"/>
  <c r="SJ1549" i="10" a="1"/>
  <c r="SJ1549" i="10" s="1"/>
  <c r="SI1549" i="10" a="1"/>
  <c r="SI1549" i="10" s="1"/>
  <c r="SH1549" i="10" a="1"/>
  <c r="SH1549" i="10" s="1"/>
  <c r="SG1549" i="10" a="1"/>
  <c r="SG1549" i="10" s="1"/>
  <c r="SF1549" i="10" a="1"/>
  <c r="SF1549" i="10" s="1"/>
  <c r="SE1549" i="10" a="1"/>
  <c r="SE1549" i="10" s="1"/>
  <c r="SD1549" i="10" a="1"/>
  <c r="SD1549" i="10" s="1"/>
  <c r="SC1549" i="10" a="1"/>
  <c r="SC1549" i="10" s="1"/>
  <c r="SB1549" i="10" a="1"/>
  <c r="SB1549" i="10" s="1"/>
  <c r="SA1549" i="10" a="1"/>
  <c r="SA1549" i="10" s="1"/>
  <c r="RZ1549" i="10" a="1"/>
  <c r="RZ1549" i="10" s="1"/>
  <c r="RY1549" i="10" a="1"/>
  <c r="RY1549" i="10" s="1"/>
  <c r="RX1549" i="10" a="1"/>
  <c r="RX1549" i="10" s="1"/>
  <c r="RW1549" i="10" a="1"/>
  <c r="RW1549" i="10" s="1"/>
  <c r="RV1549" i="10" a="1"/>
  <c r="RV1549" i="10" s="1"/>
  <c r="RU1549" i="10" a="1"/>
  <c r="RU1549" i="10" s="1"/>
  <c r="RT1549" i="10" a="1"/>
  <c r="RT1549" i="10" s="1"/>
  <c r="RS1549" i="10" a="1"/>
  <c r="RS1549" i="10" s="1"/>
  <c r="RR1549" i="10" a="1"/>
  <c r="RR1549" i="10" s="1"/>
  <c r="RQ1549" i="10" a="1"/>
  <c r="RQ1549" i="10" s="1"/>
  <c r="RP1549" i="10" a="1"/>
  <c r="RP1549" i="10" s="1"/>
  <c r="RO1549" i="10" a="1"/>
  <c r="RO1549" i="10" s="1"/>
  <c r="RN1549" i="10" a="1"/>
  <c r="RN1549" i="10" s="1"/>
  <c r="RM1549" i="10" a="1"/>
  <c r="RM1549" i="10" s="1"/>
  <c r="RL1549" i="10" a="1"/>
  <c r="RL1549" i="10" s="1"/>
  <c r="RK1549" i="10" a="1"/>
  <c r="RK1549" i="10" s="1"/>
  <c r="RJ1549" i="10" a="1"/>
  <c r="RJ1549" i="10" s="1"/>
  <c r="RI1549" i="10" a="1"/>
  <c r="RI1549" i="10" s="1"/>
  <c r="RH1549" i="10" a="1"/>
  <c r="RH1549" i="10" s="1"/>
  <c r="RG1549" i="10" a="1"/>
  <c r="RG1549" i="10" s="1"/>
  <c r="RF1549" i="10" a="1"/>
  <c r="RF1549" i="10" s="1"/>
  <c r="RE1549" i="10" a="1"/>
  <c r="RE1549" i="10" s="1"/>
  <c r="RD1549" i="10" a="1"/>
  <c r="RD1549" i="10" s="1"/>
  <c r="RC1549" i="10" a="1"/>
  <c r="RC1549" i="10" s="1"/>
  <c r="RB1549" i="10" a="1"/>
  <c r="RB1549" i="10" s="1"/>
  <c r="RA1549" i="10" a="1"/>
  <c r="RA1549" i="10" s="1"/>
  <c r="QZ1549" i="10" a="1"/>
  <c r="QZ1549" i="10" s="1"/>
  <c r="QY1549" i="10" a="1"/>
  <c r="QY1549" i="10" s="1"/>
  <c r="QX1549" i="10" a="1"/>
  <c r="QX1549" i="10" s="1"/>
  <c r="QW1549" i="10" a="1"/>
  <c r="QW1549" i="10" s="1"/>
  <c r="QV1549" i="10" a="1"/>
  <c r="QV1549" i="10" s="1"/>
  <c r="QU1549" i="10" a="1"/>
  <c r="QU1549" i="10" s="1"/>
  <c r="QT1549" i="10" a="1"/>
  <c r="QT1549" i="10" s="1"/>
  <c r="QS1549" i="10" a="1"/>
  <c r="QS1549" i="10" s="1"/>
  <c r="QR1549" i="10" a="1"/>
  <c r="QR1549" i="10" s="1"/>
  <c r="QQ1549" i="10" a="1"/>
  <c r="QQ1549" i="10" s="1"/>
  <c r="QP1549" i="10" a="1"/>
  <c r="QP1549" i="10" s="1"/>
  <c r="QO1549" i="10" a="1"/>
  <c r="QO1549" i="10" s="1"/>
  <c r="QN1549" i="10" a="1"/>
  <c r="QN1549" i="10" s="1"/>
  <c r="QM1549" i="10" a="1"/>
  <c r="QM1549" i="10" s="1"/>
  <c r="QL1549" i="10" a="1"/>
  <c r="QL1549" i="10" s="1"/>
  <c r="QK1549" i="10" a="1"/>
  <c r="QK1549" i="10" s="1"/>
  <c r="QJ1549" i="10" a="1"/>
  <c r="QJ1549" i="10" s="1"/>
  <c r="QI1549" i="10" a="1"/>
  <c r="QI1549" i="10" s="1"/>
  <c r="QH1549" i="10" a="1"/>
  <c r="QH1549" i="10" s="1"/>
  <c r="QG1549" i="10" a="1"/>
  <c r="QG1549" i="10" s="1"/>
  <c r="QF1549" i="10" a="1"/>
  <c r="QF1549" i="10" s="1"/>
  <c r="QE1549" i="10" a="1"/>
  <c r="QE1549" i="10" s="1"/>
  <c r="QD1549" i="10" a="1"/>
  <c r="QD1549" i="10" s="1"/>
  <c r="QC1549" i="10" a="1"/>
  <c r="QC1549" i="10" s="1"/>
  <c r="QB1549" i="10" a="1"/>
  <c r="QB1549" i="10" s="1"/>
  <c r="QA1549" i="10" a="1"/>
  <c r="QA1549" i="10" s="1"/>
  <c r="PZ1549" i="10" a="1"/>
  <c r="PZ1549" i="10" s="1"/>
  <c r="PY1549" i="10" a="1"/>
  <c r="PY1549" i="10" s="1"/>
  <c r="PX1549" i="10" a="1"/>
  <c r="PX1549" i="10" s="1"/>
  <c r="PW1549" i="10" a="1"/>
  <c r="PW1549" i="10" s="1"/>
  <c r="PV1549" i="10" a="1"/>
  <c r="PV1549" i="10" s="1"/>
  <c r="PU1549" i="10" a="1"/>
  <c r="PU1549" i="10" s="1"/>
  <c r="PT1549" i="10" a="1"/>
  <c r="PT1549" i="10" s="1"/>
  <c r="PS1549" i="10" a="1"/>
  <c r="PS1549" i="10" s="1"/>
  <c r="PR1549" i="10" a="1"/>
  <c r="PR1549" i="10" s="1"/>
  <c r="PQ1549" i="10" a="1"/>
  <c r="PQ1549" i="10" s="1"/>
  <c r="PP1549" i="10" a="1"/>
  <c r="PP1549" i="10" s="1"/>
  <c r="PO1549" i="10" a="1"/>
  <c r="PO1549" i="10" s="1"/>
  <c r="PN1549" i="10" a="1"/>
  <c r="PN1549" i="10" s="1"/>
  <c r="PM1549" i="10" a="1"/>
  <c r="PM1549" i="10" s="1"/>
  <c r="PL1549" i="10" a="1"/>
  <c r="PL1549" i="10" s="1"/>
  <c r="PK1549" i="10" a="1"/>
  <c r="PK1549" i="10" s="1"/>
  <c r="PJ1549" i="10" a="1"/>
  <c r="PJ1549" i="10" s="1"/>
  <c r="PI1549" i="10" a="1"/>
  <c r="PI1549" i="10" s="1"/>
  <c r="PH1549" i="10" a="1"/>
  <c r="PH1549" i="10" s="1"/>
  <c r="PG1549" i="10" a="1"/>
  <c r="PG1549" i="10" s="1"/>
  <c r="PF1549" i="10" a="1"/>
  <c r="PF1549" i="10" s="1"/>
  <c r="PE1549" i="10" a="1"/>
  <c r="PE1549" i="10" s="1"/>
  <c r="PD1549" i="10" a="1"/>
  <c r="PD1549" i="10" s="1"/>
  <c r="PC1549" i="10" a="1"/>
  <c r="PC1549" i="10" s="1"/>
  <c r="PB1549" i="10" a="1"/>
  <c r="PB1549" i="10" s="1"/>
  <c r="PA1549" i="10" a="1"/>
  <c r="PA1549" i="10" s="1"/>
  <c r="OZ1549" i="10" a="1"/>
  <c r="OZ1549" i="10" s="1"/>
  <c r="OY1549" i="10" a="1"/>
  <c r="OY1549" i="10" s="1"/>
  <c r="OX1549" i="10" a="1"/>
  <c r="OX1549" i="10" s="1"/>
  <c r="OW1549" i="10" a="1"/>
  <c r="OW1549" i="10" s="1"/>
  <c r="OV1549" i="10" a="1"/>
  <c r="OV1549" i="10" s="1"/>
  <c r="OU1549" i="10" a="1"/>
  <c r="OU1549" i="10" s="1"/>
  <c r="OT1549" i="10" a="1"/>
  <c r="OT1549" i="10" s="1"/>
  <c r="OS1549" i="10" a="1"/>
  <c r="OS1549" i="10" s="1"/>
  <c r="OR1549" i="10" a="1"/>
  <c r="OR1549" i="10" s="1"/>
  <c r="OQ1549" i="10" a="1"/>
  <c r="OQ1549" i="10" s="1"/>
  <c r="OP1549" i="10" a="1"/>
  <c r="OP1549" i="10" s="1"/>
  <c r="OO1549" i="10" a="1"/>
  <c r="OO1549" i="10" s="1"/>
  <c r="ON1549" i="10" a="1"/>
  <c r="ON1549" i="10" s="1"/>
  <c r="OM1549" i="10" a="1"/>
  <c r="OM1549" i="10" s="1"/>
  <c r="OL1549" i="10" a="1"/>
  <c r="OL1549" i="10" s="1"/>
  <c r="OK1549" i="10" a="1"/>
  <c r="OK1549" i="10" s="1"/>
  <c r="OJ1549" i="10" a="1"/>
  <c r="OJ1549" i="10" s="1"/>
  <c r="OI1549" i="10" a="1"/>
  <c r="OI1549" i="10" s="1"/>
  <c r="OH1549" i="10" a="1"/>
  <c r="OH1549" i="10" s="1"/>
  <c r="OG1549" i="10" a="1"/>
  <c r="OG1549" i="10" s="1"/>
  <c r="OF1549" i="10" a="1"/>
  <c r="OF1549" i="10" s="1"/>
  <c r="OE1549" i="10" a="1"/>
  <c r="OE1549" i="10" s="1"/>
  <c r="OD1549" i="10" a="1"/>
  <c r="OD1549" i="10" s="1"/>
  <c r="OC1549" i="10" a="1"/>
  <c r="OC1549" i="10" s="1"/>
  <c r="OB1549" i="10" a="1"/>
  <c r="OB1549" i="10" s="1"/>
  <c r="OA1549" i="10" a="1"/>
  <c r="OA1549" i="10" s="1"/>
  <c r="NZ1549" i="10" a="1"/>
  <c r="NZ1549" i="10" s="1"/>
  <c r="NY1549" i="10" a="1"/>
  <c r="NY1549" i="10" s="1"/>
  <c r="NX1549" i="10" a="1"/>
  <c r="NX1549" i="10" s="1"/>
  <c r="NW1549" i="10" a="1"/>
  <c r="NW1549" i="10" s="1"/>
  <c r="NV1549" i="10" a="1"/>
  <c r="NV1549" i="10" s="1"/>
  <c r="NU1549" i="10" a="1"/>
  <c r="NU1549" i="10" s="1"/>
  <c r="NT1549" i="10" a="1"/>
  <c r="NT1549" i="10" s="1"/>
  <c r="NS1549" i="10" a="1"/>
  <c r="NS1549" i="10" s="1"/>
  <c r="NR1549" i="10" a="1"/>
  <c r="NR1549" i="10" s="1"/>
  <c r="NQ1549" i="10" a="1"/>
  <c r="NQ1549" i="10" s="1"/>
  <c r="NP1549" i="10" a="1"/>
  <c r="NP1549" i="10" s="1"/>
  <c r="NO1549" i="10" a="1"/>
  <c r="NO1549" i="10" s="1"/>
  <c r="NN1549" i="10" a="1"/>
  <c r="NN1549" i="10" s="1"/>
  <c r="NM1549" i="10" a="1"/>
  <c r="NM1549" i="10" s="1"/>
  <c r="NL1549" i="10" a="1"/>
  <c r="NL1549" i="10" s="1"/>
  <c r="NK1549" i="10" a="1"/>
  <c r="NK1549" i="10" s="1"/>
  <c r="NJ1549" i="10" a="1"/>
  <c r="NJ1549" i="10" s="1"/>
  <c r="NI1549" i="10" a="1"/>
  <c r="NI1549" i="10" s="1"/>
  <c r="NH1549" i="10" a="1"/>
  <c r="NH1549" i="10" s="1"/>
  <c r="NG1549" i="10" a="1"/>
  <c r="NG1549" i="10" s="1"/>
  <c r="NF1549" i="10" a="1"/>
  <c r="NF1549" i="10" s="1"/>
  <c r="NE1549" i="10" a="1"/>
  <c r="NE1549" i="10" s="1"/>
  <c r="ND1549" i="10" a="1"/>
  <c r="ND1549" i="10" s="1"/>
  <c r="NC1549" i="10" a="1"/>
  <c r="NC1549" i="10" s="1"/>
  <c r="NB1549" i="10" a="1"/>
  <c r="NB1549" i="10" s="1"/>
  <c r="NA1549" i="10" a="1"/>
  <c r="NA1549" i="10" s="1"/>
  <c r="MZ1549" i="10" a="1"/>
  <c r="MZ1549" i="10" s="1"/>
  <c r="MY1549" i="10" a="1"/>
  <c r="MY1549" i="10" s="1"/>
  <c r="MX1549" i="10" a="1"/>
  <c r="MX1549" i="10" s="1"/>
  <c r="MW1549" i="10" a="1"/>
  <c r="MW1549" i="10" s="1"/>
  <c r="MV1549" i="10" a="1"/>
  <c r="MV1549" i="10" s="1"/>
  <c r="MU1549" i="10" a="1"/>
  <c r="MU1549" i="10" s="1"/>
  <c r="MT1549" i="10" a="1"/>
  <c r="MT1549" i="10" s="1"/>
  <c r="MS1549" i="10" a="1"/>
  <c r="MS1549" i="10" s="1"/>
  <c r="MR1549" i="10" a="1"/>
  <c r="MR1549" i="10" s="1"/>
  <c r="MQ1549" i="10" a="1"/>
  <c r="MQ1549" i="10" s="1"/>
  <c r="MP1549" i="10" a="1"/>
  <c r="MP1549" i="10" s="1"/>
  <c r="MO1549" i="10" a="1"/>
  <c r="MO1549" i="10" s="1"/>
  <c r="MN1549" i="10" a="1"/>
  <c r="MN1549" i="10" s="1"/>
  <c r="MM1549" i="10" a="1"/>
  <c r="MM1549" i="10" s="1"/>
  <c r="ML1549" i="10" a="1"/>
  <c r="ML1549" i="10" s="1"/>
  <c r="MK1549" i="10" a="1"/>
  <c r="MK1549" i="10" s="1"/>
  <c r="MJ1549" i="10" a="1"/>
  <c r="MJ1549" i="10" s="1"/>
  <c r="MI1549" i="10" a="1"/>
  <c r="MI1549" i="10" s="1"/>
  <c r="MH1549" i="10" a="1"/>
  <c r="MH1549" i="10" s="1"/>
  <c r="MG1549" i="10" a="1"/>
  <c r="MG1549" i="10" s="1"/>
  <c r="MF1549" i="10" a="1"/>
  <c r="MF1549" i="10" s="1"/>
  <c r="ME1549" i="10" a="1"/>
  <c r="ME1549" i="10" s="1"/>
  <c r="MD1549" i="10" a="1"/>
  <c r="MD1549" i="10" s="1"/>
  <c r="MC1549" i="10" a="1"/>
  <c r="MC1549" i="10" s="1"/>
  <c r="MB1549" i="10" a="1"/>
  <c r="MB1549" i="10" s="1"/>
  <c r="MA1549" i="10" a="1"/>
  <c r="MA1549" i="10" s="1"/>
  <c r="LZ1549" i="10" a="1"/>
  <c r="LZ1549" i="10" s="1"/>
  <c r="LY1549" i="10" a="1"/>
  <c r="LY1549" i="10" s="1"/>
  <c r="LX1549" i="10" a="1"/>
  <c r="LX1549" i="10" s="1"/>
  <c r="LW1549" i="10" a="1"/>
  <c r="LW1549" i="10" s="1"/>
  <c r="LV1549" i="10" a="1"/>
  <c r="LV1549" i="10" s="1"/>
  <c r="LU1549" i="10" a="1"/>
  <c r="LU1549" i="10" s="1"/>
  <c r="LT1549" i="10" a="1"/>
  <c r="LT1549" i="10" s="1"/>
  <c r="LS1549" i="10" a="1"/>
  <c r="LS1549" i="10" s="1"/>
  <c r="LR1549" i="10" a="1"/>
  <c r="LR1549" i="10" s="1"/>
  <c r="LQ1549" i="10" a="1"/>
  <c r="LQ1549" i="10" s="1"/>
  <c r="LP1549" i="10" a="1"/>
  <c r="LP1549" i="10" s="1"/>
  <c r="LO1549" i="10" a="1"/>
  <c r="LO1549" i="10" s="1"/>
  <c r="LN1549" i="10" a="1"/>
  <c r="LN1549" i="10" s="1"/>
  <c r="LM1549" i="10" a="1"/>
  <c r="LM1549" i="10" s="1"/>
  <c r="LL1549" i="10" a="1"/>
  <c r="LL1549" i="10" s="1"/>
  <c r="LK1549" i="10" a="1"/>
  <c r="LK1549" i="10" s="1"/>
  <c r="LJ1549" i="10" a="1"/>
  <c r="LJ1549" i="10" s="1"/>
  <c r="LI1549" i="10" a="1"/>
  <c r="LI1549" i="10" s="1"/>
  <c r="LH1549" i="10" a="1"/>
  <c r="LH1549" i="10" s="1"/>
  <c r="LG1549" i="10" a="1"/>
  <c r="LG1549" i="10" s="1"/>
  <c r="LF1549" i="10" a="1"/>
  <c r="LF1549" i="10" s="1"/>
  <c r="LE1549" i="10" a="1"/>
  <c r="LE1549" i="10" s="1"/>
  <c r="LD1549" i="10" a="1"/>
  <c r="LD1549" i="10" s="1"/>
  <c r="LC1549" i="10" a="1"/>
  <c r="LC1549" i="10" s="1"/>
  <c r="LB1549" i="10" a="1"/>
  <c r="LB1549" i="10" s="1"/>
  <c r="LA1549" i="10" a="1"/>
  <c r="LA1549" i="10" s="1"/>
  <c r="KZ1549" i="10" a="1"/>
  <c r="KZ1549" i="10" s="1"/>
  <c r="KY1549" i="10" a="1"/>
  <c r="KY1549" i="10" s="1"/>
  <c r="KX1549" i="10" a="1"/>
  <c r="KX1549" i="10" s="1"/>
  <c r="KW1549" i="10" a="1"/>
  <c r="KW1549" i="10" s="1"/>
  <c r="KV1549" i="10" a="1"/>
  <c r="KV1549" i="10" s="1"/>
  <c r="KU1549" i="10" a="1"/>
  <c r="KU1549" i="10" s="1"/>
  <c r="KT1549" i="10" a="1"/>
  <c r="KT1549" i="10" s="1"/>
  <c r="KS1549" i="10" a="1"/>
  <c r="KS1549" i="10" s="1"/>
  <c r="KR1549" i="10" a="1"/>
  <c r="KR1549" i="10" s="1"/>
  <c r="KQ1549" i="10" a="1"/>
  <c r="KQ1549" i="10" s="1"/>
  <c r="KP1549" i="10" a="1"/>
  <c r="KP1549" i="10" s="1"/>
  <c r="KO1549" i="10" a="1"/>
  <c r="KO1549" i="10" s="1"/>
  <c r="KN1549" i="10" a="1"/>
  <c r="KN1549" i="10" s="1"/>
  <c r="KM1549" i="10" a="1"/>
  <c r="KM1549" i="10" s="1"/>
  <c r="KL1549" i="10" a="1"/>
  <c r="KL1549" i="10" s="1"/>
  <c r="KK1549" i="10" a="1"/>
  <c r="KK1549" i="10" s="1"/>
  <c r="KJ1549" i="10" a="1"/>
  <c r="KJ1549" i="10" s="1"/>
  <c r="KI1549" i="10" a="1"/>
  <c r="KI1549" i="10" s="1"/>
  <c r="KH1549" i="10" a="1"/>
  <c r="KH1549" i="10" s="1"/>
  <c r="KG1549" i="10" a="1"/>
  <c r="KG1549" i="10" s="1"/>
  <c r="KF1549" i="10" a="1"/>
  <c r="KF1549" i="10" s="1"/>
  <c r="KE1549" i="10" a="1"/>
  <c r="KE1549" i="10" s="1"/>
  <c r="KD1549" i="10" a="1"/>
  <c r="KD1549" i="10" s="1"/>
  <c r="KC1549" i="10" a="1"/>
  <c r="KC1549" i="10" s="1"/>
  <c r="KB1549" i="10" a="1"/>
  <c r="KB1549" i="10" s="1"/>
  <c r="KA1549" i="10" a="1"/>
  <c r="KA1549" i="10" s="1"/>
  <c r="JZ1549" i="10" a="1"/>
  <c r="JZ1549" i="10" s="1"/>
  <c r="JY1549" i="10" a="1"/>
  <c r="JY1549" i="10" s="1"/>
  <c r="JX1549" i="10" a="1"/>
  <c r="JX1549" i="10" s="1"/>
  <c r="JW1549" i="10" a="1"/>
  <c r="JW1549" i="10" s="1"/>
  <c r="JV1549" i="10" a="1"/>
  <c r="JV1549" i="10" s="1"/>
  <c r="JU1549" i="10" a="1"/>
  <c r="JU1549" i="10" s="1"/>
  <c r="JT1549" i="10" a="1"/>
  <c r="JT1549" i="10" s="1"/>
  <c r="JS1549" i="10" a="1"/>
  <c r="JS1549" i="10" s="1"/>
  <c r="JR1549" i="10" a="1"/>
  <c r="JR1549" i="10" s="1"/>
  <c r="JQ1549" i="10" a="1"/>
  <c r="JQ1549" i="10" s="1"/>
  <c r="JP1549" i="10" a="1"/>
  <c r="JP1549" i="10" s="1"/>
  <c r="JO1549" i="10" a="1"/>
  <c r="JO1549" i="10" s="1"/>
  <c r="JN1549" i="10" a="1"/>
  <c r="JN1549" i="10" s="1"/>
  <c r="JM1549" i="10" a="1"/>
  <c r="JM1549" i="10" s="1"/>
  <c r="JL1549" i="10" a="1"/>
  <c r="JL1549" i="10" s="1"/>
  <c r="JK1549" i="10" a="1"/>
  <c r="JK1549" i="10" s="1"/>
  <c r="JJ1549" i="10" a="1"/>
  <c r="JJ1549" i="10" s="1"/>
  <c r="JI1549" i="10" a="1"/>
  <c r="JI1549" i="10" s="1"/>
  <c r="JH1549" i="10" a="1"/>
  <c r="JH1549" i="10" s="1"/>
  <c r="JG1549" i="10" a="1"/>
  <c r="JG1549" i="10" s="1"/>
  <c r="JF1549" i="10" a="1"/>
  <c r="JF1549" i="10" s="1"/>
  <c r="JE1549" i="10" a="1"/>
  <c r="JE1549" i="10" s="1"/>
  <c r="JD1549" i="10" a="1"/>
  <c r="JD1549" i="10" s="1"/>
  <c r="JC1549" i="10" a="1"/>
  <c r="JC1549" i="10" s="1"/>
  <c r="JB1549" i="10" a="1"/>
  <c r="JB1549" i="10" s="1"/>
  <c r="JA1549" i="10" a="1"/>
  <c r="JA1549" i="10" s="1"/>
  <c r="IZ1549" i="10" a="1"/>
  <c r="IZ1549" i="10" s="1"/>
  <c r="IY1549" i="10" a="1"/>
  <c r="IY1549" i="10" s="1"/>
  <c r="IX1549" i="10" a="1"/>
  <c r="IX1549" i="10" s="1"/>
  <c r="IW1549" i="10" a="1"/>
  <c r="IW1549" i="10" s="1"/>
  <c r="IV1549" i="10" a="1"/>
  <c r="IV1549" i="10" s="1"/>
  <c r="IU1549" i="10" a="1"/>
  <c r="IU1549" i="10" s="1"/>
  <c r="IT1549" i="10" a="1"/>
  <c r="IT1549" i="10" s="1"/>
  <c r="IS1549" i="10" a="1"/>
  <c r="IS1549" i="10" s="1"/>
  <c r="IR1549" i="10" a="1"/>
  <c r="IR1549" i="10" s="1"/>
  <c r="IQ1549" i="10" a="1"/>
  <c r="IQ1549" i="10" s="1"/>
  <c r="IP1549" i="10" a="1"/>
  <c r="IP1549" i="10" s="1"/>
  <c r="IO1549" i="10" a="1"/>
  <c r="IO1549" i="10" s="1"/>
  <c r="IN1549" i="10" a="1"/>
  <c r="IN1549" i="10" s="1"/>
  <c r="IM1549" i="10" a="1"/>
  <c r="IM1549" i="10" s="1"/>
  <c r="IL1549" i="10" a="1"/>
  <c r="IL1549" i="10" s="1"/>
  <c r="IK1549" i="10" a="1"/>
  <c r="IK1549" i="10" s="1"/>
  <c r="IJ1549" i="10" a="1"/>
  <c r="IJ1549" i="10" s="1"/>
  <c r="II1549" i="10" a="1"/>
  <c r="II1549" i="10" s="1"/>
  <c r="IH1549" i="10" a="1"/>
  <c r="IH1549" i="10" s="1"/>
  <c r="IG1549" i="10" a="1"/>
  <c r="IG1549" i="10" s="1"/>
  <c r="IF1549" i="10" a="1"/>
  <c r="IF1549" i="10" s="1"/>
  <c r="IE1549" i="10" a="1"/>
  <c r="IE1549" i="10" s="1"/>
  <c r="ID1549" i="10" a="1"/>
  <c r="ID1549" i="10" s="1"/>
  <c r="IC1549" i="10" a="1"/>
  <c r="IC1549" i="10" s="1"/>
  <c r="IB1549" i="10" a="1"/>
  <c r="IB1549" i="10" s="1"/>
  <c r="IA1549" i="10" a="1"/>
  <c r="IA1549" i="10" s="1"/>
  <c r="HZ1549" i="10" a="1"/>
  <c r="HZ1549" i="10" s="1"/>
  <c r="HY1549" i="10" a="1"/>
  <c r="HY1549" i="10" s="1"/>
  <c r="HX1549" i="10" a="1"/>
  <c r="HX1549" i="10" s="1"/>
  <c r="HW1549" i="10" a="1"/>
  <c r="HW1549" i="10" s="1"/>
  <c r="HV1549" i="10" a="1"/>
  <c r="HV1549" i="10" s="1"/>
  <c r="HU1549" i="10" a="1"/>
  <c r="HU1549" i="10" s="1"/>
  <c r="HT1549" i="10" a="1"/>
  <c r="HT1549" i="10" s="1"/>
  <c r="HS1549" i="10" a="1"/>
  <c r="HS1549" i="10" s="1"/>
  <c r="HR1549" i="10" a="1"/>
  <c r="HR1549" i="10" s="1"/>
  <c r="HQ1549" i="10" a="1"/>
  <c r="HQ1549" i="10" s="1"/>
  <c r="HP1549" i="10" a="1"/>
  <c r="HP1549" i="10" s="1"/>
  <c r="HO1549" i="10" a="1"/>
  <c r="HO1549" i="10" s="1"/>
  <c r="HN1549" i="10" a="1"/>
  <c r="HN1549" i="10" s="1"/>
  <c r="HM1549" i="10" a="1"/>
  <c r="HM1549" i="10" s="1"/>
  <c r="HL1549" i="10" a="1"/>
  <c r="HL1549" i="10" s="1"/>
  <c r="HK1549" i="10" a="1"/>
  <c r="HK1549" i="10" s="1"/>
  <c r="HJ1549" i="10" a="1"/>
  <c r="HJ1549" i="10" s="1"/>
  <c r="HI1549" i="10" a="1"/>
  <c r="HI1549" i="10" s="1"/>
  <c r="HH1549" i="10" a="1"/>
  <c r="HH1549" i="10" s="1"/>
  <c r="HG1549" i="10" a="1"/>
  <c r="HG1549" i="10" s="1"/>
  <c r="HF1549" i="10" a="1"/>
  <c r="HF1549" i="10" s="1"/>
  <c r="HE1549" i="10" a="1"/>
  <c r="HE1549" i="10" s="1"/>
  <c r="HD1549" i="10" a="1"/>
  <c r="HD1549" i="10" s="1"/>
  <c r="HC1549" i="10" a="1"/>
  <c r="HC1549" i="10" s="1"/>
  <c r="HB1549" i="10" a="1"/>
  <c r="HB1549" i="10" s="1"/>
  <c r="HA1549" i="10" a="1"/>
  <c r="HA1549" i="10" s="1"/>
  <c r="GZ1549" i="10" a="1"/>
  <c r="GZ1549" i="10" s="1"/>
  <c r="GY1549" i="10" a="1"/>
  <c r="GY1549" i="10" s="1"/>
  <c r="GX1549" i="10" a="1"/>
  <c r="GX1549" i="10" s="1"/>
  <c r="GW1549" i="10" a="1"/>
  <c r="GW1549" i="10" s="1"/>
  <c r="GV1549" i="10" a="1"/>
  <c r="GV1549" i="10" s="1"/>
  <c r="GU1549" i="10" a="1"/>
  <c r="GU1549" i="10" s="1"/>
  <c r="GT1549" i="10" a="1"/>
  <c r="GT1549" i="10" s="1"/>
  <c r="GS1549" i="10" a="1"/>
  <c r="GS1549" i="10" s="1"/>
  <c r="GR1549" i="10" a="1"/>
  <c r="GR1549" i="10" s="1"/>
  <c r="GQ1549" i="10" a="1"/>
  <c r="GQ1549" i="10" s="1"/>
  <c r="GP1549" i="10" a="1"/>
  <c r="GP1549" i="10" s="1"/>
  <c r="GO1549" i="10" a="1"/>
  <c r="GO1549" i="10" s="1"/>
  <c r="GN1549" i="10" a="1"/>
  <c r="GN1549" i="10" s="1"/>
  <c r="GM1549" i="10" a="1"/>
  <c r="GM1549" i="10" s="1"/>
  <c r="GL1549" i="10" a="1"/>
  <c r="GL1549" i="10" s="1"/>
  <c r="GK1549" i="10" a="1"/>
  <c r="GK1549" i="10" s="1"/>
  <c r="GJ1549" i="10" a="1"/>
  <c r="GJ1549" i="10" s="1"/>
  <c r="GI1549" i="10" a="1"/>
  <c r="GI1549" i="10" s="1"/>
  <c r="GH1549" i="10" a="1"/>
  <c r="GH1549" i="10" s="1"/>
  <c r="GG1549" i="10" a="1"/>
  <c r="GG1549" i="10" s="1"/>
  <c r="GF1549" i="10" a="1"/>
  <c r="GF1549" i="10" s="1"/>
  <c r="GE1549" i="10" a="1"/>
  <c r="GE1549" i="10" s="1"/>
  <c r="GD1549" i="10" a="1"/>
  <c r="GD1549" i="10" s="1"/>
  <c r="GC1549" i="10" a="1"/>
  <c r="GC1549" i="10" s="1"/>
  <c r="GB1549" i="10" a="1"/>
  <c r="GB1549" i="10" s="1"/>
  <c r="GA1549" i="10" a="1"/>
  <c r="GA1549" i="10" s="1"/>
  <c r="FZ1549" i="10" a="1"/>
  <c r="FZ1549" i="10" s="1"/>
  <c r="FY1549" i="10" a="1"/>
  <c r="FY1549" i="10" s="1"/>
  <c r="FX1549" i="10" a="1"/>
  <c r="FX1549" i="10" s="1"/>
  <c r="FW1549" i="10" a="1"/>
  <c r="FW1549" i="10" s="1"/>
  <c r="FV1549" i="10" a="1"/>
  <c r="FV1549" i="10" s="1"/>
  <c r="FU1549" i="10" a="1"/>
  <c r="FU1549" i="10" s="1"/>
  <c r="FT1549" i="10" a="1"/>
  <c r="FT1549" i="10" s="1"/>
  <c r="FS1549" i="10" a="1"/>
  <c r="FS1549" i="10" s="1"/>
  <c r="FR1549" i="10" a="1"/>
  <c r="FR1549" i="10" s="1"/>
  <c r="FQ1549" i="10" a="1"/>
  <c r="FQ1549" i="10" s="1"/>
  <c r="FP1549" i="10" a="1"/>
  <c r="FP1549" i="10" s="1"/>
  <c r="FO1549" i="10" a="1"/>
  <c r="FO1549" i="10" s="1"/>
  <c r="FN1549" i="10" a="1"/>
  <c r="FN1549" i="10" s="1"/>
  <c r="FM1549" i="10" a="1"/>
  <c r="FM1549" i="10" s="1"/>
  <c r="FL1549" i="10" a="1"/>
  <c r="FL1549" i="10" s="1"/>
  <c r="FK1549" i="10" a="1"/>
  <c r="FK1549" i="10" s="1"/>
  <c r="FJ1549" i="10" a="1"/>
  <c r="FJ1549" i="10" s="1"/>
  <c r="FI1549" i="10" a="1"/>
  <c r="FI1549" i="10" s="1"/>
  <c r="FH1549" i="10" a="1"/>
  <c r="FH1549" i="10" s="1"/>
  <c r="FG1549" i="10" a="1"/>
  <c r="FG1549" i="10" s="1"/>
  <c r="FF1549" i="10" a="1"/>
  <c r="FF1549" i="10" s="1"/>
  <c r="FE1549" i="10" a="1"/>
  <c r="FE1549" i="10" s="1"/>
  <c r="FD1549" i="10" a="1"/>
  <c r="FD1549" i="10" s="1"/>
  <c r="FC1549" i="10" a="1"/>
  <c r="FC1549" i="10" s="1"/>
  <c r="FB1549" i="10" a="1"/>
  <c r="FB1549" i="10" s="1"/>
  <c r="FA1549" i="10" a="1"/>
  <c r="FA1549" i="10" s="1"/>
  <c r="EZ1549" i="10" a="1"/>
  <c r="EZ1549" i="10" s="1"/>
  <c r="EY1549" i="10" a="1"/>
  <c r="EY1549" i="10" s="1"/>
  <c r="EX1549" i="10" a="1"/>
  <c r="EX1549" i="10" s="1"/>
  <c r="EW1549" i="10" a="1"/>
  <c r="EW1549" i="10" s="1"/>
  <c r="EV1549" i="10" a="1"/>
  <c r="EV1549" i="10" s="1"/>
  <c r="EU1549" i="10" a="1"/>
  <c r="EU1549" i="10" s="1"/>
  <c r="ET1549" i="10" a="1"/>
  <c r="ET1549" i="10" s="1"/>
  <c r="ES1549" i="10" a="1"/>
  <c r="ES1549" i="10" s="1"/>
  <c r="ER1549" i="10" a="1"/>
  <c r="ER1549" i="10" s="1"/>
  <c r="EQ1549" i="10" a="1"/>
  <c r="EQ1549" i="10" s="1"/>
  <c r="EP1549" i="10" a="1"/>
  <c r="EP1549" i="10" s="1"/>
  <c r="EO1549" i="10" a="1"/>
  <c r="EO1549" i="10" s="1"/>
  <c r="EN1549" i="10" a="1"/>
  <c r="EN1549" i="10" s="1"/>
  <c r="EM1549" i="10" a="1"/>
  <c r="EM1549" i="10" s="1"/>
  <c r="EL1549" i="10" a="1"/>
  <c r="EL1549" i="10" s="1"/>
  <c r="EK1549" i="10" a="1"/>
  <c r="EK1549" i="10" s="1"/>
  <c r="EJ1549" i="10" a="1"/>
  <c r="EJ1549" i="10" s="1"/>
  <c r="EI1549" i="10" a="1"/>
  <c r="EI1549" i="10" s="1"/>
  <c r="EH1549" i="10" a="1"/>
  <c r="EH1549" i="10" s="1"/>
  <c r="EG1549" i="10" a="1"/>
  <c r="EG1549" i="10" s="1"/>
  <c r="EF1549" i="10" a="1"/>
  <c r="EF1549" i="10" s="1"/>
  <c r="EE1549" i="10" a="1"/>
  <c r="EE1549" i="10" s="1"/>
  <c r="ED1549" i="10" a="1"/>
  <c r="ED1549" i="10" s="1"/>
  <c r="EC1549" i="10" a="1"/>
  <c r="EC1549" i="10" s="1"/>
  <c r="EB1549" i="10" a="1"/>
  <c r="EB1549" i="10" s="1"/>
  <c r="EA1549" i="10" a="1"/>
  <c r="EA1549" i="10" s="1"/>
  <c r="DZ1549" i="10" a="1"/>
  <c r="DZ1549" i="10" s="1"/>
  <c r="DY1549" i="10" a="1"/>
  <c r="DY1549" i="10" s="1"/>
  <c r="DX1549" i="10" a="1"/>
  <c r="DX1549" i="10" s="1"/>
  <c r="DW1549" i="10" a="1"/>
  <c r="DW1549" i="10" s="1"/>
  <c r="DV1549" i="10" a="1"/>
  <c r="DV1549" i="10" s="1"/>
  <c r="DU1549" i="10" a="1"/>
  <c r="DU1549" i="10" s="1"/>
  <c r="DT1549" i="10" a="1"/>
  <c r="DT1549" i="10" s="1"/>
  <c r="DS1549" i="10" a="1"/>
  <c r="DS1549" i="10" s="1"/>
  <c r="DR1549" i="10" a="1"/>
  <c r="DR1549" i="10" s="1"/>
  <c r="DQ1549" i="10" a="1"/>
  <c r="DQ1549" i="10" s="1"/>
  <c r="DP1549" i="10" a="1"/>
  <c r="DP1549" i="10" s="1"/>
  <c r="DO1549" i="10" a="1"/>
  <c r="DO1549" i="10" s="1"/>
  <c r="DN1549" i="10" a="1"/>
  <c r="DN1549" i="10" s="1"/>
  <c r="DM1549" i="10" a="1"/>
  <c r="DM1549" i="10" s="1"/>
  <c r="DL1549" i="10" a="1"/>
  <c r="DL1549" i="10" s="1"/>
  <c r="DK1549" i="10" a="1"/>
  <c r="DK1549" i="10" s="1"/>
  <c r="DJ1549" i="10" a="1"/>
  <c r="DJ1549" i="10" s="1"/>
  <c r="DI1549" i="10" a="1"/>
  <c r="DI1549" i="10" s="1"/>
  <c r="DH1549" i="10" a="1"/>
  <c r="DH1549" i="10" s="1"/>
  <c r="DG1549" i="10" a="1"/>
  <c r="DG1549" i="10" s="1"/>
  <c r="DF1549" i="10" a="1"/>
  <c r="DF1549" i="10" s="1"/>
  <c r="DE1549" i="10" a="1"/>
  <c r="DE1549" i="10" s="1"/>
  <c r="DD1549" i="10" a="1"/>
  <c r="DD1549" i="10" s="1"/>
  <c r="DC1549" i="10" a="1"/>
  <c r="DC1549" i="10" s="1"/>
  <c r="DB1549" i="10" a="1"/>
  <c r="DB1549" i="10" s="1"/>
  <c r="DA1549" i="10" a="1"/>
  <c r="DA1549" i="10" s="1"/>
  <c r="CZ1549" i="10" a="1"/>
  <c r="CZ1549" i="10" s="1"/>
  <c r="CY1549" i="10" a="1"/>
  <c r="CY1549" i="10" s="1"/>
  <c r="CX1549" i="10" a="1"/>
  <c r="CX1549" i="10" s="1"/>
  <c r="CW1549" i="10" a="1"/>
  <c r="CW1549" i="10" s="1"/>
  <c r="CV1549" i="10" a="1"/>
  <c r="CV1549" i="10" s="1"/>
  <c r="CU1549" i="10" a="1"/>
  <c r="CU1549" i="10" s="1"/>
  <c r="CT1549" i="10" a="1"/>
  <c r="CT1549" i="10" s="1"/>
  <c r="CS1549" i="10" a="1"/>
  <c r="CS1549" i="10" s="1"/>
  <c r="CR1549" i="10" a="1"/>
  <c r="CR1549" i="10" s="1"/>
  <c r="CQ1549" i="10" a="1"/>
  <c r="CQ1549" i="10" s="1"/>
  <c r="CP1549" i="10" a="1"/>
  <c r="CP1549" i="10" s="1"/>
  <c r="CO1549" i="10" a="1"/>
  <c r="CO1549" i="10" s="1"/>
  <c r="CN1549" i="10" a="1"/>
  <c r="CN1549" i="10" s="1"/>
  <c r="CM1549" i="10" a="1"/>
  <c r="CM1549" i="10" s="1"/>
  <c r="CL1549" i="10" a="1"/>
  <c r="CL1549" i="10" s="1"/>
  <c r="CK1549" i="10" a="1"/>
  <c r="CK1549" i="10" s="1"/>
  <c r="CJ1549" i="10" a="1"/>
  <c r="CJ1549" i="10" s="1"/>
  <c r="CI1549" i="10" a="1"/>
  <c r="CI1549" i="10" s="1"/>
  <c r="CH1549" i="10" a="1"/>
  <c r="CH1549" i="10" s="1"/>
  <c r="CG1549" i="10" a="1"/>
  <c r="CG1549" i="10" s="1"/>
  <c r="CF1549" i="10" a="1"/>
  <c r="CF1549" i="10" s="1"/>
  <c r="CE1549" i="10" a="1"/>
  <c r="CE1549" i="10" s="1"/>
  <c r="CD1549" i="10" a="1"/>
  <c r="CD1549" i="10" s="1"/>
  <c r="CC1549" i="10" a="1"/>
  <c r="CC1549" i="10" s="1"/>
  <c r="CB1549" i="10" a="1"/>
  <c r="CB1549" i="10" s="1"/>
  <c r="CA1549" i="10" a="1"/>
  <c r="CA1549" i="10" s="1"/>
  <c r="BZ1549" i="10" a="1"/>
  <c r="BZ1549" i="10" s="1"/>
  <c r="BY1549" i="10" a="1"/>
  <c r="BY1549" i="10" s="1"/>
  <c r="BX1549" i="10" a="1"/>
  <c r="BX1549" i="10" s="1"/>
  <c r="BW1549" i="10" a="1"/>
  <c r="BW1549" i="10" s="1"/>
  <c r="BV1549" i="10" a="1"/>
  <c r="BV1549" i="10" s="1"/>
  <c r="BU1549" i="10" a="1"/>
  <c r="BU1549" i="10" s="1"/>
  <c r="BT1549" i="10" a="1"/>
  <c r="BT1549" i="10" s="1"/>
  <c r="BS1549" i="10" a="1"/>
  <c r="BS1549" i="10" s="1"/>
  <c r="BR1549" i="10" a="1"/>
  <c r="BR1549" i="10" s="1"/>
  <c r="BQ1549" i="10" a="1"/>
  <c r="BQ1549" i="10" s="1"/>
  <c r="BP1549" i="10" a="1"/>
  <c r="BP1549" i="10" s="1"/>
  <c r="BO1549" i="10" a="1"/>
  <c r="BO1549" i="10" s="1"/>
  <c r="BN1549" i="10" a="1"/>
  <c r="BN1549" i="10" s="1"/>
  <c r="BM1549" i="10" a="1"/>
  <c r="BM1549" i="10" s="1"/>
  <c r="BL1549" i="10" a="1"/>
  <c r="BL1549" i="10" s="1"/>
  <c r="BK1549" i="10" a="1"/>
  <c r="BK1549" i="10" s="1"/>
  <c r="BJ1549" i="10" a="1"/>
  <c r="BJ1549" i="10" s="1"/>
  <c r="BI1549" i="10" a="1"/>
  <c r="BI1549" i="10" s="1"/>
  <c r="BH1549" i="10" a="1"/>
  <c r="BH1549" i="10" s="1"/>
  <c r="BG1549" i="10" a="1"/>
  <c r="BG1549" i="10" s="1"/>
  <c r="BF1549" i="10" a="1"/>
  <c r="BF1549" i="10" s="1"/>
  <c r="BE1549" i="10" a="1"/>
  <c r="BE1549" i="10" s="1"/>
  <c r="BD1549" i="10" a="1"/>
  <c r="BD1549" i="10" s="1"/>
  <c r="BC1549" i="10" a="1"/>
  <c r="BC1549" i="10" s="1"/>
  <c r="BB1549" i="10" a="1"/>
  <c r="BB1549" i="10" s="1"/>
  <c r="BA1549" i="10" a="1"/>
  <c r="BA1549" i="10" s="1"/>
  <c r="AZ1549" i="10" a="1"/>
  <c r="AZ1549" i="10" s="1"/>
  <c r="AY1549" i="10" a="1"/>
  <c r="AY1549" i="10" s="1"/>
  <c r="AX1549" i="10" a="1"/>
  <c r="AX1549" i="10" s="1"/>
  <c r="AW1549" i="10" a="1"/>
  <c r="AW1549" i="10" s="1"/>
  <c r="AV1549" i="10" a="1"/>
  <c r="AV1549" i="10" s="1"/>
  <c r="AU1549" i="10" a="1"/>
  <c r="AU1549" i="10" s="1"/>
  <c r="AT1549" i="10" a="1"/>
  <c r="AT1549" i="10" s="1"/>
  <c r="AS1549" i="10" a="1"/>
  <c r="AS1549" i="10" s="1"/>
  <c r="AR1549" i="10" a="1"/>
  <c r="AR1549" i="10" s="1"/>
  <c r="AQ1549" i="10" a="1"/>
  <c r="AQ1549" i="10" s="1"/>
  <c r="AP1549" i="10" a="1"/>
  <c r="AP1549" i="10" s="1"/>
  <c r="AO1549" i="10" a="1"/>
  <c r="AO1549" i="10" s="1"/>
  <c r="AN1549" i="10" a="1"/>
  <c r="AN1549" i="10" s="1"/>
  <c r="AM1549" i="10" a="1"/>
  <c r="AM1549" i="10" s="1"/>
  <c r="AL1549" i="10" a="1"/>
  <c r="AL1549" i="10" s="1"/>
  <c r="Q27" i="9" s="1"/>
  <c r="AK1549" i="10" a="1"/>
  <c r="AK1549" i="10" s="1"/>
  <c r="AJ1549" i="10" a="1"/>
  <c r="AJ1549" i="10" s="1"/>
  <c r="AI1549" i="10" a="1"/>
  <c r="AI1549" i="10" s="1"/>
  <c r="AH1549" i="10" a="1"/>
  <c r="AH1549" i="10" s="1"/>
  <c r="AG1549" i="10" a="1"/>
  <c r="AG1549" i="10" s="1"/>
  <c r="AF1549" i="10" a="1"/>
  <c r="AF1549" i="10" s="1"/>
  <c r="AE1549" i="10" a="1"/>
  <c r="AE1549" i="10" s="1"/>
  <c r="AD1549" i="10" a="1"/>
  <c r="AD1549" i="10" s="1"/>
  <c r="AC1549" i="10" a="1"/>
  <c r="AC1549" i="10" s="1"/>
  <c r="AB1549" i="10" a="1"/>
  <c r="AB1549" i="10" s="1"/>
  <c r="AA1549" i="10" a="1"/>
  <c r="AA1549" i="10" s="1"/>
  <c r="Z1549" i="10" a="1"/>
  <c r="Z1549" i="10" s="1"/>
  <c r="Y1549" i="10" a="1"/>
  <c r="Y1549" i="10" s="1"/>
  <c r="X1549" i="10" a="1"/>
  <c r="X1549" i="10" s="1"/>
  <c r="W1549" i="10" a="1"/>
  <c r="W1549" i="10" s="1"/>
  <c r="V1549" i="10" a="1"/>
  <c r="V1549" i="10" s="1"/>
  <c r="U1549" i="10" a="1"/>
  <c r="U1549" i="10" s="1"/>
  <c r="T1549" i="10" a="1"/>
  <c r="T1549" i="10" s="1"/>
  <c r="S1549" i="10" a="1"/>
  <c r="S1549" i="10" s="1"/>
  <c r="R1549" i="10" a="1"/>
  <c r="R1549" i="10" s="1"/>
  <c r="Q1549" i="10" a="1"/>
  <c r="Q1549" i="10" s="1"/>
  <c r="P1549" i="10" a="1"/>
  <c r="P1549" i="10" s="1"/>
  <c r="AGN1548" i="10" a="1"/>
  <c r="AGN1548" i="10" s="1"/>
  <c r="AGM1548" i="10" a="1"/>
  <c r="AGM1548" i="10" s="1"/>
  <c r="AGL1548" i="10" a="1"/>
  <c r="AGL1548" i="10" s="1"/>
  <c r="AGK1548" i="10" a="1"/>
  <c r="AGK1548" i="10" s="1"/>
  <c r="AGJ1548" i="10" a="1"/>
  <c r="AGJ1548" i="10" s="1"/>
  <c r="AGI1548" i="10" a="1"/>
  <c r="AGI1548" i="10" s="1"/>
  <c r="AGH1548" i="10" a="1"/>
  <c r="AGH1548" i="10" s="1"/>
  <c r="AGG1548" i="10" a="1"/>
  <c r="AGG1548" i="10" s="1"/>
  <c r="AGF1548" i="10" a="1"/>
  <c r="AGF1548" i="10" s="1"/>
  <c r="AGE1548" i="10" a="1"/>
  <c r="AGE1548" i="10" s="1"/>
  <c r="AGD1548" i="10" a="1"/>
  <c r="AGD1548" i="10" s="1"/>
  <c r="AGC1548" i="10" a="1"/>
  <c r="AGC1548" i="10" s="1"/>
  <c r="AGB1548" i="10" a="1"/>
  <c r="AGB1548" i="10" s="1"/>
  <c r="AGA1548" i="10" a="1"/>
  <c r="AGA1548" i="10" s="1"/>
  <c r="AFZ1548" i="10" a="1"/>
  <c r="AFZ1548" i="10" s="1"/>
  <c r="AFY1548" i="10" a="1"/>
  <c r="AFY1548" i="10" s="1"/>
  <c r="AFX1548" i="10" a="1"/>
  <c r="AFX1548" i="10" s="1"/>
  <c r="AFW1548" i="10" a="1"/>
  <c r="AFW1548" i="10" s="1"/>
  <c r="AFV1548" i="10" a="1"/>
  <c r="AFV1548" i="10" s="1"/>
  <c r="AFU1548" i="10" a="1"/>
  <c r="AFU1548" i="10" s="1"/>
  <c r="AFT1548" i="10" a="1"/>
  <c r="AFT1548" i="10" s="1"/>
  <c r="AFS1548" i="10" a="1"/>
  <c r="AFS1548" i="10" s="1"/>
  <c r="AFR1548" i="10" a="1"/>
  <c r="AFR1548" i="10" s="1"/>
  <c r="AFQ1548" i="10" a="1"/>
  <c r="AFQ1548" i="10" s="1"/>
  <c r="AFP1548" i="10" a="1"/>
  <c r="AFP1548" i="10" s="1"/>
  <c r="AFO1548" i="10" a="1"/>
  <c r="AFO1548" i="10" s="1"/>
  <c r="AFN1548" i="10" a="1"/>
  <c r="AFN1548" i="10" s="1"/>
  <c r="AFM1548" i="10" a="1"/>
  <c r="AFM1548" i="10" s="1"/>
  <c r="AFL1548" i="10" a="1"/>
  <c r="AFL1548" i="10" s="1"/>
  <c r="AFK1548" i="10" a="1"/>
  <c r="AFK1548" i="10" s="1"/>
  <c r="AFJ1548" i="10" a="1"/>
  <c r="AFJ1548" i="10" s="1"/>
  <c r="AFI1548" i="10" a="1"/>
  <c r="AFI1548" i="10" s="1"/>
  <c r="AFH1548" i="10" a="1"/>
  <c r="AFH1548" i="10" s="1"/>
  <c r="AFG1548" i="10" a="1"/>
  <c r="AFG1548" i="10" s="1"/>
  <c r="AFF1548" i="10" a="1"/>
  <c r="AFF1548" i="10" s="1"/>
  <c r="AFE1548" i="10" a="1"/>
  <c r="AFE1548" i="10" s="1"/>
  <c r="AFD1548" i="10" a="1"/>
  <c r="AFD1548" i="10" s="1"/>
  <c r="AFC1548" i="10" a="1"/>
  <c r="AFC1548" i="10" s="1"/>
  <c r="AFB1548" i="10" a="1"/>
  <c r="AFB1548" i="10" s="1"/>
  <c r="AFA1548" i="10" a="1"/>
  <c r="AFA1548" i="10" s="1"/>
  <c r="AEZ1548" i="10" a="1"/>
  <c r="AEZ1548" i="10" s="1"/>
  <c r="AEY1548" i="10" a="1"/>
  <c r="AEY1548" i="10" s="1"/>
  <c r="AEX1548" i="10" a="1"/>
  <c r="AEX1548" i="10" s="1"/>
  <c r="AEW1548" i="10" a="1"/>
  <c r="AEW1548" i="10" s="1"/>
  <c r="AEV1548" i="10" a="1"/>
  <c r="AEV1548" i="10" s="1"/>
  <c r="AEU1548" i="10" a="1"/>
  <c r="AEU1548" i="10" s="1"/>
  <c r="AET1548" i="10" a="1"/>
  <c r="AET1548" i="10" s="1"/>
  <c r="AES1548" i="10" a="1"/>
  <c r="AES1548" i="10" s="1"/>
  <c r="AER1548" i="10" a="1"/>
  <c r="AER1548" i="10" s="1"/>
  <c r="AEQ1548" i="10" a="1"/>
  <c r="AEQ1548" i="10" s="1"/>
  <c r="AEP1548" i="10" a="1"/>
  <c r="AEP1548" i="10" s="1"/>
  <c r="AEO1548" i="10" a="1"/>
  <c r="AEO1548" i="10" s="1"/>
  <c r="AEN1548" i="10" a="1"/>
  <c r="AEN1548" i="10" s="1"/>
  <c r="AEM1548" i="10" a="1"/>
  <c r="AEM1548" i="10" s="1"/>
  <c r="AEL1548" i="10" a="1"/>
  <c r="AEL1548" i="10" s="1"/>
  <c r="AEK1548" i="10" a="1"/>
  <c r="AEK1548" i="10" s="1"/>
  <c r="AEJ1548" i="10" a="1"/>
  <c r="AEJ1548" i="10" s="1"/>
  <c r="AEI1548" i="10" a="1"/>
  <c r="AEI1548" i="10" s="1"/>
  <c r="AEH1548" i="10" a="1"/>
  <c r="AEH1548" i="10" s="1"/>
  <c r="AEG1548" i="10" a="1"/>
  <c r="AEG1548" i="10" s="1"/>
  <c r="AEF1548" i="10" a="1"/>
  <c r="AEF1548" i="10" s="1"/>
  <c r="AEE1548" i="10" a="1"/>
  <c r="AEE1548" i="10" s="1"/>
  <c r="AED1548" i="10" a="1"/>
  <c r="AED1548" i="10" s="1"/>
  <c r="AEC1548" i="10" a="1"/>
  <c r="AEC1548" i="10" s="1"/>
  <c r="AEB1548" i="10" a="1"/>
  <c r="AEB1548" i="10" s="1"/>
  <c r="AEA1548" i="10" a="1"/>
  <c r="AEA1548" i="10" s="1"/>
  <c r="ADZ1548" i="10" a="1"/>
  <c r="ADZ1548" i="10" s="1"/>
  <c r="ADY1548" i="10" a="1"/>
  <c r="ADY1548" i="10" s="1"/>
  <c r="ADX1548" i="10" a="1"/>
  <c r="ADX1548" i="10" s="1"/>
  <c r="ADW1548" i="10" a="1"/>
  <c r="ADW1548" i="10" s="1"/>
  <c r="ADV1548" i="10" a="1"/>
  <c r="ADV1548" i="10" s="1"/>
  <c r="ADU1548" i="10" a="1"/>
  <c r="ADU1548" i="10" s="1"/>
  <c r="ADT1548" i="10" a="1"/>
  <c r="ADT1548" i="10" s="1"/>
  <c r="ADS1548" i="10" a="1"/>
  <c r="ADS1548" i="10" s="1"/>
  <c r="ADR1548" i="10" a="1"/>
  <c r="ADR1548" i="10" s="1"/>
  <c r="ADQ1548" i="10" a="1"/>
  <c r="ADQ1548" i="10" s="1"/>
  <c r="ADP1548" i="10" a="1"/>
  <c r="ADP1548" i="10" s="1"/>
  <c r="ADO1548" i="10" a="1"/>
  <c r="ADO1548" i="10" s="1"/>
  <c r="ADN1548" i="10" a="1"/>
  <c r="ADN1548" i="10" s="1"/>
  <c r="ADM1548" i="10" a="1"/>
  <c r="ADM1548" i="10" s="1"/>
  <c r="ADL1548" i="10" a="1"/>
  <c r="ADL1548" i="10" s="1"/>
  <c r="ADK1548" i="10" a="1"/>
  <c r="ADK1548" i="10" s="1"/>
  <c r="ADJ1548" i="10" a="1"/>
  <c r="ADJ1548" i="10" s="1"/>
  <c r="ADI1548" i="10" a="1"/>
  <c r="ADI1548" i="10" s="1"/>
  <c r="ADH1548" i="10" a="1"/>
  <c r="ADH1548" i="10" s="1"/>
  <c r="ADG1548" i="10" a="1"/>
  <c r="ADG1548" i="10" s="1"/>
  <c r="ADF1548" i="10" a="1"/>
  <c r="ADF1548" i="10" s="1"/>
  <c r="ADE1548" i="10" a="1"/>
  <c r="ADE1548" i="10" s="1"/>
  <c r="ADD1548" i="10" a="1"/>
  <c r="ADD1548" i="10" s="1"/>
  <c r="ADC1548" i="10" a="1"/>
  <c r="ADC1548" i="10" s="1"/>
  <c r="ADB1548" i="10" a="1"/>
  <c r="ADB1548" i="10" s="1"/>
  <c r="ADA1548" i="10" a="1"/>
  <c r="ADA1548" i="10" s="1"/>
  <c r="ACZ1548" i="10" a="1"/>
  <c r="ACZ1548" i="10" s="1"/>
  <c r="ACY1548" i="10" a="1"/>
  <c r="ACY1548" i="10" s="1"/>
  <c r="ACX1548" i="10" a="1"/>
  <c r="ACX1548" i="10" s="1"/>
  <c r="ACW1548" i="10" a="1"/>
  <c r="ACW1548" i="10" s="1"/>
  <c r="ACV1548" i="10" a="1"/>
  <c r="ACV1548" i="10" s="1"/>
  <c r="ACU1548" i="10" a="1"/>
  <c r="ACU1548" i="10" s="1"/>
  <c r="ACT1548" i="10" a="1"/>
  <c r="ACT1548" i="10" s="1"/>
  <c r="ACS1548" i="10" a="1"/>
  <c r="ACS1548" i="10" s="1"/>
  <c r="ACR1548" i="10" a="1"/>
  <c r="ACR1548" i="10" s="1"/>
  <c r="ACQ1548" i="10" a="1"/>
  <c r="ACQ1548" i="10" s="1"/>
  <c r="ACP1548" i="10" a="1"/>
  <c r="ACP1548" i="10" s="1"/>
  <c r="ACO1548" i="10" a="1"/>
  <c r="ACO1548" i="10" s="1"/>
  <c r="ACN1548" i="10" a="1"/>
  <c r="ACN1548" i="10" s="1"/>
  <c r="ACM1548" i="10" a="1"/>
  <c r="ACM1548" i="10" s="1"/>
  <c r="ACL1548" i="10" a="1"/>
  <c r="ACL1548" i="10" s="1"/>
  <c r="ACK1548" i="10" a="1"/>
  <c r="ACK1548" i="10" s="1"/>
  <c r="ACJ1548" i="10" a="1"/>
  <c r="ACJ1548" i="10" s="1"/>
  <c r="ACI1548" i="10" a="1"/>
  <c r="ACI1548" i="10" s="1"/>
  <c r="ACH1548" i="10" a="1"/>
  <c r="ACH1548" i="10" s="1"/>
  <c r="ACG1548" i="10" a="1"/>
  <c r="ACG1548" i="10" s="1"/>
  <c r="ACF1548" i="10" a="1"/>
  <c r="ACF1548" i="10" s="1"/>
  <c r="ACE1548" i="10" a="1"/>
  <c r="ACE1548" i="10" s="1"/>
  <c r="ACD1548" i="10" a="1"/>
  <c r="ACD1548" i="10" s="1"/>
  <c r="ACC1548" i="10" a="1"/>
  <c r="ACC1548" i="10" s="1"/>
  <c r="ACB1548" i="10" a="1"/>
  <c r="ACB1548" i="10" s="1"/>
  <c r="ACA1548" i="10" a="1"/>
  <c r="ACA1548" i="10" s="1"/>
  <c r="ABZ1548" i="10" a="1"/>
  <c r="ABZ1548" i="10" s="1"/>
  <c r="ABY1548" i="10" a="1"/>
  <c r="ABY1548" i="10" s="1"/>
  <c r="ABX1548" i="10" a="1"/>
  <c r="ABX1548" i="10" s="1"/>
  <c r="ABW1548" i="10" a="1"/>
  <c r="ABW1548" i="10" s="1"/>
  <c r="ABV1548" i="10" a="1"/>
  <c r="ABV1548" i="10" s="1"/>
  <c r="ABU1548" i="10" a="1"/>
  <c r="ABU1548" i="10" s="1"/>
  <c r="ABT1548" i="10" a="1"/>
  <c r="ABT1548" i="10" s="1"/>
  <c r="ABS1548" i="10" a="1"/>
  <c r="ABS1548" i="10" s="1"/>
  <c r="ABR1548" i="10" a="1"/>
  <c r="ABR1548" i="10" s="1"/>
  <c r="ABQ1548" i="10" a="1"/>
  <c r="ABQ1548" i="10" s="1"/>
  <c r="ABP1548" i="10" a="1"/>
  <c r="ABP1548" i="10" s="1"/>
  <c r="ABO1548" i="10" a="1"/>
  <c r="ABO1548" i="10" s="1"/>
  <c r="ABN1548" i="10" a="1"/>
  <c r="ABN1548" i="10" s="1"/>
  <c r="ABM1548" i="10" a="1"/>
  <c r="ABM1548" i="10" s="1"/>
  <c r="ABL1548" i="10" a="1"/>
  <c r="ABL1548" i="10" s="1"/>
  <c r="ABK1548" i="10" a="1"/>
  <c r="ABK1548" i="10" s="1"/>
  <c r="ABJ1548" i="10" a="1"/>
  <c r="ABJ1548" i="10" s="1"/>
  <c r="ABI1548" i="10" a="1"/>
  <c r="ABI1548" i="10" s="1"/>
  <c r="ABH1548" i="10" a="1"/>
  <c r="ABH1548" i="10" s="1"/>
  <c r="ABG1548" i="10" a="1"/>
  <c r="ABG1548" i="10" s="1"/>
  <c r="ABF1548" i="10" a="1"/>
  <c r="ABF1548" i="10" s="1"/>
  <c r="ABE1548" i="10" a="1"/>
  <c r="ABE1548" i="10" s="1"/>
  <c r="ABD1548" i="10" a="1"/>
  <c r="ABD1548" i="10" s="1"/>
  <c r="ABC1548" i="10" a="1"/>
  <c r="ABC1548" i="10" s="1"/>
  <c r="ABB1548" i="10" a="1"/>
  <c r="ABB1548" i="10" s="1"/>
  <c r="ABA1548" i="10" a="1"/>
  <c r="ABA1548" i="10" s="1"/>
  <c r="AAZ1548" i="10" a="1"/>
  <c r="AAZ1548" i="10" s="1"/>
  <c r="AAY1548" i="10" a="1"/>
  <c r="AAY1548" i="10" s="1"/>
  <c r="AAX1548" i="10" a="1"/>
  <c r="AAX1548" i="10" s="1"/>
  <c r="AAW1548" i="10" a="1"/>
  <c r="AAW1548" i="10" s="1"/>
  <c r="AAV1548" i="10" a="1"/>
  <c r="AAV1548" i="10" s="1"/>
  <c r="AAU1548" i="10" a="1"/>
  <c r="AAU1548" i="10" s="1"/>
  <c r="AAT1548" i="10" a="1"/>
  <c r="AAT1548" i="10" s="1"/>
  <c r="AAS1548" i="10" a="1"/>
  <c r="AAS1548" i="10" s="1"/>
  <c r="AAR1548" i="10" a="1"/>
  <c r="AAR1548" i="10" s="1"/>
  <c r="AAQ1548" i="10" a="1"/>
  <c r="AAQ1548" i="10" s="1"/>
  <c r="AAP1548" i="10" a="1"/>
  <c r="AAP1548" i="10" s="1"/>
  <c r="AAO1548" i="10" a="1"/>
  <c r="AAO1548" i="10" s="1"/>
  <c r="AAN1548" i="10" a="1"/>
  <c r="AAN1548" i="10" s="1"/>
  <c r="AAM1548" i="10" a="1"/>
  <c r="AAM1548" i="10" s="1"/>
  <c r="AAL1548" i="10" a="1"/>
  <c r="AAL1548" i="10" s="1"/>
  <c r="AAK1548" i="10" a="1"/>
  <c r="AAK1548" i="10" s="1"/>
  <c r="AAJ1548" i="10" a="1"/>
  <c r="AAJ1548" i="10" s="1"/>
  <c r="AAI1548" i="10" a="1"/>
  <c r="AAI1548" i="10" s="1"/>
  <c r="AAH1548" i="10" a="1"/>
  <c r="AAH1548" i="10" s="1"/>
  <c r="AAG1548" i="10" a="1"/>
  <c r="AAG1548" i="10" s="1"/>
  <c r="AAF1548" i="10" a="1"/>
  <c r="AAF1548" i="10" s="1"/>
  <c r="AAE1548" i="10" a="1"/>
  <c r="AAE1548" i="10" s="1"/>
  <c r="AAD1548" i="10" a="1"/>
  <c r="AAD1548" i="10" s="1"/>
  <c r="AAC1548" i="10" a="1"/>
  <c r="AAC1548" i="10" s="1"/>
  <c r="AAB1548" i="10" a="1"/>
  <c r="AAB1548" i="10" s="1"/>
  <c r="AAA1548" i="10" a="1"/>
  <c r="AAA1548" i="10" s="1"/>
  <c r="ZZ1548" i="10" a="1"/>
  <c r="ZZ1548" i="10" s="1"/>
  <c r="ZY1548" i="10" a="1"/>
  <c r="ZY1548" i="10" s="1"/>
  <c r="ZX1548" i="10" a="1"/>
  <c r="ZX1548" i="10" s="1"/>
  <c r="ZW1548" i="10" a="1"/>
  <c r="ZW1548" i="10" s="1"/>
  <c r="ZV1548" i="10" a="1"/>
  <c r="ZV1548" i="10" s="1"/>
  <c r="ZU1548" i="10" a="1"/>
  <c r="ZU1548" i="10" s="1"/>
  <c r="ZT1548" i="10" a="1"/>
  <c r="ZT1548" i="10" s="1"/>
  <c r="ZS1548" i="10" a="1"/>
  <c r="ZS1548" i="10" s="1"/>
  <c r="ZR1548" i="10" a="1"/>
  <c r="ZR1548" i="10" s="1"/>
  <c r="ZQ1548" i="10" a="1"/>
  <c r="ZQ1548" i="10" s="1"/>
  <c r="ZP1548" i="10" a="1"/>
  <c r="ZP1548" i="10" s="1"/>
  <c r="ZO1548" i="10" a="1"/>
  <c r="ZO1548" i="10" s="1"/>
  <c r="ZN1548" i="10" a="1"/>
  <c r="ZN1548" i="10" s="1"/>
  <c r="ZM1548" i="10" a="1"/>
  <c r="ZM1548" i="10" s="1"/>
  <c r="ZL1548" i="10" a="1"/>
  <c r="ZL1548" i="10" s="1"/>
  <c r="ZK1548" i="10" a="1"/>
  <c r="ZK1548" i="10" s="1"/>
  <c r="ZJ1548" i="10" a="1"/>
  <c r="ZJ1548" i="10" s="1"/>
  <c r="ZI1548" i="10" a="1"/>
  <c r="ZI1548" i="10" s="1"/>
  <c r="ZH1548" i="10" a="1"/>
  <c r="ZH1548" i="10" s="1"/>
  <c r="ZG1548" i="10" a="1"/>
  <c r="ZG1548" i="10" s="1"/>
  <c r="ZF1548" i="10" a="1"/>
  <c r="ZF1548" i="10" s="1"/>
  <c r="ZE1548" i="10" a="1"/>
  <c r="ZE1548" i="10" s="1"/>
  <c r="ZD1548" i="10" a="1"/>
  <c r="ZD1548" i="10" s="1"/>
  <c r="ZC1548" i="10" a="1"/>
  <c r="ZC1548" i="10" s="1"/>
  <c r="ZB1548" i="10" a="1"/>
  <c r="ZB1548" i="10" s="1"/>
  <c r="ZA1548" i="10" a="1"/>
  <c r="ZA1548" i="10" s="1"/>
  <c r="YZ1548" i="10" a="1"/>
  <c r="YZ1548" i="10" s="1"/>
  <c r="YY1548" i="10" a="1"/>
  <c r="YY1548" i="10" s="1"/>
  <c r="YX1548" i="10" a="1"/>
  <c r="YX1548" i="10" s="1"/>
  <c r="YW1548" i="10" a="1"/>
  <c r="YW1548" i="10" s="1"/>
  <c r="YV1548" i="10" a="1"/>
  <c r="YV1548" i="10" s="1"/>
  <c r="YU1548" i="10" a="1"/>
  <c r="YU1548" i="10" s="1"/>
  <c r="YT1548" i="10" a="1"/>
  <c r="YT1548" i="10" s="1"/>
  <c r="YS1548" i="10" a="1"/>
  <c r="YS1548" i="10" s="1"/>
  <c r="YR1548" i="10" a="1"/>
  <c r="YR1548" i="10" s="1"/>
  <c r="YQ1548" i="10" a="1"/>
  <c r="YQ1548" i="10" s="1"/>
  <c r="YP1548" i="10" a="1"/>
  <c r="YP1548" i="10" s="1"/>
  <c r="YO1548" i="10" a="1"/>
  <c r="YO1548" i="10" s="1"/>
  <c r="YN1548" i="10" a="1"/>
  <c r="YN1548" i="10" s="1"/>
  <c r="YM1548" i="10" a="1"/>
  <c r="YM1548" i="10" s="1"/>
  <c r="YL1548" i="10" a="1"/>
  <c r="YL1548" i="10" s="1"/>
  <c r="YK1548" i="10" a="1"/>
  <c r="YK1548" i="10" s="1"/>
  <c r="YJ1548" i="10" a="1"/>
  <c r="YJ1548" i="10" s="1"/>
  <c r="YI1548" i="10" a="1"/>
  <c r="YI1548" i="10" s="1"/>
  <c r="YH1548" i="10" a="1"/>
  <c r="YH1548" i="10" s="1"/>
  <c r="YG1548" i="10" a="1"/>
  <c r="YG1548" i="10" s="1"/>
  <c r="YF1548" i="10" a="1"/>
  <c r="YF1548" i="10" s="1"/>
  <c r="YE1548" i="10" a="1"/>
  <c r="YE1548" i="10" s="1"/>
  <c r="YD1548" i="10" a="1"/>
  <c r="YD1548" i="10" s="1"/>
  <c r="YC1548" i="10" a="1"/>
  <c r="YC1548" i="10" s="1"/>
  <c r="YB1548" i="10" a="1"/>
  <c r="YB1548" i="10" s="1"/>
  <c r="YA1548" i="10" a="1"/>
  <c r="YA1548" i="10" s="1"/>
  <c r="XZ1548" i="10" a="1"/>
  <c r="XZ1548" i="10" s="1"/>
  <c r="XY1548" i="10" a="1"/>
  <c r="XY1548" i="10" s="1"/>
  <c r="XX1548" i="10" a="1"/>
  <c r="XX1548" i="10" s="1"/>
  <c r="XW1548" i="10" a="1"/>
  <c r="XW1548" i="10" s="1"/>
  <c r="XV1548" i="10" a="1"/>
  <c r="XV1548" i="10" s="1"/>
  <c r="XU1548" i="10" a="1"/>
  <c r="XU1548" i="10" s="1"/>
  <c r="XT1548" i="10" a="1"/>
  <c r="XT1548" i="10" s="1"/>
  <c r="XS1548" i="10" a="1"/>
  <c r="XS1548" i="10" s="1"/>
  <c r="XR1548" i="10" a="1"/>
  <c r="XR1548" i="10" s="1"/>
  <c r="XQ1548" i="10" a="1"/>
  <c r="XQ1548" i="10" s="1"/>
  <c r="XP1548" i="10" a="1"/>
  <c r="XP1548" i="10" s="1"/>
  <c r="XO1548" i="10" a="1"/>
  <c r="XO1548" i="10" s="1"/>
  <c r="XN1548" i="10" a="1"/>
  <c r="XN1548" i="10" s="1"/>
  <c r="XM1548" i="10" a="1"/>
  <c r="XM1548" i="10" s="1"/>
  <c r="XL1548" i="10" a="1"/>
  <c r="XL1548" i="10" s="1"/>
  <c r="XK1548" i="10" a="1"/>
  <c r="XK1548" i="10" s="1"/>
  <c r="XJ1548" i="10" a="1"/>
  <c r="XJ1548" i="10" s="1"/>
  <c r="XI1548" i="10" a="1"/>
  <c r="XI1548" i="10" s="1"/>
  <c r="XH1548" i="10" a="1"/>
  <c r="XH1548" i="10" s="1"/>
  <c r="XG1548" i="10" a="1"/>
  <c r="XG1548" i="10" s="1"/>
  <c r="XF1548" i="10" a="1"/>
  <c r="XF1548" i="10" s="1"/>
  <c r="XE1548" i="10" a="1"/>
  <c r="XE1548" i="10" s="1"/>
  <c r="XD1548" i="10" a="1"/>
  <c r="XD1548" i="10" s="1"/>
  <c r="XC1548" i="10" a="1"/>
  <c r="XC1548" i="10" s="1"/>
  <c r="XB1548" i="10" a="1"/>
  <c r="XB1548" i="10" s="1"/>
  <c r="XA1548" i="10" a="1"/>
  <c r="XA1548" i="10" s="1"/>
  <c r="WZ1548" i="10" a="1"/>
  <c r="WZ1548" i="10" s="1"/>
  <c r="WY1548" i="10" a="1"/>
  <c r="WY1548" i="10" s="1"/>
  <c r="WX1548" i="10" a="1"/>
  <c r="WX1548" i="10" s="1"/>
  <c r="WW1548" i="10" a="1"/>
  <c r="WW1548" i="10" s="1"/>
  <c r="WV1548" i="10" a="1"/>
  <c r="WV1548" i="10" s="1"/>
  <c r="WU1548" i="10" a="1"/>
  <c r="WU1548" i="10" s="1"/>
  <c r="WT1548" i="10" a="1"/>
  <c r="WT1548" i="10" s="1"/>
  <c r="WS1548" i="10" a="1"/>
  <c r="WS1548" i="10" s="1"/>
  <c r="WR1548" i="10" a="1"/>
  <c r="WR1548" i="10" s="1"/>
  <c r="WQ1548" i="10" a="1"/>
  <c r="WQ1548" i="10" s="1"/>
  <c r="WP1548" i="10" a="1"/>
  <c r="WP1548" i="10" s="1"/>
  <c r="WO1548" i="10" a="1"/>
  <c r="WO1548" i="10" s="1"/>
  <c r="WN1548" i="10" a="1"/>
  <c r="WN1548" i="10" s="1"/>
  <c r="WM1548" i="10" a="1"/>
  <c r="WM1548" i="10" s="1"/>
  <c r="WL1548" i="10" a="1"/>
  <c r="WL1548" i="10" s="1"/>
  <c r="WK1548" i="10" a="1"/>
  <c r="WK1548" i="10" s="1"/>
  <c r="WJ1548" i="10" a="1"/>
  <c r="WJ1548" i="10" s="1"/>
  <c r="WI1548" i="10" a="1"/>
  <c r="WI1548" i="10" s="1"/>
  <c r="WH1548" i="10" a="1"/>
  <c r="WH1548" i="10" s="1"/>
  <c r="WG1548" i="10" a="1"/>
  <c r="WG1548" i="10" s="1"/>
  <c r="WF1548" i="10" a="1"/>
  <c r="WF1548" i="10" s="1"/>
  <c r="WE1548" i="10" a="1"/>
  <c r="WE1548" i="10" s="1"/>
  <c r="WD1548" i="10" a="1"/>
  <c r="WD1548" i="10" s="1"/>
  <c r="WC1548" i="10" a="1"/>
  <c r="WC1548" i="10" s="1"/>
  <c r="WB1548" i="10" a="1"/>
  <c r="WB1548" i="10" s="1"/>
  <c r="WA1548" i="10" a="1"/>
  <c r="WA1548" i="10" s="1"/>
  <c r="VZ1548" i="10" a="1"/>
  <c r="VZ1548" i="10" s="1"/>
  <c r="VY1548" i="10" a="1"/>
  <c r="VY1548" i="10" s="1"/>
  <c r="VX1548" i="10" a="1"/>
  <c r="VX1548" i="10" s="1"/>
  <c r="VW1548" i="10" a="1"/>
  <c r="VW1548" i="10" s="1"/>
  <c r="VV1548" i="10" a="1"/>
  <c r="VV1548" i="10" s="1"/>
  <c r="VU1548" i="10" a="1"/>
  <c r="VU1548" i="10" s="1"/>
  <c r="VT1548" i="10" a="1"/>
  <c r="VT1548" i="10" s="1"/>
  <c r="VS1548" i="10" a="1"/>
  <c r="VS1548" i="10" s="1"/>
  <c r="VR1548" i="10" a="1"/>
  <c r="VR1548" i="10" s="1"/>
  <c r="VQ1548" i="10" a="1"/>
  <c r="VQ1548" i="10" s="1"/>
  <c r="VP1548" i="10" a="1"/>
  <c r="VP1548" i="10" s="1"/>
  <c r="VO1548" i="10" a="1"/>
  <c r="VO1548" i="10" s="1"/>
  <c r="VN1548" i="10" a="1"/>
  <c r="VN1548" i="10" s="1"/>
  <c r="VM1548" i="10" a="1"/>
  <c r="VM1548" i="10" s="1"/>
  <c r="VL1548" i="10" a="1"/>
  <c r="VL1548" i="10" s="1"/>
  <c r="VK1548" i="10" a="1"/>
  <c r="VK1548" i="10" s="1"/>
  <c r="VJ1548" i="10" a="1"/>
  <c r="VJ1548" i="10" s="1"/>
  <c r="VI1548" i="10" a="1"/>
  <c r="VI1548" i="10" s="1"/>
  <c r="VH1548" i="10" a="1"/>
  <c r="VH1548" i="10" s="1"/>
  <c r="VG1548" i="10" a="1"/>
  <c r="VG1548" i="10" s="1"/>
  <c r="VF1548" i="10" a="1"/>
  <c r="VF1548" i="10" s="1"/>
  <c r="VE1548" i="10" a="1"/>
  <c r="VE1548" i="10" s="1"/>
  <c r="VD1548" i="10" a="1"/>
  <c r="VD1548" i="10" s="1"/>
  <c r="VC1548" i="10" a="1"/>
  <c r="VC1548" i="10" s="1"/>
  <c r="VB1548" i="10" a="1"/>
  <c r="VB1548" i="10" s="1"/>
  <c r="VA1548" i="10" a="1"/>
  <c r="VA1548" i="10" s="1"/>
  <c r="UZ1548" i="10" a="1"/>
  <c r="UZ1548" i="10" s="1"/>
  <c r="UY1548" i="10" a="1"/>
  <c r="UY1548" i="10" s="1"/>
  <c r="UX1548" i="10" a="1"/>
  <c r="UX1548" i="10" s="1"/>
  <c r="UW1548" i="10" a="1"/>
  <c r="UW1548" i="10" s="1"/>
  <c r="UV1548" i="10" a="1"/>
  <c r="UV1548" i="10" s="1"/>
  <c r="UU1548" i="10" a="1"/>
  <c r="UU1548" i="10" s="1"/>
  <c r="UT1548" i="10" a="1"/>
  <c r="UT1548" i="10" s="1"/>
  <c r="US1548" i="10" a="1"/>
  <c r="US1548" i="10" s="1"/>
  <c r="UR1548" i="10" a="1"/>
  <c r="UR1548" i="10" s="1"/>
  <c r="UQ1548" i="10" a="1"/>
  <c r="UQ1548" i="10" s="1"/>
  <c r="UP1548" i="10" a="1"/>
  <c r="UP1548" i="10" s="1"/>
  <c r="UO1548" i="10" a="1"/>
  <c r="UO1548" i="10" s="1"/>
  <c r="UN1548" i="10" a="1"/>
  <c r="UN1548" i="10" s="1"/>
  <c r="UM1548" i="10" a="1"/>
  <c r="UM1548" i="10" s="1"/>
  <c r="UL1548" i="10" a="1"/>
  <c r="UL1548" i="10" s="1"/>
  <c r="UK1548" i="10" a="1"/>
  <c r="UK1548" i="10" s="1"/>
  <c r="UJ1548" i="10" a="1"/>
  <c r="UJ1548" i="10" s="1"/>
  <c r="UI1548" i="10" a="1"/>
  <c r="UI1548" i="10" s="1"/>
  <c r="UH1548" i="10" a="1"/>
  <c r="UH1548" i="10" s="1"/>
  <c r="UG1548" i="10" a="1"/>
  <c r="UG1548" i="10" s="1"/>
  <c r="UF1548" i="10" a="1"/>
  <c r="UF1548" i="10" s="1"/>
  <c r="UE1548" i="10" a="1"/>
  <c r="UE1548" i="10" s="1"/>
  <c r="UD1548" i="10" a="1"/>
  <c r="UD1548" i="10" s="1"/>
  <c r="UC1548" i="10" a="1"/>
  <c r="UC1548" i="10" s="1"/>
  <c r="UB1548" i="10" a="1"/>
  <c r="UB1548" i="10" s="1"/>
  <c r="UA1548" i="10" a="1"/>
  <c r="UA1548" i="10" s="1"/>
  <c r="TZ1548" i="10" a="1"/>
  <c r="TZ1548" i="10" s="1"/>
  <c r="TY1548" i="10" a="1"/>
  <c r="TY1548" i="10" s="1"/>
  <c r="TX1548" i="10" a="1"/>
  <c r="TX1548" i="10" s="1"/>
  <c r="TW1548" i="10" a="1"/>
  <c r="TW1548" i="10" s="1"/>
  <c r="TV1548" i="10" a="1"/>
  <c r="TV1548" i="10" s="1"/>
  <c r="TU1548" i="10" a="1"/>
  <c r="TU1548" i="10" s="1"/>
  <c r="TT1548" i="10" a="1"/>
  <c r="TT1548" i="10" s="1"/>
  <c r="TS1548" i="10" a="1"/>
  <c r="TS1548" i="10" s="1"/>
  <c r="TR1548" i="10" a="1"/>
  <c r="TR1548" i="10" s="1"/>
  <c r="TQ1548" i="10" a="1"/>
  <c r="TQ1548" i="10" s="1"/>
  <c r="TP1548" i="10" a="1"/>
  <c r="TP1548" i="10" s="1"/>
  <c r="TO1548" i="10" a="1"/>
  <c r="TO1548" i="10" s="1"/>
  <c r="TN1548" i="10" a="1"/>
  <c r="TN1548" i="10" s="1"/>
  <c r="TM1548" i="10" a="1"/>
  <c r="TM1548" i="10" s="1"/>
  <c r="TL1548" i="10" a="1"/>
  <c r="TL1548" i="10" s="1"/>
  <c r="TK1548" i="10" a="1"/>
  <c r="TK1548" i="10" s="1"/>
  <c r="TJ1548" i="10" a="1"/>
  <c r="TJ1548" i="10" s="1"/>
  <c r="TI1548" i="10" a="1"/>
  <c r="TI1548" i="10" s="1"/>
  <c r="TH1548" i="10" a="1"/>
  <c r="TH1548" i="10" s="1"/>
  <c r="TG1548" i="10" a="1"/>
  <c r="TG1548" i="10" s="1"/>
  <c r="TF1548" i="10" a="1"/>
  <c r="TF1548" i="10" s="1"/>
  <c r="TE1548" i="10" a="1"/>
  <c r="TE1548" i="10" s="1"/>
  <c r="TD1548" i="10" a="1"/>
  <c r="TD1548" i="10" s="1"/>
  <c r="TC1548" i="10" a="1"/>
  <c r="TC1548" i="10" s="1"/>
  <c r="TB1548" i="10" a="1"/>
  <c r="TB1548" i="10" s="1"/>
  <c r="TA1548" i="10" a="1"/>
  <c r="TA1548" i="10" s="1"/>
  <c r="SZ1548" i="10" a="1"/>
  <c r="SZ1548" i="10" s="1"/>
  <c r="SY1548" i="10" a="1"/>
  <c r="SY1548" i="10" s="1"/>
  <c r="SX1548" i="10" a="1"/>
  <c r="SX1548" i="10" s="1"/>
  <c r="SW1548" i="10" a="1"/>
  <c r="SW1548" i="10" s="1"/>
  <c r="SV1548" i="10" a="1"/>
  <c r="SV1548" i="10" s="1"/>
  <c r="SU1548" i="10" a="1"/>
  <c r="SU1548" i="10" s="1"/>
  <c r="ST1548" i="10" a="1"/>
  <c r="ST1548" i="10" s="1"/>
  <c r="SS1548" i="10" a="1"/>
  <c r="SS1548" i="10" s="1"/>
  <c r="SR1548" i="10" a="1"/>
  <c r="SR1548" i="10" s="1"/>
  <c r="SQ1548" i="10" a="1"/>
  <c r="SQ1548" i="10" s="1"/>
  <c r="SP1548" i="10" a="1"/>
  <c r="SP1548" i="10" s="1"/>
  <c r="SO1548" i="10" a="1"/>
  <c r="SO1548" i="10" s="1"/>
  <c r="SN1548" i="10" a="1"/>
  <c r="SN1548" i="10" s="1"/>
  <c r="SM1548" i="10" a="1"/>
  <c r="SM1548" i="10" s="1"/>
  <c r="SL1548" i="10" a="1"/>
  <c r="SL1548" i="10" s="1"/>
  <c r="SK1548" i="10" a="1"/>
  <c r="SK1548" i="10" s="1"/>
  <c r="SJ1548" i="10" a="1"/>
  <c r="SJ1548" i="10" s="1"/>
  <c r="SI1548" i="10" a="1"/>
  <c r="SI1548" i="10" s="1"/>
  <c r="SH1548" i="10" a="1"/>
  <c r="SH1548" i="10" s="1"/>
  <c r="SG1548" i="10" a="1"/>
  <c r="SG1548" i="10" s="1"/>
  <c r="SF1548" i="10" a="1"/>
  <c r="SF1548" i="10" s="1"/>
  <c r="SE1548" i="10" a="1"/>
  <c r="SE1548" i="10" s="1"/>
  <c r="SD1548" i="10" a="1"/>
  <c r="SD1548" i="10" s="1"/>
  <c r="SC1548" i="10" a="1"/>
  <c r="SC1548" i="10" s="1"/>
  <c r="SB1548" i="10" a="1"/>
  <c r="SB1548" i="10" s="1"/>
  <c r="SA1548" i="10" a="1"/>
  <c r="SA1548" i="10" s="1"/>
  <c r="RZ1548" i="10" a="1"/>
  <c r="RZ1548" i="10" s="1"/>
  <c r="RY1548" i="10" a="1"/>
  <c r="RY1548" i="10" s="1"/>
  <c r="RX1548" i="10" a="1"/>
  <c r="RX1548" i="10" s="1"/>
  <c r="RW1548" i="10" a="1"/>
  <c r="RW1548" i="10" s="1"/>
  <c r="RV1548" i="10" a="1"/>
  <c r="RV1548" i="10" s="1"/>
  <c r="RU1548" i="10" a="1"/>
  <c r="RU1548" i="10" s="1"/>
  <c r="RT1548" i="10" a="1"/>
  <c r="RT1548" i="10" s="1"/>
  <c r="RS1548" i="10" a="1"/>
  <c r="RS1548" i="10" s="1"/>
  <c r="RR1548" i="10" a="1"/>
  <c r="RR1548" i="10" s="1"/>
  <c r="RQ1548" i="10" a="1"/>
  <c r="RQ1548" i="10" s="1"/>
  <c r="RP1548" i="10" a="1"/>
  <c r="RP1548" i="10" s="1"/>
  <c r="RO1548" i="10" a="1"/>
  <c r="RO1548" i="10" s="1"/>
  <c r="RN1548" i="10" a="1"/>
  <c r="RN1548" i="10" s="1"/>
  <c r="RM1548" i="10" a="1"/>
  <c r="RM1548" i="10" s="1"/>
  <c r="RL1548" i="10" a="1"/>
  <c r="RL1548" i="10" s="1"/>
  <c r="RK1548" i="10" a="1"/>
  <c r="RK1548" i="10" s="1"/>
  <c r="RJ1548" i="10" a="1"/>
  <c r="RJ1548" i="10" s="1"/>
  <c r="RI1548" i="10" a="1"/>
  <c r="RI1548" i="10" s="1"/>
  <c r="RH1548" i="10" a="1"/>
  <c r="RH1548" i="10" s="1"/>
  <c r="RG1548" i="10" a="1"/>
  <c r="RG1548" i="10" s="1"/>
  <c r="RF1548" i="10" a="1"/>
  <c r="RF1548" i="10" s="1"/>
  <c r="RE1548" i="10" a="1"/>
  <c r="RE1548" i="10" s="1"/>
  <c r="RD1548" i="10" a="1"/>
  <c r="RD1548" i="10" s="1"/>
  <c r="RC1548" i="10" a="1"/>
  <c r="RC1548" i="10" s="1"/>
  <c r="RB1548" i="10" a="1"/>
  <c r="RB1548" i="10" s="1"/>
  <c r="RA1548" i="10" a="1"/>
  <c r="RA1548" i="10" s="1"/>
  <c r="QZ1548" i="10" a="1"/>
  <c r="QZ1548" i="10" s="1"/>
  <c r="QY1548" i="10" a="1"/>
  <c r="QY1548" i="10" s="1"/>
  <c r="QX1548" i="10" a="1"/>
  <c r="QX1548" i="10" s="1"/>
  <c r="QW1548" i="10" a="1"/>
  <c r="QW1548" i="10" s="1"/>
  <c r="QV1548" i="10" a="1"/>
  <c r="QV1548" i="10" s="1"/>
  <c r="QU1548" i="10" a="1"/>
  <c r="QU1548" i="10" s="1"/>
  <c r="QT1548" i="10" a="1"/>
  <c r="QT1548" i="10" s="1"/>
  <c r="QS1548" i="10" a="1"/>
  <c r="QS1548" i="10" s="1"/>
  <c r="QR1548" i="10" a="1"/>
  <c r="QR1548" i="10" s="1"/>
  <c r="QQ1548" i="10" a="1"/>
  <c r="QQ1548" i="10" s="1"/>
  <c r="QP1548" i="10" a="1"/>
  <c r="QP1548" i="10" s="1"/>
  <c r="QO1548" i="10" a="1"/>
  <c r="QO1548" i="10" s="1"/>
  <c r="QN1548" i="10" a="1"/>
  <c r="QN1548" i="10" s="1"/>
  <c r="QM1548" i="10" a="1"/>
  <c r="QM1548" i="10" s="1"/>
  <c r="QL1548" i="10" a="1"/>
  <c r="QL1548" i="10" s="1"/>
  <c r="QK1548" i="10" a="1"/>
  <c r="QK1548" i="10" s="1"/>
  <c r="QJ1548" i="10" a="1"/>
  <c r="QJ1548" i="10" s="1"/>
  <c r="QI1548" i="10" a="1"/>
  <c r="QI1548" i="10" s="1"/>
  <c r="QH1548" i="10" a="1"/>
  <c r="QH1548" i="10" s="1"/>
  <c r="QG1548" i="10" a="1"/>
  <c r="QG1548" i="10" s="1"/>
  <c r="QF1548" i="10" a="1"/>
  <c r="QF1548" i="10" s="1"/>
  <c r="QE1548" i="10" a="1"/>
  <c r="QE1548" i="10" s="1"/>
  <c r="QD1548" i="10" a="1"/>
  <c r="QD1548" i="10" s="1"/>
  <c r="QC1548" i="10" a="1"/>
  <c r="QC1548" i="10" s="1"/>
  <c r="QB1548" i="10" a="1"/>
  <c r="QB1548" i="10" s="1"/>
  <c r="QA1548" i="10" a="1"/>
  <c r="QA1548" i="10" s="1"/>
  <c r="PZ1548" i="10" a="1"/>
  <c r="PZ1548" i="10" s="1"/>
  <c r="PY1548" i="10" a="1"/>
  <c r="PY1548" i="10" s="1"/>
  <c r="PX1548" i="10" a="1"/>
  <c r="PX1548" i="10" s="1"/>
  <c r="PW1548" i="10" a="1"/>
  <c r="PW1548" i="10" s="1"/>
  <c r="PV1548" i="10" a="1"/>
  <c r="PV1548" i="10" s="1"/>
  <c r="PU1548" i="10" a="1"/>
  <c r="PU1548" i="10" s="1"/>
  <c r="PT1548" i="10" a="1"/>
  <c r="PT1548" i="10" s="1"/>
  <c r="PS1548" i="10" a="1"/>
  <c r="PS1548" i="10" s="1"/>
  <c r="PR1548" i="10" a="1"/>
  <c r="PR1548" i="10" s="1"/>
  <c r="PQ1548" i="10" a="1"/>
  <c r="PQ1548" i="10" s="1"/>
  <c r="PP1548" i="10" a="1"/>
  <c r="PP1548" i="10" s="1"/>
  <c r="PO1548" i="10" a="1"/>
  <c r="PO1548" i="10" s="1"/>
  <c r="PN1548" i="10" a="1"/>
  <c r="PN1548" i="10" s="1"/>
  <c r="PM1548" i="10" a="1"/>
  <c r="PM1548" i="10" s="1"/>
  <c r="PL1548" i="10" a="1"/>
  <c r="PL1548" i="10" s="1"/>
  <c r="PK1548" i="10" a="1"/>
  <c r="PK1548" i="10" s="1"/>
  <c r="PJ1548" i="10" a="1"/>
  <c r="PJ1548" i="10" s="1"/>
  <c r="PI1548" i="10" a="1"/>
  <c r="PI1548" i="10" s="1"/>
  <c r="PH1548" i="10" a="1"/>
  <c r="PH1548" i="10" s="1"/>
  <c r="PG1548" i="10" a="1"/>
  <c r="PG1548" i="10" s="1"/>
  <c r="PF1548" i="10" a="1"/>
  <c r="PF1548" i="10" s="1"/>
  <c r="PE1548" i="10" a="1"/>
  <c r="PE1548" i="10" s="1"/>
  <c r="PD1548" i="10" a="1"/>
  <c r="PD1548" i="10" s="1"/>
  <c r="PC1548" i="10" a="1"/>
  <c r="PC1548" i="10" s="1"/>
  <c r="PB1548" i="10" a="1"/>
  <c r="PB1548" i="10" s="1"/>
  <c r="PA1548" i="10" a="1"/>
  <c r="PA1548" i="10" s="1"/>
  <c r="OZ1548" i="10" a="1"/>
  <c r="OZ1548" i="10" s="1"/>
  <c r="OY1548" i="10" a="1"/>
  <c r="OY1548" i="10" s="1"/>
  <c r="OX1548" i="10" a="1"/>
  <c r="OX1548" i="10" s="1"/>
  <c r="OW1548" i="10" a="1"/>
  <c r="OW1548" i="10" s="1"/>
  <c r="OV1548" i="10" a="1"/>
  <c r="OV1548" i="10" s="1"/>
  <c r="OU1548" i="10" a="1"/>
  <c r="OU1548" i="10" s="1"/>
  <c r="OT1548" i="10" a="1"/>
  <c r="OT1548" i="10" s="1"/>
  <c r="OS1548" i="10" a="1"/>
  <c r="OS1548" i="10" s="1"/>
  <c r="OR1548" i="10" a="1"/>
  <c r="OR1548" i="10" s="1"/>
  <c r="OQ1548" i="10" a="1"/>
  <c r="OQ1548" i="10" s="1"/>
  <c r="OP1548" i="10" a="1"/>
  <c r="OP1548" i="10" s="1"/>
  <c r="OO1548" i="10" a="1"/>
  <c r="OO1548" i="10" s="1"/>
  <c r="ON1548" i="10" a="1"/>
  <c r="ON1548" i="10" s="1"/>
  <c r="OM1548" i="10" a="1"/>
  <c r="OM1548" i="10" s="1"/>
  <c r="OL1548" i="10" a="1"/>
  <c r="OL1548" i="10" s="1"/>
  <c r="OK1548" i="10" a="1"/>
  <c r="OK1548" i="10" s="1"/>
  <c r="OJ1548" i="10" a="1"/>
  <c r="OJ1548" i="10" s="1"/>
  <c r="OI1548" i="10" a="1"/>
  <c r="OI1548" i="10" s="1"/>
  <c r="OH1548" i="10" a="1"/>
  <c r="OH1548" i="10" s="1"/>
  <c r="OG1548" i="10" a="1"/>
  <c r="OG1548" i="10" s="1"/>
  <c r="OF1548" i="10" a="1"/>
  <c r="OF1548" i="10" s="1"/>
  <c r="OE1548" i="10" a="1"/>
  <c r="OE1548" i="10" s="1"/>
  <c r="OD1548" i="10" a="1"/>
  <c r="OD1548" i="10" s="1"/>
  <c r="OC1548" i="10" a="1"/>
  <c r="OC1548" i="10" s="1"/>
  <c r="OB1548" i="10" a="1"/>
  <c r="OB1548" i="10" s="1"/>
  <c r="OA1548" i="10" a="1"/>
  <c r="OA1548" i="10" s="1"/>
  <c r="NZ1548" i="10" a="1"/>
  <c r="NZ1548" i="10" s="1"/>
  <c r="NY1548" i="10" a="1"/>
  <c r="NY1548" i="10" s="1"/>
  <c r="NX1548" i="10" a="1"/>
  <c r="NX1548" i="10" s="1"/>
  <c r="NW1548" i="10" a="1"/>
  <c r="NW1548" i="10" s="1"/>
  <c r="NV1548" i="10" a="1"/>
  <c r="NV1548" i="10" s="1"/>
  <c r="NU1548" i="10" a="1"/>
  <c r="NU1548" i="10" s="1"/>
  <c r="NT1548" i="10" a="1"/>
  <c r="NT1548" i="10" s="1"/>
  <c r="NS1548" i="10" a="1"/>
  <c r="NS1548" i="10" s="1"/>
  <c r="NR1548" i="10" a="1"/>
  <c r="NR1548" i="10" s="1"/>
  <c r="NQ1548" i="10" a="1"/>
  <c r="NQ1548" i="10" s="1"/>
  <c r="NP1548" i="10" a="1"/>
  <c r="NP1548" i="10" s="1"/>
  <c r="NO1548" i="10" a="1"/>
  <c r="NO1548" i="10" s="1"/>
  <c r="NN1548" i="10" a="1"/>
  <c r="NN1548" i="10" s="1"/>
  <c r="NM1548" i="10" a="1"/>
  <c r="NM1548" i="10" s="1"/>
  <c r="NL1548" i="10" a="1"/>
  <c r="NL1548" i="10" s="1"/>
  <c r="NK1548" i="10" a="1"/>
  <c r="NK1548" i="10" s="1"/>
  <c r="NJ1548" i="10" a="1"/>
  <c r="NJ1548" i="10" s="1"/>
  <c r="NI1548" i="10" a="1"/>
  <c r="NI1548" i="10" s="1"/>
  <c r="NH1548" i="10" a="1"/>
  <c r="NH1548" i="10" s="1"/>
  <c r="NG1548" i="10" a="1"/>
  <c r="NG1548" i="10" s="1"/>
  <c r="NF1548" i="10" a="1"/>
  <c r="NF1548" i="10" s="1"/>
  <c r="NE1548" i="10" a="1"/>
  <c r="NE1548" i="10" s="1"/>
  <c r="ND1548" i="10" a="1"/>
  <c r="ND1548" i="10" s="1"/>
  <c r="NC1548" i="10" a="1"/>
  <c r="NC1548" i="10" s="1"/>
  <c r="NB1548" i="10" a="1"/>
  <c r="NB1548" i="10" s="1"/>
  <c r="NA1548" i="10" a="1"/>
  <c r="NA1548" i="10" s="1"/>
  <c r="MZ1548" i="10" a="1"/>
  <c r="MZ1548" i="10" s="1"/>
  <c r="MY1548" i="10" a="1"/>
  <c r="MY1548" i="10" s="1"/>
  <c r="MX1548" i="10" a="1"/>
  <c r="MX1548" i="10" s="1"/>
  <c r="MW1548" i="10" a="1"/>
  <c r="MW1548" i="10" s="1"/>
  <c r="MV1548" i="10" a="1"/>
  <c r="MV1548" i="10" s="1"/>
  <c r="MU1548" i="10" a="1"/>
  <c r="MU1548" i="10" s="1"/>
  <c r="MT1548" i="10" a="1"/>
  <c r="MT1548" i="10" s="1"/>
  <c r="MS1548" i="10" a="1"/>
  <c r="MS1548" i="10" s="1"/>
  <c r="MR1548" i="10" a="1"/>
  <c r="MR1548" i="10" s="1"/>
  <c r="MQ1548" i="10" a="1"/>
  <c r="MQ1548" i="10" s="1"/>
  <c r="MP1548" i="10" a="1"/>
  <c r="MP1548" i="10" s="1"/>
  <c r="MO1548" i="10" a="1"/>
  <c r="MO1548" i="10" s="1"/>
  <c r="MN1548" i="10" a="1"/>
  <c r="MN1548" i="10" s="1"/>
  <c r="MM1548" i="10" a="1"/>
  <c r="MM1548" i="10" s="1"/>
  <c r="ML1548" i="10" a="1"/>
  <c r="ML1548" i="10" s="1"/>
  <c r="MK1548" i="10" a="1"/>
  <c r="MK1548" i="10" s="1"/>
  <c r="MJ1548" i="10" a="1"/>
  <c r="MJ1548" i="10" s="1"/>
  <c r="MI1548" i="10" a="1"/>
  <c r="MI1548" i="10" s="1"/>
  <c r="MH1548" i="10" a="1"/>
  <c r="MH1548" i="10" s="1"/>
  <c r="MG1548" i="10" a="1"/>
  <c r="MG1548" i="10" s="1"/>
  <c r="MF1548" i="10" a="1"/>
  <c r="MF1548" i="10" s="1"/>
  <c r="ME1548" i="10" a="1"/>
  <c r="ME1548" i="10" s="1"/>
  <c r="MD1548" i="10" a="1"/>
  <c r="MD1548" i="10" s="1"/>
  <c r="MC1548" i="10" a="1"/>
  <c r="MC1548" i="10" s="1"/>
  <c r="MB1548" i="10" a="1"/>
  <c r="MB1548" i="10" s="1"/>
  <c r="MA1548" i="10" a="1"/>
  <c r="MA1548" i="10" s="1"/>
  <c r="LZ1548" i="10" a="1"/>
  <c r="LZ1548" i="10" s="1"/>
  <c r="LY1548" i="10" a="1"/>
  <c r="LY1548" i="10" s="1"/>
  <c r="LX1548" i="10" a="1"/>
  <c r="LX1548" i="10" s="1"/>
  <c r="LW1548" i="10" a="1"/>
  <c r="LW1548" i="10" s="1"/>
  <c r="LV1548" i="10" a="1"/>
  <c r="LV1548" i="10" s="1"/>
  <c r="LU1548" i="10" a="1"/>
  <c r="LU1548" i="10" s="1"/>
  <c r="LT1548" i="10" a="1"/>
  <c r="LT1548" i="10" s="1"/>
  <c r="LS1548" i="10" a="1"/>
  <c r="LS1548" i="10" s="1"/>
  <c r="LR1548" i="10" a="1"/>
  <c r="LR1548" i="10" s="1"/>
  <c r="LQ1548" i="10" a="1"/>
  <c r="LQ1548" i="10" s="1"/>
  <c r="LP1548" i="10" a="1"/>
  <c r="LP1548" i="10" s="1"/>
  <c r="LO1548" i="10" a="1"/>
  <c r="LO1548" i="10" s="1"/>
  <c r="LN1548" i="10" a="1"/>
  <c r="LN1548" i="10" s="1"/>
  <c r="LM1548" i="10" a="1"/>
  <c r="LM1548" i="10" s="1"/>
  <c r="LL1548" i="10" a="1"/>
  <c r="LL1548" i="10" s="1"/>
  <c r="LK1548" i="10" a="1"/>
  <c r="LK1548" i="10" s="1"/>
  <c r="LJ1548" i="10" a="1"/>
  <c r="LJ1548" i="10" s="1"/>
  <c r="LI1548" i="10" a="1"/>
  <c r="LI1548" i="10" s="1"/>
  <c r="LH1548" i="10" a="1"/>
  <c r="LH1548" i="10" s="1"/>
  <c r="LG1548" i="10" a="1"/>
  <c r="LG1548" i="10" s="1"/>
  <c r="LF1548" i="10" a="1"/>
  <c r="LF1548" i="10" s="1"/>
  <c r="LE1548" i="10" a="1"/>
  <c r="LE1548" i="10" s="1"/>
  <c r="LD1548" i="10" a="1"/>
  <c r="LD1548" i="10" s="1"/>
  <c r="LC1548" i="10" a="1"/>
  <c r="LC1548" i="10" s="1"/>
  <c r="LB1548" i="10" a="1"/>
  <c r="LB1548" i="10" s="1"/>
  <c r="LA1548" i="10" a="1"/>
  <c r="LA1548" i="10" s="1"/>
  <c r="KZ1548" i="10" a="1"/>
  <c r="KZ1548" i="10" s="1"/>
  <c r="KY1548" i="10" a="1"/>
  <c r="KY1548" i="10" s="1"/>
  <c r="KX1548" i="10" a="1"/>
  <c r="KX1548" i="10" s="1"/>
  <c r="KW1548" i="10" a="1"/>
  <c r="KW1548" i="10" s="1"/>
  <c r="KV1548" i="10" a="1"/>
  <c r="KV1548" i="10" s="1"/>
  <c r="KU1548" i="10" a="1"/>
  <c r="KU1548" i="10" s="1"/>
  <c r="KT1548" i="10" a="1"/>
  <c r="KT1548" i="10" s="1"/>
  <c r="KS1548" i="10" a="1"/>
  <c r="KS1548" i="10" s="1"/>
  <c r="KR1548" i="10" a="1"/>
  <c r="KR1548" i="10" s="1"/>
  <c r="KQ1548" i="10" a="1"/>
  <c r="KQ1548" i="10" s="1"/>
  <c r="KP1548" i="10" a="1"/>
  <c r="KP1548" i="10" s="1"/>
  <c r="KO1548" i="10" a="1"/>
  <c r="KO1548" i="10" s="1"/>
  <c r="KN1548" i="10" a="1"/>
  <c r="KN1548" i="10" s="1"/>
  <c r="KM1548" i="10" a="1"/>
  <c r="KM1548" i="10" s="1"/>
  <c r="KL1548" i="10" a="1"/>
  <c r="KL1548" i="10" s="1"/>
  <c r="KK1548" i="10" a="1"/>
  <c r="KK1548" i="10" s="1"/>
  <c r="KJ1548" i="10" a="1"/>
  <c r="KJ1548" i="10" s="1"/>
  <c r="KI1548" i="10" a="1"/>
  <c r="KI1548" i="10" s="1"/>
  <c r="KH1548" i="10" a="1"/>
  <c r="KH1548" i="10" s="1"/>
  <c r="KG1548" i="10" a="1"/>
  <c r="KG1548" i="10" s="1"/>
  <c r="KF1548" i="10" a="1"/>
  <c r="KF1548" i="10" s="1"/>
  <c r="KE1548" i="10" a="1"/>
  <c r="KE1548" i="10" s="1"/>
  <c r="KD1548" i="10" a="1"/>
  <c r="KD1548" i="10" s="1"/>
  <c r="KC1548" i="10" a="1"/>
  <c r="KC1548" i="10" s="1"/>
  <c r="KB1548" i="10" a="1"/>
  <c r="KB1548" i="10" s="1"/>
  <c r="KA1548" i="10" a="1"/>
  <c r="KA1548" i="10" s="1"/>
  <c r="JZ1548" i="10" a="1"/>
  <c r="JZ1548" i="10" s="1"/>
  <c r="JY1548" i="10" a="1"/>
  <c r="JY1548" i="10" s="1"/>
  <c r="JX1548" i="10" a="1"/>
  <c r="JX1548" i="10" s="1"/>
  <c r="JW1548" i="10" a="1"/>
  <c r="JW1548" i="10" s="1"/>
  <c r="JV1548" i="10" a="1"/>
  <c r="JV1548" i="10" s="1"/>
  <c r="JU1548" i="10" a="1"/>
  <c r="JU1548" i="10" s="1"/>
  <c r="JT1548" i="10" a="1"/>
  <c r="JT1548" i="10" s="1"/>
  <c r="JS1548" i="10" a="1"/>
  <c r="JS1548" i="10" s="1"/>
  <c r="JR1548" i="10" a="1"/>
  <c r="JR1548" i="10" s="1"/>
  <c r="JQ1548" i="10" a="1"/>
  <c r="JQ1548" i="10" s="1"/>
  <c r="JP1548" i="10" a="1"/>
  <c r="JP1548" i="10" s="1"/>
  <c r="JO1548" i="10" a="1"/>
  <c r="JO1548" i="10" s="1"/>
  <c r="JN1548" i="10" a="1"/>
  <c r="JN1548" i="10" s="1"/>
  <c r="JM1548" i="10" a="1"/>
  <c r="JM1548" i="10" s="1"/>
  <c r="JL1548" i="10" a="1"/>
  <c r="JL1548" i="10" s="1"/>
  <c r="JK1548" i="10" a="1"/>
  <c r="JK1548" i="10" s="1"/>
  <c r="JJ1548" i="10" a="1"/>
  <c r="JJ1548" i="10" s="1"/>
  <c r="JI1548" i="10" a="1"/>
  <c r="JI1548" i="10" s="1"/>
  <c r="JH1548" i="10" a="1"/>
  <c r="JH1548" i="10" s="1"/>
  <c r="JG1548" i="10" a="1"/>
  <c r="JG1548" i="10" s="1"/>
  <c r="JF1548" i="10" a="1"/>
  <c r="JF1548" i="10" s="1"/>
  <c r="JE1548" i="10" a="1"/>
  <c r="JE1548" i="10" s="1"/>
  <c r="JD1548" i="10" a="1"/>
  <c r="JD1548" i="10" s="1"/>
  <c r="JC1548" i="10" a="1"/>
  <c r="JC1548" i="10" s="1"/>
  <c r="JB1548" i="10" a="1"/>
  <c r="JB1548" i="10" s="1"/>
  <c r="JA1548" i="10" a="1"/>
  <c r="JA1548" i="10" s="1"/>
  <c r="IZ1548" i="10" a="1"/>
  <c r="IZ1548" i="10" s="1"/>
  <c r="IY1548" i="10" a="1"/>
  <c r="IY1548" i="10" s="1"/>
  <c r="IX1548" i="10" a="1"/>
  <c r="IX1548" i="10" s="1"/>
  <c r="IW1548" i="10" a="1"/>
  <c r="IW1548" i="10" s="1"/>
  <c r="IV1548" i="10" a="1"/>
  <c r="IV1548" i="10" s="1"/>
  <c r="IU1548" i="10" a="1"/>
  <c r="IU1548" i="10" s="1"/>
  <c r="IT1548" i="10" a="1"/>
  <c r="IT1548" i="10" s="1"/>
  <c r="IS1548" i="10" a="1"/>
  <c r="IS1548" i="10" s="1"/>
  <c r="IR1548" i="10" a="1"/>
  <c r="IR1548" i="10" s="1"/>
  <c r="IQ1548" i="10" a="1"/>
  <c r="IQ1548" i="10" s="1"/>
  <c r="IP1548" i="10" a="1"/>
  <c r="IP1548" i="10" s="1"/>
  <c r="IO1548" i="10" a="1"/>
  <c r="IO1548" i="10" s="1"/>
  <c r="IN1548" i="10" a="1"/>
  <c r="IN1548" i="10" s="1"/>
  <c r="IM1548" i="10" a="1"/>
  <c r="IM1548" i="10" s="1"/>
  <c r="IL1548" i="10" a="1"/>
  <c r="IL1548" i="10" s="1"/>
  <c r="IK1548" i="10" a="1"/>
  <c r="IK1548" i="10" s="1"/>
  <c r="IJ1548" i="10" a="1"/>
  <c r="IJ1548" i="10" s="1"/>
  <c r="II1548" i="10" a="1"/>
  <c r="II1548" i="10" s="1"/>
  <c r="IH1548" i="10" a="1"/>
  <c r="IH1548" i="10" s="1"/>
  <c r="IG1548" i="10" a="1"/>
  <c r="IG1548" i="10" s="1"/>
  <c r="IF1548" i="10" a="1"/>
  <c r="IF1548" i="10" s="1"/>
  <c r="IE1548" i="10" a="1"/>
  <c r="IE1548" i="10" s="1"/>
  <c r="ID1548" i="10" a="1"/>
  <c r="ID1548" i="10" s="1"/>
  <c r="IC1548" i="10" a="1"/>
  <c r="IC1548" i="10" s="1"/>
  <c r="IB1548" i="10" a="1"/>
  <c r="IB1548" i="10" s="1"/>
  <c r="IA1548" i="10" a="1"/>
  <c r="IA1548" i="10" s="1"/>
  <c r="HZ1548" i="10" a="1"/>
  <c r="HZ1548" i="10" s="1"/>
  <c r="HY1548" i="10" a="1"/>
  <c r="HY1548" i="10" s="1"/>
  <c r="HX1548" i="10" a="1"/>
  <c r="HX1548" i="10" s="1"/>
  <c r="HW1548" i="10" a="1"/>
  <c r="HW1548" i="10" s="1"/>
  <c r="HV1548" i="10" a="1"/>
  <c r="HV1548" i="10" s="1"/>
  <c r="HU1548" i="10" a="1"/>
  <c r="HU1548" i="10" s="1"/>
  <c r="HT1548" i="10" a="1"/>
  <c r="HT1548" i="10" s="1"/>
  <c r="HS1548" i="10" a="1"/>
  <c r="HS1548" i="10" s="1"/>
  <c r="HR1548" i="10" a="1"/>
  <c r="HR1548" i="10" s="1"/>
  <c r="HQ1548" i="10" a="1"/>
  <c r="HQ1548" i="10" s="1"/>
  <c r="HP1548" i="10" a="1"/>
  <c r="HP1548" i="10" s="1"/>
  <c r="HO1548" i="10" a="1"/>
  <c r="HO1548" i="10" s="1"/>
  <c r="HN1548" i="10" a="1"/>
  <c r="HN1548" i="10" s="1"/>
  <c r="HM1548" i="10" a="1"/>
  <c r="HM1548" i="10" s="1"/>
  <c r="HL1548" i="10" a="1"/>
  <c r="HL1548" i="10" s="1"/>
  <c r="HK1548" i="10" a="1"/>
  <c r="HK1548" i="10" s="1"/>
  <c r="HJ1548" i="10" a="1"/>
  <c r="HJ1548" i="10" s="1"/>
  <c r="HI1548" i="10" a="1"/>
  <c r="HI1548" i="10" s="1"/>
  <c r="HH1548" i="10" a="1"/>
  <c r="HH1548" i="10" s="1"/>
  <c r="HG1548" i="10" a="1"/>
  <c r="HG1548" i="10" s="1"/>
  <c r="HF1548" i="10" a="1"/>
  <c r="HF1548" i="10" s="1"/>
  <c r="HE1548" i="10" a="1"/>
  <c r="HE1548" i="10" s="1"/>
  <c r="HD1548" i="10" a="1"/>
  <c r="HD1548" i="10" s="1"/>
  <c r="HC1548" i="10" a="1"/>
  <c r="HC1548" i="10" s="1"/>
  <c r="HB1548" i="10" a="1"/>
  <c r="HB1548" i="10" s="1"/>
  <c r="HA1548" i="10" a="1"/>
  <c r="HA1548" i="10" s="1"/>
  <c r="GZ1548" i="10" a="1"/>
  <c r="GZ1548" i="10" s="1"/>
  <c r="GY1548" i="10" a="1"/>
  <c r="GY1548" i="10" s="1"/>
  <c r="GX1548" i="10" a="1"/>
  <c r="GX1548" i="10" s="1"/>
  <c r="GW1548" i="10" a="1"/>
  <c r="GW1548" i="10" s="1"/>
  <c r="GV1548" i="10" a="1"/>
  <c r="GV1548" i="10" s="1"/>
  <c r="GU1548" i="10" a="1"/>
  <c r="GU1548" i="10" s="1"/>
  <c r="GT1548" i="10" a="1"/>
  <c r="GT1548" i="10" s="1"/>
  <c r="GS1548" i="10" a="1"/>
  <c r="GS1548" i="10" s="1"/>
  <c r="GR1548" i="10" a="1"/>
  <c r="GR1548" i="10" s="1"/>
  <c r="GQ1548" i="10" a="1"/>
  <c r="GQ1548" i="10" s="1"/>
  <c r="GP1548" i="10" a="1"/>
  <c r="GP1548" i="10" s="1"/>
  <c r="GO1548" i="10" a="1"/>
  <c r="GO1548" i="10" s="1"/>
  <c r="GN1548" i="10" a="1"/>
  <c r="GN1548" i="10" s="1"/>
  <c r="GM1548" i="10" a="1"/>
  <c r="GM1548" i="10" s="1"/>
  <c r="GL1548" i="10" a="1"/>
  <c r="GL1548" i="10" s="1"/>
  <c r="GK1548" i="10" a="1"/>
  <c r="GK1548" i="10" s="1"/>
  <c r="GJ1548" i="10" a="1"/>
  <c r="GJ1548" i="10" s="1"/>
  <c r="GI1548" i="10" a="1"/>
  <c r="GI1548" i="10" s="1"/>
  <c r="GH1548" i="10" a="1"/>
  <c r="GH1548" i="10" s="1"/>
  <c r="GG1548" i="10" a="1"/>
  <c r="GG1548" i="10" s="1"/>
  <c r="GF1548" i="10" a="1"/>
  <c r="GF1548" i="10" s="1"/>
  <c r="GE1548" i="10" a="1"/>
  <c r="GE1548" i="10" s="1"/>
  <c r="GD1548" i="10" a="1"/>
  <c r="GD1548" i="10" s="1"/>
  <c r="GC1548" i="10" a="1"/>
  <c r="GC1548" i="10" s="1"/>
  <c r="GB1548" i="10" a="1"/>
  <c r="GB1548" i="10" s="1"/>
  <c r="GA1548" i="10" a="1"/>
  <c r="GA1548" i="10" s="1"/>
  <c r="FZ1548" i="10" a="1"/>
  <c r="FZ1548" i="10" s="1"/>
  <c r="FY1548" i="10" a="1"/>
  <c r="FY1548" i="10" s="1"/>
  <c r="FX1548" i="10" a="1"/>
  <c r="FX1548" i="10" s="1"/>
  <c r="FW1548" i="10" a="1"/>
  <c r="FW1548" i="10" s="1"/>
  <c r="FV1548" i="10" a="1"/>
  <c r="FV1548" i="10" s="1"/>
  <c r="FU1548" i="10" a="1"/>
  <c r="FU1548" i="10" s="1"/>
  <c r="FT1548" i="10" a="1"/>
  <c r="FT1548" i="10" s="1"/>
  <c r="FS1548" i="10" a="1"/>
  <c r="FS1548" i="10" s="1"/>
  <c r="FR1548" i="10" a="1"/>
  <c r="FR1548" i="10" s="1"/>
  <c r="FQ1548" i="10" a="1"/>
  <c r="FQ1548" i="10" s="1"/>
  <c r="FP1548" i="10" a="1"/>
  <c r="FP1548" i="10" s="1"/>
  <c r="FO1548" i="10" a="1"/>
  <c r="FO1548" i="10" s="1"/>
  <c r="FN1548" i="10" a="1"/>
  <c r="FN1548" i="10" s="1"/>
  <c r="FM1548" i="10" a="1"/>
  <c r="FM1548" i="10" s="1"/>
  <c r="FL1548" i="10" a="1"/>
  <c r="FL1548" i="10" s="1"/>
  <c r="FK1548" i="10" a="1"/>
  <c r="FK1548" i="10" s="1"/>
  <c r="FJ1548" i="10" a="1"/>
  <c r="FJ1548" i="10" s="1"/>
  <c r="FI1548" i="10" a="1"/>
  <c r="FI1548" i="10" s="1"/>
  <c r="FH1548" i="10" a="1"/>
  <c r="FH1548" i="10" s="1"/>
  <c r="FG1548" i="10" a="1"/>
  <c r="FG1548" i="10" s="1"/>
  <c r="FF1548" i="10" a="1"/>
  <c r="FF1548" i="10" s="1"/>
  <c r="FE1548" i="10" a="1"/>
  <c r="FE1548" i="10" s="1"/>
  <c r="FD1548" i="10" a="1"/>
  <c r="FD1548" i="10" s="1"/>
  <c r="FC1548" i="10" a="1"/>
  <c r="FC1548" i="10" s="1"/>
  <c r="FB1548" i="10" a="1"/>
  <c r="FB1548" i="10" s="1"/>
  <c r="FA1548" i="10" a="1"/>
  <c r="FA1548" i="10" s="1"/>
  <c r="EZ1548" i="10" a="1"/>
  <c r="EZ1548" i="10" s="1"/>
  <c r="EY1548" i="10" a="1"/>
  <c r="EY1548" i="10" s="1"/>
  <c r="EX1548" i="10" a="1"/>
  <c r="EX1548" i="10" s="1"/>
  <c r="EW1548" i="10" a="1"/>
  <c r="EW1548" i="10" s="1"/>
  <c r="EV1548" i="10" a="1"/>
  <c r="EV1548" i="10" s="1"/>
  <c r="EU1548" i="10" a="1"/>
  <c r="EU1548" i="10" s="1"/>
  <c r="ET1548" i="10" a="1"/>
  <c r="ET1548" i="10" s="1"/>
  <c r="ES1548" i="10" a="1"/>
  <c r="ES1548" i="10" s="1"/>
  <c r="ER1548" i="10" a="1"/>
  <c r="ER1548" i="10" s="1"/>
  <c r="EQ1548" i="10" a="1"/>
  <c r="EQ1548" i="10" s="1"/>
  <c r="EP1548" i="10" a="1"/>
  <c r="EP1548" i="10" s="1"/>
  <c r="EO1548" i="10" a="1"/>
  <c r="EO1548" i="10" s="1"/>
  <c r="EN1548" i="10" a="1"/>
  <c r="EN1548" i="10" s="1"/>
  <c r="EM1548" i="10" a="1"/>
  <c r="EM1548" i="10" s="1"/>
  <c r="EL1548" i="10" a="1"/>
  <c r="EL1548" i="10" s="1"/>
  <c r="EK1548" i="10" a="1"/>
  <c r="EK1548" i="10" s="1"/>
  <c r="EJ1548" i="10" a="1"/>
  <c r="EJ1548" i="10" s="1"/>
  <c r="EI1548" i="10" a="1"/>
  <c r="EI1548" i="10" s="1"/>
  <c r="EH1548" i="10" a="1"/>
  <c r="EH1548" i="10" s="1"/>
  <c r="EG1548" i="10" a="1"/>
  <c r="EG1548" i="10" s="1"/>
  <c r="EF1548" i="10" a="1"/>
  <c r="EF1548" i="10" s="1"/>
  <c r="EE1548" i="10" a="1"/>
  <c r="EE1548" i="10" s="1"/>
  <c r="ED1548" i="10" a="1"/>
  <c r="ED1548" i="10" s="1"/>
  <c r="EC1548" i="10" a="1"/>
  <c r="EC1548" i="10" s="1"/>
  <c r="EB1548" i="10" a="1"/>
  <c r="EB1548" i="10" s="1"/>
  <c r="EA1548" i="10" a="1"/>
  <c r="EA1548" i="10" s="1"/>
  <c r="DZ1548" i="10" a="1"/>
  <c r="DZ1548" i="10" s="1"/>
  <c r="DY1548" i="10" a="1"/>
  <c r="DY1548" i="10" s="1"/>
  <c r="DX1548" i="10" a="1"/>
  <c r="DX1548" i="10" s="1"/>
  <c r="DW1548" i="10" a="1"/>
  <c r="DW1548" i="10" s="1"/>
  <c r="DV1548" i="10" a="1"/>
  <c r="DV1548" i="10" s="1"/>
  <c r="DU1548" i="10" a="1"/>
  <c r="DU1548" i="10" s="1"/>
  <c r="DT1548" i="10" a="1"/>
  <c r="DT1548" i="10" s="1"/>
  <c r="DS1548" i="10" a="1"/>
  <c r="DS1548" i="10" s="1"/>
  <c r="DR1548" i="10" a="1"/>
  <c r="DR1548" i="10" s="1"/>
  <c r="DQ1548" i="10" a="1"/>
  <c r="DQ1548" i="10" s="1"/>
  <c r="DP1548" i="10" a="1"/>
  <c r="DP1548" i="10" s="1"/>
  <c r="DO1548" i="10" a="1"/>
  <c r="DO1548" i="10" s="1"/>
  <c r="DN1548" i="10" a="1"/>
  <c r="DN1548" i="10" s="1"/>
  <c r="DM1548" i="10" a="1"/>
  <c r="DM1548" i="10" s="1"/>
  <c r="DL1548" i="10" a="1"/>
  <c r="DL1548" i="10" s="1"/>
  <c r="DK1548" i="10" a="1"/>
  <c r="DK1548" i="10" s="1"/>
  <c r="DJ1548" i="10" a="1"/>
  <c r="DJ1548" i="10" s="1"/>
  <c r="DI1548" i="10" a="1"/>
  <c r="DI1548" i="10" s="1"/>
  <c r="DH1548" i="10" a="1"/>
  <c r="DH1548" i="10" s="1"/>
  <c r="DG1548" i="10" a="1"/>
  <c r="DG1548" i="10" s="1"/>
  <c r="DF1548" i="10" a="1"/>
  <c r="DF1548" i="10" s="1"/>
  <c r="DE1548" i="10" a="1"/>
  <c r="DE1548" i="10" s="1"/>
  <c r="DD1548" i="10" a="1"/>
  <c r="DD1548" i="10" s="1"/>
  <c r="DC1548" i="10" a="1"/>
  <c r="DC1548" i="10" s="1"/>
  <c r="DB1548" i="10" a="1"/>
  <c r="DB1548" i="10" s="1"/>
  <c r="DA1548" i="10" a="1"/>
  <c r="DA1548" i="10" s="1"/>
  <c r="CZ1548" i="10" a="1"/>
  <c r="CZ1548" i="10" s="1"/>
  <c r="CY1548" i="10" a="1"/>
  <c r="CY1548" i="10" s="1"/>
  <c r="CX1548" i="10" a="1"/>
  <c r="CX1548" i="10" s="1"/>
  <c r="CW1548" i="10" a="1"/>
  <c r="CW1548" i="10" s="1"/>
  <c r="CV1548" i="10" a="1"/>
  <c r="CV1548" i="10" s="1"/>
  <c r="CU1548" i="10" a="1"/>
  <c r="CU1548" i="10" s="1"/>
  <c r="CT1548" i="10" a="1"/>
  <c r="CT1548" i="10" s="1"/>
  <c r="CS1548" i="10" a="1"/>
  <c r="CS1548" i="10" s="1"/>
  <c r="CR1548" i="10" a="1"/>
  <c r="CR1548" i="10" s="1"/>
  <c r="CQ1548" i="10" a="1"/>
  <c r="CQ1548" i="10" s="1"/>
  <c r="CP1548" i="10" a="1"/>
  <c r="CP1548" i="10" s="1"/>
  <c r="CO1548" i="10" a="1"/>
  <c r="CO1548" i="10" s="1"/>
  <c r="CN1548" i="10" a="1"/>
  <c r="CN1548" i="10" s="1"/>
  <c r="CM1548" i="10" a="1"/>
  <c r="CM1548" i="10" s="1"/>
  <c r="CL1548" i="10" a="1"/>
  <c r="CL1548" i="10" s="1"/>
  <c r="CK1548" i="10" a="1"/>
  <c r="CK1548" i="10" s="1"/>
  <c r="CJ1548" i="10" a="1"/>
  <c r="CJ1548" i="10" s="1"/>
  <c r="CI1548" i="10" a="1"/>
  <c r="CI1548" i="10" s="1"/>
  <c r="CH1548" i="10" a="1"/>
  <c r="CH1548" i="10" s="1"/>
  <c r="CG1548" i="10" a="1"/>
  <c r="CG1548" i="10" s="1"/>
  <c r="CF1548" i="10" a="1"/>
  <c r="CF1548" i="10" s="1"/>
  <c r="CE1548" i="10" a="1"/>
  <c r="CE1548" i="10" s="1"/>
  <c r="CD1548" i="10" a="1"/>
  <c r="CD1548" i="10" s="1"/>
  <c r="CC1548" i="10" a="1"/>
  <c r="CC1548" i="10" s="1"/>
  <c r="CB1548" i="10" a="1"/>
  <c r="CB1548" i="10" s="1"/>
  <c r="CA1548" i="10" a="1"/>
  <c r="CA1548" i="10" s="1"/>
  <c r="BZ1548" i="10" a="1"/>
  <c r="BZ1548" i="10" s="1"/>
  <c r="BY1548" i="10" a="1"/>
  <c r="BY1548" i="10" s="1"/>
  <c r="BX1548" i="10" a="1"/>
  <c r="BX1548" i="10" s="1"/>
  <c r="BW1548" i="10" a="1"/>
  <c r="BW1548" i="10" s="1"/>
  <c r="BV1548" i="10" a="1"/>
  <c r="BV1548" i="10" s="1"/>
  <c r="BU1548" i="10" a="1"/>
  <c r="BU1548" i="10" s="1"/>
  <c r="BT1548" i="10" a="1"/>
  <c r="BT1548" i="10" s="1"/>
  <c r="BS1548" i="10" a="1"/>
  <c r="BS1548" i="10" s="1"/>
  <c r="BR1548" i="10" a="1"/>
  <c r="BR1548" i="10" s="1"/>
  <c r="BQ1548" i="10" a="1"/>
  <c r="BQ1548" i="10" s="1"/>
  <c r="BP1548" i="10" a="1"/>
  <c r="BP1548" i="10" s="1"/>
  <c r="BO1548" i="10" a="1"/>
  <c r="BO1548" i="10" s="1"/>
  <c r="BN1548" i="10" a="1"/>
  <c r="BN1548" i="10" s="1"/>
  <c r="BM1548" i="10" a="1"/>
  <c r="BM1548" i="10" s="1"/>
  <c r="BL1548" i="10" a="1"/>
  <c r="BL1548" i="10" s="1"/>
  <c r="BK1548" i="10" a="1"/>
  <c r="BK1548" i="10" s="1"/>
  <c r="BJ1548" i="10" a="1"/>
  <c r="BJ1548" i="10" s="1"/>
  <c r="BI1548" i="10" a="1"/>
  <c r="BI1548" i="10" s="1"/>
  <c r="BH1548" i="10" a="1"/>
  <c r="BH1548" i="10" s="1"/>
  <c r="BG1548" i="10" a="1"/>
  <c r="BG1548" i="10" s="1"/>
  <c r="BF1548" i="10" a="1"/>
  <c r="BF1548" i="10" s="1"/>
  <c r="BE1548" i="10" a="1"/>
  <c r="BE1548" i="10" s="1"/>
  <c r="BD1548" i="10" a="1"/>
  <c r="BD1548" i="10" s="1"/>
  <c r="BC1548" i="10" a="1"/>
  <c r="BC1548" i="10" s="1"/>
  <c r="BB1548" i="10" a="1"/>
  <c r="BB1548" i="10" s="1"/>
  <c r="BA1548" i="10" a="1"/>
  <c r="BA1548" i="10" s="1"/>
  <c r="AZ1548" i="10" a="1"/>
  <c r="AZ1548" i="10" s="1"/>
  <c r="AY1548" i="10" a="1"/>
  <c r="AY1548" i="10" s="1"/>
  <c r="AX1548" i="10" a="1"/>
  <c r="AX1548" i="10" s="1"/>
  <c r="AW1548" i="10" a="1"/>
  <c r="AW1548" i="10" s="1"/>
  <c r="AV1548" i="10" a="1"/>
  <c r="AV1548" i="10" s="1"/>
  <c r="AU1548" i="10" a="1"/>
  <c r="AU1548" i="10" s="1"/>
  <c r="AT1548" i="10" a="1"/>
  <c r="AT1548" i="10" s="1"/>
  <c r="AS1548" i="10" a="1"/>
  <c r="AS1548" i="10" s="1"/>
  <c r="AR1548" i="10" a="1"/>
  <c r="AR1548" i="10" s="1"/>
  <c r="AQ1548" i="10" a="1"/>
  <c r="AQ1548" i="10" s="1"/>
  <c r="AP1548" i="10" a="1"/>
  <c r="AP1548" i="10" s="1"/>
  <c r="AO1548" i="10" a="1"/>
  <c r="AO1548" i="10" s="1"/>
  <c r="AN1548" i="10" a="1"/>
  <c r="AN1548" i="10" s="1"/>
  <c r="AM1548" i="10" a="1"/>
  <c r="AM1548" i="10" s="1"/>
  <c r="AL1548" i="10" a="1"/>
  <c r="AL1548" i="10" s="1"/>
  <c r="Q26" i="9" s="1"/>
  <c r="AK1548" i="10" a="1"/>
  <c r="AK1548" i="10" s="1"/>
  <c r="AJ1548" i="10" a="1"/>
  <c r="AJ1548" i="10" s="1"/>
  <c r="AI1548" i="10" a="1"/>
  <c r="AI1548" i="10" s="1"/>
  <c r="AH1548" i="10" a="1"/>
  <c r="AH1548" i="10" s="1"/>
  <c r="AG1548" i="10" a="1"/>
  <c r="AG1548" i="10" s="1"/>
  <c r="AF1548" i="10" a="1"/>
  <c r="AF1548" i="10" s="1"/>
  <c r="AE1548" i="10" a="1"/>
  <c r="AE1548" i="10" s="1"/>
  <c r="AD1548" i="10" a="1"/>
  <c r="AD1548" i="10" s="1"/>
  <c r="AC1548" i="10" a="1"/>
  <c r="AC1548" i="10" s="1"/>
  <c r="AB1548" i="10" a="1"/>
  <c r="AB1548" i="10" s="1"/>
  <c r="AA1548" i="10" a="1"/>
  <c r="AA1548" i="10" s="1"/>
  <c r="Z1548" i="10" a="1"/>
  <c r="Z1548" i="10" s="1"/>
  <c r="Y1548" i="10" a="1"/>
  <c r="Y1548" i="10" s="1"/>
  <c r="X1548" i="10" a="1"/>
  <c r="X1548" i="10" s="1"/>
  <c r="W1548" i="10" a="1"/>
  <c r="W1548" i="10" s="1"/>
  <c r="V1548" i="10" a="1"/>
  <c r="V1548" i="10" s="1"/>
  <c r="U1548" i="10" a="1"/>
  <c r="U1548" i="10" s="1"/>
  <c r="T1548" i="10" a="1"/>
  <c r="T1548" i="10" s="1"/>
  <c r="S1548" i="10" a="1"/>
  <c r="S1548" i="10" s="1"/>
  <c r="R1548" i="10" a="1"/>
  <c r="R1548" i="10" s="1"/>
  <c r="Q1548" i="10" a="1"/>
  <c r="Q1548" i="10" s="1"/>
  <c r="P1548" i="10" a="1"/>
  <c r="P1548" i="10" s="1"/>
  <c r="AGN1547" i="10" a="1"/>
  <c r="AGN1547" i="10" s="1"/>
  <c r="AGM1547" i="10" a="1"/>
  <c r="AGM1547" i="10" s="1"/>
  <c r="AGL1547" i="10" a="1"/>
  <c r="AGL1547" i="10" s="1"/>
  <c r="AGK1547" i="10" a="1"/>
  <c r="AGK1547" i="10" s="1"/>
  <c r="AGJ1547" i="10" a="1"/>
  <c r="AGJ1547" i="10" s="1"/>
  <c r="AGI1547" i="10" a="1"/>
  <c r="AGI1547" i="10" s="1"/>
  <c r="AGH1547" i="10" a="1"/>
  <c r="AGH1547" i="10" s="1"/>
  <c r="AGG1547" i="10" a="1"/>
  <c r="AGG1547" i="10" s="1"/>
  <c r="AGF1547" i="10" a="1"/>
  <c r="AGF1547" i="10" s="1"/>
  <c r="AGE1547" i="10" a="1"/>
  <c r="AGE1547" i="10" s="1"/>
  <c r="AGD1547" i="10" a="1"/>
  <c r="AGD1547" i="10" s="1"/>
  <c r="AGC1547" i="10" a="1"/>
  <c r="AGC1547" i="10" s="1"/>
  <c r="AGB1547" i="10" a="1"/>
  <c r="AGB1547" i="10" s="1"/>
  <c r="AGA1547" i="10" a="1"/>
  <c r="AGA1547" i="10" s="1"/>
  <c r="AFZ1547" i="10" a="1"/>
  <c r="AFZ1547" i="10" s="1"/>
  <c r="AFY1547" i="10" a="1"/>
  <c r="AFY1547" i="10" s="1"/>
  <c r="AFX1547" i="10" a="1"/>
  <c r="AFX1547" i="10" s="1"/>
  <c r="AFW1547" i="10" a="1"/>
  <c r="AFW1547" i="10" s="1"/>
  <c r="AFV1547" i="10" a="1"/>
  <c r="AFV1547" i="10" s="1"/>
  <c r="AFU1547" i="10" a="1"/>
  <c r="AFU1547" i="10" s="1"/>
  <c r="AFT1547" i="10" a="1"/>
  <c r="AFT1547" i="10" s="1"/>
  <c r="AFS1547" i="10" a="1"/>
  <c r="AFS1547" i="10" s="1"/>
  <c r="AFR1547" i="10" a="1"/>
  <c r="AFR1547" i="10" s="1"/>
  <c r="AFQ1547" i="10" a="1"/>
  <c r="AFQ1547" i="10" s="1"/>
  <c r="AFP1547" i="10" a="1"/>
  <c r="AFP1547" i="10" s="1"/>
  <c r="AFO1547" i="10" a="1"/>
  <c r="AFO1547" i="10" s="1"/>
  <c r="AFN1547" i="10" a="1"/>
  <c r="AFN1547" i="10" s="1"/>
  <c r="AFM1547" i="10" a="1"/>
  <c r="AFM1547" i="10" s="1"/>
  <c r="AFL1547" i="10" a="1"/>
  <c r="AFL1547" i="10" s="1"/>
  <c r="AFK1547" i="10" a="1"/>
  <c r="AFK1547" i="10" s="1"/>
  <c r="AFJ1547" i="10" a="1"/>
  <c r="AFJ1547" i="10" s="1"/>
  <c r="AFI1547" i="10" a="1"/>
  <c r="AFI1547" i="10" s="1"/>
  <c r="AFH1547" i="10" a="1"/>
  <c r="AFH1547" i="10" s="1"/>
  <c r="AFG1547" i="10" a="1"/>
  <c r="AFG1547" i="10" s="1"/>
  <c r="AFF1547" i="10" a="1"/>
  <c r="AFF1547" i="10" s="1"/>
  <c r="AFE1547" i="10" a="1"/>
  <c r="AFE1547" i="10" s="1"/>
  <c r="AFD1547" i="10" a="1"/>
  <c r="AFD1547" i="10" s="1"/>
  <c r="AFC1547" i="10" a="1"/>
  <c r="AFC1547" i="10" s="1"/>
  <c r="AFB1547" i="10" a="1"/>
  <c r="AFB1547" i="10" s="1"/>
  <c r="AFA1547" i="10" a="1"/>
  <c r="AFA1547" i="10" s="1"/>
  <c r="AEZ1547" i="10" a="1"/>
  <c r="AEZ1547" i="10" s="1"/>
  <c r="AEY1547" i="10" a="1"/>
  <c r="AEY1547" i="10" s="1"/>
  <c r="AEX1547" i="10" a="1"/>
  <c r="AEX1547" i="10" s="1"/>
  <c r="AEW1547" i="10" a="1"/>
  <c r="AEW1547" i="10" s="1"/>
  <c r="AEV1547" i="10" a="1"/>
  <c r="AEV1547" i="10" s="1"/>
  <c r="AEU1547" i="10" a="1"/>
  <c r="AEU1547" i="10" s="1"/>
  <c r="AET1547" i="10" a="1"/>
  <c r="AET1547" i="10" s="1"/>
  <c r="AES1547" i="10" a="1"/>
  <c r="AES1547" i="10" s="1"/>
  <c r="AER1547" i="10" a="1"/>
  <c r="AER1547" i="10" s="1"/>
  <c r="AEQ1547" i="10" a="1"/>
  <c r="AEQ1547" i="10" s="1"/>
  <c r="AEP1547" i="10" a="1"/>
  <c r="AEP1547" i="10" s="1"/>
  <c r="AEO1547" i="10" a="1"/>
  <c r="AEO1547" i="10" s="1"/>
  <c r="AEN1547" i="10" a="1"/>
  <c r="AEN1547" i="10" s="1"/>
  <c r="AEM1547" i="10" a="1"/>
  <c r="AEM1547" i="10" s="1"/>
  <c r="AEL1547" i="10" a="1"/>
  <c r="AEL1547" i="10" s="1"/>
  <c r="AEK1547" i="10" a="1"/>
  <c r="AEK1547" i="10" s="1"/>
  <c r="AEJ1547" i="10" a="1"/>
  <c r="AEJ1547" i="10" s="1"/>
  <c r="AEI1547" i="10" a="1"/>
  <c r="AEI1547" i="10" s="1"/>
  <c r="AEH1547" i="10" a="1"/>
  <c r="AEH1547" i="10" s="1"/>
  <c r="AEG1547" i="10" a="1"/>
  <c r="AEG1547" i="10" s="1"/>
  <c r="AEF1547" i="10" a="1"/>
  <c r="AEF1547" i="10" s="1"/>
  <c r="AEE1547" i="10" a="1"/>
  <c r="AEE1547" i="10" s="1"/>
  <c r="AED1547" i="10" a="1"/>
  <c r="AED1547" i="10" s="1"/>
  <c r="AEC1547" i="10" a="1"/>
  <c r="AEC1547" i="10" s="1"/>
  <c r="AEB1547" i="10" a="1"/>
  <c r="AEB1547" i="10" s="1"/>
  <c r="AEA1547" i="10" a="1"/>
  <c r="AEA1547" i="10" s="1"/>
  <c r="ADZ1547" i="10" a="1"/>
  <c r="ADZ1547" i="10" s="1"/>
  <c r="ADY1547" i="10" a="1"/>
  <c r="ADY1547" i="10" s="1"/>
  <c r="ADX1547" i="10" a="1"/>
  <c r="ADX1547" i="10" s="1"/>
  <c r="ADW1547" i="10" a="1"/>
  <c r="ADW1547" i="10" s="1"/>
  <c r="ADV1547" i="10" a="1"/>
  <c r="ADV1547" i="10" s="1"/>
  <c r="ADU1547" i="10" a="1"/>
  <c r="ADU1547" i="10" s="1"/>
  <c r="ADT1547" i="10" a="1"/>
  <c r="ADT1547" i="10" s="1"/>
  <c r="ADS1547" i="10" a="1"/>
  <c r="ADS1547" i="10" s="1"/>
  <c r="ADR1547" i="10" a="1"/>
  <c r="ADR1547" i="10" s="1"/>
  <c r="ADQ1547" i="10" a="1"/>
  <c r="ADQ1547" i="10" s="1"/>
  <c r="ADP1547" i="10" a="1"/>
  <c r="ADP1547" i="10" s="1"/>
  <c r="ADO1547" i="10" a="1"/>
  <c r="ADO1547" i="10" s="1"/>
  <c r="ADN1547" i="10" a="1"/>
  <c r="ADN1547" i="10" s="1"/>
  <c r="ADM1547" i="10" a="1"/>
  <c r="ADM1547" i="10" s="1"/>
  <c r="ADL1547" i="10" a="1"/>
  <c r="ADL1547" i="10" s="1"/>
  <c r="ADK1547" i="10" a="1"/>
  <c r="ADK1547" i="10" s="1"/>
  <c r="ADJ1547" i="10" a="1"/>
  <c r="ADJ1547" i="10" s="1"/>
  <c r="ADI1547" i="10" a="1"/>
  <c r="ADI1547" i="10" s="1"/>
  <c r="ADH1547" i="10" a="1"/>
  <c r="ADH1547" i="10" s="1"/>
  <c r="ADG1547" i="10" a="1"/>
  <c r="ADG1547" i="10" s="1"/>
  <c r="ADF1547" i="10" a="1"/>
  <c r="ADF1547" i="10" s="1"/>
  <c r="ADE1547" i="10" a="1"/>
  <c r="ADE1547" i="10" s="1"/>
  <c r="ADD1547" i="10" a="1"/>
  <c r="ADD1547" i="10" s="1"/>
  <c r="ADC1547" i="10" a="1"/>
  <c r="ADC1547" i="10" s="1"/>
  <c r="ADB1547" i="10" a="1"/>
  <c r="ADB1547" i="10" s="1"/>
  <c r="ADA1547" i="10" a="1"/>
  <c r="ADA1547" i="10" s="1"/>
  <c r="ACZ1547" i="10" a="1"/>
  <c r="ACZ1547" i="10" s="1"/>
  <c r="ACY1547" i="10" a="1"/>
  <c r="ACY1547" i="10" s="1"/>
  <c r="ACX1547" i="10" a="1"/>
  <c r="ACX1547" i="10" s="1"/>
  <c r="ACW1547" i="10" a="1"/>
  <c r="ACW1547" i="10" s="1"/>
  <c r="ACV1547" i="10" a="1"/>
  <c r="ACV1547" i="10" s="1"/>
  <c r="ACU1547" i="10" a="1"/>
  <c r="ACU1547" i="10" s="1"/>
  <c r="ACT1547" i="10" a="1"/>
  <c r="ACT1547" i="10" s="1"/>
  <c r="ACS1547" i="10" a="1"/>
  <c r="ACS1547" i="10" s="1"/>
  <c r="ACR1547" i="10" a="1"/>
  <c r="ACR1547" i="10" s="1"/>
  <c r="ACQ1547" i="10" a="1"/>
  <c r="ACQ1547" i="10" s="1"/>
  <c r="ACP1547" i="10" a="1"/>
  <c r="ACP1547" i="10" s="1"/>
  <c r="ACO1547" i="10" a="1"/>
  <c r="ACO1547" i="10" s="1"/>
  <c r="ACN1547" i="10" a="1"/>
  <c r="ACN1547" i="10" s="1"/>
  <c r="ACM1547" i="10" a="1"/>
  <c r="ACM1547" i="10" s="1"/>
  <c r="ACL1547" i="10" a="1"/>
  <c r="ACL1547" i="10" s="1"/>
  <c r="ACK1547" i="10" a="1"/>
  <c r="ACK1547" i="10" s="1"/>
  <c r="ACJ1547" i="10" a="1"/>
  <c r="ACJ1547" i="10" s="1"/>
  <c r="ACI1547" i="10" a="1"/>
  <c r="ACI1547" i="10" s="1"/>
  <c r="ACH1547" i="10" a="1"/>
  <c r="ACH1547" i="10" s="1"/>
  <c r="ACG1547" i="10" a="1"/>
  <c r="ACG1547" i="10" s="1"/>
  <c r="ACF1547" i="10" a="1"/>
  <c r="ACF1547" i="10" s="1"/>
  <c r="ACE1547" i="10" a="1"/>
  <c r="ACE1547" i="10" s="1"/>
  <c r="ACD1547" i="10" a="1"/>
  <c r="ACD1547" i="10" s="1"/>
  <c r="ACC1547" i="10" a="1"/>
  <c r="ACC1547" i="10" s="1"/>
  <c r="ACB1547" i="10" a="1"/>
  <c r="ACB1547" i="10" s="1"/>
  <c r="ACA1547" i="10" a="1"/>
  <c r="ACA1547" i="10" s="1"/>
  <c r="ABZ1547" i="10" a="1"/>
  <c r="ABZ1547" i="10" s="1"/>
  <c r="ABY1547" i="10" a="1"/>
  <c r="ABY1547" i="10" s="1"/>
  <c r="ABX1547" i="10" a="1"/>
  <c r="ABX1547" i="10" s="1"/>
  <c r="ABW1547" i="10" a="1"/>
  <c r="ABW1547" i="10" s="1"/>
  <c r="ABV1547" i="10" a="1"/>
  <c r="ABV1547" i="10" s="1"/>
  <c r="ABU1547" i="10" a="1"/>
  <c r="ABU1547" i="10" s="1"/>
  <c r="ABT1547" i="10" a="1"/>
  <c r="ABT1547" i="10" s="1"/>
  <c r="ABS1547" i="10" a="1"/>
  <c r="ABS1547" i="10" s="1"/>
  <c r="ABR1547" i="10" a="1"/>
  <c r="ABR1547" i="10" s="1"/>
  <c r="ABQ1547" i="10" a="1"/>
  <c r="ABQ1547" i="10" s="1"/>
  <c r="ABP1547" i="10" a="1"/>
  <c r="ABP1547" i="10" s="1"/>
  <c r="ABO1547" i="10" a="1"/>
  <c r="ABO1547" i="10" s="1"/>
  <c r="ABN1547" i="10" a="1"/>
  <c r="ABN1547" i="10" s="1"/>
  <c r="ABM1547" i="10" a="1"/>
  <c r="ABM1547" i="10" s="1"/>
  <c r="ABL1547" i="10" a="1"/>
  <c r="ABL1547" i="10" s="1"/>
  <c r="ABK1547" i="10" a="1"/>
  <c r="ABK1547" i="10" s="1"/>
  <c r="ABJ1547" i="10" a="1"/>
  <c r="ABJ1547" i="10" s="1"/>
  <c r="ABI1547" i="10" a="1"/>
  <c r="ABI1547" i="10" s="1"/>
  <c r="ABH1547" i="10" a="1"/>
  <c r="ABH1547" i="10" s="1"/>
  <c r="ABG1547" i="10" a="1"/>
  <c r="ABG1547" i="10" s="1"/>
  <c r="ABF1547" i="10" a="1"/>
  <c r="ABF1547" i="10" s="1"/>
  <c r="ABE1547" i="10" a="1"/>
  <c r="ABE1547" i="10" s="1"/>
  <c r="ABD1547" i="10" a="1"/>
  <c r="ABD1547" i="10" s="1"/>
  <c r="ABC1547" i="10" a="1"/>
  <c r="ABC1547" i="10" s="1"/>
  <c r="ABB1547" i="10" a="1"/>
  <c r="ABB1547" i="10" s="1"/>
  <c r="ABA1547" i="10" a="1"/>
  <c r="ABA1547" i="10" s="1"/>
  <c r="AAZ1547" i="10" a="1"/>
  <c r="AAZ1547" i="10" s="1"/>
  <c r="AAY1547" i="10" a="1"/>
  <c r="AAY1547" i="10" s="1"/>
  <c r="AAX1547" i="10" a="1"/>
  <c r="AAX1547" i="10" s="1"/>
  <c r="AAW1547" i="10" a="1"/>
  <c r="AAW1547" i="10" s="1"/>
  <c r="AAV1547" i="10" a="1"/>
  <c r="AAV1547" i="10" s="1"/>
  <c r="AAU1547" i="10" a="1"/>
  <c r="AAU1547" i="10" s="1"/>
  <c r="AAT1547" i="10" a="1"/>
  <c r="AAT1547" i="10" s="1"/>
  <c r="AAS1547" i="10" a="1"/>
  <c r="AAS1547" i="10" s="1"/>
  <c r="AAR1547" i="10" a="1"/>
  <c r="AAR1547" i="10" s="1"/>
  <c r="AAQ1547" i="10" a="1"/>
  <c r="AAQ1547" i="10" s="1"/>
  <c r="AAP1547" i="10" a="1"/>
  <c r="AAP1547" i="10" s="1"/>
  <c r="AAO1547" i="10" a="1"/>
  <c r="AAO1547" i="10" s="1"/>
  <c r="AAN1547" i="10" a="1"/>
  <c r="AAN1547" i="10" s="1"/>
  <c r="AAM1547" i="10" a="1"/>
  <c r="AAM1547" i="10" s="1"/>
  <c r="AAL1547" i="10" a="1"/>
  <c r="AAL1547" i="10" s="1"/>
  <c r="AAK1547" i="10" a="1"/>
  <c r="AAK1547" i="10" s="1"/>
  <c r="AAJ1547" i="10" a="1"/>
  <c r="AAJ1547" i="10" s="1"/>
  <c r="AAI1547" i="10" a="1"/>
  <c r="AAI1547" i="10" s="1"/>
  <c r="AAH1547" i="10" a="1"/>
  <c r="AAH1547" i="10" s="1"/>
  <c r="AAG1547" i="10" a="1"/>
  <c r="AAG1547" i="10" s="1"/>
  <c r="AAF1547" i="10" a="1"/>
  <c r="AAF1547" i="10" s="1"/>
  <c r="AAE1547" i="10" a="1"/>
  <c r="AAE1547" i="10" s="1"/>
  <c r="AAD1547" i="10" a="1"/>
  <c r="AAD1547" i="10" s="1"/>
  <c r="AAC1547" i="10" a="1"/>
  <c r="AAC1547" i="10" s="1"/>
  <c r="AAB1547" i="10" a="1"/>
  <c r="AAB1547" i="10" s="1"/>
  <c r="AAA1547" i="10" a="1"/>
  <c r="AAA1547" i="10" s="1"/>
  <c r="ZZ1547" i="10" a="1"/>
  <c r="ZZ1547" i="10" s="1"/>
  <c r="ZY1547" i="10" a="1"/>
  <c r="ZY1547" i="10" s="1"/>
  <c r="ZX1547" i="10" a="1"/>
  <c r="ZX1547" i="10" s="1"/>
  <c r="ZW1547" i="10" a="1"/>
  <c r="ZW1547" i="10" s="1"/>
  <c r="ZV1547" i="10" a="1"/>
  <c r="ZV1547" i="10" s="1"/>
  <c r="ZU1547" i="10" a="1"/>
  <c r="ZU1547" i="10" s="1"/>
  <c r="ZT1547" i="10" a="1"/>
  <c r="ZT1547" i="10" s="1"/>
  <c r="ZS1547" i="10" a="1"/>
  <c r="ZS1547" i="10" s="1"/>
  <c r="ZR1547" i="10" a="1"/>
  <c r="ZR1547" i="10" s="1"/>
  <c r="ZQ1547" i="10" a="1"/>
  <c r="ZQ1547" i="10" s="1"/>
  <c r="ZP1547" i="10" a="1"/>
  <c r="ZP1547" i="10" s="1"/>
  <c r="ZO1547" i="10" a="1"/>
  <c r="ZO1547" i="10" s="1"/>
  <c r="ZN1547" i="10" a="1"/>
  <c r="ZN1547" i="10" s="1"/>
  <c r="ZM1547" i="10" a="1"/>
  <c r="ZM1547" i="10" s="1"/>
  <c r="ZL1547" i="10" a="1"/>
  <c r="ZL1547" i="10" s="1"/>
  <c r="ZK1547" i="10" a="1"/>
  <c r="ZK1547" i="10" s="1"/>
  <c r="ZJ1547" i="10" a="1"/>
  <c r="ZJ1547" i="10" s="1"/>
  <c r="ZI1547" i="10" a="1"/>
  <c r="ZI1547" i="10" s="1"/>
  <c r="ZH1547" i="10" a="1"/>
  <c r="ZH1547" i="10" s="1"/>
  <c r="ZG1547" i="10" a="1"/>
  <c r="ZG1547" i="10" s="1"/>
  <c r="ZF1547" i="10" a="1"/>
  <c r="ZF1547" i="10" s="1"/>
  <c r="ZE1547" i="10" a="1"/>
  <c r="ZE1547" i="10" s="1"/>
  <c r="ZD1547" i="10" a="1"/>
  <c r="ZD1547" i="10" s="1"/>
  <c r="ZC1547" i="10" a="1"/>
  <c r="ZC1547" i="10" s="1"/>
  <c r="ZB1547" i="10" a="1"/>
  <c r="ZB1547" i="10" s="1"/>
  <c r="ZA1547" i="10" a="1"/>
  <c r="ZA1547" i="10" s="1"/>
  <c r="YZ1547" i="10" a="1"/>
  <c r="YZ1547" i="10" s="1"/>
  <c r="YY1547" i="10" a="1"/>
  <c r="YY1547" i="10" s="1"/>
  <c r="YX1547" i="10" a="1"/>
  <c r="YX1547" i="10" s="1"/>
  <c r="YW1547" i="10" a="1"/>
  <c r="YW1547" i="10" s="1"/>
  <c r="YV1547" i="10" a="1"/>
  <c r="YV1547" i="10" s="1"/>
  <c r="YU1547" i="10" a="1"/>
  <c r="YU1547" i="10" s="1"/>
  <c r="YT1547" i="10" a="1"/>
  <c r="YT1547" i="10" s="1"/>
  <c r="YS1547" i="10" a="1"/>
  <c r="YS1547" i="10" s="1"/>
  <c r="YR1547" i="10" a="1"/>
  <c r="YR1547" i="10" s="1"/>
  <c r="YQ1547" i="10" a="1"/>
  <c r="YQ1547" i="10" s="1"/>
  <c r="YP1547" i="10" a="1"/>
  <c r="YP1547" i="10" s="1"/>
  <c r="YO1547" i="10" a="1"/>
  <c r="YO1547" i="10" s="1"/>
  <c r="YN1547" i="10" a="1"/>
  <c r="YN1547" i="10" s="1"/>
  <c r="YM1547" i="10" a="1"/>
  <c r="YM1547" i="10" s="1"/>
  <c r="YL1547" i="10" a="1"/>
  <c r="YL1547" i="10" s="1"/>
  <c r="YK1547" i="10" a="1"/>
  <c r="YK1547" i="10" s="1"/>
  <c r="YJ1547" i="10" a="1"/>
  <c r="YJ1547" i="10" s="1"/>
  <c r="YI1547" i="10" a="1"/>
  <c r="YI1547" i="10" s="1"/>
  <c r="YH1547" i="10" a="1"/>
  <c r="YH1547" i="10" s="1"/>
  <c r="YG1547" i="10" a="1"/>
  <c r="YG1547" i="10" s="1"/>
  <c r="YF1547" i="10" a="1"/>
  <c r="YF1547" i="10" s="1"/>
  <c r="YE1547" i="10" a="1"/>
  <c r="YE1547" i="10" s="1"/>
  <c r="YD1547" i="10" a="1"/>
  <c r="YD1547" i="10" s="1"/>
  <c r="YC1547" i="10" a="1"/>
  <c r="YC1547" i="10" s="1"/>
  <c r="YB1547" i="10" a="1"/>
  <c r="YB1547" i="10" s="1"/>
  <c r="YA1547" i="10" a="1"/>
  <c r="YA1547" i="10" s="1"/>
  <c r="XZ1547" i="10" a="1"/>
  <c r="XZ1547" i="10" s="1"/>
  <c r="XY1547" i="10" a="1"/>
  <c r="XY1547" i="10" s="1"/>
  <c r="XX1547" i="10" a="1"/>
  <c r="XX1547" i="10" s="1"/>
  <c r="XW1547" i="10" a="1"/>
  <c r="XW1547" i="10" s="1"/>
  <c r="XV1547" i="10" a="1"/>
  <c r="XV1547" i="10" s="1"/>
  <c r="XU1547" i="10" a="1"/>
  <c r="XU1547" i="10" s="1"/>
  <c r="XT1547" i="10" a="1"/>
  <c r="XT1547" i="10" s="1"/>
  <c r="XS1547" i="10" a="1"/>
  <c r="XS1547" i="10" s="1"/>
  <c r="XR1547" i="10" a="1"/>
  <c r="XR1547" i="10" s="1"/>
  <c r="XQ1547" i="10" a="1"/>
  <c r="XQ1547" i="10" s="1"/>
  <c r="XP1547" i="10" a="1"/>
  <c r="XP1547" i="10" s="1"/>
  <c r="XO1547" i="10" a="1"/>
  <c r="XO1547" i="10" s="1"/>
  <c r="XN1547" i="10" a="1"/>
  <c r="XN1547" i="10" s="1"/>
  <c r="XM1547" i="10" a="1"/>
  <c r="XM1547" i="10" s="1"/>
  <c r="XL1547" i="10" a="1"/>
  <c r="XL1547" i="10" s="1"/>
  <c r="XK1547" i="10" a="1"/>
  <c r="XK1547" i="10" s="1"/>
  <c r="XJ1547" i="10" a="1"/>
  <c r="XJ1547" i="10" s="1"/>
  <c r="XI1547" i="10" a="1"/>
  <c r="XI1547" i="10" s="1"/>
  <c r="XH1547" i="10" a="1"/>
  <c r="XH1547" i="10" s="1"/>
  <c r="XG1547" i="10" a="1"/>
  <c r="XG1547" i="10" s="1"/>
  <c r="XF1547" i="10" a="1"/>
  <c r="XF1547" i="10" s="1"/>
  <c r="XE1547" i="10" a="1"/>
  <c r="XE1547" i="10" s="1"/>
  <c r="XD1547" i="10" a="1"/>
  <c r="XD1547" i="10" s="1"/>
  <c r="XC1547" i="10" a="1"/>
  <c r="XC1547" i="10" s="1"/>
  <c r="XB1547" i="10" a="1"/>
  <c r="XB1547" i="10" s="1"/>
  <c r="XA1547" i="10" a="1"/>
  <c r="XA1547" i="10" s="1"/>
  <c r="WZ1547" i="10" a="1"/>
  <c r="WZ1547" i="10" s="1"/>
  <c r="WY1547" i="10" a="1"/>
  <c r="WY1547" i="10" s="1"/>
  <c r="WX1547" i="10" a="1"/>
  <c r="WX1547" i="10" s="1"/>
  <c r="WW1547" i="10" a="1"/>
  <c r="WW1547" i="10" s="1"/>
  <c r="WV1547" i="10" a="1"/>
  <c r="WV1547" i="10" s="1"/>
  <c r="WU1547" i="10" a="1"/>
  <c r="WU1547" i="10" s="1"/>
  <c r="WT1547" i="10" a="1"/>
  <c r="WT1547" i="10" s="1"/>
  <c r="WS1547" i="10" a="1"/>
  <c r="WS1547" i="10" s="1"/>
  <c r="WR1547" i="10" a="1"/>
  <c r="WR1547" i="10" s="1"/>
  <c r="WQ1547" i="10" a="1"/>
  <c r="WQ1547" i="10" s="1"/>
  <c r="WP1547" i="10" a="1"/>
  <c r="WP1547" i="10" s="1"/>
  <c r="WO1547" i="10" a="1"/>
  <c r="WO1547" i="10" s="1"/>
  <c r="WN1547" i="10" a="1"/>
  <c r="WN1547" i="10" s="1"/>
  <c r="WM1547" i="10" a="1"/>
  <c r="WM1547" i="10" s="1"/>
  <c r="WL1547" i="10" a="1"/>
  <c r="WL1547" i="10" s="1"/>
  <c r="WK1547" i="10" a="1"/>
  <c r="WK1547" i="10" s="1"/>
  <c r="WJ1547" i="10" a="1"/>
  <c r="WJ1547" i="10" s="1"/>
  <c r="WI1547" i="10" a="1"/>
  <c r="WI1547" i="10" s="1"/>
  <c r="WH1547" i="10" a="1"/>
  <c r="WH1547" i="10" s="1"/>
  <c r="WG1547" i="10" a="1"/>
  <c r="WG1547" i="10" s="1"/>
  <c r="WF1547" i="10" a="1"/>
  <c r="WF1547" i="10" s="1"/>
  <c r="WE1547" i="10" a="1"/>
  <c r="WE1547" i="10" s="1"/>
  <c r="WD1547" i="10" a="1"/>
  <c r="WD1547" i="10" s="1"/>
  <c r="WC1547" i="10" a="1"/>
  <c r="WC1547" i="10" s="1"/>
  <c r="WB1547" i="10" a="1"/>
  <c r="WB1547" i="10" s="1"/>
  <c r="WA1547" i="10" a="1"/>
  <c r="WA1547" i="10" s="1"/>
  <c r="VZ1547" i="10" a="1"/>
  <c r="VZ1547" i="10" s="1"/>
  <c r="VY1547" i="10" a="1"/>
  <c r="VY1547" i="10" s="1"/>
  <c r="VX1547" i="10" a="1"/>
  <c r="VX1547" i="10" s="1"/>
  <c r="VW1547" i="10" a="1"/>
  <c r="VW1547" i="10" s="1"/>
  <c r="VV1547" i="10" a="1"/>
  <c r="VV1547" i="10" s="1"/>
  <c r="VU1547" i="10" a="1"/>
  <c r="VU1547" i="10" s="1"/>
  <c r="VT1547" i="10" a="1"/>
  <c r="VT1547" i="10" s="1"/>
  <c r="VS1547" i="10" a="1"/>
  <c r="VS1547" i="10" s="1"/>
  <c r="VR1547" i="10" a="1"/>
  <c r="VR1547" i="10" s="1"/>
  <c r="VQ1547" i="10" a="1"/>
  <c r="VQ1547" i="10" s="1"/>
  <c r="VP1547" i="10" a="1"/>
  <c r="VP1547" i="10" s="1"/>
  <c r="VO1547" i="10" a="1"/>
  <c r="VO1547" i="10" s="1"/>
  <c r="VN1547" i="10" a="1"/>
  <c r="VN1547" i="10" s="1"/>
  <c r="VM1547" i="10" a="1"/>
  <c r="VM1547" i="10" s="1"/>
  <c r="VL1547" i="10" a="1"/>
  <c r="VL1547" i="10" s="1"/>
  <c r="VK1547" i="10" a="1"/>
  <c r="VK1547" i="10" s="1"/>
  <c r="VJ1547" i="10" a="1"/>
  <c r="VJ1547" i="10" s="1"/>
  <c r="VI1547" i="10" a="1"/>
  <c r="VI1547" i="10" s="1"/>
  <c r="VH1547" i="10" a="1"/>
  <c r="VH1547" i="10" s="1"/>
  <c r="VG1547" i="10" a="1"/>
  <c r="VG1547" i="10" s="1"/>
  <c r="VF1547" i="10" a="1"/>
  <c r="VF1547" i="10" s="1"/>
  <c r="VE1547" i="10" a="1"/>
  <c r="VE1547" i="10" s="1"/>
  <c r="VD1547" i="10" a="1"/>
  <c r="VD1547" i="10" s="1"/>
  <c r="VC1547" i="10" a="1"/>
  <c r="VC1547" i="10" s="1"/>
  <c r="VB1547" i="10" a="1"/>
  <c r="VB1547" i="10" s="1"/>
  <c r="VA1547" i="10" a="1"/>
  <c r="VA1547" i="10" s="1"/>
  <c r="UZ1547" i="10" a="1"/>
  <c r="UZ1547" i="10" s="1"/>
  <c r="UY1547" i="10" a="1"/>
  <c r="UY1547" i="10" s="1"/>
  <c r="UX1547" i="10" a="1"/>
  <c r="UX1547" i="10" s="1"/>
  <c r="UW1547" i="10" a="1"/>
  <c r="UW1547" i="10" s="1"/>
  <c r="UV1547" i="10" a="1"/>
  <c r="UV1547" i="10" s="1"/>
  <c r="UU1547" i="10" a="1"/>
  <c r="UU1547" i="10" s="1"/>
  <c r="UT1547" i="10" a="1"/>
  <c r="UT1547" i="10" s="1"/>
  <c r="US1547" i="10" a="1"/>
  <c r="US1547" i="10" s="1"/>
  <c r="UR1547" i="10" a="1"/>
  <c r="UR1547" i="10" s="1"/>
  <c r="UQ1547" i="10" a="1"/>
  <c r="UQ1547" i="10" s="1"/>
  <c r="UP1547" i="10" a="1"/>
  <c r="UP1547" i="10" s="1"/>
  <c r="UO1547" i="10" a="1"/>
  <c r="UO1547" i="10" s="1"/>
  <c r="UN1547" i="10" a="1"/>
  <c r="UN1547" i="10" s="1"/>
  <c r="UM1547" i="10" a="1"/>
  <c r="UM1547" i="10" s="1"/>
  <c r="UL1547" i="10" a="1"/>
  <c r="UL1547" i="10" s="1"/>
  <c r="UK1547" i="10" a="1"/>
  <c r="UK1547" i="10" s="1"/>
  <c r="UJ1547" i="10" a="1"/>
  <c r="UJ1547" i="10" s="1"/>
  <c r="UI1547" i="10" a="1"/>
  <c r="UI1547" i="10" s="1"/>
  <c r="UH1547" i="10" a="1"/>
  <c r="UH1547" i="10" s="1"/>
  <c r="UG1547" i="10" a="1"/>
  <c r="UG1547" i="10" s="1"/>
  <c r="UF1547" i="10" a="1"/>
  <c r="UF1547" i="10" s="1"/>
  <c r="UE1547" i="10" a="1"/>
  <c r="UE1547" i="10" s="1"/>
  <c r="UD1547" i="10" a="1"/>
  <c r="UD1547" i="10" s="1"/>
  <c r="UC1547" i="10" a="1"/>
  <c r="UC1547" i="10" s="1"/>
  <c r="UB1547" i="10" a="1"/>
  <c r="UB1547" i="10" s="1"/>
  <c r="UA1547" i="10" a="1"/>
  <c r="UA1547" i="10" s="1"/>
  <c r="TZ1547" i="10" a="1"/>
  <c r="TZ1547" i="10" s="1"/>
  <c r="TY1547" i="10" a="1"/>
  <c r="TY1547" i="10" s="1"/>
  <c r="TX1547" i="10" a="1"/>
  <c r="TX1547" i="10" s="1"/>
  <c r="TW1547" i="10" a="1"/>
  <c r="TW1547" i="10" s="1"/>
  <c r="TV1547" i="10" a="1"/>
  <c r="TV1547" i="10" s="1"/>
  <c r="TU1547" i="10" a="1"/>
  <c r="TU1547" i="10" s="1"/>
  <c r="TT1547" i="10" a="1"/>
  <c r="TT1547" i="10" s="1"/>
  <c r="TS1547" i="10" a="1"/>
  <c r="TS1547" i="10" s="1"/>
  <c r="TR1547" i="10" a="1"/>
  <c r="TR1547" i="10" s="1"/>
  <c r="TQ1547" i="10" a="1"/>
  <c r="TQ1547" i="10" s="1"/>
  <c r="TP1547" i="10" a="1"/>
  <c r="TP1547" i="10" s="1"/>
  <c r="TO1547" i="10" a="1"/>
  <c r="TO1547" i="10" s="1"/>
  <c r="TN1547" i="10" a="1"/>
  <c r="TN1547" i="10" s="1"/>
  <c r="TM1547" i="10" a="1"/>
  <c r="TM1547" i="10" s="1"/>
  <c r="TL1547" i="10" a="1"/>
  <c r="TL1547" i="10" s="1"/>
  <c r="TK1547" i="10" a="1"/>
  <c r="TK1547" i="10" s="1"/>
  <c r="TJ1547" i="10" a="1"/>
  <c r="TJ1547" i="10" s="1"/>
  <c r="TI1547" i="10" a="1"/>
  <c r="TI1547" i="10" s="1"/>
  <c r="TH1547" i="10" a="1"/>
  <c r="TH1547" i="10" s="1"/>
  <c r="TG1547" i="10" a="1"/>
  <c r="TG1547" i="10" s="1"/>
  <c r="TF1547" i="10" a="1"/>
  <c r="TF1547" i="10" s="1"/>
  <c r="TE1547" i="10" a="1"/>
  <c r="TE1547" i="10" s="1"/>
  <c r="TD1547" i="10" a="1"/>
  <c r="TD1547" i="10" s="1"/>
  <c r="TC1547" i="10" a="1"/>
  <c r="TC1547" i="10" s="1"/>
  <c r="TB1547" i="10" a="1"/>
  <c r="TB1547" i="10" s="1"/>
  <c r="TA1547" i="10" a="1"/>
  <c r="TA1547" i="10" s="1"/>
  <c r="SZ1547" i="10" a="1"/>
  <c r="SZ1547" i="10" s="1"/>
  <c r="SY1547" i="10" a="1"/>
  <c r="SY1547" i="10" s="1"/>
  <c r="SX1547" i="10" a="1"/>
  <c r="SX1547" i="10" s="1"/>
  <c r="SW1547" i="10" a="1"/>
  <c r="SW1547" i="10" s="1"/>
  <c r="SV1547" i="10" a="1"/>
  <c r="SV1547" i="10" s="1"/>
  <c r="SU1547" i="10" a="1"/>
  <c r="SU1547" i="10" s="1"/>
  <c r="ST1547" i="10" a="1"/>
  <c r="ST1547" i="10" s="1"/>
  <c r="SS1547" i="10" a="1"/>
  <c r="SS1547" i="10" s="1"/>
  <c r="SR1547" i="10" a="1"/>
  <c r="SR1547" i="10" s="1"/>
  <c r="SQ1547" i="10" a="1"/>
  <c r="SQ1547" i="10" s="1"/>
  <c r="SP1547" i="10" a="1"/>
  <c r="SP1547" i="10" s="1"/>
  <c r="SO1547" i="10" a="1"/>
  <c r="SO1547" i="10" s="1"/>
  <c r="SN1547" i="10" a="1"/>
  <c r="SN1547" i="10" s="1"/>
  <c r="SM1547" i="10" a="1"/>
  <c r="SM1547" i="10" s="1"/>
  <c r="SL1547" i="10" a="1"/>
  <c r="SL1547" i="10" s="1"/>
  <c r="SK1547" i="10" a="1"/>
  <c r="SK1547" i="10" s="1"/>
  <c r="SJ1547" i="10" a="1"/>
  <c r="SJ1547" i="10" s="1"/>
  <c r="SI1547" i="10" a="1"/>
  <c r="SI1547" i="10" s="1"/>
  <c r="SH1547" i="10" a="1"/>
  <c r="SH1547" i="10" s="1"/>
  <c r="SG1547" i="10" a="1"/>
  <c r="SG1547" i="10" s="1"/>
  <c r="SF1547" i="10" a="1"/>
  <c r="SF1547" i="10" s="1"/>
  <c r="SE1547" i="10" a="1"/>
  <c r="SE1547" i="10" s="1"/>
  <c r="SD1547" i="10" a="1"/>
  <c r="SD1547" i="10" s="1"/>
  <c r="SC1547" i="10" a="1"/>
  <c r="SC1547" i="10" s="1"/>
  <c r="SB1547" i="10" a="1"/>
  <c r="SB1547" i="10" s="1"/>
  <c r="SA1547" i="10" a="1"/>
  <c r="SA1547" i="10" s="1"/>
  <c r="RZ1547" i="10" a="1"/>
  <c r="RZ1547" i="10" s="1"/>
  <c r="RY1547" i="10" a="1"/>
  <c r="RY1547" i="10" s="1"/>
  <c r="RX1547" i="10" a="1"/>
  <c r="RX1547" i="10" s="1"/>
  <c r="RW1547" i="10" a="1"/>
  <c r="RW1547" i="10" s="1"/>
  <c r="RV1547" i="10" a="1"/>
  <c r="RV1547" i="10" s="1"/>
  <c r="RU1547" i="10" a="1"/>
  <c r="RU1547" i="10" s="1"/>
  <c r="RT1547" i="10" a="1"/>
  <c r="RT1547" i="10" s="1"/>
  <c r="RS1547" i="10" a="1"/>
  <c r="RS1547" i="10" s="1"/>
  <c r="RR1547" i="10" a="1"/>
  <c r="RR1547" i="10" s="1"/>
  <c r="RQ1547" i="10" a="1"/>
  <c r="RQ1547" i="10" s="1"/>
  <c r="RP1547" i="10" a="1"/>
  <c r="RP1547" i="10" s="1"/>
  <c r="RO1547" i="10" a="1"/>
  <c r="RO1547" i="10" s="1"/>
  <c r="RN1547" i="10" a="1"/>
  <c r="RN1547" i="10" s="1"/>
  <c r="RM1547" i="10" a="1"/>
  <c r="RM1547" i="10" s="1"/>
  <c r="RL1547" i="10" a="1"/>
  <c r="RL1547" i="10" s="1"/>
  <c r="RK1547" i="10" a="1"/>
  <c r="RK1547" i="10" s="1"/>
  <c r="RJ1547" i="10" a="1"/>
  <c r="RJ1547" i="10" s="1"/>
  <c r="RI1547" i="10" a="1"/>
  <c r="RI1547" i="10" s="1"/>
  <c r="RH1547" i="10" a="1"/>
  <c r="RH1547" i="10" s="1"/>
  <c r="RG1547" i="10" a="1"/>
  <c r="RG1547" i="10" s="1"/>
  <c r="RF1547" i="10" a="1"/>
  <c r="RF1547" i="10" s="1"/>
  <c r="RE1547" i="10" a="1"/>
  <c r="RE1547" i="10" s="1"/>
  <c r="RD1547" i="10" a="1"/>
  <c r="RD1547" i="10" s="1"/>
  <c r="RC1547" i="10" a="1"/>
  <c r="RC1547" i="10" s="1"/>
  <c r="RB1547" i="10" a="1"/>
  <c r="RB1547" i="10" s="1"/>
  <c r="RA1547" i="10" a="1"/>
  <c r="RA1547" i="10" s="1"/>
  <c r="QZ1547" i="10" a="1"/>
  <c r="QZ1547" i="10" s="1"/>
  <c r="QY1547" i="10" a="1"/>
  <c r="QY1547" i="10" s="1"/>
  <c r="QX1547" i="10" a="1"/>
  <c r="QX1547" i="10" s="1"/>
  <c r="QW1547" i="10" a="1"/>
  <c r="QW1547" i="10" s="1"/>
  <c r="QV1547" i="10" a="1"/>
  <c r="QV1547" i="10" s="1"/>
  <c r="QU1547" i="10" a="1"/>
  <c r="QU1547" i="10" s="1"/>
  <c r="QT1547" i="10" a="1"/>
  <c r="QT1547" i="10" s="1"/>
  <c r="QS1547" i="10" a="1"/>
  <c r="QS1547" i="10" s="1"/>
  <c r="QR1547" i="10" a="1"/>
  <c r="QR1547" i="10" s="1"/>
  <c r="QQ1547" i="10" a="1"/>
  <c r="QQ1547" i="10" s="1"/>
  <c r="QP1547" i="10" a="1"/>
  <c r="QP1547" i="10" s="1"/>
  <c r="QO1547" i="10" a="1"/>
  <c r="QO1547" i="10" s="1"/>
  <c r="QN1547" i="10" a="1"/>
  <c r="QN1547" i="10" s="1"/>
  <c r="QM1547" i="10" a="1"/>
  <c r="QM1547" i="10" s="1"/>
  <c r="QL1547" i="10" a="1"/>
  <c r="QL1547" i="10" s="1"/>
  <c r="QK1547" i="10" a="1"/>
  <c r="QK1547" i="10" s="1"/>
  <c r="QJ1547" i="10" a="1"/>
  <c r="QJ1547" i="10" s="1"/>
  <c r="QI1547" i="10" a="1"/>
  <c r="QI1547" i="10" s="1"/>
  <c r="QH1547" i="10" a="1"/>
  <c r="QH1547" i="10" s="1"/>
  <c r="QG1547" i="10" a="1"/>
  <c r="QG1547" i="10" s="1"/>
  <c r="QF1547" i="10" a="1"/>
  <c r="QF1547" i="10" s="1"/>
  <c r="QE1547" i="10" a="1"/>
  <c r="QE1547" i="10" s="1"/>
  <c r="QD1547" i="10" a="1"/>
  <c r="QD1547" i="10" s="1"/>
  <c r="QC1547" i="10" a="1"/>
  <c r="QC1547" i="10" s="1"/>
  <c r="QB1547" i="10" a="1"/>
  <c r="QB1547" i="10" s="1"/>
  <c r="QA1547" i="10" a="1"/>
  <c r="QA1547" i="10" s="1"/>
  <c r="PZ1547" i="10" a="1"/>
  <c r="PZ1547" i="10" s="1"/>
  <c r="PY1547" i="10" a="1"/>
  <c r="PY1547" i="10" s="1"/>
  <c r="PX1547" i="10" a="1"/>
  <c r="PX1547" i="10" s="1"/>
  <c r="PW1547" i="10" a="1"/>
  <c r="PW1547" i="10" s="1"/>
  <c r="PV1547" i="10" a="1"/>
  <c r="PV1547" i="10" s="1"/>
  <c r="PU1547" i="10" a="1"/>
  <c r="PU1547" i="10" s="1"/>
  <c r="PT1547" i="10" a="1"/>
  <c r="PT1547" i="10" s="1"/>
  <c r="PS1547" i="10" a="1"/>
  <c r="PS1547" i="10" s="1"/>
  <c r="PR1547" i="10" a="1"/>
  <c r="PR1547" i="10" s="1"/>
  <c r="PQ1547" i="10" a="1"/>
  <c r="PQ1547" i="10" s="1"/>
  <c r="PP1547" i="10" a="1"/>
  <c r="PP1547" i="10" s="1"/>
  <c r="PO1547" i="10" a="1"/>
  <c r="PO1547" i="10" s="1"/>
  <c r="PN1547" i="10" a="1"/>
  <c r="PN1547" i="10" s="1"/>
  <c r="PM1547" i="10" a="1"/>
  <c r="PM1547" i="10" s="1"/>
  <c r="PL1547" i="10" a="1"/>
  <c r="PL1547" i="10" s="1"/>
  <c r="PK1547" i="10" a="1"/>
  <c r="PK1547" i="10" s="1"/>
  <c r="PJ1547" i="10" a="1"/>
  <c r="PJ1547" i="10" s="1"/>
  <c r="PI1547" i="10" a="1"/>
  <c r="PI1547" i="10" s="1"/>
  <c r="PH1547" i="10" a="1"/>
  <c r="PH1547" i="10" s="1"/>
  <c r="PG1547" i="10" a="1"/>
  <c r="PG1547" i="10" s="1"/>
  <c r="PF1547" i="10" a="1"/>
  <c r="PF1547" i="10" s="1"/>
  <c r="PE1547" i="10" a="1"/>
  <c r="PE1547" i="10" s="1"/>
  <c r="PD1547" i="10" a="1"/>
  <c r="PD1547" i="10" s="1"/>
  <c r="PC1547" i="10" a="1"/>
  <c r="PC1547" i="10" s="1"/>
  <c r="PB1547" i="10" a="1"/>
  <c r="PB1547" i="10" s="1"/>
  <c r="PA1547" i="10" a="1"/>
  <c r="PA1547" i="10" s="1"/>
  <c r="OZ1547" i="10" a="1"/>
  <c r="OZ1547" i="10" s="1"/>
  <c r="OY1547" i="10" a="1"/>
  <c r="OY1547" i="10" s="1"/>
  <c r="OX1547" i="10" a="1"/>
  <c r="OX1547" i="10" s="1"/>
  <c r="OW1547" i="10" a="1"/>
  <c r="OW1547" i="10" s="1"/>
  <c r="OV1547" i="10" a="1"/>
  <c r="OV1547" i="10" s="1"/>
  <c r="OU1547" i="10" a="1"/>
  <c r="OU1547" i="10" s="1"/>
  <c r="OT1547" i="10" a="1"/>
  <c r="OT1547" i="10" s="1"/>
  <c r="OS1547" i="10" a="1"/>
  <c r="OS1547" i="10" s="1"/>
  <c r="OR1547" i="10" a="1"/>
  <c r="OR1547" i="10" s="1"/>
  <c r="OQ1547" i="10" a="1"/>
  <c r="OQ1547" i="10" s="1"/>
  <c r="OP1547" i="10" a="1"/>
  <c r="OP1547" i="10" s="1"/>
  <c r="OO1547" i="10" a="1"/>
  <c r="OO1547" i="10" s="1"/>
  <c r="ON1547" i="10" a="1"/>
  <c r="ON1547" i="10" s="1"/>
  <c r="OM1547" i="10" a="1"/>
  <c r="OM1547" i="10" s="1"/>
  <c r="OL1547" i="10" a="1"/>
  <c r="OL1547" i="10" s="1"/>
  <c r="OK1547" i="10" a="1"/>
  <c r="OK1547" i="10" s="1"/>
  <c r="OJ1547" i="10" a="1"/>
  <c r="OJ1547" i="10" s="1"/>
  <c r="OI1547" i="10" a="1"/>
  <c r="OI1547" i="10" s="1"/>
  <c r="OH1547" i="10" a="1"/>
  <c r="OH1547" i="10" s="1"/>
  <c r="OG1547" i="10" a="1"/>
  <c r="OG1547" i="10" s="1"/>
  <c r="OF1547" i="10" a="1"/>
  <c r="OF1547" i="10" s="1"/>
  <c r="OE1547" i="10" a="1"/>
  <c r="OE1547" i="10" s="1"/>
  <c r="OD1547" i="10" a="1"/>
  <c r="OD1547" i="10" s="1"/>
  <c r="OC1547" i="10" a="1"/>
  <c r="OC1547" i="10" s="1"/>
  <c r="OB1547" i="10" a="1"/>
  <c r="OB1547" i="10" s="1"/>
  <c r="OA1547" i="10" a="1"/>
  <c r="OA1547" i="10" s="1"/>
  <c r="NZ1547" i="10" a="1"/>
  <c r="NZ1547" i="10" s="1"/>
  <c r="NY1547" i="10" a="1"/>
  <c r="NY1547" i="10" s="1"/>
  <c r="NX1547" i="10" a="1"/>
  <c r="NX1547" i="10" s="1"/>
  <c r="NW1547" i="10" a="1"/>
  <c r="NW1547" i="10" s="1"/>
  <c r="NV1547" i="10" a="1"/>
  <c r="NV1547" i="10" s="1"/>
  <c r="NU1547" i="10" a="1"/>
  <c r="NU1547" i="10" s="1"/>
  <c r="NT1547" i="10" a="1"/>
  <c r="NT1547" i="10" s="1"/>
  <c r="NS1547" i="10" a="1"/>
  <c r="NS1547" i="10" s="1"/>
  <c r="NR1547" i="10" a="1"/>
  <c r="NR1547" i="10" s="1"/>
  <c r="NQ1547" i="10" a="1"/>
  <c r="NQ1547" i="10" s="1"/>
  <c r="NP1547" i="10" a="1"/>
  <c r="NP1547" i="10" s="1"/>
  <c r="NO1547" i="10" a="1"/>
  <c r="NO1547" i="10" s="1"/>
  <c r="NN1547" i="10" a="1"/>
  <c r="NN1547" i="10" s="1"/>
  <c r="NM1547" i="10" a="1"/>
  <c r="NM1547" i="10" s="1"/>
  <c r="NL1547" i="10" a="1"/>
  <c r="NL1547" i="10" s="1"/>
  <c r="NK1547" i="10" a="1"/>
  <c r="NK1547" i="10" s="1"/>
  <c r="NJ1547" i="10" a="1"/>
  <c r="NJ1547" i="10" s="1"/>
  <c r="NI1547" i="10" a="1"/>
  <c r="NI1547" i="10" s="1"/>
  <c r="NH1547" i="10" a="1"/>
  <c r="NH1547" i="10" s="1"/>
  <c r="NG1547" i="10" a="1"/>
  <c r="NG1547" i="10" s="1"/>
  <c r="NF1547" i="10" a="1"/>
  <c r="NF1547" i="10" s="1"/>
  <c r="NE1547" i="10" a="1"/>
  <c r="NE1547" i="10" s="1"/>
  <c r="ND1547" i="10" a="1"/>
  <c r="ND1547" i="10" s="1"/>
  <c r="NC1547" i="10" a="1"/>
  <c r="NC1547" i="10" s="1"/>
  <c r="NB1547" i="10" a="1"/>
  <c r="NB1547" i="10" s="1"/>
  <c r="NA1547" i="10" a="1"/>
  <c r="NA1547" i="10" s="1"/>
  <c r="MZ1547" i="10" a="1"/>
  <c r="MZ1547" i="10" s="1"/>
  <c r="MY1547" i="10" a="1"/>
  <c r="MY1547" i="10" s="1"/>
  <c r="MX1547" i="10" a="1"/>
  <c r="MX1547" i="10" s="1"/>
  <c r="MW1547" i="10" a="1"/>
  <c r="MW1547" i="10" s="1"/>
  <c r="MV1547" i="10" a="1"/>
  <c r="MV1547" i="10" s="1"/>
  <c r="MU1547" i="10" a="1"/>
  <c r="MU1547" i="10" s="1"/>
  <c r="MT1547" i="10" a="1"/>
  <c r="MT1547" i="10" s="1"/>
  <c r="MS1547" i="10" a="1"/>
  <c r="MS1547" i="10" s="1"/>
  <c r="MR1547" i="10" a="1"/>
  <c r="MR1547" i="10" s="1"/>
  <c r="MQ1547" i="10" a="1"/>
  <c r="MQ1547" i="10" s="1"/>
  <c r="MP1547" i="10" a="1"/>
  <c r="MP1547" i="10" s="1"/>
  <c r="MO1547" i="10" a="1"/>
  <c r="MO1547" i="10" s="1"/>
  <c r="MN1547" i="10" a="1"/>
  <c r="MN1547" i="10" s="1"/>
  <c r="MM1547" i="10" a="1"/>
  <c r="MM1547" i="10" s="1"/>
  <c r="ML1547" i="10" a="1"/>
  <c r="ML1547" i="10" s="1"/>
  <c r="MK1547" i="10" a="1"/>
  <c r="MK1547" i="10" s="1"/>
  <c r="MJ1547" i="10" a="1"/>
  <c r="MJ1547" i="10" s="1"/>
  <c r="MI1547" i="10" a="1"/>
  <c r="MI1547" i="10" s="1"/>
  <c r="MH1547" i="10" a="1"/>
  <c r="MH1547" i="10" s="1"/>
  <c r="MG1547" i="10" a="1"/>
  <c r="MG1547" i="10" s="1"/>
  <c r="MF1547" i="10" a="1"/>
  <c r="MF1547" i="10" s="1"/>
  <c r="ME1547" i="10" a="1"/>
  <c r="ME1547" i="10" s="1"/>
  <c r="MD1547" i="10" a="1"/>
  <c r="MD1547" i="10" s="1"/>
  <c r="MC1547" i="10" a="1"/>
  <c r="MC1547" i="10" s="1"/>
  <c r="MB1547" i="10" a="1"/>
  <c r="MB1547" i="10" s="1"/>
  <c r="MA1547" i="10" a="1"/>
  <c r="MA1547" i="10" s="1"/>
  <c r="LZ1547" i="10" a="1"/>
  <c r="LZ1547" i="10" s="1"/>
  <c r="LY1547" i="10" a="1"/>
  <c r="LY1547" i="10" s="1"/>
  <c r="LX1547" i="10" a="1"/>
  <c r="LX1547" i="10" s="1"/>
  <c r="LW1547" i="10" a="1"/>
  <c r="LW1547" i="10" s="1"/>
  <c r="LV1547" i="10" a="1"/>
  <c r="LV1547" i="10" s="1"/>
  <c r="LU1547" i="10" a="1"/>
  <c r="LU1547" i="10" s="1"/>
  <c r="LT1547" i="10" a="1"/>
  <c r="LT1547" i="10" s="1"/>
  <c r="LS1547" i="10" a="1"/>
  <c r="LS1547" i="10" s="1"/>
  <c r="LR1547" i="10" a="1"/>
  <c r="LR1547" i="10" s="1"/>
  <c r="LQ1547" i="10" a="1"/>
  <c r="LQ1547" i="10" s="1"/>
  <c r="LP1547" i="10" a="1"/>
  <c r="LP1547" i="10" s="1"/>
  <c r="LO1547" i="10" a="1"/>
  <c r="LO1547" i="10" s="1"/>
  <c r="LN1547" i="10" a="1"/>
  <c r="LN1547" i="10" s="1"/>
  <c r="LM1547" i="10" a="1"/>
  <c r="LM1547" i="10" s="1"/>
  <c r="LL1547" i="10" a="1"/>
  <c r="LL1547" i="10" s="1"/>
  <c r="LK1547" i="10" a="1"/>
  <c r="LK1547" i="10" s="1"/>
  <c r="LJ1547" i="10" a="1"/>
  <c r="LJ1547" i="10" s="1"/>
  <c r="LI1547" i="10" a="1"/>
  <c r="LI1547" i="10" s="1"/>
  <c r="LH1547" i="10" a="1"/>
  <c r="LH1547" i="10" s="1"/>
  <c r="LG1547" i="10" a="1"/>
  <c r="LG1547" i="10" s="1"/>
  <c r="LF1547" i="10" a="1"/>
  <c r="LF1547" i="10" s="1"/>
  <c r="LE1547" i="10" a="1"/>
  <c r="LE1547" i="10" s="1"/>
  <c r="LD1547" i="10" a="1"/>
  <c r="LD1547" i="10" s="1"/>
  <c r="LC1547" i="10" a="1"/>
  <c r="LC1547" i="10" s="1"/>
  <c r="LB1547" i="10" a="1"/>
  <c r="LB1547" i="10" s="1"/>
  <c r="LA1547" i="10" a="1"/>
  <c r="LA1547" i="10" s="1"/>
  <c r="KZ1547" i="10" a="1"/>
  <c r="KZ1547" i="10" s="1"/>
  <c r="KY1547" i="10" a="1"/>
  <c r="KY1547" i="10" s="1"/>
  <c r="KX1547" i="10" a="1"/>
  <c r="KX1547" i="10" s="1"/>
  <c r="KW1547" i="10" a="1"/>
  <c r="KW1547" i="10" s="1"/>
  <c r="KV1547" i="10" a="1"/>
  <c r="KV1547" i="10" s="1"/>
  <c r="KU1547" i="10" a="1"/>
  <c r="KU1547" i="10" s="1"/>
  <c r="KT1547" i="10" a="1"/>
  <c r="KT1547" i="10" s="1"/>
  <c r="KS1547" i="10" a="1"/>
  <c r="KS1547" i="10" s="1"/>
  <c r="KR1547" i="10" a="1"/>
  <c r="KR1547" i="10" s="1"/>
  <c r="KQ1547" i="10" a="1"/>
  <c r="KQ1547" i="10" s="1"/>
  <c r="KP1547" i="10" a="1"/>
  <c r="KP1547" i="10" s="1"/>
  <c r="KO1547" i="10" a="1"/>
  <c r="KO1547" i="10" s="1"/>
  <c r="KN1547" i="10" a="1"/>
  <c r="KN1547" i="10" s="1"/>
  <c r="KM1547" i="10" a="1"/>
  <c r="KM1547" i="10" s="1"/>
  <c r="KL1547" i="10" a="1"/>
  <c r="KL1547" i="10" s="1"/>
  <c r="KK1547" i="10" a="1"/>
  <c r="KK1547" i="10" s="1"/>
  <c r="KJ1547" i="10" a="1"/>
  <c r="KJ1547" i="10" s="1"/>
  <c r="KI1547" i="10" a="1"/>
  <c r="KI1547" i="10" s="1"/>
  <c r="KH1547" i="10" a="1"/>
  <c r="KH1547" i="10" s="1"/>
  <c r="KG1547" i="10" a="1"/>
  <c r="KG1547" i="10" s="1"/>
  <c r="KF1547" i="10" a="1"/>
  <c r="KF1547" i="10" s="1"/>
  <c r="KE1547" i="10" a="1"/>
  <c r="KE1547" i="10" s="1"/>
  <c r="KD1547" i="10" a="1"/>
  <c r="KD1547" i="10" s="1"/>
  <c r="KC1547" i="10" a="1"/>
  <c r="KC1547" i="10" s="1"/>
  <c r="KB1547" i="10" a="1"/>
  <c r="KB1547" i="10" s="1"/>
  <c r="KA1547" i="10" a="1"/>
  <c r="KA1547" i="10" s="1"/>
  <c r="JZ1547" i="10" a="1"/>
  <c r="JZ1547" i="10" s="1"/>
  <c r="JY1547" i="10" a="1"/>
  <c r="JY1547" i="10" s="1"/>
  <c r="JX1547" i="10" a="1"/>
  <c r="JX1547" i="10" s="1"/>
  <c r="JW1547" i="10" a="1"/>
  <c r="JW1547" i="10" s="1"/>
  <c r="JV1547" i="10" a="1"/>
  <c r="JV1547" i="10" s="1"/>
  <c r="JU1547" i="10" a="1"/>
  <c r="JU1547" i="10" s="1"/>
  <c r="JT1547" i="10" a="1"/>
  <c r="JT1547" i="10" s="1"/>
  <c r="JS1547" i="10" a="1"/>
  <c r="JS1547" i="10" s="1"/>
  <c r="JR1547" i="10" a="1"/>
  <c r="JR1547" i="10" s="1"/>
  <c r="JQ1547" i="10" a="1"/>
  <c r="JQ1547" i="10" s="1"/>
  <c r="JP1547" i="10" a="1"/>
  <c r="JP1547" i="10" s="1"/>
  <c r="JO1547" i="10" a="1"/>
  <c r="JO1547" i="10" s="1"/>
  <c r="JN1547" i="10" a="1"/>
  <c r="JN1547" i="10" s="1"/>
  <c r="JM1547" i="10" a="1"/>
  <c r="JM1547" i="10" s="1"/>
  <c r="JL1547" i="10" a="1"/>
  <c r="JL1547" i="10" s="1"/>
  <c r="JK1547" i="10" a="1"/>
  <c r="JK1547" i="10" s="1"/>
  <c r="JJ1547" i="10" a="1"/>
  <c r="JJ1547" i="10" s="1"/>
  <c r="JI1547" i="10" a="1"/>
  <c r="JI1547" i="10" s="1"/>
  <c r="JH1547" i="10" a="1"/>
  <c r="JH1547" i="10" s="1"/>
  <c r="JG1547" i="10" a="1"/>
  <c r="JG1547" i="10" s="1"/>
  <c r="JF1547" i="10" a="1"/>
  <c r="JF1547" i="10" s="1"/>
  <c r="JE1547" i="10" a="1"/>
  <c r="JE1547" i="10" s="1"/>
  <c r="JD1547" i="10" a="1"/>
  <c r="JD1547" i="10" s="1"/>
  <c r="JC1547" i="10" a="1"/>
  <c r="JC1547" i="10" s="1"/>
  <c r="JB1547" i="10" a="1"/>
  <c r="JB1547" i="10" s="1"/>
  <c r="JA1547" i="10" a="1"/>
  <c r="JA1547" i="10" s="1"/>
  <c r="IZ1547" i="10" a="1"/>
  <c r="IZ1547" i="10" s="1"/>
  <c r="IY1547" i="10" a="1"/>
  <c r="IY1547" i="10" s="1"/>
  <c r="IX1547" i="10" a="1"/>
  <c r="IX1547" i="10" s="1"/>
  <c r="IW1547" i="10" a="1"/>
  <c r="IW1547" i="10" s="1"/>
  <c r="IV1547" i="10" a="1"/>
  <c r="IV1547" i="10" s="1"/>
  <c r="IU1547" i="10" a="1"/>
  <c r="IU1547" i="10" s="1"/>
  <c r="IT1547" i="10" a="1"/>
  <c r="IT1547" i="10" s="1"/>
  <c r="IS1547" i="10" a="1"/>
  <c r="IS1547" i="10" s="1"/>
  <c r="IR1547" i="10" a="1"/>
  <c r="IR1547" i="10" s="1"/>
  <c r="IQ1547" i="10" a="1"/>
  <c r="IQ1547" i="10" s="1"/>
  <c r="IP1547" i="10" a="1"/>
  <c r="IP1547" i="10" s="1"/>
  <c r="IO1547" i="10" a="1"/>
  <c r="IO1547" i="10" s="1"/>
  <c r="IN1547" i="10" a="1"/>
  <c r="IN1547" i="10" s="1"/>
  <c r="IM1547" i="10" a="1"/>
  <c r="IM1547" i="10" s="1"/>
  <c r="IL1547" i="10" a="1"/>
  <c r="IL1547" i="10" s="1"/>
  <c r="IK1547" i="10" a="1"/>
  <c r="IK1547" i="10" s="1"/>
  <c r="IJ1547" i="10" a="1"/>
  <c r="IJ1547" i="10" s="1"/>
  <c r="II1547" i="10" a="1"/>
  <c r="II1547" i="10" s="1"/>
  <c r="IH1547" i="10" a="1"/>
  <c r="IH1547" i="10" s="1"/>
  <c r="IG1547" i="10" a="1"/>
  <c r="IG1547" i="10" s="1"/>
  <c r="IF1547" i="10" a="1"/>
  <c r="IF1547" i="10" s="1"/>
  <c r="IE1547" i="10" a="1"/>
  <c r="IE1547" i="10" s="1"/>
  <c r="ID1547" i="10" a="1"/>
  <c r="ID1547" i="10" s="1"/>
  <c r="IC1547" i="10" a="1"/>
  <c r="IC1547" i="10" s="1"/>
  <c r="IB1547" i="10" a="1"/>
  <c r="IB1547" i="10" s="1"/>
  <c r="IA1547" i="10" a="1"/>
  <c r="IA1547" i="10" s="1"/>
  <c r="HZ1547" i="10" a="1"/>
  <c r="HZ1547" i="10" s="1"/>
  <c r="HY1547" i="10" a="1"/>
  <c r="HY1547" i="10" s="1"/>
  <c r="HX1547" i="10" a="1"/>
  <c r="HX1547" i="10" s="1"/>
  <c r="HW1547" i="10" a="1"/>
  <c r="HW1547" i="10" s="1"/>
  <c r="HV1547" i="10" a="1"/>
  <c r="HV1547" i="10" s="1"/>
  <c r="HU1547" i="10" a="1"/>
  <c r="HU1547" i="10" s="1"/>
  <c r="HT1547" i="10" a="1"/>
  <c r="HT1547" i="10" s="1"/>
  <c r="HS1547" i="10" a="1"/>
  <c r="HS1547" i="10" s="1"/>
  <c r="HR1547" i="10" a="1"/>
  <c r="HR1547" i="10" s="1"/>
  <c r="HQ1547" i="10" a="1"/>
  <c r="HQ1547" i="10" s="1"/>
  <c r="HP1547" i="10" a="1"/>
  <c r="HP1547" i="10" s="1"/>
  <c r="HO1547" i="10" a="1"/>
  <c r="HO1547" i="10" s="1"/>
  <c r="HN1547" i="10" a="1"/>
  <c r="HN1547" i="10" s="1"/>
  <c r="HM1547" i="10" a="1"/>
  <c r="HM1547" i="10" s="1"/>
  <c r="HL1547" i="10" a="1"/>
  <c r="HL1547" i="10" s="1"/>
  <c r="HK1547" i="10" a="1"/>
  <c r="HK1547" i="10" s="1"/>
  <c r="HJ1547" i="10" a="1"/>
  <c r="HJ1547" i="10" s="1"/>
  <c r="HI1547" i="10" a="1"/>
  <c r="HI1547" i="10" s="1"/>
  <c r="HH1547" i="10" a="1"/>
  <c r="HH1547" i="10" s="1"/>
  <c r="HG1547" i="10" a="1"/>
  <c r="HG1547" i="10" s="1"/>
  <c r="HF1547" i="10" a="1"/>
  <c r="HF1547" i="10" s="1"/>
  <c r="HE1547" i="10" a="1"/>
  <c r="HE1547" i="10" s="1"/>
  <c r="HD1547" i="10" a="1"/>
  <c r="HD1547" i="10" s="1"/>
  <c r="HC1547" i="10" a="1"/>
  <c r="HC1547" i="10" s="1"/>
  <c r="HB1547" i="10" a="1"/>
  <c r="HB1547" i="10" s="1"/>
  <c r="HA1547" i="10" a="1"/>
  <c r="HA1547" i="10" s="1"/>
  <c r="GZ1547" i="10" a="1"/>
  <c r="GZ1547" i="10" s="1"/>
  <c r="GY1547" i="10" a="1"/>
  <c r="GY1547" i="10" s="1"/>
  <c r="GX1547" i="10" a="1"/>
  <c r="GX1547" i="10" s="1"/>
  <c r="GW1547" i="10" a="1"/>
  <c r="GW1547" i="10" s="1"/>
  <c r="GV1547" i="10" a="1"/>
  <c r="GV1547" i="10" s="1"/>
  <c r="GU1547" i="10" a="1"/>
  <c r="GU1547" i="10" s="1"/>
  <c r="GT1547" i="10" a="1"/>
  <c r="GT1547" i="10" s="1"/>
  <c r="GS1547" i="10" a="1"/>
  <c r="GS1547" i="10" s="1"/>
  <c r="GR1547" i="10" a="1"/>
  <c r="GR1547" i="10" s="1"/>
  <c r="GQ1547" i="10" a="1"/>
  <c r="GQ1547" i="10" s="1"/>
  <c r="GP1547" i="10" a="1"/>
  <c r="GP1547" i="10" s="1"/>
  <c r="GO1547" i="10" a="1"/>
  <c r="GO1547" i="10" s="1"/>
  <c r="GN1547" i="10" a="1"/>
  <c r="GN1547" i="10" s="1"/>
  <c r="GM1547" i="10" a="1"/>
  <c r="GM1547" i="10" s="1"/>
  <c r="GL1547" i="10" a="1"/>
  <c r="GL1547" i="10" s="1"/>
  <c r="GK1547" i="10" a="1"/>
  <c r="GK1547" i="10" s="1"/>
  <c r="GJ1547" i="10" a="1"/>
  <c r="GJ1547" i="10" s="1"/>
  <c r="GI1547" i="10" a="1"/>
  <c r="GI1547" i="10" s="1"/>
  <c r="GH1547" i="10" a="1"/>
  <c r="GH1547" i="10" s="1"/>
  <c r="GG1547" i="10" a="1"/>
  <c r="GG1547" i="10" s="1"/>
  <c r="GF1547" i="10" a="1"/>
  <c r="GF1547" i="10" s="1"/>
  <c r="GE1547" i="10" a="1"/>
  <c r="GE1547" i="10" s="1"/>
  <c r="GD1547" i="10" a="1"/>
  <c r="GD1547" i="10" s="1"/>
  <c r="GC1547" i="10" a="1"/>
  <c r="GC1547" i="10" s="1"/>
  <c r="GB1547" i="10" a="1"/>
  <c r="GB1547" i="10" s="1"/>
  <c r="GA1547" i="10" a="1"/>
  <c r="GA1547" i="10" s="1"/>
  <c r="FZ1547" i="10" a="1"/>
  <c r="FZ1547" i="10" s="1"/>
  <c r="FY1547" i="10" a="1"/>
  <c r="FY1547" i="10" s="1"/>
  <c r="FX1547" i="10" a="1"/>
  <c r="FX1547" i="10" s="1"/>
  <c r="FW1547" i="10" a="1"/>
  <c r="FW1547" i="10" s="1"/>
  <c r="FV1547" i="10" a="1"/>
  <c r="FV1547" i="10" s="1"/>
  <c r="FU1547" i="10" a="1"/>
  <c r="FU1547" i="10" s="1"/>
  <c r="FT1547" i="10" a="1"/>
  <c r="FT1547" i="10" s="1"/>
  <c r="FS1547" i="10" a="1"/>
  <c r="FS1547" i="10" s="1"/>
  <c r="FR1547" i="10" a="1"/>
  <c r="FR1547" i="10" s="1"/>
  <c r="FQ1547" i="10" a="1"/>
  <c r="FQ1547" i="10" s="1"/>
  <c r="FP1547" i="10" a="1"/>
  <c r="FP1547" i="10" s="1"/>
  <c r="FO1547" i="10" a="1"/>
  <c r="FO1547" i="10" s="1"/>
  <c r="FN1547" i="10" a="1"/>
  <c r="FN1547" i="10" s="1"/>
  <c r="FM1547" i="10" a="1"/>
  <c r="FM1547" i="10" s="1"/>
  <c r="FL1547" i="10" a="1"/>
  <c r="FL1547" i="10" s="1"/>
  <c r="FK1547" i="10" a="1"/>
  <c r="FK1547" i="10" s="1"/>
  <c r="FJ1547" i="10" a="1"/>
  <c r="FJ1547" i="10" s="1"/>
  <c r="FI1547" i="10" a="1"/>
  <c r="FI1547" i="10" s="1"/>
  <c r="FH1547" i="10" a="1"/>
  <c r="FH1547" i="10" s="1"/>
  <c r="FG1547" i="10" a="1"/>
  <c r="FG1547" i="10" s="1"/>
  <c r="FF1547" i="10" a="1"/>
  <c r="FF1547" i="10" s="1"/>
  <c r="FE1547" i="10" a="1"/>
  <c r="FE1547" i="10" s="1"/>
  <c r="FD1547" i="10" a="1"/>
  <c r="FD1547" i="10" s="1"/>
  <c r="FC1547" i="10" a="1"/>
  <c r="FC1547" i="10" s="1"/>
  <c r="FB1547" i="10" a="1"/>
  <c r="FB1547" i="10" s="1"/>
  <c r="FA1547" i="10" a="1"/>
  <c r="FA1547" i="10" s="1"/>
  <c r="EZ1547" i="10" a="1"/>
  <c r="EZ1547" i="10" s="1"/>
  <c r="EY1547" i="10" a="1"/>
  <c r="EY1547" i="10" s="1"/>
  <c r="EX1547" i="10" a="1"/>
  <c r="EX1547" i="10" s="1"/>
  <c r="EW1547" i="10" a="1"/>
  <c r="EW1547" i="10" s="1"/>
  <c r="EV1547" i="10" a="1"/>
  <c r="EV1547" i="10" s="1"/>
  <c r="EU1547" i="10" a="1"/>
  <c r="EU1547" i="10" s="1"/>
  <c r="ET1547" i="10" a="1"/>
  <c r="ET1547" i="10" s="1"/>
  <c r="ES1547" i="10" a="1"/>
  <c r="ES1547" i="10" s="1"/>
  <c r="ER1547" i="10" a="1"/>
  <c r="ER1547" i="10" s="1"/>
  <c r="EQ1547" i="10" a="1"/>
  <c r="EQ1547" i="10" s="1"/>
  <c r="EP1547" i="10" a="1"/>
  <c r="EP1547" i="10" s="1"/>
  <c r="EO1547" i="10" a="1"/>
  <c r="EO1547" i="10" s="1"/>
  <c r="EN1547" i="10" a="1"/>
  <c r="EN1547" i="10" s="1"/>
  <c r="EM1547" i="10" a="1"/>
  <c r="EM1547" i="10" s="1"/>
  <c r="EL1547" i="10" a="1"/>
  <c r="EL1547" i="10" s="1"/>
  <c r="EK1547" i="10" a="1"/>
  <c r="EK1547" i="10" s="1"/>
  <c r="EJ1547" i="10" a="1"/>
  <c r="EJ1547" i="10" s="1"/>
  <c r="EI1547" i="10" a="1"/>
  <c r="EI1547" i="10" s="1"/>
  <c r="EH1547" i="10" a="1"/>
  <c r="EH1547" i="10" s="1"/>
  <c r="EG1547" i="10" a="1"/>
  <c r="EG1547" i="10" s="1"/>
  <c r="EF1547" i="10" a="1"/>
  <c r="EF1547" i="10" s="1"/>
  <c r="EE1547" i="10" a="1"/>
  <c r="EE1547" i="10" s="1"/>
  <c r="ED1547" i="10" a="1"/>
  <c r="ED1547" i="10" s="1"/>
  <c r="EC1547" i="10" a="1"/>
  <c r="EC1547" i="10" s="1"/>
  <c r="EB1547" i="10" a="1"/>
  <c r="EB1547" i="10" s="1"/>
  <c r="EA1547" i="10" a="1"/>
  <c r="EA1547" i="10" s="1"/>
  <c r="DZ1547" i="10" a="1"/>
  <c r="DZ1547" i="10" s="1"/>
  <c r="DY1547" i="10" a="1"/>
  <c r="DY1547" i="10" s="1"/>
  <c r="DX1547" i="10" a="1"/>
  <c r="DX1547" i="10" s="1"/>
  <c r="DW1547" i="10" a="1"/>
  <c r="DW1547" i="10" s="1"/>
  <c r="DV1547" i="10" a="1"/>
  <c r="DV1547" i="10" s="1"/>
  <c r="DU1547" i="10" a="1"/>
  <c r="DU1547" i="10" s="1"/>
  <c r="DT1547" i="10" a="1"/>
  <c r="DT1547" i="10" s="1"/>
  <c r="DS1547" i="10" a="1"/>
  <c r="DS1547" i="10" s="1"/>
  <c r="DR1547" i="10" a="1"/>
  <c r="DR1547" i="10" s="1"/>
  <c r="DQ1547" i="10" a="1"/>
  <c r="DQ1547" i="10" s="1"/>
  <c r="DP1547" i="10" a="1"/>
  <c r="DP1547" i="10" s="1"/>
  <c r="DO1547" i="10" a="1"/>
  <c r="DO1547" i="10" s="1"/>
  <c r="DN1547" i="10" a="1"/>
  <c r="DN1547" i="10" s="1"/>
  <c r="DM1547" i="10" a="1"/>
  <c r="DM1547" i="10" s="1"/>
  <c r="DL1547" i="10" a="1"/>
  <c r="DL1547" i="10" s="1"/>
  <c r="DK1547" i="10" a="1"/>
  <c r="DK1547" i="10" s="1"/>
  <c r="DJ1547" i="10" a="1"/>
  <c r="DJ1547" i="10" s="1"/>
  <c r="DI1547" i="10" a="1"/>
  <c r="DI1547" i="10" s="1"/>
  <c r="DH1547" i="10" a="1"/>
  <c r="DH1547" i="10" s="1"/>
  <c r="DG1547" i="10" a="1"/>
  <c r="DG1547" i="10" s="1"/>
  <c r="DF1547" i="10" a="1"/>
  <c r="DF1547" i="10" s="1"/>
  <c r="DE1547" i="10" a="1"/>
  <c r="DE1547" i="10" s="1"/>
  <c r="DD1547" i="10" a="1"/>
  <c r="DD1547" i="10" s="1"/>
  <c r="DC1547" i="10" a="1"/>
  <c r="DC1547" i="10" s="1"/>
  <c r="DB1547" i="10" a="1"/>
  <c r="DB1547" i="10" s="1"/>
  <c r="DA1547" i="10" a="1"/>
  <c r="DA1547" i="10" s="1"/>
  <c r="CZ1547" i="10" a="1"/>
  <c r="CZ1547" i="10" s="1"/>
  <c r="CY1547" i="10" a="1"/>
  <c r="CY1547" i="10" s="1"/>
  <c r="CX1547" i="10" a="1"/>
  <c r="CX1547" i="10" s="1"/>
  <c r="CW1547" i="10" a="1"/>
  <c r="CW1547" i="10" s="1"/>
  <c r="CV1547" i="10" a="1"/>
  <c r="CV1547" i="10" s="1"/>
  <c r="CU1547" i="10" a="1"/>
  <c r="CU1547" i="10" s="1"/>
  <c r="CT1547" i="10" a="1"/>
  <c r="CT1547" i="10" s="1"/>
  <c r="CS1547" i="10" a="1"/>
  <c r="CS1547" i="10" s="1"/>
  <c r="CR1547" i="10" a="1"/>
  <c r="CR1547" i="10" s="1"/>
  <c r="CQ1547" i="10" a="1"/>
  <c r="CQ1547" i="10" s="1"/>
  <c r="CP1547" i="10" a="1"/>
  <c r="CP1547" i="10" s="1"/>
  <c r="CO1547" i="10" a="1"/>
  <c r="CO1547" i="10" s="1"/>
  <c r="CN1547" i="10" a="1"/>
  <c r="CN1547" i="10" s="1"/>
  <c r="CM1547" i="10" a="1"/>
  <c r="CM1547" i="10" s="1"/>
  <c r="CL1547" i="10" a="1"/>
  <c r="CL1547" i="10" s="1"/>
  <c r="CK1547" i="10" a="1"/>
  <c r="CK1547" i="10" s="1"/>
  <c r="CJ1547" i="10" a="1"/>
  <c r="CJ1547" i="10" s="1"/>
  <c r="CI1547" i="10" a="1"/>
  <c r="CI1547" i="10" s="1"/>
  <c r="CH1547" i="10" a="1"/>
  <c r="CH1547" i="10" s="1"/>
  <c r="CG1547" i="10" a="1"/>
  <c r="CG1547" i="10" s="1"/>
  <c r="CF1547" i="10" a="1"/>
  <c r="CF1547" i="10" s="1"/>
  <c r="CE1547" i="10" a="1"/>
  <c r="CE1547" i="10" s="1"/>
  <c r="CD1547" i="10" a="1"/>
  <c r="CD1547" i="10" s="1"/>
  <c r="CC1547" i="10" a="1"/>
  <c r="CC1547" i="10" s="1"/>
  <c r="CB1547" i="10" a="1"/>
  <c r="CB1547" i="10" s="1"/>
  <c r="CA1547" i="10" a="1"/>
  <c r="CA1547" i="10" s="1"/>
  <c r="BZ1547" i="10" a="1"/>
  <c r="BZ1547" i="10" s="1"/>
  <c r="BY1547" i="10" a="1"/>
  <c r="BY1547" i="10" s="1"/>
  <c r="BX1547" i="10" a="1"/>
  <c r="BX1547" i="10" s="1"/>
  <c r="BW1547" i="10" a="1"/>
  <c r="BW1547" i="10" s="1"/>
  <c r="BV1547" i="10" a="1"/>
  <c r="BV1547" i="10" s="1"/>
  <c r="BU1547" i="10" a="1"/>
  <c r="BU1547" i="10" s="1"/>
  <c r="BT1547" i="10" a="1"/>
  <c r="BT1547" i="10" s="1"/>
  <c r="BS1547" i="10" a="1"/>
  <c r="BS1547" i="10" s="1"/>
  <c r="BR1547" i="10" a="1"/>
  <c r="BR1547" i="10" s="1"/>
  <c r="BQ1547" i="10" a="1"/>
  <c r="BQ1547" i="10" s="1"/>
  <c r="BP1547" i="10" a="1"/>
  <c r="BP1547" i="10" s="1"/>
  <c r="BO1547" i="10" a="1"/>
  <c r="BO1547" i="10" s="1"/>
  <c r="BN1547" i="10" a="1"/>
  <c r="BN1547" i="10" s="1"/>
  <c r="BM1547" i="10" a="1"/>
  <c r="BM1547" i="10" s="1"/>
  <c r="BL1547" i="10" a="1"/>
  <c r="BL1547" i="10" s="1"/>
  <c r="BK1547" i="10" a="1"/>
  <c r="BK1547" i="10" s="1"/>
  <c r="BJ1547" i="10" a="1"/>
  <c r="BJ1547" i="10" s="1"/>
  <c r="BI1547" i="10" a="1"/>
  <c r="BI1547" i="10" s="1"/>
  <c r="BH1547" i="10" a="1"/>
  <c r="BH1547" i="10" s="1"/>
  <c r="BG1547" i="10" a="1"/>
  <c r="BG1547" i="10" s="1"/>
  <c r="BF1547" i="10" a="1"/>
  <c r="BF1547" i="10" s="1"/>
  <c r="BE1547" i="10" a="1"/>
  <c r="BE1547" i="10" s="1"/>
  <c r="BD1547" i="10" a="1"/>
  <c r="BD1547" i="10" s="1"/>
  <c r="BC1547" i="10" a="1"/>
  <c r="BC1547" i="10" s="1"/>
  <c r="BB1547" i="10" a="1"/>
  <c r="BB1547" i="10" s="1"/>
  <c r="BA1547" i="10" a="1"/>
  <c r="BA1547" i="10" s="1"/>
  <c r="AZ1547" i="10" a="1"/>
  <c r="AZ1547" i="10" s="1"/>
  <c r="AY1547" i="10" a="1"/>
  <c r="AY1547" i="10" s="1"/>
  <c r="AX1547" i="10" a="1"/>
  <c r="AX1547" i="10" s="1"/>
  <c r="AW1547" i="10" a="1"/>
  <c r="AW1547" i="10" s="1"/>
  <c r="AV1547" i="10" a="1"/>
  <c r="AV1547" i="10" s="1"/>
  <c r="AU1547" i="10" a="1"/>
  <c r="AU1547" i="10" s="1"/>
  <c r="AT1547" i="10" a="1"/>
  <c r="AT1547" i="10" s="1"/>
  <c r="AS1547" i="10" a="1"/>
  <c r="AS1547" i="10" s="1"/>
  <c r="AR1547" i="10" a="1"/>
  <c r="AR1547" i="10" s="1"/>
  <c r="AQ1547" i="10" a="1"/>
  <c r="AQ1547" i="10" s="1"/>
  <c r="AP1547" i="10" a="1"/>
  <c r="AP1547" i="10" s="1"/>
  <c r="AO1547" i="10" a="1"/>
  <c r="AO1547" i="10" s="1"/>
  <c r="AN1547" i="10" a="1"/>
  <c r="AN1547" i="10" s="1"/>
  <c r="AM1547" i="10" a="1"/>
  <c r="AM1547" i="10" s="1"/>
  <c r="AL1547" i="10" a="1"/>
  <c r="AL1547" i="10" s="1"/>
  <c r="Q25" i="9" s="1"/>
  <c r="AK1547" i="10" a="1"/>
  <c r="AK1547" i="10" s="1"/>
  <c r="AJ1547" i="10" a="1"/>
  <c r="AJ1547" i="10" s="1"/>
  <c r="AI1547" i="10" a="1"/>
  <c r="AI1547" i="10" s="1"/>
  <c r="AH1547" i="10" a="1"/>
  <c r="AH1547" i="10" s="1"/>
  <c r="AG1547" i="10" a="1"/>
  <c r="AG1547" i="10" s="1"/>
  <c r="AF1547" i="10" a="1"/>
  <c r="AF1547" i="10" s="1"/>
  <c r="AE1547" i="10" a="1"/>
  <c r="AE1547" i="10" s="1"/>
  <c r="AD1547" i="10" a="1"/>
  <c r="AD1547" i="10" s="1"/>
  <c r="AC1547" i="10" a="1"/>
  <c r="AC1547" i="10" s="1"/>
  <c r="AB1547" i="10" a="1"/>
  <c r="AB1547" i="10" s="1"/>
  <c r="AA1547" i="10" a="1"/>
  <c r="AA1547" i="10" s="1"/>
  <c r="Z1547" i="10" a="1"/>
  <c r="Z1547" i="10" s="1"/>
  <c r="Y1547" i="10" a="1"/>
  <c r="Y1547" i="10" s="1"/>
  <c r="X1547" i="10" a="1"/>
  <c r="X1547" i="10" s="1"/>
  <c r="W1547" i="10" a="1"/>
  <c r="W1547" i="10" s="1"/>
  <c r="V1547" i="10" a="1"/>
  <c r="V1547" i="10" s="1"/>
  <c r="U1547" i="10" a="1"/>
  <c r="U1547" i="10" s="1"/>
  <c r="T1547" i="10" a="1"/>
  <c r="T1547" i="10" s="1"/>
  <c r="S1547" i="10" a="1"/>
  <c r="S1547" i="10" s="1"/>
  <c r="R1547" i="10" a="1"/>
  <c r="R1547" i="10" s="1"/>
  <c r="Q1547" i="10" a="1"/>
  <c r="Q1547" i="10" s="1"/>
  <c r="P1547" i="10" a="1"/>
  <c r="P1547" i="10" s="1"/>
  <c r="AGN1546" i="10" a="1"/>
  <c r="AGN1546" i="10" s="1"/>
  <c r="AGM1546" i="10" a="1"/>
  <c r="AGM1546" i="10" s="1"/>
  <c r="AGL1546" i="10" a="1"/>
  <c r="AGL1546" i="10" s="1"/>
  <c r="AGK1546" i="10" a="1"/>
  <c r="AGK1546" i="10" s="1"/>
  <c r="AGJ1546" i="10" a="1"/>
  <c r="AGJ1546" i="10" s="1"/>
  <c r="AGI1546" i="10" a="1"/>
  <c r="AGI1546" i="10" s="1"/>
  <c r="AGH1546" i="10" a="1"/>
  <c r="AGH1546" i="10" s="1"/>
  <c r="AGG1546" i="10" a="1"/>
  <c r="AGG1546" i="10" s="1"/>
  <c r="AGF1546" i="10" a="1"/>
  <c r="AGF1546" i="10" s="1"/>
  <c r="AGE1546" i="10" a="1"/>
  <c r="AGE1546" i="10" s="1"/>
  <c r="AGD1546" i="10" a="1"/>
  <c r="AGD1546" i="10" s="1"/>
  <c r="AGC1546" i="10" a="1"/>
  <c r="AGC1546" i="10" s="1"/>
  <c r="AGB1546" i="10" a="1"/>
  <c r="AGB1546" i="10" s="1"/>
  <c r="AGA1546" i="10" a="1"/>
  <c r="AGA1546" i="10" s="1"/>
  <c r="AFZ1546" i="10" a="1"/>
  <c r="AFZ1546" i="10" s="1"/>
  <c r="AFY1546" i="10" a="1"/>
  <c r="AFY1546" i="10" s="1"/>
  <c r="AFX1546" i="10" a="1"/>
  <c r="AFX1546" i="10" s="1"/>
  <c r="AFW1546" i="10" a="1"/>
  <c r="AFW1546" i="10" s="1"/>
  <c r="AFV1546" i="10" a="1"/>
  <c r="AFV1546" i="10" s="1"/>
  <c r="AFU1546" i="10" a="1"/>
  <c r="AFU1546" i="10" s="1"/>
  <c r="AFT1546" i="10" a="1"/>
  <c r="AFT1546" i="10" s="1"/>
  <c r="AFS1546" i="10" a="1"/>
  <c r="AFS1546" i="10" s="1"/>
  <c r="AFR1546" i="10" a="1"/>
  <c r="AFR1546" i="10" s="1"/>
  <c r="AFQ1546" i="10" a="1"/>
  <c r="AFQ1546" i="10" s="1"/>
  <c r="AFP1546" i="10" a="1"/>
  <c r="AFP1546" i="10" s="1"/>
  <c r="AFO1546" i="10" a="1"/>
  <c r="AFO1546" i="10" s="1"/>
  <c r="AFN1546" i="10" a="1"/>
  <c r="AFN1546" i="10" s="1"/>
  <c r="AFM1546" i="10" a="1"/>
  <c r="AFM1546" i="10" s="1"/>
  <c r="AFL1546" i="10" a="1"/>
  <c r="AFL1546" i="10" s="1"/>
  <c r="AFK1546" i="10" a="1"/>
  <c r="AFK1546" i="10" s="1"/>
  <c r="AFJ1546" i="10" a="1"/>
  <c r="AFJ1546" i="10" s="1"/>
  <c r="AFI1546" i="10" a="1"/>
  <c r="AFI1546" i="10" s="1"/>
  <c r="AFH1546" i="10" a="1"/>
  <c r="AFH1546" i="10" s="1"/>
  <c r="AFG1546" i="10" a="1"/>
  <c r="AFG1546" i="10" s="1"/>
  <c r="AFF1546" i="10" a="1"/>
  <c r="AFF1546" i="10" s="1"/>
  <c r="AFE1546" i="10" a="1"/>
  <c r="AFE1546" i="10" s="1"/>
  <c r="AFD1546" i="10" a="1"/>
  <c r="AFD1546" i="10" s="1"/>
  <c r="AFC1546" i="10" a="1"/>
  <c r="AFC1546" i="10" s="1"/>
  <c r="AFB1546" i="10" a="1"/>
  <c r="AFB1546" i="10" s="1"/>
  <c r="AFA1546" i="10" a="1"/>
  <c r="AFA1546" i="10" s="1"/>
  <c r="AEZ1546" i="10" a="1"/>
  <c r="AEZ1546" i="10" s="1"/>
  <c r="AEY1546" i="10" a="1"/>
  <c r="AEY1546" i="10" s="1"/>
  <c r="AEX1546" i="10" a="1"/>
  <c r="AEX1546" i="10" s="1"/>
  <c r="AEW1546" i="10" a="1"/>
  <c r="AEW1546" i="10" s="1"/>
  <c r="AEV1546" i="10" a="1"/>
  <c r="AEV1546" i="10" s="1"/>
  <c r="AEU1546" i="10" a="1"/>
  <c r="AEU1546" i="10" s="1"/>
  <c r="AET1546" i="10" a="1"/>
  <c r="AET1546" i="10" s="1"/>
  <c r="AES1546" i="10" a="1"/>
  <c r="AES1546" i="10" s="1"/>
  <c r="AER1546" i="10" a="1"/>
  <c r="AER1546" i="10" s="1"/>
  <c r="AEQ1546" i="10" a="1"/>
  <c r="AEQ1546" i="10" s="1"/>
  <c r="AEP1546" i="10" a="1"/>
  <c r="AEP1546" i="10" s="1"/>
  <c r="AEO1546" i="10" a="1"/>
  <c r="AEO1546" i="10" s="1"/>
  <c r="AEN1546" i="10" a="1"/>
  <c r="AEN1546" i="10" s="1"/>
  <c r="AEM1546" i="10" a="1"/>
  <c r="AEM1546" i="10" s="1"/>
  <c r="AEL1546" i="10" a="1"/>
  <c r="AEL1546" i="10" s="1"/>
  <c r="AEK1546" i="10" a="1"/>
  <c r="AEK1546" i="10" s="1"/>
  <c r="AEJ1546" i="10" a="1"/>
  <c r="AEJ1546" i="10" s="1"/>
  <c r="AEI1546" i="10" a="1"/>
  <c r="AEI1546" i="10" s="1"/>
  <c r="AEH1546" i="10" a="1"/>
  <c r="AEH1546" i="10" s="1"/>
  <c r="AEG1546" i="10" a="1"/>
  <c r="AEG1546" i="10" s="1"/>
  <c r="AEF1546" i="10" a="1"/>
  <c r="AEF1546" i="10" s="1"/>
  <c r="AEE1546" i="10" a="1"/>
  <c r="AEE1546" i="10" s="1"/>
  <c r="AED1546" i="10" a="1"/>
  <c r="AED1546" i="10" s="1"/>
  <c r="AEC1546" i="10" a="1"/>
  <c r="AEC1546" i="10" s="1"/>
  <c r="AEB1546" i="10" a="1"/>
  <c r="AEB1546" i="10" s="1"/>
  <c r="AEA1546" i="10" a="1"/>
  <c r="AEA1546" i="10" s="1"/>
  <c r="ADZ1546" i="10" a="1"/>
  <c r="ADZ1546" i="10" s="1"/>
  <c r="ADY1546" i="10" a="1"/>
  <c r="ADY1546" i="10" s="1"/>
  <c r="ADX1546" i="10" a="1"/>
  <c r="ADX1546" i="10" s="1"/>
  <c r="ADW1546" i="10" a="1"/>
  <c r="ADW1546" i="10" s="1"/>
  <c r="ADV1546" i="10" a="1"/>
  <c r="ADV1546" i="10" s="1"/>
  <c r="ADU1546" i="10" a="1"/>
  <c r="ADU1546" i="10" s="1"/>
  <c r="ADT1546" i="10" a="1"/>
  <c r="ADT1546" i="10" s="1"/>
  <c r="ADS1546" i="10" a="1"/>
  <c r="ADS1546" i="10" s="1"/>
  <c r="ADR1546" i="10" a="1"/>
  <c r="ADR1546" i="10" s="1"/>
  <c r="ADQ1546" i="10" a="1"/>
  <c r="ADQ1546" i="10" s="1"/>
  <c r="ADP1546" i="10" a="1"/>
  <c r="ADP1546" i="10" s="1"/>
  <c r="ADO1546" i="10" a="1"/>
  <c r="ADO1546" i="10" s="1"/>
  <c r="ADN1546" i="10" a="1"/>
  <c r="ADN1546" i="10" s="1"/>
  <c r="ADM1546" i="10" a="1"/>
  <c r="ADM1546" i="10" s="1"/>
  <c r="ADL1546" i="10" a="1"/>
  <c r="ADL1546" i="10" s="1"/>
  <c r="ADK1546" i="10" a="1"/>
  <c r="ADK1546" i="10" s="1"/>
  <c r="ADJ1546" i="10" a="1"/>
  <c r="ADJ1546" i="10" s="1"/>
  <c r="ADI1546" i="10" a="1"/>
  <c r="ADI1546" i="10" s="1"/>
  <c r="ADH1546" i="10" a="1"/>
  <c r="ADH1546" i="10" s="1"/>
  <c r="ADG1546" i="10" a="1"/>
  <c r="ADG1546" i="10" s="1"/>
  <c r="ADF1546" i="10" a="1"/>
  <c r="ADF1546" i="10" s="1"/>
  <c r="ADE1546" i="10" a="1"/>
  <c r="ADE1546" i="10" s="1"/>
  <c r="ADD1546" i="10" a="1"/>
  <c r="ADD1546" i="10" s="1"/>
  <c r="ADC1546" i="10" a="1"/>
  <c r="ADC1546" i="10" s="1"/>
  <c r="ADB1546" i="10" a="1"/>
  <c r="ADB1546" i="10" s="1"/>
  <c r="ADA1546" i="10" a="1"/>
  <c r="ADA1546" i="10" s="1"/>
  <c r="ACZ1546" i="10" a="1"/>
  <c r="ACZ1546" i="10" s="1"/>
  <c r="ACY1546" i="10" a="1"/>
  <c r="ACY1546" i="10" s="1"/>
  <c r="ACX1546" i="10" a="1"/>
  <c r="ACX1546" i="10" s="1"/>
  <c r="ACW1546" i="10" a="1"/>
  <c r="ACW1546" i="10" s="1"/>
  <c r="ACV1546" i="10" a="1"/>
  <c r="ACV1546" i="10" s="1"/>
  <c r="ACU1546" i="10" a="1"/>
  <c r="ACU1546" i="10" s="1"/>
  <c r="ACT1546" i="10" a="1"/>
  <c r="ACT1546" i="10" s="1"/>
  <c r="ACS1546" i="10" a="1"/>
  <c r="ACS1546" i="10" s="1"/>
  <c r="ACR1546" i="10" a="1"/>
  <c r="ACR1546" i="10" s="1"/>
  <c r="ACQ1546" i="10" a="1"/>
  <c r="ACQ1546" i="10" s="1"/>
  <c r="ACP1546" i="10" a="1"/>
  <c r="ACP1546" i="10" s="1"/>
  <c r="ACO1546" i="10" a="1"/>
  <c r="ACO1546" i="10" s="1"/>
  <c r="ACN1546" i="10" a="1"/>
  <c r="ACN1546" i="10" s="1"/>
  <c r="ACM1546" i="10" a="1"/>
  <c r="ACM1546" i="10" s="1"/>
  <c r="ACL1546" i="10" a="1"/>
  <c r="ACL1546" i="10" s="1"/>
  <c r="ACK1546" i="10" a="1"/>
  <c r="ACK1546" i="10" s="1"/>
  <c r="ACJ1546" i="10" a="1"/>
  <c r="ACJ1546" i="10" s="1"/>
  <c r="ACI1546" i="10" a="1"/>
  <c r="ACI1546" i="10" s="1"/>
  <c r="ACH1546" i="10" a="1"/>
  <c r="ACH1546" i="10" s="1"/>
  <c r="ACG1546" i="10" a="1"/>
  <c r="ACG1546" i="10" s="1"/>
  <c r="ACF1546" i="10" a="1"/>
  <c r="ACF1546" i="10" s="1"/>
  <c r="ACE1546" i="10" a="1"/>
  <c r="ACE1546" i="10" s="1"/>
  <c r="ACD1546" i="10" a="1"/>
  <c r="ACD1546" i="10" s="1"/>
  <c r="ACC1546" i="10" a="1"/>
  <c r="ACC1546" i="10" s="1"/>
  <c r="ACB1546" i="10" a="1"/>
  <c r="ACB1546" i="10" s="1"/>
  <c r="ACA1546" i="10" a="1"/>
  <c r="ACA1546" i="10" s="1"/>
  <c r="ABZ1546" i="10" a="1"/>
  <c r="ABZ1546" i="10" s="1"/>
  <c r="ABY1546" i="10" a="1"/>
  <c r="ABY1546" i="10" s="1"/>
  <c r="ABX1546" i="10" a="1"/>
  <c r="ABX1546" i="10" s="1"/>
  <c r="ABW1546" i="10" a="1"/>
  <c r="ABW1546" i="10" s="1"/>
  <c r="ABV1546" i="10" a="1"/>
  <c r="ABV1546" i="10" s="1"/>
  <c r="ABU1546" i="10" a="1"/>
  <c r="ABU1546" i="10" s="1"/>
  <c r="ABT1546" i="10" a="1"/>
  <c r="ABT1546" i="10" s="1"/>
  <c r="ABS1546" i="10" a="1"/>
  <c r="ABS1546" i="10" s="1"/>
  <c r="ABR1546" i="10" a="1"/>
  <c r="ABR1546" i="10" s="1"/>
  <c r="ABQ1546" i="10" a="1"/>
  <c r="ABQ1546" i="10" s="1"/>
  <c r="ABP1546" i="10" a="1"/>
  <c r="ABP1546" i="10" s="1"/>
  <c r="ABO1546" i="10" a="1"/>
  <c r="ABO1546" i="10" s="1"/>
  <c r="ABN1546" i="10" a="1"/>
  <c r="ABN1546" i="10" s="1"/>
  <c r="ABM1546" i="10" a="1"/>
  <c r="ABM1546" i="10" s="1"/>
  <c r="ABL1546" i="10" a="1"/>
  <c r="ABL1546" i="10" s="1"/>
  <c r="ABK1546" i="10" a="1"/>
  <c r="ABK1546" i="10" s="1"/>
  <c r="ABJ1546" i="10" a="1"/>
  <c r="ABJ1546" i="10" s="1"/>
  <c r="ABI1546" i="10" a="1"/>
  <c r="ABI1546" i="10" s="1"/>
  <c r="ABH1546" i="10" a="1"/>
  <c r="ABH1546" i="10" s="1"/>
  <c r="ABG1546" i="10" a="1"/>
  <c r="ABG1546" i="10" s="1"/>
  <c r="ABF1546" i="10" a="1"/>
  <c r="ABF1546" i="10" s="1"/>
  <c r="ABE1546" i="10" a="1"/>
  <c r="ABE1546" i="10" s="1"/>
  <c r="ABD1546" i="10" a="1"/>
  <c r="ABD1546" i="10" s="1"/>
  <c r="ABC1546" i="10" a="1"/>
  <c r="ABC1546" i="10" s="1"/>
  <c r="ABB1546" i="10" a="1"/>
  <c r="ABB1546" i="10" s="1"/>
  <c r="ABA1546" i="10" a="1"/>
  <c r="ABA1546" i="10" s="1"/>
  <c r="AAZ1546" i="10" a="1"/>
  <c r="AAZ1546" i="10" s="1"/>
  <c r="AAY1546" i="10" a="1"/>
  <c r="AAY1546" i="10" s="1"/>
  <c r="AAX1546" i="10" a="1"/>
  <c r="AAX1546" i="10" s="1"/>
  <c r="AAW1546" i="10" a="1"/>
  <c r="AAW1546" i="10" s="1"/>
  <c r="AAV1546" i="10" a="1"/>
  <c r="AAV1546" i="10" s="1"/>
  <c r="AAU1546" i="10" a="1"/>
  <c r="AAU1546" i="10" s="1"/>
  <c r="AAT1546" i="10" a="1"/>
  <c r="AAT1546" i="10" s="1"/>
  <c r="AAS1546" i="10" a="1"/>
  <c r="AAS1546" i="10" s="1"/>
  <c r="AAR1546" i="10" a="1"/>
  <c r="AAR1546" i="10" s="1"/>
  <c r="AAQ1546" i="10" a="1"/>
  <c r="AAQ1546" i="10" s="1"/>
  <c r="AAP1546" i="10" a="1"/>
  <c r="AAP1546" i="10" s="1"/>
  <c r="AAO1546" i="10" a="1"/>
  <c r="AAO1546" i="10" s="1"/>
  <c r="AAN1546" i="10" a="1"/>
  <c r="AAN1546" i="10" s="1"/>
  <c r="AAM1546" i="10" a="1"/>
  <c r="AAM1546" i="10" s="1"/>
  <c r="AAL1546" i="10" a="1"/>
  <c r="AAL1546" i="10" s="1"/>
  <c r="AAK1546" i="10" a="1"/>
  <c r="AAK1546" i="10" s="1"/>
  <c r="AAJ1546" i="10" a="1"/>
  <c r="AAJ1546" i="10" s="1"/>
  <c r="AAI1546" i="10" a="1"/>
  <c r="AAI1546" i="10" s="1"/>
  <c r="AAH1546" i="10" a="1"/>
  <c r="AAH1546" i="10" s="1"/>
  <c r="AAG1546" i="10" a="1"/>
  <c r="AAG1546" i="10" s="1"/>
  <c r="AAF1546" i="10" a="1"/>
  <c r="AAF1546" i="10" s="1"/>
  <c r="AAE1546" i="10" a="1"/>
  <c r="AAE1546" i="10" s="1"/>
  <c r="AAD1546" i="10" a="1"/>
  <c r="AAD1546" i="10" s="1"/>
  <c r="AAC1546" i="10" a="1"/>
  <c r="AAC1546" i="10" s="1"/>
  <c r="AAB1546" i="10" a="1"/>
  <c r="AAB1546" i="10" s="1"/>
  <c r="AAA1546" i="10" a="1"/>
  <c r="AAA1546" i="10" s="1"/>
  <c r="ZZ1546" i="10" a="1"/>
  <c r="ZZ1546" i="10" s="1"/>
  <c r="ZY1546" i="10" a="1"/>
  <c r="ZY1546" i="10" s="1"/>
  <c r="ZX1546" i="10" a="1"/>
  <c r="ZX1546" i="10" s="1"/>
  <c r="ZW1546" i="10" a="1"/>
  <c r="ZW1546" i="10" s="1"/>
  <c r="ZV1546" i="10" a="1"/>
  <c r="ZV1546" i="10" s="1"/>
  <c r="ZU1546" i="10" a="1"/>
  <c r="ZU1546" i="10" s="1"/>
  <c r="ZT1546" i="10" a="1"/>
  <c r="ZT1546" i="10" s="1"/>
  <c r="ZS1546" i="10" a="1"/>
  <c r="ZS1546" i="10" s="1"/>
  <c r="ZR1546" i="10" a="1"/>
  <c r="ZR1546" i="10" s="1"/>
  <c r="ZQ1546" i="10" a="1"/>
  <c r="ZQ1546" i="10" s="1"/>
  <c r="ZP1546" i="10" a="1"/>
  <c r="ZP1546" i="10" s="1"/>
  <c r="ZO1546" i="10" a="1"/>
  <c r="ZO1546" i="10" s="1"/>
  <c r="ZN1546" i="10" a="1"/>
  <c r="ZN1546" i="10" s="1"/>
  <c r="ZM1546" i="10" a="1"/>
  <c r="ZM1546" i="10" s="1"/>
  <c r="ZL1546" i="10" a="1"/>
  <c r="ZL1546" i="10" s="1"/>
  <c r="ZK1546" i="10" a="1"/>
  <c r="ZK1546" i="10" s="1"/>
  <c r="ZJ1546" i="10" a="1"/>
  <c r="ZJ1546" i="10" s="1"/>
  <c r="ZI1546" i="10" a="1"/>
  <c r="ZI1546" i="10" s="1"/>
  <c r="ZH1546" i="10" a="1"/>
  <c r="ZH1546" i="10" s="1"/>
  <c r="ZG1546" i="10" a="1"/>
  <c r="ZG1546" i="10" s="1"/>
  <c r="ZF1546" i="10" a="1"/>
  <c r="ZF1546" i="10" s="1"/>
  <c r="ZE1546" i="10" a="1"/>
  <c r="ZE1546" i="10" s="1"/>
  <c r="ZD1546" i="10" a="1"/>
  <c r="ZD1546" i="10" s="1"/>
  <c r="ZC1546" i="10" a="1"/>
  <c r="ZC1546" i="10" s="1"/>
  <c r="ZB1546" i="10" a="1"/>
  <c r="ZB1546" i="10" s="1"/>
  <c r="ZA1546" i="10" a="1"/>
  <c r="ZA1546" i="10" s="1"/>
  <c r="YZ1546" i="10" a="1"/>
  <c r="YZ1546" i="10" s="1"/>
  <c r="YY1546" i="10" a="1"/>
  <c r="YY1546" i="10" s="1"/>
  <c r="YX1546" i="10" a="1"/>
  <c r="YX1546" i="10" s="1"/>
  <c r="YW1546" i="10" a="1"/>
  <c r="YW1546" i="10" s="1"/>
  <c r="YV1546" i="10" a="1"/>
  <c r="YV1546" i="10" s="1"/>
  <c r="YU1546" i="10" a="1"/>
  <c r="YU1546" i="10" s="1"/>
  <c r="YT1546" i="10" a="1"/>
  <c r="YT1546" i="10" s="1"/>
  <c r="YS1546" i="10" a="1"/>
  <c r="YS1546" i="10" s="1"/>
  <c r="YR1546" i="10" a="1"/>
  <c r="YR1546" i="10" s="1"/>
  <c r="YQ1546" i="10" a="1"/>
  <c r="YQ1546" i="10" s="1"/>
  <c r="YP1546" i="10" a="1"/>
  <c r="YP1546" i="10" s="1"/>
  <c r="YO1546" i="10" a="1"/>
  <c r="YO1546" i="10" s="1"/>
  <c r="YN1546" i="10" a="1"/>
  <c r="YN1546" i="10" s="1"/>
  <c r="YM1546" i="10" a="1"/>
  <c r="YM1546" i="10" s="1"/>
  <c r="YL1546" i="10" a="1"/>
  <c r="YL1546" i="10" s="1"/>
  <c r="YK1546" i="10" a="1"/>
  <c r="YK1546" i="10" s="1"/>
  <c r="YJ1546" i="10" a="1"/>
  <c r="YJ1546" i="10" s="1"/>
  <c r="YI1546" i="10" a="1"/>
  <c r="YI1546" i="10" s="1"/>
  <c r="YH1546" i="10" a="1"/>
  <c r="YH1546" i="10" s="1"/>
  <c r="YG1546" i="10" a="1"/>
  <c r="YG1546" i="10" s="1"/>
  <c r="YF1546" i="10" a="1"/>
  <c r="YF1546" i="10" s="1"/>
  <c r="YE1546" i="10" a="1"/>
  <c r="YE1546" i="10" s="1"/>
  <c r="YD1546" i="10" a="1"/>
  <c r="YD1546" i="10" s="1"/>
  <c r="YC1546" i="10" a="1"/>
  <c r="YC1546" i="10" s="1"/>
  <c r="YB1546" i="10" a="1"/>
  <c r="YB1546" i="10" s="1"/>
  <c r="YA1546" i="10" a="1"/>
  <c r="YA1546" i="10" s="1"/>
  <c r="XZ1546" i="10" a="1"/>
  <c r="XZ1546" i="10" s="1"/>
  <c r="XY1546" i="10" a="1"/>
  <c r="XY1546" i="10" s="1"/>
  <c r="XX1546" i="10" a="1"/>
  <c r="XX1546" i="10" s="1"/>
  <c r="XW1546" i="10" a="1"/>
  <c r="XW1546" i="10" s="1"/>
  <c r="XV1546" i="10" a="1"/>
  <c r="XV1546" i="10" s="1"/>
  <c r="XU1546" i="10" a="1"/>
  <c r="XU1546" i="10" s="1"/>
  <c r="XT1546" i="10" a="1"/>
  <c r="XT1546" i="10" s="1"/>
  <c r="XS1546" i="10" a="1"/>
  <c r="XS1546" i="10" s="1"/>
  <c r="XR1546" i="10" a="1"/>
  <c r="XR1546" i="10" s="1"/>
  <c r="XQ1546" i="10" a="1"/>
  <c r="XQ1546" i="10" s="1"/>
  <c r="XP1546" i="10" a="1"/>
  <c r="XP1546" i="10" s="1"/>
  <c r="XO1546" i="10" a="1"/>
  <c r="XO1546" i="10" s="1"/>
  <c r="XN1546" i="10" a="1"/>
  <c r="XN1546" i="10" s="1"/>
  <c r="XM1546" i="10" a="1"/>
  <c r="XM1546" i="10" s="1"/>
  <c r="XL1546" i="10" a="1"/>
  <c r="XL1546" i="10" s="1"/>
  <c r="XK1546" i="10" a="1"/>
  <c r="XK1546" i="10" s="1"/>
  <c r="XJ1546" i="10" a="1"/>
  <c r="XJ1546" i="10" s="1"/>
  <c r="XI1546" i="10" a="1"/>
  <c r="XI1546" i="10" s="1"/>
  <c r="XH1546" i="10" a="1"/>
  <c r="XH1546" i="10" s="1"/>
  <c r="XG1546" i="10" a="1"/>
  <c r="XG1546" i="10" s="1"/>
  <c r="XF1546" i="10" a="1"/>
  <c r="XF1546" i="10" s="1"/>
  <c r="XE1546" i="10" a="1"/>
  <c r="XE1546" i="10" s="1"/>
  <c r="XD1546" i="10" a="1"/>
  <c r="XD1546" i="10" s="1"/>
  <c r="XC1546" i="10" a="1"/>
  <c r="XC1546" i="10" s="1"/>
  <c r="XB1546" i="10" a="1"/>
  <c r="XB1546" i="10" s="1"/>
  <c r="XA1546" i="10" a="1"/>
  <c r="XA1546" i="10" s="1"/>
  <c r="WZ1546" i="10" a="1"/>
  <c r="WZ1546" i="10" s="1"/>
  <c r="WY1546" i="10" a="1"/>
  <c r="WY1546" i="10" s="1"/>
  <c r="WX1546" i="10" a="1"/>
  <c r="WX1546" i="10" s="1"/>
  <c r="WW1546" i="10" a="1"/>
  <c r="WW1546" i="10" s="1"/>
  <c r="WV1546" i="10" a="1"/>
  <c r="WV1546" i="10" s="1"/>
  <c r="WU1546" i="10" a="1"/>
  <c r="WU1546" i="10" s="1"/>
  <c r="WT1546" i="10" a="1"/>
  <c r="WT1546" i="10" s="1"/>
  <c r="WS1546" i="10" a="1"/>
  <c r="WS1546" i="10" s="1"/>
  <c r="WR1546" i="10" a="1"/>
  <c r="WR1546" i="10" s="1"/>
  <c r="WQ1546" i="10" a="1"/>
  <c r="WQ1546" i="10" s="1"/>
  <c r="WP1546" i="10" a="1"/>
  <c r="WP1546" i="10" s="1"/>
  <c r="WO1546" i="10" a="1"/>
  <c r="WO1546" i="10" s="1"/>
  <c r="WN1546" i="10" a="1"/>
  <c r="WN1546" i="10" s="1"/>
  <c r="WM1546" i="10" a="1"/>
  <c r="WM1546" i="10" s="1"/>
  <c r="WL1546" i="10" a="1"/>
  <c r="WL1546" i="10" s="1"/>
  <c r="WK1546" i="10" a="1"/>
  <c r="WK1546" i="10" s="1"/>
  <c r="WJ1546" i="10" a="1"/>
  <c r="WJ1546" i="10" s="1"/>
  <c r="WI1546" i="10" a="1"/>
  <c r="WI1546" i="10" s="1"/>
  <c r="WH1546" i="10" a="1"/>
  <c r="WH1546" i="10" s="1"/>
  <c r="WG1546" i="10" a="1"/>
  <c r="WG1546" i="10" s="1"/>
  <c r="WF1546" i="10" a="1"/>
  <c r="WF1546" i="10" s="1"/>
  <c r="WE1546" i="10" a="1"/>
  <c r="WE1546" i="10" s="1"/>
  <c r="WD1546" i="10" a="1"/>
  <c r="WD1546" i="10" s="1"/>
  <c r="WC1546" i="10" a="1"/>
  <c r="WC1546" i="10" s="1"/>
  <c r="WB1546" i="10" a="1"/>
  <c r="WB1546" i="10" s="1"/>
  <c r="WA1546" i="10" a="1"/>
  <c r="WA1546" i="10" s="1"/>
  <c r="VZ1546" i="10" a="1"/>
  <c r="VZ1546" i="10" s="1"/>
  <c r="VY1546" i="10" a="1"/>
  <c r="VY1546" i="10" s="1"/>
  <c r="VX1546" i="10" a="1"/>
  <c r="VX1546" i="10" s="1"/>
  <c r="VW1546" i="10" a="1"/>
  <c r="VW1546" i="10" s="1"/>
  <c r="VV1546" i="10" a="1"/>
  <c r="VV1546" i="10" s="1"/>
  <c r="VU1546" i="10" a="1"/>
  <c r="VU1546" i="10" s="1"/>
  <c r="VT1546" i="10" a="1"/>
  <c r="VT1546" i="10" s="1"/>
  <c r="VS1546" i="10" a="1"/>
  <c r="VS1546" i="10" s="1"/>
  <c r="VR1546" i="10" a="1"/>
  <c r="VR1546" i="10" s="1"/>
  <c r="VQ1546" i="10" a="1"/>
  <c r="VQ1546" i="10" s="1"/>
  <c r="VP1546" i="10" a="1"/>
  <c r="VP1546" i="10" s="1"/>
  <c r="VO1546" i="10" a="1"/>
  <c r="VO1546" i="10" s="1"/>
  <c r="VN1546" i="10" a="1"/>
  <c r="VN1546" i="10" s="1"/>
  <c r="VM1546" i="10" a="1"/>
  <c r="VM1546" i="10" s="1"/>
  <c r="VL1546" i="10" a="1"/>
  <c r="VL1546" i="10" s="1"/>
  <c r="VK1546" i="10" a="1"/>
  <c r="VK1546" i="10" s="1"/>
  <c r="VJ1546" i="10" a="1"/>
  <c r="VJ1546" i="10" s="1"/>
  <c r="VI1546" i="10" a="1"/>
  <c r="VI1546" i="10" s="1"/>
  <c r="VH1546" i="10" a="1"/>
  <c r="VH1546" i="10" s="1"/>
  <c r="VG1546" i="10" a="1"/>
  <c r="VG1546" i="10" s="1"/>
  <c r="VF1546" i="10" a="1"/>
  <c r="VF1546" i="10" s="1"/>
  <c r="VE1546" i="10" a="1"/>
  <c r="VE1546" i="10" s="1"/>
  <c r="VD1546" i="10" a="1"/>
  <c r="VD1546" i="10" s="1"/>
  <c r="VC1546" i="10" a="1"/>
  <c r="VC1546" i="10" s="1"/>
  <c r="VB1546" i="10" a="1"/>
  <c r="VB1546" i="10" s="1"/>
  <c r="VA1546" i="10" a="1"/>
  <c r="VA1546" i="10" s="1"/>
  <c r="UZ1546" i="10" a="1"/>
  <c r="UZ1546" i="10" s="1"/>
  <c r="UY1546" i="10" a="1"/>
  <c r="UY1546" i="10" s="1"/>
  <c r="UX1546" i="10" a="1"/>
  <c r="UX1546" i="10" s="1"/>
  <c r="UW1546" i="10" a="1"/>
  <c r="UW1546" i="10" s="1"/>
  <c r="UV1546" i="10" a="1"/>
  <c r="UV1546" i="10" s="1"/>
  <c r="UU1546" i="10" a="1"/>
  <c r="UU1546" i="10" s="1"/>
  <c r="UT1546" i="10" a="1"/>
  <c r="UT1546" i="10" s="1"/>
  <c r="US1546" i="10" a="1"/>
  <c r="US1546" i="10" s="1"/>
  <c r="UR1546" i="10" a="1"/>
  <c r="UR1546" i="10" s="1"/>
  <c r="UQ1546" i="10" a="1"/>
  <c r="UQ1546" i="10" s="1"/>
  <c r="UP1546" i="10" a="1"/>
  <c r="UP1546" i="10" s="1"/>
  <c r="UO1546" i="10" a="1"/>
  <c r="UO1546" i="10" s="1"/>
  <c r="UN1546" i="10" a="1"/>
  <c r="UN1546" i="10" s="1"/>
  <c r="UM1546" i="10" a="1"/>
  <c r="UM1546" i="10" s="1"/>
  <c r="UL1546" i="10" a="1"/>
  <c r="UL1546" i="10" s="1"/>
  <c r="UK1546" i="10" a="1"/>
  <c r="UK1546" i="10" s="1"/>
  <c r="UJ1546" i="10" a="1"/>
  <c r="UJ1546" i="10" s="1"/>
  <c r="UI1546" i="10" a="1"/>
  <c r="UI1546" i="10" s="1"/>
  <c r="UH1546" i="10" a="1"/>
  <c r="UH1546" i="10" s="1"/>
  <c r="UG1546" i="10" a="1"/>
  <c r="UG1546" i="10" s="1"/>
  <c r="UF1546" i="10" a="1"/>
  <c r="UF1546" i="10" s="1"/>
  <c r="UE1546" i="10" a="1"/>
  <c r="UE1546" i="10" s="1"/>
  <c r="UD1546" i="10" a="1"/>
  <c r="UD1546" i="10" s="1"/>
  <c r="UC1546" i="10" a="1"/>
  <c r="UC1546" i="10" s="1"/>
  <c r="UB1546" i="10" a="1"/>
  <c r="UB1546" i="10" s="1"/>
  <c r="UA1546" i="10" a="1"/>
  <c r="UA1546" i="10" s="1"/>
  <c r="TZ1546" i="10" a="1"/>
  <c r="TZ1546" i="10" s="1"/>
  <c r="TY1546" i="10" a="1"/>
  <c r="TY1546" i="10" s="1"/>
  <c r="TX1546" i="10" a="1"/>
  <c r="TX1546" i="10" s="1"/>
  <c r="TW1546" i="10" a="1"/>
  <c r="TW1546" i="10" s="1"/>
  <c r="TV1546" i="10" a="1"/>
  <c r="TV1546" i="10" s="1"/>
  <c r="TU1546" i="10" a="1"/>
  <c r="TU1546" i="10" s="1"/>
  <c r="TT1546" i="10" a="1"/>
  <c r="TT1546" i="10" s="1"/>
  <c r="TS1546" i="10" a="1"/>
  <c r="TS1546" i="10" s="1"/>
  <c r="TR1546" i="10" a="1"/>
  <c r="TR1546" i="10" s="1"/>
  <c r="TQ1546" i="10" a="1"/>
  <c r="TQ1546" i="10" s="1"/>
  <c r="TP1546" i="10" a="1"/>
  <c r="TP1546" i="10" s="1"/>
  <c r="TO1546" i="10" a="1"/>
  <c r="TO1546" i="10" s="1"/>
  <c r="TN1546" i="10" a="1"/>
  <c r="TN1546" i="10" s="1"/>
  <c r="TM1546" i="10" a="1"/>
  <c r="TM1546" i="10" s="1"/>
  <c r="TL1546" i="10" a="1"/>
  <c r="TL1546" i="10" s="1"/>
  <c r="TK1546" i="10" a="1"/>
  <c r="TK1546" i="10" s="1"/>
  <c r="TJ1546" i="10" a="1"/>
  <c r="TJ1546" i="10" s="1"/>
  <c r="TI1546" i="10" a="1"/>
  <c r="TI1546" i="10" s="1"/>
  <c r="TH1546" i="10" a="1"/>
  <c r="TH1546" i="10" s="1"/>
  <c r="TG1546" i="10" a="1"/>
  <c r="TG1546" i="10" s="1"/>
  <c r="TF1546" i="10" a="1"/>
  <c r="TF1546" i="10" s="1"/>
  <c r="TE1546" i="10" a="1"/>
  <c r="TE1546" i="10" s="1"/>
  <c r="TD1546" i="10" a="1"/>
  <c r="TD1546" i="10" s="1"/>
  <c r="TC1546" i="10" a="1"/>
  <c r="TC1546" i="10" s="1"/>
  <c r="TB1546" i="10" a="1"/>
  <c r="TB1546" i="10" s="1"/>
  <c r="TA1546" i="10" a="1"/>
  <c r="TA1546" i="10" s="1"/>
  <c r="SZ1546" i="10" a="1"/>
  <c r="SZ1546" i="10" s="1"/>
  <c r="SY1546" i="10" a="1"/>
  <c r="SY1546" i="10" s="1"/>
  <c r="SX1546" i="10" a="1"/>
  <c r="SX1546" i="10" s="1"/>
  <c r="SW1546" i="10" a="1"/>
  <c r="SW1546" i="10" s="1"/>
  <c r="SV1546" i="10" a="1"/>
  <c r="SV1546" i="10" s="1"/>
  <c r="SU1546" i="10" a="1"/>
  <c r="SU1546" i="10" s="1"/>
  <c r="ST1546" i="10" a="1"/>
  <c r="ST1546" i="10" s="1"/>
  <c r="SS1546" i="10" a="1"/>
  <c r="SS1546" i="10" s="1"/>
  <c r="SR1546" i="10" a="1"/>
  <c r="SR1546" i="10" s="1"/>
  <c r="SQ1546" i="10" a="1"/>
  <c r="SQ1546" i="10" s="1"/>
  <c r="SP1546" i="10" a="1"/>
  <c r="SP1546" i="10" s="1"/>
  <c r="SO1546" i="10" a="1"/>
  <c r="SO1546" i="10" s="1"/>
  <c r="SN1546" i="10" a="1"/>
  <c r="SN1546" i="10" s="1"/>
  <c r="SM1546" i="10" a="1"/>
  <c r="SM1546" i="10" s="1"/>
  <c r="SL1546" i="10" a="1"/>
  <c r="SL1546" i="10" s="1"/>
  <c r="SK1546" i="10" a="1"/>
  <c r="SK1546" i="10" s="1"/>
  <c r="SJ1546" i="10" a="1"/>
  <c r="SJ1546" i="10" s="1"/>
  <c r="SI1546" i="10" a="1"/>
  <c r="SI1546" i="10" s="1"/>
  <c r="SH1546" i="10" a="1"/>
  <c r="SH1546" i="10" s="1"/>
  <c r="SG1546" i="10" a="1"/>
  <c r="SG1546" i="10" s="1"/>
  <c r="SF1546" i="10" a="1"/>
  <c r="SF1546" i="10" s="1"/>
  <c r="SE1546" i="10" a="1"/>
  <c r="SE1546" i="10" s="1"/>
  <c r="SD1546" i="10" a="1"/>
  <c r="SD1546" i="10" s="1"/>
  <c r="SC1546" i="10" a="1"/>
  <c r="SC1546" i="10" s="1"/>
  <c r="SB1546" i="10" a="1"/>
  <c r="SB1546" i="10" s="1"/>
  <c r="SA1546" i="10" a="1"/>
  <c r="SA1546" i="10" s="1"/>
  <c r="RZ1546" i="10" a="1"/>
  <c r="RZ1546" i="10" s="1"/>
  <c r="RY1546" i="10" a="1"/>
  <c r="RY1546" i="10" s="1"/>
  <c r="RX1546" i="10" a="1"/>
  <c r="RX1546" i="10" s="1"/>
  <c r="RW1546" i="10" a="1"/>
  <c r="RW1546" i="10" s="1"/>
  <c r="RV1546" i="10" a="1"/>
  <c r="RV1546" i="10" s="1"/>
  <c r="RU1546" i="10" a="1"/>
  <c r="RU1546" i="10" s="1"/>
  <c r="RT1546" i="10" a="1"/>
  <c r="RT1546" i="10" s="1"/>
  <c r="RS1546" i="10" a="1"/>
  <c r="RS1546" i="10" s="1"/>
  <c r="RR1546" i="10" a="1"/>
  <c r="RR1546" i="10" s="1"/>
  <c r="RQ1546" i="10" a="1"/>
  <c r="RQ1546" i="10" s="1"/>
  <c r="RP1546" i="10" a="1"/>
  <c r="RP1546" i="10" s="1"/>
  <c r="RO1546" i="10" a="1"/>
  <c r="RO1546" i="10" s="1"/>
  <c r="RN1546" i="10" a="1"/>
  <c r="RN1546" i="10" s="1"/>
  <c r="RM1546" i="10" a="1"/>
  <c r="RM1546" i="10" s="1"/>
  <c r="RL1546" i="10" a="1"/>
  <c r="RL1546" i="10" s="1"/>
  <c r="RK1546" i="10" a="1"/>
  <c r="RK1546" i="10" s="1"/>
  <c r="RJ1546" i="10" a="1"/>
  <c r="RJ1546" i="10" s="1"/>
  <c r="RI1546" i="10" a="1"/>
  <c r="RI1546" i="10" s="1"/>
  <c r="RH1546" i="10" a="1"/>
  <c r="RH1546" i="10" s="1"/>
  <c r="RG1546" i="10" a="1"/>
  <c r="RG1546" i="10" s="1"/>
  <c r="RF1546" i="10" a="1"/>
  <c r="RF1546" i="10" s="1"/>
  <c r="RE1546" i="10" a="1"/>
  <c r="RE1546" i="10" s="1"/>
  <c r="RD1546" i="10" a="1"/>
  <c r="RD1546" i="10" s="1"/>
  <c r="RC1546" i="10" a="1"/>
  <c r="RC1546" i="10" s="1"/>
  <c r="RB1546" i="10" a="1"/>
  <c r="RB1546" i="10" s="1"/>
  <c r="RA1546" i="10" a="1"/>
  <c r="RA1546" i="10" s="1"/>
  <c r="QZ1546" i="10" a="1"/>
  <c r="QZ1546" i="10" s="1"/>
  <c r="QY1546" i="10" a="1"/>
  <c r="QY1546" i="10" s="1"/>
  <c r="QX1546" i="10" a="1"/>
  <c r="QX1546" i="10" s="1"/>
  <c r="QW1546" i="10" a="1"/>
  <c r="QW1546" i="10" s="1"/>
  <c r="QV1546" i="10" a="1"/>
  <c r="QV1546" i="10" s="1"/>
  <c r="QU1546" i="10" a="1"/>
  <c r="QU1546" i="10" s="1"/>
  <c r="QT1546" i="10" a="1"/>
  <c r="QT1546" i="10" s="1"/>
  <c r="QS1546" i="10" a="1"/>
  <c r="QS1546" i="10" s="1"/>
  <c r="QR1546" i="10" a="1"/>
  <c r="QR1546" i="10" s="1"/>
  <c r="QQ1546" i="10" a="1"/>
  <c r="QQ1546" i="10" s="1"/>
  <c r="QP1546" i="10" a="1"/>
  <c r="QP1546" i="10" s="1"/>
  <c r="QO1546" i="10" a="1"/>
  <c r="QO1546" i="10" s="1"/>
  <c r="QN1546" i="10" a="1"/>
  <c r="QN1546" i="10" s="1"/>
  <c r="QM1546" i="10" a="1"/>
  <c r="QM1546" i="10" s="1"/>
  <c r="QL1546" i="10" a="1"/>
  <c r="QL1546" i="10" s="1"/>
  <c r="QK1546" i="10" a="1"/>
  <c r="QK1546" i="10" s="1"/>
  <c r="QJ1546" i="10" a="1"/>
  <c r="QJ1546" i="10" s="1"/>
  <c r="QI1546" i="10" a="1"/>
  <c r="QI1546" i="10" s="1"/>
  <c r="QH1546" i="10" a="1"/>
  <c r="QH1546" i="10" s="1"/>
  <c r="QG1546" i="10" a="1"/>
  <c r="QG1546" i="10" s="1"/>
  <c r="QF1546" i="10" a="1"/>
  <c r="QF1546" i="10" s="1"/>
  <c r="QE1546" i="10" a="1"/>
  <c r="QE1546" i="10" s="1"/>
  <c r="QD1546" i="10" a="1"/>
  <c r="QD1546" i="10" s="1"/>
  <c r="QC1546" i="10" a="1"/>
  <c r="QC1546" i="10" s="1"/>
  <c r="QB1546" i="10" a="1"/>
  <c r="QB1546" i="10" s="1"/>
  <c r="QA1546" i="10" a="1"/>
  <c r="QA1546" i="10" s="1"/>
  <c r="PZ1546" i="10" a="1"/>
  <c r="PZ1546" i="10" s="1"/>
  <c r="PY1546" i="10" a="1"/>
  <c r="PY1546" i="10" s="1"/>
  <c r="PX1546" i="10" a="1"/>
  <c r="PX1546" i="10" s="1"/>
  <c r="PW1546" i="10" a="1"/>
  <c r="PW1546" i="10" s="1"/>
  <c r="PV1546" i="10" a="1"/>
  <c r="PV1546" i="10" s="1"/>
  <c r="PU1546" i="10" a="1"/>
  <c r="PU1546" i="10" s="1"/>
  <c r="PT1546" i="10" a="1"/>
  <c r="PT1546" i="10" s="1"/>
  <c r="PS1546" i="10" a="1"/>
  <c r="PS1546" i="10" s="1"/>
  <c r="PR1546" i="10" a="1"/>
  <c r="PR1546" i="10" s="1"/>
  <c r="PQ1546" i="10" a="1"/>
  <c r="PQ1546" i="10" s="1"/>
  <c r="PP1546" i="10" a="1"/>
  <c r="PP1546" i="10" s="1"/>
  <c r="PO1546" i="10" a="1"/>
  <c r="PO1546" i="10" s="1"/>
  <c r="PN1546" i="10" a="1"/>
  <c r="PN1546" i="10" s="1"/>
  <c r="PM1546" i="10" a="1"/>
  <c r="PM1546" i="10" s="1"/>
  <c r="PL1546" i="10" a="1"/>
  <c r="PL1546" i="10" s="1"/>
  <c r="PK1546" i="10" a="1"/>
  <c r="PK1546" i="10" s="1"/>
  <c r="PJ1546" i="10" a="1"/>
  <c r="PJ1546" i="10" s="1"/>
  <c r="PI1546" i="10" a="1"/>
  <c r="PI1546" i="10" s="1"/>
  <c r="PH1546" i="10" a="1"/>
  <c r="PH1546" i="10" s="1"/>
  <c r="PG1546" i="10" a="1"/>
  <c r="PG1546" i="10" s="1"/>
  <c r="PF1546" i="10" a="1"/>
  <c r="PF1546" i="10" s="1"/>
  <c r="PE1546" i="10" a="1"/>
  <c r="PE1546" i="10" s="1"/>
  <c r="PD1546" i="10" a="1"/>
  <c r="PD1546" i="10" s="1"/>
  <c r="PC1546" i="10" a="1"/>
  <c r="PC1546" i="10" s="1"/>
  <c r="PB1546" i="10" a="1"/>
  <c r="PB1546" i="10" s="1"/>
  <c r="PA1546" i="10" a="1"/>
  <c r="PA1546" i="10" s="1"/>
  <c r="OZ1546" i="10" a="1"/>
  <c r="OZ1546" i="10" s="1"/>
  <c r="OY1546" i="10" a="1"/>
  <c r="OY1546" i="10" s="1"/>
  <c r="OX1546" i="10" a="1"/>
  <c r="OX1546" i="10" s="1"/>
  <c r="OW1546" i="10" a="1"/>
  <c r="OW1546" i="10" s="1"/>
  <c r="OV1546" i="10" a="1"/>
  <c r="OV1546" i="10" s="1"/>
  <c r="OU1546" i="10" a="1"/>
  <c r="OU1546" i="10" s="1"/>
  <c r="OT1546" i="10" a="1"/>
  <c r="OT1546" i="10" s="1"/>
  <c r="OS1546" i="10" a="1"/>
  <c r="OS1546" i="10" s="1"/>
  <c r="OR1546" i="10" a="1"/>
  <c r="OR1546" i="10" s="1"/>
  <c r="OQ1546" i="10" a="1"/>
  <c r="OQ1546" i="10" s="1"/>
  <c r="OP1546" i="10" a="1"/>
  <c r="OP1546" i="10" s="1"/>
  <c r="OO1546" i="10" a="1"/>
  <c r="OO1546" i="10" s="1"/>
  <c r="ON1546" i="10" a="1"/>
  <c r="ON1546" i="10" s="1"/>
  <c r="OM1546" i="10" a="1"/>
  <c r="OM1546" i="10" s="1"/>
  <c r="OL1546" i="10" a="1"/>
  <c r="OL1546" i="10" s="1"/>
  <c r="OK1546" i="10" a="1"/>
  <c r="OK1546" i="10" s="1"/>
  <c r="OJ1546" i="10" a="1"/>
  <c r="OJ1546" i="10" s="1"/>
  <c r="OI1546" i="10" a="1"/>
  <c r="OI1546" i="10" s="1"/>
  <c r="OH1546" i="10" a="1"/>
  <c r="OH1546" i="10" s="1"/>
  <c r="OG1546" i="10" a="1"/>
  <c r="OG1546" i="10" s="1"/>
  <c r="OF1546" i="10" a="1"/>
  <c r="OF1546" i="10" s="1"/>
  <c r="OE1546" i="10" a="1"/>
  <c r="OE1546" i="10" s="1"/>
  <c r="OD1546" i="10" a="1"/>
  <c r="OD1546" i="10" s="1"/>
  <c r="OC1546" i="10" a="1"/>
  <c r="OC1546" i="10" s="1"/>
  <c r="OB1546" i="10" a="1"/>
  <c r="OB1546" i="10" s="1"/>
  <c r="OA1546" i="10" a="1"/>
  <c r="OA1546" i="10" s="1"/>
  <c r="NZ1546" i="10" a="1"/>
  <c r="NZ1546" i="10" s="1"/>
  <c r="NY1546" i="10" a="1"/>
  <c r="NY1546" i="10" s="1"/>
  <c r="NX1546" i="10" a="1"/>
  <c r="NX1546" i="10" s="1"/>
  <c r="NW1546" i="10" a="1"/>
  <c r="NW1546" i="10" s="1"/>
  <c r="NV1546" i="10" a="1"/>
  <c r="NV1546" i="10" s="1"/>
  <c r="NU1546" i="10" a="1"/>
  <c r="NU1546" i="10" s="1"/>
  <c r="NT1546" i="10" a="1"/>
  <c r="NT1546" i="10" s="1"/>
  <c r="NS1546" i="10" a="1"/>
  <c r="NS1546" i="10" s="1"/>
  <c r="NR1546" i="10" a="1"/>
  <c r="NR1546" i="10" s="1"/>
  <c r="NQ1546" i="10" a="1"/>
  <c r="NQ1546" i="10" s="1"/>
  <c r="NP1546" i="10" a="1"/>
  <c r="NP1546" i="10" s="1"/>
  <c r="NO1546" i="10" a="1"/>
  <c r="NO1546" i="10" s="1"/>
  <c r="NN1546" i="10" a="1"/>
  <c r="NN1546" i="10" s="1"/>
  <c r="NM1546" i="10" a="1"/>
  <c r="NM1546" i="10" s="1"/>
  <c r="NL1546" i="10" a="1"/>
  <c r="NL1546" i="10" s="1"/>
  <c r="NK1546" i="10" a="1"/>
  <c r="NK1546" i="10" s="1"/>
  <c r="NJ1546" i="10" a="1"/>
  <c r="NJ1546" i="10" s="1"/>
  <c r="NI1546" i="10" a="1"/>
  <c r="NI1546" i="10" s="1"/>
  <c r="NH1546" i="10" a="1"/>
  <c r="NH1546" i="10" s="1"/>
  <c r="NG1546" i="10" a="1"/>
  <c r="NG1546" i="10" s="1"/>
  <c r="NF1546" i="10" a="1"/>
  <c r="NF1546" i="10" s="1"/>
  <c r="NE1546" i="10" a="1"/>
  <c r="NE1546" i="10" s="1"/>
  <c r="ND1546" i="10" a="1"/>
  <c r="ND1546" i="10" s="1"/>
  <c r="NC1546" i="10" a="1"/>
  <c r="NC1546" i="10" s="1"/>
  <c r="NB1546" i="10" a="1"/>
  <c r="NB1546" i="10" s="1"/>
  <c r="NA1546" i="10" a="1"/>
  <c r="NA1546" i="10" s="1"/>
  <c r="MZ1546" i="10" a="1"/>
  <c r="MZ1546" i="10" s="1"/>
  <c r="MY1546" i="10" a="1"/>
  <c r="MY1546" i="10" s="1"/>
  <c r="MX1546" i="10" a="1"/>
  <c r="MX1546" i="10" s="1"/>
  <c r="MW1546" i="10" a="1"/>
  <c r="MW1546" i="10" s="1"/>
  <c r="MV1546" i="10" a="1"/>
  <c r="MV1546" i="10" s="1"/>
  <c r="MU1546" i="10" a="1"/>
  <c r="MU1546" i="10" s="1"/>
  <c r="MT1546" i="10" a="1"/>
  <c r="MT1546" i="10" s="1"/>
  <c r="MS1546" i="10" a="1"/>
  <c r="MS1546" i="10" s="1"/>
  <c r="MR1546" i="10" a="1"/>
  <c r="MR1546" i="10" s="1"/>
  <c r="MQ1546" i="10" a="1"/>
  <c r="MQ1546" i="10" s="1"/>
  <c r="MP1546" i="10" a="1"/>
  <c r="MP1546" i="10" s="1"/>
  <c r="MO1546" i="10" a="1"/>
  <c r="MO1546" i="10" s="1"/>
  <c r="MN1546" i="10" a="1"/>
  <c r="MN1546" i="10" s="1"/>
  <c r="MM1546" i="10" a="1"/>
  <c r="MM1546" i="10" s="1"/>
  <c r="ML1546" i="10" a="1"/>
  <c r="ML1546" i="10" s="1"/>
  <c r="MK1546" i="10" a="1"/>
  <c r="MK1546" i="10" s="1"/>
  <c r="MJ1546" i="10" a="1"/>
  <c r="MJ1546" i="10" s="1"/>
  <c r="MI1546" i="10" a="1"/>
  <c r="MI1546" i="10" s="1"/>
  <c r="MH1546" i="10" a="1"/>
  <c r="MH1546" i="10" s="1"/>
  <c r="MG1546" i="10" a="1"/>
  <c r="MG1546" i="10" s="1"/>
  <c r="MF1546" i="10" a="1"/>
  <c r="MF1546" i="10" s="1"/>
  <c r="ME1546" i="10" a="1"/>
  <c r="ME1546" i="10" s="1"/>
  <c r="MD1546" i="10" a="1"/>
  <c r="MD1546" i="10" s="1"/>
  <c r="MC1546" i="10" a="1"/>
  <c r="MC1546" i="10" s="1"/>
  <c r="MB1546" i="10" a="1"/>
  <c r="MB1546" i="10" s="1"/>
  <c r="MA1546" i="10" a="1"/>
  <c r="MA1546" i="10" s="1"/>
  <c r="LZ1546" i="10" a="1"/>
  <c r="LZ1546" i="10" s="1"/>
  <c r="LY1546" i="10" a="1"/>
  <c r="LY1546" i="10" s="1"/>
  <c r="LX1546" i="10" a="1"/>
  <c r="LX1546" i="10" s="1"/>
  <c r="LW1546" i="10" a="1"/>
  <c r="LW1546" i="10" s="1"/>
  <c r="LV1546" i="10" a="1"/>
  <c r="LV1546" i="10" s="1"/>
  <c r="LU1546" i="10" a="1"/>
  <c r="LU1546" i="10" s="1"/>
  <c r="LT1546" i="10" a="1"/>
  <c r="LT1546" i="10" s="1"/>
  <c r="LS1546" i="10" a="1"/>
  <c r="LS1546" i="10" s="1"/>
  <c r="LR1546" i="10" a="1"/>
  <c r="LR1546" i="10" s="1"/>
  <c r="LQ1546" i="10" a="1"/>
  <c r="LQ1546" i="10" s="1"/>
  <c r="LP1546" i="10" a="1"/>
  <c r="LP1546" i="10" s="1"/>
  <c r="LO1546" i="10" a="1"/>
  <c r="LO1546" i="10" s="1"/>
  <c r="LN1546" i="10" a="1"/>
  <c r="LN1546" i="10" s="1"/>
  <c r="LM1546" i="10" a="1"/>
  <c r="LM1546" i="10" s="1"/>
  <c r="LL1546" i="10" a="1"/>
  <c r="LL1546" i="10" s="1"/>
  <c r="LK1546" i="10" a="1"/>
  <c r="LK1546" i="10" s="1"/>
  <c r="LJ1546" i="10" a="1"/>
  <c r="LJ1546" i="10" s="1"/>
  <c r="LI1546" i="10" a="1"/>
  <c r="LI1546" i="10" s="1"/>
  <c r="LH1546" i="10" a="1"/>
  <c r="LH1546" i="10" s="1"/>
  <c r="LG1546" i="10" a="1"/>
  <c r="LG1546" i="10" s="1"/>
  <c r="LF1546" i="10" a="1"/>
  <c r="LF1546" i="10" s="1"/>
  <c r="LE1546" i="10" a="1"/>
  <c r="LE1546" i="10" s="1"/>
  <c r="LD1546" i="10" a="1"/>
  <c r="LD1546" i="10" s="1"/>
  <c r="LC1546" i="10" a="1"/>
  <c r="LC1546" i="10" s="1"/>
  <c r="LB1546" i="10" a="1"/>
  <c r="LB1546" i="10" s="1"/>
  <c r="LA1546" i="10" a="1"/>
  <c r="LA1546" i="10" s="1"/>
  <c r="KZ1546" i="10" a="1"/>
  <c r="KZ1546" i="10" s="1"/>
  <c r="KY1546" i="10" a="1"/>
  <c r="KY1546" i="10" s="1"/>
  <c r="KX1546" i="10" a="1"/>
  <c r="KX1546" i="10" s="1"/>
  <c r="KW1546" i="10" a="1"/>
  <c r="KW1546" i="10" s="1"/>
  <c r="KV1546" i="10" a="1"/>
  <c r="KV1546" i="10" s="1"/>
  <c r="KU1546" i="10" a="1"/>
  <c r="KU1546" i="10" s="1"/>
  <c r="KT1546" i="10" a="1"/>
  <c r="KT1546" i="10" s="1"/>
  <c r="KS1546" i="10" a="1"/>
  <c r="KS1546" i="10" s="1"/>
  <c r="KR1546" i="10" a="1"/>
  <c r="KR1546" i="10" s="1"/>
  <c r="KQ1546" i="10" a="1"/>
  <c r="KQ1546" i="10" s="1"/>
  <c r="KP1546" i="10" a="1"/>
  <c r="KP1546" i="10" s="1"/>
  <c r="KO1546" i="10" a="1"/>
  <c r="KO1546" i="10" s="1"/>
  <c r="KN1546" i="10" a="1"/>
  <c r="KN1546" i="10" s="1"/>
  <c r="KM1546" i="10" a="1"/>
  <c r="KM1546" i="10" s="1"/>
  <c r="KL1546" i="10" a="1"/>
  <c r="KL1546" i="10" s="1"/>
  <c r="KK1546" i="10" a="1"/>
  <c r="KK1546" i="10" s="1"/>
  <c r="KJ1546" i="10" a="1"/>
  <c r="KJ1546" i="10" s="1"/>
  <c r="KI1546" i="10" a="1"/>
  <c r="KI1546" i="10" s="1"/>
  <c r="KH1546" i="10" a="1"/>
  <c r="KH1546" i="10" s="1"/>
  <c r="KG1546" i="10" a="1"/>
  <c r="KG1546" i="10" s="1"/>
  <c r="KF1546" i="10" a="1"/>
  <c r="KF1546" i="10" s="1"/>
  <c r="KE1546" i="10" a="1"/>
  <c r="KE1546" i="10" s="1"/>
  <c r="KD1546" i="10" a="1"/>
  <c r="KD1546" i="10" s="1"/>
  <c r="KC1546" i="10" a="1"/>
  <c r="KC1546" i="10" s="1"/>
  <c r="KB1546" i="10" a="1"/>
  <c r="KB1546" i="10" s="1"/>
  <c r="KA1546" i="10" a="1"/>
  <c r="KA1546" i="10" s="1"/>
  <c r="JZ1546" i="10" a="1"/>
  <c r="JZ1546" i="10" s="1"/>
  <c r="JY1546" i="10" a="1"/>
  <c r="JY1546" i="10" s="1"/>
  <c r="JX1546" i="10" a="1"/>
  <c r="JX1546" i="10" s="1"/>
  <c r="JW1546" i="10" a="1"/>
  <c r="JW1546" i="10" s="1"/>
  <c r="JV1546" i="10" a="1"/>
  <c r="JV1546" i="10" s="1"/>
  <c r="JU1546" i="10" a="1"/>
  <c r="JU1546" i="10" s="1"/>
  <c r="JT1546" i="10" a="1"/>
  <c r="JT1546" i="10" s="1"/>
  <c r="JS1546" i="10" a="1"/>
  <c r="JS1546" i="10" s="1"/>
  <c r="JR1546" i="10" a="1"/>
  <c r="JR1546" i="10" s="1"/>
  <c r="JQ1546" i="10" a="1"/>
  <c r="JQ1546" i="10" s="1"/>
  <c r="JP1546" i="10" a="1"/>
  <c r="JP1546" i="10" s="1"/>
  <c r="JO1546" i="10" a="1"/>
  <c r="JO1546" i="10" s="1"/>
  <c r="JN1546" i="10" a="1"/>
  <c r="JN1546" i="10" s="1"/>
  <c r="JM1546" i="10" a="1"/>
  <c r="JM1546" i="10" s="1"/>
  <c r="JL1546" i="10" a="1"/>
  <c r="JL1546" i="10" s="1"/>
  <c r="JK1546" i="10" a="1"/>
  <c r="JK1546" i="10" s="1"/>
  <c r="JJ1546" i="10" a="1"/>
  <c r="JJ1546" i="10" s="1"/>
  <c r="JI1546" i="10" a="1"/>
  <c r="JI1546" i="10" s="1"/>
  <c r="JH1546" i="10" a="1"/>
  <c r="JH1546" i="10" s="1"/>
  <c r="JG1546" i="10" a="1"/>
  <c r="JG1546" i="10" s="1"/>
  <c r="JF1546" i="10" a="1"/>
  <c r="JF1546" i="10" s="1"/>
  <c r="JE1546" i="10" a="1"/>
  <c r="JE1546" i="10" s="1"/>
  <c r="JD1546" i="10" a="1"/>
  <c r="JD1546" i="10" s="1"/>
  <c r="JC1546" i="10" a="1"/>
  <c r="JC1546" i="10" s="1"/>
  <c r="JB1546" i="10" a="1"/>
  <c r="JB1546" i="10" s="1"/>
  <c r="JA1546" i="10" a="1"/>
  <c r="JA1546" i="10" s="1"/>
  <c r="IZ1546" i="10" a="1"/>
  <c r="IZ1546" i="10" s="1"/>
  <c r="IY1546" i="10" a="1"/>
  <c r="IY1546" i="10" s="1"/>
  <c r="IX1546" i="10" a="1"/>
  <c r="IX1546" i="10" s="1"/>
  <c r="IW1546" i="10" a="1"/>
  <c r="IW1546" i="10" s="1"/>
  <c r="IV1546" i="10" a="1"/>
  <c r="IV1546" i="10" s="1"/>
  <c r="IU1546" i="10" a="1"/>
  <c r="IU1546" i="10" s="1"/>
  <c r="IT1546" i="10" a="1"/>
  <c r="IT1546" i="10" s="1"/>
  <c r="IS1546" i="10" a="1"/>
  <c r="IS1546" i="10" s="1"/>
  <c r="IR1546" i="10" a="1"/>
  <c r="IR1546" i="10" s="1"/>
  <c r="IQ1546" i="10" a="1"/>
  <c r="IQ1546" i="10" s="1"/>
  <c r="IP1546" i="10" a="1"/>
  <c r="IP1546" i="10" s="1"/>
  <c r="IO1546" i="10" a="1"/>
  <c r="IO1546" i="10" s="1"/>
  <c r="IN1546" i="10" a="1"/>
  <c r="IN1546" i="10" s="1"/>
  <c r="IM1546" i="10" a="1"/>
  <c r="IM1546" i="10" s="1"/>
  <c r="IL1546" i="10" a="1"/>
  <c r="IL1546" i="10" s="1"/>
  <c r="IK1546" i="10" a="1"/>
  <c r="IK1546" i="10" s="1"/>
  <c r="IJ1546" i="10" a="1"/>
  <c r="IJ1546" i="10" s="1"/>
  <c r="II1546" i="10" a="1"/>
  <c r="II1546" i="10" s="1"/>
  <c r="IH1546" i="10" a="1"/>
  <c r="IH1546" i="10" s="1"/>
  <c r="IG1546" i="10" a="1"/>
  <c r="IG1546" i="10" s="1"/>
  <c r="IF1546" i="10" a="1"/>
  <c r="IF1546" i="10" s="1"/>
  <c r="IE1546" i="10" a="1"/>
  <c r="IE1546" i="10" s="1"/>
  <c r="ID1546" i="10" a="1"/>
  <c r="ID1546" i="10" s="1"/>
  <c r="IC1546" i="10" a="1"/>
  <c r="IC1546" i="10" s="1"/>
  <c r="IB1546" i="10" a="1"/>
  <c r="IB1546" i="10" s="1"/>
  <c r="IA1546" i="10" a="1"/>
  <c r="IA1546" i="10" s="1"/>
  <c r="HZ1546" i="10" a="1"/>
  <c r="HZ1546" i="10" s="1"/>
  <c r="HY1546" i="10" a="1"/>
  <c r="HY1546" i="10" s="1"/>
  <c r="HX1546" i="10" a="1"/>
  <c r="HX1546" i="10" s="1"/>
  <c r="HW1546" i="10" a="1"/>
  <c r="HW1546" i="10" s="1"/>
  <c r="HV1546" i="10" a="1"/>
  <c r="HV1546" i="10" s="1"/>
  <c r="HU1546" i="10" a="1"/>
  <c r="HU1546" i="10" s="1"/>
  <c r="HT1546" i="10" a="1"/>
  <c r="HT1546" i="10" s="1"/>
  <c r="HS1546" i="10" a="1"/>
  <c r="HS1546" i="10" s="1"/>
  <c r="HR1546" i="10" a="1"/>
  <c r="HR1546" i="10" s="1"/>
  <c r="HQ1546" i="10" a="1"/>
  <c r="HQ1546" i="10" s="1"/>
  <c r="HP1546" i="10" a="1"/>
  <c r="HP1546" i="10" s="1"/>
  <c r="HO1546" i="10" a="1"/>
  <c r="HO1546" i="10" s="1"/>
  <c r="HN1546" i="10" a="1"/>
  <c r="HN1546" i="10" s="1"/>
  <c r="HM1546" i="10" a="1"/>
  <c r="HM1546" i="10" s="1"/>
  <c r="HL1546" i="10" a="1"/>
  <c r="HL1546" i="10" s="1"/>
  <c r="HK1546" i="10" a="1"/>
  <c r="HK1546" i="10" s="1"/>
  <c r="HJ1546" i="10" a="1"/>
  <c r="HJ1546" i="10" s="1"/>
  <c r="HI1546" i="10" a="1"/>
  <c r="HI1546" i="10" s="1"/>
  <c r="HH1546" i="10" a="1"/>
  <c r="HH1546" i="10" s="1"/>
  <c r="HG1546" i="10" a="1"/>
  <c r="HG1546" i="10" s="1"/>
  <c r="HF1546" i="10" a="1"/>
  <c r="HF1546" i="10" s="1"/>
  <c r="HE1546" i="10" a="1"/>
  <c r="HE1546" i="10" s="1"/>
  <c r="HD1546" i="10" a="1"/>
  <c r="HD1546" i="10" s="1"/>
  <c r="HC1546" i="10" a="1"/>
  <c r="HC1546" i="10" s="1"/>
  <c r="HB1546" i="10" a="1"/>
  <c r="HB1546" i="10" s="1"/>
  <c r="HA1546" i="10" a="1"/>
  <c r="HA1546" i="10" s="1"/>
  <c r="GZ1546" i="10" a="1"/>
  <c r="GZ1546" i="10" s="1"/>
  <c r="GY1546" i="10" a="1"/>
  <c r="GY1546" i="10" s="1"/>
  <c r="GX1546" i="10" a="1"/>
  <c r="GX1546" i="10" s="1"/>
  <c r="GW1546" i="10" a="1"/>
  <c r="GW1546" i="10" s="1"/>
  <c r="GV1546" i="10" a="1"/>
  <c r="GV1546" i="10" s="1"/>
  <c r="GU1546" i="10" a="1"/>
  <c r="GU1546" i="10" s="1"/>
  <c r="GT1546" i="10" a="1"/>
  <c r="GT1546" i="10" s="1"/>
  <c r="GS1546" i="10" a="1"/>
  <c r="GS1546" i="10" s="1"/>
  <c r="GR1546" i="10" a="1"/>
  <c r="GR1546" i="10" s="1"/>
  <c r="GQ1546" i="10" a="1"/>
  <c r="GQ1546" i="10" s="1"/>
  <c r="GP1546" i="10" a="1"/>
  <c r="GP1546" i="10" s="1"/>
  <c r="GO1546" i="10" a="1"/>
  <c r="GO1546" i="10" s="1"/>
  <c r="GN1546" i="10" a="1"/>
  <c r="GN1546" i="10" s="1"/>
  <c r="GM1546" i="10" a="1"/>
  <c r="GM1546" i="10" s="1"/>
  <c r="GL1546" i="10" a="1"/>
  <c r="GL1546" i="10" s="1"/>
  <c r="GK1546" i="10" a="1"/>
  <c r="GK1546" i="10" s="1"/>
  <c r="GJ1546" i="10" a="1"/>
  <c r="GJ1546" i="10" s="1"/>
  <c r="GI1546" i="10" a="1"/>
  <c r="GI1546" i="10" s="1"/>
  <c r="GH1546" i="10" a="1"/>
  <c r="GH1546" i="10" s="1"/>
  <c r="GG1546" i="10" a="1"/>
  <c r="GG1546" i="10" s="1"/>
  <c r="GF1546" i="10" a="1"/>
  <c r="GF1546" i="10" s="1"/>
  <c r="GE1546" i="10" a="1"/>
  <c r="GE1546" i="10" s="1"/>
  <c r="GD1546" i="10" a="1"/>
  <c r="GD1546" i="10" s="1"/>
  <c r="GC1546" i="10" a="1"/>
  <c r="GC1546" i="10" s="1"/>
  <c r="GB1546" i="10" a="1"/>
  <c r="GB1546" i="10" s="1"/>
  <c r="GA1546" i="10" a="1"/>
  <c r="GA1546" i="10" s="1"/>
  <c r="FZ1546" i="10" a="1"/>
  <c r="FZ1546" i="10" s="1"/>
  <c r="FY1546" i="10" a="1"/>
  <c r="FY1546" i="10" s="1"/>
  <c r="FX1546" i="10" a="1"/>
  <c r="FX1546" i="10" s="1"/>
  <c r="FW1546" i="10" a="1"/>
  <c r="FW1546" i="10" s="1"/>
  <c r="FV1546" i="10" a="1"/>
  <c r="FV1546" i="10" s="1"/>
  <c r="FU1546" i="10" a="1"/>
  <c r="FU1546" i="10" s="1"/>
  <c r="FT1546" i="10" a="1"/>
  <c r="FT1546" i="10" s="1"/>
  <c r="FS1546" i="10" a="1"/>
  <c r="FS1546" i="10" s="1"/>
  <c r="FR1546" i="10" a="1"/>
  <c r="FR1546" i="10" s="1"/>
  <c r="FQ1546" i="10" a="1"/>
  <c r="FQ1546" i="10" s="1"/>
  <c r="FP1546" i="10" a="1"/>
  <c r="FP1546" i="10" s="1"/>
  <c r="FO1546" i="10" a="1"/>
  <c r="FO1546" i="10" s="1"/>
  <c r="FN1546" i="10" a="1"/>
  <c r="FN1546" i="10" s="1"/>
  <c r="FM1546" i="10" a="1"/>
  <c r="FM1546" i="10" s="1"/>
  <c r="FL1546" i="10" a="1"/>
  <c r="FL1546" i="10" s="1"/>
  <c r="FK1546" i="10" a="1"/>
  <c r="FK1546" i="10" s="1"/>
  <c r="FJ1546" i="10" a="1"/>
  <c r="FJ1546" i="10" s="1"/>
  <c r="FI1546" i="10" a="1"/>
  <c r="FI1546" i="10" s="1"/>
  <c r="FH1546" i="10" a="1"/>
  <c r="FH1546" i="10" s="1"/>
  <c r="FG1546" i="10" a="1"/>
  <c r="FG1546" i="10" s="1"/>
  <c r="FF1546" i="10" a="1"/>
  <c r="FF1546" i="10" s="1"/>
  <c r="FE1546" i="10" a="1"/>
  <c r="FE1546" i="10" s="1"/>
  <c r="FD1546" i="10" a="1"/>
  <c r="FD1546" i="10" s="1"/>
  <c r="FC1546" i="10" a="1"/>
  <c r="FC1546" i="10" s="1"/>
  <c r="FB1546" i="10" a="1"/>
  <c r="FB1546" i="10" s="1"/>
  <c r="FA1546" i="10" a="1"/>
  <c r="FA1546" i="10" s="1"/>
  <c r="EZ1546" i="10" a="1"/>
  <c r="EZ1546" i="10" s="1"/>
  <c r="EY1546" i="10" a="1"/>
  <c r="EY1546" i="10" s="1"/>
  <c r="EX1546" i="10" a="1"/>
  <c r="EX1546" i="10" s="1"/>
  <c r="EW1546" i="10" a="1"/>
  <c r="EW1546" i="10" s="1"/>
  <c r="EV1546" i="10" a="1"/>
  <c r="EV1546" i="10" s="1"/>
  <c r="EU1546" i="10" a="1"/>
  <c r="EU1546" i="10" s="1"/>
  <c r="ET1546" i="10" a="1"/>
  <c r="ET1546" i="10" s="1"/>
  <c r="ES1546" i="10" a="1"/>
  <c r="ES1546" i="10" s="1"/>
  <c r="ER1546" i="10" a="1"/>
  <c r="ER1546" i="10" s="1"/>
  <c r="EQ1546" i="10" a="1"/>
  <c r="EQ1546" i="10" s="1"/>
  <c r="EP1546" i="10" a="1"/>
  <c r="EP1546" i="10" s="1"/>
  <c r="EO1546" i="10" a="1"/>
  <c r="EO1546" i="10" s="1"/>
  <c r="EN1546" i="10" a="1"/>
  <c r="EN1546" i="10" s="1"/>
  <c r="EM1546" i="10" a="1"/>
  <c r="EM1546" i="10" s="1"/>
  <c r="EL1546" i="10" a="1"/>
  <c r="EL1546" i="10" s="1"/>
  <c r="EK1546" i="10" a="1"/>
  <c r="EK1546" i="10" s="1"/>
  <c r="EJ1546" i="10" a="1"/>
  <c r="EJ1546" i="10" s="1"/>
  <c r="EI1546" i="10" a="1"/>
  <c r="EI1546" i="10" s="1"/>
  <c r="EH1546" i="10" a="1"/>
  <c r="EH1546" i="10" s="1"/>
  <c r="EG1546" i="10" a="1"/>
  <c r="EG1546" i="10" s="1"/>
  <c r="EF1546" i="10" a="1"/>
  <c r="EF1546" i="10" s="1"/>
  <c r="EE1546" i="10" a="1"/>
  <c r="EE1546" i="10" s="1"/>
  <c r="ED1546" i="10" a="1"/>
  <c r="ED1546" i="10" s="1"/>
  <c r="EC1546" i="10" a="1"/>
  <c r="EC1546" i="10" s="1"/>
  <c r="EB1546" i="10" a="1"/>
  <c r="EB1546" i="10" s="1"/>
  <c r="EA1546" i="10" a="1"/>
  <c r="EA1546" i="10" s="1"/>
  <c r="DZ1546" i="10" a="1"/>
  <c r="DZ1546" i="10" s="1"/>
  <c r="DY1546" i="10" a="1"/>
  <c r="DY1546" i="10" s="1"/>
  <c r="DX1546" i="10" a="1"/>
  <c r="DX1546" i="10" s="1"/>
  <c r="DW1546" i="10" a="1"/>
  <c r="DW1546" i="10" s="1"/>
  <c r="DV1546" i="10" a="1"/>
  <c r="DV1546" i="10" s="1"/>
  <c r="DU1546" i="10" a="1"/>
  <c r="DU1546" i="10" s="1"/>
  <c r="DT1546" i="10" a="1"/>
  <c r="DT1546" i="10" s="1"/>
  <c r="DS1546" i="10" a="1"/>
  <c r="DS1546" i="10" s="1"/>
  <c r="DR1546" i="10" a="1"/>
  <c r="DR1546" i="10" s="1"/>
  <c r="DQ1546" i="10" a="1"/>
  <c r="DQ1546" i="10" s="1"/>
  <c r="DP1546" i="10" a="1"/>
  <c r="DP1546" i="10" s="1"/>
  <c r="DO1546" i="10" a="1"/>
  <c r="DO1546" i="10" s="1"/>
  <c r="DN1546" i="10" a="1"/>
  <c r="DN1546" i="10" s="1"/>
  <c r="DM1546" i="10" a="1"/>
  <c r="DM1546" i="10" s="1"/>
  <c r="DL1546" i="10" a="1"/>
  <c r="DL1546" i="10" s="1"/>
  <c r="DK1546" i="10" a="1"/>
  <c r="DK1546" i="10" s="1"/>
  <c r="DJ1546" i="10" a="1"/>
  <c r="DJ1546" i="10" s="1"/>
  <c r="DI1546" i="10" a="1"/>
  <c r="DI1546" i="10" s="1"/>
  <c r="DH1546" i="10" a="1"/>
  <c r="DH1546" i="10" s="1"/>
  <c r="DG1546" i="10" a="1"/>
  <c r="DG1546" i="10" s="1"/>
  <c r="DF1546" i="10" a="1"/>
  <c r="DF1546" i="10" s="1"/>
  <c r="DE1546" i="10" a="1"/>
  <c r="DE1546" i="10" s="1"/>
  <c r="DD1546" i="10" a="1"/>
  <c r="DD1546" i="10" s="1"/>
  <c r="DC1546" i="10" a="1"/>
  <c r="DC1546" i="10" s="1"/>
  <c r="DB1546" i="10" a="1"/>
  <c r="DB1546" i="10" s="1"/>
  <c r="DA1546" i="10" a="1"/>
  <c r="DA1546" i="10" s="1"/>
  <c r="CZ1546" i="10" a="1"/>
  <c r="CZ1546" i="10" s="1"/>
  <c r="CY1546" i="10" a="1"/>
  <c r="CY1546" i="10" s="1"/>
  <c r="CX1546" i="10" a="1"/>
  <c r="CX1546" i="10" s="1"/>
  <c r="CW1546" i="10" a="1"/>
  <c r="CW1546" i="10" s="1"/>
  <c r="CV1546" i="10" a="1"/>
  <c r="CV1546" i="10" s="1"/>
  <c r="CU1546" i="10" a="1"/>
  <c r="CU1546" i="10" s="1"/>
  <c r="CT1546" i="10" a="1"/>
  <c r="CT1546" i="10" s="1"/>
  <c r="CS1546" i="10" a="1"/>
  <c r="CS1546" i="10" s="1"/>
  <c r="CR1546" i="10" a="1"/>
  <c r="CR1546" i="10" s="1"/>
  <c r="CQ1546" i="10" a="1"/>
  <c r="CQ1546" i="10" s="1"/>
  <c r="CP1546" i="10" a="1"/>
  <c r="CP1546" i="10" s="1"/>
  <c r="CO1546" i="10" a="1"/>
  <c r="CO1546" i="10" s="1"/>
  <c r="CN1546" i="10" a="1"/>
  <c r="CN1546" i="10" s="1"/>
  <c r="CM1546" i="10" a="1"/>
  <c r="CM1546" i="10" s="1"/>
  <c r="CL1546" i="10" a="1"/>
  <c r="CL1546" i="10" s="1"/>
  <c r="CK1546" i="10" a="1"/>
  <c r="CK1546" i="10" s="1"/>
  <c r="CJ1546" i="10" a="1"/>
  <c r="CJ1546" i="10" s="1"/>
  <c r="CI1546" i="10" a="1"/>
  <c r="CI1546" i="10" s="1"/>
  <c r="CH1546" i="10" a="1"/>
  <c r="CH1546" i="10" s="1"/>
  <c r="CG1546" i="10" a="1"/>
  <c r="CG1546" i="10" s="1"/>
  <c r="CF1546" i="10" a="1"/>
  <c r="CF1546" i="10" s="1"/>
  <c r="CE1546" i="10" a="1"/>
  <c r="CE1546" i="10" s="1"/>
  <c r="CD1546" i="10" a="1"/>
  <c r="CD1546" i="10" s="1"/>
  <c r="CC1546" i="10" a="1"/>
  <c r="CC1546" i="10" s="1"/>
  <c r="CB1546" i="10" a="1"/>
  <c r="CB1546" i="10" s="1"/>
  <c r="CA1546" i="10" a="1"/>
  <c r="CA1546" i="10" s="1"/>
  <c r="BZ1546" i="10" a="1"/>
  <c r="BZ1546" i="10" s="1"/>
  <c r="BY1546" i="10" a="1"/>
  <c r="BY1546" i="10" s="1"/>
  <c r="BX1546" i="10" a="1"/>
  <c r="BX1546" i="10" s="1"/>
  <c r="BW1546" i="10" a="1"/>
  <c r="BW1546" i="10" s="1"/>
  <c r="BV1546" i="10" a="1"/>
  <c r="BV1546" i="10" s="1"/>
  <c r="BU1546" i="10" a="1"/>
  <c r="BU1546" i="10" s="1"/>
  <c r="BT1546" i="10" a="1"/>
  <c r="BT1546" i="10" s="1"/>
  <c r="BS1546" i="10" a="1"/>
  <c r="BS1546" i="10" s="1"/>
  <c r="BR1546" i="10" a="1"/>
  <c r="BR1546" i="10" s="1"/>
  <c r="BQ1546" i="10" a="1"/>
  <c r="BQ1546" i="10" s="1"/>
  <c r="BP1546" i="10" a="1"/>
  <c r="BP1546" i="10" s="1"/>
  <c r="BO1546" i="10" a="1"/>
  <c r="BO1546" i="10" s="1"/>
  <c r="BN1546" i="10" a="1"/>
  <c r="BN1546" i="10" s="1"/>
  <c r="BM1546" i="10" a="1"/>
  <c r="BM1546" i="10" s="1"/>
  <c r="BL1546" i="10" a="1"/>
  <c r="BL1546" i="10" s="1"/>
  <c r="BK1546" i="10" a="1"/>
  <c r="BK1546" i="10" s="1"/>
  <c r="BJ1546" i="10" a="1"/>
  <c r="BJ1546" i="10" s="1"/>
  <c r="BI1546" i="10" a="1"/>
  <c r="BI1546" i="10" s="1"/>
  <c r="BH1546" i="10" a="1"/>
  <c r="BH1546" i="10" s="1"/>
  <c r="BG1546" i="10" a="1"/>
  <c r="BG1546" i="10" s="1"/>
  <c r="BF1546" i="10" a="1"/>
  <c r="BF1546" i="10" s="1"/>
  <c r="BE1546" i="10" a="1"/>
  <c r="BE1546" i="10" s="1"/>
  <c r="BD1546" i="10" a="1"/>
  <c r="BD1546" i="10" s="1"/>
  <c r="BC1546" i="10" a="1"/>
  <c r="BC1546" i="10" s="1"/>
  <c r="BB1546" i="10" a="1"/>
  <c r="BB1546" i="10" s="1"/>
  <c r="BA1546" i="10" a="1"/>
  <c r="BA1546" i="10" s="1"/>
  <c r="AZ1546" i="10" a="1"/>
  <c r="AZ1546" i="10" s="1"/>
  <c r="AY1546" i="10" a="1"/>
  <c r="AY1546" i="10" s="1"/>
  <c r="AX1546" i="10" a="1"/>
  <c r="AX1546" i="10" s="1"/>
  <c r="AW1546" i="10" a="1"/>
  <c r="AW1546" i="10" s="1"/>
  <c r="AV1546" i="10" a="1"/>
  <c r="AV1546" i="10" s="1"/>
  <c r="AU1546" i="10" a="1"/>
  <c r="AU1546" i="10" s="1"/>
  <c r="AT1546" i="10" a="1"/>
  <c r="AT1546" i="10" s="1"/>
  <c r="AS1546" i="10" a="1"/>
  <c r="AS1546" i="10" s="1"/>
  <c r="AR1546" i="10" a="1"/>
  <c r="AR1546" i="10" s="1"/>
  <c r="AQ1546" i="10" a="1"/>
  <c r="AQ1546" i="10" s="1"/>
  <c r="AP1546" i="10" a="1"/>
  <c r="AP1546" i="10" s="1"/>
  <c r="AO1546" i="10" a="1"/>
  <c r="AO1546" i="10" s="1"/>
  <c r="AN1546" i="10" a="1"/>
  <c r="AN1546" i="10" s="1"/>
  <c r="AM1546" i="10" a="1"/>
  <c r="AM1546" i="10" s="1"/>
  <c r="AL1546" i="10" a="1"/>
  <c r="AL1546" i="10" s="1"/>
  <c r="Q24" i="9" s="1"/>
  <c r="AK1546" i="10" a="1"/>
  <c r="AK1546" i="10" s="1"/>
  <c r="AJ1546" i="10" a="1"/>
  <c r="AJ1546" i="10" s="1"/>
  <c r="AI1546" i="10" a="1"/>
  <c r="AI1546" i="10" s="1"/>
  <c r="AH1546" i="10" a="1"/>
  <c r="AH1546" i="10" s="1"/>
  <c r="AG1546" i="10" a="1"/>
  <c r="AG1546" i="10" s="1"/>
  <c r="AF1546" i="10" a="1"/>
  <c r="AF1546" i="10" s="1"/>
  <c r="AE1546" i="10" a="1"/>
  <c r="AE1546" i="10" s="1"/>
  <c r="AD1546" i="10" a="1"/>
  <c r="AD1546" i="10" s="1"/>
  <c r="AC1546" i="10" a="1"/>
  <c r="AC1546" i="10" s="1"/>
  <c r="AB1546" i="10" a="1"/>
  <c r="AB1546" i="10" s="1"/>
  <c r="AA1546" i="10" a="1"/>
  <c r="AA1546" i="10" s="1"/>
  <c r="Z1546" i="10" a="1"/>
  <c r="Z1546" i="10" s="1"/>
  <c r="Y1546" i="10" a="1"/>
  <c r="Y1546" i="10" s="1"/>
  <c r="X1546" i="10" a="1"/>
  <c r="X1546" i="10" s="1"/>
  <c r="W1546" i="10" a="1"/>
  <c r="W1546" i="10" s="1"/>
  <c r="V1546" i="10" a="1"/>
  <c r="V1546" i="10" s="1"/>
  <c r="U1546" i="10" a="1"/>
  <c r="U1546" i="10" s="1"/>
  <c r="T1546" i="10" a="1"/>
  <c r="T1546" i="10" s="1"/>
  <c r="S1546" i="10" a="1"/>
  <c r="S1546" i="10" s="1"/>
  <c r="R1546" i="10" a="1"/>
  <c r="R1546" i="10" s="1"/>
  <c r="Q1546" i="10" a="1"/>
  <c r="Q1546" i="10" s="1"/>
  <c r="P1546" i="10" a="1"/>
  <c r="P1546" i="10" s="1"/>
  <c r="AGN1545" i="10" a="1"/>
  <c r="AGN1545" i="10" s="1"/>
  <c r="AGM1545" i="10" a="1"/>
  <c r="AGM1545" i="10" s="1"/>
  <c r="AGL1545" i="10" a="1"/>
  <c r="AGL1545" i="10" s="1"/>
  <c r="AGK1545" i="10" a="1"/>
  <c r="AGK1545" i="10" s="1"/>
  <c r="AGJ1545" i="10" a="1"/>
  <c r="AGJ1545" i="10" s="1"/>
  <c r="AGI1545" i="10" a="1"/>
  <c r="AGI1545" i="10" s="1"/>
  <c r="AGH1545" i="10" a="1"/>
  <c r="AGH1545" i="10" s="1"/>
  <c r="AGG1545" i="10" a="1"/>
  <c r="AGG1545" i="10" s="1"/>
  <c r="AGF1545" i="10" a="1"/>
  <c r="AGF1545" i="10" s="1"/>
  <c r="AGE1545" i="10" a="1"/>
  <c r="AGE1545" i="10" s="1"/>
  <c r="AGD1545" i="10" a="1"/>
  <c r="AGD1545" i="10" s="1"/>
  <c r="AGC1545" i="10" a="1"/>
  <c r="AGC1545" i="10" s="1"/>
  <c r="AGB1545" i="10" a="1"/>
  <c r="AGB1545" i="10" s="1"/>
  <c r="AGA1545" i="10" a="1"/>
  <c r="AGA1545" i="10" s="1"/>
  <c r="AFZ1545" i="10" a="1"/>
  <c r="AFZ1545" i="10" s="1"/>
  <c r="AFY1545" i="10" a="1"/>
  <c r="AFY1545" i="10" s="1"/>
  <c r="AFX1545" i="10" a="1"/>
  <c r="AFX1545" i="10" s="1"/>
  <c r="AFW1545" i="10" a="1"/>
  <c r="AFW1545" i="10" s="1"/>
  <c r="AFV1545" i="10" a="1"/>
  <c r="AFV1545" i="10" s="1"/>
  <c r="AFU1545" i="10" a="1"/>
  <c r="AFU1545" i="10" s="1"/>
  <c r="AFT1545" i="10" a="1"/>
  <c r="AFT1545" i="10" s="1"/>
  <c r="AFS1545" i="10" a="1"/>
  <c r="AFS1545" i="10" s="1"/>
  <c r="AFR1545" i="10" a="1"/>
  <c r="AFR1545" i="10" s="1"/>
  <c r="AFQ1545" i="10" a="1"/>
  <c r="AFQ1545" i="10" s="1"/>
  <c r="AFP1545" i="10" a="1"/>
  <c r="AFP1545" i="10" s="1"/>
  <c r="AFO1545" i="10" a="1"/>
  <c r="AFO1545" i="10" s="1"/>
  <c r="AFN1545" i="10" a="1"/>
  <c r="AFN1545" i="10" s="1"/>
  <c r="AFM1545" i="10" a="1"/>
  <c r="AFM1545" i="10" s="1"/>
  <c r="AFL1545" i="10" a="1"/>
  <c r="AFL1545" i="10" s="1"/>
  <c r="AFK1545" i="10" a="1"/>
  <c r="AFK1545" i="10" s="1"/>
  <c r="AFJ1545" i="10" a="1"/>
  <c r="AFJ1545" i="10" s="1"/>
  <c r="AFI1545" i="10" a="1"/>
  <c r="AFI1545" i="10" s="1"/>
  <c r="AFH1545" i="10" a="1"/>
  <c r="AFH1545" i="10" s="1"/>
  <c r="AFG1545" i="10" a="1"/>
  <c r="AFG1545" i="10" s="1"/>
  <c r="AFF1545" i="10" a="1"/>
  <c r="AFF1545" i="10" s="1"/>
  <c r="AFE1545" i="10" a="1"/>
  <c r="AFE1545" i="10" s="1"/>
  <c r="AFD1545" i="10" a="1"/>
  <c r="AFD1545" i="10" s="1"/>
  <c r="AFC1545" i="10" a="1"/>
  <c r="AFC1545" i="10" s="1"/>
  <c r="AFB1545" i="10" a="1"/>
  <c r="AFB1545" i="10" s="1"/>
  <c r="AFA1545" i="10" a="1"/>
  <c r="AFA1545" i="10" s="1"/>
  <c r="AEZ1545" i="10" a="1"/>
  <c r="AEZ1545" i="10" s="1"/>
  <c r="AEY1545" i="10" a="1"/>
  <c r="AEY1545" i="10" s="1"/>
  <c r="AEX1545" i="10" a="1"/>
  <c r="AEX1545" i="10" s="1"/>
  <c r="AEW1545" i="10" a="1"/>
  <c r="AEW1545" i="10" s="1"/>
  <c r="AEV1545" i="10" a="1"/>
  <c r="AEV1545" i="10" s="1"/>
  <c r="AEU1545" i="10" a="1"/>
  <c r="AEU1545" i="10" s="1"/>
  <c r="AET1545" i="10" a="1"/>
  <c r="AET1545" i="10" s="1"/>
  <c r="AES1545" i="10" a="1"/>
  <c r="AES1545" i="10" s="1"/>
  <c r="AER1545" i="10" a="1"/>
  <c r="AER1545" i="10" s="1"/>
  <c r="AEQ1545" i="10" a="1"/>
  <c r="AEQ1545" i="10" s="1"/>
  <c r="AEP1545" i="10" a="1"/>
  <c r="AEP1545" i="10" s="1"/>
  <c r="AEO1545" i="10" a="1"/>
  <c r="AEO1545" i="10" s="1"/>
  <c r="AEN1545" i="10" a="1"/>
  <c r="AEN1545" i="10" s="1"/>
  <c r="AEM1545" i="10" a="1"/>
  <c r="AEM1545" i="10" s="1"/>
  <c r="AEL1545" i="10" a="1"/>
  <c r="AEL1545" i="10" s="1"/>
  <c r="AEK1545" i="10" a="1"/>
  <c r="AEK1545" i="10" s="1"/>
  <c r="AEJ1545" i="10" a="1"/>
  <c r="AEJ1545" i="10" s="1"/>
  <c r="AEI1545" i="10" a="1"/>
  <c r="AEI1545" i="10" s="1"/>
  <c r="AEH1545" i="10" a="1"/>
  <c r="AEH1545" i="10" s="1"/>
  <c r="AEG1545" i="10" a="1"/>
  <c r="AEG1545" i="10" s="1"/>
  <c r="AEF1545" i="10" a="1"/>
  <c r="AEF1545" i="10" s="1"/>
  <c r="AEE1545" i="10" a="1"/>
  <c r="AEE1545" i="10" s="1"/>
  <c r="AED1545" i="10" a="1"/>
  <c r="AED1545" i="10" s="1"/>
  <c r="AEC1545" i="10" a="1"/>
  <c r="AEC1545" i="10" s="1"/>
  <c r="AEB1545" i="10" a="1"/>
  <c r="AEB1545" i="10" s="1"/>
  <c r="AEA1545" i="10" a="1"/>
  <c r="AEA1545" i="10" s="1"/>
  <c r="ADZ1545" i="10" a="1"/>
  <c r="ADZ1545" i="10" s="1"/>
  <c r="ADY1545" i="10" a="1"/>
  <c r="ADY1545" i="10" s="1"/>
  <c r="ADX1545" i="10" a="1"/>
  <c r="ADX1545" i="10" s="1"/>
  <c r="ADW1545" i="10" a="1"/>
  <c r="ADW1545" i="10" s="1"/>
  <c r="ADV1545" i="10" a="1"/>
  <c r="ADV1545" i="10" s="1"/>
  <c r="ADU1545" i="10" a="1"/>
  <c r="ADU1545" i="10" s="1"/>
  <c r="ADT1545" i="10" a="1"/>
  <c r="ADT1545" i="10" s="1"/>
  <c r="ADS1545" i="10" a="1"/>
  <c r="ADS1545" i="10" s="1"/>
  <c r="ADR1545" i="10" a="1"/>
  <c r="ADR1545" i="10" s="1"/>
  <c r="ADQ1545" i="10" a="1"/>
  <c r="ADQ1545" i="10" s="1"/>
  <c r="ADP1545" i="10" a="1"/>
  <c r="ADP1545" i="10" s="1"/>
  <c r="ADO1545" i="10" a="1"/>
  <c r="ADO1545" i="10" s="1"/>
  <c r="ADN1545" i="10" a="1"/>
  <c r="ADN1545" i="10" s="1"/>
  <c r="ADM1545" i="10" a="1"/>
  <c r="ADM1545" i="10" s="1"/>
  <c r="ADL1545" i="10" a="1"/>
  <c r="ADL1545" i="10" s="1"/>
  <c r="ADK1545" i="10" a="1"/>
  <c r="ADK1545" i="10" s="1"/>
  <c r="ADJ1545" i="10" a="1"/>
  <c r="ADJ1545" i="10" s="1"/>
  <c r="ADI1545" i="10" a="1"/>
  <c r="ADI1545" i="10" s="1"/>
  <c r="ADH1545" i="10" a="1"/>
  <c r="ADH1545" i="10" s="1"/>
  <c r="ADG1545" i="10" a="1"/>
  <c r="ADG1545" i="10" s="1"/>
  <c r="ADF1545" i="10" a="1"/>
  <c r="ADF1545" i="10" s="1"/>
  <c r="ADE1545" i="10" a="1"/>
  <c r="ADE1545" i="10" s="1"/>
  <c r="ADD1545" i="10" a="1"/>
  <c r="ADD1545" i="10" s="1"/>
  <c r="ADC1545" i="10" a="1"/>
  <c r="ADC1545" i="10" s="1"/>
  <c r="ADB1545" i="10" a="1"/>
  <c r="ADB1545" i="10" s="1"/>
  <c r="ADA1545" i="10" a="1"/>
  <c r="ADA1545" i="10" s="1"/>
  <c r="ACZ1545" i="10" a="1"/>
  <c r="ACZ1545" i="10" s="1"/>
  <c r="ACY1545" i="10" a="1"/>
  <c r="ACY1545" i="10" s="1"/>
  <c r="ACX1545" i="10" a="1"/>
  <c r="ACX1545" i="10" s="1"/>
  <c r="ACW1545" i="10" a="1"/>
  <c r="ACW1545" i="10" s="1"/>
  <c r="ACV1545" i="10" a="1"/>
  <c r="ACV1545" i="10" s="1"/>
  <c r="ACU1545" i="10" a="1"/>
  <c r="ACU1545" i="10" s="1"/>
  <c r="ACT1545" i="10" a="1"/>
  <c r="ACT1545" i="10" s="1"/>
  <c r="ACS1545" i="10" a="1"/>
  <c r="ACS1545" i="10" s="1"/>
  <c r="ACR1545" i="10" a="1"/>
  <c r="ACR1545" i="10" s="1"/>
  <c r="ACQ1545" i="10" a="1"/>
  <c r="ACQ1545" i="10" s="1"/>
  <c r="ACP1545" i="10" a="1"/>
  <c r="ACP1545" i="10" s="1"/>
  <c r="ACO1545" i="10" a="1"/>
  <c r="ACO1545" i="10" s="1"/>
  <c r="ACN1545" i="10" a="1"/>
  <c r="ACN1545" i="10" s="1"/>
  <c r="ACM1545" i="10" a="1"/>
  <c r="ACM1545" i="10" s="1"/>
  <c r="ACL1545" i="10" a="1"/>
  <c r="ACL1545" i="10" s="1"/>
  <c r="ACK1545" i="10" a="1"/>
  <c r="ACK1545" i="10" s="1"/>
  <c r="ACJ1545" i="10" a="1"/>
  <c r="ACJ1545" i="10" s="1"/>
  <c r="ACI1545" i="10" a="1"/>
  <c r="ACI1545" i="10" s="1"/>
  <c r="ACH1545" i="10" a="1"/>
  <c r="ACH1545" i="10" s="1"/>
  <c r="ACG1545" i="10" a="1"/>
  <c r="ACG1545" i="10" s="1"/>
  <c r="ACF1545" i="10" a="1"/>
  <c r="ACF1545" i="10" s="1"/>
  <c r="ACE1545" i="10" a="1"/>
  <c r="ACE1545" i="10" s="1"/>
  <c r="ACD1545" i="10" a="1"/>
  <c r="ACD1545" i="10" s="1"/>
  <c r="ACC1545" i="10" a="1"/>
  <c r="ACC1545" i="10" s="1"/>
  <c r="ACB1545" i="10" a="1"/>
  <c r="ACB1545" i="10" s="1"/>
  <c r="ACA1545" i="10" a="1"/>
  <c r="ACA1545" i="10" s="1"/>
  <c r="ABZ1545" i="10" a="1"/>
  <c r="ABZ1545" i="10" s="1"/>
  <c r="ABY1545" i="10" a="1"/>
  <c r="ABY1545" i="10" s="1"/>
  <c r="ABX1545" i="10" a="1"/>
  <c r="ABX1545" i="10" s="1"/>
  <c r="ABW1545" i="10" a="1"/>
  <c r="ABW1545" i="10" s="1"/>
  <c r="ABV1545" i="10" a="1"/>
  <c r="ABV1545" i="10" s="1"/>
  <c r="ABU1545" i="10" a="1"/>
  <c r="ABU1545" i="10" s="1"/>
  <c r="ABT1545" i="10" a="1"/>
  <c r="ABT1545" i="10" s="1"/>
  <c r="ABS1545" i="10" a="1"/>
  <c r="ABS1545" i="10" s="1"/>
  <c r="ABR1545" i="10" a="1"/>
  <c r="ABR1545" i="10" s="1"/>
  <c r="ABQ1545" i="10" a="1"/>
  <c r="ABQ1545" i="10" s="1"/>
  <c r="ABP1545" i="10" a="1"/>
  <c r="ABP1545" i="10" s="1"/>
  <c r="ABO1545" i="10" a="1"/>
  <c r="ABO1545" i="10" s="1"/>
  <c r="ABN1545" i="10" a="1"/>
  <c r="ABN1545" i="10" s="1"/>
  <c r="ABM1545" i="10" a="1"/>
  <c r="ABM1545" i="10" s="1"/>
  <c r="ABL1545" i="10" a="1"/>
  <c r="ABL1545" i="10" s="1"/>
  <c r="ABK1545" i="10" a="1"/>
  <c r="ABK1545" i="10" s="1"/>
  <c r="ABJ1545" i="10" a="1"/>
  <c r="ABJ1545" i="10" s="1"/>
  <c r="ABI1545" i="10" a="1"/>
  <c r="ABI1545" i="10" s="1"/>
  <c r="ABH1545" i="10" a="1"/>
  <c r="ABH1545" i="10" s="1"/>
  <c r="ABG1545" i="10" a="1"/>
  <c r="ABG1545" i="10" s="1"/>
  <c r="ABF1545" i="10" a="1"/>
  <c r="ABF1545" i="10" s="1"/>
  <c r="ABE1545" i="10" a="1"/>
  <c r="ABE1545" i="10" s="1"/>
  <c r="ABD1545" i="10" a="1"/>
  <c r="ABD1545" i="10" s="1"/>
  <c r="ABC1545" i="10" a="1"/>
  <c r="ABC1545" i="10" s="1"/>
  <c r="ABB1545" i="10" a="1"/>
  <c r="ABB1545" i="10" s="1"/>
  <c r="ABA1545" i="10" a="1"/>
  <c r="ABA1545" i="10" s="1"/>
  <c r="AAZ1545" i="10" a="1"/>
  <c r="AAZ1545" i="10" s="1"/>
  <c r="AAY1545" i="10" a="1"/>
  <c r="AAY1545" i="10" s="1"/>
  <c r="AAX1545" i="10" a="1"/>
  <c r="AAX1545" i="10" s="1"/>
  <c r="AAW1545" i="10" a="1"/>
  <c r="AAW1545" i="10" s="1"/>
  <c r="AAV1545" i="10" a="1"/>
  <c r="AAV1545" i="10" s="1"/>
  <c r="AAU1545" i="10" a="1"/>
  <c r="AAU1545" i="10" s="1"/>
  <c r="AAT1545" i="10" a="1"/>
  <c r="AAT1545" i="10" s="1"/>
  <c r="AAS1545" i="10" a="1"/>
  <c r="AAS1545" i="10" s="1"/>
  <c r="AAR1545" i="10" a="1"/>
  <c r="AAR1545" i="10" s="1"/>
  <c r="AAQ1545" i="10" a="1"/>
  <c r="AAQ1545" i="10" s="1"/>
  <c r="AAP1545" i="10" a="1"/>
  <c r="AAP1545" i="10" s="1"/>
  <c r="AAO1545" i="10" a="1"/>
  <c r="AAO1545" i="10" s="1"/>
  <c r="AAN1545" i="10" a="1"/>
  <c r="AAN1545" i="10" s="1"/>
  <c r="AAM1545" i="10" a="1"/>
  <c r="AAM1545" i="10" s="1"/>
  <c r="AAL1545" i="10" a="1"/>
  <c r="AAL1545" i="10" s="1"/>
  <c r="AAK1545" i="10" a="1"/>
  <c r="AAK1545" i="10" s="1"/>
  <c r="AAJ1545" i="10" a="1"/>
  <c r="AAJ1545" i="10" s="1"/>
  <c r="AAI1545" i="10" a="1"/>
  <c r="AAI1545" i="10" s="1"/>
  <c r="AAH1545" i="10" a="1"/>
  <c r="AAH1545" i="10" s="1"/>
  <c r="AAG1545" i="10" a="1"/>
  <c r="AAG1545" i="10" s="1"/>
  <c r="AAF1545" i="10" a="1"/>
  <c r="AAF1545" i="10" s="1"/>
  <c r="AAE1545" i="10" a="1"/>
  <c r="AAE1545" i="10" s="1"/>
  <c r="AAD1545" i="10" a="1"/>
  <c r="AAD1545" i="10" s="1"/>
  <c r="AAC1545" i="10" a="1"/>
  <c r="AAC1545" i="10" s="1"/>
  <c r="AAB1545" i="10" a="1"/>
  <c r="AAB1545" i="10" s="1"/>
  <c r="AAA1545" i="10" a="1"/>
  <c r="AAA1545" i="10" s="1"/>
  <c r="ZZ1545" i="10" a="1"/>
  <c r="ZZ1545" i="10" s="1"/>
  <c r="ZY1545" i="10" a="1"/>
  <c r="ZY1545" i="10" s="1"/>
  <c r="ZX1545" i="10" a="1"/>
  <c r="ZX1545" i="10" s="1"/>
  <c r="ZW1545" i="10" a="1"/>
  <c r="ZW1545" i="10" s="1"/>
  <c r="ZV1545" i="10" a="1"/>
  <c r="ZV1545" i="10" s="1"/>
  <c r="ZU1545" i="10" a="1"/>
  <c r="ZU1545" i="10" s="1"/>
  <c r="ZT1545" i="10" a="1"/>
  <c r="ZT1545" i="10" s="1"/>
  <c r="ZS1545" i="10" a="1"/>
  <c r="ZS1545" i="10" s="1"/>
  <c r="ZR1545" i="10" a="1"/>
  <c r="ZR1545" i="10" s="1"/>
  <c r="ZQ1545" i="10" a="1"/>
  <c r="ZQ1545" i="10" s="1"/>
  <c r="ZP1545" i="10" a="1"/>
  <c r="ZP1545" i="10" s="1"/>
  <c r="ZO1545" i="10" a="1"/>
  <c r="ZO1545" i="10" s="1"/>
  <c r="ZN1545" i="10" a="1"/>
  <c r="ZN1545" i="10" s="1"/>
  <c r="ZM1545" i="10" a="1"/>
  <c r="ZM1545" i="10" s="1"/>
  <c r="ZL1545" i="10" a="1"/>
  <c r="ZL1545" i="10" s="1"/>
  <c r="ZK1545" i="10" a="1"/>
  <c r="ZK1545" i="10" s="1"/>
  <c r="ZJ1545" i="10" a="1"/>
  <c r="ZJ1545" i="10" s="1"/>
  <c r="ZI1545" i="10" a="1"/>
  <c r="ZI1545" i="10" s="1"/>
  <c r="ZH1545" i="10" a="1"/>
  <c r="ZH1545" i="10" s="1"/>
  <c r="ZG1545" i="10" a="1"/>
  <c r="ZG1545" i="10" s="1"/>
  <c r="ZF1545" i="10" a="1"/>
  <c r="ZF1545" i="10" s="1"/>
  <c r="ZE1545" i="10" a="1"/>
  <c r="ZE1545" i="10" s="1"/>
  <c r="ZD1545" i="10" a="1"/>
  <c r="ZD1545" i="10" s="1"/>
  <c r="ZC1545" i="10" a="1"/>
  <c r="ZC1545" i="10" s="1"/>
  <c r="ZB1545" i="10" a="1"/>
  <c r="ZB1545" i="10" s="1"/>
  <c r="ZA1545" i="10" a="1"/>
  <c r="ZA1545" i="10" s="1"/>
  <c r="YZ1545" i="10" a="1"/>
  <c r="YZ1545" i="10" s="1"/>
  <c r="YY1545" i="10" a="1"/>
  <c r="YY1545" i="10" s="1"/>
  <c r="YX1545" i="10" a="1"/>
  <c r="YX1545" i="10" s="1"/>
  <c r="YW1545" i="10" a="1"/>
  <c r="YW1545" i="10" s="1"/>
  <c r="YV1545" i="10" a="1"/>
  <c r="YV1545" i="10" s="1"/>
  <c r="YU1545" i="10" a="1"/>
  <c r="YU1545" i="10" s="1"/>
  <c r="YT1545" i="10" a="1"/>
  <c r="YT1545" i="10" s="1"/>
  <c r="YS1545" i="10" a="1"/>
  <c r="YS1545" i="10" s="1"/>
  <c r="YR1545" i="10" a="1"/>
  <c r="YR1545" i="10" s="1"/>
  <c r="YQ1545" i="10" a="1"/>
  <c r="YQ1545" i="10" s="1"/>
  <c r="YP1545" i="10" a="1"/>
  <c r="YP1545" i="10" s="1"/>
  <c r="YO1545" i="10" a="1"/>
  <c r="YO1545" i="10" s="1"/>
  <c r="YN1545" i="10" a="1"/>
  <c r="YN1545" i="10" s="1"/>
  <c r="YM1545" i="10" a="1"/>
  <c r="YM1545" i="10" s="1"/>
  <c r="YL1545" i="10" a="1"/>
  <c r="YL1545" i="10" s="1"/>
  <c r="YK1545" i="10" a="1"/>
  <c r="YK1545" i="10" s="1"/>
  <c r="YJ1545" i="10" a="1"/>
  <c r="YJ1545" i="10" s="1"/>
  <c r="YI1545" i="10" a="1"/>
  <c r="YI1545" i="10" s="1"/>
  <c r="YH1545" i="10" a="1"/>
  <c r="YH1545" i="10" s="1"/>
  <c r="YG1545" i="10" a="1"/>
  <c r="YG1545" i="10" s="1"/>
  <c r="YF1545" i="10" a="1"/>
  <c r="YF1545" i="10" s="1"/>
  <c r="YE1545" i="10" a="1"/>
  <c r="YE1545" i="10" s="1"/>
  <c r="YD1545" i="10" a="1"/>
  <c r="YD1545" i="10" s="1"/>
  <c r="YC1545" i="10" a="1"/>
  <c r="YC1545" i="10" s="1"/>
  <c r="YB1545" i="10" a="1"/>
  <c r="YB1545" i="10" s="1"/>
  <c r="YA1545" i="10" a="1"/>
  <c r="YA1545" i="10" s="1"/>
  <c r="XZ1545" i="10" a="1"/>
  <c r="XZ1545" i="10" s="1"/>
  <c r="XY1545" i="10" a="1"/>
  <c r="XY1545" i="10" s="1"/>
  <c r="XX1545" i="10" a="1"/>
  <c r="XX1545" i="10" s="1"/>
  <c r="XW1545" i="10" a="1"/>
  <c r="XW1545" i="10" s="1"/>
  <c r="XV1545" i="10" a="1"/>
  <c r="XV1545" i="10" s="1"/>
  <c r="XU1545" i="10" a="1"/>
  <c r="XU1545" i="10" s="1"/>
  <c r="XT1545" i="10" a="1"/>
  <c r="XT1545" i="10" s="1"/>
  <c r="XS1545" i="10" a="1"/>
  <c r="XS1545" i="10" s="1"/>
  <c r="XR1545" i="10" a="1"/>
  <c r="XR1545" i="10" s="1"/>
  <c r="XQ1545" i="10" a="1"/>
  <c r="XQ1545" i="10" s="1"/>
  <c r="XP1545" i="10" a="1"/>
  <c r="XP1545" i="10" s="1"/>
  <c r="XO1545" i="10" a="1"/>
  <c r="XO1545" i="10" s="1"/>
  <c r="XN1545" i="10" a="1"/>
  <c r="XN1545" i="10" s="1"/>
  <c r="XM1545" i="10" a="1"/>
  <c r="XM1545" i="10" s="1"/>
  <c r="XL1545" i="10" a="1"/>
  <c r="XL1545" i="10" s="1"/>
  <c r="XK1545" i="10" a="1"/>
  <c r="XK1545" i="10" s="1"/>
  <c r="XJ1545" i="10" a="1"/>
  <c r="XJ1545" i="10" s="1"/>
  <c r="XI1545" i="10" a="1"/>
  <c r="XI1545" i="10" s="1"/>
  <c r="XH1545" i="10" a="1"/>
  <c r="XH1545" i="10" s="1"/>
  <c r="XG1545" i="10" a="1"/>
  <c r="XG1545" i="10" s="1"/>
  <c r="XF1545" i="10" a="1"/>
  <c r="XF1545" i="10" s="1"/>
  <c r="XE1545" i="10" a="1"/>
  <c r="XE1545" i="10" s="1"/>
  <c r="XD1545" i="10" a="1"/>
  <c r="XD1545" i="10" s="1"/>
  <c r="XC1545" i="10" a="1"/>
  <c r="XC1545" i="10" s="1"/>
  <c r="XB1545" i="10" a="1"/>
  <c r="XB1545" i="10" s="1"/>
  <c r="XA1545" i="10" a="1"/>
  <c r="XA1545" i="10" s="1"/>
  <c r="WZ1545" i="10" a="1"/>
  <c r="WZ1545" i="10" s="1"/>
  <c r="WY1545" i="10" a="1"/>
  <c r="WY1545" i="10" s="1"/>
  <c r="WX1545" i="10" a="1"/>
  <c r="WX1545" i="10" s="1"/>
  <c r="WW1545" i="10" a="1"/>
  <c r="WW1545" i="10" s="1"/>
  <c r="WV1545" i="10" a="1"/>
  <c r="WV1545" i="10" s="1"/>
  <c r="WU1545" i="10" a="1"/>
  <c r="WU1545" i="10" s="1"/>
  <c r="WT1545" i="10" a="1"/>
  <c r="WT1545" i="10" s="1"/>
  <c r="WS1545" i="10" a="1"/>
  <c r="WS1545" i="10" s="1"/>
  <c r="WR1545" i="10" a="1"/>
  <c r="WR1545" i="10" s="1"/>
  <c r="WQ1545" i="10" a="1"/>
  <c r="WQ1545" i="10" s="1"/>
  <c r="WP1545" i="10" a="1"/>
  <c r="WP1545" i="10" s="1"/>
  <c r="WO1545" i="10" a="1"/>
  <c r="WO1545" i="10" s="1"/>
  <c r="WN1545" i="10" a="1"/>
  <c r="WN1545" i="10" s="1"/>
  <c r="WM1545" i="10" a="1"/>
  <c r="WM1545" i="10" s="1"/>
  <c r="WL1545" i="10" a="1"/>
  <c r="WL1545" i="10" s="1"/>
  <c r="WK1545" i="10" a="1"/>
  <c r="WK1545" i="10" s="1"/>
  <c r="WJ1545" i="10" a="1"/>
  <c r="WJ1545" i="10" s="1"/>
  <c r="WI1545" i="10" a="1"/>
  <c r="WI1545" i="10" s="1"/>
  <c r="WH1545" i="10" a="1"/>
  <c r="WH1545" i="10" s="1"/>
  <c r="WG1545" i="10" a="1"/>
  <c r="WG1545" i="10" s="1"/>
  <c r="WF1545" i="10" a="1"/>
  <c r="WF1545" i="10" s="1"/>
  <c r="WE1545" i="10" a="1"/>
  <c r="WE1545" i="10" s="1"/>
  <c r="WD1545" i="10" a="1"/>
  <c r="WD1545" i="10" s="1"/>
  <c r="WC1545" i="10" a="1"/>
  <c r="WC1545" i="10" s="1"/>
  <c r="WB1545" i="10" a="1"/>
  <c r="WB1545" i="10" s="1"/>
  <c r="WA1545" i="10" a="1"/>
  <c r="WA1545" i="10" s="1"/>
  <c r="VZ1545" i="10" a="1"/>
  <c r="VZ1545" i="10" s="1"/>
  <c r="VY1545" i="10" a="1"/>
  <c r="VY1545" i="10" s="1"/>
  <c r="VX1545" i="10" a="1"/>
  <c r="VX1545" i="10" s="1"/>
  <c r="VW1545" i="10" a="1"/>
  <c r="VW1545" i="10" s="1"/>
  <c r="VV1545" i="10" a="1"/>
  <c r="VV1545" i="10" s="1"/>
  <c r="VU1545" i="10" a="1"/>
  <c r="VU1545" i="10" s="1"/>
  <c r="VT1545" i="10" a="1"/>
  <c r="VT1545" i="10" s="1"/>
  <c r="VS1545" i="10" a="1"/>
  <c r="VS1545" i="10" s="1"/>
  <c r="VR1545" i="10" a="1"/>
  <c r="VR1545" i="10" s="1"/>
  <c r="VQ1545" i="10" a="1"/>
  <c r="VQ1545" i="10" s="1"/>
  <c r="VP1545" i="10" a="1"/>
  <c r="VP1545" i="10" s="1"/>
  <c r="VO1545" i="10" a="1"/>
  <c r="VO1545" i="10" s="1"/>
  <c r="VN1545" i="10" a="1"/>
  <c r="VN1545" i="10" s="1"/>
  <c r="VM1545" i="10" a="1"/>
  <c r="VM1545" i="10" s="1"/>
  <c r="VL1545" i="10" a="1"/>
  <c r="VL1545" i="10" s="1"/>
  <c r="VK1545" i="10" a="1"/>
  <c r="VK1545" i="10" s="1"/>
  <c r="VJ1545" i="10" a="1"/>
  <c r="VJ1545" i="10" s="1"/>
  <c r="VI1545" i="10" a="1"/>
  <c r="VI1545" i="10" s="1"/>
  <c r="VH1545" i="10" a="1"/>
  <c r="VH1545" i="10" s="1"/>
  <c r="VG1545" i="10" a="1"/>
  <c r="VG1545" i="10" s="1"/>
  <c r="VF1545" i="10" a="1"/>
  <c r="VF1545" i="10" s="1"/>
  <c r="VE1545" i="10" a="1"/>
  <c r="VE1545" i="10" s="1"/>
  <c r="VD1545" i="10" a="1"/>
  <c r="VD1545" i="10" s="1"/>
  <c r="VC1545" i="10" a="1"/>
  <c r="VC1545" i="10" s="1"/>
  <c r="VB1545" i="10" a="1"/>
  <c r="VB1545" i="10" s="1"/>
  <c r="VA1545" i="10" a="1"/>
  <c r="VA1545" i="10" s="1"/>
  <c r="UZ1545" i="10" a="1"/>
  <c r="UZ1545" i="10" s="1"/>
  <c r="UY1545" i="10" a="1"/>
  <c r="UY1545" i="10" s="1"/>
  <c r="UX1545" i="10" a="1"/>
  <c r="UX1545" i="10" s="1"/>
  <c r="UW1545" i="10" a="1"/>
  <c r="UW1545" i="10" s="1"/>
  <c r="UV1545" i="10" a="1"/>
  <c r="UV1545" i="10" s="1"/>
  <c r="UU1545" i="10" a="1"/>
  <c r="UU1545" i="10" s="1"/>
  <c r="UT1545" i="10" a="1"/>
  <c r="UT1545" i="10" s="1"/>
  <c r="US1545" i="10" a="1"/>
  <c r="US1545" i="10" s="1"/>
  <c r="UR1545" i="10" a="1"/>
  <c r="UR1545" i="10" s="1"/>
  <c r="UQ1545" i="10" a="1"/>
  <c r="UQ1545" i="10" s="1"/>
  <c r="UP1545" i="10" a="1"/>
  <c r="UP1545" i="10" s="1"/>
  <c r="UO1545" i="10" a="1"/>
  <c r="UO1545" i="10" s="1"/>
  <c r="UN1545" i="10" a="1"/>
  <c r="UN1545" i="10" s="1"/>
  <c r="UM1545" i="10" a="1"/>
  <c r="UM1545" i="10" s="1"/>
  <c r="UL1545" i="10" a="1"/>
  <c r="UL1545" i="10" s="1"/>
  <c r="UK1545" i="10" a="1"/>
  <c r="UK1545" i="10" s="1"/>
  <c r="UJ1545" i="10" a="1"/>
  <c r="UJ1545" i="10" s="1"/>
  <c r="UI1545" i="10" a="1"/>
  <c r="UI1545" i="10" s="1"/>
  <c r="UH1545" i="10" a="1"/>
  <c r="UH1545" i="10" s="1"/>
  <c r="UG1545" i="10" a="1"/>
  <c r="UG1545" i="10" s="1"/>
  <c r="UF1545" i="10" a="1"/>
  <c r="UF1545" i="10" s="1"/>
  <c r="UE1545" i="10" a="1"/>
  <c r="UE1545" i="10" s="1"/>
  <c r="UD1545" i="10" a="1"/>
  <c r="UD1545" i="10" s="1"/>
  <c r="UC1545" i="10" a="1"/>
  <c r="UC1545" i="10" s="1"/>
  <c r="UB1545" i="10" a="1"/>
  <c r="UB1545" i="10" s="1"/>
  <c r="UA1545" i="10" a="1"/>
  <c r="UA1545" i="10" s="1"/>
  <c r="TZ1545" i="10" a="1"/>
  <c r="TZ1545" i="10" s="1"/>
  <c r="TY1545" i="10" a="1"/>
  <c r="TY1545" i="10" s="1"/>
  <c r="TX1545" i="10" a="1"/>
  <c r="TX1545" i="10" s="1"/>
  <c r="TW1545" i="10" a="1"/>
  <c r="TW1545" i="10" s="1"/>
  <c r="TV1545" i="10" a="1"/>
  <c r="TV1545" i="10" s="1"/>
  <c r="TU1545" i="10" a="1"/>
  <c r="TU1545" i="10" s="1"/>
  <c r="TT1545" i="10" a="1"/>
  <c r="TT1545" i="10" s="1"/>
  <c r="TS1545" i="10" a="1"/>
  <c r="TS1545" i="10" s="1"/>
  <c r="TR1545" i="10" a="1"/>
  <c r="TR1545" i="10" s="1"/>
  <c r="TQ1545" i="10" a="1"/>
  <c r="TQ1545" i="10" s="1"/>
  <c r="TP1545" i="10" a="1"/>
  <c r="TP1545" i="10" s="1"/>
  <c r="TO1545" i="10" a="1"/>
  <c r="TO1545" i="10" s="1"/>
  <c r="TN1545" i="10" a="1"/>
  <c r="TN1545" i="10" s="1"/>
  <c r="TM1545" i="10" a="1"/>
  <c r="TM1545" i="10" s="1"/>
  <c r="TL1545" i="10" a="1"/>
  <c r="TL1545" i="10" s="1"/>
  <c r="TK1545" i="10" a="1"/>
  <c r="TK1545" i="10" s="1"/>
  <c r="TJ1545" i="10" a="1"/>
  <c r="TJ1545" i="10" s="1"/>
  <c r="TI1545" i="10" a="1"/>
  <c r="TI1545" i="10" s="1"/>
  <c r="TH1545" i="10" a="1"/>
  <c r="TH1545" i="10" s="1"/>
  <c r="TG1545" i="10" a="1"/>
  <c r="TG1545" i="10" s="1"/>
  <c r="TF1545" i="10" a="1"/>
  <c r="TF1545" i="10" s="1"/>
  <c r="TE1545" i="10" a="1"/>
  <c r="TE1545" i="10" s="1"/>
  <c r="TD1545" i="10" a="1"/>
  <c r="TD1545" i="10" s="1"/>
  <c r="TC1545" i="10" a="1"/>
  <c r="TC1545" i="10" s="1"/>
  <c r="TB1545" i="10" a="1"/>
  <c r="TB1545" i="10" s="1"/>
  <c r="TA1545" i="10" a="1"/>
  <c r="TA1545" i="10" s="1"/>
  <c r="SZ1545" i="10" a="1"/>
  <c r="SZ1545" i="10" s="1"/>
  <c r="SY1545" i="10" a="1"/>
  <c r="SY1545" i="10" s="1"/>
  <c r="SX1545" i="10" a="1"/>
  <c r="SX1545" i="10" s="1"/>
  <c r="SW1545" i="10" a="1"/>
  <c r="SW1545" i="10" s="1"/>
  <c r="SV1545" i="10" a="1"/>
  <c r="SV1545" i="10" s="1"/>
  <c r="SU1545" i="10" a="1"/>
  <c r="SU1545" i="10" s="1"/>
  <c r="ST1545" i="10" a="1"/>
  <c r="ST1545" i="10" s="1"/>
  <c r="SS1545" i="10" a="1"/>
  <c r="SS1545" i="10" s="1"/>
  <c r="SR1545" i="10" a="1"/>
  <c r="SR1545" i="10" s="1"/>
  <c r="SQ1545" i="10" a="1"/>
  <c r="SQ1545" i="10" s="1"/>
  <c r="SP1545" i="10" a="1"/>
  <c r="SP1545" i="10" s="1"/>
  <c r="SO1545" i="10" a="1"/>
  <c r="SO1545" i="10" s="1"/>
  <c r="SN1545" i="10" a="1"/>
  <c r="SN1545" i="10" s="1"/>
  <c r="SM1545" i="10" a="1"/>
  <c r="SM1545" i="10" s="1"/>
  <c r="SL1545" i="10" a="1"/>
  <c r="SL1545" i="10" s="1"/>
  <c r="SK1545" i="10" a="1"/>
  <c r="SK1545" i="10" s="1"/>
  <c r="SJ1545" i="10" a="1"/>
  <c r="SJ1545" i="10" s="1"/>
  <c r="SI1545" i="10" a="1"/>
  <c r="SI1545" i="10" s="1"/>
  <c r="SH1545" i="10" a="1"/>
  <c r="SH1545" i="10" s="1"/>
  <c r="SG1545" i="10" a="1"/>
  <c r="SG1545" i="10" s="1"/>
  <c r="SF1545" i="10" a="1"/>
  <c r="SF1545" i="10" s="1"/>
  <c r="SE1545" i="10" a="1"/>
  <c r="SE1545" i="10" s="1"/>
  <c r="SD1545" i="10" a="1"/>
  <c r="SD1545" i="10" s="1"/>
  <c r="SC1545" i="10" a="1"/>
  <c r="SC1545" i="10" s="1"/>
  <c r="SB1545" i="10" a="1"/>
  <c r="SB1545" i="10" s="1"/>
  <c r="SA1545" i="10" a="1"/>
  <c r="SA1545" i="10" s="1"/>
  <c r="RZ1545" i="10" a="1"/>
  <c r="RZ1545" i="10" s="1"/>
  <c r="RY1545" i="10" a="1"/>
  <c r="RY1545" i="10" s="1"/>
  <c r="RX1545" i="10" a="1"/>
  <c r="RX1545" i="10" s="1"/>
  <c r="RW1545" i="10" a="1"/>
  <c r="RW1545" i="10" s="1"/>
  <c r="RV1545" i="10" a="1"/>
  <c r="RV1545" i="10" s="1"/>
  <c r="RU1545" i="10" a="1"/>
  <c r="RU1545" i="10" s="1"/>
  <c r="RT1545" i="10" a="1"/>
  <c r="RT1545" i="10" s="1"/>
  <c r="RS1545" i="10" a="1"/>
  <c r="RS1545" i="10" s="1"/>
  <c r="RR1545" i="10" a="1"/>
  <c r="RR1545" i="10" s="1"/>
  <c r="RQ1545" i="10" a="1"/>
  <c r="RQ1545" i="10" s="1"/>
  <c r="RP1545" i="10" a="1"/>
  <c r="RP1545" i="10" s="1"/>
  <c r="RO1545" i="10" a="1"/>
  <c r="RO1545" i="10" s="1"/>
  <c r="RN1545" i="10" a="1"/>
  <c r="RN1545" i="10" s="1"/>
  <c r="RM1545" i="10" a="1"/>
  <c r="RM1545" i="10" s="1"/>
  <c r="RL1545" i="10" a="1"/>
  <c r="RL1545" i="10" s="1"/>
  <c r="RK1545" i="10" a="1"/>
  <c r="RK1545" i="10" s="1"/>
  <c r="RJ1545" i="10" a="1"/>
  <c r="RJ1545" i="10" s="1"/>
  <c r="RI1545" i="10" a="1"/>
  <c r="RI1545" i="10" s="1"/>
  <c r="RH1545" i="10" a="1"/>
  <c r="RH1545" i="10" s="1"/>
  <c r="RG1545" i="10" a="1"/>
  <c r="RG1545" i="10" s="1"/>
  <c r="RF1545" i="10" a="1"/>
  <c r="RF1545" i="10" s="1"/>
  <c r="RE1545" i="10" a="1"/>
  <c r="RE1545" i="10" s="1"/>
  <c r="RD1545" i="10" a="1"/>
  <c r="RD1545" i="10" s="1"/>
  <c r="RC1545" i="10" a="1"/>
  <c r="RC1545" i="10" s="1"/>
  <c r="RB1545" i="10" a="1"/>
  <c r="RB1545" i="10" s="1"/>
  <c r="RA1545" i="10" a="1"/>
  <c r="RA1545" i="10" s="1"/>
  <c r="QZ1545" i="10" a="1"/>
  <c r="QZ1545" i="10" s="1"/>
  <c r="QY1545" i="10" a="1"/>
  <c r="QY1545" i="10" s="1"/>
  <c r="QX1545" i="10" a="1"/>
  <c r="QX1545" i="10" s="1"/>
  <c r="QW1545" i="10" a="1"/>
  <c r="QW1545" i="10" s="1"/>
  <c r="QV1545" i="10" a="1"/>
  <c r="QV1545" i="10" s="1"/>
  <c r="QU1545" i="10" a="1"/>
  <c r="QU1545" i="10" s="1"/>
  <c r="QT1545" i="10" a="1"/>
  <c r="QT1545" i="10" s="1"/>
  <c r="QS1545" i="10" a="1"/>
  <c r="QS1545" i="10" s="1"/>
  <c r="QR1545" i="10" a="1"/>
  <c r="QR1545" i="10" s="1"/>
  <c r="QQ1545" i="10" a="1"/>
  <c r="QQ1545" i="10" s="1"/>
  <c r="QP1545" i="10" a="1"/>
  <c r="QP1545" i="10" s="1"/>
  <c r="QO1545" i="10" a="1"/>
  <c r="QO1545" i="10" s="1"/>
  <c r="QN1545" i="10" a="1"/>
  <c r="QN1545" i="10" s="1"/>
  <c r="QM1545" i="10" a="1"/>
  <c r="QM1545" i="10" s="1"/>
  <c r="QL1545" i="10" a="1"/>
  <c r="QL1545" i="10" s="1"/>
  <c r="QK1545" i="10" a="1"/>
  <c r="QK1545" i="10" s="1"/>
  <c r="QJ1545" i="10" a="1"/>
  <c r="QJ1545" i="10" s="1"/>
  <c r="QI1545" i="10" a="1"/>
  <c r="QI1545" i="10" s="1"/>
  <c r="QH1545" i="10" a="1"/>
  <c r="QH1545" i="10" s="1"/>
  <c r="QG1545" i="10" a="1"/>
  <c r="QG1545" i="10" s="1"/>
  <c r="QF1545" i="10" a="1"/>
  <c r="QF1545" i="10" s="1"/>
  <c r="QE1545" i="10" a="1"/>
  <c r="QE1545" i="10" s="1"/>
  <c r="QD1545" i="10" a="1"/>
  <c r="QD1545" i="10" s="1"/>
  <c r="QC1545" i="10" a="1"/>
  <c r="QC1545" i="10" s="1"/>
  <c r="QB1545" i="10" a="1"/>
  <c r="QB1545" i="10" s="1"/>
  <c r="QA1545" i="10" a="1"/>
  <c r="QA1545" i="10" s="1"/>
  <c r="PZ1545" i="10" a="1"/>
  <c r="PZ1545" i="10" s="1"/>
  <c r="PY1545" i="10" a="1"/>
  <c r="PY1545" i="10" s="1"/>
  <c r="PX1545" i="10" a="1"/>
  <c r="PX1545" i="10" s="1"/>
  <c r="PW1545" i="10" a="1"/>
  <c r="PW1545" i="10" s="1"/>
  <c r="PV1545" i="10" a="1"/>
  <c r="PV1545" i="10" s="1"/>
  <c r="PU1545" i="10" a="1"/>
  <c r="PU1545" i="10" s="1"/>
  <c r="PT1545" i="10" a="1"/>
  <c r="PT1545" i="10" s="1"/>
  <c r="PS1545" i="10" a="1"/>
  <c r="PS1545" i="10" s="1"/>
  <c r="PR1545" i="10" a="1"/>
  <c r="PR1545" i="10" s="1"/>
  <c r="PQ1545" i="10" a="1"/>
  <c r="PQ1545" i="10" s="1"/>
  <c r="PP1545" i="10" a="1"/>
  <c r="PP1545" i="10" s="1"/>
  <c r="PO1545" i="10" a="1"/>
  <c r="PO1545" i="10" s="1"/>
  <c r="PN1545" i="10" a="1"/>
  <c r="PN1545" i="10" s="1"/>
  <c r="PM1545" i="10" a="1"/>
  <c r="PM1545" i="10" s="1"/>
  <c r="PL1545" i="10" a="1"/>
  <c r="PL1545" i="10" s="1"/>
  <c r="PK1545" i="10" a="1"/>
  <c r="PK1545" i="10" s="1"/>
  <c r="PJ1545" i="10" a="1"/>
  <c r="PJ1545" i="10" s="1"/>
  <c r="PI1545" i="10" a="1"/>
  <c r="PI1545" i="10" s="1"/>
  <c r="PH1545" i="10" a="1"/>
  <c r="PH1545" i="10" s="1"/>
  <c r="PG1545" i="10" a="1"/>
  <c r="PG1545" i="10" s="1"/>
  <c r="PF1545" i="10" a="1"/>
  <c r="PF1545" i="10" s="1"/>
  <c r="PE1545" i="10" a="1"/>
  <c r="PE1545" i="10" s="1"/>
  <c r="PD1545" i="10" a="1"/>
  <c r="PD1545" i="10" s="1"/>
  <c r="PC1545" i="10" a="1"/>
  <c r="PC1545" i="10" s="1"/>
  <c r="PB1545" i="10" a="1"/>
  <c r="PB1545" i="10" s="1"/>
  <c r="PA1545" i="10" a="1"/>
  <c r="PA1545" i="10" s="1"/>
  <c r="OZ1545" i="10" a="1"/>
  <c r="OZ1545" i="10" s="1"/>
  <c r="OY1545" i="10" a="1"/>
  <c r="OY1545" i="10" s="1"/>
  <c r="OX1545" i="10" a="1"/>
  <c r="OX1545" i="10" s="1"/>
  <c r="OW1545" i="10" a="1"/>
  <c r="OW1545" i="10" s="1"/>
  <c r="OV1545" i="10" a="1"/>
  <c r="OV1545" i="10" s="1"/>
  <c r="OU1545" i="10" a="1"/>
  <c r="OU1545" i="10" s="1"/>
  <c r="OT1545" i="10" a="1"/>
  <c r="OT1545" i="10" s="1"/>
  <c r="OS1545" i="10" a="1"/>
  <c r="OS1545" i="10" s="1"/>
  <c r="OR1545" i="10" a="1"/>
  <c r="OR1545" i="10" s="1"/>
  <c r="OQ1545" i="10" a="1"/>
  <c r="OQ1545" i="10" s="1"/>
  <c r="OP1545" i="10" a="1"/>
  <c r="OP1545" i="10" s="1"/>
  <c r="OO1545" i="10" a="1"/>
  <c r="OO1545" i="10" s="1"/>
  <c r="ON1545" i="10" a="1"/>
  <c r="ON1545" i="10" s="1"/>
  <c r="OM1545" i="10" a="1"/>
  <c r="OM1545" i="10" s="1"/>
  <c r="OL1545" i="10" a="1"/>
  <c r="OL1545" i="10" s="1"/>
  <c r="OK1545" i="10" a="1"/>
  <c r="OK1545" i="10" s="1"/>
  <c r="OJ1545" i="10" a="1"/>
  <c r="OJ1545" i="10" s="1"/>
  <c r="OI1545" i="10" a="1"/>
  <c r="OI1545" i="10" s="1"/>
  <c r="OH1545" i="10" a="1"/>
  <c r="OH1545" i="10" s="1"/>
  <c r="OG1545" i="10" a="1"/>
  <c r="OG1545" i="10" s="1"/>
  <c r="OF1545" i="10" a="1"/>
  <c r="OF1545" i="10" s="1"/>
  <c r="OE1545" i="10" a="1"/>
  <c r="OE1545" i="10" s="1"/>
  <c r="OD1545" i="10" a="1"/>
  <c r="OD1545" i="10" s="1"/>
  <c r="OC1545" i="10" a="1"/>
  <c r="OC1545" i="10" s="1"/>
  <c r="OB1545" i="10" a="1"/>
  <c r="OB1545" i="10" s="1"/>
  <c r="OA1545" i="10" a="1"/>
  <c r="OA1545" i="10" s="1"/>
  <c r="NZ1545" i="10" a="1"/>
  <c r="NZ1545" i="10" s="1"/>
  <c r="NY1545" i="10" a="1"/>
  <c r="NY1545" i="10" s="1"/>
  <c r="NX1545" i="10" a="1"/>
  <c r="NX1545" i="10" s="1"/>
  <c r="NW1545" i="10" a="1"/>
  <c r="NW1545" i="10" s="1"/>
  <c r="NV1545" i="10" a="1"/>
  <c r="NV1545" i="10" s="1"/>
  <c r="NU1545" i="10" a="1"/>
  <c r="NU1545" i="10" s="1"/>
  <c r="NT1545" i="10" a="1"/>
  <c r="NT1545" i="10" s="1"/>
  <c r="NS1545" i="10" a="1"/>
  <c r="NS1545" i="10" s="1"/>
  <c r="NR1545" i="10" a="1"/>
  <c r="NR1545" i="10" s="1"/>
  <c r="NQ1545" i="10" a="1"/>
  <c r="NQ1545" i="10" s="1"/>
  <c r="NP1545" i="10" a="1"/>
  <c r="NP1545" i="10" s="1"/>
  <c r="NO1545" i="10" a="1"/>
  <c r="NO1545" i="10" s="1"/>
  <c r="NN1545" i="10" a="1"/>
  <c r="NN1545" i="10" s="1"/>
  <c r="NM1545" i="10" a="1"/>
  <c r="NM1545" i="10" s="1"/>
  <c r="NL1545" i="10" a="1"/>
  <c r="NL1545" i="10" s="1"/>
  <c r="NK1545" i="10" a="1"/>
  <c r="NK1545" i="10" s="1"/>
  <c r="NJ1545" i="10" a="1"/>
  <c r="NJ1545" i="10" s="1"/>
  <c r="NI1545" i="10" a="1"/>
  <c r="NI1545" i="10" s="1"/>
  <c r="NH1545" i="10" a="1"/>
  <c r="NH1545" i="10" s="1"/>
  <c r="NG1545" i="10" a="1"/>
  <c r="NG1545" i="10" s="1"/>
  <c r="NF1545" i="10" a="1"/>
  <c r="NF1545" i="10" s="1"/>
  <c r="NE1545" i="10" a="1"/>
  <c r="NE1545" i="10" s="1"/>
  <c r="ND1545" i="10" a="1"/>
  <c r="ND1545" i="10" s="1"/>
  <c r="NC1545" i="10" a="1"/>
  <c r="NC1545" i="10" s="1"/>
  <c r="NB1545" i="10" a="1"/>
  <c r="NB1545" i="10" s="1"/>
  <c r="NA1545" i="10" a="1"/>
  <c r="NA1545" i="10" s="1"/>
  <c r="MZ1545" i="10" a="1"/>
  <c r="MZ1545" i="10" s="1"/>
  <c r="MY1545" i="10" a="1"/>
  <c r="MY1545" i="10" s="1"/>
  <c r="MX1545" i="10" a="1"/>
  <c r="MX1545" i="10" s="1"/>
  <c r="MW1545" i="10" a="1"/>
  <c r="MW1545" i="10" s="1"/>
  <c r="MV1545" i="10" a="1"/>
  <c r="MV1545" i="10" s="1"/>
  <c r="MU1545" i="10" a="1"/>
  <c r="MU1545" i="10" s="1"/>
  <c r="MT1545" i="10" a="1"/>
  <c r="MT1545" i="10" s="1"/>
  <c r="MS1545" i="10" a="1"/>
  <c r="MS1545" i="10" s="1"/>
  <c r="MR1545" i="10" a="1"/>
  <c r="MR1545" i="10" s="1"/>
  <c r="MQ1545" i="10" a="1"/>
  <c r="MQ1545" i="10" s="1"/>
  <c r="MP1545" i="10" a="1"/>
  <c r="MP1545" i="10" s="1"/>
  <c r="MO1545" i="10" a="1"/>
  <c r="MO1545" i="10" s="1"/>
  <c r="MN1545" i="10" a="1"/>
  <c r="MN1545" i="10" s="1"/>
  <c r="MM1545" i="10" a="1"/>
  <c r="MM1545" i="10" s="1"/>
  <c r="ML1545" i="10" a="1"/>
  <c r="ML1545" i="10" s="1"/>
  <c r="MK1545" i="10" a="1"/>
  <c r="MK1545" i="10" s="1"/>
  <c r="MJ1545" i="10" a="1"/>
  <c r="MJ1545" i="10" s="1"/>
  <c r="MI1545" i="10" a="1"/>
  <c r="MI1545" i="10" s="1"/>
  <c r="MH1545" i="10" a="1"/>
  <c r="MH1545" i="10" s="1"/>
  <c r="MG1545" i="10" a="1"/>
  <c r="MG1545" i="10" s="1"/>
  <c r="MF1545" i="10" a="1"/>
  <c r="MF1545" i="10" s="1"/>
  <c r="ME1545" i="10" a="1"/>
  <c r="ME1545" i="10" s="1"/>
  <c r="MD1545" i="10" a="1"/>
  <c r="MD1545" i="10" s="1"/>
  <c r="MC1545" i="10" a="1"/>
  <c r="MC1545" i="10" s="1"/>
  <c r="MB1545" i="10" a="1"/>
  <c r="MB1545" i="10" s="1"/>
  <c r="MA1545" i="10" a="1"/>
  <c r="MA1545" i="10" s="1"/>
  <c r="LZ1545" i="10" a="1"/>
  <c r="LZ1545" i="10" s="1"/>
  <c r="LY1545" i="10" a="1"/>
  <c r="LY1545" i="10" s="1"/>
  <c r="LX1545" i="10" a="1"/>
  <c r="LX1545" i="10" s="1"/>
  <c r="LW1545" i="10" a="1"/>
  <c r="LW1545" i="10" s="1"/>
  <c r="LV1545" i="10" a="1"/>
  <c r="LV1545" i="10" s="1"/>
  <c r="LU1545" i="10" a="1"/>
  <c r="LU1545" i="10" s="1"/>
  <c r="LT1545" i="10" a="1"/>
  <c r="LT1545" i="10" s="1"/>
  <c r="LS1545" i="10" a="1"/>
  <c r="LS1545" i="10" s="1"/>
  <c r="LR1545" i="10" a="1"/>
  <c r="LR1545" i="10" s="1"/>
  <c r="LQ1545" i="10" a="1"/>
  <c r="LQ1545" i="10" s="1"/>
  <c r="LP1545" i="10" a="1"/>
  <c r="LP1545" i="10" s="1"/>
  <c r="LO1545" i="10" a="1"/>
  <c r="LO1545" i="10" s="1"/>
  <c r="LN1545" i="10" a="1"/>
  <c r="LN1545" i="10" s="1"/>
  <c r="LM1545" i="10" a="1"/>
  <c r="LM1545" i="10" s="1"/>
  <c r="LL1545" i="10" a="1"/>
  <c r="LL1545" i="10" s="1"/>
  <c r="LK1545" i="10" a="1"/>
  <c r="LK1545" i="10" s="1"/>
  <c r="LJ1545" i="10" a="1"/>
  <c r="LJ1545" i="10" s="1"/>
  <c r="LI1545" i="10" a="1"/>
  <c r="LI1545" i="10" s="1"/>
  <c r="LH1545" i="10" a="1"/>
  <c r="LH1545" i="10" s="1"/>
  <c r="LG1545" i="10" a="1"/>
  <c r="LG1545" i="10" s="1"/>
  <c r="LF1545" i="10" a="1"/>
  <c r="LF1545" i="10" s="1"/>
  <c r="LE1545" i="10" a="1"/>
  <c r="LE1545" i="10" s="1"/>
  <c r="LD1545" i="10" a="1"/>
  <c r="LD1545" i="10" s="1"/>
  <c r="LC1545" i="10" a="1"/>
  <c r="LC1545" i="10" s="1"/>
  <c r="LB1545" i="10" a="1"/>
  <c r="LB1545" i="10" s="1"/>
  <c r="LA1545" i="10" a="1"/>
  <c r="LA1545" i="10" s="1"/>
  <c r="KZ1545" i="10" a="1"/>
  <c r="KZ1545" i="10" s="1"/>
  <c r="KY1545" i="10" a="1"/>
  <c r="KY1545" i="10" s="1"/>
  <c r="KX1545" i="10" a="1"/>
  <c r="KX1545" i="10" s="1"/>
  <c r="KW1545" i="10" a="1"/>
  <c r="KW1545" i="10" s="1"/>
  <c r="KV1545" i="10" a="1"/>
  <c r="KV1545" i="10" s="1"/>
  <c r="KU1545" i="10" a="1"/>
  <c r="KU1545" i="10" s="1"/>
  <c r="KT1545" i="10" a="1"/>
  <c r="KT1545" i="10" s="1"/>
  <c r="KS1545" i="10" a="1"/>
  <c r="KS1545" i="10" s="1"/>
  <c r="KR1545" i="10" a="1"/>
  <c r="KR1545" i="10" s="1"/>
  <c r="KQ1545" i="10" a="1"/>
  <c r="KQ1545" i="10" s="1"/>
  <c r="KP1545" i="10" a="1"/>
  <c r="KP1545" i="10" s="1"/>
  <c r="KO1545" i="10" a="1"/>
  <c r="KO1545" i="10" s="1"/>
  <c r="KN1545" i="10" a="1"/>
  <c r="KN1545" i="10" s="1"/>
  <c r="KM1545" i="10" a="1"/>
  <c r="KM1545" i="10" s="1"/>
  <c r="KL1545" i="10" a="1"/>
  <c r="KL1545" i="10" s="1"/>
  <c r="KK1545" i="10" a="1"/>
  <c r="KK1545" i="10" s="1"/>
  <c r="KJ1545" i="10" a="1"/>
  <c r="KJ1545" i="10" s="1"/>
  <c r="KI1545" i="10" a="1"/>
  <c r="KI1545" i="10" s="1"/>
  <c r="KH1545" i="10" a="1"/>
  <c r="KH1545" i="10" s="1"/>
  <c r="KG1545" i="10" a="1"/>
  <c r="KG1545" i="10" s="1"/>
  <c r="KF1545" i="10" a="1"/>
  <c r="KF1545" i="10" s="1"/>
  <c r="KE1545" i="10" a="1"/>
  <c r="KE1545" i="10" s="1"/>
  <c r="KD1545" i="10" a="1"/>
  <c r="KD1545" i="10" s="1"/>
  <c r="KC1545" i="10" a="1"/>
  <c r="KC1545" i="10" s="1"/>
  <c r="KB1545" i="10" a="1"/>
  <c r="KB1545" i="10" s="1"/>
  <c r="KA1545" i="10" a="1"/>
  <c r="KA1545" i="10" s="1"/>
  <c r="JZ1545" i="10" a="1"/>
  <c r="JZ1545" i="10" s="1"/>
  <c r="JY1545" i="10" a="1"/>
  <c r="JY1545" i="10" s="1"/>
  <c r="JX1545" i="10" a="1"/>
  <c r="JX1545" i="10" s="1"/>
  <c r="JW1545" i="10" a="1"/>
  <c r="JW1545" i="10" s="1"/>
  <c r="JV1545" i="10" a="1"/>
  <c r="JV1545" i="10" s="1"/>
  <c r="JU1545" i="10" a="1"/>
  <c r="JU1545" i="10" s="1"/>
  <c r="JT1545" i="10" a="1"/>
  <c r="JT1545" i="10" s="1"/>
  <c r="JS1545" i="10" a="1"/>
  <c r="JS1545" i="10" s="1"/>
  <c r="JR1545" i="10" a="1"/>
  <c r="JR1545" i="10" s="1"/>
  <c r="JQ1545" i="10" a="1"/>
  <c r="JQ1545" i="10" s="1"/>
  <c r="JP1545" i="10" a="1"/>
  <c r="JP1545" i="10" s="1"/>
  <c r="JO1545" i="10" a="1"/>
  <c r="JO1545" i="10" s="1"/>
  <c r="JN1545" i="10" a="1"/>
  <c r="JN1545" i="10" s="1"/>
  <c r="JM1545" i="10" a="1"/>
  <c r="JM1545" i="10" s="1"/>
  <c r="JL1545" i="10" a="1"/>
  <c r="JL1545" i="10" s="1"/>
  <c r="JK1545" i="10" a="1"/>
  <c r="JK1545" i="10" s="1"/>
  <c r="JJ1545" i="10" a="1"/>
  <c r="JJ1545" i="10" s="1"/>
  <c r="JI1545" i="10" a="1"/>
  <c r="JI1545" i="10" s="1"/>
  <c r="JH1545" i="10" a="1"/>
  <c r="JH1545" i="10" s="1"/>
  <c r="JG1545" i="10" a="1"/>
  <c r="JG1545" i="10" s="1"/>
  <c r="JF1545" i="10" a="1"/>
  <c r="JF1545" i="10" s="1"/>
  <c r="JE1545" i="10" a="1"/>
  <c r="JE1545" i="10" s="1"/>
  <c r="JD1545" i="10" a="1"/>
  <c r="JD1545" i="10" s="1"/>
  <c r="JC1545" i="10" a="1"/>
  <c r="JC1545" i="10" s="1"/>
  <c r="JB1545" i="10" a="1"/>
  <c r="JB1545" i="10" s="1"/>
  <c r="JA1545" i="10" a="1"/>
  <c r="JA1545" i="10" s="1"/>
  <c r="IZ1545" i="10" a="1"/>
  <c r="IZ1545" i="10" s="1"/>
  <c r="IY1545" i="10" a="1"/>
  <c r="IY1545" i="10" s="1"/>
  <c r="IX1545" i="10" a="1"/>
  <c r="IX1545" i="10" s="1"/>
  <c r="IW1545" i="10" a="1"/>
  <c r="IW1545" i="10" s="1"/>
  <c r="IV1545" i="10" a="1"/>
  <c r="IV1545" i="10" s="1"/>
  <c r="IU1545" i="10" a="1"/>
  <c r="IU1545" i="10" s="1"/>
  <c r="IT1545" i="10" a="1"/>
  <c r="IT1545" i="10" s="1"/>
  <c r="IS1545" i="10" a="1"/>
  <c r="IS1545" i="10" s="1"/>
  <c r="IR1545" i="10" a="1"/>
  <c r="IR1545" i="10" s="1"/>
  <c r="IQ1545" i="10" a="1"/>
  <c r="IQ1545" i="10" s="1"/>
  <c r="IP1545" i="10" a="1"/>
  <c r="IP1545" i="10" s="1"/>
  <c r="IO1545" i="10" a="1"/>
  <c r="IO1545" i="10" s="1"/>
  <c r="IN1545" i="10" a="1"/>
  <c r="IN1545" i="10" s="1"/>
  <c r="IM1545" i="10" a="1"/>
  <c r="IM1545" i="10" s="1"/>
  <c r="IL1545" i="10" a="1"/>
  <c r="IL1545" i="10" s="1"/>
  <c r="IK1545" i="10" a="1"/>
  <c r="IK1545" i="10" s="1"/>
  <c r="IJ1545" i="10" a="1"/>
  <c r="IJ1545" i="10" s="1"/>
  <c r="II1545" i="10" a="1"/>
  <c r="II1545" i="10" s="1"/>
  <c r="IH1545" i="10" a="1"/>
  <c r="IH1545" i="10" s="1"/>
  <c r="IG1545" i="10" a="1"/>
  <c r="IG1545" i="10" s="1"/>
  <c r="IF1545" i="10" a="1"/>
  <c r="IF1545" i="10" s="1"/>
  <c r="IE1545" i="10" a="1"/>
  <c r="IE1545" i="10" s="1"/>
  <c r="ID1545" i="10" a="1"/>
  <c r="ID1545" i="10" s="1"/>
  <c r="IC1545" i="10" a="1"/>
  <c r="IC1545" i="10" s="1"/>
  <c r="IB1545" i="10" a="1"/>
  <c r="IB1545" i="10" s="1"/>
  <c r="IA1545" i="10" a="1"/>
  <c r="IA1545" i="10" s="1"/>
  <c r="HZ1545" i="10" a="1"/>
  <c r="HZ1545" i="10" s="1"/>
  <c r="HY1545" i="10" a="1"/>
  <c r="HY1545" i="10" s="1"/>
  <c r="HX1545" i="10" a="1"/>
  <c r="HX1545" i="10" s="1"/>
  <c r="HW1545" i="10" a="1"/>
  <c r="HW1545" i="10" s="1"/>
  <c r="HV1545" i="10" a="1"/>
  <c r="HV1545" i="10" s="1"/>
  <c r="HU1545" i="10" a="1"/>
  <c r="HU1545" i="10" s="1"/>
  <c r="HT1545" i="10" a="1"/>
  <c r="HT1545" i="10" s="1"/>
  <c r="HS1545" i="10" a="1"/>
  <c r="HS1545" i="10" s="1"/>
  <c r="HR1545" i="10" a="1"/>
  <c r="HR1545" i="10" s="1"/>
  <c r="HQ1545" i="10" a="1"/>
  <c r="HQ1545" i="10" s="1"/>
  <c r="HP1545" i="10" a="1"/>
  <c r="HP1545" i="10" s="1"/>
  <c r="HO1545" i="10" a="1"/>
  <c r="HO1545" i="10" s="1"/>
  <c r="HN1545" i="10" a="1"/>
  <c r="HN1545" i="10" s="1"/>
  <c r="HM1545" i="10" a="1"/>
  <c r="HM1545" i="10" s="1"/>
  <c r="HL1545" i="10" a="1"/>
  <c r="HL1545" i="10" s="1"/>
  <c r="HK1545" i="10" a="1"/>
  <c r="HK1545" i="10" s="1"/>
  <c r="HJ1545" i="10" a="1"/>
  <c r="HJ1545" i="10" s="1"/>
  <c r="HI1545" i="10" a="1"/>
  <c r="HI1545" i="10" s="1"/>
  <c r="HH1545" i="10" a="1"/>
  <c r="HH1545" i="10" s="1"/>
  <c r="HG1545" i="10" a="1"/>
  <c r="HG1545" i="10" s="1"/>
  <c r="HF1545" i="10" a="1"/>
  <c r="HF1545" i="10" s="1"/>
  <c r="HE1545" i="10" a="1"/>
  <c r="HE1545" i="10" s="1"/>
  <c r="HD1545" i="10" a="1"/>
  <c r="HD1545" i="10" s="1"/>
  <c r="HC1545" i="10" a="1"/>
  <c r="HC1545" i="10" s="1"/>
  <c r="HB1545" i="10" a="1"/>
  <c r="HB1545" i="10" s="1"/>
  <c r="HA1545" i="10" a="1"/>
  <c r="HA1545" i="10" s="1"/>
  <c r="GZ1545" i="10" a="1"/>
  <c r="GZ1545" i="10" s="1"/>
  <c r="GY1545" i="10" a="1"/>
  <c r="GY1545" i="10" s="1"/>
  <c r="GX1545" i="10" a="1"/>
  <c r="GX1545" i="10" s="1"/>
  <c r="GW1545" i="10" a="1"/>
  <c r="GW1545" i="10" s="1"/>
  <c r="GV1545" i="10" a="1"/>
  <c r="GV1545" i="10" s="1"/>
  <c r="GU1545" i="10" a="1"/>
  <c r="GU1545" i="10" s="1"/>
  <c r="GT1545" i="10" a="1"/>
  <c r="GT1545" i="10" s="1"/>
  <c r="GS1545" i="10" a="1"/>
  <c r="GS1545" i="10" s="1"/>
  <c r="GR1545" i="10" a="1"/>
  <c r="GR1545" i="10" s="1"/>
  <c r="GQ1545" i="10" a="1"/>
  <c r="GQ1545" i="10" s="1"/>
  <c r="GP1545" i="10" a="1"/>
  <c r="GP1545" i="10" s="1"/>
  <c r="GO1545" i="10" a="1"/>
  <c r="GO1545" i="10" s="1"/>
  <c r="GN1545" i="10" a="1"/>
  <c r="GN1545" i="10" s="1"/>
  <c r="GM1545" i="10" a="1"/>
  <c r="GM1545" i="10" s="1"/>
  <c r="GL1545" i="10" a="1"/>
  <c r="GL1545" i="10" s="1"/>
  <c r="GK1545" i="10" a="1"/>
  <c r="GK1545" i="10" s="1"/>
  <c r="GJ1545" i="10" a="1"/>
  <c r="GJ1545" i="10" s="1"/>
  <c r="GI1545" i="10" a="1"/>
  <c r="GI1545" i="10" s="1"/>
  <c r="GH1545" i="10" a="1"/>
  <c r="GH1545" i="10" s="1"/>
  <c r="GG1545" i="10" a="1"/>
  <c r="GG1545" i="10" s="1"/>
  <c r="GF1545" i="10" a="1"/>
  <c r="GF1545" i="10" s="1"/>
  <c r="GE1545" i="10" a="1"/>
  <c r="GE1545" i="10" s="1"/>
  <c r="GD1545" i="10" a="1"/>
  <c r="GD1545" i="10" s="1"/>
  <c r="GC1545" i="10" a="1"/>
  <c r="GC1545" i="10" s="1"/>
  <c r="GB1545" i="10" a="1"/>
  <c r="GB1545" i="10" s="1"/>
  <c r="GA1545" i="10" a="1"/>
  <c r="GA1545" i="10" s="1"/>
  <c r="FZ1545" i="10" a="1"/>
  <c r="FZ1545" i="10" s="1"/>
  <c r="FY1545" i="10" a="1"/>
  <c r="FY1545" i="10" s="1"/>
  <c r="FX1545" i="10" a="1"/>
  <c r="FX1545" i="10" s="1"/>
  <c r="FW1545" i="10" a="1"/>
  <c r="FW1545" i="10" s="1"/>
  <c r="FV1545" i="10" a="1"/>
  <c r="FV1545" i="10" s="1"/>
  <c r="FU1545" i="10" a="1"/>
  <c r="FU1545" i="10" s="1"/>
  <c r="FT1545" i="10" a="1"/>
  <c r="FT1545" i="10" s="1"/>
  <c r="FS1545" i="10" a="1"/>
  <c r="FS1545" i="10" s="1"/>
  <c r="FR1545" i="10" a="1"/>
  <c r="FR1545" i="10" s="1"/>
  <c r="FQ1545" i="10" a="1"/>
  <c r="FQ1545" i="10" s="1"/>
  <c r="FP1545" i="10" a="1"/>
  <c r="FP1545" i="10" s="1"/>
  <c r="FO1545" i="10" a="1"/>
  <c r="FO1545" i="10" s="1"/>
  <c r="FN1545" i="10" a="1"/>
  <c r="FN1545" i="10" s="1"/>
  <c r="FM1545" i="10" a="1"/>
  <c r="FM1545" i="10" s="1"/>
  <c r="FL1545" i="10" a="1"/>
  <c r="FL1545" i="10" s="1"/>
  <c r="FK1545" i="10" a="1"/>
  <c r="FK1545" i="10" s="1"/>
  <c r="FJ1545" i="10" a="1"/>
  <c r="FJ1545" i="10" s="1"/>
  <c r="FI1545" i="10" a="1"/>
  <c r="FI1545" i="10" s="1"/>
  <c r="FH1545" i="10" a="1"/>
  <c r="FH1545" i="10" s="1"/>
  <c r="FG1545" i="10" a="1"/>
  <c r="FG1545" i="10" s="1"/>
  <c r="FF1545" i="10" a="1"/>
  <c r="FF1545" i="10" s="1"/>
  <c r="FE1545" i="10" a="1"/>
  <c r="FE1545" i="10" s="1"/>
  <c r="FD1545" i="10" a="1"/>
  <c r="FD1545" i="10" s="1"/>
  <c r="FC1545" i="10" a="1"/>
  <c r="FC1545" i="10" s="1"/>
  <c r="FB1545" i="10" a="1"/>
  <c r="FB1545" i="10" s="1"/>
  <c r="FA1545" i="10" a="1"/>
  <c r="FA1545" i="10" s="1"/>
  <c r="EZ1545" i="10" a="1"/>
  <c r="EZ1545" i="10" s="1"/>
  <c r="EY1545" i="10" a="1"/>
  <c r="EY1545" i="10" s="1"/>
  <c r="EX1545" i="10" a="1"/>
  <c r="EX1545" i="10" s="1"/>
  <c r="EW1545" i="10" a="1"/>
  <c r="EW1545" i="10" s="1"/>
  <c r="EV1545" i="10" a="1"/>
  <c r="EV1545" i="10" s="1"/>
  <c r="EU1545" i="10" a="1"/>
  <c r="EU1545" i="10" s="1"/>
  <c r="ET1545" i="10" a="1"/>
  <c r="ET1545" i="10" s="1"/>
  <c r="ES1545" i="10" a="1"/>
  <c r="ES1545" i="10" s="1"/>
  <c r="ER1545" i="10" a="1"/>
  <c r="ER1545" i="10" s="1"/>
  <c r="EQ1545" i="10" a="1"/>
  <c r="EQ1545" i="10" s="1"/>
  <c r="EP1545" i="10" a="1"/>
  <c r="EP1545" i="10" s="1"/>
  <c r="EO1545" i="10" a="1"/>
  <c r="EO1545" i="10" s="1"/>
  <c r="EN1545" i="10" a="1"/>
  <c r="EN1545" i="10" s="1"/>
  <c r="EM1545" i="10" a="1"/>
  <c r="EM1545" i="10" s="1"/>
  <c r="EL1545" i="10" a="1"/>
  <c r="EL1545" i="10" s="1"/>
  <c r="EK1545" i="10" a="1"/>
  <c r="EK1545" i="10" s="1"/>
  <c r="EJ1545" i="10" a="1"/>
  <c r="EJ1545" i="10" s="1"/>
  <c r="EI1545" i="10" a="1"/>
  <c r="EI1545" i="10" s="1"/>
  <c r="EH1545" i="10" a="1"/>
  <c r="EH1545" i="10" s="1"/>
  <c r="EG1545" i="10" a="1"/>
  <c r="EG1545" i="10" s="1"/>
  <c r="EF1545" i="10" a="1"/>
  <c r="EF1545" i="10" s="1"/>
  <c r="EE1545" i="10" a="1"/>
  <c r="EE1545" i="10" s="1"/>
  <c r="ED1545" i="10" a="1"/>
  <c r="ED1545" i="10" s="1"/>
  <c r="EC1545" i="10" a="1"/>
  <c r="EC1545" i="10" s="1"/>
  <c r="EB1545" i="10" a="1"/>
  <c r="EB1545" i="10" s="1"/>
  <c r="EA1545" i="10" a="1"/>
  <c r="EA1545" i="10" s="1"/>
  <c r="DZ1545" i="10" a="1"/>
  <c r="DZ1545" i="10" s="1"/>
  <c r="DY1545" i="10" a="1"/>
  <c r="DY1545" i="10" s="1"/>
  <c r="DX1545" i="10" a="1"/>
  <c r="DX1545" i="10" s="1"/>
  <c r="DW1545" i="10" a="1"/>
  <c r="DW1545" i="10" s="1"/>
  <c r="DV1545" i="10" a="1"/>
  <c r="DV1545" i="10" s="1"/>
  <c r="DU1545" i="10" a="1"/>
  <c r="DU1545" i="10" s="1"/>
  <c r="DT1545" i="10" a="1"/>
  <c r="DT1545" i="10" s="1"/>
  <c r="DS1545" i="10" a="1"/>
  <c r="DS1545" i="10" s="1"/>
  <c r="DR1545" i="10" a="1"/>
  <c r="DR1545" i="10" s="1"/>
  <c r="DQ1545" i="10" a="1"/>
  <c r="DQ1545" i="10" s="1"/>
  <c r="DP1545" i="10" a="1"/>
  <c r="DP1545" i="10" s="1"/>
  <c r="DO1545" i="10" a="1"/>
  <c r="DO1545" i="10" s="1"/>
  <c r="DN1545" i="10" a="1"/>
  <c r="DN1545" i="10" s="1"/>
  <c r="DM1545" i="10" a="1"/>
  <c r="DM1545" i="10" s="1"/>
  <c r="DL1545" i="10" a="1"/>
  <c r="DL1545" i="10" s="1"/>
  <c r="DK1545" i="10" a="1"/>
  <c r="DK1545" i="10" s="1"/>
  <c r="DJ1545" i="10" a="1"/>
  <c r="DJ1545" i="10" s="1"/>
  <c r="DI1545" i="10" a="1"/>
  <c r="DI1545" i="10" s="1"/>
  <c r="DH1545" i="10" a="1"/>
  <c r="DH1545" i="10" s="1"/>
  <c r="DG1545" i="10" a="1"/>
  <c r="DG1545" i="10" s="1"/>
  <c r="DF1545" i="10" a="1"/>
  <c r="DF1545" i="10" s="1"/>
  <c r="DE1545" i="10" a="1"/>
  <c r="DE1545" i="10" s="1"/>
  <c r="DD1545" i="10" a="1"/>
  <c r="DD1545" i="10" s="1"/>
  <c r="DC1545" i="10" a="1"/>
  <c r="DC1545" i="10" s="1"/>
  <c r="DB1545" i="10" a="1"/>
  <c r="DB1545" i="10" s="1"/>
  <c r="DA1545" i="10" a="1"/>
  <c r="DA1545" i="10" s="1"/>
  <c r="CZ1545" i="10" a="1"/>
  <c r="CZ1545" i="10" s="1"/>
  <c r="CY1545" i="10" a="1"/>
  <c r="CY1545" i="10" s="1"/>
  <c r="CX1545" i="10" a="1"/>
  <c r="CX1545" i="10" s="1"/>
  <c r="CW1545" i="10" a="1"/>
  <c r="CW1545" i="10" s="1"/>
  <c r="CV1545" i="10" a="1"/>
  <c r="CV1545" i="10" s="1"/>
  <c r="CU1545" i="10" a="1"/>
  <c r="CU1545" i="10" s="1"/>
  <c r="CT1545" i="10" a="1"/>
  <c r="CT1545" i="10" s="1"/>
  <c r="CS1545" i="10" a="1"/>
  <c r="CS1545" i="10" s="1"/>
  <c r="CR1545" i="10" a="1"/>
  <c r="CR1545" i="10" s="1"/>
  <c r="CQ1545" i="10" a="1"/>
  <c r="CQ1545" i="10" s="1"/>
  <c r="CP1545" i="10" a="1"/>
  <c r="CP1545" i="10" s="1"/>
  <c r="CO1545" i="10" a="1"/>
  <c r="CO1545" i="10" s="1"/>
  <c r="CN1545" i="10" a="1"/>
  <c r="CN1545" i="10" s="1"/>
  <c r="CM1545" i="10" a="1"/>
  <c r="CM1545" i="10" s="1"/>
  <c r="CL1545" i="10" a="1"/>
  <c r="CL1545" i="10" s="1"/>
  <c r="CK1545" i="10" a="1"/>
  <c r="CK1545" i="10" s="1"/>
  <c r="CJ1545" i="10" a="1"/>
  <c r="CJ1545" i="10" s="1"/>
  <c r="CI1545" i="10" a="1"/>
  <c r="CI1545" i="10" s="1"/>
  <c r="CH1545" i="10" a="1"/>
  <c r="CH1545" i="10" s="1"/>
  <c r="CG1545" i="10" a="1"/>
  <c r="CG1545" i="10" s="1"/>
  <c r="CF1545" i="10" a="1"/>
  <c r="CF1545" i="10" s="1"/>
  <c r="CE1545" i="10" a="1"/>
  <c r="CE1545" i="10" s="1"/>
  <c r="CD1545" i="10" a="1"/>
  <c r="CD1545" i="10" s="1"/>
  <c r="CC1545" i="10" a="1"/>
  <c r="CC1545" i="10" s="1"/>
  <c r="CB1545" i="10" a="1"/>
  <c r="CB1545" i="10" s="1"/>
  <c r="CA1545" i="10" a="1"/>
  <c r="CA1545" i="10" s="1"/>
  <c r="BZ1545" i="10" a="1"/>
  <c r="BZ1545" i="10" s="1"/>
  <c r="BY1545" i="10" a="1"/>
  <c r="BY1545" i="10" s="1"/>
  <c r="BX1545" i="10" a="1"/>
  <c r="BX1545" i="10" s="1"/>
  <c r="BW1545" i="10" a="1"/>
  <c r="BW1545" i="10" s="1"/>
  <c r="BV1545" i="10" a="1"/>
  <c r="BV1545" i="10" s="1"/>
  <c r="BU1545" i="10" a="1"/>
  <c r="BU1545" i="10" s="1"/>
  <c r="BT1545" i="10" a="1"/>
  <c r="BT1545" i="10" s="1"/>
  <c r="BS1545" i="10" a="1"/>
  <c r="BS1545" i="10" s="1"/>
  <c r="BR1545" i="10" a="1"/>
  <c r="BR1545" i="10" s="1"/>
  <c r="BQ1545" i="10" a="1"/>
  <c r="BQ1545" i="10" s="1"/>
  <c r="BP1545" i="10" a="1"/>
  <c r="BP1545" i="10" s="1"/>
  <c r="BO1545" i="10" a="1"/>
  <c r="BO1545" i="10" s="1"/>
  <c r="BN1545" i="10" a="1"/>
  <c r="BN1545" i="10" s="1"/>
  <c r="BM1545" i="10" a="1"/>
  <c r="BM1545" i="10" s="1"/>
  <c r="BL1545" i="10" a="1"/>
  <c r="BL1545" i="10" s="1"/>
  <c r="BK1545" i="10" a="1"/>
  <c r="BK1545" i="10" s="1"/>
  <c r="BJ1545" i="10" a="1"/>
  <c r="BJ1545" i="10" s="1"/>
  <c r="BI1545" i="10" a="1"/>
  <c r="BI1545" i="10" s="1"/>
  <c r="BH1545" i="10" a="1"/>
  <c r="BH1545" i="10" s="1"/>
  <c r="BG1545" i="10" a="1"/>
  <c r="BG1545" i="10" s="1"/>
  <c r="BF1545" i="10" a="1"/>
  <c r="BF1545" i="10" s="1"/>
  <c r="BE1545" i="10" a="1"/>
  <c r="BE1545" i="10" s="1"/>
  <c r="BD1545" i="10" a="1"/>
  <c r="BD1545" i="10" s="1"/>
  <c r="BC1545" i="10" a="1"/>
  <c r="BC1545" i="10" s="1"/>
  <c r="BB1545" i="10" a="1"/>
  <c r="BB1545" i="10" s="1"/>
  <c r="BA1545" i="10" a="1"/>
  <c r="BA1545" i="10" s="1"/>
  <c r="AZ1545" i="10" a="1"/>
  <c r="AZ1545" i="10" s="1"/>
  <c r="AY1545" i="10" a="1"/>
  <c r="AY1545" i="10" s="1"/>
  <c r="AX1545" i="10" a="1"/>
  <c r="AX1545" i="10" s="1"/>
  <c r="AW1545" i="10" a="1"/>
  <c r="AW1545" i="10" s="1"/>
  <c r="AV1545" i="10" a="1"/>
  <c r="AV1545" i="10" s="1"/>
  <c r="AU1545" i="10" a="1"/>
  <c r="AU1545" i="10" s="1"/>
  <c r="AT1545" i="10" a="1"/>
  <c r="AT1545" i="10" s="1"/>
  <c r="AS1545" i="10" a="1"/>
  <c r="AS1545" i="10" s="1"/>
  <c r="AR1545" i="10" a="1"/>
  <c r="AR1545" i="10" s="1"/>
  <c r="AQ1545" i="10" a="1"/>
  <c r="AQ1545" i="10" s="1"/>
  <c r="AP1545" i="10" a="1"/>
  <c r="AP1545" i="10" s="1"/>
  <c r="AO1545" i="10" a="1"/>
  <c r="AO1545" i="10" s="1"/>
  <c r="AN1545" i="10" a="1"/>
  <c r="AN1545" i="10" s="1"/>
  <c r="AM1545" i="10" a="1"/>
  <c r="AM1545" i="10" s="1"/>
  <c r="AL1545" i="10" a="1"/>
  <c r="AL1545" i="10" s="1"/>
  <c r="Q23" i="9" s="1"/>
  <c r="AK1545" i="10" a="1"/>
  <c r="AK1545" i="10" s="1"/>
  <c r="AJ1545" i="10" a="1"/>
  <c r="AJ1545" i="10" s="1"/>
  <c r="AI1545" i="10" a="1"/>
  <c r="AI1545" i="10" s="1"/>
  <c r="AH1545" i="10" a="1"/>
  <c r="AH1545" i="10" s="1"/>
  <c r="AG1545" i="10" a="1"/>
  <c r="AG1545" i="10" s="1"/>
  <c r="AF1545" i="10" a="1"/>
  <c r="AF1545" i="10" s="1"/>
  <c r="AE1545" i="10" a="1"/>
  <c r="AE1545" i="10" s="1"/>
  <c r="AD1545" i="10" a="1"/>
  <c r="AD1545" i="10" s="1"/>
  <c r="AC1545" i="10" a="1"/>
  <c r="AC1545" i="10" s="1"/>
  <c r="AB1545" i="10" a="1"/>
  <c r="AB1545" i="10" s="1"/>
  <c r="AA1545" i="10" a="1"/>
  <c r="AA1545" i="10" s="1"/>
  <c r="Z1545" i="10" a="1"/>
  <c r="Z1545" i="10" s="1"/>
  <c r="Y1545" i="10" a="1"/>
  <c r="Y1545" i="10" s="1"/>
  <c r="X1545" i="10" a="1"/>
  <c r="X1545" i="10" s="1"/>
  <c r="W1545" i="10" a="1"/>
  <c r="W1545" i="10" s="1"/>
  <c r="V1545" i="10" a="1"/>
  <c r="V1545" i="10" s="1"/>
  <c r="U1545" i="10" a="1"/>
  <c r="U1545" i="10" s="1"/>
  <c r="T1545" i="10" a="1"/>
  <c r="T1545" i="10" s="1"/>
  <c r="S1545" i="10" a="1"/>
  <c r="S1545" i="10" s="1"/>
  <c r="R1545" i="10" a="1"/>
  <c r="R1545" i="10" s="1"/>
  <c r="Q1545" i="10" a="1"/>
  <c r="Q1545" i="10" s="1"/>
  <c r="P1545" i="10" a="1"/>
  <c r="P1545" i="10" s="1"/>
  <c r="AGN1544" i="10" a="1"/>
  <c r="AGN1544" i="10" s="1"/>
  <c r="AGM1544" i="10" a="1"/>
  <c r="AGM1544" i="10" s="1"/>
  <c r="AGL1544" i="10" a="1"/>
  <c r="AGL1544" i="10" s="1"/>
  <c r="AGK1544" i="10" a="1"/>
  <c r="AGK1544" i="10" s="1"/>
  <c r="AGJ1544" i="10" a="1"/>
  <c r="AGJ1544" i="10" s="1"/>
  <c r="AGI1544" i="10" a="1"/>
  <c r="AGI1544" i="10" s="1"/>
  <c r="AGH1544" i="10" a="1"/>
  <c r="AGH1544" i="10" s="1"/>
  <c r="AGG1544" i="10" a="1"/>
  <c r="AGG1544" i="10" s="1"/>
  <c r="AGF1544" i="10" a="1"/>
  <c r="AGF1544" i="10" s="1"/>
  <c r="AGE1544" i="10" a="1"/>
  <c r="AGE1544" i="10" s="1"/>
  <c r="AGD1544" i="10" a="1"/>
  <c r="AGD1544" i="10" s="1"/>
  <c r="AGC1544" i="10" a="1"/>
  <c r="AGC1544" i="10" s="1"/>
  <c r="AGB1544" i="10" a="1"/>
  <c r="AGB1544" i="10" s="1"/>
  <c r="AGA1544" i="10" a="1"/>
  <c r="AGA1544" i="10" s="1"/>
  <c r="AFZ1544" i="10" a="1"/>
  <c r="AFZ1544" i="10" s="1"/>
  <c r="AFY1544" i="10" a="1"/>
  <c r="AFY1544" i="10" s="1"/>
  <c r="AFX1544" i="10" a="1"/>
  <c r="AFX1544" i="10" s="1"/>
  <c r="AFW1544" i="10" a="1"/>
  <c r="AFW1544" i="10" s="1"/>
  <c r="AFV1544" i="10" a="1"/>
  <c r="AFV1544" i="10" s="1"/>
  <c r="AFU1544" i="10" a="1"/>
  <c r="AFU1544" i="10" s="1"/>
  <c r="AFT1544" i="10" a="1"/>
  <c r="AFT1544" i="10" s="1"/>
  <c r="AFS1544" i="10" a="1"/>
  <c r="AFS1544" i="10" s="1"/>
  <c r="AFR1544" i="10" a="1"/>
  <c r="AFR1544" i="10" s="1"/>
  <c r="AFQ1544" i="10" a="1"/>
  <c r="AFQ1544" i="10" s="1"/>
  <c r="AFP1544" i="10" a="1"/>
  <c r="AFP1544" i="10" s="1"/>
  <c r="AFO1544" i="10" a="1"/>
  <c r="AFO1544" i="10" s="1"/>
  <c r="AFN1544" i="10" a="1"/>
  <c r="AFN1544" i="10" s="1"/>
  <c r="AFM1544" i="10" a="1"/>
  <c r="AFM1544" i="10" s="1"/>
  <c r="AFL1544" i="10" a="1"/>
  <c r="AFL1544" i="10" s="1"/>
  <c r="AFK1544" i="10" a="1"/>
  <c r="AFK1544" i="10" s="1"/>
  <c r="AFJ1544" i="10" a="1"/>
  <c r="AFJ1544" i="10" s="1"/>
  <c r="AFI1544" i="10" a="1"/>
  <c r="AFI1544" i="10" s="1"/>
  <c r="AFH1544" i="10" a="1"/>
  <c r="AFH1544" i="10" s="1"/>
  <c r="AFG1544" i="10" a="1"/>
  <c r="AFG1544" i="10" s="1"/>
  <c r="AFF1544" i="10" a="1"/>
  <c r="AFF1544" i="10" s="1"/>
  <c r="AFE1544" i="10" a="1"/>
  <c r="AFE1544" i="10" s="1"/>
  <c r="AFD1544" i="10" a="1"/>
  <c r="AFD1544" i="10" s="1"/>
  <c r="AFC1544" i="10" a="1"/>
  <c r="AFC1544" i="10" s="1"/>
  <c r="AFB1544" i="10" a="1"/>
  <c r="AFB1544" i="10" s="1"/>
  <c r="AFA1544" i="10" a="1"/>
  <c r="AFA1544" i="10" s="1"/>
  <c r="AEZ1544" i="10" a="1"/>
  <c r="AEZ1544" i="10" s="1"/>
  <c r="AEY1544" i="10" a="1"/>
  <c r="AEY1544" i="10" s="1"/>
  <c r="AEX1544" i="10" a="1"/>
  <c r="AEX1544" i="10" s="1"/>
  <c r="AEW1544" i="10" a="1"/>
  <c r="AEW1544" i="10" s="1"/>
  <c r="AEV1544" i="10" a="1"/>
  <c r="AEV1544" i="10" s="1"/>
  <c r="AEU1544" i="10" a="1"/>
  <c r="AEU1544" i="10" s="1"/>
  <c r="AET1544" i="10" a="1"/>
  <c r="AET1544" i="10" s="1"/>
  <c r="AES1544" i="10" a="1"/>
  <c r="AES1544" i="10" s="1"/>
  <c r="AER1544" i="10" a="1"/>
  <c r="AER1544" i="10" s="1"/>
  <c r="AEQ1544" i="10" a="1"/>
  <c r="AEQ1544" i="10" s="1"/>
  <c r="AEP1544" i="10" a="1"/>
  <c r="AEP1544" i="10" s="1"/>
  <c r="AEO1544" i="10" a="1"/>
  <c r="AEO1544" i="10" s="1"/>
  <c r="AEN1544" i="10" a="1"/>
  <c r="AEN1544" i="10" s="1"/>
  <c r="AEM1544" i="10" a="1"/>
  <c r="AEM1544" i="10" s="1"/>
  <c r="AEL1544" i="10" a="1"/>
  <c r="AEL1544" i="10" s="1"/>
  <c r="AEK1544" i="10" a="1"/>
  <c r="AEK1544" i="10" s="1"/>
  <c r="AEJ1544" i="10" a="1"/>
  <c r="AEJ1544" i="10" s="1"/>
  <c r="AEI1544" i="10" a="1"/>
  <c r="AEI1544" i="10" s="1"/>
  <c r="AEH1544" i="10" a="1"/>
  <c r="AEH1544" i="10" s="1"/>
  <c r="AEG1544" i="10" a="1"/>
  <c r="AEG1544" i="10" s="1"/>
  <c r="AEF1544" i="10" a="1"/>
  <c r="AEF1544" i="10" s="1"/>
  <c r="AEE1544" i="10" a="1"/>
  <c r="AEE1544" i="10" s="1"/>
  <c r="AED1544" i="10" a="1"/>
  <c r="AED1544" i="10" s="1"/>
  <c r="AEC1544" i="10" a="1"/>
  <c r="AEC1544" i="10" s="1"/>
  <c r="AEB1544" i="10" a="1"/>
  <c r="AEB1544" i="10" s="1"/>
  <c r="AEA1544" i="10" a="1"/>
  <c r="AEA1544" i="10" s="1"/>
  <c r="ADZ1544" i="10" a="1"/>
  <c r="ADZ1544" i="10" s="1"/>
  <c r="ADY1544" i="10" a="1"/>
  <c r="ADY1544" i="10" s="1"/>
  <c r="ADX1544" i="10" a="1"/>
  <c r="ADX1544" i="10" s="1"/>
  <c r="ADW1544" i="10" a="1"/>
  <c r="ADW1544" i="10" s="1"/>
  <c r="ADV1544" i="10" a="1"/>
  <c r="ADV1544" i="10" s="1"/>
  <c r="ADU1544" i="10" a="1"/>
  <c r="ADU1544" i="10" s="1"/>
  <c r="ADT1544" i="10" a="1"/>
  <c r="ADT1544" i="10" s="1"/>
  <c r="ADS1544" i="10" a="1"/>
  <c r="ADS1544" i="10" s="1"/>
  <c r="ADR1544" i="10" a="1"/>
  <c r="ADR1544" i="10" s="1"/>
  <c r="ADQ1544" i="10" a="1"/>
  <c r="ADQ1544" i="10" s="1"/>
  <c r="ADP1544" i="10" a="1"/>
  <c r="ADP1544" i="10" s="1"/>
  <c r="ADO1544" i="10" a="1"/>
  <c r="ADO1544" i="10" s="1"/>
  <c r="ADN1544" i="10" a="1"/>
  <c r="ADN1544" i="10" s="1"/>
  <c r="ADM1544" i="10" a="1"/>
  <c r="ADM1544" i="10" s="1"/>
  <c r="ADL1544" i="10" a="1"/>
  <c r="ADL1544" i="10" s="1"/>
  <c r="ADK1544" i="10" a="1"/>
  <c r="ADK1544" i="10" s="1"/>
  <c r="ADJ1544" i="10" a="1"/>
  <c r="ADJ1544" i="10" s="1"/>
  <c r="ADI1544" i="10" a="1"/>
  <c r="ADI1544" i="10" s="1"/>
  <c r="ADH1544" i="10" a="1"/>
  <c r="ADH1544" i="10" s="1"/>
  <c r="ADG1544" i="10" a="1"/>
  <c r="ADG1544" i="10" s="1"/>
  <c r="ADF1544" i="10" a="1"/>
  <c r="ADF1544" i="10" s="1"/>
  <c r="ADE1544" i="10" a="1"/>
  <c r="ADE1544" i="10" s="1"/>
  <c r="ADD1544" i="10" a="1"/>
  <c r="ADD1544" i="10" s="1"/>
  <c r="ADC1544" i="10" a="1"/>
  <c r="ADC1544" i="10" s="1"/>
  <c r="ADB1544" i="10" a="1"/>
  <c r="ADB1544" i="10" s="1"/>
  <c r="ADA1544" i="10" a="1"/>
  <c r="ADA1544" i="10" s="1"/>
  <c r="ACZ1544" i="10" a="1"/>
  <c r="ACZ1544" i="10" s="1"/>
  <c r="ACY1544" i="10" a="1"/>
  <c r="ACY1544" i="10" s="1"/>
  <c r="ACX1544" i="10" a="1"/>
  <c r="ACX1544" i="10" s="1"/>
  <c r="ACW1544" i="10" a="1"/>
  <c r="ACW1544" i="10" s="1"/>
  <c r="ACV1544" i="10" a="1"/>
  <c r="ACV1544" i="10" s="1"/>
  <c r="ACU1544" i="10" a="1"/>
  <c r="ACU1544" i="10" s="1"/>
  <c r="ACT1544" i="10" a="1"/>
  <c r="ACT1544" i="10" s="1"/>
  <c r="ACS1544" i="10" a="1"/>
  <c r="ACS1544" i="10" s="1"/>
  <c r="ACR1544" i="10" a="1"/>
  <c r="ACR1544" i="10" s="1"/>
  <c r="ACQ1544" i="10" a="1"/>
  <c r="ACQ1544" i="10" s="1"/>
  <c r="ACP1544" i="10" a="1"/>
  <c r="ACP1544" i="10" s="1"/>
  <c r="ACO1544" i="10" a="1"/>
  <c r="ACO1544" i="10" s="1"/>
  <c r="ACN1544" i="10" a="1"/>
  <c r="ACN1544" i="10" s="1"/>
  <c r="ACM1544" i="10" a="1"/>
  <c r="ACM1544" i="10" s="1"/>
  <c r="ACL1544" i="10" a="1"/>
  <c r="ACL1544" i="10" s="1"/>
  <c r="ACK1544" i="10" a="1"/>
  <c r="ACK1544" i="10" s="1"/>
  <c r="ACJ1544" i="10" a="1"/>
  <c r="ACJ1544" i="10" s="1"/>
  <c r="ACI1544" i="10" a="1"/>
  <c r="ACI1544" i="10" s="1"/>
  <c r="ACH1544" i="10" a="1"/>
  <c r="ACH1544" i="10" s="1"/>
  <c r="ACG1544" i="10" a="1"/>
  <c r="ACG1544" i="10" s="1"/>
  <c r="ACF1544" i="10" a="1"/>
  <c r="ACF1544" i="10" s="1"/>
  <c r="ACE1544" i="10" a="1"/>
  <c r="ACE1544" i="10" s="1"/>
  <c r="ACD1544" i="10" a="1"/>
  <c r="ACD1544" i="10" s="1"/>
  <c r="ACC1544" i="10" a="1"/>
  <c r="ACC1544" i="10" s="1"/>
  <c r="ACB1544" i="10" a="1"/>
  <c r="ACB1544" i="10" s="1"/>
  <c r="ACA1544" i="10" a="1"/>
  <c r="ACA1544" i="10" s="1"/>
  <c r="ABZ1544" i="10" a="1"/>
  <c r="ABZ1544" i="10" s="1"/>
  <c r="ABY1544" i="10" a="1"/>
  <c r="ABY1544" i="10" s="1"/>
  <c r="ABX1544" i="10" a="1"/>
  <c r="ABX1544" i="10" s="1"/>
  <c r="ABW1544" i="10" a="1"/>
  <c r="ABW1544" i="10" s="1"/>
  <c r="ABV1544" i="10" a="1"/>
  <c r="ABV1544" i="10" s="1"/>
  <c r="ABU1544" i="10" a="1"/>
  <c r="ABU1544" i="10" s="1"/>
  <c r="ABT1544" i="10" a="1"/>
  <c r="ABT1544" i="10" s="1"/>
  <c r="ABS1544" i="10" a="1"/>
  <c r="ABS1544" i="10" s="1"/>
  <c r="ABR1544" i="10" a="1"/>
  <c r="ABR1544" i="10" s="1"/>
  <c r="ABQ1544" i="10" a="1"/>
  <c r="ABQ1544" i="10" s="1"/>
  <c r="ABP1544" i="10" a="1"/>
  <c r="ABP1544" i="10" s="1"/>
  <c r="ABO1544" i="10" a="1"/>
  <c r="ABO1544" i="10" s="1"/>
  <c r="ABN1544" i="10" a="1"/>
  <c r="ABN1544" i="10" s="1"/>
  <c r="ABM1544" i="10" a="1"/>
  <c r="ABM1544" i="10" s="1"/>
  <c r="ABL1544" i="10" a="1"/>
  <c r="ABL1544" i="10" s="1"/>
  <c r="ABK1544" i="10" a="1"/>
  <c r="ABK1544" i="10" s="1"/>
  <c r="ABJ1544" i="10" a="1"/>
  <c r="ABJ1544" i="10" s="1"/>
  <c r="ABI1544" i="10" a="1"/>
  <c r="ABI1544" i="10" s="1"/>
  <c r="ABH1544" i="10" a="1"/>
  <c r="ABH1544" i="10" s="1"/>
  <c r="ABG1544" i="10" a="1"/>
  <c r="ABG1544" i="10" s="1"/>
  <c r="ABF1544" i="10" a="1"/>
  <c r="ABF1544" i="10" s="1"/>
  <c r="ABE1544" i="10" a="1"/>
  <c r="ABE1544" i="10" s="1"/>
  <c r="ABD1544" i="10" a="1"/>
  <c r="ABD1544" i="10" s="1"/>
  <c r="ABC1544" i="10" a="1"/>
  <c r="ABC1544" i="10" s="1"/>
  <c r="ABB1544" i="10" a="1"/>
  <c r="ABB1544" i="10" s="1"/>
  <c r="ABA1544" i="10" a="1"/>
  <c r="ABA1544" i="10" s="1"/>
  <c r="AAZ1544" i="10" a="1"/>
  <c r="AAZ1544" i="10" s="1"/>
  <c r="AAY1544" i="10" a="1"/>
  <c r="AAY1544" i="10" s="1"/>
  <c r="AAX1544" i="10" a="1"/>
  <c r="AAX1544" i="10" s="1"/>
  <c r="AAW1544" i="10" a="1"/>
  <c r="AAW1544" i="10" s="1"/>
  <c r="AAV1544" i="10" a="1"/>
  <c r="AAV1544" i="10" s="1"/>
  <c r="AAU1544" i="10" a="1"/>
  <c r="AAU1544" i="10" s="1"/>
  <c r="AAT1544" i="10" a="1"/>
  <c r="AAT1544" i="10" s="1"/>
  <c r="AAS1544" i="10" a="1"/>
  <c r="AAS1544" i="10" s="1"/>
  <c r="AAR1544" i="10" a="1"/>
  <c r="AAR1544" i="10" s="1"/>
  <c r="AAQ1544" i="10" a="1"/>
  <c r="AAQ1544" i="10" s="1"/>
  <c r="AAP1544" i="10" a="1"/>
  <c r="AAP1544" i="10" s="1"/>
  <c r="AAO1544" i="10" a="1"/>
  <c r="AAO1544" i="10" s="1"/>
  <c r="AAN1544" i="10" a="1"/>
  <c r="AAN1544" i="10" s="1"/>
  <c r="AAM1544" i="10" a="1"/>
  <c r="AAM1544" i="10" s="1"/>
  <c r="AAL1544" i="10" a="1"/>
  <c r="AAL1544" i="10" s="1"/>
  <c r="AAK1544" i="10" a="1"/>
  <c r="AAK1544" i="10" s="1"/>
  <c r="AAJ1544" i="10" a="1"/>
  <c r="AAJ1544" i="10" s="1"/>
  <c r="AAI1544" i="10" a="1"/>
  <c r="AAI1544" i="10" s="1"/>
  <c r="AAH1544" i="10" a="1"/>
  <c r="AAH1544" i="10" s="1"/>
  <c r="AAG1544" i="10" a="1"/>
  <c r="AAG1544" i="10" s="1"/>
  <c r="AAF1544" i="10" a="1"/>
  <c r="AAF1544" i="10" s="1"/>
  <c r="AAE1544" i="10" a="1"/>
  <c r="AAE1544" i="10" s="1"/>
  <c r="AAD1544" i="10" a="1"/>
  <c r="AAD1544" i="10" s="1"/>
  <c r="AAC1544" i="10" a="1"/>
  <c r="AAC1544" i="10" s="1"/>
  <c r="AAB1544" i="10" a="1"/>
  <c r="AAB1544" i="10" s="1"/>
  <c r="AAA1544" i="10" a="1"/>
  <c r="AAA1544" i="10" s="1"/>
  <c r="ZZ1544" i="10" a="1"/>
  <c r="ZZ1544" i="10" s="1"/>
  <c r="ZY1544" i="10" a="1"/>
  <c r="ZY1544" i="10" s="1"/>
  <c r="ZX1544" i="10" a="1"/>
  <c r="ZX1544" i="10" s="1"/>
  <c r="ZW1544" i="10" a="1"/>
  <c r="ZW1544" i="10" s="1"/>
  <c r="ZV1544" i="10" a="1"/>
  <c r="ZV1544" i="10" s="1"/>
  <c r="ZU1544" i="10" a="1"/>
  <c r="ZU1544" i="10" s="1"/>
  <c r="ZT1544" i="10" a="1"/>
  <c r="ZT1544" i="10" s="1"/>
  <c r="ZS1544" i="10" a="1"/>
  <c r="ZS1544" i="10" s="1"/>
  <c r="ZR1544" i="10" a="1"/>
  <c r="ZR1544" i="10" s="1"/>
  <c r="ZQ1544" i="10" a="1"/>
  <c r="ZQ1544" i="10" s="1"/>
  <c r="ZP1544" i="10" a="1"/>
  <c r="ZP1544" i="10" s="1"/>
  <c r="ZO1544" i="10" a="1"/>
  <c r="ZO1544" i="10" s="1"/>
  <c r="ZN1544" i="10" a="1"/>
  <c r="ZN1544" i="10" s="1"/>
  <c r="ZM1544" i="10" a="1"/>
  <c r="ZM1544" i="10" s="1"/>
  <c r="ZL1544" i="10" a="1"/>
  <c r="ZL1544" i="10" s="1"/>
  <c r="ZK1544" i="10" a="1"/>
  <c r="ZK1544" i="10" s="1"/>
  <c r="ZJ1544" i="10" a="1"/>
  <c r="ZJ1544" i="10" s="1"/>
  <c r="ZI1544" i="10" a="1"/>
  <c r="ZI1544" i="10" s="1"/>
  <c r="ZH1544" i="10" a="1"/>
  <c r="ZH1544" i="10" s="1"/>
  <c r="ZG1544" i="10" a="1"/>
  <c r="ZG1544" i="10" s="1"/>
  <c r="ZF1544" i="10" a="1"/>
  <c r="ZF1544" i="10" s="1"/>
  <c r="ZE1544" i="10" a="1"/>
  <c r="ZE1544" i="10" s="1"/>
  <c r="ZD1544" i="10" a="1"/>
  <c r="ZD1544" i="10" s="1"/>
  <c r="ZC1544" i="10" a="1"/>
  <c r="ZC1544" i="10" s="1"/>
  <c r="ZB1544" i="10" a="1"/>
  <c r="ZB1544" i="10" s="1"/>
  <c r="ZA1544" i="10" a="1"/>
  <c r="ZA1544" i="10" s="1"/>
  <c r="YZ1544" i="10" a="1"/>
  <c r="YZ1544" i="10" s="1"/>
  <c r="YY1544" i="10" a="1"/>
  <c r="YY1544" i="10" s="1"/>
  <c r="YX1544" i="10" a="1"/>
  <c r="YX1544" i="10" s="1"/>
  <c r="YW1544" i="10" a="1"/>
  <c r="YW1544" i="10" s="1"/>
  <c r="YV1544" i="10" a="1"/>
  <c r="YV1544" i="10" s="1"/>
  <c r="YU1544" i="10" a="1"/>
  <c r="YU1544" i="10" s="1"/>
  <c r="YT1544" i="10" a="1"/>
  <c r="YT1544" i="10" s="1"/>
  <c r="YS1544" i="10" a="1"/>
  <c r="YS1544" i="10" s="1"/>
  <c r="YR1544" i="10" a="1"/>
  <c r="YR1544" i="10" s="1"/>
  <c r="YQ1544" i="10" a="1"/>
  <c r="YQ1544" i="10" s="1"/>
  <c r="YP1544" i="10" a="1"/>
  <c r="YP1544" i="10" s="1"/>
  <c r="YO1544" i="10" a="1"/>
  <c r="YO1544" i="10" s="1"/>
  <c r="YN1544" i="10" a="1"/>
  <c r="YN1544" i="10" s="1"/>
  <c r="YM1544" i="10" a="1"/>
  <c r="YM1544" i="10" s="1"/>
  <c r="YL1544" i="10" a="1"/>
  <c r="YL1544" i="10" s="1"/>
  <c r="YK1544" i="10" a="1"/>
  <c r="YK1544" i="10" s="1"/>
  <c r="YJ1544" i="10" a="1"/>
  <c r="YJ1544" i="10" s="1"/>
  <c r="YI1544" i="10" a="1"/>
  <c r="YI1544" i="10" s="1"/>
  <c r="YH1544" i="10" a="1"/>
  <c r="YH1544" i="10" s="1"/>
  <c r="YG1544" i="10" a="1"/>
  <c r="YG1544" i="10" s="1"/>
  <c r="YF1544" i="10" a="1"/>
  <c r="YF1544" i="10" s="1"/>
  <c r="YE1544" i="10" a="1"/>
  <c r="YE1544" i="10" s="1"/>
  <c r="YD1544" i="10" a="1"/>
  <c r="YD1544" i="10" s="1"/>
  <c r="YC1544" i="10" a="1"/>
  <c r="YC1544" i="10" s="1"/>
  <c r="YB1544" i="10" a="1"/>
  <c r="YB1544" i="10" s="1"/>
  <c r="YA1544" i="10" a="1"/>
  <c r="YA1544" i="10" s="1"/>
  <c r="XZ1544" i="10" a="1"/>
  <c r="XZ1544" i="10" s="1"/>
  <c r="XY1544" i="10" a="1"/>
  <c r="XY1544" i="10" s="1"/>
  <c r="XX1544" i="10" a="1"/>
  <c r="XX1544" i="10" s="1"/>
  <c r="XW1544" i="10" a="1"/>
  <c r="XW1544" i="10" s="1"/>
  <c r="XV1544" i="10" a="1"/>
  <c r="XV1544" i="10" s="1"/>
  <c r="XU1544" i="10" a="1"/>
  <c r="XU1544" i="10" s="1"/>
  <c r="XT1544" i="10" a="1"/>
  <c r="XT1544" i="10" s="1"/>
  <c r="XS1544" i="10" a="1"/>
  <c r="XS1544" i="10" s="1"/>
  <c r="XR1544" i="10" a="1"/>
  <c r="XR1544" i="10" s="1"/>
  <c r="XQ1544" i="10" a="1"/>
  <c r="XQ1544" i="10" s="1"/>
  <c r="XP1544" i="10" a="1"/>
  <c r="XP1544" i="10" s="1"/>
  <c r="XO1544" i="10" a="1"/>
  <c r="XO1544" i="10" s="1"/>
  <c r="XN1544" i="10" a="1"/>
  <c r="XN1544" i="10" s="1"/>
  <c r="XM1544" i="10" a="1"/>
  <c r="XM1544" i="10" s="1"/>
  <c r="XL1544" i="10" a="1"/>
  <c r="XL1544" i="10" s="1"/>
  <c r="XK1544" i="10" a="1"/>
  <c r="XK1544" i="10" s="1"/>
  <c r="XJ1544" i="10" a="1"/>
  <c r="XJ1544" i="10" s="1"/>
  <c r="XI1544" i="10" a="1"/>
  <c r="XI1544" i="10" s="1"/>
  <c r="XH1544" i="10" a="1"/>
  <c r="XH1544" i="10" s="1"/>
  <c r="XG1544" i="10" a="1"/>
  <c r="XG1544" i="10" s="1"/>
  <c r="XF1544" i="10" a="1"/>
  <c r="XF1544" i="10" s="1"/>
  <c r="XE1544" i="10" a="1"/>
  <c r="XE1544" i="10" s="1"/>
  <c r="XD1544" i="10" a="1"/>
  <c r="XD1544" i="10" s="1"/>
  <c r="XC1544" i="10" a="1"/>
  <c r="XC1544" i="10" s="1"/>
  <c r="XB1544" i="10" a="1"/>
  <c r="XB1544" i="10" s="1"/>
  <c r="XA1544" i="10" a="1"/>
  <c r="XA1544" i="10" s="1"/>
  <c r="WZ1544" i="10" a="1"/>
  <c r="WZ1544" i="10" s="1"/>
  <c r="WY1544" i="10" a="1"/>
  <c r="WY1544" i="10" s="1"/>
  <c r="WX1544" i="10" a="1"/>
  <c r="WX1544" i="10" s="1"/>
  <c r="WW1544" i="10" a="1"/>
  <c r="WW1544" i="10" s="1"/>
  <c r="WV1544" i="10" a="1"/>
  <c r="WV1544" i="10" s="1"/>
  <c r="WU1544" i="10" a="1"/>
  <c r="WU1544" i="10" s="1"/>
  <c r="WT1544" i="10" a="1"/>
  <c r="WT1544" i="10" s="1"/>
  <c r="WS1544" i="10" a="1"/>
  <c r="WS1544" i="10" s="1"/>
  <c r="WR1544" i="10" a="1"/>
  <c r="WR1544" i="10" s="1"/>
  <c r="WQ1544" i="10" a="1"/>
  <c r="WQ1544" i="10" s="1"/>
  <c r="WP1544" i="10" a="1"/>
  <c r="WP1544" i="10" s="1"/>
  <c r="WO1544" i="10" a="1"/>
  <c r="WO1544" i="10" s="1"/>
  <c r="WN1544" i="10" a="1"/>
  <c r="WN1544" i="10" s="1"/>
  <c r="WM1544" i="10" a="1"/>
  <c r="WM1544" i="10" s="1"/>
  <c r="WL1544" i="10" a="1"/>
  <c r="WL1544" i="10" s="1"/>
  <c r="WK1544" i="10" a="1"/>
  <c r="WK1544" i="10" s="1"/>
  <c r="WJ1544" i="10" a="1"/>
  <c r="WJ1544" i="10" s="1"/>
  <c r="WI1544" i="10" a="1"/>
  <c r="WI1544" i="10" s="1"/>
  <c r="WH1544" i="10" a="1"/>
  <c r="WH1544" i="10" s="1"/>
  <c r="WG1544" i="10" a="1"/>
  <c r="WG1544" i="10" s="1"/>
  <c r="WF1544" i="10" a="1"/>
  <c r="WF1544" i="10" s="1"/>
  <c r="WE1544" i="10" a="1"/>
  <c r="WE1544" i="10" s="1"/>
  <c r="WD1544" i="10" a="1"/>
  <c r="WD1544" i="10" s="1"/>
  <c r="WC1544" i="10" a="1"/>
  <c r="WC1544" i="10" s="1"/>
  <c r="WB1544" i="10" a="1"/>
  <c r="WB1544" i="10" s="1"/>
  <c r="WA1544" i="10" a="1"/>
  <c r="WA1544" i="10" s="1"/>
  <c r="VZ1544" i="10" a="1"/>
  <c r="VZ1544" i="10" s="1"/>
  <c r="VY1544" i="10" a="1"/>
  <c r="VY1544" i="10" s="1"/>
  <c r="VX1544" i="10" a="1"/>
  <c r="VX1544" i="10" s="1"/>
  <c r="VW1544" i="10" a="1"/>
  <c r="VW1544" i="10" s="1"/>
  <c r="VV1544" i="10" a="1"/>
  <c r="VV1544" i="10" s="1"/>
  <c r="VU1544" i="10" a="1"/>
  <c r="VU1544" i="10" s="1"/>
  <c r="VT1544" i="10" a="1"/>
  <c r="VT1544" i="10" s="1"/>
  <c r="VS1544" i="10" a="1"/>
  <c r="VS1544" i="10" s="1"/>
  <c r="VR1544" i="10" a="1"/>
  <c r="VR1544" i="10" s="1"/>
  <c r="VQ1544" i="10" a="1"/>
  <c r="VQ1544" i="10" s="1"/>
  <c r="VP1544" i="10" a="1"/>
  <c r="VP1544" i="10" s="1"/>
  <c r="VO1544" i="10" a="1"/>
  <c r="VO1544" i="10" s="1"/>
  <c r="VN1544" i="10" a="1"/>
  <c r="VN1544" i="10" s="1"/>
  <c r="VM1544" i="10" a="1"/>
  <c r="VM1544" i="10" s="1"/>
  <c r="VL1544" i="10" a="1"/>
  <c r="VL1544" i="10" s="1"/>
  <c r="VK1544" i="10" a="1"/>
  <c r="VK1544" i="10" s="1"/>
  <c r="VJ1544" i="10" a="1"/>
  <c r="VJ1544" i="10" s="1"/>
  <c r="VI1544" i="10" a="1"/>
  <c r="VI1544" i="10" s="1"/>
  <c r="VH1544" i="10" a="1"/>
  <c r="VH1544" i="10" s="1"/>
  <c r="VG1544" i="10" a="1"/>
  <c r="VG1544" i="10" s="1"/>
  <c r="VF1544" i="10" a="1"/>
  <c r="VF1544" i="10" s="1"/>
  <c r="VE1544" i="10" a="1"/>
  <c r="VE1544" i="10" s="1"/>
  <c r="VD1544" i="10" a="1"/>
  <c r="VD1544" i="10" s="1"/>
  <c r="VC1544" i="10" a="1"/>
  <c r="VC1544" i="10" s="1"/>
  <c r="VB1544" i="10" a="1"/>
  <c r="VB1544" i="10" s="1"/>
  <c r="VA1544" i="10" a="1"/>
  <c r="VA1544" i="10" s="1"/>
  <c r="UZ1544" i="10" a="1"/>
  <c r="UZ1544" i="10" s="1"/>
  <c r="UY1544" i="10" a="1"/>
  <c r="UY1544" i="10" s="1"/>
  <c r="UX1544" i="10" a="1"/>
  <c r="UX1544" i="10" s="1"/>
  <c r="UW1544" i="10" a="1"/>
  <c r="UW1544" i="10" s="1"/>
  <c r="UV1544" i="10" a="1"/>
  <c r="UV1544" i="10" s="1"/>
  <c r="UU1544" i="10" a="1"/>
  <c r="UU1544" i="10" s="1"/>
  <c r="UT1544" i="10" a="1"/>
  <c r="UT1544" i="10" s="1"/>
  <c r="US1544" i="10" a="1"/>
  <c r="US1544" i="10" s="1"/>
  <c r="UR1544" i="10" a="1"/>
  <c r="UR1544" i="10" s="1"/>
  <c r="UQ1544" i="10" a="1"/>
  <c r="UQ1544" i="10" s="1"/>
  <c r="UP1544" i="10" a="1"/>
  <c r="UP1544" i="10" s="1"/>
  <c r="UO1544" i="10" a="1"/>
  <c r="UO1544" i="10" s="1"/>
  <c r="UN1544" i="10" a="1"/>
  <c r="UN1544" i="10" s="1"/>
  <c r="UM1544" i="10" a="1"/>
  <c r="UM1544" i="10" s="1"/>
  <c r="UL1544" i="10" a="1"/>
  <c r="UL1544" i="10" s="1"/>
  <c r="UK1544" i="10" a="1"/>
  <c r="UK1544" i="10" s="1"/>
  <c r="UJ1544" i="10" a="1"/>
  <c r="UJ1544" i="10" s="1"/>
  <c r="UI1544" i="10" a="1"/>
  <c r="UI1544" i="10" s="1"/>
  <c r="UH1544" i="10" a="1"/>
  <c r="UH1544" i="10" s="1"/>
  <c r="UG1544" i="10" a="1"/>
  <c r="UG1544" i="10" s="1"/>
  <c r="UF1544" i="10" a="1"/>
  <c r="UF1544" i="10" s="1"/>
  <c r="UE1544" i="10" a="1"/>
  <c r="UE1544" i="10" s="1"/>
  <c r="UD1544" i="10" a="1"/>
  <c r="UD1544" i="10" s="1"/>
  <c r="UC1544" i="10" a="1"/>
  <c r="UC1544" i="10" s="1"/>
  <c r="UB1544" i="10" a="1"/>
  <c r="UB1544" i="10" s="1"/>
  <c r="UA1544" i="10" a="1"/>
  <c r="UA1544" i="10" s="1"/>
  <c r="TZ1544" i="10" a="1"/>
  <c r="TZ1544" i="10" s="1"/>
  <c r="TY1544" i="10" a="1"/>
  <c r="TY1544" i="10" s="1"/>
  <c r="TX1544" i="10" a="1"/>
  <c r="TX1544" i="10" s="1"/>
  <c r="TW1544" i="10" a="1"/>
  <c r="TW1544" i="10" s="1"/>
  <c r="TV1544" i="10" a="1"/>
  <c r="TV1544" i="10" s="1"/>
  <c r="TU1544" i="10" a="1"/>
  <c r="TU1544" i="10" s="1"/>
  <c r="TT1544" i="10" a="1"/>
  <c r="TT1544" i="10" s="1"/>
  <c r="TS1544" i="10" a="1"/>
  <c r="TS1544" i="10" s="1"/>
  <c r="TR1544" i="10" a="1"/>
  <c r="TR1544" i="10" s="1"/>
  <c r="TQ1544" i="10" a="1"/>
  <c r="TQ1544" i="10" s="1"/>
  <c r="TP1544" i="10" a="1"/>
  <c r="TP1544" i="10" s="1"/>
  <c r="TO1544" i="10" a="1"/>
  <c r="TO1544" i="10" s="1"/>
  <c r="TN1544" i="10" a="1"/>
  <c r="TN1544" i="10" s="1"/>
  <c r="TM1544" i="10" a="1"/>
  <c r="TM1544" i="10" s="1"/>
  <c r="TL1544" i="10" a="1"/>
  <c r="TL1544" i="10" s="1"/>
  <c r="TK1544" i="10" a="1"/>
  <c r="TK1544" i="10" s="1"/>
  <c r="TJ1544" i="10" a="1"/>
  <c r="TJ1544" i="10" s="1"/>
  <c r="TI1544" i="10" a="1"/>
  <c r="TI1544" i="10" s="1"/>
  <c r="TH1544" i="10" a="1"/>
  <c r="TH1544" i="10" s="1"/>
  <c r="TG1544" i="10" a="1"/>
  <c r="TG1544" i="10" s="1"/>
  <c r="TF1544" i="10" a="1"/>
  <c r="TF1544" i="10" s="1"/>
  <c r="TE1544" i="10" a="1"/>
  <c r="TE1544" i="10" s="1"/>
  <c r="TD1544" i="10" a="1"/>
  <c r="TD1544" i="10" s="1"/>
  <c r="TC1544" i="10" a="1"/>
  <c r="TC1544" i="10" s="1"/>
  <c r="TB1544" i="10" a="1"/>
  <c r="TB1544" i="10" s="1"/>
  <c r="TA1544" i="10" a="1"/>
  <c r="TA1544" i="10" s="1"/>
  <c r="SZ1544" i="10" a="1"/>
  <c r="SZ1544" i="10" s="1"/>
  <c r="SY1544" i="10" a="1"/>
  <c r="SY1544" i="10" s="1"/>
  <c r="SX1544" i="10" a="1"/>
  <c r="SX1544" i="10" s="1"/>
  <c r="SW1544" i="10" a="1"/>
  <c r="SW1544" i="10" s="1"/>
  <c r="SV1544" i="10" a="1"/>
  <c r="SV1544" i="10" s="1"/>
  <c r="SU1544" i="10" a="1"/>
  <c r="SU1544" i="10" s="1"/>
  <c r="ST1544" i="10" a="1"/>
  <c r="ST1544" i="10" s="1"/>
  <c r="SS1544" i="10" a="1"/>
  <c r="SS1544" i="10" s="1"/>
  <c r="SR1544" i="10" a="1"/>
  <c r="SR1544" i="10" s="1"/>
  <c r="SQ1544" i="10" a="1"/>
  <c r="SQ1544" i="10" s="1"/>
  <c r="SP1544" i="10" a="1"/>
  <c r="SP1544" i="10" s="1"/>
  <c r="SO1544" i="10" a="1"/>
  <c r="SO1544" i="10" s="1"/>
  <c r="SN1544" i="10" a="1"/>
  <c r="SN1544" i="10" s="1"/>
  <c r="SM1544" i="10" a="1"/>
  <c r="SM1544" i="10" s="1"/>
  <c r="SL1544" i="10" a="1"/>
  <c r="SL1544" i="10" s="1"/>
  <c r="SK1544" i="10" a="1"/>
  <c r="SK1544" i="10" s="1"/>
  <c r="SJ1544" i="10" a="1"/>
  <c r="SJ1544" i="10" s="1"/>
  <c r="SI1544" i="10" a="1"/>
  <c r="SI1544" i="10" s="1"/>
  <c r="SH1544" i="10" a="1"/>
  <c r="SH1544" i="10" s="1"/>
  <c r="SG1544" i="10" a="1"/>
  <c r="SG1544" i="10" s="1"/>
  <c r="SF1544" i="10" a="1"/>
  <c r="SF1544" i="10" s="1"/>
  <c r="SE1544" i="10" a="1"/>
  <c r="SE1544" i="10" s="1"/>
  <c r="SD1544" i="10" a="1"/>
  <c r="SD1544" i="10" s="1"/>
  <c r="SC1544" i="10" a="1"/>
  <c r="SC1544" i="10" s="1"/>
  <c r="SB1544" i="10" a="1"/>
  <c r="SB1544" i="10" s="1"/>
  <c r="SA1544" i="10" a="1"/>
  <c r="SA1544" i="10" s="1"/>
  <c r="RZ1544" i="10" a="1"/>
  <c r="RZ1544" i="10" s="1"/>
  <c r="RY1544" i="10" a="1"/>
  <c r="RY1544" i="10" s="1"/>
  <c r="RX1544" i="10" a="1"/>
  <c r="RX1544" i="10" s="1"/>
  <c r="RW1544" i="10" a="1"/>
  <c r="RW1544" i="10" s="1"/>
  <c r="RV1544" i="10" a="1"/>
  <c r="RV1544" i="10" s="1"/>
  <c r="RU1544" i="10" a="1"/>
  <c r="RU1544" i="10" s="1"/>
  <c r="RT1544" i="10" a="1"/>
  <c r="RT1544" i="10" s="1"/>
  <c r="RS1544" i="10" a="1"/>
  <c r="RS1544" i="10" s="1"/>
  <c r="RR1544" i="10" a="1"/>
  <c r="RR1544" i="10" s="1"/>
  <c r="RQ1544" i="10" a="1"/>
  <c r="RQ1544" i="10" s="1"/>
  <c r="RP1544" i="10" a="1"/>
  <c r="RP1544" i="10" s="1"/>
  <c r="RO1544" i="10" a="1"/>
  <c r="RO1544" i="10" s="1"/>
  <c r="RN1544" i="10" a="1"/>
  <c r="RN1544" i="10" s="1"/>
  <c r="RM1544" i="10" a="1"/>
  <c r="RM1544" i="10" s="1"/>
  <c r="RL1544" i="10" a="1"/>
  <c r="RL1544" i="10" s="1"/>
  <c r="RK1544" i="10" a="1"/>
  <c r="RK1544" i="10" s="1"/>
  <c r="RJ1544" i="10" a="1"/>
  <c r="RJ1544" i="10" s="1"/>
  <c r="RI1544" i="10" a="1"/>
  <c r="RI1544" i="10" s="1"/>
  <c r="RH1544" i="10" a="1"/>
  <c r="RH1544" i="10" s="1"/>
  <c r="RG1544" i="10" a="1"/>
  <c r="RG1544" i="10" s="1"/>
  <c r="RF1544" i="10" a="1"/>
  <c r="RF1544" i="10" s="1"/>
  <c r="RE1544" i="10" a="1"/>
  <c r="RE1544" i="10" s="1"/>
  <c r="RD1544" i="10" a="1"/>
  <c r="RD1544" i="10" s="1"/>
  <c r="RC1544" i="10" a="1"/>
  <c r="RC1544" i="10" s="1"/>
  <c r="RB1544" i="10" a="1"/>
  <c r="RB1544" i="10" s="1"/>
  <c r="RA1544" i="10" a="1"/>
  <c r="RA1544" i="10" s="1"/>
  <c r="QZ1544" i="10" a="1"/>
  <c r="QZ1544" i="10" s="1"/>
  <c r="QY1544" i="10" a="1"/>
  <c r="QY1544" i="10" s="1"/>
  <c r="QX1544" i="10" a="1"/>
  <c r="QX1544" i="10" s="1"/>
  <c r="QW1544" i="10" a="1"/>
  <c r="QW1544" i="10" s="1"/>
  <c r="QV1544" i="10" a="1"/>
  <c r="QV1544" i="10" s="1"/>
  <c r="QU1544" i="10" a="1"/>
  <c r="QU1544" i="10" s="1"/>
  <c r="QT1544" i="10" a="1"/>
  <c r="QT1544" i="10" s="1"/>
  <c r="QS1544" i="10" a="1"/>
  <c r="QS1544" i="10" s="1"/>
  <c r="QR1544" i="10" a="1"/>
  <c r="QR1544" i="10" s="1"/>
  <c r="QQ1544" i="10" a="1"/>
  <c r="QQ1544" i="10" s="1"/>
  <c r="QP1544" i="10" a="1"/>
  <c r="QP1544" i="10" s="1"/>
  <c r="QO1544" i="10" a="1"/>
  <c r="QO1544" i="10" s="1"/>
  <c r="QN1544" i="10" a="1"/>
  <c r="QN1544" i="10" s="1"/>
  <c r="QM1544" i="10" a="1"/>
  <c r="QM1544" i="10" s="1"/>
  <c r="QL1544" i="10" a="1"/>
  <c r="QL1544" i="10" s="1"/>
  <c r="QK1544" i="10" a="1"/>
  <c r="QK1544" i="10" s="1"/>
  <c r="QJ1544" i="10" a="1"/>
  <c r="QJ1544" i="10" s="1"/>
  <c r="QI1544" i="10" a="1"/>
  <c r="QI1544" i="10" s="1"/>
  <c r="QH1544" i="10" a="1"/>
  <c r="QH1544" i="10" s="1"/>
  <c r="QG1544" i="10" a="1"/>
  <c r="QG1544" i="10" s="1"/>
  <c r="QF1544" i="10" a="1"/>
  <c r="QF1544" i="10" s="1"/>
  <c r="QE1544" i="10" a="1"/>
  <c r="QE1544" i="10" s="1"/>
  <c r="QD1544" i="10" a="1"/>
  <c r="QD1544" i="10" s="1"/>
  <c r="QC1544" i="10" a="1"/>
  <c r="QC1544" i="10" s="1"/>
  <c r="QB1544" i="10" a="1"/>
  <c r="QB1544" i="10" s="1"/>
  <c r="QA1544" i="10" a="1"/>
  <c r="QA1544" i="10" s="1"/>
  <c r="PZ1544" i="10" a="1"/>
  <c r="PZ1544" i="10" s="1"/>
  <c r="PY1544" i="10" a="1"/>
  <c r="PY1544" i="10" s="1"/>
  <c r="PX1544" i="10" a="1"/>
  <c r="PX1544" i="10" s="1"/>
  <c r="PW1544" i="10" a="1"/>
  <c r="PW1544" i="10" s="1"/>
  <c r="PV1544" i="10" a="1"/>
  <c r="PV1544" i="10" s="1"/>
  <c r="PU1544" i="10" a="1"/>
  <c r="PU1544" i="10" s="1"/>
  <c r="PT1544" i="10" a="1"/>
  <c r="PT1544" i="10" s="1"/>
  <c r="PS1544" i="10" a="1"/>
  <c r="PS1544" i="10" s="1"/>
  <c r="PR1544" i="10" a="1"/>
  <c r="PR1544" i="10" s="1"/>
  <c r="PQ1544" i="10" a="1"/>
  <c r="PQ1544" i="10" s="1"/>
  <c r="PP1544" i="10" a="1"/>
  <c r="PP1544" i="10" s="1"/>
  <c r="PO1544" i="10" a="1"/>
  <c r="PO1544" i="10" s="1"/>
  <c r="PN1544" i="10" a="1"/>
  <c r="PN1544" i="10" s="1"/>
  <c r="PM1544" i="10" a="1"/>
  <c r="PM1544" i="10" s="1"/>
  <c r="PL1544" i="10" a="1"/>
  <c r="PL1544" i="10" s="1"/>
  <c r="PK1544" i="10" a="1"/>
  <c r="PK1544" i="10" s="1"/>
  <c r="PJ1544" i="10" a="1"/>
  <c r="PJ1544" i="10" s="1"/>
  <c r="PI1544" i="10" a="1"/>
  <c r="PI1544" i="10" s="1"/>
  <c r="PH1544" i="10" a="1"/>
  <c r="PH1544" i="10" s="1"/>
  <c r="PG1544" i="10" a="1"/>
  <c r="PG1544" i="10" s="1"/>
  <c r="PF1544" i="10" a="1"/>
  <c r="PF1544" i="10" s="1"/>
  <c r="PE1544" i="10" a="1"/>
  <c r="PE1544" i="10" s="1"/>
  <c r="PD1544" i="10" a="1"/>
  <c r="PD1544" i="10" s="1"/>
  <c r="PC1544" i="10" a="1"/>
  <c r="PC1544" i="10" s="1"/>
  <c r="PB1544" i="10" a="1"/>
  <c r="PB1544" i="10" s="1"/>
  <c r="PA1544" i="10" a="1"/>
  <c r="PA1544" i="10" s="1"/>
  <c r="OZ1544" i="10" a="1"/>
  <c r="OZ1544" i="10" s="1"/>
  <c r="OY1544" i="10" a="1"/>
  <c r="OY1544" i="10" s="1"/>
  <c r="OX1544" i="10" a="1"/>
  <c r="OX1544" i="10" s="1"/>
  <c r="OW1544" i="10" a="1"/>
  <c r="OW1544" i="10" s="1"/>
  <c r="OV1544" i="10" a="1"/>
  <c r="OV1544" i="10" s="1"/>
  <c r="OU1544" i="10" a="1"/>
  <c r="OU1544" i="10" s="1"/>
  <c r="OT1544" i="10" a="1"/>
  <c r="OT1544" i="10" s="1"/>
  <c r="OS1544" i="10" a="1"/>
  <c r="OS1544" i="10" s="1"/>
  <c r="OR1544" i="10" a="1"/>
  <c r="OR1544" i="10" s="1"/>
  <c r="OQ1544" i="10" a="1"/>
  <c r="OQ1544" i="10" s="1"/>
  <c r="OP1544" i="10" a="1"/>
  <c r="OP1544" i="10" s="1"/>
  <c r="OO1544" i="10" a="1"/>
  <c r="OO1544" i="10" s="1"/>
  <c r="ON1544" i="10" a="1"/>
  <c r="ON1544" i="10" s="1"/>
  <c r="OM1544" i="10" a="1"/>
  <c r="OM1544" i="10" s="1"/>
  <c r="OL1544" i="10" a="1"/>
  <c r="OL1544" i="10" s="1"/>
  <c r="OK1544" i="10" a="1"/>
  <c r="OK1544" i="10" s="1"/>
  <c r="OJ1544" i="10" a="1"/>
  <c r="OJ1544" i="10" s="1"/>
  <c r="OI1544" i="10" a="1"/>
  <c r="OI1544" i="10" s="1"/>
  <c r="OH1544" i="10" a="1"/>
  <c r="OH1544" i="10" s="1"/>
  <c r="OG1544" i="10" a="1"/>
  <c r="OG1544" i="10" s="1"/>
  <c r="OF1544" i="10" a="1"/>
  <c r="OF1544" i="10" s="1"/>
  <c r="OE1544" i="10" a="1"/>
  <c r="OE1544" i="10" s="1"/>
  <c r="OD1544" i="10" a="1"/>
  <c r="OD1544" i="10" s="1"/>
  <c r="OC1544" i="10" a="1"/>
  <c r="OC1544" i="10" s="1"/>
  <c r="OB1544" i="10" a="1"/>
  <c r="OB1544" i="10" s="1"/>
  <c r="OA1544" i="10" a="1"/>
  <c r="OA1544" i="10" s="1"/>
  <c r="NZ1544" i="10" a="1"/>
  <c r="NZ1544" i="10" s="1"/>
  <c r="NY1544" i="10" a="1"/>
  <c r="NY1544" i="10" s="1"/>
  <c r="NX1544" i="10" a="1"/>
  <c r="NX1544" i="10" s="1"/>
  <c r="NW1544" i="10" a="1"/>
  <c r="NW1544" i="10" s="1"/>
  <c r="NV1544" i="10" a="1"/>
  <c r="NV1544" i="10" s="1"/>
  <c r="NU1544" i="10" a="1"/>
  <c r="NU1544" i="10" s="1"/>
  <c r="NT1544" i="10" a="1"/>
  <c r="NT1544" i="10" s="1"/>
  <c r="NS1544" i="10" a="1"/>
  <c r="NS1544" i="10" s="1"/>
  <c r="NR1544" i="10" a="1"/>
  <c r="NR1544" i="10" s="1"/>
  <c r="NQ1544" i="10" a="1"/>
  <c r="NQ1544" i="10" s="1"/>
  <c r="NP1544" i="10" a="1"/>
  <c r="NP1544" i="10" s="1"/>
  <c r="NO1544" i="10" a="1"/>
  <c r="NO1544" i="10" s="1"/>
  <c r="NN1544" i="10" a="1"/>
  <c r="NN1544" i="10" s="1"/>
  <c r="NM1544" i="10" a="1"/>
  <c r="NM1544" i="10" s="1"/>
  <c r="NL1544" i="10" a="1"/>
  <c r="NL1544" i="10" s="1"/>
  <c r="NK1544" i="10" a="1"/>
  <c r="NK1544" i="10" s="1"/>
  <c r="NJ1544" i="10" a="1"/>
  <c r="NJ1544" i="10" s="1"/>
  <c r="NI1544" i="10" a="1"/>
  <c r="NI1544" i="10" s="1"/>
  <c r="NH1544" i="10" a="1"/>
  <c r="NH1544" i="10" s="1"/>
  <c r="NG1544" i="10" a="1"/>
  <c r="NG1544" i="10" s="1"/>
  <c r="NF1544" i="10" a="1"/>
  <c r="NF1544" i="10" s="1"/>
  <c r="NE1544" i="10" a="1"/>
  <c r="NE1544" i="10" s="1"/>
  <c r="ND1544" i="10" a="1"/>
  <c r="ND1544" i="10" s="1"/>
  <c r="NC1544" i="10" a="1"/>
  <c r="NC1544" i="10" s="1"/>
  <c r="NB1544" i="10" a="1"/>
  <c r="NB1544" i="10" s="1"/>
  <c r="NA1544" i="10" a="1"/>
  <c r="NA1544" i="10" s="1"/>
  <c r="MZ1544" i="10" a="1"/>
  <c r="MZ1544" i="10" s="1"/>
  <c r="MY1544" i="10" a="1"/>
  <c r="MY1544" i="10" s="1"/>
  <c r="MX1544" i="10" a="1"/>
  <c r="MX1544" i="10" s="1"/>
  <c r="MW1544" i="10" a="1"/>
  <c r="MW1544" i="10" s="1"/>
  <c r="MV1544" i="10" a="1"/>
  <c r="MV1544" i="10" s="1"/>
  <c r="MU1544" i="10" a="1"/>
  <c r="MU1544" i="10" s="1"/>
  <c r="MT1544" i="10" a="1"/>
  <c r="MT1544" i="10" s="1"/>
  <c r="MS1544" i="10" a="1"/>
  <c r="MS1544" i="10" s="1"/>
  <c r="MR1544" i="10" a="1"/>
  <c r="MR1544" i="10" s="1"/>
  <c r="MQ1544" i="10" a="1"/>
  <c r="MQ1544" i="10" s="1"/>
  <c r="MP1544" i="10" a="1"/>
  <c r="MP1544" i="10" s="1"/>
  <c r="MO1544" i="10" a="1"/>
  <c r="MO1544" i="10" s="1"/>
  <c r="MN1544" i="10" a="1"/>
  <c r="MN1544" i="10" s="1"/>
  <c r="MM1544" i="10" a="1"/>
  <c r="MM1544" i="10" s="1"/>
  <c r="ML1544" i="10" a="1"/>
  <c r="ML1544" i="10" s="1"/>
  <c r="MK1544" i="10" a="1"/>
  <c r="MK1544" i="10" s="1"/>
  <c r="MJ1544" i="10" a="1"/>
  <c r="MJ1544" i="10" s="1"/>
  <c r="MI1544" i="10" a="1"/>
  <c r="MI1544" i="10" s="1"/>
  <c r="MH1544" i="10" a="1"/>
  <c r="MH1544" i="10" s="1"/>
  <c r="MG1544" i="10" a="1"/>
  <c r="MG1544" i="10" s="1"/>
  <c r="MF1544" i="10" a="1"/>
  <c r="MF1544" i="10" s="1"/>
  <c r="ME1544" i="10" a="1"/>
  <c r="ME1544" i="10" s="1"/>
  <c r="MD1544" i="10" a="1"/>
  <c r="MD1544" i="10" s="1"/>
  <c r="MC1544" i="10" a="1"/>
  <c r="MC1544" i="10" s="1"/>
  <c r="MB1544" i="10" a="1"/>
  <c r="MB1544" i="10" s="1"/>
  <c r="MA1544" i="10" a="1"/>
  <c r="MA1544" i="10" s="1"/>
  <c r="LZ1544" i="10" a="1"/>
  <c r="LZ1544" i="10" s="1"/>
  <c r="LY1544" i="10" a="1"/>
  <c r="LY1544" i="10" s="1"/>
  <c r="LX1544" i="10" a="1"/>
  <c r="LX1544" i="10" s="1"/>
  <c r="LW1544" i="10" a="1"/>
  <c r="LW1544" i="10" s="1"/>
  <c r="LV1544" i="10" a="1"/>
  <c r="LV1544" i="10" s="1"/>
  <c r="LU1544" i="10" a="1"/>
  <c r="LU1544" i="10" s="1"/>
  <c r="LT1544" i="10" a="1"/>
  <c r="LT1544" i="10" s="1"/>
  <c r="LS1544" i="10" a="1"/>
  <c r="LS1544" i="10" s="1"/>
  <c r="LR1544" i="10" a="1"/>
  <c r="LR1544" i="10" s="1"/>
  <c r="LQ1544" i="10" a="1"/>
  <c r="LQ1544" i="10" s="1"/>
  <c r="LP1544" i="10" a="1"/>
  <c r="LP1544" i="10" s="1"/>
  <c r="LO1544" i="10" a="1"/>
  <c r="LO1544" i="10" s="1"/>
  <c r="LN1544" i="10" a="1"/>
  <c r="LN1544" i="10" s="1"/>
  <c r="LM1544" i="10" a="1"/>
  <c r="LM1544" i="10" s="1"/>
  <c r="LL1544" i="10" a="1"/>
  <c r="LL1544" i="10" s="1"/>
  <c r="LK1544" i="10" a="1"/>
  <c r="LK1544" i="10" s="1"/>
  <c r="LJ1544" i="10" a="1"/>
  <c r="LJ1544" i="10" s="1"/>
  <c r="LI1544" i="10" a="1"/>
  <c r="LI1544" i="10" s="1"/>
  <c r="LH1544" i="10" a="1"/>
  <c r="LH1544" i="10" s="1"/>
  <c r="LG1544" i="10" a="1"/>
  <c r="LG1544" i="10" s="1"/>
  <c r="LF1544" i="10" a="1"/>
  <c r="LF1544" i="10" s="1"/>
  <c r="LE1544" i="10" a="1"/>
  <c r="LE1544" i="10" s="1"/>
  <c r="LD1544" i="10" a="1"/>
  <c r="LD1544" i="10" s="1"/>
  <c r="LC1544" i="10" a="1"/>
  <c r="LC1544" i="10" s="1"/>
  <c r="LB1544" i="10" a="1"/>
  <c r="LB1544" i="10" s="1"/>
  <c r="LA1544" i="10" a="1"/>
  <c r="LA1544" i="10" s="1"/>
  <c r="KZ1544" i="10" a="1"/>
  <c r="KZ1544" i="10" s="1"/>
  <c r="KY1544" i="10" a="1"/>
  <c r="KY1544" i="10" s="1"/>
  <c r="KX1544" i="10" a="1"/>
  <c r="KX1544" i="10" s="1"/>
  <c r="KW1544" i="10" a="1"/>
  <c r="KW1544" i="10" s="1"/>
  <c r="KV1544" i="10" a="1"/>
  <c r="KV1544" i="10" s="1"/>
  <c r="KU1544" i="10" a="1"/>
  <c r="KU1544" i="10" s="1"/>
  <c r="KT1544" i="10" a="1"/>
  <c r="KT1544" i="10" s="1"/>
  <c r="KS1544" i="10" a="1"/>
  <c r="KS1544" i="10" s="1"/>
  <c r="KR1544" i="10" a="1"/>
  <c r="KR1544" i="10" s="1"/>
  <c r="KQ1544" i="10" a="1"/>
  <c r="KQ1544" i="10" s="1"/>
  <c r="KP1544" i="10" a="1"/>
  <c r="KP1544" i="10" s="1"/>
  <c r="KO1544" i="10" a="1"/>
  <c r="KO1544" i="10" s="1"/>
  <c r="KN1544" i="10" a="1"/>
  <c r="KN1544" i="10" s="1"/>
  <c r="KM1544" i="10" a="1"/>
  <c r="KM1544" i="10" s="1"/>
  <c r="KL1544" i="10" a="1"/>
  <c r="KL1544" i="10" s="1"/>
  <c r="KK1544" i="10" a="1"/>
  <c r="KK1544" i="10" s="1"/>
  <c r="KJ1544" i="10" a="1"/>
  <c r="KJ1544" i="10" s="1"/>
  <c r="KI1544" i="10" a="1"/>
  <c r="KI1544" i="10" s="1"/>
  <c r="KH1544" i="10" a="1"/>
  <c r="KH1544" i="10" s="1"/>
  <c r="KG1544" i="10" a="1"/>
  <c r="KG1544" i="10" s="1"/>
  <c r="KF1544" i="10" a="1"/>
  <c r="KF1544" i="10" s="1"/>
  <c r="KE1544" i="10" a="1"/>
  <c r="KE1544" i="10" s="1"/>
  <c r="KD1544" i="10" a="1"/>
  <c r="KD1544" i="10" s="1"/>
  <c r="KC1544" i="10" a="1"/>
  <c r="KC1544" i="10" s="1"/>
  <c r="KB1544" i="10" a="1"/>
  <c r="KB1544" i="10" s="1"/>
  <c r="KA1544" i="10" a="1"/>
  <c r="KA1544" i="10" s="1"/>
  <c r="JZ1544" i="10" a="1"/>
  <c r="JZ1544" i="10" s="1"/>
  <c r="JY1544" i="10" a="1"/>
  <c r="JY1544" i="10" s="1"/>
  <c r="JX1544" i="10" a="1"/>
  <c r="JX1544" i="10" s="1"/>
  <c r="JW1544" i="10" a="1"/>
  <c r="JW1544" i="10" s="1"/>
  <c r="JV1544" i="10" a="1"/>
  <c r="JV1544" i="10" s="1"/>
  <c r="JU1544" i="10" a="1"/>
  <c r="JU1544" i="10" s="1"/>
  <c r="JT1544" i="10" a="1"/>
  <c r="JT1544" i="10" s="1"/>
  <c r="JS1544" i="10" a="1"/>
  <c r="JS1544" i="10" s="1"/>
  <c r="JR1544" i="10" a="1"/>
  <c r="JR1544" i="10" s="1"/>
  <c r="JQ1544" i="10" a="1"/>
  <c r="JQ1544" i="10" s="1"/>
  <c r="JP1544" i="10" a="1"/>
  <c r="JP1544" i="10" s="1"/>
  <c r="JO1544" i="10" a="1"/>
  <c r="JO1544" i="10" s="1"/>
  <c r="JN1544" i="10" a="1"/>
  <c r="JN1544" i="10" s="1"/>
  <c r="JM1544" i="10" a="1"/>
  <c r="JM1544" i="10" s="1"/>
  <c r="JL1544" i="10" a="1"/>
  <c r="JL1544" i="10" s="1"/>
  <c r="JK1544" i="10" a="1"/>
  <c r="JK1544" i="10" s="1"/>
  <c r="JJ1544" i="10" a="1"/>
  <c r="JJ1544" i="10" s="1"/>
  <c r="JI1544" i="10" a="1"/>
  <c r="JI1544" i="10" s="1"/>
  <c r="JH1544" i="10" a="1"/>
  <c r="JH1544" i="10" s="1"/>
  <c r="JG1544" i="10" a="1"/>
  <c r="JG1544" i="10" s="1"/>
  <c r="JF1544" i="10" a="1"/>
  <c r="JF1544" i="10" s="1"/>
  <c r="JE1544" i="10" a="1"/>
  <c r="JE1544" i="10" s="1"/>
  <c r="JD1544" i="10" a="1"/>
  <c r="JD1544" i="10" s="1"/>
  <c r="JC1544" i="10" a="1"/>
  <c r="JC1544" i="10" s="1"/>
  <c r="JB1544" i="10" a="1"/>
  <c r="JB1544" i="10" s="1"/>
  <c r="JA1544" i="10" a="1"/>
  <c r="JA1544" i="10" s="1"/>
  <c r="IZ1544" i="10" a="1"/>
  <c r="IZ1544" i="10" s="1"/>
  <c r="IY1544" i="10" a="1"/>
  <c r="IY1544" i="10" s="1"/>
  <c r="IX1544" i="10" a="1"/>
  <c r="IX1544" i="10" s="1"/>
  <c r="IW1544" i="10" a="1"/>
  <c r="IW1544" i="10" s="1"/>
  <c r="IV1544" i="10" a="1"/>
  <c r="IV1544" i="10" s="1"/>
  <c r="IU1544" i="10" a="1"/>
  <c r="IU1544" i="10" s="1"/>
  <c r="IT1544" i="10" a="1"/>
  <c r="IT1544" i="10" s="1"/>
  <c r="IS1544" i="10" a="1"/>
  <c r="IS1544" i="10" s="1"/>
  <c r="IR1544" i="10" a="1"/>
  <c r="IR1544" i="10" s="1"/>
  <c r="IQ1544" i="10" a="1"/>
  <c r="IQ1544" i="10" s="1"/>
  <c r="IP1544" i="10" a="1"/>
  <c r="IP1544" i="10" s="1"/>
  <c r="IO1544" i="10" a="1"/>
  <c r="IO1544" i="10" s="1"/>
  <c r="IN1544" i="10" a="1"/>
  <c r="IN1544" i="10" s="1"/>
  <c r="IM1544" i="10" a="1"/>
  <c r="IM1544" i="10" s="1"/>
  <c r="IL1544" i="10" a="1"/>
  <c r="IL1544" i="10" s="1"/>
  <c r="IK1544" i="10" a="1"/>
  <c r="IK1544" i="10" s="1"/>
  <c r="IJ1544" i="10" a="1"/>
  <c r="IJ1544" i="10" s="1"/>
  <c r="II1544" i="10" a="1"/>
  <c r="II1544" i="10" s="1"/>
  <c r="IH1544" i="10" a="1"/>
  <c r="IH1544" i="10" s="1"/>
  <c r="IG1544" i="10" a="1"/>
  <c r="IG1544" i="10" s="1"/>
  <c r="IF1544" i="10" a="1"/>
  <c r="IF1544" i="10" s="1"/>
  <c r="IE1544" i="10" a="1"/>
  <c r="IE1544" i="10" s="1"/>
  <c r="ID1544" i="10" a="1"/>
  <c r="ID1544" i="10" s="1"/>
  <c r="IC1544" i="10" a="1"/>
  <c r="IC1544" i="10" s="1"/>
  <c r="IB1544" i="10" a="1"/>
  <c r="IB1544" i="10" s="1"/>
  <c r="IA1544" i="10" a="1"/>
  <c r="IA1544" i="10" s="1"/>
  <c r="HZ1544" i="10" a="1"/>
  <c r="HZ1544" i="10" s="1"/>
  <c r="HY1544" i="10" a="1"/>
  <c r="HY1544" i="10" s="1"/>
  <c r="HX1544" i="10" a="1"/>
  <c r="HX1544" i="10" s="1"/>
  <c r="HW1544" i="10" a="1"/>
  <c r="HW1544" i="10" s="1"/>
  <c r="HV1544" i="10" a="1"/>
  <c r="HV1544" i="10" s="1"/>
  <c r="HU1544" i="10" a="1"/>
  <c r="HU1544" i="10" s="1"/>
  <c r="HT1544" i="10" a="1"/>
  <c r="HT1544" i="10" s="1"/>
  <c r="HS1544" i="10" a="1"/>
  <c r="HS1544" i="10" s="1"/>
  <c r="HR1544" i="10" a="1"/>
  <c r="HR1544" i="10" s="1"/>
  <c r="HQ1544" i="10" a="1"/>
  <c r="HQ1544" i="10" s="1"/>
  <c r="HP1544" i="10" a="1"/>
  <c r="HP1544" i="10" s="1"/>
  <c r="HO1544" i="10" a="1"/>
  <c r="HO1544" i="10" s="1"/>
  <c r="HN1544" i="10" a="1"/>
  <c r="HN1544" i="10" s="1"/>
  <c r="HM1544" i="10" a="1"/>
  <c r="HM1544" i="10" s="1"/>
  <c r="HL1544" i="10" a="1"/>
  <c r="HL1544" i="10" s="1"/>
  <c r="HK1544" i="10" a="1"/>
  <c r="HK1544" i="10" s="1"/>
  <c r="HJ1544" i="10" a="1"/>
  <c r="HJ1544" i="10" s="1"/>
  <c r="HI1544" i="10" a="1"/>
  <c r="HI1544" i="10" s="1"/>
  <c r="HH1544" i="10" a="1"/>
  <c r="HH1544" i="10" s="1"/>
  <c r="HG1544" i="10" a="1"/>
  <c r="HG1544" i="10" s="1"/>
  <c r="HF1544" i="10" a="1"/>
  <c r="HF1544" i="10" s="1"/>
  <c r="HE1544" i="10" a="1"/>
  <c r="HE1544" i="10" s="1"/>
  <c r="HD1544" i="10" a="1"/>
  <c r="HD1544" i="10" s="1"/>
  <c r="HC1544" i="10" a="1"/>
  <c r="HC1544" i="10" s="1"/>
  <c r="HB1544" i="10" a="1"/>
  <c r="HB1544" i="10" s="1"/>
  <c r="HA1544" i="10" a="1"/>
  <c r="HA1544" i="10" s="1"/>
  <c r="GZ1544" i="10" a="1"/>
  <c r="GZ1544" i="10" s="1"/>
  <c r="GY1544" i="10" a="1"/>
  <c r="GY1544" i="10" s="1"/>
  <c r="GX1544" i="10" a="1"/>
  <c r="GX1544" i="10" s="1"/>
  <c r="GW1544" i="10" a="1"/>
  <c r="GW1544" i="10" s="1"/>
  <c r="GV1544" i="10" a="1"/>
  <c r="GV1544" i="10" s="1"/>
  <c r="GU1544" i="10" a="1"/>
  <c r="GU1544" i="10" s="1"/>
  <c r="GT1544" i="10" a="1"/>
  <c r="GT1544" i="10" s="1"/>
  <c r="GS1544" i="10" a="1"/>
  <c r="GS1544" i="10" s="1"/>
  <c r="GR1544" i="10" a="1"/>
  <c r="GR1544" i="10" s="1"/>
  <c r="GQ1544" i="10" a="1"/>
  <c r="GQ1544" i="10" s="1"/>
  <c r="GP1544" i="10" a="1"/>
  <c r="GP1544" i="10" s="1"/>
  <c r="GO1544" i="10" a="1"/>
  <c r="GO1544" i="10" s="1"/>
  <c r="GN1544" i="10" a="1"/>
  <c r="GN1544" i="10" s="1"/>
  <c r="GM1544" i="10" a="1"/>
  <c r="GM1544" i="10" s="1"/>
  <c r="GL1544" i="10" a="1"/>
  <c r="GL1544" i="10" s="1"/>
  <c r="GK1544" i="10" a="1"/>
  <c r="GK1544" i="10" s="1"/>
  <c r="GJ1544" i="10" a="1"/>
  <c r="GJ1544" i="10" s="1"/>
  <c r="GI1544" i="10" a="1"/>
  <c r="GI1544" i="10" s="1"/>
  <c r="GH1544" i="10" a="1"/>
  <c r="GH1544" i="10" s="1"/>
  <c r="GG1544" i="10" a="1"/>
  <c r="GG1544" i="10" s="1"/>
  <c r="GF1544" i="10" a="1"/>
  <c r="GF1544" i="10" s="1"/>
  <c r="GE1544" i="10" a="1"/>
  <c r="GE1544" i="10" s="1"/>
  <c r="GD1544" i="10" a="1"/>
  <c r="GD1544" i="10" s="1"/>
  <c r="GC1544" i="10" a="1"/>
  <c r="GC1544" i="10" s="1"/>
  <c r="GB1544" i="10" a="1"/>
  <c r="GB1544" i="10" s="1"/>
  <c r="GA1544" i="10" a="1"/>
  <c r="GA1544" i="10" s="1"/>
  <c r="FZ1544" i="10" a="1"/>
  <c r="FZ1544" i="10" s="1"/>
  <c r="FY1544" i="10" a="1"/>
  <c r="FY1544" i="10" s="1"/>
  <c r="FX1544" i="10" a="1"/>
  <c r="FX1544" i="10" s="1"/>
  <c r="FW1544" i="10" a="1"/>
  <c r="FW1544" i="10" s="1"/>
  <c r="FV1544" i="10" a="1"/>
  <c r="FV1544" i="10" s="1"/>
  <c r="FU1544" i="10" a="1"/>
  <c r="FU1544" i="10" s="1"/>
  <c r="FT1544" i="10" a="1"/>
  <c r="FT1544" i="10" s="1"/>
  <c r="FS1544" i="10" a="1"/>
  <c r="FS1544" i="10" s="1"/>
  <c r="FR1544" i="10" a="1"/>
  <c r="FR1544" i="10" s="1"/>
  <c r="FQ1544" i="10" a="1"/>
  <c r="FQ1544" i="10" s="1"/>
  <c r="FP1544" i="10" a="1"/>
  <c r="FP1544" i="10" s="1"/>
  <c r="FO1544" i="10" a="1"/>
  <c r="FO1544" i="10" s="1"/>
  <c r="FN1544" i="10" a="1"/>
  <c r="FN1544" i="10" s="1"/>
  <c r="FM1544" i="10" a="1"/>
  <c r="FM1544" i="10" s="1"/>
  <c r="FL1544" i="10" a="1"/>
  <c r="FL1544" i="10" s="1"/>
  <c r="FK1544" i="10" a="1"/>
  <c r="FK1544" i="10" s="1"/>
  <c r="FJ1544" i="10" a="1"/>
  <c r="FJ1544" i="10" s="1"/>
  <c r="FI1544" i="10" a="1"/>
  <c r="FI1544" i="10" s="1"/>
  <c r="FH1544" i="10" a="1"/>
  <c r="FH1544" i="10" s="1"/>
  <c r="FG1544" i="10" a="1"/>
  <c r="FG1544" i="10" s="1"/>
  <c r="FF1544" i="10" a="1"/>
  <c r="FF1544" i="10" s="1"/>
  <c r="FE1544" i="10" a="1"/>
  <c r="FE1544" i="10" s="1"/>
  <c r="FD1544" i="10" a="1"/>
  <c r="FD1544" i="10" s="1"/>
  <c r="FC1544" i="10" a="1"/>
  <c r="FC1544" i="10" s="1"/>
  <c r="FB1544" i="10" a="1"/>
  <c r="FB1544" i="10" s="1"/>
  <c r="FA1544" i="10" a="1"/>
  <c r="FA1544" i="10" s="1"/>
  <c r="EZ1544" i="10" a="1"/>
  <c r="EZ1544" i="10" s="1"/>
  <c r="EY1544" i="10" a="1"/>
  <c r="EY1544" i="10" s="1"/>
  <c r="EX1544" i="10" a="1"/>
  <c r="EX1544" i="10" s="1"/>
  <c r="EW1544" i="10" a="1"/>
  <c r="EW1544" i="10" s="1"/>
  <c r="EV1544" i="10" a="1"/>
  <c r="EV1544" i="10" s="1"/>
  <c r="EU1544" i="10" a="1"/>
  <c r="EU1544" i="10" s="1"/>
  <c r="ET1544" i="10" a="1"/>
  <c r="ET1544" i="10" s="1"/>
  <c r="ES1544" i="10" a="1"/>
  <c r="ES1544" i="10" s="1"/>
  <c r="ER1544" i="10" a="1"/>
  <c r="ER1544" i="10" s="1"/>
  <c r="EQ1544" i="10" a="1"/>
  <c r="EQ1544" i="10" s="1"/>
  <c r="EP1544" i="10" a="1"/>
  <c r="EP1544" i="10" s="1"/>
  <c r="EO1544" i="10" a="1"/>
  <c r="EO1544" i="10" s="1"/>
  <c r="EN1544" i="10" a="1"/>
  <c r="EN1544" i="10" s="1"/>
  <c r="EM1544" i="10" a="1"/>
  <c r="EM1544" i="10" s="1"/>
  <c r="EL1544" i="10" a="1"/>
  <c r="EL1544" i="10" s="1"/>
  <c r="EK1544" i="10" a="1"/>
  <c r="EK1544" i="10" s="1"/>
  <c r="EJ1544" i="10" a="1"/>
  <c r="EJ1544" i="10" s="1"/>
  <c r="EI1544" i="10" a="1"/>
  <c r="EI1544" i="10" s="1"/>
  <c r="EH1544" i="10" a="1"/>
  <c r="EH1544" i="10" s="1"/>
  <c r="EG1544" i="10" a="1"/>
  <c r="EG1544" i="10" s="1"/>
  <c r="EF1544" i="10" a="1"/>
  <c r="EF1544" i="10" s="1"/>
  <c r="EE1544" i="10" a="1"/>
  <c r="EE1544" i="10" s="1"/>
  <c r="ED1544" i="10" a="1"/>
  <c r="ED1544" i="10" s="1"/>
  <c r="EC1544" i="10" a="1"/>
  <c r="EC1544" i="10" s="1"/>
  <c r="EB1544" i="10" a="1"/>
  <c r="EB1544" i="10" s="1"/>
  <c r="EA1544" i="10" a="1"/>
  <c r="EA1544" i="10" s="1"/>
  <c r="DZ1544" i="10" a="1"/>
  <c r="DZ1544" i="10" s="1"/>
  <c r="DY1544" i="10" a="1"/>
  <c r="DY1544" i="10" s="1"/>
  <c r="DX1544" i="10" a="1"/>
  <c r="DX1544" i="10" s="1"/>
  <c r="DW1544" i="10" a="1"/>
  <c r="DW1544" i="10" s="1"/>
  <c r="DV1544" i="10" a="1"/>
  <c r="DV1544" i="10" s="1"/>
  <c r="DU1544" i="10" a="1"/>
  <c r="DU1544" i="10" s="1"/>
  <c r="DT1544" i="10" a="1"/>
  <c r="DT1544" i="10" s="1"/>
  <c r="DS1544" i="10" a="1"/>
  <c r="DS1544" i="10" s="1"/>
  <c r="DR1544" i="10" a="1"/>
  <c r="DR1544" i="10" s="1"/>
  <c r="DQ1544" i="10" a="1"/>
  <c r="DQ1544" i="10" s="1"/>
  <c r="DP1544" i="10" a="1"/>
  <c r="DP1544" i="10" s="1"/>
  <c r="DO1544" i="10" a="1"/>
  <c r="DO1544" i="10" s="1"/>
  <c r="DN1544" i="10" a="1"/>
  <c r="DN1544" i="10" s="1"/>
  <c r="DM1544" i="10" a="1"/>
  <c r="DM1544" i="10" s="1"/>
  <c r="DL1544" i="10" a="1"/>
  <c r="DL1544" i="10" s="1"/>
  <c r="DK1544" i="10" a="1"/>
  <c r="DK1544" i="10" s="1"/>
  <c r="DJ1544" i="10" a="1"/>
  <c r="DJ1544" i="10" s="1"/>
  <c r="DI1544" i="10" a="1"/>
  <c r="DI1544" i="10" s="1"/>
  <c r="DH1544" i="10" a="1"/>
  <c r="DH1544" i="10" s="1"/>
  <c r="DG1544" i="10" a="1"/>
  <c r="DG1544" i="10" s="1"/>
  <c r="DF1544" i="10" a="1"/>
  <c r="DF1544" i="10" s="1"/>
  <c r="DE1544" i="10" a="1"/>
  <c r="DE1544" i="10" s="1"/>
  <c r="DD1544" i="10" a="1"/>
  <c r="DD1544" i="10" s="1"/>
  <c r="DC1544" i="10" a="1"/>
  <c r="DC1544" i="10" s="1"/>
  <c r="DB1544" i="10" a="1"/>
  <c r="DB1544" i="10" s="1"/>
  <c r="DA1544" i="10" a="1"/>
  <c r="DA1544" i="10" s="1"/>
  <c r="CZ1544" i="10" a="1"/>
  <c r="CZ1544" i="10" s="1"/>
  <c r="CY1544" i="10" a="1"/>
  <c r="CY1544" i="10" s="1"/>
  <c r="CX1544" i="10" a="1"/>
  <c r="CX1544" i="10" s="1"/>
  <c r="CW1544" i="10" a="1"/>
  <c r="CW1544" i="10" s="1"/>
  <c r="CV1544" i="10" a="1"/>
  <c r="CV1544" i="10" s="1"/>
  <c r="CU1544" i="10" a="1"/>
  <c r="CU1544" i="10" s="1"/>
  <c r="CT1544" i="10" a="1"/>
  <c r="CT1544" i="10" s="1"/>
  <c r="CS1544" i="10" a="1"/>
  <c r="CS1544" i="10" s="1"/>
  <c r="CR1544" i="10" a="1"/>
  <c r="CR1544" i="10" s="1"/>
  <c r="CQ1544" i="10" a="1"/>
  <c r="CQ1544" i="10" s="1"/>
  <c r="CP1544" i="10" a="1"/>
  <c r="CP1544" i="10" s="1"/>
  <c r="CO1544" i="10" a="1"/>
  <c r="CO1544" i="10" s="1"/>
  <c r="CN1544" i="10" a="1"/>
  <c r="CN1544" i="10" s="1"/>
  <c r="CM1544" i="10" a="1"/>
  <c r="CM1544" i="10" s="1"/>
  <c r="CL1544" i="10" a="1"/>
  <c r="CL1544" i="10" s="1"/>
  <c r="CK1544" i="10" a="1"/>
  <c r="CK1544" i="10" s="1"/>
  <c r="CJ1544" i="10" a="1"/>
  <c r="CJ1544" i="10" s="1"/>
  <c r="CI1544" i="10" a="1"/>
  <c r="CI1544" i="10" s="1"/>
  <c r="CH1544" i="10" a="1"/>
  <c r="CH1544" i="10" s="1"/>
  <c r="CG1544" i="10" a="1"/>
  <c r="CG1544" i="10" s="1"/>
  <c r="CF1544" i="10" a="1"/>
  <c r="CF1544" i="10" s="1"/>
  <c r="CE1544" i="10" a="1"/>
  <c r="CE1544" i="10" s="1"/>
  <c r="CD1544" i="10" a="1"/>
  <c r="CD1544" i="10" s="1"/>
  <c r="CC1544" i="10" a="1"/>
  <c r="CC1544" i="10" s="1"/>
  <c r="CB1544" i="10" a="1"/>
  <c r="CB1544" i="10" s="1"/>
  <c r="CA1544" i="10" a="1"/>
  <c r="CA1544" i="10" s="1"/>
  <c r="BZ1544" i="10" a="1"/>
  <c r="BZ1544" i="10" s="1"/>
  <c r="BY1544" i="10" a="1"/>
  <c r="BY1544" i="10" s="1"/>
  <c r="BX1544" i="10" a="1"/>
  <c r="BX1544" i="10" s="1"/>
  <c r="BW1544" i="10" a="1"/>
  <c r="BW1544" i="10" s="1"/>
  <c r="BV1544" i="10" a="1"/>
  <c r="BV1544" i="10" s="1"/>
  <c r="BU1544" i="10" a="1"/>
  <c r="BU1544" i="10" s="1"/>
  <c r="BT1544" i="10" a="1"/>
  <c r="BT1544" i="10" s="1"/>
  <c r="BS1544" i="10" a="1"/>
  <c r="BS1544" i="10" s="1"/>
  <c r="BR1544" i="10" a="1"/>
  <c r="BR1544" i="10" s="1"/>
  <c r="BQ1544" i="10" a="1"/>
  <c r="BQ1544" i="10" s="1"/>
  <c r="BP1544" i="10" a="1"/>
  <c r="BP1544" i="10" s="1"/>
  <c r="BO1544" i="10" a="1"/>
  <c r="BO1544" i="10" s="1"/>
  <c r="BN1544" i="10" a="1"/>
  <c r="BN1544" i="10" s="1"/>
  <c r="BM1544" i="10" a="1"/>
  <c r="BM1544" i="10" s="1"/>
  <c r="BL1544" i="10" a="1"/>
  <c r="BL1544" i="10" s="1"/>
  <c r="BK1544" i="10" a="1"/>
  <c r="BK1544" i="10" s="1"/>
  <c r="BJ1544" i="10" a="1"/>
  <c r="BJ1544" i="10" s="1"/>
  <c r="BI1544" i="10" a="1"/>
  <c r="BI1544" i="10" s="1"/>
  <c r="BH1544" i="10" a="1"/>
  <c r="BH1544" i="10" s="1"/>
  <c r="BG1544" i="10" a="1"/>
  <c r="BG1544" i="10" s="1"/>
  <c r="BF1544" i="10" a="1"/>
  <c r="BF1544" i="10" s="1"/>
  <c r="BE1544" i="10" a="1"/>
  <c r="BE1544" i="10" s="1"/>
  <c r="BD1544" i="10" a="1"/>
  <c r="BD1544" i="10" s="1"/>
  <c r="BC1544" i="10" a="1"/>
  <c r="BC1544" i="10" s="1"/>
  <c r="BB1544" i="10" a="1"/>
  <c r="BB1544" i="10" s="1"/>
  <c r="BA1544" i="10" a="1"/>
  <c r="BA1544" i="10" s="1"/>
  <c r="AZ1544" i="10" a="1"/>
  <c r="AZ1544" i="10" s="1"/>
  <c r="AY1544" i="10" a="1"/>
  <c r="AY1544" i="10" s="1"/>
  <c r="AX1544" i="10" a="1"/>
  <c r="AX1544" i="10" s="1"/>
  <c r="AW1544" i="10" a="1"/>
  <c r="AW1544" i="10" s="1"/>
  <c r="AV1544" i="10" a="1"/>
  <c r="AV1544" i="10" s="1"/>
  <c r="AU1544" i="10" a="1"/>
  <c r="AU1544" i="10" s="1"/>
  <c r="AT1544" i="10" a="1"/>
  <c r="AT1544" i="10" s="1"/>
  <c r="AS1544" i="10" a="1"/>
  <c r="AS1544" i="10" s="1"/>
  <c r="AR1544" i="10" a="1"/>
  <c r="AR1544" i="10" s="1"/>
  <c r="AQ1544" i="10" a="1"/>
  <c r="AQ1544" i="10" s="1"/>
  <c r="AP1544" i="10" a="1"/>
  <c r="AP1544" i="10" s="1"/>
  <c r="AO1544" i="10" a="1"/>
  <c r="AO1544" i="10" s="1"/>
  <c r="AN1544" i="10" a="1"/>
  <c r="AN1544" i="10" s="1"/>
  <c r="AM1544" i="10" a="1"/>
  <c r="AM1544" i="10" s="1"/>
  <c r="AL1544" i="10" a="1"/>
  <c r="AL1544" i="10" s="1"/>
  <c r="Q22" i="9" s="1"/>
  <c r="AK1544" i="10" a="1"/>
  <c r="AK1544" i="10" s="1"/>
  <c r="AJ1544" i="10" a="1"/>
  <c r="AJ1544" i="10" s="1"/>
  <c r="AI1544" i="10" a="1"/>
  <c r="AI1544" i="10" s="1"/>
  <c r="AH1544" i="10" a="1"/>
  <c r="AH1544" i="10" s="1"/>
  <c r="AG1544" i="10" a="1"/>
  <c r="AG1544" i="10" s="1"/>
  <c r="AF1544" i="10" a="1"/>
  <c r="AF1544" i="10" s="1"/>
  <c r="AE1544" i="10" a="1"/>
  <c r="AE1544" i="10" s="1"/>
  <c r="AD1544" i="10" a="1"/>
  <c r="AD1544" i="10" s="1"/>
  <c r="AC1544" i="10" a="1"/>
  <c r="AC1544" i="10" s="1"/>
  <c r="AB1544" i="10" a="1"/>
  <c r="AB1544" i="10" s="1"/>
  <c r="AA1544" i="10" a="1"/>
  <c r="AA1544" i="10" s="1"/>
  <c r="Z1544" i="10" a="1"/>
  <c r="Z1544" i="10" s="1"/>
  <c r="Y1544" i="10" a="1"/>
  <c r="Y1544" i="10" s="1"/>
  <c r="X1544" i="10" a="1"/>
  <c r="X1544" i="10" s="1"/>
  <c r="W1544" i="10" a="1"/>
  <c r="W1544" i="10" s="1"/>
  <c r="V1544" i="10" a="1"/>
  <c r="V1544" i="10" s="1"/>
  <c r="U1544" i="10" a="1"/>
  <c r="U1544" i="10" s="1"/>
  <c r="T1544" i="10" a="1"/>
  <c r="T1544" i="10" s="1"/>
  <c r="S1544" i="10" a="1"/>
  <c r="S1544" i="10" s="1"/>
  <c r="R1544" i="10" a="1"/>
  <c r="R1544" i="10" s="1"/>
  <c r="Q1544" i="10" a="1"/>
  <c r="Q1544" i="10" s="1"/>
  <c r="P1544" i="10" a="1"/>
  <c r="P1544" i="10" s="1"/>
  <c r="AGN1543" i="10" a="1"/>
  <c r="AGN1543" i="10" s="1"/>
  <c r="AGM1543" i="10" a="1"/>
  <c r="AGM1543" i="10" s="1"/>
  <c r="AGL1543" i="10" a="1"/>
  <c r="AGL1543" i="10" s="1"/>
  <c r="AGK1543" i="10" a="1"/>
  <c r="AGK1543" i="10" s="1"/>
  <c r="AGJ1543" i="10" a="1"/>
  <c r="AGJ1543" i="10" s="1"/>
  <c r="AGI1543" i="10" a="1"/>
  <c r="AGI1543" i="10" s="1"/>
  <c r="AGH1543" i="10" a="1"/>
  <c r="AGH1543" i="10" s="1"/>
  <c r="AGG1543" i="10" a="1"/>
  <c r="AGG1543" i="10" s="1"/>
  <c r="AGF1543" i="10" a="1"/>
  <c r="AGF1543" i="10" s="1"/>
  <c r="AGE1543" i="10" a="1"/>
  <c r="AGE1543" i="10" s="1"/>
  <c r="AGD1543" i="10" a="1"/>
  <c r="AGD1543" i="10" s="1"/>
  <c r="AGC1543" i="10" a="1"/>
  <c r="AGC1543" i="10" s="1"/>
  <c r="AGB1543" i="10" a="1"/>
  <c r="AGB1543" i="10" s="1"/>
  <c r="AGA1543" i="10" a="1"/>
  <c r="AGA1543" i="10" s="1"/>
  <c r="AFZ1543" i="10" a="1"/>
  <c r="AFZ1543" i="10" s="1"/>
  <c r="AFY1543" i="10" a="1"/>
  <c r="AFY1543" i="10" s="1"/>
  <c r="AFX1543" i="10" a="1"/>
  <c r="AFX1543" i="10" s="1"/>
  <c r="AFW1543" i="10" a="1"/>
  <c r="AFW1543" i="10" s="1"/>
  <c r="AFV1543" i="10" a="1"/>
  <c r="AFV1543" i="10" s="1"/>
  <c r="AFU1543" i="10" a="1"/>
  <c r="AFU1543" i="10" s="1"/>
  <c r="AFT1543" i="10" a="1"/>
  <c r="AFT1543" i="10" s="1"/>
  <c r="AFS1543" i="10" a="1"/>
  <c r="AFS1543" i="10" s="1"/>
  <c r="AFR1543" i="10" a="1"/>
  <c r="AFR1543" i="10" s="1"/>
  <c r="AFQ1543" i="10" a="1"/>
  <c r="AFQ1543" i="10" s="1"/>
  <c r="AFP1543" i="10" a="1"/>
  <c r="AFP1543" i="10" s="1"/>
  <c r="AFO1543" i="10" a="1"/>
  <c r="AFO1543" i="10" s="1"/>
  <c r="AFN1543" i="10" a="1"/>
  <c r="AFN1543" i="10" s="1"/>
  <c r="AFM1543" i="10" a="1"/>
  <c r="AFM1543" i="10" s="1"/>
  <c r="AFL1543" i="10" a="1"/>
  <c r="AFL1543" i="10" s="1"/>
  <c r="AFK1543" i="10" a="1"/>
  <c r="AFK1543" i="10" s="1"/>
  <c r="AFJ1543" i="10" a="1"/>
  <c r="AFJ1543" i="10" s="1"/>
  <c r="AFI1543" i="10" a="1"/>
  <c r="AFI1543" i="10" s="1"/>
  <c r="AFH1543" i="10" a="1"/>
  <c r="AFH1543" i="10" s="1"/>
  <c r="AFG1543" i="10" a="1"/>
  <c r="AFG1543" i="10" s="1"/>
  <c r="AFF1543" i="10" a="1"/>
  <c r="AFF1543" i="10" s="1"/>
  <c r="AFE1543" i="10" a="1"/>
  <c r="AFE1543" i="10" s="1"/>
  <c r="AFD1543" i="10" a="1"/>
  <c r="AFD1543" i="10" s="1"/>
  <c r="AFC1543" i="10" a="1"/>
  <c r="AFC1543" i="10" s="1"/>
  <c r="AFB1543" i="10" a="1"/>
  <c r="AFB1543" i="10" s="1"/>
  <c r="AFA1543" i="10" a="1"/>
  <c r="AFA1543" i="10" s="1"/>
  <c r="AEZ1543" i="10" a="1"/>
  <c r="AEZ1543" i="10" s="1"/>
  <c r="AEY1543" i="10" a="1"/>
  <c r="AEY1543" i="10" s="1"/>
  <c r="AEX1543" i="10" a="1"/>
  <c r="AEX1543" i="10" s="1"/>
  <c r="AEW1543" i="10" a="1"/>
  <c r="AEW1543" i="10" s="1"/>
  <c r="AEV1543" i="10" a="1"/>
  <c r="AEV1543" i="10" s="1"/>
  <c r="AEU1543" i="10" a="1"/>
  <c r="AEU1543" i="10" s="1"/>
  <c r="AET1543" i="10" a="1"/>
  <c r="AET1543" i="10" s="1"/>
  <c r="AES1543" i="10" a="1"/>
  <c r="AES1543" i="10" s="1"/>
  <c r="AER1543" i="10" a="1"/>
  <c r="AER1543" i="10" s="1"/>
  <c r="AEQ1543" i="10" a="1"/>
  <c r="AEQ1543" i="10" s="1"/>
  <c r="AEP1543" i="10" a="1"/>
  <c r="AEP1543" i="10" s="1"/>
  <c r="AEO1543" i="10" a="1"/>
  <c r="AEO1543" i="10" s="1"/>
  <c r="AEN1543" i="10" a="1"/>
  <c r="AEN1543" i="10" s="1"/>
  <c r="AEM1543" i="10" a="1"/>
  <c r="AEM1543" i="10" s="1"/>
  <c r="AEL1543" i="10" a="1"/>
  <c r="AEL1543" i="10" s="1"/>
  <c r="AEK1543" i="10" a="1"/>
  <c r="AEK1543" i="10" s="1"/>
  <c r="AEJ1543" i="10" a="1"/>
  <c r="AEJ1543" i="10" s="1"/>
  <c r="AEI1543" i="10" a="1"/>
  <c r="AEI1543" i="10" s="1"/>
  <c r="AEH1543" i="10" a="1"/>
  <c r="AEH1543" i="10" s="1"/>
  <c r="AEG1543" i="10" a="1"/>
  <c r="AEG1543" i="10" s="1"/>
  <c r="AEF1543" i="10" a="1"/>
  <c r="AEF1543" i="10" s="1"/>
  <c r="AEE1543" i="10" a="1"/>
  <c r="AEE1543" i="10" s="1"/>
  <c r="AED1543" i="10" a="1"/>
  <c r="AED1543" i="10" s="1"/>
  <c r="AEC1543" i="10" a="1"/>
  <c r="AEC1543" i="10" s="1"/>
  <c r="AEB1543" i="10" a="1"/>
  <c r="AEB1543" i="10" s="1"/>
  <c r="AEA1543" i="10" a="1"/>
  <c r="AEA1543" i="10" s="1"/>
  <c r="ADZ1543" i="10" a="1"/>
  <c r="ADZ1543" i="10" s="1"/>
  <c r="ADY1543" i="10" a="1"/>
  <c r="ADY1543" i="10" s="1"/>
  <c r="ADX1543" i="10" a="1"/>
  <c r="ADX1543" i="10" s="1"/>
  <c r="ADW1543" i="10" a="1"/>
  <c r="ADW1543" i="10" s="1"/>
  <c r="ADV1543" i="10" a="1"/>
  <c r="ADV1543" i="10" s="1"/>
  <c r="ADU1543" i="10" a="1"/>
  <c r="ADU1543" i="10" s="1"/>
  <c r="ADT1543" i="10" a="1"/>
  <c r="ADT1543" i="10" s="1"/>
  <c r="ADS1543" i="10" a="1"/>
  <c r="ADS1543" i="10" s="1"/>
  <c r="ADR1543" i="10" a="1"/>
  <c r="ADR1543" i="10" s="1"/>
  <c r="ADQ1543" i="10" a="1"/>
  <c r="ADQ1543" i="10" s="1"/>
  <c r="ADP1543" i="10" a="1"/>
  <c r="ADP1543" i="10" s="1"/>
  <c r="ADO1543" i="10" a="1"/>
  <c r="ADO1543" i="10" s="1"/>
  <c r="ADN1543" i="10" a="1"/>
  <c r="ADN1543" i="10" s="1"/>
  <c r="ADM1543" i="10" a="1"/>
  <c r="ADM1543" i="10" s="1"/>
  <c r="ADL1543" i="10" a="1"/>
  <c r="ADL1543" i="10" s="1"/>
  <c r="ADK1543" i="10" a="1"/>
  <c r="ADK1543" i="10" s="1"/>
  <c r="ADJ1543" i="10" a="1"/>
  <c r="ADJ1543" i="10" s="1"/>
  <c r="ADI1543" i="10" a="1"/>
  <c r="ADI1543" i="10" s="1"/>
  <c r="ADH1543" i="10" a="1"/>
  <c r="ADH1543" i="10" s="1"/>
  <c r="ADG1543" i="10" a="1"/>
  <c r="ADG1543" i="10" s="1"/>
  <c r="ADF1543" i="10" a="1"/>
  <c r="ADF1543" i="10" s="1"/>
  <c r="ADE1543" i="10" a="1"/>
  <c r="ADE1543" i="10" s="1"/>
  <c r="ADD1543" i="10" a="1"/>
  <c r="ADD1543" i="10" s="1"/>
  <c r="ADC1543" i="10" a="1"/>
  <c r="ADC1543" i="10" s="1"/>
  <c r="ADB1543" i="10" a="1"/>
  <c r="ADB1543" i="10" s="1"/>
  <c r="ADA1543" i="10" a="1"/>
  <c r="ADA1543" i="10" s="1"/>
  <c r="ACZ1543" i="10" a="1"/>
  <c r="ACZ1543" i="10" s="1"/>
  <c r="ACY1543" i="10" a="1"/>
  <c r="ACY1543" i="10" s="1"/>
  <c r="ACX1543" i="10" a="1"/>
  <c r="ACX1543" i="10" s="1"/>
  <c r="ACW1543" i="10" a="1"/>
  <c r="ACW1543" i="10" s="1"/>
  <c r="ACV1543" i="10" a="1"/>
  <c r="ACV1543" i="10" s="1"/>
  <c r="ACU1543" i="10" a="1"/>
  <c r="ACU1543" i="10" s="1"/>
  <c r="ACT1543" i="10" a="1"/>
  <c r="ACT1543" i="10" s="1"/>
  <c r="ACS1543" i="10" a="1"/>
  <c r="ACS1543" i="10" s="1"/>
  <c r="ACR1543" i="10" a="1"/>
  <c r="ACR1543" i="10" s="1"/>
  <c r="ACQ1543" i="10" a="1"/>
  <c r="ACQ1543" i="10" s="1"/>
  <c r="ACP1543" i="10" a="1"/>
  <c r="ACP1543" i="10" s="1"/>
  <c r="ACO1543" i="10" a="1"/>
  <c r="ACO1543" i="10" s="1"/>
  <c r="ACN1543" i="10" a="1"/>
  <c r="ACN1543" i="10" s="1"/>
  <c r="ACM1543" i="10" a="1"/>
  <c r="ACM1543" i="10" s="1"/>
  <c r="ACL1543" i="10" a="1"/>
  <c r="ACL1543" i="10" s="1"/>
  <c r="ACK1543" i="10" a="1"/>
  <c r="ACK1543" i="10" s="1"/>
  <c r="ACJ1543" i="10" a="1"/>
  <c r="ACJ1543" i="10" s="1"/>
  <c r="ACI1543" i="10" a="1"/>
  <c r="ACI1543" i="10" s="1"/>
  <c r="ACH1543" i="10" a="1"/>
  <c r="ACH1543" i="10" s="1"/>
  <c r="ACG1543" i="10" a="1"/>
  <c r="ACG1543" i="10" s="1"/>
  <c r="ACF1543" i="10" a="1"/>
  <c r="ACF1543" i="10" s="1"/>
  <c r="ACE1543" i="10" a="1"/>
  <c r="ACE1543" i="10" s="1"/>
  <c r="ACD1543" i="10" a="1"/>
  <c r="ACD1543" i="10" s="1"/>
  <c r="ACC1543" i="10" a="1"/>
  <c r="ACC1543" i="10" s="1"/>
  <c r="ACB1543" i="10" a="1"/>
  <c r="ACB1543" i="10" s="1"/>
  <c r="ACA1543" i="10" a="1"/>
  <c r="ACA1543" i="10" s="1"/>
  <c r="ABZ1543" i="10" a="1"/>
  <c r="ABZ1543" i="10" s="1"/>
  <c r="ABY1543" i="10" a="1"/>
  <c r="ABY1543" i="10" s="1"/>
  <c r="ABX1543" i="10" a="1"/>
  <c r="ABX1543" i="10" s="1"/>
  <c r="ABW1543" i="10" a="1"/>
  <c r="ABW1543" i="10" s="1"/>
  <c r="ABV1543" i="10" a="1"/>
  <c r="ABV1543" i="10" s="1"/>
  <c r="ABU1543" i="10" a="1"/>
  <c r="ABU1543" i="10" s="1"/>
  <c r="ABT1543" i="10" a="1"/>
  <c r="ABT1543" i="10" s="1"/>
  <c r="ABS1543" i="10" a="1"/>
  <c r="ABS1543" i="10" s="1"/>
  <c r="ABR1543" i="10" a="1"/>
  <c r="ABR1543" i="10" s="1"/>
  <c r="ABQ1543" i="10" a="1"/>
  <c r="ABQ1543" i="10" s="1"/>
  <c r="ABP1543" i="10" a="1"/>
  <c r="ABP1543" i="10" s="1"/>
  <c r="ABO1543" i="10" a="1"/>
  <c r="ABO1543" i="10" s="1"/>
  <c r="ABN1543" i="10" a="1"/>
  <c r="ABN1543" i="10" s="1"/>
  <c r="ABM1543" i="10" a="1"/>
  <c r="ABM1543" i="10" s="1"/>
  <c r="ABL1543" i="10" a="1"/>
  <c r="ABL1543" i="10" s="1"/>
  <c r="ABK1543" i="10" a="1"/>
  <c r="ABK1543" i="10" s="1"/>
  <c r="ABJ1543" i="10" a="1"/>
  <c r="ABJ1543" i="10" s="1"/>
  <c r="ABI1543" i="10" a="1"/>
  <c r="ABI1543" i="10" s="1"/>
  <c r="ABH1543" i="10" a="1"/>
  <c r="ABH1543" i="10" s="1"/>
  <c r="ABG1543" i="10" a="1"/>
  <c r="ABG1543" i="10" s="1"/>
  <c r="ABF1543" i="10" a="1"/>
  <c r="ABF1543" i="10" s="1"/>
  <c r="ABE1543" i="10" a="1"/>
  <c r="ABE1543" i="10" s="1"/>
  <c r="ABD1543" i="10" a="1"/>
  <c r="ABD1543" i="10" s="1"/>
  <c r="ABC1543" i="10" a="1"/>
  <c r="ABC1543" i="10" s="1"/>
  <c r="ABB1543" i="10" a="1"/>
  <c r="ABB1543" i="10" s="1"/>
  <c r="ABA1543" i="10" a="1"/>
  <c r="ABA1543" i="10" s="1"/>
  <c r="AAZ1543" i="10" a="1"/>
  <c r="AAZ1543" i="10" s="1"/>
  <c r="AAY1543" i="10" a="1"/>
  <c r="AAY1543" i="10" s="1"/>
  <c r="AAX1543" i="10" a="1"/>
  <c r="AAX1543" i="10" s="1"/>
  <c r="AAW1543" i="10" a="1"/>
  <c r="AAW1543" i="10" s="1"/>
  <c r="AAV1543" i="10" a="1"/>
  <c r="AAV1543" i="10" s="1"/>
  <c r="AAU1543" i="10" a="1"/>
  <c r="AAU1543" i="10" s="1"/>
  <c r="AAT1543" i="10" a="1"/>
  <c r="AAT1543" i="10" s="1"/>
  <c r="AAS1543" i="10" a="1"/>
  <c r="AAS1543" i="10" s="1"/>
  <c r="AAR1543" i="10" a="1"/>
  <c r="AAR1543" i="10" s="1"/>
  <c r="AAQ1543" i="10" a="1"/>
  <c r="AAQ1543" i="10" s="1"/>
  <c r="AAP1543" i="10" a="1"/>
  <c r="AAP1543" i="10" s="1"/>
  <c r="AAO1543" i="10" a="1"/>
  <c r="AAO1543" i="10" s="1"/>
  <c r="AAN1543" i="10" a="1"/>
  <c r="AAN1543" i="10" s="1"/>
  <c r="AAM1543" i="10" a="1"/>
  <c r="AAM1543" i="10" s="1"/>
  <c r="AAL1543" i="10" a="1"/>
  <c r="AAL1543" i="10" s="1"/>
  <c r="AAK1543" i="10" a="1"/>
  <c r="AAK1543" i="10" s="1"/>
  <c r="AAJ1543" i="10" a="1"/>
  <c r="AAJ1543" i="10" s="1"/>
  <c r="AAI1543" i="10" a="1"/>
  <c r="AAI1543" i="10" s="1"/>
  <c r="AAH1543" i="10" a="1"/>
  <c r="AAH1543" i="10" s="1"/>
  <c r="AAG1543" i="10" a="1"/>
  <c r="AAG1543" i="10" s="1"/>
  <c r="AAF1543" i="10" a="1"/>
  <c r="AAF1543" i="10" s="1"/>
  <c r="AAE1543" i="10" a="1"/>
  <c r="AAE1543" i="10" s="1"/>
  <c r="AAD1543" i="10" a="1"/>
  <c r="AAD1543" i="10" s="1"/>
  <c r="AAC1543" i="10" a="1"/>
  <c r="AAC1543" i="10" s="1"/>
  <c r="AAB1543" i="10" a="1"/>
  <c r="AAB1543" i="10" s="1"/>
  <c r="AAA1543" i="10" a="1"/>
  <c r="AAA1543" i="10" s="1"/>
  <c r="ZZ1543" i="10" a="1"/>
  <c r="ZZ1543" i="10" s="1"/>
  <c r="ZY1543" i="10" a="1"/>
  <c r="ZY1543" i="10" s="1"/>
  <c r="ZX1543" i="10" a="1"/>
  <c r="ZX1543" i="10" s="1"/>
  <c r="ZW1543" i="10" a="1"/>
  <c r="ZW1543" i="10" s="1"/>
  <c r="ZV1543" i="10" a="1"/>
  <c r="ZV1543" i="10" s="1"/>
  <c r="ZU1543" i="10" a="1"/>
  <c r="ZU1543" i="10" s="1"/>
  <c r="ZT1543" i="10" a="1"/>
  <c r="ZT1543" i="10" s="1"/>
  <c r="ZS1543" i="10" a="1"/>
  <c r="ZS1543" i="10" s="1"/>
  <c r="ZR1543" i="10" a="1"/>
  <c r="ZR1543" i="10" s="1"/>
  <c r="ZQ1543" i="10" a="1"/>
  <c r="ZQ1543" i="10" s="1"/>
  <c r="ZP1543" i="10" a="1"/>
  <c r="ZP1543" i="10" s="1"/>
  <c r="ZO1543" i="10" a="1"/>
  <c r="ZO1543" i="10" s="1"/>
  <c r="ZN1543" i="10" a="1"/>
  <c r="ZN1543" i="10" s="1"/>
  <c r="ZM1543" i="10" a="1"/>
  <c r="ZM1543" i="10" s="1"/>
  <c r="ZL1543" i="10" a="1"/>
  <c r="ZL1543" i="10" s="1"/>
  <c r="ZK1543" i="10" a="1"/>
  <c r="ZK1543" i="10" s="1"/>
  <c r="ZJ1543" i="10" a="1"/>
  <c r="ZJ1543" i="10" s="1"/>
  <c r="ZI1543" i="10" a="1"/>
  <c r="ZI1543" i="10" s="1"/>
  <c r="ZH1543" i="10" a="1"/>
  <c r="ZH1543" i="10" s="1"/>
  <c r="ZG1543" i="10" a="1"/>
  <c r="ZG1543" i="10" s="1"/>
  <c r="ZF1543" i="10" a="1"/>
  <c r="ZF1543" i="10" s="1"/>
  <c r="ZE1543" i="10" a="1"/>
  <c r="ZE1543" i="10" s="1"/>
  <c r="ZD1543" i="10" a="1"/>
  <c r="ZD1543" i="10" s="1"/>
  <c r="ZC1543" i="10" a="1"/>
  <c r="ZC1543" i="10" s="1"/>
  <c r="ZB1543" i="10" a="1"/>
  <c r="ZB1543" i="10" s="1"/>
  <c r="ZA1543" i="10" a="1"/>
  <c r="ZA1543" i="10" s="1"/>
  <c r="YZ1543" i="10" a="1"/>
  <c r="YZ1543" i="10" s="1"/>
  <c r="YY1543" i="10" a="1"/>
  <c r="YY1543" i="10" s="1"/>
  <c r="YX1543" i="10" a="1"/>
  <c r="YX1543" i="10" s="1"/>
  <c r="YW1543" i="10" a="1"/>
  <c r="YW1543" i="10" s="1"/>
  <c r="YV1543" i="10" a="1"/>
  <c r="YV1543" i="10" s="1"/>
  <c r="YU1543" i="10" a="1"/>
  <c r="YU1543" i="10" s="1"/>
  <c r="YT1543" i="10" a="1"/>
  <c r="YT1543" i="10" s="1"/>
  <c r="YS1543" i="10" a="1"/>
  <c r="YS1543" i="10" s="1"/>
  <c r="YR1543" i="10" a="1"/>
  <c r="YR1543" i="10" s="1"/>
  <c r="YQ1543" i="10" a="1"/>
  <c r="YQ1543" i="10" s="1"/>
  <c r="YP1543" i="10" a="1"/>
  <c r="YP1543" i="10" s="1"/>
  <c r="YO1543" i="10" a="1"/>
  <c r="YO1543" i="10" s="1"/>
  <c r="YN1543" i="10" a="1"/>
  <c r="YN1543" i="10" s="1"/>
  <c r="YM1543" i="10" a="1"/>
  <c r="YM1543" i="10" s="1"/>
  <c r="YL1543" i="10" a="1"/>
  <c r="YL1543" i="10" s="1"/>
  <c r="YK1543" i="10" a="1"/>
  <c r="YK1543" i="10" s="1"/>
  <c r="YJ1543" i="10" a="1"/>
  <c r="YJ1543" i="10" s="1"/>
  <c r="YI1543" i="10" a="1"/>
  <c r="YI1543" i="10" s="1"/>
  <c r="YH1543" i="10" a="1"/>
  <c r="YH1543" i="10" s="1"/>
  <c r="YG1543" i="10" a="1"/>
  <c r="YG1543" i="10" s="1"/>
  <c r="YF1543" i="10" a="1"/>
  <c r="YF1543" i="10" s="1"/>
  <c r="YE1543" i="10" a="1"/>
  <c r="YE1543" i="10" s="1"/>
  <c r="YD1543" i="10" a="1"/>
  <c r="YD1543" i="10" s="1"/>
  <c r="YC1543" i="10" a="1"/>
  <c r="YC1543" i="10" s="1"/>
  <c r="YB1543" i="10" a="1"/>
  <c r="YB1543" i="10" s="1"/>
  <c r="YA1543" i="10" a="1"/>
  <c r="YA1543" i="10" s="1"/>
  <c r="XZ1543" i="10" a="1"/>
  <c r="XZ1543" i="10" s="1"/>
  <c r="XY1543" i="10" a="1"/>
  <c r="XY1543" i="10" s="1"/>
  <c r="XX1543" i="10" a="1"/>
  <c r="XX1543" i="10" s="1"/>
  <c r="XW1543" i="10" a="1"/>
  <c r="XW1543" i="10" s="1"/>
  <c r="XV1543" i="10" a="1"/>
  <c r="XV1543" i="10" s="1"/>
  <c r="XU1543" i="10" a="1"/>
  <c r="XU1543" i="10" s="1"/>
  <c r="XT1543" i="10" a="1"/>
  <c r="XT1543" i="10" s="1"/>
  <c r="XS1543" i="10" a="1"/>
  <c r="XS1543" i="10" s="1"/>
  <c r="XR1543" i="10" a="1"/>
  <c r="XR1543" i="10" s="1"/>
  <c r="XQ1543" i="10" a="1"/>
  <c r="XQ1543" i="10" s="1"/>
  <c r="XP1543" i="10" a="1"/>
  <c r="XP1543" i="10" s="1"/>
  <c r="XO1543" i="10" a="1"/>
  <c r="XO1543" i="10" s="1"/>
  <c r="XN1543" i="10" a="1"/>
  <c r="XN1543" i="10" s="1"/>
  <c r="XM1543" i="10" a="1"/>
  <c r="XM1543" i="10" s="1"/>
  <c r="XL1543" i="10" a="1"/>
  <c r="XL1543" i="10" s="1"/>
  <c r="XK1543" i="10" a="1"/>
  <c r="XK1543" i="10" s="1"/>
  <c r="XJ1543" i="10" a="1"/>
  <c r="XJ1543" i="10" s="1"/>
  <c r="XI1543" i="10" a="1"/>
  <c r="XI1543" i="10" s="1"/>
  <c r="XH1543" i="10" a="1"/>
  <c r="XH1543" i="10" s="1"/>
  <c r="XG1543" i="10" a="1"/>
  <c r="XG1543" i="10" s="1"/>
  <c r="XF1543" i="10" a="1"/>
  <c r="XF1543" i="10" s="1"/>
  <c r="XE1543" i="10" a="1"/>
  <c r="XE1543" i="10" s="1"/>
  <c r="XD1543" i="10" a="1"/>
  <c r="XD1543" i="10" s="1"/>
  <c r="XC1543" i="10" a="1"/>
  <c r="XC1543" i="10" s="1"/>
  <c r="XB1543" i="10" a="1"/>
  <c r="XB1543" i="10" s="1"/>
  <c r="XA1543" i="10" a="1"/>
  <c r="XA1543" i="10" s="1"/>
  <c r="WZ1543" i="10" a="1"/>
  <c r="WZ1543" i="10" s="1"/>
  <c r="WY1543" i="10" a="1"/>
  <c r="WY1543" i="10" s="1"/>
  <c r="WX1543" i="10" a="1"/>
  <c r="WX1543" i="10" s="1"/>
  <c r="WW1543" i="10" a="1"/>
  <c r="WW1543" i="10" s="1"/>
  <c r="WV1543" i="10" a="1"/>
  <c r="WV1543" i="10" s="1"/>
  <c r="WU1543" i="10" a="1"/>
  <c r="WU1543" i="10" s="1"/>
  <c r="WT1543" i="10" a="1"/>
  <c r="WT1543" i="10" s="1"/>
  <c r="WS1543" i="10" a="1"/>
  <c r="WS1543" i="10" s="1"/>
  <c r="WR1543" i="10" a="1"/>
  <c r="WR1543" i="10" s="1"/>
  <c r="WQ1543" i="10" a="1"/>
  <c r="WQ1543" i="10" s="1"/>
  <c r="WP1543" i="10" a="1"/>
  <c r="WP1543" i="10" s="1"/>
  <c r="WO1543" i="10" a="1"/>
  <c r="WO1543" i="10" s="1"/>
  <c r="WN1543" i="10" a="1"/>
  <c r="WN1543" i="10" s="1"/>
  <c r="WM1543" i="10" a="1"/>
  <c r="WM1543" i="10" s="1"/>
  <c r="WL1543" i="10" a="1"/>
  <c r="WL1543" i="10" s="1"/>
  <c r="WK1543" i="10" a="1"/>
  <c r="WK1543" i="10" s="1"/>
  <c r="WJ1543" i="10" a="1"/>
  <c r="WJ1543" i="10" s="1"/>
  <c r="WI1543" i="10" a="1"/>
  <c r="WI1543" i="10" s="1"/>
  <c r="WH1543" i="10" a="1"/>
  <c r="WH1543" i="10" s="1"/>
  <c r="WG1543" i="10" a="1"/>
  <c r="WG1543" i="10" s="1"/>
  <c r="WF1543" i="10" a="1"/>
  <c r="WF1543" i="10" s="1"/>
  <c r="WE1543" i="10" a="1"/>
  <c r="WE1543" i="10" s="1"/>
  <c r="WD1543" i="10" a="1"/>
  <c r="WD1543" i="10" s="1"/>
  <c r="WC1543" i="10" a="1"/>
  <c r="WC1543" i="10" s="1"/>
  <c r="WB1543" i="10" a="1"/>
  <c r="WB1543" i="10" s="1"/>
  <c r="WA1543" i="10" a="1"/>
  <c r="WA1543" i="10" s="1"/>
  <c r="VZ1543" i="10" a="1"/>
  <c r="VZ1543" i="10" s="1"/>
  <c r="VY1543" i="10" a="1"/>
  <c r="VY1543" i="10" s="1"/>
  <c r="VX1543" i="10" a="1"/>
  <c r="VX1543" i="10" s="1"/>
  <c r="VW1543" i="10" a="1"/>
  <c r="VW1543" i="10" s="1"/>
  <c r="VV1543" i="10" a="1"/>
  <c r="VV1543" i="10" s="1"/>
  <c r="VU1543" i="10" a="1"/>
  <c r="VU1543" i="10" s="1"/>
  <c r="VT1543" i="10" a="1"/>
  <c r="VT1543" i="10" s="1"/>
  <c r="VS1543" i="10" a="1"/>
  <c r="VS1543" i="10" s="1"/>
  <c r="VR1543" i="10" a="1"/>
  <c r="VR1543" i="10" s="1"/>
  <c r="VQ1543" i="10" a="1"/>
  <c r="VQ1543" i="10" s="1"/>
  <c r="VP1543" i="10" a="1"/>
  <c r="VP1543" i="10" s="1"/>
  <c r="VO1543" i="10" a="1"/>
  <c r="VO1543" i="10" s="1"/>
  <c r="VN1543" i="10" a="1"/>
  <c r="VN1543" i="10" s="1"/>
  <c r="VM1543" i="10" a="1"/>
  <c r="VM1543" i="10" s="1"/>
  <c r="VL1543" i="10" a="1"/>
  <c r="VL1543" i="10" s="1"/>
  <c r="VK1543" i="10" a="1"/>
  <c r="VK1543" i="10" s="1"/>
  <c r="VJ1543" i="10" a="1"/>
  <c r="VJ1543" i="10" s="1"/>
  <c r="VI1543" i="10" a="1"/>
  <c r="VI1543" i="10" s="1"/>
  <c r="VH1543" i="10" a="1"/>
  <c r="VH1543" i="10" s="1"/>
  <c r="VG1543" i="10" a="1"/>
  <c r="VG1543" i="10" s="1"/>
  <c r="VF1543" i="10" a="1"/>
  <c r="VF1543" i="10" s="1"/>
  <c r="VE1543" i="10" a="1"/>
  <c r="VE1543" i="10" s="1"/>
  <c r="VD1543" i="10" a="1"/>
  <c r="VD1543" i="10" s="1"/>
  <c r="VC1543" i="10" a="1"/>
  <c r="VC1543" i="10" s="1"/>
  <c r="VB1543" i="10" a="1"/>
  <c r="VB1543" i="10" s="1"/>
  <c r="VA1543" i="10" a="1"/>
  <c r="VA1543" i="10" s="1"/>
  <c r="UZ1543" i="10" a="1"/>
  <c r="UZ1543" i="10" s="1"/>
  <c r="UY1543" i="10" a="1"/>
  <c r="UY1543" i="10" s="1"/>
  <c r="UX1543" i="10" a="1"/>
  <c r="UX1543" i="10" s="1"/>
  <c r="UW1543" i="10" a="1"/>
  <c r="UW1543" i="10" s="1"/>
  <c r="UV1543" i="10" a="1"/>
  <c r="UV1543" i="10" s="1"/>
  <c r="UU1543" i="10" a="1"/>
  <c r="UU1543" i="10" s="1"/>
  <c r="UT1543" i="10" a="1"/>
  <c r="UT1543" i="10" s="1"/>
  <c r="US1543" i="10" a="1"/>
  <c r="US1543" i="10" s="1"/>
  <c r="UR1543" i="10" a="1"/>
  <c r="UR1543" i="10" s="1"/>
  <c r="UQ1543" i="10" a="1"/>
  <c r="UQ1543" i="10" s="1"/>
  <c r="UP1543" i="10" a="1"/>
  <c r="UP1543" i="10" s="1"/>
  <c r="UO1543" i="10" a="1"/>
  <c r="UO1543" i="10" s="1"/>
  <c r="UN1543" i="10" a="1"/>
  <c r="UN1543" i="10" s="1"/>
  <c r="UM1543" i="10" a="1"/>
  <c r="UM1543" i="10" s="1"/>
  <c r="UL1543" i="10" a="1"/>
  <c r="UL1543" i="10" s="1"/>
  <c r="UK1543" i="10" a="1"/>
  <c r="UK1543" i="10" s="1"/>
  <c r="UJ1543" i="10" a="1"/>
  <c r="UJ1543" i="10" s="1"/>
  <c r="UI1543" i="10" a="1"/>
  <c r="UI1543" i="10" s="1"/>
  <c r="UH1543" i="10" a="1"/>
  <c r="UH1543" i="10" s="1"/>
  <c r="UG1543" i="10" a="1"/>
  <c r="UG1543" i="10" s="1"/>
  <c r="UF1543" i="10" a="1"/>
  <c r="UF1543" i="10" s="1"/>
  <c r="UE1543" i="10" a="1"/>
  <c r="UE1543" i="10" s="1"/>
  <c r="UD1543" i="10" a="1"/>
  <c r="UD1543" i="10" s="1"/>
  <c r="UC1543" i="10" a="1"/>
  <c r="UC1543" i="10" s="1"/>
  <c r="UB1543" i="10" a="1"/>
  <c r="UB1543" i="10" s="1"/>
  <c r="UA1543" i="10" a="1"/>
  <c r="UA1543" i="10" s="1"/>
  <c r="TZ1543" i="10" a="1"/>
  <c r="TZ1543" i="10" s="1"/>
  <c r="TY1543" i="10" a="1"/>
  <c r="TY1543" i="10" s="1"/>
  <c r="TX1543" i="10" a="1"/>
  <c r="TX1543" i="10" s="1"/>
  <c r="TW1543" i="10" a="1"/>
  <c r="TW1543" i="10" s="1"/>
  <c r="TV1543" i="10" a="1"/>
  <c r="TV1543" i="10" s="1"/>
  <c r="TU1543" i="10" a="1"/>
  <c r="TU1543" i="10" s="1"/>
  <c r="TT1543" i="10" a="1"/>
  <c r="TT1543" i="10" s="1"/>
  <c r="TS1543" i="10" a="1"/>
  <c r="TS1543" i="10" s="1"/>
  <c r="TR1543" i="10" a="1"/>
  <c r="TR1543" i="10" s="1"/>
  <c r="TQ1543" i="10" a="1"/>
  <c r="TQ1543" i="10" s="1"/>
  <c r="TP1543" i="10" a="1"/>
  <c r="TP1543" i="10" s="1"/>
  <c r="TO1543" i="10" a="1"/>
  <c r="TO1543" i="10" s="1"/>
  <c r="TN1543" i="10" a="1"/>
  <c r="TN1543" i="10" s="1"/>
  <c r="TM1543" i="10" a="1"/>
  <c r="TM1543" i="10" s="1"/>
  <c r="TL1543" i="10" a="1"/>
  <c r="TL1543" i="10" s="1"/>
  <c r="TK1543" i="10" a="1"/>
  <c r="TK1543" i="10" s="1"/>
  <c r="TJ1543" i="10" a="1"/>
  <c r="TJ1543" i="10" s="1"/>
  <c r="TI1543" i="10" a="1"/>
  <c r="TI1543" i="10" s="1"/>
  <c r="TH1543" i="10" a="1"/>
  <c r="TH1543" i="10" s="1"/>
  <c r="TG1543" i="10" a="1"/>
  <c r="TG1543" i="10" s="1"/>
  <c r="TF1543" i="10" a="1"/>
  <c r="TF1543" i="10" s="1"/>
  <c r="TE1543" i="10" a="1"/>
  <c r="TE1543" i="10" s="1"/>
  <c r="TD1543" i="10" a="1"/>
  <c r="TD1543" i="10" s="1"/>
  <c r="TC1543" i="10" a="1"/>
  <c r="TC1543" i="10" s="1"/>
  <c r="TB1543" i="10" a="1"/>
  <c r="TB1543" i="10" s="1"/>
  <c r="TA1543" i="10" a="1"/>
  <c r="TA1543" i="10" s="1"/>
  <c r="SZ1543" i="10" a="1"/>
  <c r="SZ1543" i="10" s="1"/>
  <c r="SY1543" i="10" a="1"/>
  <c r="SY1543" i="10" s="1"/>
  <c r="SX1543" i="10" a="1"/>
  <c r="SX1543" i="10" s="1"/>
  <c r="SW1543" i="10" a="1"/>
  <c r="SW1543" i="10" s="1"/>
  <c r="SV1543" i="10" a="1"/>
  <c r="SV1543" i="10" s="1"/>
  <c r="SU1543" i="10" a="1"/>
  <c r="SU1543" i="10" s="1"/>
  <c r="ST1543" i="10" a="1"/>
  <c r="ST1543" i="10" s="1"/>
  <c r="SS1543" i="10" a="1"/>
  <c r="SS1543" i="10" s="1"/>
  <c r="SR1543" i="10" a="1"/>
  <c r="SR1543" i="10" s="1"/>
  <c r="SQ1543" i="10" a="1"/>
  <c r="SQ1543" i="10" s="1"/>
  <c r="SP1543" i="10" a="1"/>
  <c r="SP1543" i="10" s="1"/>
  <c r="SO1543" i="10" a="1"/>
  <c r="SO1543" i="10" s="1"/>
  <c r="SN1543" i="10" a="1"/>
  <c r="SN1543" i="10" s="1"/>
  <c r="SM1543" i="10" a="1"/>
  <c r="SM1543" i="10" s="1"/>
  <c r="SL1543" i="10" a="1"/>
  <c r="SL1543" i="10" s="1"/>
  <c r="SK1543" i="10" a="1"/>
  <c r="SK1543" i="10" s="1"/>
  <c r="SJ1543" i="10" a="1"/>
  <c r="SJ1543" i="10" s="1"/>
  <c r="SI1543" i="10" a="1"/>
  <c r="SI1543" i="10" s="1"/>
  <c r="SH1543" i="10" a="1"/>
  <c r="SH1543" i="10" s="1"/>
  <c r="SG1543" i="10" a="1"/>
  <c r="SG1543" i="10" s="1"/>
  <c r="SF1543" i="10" a="1"/>
  <c r="SF1543" i="10" s="1"/>
  <c r="SE1543" i="10" a="1"/>
  <c r="SE1543" i="10" s="1"/>
  <c r="SD1543" i="10" a="1"/>
  <c r="SD1543" i="10" s="1"/>
  <c r="SC1543" i="10" a="1"/>
  <c r="SC1543" i="10" s="1"/>
  <c r="SB1543" i="10" a="1"/>
  <c r="SB1543" i="10" s="1"/>
  <c r="SA1543" i="10" a="1"/>
  <c r="SA1543" i="10" s="1"/>
  <c r="RZ1543" i="10" a="1"/>
  <c r="RZ1543" i="10" s="1"/>
  <c r="RY1543" i="10" a="1"/>
  <c r="RY1543" i="10" s="1"/>
  <c r="RX1543" i="10" a="1"/>
  <c r="RX1543" i="10" s="1"/>
  <c r="RW1543" i="10" a="1"/>
  <c r="RW1543" i="10" s="1"/>
  <c r="RV1543" i="10" a="1"/>
  <c r="RV1543" i="10" s="1"/>
  <c r="RU1543" i="10" a="1"/>
  <c r="RU1543" i="10" s="1"/>
  <c r="RT1543" i="10" a="1"/>
  <c r="RT1543" i="10" s="1"/>
  <c r="RS1543" i="10" a="1"/>
  <c r="RS1543" i="10" s="1"/>
  <c r="RR1543" i="10" a="1"/>
  <c r="RR1543" i="10" s="1"/>
  <c r="RQ1543" i="10" a="1"/>
  <c r="RQ1543" i="10" s="1"/>
  <c r="RP1543" i="10" a="1"/>
  <c r="RP1543" i="10" s="1"/>
  <c r="RO1543" i="10" a="1"/>
  <c r="RO1543" i="10" s="1"/>
  <c r="RN1543" i="10" a="1"/>
  <c r="RN1543" i="10" s="1"/>
  <c r="RM1543" i="10" a="1"/>
  <c r="RM1543" i="10" s="1"/>
  <c r="RL1543" i="10" a="1"/>
  <c r="RL1543" i="10" s="1"/>
  <c r="RK1543" i="10" a="1"/>
  <c r="RK1543" i="10" s="1"/>
  <c r="RJ1543" i="10" a="1"/>
  <c r="RJ1543" i="10" s="1"/>
  <c r="RI1543" i="10" a="1"/>
  <c r="RI1543" i="10" s="1"/>
  <c r="RH1543" i="10" a="1"/>
  <c r="RH1543" i="10" s="1"/>
  <c r="RG1543" i="10" a="1"/>
  <c r="RG1543" i="10" s="1"/>
  <c r="RF1543" i="10" a="1"/>
  <c r="RF1543" i="10" s="1"/>
  <c r="RE1543" i="10" a="1"/>
  <c r="RE1543" i="10" s="1"/>
  <c r="RD1543" i="10" a="1"/>
  <c r="RD1543" i="10" s="1"/>
  <c r="RC1543" i="10" a="1"/>
  <c r="RC1543" i="10" s="1"/>
  <c r="RB1543" i="10" a="1"/>
  <c r="RB1543" i="10" s="1"/>
  <c r="RA1543" i="10" a="1"/>
  <c r="RA1543" i="10" s="1"/>
  <c r="QZ1543" i="10" a="1"/>
  <c r="QZ1543" i="10" s="1"/>
  <c r="QY1543" i="10" a="1"/>
  <c r="QY1543" i="10" s="1"/>
  <c r="QX1543" i="10" a="1"/>
  <c r="QX1543" i="10" s="1"/>
  <c r="QW1543" i="10" a="1"/>
  <c r="QW1543" i="10" s="1"/>
  <c r="QV1543" i="10" a="1"/>
  <c r="QV1543" i="10" s="1"/>
  <c r="QU1543" i="10" a="1"/>
  <c r="QU1543" i="10" s="1"/>
  <c r="QT1543" i="10" a="1"/>
  <c r="QT1543" i="10" s="1"/>
  <c r="QS1543" i="10" a="1"/>
  <c r="QS1543" i="10" s="1"/>
  <c r="QR1543" i="10" a="1"/>
  <c r="QR1543" i="10" s="1"/>
  <c r="QQ1543" i="10" a="1"/>
  <c r="QQ1543" i="10" s="1"/>
  <c r="QP1543" i="10" a="1"/>
  <c r="QP1543" i="10" s="1"/>
  <c r="QO1543" i="10" a="1"/>
  <c r="QO1543" i="10" s="1"/>
  <c r="QN1543" i="10" a="1"/>
  <c r="QN1543" i="10" s="1"/>
  <c r="QM1543" i="10" a="1"/>
  <c r="QM1543" i="10" s="1"/>
  <c r="QL1543" i="10" a="1"/>
  <c r="QL1543" i="10" s="1"/>
  <c r="QK1543" i="10" a="1"/>
  <c r="QK1543" i="10" s="1"/>
  <c r="QJ1543" i="10" a="1"/>
  <c r="QJ1543" i="10" s="1"/>
  <c r="QI1543" i="10" a="1"/>
  <c r="QI1543" i="10" s="1"/>
  <c r="QH1543" i="10" a="1"/>
  <c r="QH1543" i="10" s="1"/>
  <c r="QG1543" i="10" a="1"/>
  <c r="QG1543" i="10" s="1"/>
  <c r="QF1543" i="10" a="1"/>
  <c r="QF1543" i="10" s="1"/>
  <c r="QE1543" i="10" a="1"/>
  <c r="QE1543" i="10" s="1"/>
  <c r="QD1543" i="10" a="1"/>
  <c r="QD1543" i="10" s="1"/>
  <c r="QC1543" i="10" a="1"/>
  <c r="QC1543" i="10" s="1"/>
  <c r="QB1543" i="10" a="1"/>
  <c r="QB1543" i="10" s="1"/>
  <c r="QA1543" i="10" a="1"/>
  <c r="QA1543" i="10" s="1"/>
  <c r="PZ1543" i="10" a="1"/>
  <c r="PZ1543" i="10" s="1"/>
  <c r="PY1543" i="10" a="1"/>
  <c r="PY1543" i="10" s="1"/>
  <c r="PX1543" i="10" a="1"/>
  <c r="PX1543" i="10" s="1"/>
  <c r="PW1543" i="10" a="1"/>
  <c r="PW1543" i="10" s="1"/>
  <c r="PV1543" i="10" a="1"/>
  <c r="PV1543" i="10" s="1"/>
  <c r="PU1543" i="10" a="1"/>
  <c r="PU1543" i="10" s="1"/>
  <c r="PT1543" i="10" a="1"/>
  <c r="PT1543" i="10" s="1"/>
  <c r="PS1543" i="10" a="1"/>
  <c r="PS1543" i="10" s="1"/>
  <c r="PR1543" i="10" a="1"/>
  <c r="PR1543" i="10" s="1"/>
  <c r="PQ1543" i="10" a="1"/>
  <c r="PQ1543" i="10" s="1"/>
  <c r="PP1543" i="10" a="1"/>
  <c r="PP1543" i="10" s="1"/>
  <c r="PO1543" i="10" a="1"/>
  <c r="PO1543" i="10" s="1"/>
  <c r="PN1543" i="10" a="1"/>
  <c r="PN1543" i="10" s="1"/>
  <c r="PM1543" i="10" a="1"/>
  <c r="PM1543" i="10" s="1"/>
  <c r="PL1543" i="10" a="1"/>
  <c r="PL1543" i="10" s="1"/>
  <c r="PK1543" i="10" a="1"/>
  <c r="PK1543" i="10" s="1"/>
  <c r="PJ1543" i="10" a="1"/>
  <c r="PJ1543" i="10" s="1"/>
  <c r="PI1543" i="10" a="1"/>
  <c r="PI1543" i="10" s="1"/>
  <c r="PH1543" i="10" a="1"/>
  <c r="PH1543" i="10" s="1"/>
  <c r="PG1543" i="10" a="1"/>
  <c r="PG1543" i="10" s="1"/>
  <c r="PF1543" i="10" a="1"/>
  <c r="PF1543" i="10" s="1"/>
  <c r="PE1543" i="10" a="1"/>
  <c r="PE1543" i="10" s="1"/>
  <c r="PD1543" i="10" a="1"/>
  <c r="PD1543" i="10" s="1"/>
  <c r="PC1543" i="10" a="1"/>
  <c r="PC1543" i="10" s="1"/>
  <c r="PB1543" i="10" a="1"/>
  <c r="PB1543" i="10" s="1"/>
  <c r="PA1543" i="10" a="1"/>
  <c r="PA1543" i="10" s="1"/>
  <c r="OZ1543" i="10" a="1"/>
  <c r="OZ1543" i="10" s="1"/>
  <c r="OY1543" i="10" a="1"/>
  <c r="OY1543" i="10" s="1"/>
  <c r="OX1543" i="10" a="1"/>
  <c r="OX1543" i="10" s="1"/>
  <c r="OW1543" i="10" a="1"/>
  <c r="OW1543" i="10" s="1"/>
  <c r="OV1543" i="10" a="1"/>
  <c r="OV1543" i="10" s="1"/>
  <c r="OU1543" i="10" a="1"/>
  <c r="OU1543" i="10" s="1"/>
  <c r="OT1543" i="10" a="1"/>
  <c r="OT1543" i="10" s="1"/>
  <c r="OS1543" i="10" a="1"/>
  <c r="OS1543" i="10" s="1"/>
  <c r="OR1543" i="10" a="1"/>
  <c r="OR1543" i="10" s="1"/>
  <c r="OQ1543" i="10" a="1"/>
  <c r="OQ1543" i="10" s="1"/>
  <c r="OP1543" i="10" a="1"/>
  <c r="OP1543" i="10" s="1"/>
  <c r="OO1543" i="10" a="1"/>
  <c r="OO1543" i="10" s="1"/>
  <c r="ON1543" i="10" a="1"/>
  <c r="ON1543" i="10" s="1"/>
  <c r="OM1543" i="10" a="1"/>
  <c r="OM1543" i="10" s="1"/>
  <c r="OL1543" i="10" a="1"/>
  <c r="OL1543" i="10" s="1"/>
  <c r="OK1543" i="10" a="1"/>
  <c r="OK1543" i="10" s="1"/>
  <c r="OJ1543" i="10" a="1"/>
  <c r="OJ1543" i="10" s="1"/>
  <c r="OI1543" i="10" a="1"/>
  <c r="OI1543" i="10" s="1"/>
  <c r="OH1543" i="10" a="1"/>
  <c r="OH1543" i="10" s="1"/>
  <c r="OG1543" i="10" a="1"/>
  <c r="OG1543" i="10" s="1"/>
  <c r="OF1543" i="10" a="1"/>
  <c r="OF1543" i="10" s="1"/>
  <c r="OE1543" i="10" a="1"/>
  <c r="OE1543" i="10" s="1"/>
  <c r="OD1543" i="10" a="1"/>
  <c r="OD1543" i="10" s="1"/>
  <c r="OC1543" i="10" a="1"/>
  <c r="OC1543" i="10" s="1"/>
  <c r="OB1543" i="10" a="1"/>
  <c r="OB1543" i="10" s="1"/>
  <c r="OA1543" i="10" a="1"/>
  <c r="OA1543" i="10" s="1"/>
  <c r="NZ1543" i="10" a="1"/>
  <c r="NZ1543" i="10" s="1"/>
  <c r="NY1543" i="10" a="1"/>
  <c r="NY1543" i="10" s="1"/>
  <c r="NX1543" i="10" a="1"/>
  <c r="NX1543" i="10" s="1"/>
  <c r="NW1543" i="10" a="1"/>
  <c r="NW1543" i="10" s="1"/>
  <c r="NV1543" i="10" a="1"/>
  <c r="NV1543" i="10" s="1"/>
  <c r="NU1543" i="10" a="1"/>
  <c r="NU1543" i="10" s="1"/>
  <c r="NT1543" i="10" a="1"/>
  <c r="NT1543" i="10" s="1"/>
  <c r="NS1543" i="10" a="1"/>
  <c r="NS1543" i="10" s="1"/>
  <c r="NR1543" i="10" a="1"/>
  <c r="NR1543" i="10" s="1"/>
  <c r="NQ1543" i="10" a="1"/>
  <c r="NQ1543" i="10" s="1"/>
  <c r="NP1543" i="10" a="1"/>
  <c r="NP1543" i="10" s="1"/>
  <c r="NO1543" i="10" a="1"/>
  <c r="NO1543" i="10" s="1"/>
  <c r="NN1543" i="10" a="1"/>
  <c r="NN1543" i="10" s="1"/>
  <c r="NM1543" i="10" a="1"/>
  <c r="NM1543" i="10" s="1"/>
  <c r="NL1543" i="10" a="1"/>
  <c r="NL1543" i="10" s="1"/>
  <c r="NK1543" i="10" a="1"/>
  <c r="NK1543" i="10" s="1"/>
  <c r="NJ1543" i="10" a="1"/>
  <c r="NJ1543" i="10" s="1"/>
  <c r="NI1543" i="10" a="1"/>
  <c r="NI1543" i="10" s="1"/>
  <c r="NH1543" i="10" a="1"/>
  <c r="NH1543" i="10" s="1"/>
  <c r="NG1543" i="10" a="1"/>
  <c r="NG1543" i="10" s="1"/>
  <c r="NF1543" i="10" a="1"/>
  <c r="NF1543" i="10" s="1"/>
  <c r="NE1543" i="10" a="1"/>
  <c r="NE1543" i="10" s="1"/>
  <c r="ND1543" i="10" a="1"/>
  <c r="ND1543" i="10" s="1"/>
  <c r="NC1543" i="10" a="1"/>
  <c r="NC1543" i="10" s="1"/>
  <c r="NB1543" i="10" a="1"/>
  <c r="NB1543" i="10" s="1"/>
  <c r="NA1543" i="10" a="1"/>
  <c r="NA1543" i="10" s="1"/>
  <c r="MZ1543" i="10" a="1"/>
  <c r="MZ1543" i="10" s="1"/>
  <c r="MY1543" i="10" a="1"/>
  <c r="MY1543" i="10" s="1"/>
  <c r="MX1543" i="10" a="1"/>
  <c r="MX1543" i="10" s="1"/>
  <c r="MW1543" i="10" a="1"/>
  <c r="MW1543" i="10" s="1"/>
  <c r="MV1543" i="10" a="1"/>
  <c r="MV1543" i="10" s="1"/>
  <c r="MU1543" i="10" a="1"/>
  <c r="MU1543" i="10" s="1"/>
  <c r="MT1543" i="10" a="1"/>
  <c r="MT1543" i="10" s="1"/>
  <c r="MS1543" i="10" a="1"/>
  <c r="MS1543" i="10" s="1"/>
  <c r="MR1543" i="10" a="1"/>
  <c r="MR1543" i="10" s="1"/>
  <c r="MQ1543" i="10" a="1"/>
  <c r="MQ1543" i="10" s="1"/>
  <c r="MP1543" i="10" a="1"/>
  <c r="MP1543" i="10" s="1"/>
  <c r="MO1543" i="10" a="1"/>
  <c r="MO1543" i="10" s="1"/>
  <c r="MN1543" i="10" a="1"/>
  <c r="MN1543" i="10" s="1"/>
  <c r="MM1543" i="10" a="1"/>
  <c r="MM1543" i="10" s="1"/>
  <c r="ML1543" i="10" a="1"/>
  <c r="ML1543" i="10" s="1"/>
  <c r="MK1543" i="10" a="1"/>
  <c r="MK1543" i="10" s="1"/>
  <c r="MJ1543" i="10" a="1"/>
  <c r="MJ1543" i="10" s="1"/>
  <c r="MI1543" i="10" a="1"/>
  <c r="MI1543" i="10" s="1"/>
  <c r="MH1543" i="10" a="1"/>
  <c r="MH1543" i="10" s="1"/>
  <c r="MG1543" i="10" a="1"/>
  <c r="MG1543" i="10" s="1"/>
  <c r="MF1543" i="10" a="1"/>
  <c r="MF1543" i="10" s="1"/>
  <c r="ME1543" i="10" a="1"/>
  <c r="ME1543" i="10" s="1"/>
  <c r="MD1543" i="10" a="1"/>
  <c r="MD1543" i="10" s="1"/>
  <c r="MC1543" i="10" a="1"/>
  <c r="MC1543" i="10" s="1"/>
  <c r="MB1543" i="10" a="1"/>
  <c r="MB1543" i="10" s="1"/>
  <c r="MA1543" i="10" a="1"/>
  <c r="MA1543" i="10" s="1"/>
  <c r="LZ1543" i="10" a="1"/>
  <c r="LZ1543" i="10" s="1"/>
  <c r="LY1543" i="10" a="1"/>
  <c r="LY1543" i="10" s="1"/>
  <c r="LX1543" i="10" a="1"/>
  <c r="LX1543" i="10" s="1"/>
  <c r="LW1543" i="10" a="1"/>
  <c r="LW1543" i="10" s="1"/>
  <c r="LV1543" i="10" a="1"/>
  <c r="LV1543" i="10" s="1"/>
  <c r="LU1543" i="10" a="1"/>
  <c r="LU1543" i="10" s="1"/>
  <c r="LT1543" i="10" a="1"/>
  <c r="LT1543" i="10" s="1"/>
  <c r="LS1543" i="10" a="1"/>
  <c r="LS1543" i="10" s="1"/>
  <c r="LR1543" i="10" a="1"/>
  <c r="LR1543" i="10" s="1"/>
  <c r="LQ1543" i="10" a="1"/>
  <c r="LQ1543" i="10" s="1"/>
  <c r="LP1543" i="10" a="1"/>
  <c r="LP1543" i="10" s="1"/>
  <c r="LO1543" i="10" a="1"/>
  <c r="LO1543" i="10" s="1"/>
  <c r="LN1543" i="10" a="1"/>
  <c r="LN1543" i="10" s="1"/>
  <c r="LM1543" i="10" a="1"/>
  <c r="LM1543" i="10" s="1"/>
  <c r="LL1543" i="10" a="1"/>
  <c r="LL1543" i="10" s="1"/>
  <c r="LK1543" i="10" a="1"/>
  <c r="LK1543" i="10" s="1"/>
  <c r="LJ1543" i="10" a="1"/>
  <c r="LJ1543" i="10" s="1"/>
  <c r="LI1543" i="10" a="1"/>
  <c r="LI1543" i="10" s="1"/>
  <c r="LH1543" i="10" a="1"/>
  <c r="LH1543" i="10" s="1"/>
  <c r="LG1543" i="10" a="1"/>
  <c r="LG1543" i="10" s="1"/>
  <c r="LF1543" i="10" a="1"/>
  <c r="LF1543" i="10" s="1"/>
  <c r="LE1543" i="10" a="1"/>
  <c r="LE1543" i="10" s="1"/>
  <c r="LD1543" i="10" a="1"/>
  <c r="LD1543" i="10" s="1"/>
  <c r="LC1543" i="10" a="1"/>
  <c r="LC1543" i="10" s="1"/>
  <c r="LB1543" i="10" a="1"/>
  <c r="LB1543" i="10" s="1"/>
  <c r="LA1543" i="10" a="1"/>
  <c r="LA1543" i="10" s="1"/>
  <c r="KZ1543" i="10" a="1"/>
  <c r="KZ1543" i="10" s="1"/>
  <c r="KY1543" i="10" a="1"/>
  <c r="KY1543" i="10" s="1"/>
  <c r="KX1543" i="10" a="1"/>
  <c r="KX1543" i="10" s="1"/>
  <c r="KW1543" i="10" a="1"/>
  <c r="KW1543" i="10" s="1"/>
  <c r="KV1543" i="10" a="1"/>
  <c r="KV1543" i="10" s="1"/>
  <c r="KU1543" i="10" a="1"/>
  <c r="KU1543" i="10" s="1"/>
  <c r="KT1543" i="10" a="1"/>
  <c r="KT1543" i="10" s="1"/>
  <c r="KS1543" i="10" a="1"/>
  <c r="KS1543" i="10" s="1"/>
  <c r="KR1543" i="10" a="1"/>
  <c r="KR1543" i="10" s="1"/>
  <c r="KQ1543" i="10" a="1"/>
  <c r="KQ1543" i="10" s="1"/>
  <c r="KP1543" i="10" a="1"/>
  <c r="KP1543" i="10" s="1"/>
  <c r="KO1543" i="10" a="1"/>
  <c r="KO1543" i="10" s="1"/>
  <c r="KN1543" i="10" a="1"/>
  <c r="KN1543" i="10" s="1"/>
  <c r="KM1543" i="10" a="1"/>
  <c r="KM1543" i="10" s="1"/>
  <c r="KL1543" i="10" a="1"/>
  <c r="KL1543" i="10" s="1"/>
  <c r="KK1543" i="10" a="1"/>
  <c r="KK1543" i="10" s="1"/>
  <c r="KJ1543" i="10" a="1"/>
  <c r="KJ1543" i="10" s="1"/>
  <c r="KI1543" i="10" a="1"/>
  <c r="KI1543" i="10" s="1"/>
  <c r="KH1543" i="10" a="1"/>
  <c r="KH1543" i="10" s="1"/>
  <c r="KG1543" i="10" a="1"/>
  <c r="KG1543" i="10" s="1"/>
  <c r="KF1543" i="10" a="1"/>
  <c r="KF1543" i="10" s="1"/>
  <c r="KE1543" i="10" a="1"/>
  <c r="KE1543" i="10" s="1"/>
  <c r="KD1543" i="10" a="1"/>
  <c r="KD1543" i="10" s="1"/>
  <c r="KC1543" i="10" a="1"/>
  <c r="KC1543" i="10" s="1"/>
  <c r="KB1543" i="10" a="1"/>
  <c r="KB1543" i="10" s="1"/>
  <c r="KA1543" i="10" a="1"/>
  <c r="KA1543" i="10" s="1"/>
  <c r="JZ1543" i="10" a="1"/>
  <c r="JZ1543" i="10" s="1"/>
  <c r="JY1543" i="10" a="1"/>
  <c r="JY1543" i="10" s="1"/>
  <c r="JX1543" i="10" a="1"/>
  <c r="JX1543" i="10" s="1"/>
  <c r="JW1543" i="10" a="1"/>
  <c r="JW1543" i="10" s="1"/>
  <c r="JV1543" i="10" a="1"/>
  <c r="JV1543" i="10" s="1"/>
  <c r="JU1543" i="10" a="1"/>
  <c r="JU1543" i="10" s="1"/>
  <c r="JT1543" i="10" a="1"/>
  <c r="JT1543" i="10" s="1"/>
  <c r="JS1543" i="10" a="1"/>
  <c r="JS1543" i="10" s="1"/>
  <c r="JR1543" i="10" a="1"/>
  <c r="JR1543" i="10" s="1"/>
  <c r="JQ1543" i="10" a="1"/>
  <c r="JQ1543" i="10" s="1"/>
  <c r="JP1543" i="10" a="1"/>
  <c r="JP1543" i="10" s="1"/>
  <c r="JO1543" i="10" a="1"/>
  <c r="JO1543" i="10" s="1"/>
  <c r="JN1543" i="10" a="1"/>
  <c r="JN1543" i="10" s="1"/>
  <c r="JM1543" i="10" a="1"/>
  <c r="JM1543" i="10" s="1"/>
  <c r="JL1543" i="10" a="1"/>
  <c r="JL1543" i="10" s="1"/>
  <c r="JK1543" i="10" a="1"/>
  <c r="JK1543" i="10" s="1"/>
  <c r="JJ1543" i="10" a="1"/>
  <c r="JJ1543" i="10" s="1"/>
  <c r="JI1543" i="10" a="1"/>
  <c r="JI1543" i="10" s="1"/>
  <c r="JH1543" i="10" a="1"/>
  <c r="JH1543" i="10" s="1"/>
  <c r="JG1543" i="10" a="1"/>
  <c r="JG1543" i="10" s="1"/>
  <c r="JF1543" i="10" a="1"/>
  <c r="JF1543" i="10" s="1"/>
  <c r="JE1543" i="10" a="1"/>
  <c r="JE1543" i="10" s="1"/>
  <c r="JD1543" i="10" a="1"/>
  <c r="JD1543" i="10" s="1"/>
  <c r="JC1543" i="10" a="1"/>
  <c r="JC1543" i="10" s="1"/>
  <c r="JB1543" i="10" a="1"/>
  <c r="JB1543" i="10" s="1"/>
  <c r="JA1543" i="10" a="1"/>
  <c r="JA1543" i="10" s="1"/>
  <c r="IZ1543" i="10" a="1"/>
  <c r="IZ1543" i="10" s="1"/>
  <c r="IY1543" i="10" a="1"/>
  <c r="IY1543" i="10" s="1"/>
  <c r="IX1543" i="10" a="1"/>
  <c r="IX1543" i="10" s="1"/>
  <c r="IW1543" i="10" a="1"/>
  <c r="IW1543" i="10" s="1"/>
  <c r="IV1543" i="10" a="1"/>
  <c r="IV1543" i="10" s="1"/>
  <c r="IU1543" i="10" a="1"/>
  <c r="IU1543" i="10" s="1"/>
  <c r="IT1543" i="10" a="1"/>
  <c r="IT1543" i="10" s="1"/>
  <c r="IS1543" i="10" a="1"/>
  <c r="IS1543" i="10" s="1"/>
  <c r="IR1543" i="10" a="1"/>
  <c r="IR1543" i="10" s="1"/>
  <c r="IQ1543" i="10" a="1"/>
  <c r="IQ1543" i="10" s="1"/>
  <c r="IP1543" i="10" a="1"/>
  <c r="IP1543" i="10" s="1"/>
  <c r="IO1543" i="10" a="1"/>
  <c r="IO1543" i="10" s="1"/>
  <c r="IN1543" i="10" a="1"/>
  <c r="IN1543" i="10" s="1"/>
  <c r="IM1543" i="10" a="1"/>
  <c r="IM1543" i="10" s="1"/>
  <c r="IL1543" i="10" a="1"/>
  <c r="IL1543" i="10" s="1"/>
  <c r="IK1543" i="10" a="1"/>
  <c r="IK1543" i="10" s="1"/>
  <c r="IJ1543" i="10" a="1"/>
  <c r="IJ1543" i="10" s="1"/>
  <c r="II1543" i="10" a="1"/>
  <c r="II1543" i="10" s="1"/>
  <c r="IH1543" i="10" a="1"/>
  <c r="IH1543" i="10" s="1"/>
  <c r="IG1543" i="10" a="1"/>
  <c r="IG1543" i="10" s="1"/>
  <c r="IF1543" i="10" a="1"/>
  <c r="IF1543" i="10" s="1"/>
  <c r="IE1543" i="10" a="1"/>
  <c r="IE1543" i="10" s="1"/>
  <c r="ID1543" i="10" a="1"/>
  <c r="ID1543" i="10" s="1"/>
  <c r="IC1543" i="10" a="1"/>
  <c r="IC1543" i="10" s="1"/>
  <c r="IB1543" i="10" a="1"/>
  <c r="IB1543" i="10" s="1"/>
  <c r="IA1543" i="10" a="1"/>
  <c r="IA1543" i="10" s="1"/>
  <c r="HZ1543" i="10" a="1"/>
  <c r="HZ1543" i="10" s="1"/>
  <c r="HY1543" i="10" a="1"/>
  <c r="HY1543" i="10" s="1"/>
  <c r="HX1543" i="10" a="1"/>
  <c r="HX1543" i="10" s="1"/>
  <c r="HW1543" i="10" a="1"/>
  <c r="HW1543" i="10" s="1"/>
  <c r="HV1543" i="10" a="1"/>
  <c r="HV1543" i="10" s="1"/>
  <c r="HU1543" i="10" a="1"/>
  <c r="HU1543" i="10" s="1"/>
  <c r="HT1543" i="10" a="1"/>
  <c r="HT1543" i="10" s="1"/>
  <c r="HS1543" i="10" a="1"/>
  <c r="HS1543" i="10" s="1"/>
  <c r="HR1543" i="10" a="1"/>
  <c r="HR1543" i="10" s="1"/>
  <c r="HQ1543" i="10" a="1"/>
  <c r="HQ1543" i="10" s="1"/>
  <c r="HP1543" i="10" a="1"/>
  <c r="HP1543" i="10" s="1"/>
  <c r="HO1543" i="10" a="1"/>
  <c r="HO1543" i="10" s="1"/>
  <c r="HN1543" i="10" a="1"/>
  <c r="HN1543" i="10" s="1"/>
  <c r="HM1543" i="10" a="1"/>
  <c r="HM1543" i="10" s="1"/>
  <c r="HL1543" i="10" a="1"/>
  <c r="HL1543" i="10" s="1"/>
  <c r="HK1543" i="10" a="1"/>
  <c r="HK1543" i="10" s="1"/>
  <c r="HJ1543" i="10" a="1"/>
  <c r="HJ1543" i="10" s="1"/>
  <c r="HI1543" i="10" a="1"/>
  <c r="HI1543" i="10" s="1"/>
  <c r="HH1543" i="10" a="1"/>
  <c r="HH1543" i="10" s="1"/>
  <c r="HG1543" i="10" a="1"/>
  <c r="HG1543" i="10" s="1"/>
  <c r="HF1543" i="10" a="1"/>
  <c r="HF1543" i="10" s="1"/>
  <c r="HE1543" i="10" a="1"/>
  <c r="HE1543" i="10" s="1"/>
  <c r="HD1543" i="10" a="1"/>
  <c r="HD1543" i="10" s="1"/>
  <c r="HC1543" i="10" a="1"/>
  <c r="HC1543" i="10" s="1"/>
  <c r="HB1543" i="10" a="1"/>
  <c r="HB1543" i="10" s="1"/>
  <c r="HA1543" i="10" a="1"/>
  <c r="HA1543" i="10" s="1"/>
  <c r="GZ1543" i="10" a="1"/>
  <c r="GZ1543" i="10" s="1"/>
  <c r="GY1543" i="10" a="1"/>
  <c r="GY1543" i="10" s="1"/>
  <c r="GX1543" i="10" a="1"/>
  <c r="GX1543" i="10" s="1"/>
  <c r="GW1543" i="10" a="1"/>
  <c r="GW1543" i="10" s="1"/>
  <c r="GV1543" i="10" a="1"/>
  <c r="GV1543" i="10" s="1"/>
  <c r="GU1543" i="10" a="1"/>
  <c r="GU1543" i="10" s="1"/>
  <c r="GT1543" i="10" a="1"/>
  <c r="GT1543" i="10" s="1"/>
  <c r="GS1543" i="10" a="1"/>
  <c r="GS1543" i="10" s="1"/>
  <c r="GR1543" i="10" a="1"/>
  <c r="GR1543" i="10" s="1"/>
  <c r="GQ1543" i="10" a="1"/>
  <c r="GQ1543" i="10" s="1"/>
  <c r="GP1543" i="10" a="1"/>
  <c r="GP1543" i="10" s="1"/>
  <c r="GO1543" i="10" a="1"/>
  <c r="GO1543" i="10" s="1"/>
  <c r="GN1543" i="10" a="1"/>
  <c r="GN1543" i="10" s="1"/>
  <c r="GM1543" i="10" a="1"/>
  <c r="GM1543" i="10" s="1"/>
  <c r="GL1543" i="10" a="1"/>
  <c r="GL1543" i="10" s="1"/>
  <c r="GK1543" i="10" a="1"/>
  <c r="GK1543" i="10" s="1"/>
  <c r="GJ1543" i="10" a="1"/>
  <c r="GJ1543" i="10" s="1"/>
  <c r="GI1543" i="10" a="1"/>
  <c r="GI1543" i="10" s="1"/>
  <c r="GH1543" i="10" a="1"/>
  <c r="GH1543" i="10" s="1"/>
  <c r="GG1543" i="10" a="1"/>
  <c r="GG1543" i="10" s="1"/>
  <c r="GF1543" i="10" a="1"/>
  <c r="GF1543" i="10" s="1"/>
  <c r="GE1543" i="10" a="1"/>
  <c r="GE1543" i="10" s="1"/>
  <c r="GD1543" i="10" a="1"/>
  <c r="GD1543" i="10" s="1"/>
  <c r="GC1543" i="10" a="1"/>
  <c r="GC1543" i="10" s="1"/>
  <c r="GB1543" i="10" a="1"/>
  <c r="GB1543" i="10" s="1"/>
  <c r="GA1543" i="10" a="1"/>
  <c r="GA1543" i="10" s="1"/>
  <c r="FZ1543" i="10" a="1"/>
  <c r="FZ1543" i="10" s="1"/>
  <c r="FY1543" i="10" a="1"/>
  <c r="FY1543" i="10" s="1"/>
  <c r="FX1543" i="10" a="1"/>
  <c r="FX1543" i="10" s="1"/>
  <c r="FW1543" i="10" a="1"/>
  <c r="FW1543" i="10" s="1"/>
  <c r="FV1543" i="10" a="1"/>
  <c r="FV1543" i="10" s="1"/>
  <c r="FU1543" i="10" a="1"/>
  <c r="FU1543" i="10" s="1"/>
  <c r="FT1543" i="10" a="1"/>
  <c r="FT1543" i="10" s="1"/>
  <c r="FS1543" i="10" a="1"/>
  <c r="FS1543" i="10" s="1"/>
  <c r="FR1543" i="10" a="1"/>
  <c r="FR1543" i="10" s="1"/>
  <c r="FQ1543" i="10" a="1"/>
  <c r="FQ1543" i="10" s="1"/>
  <c r="FP1543" i="10" a="1"/>
  <c r="FP1543" i="10" s="1"/>
  <c r="FO1543" i="10" a="1"/>
  <c r="FO1543" i="10" s="1"/>
  <c r="FN1543" i="10" a="1"/>
  <c r="FN1543" i="10" s="1"/>
  <c r="FM1543" i="10" a="1"/>
  <c r="FM1543" i="10" s="1"/>
  <c r="FL1543" i="10" a="1"/>
  <c r="FL1543" i="10" s="1"/>
  <c r="FK1543" i="10" a="1"/>
  <c r="FK1543" i="10" s="1"/>
  <c r="FJ1543" i="10" a="1"/>
  <c r="FJ1543" i="10" s="1"/>
  <c r="FI1543" i="10" a="1"/>
  <c r="FI1543" i="10" s="1"/>
  <c r="FH1543" i="10" a="1"/>
  <c r="FH1543" i="10" s="1"/>
  <c r="FG1543" i="10" a="1"/>
  <c r="FG1543" i="10" s="1"/>
  <c r="FF1543" i="10" a="1"/>
  <c r="FF1543" i="10" s="1"/>
  <c r="FE1543" i="10" a="1"/>
  <c r="FE1543" i="10" s="1"/>
  <c r="FD1543" i="10" a="1"/>
  <c r="FD1543" i="10" s="1"/>
  <c r="FC1543" i="10" a="1"/>
  <c r="FC1543" i="10" s="1"/>
  <c r="FB1543" i="10" a="1"/>
  <c r="FB1543" i="10" s="1"/>
  <c r="FA1543" i="10" a="1"/>
  <c r="FA1543" i="10" s="1"/>
  <c r="EZ1543" i="10" a="1"/>
  <c r="EZ1543" i="10" s="1"/>
  <c r="EY1543" i="10" a="1"/>
  <c r="EY1543" i="10" s="1"/>
  <c r="EX1543" i="10" a="1"/>
  <c r="EX1543" i="10" s="1"/>
  <c r="EW1543" i="10" a="1"/>
  <c r="EW1543" i="10" s="1"/>
  <c r="EV1543" i="10" a="1"/>
  <c r="EV1543" i="10" s="1"/>
  <c r="EU1543" i="10" a="1"/>
  <c r="EU1543" i="10" s="1"/>
  <c r="ET1543" i="10" a="1"/>
  <c r="ET1543" i="10" s="1"/>
  <c r="ES1543" i="10" a="1"/>
  <c r="ES1543" i="10" s="1"/>
  <c r="ER1543" i="10" a="1"/>
  <c r="ER1543" i="10" s="1"/>
  <c r="EQ1543" i="10" a="1"/>
  <c r="EQ1543" i="10" s="1"/>
  <c r="EP1543" i="10" a="1"/>
  <c r="EP1543" i="10" s="1"/>
  <c r="EO1543" i="10" a="1"/>
  <c r="EO1543" i="10" s="1"/>
  <c r="EN1543" i="10" a="1"/>
  <c r="EN1543" i="10" s="1"/>
  <c r="EM1543" i="10" a="1"/>
  <c r="EM1543" i="10" s="1"/>
  <c r="EL1543" i="10" a="1"/>
  <c r="EL1543" i="10" s="1"/>
  <c r="EK1543" i="10" a="1"/>
  <c r="EK1543" i="10" s="1"/>
  <c r="EJ1543" i="10" a="1"/>
  <c r="EJ1543" i="10" s="1"/>
  <c r="EI1543" i="10" a="1"/>
  <c r="EI1543" i="10" s="1"/>
  <c r="EH1543" i="10" a="1"/>
  <c r="EH1543" i="10" s="1"/>
  <c r="EG1543" i="10" a="1"/>
  <c r="EG1543" i="10" s="1"/>
  <c r="EF1543" i="10" a="1"/>
  <c r="EF1543" i="10" s="1"/>
  <c r="EE1543" i="10" a="1"/>
  <c r="EE1543" i="10" s="1"/>
  <c r="ED1543" i="10" a="1"/>
  <c r="ED1543" i="10" s="1"/>
  <c r="EC1543" i="10" a="1"/>
  <c r="EC1543" i="10" s="1"/>
  <c r="EB1543" i="10" a="1"/>
  <c r="EB1543" i="10" s="1"/>
  <c r="EA1543" i="10" a="1"/>
  <c r="EA1543" i="10" s="1"/>
  <c r="DZ1543" i="10" a="1"/>
  <c r="DZ1543" i="10" s="1"/>
  <c r="DY1543" i="10" a="1"/>
  <c r="DY1543" i="10" s="1"/>
  <c r="DX1543" i="10" a="1"/>
  <c r="DX1543" i="10" s="1"/>
  <c r="DW1543" i="10" a="1"/>
  <c r="DW1543" i="10" s="1"/>
  <c r="DV1543" i="10" a="1"/>
  <c r="DV1543" i="10" s="1"/>
  <c r="DU1543" i="10" a="1"/>
  <c r="DU1543" i="10" s="1"/>
  <c r="DT1543" i="10" a="1"/>
  <c r="DT1543" i="10" s="1"/>
  <c r="DS1543" i="10" a="1"/>
  <c r="DS1543" i="10" s="1"/>
  <c r="DR1543" i="10" a="1"/>
  <c r="DR1543" i="10" s="1"/>
  <c r="DQ1543" i="10" a="1"/>
  <c r="DQ1543" i="10" s="1"/>
  <c r="DP1543" i="10" a="1"/>
  <c r="DP1543" i="10" s="1"/>
  <c r="DO1543" i="10" a="1"/>
  <c r="DO1543" i="10" s="1"/>
  <c r="DN1543" i="10" a="1"/>
  <c r="DN1543" i="10" s="1"/>
  <c r="DM1543" i="10" a="1"/>
  <c r="DM1543" i="10" s="1"/>
  <c r="DL1543" i="10" a="1"/>
  <c r="DL1543" i="10" s="1"/>
  <c r="DK1543" i="10" a="1"/>
  <c r="DK1543" i="10" s="1"/>
  <c r="DJ1543" i="10" a="1"/>
  <c r="DJ1543" i="10" s="1"/>
  <c r="DI1543" i="10" a="1"/>
  <c r="DI1543" i="10" s="1"/>
  <c r="DH1543" i="10" a="1"/>
  <c r="DH1543" i="10" s="1"/>
  <c r="DG1543" i="10" a="1"/>
  <c r="DG1543" i="10" s="1"/>
  <c r="DF1543" i="10" a="1"/>
  <c r="DF1543" i="10" s="1"/>
  <c r="DE1543" i="10" a="1"/>
  <c r="DE1543" i="10" s="1"/>
  <c r="DD1543" i="10" a="1"/>
  <c r="DD1543" i="10" s="1"/>
  <c r="DC1543" i="10" a="1"/>
  <c r="DC1543" i="10" s="1"/>
  <c r="DB1543" i="10" a="1"/>
  <c r="DB1543" i="10" s="1"/>
  <c r="DA1543" i="10" a="1"/>
  <c r="DA1543" i="10" s="1"/>
  <c r="CZ1543" i="10" a="1"/>
  <c r="CZ1543" i="10" s="1"/>
  <c r="CY1543" i="10" a="1"/>
  <c r="CY1543" i="10" s="1"/>
  <c r="CX1543" i="10" a="1"/>
  <c r="CX1543" i="10" s="1"/>
  <c r="CW1543" i="10" a="1"/>
  <c r="CW1543" i="10" s="1"/>
  <c r="CV1543" i="10" a="1"/>
  <c r="CV1543" i="10" s="1"/>
  <c r="CU1543" i="10" a="1"/>
  <c r="CU1543" i="10" s="1"/>
  <c r="CT1543" i="10" a="1"/>
  <c r="CT1543" i="10" s="1"/>
  <c r="CS1543" i="10" a="1"/>
  <c r="CS1543" i="10" s="1"/>
  <c r="CR1543" i="10" a="1"/>
  <c r="CR1543" i="10" s="1"/>
  <c r="CQ1543" i="10" a="1"/>
  <c r="CQ1543" i="10" s="1"/>
  <c r="CP1543" i="10" a="1"/>
  <c r="CP1543" i="10" s="1"/>
  <c r="CO1543" i="10" a="1"/>
  <c r="CO1543" i="10" s="1"/>
  <c r="CN1543" i="10" a="1"/>
  <c r="CN1543" i="10" s="1"/>
  <c r="CM1543" i="10" a="1"/>
  <c r="CM1543" i="10" s="1"/>
  <c r="CL1543" i="10" a="1"/>
  <c r="CL1543" i="10" s="1"/>
  <c r="CK1543" i="10" a="1"/>
  <c r="CK1543" i="10" s="1"/>
  <c r="CJ1543" i="10" a="1"/>
  <c r="CJ1543" i="10" s="1"/>
  <c r="CI1543" i="10" a="1"/>
  <c r="CI1543" i="10" s="1"/>
  <c r="CH1543" i="10" a="1"/>
  <c r="CH1543" i="10" s="1"/>
  <c r="CG1543" i="10" a="1"/>
  <c r="CG1543" i="10" s="1"/>
  <c r="CF1543" i="10" a="1"/>
  <c r="CF1543" i="10" s="1"/>
  <c r="CE1543" i="10" a="1"/>
  <c r="CE1543" i="10" s="1"/>
  <c r="CD1543" i="10" a="1"/>
  <c r="CD1543" i="10" s="1"/>
  <c r="CC1543" i="10" a="1"/>
  <c r="CC1543" i="10" s="1"/>
  <c r="CB1543" i="10" a="1"/>
  <c r="CB1543" i="10" s="1"/>
  <c r="CA1543" i="10" a="1"/>
  <c r="CA1543" i="10" s="1"/>
  <c r="BZ1543" i="10" a="1"/>
  <c r="BZ1543" i="10" s="1"/>
  <c r="BY1543" i="10" a="1"/>
  <c r="BY1543" i="10" s="1"/>
  <c r="BX1543" i="10" a="1"/>
  <c r="BX1543" i="10" s="1"/>
  <c r="BW1543" i="10" a="1"/>
  <c r="BW1543" i="10" s="1"/>
  <c r="BV1543" i="10" a="1"/>
  <c r="BV1543" i="10" s="1"/>
  <c r="BU1543" i="10" a="1"/>
  <c r="BU1543" i="10" s="1"/>
  <c r="BT1543" i="10" a="1"/>
  <c r="BT1543" i="10" s="1"/>
  <c r="BS1543" i="10" a="1"/>
  <c r="BS1543" i="10" s="1"/>
  <c r="BR1543" i="10" a="1"/>
  <c r="BR1543" i="10" s="1"/>
  <c r="BQ1543" i="10" a="1"/>
  <c r="BQ1543" i="10" s="1"/>
  <c r="BP1543" i="10" a="1"/>
  <c r="BP1543" i="10" s="1"/>
  <c r="BO1543" i="10" a="1"/>
  <c r="BO1543" i="10" s="1"/>
  <c r="BN1543" i="10" a="1"/>
  <c r="BN1543" i="10" s="1"/>
  <c r="BM1543" i="10" a="1"/>
  <c r="BM1543" i="10" s="1"/>
  <c r="BL1543" i="10" a="1"/>
  <c r="BL1543" i="10" s="1"/>
  <c r="BK1543" i="10" a="1"/>
  <c r="BK1543" i="10" s="1"/>
  <c r="BJ1543" i="10" a="1"/>
  <c r="BJ1543" i="10" s="1"/>
  <c r="BI1543" i="10" a="1"/>
  <c r="BI1543" i="10" s="1"/>
  <c r="BH1543" i="10" a="1"/>
  <c r="BH1543" i="10" s="1"/>
  <c r="BG1543" i="10" a="1"/>
  <c r="BG1543" i="10" s="1"/>
  <c r="BF1543" i="10" a="1"/>
  <c r="BF1543" i="10" s="1"/>
  <c r="BE1543" i="10" a="1"/>
  <c r="BE1543" i="10" s="1"/>
  <c r="BD1543" i="10" a="1"/>
  <c r="BD1543" i="10" s="1"/>
  <c r="BC1543" i="10" a="1"/>
  <c r="BC1543" i="10" s="1"/>
  <c r="BB1543" i="10" a="1"/>
  <c r="BB1543" i="10" s="1"/>
  <c r="BA1543" i="10" a="1"/>
  <c r="BA1543" i="10" s="1"/>
  <c r="AZ1543" i="10" a="1"/>
  <c r="AZ1543" i="10" s="1"/>
  <c r="AY1543" i="10" a="1"/>
  <c r="AY1543" i="10" s="1"/>
  <c r="AX1543" i="10" a="1"/>
  <c r="AX1543" i="10" s="1"/>
  <c r="AW1543" i="10" a="1"/>
  <c r="AW1543" i="10" s="1"/>
  <c r="AV1543" i="10" a="1"/>
  <c r="AV1543" i="10" s="1"/>
  <c r="AU1543" i="10" a="1"/>
  <c r="AU1543" i="10" s="1"/>
  <c r="AT1543" i="10" a="1"/>
  <c r="AT1543" i="10" s="1"/>
  <c r="AS1543" i="10" a="1"/>
  <c r="AS1543" i="10" s="1"/>
  <c r="AR1543" i="10" a="1"/>
  <c r="AR1543" i="10" s="1"/>
  <c r="AQ1543" i="10" a="1"/>
  <c r="AQ1543" i="10" s="1"/>
  <c r="AP1543" i="10" a="1"/>
  <c r="AP1543" i="10" s="1"/>
  <c r="AO1543" i="10" a="1"/>
  <c r="AO1543" i="10" s="1"/>
  <c r="AN1543" i="10" a="1"/>
  <c r="AN1543" i="10" s="1"/>
  <c r="AM1543" i="10" a="1"/>
  <c r="AM1543" i="10" s="1"/>
  <c r="AL1543" i="10" a="1"/>
  <c r="AL1543" i="10" s="1"/>
  <c r="Q21" i="9" s="1"/>
  <c r="AK1543" i="10" a="1"/>
  <c r="AK1543" i="10" s="1"/>
  <c r="AJ1543" i="10" a="1"/>
  <c r="AJ1543" i="10" s="1"/>
  <c r="AI1543" i="10" a="1"/>
  <c r="AI1543" i="10" s="1"/>
  <c r="AH1543" i="10" a="1"/>
  <c r="AH1543" i="10" s="1"/>
  <c r="AG1543" i="10" a="1"/>
  <c r="AG1543" i="10" s="1"/>
  <c r="AF1543" i="10" a="1"/>
  <c r="AF1543" i="10" s="1"/>
  <c r="AE1543" i="10" a="1"/>
  <c r="AE1543" i="10" s="1"/>
  <c r="AD1543" i="10" a="1"/>
  <c r="AD1543" i="10" s="1"/>
  <c r="AC1543" i="10" a="1"/>
  <c r="AC1543" i="10" s="1"/>
  <c r="AB1543" i="10" a="1"/>
  <c r="AB1543" i="10" s="1"/>
  <c r="AA1543" i="10" a="1"/>
  <c r="AA1543" i="10" s="1"/>
  <c r="Z1543" i="10" a="1"/>
  <c r="Z1543" i="10" s="1"/>
  <c r="Y1543" i="10" a="1"/>
  <c r="Y1543" i="10" s="1"/>
  <c r="X1543" i="10" a="1"/>
  <c r="X1543" i="10" s="1"/>
  <c r="W1543" i="10" a="1"/>
  <c r="W1543" i="10" s="1"/>
  <c r="V1543" i="10" a="1"/>
  <c r="V1543" i="10" s="1"/>
  <c r="U1543" i="10" a="1"/>
  <c r="U1543" i="10" s="1"/>
  <c r="T1543" i="10" a="1"/>
  <c r="T1543" i="10" s="1"/>
  <c r="S1543" i="10" a="1"/>
  <c r="S1543" i="10" s="1"/>
  <c r="R1543" i="10" a="1"/>
  <c r="R1543" i="10" s="1"/>
  <c r="Q1543" i="10" a="1"/>
  <c r="Q1543" i="10" s="1"/>
  <c r="P1543" i="10" a="1"/>
  <c r="P1543" i="10" s="1"/>
  <c r="AGN1542" i="10" a="1"/>
  <c r="AGN1542" i="10" s="1"/>
  <c r="AGM1542" i="10" a="1"/>
  <c r="AGM1542" i="10" s="1"/>
  <c r="AGL1542" i="10" a="1"/>
  <c r="AGL1542" i="10" s="1"/>
  <c r="AGK1542" i="10" a="1"/>
  <c r="AGK1542" i="10" s="1"/>
  <c r="AGJ1542" i="10" a="1"/>
  <c r="AGJ1542" i="10" s="1"/>
  <c r="AGI1542" i="10" a="1"/>
  <c r="AGI1542" i="10" s="1"/>
  <c r="AGH1542" i="10" a="1"/>
  <c r="AGH1542" i="10" s="1"/>
  <c r="AGG1542" i="10" a="1"/>
  <c r="AGG1542" i="10" s="1"/>
  <c r="AGF1542" i="10" a="1"/>
  <c r="AGF1542" i="10" s="1"/>
  <c r="AGE1542" i="10" a="1"/>
  <c r="AGE1542" i="10" s="1"/>
  <c r="AGD1542" i="10" a="1"/>
  <c r="AGD1542" i="10" s="1"/>
  <c r="AGC1542" i="10" a="1"/>
  <c r="AGC1542" i="10" s="1"/>
  <c r="AGB1542" i="10" a="1"/>
  <c r="AGB1542" i="10" s="1"/>
  <c r="AGA1542" i="10" a="1"/>
  <c r="AGA1542" i="10" s="1"/>
  <c r="AFZ1542" i="10" a="1"/>
  <c r="AFZ1542" i="10" s="1"/>
  <c r="AFY1542" i="10" a="1"/>
  <c r="AFY1542" i="10" s="1"/>
  <c r="AFX1542" i="10" a="1"/>
  <c r="AFX1542" i="10" s="1"/>
  <c r="AFW1542" i="10" a="1"/>
  <c r="AFW1542" i="10" s="1"/>
  <c r="AFV1542" i="10" a="1"/>
  <c r="AFV1542" i="10" s="1"/>
  <c r="AFU1542" i="10" a="1"/>
  <c r="AFU1542" i="10" s="1"/>
  <c r="AFT1542" i="10" a="1"/>
  <c r="AFT1542" i="10" s="1"/>
  <c r="AFS1542" i="10" a="1"/>
  <c r="AFS1542" i="10" s="1"/>
  <c r="AFR1542" i="10" a="1"/>
  <c r="AFR1542" i="10" s="1"/>
  <c r="AFQ1542" i="10" a="1"/>
  <c r="AFQ1542" i="10" s="1"/>
  <c r="AFP1542" i="10" a="1"/>
  <c r="AFP1542" i="10" s="1"/>
  <c r="AFO1542" i="10" a="1"/>
  <c r="AFO1542" i="10" s="1"/>
  <c r="AFN1542" i="10" a="1"/>
  <c r="AFN1542" i="10" s="1"/>
  <c r="AFM1542" i="10" a="1"/>
  <c r="AFM1542" i="10" s="1"/>
  <c r="AFL1542" i="10" a="1"/>
  <c r="AFL1542" i="10" s="1"/>
  <c r="AFK1542" i="10" a="1"/>
  <c r="AFK1542" i="10" s="1"/>
  <c r="AFJ1542" i="10" a="1"/>
  <c r="AFJ1542" i="10" s="1"/>
  <c r="AFI1542" i="10" a="1"/>
  <c r="AFI1542" i="10" s="1"/>
  <c r="AFH1542" i="10" a="1"/>
  <c r="AFH1542" i="10" s="1"/>
  <c r="AFG1542" i="10" a="1"/>
  <c r="AFG1542" i="10" s="1"/>
  <c r="AFF1542" i="10" a="1"/>
  <c r="AFF1542" i="10" s="1"/>
  <c r="AFE1542" i="10" a="1"/>
  <c r="AFE1542" i="10" s="1"/>
  <c r="AFD1542" i="10" a="1"/>
  <c r="AFD1542" i="10" s="1"/>
  <c r="AFC1542" i="10" a="1"/>
  <c r="AFC1542" i="10" s="1"/>
  <c r="AFB1542" i="10" a="1"/>
  <c r="AFB1542" i="10" s="1"/>
  <c r="AFA1542" i="10" a="1"/>
  <c r="AFA1542" i="10" s="1"/>
  <c r="AEZ1542" i="10" a="1"/>
  <c r="AEZ1542" i="10" s="1"/>
  <c r="AEY1542" i="10" a="1"/>
  <c r="AEY1542" i="10" s="1"/>
  <c r="AEX1542" i="10" a="1"/>
  <c r="AEX1542" i="10" s="1"/>
  <c r="AEW1542" i="10" a="1"/>
  <c r="AEW1542" i="10" s="1"/>
  <c r="AEV1542" i="10" a="1"/>
  <c r="AEV1542" i="10" s="1"/>
  <c r="AEU1542" i="10" a="1"/>
  <c r="AEU1542" i="10" s="1"/>
  <c r="AET1542" i="10" a="1"/>
  <c r="AET1542" i="10" s="1"/>
  <c r="AES1542" i="10" a="1"/>
  <c r="AES1542" i="10" s="1"/>
  <c r="AER1542" i="10" a="1"/>
  <c r="AER1542" i="10" s="1"/>
  <c r="AEQ1542" i="10" a="1"/>
  <c r="AEQ1542" i="10" s="1"/>
  <c r="AEP1542" i="10" a="1"/>
  <c r="AEP1542" i="10" s="1"/>
  <c r="AEO1542" i="10" a="1"/>
  <c r="AEO1542" i="10" s="1"/>
  <c r="AEN1542" i="10" a="1"/>
  <c r="AEN1542" i="10" s="1"/>
  <c r="AEM1542" i="10" a="1"/>
  <c r="AEM1542" i="10" s="1"/>
  <c r="AEL1542" i="10" a="1"/>
  <c r="AEL1542" i="10" s="1"/>
  <c r="AEK1542" i="10" a="1"/>
  <c r="AEK1542" i="10" s="1"/>
  <c r="AEJ1542" i="10" a="1"/>
  <c r="AEJ1542" i="10" s="1"/>
  <c r="AEI1542" i="10" a="1"/>
  <c r="AEI1542" i="10" s="1"/>
  <c r="AEH1542" i="10" a="1"/>
  <c r="AEH1542" i="10" s="1"/>
  <c r="AEG1542" i="10" a="1"/>
  <c r="AEG1542" i="10" s="1"/>
  <c r="AEF1542" i="10" a="1"/>
  <c r="AEF1542" i="10" s="1"/>
  <c r="AEE1542" i="10" a="1"/>
  <c r="AEE1542" i="10" s="1"/>
  <c r="AED1542" i="10" a="1"/>
  <c r="AED1542" i="10" s="1"/>
  <c r="AEC1542" i="10" a="1"/>
  <c r="AEC1542" i="10" s="1"/>
  <c r="AEB1542" i="10" a="1"/>
  <c r="AEB1542" i="10" s="1"/>
  <c r="AEA1542" i="10" a="1"/>
  <c r="AEA1542" i="10" s="1"/>
  <c r="ADZ1542" i="10" a="1"/>
  <c r="ADZ1542" i="10" s="1"/>
  <c r="ADY1542" i="10" a="1"/>
  <c r="ADY1542" i="10" s="1"/>
  <c r="ADX1542" i="10" a="1"/>
  <c r="ADX1542" i="10" s="1"/>
  <c r="ADW1542" i="10" a="1"/>
  <c r="ADW1542" i="10" s="1"/>
  <c r="ADV1542" i="10" a="1"/>
  <c r="ADV1542" i="10" s="1"/>
  <c r="ADU1542" i="10" a="1"/>
  <c r="ADU1542" i="10" s="1"/>
  <c r="ADT1542" i="10" a="1"/>
  <c r="ADT1542" i="10" s="1"/>
  <c r="ADS1542" i="10" a="1"/>
  <c r="ADS1542" i="10" s="1"/>
  <c r="ADR1542" i="10" a="1"/>
  <c r="ADR1542" i="10" s="1"/>
  <c r="ADQ1542" i="10" a="1"/>
  <c r="ADQ1542" i="10" s="1"/>
  <c r="ADP1542" i="10" a="1"/>
  <c r="ADP1542" i="10" s="1"/>
  <c r="ADO1542" i="10" a="1"/>
  <c r="ADO1542" i="10" s="1"/>
  <c r="ADN1542" i="10" a="1"/>
  <c r="ADN1542" i="10" s="1"/>
  <c r="ADM1542" i="10" a="1"/>
  <c r="ADM1542" i="10" s="1"/>
  <c r="ADL1542" i="10" a="1"/>
  <c r="ADL1542" i="10" s="1"/>
  <c r="ADK1542" i="10" a="1"/>
  <c r="ADK1542" i="10" s="1"/>
  <c r="ADJ1542" i="10" a="1"/>
  <c r="ADJ1542" i="10" s="1"/>
  <c r="ADI1542" i="10" a="1"/>
  <c r="ADI1542" i="10" s="1"/>
  <c r="ADH1542" i="10" a="1"/>
  <c r="ADH1542" i="10" s="1"/>
  <c r="ADG1542" i="10" a="1"/>
  <c r="ADG1542" i="10" s="1"/>
  <c r="ADF1542" i="10" a="1"/>
  <c r="ADF1542" i="10" s="1"/>
  <c r="ADE1542" i="10" a="1"/>
  <c r="ADE1542" i="10" s="1"/>
  <c r="ADD1542" i="10" a="1"/>
  <c r="ADD1542" i="10" s="1"/>
  <c r="ADC1542" i="10" a="1"/>
  <c r="ADC1542" i="10" s="1"/>
  <c r="ADB1542" i="10" a="1"/>
  <c r="ADB1542" i="10" s="1"/>
  <c r="ADA1542" i="10" a="1"/>
  <c r="ADA1542" i="10" s="1"/>
  <c r="ACZ1542" i="10" a="1"/>
  <c r="ACZ1542" i="10" s="1"/>
  <c r="ACY1542" i="10" a="1"/>
  <c r="ACY1542" i="10" s="1"/>
  <c r="ACX1542" i="10" a="1"/>
  <c r="ACX1542" i="10" s="1"/>
  <c r="ACW1542" i="10" a="1"/>
  <c r="ACW1542" i="10" s="1"/>
  <c r="ACV1542" i="10" a="1"/>
  <c r="ACV1542" i="10" s="1"/>
  <c r="ACU1542" i="10" a="1"/>
  <c r="ACU1542" i="10" s="1"/>
  <c r="ACT1542" i="10" a="1"/>
  <c r="ACT1542" i="10" s="1"/>
  <c r="ACS1542" i="10" a="1"/>
  <c r="ACS1542" i="10" s="1"/>
  <c r="ACR1542" i="10" a="1"/>
  <c r="ACR1542" i="10" s="1"/>
  <c r="ACQ1542" i="10" a="1"/>
  <c r="ACQ1542" i="10" s="1"/>
  <c r="ACP1542" i="10" a="1"/>
  <c r="ACP1542" i="10" s="1"/>
  <c r="ACO1542" i="10" a="1"/>
  <c r="ACO1542" i="10" s="1"/>
  <c r="ACN1542" i="10" a="1"/>
  <c r="ACN1542" i="10" s="1"/>
  <c r="ACM1542" i="10" a="1"/>
  <c r="ACM1542" i="10" s="1"/>
  <c r="ACL1542" i="10" a="1"/>
  <c r="ACL1542" i="10" s="1"/>
  <c r="ACK1542" i="10" a="1"/>
  <c r="ACK1542" i="10" s="1"/>
  <c r="ACJ1542" i="10" a="1"/>
  <c r="ACJ1542" i="10" s="1"/>
  <c r="ACI1542" i="10" a="1"/>
  <c r="ACI1542" i="10" s="1"/>
  <c r="ACH1542" i="10" a="1"/>
  <c r="ACH1542" i="10" s="1"/>
  <c r="ACG1542" i="10" a="1"/>
  <c r="ACG1542" i="10" s="1"/>
  <c r="ACF1542" i="10" a="1"/>
  <c r="ACF1542" i="10" s="1"/>
  <c r="ACE1542" i="10" a="1"/>
  <c r="ACE1542" i="10" s="1"/>
  <c r="ACD1542" i="10" a="1"/>
  <c r="ACD1542" i="10" s="1"/>
  <c r="ACC1542" i="10" a="1"/>
  <c r="ACC1542" i="10" s="1"/>
  <c r="ACB1542" i="10" a="1"/>
  <c r="ACB1542" i="10" s="1"/>
  <c r="ACA1542" i="10" a="1"/>
  <c r="ACA1542" i="10" s="1"/>
  <c r="ABZ1542" i="10" a="1"/>
  <c r="ABZ1542" i="10" s="1"/>
  <c r="ABY1542" i="10" a="1"/>
  <c r="ABY1542" i="10" s="1"/>
  <c r="ABX1542" i="10" a="1"/>
  <c r="ABX1542" i="10" s="1"/>
  <c r="ABW1542" i="10" a="1"/>
  <c r="ABW1542" i="10" s="1"/>
  <c r="ABV1542" i="10" a="1"/>
  <c r="ABV1542" i="10" s="1"/>
  <c r="ABU1542" i="10" a="1"/>
  <c r="ABU1542" i="10" s="1"/>
  <c r="ABT1542" i="10" a="1"/>
  <c r="ABT1542" i="10" s="1"/>
  <c r="ABS1542" i="10" a="1"/>
  <c r="ABS1542" i="10" s="1"/>
  <c r="ABR1542" i="10" a="1"/>
  <c r="ABR1542" i="10" s="1"/>
  <c r="ABQ1542" i="10" a="1"/>
  <c r="ABQ1542" i="10" s="1"/>
  <c r="ABP1542" i="10" a="1"/>
  <c r="ABP1542" i="10" s="1"/>
  <c r="ABO1542" i="10" a="1"/>
  <c r="ABO1542" i="10" s="1"/>
  <c r="ABN1542" i="10" a="1"/>
  <c r="ABN1542" i="10" s="1"/>
  <c r="ABM1542" i="10" a="1"/>
  <c r="ABM1542" i="10" s="1"/>
  <c r="ABL1542" i="10" a="1"/>
  <c r="ABL1542" i="10" s="1"/>
  <c r="ABK1542" i="10" a="1"/>
  <c r="ABK1542" i="10" s="1"/>
  <c r="ABJ1542" i="10" a="1"/>
  <c r="ABJ1542" i="10" s="1"/>
  <c r="ABI1542" i="10" a="1"/>
  <c r="ABI1542" i="10" s="1"/>
  <c r="ABH1542" i="10" a="1"/>
  <c r="ABH1542" i="10" s="1"/>
  <c r="ABG1542" i="10" a="1"/>
  <c r="ABG1542" i="10" s="1"/>
  <c r="ABF1542" i="10" a="1"/>
  <c r="ABF1542" i="10" s="1"/>
  <c r="ABE1542" i="10" a="1"/>
  <c r="ABE1542" i="10" s="1"/>
  <c r="ABD1542" i="10" a="1"/>
  <c r="ABD1542" i="10" s="1"/>
  <c r="ABC1542" i="10" a="1"/>
  <c r="ABC1542" i="10" s="1"/>
  <c r="ABB1542" i="10" a="1"/>
  <c r="ABB1542" i="10" s="1"/>
  <c r="ABA1542" i="10" a="1"/>
  <c r="ABA1542" i="10" s="1"/>
  <c r="AAZ1542" i="10" a="1"/>
  <c r="AAZ1542" i="10" s="1"/>
  <c r="AAY1542" i="10" a="1"/>
  <c r="AAY1542" i="10" s="1"/>
  <c r="AAX1542" i="10" a="1"/>
  <c r="AAX1542" i="10" s="1"/>
  <c r="AAW1542" i="10" a="1"/>
  <c r="AAW1542" i="10" s="1"/>
  <c r="AAV1542" i="10" a="1"/>
  <c r="AAV1542" i="10" s="1"/>
  <c r="AAU1542" i="10" a="1"/>
  <c r="AAU1542" i="10" s="1"/>
  <c r="AAT1542" i="10" a="1"/>
  <c r="AAT1542" i="10" s="1"/>
  <c r="AAS1542" i="10" a="1"/>
  <c r="AAS1542" i="10" s="1"/>
  <c r="AAR1542" i="10" a="1"/>
  <c r="AAR1542" i="10" s="1"/>
  <c r="AAQ1542" i="10" a="1"/>
  <c r="AAQ1542" i="10" s="1"/>
  <c r="AAP1542" i="10" a="1"/>
  <c r="AAP1542" i="10" s="1"/>
  <c r="AAO1542" i="10" a="1"/>
  <c r="AAO1542" i="10" s="1"/>
  <c r="AAN1542" i="10" a="1"/>
  <c r="AAN1542" i="10" s="1"/>
  <c r="AAM1542" i="10" a="1"/>
  <c r="AAM1542" i="10" s="1"/>
  <c r="AAL1542" i="10" a="1"/>
  <c r="AAL1542" i="10" s="1"/>
  <c r="AAK1542" i="10" a="1"/>
  <c r="AAK1542" i="10" s="1"/>
  <c r="AAJ1542" i="10" a="1"/>
  <c r="AAJ1542" i="10" s="1"/>
  <c r="AAI1542" i="10" a="1"/>
  <c r="AAI1542" i="10" s="1"/>
  <c r="AAH1542" i="10" a="1"/>
  <c r="AAH1542" i="10" s="1"/>
  <c r="AAG1542" i="10" a="1"/>
  <c r="AAG1542" i="10" s="1"/>
  <c r="AAF1542" i="10" a="1"/>
  <c r="AAF1542" i="10" s="1"/>
  <c r="AAE1542" i="10" a="1"/>
  <c r="AAE1542" i="10" s="1"/>
  <c r="AAD1542" i="10" a="1"/>
  <c r="AAD1542" i="10" s="1"/>
  <c r="AAC1542" i="10" a="1"/>
  <c r="AAC1542" i="10" s="1"/>
  <c r="AAB1542" i="10" a="1"/>
  <c r="AAB1542" i="10" s="1"/>
  <c r="AAA1542" i="10" a="1"/>
  <c r="AAA1542" i="10" s="1"/>
  <c r="ZZ1542" i="10" a="1"/>
  <c r="ZZ1542" i="10" s="1"/>
  <c r="ZY1542" i="10" a="1"/>
  <c r="ZY1542" i="10" s="1"/>
  <c r="ZX1542" i="10" a="1"/>
  <c r="ZX1542" i="10" s="1"/>
  <c r="ZW1542" i="10" a="1"/>
  <c r="ZW1542" i="10" s="1"/>
  <c r="ZV1542" i="10" a="1"/>
  <c r="ZV1542" i="10" s="1"/>
  <c r="ZU1542" i="10" a="1"/>
  <c r="ZU1542" i="10" s="1"/>
  <c r="ZT1542" i="10" a="1"/>
  <c r="ZT1542" i="10" s="1"/>
  <c r="ZS1542" i="10" a="1"/>
  <c r="ZS1542" i="10" s="1"/>
  <c r="ZR1542" i="10" a="1"/>
  <c r="ZR1542" i="10" s="1"/>
  <c r="ZQ1542" i="10" a="1"/>
  <c r="ZQ1542" i="10" s="1"/>
  <c r="ZP1542" i="10" a="1"/>
  <c r="ZP1542" i="10" s="1"/>
  <c r="ZO1542" i="10" a="1"/>
  <c r="ZO1542" i="10" s="1"/>
  <c r="ZN1542" i="10" a="1"/>
  <c r="ZN1542" i="10" s="1"/>
  <c r="ZM1542" i="10" a="1"/>
  <c r="ZM1542" i="10" s="1"/>
  <c r="ZL1542" i="10" a="1"/>
  <c r="ZL1542" i="10" s="1"/>
  <c r="ZK1542" i="10" a="1"/>
  <c r="ZK1542" i="10" s="1"/>
  <c r="ZJ1542" i="10" a="1"/>
  <c r="ZJ1542" i="10" s="1"/>
  <c r="ZI1542" i="10" a="1"/>
  <c r="ZI1542" i="10" s="1"/>
  <c r="ZH1542" i="10" a="1"/>
  <c r="ZH1542" i="10" s="1"/>
  <c r="ZG1542" i="10" a="1"/>
  <c r="ZG1542" i="10" s="1"/>
  <c r="ZF1542" i="10" a="1"/>
  <c r="ZF1542" i="10" s="1"/>
  <c r="ZE1542" i="10" a="1"/>
  <c r="ZE1542" i="10" s="1"/>
  <c r="ZD1542" i="10" a="1"/>
  <c r="ZD1542" i="10" s="1"/>
  <c r="ZC1542" i="10" a="1"/>
  <c r="ZC1542" i="10" s="1"/>
  <c r="ZB1542" i="10" a="1"/>
  <c r="ZB1542" i="10" s="1"/>
  <c r="ZA1542" i="10" a="1"/>
  <c r="ZA1542" i="10" s="1"/>
  <c r="YZ1542" i="10" a="1"/>
  <c r="YZ1542" i="10" s="1"/>
  <c r="YY1542" i="10" a="1"/>
  <c r="YY1542" i="10" s="1"/>
  <c r="YX1542" i="10" a="1"/>
  <c r="YX1542" i="10" s="1"/>
  <c r="YW1542" i="10" a="1"/>
  <c r="YW1542" i="10" s="1"/>
  <c r="YV1542" i="10" a="1"/>
  <c r="YV1542" i="10" s="1"/>
  <c r="YU1542" i="10" a="1"/>
  <c r="YU1542" i="10" s="1"/>
  <c r="YT1542" i="10" a="1"/>
  <c r="YT1542" i="10" s="1"/>
  <c r="YS1542" i="10" a="1"/>
  <c r="YS1542" i="10" s="1"/>
  <c r="YR1542" i="10" a="1"/>
  <c r="YR1542" i="10" s="1"/>
  <c r="YQ1542" i="10" a="1"/>
  <c r="YQ1542" i="10" s="1"/>
  <c r="YP1542" i="10" a="1"/>
  <c r="YP1542" i="10" s="1"/>
  <c r="YO1542" i="10" a="1"/>
  <c r="YO1542" i="10" s="1"/>
  <c r="YN1542" i="10" a="1"/>
  <c r="YN1542" i="10" s="1"/>
  <c r="YM1542" i="10" a="1"/>
  <c r="YM1542" i="10" s="1"/>
  <c r="YL1542" i="10" a="1"/>
  <c r="YL1542" i="10" s="1"/>
  <c r="YK1542" i="10" a="1"/>
  <c r="YK1542" i="10" s="1"/>
  <c r="YJ1542" i="10" a="1"/>
  <c r="YJ1542" i="10" s="1"/>
  <c r="YI1542" i="10" a="1"/>
  <c r="YI1542" i="10" s="1"/>
  <c r="YH1542" i="10" a="1"/>
  <c r="YH1542" i="10" s="1"/>
  <c r="YG1542" i="10" a="1"/>
  <c r="YG1542" i="10" s="1"/>
  <c r="YF1542" i="10" a="1"/>
  <c r="YF1542" i="10" s="1"/>
  <c r="YE1542" i="10" a="1"/>
  <c r="YE1542" i="10" s="1"/>
  <c r="YD1542" i="10" a="1"/>
  <c r="YD1542" i="10" s="1"/>
  <c r="YC1542" i="10" a="1"/>
  <c r="YC1542" i="10" s="1"/>
  <c r="YB1542" i="10" a="1"/>
  <c r="YB1542" i="10" s="1"/>
  <c r="YA1542" i="10" a="1"/>
  <c r="YA1542" i="10" s="1"/>
  <c r="XZ1542" i="10" a="1"/>
  <c r="XZ1542" i="10" s="1"/>
  <c r="XY1542" i="10" a="1"/>
  <c r="XY1542" i="10" s="1"/>
  <c r="XX1542" i="10" a="1"/>
  <c r="XX1542" i="10" s="1"/>
  <c r="XW1542" i="10" a="1"/>
  <c r="XW1542" i="10" s="1"/>
  <c r="XV1542" i="10" a="1"/>
  <c r="XV1542" i="10" s="1"/>
  <c r="XU1542" i="10" a="1"/>
  <c r="XU1542" i="10" s="1"/>
  <c r="XT1542" i="10" a="1"/>
  <c r="XT1542" i="10" s="1"/>
  <c r="XS1542" i="10" a="1"/>
  <c r="XS1542" i="10" s="1"/>
  <c r="XR1542" i="10" a="1"/>
  <c r="XR1542" i="10" s="1"/>
  <c r="XQ1542" i="10" a="1"/>
  <c r="XQ1542" i="10" s="1"/>
  <c r="XP1542" i="10" a="1"/>
  <c r="XP1542" i="10" s="1"/>
  <c r="XO1542" i="10" a="1"/>
  <c r="XO1542" i="10" s="1"/>
  <c r="XN1542" i="10" a="1"/>
  <c r="XN1542" i="10" s="1"/>
  <c r="XM1542" i="10" a="1"/>
  <c r="XM1542" i="10" s="1"/>
  <c r="XL1542" i="10" a="1"/>
  <c r="XL1542" i="10" s="1"/>
  <c r="XK1542" i="10" a="1"/>
  <c r="XK1542" i="10" s="1"/>
  <c r="XJ1542" i="10" a="1"/>
  <c r="XJ1542" i="10" s="1"/>
  <c r="XI1542" i="10" a="1"/>
  <c r="XI1542" i="10" s="1"/>
  <c r="XH1542" i="10" a="1"/>
  <c r="XH1542" i="10" s="1"/>
  <c r="XG1542" i="10" a="1"/>
  <c r="XG1542" i="10" s="1"/>
  <c r="XF1542" i="10" a="1"/>
  <c r="XF1542" i="10" s="1"/>
  <c r="XE1542" i="10" a="1"/>
  <c r="XE1542" i="10" s="1"/>
  <c r="XD1542" i="10" a="1"/>
  <c r="XD1542" i="10" s="1"/>
  <c r="XC1542" i="10" a="1"/>
  <c r="XC1542" i="10" s="1"/>
  <c r="XB1542" i="10" a="1"/>
  <c r="XB1542" i="10" s="1"/>
  <c r="XA1542" i="10" a="1"/>
  <c r="XA1542" i="10" s="1"/>
  <c r="WZ1542" i="10" a="1"/>
  <c r="WZ1542" i="10" s="1"/>
  <c r="WY1542" i="10" a="1"/>
  <c r="WY1542" i="10" s="1"/>
  <c r="WX1542" i="10" a="1"/>
  <c r="WX1542" i="10" s="1"/>
  <c r="WW1542" i="10" a="1"/>
  <c r="WW1542" i="10" s="1"/>
  <c r="WV1542" i="10" a="1"/>
  <c r="WV1542" i="10" s="1"/>
  <c r="WU1542" i="10" a="1"/>
  <c r="WU1542" i="10" s="1"/>
  <c r="WT1542" i="10" a="1"/>
  <c r="WT1542" i="10" s="1"/>
  <c r="WS1542" i="10" a="1"/>
  <c r="WS1542" i="10" s="1"/>
  <c r="WR1542" i="10" a="1"/>
  <c r="WR1542" i="10" s="1"/>
  <c r="WQ1542" i="10" a="1"/>
  <c r="WQ1542" i="10" s="1"/>
  <c r="WP1542" i="10" a="1"/>
  <c r="WP1542" i="10" s="1"/>
  <c r="WO1542" i="10" a="1"/>
  <c r="WO1542" i="10" s="1"/>
  <c r="WN1542" i="10" a="1"/>
  <c r="WN1542" i="10" s="1"/>
  <c r="WM1542" i="10" a="1"/>
  <c r="WM1542" i="10" s="1"/>
  <c r="WL1542" i="10" a="1"/>
  <c r="WL1542" i="10" s="1"/>
  <c r="WK1542" i="10" a="1"/>
  <c r="WK1542" i="10" s="1"/>
  <c r="WJ1542" i="10" a="1"/>
  <c r="WJ1542" i="10" s="1"/>
  <c r="WI1542" i="10" a="1"/>
  <c r="WI1542" i="10" s="1"/>
  <c r="WH1542" i="10" a="1"/>
  <c r="WH1542" i="10" s="1"/>
  <c r="WG1542" i="10" a="1"/>
  <c r="WG1542" i="10" s="1"/>
  <c r="WF1542" i="10" a="1"/>
  <c r="WF1542" i="10" s="1"/>
  <c r="WE1542" i="10" a="1"/>
  <c r="WE1542" i="10" s="1"/>
  <c r="WD1542" i="10" a="1"/>
  <c r="WD1542" i="10" s="1"/>
  <c r="WC1542" i="10" a="1"/>
  <c r="WC1542" i="10" s="1"/>
  <c r="WB1542" i="10" a="1"/>
  <c r="WB1542" i="10" s="1"/>
  <c r="WA1542" i="10" a="1"/>
  <c r="WA1542" i="10" s="1"/>
  <c r="VZ1542" i="10" a="1"/>
  <c r="VZ1542" i="10" s="1"/>
  <c r="VY1542" i="10" a="1"/>
  <c r="VY1542" i="10" s="1"/>
  <c r="VX1542" i="10" a="1"/>
  <c r="VX1542" i="10" s="1"/>
  <c r="VW1542" i="10" a="1"/>
  <c r="VW1542" i="10" s="1"/>
  <c r="VV1542" i="10" a="1"/>
  <c r="VV1542" i="10" s="1"/>
  <c r="VU1542" i="10" a="1"/>
  <c r="VU1542" i="10" s="1"/>
  <c r="VT1542" i="10" a="1"/>
  <c r="VT1542" i="10" s="1"/>
  <c r="VS1542" i="10" a="1"/>
  <c r="VS1542" i="10" s="1"/>
  <c r="VR1542" i="10" a="1"/>
  <c r="VR1542" i="10" s="1"/>
  <c r="VQ1542" i="10" a="1"/>
  <c r="VQ1542" i="10" s="1"/>
  <c r="VP1542" i="10" a="1"/>
  <c r="VP1542" i="10" s="1"/>
  <c r="VO1542" i="10" a="1"/>
  <c r="VO1542" i="10" s="1"/>
  <c r="VN1542" i="10" a="1"/>
  <c r="VN1542" i="10" s="1"/>
  <c r="VM1542" i="10" a="1"/>
  <c r="VM1542" i="10" s="1"/>
  <c r="VL1542" i="10" a="1"/>
  <c r="VL1542" i="10" s="1"/>
  <c r="VK1542" i="10" a="1"/>
  <c r="VK1542" i="10" s="1"/>
  <c r="VJ1542" i="10" a="1"/>
  <c r="VJ1542" i="10" s="1"/>
  <c r="VI1542" i="10" a="1"/>
  <c r="VI1542" i="10" s="1"/>
  <c r="VH1542" i="10" a="1"/>
  <c r="VH1542" i="10" s="1"/>
  <c r="VG1542" i="10" a="1"/>
  <c r="VG1542" i="10" s="1"/>
  <c r="VF1542" i="10" a="1"/>
  <c r="VF1542" i="10" s="1"/>
  <c r="VE1542" i="10" a="1"/>
  <c r="VE1542" i="10" s="1"/>
  <c r="VD1542" i="10" a="1"/>
  <c r="VD1542" i="10" s="1"/>
  <c r="VC1542" i="10" a="1"/>
  <c r="VC1542" i="10" s="1"/>
  <c r="VB1542" i="10" a="1"/>
  <c r="VB1542" i="10" s="1"/>
  <c r="VA1542" i="10" a="1"/>
  <c r="VA1542" i="10" s="1"/>
  <c r="UZ1542" i="10" a="1"/>
  <c r="UZ1542" i="10" s="1"/>
  <c r="UY1542" i="10" a="1"/>
  <c r="UY1542" i="10" s="1"/>
  <c r="UX1542" i="10" a="1"/>
  <c r="UX1542" i="10" s="1"/>
  <c r="UW1542" i="10" a="1"/>
  <c r="UW1542" i="10" s="1"/>
  <c r="UV1542" i="10" a="1"/>
  <c r="UV1542" i="10" s="1"/>
  <c r="UU1542" i="10" a="1"/>
  <c r="UU1542" i="10" s="1"/>
  <c r="UT1542" i="10" a="1"/>
  <c r="UT1542" i="10" s="1"/>
  <c r="US1542" i="10" a="1"/>
  <c r="US1542" i="10" s="1"/>
  <c r="UR1542" i="10" a="1"/>
  <c r="UR1542" i="10" s="1"/>
  <c r="UQ1542" i="10" a="1"/>
  <c r="UQ1542" i="10" s="1"/>
  <c r="UP1542" i="10" a="1"/>
  <c r="UP1542" i="10" s="1"/>
  <c r="UO1542" i="10" a="1"/>
  <c r="UO1542" i="10" s="1"/>
  <c r="UN1542" i="10" a="1"/>
  <c r="UN1542" i="10" s="1"/>
  <c r="UM1542" i="10" a="1"/>
  <c r="UM1542" i="10" s="1"/>
  <c r="UL1542" i="10" a="1"/>
  <c r="UL1542" i="10" s="1"/>
  <c r="UK1542" i="10" a="1"/>
  <c r="UK1542" i="10" s="1"/>
  <c r="UJ1542" i="10" a="1"/>
  <c r="UJ1542" i="10" s="1"/>
  <c r="UI1542" i="10" a="1"/>
  <c r="UI1542" i="10" s="1"/>
  <c r="UH1542" i="10" a="1"/>
  <c r="UH1542" i="10" s="1"/>
  <c r="UG1542" i="10" a="1"/>
  <c r="UG1542" i="10" s="1"/>
  <c r="UF1542" i="10" a="1"/>
  <c r="UF1542" i="10" s="1"/>
  <c r="UE1542" i="10" a="1"/>
  <c r="UE1542" i="10" s="1"/>
  <c r="UD1542" i="10" a="1"/>
  <c r="UD1542" i="10" s="1"/>
  <c r="UC1542" i="10" a="1"/>
  <c r="UC1542" i="10" s="1"/>
  <c r="UB1542" i="10" a="1"/>
  <c r="UB1542" i="10" s="1"/>
  <c r="UA1542" i="10" a="1"/>
  <c r="UA1542" i="10" s="1"/>
  <c r="TZ1542" i="10" a="1"/>
  <c r="TZ1542" i="10" s="1"/>
  <c r="TY1542" i="10" a="1"/>
  <c r="TY1542" i="10" s="1"/>
  <c r="TX1542" i="10" a="1"/>
  <c r="TX1542" i="10" s="1"/>
  <c r="TW1542" i="10" a="1"/>
  <c r="TW1542" i="10" s="1"/>
  <c r="TV1542" i="10" a="1"/>
  <c r="TV1542" i="10" s="1"/>
  <c r="TU1542" i="10" a="1"/>
  <c r="TU1542" i="10" s="1"/>
  <c r="TT1542" i="10" a="1"/>
  <c r="TT1542" i="10" s="1"/>
  <c r="TS1542" i="10" a="1"/>
  <c r="TS1542" i="10" s="1"/>
  <c r="TR1542" i="10" a="1"/>
  <c r="TR1542" i="10" s="1"/>
  <c r="TQ1542" i="10" a="1"/>
  <c r="TQ1542" i="10" s="1"/>
  <c r="TP1542" i="10" a="1"/>
  <c r="TP1542" i="10" s="1"/>
  <c r="TO1542" i="10" a="1"/>
  <c r="TO1542" i="10" s="1"/>
  <c r="TN1542" i="10" a="1"/>
  <c r="TN1542" i="10" s="1"/>
  <c r="TM1542" i="10" a="1"/>
  <c r="TM1542" i="10" s="1"/>
  <c r="TL1542" i="10" a="1"/>
  <c r="TL1542" i="10" s="1"/>
  <c r="TK1542" i="10" a="1"/>
  <c r="TK1542" i="10" s="1"/>
  <c r="TJ1542" i="10" a="1"/>
  <c r="TJ1542" i="10" s="1"/>
  <c r="TI1542" i="10" a="1"/>
  <c r="TI1542" i="10" s="1"/>
  <c r="TH1542" i="10" a="1"/>
  <c r="TH1542" i="10" s="1"/>
  <c r="TG1542" i="10" a="1"/>
  <c r="TG1542" i="10" s="1"/>
  <c r="TF1542" i="10" a="1"/>
  <c r="TF1542" i="10" s="1"/>
  <c r="TE1542" i="10" a="1"/>
  <c r="TE1542" i="10" s="1"/>
  <c r="TD1542" i="10" a="1"/>
  <c r="TD1542" i="10" s="1"/>
  <c r="TC1542" i="10" a="1"/>
  <c r="TC1542" i="10" s="1"/>
  <c r="TB1542" i="10" a="1"/>
  <c r="TB1542" i="10" s="1"/>
  <c r="TA1542" i="10" a="1"/>
  <c r="TA1542" i="10" s="1"/>
  <c r="SZ1542" i="10" a="1"/>
  <c r="SZ1542" i="10" s="1"/>
  <c r="SY1542" i="10" a="1"/>
  <c r="SY1542" i="10" s="1"/>
  <c r="SX1542" i="10" a="1"/>
  <c r="SX1542" i="10" s="1"/>
  <c r="SW1542" i="10" a="1"/>
  <c r="SW1542" i="10" s="1"/>
  <c r="SV1542" i="10" a="1"/>
  <c r="SV1542" i="10" s="1"/>
  <c r="SU1542" i="10" a="1"/>
  <c r="SU1542" i="10" s="1"/>
  <c r="ST1542" i="10" a="1"/>
  <c r="ST1542" i="10" s="1"/>
  <c r="SS1542" i="10" a="1"/>
  <c r="SS1542" i="10" s="1"/>
  <c r="SR1542" i="10" a="1"/>
  <c r="SR1542" i="10" s="1"/>
  <c r="SQ1542" i="10" a="1"/>
  <c r="SQ1542" i="10" s="1"/>
  <c r="SP1542" i="10" a="1"/>
  <c r="SP1542" i="10" s="1"/>
  <c r="SO1542" i="10" a="1"/>
  <c r="SO1542" i="10" s="1"/>
  <c r="SN1542" i="10" a="1"/>
  <c r="SN1542" i="10" s="1"/>
  <c r="SM1542" i="10" a="1"/>
  <c r="SM1542" i="10" s="1"/>
  <c r="SL1542" i="10" a="1"/>
  <c r="SL1542" i="10" s="1"/>
  <c r="SK1542" i="10" a="1"/>
  <c r="SK1542" i="10" s="1"/>
  <c r="SJ1542" i="10" a="1"/>
  <c r="SJ1542" i="10" s="1"/>
  <c r="SI1542" i="10" a="1"/>
  <c r="SI1542" i="10" s="1"/>
  <c r="SH1542" i="10" a="1"/>
  <c r="SH1542" i="10" s="1"/>
  <c r="SG1542" i="10" a="1"/>
  <c r="SG1542" i="10" s="1"/>
  <c r="SF1542" i="10" a="1"/>
  <c r="SF1542" i="10" s="1"/>
  <c r="SE1542" i="10" a="1"/>
  <c r="SE1542" i="10" s="1"/>
  <c r="SD1542" i="10" a="1"/>
  <c r="SD1542" i="10" s="1"/>
  <c r="SC1542" i="10" a="1"/>
  <c r="SC1542" i="10" s="1"/>
  <c r="SB1542" i="10" a="1"/>
  <c r="SB1542" i="10" s="1"/>
  <c r="SA1542" i="10" a="1"/>
  <c r="SA1542" i="10" s="1"/>
  <c r="RZ1542" i="10" a="1"/>
  <c r="RZ1542" i="10" s="1"/>
  <c r="RY1542" i="10" a="1"/>
  <c r="RY1542" i="10" s="1"/>
  <c r="RX1542" i="10" a="1"/>
  <c r="RX1542" i="10" s="1"/>
  <c r="RW1542" i="10" a="1"/>
  <c r="RW1542" i="10" s="1"/>
  <c r="RV1542" i="10" a="1"/>
  <c r="RV1542" i="10" s="1"/>
  <c r="RU1542" i="10" a="1"/>
  <c r="RU1542" i="10" s="1"/>
  <c r="RT1542" i="10" a="1"/>
  <c r="RT1542" i="10" s="1"/>
  <c r="RS1542" i="10" a="1"/>
  <c r="RS1542" i="10" s="1"/>
  <c r="RR1542" i="10" a="1"/>
  <c r="RR1542" i="10" s="1"/>
  <c r="RQ1542" i="10" a="1"/>
  <c r="RQ1542" i="10" s="1"/>
  <c r="RP1542" i="10" a="1"/>
  <c r="RP1542" i="10" s="1"/>
  <c r="RO1542" i="10" a="1"/>
  <c r="RO1542" i="10" s="1"/>
  <c r="RN1542" i="10" a="1"/>
  <c r="RN1542" i="10" s="1"/>
  <c r="RM1542" i="10" a="1"/>
  <c r="RM1542" i="10" s="1"/>
  <c r="RL1542" i="10" a="1"/>
  <c r="RL1542" i="10" s="1"/>
  <c r="RK1542" i="10" a="1"/>
  <c r="RK1542" i="10" s="1"/>
  <c r="RJ1542" i="10" a="1"/>
  <c r="RJ1542" i="10" s="1"/>
  <c r="RI1542" i="10" a="1"/>
  <c r="RI1542" i="10" s="1"/>
  <c r="RH1542" i="10" a="1"/>
  <c r="RH1542" i="10" s="1"/>
  <c r="RG1542" i="10" a="1"/>
  <c r="RG1542" i="10" s="1"/>
  <c r="RF1542" i="10" a="1"/>
  <c r="RF1542" i="10" s="1"/>
  <c r="RE1542" i="10" a="1"/>
  <c r="RE1542" i="10" s="1"/>
  <c r="RD1542" i="10" a="1"/>
  <c r="RD1542" i="10" s="1"/>
  <c r="RC1542" i="10" a="1"/>
  <c r="RC1542" i="10" s="1"/>
  <c r="RB1542" i="10" a="1"/>
  <c r="RB1542" i="10" s="1"/>
  <c r="RA1542" i="10" a="1"/>
  <c r="RA1542" i="10" s="1"/>
  <c r="QZ1542" i="10" a="1"/>
  <c r="QZ1542" i="10" s="1"/>
  <c r="QY1542" i="10" a="1"/>
  <c r="QY1542" i="10" s="1"/>
  <c r="QX1542" i="10" a="1"/>
  <c r="QX1542" i="10" s="1"/>
  <c r="QW1542" i="10" a="1"/>
  <c r="QW1542" i="10" s="1"/>
  <c r="QV1542" i="10" a="1"/>
  <c r="QV1542" i="10" s="1"/>
  <c r="QU1542" i="10" a="1"/>
  <c r="QU1542" i="10" s="1"/>
  <c r="QT1542" i="10" a="1"/>
  <c r="QT1542" i="10" s="1"/>
  <c r="QS1542" i="10" a="1"/>
  <c r="QS1542" i="10" s="1"/>
  <c r="QR1542" i="10" a="1"/>
  <c r="QR1542" i="10" s="1"/>
  <c r="QQ1542" i="10" a="1"/>
  <c r="QQ1542" i="10" s="1"/>
  <c r="QP1542" i="10" a="1"/>
  <c r="QP1542" i="10" s="1"/>
  <c r="QO1542" i="10" a="1"/>
  <c r="QO1542" i="10" s="1"/>
  <c r="QN1542" i="10" a="1"/>
  <c r="QN1542" i="10" s="1"/>
  <c r="QM1542" i="10" a="1"/>
  <c r="QM1542" i="10" s="1"/>
  <c r="QL1542" i="10" a="1"/>
  <c r="QL1542" i="10" s="1"/>
  <c r="QK1542" i="10" a="1"/>
  <c r="QK1542" i="10" s="1"/>
  <c r="QJ1542" i="10" a="1"/>
  <c r="QJ1542" i="10" s="1"/>
  <c r="QI1542" i="10" a="1"/>
  <c r="QI1542" i="10" s="1"/>
  <c r="QH1542" i="10" a="1"/>
  <c r="QH1542" i="10" s="1"/>
  <c r="QG1542" i="10" a="1"/>
  <c r="QG1542" i="10" s="1"/>
  <c r="QF1542" i="10" a="1"/>
  <c r="QF1542" i="10" s="1"/>
  <c r="QE1542" i="10" a="1"/>
  <c r="QE1542" i="10" s="1"/>
  <c r="QD1542" i="10" a="1"/>
  <c r="QD1542" i="10" s="1"/>
  <c r="QC1542" i="10" a="1"/>
  <c r="QC1542" i="10" s="1"/>
  <c r="QB1542" i="10" a="1"/>
  <c r="QB1542" i="10" s="1"/>
  <c r="QA1542" i="10" a="1"/>
  <c r="QA1542" i="10" s="1"/>
  <c r="PZ1542" i="10" a="1"/>
  <c r="PZ1542" i="10" s="1"/>
  <c r="PY1542" i="10" a="1"/>
  <c r="PY1542" i="10" s="1"/>
  <c r="PX1542" i="10" a="1"/>
  <c r="PX1542" i="10" s="1"/>
  <c r="PW1542" i="10" a="1"/>
  <c r="PW1542" i="10" s="1"/>
  <c r="PV1542" i="10" a="1"/>
  <c r="PV1542" i="10" s="1"/>
  <c r="PU1542" i="10" a="1"/>
  <c r="PU1542" i="10" s="1"/>
  <c r="PT1542" i="10" a="1"/>
  <c r="PT1542" i="10" s="1"/>
  <c r="PS1542" i="10" a="1"/>
  <c r="PS1542" i="10" s="1"/>
  <c r="PR1542" i="10" a="1"/>
  <c r="PR1542" i="10" s="1"/>
  <c r="PQ1542" i="10" a="1"/>
  <c r="PQ1542" i="10" s="1"/>
  <c r="PP1542" i="10" a="1"/>
  <c r="PP1542" i="10" s="1"/>
  <c r="PO1542" i="10" a="1"/>
  <c r="PO1542" i="10" s="1"/>
  <c r="PN1542" i="10" a="1"/>
  <c r="PN1542" i="10" s="1"/>
  <c r="PM1542" i="10" a="1"/>
  <c r="PM1542" i="10" s="1"/>
  <c r="PL1542" i="10" a="1"/>
  <c r="PL1542" i="10" s="1"/>
  <c r="PK1542" i="10" a="1"/>
  <c r="PK1542" i="10" s="1"/>
  <c r="PJ1542" i="10" a="1"/>
  <c r="PJ1542" i="10" s="1"/>
  <c r="PI1542" i="10" a="1"/>
  <c r="PI1542" i="10" s="1"/>
  <c r="PH1542" i="10" a="1"/>
  <c r="PH1542" i="10" s="1"/>
  <c r="PG1542" i="10" a="1"/>
  <c r="PG1542" i="10" s="1"/>
  <c r="PF1542" i="10" a="1"/>
  <c r="PF1542" i="10" s="1"/>
  <c r="PE1542" i="10" a="1"/>
  <c r="PE1542" i="10" s="1"/>
  <c r="PD1542" i="10" a="1"/>
  <c r="PD1542" i="10" s="1"/>
  <c r="PC1542" i="10" a="1"/>
  <c r="PC1542" i="10" s="1"/>
  <c r="PB1542" i="10" a="1"/>
  <c r="PB1542" i="10" s="1"/>
  <c r="PA1542" i="10" a="1"/>
  <c r="PA1542" i="10" s="1"/>
  <c r="OZ1542" i="10" a="1"/>
  <c r="OZ1542" i="10" s="1"/>
  <c r="OY1542" i="10" a="1"/>
  <c r="OY1542" i="10" s="1"/>
  <c r="OX1542" i="10" a="1"/>
  <c r="OX1542" i="10" s="1"/>
  <c r="OW1542" i="10" a="1"/>
  <c r="OW1542" i="10" s="1"/>
  <c r="OV1542" i="10" a="1"/>
  <c r="OV1542" i="10" s="1"/>
  <c r="OU1542" i="10" a="1"/>
  <c r="OU1542" i="10" s="1"/>
  <c r="OT1542" i="10" a="1"/>
  <c r="OT1542" i="10" s="1"/>
  <c r="OS1542" i="10" a="1"/>
  <c r="OS1542" i="10" s="1"/>
  <c r="OR1542" i="10" a="1"/>
  <c r="OR1542" i="10" s="1"/>
  <c r="OQ1542" i="10" a="1"/>
  <c r="OQ1542" i="10" s="1"/>
  <c r="OP1542" i="10" a="1"/>
  <c r="OP1542" i="10" s="1"/>
  <c r="OO1542" i="10" a="1"/>
  <c r="OO1542" i="10" s="1"/>
  <c r="ON1542" i="10" a="1"/>
  <c r="ON1542" i="10" s="1"/>
  <c r="OM1542" i="10" a="1"/>
  <c r="OM1542" i="10" s="1"/>
  <c r="OL1542" i="10" a="1"/>
  <c r="OL1542" i="10" s="1"/>
  <c r="OK1542" i="10" a="1"/>
  <c r="OK1542" i="10" s="1"/>
  <c r="OJ1542" i="10" a="1"/>
  <c r="OJ1542" i="10" s="1"/>
  <c r="OI1542" i="10" a="1"/>
  <c r="OI1542" i="10" s="1"/>
  <c r="OH1542" i="10" a="1"/>
  <c r="OH1542" i="10" s="1"/>
  <c r="OG1542" i="10" a="1"/>
  <c r="OG1542" i="10" s="1"/>
  <c r="OF1542" i="10" a="1"/>
  <c r="OF1542" i="10" s="1"/>
  <c r="OE1542" i="10" a="1"/>
  <c r="OE1542" i="10" s="1"/>
  <c r="OD1542" i="10" a="1"/>
  <c r="OD1542" i="10" s="1"/>
  <c r="OC1542" i="10" a="1"/>
  <c r="OC1542" i="10" s="1"/>
  <c r="OB1542" i="10" a="1"/>
  <c r="OB1542" i="10" s="1"/>
  <c r="OA1542" i="10" a="1"/>
  <c r="OA1542" i="10" s="1"/>
  <c r="NZ1542" i="10" a="1"/>
  <c r="NZ1542" i="10" s="1"/>
  <c r="NY1542" i="10" a="1"/>
  <c r="NY1542" i="10" s="1"/>
  <c r="NX1542" i="10" a="1"/>
  <c r="NX1542" i="10" s="1"/>
  <c r="NW1542" i="10" a="1"/>
  <c r="NW1542" i="10" s="1"/>
  <c r="NV1542" i="10" a="1"/>
  <c r="NV1542" i="10" s="1"/>
  <c r="NU1542" i="10" a="1"/>
  <c r="NU1542" i="10" s="1"/>
  <c r="NT1542" i="10" a="1"/>
  <c r="NT1542" i="10" s="1"/>
  <c r="NS1542" i="10" a="1"/>
  <c r="NS1542" i="10" s="1"/>
  <c r="NR1542" i="10" a="1"/>
  <c r="NR1542" i="10" s="1"/>
  <c r="NQ1542" i="10" a="1"/>
  <c r="NQ1542" i="10" s="1"/>
  <c r="NP1542" i="10" a="1"/>
  <c r="NP1542" i="10" s="1"/>
  <c r="NO1542" i="10" a="1"/>
  <c r="NO1542" i="10" s="1"/>
  <c r="NN1542" i="10" a="1"/>
  <c r="NN1542" i="10" s="1"/>
  <c r="NM1542" i="10" a="1"/>
  <c r="NM1542" i="10" s="1"/>
  <c r="NL1542" i="10" a="1"/>
  <c r="NL1542" i="10" s="1"/>
  <c r="NK1542" i="10" a="1"/>
  <c r="NK1542" i="10" s="1"/>
  <c r="NJ1542" i="10" a="1"/>
  <c r="NJ1542" i="10" s="1"/>
  <c r="NI1542" i="10" a="1"/>
  <c r="NI1542" i="10" s="1"/>
  <c r="NH1542" i="10" a="1"/>
  <c r="NH1542" i="10" s="1"/>
  <c r="NG1542" i="10" a="1"/>
  <c r="NG1542" i="10" s="1"/>
  <c r="NF1542" i="10" a="1"/>
  <c r="NF1542" i="10" s="1"/>
  <c r="NE1542" i="10" a="1"/>
  <c r="NE1542" i="10" s="1"/>
  <c r="ND1542" i="10" a="1"/>
  <c r="ND1542" i="10" s="1"/>
  <c r="NC1542" i="10" a="1"/>
  <c r="NC1542" i="10" s="1"/>
  <c r="NB1542" i="10" a="1"/>
  <c r="NB1542" i="10" s="1"/>
  <c r="NA1542" i="10" a="1"/>
  <c r="NA1542" i="10" s="1"/>
  <c r="MZ1542" i="10" a="1"/>
  <c r="MZ1542" i="10" s="1"/>
  <c r="MY1542" i="10" a="1"/>
  <c r="MY1542" i="10" s="1"/>
  <c r="MX1542" i="10" a="1"/>
  <c r="MX1542" i="10" s="1"/>
  <c r="MW1542" i="10" a="1"/>
  <c r="MW1542" i="10" s="1"/>
  <c r="MV1542" i="10" a="1"/>
  <c r="MV1542" i="10" s="1"/>
  <c r="MU1542" i="10" a="1"/>
  <c r="MU1542" i="10" s="1"/>
  <c r="MT1542" i="10" a="1"/>
  <c r="MT1542" i="10" s="1"/>
  <c r="MS1542" i="10" a="1"/>
  <c r="MS1542" i="10" s="1"/>
  <c r="MR1542" i="10" a="1"/>
  <c r="MR1542" i="10" s="1"/>
  <c r="MQ1542" i="10" a="1"/>
  <c r="MQ1542" i="10" s="1"/>
  <c r="MP1542" i="10" a="1"/>
  <c r="MP1542" i="10" s="1"/>
  <c r="MO1542" i="10" a="1"/>
  <c r="MO1542" i="10" s="1"/>
  <c r="MN1542" i="10" a="1"/>
  <c r="MN1542" i="10" s="1"/>
  <c r="MM1542" i="10" a="1"/>
  <c r="MM1542" i="10" s="1"/>
  <c r="ML1542" i="10" a="1"/>
  <c r="ML1542" i="10" s="1"/>
  <c r="MK1542" i="10" a="1"/>
  <c r="MK1542" i="10" s="1"/>
  <c r="MJ1542" i="10" a="1"/>
  <c r="MJ1542" i="10" s="1"/>
  <c r="MI1542" i="10" a="1"/>
  <c r="MI1542" i="10" s="1"/>
  <c r="MH1542" i="10" a="1"/>
  <c r="MH1542" i="10" s="1"/>
  <c r="MG1542" i="10" a="1"/>
  <c r="MG1542" i="10" s="1"/>
  <c r="MF1542" i="10" a="1"/>
  <c r="MF1542" i="10" s="1"/>
  <c r="ME1542" i="10" a="1"/>
  <c r="ME1542" i="10" s="1"/>
  <c r="MD1542" i="10" a="1"/>
  <c r="MD1542" i="10" s="1"/>
  <c r="MC1542" i="10" a="1"/>
  <c r="MC1542" i="10" s="1"/>
  <c r="MB1542" i="10" a="1"/>
  <c r="MB1542" i="10" s="1"/>
  <c r="MA1542" i="10" a="1"/>
  <c r="MA1542" i="10" s="1"/>
  <c r="LZ1542" i="10" a="1"/>
  <c r="LZ1542" i="10" s="1"/>
  <c r="LY1542" i="10" a="1"/>
  <c r="LY1542" i="10" s="1"/>
  <c r="LX1542" i="10" a="1"/>
  <c r="LX1542" i="10" s="1"/>
  <c r="LW1542" i="10" a="1"/>
  <c r="LW1542" i="10" s="1"/>
  <c r="LV1542" i="10" a="1"/>
  <c r="LV1542" i="10" s="1"/>
  <c r="LU1542" i="10" a="1"/>
  <c r="LU1542" i="10" s="1"/>
  <c r="LT1542" i="10" a="1"/>
  <c r="LT1542" i="10" s="1"/>
  <c r="LS1542" i="10" a="1"/>
  <c r="LS1542" i="10" s="1"/>
  <c r="LR1542" i="10" a="1"/>
  <c r="LR1542" i="10" s="1"/>
  <c r="LQ1542" i="10" a="1"/>
  <c r="LQ1542" i="10" s="1"/>
  <c r="LP1542" i="10" a="1"/>
  <c r="LP1542" i="10" s="1"/>
  <c r="LO1542" i="10" a="1"/>
  <c r="LO1542" i="10" s="1"/>
  <c r="LN1542" i="10" a="1"/>
  <c r="LN1542" i="10" s="1"/>
  <c r="LM1542" i="10" a="1"/>
  <c r="LM1542" i="10" s="1"/>
  <c r="LL1542" i="10" a="1"/>
  <c r="LL1542" i="10" s="1"/>
  <c r="LK1542" i="10" a="1"/>
  <c r="LK1542" i="10" s="1"/>
  <c r="LJ1542" i="10" a="1"/>
  <c r="LJ1542" i="10" s="1"/>
  <c r="LI1542" i="10" a="1"/>
  <c r="LI1542" i="10" s="1"/>
  <c r="LH1542" i="10" a="1"/>
  <c r="LH1542" i="10" s="1"/>
  <c r="LG1542" i="10" a="1"/>
  <c r="LG1542" i="10" s="1"/>
  <c r="LF1542" i="10" a="1"/>
  <c r="LF1542" i="10" s="1"/>
  <c r="LE1542" i="10" a="1"/>
  <c r="LE1542" i="10" s="1"/>
  <c r="LD1542" i="10" a="1"/>
  <c r="LD1542" i="10" s="1"/>
  <c r="LC1542" i="10" a="1"/>
  <c r="LC1542" i="10" s="1"/>
  <c r="LB1542" i="10" a="1"/>
  <c r="LB1542" i="10" s="1"/>
  <c r="LA1542" i="10" a="1"/>
  <c r="LA1542" i="10" s="1"/>
  <c r="KZ1542" i="10" a="1"/>
  <c r="KZ1542" i="10" s="1"/>
  <c r="KY1542" i="10" a="1"/>
  <c r="KY1542" i="10" s="1"/>
  <c r="KX1542" i="10" a="1"/>
  <c r="KX1542" i="10" s="1"/>
  <c r="KW1542" i="10" a="1"/>
  <c r="KW1542" i="10" s="1"/>
  <c r="KV1542" i="10" a="1"/>
  <c r="KV1542" i="10" s="1"/>
  <c r="KU1542" i="10" a="1"/>
  <c r="KU1542" i="10" s="1"/>
  <c r="KT1542" i="10" a="1"/>
  <c r="KT1542" i="10" s="1"/>
  <c r="KS1542" i="10" a="1"/>
  <c r="KS1542" i="10" s="1"/>
  <c r="KR1542" i="10" a="1"/>
  <c r="KR1542" i="10" s="1"/>
  <c r="KQ1542" i="10" a="1"/>
  <c r="KQ1542" i="10" s="1"/>
  <c r="KP1542" i="10" a="1"/>
  <c r="KP1542" i="10" s="1"/>
  <c r="KO1542" i="10" a="1"/>
  <c r="KO1542" i="10" s="1"/>
  <c r="KN1542" i="10" a="1"/>
  <c r="KN1542" i="10" s="1"/>
  <c r="KM1542" i="10" a="1"/>
  <c r="KM1542" i="10" s="1"/>
  <c r="KL1542" i="10" a="1"/>
  <c r="KL1542" i="10" s="1"/>
  <c r="KK1542" i="10" a="1"/>
  <c r="KK1542" i="10" s="1"/>
  <c r="KJ1542" i="10" a="1"/>
  <c r="KJ1542" i="10" s="1"/>
  <c r="KI1542" i="10" a="1"/>
  <c r="KI1542" i="10" s="1"/>
  <c r="KH1542" i="10" a="1"/>
  <c r="KH1542" i="10" s="1"/>
  <c r="KG1542" i="10" a="1"/>
  <c r="KG1542" i="10" s="1"/>
  <c r="KF1542" i="10" a="1"/>
  <c r="KF1542" i="10" s="1"/>
  <c r="KE1542" i="10" a="1"/>
  <c r="KE1542" i="10" s="1"/>
  <c r="KD1542" i="10" a="1"/>
  <c r="KD1542" i="10" s="1"/>
  <c r="KC1542" i="10" a="1"/>
  <c r="KC1542" i="10" s="1"/>
  <c r="KB1542" i="10" a="1"/>
  <c r="KB1542" i="10" s="1"/>
  <c r="KA1542" i="10" a="1"/>
  <c r="KA1542" i="10" s="1"/>
  <c r="JZ1542" i="10" a="1"/>
  <c r="JZ1542" i="10" s="1"/>
  <c r="JY1542" i="10" a="1"/>
  <c r="JY1542" i="10" s="1"/>
  <c r="JX1542" i="10" a="1"/>
  <c r="JX1542" i="10" s="1"/>
  <c r="JW1542" i="10" a="1"/>
  <c r="JW1542" i="10" s="1"/>
  <c r="JV1542" i="10" a="1"/>
  <c r="JV1542" i="10" s="1"/>
  <c r="JU1542" i="10" a="1"/>
  <c r="JU1542" i="10" s="1"/>
  <c r="JT1542" i="10" a="1"/>
  <c r="JT1542" i="10" s="1"/>
  <c r="JS1542" i="10" a="1"/>
  <c r="JS1542" i="10" s="1"/>
  <c r="JR1542" i="10" a="1"/>
  <c r="JR1542" i="10" s="1"/>
  <c r="JQ1542" i="10" a="1"/>
  <c r="JQ1542" i="10" s="1"/>
  <c r="JP1542" i="10" a="1"/>
  <c r="JP1542" i="10" s="1"/>
  <c r="JO1542" i="10" a="1"/>
  <c r="JO1542" i="10" s="1"/>
  <c r="JN1542" i="10" a="1"/>
  <c r="JN1542" i="10" s="1"/>
  <c r="JM1542" i="10" a="1"/>
  <c r="JM1542" i="10" s="1"/>
  <c r="JL1542" i="10" a="1"/>
  <c r="JL1542" i="10" s="1"/>
  <c r="JK1542" i="10" a="1"/>
  <c r="JK1542" i="10" s="1"/>
  <c r="JJ1542" i="10" a="1"/>
  <c r="JJ1542" i="10" s="1"/>
  <c r="JI1542" i="10" a="1"/>
  <c r="JI1542" i="10" s="1"/>
  <c r="JH1542" i="10" a="1"/>
  <c r="JH1542" i="10" s="1"/>
  <c r="JG1542" i="10" a="1"/>
  <c r="JG1542" i="10" s="1"/>
  <c r="JF1542" i="10" a="1"/>
  <c r="JF1542" i="10" s="1"/>
  <c r="JE1542" i="10" a="1"/>
  <c r="JE1542" i="10" s="1"/>
  <c r="JD1542" i="10" a="1"/>
  <c r="JD1542" i="10" s="1"/>
  <c r="JC1542" i="10" a="1"/>
  <c r="JC1542" i="10" s="1"/>
  <c r="JB1542" i="10" a="1"/>
  <c r="JB1542" i="10" s="1"/>
  <c r="JA1542" i="10" a="1"/>
  <c r="JA1542" i="10" s="1"/>
  <c r="IZ1542" i="10" a="1"/>
  <c r="IZ1542" i="10" s="1"/>
  <c r="IY1542" i="10" a="1"/>
  <c r="IY1542" i="10" s="1"/>
  <c r="IX1542" i="10" a="1"/>
  <c r="IX1542" i="10" s="1"/>
  <c r="IW1542" i="10" a="1"/>
  <c r="IW1542" i="10" s="1"/>
  <c r="IV1542" i="10" a="1"/>
  <c r="IV1542" i="10" s="1"/>
  <c r="IU1542" i="10" a="1"/>
  <c r="IU1542" i="10" s="1"/>
  <c r="IT1542" i="10" a="1"/>
  <c r="IT1542" i="10" s="1"/>
  <c r="IS1542" i="10" a="1"/>
  <c r="IS1542" i="10" s="1"/>
  <c r="IR1542" i="10" a="1"/>
  <c r="IR1542" i="10" s="1"/>
  <c r="IQ1542" i="10" a="1"/>
  <c r="IQ1542" i="10" s="1"/>
  <c r="IP1542" i="10" a="1"/>
  <c r="IP1542" i="10" s="1"/>
  <c r="IO1542" i="10" a="1"/>
  <c r="IO1542" i="10" s="1"/>
  <c r="IN1542" i="10" a="1"/>
  <c r="IN1542" i="10" s="1"/>
  <c r="IM1542" i="10" a="1"/>
  <c r="IM1542" i="10" s="1"/>
  <c r="IL1542" i="10" a="1"/>
  <c r="IL1542" i="10" s="1"/>
  <c r="IK1542" i="10" a="1"/>
  <c r="IK1542" i="10" s="1"/>
  <c r="IJ1542" i="10" a="1"/>
  <c r="IJ1542" i="10" s="1"/>
  <c r="II1542" i="10" a="1"/>
  <c r="II1542" i="10" s="1"/>
  <c r="IH1542" i="10" a="1"/>
  <c r="IH1542" i="10" s="1"/>
  <c r="IG1542" i="10" a="1"/>
  <c r="IG1542" i="10" s="1"/>
  <c r="IF1542" i="10" a="1"/>
  <c r="IF1542" i="10" s="1"/>
  <c r="IE1542" i="10" a="1"/>
  <c r="IE1542" i="10" s="1"/>
  <c r="ID1542" i="10" a="1"/>
  <c r="ID1542" i="10" s="1"/>
  <c r="IC1542" i="10" a="1"/>
  <c r="IC1542" i="10" s="1"/>
  <c r="IB1542" i="10" a="1"/>
  <c r="IB1542" i="10" s="1"/>
  <c r="IA1542" i="10" a="1"/>
  <c r="IA1542" i="10" s="1"/>
  <c r="HZ1542" i="10" a="1"/>
  <c r="HZ1542" i="10" s="1"/>
  <c r="HY1542" i="10" a="1"/>
  <c r="HY1542" i="10" s="1"/>
  <c r="HX1542" i="10" a="1"/>
  <c r="HX1542" i="10" s="1"/>
  <c r="HW1542" i="10" a="1"/>
  <c r="HW1542" i="10" s="1"/>
  <c r="HV1542" i="10" a="1"/>
  <c r="HV1542" i="10" s="1"/>
  <c r="HU1542" i="10" a="1"/>
  <c r="HU1542" i="10" s="1"/>
  <c r="HT1542" i="10" a="1"/>
  <c r="HT1542" i="10" s="1"/>
  <c r="HS1542" i="10" a="1"/>
  <c r="HS1542" i="10" s="1"/>
  <c r="HR1542" i="10" a="1"/>
  <c r="HR1542" i="10" s="1"/>
  <c r="HQ1542" i="10" a="1"/>
  <c r="HQ1542" i="10" s="1"/>
  <c r="HP1542" i="10" a="1"/>
  <c r="HP1542" i="10" s="1"/>
  <c r="HO1542" i="10" a="1"/>
  <c r="HO1542" i="10" s="1"/>
  <c r="HN1542" i="10" a="1"/>
  <c r="HN1542" i="10" s="1"/>
  <c r="HM1542" i="10" a="1"/>
  <c r="HM1542" i="10" s="1"/>
  <c r="HL1542" i="10" a="1"/>
  <c r="HL1542" i="10" s="1"/>
  <c r="HK1542" i="10" a="1"/>
  <c r="HK1542" i="10" s="1"/>
  <c r="HJ1542" i="10" a="1"/>
  <c r="HJ1542" i="10" s="1"/>
  <c r="HI1542" i="10" a="1"/>
  <c r="HI1542" i="10" s="1"/>
  <c r="HH1542" i="10" a="1"/>
  <c r="HH1542" i="10" s="1"/>
  <c r="HG1542" i="10" a="1"/>
  <c r="HG1542" i="10" s="1"/>
  <c r="HF1542" i="10" a="1"/>
  <c r="HF1542" i="10" s="1"/>
  <c r="HE1542" i="10" a="1"/>
  <c r="HE1542" i="10" s="1"/>
  <c r="HD1542" i="10" a="1"/>
  <c r="HD1542" i="10" s="1"/>
  <c r="HC1542" i="10" a="1"/>
  <c r="HC1542" i="10" s="1"/>
  <c r="HB1542" i="10" a="1"/>
  <c r="HB1542" i="10" s="1"/>
  <c r="HA1542" i="10" a="1"/>
  <c r="HA1542" i="10" s="1"/>
  <c r="GZ1542" i="10" a="1"/>
  <c r="GZ1542" i="10" s="1"/>
  <c r="GY1542" i="10" a="1"/>
  <c r="GY1542" i="10" s="1"/>
  <c r="GX1542" i="10" a="1"/>
  <c r="GX1542" i="10" s="1"/>
  <c r="GW1542" i="10" a="1"/>
  <c r="GW1542" i="10" s="1"/>
  <c r="GV1542" i="10" a="1"/>
  <c r="GV1542" i="10" s="1"/>
  <c r="GU1542" i="10" a="1"/>
  <c r="GU1542" i="10" s="1"/>
  <c r="GT1542" i="10" a="1"/>
  <c r="GT1542" i="10" s="1"/>
  <c r="GS1542" i="10" a="1"/>
  <c r="GS1542" i="10" s="1"/>
  <c r="GR1542" i="10" a="1"/>
  <c r="GR1542" i="10" s="1"/>
  <c r="GQ1542" i="10" a="1"/>
  <c r="GQ1542" i="10" s="1"/>
  <c r="GP1542" i="10" a="1"/>
  <c r="GP1542" i="10" s="1"/>
  <c r="GO1542" i="10" a="1"/>
  <c r="GO1542" i="10" s="1"/>
  <c r="GN1542" i="10" a="1"/>
  <c r="GN1542" i="10" s="1"/>
  <c r="GM1542" i="10" a="1"/>
  <c r="GM1542" i="10" s="1"/>
  <c r="GL1542" i="10" a="1"/>
  <c r="GL1542" i="10" s="1"/>
  <c r="GK1542" i="10" a="1"/>
  <c r="GK1542" i="10" s="1"/>
  <c r="GJ1542" i="10" a="1"/>
  <c r="GJ1542" i="10" s="1"/>
  <c r="GI1542" i="10" a="1"/>
  <c r="GI1542" i="10" s="1"/>
  <c r="GH1542" i="10" a="1"/>
  <c r="GH1542" i="10" s="1"/>
  <c r="GG1542" i="10" a="1"/>
  <c r="GG1542" i="10" s="1"/>
  <c r="GF1542" i="10" a="1"/>
  <c r="GF1542" i="10" s="1"/>
  <c r="GE1542" i="10" a="1"/>
  <c r="GE1542" i="10" s="1"/>
  <c r="GD1542" i="10" a="1"/>
  <c r="GD1542" i="10" s="1"/>
  <c r="GC1542" i="10" a="1"/>
  <c r="GC1542" i="10" s="1"/>
  <c r="GB1542" i="10" a="1"/>
  <c r="GB1542" i="10" s="1"/>
  <c r="GA1542" i="10" a="1"/>
  <c r="GA1542" i="10" s="1"/>
  <c r="FZ1542" i="10" a="1"/>
  <c r="FZ1542" i="10" s="1"/>
  <c r="FY1542" i="10" a="1"/>
  <c r="FY1542" i="10" s="1"/>
  <c r="FX1542" i="10" a="1"/>
  <c r="FX1542" i="10" s="1"/>
  <c r="FW1542" i="10" a="1"/>
  <c r="FW1542" i="10" s="1"/>
  <c r="FV1542" i="10" a="1"/>
  <c r="FV1542" i="10" s="1"/>
  <c r="FU1542" i="10" a="1"/>
  <c r="FU1542" i="10" s="1"/>
  <c r="FT1542" i="10" a="1"/>
  <c r="FT1542" i="10" s="1"/>
  <c r="FS1542" i="10" a="1"/>
  <c r="FS1542" i="10" s="1"/>
  <c r="FR1542" i="10" a="1"/>
  <c r="FR1542" i="10" s="1"/>
  <c r="FQ1542" i="10" a="1"/>
  <c r="FQ1542" i="10" s="1"/>
  <c r="FP1542" i="10" a="1"/>
  <c r="FP1542" i="10" s="1"/>
  <c r="FO1542" i="10" a="1"/>
  <c r="FO1542" i="10" s="1"/>
  <c r="FN1542" i="10" a="1"/>
  <c r="FN1542" i="10" s="1"/>
  <c r="FM1542" i="10" a="1"/>
  <c r="FM1542" i="10" s="1"/>
  <c r="FL1542" i="10" a="1"/>
  <c r="FL1542" i="10" s="1"/>
  <c r="FK1542" i="10" a="1"/>
  <c r="FK1542" i="10" s="1"/>
  <c r="FJ1542" i="10" a="1"/>
  <c r="FJ1542" i="10" s="1"/>
  <c r="FI1542" i="10" a="1"/>
  <c r="FI1542" i="10" s="1"/>
  <c r="FH1542" i="10" a="1"/>
  <c r="FH1542" i="10" s="1"/>
  <c r="FG1542" i="10" a="1"/>
  <c r="FG1542" i="10" s="1"/>
  <c r="FF1542" i="10" a="1"/>
  <c r="FF1542" i="10" s="1"/>
  <c r="FE1542" i="10" a="1"/>
  <c r="FE1542" i="10" s="1"/>
  <c r="FD1542" i="10" a="1"/>
  <c r="FD1542" i="10" s="1"/>
  <c r="FC1542" i="10" a="1"/>
  <c r="FC1542" i="10" s="1"/>
  <c r="FB1542" i="10" a="1"/>
  <c r="FB1542" i="10" s="1"/>
  <c r="FA1542" i="10" a="1"/>
  <c r="FA1542" i="10" s="1"/>
  <c r="EZ1542" i="10" a="1"/>
  <c r="EZ1542" i="10" s="1"/>
  <c r="EY1542" i="10" a="1"/>
  <c r="EY1542" i="10" s="1"/>
  <c r="EX1542" i="10" a="1"/>
  <c r="EX1542" i="10" s="1"/>
  <c r="EW1542" i="10" a="1"/>
  <c r="EW1542" i="10" s="1"/>
  <c r="EV1542" i="10" a="1"/>
  <c r="EV1542" i="10" s="1"/>
  <c r="EU1542" i="10" a="1"/>
  <c r="EU1542" i="10" s="1"/>
  <c r="ET1542" i="10" a="1"/>
  <c r="ET1542" i="10" s="1"/>
  <c r="ES1542" i="10" a="1"/>
  <c r="ES1542" i="10" s="1"/>
  <c r="ER1542" i="10" a="1"/>
  <c r="ER1542" i="10" s="1"/>
  <c r="EQ1542" i="10" a="1"/>
  <c r="EQ1542" i="10" s="1"/>
  <c r="EP1542" i="10" a="1"/>
  <c r="EP1542" i="10" s="1"/>
  <c r="EO1542" i="10" a="1"/>
  <c r="EO1542" i="10" s="1"/>
  <c r="EN1542" i="10" a="1"/>
  <c r="EN1542" i="10" s="1"/>
  <c r="EM1542" i="10" a="1"/>
  <c r="EM1542" i="10" s="1"/>
  <c r="EL1542" i="10" a="1"/>
  <c r="EL1542" i="10" s="1"/>
  <c r="EK1542" i="10" a="1"/>
  <c r="EK1542" i="10" s="1"/>
  <c r="EJ1542" i="10" a="1"/>
  <c r="EJ1542" i="10" s="1"/>
  <c r="EI1542" i="10" a="1"/>
  <c r="EI1542" i="10" s="1"/>
  <c r="EH1542" i="10" a="1"/>
  <c r="EH1542" i="10" s="1"/>
  <c r="EG1542" i="10" a="1"/>
  <c r="EG1542" i="10" s="1"/>
  <c r="EF1542" i="10" a="1"/>
  <c r="EF1542" i="10" s="1"/>
  <c r="EE1542" i="10" a="1"/>
  <c r="EE1542" i="10" s="1"/>
  <c r="ED1542" i="10" a="1"/>
  <c r="ED1542" i="10" s="1"/>
  <c r="EC1542" i="10" a="1"/>
  <c r="EC1542" i="10" s="1"/>
  <c r="EB1542" i="10" a="1"/>
  <c r="EB1542" i="10" s="1"/>
  <c r="EA1542" i="10" a="1"/>
  <c r="EA1542" i="10" s="1"/>
  <c r="DZ1542" i="10" a="1"/>
  <c r="DZ1542" i="10" s="1"/>
  <c r="DY1542" i="10" a="1"/>
  <c r="DY1542" i="10" s="1"/>
  <c r="DX1542" i="10" a="1"/>
  <c r="DX1542" i="10" s="1"/>
  <c r="DW1542" i="10" a="1"/>
  <c r="DW1542" i="10" s="1"/>
  <c r="DV1542" i="10" a="1"/>
  <c r="DV1542" i="10" s="1"/>
  <c r="DU1542" i="10" a="1"/>
  <c r="DU1542" i="10" s="1"/>
  <c r="DT1542" i="10" a="1"/>
  <c r="DT1542" i="10" s="1"/>
  <c r="DS1542" i="10" a="1"/>
  <c r="DS1542" i="10" s="1"/>
  <c r="DR1542" i="10" a="1"/>
  <c r="DR1542" i="10" s="1"/>
  <c r="DQ1542" i="10" a="1"/>
  <c r="DQ1542" i="10" s="1"/>
  <c r="DP1542" i="10" a="1"/>
  <c r="DP1542" i="10" s="1"/>
  <c r="DO1542" i="10" a="1"/>
  <c r="DO1542" i="10" s="1"/>
  <c r="DN1542" i="10" a="1"/>
  <c r="DN1542" i="10" s="1"/>
  <c r="DM1542" i="10" a="1"/>
  <c r="DM1542" i="10" s="1"/>
  <c r="DL1542" i="10" a="1"/>
  <c r="DL1542" i="10" s="1"/>
  <c r="DK1542" i="10" a="1"/>
  <c r="DK1542" i="10" s="1"/>
  <c r="DJ1542" i="10" a="1"/>
  <c r="DJ1542" i="10" s="1"/>
  <c r="DI1542" i="10" a="1"/>
  <c r="DI1542" i="10" s="1"/>
  <c r="DH1542" i="10" a="1"/>
  <c r="DH1542" i="10" s="1"/>
  <c r="DG1542" i="10" a="1"/>
  <c r="DG1542" i="10" s="1"/>
  <c r="DF1542" i="10" a="1"/>
  <c r="DF1542" i="10" s="1"/>
  <c r="DE1542" i="10" a="1"/>
  <c r="DE1542" i="10" s="1"/>
  <c r="DD1542" i="10" a="1"/>
  <c r="DD1542" i="10" s="1"/>
  <c r="DC1542" i="10" a="1"/>
  <c r="DC1542" i="10" s="1"/>
  <c r="DB1542" i="10" a="1"/>
  <c r="DB1542" i="10" s="1"/>
  <c r="DA1542" i="10" a="1"/>
  <c r="DA1542" i="10" s="1"/>
  <c r="CZ1542" i="10" a="1"/>
  <c r="CZ1542" i="10" s="1"/>
  <c r="CY1542" i="10" a="1"/>
  <c r="CY1542" i="10" s="1"/>
  <c r="CX1542" i="10" a="1"/>
  <c r="CX1542" i="10" s="1"/>
  <c r="CW1542" i="10" a="1"/>
  <c r="CW1542" i="10" s="1"/>
  <c r="CV1542" i="10" a="1"/>
  <c r="CV1542" i="10" s="1"/>
  <c r="CU1542" i="10" a="1"/>
  <c r="CU1542" i="10" s="1"/>
  <c r="CT1542" i="10" a="1"/>
  <c r="CT1542" i="10" s="1"/>
  <c r="CS1542" i="10" a="1"/>
  <c r="CS1542" i="10" s="1"/>
  <c r="CR1542" i="10" a="1"/>
  <c r="CR1542" i="10" s="1"/>
  <c r="CQ1542" i="10" a="1"/>
  <c r="CQ1542" i="10" s="1"/>
  <c r="CP1542" i="10" a="1"/>
  <c r="CP1542" i="10" s="1"/>
  <c r="CO1542" i="10" a="1"/>
  <c r="CO1542" i="10" s="1"/>
  <c r="CN1542" i="10" a="1"/>
  <c r="CN1542" i="10" s="1"/>
  <c r="CM1542" i="10" a="1"/>
  <c r="CM1542" i="10" s="1"/>
  <c r="CL1542" i="10" a="1"/>
  <c r="CL1542" i="10" s="1"/>
  <c r="CK1542" i="10" a="1"/>
  <c r="CK1542" i="10" s="1"/>
  <c r="CJ1542" i="10" a="1"/>
  <c r="CJ1542" i="10" s="1"/>
  <c r="CI1542" i="10" a="1"/>
  <c r="CI1542" i="10" s="1"/>
  <c r="CH1542" i="10" a="1"/>
  <c r="CH1542" i="10" s="1"/>
  <c r="CG1542" i="10" a="1"/>
  <c r="CG1542" i="10" s="1"/>
  <c r="CF1542" i="10" a="1"/>
  <c r="CF1542" i="10" s="1"/>
  <c r="CE1542" i="10" a="1"/>
  <c r="CE1542" i="10" s="1"/>
  <c r="CD1542" i="10" a="1"/>
  <c r="CD1542" i="10" s="1"/>
  <c r="CC1542" i="10" a="1"/>
  <c r="CC1542" i="10" s="1"/>
  <c r="CB1542" i="10" a="1"/>
  <c r="CB1542" i="10" s="1"/>
  <c r="CA1542" i="10" a="1"/>
  <c r="CA1542" i="10" s="1"/>
  <c r="BZ1542" i="10" a="1"/>
  <c r="BZ1542" i="10" s="1"/>
  <c r="BY1542" i="10" a="1"/>
  <c r="BY1542" i="10" s="1"/>
  <c r="BX1542" i="10" a="1"/>
  <c r="BX1542" i="10" s="1"/>
  <c r="BW1542" i="10" a="1"/>
  <c r="BW1542" i="10" s="1"/>
  <c r="BV1542" i="10" a="1"/>
  <c r="BV1542" i="10" s="1"/>
  <c r="BU1542" i="10" a="1"/>
  <c r="BU1542" i="10" s="1"/>
  <c r="BT1542" i="10" a="1"/>
  <c r="BT1542" i="10" s="1"/>
  <c r="BS1542" i="10" a="1"/>
  <c r="BS1542" i="10" s="1"/>
  <c r="BR1542" i="10" a="1"/>
  <c r="BR1542" i="10" s="1"/>
  <c r="BQ1542" i="10" a="1"/>
  <c r="BQ1542" i="10" s="1"/>
  <c r="BP1542" i="10" a="1"/>
  <c r="BP1542" i="10" s="1"/>
  <c r="BO1542" i="10" a="1"/>
  <c r="BO1542" i="10" s="1"/>
  <c r="BN1542" i="10" a="1"/>
  <c r="BN1542" i="10" s="1"/>
  <c r="BM1542" i="10" a="1"/>
  <c r="BM1542" i="10" s="1"/>
  <c r="BL1542" i="10" a="1"/>
  <c r="BL1542" i="10" s="1"/>
  <c r="BK1542" i="10" a="1"/>
  <c r="BK1542" i="10" s="1"/>
  <c r="BJ1542" i="10" a="1"/>
  <c r="BJ1542" i="10" s="1"/>
  <c r="BI1542" i="10" a="1"/>
  <c r="BI1542" i="10" s="1"/>
  <c r="BH1542" i="10" a="1"/>
  <c r="BH1542" i="10" s="1"/>
  <c r="BG1542" i="10" a="1"/>
  <c r="BG1542" i="10" s="1"/>
  <c r="BF1542" i="10" a="1"/>
  <c r="BF1542" i="10" s="1"/>
  <c r="BE1542" i="10" a="1"/>
  <c r="BE1542" i="10" s="1"/>
  <c r="BD1542" i="10" a="1"/>
  <c r="BD1542" i="10" s="1"/>
  <c r="BC1542" i="10" a="1"/>
  <c r="BC1542" i="10" s="1"/>
  <c r="BB1542" i="10" a="1"/>
  <c r="BB1542" i="10" s="1"/>
  <c r="BA1542" i="10" a="1"/>
  <c r="BA1542" i="10" s="1"/>
  <c r="AZ1542" i="10" a="1"/>
  <c r="AZ1542" i="10" s="1"/>
  <c r="AY1542" i="10" a="1"/>
  <c r="AY1542" i="10" s="1"/>
  <c r="AX1542" i="10" a="1"/>
  <c r="AX1542" i="10" s="1"/>
  <c r="AW1542" i="10" a="1"/>
  <c r="AW1542" i="10" s="1"/>
  <c r="AV1542" i="10" a="1"/>
  <c r="AV1542" i="10" s="1"/>
  <c r="AU1542" i="10" a="1"/>
  <c r="AU1542" i="10" s="1"/>
  <c r="AT1542" i="10" a="1"/>
  <c r="AT1542" i="10" s="1"/>
  <c r="AS1542" i="10" a="1"/>
  <c r="AS1542" i="10" s="1"/>
  <c r="AR1542" i="10" a="1"/>
  <c r="AR1542" i="10" s="1"/>
  <c r="AQ1542" i="10" a="1"/>
  <c r="AQ1542" i="10" s="1"/>
  <c r="AP1542" i="10" a="1"/>
  <c r="AP1542" i="10" s="1"/>
  <c r="AO1542" i="10" a="1"/>
  <c r="AO1542" i="10" s="1"/>
  <c r="AN1542" i="10" a="1"/>
  <c r="AN1542" i="10" s="1"/>
  <c r="AM1542" i="10" a="1"/>
  <c r="AM1542" i="10" s="1"/>
  <c r="AL1542" i="10" a="1"/>
  <c r="AL1542" i="10" s="1"/>
  <c r="Q20" i="9" s="1"/>
  <c r="AK1542" i="10" a="1"/>
  <c r="AK1542" i="10" s="1"/>
  <c r="AJ1542" i="10" a="1"/>
  <c r="AJ1542" i="10" s="1"/>
  <c r="AI1542" i="10" a="1"/>
  <c r="AI1542" i="10" s="1"/>
  <c r="AH1542" i="10" a="1"/>
  <c r="AH1542" i="10" s="1"/>
  <c r="AG1542" i="10" a="1"/>
  <c r="AG1542" i="10" s="1"/>
  <c r="AF1542" i="10" a="1"/>
  <c r="AF1542" i="10" s="1"/>
  <c r="AE1542" i="10" a="1"/>
  <c r="AE1542" i="10" s="1"/>
  <c r="AD1542" i="10" a="1"/>
  <c r="AD1542" i="10" s="1"/>
  <c r="AC1542" i="10" a="1"/>
  <c r="AC1542" i="10" s="1"/>
  <c r="AB1542" i="10" a="1"/>
  <c r="AB1542" i="10" s="1"/>
  <c r="AA1542" i="10" a="1"/>
  <c r="AA1542" i="10" s="1"/>
  <c r="Z1542" i="10" a="1"/>
  <c r="Z1542" i="10" s="1"/>
  <c r="Y1542" i="10" a="1"/>
  <c r="Y1542" i="10" s="1"/>
  <c r="X1542" i="10" a="1"/>
  <c r="X1542" i="10" s="1"/>
  <c r="W1542" i="10" a="1"/>
  <c r="W1542" i="10" s="1"/>
  <c r="V1542" i="10" a="1"/>
  <c r="V1542" i="10" s="1"/>
  <c r="U1542" i="10" a="1"/>
  <c r="U1542" i="10" s="1"/>
  <c r="T1542" i="10" a="1"/>
  <c r="T1542" i="10" s="1"/>
  <c r="S1542" i="10" a="1"/>
  <c r="S1542" i="10" s="1"/>
  <c r="R1542" i="10" a="1"/>
  <c r="R1542" i="10" s="1"/>
  <c r="Q1542" i="10" a="1"/>
  <c r="Q1542" i="10" s="1"/>
  <c r="P1542" i="10" a="1"/>
  <c r="P1542" i="10" s="1"/>
  <c r="AGN1541" i="10" a="1"/>
  <c r="AGN1541" i="10" s="1"/>
  <c r="AGM1541" i="10" a="1"/>
  <c r="AGM1541" i="10" s="1"/>
  <c r="AGL1541" i="10" a="1"/>
  <c r="AGL1541" i="10" s="1"/>
  <c r="AGK1541" i="10" a="1"/>
  <c r="AGK1541" i="10" s="1"/>
  <c r="AGJ1541" i="10" a="1"/>
  <c r="AGJ1541" i="10" s="1"/>
  <c r="AGI1541" i="10" a="1"/>
  <c r="AGI1541" i="10" s="1"/>
  <c r="AGH1541" i="10" a="1"/>
  <c r="AGH1541" i="10" s="1"/>
  <c r="AGG1541" i="10" a="1"/>
  <c r="AGG1541" i="10" s="1"/>
  <c r="AGF1541" i="10" a="1"/>
  <c r="AGF1541" i="10" s="1"/>
  <c r="AGE1541" i="10" a="1"/>
  <c r="AGE1541" i="10" s="1"/>
  <c r="AGD1541" i="10" a="1"/>
  <c r="AGD1541" i="10" s="1"/>
  <c r="AGC1541" i="10" a="1"/>
  <c r="AGC1541" i="10" s="1"/>
  <c r="AGB1541" i="10" a="1"/>
  <c r="AGB1541" i="10" s="1"/>
  <c r="AGA1541" i="10" a="1"/>
  <c r="AGA1541" i="10" s="1"/>
  <c r="AFZ1541" i="10" a="1"/>
  <c r="AFZ1541" i="10" s="1"/>
  <c r="AFY1541" i="10" a="1"/>
  <c r="AFY1541" i="10" s="1"/>
  <c r="AFX1541" i="10" a="1"/>
  <c r="AFX1541" i="10" s="1"/>
  <c r="AFW1541" i="10" a="1"/>
  <c r="AFW1541" i="10" s="1"/>
  <c r="AFV1541" i="10" a="1"/>
  <c r="AFV1541" i="10" s="1"/>
  <c r="AFU1541" i="10" a="1"/>
  <c r="AFU1541" i="10" s="1"/>
  <c r="AFT1541" i="10" a="1"/>
  <c r="AFT1541" i="10" s="1"/>
  <c r="AFS1541" i="10" a="1"/>
  <c r="AFS1541" i="10" s="1"/>
  <c r="AFR1541" i="10" a="1"/>
  <c r="AFR1541" i="10" s="1"/>
  <c r="AFQ1541" i="10" a="1"/>
  <c r="AFQ1541" i="10" s="1"/>
  <c r="AFP1541" i="10" a="1"/>
  <c r="AFP1541" i="10" s="1"/>
  <c r="AFO1541" i="10" a="1"/>
  <c r="AFO1541" i="10" s="1"/>
  <c r="AFN1541" i="10" a="1"/>
  <c r="AFN1541" i="10" s="1"/>
  <c r="AFM1541" i="10" a="1"/>
  <c r="AFM1541" i="10" s="1"/>
  <c r="AFL1541" i="10" a="1"/>
  <c r="AFL1541" i="10" s="1"/>
  <c r="AFK1541" i="10" a="1"/>
  <c r="AFK1541" i="10" s="1"/>
  <c r="AFJ1541" i="10" a="1"/>
  <c r="AFJ1541" i="10" s="1"/>
  <c r="AFI1541" i="10" a="1"/>
  <c r="AFI1541" i="10" s="1"/>
  <c r="AFH1541" i="10" a="1"/>
  <c r="AFH1541" i="10" s="1"/>
  <c r="AFG1541" i="10" a="1"/>
  <c r="AFG1541" i="10" s="1"/>
  <c r="AFF1541" i="10" a="1"/>
  <c r="AFF1541" i="10" s="1"/>
  <c r="AFE1541" i="10" a="1"/>
  <c r="AFE1541" i="10" s="1"/>
  <c r="AFD1541" i="10" a="1"/>
  <c r="AFD1541" i="10" s="1"/>
  <c r="AFC1541" i="10" a="1"/>
  <c r="AFC1541" i="10" s="1"/>
  <c r="AFB1541" i="10" a="1"/>
  <c r="AFB1541" i="10" s="1"/>
  <c r="AFA1541" i="10" a="1"/>
  <c r="AFA1541" i="10" s="1"/>
  <c r="AEZ1541" i="10" a="1"/>
  <c r="AEZ1541" i="10" s="1"/>
  <c r="AEY1541" i="10" a="1"/>
  <c r="AEY1541" i="10" s="1"/>
  <c r="AEX1541" i="10" a="1"/>
  <c r="AEX1541" i="10" s="1"/>
  <c r="AEW1541" i="10" a="1"/>
  <c r="AEW1541" i="10" s="1"/>
  <c r="AEV1541" i="10" a="1"/>
  <c r="AEV1541" i="10" s="1"/>
  <c r="AEU1541" i="10" a="1"/>
  <c r="AEU1541" i="10" s="1"/>
  <c r="AET1541" i="10" a="1"/>
  <c r="AET1541" i="10" s="1"/>
  <c r="AES1541" i="10" a="1"/>
  <c r="AES1541" i="10" s="1"/>
  <c r="AER1541" i="10" a="1"/>
  <c r="AER1541" i="10" s="1"/>
  <c r="AEQ1541" i="10" a="1"/>
  <c r="AEQ1541" i="10" s="1"/>
  <c r="AEP1541" i="10" a="1"/>
  <c r="AEP1541" i="10" s="1"/>
  <c r="AEO1541" i="10" a="1"/>
  <c r="AEO1541" i="10" s="1"/>
  <c r="AEN1541" i="10" a="1"/>
  <c r="AEN1541" i="10" s="1"/>
  <c r="AEM1541" i="10" a="1"/>
  <c r="AEM1541" i="10" s="1"/>
  <c r="AEL1541" i="10" a="1"/>
  <c r="AEL1541" i="10" s="1"/>
  <c r="AEK1541" i="10" a="1"/>
  <c r="AEK1541" i="10" s="1"/>
  <c r="AEJ1541" i="10" a="1"/>
  <c r="AEJ1541" i="10" s="1"/>
  <c r="AEI1541" i="10" a="1"/>
  <c r="AEI1541" i="10" s="1"/>
  <c r="AEH1541" i="10" a="1"/>
  <c r="AEH1541" i="10" s="1"/>
  <c r="AEG1541" i="10" a="1"/>
  <c r="AEG1541" i="10" s="1"/>
  <c r="AEF1541" i="10" a="1"/>
  <c r="AEF1541" i="10" s="1"/>
  <c r="AEE1541" i="10" a="1"/>
  <c r="AEE1541" i="10" s="1"/>
  <c r="AED1541" i="10" a="1"/>
  <c r="AED1541" i="10" s="1"/>
  <c r="AEC1541" i="10" a="1"/>
  <c r="AEC1541" i="10" s="1"/>
  <c r="AEB1541" i="10" a="1"/>
  <c r="AEB1541" i="10" s="1"/>
  <c r="AEA1541" i="10" a="1"/>
  <c r="AEA1541" i="10" s="1"/>
  <c r="ADZ1541" i="10" a="1"/>
  <c r="ADZ1541" i="10" s="1"/>
  <c r="ADY1541" i="10" a="1"/>
  <c r="ADY1541" i="10" s="1"/>
  <c r="ADX1541" i="10" a="1"/>
  <c r="ADX1541" i="10" s="1"/>
  <c r="ADW1541" i="10" a="1"/>
  <c r="ADW1541" i="10" s="1"/>
  <c r="ADV1541" i="10" a="1"/>
  <c r="ADV1541" i="10" s="1"/>
  <c r="ADU1541" i="10" a="1"/>
  <c r="ADU1541" i="10" s="1"/>
  <c r="ADT1541" i="10" a="1"/>
  <c r="ADT1541" i="10" s="1"/>
  <c r="ADS1541" i="10" a="1"/>
  <c r="ADS1541" i="10" s="1"/>
  <c r="ADR1541" i="10" a="1"/>
  <c r="ADR1541" i="10" s="1"/>
  <c r="ADQ1541" i="10" a="1"/>
  <c r="ADQ1541" i="10" s="1"/>
  <c r="ADP1541" i="10" a="1"/>
  <c r="ADP1541" i="10" s="1"/>
  <c r="ADO1541" i="10" a="1"/>
  <c r="ADO1541" i="10" s="1"/>
  <c r="ADN1541" i="10" a="1"/>
  <c r="ADN1541" i="10" s="1"/>
  <c r="ADM1541" i="10" a="1"/>
  <c r="ADM1541" i="10" s="1"/>
  <c r="ADL1541" i="10" a="1"/>
  <c r="ADL1541" i="10" s="1"/>
  <c r="ADK1541" i="10" a="1"/>
  <c r="ADK1541" i="10" s="1"/>
  <c r="ADJ1541" i="10" a="1"/>
  <c r="ADJ1541" i="10" s="1"/>
  <c r="ADI1541" i="10" a="1"/>
  <c r="ADI1541" i="10" s="1"/>
  <c r="ADH1541" i="10" a="1"/>
  <c r="ADH1541" i="10" s="1"/>
  <c r="ADG1541" i="10" a="1"/>
  <c r="ADG1541" i="10" s="1"/>
  <c r="ADF1541" i="10" a="1"/>
  <c r="ADF1541" i="10" s="1"/>
  <c r="ADE1541" i="10" a="1"/>
  <c r="ADE1541" i="10" s="1"/>
  <c r="ADD1541" i="10" a="1"/>
  <c r="ADD1541" i="10" s="1"/>
  <c r="ADC1541" i="10" a="1"/>
  <c r="ADC1541" i="10" s="1"/>
  <c r="ADB1541" i="10" a="1"/>
  <c r="ADB1541" i="10" s="1"/>
  <c r="ADA1541" i="10" a="1"/>
  <c r="ADA1541" i="10" s="1"/>
  <c r="ACZ1541" i="10" a="1"/>
  <c r="ACZ1541" i="10" s="1"/>
  <c r="ACY1541" i="10" a="1"/>
  <c r="ACY1541" i="10" s="1"/>
  <c r="ACX1541" i="10" a="1"/>
  <c r="ACX1541" i="10" s="1"/>
  <c r="ACW1541" i="10" a="1"/>
  <c r="ACW1541" i="10" s="1"/>
  <c r="ACV1541" i="10" a="1"/>
  <c r="ACV1541" i="10" s="1"/>
  <c r="ACU1541" i="10" a="1"/>
  <c r="ACU1541" i="10" s="1"/>
  <c r="ACT1541" i="10" a="1"/>
  <c r="ACT1541" i="10" s="1"/>
  <c r="ACS1541" i="10" a="1"/>
  <c r="ACS1541" i="10" s="1"/>
  <c r="ACR1541" i="10" a="1"/>
  <c r="ACR1541" i="10" s="1"/>
  <c r="ACQ1541" i="10" a="1"/>
  <c r="ACQ1541" i="10" s="1"/>
  <c r="ACP1541" i="10" a="1"/>
  <c r="ACP1541" i="10" s="1"/>
  <c r="ACO1541" i="10" a="1"/>
  <c r="ACO1541" i="10" s="1"/>
  <c r="ACN1541" i="10" a="1"/>
  <c r="ACN1541" i="10" s="1"/>
  <c r="ACM1541" i="10" a="1"/>
  <c r="ACM1541" i="10" s="1"/>
  <c r="ACL1541" i="10" a="1"/>
  <c r="ACL1541" i="10" s="1"/>
  <c r="ACK1541" i="10" a="1"/>
  <c r="ACK1541" i="10" s="1"/>
  <c r="ACJ1541" i="10" a="1"/>
  <c r="ACJ1541" i="10" s="1"/>
  <c r="ACI1541" i="10" a="1"/>
  <c r="ACI1541" i="10" s="1"/>
  <c r="ACH1541" i="10" a="1"/>
  <c r="ACH1541" i="10" s="1"/>
  <c r="ACG1541" i="10" a="1"/>
  <c r="ACG1541" i="10" s="1"/>
  <c r="ACF1541" i="10" a="1"/>
  <c r="ACF1541" i="10" s="1"/>
  <c r="ACE1541" i="10" a="1"/>
  <c r="ACE1541" i="10" s="1"/>
  <c r="ACD1541" i="10" a="1"/>
  <c r="ACD1541" i="10" s="1"/>
  <c r="ACC1541" i="10" a="1"/>
  <c r="ACC1541" i="10" s="1"/>
  <c r="ACB1541" i="10" a="1"/>
  <c r="ACB1541" i="10" s="1"/>
  <c r="ACA1541" i="10" a="1"/>
  <c r="ACA1541" i="10" s="1"/>
  <c r="ABZ1541" i="10" a="1"/>
  <c r="ABZ1541" i="10" s="1"/>
  <c r="ABY1541" i="10" a="1"/>
  <c r="ABY1541" i="10" s="1"/>
  <c r="ABX1541" i="10" a="1"/>
  <c r="ABX1541" i="10" s="1"/>
  <c r="ABW1541" i="10" a="1"/>
  <c r="ABW1541" i="10" s="1"/>
  <c r="ABV1541" i="10" a="1"/>
  <c r="ABV1541" i="10" s="1"/>
  <c r="ABU1541" i="10" a="1"/>
  <c r="ABU1541" i="10" s="1"/>
  <c r="ABT1541" i="10" a="1"/>
  <c r="ABT1541" i="10" s="1"/>
  <c r="ABS1541" i="10" a="1"/>
  <c r="ABS1541" i="10" s="1"/>
  <c r="ABR1541" i="10" a="1"/>
  <c r="ABR1541" i="10" s="1"/>
  <c r="ABQ1541" i="10" a="1"/>
  <c r="ABQ1541" i="10" s="1"/>
  <c r="ABP1541" i="10" a="1"/>
  <c r="ABP1541" i="10" s="1"/>
  <c r="ABO1541" i="10" a="1"/>
  <c r="ABO1541" i="10" s="1"/>
  <c r="ABN1541" i="10" a="1"/>
  <c r="ABN1541" i="10" s="1"/>
  <c r="ABM1541" i="10" a="1"/>
  <c r="ABM1541" i="10" s="1"/>
  <c r="ABL1541" i="10" a="1"/>
  <c r="ABL1541" i="10" s="1"/>
  <c r="ABK1541" i="10" a="1"/>
  <c r="ABK1541" i="10" s="1"/>
  <c r="ABJ1541" i="10" a="1"/>
  <c r="ABJ1541" i="10" s="1"/>
  <c r="ABI1541" i="10" a="1"/>
  <c r="ABI1541" i="10" s="1"/>
  <c r="ABH1541" i="10" a="1"/>
  <c r="ABH1541" i="10" s="1"/>
  <c r="ABG1541" i="10" a="1"/>
  <c r="ABG1541" i="10" s="1"/>
  <c r="ABF1541" i="10" a="1"/>
  <c r="ABF1541" i="10" s="1"/>
  <c r="ABE1541" i="10" a="1"/>
  <c r="ABE1541" i="10" s="1"/>
  <c r="ABD1541" i="10" a="1"/>
  <c r="ABD1541" i="10" s="1"/>
  <c r="ABC1541" i="10" a="1"/>
  <c r="ABC1541" i="10" s="1"/>
  <c r="ABB1541" i="10" a="1"/>
  <c r="ABB1541" i="10" s="1"/>
  <c r="ABA1541" i="10" a="1"/>
  <c r="ABA1541" i="10" s="1"/>
  <c r="AAZ1541" i="10" a="1"/>
  <c r="AAZ1541" i="10" s="1"/>
  <c r="AAY1541" i="10" a="1"/>
  <c r="AAY1541" i="10" s="1"/>
  <c r="AAX1541" i="10" a="1"/>
  <c r="AAX1541" i="10" s="1"/>
  <c r="AAW1541" i="10" a="1"/>
  <c r="AAW1541" i="10" s="1"/>
  <c r="AAV1541" i="10" a="1"/>
  <c r="AAV1541" i="10" s="1"/>
  <c r="AAU1541" i="10" a="1"/>
  <c r="AAU1541" i="10" s="1"/>
  <c r="AAT1541" i="10" a="1"/>
  <c r="AAT1541" i="10" s="1"/>
  <c r="AAS1541" i="10" a="1"/>
  <c r="AAS1541" i="10" s="1"/>
  <c r="AAR1541" i="10" a="1"/>
  <c r="AAR1541" i="10" s="1"/>
  <c r="AAQ1541" i="10" a="1"/>
  <c r="AAQ1541" i="10" s="1"/>
  <c r="AAP1541" i="10" a="1"/>
  <c r="AAP1541" i="10" s="1"/>
  <c r="AAO1541" i="10" a="1"/>
  <c r="AAO1541" i="10" s="1"/>
  <c r="AAN1541" i="10" a="1"/>
  <c r="AAN1541" i="10" s="1"/>
  <c r="AAM1541" i="10" a="1"/>
  <c r="AAM1541" i="10" s="1"/>
  <c r="AAL1541" i="10" a="1"/>
  <c r="AAL1541" i="10" s="1"/>
  <c r="AAK1541" i="10" a="1"/>
  <c r="AAK1541" i="10" s="1"/>
  <c r="AAJ1541" i="10" a="1"/>
  <c r="AAJ1541" i="10" s="1"/>
  <c r="AAI1541" i="10" a="1"/>
  <c r="AAI1541" i="10" s="1"/>
  <c r="AAH1541" i="10" a="1"/>
  <c r="AAH1541" i="10" s="1"/>
  <c r="AAG1541" i="10" a="1"/>
  <c r="AAG1541" i="10" s="1"/>
  <c r="AAF1541" i="10" a="1"/>
  <c r="AAF1541" i="10" s="1"/>
  <c r="AAE1541" i="10" a="1"/>
  <c r="AAE1541" i="10" s="1"/>
  <c r="AAD1541" i="10" a="1"/>
  <c r="AAD1541" i="10" s="1"/>
  <c r="AAC1541" i="10" a="1"/>
  <c r="AAC1541" i="10" s="1"/>
  <c r="AAB1541" i="10" a="1"/>
  <c r="AAB1541" i="10" s="1"/>
  <c r="AAA1541" i="10" a="1"/>
  <c r="AAA1541" i="10" s="1"/>
  <c r="ZZ1541" i="10" a="1"/>
  <c r="ZZ1541" i="10" s="1"/>
  <c r="ZY1541" i="10" a="1"/>
  <c r="ZY1541" i="10" s="1"/>
  <c r="ZX1541" i="10" a="1"/>
  <c r="ZX1541" i="10" s="1"/>
  <c r="ZW1541" i="10" a="1"/>
  <c r="ZW1541" i="10" s="1"/>
  <c r="ZV1541" i="10" a="1"/>
  <c r="ZV1541" i="10" s="1"/>
  <c r="ZU1541" i="10" a="1"/>
  <c r="ZU1541" i="10" s="1"/>
  <c r="ZT1541" i="10" a="1"/>
  <c r="ZT1541" i="10" s="1"/>
  <c r="ZS1541" i="10" a="1"/>
  <c r="ZS1541" i="10" s="1"/>
  <c r="ZR1541" i="10" a="1"/>
  <c r="ZR1541" i="10" s="1"/>
  <c r="ZQ1541" i="10" a="1"/>
  <c r="ZQ1541" i="10" s="1"/>
  <c r="ZP1541" i="10" a="1"/>
  <c r="ZP1541" i="10" s="1"/>
  <c r="ZO1541" i="10" a="1"/>
  <c r="ZO1541" i="10" s="1"/>
  <c r="ZN1541" i="10" a="1"/>
  <c r="ZN1541" i="10" s="1"/>
  <c r="ZM1541" i="10" a="1"/>
  <c r="ZM1541" i="10" s="1"/>
  <c r="ZL1541" i="10" a="1"/>
  <c r="ZL1541" i="10" s="1"/>
  <c r="ZK1541" i="10" a="1"/>
  <c r="ZK1541" i="10" s="1"/>
  <c r="ZJ1541" i="10" a="1"/>
  <c r="ZJ1541" i="10" s="1"/>
  <c r="ZI1541" i="10" a="1"/>
  <c r="ZI1541" i="10" s="1"/>
  <c r="ZH1541" i="10" a="1"/>
  <c r="ZH1541" i="10" s="1"/>
  <c r="ZG1541" i="10" a="1"/>
  <c r="ZG1541" i="10" s="1"/>
  <c r="ZF1541" i="10" a="1"/>
  <c r="ZF1541" i="10" s="1"/>
  <c r="ZE1541" i="10" a="1"/>
  <c r="ZE1541" i="10" s="1"/>
  <c r="ZD1541" i="10" a="1"/>
  <c r="ZD1541" i="10" s="1"/>
  <c r="ZC1541" i="10" a="1"/>
  <c r="ZC1541" i="10" s="1"/>
  <c r="ZB1541" i="10" a="1"/>
  <c r="ZB1541" i="10" s="1"/>
  <c r="ZA1541" i="10" a="1"/>
  <c r="ZA1541" i="10" s="1"/>
  <c r="YZ1541" i="10" a="1"/>
  <c r="YZ1541" i="10" s="1"/>
  <c r="YY1541" i="10" a="1"/>
  <c r="YY1541" i="10" s="1"/>
  <c r="YX1541" i="10" a="1"/>
  <c r="YX1541" i="10" s="1"/>
  <c r="YW1541" i="10" a="1"/>
  <c r="YW1541" i="10" s="1"/>
  <c r="YV1541" i="10" a="1"/>
  <c r="YV1541" i="10" s="1"/>
  <c r="YU1541" i="10" a="1"/>
  <c r="YU1541" i="10" s="1"/>
  <c r="YT1541" i="10" a="1"/>
  <c r="YT1541" i="10" s="1"/>
  <c r="YS1541" i="10" a="1"/>
  <c r="YS1541" i="10" s="1"/>
  <c r="YR1541" i="10" a="1"/>
  <c r="YR1541" i="10" s="1"/>
  <c r="YQ1541" i="10" a="1"/>
  <c r="YQ1541" i="10" s="1"/>
  <c r="YP1541" i="10" a="1"/>
  <c r="YP1541" i="10" s="1"/>
  <c r="YO1541" i="10" a="1"/>
  <c r="YO1541" i="10" s="1"/>
  <c r="YN1541" i="10" a="1"/>
  <c r="YN1541" i="10" s="1"/>
  <c r="YM1541" i="10" a="1"/>
  <c r="YM1541" i="10" s="1"/>
  <c r="YL1541" i="10" a="1"/>
  <c r="YL1541" i="10" s="1"/>
  <c r="YK1541" i="10" a="1"/>
  <c r="YK1541" i="10" s="1"/>
  <c r="YJ1541" i="10" a="1"/>
  <c r="YJ1541" i="10" s="1"/>
  <c r="YI1541" i="10" a="1"/>
  <c r="YI1541" i="10" s="1"/>
  <c r="YH1541" i="10" a="1"/>
  <c r="YH1541" i="10" s="1"/>
  <c r="YG1541" i="10" a="1"/>
  <c r="YG1541" i="10" s="1"/>
  <c r="YF1541" i="10" a="1"/>
  <c r="YF1541" i="10" s="1"/>
  <c r="YE1541" i="10" a="1"/>
  <c r="YE1541" i="10" s="1"/>
  <c r="YD1541" i="10" a="1"/>
  <c r="YD1541" i="10" s="1"/>
  <c r="YC1541" i="10" a="1"/>
  <c r="YC1541" i="10" s="1"/>
  <c r="YB1541" i="10" a="1"/>
  <c r="YB1541" i="10" s="1"/>
  <c r="YA1541" i="10" a="1"/>
  <c r="YA1541" i="10" s="1"/>
  <c r="XZ1541" i="10" a="1"/>
  <c r="XZ1541" i="10" s="1"/>
  <c r="XY1541" i="10" a="1"/>
  <c r="XY1541" i="10" s="1"/>
  <c r="XX1541" i="10" a="1"/>
  <c r="XX1541" i="10" s="1"/>
  <c r="XW1541" i="10" a="1"/>
  <c r="XW1541" i="10" s="1"/>
  <c r="XV1541" i="10" a="1"/>
  <c r="XV1541" i="10" s="1"/>
  <c r="XU1541" i="10" a="1"/>
  <c r="XU1541" i="10" s="1"/>
  <c r="XT1541" i="10" a="1"/>
  <c r="XT1541" i="10" s="1"/>
  <c r="XS1541" i="10" a="1"/>
  <c r="XS1541" i="10" s="1"/>
  <c r="XR1541" i="10" a="1"/>
  <c r="XR1541" i="10" s="1"/>
  <c r="XQ1541" i="10" a="1"/>
  <c r="XQ1541" i="10" s="1"/>
  <c r="XP1541" i="10" a="1"/>
  <c r="XP1541" i="10" s="1"/>
  <c r="XO1541" i="10" a="1"/>
  <c r="XO1541" i="10" s="1"/>
  <c r="XN1541" i="10" a="1"/>
  <c r="XN1541" i="10" s="1"/>
  <c r="XM1541" i="10" a="1"/>
  <c r="XM1541" i="10" s="1"/>
  <c r="XL1541" i="10" a="1"/>
  <c r="XL1541" i="10" s="1"/>
  <c r="XK1541" i="10" a="1"/>
  <c r="XK1541" i="10" s="1"/>
  <c r="XJ1541" i="10" a="1"/>
  <c r="XJ1541" i="10" s="1"/>
  <c r="XI1541" i="10" a="1"/>
  <c r="XI1541" i="10" s="1"/>
  <c r="XH1541" i="10" a="1"/>
  <c r="XH1541" i="10" s="1"/>
  <c r="XG1541" i="10" a="1"/>
  <c r="XG1541" i="10" s="1"/>
  <c r="XF1541" i="10" a="1"/>
  <c r="XF1541" i="10" s="1"/>
  <c r="XE1541" i="10" a="1"/>
  <c r="XE1541" i="10" s="1"/>
  <c r="XD1541" i="10" a="1"/>
  <c r="XD1541" i="10" s="1"/>
  <c r="XC1541" i="10" a="1"/>
  <c r="XC1541" i="10" s="1"/>
  <c r="XB1541" i="10" a="1"/>
  <c r="XB1541" i="10" s="1"/>
  <c r="XA1541" i="10" a="1"/>
  <c r="XA1541" i="10" s="1"/>
  <c r="WZ1541" i="10" a="1"/>
  <c r="WZ1541" i="10" s="1"/>
  <c r="WY1541" i="10" a="1"/>
  <c r="WY1541" i="10" s="1"/>
  <c r="WX1541" i="10" a="1"/>
  <c r="WX1541" i="10" s="1"/>
  <c r="WW1541" i="10" a="1"/>
  <c r="WW1541" i="10" s="1"/>
  <c r="WV1541" i="10" a="1"/>
  <c r="WV1541" i="10" s="1"/>
  <c r="WU1541" i="10" a="1"/>
  <c r="WU1541" i="10" s="1"/>
  <c r="WT1541" i="10" a="1"/>
  <c r="WT1541" i="10" s="1"/>
  <c r="WS1541" i="10" a="1"/>
  <c r="WS1541" i="10" s="1"/>
  <c r="WR1541" i="10" a="1"/>
  <c r="WR1541" i="10" s="1"/>
  <c r="WQ1541" i="10" a="1"/>
  <c r="WQ1541" i="10" s="1"/>
  <c r="WP1541" i="10" a="1"/>
  <c r="WP1541" i="10" s="1"/>
  <c r="WO1541" i="10" a="1"/>
  <c r="WO1541" i="10" s="1"/>
  <c r="WN1541" i="10" a="1"/>
  <c r="WN1541" i="10" s="1"/>
  <c r="WM1541" i="10" a="1"/>
  <c r="WM1541" i="10" s="1"/>
  <c r="WL1541" i="10" a="1"/>
  <c r="WL1541" i="10" s="1"/>
  <c r="WK1541" i="10" a="1"/>
  <c r="WK1541" i="10" s="1"/>
  <c r="WJ1541" i="10" a="1"/>
  <c r="WJ1541" i="10" s="1"/>
  <c r="WI1541" i="10" a="1"/>
  <c r="WI1541" i="10" s="1"/>
  <c r="WH1541" i="10" a="1"/>
  <c r="WH1541" i="10" s="1"/>
  <c r="WG1541" i="10" a="1"/>
  <c r="WG1541" i="10" s="1"/>
  <c r="WF1541" i="10" a="1"/>
  <c r="WF1541" i="10" s="1"/>
  <c r="WE1541" i="10" a="1"/>
  <c r="WE1541" i="10" s="1"/>
  <c r="WD1541" i="10" a="1"/>
  <c r="WD1541" i="10" s="1"/>
  <c r="WC1541" i="10" a="1"/>
  <c r="WC1541" i="10" s="1"/>
  <c r="WB1541" i="10" a="1"/>
  <c r="WB1541" i="10" s="1"/>
  <c r="WA1541" i="10" a="1"/>
  <c r="WA1541" i="10" s="1"/>
  <c r="VZ1541" i="10" a="1"/>
  <c r="VZ1541" i="10" s="1"/>
  <c r="VY1541" i="10" a="1"/>
  <c r="VY1541" i="10" s="1"/>
  <c r="VX1541" i="10" a="1"/>
  <c r="VX1541" i="10" s="1"/>
  <c r="VW1541" i="10" a="1"/>
  <c r="VW1541" i="10" s="1"/>
  <c r="VV1541" i="10" a="1"/>
  <c r="VV1541" i="10" s="1"/>
  <c r="VU1541" i="10" a="1"/>
  <c r="VU1541" i="10" s="1"/>
  <c r="VT1541" i="10" a="1"/>
  <c r="VT1541" i="10" s="1"/>
  <c r="VS1541" i="10" a="1"/>
  <c r="VS1541" i="10" s="1"/>
  <c r="VR1541" i="10" a="1"/>
  <c r="VR1541" i="10" s="1"/>
  <c r="VQ1541" i="10" a="1"/>
  <c r="VQ1541" i="10" s="1"/>
  <c r="VP1541" i="10" a="1"/>
  <c r="VP1541" i="10" s="1"/>
  <c r="VO1541" i="10" a="1"/>
  <c r="VO1541" i="10" s="1"/>
  <c r="VN1541" i="10" a="1"/>
  <c r="VN1541" i="10" s="1"/>
  <c r="VM1541" i="10" a="1"/>
  <c r="VM1541" i="10" s="1"/>
  <c r="VL1541" i="10" a="1"/>
  <c r="VL1541" i="10" s="1"/>
  <c r="VK1541" i="10" a="1"/>
  <c r="VK1541" i="10" s="1"/>
  <c r="VJ1541" i="10" a="1"/>
  <c r="VJ1541" i="10" s="1"/>
  <c r="VI1541" i="10" a="1"/>
  <c r="VI1541" i="10" s="1"/>
  <c r="VH1541" i="10" a="1"/>
  <c r="VH1541" i="10" s="1"/>
  <c r="VG1541" i="10" a="1"/>
  <c r="VG1541" i="10" s="1"/>
  <c r="VF1541" i="10" a="1"/>
  <c r="VF1541" i="10" s="1"/>
  <c r="VE1541" i="10" a="1"/>
  <c r="VE1541" i="10" s="1"/>
  <c r="VD1541" i="10" a="1"/>
  <c r="VD1541" i="10" s="1"/>
  <c r="VC1541" i="10" a="1"/>
  <c r="VC1541" i="10" s="1"/>
  <c r="VB1541" i="10" a="1"/>
  <c r="VB1541" i="10" s="1"/>
  <c r="VA1541" i="10" a="1"/>
  <c r="VA1541" i="10" s="1"/>
  <c r="UZ1541" i="10" a="1"/>
  <c r="UZ1541" i="10" s="1"/>
  <c r="UY1541" i="10" a="1"/>
  <c r="UY1541" i="10" s="1"/>
  <c r="UX1541" i="10" a="1"/>
  <c r="UX1541" i="10" s="1"/>
  <c r="UW1541" i="10" a="1"/>
  <c r="UW1541" i="10" s="1"/>
  <c r="UV1541" i="10" a="1"/>
  <c r="UV1541" i="10" s="1"/>
  <c r="UU1541" i="10" a="1"/>
  <c r="UU1541" i="10" s="1"/>
  <c r="UT1541" i="10" a="1"/>
  <c r="UT1541" i="10" s="1"/>
  <c r="US1541" i="10" a="1"/>
  <c r="US1541" i="10" s="1"/>
  <c r="UR1541" i="10" a="1"/>
  <c r="UR1541" i="10" s="1"/>
  <c r="UQ1541" i="10" a="1"/>
  <c r="UQ1541" i="10" s="1"/>
  <c r="UP1541" i="10" a="1"/>
  <c r="UP1541" i="10" s="1"/>
  <c r="UO1541" i="10" a="1"/>
  <c r="UO1541" i="10" s="1"/>
  <c r="UN1541" i="10" a="1"/>
  <c r="UN1541" i="10" s="1"/>
  <c r="UM1541" i="10" a="1"/>
  <c r="UM1541" i="10" s="1"/>
  <c r="UL1541" i="10" a="1"/>
  <c r="UL1541" i="10" s="1"/>
  <c r="UK1541" i="10" a="1"/>
  <c r="UK1541" i="10" s="1"/>
  <c r="UJ1541" i="10" a="1"/>
  <c r="UJ1541" i="10" s="1"/>
  <c r="UI1541" i="10" a="1"/>
  <c r="UI1541" i="10" s="1"/>
  <c r="UH1541" i="10" a="1"/>
  <c r="UH1541" i="10" s="1"/>
  <c r="UG1541" i="10" a="1"/>
  <c r="UG1541" i="10" s="1"/>
  <c r="UF1541" i="10" a="1"/>
  <c r="UF1541" i="10" s="1"/>
  <c r="UE1541" i="10" a="1"/>
  <c r="UE1541" i="10" s="1"/>
  <c r="UD1541" i="10" a="1"/>
  <c r="UD1541" i="10" s="1"/>
  <c r="UC1541" i="10" a="1"/>
  <c r="UC1541" i="10" s="1"/>
  <c r="UB1541" i="10" a="1"/>
  <c r="UB1541" i="10" s="1"/>
  <c r="UA1541" i="10" a="1"/>
  <c r="UA1541" i="10" s="1"/>
  <c r="TZ1541" i="10" a="1"/>
  <c r="TZ1541" i="10" s="1"/>
  <c r="TY1541" i="10" a="1"/>
  <c r="TY1541" i="10" s="1"/>
  <c r="TX1541" i="10" a="1"/>
  <c r="TX1541" i="10" s="1"/>
  <c r="TW1541" i="10" a="1"/>
  <c r="TW1541" i="10" s="1"/>
  <c r="TV1541" i="10" a="1"/>
  <c r="TV1541" i="10" s="1"/>
  <c r="TU1541" i="10" a="1"/>
  <c r="TU1541" i="10" s="1"/>
  <c r="TT1541" i="10" a="1"/>
  <c r="TT1541" i="10" s="1"/>
  <c r="TS1541" i="10" a="1"/>
  <c r="TS1541" i="10" s="1"/>
  <c r="TR1541" i="10" a="1"/>
  <c r="TR1541" i="10" s="1"/>
  <c r="TQ1541" i="10" a="1"/>
  <c r="TQ1541" i="10" s="1"/>
  <c r="TP1541" i="10" a="1"/>
  <c r="TP1541" i="10" s="1"/>
  <c r="TO1541" i="10" a="1"/>
  <c r="TO1541" i="10" s="1"/>
  <c r="TN1541" i="10" a="1"/>
  <c r="TN1541" i="10" s="1"/>
  <c r="TM1541" i="10" a="1"/>
  <c r="TM1541" i="10" s="1"/>
  <c r="TL1541" i="10" a="1"/>
  <c r="TL1541" i="10" s="1"/>
  <c r="TK1541" i="10" a="1"/>
  <c r="TK1541" i="10" s="1"/>
  <c r="TJ1541" i="10" a="1"/>
  <c r="TJ1541" i="10" s="1"/>
  <c r="TI1541" i="10" a="1"/>
  <c r="TI1541" i="10" s="1"/>
  <c r="TH1541" i="10" a="1"/>
  <c r="TH1541" i="10" s="1"/>
  <c r="TG1541" i="10" a="1"/>
  <c r="TG1541" i="10" s="1"/>
  <c r="TF1541" i="10" a="1"/>
  <c r="TF1541" i="10" s="1"/>
  <c r="TE1541" i="10" a="1"/>
  <c r="TE1541" i="10" s="1"/>
  <c r="TD1541" i="10" a="1"/>
  <c r="TD1541" i="10" s="1"/>
  <c r="TC1541" i="10" a="1"/>
  <c r="TC1541" i="10" s="1"/>
  <c r="TB1541" i="10" a="1"/>
  <c r="TB1541" i="10" s="1"/>
  <c r="TA1541" i="10" a="1"/>
  <c r="TA1541" i="10" s="1"/>
  <c r="SZ1541" i="10" a="1"/>
  <c r="SZ1541" i="10" s="1"/>
  <c r="SY1541" i="10" a="1"/>
  <c r="SY1541" i="10" s="1"/>
  <c r="SX1541" i="10" a="1"/>
  <c r="SX1541" i="10" s="1"/>
  <c r="SW1541" i="10" a="1"/>
  <c r="SW1541" i="10" s="1"/>
  <c r="SV1541" i="10" a="1"/>
  <c r="SV1541" i="10" s="1"/>
  <c r="SU1541" i="10" a="1"/>
  <c r="SU1541" i="10" s="1"/>
  <c r="ST1541" i="10" a="1"/>
  <c r="ST1541" i="10" s="1"/>
  <c r="SS1541" i="10" a="1"/>
  <c r="SS1541" i="10" s="1"/>
  <c r="SR1541" i="10" a="1"/>
  <c r="SR1541" i="10" s="1"/>
  <c r="SQ1541" i="10" a="1"/>
  <c r="SQ1541" i="10" s="1"/>
  <c r="SP1541" i="10" a="1"/>
  <c r="SP1541" i="10" s="1"/>
  <c r="SO1541" i="10" a="1"/>
  <c r="SO1541" i="10" s="1"/>
  <c r="SN1541" i="10" a="1"/>
  <c r="SN1541" i="10" s="1"/>
  <c r="SM1541" i="10" a="1"/>
  <c r="SM1541" i="10" s="1"/>
  <c r="SL1541" i="10" a="1"/>
  <c r="SL1541" i="10" s="1"/>
  <c r="SK1541" i="10" a="1"/>
  <c r="SK1541" i="10" s="1"/>
  <c r="SJ1541" i="10" a="1"/>
  <c r="SJ1541" i="10" s="1"/>
  <c r="SI1541" i="10" a="1"/>
  <c r="SI1541" i="10" s="1"/>
  <c r="SH1541" i="10" a="1"/>
  <c r="SH1541" i="10" s="1"/>
  <c r="SG1541" i="10" a="1"/>
  <c r="SG1541" i="10" s="1"/>
  <c r="SF1541" i="10" a="1"/>
  <c r="SF1541" i="10" s="1"/>
  <c r="SE1541" i="10" a="1"/>
  <c r="SE1541" i="10" s="1"/>
  <c r="SD1541" i="10" a="1"/>
  <c r="SD1541" i="10" s="1"/>
  <c r="SC1541" i="10" a="1"/>
  <c r="SC1541" i="10" s="1"/>
  <c r="SB1541" i="10" a="1"/>
  <c r="SB1541" i="10" s="1"/>
  <c r="SA1541" i="10" a="1"/>
  <c r="SA1541" i="10" s="1"/>
  <c r="RZ1541" i="10" a="1"/>
  <c r="RZ1541" i="10" s="1"/>
  <c r="RY1541" i="10" a="1"/>
  <c r="RY1541" i="10" s="1"/>
  <c r="RX1541" i="10" a="1"/>
  <c r="RX1541" i="10" s="1"/>
  <c r="RW1541" i="10" a="1"/>
  <c r="RW1541" i="10" s="1"/>
  <c r="RV1541" i="10" a="1"/>
  <c r="RV1541" i="10" s="1"/>
  <c r="RU1541" i="10" a="1"/>
  <c r="RU1541" i="10" s="1"/>
  <c r="RT1541" i="10" a="1"/>
  <c r="RT1541" i="10" s="1"/>
  <c r="RS1541" i="10" a="1"/>
  <c r="RS1541" i="10" s="1"/>
  <c r="RR1541" i="10" a="1"/>
  <c r="RR1541" i="10" s="1"/>
  <c r="RQ1541" i="10" a="1"/>
  <c r="RQ1541" i="10" s="1"/>
  <c r="RP1541" i="10" a="1"/>
  <c r="RP1541" i="10" s="1"/>
  <c r="RO1541" i="10" a="1"/>
  <c r="RO1541" i="10" s="1"/>
  <c r="RN1541" i="10" a="1"/>
  <c r="RN1541" i="10" s="1"/>
  <c r="RM1541" i="10" a="1"/>
  <c r="RM1541" i="10" s="1"/>
  <c r="RL1541" i="10" a="1"/>
  <c r="RL1541" i="10" s="1"/>
  <c r="RK1541" i="10" a="1"/>
  <c r="RK1541" i="10" s="1"/>
  <c r="RJ1541" i="10" a="1"/>
  <c r="RJ1541" i="10" s="1"/>
  <c r="RI1541" i="10" a="1"/>
  <c r="RI1541" i="10" s="1"/>
  <c r="RH1541" i="10" a="1"/>
  <c r="RH1541" i="10" s="1"/>
  <c r="RG1541" i="10" a="1"/>
  <c r="RG1541" i="10" s="1"/>
  <c r="RF1541" i="10" a="1"/>
  <c r="RF1541" i="10" s="1"/>
  <c r="RE1541" i="10" a="1"/>
  <c r="RE1541" i="10" s="1"/>
  <c r="RD1541" i="10" a="1"/>
  <c r="RD1541" i="10" s="1"/>
  <c r="RC1541" i="10" a="1"/>
  <c r="RC1541" i="10" s="1"/>
  <c r="RB1541" i="10" a="1"/>
  <c r="RB1541" i="10" s="1"/>
  <c r="RA1541" i="10" a="1"/>
  <c r="RA1541" i="10" s="1"/>
  <c r="QZ1541" i="10" a="1"/>
  <c r="QZ1541" i="10" s="1"/>
  <c r="QY1541" i="10" a="1"/>
  <c r="QY1541" i="10" s="1"/>
  <c r="QX1541" i="10" a="1"/>
  <c r="QX1541" i="10" s="1"/>
  <c r="QW1541" i="10" a="1"/>
  <c r="QW1541" i="10" s="1"/>
  <c r="QV1541" i="10" a="1"/>
  <c r="QV1541" i="10" s="1"/>
  <c r="QU1541" i="10" a="1"/>
  <c r="QU1541" i="10" s="1"/>
  <c r="QT1541" i="10" a="1"/>
  <c r="QT1541" i="10" s="1"/>
  <c r="QS1541" i="10" a="1"/>
  <c r="QS1541" i="10" s="1"/>
  <c r="QR1541" i="10" a="1"/>
  <c r="QR1541" i="10" s="1"/>
  <c r="QQ1541" i="10" a="1"/>
  <c r="QQ1541" i="10" s="1"/>
  <c r="QP1541" i="10" a="1"/>
  <c r="QP1541" i="10" s="1"/>
  <c r="QO1541" i="10" a="1"/>
  <c r="QO1541" i="10" s="1"/>
  <c r="QN1541" i="10" a="1"/>
  <c r="QN1541" i="10" s="1"/>
  <c r="QM1541" i="10" a="1"/>
  <c r="QM1541" i="10" s="1"/>
  <c r="QL1541" i="10" a="1"/>
  <c r="QL1541" i="10" s="1"/>
  <c r="QK1541" i="10" a="1"/>
  <c r="QK1541" i="10" s="1"/>
  <c r="QJ1541" i="10" a="1"/>
  <c r="QJ1541" i="10" s="1"/>
  <c r="QI1541" i="10" a="1"/>
  <c r="QI1541" i="10" s="1"/>
  <c r="QH1541" i="10" a="1"/>
  <c r="QH1541" i="10" s="1"/>
  <c r="QG1541" i="10" a="1"/>
  <c r="QG1541" i="10" s="1"/>
  <c r="QF1541" i="10" a="1"/>
  <c r="QF1541" i="10" s="1"/>
  <c r="QE1541" i="10" a="1"/>
  <c r="QE1541" i="10" s="1"/>
  <c r="QD1541" i="10" a="1"/>
  <c r="QD1541" i="10" s="1"/>
  <c r="QC1541" i="10" a="1"/>
  <c r="QC1541" i="10" s="1"/>
  <c r="QB1541" i="10" a="1"/>
  <c r="QB1541" i="10" s="1"/>
  <c r="QA1541" i="10" a="1"/>
  <c r="QA1541" i="10" s="1"/>
  <c r="PZ1541" i="10" a="1"/>
  <c r="PZ1541" i="10" s="1"/>
  <c r="PY1541" i="10" a="1"/>
  <c r="PY1541" i="10" s="1"/>
  <c r="PX1541" i="10" a="1"/>
  <c r="PX1541" i="10" s="1"/>
  <c r="PW1541" i="10" a="1"/>
  <c r="PW1541" i="10" s="1"/>
  <c r="PV1541" i="10" a="1"/>
  <c r="PV1541" i="10" s="1"/>
  <c r="PU1541" i="10" a="1"/>
  <c r="PU1541" i="10" s="1"/>
  <c r="PT1541" i="10" a="1"/>
  <c r="PT1541" i="10" s="1"/>
  <c r="PS1541" i="10" a="1"/>
  <c r="PS1541" i="10" s="1"/>
  <c r="PR1541" i="10" a="1"/>
  <c r="PR1541" i="10" s="1"/>
  <c r="PQ1541" i="10" a="1"/>
  <c r="PQ1541" i="10" s="1"/>
  <c r="PP1541" i="10" a="1"/>
  <c r="PP1541" i="10" s="1"/>
  <c r="PO1541" i="10" a="1"/>
  <c r="PO1541" i="10" s="1"/>
  <c r="PN1541" i="10" a="1"/>
  <c r="PN1541" i="10" s="1"/>
  <c r="PM1541" i="10" a="1"/>
  <c r="PM1541" i="10" s="1"/>
  <c r="PL1541" i="10" a="1"/>
  <c r="PL1541" i="10" s="1"/>
  <c r="PK1541" i="10" a="1"/>
  <c r="PK1541" i="10" s="1"/>
  <c r="PJ1541" i="10" a="1"/>
  <c r="PJ1541" i="10" s="1"/>
  <c r="PI1541" i="10" a="1"/>
  <c r="PI1541" i="10" s="1"/>
  <c r="PH1541" i="10" a="1"/>
  <c r="PH1541" i="10" s="1"/>
  <c r="PG1541" i="10" a="1"/>
  <c r="PG1541" i="10" s="1"/>
  <c r="PF1541" i="10" a="1"/>
  <c r="PF1541" i="10" s="1"/>
  <c r="PE1541" i="10" a="1"/>
  <c r="PE1541" i="10" s="1"/>
  <c r="PD1541" i="10" a="1"/>
  <c r="PD1541" i="10" s="1"/>
  <c r="PC1541" i="10" a="1"/>
  <c r="PC1541" i="10" s="1"/>
  <c r="PB1541" i="10" a="1"/>
  <c r="PB1541" i="10" s="1"/>
  <c r="PA1541" i="10" a="1"/>
  <c r="PA1541" i="10" s="1"/>
  <c r="OZ1541" i="10" a="1"/>
  <c r="OZ1541" i="10" s="1"/>
  <c r="OY1541" i="10" a="1"/>
  <c r="OY1541" i="10" s="1"/>
  <c r="OX1541" i="10" a="1"/>
  <c r="OX1541" i="10" s="1"/>
  <c r="OW1541" i="10" a="1"/>
  <c r="OW1541" i="10" s="1"/>
  <c r="OV1541" i="10" a="1"/>
  <c r="OV1541" i="10" s="1"/>
  <c r="OU1541" i="10" a="1"/>
  <c r="OU1541" i="10" s="1"/>
  <c r="OT1541" i="10" a="1"/>
  <c r="OT1541" i="10" s="1"/>
  <c r="OS1541" i="10" a="1"/>
  <c r="OS1541" i="10" s="1"/>
  <c r="OR1541" i="10" a="1"/>
  <c r="OR1541" i="10" s="1"/>
  <c r="OQ1541" i="10" a="1"/>
  <c r="OQ1541" i="10" s="1"/>
  <c r="OP1541" i="10" a="1"/>
  <c r="OP1541" i="10" s="1"/>
  <c r="OO1541" i="10" a="1"/>
  <c r="OO1541" i="10" s="1"/>
  <c r="ON1541" i="10" a="1"/>
  <c r="ON1541" i="10" s="1"/>
  <c r="OM1541" i="10" a="1"/>
  <c r="OM1541" i="10" s="1"/>
  <c r="OL1541" i="10" a="1"/>
  <c r="OL1541" i="10" s="1"/>
  <c r="OK1541" i="10" a="1"/>
  <c r="OK1541" i="10" s="1"/>
  <c r="OJ1541" i="10" a="1"/>
  <c r="OJ1541" i="10" s="1"/>
  <c r="OI1541" i="10" a="1"/>
  <c r="OI1541" i="10" s="1"/>
  <c r="OH1541" i="10" a="1"/>
  <c r="OH1541" i="10" s="1"/>
  <c r="OG1541" i="10" a="1"/>
  <c r="OG1541" i="10" s="1"/>
  <c r="OF1541" i="10" a="1"/>
  <c r="OF1541" i="10" s="1"/>
  <c r="OE1541" i="10" a="1"/>
  <c r="OE1541" i="10" s="1"/>
  <c r="OD1541" i="10" a="1"/>
  <c r="OD1541" i="10" s="1"/>
  <c r="OC1541" i="10" a="1"/>
  <c r="OC1541" i="10" s="1"/>
  <c r="OB1541" i="10" a="1"/>
  <c r="OB1541" i="10" s="1"/>
  <c r="OA1541" i="10" a="1"/>
  <c r="OA1541" i="10" s="1"/>
  <c r="NZ1541" i="10" a="1"/>
  <c r="NZ1541" i="10" s="1"/>
  <c r="NY1541" i="10" a="1"/>
  <c r="NY1541" i="10" s="1"/>
  <c r="NX1541" i="10" a="1"/>
  <c r="NX1541" i="10" s="1"/>
  <c r="NW1541" i="10" a="1"/>
  <c r="NW1541" i="10" s="1"/>
  <c r="NV1541" i="10" a="1"/>
  <c r="NV1541" i="10" s="1"/>
  <c r="NU1541" i="10" a="1"/>
  <c r="NU1541" i="10" s="1"/>
  <c r="NT1541" i="10" a="1"/>
  <c r="NT1541" i="10" s="1"/>
  <c r="NS1541" i="10" a="1"/>
  <c r="NS1541" i="10" s="1"/>
  <c r="NR1541" i="10" a="1"/>
  <c r="NR1541" i="10" s="1"/>
  <c r="NQ1541" i="10" a="1"/>
  <c r="NQ1541" i="10" s="1"/>
  <c r="NP1541" i="10" a="1"/>
  <c r="NP1541" i="10" s="1"/>
  <c r="NO1541" i="10" a="1"/>
  <c r="NO1541" i="10" s="1"/>
  <c r="NN1541" i="10" a="1"/>
  <c r="NN1541" i="10" s="1"/>
  <c r="NM1541" i="10" a="1"/>
  <c r="NM1541" i="10" s="1"/>
  <c r="NL1541" i="10" a="1"/>
  <c r="NL1541" i="10" s="1"/>
  <c r="NK1541" i="10" a="1"/>
  <c r="NK1541" i="10" s="1"/>
  <c r="NJ1541" i="10" a="1"/>
  <c r="NJ1541" i="10" s="1"/>
  <c r="NI1541" i="10" a="1"/>
  <c r="NI1541" i="10" s="1"/>
  <c r="NH1541" i="10" a="1"/>
  <c r="NH1541" i="10" s="1"/>
  <c r="NG1541" i="10" a="1"/>
  <c r="NG1541" i="10" s="1"/>
  <c r="NF1541" i="10" a="1"/>
  <c r="NF1541" i="10" s="1"/>
  <c r="NE1541" i="10" a="1"/>
  <c r="NE1541" i="10" s="1"/>
  <c r="ND1541" i="10" a="1"/>
  <c r="ND1541" i="10" s="1"/>
  <c r="NC1541" i="10" a="1"/>
  <c r="NC1541" i="10" s="1"/>
  <c r="NB1541" i="10" a="1"/>
  <c r="NB1541" i="10" s="1"/>
  <c r="NA1541" i="10" a="1"/>
  <c r="NA1541" i="10" s="1"/>
  <c r="MZ1541" i="10" a="1"/>
  <c r="MZ1541" i="10" s="1"/>
  <c r="MY1541" i="10" a="1"/>
  <c r="MY1541" i="10" s="1"/>
  <c r="MX1541" i="10" a="1"/>
  <c r="MX1541" i="10" s="1"/>
  <c r="MW1541" i="10" a="1"/>
  <c r="MW1541" i="10" s="1"/>
  <c r="MV1541" i="10" a="1"/>
  <c r="MV1541" i="10" s="1"/>
  <c r="MU1541" i="10" a="1"/>
  <c r="MU1541" i="10" s="1"/>
  <c r="MT1541" i="10" a="1"/>
  <c r="MT1541" i="10" s="1"/>
  <c r="MS1541" i="10" a="1"/>
  <c r="MS1541" i="10" s="1"/>
  <c r="MR1541" i="10" a="1"/>
  <c r="MR1541" i="10" s="1"/>
  <c r="MQ1541" i="10" a="1"/>
  <c r="MQ1541" i="10" s="1"/>
  <c r="MP1541" i="10" a="1"/>
  <c r="MP1541" i="10" s="1"/>
  <c r="MO1541" i="10" a="1"/>
  <c r="MO1541" i="10" s="1"/>
  <c r="MN1541" i="10" a="1"/>
  <c r="MN1541" i="10" s="1"/>
  <c r="MM1541" i="10" a="1"/>
  <c r="MM1541" i="10" s="1"/>
  <c r="ML1541" i="10" a="1"/>
  <c r="ML1541" i="10" s="1"/>
  <c r="MK1541" i="10" a="1"/>
  <c r="MK1541" i="10" s="1"/>
  <c r="MJ1541" i="10" a="1"/>
  <c r="MJ1541" i="10" s="1"/>
  <c r="MI1541" i="10" a="1"/>
  <c r="MI1541" i="10" s="1"/>
  <c r="MH1541" i="10" a="1"/>
  <c r="MH1541" i="10" s="1"/>
  <c r="MG1541" i="10" a="1"/>
  <c r="MG1541" i="10" s="1"/>
  <c r="MF1541" i="10" a="1"/>
  <c r="MF1541" i="10" s="1"/>
  <c r="ME1541" i="10" a="1"/>
  <c r="ME1541" i="10" s="1"/>
  <c r="MD1541" i="10" a="1"/>
  <c r="MD1541" i="10" s="1"/>
  <c r="MC1541" i="10" a="1"/>
  <c r="MC1541" i="10" s="1"/>
  <c r="MB1541" i="10" a="1"/>
  <c r="MB1541" i="10" s="1"/>
  <c r="MA1541" i="10" a="1"/>
  <c r="MA1541" i="10" s="1"/>
  <c r="LZ1541" i="10" a="1"/>
  <c r="LZ1541" i="10" s="1"/>
  <c r="LY1541" i="10" a="1"/>
  <c r="LY1541" i="10" s="1"/>
  <c r="LX1541" i="10" a="1"/>
  <c r="LX1541" i="10" s="1"/>
  <c r="LW1541" i="10" a="1"/>
  <c r="LW1541" i="10" s="1"/>
  <c r="LV1541" i="10" a="1"/>
  <c r="LV1541" i="10" s="1"/>
  <c r="LU1541" i="10" a="1"/>
  <c r="LU1541" i="10" s="1"/>
  <c r="LT1541" i="10" a="1"/>
  <c r="LT1541" i="10" s="1"/>
  <c r="LS1541" i="10" a="1"/>
  <c r="LS1541" i="10" s="1"/>
  <c r="LR1541" i="10" a="1"/>
  <c r="LR1541" i="10" s="1"/>
  <c r="LQ1541" i="10" a="1"/>
  <c r="LQ1541" i="10" s="1"/>
  <c r="LP1541" i="10" a="1"/>
  <c r="LP1541" i="10" s="1"/>
  <c r="LO1541" i="10" a="1"/>
  <c r="LO1541" i="10" s="1"/>
  <c r="LN1541" i="10" a="1"/>
  <c r="LN1541" i="10" s="1"/>
  <c r="LM1541" i="10" a="1"/>
  <c r="LM1541" i="10" s="1"/>
  <c r="LL1541" i="10" a="1"/>
  <c r="LL1541" i="10" s="1"/>
  <c r="LK1541" i="10" a="1"/>
  <c r="LK1541" i="10" s="1"/>
  <c r="LJ1541" i="10" a="1"/>
  <c r="LJ1541" i="10" s="1"/>
  <c r="LI1541" i="10" a="1"/>
  <c r="LI1541" i="10" s="1"/>
  <c r="LH1541" i="10" a="1"/>
  <c r="LH1541" i="10" s="1"/>
  <c r="LG1541" i="10" a="1"/>
  <c r="LG1541" i="10" s="1"/>
  <c r="LF1541" i="10" a="1"/>
  <c r="LF1541" i="10" s="1"/>
  <c r="LE1541" i="10" a="1"/>
  <c r="LE1541" i="10" s="1"/>
  <c r="LD1541" i="10" a="1"/>
  <c r="LD1541" i="10" s="1"/>
  <c r="LC1541" i="10" a="1"/>
  <c r="LC1541" i="10" s="1"/>
  <c r="LB1541" i="10" a="1"/>
  <c r="LB1541" i="10" s="1"/>
  <c r="LA1541" i="10" a="1"/>
  <c r="LA1541" i="10" s="1"/>
  <c r="KZ1541" i="10" a="1"/>
  <c r="KZ1541" i="10" s="1"/>
  <c r="KY1541" i="10" a="1"/>
  <c r="KY1541" i="10" s="1"/>
  <c r="KX1541" i="10" a="1"/>
  <c r="KX1541" i="10" s="1"/>
  <c r="KW1541" i="10" a="1"/>
  <c r="KW1541" i="10" s="1"/>
  <c r="KV1541" i="10" a="1"/>
  <c r="KV1541" i="10" s="1"/>
  <c r="KU1541" i="10" a="1"/>
  <c r="KU1541" i="10" s="1"/>
  <c r="KT1541" i="10" a="1"/>
  <c r="KT1541" i="10" s="1"/>
  <c r="KS1541" i="10" a="1"/>
  <c r="KS1541" i="10" s="1"/>
  <c r="KR1541" i="10" a="1"/>
  <c r="KR1541" i="10" s="1"/>
  <c r="KQ1541" i="10" a="1"/>
  <c r="KQ1541" i="10" s="1"/>
  <c r="KP1541" i="10" a="1"/>
  <c r="KP1541" i="10" s="1"/>
  <c r="KO1541" i="10" a="1"/>
  <c r="KO1541" i="10" s="1"/>
  <c r="KN1541" i="10" a="1"/>
  <c r="KN1541" i="10" s="1"/>
  <c r="KM1541" i="10" a="1"/>
  <c r="KM1541" i="10" s="1"/>
  <c r="KL1541" i="10" a="1"/>
  <c r="KL1541" i="10" s="1"/>
  <c r="KK1541" i="10" a="1"/>
  <c r="KK1541" i="10" s="1"/>
  <c r="KJ1541" i="10" a="1"/>
  <c r="KJ1541" i="10" s="1"/>
  <c r="KI1541" i="10" a="1"/>
  <c r="KI1541" i="10" s="1"/>
  <c r="KH1541" i="10" a="1"/>
  <c r="KH1541" i="10" s="1"/>
  <c r="KG1541" i="10" a="1"/>
  <c r="KG1541" i="10" s="1"/>
  <c r="KF1541" i="10" a="1"/>
  <c r="KF1541" i="10" s="1"/>
  <c r="KE1541" i="10" a="1"/>
  <c r="KE1541" i="10" s="1"/>
  <c r="KD1541" i="10" a="1"/>
  <c r="KD1541" i="10" s="1"/>
  <c r="KC1541" i="10" a="1"/>
  <c r="KC1541" i="10" s="1"/>
  <c r="KB1541" i="10" a="1"/>
  <c r="KB1541" i="10" s="1"/>
  <c r="KA1541" i="10" a="1"/>
  <c r="KA1541" i="10" s="1"/>
  <c r="JZ1541" i="10" a="1"/>
  <c r="JZ1541" i="10" s="1"/>
  <c r="JY1541" i="10" a="1"/>
  <c r="JY1541" i="10" s="1"/>
  <c r="JX1541" i="10" a="1"/>
  <c r="JX1541" i="10" s="1"/>
  <c r="JW1541" i="10" a="1"/>
  <c r="JW1541" i="10" s="1"/>
  <c r="JV1541" i="10" a="1"/>
  <c r="JV1541" i="10" s="1"/>
  <c r="JU1541" i="10" a="1"/>
  <c r="JU1541" i="10" s="1"/>
  <c r="JT1541" i="10" a="1"/>
  <c r="JT1541" i="10" s="1"/>
  <c r="JS1541" i="10" a="1"/>
  <c r="JS1541" i="10" s="1"/>
  <c r="JR1541" i="10" a="1"/>
  <c r="JR1541" i="10" s="1"/>
  <c r="JQ1541" i="10" a="1"/>
  <c r="JQ1541" i="10" s="1"/>
  <c r="JP1541" i="10" a="1"/>
  <c r="JP1541" i="10" s="1"/>
  <c r="JO1541" i="10" a="1"/>
  <c r="JO1541" i="10" s="1"/>
  <c r="JN1541" i="10" a="1"/>
  <c r="JN1541" i="10" s="1"/>
  <c r="JM1541" i="10" a="1"/>
  <c r="JM1541" i="10" s="1"/>
  <c r="JL1541" i="10" a="1"/>
  <c r="JL1541" i="10" s="1"/>
  <c r="JK1541" i="10" a="1"/>
  <c r="JK1541" i="10" s="1"/>
  <c r="JJ1541" i="10" a="1"/>
  <c r="JJ1541" i="10" s="1"/>
  <c r="JI1541" i="10" a="1"/>
  <c r="JI1541" i="10" s="1"/>
  <c r="JH1541" i="10" a="1"/>
  <c r="JH1541" i="10" s="1"/>
  <c r="JG1541" i="10" a="1"/>
  <c r="JG1541" i="10" s="1"/>
  <c r="JF1541" i="10" a="1"/>
  <c r="JF1541" i="10" s="1"/>
  <c r="JE1541" i="10" a="1"/>
  <c r="JE1541" i="10" s="1"/>
  <c r="JD1541" i="10" a="1"/>
  <c r="JD1541" i="10" s="1"/>
  <c r="JC1541" i="10" a="1"/>
  <c r="JC1541" i="10" s="1"/>
  <c r="JB1541" i="10" a="1"/>
  <c r="JB1541" i="10" s="1"/>
  <c r="JA1541" i="10" a="1"/>
  <c r="JA1541" i="10" s="1"/>
  <c r="IZ1541" i="10" a="1"/>
  <c r="IZ1541" i="10" s="1"/>
  <c r="IY1541" i="10" a="1"/>
  <c r="IY1541" i="10" s="1"/>
  <c r="IX1541" i="10" a="1"/>
  <c r="IX1541" i="10" s="1"/>
  <c r="IW1541" i="10" a="1"/>
  <c r="IW1541" i="10" s="1"/>
  <c r="IV1541" i="10" a="1"/>
  <c r="IV1541" i="10" s="1"/>
  <c r="IU1541" i="10" a="1"/>
  <c r="IU1541" i="10" s="1"/>
  <c r="IT1541" i="10" a="1"/>
  <c r="IT1541" i="10" s="1"/>
  <c r="IS1541" i="10" a="1"/>
  <c r="IS1541" i="10" s="1"/>
  <c r="IR1541" i="10" a="1"/>
  <c r="IR1541" i="10" s="1"/>
  <c r="IQ1541" i="10" a="1"/>
  <c r="IQ1541" i="10" s="1"/>
  <c r="IP1541" i="10" a="1"/>
  <c r="IP1541" i="10" s="1"/>
  <c r="IO1541" i="10" a="1"/>
  <c r="IO1541" i="10" s="1"/>
  <c r="IN1541" i="10" a="1"/>
  <c r="IN1541" i="10" s="1"/>
  <c r="IM1541" i="10" a="1"/>
  <c r="IM1541" i="10" s="1"/>
  <c r="IL1541" i="10" a="1"/>
  <c r="IL1541" i="10" s="1"/>
  <c r="IK1541" i="10" a="1"/>
  <c r="IK1541" i="10" s="1"/>
  <c r="IJ1541" i="10" a="1"/>
  <c r="IJ1541" i="10" s="1"/>
  <c r="II1541" i="10" a="1"/>
  <c r="II1541" i="10" s="1"/>
  <c r="IH1541" i="10" a="1"/>
  <c r="IH1541" i="10" s="1"/>
  <c r="IG1541" i="10" a="1"/>
  <c r="IG1541" i="10" s="1"/>
  <c r="IF1541" i="10" a="1"/>
  <c r="IF1541" i="10" s="1"/>
  <c r="IE1541" i="10" a="1"/>
  <c r="IE1541" i="10" s="1"/>
  <c r="ID1541" i="10" a="1"/>
  <c r="ID1541" i="10" s="1"/>
  <c r="IC1541" i="10" a="1"/>
  <c r="IC1541" i="10" s="1"/>
  <c r="IB1541" i="10" a="1"/>
  <c r="IB1541" i="10" s="1"/>
  <c r="IA1541" i="10" a="1"/>
  <c r="IA1541" i="10" s="1"/>
  <c r="HZ1541" i="10" a="1"/>
  <c r="HZ1541" i="10" s="1"/>
  <c r="HY1541" i="10" a="1"/>
  <c r="HY1541" i="10" s="1"/>
  <c r="HX1541" i="10" a="1"/>
  <c r="HX1541" i="10" s="1"/>
  <c r="HW1541" i="10" a="1"/>
  <c r="HW1541" i="10" s="1"/>
  <c r="HV1541" i="10" a="1"/>
  <c r="HV1541" i="10" s="1"/>
  <c r="HU1541" i="10" a="1"/>
  <c r="HU1541" i="10" s="1"/>
  <c r="HT1541" i="10" a="1"/>
  <c r="HT1541" i="10" s="1"/>
  <c r="HS1541" i="10" a="1"/>
  <c r="HS1541" i="10" s="1"/>
  <c r="HR1541" i="10" a="1"/>
  <c r="HR1541" i="10" s="1"/>
  <c r="HQ1541" i="10" a="1"/>
  <c r="HQ1541" i="10" s="1"/>
  <c r="HP1541" i="10" a="1"/>
  <c r="HP1541" i="10" s="1"/>
  <c r="HO1541" i="10" a="1"/>
  <c r="HO1541" i="10" s="1"/>
  <c r="HN1541" i="10" a="1"/>
  <c r="HN1541" i="10" s="1"/>
  <c r="HM1541" i="10" a="1"/>
  <c r="HM1541" i="10" s="1"/>
  <c r="HL1541" i="10" a="1"/>
  <c r="HL1541" i="10" s="1"/>
  <c r="HK1541" i="10" a="1"/>
  <c r="HK1541" i="10" s="1"/>
  <c r="HJ1541" i="10" a="1"/>
  <c r="HJ1541" i="10" s="1"/>
  <c r="HI1541" i="10" a="1"/>
  <c r="HI1541" i="10" s="1"/>
  <c r="HH1541" i="10" a="1"/>
  <c r="HH1541" i="10" s="1"/>
  <c r="HG1541" i="10" a="1"/>
  <c r="HG1541" i="10" s="1"/>
  <c r="HF1541" i="10" a="1"/>
  <c r="HF1541" i="10" s="1"/>
  <c r="HE1541" i="10" a="1"/>
  <c r="HE1541" i="10" s="1"/>
  <c r="HD1541" i="10" a="1"/>
  <c r="HD1541" i="10" s="1"/>
  <c r="HC1541" i="10" a="1"/>
  <c r="HC1541" i="10" s="1"/>
  <c r="HB1541" i="10" a="1"/>
  <c r="HB1541" i="10" s="1"/>
  <c r="HA1541" i="10" a="1"/>
  <c r="HA1541" i="10" s="1"/>
  <c r="GZ1541" i="10" a="1"/>
  <c r="GZ1541" i="10" s="1"/>
  <c r="GY1541" i="10" a="1"/>
  <c r="GY1541" i="10" s="1"/>
  <c r="GX1541" i="10" a="1"/>
  <c r="GX1541" i="10" s="1"/>
  <c r="GW1541" i="10" a="1"/>
  <c r="GW1541" i="10" s="1"/>
  <c r="GV1541" i="10" a="1"/>
  <c r="GV1541" i="10" s="1"/>
  <c r="GU1541" i="10" a="1"/>
  <c r="GU1541" i="10" s="1"/>
  <c r="GT1541" i="10" a="1"/>
  <c r="GT1541" i="10" s="1"/>
  <c r="GS1541" i="10" a="1"/>
  <c r="GS1541" i="10" s="1"/>
  <c r="GR1541" i="10" a="1"/>
  <c r="GR1541" i="10" s="1"/>
  <c r="GQ1541" i="10" a="1"/>
  <c r="GQ1541" i="10" s="1"/>
  <c r="GP1541" i="10" a="1"/>
  <c r="GP1541" i="10" s="1"/>
  <c r="GO1541" i="10" a="1"/>
  <c r="GO1541" i="10" s="1"/>
  <c r="GN1541" i="10" a="1"/>
  <c r="GN1541" i="10" s="1"/>
  <c r="GM1541" i="10" a="1"/>
  <c r="GM1541" i="10" s="1"/>
  <c r="GL1541" i="10" a="1"/>
  <c r="GL1541" i="10" s="1"/>
  <c r="GK1541" i="10" a="1"/>
  <c r="GK1541" i="10" s="1"/>
  <c r="GJ1541" i="10" a="1"/>
  <c r="GJ1541" i="10" s="1"/>
  <c r="GI1541" i="10" a="1"/>
  <c r="GI1541" i="10" s="1"/>
  <c r="GH1541" i="10" a="1"/>
  <c r="GH1541" i="10" s="1"/>
  <c r="GG1541" i="10" a="1"/>
  <c r="GG1541" i="10" s="1"/>
  <c r="GF1541" i="10" a="1"/>
  <c r="GF1541" i="10" s="1"/>
  <c r="GE1541" i="10" a="1"/>
  <c r="GE1541" i="10" s="1"/>
  <c r="GD1541" i="10" a="1"/>
  <c r="GD1541" i="10" s="1"/>
  <c r="GC1541" i="10" a="1"/>
  <c r="GC1541" i="10" s="1"/>
  <c r="GB1541" i="10" a="1"/>
  <c r="GB1541" i="10" s="1"/>
  <c r="GA1541" i="10" a="1"/>
  <c r="GA1541" i="10" s="1"/>
  <c r="FZ1541" i="10" a="1"/>
  <c r="FZ1541" i="10" s="1"/>
  <c r="FY1541" i="10" a="1"/>
  <c r="FY1541" i="10" s="1"/>
  <c r="FX1541" i="10" a="1"/>
  <c r="FX1541" i="10" s="1"/>
  <c r="FW1541" i="10" a="1"/>
  <c r="FW1541" i="10" s="1"/>
  <c r="FV1541" i="10" a="1"/>
  <c r="FV1541" i="10" s="1"/>
  <c r="FU1541" i="10" a="1"/>
  <c r="FU1541" i="10" s="1"/>
  <c r="FT1541" i="10" a="1"/>
  <c r="FT1541" i="10" s="1"/>
  <c r="FS1541" i="10" a="1"/>
  <c r="FS1541" i="10" s="1"/>
  <c r="FR1541" i="10" a="1"/>
  <c r="FR1541" i="10" s="1"/>
  <c r="FQ1541" i="10" a="1"/>
  <c r="FQ1541" i="10" s="1"/>
  <c r="FP1541" i="10" a="1"/>
  <c r="FP1541" i="10" s="1"/>
  <c r="FO1541" i="10" a="1"/>
  <c r="FO1541" i="10" s="1"/>
  <c r="FN1541" i="10" a="1"/>
  <c r="FN1541" i="10" s="1"/>
  <c r="FM1541" i="10" a="1"/>
  <c r="FM1541" i="10" s="1"/>
  <c r="FL1541" i="10" a="1"/>
  <c r="FL1541" i="10" s="1"/>
  <c r="FK1541" i="10" a="1"/>
  <c r="FK1541" i="10" s="1"/>
  <c r="FJ1541" i="10" a="1"/>
  <c r="FJ1541" i="10" s="1"/>
  <c r="FI1541" i="10" a="1"/>
  <c r="FI1541" i="10" s="1"/>
  <c r="FH1541" i="10" a="1"/>
  <c r="FH1541" i="10" s="1"/>
  <c r="FG1541" i="10" a="1"/>
  <c r="FG1541" i="10" s="1"/>
  <c r="FF1541" i="10" a="1"/>
  <c r="FF1541" i="10" s="1"/>
  <c r="FE1541" i="10" a="1"/>
  <c r="FE1541" i="10" s="1"/>
  <c r="FD1541" i="10" a="1"/>
  <c r="FD1541" i="10" s="1"/>
  <c r="FC1541" i="10" a="1"/>
  <c r="FC1541" i="10" s="1"/>
  <c r="FB1541" i="10" a="1"/>
  <c r="FB1541" i="10" s="1"/>
  <c r="FA1541" i="10" a="1"/>
  <c r="FA1541" i="10" s="1"/>
  <c r="EZ1541" i="10" a="1"/>
  <c r="EZ1541" i="10" s="1"/>
  <c r="EY1541" i="10" a="1"/>
  <c r="EY1541" i="10" s="1"/>
  <c r="EX1541" i="10" a="1"/>
  <c r="EX1541" i="10" s="1"/>
  <c r="EW1541" i="10" a="1"/>
  <c r="EW1541" i="10" s="1"/>
  <c r="EV1541" i="10" a="1"/>
  <c r="EV1541" i="10" s="1"/>
  <c r="EU1541" i="10" a="1"/>
  <c r="EU1541" i="10" s="1"/>
  <c r="ET1541" i="10" a="1"/>
  <c r="ET1541" i="10" s="1"/>
  <c r="ES1541" i="10" a="1"/>
  <c r="ES1541" i="10" s="1"/>
  <c r="ER1541" i="10" a="1"/>
  <c r="ER1541" i="10" s="1"/>
  <c r="EQ1541" i="10" a="1"/>
  <c r="EQ1541" i="10" s="1"/>
  <c r="EP1541" i="10" a="1"/>
  <c r="EP1541" i="10" s="1"/>
  <c r="EO1541" i="10" a="1"/>
  <c r="EO1541" i="10" s="1"/>
  <c r="EN1541" i="10" a="1"/>
  <c r="EN1541" i="10" s="1"/>
  <c r="EM1541" i="10" a="1"/>
  <c r="EM1541" i="10" s="1"/>
  <c r="EL1541" i="10" a="1"/>
  <c r="EL1541" i="10" s="1"/>
  <c r="EK1541" i="10" a="1"/>
  <c r="EK1541" i="10" s="1"/>
  <c r="EJ1541" i="10" a="1"/>
  <c r="EJ1541" i="10" s="1"/>
  <c r="EI1541" i="10" a="1"/>
  <c r="EI1541" i="10" s="1"/>
  <c r="EH1541" i="10" a="1"/>
  <c r="EH1541" i="10" s="1"/>
  <c r="EG1541" i="10" a="1"/>
  <c r="EG1541" i="10" s="1"/>
  <c r="EF1541" i="10" a="1"/>
  <c r="EF1541" i="10" s="1"/>
  <c r="EE1541" i="10" a="1"/>
  <c r="EE1541" i="10" s="1"/>
  <c r="ED1541" i="10" a="1"/>
  <c r="ED1541" i="10" s="1"/>
  <c r="EC1541" i="10" a="1"/>
  <c r="EC1541" i="10" s="1"/>
  <c r="EB1541" i="10" a="1"/>
  <c r="EB1541" i="10" s="1"/>
  <c r="EA1541" i="10" a="1"/>
  <c r="EA1541" i="10" s="1"/>
  <c r="DZ1541" i="10" a="1"/>
  <c r="DZ1541" i="10" s="1"/>
  <c r="DY1541" i="10" a="1"/>
  <c r="DY1541" i="10" s="1"/>
  <c r="DX1541" i="10" a="1"/>
  <c r="DX1541" i="10" s="1"/>
  <c r="DW1541" i="10" a="1"/>
  <c r="DW1541" i="10" s="1"/>
  <c r="DV1541" i="10" a="1"/>
  <c r="DV1541" i="10" s="1"/>
  <c r="DU1541" i="10" a="1"/>
  <c r="DU1541" i="10" s="1"/>
  <c r="DT1541" i="10" a="1"/>
  <c r="DT1541" i="10" s="1"/>
  <c r="DS1541" i="10" a="1"/>
  <c r="DS1541" i="10" s="1"/>
  <c r="DR1541" i="10" a="1"/>
  <c r="DR1541" i="10" s="1"/>
  <c r="DQ1541" i="10" a="1"/>
  <c r="DQ1541" i="10" s="1"/>
  <c r="DP1541" i="10" a="1"/>
  <c r="DP1541" i="10" s="1"/>
  <c r="DO1541" i="10" a="1"/>
  <c r="DO1541" i="10" s="1"/>
  <c r="DN1541" i="10" a="1"/>
  <c r="DN1541" i="10" s="1"/>
  <c r="DM1541" i="10" a="1"/>
  <c r="DM1541" i="10" s="1"/>
  <c r="DL1541" i="10" a="1"/>
  <c r="DL1541" i="10" s="1"/>
  <c r="DK1541" i="10" a="1"/>
  <c r="DK1541" i="10" s="1"/>
  <c r="DJ1541" i="10" a="1"/>
  <c r="DJ1541" i="10" s="1"/>
  <c r="DI1541" i="10" a="1"/>
  <c r="DI1541" i="10" s="1"/>
  <c r="DH1541" i="10" a="1"/>
  <c r="DH1541" i="10" s="1"/>
  <c r="DG1541" i="10" a="1"/>
  <c r="DG1541" i="10" s="1"/>
  <c r="DF1541" i="10" a="1"/>
  <c r="DF1541" i="10" s="1"/>
  <c r="DE1541" i="10" a="1"/>
  <c r="DE1541" i="10" s="1"/>
  <c r="DD1541" i="10" a="1"/>
  <c r="DD1541" i="10" s="1"/>
  <c r="DC1541" i="10" a="1"/>
  <c r="DC1541" i="10" s="1"/>
  <c r="DB1541" i="10" a="1"/>
  <c r="DB1541" i="10" s="1"/>
  <c r="DA1541" i="10" a="1"/>
  <c r="DA1541" i="10" s="1"/>
  <c r="CZ1541" i="10" a="1"/>
  <c r="CZ1541" i="10" s="1"/>
  <c r="CY1541" i="10" a="1"/>
  <c r="CY1541" i="10" s="1"/>
  <c r="CX1541" i="10" a="1"/>
  <c r="CX1541" i="10" s="1"/>
  <c r="CW1541" i="10" a="1"/>
  <c r="CW1541" i="10" s="1"/>
  <c r="CV1541" i="10" a="1"/>
  <c r="CV1541" i="10" s="1"/>
  <c r="CU1541" i="10" a="1"/>
  <c r="CU1541" i="10" s="1"/>
  <c r="CT1541" i="10" a="1"/>
  <c r="CT1541" i="10" s="1"/>
  <c r="CS1541" i="10" a="1"/>
  <c r="CS1541" i="10" s="1"/>
  <c r="CR1541" i="10" a="1"/>
  <c r="CR1541" i="10" s="1"/>
  <c r="CQ1541" i="10" a="1"/>
  <c r="CQ1541" i="10" s="1"/>
  <c r="CP1541" i="10" a="1"/>
  <c r="CP1541" i="10" s="1"/>
  <c r="CO1541" i="10" a="1"/>
  <c r="CO1541" i="10" s="1"/>
  <c r="CN1541" i="10" a="1"/>
  <c r="CN1541" i="10" s="1"/>
  <c r="CM1541" i="10" a="1"/>
  <c r="CM1541" i="10" s="1"/>
  <c r="CL1541" i="10" a="1"/>
  <c r="CL1541" i="10" s="1"/>
  <c r="CK1541" i="10" a="1"/>
  <c r="CK1541" i="10" s="1"/>
  <c r="CJ1541" i="10" a="1"/>
  <c r="CJ1541" i="10" s="1"/>
  <c r="CI1541" i="10" a="1"/>
  <c r="CI1541" i="10" s="1"/>
  <c r="CH1541" i="10" a="1"/>
  <c r="CH1541" i="10" s="1"/>
  <c r="CG1541" i="10" a="1"/>
  <c r="CG1541" i="10" s="1"/>
  <c r="CF1541" i="10" a="1"/>
  <c r="CF1541" i="10" s="1"/>
  <c r="CE1541" i="10" a="1"/>
  <c r="CE1541" i="10" s="1"/>
  <c r="CD1541" i="10" a="1"/>
  <c r="CD1541" i="10" s="1"/>
  <c r="CC1541" i="10" a="1"/>
  <c r="CC1541" i="10" s="1"/>
  <c r="CB1541" i="10" a="1"/>
  <c r="CB1541" i="10" s="1"/>
  <c r="CA1541" i="10" a="1"/>
  <c r="CA1541" i="10" s="1"/>
  <c r="BZ1541" i="10" a="1"/>
  <c r="BZ1541" i="10" s="1"/>
  <c r="BY1541" i="10" a="1"/>
  <c r="BY1541" i="10" s="1"/>
  <c r="BX1541" i="10" a="1"/>
  <c r="BX1541" i="10" s="1"/>
  <c r="BW1541" i="10" a="1"/>
  <c r="BW1541" i="10" s="1"/>
  <c r="BV1541" i="10" a="1"/>
  <c r="BV1541" i="10" s="1"/>
  <c r="BU1541" i="10" a="1"/>
  <c r="BU1541" i="10" s="1"/>
  <c r="BT1541" i="10" a="1"/>
  <c r="BT1541" i="10" s="1"/>
  <c r="BS1541" i="10" a="1"/>
  <c r="BS1541" i="10" s="1"/>
  <c r="BR1541" i="10" a="1"/>
  <c r="BR1541" i="10" s="1"/>
  <c r="BQ1541" i="10" a="1"/>
  <c r="BQ1541" i="10" s="1"/>
  <c r="BP1541" i="10" a="1"/>
  <c r="BP1541" i="10" s="1"/>
  <c r="BO1541" i="10" a="1"/>
  <c r="BO1541" i="10" s="1"/>
  <c r="BN1541" i="10" a="1"/>
  <c r="BN1541" i="10" s="1"/>
  <c r="BM1541" i="10" a="1"/>
  <c r="BM1541" i="10" s="1"/>
  <c r="BL1541" i="10" a="1"/>
  <c r="BL1541" i="10" s="1"/>
  <c r="BK1541" i="10" a="1"/>
  <c r="BK1541" i="10" s="1"/>
  <c r="BJ1541" i="10" a="1"/>
  <c r="BJ1541" i="10" s="1"/>
  <c r="BI1541" i="10" a="1"/>
  <c r="BI1541" i="10" s="1"/>
  <c r="BH1541" i="10" a="1"/>
  <c r="BH1541" i="10" s="1"/>
  <c r="BG1541" i="10" a="1"/>
  <c r="BG1541" i="10" s="1"/>
  <c r="BF1541" i="10" a="1"/>
  <c r="BF1541" i="10" s="1"/>
  <c r="BE1541" i="10" a="1"/>
  <c r="BE1541" i="10" s="1"/>
  <c r="BD1541" i="10" a="1"/>
  <c r="BD1541" i="10" s="1"/>
  <c r="BC1541" i="10" a="1"/>
  <c r="BC1541" i="10" s="1"/>
  <c r="BB1541" i="10" a="1"/>
  <c r="BB1541" i="10" s="1"/>
  <c r="BA1541" i="10" a="1"/>
  <c r="BA1541" i="10" s="1"/>
  <c r="AZ1541" i="10" a="1"/>
  <c r="AZ1541" i="10" s="1"/>
  <c r="AY1541" i="10" a="1"/>
  <c r="AY1541" i="10" s="1"/>
  <c r="AX1541" i="10" a="1"/>
  <c r="AX1541" i="10" s="1"/>
  <c r="AW1541" i="10" a="1"/>
  <c r="AW1541" i="10" s="1"/>
  <c r="AV1541" i="10" a="1"/>
  <c r="AV1541" i="10" s="1"/>
  <c r="AU1541" i="10" a="1"/>
  <c r="AU1541" i="10" s="1"/>
  <c r="AT1541" i="10" a="1"/>
  <c r="AT1541" i="10" s="1"/>
  <c r="AS1541" i="10" a="1"/>
  <c r="AS1541" i="10" s="1"/>
  <c r="AR1541" i="10" a="1"/>
  <c r="AR1541" i="10" s="1"/>
  <c r="AQ1541" i="10" a="1"/>
  <c r="AQ1541" i="10" s="1"/>
  <c r="AP1541" i="10" a="1"/>
  <c r="AP1541" i="10" s="1"/>
  <c r="AO1541" i="10" a="1"/>
  <c r="AO1541" i="10" s="1"/>
  <c r="AN1541" i="10" a="1"/>
  <c r="AN1541" i="10" s="1"/>
  <c r="AM1541" i="10" a="1"/>
  <c r="AM1541" i="10" s="1"/>
  <c r="AL1541" i="10" a="1"/>
  <c r="AL1541" i="10" s="1"/>
  <c r="Q19" i="9" s="1"/>
  <c r="AK1541" i="10" a="1"/>
  <c r="AK1541" i="10" s="1"/>
  <c r="AJ1541" i="10" a="1"/>
  <c r="AJ1541" i="10" s="1"/>
  <c r="AI1541" i="10" a="1"/>
  <c r="AI1541" i="10" s="1"/>
  <c r="AH1541" i="10" a="1"/>
  <c r="AH1541" i="10" s="1"/>
  <c r="AG1541" i="10" a="1"/>
  <c r="AG1541" i="10" s="1"/>
  <c r="AF1541" i="10" a="1"/>
  <c r="AF1541" i="10" s="1"/>
  <c r="AE1541" i="10" a="1"/>
  <c r="AE1541" i="10" s="1"/>
  <c r="AD1541" i="10" a="1"/>
  <c r="AD1541" i="10" s="1"/>
  <c r="AC1541" i="10" a="1"/>
  <c r="AC1541" i="10" s="1"/>
  <c r="AB1541" i="10" a="1"/>
  <c r="AB1541" i="10" s="1"/>
  <c r="AA1541" i="10" a="1"/>
  <c r="AA1541" i="10" s="1"/>
  <c r="Z1541" i="10" a="1"/>
  <c r="Z1541" i="10" s="1"/>
  <c r="Y1541" i="10" a="1"/>
  <c r="Y1541" i="10" s="1"/>
  <c r="X1541" i="10" a="1"/>
  <c r="X1541" i="10" s="1"/>
  <c r="W1541" i="10" a="1"/>
  <c r="W1541" i="10" s="1"/>
  <c r="V1541" i="10" a="1"/>
  <c r="V1541" i="10" s="1"/>
  <c r="U1541" i="10" a="1"/>
  <c r="U1541" i="10" s="1"/>
  <c r="T1541" i="10" a="1"/>
  <c r="T1541" i="10" s="1"/>
  <c r="S1541" i="10" a="1"/>
  <c r="S1541" i="10" s="1"/>
  <c r="R1541" i="10" a="1"/>
  <c r="R1541" i="10" s="1"/>
  <c r="Q1541" i="10" a="1"/>
  <c r="Q1541" i="10" s="1"/>
  <c r="P1541" i="10" a="1"/>
  <c r="P1541" i="10" s="1"/>
  <c r="AGN1540" i="10" a="1"/>
  <c r="AGN1540" i="10" s="1"/>
  <c r="AGM1540" i="10" a="1"/>
  <c r="AGM1540" i="10" s="1"/>
  <c r="AGL1540" i="10" a="1"/>
  <c r="AGL1540" i="10" s="1"/>
  <c r="AGK1540" i="10" a="1"/>
  <c r="AGK1540" i="10" s="1"/>
  <c r="AGJ1540" i="10" a="1"/>
  <c r="AGJ1540" i="10" s="1"/>
  <c r="AGI1540" i="10" a="1"/>
  <c r="AGI1540" i="10" s="1"/>
  <c r="AGH1540" i="10" a="1"/>
  <c r="AGH1540" i="10" s="1"/>
  <c r="AGG1540" i="10" a="1"/>
  <c r="AGG1540" i="10" s="1"/>
  <c r="AGF1540" i="10" a="1"/>
  <c r="AGF1540" i="10" s="1"/>
  <c r="AGE1540" i="10" a="1"/>
  <c r="AGE1540" i="10" s="1"/>
  <c r="AGD1540" i="10" a="1"/>
  <c r="AGD1540" i="10" s="1"/>
  <c r="AGC1540" i="10" a="1"/>
  <c r="AGC1540" i="10" s="1"/>
  <c r="AGB1540" i="10" a="1"/>
  <c r="AGB1540" i="10" s="1"/>
  <c r="AGA1540" i="10" a="1"/>
  <c r="AGA1540" i="10" s="1"/>
  <c r="AFZ1540" i="10" a="1"/>
  <c r="AFZ1540" i="10" s="1"/>
  <c r="AFY1540" i="10" a="1"/>
  <c r="AFY1540" i="10" s="1"/>
  <c r="AFX1540" i="10" a="1"/>
  <c r="AFX1540" i="10" s="1"/>
  <c r="AFW1540" i="10" a="1"/>
  <c r="AFW1540" i="10" s="1"/>
  <c r="AFV1540" i="10" a="1"/>
  <c r="AFV1540" i="10" s="1"/>
  <c r="AFU1540" i="10" a="1"/>
  <c r="AFU1540" i="10" s="1"/>
  <c r="AFT1540" i="10" a="1"/>
  <c r="AFT1540" i="10" s="1"/>
  <c r="AFS1540" i="10" a="1"/>
  <c r="AFS1540" i="10" s="1"/>
  <c r="AFR1540" i="10" a="1"/>
  <c r="AFR1540" i="10" s="1"/>
  <c r="AFQ1540" i="10" a="1"/>
  <c r="AFQ1540" i="10" s="1"/>
  <c r="AFP1540" i="10" a="1"/>
  <c r="AFP1540" i="10" s="1"/>
  <c r="AFO1540" i="10" a="1"/>
  <c r="AFO1540" i="10" s="1"/>
  <c r="AFN1540" i="10" a="1"/>
  <c r="AFN1540" i="10" s="1"/>
  <c r="AFM1540" i="10" a="1"/>
  <c r="AFM1540" i="10" s="1"/>
  <c r="AFL1540" i="10" a="1"/>
  <c r="AFL1540" i="10" s="1"/>
  <c r="AFK1540" i="10" a="1"/>
  <c r="AFK1540" i="10" s="1"/>
  <c r="AFJ1540" i="10" a="1"/>
  <c r="AFJ1540" i="10" s="1"/>
  <c r="AFI1540" i="10" a="1"/>
  <c r="AFI1540" i="10" s="1"/>
  <c r="AFH1540" i="10" a="1"/>
  <c r="AFH1540" i="10" s="1"/>
  <c r="AFG1540" i="10" a="1"/>
  <c r="AFG1540" i="10" s="1"/>
  <c r="AFF1540" i="10" a="1"/>
  <c r="AFF1540" i="10" s="1"/>
  <c r="AFE1540" i="10" a="1"/>
  <c r="AFE1540" i="10" s="1"/>
  <c r="AFD1540" i="10" a="1"/>
  <c r="AFD1540" i="10" s="1"/>
  <c r="AFC1540" i="10" a="1"/>
  <c r="AFC1540" i="10" s="1"/>
  <c r="AFB1540" i="10" a="1"/>
  <c r="AFB1540" i="10" s="1"/>
  <c r="AFA1540" i="10" a="1"/>
  <c r="AFA1540" i="10" s="1"/>
  <c r="AEZ1540" i="10" a="1"/>
  <c r="AEZ1540" i="10" s="1"/>
  <c r="AEY1540" i="10" a="1"/>
  <c r="AEY1540" i="10" s="1"/>
  <c r="AEX1540" i="10" a="1"/>
  <c r="AEX1540" i="10" s="1"/>
  <c r="AEW1540" i="10" a="1"/>
  <c r="AEW1540" i="10" s="1"/>
  <c r="AEV1540" i="10" a="1"/>
  <c r="AEV1540" i="10" s="1"/>
  <c r="AEU1540" i="10" a="1"/>
  <c r="AEU1540" i="10" s="1"/>
  <c r="AET1540" i="10" a="1"/>
  <c r="AET1540" i="10" s="1"/>
  <c r="AES1540" i="10" a="1"/>
  <c r="AES1540" i="10" s="1"/>
  <c r="AER1540" i="10" a="1"/>
  <c r="AER1540" i="10" s="1"/>
  <c r="AEQ1540" i="10" a="1"/>
  <c r="AEQ1540" i="10" s="1"/>
  <c r="AEP1540" i="10" a="1"/>
  <c r="AEP1540" i="10" s="1"/>
  <c r="AEO1540" i="10" a="1"/>
  <c r="AEO1540" i="10" s="1"/>
  <c r="AEN1540" i="10" a="1"/>
  <c r="AEN1540" i="10" s="1"/>
  <c r="AEM1540" i="10" a="1"/>
  <c r="AEM1540" i="10" s="1"/>
  <c r="AEL1540" i="10" a="1"/>
  <c r="AEL1540" i="10" s="1"/>
  <c r="AEK1540" i="10" a="1"/>
  <c r="AEK1540" i="10" s="1"/>
  <c r="AEJ1540" i="10" a="1"/>
  <c r="AEJ1540" i="10" s="1"/>
  <c r="AEI1540" i="10" a="1"/>
  <c r="AEI1540" i="10" s="1"/>
  <c r="AEH1540" i="10" a="1"/>
  <c r="AEH1540" i="10" s="1"/>
  <c r="AEG1540" i="10" a="1"/>
  <c r="AEG1540" i="10" s="1"/>
  <c r="AEF1540" i="10" a="1"/>
  <c r="AEF1540" i="10" s="1"/>
  <c r="AEE1540" i="10" a="1"/>
  <c r="AEE1540" i="10" s="1"/>
  <c r="AED1540" i="10" a="1"/>
  <c r="AED1540" i="10" s="1"/>
  <c r="AEC1540" i="10" a="1"/>
  <c r="AEC1540" i="10" s="1"/>
  <c r="AEB1540" i="10" a="1"/>
  <c r="AEB1540" i="10" s="1"/>
  <c r="AEA1540" i="10" a="1"/>
  <c r="AEA1540" i="10" s="1"/>
  <c r="ADZ1540" i="10" a="1"/>
  <c r="ADZ1540" i="10" s="1"/>
  <c r="ADY1540" i="10" a="1"/>
  <c r="ADY1540" i="10" s="1"/>
  <c r="ADX1540" i="10" a="1"/>
  <c r="ADX1540" i="10" s="1"/>
  <c r="ADW1540" i="10" a="1"/>
  <c r="ADW1540" i="10" s="1"/>
  <c r="ADV1540" i="10" a="1"/>
  <c r="ADV1540" i="10" s="1"/>
  <c r="ADU1540" i="10" a="1"/>
  <c r="ADU1540" i="10" s="1"/>
  <c r="ADT1540" i="10" a="1"/>
  <c r="ADT1540" i="10" s="1"/>
  <c r="ADS1540" i="10" a="1"/>
  <c r="ADS1540" i="10" s="1"/>
  <c r="ADR1540" i="10" a="1"/>
  <c r="ADR1540" i="10" s="1"/>
  <c r="ADQ1540" i="10" a="1"/>
  <c r="ADQ1540" i="10" s="1"/>
  <c r="ADP1540" i="10" a="1"/>
  <c r="ADP1540" i="10" s="1"/>
  <c r="ADO1540" i="10" a="1"/>
  <c r="ADO1540" i="10" s="1"/>
  <c r="ADN1540" i="10" a="1"/>
  <c r="ADN1540" i="10" s="1"/>
  <c r="ADM1540" i="10" a="1"/>
  <c r="ADM1540" i="10" s="1"/>
  <c r="ADL1540" i="10" a="1"/>
  <c r="ADL1540" i="10" s="1"/>
  <c r="ADK1540" i="10" a="1"/>
  <c r="ADK1540" i="10" s="1"/>
  <c r="ADJ1540" i="10" a="1"/>
  <c r="ADJ1540" i="10" s="1"/>
  <c r="ADI1540" i="10" a="1"/>
  <c r="ADI1540" i="10" s="1"/>
  <c r="ADH1540" i="10" a="1"/>
  <c r="ADH1540" i="10" s="1"/>
  <c r="ADG1540" i="10" a="1"/>
  <c r="ADG1540" i="10" s="1"/>
  <c r="ADF1540" i="10" a="1"/>
  <c r="ADF1540" i="10" s="1"/>
  <c r="ADE1540" i="10" a="1"/>
  <c r="ADE1540" i="10" s="1"/>
  <c r="ADD1540" i="10" a="1"/>
  <c r="ADD1540" i="10" s="1"/>
  <c r="ADC1540" i="10" a="1"/>
  <c r="ADC1540" i="10" s="1"/>
  <c r="ADB1540" i="10" a="1"/>
  <c r="ADB1540" i="10" s="1"/>
  <c r="ADA1540" i="10" a="1"/>
  <c r="ADA1540" i="10" s="1"/>
  <c r="ACZ1540" i="10" a="1"/>
  <c r="ACZ1540" i="10" s="1"/>
  <c r="ACY1540" i="10" a="1"/>
  <c r="ACY1540" i="10" s="1"/>
  <c r="ACX1540" i="10" a="1"/>
  <c r="ACX1540" i="10" s="1"/>
  <c r="ACW1540" i="10" a="1"/>
  <c r="ACW1540" i="10" s="1"/>
  <c r="ACV1540" i="10" a="1"/>
  <c r="ACV1540" i="10" s="1"/>
  <c r="ACU1540" i="10" a="1"/>
  <c r="ACU1540" i="10" s="1"/>
  <c r="ACT1540" i="10" a="1"/>
  <c r="ACT1540" i="10" s="1"/>
  <c r="ACS1540" i="10" a="1"/>
  <c r="ACS1540" i="10" s="1"/>
  <c r="ACR1540" i="10" a="1"/>
  <c r="ACR1540" i="10" s="1"/>
  <c r="ACQ1540" i="10" a="1"/>
  <c r="ACQ1540" i="10" s="1"/>
  <c r="ACP1540" i="10" a="1"/>
  <c r="ACP1540" i="10" s="1"/>
  <c r="ACO1540" i="10" a="1"/>
  <c r="ACO1540" i="10" s="1"/>
  <c r="ACN1540" i="10" a="1"/>
  <c r="ACN1540" i="10" s="1"/>
  <c r="ACM1540" i="10" a="1"/>
  <c r="ACM1540" i="10" s="1"/>
  <c r="ACL1540" i="10" a="1"/>
  <c r="ACL1540" i="10" s="1"/>
  <c r="ACK1540" i="10" a="1"/>
  <c r="ACK1540" i="10" s="1"/>
  <c r="ACJ1540" i="10" a="1"/>
  <c r="ACJ1540" i="10" s="1"/>
  <c r="ACI1540" i="10" a="1"/>
  <c r="ACI1540" i="10" s="1"/>
  <c r="ACH1540" i="10" a="1"/>
  <c r="ACH1540" i="10" s="1"/>
  <c r="ACG1540" i="10" a="1"/>
  <c r="ACG1540" i="10" s="1"/>
  <c r="ACF1540" i="10" a="1"/>
  <c r="ACF1540" i="10" s="1"/>
  <c r="ACE1540" i="10" a="1"/>
  <c r="ACE1540" i="10" s="1"/>
  <c r="ACD1540" i="10" a="1"/>
  <c r="ACD1540" i="10" s="1"/>
  <c r="ACC1540" i="10" a="1"/>
  <c r="ACC1540" i="10" s="1"/>
  <c r="ACB1540" i="10" a="1"/>
  <c r="ACB1540" i="10" s="1"/>
  <c r="ACA1540" i="10" a="1"/>
  <c r="ACA1540" i="10" s="1"/>
  <c r="ABZ1540" i="10" a="1"/>
  <c r="ABZ1540" i="10" s="1"/>
  <c r="ABY1540" i="10" a="1"/>
  <c r="ABY1540" i="10" s="1"/>
  <c r="ABX1540" i="10" a="1"/>
  <c r="ABX1540" i="10" s="1"/>
  <c r="ABW1540" i="10" a="1"/>
  <c r="ABW1540" i="10" s="1"/>
  <c r="ABV1540" i="10" a="1"/>
  <c r="ABV1540" i="10" s="1"/>
  <c r="ABU1540" i="10" a="1"/>
  <c r="ABU1540" i="10" s="1"/>
  <c r="ABT1540" i="10" a="1"/>
  <c r="ABT1540" i="10" s="1"/>
  <c r="ABS1540" i="10" a="1"/>
  <c r="ABS1540" i="10" s="1"/>
  <c r="ABR1540" i="10" a="1"/>
  <c r="ABR1540" i="10" s="1"/>
  <c r="ABQ1540" i="10" a="1"/>
  <c r="ABQ1540" i="10" s="1"/>
  <c r="ABP1540" i="10" a="1"/>
  <c r="ABP1540" i="10" s="1"/>
  <c r="ABO1540" i="10" a="1"/>
  <c r="ABO1540" i="10" s="1"/>
  <c r="ABN1540" i="10" a="1"/>
  <c r="ABN1540" i="10" s="1"/>
  <c r="ABM1540" i="10" a="1"/>
  <c r="ABM1540" i="10" s="1"/>
  <c r="ABL1540" i="10" a="1"/>
  <c r="ABL1540" i="10" s="1"/>
  <c r="ABK1540" i="10" a="1"/>
  <c r="ABK1540" i="10" s="1"/>
  <c r="ABJ1540" i="10" a="1"/>
  <c r="ABJ1540" i="10" s="1"/>
  <c r="ABI1540" i="10" a="1"/>
  <c r="ABI1540" i="10" s="1"/>
  <c r="ABH1540" i="10" a="1"/>
  <c r="ABH1540" i="10" s="1"/>
  <c r="ABG1540" i="10" a="1"/>
  <c r="ABG1540" i="10" s="1"/>
  <c r="ABF1540" i="10" a="1"/>
  <c r="ABF1540" i="10" s="1"/>
  <c r="ABE1540" i="10" a="1"/>
  <c r="ABE1540" i="10" s="1"/>
  <c r="ABD1540" i="10" a="1"/>
  <c r="ABD1540" i="10" s="1"/>
  <c r="ABC1540" i="10" a="1"/>
  <c r="ABC1540" i="10" s="1"/>
  <c r="ABB1540" i="10" a="1"/>
  <c r="ABB1540" i="10" s="1"/>
  <c r="ABA1540" i="10" a="1"/>
  <c r="ABA1540" i="10" s="1"/>
  <c r="AAZ1540" i="10" a="1"/>
  <c r="AAZ1540" i="10" s="1"/>
  <c r="AAY1540" i="10" a="1"/>
  <c r="AAY1540" i="10" s="1"/>
  <c r="AAX1540" i="10" a="1"/>
  <c r="AAX1540" i="10" s="1"/>
  <c r="AAW1540" i="10" a="1"/>
  <c r="AAW1540" i="10" s="1"/>
  <c r="AAV1540" i="10" a="1"/>
  <c r="AAV1540" i="10" s="1"/>
  <c r="AAU1540" i="10" a="1"/>
  <c r="AAU1540" i="10" s="1"/>
  <c r="AAT1540" i="10" a="1"/>
  <c r="AAT1540" i="10" s="1"/>
  <c r="AAS1540" i="10" a="1"/>
  <c r="AAS1540" i="10" s="1"/>
  <c r="AAR1540" i="10" a="1"/>
  <c r="AAR1540" i="10" s="1"/>
  <c r="AAQ1540" i="10" a="1"/>
  <c r="AAQ1540" i="10" s="1"/>
  <c r="AAP1540" i="10" a="1"/>
  <c r="AAP1540" i="10" s="1"/>
  <c r="AAO1540" i="10" a="1"/>
  <c r="AAO1540" i="10" s="1"/>
  <c r="AAN1540" i="10" a="1"/>
  <c r="AAN1540" i="10" s="1"/>
  <c r="AAM1540" i="10" a="1"/>
  <c r="AAM1540" i="10" s="1"/>
  <c r="AAL1540" i="10" a="1"/>
  <c r="AAL1540" i="10" s="1"/>
  <c r="AAK1540" i="10" a="1"/>
  <c r="AAK1540" i="10" s="1"/>
  <c r="AAJ1540" i="10" a="1"/>
  <c r="AAJ1540" i="10" s="1"/>
  <c r="AAI1540" i="10" a="1"/>
  <c r="AAI1540" i="10" s="1"/>
  <c r="AAH1540" i="10" a="1"/>
  <c r="AAH1540" i="10" s="1"/>
  <c r="AAG1540" i="10" a="1"/>
  <c r="AAG1540" i="10" s="1"/>
  <c r="AAF1540" i="10" a="1"/>
  <c r="AAF1540" i="10" s="1"/>
  <c r="AAE1540" i="10" a="1"/>
  <c r="AAE1540" i="10" s="1"/>
  <c r="AAD1540" i="10" a="1"/>
  <c r="AAD1540" i="10" s="1"/>
  <c r="AAC1540" i="10" a="1"/>
  <c r="AAC1540" i="10" s="1"/>
  <c r="AAB1540" i="10" a="1"/>
  <c r="AAB1540" i="10" s="1"/>
  <c r="AAA1540" i="10" a="1"/>
  <c r="AAA1540" i="10" s="1"/>
  <c r="ZZ1540" i="10" a="1"/>
  <c r="ZZ1540" i="10" s="1"/>
  <c r="ZY1540" i="10" a="1"/>
  <c r="ZY1540" i="10" s="1"/>
  <c r="ZX1540" i="10" a="1"/>
  <c r="ZX1540" i="10" s="1"/>
  <c r="ZW1540" i="10" a="1"/>
  <c r="ZW1540" i="10" s="1"/>
  <c r="ZV1540" i="10" a="1"/>
  <c r="ZV1540" i="10" s="1"/>
  <c r="ZU1540" i="10" a="1"/>
  <c r="ZU1540" i="10" s="1"/>
  <c r="ZT1540" i="10" a="1"/>
  <c r="ZT1540" i="10" s="1"/>
  <c r="ZS1540" i="10" a="1"/>
  <c r="ZS1540" i="10" s="1"/>
  <c r="ZR1540" i="10" a="1"/>
  <c r="ZR1540" i="10" s="1"/>
  <c r="ZQ1540" i="10" a="1"/>
  <c r="ZQ1540" i="10" s="1"/>
  <c r="ZP1540" i="10" a="1"/>
  <c r="ZP1540" i="10" s="1"/>
  <c r="ZO1540" i="10" a="1"/>
  <c r="ZO1540" i="10" s="1"/>
  <c r="ZN1540" i="10" a="1"/>
  <c r="ZN1540" i="10" s="1"/>
  <c r="ZM1540" i="10" a="1"/>
  <c r="ZM1540" i="10" s="1"/>
  <c r="ZL1540" i="10" a="1"/>
  <c r="ZL1540" i="10" s="1"/>
  <c r="ZK1540" i="10" a="1"/>
  <c r="ZK1540" i="10" s="1"/>
  <c r="ZJ1540" i="10" a="1"/>
  <c r="ZJ1540" i="10" s="1"/>
  <c r="ZI1540" i="10" a="1"/>
  <c r="ZI1540" i="10" s="1"/>
  <c r="ZH1540" i="10" a="1"/>
  <c r="ZH1540" i="10" s="1"/>
  <c r="ZG1540" i="10" a="1"/>
  <c r="ZG1540" i="10" s="1"/>
  <c r="ZF1540" i="10" a="1"/>
  <c r="ZF1540" i="10" s="1"/>
  <c r="ZE1540" i="10" a="1"/>
  <c r="ZE1540" i="10" s="1"/>
  <c r="ZD1540" i="10" a="1"/>
  <c r="ZD1540" i="10" s="1"/>
  <c r="ZC1540" i="10" a="1"/>
  <c r="ZC1540" i="10" s="1"/>
  <c r="ZB1540" i="10" a="1"/>
  <c r="ZB1540" i="10" s="1"/>
  <c r="ZA1540" i="10" a="1"/>
  <c r="ZA1540" i="10" s="1"/>
  <c r="YZ1540" i="10" a="1"/>
  <c r="YZ1540" i="10" s="1"/>
  <c r="YY1540" i="10" a="1"/>
  <c r="YY1540" i="10" s="1"/>
  <c r="YX1540" i="10" a="1"/>
  <c r="YX1540" i="10" s="1"/>
  <c r="YW1540" i="10" a="1"/>
  <c r="YW1540" i="10" s="1"/>
  <c r="YV1540" i="10" a="1"/>
  <c r="YV1540" i="10" s="1"/>
  <c r="YU1540" i="10" a="1"/>
  <c r="YU1540" i="10" s="1"/>
  <c r="YT1540" i="10" a="1"/>
  <c r="YT1540" i="10" s="1"/>
  <c r="YS1540" i="10" a="1"/>
  <c r="YS1540" i="10" s="1"/>
  <c r="YR1540" i="10" a="1"/>
  <c r="YR1540" i="10" s="1"/>
  <c r="YQ1540" i="10" a="1"/>
  <c r="YQ1540" i="10" s="1"/>
  <c r="YP1540" i="10" a="1"/>
  <c r="YP1540" i="10" s="1"/>
  <c r="YO1540" i="10" a="1"/>
  <c r="YO1540" i="10" s="1"/>
  <c r="YN1540" i="10" a="1"/>
  <c r="YN1540" i="10" s="1"/>
  <c r="YM1540" i="10" a="1"/>
  <c r="YM1540" i="10" s="1"/>
  <c r="YL1540" i="10" a="1"/>
  <c r="YL1540" i="10" s="1"/>
  <c r="YK1540" i="10" a="1"/>
  <c r="YK1540" i="10" s="1"/>
  <c r="YJ1540" i="10" a="1"/>
  <c r="YJ1540" i="10" s="1"/>
  <c r="YI1540" i="10" a="1"/>
  <c r="YI1540" i="10" s="1"/>
  <c r="YH1540" i="10" a="1"/>
  <c r="YH1540" i="10" s="1"/>
  <c r="YG1540" i="10" a="1"/>
  <c r="YG1540" i="10" s="1"/>
  <c r="YF1540" i="10" a="1"/>
  <c r="YF1540" i="10" s="1"/>
  <c r="YE1540" i="10" a="1"/>
  <c r="YE1540" i="10" s="1"/>
  <c r="YD1540" i="10" a="1"/>
  <c r="YD1540" i="10" s="1"/>
  <c r="YC1540" i="10" a="1"/>
  <c r="YC1540" i="10" s="1"/>
  <c r="YB1540" i="10" a="1"/>
  <c r="YB1540" i="10" s="1"/>
  <c r="YA1540" i="10" a="1"/>
  <c r="YA1540" i="10" s="1"/>
  <c r="XZ1540" i="10" a="1"/>
  <c r="XZ1540" i="10" s="1"/>
  <c r="XY1540" i="10" a="1"/>
  <c r="XY1540" i="10" s="1"/>
  <c r="XX1540" i="10" a="1"/>
  <c r="XX1540" i="10" s="1"/>
  <c r="XW1540" i="10" a="1"/>
  <c r="XW1540" i="10" s="1"/>
  <c r="XV1540" i="10" a="1"/>
  <c r="XV1540" i="10" s="1"/>
  <c r="XU1540" i="10" a="1"/>
  <c r="XU1540" i="10" s="1"/>
  <c r="XT1540" i="10" a="1"/>
  <c r="XT1540" i="10" s="1"/>
  <c r="XS1540" i="10" a="1"/>
  <c r="XS1540" i="10" s="1"/>
  <c r="XR1540" i="10" a="1"/>
  <c r="XR1540" i="10" s="1"/>
  <c r="XQ1540" i="10" a="1"/>
  <c r="XQ1540" i="10" s="1"/>
  <c r="XP1540" i="10" a="1"/>
  <c r="XP1540" i="10" s="1"/>
  <c r="XO1540" i="10" a="1"/>
  <c r="XO1540" i="10" s="1"/>
  <c r="XN1540" i="10" a="1"/>
  <c r="XN1540" i="10" s="1"/>
  <c r="XM1540" i="10" a="1"/>
  <c r="XM1540" i="10" s="1"/>
  <c r="XL1540" i="10" a="1"/>
  <c r="XL1540" i="10" s="1"/>
  <c r="XK1540" i="10" a="1"/>
  <c r="XK1540" i="10" s="1"/>
  <c r="XJ1540" i="10" a="1"/>
  <c r="XJ1540" i="10" s="1"/>
  <c r="XI1540" i="10" a="1"/>
  <c r="XI1540" i="10" s="1"/>
  <c r="XH1540" i="10" a="1"/>
  <c r="XH1540" i="10" s="1"/>
  <c r="XG1540" i="10" a="1"/>
  <c r="XG1540" i="10" s="1"/>
  <c r="XF1540" i="10" a="1"/>
  <c r="XF1540" i="10" s="1"/>
  <c r="XE1540" i="10" a="1"/>
  <c r="XE1540" i="10" s="1"/>
  <c r="XD1540" i="10" a="1"/>
  <c r="XD1540" i="10" s="1"/>
  <c r="XC1540" i="10" a="1"/>
  <c r="XC1540" i="10" s="1"/>
  <c r="XB1540" i="10" a="1"/>
  <c r="XB1540" i="10" s="1"/>
  <c r="XA1540" i="10" a="1"/>
  <c r="XA1540" i="10" s="1"/>
  <c r="WZ1540" i="10" a="1"/>
  <c r="WZ1540" i="10" s="1"/>
  <c r="WY1540" i="10" a="1"/>
  <c r="WY1540" i="10" s="1"/>
  <c r="WX1540" i="10" a="1"/>
  <c r="WX1540" i="10" s="1"/>
  <c r="WW1540" i="10" a="1"/>
  <c r="WW1540" i="10" s="1"/>
  <c r="WV1540" i="10" a="1"/>
  <c r="WV1540" i="10" s="1"/>
  <c r="WU1540" i="10" a="1"/>
  <c r="WU1540" i="10" s="1"/>
  <c r="WT1540" i="10" a="1"/>
  <c r="WT1540" i="10" s="1"/>
  <c r="WS1540" i="10" a="1"/>
  <c r="WS1540" i="10" s="1"/>
  <c r="WR1540" i="10" a="1"/>
  <c r="WR1540" i="10" s="1"/>
  <c r="WQ1540" i="10" a="1"/>
  <c r="WQ1540" i="10" s="1"/>
  <c r="WP1540" i="10" a="1"/>
  <c r="WP1540" i="10" s="1"/>
  <c r="WO1540" i="10" a="1"/>
  <c r="WO1540" i="10" s="1"/>
  <c r="WN1540" i="10" a="1"/>
  <c r="WN1540" i="10" s="1"/>
  <c r="WM1540" i="10" a="1"/>
  <c r="WM1540" i="10" s="1"/>
  <c r="WL1540" i="10" a="1"/>
  <c r="WL1540" i="10" s="1"/>
  <c r="WK1540" i="10" a="1"/>
  <c r="WK1540" i="10" s="1"/>
  <c r="WJ1540" i="10" a="1"/>
  <c r="WJ1540" i="10" s="1"/>
  <c r="WI1540" i="10" a="1"/>
  <c r="WI1540" i="10" s="1"/>
  <c r="WH1540" i="10" a="1"/>
  <c r="WH1540" i="10" s="1"/>
  <c r="WG1540" i="10" a="1"/>
  <c r="WG1540" i="10" s="1"/>
  <c r="WF1540" i="10" a="1"/>
  <c r="WF1540" i="10" s="1"/>
  <c r="WE1540" i="10" a="1"/>
  <c r="WE1540" i="10" s="1"/>
  <c r="WD1540" i="10" a="1"/>
  <c r="WD1540" i="10" s="1"/>
  <c r="WC1540" i="10" a="1"/>
  <c r="WC1540" i="10" s="1"/>
  <c r="WB1540" i="10" a="1"/>
  <c r="WB1540" i="10" s="1"/>
  <c r="WA1540" i="10" a="1"/>
  <c r="WA1540" i="10" s="1"/>
  <c r="VZ1540" i="10" a="1"/>
  <c r="VZ1540" i="10" s="1"/>
  <c r="VY1540" i="10" a="1"/>
  <c r="VY1540" i="10" s="1"/>
  <c r="VX1540" i="10" a="1"/>
  <c r="VX1540" i="10" s="1"/>
  <c r="VW1540" i="10" a="1"/>
  <c r="VW1540" i="10" s="1"/>
  <c r="VV1540" i="10" a="1"/>
  <c r="VV1540" i="10" s="1"/>
  <c r="VU1540" i="10" a="1"/>
  <c r="VU1540" i="10" s="1"/>
  <c r="VT1540" i="10" a="1"/>
  <c r="VT1540" i="10" s="1"/>
  <c r="VS1540" i="10" a="1"/>
  <c r="VS1540" i="10" s="1"/>
  <c r="VR1540" i="10" a="1"/>
  <c r="VR1540" i="10" s="1"/>
  <c r="VQ1540" i="10" a="1"/>
  <c r="VQ1540" i="10" s="1"/>
  <c r="VP1540" i="10" a="1"/>
  <c r="VP1540" i="10" s="1"/>
  <c r="VO1540" i="10" a="1"/>
  <c r="VO1540" i="10" s="1"/>
  <c r="VN1540" i="10" a="1"/>
  <c r="VN1540" i="10" s="1"/>
  <c r="VM1540" i="10" a="1"/>
  <c r="VM1540" i="10" s="1"/>
  <c r="VL1540" i="10" a="1"/>
  <c r="VL1540" i="10" s="1"/>
  <c r="VK1540" i="10" a="1"/>
  <c r="VK1540" i="10" s="1"/>
  <c r="VJ1540" i="10" a="1"/>
  <c r="VJ1540" i="10" s="1"/>
  <c r="VI1540" i="10" a="1"/>
  <c r="VI1540" i="10" s="1"/>
  <c r="VH1540" i="10" a="1"/>
  <c r="VH1540" i="10" s="1"/>
  <c r="VG1540" i="10" a="1"/>
  <c r="VG1540" i="10" s="1"/>
  <c r="VF1540" i="10" a="1"/>
  <c r="VF1540" i="10" s="1"/>
  <c r="VE1540" i="10" a="1"/>
  <c r="VE1540" i="10" s="1"/>
  <c r="VD1540" i="10" a="1"/>
  <c r="VD1540" i="10" s="1"/>
  <c r="VC1540" i="10" a="1"/>
  <c r="VC1540" i="10" s="1"/>
  <c r="VB1540" i="10" a="1"/>
  <c r="VB1540" i="10" s="1"/>
  <c r="VA1540" i="10" a="1"/>
  <c r="VA1540" i="10" s="1"/>
  <c r="UZ1540" i="10" a="1"/>
  <c r="UZ1540" i="10" s="1"/>
  <c r="UY1540" i="10" a="1"/>
  <c r="UY1540" i="10" s="1"/>
  <c r="UX1540" i="10" a="1"/>
  <c r="UX1540" i="10" s="1"/>
  <c r="UW1540" i="10" a="1"/>
  <c r="UW1540" i="10" s="1"/>
  <c r="UV1540" i="10" a="1"/>
  <c r="UV1540" i="10" s="1"/>
  <c r="UU1540" i="10" a="1"/>
  <c r="UU1540" i="10" s="1"/>
  <c r="UT1540" i="10" a="1"/>
  <c r="UT1540" i="10" s="1"/>
  <c r="US1540" i="10" a="1"/>
  <c r="US1540" i="10" s="1"/>
  <c r="UR1540" i="10" a="1"/>
  <c r="UR1540" i="10" s="1"/>
  <c r="UQ1540" i="10" a="1"/>
  <c r="UQ1540" i="10" s="1"/>
  <c r="UP1540" i="10" a="1"/>
  <c r="UP1540" i="10" s="1"/>
  <c r="UO1540" i="10" a="1"/>
  <c r="UO1540" i="10" s="1"/>
  <c r="UN1540" i="10" a="1"/>
  <c r="UN1540" i="10" s="1"/>
  <c r="UM1540" i="10" a="1"/>
  <c r="UM1540" i="10" s="1"/>
  <c r="UL1540" i="10" a="1"/>
  <c r="UL1540" i="10" s="1"/>
  <c r="UK1540" i="10" a="1"/>
  <c r="UK1540" i="10" s="1"/>
  <c r="UJ1540" i="10" a="1"/>
  <c r="UJ1540" i="10" s="1"/>
  <c r="UI1540" i="10" a="1"/>
  <c r="UI1540" i="10" s="1"/>
  <c r="UH1540" i="10" a="1"/>
  <c r="UH1540" i="10" s="1"/>
  <c r="UG1540" i="10" a="1"/>
  <c r="UG1540" i="10" s="1"/>
  <c r="UF1540" i="10" a="1"/>
  <c r="UF1540" i="10" s="1"/>
  <c r="UE1540" i="10" a="1"/>
  <c r="UE1540" i="10" s="1"/>
  <c r="UD1540" i="10" a="1"/>
  <c r="UD1540" i="10" s="1"/>
  <c r="UC1540" i="10" a="1"/>
  <c r="UC1540" i="10" s="1"/>
  <c r="UB1540" i="10" a="1"/>
  <c r="UB1540" i="10" s="1"/>
  <c r="UA1540" i="10" a="1"/>
  <c r="UA1540" i="10" s="1"/>
  <c r="TZ1540" i="10" a="1"/>
  <c r="TZ1540" i="10" s="1"/>
  <c r="TY1540" i="10" a="1"/>
  <c r="TY1540" i="10" s="1"/>
  <c r="TX1540" i="10" a="1"/>
  <c r="TX1540" i="10" s="1"/>
  <c r="TW1540" i="10" a="1"/>
  <c r="TW1540" i="10" s="1"/>
  <c r="TV1540" i="10" a="1"/>
  <c r="TV1540" i="10" s="1"/>
  <c r="TU1540" i="10" a="1"/>
  <c r="TU1540" i="10" s="1"/>
  <c r="TT1540" i="10" a="1"/>
  <c r="TT1540" i="10" s="1"/>
  <c r="TS1540" i="10" a="1"/>
  <c r="TS1540" i="10" s="1"/>
  <c r="TR1540" i="10" a="1"/>
  <c r="TR1540" i="10" s="1"/>
  <c r="TQ1540" i="10" a="1"/>
  <c r="TQ1540" i="10" s="1"/>
  <c r="TP1540" i="10" a="1"/>
  <c r="TP1540" i="10" s="1"/>
  <c r="TO1540" i="10" a="1"/>
  <c r="TO1540" i="10" s="1"/>
  <c r="TN1540" i="10" a="1"/>
  <c r="TN1540" i="10" s="1"/>
  <c r="TM1540" i="10" a="1"/>
  <c r="TM1540" i="10" s="1"/>
  <c r="TL1540" i="10" a="1"/>
  <c r="TL1540" i="10" s="1"/>
  <c r="TK1540" i="10" a="1"/>
  <c r="TK1540" i="10" s="1"/>
  <c r="TJ1540" i="10" a="1"/>
  <c r="TJ1540" i="10" s="1"/>
  <c r="TI1540" i="10" a="1"/>
  <c r="TI1540" i="10" s="1"/>
  <c r="TH1540" i="10" a="1"/>
  <c r="TH1540" i="10" s="1"/>
  <c r="TG1540" i="10" a="1"/>
  <c r="TG1540" i="10" s="1"/>
  <c r="TF1540" i="10" a="1"/>
  <c r="TF1540" i="10" s="1"/>
  <c r="TE1540" i="10" a="1"/>
  <c r="TE1540" i="10" s="1"/>
  <c r="TD1540" i="10" a="1"/>
  <c r="TD1540" i="10" s="1"/>
  <c r="TC1540" i="10" a="1"/>
  <c r="TC1540" i="10" s="1"/>
  <c r="TB1540" i="10" a="1"/>
  <c r="TB1540" i="10" s="1"/>
  <c r="TA1540" i="10" a="1"/>
  <c r="TA1540" i="10" s="1"/>
  <c r="SZ1540" i="10" a="1"/>
  <c r="SZ1540" i="10" s="1"/>
  <c r="SY1540" i="10" a="1"/>
  <c r="SY1540" i="10" s="1"/>
  <c r="SX1540" i="10" a="1"/>
  <c r="SX1540" i="10" s="1"/>
  <c r="SW1540" i="10" a="1"/>
  <c r="SW1540" i="10" s="1"/>
  <c r="SV1540" i="10" a="1"/>
  <c r="SV1540" i="10" s="1"/>
  <c r="SU1540" i="10" a="1"/>
  <c r="SU1540" i="10" s="1"/>
  <c r="ST1540" i="10" a="1"/>
  <c r="ST1540" i="10" s="1"/>
  <c r="SS1540" i="10" a="1"/>
  <c r="SS1540" i="10" s="1"/>
  <c r="SR1540" i="10" a="1"/>
  <c r="SR1540" i="10" s="1"/>
  <c r="SQ1540" i="10" a="1"/>
  <c r="SQ1540" i="10" s="1"/>
  <c r="SP1540" i="10" a="1"/>
  <c r="SP1540" i="10" s="1"/>
  <c r="SO1540" i="10" a="1"/>
  <c r="SO1540" i="10" s="1"/>
  <c r="SN1540" i="10" a="1"/>
  <c r="SN1540" i="10" s="1"/>
  <c r="SM1540" i="10" a="1"/>
  <c r="SM1540" i="10" s="1"/>
  <c r="SL1540" i="10" a="1"/>
  <c r="SL1540" i="10" s="1"/>
  <c r="SK1540" i="10" a="1"/>
  <c r="SK1540" i="10" s="1"/>
  <c r="SJ1540" i="10" a="1"/>
  <c r="SJ1540" i="10" s="1"/>
  <c r="SI1540" i="10" a="1"/>
  <c r="SI1540" i="10" s="1"/>
  <c r="SH1540" i="10" a="1"/>
  <c r="SH1540" i="10" s="1"/>
  <c r="SG1540" i="10" a="1"/>
  <c r="SG1540" i="10" s="1"/>
  <c r="SF1540" i="10" a="1"/>
  <c r="SF1540" i="10" s="1"/>
  <c r="SE1540" i="10" a="1"/>
  <c r="SE1540" i="10" s="1"/>
  <c r="SD1540" i="10" a="1"/>
  <c r="SD1540" i="10" s="1"/>
  <c r="SC1540" i="10" a="1"/>
  <c r="SC1540" i="10" s="1"/>
  <c r="SB1540" i="10" a="1"/>
  <c r="SB1540" i="10" s="1"/>
  <c r="SA1540" i="10" a="1"/>
  <c r="SA1540" i="10" s="1"/>
  <c r="RZ1540" i="10" a="1"/>
  <c r="RZ1540" i="10" s="1"/>
  <c r="RY1540" i="10" a="1"/>
  <c r="RY1540" i="10" s="1"/>
  <c r="RX1540" i="10" a="1"/>
  <c r="RX1540" i="10" s="1"/>
  <c r="RW1540" i="10" a="1"/>
  <c r="RW1540" i="10" s="1"/>
  <c r="RV1540" i="10" a="1"/>
  <c r="RV1540" i="10" s="1"/>
  <c r="RU1540" i="10" a="1"/>
  <c r="RU1540" i="10" s="1"/>
  <c r="RT1540" i="10" a="1"/>
  <c r="RT1540" i="10" s="1"/>
  <c r="RS1540" i="10" a="1"/>
  <c r="RS1540" i="10" s="1"/>
  <c r="RR1540" i="10" a="1"/>
  <c r="RR1540" i="10" s="1"/>
  <c r="RQ1540" i="10" a="1"/>
  <c r="RQ1540" i="10" s="1"/>
  <c r="RP1540" i="10" a="1"/>
  <c r="RP1540" i="10" s="1"/>
  <c r="RO1540" i="10" a="1"/>
  <c r="RO1540" i="10" s="1"/>
  <c r="RN1540" i="10" a="1"/>
  <c r="RN1540" i="10" s="1"/>
  <c r="RM1540" i="10" a="1"/>
  <c r="RM1540" i="10" s="1"/>
  <c r="RL1540" i="10" a="1"/>
  <c r="RL1540" i="10" s="1"/>
  <c r="RK1540" i="10" a="1"/>
  <c r="RK1540" i="10" s="1"/>
  <c r="RJ1540" i="10" a="1"/>
  <c r="RJ1540" i="10" s="1"/>
  <c r="RI1540" i="10" a="1"/>
  <c r="RI1540" i="10" s="1"/>
  <c r="RH1540" i="10" a="1"/>
  <c r="RH1540" i="10" s="1"/>
  <c r="RG1540" i="10" a="1"/>
  <c r="RG1540" i="10" s="1"/>
  <c r="RF1540" i="10" a="1"/>
  <c r="RF1540" i="10" s="1"/>
  <c r="RE1540" i="10" a="1"/>
  <c r="RE1540" i="10" s="1"/>
  <c r="RD1540" i="10" a="1"/>
  <c r="RD1540" i="10" s="1"/>
  <c r="RC1540" i="10" a="1"/>
  <c r="RC1540" i="10" s="1"/>
  <c r="RB1540" i="10" a="1"/>
  <c r="RB1540" i="10" s="1"/>
  <c r="RA1540" i="10" a="1"/>
  <c r="RA1540" i="10" s="1"/>
  <c r="QZ1540" i="10" a="1"/>
  <c r="QZ1540" i="10" s="1"/>
  <c r="QY1540" i="10" a="1"/>
  <c r="QY1540" i="10" s="1"/>
  <c r="QX1540" i="10" a="1"/>
  <c r="QX1540" i="10" s="1"/>
  <c r="QW1540" i="10" a="1"/>
  <c r="QW1540" i="10" s="1"/>
  <c r="QV1540" i="10" a="1"/>
  <c r="QV1540" i="10" s="1"/>
  <c r="QU1540" i="10" a="1"/>
  <c r="QU1540" i="10" s="1"/>
  <c r="QT1540" i="10" a="1"/>
  <c r="QT1540" i="10" s="1"/>
  <c r="QS1540" i="10" a="1"/>
  <c r="QS1540" i="10" s="1"/>
  <c r="QR1540" i="10" a="1"/>
  <c r="QR1540" i="10" s="1"/>
  <c r="QQ1540" i="10" a="1"/>
  <c r="QQ1540" i="10" s="1"/>
  <c r="QP1540" i="10" a="1"/>
  <c r="QP1540" i="10" s="1"/>
  <c r="QO1540" i="10" a="1"/>
  <c r="QO1540" i="10" s="1"/>
  <c r="QN1540" i="10" a="1"/>
  <c r="QN1540" i="10" s="1"/>
  <c r="QM1540" i="10" a="1"/>
  <c r="QM1540" i="10" s="1"/>
  <c r="QL1540" i="10" a="1"/>
  <c r="QL1540" i="10" s="1"/>
  <c r="QK1540" i="10" a="1"/>
  <c r="QK1540" i="10" s="1"/>
  <c r="QJ1540" i="10" a="1"/>
  <c r="QJ1540" i="10" s="1"/>
  <c r="QI1540" i="10" a="1"/>
  <c r="QI1540" i="10" s="1"/>
  <c r="QH1540" i="10" a="1"/>
  <c r="QH1540" i="10" s="1"/>
  <c r="QG1540" i="10" a="1"/>
  <c r="QG1540" i="10" s="1"/>
  <c r="QF1540" i="10" a="1"/>
  <c r="QF1540" i="10" s="1"/>
  <c r="QE1540" i="10" a="1"/>
  <c r="QE1540" i="10" s="1"/>
  <c r="QD1540" i="10" a="1"/>
  <c r="QD1540" i="10" s="1"/>
  <c r="QC1540" i="10" a="1"/>
  <c r="QC1540" i="10" s="1"/>
  <c r="QB1540" i="10" a="1"/>
  <c r="QB1540" i="10" s="1"/>
  <c r="QA1540" i="10" a="1"/>
  <c r="QA1540" i="10" s="1"/>
  <c r="PZ1540" i="10" a="1"/>
  <c r="PZ1540" i="10" s="1"/>
  <c r="PY1540" i="10" a="1"/>
  <c r="PY1540" i="10" s="1"/>
  <c r="PX1540" i="10" a="1"/>
  <c r="PX1540" i="10" s="1"/>
  <c r="PW1540" i="10" a="1"/>
  <c r="PW1540" i="10" s="1"/>
  <c r="PV1540" i="10" a="1"/>
  <c r="PV1540" i="10" s="1"/>
  <c r="PU1540" i="10" a="1"/>
  <c r="PU1540" i="10" s="1"/>
  <c r="PT1540" i="10" a="1"/>
  <c r="PT1540" i="10" s="1"/>
  <c r="PS1540" i="10" a="1"/>
  <c r="PS1540" i="10" s="1"/>
  <c r="PR1540" i="10" a="1"/>
  <c r="PR1540" i="10" s="1"/>
  <c r="PQ1540" i="10" a="1"/>
  <c r="PQ1540" i="10" s="1"/>
  <c r="PP1540" i="10" a="1"/>
  <c r="PP1540" i="10" s="1"/>
  <c r="PO1540" i="10" a="1"/>
  <c r="PO1540" i="10" s="1"/>
  <c r="PN1540" i="10" a="1"/>
  <c r="PN1540" i="10" s="1"/>
  <c r="PM1540" i="10" a="1"/>
  <c r="PM1540" i="10" s="1"/>
  <c r="PL1540" i="10" a="1"/>
  <c r="PL1540" i="10" s="1"/>
  <c r="PK1540" i="10" a="1"/>
  <c r="PK1540" i="10" s="1"/>
  <c r="PJ1540" i="10" a="1"/>
  <c r="PJ1540" i="10" s="1"/>
  <c r="PI1540" i="10" a="1"/>
  <c r="PI1540" i="10" s="1"/>
  <c r="PH1540" i="10" a="1"/>
  <c r="PH1540" i="10" s="1"/>
  <c r="PG1540" i="10" a="1"/>
  <c r="PG1540" i="10" s="1"/>
  <c r="PF1540" i="10" a="1"/>
  <c r="PF1540" i="10" s="1"/>
  <c r="PE1540" i="10" a="1"/>
  <c r="PE1540" i="10" s="1"/>
  <c r="PD1540" i="10" a="1"/>
  <c r="PD1540" i="10" s="1"/>
  <c r="PC1540" i="10" a="1"/>
  <c r="PC1540" i="10" s="1"/>
  <c r="PB1540" i="10" a="1"/>
  <c r="PB1540" i="10" s="1"/>
  <c r="PA1540" i="10" a="1"/>
  <c r="PA1540" i="10" s="1"/>
  <c r="OZ1540" i="10" a="1"/>
  <c r="OZ1540" i="10" s="1"/>
  <c r="OY1540" i="10" a="1"/>
  <c r="OY1540" i="10" s="1"/>
  <c r="OX1540" i="10" a="1"/>
  <c r="OX1540" i="10" s="1"/>
  <c r="OW1540" i="10" a="1"/>
  <c r="OW1540" i="10" s="1"/>
  <c r="OV1540" i="10" a="1"/>
  <c r="OV1540" i="10" s="1"/>
  <c r="OU1540" i="10" a="1"/>
  <c r="OU1540" i="10" s="1"/>
  <c r="OT1540" i="10" a="1"/>
  <c r="OT1540" i="10" s="1"/>
  <c r="OS1540" i="10" a="1"/>
  <c r="OS1540" i="10" s="1"/>
  <c r="OR1540" i="10" a="1"/>
  <c r="OR1540" i="10" s="1"/>
  <c r="OQ1540" i="10" a="1"/>
  <c r="OQ1540" i="10" s="1"/>
  <c r="OP1540" i="10" a="1"/>
  <c r="OP1540" i="10" s="1"/>
  <c r="OO1540" i="10" a="1"/>
  <c r="OO1540" i="10" s="1"/>
  <c r="ON1540" i="10" a="1"/>
  <c r="ON1540" i="10" s="1"/>
  <c r="OM1540" i="10" a="1"/>
  <c r="OM1540" i="10" s="1"/>
  <c r="OL1540" i="10" a="1"/>
  <c r="OL1540" i="10" s="1"/>
  <c r="OK1540" i="10" a="1"/>
  <c r="OK1540" i="10" s="1"/>
  <c r="OJ1540" i="10" a="1"/>
  <c r="OJ1540" i="10" s="1"/>
  <c r="OI1540" i="10" a="1"/>
  <c r="OI1540" i="10" s="1"/>
  <c r="OH1540" i="10" a="1"/>
  <c r="OH1540" i="10" s="1"/>
  <c r="OG1540" i="10" a="1"/>
  <c r="OG1540" i="10" s="1"/>
  <c r="OF1540" i="10" a="1"/>
  <c r="OF1540" i="10" s="1"/>
  <c r="OE1540" i="10" a="1"/>
  <c r="OE1540" i="10" s="1"/>
  <c r="OD1540" i="10" a="1"/>
  <c r="OD1540" i="10" s="1"/>
  <c r="OC1540" i="10" a="1"/>
  <c r="OC1540" i="10" s="1"/>
  <c r="OB1540" i="10" a="1"/>
  <c r="OB1540" i="10" s="1"/>
  <c r="OA1540" i="10" a="1"/>
  <c r="OA1540" i="10" s="1"/>
  <c r="NZ1540" i="10" a="1"/>
  <c r="NZ1540" i="10" s="1"/>
  <c r="NY1540" i="10" a="1"/>
  <c r="NY1540" i="10" s="1"/>
  <c r="NX1540" i="10" a="1"/>
  <c r="NX1540" i="10" s="1"/>
  <c r="NW1540" i="10" a="1"/>
  <c r="NW1540" i="10" s="1"/>
  <c r="NV1540" i="10" a="1"/>
  <c r="NV1540" i="10" s="1"/>
  <c r="NU1540" i="10" a="1"/>
  <c r="NU1540" i="10" s="1"/>
  <c r="NT1540" i="10" a="1"/>
  <c r="NT1540" i="10" s="1"/>
  <c r="NS1540" i="10" a="1"/>
  <c r="NS1540" i="10" s="1"/>
  <c r="NR1540" i="10" a="1"/>
  <c r="NR1540" i="10" s="1"/>
  <c r="NQ1540" i="10" a="1"/>
  <c r="NQ1540" i="10" s="1"/>
  <c r="NP1540" i="10" a="1"/>
  <c r="NP1540" i="10" s="1"/>
  <c r="NO1540" i="10" a="1"/>
  <c r="NO1540" i="10" s="1"/>
  <c r="NN1540" i="10" a="1"/>
  <c r="NN1540" i="10" s="1"/>
  <c r="NM1540" i="10" a="1"/>
  <c r="NM1540" i="10" s="1"/>
  <c r="NL1540" i="10" a="1"/>
  <c r="NL1540" i="10" s="1"/>
  <c r="NK1540" i="10" a="1"/>
  <c r="NK1540" i="10" s="1"/>
  <c r="NJ1540" i="10" a="1"/>
  <c r="NJ1540" i="10" s="1"/>
  <c r="NI1540" i="10" a="1"/>
  <c r="NI1540" i="10" s="1"/>
  <c r="NH1540" i="10" a="1"/>
  <c r="NH1540" i="10" s="1"/>
  <c r="NG1540" i="10" a="1"/>
  <c r="NG1540" i="10" s="1"/>
  <c r="NF1540" i="10" a="1"/>
  <c r="NF1540" i="10" s="1"/>
  <c r="NE1540" i="10" a="1"/>
  <c r="NE1540" i="10" s="1"/>
  <c r="ND1540" i="10" a="1"/>
  <c r="ND1540" i="10" s="1"/>
  <c r="NC1540" i="10" a="1"/>
  <c r="NC1540" i="10" s="1"/>
  <c r="NB1540" i="10" a="1"/>
  <c r="NB1540" i="10" s="1"/>
  <c r="NA1540" i="10" a="1"/>
  <c r="NA1540" i="10" s="1"/>
  <c r="MZ1540" i="10" a="1"/>
  <c r="MZ1540" i="10" s="1"/>
  <c r="MY1540" i="10" a="1"/>
  <c r="MY1540" i="10" s="1"/>
  <c r="MX1540" i="10" a="1"/>
  <c r="MX1540" i="10" s="1"/>
  <c r="MW1540" i="10" a="1"/>
  <c r="MW1540" i="10" s="1"/>
  <c r="MV1540" i="10" a="1"/>
  <c r="MV1540" i="10" s="1"/>
  <c r="MU1540" i="10" a="1"/>
  <c r="MU1540" i="10" s="1"/>
  <c r="MT1540" i="10" a="1"/>
  <c r="MT1540" i="10" s="1"/>
  <c r="MS1540" i="10" a="1"/>
  <c r="MS1540" i="10" s="1"/>
  <c r="MR1540" i="10" a="1"/>
  <c r="MR1540" i="10" s="1"/>
  <c r="MQ1540" i="10" a="1"/>
  <c r="MQ1540" i="10" s="1"/>
  <c r="MP1540" i="10" a="1"/>
  <c r="MP1540" i="10" s="1"/>
  <c r="MO1540" i="10" a="1"/>
  <c r="MO1540" i="10" s="1"/>
  <c r="MN1540" i="10" a="1"/>
  <c r="MN1540" i="10" s="1"/>
  <c r="MM1540" i="10" a="1"/>
  <c r="MM1540" i="10" s="1"/>
  <c r="ML1540" i="10" a="1"/>
  <c r="ML1540" i="10" s="1"/>
  <c r="MK1540" i="10" a="1"/>
  <c r="MK1540" i="10" s="1"/>
  <c r="MJ1540" i="10" a="1"/>
  <c r="MJ1540" i="10" s="1"/>
  <c r="MI1540" i="10" a="1"/>
  <c r="MI1540" i="10" s="1"/>
  <c r="MH1540" i="10" a="1"/>
  <c r="MH1540" i="10" s="1"/>
  <c r="MG1540" i="10" a="1"/>
  <c r="MG1540" i="10" s="1"/>
  <c r="MF1540" i="10" a="1"/>
  <c r="MF1540" i="10" s="1"/>
  <c r="ME1540" i="10" a="1"/>
  <c r="ME1540" i="10" s="1"/>
  <c r="MD1540" i="10" a="1"/>
  <c r="MD1540" i="10" s="1"/>
  <c r="MC1540" i="10" a="1"/>
  <c r="MC1540" i="10" s="1"/>
  <c r="MB1540" i="10" a="1"/>
  <c r="MB1540" i="10" s="1"/>
  <c r="MA1540" i="10" a="1"/>
  <c r="MA1540" i="10" s="1"/>
  <c r="LZ1540" i="10" a="1"/>
  <c r="LZ1540" i="10" s="1"/>
  <c r="LY1540" i="10" a="1"/>
  <c r="LY1540" i="10" s="1"/>
  <c r="LX1540" i="10" a="1"/>
  <c r="LX1540" i="10" s="1"/>
  <c r="LW1540" i="10" a="1"/>
  <c r="LW1540" i="10" s="1"/>
  <c r="LV1540" i="10" a="1"/>
  <c r="LV1540" i="10" s="1"/>
  <c r="LU1540" i="10" a="1"/>
  <c r="LU1540" i="10" s="1"/>
  <c r="LT1540" i="10" a="1"/>
  <c r="LT1540" i="10" s="1"/>
  <c r="LS1540" i="10" a="1"/>
  <c r="LS1540" i="10" s="1"/>
  <c r="LR1540" i="10" a="1"/>
  <c r="LR1540" i="10" s="1"/>
  <c r="LQ1540" i="10" a="1"/>
  <c r="LQ1540" i="10" s="1"/>
  <c r="LP1540" i="10" a="1"/>
  <c r="LP1540" i="10" s="1"/>
  <c r="LO1540" i="10" a="1"/>
  <c r="LO1540" i="10" s="1"/>
  <c r="LN1540" i="10" a="1"/>
  <c r="LN1540" i="10" s="1"/>
  <c r="LM1540" i="10" a="1"/>
  <c r="LM1540" i="10" s="1"/>
  <c r="LL1540" i="10" a="1"/>
  <c r="LL1540" i="10" s="1"/>
  <c r="LK1540" i="10" a="1"/>
  <c r="LK1540" i="10" s="1"/>
  <c r="LJ1540" i="10" a="1"/>
  <c r="LJ1540" i="10" s="1"/>
  <c r="LI1540" i="10" a="1"/>
  <c r="LI1540" i="10" s="1"/>
  <c r="LH1540" i="10" a="1"/>
  <c r="LH1540" i="10" s="1"/>
  <c r="LG1540" i="10" a="1"/>
  <c r="LG1540" i="10" s="1"/>
  <c r="LF1540" i="10" a="1"/>
  <c r="LF1540" i="10" s="1"/>
  <c r="LE1540" i="10" a="1"/>
  <c r="LE1540" i="10" s="1"/>
  <c r="LD1540" i="10" a="1"/>
  <c r="LD1540" i="10" s="1"/>
  <c r="LC1540" i="10" a="1"/>
  <c r="LC1540" i="10" s="1"/>
  <c r="LB1540" i="10" a="1"/>
  <c r="LB1540" i="10" s="1"/>
  <c r="LA1540" i="10" a="1"/>
  <c r="LA1540" i="10" s="1"/>
  <c r="KZ1540" i="10" a="1"/>
  <c r="KZ1540" i="10" s="1"/>
  <c r="KY1540" i="10" a="1"/>
  <c r="KY1540" i="10" s="1"/>
  <c r="KX1540" i="10" a="1"/>
  <c r="KX1540" i="10" s="1"/>
  <c r="KW1540" i="10" a="1"/>
  <c r="KW1540" i="10" s="1"/>
  <c r="KV1540" i="10" a="1"/>
  <c r="KV1540" i="10" s="1"/>
  <c r="KU1540" i="10" a="1"/>
  <c r="KU1540" i="10" s="1"/>
  <c r="KT1540" i="10" a="1"/>
  <c r="KT1540" i="10" s="1"/>
  <c r="KS1540" i="10" a="1"/>
  <c r="KS1540" i="10" s="1"/>
  <c r="KR1540" i="10" a="1"/>
  <c r="KR1540" i="10" s="1"/>
  <c r="KQ1540" i="10" a="1"/>
  <c r="KQ1540" i="10" s="1"/>
  <c r="KP1540" i="10" a="1"/>
  <c r="KP1540" i="10" s="1"/>
  <c r="KO1540" i="10" a="1"/>
  <c r="KO1540" i="10" s="1"/>
  <c r="KN1540" i="10" a="1"/>
  <c r="KN1540" i="10" s="1"/>
  <c r="KM1540" i="10" a="1"/>
  <c r="KM1540" i="10" s="1"/>
  <c r="KL1540" i="10" a="1"/>
  <c r="KL1540" i="10" s="1"/>
  <c r="KK1540" i="10" a="1"/>
  <c r="KK1540" i="10" s="1"/>
  <c r="KJ1540" i="10" a="1"/>
  <c r="KJ1540" i="10" s="1"/>
  <c r="KI1540" i="10" a="1"/>
  <c r="KI1540" i="10" s="1"/>
  <c r="KH1540" i="10" a="1"/>
  <c r="KH1540" i="10" s="1"/>
  <c r="KG1540" i="10" a="1"/>
  <c r="KG1540" i="10" s="1"/>
  <c r="KF1540" i="10" a="1"/>
  <c r="KF1540" i="10" s="1"/>
  <c r="KE1540" i="10" a="1"/>
  <c r="KE1540" i="10" s="1"/>
  <c r="KD1540" i="10" a="1"/>
  <c r="KD1540" i="10" s="1"/>
  <c r="KC1540" i="10" a="1"/>
  <c r="KC1540" i="10" s="1"/>
  <c r="KB1540" i="10" a="1"/>
  <c r="KB1540" i="10" s="1"/>
  <c r="KA1540" i="10" a="1"/>
  <c r="KA1540" i="10" s="1"/>
  <c r="JZ1540" i="10" a="1"/>
  <c r="JZ1540" i="10" s="1"/>
  <c r="JY1540" i="10" a="1"/>
  <c r="JY1540" i="10" s="1"/>
  <c r="JX1540" i="10" a="1"/>
  <c r="JX1540" i="10" s="1"/>
  <c r="JW1540" i="10" a="1"/>
  <c r="JW1540" i="10" s="1"/>
  <c r="JV1540" i="10" a="1"/>
  <c r="JV1540" i="10" s="1"/>
  <c r="JU1540" i="10" a="1"/>
  <c r="JU1540" i="10" s="1"/>
  <c r="JT1540" i="10" a="1"/>
  <c r="JT1540" i="10" s="1"/>
  <c r="JS1540" i="10" a="1"/>
  <c r="JS1540" i="10" s="1"/>
  <c r="JR1540" i="10" a="1"/>
  <c r="JR1540" i="10" s="1"/>
  <c r="JQ1540" i="10" a="1"/>
  <c r="JQ1540" i="10" s="1"/>
  <c r="JP1540" i="10" a="1"/>
  <c r="JP1540" i="10" s="1"/>
  <c r="JO1540" i="10" a="1"/>
  <c r="JO1540" i="10" s="1"/>
  <c r="JN1540" i="10" a="1"/>
  <c r="JN1540" i="10" s="1"/>
  <c r="JM1540" i="10" a="1"/>
  <c r="JM1540" i="10" s="1"/>
  <c r="JL1540" i="10" a="1"/>
  <c r="JL1540" i="10" s="1"/>
  <c r="JK1540" i="10" a="1"/>
  <c r="JK1540" i="10" s="1"/>
  <c r="JJ1540" i="10" a="1"/>
  <c r="JJ1540" i="10" s="1"/>
  <c r="JI1540" i="10" a="1"/>
  <c r="JI1540" i="10" s="1"/>
  <c r="JH1540" i="10" a="1"/>
  <c r="JH1540" i="10" s="1"/>
  <c r="JG1540" i="10" a="1"/>
  <c r="JG1540" i="10" s="1"/>
  <c r="JF1540" i="10" a="1"/>
  <c r="JF1540" i="10" s="1"/>
  <c r="JE1540" i="10" a="1"/>
  <c r="JE1540" i="10" s="1"/>
  <c r="JD1540" i="10" a="1"/>
  <c r="JD1540" i="10" s="1"/>
  <c r="JC1540" i="10" a="1"/>
  <c r="JC1540" i="10" s="1"/>
  <c r="JB1540" i="10" a="1"/>
  <c r="JB1540" i="10" s="1"/>
  <c r="JA1540" i="10" a="1"/>
  <c r="JA1540" i="10" s="1"/>
  <c r="IZ1540" i="10" a="1"/>
  <c r="IZ1540" i="10" s="1"/>
  <c r="IY1540" i="10" a="1"/>
  <c r="IY1540" i="10" s="1"/>
  <c r="IX1540" i="10" a="1"/>
  <c r="IX1540" i="10" s="1"/>
  <c r="IW1540" i="10" a="1"/>
  <c r="IW1540" i="10" s="1"/>
  <c r="IV1540" i="10" a="1"/>
  <c r="IV1540" i="10" s="1"/>
  <c r="IU1540" i="10" a="1"/>
  <c r="IU1540" i="10" s="1"/>
  <c r="IT1540" i="10" a="1"/>
  <c r="IT1540" i="10" s="1"/>
  <c r="IS1540" i="10" a="1"/>
  <c r="IS1540" i="10" s="1"/>
  <c r="IR1540" i="10" a="1"/>
  <c r="IR1540" i="10" s="1"/>
  <c r="IQ1540" i="10" a="1"/>
  <c r="IQ1540" i="10" s="1"/>
  <c r="IP1540" i="10" a="1"/>
  <c r="IP1540" i="10" s="1"/>
  <c r="IO1540" i="10" a="1"/>
  <c r="IO1540" i="10" s="1"/>
  <c r="IN1540" i="10" a="1"/>
  <c r="IN1540" i="10" s="1"/>
  <c r="IM1540" i="10" a="1"/>
  <c r="IM1540" i="10" s="1"/>
  <c r="IL1540" i="10" a="1"/>
  <c r="IL1540" i="10" s="1"/>
  <c r="IK1540" i="10" a="1"/>
  <c r="IK1540" i="10" s="1"/>
  <c r="IJ1540" i="10" a="1"/>
  <c r="IJ1540" i="10" s="1"/>
  <c r="II1540" i="10" a="1"/>
  <c r="II1540" i="10" s="1"/>
  <c r="IH1540" i="10" a="1"/>
  <c r="IH1540" i="10" s="1"/>
  <c r="IG1540" i="10" a="1"/>
  <c r="IG1540" i="10" s="1"/>
  <c r="IF1540" i="10" a="1"/>
  <c r="IF1540" i="10" s="1"/>
  <c r="IE1540" i="10" a="1"/>
  <c r="IE1540" i="10" s="1"/>
  <c r="ID1540" i="10" a="1"/>
  <c r="ID1540" i="10" s="1"/>
  <c r="IC1540" i="10" a="1"/>
  <c r="IC1540" i="10" s="1"/>
  <c r="IB1540" i="10" a="1"/>
  <c r="IB1540" i="10" s="1"/>
  <c r="IA1540" i="10" a="1"/>
  <c r="IA1540" i="10" s="1"/>
  <c r="HZ1540" i="10" a="1"/>
  <c r="HZ1540" i="10" s="1"/>
  <c r="HY1540" i="10" a="1"/>
  <c r="HY1540" i="10" s="1"/>
  <c r="HX1540" i="10" a="1"/>
  <c r="HX1540" i="10" s="1"/>
  <c r="HW1540" i="10" a="1"/>
  <c r="HW1540" i="10" s="1"/>
  <c r="HV1540" i="10" a="1"/>
  <c r="HV1540" i="10" s="1"/>
  <c r="HU1540" i="10" a="1"/>
  <c r="HU1540" i="10" s="1"/>
  <c r="HT1540" i="10" a="1"/>
  <c r="HT1540" i="10" s="1"/>
  <c r="HS1540" i="10" a="1"/>
  <c r="HS1540" i="10" s="1"/>
  <c r="HR1540" i="10" a="1"/>
  <c r="HR1540" i="10" s="1"/>
  <c r="HQ1540" i="10" a="1"/>
  <c r="HQ1540" i="10" s="1"/>
  <c r="HP1540" i="10" a="1"/>
  <c r="HP1540" i="10" s="1"/>
  <c r="HO1540" i="10" a="1"/>
  <c r="HO1540" i="10" s="1"/>
  <c r="HN1540" i="10" a="1"/>
  <c r="HN1540" i="10" s="1"/>
  <c r="HM1540" i="10" a="1"/>
  <c r="HM1540" i="10" s="1"/>
  <c r="HL1540" i="10" a="1"/>
  <c r="HL1540" i="10" s="1"/>
  <c r="HK1540" i="10" a="1"/>
  <c r="HK1540" i="10" s="1"/>
  <c r="HJ1540" i="10" a="1"/>
  <c r="HJ1540" i="10" s="1"/>
  <c r="HI1540" i="10" a="1"/>
  <c r="HI1540" i="10" s="1"/>
  <c r="HH1540" i="10" a="1"/>
  <c r="HH1540" i="10" s="1"/>
  <c r="HG1540" i="10" a="1"/>
  <c r="HG1540" i="10" s="1"/>
  <c r="HF1540" i="10" a="1"/>
  <c r="HF1540" i="10" s="1"/>
  <c r="HE1540" i="10" a="1"/>
  <c r="HE1540" i="10" s="1"/>
  <c r="HD1540" i="10" a="1"/>
  <c r="HD1540" i="10" s="1"/>
  <c r="HC1540" i="10" a="1"/>
  <c r="HC1540" i="10" s="1"/>
  <c r="HB1540" i="10" a="1"/>
  <c r="HB1540" i="10" s="1"/>
  <c r="HA1540" i="10" a="1"/>
  <c r="HA1540" i="10" s="1"/>
  <c r="GZ1540" i="10" a="1"/>
  <c r="GZ1540" i="10" s="1"/>
  <c r="GY1540" i="10" a="1"/>
  <c r="GY1540" i="10" s="1"/>
  <c r="GX1540" i="10" a="1"/>
  <c r="GX1540" i="10" s="1"/>
  <c r="GW1540" i="10" a="1"/>
  <c r="GW1540" i="10" s="1"/>
  <c r="GV1540" i="10" a="1"/>
  <c r="GV1540" i="10" s="1"/>
  <c r="GU1540" i="10" a="1"/>
  <c r="GU1540" i="10" s="1"/>
  <c r="GT1540" i="10" a="1"/>
  <c r="GT1540" i="10" s="1"/>
  <c r="GS1540" i="10" a="1"/>
  <c r="GS1540" i="10" s="1"/>
  <c r="GR1540" i="10" a="1"/>
  <c r="GR1540" i="10" s="1"/>
  <c r="GQ1540" i="10" a="1"/>
  <c r="GQ1540" i="10" s="1"/>
  <c r="GP1540" i="10" a="1"/>
  <c r="GP1540" i="10" s="1"/>
  <c r="GO1540" i="10" a="1"/>
  <c r="GO1540" i="10" s="1"/>
  <c r="GN1540" i="10" a="1"/>
  <c r="GN1540" i="10" s="1"/>
  <c r="GM1540" i="10" a="1"/>
  <c r="GM1540" i="10" s="1"/>
  <c r="GL1540" i="10" a="1"/>
  <c r="GL1540" i="10" s="1"/>
  <c r="GK1540" i="10" a="1"/>
  <c r="GK1540" i="10" s="1"/>
  <c r="GJ1540" i="10" a="1"/>
  <c r="GJ1540" i="10" s="1"/>
  <c r="GI1540" i="10" a="1"/>
  <c r="GI1540" i="10" s="1"/>
  <c r="GH1540" i="10" a="1"/>
  <c r="GH1540" i="10" s="1"/>
  <c r="GG1540" i="10" a="1"/>
  <c r="GG1540" i="10" s="1"/>
  <c r="GF1540" i="10" a="1"/>
  <c r="GF1540" i="10" s="1"/>
  <c r="GE1540" i="10" a="1"/>
  <c r="GE1540" i="10" s="1"/>
  <c r="GD1540" i="10" a="1"/>
  <c r="GD1540" i="10" s="1"/>
  <c r="GC1540" i="10" a="1"/>
  <c r="GC1540" i="10" s="1"/>
  <c r="GB1540" i="10" a="1"/>
  <c r="GB1540" i="10" s="1"/>
  <c r="GA1540" i="10" a="1"/>
  <c r="GA1540" i="10" s="1"/>
  <c r="FZ1540" i="10" a="1"/>
  <c r="FZ1540" i="10" s="1"/>
  <c r="FY1540" i="10" a="1"/>
  <c r="FY1540" i="10" s="1"/>
  <c r="FX1540" i="10" a="1"/>
  <c r="FX1540" i="10" s="1"/>
  <c r="FW1540" i="10" a="1"/>
  <c r="FW1540" i="10" s="1"/>
  <c r="FV1540" i="10" a="1"/>
  <c r="FV1540" i="10" s="1"/>
  <c r="FU1540" i="10" a="1"/>
  <c r="FU1540" i="10" s="1"/>
  <c r="FT1540" i="10" a="1"/>
  <c r="FT1540" i="10" s="1"/>
  <c r="FS1540" i="10" a="1"/>
  <c r="FS1540" i="10" s="1"/>
  <c r="FR1540" i="10" a="1"/>
  <c r="FR1540" i="10" s="1"/>
  <c r="FQ1540" i="10" a="1"/>
  <c r="FQ1540" i="10" s="1"/>
  <c r="FP1540" i="10" a="1"/>
  <c r="FP1540" i="10" s="1"/>
  <c r="FO1540" i="10" a="1"/>
  <c r="FO1540" i="10" s="1"/>
  <c r="FN1540" i="10" a="1"/>
  <c r="FN1540" i="10" s="1"/>
  <c r="FM1540" i="10" a="1"/>
  <c r="FM1540" i="10" s="1"/>
  <c r="FL1540" i="10" a="1"/>
  <c r="FL1540" i="10" s="1"/>
  <c r="FK1540" i="10" a="1"/>
  <c r="FK1540" i="10" s="1"/>
  <c r="FJ1540" i="10" a="1"/>
  <c r="FJ1540" i="10" s="1"/>
  <c r="FI1540" i="10" a="1"/>
  <c r="FI1540" i="10" s="1"/>
  <c r="FH1540" i="10" a="1"/>
  <c r="FH1540" i="10" s="1"/>
  <c r="FG1540" i="10" a="1"/>
  <c r="FG1540" i="10" s="1"/>
  <c r="FF1540" i="10" a="1"/>
  <c r="FF1540" i="10" s="1"/>
  <c r="FE1540" i="10" a="1"/>
  <c r="FE1540" i="10" s="1"/>
  <c r="FD1540" i="10" a="1"/>
  <c r="FD1540" i="10" s="1"/>
  <c r="FC1540" i="10" a="1"/>
  <c r="FC1540" i="10" s="1"/>
  <c r="FB1540" i="10" a="1"/>
  <c r="FB1540" i="10" s="1"/>
  <c r="FA1540" i="10" a="1"/>
  <c r="FA1540" i="10" s="1"/>
  <c r="EZ1540" i="10" a="1"/>
  <c r="EZ1540" i="10" s="1"/>
  <c r="EY1540" i="10" a="1"/>
  <c r="EY1540" i="10" s="1"/>
  <c r="EX1540" i="10" a="1"/>
  <c r="EX1540" i="10" s="1"/>
  <c r="EW1540" i="10" a="1"/>
  <c r="EW1540" i="10" s="1"/>
  <c r="EV1540" i="10" a="1"/>
  <c r="EV1540" i="10" s="1"/>
  <c r="EU1540" i="10" a="1"/>
  <c r="EU1540" i="10" s="1"/>
  <c r="ET1540" i="10" a="1"/>
  <c r="ET1540" i="10" s="1"/>
  <c r="ES1540" i="10" a="1"/>
  <c r="ES1540" i="10" s="1"/>
  <c r="ER1540" i="10" a="1"/>
  <c r="ER1540" i="10" s="1"/>
  <c r="EQ1540" i="10" a="1"/>
  <c r="EQ1540" i="10" s="1"/>
  <c r="EP1540" i="10" a="1"/>
  <c r="EP1540" i="10" s="1"/>
  <c r="EO1540" i="10" a="1"/>
  <c r="EO1540" i="10" s="1"/>
  <c r="EN1540" i="10" a="1"/>
  <c r="EN1540" i="10" s="1"/>
  <c r="EM1540" i="10" a="1"/>
  <c r="EM1540" i="10" s="1"/>
  <c r="EL1540" i="10" a="1"/>
  <c r="EL1540" i="10" s="1"/>
  <c r="EK1540" i="10" a="1"/>
  <c r="EK1540" i="10" s="1"/>
  <c r="EJ1540" i="10" a="1"/>
  <c r="EJ1540" i="10" s="1"/>
  <c r="EI1540" i="10" a="1"/>
  <c r="EI1540" i="10" s="1"/>
  <c r="EH1540" i="10" a="1"/>
  <c r="EH1540" i="10" s="1"/>
  <c r="EG1540" i="10" a="1"/>
  <c r="EG1540" i="10" s="1"/>
  <c r="EF1540" i="10" a="1"/>
  <c r="EF1540" i="10" s="1"/>
  <c r="EE1540" i="10" a="1"/>
  <c r="EE1540" i="10" s="1"/>
  <c r="ED1540" i="10" a="1"/>
  <c r="ED1540" i="10" s="1"/>
  <c r="EC1540" i="10" a="1"/>
  <c r="EC1540" i="10" s="1"/>
  <c r="EB1540" i="10" a="1"/>
  <c r="EB1540" i="10" s="1"/>
  <c r="EA1540" i="10" a="1"/>
  <c r="EA1540" i="10" s="1"/>
  <c r="DZ1540" i="10" a="1"/>
  <c r="DZ1540" i="10" s="1"/>
  <c r="DY1540" i="10" a="1"/>
  <c r="DY1540" i="10" s="1"/>
  <c r="DX1540" i="10" a="1"/>
  <c r="DX1540" i="10" s="1"/>
  <c r="DW1540" i="10" a="1"/>
  <c r="DW1540" i="10" s="1"/>
  <c r="DV1540" i="10" a="1"/>
  <c r="DV1540" i="10" s="1"/>
  <c r="DU1540" i="10" a="1"/>
  <c r="DU1540" i="10" s="1"/>
  <c r="DT1540" i="10" a="1"/>
  <c r="DT1540" i="10" s="1"/>
  <c r="DS1540" i="10" a="1"/>
  <c r="DS1540" i="10" s="1"/>
  <c r="DR1540" i="10" a="1"/>
  <c r="DR1540" i="10" s="1"/>
  <c r="DQ1540" i="10" a="1"/>
  <c r="DQ1540" i="10" s="1"/>
  <c r="DP1540" i="10" a="1"/>
  <c r="DP1540" i="10" s="1"/>
  <c r="DO1540" i="10" a="1"/>
  <c r="DO1540" i="10" s="1"/>
  <c r="DN1540" i="10" a="1"/>
  <c r="DN1540" i="10" s="1"/>
  <c r="DM1540" i="10" a="1"/>
  <c r="DM1540" i="10" s="1"/>
  <c r="DL1540" i="10" a="1"/>
  <c r="DL1540" i="10" s="1"/>
  <c r="DK1540" i="10" a="1"/>
  <c r="DK1540" i="10" s="1"/>
  <c r="DJ1540" i="10" a="1"/>
  <c r="DJ1540" i="10" s="1"/>
  <c r="DI1540" i="10" a="1"/>
  <c r="DI1540" i="10" s="1"/>
  <c r="DH1540" i="10" a="1"/>
  <c r="DH1540" i="10" s="1"/>
  <c r="DG1540" i="10" a="1"/>
  <c r="DG1540" i="10" s="1"/>
  <c r="DF1540" i="10" a="1"/>
  <c r="DF1540" i="10" s="1"/>
  <c r="DE1540" i="10" a="1"/>
  <c r="DE1540" i="10" s="1"/>
  <c r="DD1540" i="10" a="1"/>
  <c r="DD1540" i="10" s="1"/>
  <c r="DC1540" i="10" a="1"/>
  <c r="DC1540" i="10" s="1"/>
  <c r="DB1540" i="10" a="1"/>
  <c r="DB1540" i="10" s="1"/>
  <c r="DA1540" i="10" a="1"/>
  <c r="DA1540" i="10" s="1"/>
  <c r="CZ1540" i="10" a="1"/>
  <c r="CZ1540" i="10" s="1"/>
  <c r="CY1540" i="10" a="1"/>
  <c r="CY1540" i="10" s="1"/>
  <c r="CX1540" i="10" a="1"/>
  <c r="CX1540" i="10" s="1"/>
  <c r="CW1540" i="10" a="1"/>
  <c r="CW1540" i="10" s="1"/>
  <c r="CV1540" i="10" a="1"/>
  <c r="CV1540" i="10" s="1"/>
  <c r="CU1540" i="10" a="1"/>
  <c r="CU1540" i="10" s="1"/>
  <c r="CT1540" i="10" a="1"/>
  <c r="CT1540" i="10" s="1"/>
  <c r="CS1540" i="10" a="1"/>
  <c r="CS1540" i="10" s="1"/>
  <c r="CR1540" i="10" a="1"/>
  <c r="CR1540" i="10" s="1"/>
  <c r="CQ1540" i="10" a="1"/>
  <c r="CQ1540" i="10" s="1"/>
  <c r="CP1540" i="10" a="1"/>
  <c r="CP1540" i="10" s="1"/>
  <c r="CO1540" i="10" a="1"/>
  <c r="CO1540" i="10" s="1"/>
  <c r="CN1540" i="10" a="1"/>
  <c r="CN1540" i="10" s="1"/>
  <c r="CM1540" i="10" a="1"/>
  <c r="CM1540" i="10" s="1"/>
  <c r="CL1540" i="10" a="1"/>
  <c r="CL1540" i="10" s="1"/>
  <c r="CK1540" i="10" a="1"/>
  <c r="CK1540" i="10" s="1"/>
  <c r="CJ1540" i="10" a="1"/>
  <c r="CJ1540" i="10" s="1"/>
  <c r="CI1540" i="10" a="1"/>
  <c r="CI1540" i="10" s="1"/>
  <c r="CH1540" i="10" a="1"/>
  <c r="CH1540" i="10" s="1"/>
  <c r="CG1540" i="10" a="1"/>
  <c r="CG1540" i="10" s="1"/>
  <c r="CF1540" i="10" a="1"/>
  <c r="CF1540" i="10" s="1"/>
  <c r="CE1540" i="10" a="1"/>
  <c r="CE1540" i="10" s="1"/>
  <c r="CD1540" i="10" a="1"/>
  <c r="CD1540" i="10" s="1"/>
  <c r="CC1540" i="10" a="1"/>
  <c r="CC1540" i="10" s="1"/>
  <c r="CB1540" i="10" a="1"/>
  <c r="CB1540" i="10" s="1"/>
  <c r="CA1540" i="10" a="1"/>
  <c r="CA1540" i="10" s="1"/>
  <c r="BZ1540" i="10" a="1"/>
  <c r="BZ1540" i="10" s="1"/>
  <c r="BY1540" i="10" a="1"/>
  <c r="BY1540" i="10" s="1"/>
  <c r="BX1540" i="10" a="1"/>
  <c r="BX1540" i="10" s="1"/>
  <c r="BW1540" i="10" a="1"/>
  <c r="BW1540" i="10" s="1"/>
  <c r="BV1540" i="10" a="1"/>
  <c r="BV1540" i="10" s="1"/>
  <c r="BU1540" i="10" a="1"/>
  <c r="BU1540" i="10" s="1"/>
  <c r="BT1540" i="10" a="1"/>
  <c r="BT1540" i="10" s="1"/>
  <c r="BS1540" i="10" a="1"/>
  <c r="BS1540" i="10" s="1"/>
  <c r="BR1540" i="10" a="1"/>
  <c r="BR1540" i="10" s="1"/>
  <c r="BQ1540" i="10" a="1"/>
  <c r="BQ1540" i="10" s="1"/>
  <c r="BP1540" i="10" a="1"/>
  <c r="BP1540" i="10" s="1"/>
  <c r="BO1540" i="10" a="1"/>
  <c r="BO1540" i="10" s="1"/>
  <c r="BN1540" i="10" a="1"/>
  <c r="BN1540" i="10" s="1"/>
  <c r="BM1540" i="10" a="1"/>
  <c r="BM1540" i="10" s="1"/>
  <c r="BL1540" i="10" a="1"/>
  <c r="BL1540" i="10" s="1"/>
  <c r="BK1540" i="10" a="1"/>
  <c r="BK1540" i="10" s="1"/>
  <c r="BJ1540" i="10" a="1"/>
  <c r="BJ1540" i="10" s="1"/>
  <c r="BI1540" i="10" a="1"/>
  <c r="BI1540" i="10" s="1"/>
  <c r="BH1540" i="10" a="1"/>
  <c r="BH1540" i="10" s="1"/>
  <c r="BG1540" i="10" a="1"/>
  <c r="BG1540" i="10" s="1"/>
  <c r="BF1540" i="10" a="1"/>
  <c r="BF1540" i="10" s="1"/>
  <c r="BE1540" i="10" a="1"/>
  <c r="BE1540" i="10" s="1"/>
  <c r="BD1540" i="10" a="1"/>
  <c r="BD1540" i="10" s="1"/>
  <c r="BC1540" i="10" a="1"/>
  <c r="BC1540" i="10" s="1"/>
  <c r="BB1540" i="10" a="1"/>
  <c r="BB1540" i="10" s="1"/>
  <c r="BA1540" i="10" a="1"/>
  <c r="BA1540" i="10" s="1"/>
  <c r="AZ1540" i="10" a="1"/>
  <c r="AZ1540" i="10" s="1"/>
  <c r="AY1540" i="10" a="1"/>
  <c r="AY1540" i="10" s="1"/>
  <c r="AX1540" i="10" a="1"/>
  <c r="AX1540" i="10" s="1"/>
  <c r="AW1540" i="10" a="1"/>
  <c r="AW1540" i="10" s="1"/>
  <c r="AV1540" i="10" a="1"/>
  <c r="AV1540" i="10" s="1"/>
  <c r="AU1540" i="10" a="1"/>
  <c r="AU1540" i="10" s="1"/>
  <c r="AT1540" i="10" a="1"/>
  <c r="AT1540" i="10" s="1"/>
  <c r="AS1540" i="10" a="1"/>
  <c r="AS1540" i="10" s="1"/>
  <c r="AR1540" i="10" a="1"/>
  <c r="AR1540" i="10" s="1"/>
  <c r="AQ1540" i="10" a="1"/>
  <c r="AQ1540" i="10" s="1"/>
  <c r="AP1540" i="10" a="1"/>
  <c r="AP1540" i="10" s="1"/>
  <c r="AO1540" i="10" a="1"/>
  <c r="AO1540" i="10" s="1"/>
  <c r="AN1540" i="10" a="1"/>
  <c r="AN1540" i="10" s="1"/>
  <c r="AM1540" i="10" a="1"/>
  <c r="AM1540" i="10" s="1"/>
  <c r="AL1540" i="10" a="1"/>
  <c r="AL1540" i="10" s="1"/>
  <c r="Q18" i="9" s="1"/>
  <c r="AK1540" i="10" a="1"/>
  <c r="AK1540" i="10" s="1"/>
  <c r="AJ1540" i="10" a="1"/>
  <c r="AJ1540" i="10" s="1"/>
  <c r="AI1540" i="10" a="1"/>
  <c r="AI1540" i="10" s="1"/>
  <c r="AH1540" i="10" a="1"/>
  <c r="AH1540" i="10" s="1"/>
  <c r="AG1540" i="10" a="1"/>
  <c r="AG1540" i="10" s="1"/>
  <c r="AF1540" i="10" a="1"/>
  <c r="AF1540" i="10" s="1"/>
  <c r="AE1540" i="10" a="1"/>
  <c r="AE1540" i="10" s="1"/>
  <c r="AD1540" i="10" a="1"/>
  <c r="AD1540" i="10" s="1"/>
  <c r="AC1540" i="10" a="1"/>
  <c r="AC1540" i="10" s="1"/>
  <c r="AB1540" i="10" a="1"/>
  <c r="AB1540" i="10" s="1"/>
  <c r="AA1540" i="10" a="1"/>
  <c r="AA1540" i="10" s="1"/>
  <c r="Z1540" i="10" a="1"/>
  <c r="Z1540" i="10" s="1"/>
  <c r="Y1540" i="10" a="1"/>
  <c r="Y1540" i="10" s="1"/>
  <c r="X1540" i="10" a="1"/>
  <c r="X1540" i="10" s="1"/>
  <c r="W1540" i="10" a="1"/>
  <c r="W1540" i="10" s="1"/>
  <c r="V1540" i="10" a="1"/>
  <c r="V1540" i="10" s="1"/>
  <c r="U1540" i="10" a="1"/>
  <c r="U1540" i="10" s="1"/>
  <c r="T1540" i="10" a="1"/>
  <c r="T1540" i="10" s="1"/>
  <c r="S1540" i="10" a="1"/>
  <c r="S1540" i="10" s="1"/>
  <c r="R1540" i="10" a="1"/>
  <c r="R1540" i="10" s="1"/>
  <c r="Q1540" i="10" a="1"/>
  <c r="Q1540" i="10" s="1"/>
  <c r="P1540" i="10" a="1"/>
  <c r="P1540" i="10" s="1"/>
  <c r="AGN1539" i="10" a="1"/>
  <c r="AGN1539" i="10" s="1"/>
  <c r="AGM1539" i="10" a="1"/>
  <c r="AGM1539" i="10" s="1"/>
  <c r="AGL1539" i="10" a="1"/>
  <c r="AGL1539" i="10" s="1"/>
  <c r="AGK1539" i="10" a="1"/>
  <c r="AGK1539" i="10" s="1"/>
  <c r="AGJ1539" i="10" a="1"/>
  <c r="AGJ1539" i="10" s="1"/>
  <c r="AGI1539" i="10" a="1"/>
  <c r="AGI1539" i="10" s="1"/>
  <c r="AGH1539" i="10" a="1"/>
  <c r="AGH1539" i="10" s="1"/>
  <c r="AGG1539" i="10" a="1"/>
  <c r="AGG1539" i="10" s="1"/>
  <c r="AGF1539" i="10" a="1"/>
  <c r="AGF1539" i="10" s="1"/>
  <c r="AGE1539" i="10" a="1"/>
  <c r="AGE1539" i="10" s="1"/>
  <c r="AGD1539" i="10" a="1"/>
  <c r="AGD1539" i="10" s="1"/>
  <c r="AGC1539" i="10" a="1"/>
  <c r="AGC1539" i="10" s="1"/>
  <c r="AGB1539" i="10" a="1"/>
  <c r="AGB1539" i="10" s="1"/>
  <c r="AGA1539" i="10" a="1"/>
  <c r="AGA1539" i="10" s="1"/>
  <c r="AFZ1539" i="10" a="1"/>
  <c r="AFZ1539" i="10" s="1"/>
  <c r="AFY1539" i="10" a="1"/>
  <c r="AFY1539" i="10" s="1"/>
  <c r="AFX1539" i="10" a="1"/>
  <c r="AFX1539" i="10" s="1"/>
  <c r="AFW1539" i="10" a="1"/>
  <c r="AFW1539" i="10" s="1"/>
  <c r="AFV1539" i="10" a="1"/>
  <c r="AFV1539" i="10" s="1"/>
  <c r="AFU1539" i="10" a="1"/>
  <c r="AFU1539" i="10" s="1"/>
  <c r="AFT1539" i="10" a="1"/>
  <c r="AFT1539" i="10" s="1"/>
  <c r="AFS1539" i="10" a="1"/>
  <c r="AFS1539" i="10" s="1"/>
  <c r="AFR1539" i="10" a="1"/>
  <c r="AFR1539" i="10" s="1"/>
  <c r="AFQ1539" i="10" a="1"/>
  <c r="AFQ1539" i="10" s="1"/>
  <c r="AFP1539" i="10" a="1"/>
  <c r="AFP1539" i="10" s="1"/>
  <c r="AFO1539" i="10" a="1"/>
  <c r="AFO1539" i="10" s="1"/>
  <c r="AFN1539" i="10" a="1"/>
  <c r="AFN1539" i="10" s="1"/>
  <c r="AFM1539" i="10" a="1"/>
  <c r="AFM1539" i="10" s="1"/>
  <c r="AFL1539" i="10" a="1"/>
  <c r="AFL1539" i="10" s="1"/>
  <c r="AFK1539" i="10" a="1"/>
  <c r="AFK1539" i="10" s="1"/>
  <c r="AFJ1539" i="10" a="1"/>
  <c r="AFJ1539" i="10" s="1"/>
  <c r="AFI1539" i="10" a="1"/>
  <c r="AFI1539" i="10" s="1"/>
  <c r="AFH1539" i="10" a="1"/>
  <c r="AFH1539" i="10" s="1"/>
  <c r="AFG1539" i="10" a="1"/>
  <c r="AFG1539" i="10" s="1"/>
  <c r="AFF1539" i="10" a="1"/>
  <c r="AFF1539" i="10" s="1"/>
  <c r="AFE1539" i="10" a="1"/>
  <c r="AFE1539" i="10" s="1"/>
  <c r="AFD1539" i="10" a="1"/>
  <c r="AFD1539" i="10" s="1"/>
  <c r="AFC1539" i="10" a="1"/>
  <c r="AFC1539" i="10" s="1"/>
  <c r="AFB1539" i="10" a="1"/>
  <c r="AFB1539" i="10" s="1"/>
  <c r="AFA1539" i="10" a="1"/>
  <c r="AFA1539" i="10" s="1"/>
  <c r="AEZ1539" i="10" a="1"/>
  <c r="AEZ1539" i="10" s="1"/>
  <c r="AEY1539" i="10" a="1"/>
  <c r="AEY1539" i="10" s="1"/>
  <c r="AEX1539" i="10" a="1"/>
  <c r="AEX1539" i="10" s="1"/>
  <c r="AEW1539" i="10" a="1"/>
  <c r="AEW1539" i="10" s="1"/>
  <c r="AEV1539" i="10" a="1"/>
  <c r="AEV1539" i="10" s="1"/>
  <c r="AEU1539" i="10" a="1"/>
  <c r="AEU1539" i="10" s="1"/>
  <c r="AET1539" i="10" a="1"/>
  <c r="AET1539" i="10" s="1"/>
  <c r="AES1539" i="10" a="1"/>
  <c r="AES1539" i="10" s="1"/>
  <c r="AER1539" i="10" a="1"/>
  <c r="AER1539" i="10" s="1"/>
  <c r="AEQ1539" i="10" a="1"/>
  <c r="AEQ1539" i="10" s="1"/>
  <c r="AEP1539" i="10" a="1"/>
  <c r="AEP1539" i="10" s="1"/>
  <c r="AEO1539" i="10" a="1"/>
  <c r="AEO1539" i="10" s="1"/>
  <c r="AEN1539" i="10" a="1"/>
  <c r="AEN1539" i="10" s="1"/>
  <c r="AEM1539" i="10" a="1"/>
  <c r="AEM1539" i="10" s="1"/>
  <c r="AEL1539" i="10" a="1"/>
  <c r="AEL1539" i="10" s="1"/>
  <c r="AEK1539" i="10" a="1"/>
  <c r="AEK1539" i="10" s="1"/>
  <c r="AEJ1539" i="10" a="1"/>
  <c r="AEJ1539" i="10" s="1"/>
  <c r="AEI1539" i="10" a="1"/>
  <c r="AEI1539" i="10" s="1"/>
  <c r="AEH1539" i="10" a="1"/>
  <c r="AEH1539" i="10" s="1"/>
  <c r="AEG1539" i="10" a="1"/>
  <c r="AEG1539" i="10" s="1"/>
  <c r="AEF1539" i="10" a="1"/>
  <c r="AEF1539" i="10" s="1"/>
  <c r="AEE1539" i="10" a="1"/>
  <c r="AEE1539" i="10" s="1"/>
  <c r="AED1539" i="10" a="1"/>
  <c r="AED1539" i="10" s="1"/>
  <c r="AEC1539" i="10" a="1"/>
  <c r="AEC1539" i="10" s="1"/>
  <c r="AEB1539" i="10" a="1"/>
  <c r="AEB1539" i="10" s="1"/>
  <c r="AEA1539" i="10" a="1"/>
  <c r="AEA1539" i="10" s="1"/>
  <c r="ADZ1539" i="10" a="1"/>
  <c r="ADZ1539" i="10" s="1"/>
  <c r="ADY1539" i="10" a="1"/>
  <c r="ADY1539" i="10" s="1"/>
  <c r="ADX1539" i="10" a="1"/>
  <c r="ADX1539" i="10" s="1"/>
  <c r="ADW1539" i="10" a="1"/>
  <c r="ADW1539" i="10" s="1"/>
  <c r="ADV1539" i="10" a="1"/>
  <c r="ADV1539" i="10" s="1"/>
  <c r="ADU1539" i="10" a="1"/>
  <c r="ADU1539" i="10" s="1"/>
  <c r="ADT1539" i="10" a="1"/>
  <c r="ADT1539" i="10" s="1"/>
  <c r="ADS1539" i="10" a="1"/>
  <c r="ADS1539" i="10" s="1"/>
  <c r="ADR1539" i="10" a="1"/>
  <c r="ADR1539" i="10" s="1"/>
  <c r="ADQ1539" i="10" a="1"/>
  <c r="ADQ1539" i="10" s="1"/>
  <c r="ADP1539" i="10" a="1"/>
  <c r="ADP1539" i="10" s="1"/>
  <c r="ADO1539" i="10" a="1"/>
  <c r="ADO1539" i="10" s="1"/>
  <c r="ADN1539" i="10" a="1"/>
  <c r="ADN1539" i="10" s="1"/>
  <c r="ADM1539" i="10" a="1"/>
  <c r="ADM1539" i="10" s="1"/>
  <c r="ADL1539" i="10" a="1"/>
  <c r="ADL1539" i="10" s="1"/>
  <c r="ADK1539" i="10" a="1"/>
  <c r="ADK1539" i="10" s="1"/>
  <c r="ADJ1539" i="10" a="1"/>
  <c r="ADJ1539" i="10" s="1"/>
  <c r="ADI1539" i="10" a="1"/>
  <c r="ADI1539" i="10" s="1"/>
  <c r="ADH1539" i="10" a="1"/>
  <c r="ADH1539" i="10" s="1"/>
  <c r="ADG1539" i="10" a="1"/>
  <c r="ADG1539" i="10" s="1"/>
  <c r="ADF1539" i="10" a="1"/>
  <c r="ADF1539" i="10" s="1"/>
  <c r="ADE1539" i="10" a="1"/>
  <c r="ADE1539" i="10" s="1"/>
  <c r="ADD1539" i="10" a="1"/>
  <c r="ADD1539" i="10" s="1"/>
  <c r="ADC1539" i="10" a="1"/>
  <c r="ADC1539" i="10" s="1"/>
  <c r="ADB1539" i="10" a="1"/>
  <c r="ADB1539" i="10" s="1"/>
  <c r="ADA1539" i="10" a="1"/>
  <c r="ADA1539" i="10" s="1"/>
  <c r="ACZ1539" i="10" a="1"/>
  <c r="ACZ1539" i="10" s="1"/>
  <c r="ACY1539" i="10" a="1"/>
  <c r="ACY1539" i="10" s="1"/>
  <c r="ACX1539" i="10" a="1"/>
  <c r="ACX1539" i="10" s="1"/>
  <c r="ACW1539" i="10" a="1"/>
  <c r="ACW1539" i="10" s="1"/>
  <c r="ACV1539" i="10" a="1"/>
  <c r="ACV1539" i="10" s="1"/>
  <c r="ACU1539" i="10" a="1"/>
  <c r="ACU1539" i="10" s="1"/>
  <c r="ACT1539" i="10" a="1"/>
  <c r="ACT1539" i="10" s="1"/>
  <c r="ACS1539" i="10" a="1"/>
  <c r="ACS1539" i="10" s="1"/>
  <c r="ACR1539" i="10" a="1"/>
  <c r="ACR1539" i="10" s="1"/>
  <c r="ACQ1539" i="10" a="1"/>
  <c r="ACQ1539" i="10" s="1"/>
  <c r="ACP1539" i="10" a="1"/>
  <c r="ACP1539" i="10" s="1"/>
  <c r="ACO1539" i="10" a="1"/>
  <c r="ACO1539" i="10" s="1"/>
  <c r="ACN1539" i="10" a="1"/>
  <c r="ACN1539" i="10" s="1"/>
  <c r="ACM1539" i="10" a="1"/>
  <c r="ACM1539" i="10" s="1"/>
  <c r="ACL1539" i="10" a="1"/>
  <c r="ACL1539" i="10" s="1"/>
  <c r="ACK1539" i="10" a="1"/>
  <c r="ACK1539" i="10" s="1"/>
  <c r="ACJ1539" i="10" a="1"/>
  <c r="ACJ1539" i="10" s="1"/>
  <c r="ACI1539" i="10" a="1"/>
  <c r="ACI1539" i="10" s="1"/>
  <c r="ACH1539" i="10" a="1"/>
  <c r="ACH1539" i="10" s="1"/>
  <c r="ACG1539" i="10" a="1"/>
  <c r="ACG1539" i="10" s="1"/>
  <c r="ACF1539" i="10" a="1"/>
  <c r="ACF1539" i="10" s="1"/>
  <c r="ACE1539" i="10" a="1"/>
  <c r="ACE1539" i="10" s="1"/>
  <c r="ACD1539" i="10" a="1"/>
  <c r="ACD1539" i="10" s="1"/>
  <c r="ACC1539" i="10" a="1"/>
  <c r="ACC1539" i="10" s="1"/>
  <c r="ACB1539" i="10" a="1"/>
  <c r="ACB1539" i="10" s="1"/>
  <c r="ACA1539" i="10" a="1"/>
  <c r="ACA1539" i="10" s="1"/>
  <c r="ABZ1539" i="10" a="1"/>
  <c r="ABZ1539" i="10" s="1"/>
  <c r="ABY1539" i="10" a="1"/>
  <c r="ABY1539" i="10" s="1"/>
  <c r="ABX1539" i="10" a="1"/>
  <c r="ABX1539" i="10" s="1"/>
  <c r="ABW1539" i="10" a="1"/>
  <c r="ABW1539" i="10" s="1"/>
  <c r="ABV1539" i="10" a="1"/>
  <c r="ABV1539" i="10" s="1"/>
  <c r="ABU1539" i="10" a="1"/>
  <c r="ABU1539" i="10" s="1"/>
  <c r="ABT1539" i="10" a="1"/>
  <c r="ABT1539" i="10" s="1"/>
  <c r="ABS1539" i="10" a="1"/>
  <c r="ABS1539" i="10" s="1"/>
  <c r="ABR1539" i="10" a="1"/>
  <c r="ABR1539" i="10" s="1"/>
  <c r="ABQ1539" i="10" a="1"/>
  <c r="ABQ1539" i="10" s="1"/>
  <c r="ABP1539" i="10" a="1"/>
  <c r="ABP1539" i="10" s="1"/>
  <c r="ABO1539" i="10" a="1"/>
  <c r="ABO1539" i="10" s="1"/>
  <c r="ABN1539" i="10" a="1"/>
  <c r="ABN1539" i="10" s="1"/>
  <c r="ABM1539" i="10" a="1"/>
  <c r="ABM1539" i="10" s="1"/>
  <c r="ABL1539" i="10" a="1"/>
  <c r="ABL1539" i="10" s="1"/>
  <c r="ABK1539" i="10" a="1"/>
  <c r="ABK1539" i="10" s="1"/>
  <c r="ABJ1539" i="10" a="1"/>
  <c r="ABJ1539" i="10" s="1"/>
  <c r="ABI1539" i="10" a="1"/>
  <c r="ABI1539" i="10" s="1"/>
  <c r="ABH1539" i="10" a="1"/>
  <c r="ABH1539" i="10" s="1"/>
  <c r="ABG1539" i="10" a="1"/>
  <c r="ABG1539" i="10" s="1"/>
  <c r="ABF1539" i="10" a="1"/>
  <c r="ABF1539" i="10" s="1"/>
  <c r="ABE1539" i="10" a="1"/>
  <c r="ABE1539" i="10" s="1"/>
  <c r="ABD1539" i="10" a="1"/>
  <c r="ABD1539" i="10" s="1"/>
  <c r="ABC1539" i="10" a="1"/>
  <c r="ABC1539" i="10" s="1"/>
  <c r="ABB1539" i="10" a="1"/>
  <c r="ABB1539" i="10" s="1"/>
  <c r="ABA1539" i="10" a="1"/>
  <c r="ABA1539" i="10" s="1"/>
  <c r="AAZ1539" i="10" a="1"/>
  <c r="AAZ1539" i="10" s="1"/>
  <c r="AAY1539" i="10" a="1"/>
  <c r="AAY1539" i="10" s="1"/>
  <c r="AAX1539" i="10" a="1"/>
  <c r="AAX1539" i="10" s="1"/>
  <c r="AAW1539" i="10" a="1"/>
  <c r="AAW1539" i="10" s="1"/>
  <c r="AAV1539" i="10" a="1"/>
  <c r="AAV1539" i="10" s="1"/>
  <c r="AAU1539" i="10" a="1"/>
  <c r="AAU1539" i="10" s="1"/>
  <c r="AAT1539" i="10" a="1"/>
  <c r="AAT1539" i="10" s="1"/>
  <c r="AAS1539" i="10" a="1"/>
  <c r="AAS1539" i="10" s="1"/>
  <c r="AAR1539" i="10" a="1"/>
  <c r="AAR1539" i="10" s="1"/>
  <c r="AAQ1539" i="10" a="1"/>
  <c r="AAQ1539" i="10" s="1"/>
  <c r="AAP1539" i="10" a="1"/>
  <c r="AAP1539" i="10" s="1"/>
  <c r="AAO1539" i="10" a="1"/>
  <c r="AAO1539" i="10" s="1"/>
  <c r="AAN1539" i="10" a="1"/>
  <c r="AAN1539" i="10" s="1"/>
  <c r="AAM1539" i="10" a="1"/>
  <c r="AAM1539" i="10" s="1"/>
  <c r="AAL1539" i="10" a="1"/>
  <c r="AAL1539" i="10" s="1"/>
  <c r="AAK1539" i="10" a="1"/>
  <c r="AAK1539" i="10" s="1"/>
  <c r="AAJ1539" i="10" a="1"/>
  <c r="AAJ1539" i="10" s="1"/>
  <c r="AAI1539" i="10" a="1"/>
  <c r="AAI1539" i="10" s="1"/>
  <c r="AAH1539" i="10" a="1"/>
  <c r="AAH1539" i="10" s="1"/>
  <c r="AAG1539" i="10" a="1"/>
  <c r="AAG1539" i="10" s="1"/>
  <c r="AAF1539" i="10" a="1"/>
  <c r="AAF1539" i="10" s="1"/>
  <c r="AAE1539" i="10" a="1"/>
  <c r="AAE1539" i="10" s="1"/>
  <c r="AAD1539" i="10" a="1"/>
  <c r="AAD1539" i="10" s="1"/>
  <c r="AAC1539" i="10" a="1"/>
  <c r="AAC1539" i="10" s="1"/>
  <c r="AAB1539" i="10" a="1"/>
  <c r="AAB1539" i="10" s="1"/>
  <c r="AAA1539" i="10" a="1"/>
  <c r="AAA1539" i="10" s="1"/>
  <c r="ZZ1539" i="10" a="1"/>
  <c r="ZZ1539" i="10" s="1"/>
  <c r="ZY1539" i="10" a="1"/>
  <c r="ZY1539" i="10" s="1"/>
  <c r="ZX1539" i="10" a="1"/>
  <c r="ZX1539" i="10" s="1"/>
  <c r="ZW1539" i="10" a="1"/>
  <c r="ZW1539" i="10" s="1"/>
  <c r="ZV1539" i="10" a="1"/>
  <c r="ZV1539" i="10" s="1"/>
  <c r="ZU1539" i="10" a="1"/>
  <c r="ZU1539" i="10" s="1"/>
  <c r="ZT1539" i="10" a="1"/>
  <c r="ZT1539" i="10" s="1"/>
  <c r="ZS1539" i="10" a="1"/>
  <c r="ZS1539" i="10" s="1"/>
  <c r="ZR1539" i="10" a="1"/>
  <c r="ZR1539" i="10" s="1"/>
  <c r="ZQ1539" i="10" a="1"/>
  <c r="ZQ1539" i="10" s="1"/>
  <c r="ZP1539" i="10" a="1"/>
  <c r="ZP1539" i="10" s="1"/>
  <c r="ZO1539" i="10" a="1"/>
  <c r="ZO1539" i="10" s="1"/>
  <c r="ZN1539" i="10" a="1"/>
  <c r="ZN1539" i="10" s="1"/>
  <c r="ZM1539" i="10" a="1"/>
  <c r="ZM1539" i="10" s="1"/>
  <c r="ZL1539" i="10" a="1"/>
  <c r="ZL1539" i="10" s="1"/>
  <c r="ZK1539" i="10" a="1"/>
  <c r="ZK1539" i="10" s="1"/>
  <c r="ZJ1539" i="10" a="1"/>
  <c r="ZJ1539" i="10" s="1"/>
  <c r="ZI1539" i="10" a="1"/>
  <c r="ZI1539" i="10" s="1"/>
  <c r="ZH1539" i="10" a="1"/>
  <c r="ZH1539" i="10" s="1"/>
  <c r="ZG1539" i="10" a="1"/>
  <c r="ZG1539" i="10" s="1"/>
  <c r="ZF1539" i="10" a="1"/>
  <c r="ZF1539" i="10" s="1"/>
  <c r="ZE1539" i="10" a="1"/>
  <c r="ZE1539" i="10" s="1"/>
  <c r="ZD1539" i="10" a="1"/>
  <c r="ZD1539" i="10" s="1"/>
  <c r="ZC1539" i="10" a="1"/>
  <c r="ZC1539" i="10" s="1"/>
  <c r="ZB1539" i="10" a="1"/>
  <c r="ZB1539" i="10" s="1"/>
  <c r="ZA1539" i="10" a="1"/>
  <c r="ZA1539" i="10" s="1"/>
  <c r="YZ1539" i="10" a="1"/>
  <c r="YZ1539" i="10" s="1"/>
  <c r="YY1539" i="10" a="1"/>
  <c r="YY1539" i="10" s="1"/>
  <c r="YX1539" i="10" a="1"/>
  <c r="YX1539" i="10" s="1"/>
  <c r="YW1539" i="10" a="1"/>
  <c r="YW1539" i="10" s="1"/>
  <c r="YV1539" i="10" a="1"/>
  <c r="YV1539" i="10" s="1"/>
  <c r="YU1539" i="10" a="1"/>
  <c r="YU1539" i="10" s="1"/>
  <c r="YT1539" i="10" a="1"/>
  <c r="YT1539" i="10" s="1"/>
  <c r="YS1539" i="10" a="1"/>
  <c r="YS1539" i="10" s="1"/>
  <c r="YR1539" i="10" a="1"/>
  <c r="YR1539" i="10" s="1"/>
  <c r="YQ1539" i="10" a="1"/>
  <c r="YQ1539" i="10" s="1"/>
  <c r="YP1539" i="10" a="1"/>
  <c r="YP1539" i="10" s="1"/>
  <c r="YO1539" i="10" a="1"/>
  <c r="YO1539" i="10" s="1"/>
  <c r="YN1539" i="10" a="1"/>
  <c r="YN1539" i="10" s="1"/>
  <c r="YM1539" i="10" a="1"/>
  <c r="YM1539" i="10" s="1"/>
  <c r="YL1539" i="10" a="1"/>
  <c r="YL1539" i="10" s="1"/>
  <c r="YK1539" i="10" a="1"/>
  <c r="YK1539" i="10" s="1"/>
  <c r="YJ1539" i="10" a="1"/>
  <c r="YJ1539" i="10" s="1"/>
  <c r="YI1539" i="10" a="1"/>
  <c r="YI1539" i="10" s="1"/>
  <c r="YH1539" i="10" a="1"/>
  <c r="YH1539" i="10" s="1"/>
  <c r="YG1539" i="10" a="1"/>
  <c r="YG1539" i="10" s="1"/>
  <c r="YF1539" i="10" a="1"/>
  <c r="YF1539" i="10" s="1"/>
  <c r="YE1539" i="10" a="1"/>
  <c r="YE1539" i="10" s="1"/>
  <c r="YD1539" i="10" a="1"/>
  <c r="YD1539" i="10" s="1"/>
  <c r="YC1539" i="10" a="1"/>
  <c r="YC1539" i="10" s="1"/>
  <c r="YB1539" i="10" a="1"/>
  <c r="YB1539" i="10" s="1"/>
  <c r="YA1539" i="10" a="1"/>
  <c r="YA1539" i="10" s="1"/>
  <c r="XZ1539" i="10" a="1"/>
  <c r="XZ1539" i="10" s="1"/>
  <c r="XY1539" i="10" a="1"/>
  <c r="XY1539" i="10" s="1"/>
  <c r="XX1539" i="10" a="1"/>
  <c r="XX1539" i="10" s="1"/>
  <c r="XW1539" i="10" a="1"/>
  <c r="XW1539" i="10" s="1"/>
  <c r="XV1539" i="10" a="1"/>
  <c r="XV1539" i="10" s="1"/>
  <c r="XU1539" i="10" a="1"/>
  <c r="XU1539" i="10" s="1"/>
  <c r="XT1539" i="10" a="1"/>
  <c r="XT1539" i="10" s="1"/>
  <c r="XS1539" i="10" a="1"/>
  <c r="XS1539" i="10" s="1"/>
  <c r="XR1539" i="10" a="1"/>
  <c r="XR1539" i="10" s="1"/>
  <c r="XQ1539" i="10" a="1"/>
  <c r="XQ1539" i="10" s="1"/>
  <c r="XP1539" i="10" a="1"/>
  <c r="XP1539" i="10" s="1"/>
  <c r="XO1539" i="10" a="1"/>
  <c r="XO1539" i="10" s="1"/>
  <c r="XN1539" i="10" a="1"/>
  <c r="XN1539" i="10" s="1"/>
  <c r="XM1539" i="10" a="1"/>
  <c r="XM1539" i="10" s="1"/>
  <c r="XL1539" i="10" a="1"/>
  <c r="XL1539" i="10" s="1"/>
  <c r="XK1539" i="10" a="1"/>
  <c r="XK1539" i="10" s="1"/>
  <c r="XJ1539" i="10" a="1"/>
  <c r="XJ1539" i="10" s="1"/>
  <c r="XI1539" i="10" a="1"/>
  <c r="XI1539" i="10" s="1"/>
  <c r="XH1539" i="10" a="1"/>
  <c r="XH1539" i="10" s="1"/>
  <c r="XG1539" i="10" a="1"/>
  <c r="XG1539" i="10" s="1"/>
  <c r="XF1539" i="10" a="1"/>
  <c r="XF1539" i="10" s="1"/>
  <c r="XE1539" i="10" a="1"/>
  <c r="XE1539" i="10" s="1"/>
  <c r="XD1539" i="10" a="1"/>
  <c r="XD1539" i="10" s="1"/>
  <c r="XC1539" i="10" a="1"/>
  <c r="XC1539" i="10" s="1"/>
  <c r="XB1539" i="10" a="1"/>
  <c r="XB1539" i="10" s="1"/>
  <c r="XA1539" i="10" a="1"/>
  <c r="XA1539" i="10" s="1"/>
  <c r="WZ1539" i="10" a="1"/>
  <c r="WZ1539" i="10" s="1"/>
  <c r="WY1539" i="10" a="1"/>
  <c r="WY1539" i="10" s="1"/>
  <c r="WX1539" i="10" a="1"/>
  <c r="WX1539" i="10" s="1"/>
  <c r="WW1539" i="10" a="1"/>
  <c r="WW1539" i="10" s="1"/>
  <c r="WV1539" i="10" a="1"/>
  <c r="WV1539" i="10" s="1"/>
  <c r="WU1539" i="10" a="1"/>
  <c r="WU1539" i="10" s="1"/>
  <c r="WT1539" i="10" a="1"/>
  <c r="WT1539" i="10" s="1"/>
  <c r="WS1539" i="10" a="1"/>
  <c r="WS1539" i="10" s="1"/>
  <c r="WR1539" i="10" a="1"/>
  <c r="WR1539" i="10" s="1"/>
  <c r="WQ1539" i="10" a="1"/>
  <c r="WQ1539" i="10" s="1"/>
  <c r="WP1539" i="10" a="1"/>
  <c r="WP1539" i="10" s="1"/>
  <c r="WO1539" i="10" a="1"/>
  <c r="WO1539" i="10" s="1"/>
  <c r="WN1539" i="10" a="1"/>
  <c r="WN1539" i="10" s="1"/>
  <c r="WM1539" i="10" a="1"/>
  <c r="WM1539" i="10" s="1"/>
  <c r="WL1539" i="10" a="1"/>
  <c r="WL1539" i="10" s="1"/>
  <c r="WK1539" i="10" a="1"/>
  <c r="WK1539" i="10" s="1"/>
  <c r="WJ1539" i="10" a="1"/>
  <c r="WJ1539" i="10" s="1"/>
  <c r="WI1539" i="10" a="1"/>
  <c r="WI1539" i="10" s="1"/>
  <c r="WH1539" i="10" a="1"/>
  <c r="WH1539" i="10" s="1"/>
  <c r="WG1539" i="10" a="1"/>
  <c r="WG1539" i="10" s="1"/>
  <c r="WF1539" i="10" a="1"/>
  <c r="WF1539" i="10" s="1"/>
  <c r="WE1539" i="10" a="1"/>
  <c r="WE1539" i="10" s="1"/>
  <c r="WD1539" i="10" a="1"/>
  <c r="WD1539" i="10" s="1"/>
  <c r="WC1539" i="10" a="1"/>
  <c r="WC1539" i="10" s="1"/>
  <c r="WB1539" i="10" a="1"/>
  <c r="WB1539" i="10" s="1"/>
  <c r="WA1539" i="10" a="1"/>
  <c r="WA1539" i="10" s="1"/>
  <c r="VZ1539" i="10" a="1"/>
  <c r="VZ1539" i="10" s="1"/>
  <c r="VY1539" i="10" a="1"/>
  <c r="VY1539" i="10" s="1"/>
  <c r="VX1539" i="10" a="1"/>
  <c r="VX1539" i="10" s="1"/>
  <c r="VW1539" i="10" a="1"/>
  <c r="VW1539" i="10" s="1"/>
  <c r="VV1539" i="10" a="1"/>
  <c r="VV1539" i="10" s="1"/>
  <c r="VU1539" i="10" a="1"/>
  <c r="VU1539" i="10" s="1"/>
  <c r="VT1539" i="10" a="1"/>
  <c r="VT1539" i="10" s="1"/>
  <c r="VS1539" i="10" a="1"/>
  <c r="VS1539" i="10" s="1"/>
  <c r="VR1539" i="10" a="1"/>
  <c r="VR1539" i="10" s="1"/>
  <c r="VQ1539" i="10" a="1"/>
  <c r="VQ1539" i="10" s="1"/>
  <c r="VP1539" i="10" a="1"/>
  <c r="VP1539" i="10" s="1"/>
  <c r="VO1539" i="10" a="1"/>
  <c r="VO1539" i="10" s="1"/>
  <c r="VN1539" i="10" a="1"/>
  <c r="VN1539" i="10" s="1"/>
  <c r="VM1539" i="10" a="1"/>
  <c r="VM1539" i="10" s="1"/>
  <c r="VL1539" i="10" a="1"/>
  <c r="VL1539" i="10" s="1"/>
  <c r="VK1539" i="10" a="1"/>
  <c r="VK1539" i="10" s="1"/>
  <c r="VJ1539" i="10" a="1"/>
  <c r="VJ1539" i="10" s="1"/>
  <c r="VI1539" i="10" a="1"/>
  <c r="VI1539" i="10" s="1"/>
  <c r="VH1539" i="10" a="1"/>
  <c r="VH1539" i="10" s="1"/>
  <c r="VG1539" i="10" a="1"/>
  <c r="VG1539" i="10" s="1"/>
  <c r="VF1539" i="10" a="1"/>
  <c r="VF1539" i="10" s="1"/>
  <c r="VE1539" i="10" a="1"/>
  <c r="VE1539" i="10" s="1"/>
  <c r="VD1539" i="10" a="1"/>
  <c r="VD1539" i="10" s="1"/>
  <c r="VC1539" i="10" a="1"/>
  <c r="VC1539" i="10" s="1"/>
  <c r="VB1539" i="10" a="1"/>
  <c r="VB1539" i="10" s="1"/>
  <c r="VA1539" i="10" a="1"/>
  <c r="VA1539" i="10" s="1"/>
  <c r="UZ1539" i="10" a="1"/>
  <c r="UZ1539" i="10" s="1"/>
  <c r="UY1539" i="10" a="1"/>
  <c r="UY1539" i="10" s="1"/>
  <c r="UX1539" i="10" a="1"/>
  <c r="UX1539" i="10" s="1"/>
  <c r="UW1539" i="10" a="1"/>
  <c r="UW1539" i="10" s="1"/>
  <c r="UV1539" i="10" a="1"/>
  <c r="UV1539" i="10" s="1"/>
  <c r="UU1539" i="10" a="1"/>
  <c r="UU1539" i="10" s="1"/>
  <c r="UT1539" i="10" a="1"/>
  <c r="UT1539" i="10" s="1"/>
  <c r="US1539" i="10" a="1"/>
  <c r="US1539" i="10" s="1"/>
  <c r="UR1539" i="10" a="1"/>
  <c r="UR1539" i="10" s="1"/>
  <c r="UQ1539" i="10" a="1"/>
  <c r="UQ1539" i="10" s="1"/>
  <c r="UP1539" i="10" a="1"/>
  <c r="UP1539" i="10" s="1"/>
  <c r="UO1539" i="10" a="1"/>
  <c r="UO1539" i="10" s="1"/>
  <c r="UN1539" i="10" a="1"/>
  <c r="UN1539" i="10" s="1"/>
  <c r="UM1539" i="10" a="1"/>
  <c r="UM1539" i="10" s="1"/>
  <c r="UL1539" i="10" a="1"/>
  <c r="UL1539" i="10" s="1"/>
  <c r="UK1539" i="10" a="1"/>
  <c r="UK1539" i="10" s="1"/>
  <c r="UJ1539" i="10" a="1"/>
  <c r="UJ1539" i="10" s="1"/>
  <c r="UI1539" i="10" a="1"/>
  <c r="UI1539" i="10" s="1"/>
  <c r="UH1539" i="10" a="1"/>
  <c r="UH1539" i="10" s="1"/>
  <c r="UG1539" i="10" a="1"/>
  <c r="UG1539" i="10" s="1"/>
  <c r="UF1539" i="10" a="1"/>
  <c r="UF1539" i="10" s="1"/>
  <c r="UE1539" i="10" a="1"/>
  <c r="UE1539" i="10" s="1"/>
  <c r="UD1539" i="10" a="1"/>
  <c r="UD1539" i="10" s="1"/>
  <c r="UC1539" i="10" a="1"/>
  <c r="UC1539" i="10" s="1"/>
  <c r="UB1539" i="10" a="1"/>
  <c r="UB1539" i="10" s="1"/>
  <c r="UA1539" i="10" a="1"/>
  <c r="UA1539" i="10" s="1"/>
  <c r="TZ1539" i="10" a="1"/>
  <c r="TZ1539" i="10" s="1"/>
  <c r="TY1539" i="10" a="1"/>
  <c r="TY1539" i="10" s="1"/>
  <c r="TX1539" i="10" a="1"/>
  <c r="TX1539" i="10" s="1"/>
  <c r="TW1539" i="10" a="1"/>
  <c r="TW1539" i="10" s="1"/>
  <c r="TV1539" i="10" a="1"/>
  <c r="TV1539" i="10" s="1"/>
  <c r="TU1539" i="10" a="1"/>
  <c r="TU1539" i="10" s="1"/>
  <c r="TT1539" i="10" a="1"/>
  <c r="TT1539" i="10" s="1"/>
  <c r="TS1539" i="10" a="1"/>
  <c r="TS1539" i="10" s="1"/>
  <c r="TR1539" i="10" a="1"/>
  <c r="TR1539" i="10" s="1"/>
  <c r="TQ1539" i="10" a="1"/>
  <c r="TQ1539" i="10" s="1"/>
  <c r="TP1539" i="10" a="1"/>
  <c r="TP1539" i="10" s="1"/>
  <c r="TO1539" i="10" a="1"/>
  <c r="TO1539" i="10" s="1"/>
  <c r="TN1539" i="10" a="1"/>
  <c r="TN1539" i="10" s="1"/>
  <c r="TM1539" i="10" a="1"/>
  <c r="TM1539" i="10" s="1"/>
  <c r="TL1539" i="10" a="1"/>
  <c r="TL1539" i="10" s="1"/>
  <c r="TK1539" i="10" a="1"/>
  <c r="TK1539" i="10" s="1"/>
  <c r="TJ1539" i="10" a="1"/>
  <c r="TJ1539" i="10" s="1"/>
  <c r="TI1539" i="10" a="1"/>
  <c r="TI1539" i="10" s="1"/>
  <c r="TH1539" i="10" a="1"/>
  <c r="TH1539" i="10" s="1"/>
  <c r="TG1539" i="10" a="1"/>
  <c r="TG1539" i="10" s="1"/>
  <c r="TF1539" i="10" a="1"/>
  <c r="TF1539" i="10" s="1"/>
  <c r="TE1539" i="10" a="1"/>
  <c r="TE1539" i="10" s="1"/>
  <c r="TD1539" i="10" a="1"/>
  <c r="TD1539" i="10" s="1"/>
  <c r="TC1539" i="10" a="1"/>
  <c r="TC1539" i="10" s="1"/>
  <c r="TB1539" i="10" a="1"/>
  <c r="TB1539" i="10" s="1"/>
  <c r="TA1539" i="10" a="1"/>
  <c r="TA1539" i="10" s="1"/>
  <c r="SZ1539" i="10" a="1"/>
  <c r="SZ1539" i="10" s="1"/>
  <c r="SY1539" i="10" a="1"/>
  <c r="SY1539" i="10" s="1"/>
  <c r="SX1539" i="10" a="1"/>
  <c r="SX1539" i="10" s="1"/>
  <c r="SW1539" i="10" a="1"/>
  <c r="SW1539" i="10" s="1"/>
  <c r="SV1539" i="10" a="1"/>
  <c r="SV1539" i="10" s="1"/>
  <c r="SU1539" i="10" a="1"/>
  <c r="SU1539" i="10" s="1"/>
  <c r="ST1539" i="10" a="1"/>
  <c r="ST1539" i="10" s="1"/>
  <c r="SS1539" i="10" a="1"/>
  <c r="SS1539" i="10" s="1"/>
  <c r="SR1539" i="10" a="1"/>
  <c r="SR1539" i="10" s="1"/>
  <c r="SQ1539" i="10" a="1"/>
  <c r="SQ1539" i="10" s="1"/>
  <c r="SP1539" i="10" a="1"/>
  <c r="SP1539" i="10" s="1"/>
  <c r="SO1539" i="10" a="1"/>
  <c r="SO1539" i="10" s="1"/>
  <c r="SN1539" i="10" a="1"/>
  <c r="SN1539" i="10" s="1"/>
  <c r="SM1539" i="10" a="1"/>
  <c r="SM1539" i="10" s="1"/>
  <c r="SL1539" i="10" a="1"/>
  <c r="SL1539" i="10" s="1"/>
  <c r="SK1539" i="10" a="1"/>
  <c r="SK1539" i="10" s="1"/>
  <c r="SJ1539" i="10" a="1"/>
  <c r="SJ1539" i="10" s="1"/>
  <c r="SI1539" i="10" a="1"/>
  <c r="SI1539" i="10" s="1"/>
  <c r="SH1539" i="10" a="1"/>
  <c r="SH1539" i="10" s="1"/>
  <c r="SG1539" i="10" a="1"/>
  <c r="SG1539" i="10" s="1"/>
  <c r="SF1539" i="10" a="1"/>
  <c r="SF1539" i="10" s="1"/>
  <c r="SE1539" i="10" a="1"/>
  <c r="SE1539" i="10" s="1"/>
  <c r="SD1539" i="10" a="1"/>
  <c r="SD1539" i="10" s="1"/>
  <c r="SC1539" i="10" a="1"/>
  <c r="SC1539" i="10" s="1"/>
  <c r="SB1539" i="10" a="1"/>
  <c r="SB1539" i="10" s="1"/>
  <c r="SA1539" i="10" a="1"/>
  <c r="SA1539" i="10" s="1"/>
  <c r="RZ1539" i="10" a="1"/>
  <c r="RZ1539" i="10" s="1"/>
  <c r="RY1539" i="10" a="1"/>
  <c r="RY1539" i="10" s="1"/>
  <c r="RX1539" i="10" a="1"/>
  <c r="RX1539" i="10" s="1"/>
  <c r="RW1539" i="10" a="1"/>
  <c r="RW1539" i="10" s="1"/>
  <c r="RV1539" i="10" a="1"/>
  <c r="RV1539" i="10" s="1"/>
  <c r="RU1539" i="10" a="1"/>
  <c r="RU1539" i="10" s="1"/>
  <c r="RT1539" i="10" a="1"/>
  <c r="RT1539" i="10" s="1"/>
  <c r="RS1539" i="10" a="1"/>
  <c r="RS1539" i="10" s="1"/>
  <c r="RR1539" i="10" a="1"/>
  <c r="RR1539" i="10" s="1"/>
  <c r="RQ1539" i="10" a="1"/>
  <c r="RQ1539" i="10" s="1"/>
  <c r="RP1539" i="10" a="1"/>
  <c r="RP1539" i="10" s="1"/>
  <c r="RO1539" i="10" a="1"/>
  <c r="RO1539" i="10" s="1"/>
  <c r="RN1539" i="10" a="1"/>
  <c r="RN1539" i="10" s="1"/>
  <c r="RM1539" i="10" a="1"/>
  <c r="RM1539" i="10" s="1"/>
  <c r="RL1539" i="10" a="1"/>
  <c r="RL1539" i="10" s="1"/>
  <c r="RK1539" i="10" a="1"/>
  <c r="RK1539" i="10" s="1"/>
  <c r="RJ1539" i="10" a="1"/>
  <c r="RJ1539" i="10" s="1"/>
  <c r="RI1539" i="10" a="1"/>
  <c r="RI1539" i="10" s="1"/>
  <c r="RH1539" i="10" a="1"/>
  <c r="RH1539" i="10" s="1"/>
  <c r="RG1539" i="10" a="1"/>
  <c r="RG1539" i="10" s="1"/>
  <c r="RF1539" i="10" a="1"/>
  <c r="RF1539" i="10" s="1"/>
  <c r="RE1539" i="10" a="1"/>
  <c r="RE1539" i="10" s="1"/>
  <c r="RD1539" i="10" a="1"/>
  <c r="RD1539" i="10" s="1"/>
  <c r="RC1539" i="10" a="1"/>
  <c r="RC1539" i="10" s="1"/>
  <c r="RB1539" i="10" a="1"/>
  <c r="RB1539" i="10" s="1"/>
  <c r="RA1539" i="10" a="1"/>
  <c r="RA1539" i="10" s="1"/>
  <c r="QZ1539" i="10" a="1"/>
  <c r="QZ1539" i="10" s="1"/>
  <c r="QY1539" i="10" a="1"/>
  <c r="QY1539" i="10" s="1"/>
  <c r="QX1539" i="10" a="1"/>
  <c r="QX1539" i="10" s="1"/>
  <c r="QW1539" i="10" a="1"/>
  <c r="QW1539" i="10" s="1"/>
  <c r="QV1539" i="10" a="1"/>
  <c r="QV1539" i="10" s="1"/>
  <c r="QU1539" i="10" a="1"/>
  <c r="QU1539" i="10" s="1"/>
  <c r="QT1539" i="10" a="1"/>
  <c r="QT1539" i="10" s="1"/>
  <c r="QS1539" i="10" a="1"/>
  <c r="QS1539" i="10" s="1"/>
  <c r="QR1539" i="10" a="1"/>
  <c r="QR1539" i="10" s="1"/>
  <c r="QQ1539" i="10" a="1"/>
  <c r="QQ1539" i="10" s="1"/>
  <c r="QP1539" i="10" a="1"/>
  <c r="QP1539" i="10" s="1"/>
  <c r="QO1539" i="10" a="1"/>
  <c r="QO1539" i="10" s="1"/>
  <c r="QN1539" i="10" a="1"/>
  <c r="QN1539" i="10" s="1"/>
  <c r="QM1539" i="10" a="1"/>
  <c r="QM1539" i="10" s="1"/>
  <c r="QL1539" i="10" a="1"/>
  <c r="QL1539" i="10" s="1"/>
  <c r="QK1539" i="10" a="1"/>
  <c r="QK1539" i="10" s="1"/>
  <c r="QJ1539" i="10" a="1"/>
  <c r="QJ1539" i="10" s="1"/>
  <c r="QI1539" i="10" a="1"/>
  <c r="QI1539" i="10" s="1"/>
  <c r="QH1539" i="10" a="1"/>
  <c r="QH1539" i="10" s="1"/>
  <c r="QG1539" i="10" a="1"/>
  <c r="QG1539" i="10" s="1"/>
  <c r="QF1539" i="10" a="1"/>
  <c r="QF1539" i="10" s="1"/>
  <c r="QE1539" i="10" a="1"/>
  <c r="QE1539" i="10" s="1"/>
  <c r="QD1539" i="10" a="1"/>
  <c r="QD1539" i="10" s="1"/>
  <c r="QC1539" i="10" a="1"/>
  <c r="QC1539" i="10" s="1"/>
  <c r="QB1539" i="10" a="1"/>
  <c r="QB1539" i="10" s="1"/>
  <c r="QA1539" i="10" a="1"/>
  <c r="QA1539" i="10" s="1"/>
  <c r="PZ1539" i="10" a="1"/>
  <c r="PZ1539" i="10" s="1"/>
  <c r="PY1539" i="10" a="1"/>
  <c r="PY1539" i="10" s="1"/>
  <c r="PX1539" i="10" a="1"/>
  <c r="PX1539" i="10" s="1"/>
  <c r="PW1539" i="10" a="1"/>
  <c r="PW1539" i="10" s="1"/>
  <c r="PV1539" i="10" a="1"/>
  <c r="PV1539" i="10" s="1"/>
  <c r="PU1539" i="10" a="1"/>
  <c r="PU1539" i="10" s="1"/>
  <c r="PT1539" i="10" a="1"/>
  <c r="PT1539" i="10" s="1"/>
  <c r="PS1539" i="10" a="1"/>
  <c r="PS1539" i="10" s="1"/>
  <c r="PR1539" i="10" a="1"/>
  <c r="PR1539" i="10" s="1"/>
  <c r="PQ1539" i="10" a="1"/>
  <c r="PQ1539" i="10" s="1"/>
  <c r="PP1539" i="10" a="1"/>
  <c r="PP1539" i="10" s="1"/>
  <c r="PO1539" i="10" a="1"/>
  <c r="PO1539" i="10" s="1"/>
  <c r="PN1539" i="10" a="1"/>
  <c r="PN1539" i="10" s="1"/>
  <c r="PM1539" i="10" a="1"/>
  <c r="PM1539" i="10" s="1"/>
  <c r="PL1539" i="10" a="1"/>
  <c r="PL1539" i="10" s="1"/>
  <c r="PK1539" i="10" a="1"/>
  <c r="PK1539" i="10" s="1"/>
  <c r="PJ1539" i="10" a="1"/>
  <c r="PJ1539" i="10" s="1"/>
  <c r="PI1539" i="10" a="1"/>
  <c r="PI1539" i="10" s="1"/>
  <c r="PH1539" i="10" a="1"/>
  <c r="PH1539" i="10" s="1"/>
  <c r="PG1539" i="10" a="1"/>
  <c r="PG1539" i="10" s="1"/>
  <c r="PF1539" i="10" a="1"/>
  <c r="PF1539" i="10" s="1"/>
  <c r="PE1539" i="10" a="1"/>
  <c r="PE1539" i="10" s="1"/>
  <c r="PD1539" i="10" a="1"/>
  <c r="PD1539" i="10" s="1"/>
  <c r="PC1539" i="10" a="1"/>
  <c r="PC1539" i="10" s="1"/>
  <c r="PB1539" i="10" a="1"/>
  <c r="PB1539" i="10" s="1"/>
  <c r="PA1539" i="10" a="1"/>
  <c r="PA1539" i="10" s="1"/>
  <c r="OZ1539" i="10" a="1"/>
  <c r="OZ1539" i="10" s="1"/>
  <c r="OY1539" i="10" a="1"/>
  <c r="OY1539" i="10" s="1"/>
  <c r="OX1539" i="10" a="1"/>
  <c r="OX1539" i="10" s="1"/>
  <c r="OW1539" i="10" a="1"/>
  <c r="OW1539" i="10" s="1"/>
  <c r="OV1539" i="10" a="1"/>
  <c r="OV1539" i="10" s="1"/>
  <c r="OU1539" i="10" a="1"/>
  <c r="OU1539" i="10" s="1"/>
  <c r="OT1539" i="10" a="1"/>
  <c r="OT1539" i="10" s="1"/>
  <c r="OS1539" i="10" a="1"/>
  <c r="OS1539" i="10" s="1"/>
  <c r="OR1539" i="10" a="1"/>
  <c r="OR1539" i="10" s="1"/>
  <c r="OQ1539" i="10" a="1"/>
  <c r="OQ1539" i="10" s="1"/>
  <c r="OP1539" i="10" a="1"/>
  <c r="OP1539" i="10" s="1"/>
  <c r="OO1539" i="10" a="1"/>
  <c r="OO1539" i="10" s="1"/>
  <c r="ON1539" i="10" a="1"/>
  <c r="ON1539" i="10" s="1"/>
  <c r="OM1539" i="10" a="1"/>
  <c r="OM1539" i="10" s="1"/>
  <c r="OL1539" i="10" a="1"/>
  <c r="OL1539" i="10" s="1"/>
  <c r="OK1539" i="10" a="1"/>
  <c r="OK1539" i="10" s="1"/>
  <c r="OJ1539" i="10" a="1"/>
  <c r="OJ1539" i="10" s="1"/>
  <c r="OI1539" i="10" a="1"/>
  <c r="OI1539" i="10" s="1"/>
  <c r="OH1539" i="10" a="1"/>
  <c r="OH1539" i="10" s="1"/>
  <c r="OG1539" i="10" a="1"/>
  <c r="OG1539" i="10" s="1"/>
  <c r="OF1539" i="10" a="1"/>
  <c r="OF1539" i="10" s="1"/>
  <c r="OE1539" i="10" a="1"/>
  <c r="OE1539" i="10" s="1"/>
  <c r="OD1539" i="10" a="1"/>
  <c r="OD1539" i="10" s="1"/>
  <c r="OC1539" i="10" a="1"/>
  <c r="OC1539" i="10" s="1"/>
  <c r="OB1539" i="10" a="1"/>
  <c r="OB1539" i="10" s="1"/>
  <c r="OA1539" i="10" a="1"/>
  <c r="OA1539" i="10" s="1"/>
  <c r="NZ1539" i="10" a="1"/>
  <c r="NZ1539" i="10" s="1"/>
  <c r="NY1539" i="10" a="1"/>
  <c r="NY1539" i="10" s="1"/>
  <c r="NX1539" i="10" a="1"/>
  <c r="NX1539" i="10" s="1"/>
  <c r="NW1539" i="10" a="1"/>
  <c r="NW1539" i="10" s="1"/>
  <c r="NV1539" i="10" a="1"/>
  <c r="NV1539" i="10" s="1"/>
  <c r="NU1539" i="10" a="1"/>
  <c r="NU1539" i="10" s="1"/>
  <c r="NT1539" i="10" a="1"/>
  <c r="NT1539" i="10" s="1"/>
  <c r="NS1539" i="10" a="1"/>
  <c r="NS1539" i="10" s="1"/>
  <c r="NR1539" i="10" a="1"/>
  <c r="NR1539" i="10" s="1"/>
  <c r="NQ1539" i="10" a="1"/>
  <c r="NQ1539" i="10" s="1"/>
  <c r="NP1539" i="10" a="1"/>
  <c r="NP1539" i="10" s="1"/>
  <c r="NO1539" i="10" a="1"/>
  <c r="NO1539" i="10" s="1"/>
  <c r="NN1539" i="10" a="1"/>
  <c r="NN1539" i="10" s="1"/>
  <c r="NM1539" i="10" a="1"/>
  <c r="NM1539" i="10" s="1"/>
  <c r="NL1539" i="10" a="1"/>
  <c r="NL1539" i="10" s="1"/>
  <c r="NK1539" i="10" a="1"/>
  <c r="NK1539" i="10" s="1"/>
  <c r="NJ1539" i="10" a="1"/>
  <c r="NJ1539" i="10" s="1"/>
  <c r="NI1539" i="10" a="1"/>
  <c r="NI1539" i="10" s="1"/>
  <c r="NH1539" i="10" a="1"/>
  <c r="NH1539" i="10" s="1"/>
  <c r="NG1539" i="10" a="1"/>
  <c r="NG1539" i="10" s="1"/>
  <c r="NF1539" i="10" a="1"/>
  <c r="NF1539" i="10" s="1"/>
  <c r="NE1539" i="10" a="1"/>
  <c r="NE1539" i="10" s="1"/>
  <c r="ND1539" i="10" a="1"/>
  <c r="ND1539" i="10" s="1"/>
  <c r="NC1539" i="10" a="1"/>
  <c r="NC1539" i="10" s="1"/>
  <c r="NB1539" i="10" a="1"/>
  <c r="NB1539" i="10" s="1"/>
  <c r="NA1539" i="10" a="1"/>
  <c r="NA1539" i="10" s="1"/>
  <c r="MZ1539" i="10" a="1"/>
  <c r="MZ1539" i="10" s="1"/>
  <c r="MY1539" i="10" a="1"/>
  <c r="MY1539" i="10" s="1"/>
  <c r="MX1539" i="10" a="1"/>
  <c r="MX1539" i="10" s="1"/>
  <c r="MW1539" i="10" a="1"/>
  <c r="MW1539" i="10" s="1"/>
  <c r="MV1539" i="10" a="1"/>
  <c r="MV1539" i="10" s="1"/>
  <c r="MU1539" i="10" a="1"/>
  <c r="MU1539" i="10" s="1"/>
  <c r="MT1539" i="10" a="1"/>
  <c r="MT1539" i="10" s="1"/>
  <c r="MS1539" i="10" a="1"/>
  <c r="MS1539" i="10" s="1"/>
  <c r="MR1539" i="10" a="1"/>
  <c r="MR1539" i="10" s="1"/>
  <c r="MQ1539" i="10" a="1"/>
  <c r="MQ1539" i="10" s="1"/>
  <c r="MP1539" i="10" a="1"/>
  <c r="MP1539" i="10" s="1"/>
  <c r="MO1539" i="10" a="1"/>
  <c r="MO1539" i="10" s="1"/>
  <c r="MN1539" i="10" a="1"/>
  <c r="MN1539" i="10" s="1"/>
  <c r="MM1539" i="10" a="1"/>
  <c r="MM1539" i="10" s="1"/>
  <c r="ML1539" i="10" a="1"/>
  <c r="ML1539" i="10" s="1"/>
  <c r="MK1539" i="10" a="1"/>
  <c r="MK1539" i="10" s="1"/>
  <c r="MJ1539" i="10" a="1"/>
  <c r="MJ1539" i="10" s="1"/>
  <c r="MI1539" i="10" a="1"/>
  <c r="MI1539" i="10" s="1"/>
  <c r="MH1539" i="10" a="1"/>
  <c r="MH1539" i="10" s="1"/>
  <c r="MG1539" i="10" a="1"/>
  <c r="MG1539" i="10" s="1"/>
  <c r="MF1539" i="10" a="1"/>
  <c r="MF1539" i="10" s="1"/>
  <c r="ME1539" i="10" a="1"/>
  <c r="ME1539" i="10" s="1"/>
  <c r="MD1539" i="10" a="1"/>
  <c r="MD1539" i="10" s="1"/>
  <c r="MC1539" i="10" a="1"/>
  <c r="MC1539" i="10" s="1"/>
  <c r="MB1539" i="10" a="1"/>
  <c r="MB1539" i="10" s="1"/>
  <c r="MA1539" i="10" a="1"/>
  <c r="MA1539" i="10" s="1"/>
  <c r="LZ1539" i="10" a="1"/>
  <c r="LZ1539" i="10" s="1"/>
  <c r="LY1539" i="10" a="1"/>
  <c r="LY1539" i="10" s="1"/>
  <c r="LX1539" i="10" a="1"/>
  <c r="LX1539" i="10" s="1"/>
  <c r="LW1539" i="10" a="1"/>
  <c r="LW1539" i="10" s="1"/>
  <c r="LV1539" i="10" a="1"/>
  <c r="LV1539" i="10" s="1"/>
  <c r="LU1539" i="10" a="1"/>
  <c r="LU1539" i="10" s="1"/>
  <c r="LT1539" i="10" a="1"/>
  <c r="LT1539" i="10" s="1"/>
  <c r="LS1539" i="10" a="1"/>
  <c r="LS1539" i="10" s="1"/>
  <c r="LR1539" i="10" a="1"/>
  <c r="LR1539" i="10" s="1"/>
  <c r="LQ1539" i="10" a="1"/>
  <c r="LQ1539" i="10" s="1"/>
  <c r="LP1539" i="10" a="1"/>
  <c r="LP1539" i="10" s="1"/>
  <c r="LO1539" i="10" a="1"/>
  <c r="LO1539" i="10" s="1"/>
  <c r="LN1539" i="10" a="1"/>
  <c r="LN1539" i="10" s="1"/>
  <c r="LM1539" i="10" a="1"/>
  <c r="LM1539" i="10" s="1"/>
  <c r="LL1539" i="10" a="1"/>
  <c r="LL1539" i="10" s="1"/>
  <c r="LK1539" i="10" a="1"/>
  <c r="LK1539" i="10" s="1"/>
  <c r="LJ1539" i="10" a="1"/>
  <c r="LJ1539" i="10" s="1"/>
  <c r="LI1539" i="10" a="1"/>
  <c r="LI1539" i="10" s="1"/>
  <c r="LH1539" i="10" a="1"/>
  <c r="LH1539" i="10" s="1"/>
  <c r="LG1539" i="10" a="1"/>
  <c r="LG1539" i="10" s="1"/>
  <c r="LF1539" i="10" a="1"/>
  <c r="LF1539" i="10" s="1"/>
  <c r="LE1539" i="10" a="1"/>
  <c r="LE1539" i="10" s="1"/>
  <c r="LD1539" i="10" a="1"/>
  <c r="LD1539" i="10" s="1"/>
  <c r="LC1539" i="10" a="1"/>
  <c r="LC1539" i="10" s="1"/>
  <c r="LB1539" i="10" a="1"/>
  <c r="LB1539" i="10" s="1"/>
  <c r="LA1539" i="10" a="1"/>
  <c r="LA1539" i="10" s="1"/>
  <c r="KZ1539" i="10" a="1"/>
  <c r="KZ1539" i="10" s="1"/>
  <c r="KY1539" i="10" a="1"/>
  <c r="KY1539" i="10" s="1"/>
  <c r="KX1539" i="10" a="1"/>
  <c r="KX1539" i="10" s="1"/>
  <c r="KW1539" i="10" a="1"/>
  <c r="KW1539" i="10" s="1"/>
  <c r="KV1539" i="10" a="1"/>
  <c r="KV1539" i="10" s="1"/>
  <c r="KU1539" i="10" a="1"/>
  <c r="KU1539" i="10" s="1"/>
  <c r="KT1539" i="10" a="1"/>
  <c r="KT1539" i="10" s="1"/>
  <c r="KS1539" i="10" a="1"/>
  <c r="KS1539" i="10" s="1"/>
  <c r="KR1539" i="10" a="1"/>
  <c r="KR1539" i="10" s="1"/>
  <c r="KQ1539" i="10" a="1"/>
  <c r="KQ1539" i="10" s="1"/>
  <c r="KP1539" i="10" a="1"/>
  <c r="KP1539" i="10" s="1"/>
  <c r="KO1539" i="10" a="1"/>
  <c r="KO1539" i="10" s="1"/>
  <c r="KN1539" i="10" a="1"/>
  <c r="KN1539" i="10" s="1"/>
  <c r="KM1539" i="10" a="1"/>
  <c r="KM1539" i="10" s="1"/>
  <c r="KL1539" i="10" a="1"/>
  <c r="KL1539" i="10" s="1"/>
  <c r="KK1539" i="10" a="1"/>
  <c r="KK1539" i="10" s="1"/>
  <c r="KJ1539" i="10" a="1"/>
  <c r="KJ1539" i="10" s="1"/>
  <c r="KI1539" i="10" a="1"/>
  <c r="KI1539" i="10" s="1"/>
  <c r="KH1539" i="10" a="1"/>
  <c r="KH1539" i="10" s="1"/>
  <c r="KG1539" i="10" a="1"/>
  <c r="KG1539" i="10" s="1"/>
  <c r="KF1539" i="10" a="1"/>
  <c r="KF1539" i="10" s="1"/>
  <c r="KE1539" i="10" a="1"/>
  <c r="KE1539" i="10" s="1"/>
  <c r="KD1539" i="10" a="1"/>
  <c r="KD1539" i="10" s="1"/>
  <c r="KC1539" i="10" a="1"/>
  <c r="KC1539" i="10" s="1"/>
  <c r="KB1539" i="10" a="1"/>
  <c r="KB1539" i="10" s="1"/>
  <c r="KA1539" i="10" a="1"/>
  <c r="KA1539" i="10" s="1"/>
  <c r="JZ1539" i="10" a="1"/>
  <c r="JZ1539" i="10" s="1"/>
  <c r="JY1539" i="10" a="1"/>
  <c r="JY1539" i="10" s="1"/>
  <c r="JX1539" i="10" a="1"/>
  <c r="JX1539" i="10" s="1"/>
  <c r="JW1539" i="10" a="1"/>
  <c r="JW1539" i="10" s="1"/>
  <c r="JV1539" i="10" a="1"/>
  <c r="JV1539" i="10" s="1"/>
  <c r="JU1539" i="10" a="1"/>
  <c r="JU1539" i="10" s="1"/>
  <c r="JT1539" i="10" a="1"/>
  <c r="JT1539" i="10" s="1"/>
  <c r="JS1539" i="10" a="1"/>
  <c r="JS1539" i="10" s="1"/>
  <c r="JR1539" i="10" a="1"/>
  <c r="JR1539" i="10" s="1"/>
  <c r="JQ1539" i="10" a="1"/>
  <c r="JQ1539" i="10" s="1"/>
  <c r="JP1539" i="10" a="1"/>
  <c r="JP1539" i="10" s="1"/>
  <c r="JO1539" i="10" a="1"/>
  <c r="JO1539" i="10" s="1"/>
  <c r="JN1539" i="10" a="1"/>
  <c r="JN1539" i="10" s="1"/>
  <c r="JM1539" i="10" a="1"/>
  <c r="JM1539" i="10" s="1"/>
  <c r="JL1539" i="10" a="1"/>
  <c r="JL1539" i="10" s="1"/>
  <c r="JK1539" i="10" a="1"/>
  <c r="JK1539" i="10" s="1"/>
  <c r="JJ1539" i="10" a="1"/>
  <c r="JJ1539" i="10" s="1"/>
  <c r="JI1539" i="10" a="1"/>
  <c r="JI1539" i="10" s="1"/>
  <c r="JH1539" i="10" a="1"/>
  <c r="JH1539" i="10" s="1"/>
  <c r="JG1539" i="10" a="1"/>
  <c r="JG1539" i="10" s="1"/>
  <c r="JF1539" i="10" a="1"/>
  <c r="JF1539" i="10" s="1"/>
  <c r="JE1539" i="10" a="1"/>
  <c r="JE1539" i="10" s="1"/>
  <c r="JD1539" i="10" a="1"/>
  <c r="JD1539" i="10" s="1"/>
  <c r="JC1539" i="10" a="1"/>
  <c r="JC1539" i="10" s="1"/>
  <c r="JB1539" i="10" a="1"/>
  <c r="JB1539" i="10" s="1"/>
  <c r="JA1539" i="10" a="1"/>
  <c r="JA1539" i="10" s="1"/>
  <c r="IZ1539" i="10" a="1"/>
  <c r="IZ1539" i="10" s="1"/>
  <c r="IY1539" i="10" a="1"/>
  <c r="IY1539" i="10" s="1"/>
  <c r="IX1539" i="10" a="1"/>
  <c r="IX1539" i="10" s="1"/>
  <c r="IW1539" i="10" a="1"/>
  <c r="IW1539" i="10" s="1"/>
  <c r="IV1539" i="10" a="1"/>
  <c r="IV1539" i="10" s="1"/>
  <c r="IU1539" i="10" a="1"/>
  <c r="IU1539" i="10" s="1"/>
  <c r="IT1539" i="10" a="1"/>
  <c r="IT1539" i="10" s="1"/>
  <c r="IS1539" i="10" a="1"/>
  <c r="IS1539" i="10" s="1"/>
  <c r="IR1539" i="10" a="1"/>
  <c r="IR1539" i="10" s="1"/>
  <c r="IQ1539" i="10" a="1"/>
  <c r="IQ1539" i="10" s="1"/>
  <c r="IP1539" i="10" a="1"/>
  <c r="IP1539" i="10" s="1"/>
  <c r="IO1539" i="10" a="1"/>
  <c r="IO1539" i="10" s="1"/>
  <c r="IN1539" i="10" a="1"/>
  <c r="IN1539" i="10" s="1"/>
  <c r="IM1539" i="10" a="1"/>
  <c r="IM1539" i="10" s="1"/>
  <c r="IL1539" i="10" a="1"/>
  <c r="IL1539" i="10" s="1"/>
  <c r="IK1539" i="10" a="1"/>
  <c r="IK1539" i="10" s="1"/>
  <c r="IJ1539" i="10" a="1"/>
  <c r="IJ1539" i="10" s="1"/>
  <c r="II1539" i="10" a="1"/>
  <c r="II1539" i="10" s="1"/>
  <c r="IH1539" i="10" a="1"/>
  <c r="IH1539" i="10" s="1"/>
  <c r="IG1539" i="10" a="1"/>
  <c r="IG1539" i="10" s="1"/>
  <c r="IF1539" i="10" a="1"/>
  <c r="IF1539" i="10" s="1"/>
  <c r="IE1539" i="10" a="1"/>
  <c r="IE1539" i="10" s="1"/>
  <c r="ID1539" i="10" a="1"/>
  <c r="ID1539" i="10" s="1"/>
  <c r="IC1539" i="10" a="1"/>
  <c r="IC1539" i="10" s="1"/>
  <c r="IB1539" i="10" a="1"/>
  <c r="IB1539" i="10" s="1"/>
  <c r="IA1539" i="10" a="1"/>
  <c r="IA1539" i="10" s="1"/>
  <c r="HZ1539" i="10" a="1"/>
  <c r="HZ1539" i="10" s="1"/>
  <c r="HY1539" i="10" a="1"/>
  <c r="HY1539" i="10" s="1"/>
  <c r="HX1539" i="10" a="1"/>
  <c r="HX1539" i="10" s="1"/>
  <c r="HW1539" i="10" a="1"/>
  <c r="HW1539" i="10" s="1"/>
  <c r="HV1539" i="10" a="1"/>
  <c r="HV1539" i="10" s="1"/>
  <c r="HU1539" i="10" a="1"/>
  <c r="HU1539" i="10" s="1"/>
  <c r="HT1539" i="10" a="1"/>
  <c r="HT1539" i="10" s="1"/>
  <c r="HS1539" i="10" a="1"/>
  <c r="HS1539" i="10" s="1"/>
  <c r="HR1539" i="10" a="1"/>
  <c r="HR1539" i="10" s="1"/>
  <c r="HQ1539" i="10" a="1"/>
  <c r="HQ1539" i="10" s="1"/>
  <c r="HP1539" i="10" a="1"/>
  <c r="HP1539" i="10" s="1"/>
  <c r="HO1539" i="10" a="1"/>
  <c r="HO1539" i="10" s="1"/>
  <c r="HN1539" i="10" a="1"/>
  <c r="HN1539" i="10" s="1"/>
  <c r="HM1539" i="10" a="1"/>
  <c r="HM1539" i="10" s="1"/>
  <c r="HL1539" i="10" a="1"/>
  <c r="HL1539" i="10" s="1"/>
  <c r="HK1539" i="10" a="1"/>
  <c r="HK1539" i="10" s="1"/>
  <c r="HJ1539" i="10" a="1"/>
  <c r="HJ1539" i="10" s="1"/>
  <c r="HI1539" i="10" a="1"/>
  <c r="HI1539" i="10" s="1"/>
  <c r="HH1539" i="10" a="1"/>
  <c r="HH1539" i="10" s="1"/>
  <c r="HG1539" i="10" a="1"/>
  <c r="HG1539" i="10" s="1"/>
  <c r="HF1539" i="10" a="1"/>
  <c r="HF1539" i="10" s="1"/>
  <c r="HE1539" i="10" a="1"/>
  <c r="HE1539" i="10" s="1"/>
  <c r="HD1539" i="10" a="1"/>
  <c r="HD1539" i="10" s="1"/>
  <c r="HC1539" i="10" a="1"/>
  <c r="HC1539" i="10" s="1"/>
  <c r="HB1539" i="10" a="1"/>
  <c r="HB1539" i="10" s="1"/>
  <c r="HA1539" i="10" a="1"/>
  <c r="HA1539" i="10" s="1"/>
  <c r="GZ1539" i="10" a="1"/>
  <c r="GZ1539" i="10" s="1"/>
  <c r="GY1539" i="10" a="1"/>
  <c r="GY1539" i="10" s="1"/>
  <c r="GX1539" i="10" a="1"/>
  <c r="GX1539" i="10" s="1"/>
  <c r="GW1539" i="10" a="1"/>
  <c r="GW1539" i="10" s="1"/>
  <c r="GV1539" i="10" a="1"/>
  <c r="GV1539" i="10" s="1"/>
  <c r="GU1539" i="10" a="1"/>
  <c r="GU1539" i="10" s="1"/>
  <c r="GT1539" i="10" a="1"/>
  <c r="GT1539" i="10" s="1"/>
  <c r="GS1539" i="10" a="1"/>
  <c r="GS1539" i="10" s="1"/>
  <c r="GR1539" i="10" a="1"/>
  <c r="GR1539" i="10" s="1"/>
  <c r="GQ1539" i="10" a="1"/>
  <c r="GQ1539" i="10" s="1"/>
  <c r="GP1539" i="10" a="1"/>
  <c r="GP1539" i="10" s="1"/>
  <c r="GO1539" i="10" a="1"/>
  <c r="GO1539" i="10" s="1"/>
  <c r="GN1539" i="10" a="1"/>
  <c r="GN1539" i="10" s="1"/>
  <c r="GM1539" i="10" a="1"/>
  <c r="GM1539" i="10" s="1"/>
  <c r="GL1539" i="10" a="1"/>
  <c r="GL1539" i="10" s="1"/>
  <c r="GK1539" i="10" a="1"/>
  <c r="GK1539" i="10" s="1"/>
  <c r="GJ1539" i="10" a="1"/>
  <c r="GJ1539" i="10" s="1"/>
  <c r="GI1539" i="10" a="1"/>
  <c r="GI1539" i="10" s="1"/>
  <c r="GH1539" i="10" a="1"/>
  <c r="GH1539" i="10" s="1"/>
  <c r="GG1539" i="10" a="1"/>
  <c r="GG1539" i="10" s="1"/>
  <c r="GF1539" i="10" a="1"/>
  <c r="GF1539" i="10" s="1"/>
  <c r="GE1539" i="10" a="1"/>
  <c r="GE1539" i="10" s="1"/>
  <c r="GD1539" i="10" a="1"/>
  <c r="GD1539" i="10" s="1"/>
  <c r="GC1539" i="10" a="1"/>
  <c r="GC1539" i="10" s="1"/>
  <c r="GB1539" i="10" a="1"/>
  <c r="GB1539" i="10" s="1"/>
  <c r="GA1539" i="10" a="1"/>
  <c r="GA1539" i="10" s="1"/>
  <c r="FZ1539" i="10" a="1"/>
  <c r="FZ1539" i="10" s="1"/>
  <c r="FY1539" i="10" a="1"/>
  <c r="FY1539" i="10" s="1"/>
  <c r="FX1539" i="10" a="1"/>
  <c r="FX1539" i="10" s="1"/>
  <c r="FW1539" i="10" a="1"/>
  <c r="FW1539" i="10" s="1"/>
  <c r="FV1539" i="10" a="1"/>
  <c r="FV1539" i="10" s="1"/>
  <c r="FU1539" i="10" a="1"/>
  <c r="FU1539" i="10" s="1"/>
  <c r="FT1539" i="10" a="1"/>
  <c r="FT1539" i="10" s="1"/>
  <c r="FS1539" i="10" a="1"/>
  <c r="FS1539" i="10" s="1"/>
  <c r="FR1539" i="10" a="1"/>
  <c r="FR1539" i="10" s="1"/>
  <c r="FQ1539" i="10" a="1"/>
  <c r="FQ1539" i="10" s="1"/>
  <c r="FP1539" i="10" a="1"/>
  <c r="FP1539" i="10" s="1"/>
  <c r="FO1539" i="10" a="1"/>
  <c r="FO1539" i="10" s="1"/>
  <c r="FN1539" i="10" a="1"/>
  <c r="FN1539" i="10" s="1"/>
  <c r="FM1539" i="10" a="1"/>
  <c r="FM1539" i="10" s="1"/>
  <c r="FL1539" i="10" a="1"/>
  <c r="FL1539" i="10" s="1"/>
  <c r="FK1539" i="10" a="1"/>
  <c r="FK1539" i="10" s="1"/>
  <c r="FJ1539" i="10" a="1"/>
  <c r="FJ1539" i="10" s="1"/>
  <c r="FI1539" i="10" a="1"/>
  <c r="FI1539" i="10" s="1"/>
  <c r="FH1539" i="10" a="1"/>
  <c r="FH1539" i="10" s="1"/>
  <c r="FG1539" i="10" a="1"/>
  <c r="FG1539" i="10" s="1"/>
  <c r="FF1539" i="10" a="1"/>
  <c r="FF1539" i="10" s="1"/>
  <c r="FE1539" i="10" a="1"/>
  <c r="FE1539" i="10" s="1"/>
  <c r="FD1539" i="10" a="1"/>
  <c r="FD1539" i="10" s="1"/>
  <c r="FC1539" i="10" a="1"/>
  <c r="FC1539" i="10" s="1"/>
  <c r="FB1539" i="10" a="1"/>
  <c r="FB1539" i="10" s="1"/>
  <c r="FA1539" i="10" a="1"/>
  <c r="FA1539" i="10" s="1"/>
  <c r="EZ1539" i="10" a="1"/>
  <c r="EZ1539" i="10" s="1"/>
  <c r="EY1539" i="10" a="1"/>
  <c r="EY1539" i="10" s="1"/>
  <c r="EX1539" i="10" a="1"/>
  <c r="EX1539" i="10" s="1"/>
  <c r="EW1539" i="10" a="1"/>
  <c r="EW1539" i="10" s="1"/>
  <c r="EV1539" i="10" a="1"/>
  <c r="EV1539" i="10" s="1"/>
  <c r="EU1539" i="10" a="1"/>
  <c r="EU1539" i="10" s="1"/>
  <c r="ET1539" i="10" a="1"/>
  <c r="ET1539" i="10" s="1"/>
  <c r="ES1539" i="10" a="1"/>
  <c r="ES1539" i="10" s="1"/>
  <c r="ER1539" i="10" a="1"/>
  <c r="ER1539" i="10" s="1"/>
  <c r="EQ1539" i="10" a="1"/>
  <c r="EQ1539" i="10" s="1"/>
  <c r="EP1539" i="10" a="1"/>
  <c r="EP1539" i="10" s="1"/>
  <c r="EO1539" i="10" a="1"/>
  <c r="EO1539" i="10" s="1"/>
  <c r="EN1539" i="10" a="1"/>
  <c r="EN1539" i="10" s="1"/>
  <c r="EM1539" i="10" a="1"/>
  <c r="EM1539" i="10" s="1"/>
  <c r="EL1539" i="10" a="1"/>
  <c r="EL1539" i="10" s="1"/>
  <c r="EK1539" i="10" a="1"/>
  <c r="EK1539" i="10" s="1"/>
  <c r="EJ1539" i="10" a="1"/>
  <c r="EJ1539" i="10" s="1"/>
  <c r="EI1539" i="10" a="1"/>
  <c r="EI1539" i="10" s="1"/>
  <c r="EH1539" i="10" a="1"/>
  <c r="EH1539" i="10" s="1"/>
  <c r="EG1539" i="10" a="1"/>
  <c r="EG1539" i="10" s="1"/>
  <c r="EF1539" i="10" a="1"/>
  <c r="EF1539" i="10" s="1"/>
  <c r="EE1539" i="10" a="1"/>
  <c r="EE1539" i="10" s="1"/>
  <c r="ED1539" i="10" a="1"/>
  <c r="ED1539" i="10" s="1"/>
  <c r="EC1539" i="10" a="1"/>
  <c r="EC1539" i="10" s="1"/>
  <c r="EB1539" i="10" a="1"/>
  <c r="EB1539" i="10" s="1"/>
  <c r="EA1539" i="10" a="1"/>
  <c r="EA1539" i="10" s="1"/>
  <c r="DZ1539" i="10" a="1"/>
  <c r="DZ1539" i="10" s="1"/>
  <c r="DY1539" i="10" a="1"/>
  <c r="DY1539" i="10" s="1"/>
  <c r="DX1539" i="10" a="1"/>
  <c r="DX1539" i="10" s="1"/>
  <c r="DW1539" i="10" a="1"/>
  <c r="DW1539" i="10" s="1"/>
  <c r="DV1539" i="10" a="1"/>
  <c r="DV1539" i="10" s="1"/>
  <c r="DU1539" i="10" a="1"/>
  <c r="DU1539" i="10" s="1"/>
  <c r="DT1539" i="10" a="1"/>
  <c r="DT1539" i="10" s="1"/>
  <c r="DS1539" i="10" a="1"/>
  <c r="DS1539" i="10" s="1"/>
  <c r="DR1539" i="10" a="1"/>
  <c r="DR1539" i="10" s="1"/>
  <c r="DQ1539" i="10" a="1"/>
  <c r="DQ1539" i="10" s="1"/>
  <c r="DP1539" i="10" a="1"/>
  <c r="DP1539" i="10" s="1"/>
  <c r="DO1539" i="10" a="1"/>
  <c r="DO1539" i="10" s="1"/>
  <c r="DN1539" i="10" a="1"/>
  <c r="DN1539" i="10" s="1"/>
  <c r="DM1539" i="10" a="1"/>
  <c r="DM1539" i="10" s="1"/>
  <c r="DL1539" i="10" a="1"/>
  <c r="DL1539" i="10" s="1"/>
  <c r="DK1539" i="10" a="1"/>
  <c r="DK1539" i="10" s="1"/>
  <c r="DJ1539" i="10" a="1"/>
  <c r="DJ1539" i="10" s="1"/>
  <c r="DI1539" i="10" a="1"/>
  <c r="DI1539" i="10" s="1"/>
  <c r="DH1539" i="10" a="1"/>
  <c r="DH1539" i="10" s="1"/>
  <c r="DG1539" i="10" a="1"/>
  <c r="DG1539" i="10" s="1"/>
  <c r="DF1539" i="10" a="1"/>
  <c r="DF1539" i="10" s="1"/>
  <c r="DE1539" i="10" a="1"/>
  <c r="DE1539" i="10" s="1"/>
  <c r="DD1539" i="10" a="1"/>
  <c r="DD1539" i="10" s="1"/>
  <c r="DC1539" i="10" a="1"/>
  <c r="DC1539" i="10" s="1"/>
  <c r="DB1539" i="10" a="1"/>
  <c r="DB1539" i="10" s="1"/>
  <c r="DA1539" i="10" a="1"/>
  <c r="DA1539" i="10" s="1"/>
  <c r="CZ1539" i="10" a="1"/>
  <c r="CZ1539" i="10" s="1"/>
  <c r="CY1539" i="10" a="1"/>
  <c r="CY1539" i="10" s="1"/>
  <c r="CX1539" i="10" a="1"/>
  <c r="CX1539" i="10" s="1"/>
  <c r="CW1539" i="10" a="1"/>
  <c r="CW1539" i="10" s="1"/>
  <c r="CV1539" i="10" a="1"/>
  <c r="CV1539" i="10" s="1"/>
  <c r="CU1539" i="10" a="1"/>
  <c r="CU1539" i="10" s="1"/>
  <c r="CT1539" i="10" a="1"/>
  <c r="CT1539" i="10" s="1"/>
  <c r="CS1539" i="10" a="1"/>
  <c r="CS1539" i="10" s="1"/>
  <c r="CR1539" i="10" a="1"/>
  <c r="CR1539" i="10" s="1"/>
  <c r="CQ1539" i="10" a="1"/>
  <c r="CQ1539" i="10" s="1"/>
  <c r="CP1539" i="10" a="1"/>
  <c r="CP1539" i="10" s="1"/>
  <c r="CO1539" i="10" a="1"/>
  <c r="CO1539" i="10" s="1"/>
  <c r="CN1539" i="10" a="1"/>
  <c r="CN1539" i="10" s="1"/>
  <c r="CM1539" i="10" a="1"/>
  <c r="CM1539" i="10" s="1"/>
  <c r="CL1539" i="10" a="1"/>
  <c r="CL1539" i="10" s="1"/>
  <c r="CK1539" i="10" a="1"/>
  <c r="CK1539" i="10" s="1"/>
  <c r="CJ1539" i="10" a="1"/>
  <c r="CJ1539" i="10" s="1"/>
  <c r="CI1539" i="10" a="1"/>
  <c r="CI1539" i="10" s="1"/>
  <c r="CH1539" i="10" a="1"/>
  <c r="CH1539" i="10" s="1"/>
  <c r="CG1539" i="10" a="1"/>
  <c r="CG1539" i="10" s="1"/>
  <c r="CF1539" i="10" a="1"/>
  <c r="CF1539" i="10" s="1"/>
  <c r="CE1539" i="10" a="1"/>
  <c r="CE1539" i="10" s="1"/>
  <c r="CD1539" i="10" a="1"/>
  <c r="CD1539" i="10" s="1"/>
  <c r="CC1539" i="10" a="1"/>
  <c r="CC1539" i="10" s="1"/>
  <c r="CB1539" i="10" a="1"/>
  <c r="CB1539" i="10" s="1"/>
  <c r="CA1539" i="10" a="1"/>
  <c r="CA1539" i="10" s="1"/>
  <c r="BZ1539" i="10" a="1"/>
  <c r="BZ1539" i="10" s="1"/>
  <c r="BY1539" i="10" a="1"/>
  <c r="BY1539" i="10" s="1"/>
  <c r="BX1539" i="10" a="1"/>
  <c r="BX1539" i="10" s="1"/>
  <c r="BW1539" i="10" a="1"/>
  <c r="BW1539" i="10" s="1"/>
  <c r="BV1539" i="10" a="1"/>
  <c r="BV1539" i="10" s="1"/>
  <c r="BU1539" i="10" a="1"/>
  <c r="BU1539" i="10" s="1"/>
  <c r="BT1539" i="10" a="1"/>
  <c r="BT1539" i="10" s="1"/>
  <c r="BS1539" i="10" a="1"/>
  <c r="BS1539" i="10" s="1"/>
  <c r="BR1539" i="10" a="1"/>
  <c r="BR1539" i="10" s="1"/>
  <c r="BQ1539" i="10" a="1"/>
  <c r="BQ1539" i="10" s="1"/>
  <c r="BP1539" i="10" a="1"/>
  <c r="BP1539" i="10" s="1"/>
  <c r="BO1539" i="10" a="1"/>
  <c r="BO1539" i="10" s="1"/>
  <c r="BN1539" i="10" a="1"/>
  <c r="BN1539" i="10" s="1"/>
  <c r="BM1539" i="10" a="1"/>
  <c r="BM1539" i="10" s="1"/>
  <c r="BL1539" i="10" a="1"/>
  <c r="BL1539" i="10" s="1"/>
  <c r="BK1539" i="10" a="1"/>
  <c r="BK1539" i="10" s="1"/>
  <c r="BJ1539" i="10" a="1"/>
  <c r="BJ1539" i="10" s="1"/>
  <c r="BI1539" i="10" a="1"/>
  <c r="BI1539" i="10" s="1"/>
  <c r="BH1539" i="10" a="1"/>
  <c r="BH1539" i="10" s="1"/>
  <c r="BG1539" i="10" a="1"/>
  <c r="BG1539" i="10" s="1"/>
  <c r="BF1539" i="10" a="1"/>
  <c r="BF1539" i="10" s="1"/>
  <c r="BE1539" i="10" a="1"/>
  <c r="BE1539" i="10" s="1"/>
  <c r="BD1539" i="10" a="1"/>
  <c r="BD1539" i="10" s="1"/>
  <c r="BC1539" i="10" a="1"/>
  <c r="BC1539" i="10" s="1"/>
  <c r="BB1539" i="10" a="1"/>
  <c r="BB1539" i="10" s="1"/>
  <c r="BA1539" i="10" a="1"/>
  <c r="BA1539" i="10" s="1"/>
  <c r="AZ1539" i="10" a="1"/>
  <c r="AZ1539" i="10" s="1"/>
  <c r="AY1539" i="10" a="1"/>
  <c r="AY1539" i="10" s="1"/>
  <c r="AX1539" i="10" a="1"/>
  <c r="AX1539" i="10" s="1"/>
  <c r="AW1539" i="10" a="1"/>
  <c r="AW1539" i="10" s="1"/>
  <c r="AV1539" i="10" a="1"/>
  <c r="AV1539" i="10" s="1"/>
  <c r="AU1539" i="10" a="1"/>
  <c r="AU1539" i="10" s="1"/>
  <c r="AT1539" i="10" a="1"/>
  <c r="AT1539" i="10" s="1"/>
  <c r="AS1539" i="10" a="1"/>
  <c r="AS1539" i="10" s="1"/>
  <c r="AR1539" i="10" a="1"/>
  <c r="AR1539" i="10" s="1"/>
  <c r="AQ1539" i="10" a="1"/>
  <c r="AQ1539" i="10" s="1"/>
  <c r="AP1539" i="10" a="1"/>
  <c r="AP1539" i="10" s="1"/>
  <c r="AO1539" i="10" a="1"/>
  <c r="AO1539" i="10" s="1"/>
  <c r="AN1539" i="10" a="1"/>
  <c r="AN1539" i="10" s="1"/>
  <c r="AM1539" i="10" a="1"/>
  <c r="AM1539" i="10" s="1"/>
  <c r="AL1539" i="10" a="1"/>
  <c r="AL1539" i="10" s="1"/>
  <c r="Q17" i="9" s="1"/>
  <c r="AK1539" i="10" a="1"/>
  <c r="AK1539" i="10" s="1"/>
  <c r="AJ1539" i="10" a="1"/>
  <c r="AJ1539" i="10" s="1"/>
  <c r="AI1539" i="10" a="1"/>
  <c r="AI1539" i="10" s="1"/>
  <c r="AH1539" i="10" a="1"/>
  <c r="AH1539" i="10" s="1"/>
  <c r="AG1539" i="10" a="1"/>
  <c r="AG1539" i="10" s="1"/>
  <c r="AF1539" i="10" a="1"/>
  <c r="AF1539" i="10" s="1"/>
  <c r="AE1539" i="10" a="1"/>
  <c r="AE1539" i="10" s="1"/>
  <c r="AD1539" i="10" a="1"/>
  <c r="AD1539" i="10" s="1"/>
  <c r="AC1539" i="10" a="1"/>
  <c r="AC1539" i="10" s="1"/>
  <c r="AB1539" i="10" a="1"/>
  <c r="AB1539" i="10" s="1"/>
  <c r="AA1539" i="10" a="1"/>
  <c r="AA1539" i="10" s="1"/>
  <c r="Z1539" i="10" a="1"/>
  <c r="Z1539" i="10" s="1"/>
  <c r="Y1539" i="10" a="1"/>
  <c r="Y1539" i="10" s="1"/>
  <c r="X1539" i="10" a="1"/>
  <c r="X1539" i="10" s="1"/>
  <c r="W1539" i="10" a="1"/>
  <c r="W1539" i="10" s="1"/>
  <c r="V1539" i="10" a="1"/>
  <c r="V1539" i="10" s="1"/>
  <c r="U1539" i="10" a="1"/>
  <c r="U1539" i="10" s="1"/>
  <c r="T1539" i="10" a="1"/>
  <c r="T1539" i="10" s="1"/>
  <c r="S1539" i="10" a="1"/>
  <c r="S1539" i="10" s="1"/>
  <c r="R1539" i="10" a="1"/>
  <c r="R1539" i="10" s="1"/>
  <c r="Q1539" i="10" a="1"/>
  <c r="Q1539" i="10" s="1"/>
  <c r="P1539" i="10" a="1"/>
  <c r="P1539" i="10" s="1"/>
  <c r="AGN1538" i="10" a="1"/>
  <c r="AGN1538" i="10" s="1"/>
  <c r="AGM1538" i="10" a="1"/>
  <c r="AGM1538" i="10" s="1"/>
  <c r="AGL1538" i="10" a="1"/>
  <c r="AGL1538" i="10" s="1"/>
  <c r="AGK1538" i="10" a="1"/>
  <c r="AGK1538" i="10" s="1"/>
  <c r="AGJ1538" i="10" a="1"/>
  <c r="AGJ1538" i="10" s="1"/>
  <c r="AGI1538" i="10" a="1"/>
  <c r="AGI1538" i="10" s="1"/>
  <c r="AGH1538" i="10" a="1"/>
  <c r="AGH1538" i="10" s="1"/>
  <c r="AGG1538" i="10" a="1"/>
  <c r="AGG1538" i="10" s="1"/>
  <c r="AGF1538" i="10" a="1"/>
  <c r="AGF1538" i="10" s="1"/>
  <c r="AGE1538" i="10" a="1"/>
  <c r="AGE1538" i="10" s="1"/>
  <c r="AGD1538" i="10" a="1"/>
  <c r="AGD1538" i="10" s="1"/>
  <c r="AGC1538" i="10" a="1"/>
  <c r="AGC1538" i="10" s="1"/>
  <c r="AGB1538" i="10" a="1"/>
  <c r="AGB1538" i="10" s="1"/>
  <c r="AGA1538" i="10" a="1"/>
  <c r="AGA1538" i="10" s="1"/>
  <c r="AFZ1538" i="10" a="1"/>
  <c r="AFZ1538" i="10" s="1"/>
  <c r="AFY1538" i="10" a="1"/>
  <c r="AFY1538" i="10" s="1"/>
  <c r="AFX1538" i="10" a="1"/>
  <c r="AFX1538" i="10" s="1"/>
  <c r="AFW1538" i="10" a="1"/>
  <c r="AFW1538" i="10" s="1"/>
  <c r="AFV1538" i="10" a="1"/>
  <c r="AFV1538" i="10" s="1"/>
  <c r="AFU1538" i="10" a="1"/>
  <c r="AFU1538" i="10" s="1"/>
  <c r="AFT1538" i="10" a="1"/>
  <c r="AFT1538" i="10" s="1"/>
  <c r="AFS1538" i="10" a="1"/>
  <c r="AFS1538" i="10" s="1"/>
  <c r="AFR1538" i="10" a="1"/>
  <c r="AFR1538" i="10" s="1"/>
  <c r="AFQ1538" i="10" a="1"/>
  <c r="AFQ1538" i="10" s="1"/>
  <c r="AFP1538" i="10" a="1"/>
  <c r="AFP1538" i="10" s="1"/>
  <c r="AFO1538" i="10" a="1"/>
  <c r="AFO1538" i="10" s="1"/>
  <c r="AFN1538" i="10" a="1"/>
  <c r="AFN1538" i="10" s="1"/>
  <c r="AFM1538" i="10" a="1"/>
  <c r="AFM1538" i="10" s="1"/>
  <c r="AFL1538" i="10" a="1"/>
  <c r="AFL1538" i="10" s="1"/>
  <c r="AFK1538" i="10" a="1"/>
  <c r="AFK1538" i="10" s="1"/>
  <c r="AFJ1538" i="10" a="1"/>
  <c r="AFJ1538" i="10" s="1"/>
  <c r="AFI1538" i="10" a="1"/>
  <c r="AFI1538" i="10" s="1"/>
  <c r="AFH1538" i="10" a="1"/>
  <c r="AFH1538" i="10" s="1"/>
  <c r="AFG1538" i="10" a="1"/>
  <c r="AFG1538" i="10" s="1"/>
  <c r="AFF1538" i="10" a="1"/>
  <c r="AFF1538" i="10" s="1"/>
  <c r="AFE1538" i="10" a="1"/>
  <c r="AFE1538" i="10" s="1"/>
  <c r="AFD1538" i="10" a="1"/>
  <c r="AFD1538" i="10" s="1"/>
  <c r="AFC1538" i="10" a="1"/>
  <c r="AFC1538" i="10" s="1"/>
  <c r="AFB1538" i="10" a="1"/>
  <c r="AFB1538" i="10" s="1"/>
  <c r="AFA1538" i="10" a="1"/>
  <c r="AFA1538" i="10" s="1"/>
  <c r="AEZ1538" i="10" a="1"/>
  <c r="AEZ1538" i="10" s="1"/>
  <c r="AEY1538" i="10" a="1"/>
  <c r="AEY1538" i="10" s="1"/>
  <c r="AEX1538" i="10" a="1"/>
  <c r="AEX1538" i="10" s="1"/>
  <c r="AEW1538" i="10" a="1"/>
  <c r="AEW1538" i="10" s="1"/>
  <c r="AEV1538" i="10" a="1"/>
  <c r="AEV1538" i="10" s="1"/>
  <c r="AEU1538" i="10" a="1"/>
  <c r="AEU1538" i="10" s="1"/>
  <c r="AET1538" i="10" a="1"/>
  <c r="AET1538" i="10" s="1"/>
  <c r="AES1538" i="10" a="1"/>
  <c r="AES1538" i="10" s="1"/>
  <c r="AER1538" i="10" a="1"/>
  <c r="AER1538" i="10" s="1"/>
  <c r="AEQ1538" i="10" a="1"/>
  <c r="AEQ1538" i="10" s="1"/>
  <c r="AEP1538" i="10" a="1"/>
  <c r="AEP1538" i="10" s="1"/>
  <c r="AEO1538" i="10" a="1"/>
  <c r="AEO1538" i="10" s="1"/>
  <c r="AEN1538" i="10" a="1"/>
  <c r="AEN1538" i="10" s="1"/>
  <c r="AEM1538" i="10" a="1"/>
  <c r="AEM1538" i="10" s="1"/>
  <c r="AEL1538" i="10" a="1"/>
  <c r="AEL1538" i="10" s="1"/>
  <c r="AEK1538" i="10" a="1"/>
  <c r="AEK1538" i="10" s="1"/>
  <c r="AEJ1538" i="10" a="1"/>
  <c r="AEJ1538" i="10" s="1"/>
  <c r="AEI1538" i="10" a="1"/>
  <c r="AEI1538" i="10" s="1"/>
  <c r="AEH1538" i="10" a="1"/>
  <c r="AEH1538" i="10" s="1"/>
  <c r="AEG1538" i="10" a="1"/>
  <c r="AEG1538" i="10" s="1"/>
  <c r="AEF1538" i="10" a="1"/>
  <c r="AEF1538" i="10" s="1"/>
  <c r="AEE1538" i="10" a="1"/>
  <c r="AEE1538" i="10" s="1"/>
  <c r="AED1538" i="10" a="1"/>
  <c r="AED1538" i="10" s="1"/>
  <c r="AEC1538" i="10" a="1"/>
  <c r="AEC1538" i="10" s="1"/>
  <c r="AEB1538" i="10" a="1"/>
  <c r="AEB1538" i="10" s="1"/>
  <c r="AEA1538" i="10" a="1"/>
  <c r="AEA1538" i="10" s="1"/>
  <c r="ADZ1538" i="10" a="1"/>
  <c r="ADZ1538" i="10" s="1"/>
  <c r="ADY1538" i="10" a="1"/>
  <c r="ADY1538" i="10" s="1"/>
  <c r="ADX1538" i="10" a="1"/>
  <c r="ADX1538" i="10" s="1"/>
  <c r="ADW1538" i="10" a="1"/>
  <c r="ADW1538" i="10" s="1"/>
  <c r="ADV1538" i="10" a="1"/>
  <c r="ADV1538" i="10" s="1"/>
  <c r="ADU1538" i="10" a="1"/>
  <c r="ADU1538" i="10" s="1"/>
  <c r="ADT1538" i="10" a="1"/>
  <c r="ADT1538" i="10" s="1"/>
  <c r="ADS1538" i="10" a="1"/>
  <c r="ADS1538" i="10" s="1"/>
  <c r="ADR1538" i="10" a="1"/>
  <c r="ADR1538" i="10" s="1"/>
  <c r="ADQ1538" i="10" a="1"/>
  <c r="ADQ1538" i="10" s="1"/>
  <c r="ADP1538" i="10" a="1"/>
  <c r="ADP1538" i="10" s="1"/>
  <c r="ADO1538" i="10" a="1"/>
  <c r="ADO1538" i="10" s="1"/>
  <c r="ADN1538" i="10" a="1"/>
  <c r="ADN1538" i="10" s="1"/>
  <c r="ADM1538" i="10" a="1"/>
  <c r="ADM1538" i="10" s="1"/>
  <c r="ADL1538" i="10" a="1"/>
  <c r="ADL1538" i="10" s="1"/>
  <c r="ADK1538" i="10" a="1"/>
  <c r="ADK1538" i="10" s="1"/>
  <c r="ADJ1538" i="10" a="1"/>
  <c r="ADJ1538" i="10" s="1"/>
  <c r="ADI1538" i="10" a="1"/>
  <c r="ADI1538" i="10" s="1"/>
  <c r="ADH1538" i="10" a="1"/>
  <c r="ADH1538" i="10" s="1"/>
  <c r="ADG1538" i="10" a="1"/>
  <c r="ADG1538" i="10" s="1"/>
  <c r="ADF1538" i="10" a="1"/>
  <c r="ADF1538" i="10" s="1"/>
  <c r="ADE1538" i="10" a="1"/>
  <c r="ADE1538" i="10" s="1"/>
  <c r="ADD1538" i="10" a="1"/>
  <c r="ADD1538" i="10" s="1"/>
  <c r="ADC1538" i="10" a="1"/>
  <c r="ADC1538" i="10" s="1"/>
  <c r="ADB1538" i="10" a="1"/>
  <c r="ADB1538" i="10" s="1"/>
  <c r="ADA1538" i="10" a="1"/>
  <c r="ADA1538" i="10" s="1"/>
  <c r="ACZ1538" i="10" a="1"/>
  <c r="ACZ1538" i="10" s="1"/>
  <c r="ACY1538" i="10" a="1"/>
  <c r="ACY1538" i="10" s="1"/>
  <c r="ACX1538" i="10" a="1"/>
  <c r="ACX1538" i="10" s="1"/>
  <c r="ACW1538" i="10" a="1"/>
  <c r="ACW1538" i="10" s="1"/>
  <c r="ACV1538" i="10" a="1"/>
  <c r="ACV1538" i="10" s="1"/>
  <c r="ACU1538" i="10" a="1"/>
  <c r="ACU1538" i="10" s="1"/>
  <c r="ACT1538" i="10" a="1"/>
  <c r="ACT1538" i="10" s="1"/>
  <c r="ACS1538" i="10" a="1"/>
  <c r="ACS1538" i="10" s="1"/>
  <c r="ACR1538" i="10" a="1"/>
  <c r="ACR1538" i="10" s="1"/>
  <c r="ACQ1538" i="10" a="1"/>
  <c r="ACQ1538" i="10" s="1"/>
  <c r="ACP1538" i="10" a="1"/>
  <c r="ACP1538" i="10" s="1"/>
  <c r="ACO1538" i="10" a="1"/>
  <c r="ACO1538" i="10" s="1"/>
  <c r="ACN1538" i="10" a="1"/>
  <c r="ACN1538" i="10" s="1"/>
  <c r="ACM1538" i="10" a="1"/>
  <c r="ACM1538" i="10" s="1"/>
  <c r="ACL1538" i="10" a="1"/>
  <c r="ACL1538" i="10" s="1"/>
  <c r="ACK1538" i="10" a="1"/>
  <c r="ACK1538" i="10" s="1"/>
  <c r="ACJ1538" i="10" a="1"/>
  <c r="ACJ1538" i="10" s="1"/>
  <c r="ACI1538" i="10" a="1"/>
  <c r="ACI1538" i="10" s="1"/>
  <c r="ACH1538" i="10" a="1"/>
  <c r="ACH1538" i="10" s="1"/>
  <c r="ACG1538" i="10" a="1"/>
  <c r="ACG1538" i="10" s="1"/>
  <c r="ACF1538" i="10" a="1"/>
  <c r="ACF1538" i="10" s="1"/>
  <c r="ACE1538" i="10" a="1"/>
  <c r="ACE1538" i="10" s="1"/>
  <c r="ACD1538" i="10" a="1"/>
  <c r="ACD1538" i="10" s="1"/>
  <c r="ACC1538" i="10" a="1"/>
  <c r="ACC1538" i="10" s="1"/>
  <c r="ACB1538" i="10" a="1"/>
  <c r="ACB1538" i="10" s="1"/>
  <c r="ACA1538" i="10" a="1"/>
  <c r="ACA1538" i="10" s="1"/>
  <c r="ABZ1538" i="10" a="1"/>
  <c r="ABZ1538" i="10" s="1"/>
  <c r="ABY1538" i="10" a="1"/>
  <c r="ABY1538" i="10" s="1"/>
  <c r="ABX1538" i="10" a="1"/>
  <c r="ABX1538" i="10" s="1"/>
  <c r="ABW1538" i="10" a="1"/>
  <c r="ABW1538" i="10" s="1"/>
  <c r="ABV1538" i="10" a="1"/>
  <c r="ABV1538" i="10" s="1"/>
  <c r="ABU1538" i="10" a="1"/>
  <c r="ABU1538" i="10" s="1"/>
  <c r="ABT1538" i="10" a="1"/>
  <c r="ABT1538" i="10" s="1"/>
  <c r="ABS1538" i="10" a="1"/>
  <c r="ABS1538" i="10" s="1"/>
  <c r="ABR1538" i="10" a="1"/>
  <c r="ABR1538" i="10" s="1"/>
  <c r="ABQ1538" i="10" a="1"/>
  <c r="ABQ1538" i="10" s="1"/>
  <c r="ABP1538" i="10" a="1"/>
  <c r="ABP1538" i="10" s="1"/>
  <c r="ABO1538" i="10" a="1"/>
  <c r="ABO1538" i="10" s="1"/>
  <c r="ABN1538" i="10" a="1"/>
  <c r="ABN1538" i="10" s="1"/>
  <c r="ABM1538" i="10" a="1"/>
  <c r="ABM1538" i="10" s="1"/>
  <c r="ABL1538" i="10" a="1"/>
  <c r="ABL1538" i="10" s="1"/>
  <c r="ABK1538" i="10" a="1"/>
  <c r="ABK1538" i="10" s="1"/>
  <c r="ABJ1538" i="10" a="1"/>
  <c r="ABJ1538" i="10" s="1"/>
  <c r="ABI1538" i="10" a="1"/>
  <c r="ABI1538" i="10" s="1"/>
  <c r="ABH1538" i="10" a="1"/>
  <c r="ABH1538" i="10" s="1"/>
  <c r="ABG1538" i="10" a="1"/>
  <c r="ABG1538" i="10" s="1"/>
  <c r="ABF1538" i="10" a="1"/>
  <c r="ABF1538" i="10" s="1"/>
  <c r="ABE1538" i="10" a="1"/>
  <c r="ABE1538" i="10" s="1"/>
  <c r="ABD1538" i="10" a="1"/>
  <c r="ABD1538" i="10" s="1"/>
  <c r="ABC1538" i="10" a="1"/>
  <c r="ABC1538" i="10" s="1"/>
  <c r="ABB1538" i="10" a="1"/>
  <c r="ABB1538" i="10" s="1"/>
  <c r="ABA1538" i="10" a="1"/>
  <c r="ABA1538" i="10" s="1"/>
  <c r="AAZ1538" i="10" a="1"/>
  <c r="AAZ1538" i="10" s="1"/>
  <c r="AAY1538" i="10" a="1"/>
  <c r="AAY1538" i="10" s="1"/>
  <c r="AAX1538" i="10" a="1"/>
  <c r="AAX1538" i="10" s="1"/>
  <c r="AAW1538" i="10" a="1"/>
  <c r="AAW1538" i="10" s="1"/>
  <c r="AAV1538" i="10" a="1"/>
  <c r="AAV1538" i="10" s="1"/>
  <c r="AAU1538" i="10" a="1"/>
  <c r="AAU1538" i="10" s="1"/>
  <c r="AAT1538" i="10" a="1"/>
  <c r="AAT1538" i="10" s="1"/>
  <c r="AAS1538" i="10" a="1"/>
  <c r="AAS1538" i="10" s="1"/>
  <c r="AAR1538" i="10" a="1"/>
  <c r="AAR1538" i="10" s="1"/>
  <c r="AAQ1538" i="10" a="1"/>
  <c r="AAQ1538" i="10" s="1"/>
  <c r="AAP1538" i="10" a="1"/>
  <c r="AAP1538" i="10" s="1"/>
  <c r="AAO1538" i="10" a="1"/>
  <c r="AAO1538" i="10" s="1"/>
  <c r="AAN1538" i="10" a="1"/>
  <c r="AAN1538" i="10" s="1"/>
  <c r="AAM1538" i="10" a="1"/>
  <c r="AAM1538" i="10" s="1"/>
  <c r="AAL1538" i="10" a="1"/>
  <c r="AAL1538" i="10" s="1"/>
  <c r="AAK1538" i="10" a="1"/>
  <c r="AAK1538" i="10" s="1"/>
  <c r="AAJ1538" i="10" a="1"/>
  <c r="AAJ1538" i="10" s="1"/>
  <c r="AAI1538" i="10" a="1"/>
  <c r="AAI1538" i="10" s="1"/>
  <c r="AAH1538" i="10" a="1"/>
  <c r="AAH1538" i="10" s="1"/>
  <c r="AAG1538" i="10" a="1"/>
  <c r="AAG1538" i="10" s="1"/>
  <c r="AAF1538" i="10" a="1"/>
  <c r="AAF1538" i="10" s="1"/>
  <c r="AAE1538" i="10" a="1"/>
  <c r="AAE1538" i="10" s="1"/>
  <c r="AAD1538" i="10" a="1"/>
  <c r="AAD1538" i="10" s="1"/>
  <c r="AAC1538" i="10" a="1"/>
  <c r="AAC1538" i="10" s="1"/>
  <c r="AAB1538" i="10" a="1"/>
  <c r="AAB1538" i="10" s="1"/>
  <c r="AAA1538" i="10" a="1"/>
  <c r="AAA1538" i="10" s="1"/>
  <c r="ZZ1538" i="10" a="1"/>
  <c r="ZZ1538" i="10" s="1"/>
  <c r="ZY1538" i="10" a="1"/>
  <c r="ZY1538" i="10" s="1"/>
  <c r="ZX1538" i="10" a="1"/>
  <c r="ZX1538" i="10" s="1"/>
  <c r="ZW1538" i="10" a="1"/>
  <c r="ZW1538" i="10" s="1"/>
  <c r="ZV1538" i="10" a="1"/>
  <c r="ZV1538" i="10" s="1"/>
  <c r="ZU1538" i="10" a="1"/>
  <c r="ZU1538" i="10" s="1"/>
  <c r="ZT1538" i="10" a="1"/>
  <c r="ZT1538" i="10" s="1"/>
  <c r="ZS1538" i="10" a="1"/>
  <c r="ZS1538" i="10" s="1"/>
  <c r="ZR1538" i="10" a="1"/>
  <c r="ZR1538" i="10" s="1"/>
  <c r="ZQ1538" i="10" a="1"/>
  <c r="ZQ1538" i="10" s="1"/>
  <c r="ZP1538" i="10" a="1"/>
  <c r="ZP1538" i="10" s="1"/>
  <c r="ZO1538" i="10" a="1"/>
  <c r="ZO1538" i="10" s="1"/>
  <c r="ZN1538" i="10" a="1"/>
  <c r="ZN1538" i="10" s="1"/>
  <c r="ZM1538" i="10" a="1"/>
  <c r="ZM1538" i="10" s="1"/>
  <c r="ZL1538" i="10" a="1"/>
  <c r="ZL1538" i="10" s="1"/>
  <c r="ZK1538" i="10" a="1"/>
  <c r="ZK1538" i="10" s="1"/>
  <c r="ZJ1538" i="10" a="1"/>
  <c r="ZJ1538" i="10" s="1"/>
  <c r="ZI1538" i="10" a="1"/>
  <c r="ZI1538" i="10" s="1"/>
  <c r="ZH1538" i="10" a="1"/>
  <c r="ZH1538" i="10" s="1"/>
  <c r="ZG1538" i="10" a="1"/>
  <c r="ZG1538" i="10" s="1"/>
  <c r="ZF1538" i="10" a="1"/>
  <c r="ZF1538" i="10" s="1"/>
  <c r="ZE1538" i="10" a="1"/>
  <c r="ZE1538" i="10" s="1"/>
  <c r="ZD1538" i="10" a="1"/>
  <c r="ZD1538" i="10" s="1"/>
  <c r="ZC1538" i="10" a="1"/>
  <c r="ZC1538" i="10" s="1"/>
  <c r="ZB1538" i="10" a="1"/>
  <c r="ZB1538" i="10" s="1"/>
  <c r="ZA1538" i="10" a="1"/>
  <c r="ZA1538" i="10" s="1"/>
  <c r="YZ1538" i="10" a="1"/>
  <c r="YZ1538" i="10" s="1"/>
  <c r="YY1538" i="10" a="1"/>
  <c r="YY1538" i="10" s="1"/>
  <c r="YX1538" i="10" a="1"/>
  <c r="YX1538" i="10" s="1"/>
  <c r="YW1538" i="10" a="1"/>
  <c r="YW1538" i="10" s="1"/>
  <c r="YV1538" i="10" a="1"/>
  <c r="YV1538" i="10" s="1"/>
  <c r="YU1538" i="10" a="1"/>
  <c r="YU1538" i="10" s="1"/>
  <c r="YT1538" i="10" a="1"/>
  <c r="YT1538" i="10" s="1"/>
  <c r="YS1538" i="10" a="1"/>
  <c r="YS1538" i="10" s="1"/>
  <c r="YR1538" i="10" a="1"/>
  <c r="YR1538" i="10" s="1"/>
  <c r="YQ1538" i="10" a="1"/>
  <c r="YQ1538" i="10" s="1"/>
  <c r="YP1538" i="10" a="1"/>
  <c r="YP1538" i="10" s="1"/>
  <c r="YO1538" i="10" a="1"/>
  <c r="YO1538" i="10" s="1"/>
  <c r="YN1538" i="10" a="1"/>
  <c r="YN1538" i="10" s="1"/>
  <c r="YM1538" i="10" a="1"/>
  <c r="YM1538" i="10" s="1"/>
  <c r="YL1538" i="10" a="1"/>
  <c r="YL1538" i="10" s="1"/>
  <c r="YK1538" i="10" a="1"/>
  <c r="YK1538" i="10" s="1"/>
  <c r="YJ1538" i="10" a="1"/>
  <c r="YJ1538" i="10" s="1"/>
  <c r="YI1538" i="10" a="1"/>
  <c r="YI1538" i="10" s="1"/>
  <c r="YH1538" i="10" a="1"/>
  <c r="YH1538" i="10" s="1"/>
  <c r="YG1538" i="10" a="1"/>
  <c r="YG1538" i="10" s="1"/>
  <c r="YF1538" i="10" a="1"/>
  <c r="YF1538" i="10" s="1"/>
  <c r="YE1538" i="10" a="1"/>
  <c r="YE1538" i="10" s="1"/>
  <c r="YD1538" i="10" a="1"/>
  <c r="YD1538" i="10" s="1"/>
  <c r="YC1538" i="10" a="1"/>
  <c r="YC1538" i="10" s="1"/>
  <c r="YB1538" i="10" a="1"/>
  <c r="YB1538" i="10" s="1"/>
  <c r="YA1538" i="10" a="1"/>
  <c r="YA1538" i="10" s="1"/>
  <c r="XZ1538" i="10" a="1"/>
  <c r="XZ1538" i="10" s="1"/>
  <c r="XY1538" i="10" a="1"/>
  <c r="XY1538" i="10" s="1"/>
  <c r="XX1538" i="10" a="1"/>
  <c r="XX1538" i="10" s="1"/>
  <c r="XW1538" i="10" a="1"/>
  <c r="XW1538" i="10" s="1"/>
  <c r="XV1538" i="10" a="1"/>
  <c r="XV1538" i="10" s="1"/>
  <c r="XU1538" i="10" a="1"/>
  <c r="XU1538" i="10" s="1"/>
  <c r="XT1538" i="10" a="1"/>
  <c r="XT1538" i="10" s="1"/>
  <c r="XS1538" i="10" a="1"/>
  <c r="XS1538" i="10" s="1"/>
  <c r="XR1538" i="10" a="1"/>
  <c r="XR1538" i="10" s="1"/>
  <c r="XQ1538" i="10" a="1"/>
  <c r="XQ1538" i="10" s="1"/>
  <c r="XP1538" i="10" a="1"/>
  <c r="XP1538" i="10" s="1"/>
  <c r="XO1538" i="10" a="1"/>
  <c r="XO1538" i="10" s="1"/>
  <c r="XN1538" i="10" a="1"/>
  <c r="XN1538" i="10" s="1"/>
  <c r="XM1538" i="10" a="1"/>
  <c r="XM1538" i="10" s="1"/>
  <c r="XL1538" i="10" a="1"/>
  <c r="XL1538" i="10" s="1"/>
  <c r="XK1538" i="10" a="1"/>
  <c r="XK1538" i="10" s="1"/>
  <c r="XJ1538" i="10" a="1"/>
  <c r="XJ1538" i="10" s="1"/>
  <c r="XI1538" i="10" a="1"/>
  <c r="XI1538" i="10" s="1"/>
  <c r="XH1538" i="10" a="1"/>
  <c r="XH1538" i="10" s="1"/>
  <c r="XG1538" i="10" a="1"/>
  <c r="XG1538" i="10" s="1"/>
  <c r="XF1538" i="10" a="1"/>
  <c r="XF1538" i="10" s="1"/>
  <c r="XE1538" i="10" a="1"/>
  <c r="XE1538" i="10" s="1"/>
  <c r="XD1538" i="10" a="1"/>
  <c r="XD1538" i="10" s="1"/>
  <c r="XC1538" i="10" a="1"/>
  <c r="XC1538" i="10" s="1"/>
  <c r="XB1538" i="10" a="1"/>
  <c r="XB1538" i="10" s="1"/>
  <c r="XA1538" i="10" a="1"/>
  <c r="XA1538" i="10" s="1"/>
  <c r="WZ1538" i="10" a="1"/>
  <c r="WZ1538" i="10" s="1"/>
  <c r="WY1538" i="10" a="1"/>
  <c r="WY1538" i="10" s="1"/>
  <c r="WX1538" i="10" a="1"/>
  <c r="WX1538" i="10" s="1"/>
  <c r="WW1538" i="10" a="1"/>
  <c r="WW1538" i="10" s="1"/>
  <c r="WV1538" i="10" a="1"/>
  <c r="WV1538" i="10" s="1"/>
  <c r="WU1538" i="10" a="1"/>
  <c r="WU1538" i="10" s="1"/>
  <c r="WT1538" i="10" a="1"/>
  <c r="WT1538" i="10" s="1"/>
  <c r="WS1538" i="10" a="1"/>
  <c r="WS1538" i="10" s="1"/>
  <c r="WR1538" i="10" a="1"/>
  <c r="WR1538" i="10" s="1"/>
  <c r="WQ1538" i="10" a="1"/>
  <c r="WQ1538" i="10" s="1"/>
  <c r="WP1538" i="10" a="1"/>
  <c r="WP1538" i="10" s="1"/>
  <c r="WO1538" i="10" a="1"/>
  <c r="WO1538" i="10" s="1"/>
  <c r="WN1538" i="10" a="1"/>
  <c r="WN1538" i="10" s="1"/>
  <c r="WM1538" i="10" a="1"/>
  <c r="WM1538" i="10" s="1"/>
  <c r="WL1538" i="10" a="1"/>
  <c r="WL1538" i="10" s="1"/>
  <c r="WK1538" i="10" a="1"/>
  <c r="WK1538" i="10" s="1"/>
  <c r="WJ1538" i="10" a="1"/>
  <c r="WJ1538" i="10" s="1"/>
  <c r="WI1538" i="10" a="1"/>
  <c r="WI1538" i="10" s="1"/>
  <c r="WH1538" i="10" a="1"/>
  <c r="WH1538" i="10" s="1"/>
  <c r="WG1538" i="10" a="1"/>
  <c r="WG1538" i="10" s="1"/>
  <c r="WF1538" i="10" a="1"/>
  <c r="WF1538" i="10" s="1"/>
  <c r="WE1538" i="10" a="1"/>
  <c r="WE1538" i="10" s="1"/>
  <c r="WD1538" i="10" a="1"/>
  <c r="WD1538" i="10" s="1"/>
  <c r="WC1538" i="10" a="1"/>
  <c r="WC1538" i="10" s="1"/>
  <c r="WB1538" i="10" a="1"/>
  <c r="WB1538" i="10" s="1"/>
  <c r="WA1538" i="10" a="1"/>
  <c r="WA1538" i="10" s="1"/>
  <c r="VZ1538" i="10" a="1"/>
  <c r="VZ1538" i="10" s="1"/>
  <c r="VY1538" i="10" a="1"/>
  <c r="VY1538" i="10" s="1"/>
  <c r="VX1538" i="10" a="1"/>
  <c r="VX1538" i="10" s="1"/>
  <c r="VW1538" i="10" a="1"/>
  <c r="VW1538" i="10" s="1"/>
  <c r="VV1538" i="10" a="1"/>
  <c r="VV1538" i="10" s="1"/>
  <c r="VU1538" i="10" a="1"/>
  <c r="VU1538" i="10" s="1"/>
  <c r="VT1538" i="10" a="1"/>
  <c r="VT1538" i="10" s="1"/>
  <c r="VS1538" i="10" a="1"/>
  <c r="VS1538" i="10" s="1"/>
  <c r="VR1538" i="10" a="1"/>
  <c r="VR1538" i="10" s="1"/>
  <c r="VQ1538" i="10" a="1"/>
  <c r="VQ1538" i="10" s="1"/>
  <c r="VP1538" i="10" a="1"/>
  <c r="VP1538" i="10" s="1"/>
  <c r="VO1538" i="10" a="1"/>
  <c r="VO1538" i="10" s="1"/>
  <c r="VN1538" i="10" a="1"/>
  <c r="VN1538" i="10" s="1"/>
  <c r="VM1538" i="10" a="1"/>
  <c r="VM1538" i="10" s="1"/>
  <c r="VL1538" i="10" a="1"/>
  <c r="VL1538" i="10" s="1"/>
  <c r="VK1538" i="10" a="1"/>
  <c r="VK1538" i="10" s="1"/>
  <c r="VJ1538" i="10" a="1"/>
  <c r="VJ1538" i="10" s="1"/>
  <c r="VI1538" i="10" a="1"/>
  <c r="VI1538" i="10" s="1"/>
  <c r="VH1538" i="10" a="1"/>
  <c r="VH1538" i="10" s="1"/>
  <c r="VG1538" i="10" a="1"/>
  <c r="VG1538" i="10" s="1"/>
  <c r="VF1538" i="10" a="1"/>
  <c r="VF1538" i="10" s="1"/>
  <c r="VE1538" i="10" a="1"/>
  <c r="VE1538" i="10" s="1"/>
  <c r="VD1538" i="10" a="1"/>
  <c r="VD1538" i="10" s="1"/>
  <c r="VC1538" i="10" a="1"/>
  <c r="VC1538" i="10" s="1"/>
  <c r="VB1538" i="10" a="1"/>
  <c r="VB1538" i="10" s="1"/>
  <c r="VA1538" i="10" a="1"/>
  <c r="VA1538" i="10" s="1"/>
  <c r="UZ1538" i="10" a="1"/>
  <c r="UZ1538" i="10" s="1"/>
  <c r="UY1538" i="10" a="1"/>
  <c r="UY1538" i="10" s="1"/>
  <c r="UX1538" i="10" a="1"/>
  <c r="UX1538" i="10" s="1"/>
  <c r="UW1538" i="10" a="1"/>
  <c r="UW1538" i="10" s="1"/>
  <c r="UV1538" i="10" a="1"/>
  <c r="UV1538" i="10" s="1"/>
  <c r="UU1538" i="10" a="1"/>
  <c r="UU1538" i="10" s="1"/>
  <c r="UT1538" i="10" a="1"/>
  <c r="UT1538" i="10" s="1"/>
  <c r="US1538" i="10" a="1"/>
  <c r="US1538" i="10" s="1"/>
  <c r="UR1538" i="10" a="1"/>
  <c r="UR1538" i="10" s="1"/>
  <c r="UQ1538" i="10" a="1"/>
  <c r="UQ1538" i="10" s="1"/>
  <c r="UP1538" i="10" a="1"/>
  <c r="UP1538" i="10" s="1"/>
  <c r="UO1538" i="10" a="1"/>
  <c r="UO1538" i="10" s="1"/>
  <c r="UN1538" i="10" a="1"/>
  <c r="UN1538" i="10" s="1"/>
  <c r="UM1538" i="10" a="1"/>
  <c r="UM1538" i="10" s="1"/>
  <c r="UL1538" i="10" a="1"/>
  <c r="UL1538" i="10" s="1"/>
  <c r="UK1538" i="10" a="1"/>
  <c r="UK1538" i="10" s="1"/>
  <c r="UJ1538" i="10" a="1"/>
  <c r="UJ1538" i="10" s="1"/>
  <c r="UI1538" i="10" a="1"/>
  <c r="UI1538" i="10" s="1"/>
  <c r="UH1538" i="10" a="1"/>
  <c r="UH1538" i="10" s="1"/>
  <c r="UG1538" i="10" a="1"/>
  <c r="UG1538" i="10" s="1"/>
  <c r="UF1538" i="10" a="1"/>
  <c r="UF1538" i="10" s="1"/>
  <c r="UE1538" i="10" a="1"/>
  <c r="UE1538" i="10" s="1"/>
  <c r="UD1538" i="10" a="1"/>
  <c r="UD1538" i="10" s="1"/>
  <c r="UC1538" i="10" a="1"/>
  <c r="UC1538" i="10" s="1"/>
  <c r="UB1538" i="10" a="1"/>
  <c r="UB1538" i="10" s="1"/>
  <c r="UA1538" i="10" a="1"/>
  <c r="UA1538" i="10" s="1"/>
  <c r="TZ1538" i="10" a="1"/>
  <c r="TZ1538" i="10" s="1"/>
  <c r="TY1538" i="10" a="1"/>
  <c r="TY1538" i="10" s="1"/>
  <c r="TX1538" i="10" a="1"/>
  <c r="TX1538" i="10" s="1"/>
  <c r="TW1538" i="10" a="1"/>
  <c r="TW1538" i="10" s="1"/>
  <c r="TV1538" i="10" a="1"/>
  <c r="TV1538" i="10" s="1"/>
  <c r="TU1538" i="10" a="1"/>
  <c r="TU1538" i="10" s="1"/>
  <c r="TT1538" i="10" a="1"/>
  <c r="TT1538" i="10" s="1"/>
  <c r="TS1538" i="10" a="1"/>
  <c r="TS1538" i="10" s="1"/>
  <c r="TR1538" i="10" a="1"/>
  <c r="TR1538" i="10" s="1"/>
  <c r="TQ1538" i="10" a="1"/>
  <c r="TQ1538" i="10" s="1"/>
  <c r="TP1538" i="10" a="1"/>
  <c r="TP1538" i="10" s="1"/>
  <c r="TO1538" i="10" a="1"/>
  <c r="TO1538" i="10" s="1"/>
  <c r="TN1538" i="10" a="1"/>
  <c r="TN1538" i="10" s="1"/>
  <c r="TM1538" i="10" a="1"/>
  <c r="TM1538" i="10" s="1"/>
  <c r="TL1538" i="10" a="1"/>
  <c r="TL1538" i="10" s="1"/>
  <c r="TK1538" i="10" a="1"/>
  <c r="TK1538" i="10" s="1"/>
  <c r="TJ1538" i="10" a="1"/>
  <c r="TJ1538" i="10" s="1"/>
  <c r="TI1538" i="10" a="1"/>
  <c r="TI1538" i="10" s="1"/>
  <c r="TH1538" i="10" a="1"/>
  <c r="TH1538" i="10" s="1"/>
  <c r="TG1538" i="10" a="1"/>
  <c r="TG1538" i="10" s="1"/>
  <c r="TF1538" i="10" a="1"/>
  <c r="TF1538" i="10" s="1"/>
  <c r="TE1538" i="10" a="1"/>
  <c r="TE1538" i="10" s="1"/>
  <c r="TD1538" i="10" a="1"/>
  <c r="TD1538" i="10" s="1"/>
  <c r="TC1538" i="10" a="1"/>
  <c r="TC1538" i="10" s="1"/>
  <c r="TB1538" i="10" a="1"/>
  <c r="TB1538" i="10" s="1"/>
  <c r="TA1538" i="10" a="1"/>
  <c r="TA1538" i="10" s="1"/>
  <c r="SZ1538" i="10" a="1"/>
  <c r="SZ1538" i="10" s="1"/>
  <c r="SY1538" i="10" a="1"/>
  <c r="SY1538" i="10" s="1"/>
  <c r="SX1538" i="10" a="1"/>
  <c r="SX1538" i="10" s="1"/>
  <c r="SW1538" i="10" a="1"/>
  <c r="SW1538" i="10" s="1"/>
  <c r="SV1538" i="10" a="1"/>
  <c r="SV1538" i="10" s="1"/>
  <c r="SU1538" i="10" a="1"/>
  <c r="SU1538" i="10" s="1"/>
  <c r="ST1538" i="10" a="1"/>
  <c r="ST1538" i="10" s="1"/>
  <c r="SS1538" i="10" a="1"/>
  <c r="SS1538" i="10" s="1"/>
  <c r="SR1538" i="10" a="1"/>
  <c r="SR1538" i="10" s="1"/>
  <c r="SQ1538" i="10" a="1"/>
  <c r="SQ1538" i="10" s="1"/>
  <c r="SP1538" i="10" a="1"/>
  <c r="SP1538" i="10" s="1"/>
  <c r="SO1538" i="10" a="1"/>
  <c r="SO1538" i="10" s="1"/>
  <c r="SN1538" i="10" a="1"/>
  <c r="SN1538" i="10" s="1"/>
  <c r="SM1538" i="10" a="1"/>
  <c r="SM1538" i="10" s="1"/>
  <c r="SL1538" i="10" a="1"/>
  <c r="SL1538" i="10" s="1"/>
  <c r="SK1538" i="10" a="1"/>
  <c r="SK1538" i="10" s="1"/>
  <c r="SJ1538" i="10" a="1"/>
  <c r="SJ1538" i="10" s="1"/>
  <c r="SI1538" i="10" a="1"/>
  <c r="SI1538" i="10" s="1"/>
  <c r="SH1538" i="10" a="1"/>
  <c r="SH1538" i="10" s="1"/>
  <c r="SG1538" i="10" a="1"/>
  <c r="SG1538" i="10" s="1"/>
  <c r="SF1538" i="10" a="1"/>
  <c r="SF1538" i="10" s="1"/>
  <c r="SE1538" i="10" a="1"/>
  <c r="SE1538" i="10" s="1"/>
  <c r="SD1538" i="10" a="1"/>
  <c r="SD1538" i="10" s="1"/>
  <c r="SC1538" i="10" a="1"/>
  <c r="SC1538" i="10" s="1"/>
  <c r="SB1538" i="10" a="1"/>
  <c r="SB1538" i="10" s="1"/>
  <c r="SA1538" i="10" a="1"/>
  <c r="SA1538" i="10" s="1"/>
  <c r="RZ1538" i="10" a="1"/>
  <c r="RZ1538" i="10" s="1"/>
  <c r="RY1538" i="10" a="1"/>
  <c r="RY1538" i="10" s="1"/>
  <c r="RX1538" i="10" a="1"/>
  <c r="RX1538" i="10" s="1"/>
  <c r="RW1538" i="10" a="1"/>
  <c r="RW1538" i="10" s="1"/>
  <c r="RV1538" i="10" a="1"/>
  <c r="RV1538" i="10" s="1"/>
  <c r="RU1538" i="10" a="1"/>
  <c r="RU1538" i="10" s="1"/>
  <c r="RT1538" i="10" a="1"/>
  <c r="RT1538" i="10" s="1"/>
  <c r="RS1538" i="10" a="1"/>
  <c r="RS1538" i="10" s="1"/>
  <c r="RR1538" i="10" a="1"/>
  <c r="RR1538" i="10" s="1"/>
  <c r="RQ1538" i="10" a="1"/>
  <c r="RQ1538" i="10" s="1"/>
  <c r="RP1538" i="10" a="1"/>
  <c r="RP1538" i="10" s="1"/>
  <c r="RO1538" i="10" a="1"/>
  <c r="RO1538" i="10" s="1"/>
  <c r="RN1538" i="10" a="1"/>
  <c r="RN1538" i="10" s="1"/>
  <c r="RM1538" i="10" a="1"/>
  <c r="RM1538" i="10" s="1"/>
  <c r="RL1538" i="10" a="1"/>
  <c r="RL1538" i="10" s="1"/>
  <c r="RK1538" i="10" a="1"/>
  <c r="RK1538" i="10" s="1"/>
  <c r="RJ1538" i="10" a="1"/>
  <c r="RJ1538" i="10" s="1"/>
  <c r="RI1538" i="10" a="1"/>
  <c r="RI1538" i="10" s="1"/>
  <c r="RH1538" i="10" a="1"/>
  <c r="RH1538" i="10" s="1"/>
  <c r="RG1538" i="10" a="1"/>
  <c r="RG1538" i="10" s="1"/>
  <c r="RF1538" i="10" a="1"/>
  <c r="RF1538" i="10" s="1"/>
  <c r="RE1538" i="10" a="1"/>
  <c r="RE1538" i="10" s="1"/>
  <c r="RD1538" i="10" a="1"/>
  <c r="RD1538" i="10" s="1"/>
  <c r="RC1538" i="10" a="1"/>
  <c r="RC1538" i="10" s="1"/>
  <c r="RB1538" i="10" a="1"/>
  <c r="RB1538" i="10" s="1"/>
  <c r="RA1538" i="10" a="1"/>
  <c r="RA1538" i="10" s="1"/>
  <c r="QZ1538" i="10" a="1"/>
  <c r="QZ1538" i="10" s="1"/>
  <c r="QY1538" i="10" a="1"/>
  <c r="QY1538" i="10" s="1"/>
  <c r="QX1538" i="10" a="1"/>
  <c r="QX1538" i="10" s="1"/>
  <c r="QW1538" i="10" a="1"/>
  <c r="QW1538" i="10" s="1"/>
  <c r="QV1538" i="10" a="1"/>
  <c r="QV1538" i="10" s="1"/>
  <c r="QU1538" i="10" a="1"/>
  <c r="QU1538" i="10" s="1"/>
  <c r="QT1538" i="10" a="1"/>
  <c r="QT1538" i="10" s="1"/>
  <c r="QS1538" i="10" a="1"/>
  <c r="QS1538" i="10" s="1"/>
  <c r="QR1538" i="10" a="1"/>
  <c r="QR1538" i="10" s="1"/>
  <c r="QQ1538" i="10" a="1"/>
  <c r="QQ1538" i="10" s="1"/>
  <c r="QP1538" i="10" a="1"/>
  <c r="QP1538" i="10" s="1"/>
  <c r="QO1538" i="10" a="1"/>
  <c r="QO1538" i="10" s="1"/>
  <c r="QN1538" i="10" a="1"/>
  <c r="QN1538" i="10" s="1"/>
  <c r="QM1538" i="10" a="1"/>
  <c r="QM1538" i="10" s="1"/>
  <c r="QL1538" i="10" a="1"/>
  <c r="QL1538" i="10" s="1"/>
  <c r="QK1538" i="10" a="1"/>
  <c r="QK1538" i="10" s="1"/>
  <c r="QJ1538" i="10" a="1"/>
  <c r="QJ1538" i="10" s="1"/>
  <c r="QI1538" i="10" a="1"/>
  <c r="QI1538" i="10" s="1"/>
  <c r="QH1538" i="10" a="1"/>
  <c r="QH1538" i="10" s="1"/>
  <c r="QG1538" i="10" a="1"/>
  <c r="QG1538" i="10" s="1"/>
  <c r="QF1538" i="10" a="1"/>
  <c r="QF1538" i="10" s="1"/>
  <c r="QE1538" i="10" a="1"/>
  <c r="QE1538" i="10" s="1"/>
  <c r="QD1538" i="10" a="1"/>
  <c r="QD1538" i="10" s="1"/>
  <c r="QC1538" i="10" a="1"/>
  <c r="QC1538" i="10" s="1"/>
  <c r="QB1538" i="10" a="1"/>
  <c r="QB1538" i="10" s="1"/>
  <c r="QA1538" i="10" a="1"/>
  <c r="QA1538" i="10" s="1"/>
  <c r="PZ1538" i="10" a="1"/>
  <c r="PZ1538" i="10" s="1"/>
  <c r="PY1538" i="10" a="1"/>
  <c r="PY1538" i="10" s="1"/>
  <c r="PX1538" i="10" a="1"/>
  <c r="PX1538" i="10" s="1"/>
  <c r="PW1538" i="10" a="1"/>
  <c r="PW1538" i="10" s="1"/>
  <c r="PV1538" i="10" a="1"/>
  <c r="PV1538" i="10" s="1"/>
  <c r="PU1538" i="10" a="1"/>
  <c r="PU1538" i="10" s="1"/>
  <c r="PT1538" i="10" a="1"/>
  <c r="PT1538" i="10" s="1"/>
  <c r="PS1538" i="10" a="1"/>
  <c r="PS1538" i="10" s="1"/>
  <c r="PR1538" i="10" a="1"/>
  <c r="PR1538" i="10" s="1"/>
  <c r="PQ1538" i="10" a="1"/>
  <c r="PQ1538" i="10" s="1"/>
  <c r="PP1538" i="10" a="1"/>
  <c r="PP1538" i="10" s="1"/>
  <c r="PO1538" i="10" a="1"/>
  <c r="PO1538" i="10" s="1"/>
  <c r="PN1538" i="10" a="1"/>
  <c r="PN1538" i="10" s="1"/>
  <c r="PM1538" i="10" a="1"/>
  <c r="PM1538" i="10" s="1"/>
  <c r="PL1538" i="10" a="1"/>
  <c r="PL1538" i="10" s="1"/>
  <c r="PK1538" i="10" a="1"/>
  <c r="PK1538" i="10" s="1"/>
  <c r="PJ1538" i="10" a="1"/>
  <c r="PJ1538" i="10" s="1"/>
  <c r="PI1538" i="10" a="1"/>
  <c r="PI1538" i="10" s="1"/>
  <c r="PH1538" i="10" a="1"/>
  <c r="PH1538" i="10" s="1"/>
  <c r="PG1538" i="10" a="1"/>
  <c r="PG1538" i="10" s="1"/>
  <c r="PF1538" i="10" a="1"/>
  <c r="PF1538" i="10" s="1"/>
  <c r="PE1538" i="10" a="1"/>
  <c r="PE1538" i="10" s="1"/>
  <c r="PD1538" i="10" a="1"/>
  <c r="PD1538" i="10" s="1"/>
  <c r="PC1538" i="10" a="1"/>
  <c r="PC1538" i="10" s="1"/>
  <c r="PB1538" i="10" a="1"/>
  <c r="PB1538" i="10" s="1"/>
  <c r="PA1538" i="10" a="1"/>
  <c r="PA1538" i="10" s="1"/>
  <c r="OZ1538" i="10" a="1"/>
  <c r="OZ1538" i="10" s="1"/>
  <c r="OY1538" i="10" a="1"/>
  <c r="OY1538" i="10" s="1"/>
  <c r="OX1538" i="10" a="1"/>
  <c r="OX1538" i="10" s="1"/>
  <c r="OW1538" i="10" a="1"/>
  <c r="OW1538" i="10" s="1"/>
  <c r="OV1538" i="10" a="1"/>
  <c r="OV1538" i="10" s="1"/>
  <c r="OU1538" i="10" a="1"/>
  <c r="OU1538" i="10" s="1"/>
  <c r="OT1538" i="10" a="1"/>
  <c r="OT1538" i="10" s="1"/>
  <c r="OS1538" i="10" a="1"/>
  <c r="OS1538" i="10" s="1"/>
  <c r="OR1538" i="10" a="1"/>
  <c r="OR1538" i="10" s="1"/>
  <c r="OQ1538" i="10" a="1"/>
  <c r="OQ1538" i="10" s="1"/>
  <c r="OP1538" i="10" a="1"/>
  <c r="OP1538" i="10" s="1"/>
  <c r="OO1538" i="10" a="1"/>
  <c r="OO1538" i="10" s="1"/>
  <c r="ON1538" i="10" a="1"/>
  <c r="ON1538" i="10" s="1"/>
  <c r="OM1538" i="10" a="1"/>
  <c r="OM1538" i="10" s="1"/>
  <c r="OL1538" i="10" a="1"/>
  <c r="OL1538" i="10" s="1"/>
  <c r="OK1538" i="10" a="1"/>
  <c r="OK1538" i="10" s="1"/>
  <c r="OJ1538" i="10" a="1"/>
  <c r="OJ1538" i="10" s="1"/>
  <c r="OI1538" i="10" a="1"/>
  <c r="OI1538" i="10" s="1"/>
  <c r="OH1538" i="10" a="1"/>
  <c r="OH1538" i="10" s="1"/>
  <c r="OG1538" i="10" a="1"/>
  <c r="OG1538" i="10" s="1"/>
  <c r="OF1538" i="10" a="1"/>
  <c r="OF1538" i="10" s="1"/>
  <c r="OE1538" i="10" a="1"/>
  <c r="OE1538" i="10" s="1"/>
  <c r="OD1538" i="10" a="1"/>
  <c r="OD1538" i="10" s="1"/>
  <c r="OC1538" i="10" a="1"/>
  <c r="OC1538" i="10" s="1"/>
  <c r="OB1538" i="10" a="1"/>
  <c r="OB1538" i="10" s="1"/>
  <c r="OA1538" i="10" a="1"/>
  <c r="OA1538" i="10" s="1"/>
  <c r="NZ1538" i="10" a="1"/>
  <c r="NZ1538" i="10" s="1"/>
  <c r="NY1538" i="10" a="1"/>
  <c r="NY1538" i="10" s="1"/>
  <c r="NX1538" i="10" a="1"/>
  <c r="NX1538" i="10" s="1"/>
  <c r="NW1538" i="10" a="1"/>
  <c r="NW1538" i="10" s="1"/>
  <c r="NV1538" i="10" a="1"/>
  <c r="NV1538" i="10" s="1"/>
  <c r="NU1538" i="10" a="1"/>
  <c r="NU1538" i="10" s="1"/>
  <c r="NT1538" i="10" a="1"/>
  <c r="NT1538" i="10" s="1"/>
  <c r="NS1538" i="10" a="1"/>
  <c r="NS1538" i="10" s="1"/>
  <c r="NR1538" i="10" a="1"/>
  <c r="NR1538" i="10" s="1"/>
  <c r="NQ1538" i="10" a="1"/>
  <c r="NQ1538" i="10" s="1"/>
  <c r="NP1538" i="10" a="1"/>
  <c r="NP1538" i="10" s="1"/>
  <c r="NO1538" i="10" a="1"/>
  <c r="NO1538" i="10" s="1"/>
  <c r="NN1538" i="10" a="1"/>
  <c r="NN1538" i="10" s="1"/>
  <c r="NM1538" i="10" a="1"/>
  <c r="NM1538" i="10" s="1"/>
  <c r="NL1538" i="10" a="1"/>
  <c r="NL1538" i="10" s="1"/>
  <c r="NK1538" i="10" a="1"/>
  <c r="NK1538" i="10" s="1"/>
  <c r="NJ1538" i="10" a="1"/>
  <c r="NJ1538" i="10" s="1"/>
  <c r="NI1538" i="10" a="1"/>
  <c r="NI1538" i="10" s="1"/>
  <c r="NH1538" i="10" a="1"/>
  <c r="NH1538" i="10" s="1"/>
  <c r="NG1538" i="10" a="1"/>
  <c r="NG1538" i="10" s="1"/>
  <c r="NF1538" i="10" a="1"/>
  <c r="NF1538" i="10" s="1"/>
  <c r="NE1538" i="10" a="1"/>
  <c r="NE1538" i="10" s="1"/>
  <c r="ND1538" i="10" a="1"/>
  <c r="ND1538" i="10" s="1"/>
  <c r="NC1538" i="10" a="1"/>
  <c r="NC1538" i="10" s="1"/>
  <c r="NB1538" i="10" a="1"/>
  <c r="NB1538" i="10" s="1"/>
  <c r="NA1538" i="10" a="1"/>
  <c r="NA1538" i="10" s="1"/>
  <c r="MZ1538" i="10" a="1"/>
  <c r="MZ1538" i="10" s="1"/>
  <c r="MY1538" i="10" a="1"/>
  <c r="MY1538" i="10" s="1"/>
  <c r="MX1538" i="10" a="1"/>
  <c r="MX1538" i="10" s="1"/>
  <c r="MW1538" i="10" a="1"/>
  <c r="MW1538" i="10" s="1"/>
  <c r="MV1538" i="10" a="1"/>
  <c r="MV1538" i="10" s="1"/>
  <c r="MU1538" i="10" a="1"/>
  <c r="MU1538" i="10" s="1"/>
  <c r="MT1538" i="10" a="1"/>
  <c r="MT1538" i="10" s="1"/>
  <c r="MS1538" i="10" a="1"/>
  <c r="MS1538" i="10" s="1"/>
  <c r="MR1538" i="10" a="1"/>
  <c r="MR1538" i="10" s="1"/>
  <c r="MQ1538" i="10" a="1"/>
  <c r="MQ1538" i="10" s="1"/>
  <c r="MP1538" i="10" a="1"/>
  <c r="MP1538" i="10" s="1"/>
  <c r="MO1538" i="10" a="1"/>
  <c r="MO1538" i="10" s="1"/>
  <c r="MN1538" i="10" a="1"/>
  <c r="MN1538" i="10" s="1"/>
  <c r="MM1538" i="10" a="1"/>
  <c r="MM1538" i="10" s="1"/>
  <c r="ML1538" i="10" a="1"/>
  <c r="ML1538" i="10" s="1"/>
  <c r="MK1538" i="10" a="1"/>
  <c r="MK1538" i="10" s="1"/>
  <c r="MJ1538" i="10" a="1"/>
  <c r="MJ1538" i="10" s="1"/>
  <c r="MI1538" i="10" a="1"/>
  <c r="MI1538" i="10" s="1"/>
  <c r="MH1538" i="10" a="1"/>
  <c r="MH1538" i="10" s="1"/>
  <c r="MG1538" i="10" a="1"/>
  <c r="MG1538" i="10" s="1"/>
  <c r="MF1538" i="10" a="1"/>
  <c r="MF1538" i="10" s="1"/>
  <c r="ME1538" i="10" a="1"/>
  <c r="ME1538" i="10" s="1"/>
  <c r="MD1538" i="10" a="1"/>
  <c r="MD1538" i="10" s="1"/>
  <c r="MC1538" i="10" a="1"/>
  <c r="MC1538" i="10" s="1"/>
  <c r="MB1538" i="10" a="1"/>
  <c r="MB1538" i="10" s="1"/>
  <c r="MA1538" i="10" a="1"/>
  <c r="MA1538" i="10" s="1"/>
  <c r="LZ1538" i="10" a="1"/>
  <c r="LZ1538" i="10" s="1"/>
  <c r="LY1538" i="10" a="1"/>
  <c r="LY1538" i="10" s="1"/>
  <c r="LX1538" i="10" a="1"/>
  <c r="LX1538" i="10" s="1"/>
  <c r="LW1538" i="10" a="1"/>
  <c r="LW1538" i="10" s="1"/>
  <c r="LV1538" i="10" a="1"/>
  <c r="LV1538" i="10" s="1"/>
  <c r="LU1538" i="10" a="1"/>
  <c r="LU1538" i="10" s="1"/>
  <c r="LT1538" i="10" a="1"/>
  <c r="LT1538" i="10" s="1"/>
  <c r="LS1538" i="10" a="1"/>
  <c r="LS1538" i="10" s="1"/>
  <c r="LR1538" i="10" a="1"/>
  <c r="LR1538" i="10" s="1"/>
  <c r="LQ1538" i="10" a="1"/>
  <c r="LQ1538" i="10" s="1"/>
  <c r="LP1538" i="10" a="1"/>
  <c r="LP1538" i="10" s="1"/>
  <c r="LO1538" i="10" a="1"/>
  <c r="LO1538" i="10" s="1"/>
  <c r="LN1538" i="10" a="1"/>
  <c r="LN1538" i="10" s="1"/>
  <c r="LM1538" i="10" a="1"/>
  <c r="LM1538" i="10" s="1"/>
  <c r="LL1538" i="10" a="1"/>
  <c r="LL1538" i="10" s="1"/>
  <c r="LK1538" i="10" a="1"/>
  <c r="LK1538" i="10" s="1"/>
  <c r="LJ1538" i="10" a="1"/>
  <c r="LJ1538" i="10" s="1"/>
  <c r="LI1538" i="10" a="1"/>
  <c r="LI1538" i="10" s="1"/>
  <c r="LH1538" i="10" a="1"/>
  <c r="LH1538" i="10" s="1"/>
  <c r="LG1538" i="10" a="1"/>
  <c r="LG1538" i="10" s="1"/>
  <c r="LF1538" i="10" a="1"/>
  <c r="LF1538" i="10" s="1"/>
  <c r="LE1538" i="10" a="1"/>
  <c r="LE1538" i="10" s="1"/>
  <c r="LD1538" i="10" a="1"/>
  <c r="LD1538" i="10" s="1"/>
  <c r="LC1538" i="10" a="1"/>
  <c r="LC1538" i="10" s="1"/>
  <c r="LB1538" i="10" a="1"/>
  <c r="LB1538" i="10" s="1"/>
  <c r="LA1538" i="10" a="1"/>
  <c r="LA1538" i="10" s="1"/>
  <c r="KZ1538" i="10" a="1"/>
  <c r="KZ1538" i="10" s="1"/>
  <c r="KY1538" i="10" a="1"/>
  <c r="KY1538" i="10" s="1"/>
  <c r="KX1538" i="10" a="1"/>
  <c r="KX1538" i="10" s="1"/>
  <c r="KW1538" i="10" a="1"/>
  <c r="KW1538" i="10" s="1"/>
  <c r="KV1538" i="10" a="1"/>
  <c r="KV1538" i="10" s="1"/>
  <c r="KU1538" i="10" a="1"/>
  <c r="KU1538" i="10" s="1"/>
  <c r="KT1538" i="10" a="1"/>
  <c r="KT1538" i="10" s="1"/>
  <c r="KS1538" i="10" a="1"/>
  <c r="KS1538" i="10" s="1"/>
  <c r="KR1538" i="10" a="1"/>
  <c r="KR1538" i="10" s="1"/>
  <c r="KQ1538" i="10" a="1"/>
  <c r="KQ1538" i="10" s="1"/>
  <c r="KP1538" i="10" a="1"/>
  <c r="KP1538" i="10" s="1"/>
  <c r="KO1538" i="10" a="1"/>
  <c r="KO1538" i="10" s="1"/>
  <c r="KN1538" i="10" a="1"/>
  <c r="KN1538" i="10" s="1"/>
  <c r="KM1538" i="10" a="1"/>
  <c r="KM1538" i="10" s="1"/>
  <c r="KL1538" i="10" a="1"/>
  <c r="KL1538" i="10" s="1"/>
  <c r="KK1538" i="10" a="1"/>
  <c r="KK1538" i="10" s="1"/>
  <c r="KJ1538" i="10" a="1"/>
  <c r="KJ1538" i="10" s="1"/>
  <c r="KI1538" i="10" a="1"/>
  <c r="KI1538" i="10" s="1"/>
  <c r="KH1538" i="10" a="1"/>
  <c r="KH1538" i="10" s="1"/>
  <c r="KG1538" i="10" a="1"/>
  <c r="KG1538" i="10" s="1"/>
  <c r="KF1538" i="10" a="1"/>
  <c r="KF1538" i="10" s="1"/>
  <c r="KE1538" i="10" a="1"/>
  <c r="KE1538" i="10" s="1"/>
  <c r="KD1538" i="10" a="1"/>
  <c r="KD1538" i="10" s="1"/>
  <c r="KC1538" i="10" a="1"/>
  <c r="KC1538" i="10" s="1"/>
  <c r="KB1538" i="10" a="1"/>
  <c r="KB1538" i="10" s="1"/>
  <c r="KA1538" i="10" a="1"/>
  <c r="KA1538" i="10" s="1"/>
  <c r="JZ1538" i="10" a="1"/>
  <c r="JZ1538" i="10" s="1"/>
  <c r="JY1538" i="10" a="1"/>
  <c r="JY1538" i="10" s="1"/>
  <c r="JX1538" i="10" a="1"/>
  <c r="JX1538" i="10" s="1"/>
  <c r="JW1538" i="10" a="1"/>
  <c r="JW1538" i="10" s="1"/>
  <c r="JV1538" i="10" a="1"/>
  <c r="JV1538" i="10" s="1"/>
  <c r="JU1538" i="10" a="1"/>
  <c r="JU1538" i="10" s="1"/>
  <c r="JT1538" i="10" a="1"/>
  <c r="JT1538" i="10" s="1"/>
  <c r="JS1538" i="10" a="1"/>
  <c r="JS1538" i="10" s="1"/>
  <c r="JR1538" i="10" a="1"/>
  <c r="JR1538" i="10" s="1"/>
  <c r="JQ1538" i="10" a="1"/>
  <c r="JQ1538" i="10" s="1"/>
  <c r="JP1538" i="10" a="1"/>
  <c r="JP1538" i="10" s="1"/>
  <c r="JO1538" i="10" a="1"/>
  <c r="JO1538" i="10" s="1"/>
  <c r="JN1538" i="10" a="1"/>
  <c r="JN1538" i="10" s="1"/>
  <c r="JM1538" i="10" a="1"/>
  <c r="JM1538" i="10" s="1"/>
  <c r="JL1538" i="10" a="1"/>
  <c r="JL1538" i="10" s="1"/>
  <c r="JK1538" i="10" a="1"/>
  <c r="JK1538" i="10" s="1"/>
  <c r="JJ1538" i="10" a="1"/>
  <c r="JJ1538" i="10" s="1"/>
  <c r="JI1538" i="10" a="1"/>
  <c r="JI1538" i="10" s="1"/>
  <c r="JH1538" i="10" a="1"/>
  <c r="JH1538" i="10" s="1"/>
  <c r="JG1538" i="10" a="1"/>
  <c r="JG1538" i="10" s="1"/>
  <c r="JF1538" i="10" a="1"/>
  <c r="JF1538" i="10" s="1"/>
  <c r="JE1538" i="10" a="1"/>
  <c r="JE1538" i="10" s="1"/>
  <c r="JD1538" i="10" a="1"/>
  <c r="JD1538" i="10" s="1"/>
  <c r="JC1538" i="10" a="1"/>
  <c r="JC1538" i="10" s="1"/>
  <c r="JB1538" i="10" a="1"/>
  <c r="JB1538" i="10" s="1"/>
  <c r="JA1538" i="10" a="1"/>
  <c r="JA1538" i="10" s="1"/>
  <c r="IZ1538" i="10" a="1"/>
  <c r="IZ1538" i="10" s="1"/>
  <c r="IY1538" i="10" a="1"/>
  <c r="IY1538" i="10" s="1"/>
  <c r="IX1538" i="10" a="1"/>
  <c r="IX1538" i="10" s="1"/>
  <c r="IW1538" i="10" a="1"/>
  <c r="IW1538" i="10" s="1"/>
  <c r="IV1538" i="10" a="1"/>
  <c r="IV1538" i="10" s="1"/>
  <c r="IU1538" i="10" a="1"/>
  <c r="IU1538" i="10" s="1"/>
  <c r="IT1538" i="10" a="1"/>
  <c r="IT1538" i="10" s="1"/>
  <c r="IS1538" i="10" a="1"/>
  <c r="IS1538" i="10" s="1"/>
  <c r="IR1538" i="10" a="1"/>
  <c r="IR1538" i="10" s="1"/>
  <c r="IQ1538" i="10" a="1"/>
  <c r="IQ1538" i="10" s="1"/>
  <c r="IP1538" i="10" a="1"/>
  <c r="IP1538" i="10" s="1"/>
  <c r="IO1538" i="10" a="1"/>
  <c r="IO1538" i="10" s="1"/>
  <c r="IN1538" i="10" a="1"/>
  <c r="IN1538" i="10" s="1"/>
  <c r="IM1538" i="10" a="1"/>
  <c r="IM1538" i="10" s="1"/>
  <c r="IL1538" i="10" a="1"/>
  <c r="IL1538" i="10" s="1"/>
  <c r="IK1538" i="10" a="1"/>
  <c r="IK1538" i="10" s="1"/>
  <c r="IJ1538" i="10" a="1"/>
  <c r="IJ1538" i="10" s="1"/>
  <c r="II1538" i="10" a="1"/>
  <c r="II1538" i="10" s="1"/>
  <c r="IH1538" i="10" a="1"/>
  <c r="IH1538" i="10" s="1"/>
  <c r="IG1538" i="10" a="1"/>
  <c r="IG1538" i="10" s="1"/>
  <c r="IF1538" i="10" a="1"/>
  <c r="IF1538" i="10" s="1"/>
  <c r="IE1538" i="10" a="1"/>
  <c r="IE1538" i="10" s="1"/>
  <c r="ID1538" i="10" a="1"/>
  <c r="ID1538" i="10" s="1"/>
  <c r="IC1538" i="10" a="1"/>
  <c r="IC1538" i="10" s="1"/>
  <c r="IB1538" i="10" a="1"/>
  <c r="IB1538" i="10" s="1"/>
  <c r="IA1538" i="10" a="1"/>
  <c r="IA1538" i="10" s="1"/>
  <c r="HZ1538" i="10" a="1"/>
  <c r="HZ1538" i="10" s="1"/>
  <c r="HY1538" i="10" a="1"/>
  <c r="HY1538" i="10" s="1"/>
  <c r="HX1538" i="10" a="1"/>
  <c r="HX1538" i="10" s="1"/>
  <c r="HW1538" i="10" a="1"/>
  <c r="HW1538" i="10" s="1"/>
  <c r="HV1538" i="10" a="1"/>
  <c r="HV1538" i="10" s="1"/>
  <c r="HU1538" i="10" a="1"/>
  <c r="HU1538" i="10" s="1"/>
  <c r="HT1538" i="10" a="1"/>
  <c r="HT1538" i="10" s="1"/>
  <c r="HS1538" i="10" a="1"/>
  <c r="HS1538" i="10" s="1"/>
  <c r="HR1538" i="10" a="1"/>
  <c r="HR1538" i="10" s="1"/>
  <c r="HQ1538" i="10" a="1"/>
  <c r="HQ1538" i="10" s="1"/>
  <c r="HP1538" i="10" a="1"/>
  <c r="HP1538" i="10" s="1"/>
  <c r="HO1538" i="10" a="1"/>
  <c r="HO1538" i="10" s="1"/>
  <c r="HN1538" i="10" a="1"/>
  <c r="HN1538" i="10" s="1"/>
  <c r="HM1538" i="10" a="1"/>
  <c r="HM1538" i="10" s="1"/>
  <c r="HL1538" i="10" a="1"/>
  <c r="HL1538" i="10" s="1"/>
  <c r="HK1538" i="10" a="1"/>
  <c r="HK1538" i="10" s="1"/>
  <c r="HJ1538" i="10" a="1"/>
  <c r="HJ1538" i="10" s="1"/>
  <c r="HI1538" i="10" a="1"/>
  <c r="HI1538" i="10" s="1"/>
  <c r="HH1538" i="10" a="1"/>
  <c r="HH1538" i="10" s="1"/>
  <c r="HG1538" i="10" a="1"/>
  <c r="HG1538" i="10" s="1"/>
  <c r="HF1538" i="10" a="1"/>
  <c r="HF1538" i="10" s="1"/>
  <c r="HE1538" i="10" a="1"/>
  <c r="HE1538" i="10" s="1"/>
  <c r="HD1538" i="10" a="1"/>
  <c r="HD1538" i="10" s="1"/>
  <c r="HC1538" i="10" a="1"/>
  <c r="HC1538" i="10" s="1"/>
  <c r="HB1538" i="10" a="1"/>
  <c r="HB1538" i="10" s="1"/>
  <c r="HA1538" i="10" a="1"/>
  <c r="HA1538" i="10" s="1"/>
  <c r="GZ1538" i="10" a="1"/>
  <c r="GZ1538" i="10" s="1"/>
  <c r="GY1538" i="10" a="1"/>
  <c r="GY1538" i="10" s="1"/>
  <c r="GX1538" i="10" a="1"/>
  <c r="GX1538" i="10" s="1"/>
  <c r="GW1538" i="10" a="1"/>
  <c r="GW1538" i="10" s="1"/>
  <c r="GV1538" i="10" a="1"/>
  <c r="GV1538" i="10" s="1"/>
  <c r="GU1538" i="10" a="1"/>
  <c r="GU1538" i="10" s="1"/>
  <c r="GT1538" i="10" a="1"/>
  <c r="GT1538" i="10" s="1"/>
  <c r="GS1538" i="10" a="1"/>
  <c r="GS1538" i="10" s="1"/>
  <c r="GR1538" i="10" a="1"/>
  <c r="GR1538" i="10" s="1"/>
  <c r="GQ1538" i="10" a="1"/>
  <c r="GQ1538" i="10" s="1"/>
  <c r="GP1538" i="10" a="1"/>
  <c r="GP1538" i="10" s="1"/>
  <c r="GO1538" i="10" a="1"/>
  <c r="GO1538" i="10" s="1"/>
  <c r="GN1538" i="10" a="1"/>
  <c r="GN1538" i="10" s="1"/>
  <c r="GM1538" i="10" a="1"/>
  <c r="GM1538" i="10" s="1"/>
  <c r="GL1538" i="10" a="1"/>
  <c r="GL1538" i="10" s="1"/>
  <c r="GK1538" i="10" a="1"/>
  <c r="GK1538" i="10" s="1"/>
  <c r="GJ1538" i="10" a="1"/>
  <c r="GJ1538" i="10" s="1"/>
  <c r="GI1538" i="10" a="1"/>
  <c r="GI1538" i="10" s="1"/>
  <c r="GH1538" i="10" a="1"/>
  <c r="GH1538" i="10" s="1"/>
  <c r="GG1538" i="10" a="1"/>
  <c r="GG1538" i="10" s="1"/>
  <c r="GF1538" i="10" a="1"/>
  <c r="GF1538" i="10" s="1"/>
  <c r="GE1538" i="10" a="1"/>
  <c r="GE1538" i="10" s="1"/>
  <c r="GD1538" i="10" a="1"/>
  <c r="GD1538" i="10" s="1"/>
  <c r="GC1538" i="10" a="1"/>
  <c r="GC1538" i="10" s="1"/>
  <c r="GB1538" i="10" a="1"/>
  <c r="GB1538" i="10" s="1"/>
  <c r="GA1538" i="10" a="1"/>
  <c r="GA1538" i="10" s="1"/>
  <c r="FZ1538" i="10" a="1"/>
  <c r="FZ1538" i="10" s="1"/>
  <c r="FY1538" i="10" a="1"/>
  <c r="FY1538" i="10" s="1"/>
  <c r="FX1538" i="10" a="1"/>
  <c r="FX1538" i="10" s="1"/>
  <c r="FW1538" i="10" a="1"/>
  <c r="FW1538" i="10" s="1"/>
  <c r="FV1538" i="10" a="1"/>
  <c r="FV1538" i="10" s="1"/>
  <c r="FU1538" i="10" a="1"/>
  <c r="FU1538" i="10" s="1"/>
  <c r="FT1538" i="10" a="1"/>
  <c r="FT1538" i="10" s="1"/>
  <c r="FS1538" i="10" a="1"/>
  <c r="FS1538" i="10" s="1"/>
  <c r="FR1538" i="10" a="1"/>
  <c r="FR1538" i="10" s="1"/>
  <c r="FQ1538" i="10" a="1"/>
  <c r="FQ1538" i="10" s="1"/>
  <c r="FP1538" i="10" a="1"/>
  <c r="FP1538" i="10" s="1"/>
  <c r="FO1538" i="10" a="1"/>
  <c r="FO1538" i="10" s="1"/>
  <c r="FN1538" i="10" a="1"/>
  <c r="FN1538" i="10" s="1"/>
  <c r="FM1538" i="10" a="1"/>
  <c r="FM1538" i="10" s="1"/>
  <c r="FL1538" i="10" a="1"/>
  <c r="FL1538" i="10" s="1"/>
  <c r="FK1538" i="10" a="1"/>
  <c r="FK1538" i="10" s="1"/>
  <c r="FJ1538" i="10" a="1"/>
  <c r="FJ1538" i="10" s="1"/>
  <c r="FI1538" i="10" a="1"/>
  <c r="FI1538" i="10" s="1"/>
  <c r="FH1538" i="10" a="1"/>
  <c r="FH1538" i="10" s="1"/>
  <c r="FG1538" i="10" a="1"/>
  <c r="FG1538" i="10" s="1"/>
  <c r="FF1538" i="10" a="1"/>
  <c r="FF1538" i="10" s="1"/>
  <c r="FE1538" i="10" a="1"/>
  <c r="FE1538" i="10" s="1"/>
  <c r="FD1538" i="10" a="1"/>
  <c r="FD1538" i="10" s="1"/>
  <c r="FC1538" i="10" a="1"/>
  <c r="FC1538" i="10" s="1"/>
  <c r="FB1538" i="10" a="1"/>
  <c r="FB1538" i="10" s="1"/>
  <c r="FA1538" i="10" a="1"/>
  <c r="FA1538" i="10" s="1"/>
  <c r="EZ1538" i="10" a="1"/>
  <c r="EZ1538" i="10" s="1"/>
  <c r="EY1538" i="10" a="1"/>
  <c r="EY1538" i="10" s="1"/>
  <c r="EX1538" i="10" a="1"/>
  <c r="EX1538" i="10" s="1"/>
  <c r="EW1538" i="10" a="1"/>
  <c r="EW1538" i="10" s="1"/>
  <c r="EV1538" i="10" a="1"/>
  <c r="EV1538" i="10" s="1"/>
  <c r="EU1538" i="10" a="1"/>
  <c r="EU1538" i="10" s="1"/>
  <c r="ET1538" i="10" a="1"/>
  <c r="ET1538" i="10" s="1"/>
  <c r="ES1538" i="10" a="1"/>
  <c r="ES1538" i="10" s="1"/>
  <c r="ER1538" i="10" a="1"/>
  <c r="ER1538" i="10" s="1"/>
  <c r="EQ1538" i="10" a="1"/>
  <c r="EQ1538" i="10" s="1"/>
  <c r="EP1538" i="10" a="1"/>
  <c r="EP1538" i="10" s="1"/>
  <c r="EO1538" i="10" a="1"/>
  <c r="EO1538" i="10" s="1"/>
  <c r="EN1538" i="10" a="1"/>
  <c r="EN1538" i="10" s="1"/>
  <c r="EM1538" i="10" a="1"/>
  <c r="EM1538" i="10" s="1"/>
  <c r="EL1538" i="10" a="1"/>
  <c r="EL1538" i="10" s="1"/>
  <c r="EK1538" i="10" a="1"/>
  <c r="EK1538" i="10" s="1"/>
  <c r="EJ1538" i="10" a="1"/>
  <c r="EJ1538" i="10" s="1"/>
  <c r="EI1538" i="10" a="1"/>
  <c r="EI1538" i="10" s="1"/>
  <c r="EH1538" i="10" a="1"/>
  <c r="EH1538" i="10" s="1"/>
  <c r="EG1538" i="10" a="1"/>
  <c r="EG1538" i="10" s="1"/>
  <c r="EF1538" i="10" a="1"/>
  <c r="EF1538" i="10" s="1"/>
  <c r="EE1538" i="10" a="1"/>
  <c r="EE1538" i="10" s="1"/>
  <c r="ED1538" i="10" a="1"/>
  <c r="ED1538" i="10" s="1"/>
  <c r="EC1538" i="10" a="1"/>
  <c r="EC1538" i="10" s="1"/>
  <c r="EB1538" i="10" a="1"/>
  <c r="EB1538" i="10" s="1"/>
  <c r="EA1538" i="10" a="1"/>
  <c r="EA1538" i="10" s="1"/>
  <c r="DZ1538" i="10" a="1"/>
  <c r="DZ1538" i="10" s="1"/>
  <c r="DY1538" i="10" a="1"/>
  <c r="DY1538" i="10" s="1"/>
  <c r="DX1538" i="10" a="1"/>
  <c r="DX1538" i="10" s="1"/>
  <c r="DW1538" i="10" a="1"/>
  <c r="DW1538" i="10" s="1"/>
  <c r="DV1538" i="10" a="1"/>
  <c r="DV1538" i="10" s="1"/>
  <c r="DU1538" i="10" a="1"/>
  <c r="DU1538" i="10" s="1"/>
  <c r="DT1538" i="10" a="1"/>
  <c r="DT1538" i="10" s="1"/>
  <c r="DS1538" i="10" a="1"/>
  <c r="DS1538" i="10" s="1"/>
  <c r="DR1538" i="10" a="1"/>
  <c r="DR1538" i="10" s="1"/>
  <c r="DQ1538" i="10" a="1"/>
  <c r="DQ1538" i="10" s="1"/>
  <c r="DP1538" i="10" a="1"/>
  <c r="DP1538" i="10" s="1"/>
  <c r="DO1538" i="10" a="1"/>
  <c r="DO1538" i="10" s="1"/>
  <c r="DN1538" i="10" a="1"/>
  <c r="DN1538" i="10" s="1"/>
  <c r="DM1538" i="10" a="1"/>
  <c r="DM1538" i="10" s="1"/>
  <c r="DL1538" i="10" a="1"/>
  <c r="DL1538" i="10" s="1"/>
  <c r="DK1538" i="10" a="1"/>
  <c r="DK1538" i="10" s="1"/>
  <c r="DJ1538" i="10" a="1"/>
  <c r="DJ1538" i="10" s="1"/>
  <c r="DI1538" i="10" a="1"/>
  <c r="DI1538" i="10" s="1"/>
  <c r="DH1538" i="10" a="1"/>
  <c r="DH1538" i="10" s="1"/>
  <c r="DG1538" i="10" a="1"/>
  <c r="DG1538" i="10" s="1"/>
  <c r="DF1538" i="10" a="1"/>
  <c r="DF1538" i="10" s="1"/>
  <c r="DE1538" i="10" a="1"/>
  <c r="DE1538" i="10" s="1"/>
  <c r="DD1538" i="10" a="1"/>
  <c r="DD1538" i="10" s="1"/>
  <c r="DC1538" i="10" a="1"/>
  <c r="DC1538" i="10" s="1"/>
  <c r="DB1538" i="10" a="1"/>
  <c r="DB1538" i="10" s="1"/>
  <c r="DA1538" i="10" a="1"/>
  <c r="DA1538" i="10" s="1"/>
  <c r="CZ1538" i="10" a="1"/>
  <c r="CZ1538" i="10" s="1"/>
  <c r="CY1538" i="10" a="1"/>
  <c r="CY1538" i="10" s="1"/>
  <c r="CX1538" i="10" a="1"/>
  <c r="CX1538" i="10" s="1"/>
  <c r="CW1538" i="10" a="1"/>
  <c r="CW1538" i="10" s="1"/>
  <c r="CV1538" i="10" a="1"/>
  <c r="CV1538" i="10" s="1"/>
  <c r="CU1538" i="10" a="1"/>
  <c r="CU1538" i="10" s="1"/>
  <c r="CT1538" i="10" a="1"/>
  <c r="CT1538" i="10" s="1"/>
  <c r="CS1538" i="10" a="1"/>
  <c r="CS1538" i="10" s="1"/>
  <c r="CR1538" i="10" a="1"/>
  <c r="CR1538" i="10" s="1"/>
  <c r="CQ1538" i="10" a="1"/>
  <c r="CQ1538" i="10" s="1"/>
  <c r="CP1538" i="10" a="1"/>
  <c r="CP1538" i="10" s="1"/>
  <c r="CO1538" i="10" a="1"/>
  <c r="CO1538" i="10" s="1"/>
  <c r="CN1538" i="10" a="1"/>
  <c r="CN1538" i="10" s="1"/>
  <c r="CM1538" i="10" a="1"/>
  <c r="CM1538" i="10" s="1"/>
  <c r="CL1538" i="10" a="1"/>
  <c r="CL1538" i="10" s="1"/>
  <c r="CK1538" i="10" a="1"/>
  <c r="CK1538" i="10" s="1"/>
  <c r="CJ1538" i="10" a="1"/>
  <c r="CJ1538" i="10" s="1"/>
  <c r="CI1538" i="10" a="1"/>
  <c r="CI1538" i="10" s="1"/>
  <c r="CH1538" i="10" a="1"/>
  <c r="CH1538" i="10" s="1"/>
  <c r="CG1538" i="10" a="1"/>
  <c r="CG1538" i="10" s="1"/>
  <c r="CF1538" i="10" a="1"/>
  <c r="CF1538" i="10" s="1"/>
  <c r="CE1538" i="10" a="1"/>
  <c r="CE1538" i="10" s="1"/>
  <c r="CD1538" i="10" a="1"/>
  <c r="CD1538" i="10" s="1"/>
  <c r="CC1538" i="10" a="1"/>
  <c r="CC1538" i="10" s="1"/>
  <c r="CB1538" i="10" a="1"/>
  <c r="CB1538" i="10" s="1"/>
  <c r="CA1538" i="10" a="1"/>
  <c r="CA1538" i="10" s="1"/>
  <c r="BZ1538" i="10" a="1"/>
  <c r="BZ1538" i="10" s="1"/>
  <c r="BY1538" i="10" a="1"/>
  <c r="BY1538" i="10" s="1"/>
  <c r="BX1538" i="10" a="1"/>
  <c r="BX1538" i="10" s="1"/>
  <c r="BW1538" i="10" a="1"/>
  <c r="BW1538" i="10" s="1"/>
  <c r="BV1538" i="10" a="1"/>
  <c r="BV1538" i="10" s="1"/>
  <c r="BU1538" i="10" a="1"/>
  <c r="BU1538" i="10" s="1"/>
  <c r="BT1538" i="10" a="1"/>
  <c r="BT1538" i="10" s="1"/>
  <c r="BS1538" i="10" a="1"/>
  <c r="BS1538" i="10" s="1"/>
  <c r="BR1538" i="10" a="1"/>
  <c r="BR1538" i="10" s="1"/>
  <c r="BQ1538" i="10" a="1"/>
  <c r="BQ1538" i="10" s="1"/>
  <c r="BP1538" i="10" a="1"/>
  <c r="BP1538" i="10" s="1"/>
  <c r="BO1538" i="10" a="1"/>
  <c r="BO1538" i="10" s="1"/>
  <c r="BN1538" i="10" a="1"/>
  <c r="BN1538" i="10" s="1"/>
  <c r="BM1538" i="10" a="1"/>
  <c r="BM1538" i="10" s="1"/>
  <c r="BL1538" i="10" a="1"/>
  <c r="BL1538" i="10" s="1"/>
  <c r="BK1538" i="10" a="1"/>
  <c r="BK1538" i="10" s="1"/>
  <c r="BJ1538" i="10" a="1"/>
  <c r="BJ1538" i="10" s="1"/>
  <c r="BI1538" i="10" a="1"/>
  <c r="BI1538" i="10" s="1"/>
  <c r="BH1538" i="10" a="1"/>
  <c r="BH1538" i="10" s="1"/>
  <c r="BG1538" i="10" a="1"/>
  <c r="BG1538" i="10" s="1"/>
  <c r="BF1538" i="10" a="1"/>
  <c r="BF1538" i="10" s="1"/>
  <c r="BE1538" i="10" a="1"/>
  <c r="BE1538" i="10" s="1"/>
  <c r="BD1538" i="10" a="1"/>
  <c r="BD1538" i="10" s="1"/>
  <c r="BC1538" i="10" a="1"/>
  <c r="BC1538" i="10" s="1"/>
  <c r="BB1538" i="10" a="1"/>
  <c r="BB1538" i="10" s="1"/>
  <c r="BA1538" i="10" a="1"/>
  <c r="BA1538" i="10" s="1"/>
  <c r="AZ1538" i="10" a="1"/>
  <c r="AZ1538" i="10" s="1"/>
  <c r="AY1538" i="10" a="1"/>
  <c r="AY1538" i="10" s="1"/>
  <c r="AX1538" i="10" a="1"/>
  <c r="AX1538" i="10" s="1"/>
  <c r="AW1538" i="10" a="1"/>
  <c r="AW1538" i="10" s="1"/>
  <c r="AV1538" i="10" a="1"/>
  <c r="AV1538" i="10" s="1"/>
  <c r="AU1538" i="10" a="1"/>
  <c r="AU1538" i="10" s="1"/>
  <c r="AT1538" i="10" a="1"/>
  <c r="AT1538" i="10" s="1"/>
  <c r="AS1538" i="10" a="1"/>
  <c r="AS1538" i="10" s="1"/>
  <c r="AR1538" i="10" a="1"/>
  <c r="AR1538" i="10" s="1"/>
  <c r="AQ1538" i="10" a="1"/>
  <c r="AQ1538" i="10" s="1"/>
  <c r="AP1538" i="10" a="1"/>
  <c r="AP1538" i="10" s="1"/>
  <c r="AO1538" i="10" a="1"/>
  <c r="AO1538" i="10" s="1"/>
  <c r="AN1538" i="10" a="1"/>
  <c r="AN1538" i="10" s="1"/>
  <c r="AM1538" i="10" a="1"/>
  <c r="AM1538" i="10" s="1"/>
  <c r="AL1538" i="10" a="1"/>
  <c r="AL1538" i="10" s="1"/>
  <c r="Q16" i="9" s="1"/>
  <c r="AK1538" i="10" a="1"/>
  <c r="AK1538" i="10" s="1"/>
  <c r="AJ1538" i="10" a="1"/>
  <c r="AJ1538" i="10" s="1"/>
  <c r="AI1538" i="10" a="1"/>
  <c r="AI1538" i="10" s="1"/>
  <c r="AH1538" i="10" a="1"/>
  <c r="AH1538" i="10" s="1"/>
  <c r="AG1538" i="10" a="1"/>
  <c r="AG1538" i="10" s="1"/>
  <c r="AF1538" i="10" a="1"/>
  <c r="AF1538" i="10" s="1"/>
  <c r="AE1538" i="10" a="1"/>
  <c r="AE1538" i="10" s="1"/>
  <c r="AD1538" i="10" a="1"/>
  <c r="AD1538" i="10" s="1"/>
  <c r="AC1538" i="10" a="1"/>
  <c r="AC1538" i="10" s="1"/>
  <c r="AB1538" i="10" a="1"/>
  <c r="AB1538" i="10" s="1"/>
  <c r="AA1538" i="10" a="1"/>
  <c r="AA1538" i="10" s="1"/>
  <c r="Z1538" i="10" a="1"/>
  <c r="Z1538" i="10" s="1"/>
  <c r="Y1538" i="10" a="1"/>
  <c r="Y1538" i="10" s="1"/>
  <c r="X1538" i="10" a="1"/>
  <c r="X1538" i="10" s="1"/>
  <c r="W1538" i="10" a="1"/>
  <c r="W1538" i="10" s="1"/>
  <c r="V1538" i="10" a="1"/>
  <c r="V1538" i="10" s="1"/>
  <c r="U1538" i="10" a="1"/>
  <c r="U1538" i="10" s="1"/>
  <c r="T1538" i="10" a="1"/>
  <c r="T1538" i="10" s="1"/>
  <c r="S1538" i="10" a="1"/>
  <c r="S1538" i="10" s="1"/>
  <c r="R1538" i="10" a="1"/>
  <c r="R1538" i="10" s="1"/>
  <c r="Q1538" i="10" a="1"/>
  <c r="Q1538" i="10" s="1"/>
  <c r="P1538" i="10" a="1"/>
  <c r="P1538" i="10" s="1"/>
  <c r="AGN1537" i="10" a="1"/>
  <c r="AGN1537" i="10" s="1"/>
  <c r="AGM1537" i="10" a="1"/>
  <c r="AGM1537" i="10" s="1"/>
  <c r="AGL1537" i="10" a="1"/>
  <c r="AGL1537" i="10" s="1"/>
  <c r="AGK1537" i="10" a="1"/>
  <c r="AGK1537" i="10" s="1"/>
  <c r="AGJ1537" i="10" a="1"/>
  <c r="AGJ1537" i="10" s="1"/>
  <c r="AGI1537" i="10" a="1"/>
  <c r="AGI1537" i="10" s="1"/>
  <c r="AGH1537" i="10" a="1"/>
  <c r="AGH1537" i="10" s="1"/>
  <c r="AGG1537" i="10" a="1"/>
  <c r="AGG1537" i="10" s="1"/>
  <c r="AGF1537" i="10" a="1"/>
  <c r="AGF1537" i="10" s="1"/>
  <c r="AGE1537" i="10" a="1"/>
  <c r="AGE1537" i="10" s="1"/>
  <c r="AGD1537" i="10" a="1"/>
  <c r="AGD1537" i="10" s="1"/>
  <c r="AGC1537" i="10" a="1"/>
  <c r="AGC1537" i="10" s="1"/>
  <c r="AGB1537" i="10" a="1"/>
  <c r="AGB1537" i="10" s="1"/>
  <c r="AGA1537" i="10" a="1"/>
  <c r="AGA1537" i="10" s="1"/>
  <c r="AFZ1537" i="10" a="1"/>
  <c r="AFZ1537" i="10" s="1"/>
  <c r="AFY1537" i="10" a="1"/>
  <c r="AFY1537" i="10" s="1"/>
  <c r="AFX1537" i="10" a="1"/>
  <c r="AFX1537" i="10" s="1"/>
  <c r="AFW1537" i="10" a="1"/>
  <c r="AFW1537" i="10" s="1"/>
  <c r="AFV1537" i="10" a="1"/>
  <c r="AFV1537" i="10" s="1"/>
  <c r="AFU1537" i="10" a="1"/>
  <c r="AFU1537" i="10" s="1"/>
  <c r="AFT1537" i="10" a="1"/>
  <c r="AFT1537" i="10" s="1"/>
  <c r="AFS1537" i="10" a="1"/>
  <c r="AFS1537" i="10" s="1"/>
  <c r="AFR1537" i="10" a="1"/>
  <c r="AFR1537" i="10" s="1"/>
  <c r="AFQ1537" i="10" a="1"/>
  <c r="AFQ1537" i="10" s="1"/>
  <c r="AFP1537" i="10" a="1"/>
  <c r="AFP1537" i="10" s="1"/>
  <c r="AFO1537" i="10" a="1"/>
  <c r="AFO1537" i="10" s="1"/>
  <c r="AFN1537" i="10" a="1"/>
  <c r="AFN1537" i="10" s="1"/>
  <c r="AFM1537" i="10" a="1"/>
  <c r="AFM1537" i="10" s="1"/>
  <c r="AFL1537" i="10" a="1"/>
  <c r="AFL1537" i="10" s="1"/>
  <c r="AFK1537" i="10" a="1"/>
  <c r="AFK1537" i="10" s="1"/>
  <c r="AFJ1537" i="10" a="1"/>
  <c r="AFJ1537" i="10" s="1"/>
  <c r="AFI1537" i="10" a="1"/>
  <c r="AFI1537" i="10" s="1"/>
  <c r="AFH1537" i="10" a="1"/>
  <c r="AFH1537" i="10" s="1"/>
  <c r="AFG1537" i="10" a="1"/>
  <c r="AFG1537" i="10" s="1"/>
  <c r="AFF1537" i="10" a="1"/>
  <c r="AFF1537" i="10" s="1"/>
  <c r="AFE1537" i="10" a="1"/>
  <c r="AFE1537" i="10" s="1"/>
  <c r="AFD1537" i="10" a="1"/>
  <c r="AFD1537" i="10" s="1"/>
  <c r="AFC1537" i="10" a="1"/>
  <c r="AFC1537" i="10" s="1"/>
  <c r="AFB1537" i="10" a="1"/>
  <c r="AFB1537" i="10" s="1"/>
  <c r="AFA1537" i="10" a="1"/>
  <c r="AFA1537" i="10" s="1"/>
  <c r="AEZ1537" i="10" a="1"/>
  <c r="AEZ1537" i="10" s="1"/>
  <c r="AEY1537" i="10" a="1"/>
  <c r="AEY1537" i="10" s="1"/>
  <c r="AEX1537" i="10" a="1"/>
  <c r="AEX1537" i="10" s="1"/>
  <c r="AEW1537" i="10" a="1"/>
  <c r="AEW1537" i="10" s="1"/>
  <c r="AEV1537" i="10" a="1"/>
  <c r="AEV1537" i="10" s="1"/>
  <c r="AEU1537" i="10" a="1"/>
  <c r="AEU1537" i="10" s="1"/>
  <c r="AET1537" i="10" a="1"/>
  <c r="AET1537" i="10" s="1"/>
  <c r="AES1537" i="10" a="1"/>
  <c r="AES1537" i="10" s="1"/>
  <c r="AER1537" i="10" a="1"/>
  <c r="AER1537" i="10" s="1"/>
  <c r="AEQ1537" i="10" a="1"/>
  <c r="AEQ1537" i="10" s="1"/>
  <c r="AEP1537" i="10" a="1"/>
  <c r="AEP1537" i="10" s="1"/>
  <c r="AEO1537" i="10" a="1"/>
  <c r="AEO1537" i="10" s="1"/>
  <c r="AEN1537" i="10" a="1"/>
  <c r="AEN1537" i="10" s="1"/>
  <c r="AEM1537" i="10" a="1"/>
  <c r="AEM1537" i="10" s="1"/>
  <c r="AEL1537" i="10" a="1"/>
  <c r="AEL1537" i="10" s="1"/>
  <c r="AEK1537" i="10" a="1"/>
  <c r="AEK1537" i="10" s="1"/>
  <c r="AEJ1537" i="10" a="1"/>
  <c r="AEJ1537" i="10" s="1"/>
  <c r="AEI1537" i="10" a="1"/>
  <c r="AEI1537" i="10" s="1"/>
  <c r="AEH1537" i="10" a="1"/>
  <c r="AEH1537" i="10" s="1"/>
  <c r="AEG1537" i="10" a="1"/>
  <c r="AEG1537" i="10" s="1"/>
  <c r="AEF1537" i="10" a="1"/>
  <c r="AEF1537" i="10" s="1"/>
  <c r="AEE1537" i="10" a="1"/>
  <c r="AEE1537" i="10" s="1"/>
  <c r="AED1537" i="10" a="1"/>
  <c r="AED1537" i="10" s="1"/>
  <c r="AEC1537" i="10" a="1"/>
  <c r="AEC1537" i="10" s="1"/>
  <c r="AEB1537" i="10" a="1"/>
  <c r="AEB1537" i="10" s="1"/>
  <c r="AEA1537" i="10" a="1"/>
  <c r="AEA1537" i="10" s="1"/>
  <c r="ADZ1537" i="10" a="1"/>
  <c r="ADZ1537" i="10" s="1"/>
  <c r="ADY1537" i="10" a="1"/>
  <c r="ADY1537" i="10" s="1"/>
  <c r="ADX1537" i="10" a="1"/>
  <c r="ADX1537" i="10" s="1"/>
  <c r="ADW1537" i="10" a="1"/>
  <c r="ADW1537" i="10" s="1"/>
  <c r="ADV1537" i="10" a="1"/>
  <c r="ADV1537" i="10" s="1"/>
  <c r="ADU1537" i="10" a="1"/>
  <c r="ADU1537" i="10" s="1"/>
  <c r="ADT1537" i="10" a="1"/>
  <c r="ADT1537" i="10" s="1"/>
  <c r="ADS1537" i="10" a="1"/>
  <c r="ADS1537" i="10" s="1"/>
  <c r="ADR1537" i="10" a="1"/>
  <c r="ADR1537" i="10" s="1"/>
  <c r="ADQ1537" i="10" a="1"/>
  <c r="ADQ1537" i="10" s="1"/>
  <c r="ADP1537" i="10" a="1"/>
  <c r="ADP1537" i="10" s="1"/>
  <c r="ADO1537" i="10" a="1"/>
  <c r="ADO1537" i="10" s="1"/>
  <c r="ADN1537" i="10" a="1"/>
  <c r="ADN1537" i="10" s="1"/>
  <c r="ADM1537" i="10" a="1"/>
  <c r="ADM1537" i="10" s="1"/>
  <c r="ADL1537" i="10" a="1"/>
  <c r="ADL1537" i="10" s="1"/>
  <c r="ADK1537" i="10" a="1"/>
  <c r="ADK1537" i="10" s="1"/>
  <c r="ADJ1537" i="10" a="1"/>
  <c r="ADJ1537" i="10" s="1"/>
  <c r="ADI1537" i="10" a="1"/>
  <c r="ADI1537" i="10" s="1"/>
  <c r="ADH1537" i="10" a="1"/>
  <c r="ADH1537" i="10" s="1"/>
  <c r="ADG1537" i="10" a="1"/>
  <c r="ADG1537" i="10" s="1"/>
  <c r="ADF1537" i="10" a="1"/>
  <c r="ADF1537" i="10" s="1"/>
  <c r="ADE1537" i="10" a="1"/>
  <c r="ADE1537" i="10" s="1"/>
  <c r="ADD1537" i="10" a="1"/>
  <c r="ADD1537" i="10" s="1"/>
  <c r="ADC1537" i="10" a="1"/>
  <c r="ADC1537" i="10" s="1"/>
  <c r="ADB1537" i="10" a="1"/>
  <c r="ADB1537" i="10" s="1"/>
  <c r="ADA1537" i="10" a="1"/>
  <c r="ADA1537" i="10" s="1"/>
  <c r="ACZ1537" i="10" a="1"/>
  <c r="ACZ1537" i="10" s="1"/>
  <c r="ACY1537" i="10" a="1"/>
  <c r="ACY1537" i="10" s="1"/>
  <c r="ACX1537" i="10" a="1"/>
  <c r="ACX1537" i="10" s="1"/>
  <c r="ACW1537" i="10" a="1"/>
  <c r="ACW1537" i="10" s="1"/>
  <c r="ACV1537" i="10" a="1"/>
  <c r="ACV1537" i="10" s="1"/>
  <c r="ACU1537" i="10" a="1"/>
  <c r="ACU1537" i="10" s="1"/>
  <c r="ACT1537" i="10" a="1"/>
  <c r="ACT1537" i="10" s="1"/>
  <c r="ACS1537" i="10" a="1"/>
  <c r="ACS1537" i="10" s="1"/>
  <c r="ACR1537" i="10" a="1"/>
  <c r="ACR1537" i="10" s="1"/>
  <c r="ACQ1537" i="10" a="1"/>
  <c r="ACQ1537" i="10" s="1"/>
  <c r="ACP1537" i="10" a="1"/>
  <c r="ACP1537" i="10" s="1"/>
  <c r="ACO1537" i="10" a="1"/>
  <c r="ACO1537" i="10" s="1"/>
  <c r="ACN1537" i="10" a="1"/>
  <c r="ACN1537" i="10" s="1"/>
  <c r="ACM1537" i="10" a="1"/>
  <c r="ACM1537" i="10" s="1"/>
  <c r="ACL1537" i="10" a="1"/>
  <c r="ACL1537" i="10" s="1"/>
  <c r="ACK1537" i="10" a="1"/>
  <c r="ACK1537" i="10" s="1"/>
  <c r="ACJ1537" i="10" a="1"/>
  <c r="ACJ1537" i="10" s="1"/>
  <c r="ACI1537" i="10" a="1"/>
  <c r="ACI1537" i="10" s="1"/>
  <c r="ACH1537" i="10" a="1"/>
  <c r="ACH1537" i="10" s="1"/>
  <c r="ACG1537" i="10" a="1"/>
  <c r="ACG1537" i="10" s="1"/>
  <c r="ACF1537" i="10" a="1"/>
  <c r="ACF1537" i="10" s="1"/>
  <c r="ACE1537" i="10" a="1"/>
  <c r="ACE1537" i="10" s="1"/>
  <c r="ACD1537" i="10" a="1"/>
  <c r="ACD1537" i="10" s="1"/>
  <c r="ACC1537" i="10" a="1"/>
  <c r="ACC1537" i="10" s="1"/>
  <c r="ACB1537" i="10" a="1"/>
  <c r="ACB1537" i="10" s="1"/>
  <c r="ACA1537" i="10" a="1"/>
  <c r="ACA1537" i="10" s="1"/>
  <c r="ABZ1537" i="10" a="1"/>
  <c r="ABZ1537" i="10" s="1"/>
  <c r="ABY1537" i="10" a="1"/>
  <c r="ABY1537" i="10" s="1"/>
  <c r="ABX1537" i="10" a="1"/>
  <c r="ABX1537" i="10" s="1"/>
  <c r="ABW1537" i="10" a="1"/>
  <c r="ABW1537" i="10" s="1"/>
  <c r="ABV1537" i="10" a="1"/>
  <c r="ABV1537" i="10" s="1"/>
  <c r="ABU1537" i="10" a="1"/>
  <c r="ABU1537" i="10" s="1"/>
  <c r="ABT1537" i="10" a="1"/>
  <c r="ABT1537" i="10" s="1"/>
  <c r="ABS1537" i="10" a="1"/>
  <c r="ABS1537" i="10" s="1"/>
  <c r="ABR1537" i="10" a="1"/>
  <c r="ABR1537" i="10" s="1"/>
  <c r="ABQ1537" i="10" a="1"/>
  <c r="ABQ1537" i="10" s="1"/>
  <c r="ABP1537" i="10" a="1"/>
  <c r="ABP1537" i="10" s="1"/>
  <c r="ABO1537" i="10" a="1"/>
  <c r="ABO1537" i="10" s="1"/>
  <c r="ABN1537" i="10" a="1"/>
  <c r="ABN1537" i="10" s="1"/>
  <c r="ABM1537" i="10" a="1"/>
  <c r="ABM1537" i="10" s="1"/>
  <c r="ABL1537" i="10" a="1"/>
  <c r="ABL1537" i="10" s="1"/>
  <c r="ABK1537" i="10" a="1"/>
  <c r="ABK1537" i="10" s="1"/>
  <c r="ABJ1537" i="10" a="1"/>
  <c r="ABJ1537" i="10" s="1"/>
  <c r="ABI1537" i="10" a="1"/>
  <c r="ABI1537" i="10" s="1"/>
  <c r="ABH1537" i="10" a="1"/>
  <c r="ABH1537" i="10" s="1"/>
  <c r="ABG1537" i="10" a="1"/>
  <c r="ABG1537" i="10" s="1"/>
  <c r="ABF1537" i="10" a="1"/>
  <c r="ABF1537" i="10" s="1"/>
  <c r="ABE1537" i="10" a="1"/>
  <c r="ABE1537" i="10" s="1"/>
  <c r="ABD1537" i="10" a="1"/>
  <c r="ABD1537" i="10" s="1"/>
  <c r="ABC1537" i="10" a="1"/>
  <c r="ABC1537" i="10" s="1"/>
  <c r="ABB1537" i="10" a="1"/>
  <c r="ABB1537" i="10" s="1"/>
  <c r="ABA1537" i="10" a="1"/>
  <c r="ABA1537" i="10" s="1"/>
  <c r="AAZ1537" i="10" a="1"/>
  <c r="AAZ1537" i="10" s="1"/>
  <c r="AAY1537" i="10" a="1"/>
  <c r="AAY1537" i="10" s="1"/>
  <c r="AAX1537" i="10" a="1"/>
  <c r="AAX1537" i="10" s="1"/>
  <c r="AAW1537" i="10" a="1"/>
  <c r="AAW1537" i="10" s="1"/>
  <c r="AAV1537" i="10" a="1"/>
  <c r="AAV1537" i="10" s="1"/>
  <c r="AAU1537" i="10" a="1"/>
  <c r="AAU1537" i="10" s="1"/>
  <c r="AAT1537" i="10" a="1"/>
  <c r="AAT1537" i="10" s="1"/>
  <c r="AAS1537" i="10" a="1"/>
  <c r="AAS1537" i="10" s="1"/>
  <c r="AAR1537" i="10" a="1"/>
  <c r="AAR1537" i="10" s="1"/>
  <c r="AAQ1537" i="10" a="1"/>
  <c r="AAQ1537" i="10" s="1"/>
  <c r="AAP1537" i="10" a="1"/>
  <c r="AAP1537" i="10" s="1"/>
  <c r="AAO1537" i="10" a="1"/>
  <c r="AAO1537" i="10" s="1"/>
  <c r="AAN1537" i="10" a="1"/>
  <c r="AAN1537" i="10" s="1"/>
  <c r="AAM1537" i="10" a="1"/>
  <c r="AAM1537" i="10" s="1"/>
  <c r="AAL1537" i="10" a="1"/>
  <c r="AAL1537" i="10" s="1"/>
  <c r="AAK1537" i="10" a="1"/>
  <c r="AAK1537" i="10" s="1"/>
  <c r="AAJ1537" i="10" a="1"/>
  <c r="AAJ1537" i="10" s="1"/>
  <c r="AAI1537" i="10" a="1"/>
  <c r="AAI1537" i="10" s="1"/>
  <c r="AAH1537" i="10" a="1"/>
  <c r="AAH1537" i="10" s="1"/>
  <c r="AAG1537" i="10" a="1"/>
  <c r="AAG1537" i="10" s="1"/>
  <c r="AAF1537" i="10" a="1"/>
  <c r="AAF1537" i="10" s="1"/>
  <c r="AAE1537" i="10" a="1"/>
  <c r="AAE1537" i="10" s="1"/>
  <c r="AAD1537" i="10" a="1"/>
  <c r="AAD1537" i="10" s="1"/>
  <c r="AAC1537" i="10" a="1"/>
  <c r="AAC1537" i="10" s="1"/>
  <c r="AAB1537" i="10" a="1"/>
  <c r="AAB1537" i="10" s="1"/>
  <c r="AAA1537" i="10" a="1"/>
  <c r="AAA1537" i="10" s="1"/>
  <c r="ZZ1537" i="10" a="1"/>
  <c r="ZZ1537" i="10" s="1"/>
  <c r="ZY1537" i="10" a="1"/>
  <c r="ZY1537" i="10" s="1"/>
  <c r="ZX1537" i="10" a="1"/>
  <c r="ZX1537" i="10" s="1"/>
  <c r="ZW1537" i="10" a="1"/>
  <c r="ZW1537" i="10" s="1"/>
  <c r="ZV1537" i="10" a="1"/>
  <c r="ZV1537" i="10" s="1"/>
  <c r="ZU1537" i="10" a="1"/>
  <c r="ZU1537" i="10" s="1"/>
  <c r="ZT1537" i="10" a="1"/>
  <c r="ZT1537" i="10" s="1"/>
  <c r="ZS1537" i="10" a="1"/>
  <c r="ZS1537" i="10" s="1"/>
  <c r="ZR1537" i="10" a="1"/>
  <c r="ZR1537" i="10" s="1"/>
  <c r="ZQ1537" i="10" a="1"/>
  <c r="ZQ1537" i="10" s="1"/>
  <c r="ZP1537" i="10" a="1"/>
  <c r="ZP1537" i="10" s="1"/>
  <c r="ZO1537" i="10" a="1"/>
  <c r="ZO1537" i="10" s="1"/>
  <c r="ZN1537" i="10" a="1"/>
  <c r="ZN1537" i="10" s="1"/>
  <c r="ZM1537" i="10" a="1"/>
  <c r="ZM1537" i="10" s="1"/>
  <c r="ZL1537" i="10" a="1"/>
  <c r="ZL1537" i="10" s="1"/>
  <c r="ZK1537" i="10" a="1"/>
  <c r="ZK1537" i="10" s="1"/>
  <c r="ZJ1537" i="10" a="1"/>
  <c r="ZJ1537" i="10" s="1"/>
  <c r="ZI1537" i="10" a="1"/>
  <c r="ZI1537" i="10" s="1"/>
  <c r="ZH1537" i="10" a="1"/>
  <c r="ZH1537" i="10" s="1"/>
  <c r="ZG1537" i="10" a="1"/>
  <c r="ZG1537" i="10" s="1"/>
  <c r="ZF1537" i="10" a="1"/>
  <c r="ZF1537" i="10" s="1"/>
  <c r="ZE1537" i="10" a="1"/>
  <c r="ZE1537" i="10" s="1"/>
  <c r="ZD1537" i="10" a="1"/>
  <c r="ZD1537" i="10" s="1"/>
  <c r="ZC1537" i="10" a="1"/>
  <c r="ZC1537" i="10" s="1"/>
  <c r="ZB1537" i="10" a="1"/>
  <c r="ZB1537" i="10" s="1"/>
  <c r="ZA1537" i="10" a="1"/>
  <c r="ZA1537" i="10" s="1"/>
  <c r="YZ1537" i="10" a="1"/>
  <c r="YZ1537" i="10" s="1"/>
  <c r="YY1537" i="10" a="1"/>
  <c r="YY1537" i="10" s="1"/>
  <c r="YX1537" i="10" a="1"/>
  <c r="YX1537" i="10" s="1"/>
  <c r="YW1537" i="10" a="1"/>
  <c r="YW1537" i="10" s="1"/>
  <c r="YV1537" i="10" a="1"/>
  <c r="YV1537" i="10" s="1"/>
  <c r="YU1537" i="10" a="1"/>
  <c r="YU1537" i="10" s="1"/>
  <c r="YT1537" i="10" a="1"/>
  <c r="YT1537" i="10" s="1"/>
  <c r="YS1537" i="10" a="1"/>
  <c r="YS1537" i="10" s="1"/>
  <c r="YR1537" i="10" a="1"/>
  <c r="YR1537" i="10" s="1"/>
  <c r="YQ1537" i="10" a="1"/>
  <c r="YQ1537" i="10" s="1"/>
  <c r="YP1537" i="10" a="1"/>
  <c r="YP1537" i="10" s="1"/>
  <c r="YO1537" i="10" a="1"/>
  <c r="YO1537" i="10" s="1"/>
  <c r="YN1537" i="10" a="1"/>
  <c r="YN1537" i="10" s="1"/>
  <c r="YM1537" i="10" a="1"/>
  <c r="YM1537" i="10" s="1"/>
  <c r="YL1537" i="10" a="1"/>
  <c r="YL1537" i="10" s="1"/>
  <c r="YK1537" i="10" a="1"/>
  <c r="YK1537" i="10" s="1"/>
  <c r="YJ1537" i="10" a="1"/>
  <c r="YJ1537" i="10" s="1"/>
  <c r="YI1537" i="10" a="1"/>
  <c r="YI1537" i="10" s="1"/>
  <c r="YH1537" i="10" a="1"/>
  <c r="YH1537" i="10" s="1"/>
  <c r="YG1537" i="10" a="1"/>
  <c r="YG1537" i="10" s="1"/>
  <c r="YF1537" i="10" a="1"/>
  <c r="YF1537" i="10" s="1"/>
  <c r="YE1537" i="10" a="1"/>
  <c r="YE1537" i="10" s="1"/>
  <c r="YD1537" i="10" a="1"/>
  <c r="YD1537" i="10" s="1"/>
  <c r="YC1537" i="10" a="1"/>
  <c r="YC1537" i="10" s="1"/>
  <c r="YB1537" i="10" a="1"/>
  <c r="YB1537" i="10" s="1"/>
  <c r="YA1537" i="10" a="1"/>
  <c r="YA1537" i="10" s="1"/>
  <c r="XZ1537" i="10" a="1"/>
  <c r="XZ1537" i="10" s="1"/>
  <c r="XY1537" i="10" a="1"/>
  <c r="XY1537" i="10" s="1"/>
  <c r="XX1537" i="10" a="1"/>
  <c r="XX1537" i="10" s="1"/>
  <c r="XW1537" i="10" a="1"/>
  <c r="XW1537" i="10" s="1"/>
  <c r="XV1537" i="10" a="1"/>
  <c r="XV1537" i="10" s="1"/>
  <c r="XU1537" i="10" a="1"/>
  <c r="XU1537" i="10" s="1"/>
  <c r="XT1537" i="10" a="1"/>
  <c r="XT1537" i="10" s="1"/>
  <c r="XS1537" i="10" a="1"/>
  <c r="XS1537" i="10" s="1"/>
  <c r="XR1537" i="10" a="1"/>
  <c r="XR1537" i="10" s="1"/>
  <c r="XQ1537" i="10" a="1"/>
  <c r="XQ1537" i="10" s="1"/>
  <c r="XP1537" i="10" a="1"/>
  <c r="XP1537" i="10" s="1"/>
  <c r="XO1537" i="10" a="1"/>
  <c r="XO1537" i="10" s="1"/>
  <c r="XN1537" i="10" a="1"/>
  <c r="XN1537" i="10" s="1"/>
  <c r="XM1537" i="10" a="1"/>
  <c r="XM1537" i="10" s="1"/>
  <c r="XL1537" i="10" a="1"/>
  <c r="XL1537" i="10" s="1"/>
  <c r="XK1537" i="10" a="1"/>
  <c r="XK1537" i="10" s="1"/>
  <c r="XJ1537" i="10" a="1"/>
  <c r="XJ1537" i="10" s="1"/>
  <c r="XI1537" i="10" a="1"/>
  <c r="XI1537" i="10" s="1"/>
  <c r="XH1537" i="10" a="1"/>
  <c r="XH1537" i="10" s="1"/>
  <c r="XG1537" i="10" a="1"/>
  <c r="XG1537" i="10" s="1"/>
  <c r="XF1537" i="10" a="1"/>
  <c r="XF1537" i="10" s="1"/>
  <c r="XE1537" i="10" a="1"/>
  <c r="XE1537" i="10" s="1"/>
  <c r="XD1537" i="10" a="1"/>
  <c r="XD1537" i="10" s="1"/>
  <c r="XC1537" i="10" a="1"/>
  <c r="XC1537" i="10" s="1"/>
  <c r="XB1537" i="10" a="1"/>
  <c r="XB1537" i="10" s="1"/>
  <c r="XA1537" i="10" a="1"/>
  <c r="XA1537" i="10" s="1"/>
  <c r="WZ1537" i="10" a="1"/>
  <c r="WZ1537" i="10" s="1"/>
  <c r="WY1537" i="10" a="1"/>
  <c r="WY1537" i="10" s="1"/>
  <c r="WX1537" i="10" a="1"/>
  <c r="WX1537" i="10" s="1"/>
  <c r="WW1537" i="10" a="1"/>
  <c r="WW1537" i="10" s="1"/>
  <c r="WV1537" i="10" a="1"/>
  <c r="WV1537" i="10" s="1"/>
  <c r="WU1537" i="10" a="1"/>
  <c r="WU1537" i="10" s="1"/>
  <c r="WT1537" i="10" a="1"/>
  <c r="WT1537" i="10" s="1"/>
  <c r="WS1537" i="10" a="1"/>
  <c r="WS1537" i="10" s="1"/>
  <c r="WR1537" i="10" a="1"/>
  <c r="WR1537" i="10" s="1"/>
  <c r="WQ1537" i="10" a="1"/>
  <c r="WQ1537" i="10" s="1"/>
  <c r="WP1537" i="10" a="1"/>
  <c r="WP1537" i="10" s="1"/>
  <c r="WO1537" i="10" a="1"/>
  <c r="WO1537" i="10" s="1"/>
  <c r="WN1537" i="10" a="1"/>
  <c r="WN1537" i="10" s="1"/>
  <c r="WM1537" i="10" a="1"/>
  <c r="WM1537" i="10" s="1"/>
  <c r="WL1537" i="10" a="1"/>
  <c r="WL1537" i="10" s="1"/>
  <c r="WK1537" i="10" a="1"/>
  <c r="WK1537" i="10" s="1"/>
  <c r="WJ1537" i="10" a="1"/>
  <c r="WJ1537" i="10" s="1"/>
  <c r="WI1537" i="10" a="1"/>
  <c r="WI1537" i="10" s="1"/>
  <c r="WH1537" i="10" a="1"/>
  <c r="WH1537" i="10" s="1"/>
  <c r="WG1537" i="10" a="1"/>
  <c r="WG1537" i="10" s="1"/>
  <c r="WF1537" i="10" a="1"/>
  <c r="WF1537" i="10" s="1"/>
  <c r="WE1537" i="10" a="1"/>
  <c r="WE1537" i="10" s="1"/>
  <c r="WD1537" i="10" a="1"/>
  <c r="WD1537" i="10" s="1"/>
  <c r="WC1537" i="10" a="1"/>
  <c r="WC1537" i="10" s="1"/>
  <c r="WB1537" i="10" a="1"/>
  <c r="WB1537" i="10" s="1"/>
  <c r="WA1537" i="10" a="1"/>
  <c r="WA1537" i="10" s="1"/>
  <c r="VZ1537" i="10" a="1"/>
  <c r="VZ1537" i="10" s="1"/>
  <c r="VY1537" i="10" a="1"/>
  <c r="VY1537" i="10" s="1"/>
  <c r="VX1537" i="10" a="1"/>
  <c r="VX1537" i="10" s="1"/>
  <c r="VW1537" i="10" a="1"/>
  <c r="VW1537" i="10" s="1"/>
  <c r="VV1537" i="10" a="1"/>
  <c r="VV1537" i="10" s="1"/>
  <c r="VU1537" i="10" a="1"/>
  <c r="VU1537" i="10" s="1"/>
  <c r="VT1537" i="10" a="1"/>
  <c r="VT1537" i="10" s="1"/>
  <c r="VS1537" i="10" a="1"/>
  <c r="VS1537" i="10" s="1"/>
  <c r="VR1537" i="10" a="1"/>
  <c r="VR1537" i="10" s="1"/>
  <c r="VQ1537" i="10" a="1"/>
  <c r="VQ1537" i="10" s="1"/>
  <c r="VP1537" i="10" a="1"/>
  <c r="VP1537" i="10" s="1"/>
  <c r="VO1537" i="10" a="1"/>
  <c r="VO1537" i="10" s="1"/>
  <c r="VN1537" i="10" a="1"/>
  <c r="VN1537" i="10" s="1"/>
  <c r="VM1537" i="10" a="1"/>
  <c r="VM1537" i="10" s="1"/>
  <c r="VL1537" i="10" a="1"/>
  <c r="VL1537" i="10" s="1"/>
  <c r="VK1537" i="10" a="1"/>
  <c r="VK1537" i="10" s="1"/>
  <c r="VJ1537" i="10" a="1"/>
  <c r="VJ1537" i="10" s="1"/>
  <c r="VI1537" i="10" a="1"/>
  <c r="VI1537" i="10" s="1"/>
  <c r="VH1537" i="10" a="1"/>
  <c r="VH1537" i="10" s="1"/>
  <c r="VG1537" i="10" a="1"/>
  <c r="VG1537" i="10" s="1"/>
  <c r="VF1537" i="10" a="1"/>
  <c r="VF1537" i="10" s="1"/>
  <c r="VE1537" i="10" a="1"/>
  <c r="VE1537" i="10" s="1"/>
  <c r="VD1537" i="10" a="1"/>
  <c r="VD1537" i="10" s="1"/>
  <c r="VC1537" i="10" a="1"/>
  <c r="VC1537" i="10" s="1"/>
  <c r="VB1537" i="10" a="1"/>
  <c r="VB1537" i="10" s="1"/>
  <c r="VA1537" i="10" a="1"/>
  <c r="VA1537" i="10" s="1"/>
  <c r="UZ1537" i="10" a="1"/>
  <c r="UZ1537" i="10" s="1"/>
  <c r="UY1537" i="10" a="1"/>
  <c r="UY1537" i="10" s="1"/>
  <c r="UX1537" i="10" a="1"/>
  <c r="UX1537" i="10" s="1"/>
  <c r="UW1537" i="10" a="1"/>
  <c r="UW1537" i="10" s="1"/>
  <c r="UV1537" i="10" a="1"/>
  <c r="UV1537" i="10" s="1"/>
  <c r="UU1537" i="10" a="1"/>
  <c r="UU1537" i="10" s="1"/>
  <c r="UT1537" i="10" a="1"/>
  <c r="UT1537" i="10" s="1"/>
  <c r="US1537" i="10" a="1"/>
  <c r="US1537" i="10" s="1"/>
  <c r="UR1537" i="10" a="1"/>
  <c r="UR1537" i="10" s="1"/>
  <c r="UQ1537" i="10" a="1"/>
  <c r="UQ1537" i="10" s="1"/>
  <c r="UP1537" i="10" a="1"/>
  <c r="UP1537" i="10" s="1"/>
  <c r="UO1537" i="10" a="1"/>
  <c r="UO1537" i="10" s="1"/>
  <c r="UN1537" i="10" a="1"/>
  <c r="UN1537" i="10" s="1"/>
  <c r="UM1537" i="10" a="1"/>
  <c r="UM1537" i="10" s="1"/>
  <c r="UL1537" i="10" a="1"/>
  <c r="UL1537" i="10" s="1"/>
  <c r="UK1537" i="10" a="1"/>
  <c r="UK1537" i="10" s="1"/>
  <c r="UJ1537" i="10" a="1"/>
  <c r="UJ1537" i="10" s="1"/>
  <c r="UI1537" i="10" a="1"/>
  <c r="UI1537" i="10" s="1"/>
  <c r="UH1537" i="10" a="1"/>
  <c r="UH1537" i="10" s="1"/>
  <c r="UG1537" i="10" a="1"/>
  <c r="UG1537" i="10" s="1"/>
  <c r="UF1537" i="10" a="1"/>
  <c r="UF1537" i="10" s="1"/>
  <c r="UE1537" i="10" a="1"/>
  <c r="UE1537" i="10" s="1"/>
  <c r="UD1537" i="10" a="1"/>
  <c r="UD1537" i="10" s="1"/>
  <c r="UC1537" i="10" a="1"/>
  <c r="UC1537" i="10" s="1"/>
  <c r="UB1537" i="10" a="1"/>
  <c r="UB1537" i="10" s="1"/>
  <c r="UA1537" i="10" a="1"/>
  <c r="UA1537" i="10" s="1"/>
  <c r="TZ1537" i="10" a="1"/>
  <c r="TZ1537" i="10" s="1"/>
  <c r="TY1537" i="10" a="1"/>
  <c r="TY1537" i="10" s="1"/>
  <c r="TX1537" i="10" a="1"/>
  <c r="TX1537" i="10" s="1"/>
  <c r="TW1537" i="10" a="1"/>
  <c r="TW1537" i="10" s="1"/>
  <c r="TV1537" i="10" a="1"/>
  <c r="TV1537" i="10" s="1"/>
  <c r="TU1537" i="10" a="1"/>
  <c r="TU1537" i="10" s="1"/>
  <c r="TT1537" i="10" a="1"/>
  <c r="TT1537" i="10" s="1"/>
  <c r="TS1537" i="10" a="1"/>
  <c r="TS1537" i="10" s="1"/>
  <c r="TR1537" i="10" a="1"/>
  <c r="TR1537" i="10" s="1"/>
  <c r="TQ1537" i="10" a="1"/>
  <c r="TQ1537" i="10" s="1"/>
  <c r="TP1537" i="10" a="1"/>
  <c r="TP1537" i="10" s="1"/>
  <c r="TO1537" i="10" a="1"/>
  <c r="TO1537" i="10" s="1"/>
  <c r="TN1537" i="10" a="1"/>
  <c r="TN1537" i="10" s="1"/>
  <c r="TM1537" i="10" a="1"/>
  <c r="TM1537" i="10" s="1"/>
  <c r="TL1537" i="10" a="1"/>
  <c r="TL1537" i="10" s="1"/>
  <c r="TK1537" i="10" a="1"/>
  <c r="TK1537" i="10" s="1"/>
  <c r="TJ1537" i="10" a="1"/>
  <c r="TJ1537" i="10" s="1"/>
  <c r="TI1537" i="10" a="1"/>
  <c r="TI1537" i="10" s="1"/>
  <c r="TH1537" i="10" a="1"/>
  <c r="TH1537" i="10" s="1"/>
  <c r="TG1537" i="10" a="1"/>
  <c r="TG1537" i="10" s="1"/>
  <c r="TF1537" i="10" a="1"/>
  <c r="TF1537" i="10" s="1"/>
  <c r="TE1537" i="10" a="1"/>
  <c r="TE1537" i="10" s="1"/>
  <c r="TD1537" i="10" a="1"/>
  <c r="TD1537" i="10" s="1"/>
  <c r="TC1537" i="10" a="1"/>
  <c r="TC1537" i="10" s="1"/>
  <c r="TB1537" i="10" a="1"/>
  <c r="TB1537" i="10" s="1"/>
  <c r="TA1537" i="10" a="1"/>
  <c r="TA1537" i="10" s="1"/>
  <c r="SZ1537" i="10" a="1"/>
  <c r="SZ1537" i="10" s="1"/>
  <c r="SY1537" i="10" a="1"/>
  <c r="SY1537" i="10" s="1"/>
  <c r="SX1537" i="10" a="1"/>
  <c r="SX1537" i="10" s="1"/>
  <c r="SW1537" i="10" a="1"/>
  <c r="SW1537" i="10" s="1"/>
  <c r="SV1537" i="10" a="1"/>
  <c r="SV1537" i="10" s="1"/>
  <c r="SU1537" i="10" a="1"/>
  <c r="SU1537" i="10" s="1"/>
  <c r="ST1537" i="10" a="1"/>
  <c r="ST1537" i="10" s="1"/>
  <c r="SS1537" i="10" a="1"/>
  <c r="SS1537" i="10" s="1"/>
  <c r="SR1537" i="10" a="1"/>
  <c r="SR1537" i="10" s="1"/>
  <c r="SQ1537" i="10" a="1"/>
  <c r="SQ1537" i="10" s="1"/>
  <c r="SP1537" i="10" a="1"/>
  <c r="SP1537" i="10" s="1"/>
  <c r="SO1537" i="10" a="1"/>
  <c r="SO1537" i="10" s="1"/>
  <c r="SN1537" i="10" a="1"/>
  <c r="SN1537" i="10" s="1"/>
  <c r="SM1537" i="10" a="1"/>
  <c r="SM1537" i="10" s="1"/>
  <c r="SL1537" i="10" a="1"/>
  <c r="SL1537" i="10" s="1"/>
  <c r="SK1537" i="10" a="1"/>
  <c r="SK1537" i="10" s="1"/>
  <c r="SJ1537" i="10" a="1"/>
  <c r="SJ1537" i="10" s="1"/>
  <c r="SI1537" i="10" a="1"/>
  <c r="SI1537" i="10" s="1"/>
  <c r="SH1537" i="10" a="1"/>
  <c r="SH1537" i="10" s="1"/>
  <c r="SG1537" i="10" a="1"/>
  <c r="SG1537" i="10" s="1"/>
  <c r="SF1537" i="10" a="1"/>
  <c r="SF1537" i="10" s="1"/>
  <c r="SE1537" i="10" a="1"/>
  <c r="SE1537" i="10" s="1"/>
  <c r="SD1537" i="10" a="1"/>
  <c r="SD1537" i="10" s="1"/>
  <c r="SC1537" i="10" a="1"/>
  <c r="SC1537" i="10" s="1"/>
  <c r="SB1537" i="10" a="1"/>
  <c r="SB1537" i="10" s="1"/>
  <c r="SA1537" i="10" a="1"/>
  <c r="SA1537" i="10" s="1"/>
  <c r="RZ1537" i="10" a="1"/>
  <c r="RZ1537" i="10" s="1"/>
  <c r="RY1537" i="10" a="1"/>
  <c r="RY1537" i="10" s="1"/>
  <c r="RX1537" i="10" a="1"/>
  <c r="RX1537" i="10" s="1"/>
  <c r="RW1537" i="10" a="1"/>
  <c r="RW1537" i="10" s="1"/>
  <c r="RV1537" i="10" a="1"/>
  <c r="RV1537" i="10" s="1"/>
  <c r="RU1537" i="10" a="1"/>
  <c r="RU1537" i="10" s="1"/>
  <c r="RT1537" i="10" a="1"/>
  <c r="RT1537" i="10" s="1"/>
  <c r="RS1537" i="10" a="1"/>
  <c r="RS1537" i="10" s="1"/>
  <c r="RR1537" i="10" a="1"/>
  <c r="RR1537" i="10" s="1"/>
  <c r="RQ1537" i="10" a="1"/>
  <c r="RQ1537" i="10" s="1"/>
  <c r="RP1537" i="10" a="1"/>
  <c r="RP1537" i="10" s="1"/>
  <c r="RO1537" i="10" a="1"/>
  <c r="RO1537" i="10" s="1"/>
  <c r="RN1537" i="10" a="1"/>
  <c r="RN1537" i="10" s="1"/>
  <c r="RM1537" i="10" a="1"/>
  <c r="RM1537" i="10" s="1"/>
  <c r="RL1537" i="10" a="1"/>
  <c r="RL1537" i="10" s="1"/>
  <c r="RK1537" i="10" a="1"/>
  <c r="RK1537" i="10" s="1"/>
  <c r="RJ1537" i="10" a="1"/>
  <c r="RJ1537" i="10" s="1"/>
  <c r="RI1537" i="10" a="1"/>
  <c r="RI1537" i="10" s="1"/>
  <c r="RH1537" i="10" a="1"/>
  <c r="RH1537" i="10" s="1"/>
  <c r="RG1537" i="10" a="1"/>
  <c r="RG1537" i="10" s="1"/>
  <c r="RF1537" i="10" a="1"/>
  <c r="RF1537" i="10" s="1"/>
  <c r="RE1537" i="10" a="1"/>
  <c r="RE1537" i="10" s="1"/>
  <c r="RD1537" i="10" a="1"/>
  <c r="RD1537" i="10" s="1"/>
  <c r="RC1537" i="10" a="1"/>
  <c r="RC1537" i="10" s="1"/>
  <c r="RB1537" i="10" a="1"/>
  <c r="RB1537" i="10" s="1"/>
  <c r="RA1537" i="10" a="1"/>
  <c r="RA1537" i="10" s="1"/>
  <c r="QZ1537" i="10" a="1"/>
  <c r="QZ1537" i="10" s="1"/>
  <c r="QY1537" i="10" a="1"/>
  <c r="QY1537" i="10" s="1"/>
  <c r="QX1537" i="10" a="1"/>
  <c r="QX1537" i="10" s="1"/>
  <c r="QW1537" i="10" a="1"/>
  <c r="QW1537" i="10" s="1"/>
  <c r="QV1537" i="10" a="1"/>
  <c r="QV1537" i="10" s="1"/>
  <c r="QU1537" i="10" a="1"/>
  <c r="QU1537" i="10" s="1"/>
  <c r="QT1537" i="10" a="1"/>
  <c r="QT1537" i="10" s="1"/>
  <c r="QS1537" i="10" a="1"/>
  <c r="QS1537" i="10" s="1"/>
  <c r="QR1537" i="10" a="1"/>
  <c r="QR1537" i="10" s="1"/>
  <c r="QQ1537" i="10" a="1"/>
  <c r="QQ1537" i="10" s="1"/>
  <c r="QP1537" i="10" a="1"/>
  <c r="QP1537" i="10" s="1"/>
  <c r="QO1537" i="10" a="1"/>
  <c r="QO1537" i="10" s="1"/>
  <c r="QN1537" i="10" a="1"/>
  <c r="QN1537" i="10" s="1"/>
  <c r="QM1537" i="10" a="1"/>
  <c r="QM1537" i="10" s="1"/>
  <c r="QL1537" i="10" a="1"/>
  <c r="QL1537" i="10" s="1"/>
  <c r="QK1537" i="10" a="1"/>
  <c r="QK1537" i="10" s="1"/>
  <c r="QJ1537" i="10" a="1"/>
  <c r="QJ1537" i="10" s="1"/>
  <c r="QI1537" i="10" a="1"/>
  <c r="QI1537" i="10" s="1"/>
  <c r="QH1537" i="10" a="1"/>
  <c r="QH1537" i="10" s="1"/>
  <c r="QG1537" i="10" a="1"/>
  <c r="QG1537" i="10" s="1"/>
  <c r="QF1537" i="10" a="1"/>
  <c r="QF1537" i="10" s="1"/>
  <c r="QE1537" i="10" a="1"/>
  <c r="QE1537" i="10" s="1"/>
  <c r="QD1537" i="10" a="1"/>
  <c r="QD1537" i="10" s="1"/>
  <c r="QC1537" i="10" a="1"/>
  <c r="QC1537" i="10" s="1"/>
  <c r="QB1537" i="10" a="1"/>
  <c r="QB1537" i="10" s="1"/>
  <c r="QA1537" i="10" a="1"/>
  <c r="QA1537" i="10" s="1"/>
  <c r="PZ1537" i="10" a="1"/>
  <c r="PZ1537" i="10" s="1"/>
  <c r="PY1537" i="10" a="1"/>
  <c r="PY1537" i="10" s="1"/>
  <c r="PX1537" i="10" a="1"/>
  <c r="PX1537" i="10" s="1"/>
  <c r="PW1537" i="10" a="1"/>
  <c r="PW1537" i="10" s="1"/>
  <c r="PV1537" i="10" a="1"/>
  <c r="PV1537" i="10" s="1"/>
  <c r="PU1537" i="10" a="1"/>
  <c r="PU1537" i="10" s="1"/>
  <c r="PT1537" i="10" a="1"/>
  <c r="PT1537" i="10" s="1"/>
  <c r="PS1537" i="10" a="1"/>
  <c r="PS1537" i="10" s="1"/>
  <c r="PR1537" i="10" a="1"/>
  <c r="PR1537" i="10" s="1"/>
  <c r="PQ1537" i="10" a="1"/>
  <c r="PQ1537" i="10" s="1"/>
  <c r="PP1537" i="10" a="1"/>
  <c r="PP1537" i="10" s="1"/>
  <c r="PO1537" i="10" a="1"/>
  <c r="PO1537" i="10" s="1"/>
  <c r="PN1537" i="10" a="1"/>
  <c r="PN1537" i="10" s="1"/>
  <c r="PM1537" i="10" a="1"/>
  <c r="PM1537" i="10" s="1"/>
  <c r="PL1537" i="10" a="1"/>
  <c r="PL1537" i="10" s="1"/>
  <c r="PK1537" i="10" a="1"/>
  <c r="PK1537" i="10" s="1"/>
  <c r="PJ1537" i="10" a="1"/>
  <c r="PJ1537" i="10" s="1"/>
  <c r="PI1537" i="10" a="1"/>
  <c r="PI1537" i="10" s="1"/>
  <c r="PH1537" i="10" a="1"/>
  <c r="PH1537" i="10" s="1"/>
  <c r="PG1537" i="10" a="1"/>
  <c r="PG1537" i="10" s="1"/>
  <c r="PF1537" i="10" a="1"/>
  <c r="PF1537" i="10" s="1"/>
  <c r="PE1537" i="10" a="1"/>
  <c r="PE1537" i="10" s="1"/>
  <c r="PD1537" i="10" a="1"/>
  <c r="PD1537" i="10" s="1"/>
  <c r="PC1537" i="10" a="1"/>
  <c r="PC1537" i="10" s="1"/>
  <c r="PB1537" i="10" a="1"/>
  <c r="PB1537" i="10" s="1"/>
  <c r="PA1537" i="10" a="1"/>
  <c r="PA1537" i="10" s="1"/>
  <c r="OZ1537" i="10" a="1"/>
  <c r="OZ1537" i="10" s="1"/>
  <c r="OY1537" i="10" a="1"/>
  <c r="OY1537" i="10" s="1"/>
  <c r="OX1537" i="10" a="1"/>
  <c r="OX1537" i="10" s="1"/>
  <c r="OW1537" i="10" a="1"/>
  <c r="OW1537" i="10" s="1"/>
  <c r="OV1537" i="10" a="1"/>
  <c r="OV1537" i="10" s="1"/>
  <c r="OU1537" i="10" a="1"/>
  <c r="OU1537" i="10" s="1"/>
  <c r="OT1537" i="10" a="1"/>
  <c r="OT1537" i="10" s="1"/>
  <c r="OS1537" i="10" a="1"/>
  <c r="OS1537" i="10" s="1"/>
  <c r="OR1537" i="10" a="1"/>
  <c r="OR1537" i="10" s="1"/>
  <c r="OQ1537" i="10" a="1"/>
  <c r="OQ1537" i="10" s="1"/>
  <c r="OP1537" i="10" a="1"/>
  <c r="OP1537" i="10" s="1"/>
  <c r="OO1537" i="10" a="1"/>
  <c r="OO1537" i="10" s="1"/>
  <c r="ON1537" i="10" a="1"/>
  <c r="ON1537" i="10" s="1"/>
  <c r="OM1537" i="10" a="1"/>
  <c r="OM1537" i="10" s="1"/>
  <c r="OL1537" i="10" a="1"/>
  <c r="OL1537" i="10" s="1"/>
  <c r="OK1537" i="10" a="1"/>
  <c r="OK1537" i="10" s="1"/>
  <c r="OJ1537" i="10" a="1"/>
  <c r="OJ1537" i="10" s="1"/>
  <c r="OI1537" i="10" a="1"/>
  <c r="OI1537" i="10" s="1"/>
  <c r="OH1537" i="10" a="1"/>
  <c r="OH1537" i="10" s="1"/>
  <c r="OG1537" i="10" a="1"/>
  <c r="OG1537" i="10" s="1"/>
  <c r="OF1537" i="10" a="1"/>
  <c r="OF1537" i="10" s="1"/>
  <c r="OE1537" i="10" a="1"/>
  <c r="OE1537" i="10" s="1"/>
  <c r="OD1537" i="10" a="1"/>
  <c r="OD1537" i="10" s="1"/>
  <c r="OC1537" i="10" a="1"/>
  <c r="OC1537" i="10" s="1"/>
  <c r="OB1537" i="10" a="1"/>
  <c r="OB1537" i="10" s="1"/>
  <c r="OA1537" i="10" a="1"/>
  <c r="OA1537" i="10" s="1"/>
  <c r="NZ1537" i="10" a="1"/>
  <c r="NZ1537" i="10" s="1"/>
  <c r="NY1537" i="10" a="1"/>
  <c r="NY1537" i="10" s="1"/>
  <c r="NX1537" i="10" a="1"/>
  <c r="NX1537" i="10" s="1"/>
  <c r="NW1537" i="10" a="1"/>
  <c r="NW1537" i="10" s="1"/>
  <c r="NV1537" i="10" a="1"/>
  <c r="NV1537" i="10" s="1"/>
  <c r="NU1537" i="10" a="1"/>
  <c r="NU1537" i="10" s="1"/>
  <c r="NT1537" i="10" a="1"/>
  <c r="NT1537" i="10" s="1"/>
  <c r="NS1537" i="10" a="1"/>
  <c r="NS1537" i="10" s="1"/>
  <c r="NR1537" i="10" a="1"/>
  <c r="NR1537" i="10" s="1"/>
  <c r="NQ1537" i="10" a="1"/>
  <c r="NQ1537" i="10" s="1"/>
  <c r="NP1537" i="10" a="1"/>
  <c r="NP1537" i="10" s="1"/>
  <c r="NO1537" i="10" a="1"/>
  <c r="NO1537" i="10" s="1"/>
  <c r="NN1537" i="10" a="1"/>
  <c r="NN1537" i="10" s="1"/>
  <c r="NM1537" i="10" a="1"/>
  <c r="NM1537" i="10" s="1"/>
  <c r="NL1537" i="10" a="1"/>
  <c r="NL1537" i="10" s="1"/>
  <c r="NK1537" i="10" a="1"/>
  <c r="NK1537" i="10" s="1"/>
  <c r="NJ1537" i="10" a="1"/>
  <c r="NJ1537" i="10" s="1"/>
  <c r="NI1537" i="10" a="1"/>
  <c r="NI1537" i="10" s="1"/>
  <c r="NH1537" i="10" a="1"/>
  <c r="NH1537" i="10" s="1"/>
  <c r="NG1537" i="10" a="1"/>
  <c r="NG1537" i="10" s="1"/>
  <c r="NF1537" i="10" a="1"/>
  <c r="NF1537" i="10" s="1"/>
  <c r="NE1537" i="10" a="1"/>
  <c r="NE1537" i="10" s="1"/>
  <c r="ND1537" i="10" a="1"/>
  <c r="ND1537" i="10" s="1"/>
  <c r="NC1537" i="10" a="1"/>
  <c r="NC1537" i="10" s="1"/>
  <c r="NB1537" i="10" a="1"/>
  <c r="NB1537" i="10" s="1"/>
  <c r="NA1537" i="10" a="1"/>
  <c r="NA1537" i="10" s="1"/>
  <c r="MZ1537" i="10" a="1"/>
  <c r="MZ1537" i="10" s="1"/>
  <c r="MY1537" i="10" a="1"/>
  <c r="MY1537" i="10" s="1"/>
  <c r="MX1537" i="10" a="1"/>
  <c r="MX1537" i="10" s="1"/>
  <c r="MW1537" i="10" a="1"/>
  <c r="MW1537" i="10" s="1"/>
  <c r="MV1537" i="10" a="1"/>
  <c r="MV1537" i="10" s="1"/>
  <c r="MU1537" i="10" a="1"/>
  <c r="MU1537" i="10" s="1"/>
  <c r="MT1537" i="10" a="1"/>
  <c r="MT1537" i="10" s="1"/>
  <c r="MS1537" i="10" a="1"/>
  <c r="MS1537" i="10" s="1"/>
  <c r="MR1537" i="10" a="1"/>
  <c r="MR1537" i="10" s="1"/>
  <c r="MQ1537" i="10" a="1"/>
  <c r="MQ1537" i="10" s="1"/>
  <c r="MP1537" i="10" a="1"/>
  <c r="MP1537" i="10" s="1"/>
  <c r="MO1537" i="10" a="1"/>
  <c r="MO1537" i="10" s="1"/>
  <c r="MN1537" i="10" a="1"/>
  <c r="MN1537" i="10" s="1"/>
  <c r="MM1537" i="10" a="1"/>
  <c r="MM1537" i="10" s="1"/>
  <c r="ML1537" i="10" a="1"/>
  <c r="ML1537" i="10" s="1"/>
  <c r="MK1537" i="10" a="1"/>
  <c r="MK1537" i="10" s="1"/>
  <c r="MJ1537" i="10" a="1"/>
  <c r="MJ1537" i="10" s="1"/>
  <c r="MI1537" i="10" a="1"/>
  <c r="MI1537" i="10" s="1"/>
  <c r="MH1537" i="10" a="1"/>
  <c r="MH1537" i="10" s="1"/>
  <c r="MG1537" i="10" a="1"/>
  <c r="MG1537" i="10" s="1"/>
  <c r="MF1537" i="10" a="1"/>
  <c r="MF1537" i="10" s="1"/>
  <c r="ME1537" i="10" a="1"/>
  <c r="ME1537" i="10" s="1"/>
  <c r="MD1537" i="10" a="1"/>
  <c r="MD1537" i="10" s="1"/>
  <c r="MC1537" i="10" a="1"/>
  <c r="MC1537" i="10" s="1"/>
  <c r="MB1537" i="10" a="1"/>
  <c r="MB1537" i="10" s="1"/>
  <c r="MA1537" i="10" a="1"/>
  <c r="MA1537" i="10" s="1"/>
  <c r="LZ1537" i="10" a="1"/>
  <c r="LZ1537" i="10" s="1"/>
  <c r="LY1537" i="10" a="1"/>
  <c r="LY1537" i="10" s="1"/>
  <c r="LX1537" i="10" a="1"/>
  <c r="LX1537" i="10" s="1"/>
  <c r="LW1537" i="10" a="1"/>
  <c r="LW1537" i="10" s="1"/>
  <c r="LV1537" i="10" a="1"/>
  <c r="LV1537" i="10" s="1"/>
  <c r="LU1537" i="10" a="1"/>
  <c r="LU1537" i="10" s="1"/>
  <c r="LT1537" i="10" a="1"/>
  <c r="LT1537" i="10" s="1"/>
  <c r="LS1537" i="10" a="1"/>
  <c r="LS1537" i="10" s="1"/>
  <c r="LR1537" i="10" a="1"/>
  <c r="LR1537" i="10" s="1"/>
  <c r="LQ1537" i="10" a="1"/>
  <c r="LQ1537" i="10" s="1"/>
  <c r="LP1537" i="10" a="1"/>
  <c r="LP1537" i="10" s="1"/>
  <c r="LO1537" i="10" a="1"/>
  <c r="LO1537" i="10" s="1"/>
  <c r="LN1537" i="10" a="1"/>
  <c r="LN1537" i="10" s="1"/>
  <c r="LM1537" i="10" a="1"/>
  <c r="LM1537" i="10" s="1"/>
  <c r="LL1537" i="10" a="1"/>
  <c r="LL1537" i="10" s="1"/>
  <c r="LK1537" i="10" a="1"/>
  <c r="LK1537" i="10" s="1"/>
  <c r="LJ1537" i="10" a="1"/>
  <c r="LJ1537" i="10" s="1"/>
  <c r="LI1537" i="10" a="1"/>
  <c r="LI1537" i="10" s="1"/>
  <c r="LH1537" i="10" a="1"/>
  <c r="LH1537" i="10" s="1"/>
  <c r="LG1537" i="10" a="1"/>
  <c r="LG1537" i="10" s="1"/>
  <c r="LF1537" i="10" a="1"/>
  <c r="LF1537" i="10" s="1"/>
  <c r="LE1537" i="10" a="1"/>
  <c r="LE1537" i="10" s="1"/>
  <c r="LD1537" i="10" a="1"/>
  <c r="LD1537" i="10" s="1"/>
  <c r="LC1537" i="10" a="1"/>
  <c r="LC1537" i="10" s="1"/>
  <c r="LB1537" i="10" a="1"/>
  <c r="LB1537" i="10" s="1"/>
  <c r="LA1537" i="10" a="1"/>
  <c r="LA1537" i="10" s="1"/>
  <c r="KZ1537" i="10" a="1"/>
  <c r="KZ1537" i="10" s="1"/>
  <c r="KY1537" i="10" a="1"/>
  <c r="KY1537" i="10" s="1"/>
  <c r="KX1537" i="10" a="1"/>
  <c r="KX1537" i="10" s="1"/>
  <c r="KW1537" i="10" a="1"/>
  <c r="KW1537" i="10" s="1"/>
  <c r="KV1537" i="10" a="1"/>
  <c r="KV1537" i="10" s="1"/>
  <c r="KU1537" i="10" a="1"/>
  <c r="KU1537" i="10" s="1"/>
  <c r="KT1537" i="10" a="1"/>
  <c r="KT1537" i="10" s="1"/>
  <c r="KS1537" i="10" a="1"/>
  <c r="KS1537" i="10" s="1"/>
  <c r="KR1537" i="10" a="1"/>
  <c r="KR1537" i="10" s="1"/>
  <c r="KQ1537" i="10" a="1"/>
  <c r="KQ1537" i="10" s="1"/>
  <c r="KP1537" i="10" a="1"/>
  <c r="KP1537" i="10" s="1"/>
  <c r="KO1537" i="10" a="1"/>
  <c r="KO1537" i="10" s="1"/>
  <c r="KN1537" i="10" a="1"/>
  <c r="KN1537" i="10" s="1"/>
  <c r="KM1537" i="10" a="1"/>
  <c r="KM1537" i="10" s="1"/>
  <c r="KL1537" i="10" a="1"/>
  <c r="KL1537" i="10" s="1"/>
  <c r="KK1537" i="10" a="1"/>
  <c r="KK1537" i="10" s="1"/>
  <c r="KJ1537" i="10" a="1"/>
  <c r="KJ1537" i="10" s="1"/>
  <c r="KI1537" i="10" a="1"/>
  <c r="KI1537" i="10" s="1"/>
  <c r="KH1537" i="10" a="1"/>
  <c r="KH1537" i="10" s="1"/>
  <c r="KG1537" i="10" a="1"/>
  <c r="KG1537" i="10" s="1"/>
  <c r="KF1537" i="10" a="1"/>
  <c r="KF1537" i="10" s="1"/>
  <c r="KE1537" i="10" a="1"/>
  <c r="KE1537" i="10" s="1"/>
  <c r="KD1537" i="10" a="1"/>
  <c r="KD1537" i="10" s="1"/>
  <c r="KC1537" i="10" a="1"/>
  <c r="KC1537" i="10" s="1"/>
  <c r="KB1537" i="10" a="1"/>
  <c r="KB1537" i="10" s="1"/>
  <c r="KA1537" i="10" a="1"/>
  <c r="KA1537" i="10" s="1"/>
  <c r="JZ1537" i="10" a="1"/>
  <c r="JZ1537" i="10" s="1"/>
  <c r="JY1537" i="10" a="1"/>
  <c r="JY1537" i="10" s="1"/>
  <c r="JX1537" i="10" a="1"/>
  <c r="JX1537" i="10" s="1"/>
  <c r="JW1537" i="10" a="1"/>
  <c r="JW1537" i="10" s="1"/>
  <c r="JV1537" i="10" a="1"/>
  <c r="JV1537" i="10" s="1"/>
  <c r="JU1537" i="10" a="1"/>
  <c r="JU1537" i="10" s="1"/>
  <c r="JT1537" i="10" a="1"/>
  <c r="JT1537" i="10" s="1"/>
  <c r="JS1537" i="10" a="1"/>
  <c r="JS1537" i="10" s="1"/>
  <c r="JR1537" i="10" a="1"/>
  <c r="JR1537" i="10" s="1"/>
  <c r="JQ1537" i="10" a="1"/>
  <c r="JQ1537" i="10" s="1"/>
  <c r="JP1537" i="10" a="1"/>
  <c r="JP1537" i="10" s="1"/>
  <c r="JO1537" i="10" a="1"/>
  <c r="JO1537" i="10" s="1"/>
  <c r="JN1537" i="10" a="1"/>
  <c r="JN1537" i="10" s="1"/>
  <c r="JM1537" i="10" a="1"/>
  <c r="JM1537" i="10" s="1"/>
  <c r="JL1537" i="10" a="1"/>
  <c r="JL1537" i="10" s="1"/>
  <c r="JK1537" i="10" a="1"/>
  <c r="JK1537" i="10" s="1"/>
  <c r="JJ1537" i="10" a="1"/>
  <c r="JJ1537" i="10" s="1"/>
  <c r="JI1537" i="10" a="1"/>
  <c r="JI1537" i="10" s="1"/>
  <c r="JH1537" i="10" a="1"/>
  <c r="JH1537" i="10" s="1"/>
  <c r="JG1537" i="10" a="1"/>
  <c r="JG1537" i="10" s="1"/>
  <c r="JF1537" i="10" a="1"/>
  <c r="JF1537" i="10" s="1"/>
  <c r="JE1537" i="10" a="1"/>
  <c r="JE1537" i="10" s="1"/>
  <c r="JD1537" i="10" a="1"/>
  <c r="JD1537" i="10" s="1"/>
  <c r="JC1537" i="10" a="1"/>
  <c r="JC1537" i="10" s="1"/>
  <c r="JB1537" i="10" a="1"/>
  <c r="JB1537" i="10" s="1"/>
  <c r="JA1537" i="10" a="1"/>
  <c r="JA1537" i="10" s="1"/>
  <c r="IZ1537" i="10" a="1"/>
  <c r="IZ1537" i="10" s="1"/>
  <c r="IY1537" i="10" a="1"/>
  <c r="IY1537" i="10" s="1"/>
  <c r="IX1537" i="10" a="1"/>
  <c r="IX1537" i="10" s="1"/>
  <c r="IW1537" i="10" a="1"/>
  <c r="IW1537" i="10" s="1"/>
  <c r="IV1537" i="10" a="1"/>
  <c r="IV1537" i="10" s="1"/>
  <c r="IU1537" i="10" a="1"/>
  <c r="IU1537" i="10" s="1"/>
  <c r="IT1537" i="10" a="1"/>
  <c r="IT1537" i="10" s="1"/>
  <c r="IS1537" i="10" a="1"/>
  <c r="IS1537" i="10" s="1"/>
  <c r="IR1537" i="10" a="1"/>
  <c r="IR1537" i="10" s="1"/>
  <c r="IQ1537" i="10" a="1"/>
  <c r="IQ1537" i="10" s="1"/>
  <c r="IP1537" i="10" a="1"/>
  <c r="IP1537" i="10" s="1"/>
  <c r="IO1537" i="10" a="1"/>
  <c r="IO1537" i="10" s="1"/>
  <c r="IN1537" i="10" a="1"/>
  <c r="IN1537" i="10" s="1"/>
  <c r="IM1537" i="10" a="1"/>
  <c r="IM1537" i="10" s="1"/>
  <c r="IL1537" i="10" a="1"/>
  <c r="IL1537" i="10" s="1"/>
  <c r="IK1537" i="10" a="1"/>
  <c r="IK1537" i="10" s="1"/>
  <c r="IJ1537" i="10" a="1"/>
  <c r="IJ1537" i="10" s="1"/>
  <c r="II1537" i="10" a="1"/>
  <c r="II1537" i="10" s="1"/>
  <c r="IH1537" i="10" a="1"/>
  <c r="IH1537" i="10" s="1"/>
  <c r="IG1537" i="10" a="1"/>
  <c r="IG1537" i="10" s="1"/>
  <c r="IF1537" i="10" a="1"/>
  <c r="IF1537" i="10" s="1"/>
  <c r="IE1537" i="10" a="1"/>
  <c r="IE1537" i="10" s="1"/>
  <c r="ID1537" i="10" a="1"/>
  <c r="ID1537" i="10" s="1"/>
  <c r="IC1537" i="10" a="1"/>
  <c r="IC1537" i="10" s="1"/>
  <c r="IB1537" i="10" a="1"/>
  <c r="IB1537" i="10" s="1"/>
  <c r="IA1537" i="10" a="1"/>
  <c r="IA1537" i="10" s="1"/>
  <c r="HZ1537" i="10" a="1"/>
  <c r="HZ1537" i="10" s="1"/>
  <c r="HY1537" i="10" a="1"/>
  <c r="HY1537" i="10" s="1"/>
  <c r="HX1537" i="10" a="1"/>
  <c r="HX1537" i="10" s="1"/>
  <c r="HW1537" i="10" a="1"/>
  <c r="HW1537" i="10" s="1"/>
  <c r="HV1537" i="10" a="1"/>
  <c r="HV1537" i="10" s="1"/>
  <c r="HU1537" i="10" a="1"/>
  <c r="HU1537" i="10" s="1"/>
  <c r="HT1537" i="10" a="1"/>
  <c r="HT1537" i="10" s="1"/>
  <c r="HS1537" i="10" a="1"/>
  <c r="HS1537" i="10" s="1"/>
  <c r="HR1537" i="10" a="1"/>
  <c r="HR1537" i="10" s="1"/>
  <c r="HQ1537" i="10" a="1"/>
  <c r="HQ1537" i="10" s="1"/>
  <c r="HP1537" i="10" a="1"/>
  <c r="HP1537" i="10" s="1"/>
  <c r="HO1537" i="10" a="1"/>
  <c r="HO1537" i="10" s="1"/>
  <c r="HN1537" i="10" a="1"/>
  <c r="HN1537" i="10" s="1"/>
  <c r="HM1537" i="10" a="1"/>
  <c r="HM1537" i="10" s="1"/>
  <c r="HL1537" i="10" a="1"/>
  <c r="HL1537" i="10" s="1"/>
  <c r="HK1537" i="10" a="1"/>
  <c r="HK1537" i="10" s="1"/>
  <c r="HJ1537" i="10" a="1"/>
  <c r="HJ1537" i="10" s="1"/>
  <c r="HI1537" i="10" a="1"/>
  <c r="HI1537" i="10" s="1"/>
  <c r="HH1537" i="10" a="1"/>
  <c r="HH1537" i="10" s="1"/>
  <c r="HG1537" i="10" a="1"/>
  <c r="HG1537" i="10" s="1"/>
  <c r="HF1537" i="10" a="1"/>
  <c r="HF1537" i="10" s="1"/>
  <c r="HE1537" i="10" a="1"/>
  <c r="HE1537" i="10" s="1"/>
  <c r="HD1537" i="10" a="1"/>
  <c r="HD1537" i="10" s="1"/>
  <c r="HC1537" i="10" a="1"/>
  <c r="HC1537" i="10" s="1"/>
  <c r="HB1537" i="10" a="1"/>
  <c r="HB1537" i="10" s="1"/>
  <c r="HA1537" i="10" a="1"/>
  <c r="HA1537" i="10" s="1"/>
  <c r="GZ1537" i="10" a="1"/>
  <c r="GZ1537" i="10" s="1"/>
  <c r="GY1537" i="10" a="1"/>
  <c r="GY1537" i="10" s="1"/>
  <c r="GX1537" i="10" a="1"/>
  <c r="GX1537" i="10" s="1"/>
  <c r="GW1537" i="10" a="1"/>
  <c r="GW1537" i="10" s="1"/>
  <c r="GV1537" i="10" a="1"/>
  <c r="GV1537" i="10" s="1"/>
  <c r="GU1537" i="10" a="1"/>
  <c r="GU1537" i="10" s="1"/>
  <c r="GT1537" i="10" a="1"/>
  <c r="GT1537" i="10" s="1"/>
  <c r="GS1537" i="10" a="1"/>
  <c r="GS1537" i="10" s="1"/>
  <c r="GR1537" i="10" a="1"/>
  <c r="GR1537" i="10" s="1"/>
  <c r="GQ1537" i="10" a="1"/>
  <c r="GQ1537" i="10" s="1"/>
  <c r="GP1537" i="10" a="1"/>
  <c r="GP1537" i="10" s="1"/>
  <c r="GO1537" i="10" a="1"/>
  <c r="GO1537" i="10" s="1"/>
  <c r="GN1537" i="10" a="1"/>
  <c r="GN1537" i="10" s="1"/>
  <c r="GM1537" i="10" a="1"/>
  <c r="GM1537" i="10" s="1"/>
  <c r="GL1537" i="10" a="1"/>
  <c r="GL1537" i="10" s="1"/>
  <c r="GK1537" i="10" a="1"/>
  <c r="GK1537" i="10" s="1"/>
  <c r="GJ1537" i="10" a="1"/>
  <c r="GJ1537" i="10" s="1"/>
  <c r="GI1537" i="10" a="1"/>
  <c r="GI1537" i="10" s="1"/>
  <c r="GH1537" i="10" a="1"/>
  <c r="GH1537" i="10" s="1"/>
  <c r="GG1537" i="10" a="1"/>
  <c r="GG1537" i="10" s="1"/>
  <c r="GF1537" i="10" a="1"/>
  <c r="GF1537" i="10" s="1"/>
  <c r="GE1537" i="10" a="1"/>
  <c r="GE1537" i="10" s="1"/>
  <c r="GD1537" i="10" a="1"/>
  <c r="GD1537" i="10" s="1"/>
  <c r="GC1537" i="10" a="1"/>
  <c r="GC1537" i="10" s="1"/>
  <c r="GB1537" i="10" a="1"/>
  <c r="GB1537" i="10" s="1"/>
  <c r="GA1537" i="10" a="1"/>
  <c r="GA1537" i="10" s="1"/>
  <c r="FZ1537" i="10" a="1"/>
  <c r="FZ1537" i="10" s="1"/>
  <c r="FY1537" i="10" a="1"/>
  <c r="FY1537" i="10" s="1"/>
  <c r="FX1537" i="10" a="1"/>
  <c r="FX1537" i="10" s="1"/>
  <c r="FW1537" i="10" a="1"/>
  <c r="FW1537" i="10" s="1"/>
  <c r="FV1537" i="10" a="1"/>
  <c r="FV1537" i="10" s="1"/>
  <c r="FU1537" i="10" a="1"/>
  <c r="FU1537" i="10" s="1"/>
  <c r="FT1537" i="10" a="1"/>
  <c r="FT1537" i="10" s="1"/>
  <c r="FS1537" i="10" a="1"/>
  <c r="FS1537" i="10" s="1"/>
  <c r="FR1537" i="10" a="1"/>
  <c r="FR1537" i="10" s="1"/>
  <c r="FQ1537" i="10" a="1"/>
  <c r="FQ1537" i="10" s="1"/>
  <c r="FP1537" i="10" a="1"/>
  <c r="FP1537" i="10" s="1"/>
  <c r="FO1537" i="10" a="1"/>
  <c r="FO1537" i="10" s="1"/>
  <c r="FN1537" i="10" a="1"/>
  <c r="FN1537" i="10" s="1"/>
  <c r="FM1537" i="10" a="1"/>
  <c r="FM1537" i="10" s="1"/>
  <c r="FL1537" i="10" a="1"/>
  <c r="FL1537" i="10" s="1"/>
  <c r="FK1537" i="10" a="1"/>
  <c r="FK1537" i="10" s="1"/>
  <c r="FJ1537" i="10" a="1"/>
  <c r="FJ1537" i="10" s="1"/>
  <c r="FI1537" i="10" a="1"/>
  <c r="FI1537" i="10" s="1"/>
  <c r="FH1537" i="10" a="1"/>
  <c r="FH1537" i="10" s="1"/>
  <c r="FG1537" i="10" a="1"/>
  <c r="FG1537" i="10" s="1"/>
  <c r="FF1537" i="10" a="1"/>
  <c r="FF1537" i="10" s="1"/>
  <c r="FE1537" i="10" a="1"/>
  <c r="FE1537" i="10" s="1"/>
  <c r="FD1537" i="10" a="1"/>
  <c r="FD1537" i="10" s="1"/>
  <c r="FC1537" i="10" a="1"/>
  <c r="FC1537" i="10" s="1"/>
  <c r="FB1537" i="10" a="1"/>
  <c r="FB1537" i="10" s="1"/>
  <c r="FA1537" i="10" a="1"/>
  <c r="FA1537" i="10" s="1"/>
  <c r="EZ1537" i="10" a="1"/>
  <c r="EZ1537" i="10" s="1"/>
  <c r="EY1537" i="10" a="1"/>
  <c r="EY1537" i="10" s="1"/>
  <c r="EX1537" i="10" a="1"/>
  <c r="EX1537" i="10" s="1"/>
  <c r="EW1537" i="10" a="1"/>
  <c r="EW1537" i="10" s="1"/>
  <c r="EV1537" i="10" a="1"/>
  <c r="EV1537" i="10" s="1"/>
  <c r="EU1537" i="10" a="1"/>
  <c r="EU1537" i="10" s="1"/>
  <c r="ET1537" i="10" a="1"/>
  <c r="ET1537" i="10" s="1"/>
  <c r="ES1537" i="10" a="1"/>
  <c r="ES1537" i="10" s="1"/>
  <c r="ER1537" i="10" a="1"/>
  <c r="ER1537" i="10" s="1"/>
  <c r="EQ1537" i="10" a="1"/>
  <c r="EQ1537" i="10" s="1"/>
  <c r="EP1537" i="10" a="1"/>
  <c r="EP1537" i="10" s="1"/>
  <c r="EO1537" i="10" a="1"/>
  <c r="EO1537" i="10" s="1"/>
  <c r="EN1537" i="10" a="1"/>
  <c r="EN1537" i="10" s="1"/>
  <c r="EM1537" i="10" a="1"/>
  <c r="EM1537" i="10" s="1"/>
  <c r="EL1537" i="10" a="1"/>
  <c r="EL1537" i="10" s="1"/>
  <c r="EK1537" i="10" a="1"/>
  <c r="EK1537" i="10" s="1"/>
  <c r="EJ1537" i="10" a="1"/>
  <c r="EJ1537" i="10" s="1"/>
  <c r="EI1537" i="10" a="1"/>
  <c r="EI1537" i="10" s="1"/>
  <c r="EH1537" i="10" a="1"/>
  <c r="EH1537" i="10" s="1"/>
  <c r="EG1537" i="10" a="1"/>
  <c r="EG1537" i="10" s="1"/>
  <c r="EF1537" i="10" a="1"/>
  <c r="EF1537" i="10" s="1"/>
  <c r="EE1537" i="10" a="1"/>
  <c r="EE1537" i="10" s="1"/>
  <c r="ED1537" i="10" a="1"/>
  <c r="ED1537" i="10" s="1"/>
  <c r="EC1537" i="10" a="1"/>
  <c r="EC1537" i="10" s="1"/>
  <c r="EB1537" i="10" a="1"/>
  <c r="EB1537" i="10" s="1"/>
  <c r="EA1537" i="10" a="1"/>
  <c r="EA1537" i="10" s="1"/>
  <c r="DZ1537" i="10" a="1"/>
  <c r="DZ1537" i="10" s="1"/>
  <c r="DY1537" i="10" a="1"/>
  <c r="DY1537" i="10" s="1"/>
  <c r="DX1537" i="10" a="1"/>
  <c r="DX1537" i="10" s="1"/>
  <c r="DW1537" i="10" a="1"/>
  <c r="DW1537" i="10" s="1"/>
  <c r="DV1537" i="10" a="1"/>
  <c r="DV1537" i="10" s="1"/>
  <c r="DU1537" i="10" a="1"/>
  <c r="DU1537" i="10" s="1"/>
  <c r="DT1537" i="10" a="1"/>
  <c r="DT1537" i="10" s="1"/>
  <c r="DS1537" i="10" a="1"/>
  <c r="DS1537" i="10" s="1"/>
  <c r="DR1537" i="10" a="1"/>
  <c r="DR1537" i="10" s="1"/>
  <c r="DQ1537" i="10" a="1"/>
  <c r="DQ1537" i="10" s="1"/>
  <c r="DP1537" i="10" a="1"/>
  <c r="DP1537" i="10" s="1"/>
  <c r="DO1537" i="10" a="1"/>
  <c r="DO1537" i="10" s="1"/>
  <c r="DN1537" i="10" a="1"/>
  <c r="DN1537" i="10" s="1"/>
  <c r="DM1537" i="10" a="1"/>
  <c r="DM1537" i="10" s="1"/>
  <c r="DL1537" i="10" a="1"/>
  <c r="DL1537" i="10" s="1"/>
  <c r="DK1537" i="10" a="1"/>
  <c r="DK1537" i="10" s="1"/>
  <c r="DJ1537" i="10" a="1"/>
  <c r="DJ1537" i="10" s="1"/>
  <c r="DI1537" i="10" a="1"/>
  <c r="DI1537" i="10" s="1"/>
  <c r="DH1537" i="10" a="1"/>
  <c r="DH1537" i="10" s="1"/>
  <c r="DG1537" i="10" a="1"/>
  <c r="DG1537" i="10" s="1"/>
  <c r="DF1537" i="10" a="1"/>
  <c r="DF1537" i="10" s="1"/>
  <c r="DE1537" i="10" a="1"/>
  <c r="DE1537" i="10" s="1"/>
  <c r="DD1537" i="10" a="1"/>
  <c r="DD1537" i="10" s="1"/>
  <c r="DC1537" i="10" a="1"/>
  <c r="DC1537" i="10" s="1"/>
  <c r="DB1537" i="10" a="1"/>
  <c r="DB1537" i="10" s="1"/>
  <c r="DA1537" i="10" a="1"/>
  <c r="DA1537" i="10" s="1"/>
  <c r="CZ1537" i="10" a="1"/>
  <c r="CZ1537" i="10" s="1"/>
  <c r="CY1537" i="10" a="1"/>
  <c r="CY1537" i="10" s="1"/>
  <c r="CX1537" i="10" a="1"/>
  <c r="CX1537" i="10" s="1"/>
  <c r="CW1537" i="10" a="1"/>
  <c r="CW1537" i="10" s="1"/>
  <c r="CV1537" i="10" a="1"/>
  <c r="CV1537" i="10" s="1"/>
  <c r="CU1537" i="10" a="1"/>
  <c r="CU1537" i="10" s="1"/>
  <c r="CT1537" i="10" a="1"/>
  <c r="CT1537" i="10" s="1"/>
  <c r="CS1537" i="10" a="1"/>
  <c r="CS1537" i="10" s="1"/>
  <c r="CR1537" i="10" a="1"/>
  <c r="CR1537" i="10" s="1"/>
  <c r="CQ1537" i="10" a="1"/>
  <c r="CQ1537" i="10" s="1"/>
  <c r="CP1537" i="10" a="1"/>
  <c r="CP1537" i="10" s="1"/>
  <c r="CO1537" i="10" a="1"/>
  <c r="CO1537" i="10" s="1"/>
  <c r="CN1537" i="10" a="1"/>
  <c r="CN1537" i="10" s="1"/>
  <c r="CM1537" i="10" a="1"/>
  <c r="CM1537" i="10" s="1"/>
  <c r="CL1537" i="10" a="1"/>
  <c r="CL1537" i="10" s="1"/>
  <c r="CK1537" i="10" a="1"/>
  <c r="CK1537" i="10" s="1"/>
  <c r="CJ1537" i="10" a="1"/>
  <c r="CJ1537" i="10" s="1"/>
  <c r="CI1537" i="10" a="1"/>
  <c r="CI1537" i="10" s="1"/>
  <c r="CH1537" i="10" a="1"/>
  <c r="CH1537" i="10" s="1"/>
  <c r="CG1537" i="10" a="1"/>
  <c r="CG1537" i="10" s="1"/>
  <c r="CF1537" i="10" a="1"/>
  <c r="CF1537" i="10" s="1"/>
  <c r="CE1537" i="10" a="1"/>
  <c r="CE1537" i="10" s="1"/>
  <c r="CD1537" i="10" a="1"/>
  <c r="CD1537" i="10" s="1"/>
  <c r="CC1537" i="10" a="1"/>
  <c r="CC1537" i="10" s="1"/>
  <c r="CB1537" i="10" a="1"/>
  <c r="CB1537" i="10" s="1"/>
  <c r="CA1537" i="10" a="1"/>
  <c r="CA1537" i="10" s="1"/>
  <c r="BZ1537" i="10" a="1"/>
  <c r="BZ1537" i="10" s="1"/>
  <c r="BY1537" i="10" a="1"/>
  <c r="BY1537" i="10" s="1"/>
  <c r="BX1537" i="10" a="1"/>
  <c r="BX1537" i="10" s="1"/>
  <c r="BW1537" i="10" a="1"/>
  <c r="BW1537" i="10" s="1"/>
  <c r="BV1537" i="10" a="1"/>
  <c r="BV1537" i="10" s="1"/>
  <c r="BU1537" i="10" a="1"/>
  <c r="BU1537" i="10" s="1"/>
  <c r="BT1537" i="10" a="1"/>
  <c r="BT1537" i="10" s="1"/>
  <c r="BS1537" i="10" a="1"/>
  <c r="BS1537" i="10" s="1"/>
  <c r="BR1537" i="10" a="1"/>
  <c r="BR1537" i="10" s="1"/>
  <c r="BQ1537" i="10" a="1"/>
  <c r="BQ1537" i="10" s="1"/>
  <c r="BP1537" i="10" a="1"/>
  <c r="BP1537" i="10" s="1"/>
  <c r="BO1537" i="10" a="1"/>
  <c r="BO1537" i="10" s="1"/>
  <c r="BN1537" i="10" a="1"/>
  <c r="BN1537" i="10" s="1"/>
  <c r="BM1537" i="10" a="1"/>
  <c r="BM1537" i="10" s="1"/>
  <c r="BL1537" i="10" a="1"/>
  <c r="BL1537" i="10" s="1"/>
  <c r="BK1537" i="10" a="1"/>
  <c r="BK1537" i="10" s="1"/>
  <c r="BJ1537" i="10" a="1"/>
  <c r="BJ1537" i="10" s="1"/>
  <c r="BI1537" i="10" a="1"/>
  <c r="BI1537" i="10" s="1"/>
  <c r="BH1537" i="10" a="1"/>
  <c r="BH1537" i="10" s="1"/>
  <c r="BG1537" i="10" a="1"/>
  <c r="BG1537" i="10" s="1"/>
  <c r="BF1537" i="10" a="1"/>
  <c r="BF1537" i="10" s="1"/>
  <c r="BE1537" i="10" a="1"/>
  <c r="BE1537" i="10" s="1"/>
  <c r="BD1537" i="10" a="1"/>
  <c r="BD1537" i="10" s="1"/>
  <c r="BC1537" i="10" a="1"/>
  <c r="BC1537" i="10" s="1"/>
  <c r="BB1537" i="10" a="1"/>
  <c r="BB1537" i="10" s="1"/>
  <c r="BA1537" i="10" a="1"/>
  <c r="BA1537" i="10" s="1"/>
  <c r="AZ1537" i="10" a="1"/>
  <c r="AZ1537" i="10" s="1"/>
  <c r="AY1537" i="10" a="1"/>
  <c r="AY1537" i="10" s="1"/>
  <c r="AX1537" i="10" a="1"/>
  <c r="AX1537" i="10" s="1"/>
  <c r="AW1537" i="10" a="1"/>
  <c r="AW1537" i="10" s="1"/>
  <c r="AV1537" i="10" a="1"/>
  <c r="AV1537" i="10" s="1"/>
  <c r="AU1537" i="10" a="1"/>
  <c r="AU1537" i="10" s="1"/>
  <c r="AT1537" i="10" a="1"/>
  <c r="AT1537" i="10" s="1"/>
  <c r="AS1537" i="10" a="1"/>
  <c r="AS1537" i="10" s="1"/>
  <c r="AR1537" i="10" a="1"/>
  <c r="AR1537" i="10" s="1"/>
  <c r="AQ1537" i="10" a="1"/>
  <c r="AQ1537" i="10" s="1"/>
  <c r="AP1537" i="10" a="1"/>
  <c r="AP1537" i="10" s="1"/>
  <c r="AO1537" i="10" a="1"/>
  <c r="AO1537" i="10" s="1"/>
  <c r="AN1537" i="10" a="1"/>
  <c r="AN1537" i="10" s="1"/>
  <c r="AM1537" i="10" a="1"/>
  <c r="AM1537" i="10" s="1"/>
  <c r="AL1537" i="10" a="1"/>
  <c r="AL1537" i="10" s="1"/>
  <c r="Q15" i="9" s="1"/>
  <c r="AK1537" i="10" a="1"/>
  <c r="AK1537" i="10" s="1"/>
  <c r="AJ1537" i="10" a="1"/>
  <c r="AJ1537" i="10" s="1"/>
  <c r="AI1537" i="10" a="1"/>
  <c r="AI1537" i="10" s="1"/>
  <c r="AH1537" i="10" a="1"/>
  <c r="AH1537" i="10" s="1"/>
  <c r="AG1537" i="10" a="1"/>
  <c r="AG1537" i="10" s="1"/>
  <c r="AF1537" i="10" a="1"/>
  <c r="AF1537" i="10" s="1"/>
  <c r="AE1537" i="10" a="1"/>
  <c r="AE1537" i="10" s="1"/>
  <c r="AD1537" i="10" a="1"/>
  <c r="AD1537" i="10" s="1"/>
  <c r="AC1537" i="10" a="1"/>
  <c r="AC1537" i="10" s="1"/>
  <c r="AB1537" i="10" a="1"/>
  <c r="AB1537" i="10" s="1"/>
  <c r="AA1537" i="10" a="1"/>
  <c r="AA1537" i="10" s="1"/>
  <c r="Z1537" i="10" a="1"/>
  <c r="Z1537" i="10" s="1"/>
  <c r="Y1537" i="10" a="1"/>
  <c r="Y1537" i="10" s="1"/>
  <c r="X1537" i="10" a="1"/>
  <c r="X1537" i="10" s="1"/>
  <c r="W1537" i="10" a="1"/>
  <c r="W1537" i="10" s="1"/>
  <c r="V1537" i="10" a="1"/>
  <c r="V1537" i="10" s="1"/>
  <c r="U1537" i="10" a="1"/>
  <c r="U1537" i="10" s="1"/>
  <c r="T1537" i="10" a="1"/>
  <c r="T1537" i="10" s="1"/>
  <c r="S1537" i="10" a="1"/>
  <c r="S1537" i="10" s="1"/>
  <c r="R1537" i="10" a="1"/>
  <c r="R1537" i="10" s="1"/>
  <c r="Q1537" i="10" a="1"/>
  <c r="Q1537" i="10" s="1"/>
  <c r="P1537" i="10" a="1"/>
  <c r="P1537" i="10" s="1"/>
  <c r="C13" i="9"/>
  <c r="C13" i="14"/>
  <c r="C12" i="16"/>
  <c r="P12" i="16" s="1"/>
  <c r="P34" i="16" s="1"/>
  <c r="J689" i="10"/>
  <c r="J688" i="10"/>
  <c r="C688" i="10"/>
  <c r="A688" i="10"/>
  <c r="J687" i="10"/>
  <c r="C687" i="10"/>
  <c r="A687" i="10"/>
  <c r="J686" i="10"/>
  <c r="C686" i="10"/>
  <c r="A686" i="10"/>
  <c r="J685" i="10"/>
  <c r="C685" i="10"/>
  <c r="A685" i="10"/>
  <c r="J684" i="10"/>
  <c r="J683" i="10"/>
  <c r="J682" i="10"/>
  <c r="J681" i="10"/>
  <c r="J680" i="10"/>
  <c r="J679" i="10"/>
  <c r="J678" i="10"/>
  <c r="J677" i="10"/>
  <c r="J676" i="10"/>
  <c r="J675" i="10"/>
  <c r="J674" i="10"/>
  <c r="J673" i="10"/>
  <c r="M5" i="13"/>
  <c r="M5" i="14"/>
  <c r="C8" i="14" s="1" a="1"/>
  <c r="C8" i="14" s="1"/>
  <c r="M5" i="9"/>
  <c r="H24" i="16"/>
  <c r="Q16" i="16"/>
  <c r="Q38" i="16" s="1"/>
  <c r="D16" i="16"/>
  <c r="D38" i="16" s="1"/>
  <c r="U2" i="16"/>
  <c r="U24" i="16" s="1"/>
  <c r="C8" i="9" a="1"/>
  <c r="C8" i="16" a="1"/>
  <c r="C8" i="9" l="1"/>
  <c r="C8" i="16"/>
  <c r="Q15" i="14"/>
  <c r="Q19" i="14"/>
  <c r="Q23" i="14"/>
  <c r="Q27" i="14"/>
  <c r="Q31" i="14"/>
  <c r="Q16" i="14"/>
  <c r="Q20" i="14"/>
  <c r="Q24" i="14"/>
  <c r="Q28" i="14"/>
  <c r="Q32" i="14"/>
  <c r="Q17" i="14"/>
  <c r="Q21" i="14"/>
  <c r="Q25" i="14"/>
  <c r="Q29" i="14"/>
  <c r="Q33" i="14"/>
  <c r="Q18" i="14"/>
  <c r="Q22" i="14"/>
  <c r="Q26" i="14"/>
  <c r="Q30" i="14"/>
  <c r="Q34" i="14"/>
  <c r="H5" i="16"/>
  <c r="U5" i="16" s="1"/>
  <c r="U27" i="16" s="1"/>
  <c r="C6" i="16"/>
  <c r="P6" i="16" s="1"/>
  <c r="P28" i="16" s="1"/>
  <c r="H4" i="16"/>
  <c r="H8" i="16"/>
  <c r="U8" i="16" s="1"/>
  <c r="U30" i="16" s="1"/>
  <c r="H6" i="16"/>
  <c r="H28" i="16" s="1"/>
  <c r="C10" i="16"/>
  <c r="C32" i="16" s="1"/>
  <c r="E7" i="16"/>
  <c r="C34" i="16"/>
  <c r="E29" i="16" l="1"/>
  <c r="C13" i="16"/>
  <c r="P13" i="16" s="1"/>
  <c r="P35" i="16" s="1"/>
  <c r="H27" i="16"/>
  <c r="C28" i="16"/>
  <c r="R7" i="16"/>
  <c r="R29" i="16" s="1"/>
  <c r="H30" i="16"/>
  <c r="U6" i="16"/>
  <c r="U28" i="16" s="1"/>
  <c r="P10" i="16"/>
  <c r="P32" i="16" s="1"/>
  <c r="C35" i="16" l="1"/>
  <c r="H24" i="14"/>
  <c r="H24" i="13"/>
  <c r="H24" i="9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158" i="1"/>
  <c r="M309" i="1"/>
  <c r="M228" i="1"/>
  <c r="M67" i="1"/>
  <c r="M234" i="1"/>
  <c r="M11" i="1"/>
  <c r="M51" i="1"/>
  <c r="M70" i="1"/>
  <c r="M142" i="1"/>
  <c r="M191" i="1"/>
  <c r="M127" i="1"/>
  <c r="M162" i="1"/>
  <c r="M220" i="1"/>
  <c r="M213" i="1"/>
  <c r="M47" i="1"/>
  <c r="M13" i="1"/>
  <c r="M102" i="1"/>
  <c r="M297" i="1"/>
  <c r="M310" i="1"/>
  <c r="M251" i="1"/>
  <c r="M273" i="1"/>
  <c r="M91" i="1"/>
  <c r="M61" i="1"/>
  <c r="M3" i="1"/>
  <c r="M117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1" i="1"/>
  <c r="M308" i="1"/>
  <c r="M307" i="1"/>
  <c r="M312" i="1"/>
  <c r="M306" i="1"/>
  <c r="M305" i="1"/>
  <c r="M304" i="1"/>
  <c r="M303" i="1"/>
  <c r="M302" i="1"/>
  <c r="M301" i="1"/>
  <c r="M300" i="1"/>
  <c r="M299" i="1"/>
  <c r="M298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3" i="1"/>
  <c r="M232" i="1"/>
  <c r="M231" i="1"/>
  <c r="M230" i="1"/>
  <c r="M229" i="1"/>
  <c r="M227" i="1"/>
  <c r="M226" i="1"/>
  <c r="M225" i="1"/>
  <c r="M224" i="1"/>
  <c r="M223" i="1"/>
  <c r="M222" i="1"/>
  <c r="M221" i="1"/>
  <c r="M219" i="1"/>
  <c r="M218" i="1"/>
  <c r="M217" i="1"/>
  <c r="M216" i="1"/>
  <c r="M215" i="1"/>
  <c r="M214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250" i="1"/>
  <c r="M163" i="1"/>
  <c r="M161" i="1"/>
  <c r="M160" i="1"/>
  <c r="M159" i="1"/>
  <c r="M157" i="1"/>
  <c r="M156" i="1"/>
  <c r="M155" i="1"/>
  <c r="M154" i="1"/>
  <c r="M153" i="1"/>
  <c r="M152" i="1"/>
  <c r="M192" i="1"/>
  <c r="M151" i="1"/>
  <c r="M150" i="1"/>
  <c r="M149" i="1"/>
  <c r="M148" i="1"/>
  <c r="M147" i="1"/>
  <c r="M146" i="1"/>
  <c r="M145" i="1"/>
  <c r="M144" i="1"/>
  <c r="M143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6" i="1"/>
  <c r="M125" i="1"/>
  <c r="M124" i="1"/>
  <c r="M123" i="1"/>
  <c r="M122" i="1"/>
  <c r="M121" i="1"/>
  <c r="M120" i="1"/>
  <c r="M119" i="1"/>
  <c r="M118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1" i="1"/>
  <c r="M100" i="1"/>
  <c r="M99" i="1"/>
  <c r="M98" i="1"/>
  <c r="M97" i="1"/>
  <c r="M96" i="1"/>
  <c r="M95" i="1"/>
  <c r="M94" i="1"/>
  <c r="M93" i="1"/>
  <c r="M92" i="1"/>
  <c r="M90" i="1"/>
  <c r="M89" i="1"/>
  <c r="M88" i="1"/>
  <c r="M87" i="1"/>
  <c r="M86" i="1"/>
  <c r="M85" i="1"/>
  <c r="M84" i="1"/>
  <c r="M83" i="1"/>
  <c r="M82" i="1"/>
  <c r="M81" i="1"/>
  <c r="M80" i="1"/>
  <c r="M79" i="1"/>
  <c r="M41" i="1"/>
  <c r="M78" i="1"/>
  <c r="M77" i="1"/>
  <c r="M76" i="1"/>
  <c r="M75" i="1"/>
  <c r="M74" i="1"/>
  <c r="M73" i="1"/>
  <c r="M72" i="1"/>
  <c r="M71" i="1"/>
  <c r="M69" i="1"/>
  <c r="M68" i="1"/>
  <c r="M66" i="1"/>
  <c r="M65" i="1"/>
  <c r="M64" i="1"/>
  <c r="M63" i="1"/>
  <c r="M62" i="1"/>
  <c r="M60" i="1"/>
  <c r="M59" i="1"/>
  <c r="M58" i="1"/>
  <c r="M57" i="1"/>
  <c r="M56" i="1"/>
  <c r="M55" i="1"/>
  <c r="M54" i="1"/>
  <c r="M53" i="1"/>
  <c r="M52" i="1"/>
  <c r="M50" i="1"/>
  <c r="M49" i="1"/>
  <c r="M48" i="1"/>
  <c r="M46" i="1"/>
  <c r="M45" i="1"/>
  <c r="M44" i="1"/>
  <c r="M43" i="1"/>
  <c r="M42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2" i="1"/>
  <c r="M10" i="1"/>
  <c r="M9" i="1"/>
  <c r="M8" i="1"/>
  <c r="M7" i="1"/>
  <c r="M6" i="1"/>
  <c r="M5" i="1"/>
  <c r="M4" i="1"/>
  <c r="M2" i="1"/>
  <c r="D16" i="13"/>
  <c r="D38" i="13" s="1"/>
  <c r="D16" i="14"/>
  <c r="D16" i="9"/>
  <c r="J3" i="10"/>
  <c r="P1490" i="10" a="1"/>
  <c r="AD1490" i="10" s="1"/>
  <c r="C34" i="14"/>
  <c r="C32" i="14"/>
  <c r="H30" i="14"/>
  <c r="E29" i="14"/>
  <c r="H28" i="14"/>
  <c r="C28" i="14"/>
  <c r="H27" i="14"/>
  <c r="H26" i="14"/>
  <c r="H30" i="9"/>
  <c r="C32" i="9"/>
  <c r="C34" i="9"/>
  <c r="H690" i="10"/>
  <c r="R8" i="13"/>
  <c r="R9" i="13"/>
  <c r="R10" i="13"/>
  <c r="R13" i="13"/>
  <c r="C13" i="13"/>
  <c r="C35" i="13" s="1"/>
  <c r="R11" i="13"/>
  <c r="Q5" i="13"/>
  <c r="H28" i="13"/>
  <c r="C32" i="13"/>
  <c r="C34" i="13"/>
  <c r="E29" i="13"/>
  <c r="C28" i="13"/>
  <c r="H27" i="13"/>
  <c r="H26" i="13"/>
  <c r="E29" i="9"/>
  <c r="C28" i="9"/>
  <c r="H28" i="9"/>
  <c r="H27" i="9"/>
  <c r="H26" i="9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I107" i="12"/>
  <c r="K107" i="12" s="1"/>
  <c r="I106" i="12"/>
  <c r="K106" i="12" s="1"/>
  <c r="I105" i="12"/>
  <c r="K105" i="12" s="1"/>
  <c r="I104" i="12"/>
  <c r="K104" i="12" s="1"/>
  <c r="I103" i="12"/>
  <c r="K103" i="12" s="1"/>
  <c r="I102" i="12"/>
  <c r="K102" i="12" s="1"/>
  <c r="I101" i="12"/>
  <c r="K101" i="12" s="1"/>
  <c r="I100" i="12"/>
  <c r="K100" i="12" s="1"/>
  <c r="I99" i="12"/>
  <c r="K99" i="12" s="1"/>
  <c r="I98" i="12"/>
  <c r="K98" i="12" s="1"/>
  <c r="I97" i="12"/>
  <c r="K97" i="12" s="1"/>
  <c r="I96" i="12"/>
  <c r="K96" i="12" s="1"/>
  <c r="I95" i="12"/>
  <c r="K95" i="12" s="1"/>
  <c r="I94" i="12"/>
  <c r="K94" i="12" s="1"/>
  <c r="I93" i="12"/>
  <c r="K93" i="12" s="1"/>
  <c r="I92" i="12"/>
  <c r="K92" i="12" s="1"/>
  <c r="I91" i="12"/>
  <c r="K91" i="12" s="1"/>
  <c r="I90" i="12"/>
  <c r="K90" i="12" s="1"/>
  <c r="I89" i="12"/>
  <c r="K89" i="12" s="1"/>
  <c r="I88" i="12"/>
  <c r="K88" i="12" s="1"/>
  <c r="I87" i="12"/>
  <c r="K87" i="12" s="1"/>
  <c r="I86" i="12"/>
  <c r="K86" i="12" s="1"/>
  <c r="I85" i="12"/>
  <c r="K85" i="12" s="1"/>
  <c r="I84" i="12"/>
  <c r="K84" i="12" s="1"/>
  <c r="I83" i="12"/>
  <c r="K83" i="12" s="1"/>
  <c r="I82" i="12"/>
  <c r="K82" i="12" s="1"/>
  <c r="I81" i="12"/>
  <c r="K81" i="12" s="1"/>
  <c r="I80" i="12"/>
  <c r="K80" i="12" s="1"/>
  <c r="I79" i="12"/>
  <c r="K79" i="12" s="1"/>
  <c r="I78" i="12"/>
  <c r="K78" i="12" s="1"/>
  <c r="I77" i="12"/>
  <c r="K77" i="12"/>
  <c r="I76" i="12"/>
  <c r="K76" i="12" s="1"/>
  <c r="I75" i="12"/>
  <c r="K75" i="12" s="1"/>
  <c r="I74" i="12"/>
  <c r="K74" i="12" s="1"/>
  <c r="I73" i="12"/>
  <c r="K73" i="12" s="1"/>
  <c r="I72" i="12"/>
  <c r="K72" i="12" s="1"/>
  <c r="I71" i="12"/>
  <c r="K71" i="12" s="1"/>
  <c r="I70" i="12"/>
  <c r="K70" i="12" s="1"/>
  <c r="I69" i="12"/>
  <c r="K69" i="12" s="1"/>
  <c r="I68" i="12"/>
  <c r="K68" i="12" s="1"/>
  <c r="I67" i="12"/>
  <c r="K67" i="12" s="1"/>
  <c r="I66" i="12"/>
  <c r="K66" i="12" s="1"/>
  <c r="I65" i="12"/>
  <c r="K65" i="12"/>
  <c r="I64" i="12"/>
  <c r="K64" i="12" s="1"/>
  <c r="I63" i="12"/>
  <c r="K63" i="12" s="1"/>
  <c r="I62" i="12"/>
  <c r="K62" i="12" s="1"/>
  <c r="I61" i="12"/>
  <c r="K61" i="12" s="1"/>
  <c r="I60" i="12"/>
  <c r="K60" i="12" s="1"/>
  <c r="I59" i="12"/>
  <c r="K59" i="12" s="1"/>
  <c r="I58" i="12"/>
  <c r="K58" i="12" s="1"/>
  <c r="I57" i="12"/>
  <c r="K57" i="12" s="1"/>
  <c r="I56" i="12"/>
  <c r="K56" i="12" s="1"/>
  <c r="I55" i="12"/>
  <c r="K55" i="12" s="1"/>
  <c r="I54" i="12"/>
  <c r="K54" i="12" s="1"/>
  <c r="I53" i="12"/>
  <c r="K53" i="12" s="1"/>
  <c r="I52" i="12"/>
  <c r="K52" i="12" s="1"/>
  <c r="I51" i="12"/>
  <c r="K51" i="12" s="1"/>
  <c r="I50" i="12"/>
  <c r="K50" i="12" s="1"/>
  <c r="I49" i="12"/>
  <c r="K49" i="12"/>
  <c r="I48" i="12"/>
  <c r="K48" i="12" s="1"/>
  <c r="I47" i="12"/>
  <c r="K47" i="12" s="1"/>
  <c r="I46" i="12"/>
  <c r="K46" i="12" s="1"/>
  <c r="I45" i="12"/>
  <c r="K45" i="12"/>
  <c r="I44" i="12"/>
  <c r="K44" i="12" s="1"/>
  <c r="I43" i="12"/>
  <c r="K43" i="12" s="1"/>
  <c r="I42" i="12"/>
  <c r="K42" i="12" s="1"/>
  <c r="I41" i="12"/>
  <c r="K41" i="12" s="1"/>
  <c r="I40" i="12"/>
  <c r="K40" i="12" s="1"/>
  <c r="I39" i="12"/>
  <c r="K39" i="12" s="1"/>
  <c r="I38" i="12"/>
  <c r="K38" i="12" s="1"/>
  <c r="I37" i="12"/>
  <c r="K37" i="12" s="1"/>
  <c r="I36" i="12"/>
  <c r="K36" i="12" s="1"/>
  <c r="I35" i="12"/>
  <c r="K35" i="12" s="1"/>
  <c r="I34" i="12"/>
  <c r="K34" i="12" s="1"/>
  <c r="I33" i="12"/>
  <c r="K33" i="12"/>
  <c r="I32" i="12"/>
  <c r="K32" i="12" s="1"/>
  <c r="I31" i="12"/>
  <c r="K31" i="12" s="1"/>
  <c r="I30" i="12"/>
  <c r="K30" i="12" s="1"/>
  <c r="I29" i="12"/>
  <c r="K29" i="12" s="1"/>
  <c r="I28" i="12"/>
  <c r="K28" i="12" s="1"/>
  <c r="I27" i="12"/>
  <c r="K27" i="12" s="1"/>
  <c r="I26" i="12"/>
  <c r="K26" i="12" s="1"/>
  <c r="I25" i="12"/>
  <c r="K25" i="12" s="1"/>
  <c r="I24" i="12"/>
  <c r="K24" i="12" s="1"/>
  <c r="I23" i="12"/>
  <c r="R12" i="13" s="1"/>
  <c r="I22" i="12"/>
  <c r="K22" i="12" s="1"/>
  <c r="I21" i="12"/>
  <c r="K21" i="12" s="1"/>
  <c r="I20" i="12"/>
  <c r="K20" i="12" s="1"/>
  <c r="I19" i="12"/>
  <c r="K19" i="12" s="1"/>
  <c r="I18" i="12"/>
  <c r="K18" i="12" s="1"/>
  <c r="I17" i="12"/>
  <c r="K17" i="12"/>
  <c r="I16" i="12"/>
  <c r="K16" i="12" s="1"/>
  <c r="I15" i="12"/>
  <c r="K15" i="12" s="1"/>
  <c r="I14" i="12"/>
  <c r="K14" i="12" s="1"/>
  <c r="I13" i="12"/>
  <c r="K13" i="12" s="1"/>
  <c r="I12" i="12"/>
  <c r="K12" i="12" s="1"/>
  <c r="I11" i="12"/>
  <c r="K11" i="12" s="1"/>
  <c r="I10" i="12"/>
  <c r="K10" i="12" s="1"/>
  <c r="I9" i="12"/>
  <c r="K9" i="12" s="1"/>
  <c r="I8" i="12"/>
  <c r="K8" i="12" s="1"/>
  <c r="I7" i="12"/>
  <c r="K7" i="12" s="1"/>
  <c r="I6" i="12"/>
  <c r="K6" i="12" s="1"/>
  <c r="I5" i="12"/>
  <c r="K5" i="12" s="1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21" i="12"/>
  <c r="I120" i="12"/>
  <c r="I119" i="12"/>
  <c r="I118" i="12"/>
  <c r="I117" i="12"/>
  <c r="I116" i="12"/>
  <c r="I115" i="12"/>
  <c r="I114" i="12"/>
  <c r="I113" i="12"/>
  <c r="I112" i="12"/>
  <c r="I111" i="12"/>
  <c r="I110" i="12"/>
  <c r="I109" i="12"/>
  <c r="I108" i="12"/>
  <c r="J150" i="12"/>
  <c r="H150" i="12"/>
  <c r="G150" i="12"/>
  <c r="F150" i="12"/>
  <c r="E4" i="2"/>
  <c r="E28" i="2" s="1"/>
  <c r="L4" i="2"/>
  <c r="M28" i="2"/>
  <c r="E8" i="2"/>
  <c r="L7" i="2"/>
  <c r="I7" i="2"/>
  <c r="D7" i="2"/>
  <c r="L6" i="2"/>
  <c r="E6" i="2"/>
  <c r="L5" i="2"/>
  <c r="E5" i="2"/>
  <c r="G28" i="2"/>
  <c r="E27" i="2"/>
  <c r="M29" i="2" s="1"/>
  <c r="G29" i="2"/>
  <c r="K29" i="2"/>
  <c r="D38" i="9" l="1"/>
  <c r="E30" i="2"/>
  <c r="D38" i="14"/>
  <c r="S5" i="14"/>
  <c r="T10" i="14" s="1"/>
  <c r="F690" i="10"/>
  <c r="S5" i="9"/>
  <c r="K23" i="12"/>
  <c r="R14" i="13" s="1"/>
  <c r="I150" i="12"/>
  <c r="G690" i="10"/>
  <c r="QN1490" i="10"/>
  <c r="QN1513" i="10" s="1"/>
  <c r="YA1490" i="10"/>
  <c r="YA1514" i="10" s="1" a="1"/>
  <c r="BW1490" i="10"/>
  <c r="BW1491" i="10" s="1" a="1"/>
  <c r="QW1490" i="10"/>
  <c r="QW1491" i="10" s="1" a="1"/>
  <c r="YK1490" i="10"/>
  <c r="YK1514" i="10" s="1" a="1"/>
  <c r="HE1490" i="10"/>
  <c r="HE1514" i="10" s="1" a="1"/>
  <c r="C30" i="13"/>
  <c r="C30" i="14"/>
  <c r="C30" i="9"/>
  <c r="WD1490" i="10"/>
  <c r="WD1514" i="10" s="1" a="1"/>
  <c r="WD1514" i="10" s="1"/>
  <c r="BN1490" i="10"/>
  <c r="BN1513" i="10" s="1"/>
  <c r="AEO1490" i="10"/>
  <c r="OR1490" i="10"/>
  <c r="AEI1490" i="10"/>
  <c r="AEI1514" i="10" s="1" a="1"/>
  <c r="AEI1516" i="10" s="1"/>
  <c r="JK1490" i="10"/>
  <c r="JK1514" i="10" s="1" a="1"/>
  <c r="JK1516" i="10" s="1"/>
  <c r="ADC1490" i="10"/>
  <c r="ADC1513" i="10" s="1"/>
  <c r="JB1490" i="10"/>
  <c r="JB1491" i="10" s="1" a="1"/>
  <c r="AD1491" i="10" a="1"/>
  <c r="AD1513" i="10"/>
  <c r="AD1514" i="10" a="1"/>
  <c r="ADI1490" i="10"/>
  <c r="ADI1491" i="10" s="1" a="1"/>
  <c r="WM1490" i="10"/>
  <c r="WM1514" i="10" s="1" a="1"/>
  <c r="PA1490" i="10"/>
  <c r="PA1514" i="10" s="1" a="1"/>
  <c r="HN1490" i="10"/>
  <c r="HN1491" i="10" s="1" a="1"/>
  <c r="Z1490" i="10"/>
  <c r="Z1491" i="10" s="1" a="1"/>
  <c r="ABU1490" i="10"/>
  <c r="UQ1490" i="10"/>
  <c r="ND1490" i="10"/>
  <c r="FQ1490" i="10"/>
  <c r="ABM1490" i="10"/>
  <c r="UH1490" i="10"/>
  <c r="MU1490" i="10"/>
  <c r="FG1490" i="10"/>
  <c r="AFU1490" i="10"/>
  <c r="AAE1490" i="10"/>
  <c r="ST1490" i="10"/>
  <c r="LG1490" i="10"/>
  <c r="DU1490" i="10"/>
  <c r="AFO1490" i="10"/>
  <c r="ZW1490" i="10"/>
  <c r="SK1490" i="10"/>
  <c r="KX1490" i="10"/>
  <c r="DK1490" i="10"/>
  <c r="AGC1490" i="10"/>
  <c r="AEW1490" i="10"/>
  <c r="ADQ1490" i="10"/>
  <c r="ACF1490" i="10"/>
  <c r="AAO1490" i="10"/>
  <c r="YW1490" i="10"/>
  <c r="YW1513" i="10" s="1"/>
  <c r="WZ1490" i="10"/>
  <c r="VC1490" i="10"/>
  <c r="TG1490" i="10"/>
  <c r="RJ1490" i="10"/>
  <c r="PM1490" i="10"/>
  <c r="NQ1490" i="10"/>
  <c r="LS1490" i="10"/>
  <c r="JV1490" i="10"/>
  <c r="HZ1490" i="10"/>
  <c r="GC1490" i="10"/>
  <c r="EF1490" i="10"/>
  <c r="CJ1490" i="10"/>
  <c r="AM1490" i="10"/>
  <c r="AFW1490" i="10"/>
  <c r="AEQ1490" i="10"/>
  <c r="ADK1490" i="10"/>
  <c r="ABX1490" i="10"/>
  <c r="AAG1490" i="10"/>
  <c r="YN1490" i="10"/>
  <c r="WQ1490" i="10"/>
  <c r="UT1490" i="10"/>
  <c r="SX1490" i="10"/>
  <c r="RA1490" i="10"/>
  <c r="PC1490" i="10"/>
  <c r="NG1490" i="10"/>
  <c r="LJ1490" i="10"/>
  <c r="JM1490" i="10"/>
  <c r="HQ1490" i="10"/>
  <c r="HQ1514" i="10" s="1" a="1"/>
  <c r="FT1490" i="10"/>
  <c r="DW1490" i="10"/>
  <c r="CA1490" i="10"/>
  <c r="S1490" i="10"/>
  <c r="R1490" i="10"/>
  <c r="AC1490" i="10"/>
  <c r="AL1490" i="10"/>
  <c r="AU1490" i="10"/>
  <c r="BD1490" i="10"/>
  <c r="BM1490" i="10"/>
  <c r="BV1490" i="10"/>
  <c r="CE1490" i="10"/>
  <c r="CO1490" i="10"/>
  <c r="CX1490" i="10"/>
  <c r="DG1490" i="10"/>
  <c r="DP1490" i="10"/>
  <c r="DY1490" i="10"/>
  <c r="EH1490" i="10"/>
  <c r="EQ1490" i="10"/>
  <c r="FA1490" i="10"/>
  <c r="FJ1490" i="10"/>
  <c r="FS1490" i="10"/>
  <c r="GB1490" i="10"/>
  <c r="GK1490" i="10"/>
  <c r="GT1490" i="10"/>
  <c r="HC1490" i="10"/>
  <c r="HM1490" i="10"/>
  <c r="HV1490" i="10"/>
  <c r="IE1490" i="10"/>
  <c r="IN1490" i="10"/>
  <c r="IW1490" i="10"/>
  <c r="JF1490" i="10"/>
  <c r="JO1490" i="10"/>
  <c r="JY1490" i="10"/>
  <c r="KH1490" i="10"/>
  <c r="KQ1490" i="10"/>
  <c r="KZ1490" i="10"/>
  <c r="LI1490" i="10"/>
  <c r="LR1490" i="10"/>
  <c r="MA1490" i="10"/>
  <c r="MK1490" i="10"/>
  <c r="MT1490" i="10"/>
  <c r="NC1490" i="10"/>
  <c r="NL1490" i="10"/>
  <c r="NU1490" i="10"/>
  <c r="OD1490" i="10"/>
  <c r="OM1490" i="10"/>
  <c r="OW1490" i="10"/>
  <c r="PF1490" i="10"/>
  <c r="PO1490" i="10"/>
  <c r="PX1490" i="10"/>
  <c r="QG1490" i="10"/>
  <c r="QP1490" i="10"/>
  <c r="QY1490" i="10"/>
  <c r="RI1490" i="10"/>
  <c r="RR1490" i="10"/>
  <c r="SA1490" i="10"/>
  <c r="SJ1490" i="10"/>
  <c r="SS1490" i="10"/>
  <c r="TB1490" i="10"/>
  <c r="TK1490" i="10"/>
  <c r="TU1490" i="10"/>
  <c r="UD1490" i="10"/>
  <c r="UM1490" i="10"/>
  <c r="UV1490" i="10"/>
  <c r="VE1490" i="10"/>
  <c r="VN1490" i="10"/>
  <c r="VW1490" i="10"/>
  <c r="WG1490" i="10"/>
  <c r="WP1490" i="10"/>
  <c r="WY1490" i="10"/>
  <c r="XH1490" i="10"/>
  <c r="XQ1490" i="10"/>
  <c r="XZ1490" i="10"/>
  <c r="YI1490" i="10"/>
  <c r="YS1490" i="10"/>
  <c r="ZB1490" i="10"/>
  <c r="ZK1490" i="10"/>
  <c r="ZS1490" i="10"/>
  <c r="AAA1490" i="10"/>
  <c r="AAI1490" i="10"/>
  <c r="AAQ1490" i="10"/>
  <c r="AAY1490" i="10"/>
  <c r="ABG1490" i="10"/>
  <c r="ABO1490" i="10"/>
  <c r="ABW1490" i="10"/>
  <c r="ACE1490" i="10"/>
  <c r="ACM1490" i="10"/>
  <c r="ACU1490" i="10"/>
  <c r="V1490" i="10"/>
  <c r="AE1490" i="10"/>
  <c r="AN1490" i="10"/>
  <c r="AW1490" i="10"/>
  <c r="BF1490" i="10"/>
  <c r="BO1490" i="10"/>
  <c r="BY1490" i="10"/>
  <c r="CH1490" i="10"/>
  <c r="CQ1490" i="10"/>
  <c r="CZ1490" i="10"/>
  <c r="DI1490" i="10"/>
  <c r="DR1490" i="10"/>
  <c r="EA1490" i="10"/>
  <c r="EK1490" i="10"/>
  <c r="ET1490" i="10"/>
  <c r="FC1490" i="10"/>
  <c r="FL1490" i="10"/>
  <c r="FU1490" i="10"/>
  <c r="GD1490" i="10"/>
  <c r="GM1490" i="10"/>
  <c r="GW1490" i="10"/>
  <c r="HF1490" i="10"/>
  <c r="HO1490" i="10"/>
  <c r="HX1490" i="10"/>
  <c r="IG1490" i="10"/>
  <c r="IP1490" i="10"/>
  <c r="IY1490" i="10"/>
  <c r="JI1490" i="10"/>
  <c r="JR1490" i="10"/>
  <c r="KA1490" i="10"/>
  <c r="KJ1490" i="10"/>
  <c r="KS1490" i="10"/>
  <c r="LB1490" i="10"/>
  <c r="LK1490" i="10"/>
  <c r="LU1490" i="10"/>
  <c r="MD1490" i="10"/>
  <c r="MM1490" i="10"/>
  <c r="MV1490" i="10"/>
  <c r="NE1490" i="10"/>
  <c r="NN1490" i="10"/>
  <c r="NW1490" i="10"/>
  <c r="OG1490" i="10"/>
  <c r="OP1490" i="10"/>
  <c r="OY1490" i="10"/>
  <c r="PH1490" i="10"/>
  <c r="PQ1490" i="10"/>
  <c r="PZ1490" i="10"/>
  <c r="QI1490" i="10"/>
  <c r="QS1490" i="10"/>
  <c r="RB1490" i="10"/>
  <c r="RK1490" i="10"/>
  <c r="RT1490" i="10"/>
  <c r="SC1490" i="10"/>
  <c r="SL1490" i="10"/>
  <c r="SU1490" i="10"/>
  <c r="TE1490" i="10"/>
  <c r="TN1490" i="10"/>
  <c r="TW1490" i="10"/>
  <c r="UF1490" i="10"/>
  <c r="UO1490" i="10"/>
  <c r="UX1490" i="10"/>
  <c r="VG1490" i="10"/>
  <c r="VQ1490" i="10"/>
  <c r="VZ1490" i="10"/>
  <c r="WI1490" i="10"/>
  <c r="WR1490" i="10"/>
  <c r="XA1490" i="10"/>
  <c r="XJ1490" i="10"/>
  <c r="XS1490" i="10"/>
  <c r="YC1490" i="10"/>
  <c r="YL1490" i="10"/>
  <c r="YU1490" i="10"/>
  <c r="ZD1490" i="10"/>
  <c r="ZM1490" i="10"/>
  <c r="ZU1490" i="10"/>
  <c r="AAC1490" i="10"/>
  <c r="AAK1490" i="10"/>
  <c r="AAS1490" i="10"/>
  <c r="ABA1490" i="10"/>
  <c r="ABI1490" i="10"/>
  <c r="ABQ1490" i="10"/>
  <c r="ABY1490" i="10"/>
  <c r="ACG1490" i="10"/>
  <c r="ACO1490" i="10"/>
  <c r="ACW1490" i="10"/>
  <c r="Q1490" i="10"/>
  <c r="AF1490" i="10"/>
  <c r="AQ1490" i="10"/>
  <c r="BC1490" i="10"/>
  <c r="BQ1490" i="10"/>
  <c r="CB1490" i="10"/>
  <c r="CM1490" i="10"/>
  <c r="DA1490" i="10"/>
  <c r="DA1513" i="10" s="1"/>
  <c r="DM1490" i="10"/>
  <c r="DX1490" i="10"/>
  <c r="EL1490" i="10"/>
  <c r="EW1490" i="10"/>
  <c r="FI1490" i="10"/>
  <c r="FV1490" i="10"/>
  <c r="GH1490" i="10"/>
  <c r="GS1490" i="10"/>
  <c r="HG1490" i="10"/>
  <c r="HR1490" i="10"/>
  <c r="ID1490" i="10"/>
  <c r="IQ1490" i="10"/>
  <c r="JC1490" i="10"/>
  <c r="JN1490" i="10"/>
  <c r="KB1490" i="10"/>
  <c r="KM1490" i="10"/>
  <c r="KY1490" i="10"/>
  <c r="LM1490" i="10"/>
  <c r="LX1490" i="10"/>
  <c r="MI1490" i="10"/>
  <c r="MW1490" i="10"/>
  <c r="NI1490" i="10"/>
  <c r="NT1490" i="10"/>
  <c r="OH1490" i="10"/>
  <c r="OS1490" i="10"/>
  <c r="PE1490" i="10"/>
  <c r="PR1490" i="10"/>
  <c r="QD1490" i="10"/>
  <c r="QO1490" i="10"/>
  <c r="RC1490" i="10"/>
  <c r="RN1490" i="10"/>
  <c r="RZ1490" i="10"/>
  <c r="SM1490" i="10"/>
  <c r="SY1490" i="10"/>
  <c r="TJ1490" i="10"/>
  <c r="TX1490" i="10"/>
  <c r="UI1490" i="10"/>
  <c r="UU1490" i="10"/>
  <c r="VI1490" i="10"/>
  <c r="VT1490" i="10"/>
  <c r="WE1490" i="10"/>
  <c r="WS1490" i="10"/>
  <c r="XE1490" i="10"/>
  <c r="XP1490" i="10"/>
  <c r="YD1490" i="10"/>
  <c r="YO1490" i="10"/>
  <c r="ZA1490" i="10"/>
  <c r="ZN1490" i="10"/>
  <c r="ZX1490" i="10"/>
  <c r="AAH1490" i="10"/>
  <c r="AAT1490" i="10"/>
  <c r="ABD1490" i="10"/>
  <c r="ABN1490" i="10"/>
  <c r="ABZ1490" i="10"/>
  <c r="ACJ1490" i="10"/>
  <c r="ACT1490" i="10"/>
  <c r="ADD1490" i="10"/>
  <c r="ADL1490" i="10"/>
  <c r="ADT1490" i="10"/>
  <c r="AEB1490" i="10"/>
  <c r="AEJ1490" i="10"/>
  <c r="AER1490" i="10"/>
  <c r="AEZ1490" i="10"/>
  <c r="AFH1490" i="10"/>
  <c r="AFP1490" i="10"/>
  <c r="AFX1490" i="10"/>
  <c r="AGF1490" i="10"/>
  <c r="AGN1490" i="10"/>
  <c r="T1490" i="10"/>
  <c r="AG1490" i="10"/>
  <c r="AS1490" i="10"/>
  <c r="BE1490" i="10"/>
  <c r="BR1490" i="10"/>
  <c r="CC1490" i="10"/>
  <c r="CP1490" i="10"/>
  <c r="DB1490" i="10"/>
  <c r="DN1490" i="10"/>
  <c r="DZ1490" i="10"/>
  <c r="EM1490" i="10"/>
  <c r="EX1490" i="10"/>
  <c r="FK1490" i="10"/>
  <c r="FW1490" i="10"/>
  <c r="GI1490" i="10"/>
  <c r="GU1490" i="10"/>
  <c r="HH1490" i="10"/>
  <c r="HS1490" i="10"/>
  <c r="IF1490" i="10"/>
  <c r="IS1490" i="10"/>
  <c r="JD1490" i="10"/>
  <c r="JQ1490" i="10"/>
  <c r="KC1490" i="10"/>
  <c r="KO1490" i="10"/>
  <c r="LA1490" i="10"/>
  <c r="LN1490" i="10"/>
  <c r="LY1490" i="10"/>
  <c r="ML1490" i="10"/>
  <c r="MX1490" i="10"/>
  <c r="NJ1490" i="10"/>
  <c r="NV1490" i="10"/>
  <c r="OI1490" i="10"/>
  <c r="OT1490" i="10"/>
  <c r="PG1490" i="10"/>
  <c r="PS1490" i="10"/>
  <c r="QE1490" i="10"/>
  <c r="QQ1490" i="10"/>
  <c r="RD1490" i="10"/>
  <c r="RO1490" i="10"/>
  <c r="SB1490" i="10"/>
  <c r="SO1490" i="10"/>
  <c r="SZ1490" i="10"/>
  <c r="TM1490" i="10"/>
  <c r="TY1490" i="10"/>
  <c r="UK1490" i="10"/>
  <c r="UW1490" i="10"/>
  <c r="VJ1490" i="10"/>
  <c r="VU1490" i="10"/>
  <c r="WH1490" i="10"/>
  <c r="WT1490" i="10"/>
  <c r="XF1490" i="10"/>
  <c r="XR1490" i="10"/>
  <c r="YE1490" i="10"/>
  <c r="YP1490" i="10"/>
  <c r="ZC1490" i="10"/>
  <c r="ZO1490" i="10"/>
  <c r="ZY1490" i="10"/>
  <c r="AAJ1490" i="10"/>
  <c r="AAU1490" i="10"/>
  <c r="AAU1513" i="10" s="1"/>
  <c r="ABE1490" i="10"/>
  <c r="ABP1490" i="10"/>
  <c r="ACA1490" i="10"/>
  <c r="ACA1513" i="10" s="1"/>
  <c r="ACK1490" i="10"/>
  <c r="ACV1490" i="10"/>
  <c r="ADE1490" i="10"/>
  <c r="ADM1490" i="10"/>
  <c r="ADU1490" i="10"/>
  <c r="AEC1490" i="10"/>
  <c r="AEK1490" i="10"/>
  <c r="AES1490" i="10"/>
  <c r="AFA1490" i="10"/>
  <c r="AFI1490" i="10"/>
  <c r="AFQ1490" i="10"/>
  <c r="AFY1490" i="10"/>
  <c r="AGG1490" i="10"/>
  <c r="W1490" i="10"/>
  <c r="AH1490" i="10"/>
  <c r="AT1490" i="10"/>
  <c r="BG1490" i="10"/>
  <c r="BS1490" i="10"/>
  <c r="CD1490" i="10"/>
  <c r="CR1490" i="10"/>
  <c r="DC1490" i="10"/>
  <c r="DO1490" i="10"/>
  <c r="EC1490" i="10"/>
  <c r="EN1490" i="10"/>
  <c r="EY1490" i="10"/>
  <c r="FM1490" i="10"/>
  <c r="FM1491" i="10" s="1" a="1"/>
  <c r="FY1490" i="10"/>
  <c r="GJ1490" i="10"/>
  <c r="GX1490" i="10"/>
  <c r="HI1490" i="10"/>
  <c r="HU1490" i="10"/>
  <c r="IH1490" i="10"/>
  <c r="IT1490" i="10"/>
  <c r="JE1490" i="10"/>
  <c r="JS1490" i="10"/>
  <c r="KD1490" i="10"/>
  <c r="KP1490" i="10"/>
  <c r="LC1490" i="10"/>
  <c r="LO1490" i="10"/>
  <c r="LZ1490" i="10"/>
  <c r="MN1490" i="10"/>
  <c r="MY1490" i="10"/>
  <c r="NK1490" i="10"/>
  <c r="NY1490" i="10"/>
  <c r="OJ1490" i="10"/>
  <c r="OU1490" i="10"/>
  <c r="PI1490" i="10"/>
  <c r="PU1490" i="10"/>
  <c r="QF1490" i="10"/>
  <c r="QT1490" i="10"/>
  <c r="RE1490" i="10"/>
  <c r="RQ1490" i="10"/>
  <c r="SD1490" i="10"/>
  <c r="SP1490" i="10"/>
  <c r="TA1490" i="10"/>
  <c r="TO1490" i="10"/>
  <c r="TZ1490" i="10"/>
  <c r="UL1490" i="10"/>
  <c r="UY1490" i="10"/>
  <c r="VK1490" i="10"/>
  <c r="VV1490" i="10"/>
  <c r="WJ1490" i="10"/>
  <c r="WU1490" i="10"/>
  <c r="XG1490" i="10"/>
  <c r="XU1490" i="10"/>
  <c r="YF1490" i="10"/>
  <c r="YQ1490" i="10"/>
  <c r="ZE1490" i="10"/>
  <c r="ZP1490" i="10"/>
  <c r="ZZ1490" i="10"/>
  <c r="AAL1490" i="10"/>
  <c r="AAV1490" i="10"/>
  <c r="ABF1490" i="10"/>
  <c r="ABR1490" i="10"/>
  <c r="ACB1490" i="10"/>
  <c r="ACL1490" i="10"/>
  <c r="ACX1490" i="10"/>
  <c r="ADF1490" i="10"/>
  <c r="ADN1490" i="10"/>
  <c r="ADV1490" i="10"/>
  <c r="AED1490" i="10"/>
  <c r="AEL1490" i="10"/>
  <c r="AET1490" i="10"/>
  <c r="AFB1490" i="10"/>
  <c r="AFJ1490" i="10"/>
  <c r="AFR1490" i="10"/>
  <c r="AFZ1490" i="10"/>
  <c r="AGH1490" i="10"/>
  <c r="X1490" i="10"/>
  <c r="AI1490" i="10"/>
  <c r="AV1490" i="10"/>
  <c r="BI1490" i="10"/>
  <c r="BT1490" i="10"/>
  <c r="CG1490" i="10"/>
  <c r="CS1490" i="10"/>
  <c r="CS1514" i="10" s="1" a="1"/>
  <c r="DE1490" i="10"/>
  <c r="DQ1490" i="10"/>
  <c r="ED1490" i="10"/>
  <c r="EO1490" i="10"/>
  <c r="FB1490" i="10"/>
  <c r="FN1490" i="10"/>
  <c r="FZ1490" i="10"/>
  <c r="GL1490" i="10"/>
  <c r="GY1490" i="10"/>
  <c r="HJ1490" i="10"/>
  <c r="HW1490" i="10"/>
  <c r="II1490" i="10"/>
  <c r="IU1490" i="10"/>
  <c r="JG1490" i="10"/>
  <c r="JT1490" i="10"/>
  <c r="KE1490" i="10"/>
  <c r="KR1490" i="10"/>
  <c r="LE1490" i="10"/>
  <c r="LP1490" i="10"/>
  <c r="MC1490" i="10"/>
  <c r="MO1490" i="10"/>
  <c r="NA1490" i="10"/>
  <c r="NM1490" i="10"/>
  <c r="NZ1490" i="10"/>
  <c r="OK1490" i="10"/>
  <c r="OX1490" i="10"/>
  <c r="PJ1490" i="10"/>
  <c r="PV1490" i="10"/>
  <c r="QH1490" i="10"/>
  <c r="QU1490" i="10"/>
  <c r="RF1490" i="10"/>
  <c r="RS1490" i="10"/>
  <c r="SE1490" i="10"/>
  <c r="SQ1490" i="10"/>
  <c r="TC1490" i="10"/>
  <c r="TP1490" i="10"/>
  <c r="UA1490" i="10"/>
  <c r="UN1490" i="10"/>
  <c r="VA1490" i="10"/>
  <c r="VL1490" i="10"/>
  <c r="VY1490" i="10"/>
  <c r="WK1490" i="10"/>
  <c r="WW1490" i="10"/>
  <c r="XI1490" i="10"/>
  <c r="XV1490" i="10"/>
  <c r="YG1490" i="10"/>
  <c r="YT1490" i="10"/>
  <c r="ZF1490" i="10"/>
  <c r="ZF1513" i="10" s="1"/>
  <c r="ZQ1490" i="10"/>
  <c r="AAB1490" i="10"/>
  <c r="AAM1490" i="10"/>
  <c r="AAM1513" i="10" s="1"/>
  <c r="AAW1490" i="10"/>
  <c r="ABH1490" i="10"/>
  <c r="ABS1490" i="10"/>
  <c r="ABS1513" i="10" s="1"/>
  <c r="ACC1490" i="10"/>
  <c r="ACN1490" i="10"/>
  <c r="ACY1490" i="10"/>
  <c r="ACY1513" i="10" s="1"/>
  <c r="ADG1490" i="10"/>
  <c r="ADG1513" i="10" s="1"/>
  <c r="ADO1490" i="10"/>
  <c r="ADO1513" i="10" s="1"/>
  <c r="ADW1490" i="10"/>
  <c r="ADW1513" i="10" s="1"/>
  <c r="AEE1490" i="10"/>
  <c r="AEE1513" i="10" s="1"/>
  <c r="AEM1490" i="10"/>
  <c r="AEM1513" i="10" s="1"/>
  <c r="AEU1490" i="10"/>
  <c r="AFC1490" i="10"/>
  <c r="AFK1490" i="10"/>
  <c r="AFK1513" i="10" s="1"/>
  <c r="AFS1490" i="10"/>
  <c r="AFS1513" i="10" s="1"/>
  <c r="AGA1490" i="10"/>
  <c r="AGA1513" i="10" s="1"/>
  <c r="AGI1490" i="10"/>
  <c r="AGI1513" i="10" s="1"/>
  <c r="Y1490" i="10"/>
  <c r="AK1490" i="10"/>
  <c r="AX1490" i="10"/>
  <c r="BJ1490" i="10"/>
  <c r="BU1490" i="10"/>
  <c r="CI1490" i="10"/>
  <c r="CT1490" i="10"/>
  <c r="DF1490" i="10"/>
  <c r="DS1490" i="10"/>
  <c r="EE1490" i="10"/>
  <c r="EP1490" i="10"/>
  <c r="FD1490" i="10"/>
  <c r="FO1490" i="10"/>
  <c r="GA1490" i="10"/>
  <c r="GO1490" i="10"/>
  <c r="GZ1490" i="10"/>
  <c r="HK1490" i="10"/>
  <c r="HY1490" i="10"/>
  <c r="IK1490" i="10"/>
  <c r="IV1490" i="10"/>
  <c r="JJ1490" i="10"/>
  <c r="JU1490" i="10"/>
  <c r="KG1490" i="10"/>
  <c r="KT1490" i="10"/>
  <c r="LF1490" i="10"/>
  <c r="LQ1490" i="10"/>
  <c r="ME1490" i="10"/>
  <c r="MP1490" i="10"/>
  <c r="NB1490" i="10"/>
  <c r="NO1490" i="10"/>
  <c r="OA1490" i="10"/>
  <c r="OL1490" i="10"/>
  <c r="OZ1490" i="10"/>
  <c r="PK1490" i="10"/>
  <c r="PW1490" i="10"/>
  <c r="QK1490" i="10"/>
  <c r="QV1490" i="10"/>
  <c r="RG1490" i="10"/>
  <c r="RU1490" i="10"/>
  <c r="SG1490" i="10"/>
  <c r="SR1490" i="10"/>
  <c r="TF1490" i="10"/>
  <c r="TQ1490" i="10"/>
  <c r="UC1490" i="10"/>
  <c r="UP1490" i="10"/>
  <c r="VB1490" i="10"/>
  <c r="VM1490" i="10"/>
  <c r="WA1490" i="10"/>
  <c r="WL1490" i="10"/>
  <c r="WX1490" i="10"/>
  <c r="XK1490" i="10"/>
  <c r="XW1490" i="10"/>
  <c r="YH1490" i="10"/>
  <c r="YV1490" i="10"/>
  <c r="ZG1490" i="10"/>
  <c r="ZR1490" i="10"/>
  <c r="AAD1490" i="10"/>
  <c r="AAN1490" i="10"/>
  <c r="AAX1490" i="10"/>
  <c r="ABJ1490" i="10"/>
  <c r="ABT1490" i="10"/>
  <c r="ACD1490" i="10"/>
  <c r="ACP1490" i="10"/>
  <c r="ACZ1490" i="10"/>
  <c r="ADH1490" i="10"/>
  <c r="ADP1490" i="10"/>
  <c r="ADX1490" i="10"/>
  <c r="AEF1490" i="10"/>
  <c r="AEN1490" i="10"/>
  <c r="AEV1490" i="10"/>
  <c r="AFD1490" i="10"/>
  <c r="AFL1490" i="10"/>
  <c r="AFT1490" i="10"/>
  <c r="AGB1490" i="10"/>
  <c r="AGJ1490" i="10"/>
  <c r="U1490" i="10"/>
  <c r="AA1490" i="10"/>
  <c r="AO1490" i="10"/>
  <c r="AO1514" i="10" s="1" a="1"/>
  <c r="BA1490" i="10"/>
  <c r="BL1490" i="10"/>
  <c r="BZ1490" i="10"/>
  <c r="CK1490" i="10"/>
  <c r="CW1490" i="10"/>
  <c r="DJ1490" i="10"/>
  <c r="DV1490" i="10"/>
  <c r="EG1490" i="10"/>
  <c r="EU1490" i="10"/>
  <c r="FF1490" i="10"/>
  <c r="FR1490" i="10"/>
  <c r="GE1490" i="10"/>
  <c r="GQ1490" i="10"/>
  <c r="HB1490" i="10"/>
  <c r="HP1490" i="10"/>
  <c r="IA1490" i="10"/>
  <c r="IM1490" i="10"/>
  <c r="JA1490" i="10"/>
  <c r="JL1490" i="10"/>
  <c r="JW1490" i="10"/>
  <c r="KK1490" i="10"/>
  <c r="KW1490" i="10"/>
  <c r="LH1490" i="10"/>
  <c r="LV1490" i="10"/>
  <c r="MG1490" i="10"/>
  <c r="MS1490" i="10"/>
  <c r="NF1490" i="10"/>
  <c r="NR1490" i="10"/>
  <c r="OC1490" i="10"/>
  <c r="OQ1490" i="10"/>
  <c r="PB1490" i="10"/>
  <c r="PN1490" i="10"/>
  <c r="QA1490" i="10"/>
  <c r="QM1490" i="10"/>
  <c r="QX1490" i="10"/>
  <c r="RL1490" i="10"/>
  <c r="RW1490" i="10"/>
  <c r="SI1490" i="10"/>
  <c r="SW1490" i="10"/>
  <c r="TH1490" i="10"/>
  <c r="TS1490" i="10"/>
  <c r="UG1490" i="10"/>
  <c r="US1490" i="10"/>
  <c r="VD1490" i="10"/>
  <c r="VR1490" i="10"/>
  <c r="WC1490" i="10"/>
  <c r="WO1490" i="10"/>
  <c r="XB1490" i="10"/>
  <c r="XN1490" i="10"/>
  <c r="XY1490" i="10"/>
  <c r="YM1490" i="10"/>
  <c r="YX1490" i="10"/>
  <c r="ZJ1490" i="10"/>
  <c r="ZV1490" i="10"/>
  <c r="AAF1490" i="10"/>
  <c r="AAP1490" i="10"/>
  <c r="ABB1490" i="10"/>
  <c r="ABL1490" i="10"/>
  <c r="ABV1490" i="10"/>
  <c r="ACH1490" i="10"/>
  <c r="ACR1490" i="10"/>
  <c r="ADB1490" i="10"/>
  <c r="ADJ1490" i="10"/>
  <c r="ADR1490" i="10"/>
  <c r="ADZ1490" i="10"/>
  <c r="AEH1490" i="10"/>
  <c r="AEP1490" i="10"/>
  <c r="AEX1490" i="10"/>
  <c r="AFF1490" i="10"/>
  <c r="AFN1490" i="10"/>
  <c r="AFV1490" i="10"/>
  <c r="AGD1490" i="10"/>
  <c r="AGL1490" i="10"/>
  <c r="P1490" i="10"/>
  <c r="AFM1490" i="10"/>
  <c r="AEG1490" i="10"/>
  <c r="ADA1490" i="10"/>
  <c r="ABK1490" i="10"/>
  <c r="ABK1513" i="10" s="1"/>
  <c r="ZT1490" i="10"/>
  <c r="XX1490" i="10"/>
  <c r="WB1490" i="10"/>
  <c r="UE1490" i="10"/>
  <c r="SH1490" i="10"/>
  <c r="QL1490" i="10"/>
  <c r="OO1490" i="10"/>
  <c r="MQ1490" i="10"/>
  <c r="KU1490" i="10"/>
  <c r="IX1490" i="10"/>
  <c r="HA1490" i="10"/>
  <c r="FE1490" i="10"/>
  <c r="FE1514" i="10" s="1" a="1"/>
  <c r="DH1490" i="10"/>
  <c r="BK1490" i="10"/>
  <c r="AGM1490" i="10"/>
  <c r="AFG1490" i="10"/>
  <c r="AEA1490" i="10"/>
  <c r="ACS1490" i="10"/>
  <c r="ABC1490" i="10"/>
  <c r="ABC1513" i="10" s="1"/>
  <c r="ZL1490" i="10"/>
  <c r="XO1490" i="10"/>
  <c r="VS1490" i="10"/>
  <c r="TV1490" i="10"/>
  <c r="RY1490" i="10"/>
  <c r="QC1490" i="10"/>
  <c r="OE1490" i="10"/>
  <c r="MH1490" i="10"/>
  <c r="KL1490" i="10"/>
  <c r="IO1490" i="10"/>
  <c r="GR1490" i="10"/>
  <c r="EV1490" i="10"/>
  <c r="CY1490" i="10"/>
  <c r="BB1490" i="10"/>
  <c r="AGK1490" i="10"/>
  <c r="AFE1490" i="10"/>
  <c r="ADY1490" i="10"/>
  <c r="ACQ1490" i="10"/>
  <c r="ACQ1513" i="10" s="1"/>
  <c r="AAZ1490" i="10"/>
  <c r="ZI1490" i="10"/>
  <c r="XM1490" i="10"/>
  <c r="VO1490" i="10"/>
  <c r="TR1490" i="10"/>
  <c r="RV1490" i="10"/>
  <c r="PY1490" i="10"/>
  <c r="OB1490" i="10"/>
  <c r="MF1490" i="10"/>
  <c r="KI1490" i="10"/>
  <c r="IL1490" i="10"/>
  <c r="GP1490" i="10"/>
  <c r="ES1490" i="10"/>
  <c r="CU1490" i="10"/>
  <c r="AY1490" i="10"/>
  <c r="AGE1490" i="10"/>
  <c r="AEY1490" i="10"/>
  <c r="ADS1490" i="10"/>
  <c r="ACI1490" i="10"/>
  <c r="ACI1513" i="10" s="1"/>
  <c r="AAR1490" i="10"/>
  <c r="YY1490" i="10"/>
  <c r="XC1490" i="10"/>
  <c r="VF1490" i="10"/>
  <c r="TI1490" i="10"/>
  <c r="RM1490" i="10"/>
  <c r="PP1490" i="10"/>
  <c r="NS1490" i="10"/>
  <c r="LW1490" i="10"/>
  <c r="JZ1490" i="10"/>
  <c r="IC1490" i="10"/>
  <c r="GG1490" i="10"/>
  <c r="EI1490" i="10"/>
  <c r="CL1490" i="10"/>
  <c r="AP1490" i="10"/>
  <c r="ZH1490" i="10"/>
  <c r="YZ1490" i="10"/>
  <c r="YR1490" i="10"/>
  <c r="YJ1490" i="10"/>
  <c r="YB1490" i="10"/>
  <c r="XT1490" i="10"/>
  <c r="XL1490" i="10"/>
  <c r="XD1490" i="10"/>
  <c r="WV1490" i="10"/>
  <c r="WN1490" i="10"/>
  <c r="WF1490" i="10"/>
  <c r="VX1490" i="10"/>
  <c r="VP1490" i="10"/>
  <c r="VH1490" i="10"/>
  <c r="UZ1490" i="10"/>
  <c r="UR1490" i="10"/>
  <c r="UJ1490" i="10"/>
  <c r="UB1490" i="10"/>
  <c r="TT1490" i="10"/>
  <c r="TL1490" i="10"/>
  <c r="TD1490" i="10"/>
  <c r="SV1490" i="10"/>
  <c r="SN1490" i="10"/>
  <c r="SF1490" i="10"/>
  <c r="RX1490" i="10"/>
  <c r="RP1490" i="10"/>
  <c r="RH1490" i="10"/>
  <c r="QZ1490" i="10"/>
  <c r="QR1490" i="10"/>
  <c r="QJ1490" i="10"/>
  <c r="QB1490" i="10"/>
  <c r="PT1490" i="10"/>
  <c r="PL1490" i="10"/>
  <c r="PD1490" i="10"/>
  <c r="OV1490" i="10"/>
  <c r="ON1490" i="10"/>
  <c r="OF1490" i="10"/>
  <c r="NX1490" i="10"/>
  <c r="NP1490" i="10"/>
  <c r="NH1490" i="10"/>
  <c r="MZ1490" i="10"/>
  <c r="MR1490" i="10"/>
  <c r="MJ1490" i="10"/>
  <c r="MB1490" i="10"/>
  <c r="LT1490" i="10"/>
  <c r="LL1490" i="10"/>
  <c r="LD1490" i="10"/>
  <c r="KV1490" i="10"/>
  <c r="KN1490" i="10"/>
  <c r="KF1490" i="10"/>
  <c r="JX1490" i="10"/>
  <c r="JP1490" i="10"/>
  <c r="JH1490" i="10"/>
  <c r="IZ1490" i="10"/>
  <c r="IR1490" i="10"/>
  <c r="IJ1490" i="10"/>
  <c r="IB1490" i="10"/>
  <c r="HT1490" i="10"/>
  <c r="HL1490" i="10"/>
  <c r="HD1490" i="10"/>
  <c r="GV1490" i="10"/>
  <c r="GN1490" i="10"/>
  <c r="GF1490" i="10"/>
  <c r="FX1490" i="10"/>
  <c r="FP1490" i="10"/>
  <c r="FH1490" i="10"/>
  <c r="EZ1490" i="10"/>
  <c r="ER1490" i="10"/>
  <c r="EJ1490" i="10"/>
  <c r="EB1490" i="10"/>
  <c r="DT1490" i="10"/>
  <c r="DL1490" i="10"/>
  <c r="DD1490" i="10"/>
  <c r="CV1490" i="10"/>
  <c r="CN1490" i="10"/>
  <c r="CF1490" i="10"/>
  <c r="BX1490" i="10"/>
  <c r="BP1490" i="10"/>
  <c r="BH1490" i="10"/>
  <c r="AZ1490" i="10"/>
  <c r="AR1490" i="10"/>
  <c r="AJ1490" i="10"/>
  <c r="AB1490" i="10"/>
  <c r="QN1514" i="10" l="1" a="1"/>
  <c r="QN1514" i="10" s="1"/>
  <c r="YK1491" i="10" a="1"/>
  <c r="YK1492" i="10" s="1"/>
  <c r="T11" i="14"/>
  <c r="T12" i="14"/>
  <c r="T13" i="14"/>
  <c r="T8" i="14"/>
  <c r="T14" i="14"/>
  <c r="T9" i="14"/>
  <c r="WD1513" i="10"/>
  <c r="S15" i="14"/>
  <c r="S15" i="9"/>
  <c r="AEI1491" i="10" a="1"/>
  <c r="AEI1497" i="10" s="1"/>
  <c r="T11" i="9"/>
  <c r="T14" i="9"/>
  <c r="QN1491" i="10" a="1"/>
  <c r="QN1495" i="10" s="1"/>
  <c r="YK1513" i="10"/>
  <c r="YA1491" i="10" a="1"/>
  <c r="YA1497" i="10" s="1"/>
  <c r="T12" i="9"/>
  <c r="E691" i="10"/>
  <c r="T8" i="9"/>
  <c r="T9" i="9"/>
  <c r="AEI1513" i="10"/>
  <c r="T10" i="9"/>
  <c r="T13" i="9"/>
  <c r="JB1514" i="10" a="1"/>
  <c r="JB1524" i="10" s="1"/>
  <c r="QW1514" i="10" a="1"/>
  <c r="QW1515" i="10" s="1"/>
  <c r="JB1513" i="10"/>
  <c r="QW1513" i="10"/>
  <c r="K150" i="12"/>
  <c r="HE1491" i="10" a="1"/>
  <c r="HE1495" i="10" s="1"/>
  <c r="YA1513" i="10"/>
  <c r="JK1513" i="10"/>
  <c r="JK1491" i="10" a="1"/>
  <c r="JK1503" i="10" s="1"/>
  <c r="WM1513" i="10"/>
  <c r="WM1491" i="10" a="1"/>
  <c r="WM1510" i="10" s="1"/>
  <c r="ADI1514" i="10" a="1"/>
  <c r="ADI1514" i="10" s="1"/>
  <c r="BN1491" i="10" a="1"/>
  <c r="BN1494" i="10" s="1"/>
  <c r="HN1514" i="10" a="1"/>
  <c r="HN1515" i="10" s="1"/>
  <c r="BN1514" i="10" a="1"/>
  <c r="BN1517" i="10" s="1"/>
  <c r="HE1513" i="10"/>
  <c r="HN1513" i="10"/>
  <c r="BW1514" i="10" a="1"/>
  <c r="BW1520" i="10" s="1"/>
  <c r="PA1513" i="10"/>
  <c r="ADC1514" i="10" a="1"/>
  <c r="ADC1526" i="10" s="1"/>
  <c r="BW1513" i="10"/>
  <c r="PA1491" i="10" a="1"/>
  <c r="PA1494" i="10" s="1"/>
  <c r="ADC1491" i="10" a="1"/>
  <c r="ADC1492" i="10" s="1"/>
  <c r="AEI1518" i="10"/>
  <c r="AEI1515" i="10"/>
  <c r="AEI1523" i="10"/>
  <c r="AEI1527" i="10"/>
  <c r="AEI1531" i="10"/>
  <c r="AEI1529" i="10"/>
  <c r="AEI1525" i="10"/>
  <c r="AEI1524" i="10"/>
  <c r="AEI1532" i="10"/>
  <c r="AEI1521" i="10"/>
  <c r="AEI1519" i="10"/>
  <c r="AEI1520" i="10"/>
  <c r="AEI1514" i="10"/>
  <c r="AEI1528" i="10"/>
  <c r="AEI1517" i="10"/>
  <c r="AEI1533" i="10"/>
  <c r="AEI1526" i="10"/>
  <c r="AEI1530" i="10"/>
  <c r="AEI1522" i="10"/>
  <c r="JK1524" i="10"/>
  <c r="JK1527" i="10"/>
  <c r="JK1530" i="10"/>
  <c r="JK1533" i="10"/>
  <c r="JK1522" i="10"/>
  <c r="JK1526" i="10"/>
  <c r="JK1520" i="10"/>
  <c r="JK1523" i="10"/>
  <c r="JK1521" i="10"/>
  <c r="JK1531" i="10"/>
  <c r="JK1518" i="10"/>
  <c r="JK1528" i="10"/>
  <c r="JK1525" i="10"/>
  <c r="JK1515" i="10"/>
  <c r="JK1519" i="10"/>
  <c r="JK1517" i="10"/>
  <c r="JK1532" i="10"/>
  <c r="JK1529" i="10"/>
  <c r="JK1514" i="10"/>
  <c r="WD1491" i="10" a="1"/>
  <c r="WD1493" i="10" s="1"/>
  <c r="WD1516" i="10"/>
  <c r="WD1528" i="10"/>
  <c r="WD1525" i="10"/>
  <c r="WD1518" i="10"/>
  <c r="WD1521" i="10"/>
  <c r="WD1524" i="10"/>
  <c r="WD1515" i="10"/>
  <c r="WD1517" i="10"/>
  <c r="WD1526" i="10"/>
  <c r="WD1522" i="10"/>
  <c r="WD1519" i="10"/>
  <c r="WD1532" i="10"/>
  <c r="FE1513" i="10"/>
  <c r="WD1520" i="10"/>
  <c r="WD1527" i="10"/>
  <c r="WD1531" i="10"/>
  <c r="OR1491" i="10" a="1"/>
  <c r="OR1513" i="10"/>
  <c r="OR1514" i="10" a="1"/>
  <c r="FE1491" i="10" a="1"/>
  <c r="FE1492" i="10" s="1"/>
  <c r="WD1523" i="10"/>
  <c r="WD1530" i="10"/>
  <c r="AEO1491" i="10" a="1"/>
  <c r="AEO1514" i="10" a="1"/>
  <c r="AEO1513" i="10"/>
  <c r="WD1533" i="10"/>
  <c r="WD1529" i="10"/>
  <c r="CS1491" i="10" a="1"/>
  <c r="CS1500" i="10" s="1"/>
  <c r="ST1491" i="10" a="1"/>
  <c r="ST1513" i="10"/>
  <c r="ST1514" i="10" a="1"/>
  <c r="ND1491" i="10" a="1"/>
  <c r="ND1513" i="10"/>
  <c r="ND1514" i="10" a="1"/>
  <c r="YK1516" i="10"/>
  <c r="YK1517" i="10"/>
  <c r="YK1520" i="10"/>
  <c r="YK1523" i="10"/>
  <c r="YK1518" i="10"/>
  <c r="YK1522" i="10"/>
  <c r="YK1529" i="10"/>
  <c r="YK1530" i="10"/>
  <c r="YK1531" i="10"/>
  <c r="YK1532" i="10"/>
  <c r="YK1524" i="10"/>
  <c r="YK1526" i="10"/>
  <c r="YK1527" i="10"/>
  <c r="YK1514" i="10"/>
  <c r="YK1521" i="10"/>
  <c r="YK1519" i="10"/>
  <c r="YK1525" i="10"/>
  <c r="YK1515" i="10"/>
  <c r="YK1528" i="10"/>
  <c r="YK1533" i="10"/>
  <c r="DK1491" i="10" a="1"/>
  <c r="DK1513" i="10"/>
  <c r="DK1514" i="10" a="1"/>
  <c r="AAE1491" i="10" a="1"/>
  <c r="AAE1513" i="10"/>
  <c r="AAE1514" i="10" a="1"/>
  <c r="UQ1491" i="10" a="1"/>
  <c r="UQ1514" i="10" a="1"/>
  <c r="UQ1513" i="10"/>
  <c r="AD1494" i="10"/>
  <c r="AD1499" i="10"/>
  <c r="AD1491" i="10"/>
  <c r="AD1507" i="10"/>
  <c r="AD1509" i="10"/>
  <c r="AD1492" i="10"/>
  <c r="AD1503" i="10"/>
  <c r="AD1504" i="10"/>
  <c r="AD1505" i="10"/>
  <c r="AD1497" i="10"/>
  <c r="AD1498" i="10"/>
  <c r="AD1500" i="10"/>
  <c r="AD1501" i="10"/>
  <c r="AD1506" i="10"/>
  <c r="AD1508" i="10"/>
  <c r="AD1510" i="10"/>
  <c r="AD1495" i="10"/>
  <c r="AD1496" i="10"/>
  <c r="AD1502" i="10"/>
  <c r="AD1493" i="10"/>
  <c r="HE1517" i="10"/>
  <c r="HE1523" i="10"/>
  <c r="HE1520" i="10"/>
  <c r="HE1518" i="10"/>
  <c r="HE1527" i="10"/>
  <c r="HE1528" i="10"/>
  <c r="HE1515" i="10"/>
  <c r="HE1516" i="10"/>
  <c r="HE1524" i="10"/>
  <c r="HE1531" i="10"/>
  <c r="HE1529" i="10"/>
  <c r="HE1519" i="10"/>
  <c r="HE1533" i="10"/>
  <c r="HE1526" i="10"/>
  <c r="HE1514" i="10"/>
  <c r="HE1521" i="10"/>
  <c r="HE1522" i="10"/>
  <c r="HE1532" i="10"/>
  <c r="HE1525" i="10"/>
  <c r="HE1530" i="10"/>
  <c r="HQ1513" i="10"/>
  <c r="SK1491" i="10" a="1"/>
  <c r="SK1513" i="10"/>
  <c r="SK1514" i="10" a="1"/>
  <c r="FG1491" i="10" a="1"/>
  <c r="FG1513" i="10"/>
  <c r="FG1514" i="10" a="1"/>
  <c r="KX1491" i="10" a="1"/>
  <c r="KX1513" i="10"/>
  <c r="KX1514" i="10" a="1"/>
  <c r="AFU1513" i="10"/>
  <c r="AFU1514" i="10" a="1"/>
  <c r="AFU1491" i="10" a="1"/>
  <c r="ABU1491" i="10" a="1"/>
  <c r="ABU1513" i="10"/>
  <c r="ABU1514" i="10" a="1"/>
  <c r="HQ1491" i="10" a="1"/>
  <c r="HQ1491" i="10" s="1"/>
  <c r="ADI1513" i="10"/>
  <c r="ZW1491" i="10" a="1"/>
  <c r="ZW1513" i="10"/>
  <c r="ZW1514" i="10" a="1"/>
  <c r="MU1491" i="10" a="1"/>
  <c r="MU1514" i="10" a="1"/>
  <c r="MU1513" i="10"/>
  <c r="QW1492" i="10"/>
  <c r="QW1495" i="10"/>
  <c r="QW1491" i="10"/>
  <c r="QW1505" i="10"/>
  <c r="QW1507" i="10"/>
  <c r="QW1509" i="10"/>
  <c r="QW1500" i="10"/>
  <c r="QW1501" i="10"/>
  <c r="QW1496" i="10"/>
  <c r="QW1497" i="10"/>
  <c r="QW1498" i="10"/>
  <c r="QW1499" i="10"/>
  <c r="QW1502" i="10"/>
  <c r="QW1506" i="10"/>
  <c r="QW1508" i="10"/>
  <c r="QW1510" i="10"/>
  <c r="QW1493" i="10"/>
  <c r="QW1494" i="10"/>
  <c r="QW1503" i="10"/>
  <c r="QW1504" i="10"/>
  <c r="JB1491" i="10"/>
  <c r="JB1497" i="10"/>
  <c r="JB1503" i="10"/>
  <c r="JB1504" i="10"/>
  <c r="JB1505" i="10"/>
  <c r="JB1507" i="10"/>
  <c r="JB1509" i="10"/>
  <c r="JB1494" i="10"/>
  <c r="JB1495" i="10"/>
  <c r="JB1493" i="10"/>
  <c r="JB1500" i="10"/>
  <c r="JB1501" i="10"/>
  <c r="JB1496" i="10"/>
  <c r="JB1498" i="10"/>
  <c r="JB1499" i="10"/>
  <c r="JB1492" i="10"/>
  <c r="JB1502" i="10"/>
  <c r="JB1506" i="10"/>
  <c r="JB1508" i="10"/>
  <c r="JB1510" i="10"/>
  <c r="AO1513" i="10"/>
  <c r="Z1513" i="10"/>
  <c r="AFO1514" i="10" a="1"/>
  <c r="AFO1491" i="10" a="1"/>
  <c r="AFO1513" i="10"/>
  <c r="UH1491" i="10" a="1"/>
  <c r="UH1513" i="10"/>
  <c r="UH1514" i="10" a="1"/>
  <c r="BW1496" i="10"/>
  <c r="BW1501" i="10"/>
  <c r="BW1504" i="10"/>
  <c r="BW1493" i="10"/>
  <c r="BW1502" i="10"/>
  <c r="BW1507" i="10"/>
  <c r="BW1509" i="10"/>
  <c r="BW1492" i="10"/>
  <c r="BW1503" i="10"/>
  <c r="BW1505" i="10"/>
  <c r="BW1491" i="10"/>
  <c r="BW1494" i="10"/>
  <c r="BW1498" i="10"/>
  <c r="BW1500" i="10"/>
  <c r="BW1510" i="10"/>
  <c r="BW1506" i="10"/>
  <c r="BW1499" i="10"/>
  <c r="BW1495" i="10"/>
  <c r="BW1497" i="10"/>
  <c r="BW1508" i="10"/>
  <c r="AO1491" i="10" a="1"/>
  <c r="AO1507" i="10" s="1"/>
  <c r="Z1514" i="10" a="1"/>
  <c r="Z1516" i="10" s="1"/>
  <c r="DU1491" i="10" a="1"/>
  <c r="DU1514" i="10" a="1"/>
  <c r="DU1513" i="10"/>
  <c r="ABM1491" i="10" a="1"/>
  <c r="ABM1513" i="10"/>
  <c r="ABM1514" i="10" a="1"/>
  <c r="YA1516" i="10"/>
  <c r="YA1519" i="10"/>
  <c r="YA1520" i="10"/>
  <c r="YA1514" i="10"/>
  <c r="YA1527" i="10"/>
  <c r="YA1528" i="10"/>
  <c r="YA1531" i="10"/>
  <c r="YA1523" i="10"/>
  <c r="YA1515" i="10"/>
  <c r="YA1529" i="10"/>
  <c r="YA1522" i="10"/>
  <c r="YA1532" i="10"/>
  <c r="YA1524" i="10"/>
  <c r="YA1525" i="10"/>
  <c r="YA1530" i="10"/>
  <c r="YA1517" i="10"/>
  <c r="YA1521" i="10"/>
  <c r="YA1533" i="10"/>
  <c r="YA1518" i="10"/>
  <c r="YA1526" i="10"/>
  <c r="CS1513" i="10"/>
  <c r="LG1491" i="10" a="1"/>
  <c r="LG1513" i="10"/>
  <c r="LG1514" i="10" a="1"/>
  <c r="FQ1491" i="10" a="1"/>
  <c r="FQ1513" i="10"/>
  <c r="FQ1514" i="10" a="1"/>
  <c r="AD1517" i="10"/>
  <c r="AD1529" i="10"/>
  <c r="AD1518" i="10"/>
  <c r="AD1527" i="10"/>
  <c r="AD1528" i="10"/>
  <c r="AD1533" i="10"/>
  <c r="AD1522" i="10"/>
  <c r="AD1514" i="10"/>
  <c r="AD1521" i="10"/>
  <c r="AD1531" i="10"/>
  <c r="AD1515" i="10"/>
  <c r="AD1532" i="10"/>
  <c r="AD1530" i="10"/>
  <c r="AD1523" i="10"/>
  <c r="AD1524" i="10"/>
  <c r="AD1525" i="10"/>
  <c r="AD1520" i="10"/>
  <c r="AD1516" i="10"/>
  <c r="AD1526" i="10"/>
  <c r="AD1519" i="10"/>
  <c r="PP1491" i="10" a="1"/>
  <c r="PP1513" i="10"/>
  <c r="PP1514" i="10" a="1"/>
  <c r="TV1491" i="10" a="1"/>
  <c r="TV1513" i="10"/>
  <c r="TV1514" i="10" a="1"/>
  <c r="ACR1491" i="10" a="1"/>
  <c r="ACR1513" i="10"/>
  <c r="ACR1514" i="10" a="1"/>
  <c r="KK1491" i="10" a="1"/>
  <c r="KK1513" i="10"/>
  <c r="KK1514" i="10" a="1"/>
  <c r="ADX1491" i="10" a="1"/>
  <c r="ADX1513" i="10"/>
  <c r="ADX1514" i="10" a="1"/>
  <c r="ME1491" i="10" a="1"/>
  <c r="ME1513" i="10"/>
  <c r="ME1514" i="10" a="1"/>
  <c r="AEU1491" i="10" a="1"/>
  <c r="AEU1514" i="10" a="1"/>
  <c r="VA1491" i="10" a="1"/>
  <c r="VA1513" i="10"/>
  <c r="VA1514" i="10" a="1"/>
  <c r="FZ1491" i="10" a="1"/>
  <c r="FZ1513" i="10"/>
  <c r="FZ1514" i="10" a="1"/>
  <c r="AFR1491" i="10" a="1"/>
  <c r="AFR1513" i="10"/>
  <c r="AFR1514" i="10" a="1"/>
  <c r="SP1491" i="10" a="1"/>
  <c r="SP1513" i="10"/>
  <c r="SP1514" i="10" a="1"/>
  <c r="HI1513" i="10"/>
  <c r="HI1514" i="10" a="1"/>
  <c r="HI1491" i="10" a="1"/>
  <c r="XR1491" i="10" a="1"/>
  <c r="XR1513" i="10"/>
  <c r="XR1514" i="10" a="1"/>
  <c r="ML1491" i="10" a="1"/>
  <c r="ML1513" i="10"/>
  <c r="ML1514" i="10" a="1"/>
  <c r="ACT1491" i="10" a="1"/>
  <c r="ACT1513" i="10"/>
  <c r="ACT1514" i="10" a="1"/>
  <c r="RZ1491" i="10" a="1"/>
  <c r="RZ1513" i="10"/>
  <c r="RZ1514" i="10" a="1"/>
  <c r="OH1513" i="10"/>
  <c r="OH1491" i="10" a="1"/>
  <c r="OH1514" i="10" a="1"/>
  <c r="GS1491" i="10" a="1"/>
  <c r="GS1513" i="10"/>
  <c r="GS1514" i="10" a="1"/>
  <c r="ACW1491" i="10" a="1"/>
  <c r="ACW1513" i="10"/>
  <c r="ACW1514" i="10" a="1"/>
  <c r="AAK1491" i="10" a="1"/>
  <c r="AAK1513" i="10"/>
  <c r="AAK1514" i="10" a="1"/>
  <c r="SC1491" i="10" a="1"/>
  <c r="SC1513" i="10"/>
  <c r="SC1514" i="10" a="1"/>
  <c r="JR1491" i="10" a="1"/>
  <c r="JR1513" i="10"/>
  <c r="JR1514" i="10" a="1"/>
  <c r="GW1491" i="10" a="1"/>
  <c r="GW1513" i="10"/>
  <c r="GW1514" i="10" a="1"/>
  <c r="BF1491" i="10" a="1"/>
  <c r="BF1514" i="10" a="1"/>
  <c r="BF1513" i="10"/>
  <c r="ABW1491" i="10" a="1"/>
  <c r="ABW1513" i="10"/>
  <c r="ABW1514" i="10" a="1"/>
  <c r="ZK1491" i="10" a="1"/>
  <c r="ZK1513" i="10"/>
  <c r="ZK1514" i="10" a="1"/>
  <c r="WP1491" i="10" a="1"/>
  <c r="WP1513" i="10"/>
  <c r="WP1514" i="10" a="1"/>
  <c r="QY1491" i="10" a="1"/>
  <c r="QY1513" i="10"/>
  <c r="QY1514" i="10" a="1"/>
  <c r="LI1491" i="10" a="1"/>
  <c r="LI1513" i="10"/>
  <c r="LI1514" i="10" a="1"/>
  <c r="IN1491" i="10" a="1"/>
  <c r="IN1513" i="10"/>
  <c r="IN1514" i="10" a="1"/>
  <c r="FS1491" i="10" a="1"/>
  <c r="FS1513" i="10"/>
  <c r="FS1514" i="10" a="1"/>
  <c r="CX1491" i="10" a="1"/>
  <c r="CX1514" i="10" a="1"/>
  <c r="CX1513" i="10"/>
  <c r="AC1491" i="10" a="1"/>
  <c r="AC1513" i="10"/>
  <c r="AC1514" i="10" a="1"/>
  <c r="LJ1491" i="10" a="1"/>
  <c r="LJ1513" i="10"/>
  <c r="LJ1514" i="10" a="1"/>
  <c r="AAG1491" i="10" a="1"/>
  <c r="AAG1513" i="10"/>
  <c r="AAG1514" i="10" a="1"/>
  <c r="VC1491" i="10" a="1"/>
  <c r="VC1513" i="10"/>
  <c r="VC1514" i="10" a="1"/>
  <c r="EV1491" i="10" a="1"/>
  <c r="EV1513" i="10"/>
  <c r="EV1514" i="10" a="1"/>
  <c r="RW1491" i="10" a="1"/>
  <c r="RW1513" i="10"/>
  <c r="RW1514" i="10" a="1"/>
  <c r="AAX1513" i="10"/>
  <c r="AAX1491" i="10" a="1"/>
  <c r="AAX1514" i="10" a="1"/>
  <c r="AX1491" i="10" a="1"/>
  <c r="AX1514" i="10" a="1"/>
  <c r="AX1513" i="10"/>
  <c r="NM1491" i="10" a="1"/>
  <c r="NM1514" i="10" a="1"/>
  <c r="NM1513" i="10"/>
  <c r="WJ1491" i="10" a="1"/>
  <c r="WJ1513" i="10"/>
  <c r="WJ1514" i="10" a="1"/>
  <c r="DO1491" i="10" a="1"/>
  <c r="DO1513" i="10"/>
  <c r="DO1514" i="10" a="1"/>
  <c r="TY1491" i="10" a="1"/>
  <c r="TY1513" i="10"/>
  <c r="TY1514" i="10" a="1"/>
  <c r="EX1491" i="10" a="1"/>
  <c r="EX1514" i="10" a="1"/>
  <c r="EX1513" i="10"/>
  <c r="VT1491" i="10" a="1"/>
  <c r="VT1513" i="10"/>
  <c r="VT1514" i="10" a="1"/>
  <c r="KM1491" i="10" a="1"/>
  <c r="KM1513" i="10"/>
  <c r="KM1514" i="10" a="1"/>
  <c r="UX1491" i="10" a="1"/>
  <c r="UX1513" i="10"/>
  <c r="UX1514" i="10" a="1"/>
  <c r="EA1491" i="10" a="1"/>
  <c r="EA1513" i="10"/>
  <c r="EA1514" i="10" a="1"/>
  <c r="OD1491" i="10" a="1"/>
  <c r="OD1513" i="10"/>
  <c r="OD1514" i="10" a="1"/>
  <c r="GC1491" i="10" a="1"/>
  <c r="GC1513" i="10"/>
  <c r="GC1514" i="10" a="1"/>
  <c r="OO1491" i="10" a="1"/>
  <c r="OO1513" i="10"/>
  <c r="OO1514" i="10" a="1"/>
  <c r="PW1491" i="10" a="1"/>
  <c r="PW1513" i="10"/>
  <c r="PW1514" i="10" a="1"/>
  <c r="IS1491" i="10" a="1"/>
  <c r="IS1514" i="10" a="1"/>
  <c r="IS1513" i="10"/>
  <c r="AEU1513" i="10"/>
  <c r="KI1491" i="10" a="1"/>
  <c r="KI1513" i="10"/>
  <c r="KI1514" i="10" a="1"/>
  <c r="ADA1513" i="10"/>
  <c r="ADA1491" i="10" a="1"/>
  <c r="ADA1514" i="10" a="1"/>
  <c r="VR1491" i="10" a="1"/>
  <c r="VR1513" i="10"/>
  <c r="VR1514" i="10" a="1"/>
  <c r="CW1491" i="10" a="1"/>
  <c r="CW1513" i="10"/>
  <c r="CW1514" i="10" a="1"/>
  <c r="XK1491" i="10" a="1"/>
  <c r="XK1513" i="10"/>
  <c r="XK1514" i="10" a="1"/>
  <c r="EP1491" i="10" a="1"/>
  <c r="EP1513" i="10"/>
  <c r="EP1514" i="10" a="1"/>
  <c r="YT1491" i="10" a="1"/>
  <c r="YT1513" i="10"/>
  <c r="YT1514" i="10" a="1"/>
  <c r="JT1491" i="10" a="1"/>
  <c r="JT1513" i="10"/>
  <c r="JT1514" i="10" a="1"/>
  <c r="ADF1491" i="10" a="1"/>
  <c r="ADF1513" i="10"/>
  <c r="ADF1514" i="10" a="1"/>
  <c r="LC1491" i="10" a="1"/>
  <c r="LC1513" i="10"/>
  <c r="LC1514" i="10" a="1"/>
  <c r="AEC1491" i="10" a="1"/>
  <c r="AEC1513" i="10"/>
  <c r="AEC1514" i="10" a="1"/>
  <c r="BE1491" i="10" a="1"/>
  <c r="BE1513" i="10"/>
  <c r="BE1514" i="10" a="1"/>
  <c r="XS1491" i="10" a="1"/>
  <c r="XS1513" i="10"/>
  <c r="XS1514" i="10" a="1"/>
  <c r="AP1491" i="10" a="1"/>
  <c r="AP1513" i="10"/>
  <c r="AP1514" i="10" a="1"/>
  <c r="ZI1491" i="10" a="1"/>
  <c r="ZI1513" i="10"/>
  <c r="ZI1514" i="10" a="1"/>
  <c r="AFF1491" i="10" a="1"/>
  <c r="AFF1513" i="10"/>
  <c r="AFF1514" i="10" a="1"/>
  <c r="OC1491" i="10" a="1"/>
  <c r="OC1513" i="10"/>
  <c r="OC1514" i="10" a="1"/>
  <c r="AGJ1513" i="10"/>
  <c r="AGJ1491" i="10" a="1"/>
  <c r="AGJ1514" i="10" a="1"/>
  <c r="IK1491" i="10" a="1"/>
  <c r="IK1514" i="10" a="1"/>
  <c r="IK1513" i="10"/>
  <c r="RF1491" i="10" a="1"/>
  <c r="RF1513" i="10"/>
  <c r="RF1514" i="10" a="1"/>
  <c r="ZZ1491" i="10" a="1"/>
  <c r="ZZ1513" i="10"/>
  <c r="ZZ1514" i="10" a="1"/>
  <c r="W1491" i="10" a="1"/>
  <c r="W1514" i="10" a="1"/>
  <c r="W1513" i="10"/>
  <c r="QE1491" i="10" a="1"/>
  <c r="QE1513" i="10"/>
  <c r="QE1514" i="10" a="1"/>
  <c r="ZN1513" i="10"/>
  <c r="ZN1491" i="10" a="1"/>
  <c r="ZN1514" i="10" a="1"/>
  <c r="PH1491" i="10" a="1"/>
  <c r="PH1513" i="10"/>
  <c r="PH1514" i="10" a="1"/>
  <c r="ADS1513" i="10"/>
  <c r="ADS1491" i="10" a="1"/>
  <c r="ADS1514" i="10" a="1"/>
  <c r="AGM1513" i="10"/>
  <c r="AGM1491" i="10" a="1"/>
  <c r="AGM1514" i="10" a="1"/>
  <c r="ZJ1491" i="10" a="1"/>
  <c r="ZJ1513" i="10"/>
  <c r="ZJ1514" i="10" a="1"/>
  <c r="GQ1491" i="10" a="1"/>
  <c r="GQ1514" i="10" a="1"/>
  <c r="GQ1513" i="10"/>
  <c r="TQ1491" i="10" a="1"/>
  <c r="TQ1513" i="10"/>
  <c r="TQ1514" i="10" a="1"/>
  <c r="ACC1491" i="10" a="1"/>
  <c r="ACC1513" i="10"/>
  <c r="ACC1514" i="10" a="1"/>
  <c r="CG1491" i="10" a="1"/>
  <c r="CG1513" i="10"/>
  <c r="CG1514" i="10" a="1"/>
  <c r="OU1491" i="10" a="1"/>
  <c r="OU1513" i="10"/>
  <c r="OU1514" i="10" a="1"/>
  <c r="ABE1491" i="10" a="1"/>
  <c r="ABE1513" i="10"/>
  <c r="ABE1514" i="10" a="1"/>
  <c r="AFH1491" i="10" a="1"/>
  <c r="AFH1513" i="10"/>
  <c r="AFH1514" i="10" a="1"/>
  <c r="DA1514" i="10" a="1"/>
  <c r="DA1491" i="10" a="1"/>
  <c r="DA1507" i="10" s="1"/>
  <c r="MM1491" i="10" a="1"/>
  <c r="MM1513" i="10"/>
  <c r="MM1514" i="10" a="1"/>
  <c r="TU1491" i="10" a="1"/>
  <c r="TU1513" i="10"/>
  <c r="TU1514" i="10" a="1"/>
  <c r="LW1491" i="10" a="1"/>
  <c r="LW1513" i="10"/>
  <c r="LW1514" i="10" a="1"/>
  <c r="AAR1491" i="10" a="1"/>
  <c r="AAR1513" i="10"/>
  <c r="AAR1514" i="10" a="1"/>
  <c r="GP1491" i="10" a="1"/>
  <c r="GP1513" i="10"/>
  <c r="GP1514" i="10" a="1"/>
  <c r="VO1491" i="10" a="1"/>
  <c r="VO1513" i="10"/>
  <c r="VO1514" i="10" a="1"/>
  <c r="BB1491" i="10" a="1"/>
  <c r="BB1513" i="10"/>
  <c r="BB1514" i="10" a="1"/>
  <c r="QC1491" i="10" a="1"/>
  <c r="QC1513" i="10"/>
  <c r="QC1514" i="10" a="1"/>
  <c r="AEA1491" i="10" a="1"/>
  <c r="AEA1513" i="10"/>
  <c r="AEA1514" i="10" a="1"/>
  <c r="KU1491" i="10" a="1"/>
  <c r="KU1513" i="10"/>
  <c r="KU1514" i="10" a="1"/>
  <c r="ZT1491" i="10" a="1"/>
  <c r="ZT1513" i="10"/>
  <c r="ZT1514" i="10" a="1"/>
  <c r="AFV1513" i="10"/>
  <c r="AFV1491" i="10" a="1"/>
  <c r="AFV1514" i="10" a="1"/>
  <c r="ADJ1513" i="10"/>
  <c r="ADJ1514" i="10" a="1"/>
  <c r="ADJ1491" i="10" a="1"/>
  <c r="AAF1513" i="10"/>
  <c r="AAF1491" i="10" a="1"/>
  <c r="AAF1514" i="10" a="1"/>
  <c r="WO1491" i="10" a="1"/>
  <c r="WO1513" i="10"/>
  <c r="WO1514" i="10" a="1"/>
  <c r="SW1491" i="10" a="1"/>
  <c r="SW1513" i="10"/>
  <c r="SW1514" i="10" a="1"/>
  <c r="PB1491" i="10" a="1"/>
  <c r="PB1513" i="10"/>
  <c r="PB1514" i="10" a="1"/>
  <c r="LH1491" i="10" a="1"/>
  <c r="LH1513" i="10"/>
  <c r="LH1514" i="10" a="1"/>
  <c r="HP1491" i="10" a="1"/>
  <c r="HP1514" i="10" a="1"/>
  <c r="HP1513" i="10"/>
  <c r="DV1491" i="10" a="1"/>
  <c r="DV1514" i="10" a="1"/>
  <c r="DV1513" i="10"/>
  <c r="AA1491" i="10" a="1"/>
  <c r="AA1513" i="10"/>
  <c r="AA1514" i="10" a="1"/>
  <c r="AEN1513" i="10"/>
  <c r="AEN1491" i="10" a="1"/>
  <c r="AEN1514" i="10" a="1"/>
  <c r="ABT1491" i="10" a="1"/>
  <c r="ABT1513" i="10"/>
  <c r="ABT1514" i="10" a="1"/>
  <c r="YH1491" i="10" a="1"/>
  <c r="YH1513" i="10"/>
  <c r="YH1514" i="10" a="1"/>
  <c r="UP1491" i="10" a="1"/>
  <c r="UP1513" i="10"/>
  <c r="UP1514" i="10" a="1"/>
  <c r="QV1491" i="10" a="1"/>
  <c r="QV1513" i="10"/>
  <c r="QV1514" i="10" a="1"/>
  <c r="NB1491" i="10" a="1"/>
  <c r="NB1513" i="10"/>
  <c r="NB1514" i="10" a="1"/>
  <c r="JJ1491" i="10" a="1"/>
  <c r="JJ1513" i="10"/>
  <c r="JJ1514" i="10" a="1"/>
  <c r="FO1491" i="10" a="1"/>
  <c r="FO1514" i="10" a="1"/>
  <c r="FO1513" i="10"/>
  <c r="BU1491" i="10" a="1"/>
  <c r="BU1513" i="10"/>
  <c r="BU1514" i="10" a="1"/>
  <c r="AFK1491" i="10" a="1"/>
  <c r="AFK1514" i="10" a="1"/>
  <c r="ACY1491" i="10" a="1"/>
  <c r="ACY1514" i="10" a="1"/>
  <c r="ZQ1491" i="10" a="1"/>
  <c r="ZQ1513" i="10"/>
  <c r="ZQ1514" i="10" a="1"/>
  <c r="VY1491" i="10" a="1"/>
  <c r="VY1513" i="10"/>
  <c r="VY1514" i="10" a="1"/>
  <c r="SE1491" i="10" a="1"/>
  <c r="SE1513" i="10"/>
  <c r="SE1514" i="10" a="1"/>
  <c r="OK1491" i="10" a="1"/>
  <c r="OK1513" i="10"/>
  <c r="OK1514" i="10" a="1"/>
  <c r="KR1491" i="10" a="1"/>
  <c r="KR1513" i="10"/>
  <c r="KR1514" i="10" a="1"/>
  <c r="GY1491" i="10" a="1"/>
  <c r="GY1513" i="10"/>
  <c r="GY1514" i="10" a="1"/>
  <c r="DE1491" i="10" a="1"/>
  <c r="DE1513" i="10"/>
  <c r="DE1514" i="10" a="1"/>
  <c r="AGH1513" i="10"/>
  <c r="AGH1514" i="10" a="1"/>
  <c r="AGH1491" i="10" a="1"/>
  <c r="ADV1491" i="10" a="1"/>
  <c r="ADV1513" i="10"/>
  <c r="ADV1514" i="10" a="1"/>
  <c r="AAV1491" i="10" a="1"/>
  <c r="AAV1513" i="10"/>
  <c r="AAV1514" i="10" a="1"/>
  <c r="XG1491" i="10" a="1"/>
  <c r="XG1513" i="10"/>
  <c r="XG1514" i="10" a="1"/>
  <c r="TO1491" i="10" a="1"/>
  <c r="TO1513" i="10"/>
  <c r="TO1514" i="10" a="1"/>
  <c r="PU1491" i="10" a="1"/>
  <c r="PU1513" i="10"/>
  <c r="PU1514" i="10" a="1"/>
  <c r="LZ1491" i="10" a="1"/>
  <c r="LZ1513" i="10"/>
  <c r="LZ1514" i="10" a="1"/>
  <c r="IH1491" i="10" a="1"/>
  <c r="IH1513" i="10"/>
  <c r="IH1514" i="10" a="1"/>
  <c r="EN1491" i="10" a="1"/>
  <c r="EN1514" i="10" a="1"/>
  <c r="EN1513" i="10"/>
  <c r="AT1491" i="10" a="1"/>
  <c r="AT1513" i="10"/>
  <c r="AT1514" i="10" a="1"/>
  <c r="AES1491" i="10" a="1"/>
  <c r="AES1513" i="10"/>
  <c r="AES1514" i="10" a="1"/>
  <c r="ACA1491" i="10" a="1"/>
  <c r="ACA1514" i="10" a="1"/>
  <c r="YP1491" i="10" a="1"/>
  <c r="YP1513" i="10"/>
  <c r="YP1514" i="10" a="1"/>
  <c r="UW1491" i="10" a="1"/>
  <c r="UW1513" i="10"/>
  <c r="UW1514" i="10" a="1"/>
  <c r="RD1491" i="10" a="1"/>
  <c r="RD1513" i="10"/>
  <c r="RD1514" i="10" a="1"/>
  <c r="NJ1491" i="10" a="1"/>
  <c r="NJ1513" i="10"/>
  <c r="NJ1514" i="10" a="1"/>
  <c r="JQ1491" i="10" a="1"/>
  <c r="JQ1513" i="10"/>
  <c r="JQ1514" i="10" a="1"/>
  <c r="FW1491" i="10" a="1"/>
  <c r="FW1513" i="10"/>
  <c r="FW1514" i="10" a="1"/>
  <c r="CC1491" i="10" a="1"/>
  <c r="CC1513" i="10"/>
  <c r="CC1514" i="10" a="1"/>
  <c r="AFX1513" i="10"/>
  <c r="AFX1491" i="10" a="1"/>
  <c r="AFX1514" i="10" a="1"/>
  <c r="ADL1491" i="10" a="1"/>
  <c r="ADL1513" i="10"/>
  <c r="ADL1514" i="10" a="1"/>
  <c r="AAH1491" i="10" a="1"/>
  <c r="AAH1513" i="10"/>
  <c r="AAH1514" i="10" a="1"/>
  <c r="WS1513" i="10"/>
  <c r="WS1491" i="10" a="1"/>
  <c r="WS1514" i="10" a="1"/>
  <c r="SY1491" i="10" a="1"/>
  <c r="SY1513" i="10"/>
  <c r="SY1514" i="10" a="1"/>
  <c r="PE1491" i="10" a="1"/>
  <c r="PE1513" i="10"/>
  <c r="PE1514" i="10" a="1"/>
  <c r="LM1513" i="10"/>
  <c r="LM1491" i="10" a="1"/>
  <c r="LM1514" i="10" a="1"/>
  <c r="HR1491" i="10" a="1"/>
  <c r="HR1513" i="10"/>
  <c r="HR1514" i="10" a="1"/>
  <c r="DX1491" i="10" a="1"/>
  <c r="DX1513" i="10"/>
  <c r="DX1514" i="10" a="1"/>
  <c r="AF1491" i="10" a="1"/>
  <c r="AF1514" i="10" a="1"/>
  <c r="AF1513" i="10"/>
  <c r="ABA1491" i="10" a="1"/>
  <c r="ABA1513" i="10"/>
  <c r="ABA1514" i="10" a="1"/>
  <c r="YL1491" i="10" a="1"/>
  <c r="YL1513" i="10"/>
  <c r="YL1514" i="10" a="1"/>
  <c r="VQ1491" i="10" a="1"/>
  <c r="VQ1513" i="10"/>
  <c r="VQ1514" i="10" a="1"/>
  <c r="SU1491" i="10" a="1"/>
  <c r="SU1513" i="10"/>
  <c r="SU1514" i="10" a="1"/>
  <c r="PZ1491" i="10" a="1"/>
  <c r="PZ1513" i="10"/>
  <c r="PZ1514" i="10" a="1"/>
  <c r="NE1491" i="10" a="1"/>
  <c r="NE1513" i="10"/>
  <c r="NE1514" i="10" a="1"/>
  <c r="KJ1491" i="10" a="1"/>
  <c r="KJ1513" i="10"/>
  <c r="KJ1514" i="10" a="1"/>
  <c r="HO1491" i="10" a="1"/>
  <c r="HO1513" i="10"/>
  <c r="HO1514" i="10" a="1"/>
  <c r="ET1491" i="10" a="1"/>
  <c r="ET1513" i="10"/>
  <c r="ET1514" i="10" a="1"/>
  <c r="BY1491" i="10" a="1"/>
  <c r="BY1513" i="10"/>
  <c r="BY1514" i="10" a="1"/>
  <c r="ACM1491" i="10" a="1"/>
  <c r="ACM1513" i="10"/>
  <c r="ACM1514" i="10" a="1"/>
  <c r="AAA1491" i="10" a="1"/>
  <c r="AAA1513" i="10"/>
  <c r="AAA1514" i="10" a="1"/>
  <c r="XH1491" i="10" a="1"/>
  <c r="XH1513" i="10"/>
  <c r="XH1514" i="10" a="1"/>
  <c r="UM1491" i="10" a="1"/>
  <c r="UM1513" i="10"/>
  <c r="UM1514" i="10" a="1"/>
  <c r="RR1491" i="10" a="1"/>
  <c r="RR1513" i="10"/>
  <c r="RR1514" i="10" a="1"/>
  <c r="OW1491" i="10" a="1"/>
  <c r="OW1513" i="10"/>
  <c r="OW1514" i="10" a="1"/>
  <c r="MA1491" i="10" a="1"/>
  <c r="MA1513" i="10"/>
  <c r="MA1514" i="10" a="1"/>
  <c r="JF1491" i="10" a="1"/>
  <c r="JF1513" i="10"/>
  <c r="JF1514" i="10" a="1"/>
  <c r="GK1491" i="10" a="1"/>
  <c r="GK1513" i="10"/>
  <c r="GK1514" i="10" a="1"/>
  <c r="DP1491" i="10" a="1"/>
  <c r="DP1513" i="10"/>
  <c r="DP1514" i="10" a="1"/>
  <c r="AU1491" i="10" a="1"/>
  <c r="AU1513" i="10"/>
  <c r="AU1514" i="10" a="1"/>
  <c r="HQ1514" i="10"/>
  <c r="HQ1515" i="10"/>
  <c r="HQ1517" i="10"/>
  <c r="HQ1516" i="10"/>
  <c r="HQ1519" i="10"/>
  <c r="HQ1518" i="10"/>
  <c r="HQ1521" i="10"/>
  <c r="HQ1522" i="10"/>
  <c r="HQ1524" i="10"/>
  <c r="HQ1525" i="10"/>
  <c r="HQ1520" i="10"/>
  <c r="HQ1526" i="10"/>
  <c r="HQ1528" i="10"/>
  <c r="HQ1523" i="10"/>
  <c r="HQ1527" i="10"/>
  <c r="HQ1531" i="10"/>
  <c r="HQ1532" i="10"/>
  <c r="HQ1530" i="10"/>
  <c r="HQ1529" i="10"/>
  <c r="HQ1533" i="10"/>
  <c r="WQ1491" i="10" a="1"/>
  <c r="WQ1513" i="10"/>
  <c r="WQ1514" i="10" a="1"/>
  <c r="CJ1491" i="10" a="1"/>
  <c r="CJ1514" i="10" a="1"/>
  <c r="CJ1513" i="10"/>
  <c r="RJ1491" i="10" a="1"/>
  <c r="RJ1513" i="10"/>
  <c r="RJ1514" i="10" a="1"/>
  <c r="AEW1491" i="10" a="1"/>
  <c r="AEW1513" i="10"/>
  <c r="AEW1514" i="10" a="1"/>
  <c r="NS1491" i="10" a="1"/>
  <c r="NS1513" i="10"/>
  <c r="NS1514" i="10" a="1"/>
  <c r="ACI1491" i="10" a="1"/>
  <c r="ACI1514" i="10" a="1"/>
  <c r="IL1491" i="10" a="1"/>
  <c r="IL1513" i="10"/>
  <c r="IL1514" i="10" a="1"/>
  <c r="XM1491" i="10" a="1"/>
  <c r="XM1513" i="10"/>
  <c r="XM1514" i="10" a="1"/>
  <c r="CY1491" i="10" a="1"/>
  <c r="CY1513" i="10"/>
  <c r="CY1514" i="10" a="1"/>
  <c r="RY1491" i="10" a="1"/>
  <c r="RY1513" i="10"/>
  <c r="RY1514" i="10" a="1"/>
  <c r="AFG1513" i="10"/>
  <c r="AFG1491" i="10" a="1"/>
  <c r="AFG1514" i="10" a="1"/>
  <c r="MQ1491" i="10" a="1"/>
  <c r="MQ1513" i="10"/>
  <c r="MQ1514" i="10" a="1"/>
  <c r="ABK1491" i="10" a="1"/>
  <c r="ABK1514" i="10" a="1"/>
  <c r="AFN1491" i="10" a="1"/>
  <c r="AFN1513" i="10"/>
  <c r="AFN1514" i="10" a="1"/>
  <c r="ADB1491" i="10" a="1"/>
  <c r="ADB1513" i="10"/>
  <c r="ADB1514" i="10" a="1"/>
  <c r="ZV1491" i="10" a="1"/>
  <c r="ZV1513" i="10"/>
  <c r="ZV1514" i="10" a="1"/>
  <c r="WC1491" i="10" a="1"/>
  <c r="WC1513" i="10"/>
  <c r="WC1514" i="10" a="1"/>
  <c r="SI1491" i="10" a="1"/>
  <c r="SI1513" i="10"/>
  <c r="SI1514" i="10" a="1"/>
  <c r="OQ1491" i="10" a="1"/>
  <c r="OQ1513" i="10"/>
  <c r="OQ1514" i="10" a="1"/>
  <c r="KW1491" i="10" a="1"/>
  <c r="KW1514" i="10" a="1"/>
  <c r="KW1513" i="10"/>
  <c r="HB1491" i="10" a="1"/>
  <c r="HB1513" i="10"/>
  <c r="HB1514" i="10" a="1"/>
  <c r="DJ1491" i="10" a="1"/>
  <c r="DJ1514" i="10" a="1"/>
  <c r="DJ1513" i="10"/>
  <c r="U1491" i="10" a="1"/>
  <c r="U1513" i="10"/>
  <c r="U1514" i="10" a="1"/>
  <c r="AEF1513" i="10"/>
  <c r="AEF1491" i="10" a="1"/>
  <c r="AEF1514" i="10" a="1"/>
  <c r="ABJ1491" i="10" a="1"/>
  <c r="ABJ1513" i="10"/>
  <c r="ABJ1514" i="10" a="1"/>
  <c r="XW1491" i="10" a="1"/>
  <c r="XW1513" i="10"/>
  <c r="XW1514" i="10" a="1"/>
  <c r="UC1491" i="10" a="1"/>
  <c r="UC1513" i="10"/>
  <c r="UC1514" i="10" a="1"/>
  <c r="QK1491" i="10" a="1"/>
  <c r="QK1513" i="10"/>
  <c r="QK1514" i="10" a="1"/>
  <c r="MP1491" i="10" a="1"/>
  <c r="MP1513" i="10"/>
  <c r="MP1514" i="10" a="1"/>
  <c r="IV1491" i="10" a="1"/>
  <c r="IV1513" i="10"/>
  <c r="IV1514" i="10" a="1"/>
  <c r="FD1491" i="10" a="1"/>
  <c r="FD1513" i="10"/>
  <c r="FD1514" i="10" a="1"/>
  <c r="BJ1491" i="10" a="1"/>
  <c r="BJ1514" i="10" a="1"/>
  <c r="BJ1513" i="10"/>
  <c r="AFC1491" i="10" a="1"/>
  <c r="AFC1514" i="10" a="1"/>
  <c r="ACN1491" i="10" a="1"/>
  <c r="ACN1513" i="10"/>
  <c r="ACN1514" i="10" a="1"/>
  <c r="ZF1491" i="10" a="1"/>
  <c r="ZF1514" i="10" a="1"/>
  <c r="VL1491" i="10" a="1"/>
  <c r="VL1513" i="10"/>
  <c r="VL1514" i="10" a="1"/>
  <c r="RS1491" i="10" a="1"/>
  <c r="RS1513" i="10"/>
  <c r="RS1514" i="10" a="1"/>
  <c r="NZ1491" i="10" a="1"/>
  <c r="NZ1513" i="10"/>
  <c r="NZ1514" i="10" a="1"/>
  <c r="KE1491" i="10" a="1"/>
  <c r="KE1513" i="10"/>
  <c r="KE1514" i="10" a="1"/>
  <c r="GL1491" i="10" a="1"/>
  <c r="GL1513" i="10"/>
  <c r="GL1514" i="10" a="1"/>
  <c r="CS1517" i="10"/>
  <c r="CS1514" i="10"/>
  <c r="CS1515" i="10"/>
  <c r="CS1516" i="10"/>
  <c r="CS1518" i="10"/>
  <c r="CS1520" i="10"/>
  <c r="CS1521" i="10"/>
  <c r="CS1519" i="10"/>
  <c r="CS1524" i="10"/>
  <c r="CS1525" i="10"/>
  <c r="CS1523" i="10"/>
  <c r="CS1529" i="10"/>
  <c r="CS1526" i="10"/>
  <c r="CS1531" i="10"/>
  <c r="CS1522" i="10"/>
  <c r="CS1528" i="10"/>
  <c r="CS1530" i="10"/>
  <c r="CS1532" i="10"/>
  <c r="CS1533" i="10"/>
  <c r="CS1527" i="10"/>
  <c r="AFZ1491" i="10" a="1"/>
  <c r="AFZ1513" i="10"/>
  <c r="AFZ1514" i="10" a="1"/>
  <c r="ADN1491" i="10" a="1"/>
  <c r="ADN1513" i="10"/>
  <c r="ADN1514" i="10" a="1"/>
  <c r="AAL1491" i="10" a="1"/>
  <c r="AAL1513" i="10"/>
  <c r="AAL1514" i="10" a="1"/>
  <c r="WU1491" i="10" a="1"/>
  <c r="WU1513" i="10"/>
  <c r="WU1514" i="10" a="1"/>
  <c r="TA1491" i="10" a="1"/>
  <c r="TA1513" i="10"/>
  <c r="TA1514" i="10" a="1"/>
  <c r="PI1491" i="10" a="1"/>
  <c r="PI1513" i="10"/>
  <c r="PI1514" i="10" a="1"/>
  <c r="LO1491" i="10" a="1"/>
  <c r="LO1514" i="10" a="1"/>
  <c r="LO1513" i="10"/>
  <c r="HU1491" i="10" a="1"/>
  <c r="HU1513" i="10"/>
  <c r="HU1514" i="10" a="1"/>
  <c r="EC1491" i="10" a="1"/>
  <c r="EC1514" i="10" a="1"/>
  <c r="EC1513" i="10"/>
  <c r="AH1491" i="10" a="1"/>
  <c r="AH1513" i="10"/>
  <c r="AH1514" i="10" a="1"/>
  <c r="AEK1513" i="10"/>
  <c r="AEK1491" i="10" a="1"/>
  <c r="AEK1514" i="10" a="1"/>
  <c r="ABP1513" i="10"/>
  <c r="ABP1491" i="10" a="1"/>
  <c r="ABP1514" i="10" a="1"/>
  <c r="YE1491" i="10" a="1"/>
  <c r="YE1513" i="10"/>
  <c r="YE1514" i="10" a="1"/>
  <c r="UK1491" i="10" a="1"/>
  <c r="UK1513" i="10"/>
  <c r="UK1514" i="10" a="1"/>
  <c r="QQ1491" i="10" a="1"/>
  <c r="QQ1513" i="10"/>
  <c r="QQ1514" i="10" a="1"/>
  <c r="MX1491" i="10" a="1"/>
  <c r="MX1513" i="10"/>
  <c r="MX1514" i="10" a="1"/>
  <c r="JD1491" i="10" a="1"/>
  <c r="JD1514" i="10" a="1"/>
  <c r="JD1513" i="10"/>
  <c r="FK1513" i="10"/>
  <c r="FK1514" i="10" a="1"/>
  <c r="FK1491" i="10" a="1"/>
  <c r="BR1491" i="10" a="1"/>
  <c r="BR1514" i="10" a="1"/>
  <c r="BR1513" i="10"/>
  <c r="AFP1491" i="10" a="1"/>
  <c r="AFP1513" i="10"/>
  <c r="AFP1514" i="10" a="1"/>
  <c r="ADD1491" i="10" a="1"/>
  <c r="ADD1513" i="10"/>
  <c r="ADD1514" i="10" a="1"/>
  <c r="ZX1513" i="10"/>
  <c r="ZX1491" i="10" a="1"/>
  <c r="ZX1514" i="10" a="1"/>
  <c r="WE1491" i="10" a="1"/>
  <c r="WE1513" i="10"/>
  <c r="WE1514" i="10" a="1"/>
  <c r="SM1491" i="10" a="1"/>
  <c r="SM1513" i="10"/>
  <c r="SM1514" i="10" a="1"/>
  <c r="OS1491" i="10" a="1"/>
  <c r="OS1513" i="10"/>
  <c r="OS1514" i="10" a="1"/>
  <c r="KY1491" i="10" a="1"/>
  <c r="KY1513" i="10"/>
  <c r="KY1514" i="10" a="1"/>
  <c r="HG1491" i="10" a="1"/>
  <c r="HG1513" i="10"/>
  <c r="HG1514" i="10" a="1"/>
  <c r="DM1491" i="10" a="1"/>
  <c r="DM1514" i="10" a="1"/>
  <c r="DM1513" i="10"/>
  <c r="Q1491" i="10" a="1"/>
  <c r="Q1513" i="10"/>
  <c r="Q1514" i="10" a="1"/>
  <c r="AAS1491" i="10" a="1"/>
  <c r="AAS1513" i="10"/>
  <c r="AAS1514" i="10" a="1"/>
  <c r="YC1491" i="10" a="1"/>
  <c r="YC1513" i="10"/>
  <c r="YC1514" i="10" a="1"/>
  <c r="VG1491" i="10" a="1"/>
  <c r="VG1513" i="10"/>
  <c r="VG1514" i="10" a="1"/>
  <c r="SL1491" i="10" a="1"/>
  <c r="SL1513" i="10"/>
  <c r="SL1514" i="10" a="1"/>
  <c r="PQ1491" i="10" a="1"/>
  <c r="PQ1513" i="10"/>
  <c r="PQ1514" i="10" a="1"/>
  <c r="MV1491" i="10" a="1"/>
  <c r="MV1513" i="10"/>
  <c r="MV1514" i="10" a="1"/>
  <c r="KA1491" i="10" a="1"/>
  <c r="KA1513" i="10"/>
  <c r="KA1514" i="10" a="1"/>
  <c r="HF1513" i="10"/>
  <c r="HF1491" i="10" a="1"/>
  <c r="HF1514" i="10" a="1"/>
  <c r="EK1491" i="10" a="1"/>
  <c r="EK1513" i="10"/>
  <c r="EK1514" i="10" a="1"/>
  <c r="BO1491" i="10" a="1"/>
  <c r="BO1513" i="10"/>
  <c r="BO1514" i="10" a="1"/>
  <c r="ACE1491" i="10" a="1"/>
  <c r="ACE1513" i="10"/>
  <c r="ACE1514" i="10" a="1"/>
  <c r="ZS1491" i="10" a="1"/>
  <c r="ZS1513" i="10"/>
  <c r="ZS1514" i="10" a="1"/>
  <c r="WY1491" i="10" a="1"/>
  <c r="WY1513" i="10"/>
  <c r="WY1514" i="10" a="1"/>
  <c r="UD1491" i="10" a="1"/>
  <c r="UD1513" i="10"/>
  <c r="UD1514" i="10" a="1"/>
  <c r="RI1491" i="10" a="1"/>
  <c r="RI1513" i="10"/>
  <c r="RI1514" i="10" a="1"/>
  <c r="OM1491" i="10" a="1"/>
  <c r="OM1513" i="10"/>
  <c r="OM1514" i="10" a="1"/>
  <c r="LR1491" i="10" a="1"/>
  <c r="LR1513" i="10"/>
  <c r="LR1514" i="10" a="1"/>
  <c r="IW1491" i="10" a="1"/>
  <c r="IW1513" i="10"/>
  <c r="IW1514" i="10" a="1"/>
  <c r="GB1491" i="10" a="1"/>
  <c r="GB1513" i="10"/>
  <c r="GB1514" i="10" a="1"/>
  <c r="DG1491" i="10" a="1"/>
  <c r="DG1513" i="10"/>
  <c r="DG1514" i="10" a="1"/>
  <c r="AL1491" i="10" a="1"/>
  <c r="AL1514" i="10" a="1"/>
  <c r="AL1513" i="10"/>
  <c r="JM1491" i="10" a="1"/>
  <c r="JM1514" i="10" a="1"/>
  <c r="JM1513" i="10"/>
  <c r="YN1491" i="10" a="1"/>
  <c r="YN1513" i="10"/>
  <c r="YN1514" i="10" a="1"/>
  <c r="EF1491" i="10" a="1"/>
  <c r="EF1514" i="10" a="1"/>
  <c r="EF1513" i="10"/>
  <c r="TG1491" i="10" a="1"/>
  <c r="TG1513" i="10"/>
  <c r="TG1514" i="10" a="1"/>
  <c r="AGC1491" i="10" a="1"/>
  <c r="AGC1513" i="10"/>
  <c r="AGC1514" i="10" a="1"/>
  <c r="WM1515" i="10"/>
  <c r="WM1516" i="10"/>
  <c r="WM1514" i="10"/>
  <c r="WM1517" i="10"/>
  <c r="WM1518" i="10"/>
  <c r="WM1522" i="10"/>
  <c r="WM1524" i="10"/>
  <c r="WM1520" i="10"/>
  <c r="WM1521" i="10"/>
  <c r="WM1519" i="10"/>
  <c r="WM1523" i="10"/>
  <c r="WM1525" i="10"/>
  <c r="WM1528" i="10"/>
  <c r="WM1526" i="10"/>
  <c r="WM1531" i="10"/>
  <c r="WM1532" i="10"/>
  <c r="WM1527" i="10"/>
  <c r="WM1529" i="10"/>
  <c r="WM1530" i="10"/>
  <c r="WM1533" i="10"/>
  <c r="HN1491" i="10"/>
  <c r="HN1494" i="10"/>
  <c r="HN1493" i="10"/>
  <c r="HN1499" i="10"/>
  <c r="HN1496" i="10"/>
  <c r="HN1498" i="10"/>
  <c r="HN1495" i="10"/>
  <c r="HN1497" i="10"/>
  <c r="HN1492" i="10"/>
  <c r="HN1502" i="10"/>
  <c r="HN1503" i="10"/>
  <c r="HN1500" i="10"/>
  <c r="HN1506" i="10"/>
  <c r="HN1508" i="10"/>
  <c r="HN1507" i="10"/>
  <c r="HN1509" i="10"/>
  <c r="HN1501" i="10"/>
  <c r="HN1505" i="10"/>
  <c r="HN1504" i="10"/>
  <c r="HN1510" i="10"/>
  <c r="CL1491" i="10" a="1"/>
  <c r="CL1513" i="10"/>
  <c r="CL1514" i="10" a="1"/>
  <c r="RM1491" i="10" a="1"/>
  <c r="RM1513" i="10"/>
  <c r="RM1514" i="10" a="1"/>
  <c r="AEY1491" i="10" a="1"/>
  <c r="AEY1513" i="10"/>
  <c r="AEY1514" i="10" a="1"/>
  <c r="MF1491" i="10" a="1"/>
  <c r="MF1513" i="10"/>
  <c r="MF1514" i="10" a="1"/>
  <c r="AAZ1491" i="10" a="1"/>
  <c r="AAZ1513" i="10"/>
  <c r="AAZ1514" i="10" a="1"/>
  <c r="GR1491" i="10" a="1"/>
  <c r="GR1514" i="10" a="1"/>
  <c r="GR1513" i="10"/>
  <c r="VS1491" i="10" a="1"/>
  <c r="VS1513" i="10"/>
  <c r="VS1514" i="10" a="1"/>
  <c r="BK1491" i="10" a="1"/>
  <c r="BK1513" i="10"/>
  <c r="BK1514" i="10" a="1"/>
  <c r="QL1491" i="10" a="1"/>
  <c r="QL1513" i="10"/>
  <c r="QL1514" i="10" a="1"/>
  <c r="AEG1491" i="10" a="1"/>
  <c r="AEG1513" i="10"/>
  <c r="AEG1514" i="10" a="1"/>
  <c r="AEX1491" i="10" a="1"/>
  <c r="AEX1513" i="10"/>
  <c r="AEX1514" i="10" a="1"/>
  <c r="ACH1513" i="10"/>
  <c r="ACH1491" i="10" a="1"/>
  <c r="ACH1514" i="10" a="1"/>
  <c r="YX1491" i="10" a="1"/>
  <c r="YX1513" i="10"/>
  <c r="YX1514" i="10" a="1"/>
  <c r="VD1491" i="10" a="1"/>
  <c r="VD1513" i="10"/>
  <c r="VD1514" i="10" a="1"/>
  <c r="RL1513" i="10"/>
  <c r="RL1491" i="10" a="1"/>
  <c r="RL1514" i="10" a="1"/>
  <c r="NR1491" i="10" a="1"/>
  <c r="NR1513" i="10"/>
  <c r="NR1514" i="10" a="1"/>
  <c r="JW1491" i="10" a="1"/>
  <c r="JW1513" i="10"/>
  <c r="JW1514" i="10" a="1"/>
  <c r="GE1491" i="10" a="1"/>
  <c r="GE1514" i="10" a="1"/>
  <c r="GE1513" i="10"/>
  <c r="CK1491" i="10" a="1"/>
  <c r="CK1514" i="10" a="1"/>
  <c r="CK1513" i="10"/>
  <c r="AGB1491" i="10" a="1"/>
  <c r="AGB1513" i="10"/>
  <c r="AGB1514" i="10" a="1"/>
  <c r="ADP1491" i="10" a="1"/>
  <c r="ADP1513" i="10"/>
  <c r="ADP1514" i="10" a="1"/>
  <c r="AAN1491" i="10" a="1"/>
  <c r="AAN1513" i="10"/>
  <c r="AAN1514" i="10" a="1"/>
  <c r="WX1491" i="10" a="1"/>
  <c r="WX1513" i="10"/>
  <c r="WX1514" i="10" a="1"/>
  <c r="TF1491" i="10" a="1"/>
  <c r="TF1513" i="10"/>
  <c r="TF1514" i="10" a="1"/>
  <c r="PK1491" i="10" a="1"/>
  <c r="PK1513" i="10"/>
  <c r="PK1514" i="10" a="1"/>
  <c r="LQ1491" i="10" a="1"/>
  <c r="LQ1513" i="10"/>
  <c r="LQ1514" i="10" a="1"/>
  <c r="HY1491" i="10" a="1"/>
  <c r="HY1513" i="10"/>
  <c r="HY1514" i="10" a="1"/>
  <c r="EE1491" i="10" a="1"/>
  <c r="EE1514" i="10" a="1"/>
  <c r="EE1513" i="10"/>
  <c r="AK1491" i="10" a="1"/>
  <c r="AK1514" i="10" a="1"/>
  <c r="AK1513" i="10"/>
  <c r="AEM1491" i="10" a="1"/>
  <c r="AEM1514" i="10" a="1"/>
  <c r="ABS1491" i="10" a="1"/>
  <c r="ABS1514" i="10" a="1"/>
  <c r="YG1491" i="10" a="1"/>
  <c r="YG1513" i="10"/>
  <c r="YG1514" i="10" a="1"/>
  <c r="UN1491" i="10" a="1"/>
  <c r="UN1513" i="10"/>
  <c r="UN1514" i="10" a="1"/>
  <c r="QU1491" i="10" a="1"/>
  <c r="QU1513" i="10"/>
  <c r="QU1514" i="10" a="1"/>
  <c r="NA1491" i="10" a="1"/>
  <c r="NA1513" i="10"/>
  <c r="NA1514" i="10" a="1"/>
  <c r="JG1491" i="10" a="1"/>
  <c r="JG1513" i="10"/>
  <c r="JG1514" i="10" a="1"/>
  <c r="FN1491" i="10" a="1"/>
  <c r="FN1513" i="10"/>
  <c r="FN1514" i="10" a="1"/>
  <c r="BT1491" i="10" a="1"/>
  <c r="BT1513" i="10"/>
  <c r="BT1514" i="10" a="1"/>
  <c r="AFJ1491" i="10" a="1"/>
  <c r="AFJ1513" i="10"/>
  <c r="AFJ1514" i="10" a="1"/>
  <c r="ACX1491" i="10" a="1"/>
  <c r="ACX1513" i="10"/>
  <c r="ACX1514" i="10" a="1"/>
  <c r="ZP1491" i="10" a="1"/>
  <c r="ZP1513" i="10"/>
  <c r="ZP1514" i="10" a="1"/>
  <c r="VV1491" i="10" a="1"/>
  <c r="VV1513" i="10"/>
  <c r="VV1514" i="10" a="1"/>
  <c r="SD1491" i="10" a="1"/>
  <c r="SD1513" i="10"/>
  <c r="SD1514" i="10" a="1"/>
  <c r="OJ1491" i="10" a="1"/>
  <c r="OJ1513" i="10"/>
  <c r="OJ1514" i="10" a="1"/>
  <c r="KP1491" i="10" a="1"/>
  <c r="KP1513" i="10"/>
  <c r="KP1514" i="10" a="1"/>
  <c r="GX1491" i="10" a="1"/>
  <c r="GX1514" i="10" a="1"/>
  <c r="GX1513" i="10"/>
  <c r="DC1491" i="10" a="1"/>
  <c r="DC1513" i="10"/>
  <c r="DC1514" i="10" a="1"/>
  <c r="AGG1491" i="10" a="1"/>
  <c r="AGG1513" i="10"/>
  <c r="AGG1514" i="10" a="1"/>
  <c r="ADU1491" i="10" a="1"/>
  <c r="ADU1513" i="10"/>
  <c r="ADU1514" i="10" a="1"/>
  <c r="AAU1491" i="10" a="1"/>
  <c r="AAU1514" i="10" a="1"/>
  <c r="XF1491" i="10" a="1"/>
  <c r="XF1513" i="10"/>
  <c r="XF1514" i="10" a="1"/>
  <c r="TM1491" i="10" a="1"/>
  <c r="TM1513" i="10"/>
  <c r="TM1514" i="10" a="1"/>
  <c r="PS1491" i="10" a="1"/>
  <c r="PS1513" i="10"/>
  <c r="PS1514" i="10" a="1"/>
  <c r="LY1491" i="10" a="1"/>
  <c r="LY1514" i="10" a="1"/>
  <c r="LY1513" i="10"/>
  <c r="IF1491" i="10" a="1"/>
  <c r="IF1513" i="10"/>
  <c r="IF1514" i="10" a="1"/>
  <c r="EM1491" i="10" a="1"/>
  <c r="EM1513" i="10"/>
  <c r="EM1514" i="10" a="1"/>
  <c r="AS1491" i="10" a="1"/>
  <c r="AS1513" i="10"/>
  <c r="AS1514" i="10" a="1"/>
  <c r="AEZ1513" i="10"/>
  <c r="AEZ1491" i="10" a="1"/>
  <c r="AEZ1514" i="10" a="1"/>
  <c r="ACJ1513" i="10"/>
  <c r="ACJ1491" i="10" a="1"/>
  <c r="ACJ1514" i="10" a="1"/>
  <c r="ZA1491" i="10" a="1"/>
  <c r="ZA1513" i="10"/>
  <c r="ZA1514" i="10" a="1"/>
  <c r="VI1491" i="10" a="1"/>
  <c r="VI1513" i="10"/>
  <c r="VI1514" i="10" a="1"/>
  <c r="RN1491" i="10" a="1"/>
  <c r="RN1513" i="10"/>
  <c r="RN1514" i="10" a="1"/>
  <c r="NT1491" i="10" a="1"/>
  <c r="NT1513" i="10"/>
  <c r="NT1514" i="10" a="1"/>
  <c r="KB1491" i="10" a="1"/>
  <c r="KB1513" i="10"/>
  <c r="KB1514" i="10" a="1"/>
  <c r="GH1491" i="10" a="1"/>
  <c r="GH1514" i="10" a="1"/>
  <c r="GH1513" i="10"/>
  <c r="CM1491" i="10" a="1"/>
  <c r="CM1513" i="10"/>
  <c r="CM1514" i="10" a="1"/>
  <c r="ACO1491" i="10" a="1"/>
  <c r="ACO1513" i="10"/>
  <c r="ACO1514" i="10" a="1"/>
  <c r="AAC1491" i="10" a="1"/>
  <c r="AAC1513" i="10"/>
  <c r="AAC1514" i="10" a="1"/>
  <c r="XJ1491" i="10" a="1"/>
  <c r="XJ1513" i="10"/>
  <c r="XJ1514" i="10" a="1"/>
  <c r="UO1491" i="10" a="1"/>
  <c r="UO1513" i="10"/>
  <c r="UO1514" i="10" a="1"/>
  <c r="RT1491" i="10" a="1"/>
  <c r="RT1513" i="10"/>
  <c r="RT1514" i="10" a="1"/>
  <c r="OY1491" i="10" a="1"/>
  <c r="OY1513" i="10"/>
  <c r="OY1514" i="10" a="1"/>
  <c r="MD1491" i="10" a="1"/>
  <c r="MD1513" i="10"/>
  <c r="MD1514" i="10" a="1"/>
  <c r="JI1491" i="10" a="1"/>
  <c r="JI1513" i="10"/>
  <c r="JI1514" i="10" a="1"/>
  <c r="GM1491" i="10" a="1"/>
  <c r="GM1513" i="10"/>
  <c r="GM1514" i="10" a="1"/>
  <c r="DR1491" i="10" a="1"/>
  <c r="DR1513" i="10"/>
  <c r="DR1514" i="10" a="1"/>
  <c r="AW1491" i="10" a="1"/>
  <c r="AW1514" i="10" a="1"/>
  <c r="AW1513" i="10"/>
  <c r="ABO1491" i="10" a="1"/>
  <c r="ABO1513" i="10"/>
  <c r="ABO1514" i="10" a="1"/>
  <c r="ZB1491" i="10" a="1"/>
  <c r="ZB1513" i="10"/>
  <c r="ZB1514" i="10" a="1"/>
  <c r="WG1491" i="10" a="1"/>
  <c r="WG1513" i="10"/>
  <c r="WG1514" i="10" a="1"/>
  <c r="TK1491" i="10" a="1"/>
  <c r="TK1513" i="10"/>
  <c r="TK1514" i="10" a="1"/>
  <c r="QP1491" i="10" a="1"/>
  <c r="QP1513" i="10"/>
  <c r="QP1514" i="10" a="1"/>
  <c r="NU1491" i="10" a="1"/>
  <c r="NU1513" i="10"/>
  <c r="NU1514" i="10" a="1"/>
  <c r="KZ1491" i="10" a="1"/>
  <c r="KZ1513" i="10"/>
  <c r="KZ1514" i="10" a="1"/>
  <c r="IE1491" i="10" a="1"/>
  <c r="IE1513" i="10"/>
  <c r="IE1514" i="10" a="1"/>
  <c r="FJ1491" i="10" a="1"/>
  <c r="FJ1514" i="10" a="1"/>
  <c r="FJ1513" i="10"/>
  <c r="CO1491" i="10" a="1"/>
  <c r="CO1513" i="10"/>
  <c r="CO1514" i="10" a="1"/>
  <c r="R1491" i="10" a="1"/>
  <c r="R1514" i="10" a="1"/>
  <c r="R1513" i="10"/>
  <c r="NG1491" i="10" a="1"/>
  <c r="NG1513" i="10"/>
  <c r="NG1514" i="10" a="1"/>
  <c r="ABX1491" i="10" a="1"/>
  <c r="ABX1513" i="10"/>
  <c r="ABX1514" i="10" a="1"/>
  <c r="HZ1491" i="10" a="1"/>
  <c r="HZ1513" i="10"/>
  <c r="HZ1514" i="10" a="1"/>
  <c r="WZ1491" i="10" a="1"/>
  <c r="WZ1513" i="10"/>
  <c r="WZ1514" i="10" a="1"/>
  <c r="EI1491" i="10" a="1"/>
  <c r="EI1513" i="10"/>
  <c r="EI1514" i="10" a="1"/>
  <c r="TI1491" i="10" a="1"/>
  <c r="TI1513" i="10"/>
  <c r="TI1514" i="10" a="1"/>
  <c r="AGE1491" i="10" a="1"/>
  <c r="AGE1513" i="10"/>
  <c r="AGE1514" i="10" a="1"/>
  <c r="OB1491" i="10" a="1"/>
  <c r="OB1513" i="10"/>
  <c r="OB1514" i="10" a="1"/>
  <c r="ACQ1491" i="10" a="1"/>
  <c r="ACQ1514" i="10" a="1"/>
  <c r="IO1491" i="10" a="1"/>
  <c r="IO1513" i="10"/>
  <c r="IO1514" i="10" a="1"/>
  <c r="XO1491" i="10" a="1"/>
  <c r="XO1514" i="10" a="1"/>
  <c r="XO1513" i="10"/>
  <c r="DH1491" i="10" a="1"/>
  <c r="DH1513" i="10"/>
  <c r="DH1514" i="10" a="1"/>
  <c r="SH1491" i="10" a="1"/>
  <c r="SH1513" i="10"/>
  <c r="SH1514" i="10" a="1"/>
  <c r="AFM1513" i="10"/>
  <c r="AFM1491" i="10" a="1"/>
  <c r="AFM1514" i="10" a="1"/>
  <c r="AEP1491" i="10" a="1"/>
  <c r="AEP1513" i="10"/>
  <c r="AEP1514" i="10" a="1"/>
  <c r="ABV1491" i="10" a="1"/>
  <c r="ABV1513" i="10"/>
  <c r="ABV1514" i="10" a="1"/>
  <c r="YM1491" i="10" a="1"/>
  <c r="YM1513" i="10"/>
  <c r="YM1514" i="10" a="1"/>
  <c r="US1491" i="10" a="1"/>
  <c r="US1513" i="10"/>
  <c r="US1514" i="10" a="1"/>
  <c r="QX1491" i="10" a="1"/>
  <c r="QX1513" i="10"/>
  <c r="QX1514" i="10" a="1"/>
  <c r="NF1491" i="10" a="1"/>
  <c r="NF1513" i="10"/>
  <c r="NF1514" i="10" a="1"/>
  <c r="JL1491" i="10" a="1"/>
  <c r="JL1514" i="10" a="1"/>
  <c r="JL1513" i="10"/>
  <c r="FR1491" i="10" a="1"/>
  <c r="FR1513" i="10"/>
  <c r="FR1514" i="10" a="1"/>
  <c r="BZ1491" i="10" a="1"/>
  <c r="BZ1514" i="10" a="1"/>
  <c r="BZ1513" i="10"/>
  <c r="AFT1491" i="10" a="1"/>
  <c r="AFT1513" i="10"/>
  <c r="AFT1514" i="10" a="1"/>
  <c r="ADH1491" i="10" a="1"/>
  <c r="ADH1513" i="10"/>
  <c r="ADH1514" i="10" a="1"/>
  <c r="AAD1491" i="10" a="1"/>
  <c r="AAD1513" i="10"/>
  <c r="AAD1514" i="10" a="1"/>
  <c r="WL1491" i="10" a="1"/>
  <c r="WL1513" i="10"/>
  <c r="WL1514" i="10" a="1"/>
  <c r="SR1491" i="10" a="1"/>
  <c r="SR1513" i="10"/>
  <c r="SR1514" i="10" a="1"/>
  <c r="OZ1491" i="10" a="1"/>
  <c r="OZ1513" i="10"/>
  <c r="OZ1514" i="10" a="1"/>
  <c r="LF1491" i="10" a="1"/>
  <c r="LF1514" i="10" a="1"/>
  <c r="LF1513" i="10"/>
  <c r="HK1491" i="10" a="1"/>
  <c r="HK1513" i="10"/>
  <c r="HK1514" i="10" a="1"/>
  <c r="DS1491" i="10" a="1"/>
  <c r="DS1514" i="10" a="1"/>
  <c r="DS1513" i="10"/>
  <c r="Y1491" i="10" a="1"/>
  <c r="Y1513" i="10"/>
  <c r="Y1514" i="10" a="1"/>
  <c r="AEE1491" i="10" a="1"/>
  <c r="AEE1514" i="10" a="1"/>
  <c r="ABH1491" i="10" a="1"/>
  <c r="ABH1513" i="10"/>
  <c r="ABH1514" i="10" a="1"/>
  <c r="XV1491" i="10" a="1"/>
  <c r="XV1513" i="10"/>
  <c r="XV1514" i="10" a="1"/>
  <c r="UA1491" i="10" a="1"/>
  <c r="UA1513" i="10"/>
  <c r="UA1514" i="10" a="1"/>
  <c r="QH1491" i="10" a="1"/>
  <c r="QH1513" i="10"/>
  <c r="QH1514" i="10" a="1"/>
  <c r="MO1491" i="10" a="1"/>
  <c r="MO1513" i="10"/>
  <c r="MO1514" i="10" a="1"/>
  <c r="IU1491" i="10" a="1"/>
  <c r="IU1513" i="10"/>
  <c r="IU1514" i="10" a="1"/>
  <c r="FB1491" i="10" a="1"/>
  <c r="FB1513" i="10"/>
  <c r="FB1514" i="10" a="1"/>
  <c r="BI1491" i="10" a="1"/>
  <c r="BI1514" i="10" a="1"/>
  <c r="BI1513" i="10"/>
  <c r="AFB1491" i="10" a="1"/>
  <c r="AFB1513" i="10"/>
  <c r="AFB1514" i="10" a="1"/>
  <c r="ACL1491" i="10" a="1"/>
  <c r="ACL1513" i="10"/>
  <c r="ACL1514" i="10" a="1"/>
  <c r="ZE1491" i="10" a="1"/>
  <c r="ZE1514" i="10" a="1"/>
  <c r="ZE1513" i="10"/>
  <c r="VK1491" i="10" a="1"/>
  <c r="VK1513" i="10"/>
  <c r="VK1514" i="10" a="1"/>
  <c r="RQ1491" i="10" a="1"/>
  <c r="RQ1513" i="10"/>
  <c r="RQ1514" i="10" a="1"/>
  <c r="NY1491" i="10" a="1"/>
  <c r="NY1513" i="10"/>
  <c r="NY1514" i="10" a="1"/>
  <c r="KD1491" i="10" a="1"/>
  <c r="KD1513" i="10"/>
  <c r="KD1514" i="10" a="1"/>
  <c r="GJ1491" i="10" a="1"/>
  <c r="GJ1513" i="10"/>
  <c r="GJ1514" i="10" a="1"/>
  <c r="CR1491" i="10" a="1"/>
  <c r="CR1514" i="10" a="1"/>
  <c r="CR1513" i="10"/>
  <c r="AFY1491" i="10" a="1"/>
  <c r="AFY1514" i="10" a="1"/>
  <c r="AFY1513" i="10"/>
  <c r="ADM1491" i="10" a="1"/>
  <c r="ADM1513" i="10"/>
  <c r="ADM1514" i="10" a="1"/>
  <c r="AAJ1491" i="10" a="1"/>
  <c r="AAJ1513" i="10"/>
  <c r="AAJ1514" i="10" a="1"/>
  <c r="WT1491" i="10" a="1"/>
  <c r="WT1513" i="10"/>
  <c r="WT1514" i="10" a="1"/>
  <c r="SZ1491" i="10" a="1"/>
  <c r="SZ1513" i="10"/>
  <c r="SZ1514" i="10" a="1"/>
  <c r="PG1491" i="10" a="1"/>
  <c r="PG1513" i="10"/>
  <c r="PG1514" i="10" a="1"/>
  <c r="LN1491" i="10" a="1"/>
  <c r="LN1513" i="10"/>
  <c r="LN1514" i="10" a="1"/>
  <c r="HS1513" i="10"/>
  <c r="HS1491" i="10" a="1"/>
  <c r="HS1514" i="10" a="1"/>
  <c r="DZ1491" i="10" a="1"/>
  <c r="DZ1513" i="10"/>
  <c r="DZ1514" i="10" a="1"/>
  <c r="AG1491" i="10" a="1"/>
  <c r="AG1514" i="10" a="1"/>
  <c r="AG1513" i="10"/>
  <c r="AER1491" i="10" a="1"/>
  <c r="AER1513" i="10"/>
  <c r="AER1514" i="10" a="1"/>
  <c r="ABZ1491" i="10" a="1"/>
  <c r="ABZ1513" i="10"/>
  <c r="ABZ1514" i="10" a="1"/>
  <c r="YO1491" i="10" a="1"/>
  <c r="YO1513" i="10"/>
  <c r="YO1514" i="10" a="1"/>
  <c r="UU1491" i="10" a="1"/>
  <c r="UU1513" i="10"/>
  <c r="UU1514" i="10" a="1"/>
  <c r="RC1513" i="10"/>
  <c r="RC1491" i="10" a="1"/>
  <c r="RC1514" i="10" a="1"/>
  <c r="NI1491" i="10" a="1"/>
  <c r="NI1513" i="10"/>
  <c r="NI1514" i="10" a="1"/>
  <c r="JN1491" i="10" a="1"/>
  <c r="JN1513" i="10"/>
  <c r="JN1514" i="10" a="1"/>
  <c r="FV1491" i="10" a="1"/>
  <c r="FV1514" i="10" a="1"/>
  <c r="FV1513" i="10"/>
  <c r="CB1491" i="10" a="1"/>
  <c r="CB1514" i="10" a="1"/>
  <c r="CB1513" i="10"/>
  <c r="ACG1491" i="10" a="1"/>
  <c r="ACG1513" i="10"/>
  <c r="ACG1514" i="10" a="1"/>
  <c r="ZU1491" i="10" a="1"/>
  <c r="ZU1513" i="10"/>
  <c r="ZU1514" i="10" a="1"/>
  <c r="XA1491" i="10" a="1"/>
  <c r="XA1513" i="10"/>
  <c r="XA1514" i="10" a="1"/>
  <c r="UF1491" i="10" a="1"/>
  <c r="UF1513" i="10"/>
  <c r="UF1514" i="10" a="1"/>
  <c r="RK1491" i="10" a="1"/>
  <c r="RK1513" i="10"/>
  <c r="RK1514" i="10" a="1"/>
  <c r="OP1491" i="10" a="1"/>
  <c r="OP1513" i="10"/>
  <c r="OP1514" i="10" a="1"/>
  <c r="LU1491" i="10" a="1"/>
  <c r="LU1513" i="10"/>
  <c r="LU1514" i="10" a="1"/>
  <c r="IY1491" i="10" a="1"/>
  <c r="IY1513" i="10"/>
  <c r="IY1514" i="10" a="1"/>
  <c r="GD1491" i="10" a="1"/>
  <c r="GD1513" i="10"/>
  <c r="GD1514" i="10" a="1"/>
  <c r="DI1491" i="10" a="1"/>
  <c r="DI1514" i="10" a="1"/>
  <c r="DI1513" i="10"/>
  <c r="AN1491" i="10" a="1"/>
  <c r="AN1513" i="10"/>
  <c r="AN1514" i="10" a="1"/>
  <c r="ABG1491" i="10" a="1"/>
  <c r="ABG1513" i="10"/>
  <c r="ABG1514" i="10" a="1"/>
  <c r="YS1491" i="10" a="1"/>
  <c r="YS1513" i="10"/>
  <c r="YS1514" i="10" a="1"/>
  <c r="VW1513" i="10"/>
  <c r="VW1491" i="10" a="1"/>
  <c r="VW1514" i="10" a="1"/>
  <c r="TB1491" i="10" a="1"/>
  <c r="TB1513" i="10"/>
  <c r="TB1514" i="10" a="1"/>
  <c r="QG1491" i="10" a="1"/>
  <c r="QG1513" i="10"/>
  <c r="QG1514" i="10" a="1"/>
  <c r="NL1491" i="10" a="1"/>
  <c r="NL1513" i="10"/>
  <c r="NL1514" i="10" a="1"/>
  <c r="KQ1491" i="10" a="1"/>
  <c r="KQ1513" i="10"/>
  <c r="KQ1514" i="10" a="1"/>
  <c r="HV1491" i="10" a="1"/>
  <c r="HV1513" i="10"/>
  <c r="HV1514" i="10" a="1"/>
  <c r="FA1513" i="10"/>
  <c r="FA1491" i="10" a="1"/>
  <c r="FA1514" i="10" a="1"/>
  <c r="CE1491" i="10" a="1"/>
  <c r="CE1513" i="10"/>
  <c r="CE1514" i="10" a="1"/>
  <c r="S1491" i="10" a="1"/>
  <c r="S1513" i="10"/>
  <c r="S1514" i="10" a="1"/>
  <c r="PC1491" i="10" a="1"/>
  <c r="PC1514" i="10" a="1"/>
  <c r="PC1513" i="10"/>
  <c r="ADK1513" i="10"/>
  <c r="ADK1491" i="10" a="1"/>
  <c r="ADK1514" i="10" a="1"/>
  <c r="JV1491" i="10" a="1"/>
  <c r="JV1513" i="10"/>
  <c r="JV1514" i="10" a="1"/>
  <c r="YW1491" i="10" a="1"/>
  <c r="YW1514" i="10" a="1"/>
  <c r="ADI1492" i="10"/>
  <c r="ADI1491" i="10"/>
  <c r="ADI1494" i="10"/>
  <c r="ADI1500" i="10"/>
  <c r="ADI1493" i="10"/>
  <c r="ADI1495" i="10"/>
  <c r="ADI1497" i="10"/>
  <c r="ADI1498" i="10"/>
  <c r="ADI1496" i="10"/>
  <c r="ADI1501" i="10"/>
  <c r="ADI1505" i="10"/>
  <c r="ADI1504" i="10"/>
  <c r="ADI1502" i="10"/>
  <c r="ADI1503" i="10"/>
  <c r="ADI1506" i="10"/>
  <c r="ADI1508" i="10"/>
  <c r="ADI1509" i="10"/>
  <c r="ADI1507" i="10"/>
  <c r="ADI1510" i="10"/>
  <c r="ADI1499" i="10"/>
  <c r="GG1491" i="10" a="1"/>
  <c r="GG1513" i="10"/>
  <c r="GG1514" i="10" a="1"/>
  <c r="VF1491" i="10" a="1"/>
  <c r="VF1513" i="10"/>
  <c r="VF1514" i="10" a="1"/>
  <c r="AY1491" i="10" a="1"/>
  <c r="AY1514" i="10" a="1"/>
  <c r="AY1513" i="10"/>
  <c r="PY1491" i="10" a="1"/>
  <c r="PY1513" i="10"/>
  <c r="PY1514" i="10" a="1"/>
  <c r="ADY1491" i="10" a="1"/>
  <c r="ADY1513" i="10"/>
  <c r="ADY1514" i="10" a="1"/>
  <c r="KL1491" i="10" a="1"/>
  <c r="KL1513" i="10"/>
  <c r="KL1514" i="10" a="1"/>
  <c r="ZL1491" i="10" a="1"/>
  <c r="ZL1513" i="10"/>
  <c r="ZL1514" i="10" a="1"/>
  <c r="FE1514" i="10"/>
  <c r="FE1515" i="10"/>
  <c r="FE1516" i="10"/>
  <c r="FE1519" i="10"/>
  <c r="FE1518" i="10"/>
  <c r="FE1517" i="10"/>
  <c r="FE1520" i="10"/>
  <c r="FE1523" i="10"/>
  <c r="FE1521" i="10"/>
  <c r="FE1522" i="10"/>
  <c r="FE1525" i="10"/>
  <c r="FE1526" i="10"/>
  <c r="FE1528" i="10"/>
  <c r="FE1527" i="10"/>
  <c r="FE1529" i="10"/>
  <c r="FE1530" i="10"/>
  <c r="FE1524" i="10"/>
  <c r="FE1532" i="10"/>
  <c r="FE1531" i="10"/>
  <c r="FE1533" i="10"/>
  <c r="UE1491" i="10" a="1"/>
  <c r="UE1513" i="10"/>
  <c r="UE1514" i="10" a="1"/>
  <c r="P1491" i="10" a="1"/>
  <c r="P1514" i="10" a="1"/>
  <c r="P1513" i="10"/>
  <c r="AEH1491" i="10" a="1"/>
  <c r="AEH1513" i="10"/>
  <c r="AEH1514" i="10" a="1"/>
  <c r="ABL1491" i="10" a="1"/>
  <c r="ABL1513" i="10"/>
  <c r="ABL1514" i="10" a="1"/>
  <c r="XY1491" i="10" a="1"/>
  <c r="XY1513" i="10"/>
  <c r="XY1514" i="10" a="1"/>
  <c r="UG1513" i="10"/>
  <c r="UG1491" i="10" a="1"/>
  <c r="UG1514" i="10" a="1"/>
  <c r="QM1491" i="10" a="1"/>
  <c r="QM1513" i="10"/>
  <c r="QM1514" i="10" a="1"/>
  <c r="MS1491" i="10" a="1"/>
  <c r="MS1513" i="10"/>
  <c r="MS1514" i="10" a="1"/>
  <c r="JA1491" i="10" a="1"/>
  <c r="JA1513" i="10"/>
  <c r="JA1514" i="10" a="1"/>
  <c r="FF1491" i="10" a="1"/>
  <c r="FF1513" i="10"/>
  <c r="FF1514" i="10" a="1"/>
  <c r="BL1491" i="10" a="1"/>
  <c r="BL1513" i="10"/>
  <c r="BL1514" i="10" a="1"/>
  <c r="AFL1513" i="10"/>
  <c r="AFL1491" i="10" a="1"/>
  <c r="AFL1514" i="10" a="1"/>
  <c r="ACZ1491" i="10" a="1"/>
  <c r="ACZ1513" i="10"/>
  <c r="ACZ1514" i="10" a="1"/>
  <c r="ZR1491" i="10" a="1"/>
  <c r="ZR1513" i="10"/>
  <c r="ZR1514" i="10" a="1"/>
  <c r="WA1491" i="10" a="1"/>
  <c r="WA1513" i="10"/>
  <c r="WA1514" i="10" a="1"/>
  <c r="SG1491" i="10" a="1"/>
  <c r="SG1513" i="10"/>
  <c r="SG1514" i="10" a="1"/>
  <c r="OL1491" i="10" a="1"/>
  <c r="OL1513" i="10"/>
  <c r="OL1514" i="10" a="1"/>
  <c r="KT1491" i="10" a="1"/>
  <c r="KT1513" i="10"/>
  <c r="KT1514" i="10" a="1"/>
  <c r="GZ1491" i="10" a="1"/>
  <c r="GZ1514" i="10" a="1"/>
  <c r="GZ1513" i="10"/>
  <c r="DF1491" i="10" a="1"/>
  <c r="DF1513" i="10"/>
  <c r="DF1514" i="10" a="1"/>
  <c r="AGI1491" i="10" a="1"/>
  <c r="AGI1514" i="10" a="1"/>
  <c r="ADW1491" i="10" a="1"/>
  <c r="ADW1514" i="10" a="1"/>
  <c r="AAW1491" i="10" a="1"/>
  <c r="AAW1513" i="10"/>
  <c r="AAW1514" i="10" a="1"/>
  <c r="XI1491" i="10" a="1"/>
  <c r="XI1513" i="10"/>
  <c r="XI1514" i="10" a="1"/>
  <c r="TP1491" i="10" a="1"/>
  <c r="TP1513" i="10"/>
  <c r="TP1514" i="10" a="1"/>
  <c r="PV1491" i="10" a="1"/>
  <c r="PV1513" i="10"/>
  <c r="PV1514" i="10" a="1"/>
  <c r="MC1491" i="10" a="1"/>
  <c r="MC1513" i="10"/>
  <c r="MC1514" i="10" a="1"/>
  <c r="II1491" i="10" a="1"/>
  <c r="II1514" i="10" a="1"/>
  <c r="II1513" i="10"/>
  <c r="EO1491" i="10" a="1"/>
  <c r="EO1514" i="10" a="1"/>
  <c r="EO1513" i="10"/>
  <c r="AV1491" i="10" a="1"/>
  <c r="AV1514" i="10" a="1"/>
  <c r="AV1513" i="10"/>
  <c r="AET1513" i="10"/>
  <c r="AET1491" i="10" a="1"/>
  <c r="AET1514" i="10" a="1"/>
  <c r="ACB1491" i="10" a="1"/>
  <c r="ACB1513" i="10"/>
  <c r="ACB1514" i="10" a="1"/>
  <c r="YQ1491" i="10" a="1"/>
  <c r="YQ1513" i="10"/>
  <c r="YQ1514" i="10" a="1"/>
  <c r="UY1491" i="10" a="1"/>
  <c r="UY1513" i="10"/>
  <c r="UY1514" i="10" a="1"/>
  <c r="RE1491" i="10" a="1"/>
  <c r="RE1513" i="10"/>
  <c r="RE1514" i="10" a="1"/>
  <c r="NK1491" i="10" a="1"/>
  <c r="NK1513" i="10"/>
  <c r="NK1514" i="10" a="1"/>
  <c r="JS1491" i="10" a="1"/>
  <c r="JS1513" i="10"/>
  <c r="JS1514" i="10" a="1"/>
  <c r="FY1514" i="10" a="1"/>
  <c r="FY1513" i="10"/>
  <c r="FY1491" i="10" a="1"/>
  <c r="CD1491" i="10" a="1"/>
  <c r="CD1513" i="10"/>
  <c r="CD1514" i="10" a="1"/>
  <c r="AFQ1491" i="10" a="1"/>
  <c r="AFQ1513" i="10"/>
  <c r="AFQ1514" i="10" a="1"/>
  <c r="ADE1491" i="10" a="1"/>
  <c r="ADE1513" i="10"/>
  <c r="ADE1514" i="10" a="1"/>
  <c r="ZY1491" i="10" a="1"/>
  <c r="ZY1513" i="10"/>
  <c r="ZY1514" i="10" a="1"/>
  <c r="WH1491" i="10" a="1"/>
  <c r="WH1513" i="10"/>
  <c r="WH1514" i="10" a="1"/>
  <c r="SO1491" i="10" a="1"/>
  <c r="SO1513" i="10"/>
  <c r="SO1514" i="10" a="1"/>
  <c r="OT1491" i="10" a="1"/>
  <c r="OT1514" i="10" a="1"/>
  <c r="OT1513" i="10"/>
  <c r="LA1491" i="10" a="1"/>
  <c r="LA1513" i="10"/>
  <c r="LA1514" i="10" a="1"/>
  <c r="HH1491" i="10" a="1"/>
  <c r="HH1513" i="10"/>
  <c r="HH1514" i="10" a="1"/>
  <c r="DN1491" i="10" a="1"/>
  <c r="DN1513" i="10"/>
  <c r="DN1514" i="10" a="1"/>
  <c r="T1491" i="10" a="1"/>
  <c r="T1514" i="10" a="1"/>
  <c r="T1513" i="10"/>
  <c r="AEJ1491" i="10" a="1"/>
  <c r="AEJ1513" i="10"/>
  <c r="AEJ1514" i="10" a="1"/>
  <c r="ABN1491" i="10" a="1"/>
  <c r="ABN1514" i="10" a="1"/>
  <c r="ABN1513" i="10"/>
  <c r="YD1491" i="10" a="1"/>
  <c r="YD1513" i="10"/>
  <c r="YD1514" i="10" a="1"/>
  <c r="UI1491" i="10" a="1"/>
  <c r="UI1513" i="10"/>
  <c r="UI1514" i="10" a="1"/>
  <c r="QO1491" i="10" a="1"/>
  <c r="QO1513" i="10"/>
  <c r="QO1514" i="10" a="1"/>
  <c r="MW1491" i="10" a="1"/>
  <c r="MW1513" i="10"/>
  <c r="MW1514" i="10" a="1"/>
  <c r="JC1491" i="10" a="1"/>
  <c r="JC1514" i="10" a="1"/>
  <c r="JC1513" i="10"/>
  <c r="FI1491" i="10" a="1"/>
  <c r="FI1513" i="10"/>
  <c r="FI1514" i="10" a="1"/>
  <c r="BQ1491" i="10" a="1"/>
  <c r="BQ1514" i="10" a="1"/>
  <c r="BQ1513" i="10"/>
  <c r="ABY1513" i="10"/>
  <c r="ABY1491" i="10" a="1"/>
  <c r="ABY1514" i="10" a="1"/>
  <c r="ZM1491" i="10" a="1"/>
  <c r="ZM1513" i="10"/>
  <c r="ZM1514" i="10" a="1"/>
  <c r="WR1491" i="10" a="1"/>
  <c r="WR1513" i="10"/>
  <c r="WR1514" i="10" a="1"/>
  <c r="TW1491" i="10" a="1"/>
  <c r="TW1513" i="10"/>
  <c r="TW1514" i="10" a="1"/>
  <c r="RB1513" i="10"/>
  <c r="RB1514" i="10" a="1"/>
  <c r="RB1491" i="10" a="1"/>
  <c r="OG1491" i="10" a="1"/>
  <c r="OG1513" i="10"/>
  <c r="OG1514" i="10" a="1"/>
  <c r="LK1491" i="10" a="1"/>
  <c r="LK1513" i="10"/>
  <c r="LK1514" i="10" a="1"/>
  <c r="IP1491" i="10" a="1"/>
  <c r="IP1513" i="10"/>
  <c r="IP1514" i="10" a="1"/>
  <c r="FU1513" i="10"/>
  <c r="FU1491" i="10" a="1"/>
  <c r="FU1514" i="10" a="1"/>
  <c r="CZ1491" i="10" a="1"/>
  <c r="CZ1513" i="10"/>
  <c r="CZ1514" i="10" a="1"/>
  <c r="AE1491" i="10" a="1"/>
  <c r="AE1513" i="10"/>
  <c r="AE1514" i="10" a="1"/>
  <c r="AAY1513" i="10"/>
  <c r="AAY1491" i="10" a="1"/>
  <c r="AAY1514" i="10" a="1"/>
  <c r="YI1491" i="10" a="1"/>
  <c r="YI1513" i="10"/>
  <c r="YI1514" i="10" a="1"/>
  <c r="VN1491" i="10" a="1"/>
  <c r="VN1513" i="10"/>
  <c r="VN1514" i="10" a="1"/>
  <c r="SS1491" i="10" a="1"/>
  <c r="SS1513" i="10"/>
  <c r="SS1514" i="10" a="1"/>
  <c r="PX1513" i="10"/>
  <c r="PX1491" i="10" a="1"/>
  <c r="PX1514" i="10" a="1"/>
  <c r="NC1491" i="10" a="1"/>
  <c r="NC1513" i="10"/>
  <c r="NC1514" i="10" a="1"/>
  <c r="KH1491" i="10" a="1"/>
  <c r="KH1513" i="10"/>
  <c r="KH1514" i="10" a="1"/>
  <c r="HM1491" i="10" a="1"/>
  <c r="HM1513" i="10"/>
  <c r="HM1514" i="10" a="1"/>
  <c r="EQ1491" i="10" a="1"/>
  <c r="EQ1513" i="10"/>
  <c r="EQ1514" i="10" a="1"/>
  <c r="BV1491" i="10" a="1"/>
  <c r="BV1513" i="10"/>
  <c r="BV1514" i="10" a="1"/>
  <c r="CA1491" i="10" a="1"/>
  <c r="CA1514" i="10" a="1"/>
  <c r="CA1513" i="10"/>
  <c r="RA1491" i="10" a="1"/>
  <c r="RA1513" i="10"/>
  <c r="RA1514" i="10" a="1"/>
  <c r="AEQ1513" i="10"/>
  <c r="AEQ1491" i="10" a="1"/>
  <c r="AEQ1514" i="10" a="1"/>
  <c r="LS1491" i="10" a="1"/>
  <c r="LS1513" i="10"/>
  <c r="LS1514" i="10" a="1"/>
  <c r="AAO1513" i="10"/>
  <c r="AAO1491" i="10" a="1"/>
  <c r="AAO1514" i="10" a="1"/>
  <c r="PA1517" i="10"/>
  <c r="PA1515" i="10"/>
  <c r="PA1516" i="10"/>
  <c r="PA1514" i="10"/>
  <c r="PA1522" i="10"/>
  <c r="PA1524" i="10"/>
  <c r="PA1521" i="10"/>
  <c r="PA1520" i="10"/>
  <c r="PA1528" i="10"/>
  <c r="PA1523" i="10"/>
  <c r="PA1518" i="10"/>
  <c r="PA1519" i="10"/>
  <c r="PA1526" i="10"/>
  <c r="PA1525" i="10"/>
  <c r="PA1527" i="10"/>
  <c r="PA1530" i="10"/>
  <c r="PA1533" i="10"/>
  <c r="PA1529" i="10"/>
  <c r="PA1531" i="10"/>
  <c r="PA1532" i="10"/>
  <c r="AFC1513" i="10"/>
  <c r="IC1491" i="10" a="1"/>
  <c r="IC1513" i="10"/>
  <c r="IC1514" i="10" a="1"/>
  <c r="XC1491" i="10" a="1"/>
  <c r="XC1513" i="10"/>
  <c r="XC1514" i="10" a="1"/>
  <c r="CU1491" i="10" a="1"/>
  <c r="CU1513" i="10"/>
  <c r="CU1514" i="10" a="1"/>
  <c r="RV1491" i="10" a="1"/>
  <c r="RV1513" i="10"/>
  <c r="RV1514" i="10" a="1"/>
  <c r="AFE1491" i="10" a="1"/>
  <c r="AFE1513" i="10"/>
  <c r="AFE1514" i="10" a="1"/>
  <c r="MH1514" i="10" a="1"/>
  <c r="MH1491" i="10" a="1"/>
  <c r="MH1513" i="10"/>
  <c r="ABC1491" i="10" a="1"/>
  <c r="ABC1514" i="10" a="1"/>
  <c r="HA1491" i="10" a="1"/>
  <c r="HA1513" i="10"/>
  <c r="HA1514" i="10" a="1"/>
  <c r="WB1491" i="10" a="1"/>
  <c r="WB1513" i="10"/>
  <c r="WB1514" i="10" a="1"/>
  <c r="AGL1491" i="10" a="1"/>
  <c r="AGL1513" i="10"/>
  <c r="AGL1514" i="10" a="1"/>
  <c r="ADZ1491" i="10" a="1"/>
  <c r="ADZ1513" i="10"/>
  <c r="ADZ1514" i="10" a="1"/>
  <c r="ABB1491" i="10" a="1"/>
  <c r="ABB1513" i="10"/>
  <c r="ABB1514" i="10" a="1"/>
  <c r="XN1491" i="10" a="1"/>
  <c r="XN1513" i="10"/>
  <c r="XN1514" i="10" a="1"/>
  <c r="TS1491" i="10" a="1"/>
  <c r="TS1513" i="10"/>
  <c r="TS1514" i="10" a="1"/>
  <c r="QA1491" i="10" a="1"/>
  <c r="QA1513" i="10"/>
  <c r="QA1514" i="10" a="1"/>
  <c r="MG1513" i="10"/>
  <c r="MG1514" i="10" a="1"/>
  <c r="MG1491" i="10" a="1"/>
  <c r="IM1491" i="10" a="1"/>
  <c r="IM1513" i="10"/>
  <c r="IM1514" i="10" a="1"/>
  <c r="EU1491" i="10" a="1"/>
  <c r="EU1514" i="10" a="1"/>
  <c r="EU1513" i="10"/>
  <c r="BA1491" i="10" a="1"/>
  <c r="BA1513" i="10"/>
  <c r="BA1514" i="10" a="1"/>
  <c r="AFD1513" i="10"/>
  <c r="AFD1491" i="10" a="1"/>
  <c r="AFD1514" i="10" a="1"/>
  <c r="ACP1491" i="10" a="1"/>
  <c r="ACP1513" i="10"/>
  <c r="ACP1514" i="10" a="1"/>
  <c r="ZG1491" i="10" a="1"/>
  <c r="ZG1513" i="10"/>
  <c r="ZG1514" i="10" a="1"/>
  <c r="VM1491" i="10" a="1"/>
  <c r="VM1513" i="10"/>
  <c r="VM1514" i="10" a="1"/>
  <c r="RU1491" i="10" a="1"/>
  <c r="RU1513" i="10"/>
  <c r="RU1514" i="10" a="1"/>
  <c r="OA1491" i="10" a="1"/>
  <c r="OA1513" i="10"/>
  <c r="OA1514" i="10" a="1"/>
  <c r="KG1491" i="10" a="1"/>
  <c r="KG1513" i="10"/>
  <c r="KG1514" i="10" a="1"/>
  <c r="GO1491" i="10" a="1"/>
  <c r="GO1514" i="10" a="1"/>
  <c r="GO1513" i="10"/>
  <c r="CT1491" i="10" a="1"/>
  <c r="CT1513" i="10"/>
  <c r="CT1514" i="10" a="1"/>
  <c r="AGA1491" i="10" a="1"/>
  <c r="AGA1514" i="10" a="1"/>
  <c r="ADO1491" i="10" a="1"/>
  <c r="ADO1514" i="10" a="1"/>
  <c r="AAM1491" i="10" a="1"/>
  <c r="AAM1514" i="10" a="1"/>
  <c r="WW1491" i="10" a="1"/>
  <c r="WW1513" i="10"/>
  <c r="WW1514" i="10" a="1"/>
  <c r="TC1491" i="10" a="1"/>
  <c r="TC1513" i="10"/>
  <c r="TC1514" i="10" a="1"/>
  <c r="PJ1491" i="10" a="1"/>
  <c r="PJ1513" i="10"/>
  <c r="PJ1514" i="10" a="1"/>
  <c r="LP1491" i="10" a="1"/>
  <c r="LP1513" i="10"/>
  <c r="LP1514" i="10" a="1"/>
  <c r="HW1491" i="10" a="1"/>
  <c r="HW1513" i="10"/>
  <c r="HW1514" i="10" a="1"/>
  <c r="ED1491" i="10" a="1"/>
  <c r="ED1514" i="10" a="1"/>
  <c r="ED1513" i="10"/>
  <c r="AI1491" i="10" a="1"/>
  <c r="AI1513" i="10"/>
  <c r="AI1514" i="10" a="1"/>
  <c r="AEL1513" i="10"/>
  <c r="AEL1514" i="10" a="1"/>
  <c r="AEL1491" i="10" a="1"/>
  <c r="ABR1491" i="10" a="1"/>
  <c r="ABR1513" i="10"/>
  <c r="ABR1514" i="10" a="1"/>
  <c r="YF1491" i="10" a="1"/>
  <c r="YF1513" i="10"/>
  <c r="YF1514" i="10" a="1"/>
  <c r="UL1491" i="10" a="1"/>
  <c r="UL1513" i="10"/>
  <c r="UL1514" i="10" a="1"/>
  <c r="QT1491" i="10" a="1"/>
  <c r="QT1513" i="10"/>
  <c r="QT1514" i="10" a="1"/>
  <c r="MY1491" i="10" a="1"/>
  <c r="MY1513" i="10"/>
  <c r="MY1514" i="10" a="1"/>
  <c r="JE1491" i="10" a="1"/>
  <c r="JE1513" i="10"/>
  <c r="JE1514" i="10" a="1"/>
  <c r="FM1513" i="10"/>
  <c r="FM1514" i="10" a="1"/>
  <c r="BS1491" i="10" a="1"/>
  <c r="BS1514" i="10" a="1"/>
  <c r="BS1513" i="10"/>
  <c r="AFI1513" i="10"/>
  <c r="AFI1491" i="10" a="1"/>
  <c r="AFI1514" i="10" a="1"/>
  <c r="ACV1491" i="10" a="1"/>
  <c r="ACV1513" i="10"/>
  <c r="ACV1514" i="10" a="1"/>
  <c r="ZO1491" i="10" a="1"/>
  <c r="ZO1513" i="10"/>
  <c r="ZO1514" i="10" a="1"/>
  <c r="VU1491" i="10" a="1"/>
  <c r="VU1513" i="10"/>
  <c r="VU1514" i="10" a="1"/>
  <c r="SB1491" i="10" a="1"/>
  <c r="SB1513" i="10"/>
  <c r="SB1514" i="10" a="1"/>
  <c r="OI1491" i="10" a="1"/>
  <c r="OI1513" i="10"/>
  <c r="OI1514" i="10" a="1"/>
  <c r="KO1491" i="10" a="1"/>
  <c r="KO1513" i="10"/>
  <c r="KO1514" i="10" a="1"/>
  <c r="GU1491" i="10" a="1"/>
  <c r="GU1513" i="10"/>
  <c r="GU1514" i="10" a="1"/>
  <c r="DB1491" i="10" a="1"/>
  <c r="DB1514" i="10" a="1"/>
  <c r="DB1513" i="10"/>
  <c r="AGN1491" i="10" a="1"/>
  <c r="AGN1513" i="10"/>
  <c r="AGN1514" i="10" a="1"/>
  <c r="AEB1513" i="10"/>
  <c r="AEB1491" i="10" a="1"/>
  <c r="AEB1514" i="10" a="1"/>
  <c r="ABD1491" i="10" a="1"/>
  <c r="ABD1513" i="10"/>
  <c r="ABD1514" i="10" a="1"/>
  <c r="XP1491" i="10" a="1"/>
  <c r="XP1513" i="10"/>
  <c r="XP1514" i="10" a="1"/>
  <c r="TX1513" i="10"/>
  <c r="TX1491" i="10" a="1"/>
  <c r="TX1514" i="10" a="1"/>
  <c r="QD1491" i="10" a="1"/>
  <c r="QD1513" i="10"/>
  <c r="QD1514" i="10" a="1"/>
  <c r="MI1491" i="10" a="1"/>
  <c r="MI1513" i="10"/>
  <c r="MI1514" i="10" a="1"/>
  <c r="IQ1491" i="10" a="1"/>
  <c r="IQ1513" i="10"/>
  <c r="IQ1514" i="10" a="1"/>
  <c r="EW1491" i="10" a="1"/>
  <c r="EW1514" i="10" a="1"/>
  <c r="EW1513" i="10"/>
  <c r="BC1491" i="10" a="1"/>
  <c r="BC1513" i="10"/>
  <c r="BC1514" i="10" a="1"/>
  <c r="ABQ1491" i="10" a="1"/>
  <c r="ABQ1513" i="10"/>
  <c r="ABQ1514" i="10" a="1"/>
  <c r="ZD1513" i="10"/>
  <c r="ZD1514" i="10" a="1"/>
  <c r="ZD1491" i="10" a="1"/>
  <c r="WI1491" i="10" a="1"/>
  <c r="WI1514" i="10" a="1"/>
  <c r="WI1513" i="10"/>
  <c r="TN1491" i="10" a="1"/>
  <c r="TN1514" i="10" a="1"/>
  <c r="TN1513" i="10"/>
  <c r="QS1491" i="10" a="1"/>
  <c r="QS1514" i="10" a="1"/>
  <c r="QS1513" i="10"/>
  <c r="NW1491" i="10" a="1"/>
  <c r="NW1514" i="10" a="1"/>
  <c r="NW1513" i="10"/>
  <c r="LB1491" i="10" a="1"/>
  <c r="LB1514" i="10" a="1"/>
  <c r="LB1513" i="10"/>
  <c r="IG1491" i="10" a="1"/>
  <c r="IG1514" i="10" a="1"/>
  <c r="IG1513" i="10"/>
  <c r="FL1491" i="10" a="1"/>
  <c r="FL1514" i="10" a="1"/>
  <c r="FL1513" i="10"/>
  <c r="CQ1491" i="10" a="1"/>
  <c r="CQ1513" i="10"/>
  <c r="CQ1514" i="10" a="1"/>
  <c r="V1491" i="10" a="1"/>
  <c r="V1513" i="10"/>
  <c r="V1514" i="10" a="1"/>
  <c r="AAQ1491" i="10" a="1"/>
  <c r="AAQ1513" i="10"/>
  <c r="AAQ1514" i="10" a="1"/>
  <c r="XZ1491" i="10" a="1"/>
  <c r="XZ1513" i="10"/>
  <c r="XZ1514" i="10" a="1"/>
  <c r="VE1491" i="10" a="1"/>
  <c r="VE1513" i="10"/>
  <c r="VE1514" i="10" a="1"/>
  <c r="SJ1491" i="10" a="1"/>
  <c r="SJ1513" i="10"/>
  <c r="SJ1514" i="10" a="1"/>
  <c r="PO1491" i="10" a="1"/>
  <c r="PO1513" i="10"/>
  <c r="PO1514" i="10" a="1"/>
  <c r="MT1491" i="10" a="1"/>
  <c r="MT1513" i="10"/>
  <c r="MT1514" i="10" a="1"/>
  <c r="JY1491" i="10" a="1"/>
  <c r="JY1513" i="10"/>
  <c r="JY1514" i="10" a="1"/>
  <c r="HC1491" i="10" a="1"/>
  <c r="HC1513" i="10"/>
  <c r="HC1514" i="10" a="1"/>
  <c r="EH1491" i="10" a="1"/>
  <c r="EH1513" i="10"/>
  <c r="EH1514" i="10" a="1"/>
  <c r="BM1491" i="10" a="1"/>
  <c r="BM1513" i="10"/>
  <c r="BM1514" i="10" a="1"/>
  <c r="DW1491" i="10" a="1"/>
  <c r="DW1514" i="10" a="1"/>
  <c r="DW1513" i="10"/>
  <c r="SX1491" i="10" a="1"/>
  <c r="SX1513" i="10"/>
  <c r="SX1514" i="10" a="1"/>
  <c r="AFW1491" i="10" a="1"/>
  <c r="AFW1513" i="10"/>
  <c r="AFW1514" i="10" a="1"/>
  <c r="NQ1491" i="10" a="1"/>
  <c r="NQ1513" i="10"/>
  <c r="NQ1514" i="10" a="1"/>
  <c r="ACF1491" i="10" a="1"/>
  <c r="ACF1513" i="10"/>
  <c r="ACF1514" i="10" a="1"/>
  <c r="Z1493" i="10"/>
  <c r="Z1492" i="10"/>
  <c r="Z1496" i="10"/>
  <c r="Z1498" i="10"/>
  <c r="Z1495" i="10"/>
  <c r="Z1491" i="10"/>
  <c r="Z1494" i="10"/>
  <c r="Z1497" i="10"/>
  <c r="Z1499" i="10"/>
  <c r="Z1502" i="10"/>
  <c r="Z1501" i="10"/>
  <c r="Z1508" i="10"/>
  <c r="Z1506" i="10"/>
  <c r="Z1505" i="10"/>
  <c r="Z1503" i="10"/>
  <c r="Z1509" i="10"/>
  <c r="Z1500" i="10"/>
  <c r="Z1507" i="10"/>
  <c r="Z1504" i="10"/>
  <c r="Z1510" i="10"/>
  <c r="JZ1491" i="10" a="1"/>
  <c r="JZ1513" i="10"/>
  <c r="JZ1514" i="10" a="1"/>
  <c r="YY1491" i="10" a="1"/>
  <c r="YY1513" i="10"/>
  <c r="YY1514" i="10" a="1"/>
  <c r="ES1491" i="10" a="1"/>
  <c r="ES1513" i="10"/>
  <c r="ES1514" i="10" a="1"/>
  <c r="TR1491" i="10" a="1"/>
  <c r="TR1513" i="10"/>
  <c r="TR1514" i="10" a="1"/>
  <c r="AGK1491" i="10" a="1"/>
  <c r="AGK1513" i="10"/>
  <c r="AGK1514" i="10" a="1"/>
  <c r="OE1491" i="10" a="1"/>
  <c r="OE1513" i="10"/>
  <c r="OE1514" i="10" a="1"/>
  <c r="ACS1491" i="10" a="1"/>
  <c r="ACS1513" i="10"/>
  <c r="ACS1514" i="10" a="1"/>
  <c r="IX1491" i="10" a="1"/>
  <c r="IX1513" i="10"/>
  <c r="IX1514" i="10" a="1"/>
  <c r="XX1491" i="10" a="1"/>
  <c r="XX1513" i="10"/>
  <c r="XX1514" i="10" a="1"/>
  <c r="AGD1513" i="10"/>
  <c r="AGD1491" i="10" a="1"/>
  <c r="AGD1514" i="10" a="1"/>
  <c r="ADR1491" i="10" a="1"/>
  <c r="ADR1513" i="10"/>
  <c r="ADR1514" i="10" a="1"/>
  <c r="AAP1491" i="10" a="1"/>
  <c r="AAP1513" i="10"/>
  <c r="AAP1514" i="10" a="1"/>
  <c r="XB1513" i="10"/>
  <c r="XB1491" i="10" a="1"/>
  <c r="XB1514" i="10" a="1"/>
  <c r="TH1491" i="10" a="1"/>
  <c r="TH1513" i="10"/>
  <c r="TH1514" i="10" a="1"/>
  <c r="PN1491" i="10" a="1"/>
  <c r="PN1513" i="10"/>
  <c r="PN1514" i="10" a="1"/>
  <c r="LV1513" i="10"/>
  <c r="LV1491" i="10" a="1"/>
  <c r="LV1514" i="10" a="1"/>
  <c r="IA1491" i="10" a="1"/>
  <c r="IA1514" i="10" a="1"/>
  <c r="IA1513" i="10"/>
  <c r="EG1491" i="10" a="1"/>
  <c r="EG1513" i="10"/>
  <c r="EG1514" i="10" a="1"/>
  <c r="AO1514" i="10"/>
  <c r="AO1515" i="10"/>
  <c r="AO1517" i="10"/>
  <c r="AO1520" i="10"/>
  <c r="AO1519" i="10"/>
  <c r="AO1516" i="10"/>
  <c r="AO1518" i="10"/>
  <c r="AO1521" i="10"/>
  <c r="AO1522" i="10"/>
  <c r="AO1524" i="10"/>
  <c r="AO1525" i="10"/>
  <c r="AO1529" i="10"/>
  <c r="AO1527" i="10"/>
  <c r="AO1531" i="10"/>
  <c r="AO1528" i="10"/>
  <c r="AO1526" i="10"/>
  <c r="AO1523" i="10"/>
  <c r="AO1530" i="10"/>
  <c r="AO1532" i="10"/>
  <c r="AO1533" i="10"/>
  <c r="AEV1491" i="10" a="1"/>
  <c r="AEV1513" i="10"/>
  <c r="AEV1514" i="10" a="1"/>
  <c r="ACD1491" i="10" a="1"/>
  <c r="ACD1513" i="10"/>
  <c r="ACD1514" i="10" a="1"/>
  <c r="YV1491" i="10" a="1"/>
  <c r="YV1513" i="10"/>
  <c r="YV1514" i="10" a="1"/>
  <c r="VB1491" i="10" a="1"/>
  <c r="VB1513" i="10"/>
  <c r="VB1514" i="10" a="1"/>
  <c r="RG1491" i="10" a="1"/>
  <c r="RG1513" i="10"/>
  <c r="RG1514" i="10" a="1"/>
  <c r="NO1491" i="10" a="1"/>
  <c r="NO1513" i="10"/>
  <c r="NO1514" i="10" a="1"/>
  <c r="JU1491" i="10" a="1"/>
  <c r="JU1513" i="10"/>
  <c r="JU1514" i="10" a="1"/>
  <c r="GA1491" i="10" a="1"/>
  <c r="GA1513" i="10"/>
  <c r="GA1514" i="10" a="1"/>
  <c r="CI1491" i="10" a="1"/>
  <c r="CI1514" i="10" a="1"/>
  <c r="CI1513" i="10"/>
  <c r="AFS1491" i="10" a="1"/>
  <c r="AFS1514" i="10" a="1"/>
  <c r="ADG1491" i="10" a="1"/>
  <c r="ADG1514" i="10" a="1"/>
  <c r="AAB1491" i="10" a="1"/>
  <c r="AAB1513" i="10"/>
  <c r="AAB1514" i="10" a="1"/>
  <c r="WK1491" i="10" a="1"/>
  <c r="WK1513" i="10"/>
  <c r="WK1514" i="10" a="1"/>
  <c r="SQ1491" i="10" a="1"/>
  <c r="SQ1513" i="10"/>
  <c r="SQ1514" i="10" a="1"/>
  <c r="OX1491" i="10" a="1"/>
  <c r="OX1513" i="10"/>
  <c r="OX1514" i="10" a="1"/>
  <c r="LE1491" i="10" a="1"/>
  <c r="LE1514" i="10" a="1"/>
  <c r="LE1513" i="10"/>
  <c r="HJ1491" i="10" a="1"/>
  <c r="HJ1513" i="10"/>
  <c r="HJ1514" i="10" a="1"/>
  <c r="DQ1491" i="10" a="1"/>
  <c r="DQ1513" i="10"/>
  <c r="DQ1514" i="10" a="1"/>
  <c r="X1491" i="10" a="1"/>
  <c r="X1514" i="10" a="1"/>
  <c r="X1513" i="10"/>
  <c r="AED1491" i="10" a="1"/>
  <c r="AED1513" i="10"/>
  <c r="AED1514" i="10" a="1"/>
  <c r="ABF1491" i="10" a="1"/>
  <c r="ABF1513" i="10"/>
  <c r="ABF1514" i="10" a="1"/>
  <c r="XU1491" i="10" a="1"/>
  <c r="XU1513" i="10"/>
  <c r="XU1514" i="10" a="1"/>
  <c r="TZ1491" i="10" a="1"/>
  <c r="TZ1513" i="10"/>
  <c r="TZ1514" i="10" a="1"/>
  <c r="QF1491" i="10" a="1"/>
  <c r="QF1513" i="10"/>
  <c r="QF1514" i="10" a="1"/>
  <c r="MN1491" i="10" a="1"/>
  <c r="MN1513" i="10"/>
  <c r="MN1514" i="10" a="1"/>
  <c r="IT1491" i="10" a="1"/>
  <c r="IT1514" i="10" a="1"/>
  <c r="IT1513" i="10"/>
  <c r="EY1491" i="10" a="1"/>
  <c r="EY1514" i="10" a="1"/>
  <c r="EY1513" i="10"/>
  <c r="BG1491" i="10" a="1"/>
  <c r="BG1514" i="10" a="1"/>
  <c r="BG1513" i="10"/>
  <c r="AFA1491" i="10" a="1"/>
  <c r="AFA1513" i="10"/>
  <c r="AFA1514" i="10" a="1"/>
  <c r="ACK1491" i="10" a="1"/>
  <c r="ACK1513" i="10"/>
  <c r="ACK1514" i="10" a="1"/>
  <c r="ZC1513" i="10"/>
  <c r="ZC1491" i="10" a="1"/>
  <c r="ZC1514" i="10" a="1"/>
  <c r="VJ1491" i="10" a="1"/>
  <c r="VJ1513" i="10"/>
  <c r="VJ1514" i="10" a="1"/>
  <c r="RO1491" i="10" a="1"/>
  <c r="RO1514" i="10" a="1"/>
  <c r="RO1513" i="10"/>
  <c r="NV1513" i="10"/>
  <c r="NV1491" i="10" a="1"/>
  <c r="NV1514" i="10" a="1"/>
  <c r="KC1491" i="10" a="1"/>
  <c r="KC1513" i="10"/>
  <c r="KC1514" i="10" a="1"/>
  <c r="GI1491" i="10" a="1"/>
  <c r="GI1513" i="10"/>
  <c r="GI1514" i="10" a="1"/>
  <c r="CP1491" i="10" a="1"/>
  <c r="CP1513" i="10"/>
  <c r="CP1514" i="10" a="1"/>
  <c r="AGF1491" i="10" a="1"/>
  <c r="AGF1513" i="10"/>
  <c r="AGF1514" i="10" a="1"/>
  <c r="ADT1513" i="10"/>
  <c r="ADT1491" i="10" a="1"/>
  <c r="ADT1514" i="10" a="1"/>
  <c r="AAT1491" i="10" a="1"/>
  <c r="AAT1513" i="10"/>
  <c r="AAT1514" i="10" a="1"/>
  <c r="XE1491" i="10" a="1"/>
  <c r="XE1513" i="10"/>
  <c r="XE1514" i="10" a="1"/>
  <c r="TJ1491" i="10" a="1"/>
  <c r="TJ1513" i="10"/>
  <c r="TJ1514" i="10" a="1"/>
  <c r="PR1491" i="10" a="1"/>
  <c r="PR1513" i="10"/>
  <c r="PR1514" i="10" a="1"/>
  <c r="LX1491" i="10" a="1"/>
  <c r="LX1514" i="10" a="1"/>
  <c r="LX1513" i="10"/>
  <c r="ID1491" i="10" a="1"/>
  <c r="ID1513" i="10"/>
  <c r="ID1514" i="10" a="1"/>
  <c r="EL1491" i="10" a="1"/>
  <c r="EL1514" i="10" a="1"/>
  <c r="EL1513" i="10"/>
  <c r="AQ1491" i="10" a="1"/>
  <c r="AQ1513" i="10"/>
  <c r="AQ1514" i="10" a="1"/>
  <c r="ABI1491" i="10" a="1"/>
  <c r="ABI1513" i="10"/>
  <c r="ABI1514" i="10" a="1"/>
  <c r="YU1491" i="10" a="1"/>
  <c r="YU1514" i="10" a="1"/>
  <c r="YU1513" i="10"/>
  <c r="VZ1491" i="10" a="1"/>
  <c r="VZ1514" i="10" a="1"/>
  <c r="VZ1513" i="10"/>
  <c r="TE1491" i="10" a="1"/>
  <c r="TE1514" i="10" a="1"/>
  <c r="TE1513" i="10"/>
  <c r="QI1491" i="10" a="1"/>
  <c r="QI1514" i="10" a="1"/>
  <c r="QI1513" i="10"/>
  <c r="NN1491" i="10" a="1"/>
  <c r="NN1514" i="10" a="1"/>
  <c r="NN1513" i="10"/>
  <c r="KS1491" i="10" a="1"/>
  <c r="KS1514" i="10" a="1"/>
  <c r="KS1513" i="10"/>
  <c r="HX1491" i="10" a="1"/>
  <c r="HX1514" i="10" a="1"/>
  <c r="HX1513" i="10"/>
  <c r="FC1491" i="10" a="1"/>
  <c r="FC1513" i="10"/>
  <c r="FC1514" i="10" a="1"/>
  <c r="CH1491" i="10" a="1"/>
  <c r="CH1513" i="10"/>
  <c r="CH1514" i="10" a="1"/>
  <c r="ACU1491" i="10" a="1"/>
  <c r="ACU1513" i="10"/>
  <c r="ACU1514" i="10" a="1"/>
  <c r="AAI1491" i="10" a="1"/>
  <c r="AAI1513" i="10"/>
  <c r="AAI1514" i="10" a="1"/>
  <c r="XQ1491" i="10" a="1"/>
  <c r="XQ1513" i="10"/>
  <c r="XQ1514" i="10" a="1"/>
  <c r="UV1491" i="10" a="1"/>
  <c r="UV1513" i="10"/>
  <c r="UV1514" i="10" a="1"/>
  <c r="SA1491" i="10" a="1"/>
  <c r="SA1513" i="10"/>
  <c r="SA1514" i="10" a="1"/>
  <c r="PF1491" i="10" a="1"/>
  <c r="PF1513" i="10"/>
  <c r="PF1514" i="10" a="1"/>
  <c r="MK1491" i="10" a="1"/>
  <c r="MK1513" i="10"/>
  <c r="MK1514" i="10" a="1"/>
  <c r="JO1491" i="10" a="1"/>
  <c r="JO1513" i="10"/>
  <c r="JO1514" i="10" a="1"/>
  <c r="GT1491" i="10" a="1"/>
  <c r="GT1513" i="10"/>
  <c r="GT1514" i="10" a="1"/>
  <c r="DY1491" i="10" a="1"/>
  <c r="DY1513" i="10"/>
  <c r="DY1514" i="10" a="1"/>
  <c r="BD1491" i="10" a="1"/>
  <c r="BD1513" i="10"/>
  <c r="BD1514" i="10" a="1"/>
  <c r="FT1491" i="10" a="1"/>
  <c r="FT1513" i="10"/>
  <c r="FT1514" i="10" a="1"/>
  <c r="UT1491" i="10" a="1"/>
  <c r="UT1513" i="10"/>
  <c r="UT1514" i="10" a="1"/>
  <c r="AM1491" i="10" a="1"/>
  <c r="AM1513" i="10"/>
  <c r="AM1514" i="10" a="1"/>
  <c r="PM1491" i="10" a="1"/>
  <c r="PM1513" i="10"/>
  <c r="PM1514" i="10" a="1"/>
  <c r="ADQ1491" i="10" a="1"/>
  <c r="ADQ1513" i="10"/>
  <c r="ADQ1514" i="10" a="1"/>
  <c r="HN1514" i="10"/>
  <c r="HN1516" i="10"/>
  <c r="HN1518" i="10"/>
  <c r="HN1521" i="10"/>
  <c r="HN1522" i="10"/>
  <c r="HN1523" i="10"/>
  <c r="HN1527" i="10"/>
  <c r="HN1529" i="10"/>
  <c r="HN1528" i="10"/>
  <c r="HN1530" i="10"/>
  <c r="HN1531" i="10"/>
  <c r="PA1491" i="10"/>
  <c r="PA1492" i="10"/>
  <c r="PA1496" i="10"/>
  <c r="PA1497" i="10"/>
  <c r="PA1493" i="10"/>
  <c r="PA1500" i="10"/>
  <c r="PA1503" i="10"/>
  <c r="PA1506" i="10"/>
  <c r="PA1509" i="10"/>
  <c r="PA1505" i="10"/>
  <c r="PA1502" i="10"/>
  <c r="AZ1491" i="10" a="1"/>
  <c r="AZ1513" i="10"/>
  <c r="AZ1514" i="10" a="1"/>
  <c r="DL1491" i="10" a="1"/>
  <c r="DL1513" i="10"/>
  <c r="DL1514" i="10" a="1"/>
  <c r="FX1491" i="10" a="1"/>
  <c r="FX1513" i="10"/>
  <c r="FX1514" i="10" a="1"/>
  <c r="IJ1491" i="10" a="1"/>
  <c r="IJ1513" i="10"/>
  <c r="IJ1514" i="10" a="1"/>
  <c r="KV1491" i="10" a="1"/>
  <c r="KV1513" i="10"/>
  <c r="KV1514" i="10" a="1"/>
  <c r="NH1491" i="10" a="1"/>
  <c r="NH1513" i="10"/>
  <c r="NH1514" i="10" a="1"/>
  <c r="PT1491" i="10" a="1"/>
  <c r="PT1513" i="10"/>
  <c r="PT1514" i="10" a="1"/>
  <c r="SF1491" i="10" a="1"/>
  <c r="SF1513" i="10"/>
  <c r="SF1514" i="10" a="1"/>
  <c r="UR1491" i="10" a="1"/>
  <c r="UR1513" i="10"/>
  <c r="UR1514" i="10" a="1"/>
  <c r="XD1491" i="10" a="1"/>
  <c r="XD1513" i="10"/>
  <c r="XD1514" i="10" a="1"/>
  <c r="BH1491" i="10" a="1"/>
  <c r="BH1513" i="10"/>
  <c r="BH1514" i="10" a="1"/>
  <c r="DT1491" i="10" a="1"/>
  <c r="DT1513" i="10"/>
  <c r="DT1514" i="10" a="1"/>
  <c r="GF1491" i="10" a="1"/>
  <c r="GF1513" i="10"/>
  <c r="GF1514" i="10" a="1"/>
  <c r="IR1491" i="10" a="1"/>
  <c r="IR1513" i="10"/>
  <c r="IR1514" i="10" a="1"/>
  <c r="LD1491" i="10" a="1"/>
  <c r="LD1513" i="10"/>
  <c r="LD1514" i="10" a="1"/>
  <c r="NP1491" i="10" a="1"/>
  <c r="NP1513" i="10"/>
  <c r="NP1514" i="10" a="1"/>
  <c r="QB1491" i="10" a="1"/>
  <c r="QB1513" i="10"/>
  <c r="QB1514" i="10" a="1"/>
  <c r="SN1491" i="10" a="1"/>
  <c r="SN1513" i="10"/>
  <c r="SN1514" i="10" a="1"/>
  <c r="UZ1491" i="10" a="1"/>
  <c r="UZ1513" i="10"/>
  <c r="UZ1514" i="10" a="1"/>
  <c r="XL1491" i="10" a="1"/>
  <c r="XL1513" i="10"/>
  <c r="XL1514" i="10" a="1"/>
  <c r="BP1491" i="10" a="1"/>
  <c r="BP1513" i="10"/>
  <c r="BP1514" i="10" a="1"/>
  <c r="EB1491" i="10" a="1"/>
  <c r="EB1513" i="10"/>
  <c r="EB1514" i="10" a="1"/>
  <c r="GN1491" i="10" a="1"/>
  <c r="GN1513" i="10"/>
  <c r="GN1514" i="10" a="1"/>
  <c r="IZ1491" i="10" a="1"/>
  <c r="IZ1513" i="10"/>
  <c r="IZ1514" i="10" a="1"/>
  <c r="LL1491" i="10" a="1"/>
  <c r="LL1513" i="10"/>
  <c r="LL1514" i="10" a="1"/>
  <c r="NX1491" i="10" a="1"/>
  <c r="NX1513" i="10"/>
  <c r="NX1514" i="10" a="1"/>
  <c r="QJ1491" i="10" a="1"/>
  <c r="QJ1513" i="10"/>
  <c r="QJ1514" i="10" a="1"/>
  <c r="SV1491" i="10" a="1"/>
  <c r="SV1513" i="10"/>
  <c r="SV1514" i="10" a="1"/>
  <c r="VH1491" i="10" a="1"/>
  <c r="VH1513" i="10"/>
  <c r="VH1514" i="10" a="1"/>
  <c r="XT1491" i="10" a="1"/>
  <c r="XT1513" i="10"/>
  <c r="XT1514" i="10" a="1"/>
  <c r="BX1491" i="10" a="1"/>
  <c r="BX1513" i="10"/>
  <c r="BX1514" i="10" a="1"/>
  <c r="EJ1491" i="10" a="1"/>
  <c r="EJ1513" i="10"/>
  <c r="EJ1514" i="10" a="1"/>
  <c r="GV1491" i="10" a="1"/>
  <c r="GV1513" i="10"/>
  <c r="GV1514" i="10" a="1"/>
  <c r="JH1491" i="10" a="1"/>
  <c r="JH1513" i="10"/>
  <c r="JH1514" i="10" a="1"/>
  <c r="LT1491" i="10" a="1"/>
  <c r="LT1513" i="10"/>
  <c r="LT1514" i="10" a="1"/>
  <c r="OF1491" i="10" a="1"/>
  <c r="OF1513" i="10"/>
  <c r="OF1514" i="10" a="1"/>
  <c r="QR1491" i="10" a="1"/>
  <c r="QR1513" i="10"/>
  <c r="QR1514" i="10" a="1"/>
  <c r="TD1491" i="10" a="1"/>
  <c r="TD1513" i="10"/>
  <c r="TD1514" i="10" a="1"/>
  <c r="VP1491" i="10" a="1"/>
  <c r="VP1513" i="10"/>
  <c r="VP1514" i="10" a="1"/>
  <c r="YB1491" i="10" a="1"/>
  <c r="YB1513" i="10"/>
  <c r="YB1514" i="10" a="1"/>
  <c r="FM1491" i="10"/>
  <c r="FM1504" i="10"/>
  <c r="FM1510" i="10"/>
  <c r="FM1493" i="10"/>
  <c r="FM1499" i="10"/>
  <c r="FM1507" i="10"/>
  <c r="FM1508" i="10"/>
  <c r="FM1502" i="10"/>
  <c r="FM1495" i="10"/>
  <c r="FM1497" i="10"/>
  <c r="FM1498" i="10"/>
  <c r="FM1505" i="10"/>
  <c r="FM1506" i="10"/>
  <c r="FM1494" i="10"/>
  <c r="FM1500" i="10"/>
  <c r="FM1492" i="10"/>
  <c r="FM1501" i="10"/>
  <c r="FM1496" i="10"/>
  <c r="FM1503" i="10"/>
  <c r="FM1509" i="10"/>
  <c r="AB1491" i="10" a="1"/>
  <c r="AB1513" i="10"/>
  <c r="AB1514" i="10" a="1"/>
  <c r="CN1491" i="10" a="1"/>
  <c r="CN1513" i="10"/>
  <c r="CN1514" i="10" a="1"/>
  <c r="EZ1491" i="10" a="1"/>
  <c r="EZ1513" i="10"/>
  <c r="EZ1514" i="10" a="1"/>
  <c r="HL1491" i="10" a="1"/>
  <c r="HL1513" i="10"/>
  <c r="HL1514" i="10" a="1"/>
  <c r="JX1491" i="10" a="1"/>
  <c r="JX1513" i="10"/>
  <c r="JX1514" i="10" a="1"/>
  <c r="MJ1491" i="10" a="1"/>
  <c r="MJ1513" i="10"/>
  <c r="MJ1514" i="10" a="1"/>
  <c r="OV1491" i="10" a="1"/>
  <c r="OV1513" i="10"/>
  <c r="OV1514" i="10" a="1"/>
  <c r="RH1491" i="10" a="1"/>
  <c r="RH1513" i="10"/>
  <c r="RH1514" i="10" a="1"/>
  <c r="TT1491" i="10" a="1"/>
  <c r="TT1513" i="10"/>
  <c r="TT1514" i="10" a="1"/>
  <c r="WF1491" i="10" a="1"/>
  <c r="WF1513" i="10"/>
  <c r="WF1514" i="10" a="1"/>
  <c r="YR1491" i="10" a="1"/>
  <c r="YR1513" i="10"/>
  <c r="YR1514" i="10" a="1"/>
  <c r="CF1491" i="10" a="1"/>
  <c r="CF1513" i="10"/>
  <c r="CF1514" i="10" a="1"/>
  <c r="ER1491" i="10" a="1"/>
  <c r="ER1513" i="10"/>
  <c r="ER1514" i="10" a="1"/>
  <c r="HD1491" i="10" a="1"/>
  <c r="HD1513" i="10"/>
  <c r="HD1514" i="10" a="1"/>
  <c r="JP1491" i="10" a="1"/>
  <c r="JP1513" i="10"/>
  <c r="JP1514" i="10" a="1"/>
  <c r="MB1491" i="10" a="1"/>
  <c r="MB1513" i="10"/>
  <c r="MB1514" i="10" a="1"/>
  <c r="ON1491" i="10" a="1"/>
  <c r="ON1513" i="10"/>
  <c r="ON1514" i="10" a="1"/>
  <c r="QZ1491" i="10" a="1"/>
  <c r="QZ1513" i="10"/>
  <c r="QZ1514" i="10" a="1"/>
  <c r="TL1491" i="10" a="1"/>
  <c r="TL1513" i="10"/>
  <c r="TL1514" i="10" a="1"/>
  <c r="VX1491" i="10" a="1"/>
  <c r="VX1513" i="10"/>
  <c r="VX1514" i="10" a="1"/>
  <c r="YJ1491" i="10" a="1"/>
  <c r="YJ1513" i="10"/>
  <c r="YJ1514" i="10" a="1"/>
  <c r="AJ1491" i="10" a="1"/>
  <c r="AJ1513" i="10"/>
  <c r="AJ1514" i="10" a="1"/>
  <c r="CV1491" i="10" a="1"/>
  <c r="CV1513" i="10"/>
  <c r="CV1514" i="10" a="1"/>
  <c r="FH1491" i="10" a="1"/>
  <c r="FH1513" i="10"/>
  <c r="FH1514" i="10" a="1"/>
  <c r="HT1491" i="10" a="1"/>
  <c r="HT1513" i="10"/>
  <c r="HT1514" i="10" a="1"/>
  <c r="KF1491" i="10" a="1"/>
  <c r="KF1513" i="10"/>
  <c r="KF1514" i="10" a="1"/>
  <c r="MR1491" i="10" a="1"/>
  <c r="MR1513" i="10"/>
  <c r="MR1514" i="10" a="1"/>
  <c r="PD1491" i="10" a="1"/>
  <c r="PD1513" i="10"/>
  <c r="PD1514" i="10" a="1"/>
  <c r="RP1491" i="10" a="1"/>
  <c r="RP1513" i="10"/>
  <c r="RP1514" i="10" a="1"/>
  <c r="UB1491" i="10" a="1"/>
  <c r="UB1513" i="10"/>
  <c r="UB1514" i="10" a="1"/>
  <c r="WN1491" i="10" a="1"/>
  <c r="WN1513" i="10"/>
  <c r="WN1514" i="10" a="1"/>
  <c r="YZ1491" i="10" a="1"/>
  <c r="YZ1513" i="10"/>
  <c r="YZ1514" i="10" a="1"/>
  <c r="AR1491" i="10" a="1"/>
  <c r="AR1513" i="10"/>
  <c r="AR1514" i="10" a="1"/>
  <c r="DD1491" i="10" a="1"/>
  <c r="DD1513" i="10"/>
  <c r="DD1514" i="10" a="1"/>
  <c r="FP1491" i="10" a="1"/>
  <c r="FP1513" i="10"/>
  <c r="FP1514" i="10" a="1"/>
  <c r="IB1491" i="10" a="1"/>
  <c r="IB1513" i="10"/>
  <c r="IB1514" i="10" a="1"/>
  <c r="KN1491" i="10" a="1"/>
  <c r="KN1513" i="10"/>
  <c r="KN1514" i="10" a="1"/>
  <c r="MZ1491" i="10" a="1"/>
  <c r="MZ1513" i="10"/>
  <c r="MZ1514" i="10" a="1"/>
  <c r="PL1491" i="10" a="1"/>
  <c r="PL1513" i="10"/>
  <c r="PL1514" i="10" a="1"/>
  <c r="RX1491" i="10" a="1"/>
  <c r="RX1513" i="10"/>
  <c r="RX1514" i="10" a="1"/>
  <c r="UJ1491" i="10" a="1"/>
  <c r="UJ1513" i="10"/>
  <c r="UJ1514" i="10" a="1"/>
  <c r="WV1491" i="10" a="1"/>
  <c r="WV1513" i="10"/>
  <c r="WV1514" i="10" a="1"/>
  <c r="ZH1491" i="10" a="1"/>
  <c r="ZH1513" i="10"/>
  <c r="ZH1514" i="10" a="1"/>
  <c r="PA1510" i="10" l="1"/>
  <c r="QN1526" i="10"/>
  <c r="YK1498" i="10"/>
  <c r="QN1527" i="10"/>
  <c r="QN1520" i="10"/>
  <c r="QN1523" i="10"/>
  <c r="QN1516" i="10"/>
  <c r="QN1522" i="10"/>
  <c r="QN1518" i="10"/>
  <c r="QN1533" i="10"/>
  <c r="QN1529" i="10"/>
  <c r="QN1515" i="10"/>
  <c r="QN1532" i="10"/>
  <c r="QN1531" i="10"/>
  <c r="QN1530" i="10"/>
  <c r="QN1524" i="10"/>
  <c r="QN1521" i="10"/>
  <c r="QN1517" i="10"/>
  <c r="QN1528" i="10"/>
  <c r="QN1525" i="10"/>
  <c r="QN1519" i="10"/>
  <c r="YK1497" i="10"/>
  <c r="YK1504" i="10"/>
  <c r="YK1510" i="10"/>
  <c r="YK1499" i="10"/>
  <c r="YK1493" i="10"/>
  <c r="YK1507" i="10"/>
  <c r="YK1506" i="10"/>
  <c r="YK1500" i="10"/>
  <c r="YK1505" i="10"/>
  <c r="YK1502" i="10"/>
  <c r="YK1491" i="10"/>
  <c r="YK1509" i="10"/>
  <c r="YK1495" i="10"/>
  <c r="YK1494" i="10"/>
  <c r="YK1501" i="10"/>
  <c r="YK1496" i="10"/>
  <c r="YK1503" i="10"/>
  <c r="YK1508" i="10"/>
  <c r="AEI1491" i="10"/>
  <c r="U11" i="14"/>
  <c r="QN1507" i="10"/>
  <c r="T15" i="14"/>
  <c r="T15" i="9"/>
  <c r="AEI1494" i="10"/>
  <c r="AEI1493" i="10"/>
  <c r="AEI1510" i="10"/>
  <c r="AEI1509" i="10"/>
  <c r="AEI1508" i="10"/>
  <c r="AEI1505" i="10"/>
  <c r="AEI1502" i="10"/>
  <c r="AEI1506" i="10"/>
  <c r="AEI1498" i="10"/>
  <c r="AEI1500" i="10"/>
  <c r="AEI1504" i="10"/>
  <c r="AEI1495" i="10"/>
  <c r="AEI1496" i="10"/>
  <c r="AEI1501" i="10"/>
  <c r="AEI1503" i="10"/>
  <c r="AEI1492" i="10"/>
  <c r="AEI1499" i="10"/>
  <c r="AEI1507" i="10"/>
  <c r="QN1502" i="10"/>
  <c r="QN1497" i="10"/>
  <c r="QN1494" i="10"/>
  <c r="QN1496" i="10"/>
  <c r="QN1491" i="10"/>
  <c r="QN1503" i="10"/>
  <c r="QN1509" i="10"/>
  <c r="QN1506" i="10"/>
  <c r="QN1493" i="10"/>
  <c r="QN1505" i="10"/>
  <c r="QN1510" i="10"/>
  <c r="QN1499" i="10"/>
  <c r="QN1492" i="10"/>
  <c r="QN1500" i="10"/>
  <c r="QN1504" i="10"/>
  <c r="QN1508" i="10"/>
  <c r="QN1498" i="10"/>
  <c r="QN1501" i="10"/>
  <c r="U11" i="9"/>
  <c r="YA1503" i="10"/>
  <c r="WM1509" i="10"/>
  <c r="YA1492" i="10"/>
  <c r="YA1504" i="10"/>
  <c r="YA1495" i="10"/>
  <c r="YA1501" i="10"/>
  <c r="YA1502" i="10"/>
  <c r="ADC1519" i="10"/>
  <c r="YA1505" i="10"/>
  <c r="YA1509" i="10"/>
  <c r="YA1491" i="10"/>
  <c r="YA1494" i="10"/>
  <c r="YA1499" i="10"/>
  <c r="YA1508" i="10"/>
  <c r="YA1498" i="10"/>
  <c r="YA1496" i="10"/>
  <c r="YA1510" i="10"/>
  <c r="YA1493" i="10"/>
  <c r="YA1507" i="10"/>
  <c r="YA1506" i="10"/>
  <c r="YA1500" i="10"/>
  <c r="QW1518" i="10"/>
  <c r="QW1521" i="10"/>
  <c r="JB1533" i="10"/>
  <c r="HE1492" i="10"/>
  <c r="QW1516" i="10"/>
  <c r="QW1520" i="10"/>
  <c r="QW1533" i="10"/>
  <c r="JB1526" i="10"/>
  <c r="JB1527" i="10"/>
  <c r="JB1519" i="10"/>
  <c r="JB1528" i="10"/>
  <c r="JB1517" i="10"/>
  <c r="JB1525" i="10"/>
  <c r="JB1532" i="10"/>
  <c r="JB1522" i="10"/>
  <c r="JB1516" i="10"/>
  <c r="JB1529" i="10"/>
  <c r="JB1521" i="10"/>
  <c r="JB1531" i="10"/>
  <c r="JB1520" i="10"/>
  <c r="JB1515" i="10"/>
  <c r="JB1523" i="10"/>
  <c r="JB1518" i="10"/>
  <c r="JB1514" i="10"/>
  <c r="JB1530" i="10"/>
  <c r="QW1532" i="10"/>
  <c r="QW1529" i="10"/>
  <c r="QW1519" i="10"/>
  <c r="QW1526" i="10"/>
  <c r="QW1523" i="10"/>
  <c r="QW1527" i="10"/>
  <c r="QW1530" i="10"/>
  <c r="QW1525" i="10"/>
  <c r="QW1524" i="10"/>
  <c r="QW1517" i="10"/>
  <c r="QW1514" i="10"/>
  <c r="QW1528" i="10"/>
  <c r="QW1531" i="10"/>
  <c r="QW1522" i="10"/>
  <c r="HE1508" i="10"/>
  <c r="HE1498" i="10"/>
  <c r="HE1493" i="10"/>
  <c r="HE1507" i="10"/>
  <c r="JK1493" i="10"/>
  <c r="HE1503" i="10"/>
  <c r="HE1506" i="10"/>
  <c r="HE1497" i="10"/>
  <c r="HE1494" i="10"/>
  <c r="HE1505" i="10"/>
  <c r="HE1504" i="10"/>
  <c r="HE1502" i="10"/>
  <c r="HE1501" i="10"/>
  <c r="HE1491" i="10"/>
  <c r="HE1496" i="10"/>
  <c r="HE1510" i="10"/>
  <c r="HE1499" i="10"/>
  <c r="HE1500" i="10"/>
  <c r="HE1509" i="10"/>
  <c r="PA1507" i="10"/>
  <c r="PA1501" i="10"/>
  <c r="PA1498" i="10"/>
  <c r="HN1532" i="10"/>
  <c r="HN1526" i="10"/>
  <c r="HN1524" i="10"/>
  <c r="HN1517" i="10"/>
  <c r="PA1504" i="10"/>
  <c r="PA1508" i="10"/>
  <c r="PA1499" i="10"/>
  <c r="PA1495" i="10"/>
  <c r="HN1533" i="10"/>
  <c r="HN1520" i="10"/>
  <c r="HN1525" i="10"/>
  <c r="HN1519" i="10"/>
  <c r="JK1509" i="10"/>
  <c r="JK1502" i="10"/>
  <c r="JK1501" i="10"/>
  <c r="JK1504" i="10"/>
  <c r="JK1506" i="10"/>
  <c r="JK1495" i="10"/>
  <c r="JK1494" i="10"/>
  <c r="JK1496" i="10"/>
  <c r="JK1491" i="10"/>
  <c r="JK1508" i="10"/>
  <c r="JK1498" i="10"/>
  <c r="JK1497" i="10"/>
  <c r="JK1505" i="10"/>
  <c r="JK1499" i="10"/>
  <c r="JK1510" i="10"/>
  <c r="JK1492" i="10"/>
  <c r="JK1500" i="10"/>
  <c r="JK1507" i="10"/>
  <c r="WM1501" i="10"/>
  <c r="WM1503" i="10"/>
  <c r="BW1516" i="10"/>
  <c r="WM1502" i="10"/>
  <c r="BN1527" i="10"/>
  <c r="WM1495" i="10"/>
  <c r="ADI1526" i="10"/>
  <c r="ADI1515" i="10"/>
  <c r="ADI1516" i="10"/>
  <c r="ADI1525" i="10"/>
  <c r="ADC1525" i="10"/>
  <c r="ADI1533" i="10"/>
  <c r="ADI1523" i="10"/>
  <c r="WM1508" i="10"/>
  <c r="WM1505" i="10"/>
  <c r="WM1507" i="10"/>
  <c r="ADI1517" i="10"/>
  <c r="ADI1530" i="10"/>
  <c r="ADI1518" i="10"/>
  <c r="ADC1523" i="10"/>
  <c r="WM1506" i="10"/>
  <c r="BW1531" i="10"/>
  <c r="ADI1524" i="10"/>
  <c r="ADI1521" i="10"/>
  <c r="ADC1530" i="10"/>
  <c r="WM1491" i="10"/>
  <c r="ADI1531" i="10"/>
  <c r="ADI1522" i="10"/>
  <c r="ADI1527" i="10"/>
  <c r="ADI1519" i="10"/>
  <c r="ADC1515" i="10"/>
  <c r="WM1498" i="10"/>
  <c r="WM1493" i="10"/>
  <c r="ADC1518" i="10"/>
  <c r="WM1500" i="10"/>
  <c r="WM1497" i="10"/>
  <c r="WM1504" i="10"/>
  <c r="ADC1527" i="10"/>
  <c r="ADC1533" i="10"/>
  <c r="ADC1517" i="10"/>
  <c r="ADC1521" i="10"/>
  <c r="ADI1532" i="10"/>
  <c r="ADI1529" i="10"/>
  <c r="ADI1528" i="10"/>
  <c r="ADI1520" i="10"/>
  <c r="WM1494" i="10"/>
  <c r="ADC1528" i="10"/>
  <c r="WM1492" i="10"/>
  <c r="WM1499" i="10"/>
  <c r="WM1496" i="10"/>
  <c r="BW1517" i="10"/>
  <c r="BW1524" i="10"/>
  <c r="BW1529" i="10"/>
  <c r="HQ1506" i="10"/>
  <c r="HQ1492" i="10"/>
  <c r="HQ1496" i="10"/>
  <c r="ADC1532" i="10"/>
  <c r="ADC1524" i="10"/>
  <c r="ADC1516" i="10"/>
  <c r="ADC1531" i="10"/>
  <c r="BN1502" i="10"/>
  <c r="BN1506" i="10"/>
  <c r="BN1491" i="10"/>
  <c r="BN1498" i="10"/>
  <c r="BN1503" i="10"/>
  <c r="BN1501" i="10"/>
  <c r="BN1497" i="10"/>
  <c r="BN1492" i="10"/>
  <c r="BN1496" i="10"/>
  <c r="BN1493" i="10"/>
  <c r="BN1510" i="10"/>
  <c r="BN1500" i="10"/>
  <c r="BN1505" i="10"/>
  <c r="BN1509" i="10"/>
  <c r="BN1495" i="10"/>
  <c r="BN1508" i="10"/>
  <c r="BN1499" i="10"/>
  <c r="BN1504" i="10"/>
  <c r="BN1507" i="10"/>
  <c r="ADC1509" i="10"/>
  <c r="BN1532" i="10"/>
  <c r="ADC1502" i="10"/>
  <c r="ADC1491" i="10"/>
  <c r="BN1522" i="10"/>
  <c r="ADC1508" i="10"/>
  <c r="BW1521" i="10"/>
  <c r="BW1518" i="10"/>
  <c r="BN1525" i="10"/>
  <c r="BN1519" i="10"/>
  <c r="ADC1499" i="10"/>
  <c r="BW1527" i="10"/>
  <c r="BW1522" i="10"/>
  <c r="BW1526" i="10"/>
  <c r="BN1524" i="10"/>
  <c r="BN1529" i="10"/>
  <c r="BN1531" i="10"/>
  <c r="BN1520" i="10"/>
  <c r="BN1516" i="10"/>
  <c r="ADC1504" i="10"/>
  <c r="ADC1506" i="10"/>
  <c r="ADC1498" i="10"/>
  <c r="ADC1507" i="10"/>
  <c r="ADC1493" i="10"/>
  <c r="BN1521" i="10"/>
  <c r="BN1518" i="10"/>
  <c r="BN1530" i="10"/>
  <c r="BN1523" i="10"/>
  <c r="BN1515" i="10"/>
  <c r="ADC1503" i="10"/>
  <c r="ADC1501" i="10"/>
  <c r="ADC1497" i="10"/>
  <c r="ADC1505" i="10"/>
  <c r="ADC1495" i="10"/>
  <c r="BW1532" i="10"/>
  <c r="BW1519" i="10"/>
  <c r="BW1515" i="10"/>
  <c r="BW1525" i="10"/>
  <c r="BW1514" i="10"/>
  <c r="BN1528" i="10"/>
  <c r="BN1514" i="10"/>
  <c r="BN1533" i="10"/>
  <c r="BN1526" i="10"/>
  <c r="ADC1510" i="10"/>
  <c r="ADC1494" i="10"/>
  <c r="ADC1496" i="10"/>
  <c r="ADC1500" i="10"/>
  <c r="BW1530" i="10"/>
  <c r="BW1533" i="10"/>
  <c r="BW1523" i="10"/>
  <c r="BW1528" i="10"/>
  <c r="ADC1520" i="10"/>
  <c r="ADC1514" i="10"/>
  <c r="ADC1529" i="10"/>
  <c r="ADC1522" i="10"/>
  <c r="CS1506" i="10"/>
  <c r="CS1494" i="10"/>
  <c r="CS1501" i="10"/>
  <c r="CS1510" i="10"/>
  <c r="DA1500" i="10"/>
  <c r="AO1500" i="10"/>
  <c r="AO1494" i="10"/>
  <c r="AO1502" i="10"/>
  <c r="AO1501" i="10"/>
  <c r="FE1503" i="10"/>
  <c r="FE1499" i="10"/>
  <c r="HQ1494" i="10"/>
  <c r="HQ1502" i="10"/>
  <c r="HQ1507" i="10"/>
  <c r="HQ1499" i="10"/>
  <c r="HQ1498" i="10"/>
  <c r="HQ1504" i="10"/>
  <c r="HQ1505" i="10"/>
  <c r="HQ1510" i="10"/>
  <c r="HQ1509" i="10"/>
  <c r="HQ1497" i="10"/>
  <c r="HQ1501" i="10"/>
  <c r="HQ1500" i="10"/>
  <c r="HQ1495" i="10"/>
  <c r="HQ1493" i="10"/>
  <c r="HQ1503" i="10"/>
  <c r="HQ1508" i="10"/>
  <c r="Z1531" i="10"/>
  <c r="WD1505" i="10"/>
  <c r="WD1504" i="10"/>
  <c r="FE1505" i="10"/>
  <c r="FE1508" i="10"/>
  <c r="Z1520" i="10"/>
  <c r="WD1498" i="10"/>
  <c r="WD1503" i="10"/>
  <c r="WD1496" i="10"/>
  <c r="CS1504" i="10"/>
  <c r="CS1496" i="10"/>
  <c r="CS1495" i="10"/>
  <c r="FE1497" i="10"/>
  <c r="FE1507" i="10"/>
  <c r="Z1517" i="10"/>
  <c r="WD1491" i="10"/>
  <c r="WD1495" i="10"/>
  <c r="FE1496" i="10"/>
  <c r="FE1493" i="10"/>
  <c r="FE1509" i="10"/>
  <c r="FE1495" i="10"/>
  <c r="FE1504" i="10"/>
  <c r="WD1500" i="10"/>
  <c r="WD1508" i="10"/>
  <c r="CS1493" i="10"/>
  <c r="CS1503" i="10"/>
  <c r="CS1492" i="10"/>
  <c r="CS1499" i="10"/>
  <c r="CS1508" i="10"/>
  <c r="CS1491" i="10"/>
  <c r="FE1491" i="10"/>
  <c r="FE1506" i="10"/>
  <c r="FE1510" i="10"/>
  <c r="WD1497" i="10"/>
  <c r="WD1506" i="10"/>
  <c r="CS1509" i="10"/>
  <c r="CS1498" i="10"/>
  <c r="CS1505" i="10"/>
  <c r="CS1502" i="10"/>
  <c r="CS1507" i="10"/>
  <c r="FE1500" i="10"/>
  <c r="FE1502" i="10"/>
  <c r="FE1501" i="10"/>
  <c r="WD1509" i="10"/>
  <c r="WD1502" i="10"/>
  <c r="WD1492" i="10"/>
  <c r="WD1501" i="10"/>
  <c r="DA1502" i="10"/>
  <c r="CS1497" i="10"/>
  <c r="FE1494" i="10"/>
  <c r="FE1498" i="10"/>
  <c r="WD1507" i="10"/>
  <c r="WD1494" i="10"/>
  <c r="WD1499" i="10"/>
  <c r="WD1510" i="10"/>
  <c r="OR1492" i="10"/>
  <c r="OR1507" i="10"/>
  <c r="OR1491" i="10"/>
  <c r="OR1493" i="10"/>
  <c r="OR1497" i="10"/>
  <c r="OR1499" i="10"/>
  <c r="OR1503" i="10"/>
  <c r="OR1500" i="10"/>
  <c r="OR1496" i="10"/>
  <c r="OR1502" i="10"/>
  <c r="OR1508" i="10"/>
  <c r="OR1494" i="10"/>
  <c r="OR1505" i="10"/>
  <c r="OR1510" i="10"/>
  <c r="OR1495" i="10"/>
  <c r="OR1504" i="10"/>
  <c r="OR1506" i="10"/>
  <c r="OR1498" i="10"/>
  <c r="OR1501" i="10"/>
  <c r="OR1509" i="10"/>
  <c r="AEO1533" i="10"/>
  <c r="AEO1528" i="10"/>
  <c r="AEO1519" i="10"/>
  <c r="AEO1529" i="10"/>
  <c r="AEO1518" i="10"/>
  <c r="AEO1514" i="10"/>
  <c r="AEO1523" i="10"/>
  <c r="AEO1531" i="10"/>
  <c r="AEO1516" i="10"/>
  <c r="AEO1522" i="10"/>
  <c r="AEO1521" i="10"/>
  <c r="AEO1525" i="10"/>
  <c r="AEO1532" i="10"/>
  <c r="AEO1530" i="10"/>
  <c r="AEO1526" i="10"/>
  <c r="AEO1515" i="10"/>
  <c r="AEO1527" i="10"/>
  <c r="AEO1520" i="10"/>
  <c r="AEO1524" i="10"/>
  <c r="AEO1517" i="10"/>
  <c r="AEO1496" i="10"/>
  <c r="AEO1504" i="10"/>
  <c r="AEO1508" i="10"/>
  <c r="AEO1506" i="10"/>
  <c r="AEO1503" i="10"/>
  <c r="AEO1501" i="10"/>
  <c r="AEO1509" i="10"/>
  <c r="AEO1493" i="10"/>
  <c r="AEO1497" i="10"/>
  <c r="AEO1507" i="10"/>
  <c r="AEO1505" i="10"/>
  <c r="AEO1494" i="10"/>
  <c r="AEO1500" i="10"/>
  <c r="AEO1499" i="10"/>
  <c r="AEO1502" i="10"/>
  <c r="AEO1510" i="10"/>
  <c r="AEO1498" i="10"/>
  <c r="AEO1491" i="10"/>
  <c r="AEO1495" i="10"/>
  <c r="AEO1492" i="10"/>
  <c r="OR1529" i="10"/>
  <c r="OR1527" i="10"/>
  <c r="OR1523" i="10"/>
  <c r="OR1520" i="10"/>
  <c r="OR1524" i="10"/>
  <c r="OR1522" i="10"/>
  <c r="OR1528" i="10"/>
  <c r="OR1530" i="10"/>
  <c r="OR1521" i="10"/>
  <c r="OR1533" i="10"/>
  <c r="OR1515" i="10"/>
  <c r="OR1531" i="10"/>
  <c r="OR1518" i="10"/>
  <c r="OR1514" i="10"/>
  <c r="OR1525" i="10"/>
  <c r="OR1517" i="10"/>
  <c r="OR1526" i="10"/>
  <c r="OR1516" i="10"/>
  <c r="OR1532" i="10"/>
  <c r="OR1519" i="10"/>
  <c r="UH1493" i="10"/>
  <c r="UH1491" i="10"/>
  <c r="UH1494" i="10"/>
  <c r="UH1495" i="10"/>
  <c r="UH1503" i="10"/>
  <c r="UH1504" i="10"/>
  <c r="UH1492" i="10"/>
  <c r="UH1505" i="10"/>
  <c r="UH1507" i="10"/>
  <c r="UH1509" i="10"/>
  <c r="UH1497" i="10"/>
  <c r="UH1499" i="10"/>
  <c r="UH1500" i="10"/>
  <c r="UH1501" i="10"/>
  <c r="UH1496" i="10"/>
  <c r="UH1498" i="10"/>
  <c r="UH1502" i="10"/>
  <c r="UH1508" i="10"/>
  <c r="UH1506" i="10"/>
  <c r="UH1510" i="10"/>
  <c r="AO1506" i="10"/>
  <c r="AO1510" i="10"/>
  <c r="Z1530" i="10"/>
  <c r="Z1522" i="10"/>
  <c r="Z1514" i="10"/>
  <c r="ABM1515" i="10"/>
  <c r="ABM1521" i="10"/>
  <c r="ABM1519" i="10"/>
  <c r="ABM1517" i="10"/>
  <c r="ABM1524" i="10"/>
  <c r="ABM1523" i="10"/>
  <c r="ABM1525" i="10"/>
  <c r="ABM1518" i="10"/>
  <c r="ABM1530" i="10"/>
  <c r="ABM1533" i="10"/>
  <c r="ABM1522" i="10"/>
  <c r="ABM1527" i="10"/>
  <c r="ABM1528" i="10"/>
  <c r="ABM1520" i="10"/>
  <c r="ABM1529" i="10"/>
  <c r="ABM1516" i="10"/>
  <c r="ABM1532" i="10"/>
  <c r="ABM1526" i="10"/>
  <c r="ABM1514" i="10"/>
  <c r="ABM1531" i="10"/>
  <c r="KX1529" i="10"/>
  <c r="KX1526" i="10"/>
  <c r="KX1521" i="10"/>
  <c r="KX1520" i="10"/>
  <c r="KX1533" i="10"/>
  <c r="KX1525" i="10"/>
  <c r="KX1519" i="10"/>
  <c r="KX1528" i="10"/>
  <c r="KX1518" i="10"/>
  <c r="KX1531" i="10"/>
  <c r="KX1527" i="10"/>
  <c r="KX1523" i="10"/>
  <c r="KX1516" i="10"/>
  <c r="KX1522" i="10"/>
  <c r="KX1514" i="10"/>
  <c r="KX1532" i="10"/>
  <c r="KX1530" i="10"/>
  <c r="KX1524" i="10"/>
  <c r="KX1517" i="10"/>
  <c r="KX1515" i="10"/>
  <c r="SK1491" i="10"/>
  <c r="SK1492" i="10"/>
  <c r="SK1497" i="10"/>
  <c r="SK1505" i="10"/>
  <c r="SK1507" i="10"/>
  <c r="SK1509" i="10"/>
  <c r="SK1500" i="10"/>
  <c r="SK1501" i="10"/>
  <c r="SK1496" i="10"/>
  <c r="SK1498" i="10"/>
  <c r="SK1499" i="10"/>
  <c r="SK1502" i="10"/>
  <c r="SK1506" i="10"/>
  <c r="SK1508" i="10"/>
  <c r="SK1510" i="10"/>
  <c r="SK1493" i="10"/>
  <c r="SK1503" i="10"/>
  <c r="SK1494" i="10"/>
  <c r="SK1495" i="10"/>
  <c r="SK1504" i="10"/>
  <c r="UQ1503" i="10"/>
  <c r="UQ1502" i="10"/>
  <c r="UQ1496" i="10"/>
  <c r="UQ1509" i="10"/>
  <c r="UQ1497" i="10"/>
  <c r="UQ1499" i="10"/>
  <c r="UQ1510" i="10"/>
  <c r="UQ1507" i="10"/>
  <c r="UQ1500" i="10"/>
  <c r="UQ1493" i="10"/>
  <c r="UQ1491" i="10"/>
  <c r="UQ1501" i="10"/>
  <c r="UQ1504" i="10"/>
  <c r="UQ1492" i="10"/>
  <c r="UQ1495" i="10"/>
  <c r="UQ1494" i="10"/>
  <c r="UQ1506" i="10"/>
  <c r="UQ1505" i="10"/>
  <c r="UQ1498" i="10"/>
  <c r="UQ1508" i="10"/>
  <c r="ST1494" i="10"/>
  <c r="ST1499" i="10"/>
  <c r="ST1492" i="10"/>
  <c r="ST1493" i="10"/>
  <c r="ST1495" i="10"/>
  <c r="ST1503" i="10"/>
  <c r="ST1504" i="10"/>
  <c r="ST1505" i="10"/>
  <c r="ST1507" i="10"/>
  <c r="ST1509" i="10"/>
  <c r="ST1497" i="10"/>
  <c r="ST1500" i="10"/>
  <c r="ST1501" i="10"/>
  <c r="ST1496" i="10"/>
  <c r="ST1498" i="10"/>
  <c r="ST1491" i="10"/>
  <c r="ST1502" i="10"/>
  <c r="ST1506" i="10"/>
  <c r="ST1508" i="10"/>
  <c r="ST1510" i="10"/>
  <c r="ST1520" i="10"/>
  <c r="ST1514" i="10"/>
  <c r="ST1521" i="10"/>
  <c r="ST1525" i="10"/>
  <c r="ST1526" i="10"/>
  <c r="ST1533" i="10"/>
  <c r="ST1516" i="10"/>
  <c r="ST1519" i="10"/>
  <c r="ST1532" i="10"/>
  <c r="ST1522" i="10"/>
  <c r="ST1528" i="10"/>
  <c r="ST1529" i="10"/>
  <c r="ST1517" i="10"/>
  <c r="ST1530" i="10"/>
  <c r="ST1523" i="10"/>
  <c r="ST1524" i="10"/>
  <c r="ST1527" i="10"/>
  <c r="ST1515" i="10"/>
  <c r="ST1518" i="10"/>
  <c r="ST1531" i="10"/>
  <c r="Z1525" i="10"/>
  <c r="Z1515" i="10"/>
  <c r="AO1509" i="10"/>
  <c r="AO1498" i="10"/>
  <c r="AO1505" i="10"/>
  <c r="Z1526" i="10"/>
  <c r="Z1521" i="10"/>
  <c r="FQ1518" i="10"/>
  <c r="FQ1514" i="10"/>
  <c r="FQ1521" i="10"/>
  <c r="FQ1525" i="10"/>
  <c r="FQ1515" i="10"/>
  <c r="FQ1516" i="10"/>
  <c r="FQ1524" i="10"/>
  <c r="FQ1531" i="10"/>
  <c r="FQ1517" i="10"/>
  <c r="FQ1527" i="10"/>
  <c r="FQ1519" i="10"/>
  <c r="FQ1522" i="10"/>
  <c r="FQ1533" i="10"/>
  <c r="FQ1526" i="10"/>
  <c r="FQ1529" i="10"/>
  <c r="FQ1532" i="10"/>
  <c r="FQ1528" i="10"/>
  <c r="FQ1523" i="10"/>
  <c r="FQ1530" i="10"/>
  <c r="FQ1520" i="10"/>
  <c r="AFO1493" i="10"/>
  <c r="AFO1491" i="10"/>
  <c r="AFO1492" i="10"/>
  <c r="AFO1494" i="10"/>
  <c r="AFO1495" i="10"/>
  <c r="AFO1502" i="10"/>
  <c r="AFO1503" i="10"/>
  <c r="AFO1504" i="10"/>
  <c r="AFO1497" i="10"/>
  <c r="AFO1499" i="10"/>
  <c r="AFO1500" i="10"/>
  <c r="AFO1505" i="10"/>
  <c r="AFO1507" i="10"/>
  <c r="AFO1509" i="10"/>
  <c r="AFO1496" i="10"/>
  <c r="AFO1498" i="10"/>
  <c r="AFO1501" i="10"/>
  <c r="AFO1506" i="10"/>
  <c r="AFO1508" i="10"/>
  <c r="AFO1510" i="10"/>
  <c r="AAE1528" i="10"/>
  <c r="AAE1530" i="10"/>
  <c r="AAE1533" i="10"/>
  <c r="AAE1526" i="10"/>
  <c r="AAE1532" i="10"/>
  <c r="AAE1529" i="10"/>
  <c r="AAE1523" i="10"/>
  <c r="AAE1527" i="10"/>
  <c r="AAE1525" i="10"/>
  <c r="AAE1531" i="10"/>
  <c r="AAE1516" i="10"/>
  <c r="AAE1517" i="10"/>
  <c r="AAE1520" i="10"/>
  <c r="AAE1521" i="10"/>
  <c r="AAE1519" i="10"/>
  <c r="AAE1524" i="10"/>
  <c r="AAE1522" i="10"/>
  <c r="AAE1514" i="10"/>
  <c r="AAE1515" i="10"/>
  <c r="AAE1518" i="10"/>
  <c r="LG1493" i="10"/>
  <c r="LG1491" i="10"/>
  <c r="LG1494" i="10"/>
  <c r="LG1492" i="10"/>
  <c r="LG1495" i="10"/>
  <c r="LG1503" i="10"/>
  <c r="LG1504" i="10"/>
  <c r="LG1505" i="10"/>
  <c r="LG1507" i="10"/>
  <c r="LG1509" i="10"/>
  <c r="LG1497" i="10"/>
  <c r="LG1499" i="10"/>
  <c r="LG1500" i="10"/>
  <c r="LG1501" i="10"/>
  <c r="LG1496" i="10"/>
  <c r="LG1498" i="10"/>
  <c r="LG1508" i="10"/>
  <c r="LG1510" i="10"/>
  <c r="LG1502" i="10"/>
  <c r="LG1506" i="10"/>
  <c r="AFU1523" i="10"/>
  <c r="AFU1521" i="10"/>
  <c r="AFU1529" i="10"/>
  <c r="AFU1530" i="10"/>
  <c r="AFU1531" i="10"/>
  <c r="AFU1532" i="10"/>
  <c r="AFU1533" i="10"/>
  <c r="AFU1526" i="10"/>
  <c r="AFU1528" i="10"/>
  <c r="AFU1522" i="10"/>
  <c r="AFU1527" i="10"/>
  <c r="AFU1517" i="10"/>
  <c r="AFU1518" i="10"/>
  <c r="AFU1520" i="10"/>
  <c r="AFU1519" i="10"/>
  <c r="AFU1524" i="10"/>
  <c r="AFU1514" i="10"/>
  <c r="AFU1525" i="10"/>
  <c r="AFU1515" i="10"/>
  <c r="AFU1516" i="10"/>
  <c r="Z1532" i="10"/>
  <c r="UQ1520" i="10"/>
  <c r="UQ1523" i="10"/>
  <c r="UQ1518" i="10"/>
  <c r="UQ1514" i="10"/>
  <c r="UQ1527" i="10"/>
  <c r="UQ1528" i="10"/>
  <c r="UQ1532" i="10"/>
  <c r="UQ1516" i="10"/>
  <c r="UQ1521" i="10"/>
  <c r="UQ1525" i="10"/>
  <c r="UQ1533" i="10"/>
  <c r="UQ1524" i="10"/>
  <c r="UQ1530" i="10"/>
  <c r="UQ1522" i="10"/>
  <c r="UQ1526" i="10"/>
  <c r="UQ1531" i="10"/>
  <c r="UQ1517" i="10"/>
  <c r="UQ1529" i="10"/>
  <c r="UQ1519" i="10"/>
  <c r="UQ1515" i="10"/>
  <c r="DA1506" i="10"/>
  <c r="DA1510" i="10"/>
  <c r="DA1509" i="10"/>
  <c r="DA1498" i="10"/>
  <c r="DA1505" i="10"/>
  <c r="AO1497" i="10"/>
  <c r="AO1496" i="10"/>
  <c r="AO1495" i="10"/>
  <c r="Z1529" i="10"/>
  <c r="Z1519" i="10"/>
  <c r="ABM1492" i="10"/>
  <c r="ABM1491" i="10"/>
  <c r="ABM1494" i="10"/>
  <c r="ABM1493" i="10"/>
  <c r="ABM1501" i="10"/>
  <c r="ABM1506" i="10"/>
  <c r="ABM1508" i="10"/>
  <c r="ABM1510" i="10"/>
  <c r="ABM1495" i="10"/>
  <c r="ABM1504" i="10"/>
  <c r="ABM1502" i="10"/>
  <c r="ABM1503" i="10"/>
  <c r="ABM1505" i="10"/>
  <c r="ABM1507" i="10"/>
  <c r="ABM1509" i="10"/>
  <c r="ABM1497" i="10"/>
  <c r="ABM1499" i="10"/>
  <c r="ABM1496" i="10"/>
  <c r="ABM1498" i="10"/>
  <c r="ABM1500" i="10"/>
  <c r="AFO1519" i="10"/>
  <c r="AFO1521" i="10"/>
  <c r="AFO1524" i="10"/>
  <c r="AFO1532" i="10"/>
  <c r="AFO1526" i="10"/>
  <c r="AFO1518" i="10"/>
  <c r="AFO1529" i="10"/>
  <c r="AFO1515" i="10"/>
  <c r="AFO1525" i="10"/>
  <c r="AFO1527" i="10"/>
  <c r="AFO1523" i="10"/>
  <c r="AFO1531" i="10"/>
  <c r="AFO1516" i="10"/>
  <c r="AFO1522" i="10"/>
  <c r="AFO1530" i="10"/>
  <c r="AFO1533" i="10"/>
  <c r="AFO1517" i="10"/>
  <c r="AFO1528" i="10"/>
  <c r="AFO1514" i="10"/>
  <c r="AFO1520" i="10"/>
  <c r="ABU1518" i="10"/>
  <c r="ABU1519" i="10"/>
  <c r="ABU1533" i="10"/>
  <c r="ABU1520" i="10"/>
  <c r="ABU1529" i="10"/>
  <c r="ABU1524" i="10"/>
  <c r="ABU1525" i="10"/>
  <c r="ABU1531" i="10"/>
  <c r="ABU1517" i="10"/>
  <c r="ABU1526" i="10"/>
  <c r="ABU1521" i="10"/>
  <c r="ABU1522" i="10"/>
  <c r="ABU1523" i="10"/>
  <c r="ABU1527" i="10"/>
  <c r="ABU1532" i="10"/>
  <c r="ABU1530" i="10"/>
  <c r="ABU1528" i="10"/>
  <c r="ABU1514" i="10"/>
  <c r="ABU1515" i="10"/>
  <c r="ABU1516" i="10"/>
  <c r="KX1494" i="10"/>
  <c r="KX1504" i="10"/>
  <c r="KX1495" i="10"/>
  <c r="KX1505" i="10"/>
  <c r="KX1496" i="10"/>
  <c r="KX1506" i="10"/>
  <c r="KX1499" i="10"/>
  <c r="KX1507" i="10"/>
  <c r="KX1491" i="10"/>
  <c r="KX1501" i="10"/>
  <c r="KX1509" i="10"/>
  <c r="KX1503" i="10"/>
  <c r="KX1508" i="10"/>
  <c r="KX1492" i="10"/>
  <c r="KX1493" i="10"/>
  <c r="KX1500" i="10"/>
  <c r="KX1502" i="10"/>
  <c r="KX1510" i="10"/>
  <c r="KX1497" i="10"/>
  <c r="KX1498" i="10"/>
  <c r="DK1493" i="10"/>
  <c r="DK1492" i="10"/>
  <c r="DK1495" i="10"/>
  <c r="DK1497" i="10"/>
  <c r="DK1498" i="10"/>
  <c r="DK1499" i="10"/>
  <c r="DK1500" i="10"/>
  <c r="DK1506" i="10"/>
  <c r="DK1508" i="10"/>
  <c r="DK1510" i="10"/>
  <c r="DK1496" i="10"/>
  <c r="DK1502" i="10"/>
  <c r="DK1504" i="10"/>
  <c r="DK1507" i="10"/>
  <c r="DK1509" i="10"/>
  <c r="DK1503" i="10"/>
  <c r="DK1505" i="10"/>
  <c r="DK1491" i="10"/>
  <c r="DK1494" i="10"/>
  <c r="DK1501" i="10"/>
  <c r="DA1501" i="10"/>
  <c r="DA1494" i="10"/>
  <c r="DA1504" i="10"/>
  <c r="DA1503" i="10"/>
  <c r="DA1492" i="10"/>
  <c r="AO1504" i="10"/>
  <c r="AO1503" i="10"/>
  <c r="AO1492" i="10"/>
  <c r="Z1524" i="10"/>
  <c r="Z1523" i="10"/>
  <c r="FQ1495" i="10"/>
  <c r="FQ1500" i="10"/>
  <c r="FQ1503" i="10"/>
  <c r="FQ1492" i="10"/>
  <c r="FQ1491" i="10"/>
  <c r="FQ1494" i="10"/>
  <c r="FQ1493" i="10"/>
  <c r="FQ1501" i="10"/>
  <c r="FQ1497" i="10"/>
  <c r="FQ1498" i="10"/>
  <c r="FQ1499" i="10"/>
  <c r="FQ1496" i="10"/>
  <c r="FQ1502" i="10"/>
  <c r="FQ1506" i="10"/>
  <c r="FQ1508" i="10"/>
  <c r="FQ1510" i="10"/>
  <c r="FQ1504" i="10"/>
  <c r="FQ1507" i="10"/>
  <c r="FQ1509" i="10"/>
  <c r="FQ1505" i="10"/>
  <c r="MU1526" i="10"/>
  <c r="MU1533" i="10"/>
  <c r="MU1516" i="10"/>
  <c r="MU1518" i="10"/>
  <c r="MU1531" i="10"/>
  <c r="MU1515" i="10"/>
  <c r="MU1523" i="10"/>
  <c r="MU1530" i="10"/>
  <c r="MU1517" i="10"/>
  <c r="MU1527" i="10"/>
  <c r="MU1522" i="10"/>
  <c r="MU1520" i="10"/>
  <c r="MU1514" i="10"/>
  <c r="MU1525" i="10"/>
  <c r="MU1519" i="10"/>
  <c r="MU1532" i="10"/>
  <c r="MU1524" i="10"/>
  <c r="MU1521" i="10"/>
  <c r="MU1528" i="10"/>
  <c r="MU1529" i="10"/>
  <c r="FG1520" i="10"/>
  <c r="FG1522" i="10"/>
  <c r="FG1514" i="10"/>
  <c r="FG1521" i="10"/>
  <c r="FG1515" i="10"/>
  <c r="FG1516" i="10"/>
  <c r="FG1519" i="10"/>
  <c r="FG1524" i="10"/>
  <c r="FG1517" i="10"/>
  <c r="FG1527" i="10"/>
  <c r="FG1523" i="10"/>
  <c r="FG1532" i="10"/>
  <c r="FG1529" i="10"/>
  <c r="FG1531" i="10"/>
  <c r="FG1518" i="10"/>
  <c r="FG1530" i="10"/>
  <c r="FG1526" i="10"/>
  <c r="FG1525" i="10"/>
  <c r="FG1528" i="10"/>
  <c r="FG1533" i="10"/>
  <c r="AAE1503" i="10"/>
  <c r="AAE1501" i="10"/>
  <c r="AAE1502" i="10"/>
  <c r="AAE1504" i="10"/>
  <c r="AAE1507" i="10"/>
  <c r="AAE1500" i="10"/>
  <c r="AAE1491" i="10"/>
  <c r="AAE1492" i="10"/>
  <c r="AAE1506" i="10"/>
  <c r="AAE1498" i="10"/>
  <c r="AAE1508" i="10"/>
  <c r="AAE1505" i="10"/>
  <c r="AAE1493" i="10"/>
  <c r="AAE1495" i="10"/>
  <c r="AAE1494" i="10"/>
  <c r="AAE1510" i="10"/>
  <c r="AAE1496" i="10"/>
  <c r="AAE1509" i="10"/>
  <c r="AAE1497" i="10"/>
  <c r="AAE1499" i="10"/>
  <c r="ND1517" i="10"/>
  <c r="ND1529" i="10"/>
  <c r="ND1518" i="10"/>
  <c r="ND1527" i="10"/>
  <c r="ND1528" i="10"/>
  <c r="ND1514" i="10"/>
  <c r="ND1521" i="10"/>
  <c r="ND1530" i="10"/>
  <c r="ND1526" i="10"/>
  <c r="ND1523" i="10"/>
  <c r="ND1532" i="10"/>
  <c r="ND1516" i="10"/>
  <c r="ND1520" i="10"/>
  <c r="ND1525" i="10"/>
  <c r="ND1519" i="10"/>
  <c r="ND1531" i="10"/>
  <c r="ND1533" i="10"/>
  <c r="ND1515" i="10"/>
  <c r="ND1522" i="10"/>
  <c r="ND1524" i="10"/>
  <c r="SK1518" i="10"/>
  <c r="SK1522" i="10"/>
  <c r="SK1519" i="10"/>
  <c r="SK1524" i="10"/>
  <c r="SK1528" i="10"/>
  <c r="SK1529" i="10"/>
  <c r="SK1530" i="10"/>
  <c r="SK1523" i="10"/>
  <c r="SK1527" i="10"/>
  <c r="SK1525" i="10"/>
  <c r="SK1531" i="10"/>
  <c r="SK1533" i="10"/>
  <c r="SK1532" i="10"/>
  <c r="SK1526" i="10"/>
  <c r="SK1521" i="10"/>
  <c r="SK1514" i="10"/>
  <c r="SK1516" i="10"/>
  <c r="SK1515" i="10"/>
  <c r="SK1517" i="10"/>
  <c r="SK1520" i="10"/>
  <c r="ZW1503" i="10"/>
  <c r="ZW1502" i="10"/>
  <c r="ZW1501" i="10"/>
  <c r="ZW1497" i="10"/>
  <c r="ZW1499" i="10"/>
  <c r="ZW1504" i="10"/>
  <c r="ZW1507" i="10"/>
  <c r="ZW1500" i="10"/>
  <c r="ZW1491" i="10"/>
  <c r="ZW1495" i="10"/>
  <c r="ZW1494" i="10"/>
  <c r="ZW1492" i="10"/>
  <c r="ZW1506" i="10"/>
  <c r="ZW1505" i="10"/>
  <c r="ZW1493" i="10"/>
  <c r="ZW1498" i="10"/>
  <c r="ZW1508" i="10"/>
  <c r="ZW1510" i="10"/>
  <c r="ZW1496" i="10"/>
  <c r="ZW1509" i="10"/>
  <c r="DA1497" i="10"/>
  <c r="DA1496" i="10"/>
  <c r="DA1495" i="10"/>
  <c r="DA1493" i="10"/>
  <c r="DA1508" i="10"/>
  <c r="DA1491" i="10"/>
  <c r="AO1493" i="10"/>
  <c r="AO1508" i="10"/>
  <c r="AO1491" i="10"/>
  <c r="Z1528" i="10"/>
  <c r="Z1518" i="10"/>
  <c r="LG1526" i="10"/>
  <c r="LG1533" i="10"/>
  <c r="LG1524" i="10"/>
  <c r="LG1521" i="10"/>
  <c r="LG1528" i="10"/>
  <c r="LG1529" i="10"/>
  <c r="LG1516" i="10"/>
  <c r="LG1518" i="10"/>
  <c r="LG1519" i="10"/>
  <c r="LG1525" i="10"/>
  <c r="LG1531" i="10"/>
  <c r="LG1515" i="10"/>
  <c r="LG1523" i="10"/>
  <c r="LG1517" i="10"/>
  <c r="LG1527" i="10"/>
  <c r="LG1530" i="10"/>
  <c r="LG1514" i="10"/>
  <c r="LG1532" i="10"/>
  <c r="LG1522" i="10"/>
  <c r="LG1520" i="10"/>
  <c r="DU1518" i="10"/>
  <c r="DU1517" i="10"/>
  <c r="DU1523" i="10"/>
  <c r="DU1532" i="10"/>
  <c r="DU1528" i="10"/>
  <c r="DU1529" i="10"/>
  <c r="DU1525" i="10"/>
  <c r="DU1526" i="10"/>
  <c r="DU1530" i="10"/>
  <c r="DU1531" i="10"/>
  <c r="DU1515" i="10"/>
  <c r="DU1514" i="10"/>
  <c r="DU1521" i="10"/>
  <c r="DU1522" i="10"/>
  <c r="DU1527" i="10"/>
  <c r="DU1519" i="10"/>
  <c r="DU1520" i="10"/>
  <c r="DU1524" i="10"/>
  <c r="DU1533" i="10"/>
  <c r="DU1516" i="10"/>
  <c r="MU1491" i="10"/>
  <c r="MU1496" i="10"/>
  <c r="MU1501" i="10"/>
  <c r="MU1504" i="10"/>
  <c r="MU1493" i="10"/>
  <c r="MU1502" i="10"/>
  <c r="MU1506" i="10"/>
  <c r="MU1508" i="10"/>
  <c r="MU1510" i="10"/>
  <c r="MU1494" i="10"/>
  <c r="MU1503" i="10"/>
  <c r="MU1495" i="10"/>
  <c r="MU1505" i="10"/>
  <c r="MU1507" i="10"/>
  <c r="MU1509" i="10"/>
  <c r="MU1497" i="10"/>
  <c r="MU1499" i="10"/>
  <c r="MU1500" i="10"/>
  <c r="MU1498" i="10"/>
  <c r="MU1492" i="10"/>
  <c r="ABU1495" i="10"/>
  <c r="ABU1500" i="10"/>
  <c r="ABU1503" i="10"/>
  <c r="ABU1491" i="10"/>
  <c r="ABU1496" i="10"/>
  <c r="ABU1497" i="10"/>
  <c r="ABU1498" i="10"/>
  <c r="ABU1499" i="10"/>
  <c r="ABU1493" i="10"/>
  <c r="ABU1494" i="10"/>
  <c r="ABU1501" i="10"/>
  <c r="ABU1506" i="10"/>
  <c r="ABU1508" i="10"/>
  <c r="ABU1510" i="10"/>
  <c r="ABU1492" i="10"/>
  <c r="ABU1504" i="10"/>
  <c r="ABU1502" i="10"/>
  <c r="ABU1509" i="10"/>
  <c r="ABU1505" i="10"/>
  <c r="ABU1507" i="10"/>
  <c r="DK1514" i="10"/>
  <c r="DK1521" i="10"/>
  <c r="DK1525" i="10"/>
  <c r="DK1515" i="10"/>
  <c r="DK1516" i="10"/>
  <c r="DK1519" i="10"/>
  <c r="DK1524" i="10"/>
  <c r="DK1529" i="10"/>
  <c r="DK1523" i="10"/>
  <c r="DK1528" i="10"/>
  <c r="DK1518" i="10"/>
  <c r="DK1533" i="10"/>
  <c r="DK1520" i="10"/>
  <c r="DK1522" i="10"/>
  <c r="DK1527" i="10"/>
  <c r="DK1532" i="10"/>
  <c r="DK1517" i="10"/>
  <c r="DK1530" i="10"/>
  <c r="DK1526" i="10"/>
  <c r="DK1531" i="10"/>
  <c r="DA1499" i="10"/>
  <c r="AO1499" i="10"/>
  <c r="Z1533" i="10"/>
  <c r="Z1527" i="10"/>
  <c r="DU1492" i="10"/>
  <c r="DU1498" i="10"/>
  <c r="DU1502" i="10"/>
  <c r="DU1491" i="10"/>
  <c r="DU1493" i="10"/>
  <c r="DU1494" i="10"/>
  <c r="DU1501" i="10"/>
  <c r="DU1495" i="10"/>
  <c r="DU1497" i="10"/>
  <c r="DU1499" i="10"/>
  <c r="DU1500" i="10"/>
  <c r="DU1506" i="10"/>
  <c r="DU1508" i="10"/>
  <c r="DU1510" i="10"/>
  <c r="DU1496" i="10"/>
  <c r="DU1504" i="10"/>
  <c r="DU1507" i="10"/>
  <c r="DU1509" i="10"/>
  <c r="DU1503" i="10"/>
  <c r="DU1505" i="10"/>
  <c r="UH1529" i="10"/>
  <c r="UH1515" i="10"/>
  <c r="UH1526" i="10"/>
  <c r="UH1533" i="10"/>
  <c r="UH1518" i="10"/>
  <c r="UH1519" i="10"/>
  <c r="UH1524" i="10"/>
  <c r="UH1531" i="10"/>
  <c r="UH1520" i="10"/>
  <c r="UH1528" i="10"/>
  <c r="UH1521" i="10"/>
  <c r="UH1525" i="10"/>
  <c r="UH1517" i="10"/>
  <c r="UH1527" i="10"/>
  <c r="UH1516" i="10"/>
  <c r="UH1522" i="10"/>
  <c r="UH1532" i="10"/>
  <c r="UH1514" i="10"/>
  <c r="UH1523" i="10"/>
  <c r="UH1530" i="10"/>
  <c r="ZW1526" i="10"/>
  <c r="ZW1518" i="10"/>
  <c r="ZW1531" i="10"/>
  <c r="ZW1527" i="10"/>
  <c r="ZW1532" i="10"/>
  <c r="ZW1530" i="10"/>
  <c r="ZW1533" i="10"/>
  <c r="ZW1529" i="10"/>
  <c r="ZW1523" i="10"/>
  <c r="ZW1520" i="10"/>
  <c r="ZW1516" i="10"/>
  <c r="ZW1525" i="10"/>
  <c r="ZW1522" i="10"/>
  <c r="ZW1528" i="10"/>
  <c r="ZW1519" i="10"/>
  <c r="ZW1515" i="10"/>
  <c r="ZW1524" i="10"/>
  <c r="ZW1517" i="10"/>
  <c r="ZW1514" i="10"/>
  <c r="ZW1521" i="10"/>
  <c r="AFU1496" i="10"/>
  <c r="AFU1492" i="10"/>
  <c r="AFU1491" i="10"/>
  <c r="AFU1506" i="10"/>
  <c r="AFU1508" i="10"/>
  <c r="AFU1510" i="10"/>
  <c r="AFU1502" i="10"/>
  <c r="AFU1503" i="10"/>
  <c r="AFU1504" i="10"/>
  <c r="AFU1497" i="10"/>
  <c r="AFU1499" i="10"/>
  <c r="AFU1500" i="10"/>
  <c r="AFU1505" i="10"/>
  <c r="AFU1507" i="10"/>
  <c r="AFU1509" i="10"/>
  <c r="AFU1493" i="10"/>
  <c r="AFU1494" i="10"/>
  <c r="AFU1498" i="10"/>
  <c r="AFU1495" i="10"/>
  <c r="AFU1501" i="10"/>
  <c r="FG1498" i="10"/>
  <c r="FG1506" i="10"/>
  <c r="FG1508" i="10"/>
  <c r="FG1510" i="10"/>
  <c r="FG1507" i="10"/>
  <c r="FG1509" i="10"/>
  <c r="FG1499" i="10"/>
  <c r="FG1504" i="10"/>
  <c r="FG1494" i="10"/>
  <c r="FG1496" i="10"/>
  <c r="FG1502" i="10"/>
  <c r="FG1503" i="10"/>
  <c r="FG1501" i="10"/>
  <c r="FG1492" i="10"/>
  <c r="FG1505" i="10"/>
  <c r="FG1493" i="10"/>
  <c r="FG1495" i="10"/>
  <c r="FG1491" i="10"/>
  <c r="FG1500" i="10"/>
  <c r="FG1497" i="10"/>
  <c r="ND1498" i="10"/>
  <c r="ND1491" i="10"/>
  <c r="ND1492" i="10"/>
  <c r="ND1502" i="10"/>
  <c r="ND1506" i="10"/>
  <c r="ND1508" i="10"/>
  <c r="ND1510" i="10"/>
  <c r="ND1504" i="10"/>
  <c r="ND1493" i="10"/>
  <c r="ND1494" i="10"/>
  <c r="ND1503" i="10"/>
  <c r="ND1495" i="10"/>
  <c r="ND1505" i="10"/>
  <c r="ND1507" i="10"/>
  <c r="ND1509" i="10"/>
  <c r="ND1501" i="10"/>
  <c r="ND1499" i="10"/>
  <c r="ND1496" i="10"/>
  <c r="ND1500" i="10"/>
  <c r="ND1497" i="10"/>
  <c r="PR1516" i="10"/>
  <c r="PR1514" i="10"/>
  <c r="PR1517" i="10"/>
  <c r="PR1515" i="10"/>
  <c r="PR1519" i="10"/>
  <c r="PR1521" i="10"/>
  <c r="PR1525" i="10"/>
  <c r="PR1522" i="10"/>
  <c r="PR1523" i="10"/>
  <c r="PR1518" i="10"/>
  <c r="PR1520" i="10"/>
  <c r="PR1524" i="10"/>
  <c r="PR1527" i="10"/>
  <c r="PR1528" i="10"/>
  <c r="PR1526" i="10"/>
  <c r="PR1531" i="10"/>
  <c r="PR1532" i="10"/>
  <c r="PR1530" i="10"/>
  <c r="PR1529" i="10"/>
  <c r="PR1533" i="10"/>
  <c r="RG1529" i="10"/>
  <c r="RG1520" i="10"/>
  <c r="RG1522" i="10"/>
  <c r="RG1533" i="10"/>
  <c r="RG1525" i="10"/>
  <c r="RG1523" i="10"/>
  <c r="RG1519" i="10"/>
  <c r="RG1515" i="10"/>
  <c r="RG1528" i="10"/>
  <c r="RG1527" i="10"/>
  <c r="RG1516" i="10"/>
  <c r="RG1521" i="10"/>
  <c r="RG1518" i="10"/>
  <c r="RG1524" i="10"/>
  <c r="RG1531" i="10"/>
  <c r="RG1514" i="10"/>
  <c r="RG1526" i="10"/>
  <c r="RG1532" i="10"/>
  <c r="RG1530" i="10"/>
  <c r="RG1517" i="10"/>
  <c r="XX1492" i="10"/>
  <c r="XX1491" i="10"/>
  <c r="XX1495" i="10"/>
  <c r="XX1497" i="10"/>
  <c r="XX1493" i="10"/>
  <c r="XX1496" i="10"/>
  <c r="XX1498" i="10"/>
  <c r="XX1494" i="10"/>
  <c r="XX1501" i="10"/>
  <c r="XX1500" i="10"/>
  <c r="XX1499" i="10"/>
  <c r="XX1509" i="10"/>
  <c r="XX1507" i="10"/>
  <c r="XX1505" i="10"/>
  <c r="XX1504" i="10"/>
  <c r="XX1508" i="10"/>
  <c r="XX1502" i="10"/>
  <c r="XX1503" i="10"/>
  <c r="XX1510" i="10"/>
  <c r="XX1506" i="10"/>
  <c r="LB1495" i="10"/>
  <c r="LB1496" i="10"/>
  <c r="LB1508" i="10"/>
  <c r="LB1493" i="10"/>
  <c r="LB1497" i="10"/>
  <c r="LB1503" i="10"/>
  <c r="LB1506" i="10"/>
  <c r="LB1510" i="10"/>
  <c r="LB1494" i="10"/>
  <c r="LB1498" i="10"/>
  <c r="LB1501" i="10"/>
  <c r="LB1504" i="10"/>
  <c r="LB1507" i="10"/>
  <c r="LB1509" i="10"/>
  <c r="LB1492" i="10"/>
  <c r="LB1500" i="10"/>
  <c r="LB1499" i="10"/>
  <c r="LB1502" i="10"/>
  <c r="LB1491" i="10"/>
  <c r="LB1505" i="10"/>
  <c r="BD1514" i="10"/>
  <c r="BD1515" i="10"/>
  <c r="BD1517" i="10"/>
  <c r="BD1518" i="10"/>
  <c r="BD1516" i="10"/>
  <c r="BD1520" i="10"/>
  <c r="BD1519" i="10"/>
  <c r="BD1523" i="10"/>
  <c r="BD1521" i="10"/>
  <c r="BD1522" i="10"/>
  <c r="BD1524" i="10"/>
  <c r="BD1526" i="10"/>
  <c r="BD1527" i="10"/>
  <c r="BD1528" i="10"/>
  <c r="BD1525" i="10"/>
  <c r="BD1529" i="10"/>
  <c r="BD1533" i="10"/>
  <c r="BD1530" i="10"/>
  <c r="BD1531" i="10"/>
  <c r="BD1532" i="10"/>
  <c r="GT1491" i="10"/>
  <c r="GT1493" i="10"/>
  <c r="GT1492" i="10"/>
  <c r="GT1494" i="10"/>
  <c r="GT1499" i="10"/>
  <c r="GT1496" i="10"/>
  <c r="GT1500" i="10"/>
  <c r="GT1497" i="10"/>
  <c r="GT1495" i="10"/>
  <c r="GT1501" i="10"/>
  <c r="GT1505" i="10"/>
  <c r="GT1506" i="10"/>
  <c r="GT1504" i="10"/>
  <c r="GT1503" i="10"/>
  <c r="GT1508" i="10"/>
  <c r="GT1509" i="10"/>
  <c r="GT1502" i="10"/>
  <c r="GT1507" i="10"/>
  <c r="GT1498" i="10"/>
  <c r="GT1510" i="10"/>
  <c r="XQ1519" i="10"/>
  <c r="XQ1528" i="10"/>
  <c r="XQ1521" i="10"/>
  <c r="XQ1516" i="10"/>
  <c r="XQ1532" i="10"/>
  <c r="XQ1531" i="10"/>
  <c r="XQ1527" i="10"/>
  <c r="XQ1520" i="10"/>
  <c r="XQ1526" i="10"/>
  <c r="XQ1525" i="10"/>
  <c r="XQ1515" i="10"/>
  <c r="XQ1530" i="10"/>
  <c r="XQ1533" i="10"/>
  <c r="XQ1518" i="10"/>
  <c r="XQ1524" i="10"/>
  <c r="XQ1529" i="10"/>
  <c r="XQ1514" i="10"/>
  <c r="XQ1522" i="10"/>
  <c r="XQ1517" i="10"/>
  <c r="XQ1523" i="10"/>
  <c r="ACU1493" i="10"/>
  <c r="ACU1491" i="10"/>
  <c r="ACU1496" i="10"/>
  <c r="ACU1498" i="10"/>
  <c r="ACU1495" i="10"/>
  <c r="ACU1497" i="10"/>
  <c r="ACU1492" i="10"/>
  <c r="ACU1494" i="10"/>
  <c r="ACU1500" i="10"/>
  <c r="ACU1499" i="10"/>
  <c r="ACU1508" i="10"/>
  <c r="ACU1509" i="10"/>
  <c r="ACU1507" i="10"/>
  <c r="ACU1501" i="10"/>
  <c r="ACU1504" i="10"/>
  <c r="ACU1503" i="10"/>
  <c r="ACU1506" i="10"/>
  <c r="ACU1510" i="10"/>
  <c r="ACU1505" i="10"/>
  <c r="ACU1502" i="10"/>
  <c r="HX1516" i="10"/>
  <c r="HX1514" i="10"/>
  <c r="HX1515" i="10"/>
  <c r="HX1517" i="10"/>
  <c r="HX1520" i="10"/>
  <c r="HX1519" i="10"/>
  <c r="HX1523" i="10"/>
  <c r="HX1521" i="10"/>
  <c r="HX1522" i="10"/>
  <c r="HX1524" i="10"/>
  <c r="HX1525" i="10"/>
  <c r="HX1527" i="10"/>
  <c r="HX1528" i="10"/>
  <c r="HX1526" i="10"/>
  <c r="HX1518" i="10"/>
  <c r="HX1531" i="10"/>
  <c r="HX1532" i="10"/>
  <c r="HX1530" i="10"/>
  <c r="HX1529" i="10"/>
  <c r="HX1533" i="10"/>
  <c r="VZ1493" i="10"/>
  <c r="VZ1496" i="10"/>
  <c r="VZ1498" i="10"/>
  <c r="VZ1491" i="10"/>
  <c r="VZ1495" i="10"/>
  <c r="VZ1497" i="10"/>
  <c r="VZ1492" i="10"/>
  <c r="VZ1494" i="10"/>
  <c r="VZ1500" i="10"/>
  <c r="VZ1499" i="10"/>
  <c r="VZ1501" i="10"/>
  <c r="VZ1508" i="10"/>
  <c r="VZ1509" i="10"/>
  <c r="VZ1502" i="10"/>
  <c r="VZ1507" i="10"/>
  <c r="VZ1504" i="10"/>
  <c r="VZ1503" i="10"/>
  <c r="VZ1506" i="10"/>
  <c r="VZ1510" i="10"/>
  <c r="VZ1505" i="10"/>
  <c r="TJ1492" i="10"/>
  <c r="TJ1491" i="10"/>
  <c r="TJ1495" i="10"/>
  <c r="TJ1497" i="10"/>
  <c r="TJ1493" i="10"/>
  <c r="TJ1496" i="10"/>
  <c r="TJ1498" i="10"/>
  <c r="TJ1500" i="10"/>
  <c r="TJ1501" i="10"/>
  <c r="TJ1502" i="10"/>
  <c r="TJ1509" i="10"/>
  <c r="TJ1507" i="10"/>
  <c r="TJ1505" i="10"/>
  <c r="TJ1494" i="10"/>
  <c r="TJ1499" i="10"/>
  <c r="TJ1504" i="10"/>
  <c r="TJ1508" i="10"/>
  <c r="TJ1506" i="10"/>
  <c r="TJ1510" i="10"/>
  <c r="TJ1503" i="10"/>
  <c r="ADT1492" i="10"/>
  <c r="ADT1491" i="10"/>
  <c r="ADT1495" i="10"/>
  <c r="ADT1497" i="10"/>
  <c r="ADT1493" i="10"/>
  <c r="ADT1496" i="10"/>
  <c r="ADT1498" i="10"/>
  <c r="ADT1494" i="10"/>
  <c r="ADT1501" i="10"/>
  <c r="ADT1500" i="10"/>
  <c r="ADT1507" i="10"/>
  <c r="ADT1505" i="10"/>
  <c r="ADT1504" i="10"/>
  <c r="ADT1502" i="10"/>
  <c r="ADT1508" i="10"/>
  <c r="ADT1499" i="10"/>
  <c r="ADT1509" i="10"/>
  <c r="ADT1503" i="10"/>
  <c r="ADT1506" i="10"/>
  <c r="ADT1510" i="10"/>
  <c r="GI1523" i="10"/>
  <c r="GI1516" i="10"/>
  <c r="GI1527" i="10"/>
  <c r="GI1533" i="10"/>
  <c r="GI1524" i="10"/>
  <c r="GI1514" i="10"/>
  <c r="GI1529" i="10"/>
  <c r="GI1518" i="10"/>
  <c r="GI1525" i="10"/>
  <c r="GI1521" i="10"/>
  <c r="GI1522" i="10"/>
  <c r="GI1519" i="10"/>
  <c r="GI1532" i="10"/>
  <c r="GI1520" i="10"/>
  <c r="GI1528" i="10"/>
  <c r="GI1531" i="10"/>
  <c r="GI1526" i="10"/>
  <c r="GI1530" i="10"/>
  <c r="GI1515" i="10"/>
  <c r="GI1517" i="10"/>
  <c r="ZC1492" i="10"/>
  <c r="ZC1491" i="10"/>
  <c r="ZC1493" i="10"/>
  <c r="ZC1494" i="10"/>
  <c r="ZC1496" i="10"/>
  <c r="ZC1495" i="10"/>
  <c r="ZC1497" i="10"/>
  <c r="ZC1498" i="10"/>
  <c r="ZC1501" i="10"/>
  <c r="ZC1507" i="10"/>
  <c r="ZC1499" i="10"/>
  <c r="ZC1500" i="10"/>
  <c r="ZC1502" i="10"/>
  <c r="ZC1505" i="10"/>
  <c r="ZC1504" i="10"/>
  <c r="ZC1503" i="10"/>
  <c r="ZC1506" i="10"/>
  <c r="ZC1509" i="10"/>
  <c r="ZC1508" i="10"/>
  <c r="ZC1510" i="10"/>
  <c r="IT1493" i="10"/>
  <c r="IT1496" i="10"/>
  <c r="IT1498" i="10"/>
  <c r="IT1495" i="10"/>
  <c r="IT1497" i="10"/>
  <c r="IT1492" i="10"/>
  <c r="IT1491" i="10"/>
  <c r="IT1494" i="10"/>
  <c r="IT1500" i="10"/>
  <c r="IT1499" i="10"/>
  <c r="IT1501" i="10"/>
  <c r="IT1508" i="10"/>
  <c r="IT1507" i="10"/>
  <c r="IT1506" i="10"/>
  <c r="IT1504" i="10"/>
  <c r="IT1503" i="10"/>
  <c r="IT1509" i="10"/>
  <c r="IT1510" i="10"/>
  <c r="IT1502" i="10"/>
  <c r="IT1505" i="10"/>
  <c r="AED1515" i="10"/>
  <c r="AED1521" i="10"/>
  <c r="AED1524" i="10"/>
  <c r="AED1516" i="10"/>
  <c r="AED1519" i="10"/>
  <c r="AED1520" i="10"/>
  <c r="AED1522" i="10"/>
  <c r="AED1518" i="10"/>
  <c r="AED1528" i="10"/>
  <c r="AED1525" i="10"/>
  <c r="AED1523" i="10"/>
  <c r="AED1526" i="10"/>
  <c r="AED1529" i="10"/>
  <c r="AED1530" i="10"/>
  <c r="AED1531" i="10"/>
  <c r="AED1532" i="10"/>
  <c r="AED1533" i="10"/>
  <c r="AED1527" i="10"/>
  <c r="AED1517" i="10"/>
  <c r="AED1514" i="10"/>
  <c r="DQ1493" i="10"/>
  <c r="DQ1492" i="10"/>
  <c r="DQ1496" i="10"/>
  <c r="DQ1498" i="10"/>
  <c r="DQ1495" i="10"/>
  <c r="DQ1491" i="10"/>
  <c r="DQ1494" i="10"/>
  <c r="DQ1497" i="10"/>
  <c r="DQ1499" i="10"/>
  <c r="DQ1502" i="10"/>
  <c r="DQ1501" i="10"/>
  <c r="DQ1500" i="10"/>
  <c r="DQ1508" i="10"/>
  <c r="DQ1506" i="10"/>
  <c r="DQ1505" i="10"/>
  <c r="DQ1503" i="10"/>
  <c r="DQ1509" i="10"/>
  <c r="DQ1504" i="10"/>
  <c r="DQ1510" i="10"/>
  <c r="DQ1507" i="10"/>
  <c r="AAB1517" i="10"/>
  <c r="AAB1515" i="10"/>
  <c r="AAB1516" i="10"/>
  <c r="AAB1514" i="10"/>
  <c r="AAB1519" i="10"/>
  <c r="AAB1518" i="10"/>
  <c r="AAB1520" i="10"/>
  <c r="AAB1521" i="10"/>
  <c r="AAB1523" i="10"/>
  <c r="AAB1524" i="10"/>
  <c r="AAB1525" i="10"/>
  <c r="AAB1526" i="10"/>
  <c r="AAB1527" i="10"/>
  <c r="AAB1528" i="10"/>
  <c r="AAB1529" i="10"/>
  <c r="AAB1532" i="10"/>
  <c r="AAB1522" i="10"/>
  <c r="AAB1530" i="10"/>
  <c r="AAB1533" i="10"/>
  <c r="AAB1531" i="10"/>
  <c r="CI1520" i="10"/>
  <c r="CI1519" i="10"/>
  <c r="CI1525" i="10"/>
  <c r="CI1522" i="10"/>
  <c r="CI1526" i="10"/>
  <c r="CI1524" i="10"/>
  <c r="CI1529" i="10"/>
  <c r="CI1523" i="10"/>
  <c r="CI1527" i="10"/>
  <c r="CI1528" i="10"/>
  <c r="CI1532" i="10"/>
  <c r="CI1531" i="10"/>
  <c r="CI1530" i="10"/>
  <c r="CI1533" i="10"/>
  <c r="CI1514" i="10"/>
  <c r="CI1518" i="10"/>
  <c r="CI1517" i="10"/>
  <c r="CI1521" i="10"/>
  <c r="CI1516" i="10"/>
  <c r="CI1515" i="10"/>
  <c r="NO1514" i="10"/>
  <c r="NO1515" i="10"/>
  <c r="NO1519" i="10"/>
  <c r="NO1517" i="10"/>
  <c r="NO1518" i="10"/>
  <c r="NO1516" i="10"/>
  <c r="NO1521" i="10"/>
  <c r="NO1524" i="10"/>
  <c r="NO1520" i="10"/>
  <c r="NO1523" i="10"/>
  <c r="NO1525" i="10"/>
  <c r="NO1528" i="10"/>
  <c r="NO1522" i="10"/>
  <c r="NO1526" i="10"/>
  <c r="NO1527" i="10"/>
  <c r="NO1529" i="10"/>
  <c r="NO1531" i="10"/>
  <c r="NO1532" i="10"/>
  <c r="NO1530" i="10"/>
  <c r="NO1533" i="10"/>
  <c r="VB1492" i="10"/>
  <c r="VB1491" i="10"/>
  <c r="VB1495" i="10"/>
  <c r="VB1497" i="10"/>
  <c r="VB1493" i="10"/>
  <c r="VB1496" i="10"/>
  <c r="VB1498" i="10"/>
  <c r="VB1494" i="10"/>
  <c r="VB1501" i="10"/>
  <c r="VB1509" i="10"/>
  <c r="VB1500" i="10"/>
  <c r="VB1507" i="10"/>
  <c r="VB1499" i="10"/>
  <c r="VB1505" i="10"/>
  <c r="VB1504" i="10"/>
  <c r="VB1502" i="10"/>
  <c r="VB1508" i="10"/>
  <c r="VB1503" i="10"/>
  <c r="VB1510" i="10"/>
  <c r="VB1506" i="10"/>
  <c r="EG1492" i="10"/>
  <c r="EG1491" i="10"/>
  <c r="EG1493" i="10"/>
  <c r="EG1494" i="10"/>
  <c r="EG1500" i="10"/>
  <c r="EG1495" i="10"/>
  <c r="EG1496" i="10"/>
  <c r="EG1499" i="10"/>
  <c r="EG1501" i="10"/>
  <c r="EG1498" i="10"/>
  <c r="EG1497" i="10"/>
  <c r="EG1505" i="10"/>
  <c r="EG1506" i="10"/>
  <c r="EG1504" i="10"/>
  <c r="EG1503" i="10"/>
  <c r="EG1507" i="10"/>
  <c r="EG1509" i="10"/>
  <c r="EG1502" i="10"/>
  <c r="EG1508" i="10"/>
  <c r="EG1510" i="10"/>
  <c r="AAP1529" i="10"/>
  <c r="AAP1519" i="10"/>
  <c r="AAP1530" i="10"/>
  <c r="AAP1521" i="10"/>
  <c r="AAP1515" i="10"/>
  <c r="AAP1531" i="10"/>
  <c r="AAP1514" i="10"/>
  <c r="AAP1528" i="10"/>
  <c r="AAP1523" i="10"/>
  <c r="AAP1517" i="10"/>
  <c r="AAP1526" i="10"/>
  <c r="AAP1524" i="10"/>
  <c r="AAP1527" i="10"/>
  <c r="AAP1520" i="10"/>
  <c r="AAP1525" i="10"/>
  <c r="AAP1516" i="10"/>
  <c r="AAP1518" i="10"/>
  <c r="AAP1533" i="10"/>
  <c r="AAP1522" i="10"/>
  <c r="AAP1532" i="10"/>
  <c r="TR1514" i="10"/>
  <c r="TR1515" i="10"/>
  <c r="TR1517" i="10"/>
  <c r="TR1518" i="10"/>
  <c r="TR1519" i="10"/>
  <c r="TR1516" i="10"/>
  <c r="TR1521" i="10"/>
  <c r="TR1522" i="10"/>
  <c r="TR1523" i="10"/>
  <c r="TR1524" i="10"/>
  <c r="TR1525" i="10"/>
  <c r="TR1520" i="10"/>
  <c r="TR1526" i="10"/>
  <c r="TR1528" i="10"/>
  <c r="TR1527" i="10"/>
  <c r="TR1531" i="10"/>
  <c r="TR1530" i="10"/>
  <c r="TR1532" i="10"/>
  <c r="TR1529" i="10"/>
  <c r="TR1533" i="10"/>
  <c r="YY1503" i="10"/>
  <c r="YY1501" i="10"/>
  <c r="YY1502" i="10"/>
  <c r="YY1497" i="10"/>
  <c r="YY1499" i="10"/>
  <c r="YY1504" i="10"/>
  <c r="YY1498" i="10"/>
  <c r="YY1508" i="10"/>
  <c r="YY1510" i="10"/>
  <c r="YY1496" i="10"/>
  <c r="YY1507" i="10"/>
  <c r="YY1506" i="10"/>
  <c r="YY1505" i="10"/>
  <c r="YY1494" i="10"/>
  <c r="YY1491" i="10"/>
  <c r="YY1492" i="10"/>
  <c r="YY1493" i="10"/>
  <c r="YY1509" i="10"/>
  <c r="YY1495" i="10"/>
  <c r="YY1500" i="10"/>
  <c r="ACF1518" i="10"/>
  <c r="ACF1517" i="10"/>
  <c r="ACF1514" i="10"/>
  <c r="ACF1520" i="10"/>
  <c r="ACF1516" i="10"/>
  <c r="ACF1522" i="10"/>
  <c r="ACF1523" i="10"/>
  <c r="ACF1521" i="10"/>
  <c r="ACF1524" i="10"/>
  <c r="ACF1526" i="10"/>
  <c r="ACF1525" i="10"/>
  <c r="ACF1527" i="10"/>
  <c r="ACF1528" i="10"/>
  <c r="ACF1531" i="10"/>
  <c r="ACF1533" i="10"/>
  <c r="ACF1529" i="10"/>
  <c r="ACF1532" i="10"/>
  <c r="ACF1530" i="10"/>
  <c r="ACF1515" i="10"/>
  <c r="ACF1519" i="10"/>
  <c r="AFW1492" i="10"/>
  <c r="AFW1491" i="10"/>
  <c r="AFW1495" i="10"/>
  <c r="AFW1497" i="10"/>
  <c r="AFW1493" i="10"/>
  <c r="AFW1494" i="10"/>
  <c r="AFW1496" i="10"/>
  <c r="AFW1498" i="10"/>
  <c r="AFW1501" i="10"/>
  <c r="AFW1500" i="10"/>
  <c r="AFW1499" i="10"/>
  <c r="AFW1507" i="10"/>
  <c r="AFW1505" i="10"/>
  <c r="AFW1502" i="10"/>
  <c r="AFW1504" i="10"/>
  <c r="AFW1508" i="10"/>
  <c r="AFW1509" i="10"/>
  <c r="AFW1510" i="10"/>
  <c r="AFW1506" i="10"/>
  <c r="AFW1503" i="10"/>
  <c r="JY1526" i="10"/>
  <c r="JY1532" i="10"/>
  <c r="JY1531" i="10"/>
  <c r="JY1524" i="10"/>
  <c r="JY1514" i="10"/>
  <c r="JY1520" i="10"/>
  <c r="JY1528" i="10"/>
  <c r="JY1522" i="10"/>
  <c r="JY1525" i="10"/>
  <c r="JY1533" i="10"/>
  <c r="JY1523" i="10"/>
  <c r="JY1515" i="10"/>
  <c r="JY1530" i="10"/>
  <c r="JY1527" i="10"/>
  <c r="JY1529" i="10"/>
  <c r="JY1518" i="10"/>
  <c r="JY1517" i="10"/>
  <c r="JY1521" i="10"/>
  <c r="JY1516" i="10"/>
  <c r="JY1519" i="10"/>
  <c r="PO1491" i="10"/>
  <c r="PO1493" i="10"/>
  <c r="PO1492" i="10"/>
  <c r="PO1494" i="10"/>
  <c r="PO1499" i="10"/>
  <c r="PO1497" i="10"/>
  <c r="PO1500" i="10"/>
  <c r="PO1495" i="10"/>
  <c r="PO1498" i="10"/>
  <c r="PO1501" i="10"/>
  <c r="PO1505" i="10"/>
  <c r="PO1496" i="10"/>
  <c r="PO1502" i="10"/>
  <c r="PO1504" i="10"/>
  <c r="PO1503" i="10"/>
  <c r="PO1506" i="10"/>
  <c r="PO1508" i="10"/>
  <c r="PO1507" i="10"/>
  <c r="PO1509" i="10"/>
  <c r="PO1510" i="10"/>
  <c r="CQ1522" i="10"/>
  <c r="CQ1519" i="10"/>
  <c r="CQ1523" i="10"/>
  <c r="CQ1520" i="10"/>
  <c r="CQ1524" i="10"/>
  <c r="CQ1525" i="10"/>
  <c r="CQ1526" i="10"/>
  <c r="CQ1527" i="10"/>
  <c r="CQ1528" i="10"/>
  <c r="CQ1533" i="10"/>
  <c r="CQ1529" i="10"/>
  <c r="CQ1531" i="10"/>
  <c r="CQ1530" i="10"/>
  <c r="CQ1532" i="10"/>
  <c r="CQ1516" i="10"/>
  <c r="CQ1521" i="10"/>
  <c r="CQ1515" i="10"/>
  <c r="CQ1514" i="10"/>
  <c r="CQ1518" i="10"/>
  <c r="CQ1517" i="10"/>
  <c r="IG1493" i="10"/>
  <c r="IG1492" i="10"/>
  <c r="IG1496" i="10"/>
  <c r="IG1498" i="10"/>
  <c r="IG1495" i="10"/>
  <c r="IG1497" i="10"/>
  <c r="IG1491" i="10"/>
  <c r="IG1494" i="10"/>
  <c r="IG1499" i="10"/>
  <c r="IG1500" i="10"/>
  <c r="IG1501" i="10"/>
  <c r="IG1506" i="10"/>
  <c r="IG1507" i="10"/>
  <c r="IG1505" i="10"/>
  <c r="IG1509" i="10"/>
  <c r="IG1502" i="10"/>
  <c r="IG1503" i="10"/>
  <c r="IG1508" i="10"/>
  <c r="IG1504" i="10"/>
  <c r="IG1510" i="10"/>
  <c r="QS1515" i="10"/>
  <c r="QS1514" i="10"/>
  <c r="QS1517" i="10"/>
  <c r="QS1516" i="10"/>
  <c r="QS1518" i="10"/>
  <c r="QS1519" i="10"/>
  <c r="QS1522" i="10"/>
  <c r="QS1523" i="10"/>
  <c r="QS1520" i="10"/>
  <c r="QS1521" i="10"/>
  <c r="QS1526" i="10"/>
  <c r="QS1527" i="10"/>
  <c r="QS1528" i="10"/>
  <c r="QS1524" i="10"/>
  <c r="QS1531" i="10"/>
  <c r="QS1532" i="10"/>
  <c r="QS1525" i="10"/>
  <c r="QS1529" i="10"/>
  <c r="QS1533" i="10"/>
  <c r="QS1530" i="10"/>
  <c r="ZD1492" i="10"/>
  <c r="ZD1491" i="10"/>
  <c r="ZD1495" i="10"/>
  <c r="ZD1497" i="10"/>
  <c r="ZD1496" i="10"/>
  <c r="ZD1498" i="10"/>
  <c r="ZD1493" i="10"/>
  <c r="ZD1499" i="10"/>
  <c r="ZD1494" i="10"/>
  <c r="ZD1500" i="10"/>
  <c r="ZD1501" i="10"/>
  <c r="ZD1509" i="10"/>
  <c r="ZD1507" i="10"/>
  <c r="ZD1502" i="10"/>
  <c r="ZD1505" i="10"/>
  <c r="ZD1504" i="10"/>
  <c r="ZD1508" i="10"/>
  <c r="ZD1506" i="10"/>
  <c r="ZD1510" i="10"/>
  <c r="ZD1503" i="10"/>
  <c r="BC1493" i="10"/>
  <c r="BC1492" i="10"/>
  <c r="BC1496" i="10"/>
  <c r="BC1498" i="10"/>
  <c r="BC1495" i="10"/>
  <c r="BC1491" i="10"/>
  <c r="BC1494" i="10"/>
  <c r="BC1497" i="10"/>
  <c r="BC1499" i="10"/>
  <c r="BC1502" i="10"/>
  <c r="BC1500" i="10"/>
  <c r="BC1501" i="10"/>
  <c r="BC1508" i="10"/>
  <c r="BC1506" i="10"/>
  <c r="BC1505" i="10"/>
  <c r="BC1503" i="10"/>
  <c r="BC1509" i="10"/>
  <c r="BC1510" i="10"/>
  <c r="BC1507" i="10"/>
  <c r="BC1504" i="10"/>
  <c r="XP1529" i="10"/>
  <c r="XP1515" i="10"/>
  <c r="XP1520" i="10"/>
  <c r="XP1531" i="10"/>
  <c r="XP1517" i="10"/>
  <c r="XP1523" i="10"/>
  <c r="XP1533" i="10"/>
  <c r="XP1521" i="10"/>
  <c r="XP1519" i="10"/>
  <c r="XP1516" i="10"/>
  <c r="XP1525" i="10"/>
  <c r="XP1524" i="10"/>
  <c r="XP1526" i="10"/>
  <c r="XP1522" i="10"/>
  <c r="XP1528" i="10"/>
  <c r="XP1514" i="10"/>
  <c r="XP1518" i="10"/>
  <c r="XP1530" i="10"/>
  <c r="XP1527" i="10"/>
  <c r="XP1532" i="10"/>
  <c r="SB1515" i="10"/>
  <c r="SB1516" i="10"/>
  <c r="SB1514" i="10"/>
  <c r="SB1518" i="10"/>
  <c r="SB1519" i="10"/>
  <c r="SB1520" i="10"/>
  <c r="SB1521" i="10"/>
  <c r="SB1517" i="10"/>
  <c r="SB1524" i="10"/>
  <c r="SB1525" i="10"/>
  <c r="SB1522" i="10"/>
  <c r="SB1526" i="10"/>
  <c r="SB1530" i="10"/>
  <c r="SB1529" i="10"/>
  <c r="SB1523" i="10"/>
  <c r="SB1528" i="10"/>
  <c r="SB1527" i="10"/>
  <c r="SB1532" i="10"/>
  <c r="SB1531" i="10"/>
  <c r="SB1533" i="10"/>
  <c r="ZO1503" i="10"/>
  <c r="ZO1501" i="10"/>
  <c r="ZO1502" i="10"/>
  <c r="ZO1495" i="10"/>
  <c r="ZO1494" i="10"/>
  <c r="ZO1510" i="10"/>
  <c r="ZO1492" i="10"/>
  <c r="ZO1504" i="10"/>
  <c r="ZO1507" i="10"/>
  <c r="ZO1491" i="10"/>
  <c r="ZO1493" i="10"/>
  <c r="ZO1499" i="10"/>
  <c r="ZO1508" i="10"/>
  <c r="ZO1505" i="10"/>
  <c r="ZO1509" i="10"/>
  <c r="ZO1496" i="10"/>
  <c r="ZO1500" i="10"/>
  <c r="ZO1498" i="10"/>
  <c r="ZO1497" i="10"/>
  <c r="ZO1506" i="10"/>
  <c r="BS1520" i="10"/>
  <c r="BS1516" i="10"/>
  <c r="BS1517" i="10"/>
  <c r="BS1521" i="10"/>
  <c r="BS1522" i="10"/>
  <c r="BS1524" i="10"/>
  <c r="BS1523" i="10"/>
  <c r="BS1525" i="10"/>
  <c r="BS1526" i="10"/>
  <c r="BS1527" i="10"/>
  <c r="BS1528" i="10"/>
  <c r="BS1530" i="10"/>
  <c r="BS1532" i="10"/>
  <c r="BS1531" i="10"/>
  <c r="BS1529" i="10"/>
  <c r="BS1533" i="10"/>
  <c r="BS1514" i="10"/>
  <c r="BS1515" i="10"/>
  <c r="BS1518" i="10"/>
  <c r="BS1519" i="10"/>
  <c r="YF1514" i="10"/>
  <c r="YF1515" i="10"/>
  <c r="YF1516" i="10"/>
  <c r="YF1518" i="10"/>
  <c r="YF1519" i="10"/>
  <c r="YF1517" i="10"/>
  <c r="YF1520" i="10"/>
  <c r="YF1521" i="10"/>
  <c r="YF1522" i="10"/>
  <c r="YF1524" i="10"/>
  <c r="YF1527" i="10"/>
  <c r="YF1526" i="10"/>
  <c r="YF1525" i="10"/>
  <c r="YF1531" i="10"/>
  <c r="YF1532" i="10"/>
  <c r="YF1529" i="10"/>
  <c r="YF1530" i="10"/>
  <c r="YF1523" i="10"/>
  <c r="YF1528" i="10"/>
  <c r="YF1533" i="10"/>
  <c r="TC1515" i="10"/>
  <c r="TC1516" i="10"/>
  <c r="TC1519" i="10"/>
  <c r="TC1518" i="10"/>
  <c r="TC1514" i="10"/>
  <c r="TC1517" i="10"/>
  <c r="TC1521" i="10"/>
  <c r="TC1520" i="10"/>
  <c r="TC1524" i="10"/>
  <c r="TC1525" i="10"/>
  <c r="TC1526" i="10"/>
  <c r="TC1527" i="10"/>
  <c r="TC1522" i="10"/>
  <c r="TC1530" i="10"/>
  <c r="TC1529" i="10"/>
  <c r="TC1531" i="10"/>
  <c r="TC1523" i="10"/>
  <c r="TC1532" i="10"/>
  <c r="TC1533" i="10"/>
  <c r="TC1528" i="10"/>
  <c r="ADO1533" i="10"/>
  <c r="ADO1521" i="10"/>
  <c r="ADO1524" i="10"/>
  <c r="ADO1522" i="10"/>
  <c r="ADO1528" i="10"/>
  <c r="ADO1515" i="10"/>
  <c r="ADO1532" i="10"/>
  <c r="ADO1516" i="10"/>
  <c r="ADO1523" i="10"/>
  <c r="ADO1531" i="10"/>
  <c r="ADO1519" i="10"/>
  <c r="ADO1525" i="10"/>
  <c r="ADO1530" i="10"/>
  <c r="ADO1520" i="10"/>
  <c r="ADO1517" i="10"/>
  <c r="ADO1527" i="10"/>
  <c r="ADO1526" i="10"/>
  <c r="ADO1518" i="10"/>
  <c r="ADO1514" i="10"/>
  <c r="ADO1529" i="10"/>
  <c r="GO1514" i="10"/>
  <c r="GO1515" i="10"/>
  <c r="GO1516" i="10"/>
  <c r="GO1517" i="10"/>
  <c r="GO1520" i="10"/>
  <c r="GO1519" i="10"/>
  <c r="GO1518" i="10"/>
  <c r="GO1523" i="10"/>
  <c r="GO1525" i="10"/>
  <c r="GO1521" i="10"/>
  <c r="GO1524" i="10"/>
  <c r="GO1527" i="10"/>
  <c r="GO1526" i="10"/>
  <c r="GO1522" i="10"/>
  <c r="GO1533" i="10"/>
  <c r="GO1529" i="10"/>
  <c r="GO1530" i="10"/>
  <c r="GO1531" i="10"/>
  <c r="GO1532" i="10"/>
  <c r="GO1528" i="10"/>
  <c r="RU1515" i="10"/>
  <c r="RU1514" i="10"/>
  <c r="RU1517" i="10"/>
  <c r="RU1518" i="10"/>
  <c r="RU1522" i="10"/>
  <c r="RU1524" i="10"/>
  <c r="RU1520" i="10"/>
  <c r="RU1521" i="10"/>
  <c r="RU1527" i="10"/>
  <c r="RU1528" i="10"/>
  <c r="RU1523" i="10"/>
  <c r="RU1526" i="10"/>
  <c r="RU1532" i="10"/>
  <c r="RU1531" i="10"/>
  <c r="RU1529" i="10"/>
  <c r="RU1533" i="10"/>
  <c r="RU1530" i="10"/>
  <c r="RU1525" i="10"/>
  <c r="RU1519" i="10"/>
  <c r="RU1516" i="10"/>
  <c r="ZG1503" i="10"/>
  <c r="ZG1501" i="10"/>
  <c r="ZG1502" i="10"/>
  <c r="ZG1505" i="10"/>
  <c r="ZG1498" i="10"/>
  <c r="ZG1508" i="10"/>
  <c r="ZG1497" i="10"/>
  <c r="ZG1499" i="10"/>
  <c r="ZG1510" i="10"/>
  <c r="ZG1507" i="10"/>
  <c r="ZG1500" i="10"/>
  <c r="ZG1493" i="10"/>
  <c r="ZG1491" i="10"/>
  <c r="ZG1506" i="10"/>
  <c r="ZG1504" i="10"/>
  <c r="ZG1492" i="10"/>
  <c r="ZG1494" i="10"/>
  <c r="ZG1509" i="10"/>
  <c r="ZG1495" i="10"/>
  <c r="ZG1496" i="10"/>
  <c r="MG1491" i="10"/>
  <c r="MG1493" i="10"/>
  <c r="MG1492" i="10"/>
  <c r="MG1494" i="10"/>
  <c r="MG1499" i="10"/>
  <c r="MG1496" i="10"/>
  <c r="MG1498" i="10"/>
  <c r="MG1497" i="10"/>
  <c r="MG1500" i="10"/>
  <c r="MG1501" i="10"/>
  <c r="MG1502" i="10"/>
  <c r="MG1505" i="10"/>
  <c r="MG1504" i="10"/>
  <c r="MG1503" i="10"/>
  <c r="MG1506" i="10"/>
  <c r="MG1508" i="10"/>
  <c r="MG1507" i="10"/>
  <c r="MG1510" i="10"/>
  <c r="MG1509" i="10"/>
  <c r="MG1495" i="10"/>
  <c r="TS1503" i="10"/>
  <c r="TS1502" i="10"/>
  <c r="TS1493" i="10"/>
  <c r="TS1505" i="10"/>
  <c r="TS1491" i="10"/>
  <c r="TS1501" i="10"/>
  <c r="TS1498" i="10"/>
  <c r="TS1499" i="10"/>
  <c r="TS1496" i="10"/>
  <c r="TS1500" i="10"/>
  <c r="TS1510" i="10"/>
  <c r="TS1497" i="10"/>
  <c r="TS1506" i="10"/>
  <c r="TS1504" i="10"/>
  <c r="TS1507" i="10"/>
  <c r="TS1492" i="10"/>
  <c r="TS1508" i="10"/>
  <c r="TS1495" i="10"/>
  <c r="TS1509" i="10"/>
  <c r="TS1494" i="10"/>
  <c r="HA1514" i="10"/>
  <c r="HA1515" i="10"/>
  <c r="HA1517" i="10"/>
  <c r="HA1518" i="10"/>
  <c r="HA1520" i="10"/>
  <c r="HA1516" i="10"/>
  <c r="HA1519" i="10"/>
  <c r="HA1521" i="10"/>
  <c r="HA1522" i="10"/>
  <c r="HA1524" i="10"/>
  <c r="HA1525" i="10"/>
  <c r="HA1528" i="10"/>
  <c r="HA1526" i="10"/>
  <c r="HA1529" i="10"/>
  <c r="HA1530" i="10"/>
  <c r="HA1523" i="10"/>
  <c r="HA1527" i="10"/>
  <c r="HA1532" i="10"/>
  <c r="HA1531" i="10"/>
  <c r="HA1533" i="10"/>
  <c r="AFE1522" i="10"/>
  <c r="AFE1517" i="10"/>
  <c r="AFE1523" i="10"/>
  <c r="AFE1521" i="10"/>
  <c r="AFE1525" i="10"/>
  <c r="AFE1526" i="10"/>
  <c r="AFE1524" i="10"/>
  <c r="AFE1528" i="10"/>
  <c r="AFE1527" i="10"/>
  <c r="AFE1532" i="10"/>
  <c r="AFE1529" i="10"/>
  <c r="AFE1530" i="10"/>
  <c r="AFE1531" i="10"/>
  <c r="AFE1533" i="10"/>
  <c r="AFE1520" i="10"/>
  <c r="AFE1519" i="10"/>
  <c r="AFE1516" i="10"/>
  <c r="AFE1514" i="10"/>
  <c r="AFE1518" i="10"/>
  <c r="AFE1515" i="10"/>
  <c r="CU1493" i="10"/>
  <c r="CU1492" i="10"/>
  <c r="CU1491" i="10"/>
  <c r="CU1494" i="10"/>
  <c r="CU1496" i="10"/>
  <c r="CU1495" i="10"/>
  <c r="CU1502" i="10"/>
  <c r="CU1498" i="10"/>
  <c r="CU1499" i="10"/>
  <c r="CU1500" i="10"/>
  <c r="CU1506" i="10"/>
  <c r="CU1505" i="10"/>
  <c r="CU1501" i="10"/>
  <c r="CU1504" i="10"/>
  <c r="CU1507" i="10"/>
  <c r="CU1503" i="10"/>
  <c r="CU1509" i="10"/>
  <c r="CU1497" i="10"/>
  <c r="CU1508" i="10"/>
  <c r="CU1510" i="10"/>
  <c r="AAO1514" i="10"/>
  <c r="AAO1515" i="10"/>
  <c r="AAO1518" i="10"/>
  <c r="AAO1517" i="10"/>
  <c r="AAO1520" i="10"/>
  <c r="AAO1522" i="10"/>
  <c r="AAO1516" i="10"/>
  <c r="AAO1519" i="10"/>
  <c r="AAO1521" i="10"/>
  <c r="AAO1523" i="10"/>
  <c r="AAO1525" i="10"/>
  <c r="AAO1528" i="10"/>
  <c r="AAO1527" i="10"/>
  <c r="AAO1524" i="10"/>
  <c r="AAO1526" i="10"/>
  <c r="AAO1531" i="10"/>
  <c r="AAO1530" i="10"/>
  <c r="AAO1529" i="10"/>
  <c r="AAO1533" i="10"/>
  <c r="AAO1532" i="10"/>
  <c r="KH1524" i="10"/>
  <c r="KH1532" i="10"/>
  <c r="KH1515" i="10"/>
  <c r="KH1527" i="10"/>
  <c r="KH1531" i="10"/>
  <c r="KH1520" i="10"/>
  <c r="KH1514" i="10"/>
  <c r="KH1530" i="10"/>
  <c r="KH1529" i="10"/>
  <c r="KH1522" i="10"/>
  <c r="KH1518" i="10"/>
  <c r="KH1533" i="10"/>
  <c r="KH1525" i="10"/>
  <c r="KH1517" i="10"/>
  <c r="KH1523" i="10"/>
  <c r="KH1528" i="10"/>
  <c r="KH1516" i="10"/>
  <c r="KH1521" i="10"/>
  <c r="KH1526" i="10"/>
  <c r="KH1519" i="10"/>
  <c r="CZ1516" i="10"/>
  <c r="CZ1514" i="10"/>
  <c r="CZ1515" i="10"/>
  <c r="CZ1517" i="10"/>
  <c r="CZ1519" i="10"/>
  <c r="CZ1518" i="10"/>
  <c r="CZ1521" i="10"/>
  <c r="CZ1522" i="10"/>
  <c r="CZ1520" i="10"/>
  <c r="CZ1523" i="10"/>
  <c r="CZ1526" i="10"/>
  <c r="CZ1524" i="10"/>
  <c r="CZ1525" i="10"/>
  <c r="CZ1527" i="10"/>
  <c r="CZ1528" i="10"/>
  <c r="CZ1529" i="10"/>
  <c r="CZ1533" i="10"/>
  <c r="CZ1531" i="10"/>
  <c r="CZ1532" i="10"/>
  <c r="CZ1530" i="10"/>
  <c r="IP1493" i="10"/>
  <c r="IP1492" i="10"/>
  <c r="IP1491" i="10"/>
  <c r="IP1495" i="10"/>
  <c r="IP1497" i="10"/>
  <c r="IP1496" i="10"/>
  <c r="IP1498" i="10"/>
  <c r="IP1501" i="10"/>
  <c r="IP1499" i="10"/>
  <c r="IP1494" i="10"/>
  <c r="IP1506" i="10"/>
  <c r="IP1507" i="10"/>
  <c r="IP1502" i="10"/>
  <c r="IP1505" i="10"/>
  <c r="IP1504" i="10"/>
  <c r="IP1509" i="10"/>
  <c r="IP1508" i="10"/>
  <c r="IP1500" i="10"/>
  <c r="IP1503" i="10"/>
  <c r="IP1510" i="10"/>
  <c r="RB1514" i="10"/>
  <c r="RB1515" i="10"/>
  <c r="RB1519" i="10"/>
  <c r="RB1516" i="10"/>
  <c r="RB1517" i="10"/>
  <c r="RB1518" i="10"/>
  <c r="RB1520" i="10"/>
  <c r="RB1522" i="10"/>
  <c r="RB1523" i="10"/>
  <c r="RB1524" i="10"/>
  <c r="RB1525" i="10"/>
  <c r="RB1526" i="10"/>
  <c r="RB1527" i="10"/>
  <c r="RB1528" i="10"/>
  <c r="RB1530" i="10"/>
  <c r="RB1529" i="10"/>
  <c r="RB1531" i="10"/>
  <c r="RB1532" i="10"/>
  <c r="RB1521" i="10"/>
  <c r="RB1533" i="10"/>
  <c r="ZM1528" i="10"/>
  <c r="ZM1514" i="10"/>
  <c r="ZM1516" i="10"/>
  <c r="ZM1520" i="10"/>
  <c r="ZM1527" i="10"/>
  <c r="ZM1532" i="10"/>
  <c r="ZM1533" i="10"/>
  <c r="ZM1521" i="10"/>
  <c r="ZM1515" i="10"/>
  <c r="ZM1531" i="10"/>
  <c r="ZM1524" i="10"/>
  <c r="ZM1522" i="10"/>
  <c r="ZM1526" i="10"/>
  <c r="ZM1519" i="10"/>
  <c r="ZM1525" i="10"/>
  <c r="ZM1517" i="10"/>
  <c r="ZM1530" i="10"/>
  <c r="ZM1518" i="10"/>
  <c r="ZM1523" i="10"/>
  <c r="ZM1529" i="10"/>
  <c r="BQ1491" i="10"/>
  <c r="BQ1493" i="10"/>
  <c r="BQ1492" i="10"/>
  <c r="BQ1494" i="10"/>
  <c r="BQ1497" i="10"/>
  <c r="BQ1499" i="10"/>
  <c r="BQ1495" i="10"/>
  <c r="BQ1500" i="10"/>
  <c r="BQ1496" i="10"/>
  <c r="BQ1498" i="10"/>
  <c r="BQ1501" i="10"/>
  <c r="BQ1505" i="10"/>
  <c r="BQ1502" i="10"/>
  <c r="BQ1504" i="10"/>
  <c r="BQ1507" i="10"/>
  <c r="BQ1503" i="10"/>
  <c r="BQ1509" i="10"/>
  <c r="BQ1506" i="10"/>
  <c r="BQ1508" i="10"/>
  <c r="BQ1510" i="10"/>
  <c r="YD1528" i="10"/>
  <c r="YD1523" i="10"/>
  <c r="YD1524" i="10"/>
  <c r="YD1529" i="10"/>
  <c r="YD1530" i="10"/>
  <c r="YD1531" i="10"/>
  <c r="YD1533" i="10"/>
  <c r="YD1532" i="10"/>
  <c r="YD1514" i="10"/>
  <c r="YD1515" i="10"/>
  <c r="YD1525" i="10"/>
  <c r="YD1526" i="10"/>
  <c r="YD1517" i="10"/>
  <c r="YD1518" i="10"/>
  <c r="YD1521" i="10"/>
  <c r="YD1522" i="10"/>
  <c r="YD1527" i="10"/>
  <c r="YD1516" i="10"/>
  <c r="YD1520" i="10"/>
  <c r="YD1519" i="10"/>
  <c r="AEJ1492" i="10"/>
  <c r="AEJ1491" i="10"/>
  <c r="AEJ1494" i="10"/>
  <c r="AEJ1493" i="10"/>
  <c r="AEJ1495" i="10"/>
  <c r="AEJ1497" i="10"/>
  <c r="AEJ1498" i="10"/>
  <c r="AEJ1496" i="10"/>
  <c r="AEJ1499" i="10"/>
  <c r="AEJ1505" i="10"/>
  <c r="AEJ1504" i="10"/>
  <c r="AEJ1500" i="10"/>
  <c r="AEJ1503" i="10"/>
  <c r="AEJ1506" i="10"/>
  <c r="AEJ1508" i="10"/>
  <c r="AEJ1509" i="10"/>
  <c r="AEJ1501" i="10"/>
  <c r="AEJ1507" i="10"/>
  <c r="AEJ1510" i="10"/>
  <c r="AEJ1502" i="10"/>
  <c r="SO1514" i="10"/>
  <c r="SO1519" i="10"/>
  <c r="SO1517" i="10"/>
  <c r="SO1516" i="10"/>
  <c r="SO1520" i="10"/>
  <c r="SO1524" i="10"/>
  <c r="SO1521" i="10"/>
  <c r="SO1522" i="10"/>
  <c r="SO1523" i="10"/>
  <c r="SO1526" i="10"/>
  <c r="SO1525" i="10"/>
  <c r="SO1527" i="10"/>
  <c r="SO1528" i="10"/>
  <c r="SO1530" i="10"/>
  <c r="SO1529" i="10"/>
  <c r="SO1531" i="10"/>
  <c r="SO1533" i="10"/>
  <c r="SO1532" i="10"/>
  <c r="SO1518" i="10"/>
  <c r="SO1515" i="10"/>
  <c r="ZY1493" i="10"/>
  <c r="ZY1492" i="10"/>
  <c r="ZY1496" i="10"/>
  <c r="ZY1498" i="10"/>
  <c r="ZY1495" i="10"/>
  <c r="ZY1497" i="10"/>
  <c r="ZY1491" i="10"/>
  <c r="ZY1494" i="10"/>
  <c r="ZY1499" i="10"/>
  <c r="ZY1500" i="10"/>
  <c r="ZY1501" i="10"/>
  <c r="ZY1507" i="10"/>
  <c r="ZY1505" i="10"/>
  <c r="ZY1503" i="10"/>
  <c r="ZY1506" i="10"/>
  <c r="ZY1502" i="10"/>
  <c r="ZY1508" i="10"/>
  <c r="ZY1509" i="10"/>
  <c r="ZY1504" i="10"/>
  <c r="ZY1510" i="10"/>
  <c r="NK1526" i="10"/>
  <c r="NK1533" i="10"/>
  <c r="NK1514" i="10"/>
  <c r="NK1525" i="10"/>
  <c r="NK1516" i="10"/>
  <c r="NK1519" i="10"/>
  <c r="NK1532" i="10"/>
  <c r="NK1518" i="10"/>
  <c r="NK1522" i="10"/>
  <c r="NK1520" i="10"/>
  <c r="NK1524" i="10"/>
  <c r="NK1521" i="10"/>
  <c r="NK1531" i="10"/>
  <c r="NK1528" i="10"/>
  <c r="NK1529" i="10"/>
  <c r="NK1515" i="10"/>
  <c r="NK1523" i="10"/>
  <c r="NK1530" i="10"/>
  <c r="NK1517" i="10"/>
  <c r="NK1527" i="10"/>
  <c r="UY1503" i="10"/>
  <c r="UY1502" i="10"/>
  <c r="UY1497" i="10"/>
  <c r="UY1499" i="10"/>
  <c r="UY1504" i="10"/>
  <c r="UY1492" i="10"/>
  <c r="UY1505" i="10"/>
  <c r="UY1498" i="10"/>
  <c r="UY1508" i="10"/>
  <c r="UY1495" i="10"/>
  <c r="UY1501" i="10"/>
  <c r="UY1494" i="10"/>
  <c r="UY1496" i="10"/>
  <c r="UY1507" i="10"/>
  <c r="UY1491" i="10"/>
  <c r="UY1493" i="10"/>
  <c r="UY1509" i="10"/>
  <c r="UY1506" i="10"/>
  <c r="UY1510" i="10"/>
  <c r="UY1500" i="10"/>
  <c r="AET1492" i="10"/>
  <c r="AET1491" i="10"/>
  <c r="AET1496" i="10"/>
  <c r="AET1495" i="10"/>
  <c r="AET1497" i="10"/>
  <c r="AET1493" i="10"/>
  <c r="AET1494" i="10"/>
  <c r="AET1500" i="10"/>
  <c r="AET1499" i="10"/>
  <c r="AET1501" i="10"/>
  <c r="AET1498" i="10"/>
  <c r="AET1507" i="10"/>
  <c r="AET1505" i="10"/>
  <c r="AET1504" i="10"/>
  <c r="AET1503" i="10"/>
  <c r="AET1506" i="10"/>
  <c r="AET1502" i="10"/>
  <c r="AET1509" i="10"/>
  <c r="AET1508" i="10"/>
  <c r="AET1510" i="10"/>
  <c r="PV1493" i="10"/>
  <c r="PV1491" i="10"/>
  <c r="PV1496" i="10"/>
  <c r="PV1498" i="10"/>
  <c r="PV1495" i="10"/>
  <c r="PV1497" i="10"/>
  <c r="PV1494" i="10"/>
  <c r="PV1500" i="10"/>
  <c r="PV1492" i="10"/>
  <c r="PV1501" i="10"/>
  <c r="PV1499" i="10"/>
  <c r="PV1508" i="10"/>
  <c r="PV1509" i="10"/>
  <c r="PV1507" i="10"/>
  <c r="PV1504" i="10"/>
  <c r="PV1502" i="10"/>
  <c r="PV1503" i="10"/>
  <c r="PV1506" i="10"/>
  <c r="PV1505" i="10"/>
  <c r="PV1510" i="10"/>
  <c r="DF1493" i="10"/>
  <c r="DF1492" i="10"/>
  <c r="DF1491" i="10"/>
  <c r="DF1494" i="10"/>
  <c r="DF1496" i="10"/>
  <c r="DF1495" i="10"/>
  <c r="DF1502" i="10"/>
  <c r="DF1498" i="10"/>
  <c r="DF1499" i="10"/>
  <c r="DF1497" i="10"/>
  <c r="DF1506" i="10"/>
  <c r="DF1505" i="10"/>
  <c r="DF1504" i="10"/>
  <c r="DF1507" i="10"/>
  <c r="DF1503" i="10"/>
  <c r="DF1509" i="10"/>
  <c r="DF1500" i="10"/>
  <c r="DF1508" i="10"/>
  <c r="DF1501" i="10"/>
  <c r="DF1510" i="10"/>
  <c r="ZR1529" i="10"/>
  <c r="ZR1533" i="10"/>
  <c r="ZR1514" i="10"/>
  <c r="ZR1525" i="10"/>
  <c r="ZR1527" i="10"/>
  <c r="ZR1523" i="10"/>
  <c r="ZR1532" i="10"/>
  <c r="ZR1516" i="10"/>
  <c r="ZR1519" i="10"/>
  <c r="ZR1515" i="10"/>
  <c r="ZR1526" i="10"/>
  <c r="ZR1530" i="10"/>
  <c r="ZR1524" i="10"/>
  <c r="ZR1518" i="10"/>
  <c r="ZR1520" i="10"/>
  <c r="ZR1517" i="10"/>
  <c r="ZR1531" i="10"/>
  <c r="ZR1528" i="10"/>
  <c r="ZR1521" i="10"/>
  <c r="ZR1522" i="10"/>
  <c r="UG1525" i="10"/>
  <c r="UG1516" i="10"/>
  <c r="UG1527" i="10"/>
  <c r="UG1528" i="10"/>
  <c r="UG1529" i="10"/>
  <c r="UG1531" i="10"/>
  <c r="UG1532" i="10"/>
  <c r="UG1533" i="10"/>
  <c r="UG1530" i="10"/>
  <c r="UG1518" i="10"/>
  <c r="UG1524" i="10"/>
  <c r="UG1526" i="10"/>
  <c r="UG1522" i="10"/>
  <c r="UG1521" i="10"/>
  <c r="UG1517" i="10"/>
  <c r="UG1514" i="10"/>
  <c r="UG1519" i="10"/>
  <c r="UG1520" i="10"/>
  <c r="UG1515" i="10"/>
  <c r="UG1523" i="10"/>
  <c r="ABL1491" i="10"/>
  <c r="ABL1494" i="10"/>
  <c r="ABL1496" i="10"/>
  <c r="ABL1498" i="10"/>
  <c r="ABL1495" i="10"/>
  <c r="ABL1497" i="10"/>
  <c r="ABL1493" i="10"/>
  <c r="ABL1492" i="10"/>
  <c r="ABL1499" i="10"/>
  <c r="ABL1500" i="10"/>
  <c r="ABL1501" i="10"/>
  <c r="ABL1503" i="10"/>
  <c r="ABL1506" i="10"/>
  <c r="ABL1502" i="10"/>
  <c r="ABL1509" i="10"/>
  <c r="ABL1507" i="10"/>
  <c r="ABL1505" i="10"/>
  <c r="ABL1504" i="10"/>
  <c r="ABL1508" i="10"/>
  <c r="ABL1510" i="10"/>
  <c r="ZL1492" i="10"/>
  <c r="ZL1491" i="10"/>
  <c r="ZL1493" i="10"/>
  <c r="ZL1494" i="10"/>
  <c r="ZL1500" i="10"/>
  <c r="ZL1495" i="10"/>
  <c r="ZL1496" i="10"/>
  <c r="ZL1498" i="10"/>
  <c r="ZL1499" i="10"/>
  <c r="ZL1501" i="10"/>
  <c r="ZL1497" i="10"/>
  <c r="ZL1505" i="10"/>
  <c r="ZL1502" i="10"/>
  <c r="ZL1504" i="10"/>
  <c r="ZL1503" i="10"/>
  <c r="ZL1506" i="10"/>
  <c r="ZL1508" i="10"/>
  <c r="ZL1509" i="10"/>
  <c r="ZL1507" i="10"/>
  <c r="ZL1510" i="10"/>
  <c r="GG1514" i="10"/>
  <c r="GG1515" i="10"/>
  <c r="GG1518" i="10"/>
  <c r="GG1516" i="10"/>
  <c r="GG1517" i="10"/>
  <c r="GG1523" i="10"/>
  <c r="GG1521" i="10"/>
  <c r="GG1522" i="10"/>
  <c r="GG1524" i="10"/>
  <c r="GG1525" i="10"/>
  <c r="GG1527" i="10"/>
  <c r="GG1520" i="10"/>
  <c r="GG1528" i="10"/>
  <c r="GG1529" i="10"/>
  <c r="GG1531" i="10"/>
  <c r="GG1532" i="10"/>
  <c r="GG1519" i="10"/>
  <c r="GG1526" i="10"/>
  <c r="GG1530" i="10"/>
  <c r="GG1533" i="10"/>
  <c r="YW1491" i="10"/>
  <c r="YW1492" i="10"/>
  <c r="YW1494" i="10"/>
  <c r="YW1493" i="10"/>
  <c r="YW1496" i="10"/>
  <c r="YW1498" i="10"/>
  <c r="YW1495" i="10"/>
  <c r="YW1497" i="10"/>
  <c r="YW1500" i="10"/>
  <c r="YW1499" i="10"/>
  <c r="YW1503" i="10"/>
  <c r="YW1506" i="10"/>
  <c r="YW1501" i="10"/>
  <c r="YW1509" i="10"/>
  <c r="YW1507" i="10"/>
  <c r="YW1505" i="10"/>
  <c r="YW1504" i="10"/>
  <c r="YW1508" i="10"/>
  <c r="YW1502" i="10"/>
  <c r="YW1510" i="10"/>
  <c r="PC1514" i="10"/>
  <c r="PC1515" i="10"/>
  <c r="PC1516" i="10"/>
  <c r="PC1518" i="10"/>
  <c r="PC1519" i="10"/>
  <c r="PC1521" i="10"/>
  <c r="PC1520" i="10"/>
  <c r="PC1525" i="10"/>
  <c r="PC1522" i="10"/>
  <c r="PC1523" i="10"/>
  <c r="PC1527" i="10"/>
  <c r="PC1517" i="10"/>
  <c r="PC1528" i="10"/>
  <c r="PC1524" i="10"/>
  <c r="PC1526" i="10"/>
  <c r="PC1530" i="10"/>
  <c r="PC1529" i="10"/>
  <c r="PC1531" i="10"/>
  <c r="PC1532" i="10"/>
  <c r="PC1533" i="10"/>
  <c r="FA1514" i="10"/>
  <c r="FA1515" i="10"/>
  <c r="FA1517" i="10"/>
  <c r="FA1518" i="10"/>
  <c r="FA1516" i="10"/>
  <c r="FA1519" i="10"/>
  <c r="FA1520" i="10"/>
  <c r="FA1522" i="10"/>
  <c r="FA1521" i="10"/>
  <c r="FA1525" i="10"/>
  <c r="FA1523" i="10"/>
  <c r="FA1527" i="10"/>
  <c r="FA1529" i="10"/>
  <c r="FA1524" i="10"/>
  <c r="FA1532" i="10"/>
  <c r="FA1528" i="10"/>
  <c r="FA1531" i="10"/>
  <c r="FA1526" i="10"/>
  <c r="FA1530" i="10"/>
  <c r="FA1533" i="10"/>
  <c r="KQ1495" i="10"/>
  <c r="KQ1496" i="10"/>
  <c r="KQ1499" i="10"/>
  <c r="KQ1502" i="10"/>
  <c r="KQ1493" i="10"/>
  <c r="KQ1494" i="10"/>
  <c r="KQ1498" i="10"/>
  <c r="KQ1501" i="10"/>
  <c r="KQ1504" i="10"/>
  <c r="KQ1505" i="10"/>
  <c r="KQ1497" i="10"/>
  <c r="KQ1503" i="10"/>
  <c r="KQ1506" i="10"/>
  <c r="KQ1492" i="10"/>
  <c r="KQ1500" i="10"/>
  <c r="KQ1491" i="10"/>
  <c r="KQ1507" i="10"/>
  <c r="KQ1510" i="10"/>
  <c r="KQ1509" i="10"/>
  <c r="KQ1508" i="10"/>
  <c r="ABG1533" i="10"/>
  <c r="ABG1526" i="10"/>
  <c r="ABG1514" i="10"/>
  <c r="ABG1520" i="10"/>
  <c r="ABG1519" i="10"/>
  <c r="ABG1521" i="10"/>
  <c r="ABG1516" i="10"/>
  <c r="ABG1522" i="10"/>
  <c r="ABG1532" i="10"/>
  <c r="ABG1530" i="10"/>
  <c r="ABG1524" i="10"/>
  <c r="ABG1529" i="10"/>
  <c r="ABG1518" i="10"/>
  <c r="ABG1531" i="10"/>
  <c r="ABG1515" i="10"/>
  <c r="ABG1525" i="10"/>
  <c r="ABG1527" i="10"/>
  <c r="ABG1517" i="10"/>
  <c r="ABG1528" i="10"/>
  <c r="ABG1523" i="10"/>
  <c r="DI1493" i="10"/>
  <c r="DI1497" i="10"/>
  <c r="DI1499" i="10"/>
  <c r="DI1491" i="10"/>
  <c r="DI1496" i="10"/>
  <c r="DI1498" i="10"/>
  <c r="DI1495" i="10"/>
  <c r="DI1494" i="10"/>
  <c r="DI1500" i="10"/>
  <c r="DI1492" i="10"/>
  <c r="DI1502" i="10"/>
  <c r="DI1501" i="10"/>
  <c r="DI1508" i="10"/>
  <c r="DI1506" i="10"/>
  <c r="DI1504" i="10"/>
  <c r="DI1507" i="10"/>
  <c r="DI1503" i="10"/>
  <c r="DI1509" i="10"/>
  <c r="DI1510" i="10"/>
  <c r="DI1505" i="10"/>
  <c r="UF1514" i="10"/>
  <c r="UF1515" i="10"/>
  <c r="UF1517" i="10"/>
  <c r="UF1516" i="10"/>
  <c r="UF1518" i="10"/>
  <c r="UF1519" i="10"/>
  <c r="UF1521" i="10"/>
  <c r="UF1522" i="10"/>
  <c r="UF1520" i="10"/>
  <c r="UF1523" i="10"/>
  <c r="UF1526" i="10"/>
  <c r="UF1524" i="10"/>
  <c r="UF1525" i="10"/>
  <c r="UF1527" i="10"/>
  <c r="UF1529" i="10"/>
  <c r="UF1530" i="10"/>
  <c r="UF1531" i="10"/>
  <c r="UF1532" i="10"/>
  <c r="UF1528" i="10"/>
  <c r="UF1533" i="10"/>
  <c r="ZU1492" i="10"/>
  <c r="ZU1491" i="10"/>
  <c r="ZU1494" i="10"/>
  <c r="ZU1500" i="10"/>
  <c r="ZU1495" i="10"/>
  <c r="ZU1497" i="10"/>
  <c r="ZU1493" i="10"/>
  <c r="ZU1499" i="10"/>
  <c r="ZU1498" i="10"/>
  <c r="ZU1501" i="10"/>
  <c r="ZU1505" i="10"/>
  <c r="ZU1504" i="10"/>
  <c r="ZU1502" i="10"/>
  <c r="ZU1503" i="10"/>
  <c r="ZU1506" i="10"/>
  <c r="ZU1508" i="10"/>
  <c r="ZU1509" i="10"/>
  <c r="ZU1507" i="10"/>
  <c r="ZU1510" i="10"/>
  <c r="ZU1496" i="10"/>
  <c r="FV1518" i="10"/>
  <c r="FV1515" i="10"/>
  <c r="FV1514" i="10"/>
  <c r="FV1517" i="10"/>
  <c r="FV1516" i="10"/>
  <c r="FV1519" i="10"/>
  <c r="FV1523" i="10"/>
  <c r="FV1520" i="10"/>
  <c r="FV1521" i="10"/>
  <c r="FV1522" i="10"/>
  <c r="FV1524" i="10"/>
  <c r="FV1525" i="10"/>
  <c r="FV1527" i="10"/>
  <c r="FV1528" i="10"/>
  <c r="FV1533" i="10"/>
  <c r="FV1531" i="10"/>
  <c r="FV1530" i="10"/>
  <c r="FV1526" i="10"/>
  <c r="FV1529" i="10"/>
  <c r="FV1532" i="10"/>
  <c r="RC1526" i="10"/>
  <c r="RC1533" i="10"/>
  <c r="RC1515" i="10"/>
  <c r="RC1525" i="10"/>
  <c r="RC1527" i="10"/>
  <c r="RC1517" i="10"/>
  <c r="RC1528" i="10"/>
  <c r="RC1514" i="10"/>
  <c r="RC1532" i="10"/>
  <c r="RC1519" i="10"/>
  <c r="RC1520" i="10"/>
  <c r="RC1524" i="10"/>
  <c r="RC1522" i="10"/>
  <c r="RC1521" i="10"/>
  <c r="RC1518" i="10"/>
  <c r="RC1531" i="10"/>
  <c r="RC1516" i="10"/>
  <c r="RC1523" i="10"/>
  <c r="RC1530" i="10"/>
  <c r="RC1529" i="10"/>
  <c r="YO1491" i="10"/>
  <c r="YO1493" i="10"/>
  <c r="YO1492" i="10"/>
  <c r="YO1494" i="10"/>
  <c r="YO1499" i="10"/>
  <c r="YO1495" i="10"/>
  <c r="YO1501" i="10"/>
  <c r="YO1496" i="10"/>
  <c r="YO1497" i="10"/>
  <c r="YO1500" i="10"/>
  <c r="YO1498" i="10"/>
  <c r="YO1505" i="10"/>
  <c r="YO1504" i="10"/>
  <c r="YO1503" i="10"/>
  <c r="YO1506" i="10"/>
  <c r="YO1508" i="10"/>
  <c r="YO1502" i="10"/>
  <c r="YO1507" i="10"/>
  <c r="YO1510" i="10"/>
  <c r="YO1509" i="10"/>
  <c r="AG1517" i="10"/>
  <c r="AG1514" i="10"/>
  <c r="AG1515" i="10"/>
  <c r="AG1516" i="10"/>
  <c r="AG1520" i="10"/>
  <c r="AG1518" i="10"/>
  <c r="AG1525" i="10"/>
  <c r="AG1519" i="10"/>
  <c r="AG1523" i="10"/>
  <c r="AG1521" i="10"/>
  <c r="AG1522" i="10"/>
  <c r="AG1524" i="10"/>
  <c r="AG1529" i="10"/>
  <c r="AG1527" i="10"/>
  <c r="AG1528" i="10"/>
  <c r="AG1532" i="10"/>
  <c r="AG1531" i="10"/>
  <c r="AG1526" i="10"/>
  <c r="AG1533" i="10"/>
  <c r="AG1530" i="10"/>
  <c r="LN1516" i="10"/>
  <c r="LN1515" i="10"/>
  <c r="LN1518" i="10"/>
  <c r="LN1514" i="10"/>
  <c r="LN1519" i="10"/>
  <c r="LN1520" i="10"/>
  <c r="LN1521" i="10"/>
  <c r="LN1523" i="10"/>
  <c r="LN1525" i="10"/>
  <c r="LN1517" i="10"/>
  <c r="LN1522" i="10"/>
  <c r="LN1524" i="10"/>
  <c r="LN1526" i="10"/>
  <c r="LN1528" i="10"/>
  <c r="LN1527" i="10"/>
  <c r="LN1531" i="10"/>
  <c r="LN1532" i="10"/>
  <c r="LN1533" i="10"/>
  <c r="LN1530" i="10"/>
  <c r="LN1529" i="10"/>
  <c r="SZ1492" i="10"/>
  <c r="SZ1491" i="10"/>
  <c r="SZ1495" i="10"/>
  <c r="SZ1497" i="10"/>
  <c r="SZ1493" i="10"/>
  <c r="SZ1496" i="10"/>
  <c r="SZ1498" i="10"/>
  <c r="SZ1499" i="10"/>
  <c r="SZ1500" i="10"/>
  <c r="SZ1501" i="10"/>
  <c r="SZ1494" i="10"/>
  <c r="SZ1509" i="10"/>
  <c r="SZ1507" i="10"/>
  <c r="SZ1505" i="10"/>
  <c r="SZ1504" i="10"/>
  <c r="SZ1508" i="10"/>
  <c r="SZ1502" i="10"/>
  <c r="SZ1506" i="10"/>
  <c r="SZ1503" i="10"/>
  <c r="SZ1510" i="10"/>
  <c r="GJ1518" i="10"/>
  <c r="GJ1516" i="10"/>
  <c r="GJ1517" i="10"/>
  <c r="GJ1514" i="10"/>
  <c r="GJ1515" i="10"/>
  <c r="GJ1523" i="10"/>
  <c r="GJ1521" i="10"/>
  <c r="GJ1522" i="10"/>
  <c r="GJ1519" i="10"/>
  <c r="GJ1520" i="10"/>
  <c r="GJ1524" i="10"/>
  <c r="GJ1528" i="10"/>
  <c r="GJ1529" i="10"/>
  <c r="GJ1527" i="10"/>
  <c r="GJ1525" i="10"/>
  <c r="GJ1526" i="10"/>
  <c r="GJ1531" i="10"/>
  <c r="GJ1532" i="10"/>
  <c r="GJ1530" i="10"/>
  <c r="GJ1533" i="10"/>
  <c r="NY1491" i="10"/>
  <c r="NY1493" i="10"/>
  <c r="NY1492" i="10"/>
  <c r="NY1494" i="10"/>
  <c r="NY1499" i="10"/>
  <c r="NY1500" i="10"/>
  <c r="NY1498" i="10"/>
  <c r="NY1496" i="10"/>
  <c r="NY1497" i="10"/>
  <c r="NY1495" i="10"/>
  <c r="NY1501" i="10"/>
  <c r="NY1505" i="10"/>
  <c r="NY1504" i="10"/>
  <c r="NY1503" i="10"/>
  <c r="NY1506" i="10"/>
  <c r="NY1508" i="10"/>
  <c r="NY1502" i="10"/>
  <c r="NY1507" i="10"/>
  <c r="NY1510" i="10"/>
  <c r="NY1509" i="10"/>
  <c r="ZE1529" i="10"/>
  <c r="ZE1518" i="10"/>
  <c r="ZE1521" i="10"/>
  <c r="ZE1525" i="10"/>
  <c r="ZE1528" i="10"/>
  <c r="ZE1533" i="10"/>
  <c r="ZE1523" i="10"/>
  <c r="ZE1522" i="10"/>
  <c r="ZE1532" i="10"/>
  <c r="ZE1524" i="10"/>
  <c r="ZE1514" i="10"/>
  <c r="ZE1515" i="10"/>
  <c r="ZE1531" i="10"/>
  <c r="ZE1516" i="10"/>
  <c r="ZE1526" i="10"/>
  <c r="ZE1530" i="10"/>
  <c r="ZE1519" i="10"/>
  <c r="ZE1527" i="10"/>
  <c r="ZE1520" i="10"/>
  <c r="ZE1517" i="10"/>
  <c r="IU1491" i="10"/>
  <c r="IU1494" i="10"/>
  <c r="IU1499" i="10"/>
  <c r="IU1496" i="10"/>
  <c r="IU1498" i="10"/>
  <c r="IU1495" i="10"/>
  <c r="IU1497" i="10"/>
  <c r="IU1492" i="10"/>
  <c r="IU1493" i="10"/>
  <c r="IU1502" i="10"/>
  <c r="IU1500" i="10"/>
  <c r="IU1503" i="10"/>
  <c r="IU1509" i="10"/>
  <c r="IU1508" i="10"/>
  <c r="IU1501" i="10"/>
  <c r="IU1507" i="10"/>
  <c r="IU1505" i="10"/>
  <c r="IU1504" i="10"/>
  <c r="IU1506" i="10"/>
  <c r="IU1510" i="10"/>
  <c r="AEE1531" i="10"/>
  <c r="AEE1530" i="10"/>
  <c r="AEE1520" i="10"/>
  <c r="AEE1526" i="10"/>
  <c r="AEE1523" i="10"/>
  <c r="AEE1527" i="10"/>
  <c r="AEE1524" i="10"/>
  <c r="AEE1522" i="10"/>
  <c r="AEE1516" i="10"/>
  <c r="AEE1528" i="10"/>
  <c r="AEE1518" i="10"/>
  <c r="AEE1521" i="10"/>
  <c r="AEE1515" i="10"/>
  <c r="AEE1525" i="10"/>
  <c r="AEE1532" i="10"/>
  <c r="AEE1514" i="10"/>
  <c r="AEE1517" i="10"/>
  <c r="AEE1529" i="10"/>
  <c r="AEE1533" i="10"/>
  <c r="AEE1519" i="10"/>
  <c r="HK1515" i="10"/>
  <c r="HK1516" i="10"/>
  <c r="HK1514" i="10"/>
  <c r="HK1520" i="10"/>
  <c r="HK1517" i="10"/>
  <c r="HK1518" i="10"/>
  <c r="HK1521" i="10"/>
  <c r="HK1522" i="10"/>
  <c r="HK1524" i="10"/>
  <c r="HK1525" i="10"/>
  <c r="HK1523" i="10"/>
  <c r="HK1527" i="10"/>
  <c r="HK1519" i="10"/>
  <c r="HK1528" i="10"/>
  <c r="HK1530" i="10"/>
  <c r="HK1526" i="10"/>
  <c r="HK1531" i="10"/>
  <c r="HK1529" i="10"/>
  <c r="HK1533" i="10"/>
  <c r="HK1532" i="10"/>
  <c r="OZ1493" i="10"/>
  <c r="OZ1492" i="10"/>
  <c r="OZ1496" i="10"/>
  <c r="OZ1498" i="10"/>
  <c r="OZ1495" i="10"/>
  <c r="OZ1497" i="10"/>
  <c r="OZ1491" i="10"/>
  <c r="OZ1494" i="10"/>
  <c r="OZ1500" i="10"/>
  <c r="OZ1501" i="10"/>
  <c r="OZ1508" i="10"/>
  <c r="OZ1509" i="10"/>
  <c r="OZ1499" i="10"/>
  <c r="OZ1507" i="10"/>
  <c r="OZ1502" i="10"/>
  <c r="OZ1504" i="10"/>
  <c r="OZ1503" i="10"/>
  <c r="OZ1506" i="10"/>
  <c r="OZ1505" i="10"/>
  <c r="OZ1510" i="10"/>
  <c r="JL1493" i="10"/>
  <c r="JL1492" i="10"/>
  <c r="JL1491" i="10"/>
  <c r="JL1495" i="10"/>
  <c r="JL1497" i="10"/>
  <c r="JL1496" i="10"/>
  <c r="JL1498" i="10"/>
  <c r="JL1494" i="10"/>
  <c r="JL1501" i="10"/>
  <c r="JL1499" i="10"/>
  <c r="JL1502" i="10"/>
  <c r="JL1507" i="10"/>
  <c r="JL1500" i="10"/>
  <c r="JL1505" i="10"/>
  <c r="JL1504" i="10"/>
  <c r="JL1506" i="10"/>
  <c r="JL1508" i="10"/>
  <c r="JL1509" i="10"/>
  <c r="JL1503" i="10"/>
  <c r="JL1510" i="10"/>
  <c r="AEP1526" i="10"/>
  <c r="AEP1530" i="10"/>
  <c r="AEP1516" i="10"/>
  <c r="AEP1533" i="10"/>
  <c r="AEP1520" i="10"/>
  <c r="AEP1519" i="10"/>
  <c r="AEP1527" i="10"/>
  <c r="AEP1522" i="10"/>
  <c r="AEP1514" i="10"/>
  <c r="AEP1515" i="10"/>
  <c r="AEP1528" i="10"/>
  <c r="AEP1525" i="10"/>
  <c r="AEP1517" i="10"/>
  <c r="AEP1532" i="10"/>
  <c r="AEP1521" i="10"/>
  <c r="AEP1523" i="10"/>
  <c r="AEP1529" i="10"/>
  <c r="AEP1531" i="10"/>
  <c r="AEP1524" i="10"/>
  <c r="AEP1518" i="10"/>
  <c r="SH1493" i="10"/>
  <c r="SH1496" i="10"/>
  <c r="SH1498" i="10"/>
  <c r="SH1495" i="10"/>
  <c r="SH1497" i="10"/>
  <c r="SH1492" i="10"/>
  <c r="SH1491" i="10"/>
  <c r="SH1494" i="10"/>
  <c r="SH1500" i="10"/>
  <c r="SH1501" i="10"/>
  <c r="SH1508" i="10"/>
  <c r="SH1509" i="10"/>
  <c r="SH1507" i="10"/>
  <c r="SH1504" i="10"/>
  <c r="SH1499" i="10"/>
  <c r="SH1502" i="10"/>
  <c r="SH1503" i="10"/>
  <c r="SH1506" i="10"/>
  <c r="SH1510" i="10"/>
  <c r="SH1505" i="10"/>
  <c r="FJ1493" i="10"/>
  <c r="FJ1499" i="10"/>
  <c r="FJ1492" i="10"/>
  <c r="FJ1496" i="10"/>
  <c r="FJ1495" i="10"/>
  <c r="FJ1497" i="10"/>
  <c r="FJ1494" i="10"/>
  <c r="FJ1500" i="10"/>
  <c r="FJ1491" i="10"/>
  <c r="FJ1498" i="10"/>
  <c r="FJ1502" i="10"/>
  <c r="FJ1501" i="10"/>
  <c r="FJ1506" i="10"/>
  <c r="FJ1507" i="10"/>
  <c r="FJ1509" i="10"/>
  <c r="FJ1504" i="10"/>
  <c r="FJ1503" i="10"/>
  <c r="FJ1508" i="10"/>
  <c r="FJ1505" i="10"/>
  <c r="FJ1510" i="10"/>
  <c r="WG1518" i="10"/>
  <c r="WG1530" i="10"/>
  <c r="WG1514" i="10"/>
  <c r="WG1520" i="10"/>
  <c r="WG1533" i="10"/>
  <c r="WG1527" i="10"/>
  <c r="WG1521" i="10"/>
  <c r="WG1528" i="10"/>
  <c r="WG1519" i="10"/>
  <c r="WG1524" i="10"/>
  <c r="WG1532" i="10"/>
  <c r="WG1523" i="10"/>
  <c r="WG1525" i="10"/>
  <c r="WG1529" i="10"/>
  <c r="WG1517" i="10"/>
  <c r="WG1531" i="10"/>
  <c r="WG1522" i="10"/>
  <c r="WG1526" i="10"/>
  <c r="WG1515" i="10"/>
  <c r="WG1516" i="10"/>
  <c r="ABO1492" i="10"/>
  <c r="ABO1491" i="10"/>
  <c r="ABO1494" i="10"/>
  <c r="ABO1500" i="10"/>
  <c r="ABO1493" i="10"/>
  <c r="ABO1495" i="10"/>
  <c r="ABO1496" i="10"/>
  <c r="ABO1499" i="10"/>
  <c r="ABO1501" i="10"/>
  <c r="ABO1497" i="10"/>
  <c r="ABO1498" i="10"/>
  <c r="ABO1505" i="10"/>
  <c r="ABO1504" i="10"/>
  <c r="ABO1503" i="10"/>
  <c r="ABO1506" i="10"/>
  <c r="ABO1508" i="10"/>
  <c r="ABO1502" i="10"/>
  <c r="ABO1509" i="10"/>
  <c r="ABO1507" i="10"/>
  <c r="ABO1510" i="10"/>
  <c r="OY1526" i="10"/>
  <c r="OY1533" i="10"/>
  <c r="OY1514" i="10"/>
  <c r="OY1532" i="10"/>
  <c r="OY1516" i="10"/>
  <c r="OY1519" i="10"/>
  <c r="OY1520" i="10"/>
  <c r="OY1518" i="10"/>
  <c r="OY1522" i="10"/>
  <c r="OY1521" i="10"/>
  <c r="OY1524" i="10"/>
  <c r="OY1529" i="10"/>
  <c r="OY1528" i="10"/>
  <c r="OY1531" i="10"/>
  <c r="OY1515" i="10"/>
  <c r="OY1523" i="10"/>
  <c r="OY1527" i="10"/>
  <c r="OY1530" i="10"/>
  <c r="OY1517" i="10"/>
  <c r="OY1525" i="10"/>
  <c r="UO1493" i="10"/>
  <c r="UO1492" i="10"/>
  <c r="UO1491" i="10"/>
  <c r="UO1494" i="10"/>
  <c r="UO1496" i="10"/>
  <c r="UO1495" i="10"/>
  <c r="UO1497" i="10"/>
  <c r="UO1498" i="10"/>
  <c r="UO1500" i="10"/>
  <c r="UO1499" i="10"/>
  <c r="UO1507" i="10"/>
  <c r="UO1505" i="10"/>
  <c r="UO1502" i="10"/>
  <c r="UO1504" i="10"/>
  <c r="UO1503" i="10"/>
  <c r="UO1506" i="10"/>
  <c r="UO1501" i="10"/>
  <c r="UO1509" i="10"/>
  <c r="UO1508" i="10"/>
  <c r="UO1510" i="10"/>
  <c r="KB1529" i="10"/>
  <c r="KB1528" i="10"/>
  <c r="KB1533" i="10"/>
  <c r="KB1522" i="10"/>
  <c r="KB1531" i="10"/>
  <c r="KB1521" i="10"/>
  <c r="KB1516" i="10"/>
  <c r="KB1526" i="10"/>
  <c r="KB1525" i="10"/>
  <c r="KB1524" i="10"/>
  <c r="KB1523" i="10"/>
  <c r="KB1517" i="10"/>
  <c r="KB1515" i="10"/>
  <c r="KB1520" i="10"/>
  <c r="KB1518" i="10"/>
  <c r="KB1532" i="10"/>
  <c r="KB1514" i="10"/>
  <c r="KB1519" i="10"/>
  <c r="KB1527" i="10"/>
  <c r="KB1530" i="10"/>
  <c r="RN1492" i="10"/>
  <c r="RN1491" i="10"/>
  <c r="RN1493" i="10"/>
  <c r="RN1494" i="10"/>
  <c r="RN1499" i="10"/>
  <c r="RN1496" i="10"/>
  <c r="RN1498" i="10"/>
  <c r="RN1497" i="10"/>
  <c r="RN1495" i="10"/>
  <c r="RN1501" i="10"/>
  <c r="RN1504" i="10"/>
  <c r="RN1500" i="10"/>
  <c r="RN1503" i="10"/>
  <c r="RN1506" i="10"/>
  <c r="RN1508" i="10"/>
  <c r="RN1509" i="10"/>
  <c r="RN1502" i="10"/>
  <c r="RN1505" i="10"/>
  <c r="RN1507" i="10"/>
  <c r="RN1510" i="10"/>
  <c r="ACJ1492" i="10"/>
  <c r="ACJ1491" i="10"/>
  <c r="ACJ1495" i="10"/>
  <c r="ACJ1497" i="10"/>
  <c r="ACJ1493" i="10"/>
  <c r="ACJ1496" i="10"/>
  <c r="ACJ1498" i="10"/>
  <c r="ACJ1499" i="10"/>
  <c r="ACJ1494" i="10"/>
  <c r="ACJ1500" i="10"/>
  <c r="ACJ1501" i="10"/>
  <c r="ACJ1509" i="10"/>
  <c r="ACJ1507" i="10"/>
  <c r="ACJ1502" i="10"/>
  <c r="ACJ1505" i="10"/>
  <c r="ACJ1504" i="10"/>
  <c r="ACJ1508" i="10"/>
  <c r="ACJ1503" i="10"/>
  <c r="ACJ1510" i="10"/>
  <c r="ACJ1506" i="10"/>
  <c r="EM1517" i="10"/>
  <c r="EM1516" i="10"/>
  <c r="EM1519" i="10"/>
  <c r="EM1523" i="10"/>
  <c r="EM1522" i="10"/>
  <c r="EM1528" i="10"/>
  <c r="EM1527" i="10"/>
  <c r="EM1529" i="10"/>
  <c r="EM1524" i="10"/>
  <c r="EM1532" i="10"/>
  <c r="EM1531" i="10"/>
  <c r="EM1533" i="10"/>
  <c r="EM1518" i="10"/>
  <c r="EM1521" i="10"/>
  <c r="EM1520" i="10"/>
  <c r="EM1526" i="10"/>
  <c r="EM1525" i="10"/>
  <c r="EM1515" i="10"/>
  <c r="EM1514" i="10"/>
  <c r="EM1530" i="10"/>
  <c r="LY1493" i="10"/>
  <c r="LY1492" i="10"/>
  <c r="LY1491" i="10"/>
  <c r="LY1494" i="10"/>
  <c r="LY1496" i="10"/>
  <c r="LY1495" i="10"/>
  <c r="LY1497" i="10"/>
  <c r="LY1500" i="10"/>
  <c r="LY1499" i="10"/>
  <c r="LY1507" i="10"/>
  <c r="LY1505" i="10"/>
  <c r="LY1502" i="10"/>
  <c r="LY1504" i="10"/>
  <c r="LY1503" i="10"/>
  <c r="LY1506" i="10"/>
  <c r="LY1501" i="10"/>
  <c r="LY1509" i="10"/>
  <c r="LY1510" i="10"/>
  <c r="LY1498" i="10"/>
  <c r="LY1508" i="10"/>
  <c r="KP1525" i="10"/>
  <c r="KP1523" i="10"/>
  <c r="KP1530" i="10"/>
  <c r="KP1521" i="10"/>
  <c r="KP1516" i="10"/>
  <c r="KP1528" i="10"/>
  <c r="KP1517" i="10"/>
  <c r="KP1524" i="10"/>
  <c r="KP1532" i="10"/>
  <c r="KP1522" i="10"/>
  <c r="KP1531" i="10"/>
  <c r="KP1527" i="10"/>
  <c r="KP1526" i="10"/>
  <c r="KP1529" i="10"/>
  <c r="KP1520" i="10"/>
  <c r="KP1519" i="10"/>
  <c r="KP1533" i="10"/>
  <c r="KP1515" i="10"/>
  <c r="KP1514" i="10"/>
  <c r="KP1518" i="10"/>
  <c r="SD1492" i="10"/>
  <c r="SD1491" i="10"/>
  <c r="SD1495" i="10"/>
  <c r="SD1497" i="10"/>
  <c r="SD1493" i="10"/>
  <c r="SD1496" i="10"/>
  <c r="SD1498" i="10"/>
  <c r="SD1494" i="10"/>
  <c r="SD1501" i="10"/>
  <c r="SD1499" i="10"/>
  <c r="SD1500" i="10"/>
  <c r="SD1509" i="10"/>
  <c r="SD1507" i="10"/>
  <c r="SD1505" i="10"/>
  <c r="SD1502" i="10"/>
  <c r="SD1504" i="10"/>
  <c r="SD1508" i="10"/>
  <c r="SD1510" i="10"/>
  <c r="SD1506" i="10"/>
  <c r="SD1503" i="10"/>
  <c r="FN1517" i="10"/>
  <c r="FN1516" i="10"/>
  <c r="FN1520" i="10"/>
  <c r="FN1514" i="10"/>
  <c r="FN1518" i="10"/>
  <c r="FN1523" i="10"/>
  <c r="FN1515" i="10"/>
  <c r="FN1521" i="10"/>
  <c r="FN1522" i="10"/>
  <c r="FN1519" i="10"/>
  <c r="FN1525" i="10"/>
  <c r="FN1528" i="10"/>
  <c r="FN1524" i="10"/>
  <c r="FN1527" i="10"/>
  <c r="FN1529" i="10"/>
  <c r="FN1526" i="10"/>
  <c r="FN1530" i="10"/>
  <c r="FN1532" i="10"/>
  <c r="FN1531" i="10"/>
  <c r="FN1533" i="10"/>
  <c r="NA1491" i="10"/>
  <c r="NA1494" i="10"/>
  <c r="NA1493" i="10"/>
  <c r="NA1496" i="10"/>
  <c r="NA1498" i="10"/>
  <c r="NA1495" i="10"/>
  <c r="NA1497" i="10"/>
  <c r="NA1492" i="10"/>
  <c r="NA1499" i="10"/>
  <c r="NA1503" i="10"/>
  <c r="NA1506" i="10"/>
  <c r="NA1508" i="10"/>
  <c r="NA1509" i="10"/>
  <c r="NA1500" i="10"/>
  <c r="NA1501" i="10"/>
  <c r="NA1507" i="10"/>
  <c r="NA1505" i="10"/>
  <c r="NA1502" i="10"/>
  <c r="NA1504" i="10"/>
  <c r="NA1510" i="10"/>
  <c r="AK1493" i="10"/>
  <c r="AK1497" i="10"/>
  <c r="AK1499" i="10"/>
  <c r="AK1496" i="10"/>
  <c r="AK1498" i="10"/>
  <c r="AK1495" i="10"/>
  <c r="AK1491" i="10"/>
  <c r="AK1494" i="10"/>
  <c r="AK1500" i="10"/>
  <c r="AK1502" i="10"/>
  <c r="AK1492" i="10"/>
  <c r="AK1501" i="10"/>
  <c r="AK1508" i="10"/>
  <c r="AK1506" i="10"/>
  <c r="AK1504" i="10"/>
  <c r="AK1507" i="10"/>
  <c r="AK1503" i="10"/>
  <c r="AK1509" i="10"/>
  <c r="AK1505" i="10"/>
  <c r="AK1510" i="10"/>
  <c r="WX1528" i="10"/>
  <c r="WX1527" i="10"/>
  <c r="WX1525" i="10"/>
  <c r="WX1515" i="10"/>
  <c r="WX1530" i="10"/>
  <c r="WX1529" i="10"/>
  <c r="WX1520" i="10"/>
  <c r="WX1517" i="10"/>
  <c r="WX1532" i="10"/>
  <c r="WX1522" i="10"/>
  <c r="WX1526" i="10"/>
  <c r="WX1524" i="10"/>
  <c r="WX1523" i="10"/>
  <c r="WX1533" i="10"/>
  <c r="WX1519" i="10"/>
  <c r="WX1518" i="10"/>
  <c r="WX1514" i="10"/>
  <c r="WX1516" i="10"/>
  <c r="WX1531" i="10"/>
  <c r="WX1521" i="10"/>
  <c r="ADP1492" i="10"/>
  <c r="ADP1491" i="10"/>
  <c r="ADP1494" i="10"/>
  <c r="ADP1493" i="10"/>
  <c r="ADP1496" i="10"/>
  <c r="ADP1498" i="10"/>
  <c r="ADP1497" i="10"/>
  <c r="ADP1499" i="10"/>
  <c r="ADP1501" i="10"/>
  <c r="ADP1504" i="10"/>
  <c r="ADP1503" i="10"/>
  <c r="ADP1506" i="10"/>
  <c r="ADP1502" i="10"/>
  <c r="ADP1508" i="10"/>
  <c r="ADP1509" i="10"/>
  <c r="ADP1495" i="10"/>
  <c r="ADP1500" i="10"/>
  <c r="ADP1505" i="10"/>
  <c r="ADP1507" i="10"/>
  <c r="ADP1510" i="10"/>
  <c r="GE1517" i="10"/>
  <c r="GE1514" i="10"/>
  <c r="GE1518" i="10"/>
  <c r="GE1515" i="10"/>
  <c r="GE1520" i="10"/>
  <c r="GE1516" i="10"/>
  <c r="GE1521" i="10"/>
  <c r="GE1522" i="10"/>
  <c r="GE1524" i="10"/>
  <c r="GE1525" i="10"/>
  <c r="GE1527" i="10"/>
  <c r="GE1523" i="10"/>
  <c r="GE1529" i="10"/>
  <c r="GE1533" i="10"/>
  <c r="GE1519" i="10"/>
  <c r="GE1526" i="10"/>
  <c r="GE1530" i="10"/>
  <c r="GE1528" i="10"/>
  <c r="GE1531" i="10"/>
  <c r="GE1532" i="10"/>
  <c r="RL1515" i="10"/>
  <c r="RL1517" i="10"/>
  <c r="RL1516" i="10"/>
  <c r="RL1514" i="10"/>
  <c r="RL1518" i="10"/>
  <c r="RL1521" i="10"/>
  <c r="RL1520" i="10"/>
  <c r="RL1524" i="10"/>
  <c r="RL1523" i="10"/>
  <c r="RL1519" i="10"/>
  <c r="RL1522" i="10"/>
  <c r="RL1525" i="10"/>
  <c r="RL1529" i="10"/>
  <c r="RL1526" i="10"/>
  <c r="RL1528" i="10"/>
  <c r="RL1532" i="10"/>
  <c r="RL1530" i="10"/>
  <c r="RL1527" i="10"/>
  <c r="RL1531" i="10"/>
  <c r="RL1533" i="10"/>
  <c r="YX1492" i="10"/>
  <c r="YX1491" i="10"/>
  <c r="YX1494" i="10"/>
  <c r="YX1493" i="10"/>
  <c r="YX1496" i="10"/>
  <c r="YX1498" i="10"/>
  <c r="YX1497" i="10"/>
  <c r="YX1495" i="10"/>
  <c r="YX1501" i="10"/>
  <c r="YX1500" i="10"/>
  <c r="YX1499" i="10"/>
  <c r="YX1504" i="10"/>
  <c r="YX1503" i="10"/>
  <c r="YX1506" i="10"/>
  <c r="YX1508" i="10"/>
  <c r="YX1509" i="10"/>
  <c r="YX1502" i="10"/>
  <c r="YX1505" i="10"/>
  <c r="YX1507" i="10"/>
  <c r="YX1510" i="10"/>
  <c r="VS1526" i="10"/>
  <c r="VS1533" i="10"/>
  <c r="VS1514" i="10"/>
  <c r="VS1520" i="10"/>
  <c r="VS1530" i="10"/>
  <c r="VS1519" i="10"/>
  <c r="VS1521" i="10"/>
  <c r="VS1522" i="10"/>
  <c r="VS1532" i="10"/>
  <c r="VS1524" i="10"/>
  <c r="VS1529" i="10"/>
  <c r="VS1518" i="10"/>
  <c r="VS1531" i="10"/>
  <c r="VS1515" i="10"/>
  <c r="VS1525" i="10"/>
  <c r="VS1527" i="10"/>
  <c r="VS1523" i="10"/>
  <c r="VS1517" i="10"/>
  <c r="VS1528" i="10"/>
  <c r="VS1516" i="10"/>
  <c r="AAZ1493" i="10"/>
  <c r="AAZ1492" i="10"/>
  <c r="AAZ1496" i="10"/>
  <c r="AAZ1498" i="10"/>
  <c r="AAZ1495" i="10"/>
  <c r="AAZ1497" i="10"/>
  <c r="AAZ1491" i="10"/>
  <c r="AAZ1494" i="10"/>
  <c r="AAZ1499" i="10"/>
  <c r="AAZ1502" i="10"/>
  <c r="AAZ1500" i="10"/>
  <c r="AAZ1507" i="10"/>
  <c r="AAZ1505" i="10"/>
  <c r="AAZ1503" i="10"/>
  <c r="AAZ1506" i="10"/>
  <c r="AAZ1501" i="10"/>
  <c r="AAZ1508" i="10"/>
  <c r="AAZ1504" i="10"/>
  <c r="AAZ1510" i="10"/>
  <c r="AAZ1509" i="10"/>
  <c r="AGC1491" i="10"/>
  <c r="AGC1492" i="10"/>
  <c r="AGC1493" i="10"/>
  <c r="AGC1499" i="10"/>
  <c r="AGC1500" i="10"/>
  <c r="AGC1497" i="10"/>
  <c r="AGC1498" i="10"/>
  <c r="AGC1494" i="10"/>
  <c r="AGC1501" i="10"/>
  <c r="AGC1495" i="10"/>
  <c r="AGC1505" i="10"/>
  <c r="AGC1496" i="10"/>
  <c r="AGC1504" i="10"/>
  <c r="AGC1502" i="10"/>
  <c r="AGC1503" i="10"/>
  <c r="AGC1506" i="10"/>
  <c r="AGC1508" i="10"/>
  <c r="AGC1507" i="10"/>
  <c r="AGC1510" i="10"/>
  <c r="AGC1509" i="10"/>
  <c r="DG1524" i="10"/>
  <c r="DG1525" i="10"/>
  <c r="DG1522" i="10"/>
  <c r="DG1527" i="10"/>
  <c r="DG1529" i="10"/>
  <c r="DG1526" i="10"/>
  <c r="DG1530" i="10"/>
  <c r="DG1532" i="10"/>
  <c r="DG1531" i="10"/>
  <c r="DG1533" i="10"/>
  <c r="DG1517" i="10"/>
  <c r="DG1523" i="10"/>
  <c r="DG1516" i="10"/>
  <c r="DG1528" i="10"/>
  <c r="DG1515" i="10"/>
  <c r="DG1521" i="10"/>
  <c r="DG1518" i="10"/>
  <c r="DG1520" i="10"/>
  <c r="DG1514" i="10"/>
  <c r="DG1519" i="10"/>
  <c r="IW1491" i="10"/>
  <c r="IW1493" i="10"/>
  <c r="IW1492" i="10"/>
  <c r="IW1494" i="10"/>
  <c r="IW1499" i="10"/>
  <c r="IW1495" i="10"/>
  <c r="IW1496" i="10"/>
  <c r="IW1497" i="10"/>
  <c r="IW1501" i="10"/>
  <c r="IW1498" i="10"/>
  <c r="IW1505" i="10"/>
  <c r="IW1504" i="10"/>
  <c r="IW1503" i="10"/>
  <c r="IW1509" i="10"/>
  <c r="IW1508" i="10"/>
  <c r="IW1500" i="10"/>
  <c r="IW1507" i="10"/>
  <c r="IW1502" i="10"/>
  <c r="IW1506" i="10"/>
  <c r="IW1510" i="10"/>
  <c r="ZS1533" i="10"/>
  <c r="ZS1515" i="10"/>
  <c r="ZS1525" i="10"/>
  <c r="ZS1527" i="10"/>
  <c r="ZS1524" i="10"/>
  <c r="ZS1517" i="10"/>
  <c r="ZS1528" i="10"/>
  <c r="ZS1526" i="10"/>
  <c r="ZS1514" i="10"/>
  <c r="ZS1520" i="10"/>
  <c r="ZS1519" i="10"/>
  <c r="ZS1521" i="10"/>
  <c r="ZS1529" i="10"/>
  <c r="ZS1522" i="10"/>
  <c r="ZS1532" i="10"/>
  <c r="ZS1518" i="10"/>
  <c r="ZS1531" i="10"/>
  <c r="ZS1516" i="10"/>
  <c r="ZS1523" i="10"/>
  <c r="ZS1530" i="10"/>
  <c r="BO1492" i="10"/>
  <c r="BO1491" i="10"/>
  <c r="BO1494" i="10"/>
  <c r="BO1497" i="10"/>
  <c r="BO1499" i="10"/>
  <c r="BO1493" i="10"/>
  <c r="BO1496" i="10"/>
  <c r="BO1498" i="10"/>
  <c r="BO1495" i="10"/>
  <c r="BO1500" i="10"/>
  <c r="BO1501" i="10"/>
  <c r="BO1502" i="10"/>
  <c r="BO1504" i="10"/>
  <c r="BO1507" i="10"/>
  <c r="BO1503" i="10"/>
  <c r="BO1508" i="10"/>
  <c r="BO1506" i="10"/>
  <c r="BO1505" i="10"/>
  <c r="BO1510" i="10"/>
  <c r="BO1509" i="10"/>
  <c r="SL1515" i="10"/>
  <c r="SL1514" i="10"/>
  <c r="SL1516" i="10"/>
  <c r="SL1518" i="10"/>
  <c r="SL1519" i="10"/>
  <c r="SL1517" i="10"/>
  <c r="SL1521" i="10"/>
  <c r="SL1520" i="10"/>
  <c r="SL1524" i="10"/>
  <c r="SL1522" i="10"/>
  <c r="SL1526" i="10"/>
  <c r="SL1523" i="10"/>
  <c r="SL1525" i="10"/>
  <c r="SL1528" i="10"/>
  <c r="SL1530" i="10"/>
  <c r="SL1527" i="10"/>
  <c r="SL1529" i="10"/>
  <c r="SL1532" i="10"/>
  <c r="SL1533" i="10"/>
  <c r="SL1531" i="10"/>
  <c r="YC1491" i="10"/>
  <c r="YC1493" i="10"/>
  <c r="YC1494" i="10"/>
  <c r="YC1496" i="10"/>
  <c r="YC1498" i="10"/>
  <c r="YC1492" i="10"/>
  <c r="YC1495" i="10"/>
  <c r="YC1497" i="10"/>
  <c r="YC1500" i="10"/>
  <c r="YC1501" i="10"/>
  <c r="YC1503" i="10"/>
  <c r="YC1506" i="10"/>
  <c r="YC1502" i="10"/>
  <c r="YC1509" i="10"/>
  <c r="YC1507" i="10"/>
  <c r="YC1505" i="10"/>
  <c r="YC1504" i="10"/>
  <c r="YC1499" i="10"/>
  <c r="YC1508" i="10"/>
  <c r="YC1510" i="10"/>
  <c r="DM1516" i="10"/>
  <c r="DM1517" i="10"/>
  <c r="DM1515" i="10"/>
  <c r="DM1514" i="10"/>
  <c r="DM1520" i="10"/>
  <c r="DM1521" i="10"/>
  <c r="DM1525" i="10"/>
  <c r="DM1522" i="10"/>
  <c r="DM1518" i="10"/>
  <c r="DM1523" i="10"/>
  <c r="DM1524" i="10"/>
  <c r="DM1529" i="10"/>
  <c r="DM1531" i="10"/>
  <c r="DM1519" i="10"/>
  <c r="DM1527" i="10"/>
  <c r="DM1528" i="10"/>
  <c r="DM1530" i="10"/>
  <c r="DM1532" i="10"/>
  <c r="DM1526" i="10"/>
  <c r="DM1533" i="10"/>
  <c r="OS1515" i="10"/>
  <c r="OS1516" i="10"/>
  <c r="OS1514" i="10"/>
  <c r="OS1517" i="10"/>
  <c r="OS1519" i="10"/>
  <c r="OS1518" i="10"/>
  <c r="OS1521" i="10"/>
  <c r="OS1524" i="10"/>
  <c r="OS1520" i="10"/>
  <c r="OS1523" i="10"/>
  <c r="OS1527" i="10"/>
  <c r="OS1529" i="10"/>
  <c r="OS1526" i="10"/>
  <c r="OS1528" i="10"/>
  <c r="OS1532" i="10"/>
  <c r="OS1525" i="10"/>
  <c r="OS1530" i="10"/>
  <c r="OS1531" i="10"/>
  <c r="OS1522" i="10"/>
  <c r="OS1533" i="10"/>
  <c r="WE1503" i="10"/>
  <c r="WE1501" i="10"/>
  <c r="WE1502" i="10"/>
  <c r="WE1495" i="10"/>
  <c r="WE1494" i="10"/>
  <c r="WE1505" i="10"/>
  <c r="WE1497" i="10"/>
  <c r="WE1499" i="10"/>
  <c r="WE1492" i="10"/>
  <c r="WE1498" i="10"/>
  <c r="WE1496" i="10"/>
  <c r="WE1507" i="10"/>
  <c r="WE1506" i="10"/>
  <c r="WE1491" i="10"/>
  <c r="WE1493" i="10"/>
  <c r="WE1509" i="10"/>
  <c r="WE1510" i="10"/>
  <c r="WE1504" i="10"/>
  <c r="WE1500" i="10"/>
  <c r="WE1508" i="10"/>
  <c r="QQ1503" i="10"/>
  <c r="QQ1502" i="10"/>
  <c r="QQ1498" i="10"/>
  <c r="QQ1508" i="10"/>
  <c r="QQ1507" i="10"/>
  <c r="QQ1500" i="10"/>
  <c r="QQ1493" i="10"/>
  <c r="QQ1504" i="10"/>
  <c r="QQ1491" i="10"/>
  <c r="QQ1492" i="10"/>
  <c r="QQ1505" i="10"/>
  <c r="QQ1494" i="10"/>
  <c r="QQ1509" i="10"/>
  <c r="QQ1495" i="10"/>
  <c r="QQ1499" i="10"/>
  <c r="QQ1506" i="10"/>
  <c r="QQ1496" i="10"/>
  <c r="QQ1501" i="10"/>
  <c r="QQ1510" i="10"/>
  <c r="QQ1497" i="10"/>
  <c r="ABP1492" i="10"/>
  <c r="ABP1491" i="10"/>
  <c r="ABP1496" i="10"/>
  <c r="ABP1493" i="10"/>
  <c r="ABP1495" i="10"/>
  <c r="ABP1497" i="10"/>
  <c r="ABP1498" i="10"/>
  <c r="ABP1494" i="10"/>
  <c r="ABP1499" i="10"/>
  <c r="ABP1501" i="10"/>
  <c r="ABP1500" i="10"/>
  <c r="ABP1507" i="10"/>
  <c r="ABP1505" i="10"/>
  <c r="ABP1504" i="10"/>
  <c r="ABP1503" i="10"/>
  <c r="ABP1506" i="10"/>
  <c r="ABP1502" i="10"/>
  <c r="ABP1509" i="10"/>
  <c r="ABP1508" i="10"/>
  <c r="ABP1510" i="10"/>
  <c r="LO1493" i="10"/>
  <c r="LO1492" i="10"/>
  <c r="LO1491" i="10"/>
  <c r="LO1494" i="10"/>
  <c r="LO1496" i="10"/>
  <c r="LO1495" i="10"/>
  <c r="LO1497" i="10"/>
  <c r="LO1498" i="10"/>
  <c r="LO1499" i="10"/>
  <c r="LO1500" i="10"/>
  <c r="LO1507" i="10"/>
  <c r="LO1505" i="10"/>
  <c r="LO1504" i="10"/>
  <c r="LO1502" i="10"/>
  <c r="LO1503" i="10"/>
  <c r="LO1506" i="10"/>
  <c r="LO1509" i="10"/>
  <c r="LO1508" i="10"/>
  <c r="LO1501" i="10"/>
  <c r="LO1510" i="10"/>
  <c r="AFZ1515" i="10"/>
  <c r="AFZ1516" i="10"/>
  <c r="AFZ1523" i="10"/>
  <c r="AFZ1520" i="10"/>
  <c r="AFZ1524" i="10"/>
  <c r="AFZ1519" i="10"/>
  <c r="AFZ1527" i="10"/>
  <c r="AFZ1528" i="10"/>
  <c r="AFZ1526" i="10"/>
  <c r="AFZ1532" i="10"/>
  <c r="AFZ1529" i="10"/>
  <c r="AFZ1530" i="10"/>
  <c r="AFZ1525" i="10"/>
  <c r="AFZ1531" i="10"/>
  <c r="AFZ1533" i="10"/>
  <c r="AFZ1514" i="10"/>
  <c r="AFZ1522" i="10"/>
  <c r="AFZ1517" i="10"/>
  <c r="AFZ1521" i="10"/>
  <c r="AFZ1518" i="10"/>
  <c r="RS1526" i="10"/>
  <c r="RS1533" i="10"/>
  <c r="RS1522" i="10"/>
  <c r="RS1521" i="10"/>
  <c r="RS1524" i="10"/>
  <c r="RS1529" i="10"/>
  <c r="RS1518" i="10"/>
  <c r="RS1531" i="10"/>
  <c r="RS1528" i="10"/>
  <c r="RS1516" i="10"/>
  <c r="RS1523" i="10"/>
  <c r="RS1530" i="10"/>
  <c r="RS1515" i="10"/>
  <c r="RS1525" i="10"/>
  <c r="RS1527" i="10"/>
  <c r="RS1514" i="10"/>
  <c r="RS1532" i="10"/>
  <c r="RS1519" i="10"/>
  <c r="RS1520" i="10"/>
  <c r="RS1517" i="10"/>
  <c r="ACN1516" i="10"/>
  <c r="ACN1524" i="10"/>
  <c r="ACN1520" i="10"/>
  <c r="ACN1518" i="10"/>
  <c r="ACN1519" i="10"/>
  <c r="ACN1523" i="10"/>
  <c r="ACN1527" i="10"/>
  <c r="ACN1528" i="10"/>
  <c r="ACN1522" i="10"/>
  <c r="ACN1525" i="10"/>
  <c r="ACN1529" i="10"/>
  <c r="ACN1530" i="10"/>
  <c r="ACN1532" i="10"/>
  <c r="ACN1526" i="10"/>
  <c r="ACN1531" i="10"/>
  <c r="ACN1533" i="10"/>
  <c r="ACN1514" i="10"/>
  <c r="ACN1521" i="10"/>
  <c r="ACN1515" i="10"/>
  <c r="ACN1517" i="10"/>
  <c r="FD1514" i="10"/>
  <c r="FD1515" i="10"/>
  <c r="FD1516" i="10"/>
  <c r="FD1518" i="10"/>
  <c r="FD1517" i="10"/>
  <c r="FD1520" i="10"/>
  <c r="FD1524" i="10"/>
  <c r="FD1521" i="10"/>
  <c r="FD1522" i="10"/>
  <c r="FD1519" i="10"/>
  <c r="FD1523" i="10"/>
  <c r="FD1527" i="10"/>
  <c r="FD1529" i="10"/>
  <c r="FD1526" i="10"/>
  <c r="FD1528" i="10"/>
  <c r="FD1530" i="10"/>
  <c r="FD1533" i="10"/>
  <c r="FD1531" i="10"/>
  <c r="FD1525" i="10"/>
  <c r="FD1532" i="10"/>
  <c r="MP1492" i="10"/>
  <c r="MP1491" i="10"/>
  <c r="MP1494" i="10"/>
  <c r="MP1499" i="10"/>
  <c r="MP1496" i="10"/>
  <c r="MP1498" i="10"/>
  <c r="MP1493" i="10"/>
  <c r="MP1497" i="10"/>
  <c r="MP1500" i="10"/>
  <c r="MP1495" i="10"/>
  <c r="MP1501" i="10"/>
  <c r="MP1504" i="10"/>
  <c r="MP1503" i="10"/>
  <c r="MP1506" i="10"/>
  <c r="MP1508" i="10"/>
  <c r="MP1509" i="10"/>
  <c r="MP1502" i="10"/>
  <c r="MP1505" i="10"/>
  <c r="MP1507" i="10"/>
  <c r="MP1510" i="10"/>
  <c r="U1533" i="10"/>
  <c r="U1515" i="10"/>
  <c r="U1523" i="10"/>
  <c r="U1531" i="10"/>
  <c r="U1516" i="10"/>
  <c r="U1524" i="10"/>
  <c r="U1532" i="10"/>
  <c r="U1518" i="10"/>
  <c r="U1528" i="10"/>
  <c r="U1521" i="10"/>
  <c r="U1527" i="10"/>
  <c r="U1529" i="10"/>
  <c r="U1517" i="10"/>
  <c r="U1530" i="10"/>
  <c r="U1519" i="10"/>
  <c r="U1525" i="10"/>
  <c r="U1526" i="10"/>
  <c r="U1520" i="10"/>
  <c r="U1522" i="10"/>
  <c r="U1514" i="10"/>
  <c r="HB1491" i="10"/>
  <c r="HB1494" i="10"/>
  <c r="HB1499" i="10"/>
  <c r="HB1496" i="10"/>
  <c r="HB1498" i="10"/>
  <c r="HB1492" i="10"/>
  <c r="HB1495" i="10"/>
  <c r="HB1497" i="10"/>
  <c r="HB1493" i="10"/>
  <c r="HB1502" i="10"/>
  <c r="HB1500" i="10"/>
  <c r="HB1503" i="10"/>
  <c r="HB1508" i="10"/>
  <c r="HB1509" i="10"/>
  <c r="HB1501" i="10"/>
  <c r="HB1507" i="10"/>
  <c r="HB1505" i="10"/>
  <c r="HB1504" i="10"/>
  <c r="HB1506" i="10"/>
  <c r="HB1510" i="10"/>
  <c r="ADB1533" i="10"/>
  <c r="ADB1519" i="10"/>
  <c r="ADB1530" i="10"/>
  <c r="ADB1515" i="10"/>
  <c r="ADB1523" i="10"/>
  <c r="ADB1517" i="10"/>
  <c r="ADB1526" i="10"/>
  <c r="ADB1524" i="10"/>
  <c r="ADB1518" i="10"/>
  <c r="ADB1532" i="10"/>
  <c r="ADB1528" i="10"/>
  <c r="ADB1531" i="10"/>
  <c r="ADB1527" i="10"/>
  <c r="ADB1521" i="10"/>
  <c r="ADB1514" i="10"/>
  <c r="ADB1516" i="10"/>
  <c r="ADB1522" i="10"/>
  <c r="ADB1525" i="10"/>
  <c r="ADB1529" i="10"/>
  <c r="ADB1520" i="10"/>
  <c r="MQ1514" i="10"/>
  <c r="MQ1515" i="10"/>
  <c r="MQ1517" i="10"/>
  <c r="MQ1518" i="10"/>
  <c r="MQ1516" i="10"/>
  <c r="MQ1519" i="10"/>
  <c r="MQ1521" i="10"/>
  <c r="MQ1522" i="10"/>
  <c r="MQ1523" i="10"/>
  <c r="MQ1524" i="10"/>
  <c r="MQ1525" i="10"/>
  <c r="MQ1528" i="10"/>
  <c r="MQ1520" i="10"/>
  <c r="MQ1529" i="10"/>
  <c r="MQ1531" i="10"/>
  <c r="MQ1532" i="10"/>
  <c r="MQ1526" i="10"/>
  <c r="MQ1530" i="10"/>
  <c r="MQ1527" i="10"/>
  <c r="MQ1533" i="10"/>
  <c r="RY1491" i="10"/>
  <c r="RY1494" i="10"/>
  <c r="RY1492" i="10"/>
  <c r="RY1493" i="10"/>
  <c r="RY1496" i="10"/>
  <c r="RY1498" i="10"/>
  <c r="RY1495" i="10"/>
  <c r="RY1497" i="10"/>
  <c r="RY1500" i="10"/>
  <c r="RY1503" i="10"/>
  <c r="RY1506" i="10"/>
  <c r="RY1508" i="10"/>
  <c r="RY1509" i="10"/>
  <c r="RY1507" i="10"/>
  <c r="RY1499" i="10"/>
  <c r="RY1505" i="10"/>
  <c r="RY1501" i="10"/>
  <c r="RY1502" i="10"/>
  <c r="RY1504" i="10"/>
  <c r="RY1510" i="10"/>
  <c r="WQ1526" i="10"/>
  <c r="WQ1533" i="10"/>
  <c r="WQ1515" i="10"/>
  <c r="WQ1525" i="10"/>
  <c r="WQ1527" i="10"/>
  <c r="WQ1517" i="10"/>
  <c r="WQ1528" i="10"/>
  <c r="WQ1514" i="10"/>
  <c r="WQ1520" i="10"/>
  <c r="WQ1519" i="10"/>
  <c r="WQ1521" i="10"/>
  <c r="WQ1522" i="10"/>
  <c r="WQ1532" i="10"/>
  <c r="WQ1518" i="10"/>
  <c r="WQ1531" i="10"/>
  <c r="WQ1529" i="10"/>
  <c r="WQ1516" i="10"/>
  <c r="WQ1523" i="10"/>
  <c r="WQ1530" i="10"/>
  <c r="WQ1524" i="10"/>
  <c r="JF1516" i="10"/>
  <c r="JF1514" i="10"/>
  <c r="JF1515" i="10"/>
  <c r="JF1517" i="10"/>
  <c r="JF1518" i="10"/>
  <c r="JF1523" i="10"/>
  <c r="JF1521" i="10"/>
  <c r="JF1522" i="10"/>
  <c r="JF1519" i="10"/>
  <c r="JF1520" i="10"/>
  <c r="JF1528" i="10"/>
  <c r="JF1529" i="10"/>
  <c r="JF1524" i="10"/>
  <c r="JF1525" i="10"/>
  <c r="JF1526" i="10"/>
  <c r="JF1531" i="10"/>
  <c r="JF1532" i="10"/>
  <c r="JF1530" i="10"/>
  <c r="JF1527" i="10"/>
  <c r="JF1533" i="10"/>
  <c r="OW1493" i="10"/>
  <c r="OW1492" i="10"/>
  <c r="OW1491" i="10"/>
  <c r="OW1494" i="10"/>
  <c r="OW1496" i="10"/>
  <c r="OW1495" i="10"/>
  <c r="OW1497" i="10"/>
  <c r="OW1498" i="10"/>
  <c r="OW1499" i="10"/>
  <c r="OW1507" i="10"/>
  <c r="OW1502" i="10"/>
  <c r="OW1505" i="10"/>
  <c r="OW1504" i="10"/>
  <c r="OW1503" i="10"/>
  <c r="OW1506" i="10"/>
  <c r="OW1501" i="10"/>
  <c r="OW1509" i="10"/>
  <c r="OW1500" i="10"/>
  <c r="OW1510" i="10"/>
  <c r="OW1508" i="10"/>
  <c r="BY1518" i="10"/>
  <c r="BY1514" i="10"/>
  <c r="BY1515" i="10"/>
  <c r="BY1516" i="10"/>
  <c r="BY1517" i="10"/>
  <c r="BY1523" i="10"/>
  <c r="BY1519" i="10"/>
  <c r="BY1520" i="10"/>
  <c r="BY1521" i="10"/>
  <c r="BY1522" i="10"/>
  <c r="BY1524" i="10"/>
  <c r="BY1525" i="10"/>
  <c r="BY1526" i="10"/>
  <c r="BY1527" i="10"/>
  <c r="BY1528" i="10"/>
  <c r="BY1529" i="10"/>
  <c r="BY1533" i="10"/>
  <c r="BY1531" i="10"/>
  <c r="BY1532" i="10"/>
  <c r="BY1530" i="10"/>
  <c r="HO1492" i="10"/>
  <c r="HO1491" i="10"/>
  <c r="HO1494" i="10"/>
  <c r="HO1493" i="10"/>
  <c r="HO1499" i="10"/>
  <c r="HO1496" i="10"/>
  <c r="HO1498" i="10"/>
  <c r="HO1495" i="10"/>
  <c r="HO1500" i="10"/>
  <c r="HO1501" i="10"/>
  <c r="HO1497" i="10"/>
  <c r="HO1504" i="10"/>
  <c r="HO1503" i="10"/>
  <c r="HO1506" i="10"/>
  <c r="HO1508" i="10"/>
  <c r="HO1505" i="10"/>
  <c r="HO1510" i="10"/>
  <c r="HO1509" i="10"/>
  <c r="HO1502" i="10"/>
  <c r="HO1507" i="10"/>
  <c r="YL1520" i="10"/>
  <c r="YL1518" i="10"/>
  <c r="YL1521" i="10"/>
  <c r="YL1524" i="10"/>
  <c r="YL1525" i="10"/>
  <c r="YL1528" i="10"/>
  <c r="YL1526" i="10"/>
  <c r="YL1527" i="10"/>
  <c r="YL1530" i="10"/>
  <c r="YL1532" i="10"/>
  <c r="YL1533" i="10"/>
  <c r="YL1529" i="10"/>
  <c r="YL1514" i="10"/>
  <c r="YL1531" i="10"/>
  <c r="YL1522" i="10"/>
  <c r="YL1516" i="10"/>
  <c r="YL1515" i="10"/>
  <c r="YL1517" i="10"/>
  <c r="YL1523" i="10"/>
  <c r="YL1519" i="10"/>
  <c r="AF1492" i="10"/>
  <c r="AF1491" i="10"/>
  <c r="AF1493" i="10"/>
  <c r="AF1494" i="10"/>
  <c r="AF1500" i="10"/>
  <c r="AF1495" i="10"/>
  <c r="AF1501" i="10"/>
  <c r="AF1498" i="10"/>
  <c r="AF1499" i="10"/>
  <c r="AF1497" i="10"/>
  <c r="AF1496" i="10"/>
  <c r="AF1506" i="10"/>
  <c r="AF1502" i="10"/>
  <c r="AF1505" i="10"/>
  <c r="AF1504" i="10"/>
  <c r="AF1507" i="10"/>
  <c r="AF1503" i="10"/>
  <c r="AF1509" i="10"/>
  <c r="AF1508" i="10"/>
  <c r="AF1510" i="10"/>
  <c r="LM1491" i="10"/>
  <c r="LM1493" i="10"/>
  <c r="LM1492" i="10"/>
  <c r="LM1494" i="10"/>
  <c r="LM1499" i="10"/>
  <c r="LM1498" i="10"/>
  <c r="LM1495" i="10"/>
  <c r="LM1497" i="10"/>
  <c r="LM1500" i="10"/>
  <c r="LM1496" i="10"/>
  <c r="LM1501" i="10"/>
  <c r="LM1505" i="10"/>
  <c r="LM1504" i="10"/>
  <c r="LM1503" i="10"/>
  <c r="LM1506" i="10"/>
  <c r="LM1502" i="10"/>
  <c r="LM1508" i="10"/>
  <c r="LM1507" i="10"/>
  <c r="LM1510" i="10"/>
  <c r="LM1509" i="10"/>
  <c r="WS1529" i="10"/>
  <c r="WS1521" i="10"/>
  <c r="WS1522" i="10"/>
  <c r="WS1527" i="10"/>
  <c r="WS1525" i="10"/>
  <c r="WS1532" i="10"/>
  <c r="WS1533" i="10"/>
  <c r="WS1526" i="10"/>
  <c r="WS1524" i="10"/>
  <c r="WS1515" i="10"/>
  <c r="WS1531" i="10"/>
  <c r="WS1514" i="10"/>
  <c r="WS1516" i="10"/>
  <c r="WS1528" i="10"/>
  <c r="WS1519" i="10"/>
  <c r="WS1518" i="10"/>
  <c r="WS1530" i="10"/>
  <c r="WS1520" i="10"/>
  <c r="WS1523" i="10"/>
  <c r="WS1517" i="10"/>
  <c r="ADL1492" i="10"/>
  <c r="ADL1496" i="10"/>
  <c r="ADL1498" i="10"/>
  <c r="ADL1495" i="10"/>
  <c r="ADL1497" i="10"/>
  <c r="ADL1491" i="10"/>
  <c r="ADL1494" i="10"/>
  <c r="ADL1493" i="10"/>
  <c r="ADL1499" i="10"/>
  <c r="ADL1501" i="10"/>
  <c r="ADL1500" i="10"/>
  <c r="ADL1507" i="10"/>
  <c r="ADL1505" i="10"/>
  <c r="ADL1502" i="10"/>
  <c r="ADL1503" i="10"/>
  <c r="ADL1506" i="10"/>
  <c r="ADL1508" i="10"/>
  <c r="ADL1510" i="10"/>
  <c r="ADL1509" i="10"/>
  <c r="ADL1504" i="10"/>
  <c r="RD1515" i="10"/>
  <c r="RD1514" i="10"/>
  <c r="RD1519" i="10"/>
  <c r="RD1522" i="10"/>
  <c r="RD1523" i="10"/>
  <c r="RD1524" i="10"/>
  <c r="RD1517" i="10"/>
  <c r="RD1516" i="10"/>
  <c r="RD1520" i="10"/>
  <c r="RD1526" i="10"/>
  <c r="RD1528" i="10"/>
  <c r="RD1525" i="10"/>
  <c r="RD1518" i="10"/>
  <c r="RD1527" i="10"/>
  <c r="RD1530" i="10"/>
  <c r="RD1521" i="10"/>
  <c r="RD1531" i="10"/>
  <c r="RD1532" i="10"/>
  <c r="RD1533" i="10"/>
  <c r="RD1529" i="10"/>
  <c r="YP1492" i="10"/>
  <c r="YP1491" i="10"/>
  <c r="YP1493" i="10"/>
  <c r="YP1494" i="10"/>
  <c r="YP1500" i="10"/>
  <c r="YP1495" i="10"/>
  <c r="YP1499" i="10"/>
  <c r="YP1501" i="10"/>
  <c r="YP1498" i="10"/>
  <c r="YP1496" i="10"/>
  <c r="YP1497" i="10"/>
  <c r="YP1505" i="10"/>
  <c r="YP1504" i="10"/>
  <c r="YP1503" i="10"/>
  <c r="YP1506" i="10"/>
  <c r="YP1508" i="10"/>
  <c r="YP1509" i="10"/>
  <c r="YP1502" i="10"/>
  <c r="YP1507" i="10"/>
  <c r="YP1510" i="10"/>
  <c r="AT1493" i="10"/>
  <c r="AT1492" i="10"/>
  <c r="AT1491" i="10"/>
  <c r="AT1496" i="10"/>
  <c r="AT1498" i="10"/>
  <c r="AT1495" i="10"/>
  <c r="AT1494" i="10"/>
  <c r="AT1497" i="10"/>
  <c r="AT1499" i="10"/>
  <c r="AT1502" i="10"/>
  <c r="AT1501" i="10"/>
  <c r="AT1508" i="10"/>
  <c r="AT1500" i="10"/>
  <c r="AT1506" i="10"/>
  <c r="AT1505" i="10"/>
  <c r="AT1503" i="10"/>
  <c r="AT1509" i="10"/>
  <c r="AT1510" i="10"/>
  <c r="AT1507" i="10"/>
  <c r="AT1504" i="10"/>
  <c r="XG1526" i="10"/>
  <c r="XG1533" i="10"/>
  <c r="XG1514" i="10"/>
  <c r="XG1520" i="10"/>
  <c r="XG1519" i="10"/>
  <c r="XG1521" i="10"/>
  <c r="XG1523" i="10"/>
  <c r="XG1522" i="10"/>
  <c r="XG1532" i="10"/>
  <c r="XG1516" i="10"/>
  <c r="XG1524" i="10"/>
  <c r="XG1529" i="10"/>
  <c r="XG1530" i="10"/>
  <c r="XG1518" i="10"/>
  <c r="XG1531" i="10"/>
  <c r="XG1515" i="10"/>
  <c r="XG1525" i="10"/>
  <c r="XG1527" i="10"/>
  <c r="XG1517" i="10"/>
  <c r="XG1528" i="10"/>
  <c r="ADV1493" i="10"/>
  <c r="ADV1496" i="10"/>
  <c r="ADV1498" i="10"/>
  <c r="ADV1495" i="10"/>
  <c r="ADV1497" i="10"/>
  <c r="ADV1491" i="10"/>
  <c r="ADV1494" i="10"/>
  <c r="ADV1500" i="10"/>
  <c r="ADV1499" i="10"/>
  <c r="ADV1492" i="10"/>
  <c r="ADV1501" i="10"/>
  <c r="ADV1502" i="10"/>
  <c r="ADV1508" i="10"/>
  <c r="ADV1509" i="10"/>
  <c r="ADV1507" i="10"/>
  <c r="ADV1504" i="10"/>
  <c r="ADV1503" i="10"/>
  <c r="ADV1506" i="10"/>
  <c r="ADV1505" i="10"/>
  <c r="ADV1510" i="10"/>
  <c r="SE1516" i="10"/>
  <c r="SE1517" i="10"/>
  <c r="SE1514" i="10"/>
  <c r="SE1519" i="10"/>
  <c r="SE1522" i="10"/>
  <c r="SE1523" i="10"/>
  <c r="SE1524" i="10"/>
  <c r="SE1520" i="10"/>
  <c r="SE1527" i="10"/>
  <c r="SE1528" i="10"/>
  <c r="SE1521" i="10"/>
  <c r="SE1526" i="10"/>
  <c r="SE1525" i="10"/>
  <c r="SE1531" i="10"/>
  <c r="SE1532" i="10"/>
  <c r="SE1533" i="10"/>
  <c r="SE1529" i="10"/>
  <c r="SE1530" i="10"/>
  <c r="SE1518" i="10"/>
  <c r="SE1515" i="10"/>
  <c r="ZQ1493" i="10"/>
  <c r="ZQ1496" i="10"/>
  <c r="ZQ1498" i="10"/>
  <c r="ZQ1495" i="10"/>
  <c r="ZQ1497" i="10"/>
  <c r="ZQ1492" i="10"/>
  <c r="ZQ1494" i="10"/>
  <c r="ZQ1500" i="10"/>
  <c r="ZQ1501" i="10"/>
  <c r="ZQ1491" i="10"/>
  <c r="ZQ1508" i="10"/>
  <c r="ZQ1509" i="10"/>
  <c r="ZQ1507" i="10"/>
  <c r="ZQ1499" i="10"/>
  <c r="ZQ1504" i="10"/>
  <c r="ZQ1502" i="10"/>
  <c r="ZQ1503" i="10"/>
  <c r="ZQ1506" i="10"/>
  <c r="ZQ1505" i="10"/>
  <c r="ZQ1510" i="10"/>
  <c r="NB1492" i="10"/>
  <c r="NB1491" i="10"/>
  <c r="NB1494" i="10"/>
  <c r="NB1493" i="10"/>
  <c r="NB1499" i="10"/>
  <c r="NB1496" i="10"/>
  <c r="NB1498" i="10"/>
  <c r="NB1495" i="10"/>
  <c r="NB1500" i="10"/>
  <c r="NB1501" i="10"/>
  <c r="NB1502" i="10"/>
  <c r="NB1504" i="10"/>
  <c r="NB1503" i="10"/>
  <c r="NB1506" i="10"/>
  <c r="NB1508" i="10"/>
  <c r="NB1509" i="10"/>
  <c r="NB1505" i="10"/>
  <c r="NB1507" i="10"/>
  <c r="NB1497" i="10"/>
  <c r="NB1510" i="10"/>
  <c r="AA1516" i="10"/>
  <c r="AA1517" i="10"/>
  <c r="AA1518" i="10"/>
  <c r="AA1514" i="10"/>
  <c r="AA1515" i="10"/>
  <c r="AA1519" i="10"/>
  <c r="AA1521" i="10"/>
  <c r="AA1522" i="10"/>
  <c r="AA1524" i="10"/>
  <c r="AA1525" i="10"/>
  <c r="AA1520" i="10"/>
  <c r="AA1526" i="10"/>
  <c r="AA1527" i="10"/>
  <c r="AA1528" i="10"/>
  <c r="AA1529" i="10"/>
  <c r="AA1523" i="10"/>
  <c r="AA1533" i="10"/>
  <c r="AA1530" i="10"/>
  <c r="AA1532" i="10"/>
  <c r="AA1531" i="10"/>
  <c r="HP1491" i="10"/>
  <c r="HP1493" i="10"/>
  <c r="HP1492" i="10"/>
  <c r="HP1494" i="10"/>
  <c r="HP1499" i="10"/>
  <c r="HP1496" i="10"/>
  <c r="HP1497" i="10"/>
  <c r="HP1495" i="10"/>
  <c r="HP1498" i="10"/>
  <c r="HP1500" i="10"/>
  <c r="HP1501" i="10"/>
  <c r="HP1505" i="10"/>
  <c r="HP1504" i="10"/>
  <c r="HP1503" i="10"/>
  <c r="HP1506" i="10"/>
  <c r="HP1508" i="10"/>
  <c r="HP1502" i="10"/>
  <c r="HP1507" i="10"/>
  <c r="HP1509" i="10"/>
  <c r="HP1510" i="10"/>
  <c r="ADJ1492" i="10"/>
  <c r="ADJ1491" i="10"/>
  <c r="ADJ1496" i="10"/>
  <c r="ADJ1495" i="10"/>
  <c r="ADJ1497" i="10"/>
  <c r="ADJ1501" i="10"/>
  <c r="ADJ1498" i="10"/>
  <c r="ADJ1499" i="10"/>
  <c r="ADJ1493" i="10"/>
  <c r="ADJ1494" i="10"/>
  <c r="ADJ1507" i="10"/>
  <c r="ADJ1505" i="10"/>
  <c r="ADJ1504" i="10"/>
  <c r="ADJ1502" i="10"/>
  <c r="ADJ1503" i="10"/>
  <c r="ADJ1506" i="10"/>
  <c r="ADJ1509" i="10"/>
  <c r="ADJ1500" i="10"/>
  <c r="ADJ1510" i="10"/>
  <c r="ADJ1508" i="10"/>
  <c r="ZT1491" i="10"/>
  <c r="ZT1493" i="10"/>
  <c r="ZT1492" i="10"/>
  <c r="ZT1494" i="10"/>
  <c r="ZT1499" i="10"/>
  <c r="ZT1500" i="10"/>
  <c r="ZT1496" i="10"/>
  <c r="ZT1495" i="10"/>
  <c r="ZT1498" i="10"/>
  <c r="ZT1501" i="10"/>
  <c r="ZT1497" i="10"/>
  <c r="ZT1505" i="10"/>
  <c r="ZT1504" i="10"/>
  <c r="ZT1502" i="10"/>
  <c r="ZT1503" i="10"/>
  <c r="ZT1506" i="10"/>
  <c r="ZT1508" i="10"/>
  <c r="ZT1507" i="10"/>
  <c r="ZT1510" i="10"/>
  <c r="ZT1509" i="10"/>
  <c r="GP1514" i="10"/>
  <c r="GP1515" i="10"/>
  <c r="GP1516" i="10"/>
  <c r="GP1517" i="10"/>
  <c r="GP1520" i="10"/>
  <c r="GP1518" i="10"/>
  <c r="GP1521" i="10"/>
  <c r="GP1522" i="10"/>
  <c r="GP1524" i="10"/>
  <c r="GP1525" i="10"/>
  <c r="GP1519" i="10"/>
  <c r="GP1523" i="10"/>
  <c r="GP1527" i="10"/>
  <c r="GP1526" i="10"/>
  <c r="GP1529" i="10"/>
  <c r="GP1528" i="10"/>
  <c r="GP1530" i="10"/>
  <c r="GP1533" i="10"/>
  <c r="GP1531" i="10"/>
  <c r="GP1532" i="10"/>
  <c r="LW1491" i="10"/>
  <c r="LW1493" i="10"/>
  <c r="LW1492" i="10"/>
  <c r="LW1494" i="10"/>
  <c r="LW1499" i="10"/>
  <c r="LW1502" i="10"/>
  <c r="LW1496" i="10"/>
  <c r="LW1495" i="10"/>
  <c r="LW1498" i="10"/>
  <c r="LW1497" i="10"/>
  <c r="LW1501" i="10"/>
  <c r="LW1505" i="10"/>
  <c r="LW1504" i="10"/>
  <c r="LW1503" i="10"/>
  <c r="LW1506" i="10"/>
  <c r="LW1508" i="10"/>
  <c r="LW1507" i="10"/>
  <c r="LW1500" i="10"/>
  <c r="LW1510" i="10"/>
  <c r="LW1509" i="10"/>
  <c r="DA1518" i="10"/>
  <c r="DA1514" i="10"/>
  <c r="DA1516" i="10"/>
  <c r="DA1517" i="10"/>
  <c r="DA1520" i="10"/>
  <c r="DA1515" i="10"/>
  <c r="DA1519" i="10"/>
  <c r="DA1521" i="10"/>
  <c r="DA1522" i="10"/>
  <c r="DA1525" i="10"/>
  <c r="DA1523" i="10"/>
  <c r="DA1526" i="10"/>
  <c r="DA1529" i="10"/>
  <c r="DA1527" i="10"/>
  <c r="DA1532" i="10"/>
  <c r="DA1528" i="10"/>
  <c r="DA1531" i="10"/>
  <c r="DA1533" i="10"/>
  <c r="DA1530" i="10"/>
  <c r="DA1524" i="10"/>
  <c r="TQ1519" i="10"/>
  <c r="TQ1521" i="10"/>
  <c r="TQ1524" i="10"/>
  <c r="TQ1522" i="10"/>
  <c r="TQ1527" i="10"/>
  <c r="TQ1523" i="10"/>
  <c r="TQ1525" i="10"/>
  <c r="TQ1530" i="10"/>
  <c r="TQ1529" i="10"/>
  <c r="TQ1528" i="10"/>
  <c r="TQ1531" i="10"/>
  <c r="TQ1533" i="10"/>
  <c r="TQ1532" i="10"/>
  <c r="TQ1514" i="10"/>
  <c r="TQ1520" i="10"/>
  <c r="TQ1517" i="10"/>
  <c r="TQ1516" i="10"/>
  <c r="TQ1526" i="10"/>
  <c r="TQ1515" i="10"/>
  <c r="TQ1518" i="10"/>
  <c r="ZJ1492" i="10"/>
  <c r="ZJ1491" i="10"/>
  <c r="ZJ1494" i="10"/>
  <c r="ZJ1496" i="10"/>
  <c r="ZJ1498" i="10"/>
  <c r="ZJ1493" i="10"/>
  <c r="ZJ1495" i="10"/>
  <c r="ZJ1497" i="10"/>
  <c r="ZJ1501" i="10"/>
  <c r="ZJ1502" i="10"/>
  <c r="ZJ1504" i="10"/>
  <c r="ZJ1503" i="10"/>
  <c r="ZJ1506" i="10"/>
  <c r="ZJ1508" i="10"/>
  <c r="ZJ1499" i="10"/>
  <c r="ZJ1500" i="10"/>
  <c r="ZJ1509" i="10"/>
  <c r="ZJ1505" i="10"/>
  <c r="ZJ1507" i="10"/>
  <c r="ZJ1510" i="10"/>
  <c r="OC1531" i="10"/>
  <c r="OC1533" i="10"/>
  <c r="OC1530" i="10"/>
  <c r="OC1532" i="10"/>
  <c r="OC1522" i="10"/>
  <c r="OC1523" i="10"/>
  <c r="OC1520" i="10"/>
  <c r="OC1514" i="10"/>
  <c r="OC1515" i="10"/>
  <c r="OC1527" i="10"/>
  <c r="OC1516" i="10"/>
  <c r="OC1519" i="10"/>
  <c r="OC1529" i="10"/>
  <c r="OC1518" i="10"/>
  <c r="OC1528" i="10"/>
  <c r="OC1524" i="10"/>
  <c r="OC1526" i="10"/>
  <c r="OC1517" i="10"/>
  <c r="OC1521" i="10"/>
  <c r="OC1525" i="10"/>
  <c r="ZI1491" i="10"/>
  <c r="ZI1494" i="10"/>
  <c r="ZI1492" i="10"/>
  <c r="ZI1496" i="10"/>
  <c r="ZI1498" i="10"/>
  <c r="ZI1495" i="10"/>
  <c r="ZI1497" i="10"/>
  <c r="ZI1493" i="10"/>
  <c r="ZI1500" i="10"/>
  <c r="ZI1501" i="10"/>
  <c r="ZI1499" i="10"/>
  <c r="ZI1503" i="10"/>
  <c r="ZI1506" i="10"/>
  <c r="ZI1509" i="10"/>
  <c r="ZI1507" i="10"/>
  <c r="ZI1505" i="10"/>
  <c r="ZI1502" i="10"/>
  <c r="ZI1504" i="10"/>
  <c r="ZI1508" i="10"/>
  <c r="ZI1510" i="10"/>
  <c r="ADF1516" i="10"/>
  <c r="ADF1519" i="10"/>
  <c r="ADF1517" i="10"/>
  <c r="ADF1521" i="10"/>
  <c r="ADF1524" i="10"/>
  <c r="ADF1522" i="10"/>
  <c r="ADF1520" i="10"/>
  <c r="ADF1527" i="10"/>
  <c r="ADF1528" i="10"/>
  <c r="ADF1526" i="10"/>
  <c r="ADF1529" i="10"/>
  <c r="ADF1530" i="10"/>
  <c r="ADF1532" i="10"/>
  <c r="ADF1523" i="10"/>
  <c r="ADF1525" i="10"/>
  <c r="ADF1531" i="10"/>
  <c r="ADF1533" i="10"/>
  <c r="ADF1515" i="10"/>
  <c r="ADF1518" i="10"/>
  <c r="ADF1514" i="10"/>
  <c r="YT1492" i="10"/>
  <c r="YT1491" i="10"/>
  <c r="YT1493" i="10"/>
  <c r="YT1495" i="10"/>
  <c r="YT1497" i="10"/>
  <c r="YT1496" i="10"/>
  <c r="YT1498" i="10"/>
  <c r="YT1500" i="10"/>
  <c r="YT1499" i="10"/>
  <c r="YT1501" i="10"/>
  <c r="YT1494" i="10"/>
  <c r="YT1509" i="10"/>
  <c r="YT1507" i="10"/>
  <c r="YT1502" i="10"/>
  <c r="YT1505" i="10"/>
  <c r="YT1504" i="10"/>
  <c r="YT1508" i="10"/>
  <c r="YT1506" i="10"/>
  <c r="YT1510" i="10"/>
  <c r="YT1503" i="10"/>
  <c r="KI1533" i="10"/>
  <c r="KI1522" i="10"/>
  <c r="KI1529" i="10"/>
  <c r="KI1528" i="10"/>
  <c r="KI1521" i="10"/>
  <c r="KI1523" i="10"/>
  <c r="KI1520" i="10"/>
  <c r="KI1516" i="10"/>
  <c r="KI1532" i="10"/>
  <c r="KI1515" i="10"/>
  <c r="KI1524" i="10"/>
  <c r="KI1527" i="10"/>
  <c r="KI1530" i="10"/>
  <c r="KI1526" i="10"/>
  <c r="KI1519" i="10"/>
  <c r="KI1514" i="10"/>
  <c r="KI1525" i="10"/>
  <c r="KI1518" i="10"/>
  <c r="KI1531" i="10"/>
  <c r="KI1517" i="10"/>
  <c r="PW1526" i="10"/>
  <c r="PW1533" i="10"/>
  <c r="PW1515" i="10"/>
  <c r="PW1525" i="10"/>
  <c r="PW1527" i="10"/>
  <c r="PW1524" i="10"/>
  <c r="PW1517" i="10"/>
  <c r="PW1528" i="10"/>
  <c r="PW1529" i="10"/>
  <c r="PW1514" i="10"/>
  <c r="PW1532" i="10"/>
  <c r="PW1519" i="10"/>
  <c r="PW1520" i="10"/>
  <c r="PW1522" i="10"/>
  <c r="PW1521" i="10"/>
  <c r="PW1518" i="10"/>
  <c r="PW1531" i="10"/>
  <c r="PW1516" i="10"/>
  <c r="PW1523" i="10"/>
  <c r="PW1530" i="10"/>
  <c r="GC1516" i="10"/>
  <c r="GC1518" i="10"/>
  <c r="GC1514" i="10"/>
  <c r="GC1515" i="10"/>
  <c r="GC1517" i="10"/>
  <c r="GC1519" i="10"/>
  <c r="GC1520" i="10"/>
  <c r="GC1523" i="10"/>
  <c r="GC1527" i="10"/>
  <c r="GC1522" i="10"/>
  <c r="GC1526" i="10"/>
  <c r="GC1528" i="10"/>
  <c r="GC1524" i="10"/>
  <c r="GC1521" i="10"/>
  <c r="GC1529" i="10"/>
  <c r="GC1525" i="10"/>
  <c r="GC1533" i="10"/>
  <c r="GC1531" i="10"/>
  <c r="GC1532" i="10"/>
  <c r="GC1530" i="10"/>
  <c r="EA1497" i="10"/>
  <c r="EA1498" i="10"/>
  <c r="EA1508" i="10"/>
  <c r="EA1506" i="10"/>
  <c r="EA1507" i="10"/>
  <c r="EA1509" i="10"/>
  <c r="EA1510" i="10"/>
  <c r="EA1492" i="10"/>
  <c r="EA1505" i="10"/>
  <c r="EA1493" i="10"/>
  <c r="EA1499" i="10"/>
  <c r="EA1501" i="10"/>
  <c r="EA1504" i="10"/>
  <c r="EA1495" i="10"/>
  <c r="EA1491" i="10"/>
  <c r="EA1500" i="10"/>
  <c r="EA1494" i="10"/>
  <c r="EA1496" i="10"/>
  <c r="EA1502" i="10"/>
  <c r="EA1503" i="10"/>
  <c r="DO1522" i="10"/>
  <c r="DO1525" i="10"/>
  <c r="DO1526" i="10"/>
  <c r="DO1527" i="10"/>
  <c r="DO1530" i="10"/>
  <c r="DO1532" i="10"/>
  <c r="DO1531" i="10"/>
  <c r="DO1529" i="10"/>
  <c r="DO1533" i="10"/>
  <c r="DO1517" i="10"/>
  <c r="DO1523" i="10"/>
  <c r="DO1520" i="10"/>
  <c r="DO1515" i="10"/>
  <c r="DO1521" i="10"/>
  <c r="DO1516" i="10"/>
  <c r="DO1518" i="10"/>
  <c r="DO1524" i="10"/>
  <c r="DO1514" i="10"/>
  <c r="DO1528" i="10"/>
  <c r="DO1519" i="10"/>
  <c r="NM1491" i="10"/>
  <c r="NM1493" i="10"/>
  <c r="NM1492" i="10"/>
  <c r="NM1494" i="10"/>
  <c r="NM1499" i="10"/>
  <c r="NM1497" i="10"/>
  <c r="NM1496" i="10"/>
  <c r="NM1500" i="10"/>
  <c r="NM1498" i="10"/>
  <c r="NM1501" i="10"/>
  <c r="NM1495" i="10"/>
  <c r="NM1505" i="10"/>
  <c r="NM1504" i="10"/>
  <c r="NM1502" i="10"/>
  <c r="NM1503" i="10"/>
  <c r="NM1506" i="10"/>
  <c r="NM1508" i="10"/>
  <c r="NM1507" i="10"/>
  <c r="NM1510" i="10"/>
  <c r="NM1509" i="10"/>
  <c r="AAG1514" i="10"/>
  <c r="AAG1515" i="10"/>
  <c r="AAG1519" i="10"/>
  <c r="AAG1516" i="10"/>
  <c r="AAG1518" i="10"/>
  <c r="AAG1522" i="10"/>
  <c r="AAG1517" i="10"/>
  <c r="AAG1523" i="10"/>
  <c r="AAG1524" i="10"/>
  <c r="AAG1520" i="10"/>
  <c r="AAG1526" i="10"/>
  <c r="AAG1527" i="10"/>
  <c r="AAG1521" i="10"/>
  <c r="AAG1530" i="10"/>
  <c r="AAG1531" i="10"/>
  <c r="AAG1525" i="10"/>
  <c r="AAG1533" i="10"/>
  <c r="AAG1529" i="10"/>
  <c r="AAG1528" i="10"/>
  <c r="AAG1532" i="10"/>
  <c r="AC1491" i="10"/>
  <c r="AC1494" i="10"/>
  <c r="AC1497" i="10"/>
  <c r="AC1499" i="10"/>
  <c r="AC1493" i="10"/>
  <c r="AC1496" i="10"/>
  <c r="AC1498" i="10"/>
  <c r="AC1492" i="10"/>
  <c r="AC1495" i="10"/>
  <c r="AC1500" i="10"/>
  <c r="AC1502" i="10"/>
  <c r="AC1503" i="10"/>
  <c r="AC1509" i="10"/>
  <c r="AC1510" i="10"/>
  <c r="AC1501" i="10"/>
  <c r="AC1508" i="10"/>
  <c r="AC1505" i="10"/>
  <c r="AC1504" i="10"/>
  <c r="AC1507" i="10"/>
  <c r="AC1506" i="10"/>
  <c r="WP1527" i="10"/>
  <c r="WP1523" i="10"/>
  <c r="WP1531" i="10"/>
  <c r="WP1522" i="10"/>
  <c r="WP1520" i="10"/>
  <c r="WP1521" i="10"/>
  <c r="WP1526" i="10"/>
  <c r="WP1519" i="10"/>
  <c r="WP1530" i="10"/>
  <c r="WP1528" i="10"/>
  <c r="WP1533" i="10"/>
  <c r="WP1524" i="10"/>
  <c r="WP1532" i="10"/>
  <c r="WP1515" i="10"/>
  <c r="WP1514" i="10"/>
  <c r="WP1516" i="10"/>
  <c r="WP1525" i="10"/>
  <c r="WP1518" i="10"/>
  <c r="WP1517" i="10"/>
  <c r="WP1529" i="10"/>
  <c r="ABW1491" i="10"/>
  <c r="ABW1492" i="10"/>
  <c r="ABW1494" i="10"/>
  <c r="ABW1493" i="10"/>
  <c r="ABW1499" i="10"/>
  <c r="ABW1496" i="10"/>
  <c r="ABW1497" i="10"/>
  <c r="ABW1498" i="10"/>
  <c r="ABW1495" i="10"/>
  <c r="ABW1500" i="10"/>
  <c r="ABW1505" i="10"/>
  <c r="ABW1504" i="10"/>
  <c r="ABW1503" i="10"/>
  <c r="ABW1506" i="10"/>
  <c r="ABW1508" i="10"/>
  <c r="ABW1501" i="10"/>
  <c r="ABW1507" i="10"/>
  <c r="ABW1510" i="10"/>
  <c r="ABW1509" i="10"/>
  <c r="ABW1502" i="10"/>
  <c r="ACW1524" i="10"/>
  <c r="ACW1529" i="10"/>
  <c r="ACW1533" i="10"/>
  <c r="ACW1523" i="10"/>
  <c r="ACW1526" i="10"/>
  <c r="ACW1522" i="10"/>
  <c r="ACW1517" i="10"/>
  <c r="ACW1531" i="10"/>
  <c r="ACW1527" i="10"/>
  <c r="ACW1521" i="10"/>
  <c r="ACW1518" i="10"/>
  <c r="ACW1520" i="10"/>
  <c r="ACW1516" i="10"/>
  <c r="ACW1525" i="10"/>
  <c r="ACW1515" i="10"/>
  <c r="ACW1530" i="10"/>
  <c r="ACW1519" i="10"/>
  <c r="ACW1528" i="10"/>
  <c r="ACW1532" i="10"/>
  <c r="ACW1514" i="10"/>
  <c r="SP1517" i="10"/>
  <c r="SP1514" i="10"/>
  <c r="SP1515" i="10"/>
  <c r="SP1519" i="10"/>
  <c r="SP1520" i="10"/>
  <c r="SP1516" i="10"/>
  <c r="SP1518" i="10"/>
  <c r="SP1522" i="10"/>
  <c r="SP1523" i="10"/>
  <c r="SP1526" i="10"/>
  <c r="SP1524" i="10"/>
  <c r="SP1525" i="10"/>
  <c r="SP1521" i="10"/>
  <c r="SP1527" i="10"/>
  <c r="SP1528" i="10"/>
  <c r="SP1530" i="10"/>
  <c r="SP1532" i="10"/>
  <c r="SP1531" i="10"/>
  <c r="SP1529" i="10"/>
  <c r="SP1533" i="10"/>
  <c r="FZ1491" i="10"/>
  <c r="FZ1493" i="10"/>
  <c r="FZ1492" i="10"/>
  <c r="FZ1494" i="10"/>
  <c r="FZ1498" i="10"/>
  <c r="FZ1499" i="10"/>
  <c r="FZ1497" i="10"/>
  <c r="FZ1495" i="10"/>
  <c r="FZ1496" i="10"/>
  <c r="FZ1500" i="10"/>
  <c r="FZ1501" i="10"/>
  <c r="FZ1505" i="10"/>
  <c r="FZ1504" i="10"/>
  <c r="FZ1503" i="10"/>
  <c r="FZ1508" i="10"/>
  <c r="FZ1502" i="10"/>
  <c r="FZ1506" i="10"/>
  <c r="FZ1507" i="10"/>
  <c r="FZ1510" i="10"/>
  <c r="FZ1509" i="10"/>
  <c r="ME1491" i="10"/>
  <c r="ME1494" i="10"/>
  <c r="ME1492" i="10"/>
  <c r="ME1496" i="10"/>
  <c r="ME1498" i="10"/>
  <c r="ME1495" i="10"/>
  <c r="ME1497" i="10"/>
  <c r="ME1493" i="10"/>
  <c r="ME1499" i="10"/>
  <c r="ME1500" i="10"/>
  <c r="ME1501" i="10"/>
  <c r="ME1503" i="10"/>
  <c r="ME1506" i="10"/>
  <c r="ME1508" i="10"/>
  <c r="ME1509" i="10"/>
  <c r="ME1507" i="10"/>
  <c r="ME1505" i="10"/>
  <c r="ME1502" i="10"/>
  <c r="ME1504" i="10"/>
  <c r="ME1510" i="10"/>
  <c r="EL1518" i="10"/>
  <c r="EL1516" i="10"/>
  <c r="EL1514" i="10"/>
  <c r="EL1515" i="10"/>
  <c r="EL1517" i="10"/>
  <c r="EL1524" i="10"/>
  <c r="EL1520" i="10"/>
  <c r="EL1522" i="10"/>
  <c r="EL1523" i="10"/>
  <c r="EL1519" i="10"/>
  <c r="EL1525" i="10"/>
  <c r="EL1526" i="10"/>
  <c r="EL1527" i="10"/>
  <c r="EL1521" i="10"/>
  <c r="EL1528" i="10"/>
  <c r="EL1529" i="10"/>
  <c r="EL1533" i="10"/>
  <c r="EL1531" i="10"/>
  <c r="EL1532" i="10"/>
  <c r="EL1530" i="10"/>
  <c r="HJ1493" i="10"/>
  <c r="HJ1492" i="10"/>
  <c r="HJ1491" i="10"/>
  <c r="HJ1496" i="10"/>
  <c r="HJ1498" i="10"/>
  <c r="HJ1495" i="10"/>
  <c r="HJ1497" i="10"/>
  <c r="HJ1494" i="10"/>
  <c r="HJ1499" i="10"/>
  <c r="HJ1502" i="10"/>
  <c r="HJ1501" i="10"/>
  <c r="HJ1500" i="10"/>
  <c r="HJ1507" i="10"/>
  <c r="HJ1505" i="10"/>
  <c r="HJ1503" i="10"/>
  <c r="HJ1506" i="10"/>
  <c r="HJ1508" i="10"/>
  <c r="HJ1509" i="10"/>
  <c r="HJ1504" i="10"/>
  <c r="HJ1510" i="10"/>
  <c r="ADR1519" i="10"/>
  <c r="ADR1516" i="10"/>
  <c r="ADR1530" i="10"/>
  <c r="ADR1520" i="10"/>
  <c r="ADR1528" i="10"/>
  <c r="ADR1522" i="10"/>
  <c r="ADR1524" i="10"/>
  <c r="ADR1514" i="10"/>
  <c r="ADR1527" i="10"/>
  <c r="ADR1517" i="10"/>
  <c r="ADR1529" i="10"/>
  <c r="ADR1533" i="10"/>
  <c r="ADR1532" i="10"/>
  <c r="ADR1523" i="10"/>
  <c r="ADR1526" i="10"/>
  <c r="ADR1515" i="10"/>
  <c r="ADR1525" i="10"/>
  <c r="ADR1521" i="10"/>
  <c r="ADR1518" i="10"/>
  <c r="ADR1531" i="10"/>
  <c r="MT1518" i="10"/>
  <c r="MT1524" i="10"/>
  <c r="MT1521" i="10"/>
  <c r="MT1528" i="10"/>
  <c r="MT1529" i="10"/>
  <c r="MT1526" i="10"/>
  <c r="MT1527" i="10"/>
  <c r="MT1531" i="10"/>
  <c r="MT1532" i="10"/>
  <c r="MT1530" i="10"/>
  <c r="MT1533" i="10"/>
  <c r="MT1520" i="10"/>
  <c r="MT1523" i="10"/>
  <c r="MT1517" i="10"/>
  <c r="MT1525" i="10"/>
  <c r="MT1515" i="10"/>
  <c r="MT1519" i="10"/>
  <c r="MT1516" i="10"/>
  <c r="MT1522" i="10"/>
  <c r="MT1514" i="10"/>
  <c r="ADQ1520" i="10"/>
  <c r="ADQ1518" i="10"/>
  <c r="ADQ1519" i="10"/>
  <c r="ADQ1522" i="10"/>
  <c r="ADQ1517" i="10"/>
  <c r="ADQ1525" i="10"/>
  <c r="ADQ1526" i="10"/>
  <c r="ADQ1521" i="10"/>
  <c r="ADQ1523" i="10"/>
  <c r="ADQ1524" i="10"/>
  <c r="ADQ1528" i="10"/>
  <c r="ADQ1527" i="10"/>
  <c r="ADQ1531" i="10"/>
  <c r="ADQ1533" i="10"/>
  <c r="ADQ1529" i="10"/>
  <c r="ADQ1532" i="10"/>
  <c r="ADQ1530" i="10"/>
  <c r="ADQ1514" i="10"/>
  <c r="ADQ1516" i="10"/>
  <c r="ADQ1515" i="10"/>
  <c r="AM1492" i="10"/>
  <c r="AM1491" i="10"/>
  <c r="AM1494" i="10"/>
  <c r="AM1497" i="10"/>
  <c r="AM1499" i="10"/>
  <c r="AM1496" i="10"/>
  <c r="AM1498" i="10"/>
  <c r="AM1495" i="10"/>
  <c r="AM1493" i="10"/>
  <c r="AM1501" i="10"/>
  <c r="AM1504" i="10"/>
  <c r="AM1507" i="10"/>
  <c r="AM1503" i="10"/>
  <c r="AM1500" i="10"/>
  <c r="AM1502" i="10"/>
  <c r="AM1508" i="10"/>
  <c r="AM1506" i="10"/>
  <c r="AM1505" i="10"/>
  <c r="AM1510" i="10"/>
  <c r="AM1509" i="10"/>
  <c r="JO1514" i="10"/>
  <c r="JO1518" i="10"/>
  <c r="JO1515" i="10"/>
  <c r="JO1517" i="10"/>
  <c r="JO1519" i="10"/>
  <c r="JO1516" i="10"/>
  <c r="JO1520" i="10"/>
  <c r="JO1521" i="10"/>
  <c r="JO1522" i="10"/>
  <c r="JO1524" i="10"/>
  <c r="JO1523" i="10"/>
  <c r="JO1525" i="10"/>
  <c r="JO1529" i="10"/>
  <c r="JO1526" i="10"/>
  <c r="JO1528" i="10"/>
  <c r="JO1530" i="10"/>
  <c r="JO1533" i="10"/>
  <c r="JO1531" i="10"/>
  <c r="JO1532" i="10"/>
  <c r="JO1527" i="10"/>
  <c r="PF1492" i="10"/>
  <c r="PF1491" i="10"/>
  <c r="PF1493" i="10"/>
  <c r="PF1494" i="10"/>
  <c r="PF1500" i="10"/>
  <c r="PF1495" i="10"/>
  <c r="PF1501" i="10"/>
  <c r="PF1496" i="10"/>
  <c r="PF1497" i="10"/>
  <c r="PF1499" i="10"/>
  <c r="PF1502" i="10"/>
  <c r="PF1505" i="10"/>
  <c r="PF1498" i="10"/>
  <c r="PF1504" i="10"/>
  <c r="PF1503" i="10"/>
  <c r="PF1506" i="10"/>
  <c r="PF1508" i="10"/>
  <c r="PF1509" i="10"/>
  <c r="PF1507" i="10"/>
  <c r="PF1510" i="10"/>
  <c r="CH1517" i="10"/>
  <c r="CH1514" i="10"/>
  <c r="CH1515" i="10"/>
  <c r="CH1516" i="10"/>
  <c r="CH1519" i="10"/>
  <c r="CH1518" i="10"/>
  <c r="CH1520" i="10"/>
  <c r="CH1521" i="10"/>
  <c r="CH1523" i="10"/>
  <c r="CH1522" i="10"/>
  <c r="CH1526" i="10"/>
  <c r="CH1527" i="10"/>
  <c r="CH1528" i="10"/>
  <c r="CH1524" i="10"/>
  <c r="CH1529" i="10"/>
  <c r="CH1533" i="10"/>
  <c r="CH1531" i="10"/>
  <c r="CH1530" i="10"/>
  <c r="CH1525" i="10"/>
  <c r="CH1532" i="10"/>
  <c r="HX1493" i="10"/>
  <c r="HX1496" i="10"/>
  <c r="HX1498" i="10"/>
  <c r="HX1495" i="10"/>
  <c r="HX1497" i="10"/>
  <c r="HX1491" i="10"/>
  <c r="HX1492" i="10"/>
  <c r="HX1494" i="10"/>
  <c r="HX1500" i="10"/>
  <c r="HX1499" i="10"/>
  <c r="HX1501" i="10"/>
  <c r="HX1508" i="10"/>
  <c r="HX1502" i="10"/>
  <c r="HX1506" i="10"/>
  <c r="HX1507" i="10"/>
  <c r="HX1509" i="10"/>
  <c r="HX1504" i="10"/>
  <c r="HX1503" i="10"/>
  <c r="HX1505" i="10"/>
  <c r="HX1510" i="10"/>
  <c r="QI1514" i="10"/>
  <c r="QI1515" i="10"/>
  <c r="QI1518" i="10"/>
  <c r="QI1519" i="10"/>
  <c r="QI1517" i="10"/>
  <c r="QI1520" i="10"/>
  <c r="QI1516" i="10"/>
  <c r="QI1521" i="10"/>
  <c r="QI1524" i="10"/>
  <c r="QI1525" i="10"/>
  <c r="QI1522" i="10"/>
  <c r="QI1523" i="10"/>
  <c r="QI1526" i="10"/>
  <c r="QI1527" i="10"/>
  <c r="QI1529" i="10"/>
  <c r="QI1532" i="10"/>
  <c r="QI1531" i="10"/>
  <c r="QI1530" i="10"/>
  <c r="QI1528" i="10"/>
  <c r="QI1533" i="10"/>
  <c r="AQ1493" i="10"/>
  <c r="AQ1492" i="10"/>
  <c r="AQ1491" i="10"/>
  <c r="AQ1494" i="10"/>
  <c r="AQ1496" i="10"/>
  <c r="AQ1495" i="10"/>
  <c r="AQ1502" i="10"/>
  <c r="AQ1500" i="10"/>
  <c r="AQ1497" i="10"/>
  <c r="AQ1498" i="10"/>
  <c r="AQ1499" i="10"/>
  <c r="AQ1506" i="10"/>
  <c r="AQ1505" i="10"/>
  <c r="AQ1504" i="10"/>
  <c r="AQ1507" i="10"/>
  <c r="AQ1503" i="10"/>
  <c r="AQ1509" i="10"/>
  <c r="AQ1501" i="10"/>
  <c r="AQ1508" i="10"/>
  <c r="AQ1510" i="10"/>
  <c r="LX1517" i="10"/>
  <c r="LX1514" i="10"/>
  <c r="LX1516" i="10"/>
  <c r="LX1518" i="10"/>
  <c r="LX1519" i="10"/>
  <c r="LX1521" i="10"/>
  <c r="LX1515" i="10"/>
  <c r="LX1522" i="10"/>
  <c r="LX1524" i="10"/>
  <c r="LX1528" i="10"/>
  <c r="LX1525" i="10"/>
  <c r="LX1526" i="10"/>
  <c r="LX1520" i="10"/>
  <c r="LX1527" i="10"/>
  <c r="LX1523" i="10"/>
  <c r="LX1529" i="10"/>
  <c r="LX1531" i="10"/>
  <c r="LX1532" i="10"/>
  <c r="LX1530" i="10"/>
  <c r="LX1533" i="10"/>
  <c r="XE1515" i="10"/>
  <c r="XE1514" i="10"/>
  <c r="XE1518" i="10"/>
  <c r="XE1519" i="10"/>
  <c r="XE1517" i="10"/>
  <c r="XE1516" i="10"/>
  <c r="XE1520" i="10"/>
  <c r="XE1522" i="10"/>
  <c r="XE1521" i="10"/>
  <c r="XE1523" i="10"/>
  <c r="XE1524" i="10"/>
  <c r="XE1525" i="10"/>
  <c r="XE1527" i="10"/>
  <c r="XE1528" i="10"/>
  <c r="XE1531" i="10"/>
  <c r="XE1526" i="10"/>
  <c r="XE1529" i="10"/>
  <c r="XE1532" i="10"/>
  <c r="XE1530" i="10"/>
  <c r="XE1533" i="10"/>
  <c r="BG1516" i="10"/>
  <c r="BG1517" i="10"/>
  <c r="BG1515" i="10"/>
  <c r="BG1519" i="10"/>
  <c r="BG1518" i="10"/>
  <c r="BG1520" i="10"/>
  <c r="BG1514" i="10"/>
  <c r="BG1521" i="10"/>
  <c r="BG1522" i="10"/>
  <c r="BG1524" i="10"/>
  <c r="BG1525" i="10"/>
  <c r="BG1523" i="10"/>
  <c r="BG1529" i="10"/>
  <c r="BG1531" i="10"/>
  <c r="BG1530" i="10"/>
  <c r="BG1526" i="10"/>
  <c r="BG1532" i="10"/>
  <c r="BG1533" i="10"/>
  <c r="BG1528" i="10"/>
  <c r="BG1527" i="10"/>
  <c r="MN1515" i="10"/>
  <c r="MN1516" i="10"/>
  <c r="MN1517" i="10"/>
  <c r="MN1514" i="10"/>
  <c r="MN1518" i="10"/>
  <c r="MN1521" i="10"/>
  <c r="MN1520" i="10"/>
  <c r="MN1522" i="10"/>
  <c r="MN1523" i="10"/>
  <c r="MN1519" i="10"/>
  <c r="MN1526" i="10"/>
  <c r="MN1527" i="10"/>
  <c r="MN1524" i="10"/>
  <c r="MN1525" i="10"/>
  <c r="MN1529" i="10"/>
  <c r="MN1530" i="10"/>
  <c r="MN1531" i="10"/>
  <c r="MN1532" i="10"/>
  <c r="MN1533" i="10"/>
  <c r="MN1528" i="10"/>
  <c r="TZ1492" i="10"/>
  <c r="TZ1491" i="10"/>
  <c r="TZ1494" i="10"/>
  <c r="TZ1499" i="10"/>
  <c r="TZ1493" i="10"/>
  <c r="TZ1496" i="10"/>
  <c r="TZ1498" i="10"/>
  <c r="TZ1497" i="10"/>
  <c r="TZ1495" i="10"/>
  <c r="TZ1501" i="10"/>
  <c r="TZ1504" i="10"/>
  <c r="TZ1503" i="10"/>
  <c r="TZ1506" i="10"/>
  <c r="TZ1508" i="10"/>
  <c r="TZ1500" i="10"/>
  <c r="TZ1509" i="10"/>
  <c r="TZ1502" i="10"/>
  <c r="TZ1505" i="10"/>
  <c r="TZ1507" i="10"/>
  <c r="TZ1510" i="10"/>
  <c r="HJ1514" i="10"/>
  <c r="HJ1515" i="10"/>
  <c r="HJ1516" i="10"/>
  <c r="HJ1520" i="10"/>
  <c r="HJ1519" i="10"/>
  <c r="HJ1518" i="10"/>
  <c r="HJ1517" i="10"/>
  <c r="HJ1523" i="10"/>
  <c r="HJ1524" i="10"/>
  <c r="HJ1522" i="10"/>
  <c r="HJ1526" i="10"/>
  <c r="HJ1521" i="10"/>
  <c r="HJ1525" i="10"/>
  <c r="HJ1527" i="10"/>
  <c r="HJ1528" i="10"/>
  <c r="HJ1533" i="10"/>
  <c r="HJ1532" i="10"/>
  <c r="HJ1529" i="10"/>
  <c r="HJ1530" i="10"/>
  <c r="HJ1531" i="10"/>
  <c r="OX1493" i="10"/>
  <c r="OX1492" i="10"/>
  <c r="OX1491" i="10"/>
  <c r="OX1495" i="10"/>
  <c r="OX1497" i="10"/>
  <c r="OX1496" i="10"/>
  <c r="OX1498" i="10"/>
  <c r="OX1501" i="10"/>
  <c r="OX1499" i="10"/>
  <c r="OX1500" i="10"/>
  <c r="OX1494" i="10"/>
  <c r="OX1509" i="10"/>
  <c r="OX1507" i="10"/>
  <c r="OX1502" i="10"/>
  <c r="OX1505" i="10"/>
  <c r="OX1504" i="10"/>
  <c r="OX1508" i="10"/>
  <c r="OX1510" i="10"/>
  <c r="OX1506" i="10"/>
  <c r="OX1503" i="10"/>
  <c r="CI1491" i="10"/>
  <c r="CI1493" i="10"/>
  <c r="CI1492" i="10"/>
  <c r="CI1494" i="10"/>
  <c r="CI1497" i="10"/>
  <c r="CI1499" i="10"/>
  <c r="CI1500" i="10"/>
  <c r="CI1496" i="10"/>
  <c r="CI1498" i="10"/>
  <c r="CI1495" i="10"/>
  <c r="CI1501" i="10"/>
  <c r="CI1505" i="10"/>
  <c r="CI1504" i="10"/>
  <c r="CI1507" i="10"/>
  <c r="CI1502" i="10"/>
  <c r="CI1503" i="10"/>
  <c r="CI1509" i="10"/>
  <c r="CI1506" i="10"/>
  <c r="CI1508" i="10"/>
  <c r="CI1510" i="10"/>
  <c r="YV1517" i="10"/>
  <c r="YV1514" i="10"/>
  <c r="YV1515" i="10"/>
  <c r="YV1516" i="10"/>
  <c r="YV1519" i="10"/>
  <c r="YV1522" i="10"/>
  <c r="YV1518" i="10"/>
  <c r="YV1520" i="10"/>
  <c r="YV1523" i="10"/>
  <c r="YV1521" i="10"/>
  <c r="YV1527" i="10"/>
  <c r="YV1524" i="10"/>
  <c r="YV1525" i="10"/>
  <c r="YV1526" i="10"/>
  <c r="YV1528" i="10"/>
  <c r="YV1529" i="10"/>
  <c r="YV1530" i="10"/>
  <c r="YV1531" i="10"/>
  <c r="YV1532" i="10"/>
  <c r="YV1533" i="10"/>
  <c r="AEV1492" i="10"/>
  <c r="AEV1491" i="10"/>
  <c r="AEV1495" i="10"/>
  <c r="AEV1497" i="10"/>
  <c r="AEV1493" i="10"/>
  <c r="AEV1496" i="10"/>
  <c r="AEV1498" i="10"/>
  <c r="AEV1494" i="10"/>
  <c r="AEV1500" i="10"/>
  <c r="AEV1499" i="10"/>
  <c r="AEV1502" i="10"/>
  <c r="AEV1507" i="10"/>
  <c r="AEV1501" i="10"/>
  <c r="AEV1505" i="10"/>
  <c r="AEV1504" i="10"/>
  <c r="AEV1508" i="10"/>
  <c r="AEV1506" i="10"/>
  <c r="AEV1503" i="10"/>
  <c r="AEV1510" i="10"/>
  <c r="AEV1509" i="10"/>
  <c r="PN1492" i="10"/>
  <c r="PN1491" i="10"/>
  <c r="PN1493" i="10"/>
  <c r="PN1494" i="10"/>
  <c r="PN1499" i="10"/>
  <c r="PN1496" i="10"/>
  <c r="PN1498" i="10"/>
  <c r="PN1495" i="10"/>
  <c r="PN1501" i="10"/>
  <c r="PN1497" i="10"/>
  <c r="PN1500" i="10"/>
  <c r="PN1502" i="10"/>
  <c r="PN1504" i="10"/>
  <c r="PN1503" i="10"/>
  <c r="PN1506" i="10"/>
  <c r="PN1508" i="10"/>
  <c r="PN1509" i="10"/>
  <c r="PN1505" i="10"/>
  <c r="PN1507" i="10"/>
  <c r="PN1510" i="10"/>
  <c r="XX1514" i="10"/>
  <c r="XX1515" i="10"/>
  <c r="XX1516" i="10"/>
  <c r="XX1520" i="10"/>
  <c r="XX1522" i="10"/>
  <c r="XX1517" i="10"/>
  <c r="XX1518" i="10"/>
  <c r="XX1519" i="10"/>
  <c r="XX1528" i="10"/>
  <c r="XX1523" i="10"/>
  <c r="XX1525" i="10"/>
  <c r="XX1526" i="10"/>
  <c r="XX1527" i="10"/>
  <c r="XX1524" i="10"/>
  <c r="XX1529" i="10"/>
  <c r="XX1530" i="10"/>
  <c r="XX1521" i="10"/>
  <c r="XX1533" i="10"/>
  <c r="XX1531" i="10"/>
  <c r="XX1532" i="10"/>
  <c r="ACS1492" i="10"/>
  <c r="ACS1491" i="10"/>
  <c r="ACS1495" i="10"/>
  <c r="ACS1497" i="10"/>
  <c r="ACS1493" i="10"/>
  <c r="ACS1496" i="10"/>
  <c r="ACS1498" i="10"/>
  <c r="ACS1500" i="10"/>
  <c r="ACS1494" i="10"/>
  <c r="ACS1499" i="10"/>
  <c r="ACS1501" i="10"/>
  <c r="ACS1509" i="10"/>
  <c r="ACS1507" i="10"/>
  <c r="ACS1502" i="10"/>
  <c r="ACS1505" i="10"/>
  <c r="ACS1504" i="10"/>
  <c r="ACS1508" i="10"/>
  <c r="ACS1503" i="10"/>
  <c r="ACS1510" i="10"/>
  <c r="ACS1506" i="10"/>
  <c r="JZ1532" i="10"/>
  <c r="JZ1531" i="10"/>
  <c r="JZ1524" i="10"/>
  <c r="JZ1519" i="10"/>
  <c r="JZ1517" i="10"/>
  <c r="JZ1529" i="10"/>
  <c r="JZ1528" i="10"/>
  <c r="JZ1525" i="10"/>
  <c r="JZ1526" i="10"/>
  <c r="JZ1533" i="10"/>
  <c r="JZ1523" i="10"/>
  <c r="JZ1521" i="10"/>
  <c r="JZ1527" i="10"/>
  <c r="JZ1518" i="10"/>
  <c r="JZ1516" i="10"/>
  <c r="JZ1514" i="10"/>
  <c r="JZ1520" i="10"/>
  <c r="JZ1522" i="10"/>
  <c r="JZ1515" i="10"/>
  <c r="JZ1530" i="10"/>
  <c r="SX1514" i="10"/>
  <c r="SX1515" i="10"/>
  <c r="SX1517" i="10"/>
  <c r="SX1518" i="10"/>
  <c r="SX1519" i="10"/>
  <c r="SX1516" i="10"/>
  <c r="SX1521" i="10"/>
  <c r="SX1522" i="10"/>
  <c r="SX1523" i="10"/>
  <c r="SX1527" i="10"/>
  <c r="SX1528" i="10"/>
  <c r="SX1525" i="10"/>
  <c r="SX1526" i="10"/>
  <c r="SX1520" i="10"/>
  <c r="SX1529" i="10"/>
  <c r="SX1524" i="10"/>
  <c r="SX1532" i="10"/>
  <c r="SX1530" i="10"/>
  <c r="SX1531" i="10"/>
  <c r="SX1533" i="10"/>
  <c r="BM1493" i="10"/>
  <c r="BM1497" i="10"/>
  <c r="BM1499" i="10"/>
  <c r="BM1496" i="10"/>
  <c r="BM1498" i="10"/>
  <c r="BM1495" i="10"/>
  <c r="BM1492" i="10"/>
  <c r="BM1494" i="10"/>
  <c r="BM1500" i="10"/>
  <c r="BM1502" i="10"/>
  <c r="BM1491" i="10"/>
  <c r="BM1501" i="10"/>
  <c r="BM1508" i="10"/>
  <c r="BM1506" i="10"/>
  <c r="BM1504" i="10"/>
  <c r="BM1507" i="10"/>
  <c r="BM1503" i="10"/>
  <c r="BM1509" i="10"/>
  <c r="BM1510" i="10"/>
  <c r="BM1505" i="10"/>
  <c r="SJ1529" i="10"/>
  <c r="SJ1517" i="10"/>
  <c r="SJ1515" i="10"/>
  <c r="SJ1531" i="10"/>
  <c r="SJ1521" i="10"/>
  <c r="SJ1527" i="10"/>
  <c r="SJ1526" i="10"/>
  <c r="SJ1524" i="10"/>
  <c r="SJ1532" i="10"/>
  <c r="SJ1514" i="10"/>
  <c r="SJ1525" i="10"/>
  <c r="SJ1530" i="10"/>
  <c r="SJ1519" i="10"/>
  <c r="SJ1520" i="10"/>
  <c r="SJ1528" i="10"/>
  <c r="SJ1533" i="10"/>
  <c r="SJ1523" i="10"/>
  <c r="SJ1522" i="10"/>
  <c r="SJ1518" i="10"/>
  <c r="SJ1516" i="10"/>
  <c r="XZ1493" i="10"/>
  <c r="XZ1496" i="10"/>
  <c r="XZ1498" i="10"/>
  <c r="XZ1492" i="10"/>
  <c r="XZ1495" i="10"/>
  <c r="XZ1497" i="10"/>
  <c r="XZ1494" i="10"/>
  <c r="XZ1500" i="10"/>
  <c r="XZ1499" i="10"/>
  <c r="XZ1491" i="10"/>
  <c r="XZ1508" i="10"/>
  <c r="XZ1502" i="10"/>
  <c r="XZ1509" i="10"/>
  <c r="XZ1501" i="10"/>
  <c r="XZ1507" i="10"/>
  <c r="XZ1504" i="10"/>
  <c r="XZ1503" i="10"/>
  <c r="XZ1506" i="10"/>
  <c r="XZ1510" i="10"/>
  <c r="XZ1505" i="10"/>
  <c r="QS1491" i="10"/>
  <c r="QS1493" i="10"/>
  <c r="QS1494" i="10"/>
  <c r="QS1496" i="10"/>
  <c r="QS1498" i="10"/>
  <c r="QS1492" i="10"/>
  <c r="QS1495" i="10"/>
  <c r="QS1497" i="10"/>
  <c r="QS1500" i="10"/>
  <c r="QS1499" i="10"/>
  <c r="QS1503" i="10"/>
  <c r="QS1506" i="10"/>
  <c r="QS1501" i="10"/>
  <c r="QS1508" i="10"/>
  <c r="QS1502" i="10"/>
  <c r="QS1509" i="10"/>
  <c r="QS1507" i="10"/>
  <c r="QS1505" i="10"/>
  <c r="QS1504" i="10"/>
  <c r="QS1510" i="10"/>
  <c r="ZD1515" i="10"/>
  <c r="ZD1514" i="10"/>
  <c r="ZD1517" i="10"/>
  <c r="ZD1516" i="10"/>
  <c r="ZD1520" i="10"/>
  <c r="ZD1519" i="10"/>
  <c r="ZD1522" i="10"/>
  <c r="ZD1521" i="10"/>
  <c r="ZD1523" i="10"/>
  <c r="ZD1518" i="10"/>
  <c r="ZD1524" i="10"/>
  <c r="ZD1528" i="10"/>
  <c r="ZD1526" i="10"/>
  <c r="ZD1525" i="10"/>
  <c r="ZD1531" i="10"/>
  <c r="ZD1527" i="10"/>
  <c r="ZD1530" i="10"/>
  <c r="ZD1532" i="10"/>
  <c r="ZD1529" i="10"/>
  <c r="ZD1533" i="10"/>
  <c r="MI1504" i="10"/>
  <c r="MI1502" i="10"/>
  <c r="MI1496" i="10"/>
  <c r="MI1509" i="10"/>
  <c r="MI1505" i="10"/>
  <c r="MI1503" i="10"/>
  <c r="MI1494" i="10"/>
  <c r="MI1491" i="10"/>
  <c r="MI1492" i="10"/>
  <c r="MI1493" i="10"/>
  <c r="MI1506" i="10"/>
  <c r="MI1498" i="10"/>
  <c r="MI1508" i="10"/>
  <c r="MI1500" i="10"/>
  <c r="MI1495" i="10"/>
  <c r="MI1499" i="10"/>
  <c r="MI1510" i="10"/>
  <c r="MI1497" i="10"/>
  <c r="MI1501" i="10"/>
  <c r="MI1507" i="10"/>
  <c r="AGN1520" i="10"/>
  <c r="AGN1523" i="10"/>
  <c r="AGN1524" i="10"/>
  <c r="AGN1526" i="10"/>
  <c r="AGN1528" i="10"/>
  <c r="AGN1532" i="10"/>
  <c r="AGN1531" i="10"/>
  <c r="AGN1533" i="10"/>
  <c r="AGN1515" i="10"/>
  <c r="AGN1521" i="10"/>
  <c r="AGN1527" i="10"/>
  <c r="AGN1519" i="10"/>
  <c r="AGN1525" i="10"/>
  <c r="AGN1516" i="10"/>
  <c r="AGN1518" i="10"/>
  <c r="AGN1529" i="10"/>
  <c r="AGN1522" i="10"/>
  <c r="AGN1530" i="10"/>
  <c r="AGN1517" i="10"/>
  <c r="AGN1514" i="10"/>
  <c r="GU1508" i="10"/>
  <c r="GU1506" i="10"/>
  <c r="GU1509" i="10"/>
  <c r="GU1510" i="10"/>
  <c r="GU1502" i="10"/>
  <c r="GU1503" i="10"/>
  <c r="GU1498" i="10"/>
  <c r="GU1499" i="10"/>
  <c r="GU1504" i="10"/>
  <c r="GU1501" i="10"/>
  <c r="GU1496" i="10"/>
  <c r="GU1493" i="10"/>
  <c r="GU1491" i="10"/>
  <c r="GU1505" i="10"/>
  <c r="GU1494" i="10"/>
  <c r="GU1492" i="10"/>
  <c r="GU1495" i="10"/>
  <c r="GU1500" i="10"/>
  <c r="GU1497" i="10"/>
  <c r="GU1507" i="10"/>
  <c r="ACV1518" i="10"/>
  <c r="ACV1517" i="10"/>
  <c r="ACV1519" i="10"/>
  <c r="ACV1522" i="10"/>
  <c r="ACV1526" i="10"/>
  <c r="ACV1525" i="10"/>
  <c r="ACV1523" i="10"/>
  <c r="ACV1524" i="10"/>
  <c r="ACV1528" i="10"/>
  <c r="ACV1527" i="10"/>
  <c r="ACV1531" i="10"/>
  <c r="ACV1529" i="10"/>
  <c r="ACV1521" i="10"/>
  <c r="ACV1532" i="10"/>
  <c r="ACV1530" i="10"/>
  <c r="ACV1533" i="10"/>
  <c r="ACV1520" i="10"/>
  <c r="ACV1514" i="10"/>
  <c r="ACV1516" i="10"/>
  <c r="ACV1515" i="10"/>
  <c r="BS1493" i="10"/>
  <c r="BS1492" i="10"/>
  <c r="BS1491" i="10"/>
  <c r="BS1494" i="10"/>
  <c r="BS1496" i="10"/>
  <c r="BS1495" i="10"/>
  <c r="BS1502" i="10"/>
  <c r="BS1498" i="10"/>
  <c r="BS1499" i="10"/>
  <c r="BS1497" i="10"/>
  <c r="BS1500" i="10"/>
  <c r="BS1506" i="10"/>
  <c r="BS1505" i="10"/>
  <c r="BS1504" i="10"/>
  <c r="BS1507" i="10"/>
  <c r="BS1503" i="10"/>
  <c r="BS1509" i="10"/>
  <c r="BS1508" i="10"/>
  <c r="BS1501" i="10"/>
  <c r="BS1510" i="10"/>
  <c r="MY1504" i="10"/>
  <c r="MY1502" i="10"/>
  <c r="MY1505" i="10"/>
  <c r="MY1503" i="10"/>
  <c r="MY1494" i="10"/>
  <c r="MY1510" i="10"/>
  <c r="MY1497" i="10"/>
  <c r="MY1492" i="10"/>
  <c r="MY1496" i="10"/>
  <c r="MY1501" i="10"/>
  <c r="MY1506" i="10"/>
  <c r="MY1507" i="10"/>
  <c r="MY1509" i="10"/>
  <c r="MY1491" i="10"/>
  <c r="MY1493" i="10"/>
  <c r="MY1508" i="10"/>
  <c r="MY1495" i="10"/>
  <c r="MY1499" i="10"/>
  <c r="MY1498" i="10"/>
  <c r="MY1500" i="10"/>
  <c r="AI1516" i="10"/>
  <c r="AI1515" i="10"/>
  <c r="AI1518" i="10"/>
  <c r="AI1514" i="10"/>
  <c r="AI1519" i="10"/>
  <c r="AI1517" i="10"/>
  <c r="AI1523" i="10"/>
  <c r="AI1520" i="10"/>
  <c r="AI1521" i="10"/>
  <c r="AI1522" i="10"/>
  <c r="AI1525" i="10"/>
  <c r="AI1527" i="10"/>
  <c r="AI1528" i="10"/>
  <c r="AI1529" i="10"/>
  <c r="AI1526" i="10"/>
  <c r="AI1530" i="10"/>
  <c r="AI1532" i="10"/>
  <c r="AI1531" i="10"/>
  <c r="AI1524" i="10"/>
  <c r="AI1533" i="10"/>
  <c r="HW1493" i="10"/>
  <c r="HW1492" i="10"/>
  <c r="HW1496" i="10"/>
  <c r="HW1498" i="10"/>
  <c r="HW1495" i="10"/>
  <c r="HW1497" i="10"/>
  <c r="HW1491" i="10"/>
  <c r="HW1494" i="10"/>
  <c r="HW1499" i="10"/>
  <c r="HW1500" i="10"/>
  <c r="HW1502" i="10"/>
  <c r="HW1501" i="10"/>
  <c r="HW1506" i="10"/>
  <c r="HW1507" i="10"/>
  <c r="HW1509" i="10"/>
  <c r="HW1505" i="10"/>
  <c r="HW1503" i="10"/>
  <c r="HW1508" i="10"/>
  <c r="HW1504" i="10"/>
  <c r="HW1510" i="10"/>
  <c r="ADO1503" i="10"/>
  <c r="ADO1501" i="10"/>
  <c r="ADO1502" i="10"/>
  <c r="ADO1496" i="10"/>
  <c r="ADO1509" i="10"/>
  <c r="ADO1505" i="10"/>
  <c r="ADO1507" i="10"/>
  <c r="ADO1500" i="10"/>
  <c r="ADO1491" i="10"/>
  <c r="ADO1495" i="10"/>
  <c r="ADO1494" i="10"/>
  <c r="ADO1510" i="10"/>
  <c r="ADO1504" i="10"/>
  <c r="ADO1497" i="10"/>
  <c r="ADO1492" i="10"/>
  <c r="ADO1493" i="10"/>
  <c r="ADO1506" i="10"/>
  <c r="ADO1508" i="10"/>
  <c r="ADO1499" i="10"/>
  <c r="ADO1498" i="10"/>
  <c r="GO1493" i="10"/>
  <c r="GO1492" i="10"/>
  <c r="GO1491" i="10"/>
  <c r="GO1495" i="10"/>
  <c r="GO1497" i="10"/>
  <c r="GO1496" i="10"/>
  <c r="GO1498" i="10"/>
  <c r="GO1494" i="10"/>
  <c r="GO1499" i="10"/>
  <c r="GO1501" i="10"/>
  <c r="GO1500" i="10"/>
  <c r="GO1507" i="10"/>
  <c r="GO1505" i="10"/>
  <c r="GO1506" i="10"/>
  <c r="GO1502" i="10"/>
  <c r="GO1504" i="10"/>
  <c r="GO1508" i="10"/>
  <c r="GO1509" i="10"/>
  <c r="GO1510" i="10"/>
  <c r="GO1503" i="10"/>
  <c r="ACP1517" i="10"/>
  <c r="ACP1516" i="10"/>
  <c r="ACP1518" i="10"/>
  <c r="ACP1515" i="10"/>
  <c r="ACP1514" i="10"/>
  <c r="ACP1521" i="10"/>
  <c r="ACP1520" i="10"/>
  <c r="ACP1523" i="10"/>
  <c r="ACP1519" i="10"/>
  <c r="ACP1524" i="10"/>
  <c r="ACP1527" i="10"/>
  <c r="ACP1528" i="10"/>
  <c r="ACP1526" i="10"/>
  <c r="ACP1525" i="10"/>
  <c r="ACP1529" i="10"/>
  <c r="ACP1530" i="10"/>
  <c r="ACP1532" i="10"/>
  <c r="ACP1531" i="10"/>
  <c r="ACP1522" i="10"/>
  <c r="ACP1533" i="10"/>
  <c r="BA1493" i="10"/>
  <c r="BA1492" i="10"/>
  <c r="BA1491" i="10"/>
  <c r="BA1494" i="10"/>
  <c r="BA1496" i="10"/>
  <c r="BA1495" i="10"/>
  <c r="BA1502" i="10"/>
  <c r="BA1497" i="10"/>
  <c r="BA1498" i="10"/>
  <c r="BA1499" i="10"/>
  <c r="BA1501" i="10"/>
  <c r="BA1506" i="10"/>
  <c r="BA1505" i="10"/>
  <c r="BA1504" i="10"/>
  <c r="BA1507" i="10"/>
  <c r="BA1500" i="10"/>
  <c r="BA1503" i="10"/>
  <c r="BA1509" i="10"/>
  <c r="BA1508" i="10"/>
  <c r="BA1510" i="10"/>
  <c r="MG1515" i="10"/>
  <c r="MG1514" i="10"/>
  <c r="MG1518" i="10"/>
  <c r="MG1517" i="10"/>
  <c r="MG1520" i="10"/>
  <c r="MG1519" i="10"/>
  <c r="MG1516" i="10"/>
  <c r="MG1522" i="10"/>
  <c r="MG1524" i="10"/>
  <c r="MG1525" i="10"/>
  <c r="MG1523" i="10"/>
  <c r="MG1521" i="10"/>
  <c r="MG1528" i="10"/>
  <c r="MG1529" i="10"/>
  <c r="MG1526" i="10"/>
  <c r="MG1531" i="10"/>
  <c r="MG1532" i="10"/>
  <c r="MG1530" i="10"/>
  <c r="MG1527" i="10"/>
  <c r="MG1533" i="10"/>
  <c r="XN1523" i="10"/>
  <c r="XN1517" i="10"/>
  <c r="XN1519" i="10"/>
  <c r="XN1520" i="10"/>
  <c r="XN1526" i="10"/>
  <c r="XN1527" i="10"/>
  <c r="XN1522" i="10"/>
  <c r="XN1529" i="10"/>
  <c r="XN1530" i="10"/>
  <c r="XN1531" i="10"/>
  <c r="XN1528" i="10"/>
  <c r="XN1532" i="10"/>
  <c r="XN1533" i="10"/>
  <c r="XN1518" i="10"/>
  <c r="XN1521" i="10"/>
  <c r="XN1516" i="10"/>
  <c r="XN1515" i="10"/>
  <c r="XN1514" i="10"/>
  <c r="XN1525" i="10"/>
  <c r="XN1524" i="10"/>
  <c r="ADZ1491" i="10"/>
  <c r="ADZ1492" i="10"/>
  <c r="ADZ1494" i="10"/>
  <c r="ADZ1493" i="10"/>
  <c r="ADZ1499" i="10"/>
  <c r="ADZ1495" i="10"/>
  <c r="ADZ1500" i="10"/>
  <c r="ADZ1496" i="10"/>
  <c r="ADZ1501" i="10"/>
  <c r="ADZ1498" i="10"/>
  <c r="ADZ1505" i="10"/>
  <c r="ADZ1504" i="10"/>
  <c r="ADZ1503" i="10"/>
  <c r="ADZ1506" i="10"/>
  <c r="ADZ1502" i="10"/>
  <c r="ADZ1508" i="10"/>
  <c r="ADZ1507" i="10"/>
  <c r="ADZ1497" i="10"/>
  <c r="ADZ1510" i="10"/>
  <c r="ADZ1509" i="10"/>
  <c r="XC1516" i="10"/>
  <c r="XC1520" i="10"/>
  <c r="XC1522" i="10"/>
  <c r="XC1515" i="10"/>
  <c r="XC1525" i="10"/>
  <c r="XC1528" i="10"/>
  <c r="XC1531" i="10"/>
  <c r="XC1529" i="10"/>
  <c r="XC1532" i="10"/>
  <c r="XC1530" i="10"/>
  <c r="XC1521" i="10"/>
  <c r="XC1533" i="10"/>
  <c r="XC1519" i="10"/>
  <c r="XC1518" i="10"/>
  <c r="XC1524" i="10"/>
  <c r="XC1526" i="10"/>
  <c r="XC1527" i="10"/>
  <c r="XC1523" i="10"/>
  <c r="XC1517" i="10"/>
  <c r="XC1514" i="10"/>
  <c r="AAO1492" i="10"/>
  <c r="AAO1491" i="10"/>
  <c r="AAO1493" i="10"/>
  <c r="AAO1496" i="10"/>
  <c r="AAO1495" i="10"/>
  <c r="AAO1497" i="10"/>
  <c r="AAO1501" i="10"/>
  <c r="AAO1494" i="10"/>
  <c r="AAO1498" i="10"/>
  <c r="AAO1499" i="10"/>
  <c r="AAO1500" i="10"/>
  <c r="AAO1507" i="10"/>
  <c r="AAO1505" i="10"/>
  <c r="AAO1504" i="10"/>
  <c r="AAO1503" i="10"/>
  <c r="AAO1506" i="10"/>
  <c r="AAO1502" i="10"/>
  <c r="AAO1509" i="10"/>
  <c r="AAO1508" i="10"/>
  <c r="AAO1510" i="10"/>
  <c r="RA1517" i="10"/>
  <c r="RA1514" i="10"/>
  <c r="RA1519" i="10"/>
  <c r="RA1516" i="10"/>
  <c r="RA1518" i="10"/>
  <c r="RA1520" i="10"/>
  <c r="RA1515" i="10"/>
  <c r="RA1524" i="10"/>
  <c r="RA1521" i="10"/>
  <c r="RA1522" i="10"/>
  <c r="RA1523" i="10"/>
  <c r="RA1525" i="10"/>
  <c r="RA1528" i="10"/>
  <c r="RA1530" i="10"/>
  <c r="RA1526" i="10"/>
  <c r="RA1529" i="10"/>
  <c r="RA1527" i="10"/>
  <c r="RA1531" i="10"/>
  <c r="RA1533" i="10"/>
  <c r="RA1532" i="10"/>
  <c r="BV1493" i="10"/>
  <c r="BV1491" i="10"/>
  <c r="BV1497" i="10"/>
  <c r="BV1499" i="10"/>
  <c r="BV1496" i="10"/>
  <c r="BV1498" i="10"/>
  <c r="BV1495" i="10"/>
  <c r="BV1494" i="10"/>
  <c r="BV1500" i="10"/>
  <c r="BV1502" i="10"/>
  <c r="BV1501" i="10"/>
  <c r="BV1492" i="10"/>
  <c r="BV1508" i="10"/>
  <c r="BV1506" i="10"/>
  <c r="BV1504" i="10"/>
  <c r="BV1507" i="10"/>
  <c r="BV1503" i="10"/>
  <c r="BV1509" i="10"/>
  <c r="BV1505" i="10"/>
  <c r="BV1510" i="10"/>
  <c r="SS1519" i="10"/>
  <c r="SS1533" i="10"/>
  <c r="SS1523" i="10"/>
  <c r="SS1531" i="10"/>
  <c r="SS1529" i="10"/>
  <c r="SS1521" i="10"/>
  <c r="SS1516" i="10"/>
  <c r="SS1520" i="10"/>
  <c r="SS1532" i="10"/>
  <c r="SS1524" i="10"/>
  <c r="SS1530" i="10"/>
  <c r="SS1525" i="10"/>
  <c r="SS1522" i="10"/>
  <c r="SS1527" i="10"/>
  <c r="SS1517" i="10"/>
  <c r="SS1526" i="10"/>
  <c r="SS1518" i="10"/>
  <c r="SS1514" i="10"/>
  <c r="SS1515" i="10"/>
  <c r="SS1528" i="10"/>
  <c r="YI1503" i="10"/>
  <c r="YI1502" i="10"/>
  <c r="YI1501" i="10"/>
  <c r="YI1504" i="10"/>
  <c r="YI1492" i="10"/>
  <c r="YI1505" i="10"/>
  <c r="YI1510" i="10"/>
  <c r="YI1507" i="10"/>
  <c r="YI1500" i="10"/>
  <c r="YI1495" i="10"/>
  <c r="YI1509" i="10"/>
  <c r="YI1498" i="10"/>
  <c r="YI1499" i="10"/>
  <c r="YI1496" i="10"/>
  <c r="YI1497" i="10"/>
  <c r="YI1506" i="10"/>
  <c r="YI1491" i="10"/>
  <c r="YI1494" i="10"/>
  <c r="YI1508" i="10"/>
  <c r="YI1493" i="10"/>
  <c r="LK1514" i="10"/>
  <c r="LK1516" i="10"/>
  <c r="LK1515" i="10"/>
  <c r="LK1518" i="10"/>
  <c r="LK1517" i="10"/>
  <c r="LK1519" i="10"/>
  <c r="LK1521" i="10"/>
  <c r="LK1523" i="10"/>
  <c r="LK1522" i="10"/>
  <c r="LK1520" i="10"/>
  <c r="LK1526" i="10"/>
  <c r="LK1528" i="10"/>
  <c r="LK1529" i="10"/>
  <c r="LK1525" i="10"/>
  <c r="LK1531" i="10"/>
  <c r="LK1532" i="10"/>
  <c r="LK1530" i="10"/>
  <c r="LK1524" i="10"/>
  <c r="LK1527" i="10"/>
  <c r="LK1533" i="10"/>
  <c r="FI1514" i="10"/>
  <c r="FI1515" i="10"/>
  <c r="FI1516" i="10"/>
  <c r="FI1517" i="10"/>
  <c r="FI1520" i="10"/>
  <c r="FI1519" i="10"/>
  <c r="FI1518" i="10"/>
  <c r="FI1523" i="10"/>
  <c r="FI1521" i="10"/>
  <c r="FI1526" i="10"/>
  <c r="FI1528" i="10"/>
  <c r="FI1527" i="10"/>
  <c r="FI1524" i="10"/>
  <c r="FI1525" i="10"/>
  <c r="FI1532" i="10"/>
  <c r="FI1531" i="10"/>
  <c r="FI1522" i="10"/>
  <c r="FI1533" i="10"/>
  <c r="FI1530" i="10"/>
  <c r="FI1529" i="10"/>
  <c r="MW1493" i="10"/>
  <c r="MW1492" i="10"/>
  <c r="MW1496" i="10"/>
  <c r="MW1498" i="10"/>
  <c r="MW1495" i="10"/>
  <c r="MW1497" i="10"/>
  <c r="MW1494" i="10"/>
  <c r="MW1491" i="10"/>
  <c r="MW1499" i="10"/>
  <c r="MW1500" i="10"/>
  <c r="MW1501" i="10"/>
  <c r="MW1507" i="10"/>
  <c r="MW1505" i="10"/>
  <c r="MW1503" i="10"/>
  <c r="MW1506" i="10"/>
  <c r="MW1508" i="10"/>
  <c r="MW1504" i="10"/>
  <c r="MW1509" i="10"/>
  <c r="MW1510" i="10"/>
  <c r="MW1502" i="10"/>
  <c r="HH1493" i="10"/>
  <c r="HH1492" i="10"/>
  <c r="HH1491" i="10"/>
  <c r="HH1494" i="10"/>
  <c r="HH1496" i="10"/>
  <c r="HH1495" i="10"/>
  <c r="HH1497" i="10"/>
  <c r="HH1502" i="10"/>
  <c r="HH1500" i="10"/>
  <c r="HH1498" i="10"/>
  <c r="HH1499" i="10"/>
  <c r="HH1507" i="10"/>
  <c r="HH1505" i="10"/>
  <c r="HH1504" i="10"/>
  <c r="HH1503" i="10"/>
  <c r="HH1506" i="10"/>
  <c r="HH1509" i="10"/>
  <c r="HH1510" i="10"/>
  <c r="HH1501" i="10"/>
  <c r="HH1508" i="10"/>
  <c r="ADE1527" i="10"/>
  <c r="ADE1526" i="10"/>
  <c r="ADE1531" i="10"/>
  <c r="ADE1533" i="10"/>
  <c r="ADE1515" i="10"/>
  <c r="ADE1518" i="10"/>
  <c r="ADE1517" i="10"/>
  <c r="ADE1529" i="10"/>
  <c r="ADE1532" i="10"/>
  <c r="ADE1514" i="10"/>
  <c r="ADE1516" i="10"/>
  <c r="ADE1522" i="10"/>
  <c r="ADE1524" i="10"/>
  <c r="ADE1528" i="10"/>
  <c r="ADE1525" i="10"/>
  <c r="ADE1521" i="10"/>
  <c r="ADE1520" i="10"/>
  <c r="ADE1523" i="10"/>
  <c r="ADE1530" i="10"/>
  <c r="ADE1519" i="10"/>
  <c r="CD1493" i="10"/>
  <c r="CD1492" i="10"/>
  <c r="CD1496" i="10"/>
  <c r="CD1498" i="10"/>
  <c r="CD1495" i="10"/>
  <c r="CD1491" i="10"/>
  <c r="CD1494" i="10"/>
  <c r="CD1497" i="10"/>
  <c r="CD1499" i="10"/>
  <c r="CD1502" i="10"/>
  <c r="CD1501" i="10"/>
  <c r="CD1508" i="10"/>
  <c r="CD1500" i="10"/>
  <c r="CD1506" i="10"/>
  <c r="CD1505" i="10"/>
  <c r="CD1503" i="10"/>
  <c r="CD1509" i="10"/>
  <c r="CD1507" i="10"/>
  <c r="CD1510" i="10"/>
  <c r="CD1504" i="10"/>
  <c r="YQ1533" i="10"/>
  <c r="YQ1515" i="10"/>
  <c r="YQ1525" i="10"/>
  <c r="YQ1520" i="10"/>
  <c r="YQ1517" i="10"/>
  <c r="YQ1527" i="10"/>
  <c r="YQ1519" i="10"/>
  <c r="YQ1524" i="10"/>
  <c r="YQ1530" i="10"/>
  <c r="YQ1514" i="10"/>
  <c r="YQ1526" i="10"/>
  <c r="YQ1516" i="10"/>
  <c r="YQ1523" i="10"/>
  <c r="YQ1528" i="10"/>
  <c r="YQ1529" i="10"/>
  <c r="YQ1521" i="10"/>
  <c r="YQ1522" i="10"/>
  <c r="YQ1531" i="10"/>
  <c r="YQ1518" i="10"/>
  <c r="YQ1532" i="10"/>
  <c r="II1514" i="10"/>
  <c r="II1515" i="10"/>
  <c r="II1517" i="10"/>
  <c r="II1518" i="10"/>
  <c r="II1519" i="10"/>
  <c r="II1521" i="10"/>
  <c r="II1522" i="10"/>
  <c r="II1524" i="10"/>
  <c r="II1525" i="10"/>
  <c r="II1520" i="10"/>
  <c r="II1523" i="10"/>
  <c r="II1529" i="10"/>
  <c r="II1527" i="10"/>
  <c r="II1516" i="10"/>
  <c r="II1526" i="10"/>
  <c r="II1528" i="10"/>
  <c r="II1530" i="10"/>
  <c r="II1533" i="10"/>
  <c r="II1531" i="10"/>
  <c r="II1532" i="10"/>
  <c r="TP1515" i="10"/>
  <c r="TP1516" i="10"/>
  <c r="TP1514" i="10"/>
  <c r="TP1517" i="10"/>
  <c r="TP1518" i="10"/>
  <c r="TP1521" i="10"/>
  <c r="TP1519" i="10"/>
  <c r="TP1520" i="10"/>
  <c r="TP1522" i="10"/>
  <c r="TP1524" i="10"/>
  <c r="TP1526" i="10"/>
  <c r="TP1523" i="10"/>
  <c r="TP1525" i="10"/>
  <c r="TP1530" i="10"/>
  <c r="TP1529" i="10"/>
  <c r="TP1531" i="10"/>
  <c r="TP1527" i="10"/>
  <c r="TP1533" i="10"/>
  <c r="TP1532" i="10"/>
  <c r="TP1528" i="10"/>
  <c r="AAW1492" i="10"/>
  <c r="AAW1491" i="10"/>
  <c r="AAW1494" i="10"/>
  <c r="AAW1500" i="10"/>
  <c r="AAW1493" i="10"/>
  <c r="AAW1495" i="10"/>
  <c r="AAW1498" i="10"/>
  <c r="AAW1497" i="10"/>
  <c r="AAW1501" i="10"/>
  <c r="AAW1496" i="10"/>
  <c r="AAW1499" i="10"/>
  <c r="AAW1505" i="10"/>
  <c r="AAW1504" i="10"/>
  <c r="AAW1503" i="10"/>
  <c r="AAW1506" i="10"/>
  <c r="AAW1508" i="10"/>
  <c r="AAW1502" i="10"/>
  <c r="AAW1509" i="10"/>
  <c r="AAW1507" i="10"/>
  <c r="AAW1510" i="10"/>
  <c r="OL1493" i="10"/>
  <c r="OL1492" i="10"/>
  <c r="OL1491" i="10"/>
  <c r="OL1495" i="10"/>
  <c r="OL1497" i="10"/>
  <c r="OL1496" i="10"/>
  <c r="OL1498" i="10"/>
  <c r="OL1500" i="10"/>
  <c r="OL1501" i="10"/>
  <c r="OL1499" i="10"/>
  <c r="OL1502" i="10"/>
  <c r="OL1509" i="10"/>
  <c r="OL1507" i="10"/>
  <c r="OL1505" i="10"/>
  <c r="OL1504" i="10"/>
  <c r="OL1508" i="10"/>
  <c r="OL1506" i="10"/>
  <c r="OL1494" i="10"/>
  <c r="OL1510" i="10"/>
  <c r="OL1503" i="10"/>
  <c r="BL1516" i="10"/>
  <c r="BL1515" i="10"/>
  <c r="BL1514" i="10"/>
  <c r="BL1517" i="10"/>
  <c r="BL1519" i="10"/>
  <c r="BL1520" i="10"/>
  <c r="BL1521" i="10"/>
  <c r="BL1522" i="10"/>
  <c r="BL1524" i="10"/>
  <c r="BL1525" i="10"/>
  <c r="BL1526" i="10"/>
  <c r="BL1527" i="10"/>
  <c r="BL1528" i="10"/>
  <c r="BL1518" i="10"/>
  <c r="BL1529" i="10"/>
  <c r="BL1533" i="10"/>
  <c r="BL1530" i="10"/>
  <c r="BL1532" i="10"/>
  <c r="BL1523" i="10"/>
  <c r="BL1531" i="10"/>
  <c r="JA1493" i="10"/>
  <c r="JA1492" i="10"/>
  <c r="JA1491" i="10"/>
  <c r="JA1494" i="10"/>
  <c r="JA1496" i="10"/>
  <c r="JA1495" i="10"/>
  <c r="JA1497" i="10"/>
  <c r="JA1502" i="10"/>
  <c r="JA1500" i="10"/>
  <c r="JA1499" i="10"/>
  <c r="JA1498" i="10"/>
  <c r="JA1507" i="10"/>
  <c r="JA1505" i="10"/>
  <c r="JA1506" i="10"/>
  <c r="JA1504" i="10"/>
  <c r="JA1503" i="10"/>
  <c r="JA1508" i="10"/>
  <c r="JA1510" i="10"/>
  <c r="JA1509" i="10"/>
  <c r="JA1501" i="10"/>
  <c r="UG1493" i="10"/>
  <c r="UG1492" i="10"/>
  <c r="UG1496" i="10"/>
  <c r="UG1498" i="10"/>
  <c r="UG1491" i="10"/>
  <c r="UG1495" i="10"/>
  <c r="UG1497" i="10"/>
  <c r="UG1494" i="10"/>
  <c r="UG1499" i="10"/>
  <c r="UG1501" i="10"/>
  <c r="UG1507" i="10"/>
  <c r="UG1502" i="10"/>
  <c r="UG1505" i="10"/>
  <c r="UG1503" i="10"/>
  <c r="UG1506" i="10"/>
  <c r="UG1508" i="10"/>
  <c r="UG1504" i="10"/>
  <c r="UG1509" i="10"/>
  <c r="UG1510" i="10"/>
  <c r="UG1500" i="10"/>
  <c r="AEH1526" i="10"/>
  <c r="AEH1523" i="10"/>
  <c r="AEH1518" i="10"/>
  <c r="AEH1516" i="10"/>
  <c r="AEH1531" i="10"/>
  <c r="AEH1521" i="10"/>
  <c r="AEH1532" i="10"/>
  <c r="AEH1524" i="10"/>
  <c r="AEH1533" i="10"/>
  <c r="AEH1527" i="10"/>
  <c r="AEH1515" i="10"/>
  <c r="AEH1520" i="10"/>
  <c r="AEH1517" i="10"/>
  <c r="AEH1525" i="10"/>
  <c r="AEH1528" i="10"/>
  <c r="AEH1530" i="10"/>
  <c r="AEH1514" i="10"/>
  <c r="AEH1519" i="10"/>
  <c r="AEH1529" i="10"/>
  <c r="AEH1522" i="10"/>
  <c r="UE1493" i="10"/>
  <c r="UE1492" i="10"/>
  <c r="UE1491" i="10"/>
  <c r="UE1494" i="10"/>
  <c r="UE1496" i="10"/>
  <c r="UE1495" i="10"/>
  <c r="UE1497" i="10"/>
  <c r="UE1500" i="10"/>
  <c r="UE1498" i="10"/>
  <c r="UE1499" i="10"/>
  <c r="UE1507" i="10"/>
  <c r="UE1502" i="10"/>
  <c r="UE1505" i="10"/>
  <c r="UE1504" i="10"/>
  <c r="UE1501" i="10"/>
  <c r="UE1503" i="10"/>
  <c r="UE1506" i="10"/>
  <c r="UE1509" i="10"/>
  <c r="UE1510" i="10"/>
  <c r="UE1508" i="10"/>
  <c r="KL1533" i="10"/>
  <c r="KL1531" i="10"/>
  <c r="KL1529" i="10"/>
  <c r="KL1524" i="10"/>
  <c r="KL1522" i="10"/>
  <c r="KL1527" i="10"/>
  <c r="KL1526" i="10"/>
  <c r="KL1521" i="10"/>
  <c r="KL1520" i="10"/>
  <c r="KL1516" i="10"/>
  <c r="KL1530" i="10"/>
  <c r="KL1532" i="10"/>
  <c r="KL1518" i="10"/>
  <c r="KL1528" i="10"/>
  <c r="KL1525" i="10"/>
  <c r="KL1517" i="10"/>
  <c r="KL1515" i="10"/>
  <c r="KL1523" i="10"/>
  <c r="KL1514" i="10"/>
  <c r="KL1519" i="10"/>
  <c r="PY1491" i="10"/>
  <c r="PY1493" i="10"/>
  <c r="PY1492" i="10"/>
  <c r="PY1494" i="10"/>
  <c r="PY1499" i="10"/>
  <c r="PY1495" i="10"/>
  <c r="PY1498" i="10"/>
  <c r="PY1497" i="10"/>
  <c r="PY1500" i="10"/>
  <c r="PY1496" i="10"/>
  <c r="PY1501" i="10"/>
  <c r="PY1505" i="10"/>
  <c r="PY1504" i="10"/>
  <c r="PY1502" i="10"/>
  <c r="PY1503" i="10"/>
  <c r="PY1506" i="10"/>
  <c r="PY1508" i="10"/>
  <c r="PY1507" i="10"/>
  <c r="PY1510" i="10"/>
  <c r="PY1509" i="10"/>
  <c r="JV1530" i="10"/>
  <c r="JV1515" i="10"/>
  <c r="JV1524" i="10"/>
  <c r="JV1517" i="10"/>
  <c r="JV1527" i="10"/>
  <c r="JV1518" i="10"/>
  <c r="JV1516" i="10"/>
  <c r="JV1528" i="10"/>
  <c r="JV1522" i="10"/>
  <c r="JV1526" i="10"/>
  <c r="JV1525" i="10"/>
  <c r="JV1532" i="10"/>
  <c r="JV1529" i="10"/>
  <c r="JV1519" i="10"/>
  <c r="JV1514" i="10"/>
  <c r="JV1533" i="10"/>
  <c r="JV1531" i="10"/>
  <c r="JV1521" i="10"/>
  <c r="JV1520" i="10"/>
  <c r="JV1523" i="10"/>
  <c r="PC1503" i="10"/>
  <c r="PC1502" i="10"/>
  <c r="PC1497" i="10"/>
  <c r="PC1499" i="10"/>
  <c r="PC1492" i="10"/>
  <c r="PC1504" i="10"/>
  <c r="PC1498" i="10"/>
  <c r="PC1508" i="10"/>
  <c r="PC1500" i="10"/>
  <c r="PC1510" i="10"/>
  <c r="PC1495" i="10"/>
  <c r="PC1501" i="10"/>
  <c r="PC1506" i="10"/>
  <c r="PC1496" i="10"/>
  <c r="PC1507" i="10"/>
  <c r="PC1491" i="10"/>
  <c r="PC1494" i="10"/>
  <c r="PC1505" i="10"/>
  <c r="PC1509" i="10"/>
  <c r="PC1493" i="10"/>
  <c r="FA1492" i="10"/>
  <c r="FA1491" i="10"/>
  <c r="FA1494" i="10"/>
  <c r="FA1499" i="10"/>
  <c r="FA1496" i="10"/>
  <c r="FA1498" i="10"/>
  <c r="FA1493" i="10"/>
  <c r="FA1497" i="10"/>
  <c r="FA1495" i="10"/>
  <c r="FA1501" i="10"/>
  <c r="FA1504" i="10"/>
  <c r="FA1508" i="10"/>
  <c r="FA1503" i="10"/>
  <c r="FA1506" i="10"/>
  <c r="FA1507" i="10"/>
  <c r="FA1500" i="10"/>
  <c r="FA1505" i="10"/>
  <c r="FA1510" i="10"/>
  <c r="FA1509" i="10"/>
  <c r="FA1502" i="10"/>
  <c r="NL1524" i="10"/>
  <c r="NL1525" i="10"/>
  <c r="NL1528" i="10"/>
  <c r="NL1530" i="10"/>
  <c r="NL1527" i="10"/>
  <c r="NL1533" i="10"/>
  <c r="NL1526" i="10"/>
  <c r="NL1531" i="10"/>
  <c r="NL1532" i="10"/>
  <c r="NL1529" i="10"/>
  <c r="NL1518" i="10"/>
  <c r="NL1517" i="10"/>
  <c r="NL1514" i="10"/>
  <c r="NL1516" i="10"/>
  <c r="NL1515" i="10"/>
  <c r="NL1519" i="10"/>
  <c r="NL1522" i="10"/>
  <c r="NL1521" i="10"/>
  <c r="NL1523" i="10"/>
  <c r="NL1520" i="10"/>
  <c r="TB1493" i="10"/>
  <c r="TB1492" i="10"/>
  <c r="TB1496" i="10"/>
  <c r="TB1498" i="10"/>
  <c r="TB1495" i="10"/>
  <c r="TB1497" i="10"/>
  <c r="TB1491" i="10"/>
  <c r="TB1494" i="10"/>
  <c r="TB1500" i="10"/>
  <c r="TB1501" i="10"/>
  <c r="TB1508" i="10"/>
  <c r="TB1502" i="10"/>
  <c r="TB1509" i="10"/>
  <c r="TB1499" i="10"/>
  <c r="TB1507" i="10"/>
  <c r="TB1504" i="10"/>
  <c r="TB1503" i="10"/>
  <c r="TB1506" i="10"/>
  <c r="TB1505" i="10"/>
  <c r="TB1510" i="10"/>
  <c r="GD1514" i="10"/>
  <c r="GD1515" i="10"/>
  <c r="GD1516" i="10"/>
  <c r="GD1520" i="10"/>
  <c r="GD1519" i="10"/>
  <c r="GD1517" i="10"/>
  <c r="GD1518" i="10"/>
  <c r="GD1521" i="10"/>
  <c r="GD1527" i="10"/>
  <c r="GD1522" i="10"/>
  <c r="GD1526" i="10"/>
  <c r="GD1523" i="10"/>
  <c r="GD1525" i="10"/>
  <c r="GD1524" i="10"/>
  <c r="GD1529" i="10"/>
  <c r="GD1533" i="10"/>
  <c r="GD1528" i="10"/>
  <c r="GD1530" i="10"/>
  <c r="GD1531" i="10"/>
  <c r="GD1532" i="10"/>
  <c r="LU1491" i="10"/>
  <c r="LU1494" i="10"/>
  <c r="LU1499" i="10"/>
  <c r="LU1493" i="10"/>
  <c r="LU1496" i="10"/>
  <c r="LU1498" i="10"/>
  <c r="LU1495" i="10"/>
  <c r="LU1497" i="10"/>
  <c r="LU1492" i="10"/>
  <c r="LU1500" i="10"/>
  <c r="LU1502" i="10"/>
  <c r="LU1503" i="10"/>
  <c r="LU1506" i="10"/>
  <c r="LU1508" i="10"/>
  <c r="LU1509" i="10"/>
  <c r="LU1507" i="10"/>
  <c r="LU1501" i="10"/>
  <c r="LU1505" i="10"/>
  <c r="LU1504" i="10"/>
  <c r="LU1510" i="10"/>
  <c r="ACG1525" i="10"/>
  <c r="ACG1526" i="10"/>
  <c r="ACG1532" i="10"/>
  <c r="ACG1533" i="10"/>
  <c r="ACG1521" i="10"/>
  <c r="ACG1519" i="10"/>
  <c r="ACG1516" i="10"/>
  <c r="ACG1527" i="10"/>
  <c r="ACG1515" i="10"/>
  <c r="ACG1530" i="10"/>
  <c r="ACG1518" i="10"/>
  <c r="ACG1524" i="10"/>
  <c r="ACG1531" i="10"/>
  <c r="ACG1520" i="10"/>
  <c r="ACG1517" i="10"/>
  <c r="ACG1528" i="10"/>
  <c r="ACG1523" i="10"/>
  <c r="ACG1529" i="10"/>
  <c r="ACG1522" i="10"/>
  <c r="ACG1514" i="10"/>
  <c r="FV1491" i="10"/>
  <c r="FV1494" i="10"/>
  <c r="FV1498" i="10"/>
  <c r="FV1493" i="10"/>
  <c r="FV1499" i="10"/>
  <c r="FV1496" i="10"/>
  <c r="FV1495" i="10"/>
  <c r="FV1497" i="10"/>
  <c r="FV1502" i="10"/>
  <c r="FV1503" i="10"/>
  <c r="FV1508" i="10"/>
  <c r="FV1500" i="10"/>
  <c r="FV1506" i="10"/>
  <c r="FV1507" i="10"/>
  <c r="FV1505" i="10"/>
  <c r="FV1509" i="10"/>
  <c r="FV1492" i="10"/>
  <c r="FV1504" i="10"/>
  <c r="FV1510" i="10"/>
  <c r="FV1501" i="10"/>
  <c r="RC1491" i="10"/>
  <c r="RC1494" i="10"/>
  <c r="RC1496" i="10"/>
  <c r="RC1498" i="10"/>
  <c r="RC1495" i="10"/>
  <c r="RC1497" i="10"/>
  <c r="RC1493" i="10"/>
  <c r="RC1492" i="10"/>
  <c r="RC1500" i="10"/>
  <c r="RC1499" i="10"/>
  <c r="RC1503" i="10"/>
  <c r="RC1506" i="10"/>
  <c r="RC1508" i="10"/>
  <c r="RC1501" i="10"/>
  <c r="RC1509" i="10"/>
  <c r="RC1502" i="10"/>
  <c r="RC1507" i="10"/>
  <c r="RC1505" i="10"/>
  <c r="RC1504" i="10"/>
  <c r="RC1510" i="10"/>
  <c r="ABZ1515" i="10"/>
  <c r="ABZ1519" i="10"/>
  <c r="ABZ1517" i="10"/>
  <c r="ABZ1518" i="10"/>
  <c r="ABZ1523" i="10"/>
  <c r="ABZ1524" i="10"/>
  <c r="ABZ1520" i="10"/>
  <c r="ABZ1522" i="10"/>
  <c r="ABZ1525" i="10"/>
  <c r="ABZ1521" i="10"/>
  <c r="ABZ1526" i="10"/>
  <c r="ABZ1530" i="10"/>
  <c r="ABZ1529" i="10"/>
  <c r="ABZ1532" i="10"/>
  <c r="ABZ1527" i="10"/>
  <c r="ABZ1528" i="10"/>
  <c r="ABZ1531" i="10"/>
  <c r="ABZ1533" i="10"/>
  <c r="ABZ1516" i="10"/>
  <c r="ABZ1514" i="10"/>
  <c r="AG1493" i="10"/>
  <c r="AG1492" i="10"/>
  <c r="AG1491" i="10"/>
  <c r="AG1494" i="10"/>
  <c r="AG1496" i="10"/>
  <c r="AG1495" i="10"/>
  <c r="AG1502" i="10"/>
  <c r="AG1498" i="10"/>
  <c r="AG1499" i="10"/>
  <c r="AG1500" i="10"/>
  <c r="AG1506" i="10"/>
  <c r="AG1505" i="10"/>
  <c r="AG1497" i="10"/>
  <c r="AG1504" i="10"/>
  <c r="AG1507" i="10"/>
  <c r="AG1503" i="10"/>
  <c r="AG1509" i="10"/>
  <c r="AG1508" i="10"/>
  <c r="AG1510" i="10"/>
  <c r="AG1501" i="10"/>
  <c r="WT1521" i="10"/>
  <c r="WT1515" i="10"/>
  <c r="WT1514" i="10"/>
  <c r="WT1519" i="10"/>
  <c r="WT1524" i="10"/>
  <c r="WT1527" i="10"/>
  <c r="WT1528" i="10"/>
  <c r="WT1526" i="10"/>
  <c r="WT1525" i="10"/>
  <c r="WT1531" i="10"/>
  <c r="WT1533" i="10"/>
  <c r="WT1530" i="10"/>
  <c r="WT1523" i="10"/>
  <c r="WT1532" i="10"/>
  <c r="WT1529" i="10"/>
  <c r="WT1516" i="10"/>
  <c r="WT1517" i="10"/>
  <c r="WT1518" i="10"/>
  <c r="WT1522" i="10"/>
  <c r="WT1520" i="10"/>
  <c r="ADM1493" i="10"/>
  <c r="ADM1496" i="10"/>
  <c r="ADM1498" i="10"/>
  <c r="ADM1495" i="10"/>
  <c r="ADM1497" i="10"/>
  <c r="ADM1492" i="10"/>
  <c r="ADM1494" i="10"/>
  <c r="ADM1500" i="10"/>
  <c r="ADM1501" i="10"/>
  <c r="ADM1491" i="10"/>
  <c r="ADM1499" i="10"/>
  <c r="ADM1508" i="10"/>
  <c r="ADM1509" i="10"/>
  <c r="ADM1507" i="10"/>
  <c r="ADM1504" i="10"/>
  <c r="ADM1502" i="10"/>
  <c r="ADM1503" i="10"/>
  <c r="ADM1506" i="10"/>
  <c r="ADM1510" i="10"/>
  <c r="ADM1505" i="10"/>
  <c r="RQ1524" i="10"/>
  <c r="RQ1522" i="10"/>
  <c r="RQ1518" i="10"/>
  <c r="RQ1531" i="10"/>
  <c r="RQ1525" i="10"/>
  <c r="RQ1520" i="10"/>
  <c r="RQ1514" i="10"/>
  <c r="RQ1517" i="10"/>
  <c r="RQ1530" i="10"/>
  <c r="RQ1516" i="10"/>
  <c r="RQ1528" i="10"/>
  <c r="RQ1532" i="10"/>
  <c r="RQ1523" i="10"/>
  <c r="RQ1521" i="10"/>
  <c r="RQ1533" i="10"/>
  <c r="RQ1529" i="10"/>
  <c r="RQ1526" i="10"/>
  <c r="RQ1519" i="10"/>
  <c r="RQ1515" i="10"/>
  <c r="RQ1527" i="10"/>
  <c r="ZE1493" i="10"/>
  <c r="ZE1492" i="10"/>
  <c r="ZE1496" i="10"/>
  <c r="ZE1498" i="10"/>
  <c r="ZE1495" i="10"/>
  <c r="ZE1497" i="10"/>
  <c r="ZE1491" i="10"/>
  <c r="ZE1494" i="10"/>
  <c r="ZE1499" i="10"/>
  <c r="ZE1501" i="10"/>
  <c r="ZE1500" i="10"/>
  <c r="ZE1507" i="10"/>
  <c r="ZE1502" i="10"/>
  <c r="ZE1505" i="10"/>
  <c r="ZE1503" i="10"/>
  <c r="ZE1506" i="10"/>
  <c r="ZE1508" i="10"/>
  <c r="ZE1509" i="10"/>
  <c r="ZE1510" i="10"/>
  <c r="ZE1504" i="10"/>
  <c r="BI1514" i="10"/>
  <c r="BI1515" i="10"/>
  <c r="BI1516" i="10"/>
  <c r="BI1517" i="10"/>
  <c r="BI1519" i="10"/>
  <c r="BI1518" i="10"/>
  <c r="BI1520" i="10"/>
  <c r="BI1525" i="10"/>
  <c r="BI1523" i="10"/>
  <c r="BI1521" i="10"/>
  <c r="BI1522" i="10"/>
  <c r="BI1524" i="10"/>
  <c r="BI1529" i="10"/>
  <c r="BI1527" i="10"/>
  <c r="BI1528" i="10"/>
  <c r="BI1526" i="10"/>
  <c r="BI1532" i="10"/>
  <c r="BI1531" i="10"/>
  <c r="BI1533" i="10"/>
  <c r="BI1530" i="10"/>
  <c r="MO1516" i="10"/>
  <c r="MO1517" i="10"/>
  <c r="MO1515" i="10"/>
  <c r="MO1514" i="10"/>
  <c r="MO1519" i="10"/>
  <c r="MO1521" i="10"/>
  <c r="MO1525" i="10"/>
  <c r="MO1520" i="10"/>
  <c r="MO1518" i="10"/>
  <c r="MO1526" i="10"/>
  <c r="MO1522" i="10"/>
  <c r="MO1523" i="10"/>
  <c r="MO1527" i="10"/>
  <c r="MO1528" i="10"/>
  <c r="MO1524" i="10"/>
  <c r="MO1533" i="10"/>
  <c r="MO1529" i="10"/>
  <c r="MO1531" i="10"/>
  <c r="MO1532" i="10"/>
  <c r="MO1530" i="10"/>
  <c r="UA1503" i="10"/>
  <c r="UA1502" i="10"/>
  <c r="UA1491" i="10"/>
  <c r="UA1501" i="10"/>
  <c r="UA1495" i="10"/>
  <c r="UA1494" i="10"/>
  <c r="UA1504" i="10"/>
  <c r="UA1497" i="10"/>
  <c r="UA1499" i="10"/>
  <c r="UA1500" i="10"/>
  <c r="UA1505" i="10"/>
  <c r="UA1510" i="10"/>
  <c r="UA1498" i="10"/>
  <c r="UA1506" i="10"/>
  <c r="UA1496" i="10"/>
  <c r="UA1507" i="10"/>
  <c r="UA1493" i="10"/>
  <c r="UA1492" i="10"/>
  <c r="UA1508" i="10"/>
  <c r="UA1509" i="10"/>
  <c r="AEE1503" i="10"/>
  <c r="AEE1501" i="10"/>
  <c r="AEE1502" i="10"/>
  <c r="AEE1505" i="10"/>
  <c r="AEE1498" i="10"/>
  <c r="AEE1508" i="10"/>
  <c r="AEE1510" i="10"/>
  <c r="AEE1493" i="10"/>
  <c r="AEE1509" i="10"/>
  <c r="AEE1495" i="10"/>
  <c r="AEE1499" i="10"/>
  <c r="AEE1506" i="10"/>
  <c r="AEE1496" i="10"/>
  <c r="AEE1500" i="10"/>
  <c r="AEE1497" i="10"/>
  <c r="AEE1507" i="10"/>
  <c r="AEE1492" i="10"/>
  <c r="AEE1491" i="10"/>
  <c r="AEE1504" i="10"/>
  <c r="AEE1494" i="10"/>
  <c r="SR1531" i="10"/>
  <c r="SR1525" i="10"/>
  <c r="SR1527" i="10"/>
  <c r="SR1518" i="10"/>
  <c r="SR1519" i="10"/>
  <c r="SR1515" i="10"/>
  <c r="SR1533" i="10"/>
  <c r="SR1530" i="10"/>
  <c r="SR1523" i="10"/>
  <c r="SR1529" i="10"/>
  <c r="SR1528" i="10"/>
  <c r="SR1517" i="10"/>
  <c r="SR1522" i="10"/>
  <c r="SR1532" i="10"/>
  <c r="SR1521" i="10"/>
  <c r="SR1526" i="10"/>
  <c r="SR1514" i="10"/>
  <c r="SR1520" i="10"/>
  <c r="SR1524" i="10"/>
  <c r="SR1516" i="10"/>
  <c r="AAD1492" i="10"/>
  <c r="AAD1491" i="10"/>
  <c r="AAD1493" i="10"/>
  <c r="AAD1494" i="10"/>
  <c r="AAD1500" i="10"/>
  <c r="AAD1495" i="10"/>
  <c r="AAD1501" i="10"/>
  <c r="AAD1498" i="10"/>
  <c r="AAD1499" i="10"/>
  <c r="AAD1497" i="10"/>
  <c r="AAD1496" i="10"/>
  <c r="AAD1505" i="10"/>
  <c r="AAD1504" i="10"/>
  <c r="AAD1503" i="10"/>
  <c r="AAD1506" i="10"/>
  <c r="AAD1502" i="10"/>
  <c r="AAD1508" i="10"/>
  <c r="AAD1509" i="10"/>
  <c r="AAD1507" i="10"/>
  <c r="AAD1510" i="10"/>
  <c r="BZ1514" i="10"/>
  <c r="BZ1515" i="10"/>
  <c r="BZ1517" i="10"/>
  <c r="BZ1516" i="10"/>
  <c r="BZ1518" i="10"/>
  <c r="BZ1520" i="10"/>
  <c r="BZ1519" i="10"/>
  <c r="BZ1525" i="10"/>
  <c r="BZ1521" i="10"/>
  <c r="BZ1522" i="10"/>
  <c r="BZ1523" i="10"/>
  <c r="BZ1524" i="10"/>
  <c r="BZ1526" i="10"/>
  <c r="BZ1529" i="10"/>
  <c r="BZ1527" i="10"/>
  <c r="BZ1528" i="10"/>
  <c r="BZ1532" i="10"/>
  <c r="BZ1531" i="10"/>
  <c r="BZ1530" i="10"/>
  <c r="BZ1533" i="10"/>
  <c r="NF1514" i="10"/>
  <c r="NF1515" i="10"/>
  <c r="NF1517" i="10"/>
  <c r="NF1519" i="10"/>
  <c r="NF1518" i="10"/>
  <c r="NF1524" i="10"/>
  <c r="NF1520" i="10"/>
  <c r="NF1522" i="10"/>
  <c r="NF1523" i="10"/>
  <c r="NF1526" i="10"/>
  <c r="NF1527" i="10"/>
  <c r="NF1516" i="10"/>
  <c r="NF1528" i="10"/>
  <c r="NF1529" i="10"/>
  <c r="NF1525" i="10"/>
  <c r="NF1531" i="10"/>
  <c r="NF1532" i="10"/>
  <c r="NF1521" i="10"/>
  <c r="NF1533" i="10"/>
  <c r="NF1530" i="10"/>
  <c r="US1493" i="10"/>
  <c r="US1492" i="10"/>
  <c r="US1496" i="10"/>
  <c r="US1498" i="10"/>
  <c r="US1495" i="10"/>
  <c r="US1497" i="10"/>
  <c r="US1491" i="10"/>
  <c r="US1494" i="10"/>
  <c r="US1499" i="10"/>
  <c r="US1501" i="10"/>
  <c r="US1500" i="10"/>
  <c r="US1507" i="10"/>
  <c r="US1505" i="10"/>
  <c r="US1502" i="10"/>
  <c r="US1503" i="10"/>
  <c r="US1506" i="10"/>
  <c r="US1508" i="10"/>
  <c r="US1509" i="10"/>
  <c r="US1504" i="10"/>
  <c r="US1510" i="10"/>
  <c r="DH1514" i="10"/>
  <c r="DH1515" i="10"/>
  <c r="DH1519" i="10"/>
  <c r="DH1518" i="10"/>
  <c r="DH1520" i="10"/>
  <c r="DH1516" i="10"/>
  <c r="DH1522" i="10"/>
  <c r="DH1523" i="10"/>
  <c r="DH1525" i="10"/>
  <c r="DH1526" i="10"/>
  <c r="DH1528" i="10"/>
  <c r="DH1527" i="10"/>
  <c r="DH1517" i="10"/>
  <c r="DH1529" i="10"/>
  <c r="DH1521" i="10"/>
  <c r="DH1533" i="10"/>
  <c r="DH1530" i="10"/>
  <c r="DH1532" i="10"/>
  <c r="DH1531" i="10"/>
  <c r="DH1524" i="10"/>
  <c r="IO1493" i="10"/>
  <c r="IO1492" i="10"/>
  <c r="IO1491" i="10"/>
  <c r="IO1494" i="10"/>
  <c r="IO1496" i="10"/>
  <c r="IO1495" i="10"/>
  <c r="IO1497" i="10"/>
  <c r="IO1502" i="10"/>
  <c r="IO1499" i="10"/>
  <c r="IO1498" i="10"/>
  <c r="IO1500" i="10"/>
  <c r="IO1506" i="10"/>
  <c r="IO1507" i="10"/>
  <c r="IO1505" i="10"/>
  <c r="IO1501" i="10"/>
  <c r="IO1504" i="10"/>
  <c r="IO1509" i="10"/>
  <c r="IO1503" i="10"/>
  <c r="IO1510" i="10"/>
  <c r="IO1508" i="10"/>
  <c r="AGE1492" i="10"/>
  <c r="AGE1491" i="10"/>
  <c r="AGE1496" i="10"/>
  <c r="AGE1494" i="10"/>
  <c r="AGE1495" i="10"/>
  <c r="AGE1497" i="10"/>
  <c r="AGE1501" i="10"/>
  <c r="AGE1500" i="10"/>
  <c r="AGE1498" i="10"/>
  <c r="AGE1499" i="10"/>
  <c r="AGE1493" i="10"/>
  <c r="AGE1507" i="10"/>
  <c r="AGE1505" i="10"/>
  <c r="AGE1504" i="10"/>
  <c r="AGE1502" i="10"/>
  <c r="AGE1503" i="10"/>
  <c r="AGE1506" i="10"/>
  <c r="AGE1510" i="10"/>
  <c r="AGE1509" i="10"/>
  <c r="AGE1508" i="10"/>
  <c r="HZ1492" i="10"/>
  <c r="HZ1491" i="10"/>
  <c r="HZ1494" i="10"/>
  <c r="HZ1499" i="10"/>
  <c r="HZ1496" i="10"/>
  <c r="HZ1498" i="10"/>
  <c r="HZ1493" i="10"/>
  <c r="HZ1497" i="10"/>
  <c r="HZ1495" i="10"/>
  <c r="HZ1500" i="10"/>
  <c r="HZ1501" i="10"/>
  <c r="HZ1504" i="10"/>
  <c r="HZ1503" i="10"/>
  <c r="HZ1502" i="10"/>
  <c r="HZ1508" i="10"/>
  <c r="HZ1506" i="10"/>
  <c r="HZ1509" i="10"/>
  <c r="HZ1505" i="10"/>
  <c r="HZ1510" i="10"/>
  <c r="HZ1507" i="10"/>
  <c r="R1528" i="10"/>
  <c r="R1529" i="10"/>
  <c r="R1517" i="10"/>
  <c r="R1520" i="10"/>
  <c r="R1527" i="10"/>
  <c r="R1516" i="10"/>
  <c r="R1532" i="10"/>
  <c r="R1514" i="10"/>
  <c r="R1525" i="10"/>
  <c r="R1522" i="10"/>
  <c r="R1519" i="10"/>
  <c r="R1524" i="10"/>
  <c r="R1515" i="10"/>
  <c r="R1523" i="10"/>
  <c r="R1530" i="10"/>
  <c r="R1518" i="10"/>
  <c r="R1521" i="10"/>
  <c r="R1533" i="10"/>
  <c r="R1526" i="10"/>
  <c r="R1531" i="10"/>
  <c r="IE1516" i="10"/>
  <c r="IE1527" i="10"/>
  <c r="IE1514" i="10"/>
  <c r="IE1529" i="10"/>
  <c r="IE1532" i="10"/>
  <c r="IE1523" i="10"/>
  <c r="IE1518" i="10"/>
  <c r="IE1519" i="10"/>
  <c r="IE1521" i="10"/>
  <c r="IE1522" i="10"/>
  <c r="IE1520" i="10"/>
  <c r="IE1528" i="10"/>
  <c r="IE1526" i="10"/>
  <c r="IE1531" i="10"/>
  <c r="IE1530" i="10"/>
  <c r="IE1533" i="10"/>
  <c r="IE1515" i="10"/>
  <c r="IE1517" i="10"/>
  <c r="IE1524" i="10"/>
  <c r="IE1525" i="10"/>
  <c r="NU1491" i="10"/>
  <c r="NU1494" i="10"/>
  <c r="NU1496" i="10"/>
  <c r="NU1498" i="10"/>
  <c r="NU1492" i="10"/>
  <c r="NU1495" i="10"/>
  <c r="NU1497" i="10"/>
  <c r="NU1493" i="10"/>
  <c r="NU1499" i="10"/>
  <c r="NU1500" i="10"/>
  <c r="NU1503" i="10"/>
  <c r="NU1506" i="10"/>
  <c r="NU1501" i="10"/>
  <c r="NU1502" i="10"/>
  <c r="NU1508" i="10"/>
  <c r="NU1509" i="10"/>
  <c r="NU1507" i="10"/>
  <c r="NU1505" i="10"/>
  <c r="NU1504" i="10"/>
  <c r="NU1510" i="10"/>
  <c r="GM1508" i="10"/>
  <c r="GM1506" i="10"/>
  <c r="GM1510" i="10"/>
  <c r="GM1509" i="10"/>
  <c r="GM1495" i="10"/>
  <c r="GM1492" i="10"/>
  <c r="GM1505" i="10"/>
  <c r="GM1500" i="10"/>
  <c r="GM1497" i="10"/>
  <c r="GM1507" i="10"/>
  <c r="GM1494" i="10"/>
  <c r="GM1501" i="10"/>
  <c r="GM1504" i="10"/>
  <c r="GM1498" i="10"/>
  <c r="GM1491" i="10"/>
  <c r="GM1496" i="10"/>
  <c r="GM1499" i="10"/>
  <c r="GM1503" i="10"/>
  <c r="GM1502" i="10"/>
  <c r="GM1493" i="10"/>
  <c r="XJ1517" i="10"/>
  <c r="XJ1515" i="10"/>
  <c r="XJ1514" i="10"/>
  <c r="XJ1523" i="10"/>
  <c r="XJ1516" i="10"/>
  <c r="XJ1519" i="10"/>
  <c r="XJ1522" i="10"/>
  <c r="XJ1520" i="10"/>
  <c r="XJ1524" i="10"/>
  <c r="XJ1521" i="10"/>
  <c r="XJ1527" i="10"/>
  <c r="XJ1528" i="10"/>
  <c r="XJ1526" i="10"/>
  <c r="XJ1518" i="10"/>
  <c r="XJ1525" i="10"/>
  <c r="XJ1530" i="10"/>
  <c r="XJ1529" i="10"/>
  <c r="XJ1533" i="10"/>
  <c r="XJ1531" i="10"/>
  <c r="XJ1532" i="10"/>
  <c r="ACO1491" i="10"/>
  <c r="ACO1492" i="10"/>
  <c r="ACO1494" i="10"/>
  <c r="ACO1493" i="10"/>
  <c r="ACO1499" i="10"/>
  <c r="ACO1497" i="10"/>
  <c r="ACO1498" i="10"/>
  <c r="ACO1500" i="10"/>
  <c r="ACO1501" i="10"/>
  <c r="ACO1496" i="10"/>
  <c r="ACO1495" i="10"/>
  <c r="ACO1505" i="10"/>
  <c r="ACO1504" i="10"/>
  <c r="ACO1503" i="10"/>
  <c r="ACO1506" i="10"/>
  <c r="ACO1508" i="10"/>
  <c r="ACO1507" i="10"/>
  <c r="ACO1502" i="10"/>
  <c r="ACO1510" i="10"/>
  <c r="ACO1509" i="10"/>
  <c r="VI1515" i="10"/>
  <c r="VI1514" i="10"/>
  <c r="VI1516" i="10"/>
  <c r="VI1520" i="10"/>
  <c r="VI1517" i="10"/>
  <c r="VI1519" i="10"/>
  <c r="VI1521" i="10"/>
  <c r="VI1522" i="10"/>
  <c r="VI1523" i="10"/>
  <c r="VI1524" i="10"/>
  <c r="VI1526" i="10"/>
  <c r="VI1527" i="10"/>
  <c r="VI1528" i="10"/>
  <c r="VI1531" i="10"/>
  <c r="VI1529" i="10"/>
  <c r="VI1525" i="10"/>
  <c r="VI1530" i="10"/>
  <c r="VI1532" i="10"/>
  <c r="VI1533" i="10"/>
  <c r="VI1518" i="10"/>
  <c r="PS1516" i="10"/>
  <c r="PS1514" i="10"/>
  <c r="PS1518" i="10"/>
  <c r="PS1515" i="10"/>
  <c r="PS1517" i="10"/>
  <c r="PS1520" i="10"/>
  <c r="PS1521" i="10"/>
  <c r="PS1519" i="10"/>
  <c r="PS1524" i="10"/>
  <c r="PS1526" i="10"/>
  <c r="PS1527" i="10"/>
  <c r="PS1523" i="10"/>
  <c r="PS1522" i="10"/>
  <c r="PS1525" i="10"/>
  <c r="PS1531" i="10"/>
  <c r="PS1532" i="10"/>
  <c r="PS1529" i="10"/>
  <c r="PS1530" i="10"/>
  <c r="PS1533" i="10"/>
  <c r="PS1528" i="10"/>
  <c r="XF1493" i="10"/>
  <c r="XF1491" i="10"/>
  <c r="XF1496" i="10"/>
  <c r="XF1498" i="10"/>
  <c r="XF1495" i="10"/>
  <c r="XF1497" i="10"/>
  <c r="XF1492" i="10"/>
  <c r="XF1494" i="10"/>
  <c r="XF1500" i="10"/>
  <c r="XF1501" i="10"/>
  <c r="XF1499" i="10"/>
  <c r="XF1508" i="10"/>
  <c r="XF1509" i="10"/>
  <c r="XF1507" i="10"/>
  <c r="XF1504" i="10"/>
  <c r="XF1502" i="10"/>
  <c r="XF1503" i="10"/>
  <c r="XF1506" i="10"/>
  <c r="XF1510" i="10"/>
  <c r="XF1505" i="10"/>
  <c r="AGG1492" i="10"/>
  <c r="AGG1496" i="10"/>
  <c r="AGG1498" i="10"/>
  <c r="AGG1494" i="10"/>
  <c r="AGG1495" i="10"/>
  <c r="AGG1497" i="10"/>
  <c r="AGG1491" i="10"/>
  <c r="AGG1493" i="10"/>
  <c r="AGG1499" i="10"/>
  <c r="AGG1501" i="10"/>
  <c r="AGG1500" i="10"/>
  <c r="AGG1507" i="10"/>
  <c r="AGG1505" i="10"/>
  <c r="AGG1502" i="10"/>
  <c r="AGG1503" i="10"/>
  <c r="AGG1506" i="10"/>
  <c r="AGG1508" i="10"/>
  <c r="AGG1504" i="10"/>
  <c r="AGG1509" i="10"/>
  <c r="AGG1510" i="10"/>
  <c r="VV1516" i="10"/>
  <c r="VV1524" i="10"/>
  <c r="VV1533" i="10"/>
  <c r="VV1523" i="10"/>
  <c r="VV1517" i="10"/>
  <c r="VV1515" i="10"/>
  <c r="VV1527" i="10"/>
  <c r="VV1518" i="10"/>
  <c r="VV1529" i="10"/>
  <c r="VV1521" i="10"/>
  <c r="VV1528" i="10"/>
  <c r="VV1526" i="10"/>
  <c r="VV1530" i="10"/>
  <c r="VV1525" i="10"/>
  <c r="VV1532" i="10"/>
  <c r="VV1519" i="10"/>
  <c r="VV1520" i="10"/>
  <c r="VV1531" i="10"/>
  <c r="VV1522" i="10"/>
  <c r="VV1514" i="10"/>
  <c r="ACX1491" i="10"/>
  <c r="ACX1492" i="10"/>
  <c r="ACX1494" i="10"/>
  <c r="ACX1493" i="10"/>
  <c r="ACX1499" i="10"/>
  <c r="ACX1496" i="10"/>
  <c r="ACX1495" i="10"/>
  <c r="ACX1497" i="10"/>
  <c r="ACX1498" i="10"/>
  <c r="ACX1501" i="10"/>
  <c r="ACX1500" i="10"/>
  <c r="ACX1502" i="10"/>
  <c r="ACX1505" i="10"/>
  <c r="ACX1504" i="10"/>
  <c r="ACX1503" i="10"/>
  <c r="ACX1506" i="10"/>
  <c r="ACX1508" i="10"/>
  <c r="ACX1507" i="10"/>
  <c r="ACX1510" i="10"/>
  <c r="ACX1509" i="10"/>
  <c r="QU1526" i="10"/>
  <c r="QU1533" i="10"/>
  <c r="QU1518" i="10"/>
  <c r="QU1531" i="10"/>
  <c r="QU1520" i="10"/>
  <c r="QU1516" i="10"/>
  <c r="QU1523" i="10"/>
  <c r="QU1530" i="10"/>
  <c r="QU1515" i="10"/>
  <c r="QU1525" i="10"/>
  <c r="QU1527" i="10"/>
  <c r="QU1519" i="10"/>
  <c r="QU1517" i="10"/>
  <c r="QU1528" i="10"/>
  <c r="QU1514" i="10"/>
  <c r="QU1532" i="10"/>
  <c r="QU1522" i="10"/>
  <c r="QU1521" i="10"/>
  <c r="QU1524" i="10"/>
  <c r="QU1529" i="10"/>
  <c r="YG1492" i="10"/>
  <c r="YG1491" i="10"/>
  <c r="YG1493" i="10"/>
  <c r="YG1494" i="10"/>
  <c r="YG1496" i="10"/>
  <c r="YG1495" i="10"/>
  <c r="YG1497" i="10"/>
  <c r="YG1498" i="10"/>
  <c r="YG1501" i="10"/>
  <c r="YG1499" i="10"/>
  <c r="YG1507" i="10"/>
  <c r="YG1505" i="10"/>
  <c r="YG1504" i="10"/>
  <c r="YG1503" i="10"/>
  <c r="YG1506" i="10"/>
  <c r="YG1500" i="10"/>
  <c r="YG1502" i="10"/>
  <c r="YG1509" i="10"/>
  <c r="YG1510" i="10"/>
  <c r="YG1508" i="10"/>
  <c r="LQ1493" i="10"/>
  <c r="LQ1492" i="10"/>
  <c r="LQ1491" i="10"/>
  <c r="LQ1496" i="10"/>
  <c r="LQ1498" i="10"/>
  <c r="LQ1495" i="10"/>
  <c r="LQ1497" i="10"/>
  <c r="LQ1494" i="10"/>
  <c r="LQ1499" i="10"/>
  <c r="LQ1501" i="10"/>
  <c r="LQ1500" i="10"/>
  <c r="LQ1507" i="10"/>
  <c r="LQ1505" i="10"/>
  <c r="LQ1502" i="10"/>
  <c r="LQ1503" i="10"/>
  <c r="LQ1506" i="10"/>
  <c r="LQ1508" i="10"/>
  <c r="LQ1509" i="10"/>
  <c r="LQ1504" i="10"/>
  <c r="LQ1510" i="10"/>
  <c r="AGB1524" i="10"/>
  <c r="AGB1530" i="10"/>
  <c r="AGB1531" i="10"/>
  <c r="AGB1521" i="10"/>
  <c r="AGB1529" i="10"/>
  <c r="AGB1522" i="10"/>
  <c r="AGB1533" i="10"/>
  <c r="AGB1518" i="10"/>
  <c r="AGB1523" i="10"/>
  <c r="AGB1514" i="10"/>
  <c r="AGB1526" i="10"/>
  <c r="AGB1517" i="10"/>
  <c r="AGB1516" i="10"/>
  <c r="AGB1525" i="10"/>
  <c r="AGB1520" i="10"/>
  <c r="AGB1515" i="10"/>
  <c r="AGB1519" i="10"/>
  <c r="AGB1528" i="10"/>
  <c r="AGB1527" i="10"/>
  <c r="AGB1532" i="10"/>
  <c r="GE1508" i="10"/>
  <c r="GE1498" i="10"/>
  <c r="GE1506" i="10"/>
  <c r="GE1509" i="10"/>
  <c r="GE1510" i="10"/>
  <c r="GE1499" i="10"/>
  <c r="GE1504" i="10"/>
  <c r="GE1495" i="10"/>
  <c r="GE1492" i="10"/>
  <c r="GE1493" i="10"/>
  <c r="GE1497" i="10"/>
  <c r="GE1507" i="10"/>
  <c r="GE1501" i="10"/>
  <c r="GE1500" i="10"/>
  <c r="GE1491" i="10"/>
  <c r="GE1496" i="10"/>
  <c r="GE1494" i="10"/>
  <c r="GE1505" i="10"/>
  <c r="GE1503" i="10"/>
  <c r="GE1502" i="10"/>
  <c r="RL1493" i="10"/>
  <c r="RL1496" i="10"/>
  <c r="RL1498" i="10"/>
  <c r="RL1491" i="10"/>
  <c r="RL1495" i="10"/>
  <c r="RL1497" i="10"/>
  <c r="RL1492" i="10"/>
  <c r="RL1494" i="10"/>
  <c r="RL1500" i="10"/>
  <c r="RL1499" i="10"/>
  <c r="RL1501" i="10"/>
  <c r="RL1508" i="10"/>
  <c r="RL1509" i="10"/>
  <c r="RL1507" i="10"/>
  <c r="RL1502" i="10"/>
  <c r="RL1504" i="10"/>
  <c r="RL1503" i="10"/>
  <c r="RL1506" i="10"/>
  <c r="RL1505" i="10"/>
  <c r="RL1510" i="10"/>
  <c r="ACH1514" i="10"/>
  <c r="ACH1516" i="10"/>
  <c r="ACH1517" i="10"/>
  <c r="ACH1519" i="10"/>
  <c r="ACH1520" i="10"/>
  <c r="ACH1521" i="10"/>
  <c r="ACH1522" i="10"/>
  <c r="ACH1524" i="10"/>
  <c r="ACH1523" i="10"/>
  <c r="ACH1528" i="10"/>
  <c r="ACH1526" i="10"/>
  <c r="ACH1527" i="10"/>
  <c r="ACH1531" i="10"/>
  <c r="ACH1525" i="10"/>
  <c r="ACH1529" i="10"/>
  <c r="ACH1532" i="10"/>
  <c r="ACH1530" i="10"/>
  <c r="ACH1533" i="10"/>
  <c r="ACH1518" i="10"/>
  <c r="ACH1515" i="10"/>
  <c r="AEG1491" i="10"/>
  <c r="AEG1492" i="10"/>
  <c r="AEG1494" i="10"/>
  <c r="AEG1493" i="10"/>
  <c r="AEG1496" i="10"/>
  <c r="AEG1498" i="10"/>
  <c r="AEG1495" i="10"/>
  <c r="AEG1497" i="10"/>
  <c r="AEG1500" i="10"/>
  <c r="AEG1501" i="10"/>
  <c r="AEG1503" i="10"/>
  <c r="AEG1506" i="10"/>
  <c r="AEG1499" i="10"/>
  <c r="AEG1502" i="10"/>
  <c r="AEG1507" i="10"/>
  <c r="AEG1505" i="10"/>
  <c r="AEG1504" i="10"/>
  <c r="AEG1508" i="10"/>
  <c r="AEG1509" i="10"/>
  <c r="AEG1510" i="10"/>
  <c r="MF1518" i="10"/>
  <c r="MF1514" i="10"/>
  <c r="MF1515" i="10"/>
  <c r="MF1517" i="10"/>
  <c r="MF1519" i="10"/>
  <c r="MF1520" i="10"/>
  <c r="MF1516" i="10"/>
  <c r="MF1523" i="10"/>
  <c r="MF1522" i="10"/>
  <c r="MF1524" i="10"/>
  <c r="MF1526" i="10"/>
  <c r="MF1521" i="10"/>
  <c r="MF1528" i="10"/>
  <c r="MF1530" i="10"/>
  <c r="MF1527" i="10"/>
  <c r="MF1533" i="10"/>
  <c r="MF1525" i="10"/>
  <c r="MF1529" i="10"/>
  <c r="MF1531" i="10"/>
  <c r="MF1532" i="10"/>
  <c r="RM1491" i="10"/>
  <c r="RM1492" i="10"/>
  <c r="RM1494" i="10"/>
  <c r="RM1496" i="10"/>
  <c r="RM1498" i="10"/>
  <c r="RM1495" i="10"/>
  <c r="RM1497" i="10"/>
  <c r="RM1493" i="10"/>
  <c r="RM1499" i="10"/>
  <c r="RM1500" i="10"/>
  <c r="RM1503" i="10"/>
  <c r="RM1506" i="10"/>
  <c r="RM1508" i="10"/>
  <c r="RM1509" i="10"/>
  <c r="RM1507" i="10"/>
  <c r="RM1505" i="10"/>
  <c r="RM1504" i="10"/>
  <c r="RM1501" i="10"/>
  <c r="RM1510" i="10"/>
  <c r="RM1502" i="10"/>
  <c r="TG1526" i="10"/>
  <c r="TG1533" i="10"/>
  <c r="TG1518" i="10"/>
  <c r="TG1531" i="10"/>
  <c r="TG1519" i="10"/>
  <c r="TG1516" i="10"/>
  <c r="TG1523" i="10"/>
  <c r="TG1530" i="10"/>
  <c r="TG1515" i="10"/>
  <c r="TG1525" i="10"/>
  <c r="TG1527" i="10"/>
  <c r="TG1521" i="10"/>
  <c r="TG1517" i="10"/>
  <c r="TG1528" i="10"/>
  <c r="TG1514" i="10"/>
  <c r="TG1520" i="10"/>
  <c r="TG1522" i="10"/>
  <c r="TG1532" i="10"/>
  <c r="TG1524" i="10"/>
  <c r="TG1529" i="10"/>
  <c r="YN1492" i="10"/>
  <c r="YN1491" i="10"/>
  <c r="YN1494" i="10"/>
  <c r="YN1496" i="10"/>
  <c r="YN1498" i="10"/>
  <c r="YN1493" i="10"/>
  <c r="YN1495" i="10"/>
  <c r="YN1497" i="10"/>
  <c r="YN1499" i="10"/>
  <c r="YN1500" i="10"/>
  <c r="YN1501" i="10"/>
  <c r="YN1504" i="10"/>
  <c r="YN1503" i="10"/>
  <c r="YN1506" i="10"/>
  <c r="YN1508" i="10"/>
  <c r="YN1509" i="10"/>
  <c r="YN1505" i="10"/>
  <c r="YN1502" i="10"/>
  <c r="YN1507" i="10"/>
  <c r="YN1510" i="10"/>
  <c r="LR1518" i="10"/>
  <c r="LR1514" i="10"/>
  <c r="LR1515" i="10"/>
  <c r="LR1516" i="10"/>
  <c r="LR1519" i="10"/>
  <c r="LR1520" i="10"/>
  <c r="LR1522" i="10"/>
  <c r="LR1524" i="10"/>
  <c r="LR1525" i="10"/>
  <c r="LR1527" i="10"/>
  <c r="LR1523" i="10"/>
  <c r="LR1526" i="10"/>
  <c r="LR1528" i="10"/>
  <c r="LR1530" i="10"/>
  <c r="LR1533" i="10"/>
  <c r="LR1529" i="10"/>
  <c r="LR1517" i="10"/>
  <c r="LR1532" i="10"/>
  <c r="LR1521" i="10"/>
  <c r="LR1531" i="10"/>
  <c r="RI1493" i="10"/>
  <c r="RI1492" i="10"/>
  <c r="RI1491" i="10"/>
  <c r="RI1494" i="10"/>
  <c r="RI1496" i="10"/>
  <c r="RI1495" i="10"/>
  <c r="RI1497" i="10"/>
  <c r="RI1498" i="10"/>
  <c r="RI1500" i="10"/>
  <c r="RI1507" i="10"/>
  <c r="RI1502" i="10"/>
  <c r="RI1505" i="10"/>
  <c r="RI1504" i="10"/>
  <c r="RI1499" i="10"/>
  <c r="RI1501" i="10"/>
  <c r="RI1503" i="10"/>
  <c r="RI1506" i="10"/>
  <c r="RI1509" i="10"/>
  <c r="RI1510" i="10"/>
  <c r="RI1508" i="10"/>
  <c r="EK1517" i="10"/>
  <c r="EK1514" i="10"/>
  <c r="EK1520" i="10"/>
  <c r="EK1518" i="10"/>
  <c r="EK1519" i="10"/>
  <c r="EK1515" i="10"/>
  <c r="EK1522" i="10"/>
  <c r="EK1521" i="10"/>
  <c r="EK1525" i="10"/>
  <c r="EK1523" i="10"/>
  <c r="EK1524" i="10"/>
  <c r="EK1516" i="10"/>
  <c r="EK1526" i="10"/>
  <c r="EK1527" i="10"/>
  <c r="EK1528" i="10"/>
  <c r="EK1533" i="10"/>
  <c r="EK1530" i="10"/>
  <c r="EK1529" i="10"/>
  <c r="EK1532" i="10"/>
  <c r="EK1531" i="10"/>
  <c r="KA1506" i="10"/>
  <c r="KA1495" i="10"/>
  <c r="KA1504" i="10"/>
  <c r="KA1500" i="10"/>
  <c r="KA1502" i="10"/>
  <c r="KA1499" i="10"/>
  <c r="KA1498" i="10"/>
  <c r="KA1501" i="10"/>
  <c r="KA1492" i="10"/>
  <c r="KA1503" i="10"/>
  <c r="KA1508" i="10"/>
  <c r="KA1505" i="10"/>
  <c r="KA1510" i="10"/>
  <c r="KA1496" i="10"/>
  <c r="KA1497" i="10"/>
  <c r="KA1509" i="10"/>
  <c r="KA1491" i="10"/>
  <c r="KA1493" i="10"/>
  <c r="KA1494" i="10"/>
  <c r="KA1507" i="10"/>
  <c r="AAS1521" i="10"/>
  <c r="AAS1528" i="10"/>
  <c r="AAS1530" i="10"/>
  <c r="AAS1533" i="10"/>
  <c r="AAS1519" i="10"/>
  <c r="AAS1515" i="10"/>
  <c r="AAS1522" i="10"/>
  <c r="AAS1525" i="10"/>
  <c r="AAS1529" i="10"/>
  <c r="AAS1532" i="10"/>
  <c r="AAS1527" i="10"/>
  <c r="AAS1526" i="10"/>
  <c r="AAS1524" i="10"/>
  <c r="AAS1517" i="10"/>
  <c r="AAS1516" i="10"/>
  <c r="AAS1531" i="10"/>
  <c r="AAS1520" i="10"/>
  <c r="AAS1518" i="10"/>
  <c r="AAS1514" i="10"/>
  <c r="AAS1523" i="10"/>
  <c r="DM1491" i="10"/>
  <c r="DM1493" i="10"/>
  <c r="DM1492" i="10"/>
  <c r="DM1494" i="10"/>
  <c r="DM1497" i="10"/>
  <c r="DM1499" i="10"/>
  <c r="DM1498" i="10"/>
  <c r="DM1496" i="10"/>
  <c r="DM1500" i="10"/>
  <c r="DM1501" i="10"/>
  <c r="DM1505" i="10"/>
  <c r="DM1504" i="10"/>
  <c r="DM1507" i="10"/>
  <c r="DM1495" i="10"/>
  <c r="DM1503" i="10"/>
  <c r="DM1509" i="10"/>
  <c r="DM1502" i="10"/>
  <c r="DM1506" i="10"/>
  <c r="DM1510" i="10"/>
  <c r="DM1508" i="10"/>
  <c r="ZX1521" i="10"/>
  <c r="ZX1523" i="10"/>
  <c r="ZX1524" i="10"/>
  <c r="ZX1525" i="10"/>
  <c r="ZX1514" i="10"/>
  <c r="ZX1528" i="10"/>
  <c r="ZX1518" i="10"/>
  <c r="ZX1517" i="10"/>
  <c r="ZX1529" i="10"/>
  <c r="ZX1520" i="10"/>
  <c r="ZX1526" i="10"/>
  <c r="ZX1515" i="10"/>
  <c r="ZX1519" i="10"/>
  <c r="ZX1522" i="10"/>
  <c r="ZX1532" i="10"/>
  <c r="ZX1527" i="10"/>
  <c r="ZX1533" i="10"/>
  <c r="ZX1530" i="10"/>
  <c r="ZX1531" i="10"/>
  <c r="ZX1516" i="10"/>
  <c r="AFP1493" i="10"/>
  <c r="AFP1494" i="10"/>
  <c r="AFP1492" i="10"/>
  <c r="AFP1496" i="10"/>
  <c r="AFP1498" i="10"/>
  <c r="AFP1491" i="10"/>
  <c r="AFP1495" i="10"/>
  <c r="AFP1497" i="10"/>
  <c r="AFP1499" i="10"/>
  <c r="AFP1508" i="10"/>
  <c r="AFP1501" i="10"/>
  <c r="AFP1509" i="10"/>
  <c r="AFP1500" i="10"/>
  <c r="AFP1507" i="10"/>
  <c r="AFP1504" i="10"/>
  <c r="AFP1503" i="10"/>
  <c r="AFP1506" i="10"/>
  <c r="AFP1510" i="10"/>
  <c r="AFP1502" i="10"/>
  <c r="AFP1505" i="10"/>
  <c r="JD1515" i="10"/>
  <c r="JD1516" i="10"/>
  <c r="JD1518" i="10"/>
  <c r="JD1517" i="10"/>
  <c r="JD1520" i="10"/>
  <c r="JD1514" i="10"/>
  <c r="JD1519" i="10"/>
  <c r="JD1523" i="10"/>
  <c r="JD1521" i="10"/>
  <c r="JD1522" i="10"/>
  <c r="JD1524" i="10"/>
  <c r="JD1525" i="10"/>
  <c r="JD1527" i="10"/>
  <c r="JD1528" i="10"/>
  <c r="JD1526" i="10"/>
  <c r="JD1529" i="10"/>
  <c r="JD1531" i="10"/>
  <c r="JD1532" i="10"/>
  <c r="JD1530" i="10"/>
  <c r="JD1533" i="10"/>
  <c r="UK1514" i="10"/>
  <c r="UK1515" i="10"/>
  <c r="UK1516" i="10"/>
  <c r="UK1518" i="10"/>
  <c r="UK1519" i="10"/>
  <c r="UK1524" i="10"/>
  <c r="UK1520" i="10"/>
  <c r="UK1517" i="10"/>
  <c r="UK1521" i="10"/>
  <c r="UK1522" i="10"/>
  <c r="UK1523" i="10"/>
  <c r="UK1528" i="10"/>
  <c r="UK1525" i="10"/>
  <c r="UK1527" i="10"/>
  <c r="UK1526" i="10"/>
  <c r="UK1531" i="10"/>
  <c r="UK1532" i="10"/>
  <c r="UK1529" i="10"/>
  <c r="UK1530" i="10"/>
  <c r="UK1533" i="10"/>
  <c r="EC1514" i="10"/>
  <c r="EC1515" i="10"/>
  <c r="EC1516" i="10"/>
  <c r="EC1518" i="10"/>
  <c r="EC1519" i="10"/>
  <c r="EC1520" i="10"/>
  <c r="EC1517" i="10"/>
  <c r="EC1523" i="10"/>
  <c r="EC1522" i="10"/>
  <c r="EC1528" i="10"/>
  <c r="EC1526" i="10"/>
  <c r="EC1527" i="10"/>
  <c r="EC1525" i="10"/>
  <c r="EC1524" i="10"/>
  <c r="EC1521" i="10"/>
  <c r="EC1533" i="10"/>
  <c r="EC1531" i="10"/>
  <c r="EC1529" i="10"/>
  <c r="EC1530" i="10"/>
  <c r="EC1532" i="10"/>
  <c r="PI1514" i="10"/>
  <c r="PI1517" i="10"/>
  <c r="PI1518" i="10"/>
  <c r="PI1515" i="10"/>
  <c r="PI1519" i="10"/>
  <c r="PI1516" i="10"/>
  <c r="PI1521" i="10"/>
  <c r="PI1520" i="10"/>
  <c r="PI1524" i="10"/>
  <c r="PI1526" i="10"/>
  <c r="PI1525" i="10"/>
  <c r="PI1527" i="10"/>
  <c r="PI1522" i="10"/>
  <c r="PI1529" i="10"/>
  <c r="PI1531" i="10"/>
  <c r="PI1532" i="10"/>
  <c r="PI1528" i="10"/>
  <c r="PI1530" i="10"/>
  <c r="PI1523" i="10"/>
  <c r="PI1533" i="10"/>
  <c r="WU1503" i="10"/>
  <c r="WU1501" i="10"/>
  <c r="WU1502" i="10"/>
  <c r="WU1505" i="10"/>
  <c r="WU1491" i="10"/>
  <c r="WU1510" i="10"/>
  <c r="WU1495" i="10"/>
  <c r="WU1494" i="10"/>
  <c r="WU1497" i="10"/>
  <c r="WU1499" i="10"/>
  <c r="WU1498" i="10"/>
  <c r="WU1506" i="10"/>
  <c r="WU1496" i="10"/>
  <c r="WU1508" i="10"/>
  <c r="WU1507" i="10"/>
  <c r="WU1492" i="10"/>
  <c r="WU1504" i="10"/>
  <c r="WU1493" i="10"/>
  <c r="WU1509" i="10"/>
  <c r="WU1500" i="10"/>
  <c r="GL1493" i="10"/>
  <c r="GL1492" i="10"/>
  <c r="GL1491" i="10"/>
  <c r="GL1494" i="10"/>
  <c r="GL1496" i="10"/>
  <c r="GL1495" i="10"/>
  <c r="GL1497" i="10"/>
  <c r="GL1499" i="10"/>
  <c r="GL1502" i="10"/>
  <c r="GL1498" i="10"/>
  <c r="GL1500" i="10"/>
  <c r="GL1501" i="10"/>
  <c r="GL1507" i="10"/>
  <c r="GL1506" i="10"/>
  <c r="GL1505" i="10"/>
  <c r="GL1504" i="10"/>
  <c r="GL1503" i="10"/>
  <c r="GL1509" i="10"/>
  <c r="GL1508" i="10"/>
  <c r="GL1510" i="10"/>
  <c r="QK1517" i="10"/>
  <c r="QK1515" i="10"/>
  <c r="QK1519" i="10"/>
  <c r="QK1520" i="10"/>
  <c r="QK1518" i="10"/>
  <c r="QK1514" i="10"/>
  <c r="QK1524" i="10"/>
  <c r="QK1516" i="10"/>
  <c r="QK1521" i="10"/>
  <c r="QK1522" i="10"/>
  <c r="QK1523" i="10"/>
  <c r="QK1525" i="10"/>
  <c r="QK1526" i="10"/>
  <c r="QK1528" i="10"/>
  <c r="QK1529" i="10"/>
  <c r="QK1532" i="10"/>
  <c r="QK1527" i="10"/>
  <c r="QK1530" i="10"/>
  <c r="QK1531" i="10"/>
  <c r="QK1533" i="10"/>
  <c r="XW1492" i="10"/>
  <c r="XW1491" i="10"/>
  <c r="XW1494" i="10"/>
  <c r="XW1493" i="10"/>
  <c r="XW1496" i="10"/>
  <c r="XW1495" i="10"/>
  <c r="XW1497" i="10"/>
  <c r="XW1498" i="10"/>
  <c r="XW1501" i="10"/>
  <c r="XW1500" i="10"/>
  <c r="XW1499" i="10"/>
  <c r="XW1507" i="10"/>
  <c r="XW1505" i="10"/>
  <c r="XW1504" i="10"/>
  <c r="XW1503" i="10"/>
  <c r="XW1506" i="10"/>
  <c r="XW1502" i="10"/>
  <c r="XW1509" i="10"/>
  <c r="XW1508" i="10"/>
  <c r="XW1510" i="10"/>
  <c r="SI1491" i="10"/>
  <c r="SI1494" i="10"/>
  <c r="SI1496" i="10"/>
  <c r="SI1498" i="10"/>
  <c r="SI1495" i="10"/>
  <c r="SI1497" i="10"/>
  <c r="SI1492" i="10"/>
  <c r="SI1500" i="10"/>
  <c r="SI1499" i="10"/>
  <c r="SI1502" i="10"/>
  <c r="SI1503" i="10"/>
  <c r="SI1506" i="10"/>
  <c r="SI1501" i="10"/>
  <c r="SI1508" i="10"/>
  <c r="SI1509" i="10"/>
  <c r="SI1507" i="10"/>
  <c r="SI1493" i="10"/>
  <c r="SI1505" i="10"/>
  <c r="SI1504" i="10"/>
  <c r="SI1510" i="10"/>
  <c r="CY1522" i="10"/>
  <c r="CY1519" i="10"/>
  <c r="CY1520" i="10"/>
  <c r="CY1523" i="10"/>
  <c r="CY1524" i="10"/>
  <c r="CY1526" i="10"/>
  <c r="CY1525" i="10"/>
  <c r="CY1527" i="10"/>
  <c r="CY1528" i="10"/>
  <c r="CY1529" i="10"/>
  <c r="CY1533" i="10"/>
  <c r="CY1530" i="10"/>
  <c r="CY1531" i="10"/>
  <c r="CY1532" i="10"/>
  <c r="CY1516" i="10"/>
  <c r="CY1518" i="10"/>
  <c r="CY1515" i="10"/>
  <c r="CY1514" i="10"/>
  <c r="CY1517" i="10"/>
  <c r="CY1521" i="10"/>
  <c r="IL1492" i="10"/>
  <c r="IL1491" i="10"/>
  <c r="IL1494" i="10"/>
  <c r="IL1499" i="10"/>
  <c r="IL1496" i="10"/>
  <c r="IL1498" i="10"/>
  <c r="IL1493" i="10"/>
  <c r="IL1500" i="10"/>
  <c r="IL1497" i="10"/>
  <c r="IL1501" i="10"/>
  <c r="IL1495" i="10"/>
  <c r="IL1502" i="10"/>
  <c r="IL1504" i="10"/>
  <c r="IL1509" i="10"/>
  <c r="IL1503" i="10"/>
  <c r="IL1508" i="10"/>
  <c r="IL1505" i="10"/>
  <c r="IL1506" i="10"/>
  <c r="IL1510" i="10"/>
  <c r="IL1507" i="10"/>
  <c r="AEW1492" i="10"/>
  <c r="AEW1496" i="10"/>
  <c r="AEW1498" i="10"/>
  <c r="AEW1495" i="10"/>
  <c r="AEW1497" i="10"/>
  <c r="AEW1494" i="10"/>
  <c r="AEW1493" i="10"/>
  <c r="AEW1499" i="10"/>
  <c r="AEW1500" i="10"/>
  <c r="AEW1501" i="10"/>
  <c r="AEW1491" i="10"/>
  <c r="AEW1502" i="10"/>
  <c r="AEW1507" i="10"/>
  <c r="AEW1505" i="10"/>
  <c r="AEW1503" i="10"/>
  <c r="AEW1506" i="10"/>
  <c r="AEW1508" i="10"/>
  <c r="AEW1504" i="10"/>
  <c r="AEW1510" i="10"/>
  <c r="AEW1509" i="10"/>
  <c r="AU1493" i="10"/>
  <c r="AU1497" i="10"/>
  <c r="AU1499" i="10"/>
  <c r="AU1491" i="10"/>
  <c r="AU1496" i="10"/>
  <c r="AU1498" i="10"/>
  <c r="AU1495" i="10"/>
  <c r="AU1492" i="10"/>
  <c r="AU1494" i="10"/>
  <c r="AU1500" i="10"/>
  <c r="AU1502" i="10"/>
  <c r="AU1501" i="10"/>
  <c r="AU1508" i="10"/>
  <c r="AU1506" i="10"/>
  <c r="AU1504" i="10"/>
  <c r="AU1507" i="10"/>
  <c r="AU1503" i="10"/>
  <c r="AU1509" i="10"/>
  <c r="AU1510" i="10"/>
  <c r="AU1505" i="10"/>
  <c r="RR1530" i="10"/>
  <c r="RR1533" i="10"/>
  <c r="RR1521" i="10"/>
  <c r="RR1526" i="10"/>
  <c r="RR1522" i="10"/>
  <c r="RR1528" i="10"/>
  <c r="RR1524" i="10"/>
  <c r="RR1531" i="10"/>
  <c r="RR1520" i="10"/>
  <c r="RR1529" i="10"/>
  <c r="RR1527" i="10"/>
  <c r="RR1523" i="10"/>
  <c r="RR1516" i="10"/>
  <c r="RR1515" i="10"/>
  <c r="RR1514" i="10"/>
  <c r="RR1518" i="10"/>
  <c r="RR1532" i="10"/>
  <c r="RR1525" i="10"/>
  <c r="RR1519" i="10"/>
  <c r="RR1517" i="10"/>
  <c r="XH1492" i="10"/>
  <c r="XH1491" i="10"/>
  <c r="XH1493" i="10"/>
  <c r="XH1494" i="10"/>
  <c r="XH1496" i="10"/>
  <c r="XH1498" i="10"/>
  <c r="XH1495" i="10"/>
  <c r="XH1497" i="10"/>
  <c r="XH1500" i="10"/>
  <c r="XH1499" i="10"/>
  <c r="XH1504" i="10"/>
  <c r="XH1502" i="10"/>
  <c r="XH1503" i="10"/>
  <c r="XH1506" i="10"/>
  <c r="XH1508" i="10"/>
  <c r="XH1509" i="10"/>
  <c r="XH1501" i="10"/>
  <c r="XH1505" i="10"/>
  <c r="XH1507" i="10"/>
  <c r="XH1510" i="10"/>
  <c r="KJ1532" i="10"/>
  <c r="KJ1528" i="10"/>
  <c r="KJ1526" i="10"/>
  <c r="KJ1521" i="10"/>
  <c r="KJ1531" i="10"/>
  <c r="KJ1519" i="10"/>
  <c r="KJ1529" i="10"/>
  <c r="KJ1520" i="10"/>
  <c r="KJ1514" i="10"/>
  <c r="KJ1530" i="10"/>
  <c r="KJ1516" i="10"/>
  <c r="KJ1522" i="10"/>
  <c r="KJ1527" i="10"/>
  <c r="KJ1523" i="10"/>
  <c r="KJ1533" i="10"/>
  <c r="KJ1515" i="10"/>
  <c r="KJ1518" i="10"/>
  <c r="KJ1524" i="10"/>
  <c r="KJ1517" i="10"/>
  <c r="KJ1525" i="10"/>
  <c r="PZ1492" i="10"/>
  <c r="PZ1491" i="10"/>
  <c r="PZ1493" i="10"/>
  <c r="PZ1494" i="10"/>
  <c r="PZ1500" i="10"/>
  <c r="PZ1495" i="10"/>
  <c r="PZ1496" i="10"/>
  <c r="PZ1501" i="10"/>
  <c r="PZ1498" i="10"/>
  <c r="PZ1497" i="10"/>
  <c r="PZ1505" i="10"/>
  <c r="PZ1504" i="10"/>
  <c r="PZ1502" i="10"/>
  <c r="PZ1503" i="10"/>
  <c r="PZ1506" i="10"/>
  <c r="PZ1508" i="10"/>
  <c r="PZ1499" i="10"/>
  <c r="PZ1509" i="10"/>
  <c r="PZ1507" i="10"/>
  <c r="PZ1510" i="10"/>
  <c r="DX1517" i="10"/>
  <c r="DX1514" i="10"/>
  <c r="DX1515" i="10"/>
  <c r="DX1516" i="10"/>
  <c r="DX1518" i="10"/>
  <c r="DX1520" i="10"/>
  <c r="DX1519" i="10"/>
  <c r="DX1521" i="10"/>
  <c r="DX1522" i="10"/>
  <c r="DX1523" i="10"/>
  <c r="DX1524" i="10"/>
  <c r="DX1526" i="10"/>
  <c r="DX1527" i="10"/>
  <c r="DX1530" i="10"/>
  <c r="DX1532" i="10"/>
  <c r="DX1525" i="10"/>
  <c r="DX1529" i="10"/>
  <c r="DX1531" i="10"/>
  <c r="DX1533" i="10"/>
  <c r="DX1528" i="10"/>
  <c r="WS1493" i="10"/>
  <c r="WS1492" i="10"/>
  <c r="WS1496" i="10"/>
  <c r="WS1498" i="10"/>
  <c r="WS1495" i="10"/>
  <c r="WS1497" i="10"/>
  <c r="WS1491" i="10"/>
  <c r="WS1494" i="10"/>
  <c r="WS1499" i="10"/>
  <c r="WS1501" i="10"/>
  <c r="WS1500" i="10"/>
  <c r="WS1507" i="10"/>
  <c r="WS1502" i="10"/>
  <c r="WS1505" i="10"/>
  <c r="WS1503" i="10"/>
  <c r="WS1506" i="10"/>
  <c r="WS1508" i="10"/>
  <c r="WS1509" i="10"/>
  <c r="WS1504" i="10"/>
  <c r="WS1510" i="10"/>
  <c r="AFX1523" i="10"/>
  <c r="AFX1532" i="10"/>
  <c r="AFX1530" i="10"/>
  <c r="AFX1525" i="10"/>
  <c r="AFX1529" i="10"/>
  <c r="AFX1531" i="10"/>
  <c r="AFX1533" i="10"/>
  <c r="AFX1527" i="10"/>
  <c r="AFX1519" i="10"/>
  <c r="AFX1521" i="10"/>
  <c r="AFX1514" i="10"/>
  <c r="AFX1524" i="10"/>
  <c r="AFX1517" i="10"/>
  <c r="AFX1520" i="10"/>
  <c r="AFX1526" i="10"/>
  <c r="AFX1515" i="10"/>
  <c r="AFX1516" i="10"/>
  <c r="AFX1518" i="10"/>
  <c r="AFX1522" i="10"/>
  <c r="AFX1528" i="10"/>
  <c r="FW1508" i="10"/>
  <c r="FW1498" i="10"/>
  <c r="FW1506" i="10"/>
  <c r="FW1509" i="10"/>
  <c r="FW1510" i="10"/>
  <c r="FW1492" i="10"/>
  <c r="FW1505" i="10"/>
  <c r="FW1494" i="10"/>
  <c r="FW1496" i="10"/>
  <c r="FW1499" i="10"/>
  <c r="FW1502" i="10"/>
  <c r="FW1493" i="10"/>
  <c r="FW1497" i="10"/>
  <c r="FW1507" i="10"/>
  <c r="FW1500" i="10"/>
  <c r="FW1501" i="10"/>
  <c r="FW1495" i="10"/>
  <c r="FW1504" i="10"/>
  <c r="FW1491" i="10"/>
  <c r="FW1503" i="10"/>
  <c r="ACA1530" i="10"/>
  <c r="ACA1532" i="10"/>
  <c r="ACA1531" i="10"/>
  <c r="ACA1533" i="10"/>
  <c r="ACA1522" i="10"/>
  <c r="ACA1521" i="10"/>
  <c r="ACA1527" i="10"/>
  <c r="ACA1526" i="10"/>
  <c r="ACA1523" i="10"/>
  <c r="ACA1528" i="10"/>
  <c r="ACA1524" i="10"/>
  <c r="ACA1514" i="10"/>
  <c r="ACA1525" i="10"/>
  <c r="ACA1515" i="10"/>
  <c r="ACA1518" i="10"/>
  <c r="ACA1520" i="10"/>
  <c r="ACA1516" i="10"/>
  <c r="ACA1529" i="10"/>
  <c r="ACA1517" i="10"/>
  <c r="ACA1519" i="10"/>
  <c r="LZ1493" i="10"/>
  <c r="LZ1492" i="10"/>
  <c r="LZ1491" i="10"/>
  <c r="LZ1495" i="10"/>
  <c r="LZ1497" i="10"/>
  <c r="LZ1496" i="10"/>
  <c r="LZ1498" i="10"/>
  <c r="LZ1499" i="10"/>
  <c r="LZ1501" i="10"/>
  <c r="LZ1500" i="10"/>
  <c r="LZ1509" i="10"/>
  <c r="LZ1507" i="10"/>
  <c r="LZ1494" i="10"/>
  <c r="LZ1505" i="10"/>
  <c r="LZ1502" i="10"/>
  <c r="LZ1504" i="10"/>
  <c r="LZ1508" i="10"/>
  <c r="LZ1506" i="10"/>
  <c r="LZ1510" i="10"/>
  <c r="LZ1503" i="10"/>
  <c r="AGH1493" i="10"/>
  <c r="AGH1496" i="10"/>
  <c r="AGH1498" i="10"/>
  <c r="AGH1494" i="10"/>
  <c r="AGH1495" i="10"/>
  <c r="AGH1497" i="10"/>
  <c r="AGH1492" i="10"/>
  <c r="AGH1491" i="10"/>
  <c r="AGH1501" i="10"/>
  <c r="AGH1499" i="10"/>
  <c r="AGH1508" i="10"/>
  <c r="AGH1509" i="10"/>
  <c r="AGH1507" i="10"/>
  <c r="AGH1504" i="10"/>
  <c r="AGH1500" i="10"/>
  <c r="AGH1502" i="10"/>
  <c r="AGH1503" i="10"/>
  <c r="AGH1506" i="10"/>
  <c r="AGH1505" i="10"/>
  <c r="AGH1510" i="10"/>
  <c r="GY1493" i="10"/>
  <c r="GY1492" i="10"/>
  <c r="GY1491" i="10"/>
  <c r="GY1495" i="10"/>
  <c r="GY1497" i="10"/>
  <c r="GY1496" i="10"/>
  <c r="GY1498" i="10"/>
  <c r="GY1494" i="10"/>
  <c r="GY1501" i="10"/>
  <c r="GY1499" i="10"/>
  <c r="GY1502" i="10"/>
  <c r="GY1507" i="10"/>
  <c r="GY1505" i="10"/>
  <c r="GY1504" i="10"/>
  <c r="GY1506" i="10"/>
  <c r="GY1500" i="10"/>
  <c r="GY1508" i="10"/>
  <c r="GY1509" i="10"/>
  <c r="GY1503" i="10"/>
  <c r="GY1510" i="10"/>
  <c r="ACY1529" i="10"/>
  <c r="ACY1526" i="10"/>
  <c r="ACY1520" i="10"/>
  <c r="ACY1525" i="10"/>
  <c r="ACY1533" i="10"/>
  <c r="ACY1517" i="10"/>
  <c r="ACY1515" i="10"/>
  <c r="ACY1524" i="10"/>
  <c r="ACY1528" i="10"/>
  <c r="ACY1516" i="10"/>
  <c r="ACY1531" i="10"/>
  <c r="ACY1518" i="10"/>
  <c r="ACY1527" i="10"/>
  <c r="ACY1514" i="10"/>
  <c r="ACY1522" i="10"/>
  <c r="ACY1519" i="10"/>
  <c r="ACY1523" i="10"/>
  <c r="ACY1532" i="10"/>
  <c r="ACY1521" i="10"/>
  <c r="ACY1530" i="10"/>
  <c r="FO1514" i="10"/>
  <c r="FO1515" i="10"/>
  <c r="FO1517" i="10"/>
  <c r="FO1518" i="10"/>
  <c r="FO1519" i="10"/>
  <c r="FO1516" i="10"/>
  <c r="FO1521" i="10"/>
  <c r="FO1522" i="10"/>
  <c r="FO1524" i="10"/>
  <c r="FO1525" i="10"/>
  <c r="FO1526" i="10"/>
  <c r="FO1523" i="10"/>
  <c r="FO1528" i="10"/>
  <c r="FO1529" i="10"/>
  <c r="FO1531" i="10"/>
  <c r="FO1530" i="10"/>
  <c r="FO1532" i="10"/>
  <c r="FO1520" i="10"/>
  <c r="FO1533" i="10"/>
  <c r="FO1527" i="10"/>
  <c r="QV1516" i="10"/>
  <c r="QV1517" i="10"/>
  <c r="QV1515" i="10"/>
  <c r="QV1518" i="10"/>
  <c r="QV1514" i="10"/>
  <c r="QV1519" i="10"/>
  <c r="QV1521" i="10"/>
  <c r="QV1524" i="10"/>
  <c r="QV1520" i="10"/>
  <c r="QV1527" i="10"/>
  <c r="QV1526" i="10"/>
  <c r="QV1525" i="10"/>
  <c r="QV1529" i="10"/>
  <c r="QV1523" i="10"/>
  <c r="QV1528" i="10"/>
  <c r="QV1531" i="10"/>
  <c r="QV1532" i="10"/>
  <c r="QV1530" i="10"/>
  <c r="QV1522" i="10"/>
  <c r="QV1533" i="10"/>
  <c r="YH1492" i="10"/>
  <c r="YH1491" i="10"/>
  <c r="YH1495" i="10"/>
  <c r="YH1497" i="10"/>
  <c r="YH1493" i="10"/>
  <c r="YH1496" i="10"/>
  <c r="YH1498" i="10"/>
  <c r="YH1500" i="10"/>
  <c r="YH1494" i="10"/>
  <c r="YH1501" i="10"/>
  <c r="YH1502" i="10"/>
  <c r="YH1509" i="10"/>
  <c r="YH1507" i="10"/>
  <c r="YH1505" i="10"/>
  <c r="YH1504" i="10"/>
  <c r="YH1499" i="10"/>
  <c r="YH1508" i="10"/>
  <c r="YH1506" i="10"/>
  <c r="YH1503" i="10"/>
  <c r="YH1510" i="10"/>
  <c r="LH1516" i="10"/>
  <c r="LH1514" i="10"/>
  <c r="LH1515" i="10"/>
  <c r="LH1522" i="10"/>
  <c r="LH1524" i="10"/>
  <c r="LH1527" i="10"/>
  <c r="LH1523" i="10"/>
  <c r="LH1529" i="10"/>
  <c r="LH1526" i="10"/>
  <c r="LH1530" i="10"/>
  <c r="LH1528" i="10"/>
  <c r="LH1532" i="10"/>
  <c r="LH1531" i="10"/>
  <c r="LH1533" i="10"/>
  <c r="LH1520" i="10"/>
  <c r="LH1521" i="10"/>
  <c r="LH1525" i="10"/>
  <c r="LH1517" i="10"/>
  <c r="LH1518" i="10"/>
  <c r="LH1519" i="10"/>
  <c r="SW1491" i="10"/>
  <c r="SW1493" i="10"/>
  <c r="SW1492" i="10"/>
  <c r="SW1494" i="10"/>
  <c r="SW1499" i="10"/>
  <c r="SW1496" i="10"/>
  <c r="SW1500" i="10"/>
  <c r="SW1495" i="10"/>
  <c r="SW1498" i="10"/>
  <c r="SW1497" i="10"/>
  <c r="SW1501" i="10"/>
  <c r="SW1505" i="10"/>
  <c r="SW1504" i="10"/>
  <c r="SW1503" i="10"/>
  <c r="SW1506" i="10"/>
  <c r="SW1508" i="10"/>
  <c r="SW1502" i="10"/>
  <c r="SW1507" i="10"/>
  <c r="SW1510" i="10"/>
  <c r="SW1509" i="10"/>
  <c r="ADJ1518" i="10"/>
  <c r="ADJ1533" i="10"/>
  <c r="ADJ1514" i="10"/>
  <c r="ADJ1515" i="10"/>
  <c r="ADJ1522" i="10"/>
  <c r="ADJ1530" i="10"/>
  <c r="ADJ1524" i="10"/>
  <c r="ADJ1528" i="10"/>
  <c r="ADJ1532" i="10"/>
  <c r="ADJ1529" i="10"/>
  <c r="ADJ1531" i="10"/>
  <c r="ADJ1527" i="10"/>
  <c r="ADJ1521" i="10"/>
  <c r="ADJ1519" i="10"/>
  <c r="ADJ1523" i="10"/>
  <c r="ADJ1525" i="10"/>
  <c r="ADJ1516" i="10"/>
  <c r="ADJ1520" i="10"/>
  <c r="ADJ1517" i="10"/>
  <c r="ADJ1526" i="10"/>
  <c r="KU1532" i="10"/>
  <c r="KU1533" i="10"/>
  <c r="KU1529" i="10"/>
  <c r="KU1526" i="10"/>
  <c r="KU1524" i="10"/>
  <c r="KU1522" i="10"/>
  <c r="KU1517" i="10"/>
  <c r="KU1525" i="10"/>
  <c r="KU1523" i="10"/>
  <c r="KU1531" i="10"/>
  <c r="KU1520" i="10"/>
  <c r="KU1519" i="10"/>
  <c r="KU1528" i="10"/>
  <c r="KU1527" i="10"/>
  <c r="KU1521" i="10"/>
  <c r="KU1530" i="10"/>
  <c r="KU1515" i="10"/>
  <c r="KU1514" i="10"/>
  <c r="KU1518" i="10"/>
  <c r="KU1516" i="10"/>
  <c r="QC1493" i="10"/>
  <c r="QC1492" i="10"/>
  <c r="QC1491" i="10"/>
  <c r="QC1494" i="10"/>
  <c r="QC1496" i="10"/>
  <c r="QC1495" i="10"/>
  <c r="QC1497" i="10"/>
  <c r="QC1499" i="10"/>
  <c r="QC1498" i="10"/>
  <c r="QC1500" i="10"/>
  <c r="QC1507" i="10"/>
  <c r="QC1505" i="10"/>
  <c r="QC1504" i="10"/>
  <c r="QC1503" i="10"/>
  <c r="QC1506" i="10"/>
  <c r="QC1509" i="10"/>
  <c r="QC1502" i="10"/>
  <c r="QC1508" i="10"/>
  <c r="QC1510" i="10"/>
  <c r="QC1501" i="10"/>
  <c r="TU1518" i="10"/>
  <c r="TU1522" i="10"/>
  <c r="TU1533" i="10"/>
  <c r="TU1530" i="10"/>
  <c r="TU1516" i="10"/>
  <c r="TU1528" i="10"/>
  <c r="TU1526" i="10"/>
  <c r="TU1531" i="10"/>
  <c r="TU1514" i="10"/>
  <c r="TU1515" i="10"/>
  <c r="TU1523" i="10"/>
  <c r="TU1520" i="10"/>
  <c r="TU1519" i="10"/>
  <c r="TU1524" i="10"/>
  <c r="TU1521" i="10"/>
  <c r="TU1527" i="10"/>
  <c r="TU1525" i="10"/>
  <c r="TU1529" i="10"/>
  <c r="TU1532" i="10"/>
  <c r="TU1517" i="10"/>
  <c r="AFH1523" i="10"/>
  <c r="AFH1519" i="10"/>
  <c r="AFH1522" i="10"/>
  <c r="AFH1520" i="10"/>
  <c r="AFH1521" i="10"/>
  <c r="AFH1527" i="10"/>
  <c r="AFH1526" i="10"/>
  <c r="AFH1528" i="10"/>
  <c r="AFH1532" i="10"/>
  <c r="AFH1529" i="10"/>
  <c r="AFH1530" i="10"/>
  <c r="AFH1531" i="10"/>
  <c r="AFH1533" i="10"/>
  <c r="AFH1514" i="10"/>
  <c r="AFH1516" i="10"/>
  <c r="AFH1525" i="10"/>
  <c r="AFH1515" i="10"/>
  <c r="AFH1517" i="10"/>
  <c r="AFH1518" i="10"/>
  <c r="AFH1524" i="10"/>
  <c r="OU1503" i="10"/>
  <c r="OU1502" i="10"/>
  <c r="OU1491" i="10"/>
  <c r="OU1501" i="10"/>
  <c r="OU1505" i="10"/>
  <c r="OU1495" i="10"/>
  <c r="OU1494" i="10"/>
  <c r="OU1497" i="10"/>
  <c r="OU1499" i="10"/>
  <c r="OU1509" i="10"/>
  <c r="OU1500" i="10"/>
  <c r="OU1510" i="10"/>
  <c r="OU1498" i="10"/>
  <c r="OU1506" i="10"/>
  <c r="OU1504" i="10"/>
  <c r="OU1496" i="10"/>
  <c r="OU1507" i="10"/>
  <c r="OU1493" i="10"/>
  <c r="OU1492" i="10"/>
  <c r="OU1508" i="10"/>
  <c r="AGM1533" i="10"/>
  <c r="AGM1524" i="10"/>
  <c r="AGM1532" i="10"/>
  <c r="AGM1517" i="10"/>
  <c r="AGM1527" i="10"/>
  <c r="AGM1516" i="10"/>
  <c r="AGM1528" i="10"/>
  <c r="AGM1514" i="10"/>
  <c r="AGM1520" i="10"/>
  <c r="AGM1530" i="10"/>
  <c r="AGM1515" i="10"/>
  <c r="AGM1521" i="10"/>
  <c r="AGM1519" i="10"/>
  <c r="AGM1526" i="10"/>
  <c r="AGM1518" i="10"/>
  <c r="AGM1522" i="10"/>
  <c r="AGM1529" i="10"/>
  <c r="AGM1523" i="10"/>
  <c r="AGM1531" i="10"/>
  <c r="AGM1525" i="10"/>
  <c r="PH1492" i="10"/>
  <c r="PH1491" i="10"/>
  <c r="PH1495" i="10"/>
  <c r="PH1497" i="10"/>
  <c r="PH1493" i="10"/>
  <c r="PH1496" i="10"/>
  <c r="PH1498" i="10"/>
  <c r="PH1494" i="10"/>
  <c r="PH1501" i="10"/>
  <c r="PH1500" i="10"/>
  <c r="PH1509" i="10"/>
  <c r="PH1507" i="10"/>
  <c r="PH1502" i="10"/>
  <c r="PH1505" i="10"/>
  <c r="PH1499" i="10"/>
  <c r="PH1504" i="10"/>
  <c r="PH1508" i="10"/>
  <c r="PH1506" i="10"/>
  <c r="PH1510" i="10"/>
  <c r="PH1503" i="10"/>
  <c r="RF1492" i="10"/>
  <c r="RF1491" i="10"/>
  <c r="RF1493" i="10"/>
  <c r="RF1494" i="10"/>
  <c r="RF1500" i="10"/>
  <c r="RF1495" i="10"/>
  <c r="RF1496" i="10"/>
  <c r="RF1499" i="10"/>
  <c r="RF1501" i="10"/>
  <c r="RF1497" i="10"/>
  <c r="RF1505" i="10"/>
  <c r="RF1504" i="10"/>
  <c r="RF1503" i="10"/>
  <c r="RF1506" i="10"/>
  <c r="RF1508" i="10"/>
  <c r="RF1498" i="10"/>
  <c r="RF1509" i="10"/>
  <c r="RF1502" i="10"/>
  <c r="RF1507" i="10"/>
  <c r="RF1510" i="10"/>
  <c r="AP1516" i="10"/>
  <c r="AP1515" i="10"/>
  <c r="AP1514" i="10"/>
  <c r="AP1517" i="10"/>
  <c r="AP1518" i="10"/>
  <c r="AP1520" i="10"/>
  <c r="AP1519" i="10"/>
  <c r="AP1525" i="10"/>
  <c r="AP1523" i="10"/>
  <c r="AP1521" i="10"/>
  <c r="AP1522" i="10"/>
  <c r="AP1524" i="10"/>
  <c r="AP1529" i="10"/>
  <c r="AP1527" i="10"/>
  <c r="AP1528" i="10"/>
  <c r="AP1532" i="10"/>
  <c r="AP1531" i="10"/>
  <c r="AP1533" i="10"/>
  <c r="AP1530" i="10"/>
  <c r="AP1526" i="10"/>
  <c r="BE1491" i="10"/>
  <c r="BE1493" i="10"/>
  <c r="BE1494" i="10"/>
  <c r="BE1497" i="10"/>
  <c r="BE1499" i="10"/>
  <c r="BE1492" i="10"/>
  <c r="BE1496" i="10"/>
  <c r="BE1498" i="10"/>
  <c r="BE1495" i="10"/>
  <c r="BE1500" i="10"/>
  <c r="BE1502" i="10"/>
  <c r="BE1503" i="10"/>
  <c r="BE1509" i="10"/>
  <c r="BE1501" i="10"/>
  <c r="BE1508" i="10"/>
  <c r="BE1505" i="10"/>
  <c r="BE1504" i="10"/>
  <c r="BE1507" i="10"/>
  <c r="BE1506" i="10"/>
  <c r="BE1510" i="10"/>
  <c r="EP1516" i="10"/>
  <c r="EP1514" i="10"/>
  <c r="EP1515" i="10"/>
  <c r="EP1518" i="10"/>
  <c r="EP1519" i="10"/>
  <c r="EP1517" i="10"/>
  <c r="EP1520" i="10"/>
  <c r="EP1523" i="10"/>
  <c r="EP1521" i="10"/>
  <c r="EP1525" i="10"/>
  <c r="EP1524" i="10"/>
  <c r="EP1522" i="10"/>
  <c r="EP1528" i="10"/>
  <c r="EP1527" i="10"/>
  <c r="EP1532" i="10"/>
  <c r="EP1531" i="10"/>
  <c r="EP1529" i="10"/>
  <c r="EP1530" i="10"/>
  <c r="EP1533" i="10"/>
  <c r="EP1526" i="10"/>
  <c r="CW1493" i="10"/>
  <c r="CW1492" i="10"/>
  <c r="CW1491" i="10"/>
  <c r="CW1495" i="10"/>
  <c r="CW1497" i="10"/>
  <c r="CW1496" i="10"/>
  <c r="CW1498" i="10"/>
  <c r="CW1500" i="10"/>
  <c r="CW1501" i="10"/>
  <c r="CW1494" i="10"/>
  <c r="CW1499" i="10"/>
  <c r="CW1502" i="10"/>
  <c r="CW1508" i="10"/>
  <c r="CW1506" i="10"/>
  <c r="CW1505" i="10"/>
  <c r="CW1504" i="10"/>
  <c r="CW1507" i="10"/>
  <c r="CW1510" i="10"/>
  <c r="CW1503" i="10"/>
  <c r="CW1509" i="10"/>
  <c r="UX1514" i="10"/>
  <c r="UX1515" i="10"/>
  <c r="UX1516" i="10"/>
  <c r="UX1517" i="10"/>
  <c r="UX1519" i="10"/>
  <c r="UX1518" i="10"/>
  <c r="UX1521" i="10"/>
  <c r="UX1524" i="10"/>
  <c r="UX1527" i="10"/>
  <c r="UX1528" i="10"/>
  <c r="UX1526" i="10"/>
  <c r="UX1522" i="10"/>
  <c r="UX1523" i="10"/>
  <c r="UX1525" i="10"/>
  <c r="UX1531" i="10"/>
  <c r="UX1532" i="10"/>
  <c r="UX1530" i="10"/>
  <c r="UX1520" i="10"/>
  <c r="UX1529" i="10"/>
  <c r="UX1533" i="10"/>
  <c r="VT1492" i="10"/>
  <c r="VT1491" i="10"/>
  <c r="VT1493" i="10"/>
  <c r="VT1494" i="10"/>
  <c r="VT1500" i="10"/>
  <c r="VT1495" i="10"/>
  <c r="VT1496" i="10"/>
  <c r="VT1498" i="10"/>
  <c r="VT1497" i="10"/>
  <c r="VT1501" i="10"/>
  <c r="VT1505" i="10"/>
  <c r="VT1504" i="10"/>
  <c r="VT1503" i="10"/>
  <c r="VT1506" i="10"/>
  <c r="VT1499" i="10"/>
  <c r="VT1508" i="10"/>
  <c r="VT1502" i="10"/>
  <c r="VT1509" i="10"/>
  <c r="VT1507" i="10"/>
  <c r="VT1510" i="10"/>
  <c r="RW1503" i="10"/>
  <c r="RW1502" i="10"/>
  <c r="RW1505" i="10"/>
  <c r="RW1491" i="10"/>
  <c r="RW1501" i="10"/>
  <c r="RW1510" i="10"/>
  <c r="RW1497" i="10"/>
  <c r="RW1499" i="10"/>
  <c r="RW1498" i="10"/>
  <c r="RW1500" i="10"/>
  <c r="RW1506" i="10"/>
  <c r="RW1496" i="10"/>
  <c r="RW1494" i="10"/>
  <c r="RW1507" i="10"/>
  <c r="RW1492" i="10"/>
  <c r="RW1493" i="10"/>
  <c r="RW1504" i="10"/>
  <c r="RW1508" i="10"/>
  <c r="RW1495" i="10"/>
  <c r="RW1509" i="10"/>
  <c r="IN1492" i="10"/>
  <c r="IN1491" i="10"/>
  <c r="IN1493" i="10"/>
  <c r="IN1494" i="10"/>
  <c r="IN1500" i="10"/>
  <c r="IN1495" i="10"/>
  <c r="IN1497" i="10"/>
  <c r="IN1501" i="10"/>
  <c r="IN1499" i="10"/>
  <c r="IN1498" i="10"/>
  <c r="IN1505" i="10"/>
  <c r="IN1502" i="10"/>
  <c r="IN1504" i="10"/>
  <c r="IN1509" i="10"/>
  <c r="IN1503" i="10"/>
  <c r="IN1508" i="10"/>
  <c r="IN1496" i="10"/>
  <c r="IN1506" i="10"/>
  <c r="IN1507" i="10"/>
  <c r="IN1510" i="10"/>
  <c r="JR1492" i="10"/>
  <c r="JR1491" i="10"/>
  <c r="JR1494" i="10"/>
  <c r="JR1499" i="10"/>
  <c r="JR1496" i="10"/>
  <c r="JR1498" i="10"/>
  <c r="JR1493" i="10"/>
  <c r="JR1497" i="10"/>
  <c r="JR1500" i="10"/>
  <c r="JR1501" i="10"/>
  <c r="JR1504" i="10"/>
  <c r="JR1503" i="10"/>
  <c r="JR1506" i="10"/>
  <c r="JR1508" i="10"/>
  <c r="JR1495" i="10"/>
  <c r="JR1502" i="10"/>
  <c r="JR1509" i="10"/>
  <c r="JR1505" i="10"/>
  <c r="JR1507" i="10"/>
  <c r="JR1510" i="10"/>
  <c r="RZ1516" i="10"/>
  <c r="RZ1528" i="10"/>
  <c r="RZ1530" i="10"/>
  <c r="RZ1515" i="10"/>
  <c r="RZ1518" i="10"/>
  <c r="RZ1532" i="10"/>
  <c r="RZ1523" i="10"/>
  <c r="RZ1520" i="10"/>
  <c r="RZ1533" i="10"/>
  <c r="RZ1529" i="10"/>
  <c r="RZ1526" i="10"/>
  <c r="RZ1524" i="10"/>
  <c r="RZ1517" i="10"/>
  <c r="RZ1525" i="10"/>
  <c r="RZ1531" i="10"/>
  <c r="RZ1514" i="10"/>
  <c r="RZ1519" i="10"/>
  <c r="RZ1527" i="10"/>
  <c r="RZ1522" i="10"/>
  <c r="RZ1521" i="10"/>
  <c r="ML1493" i="10"/>
  <c r="ML1492" i="10"/>
  <c r="ML1491" i="10"/>
  <c r="ML1495" i="10"/>
  <c r="ML1497" i="10"/>
  <c r="ML1496" i="10"/>
  <c r="ML1498" i="10"/>
  <c r="ML1501" i="10"/>
  <c r="ML1494" i="10"/>
  <c r="ML1509" i="10"/>
  <c r="ML1500" i="10"/>
  <c r="ML1507" i="10"/>
  <c r="ML1505" i="10"/>
  <c r="ML1499" i="10"/>
  <c r="ML1502" i="10"/>
  <c r="ML1504" i="10"/>
  <c r="ML1508" i="10"/>
  <c r="ML1506" i="10"/>
  <c r="ML1510" i="10"/>
  <c r="ML1503" i="10"/>
  <c r="VA1515" i="10"/>
  <c r="VA1514" i="10"/>
  <c r="VA1516" i="10"/>
  <c r="VA1519" i="10"/>
  <c r="VA1518" i="10"/>
  <c r="VA1517" i="10"/>
  <c r="VA1520" i="10"/>
  <c r="VA1522" i="10"/>
  <c r="VA1523" i="10"/>
  <c r="VA1524" i="10"/>
  <c r="VA1525" i="10"/>
  <c r="VA1527" i="10"/>
  <c r="VA1528" i="10"/>
  <c r="VA1530" i="10"/>
  <c r="VA1526" i="10"/>
  <c r="VA1529" i="10"/>
  <c r="VA1533" i="10"/>
  <c r="VA1531" i="10"/>
  <c r="VA1521" i="10"/>
  <c r="VA1532" i="10"/>
  <c r="ADX1525" i="10"/>
  <c r="ADX1514" i="10"/>
  <c r="ADX1533" i="10"/>
  <c r="ADX1517" i="10"/>
  <c r="ADX1520" i="10"/>
  <c r="ADX1521" i="10"/>
  <c r="ADX1515" i="10"/>
  <c r="ADX1530" i="10"/>
  <c r="ADX1519" i="10"/>
  <c r="ADX1528" i="10"/>
  <c r="ADX1529" i="10"/>
  <c r="ADX1524" i="10"/>
  <c r="ADX1516" i="10"/>
  <c r="ADX1526" i="10"/>
  <c r="ADX1522" i="10"/>
  <c r="ADX1518" i="10"/>
  <c r="ADX1523" i="10"/>
  <c r="ADX1531" i="10"/>
  <c r="ADX1532" i="10"/>
  <c r="ADX1527" i="10"/>
  <c r="ACR1492" i="10"/>
  <c r="ACR1491" i="10"/>
  <c r="ACR1496" i="10"/>
  <c r="ACR1495" i="10"/>
  <c r="ACR1497" i="10"/>
  <c r="ACR1493" i="10"/>
  <c r="ACR1494" i="10"/>
  <c r="ACR1498" i="10"/>
  <c r="ACR1501" i="10"/>
  <c r="ACR1507" i="10"/>
  <c r="ACR1499" i="10"/>
  <c r="ACR1500" i="10"/>
  <c r="ACR1502" i="10"/>
  <c r="ACR1505" i="10"/>
  <c r="ACR1504" i="10"/>
  <c r="ACR1503" i="10"/>
  <c r="ACR1506" i="10"/>
  <c r="ACR1509" i="10"/>
  <c r="ACR1510" i="10"/>
  <c r="ACR1508" i="10"/>
  <c r="ADQ1491" i="10"/>
  <c r="ADQ1492" i="10"/>
  <c r="ADQ1494" i="10"/>
  <c r="ADQ1493" i="10"/>
  <c r="ADQ1499" i="10"/>
  <c r="ADQ1497" i="10"/>
  <c r="ADQ1498" i="10"/>
  <c r="ADQ1500" i="10"/>
  <c r="ADQ1495" i="10"/>
  <c r="ADQ1501" i="10"/>
  <c r="ADQ1505" i="10"/>
  <c r="ADQ1504" i="10"/>
  <c r="ADQ1503" i="10"/>
  <c r="ADQ1506" i="10"/>
  <c r="ADQ1496" i="10"/>
  <c r="ADQ1502" i="10"/>
  <c r="ADQ1508" i="10"/>
  <c r="ADQ1507" i="10"/>
  <c r="ADQ1510" i="10"/>
  <c r="ADQ1509" i="10"/>
  <c r="YU1493" i="10"/>
  <c r="YU1492" i="10"/>
  <c r="YU1491" i="10"/>
  <c r="YU1496" i="10"/>
  <c r="YU1498" i="10"/>
  <c r="YU1495" i="10"/>
  <c r="YU1497" i="10"/>
  <c r="YU1494" i="10"/>
  <c r="YU1499" i="10"/>
  <c r="YU1501" i="10"/>
  <c r="YU1500" i="10"/>
  <c r="YU1507" i="10"/>
  <c r="YU1502" i="10"/>
  <c r="YU1505" i="10"/>
  <c r="YU1503" i="10"/>
  <c r="YU1506" i="10"/>
  <c r="YU1508" i="10"/>
  <c r="YU1509" i="10"/>
  <c r="YU1510" i="10"/>
  <c r="YU1504" i="10"/>
  <c r="MN1493" i="10"/>
  <c r="MN1496" i="10"/>
  <c r="MN1498" i="10"/>
  <c r="MN1492" i="10"/>
  <c r="MN1495" i="10"/>
  <c r="MN1497" i="10"/>
  <c r="MN1494" i="10"/>
  <c r="MN1500" i="10"/>
  <c r="MN1491" i="10"/>
  <c r="MN1501" i="10"/>
  <c r="MN1499" i="10"/>
  <c r="MN1508" i="10"/>
  <c r="MN1509" i="10"/>
  <c r="MN1507" i="10"/>
  <c r="MN1502" i="10"/>
  <c r="MN1504" i="10"/>
  <c r="MN1503" i="10"/>
  <c r="MN1506" i="10"/>
  <c r="MN1505" i="10"/>
  <c r="MN1510" i="10"/>
  <c r="ES1516" i="10"/>
  <c r="ES1514" i="10"/>
  <c r="ES1515" i="10"/>
  <c r="ES1517" i="10"/>
  <c r="ES1520" i="10"/>
  <c r="ES1518" i="10"/>
  <c r="ES1521" i="10"/>
  <c r="ES1524" i="10"/>
  <c r="ES1519" i="10"/>
  <c r="ES1522" i="10"/>
  <c r="ES1527" i="10"/>
  <c r="ES1523" i="10"/>
  <c r="ES1525" i="10"/>
  <c r="ES1529" i="10"/>
  <c r="ES1526" i="10"/>
  <c r="ES1530" i="10"/>
  <c r="ES1533" i="10"/>
  <c r="ES1528" i="10"/>
  <c r="ES1532" i="10"/>
  <c r="ES1531" i="10"/>
  <c r="UT1516" i="10"/>
  <c r="UT1514" i="10"/>
  <c r="UT1518" i="10"/>
  <c r="UT1521" i="10"/>
  <c r="UT1526" i="10"/>
  <c r="UT1520" i="10"/>
  <c r="UT1525" i="10"/>
  <c r="UT1528" i="10"/>
  <c r="UT1524" i="10"/>
  <c r="UT1527" i="10"/>
  <c r="UT1531" i="10"/>
  <c r="UT1523" i="10"/>
  <c r="UT1529" i="10"/>
  <c r="UT1522" i="10"/>
  <c r="UT1530" i="10"/>
  <c r="UT1532" i="10"/>
  <c r="UT1533" i="10"/>
  <c r="UT1519" i="10"/>
  <c r="UT1515" i="10"/>
  <c r="UT1517" i="10"/>
  <c r="BD1493" i="10"/>
  <c r="BD1497" i="10"/>
  <c r="BD1499" i="10"/>
  <c r="BD1492" i="10"/>
  <c r="BD1496" i="10"/>
  <c r="BD1498" i="10"/>
  <c r="BD1495" i="10"/>
  <c r="BD1491" i="10"/>
  <c r="BD1494" i="10"/>
  <c r="BD1500" i="10"/>
  <c r="BD1502" i="10"/>
  <c r="BD1501" i="10"/>
  <c r="BD1508" i="10"/>
  <c r="BD1506" i="10"/>
  <c r="BD1504" i="10"/>
  <c r="BD1507" i="10"/>
  <c r="BD1503" i="10"/>
  <c r="BD1509" i="10"/>
  <c r="BD1510" i="10"/>
  <c r="BD1505" i="10"/>
  <c r="SA1526" i="10"/>
  <c r="SA1533" i="10"/>
  <c r="SA1518" i="10"/>
  <c r="SA1531" i="10"/>
  <c r="SA1516" i="10"/>
  <c r="SA1523" i="10"/>
  <c r="SA1530" i="10"/>
  <c r="SA1515" i="10"/>
  <c r="SA1525" i="10"/>
  <c r="SA1527" i="10"/>
  <c r="SA1517" i="10"/>
  <c r="SA1528" i="10"/>
  <c r="SA1520" i="10"/>
  <c r="SA1514" i="10"/>
  <c r="SA1532" i="10"/>
  <c r="SA1522" i="10"/>
  <c r="SA1521" i="10"/>
  <c r="SA1519" i="10"/>
  <c r="SA1524" i="10"/>
  <c r="SA1529" i="10"/>
  <c r="XQ1491" i="10"/>
  <c r="XQ1494" i="10"/>
  <c r="XQ1492" i="10"/>
  <c r="XQ1496" i="10"/>
  <c r="XQ1498" i="10"/>
  <c r="XQ1495" i="10"/>
  <c r="XQ1497" i="10"/>
  <c r="XQ1493" i="10"/>
  <c r="XQ1500" i="10"/>
  <c r="XQ1499" i="10"/>
  <c r="XQ1503" i="10"/>
  <c r="XQ1506" i="10"/>
  <c r="XQ1501" i="10"/>
  <c r="XQ1502" i="10"/>
  <c r="XQ1509" i="10"/>
  <c r="XQ1507" i="10"/>
  <c r="XQ1505" i="10"/>
  <c r="XQ1504" i="10"/>
  <c r="XQ1508" i="10"/>
  <c r="XQ1510" i="10"/>
  <c r="QI1503" i="10"/>
  <c r="QI1502" i="10"/>
  <c r="QI1510" i="10"/>
  <c r="QI1497" i="10"/>
  <c r="QI1499" i="10"/>
  <c r="QI1504" i="10"/>
  <c r="QI1492" i="10"/>
  <c r="QI1498" i="10"/>
  <c r="QI1508" i="10"/>
  <c r="QI1507" i="10"/>
  <c r="QI1491" i="10"/>
  <c r="QI1493" i="10"/>
  <c r="QI1500" i="10"/>
  <c r="QI1505" i="10"/>
  <c r="QI1494" i="10"/>
  <c r="QI1509" i="10"/>
  <c r="QI1495" i="10"/>
  <c r="QI1501" i="10"/>
  <c r="QI1496" i="10"/>
  <c r="QI1506" i="10"/>
  <c r="YU1526" i="10"/>
  <c r="YU1533" i="10"/>
  <c r="YU1514" i="10"/>
  <c r="YU1520" i="10"/>
  <c r="YU1523" i="10"/>
  <c r="YU1519" i="10"/>
  <c r="YU1521" i="10"/>
  <c r="YU1522" i="10"/>
  <c r="YU1532" i="10"/>
  <c r="YU1524" i="10"/>
  <c r="YU1529" i="10"/>
  <c r="YU1516" i="10"/>
  <c r="YU1518" i="10"/>
  <c r="YU1531" i="10"/>
  <c r="YU1515" i="10"/>
  <c r="YU1525" i="10"/>
  <c r="YU1527" i="10"/>
  <c r="YU1530" i="10"/>
  <c r="YU1517" i="10"/>
  <c r="YU1528" i="10"/>
  <c r="LX1492" i="10"/>
  <c r="LX1491" i="10"/>
  <c r="LX1493" i="10"/>
  <c r="LX1494" i="10"/>
  <c r="LX1500" i="10"/>
  <c r="LX1495" i="10"/>
  <c r="LX1501" i="10"/>
  <c r="LX1496" i="10"/>
  <c r="LX1498" i="10"/>
  <c r="LX1499" i="10"/>
  <c r="LX1505" i="10"/>
  <c r="LX1502" i="10"/>
  <c r="LX1504" i="10"/>
  <c r="LX1497" i="10"/>
  <c r="LX1503" i="10"/>
  <c r="LX1506" i="10"/>
  <c r="LX1508" i="10"/>
  <c r="LX1509" i="10"/>
  <c r="LX1507" i="10"/>
  <c r="LX1510" i="10"/>
  <c r="AGF1522" i="10"/>
  <c r="AGF1527" i="10"/>
  <c r="AGF1528" i="10"/>
  <c r="AGF1524" i="10"/>
  <c r="AGF1529" i="10"/>
  <c r="AGF1531" i="10"/>
  <c r="AGF1530" i="10"/>
  <c r="AGF1532" i="10"/>
  <c r="AGF1533" i="10"/>
  <c r="AGF1521" i="10"/>
  <c r="AGF1523" i="10"/>
  <c r="AGF1514" i="10"/>
  <c r="AGF1519" i="10"/>
  <c r="AGF1516" i="10"/>
  <c r="AGF1520" i="10"/>
  <c r="AGF1518" i="10"/>
  <c r="AGF1515" i="10"/>
  <c r="AGF1525" i="10"/>
  <c r="AGF1517" i="10"/>
  <c r="AGF1526" i="10"/>
  <c r="GI1492" i="10"/>
  <c r="GI1491" i="10"/>
  <c r="GI1494" i="10"/>
  <c r="GI1499" i="10"/>
  <c r="GI1496" i="10"/>
  <c r="GI1498" i="10"/>
  <c r="GI1493" i="10"/>
  <c r="GI1497" i="10"/>
  <c r="GI1495" i="10"/>
  <c r="GI1500" i="10"/>
  <c r="GI1501" i="10"/>
  <c r="GI1504" i="10"/>
  <c r="GI1502" i="10"/>
  <c r="GI1503" i="10"/>
  <c r="GI1508" i="10"/>
  <c r="GI1506" i="10"/>
  <c r="GI1505" i="10"/>
  <c r="GI1507" i="10"/>
  <c r="GI1509" i="10"/>
  <c r="GI1510" i="10"/>
  <c r="RO1516" i="10"/>
  <c r="RO1515" i="10"/>
  <c r="RO1517" i="10"/>
  <c r="RO1514" i="10"/>
  <c r="RO1518" i="10"/>
  <c r="RO1519" i="10"/>
  <c r="RO1520" i="10"/>
  <c r="RO1522" i="10"/>
  <c r="RO1523" i="10"/>
  <c r="RO1526" i="10"/>
  <c r="RO1525" i="10"/>
  <c r="RO1521" i="10"/>
  <c r="RO1527" i="10"/>
  <c r="RO1528" i="10"/>
  <c r="RO1530" i="10"/>
  <c r="RO1532" i="10"/>
  <c r="RO1531" i="10"/>
  <c r="RO1529" i="10"/>
  <c r="RO1524" i="10"/>
  <c r="RO1533" i="10"/>
  <c r="ACK1515" i="10"/>
  <c r="ACK1517" i="10"/>
  <c r="ACK1519" i="10"/>
  <c r="ACK1518" i="10"/>
  <c r="ACK1523" i="10"/>
  <c r="ACK1520" i="10"/>
  <c r="ACK1521" i="10"/>
  <c r="ACK1522" i="10"/>
  <c r="ACK1524" i="10"/>
  <c r="ACK1527" i="10"/>
  <c r="ACK1528" i="10"/>
  <c r="ACK1532" i="10"/>
  <c r="ACK1531" i="10"/>
  <c r="ACK1526" i="10"/>
  <c r="ACK1529" i="10"/>
  <c r="ACK1530" i="10"/>
  <c r="ACK1533" i="10"/>
  <c r="ACK1525" i="10"/>
  <c r="ACK1514" i="10"/>
  <c r="ACK1516" i="10"/>
  <c r="BG1491" i="10"/>
  <c r="BG1493" i="10"/>
  <c r="BG1492" i="10"/>
  <c r="BG1494" i="10"/>
  <c r="BG1497" i="10"/>
  <c r="BG1499" i="10"/>
  <c r="BG1496" i="10"/>
  <c r="BG1498" i="10"/>
  <c r="BG1500" i="10"/>
  <c r="BG1495" i="10"/>
  <c r="BG1501" i="10"/>
  <c r="BG1505" i="10"/>
  <c r="BG1504" i="10"/>
  <c r="BG1507" i="10"/>
  <c r="BG1503" i="10"/>
  <c r="BG1509" i="10"/>
  <c r="BG1502" i="10"/>
  <c r="BG1506" i="10"/>
  <c r="BG1508" i="10"/>
  <c r="BG1510" i="10"/>
  <c r="XU1514" i="10"/>
  <c r="XU1517" i="10"/>
  <c r="XU1515" i="10"/>
  <c r="XU1516" i="10"/>
  <c r="XU1522" i="10"/>
  <c r="XU1524" i="10"/>
  <c r="XU1519" i="10"/>
  <c r="XU1521" i="10"/>
  <c r="XU1520" i="10"/>
  <c r="XU1518" i="10"/>
  <c r="XU1523" i="10"/>
  <c r="XU1525" i="10"/>
  <c r="XU1527" i="10"/>
  <c r="XU1528" i="10"/>
  <c r="XU1531" i="10"/>
  <c r="XU1532" i="10"/>
  <c r="XU1526" i="10"/>
  <c r="XU1533" i="10"/>
  <c r="XU1529" i="10"/>
  <c r="XU1530" i="10"/>
  <c r="AED1492" i="10"/>
  <c r="AED1491" i="10"/>
  <c r="AED1496" i="10"/>
  <c r="AED1498" i="10"/>
  <c r="AED1495" i="10"/>
  <c r="AED1497" i="10"/>
  <c r="AED1494" i="10"/>
  <c r="AED1493" i="10"/>
  <c r="AED1499" i="10"/>
  <c r="AED1501" i="10"/>
  <c r="AED1500" i="10"/>
  <c r="AED1507" i="10"/>
  <c r="AED1505" i="10"/>
  <c r="AED1503" i="10"/>
  <c r="AED1506" i="10"/>
  <c r="AED1502" i="10"/>
  <c r="AED1508" i="10"/>
  <c r="AED1510" i="10"/>
  <c r="AED1504" i="10"/>
  <c r="AED1509" i="10"/>
  <c r="SQ1526" i="10"/>
  <c r="SQ1533" i="10"/>
  <c r="SQ1514" i="10"/>
  <c r="SQ1532" i="10"/>
  <c r="SQ1530" i="10"/>
  <c r="SQ1519" i="10"/>
  <c r="SQ1520" i="10"/>
  <c r="SQ1522" i="10"/>
  <c r="SQ1521" i="10"/>
  <c r="SQ1524" i="10"/>
  <c r="SQ1529" i="10"/>
  <c r="SQ1516" i="10"/>
  <c r="SQ1518" i="10"/>
  <c r="SQ1531" i="10"/>
  <c r="SQ1515" i="10"/>
  <c r="SQ1525" i="10"/>
  <c r="SQ1527" i="10"/>
  <c r="SQ1517" i="10"/>
  <c r="SQ1528" i="10"/>
  <c r="SQ1523" i="10"/>
  <c r="AAB1492" i="10"/>
  <c r="AAB1491" i="10"/>
  <c r="AAB1493" i="10"/>
  <c r="AAB1494" i="10"/>
  <c r="AAB1496" i="10"/>
  <c r="AAB1498" i="10"/>
  <c r="AAB1497" i="10"/>
  <c r="AAB1501" i="10"/>
  <c r="AAB1495" i="10"/>
  <c r="AAB1504" i="10"/>
  <c r="AAB1503" i="10"/>
  <c r="AAB1506" i="10"/>
  <c r="AAB1502" i="10"/>
  <c r="AAB1508" i="10"/>
  <c r="AAB1509" i="10"/>
  <c r="AAB1499" i="10"/>
  <c r="AAB1500" i="10"/>
  <c r="AAB1505" i="10"/>
  <c r="AAB1507" i="10"/>
  <c r="AAB1510" i="10"/>
  <c r="GA1523" i="10"/>
  <c r="GA1516" i="10"/>
  <c r="GA1527" i="10"/>
  <c r="GA1532" i="10"/>
  <c r="GA1533" i="10"/>
  <c r="GA1530" i="10"/>
  <c r="GA1524" i="10"/>
  <c r="GA1515" i="10"/>
  <c r="GA1517" i="10"/>
  <c r="GA1514" i="10"/>
  <c r="GA1529" i="10"/>
  <c r="GA1518" i="10"/>
  <c r="GA1522" i="10"/>
  <c r="GA1519" i="10"/>
  <c r="GA1520" i="10"/>
  <c r="GA1521" i="10"/>
  <c r="GA1528" i="10"/>
  <c r="GA1526" i="10"/>
  <c r="GA1531" i="10"/>
  <c r="GA1525" i="10"/>
  <c r="NO1503" i="10"/>
  <c r="NO1502" i="10"/>
  <c r="NO1491" i="10"/>
  <c r="NO1501" i="10"/>
  <c r="NO1504" i="10"/>
  <c r="NO1495" i="10"/>
  <c r="NO1494" i="10"/>
  <c r="NO1505" i="10"/>
  <c r="NO1497" i="10"/>
  <c r="NO1499" i="10"/>
  <c r="NO1492" i="10"/>
  <c r="NO1493" i="10"/>
  <c r="NO1508" i="10"/>
  <c r="NO1509" i="10"/>
  <c r="NO1498" i="10"/>
  <c r="NO1510" i="10"/>
  <c r="NO1500" i="10"/>
  <c r="NO1496" i="10"/>
  <c r="NO1506" i="10"/>
  <c r="NO1507" i="10"/>
  <c r="IA1517" i="10"/>
  <c r="IA1514" i="10"/>
  <c r="IA1516" i="10"/>
  <c r="IA1515" i="10"/>
  <c r="IA1518" i="10"/>
  <c r="IA1519" i="10"/>
  <c r="IA1521" i="10"/>
  <c r="IA1522" i="10"/>
  <c r="IA1524" i="10"/>
  <c r="IA1525" i="10"/>
  <c r="IA1520" i="10"/>
  <c r="IA1526" i="10"/>
  <c r="IA1528" i="10"/>
  <c r="IA1531" i="10"/>
  <c r="IA1532" i="10"/>
  <c r="IA1523" i="10"/>
  <c r="IA1530" i="10"/>
  <c r="IA1527" i="10"/>
  <c r="IA1529" i="10"/>
  <c r="IA1533" i="10"/>
  <c r="TH1514" i="10"/>
  <c r="TH1516" i="10"/>
  <c r="TH1519" i="10"/>
  <c r="TH1520" i="10"/>
  <c r="TH1517" i="10"/>
  <c r="TH1522" i="10"/>
  <c r="TH1523" i="10"/>
  <c r="TH1515" i="10"/>
  <c r="TH1524" i="10"/>
  <c r="TH1528" i="10"/>
  <c r="TH1518" i="10"/>
  <c r="TH1527" i="10"/>
  <c r="TH1525" i="10"/>
  <c r="TH1521" i="10"/>
  <c r="TH1531" i="10"/>
  <c r="TH1529" i="10"/>
  <c r="TH1532" i="10"/>
  <c r="TH1530" i="10"/>
  <c r="TH1533" i="10"/>
  <c r="TH1526" i="10"/>
  <c r="AAP1492" i="10"/>
  <c r="AAP1491" i="10"/>
  <c r="AAP1495" i="10"/>
  <c r="AAP1497" i="10"/>
  <c r="AAP1493" i="10"/>
  <c r="AAP1496" i="10"/>
  <c r="AAP1498" i="10"/>
  <c r="AAP1499" i="10"/>
  <c r="AAP1501" i="10"/>
  <c r="AAP1500" i="10"/>
  <c r="AAP1502" i="10"/>
  <c r="AAP1509" i="10"/>
  <c r="AAP1494" i="10"/>
  <c r="AAP1507" i="10"/>
  <c r="AAP1505" i="10"/>
  <c r="AAP1504" i="10"/>
  <c r="AAP1508" i="10"/>
  <c r="AAP1503" i="10"/>
  <c r="AAP1510" i="10"/>
  <c r="AAP1506" i="10"/>
  <c r="OE1516" i="10"/>
  <c r="OE1515" i="10"/>
  <c r="OE1514" i="10"/>
  <c r="OE1519" i="10"/>
  <c r="OE1517" i="10"/>
  <c r="OE1518" i="10"/>
  <c r="OE1521" i="10"/>
  <c r="OE1524" i="10"/>
  <c r="OE1527" i="10"/>
  <c r="OE1522" i="10"/>
  <c r="OE1526" i="10"/>
  <c r="OE1520" i="10"/>
  <c r="OE1525" i="10"/>
  <c r="OE1529" i="10"/>
  <c r="OE1523" i="10"/>
  <c r="OE1531" i="10"/>
  <c r="OE1532" i="10"/>
  <c r="OE1530" i="10"/>
  <c r="OE1533" i="10"/>
  <c r="OE1528" i="10"/>
  <c r="TR1492" i="10"/>
  <c r="TR1491" i="10"/>
  <c r="TR1493" i="10"/>
  <c r="TR1494" i="10"/>
  <c r="TR1500" i="10"/>
  <c r="TR1495" i="10"/>
  <c r="TR1498" i="10"/>
  <c r="TR1499" i="10"/>
  <c r="TR1501" i="10"/>
  <c r="TR1497" i="10"/>
  <c r="TR1505" i="10"/>
  <c r="TR1504" i="10"/>
  <c r="TR1503" i="10"/>
  <c r="TR1506" i="10"/>
  <c r="TR1508" i="10"/>
  <c r="TR1509" i="10"/>
  <c r="TR1496" i="10"/>
  <c r="TR1502" i="10"/>
  <c r="TR1507" i="10"/>
  <c r="TR1510" i="10"/>
  <c r="ACF1491" i="10"/>
  <c r="ACF1492" i="10"/>
  <c r="ACF1494" i="10"/>
  <c r="ACF1493" i="10"/>
  <c r="ACF1499" i="10"/>
  <c r="ACF1500" i="10"/>
  <c r="ACF1501" i="10"/>
  <c r="ACF1496" i="10"/>
  <c r="ACF1505" i="10"/>
  <c r="ACF1504" i="10"/>
  <c r="ACF1503" i="10"/>
  <c r="ACF1506" i="10"/>
  <c r="ACF1508" i="10"/>
  <c r="ACF1495" i="10"/>
  <c r="ACF1502" i="10"/>
  <c r="ACF1507" i="10"/>
  <c r="ACF1497" i="10"/>
  <c r="ACF1510" i="10"/>
  <c r="ACF1498" i="10"/>
  <c r="ACF1509" i="10"/>
  <c r="EH1516" i="10"/>
  <c r="EH1514" i="10"/>
  <c r="EH1517" i="10"/>
  <c r="EH1515" i="10"/>
  <c r="EH1520" i="10"/>
  <c r="EH1518" i="10"/>
  <c r="EH1521" i="10"/>
  <c r="EH1519" i="10"/>
  <c r="EH1522" i="10"/>
  <c r="EH1529" i="10"/>
  <c r="EH1524" i="10"/>
  <c r="EH1525" i="10"/>
  <c r="EH1526" i="10"/>
  <c r="EH1527" i="10"/>
  <c r="EH1530" i="10"/>
  <c r="EH1532" i="10"/>
  <c r="EH1531" i="10"/>
  <c r="EH1523" i="10"/>
  <c r="EH1528" i="10"/>
  <c r="EH1533" i="10"/>
  <c r="JY1500" i="10"/>
  <c r="JY1503" i="10"/>
  <c r="JY1506" i="10"/>
  <c r="JY1494" i="10"/>
  <c r="JY1501" i="10"/>
  <c r="JY1495" i="10"/>
  <c r="JY1498" i="10"/>
  <c r="JY1504" i="10"/>
  <c r="JY1499" i="10"/>
  <c r="JY1492" i="10"/>
  <c r="JY1493" i="10"/>
  <c r="JY1497" i="10"/>
  <c r="JY1491" i="10"/>
  <c r="JY1496" i="10"/>
  <c r="JY1502" i="10"/>
  <c r="JY1505" i="10"/>
  <c r="JY1507" i="10"/>
  <c r="JY1509" i="10"/>
  <c r="JY1510" i="10"/>
  <c r="JY1508" i="10"/>
  <c r="AAQ1533" i="10"/>
  <c r="AAQ1526" i="10"/>
  <c r="AAQ1518" i="10"/>
  <c r="AAQ1531" i="10"/>
  <c r="AAQ1519" i="10"/>
  <c r="AAQ1516" i="10"/>
  <c r="AAQ1523" i="10"/>
  <c r="AAQ1530" i="10"/>
  <c r="AAQ1521" i="10"/>
  <c r="AAQ1515" i="10"/>
  <c r="AAQ1525" i="10"/>
  <c r="AAQ1527" i="10"/>
  <c r="AAQ1517" i="10"/>
  <c r="AAQ1528" i="10"/>
  <c r="AAQ1514" i="10"/>
  <c r="AAQ1520" i="10"/>
  <c r="AAQ1522" i="10"/>
  <c r="AAQ1532" i="10"/>
  <c r="AAQ1524" i="10"/>
  <c r="AAQ1529" i="10"/>
  <c r="CQ1492" i="10"/>
  <c r="CQ1491" i="10"/>
  <c r="CQ1493" i="10"/>
  <c r="CQ1494" i="10"/>
  <c r="CQ1497" i="10"/>
  <c r="CQ1499" i="10"/>
  <c r="CQ1496" i="10"/>
  <c r="CQ1498" i="10"/>
  <c r="CQ1495" i="10"/>
  <c r="CQ1501" i="10"/>
  <c r="CQ1504" i="10"/>
  <c r="CQ1507" i="10"/>
  <c r="CQ1503" i="10"/>
  <c r="CQ1508" i="10"/>
  <c r="CQ1506" i="10"/>
  <c r="CQ1505" i="10"/>
  <c r="CQ1500" i="10"/>
  <c r="CQ1502" i="10"/>
  <c r="CQ1509" i="10"/>
  <c r="CQ1510" i="10"/>
  <c r="LB1530" i="10"/>
  <c r="LB1527" i="10"/>
  <c r="LB1519" i="10"/>
  <c r="LB1529" i="10"/>
  <c r="LB1532" i="10"/>
  <c r="LB1520" i="10"/>
  <c r="LB1518" i="10"/>
  <c r="LB1531" i="10"/>
  <c r="LB1528" i="10"/>
  <c r="LB1515" i="10"/>
  <c r="LB1526" i="10"/>
  <c r="LB1524" i="10"/>
  <c r="LB1523" i="10"/>
  <c r="LB1514" i="10"/>
  <c r="LB1525" i="10"/>
  <c r="LB1517" i="10"/>
  <c r="LB1533" i="10"/>
  <c r="LB1522" i="10"/>
  <c r="LB1521" i="10"/>
  <c r="LB1516" i="10"/>
  <c r="EW1518" i="10"/>
  <c r="EW1517" i="10"/>
  <c r="EW1515" i="10"/>
  <c r="EW1519" i="10"/>
  <c r="EW1516" i="10"/>
  <c r="EW1524" i="10"/>
  <c r="EW1514" i="10"/>
  <c r="EW1522" i="10"/>
  <c r="EW1521" i="10"/>
  <c r="EW1528" i="10"/>
  <c r="EW1520" i="10"/>
  <c r="EW1523" i="10"/>
  <c r="EW1526" i="10"/>
  <c r="EW1525" i="10"/>
  <c r="EW1527" i="10"/>
  <c r="EW1531" i="10"/>
  <c r="EW1529" i="10"/>
  <c r="EW1532" i="10"/>
  <c r="EW1533" i="10"/>
  <c r="EW1530" i="10"/>
  <c r="QD1517" i="10"/>
  <c r="QD1515" i="10"/>
  <c r="QD1514" i="10"/>
  <c r="QD1518" i="10"/>
  <c r="QD1516" i="10"/>
  <c r="QD1519" i="10"/>
  <c r="QD1521" i="10"/>
  <c r="QD1522" i="10"/>
  <c r="QD1523" i="10"/>
  <c r="QD1527" i="10"/>
  <c r="QD1524" i="10"/>
  <c r="QD1528" i="10"/>
  <c r="QD1525" i="10"/>
  <c r="QD1526" i="10"/>
  <c r="QD1531" i="10"/>
  <c r="QD1532" i="10"/>
  <c r="QD1520" i="10"/>
  <c r="QD1530" i="10"/>
  <c r="QD1529" i="10"/>
  <c r="QD1533" i="10"/>
  <c r="XP1493" i="10"/>
  <c r="XP1492" i="10"/>
  <c r="XP1496" i="10"/>
  <c r="XP1498" i="10"/>
  <c r="XP1495" i="10"/>
  <c r="XP1497" i="10"/>
  <c r="XP1491" i="10"/>
  <c r="XP1494" i="10"/>
  <c r="XP1500" i="10"/>
  <c r="XP1499" i="10"/>
  <c r="XP1501" i="10"/>
  <c r="XP1502" i="10"/>
  <c r="XP1508" i="10"/>
  <c r="XP1509" i="10"/>
  <c r="XP1507" i="10"/>
  <c r="XP1504" i="10"/>
  <c r="XP1503" i="10"/>
  <c r="XP1506" i="10"/>
  <c r="XP1505" i="10"/>
  <c r="XP1510" i="10"/>
  <c r="KO1527" i="10"/>
  <c r="KO1525" i="10"/>
  <c r="KO1523" i="10"/>
  <c r="KO1520" i="10"/>
  <c r="KO1529" i="10"/>
  <c r="KO1515" i="10"/>
  <c r="KO1522" i="10"/>
  <c r="KO1528" i="10"/>
  <c r="KO1517" i="10"/>
  <c r="KO1533" i="10"/>
  <c r="KO1526" i="10"/>
  <c r="KO1521" i="10"/>
  <c r="KO1531" i="10"/>
  <c r="KO1530" i="10"/>
  <c r="KO1519" i="10"/>
  <c r="KO1516" i="10"/>
  <c r="KO1532" i="10"/>
  <c r="KO1524" i="10"/>
  <c r="KO1518" i="10"/>
  <c r="KO1514" i="10"/>
  <c r="SB1492" i="10"/>
  <c r="SB1491" i="10"/>
  <c r="SB1493" i="10"/>
  <c r="SB1494" i="10"/>
  <c r="SB1500" i="10"/>
  <c r="SB1495" i="10"/>
  <c r="SB1501" i="10"/>
  <c r="SB1499" i="10"/>
  <c r="SB1498" i="10"/>
  <c r="SB1496" i="10"/>
  <c r="SB1505" i="10"/>
  <c r="SB1502" i="10"/>
  <c r="SB1504" i="10"/>
  <c r="SB1503" i="10"/>
  <c r="SB1506" i="10"/>
  <c r="SB1508" i="10"/>
  <c r="SB1497" i="10"/>
  <c r="SB1509" i="10"/>
  <c r="SB1507" i="10"/>
  <c r="SB1510" i="10"/>
  <c r="FM1516" i="10"/>
  <c r="FM1514" i="10"/>
  <c r="FM1515" i="10"/>
  <c r="FM1518" i="10"/>
  <c r="FM1519" i="10"/>
  <c r="FM1517" i="10"/>
  <c r="FM1521" i="10"/>
  <c r="FM1522" i="10"/>
  <c r="FM1524" i="10"/>
  <c r="FM1525" i="10"/>
  <c r="FM1520" i="10"/>
  <c r="FM1523" i="10"/>
  <c r="FM1527" i="10"/>
  <c r="FM1529" i="10"/>
  <c r="FM1526" i="10"/>
  <c r="FM1528" i="10"/>
  <c r="FM1530" i="10"/>
  <c r="FM1533" i="10"/>
  <c r="FM1531" i="10"/>
  <c r="FM1532" i="10"/>
  <c r="QT1514" i="10"/>
  <c r="QT1516" i="10"/>
  <c r="QT1517" i="10"/>
  <c r="QT1518" i="10"/>
  <c r="QT1519" i="10"/>
  <c r="QT1515" i="10"/>
  <c r="QT1521" i="10"/>
  <c r="QT1522" i="10"/>
  <c r="QT1523" i="10"/>
  <c r="QT1526" i="10"/>
  <c r="QT1527" i="10"/>
  <c r="QT1528" i="10"/>
  <c r="QT1525" i="10"/>
  <c r="QT1520" i="10"/>
  <c r="QT1524" i="10"/>
  <c r="QT1531" i="10"/>
  <c r="QT1532" i="10"/>
  <c r="QT1529" i="10"/>
  <c r="QT1533" i="10"/>
  <c r="QT1530" i="10"/>
  <c r="YF1492" i="10"/>
  <c r="YF1491" i="10"/>
  <c r="YF1493" i="10"/>
  <c r="YF1494" i="10"/>
  <c r="YF1500" i="10"/>
  <c r="YF1495" i="10"/>
  <c r="YF1498" i="10"/>
  <c r="YF1501" i="10"/>
  <c r="YF1497" i="10"/>
  <c r="YF1499" i="10"/>
  <c r="YF1496" i="10"/>
  <c r="YF1505" i="10"/>
  <c r="YF1504" i="10"/>
  <c r="YF1503" i="10"/>
  <c r="YF1506" i="10"/>
  <c r="YF1508" i="10"/>
  <c r="YF1502" i="10"/>
  <c r="YF1509" i="10"/>
  <c r="YF1507" i="10"/>
  <c r="YF1510" i="10"/>
  <c r="LP1517" i="10"/>
  <c r="LP1514" i="10"/>
  <c r="LP1515" i="10"/>
  <c r="LP1516" i="10"/>
  <c r="LP1519" i="10"/>
  <c r="LP1518" i="10"/>
  <c r="LP1520" i="10"/>
  <c r="LP1521" i="10"/>
  <c r="LP1523" i="10"/>
  <c r="LP1525" i="10"/>
  <c r="LP1527" i="10"/>
  <c r="LP1528" i="10"/>
  <c r="LP1522" i="10"/>
  <c r="LP1524" i="10"/>
  <c r="LP1526" i="10"/>
  <c r="LP1531" i="10"/>
  <c r="LP1532" i="10"/>
  <c r="LP1529" i="10"/>
  <c r="LP1530" i="10"/>
  <c r="LP1533" i="10"/>
  <c r="TC1503" i="10"/>
  <c r="TC1502" i="10"/>
  <c r="TC1498" i="10"/>
  <c r="TC1508" i="10"/>
  <c r="TC1493" i="10"/>
  <c r="TC1494" i="10"/>
  <c r="TC1507" i="10"/>
  <c r="TC1509" i="10"/>
  <c r="TC1495" i="10"/>
  <c r="TC1499" i="10"/>
  <c r="TC1510" i="10"/>
  <c r="TC1496" i="10"/>
  <c r="TC1500" i="10"/>
  <c r="TC1504" i="10"/>
  <c r="TC1497" i="10"/>
  <c r="TC1501" i="10"/>
  <c r="TC1506" i="10"/>
  <c r="TC1505" i="10"/>
  <c r="TC1491" i="10"/>
  <c r="TC1492" i="10"/>
  <c r="AGA1531" i="10"/>
  <c r="AGA1525" i="10"/>
  <c r="AGA1532" i="10"/>
  <c r="AGA1514" i="10"/>
  <c r="AGA1527" i="10"/>
  <c r="AGA1526" i="10"/>
  <c r="AGA1518" i="10"/>
  <c r="AGA1515" i="10"/>
  <c r="AGA1516" i="10"/>
  <c r="AGA1522" i="10"/>
  <c r="AGA1519" i="10"/>
  <c r="AGA1528" i="10"/>
  <c r="AGA1524" i="10"/>
  <c r="AGA1530" i="10"/>
  <c r="AGA1517" i="10"/>
  <c r="AGA1529" i="10"/>
  <c r="AGA1521" i="10"/>
  <c r="AGA1533" i="10"/>
  <c r="AGA1523" i="10"/>
  <c r="AGA1520" i="10"/>
  <c r="KG1530" i="10"/>
  <c r="KG1525" i="10"/>
  <c r="KG1523" i="10"/>
  <c r="KG1517" i="10"/>
  <c r="KG1521" i="10"/>
  <c r="KG1519" i="10"/>
  <c r="KG1532" i="10"/>
  <c r="KG1516" i="10"/>
  <c r="KG1524" i="10"/>
  <c r="KG1515" i="10"/>
  <c r="KG1533" i="10"/>
  <c r="KG1528" i="10"/>
  <c r="KG1531" i="10"/>
  <c r="KG1527" i="10"/>
  <c r="KG1522" i="10"/>
  <c r="KG1529" i="10"/>
  <c r="KG1526" i="10"/>
  <c r="KG1518" i="10"/>
  <c r="KG1514" i="10"/>
  <c r="KG1520" i="10"/>
  <c r="RU1493" i="10"/>
  <c r="RU1492" i="10"/>
  <c r="RU1496" i="10"/>
  <c r="RU1498" i="10"/>
  <c r="RU1495" i="10"/>
  <c r="RU1497" i="10"/>
  <c r="RU1491" i="10"/>
  <c r="RU1494" i="10"/>
  <c r="RU1499" i="10"/>
  <c r="RU1501" i="10"/>
  <c r="RU1500" i="10"/>
  <c r="RU1507" i="10"/>
  <c r="RU1502" i="10"/>
  <c r="RU1505" i="10"/>
  <c r="RU1503" i="10"/>
  <c r="RU1506" i="10"/>
  <c r="RU1508" i="10"/>
  <c r="RU1504" i="10"/>
  <c r="RU1510" i="10"/>
  <c r="RU1509" i="10"/>
  <c r="AGL1529" i="10"/>
  <c r="AGL1530" i="10"/>
  <c r="AGL1533" i="10"/>
  <c r="AGL1517" i="10"/>
  <c r="AGL1523" i="10"/>
  <c r="AGL1524" i="10"/>
  <c r="AGL1515" i="10"/>
  <c r="AGL1516" i="10"/>
  <c r="AGL1514" i="10"/>
  <c r="AGL1528" i="10"/>
  <c r="AGL1521" i="10"/>
  <c r="AGL1526" i="10"/>
  <c r="AGL1527" i="10"/>
  <c r="AGL1520" i="10"/>
  <c r="AGL1519" i="10"/>
  <c r="AGL1522" i="10"/>
  <c r="AGL1525" i="10"/>
  <c r="AGL1532" i="10"/>
  <c r="AGL1531" i="10"/>
  <c r="AGL1518" i="10"/>
  <c r="HA1493" i="10"/>
  <c r="HA1499" i="10"/>
  <c r="HA1496" i="10"/>
  <c r="HA1498" i="10"/>
  <c r="HA1492" i="10"/>
  <c r="HA1495" i="10"/>
  <c r="HA1497" i="10"/>
  <c r="HA1491" i="10"/>
  <c r="HA1494" i="10"/>
  <c r="HA1500" i="10"/>
  <c r="HA1502" i="10"/>
  <c r="HA1501" i="10"/>
  <c r="HA1508" i="10"/>
  <c r="HA1507" i="10"/>
  <c r="HA1504" i="10"/>
  <c r="HA1506" i="10"/>
  <c r="HA1503" i="10"/>
  <c r="HA1505" i="10"/>
  <c r="HA1509" i="10"/>
  <c r="HA1510" i="10"/>
  <c r="AFE1492" i="10"/>
  <c r="AFE1491" i="10"/>
  <c r="AFE1495" i="10"/>
  <c r="AFE1497" i="10"/>
  <c r="AFE1493" i="10"/>
  <c r="AFE1496" i="10"/>
  <c r="AFE1498" i="10"/>
  <c r="AFE1499" i="10"/>
  <c r="AFE1500" i="10"/>
  <c r="AFE1494" i="10"/>
  <c r="AFE1501" i="10"/>
  <c r="AFE1507" i="10"/>
  <c r="AFE1502" i="10"/>
  <c r="AFE1505" i="10"/>
  <c r="AFE1504" i="10"/>
  <c r="AFE1508" i="10"/>
  <c r="AFE1506" i="10"/>
  <c r="AFE1503" i="10"/>
  <c r="AFE1510" i="10"/>
  <c r="AFE1509" i="10"/>
  <c r="EQ1514" i="10"/>
  <c r="EQ1515" i="10"/>
  <c r="EQ1516" i="10"/>
  <c r="EQ1518" i="10"/>
  <c r="EQ1521" i="10"/>
  <c r="EQ1525" i="10"/>
  <c r="EQ1517" i="10"/>
  <c r="EQ1520" i="10"/>
  <c r="EQ1519" i="10"/>
  <c r="EQ1522" i="10"/>
  <c r="EQ1523" i="10"/>
  <c r="EQ1524" i="10"/>
  <c r="EQ1529" i="10"/>
  <c r="EQ1526" i="10"/>
  <c r="EQ1527" i="10"/>
  <c r="EQ1530" i="10"/>
  <c r="EQ1528" i="10"/>
  <c r="EQ1532" i="10"/>
  <c r="EQ1531" i="10"/>
  <c r="EQ1533" i="10"/>
  <c r="KH1493" i="10"/>
  <c r="KH1498" i="10"/>
  <c r="KH1501" i="10"/>
  <c r="KH1504" i="10"/>
  <c r="KH1491" i="10"/>
  <c r="KH1496" i="10"/>
  <c r="KH1502" i="10"/>
  <c r="KH1505" i="10"/>
  <c r="KH1500" i="10"/>
  <c r="KH1492" i="10"/>
  <c r="KH1497" i="10"/>
  <c r="KH1503" i="10"/>
  <c r="KH1506" i="10"/>
  <c r="KH1495" i="10"/>
  <c r="KH1499" i="10"/>
  <c r="KH1494" i="10"/>
  <c r="KH1508" i="10"/>
  <c r="KH1509" i="10"/>
  <c r="KH1507" i="10"/>
  <c r="KH1510" i="10"/>
  <c r="AAY1533" i="10"/>
  <c r="AAY1515" i="10"/>
  <c r="AAY1525" i="10"/>
  <c r="AAY1527" i="10"/>
  <c r="AAY1526" i="10"/>
  <c r="AAY1517" i="10"/>
  <c r="AAY1528" i="10"/>
  <c r="AAY1514" i="10"/>
  <c r="AAY1520" i="10"/>
  <c r="AAY1519" i="10"/>
  <c r="AAY1521" i="10"/>
  <c r="AAY1524" i="10"/>
  <c r="AAY1522" i="10"/>
  <c r="AAY1532" i="10"/>
  <c r="AAY1518" i="10"/>
  <c r="AAY1531" i="10"/>
  <c r="AAY1529" i="10"/>
  <c r="AAY1516" i="10"/>
  <c r="AAY1523" i="10"/>
  <c r="AAY1530" i="10"/>
  <c r="CZ1491" i="10"/>
  <c r="CZ1494" i="10"/>
  <c r="CZ1497" i="10"/>
  <c r="CZ1499" i="10"/>
  <c r="CZ1493" i="10"/>
  <c r="CZ1496" i="10"/>
  <c r="CZ1498" i="10"/>
  <c r="CZ1495" i="10"/>
  <c r="CZ1492" i="10"/>
  <c r="CZ1500" i="10"/>
  <c r="CZ1502" i="10"/>
  <c r="CZ1503" i="10"/>
  <c r="CZ1509" i="10"/>
  <c r="CZ1508" i="10"/>
  <c r="CZ1501" i="10"/>
  <c r="CZ1505" i="10"/>
  <c r="CZ1504" i="10"/>
  <c r="CZ1507" i="10"/>
  <c r="CZ1506" i="10"/>
  <c r="CZ1510" i="10"/>
  <c r="TW1526" i="10"/>
  <c r="TW1533" i="10"/>
  <c r="TW1514" i="10"/>
  <c r="TW1520" i="10"/>
  <c r="TW1519" i="10"/>
  <c r="TW1521" i="10"/>
  <c r="TW1523" i="10"/>
  <c r="TW1522" i="10"/>
  <c r="TW1532" i="10"/>
  <c r="TW1516" i="10"/>
  <c r="TW1524" i="10"/>
  <c r="TW1529" i="10"/>
  <c r="TW1518" i="10"/>
  <c r="TW1531" i="10"/>
  <c r="TW1515" i="10"/>
  <c r="TW1525" i="10"/>
  <c r="TW1527" i="10"/>
  <c r="TW1530" i="10"/>
  <c r="TW1517" i="10"/>
  <c r="TW1528" i="10"/>
  <c r="ZM1492" i="10"/>
  <c r="ZM1491" i="10"/>
  <c r="ZM1493" i="10"/>
  <c r="ZM1494" i="10"/>
  <c r="ZM1496" i="10"/>
  <c r="ZM1495" i="10"/>
  <c r="ZM1497" i="10"/>
  <c r="ZM1500" i="10"/>
  <c r="ZM1499" i="10"/>
  <c r="ZM1501" i="10"/>
  <c r="ZM1507" i="10"/>
  <c r="ZM1498" i="10"/>
  <c r="ZM1505" i="10"/>
  <c r="ZM1502" i="10"/>
  <c r="ZM1504" i="10"/>
  <c r="ZM1503" i="10"/>
  <c r="ZM1506" i="10"/>
  <c r="ZM1509" i="10"/>
  <c r="ZM1510" i="10"/>
  <c r="ZM1508" i="10"/>
  <c r="QO1532" i="10"/>
  <c r="QO1533" i="10"/>
  <c r="QO1516" i="10"/>
  <c r="QO1527" i="10"/>
  <c r="QO1528" i="10"/>
  <c r="QO1529" i="10"/>
  <c r="QO1514" i="10"/>
  <c r="QO1530" i="10"/>
  <c r="QO1525" i="10"/>
  <c r="QO1515" i="10"/>
  <c r="QO1531" i="10"/>
  <c r="QO1517" i="10"/>
  <c r="QO1520" i="10"/>
  <c r="QO1522" i="10"/>
  <c r="QO1518" i="10"/>
  <c r="QO1524" i="10"/>
  <c r="QO1523" i="10"/>
  <c r="QO1519" i="10"/>
  <c r="QO1521" i="10"/>
  <c r="QO1526" i="10"/>
  <c r="YD1492" i="10"/>
  <c r="YD1491" i="10"/>
  <c r="YD1493" i="10"/>
  <c r="YD1494" i="10"/>
  <c r="YD1496" i="10"/>
  <c r="YD1498" i="10"/>
  <c r="YD1501" i="10"/>
  <c r="YD1497" i="10"/>
  <c r="YD1499" i="10"/>
  <c r="YD1495" i="10"/>
  <c r="YD1500" i="10"/>
  <c r="YD1504" i="10"/>
  <c r="YD1503" i="10"/>
  <c r="YD1506" i="10"/>
  <c r="YD1508" i="10"/>
  <c r="YD1502" i="10"/>
  <c r="YD1509" i="10"/>
  <c r="YD1505" i="10"/>
  <c r="YD1507" i="10"/>
  <c r="YD1510" i="10"/>
  <c r="T1514" i="10"/>
  <c r="T1517" i="10"/>
  <c r="T1516" i="10"/>
  <c r="T1519" i="10"/>
  <c r="T1518" i="10"/>
  <c r="T1515" i="10"/>
  <c r="T1523" i="10"/>
  <c r="T1524" i="10"/>
  <c r="T1525" i="10"/>
  <c r="T1526" i="10"/>
  <c r="T1520" i="10"/>
  <c r="T1527" i="10"/>
  <c r="T1528" i="10"/>
  <c r="T1522" i="10"/>
  <c r="T1529" i="10"/>
  <c r="T1533" i="10"/>
  <c r="T1531" i="10"/>
  <c r="T1521" i="10"/>
  <c r="T1530" i="10"/>
  <c r="T1532" i="10"/>
  <c r="LA1525" i="10"/>
  <c r="LA1523" i="10"/>
  <c r="LA1530" i="10"/>
  <c r="LA1520" i="10"/>
  <c r="LA1526" i="10"/>
  <c r="LA1521" i="10"/>
  <c r="LA1519" i="10"/>
  <c r="LA1516" i="10"/>
  <c r="LA1531" i="10"/>
  <c r="LA1524" i="10"/>
  <c r="LA1515" i="10"/>
  <c r="LA1522" i="10"/>
  <c r="LA1532" i="10"/>
  <c r="LA1529" i="10"/>
  <c r="LA1518" i="10"/>
  <c r="LA1528" i="10"/>
  <c r="LA1517" i="10"/>
  <c r="LA1527" i="10"/>
  <c r="LA1514" i="10"/>
  <c r="LA1533" i="10"/>
  <c r="SO1493" i="10"/>
  <c r="SO1492" i="10"/>
  <c r="SO1491" i="10"/>
  <c r="SO1494" i="10"/>
  <c r="SO1496" i="10"/>
  <c r="SO1495" i="10"/>
  <c r="SO1497" i="10"/>
  <c r="SO1500" i="10"/>
  <c r="SO1498" i="10"/>
  <c r="SO1507" i="10"/>
  <c r="SO1499" i="10"/>
  <c r="SO1505" i="10"/>
  <c r="SO1501" i="10"/>
  <c r="SO1504" i="10"/>
  <c r="SO1503" i="10"/>
  <c r="SO1506" i="10"/>
  <c r="SO1509" i="10"/>
  <c r="SO1508" i="10"/>
  <c r="SO1510" i="10"/>
  <c r="SO1502" i="10"/>
  <c r="FY1492" i="10"/>
  <c r="FY1491" i="10"/>
  <c r="FY1494" i="10"/>
  <c r="FY1493" i="10"/>
  <c r="FY1498" i="10"/>
  <c r="FY1499" i="10"/>
  <c r="FY1496" i="10"/>
  <c r="FY1495" i="10"/>
  <c r="FY1500" i="10"/>
  <c r="FY1501" i="10"/>
  <c r="FY1497" i="10"/>
  <c r="FY1504" i="10"/>
  <c r="FY1509" i="10"/>
  <c r="FY1503" i="10"/>
  <c r="FY1508" i="10"/>
  <c r="FY1505" i="10"/>
  <c r="FY1502" i="10"/>
  <c r="FY1506" i="10"/>
  <c r="FY1510" i="10"/>
  <c r="FY1507" i="10"/>
  <c r="NK1491" i="10"/>
  <c r="NK1494" i="10"/>
  <c r="NK1492" i="10"/>
  <c r="NK1496" i="10"/>
  <c r="NK1498" i="10"/>
  <c r="NK1495" i="10"/>
  <c r="NK1497" i="10"/>
  <c r="NK1493" i="10"/>
  <c r="NK1500" i="10"/>
  <c r="NK1499" i="10"/>
  <c r="NK1502" i="10"/>
  <c r="NK1503" i="10"/>
  <c r="NK1506" i="10"/>
  <c r="NK1508" i="10"/>
  <c r="NK1509" i="10"/>
  <c r="NK1507" i="10"/>
  <c r="NK1505" i="10"/>
  <c r="NK1501" i="10"/>
  <c r="NK1504" i="10"/>
  <c r="NK1510" i="10"/>
  <c r="II1508" i="10"/>
  <c r="II1506" i="10"/>
  <c r="II1509" i="10"/>
  <c r="II1510" i="10"/>
  <c r="II1492" i="10"/>
  <c r="II1505" i="10"/>
  <c r="II1498" i="10"/>
  <c r="II1494" i="10"/>
  <c r="II1496" i="10"/>
  <c r="II1504" i="10"/>
  <c r="II1491" i="10"/>
  <c r="II1503" i="10"/>
  <c r="II1495" i="10"/>
  <c r="II1499" i="10"/>
  <c r="II1497" i="10"/>
  <c r="II1507" i="10"/>
  <c r="II1502" i="10"/>
  <c r="II1493" i="10"/>
  <c r="II1500" i="10"/>
  <c r="II1501" i="10"/>
  <c r="ADW1532" i="10"/>
  <c r="ADW1514" i="10"/>
  <c r="ADW1520" i="10"/>
  <c r="ADW1529" i="10"/>
  <c r="ADW1518" i="10"/>
  <c r="ADW1524" i="10"/>
  <c r="ADW1531" i="10"/>
  <c r="ADW1515" i="10"/>
  <c r="ADW1526" i="10"/>
  <c r="ADW1533" i="10"/>
  <c r="ADW1517" i="10"/>
  <c r="ADW1516" i="10"/>
  <c r="ADW1522" i="10"/>
  <c r="ADW1521" i="10"/>
  <c r="ADW1525" i="10"/>
  <c r="ADW1530" i="10"/>
  <c r="ADW1519" i="10"/>
  <c r="ADW1528" i="10"/>
  <c r="ADW1523" i="10"/>
  <c r="ADW1527" i="10"/>
  <c r="GZ1514" i="10"/>
  <c r="GZ1515" i="10"/>
  <c r="GZ1516" i="10"/>
  <c r="GZ1517" i="10"/>
  <c r="GZ1518" i="10"/>
  <c r="GZ1520" i="10"/>
  <c r="GZ1519" i="10"/>
  <c r="GZ1526" i="10"/>
  <c r="GZ1522" i="10"/>
  <c r="GZ1524" i="10"/>
  <c r="GZ1525" i="10"/>
  <c r="GZ1533" i="10"/>
  <c r="GZ1521" i="10"/>
  <c r="GZ1523" i="10"/>
  <c r="GZ1528" i="10"/>
  <c r="GZ1532" i="10"/>
  <c r="GZ1530" i="10"/>
  <c r="GZ1531" i="10"/>
  <c r="GZ1527" i="10"/>
  <c r="GZ1529" i="10"/>
  <c r="SG1514" i="10"/>
  <c r="SG1517" i="10"/>
  <c r="SG1518" i="10"/>
  <c r="SG1515" i="10"/>
  <c r="SG1516" i="10"/>
  <c r="SG1519" i="10"/>
  <c r="SG1522" i="10"/>
  <c r="SG1524" i="10"/>
  <c r="SG1521" i="10"/>
  <c r="SG1527" i="10"/>
  <c r="SG1528" i="10"/>
  <c r="SG1526" i="10"/>
  <c r="SG1531" i="10"/>
  <c r="SG1529" i="10"/>
  <c r="SG1525" i="10"/>
  <c r="SG1520" i="10"/>
  <c r="SG1533" i="10"/>
  <c r="SG1532" i="10"/>
  <c r="SG1530" i="10"/>
  <c r="SG1523" i="10"/>
  <c r="ZR1491" i="10"/>
  <c r="ZR1494" i="10"/>
  <c r="ZR1496" i="10"/>
  <c r="ZR1498" i="10"/>
  <c r="ZR1493" i="10"/>
  <c r="ZR1495" i="10"/>
  <c r="ZR1497" i="10"/>
  <c r="ZR1492" i="10"/>
  <c r="ZR1499" i="10"/>
  <c r="ZR1501" i="10"/>
  <c r="ZR1500" i="10"/>
  <c r="ZR1502" i="10"/>
  <c r="ZR1503" i="10"/>
  <c r="ZR1506" i="10"/>
  <c r="ZR1509" i="10"/>
  <c r="ZR1507" i="10"/>
  <c r="ZR1505" i="10"/>
  <c r="ZR1504" i="10"/>
  <c r="ZR1508" i="10"/>
  <c r="ZR1510" i="10"/>
  <c r="MS1517" i="10"/>
  <c r="MS1525" i="10"/>
  <c r="MS1528" i="10"/>
  <c r="MS1527" i="10"/>
  <c r="MS1531" i="10"/>
  <c r="MS1532" i="10"/>
  <c r="MS1526" i="10"/>
  <c r="MS1530" i="10"/>
  <c r="MS1533" i="10"/>
  <c r="MS1515" i="10"/>
  <c r="MS1519" i="10"/>
  <c r="MS1516" i="10"/>
  <c r="MS1514" i="10"/>
  <c r="MS1522" i="10"/>
  <c r="MS1521" i="10"/>
  <c r="MS1518" i="10"/>
  <c r="MS1523" i="10"/>
  <c r="MS1524" i="10"/>
  <c r="MS1529" i="10"/>
  <c r="MS1520" i="10"/>
  <c r="GG1493" i="10"/>
  <c r="GG1499" i="10"/>
  <c r="GG1496" i="10"/>
  <c r="GG1498" i="10"/>
  <c r="GG1491" i="10"/>
  <c r="GG1495" i="10"/>
  <c r="GG1497" i="10"/>
  <c r="GG1492" i="10"/>
  <c r="GG1494" i="10"/>
  <c r="GG1500" i="10"/>
  <c r="GG1502" i="10"/>
  <c r="GG1501" i="10"/>
  <c r="GG1508" i="10"/>
  <c r="GG1507" i="10"/>
  <c r="GG1506" i="10"/>
  <c r="GG1504" i="10"/>
  <c r="GG1503" i="10"/>
  <c r="GG1509" i="10"/>
  <c r="GG1505" i="10"/>
  <c r="GG1510" i="10"/>
  <c r="S1516" i="10"/>
  <c r="S1515" i="10"/>
  <c r="S1519" i="10"/>
  <c r="S1518" i="10"/>
  <c r="S1520" i="10"/>
  <c r="S1514" i="10"/>
  <c r="S1517" i="10"/>
  <c r="S1523" i="10"/>
  <c r="S1521" i="10"/>
  <c r="S1522" i="10"/>
  <c r="S1524" i="10"/>
  <c r="S1526" i="10"/>
  <c r="S1527" i="10"/>
  <c r="S1528" i="10"/>
  <c r="S1525" i="10"/>
  <c r="S1529" i="10"/>
  <c r="S1533" i="10"/>
  <c r="S1530" i="10"/>
  <c r="S1532" i="10"/>
  <c r="S1531" i="10"/>
  <c r="VW1529" i="10"/>
  <c r="VW1518" i="10"/>
  <c r="VW1523" i="10"/>
  <c r="VW1515" i="10"/>
  <c r="VW1524" i="10"/>
  <c r="VW1520" i="10"/>
  <c r="VW1531" i="10"/>
  <c r="VW1521" i="10"/>
  <c r="VW1533" i="10"/>
  <c r="VW1522" i="10"/>
  <c r="VW1528" i="10"/>
  <c r="VW1516" i="10"/>
  <c r="VW1519" i="10"/>
  <c r="VW1532" i="10"/>
  <c r="VW1514" i="10"/>
  <c r="VW1526" i="10"/>
  <c r="VW1527" i="10"/>
  <c r="VW1517" i="10"/>
  <c r="VW1525" i="10"/>
  <c r="VW1530" i="10"/>
  <c r="ABG1492" i="10"/>
  <c r="ABG1491" i="10"/>
  <c r="ABG1493" i="10"/>
  <c r="ABG1496" i="10"/>
  <c r="ABG1495" i="10"/>
  <c r="ABG1497" i="10"/>
  <c r="ABG1494" i="10"/>
  <c r="ABG1501" i="10"/>
  <c r="ABG1498" i="10"/>
  <c r="ABG1507" i="10"/>
  <c r="ABG1505" i="10"/>
  <c r="ABG1499" i="10"/>
  <c r="ABG1500" i="10"/>
  <c r="ABG1504" i="10"/>
  <c r="ABG1503" i="10"/>
  <c r="ABG1506" i="10"/>
  <c r="ABG1502" i="10"/>
  <c r="ABG1509" i="10"/>
  <c r="ABG1510" i="10"/>
  <c r="ABG1508" i="10"/>
  <c r="OP1515" i="10"/>
  <c r="OP1517" i="10"/>
  <c r="OP1518" i="10"/>
  <c r="OP1514" i="10"/>
  <c r="OP1519" i="10"/>
  <c r="OP1516" i="10"/>
  <c r="OP1521" i="10"/>
  <c r="OP1520" i="10"/>
  <c r="OP1523" i="10"/>
  <c r="OP1525" i="10"/>
  <c r="OP1522" i="10"/>
  <c r="OP1524" i="10"/>
  <c r="OP1528" i="10"/>
  <c r="OP1526" i="10"/>
  <c r="OP1527" i="10"/>
  <c r="OP1529" i="10"/>
  <c r="OP1532" i="10"/>
  <c r="OP1530" i="10"/>
  <c r="OP1533" i="10"/>
  <c r="OP1531" i="10"/>
  <c r="UF1492" i="10"/>
  <c r="UF1491" i="10"/>
  <c r="UF1495" i="10"/>
  <c r="UF1497" i="10"/>
  <c r="UF1493" i="10"/>
  <c r="UF1496" i="10"/>
  <c r="UF1498" i="10"/>
  <c r="UF1501" i="10"/>
  <c r="UF1500" i="10"/>
  <c r="UF1494" i="10"/>
  <c r="UF1499" i="10"/>
  <c r="UF1509" i="10"/>
  <c r="UF1507" i="10"/>
  <c r="UF1502" i="10"/>
  <c r="UF1505" i="10"/>
  <c r="UF1504" i="10"/>
  <c r="UF1508" i="10"/>
  <c r="UF1510" i="10"/>
  <c r="UF1506" i="10"/>
  <c r="UF1503" i="10"/>
  <c r="JN1514" i="10"/>
  <c r="JN1515" i="10"/>
  <c r="JN1516" i="10"/>
  <c r="JN1518" i="10"/>
  <c r="JN1517" i="10"/>
  <c r="JN1523" i="10"/>
  <c r="JN1520" i="10"/>
  <c r="JN1521" i="10"/>
  <c r="JN1522" i="10"/>
  <c r="JN1524" i="10"/>
  <c r="JN1525" i="10"/>
  <c r="JN1527" i="10"/>
  <c r="JN1528" i="10"/>
  <c r="JN1526" i="10"/>
  <c r="JN1519" i="10"/>
  <c r="JN1531" i="10"/>
  <c r="JN1532" i="10"/>
  <c r="JN1530" i="10"/>
  <c r="JN1529" i="10"/>
  <c r="JN1533" i="10"/>
  <c r="DZ1517" i="10"/>
  <c r="DZ1516" i="10"/>
  <c r="DZ1515" i="10"/>
  <c r="DZ1518" i="10"/>
  <c r="DZ1514" i="10"/>
  <c r="DZ1520" i="10"/>
  <c r="DZ1519" i="10"/>
  <c r="DZ1522" i="10"/>
  <c r="DZ1521" i="10"/>
  <c r="DZ1525" i="10"/>
  <c r="DZ1523" i="10"/>
  <c r="DZ1524" i="10"/>
  <c r="DZ1526" i="10"/>
  <c r="DZ1527" i="10"/>
  <c r="DZ1529" i="10"/>
  <c r="DZ1528" i="10"/>
  <c r="DZ1533" i="10"/>
  <c r="DZ1530" i="10"/>
  <c r="DZ1532" i="10"/>
  <c r="DZ1531" i="10"/>
  <c r="LN1492" i="10"/>
  <c r="LN1491" i="10"/>
  <c r="LN1493" i="10"/>
  <c r="LN1494" i="10"/>
  <c r="LN1500" i="10"/>
  <c r="LN1495" i="10"/>
  <c r="LN1496" i="10"/>
  <c r="LN1501" i="10"/>
  <c r="LN1502" i="10"/>
  <c r="LN1498" i="10"/>
  <c r="LN1497" i="10"/>
  <c r="LN1499" i="10"/>
  <c r="LN1505" i="10"/>
  <c r="LN1504" i="10"/>
  <c r="LN1503" i="10"/>
  <c r="LN1506" i="10"/>
  <c r="LN1508" i="10"/>
  <c r="LN1509" i="10"/>
  <c r="LN1507" i="10"/>
  <c r="LN1510" i="10"/>
  <c r="GJ1491" i="10"/>
  <c r="GJ1493" i="10"/>
  <c r="GJ1492" i="10"/>
  <c r="GJ1494" i="10"/>
  <c r="GJ1499" i="10"/>
  <c r="GJ1496" i="10"/>
  <c r="GJ1497" i="10"/>
  <c r="GJ1498" i="10"/>
  <c r="GJ1495" i="10"/>
  <c r="GJ1501" i="10"/>
  <c r="GJ1505" i="10"/>
  <c r="GJ1504" i="10"/>
  <c r="GJ1502" i="10"/>
  <c r="GJ1503" i="10"/>
  <c r="GJ1509" i="10"/>
  <c r="GJ1508" i="10"/>
  <c r="GJ1500" i="10"/>
  <c r="GJ1507" i="10"/>
  <c r="GJ1506" i="10"/>
  <c r="GJ1510" i="10"/>
  <c r="ACL1527" i="10"/>
  <c r="ACL1523" i="10"/>
  <c r="ACL1514" i="10"/>
  <c r="ACL1532" i="10"/>
  <c r="ACL1518" i="10"/>
  <c r="ACL1520" i="10"/>
  <c r="ACL1526" i="10"/>
  <c r="ACL1530" i="10"/>
  <c r="ACL1525" i="10"/>
  <c r="ACL1524" i="10"/>
  <c r="ACL1531" i="10"/>
  <c r="ACL1533" i="10"/>
  <c r="ACL1515" i="10"/>
  <c r="ACL1517" i="10"/>
  <c r="ACL1521" i="10"/>
  <c r="ACL1528" i="10"/>
  <c r="ACL1516" i="10"/>
  <c r="ACL1522" i="10"/>
  <c r="ACL1529" i="10"/>
  <c r="ACL1519" i="10"/>
  <c r="BI1492" i="10"/>
  <c r="BI1491" i="10"/>
  <c r="BI1493" i="10"/>
  <c r="BI1494" i="10"/>
  <c r="BI1500" i="10"/>
  <c r="BI1495" i="10"/>
  <c r="BI1501" i="10"/>
  <c r="BI1497" i="10"/>
  <c r="BI1496" i="10"/>
  <c r="BI1498" i="10"/>
  <c r="BI1499" i="10"/>
  <c r="BI1506" i="10"/>
  <c r="BI1505" i="10"/>
  <c r="BI1504" i="10"/>
  <c r="BI1507" i="10"/>
  <c r="BI1503" i="10"/>
  <c r="BI1509" i="10"/>
  <c r="BI1508" i="10"/>
  <c r="BI1502" i="10"/>
  <c r="BI1510" i="10"/>
  <c r="XV1528" i="10"/>
  <c r="XV1525" i="10"/>
  <c r="XV1531" i="10"/>
  <c r="XV1533" i="10"/>
  <c r="XV1529" i="10"/>
  <c r="XV1532" i="10"/>
  <c r="XV1530" i="10"/>
  <c r="XV1521" i="10"/>
  <c r="XV1523" i="10"/>
  <c r="XV1526" i="10"/>
  <c r="XV1514" i="10"/>
  <c r="XV1517" i="10"/>
  <c r="XV1524" i="10"/>
  <c r="XV1515" i="10"/>
  <c r="XV1522" i="10"/>
  <c r="XV1520" i="10"/>
  <c r="XV1516" i="10"/>
  <c r="XV1527" i="10"/>
  <c r="XV1519" i="10"/>
  <c r="XV1518" i="10"/>
  <c r="Y1514" i="10"/>
  <c r="Y1515" i="10"/>
  <c r="Y1516" i="10"/>
  <c r="Y1517" i="10"/>
  <c r="Y1518" i="10"/>
  <c r="Y1520" i="10"/>
  <c r="Y1519" i="10"/>
  <c r="Y1521" i="10"/>
  <c r="Y1522" i="10"/>
  <c r="Y1524" i="10"/>
  <c r="Y1523" i="10"/>
  <c r="Y1525" i="10"/>
  <c r="Y1529" i="10"/>
  <c r="Y1526" i="10"/>
  <c r="Y1527" i="10"/>
  <c r="Y1528" i="10"/>
  <c r="Y1530" i="10"/>
  <c r="Y1532" i="10"/>
  <c r="Y1531" i="10"/>
  <c r="Y1533" i="10"/>
  <c r="HK1508" i="10"/>
  <c r="HK1509" i="10"/>
  <c r="HK1506" i="10"/>
  <c r="HK1510" i="10"/>
  <c r="HK1493" i="10"/>
  <c r="HK1502" i="10"/>
  <c r="HK1503" i="10"/>
  <c r="HK1494" i="10"/>
  <c r="HK1507" i="10"/>
  <c r="HK1492" i="10"/>
  <c r="HK1498" i="10"/>
  <c r="HK1495" i="10"/>
  <c r="HK1497" i="10"/>
  <c r="HK1500" i="10"/>
  <c r="HK1501" i="10"/>
  <c r="HK1491" i="10"/>
  <c r="HK1496" i="10"/>
  <c r="HK1499" i="10"/>
  <c r="HK1505" i="10"/>
  <c r="HK1504" i="10"/>
  <c r="ADH1531" i="10"/>
  <c r="ADH1518" i="10"/>
  <c r="ADH1529" i="10"/>
  <c r="ADH1532" i="10"/>
  <c r="ADH1520" i="10"/>
  <c r="ADH1525" i="10"/>
  <c r="ADH1523" i="10"/>
  <c r="ADH1521" i="10"/>
  <c r="ADH1528" i="10"/>
  <c r="ADH1524" i="10"/>
  <c r="ADH1519" i="10"/>
  <c r="ADH1515" i="10"/>
  <c r="ADH1530" i="10"/>
  <c r="ADH1522" i="10"/>
  <c r="ADH1527" i="10"/>
  <c r="ADH1526" i="10"/>
  <c r="ADH1516" i="10"/>
  <c r="ADH1514" i="10"/>
  <c r="ADH1517" i="10"/>
  <c r="ADH1533" i="10"/>
  <c r="BZ1491" i="10"/>
  <c r="BZ1493" i="10"/>
  <c r="BZ1492" i="10"/>
  <c r="BZ1494" i="10"/>
  <c r="BZ1497" i="10"/>
  <c r="BZ1499" i="10"/>
  <c r="BZ1496" i="10"/>
  <c r="BZ1500" i="10"/>
  <c r="BZ1498" i="10"/>
  <c r="BZ1501" i="10"/>
  <c r="BZ1495" i="10"/>
  <c r="BZ1505" i="10"/>
  <c r="BZ1504" i="10"/>
  <c r="BZ1507" i="10"/>
  <c r="BZ1503" i="10"/>
  <c r="BZ1509" i="10"/>
  <c r="BZ1502" i="10"/>
  <c r="BZ1506" i="10"/>
  <c r="BZ1508" i="10"/>
  <c r="BZ1510" i="10"/>
  <c r="YM1526" i="10"/>
  <c r="YM1533" i="10"/>
  <c r="YM1515" i="10"/>
  <c r="YM1525" i="10"/>
  <c r="YM1527" i="10"/>
  <c r="YM1517" i="10"/>
  <c r="YM1528" i="10"/>
  <c r="YM1529" i="10"/>
  <c r="YM1514" i="10"/>
  <c r="YM1520" i="10"/>
  <c r="YM1524" i="10"/>
  <c r="YM1519" i="10"/>
  <c r="YM1521" i="10"/>
  <c r="YM1522" i="10"/>
  <c r="YM1532" i="10"/>
  <c r="YM1518" i="10"/>
  <c r="YM1531" i="10"/>
  <c r="YM1516" i="10"/>
  <c r="YM1523" i="10"/>
  <c r="YM1530" i="10"/>
  <c r="AEP1491" i="10"/>
  <c r="AEP1494" i="10"/>
  <c r="AEP1493" i="10"/>
  <c r="AEP1496" i="10"/>
  <c r="AEP1498" i="10"/>
  <c r="AEP1492" i="10"/>
  <c r="AEP1495" i="10"/>
  <c r="AEP1497" i="10"/>
  <c r="AEP1499" i="10"/>
  <c r="AEP1500" i="10"/>
  <c r="AEP1501" i="10"/>
  <c r="AEP1503" i="10"/>
  <c r="AEP1506" i="10"/>
  <c r="AEP1502" i="10"/>
  <c r="AEP1507" i="10"/>
  <c r="AEP1505" i="10"/>
  <c r="AEP1504" i="10"/>
  <c r="AEP1509" i="10"/>
  <c r="AEP1508" i="10"/>
  <c r="AEP1510" i="10"/>
  <c r="ACQ1530" i="10"/>
  <c r="ACQ1528" i="10"/>
  <c r="ACQ1533" i="10"/>
  <c r="ACQ1521" i="10"/>
  <c r="ACQ1520" i="10"/>
  <c r="ACQ1522" i="10"/>
  <c r="ACQ1519" i="10"/>
  <c r="ACQ1531" i="10"/>
  <c r="ACQ1526" i="10"/>
  <c r="ACQ1527" i="10"/>
  <c r="ACQ1516" i="10"/>
  <c r="ACQ1517" i="10"/>
  <c r="ACQ1518" i="10"/>
  <c r="ACQ1529" i="10"/>
  <c r="ACQ1514" i="10"/>
  <c r="ACQ1523" i="10"/>
  <c r="ACQ1515" i="10"/>
  <c r="ACQ1524" i="10"/>
  <c r="ACQ1525" i="10"/>
  <c r="ACQ1532" i="10"/>
  <c r="TI1514" i="10"/>
  <c r="TI1519" i="10"/>
  <c r="TI1520" i="10"/>
  <c r="TI1522" i="10"/>
  <c r="TI1521" i="10"/>
  <c r="TI1528" i="10"/>
  <c r="TI1527" i="10"/>
  <c r="TI1523" i="10"/>
  <c r="TI1532" i="10"/>
  <c r="TI1531" i="10"/>
  <c r="TI1530" i="10"/>
  <c r="TI1529" i="10"/>
  <c r="TI1533" i="10"/>
  <c r="TI1524" i="10"/>
  <c r="TI1518" i="10"/>
  <c r="TI1526" i="10"/>
  <c r="TI1516" i="10"/>
  <c r="TI1515" i="10"/>
  <c r="TI1517" i="10"/>
  <c r="TI1525" i="10"/>
  <c r="ABX1517" i="10"/>
  <c r="ABX1518" i="10"/>
  <c r="ABX1524" i="10"/>
  <c r="ABX1522" i="10"/>
  <c r="ABX1519" i="10"/>
  <c r="ABX1525" i="10"/>
  <c r="ABX1521" i="10"/>
  <c r="ABX1528" i="10"/>
  <c r="ABX1527" i="10"/>
  <c r="ABX1523" i="10"/>
  <c r="ABX1526" i="10"/>
  <c r="ABX1520" i="10"/>
  <c r="ABX1529" i="10"/>
  <c r="ABX1532" i="10"/>
  <c r="ABX1530" i="10"/>
  <c r="ABX1533" i="10"/>
  <c r="ABX1531" i="10"/>
  <c r="ABX1516" i="10"/>
  <c r="ABX1515" i="10"/>
  <c r="ABX1514" i="10"/>
  <c r="R1493" i="10"/>
  <c r="R1492" i="10"/>
  <c r="R1497" i="10"/>
  <c r="R1499" i="10"/>
  <c r="R1496" i="10"/>
  <c r="R1498" i="10"/>
  <c r="R1491" i="10"/>
  <c r="R1495" i="10"/>
  <c r="R1494" i="10"/>
  <c r="R1500" i="10"/>
  <c r="R1502" i="10"/>
  <c r="R1501" i="10"/>
  <c r="R1508" i="10"/>
  <c r="R1506" i="10"/>
  <c r="R1504" i="10"/>
  <c r="R1507" i="10"/>
  <c r="R1503" i="10"/>
  <c r="R1509" i="10"/>
  <c r="R1505" i="10"/>
  <c r="R1510" i="10"/>
  <c r="QP1527" i="10"/>
  <c r="QP1530" i="10"/>
  <c r="QP1519" i="10"/>
  <c r="QP1521" i="10"/>
  <c r="QP1523" i="10"/>
  <c r="QP1528" i="10"/>
  <c r="QP1529" i="10"/>
  <c r="QP1531" i="10"/>
  <c r="QP1514" i="10"/>
  <c r="QP1533" i="10"/>
  <c r="QP1522" i="10"/>
  <c r="QP1520" i="10"/>
  <c r="QP1526" i="10"/>
  <c r="QP1516" i="10"/>
  <c r="QP1525" i="10"/>
  <c r="QP1518" i="10"/>
  <c r="QP1517" i="10"/>
  <c r="QP1532" i="10"/>
  <c r="QP1515" i="10"/>
  <c r="QP1524" i="10"/>
  <c r="WG1492" i="10"/>
  <c r="WG1491" i="10"/>
  <c r="WG1494" i="10"/>
  <c r="WG1493" i="10"/>
  <c r="WG1496" i="10"/>
  <c r="WG1495" i="10"/>
  <c r="WG1497" i="10"/>
  <c r="WG1500" i="10"/>
  <c r="WG1498" i="10"/>
  <c r="WG1499" i="10"/>
  <c r="WG1507" i="10"/>
  <c r="WG1501" i="10"/>
  <c r="WG1502" i="10"/>
  <c r="WG1505" i="10"/>
  <c r="WG1504" i="10"/>
  <c r="WG1503" i="10"/>
  <c r="WG1506" i="10"/>
  <c r="WG1509" i="10"/>
  <c r="WG1508" i="10"/>
  <c r="WG1510" i="10"/>
  <c r="AW1514" i="10"/>
  <c r="AW1515" i="10"/>
  <c r="AW1516" i="10"/>
  <c r="AW1517" i="10"/>
  <c r="AW1519" i="10"/>
  <c r="AW1520" i="10"/>
  <c r="AW1518" i="10"/>
  <c r="AW1525" i="10"/>
  <c r="AW1524" i="10"/>
  <c r="AW1521" i="10"/>
  <c r="AW1522" i="10"/>
  <c r="AW1526" i="10"/>
  <c r="AW1529" i="10"/>
  <c r="AW1523" i="10"/>
  <c r="AW1527" i="10"/>
  <c r="AW1528" i="10"/>
  <c r="AW1532" i="10"/>
  <c r="AW1531" i="10"/>
  <c r="AW1530" i="10"/>
  <c r="AW1533" i="10"/>
  <c r="JI1517" i="10"/>
  <c r="JI1514" i="10"/>
  <c r="JI1515" i="10"/>
  <c r="JI1518" i="10"/>
  <c r="JI1519" i="10"/>
  <c r="JI1516" i="10"/>
  <c r="JI1523" i="10"/>
  <c r="JI1521" i="10"/>
  <c r="JI1522" i="10"/>
  <c r="JI1524" i="10"/>
  <c r="JI1525" i="10"/>
  <c r="JI1526" i="10"/>
  <c r="JI1528" i="10"/>
  <c r="JI1520" i="10"/>
  <c r="JI1527" i="10"/>
  <c r="JI1529" i="10"/>
  <c r="JI1533" i="10"/>
  <c r="JI1531" i="10"/>
  <c r="JI1532" i="10"/>
  <c r="JI1530" i="10"/>
  <c r="OY1493" i="10"/>
  <c r="OY1492" i="10"/>
  <c r="OY1496" i="10"/>
  <c r="OY1498" i="10"/>
  <c r="OY1495" i="10"/>
  <c r="OY1497" i="10"/>
  <c r="OY1491" i="10"/>
  <c r="OY1494" i="10"/>
  <c r="OY1499" i="10"/>
  <c r="OY1501" i="10"/>
  <c r="OY1500" i="10"/>
  <c r="OY1507" i="10"/>
  <c r="OY1502" i="10"/>
  <c r="OY1505" i="10"/>
  <c r="OY1503" i="10"/>
  <c r="OY1506" i="10"/>
  <c r="OY1508" i="10"/>
  <c r="OY1504" i="10"/>
  <c r="OY1509" i="10"/>
  <c r="OY1510" i="10"/>
  <c r="CM1516" i="10"/>
  <c r="CM1515" i="10"/>
  <c r="CM1514" i="10"/>
  <c r="CM1519" i="10"/>
  <c r="CM1518" i="10"/>
  <c r="CM1520" i="10"/>
  <c r="CM1517" i="10"/>
  <c r="CM1523" i="10"/>
  <c r="CM1522" i="10"/>
  <c r="CM1525" i="10"/>
  <c r="CM1521" i="10"/>
  <c r="CM1527" i="10"/>
  <c r="CM1528" i="10"/>
  <c r="CM1529" i="10"/>
  <c r="CM1524" i="10"/>
  <c r="CM1526" i="10"/>
  <c r="CM1530" i="10"/>
  <c r="CM1532" i="10"/>
  <c r="CM1531" i="10"/>
  <c r="CM1533" i="10"/>
  <c r="KB1499" i="10"/>
  <c r="KB1508" i="10"/>
  <c r="KB1510" i="10"/>
  <c r="KB1494" i="10"/>
  <c r="KB1495" i="10"/>
  <c r="KB1498" i="10"/>
  <c r="KB1496" i="10"/>
  <c r="KB1502" i="10"/>
  <c r="KB1505" i="10"/>
  <c r="KB1491" i="10"/>
  <c r="KB1497" i="10"/>
  <c r="KB1501" i="10"/>
  <c r="KB1504" i="10"/>
  <c r="KB1507" i="10"/>
  <c r="KB1493" i="10"/>
  <c r="KB1506" i="10"/>
  <c r="KB1503" i="10"/>
  <c r="KB1500" i="10"/>
  <c r="KB1492" i="10"/>
  <c r="KB1509" i="10"/>
  <c r="AEZ1524" i="10"/>
  <c r="AEZ1528" i="10"/>
  <c r="AEZ1525" i="10"/>
  <c r="AEZ1526" i="10"/>
  <c r="AEZ1527" i="10"/>
  <c r="AEZ1531" i="10"/>
  <c r="AEZ1529" i="10"/>
  <c r="AEZ1530" i="10"/>
  <c r="AEZ1533" i="10"/>
  <c r="AEZ1532" i="10"/>
  <c r="AEZ1517" i="10"/>
  <c r="AEZ1519" i="10"/>
  <c r="AEZ1516" i="10"/>
  <c r="AEZ1521" i="10"/>
  <c r="AEZ1515" i="10"/>
  <c r="AEZ1523" i="10"/>
  <c r="AEZ1518" i="10"/>
  <c r="AEZ1522" i="10"/>
  <c r="AEZ1514" i="10"/>
  <c r="AEZ1520" i="10"/>
  <c r="EM1493" i="10"/>
  <c r="EM1499" i="10"/>
  <c r="EM1491" i="10"/>
  <c r="EM1496" i="10"/>
  <c r="EM1495" i="10"/>
  <c r="EM1497" i="10"/>
  <c r="EM1498" i="10"/>
  <c r="EM1494" i="10"/>
  <c r="EM1500" i="10"/>
  <c r="EM1492" i="10"/>
  <c r="EM1502" i="10"/>
  <c r="EM1501" i="10"/>
  <c r="EM1507" i="10"/>
  <c r="EM1508" i="10"/>
  <c r="EM1504" i="10"/>
  <c r="EM1506" i="10"/>
  <c r="EM1503" i="10"/>
  <c r="EM1505" i="10"/>
  <c r="EM1510" i="10"/>
  <c r="EM1509" i="10"/>
  <c r="AAU1515" i="10"/>
  <c r="AAU1520" i="10"/>
  <c r="AAU1526" i="10"/>
  <c r="AAU1527" i="10"/>
  <c r="AAU1529" i="10"/>
  <c r="AAU1532" i="10"/>
  <c r="AAU1528" i="10"/>
  <c r="AAU1531" i="10"/>
  <c r="AAU1533" i="10"/>
  <c r="AAU1521" i="10"/>
  <c r="AAU1516" i="10"/>
  <c r="AAU1524" i="10"/>
  <c r="AAU1518" i="10"/>
  <c r="AAU1525" i="10"/>
  <c r="AAU1523" i="10"/>
  <c r="AAU1530" i="10"/>
  <c r="AAU1514" i="10"/>
  <c r="AAU1519" i="10"/>
  <c r="AAU1517" i="10"/>
  <c r="AAU1522" i="10"/>
  <c r="DC1516" i="10"/>
  <c r="DC1517" i="10"/>
  <c r="DC1514" i="10"/>
  <c r="DC1515" i="10"/>
  <c r="DC1518" i="10"/>
  <c r="DC1519" i="10"/>
  <c r="DC1521" i="10"/>
  <c r="DC1524" i="10"/>
  <c r="DC1525" i="10"/>
  <c r="DC1520" i="10"/>
  <c r="DC1523" i="10"/>
  <c r="DC1522" i="10"/>
  <c r="DC1529" i="10"/>
  <c r="DC1528" i="10"/>
  <c r="DC1531" i="10"/>
  <c r="DC1526" i="10"/>
  <c r="DC1530" i="10"/>
  <c r="DC1527" i="10"/>
  <c r="DC1532" i="10"/>
  <c r="DC1533" i="10"/>
  <c r="KP1508" i="10"/>
  <c r="KP1510" i="10"/>
  <c r="KP1494" i="10"/>
  <c r="KP1507" i="10"/>
  <c r="KP1498" i="10"/>
  <c r="KP1495" i="10"/>
  <c r="KP1492" i="10"/>
  <c r="KP1493" i="10"/>
  <c r="KP1497" i="10"/>
  <c r="KP1509" i="10"/>
  <c r="KP1491" i="10"/>
  <c r="KP1496" i="10"/>
  <c r="KP1501" i="10"/>
  <c r="KP1502" i="10"/>
  <c r="KP1504" i="10"/>
  <c r="KP1505" i="10"/>
  <c r="KP1500" i="10"/>
  <c r="KP1506" i="10"/>
  <c r="KP1499" i="10"/>
  <c r="KP1503" i="10"/>
  <c r="AFJ1515" i="10"/>
  <c r="AFJ1517" i="10"/>
  <c r="AFJ1520" i="10"/>
  <c r="AFJ1524" i="10"/>
  <c r="AFJ1523" i="10"/>
  <c r="AFJ1518" i="10"/>
  <c r="AFJ1528" i="10"/>
  <c r="AFJ1525" i="10"/>
  <c r="AFJ1527" i="10"/>
  <c r="AFJ1522" i="10"/>
  <c r="AFJ1526" i="10"/>
  <c r="AFJ1529" i="10"/>
  <c r="AFJ1530" i="10"/>
  <c r="AFJ1531" i="10"/>
  <c r="AFJ1533" i="10"/>
  <c r="AFJ1532" i="10"/>
  <c r="AFJ1519" i="10"/>
  <c r="AFJ1514" i="10"/>
  <c r="AFJ1521" i="10"/>
  <c r="AFJ1516" i="10"/>
  <c r="FN1491" i="10"/>
  <c r="FN1493" i="10"/>
  <c r="FN1492" i="10"/>
  <c r="FN1498" i="10"/>
  <c r="FN1494" i="10"/>
  <c r="FN1499" i="10"/>
  <c r="FN1500" i="10"/>
  <c r="FN1495" i="10"/>
  <c r="FN1501" i="10"/>
  <c r="FN1505" i="10"/>
  <c r="FN1504" i="10"/>
  <c r="FN1502" i="10"/>
  <c r="FN1503" i="10"/>
  <c r="FN1508" i="10"/>
  <c r="FN1497" i="10"/>
  <c r="FN1496" i="10"/>
  <c r="FN1506" i="10"/>
  <c r="FN1507" i="10"/>
  <c r="FN1509" i="10"/>
  <c r="FN1510" i="10"/>
  <c r="ABS1528" i="10"/>
  <c r="ABS1531" i="10"/>
  <c r="ABS1532" i="10"/>
  <c r="ABS1533" i="10"/>
  <c r="ABS1525" i="10"/>
  <c r="ABS1527" i="10"/>
  <c r="ABS1514" i="10"/>
  <c r="ABS1529" i="10"/>
  <c r="ABS1521" i="10"/>
  <c r="ABS1526" i="10"/>
  <c r="ABS1516" i="10"/>
  <c r="ABS1522" i="10"/>
  <c r="ABS1515" i="10"/>
  <c r="ABS1523" i="10"/>
  <c r="ABS1519" i="10"/>
  <c r="ABS1517" i="10"/>
  <c r="ABS1524" i="10"/>
  <c r="ABS1520" i="10"/>
  <c r="ABS1530" i="10"/>
  <c r="ABS1518" i="10"/>
  <c r="EE1522" i="10"/>
  <c r="EE1529" i="10"/>
  <c r="EE1531" i="10"/>
  <c r="EE1526" i="10"/>
  <c r="EE1530" i="10"/>
  <c r="EE1532" i="10"/>
  <c r="EE1533" i="10"/>
  <c r="EE1514" i="10"/>
  <c r="EE1527" i="10"/>
  <c r="EE1519" i="10"/>
  <c r="EE1525" i="10"/>
  <c r="EE1521" i="10"/>
  <c r="EE1517" i="10"/>
  <c r="EE1515" i="10"/>
  <c r="EE1523" i="10"/>
  <c r="EE1520" i="10"/>
  <c r="EE1518" i="10"/>
  <c r="EE1524" i="10"/>
  <c r="EE1516" i="10"/>
  <c r="EE1528" i="10"/>
  <c r="PK1514" i="10"/>
  <c r="PK1515" i="10"/>
  <c r="PK1517" i="10"/>
  <c r="PK1518" i="10"/>
  <c r="PK1519" i="10"/>
  <c r="PK1520" i="10"/>
  <c r="PK1516" i="10"/>
  <c r="PK1522" i="10"/>
  <c r="PK1523" i="10"/>
  <c r="PK1526" i="10"/>
  <c r="PK1525" i="10"/>
  <c r="PK1524" i="10"/>
  <c r="PK1528" i="10"/>
  <c r="PK1521" i="10"/>
  <c r="PK1527" i="10"/>
  <c r="PK1529" i="10"/>
  <c r="PK1530" i="10"/>
  <c r="PK1533" i="10"/>
  <c r="PK1531" i="10"/>
  <c r="PK1532" i="10"/>
  <c r="WX1492" i="10"/>
  <c r="WX1491" i="10"/>
  <c r="WX1494" i="10"/>
  <c r="WX1496" i="10"/>
  <c r="WX1498" i="10"/>
  <c r="WX1497" i="10"/>
  <c r="WX1499" i="10"/>
  <c r="WX1493" i="10"/>
  <c r="WX1501" i="10"/>
  <c r="WX1495" i="10"/>
  <c r="WX1502" i="10"/>
  <c r="WX1504" i="10"/>
  <c r="WX1500" i="10"/>
  <c r="WX1503" i="10"/>
  <c r="WX1506" i="10"/>
  <c r="WX1508" i="10"/>
  <c r="WX1509" i="10"/>
  <c r="WX1505" i="10"/>
  <c r="WX1507" i="10"/>
  <c r="WX1510" i="10"/>
  <c r="JW1526" i="10"/>
  <c r="JW1533" i="10"/>
  <c r="JW1530" i="10"/>
  <c r="JW1527" i="10"/>
  <c r="JW1523" i="10"/>
  <c r="JW1518" i="10"/>
  <c r="JW1522" i="10"/>
  <c r="JW1525" i="10"/>
  <c r="JW1524" i="10"/>
  <c r="JW1517" i="10"/>
  <c r="JW1531" i="10"/>
  <c r="JW1532" i="10"/>
  <c r="JW1515" i="10"/>
  <c r="JW1529" i="10"/>
  <c r="JW1520" i="10"/>
  <c r="JW1514" i="10"/>
  <c r="JW1528" i="10"/>
  <c r="JW1519" i="10"/>
  <c r="JW1516" i="10"/>
  <c r="JW1521" i="10"/>
  <c r="ACH1492" i="10"/>
  <c r="ACH1491" i="10"/>
  <c r="ACH1496" i="10"/>
  <c r="ACH1495" i="10"/>
  <c r="ACH1497" i="10"/>
  <c r="ACH1494" i="10"/>
  <c r="ACH1500" i="10"/>
  <c r="ACH1501" i="10"/>
  <c r="ACH1493" i="10"/>
  <c r="ACH1498" i="10"/>
  <c r="ACH1499" i="10"/>
  <c r="ACH1502" i="10"/>
  <c r="ACH1507" i="10"/>
  <c r="ACH1505" i="10"/>
  <c r="ACH1504" i="10"/>
  <c r="ACH1503" i="10"/>
  <c r="ACH1506" i="10"/>
  <c r="ACH1509" i="10"/>
  <c r="ACH1510" i="10"/>
  <c r="ACH1508" i="10"/>
  <c r="QL1514" i="10"/>
  <c r="QL1515" i="10"/>
  <c r="QL1516" i="10"/>
  <c r="QL1519" i="10"/>
  <c r="QL1520" i="10"/>
  <c r="QL1517" i="10"/>
  <c r="QL1518" i="10"/>
  <c r="QL1522" i="10"/>
  <c r="QL1523" i="10"/>
  <c r="QL1521" i="10"/>
  <c r="QL1525" i="10"/>
  <c r="QL1528" i="10"/>
  <c r="QL1530" i="10"/>
  <c r="QL1524" i="10"/>
  <c r="QL1529" i="10"/>
  <c r="QL1527" i="10"/>
  <c r="QL1526" i="10"/>
  <c r="QL1532" i="10"/>
  <c r="QL1531" i="10"/>
  <c r="QL1533" i="10"/>
  <c r="VS1491" i="10"/>
  <c r="VS1493" i="10"/>
  <c r="VS1492" i="10"/>
  <c r="VS1494" i="10"/>
  <c r="VS1499" i="10"/>
  <c r="VS1495" i="10"/>
  <c r="VS1497" i="10"/>
  <c r="VS1500" i="10"/>
  <c r="VS1496" i="10"/>
  <c r="VS1498" i="10"/>
  <c r="VS1505" i="10"/>
  <c r="VS1504" i="10"/>
  <c r="VS1503" i="10"/>
  <c r="VS1506" i="10"/>
  <c r="VS1508" i="10"/>
  <c r="VS1507" i="10"/>
  <c r="VS1510" i="10"/>
  <c r="VS1502" i="10"/>
  <c r="VS1509" i="10"/>
  <c r="VS1501" i="10"/>
  <c r="CL1517" i="10"/>
  <c r="CL1514" i="10"/>
  <c r="CL1515" i="10"/>
  <c r="CL1516" i="10"/>
  <c r="CL1518" i="10"/>
  <c r="CL1522" i="10"/>
  <c r="CL1524" i="10"/>
  <c r="CL1521" i="10"/>
  <c r="CL1523" i="10"/>
  <c r="CL1519" i="10"/>
  <c r="CL1520" i="10"/>
  <c r="CL1525" i="10"/>
  <c r="CL1526" i="10"/>
  <c r="CL1527" i="10"/>
  <c r="CL1528" i="10"/>
  <c r="CL1530" i="10"/>
  <c r="CL1532" i="10"/>
  <c r="CL1531" i="10"/>
  <c r="CL1533" i="10"/>
  <c r="CL1529" i="10"/>
  <c r="DG1493" i="10"/>
  <c r="DG1492" i="10"/>
  <c r="DG1491" i="10"/>
  <c r="DG1495" i="10"/>
  <c r="DG1497" i="10"/>
  <c r="DG1496" i="10"/>
  <c r="DG1498" i="10"/>
  <c r="DG1501" i="10"/>
  <c r="DG1500" i="10"/>
  <c r="DG1499" i="10"/>
  <c r="DG1508" i="10"/>
  <c r="DG1494" i="10"/>
  <c r="DG1506" i="10"/>
  <c r="DG1505" i="10"/>
  <c r="DG1502" i="10"/>
  <c r="DG1504" i="10"/>
  <c r="DG1507" i="10"/>
  <c r="DG1510" i="10"/>
  <c r="DG1503" i="10"/>
  <c r="DG1509" i="10"/>
  <c r="UD1526" i="10"/>
  <c r="UD1530" i="10"/>
  <c r="UD1517" i="10"/>
  <c r="UD1520" i="10"/>
  <c r="UD1522" i="10"/>
  <c r="UD1519" i="10"/>
  <c r="UD1524" i="10"/>
  <c r="UD1523" i="10"/>
  <c r="UD1532" i="10"/>
  <c r="UD1518" i="10"/>
  <c r="UD1527" i="10"/>
  <c r="UD1514" i="10"/>
  <c r="UD1528" i="10"/>
  <c r="UD1531" i="10"/>
  <c r="UD1521" i="10"/>
  <c r="UD1533" i="10"/>
  <c r="UD1525" i="10"/>
  <c r="UD1516" i="10"/>
  <c r="UD1515" i="10"/>
  <c r="UD1529" i="10"/>
  <c r="ZS1492" i="10"/>
  <c r="ZS1491" i="10"/>
  <c r="ZS1494" i="10"/>
  <c r="ZS1496" i="10"/>
  <c r="ZS1498" i="10"/>
  <c r="ZS1493" i="10"/>
  <c r="ZS1499" i="10"/>
  <c r="ZS1497" i="10"/>
  <c r="ZS1500" i="10"/>
  <c r="ZS1495" i="10"/>
  <c r="ZS1504" i="10"/>
  <c r="ZS1502" i="10"/>
  <c r="ZS1503" i="10"/>
  <c r="ZS1506" i="10"/>
  <c r="ZS1508" i="10"/>
  <c r="ZS1509" i="10"/>
  <c r="ZS1501" i="10"/>
  <c r="ZS1505" i="10"/>
  <c r="ZS1507" i="10"/>
  <c r="ZS1510" i="10"/>
  <c r="MV1518" i="10"/>
  <c r="MV1515" i="10"/>
  <c r="MV1514" i="10"/>
  <c r="MV1516" i="10"/>
  <c r="MV1519" i="10"/>
  <c r="MV1517" i="10"/>
  <c r="MV1520" i="10"/>
  <c r="MV1525" i="10"/>
  <c r="MV1522" i="10"/>
  <c r="MV1523" i="10"/>
  <c r="MV1526" i="10"/>
  <c r="MV1527" i="10"/>
  <c r="MV1521" i="10"/>
  <c r="MV1528" i="10"/>
  <c r="MV1524" i="10"/>
  <c r="MV1531" i="10"/>
  <c r="MV1532" i="10"/>
  <c r="MV1530" i="10"/>
  <c r="MV1533" i="10"/>
  <c r="MV1529" i="10"/>
  <c r="SL1492" i="10"/>
  <c r="SL1491" i="10"/>
  <c r="SL1493" i="10"/>
  <c r="SL1494" i="10"/>
  <c r="SL1500" i="10"/>
  <c r="SL1495" i="10"/>
  <c r="SL1497" i="10"/>
  <c r="SL1499" i="10"/>
  <c r="SL1501" i="10"/>
  <c r="SL1496" i="10"/>
  <c r="SL1498" i="10"/>
  <c r="SL1505" i="10"/>
  <c r="SL1504" i="10"/>
  <c r="SL1502" i="10"/>
  <c r="SL1503" i="10"/>
  <c r="SL1506" i="10"/>
  <c r="SL1508" i="10"/>
  <c r="SL1509" i="10"/>
  <c r="SL1507" i="10"/>
  <c r="SL1510" i="10"/>
  <c r="HG1523" i="10"/>
  <c r="HG1516" i="10"/>
  <c r="HG1527" i="10"/>
  <c r="HG1532" i="10"/>
  <c r="HG1530" i="10"/>
  <c r="HG1528" i="10"/>
  <c r="HG1524" i="10"/>
  <c r="HG1515" i="10"/>
  <c r="HG1517" i="10"/>
  <c r="HG1514" i="10"/>
  <c r="HG1529" i="10"/>
  <c r="HG1531" i="10"/>
  <c r="HG1520" i="10"/>
  <c r="HG1518" i="10"/>
  <c r="HG1533" i="10"/>
  <c r="HG1521" i="10"/>
  <c r="HG1526" i="10"/>
  <c r="HG1525" i="10"/>
  <c r="HG1522" i="10"/>
  <c r="HG1519" i="10"/>
  <c r="OS1491" i="10"/>
  <c r="OS1493" i="10"/>
  <c r="OS1492" i="10"/>
  <c r="OS1494" i="10"/>
  <c r="OS1499" i="10"/>
  <c r="OS1496" i="10"/>
  <c r="OS1498" i="10"/>
  <c r="OS1497" i="10"/>
  <c r="OS1495" i="10"/>
  <c r="OS1500" i="10"/>
  <c r="OS1501" i="10"/>
  <c r="OS1505" i="10"/>
  <c r="OS1504" i="10"/>
  <c r="OS1503" i="10"/>
  <c r="OS1506" i="10"/>
  <c r="OS1508" i="10"/>
  <c r="OS1502" i="10"/>
  <c r="OS1507" i="10"/>
  <c r="OS1510" i="10"/>
  <c r="OS1509" i="10"/>
  <c r="ZX1492" i="10"/>
  <c r="ZX1491" i="10"/>
  <c r="ZX1495" i="10"/>
  <c r="ZX1497" i="10"/>
  <c r="ZX1493" i="10"/>
  <c r="ZX1496" i="10"/>
  <c r="ZX1498" i="10"/>
  <c r="ZX1494" i="10"/>
  <c r="ZX1500" i="10"/>
  <c r="ZX1501" i="10"/>
  <c r="ZX1499" i="10"/>
  <c r="ZX1509" i="10"/>
  <c r="ZX1507" i="10"/>
  <c r="ZX1505" i="10"/>
  <c r="ZX1504" i="10"/>
  <c r="ZX1502" i="10"/>
  <c r="ZX1508" i="10"/>
  <c r="ZX1510" i="10"/>
  <c r="ZX1506" i="10"/>
  <c r="ZX1503" i="10"/>
  <c r="JD1493" i="10"/>
  <c r="JD1496" i="10"/>
  <c r="JD1498" i="10"/>
  <c r="JD1491" i="10"/>
  <c r="JD1495" i="10"/>
  <c r="JD1497" i="10"/>
  <c r="JD1492" i="10"/>
  <c r="JD1494" i="10"/>
  <c r="JD1500" i="10"/>
  <c r="JD1499" i="10"/>
  <c r="JD1501" i="10"/>
  <c r="JD1508" i="10"/>
  <c r="JD1509" i="10"/>
  <c r="JD1502" i="10"/>
  <c r="JD1507" i="10"/>
  <c r="JD1504" i="10"/>
  <c r="JD1503" i="10"/>
  <c r="JD1505" i="10"/>
  <c r="JD1510" i="10"/>
  <c r="JD1506" i="10"/>
  <c r="AEK1527" i="10"/>
  <c r="AEK1533" i="10"/>
  <c r="AEK1519" i="10"/>
  <c r="AEK1532" i="10"/>
  <c r="AEK1524" i="10"/>
  <c r="AEK1515" i="10"/>
  <c r="AEK1521" i="10"/>
  <c r="AEK1514" i="10"/>
  <c r="AEK1523" i="10"/>
  <c r="AEK1526" i="10"/>
  <c r="AEK1518" i="10"/>
  <c r="AEK1529" i="10"/>
  <c r="AEK1520" i="10"/>
  <c r="AEK1516" i="10"/>
  <c r="AEK1517" i="10"/>
  <c r="AEK1531" i="10"/>
  <c r="AEK1530" i="10"/>
  <c r="AEK1525" i="10"/>
  <c r="AEK1522" i="10"/>
  <c r="AEK1528" i="10"/>
  <c r="EC1493" i="10"/>
  <c r="EC1499" i="10"/>
  <c r="EC1496" i="10"/>
  <c r="EC1497" i="10"/>
  <c r="EC1495" i="10"/>
  <c r="EC1498" i="10"/>
  <c r="EC1492" i="10"/>
  <c r="EC1491" i="10"/>
  <c r="EC1494" i="10"/>
  <c r="EC1500" i="10"/>
  <c r="EC1502" i="10"/>
  <c r="EC1501" i="10"/>
  <c r="EC1509" i="10"/>
  <c r="EC1508" i="10"/>
  <c r="EC1504" i="10"/>
  <c r="EC1503" i="10"/>
  <c r="EC1507" i="10"/>
  <c r="EC1505" i="10"/>
  <c r="EC1506" i="10"/>
  <c r="EC1510" i="10"/>
  <c r="AAL1519" i="10"/>
  <c r="AAL1516" i="10"/>
  <c r="AAL1515" i="10"/>
  <c r="AAL1517" i="10"/>
  <c r="AAL1518" i="10"/>
  <c r="AAL1514" i="10"/>
  <c r="AAL1522" i="10"/>
  <c r="AAL1521" i="10"/>
  <c r="AAL1520" i="10"/>
  <c r="AAL1527" i="10"/>
  <c r="AAL1524" i="10"/>
  <c r="AAL1528" i="10"/>
  <c r="AAL1523" i="10"/>
  <c r="AAL1525" i="10"/>
  <c r="AAL1526" i="10"/>
  <c r="AAL1531" i="10"/>
  <c r="AAL1529" i="10"/>
  <c r="AAL1532" i="10"/>
  <c r="AAL1533" i="10"/>
  <c r="AAL1530" i="10"/>
  <c r="AFZ1491" i="10"/>
  <c r="AFZ1493" i="10"/>
  <c r="AFZ1494" i="10"/>
  <c r="AFZ1496" i="10"/>
  <c r="AFZ1498" i="10"/>
  <c r="AFZ1495" i="10"/>
  <c r="AFZ1497" i="10"/>
  <c r="AFZ1492" i="10"/>
  <c r="AFZ1501" i="10"/>
  <c r="AFZ1500" i="10"/>
  <c r="AFZ1503" i="10"/>
  <c r="AFZ1506" i="10"/>
  <c r="AFZ1499" i="10"/>
  <c r="AFZ1507" i="10"/>
  <c r="AFZ1505" i="10"/>
  <c r="AFZ1502" i="10"/>
  <c r="AFZ1504" i="10"/>
  <c r="AFZ1509" i="10"/>
  <c r="AFZ1508" i="10"/>
  <c r="AFZ1510" i="10"/>
  <c r="KE1525" i="10"/>
  <c r="KE1523" i="10"/>
  <c r="KE1530" i="10"/>
  <c r="KE1518" i="10"/>
  <c r="KE1529" i="10"/>
  <c r="KE1528" i="10"/>
  <c r="KE1521" i="10"/>
  <c r="KE1516" i="10"/>
  <c r="KE1533" i="10"/>
  <c r="KE1514" i="10"/>
  <c r="KE1531" i="10"/>
  <c r="KE1532" i="10"/>
  <c r="KE1526" i="10"/>
  <c r="KE1517" i="10"/>
  <c r="KE1522" i="10"/>
  <c r="KE1520" i="10"/>
  <c r="KE1519" i="10"/>
  <c r="KE1515" i="10"/>
  <c r="KE1527" i="10"/>
  <c r="KE1524" i="10"/>
  <c r="RS1493" i="10"/>
  <c r="RS1492" i="10"/>
  <c r="RS1491" i="10"/>
  <c r="RS1494" i="10"/>
  <c r="RS1496" i="10"/>
  <c r="RS1495" i="10"/>
  <c r="RS1497" i="10"/>
  <c r="RS1498" i="10"/>
  <c r="RS1499" i="10"/>
  <c r="RS1500" i="10"/>
  <c r="RS1507" i="10"/>
  <c r="RS1502" i="10"/>
  <c r="RS1505" i="10"/>
  <c r="RS1504" i="10"/>
  <c r="RS1503" i="10"/>
  <c r="RS1506" i="10"/>
  <c r="RS1501" i="10"/>
  <c r="RS1509" i="10"/>
  <c r="RS1510" i="10"/>
  <c r="RS1508" i="10"/>
  <c r="ACN1492" i="10"/>
  <c r="ACN1491" i="10"/>
  <c r="ACN1494" i="10"/>
  <c r="ACN1493" i="10"/>
  <c r="ACN1496" i="10"/>
  <c r="ACN1498" i="10"/>
  <c r="ACN1501" i="10"/>
  <c r="ACN1499" i="10"/>
  <c r="ACN1495" i="10"/>
  <c r="ACN1497" i="10"/>
  <c r="ACN1500" i="10"/>
  <c r="ACN1504" i="10"/>
  <c r="ACN1503" i="10"/>
  <c r="ACN1506" i="10"/>
  <c r="ACN1508" i="10"/>
  <c r="ACN1509" i="10"/>
  <c r="ACN1502" i="10"/>
  <c r="ACN1505" i="10"/>
  <c r="ACN1507" i="10"/>
  <c r="ACN1510" i="10"/>
  <c r="FD1493" i="10"/>
  <c r="FD1492" i="10"/>
  <c r="FD1491" i="10"/>
  <c r="FD1498" i="10"/>
  <c r="FD1494" i="10"/>
  <c r="FD1496" i="10"/>
  <c r="FD1495" i="10"/>
  <c r="FD1497" i="10"/>
  <c r="FD1502" i="10"/>
  <c r="FD1500" i="10"/>
  <c r="FD1499" i="10"/>
  <c r="FD1509" i="10"/>
  <c r="FD1501" i="10"/>
  <c r="FD1505" i="10"/>
  <c r="FD1504" i="10"/>
  <c r="FD1508" i="10"/>
  <c r="FD1503" i="10"/>
  <c r="FD1507" i="10"/>
  <c r="FD1510" i="10"/>
  <c r="FD1506" i="10"/>
  <c r="ABJ1514" i="10"/>
  <c r="ABJ1517" i="10"/>
  <c r="ABJ1519" i="10"/>
  <c r="ABJ1516" i="10"/>
  <c r="ABJ1515" i="10"/>
  <c r="ABJ1520" i="10"/>
  <c r="ABJ1522" i="10"/>
  <c r="ABJ1518" i="10"/>
  <c r="ABJ1521" i="10"/>
  <c r="ABJ1526" i="10"/>
  <c r="ABJ1525" i="10"/>
  <c r="ABJ1523" i="10"/>
  <c r="ABJ1527" i="10"/>
  <c r="ABJ1528" i="10"/>
  <c r="ABJ1529" i="10"/>
  <c r="ABJ1530" i="10"/>
  <c r="ABJ1532" i="10"/>
  <c r="ABJ1524" i="10"/>
  <c r="ABJ1531" i="10"/>
  <c r="ABJ1533" i="10"/>
  <c r="U1498" i="10"/>
  <c r="U1507" i="10"/>
  <c r="U1500" i="10"/>
  <c r="U1509" i="10"/>
  <c r="U1492" i="10"/>
  <c r="U1504" i="10"/>
  <c r="U1493" i="10"/>
  <c r="U1505" i="10"/>
  <c r="U1495" i="10"/>
  <c r="U1506" i="10"/>
  <c r="U1496" i="10"/>
  <c r="U1508" i="10"/>
  <c r="U1501" i="10"/>
  <c r="U1503" i="10"/>
  <c r="U1497" i="10"/>
  <c r="U1499" i="10"/>
  <c r="U1502" i="10"/>
  <c r="U1510" i="10"/>
  <c r="U1491" i="10"/>
  <c r="U1494" i="10"/>
  <c r="KW1533" i="10"/>
  <c r="KW1529" i="10"/>
  <c r="KW1526" i="10"/>
  <c r="KW1524" i="10"/>
  <c r="KW1531" i="10"/>
  <c r="KW1517" i="10"/>
  <c r="KW1514" i="10"/>
  <c r="KW1527" i="10"/>
  <c r="KW1521" i="10"/>
  <c r="KW1519" i="10"/>
  <c r="KW1516" i="10"/>
  <c r="KW1523" i="10"/>
  <c r="KW1530" i="10"/>
  <c r="KW1522" i="10"/>
  <c r="KW1515" i="10"/>
  <c r="KW1520" i="10"/>
  <c r="KW1525" i="10"/>
  <c r="KW1528" i="10"/>
  <c r="KW1532" i="10"/>
  <c r="KW1518" i="10"/>
  <c r="WC1518" i="10"/>
  <c r="WC1522" i="10"/>
  <c r="WC1528" i="10"/>
  <c r="WC1531" i="10"/>
  <c r="WC1532" i="10"/>
  <c r="WC1529" i="10"/>
  <c r="WC1533" i="10"/>
  <c r="WC1523" i="10"/>
  <c r="WC1514" i="10"/>
  <c r="WC1527" i="10"/>
  <c r="WC1517" i="10"/>
  <c r="WC1524" i="10"/>
  <c r="WC1520" i="10"/>
  <c r="WC1515" i="10"/>
  <c r="WC1525" i="10"/>
  <c r="WC1519" i="10"/>
  <c r="WC1516" i="10"/>
  <c r="WC1521" i="10"/>
  <c r="WC1526" i="10"/>
  <c r="WC1530" i="10"/>
  <c r="ADB1492" i="10"/>
  <c r="ADB1491" i="10"/>
  <c r="ADB1495" i="10"/>
  <c r="ADB1497" i="10"/>
  <c r="ADB1493" i="10"/>
  <c r="ADB1496" i="10"/>
  <c r="ADB1498" i="10"/>
  <c r="ADB1500" i="10"/>
  <c r="ADB1501" i="10"/>
  <c r="ADB1499" i="10"/>
  <c r="ADB1509" i="10"/>
  <c r="ADB1507" i="10"/>
  <c r="ADB1505" i="10"/>
  <c r="ADB1494" i="10"/>
  <c r="ADB1502" i="10"/>
  <c r="ADB1504" i="10"/>
  <c r="ADB1508" i="10"/>
  <c r="ADB1506" i="10"/>
  <c r="ADB1503" i="10"/>
  <c r="ADB1510" i="10"/>
  <c r="MQ1504" i="10"/>
  <c r="MQ1502" i="10"/>
  <c r="MQ1498" i="10"/>
  <c r="MQ1508" i="10"/>
  <c r="MQ1495" i="10"/>
  <c r="MQ1493" i="10"/>
  <c r="MQ1509" i="10"/>
  <c r="MQ1491" i="10"/>
  <c r="MQ1505" i="10"/>
  <c r="MQ1503" i="10"/>
  <c r="MQ1499" i="10"/>
  <c r="MQ1506" i="10"/>
  <c r="MQ1496" i="10"/>
  <c r="MQ1500" i="10"/>
  <c r="MQ1510" i="10"/>
  <c r="MQ1497" i="10"/>
  <c r="MQ1501" i="10"/>
  <c r="MQ1507" i="10"/>
  <c r="MQ1492" i="10"/>
  <c r="MQ1494" i="10"/>
  <c r="ACI1515" i="10"/>
  <c r="ACI1530" i="10"/>
  <c r="ACI1532" i="10"/>
  <c r="ACI1533" i="10"/>
  <c r="ACI1520" i="10"/>
  <c r="ACI1526" i="10"/>
  <c r="ACI1523" i="10"/>
  <c r="ACI1528" i="10"/>
  <c r="ACI1514" i="10"/>
  <c r="ACI1527" i="10"/>
  <c r="ACI1517" i="10"/>
  <c r="ACI1529" i="10"/>
  <c r="ACI1522" i="10"/>
  <c r="ACI1518" i="10"/>
  <c r="ACI1519" i="10"/>
  <c r="ACI1524" i="10"/>
  <c r="ACI1516" i="10"/>
  <c r="ACI1521" i="10"/>
  <c r="ACI1531" i="10"/>
  <c r="ACI1525" i="10"/>
  <c r="RJ1515" i="10"/>
  <c r="RJ1514" i="10"/>
  <c r="RJ1516" i="10"/>
  <c r="RJ1519" i="10"/>
  <c r="RJ1517" i="10"/>
  <c r="RJ1518" i="10"/>
  <c r="RJ1521" i="10"/>
  <c r="RJ1520" i="10"/>
  <c r="RJ1522" i="10"/>
  <c r="RJ1523" i="10"/>
  <c r="RJ1524" i="10"/>
  <c r="RJ1526" i="10"/>
  <c r="RJ1527" i="10"/>
  <c r="RJ1528" i="10"/>
  <c r="RJ1525" i="10"/>
  <c r="RJ1529" i="10"/>
  <c r="RJ1532" i="10"/>
  <c r="RJ1531" i="10"/>
  <c r="RJ1530" i="10"/>
  <c r="RJ1533" i="10"/>
  <c r="WQ1492" i="10"/>
  <c r="WQ1491" i="10"/>
  <c r="WQ1493" i="10"/>
  <c r="WQ1494" i="10"/>
  <c r="WQ1496" i="10"/>
  <c r="WQ1495" i="10"/>
  <c r="WQ1497" i="10"/>
  <c r="WQ1499" i="10"/>
  <c r="WQ1501" i="10"/>
  <c r="WQ1498" i="10"/>
  <c r="WQ1500" i="10"/>
  <c r="WQ1507" i="10"/>
  <c r="WQ1502" i="10"/>
  <c r="WQ1505" i="10"/>
  <c r="WQ1504" i="10"/>
  <c r="WQ1503" i="10"/>
  <c r="WQ1506" i="10"/>
  <c r="WQ1509" i="10"/>
  <c r="WQ1510" i="10"/>
  <c r="WQ1508" i="10"/>
  <c r="DP1517" i="10"/>
  <c r="DP1514" i="10"/>
  <c r="DP1515" i="10"/>
  <c r="DP1518" i="10"/>
  <c r="DP1520" i="10"/>
  <c r="DP1519" i="10"/>
  <c r="DP1516" i="10"/>
  <c r="DP1525" i="10"/>
  <c r="DP1521" i="10"/>
  <c r="DP1523" i="10"/>
  <c r="DP1522" i="10"/>
  <c r="DP1524" i="10"/>
  <c r="DP1527" i="10"/>
  <c r="DP1529" i="10"/>
  <c r="DP1528" i="10"/>
  <c r="DP1526" i="10"/>
  <c r="DP1530" i="10"/>
  <c r="DP1532" i="10"/>
  <c r="DP1531" i="10"/>
  <c r="DP1533" i="10"/>
  <c r="JF1492" i="10"/>
  <c r="JF1491" i="10"/>
  <c r="JF1494" i="10"/>
  <c r="JF1499" i="10"/>
  <c r="JF1493" i="10"/>
  <c r="JF1496" i="10"/>
  <c r="JF1498" i="10"/>
  <c r="JF1497" i="10"/>
  <c r="JF1495" i="10"/>
  <c r="JF1500" i="10"/>
  <c r="JF1501" i="10"/>
  <c r="JF1504" i="10"/>
  <c r="JF1503" i="10"/>
  <c r="JF1508" i="10"/>
  <c r="JF1509" i="10"/>
  <c r="JF1502" i="10"/>
  <c r="JF1505" i="10"/>
  <c r="JF1506" i="10"/>
  <c r="JF1507" i="10"/>
  <c r="JF1510" i="10"/>
  <c r="AAA1526" i="10"/>
  <c r="AAA1533" i="10"/>
  <c r="AAA1514" i="10"/>
  <c r="AAA1520" i="10"/>
  <c r="AAA1519" i="10"/>
  <c r="AAA1521" i="10"/>
  <c r="AAA1530" i="10"/>
  <c r="AAA1522" i="10"/>
  <c r="AAA1532" i="10"/>
  <c r="AAA1524" i="10"/>
  <c r="AAA1529" i="10"/>
  <c r="AAA1518" i="10"/>
  <c r="AAA1531" i="10"/>
  <c r="AAA1515" i="10"/>
  <c r="AAA1525" i="10"/>
  <c r="AAA1527" i="10"/>
  <c r="AAA1516" i="10"/>
  <c r="AAA1517" i="10"/>
  <c r="AAA1528" i="10"/>
  <c r="AAA1523" i="10"/>
  <c r="BY1492" i="10"/>
  <c r="BY1491" i="10"/>
  <c r="BY1494" i="10"/>
  <c r="BY1497" i="10"/>
  <c r="BY1499" i="10"/>
  <c r="BY1496" i="10"/>
  <c r="BY1498" i="10"/>
  <c r="BY1495" i="10"/>
  <c r="BY1501" i="10"/>
  <c r="BY1493" i="10"/>
  <c r="BY1504" i="10"/>
  <c r="BY1507" i="10"/>
  <c r="BY1503" i="10"/>
  <c r="BY1500" i="10"/>
  <c r="BY1508" i="10"/>
  <c r="BY1506" i="10"/>
  <c r="BY1505" i="10"/>
  <c r="BY1509" i="10"/>
  <c r="BY1502" i="10"/>
  <c r="BY1510" i="10"/>
  <c r="SU1516" i="10"/>
  <c r="SU1517" i="10"/>
  <c r="SU1514" i="10"/>
  <c r="SU1515" i="10"/>
  <c r="SU1518" i="10"/>
  <c r="SU1522" i="10"/>
  <c r="SU1520" i="10"/>
  <c r="SU1524" i="10"/>
  <c r="SU1521" i="10"/>
  <c r="SU1527" i="10"/>
  <c r="SU1528" i="10"/>
  <c r="SU1523" i="10"/>
  <c r="SU1526" i="10"/>
  <c r="SU1531" i="10"/>
  <c r="SU1525" i="10"/>
  <c r="SU1529" i="10"/>
  <c r="SU1530" i="10"/>
  <c r="SU1533" i="10"/>
  <c r="SU1519" i="10"/>
  <c r="SU1532" i="10"/>
  <c r="YL1493" i="10"/>
  <c r="YL1496" i="10"/>
  <c r="YL1498" i="10"/>
  <c r="YL1495" i="10"/>
  <c r="YL1497" i="10"/>
  <c r="YL1491" i="10"/>
  <c r="YL1494" i="10"/>
  <c r="YL1500" i="10"/>
  <c r="YL1499" i="10"/>
  <c r="YL1501" i="10"/>
  <c r="YL1508" i="10"/>
  <c r="YL1509" i="10"/>
  <c r="YL1502" i="10"/>
  <c r="YL1507" i="10"/>
  <c r="YL1504" i="10"/>
  <c r="YL1492" i="10"/>
  <c r="YL1503" i="10"/>
  <c r="YL1506" i="10"/>
  <c r="YL1510" i="10"/>
  <c r="YL1505" i="10"/>
  <c r="PE1528" i="10"/>
  <c r="PE1532" i="10"/>
  <c r="PE1530" i="10"/>
  <c r="PE1533" i="10"/>
  <c r="PE1517" i="10"/>
  <c r="PE1526" i="10"/>
  <c r="PE1519" i="10"/>
  <c r="PE1527" i="10"/>
  <c r="PE1522" i="10"/>
  <c r="PE1531" i="10"/>
  <c r="PE1514" i="10"/>
  <c r="PE1515" i="10"/>
  <c r="PE1516" i="10"/>
  <c r="PE1524" i="10"/>
  <c r="PE1523" i="10"/>
  <c r="PE1525" i="10"/>
  <c r="PE1529" i="10"/>
  <c r="PE1520" i="10"/>
  <c r="PE1521" i="10"/>
  <c r="PE1518" i="10"/>
  <c r="AFX1492" i="10"/>
  <c r="AFX1494" i="10"/>
  <c r="AFX1496" i="10"/>
  <c r="AFX1498" i="10"/>
  <c r="AFX1495" i="10"/>
  <c r="AFX1497" i="10"/>
  <c r="AFX1491" i="10"/>
  <c r="AFX1493" i="10"/>
  <c r="AFX1499" i="10"/>
  <c r="AFX1500" i="10"/>
  <c r="AFX1507" i="10"/>
  <c r="AFX1501" i="10"/>
  <c r="AFX1505" i="10"/>
  <c r="AFX1503" i="10"/>
  <c r="AFX1506" i="10"/>
  <c r="AFX1508" i="10"/>
  <c r="AFX1509" i="10"/>
  <c r="AFX1510" i="10"/>
  <c r="AFX1504" i="10"/>
  <c r="AFX1502" i="10"/>
  <c r="JQ1516" i="10"/>
  <c r="JQ1514" i="10"/>
  <c r="JQ1518" i="10"/>
  <c r="JQ1515" i="10"/>
  <c r="JQ1517" i="10"/>
  <c r="JQ1523" i="10"/>
  <c r="JQ1520" i="10"/>
  <c r="JQ1521" i="10"/>
  <c r="JQ1522" i="10"/>
  <c r="JQ1519" i="10"/>
  <c r="JQ1528" i="10"/>
  <c r="JQ1524" i="10"/>
  <c r="JQ1525" i="10"/>
  <c r="JQ1529" i="10"/>
  <c r="JQ1526" i="10"/>
  <c r="JQ1531" i="10"/>
  <c r="JQ1532" i="10"/>
  <c r="JQ1530" i="10"/>
  <c r="JQ1533" i="10"/>
  <c r="JQ1527" i="10"/>
  <c r="RD1492" i="10"/>
  <c r="RD1491" i="10"/>
  <c r="RD1494" i="10"/>
  <c r="RD1499" i="10"/>
  <c r="RD1496" i="10"/>
  <c r="RD1498" i="10"/>
  <c r="RD1495" i="10"/>
  <c r="RD1493" i="10"/>
  <c r="RD1501" i="10"/>
  <c r="RD1500" i="10"/>
  <c r="RD1504" i="10"/>
  <c r="RD1503" i="10"/>
  <c r="RD1506" i="10"/>
  <c r="RD1508" i="10"/>
  <c r="RD1509" i="10"/>
  <c r="RD1505" i="10"/>
  <c r="RD1502" i="10"/>
  <c r="RD1507" i="10"/>
  <c r="RD1497" i="10"/>
  <c r="RD1510" i="10"/>
  <c r="ACA1503" i="10"/>
  <c r="ACA1502" i="10"/>
  <c r="ACA1501" i="10"/>
  <c r="ACA1496" i="10"/>
  <c r="ACA1509" i="10"/>
  <c r="ACA1510" i="10"/>
  <c r="ACA1495" i="10"/>
  <c r="ACA1494" i="10"/>
  <c r="ACA1497" i="10"/>
  <c r="ACA1508" i="10"/>
  <c r="ACA1507" i="10"/>
  <c r="ACA1504" i="10"/>
  <c r="ACA1491" i="10"/>
  <c r="ACA1492" i="10"/>
  <c r="ACA1493" i="10"/>
  <c r="ACA1499" i="10"/>
  <c r="ACA1505" i="10"/>
  <c r="ACA1498" i="10"/>
  <c r="ACA1500" i="10"/>
  <c r="ACA1506" i="10"/>
  <c r="EN1514" i="10"/>
  <c r="EN1515" i="10"/>
  <c r="EN1516" i="10"/>
  <c r="EN1517" i="10"/>
  <c r="EN1518" i="10"/>
  <c r="EN1519" i="10"/>
  <c r="EN1520" i="10"/>
  <c r="EN1524" i="10"/>
  <c r="EN1522" i="10"/>
  <c r="EN1525" i="10"/>
  <c r="EN1528" i="10"/>
  <c r="EN1526" i="10"/>
  <c r="EN1521" i="10"/>
  <c r="EN1523" i="10"/>
  <c r="EN1531" i="10"/>
  <c r="EN1529" i="10"/>
  <c r="EN1527" i="10"/>
  <c r="EN1532" i="10"/>
  <c r="EN1533" i="10"/>
  <c r="EN1530" i="10"/>
  <c r="PU1515" i="10"/>
  <c r="PU1516" i="10"/>
  <c r="PU1518" i="10"/>
  <c r="PU1519" i="10"/>
  <c r="PU1517" i="10"/>
  <c r="PU1520" i="10"/>
  <c r="PU1521" i="10"/>
  <c r="PU1514" i="10"/>
  <c r="PU1524" i="10"/>
  <c r="PU1522" i="10"/>
  <c r="PU1525" i="10"/>
  <c r="PU1526" i="10"/>
  <c r="PU1527" i="10"/>
  <c r="PU1523" i="10"/>
  <c r="PU1529" i="10"/>
  <c r="PU1531" i="10"/>
  <c r="PU1532" i="10"/>
  <c r="PU1533" i="10"/>
  <c r="PU1530" i="10"/>
  <c r="PU1528" i="10"/>
  <c r="XG1491" i="10"/>
  <c r="XG1493" i="10"/>
  <c r="XG1494" i="10"/>
  <c r="XG1496" i="10"/>
  <c r="XG1498" i="10"/>
  <c r="XG1495" i="10"/>
  <c r="XG1497" i="10"/>
  <c r="XG1492" i="10"/>
  <c r="XG1500" i="10"/>
  <c r="XG1501" i="10"/>
  <c r="XG1502" i="10"/>
  <c r="XG1503" i="10"/>
  <c r="XG1506" i="10"/>
  <c r="XG1499" i="10"/>
  <c r="XG1509" i="10"/>
  <c r="XG1507" i="10"/>
  <c r="XG1505" i="10"/>
  <c r="XG1504" i="10"/>
  <c r="XG1510" i="10"/>
  <c r="XG1508" i="10"/>
  <c r="AGH1533" i="10"/>
  <c r="AGH1523" i="10"/>
  <c r="AGH1532" i="10"/>
  <c r="AGH1517" i="10"/>
  <c r="AGH1526" i="10"/>
  <c r="AGH1528" i="10"/>
  <c r="AGH1514" i="10"/>
  <c r="AGH1530" i="10"/>
  <c r="AGH1531" i="10"/>
  <c r="AGH1515" i="10"/>
  <c r="AGH1529" i="10"/>
  <c r="AGH1519" i="10"/>
  <c r="AGH1516" i="10"/>
  <c r="AGH1522" i="10"/>
  <c r="AGH1518" i="10"/>
  <c r="AGH1527" i="10"/>
  <c r="AGH1524" i="10"/>
  <c r="AGH1520" i="10"/>
  <c r="AGH1521" i="10"/>
  <c r="AGH1525" i="10"/>
  <c r="KR1530" i="10"/>
  <c r="KR1527" i="10"/>
  <c r="KR1519" i="10"/>
  <c r="KR1531" i="10"/>
  <c r="KR1524" i="10"/>
  <c r="KR1533" i="10"/>
  <c r="KR1532" i="10"/>
  <c r="KR1517" i="10"/>
  <c r="KR1521" i="10"/>
  <c r="KR1515" i="10"/>
  <c r="KR1526" i="10"/>
  <c r="KR1525" i="10"/>
  <c r="KR1523" i="10"/>
  <c r="KR1518" i="10"/>
  <c r="KR1528" i="10"/>
  <c r="KR1522" i="10"/>
  <c r="KR1516" i="10"/>
  <c r="KR1514" i="10"/>
  <c r="KR1529" i="10"/>
  <c r="KR1520" i="10"/>
  <c r="SE1503" i="10"/>
  <c r="SE1502" i="10"/>
  <c r="SE1497" i="10"/>
  <c r="SE1499" i="10"/>
  <c r="SE1510" i="10"/>
  <c r="SE1492" i="10"/>
  <c r="SE1498" i="10"/>
  <c r="SE1508" i="10"/>
  <c r="SE1505" i="10"/>
  <c r="SE1494" i="10"/>
  <c r="SE1509" i="10"/>
  <c r="SE1504" i="10"/>
  <c r="SE1507" i="10"/>
  <c r="SE1500" i="10"/>
  <c r="SE1495" i="10"/>
  <c r="SE1501" i="10"/>
  <c r="SE1496" i="10"/>
  <c r="SE1491" i="10"/>
  <c r="SE1493" i="10"/>
  <c r="SE1506" i="10"/>
  <c r="ACY1503" i="10"/>
  <c r="ACY1502" i="10"/>
  <c r="ACY1501" i="10"/>
  <c r="ACY1491" i="10"/>
  <c r="ACY1493" i="10"/>
  <c r="ACY1495" i="10"/>
  <c r="ACY1494" i="10"/>
  <c r="ACY1497" i="10"/>
  <c r="ACY1499" i="10"/>
  <c r="ACY1492" i="10"/>
  <c r="ACY1498" i="10"/>
  <c r="ACY1510" i="10"/>
  <c r="ACY1504" i="10"/>
  <c r="ACY1508" i="10"/>
  <c r="ACY1509" i="10"/>
  <c r="ACY1500" i="10"/>
  <c r="ACY1505" i="10"/>
  <c r="ACY1506" i="10"/>
  <c r="ACY1496" i="10"/>
  <c r="ACY1507" i="10"/>
  <c r="FO1498" i="10"/>
  <c r="FO1509" i="10"/>
  <c r="FO1508" i="10"/>
  <c r="FO1510" i="10"/>
  <c r="FO1506" i="10"/>
  <c r="FO1495" i="10"/>
  <c r="FO1493" i="10"/>
  <c r="FO1491" i="10"/>
  <c r="FO1496" i="10"/>
  <c r="FO1499" i="10"/>
  <c r="FO1503" i="10"/>
  <c r="FO1494" i="10"/>
  <c r="FO1505" i="10"/>
  <c r="FO1502" i="10"/>
  <c r="FO1497" i="10"/>
  <c r="FO1507" i="10"/>
  <c r="FO1492" i="10"/>
  <c r="FO1500" i="10"/>
  <c r="FO1504" i="10"/>
  <c r="FO1501" i="10"/>
  <c r="ABT1516" i="10"/>
  <c r="ABT1528" i="10"/>
  <c r="ABT1527" i="10"/>
  <c r="ABT1531" i="10"/>
  <c r="ABT1526" i="10"/>
  <c r="ABT1520" i="10"/>
  <c r="ABT1530" i="10"/>
  <c r="ABT1519" i="10"/>
  <c r="ABT1525" i="10"/>
  <c r="ABT1532" i="10"/>
  <c r="ABT1524" i="10"/>
  <c r="ABT1523" i="10"/>
  <c r="ABT1518" i="10"/>
  <c r="ABT1533" i="10"/>
  <c r="ABT1529" i="10"/>
  <c r="ABT1522" i="10"/>
  <c r="ABT1521" i="10"/>
  <c r="ABT1515" i="10"/>
  <c r="ABT1517" i="10"/>
  <c r="ABT1514" i="10"/>
  <c r="AA1493" i="10"/>
  <c r="AA1497" i="10"/>
  <c r="AA1499" i="10"/>
  <c r="AA1496" i="10"/>
  <c r="AA1498" i="10"/>
  <c r="AA1492" i="10"/>
  <c r="AA1495" i="10"/>
  <c r="AA1491" i="10"/>
  <c r="AA1494" i="10"/>
  <c r="AA1500" i="10"/>
  <c r="AA1502" i="10"/>
  <c r="AA1501" i="10"/>
  <c r="AA1508" i="10"/>
  <c r="AA1506" i="10"/>
  <c r="AA1504" i="10"/>
  <c r="AA1507" i="10"/>
  <c r="AA1503" i="10"/>
  <c r="AA1509" i="10"/>
  <c r="AA1505" i="10"/>
  <c r="AA1510" i="10"/>
  <c r="WO1518" i="10"/>
  <c r="WO1528" i="10"/>
  <c r="WO1514" i="10"/>
  <c r="WO1522" i="10"/>
  <c r="WO1529" i="10"/>
  <c r="WO1516" i="10"/>
  <c r="WO1525" i="10"/>
  <c r="WO1533" i="10"/>
  <c r="WO1521" i="10"/>
  <c r="WO1526" i="10"/>
  <c r="WO1530" i="10"/>
  <c r="WO1520" i="10"/>
  <c r="WO1523" i="10"/>
  <c r="WO1515" i="10"/>
  <c r="WO1532" i="10"/>
  <c r="WO1517" i="10"/>
  <c r="WO1531" i="10"/>
  <c r="WO1527" i="10"/>
  <c r="WO1524" i="10"/>
  <c r="WO1519" i="10"/>
  <c r="BB1516" i="10"/>
  <c r="BB1514" i="10"/>
  <c r="BB1517" i="10"/>
  <c r="BB1515" i="10"/>
  <c r="BB1518" i="10"/>
  <c r="BB1523" i="10"/>
  <c r="BB1519" i="10"/>
  <c r="BB1521" i="10"/>
  <c r="BB1522" i="10"/>
  <c r="BB1525" i="10"/>
  <c r="BB1520" i="10"/>
  <c r="BB1527" i="10"/>
  <c r="BB1528" i="10"/>
  <c r="BB1529" i="10"/>
  <c r="BB1524" i="10"/>
  <c r="BB1526" i="10"/>
  <c r="BB1530" i="10"/>
  <c r="BB1532" i="10"/>
  <c r="BB1531" i="10"/>
  <c r="BB1533" i="10"/>
  <c r="GP1493" i="10"/>
  <c r="GP1492" i="10"/>
  <c r="GP1496" i="10"/>
  <c r="GP1498" i="10"/>
  <c r="GP1495" i="10"/>
  <c r="GP1497" i="10"/>
  <c r="GP1491" i="10"/>
  <c r="GP1494" i="10"/>
  <c r="GP1499" i="10"/>
  <c r="GP1500" i="10"/>
  <c r="GP1502" i="10"/>
  <c r="GP1501" i="10"/>
  <c r="GP1507" i="10"/>
  <c r="GP1505" i="10"/>
  <c r="GP1506" i="10"/>
  <c r="GP1503" i="10"/>
  <c r="GP1508" i="10"/>
  <c r="GP1509" i="10"/>
  <c r="GP1504" i="10"/>
  <c r="GP1510" i="10"/>
  <c r="CG1516" i="10"/>
  <c r="CG1514" i="10"/>
  <c r="CG1515" i="10"/>
  <c r="CG1519" i="10"/>
  <c r="CG1517" i="10"/>
  <c r="CG1518" i="10"/>
  <c r="CG1520" i="10"/>
  <c r="CG1521" i="10"/>
  <c r="CG1523" i="10"/>
  <c r="CG1522" i="10"/>
  <c r="CG1524" i="10"/>
  <c r="CG1526" i="10"/>
  <c r="CG1527" i="10"/>
  <c r="CG1528" i="10"/>
  <c r="CG1529" i="10"/>
  <c r="CG1533" i="10"/>
  <c r="CG1530" i="10"/>
  <c r="CG1525" i="10"/>
  <c r="CG1532" i="10"/>
  <c r="CG1531" i="10"/>
  <c r="TQ1491" i="10"/>
  <c r="TQ1493" i="10"/>
  <c r="TQ1492" i="10"/>
  <c r="TQ1494" i="10"/>
  <c r="TQ1499" i="10"/>
  <c r="TQ1497" i="10"/>
  <c r="TQ1496" i="10"/>
  <c r="TQ1500" i="10"/>
  <c r="TQ1498" i="10"/>
  <c r="TQ1501" i="10"/>
  <c r="TQ1505" i="10"/>
  <c r="TQ1495" i="10"/>
  <c r="TQ1504" i="10"/>
  <c r="TQ1503" i="10"/>
  <c r="TQ1506" i="10"/>
  <c r="TQ1508" i="10"/>
  <c r="TQ1502" i="10"/>
  <c r="TQ1507" i="10"/>
  <c r="TQ1510" i="10"/>
  <c r="TQ1509" i="10"/>
  <c r="AGM1492" i="10"/>
  <c r="AGM1491" i="10"/>
  <c r="AGM1493" i="10"/>
  <c r="AGM1495" i="10"/>
  <c r="AGM1494" i="10"/>
  <c r="AGM1496" i="10"/>
  <c r="AGM1501" i="10"/>
  <c r="AGM1500" i="10"/>
  <c r="AGM1505" i="10"/>
  <c r="AGM1504" i="10"/>
  <c r="AGM1503" i="10"/>
  <c r="AGM1506" i="10"/>
  <c r="AGM1502" i="10"/>
  <c r="AGM1508" i="10"/>
  <c r="AGM1497" i="10"/>
  <c r="AGM1498" i="10"/>
  <c r="AGM1509" i="10"/>
  <c r="AGM1507" i="10"/>
  <c r="AGM1510" i="10"/>
  <c r="AGM1499" i="10"/>
  <c r="ZN1516" i="10"/>
  <c r="ZN1517" i="10"/>
  <c r="ZN1519" i="10"/>
  <c r="ZN1524" i="10"/>
  <c r="ZN1514" i="10"/>
  <c r="ZN1515" i="10"/>
  <c r="ZN1520" i="10"/>
  <c r="ZN1522" i="10"/>
  <c r="ZN1521" i="10"/>
  <c r="ZN1523" i="10"/>
  <c r="ZN1525" i="10"/>
  <c r="ZN1527" i="10"/>
  <c r="ZN1526" i="10"/>
  <c r="ZN1530" i="10"/>
  <c r="ZN1518" i="10"/>
  <c r="ZN1529" i="10"/>
  <c r="ZN1532" i="10"/>
  <c r="ZN1528" i="10"/>
  <c r="ZN1531" i="10"/>
  <c r="ZN1533" i="10"/>
  <c r="W1514" i="10"/>
  <c r="W1517" i="10"/>
  <c r="W1520" i="10"/>
  <c r="W1516" i="10"/>
  <c r="W1515" i="10"/>
  <c r="W1521" i="10"/>
  <c r="W1522" i="10"/>
  <c r="W1524" i="10"/>
  <c r="W1518" i="10"/>
  <c r="W1519" i="10"/>
  <c r="W1525" i="10"/>
  <c r="W1523" i="10"/>
  <c r="W1529" i="10"/>
  <c r="W1531" i="10"/>
  <c r="W1527" i="10"/>
  <c r="W1526" i="10"/>
  <c r="W1530" i="10"/>
  <c r="W1532" i="10"/>
  <c r="W1528" i="10"/>
  <c r="W1533" i="10"/>
  <c r="OC1493" i="10"/>
  <c r="OC1492" i="10"/>
  <c r="OC1496" i="10"/>
  <c r="OC1498" i="10"/>
  <c r="OC1495" i="10"/>
  <c r="OC1497" i="10"/>
  <c r="OC1491" i="10"/>
  <c r="OC1494" i="10"/>
  <c r="OC1499" i="10"/>
  <c r="OC1500" i="10"/>
  <c r="OC1501" i="10"/>
  <c r="OC1502" i="10"/>
  <c r="OC1507" i="10"/>
  <c r="OC1505" i="10"/>
  <c r="OC1503" i="10"/>
  <c r="OC1506" i="10"/>
  <c r="OC1508" i="10"/>
  <c r="OC1509" i="10"/>
  <c r="OC1504" i="10"/>
  <c r="OC1510" i="10"/>
  <c r="AEC1520" i="10"/>
  <c r="AEC1532" i="10"/>
  <c r="AEC1533" i="10"/>
  <c r="AEC1528" i="10"/>
  <c r="AEC1517" i="10"/>
  <c r="AEC1515" i="10"/>
  <c r="AEC1529" i="10"/>
  <c r="AEC1514" i="10"/>
  <c r="AEC1519" i="10"/>
  <c r="AEC1523" i="10"/>
  <c r="AEC1531" i="10"/>
  <c r="AEC1530" i="10"/>
  <c r="AEC1522" i="10"/>
  <c r="AEC1525" i="10"/>
  <c r="AEC1527" i="10"/>
  <c r="AEC1521" i="10"/>
  <c r="AEC1526" i="10"/>
  <c r="AEC1524" i="10"/>
  <c r="AEC1518" i="10"/>
  <c r="AEC1516" i="10"/>
  <c r="ADF1492" i="10"/>
  <c r="ADF1491" i="10"/>
  <c r="ADF1494" i="10"/>
  <c r="ADF1493" i="10"/>
  <c r="ADF1496" i="10"/>
  <c r="ADF1498" i="10"/>
  <c r="ADF1499" i="10"/>
  <c r="ADF1495" i="10"/>
  <c r="ADF1500" i="10"/>
  <c r="ADF1501" i="10"/>
  <c r="ADF1497" i="10"/>
  <c r="ADF1502" i="10"/>
  <c r="ADF1504" i="10"/>
  <c r="ADF1503" i="10"/>
  <c r="ADF1506" i="10"/>
  <c r="ADF1508" i="10"/>
  <c r="ADF1509" i="10"/>
  <c r="ADF1505" i="10"/>
  <c r="ADF1507" i="10"/>
  <c r="ADF1510" i="10"/>
  <c r="VR1522" i="10"/>
  <c r="VR1524" i="10"/>
  <c r="VR1521" i="10"/>
  <c r="VR1523" i="10"/>
  <c r="VR1526" i="10"/>
  <c r="VR1525" i="10"/>
  <c r="VR1527" i="10"/>
  <c r="VR1530" i="10"/>
  <c r="VR1532" i="10"/>
  <c r="VR1529" i="10"/>
  <c r="VR1528" i="10"/>
  <c r="VR1531" i="10"/>
  <c r="VR1533" i="10"/>
  <c r="VR1514" i="10"/>
  <c r="VR1516" i="10"/>
  <c r="VR1520" i="10"/>
  <c r="VR1519" i="10"/>
  <c r="VR1518" i="10"/>
  <c r="VR1517" i="10"/>
  <c r="VR1515" i="10"/>
  <c r="KI1492" i="10"/>
  <c r="KI1509" i="10"/>
  <c r="KI1491" i="10"/>
  <c r="KI1500" i="10"/>
  <c r="KI1497" i="10"/>
  <c r="KI1503" i="10"/>
  <c r="KI1506" i="10"/>
  <c r="KI1510" i="10"/>
  <c r="KI1493" i="10"/>
  <c r="KI1499" i="10"/>
  <c r="KI1508" i="10"/>
  <c r="KI1496" i="10"/>
  <c r="KI1502" i="10"/>
  <c r="KI1505" i="10"/>
  <c r="KI1498" i="10"/>
  <c r="KI1501" i="10"/>
  <c r="KI1504" i="10"/>
  <c r="KI1507" i="10"/>
  <c r="KI1495" i="10"/>
  <c r="KI1494" i="10"/>
  <c r="PW1491" i="10"/>
  <c r="PW1494" i="10"/>
  <c r="PW1493" i="10"/>
  <c r="PW1496" i="10"/>
  <c r="PW1498" i="10"/>
  <c r="PW1495" i="10"/>
  <c r="PW1497" i="10"/>
  <c r="PW1492" i="10"/>
  <c r="PW1499" i="10"/>
  <c r="PW1500" i="10"/>
  <c r="PW1502" i="10"/>
  <c r="PW1503" i="10"/>
  <c r="PW1506" i="10"/>
  <c r="PW1508" i="10"/>
  <c r="PW1509" i="10"/>
  <c r="PW1501" i="10"/>
  <c r="PW1507" i="10"/>
  <c r="PW1505" i="10"/>
  <c r="PW1504" i="10"/>
  <c r="PW1510" i="10"/>
  <c r="GC1493" i="10"/>
  <c r="GC1492" i="10"/>
  <c r="GC1491" i="10"/>
  <c r="GC1495" i="10"/>
  <c r="GC1497" i="10"/>
  <c r="GC1496" i="10"/>
  <c r="GC1498" i="10"/>
  <c r="GC1501" i="10"/>
  <c r="GC1499" i="10"/>
  <c r="GC1494" i="10"/>
  <c r="GC1502" i="10"/>
  <c r="GC1506" i="10"/>
  <c r="GC1507" i="10"/>
  <c r="GC1500" i="10"/>
  <c r="GC1505" i="10"/>
  <c r="GC1504" i="10"/>
  <c r="GC1509" i="10"/>
  <c r="GC1508" i="10"/>
  <c r="GC1503" i="10"/>
  <c r="GC1510" i="10"/>
  <c r="DO1493" i="10"/>
  <c r="DO1492" i="10"/>
  <c r="DO1491" i="10"/>
  <c r="DO1494" i="10"/>
  <c r="DO1496" i="10"/>
  <c r="DO1495" i="10"/>
  <c r="DO1502" i="10"/>
  <c r="DO1497" i="10"/>
  <c r="DO1498" i="10"/>
  <c r="DO1499" i="10"/>
  <c r="DO1500" i="10"/>
  <c r="DO1501" i="10"/>
  <c r="DO1506" i="10"/>
  <c r="DO1505" i="10"/>
  <c r="DO1504" i="10"/>
  <c r="DO1507" i="10"/>
  <c r="DO1503" i="10"/>
  <c r="DO1509" i="10"/>
  <c r="DO1508" i="10"/>
  <c r="DO1510" i="10"/>
  <c r="AX1514" i="10"/>
  <c r="AX1515" i="10"/>
  <c r="AX1516" i="10"/>
  <c r="AX1519" i="10"/>
  <c r="AX1520" i="10"/>
  <c r="AX1518" i="10"/>
  <c r="AX1521" i="10"/>
  <c r="AX1522" i="10"/>
  <c r="AX1524" i="10"/>
  <c r="AX1525" i="10"/>
  <c r="AX1523" i="10"/>
  <c r="AX1517" i="10"/>
  <c r="AX1529" i="10"/>
  <c r="AX1531" i="10"/>
  <c r="AX1527" i="10"/>
  <c r="AX1528" i="10"/>
  <c r="AX1530" i="10"/>
  <c r="AX1532" i="10"/>
  <c r="AX1533" i="10"/>
  <c r="AX1526" i="10"/>
  <c r="EV1517" i="10"/>
  <c r="EV1514" i="10"/>
  <c r="EV1515" i="10"/>
  <c r="EV1516" i="10"/>
  <c r="EV1519" i="10"/>
  <c r="EV1520" i="10"/>
  <c r="EV1518" i="10"/>
  <c r="EV1523" i="10"/>
  <c r="EV1522" i="10"/>
  <c r="EV1521" i="10"/>
  <c r="EV1525" i="10"/>
  <c r="EV1528" i="10"/>
  <c r="EV1526" i="10"/>
  <c r="EV1524" i="10"/>
  <c r="EV1527" i="10"/>
  <c r="EV1530" i="10"/>
  <c r="EV1532" i="10"/>
  <c r="EV1531" i="10"/>
  <c r="EV1529" i="10"/>
  <c r="EV1533" i="10"/>
  <c r="AAG1492" i="10"/>
  <c r="AAG1491" i="10"/>
  <c r="AAG1495" i="10"/>
  <c r="AAG1497" i="10"/>
  <c r="AAG1493" i="10"/>
  <c r="AAG1496" i="10"/>
  <c r="AAG1498" i="10"/>
  <c r="AAG1500" i="10"/>
  <c r="AAG1494" i="10"/>
  <c r="AAG1501" i="10"/>
  <c r="AAG1499" i="10"/>
  <c r="AAG1509" i="10"/>
  <c r="AAG1507" i="10"/>
  <c r="AAG1505" i="10"/>
  <c r="AAG1504" i="10"/>
  <c r="AAG1508" i="10"/>
  <c r="AAG1502" i="10"/>
  <c r="AAG1503" i="10"/>
  <c r="AAG1510" i="10"/>
  <c r="AAG1506" i="10"/>
  <c r="CX1517" i="10"/>
  <c r="CX1514" i="10"/>
  <c r="CX1515" i="10"/>
  <c r="CX1516" i="10"/>
  <c r="CX1519" i="10"/>
  <c r="CX1520" i="10"/>
  <c r="CX1518" i="10"/>
  <c r="CX1522" i="10"/>
  <c r="CX1524" i="10"/>
  <c r="CX1525" i="10"/>
  <c r="CX1521" i="10"/>
  <c r="CX1526" i="10"/>
  <c r="CX1523" i="10"/>
  <c r="CX1527" i="10"/>
  <c r="CX1528" i="10"/>
  <c r="CX1529" i="10"/>
  <c r="CX1533" i="10"/>
  <c r="CX1530" i="10"/>
  <c r="CX1532" i="10"/>
  <c r="CX1531" i="10"/>
  <c r="LI1514" i="10"/>
  <c r="LI1517" i="10"/>
  <c r="LI1515" i="10"/>
  <c r="LI1520" i="10"/>
  <c r="LI1516" i="10"/>
  <c r="LI1518" i="10"/>
  <c r="LI1521" i="10"/>
  <c r="LI1523" i="10"/>
  <c r="LI1525" i="10"/>
  <c r="LI1519" i="10"/>
  <c r="LI1522" i="10"/>
  <c r="LI1524" i="10"/>
  <c r="LI1527" i="10"/>
  <c r="LI1526" i="10"/>
  <c r="LI1528" i="10"/>
  <c r="LI1529" i="10"/>
  <c r="LI1531" i="10"/>
  <c r="LI1532" i="10"/>
  <c r="LI1533" i="10"/>
  <c r="LI1530" i="10"/>
  <c r="WP1492" i="10"/>
  <c r="WP1491" i="10"/>
  <c r="WP1493" i="10"/>
  <c r="WP1494" i="10"/>
  <c r="WP1500" i="10"/>
  <c r="WP1495" i="10"/>
  <c r="WP1499" i="10"/>
  <c r="WP1496" i="10"/>
  <c r="WP1498" i="10"/>
  <c r="WP1497" i="10"/>
  <c r="WP1502" i="10"/>
  <c r="WP1505" i="10"/>
  <c r="WP1504" i="10"/>
  <c r="WP1501" i="10"/>
  <c r="WP1503" i="10"/>
  <c r="WP1506" i="10"/>
  <c r="WP1508" i="10"/>
  <c r="WP1509" i="10"/>
  <c r="WP1507" i="10"/>
  <c r="WP1510" i="10"/>
  <c r="BF1514" i="10"/>
  <c r="BF1515" i="10"/>
  <c r="BF1518" i="10"/>
  <c r="BF1520" i="10"/>
  <c r="BF1516" i="10"/>
  <c r="BF1517" i="10"/>
  <c r="BF1519" i="10"/>
  <c r="BF1525" i="10"/>
  <c r="BF1523" i="10"/>
  <c r="BF1526" i="10"/>
  <c r="BF1529" i="10"/>
  <c r="BF1524" i="10"/>
  <c r="BF1521" i="10"/>
  <c r="BF1527" i="10"/>
  <c r="BF1522" i="10"/>
  <c r="BF1532" i="10"/>
  <c r="BF1531" i="10"/>
  <c r="BF1533" i="10"/>
  <c r="BF1528" i="10"/>
  <c r="BF1530" i="10"/>
  <c r="SC1515" i="10"/>
  <c r="SC1517" i="10"/>
  <c r="SC1514" i="10"/>
  <c r="SC1519" i="10"/>
  <c r="SC1520" i="10"/>
  <c r="SC1518" i="10"/>
  <c r="SC1524" i="10"/>
  <c r="SC1521" i="10"/>
  <c r="SC1522" i="10"/>
  <c r="SC1523" i="10"/>
  <c r="SC1526" i="10"/>
  <c r="SC1525" i="10"/>
  <c r="SC1527" i="10"/>
  <c r="SC1528" i="10"/>
  <c r="SC1530" i="10"/>
  <c r="SC1529" i="10"/>
  <c r="SC1531" i="10"/>
  <c r="SC1532" i="10"/>
  <c r="SC1533" i="10"/>
  <c r="SC1516" i="10"/>
  <c r="ACW1492" i="10"/>
  <c r="ACW1491" i="10"/>
  <c r="ACW1494" i="10"/>
  <c r="ACW1493" i="10"/>
  <c r="ACW1496" i="10"/>
  <c r="ACW1498" i="10"/>
  <c r="ACW1495" i="10"/>
  <c r="ACW1497" i="10"/>
  <c r="ACW1501" i="10"/>
  <c r="ACW1504" i="10"/>
  <c r="ACW1503" i="10"/>
  <c r="ACW1506" i="10"/>
  <c r="ACW1508" i="10"/>
  <c r="ACW1499" i="10"/>
  <c r="ACW1500" i="10"/>
  <c r="ACW1509" i="10"/>
  <c r="ACW1502" i="10"/>
  <c r="ACW1505" i="10"/>
  <c r="ACW1507" i="10"/>
  <c r="ACW1510" i="10"/>
  <c r="XR1515" i="10"/>
  <c r="XR1516" i="10"/>
  <c r="XR1517" i="10"/>
  <c r="XR1514" i="10"/>
  <c r="XR1518" i="10"/>
  <c r="XR1519" i="10"/>
  <c r="XR1521" i="10"/>
  <c r="XR1523" i="10"/>
  <c r="XR1522" i="10"/>
  <c r="XR1524" i="10"/>
  <c r="XR1520" i="10"/>
  <c r="XR1526" i="10"/>
  <c r="XR1525" i="10"/>
  <c r="XR1531" i="10"/>
  <c r="XR1532" i="10"/>
  <c r="XR1529" i="10"/>
  <c r="XR1530" i="10"/>
  <c r="XR1528" i="10"/>
  <c r="XR1533" i="10"/>
  <c r="XR1527" i="10"/>
  <c r="SP1492" i="10"/>
  <c r="SP1491" i="10"/>
  <c r="SP1493" i="10"/>
  <c r="SP1495" i="10"/>
  <c r="SP1497" i="10"/>
  <c r="SP1496" i="10"/>
  <c r="SP1498" i="10"/>
  <c r="SP1494" i="10"/>
  <c r="SP1499" i="10"/>
  <c r="SP1501" i="10"/>
  <c r="SP1500" i="10"/>
  <c r="SP1509" i="10"/>
  <c r="SP1507" i="10"/>
  <c r="SP1505" i="10"/>
  <c r="SP1504" i="10"/>
  <c r="SP1502" i="10"/>
  <c r="SP1508" i="10"/>
  <c r="SP1503" i="10"/>
  <c r="SP1510" i="10"/>
  <c r="SP1506" i="10"/>
  <c r="TV1515" i="10"/>
  <c r="TV1517" i="10"/>
  <c r="TV1518" i="10"/>
  <c r="TV1519" i="10"/>
  <c r="TV1516" i="10"/>
  <c r="TV1524" i="10"/>
  <c r="TV1522" i="10"/>
  <c r="TV1523" i="10"/>
  <c r="TV1527" i="10"/>
  <c r="TV1525" i="10"/>
  <c r="TV1520" i="10"/>
  <c r="TV1526" i="10"/>
  <c r="TV1521" i="10"/>
  <c r="TV1528" i="10"/>
  <c r="TV1531" i="10"/>
  <c r="TV1529" i="10"/>
  <c r="TV1533" i="10"/>
  <c r="TV1532" i="10"/>
  <c r="TV1530" i="10"/>
  <c r="TV1514" i="10"/>
  <c r="DY1516" i="10"/>
  <c r="DY1515" i="10"/>
  <c r="DY1517" i="10"/>
  <c r="DY1514" i="10"/>
  <c r="DY1518" i="10"/>
  <c r="DY1519" i="10"/>
  <c r="DY1521" i="10"/>
  <c r="DY1525" i="10"/>
  <c r="DY1524" i="10"/>
  <c r="DY1522" i="10"/>
  <c r="DY1527" i="10"/>
  <c r="DY1529" i="10"/>
  <c r="DY1523" i="10"/>
  <c r="DY1520" i="10"/>
  <c r="DY1526" i="10"/>
  <c r="DY1530" i="10"/>
  <c r="DY1532" i="10"/>
  <c r="DY1531" i="10"/>
  <c r="DY1528" i="10"/>
  <c r="DY1533" i="10"/>
  <c r="ABD1526" i="10"/>
  <c r="ABD1530" i="10"/>
  <c r="ABD1515" i="10"/>
  <c r="ABD1520" i="10"/>
  <c r="ABD1533" i="10"/>
  <c r="ABD1514" i="10"/>
  <c r="ABD1524" i="10"/>
  <c r="ABD1516" i="10"/>
  <c r="ABD1528" i="10"/>
  <c r="ABD1521" i="10"/>
  <c r="ABD1523" i="10"/>
  <c r="ABD1517" i="10"/>
  <c r="ABD1525" i="10"/>
  <c r="ABD1522" i="10"/>
  <c r="ABD1532" i="10"/>
  <c r="ABD1531" i="10"/>
  <c r="ABD1529" i="10"/>
  <c r="ABD1518" i="10"/>
  <c r="ABD1527" i="10"/>
  <c r="ABD1519" i="10"/>
  <c r="AGN1492" i="10"/>
  <c r="AGN1491" i="10"/>
  <c r="AGN1494" i="10"/>
  <c r="AGN1496" i="10"/>
  <c r="AGN1495" i="10"/>
  <c r="AGN1497" i="10"/>
  <c r="AGN1493" i="10"/>
  <c r="AGN1499" i="10"/>
  <c r="AGN1500" i="10"/>
  <c r="AGN1498" i="10"/>
  <c r="AGN1507" i="10"/>
  <c r="AGN1501" i="10"/>
  <c r="AGN1505" i="10"/>
  <c r="AGN1504" i="10"/>
  <c r="AGN1503" i="10"/>
  <c r="AGN1506" i="10"/>
  <c r="AGN1508" i="10"/>
  <c r="AGN1510" i="10"/>
  <c r="AGN1509" i="10"/>
  <c r="AGN1502" i="10"/>
  <c r="VU1520" i="10"/>
  <c r="VU1523" i="10"/>
  <c r="VU1528" i="10"/>
  <c r="VU1530" i="10"/>
  <c r="VU1527" i="10"/>
  <c r="VU1531" i="10"/>
  <c r="VU1533" i="10"/>
  <c r="VU1532" i="10"/>
  <c r="VU1525" i="10"/>
  <c r="VU1526" i="10"/>
  <c r="VU1515" i="10"/>
  <c r="VU1521" i="10"/>
  <c r="VU1516" i="10"/>
  <c r="VU1522" i="10"/>
  <c r="VU1519" i="10"/>
  <c r="VU1517" i="10"/>
  <c r="VU1518" i="10"/>
  <c r="VU1524" i="10"/>
  <c r="VU1514" i="10"/>
  <c r="VU1529" i="10"/>
  <c r="ACV1491" i="10"/>
  <c r="ACV1494" i="10"/>
  <c r="ACV1493" i="10"/>
  <c r="ACV1496" i="10"/>
  <c r="ACV1498" i="10"/>
  <c r="ACV1495" i="10"/>
  <c r="ACV1497" i="10"/>
  <c r="ACV1492" i="10"/>
  <c r="ACV1499" i="10"/>
  <c r="ACV1501" i="10"/>
  <c r="ACV1500" i="10"/>
  <c r="ACV1503" i="10"/>
  <c r="ACV1506" i="10"/>
  <c r="ACV1509" i="10"/>
  <c r="ACV1507" i="10"/>
  <c r="ACV1502" i="10"/>
  <c r="ACV1505" i="10"/>
  <c r="ACV1504" i="10"/>
  <c r="ACV1510" i="10"/>
  <c r="ACV1508" i="10"/>
  <c r="ABR1519" i="10"/>
  <c r="ABR1515" i="10"/>
  <c r="ABR1514" i="10"/>
  <c r="ABR1516" i="10"/>
  <c r="ABR1518" i="10"/>
  <c r="ABR1524" i="10"/>
  <c r="ABR1517" i="10"/>
  <c r="ABR1521" i="10"/>
  <c r="ABR1520" i="10"/>
  <c r="ABR1523" i="10"/>
  <c r="ABR1527" i="10"/>
  <c r="ABR1522" i="10"/>
  <c r="ABR1526" i="10"/>
  <c r="ABR1525" i="10"/>
  <c r="ABR1528" i="10"/>
  <c r="ABR1531" i="10"/>
  <c r="ABR1532" i="10"/>
  <c r="ABR1529" i="10"/>
  <c r="ABR1533" i="10"/>
  <c r="ABR1530" i="10"/>
  <c r="AI1493" i="10"/>
  <c r="AI1492" i="10"/>
  <c r="AI1496" i="10"/>
  <c r="AI1498" i="10"/>
  <c r="AI1495" i="10"/>
  <c r="AI1491" i="10"/>
  <c r="AI1494" i="10"/>
  <c r="AI1497" i="10"/>
  <c r="AI1499" i="10"/>
  <c r="AI1502" i="10"/>
  <c r="AI1501" i="10"/>
  <c r="AI1500" i="10"/>
  <c r="AI1508" i="10"/>
  <c r="AI1506" i="10"/>
  <c r="AI1505" i="10"/>
  <c r="AI1503" i="10"/>
  <c r="AI1509" i="10"/>
  <c r="AI1507" i="10"/>
  <c r="AI1510" i="10"/>
  <c r="AI1504" i="10"/>
  <c r="WW1514" i="10"/>
  <c r="WW1515" i="10"/>
  <c r="WW1516" i="10"/>
  <c r="WW1520" i="10"/>
  <c r="WW1518" i="10"/>
  <c r="WW1519" i="10"/>
  <c r="WW1517" i="10"/>
  <c r="WW1521" i="10"/>
  <c r="WW1523" i="10"/>
  <c r="WW1524" i="10"/>
  <c r="WW1526" i="10"/>
  <c r="WW1527" i="10"/>
  <c r="WW1528" i="10"/>
  <c r="WW1525" i="10"/>
  <c r="WW1532" i="10"/>
  <c r="WW1522" i="10"/>
  <c r="WW1529" i="10"/>
  <c r="WW1530" i="10"/>
  <c r="WW1531" i="10"/>
  <c r="WW1533" i="10"/>
  <c r="AGA1503" i="10"/>
  <c r="AGA1494" i="10"/>
  <c r="AGA1501" i="10"/>
  <c r="AGA1502" i="10"/>
  <c r="AGA1492" i="10"/>
  <c r="AGA1505" i="10"/>
  <c r="AGA1507" i="10"/>
  <c r="AGA1497" i="10"/>
  <c r="AGA1491" i="10"/>
  <c r="AGA1495" i="10"/>
  <c r="AGA1493" i="10"/>
  <c r="AGA1508" i="10"/>
  <c r="AGA1506" i="10"/>
  <c r="AGA1510" i="10"/>
  <c r="AGA1504" i="10"/>
  <c r="AGA1509" i="10"/>
  <c r="AGA1498" i="10"/>
  <c r="AGA1500" i="10"/>
  <c r="AGA1496" i="10"/>
  <c r="AGA1499" i="10"/>
  <c r="VM1530" i="10"/>
  <c r="VM1521" i="10"/>
  <c r="VM1531" i="10"/>
  <c r="VM1533" i="10"/>
  <c r="VM1518" i="10"/>
  <c r="VM1524" i="10"/>
  <c r="VM1529" i="10"/>
  <c r="VM1520" i="10"/>
  <c r="VM1532" i="10"/>
  <c r="VM1523" i="10"/>
  <c r="VM1519" i="10"/>
  <c r="VM1527" i="10"/>
  <c r="VM1525" i="10"/>
  <c r="VM1514" i="10"/>
  <c r="VM1516" i="10"/>
  <c r="VM1528" i="10"/>
  <c r="VM1515" i="10"/>
  <c r="VM1517" i="10"/>
  <c r="VM1526" i="10"/>
  <c r="VM1522" i="10"/>
  <c r="ACP1492" i="10"/>
  <c r="ACP1491" i="10"/>
  <c r="ACP1494" i="10"/>
  <c r="ACP1500" i="10"/>
  <c r="ACP1493" i="10"/>
  <c r="ACP1495" i="10"/>
  <c r="ACP1497" i="10"/>
  <c r="ACP1498" i="10"/>
  <c r="ACP1499" i="10"/>
  <c r="ACP1501" i="10"/>
  <c r="ACP1496" i="10"/>
  <c r="ACP1502" i="10"/>
  <c r="ACP1505" i="10"/>
  <c r="ACP1504" i="10"/>
  <c r="ACP1503" i="10"/>
  <c r="ACP1506" i="10"/>
  <c r="ACP1508" i="10"/>
  <c r="ACP1509" i="10"/>
  <c r="ACP1507" i="10"/>
  <c r="ACP1510" i="10"/>
  <c r="EU1517" i="10"/>
  <c r="EU1519" i="10"/>
  <c r="EU1524" i="10"/>
  <c r="EU1522" i="10"/>
  <c r="EU1523" i="10"/>
  <c r="EU1516" i="10"/>
  <c r="EU1527" i="10"/>
  <c r="EU1528" i="10"/>
  <c r="EU1533" i="10"/>
  <c r="EU1531" i="10"/>
  <c r="EU1532" i="10"/>
  <c r="EU1514" i="10"/>
  <c r="EU1518" i="10"/>
  <c r="EU1521" i="10"/>
  <c r="EU1520" i="10"/>
  <c r="EU1526" i="10"/>
  <c r="EU1529" i="10"/>
  <c r="EU1530" i="10"/>
  <c r="EU1515" i="10"/>
  <c r="EU1525" i="10"/>
  <c r="QA1515" i="10"/>
  <c r="QA1517" i="10"/>
  <c r="QA1518" i="10"/>
  <c r="QA1516" i="10"/>
  <c r="QA1522" i="10"/>
  <c r="QA1519" i="10"/>
  <c r="QA1520" i="10"/>
  <c r="QA1524" i="10"/>
  <c r="QA1521" i="10"/>
  <c r="QA1514" i="10"/>
  <c r="QA1523" i="10"/>
  <c r="QA1528" i="10"/>
  <c r="QA1527" i="10"/>
  <c r="QA1530" i="10"/>
  <c r="QA1531" i="10"/>
  <c r="QA1532" i="10"/>
  <c r="QA1525" i="10"/>
  <c r="QA1529" i="10"/>
  <c r="QA1526" i="10"/>
  <c r="QA1533" i="10"/>
  <c r="XN1492" i="10"/>
  <c r="XN1491" i="10"/>
  <c r="XN1495" i="10"/>
  <c r="XN1497" i="10"/>
  <c r="XN1493" i="10"/>
  <c r="XN1496" i="10"/>
  <c r="XN1498" i="10"/>
  <c r="XN1494" i="10"/>
  <c r="XN1501" i="10"/>
  <c r="XN1500" i="10"/>
  <c r="XN1509" i="10"/>
  <c r="XN1507" i="10"/>
  <c r="XN1499" i="10"/>
  <c r="XN1505" i="10"/>
  <c r="XN1504" i="10"/>
  <c r="XN1502" i="10"/>
  <c r="XN1508" i="10"/>
  <c r="XN1503" i="10"/>
  <c r="XN1510" i="10"/>
  <c r="XN1506" i="10"/>
  <c r="ABC1527" i="10"/>
  <c r="ABC1531" i="10"/>
  <c r="ABC1533" i="10"/>
  <c r="ABC1530" i="10"/>
  <c r="ABC1516" i="10"/>
  <c r="ABC1521" i="10"/>
  <c r="ABC1514" i="10"/>
  <c r="ABC1525" i="10"/>
  <c r="ABC1518" i="10"/>
  <c r="ABC1523" i="10"/>
  <c r="ABC1526" i="10"/>
  <c r="ABC1520" i="10"/>
  <c r="ABC1524" i="10"/>
  <c r="ABC1529" i="10"/>
  <c r="ABC1517" i="10"/>
  <c r="ABC1528" i="10"/>
  <c r="ABC1515" i="10"/>
  <c r="ABC1519" i="10"/>
  <c r="ABC1522" i="10"/>
  <c r="ABC1532" i="10"/>
  <c r="RV1518" i="10"/>
  <c r="RV1514" i="10"/>
  <c r="RV1515" i="10"/>
  <c r="RV1517" i="10"/>
  <c r="RV1516" i="10"/>
  <c r="RV1522" i="10"/>
  <c r="RV1523" i="10"/>
  <c r="RV1519" i="10"/>
  <c r="RV1520" i="10"/>
  <c r="RV1521" i="10"/>
  <c r="RV1527" i="10"/>
  <c r="RV1528" i="10"/>
  <c r="RV1532" i="10"/>
  <c r="RV1531" i="10"/>
  <c r="RV1525" i="10"/>
  <c r="RV1530" i="10"/>
  <c r="RV1529" i="10"/>
  <c r="RV1533" i="10"/>
  <c r="RV1526" i="10"/>
  <c r="RV1524" i="10"/>
  <c r="XC1503" i="10"/>
  <c r="XC1501" i="10"/>
  <c r="XC1502" i="10"/>
  <c r="XC1507" i="10"/>
  <c r="XC1500" i="10"/>
  <c r="XC1510" i="10"/>
  <c r="XC1496" i="10"/>
  <c r="XC1509" i="10"/>
  <c r="XC1505" i="10"/>
  <c r="XC1492" i="10"/>
  <c r="XC1493" i="10"/>
  <c r="XC1494" i="10"/>
  <c r="XC1508" i="10"/>
  <c r="XC1498" i="10"/>
  <c r="XC1504" i="10"/>
  <c r="XC1495" i="10"/>
  <c r="XC1499" i="10"/>
  <c r="XC1497" i="10"/>
  <c r="XC1491" i="10"/>
  <c r="XC1506" i="10"/>
  <c r="LS1514" i="10"/>
  <c r="LS1515" i="10"/>
  <c r="LS1516" i="10"/>
  <c r="LS1520" i="10"/>
  <c r="LS1518" i="10"/>
  <c r="LS1519" i="10"/>
  <c r="LS1517" i="10"/>
  <c r="LS1523" i="10"/>
  <c r="LS1522" i="10"/>
  <c r="LS1524" i="10"/>
  <c r="LS1525" i="10"/>
  <c r="LS1527" i="10"/>
  <c r="LS1521" i="10"/>
  <c r="LS1528" i="10"/>
  <c r="LS1526" i="10"/>
  <c r="LS1529" i="10"/>
  <c r="LS1531" i="10"/>
  <c r="LS1532" i="10"/>
  <c r="LS1530" i="10"/>
  <c r="LS1533" i="10"/>
  <c r="RA1493" i="10"/>
  <c r="RA1492" i="10"/>
  <c r="RA1496" i="10"/>
  <c r="RA1498" i="10"/>
  <c r="RA1495" i="10"/>
  <c r="RA1497" i="10"/>
  <c r="RA1494" i="10"/>
  <c r="RA1491" i="10"/>
  <c r="RA1499" i="10"/>
  <c r="RA1501" i="10"/>
  <c r="RA1502" i="10"/>
  <c r="RA1507" i="10"/>
  <c r="RA1505" i="10"/>
  <c r="RA1503" i="10"/>
  <c r="RA1506" i="10"/>
  <c r="RA1500" i="10"/>
  <c r="RA1508" i="10"/>
  <c r="RA1509" i="10"/>
  <c r="RA1510" i="10"/>
  <c r="RA1504" i="10"/>
  <c r="NC1533" i="10"/>
  <c r="NC1526" i="10"/>
  <c r="NC1515" i="10"/>
  <c r="NC1523" i="10"/>
  <c r="NC1530" i="10"/>
  <c r="NC1517" i="10"/>
  <c r="NC1527" i="10"/>
  <c r="NC1521" i="10"/>
  <c r="NC1514" i="10"/>
  <c r="NC1525" i="10"/>
  <c r="NC1524" i="10"/>
  <c r="NC1519" i="10"/>
  <c r="NC1532" i="10"/>
  <c r="NC1522" i="10"/>
  <c r="NC1520" i="10"/>
  <c r="NC1528" i="10"/>
  <c r="NC1529" i="10"/>
  <c r="NC1516" i="10"/>
  <c r="NC1518" i="10"/>
  <c r="NC1531" i="10"/>
  <c r="SS1491" i="10"/>
  <c r="SS1494" i="10"/>
  <c r="SS1493" i="10"/>
  <c r="SS1496" i="10"/>
  <c r="SS1498" i="10"/>
  <c r="SS1495" i="10"/>
  <c r="SS1497" i="10"/>
  <c r="SS1492" i="10"/>
  <c r="SS1499" i="10"/>
  <c r="SS1500" i="10"/>
  <c r="SS1503" i="10"/>
  <c r="SS1506" i="10"/>
  <c r="SS1502" i="10"/>
  <c r="SS1508" i="10"/>
  <c r="SS1509" i="10"/>
  <c r="SS1501" i="10"/>
  <c r="SS1507" i="10"/>
  <c r="SS1505" i="10"/>
  <c r="SS1504" i="10"/>
  <c r="SS1510" i="10"/>
  <c r="AAY1492" i="10"/>
  <c r="AAY1491" i="10"/>
  <c r="AAY1495" i="10"/>
  <c r="AAY1497" i="10"/>
  <c r="AAY1493" i="10"/>
  <c r="AAY1496" i="10"/>
  <c r="AAY1498" i="10"/>
  <c r="AAY1499" i="10"/>
  <c r="AAY1500" i="10"/>
  <c r="AAY1501" i="10"/>
  <c r="AAY1494" i="10"/>
  <c r="AAY1502" i="10"/>
  <c r="AAY1509" i="10"/>
  <c r="AAY1507" i="10"/>
  <c r="AAY1505" i="10"/>
  <c r="AAY1504" i="10"/>
  <c r="AAY1508" i="10"/>
  <c r="AAY1506" i="10"/>
  <c r="AAY1503" i="10"/>
  <c r="AAY1510" i="10"/>
  <c r="FU1514" i="10"/>
  <c r="FU1515" i="10"/>
  <c r="FU1516" i="10"/>
  <c r="FU1517" i="10"/>
  <c r="FU1518" i="10"/>
  <c r="FU1520" i="10"/>
  <c r="FU1519" i="10"/>
  <c r="FU1521" i="10"/>
  <c r="FU1522" i="10"/>
  <c r="FU1524" i="10"/>
  <c r="FU1525" i="10"/>
  <c r="FU1527" i="10"/>
  <c r="FU1528" i="10"/>
  <c r="FU1533" i="10"/>
  <c r="FU1530" i="10"/>
  <c r="FU1523" i="10"/>
  <c r="FU1532" i="10"/>
  <c r="FU1526" i="10"/>
  <c r="FU1529" i="10"/>
  <c r="FU1531" i="10"/>
  <c r="LK1504" i="10"/>
  <c r="LK1502" i="10"/>
  <c r="LK1510" i="10"/>
  <c r="LK1491" i="10"/>
  <c r="LK1501" i="10"/>
  <c r="LK1497" i="10"/>
  <c r="LK1499" i="10"/>
  <c r="LK1496" i="10"/>
  <c r="LK1508" i="10"/>
  <c r="LK1507" i="10"/>
  <c r="LK1492" i="10"/>
  <c r="LK1505" i="10"/>
  <c r="LK1493" i="10"/>
  <c r="LK1506" i="10"/>
  <c r="LK1494" i="10"/>
  <c r="LK1503" i="10"/>
  <c r="LK1509" i="10"/>
  <c r="LK1498" i="10"/>
  <c r="LK1500" i="10"/>
  <c r="LK1495" i="10"/>
  <c r="ABY1514" i="10"/>
  <c r="ABY1523" i="10"/>
  <c r="ABY1528" i="10"/>
  <c r="ABY1530" i="10"/>
  <c r="ABY1533" i="10"/>
  <c r="ABY1515" i="10"/>
  <c r="ABY1521" i="10"/>
  <c r="ABY1519" i="10"/>
  <c r="ABY1516" i="10"/>
  <c r="ABY1531" i="10"/>
  <c r="ABY1527" i="10"/>
  <c r="ABY1524" i="10"/>
  <c r="ABY1517" i="10"/>
  <c r="ABY1526" i="10"/>
  <c r="ABY1522" i="10"/>
  <c r="ABY1529" i="10"/>
  <c r="ABY1518" i="10"/>
  <c r="ABY1520" i="10"/>
  <c r="ABY1532" i="10"/>
  <c r="ABY1525" i="10"/>
  <c r="FI1493" i="10"/>
  <c r="FI1492" i="10"/>
  <c r="FI1496" i="10"/>
  <c r="FI1495" i="10"/>
  <c r="FI1497" i="10"/>
  <c r="FI1491" i="10"/>
  <c r="FI1494" i="10"/>
  <c r="FI1499" i="10"/>
  <c r="FI1498" i="10"/>
  <c r="FI1502" i="10"/>
  <c r="FI1501" i="10"/>
  <c r="FI1500" i="10"/>
  <c r="FI1506" i="10"/>
  <c r="FI1507" i="10"/>
  <c r="FI1509" i="10"/>
  <c r="FI1505" i="10"/>
  <c r="FI1503" i="10"/>
  <c r="FI1508" i="10"/>
  <c r="FI1504" i="10"/>
  <c r="FI1510" i="10"/>
  <c r="T1492" i="10"/>
  <c r="T1491" i="10"/>
  <c r="T1493" i="10"/>
  <c r="T1494" i="10"/>
  <c r="T1497" i="10"/>
  <c r="T1499" i="10"/>
  <c r="T1496" i="10"/>
  <c r="T1498" i="10"/>
  <c r="T1495" i="10"/>
  <c r="T1501" i="10"/>
  <c r="T1504" i="10"/>
  <c r="T1507" i="10"/>
  <c r="T1503" i="10"/>
  <c r="T1502" i="10"/>
  <c r="T1508" i="10"/>
  <c r="T1500" i="10"/>
  <c r="T1506" i="10"/>
  <c r="T1505" i="10"/>
  <c r="T1509" i="10"/>
  <c r="T1510" i="10"/>
  <c r="WH1521" i="10"/>
  <c r="WH1522" i="10"/>
  <c r="WH1519" i="10"/>
  <c r="WH1526" i="10"/>
  <c r="WH1527" i="10"/>
  <c r="WH1528" i="10"/>
  <c r="WH1530" i="10"/>
  <c r="WH1532" i="10"/>
  <c r="WH1529" i="10"/>
  <c r="WH1531" i="10"/>
  <c r="WH1533" i="10"/>
  <c r="WH1518" i="10"/>
  <c r="WH1517" i="10"/>
  <c r="WH1515" i="10"/>
  <c r="WH1525" i="10"/>
  <c r="WH1520" i="10"/>
  <c r="WH1516" i="10"/>
  <c r="WH1524" i="10"/>
  <c r="WH1523" i="10"/>
  <c r="WH1514" i="10"/>
  <c r="ADE1491" i="10"/>
  <c r="ADE1494" i="10"/>
  <c r="ADE1493" i="10"/>
  <c r="ADE1492" i="10"/>
  <c r="ADE1496" i="10"/>
  <c r="ADE1498" i="10"/>
  <c r="ADE1495" i="10"/>
  <c r="ADE1497" i="10"/>
  <c r="ADE1500" i="10"/>
  <c r="ADE1501" i="10"/>
  <c r="ADE1499" i="10"/>
  <c r="ADE1503" i="10"/>
  <c r="ADE1506" i="10"/>
  <c r="ADE1509" i="10"/>
  <c r="ADE1507" i="10"/>
  <c r="ADE1505" i="10"/>
  <c r="ADE1502" i="10"/>
  <c r="ADE1504" i="10"/>
  <c r="ADE1508" i="10"/>
  <c r="ADE1510" i="10"/>
  <c r="RE1515" i="10"/>
  <c r="RE1520" i="10"/>
  <c r="RE1522" i="10"/>
  <c r="RE1519" i="10"/>
  <c r="RE1524" i="10"/>
  <c r="RE1521" i="10"/>
  <c r="RE1527" i="10"/>
  <c r="RE1526" i="10"/>
  <c r="RE1528" i="10"/>
  <c r="RE1518" i="10"/>
  <c r="RE1523" i="10"/>
  <c r="RE1531" i="10"/>
  <c r="RE1532" i="10"/>
  <c r="RE1517" i="10"/>
  <c r="RE1525" i="10"/>
  <c r="RE1530" i="10"/>
  <c r="RE1529" i="10"/>
  <c r="RE1533" i="10"/>
  <c r="RE1516" i="10"/>
  <c r="RE1514" i="10"/>
  <c r="YQ1503" i="10"/>
  <c r="YQ1501" i="10"/>
  <c r="YQ1502" i="10"/>
  <c r="YQ1507" i="10"/>
  <c r="YQ1500" i="10"/>
  <c r="YQ1505" i="10"/>
  <c r="YQ1492" i="10"/>
  <c r="YQ1493" i="10"/>
  <c r="YQ1496" i="10"/>
  <c r="YQ1509" i="10"/>
  <c r="YQ1494" i="10"/>
  <c r="YQ1510" i="10"/>
  <c r="YQ1508" i="10"/>
  <c r="YQ1504" i="10"/>
  <c r="YQ1499" i="10"/>
  <c r="YQ1506" i="10"/>
  <c r="YQ1498" i="10"/>
  <c r="YQ1495" i="10"/>
  <c r="YQ1497" i="10"/>
  <c r="YQ1491" i="10"/>
  <c r="AV1514" i="10"/>
  <c r="AV1516" i="10"/>
  <c r="AV1518" i="10"/>
  <c r="AV1517" i="10"/>
  <c r="AV1519" i="10"/>
  <c r="AV1523" i="10"/>
  <c r="AV1520" i="10"/>
  <c r="AV1515" i="10"/>
  <c r="AV1524" i="10"/>
  <c r="AV1525" i="10"/>
  <c r="AV1521" i="10"/>
  <c r="AV1522" i="10"/>
  <c r="AV1526" i="10"/>
  <c r="AV1527" i="10"/>
  <c r="AV1528" i="10"/>
  <c r="AV1529" i="10"/>
  <c r="AV1533" i="10"/>
  <c r="AV1531" i="10"/>
  <c r="AV1530" i="10"/>
  <c r="AV1532" i="10"/>
  <c r="MC1515" i="10"/>
  <c r="MC1518" i="10"/>
  <c r="MC1514" i="10"/>
  <c r="MC1517" i="10"/>
  <c r="MC1519" i="10"/>
  <c r="MC1516" i="10"/>
  <c r="MC1521" i="10"/>
  <c r="MC1525" i="10"/>
  <c r="MC1520" i="10"/>
  <c r="MC1523" i="10"/>
  <c r="MC1524" i="10"/>
  <c r="MC1522" i="10"/>
  <c r="MC1527" i="10"/>
  <c r="MC1526" i="10"/>
  <c r="MC1528" i="10"/>
  <c r="MC1530" i="10"/>
  <c r="MC1533" i="10"/>
  <c r="MC1529" i="10"/>
  <c r="MC1531" i="10"/>
  <c r="MC1532" i="10"/>
  <c r="TP1492" i="10"/>
  <c r="TP1491" i="10"/>
  <c r="TP1493" i="10"/>
  <c r="TP1494" i="10"/>
  <c r="TP1499" i="10"/>
  <c r="TP1496" i="10"/>
  <c r="TP1498" i="10"/>
  <c r="TP1500" i="10"/>
  <c r="TP1495" i="10"/>
  <c r="TP1501" i="10"/>
  <c r="TP1497" i="10"/>
  <c r="TP1504" i="10"/>
  <c r="TP1503" i="10"/>
  <c r="TP1506" i="10"/>
  <c r="TP1508" i="10"/>
  <c r="TP1509" i="10"/>
  <c r="TP1505" i="10"/>
  <c r="TP1507" i="10"/>
  <c r="TP1502" i="10"/>
  <c r="TP1510" i="10"/>
  <c r="ADW1506" i="10"/>
  <c r="ADW1504" i="10"/>
  <c r="ADW1498" i="10"/>
  <c r="ADW1508" i="10"/>
  <c r="ADW1502" i="10"/>
  <c r="ADW1496" i="10"/>
  <c r="ADW1509" i="10"/>
  <c r="ADW1497" i="10"/>
  <c r="ADW1499" i="10"/>
  <c r="ADW1507" i="10"/>
  <c r="ADW1500" i="10"/>
  <c r="ADW1505" i="10"/>
  <c r="ADW1501" i="10"/>
  <c r="ADW1491" i="10"/>
  <c r="ADW1503" i="10"/>
  <c r="ADW1493" i="10"/>
  <c r="ADW1510" i="10"/>
  <c r="ADW1495" i="10"/>
  <c r="ADW1494" i="10"/>
  <c r="ADW1492" i="10"/>
  <c r="GZ1493" i="10"/>
  <c r="GZ1492" i="10"/>
  <c r="GZ1496" i="10"/>
  <c r="GZ1498" i="10"/>
  <c r="GZ1495" i="10"/>
  <c r="GZ1497" i="10"/>
  <c r="GZ1494" i="10"/>
  <c r="GZ1499" i="10"/>
  <c r="GZ1502" i="10"/>
  <c r="GZ1501" i="10"/>
  <c r="GZ1491" i="10"/>
  <c r="GZ1500" i="10"/>
  <c r="GZ1509" i="10"/>
  <c r="GZ1507" i="10"/>
  <c r="GZ1505" i="10"/>
  <c r="GZ1503" i="10"/>
  <c r="GZ1508" i="10"/>
  <c r="GZ1504" i="10"/>
  <c r="GZ1510" i="10"/>
  <c r="GZ1506" i="10"/>
  <c r="ACZ1527" i="10"/>
  <c r="ACZ1532" i="10"/>
  <c r="ACZ1520" i="10"/>
  <c r="ACZ1524" i="10"/>
  <c r="ACZ1515" i="10"/>
  <c r="ACZ1519" i="10"/>
  <c r="ACZ1521" i="10"/>
  <c r="ACZ1533" i="10"/>
  <c r="ACZ1514" i="10"/>
  <c r="ACZ1531" i="10"/>
  <c r="ACZ1528" i="10"/>
  <c r="ACZ1518" i="10"/>
  <c r="ACZ1523" i="10"/>
  <c r="ACZ1522" i="10"/>
  <c r="ACZ1530" i="10"/>
  <c r="ACZ1516" i="10"/>
  <c r="ACZ1525" i="10"/>
  <c r="ACZ1517" i="10"/>
  <c r="ACZ1526" i="10"/>
  <c r="ACZ1529" i="10"/>
  <c r="BL1493" i="10"/>
  <c r="BL1492" i="10"/>
  <c r="BL1496" i="10"/>
  <c r="BL1498" i="10"/>
  <c r="BL1495" i="10"/>
  <c r="BL1491" i="10"/>
  <c r="BL1494" i="10"/>
  <c r="BL1497" i="10"/>
  <c r="BL1499" i="10"/>
  <c r="BL1502" i="10"/>
  <c r="BL1501" i="10"/>
  <c r="BL1508" i="10"/>
  <c r="BL1506" i="10"/>
  <c r="BL1505" i="10"/>
  <c r="BL1500" i="10"/>
  <c r="BL1503" i="10"/>
  <c r="BL1509" i="10"/>
  <c r="BL1510" i="10"/>
  <c r="BL1504" i="10"/>
  <c r="BL1507" i="10"/>
  <c r="XY1520" i="10"/>
  <c r="XY1529" i="10"/>
  <c r="XY1517" i="10"/>
  <c r="XY1514" i="10"/>
  <c r="XY1523" i="10"/>
  <c r="XY1531" i="10"/>
  <c r="XY1518" i="10"/>
  <c r="XY1526" i="10"/>
  <c r="XY1528" i="10"/>
  <c r="XY1533" i="10"/>
  <c r="XY1519" i="10"/>
  <c r="XY1527" i="10"/>
  <c r="XY1515" i="10"/>
  <c r="XY1522" i="10"/>
  <c r="XY1524" i="10"/>
  <c r="XY1525" i="10"/>
  <c r="XY1532" i="10"/>
  <c r="XY1530" i="10"/>
  <c r="XY1521" i="10"/>
  <c r="XY1516" i="10"/>
  <c r="AEH1492" i="10"/>
  <c r="AEH1491" i="10"/>
  <c r="AEH1494" i="10"/>
  <c r="AEH1493" i="10"/>
  <c r="AEH1496" i="10"/>
  <c r="AEH1498" i="10"/>
  <c r="AEH1495" i="10"/>
  <c r="AEH1499" i="10"/>
  <c r="AEH1497" i="10"/>
  <c r="AEH1500" i="10"/>
  <c r="AEH1501" i="10"/>
  <c r="AEH1504" i="10"/>
  <c r="AEH1503" i="10"/>
  <c r="AEH1506" i="10"/>
  <c r="AEH1508" i="10"/>
  <c r="AEH1502" i="10"/>
  <c r="AEH1509" i="10"/>
  <c r="AEH1505" i="10"/>
  <c r="AEH1507" i="10"/>
  <c r="AEH1510" i="10"/>
  <c r="KL1497" i="10"/>
  <c r="KL1503" i="10"/>
  <c r="KL1506" i="10"/>
  <c r="KL1492" i="10"/>
  <c r="KL1510" i="10"/>
  <c r="KL1493" i="10"/>
  <c r="KL1494" i="10"/>
  <c r="KL1498" i="10"/>
  <c r="KL1501" i="10"/>
  <c r="KL1504" i="10"/>
  <c r="KL1507" i="10"/>
  <c r="KL1495" i="10"/>
  <c r="KL1491" i="10"/>
  <c r="KL1500" i="10"/>
  <c r="KL1509" i="10"/>
  <c r="KL1505" i="10"/>
  <c r="KL1496" i="10"/>
  <c r="KL1499" i="10"/>
  <c r="KL1508" i="10"/>
  <c r="KL1502" i="10"/>
  <c r="AY1516" i="10"/>
  <c r="AY1514" i="10"/>
  <c r="AY1519" i="10"/>
  <c r="AY1520" i="10"/>
  <c r="AY1515" i="10"/>
  <c r="AY1525" i="10"/>
  <c r="AY1517" i="10"/>
  <c r="AY1523" i="10"/>
  <c r="AY1521" i="10"/>
  <c r="AY1522" i="10"/>
  <c r="AY1524" i="10"/>
  <c r="AY1529" i="10"/>
  <c r="AY1518" i="10"/>
  <c r="AY1527" i="10"/>
  <c r="AY1528" i="10"/>
  <c r="AY1532" i="10"/>
  <c r="AY1531" i="10"/>
  <c r="AY1526" i="10"/>
  <c r="AY1533" i="10"/>
  <c r="AY1530" i="10"/>
  <c r="JV1491" i="10"/>
  <c r="JV1493" i="10"/>
  <c r="JV1494" i="10"/>
  <c r="JV1507" i="10"/>
  <c r="JV1501" i="10"/>
  <c r="JV1495" i="10"/>
  <c r="JV1504" i="10"/>
  <c r="JV1508" i="10"/>
  <c r="JV1509" i="10"/>
  <c r="JV1492" i="10"/>
  <c r="JV1500" i="10"/>
  <c r="JV1503" i="10"/>
  <c r="JV1506" i="10"/>
  <c r="JV1510" i="10"/>
  <c r="JV1502" i="10"/>
  <c r="JV1505" i="10"/>
  <c r="JV1496" i="10"/>
  <c r="JV1499" i="10"/>
  <c r="JV1497" i="10"/>
  <c r="JV1498" i="10"/>
  <c r="HV1514" i="10"/>
  <c r="HV1515" i="10"/>
  <c r="HV1516" i="10"/>
  <c r="HV1517" i="10"/>
  <c r="HV1520" i="10"/>
  <c r="HV1519" i="10"/>
  <c r="HV1518" i="10"/>
  <c r="HV1521" i="10"/>
  <c r="HV1522" i="10"/>
  <c r="HV1524" i="10"/>
  <c r="HV1525" i="10"/>
  <c r="HV1527" i="10"/>
  <c r="HV1523" i="10"/>
  <c r="HV1529" i="10"/>
  <c r="HV1530" i="10"/>
  <c r="HV1526" i="10"/>
  <c r="HV1531" i="10"/>
  <c r="HV1528" i="10"/>
  <c r="HV1533" i="10"/>
  <c r="HV1532" i="10"/>
  <c r="NL1492" i="10"/>
  <c r="NL1491" i="10"/>
  <c r="NL1494" i="10"/>
  <c r="NL1499" i="10"/>
  <c r="NL1496" i="10"/>
  <c r="NL1498" i="10"/>
  <c r="NL1497" i="10"/>
  <c r="NL1495" i="10"/>
  <c r="NL1493" i="10"/>
  <c r="NL1501" i="10"/>
  <c r="NL1504" i="10"/>
  <c r="NL1502" i="10"/>
  <c r="NL1503" i="10"/>
  <c r="NL1506" i="10"/>
  <c r="NL1508" i="10"/>
  <c r="NL1509" i="10"/>
  <c r="NL1500" i="10"/>
  <c r="NL1505" i="10"/>
  <c r="NL1507" i="10"/>
  <c r="NL1510" i="10"/>
  <c r="VW1503" i="10"/>
  <c r="VW1502" i="10"/>
  <c r="VW1501" i="10"/>
  <c r="VW1504" i="10"/>
  <c r="VW1496" i="10"/>
  <c r="VW1509" i="10"/>
  <c r="VW1505" i="10"/>
  <c r="VW1510" i="10"/>
  <c r="VW1495" i="10"/>
  <c r="VW1494" i="10"/>
  <c r="VW1508" i="10"/>
  <c r="VW1499" i="10"/>
  <c r="VW1498" i="10"/>
  <c r="VW1500" i="10"/>
  <c r="VW1497" i="10"/>
  <c r="VW1506" i="10"/>
  <c r="VW1507" i="10"/>
  <c r="VW1492" i="10"/>
  <c r="VW1491" i="10"/>
  <c r="VW1493" i="10"/>
  <c r="AN1516" i="10"/>
  <c r="AN1515" i="10"/>
  <c r="AN1517" i="10"/>
  <c r="AN1514" i="10"/>
  <c r="AN1520" i="10"/>
  <c r="AN1519" i="10"/>
  <c r="AN1518" i="10"/>
  <c r="AN1525" i="10"/>
  <c r="AN1521" i="10"/>
  <c r="AN1522" i="10"/>
  <c r="AN1526" i="10"/>
  <c r="AN1529" i="10"/>
  <c r="AN1524" i="10"/>
  <c r="AN1528" i="10"/>
  <c r="AN1532" i="10"/>
  <c r="AN1527" i="10"/>
  <c r="AN1531" i="10"/>
  <c r="AN1533" i="10"/>
  <c r="AN1530" i="10"/>
  <c r="AN1523" i="10"/>
  <c r="GD1493" i="10"/>
  <c r="GD1492" i="10"/>
  <c r="GD1496" i="10"/>
  <c r="GD1491" i="10"/>
  <c r="GD1495" i="10"/>
  <c r="GD1497" i="10"/>
  <c r="GD1494" i="10"/>
  <c r="GD1498" i="10"/>
  <c r="GD1499" i="10"/>
  <c r="GD1500" i="10"/>
  <c r="GD1502" i="10"/>
  <c r="GD1501" i="10"/>
  <c r="GD1506" i="10"/>
  <c r="GD1507" i="10"/>
  <c r="GD1505" i="10"/>
  <c r="GD1503" i="10"/>
  <c r="GD1508" i="10"/>
  <c r="GD1504" i="10"/>
  <c r="GD1509" i="10"/>
  <c r="GD1510" i="10"/>
  <c r="XA1519" i="10"/>
  <c r="XA1530" i="10"/>
  <c r="XA1532" i="10"/>
  <c r="XA1533" i="10"/>
  <c r="XA1523" i="10"/>
  <c r="XA1528" i="10"/>
  <c r="XA1515" i="10"/>
  <c r="XA1525" i="10"/>
  <c r="XA1517" i="10"/>
  <c r="XA1522" i="10"/>
  <c r="XA1527" i="10"/>
  <c r="XA1518" i="10"/>
  <c r="XA1514" i="10"/>
  <c r="XA1526" i="10"/>
  <c r="XA1520" i="10"/>
  <c r="XA1516" i="10"/>
  <c r="XA1531" i="10"/>
  <c r="XA1529" i="10"/>
  <c r="XA1521" i="10"/>
  <c r="XA1524" i="10"/>
  <c r="ACG1492" i="10"/>
  <c r="ACG1491" i="10"/>
  <c r="ACG1494" i="10"/>
  <c r="ACG1500" i="10"/>
  <c r="ACG1493" i="10"/>
  <c r="ACG1495" i="10"/>
  <c r="ACG1501" i="10"/>
  <c r="ACG1497" i="10"/>
  <c r="ACG1498" i="10"/>
  <c r="ACG1499" i="10"/>
  <c r="ACG1496" i="10"/>
  <c r="ACG1505" i="10"/>
  <c r="ACG1504" i="10"/>
  <c r="ACG1503" i="10"/>
  <c r="ACG1506" i="10"/>
  <c r="ACG1508" i="10"/>
  <c r="ACG1509" i="10"/>
  <c r="ACG1502" i="10"/>
  <c r="ACG1507" i="10"/>
  <c r="ACG1510" i="10"/>
  <c r="UU1526" i="10"/>
  <c r="UU1533" i="10"/>
  <c r="UU1515" i="10"/>
  <c r="UU1525" i="10"/>
  <c r="UU1527" i="10"/>
  <c r="UU1517" i="10"/>
  <c r="UU1528" i="10"/>
  <c r="UU1529" i="10"/>
  <c r="UU1514" i="10"/>
  <c r="UU1520" i="10"/>
  <c r="UU1524" i="10"/>
  <c r="UU1519" i="10"/>
  <c r="UU1521" i="10"/>
  <c r="UU1522" i="10"/>
  <c r="UU1532" i="10"/>
  <c r="UU1518" i="10"/>
  <c r="UU1531" i="10"/>
  <c r="UU1516" i="10"/>
  <c r="UU1523" i="10"/>
  <c r="UU1530" i="10"/>
  <c r="ABZ1492" i="10"/>
  <c r="ABZ1491" i="10"/>
  <c r="ABZ1495" i="10"/>
  <c r="ABZ1497" i="10"/>
  <c r="ABZ1493" i="10"/>
  <c r="ABZ1496" i="10"/>
  <c r="ABZ1498" i="10"/>
  <c r="ABZ1499" i="10"/>
  <c r="ABZ1501" i="10"/>
  <c r="ABZ1500" i="10"/>
  <c r="ABZ1494" i="10"/>
  <c r="ABZ1502" i="10"/>
  <c r="ABZ1509" i="10"/>
  <c r="ABZ1507" i="10"/>
  <c r="ABZ1505" i="10"/>
  <c r="ABZ1504" i="10"/>
  <c r="ABZ1508" i="10"/>
  <c r="ABZ1506" i="10"/>
  <c r="ABZ1510" i="10"/>
  <c r="ABZ1503" i="10"/>
  <c r="PG1526" i="10"/>
  <c r="PG1533" i="10"/>
  <c r="PG1522" i="10"/>
  <c r="PG1521" i="10"/>
  <c r="PG1524" i="10"/>
  <c r="PG1529" i="10"/>
  <c r="PG1528" i="10"/>
  <c r="PG1531" i="10"/>
  <c r="PG1517" i="10"/>
  <c r="PG1516" i="10"/>
  <c r="PG1518" i="10"/>
  <c r="PG1530" i="10"/>
  <c r="PG1515" i="10"/>
  <c r="PG1523" i="10"/>
  <c r="PG1527" i="10"/>
  <c r="PG1514" i="10"/>
  <c r="PG1532" i="10"/>
  <c r="PG1519" i="10"/>
  <c r="PG1520" i="10"/>
  <c r="PG1525" i="10"/>
  <c r="WT1493" i="10"/>
  <c r="WT1496" i="10"/>
  <c r="WT1498" i="10"/>
  <c r="WT1495" i="10"/>
  <c r="WT1497" i="10"/>
  <c r="WT1492" i="10"/>
  <c r="WT1491" i="10"/>
  <c r="WT1494" i="10"/>
  <c r="WT1500" i="10"/>
  <c r="WT1499" i="10"/>
  <c r="WT1508" i="10"/>
  <c r="WT1509" i="10"/>
  <c r="WT1507" i="10"/>
  <c r="WT1501" i="10"/>
  <c r="WT1504" i="10"/>
  <c r="WT1503" i="10"/>
  <c r="WT1506" i="10"/>
  <c r="WT1502" i="10"/>
  <c r="WT1505" i="10"/>
  <c r="WT1510" i="10"/>
  <c r="AFY1525" i="10"/>
  <c r="AFY1533" i="10"/>
  <c r="AFY1517" i="10"/>
  <c r="AFY1524" i="10"/>
  <c r="AFY1518" i="10"/>
  <c r="AFY1527" i="10"/>
  <c r="AFY1528" i="10"/>
  <c r="AFY1522" i="10"/>
  <c r="AFY1523" i="10"/>
  <c r="AFY1531" i="10"/>
  <c r="AFY1526" i="10"/>
  <c r="AFY1519" i="10"/>
  <c r="AFY1514" i="10"/>
  <c r="AFY1516" i="10"/>
  <c r="AFY1530" i="10"/>
  <c r="AFY1532" i="10"/>
  <c r="AFY1515" i="10"/>
  <c r="AFY1520" i="10"/>
  <c r="AFY1529" i="10"/>
  <c r="AFY1521" i="10"/>
  <c r="KD1527" i="10"/>
  <c r="KD1525" i="10"/>
  <c r="KD1523" i="10"/>
  <c r="KD1519" i="10"/>
  <c r="KD1520" i="10"/>
  <c r="KD1532" i="10"/>
  <c r="KD1530" i="10"/>
  <c r="KD1526" i="10"/>
  <c r="KD1518" i="10"/>
  <c r="KD1515" i="10"/>
  <c r="KD1533" i="10"/>
  <c r="KD1524" i="10"/>
  <c r="KD1521" i="10"/>
  <c r="KD1531" i="10"/>
  <c r="KD1529" i="10"/>
  <c r="KD1528" i="10"/>
  <c r="KD1514" i="10"/>
  <c r="KD1517" i="10"/>
  <c r="KD1516" i="10"/>
  <c r="KD1522" i="10"/>
  <c r="RQ1491" i="10"/>
  <c r="RQ1493" i="10"/>
  <c r="RQ1492" i="10"/>
  <c r="RQ1494" i="10"/>
  <c r="RQ1499" i="10"/>
  <c r="RQ1496" i="10"/>
  <c r="RQ1497" i="10"/>
  <c r="RQ1495" i="10"/>
  <c r="RQ1500" i="10"/>
  <c r="RQ1498" i="10"/>
  <c r="RQ1501" i="10"/>
  <c r="RQ1502" i="10"/>
  <c r="RQ1505" i="10"/>
  <c r="RQ1504" i="10"/>
  <c r="RQ1503" i="10"/>
  <c r="RQ1506" i="10"/>
  <c r="RQ1508" i="10"/>
  <c r="RQ1507" i="10"/>
  <c r="RQ1510" i="10"/>
  <c r="RQ1509" i="10"/>
  <c r="FB1516" i="10"/>
  <c r="FB1515" i="10"/>
  <c r="FB1517" i="10"/>
  <c r="FB1514" i="10"/>
  <c r="FB1518" i="10"/>
  <c r="FB1521" i="10"/>
  <c r="FB1525" i="10"/>
  <c r="FB1519" i="10"/>
  <c r="FB1524" i="10"/>
  <c r="FB1520" i="10"/>
  <c r="FB1522" i="10"/>
  <c r="FB1527" i="10"/>
  <c r="FB1529" i="10"/>
  <c r="FB1526" i="10"/>
  <c r="FB1523" i="10"/>
  <c r="FB1530" i="10"/>
  <c r="FB1533" i="10"/>
  <c r="FB1532" i="10"/>
  <c r="FB1528" i="10"/>
  <c r="FB1531" i="10"/>
  <c r="MO1491" i="10"/>
  <c r="MO1494" i="10"/>
  <c r="MO1496" i="10"/>
  <c r="MO1498" i="10"/>
  <c r="MO1492" i="10"/>
  <c r="MO1495" i="10"/>
  <c r="MO1497" i="10"/>
  <c r="MO1493" i="10"/>
  <c r="MO1502" i="10"/>
  <c r="MO1500" i="10"/>
  <c r="MO1499" i="10"/>
  <c r="MO1503" i="10"/>
  <c r="MO1506" i="10"/>
  <c r="MO1508" i="10"/>
  <c r="MO1501" i="10"/>
  <c r="MO1509" i="10"/>
  <c r="MO1507" i="10"/>
  <c r="MO1505" i="10"/>
  <c r="MO1504" i="10"/>
  <c r="MO1510" i="10"/>
  <c r="SR1493" i="10"/>
  <c r="SR1491" i="10"/>
  <c r="SR1496" i="10"/>
  <c r="SR1498" i="10"/>
  <c r="SR1495" i="10"/>
  <c r="SR1497" i="10"/>
  <c r="SR1492" i="10"/>
  <c r="SR1494" i="10"/>
  <c r="SR1500" i="10"/>
  <c r="SR1499" i="10"/>
  <c r="SR1501" i="10"/>
  <c r="SR1502" i="10"/>
  <c r="SR1508" i="10"/>
  <c r="SR1509" i="10"/>
  <c r="SR1507" i="10"/>
  <c r="SR1504" i="10"/>
  <c r="SR1503" i="10"/>
  <c r="SR1506" i="10"/>
  <c r="SR1505" i="10"/>
  <c r="SR1510" i="10"/>
  <c r="FR1518" i="10"/>
  <c r="FR1515" i="10"/>
  <c r="FR1514" i="10"/>
  <c r="FR1517" i="10"/>
  <c r="FR1519" i="10"/>
  <c r="FR1516" i="10"/>
  <c r="FR1523" i="10"/>
  <c r="FR1520" i="10"/>
  <c r="FR1525" i="10"/>
  <c r="FR1526" i="10"/>
  <c r="FR1524" i="10"/>
  <c r="FR1528" i="10"/>
  <c r="FR1527" i="10"/>
  <c r="FR1522" i="10"/>
  <c r="FR1532" i="10"/>
  <c r="FR1529" i="10"/>
  <c r="FR1531" i="10"/>
  <c r="FR1533" i="10"/>
  <c r="FR1521" i="10"/>
  <c r="FR1530" i="10"/>
  <c r="NF1493" i="10"/>
  <c r="NF1492" i="10"/>
  <c r="NF1491" i="10"/>
  <c r="NF1495" i="10"/>
  <c r="NF1497" i="10"/>
  <c r="NF1496" i="10"/>
  <c r="NF1498" i="10"/>
  <c r="NF1494" i="10"/>
  <c r="NF1501" i="10"/>
  <c r="NF1500" i="10"/>
  <c r="NF1499" i="10"/>
  <c r="NF1509" i="10"/>
  <c r="NF1507" i="10"/>
  <c r="NF1505" i="10"/>
  <c r="NF1502" i="10"/>
  <c r="NF1504" i="10"/>
  <c r="NF1508" i="10"/>
  <c r="NF1503" i="10"/>
  <c r="NF1510" i="10"/>
  <c r="NF1506" i="10"/>
  <c r="AFM1516" i="10"/>
  <c r="AFM1514" i="10"/>
  <c r="AFM1518" i="10"/>
  <c r="AFM1524" i="10"/>
  <c r="AFM1525" i="10"/>
  <c r="AFM1527" i="10"/>
  <c r="AFM1528" i="10"/>
  <c r="AFM1522" i="10"/>
  <c r="AFM1531" i="10"/>
  <c r="AFM1529" i="10"/>
  <c r="AFM1530" i="10"/>
  <c r="AFM1526" i="10"/>
  <c r="AFM1533" i="10"/>
  <c r="AFM1532" i="10"/>
  <c r="AFM1520" i="10"/>
  <c r="AFM1517" i="10"/>
  <c r="AFM1521" i="10"/>
  <c r="AFM1515" i="10"/>
  <c r="AFM1519" i="10"/>
  <c r="AFM1523" i="10"/>
  <c r="DH1493" i="10"/>
  <c r="DH1492" i="10"/>
  <c r="DH1491" i="10"/>
  <c r="DH1496" i="10"/>
  <c r="DH1498" i="10"/>
  <c r="DH1495" i="10"/>
  <c r="DH1494" i="10"/>
  <c r="DH1497" i="10"/>
  <c r="DH1499" i="10"/>
  <c r="DH1502" i="10"/>
  <c r="DH1501" i="10"/>
  <c r="DH1500" i="10"/>
  <c r="DH1508" i="10"/>
  <c r="DH1506" i="10"/>
  <c r="DH1505" i="10"/>
  <c r="DH1503" i="10"/>
  <c r="DH1509" i="10"/>
  <c r="DH1510" i="10"/>
  <c r="DH1507" i="10"/>
  <c r="DH1504" i="10"/>
  <c r="ACQ1503" i="10"/>
  <c r="ACQ1502" i="10"/>
  <c r="ACQ1501" i="10"/>
  <c r="ACQ1510" i="10"/>
  <c r="ACQ1493" i="10"/>
  <c r="ACQ1504" i="10"/>
  <c r="ACQ1491" i="10"/>
  <c r="ACQ1507" i="10"/>
  <c r="ACQ1492" i="10"/>
  <c r="ACQ1498" i="10"/>
  <c r="ACQ1494" i="10"/>
  <c r="ACQ1508" i="10"/>
  <c r="ACQ1495" i="10"/>
  <c r="ACQ1509" i="10"/>
  <c r="ACQ1505" i="10"/>
  <c r="ACQ1496" i="10"/>
  <c r="ACQ1500" i="10"/>
  <c r="ACQ1497" i="10"/>
  <c r="ACQ1499" i="10"/>
  <c r="ACQ1506" i="10"/>
  <c r="CO1518" i="10"/>
  <c r="CO1519" i="10"/>
  <c r="CO1514" i="10"/>
  <c r="CO1516" i="10"/>
  <c r="CO1520" i="10"/>
  <c r="CO1517" i="10"/>
  <c r="CO1521" i="10"/>
  <c r="CO1515" i="10"/>
  <c r="CO1522" i="10"/>
  <c r="CO1524" i="10"/>
  <c r="CO1525" i="10"/>
  <c r="CO1526" i="10"/>
  <c r="CO1527" i="10"/>
  <c r="CO1528" i="10"/>
  <c r="CO1529" i="10"/>
  <c r="CO1523" i="10"/>
  <c r="CO1533" i="10"/>
  <c r="CO1530" i="10"/>
  <c r="CO1532" i="10"/>
  <c r="CO1531" i="10"/>
  <c r="IE1493" i="10"/>
  <c r="IE1492" i="10"/>
  <c r="IE1491" i="10"/>
  <c r="IE1494" i="10"/>
  <c r="IE1496" i="10"/>
  <c r="IE1495" i="10"/>
  <c r="IE1497" i="10"/>
  <c r="IE1502" i="10"/>
  <c r="IE1498" i="10"/>
  <c r="IE1499" i="10"/>
  <c r="IE1500" i="10"/>
  <c r="IE1507" i="10"/>
  <c r="IE1501" i="10"/>
  <c r="IE1505" i="10"/>
  <c r="IE1509" i="10"/>
  <c r="IE1504" i="10"/>
  <c r="IE1503" i="10"/>
  <c r="IE1506" i="10"/>
  <c r="IE1510" i="10"/>
  <c r="IE1508" i="10"/>
  <c r="ZB1522" i="10"/>
  <c r="ZB1516" i="10"/>
  <c r="ZB1530" i="10"/>
  <c r="ZB1525" i="10"/>
  <c r="ZB1523" i="10"/>
  <c r="ZB1517" i="10"/>
  <c r="ZB1529" i="10"/>
  <c r="ZB1528" i="10"/>
  <c r="ZB1520" i="10"/>
  <c r="ZB1524" i="10"/>
  <c r="ZB1533" i="10"/>
  <c r="ZB1531" i="10"/>
  <c r="ZB1526" i="10"/>
  <c r="ZB1514" i="10"/>
  <c r="ZB1515" i="10"/>
  <c r="ZB1527" i="10"/>
  <c r="ZB1532" i="10"/>
  <c r="ZB1518" i="10"/>
  <c r="ZB1521" i="10"/>
  <c r="ZB1519" i="10"/>
  <c r="AW1492" i="10"/>
  <c r="AW1491" i="10"/>
  <c r="AW1494" i="10"/>
  <c r="AW1497" i="10"/>
  <c r="AW1499" i="10"/>
  <c r="AW1496" i="10"/>
  <c r="AW1498" i="10"/>
  <c r="AW1493" i="10"/>
  <c r="AW1495" i="10"/>
  <c r="AW1501" i="10"/>
  <c r="AW1500" i="10"/>
  <c r="AW1504" i="10"/>
  <c r="AW1507" i="10"/>
  <c r="AW1503" i="10"/>
  <c r="AW1508" i="10"/>
  <c r="AW1506" i="10"/>
  <c r="AW1502" i="10"/>
  <c r="AW1505" i="10"/>
  <c r="AW1509" i="10"/>
  <c r="AW1510" i="10"/>
  <c r="RT1515" i="10"/>
  <c r="RT1517" i="10"/>
  <c r="RT1514" i="10"/>
  <c r="RT1518" i="10"/>
  <c r="RT1519" i="10"/>
  <c r="RT1522" i="10"/>
  <c r="RT1523" i="10"/>
  <c r="RT1524" i="10"/>
  <c r="RT1516" i="10"/>
  <c r="RT1527" i="10"/>
  <c r="RT1528" i="10"/>
  <c r="RT1526" i="10"/>
  <c r="RT1520" i="10"/>
  <c r="RT1525" i="10"/>
  <c r="RT1521" i="10"/>
  <c r="RT1531" i="10"/>
  <c r="RT1532" i="10"/>
  <c r="RT1529" i="10"/>
  <c r="RT1530" i="10"/>
  <c r="RT1533" i="10"/>
  <c r="XJ1492" i="10"/>
  <c r="XJ1491" i="10"/>
  <c r="XJ1493" i="10"/>
  <c r="XJ1494" i="10"/>
  <c r="XJ1500" i="10"/>
  <c r="XJ1495" i="10"/>
  <c r="XJ1496" i="10"/>
  <c r="XJ1498" i="10"/>
  <c r="XJ1499" i="10"/>
  <c r="XJ1501" i="10"/>
  <c r="XJ1505" i="10"/>
  <c r="XJ1504" i="10"/>
  <c r="XJ1502" i="10"/>
  <c r="XJ1503" i="10"/>
  <c r="XJ1506" i="10"/>
  <c r="XJ1508" i="10"/>
  <c r="XJ1497" i="10"/>
  <c r="XJ1509" i="10"/>
  <c r="XJ1507" i="10"/>
  <c r="XJ1510" i="10"/>
  <c r="NT1529" i="10"/>
  <c r="NT1530" i="10"/>
  <c r="NT1533" i="10"/>
  <c r="NT1531" i="10"/>
  <c r="NT1532" i="10"/>
  <c r="NT1516" i="10"/>
  <c r="NT1523" i="10"/>
  <c r="NT1525" i="10"/>
  <c r="NT1518" i="10"/>
  <c r="NT1517" i="10"/>
  <c r="NT1528" i="10"/>
  <c r="NT1522" i="10"/>
  <c r="NT1521" i="10"/>
  <c r="NT1524" i="10"/>
  <c r="NT1526" i="10"/>
  <c r="NT1515" i="10"/>
  <c r="NT1514" i="10"/>
  <c r="NT1519" i="10"/>
  <c r="NT1527" i="10"/>
  <c r="NT1520" i="10"/>
  <c r="VI1491" i="10"/>
  <c r="VI1493" i="10"/>
  <c r="VI1492" i="10"/>
  <c r="VI1494" i="10"/>
  <c r="VI1499" i="10"/>
  <c r="VI1501" i="10"/>
  <c r="VI1498" i="10"/>
  <c r="VI1495" i="10"/>
  <c r="VI1505" i="10"/>
  <c r="VI1496" i="10"/>
  <c r="VI1504" i="10"/>
  <c r="VI1500" i="10"/>
  <c r="VI1503" i="10"/>
  <c r="VI1506" i="10"/>
  <c r="VI1497" i="10"/>
  <c r="VI1508" i="10"/>
  <c r="VI1502" i="10"/>
  <c r="VI1507" i="10"/>
  <c r="VI1509" i="10"/>
  <c r="VI1510" i="10"/>
  <c r="AEZ1492" i="10"/>
  <c r="AEZ1491" i="10"/>
  <c r="AEZ1494" i="10"/>
  <c r="AEZ1493" i="10"/>
  <c r="AEZ1496" i="10"/>
  <c r="AEZ1498" i="10"/>
  <c r="AEZ1495" i="10"/>
  <c r="AEZ1497" i="10"/>
  <c r="AEZ1499" i="10"/>
  <c r="AEZ1500" i="10"/>
  <c r="AEZ1504" i="10"/>
  <c r="AEZ1503" i="10"/>
  <c r="AEZ1506" i="10"/>
  <c r="AEZ1508" i="10"/>
  <c r="AEZ1501" i="10"/>
  <c r="AEZ1505" i="10"/>
  <c r="AEZ1502" i="10"/>
  <c r="AEZ1509" i="10"/>
  <c r="AEZ1507" i="10"/>
  <c r="AEZ1510" i="10"/>
  <c r="IF1515" i="10"/>
  <c r="IF1516" i="10"/>
  <c r="IF1517" i="10"/>
  <c r="IF1518" i="10"/>
  <c r="IF1514" i="10"/>
  <c r="IF1520" i="10"/>
  <c r="IF1519" i="10"/>
  <c r="IF1527" i="10"/>
  <c r="IF1521" i="10"/>
  <c r="IF1526" i="10"/>
  <c r="IF1523" i="10"/>
  <c r="IF1524" i="10"/>
  <c r="IF1529" i="10"/>
  <c r="IF1533" i="10"/>
  <c r="IF1528" i="10"/>
  <c r="IF1530" i="10"/>
  <c r="IF1531" i="10"/>
  <c r="IF1525" i="10"/>
  <c r="IF1522" i="10"/>
  <c r="IF1532" i="10"/>
  <c r="PS1503" i="10"/>
  <c r="PS1502" i="10"/>
  <c r="PS1493" i="10"/>
  <c r="PS1510" i="10"/>
  <c r="PS1496" i="10"/>
  <c r="PS1509" i="10"/>
  <c r="PS1491" i="10"/>
  <c r="PS1501" i="10"/>
  <c r="PS1498" i="10"/>
  <c r="PS1508" i="10"/>
  <c r="PS1504" i="10"/>
  <c r="PS1497" i="10"/>
  <c r="PS1507" i="10"/>
  <c r="PS1492" i="10"/>
  <c r="PS1505" i="10"/>
  <c r="PS1494" i="10"/>
  <c r="PS1499" i="10"/>
  <c r="PS1495" i="10"/>
  <c r="PS1500" i="10"/>
  <c r="PS1506" i="10"/>
  <c r="AAU1501" i="10"/>
  <c r="AAU1504" i="10"/>
  <c r="AAU1502" i="10"/>
  <c r="AAU1505" i="10"/>
  <c r="AAU1510" i="10"/>
  <c r="AAU1503" i="10"/>
  <c r="AAU1491" i="10"/>
  <c r="AAU1492" i="10"/>
  <c r="AAU1496" i="10"/>
  <c r="AAU1493" i="10"/>
  <c r="AAU1495" i="10"/>
  <c r="AAU1494" i="10"/>
  <c r="AAU1506" i="10"/>
  <c r="AAU1498" i="10"/>
  <c r="AAU1508" i="10"/>
  <c r="AAU1497" i="10"/>
  <c r="AAU1499" i="10"/>
  <c r="AAU1509" i="10"/>
  <c r="AAU1507" i="10"/>
  <c r="AAU1500" i="10"/>
  <c r="OJ1518" i="10"/>
  <c r="OJ1515" i="10"/>
  <c r="OJ1516" i="10"/>
  <c r="OJ1514" i="10"/>
  <c r="OJ1519" i="10"/>
  <c r="OJ1520" i="10"/>
  <c r="OJ1522" i="10"/>
  <c r="OJ1517" i="10"/>
  <c r="OJ1524" i="10"/>
  <c r="OJ1523" i="10"/>
  <c r="OJ1525" i="10"/>
  <c r="OJ1521" i="10"/>
  <c r="OJ1527" i="10"/>
  <c r="OJ1526" i="10"/>
  <c r="OJ1528" i="10"/>
  <c r="OJ1531" i="10"/>
  <c r="OJ1532" i="10"/>
  <c r="OJ1529" i="10"/>
  <c r="OJ1530" i="10"/>
  <c r="OJ1533" i="10"/>
  <c r="VV1492" i="10"/>
  <c r="VV1491" i="10"/>
  <c r="VV1495" i="10"/>
  <c r="VV1497" i="10"/>
  <c r="VV1493" i="10"/>
  <c r="VV1496" i="10"/>
  <c r="VV1498" i="10"/>
  <c r="VV1499" i="10"/>
  <c r="VV1494" i="10"/>
  <c r="VV1501" i="10"/>
  <c r="VV1502" i="10"/>
  <c r="VV1509" i="10"/>
  <c r="VV1507" i="10"/>
  <c r="VV1505" i="10"/>
  <c r="VV1500" i="10"/>
  <c r="VV1504" i="10"/>
  <c r="VV1508" i="10"/>
  <c r="VV1506" i="10"/>
  <c r="VV1503" i="10"/>
  <c r="VV1510" i="10"/>
  <c r="JG1515" i="10"/>
  <c r="JG1516" i="10"/>
  <c r="JG1517" i="10"/>
  <c r="JG1514" i="10"/>
  <c r="JG1519" i="10"/>
  <c r="JG1518" i="10"/>
  <c r="JG1521" i="10"/>
  <c r="JG1522" i="10"/>
  <c r="JG1524" i="10"/>
  <c r="JG1525" i="10"/>
  <c r="JG1526" i="10"/>
  <c r="JG1528" i="10"/>
  <c r="JG1520" i="10"/>
  <c r="JG1523" i="10"/>
  <c r="JG1527" i="10"/>
  <c r="JG1531" i="10"/>
  <c r="JG1532" i="10"/>
  <c r="JG1530" i="10"/>
  <c r="JG1529" i="10"/>
  <c r="JG1533" i="10"/>
  <c r="QU1491" i="10"/>
  <c r="QU1493" i="10"/>
  <c r="QU1492" i="10"/>
  <c r="QU1494" i="10"/>
  <c r="QU1499" i="10"/>
  <c r="QU1498" i="10"/>
  <c r="QU1497" i="10"/>
  <c r="QU1500" i="10"/>
  <c r="QU1496" i="10"/>
  <c r="QU1495" i="10"/>
  <c r="QU1501" i="10"/>
  <c r="QU1505" i="10"/>
  <c r="QU1504" i="10"/>
  <c r="QU1503" i="10"/>
  <c r="QU1506" i="10"/>
  <c r="QU1508" i="10"/>
  <c r="QU1507" i="10"/>
  <c r="QU1510" i="10"/>
  <c r="QU1502" i="10"/>
  <c r="QU1509" i="10"/>
  <c r="ABS1501" i="10"/>
  <c r="ABS1505" i="10"/>
  <c r="ABS1507" i="10"/>
  <c r="ABS1500" i="10"/>
  <c r="ABS1510" i="10"/>
  <c r="ABS1503" i="10"/>
  <c r="ABS1496" i="10"/>
  <c r="ABS1509" i="10"/>
  <c r="ABS1497" i="10"/>
  <c r="ABS1506" i="10"/>
  <c r="ABS1491" i="10"/>
  <c r="ABS1502" i="10"/>
  <c r="ABS1492" i="10"/>
  <c r="ABS1508" i="10"/>
  <c r="ABS1504" i="10"/>
  <c r="ABS1493" i="10"/>
  <c r="ABS1494" i="10"/>
  <c r="ABS1495" i="10"/>
  <c r="ABS1499" i="10"/>
  <c r="ABS1498" i="10"/>
  <c r="EE1492" i="10"/>
  <c r="EE1491" i="10"/>
  <c r="EE1493" i="10"/>
  <c r="EE1494" i="10"/>
  <c r="EE1499" i="10"/>
  <c r="EE1496" i="10"/>
  <c r="EE1497" i="10"/>
  <c r="EE1495" i="10"/>
  <c r="EE1501" i="10"/>
  <c r="EE1498" i="10"/>
  <c r="EE1504" i="10"/>
  <c r="EE1503" i="10"/>
  <c r="EE1507" i="10"/>
  <c r="EE1509" i="10"/>
  <c r="EE1500" i="10"/>
  <c r="EE1505" i="10"/>
  <c r="EE1506" i="10"/>
  <c r="EE1508" i="10"/>
  <c r="EE1510" i="10"/>
  <c r="EE1502" i="10"/>
  <c r="AAN1517" i="10"/>
  <c r="AAN1523" i="10"/>
  <c r="AAN1528" i="10"/>
  <c r="AAN1521" i="10"/>
  <c r="AAN1525" i="10"/>
  <c r="AAN1514" i="10"/>
  <c r="AAN1531" i="10"/>
  <c r="AAN1533" i="10"/>
  <c r="AAN1516" i="10"/>
  <c r="AAN1520" i="10"/>
  <c r="AAN1530" i="10"/>
  <c r="AAN1526" i="10"/>
  <c r="AAN1519" i="10"/>
  <c r="AAN1524" i="10"/>
  <c r="AAN1527" i="10"/>
  <c r="AAN1522" i="10"/>
  <c r="AAN1529" i="10"/>
  <c r="AAN1532" i="10"/>
  <c r="AAN1515" i="10"/>
  <c r="AAN1518" i="10"/>
  <c r="AGB1492" i="10"/>
  <c r="AGB1491" i="10"/>
  <c r="AGB1493" i="10"/>
  <c r="AGB1496" i="10"/>
  <c r="AGB1498" i="10"/>
  <c r="AGB1497" i="10"/>
  <c r="AGB1494" i="10"/>
  <c r="AGB1499" i="10"/>
  <c r="AGB1495" i="10"/>
  <c r="AGB1500" i="10"/>
  <c r="AGB1504" i="10"/>
  <c r="AGB1502" i="10"/>
  <c r="AGB1503" i="10"/>
  <c r="AGB1506" i="10"/>
  <c r="AGB1508" i="10"/>
  <c r="AGB1505" i="10"/>
  <c r="AGB1501" i="10"/>
  <c r="AGB1509" i="10"/>
  <c r="AGB1507" i="10"/>
  <c r="AGB1510" i="10"/>
  <c r="VD1528" i="10"/>
  <c r="VD1533" i="10"/>
  <c r="VD1521" i="10"/>
  <c r="VD1530" i="10"/>
  <c r="VD1531" i="10"/>
  <c r="VD1518" i="10"/>
  <c r="VD1517" i="10"/>
  <c r="VD1520" i="10"/>
  <c r="VD1532" i="10"/>
  <c r="VD1514" i="10"/>
  <c r="VD1523" i="10"/>
  <c r="VD1529" i="10"/>
  <c r="VD1515" i="10"/>
  <c r="VD1525" i="10"/>
  <c r="VD1527" i="10"/>
  <c r="VD1516" i="10"/>
  <c r="VD1522" i="10"/>
  <c r="VD1524" i="10"/>
  <c r="VD1519" i="10"/>
  <c r="VD1526" i="10"/>
  <c r="MF1492" i="10"/>
  <c r="MF1491" i="10"/>
  <c r="MF1494" i="10"/>
  <c r="MF1499" i="10"/>
  <c r="MF1496" i="10"/>
  <c r="MF1498" i="10"/>
  <c r="MF1502" i="10"/>
  <c r="MF1493" i="10"/>
  <c r="MF1495" i="10"/>
  <c r="MF1497" i="10"/>
  <c r="MF1500" i="10"/>
  <c r="MF1501" i="10"/>
  <c r="MF1504" i="10"/>
  <c r="MF1503" i="10"/>
  <c r="MF1506" i="10"/>
  <c r="MF1508" i="10"/>
  <c r="MF1509" i="10"/>
  <c r="MF1505" i="10"/>
  <c r="MF1507" i="10"/>
  <c r="MF1510" i="10"/>
  <c r="TG1491" i="10"/>
  <c r="TG1493" i="10"/>
  <c r="TG1492" i="10"/>
  <c r="TG1494" i="10"/>
  <c r="TG1499" i="10"/>
  <c r="TG1496" i="10"/>
  <c r="TG1495" i="10"/>
  <c r="TG1498" i="10"/>
  <c r="TG1500" i="10"/>
  <c r="TG1501" i="10"/>
  <c r="TG1505" i="10"/>
  <c r="TG1497" i="10"/>
  <c r="TG1504" i="10"/>
  <c r="TG1503" i="10"/>
  <c r="TG1506" i="10"/>
  <c r="TG1508" i="10"/>
  <c r="TG1507" i="10"/>
  <c r="TG1510" i="10"/>
  <c r="TG1509" i="10"/>
  <c r="TG1502" i="10"/>
  <c r="JM1514" i="10"/>
  <c r="JM1516" i="10"/>
  <c r="JM1517" i="10"/>
  <c r="JM1515" i="10"/>
  <c r="JM1518" i="10"/>
  <c r="JM1520" i="10"/>
  <c r="JM1521" i="10"/>
  <c r="JM1522" i="10"/>
  <c r="JM1524" i="10"/>
  <c r="JM1525" i="10"/>
  <c r="JM1523" i="10"/>
  <c r="JM1527" i="10"/>
  <c r="JM1519" i="10"/>
  <c r="JM1529" i="10"/>
  <c r="JM1530" i="10"/>
  <c r="JM1526" i="10"/>
  <c r="JM1531" i="10"/>
  <c r="JM1532" i="10"/>
  <c r="JM1533" i="10"/>
  <c r="JM1528" i="10"/>
  <c r="GB1517" i="10"/>
  <c r="GB1514" i="10"/>
  <c r="GB1515" i="10"/>
  <c r="GB1516" i="10"/>
  <c r="GB1520" i="10"/>
  <c r="GB1519" i="10"/>
  <c r="GB1518" i="10"/>
  <c r="GB1523" i="10"/>
  <c r="GB1521" i="10"/>
  <c r="GB1522" i="10"/>
  <c r="GB1524" i="10"/>
  <c r="GB1525" i="10"/>
  <c r="GB1526" i="10"/>
  <c r="GB1528" i="10"/>
  <c r="GB1527" i="10"/>
  <c r="GB1531" i="10"/>
  <c r="GB1532" i="10"/>
  <c r="GB1530" i="10"/>
  <c r="GB1529" i="10"/>
  <c r="GB1533" i="10"/>
  <c r="LR1493" i="10"/>
  <c r="LR1491" i="10"/>
  <c r="LR1496" i="10"/>
  <c r="LR1498" i="10"/>
  <c r="LR1495" i="10"/>
  <c r="LR1497" i="10"/>
  <c r="LR1492" i="10"/>
  <c r="LR1494" i="10"/>
  <c r="LR1500" i="10"/>
  <c r="LR1501" i="10"/>
  <c r="LR1502" i="10"/>
  <c r="LR1508" i="10"/>
  <c r="LR1509" i="10"/>
  <c r="LR1499" i="10"/>
  <c r="LR1507" i="10"/>
  <c r="LR1504" i="10"/>
  <c r="LR1503" i="10"/>
  <c r="LR1506" i="10"/>
  <c r="LR1510" i="10"/>
  <c r="LR1505" i="10"/>
  <c r="ACE1533" i="10"/>
  <c r="ACE1526" i="10"/>
  <c r="ACE1523" i="10"/>
  <c r="ACE1531" i="10"/>
  <c r="ACE1522" i="10"/>
  <c r="ACE1527" i="10"/>
  <c r="ACE1516" i="10"/>
  <c r="ACE1525" i="10"/>
  <c r="ACE1515" i="10"/>
  <c r="ACE1528" i="10"/>
  <c r="ACE1532" i="10"/>
  <c r="ACE1517" i="10"/>
  <c r="ACE1520" i="10"/>
  <c r="ACE1514" i="10"/>
  <c r="ACE1521" i="10"/>
  <c r="ACE1524" i="10"/>
  <c r="ACE1529" i="10"/>
  <c r="ACE1518" i="10"/>
  <c r="ACE1530" i="10"/>
  <c r="ACE1519" i="10"/>
  <c r="EK1493" i="10"/>
  <c r="EK1492" i="10"/>
  <c r="EK1491" i="10"/>
  <c r="EK1495" i="10"/>
  <c r="EK1497" i="10"/>
  <c r="EK1498" i="10"/>
  <c r="EK1496" i="10"/>
  <c r="EK1500" i="10"/>
  <c r="EK1494" i="10"/>
  <c r="EK1499" i="10"/>
  <c r="EK1501" i="10"/>
  <c r="EK1502" i="10"/>
  <c r="EK1508" i="10"/>
  <c r="EK1505" i="10"/>
  <c r="EK1504" i="10"/>
  <c r="EK1506" i="10"/>
  <c r="EK1507" i="10"/>
  <c r="EK1509" i="10"/>
  <c r="EK1503" i="10"/>
  <c r="EK1510" i="10"/>
  <c r="VG1517" i="10"/>
  <c r="VG1514" i="10"/>
  <c r="VG1516" i="10"/>
  <c r="VG1515" i="10"/>
  <c r="VG1520" i="10"/>
  <c r="VG1518" i="10"/>
  <c r="VG1519" i="10"/>
  <c r="VG1521" i="10"/>
  <c r="VG1522" i="10"/>
  <c r="VG1523" i="10"/>
  <c r="VG1524" i="10"/>
  <c r="VG1526" i="10"/>
  <c r="VG1528" i="10"/>
  <c r="VG1529" i="10"/>
  <c r="VG1525" i="10"/>
  <c r="VG1530" i="10"/>
  <c r="VG1531" i="10"/>
  <c r="VG1532" i="10"/>
  <c r="VG1527" i="10"/>
  <c r="VG1533" i="10"/>
  <c r="AAS1491" i="10"/>
  <c r="AAS1494" i="10"/>
  <c r="AAS1492" i="10"/>
  <c r="AAS1493" i="10"/>
  <c r="AAS1496" i="10"/>
  <c r="AAS1498" i="10"/>
  <c r="AAS1495" i="10"/>
  <c r="AAS1497" i="10"/>
  <c r="AAS1500" i="10"/>
  <c r="AAS1499" i="10"/>
  <c r="AAS1501" i="10"/>
  <c r="AAS1503" i="10"/>
  <c r="AAS1506" i="10"/>
  <c r="AAS1502" i="10"/>
  <c r="AAS1509" i="10"/>
  <c r="AAS1507" i="10"/>
  <c r="AAS1505" i="10"/>
  <c r="AAS1504" i="10"/>
  <c r="AAS1508" i="10"/>
  <c r="AAS1510" i="10"/>
  <c r="SM1516" i="10"/>
  <c r="SM1517" i="10"/>
  <c r="SM1515" i="10"/>
  <c r="SM1518" i="10"/>
  <c r="SM1514" i="10"/>
  <c r="SM1521" i="10"/>
  <c r="SM1519" i="10"/>
  <c r="SM1520" i="10"/>
  <c r="SM1524" i="10"/>
  <c r="SM1523" i="10"/>
  <c r="SM1525" i="10"/>
  <c r="SM1526" i="10"/>
  <c r="SM1528" i="10"/>
  <c r="SM1530" i="10"/>
  <c r="SM1522" i="10"/>
  <c r="SM1527" i="10"/>
  <c r="SM1529" i="10"/>
  <c r="SM1531" i="10"/>
  <c r="SM1533" i="10"/>
  <c r="SM1532" i="10"/>
  <c r="BR1516" i="10"/>
  <c r="BR1517" i="10"/>
  <c r="BR1514" i="10"/>
  <c r="BR1519" i="10"/>
  <c r="BR1515" i="10"/>
  <c r="BR1520" i="10"/>
  <c r="BR1518" i="10"/>
  <c r="BR1525" i="10"/>
  <c r="BR1523" i="10"/>
  <c r="BR1521" i="10"/>
  <c r="BR1522" i="10"/>
  <c r="BR1524" i="10"/>
  <c r="BR1529" i="10"/>
  <c r="BR1527" i="10"/>
  <c r="BR1528" i="10"/>
  <c r="BR1532" i="10"/>
  <c r="BR1531" i="10"/>
  <c r="BR1526" i="10"/>
  <c r="BR1533" i="10"/>
  <c r="BR1530" i="10"/>
  <c r="MX1515" i="10"/>
  <c r="MX1514" i="10"/>
  <c r="MX1516" i="10"/>
  <c r="MX1520" i="10"/>
  <c r="MX1518" i="10"/>
  <c r="MX1517" i="10"/>
  <c r="MX1519" i="10"/>
  <c r="MX1522" i="10"/>
  <c r="MX1524" i="10"/>
  <c r="MX1521" i="10"/>
  <c r="MX1525" i="10"/>
  <c r="MX1526" i="10"/>
  <c r="MX1527" i="10"/>
  <c r="MX1523" i="10"/>
  <c r="MX1533" i="10"/>
  <c r="MX1530" i="10"/>
  <c r="MX1528" i="10"/>
  <c r="MX1529" i="10"/>
  <c r="MX1532" i="10"/>
  <c r="MX1531" i="10"/>
  <c r="UK1491" i="10"/>
  <c r="UK1492" i="10"/>
  <c r="UK1494" i="10"/>
  <c r="UK1496" i="10"/>
  <c r="UK1498" i="10"/>
  <c r="UK1495" i="10"/>
  <c r="UK1497" i="10"/>
  <c r="UK1493" i="10"/>
  <c r="UK1500" i="10"/>
  <c r="UK1499" i="10"/>
  <c r="UK1503" i="10"/>
  <c r="UK1506" i="10"/>
  <c r="UK1508" i="10"/>
  <c r="UK1509" i="10"/>
  <c r="UK1507" i="10"/>
  <c r="UK1501" i="10"/>
  <c r="UK1505" i="10"/>
  <c r="UK1502" i="10"/>
  <c r="UK1504" i="10"/>
  <c r="UK1510" i="10"/>
  <c r="AEK1492" i="10"/>
  <c r="AEK1491" i="10"/>
  <c r="AEK1496" i="10"/>
  <c r="AEK1495" i="10"/>
  <c r="AEK1497" i="10"/>
  <c r="AEK1498" i="10"/>
  <c r="AEK1500" i="10"/>
  <c r="AEK1501" i="10"/>
  <c r="AEK1494" i="10"/>
  <c r="AEK1493" i="10"/>
  <c r="AEK1507" i="10"/>
  <c r="AEK1505" i="10"/>
  <c r="AEK1499" i="10"/>
  <c r="AEK1504" i="10"/>
  <c r="AEK1503" i="10"/>
  <c r="AEK1506" i="10"/>
  <c r="AEK1502" i="10"/>
  <c r="AEK1509" i="10"/>
  <c r="AEK1508" i="10"/>
  <c r="AEK1510" i="10"/>
  <c r="HU1514" i="10"/>
  <c r="HU1515" i="10"/>
  <c r="HU1516" i="10"/>
  <c r="HU1518" i="10"/>
  <c r="HU1517" i="10"/>
  <c r="HU1520" i="10"/>
  <c r="HU1519" i="10"/>
  <c r="HU1521" i="10"/>
  <c r="HU1525" i="10"/>
  <c r="HU1522" i="10"/>
  <c r="HU1523" i="10"/>
  <c r="HU1524" i="10"/>
  <c r="HU1526" i="10"/>
  <c r="HU1527" i="10"/>
  <c r="HU1529" i="10"/>
  <c r="HU1533" i="10"/>
  <c r="HU1528" i="10"/>
  <c r="HU1530" i="10"/>
  <c r="HU1531" i="10"/>
  <c r="HU1532" i="10"/>
  <c r="PI1493" i="10"/>
  <c r="PI1492" i="10"/>
  <c r="PI1496" i="10"/>
  <c r="PI1498" i="10"/>
  <c r="PI1495" i="10"/>
  <c r="PI1497" i="10"/>
  <c r="PI1494" i="10"/>
  <c r="PI1499" i="10"/>
  <c r="PI1491" i="10"/>
  <c r="PI1501" i="10"/>
  <c r="PI1507" i="10"/>
  <c r="PI1502" i="10"/>
  <c r="PI1505" i="10"/>
  <c r="PI1503" i="10"/>
  <c r="PI1506" i="10"/>
  <c r="PI1500" i="10"/>
  <c r="PI1508" i="10"/>
  <c r="PI1504" i="10"/>
  <c r="PI1510" i="10"/>
  <c r="PI1509" i="10"/>
  <c r="VL1516" i="10"/>
  <c r="VL1514" i="10"/>
  <c r="VL1517" i="10"/>
  <c r="VL1515" i="10"/>
  <c r="VL1519" i="10"/>
  <c r="VL1520" i="10"/>
  <c r="VL1521" i="10"/>
  <c r="VL1524" i="10"/>
  <c r="VL1522" i="10"/>
  <c r="VL1523" i="10"/>
  <c r="VL1527" i="10"/>
  <c r="VL1528" i="10"/>
  <c r="VL1525" i="10"/>
  <c r="VL1531" i="10"/>
  <c r="VL1532" i="10"/>
  <c r="VL1530" i="10"/>
  <c r="VL1529" i="10"/>
  <c r="VL1533" i="10"/>
  <c r="VL1526" i="10"/>
  <c r="VL1518" i="10"/>
  <c r="AFC1528" i="10"/>
  <c r="AFC1515" i="10"/>
  <c r="AFC1519" i="10"/>
  <c r="AFC1524" i="10"/>
  <c r="AFC1527" i="10"/>
  <c r="AFC1521" i="10"/>
  <c r="AFC1531" i="10"/>
  <c r="AFC1525" i="10"/>
  <c r="AFC1529" i="10"/>
  <c r="AFC1517" i="10"/>
  <c r="AFC1530" i="10"/>
  <c r="AFC1514" i="10"/>
  <c r="AFC1522" i="10"/>
  <c r="AFC1526" i="10"/>
  <c r="AFC1520" i="10"/>
  <c r="AFC1523" i="10"/>
  <c r="AFC1533" i="10"/>
  <c r="AFC1516" i="10"/>
  <c r="AFC1532" i="10"/>
  <c r="AFC1518" i="10"/>
  <c r="IV1514" i="10"/>
  <c r="IV1518" i="10"/>
  <c r="IV1515" i="10"/>
  <c r="IV1516" i="10"/>
  <c r="IV1519" i="10"/>
  <c r="IV1523" i="10"/>
  <c r="IV1521" i="10"/>
  <c r="IV1522" i="10"/>
  <c r="IV1517" i="10"/>
  <c r="IV1528" i="10"/>
  <c r="IV1524" i="10"/>
  <c r="IV1525" i="10"/>
  <c r="IV1529" i="10"/>
  <c r="IV1520" i="10"/>
  <c r="IV1526" i="10"/>
  <c r="IV1527" i="10"/>
  <c r="IV1531" i="10"/>
  <c r="IV1532" i="10"/>
  <c r="IV1530" i="10"/>
  <c r="IV1533" i="10"/>
  <c r="QK1491" i="10"/>
  <c r="QK1493" i="10"/>
  <c r="QK1492" i="10"/>
  <c r="QK1494" i="10"/>
  <c r="QK1499" i="10"/>
  <c r="QK1496" i="10"/>
  <c r="QK1495" i="10"/>
  <c r="QK1500" i="10"/>
  <c r="QK1497" i="10"/>
  <c r="QK1501" i="10"/>
  <c r="QK1505" i="10"/>
  <c r="QK1504" i="10"/>
  <c r="QK1503" i="10"/>
  <c r="QK1506" i="10"/>
  <c r="QK1498" i="10"/>
  <c r="QK1508" i="10"/>
  <c r="QK1502" i="10"/>
  <c r="QK1507" i="10"/>
  <c r="QK1510" i="10"/>
  <c r="QK1509" i="10"/>
  <c r="KW1510" i="10"/>
  <c r="KW1508" i="10"/>
  <c r="KW1495" i="10"/>
  <c r="KW1509" i="10"/>
  <c r="KW1496" i="10"/>
  <c r="KW1498" i="10"/>
  <c r="KW1497" i="10"/>
  <c r="KW1500" i="10"/>
  <c r="KW1499" i="10"/>
  <c r="KW1502" i="10"/>
  <c r="KW1491" i="10"/>
  <c r="KW1501" i="10"/>
  <c r="KW1504" i="10"/>
  <c r="KW1493" i="10"/>
  <c r="KW1505" i="10"/>
  <c r="KW1494" i="10"/>
  <c r="KW1507" i="10"/>
  <c r="KW1506" i="10"/>
  <c r="KW1492" i="10"/>
  <c r="KW1503" i="10"/>
  <c r="AFN1524" i="10"/>
  <c r="AFN1526" i="10"/>
  <c r="AFN1514" i="10"/>
  <c r="AFN1521" i="10"/>
  <c r="AFN1529" i="10"/>
  <c r="AFN1531" i="10"/>
  <c r="AFN1518" i="10"/>
  <c r="AFN1525" i="10"/>
  <c r="AFN1533" i="10"/>
  <c r="AFN1515" i="10"/>
  <c r="AFN1528" i="10"/>
  <c r="AFN1519" i="10"/>
  <c r="AFN1530" i="10"/>
  <c r="AFN1520" i="10"/>
  <c r="AFN1522" i="10"/>
  <c r="AFN1523" i="10"/>
  <c r="AFN1532" i="10"/>
  <c r="AFN1527" i="10"/>
  <c r="AFN1516" i="10"/>
  <c r="AFN1517" i="10"/>
  <c r="AFG1524" i="10"/>
  <c r="AFG1532" i="10"/>
  <c r="AFG1533" i="10"/>
  <c r="AFG1514" i="10"/>
  <c r="AFG1520" i="10"/>
  <c r="AFG1523" i="10"/>
  <c r="AFG1527" i="10"/>
  <c r="AFG1522" i="10"/>
  <c r="AFG1517" i="10"/>
  <c r="AFG1526" i="10"/>
  <c r="AFG1525" i="10"/>
  <c r="AFG1516" i="10"/>
  <c r="AFG1528" i="10"/>
  <c r="AFG1515" i="10"/>
  <c r="AFG1521" i="10"/>
  <c r="AFG1519" i="10"/>
  <c r="AFG1531" i="10"/>
  <c r="AFG1529" i="10"/>
  <c r="AFG1518" i="10"/>
  <c r="AFG1530" i="10"/>
  <c r="CY1493" i="10"/>
  <c r="CY1497" i="10"/>
  <c r="CY1499" i="10"/>
  <c r="CY1496" i="10"/>
  <c r="CY1498" i="10"/>
  <c r="CY1495" i="10"/>
  <c r="CY1492" i="10"/>
  <c r="CY1491" i="10"/>
  <c r="CY1494" i="10"/>
  <c r="CY1500" i="10"/>
  <c r="CY1502" i="10"/>
  <c r="CY1501" i="10"/>
  <c r="CY1508" i="10"/>
  <c r="CY1506" i="10"/>
  <c r="CY1504" i="10"/>
  <c r="CY1507" i="10"/>
  <c r="CY1503" i="10"/>
  <c r="CY1509" i="10"/>
  <c r="CY1510" i="10"/>
  <c r="CY1505" i="10"/>
  <c r="ACI1503" i="10"/>
  <c r="ACI1501" i="10"/>
  <c r="ACI1502" i="10"/>
  <c r="ACI1495" i="10"/>
  <c r="ACI1494" i="10"/>
  <c r="ACI1496" i="10"/>
  <c r="ACI1509" i="10"/>
  <c r="ACI1504" i="10"/>
  <c r="ACI1497" i="10"/>
  <c r="ACI1499" i="10"/>
  <c r="ACI1505" i="10"/>
  <c r="ACI1492" i="10"/>
  <c r="ACI1508" i="10"/>
  <c r="ACI1500" i="10"/>
  <c r="ACI1510" i="10"/>
  <c r="ACI1498" i="10"/>
  <c r="ACI1491" i="10"/>
  <c r="ACI1506" i="10"/>
  <c r="ACI1507" i="10"/>
  <c r="ACI1493" i="10"/>
  <c r="MA1516" i="10"/>
  <c r="MA1514" i="10"/>
  <c r="MA1525" i="10"/>
  <c r="MA1524" i="10"/>
  <c r="MA1522" i="10"/>
  <c r="MA1527" i="10"/>
  <c r="MA1526" i="10"/>
  <c r="MA1528" i="10"/>
  <c r="MA1533" i="10"/>
  <c r="MA1532" i="10"/>
  <c r="MA1530" i="10"/>
  <c r="MA1531" i="10"/>
  <c r="MA1520" i="10"/>
  <c r="MA1523" i="10"/>
  <c r="MA1521" i="10"/>
  <c r="MA1529" i="10"/>
  <c r="MA1515" i="10"/>
  <c r="MA1518" i="10"/>
  <c r="MA1519" i="10"/>
  <c r="MA1517" i="10"/>
  <c r="RR1492" i="10"/>
  <c r="RR1491" i="10"/>
  <c r="RR1493" i="10"/>
  <c r="RR1494" i="10"/>
  <c r="RR1500" i="10"/>
  <c r="RR1495" i="10"/>
  <c r="RR1498" i="10"/>
  <c r="RR1501" i="10"/>
  <c r="RR1496" i="10"/>
  <c r="RR1497" i="10"/>
  <c r="RR1502" i="10"/>
  <c r="RR1505" i="10"/>
  <c r="RR1504" i="10"/>
  <c r="RR1503" i="10"/>
  <c r="RR1506" i="10"/>
  <c r="RR1508" i="10"/>
  <c r="RR1509" i="10"/>
  <c r="RR1507" i="10"/>
  <c r="RR1499" i="10"/>
  <c r="RR1510" i="10"/>
  <c r="ET1516" i="10"/>
  <c r="ET1515" i="10"/>
  <c r="ET1514" i="10"/>
  <c r="ET1519" i="10"/>
  <c r="ET1517" i="10"/>
  <c r="ET1522" i="10"/>
  <c r="ET1518" i="10"/>
  <c r="ET1521" i="10"/>
  <c r="ET1525" i="10"/>
  <c r="ET1523" i="10"/>
  <c r="ET1524" i="10"/>
  <c r="ET1526" i="10"/>
  <c r="ET1520" i="10"/>
  <c r="ET1527" i="10"/>
  <c r="ET1528" i="10"/>
  <c r="ET1530" i="10"/>
  <c r="ET1533" i="10"/>
  <c r="ET1529" i="10"/>
  <c r="ET1532" i="10"/>
  <c r="ET1531" i="10"/>
  <c r="KJ1491" i="10"/>
  <c r="KJ1500" i="10"/>
  <c r="KJ1497" i="10"/>
  <c r="KJ1503" i="10"/>
  <c r="KJ1506" i="10"/>
  <c r="KJ1509" i="10"/>
  <c r="KJ1492" i="10"/>
  <c r="KJ1510" i="10"/>
  <c r="KJ1493" i="10"/>
  <c r="KJ1494" i="10"/>
  <c r="KJ1498" i="10"/>
  <c r="KJ1501" i="10"/>
  <c r="KJ1504" i="10"/>
  <c r="KJ1507" i="10"/>
  <c r="KJ1496" i="10"/>
  <c r="KJ1502" i="10"/>
  <c r="KJ1505" i="10"/>
  <c r="KJ1495" i="10"/>
  <c r="KJ1499" i="10"/>
  <c r="KJ1508" i="10"/>
  <c r="ABA1523" i="10"/>
  <c r="ABA1525" i="10"/>
  <c r="ABA1533" i="10"/>
  <c r="ABA1515" i="10"/>
  <c r="ABA1530" i="10"/>
  <c r="ABA1528" i="10"/>
  <c r="ABA1517" i="10"/>
  <c r="ABA1520" i="10"/>
  <c r="ABA1526" i="10"/>
  <c r="ABA1516" i="10"/>
  <c r="ABA1527" i="10"/>
  <c r="ABA1531" i="10"/>
  <c r="ABA1519" i="10"/>
  <c r="ABA1529" i="10"/>
  <c r="ABA1522" i="10"/>
  <c r="ABA1532" i="10"/>
  <c r="ABA1514" i="10"/>
  <c r="ABA1521" i="10"/>
  <c r="ABA1518" i="10"/>
  <c r="ABA1524" i="10"/>
  <c r="DX1493" i="10"/>
  <c r="DX1492" i="10"/>
  <c r="DX1491" i="10"/>
  <c r="DX1494" i="10"/>
  <c r="DX1496" i="10"/>
  <c r="DX1495" i="10"/>
  <c r="DX1502" i="10"/>
  <c r="DX1498" i="10"/>
  <c r="DX1499" i="10"/>
  <c r="DX1506" i="10"/>
  <c r="DX1497" i="10"/>
  <c r="DX1505" i="10"/>
  <c r="DX1500" i="10"/>
  <c r="DX1501" i="10"/>
  <c r="DX1504" i="10"/>
  <c r="DX1507" i="10"/>
  <c r="DX1503" i="10"/>
  <c r="DX1509" i="10"/>
  <c r="DX1508" i="10"/>
  <c r="DX1510" i="10"/>
  <c r="AAH1529" i="10"/>
  <c r="AAH1531" i="10"/>
  <c r="AAH1526" i="10"/>
  <c r="AAH1533" i="10"/>
  <c r="AAH1532" i="10"/>
  <c r="AAH1516" i="10"/>
  <c r="AAH1530" i="10"/>
  <c r="AAH1521" i="10"/>
  <c r="AAH1520" i="10"/>
  <c r="AAH1524" i="10"/>
  <c r="AAH1528" i="10"/>
  <c r="AAH1519" i="10"/>
  <c r="AAH1523" i="10"/>
  <c r="AAH1514" i="10"/>
  <c r="AAH1522" i="10"/>
  <c r="AAH1518" i="10"/>
  <c r="AAH1515" i="10"/>
  <c r="AAH1517" i="10"/>
  <c r="AAH1527" i="10"/>
  <c r="AAH1525" i="10"/>
  <c r="UW1529" i="10"/>
  <c r="UW1517" i="10"/>
  <c r="UW1521" i="10"/>
  <c r="UW1524" i="10"/>
  <c r="UW1519" i="10"/>
  <c r="UW1528" i="10"/>
  <c r="UW1531" i="10"/>
  <c r="UW1532" i="10"/>
  <c r="UW1533" i="10"/>
  <c r="UW1518" i="10"/>
  <c r="UW1530" i="10"/>
  <c r="UW1526" i="10"/>
  <c r="UW1527" i="10"/>
  <c r="UW1516" i="10"/>
  <c r="UW1514" i="10"/>
  <c r="UW1515" i="10"/>
  <c r="UW1525" i="10"/>
  <c r="UW1520" i="10"/>
  <c r="UW1523" i="10"/>
  <c r="UW1522" i="10"/>
  <c r="AES1526" i="10"/>
  <c r="AES1533" i="10"/>
  <c r="AES1514" i="10"/>
  <c r="AES1530" i="10"/>
  <c r="AES1516" i="10"/>
  <c r="AES1529" i="10"/>
  <c r="AES1519" i="10"/>
  <c r="AES1520" i="10"/>
  <c r="AES1521" i="10"/>
  <c r="AES1527" i="10"/>
  <c r="AES1525" i="10"/>
  <c r="AES1531" i="10"/>
  <c r="AES1517" i="10"/>
  <c r="AES1532" i="10"/>
  <c r="AES1522" i="10"/>
  <c r="AES1528" i="10"/>
  <c r="AES1523" i="10"/>
  <c r="AES1515" i="10"/>
  <c r="AES1524" i="10"/>
  <c r="AES1518" i="10"/>
  <c r="EN1491" i="10"/>
  <c r="EN1494" i="10"/>
  <c r="EN1499" i="10"/>
  <c r="EN1493" i="10"/>
  <c r="EN1496" i="10"/>
  <c r="EN1495" i="10"/>
  <c r="EN1497" i="10"/>
  <c r="EN1492" i="10"/>
  <c r="EN1498" i="10"/>
  <c r="EN1500" i="10"/>
  <c r="EN1502" i="10"/>
  <c r="EN1503" i="10"/>
  <c r="EN1507" i="10"/>
  <c r="EN1509" i="10"/>
  <c r="EN1501" i="10"/>
  <c r="EN1505" i="10"/>
  <c r="EN1504" i="10"/>
  <c r="EN1506" i="10"/>
  <c r="EN1510" i="10"/>
  <c r="EN1508" i="10"/>
  <c r="AAV1525" i="10"/>
  <c r="AAV1528" i="10"/>
  <c r="AAV1515" i="10"/>
  <c r="AAV1521" i="10"/>
  <c r="AAV1532" i="10"/>
  <c r="AAV1517" i="10"/>
  <c r="AAV1523" i="10"/>
  <c r="AAV1522" i="10"/>
  <c r="AAV1526" i="10"/>
  <c r="AAV1527" i="10"/>
  <c r="AAV1516" i="10"/>
  <c r="AAV1529" i="10"/>
  <c r="AAV1518" i="10"/>
  <c r="AAV1514" i="10"/>
  <c r="AAV1533" i="10"/>
  <c r="AAV1520" i="10"/>
  <c r="AAV1530" i="10"/>
  <c r="AAV1531" i="10"/>
  <c r="AAV1524" i="10"/>
  <c r="AAV1519" i="10"/>
  <c r="VY1516" i="10"/>
  <c r="VY1514" i="10"/>
  <c r="VY1517" i="10"/>
  <c r="VY1518" i="10"/>
  <c r="VY1519" i="10"/>
  <c r="VY1515" i="10"/>
  <c r="VY1521" i="10"/>
  <c r="VY1522" i="10"/>
  <c r="VY1523" i="10"/>
  <c r="VY1520" i="10"/>
  <c r="VY1526" i="10"/>
  <c r="VY1527" i="10"/>
  <c r="VY1528" i="10"/>
  <c r="VY1531" i="10"/>
  <c r="VY1532" i="10"/>
  <c r="VY1529" i="10"/>
  <c r="VY1533" i="10"/>
  <c r="VY1524" i="10"/>
  <c r="VY1525" i="10"/>
  <c r="VY1530" i="10"/>
  <c r="AFK1526" i="10"/>
  <c r="AFK1531" i="10"/>
  <c r="AFK1522" i="10"/>
  <c r="AFK1518" i="10"/>
  <c r="AFK1519" i="10"/>
  <c r="AFK1530" i="10"/>
  <c r="AFK1523" i="10"/>
  <c r="AFK1528" i="10"/>
  <c r="AFK1529" i="10"/>
  <c r="AFK1516" i="10"/>
  <c r="AFK1533" i="10"/>
  <c r="AFK1515" i="10"/>
  <c r="AFK1521" i="10"/>
  <c r="AFK1532" i="10"/>
  <c r="AFK1520" i="10"/>
  <c r="AFK1527" i="10"/>
  <c r="AFK1524" i="10"/>
  <c r="AFK1517" i="10"/>
  <c r="AFK1514" i="10"/>
  <c r="AFK1525" i="10"/>
  <c r="JJ1518" i="10"/>
  <c r="JJ1514" i="10"/>
  <c r="JJ1515" i="10"/>
  <c r="JJ1519" i="10"/>
  <c r="JJ1516" i="10"/>
  <c r="JJ1517" i="10"/>
  <c r="JJ1523" i="10"/>
  <c r="JJ1520" i="10"/>
  <c r="JJ1525" i="10"/>
  <c r="JJ1527" i="10"/>
  <c r="JJ1521" i="10"/>
  <c r="JJ1526" i="10"/>
  <c r="JJ1522" i="10"/>
  <c r="JJ1528" i="10"/>
  <c r="JJ1524" i="10"/>
  <c r="JJ1529" i="10"/>
  <c r="JJ1533" i="10"/>
  <c r="JJ1531" i="10"/>
  <c r="JJ1532" i="10"/>
  <c r="JJ1530" i="10"/>
  <c r="QV1492" i="10"/>
  <c r="QV1491" i="10"/>
  <c r="QV1493" i="10"/>
  <c r="QV1494" i="10"/>
  <c r="QV1500" i="10"/>
  <c r="QV1495" i="10"/>
  <c r="QV1501" i="10"/>
  <c r="QV1498" i="10"/>
  <c r="QV1497" i="10"/>
  <c r="QV1499" i="10"/>
  <c r="QV1505" i="10"/>
  <c r="QV1504" i="10"/>
  <c r="QV1496" i="10"/>
  <c r="QV1503" i="10"/>
  <c r="QV1506" i="10"/>
  <c r="QV1508" i="10"/>
  <c r="QV1502" i="10"/>
  <c r="QV1509" i="10"/>
  <c r="QV1507" i="10"/>
  <c r="QV1510" i="10"/>
  <c r="LH1493" i="10"/>
  <c r="LH1496" i="10"/>
  <c r="LH1498" i="10"/>
  <c r="LH1495" i="10"/>
  <c r="LH1497" i="10"/>
  <c r="LH1492" i="10"/>
  <c r="LH1491" i="10"/>
  <c r="LH1494" i="10"/>
  <c r="LH1500" i="10"/>
  <c r="LH1499" i="10"/>
  <c r="LH1501" i="10"/>
  <c r="LH1502" i="10"/>
  <c r="LH1508" i="10"/>
  <c r="LH1509" i="10"/>
  <c r="LH1507" i="10"/>
  <c r="LH1504" i="10"/>
  <c r="LH1503" i="10"/>
  <c r="LH1506" i="10"/>
  <c r="LH1510" i="10"/>
  <c r="LH1505" i="10"/>
  <c r="AFV1527" i="10"/>
  <c r="AFV1522" i="10"/>
  <c r="AFV1517" i="10"/>
  <c r="AFV1524" i="10"/>
  <c r="AFV1526" i="10"/>
  <c r="AFV1519" i="10"/>
  <c r="AFV1529" i="10"/>
  <c r="AFV1532" i="10"/>
  <c r="AFV1521" i="10"/>
  <c r="AFV1528" i="10"/>
  <c r="AFV1516" i="10"/>
  <c r="AFV1530" i="10"/>
  <c r="AFV1515" i="10"/>
  <c r="AFV1518" i="10"/>
  <c r="AFV1525" i="10"/>
  <c r="AFV1514" i="10"/>
  <c r="AFV1531" i="10"/>
  <c r="AFV1520" i="10"/>
  <c r="AFV1523" i="10"/>
  <c r="AFV1533" i="10"/>
  <c r="KU1503" i="10"/>
  <c r="KU1497" i="10"/>
  <c r="KU1508" i="10"/>
  <c r="KU1495" i="10"/>
  <c r="KU1510" i="10"/>
  <c r="KU1500" i="10"/>
  <c r="KU1491" i="10"/>
  <c r="KU1501" i="10"/>
  <c r="KU1499" i="10"/>
  <c r="KU1505" i="10"/>
  <c r="KU1504" i="10"/>
  <c r="KU1507" i="10"/>
  <c r="KU1509" i="10"/>
  <c r="KU1494" i="10"/>
  <c r="KU1492" i="10"/>
  <c r="KU1498" i="10"/>
  <c r="KU1496" i="10"/>
  <c r="KU1506" i="10"/>
  <c r="KU1502" i="10"/>
  <c r="KU1493" i="10"/>
  <c r="AAR1515" i="10"/>
  <c r="AAR1518" i="10"/>
  <c r="AAR1517" i="10"/>
  <c r="AAR1521" i="10"/>
  <c r="AAR1520" i="10"/>
  <c r="AAR1522" i="10"/>
  <c r="AAR1524" i="10"/>
  <c r="AAR1519" i="10"/>
  <c r="AAR1523" i="10"/>
  <c r="AAR1525" i="10"/>
  <c r="AAR1528" i="10"/>
  <c r="AAR1527" i="10"/>
  <c r="AAR1526" i="10"/>
  <c r="AAR1529" i="10"/>
  <c r="AAR1532" i="10"/>
  <c r="AAR1531" i="10"/>
  <c r="AAR1530" i="10"/>
  <c r="AAR1533" i="10"/>
  <c r="AAR1516" i="10"/>
  <c r="AAR1514" i="10"/>
  <c r="TU1493" i="10"/>
  <c r="TU1492" i="10"/>
  <c r="TU1491" i="10"/>
  <c r="TU1494" i="10"/>
  <c r="TU1496" i="10"/>
  <c r="TU1495" i="10"/>
  <c r="TU1497" i="10"/>
  <c r="TU1498" i="10"/>
  <c r="TU1507" i="10"/>
  <c r="TU1502" i="10"/>
  <c r="TU1501" i="10"/>
  <c r="TU1505" i="10"/>
  <c r="TU1500" i="10"/>
  <c r="TU1504" i="10"/>
  <c r="TU1503" i="10"/>
  <c r="TU1506" i="10"/>
  <c r="TU1509" i="10"/>
  <c r="TU1510" i="10"/>
  <c r="TU1499" i="10"/>
  <c r="TU1508" i="10"/>
  <c r="AFH1491" i="10"/>
  <c r="AFH1494" i="10"/>
  <c r="AFH1493" i="10"/>
  <c r="AFH1496" i="10"/>
  <c r="AFH1498" i="10"/>
  <c r="AFH1495" i="10"/>
  <c r="AFH1497" i="10"/>
  <c r="AFH1492" i="10"/>
  <c r="AFH1499" i="10"/>
  <c r="AFH1500" i="10"/>
  <c r="AFH1503" i="10"/>
  <c r="AFH1506" i="10"/>
  <c r="AFH1507" i="10"/>
  <c r="AFH1501" i="10"/>
  <c r="AFH1505" i="10"/>
  <c r="AFH1504" i="10"/>
  <c r="AFH1508" i="10"/>
  <c r="AFH1502" i="10"/>
  <c r="AFH1509" i="10"/>
  <c r="AFH1510" i="10"/>
  <c r="ZN1492" i="10"/>
  <c r="ZN1491" i="10"/>
  <c r="ZN1495" i="10"/>
  <c r="ZN1497" i="10"/>
  <c r="ZN1493" i="10"/>
  <c r="ZN1496" i="10"/>
  <c r="ZN1498" i="10"/>
  <c r="ZN1499" i="10"/>
  <c r="ZN1501" i="10"/>
  <c r="ZN1500" i="10"/>
  <c r="ZN1494" i="10"/>
  <c r="ZN1509" i="10"/>
  <c r="ZN1507" i="10"/>
  <c r="ZN1505" i="10"/>
  <c r="ZN1502" i="10"/>
  <c r="ZN1504" i="10"/>
  <c r="ZN1508" i="10"/>
  <c r="ZN1510" i="10"/>
  <c r="ZN1506" i="10"/>
  <c r="ZN1503" i="10"/>
  <c r="W1492" i="10"/>
  <c r="W1491" i="10"/>
  <c r="W1493" i="10"/>
  <c r="W1494" i="10"/>
  <c r="W1500" i="10"/>
  <c r="W1495" i="10"/>
  <c r="W1501" i="10"/>
  <c r="W1497" i="10"/>
  <c r="W1496" i="10"/>
  <c r="W1498" i="10"/>
  <c r="W1499" i="10"/>
  <c r="W1506" i="10"/>
  <c r="W1505" i="10"/>
  <c r="W1504" i="10"/>
  <c r="W1507" i="10"/>
  <c r="W1503" i="10"/>
  <c r="W1509" i="10"/>
  <c r="W1508" i="10"/>
  <c r="W1510" i="10"/>
  <c r="W1502" i="10"/>
  <c r="IK1515" i="10"/>
  <c r="IK1516" i="10"/>
  <c r="IK1514" i="10"/>
  <c r="IK1517" i="10"/>
  <c r="IK1523" i="10"/>
  <c r="IK1521" i="10"/>
  <c r="IK1522" i="10"/>
  <c r="IK1520" i="10"/>
  <c r="IK1528" i="10"/>
  <c r="IK1519" i="10"/>
  <c r="IK1529" i="10"/>
  <c r="IK1525" i="10"/>
  <c r="IK1524" i="10"/>
  <c r="IK1526" i="10"/>
  <c r="IK1531" i="10"/>
  <c r="IK1532" i="10"/>
  <c r="IK1530" i="10"/>
  <c r="IK1533" i="10"/>
  <c r="IK1527" i="10"/>
  <c r="IK1518" i="10"/>
  <c r="AFF1531" i="10"/>
  <c r="AFF1533" i="10"/>
  <c r="AFF1516" i="10"/>
  <c r="AFF1525" i="10"/>
  <c r="AFF1518" i="10"/>
  <c r="AFF1530" i="10"/>
  <c r="AFF1528" i="10"/>
  <c r="AFF1520" i="10"/>
  <c r="AFF1522" i="10"/>
  <c r="AFF1519" i="10"/>
  <c r="AFF1532" i="10"/>
  <c r="AFF1524" i="10"/>
  <c r="AFF1521" i="10"/>
  <c r="AFF1523" i="10"/>
  <c r="AFF1514" i="10"/>
  <c r="AFF1527" i="10"/>
  <c r="AFF1529" i="10"/>
  <c r="AFF1517" i="10"/>
  <c r="AFF1526" i="10"/>
  <c r="AFF1515" i="10"/>
  <c r="AP1492" i="10"/>
  <c r="AP1491" i="10"/>
  <c r="AP1493" i="10"/>
  <c r="AP1494" i="10"/>
  <c r="AP1500" i="10"/>
  <c r="AP1495" i="10"/>
  <c r="AP1496" i="10"/>
  <c r="AP1501" i="10"/>
  <c r="AP1497" i="10"/>
  <c r="AP1498" i="10"/>
  <c r="AP1499" i="10"/>
  <c r="AP1506" i="10"/>
  <c r="AP1505" i="10"/>
  <c r="AP1504" i="10"/>
  <c r="AP1507" i="10"/>
  <c r="AP1503" i="10"/>
  <c r="AP1509" i="10"/>
  <c r="AP1508" i="10"/>
  <c r="AP1502" i="10"/>
  <c r="AP1510" i="10"/>
  <c r="JT1516" i="10"/>
  <c r="JT1517" i="10"/>
  <c r="JT1514" i="10"/>
  <c r="JT1515" i="10"/>
  <c r="JT1519" i="10"/>
  <c r="JT1518" i="10"/>
  <c r="JT1523" i="10"/>
  <c r="JT1520" i="10"/>
  <c r="JT1521" i="10"/>
  <c r="JT1522" i="10"/>
  <c r="JT1524" i="10"/>
  <c r="JT1525" i="10"/>
  <c r="JT1526" i="10"/>
  <c r="JT1528" i="10"/>
  <c r="JT1527" i="10"/>
  <c r="JT1533" i="10"/>
  <c r="JT1531" i="10"/>
  <c r="JT1532" i="10"/>
  <c r="JT1530" i="10"/>
  <c r="JT1529" i="10"/>
  <c r="EP1491" i="10"/>
  <c r="EP1493" i="10"/>
  <c r="EP1492" i="10"/>
  <c r="EP1494" i="10"/>
  <c r="EP1499" i="10"/>
  <c r="EP1496" i="10"/>
  <c r="EP1497" i="10"/>
  <c r="EP1495" i="10"/>
  <c r="EP1498" i="10"/>
  <c r="EP1500" i="10"/>
  <c r="EP1501" i="10"/>
  <c r="EP1505" i="10"/>
  <c r="EP1504" i="10"/>
  <c r="EP1506" i="10"/>
  <c r="EP1502" i="10"/>
  <c r="EP1503" i="10"/>
  <c r="EP1507" i="10"/>
  <c r="EP1509" i="10"/>
  <c r="EP1508" i="10"/>
  <c r="EP1510" i="10"/>
  <c r="OO1514" i="10"/>
  <c r="OO1515" i="10"/>
  <c r="OO1516" i="10"/>
  <c r="OO1517" i="10"/>
  <c r="OO1518" i="10"/>
  <c r="OO1520" i="10"/>
  <c r="OO1522" i="10"/>
  <c r="OO1519" i="10"/>
  <c r="OO1521" i="10"/>
  <c r="OO1524" i="10"/>
  <c r="OO1528" i="10"/>
  <c r="OO1525" i="10"/>
  <c r="OO1526" i="10"/>
  <c r="OO1523" i="10"/>
  <c r="OO1527" i="10"/>
  <c r="OO1530" i="10"/>
  <c r="OO1533" i="10"/>
  <c r="OO1532" i="10"/>
  <c r="OO1531" i="10"/>
  <c r="OO1529" i="10"/>
  <c r="OD1526" i="10"/>
  <c r="OD1528" i="10"/>
  <c r="OD1530" i="10"/>
  <c r="OD1533" i="10"/>
  <c r="OD1531" i="10"/>
  <c r="OD1532" i="10"/>
  <c r="OD1521" i="10"/>
  <c r="OD1522" i="10"/>
  <c r="OD1523" i="10"/>
  <c r="OD1518" i="10"/>
  <c r="OD1529" i="10"/>
  <c r="OD1520" i="10"/>
  <c r="OD1514" i="10"/>
  <c r="OD1524" i="10"/>
  <c r="OD1519" i="10"/>
  <c r="OD1515" i="10"/>
  <c r="OD1527" i="10"/>
  <c r="OD1516" i="10"/>
  <c r="OD1517" i="10"/>
  <c r="OD1525" i="10"/>
  <c r="UX1492" i="10"/>
  <c r="UX1491" i="10"/>
  <c r="UX1493" i="10"/>
  <c r="UX1494" i="10"/>
  <c r="UX1500" i="10"/>
  <c r="UX1495" i="10"/>
  <c r="UX1501" i="10"/>
  <c r="UX1498" i="10"/>
  <c r="UX1497" i="10"/>
  <c r="UX1496" i="10"/>
  <c r="UX1499" i="10"/>
  <c r="UX1505" i="10"/>
  <c r="UX1504" i="10"/>
  <c r="UX1502" i="10"/>
  <c r="UX1503" i="10"/>
  <c r="UX1506" i="10"/>
  <c r="UX1508" i="10"/>
  <c r="UX1509" i="10"/>
  <c r="UX1507" i="10"/>
  <c r="UX1510" i="10"/>
  <c r="EX1514" i="10"/>
  <c r="EX1515" i="10"/>
  <c r="EX1516" i="10"/>
  <c r="EX1517" i="10"/>
  <c r="EX1519" i="10"/>
  <c r="EX1520" i="10"/>
  <c r="EX1518" i="10"/>
  <c r="EX1523" i="10"/>
  <c r="EX1524" i="10"/>
  <c r="EX1521" i="10"/>
  <c r="EX1522" i="10"/>
  <c r="EX1528" i="10"/>
  <c r="EX1526" i="10"/>
  <c r="EX1532" i="10"/>
  <c r="EX1527" i="10"/>
  <c r="EX1531" i="10"/>
  <c r="EX1533" i="10"/>
  <c r="EX1529" i="10"/>
  <c r="EX1530" i="10"/>
  <c r="EX1525" i="10"/>
  <c r="WJ1514" i="10"/>
  <c r="WJ1516" i="10"/>
  <c r="WJ1517" i="10"/>
  <c r="WJ1518" i="10"/>
  <c r="WJ1524" i="10"/>
  <c r="WJ1520" i="10"/>
  <c r="WJ1519" i="10"/>
  <c r="WJ1522" i="10"/>
  <c r="WJ1515" i="10"/>
  <c r="WJ1525" i="10"/>
  <c r="WJ1521" i="10"/>
  <c r="WJ1526" i="10"/>
  <c r="WJ1527" i="10"/>
  <c r="WJ1529" i="10"/>
  <c r="WJ1528" i="10"/>
  <c r="WJ1530" i="10"/>
  <c r="WJ1531" i="10"/>
  <c r="WJ1532" i="10"/>
  <c r="WJ1523" i="10"/>
  <c r="WJ1533" i="10"/>
  <c r="AX1491" i="10"/>
  <c r="AX1493" i="10"/>
  <c r="AX1492" i="10"/>
  <c r="AX1494" i="10"/>
  <c r="AX1497" i="10"/>
  <c r="AX1499" i="10"/>
  <c r="AX1498" i="10"/>
  <c r="AX1500" i="10"/>
  <c r="AX1496" i="10"/>
  <c r="AX1501" i="10"/>
  <c r="AX1502" i="10"/>
  <c r="AX1505" i="10"/>
  <c r="AX1504" i="10"/>
  <c r="AX1507" i="10"/>
  <c r="AX1503" i="10"/>
  <c r="AX1509" i="10"/>
  <c r="AX1506" i="10"/>
  <c r="AX1510" i="10"/>
  <c r="AX1495" i="10"/>
  <c r="AX1508" i="10"/>
  <c r="LJ1517" i="10"/>
  <c r="LJ1515" i="10"/>
  <c r="LJ1516" i="10"/>
  <c r="LJ1518" i="10"/>
  <c r="LJ1514" i="10"/>
  <c r="LJ1519" i="10"/>
  <c r="LJ1522" i="10"/>
  <c r="LJ1524" i="10"/>
  <c r="LJ1521" i="10"/>
  <c r="LJ1523" i="10"/>
  <c r="LJ1525" i="10"/>
  <c r="LJ1529" i="10"/>
  <c r="LJ1526" i="10"/>
  <c r="LJ1528" i="10"/>
  <c r="LJ1530" i="10"/>
  <c r="LJ1520" i="10"/>
  <c r="LJ1527" i="10"/>
  <c r="LJ1531" i="10"/>
  <c r="LJ1532" i="10"/>
  <c r="LJ1533" i="10"/>
  <c r="CX1493" i="10"/>
  <c r="CX1492" i="10"/>
  <c r="CX1496" i="10"/>
  <c r="CX1498" i="10"/>
  <c r="CX1495" i="10"/>
  <c r="CX1491" i="10"/>
  <c r="CX1494" i="10"/>
  <c r="CX1497" i="10"/>
  <c r="CX1499" i="10"/>
  <c r="CX1502" i="10"/>
  <c r="CX1501" i="10"/>
  <c r="CX1508" i="10"/>
  <c r="CX1506" i="10"/>
  <c r="CX1505" i="10"/>
  <c r="CX1500" i="10"/>
  <c r="CX1503" i="10"/>
  <c r="CX1509" i="10"/>
  <c r="CX1510" i="10"/>
  <c r="CX1504" i="10"/>
  <c r="CX1507" i="10"/>
  <c r="ZK1533" i="10"/>
  <c r="ZK1526" i="10"/>
  <c r="ZK1518" i="10"/>
  <c r="ZK1531" i="10"/>
  <c r="ZK1516" i="10"/>
  <c r="ZK1523" i="10"/>
  <c r="ZK1530" i="10"/>
  <c r="ZK1515" i="10"/>
  <c r="ZK1525" i="10"/>
  <c r="ZK1527" i="10"/>
  <c r="ZK1519" i="10"/>
  <c r="ZK1517" i="10"/>
  <c r="ZK1528" i="10"/>
  <c r="ZK1514" i="10"/>
  <c r="ZK1520" i="10"/>
  <c r="ZK1522" i="10"/>
  <c r="ZK1532" i="10"/>
  <c r="ZK1521" i="10"/>
  <c r="ZK1524" i="10"/>
  <c r="ZK1529" i="10"/>
  <c r="BF1492" i="10"/>
  <c r="BF1491" i="10"/>
  <c r="BF1493" i="10"/>
  <c r="BF1494" i="10"/>
  <c r="BF1497" i="10"/>
  <c r="BF1499" i="10"/>
  <c r="BF1496" i="10"/>
  <c r="BF1498" i="10"/>
  <c r="BF1495" i="10"/>
  <c r="BF1501" i="10"/>
  <c r="BF1504" i="10"/>
  <c r="BF1507" i="10"/>
  <c r="BF1503" i="10"/>
  <c r="BF1502" i="10"/>
  <c r="BF1508" i="10"/>
  <c r="BF1506" i="10"/>
  <c r="BF1505" i="10"/>
  <c r="BF1509" i="10"/>
  <c r="BF1510" i="10"/>
  <c r="BF1500" i="10"/>
  <c r="GS1516" i="10"/>
  <c r="GS1514" i="10"/>
  <c r="GS1515" i="10"/>
  <c r="GS1519" i="10"/>
  <c r="GS1518" i="10"/>
  <c r="GS1521" i="10"/>
  <c r="GS1522" i="10"/>
  <c r="GS1524" i="10"/>
  <c r="GS1525" i="10"/>
  <c r="GS1520" i="10"/>
  <c r="GS1517" i="10"/>
  <c r="GS1523" i="10"/>
  <c r="GS1529" i="10"/>
  <c r="GS1526" i="10"/>
  <c r="GS1527" i="10"/>
  <c r="GS1528" i="10"/>
  <c r="GS1530" i="10"/>
  <c r="GS1533" i="10"/>
  <c r="GS1531" i="10"/>
  <c r="GS1532" i="10"/>
  <c r="RZ1492" i="10"/>
  <c r="RZ1491" i="10"/>
  <c r="RZ1494" i="10"/>
  <c r="RZ1499" i="10"/>
  <c r="RZ1493" i="10"/>
  <c r="RZ1496" i="10"/>
  <c r="RZ1498" i="10"/>
  <c r="RZ1497" i="10"/>
  <c r="RZ1500" i="10"/>
  <c r="RZ1495" i="10"/>
  <c r="RZ1501" i="10"/>
  <c r="RZ1502" i="10"/>
  <c r="RZ1504" i="10"/>
  <c r="RZ1503" i="10"/>
  <c r="RZ1506" i="10"/>
  <c r="RZ1508" i="10"/>
  <c r="RZ1509" i="10"/>
  <c r="RZ1505" i="10"/>
  <c r="RZ1507" i="10"/>
  <c r="RZ1510" i="10"/>
  <c r="AFR1515" i="10"/>
  <c r="AFR1522" i="10"/>
  <c r="AFR1526" i="10"/>
  <c r="AFR1527" i="10"/>
  <c r="AFR1523" i="10"/>
  <c r="AFR1531" i="10"/>
  <c r="AFR1529" i="10"/>
  <c r="AFR1528" i="10"/>
  <c r="AFR1532" i="10"/>
  <c r="AFR1530" i="10"/>
  <c r="AFR1533" i="10"/>
  <c r="AFR1524" i="10"/>
  <c r="AFR1516" i="10"/>
  <c r="AFR1525" i="10"/>
  <c r="AFR1520" i="10"/>
  <c r="AFR1517" i="10"/>
  <c r="AFR1519" i="10"/>
  <c r="AFR1514" i="10"/>
  <c r="AFR1521" i="10"/>
  <c r="AFR1518" i="10"/>
  <c r="VA1493" i="10"/>
  <c r="VA1492" i="10"/>
  <c r="VA1491" i="10"/>
  <c r="VA1494" i="10"/>
  <c r="VA1496" i="10"/>
  <c r="VA1495" i="10"/>
  <c r="VA1497" i="10"/>
  <c r="VA1499" i="10"/>
  <c r="VA1500" i="10"/>
  <c r="VA1498" i="10"/>
  <c r="VA1507" i="10"/>
  <c r="VA1501" i="10"/>
  <c r="VA1505" i="10"/>
  <c r="VA1504" i="10"/>
  <c r="VA1503" i="10"/>
  <c r="VA1506" i="10"/>
  <c r="VA1509" i="10"/>
  <c r="VA1510" i="10"/>
  <c r="VA1502" i="10"/>
  <c r="VA1508" i="10"/>
  <c r="ADX1491" i="10"/>
  <c r="ADX1494" i="10"/>
  <c r="ADX1493" i="10"/>
  <c r="ADX1496" i="10"/>
  <c r="ADX1498" i="10"/>
  <c r="ADX1495" i="10"/>
  <c r="ADX1497" i="10"/>
  <c r="ADX1492" i="10"/>
  <c r="ADX1499" i="10"/>
  <c r="ADX1500" i="10"/>
  <c r="ADX1503" i="10"/>
  <c r="ADX1506" i="10"/>
  <c r="ADX1502" i="10"/>
  <c r="ADX1501" i="10"/>
  <c r="ADX1507" i="10"/>
  <c r="ADX1505" i="10"/>
  <c r="ADX1504" i="10"/>
  <c r="ADX1509" i="10"/>
  <c r="ADX1508" i="10"/>
  <c r="ADX1510" i="10"/>
  <c r="CH1492" i="10"/>
  <c r="CH1491" i="10"/>
  <c r="CH1494" i="10"/>
  <c r="CH1497" i="10"/>
  <c r="CH1499" i="10"/>
  <c r="CH1496" i="10"/>
  <c r="CH1498" i="10"/>
  <c r="CH1493" i="10"/>
  <c r="CH1495" i="10"/>
  <c r="CH1501" i="10"/>
  <c r="CH1500" i="10"/>
  <c r="CH1504" i="10"/>
  <c r="CH1507" i="10"/>
  <c r="CH1502" i="10"/>
  <c r="CH1503" i="10"/>
  <c r="CH1508" i="10"/>
  <c r="CH1506" i="10"/>
  <c r="CH1505" i="10"/>
  <c r="CH1509" i="10"/>
  <c r="CH1510" i="10"/>
  <c r="RO1503" i="10"/>
  <c r="RO1502" i="10"/>
  <c r="RO1493" i="10"/>
  <c r="RO1504" i="10"/>
  <c r="RO1491" i="10"/>
  <c r="RO1501" i="10"/>
  <c r="RO1508" i="10"/>
  <c r="RO1505" i="10"/>
  <c r="RO1495" i="10"/>
  <c r="RO1509" i="10"/>
  <c r="RO1506" i="10"/>
  <c r="RO1498" i="10"/>
  <c r="RO1499" i="10"/>
  <c r="RO1496" i="10"/>
  <c r="RO1500" i="10"/>
  <c r="RO1497" i="10"/>
  <c r="RO1492" i="10"/>
  <c r="RO1507" i="10"/>
  <c r="RO1494" i="10"/>
  <c r="RO1510" i="10"/>
  <c r="YV1493" i="10"/>
  <c r="YV1491" i="10"/>
  <c r="YV1496" i="10"/>
  <c r="YV1498" i="10"/>
  <c r="YV1495" i="10"/>
  <c r="YV1497" i="10"/>
  <c r="YV1492" i="10"/>
  <c r="YV1494" i="10"/>
  <c r="YV1500" i="10"/>
  <c r="YV1501" i="10"/>
  <c r="YV1508" i="10"/>
  <c r="YV1499" i="10"/>
  <c r="YV1509" i="10"/>
  <c r="YV1507" i="10"/>
  <c r="YV1502" i="10"/>
  <c r="YV1504" i="10"/>
  <c r="YV1503" i="10"/>
  <c r="YV1506" i="10"/>
  <c r="YV1510" i="10"/>
  <c r="YV1505" i="10"/>
  <c r="SX1492" i="10"/>
  <c r="SX1491" i="10"/>
  <c r="SX1493" i="10"/>
  <c r="SX1494" i="10"/>
  <c r="SX1500" i="10"/>
  <c r="SX1495" i="10"/>
  <c r="SX1501" i="10"/>
  <c r="SX1496" i="10"/>
  <c r="SX1498" i="10"/>
  <c r="SX1497" i="10"/>
  <c r="SX1499" i="10"/>
  <c r="SX1505" i="10"/>
  <c r="SX1504" i="10"/>
  <c r="SX1503" i="10"/>
  <c r="SX1506" i="10"/>
  <c r="SX1508" i="10"/>
  <c r="SX1509" i="10"/>
  <c r="SX1507" i="10"/>
  <c r="SX1510" i="10"/>
  <c r="SX1502" i="10"/>
  <c r="EW1493" i="10"/>
  <c r="EW1499" i="10"/>
  <c r="EW1496" i="10"/>
  <c r="EW1495" i="10"/>
  <c r="EW1497" i="10"/>
  <c r="EW1491" i="10"/>
  <c r="EW1492" i="10"/>
  <c r="EW1494" i="10"/>
  <c r="EW1500" i="10"/>
  <c r="EW1502" i="10"/>
  <c r="EW1501" i="10"/>
  <c r="EW1498" i="10"/>
  <c r="EW1507" i="10"/>
  <c r="EW1509" i="10"/>
  <c r="EW1504" i="10"/>
  <c r="EW1503" i="10"/>
  <c r="EW1506" i="10"/>
  <c r="EW1510" i="10"/>
  <c r="EW1505" i="10"/>
  <c r="EW1508" i="10"/>
  <c r="PM1515" i="10"/>
  <c r="PM1514" i="10"/>
  <c r="PM1518" i="10"/>
  <c r="PM1519" i="10"/>
  <c r="PM1520" i="10"/>
  <c r="PM1516" i="10"/>
  <c r="PM1517" i="10"/>
  <c r="PM1522" i="10"/>
  <c r="PM1523" i="10"/>
  <c r="PM1524" i="10"/>
  <c r="PM1528" i="10"/>
  <c r="PM1526" i="10"/>
  <c r="PM1521" i="10"/>
  <c r="PM1530" i="10"/>
  <c r="PM1525" i="10"/>
  <c r="PM1527" i="10"/>
  <c r="PM1529" i="10"/>
  <c r="PM1531" i="10"/>
  <c r="PM1533" i="10"/>
  <c r="PM1532" i="10"/>
  <c r="UT1493" i="10"/>
  <c r="UT1492" i="10"/>
  <c r="UT1496" i="10"/>
  <c r="UT1498" i="10"/>
  <c r="UT1495" i="10"/>
  <c r="UT1497" i="10"/>
  <c r="UT1491" i="10"/>
  <c r="UT1494" i="10"/>
  <c r="UT1500" i="10"/>
  <c r="UT1501" i="10"/>
  <c r="UT1508" i="10"/>
  <c r="UT1499" i="10"/>
  <c r="UT1509" i="10"/>
  <c r="UT1507" i="10"/>
  <c r="UT1504" i="10"/>
  <c r="UT1502" i="10"/>
  <c r="UT1503" i="10"/>
  <c r="UT1506" i="10"/>
  <c r="UT1510" i="10"/>
  <c r="UT1505" i="10"/>
  <c r="MK1524" i="10"/>
  <c r="MK1527" i="10"/>
  <c r="MK1523" i="10"/>
  <c r="MK1528" i="10"/>
  <c r="MK1526" i="10"/>
  <c r="MK1529" i="10"/>
  <c r="MK1531" i="10"/>
  <c r="MK1532" i="10"/>
  <c r="MK1533" i="10"/>
  <c r="MK1530" i="10"/>
  <c r="MK1521" i="10"/>
  <c r="MK1515" i="10"/>
  <c r="MK1519" i="10"/>
  <c r="MK1525" i="10"/>
  <c r="MK1520" i="10"/>
  <c r="MK1514" i="10"/>
  <c r="MK1518" i="10"/>
  <c r="MK1517" i="10"/>
  <c r="MK1522" i="10"/>
  <c r="MK1516" i="10"/>
  <c r="SA1491" i="10"/>
  <c r="SA1493" i="10"/>
  <c r="SA1492" i="10"/>
  <c r="SA1494" i="10"/>
  <c r="SA1499" i="10"/>
  <c r="SA1498" i="10"/>
  <c r="SA1496" i="10"/>
  <c r="SA1497" i="10"/>
  <c r="SA1500" i="10"/>
  <c r="SA1501" i="10"/>
  <c r="SA1505" i="10"/>
  <c r="SA1502" i="10"/>
  <c r="SA1504" i="10"/>
  <c r="SA1503" i="10"/>
  <c r="SA1506" i="10"/>
  <c r="SA1508" i="10"/>
  <c r="SA1495" i="10"/>
  <c r="SA1507" i="10"/>
  <c r="SA1510" i="10"/>
  <c r="SA1509" i="10"/>
  <c r="FC1516" i="10"/>
  <c r="FC1519" i="10"/>
  <c r="FC1522" i="10"/>
  <c r="FC1523" i="10"/>
  <c r="FC1524" i="10"/>
  <c r="FC1527" i="10"/>
  <c r="FC1528" i="10"/>
  <c r="FC1533" i="10"/>
  <c r="FC1531" i="10"/>
  <c r="FC1532" i="10"/>
  <c r="FC1514" i="10"/>
  <c r="FC1529" i="10"/>
  <c r="FC1525" i="10"/>
  <c r="FC1518" i="10"/>
  <c r="FC1521" i="10"/>
  <c r="FC1520" i="10"/>
  <c r="FC1526" i="10"/>
  <c r="FC1530" i="10"/>
  <c r="FC1515" i="10"/>
  <c r="FC1517" i="10"/>
  <c r="KS1493" i="10"/>
  <c r="KS1491" i="10"/>
  <c r="KS1495" i="10"/>
  <c r="KS1499" i="10"/>
  <c r="KS1502" i="10"/>
  <c r="KS1508" i="10"/>
  <c r="KS1496" i="10"/>
  <c r="KS1505" i="10"/>
  <c r="KS1500" i="10"/>
  <c r="KS1509" i="10"/>
  <c r="KS1498" i="10"/>
  <c r="KS1501" i="10"/>
  <c r="KS1504" i="10"/>
  <c r="KS1507" i="10"/>
  <c r="KS1494" i="10"/>
  <c r="KS1510" i="10"/>
  <c r="KS1492" i="10"/>
  <c r="KS1497" i="10"/>
  <c r="KS1503" i="10"/>
  <c r="KS1506" i="10"/>
  <c r="TE1515" i="10"/>
  <c r="TE1514" i="10"/>
  <c r="TE1516" i="10"/>
  <c r="TE1519" i="10"/>
  <c r="TE1518" i="10"/>
  <c r="TE1524" i="10"/>
  <c r="TE1517" i="10"/>
  <c r="TE1521" i="10"/>
  <c r="TE1522" i="10"/>
  <c r="TE1523" i="10"/>
  <c r="TE1520" i="10"/>
  <c r="TE1525" i="10"/>
  <c r="TE1526" i="10"/>
  <c r="TE1528" i="10"/>
  <c r="TE1527" i="10"/>
  <c r="TE1530" i="10"/>
  <c r="TE1532" i="10"/>
  <c r="TE1531" i="10"/>
  <c r="TE1529" i="10"/>
  <c r="TE1533" i="10"/>
  <c r="ABI1529" i="10"/>
  <c r="ABI1531" i="10"/>
  <c r="ABI1533" i="10"/>
  <c r="ABI1514" i="10"/>
  <c r="ABI1523" i="10"/>
  <c r="ABI1516" i="10"/>
  <c r="ABI1528" i="10"/>
  <c r="ABI1515" i="10"/>
  <c r="ABI1527" i="10"/>
  <c r="ABI1517" i="10"/>
  <c r="ABI1520" i="10"/>
  <c r="ABI1530" i="10"/>
  <c r="ABI1526" i="10"/>
  <c r="ABI1521" i="10"/>
  <c r="ABI1522" i="10"/>
  <c r="ABI1532" i="10"/>
  <c r="ABI1525" i="10"/>
  <c r="ABI1518" i="10"/>
  <c r="ABI1524" i="10"/>
  <c r="ABI1519" i="10"/>
  <c r="EL1493" i="10"/>
  <c r="EL1492" i="10"/>
  <c r="EL1491" i="10"/>
  <c r="EL1496" i="10"/>
  <c r="EL1495" i="10"/>
  <c r="EL1497" i="10"/>
  <c r="EL1498" i="10"/>
  <c r="EL1494" i="10"/>
  <c r="EL1499" i="10"/>
  <c r="EL1502" i="10"/>
  <c r="EL1501" i="10"/>
  <c r="EL1509" i="10"/>
  <c r="EL1508" i="10"/>
  <c r="EL1505" i="10"/>
  <c r="EL1503" i="10"/>
  <c r="EL1507" i="10"/>
  <c r="EL1500" i="10"/>
  <c r="EL1504" i="10"/>
  <c r="EL1506" i="10"/>
  <c r="EL1510" i="10"/>
  <c r="AAT1514" i="10"/>
  <c r="AAT1516" i="10"/>
  <c r="AAT1515" i="10"/>
  <c r="AAT1518" i="10"/>
  <c r="AAT1520" i="10"/>
  <c r="AAT1519" i="10"/>
  <c r="AAT1517" i="10"/>
  <c r="AAT1521" i="10"/>
  <c r="AAT1522" i="10"/>
  <c r="AAT1523" i="10"/>
  <c r="AAT1524" i="10"/>
  <c r="AAT1526" i="10"/>
  <c r="AAT1525" i="10"/>
  <c r="AAT1527" i="10"/>
  <c r="AAT1528" i="10"/>
  <c r="AAT1530" i="10"/>
  <c r="AAT1529" i="10"/>
  <c r="AAT1532" i="10"/>
  <c r="AAT1533" i="10"/>
  <c r="AAT1531" i="10"/>
  <c r="AGF1492" i="10"/>
  <c r="AGF1491" i="10"/>
  <c r="AGF1494" i="10"/>
  <c r="AGF1495" i="10"/>
  <c r="AGF1497" i="10"/>
  <c r="AGF1493" i="10"/>
  <c r="AGF1496" i="10"/>
  <c r="AGF1498" i="10"/>
  <c r="AGF1500" i="10"/>
  <c r="AGF1507" i="10"/>
  <c r="AGF1505" i="10"/>
  <c r="AGF1499" i="10"/>
  <c r="AGF1504" i="10"/>
  <c r="AGF1508" i="10"/>
  <c r="AGF1501" i="10"/>
  <c r="AGF1503" i="10"/>
  <c r="AGF1510" i="10"/>
  <c r="AGF1502" i="10"/>
  <c r="AGF1506" i="10"/>
  <c r="AGF1509" i="10"/>
  <c r="VJ1523" i="10"/>
  <c r="VJ1521" i="10"/>
  <c r="VJ1524" i="10"/>
  <c r="VJ1528" i="10"/>
  <c r="VJ1526" i="10"/>
  <c r="VJ1525" i="10"/>
  <c r="VJ1522" i="10"/>
  <c r="VJ1527" i="10"/>
  <c r="VJ1531" i="10"/>
  <c r="VJ1532" i="10"/>
  <c r="VJ1529" i="10"/>
  <c r="VJ1533" i="10"/>
  <c r="VJ1530" i="10"/>
  <c r="VJ1514" i="10"/>
  <c r="VJ1515" i="10"/>
  <c r="VJ1517" i="10"/>
  <c r="VJ1519" i="10"/>
  <c r="VJ1518" i="10"/>
  <c r="VJ1516" i="10"/>
  <c r="VJ1520" i="10"/>
  <c r="ACK1492" i="10"/>
  <c r="ACK1496" i="10"/>
  <c r="ACK1498" i="10"/>
  <c r="ACK1495" i="10"/>
  <c r="ACK1497" i="10"/>
  <c r="ACK1491" i="10"/>
  <c r="ACK1494" i="10"/>
  <c r="ACK1493" i="10"/>
  <c r="ACK1499" i="10"/>
  <c r="ACK1501" i="10"/>
  <c r="ACK1500" i="10"/>
  <c r="ACK1507" i="10"/>
  <c r="ACK1502" i="10"/>
  <c r="ACK1505" i="10"/>
  <c r="ACK1503" i="10"/>
  <c r="ACK1506" i="10"/>
  <c r="ACK1508" i="10"/>
  <c r="ACK1509" i="10"/>
  <c r="ACK1504" i="10"/>
  <c r="ACK1510" i="10"/>
  <c r="EY1516" i="10"/>
  <c r="EY1515" i="10"/>
  <c r="EY1518" i="10"/>
  <c r="EY1514" i="10"/>
  <c r="EY1517" i="10"/>
  <c r="EY1519" i="10"/>
  <c r="EY1520" i="10"/>
  <c r="EY1523" i="10"/>
  <c r="EY1521" i="10"/>
  <c r="EY1525" i="10"/>
  <c r="EY1522" i="10"/>
  <c r="EY1524" i="10"/>
  <c r="EY1528" i="10"/>
  <c r="EY1527" i="10"/>
  <c r="EY1529" i="10"/>
  <c r="EY1532" i="10"/>
  <c r="EY1531" i="10"/>
  <c r="EY1526" i="10"/>
  <c r="EY1530" i="10"/>
  <c r="EY1533" i="10"/>
  <c r="QF1520" i="10"/>
  <c r="QF1531" i="10"/>
  <c r="QF1529" i="10"/>
  <c r="QF1533" i="10"/>
  <c r="QF1530" i="10"/>
  <c r="QF1525" i="10"/>
  <c r="QF1522" i="10"/>
  <c r="QF1532" i="10"/>
  <c r="QF1514" i="10"/>
  <c r="QF1526" i="10"/>
  <c r="QF1524" i="10"/>
  <c r="QF1523" i="10"/>
  <c r="QF1517" i="10"/>
  <c r="QF1519" i="10"/>
  <c r="QF1518" i="10"/>
  <c r="QF1516" i="10"/>
  <c r="QF1527" i="10"/>
  <c r="QF1515" i="10"/>
  <c r="QF1528" i="10"/>
  <c r="QF1521" i="10"/>
  <c r="XU1491" i="10"/>
  <c r="XU1493" i="10"/>
  <c r="XU1492" i="10"/>
  <c r="XU1494" i="10"/>
  <c r="XU1499" i="10"/>
  <c r="XU1501" i="10"/>
  <c r="XU1496" i="10"/>
  <c r="XU1500" i="10"/>
  <c r="XU1495" i="10"/>
  <c r="XU1498" i="10"/>
  <c r="XU1497" i="10"/>
  <c r="XU1505" i="10"/>
  <c r="XU1504" i="10"/>
  <c r="XU1503" i="10"/>
  <c r="XU1506" i="10"/>
  <c r="XU1508" i="10"/>
  <c r="XU1502" i="10"/>
  <c r="XU1507" i="10"/>
  <c r="XU1510" i="10"/>
  <c r="XU1509" i="10"/>
  <c r="X1514" i="10"/>
  <c r="X1515" i="10"/>
  <c r="X1517" i="10"/>
  <c r="X1518" i="10"/>
  <c r="X1520" i="10"/>
  <c r="X1519" i="10"/>
  <c r="X1525" i="10"/>
  <c r="X1523" i="10"/>
  <c r="X1521" i="10"/>
  <c r="X1522" i="10"/>
  <c r="X1524" i="10"/>
  <c r="X1529" i="10"/>
  <c r="X1527" i="10"/>
  <c r="X1528" i="10"/>
  <c r="X1532" i="10"/>
  <c r="X1516" i="10"/>
  <c r="X1531" i="10"/>
  <c r="X1533" i="10"/>
  <c r="X1526" i="10"/>
  <c r="X1530" i="10"/>
  <c r="SQ1493" i="10"/>
  <c r="SQ1492" i="10"/>
  <c r="SQ1491" i="10"/>
  <c r="SQ1496" i="10"/>
  <c r="SQ1498" i="10"/>
  <c r="SQ1495" i="10"/>
  <c r="SQ1497" i="10"/>
  <c r="SQ1494" i="10"/>
  <c r="SQ1499" i="10"/>
  <c r="SQ1501" i="10"/>
  <c r="SQ1507" i="10"/>
  <c r="SQ1505" i="10"/>
  <c r="SQ1500" i="10"/>
  <c r="SQ1503" i="10"/>
  <c r="SQ1506" i="10"/>
  <c r="SQ1502" i="10"/>
  <c r="SQ1508" i="10"/>
  <c r="SQ1509" i="10"/>
  <c r="SQ1504" i="10"/>
  <c r="SQ1510" i="10"/>
  <c r="ADG1503" i="10"/>
  <c r="ADG1502" i="10"/>
  <c r="ADG1501" i="10"/>
  <c r="ADG1504" i="10"/>
  <c r="ADG1507" i="10"/>
  <c r="ADG1500" i="10"/>
  <c r="ADG1505" i="10"/>
  <c r="ADG1510" i="10"/>
  <c r="ADG1496" i="10"/>
  <c r="ADG1509" i="10"/>
  <c r="ADG1493" i="10"/>
  <c r="ADG1494" i="10"/>
  <c r="ADG1508" i="10"/>
  <c r="ADG1497" i="10"/>
  <c r="ADG1495" i="10"/>
  <c r="ADG1499" i="10"/>
  <c r="ADG1506" i="10"/>
  <c r="ADG1498" i="10"/>
  <c r="ADG1491" i="10"/>
  <c r="ADG1492" i="10"/>
  <c r="GA1492" i="10"/>
  <c r="GA1491" i="10"/>
  <c r="GA1493" i="10"/>
  <c r="GA1494" i="10"/>
  <c r="GA1500" i="10"/>
  <c r="GA1495" i="10"/>
  <c r="GA1497" i="10"/>
  <c r="GA1496" i="10"/>
  <c r="GA1501" i="10"/>
  <c r="GA1499" i="10"/>
  <c r="GA1498" i="10"/>
  <c r="GA1505" i="10"/>
  <c r="GA1504" i="10"/>
  <c r="GA1509" i="10"/>
  <c r="GA1503" i="10"/>
  <c r="GA1508" i="10"/>
  <c r="GA1502" i="10"/>
  <c r="GA1506" i="10"/>
  <c r="GA1507" i="10"/>
  <c r="GA1510" i="10"/>
  <c r="ACD1525" i="10"/>
  <c r="ACD1518" i="10"/>
  <c r="ACD1528" i="10"/>
  <c r="ACD1515" i="10"/>
  <c r="ACD1527" i="10"/>
  <c r="ACD1520" i="10"/>
  <c r="ACD1524" i="10"/>
  <c r="ACD1523" i="10"/>
  <c r="ACD1533" i="10"/>
  <c r="ACD1530" i="10"/>
  <c r="ACD1517" i="10"/>
  <c r="ACD1519" i="10"/>
  <c r="ACD1529" i="10"/>
  <c r="ACD1514" i="10"/>
  <c r="ACD1516" i="10"/>
  <c r="ACD1531" i="10"/>
  <c r="ACD1532" i="10"/>
  <c r="ACD1526" i="10"/>
  <c r="ACD1521" i="10"/>
  <c r="ACD1522" i="10"/>
  <c r="LV1515" i="10"/>
  <c r="LV1516" i="10"/>
  <c r="LV1517" i="10"/>
  <c r="LV1514" i="10"/>
  <c r="LV1523" i="10"/>
  <c r="LV1522" i="10"/>
  <c r="LV1519" i="10"/>
  <c r="LV1520" i="10"/>
  <c r="LV1521" i="10"/>
  <c r="LV1525" i="10"/>
  <c r="LV1528" i="10"/>
  <c r="LV1526" i="10"/>
  <c r="LV1529" i="10"/>
  <c r="LV1518" i="10"/>
  <c r="LV1524" i="10"/>
  <c r="LV1531" i="10"/>
  <c r="LV1532" i="10"/>
  <c r="LV1527" i="10"/>
  <c r="LV1530" i="10"/>
  <c r="LV1533" i="10"/>
  <c r="TH1492" i="10"/>
  <c r="TH1491" i="10"/>
  <c r="TH1493" i="10"/>
  <c r="TH1494" i="10"/>
  <c r="TH1500" i="10"/>
  <c r="TH1495" i="10"/>
  <c r="TH1501" i="10"/>
  <c r="TH1496" i="10"/>
  <c r="TH1499" i="10"/>
  <c r="TH1497" i="10"/>
  <c r="TH1498" i="10"/>
  <c r="TH1505" i="10"/>
  <c r="TH1504" i="10"/>
  <c r="TH1503" i="10"/>
  <c r="TH1506" i="10"/>
  <c r="TH1508" i="10"/>
  <c r="TH1502" i="10"/>
  <c r="TH1509" i="10"/>
  <c r="TH1507" i="10"/>
  <c r="TH1510" i="10"/>
  <c r="IX1517" i="10"/>
  <c r="IX1514" i="10"/>
  <c r="IX1515" i="10"/>
  <c r="IX1516" i="10"/>
  <c r="IX1519" i="10"/>
  <c r="IX1518" i="10"/>
  <c r="IX1523" i="10"/>
  <c r="IX1521" i="10"/>
  <c r="IX1522" i="10"/>
  <c r="IX1524" i="10"/>
  <c r="IX1525" i="10"/>
  <c r="IX1520" i="10"/>
  <c r="IX1526" i="10"/>
  <c r="IX1528" i="10"/>
  <c r="IX1527" i="10"/>
  <c r="IX1533" i="10"/>
  <c r="IX1529" i="10"/>
  <c r="IX1531" i="10"/>
  <c r="IX1532" i="10"/>
  <c r="IX1530" i="10"/>
  <c r="OE1503" i="10"/>
  <c r="OE1502" i="10"/>
  <c r="OE1498" i="10"/>
  <c r="OE1508" i="10"/>
  <c r="OE1507" i="10"/>
  <c r="OE1500" i="10"/>
  <c r="OE1493" i="10"/>
  <c r="OE1494" i="10"/>
  <c r="OE1509" i="10"/>
  <c r="OE1499" i="10"/>
  <c r="OE1497" i="10"/>
  <c r="OE1510" i="10"/>
  <c r="OE1495" i="10"/>
  <c r="OE1501" i="10"/>
  <c r="OE1504" i="10"/>
  <c r="OE1496" i="10"/>
  <c r="OE1506" i="10"/>
  <c r="OE1505" i="10"/>
  <c r="OE1491" i="10"/>
  <c r="OE1492" i="10"/>
  <c r="EH1493" i="10"/>
  <c r="EH1492" i="10"/>
  <c r="EH1491" i="10"/>
  <c r="EH1494" i="10"/>
  <c r="EH1496" i="10"/>
  <c r="EH1497" i="10"/>
  <c r="EH1495" i="10"/>
  <c r="EH1498" i="10"/>
  <c r="EH1502" i="10"/>
  <c r="EH1499" i="10"/>
  <c r="EH1500" i="10"/>
  <c r="EH1508" i="10"/>
  <c r="EH1505" i="10"/>
  <c r="EH1506" i="10"/>
  <c r="EH1504" i="10"/>
  <c r="EH1503" i="10"/>
  <c r="EH1507" i="10"/>
  <c r="EH1510" i="10"/>
  <c r="EH1509" i="10"/>
  <c r="EH1501" i="10"/>
  <c r="VE1529" i="10"/>
  <c r="VE1530" i="10"/>
  <c r="VE1521" i="10"/>
  <c r="VE1524" i="10"/>
  <c r="VE1533" i="10"/>
  <c r="VE1520" i="10"/>
  <c r="VE1532" i="10"/>
  <c r="VE1515" i="10"/>
  <c r="VE1525" i="10"/>
  <c r="VE1519" i="10"/>
  <c r="VE1527" i="10"/>
  <c r="VE1531" i="10"/>
  <c r="VE1528" i="10"/>
  <c r="VE1518" i="10"/>
  <c r="VE1523" i="10"/>
  <c r="VE1514" i="10"/>
  <c r="VE1517" i="10"/>
  <c r="VE1516" i="10"/>
  <c r="VE1526" i="10"/>
  <c r="VE1522" i="10"/>
  <c r="AAQ1493" i="10"/>
  <c r="AAQ1492" i="10"/>
  <c r="AAQ1496" i="10"/>
  <c r="AAQ1498" i="10"/>
  <c r="AAQ1495" i="10"/>
  <c r="AAQ1497" i="10"/>
  <c r="AAQ1491" i="10"/>
  <c r="AAQ1494" i="10"/>
  <c r="AAQ1499" i="10"/>
  <c r="AAQ1500" i="10"/>
  <c r="AAQ1502" i="10"/>
  <c r="AAQ1507" i="10"/>
  <c r="AAQ1505" i="10"/>
  <c r="AAQ1503" i="10"/>
  <c r="AAQ1506" i="10"/>
  <c r="AAQ1508" i="10"/>
  <c r="AAQ1504" i="10"/>
  <c r="AAQ1509" i="10"/>
  <c r="AAQ1510" i="10"/>
  <c r="AAQ1501" i="10"/>
  <c r="FL1516" i="10"/>
  <c r="FL1514" i="10"/>
  <c r="FL1518" i="10"/>
  <c r="FL1515" i="10"/>
  <c r="FL1517" i="10"/>
  <c r="FL1520" i="10"/>
  <c r="FL1519" i="10"/>
  <c r="FL1523" i="10"/>
  <c r="FL1521" i="10"/>
  <c r="FL1522" i="10"/>
  <c r="FL1524" i="10"/>
  <c r="FL1525" i="10"/>
  <c r="FL1527" i="10"/>
  <c r="FL1528" i="10"/>
  <c r="FL1526" i="10"/>
  <c r="FL1533" i="10"/>
  <c r="FL1529" i="10"/>
  <c r="FL1530" i="10"/>
  <c r="FL1531" i="10"/>
  <c r="FL1532" i="10"/>
  <c r="TN1493" i="10"/>
  <c r="TN1496" i="10"/>
  <c r="TN1498" i="10"/>
  <c r="TN1495" i="10"/>
  <c r="TN1497" i="10"/>
  <c r="TN1492" i="10"/>
  <c r="TN1491" i="10"/>
  <c r="TN1494" i="10"/>
  <c r="TN1500" i="10"/>
  <c r="TN1501" i="10"/>
  <c r="TN1499" i="10"/>
  <c r="TN1508" i="10"/>
  <c r="TN1509" i="10"/>
  <c r="TN1502" i="10"/>
  <c r="TN1507" i="10"/>
  <c r="TN1504" i="10"/>
  <c r="TN1503" i="10"/>
  <c r="TN1506" i="10"/>
  <c r="TN1505" i="10"/>
  <c r="TN1510" i="10"/>
  <c r="IQ1514" i="10"/>
  <c r="IQ1516" i="10"/>
  <c r="IQ1518" i="10"/>
  <c r="IQ1520" i="10"/>
  <c r="IQ1515" i="10"/>
  <c r="IQ1517" i="10"/>
  <c r="IQ1519" i="10"/>
  <c r="IQ1521" i="10"/>
  <c r="IQ1522" i="10"/>
  <c r="IQ1524" i="10"/>
  <c r="IQ1525" i="10"/>
  <c r="IQ1523" i="10"/>
  <c r="IQ1527" i="10"/>
  <c r="IQ1528" i="10"/>
  <c r="IQ1526" i="10"/>
  <c r="IQ1530" i="10"/>
  <c r="IQ1529" i="10"/>
  <c r="IQ1533" i="10"/>
  <c r="IQ1532" i="10"/>
  <c r="IQ1531" i="10"/>
  <c r="QD1492" i="10"/>
  <c r="QD1491" i="10"/>
  <c r="QD1495" i="10"/>
  <c r="QD1497" i="10"/>
  <c r="QD1493" i="10"/>
  <c r="QD1496" i="10"/>
  <c r="QD1498" i="10"/>
  <c r="QD1500" i="10"/>
  <c r="QD1494" i="10"/>
  <c r="QD1501" i="10"/>
  <c r="QD1499" i="10"/>
  <c r="QD1509" i="10"/>
  <c r="QD1507" i="10"/>
  <c r="QD1505" i="10"/>
  <c r="QD1504" i="10"/>
  <c r="QD1502" i="10"/>
  <c r="QD1508" i="10"/>
  <c r="QD1503" i="10"/>
  <c r="QD1510" i="10"/>
  <c r="QD1506" i="10"/>
  <c r="KO1495" i="10"/>
  <c r="KO1496" i="10"/>
  <c r="KO1493" i="10"/>
  <c r="KO1494" i="10"/>
  <c r="KO1501" i="10"/>
  <c r="KO1504" i="10"/>
  <c r="KO1507" i="10"/>
  <c r="KO1499" i="10"/>
  <c r="KO1502" i="10"/>
  <c r="KO1508" i="10"/>
  <c r="KO1491" i="10"/>
  <c r="KO1500" i="10"/>
  <c r="KO1509" i="10"/>
  <c r="KO1492" i="10"/>
  <c r="KO1503" i="10"/>
  <c r="KO1506" i="10"/>
  <c r="KO1510" i="10"/>
  <c r="KO1505" i="10"/>
  <c r="KO1498" i="10"/>
  <c r="KO1497" i="10"/>
  <c r="AFI1526" i="10"/>
  <c r="AFI1533" i="10"/>
  <c r="AFI1522" i="10"/>
  <c r="AFI1514" i="10"/>
  <c r="AFI1524" i="10"/>
  <c r="AFI1515" i="10"/>
  <c r="AFI1531" i="10"/>
  <c r="AFI1517" i="10"/>
  <c r="AFI1528" i="10"/>
  <c r="AFI1523" i="10"/>
  <c r="AFI1525" i="10"/>
  <c r="AFI1529" i="10"/>
  <c r="AFI1516" i="10"/>
  <c r="AFI1520" i="10"/>
  <c r="AFI1521" i="10"/>
  <c r="AFI1530" i="10"/>
  <c r="AFI1519" i="10"/>
  <c r="AFI1518" i="10"/>
  <c r="AFI1532" i="10"/>
  <c r="AFI1527" i="10"/>
  <c r="JE1516" i="10"/>
  <c r="JE1515" i="10"/>
  <c r="JE1518" i="10"/>
  <c r="JE1514" i="10"/>
  <c r="JE1517" i="10"/>
  <c r="JE1519" i="10"/>
  <c r="JE1521" i="10"/>
  <c r="JE1522" i="10"/>
  <c r="JE1524" i="10"/>
  <c r="JE1520" i="10"/>
  <c r="JE1523" i="10"/>
  <c r="JE1529" i="10"/>
  <c r="JE1525" i="10"/>
  <c r="JE1526" i="10"/>
  <c r="JE1528" i="10"/>
  <c r="JE1530" i="10"/>
  <c r="JE1527" i="10"/>
  <c r="JE1533" i="10"/>
  <c r="JE1531" i="10"/>
  <c r="JE1532" i="10"/>
  <c r="QT1492" i="10"/>
  <c r="QT1491" i="10"/>
  <c r="QT1493" i="10"/>
  <c r="QT1494" i="10"/>
  <c r="QT1499" i="10"/>
  <c r="QT1496" i="10"/>
  <c r="QT1498" i="10"/>
  <c r="QT1497" i="10"/>
  <c r="QT1501" i="10"/>
  <c r="QT1504" i="10"/>
  <c r="QT1503" i="10"/>
  <c r="QT1506" i="10"/>
  <c r="QT1508" i="10"/>
  <c r="QT1495" i="10"/>
  <c r="QT1502" i="10"/>
  <c r="QT1509" i="10"/>
  <c r="QT1505" i="10"/>
  <c r="QT1500" i="10"/>
  <c r="QT1507" i="10"/>
  <c r="QT1510" i="10"/>
  <c r="LP1493" i="10"/>
  <c r="LP1492" i="10"/>
  <c r="LP1491" i="10"/>
  <c r="LP1495" i="10"/>
  <c r="LP1497" i="10"/>
  <c r="LP1496" i="10"/>
  <c r="LP1498" i="10"/>
  <c r="LP1501" i="10"/>
  <c r="LP1494" i="10"/>
  <c r="LP1499" i="10"/>
  <c r="LP1509" i="10"/>
  <c r="LP1507" i="10"/>
  <c r="LP1505" i="10"/>
  <c r="LP1504" i="10"/>
  <c r="LP1500" i="10"/>
  <c r="LP1508" i="10"/>
  <c r="LP1506" i="10"/>
  <c r="LP1502" i="10"/>
  <c r="LP1503" i="10"/>
  <c r="LP1510" i="10"/>
  <c r="CT1518" i="10"/>
  <c r="CT1514" i="10"/>
  <c r="CT1515" i="10"/>
  <c r="CT1516" i="10"/>
  <c r="CT1517" i="10"/>
  <c r="CT1520" i="10"/>
  <c r="CT1519" i="10"/>
  <c r="CT1525" i="10"/>
  <c r="CT1522" i="10"/>
  <c r="CT1523" i="10"/>
  <c r="CT1524" i="10"/>
  <c r="CT1529" i="10"/>
  <c r="CT1527" i="10"/>
  <c r="CT1528" i="10"/>
  <c r="CT1532" i="10"/>
  <c r="CT1526" i="10"/>
  <c r="CT1531" i="10"/>
  <c r="CT1533" i="10"/>
  <c r="CT1530" i="10"/>
  <c r="CT1521" i="10"/>
  <c r="KG1494" i="10"/>
  <c r="KG1507" i="10"/>
  <c r="KG1492" i="10"/>
  <c r="KG1491" i="10"/>
  <c r="KG1496" i="10"/>
  <c r="KG1509" i="10"/>
  <c r="KG1497" i="10"/>
  <c r="KG1510" i="10"/>
  <c r="KG1495" i="10"/>
  <c r="KG1508" i="10"/>
  <c r="KG1493" i="10"/>
  <c r="KG1498" i="10"/>
  <c r="KG1499" i="10"/>
  <c r="KG1500" i="10"/>
  <c r="KG1502" i="10"/>
  <c r="KG1503" i="10"/>
  <c r="KG1506" i="10"/>
  <c r="KG1501" i="10"/>
  <c r="KG1504" i="10"/>
  <c r="KG1505" i="10"/>
  <c r="AFD1529" i="10"/>
  <c r="AFD1517" i="10"/>
  <c r="AFD1526" i="10"/>
  <c r="AFD1515" i="10"/>
  <c r="AFD1531" i="10"/>
  <c r="AFD1530" i="10"/>
  <c r="AFD1528" i="10"/>
  <c r="AFD1520" i="10"/>
  <c r="AFD1518" i="10"/>
  <c r="AFD1527" i="10"/>
  <c r="AFD1521" i="10"/>
  <c r="AFD1533" i="10"/>
  <c r="AFD1516" i="10"/>
  <c r="AFD1522" i="10"/>
  <c r="AFD1532" i="10"/>
  <c r="AFD1514" i="10"/>
  <c r="AFD1519" i="10"/>
  <c r="AFD1523" i="10"/>
  <c r="AFD1524" i="10"/>
  <c r="AFD1525" i="10"/>
  <c r="EU1493" i="10"/>
  <c r="EU1492" i="10"/>
  <c r="EU1491" i="10"/>
  <c r="EU1495" i="10"/>
  <c r="EU1497" i="10"/>
  <c r="EU1498" i="10"/>
  <c r="EU1496" i="10"/>
  <c r="EU1501" i="10"/>
  <c r="EU1494" i="10"/>
  <c r="EU1500" i="10"/>
  <c r="EU1509" i="10"/>
  <c r="EU1499" i="10"/>
  <c r="EU1505" i="10"/>
  <c r="EU1508" i="10"/>
  <c r="EU1502" i="10"/>
  <c r="EU1504" i="10"/>
  <c r="EU1507" i="10"/>
  <c r="EU1503" i="10"/>
  <c r="EU1510" i="10"/>
  <c r="EU1506" i="10"/>
  <c r="ABB1517" i="10"/>
  <c r="ABB1515" i="10"/>
  <c r="ABB1524" i="10"/>
  <c r="ABB1522" i="10"/>
  <c r="ABB1528" i="10"/>
  <c r="ABB1523" i="10"/>
  <c r="ABB1518" i="10"/>
  <c r="ABB1521" i="10"/>
  <c r="ABB1525" i="10"/>
  <c r="ABB1527" i="10"/>
  <c r="ABB1531" i="10"/>
  <c r="ABB1526" i="10"/>
  <c r="ABB1529" i="10"/>
  <c r="ABB1532" i="10"/>
  <c r="ABB1533" i="10"/>
  <c r="ABB1530" i="10"/>
  <c r="ABB1520" i="10"/>
  <c r="ABB1514" i="10"/>
  <c r="ABB1516" i="10"/>
  <c r="ABB1519" i="10"/>
  <c r="AGL1491" i="10"/>
  <c r="AGL1492" i="10"/>
  <c r="AGL1493" i="10"/>
  <c r="AGL1499" i="10"/>
  <c r="AGL1494" i="10"/>
  <c r="AGL1500" i="10"/>
  <c r="AGL1495" i="10"/>
  <c r="AGL1497" i="10"/>
  <c r="AGL1498" i="10"/>
  <c r="AGL1496" i="10"/>
  <c r="AGL1505" i="10"/>
  <c r="AGL1501" i="10"/>
  <c r="AGL1504" i="10"/>
  <c r="AGL1503" i="10"/>
  <c r="AGL1506" i="10"/>
  <c r="AGL1502" i="10"/>
  <c r="AGL1508" i="10"/>
  <c r="AGL1507" i="10"/>
  <c r="AGL1510" i="10"/>
  <c r="AGL1509" i="10"/>
  <c r="ABC1491" i="10"/>
  <c r="ABC1503" i="10"/>
  <c r="ABC1493" i="10"/>
  <c r="ABC1505" i="10"/>
  <c r="ABC1495" i="10"/>
  <c r="ABC1494" i="10"/>
  <c r="ABC1501" i="10"/>
  <c r="ABC1497" i="10"/>
  <c r="ABC1499" i="10"/>
  <c r="ABC1496" i="10"/>
  <c r="ABC1507" i="10"/>
  <c r="ABC1492" i="10"/>
  <c r="ABC1506" i="10"/>
  <c r="ABC1508" i="10"/>
  <c r="ABC1502" i="10"/>
  <c r="ABC1509" i="10"/>
  <c r="ABC1510" i="10"/>
  <c r="ABC1504" i="10"/>
  <c r="ABC1500" i="10"/>
  <c r="ABC1498" i="10"/>
  <c r="IC1517" i="10"/>
  <c r="IC1515" i="10"/>
  <c r="IC1516" i="10"/>
  <c r="IC1514" i="10"/>
  <c r="IC1520" i="10"/>
  <c r="IC1518" i="10"/>
  <c r="IC1519" i="10"/>
  <c r="IC1523" i="10"/>
  <c r="IC1521" i="10"/>
  <c r="IC1522" i="10"/>
  <c r="IC1524" i="10"/>
  <c r="IC1525" i="10"/>
  <c r="IC1526" i="10"/>
  <c r="IC1528" i="10"/>
  <c r="IC1533" i="10"/>
  <c r="IC1531" i="10"/>
  <c r="IC1532" i="10"/>
  <c r="IC1530" i="10"/>
  <c r="IC1529" i="10"/>
  <c r="IC1527" i="10"/>
  <c r="EQ1498" i="10"/>
  <c r="EQ1508" i="10"/>
  <c r="EQ1506" i="10"/>
  <c r="EQ1507" i="10"/>
  <c r="EQ1510" i="10"/>
  <c r="EQ1509" i="10"/>
  <c r="EQ1491" i="10"/>
  <c r="EQ1500" i="10"/>
  <c r="EQ1501" i="10"/>
  <c r="EQ1504" i="10"/>
  <c r="EQ1496" i="10"/>
  <c r="EQ1499" i="10"/>
  <c r="EQ1503" i="10"/>
  <c r="EQ1494" i="10"/>
  <c r="EQ1505" i="10"/>
  <c r="EQ1502" i="10"/>
  <c r="EQ1493" i="10"/>
  <c r="EQ1497" i="10"/>
  <c r="EQ1492" i="10"/>
  <c r="EQ1495" i="10"/>
  <c r="VN1532" i="10"/>
  <c r="VN1519" i="10"/>
  <c r="VN1521" i="10"/>
  <c r="VN1514" i="10"/>
  <c r="VN1520" i="10"/>
  <c r="VN1518" i="10"/>
  <c r="VN1531" i="10"/>
  <c r="VN1522" i="10"/>
  <c r="VN1526" i="10"/>
  <c r="VN1524" i="10"/>
  <c r="VN1525" i="10"/>
  <c r="VN1516" i="10"/>
  <c r="VN1533" i="10"/>
  <c r="VN1527" i="10"/>
  <c r="VN1528" i="10"/>
  <c r="VN1517" i="10"/>
  <c r="VN1529" i="10"/>
  <c r="VN1515" i="10"/>
  <c r="VN1530" i="10"/>
  <c r="VN1523" i="10"/>
  <c r="FU1493" i="10"/>
  <c r="FU1491" i="10"/>
  <c r="FU1499" i="10"/>
  <c r="FU1496" i="10"/>
  <c r="FU1495" i="10"/>
  <c r="FU1497" i="10"/>
  <c r="FU1492" i="10"/>
  <c r="FU1494" i="10"/>
  <c r="FU1498" i="10"/>
  <c r="FU1500" i="10"/>
  <c r="FU1502" i="10"/>
  <c r="FU1501" i="10"/>
  <c r="FU1508" i="10"/>
  <c r="FU1506" i="10"/>
  <c r="FU1507" i="10"/>
  <c r="FU1504" i="10"/>
  <c r="FU1503" i="10"/>
  <c r="FU1510" i="10"/>
  <c r="FU1509" i="10"/>
  <c r="FU1505" i="10"/>
  <c r="OG1514" i="10"/>
  <c r="OG1516" i="10"/>
  <c r="OG1519" i="10"/>
  <c r="OG1517" i="10"/>
  <c r="OG1524" i="10"/>
  <c r="OG1518" i="10"/>
  <c r="OG1521" i="10"/>
  <c r="OG1520" i="10"/>
  <c r="OG1522" i="10"/>
  <c r="OG1525" i="10"/>
  <c r="OG1527" i="10"/>
  <c r="OG1515" i="10"/>
  <c r="OG1529" i="10"/>
  <c r="OG1530" i="10"/>
  <c r="OG1523" i="10"/>
  <c r="OG1526" i="10"/>
  <c r="OG1528" i="10"/>
  <c r="OG1531" i="10"/>
  <c r="OG1532" i="10"/>
  <c r="OG1533" i="10"/>
  <c r="TW1493" i="10"/>
  <c r="TW1492" i="10"/>
  <c r="TW1496" i="10"/>
  <c r="TW1498" i="10"/>
  <c r="TW1495" i="10"/>
  <c r="TW1497" i="10"/>
  <c r="TW1494" i="10"/>
  <c r="TW1491" i="10"/>
  <c r="TW1499" i="10"/>
  <c r="TW1501" i="10"/>
  <c r="TW1500" i="10"/>
  <c r="TW1507" i="10"/>
  <c r="TW1502" i="10"/>
  <c r="TW1505" i="10"/>
  <c r="TW1503" i="10"/>
  <c r="TW1506" i="10"/>
  <c r="TW1508" i="10"/>
  <c r="TW1504" i="10"/>
  <c r="TW1509" i="10"/>
  <c r="TW1510" i="10"/>
  <c r="ABY1492" i="10"/>
  <c r="ABY1491" i="10"/>
  <c r="ABY1496" i="10"/>
  <c r="ABY1495" i="10"/>
  <c r="ABY1497" i="10"/>
  <c r="ABY1501" i="10"/>
  <c r="ABY1498" i="10"/>
  <c r="ABY1493" i="10"/>
  <c r="ABY1494" i="10"/>
  <c r="ABY1507" i="10"/>
  <c r="ABY1505" i="10"/>
  <c r="ABY1504" i="10"/>
  <c r="ABY1503" i="10"/>
  <c r="ABY1506" i="10"/>
  <c r="ABY1499" i="10"/>
  <c r="ABY1500" i="10"/>
  <c r="ABY1502" i="10"/>
  <c r="ABY1509" i="10"/>
  <c r="ABY1508" i="10"/>
  <c r="ABY1510" i="10"/>
  <c r="QO1493" i="10"/>
  <c r="QO1492" i="10"/>
  <c r="QO1496" i="10"/>
  <c r="QO1498" i="10"/>
  <c r="QO1495" i="10"/>
  <c r="QO1497" i="10"/>
  <c r="QO1491" i="10"/>
  <c r="QO1494" i="10"/>
  <c r="QO1499" i="10"/>
  <c r="QO1501" i="10"/>
  <c r="QO1500" i="10"/>
  <c r="QO1502" i="10"/>
  <c r="QO1507" i="10"/>
  <c r="QO1505" i="10"/>
  <c r="QO1503" i="10"/>
  <c r="QO1506" i="10"/>
  <c r="QO1508" i="10"/>
  <c r="QO1510" i="10"/>
  <c r="QO1509" i="10"/>
  <c r="QO1504" i="10"/>
  <c r="ABN1533" i="10"/>
  <c r="ABN1515" i="10"/>
  <c r="ABN1519" i="10"/>
  <c r="ABN1531" i="10"/>
  <c r="ABN1522" i="10"/>
  <c r="ABN1518" i="10"/>
  <c r="ABN1525" i="10"/>
  <c r="ABN1524" i="10"/>
  <c r="ABN1532" i="10"/>
  <c r="ABN1528" i="10"/>
  <c r="ABN1514" i="10"/>
  <c r="ABN1530" i="10"/>
  <c r="ABN1523" i="10"/>
  <c r="ABN1516" i="10"/>
  <c r="ABN1520" i="10"/>
  <c r="ABN1526" i="10"/>
  <c r="ABN1521" i="10"/>
  <c r="ABN1527" i="10"/>
  <c r="ABN1529" i="10"/>
  <c r="ABN1517" i="10"/>
  <c r="DN1516" i="10"/>
  <c r="DN1514" i="10"/>
  <c r="DN1518" i="10"/>
  <c r="DN1517" i="10"/>
  <c r="DN1515" i="10"/>
  <c r="DN1520" i="10"/>
  <c r="DN1525" i="10"/>
  <c r="DN1521" i="10"/>
  <c r="DN1524" i="10"/>
  <c r="DN1529" i="10"/>
  <c r="DN1522" i="10"/>
  <c r="DN1527" i="10"/>
  <c r="DN1523" i="10"/>
  <c r="DN1532" i="10"/>
  <c r="DN1531" i="10"/>
  <c r="DN1519" i="10"/>
  <c r="DN1528" i="10"/>
  <c r="DN1526" i="10"/>
  <c r="DN1533" i="10"/>
  <c r="DN1530" i="10"/>
  <c r="LA1497" i="10"/>
  <c r="LA1503" i="10"/>
  <c r="LA1506" i="10"/>
  <c r="LA1494" i="10"/>
  <c r="LA1492" i="10"/>
  <c r="LA1500" i="10"/>
  <c r="LA1493" i="10"/>
  <c r="LA1510" i="10"/>
  <c r="LA1498" i="10"/>
  <c r="LA1501" i="10"/>
  <c r="LA1504" i="10"/>
  <c r="LA1507" i="10"/>
  <c r="LA1491" i="10"/>
  <c r="LA1496" i="10"/>
  <c r="LA1505" i="10"/>
  <c r="LA1509" i="10"/>
  <c r="LA1508" i="10"/>
  <c r="LA1499" i="10"/>
  <c r="LA1502" i="10"/>
  <c r="LA1495" i="10"/>
  <c r="AFQ1519" i="10"/>
  <c r="AFQ1527" i="10"/>
  <c r="AFQ1526" i="10"/>
  <c r="AFQ1525" i="10"/>
  <c r="AFQ1517" i="10"/>
  <c r="AFQ1524" i="10"/>
  <c r="AFQ1528" i="10"/>
  <c r="AFQ1533" i="10"/>
  <c r="AFQ1521" i="10"/>
  <c r="AFQ1514" i="10"/>
  <c r="AFQ1529" i="10"/>
  <c r="AFQ1531" i="10"/>
  <c r="AFQ1518" i="10"/>
  <c r="AFQ1520" i="10"/>
  <c r="AFQ1516" i="10"/>
  <c r="AFQ1523" i="10"/>
  <c r="AFQ1522" i="10"/>
  <c r="AFQ1530" i="10"/>
  <c r="AFQ1515" i="10"/>
  <c r="AFQ1532" i="10"/>
  <c r="FY1514" i="10"/>
  <c r="FY1515" i="10"/>
  <c r="FY1516" i="10"/>
  <c r="FY1523" i="10"/>
  <c r="FY1520" i="10"/>
  <c r="FY1521" i="10"/>
  <c r="FY1522" i="10"/>
  <c r="FY1519" i="10"/>
  <c r="FY1517" i="10"/>
  <c r="FY1528" i="10"/>
  <c r="FY1518" i="10"/>
  <c r="FY1529" i="10"/>
  <c r="FY1526" i="10"/>
  <c r="FY1525" i="10"/>
  <c r="FY1531" i="10"/>
  <c r="FY1530" i="10"/>
  <c r="FY1527" i="10"/>
  <c r="FY1524" i="10"/>
  <c r="FY1532" i="10"/>
  <c r="FY1533" i="10"/>
  <c r="ACB1523" i="10"/>
  <c r="ACB1529" i="10"/>
  <c r="ACB1531" i="10"/>
  <c r="ACB1528" i="10"/>
  <c r="ACB1524" i="10"/>
  <c r="ACB1514" i="10"/>
  <c r="ACB1521" i="10"/>
  <c r="ACB1517" i="10"/>
  <c r="ACB1526" i="10"/>
  <c r="ACB1520" i="10"/>
  <c r="ACB1527" i="10"/>
  <c r="ACB1515" i="10"/>
  <c r="ACB1516" i="10"/>
  <c r="ACB1522" i="10"/>
  <c r="ACB1533" i="10"/>
  <c r="ACB1519" i="10"/>
  <c r="ACB1532" i="10"/>
  <c r="ACB1518" i="10"/>
  <c r="ACB1525" i="10"/>
  <c r="ACB1530" i="10"/>
  <c r="AV1491" i="10"/>
  <c r="AV1492" i="10"/>
  <c r="AV1494" i="10"/>
  <c r="AV1497" i="10"/>
  <c r="AV1499" i="10"/>
  <c r="AV1496" i="10"/>
  <c r="AV1498" i="10"/>
  <c r="AV1495" i="10"/>
  <c r="AV1493" i="10"/>
  <c r="AV1502" i="10"/>
  <c r="AV1500" i="10"/>
  <c r="AV1501" i="10"/>
  <c r="AV1503" i="10"/>
  <c r="AV1509" i="10"/>
  <c r="AV1510" i="10"/>
  <c r="AV1508" i="10"/>
  <c r="AV1505" i="10"/>
  <c r="AV1504" i="10"/>
  <c r="AV1507" i="10"/>
  <c r="AV1506" i="10"/>
  <c r="XI1523" i="10"/>
  <c r="XI1528" i="10"/>
  <c r="XI1531" i="10"/>
  <c r="XI1522" i="10"/>
  <c r="XI1529" i="10"/>
  <c r="XI1524" i="10"/>
  <c r="XI1516" i="10"/>
  <c r="XI1530" i="10"/>
  <c r="XI1515" i="10"/>
  <c r="XI1517" i="10"/>
  <c r="XI1518" i="10"/>
  <c r="XI1525" i="10"/>
  <c r="XI1520" i="10"/>
  <c r="XI1526" i="10"/>
  <c r="XI1527" i="10"/>
  <c r="XI1519" i="10"/>
  <c r="XI1521" i="10"/>
  <c r="XI1532" i="10"/>
  <c r="XI1514" i="10"/>
  <c r="XI1533" i="10"/>
  <c r="AGI1517" i="10"/>
  <c r="AGI1520" i="10"/>
  <c r="AGI1531" i="10"/>
  <c r="AGI1518" i="10"/>
  <c r="AGI1524" i="10"/>
  <c r="AGI1523" i="10"/>
  <c r="AGI1526" i="10"/>
  <c r="AGI1528" i="10"/>
  <c r="AGI1529" i="10"/>
  <c r="AGI1516" i="10"/>
  <c r="AGI1532" i="10"/>
  <c r="AGI1515" i="10"/>
  <c r="AGI1519" i="10"/>
  <c r="AGI1527" i="10"/>
  <c r="AGI1521" i="10"/>
  <c r="AGI1525" i="10"/>
  <c r="AGI1533" i="10"/>
  <c r="AGI1514" i="10"/>
  <c r="AGI1530" i="10"/>
  <c r="AGI1522" i="10"/>
  <c r="KT1528" i="10"/>
  <c r="KT1532" i="10"/>
  <c r="KT1525" i="10"/>
  <c r="KT1515" i="10"/>
  <c r="KT1530" i="10"/>
  <c r="KT1526" i="10"/>
  <c r="KT1523" i="10"/>
  <c r="KT1518" i="10"/>
  <c r="KT1533" i="10"/>
  <c r="KT1521" i="10"/>
  <c r="KT1524" i="10"/>
  <c r="KT1516" i="10"/>
  <c r="KT1514" i="10"/>
  <c r="KT1517" i="10"/>
  <c r="KT1527" i="10"/>
  <c r="KT1520" i="10"/>
  <c r="KT1519" i="10"/>
  <c r="KT1529" i="10"/>
  <c r="KT1531" i="10"/>
  <c r="KT1522" i="10"/>
  <c r="SG1493" i="10"/>
  <c r="SG1492" i="10"/>
  <c r="SG1496" i="10"/>
  <c r="SG1498" i="10"/>
  <c r="SG1495" i="10"/>
  <c r="SG1497" i="10"/>
  <c r="SG1494" i="10"/>
  <c r="SG1499" i="10"/>
  <c r="SG1501" i="10"/>
  <c r="SG1491" i="10"/>
  <c r="SG1500" i="10"/>
  <c r="SG1507" i="10"/>
  <c r="SG1505" i="10"/>
  <c r="SG1502" i="10"/>
  <c r="SG1503" i="10"/>
  <c r="SG1506" i="10"/>
  <c r="SG1508" i="10"/>
  <c r="SG1504" i="10"/>
  <c r="SG1510" i="10"/>
  <c r="SG1509" i="10"/>
  <c r="FF1517" i="10"/>
  <c r="FF1516" i="10"/>
  <c r="FF1520" i="10"/>
  <c r="FF1519" i="10"/>
  <c r="FF1515" i="10"/>
  <c r="FF1518" i="10"/>
  <c r="FF1524" i="10"/>
  <c r="FF1521" i="10"/>
  <c r="FF1522" i="10"/>
  <c r="FF1525" i="10"/>
  <c r="FF1526" i="10"/>
  <c r="FF1528" i="10"/>
  <c r="FF1514" i="10"/>
  <c r="FF1531" i="10"/>
  <c r="FF1523" i="10"/>
  <c r="FF1527" i="10"/>
  <c r="FF1529" i="10"/>
  <c r="FF1530" i="10"/>
  <c r="FF1532" i="10"/>
  <c r="FF1533" i="10"/>
  <c r="MS1491" i="10"/>
  <c r="MS1493" i="10"/>
  <c r="MS1492" i="10"/>
  <c r="MS1494" i="10"/>
  <c r="MS1499" i="10"/>
  <c r="MS1498" i="10"/>
  <c r="MS1497" i="10"/>
  <c r="MS1495" i="10"/>
  <c r="MS1501" i="10"/>
  <c r="MS1505" i="10"/>
  <c r="MS1502" i="10"/>
  <c r="MS1504" i="10"/>
  <c r="MS1500" i="10"/>
  <c r="MS1503" i="10"/>
  <c r="MS1506" i="10"/>
  <c r="MS1508" i="10"/>
  <c r="MS1496" i="10"/>
  <c r="MS1507" i="10"/>
  <c r="MS1510" i="10"/>
  <c r="MS1509" i="10"/>
  <c r="ADY1522" i="10"/>
  <c r="ADY1520" i="10"/>
  <c r="ADY1521" i="10"/>
  <c r="ADY1523" i="10"/>
  <c r="ADY1524" i="10"/>
  <c r="ADY1528" i="10"/>
  <c r="ADY1527" i="10"/>
  <c r="ADY1525" i="10"/>
  <c r="ADY1529" i="10"/>
  <c r="ADY1530" i="10"/>
  <c r="ADY1526" i="10"/>
  <c r="ADY1532" i="10"/>
  <c r="ADY1533" i="10"/>
  <c r="ADY1531" i="10"/>
  <c r="ADY1515" i="10"/>
  <c r="ADY1516" i="10"/>
  <c r="ADY1519" i="10"/>
  <c r="ADY1517" i="10"/>
  <c r="ADY1514" i="10"/>
  <c r="ADY1518" i="10"/>
  <c r="AY1492" i="10"/>
  <c r="AY1491" i="10"/>
  <c r="AY1493" i="10"/>
  <c r="AY1494" i="10"/>
  <c r="AY1500" i="10"/>
  <c r="AY1495" i="10"/>
  <c r="AY1497" i="10"/>
  <c r="AY1501" i="10"/>
  <c r="AY1498" i="10"/>
  <c r="AY1499" i="10"/>
  <c r="AY1496" i="10"/>
  <c r="AY1506" i="10"/>
  <c r="AY1502" i="10"/>
  <c r="AY1505" i="10"/>
  <c r="AY1504" i="10"/>
  <c r="AY1507" i="10"/>
  <c r="AY1503" i="10"/>
  <c r="AY1509" i="10"/>
  <c r="AY1508" i="10"/>
  <c r="AY1510" i="10"/>
  <c r="ADK1526" i="10"/>
  <c r="ADK1533" i="10"/>
  <c r="ADK1523" i="10"/>
  <c r="ADK1531" i="10"/>
  <c r="ADK1516" i="10"/>
  <c r="ADK1525" i="10"/>
  <c r="ADK1515" i="10"/>
  <c r="ADK1528" i="10"/>
  <c r="ADK1517" i="10"/>
  <c r="ADK1520" i="10"/>
  <c r="ADK1524" i="10"/>
  <c r="ADK1514" i="10"/>
  <c r="ADK1521" i="10"/>
  <c r="ADK1519" i="10"/>
  <c r="ADK1532" i="10"/>
  <c r="ADK1518" i="10"/>
  <c r="ADK1530" i="10"/>
  <c r="ADK1522" i="10"/>
  <c r="ADK1527" i="10"/>
  <c r="ADK1529" i="10"/>
  <c r="S1491" i="10"/>
  <c r="S1493" i="10"/>
  <c r="S1494" i="10"/>
  <c r="S1492" i="10"/>
  <c r="S1497" i="10"/>
  <c r="S1499" i="10"/>
  <c r="S1496" i="10"/>
  <c r="S1498" i="10"/>
  <c r="S1495" i="10"/>
  <c r="S1500" i="10"/>
  <c r="S1502" i="10"/>
  <c r="S1503" i="10"/>
  <c r="S1509" i="10"/>
  <c r="S1501" i="10"/>
  <c r="S1510" i="10"/>
  <c r="S1508" i="10"/>
  <c r="S1505" i="10"/>
  <c r="S1504" i="10"/>
  <c r="S1507" i="10"/>
  <c r="S1506" i="10"/>
  <c r="QG1533" i="10"/>
  <c r="QG1523" i="10"/>
  <c r="QG1525" i="10"/>
  <c r="QG1529" i="10"/>
  <c r="QG1518" i="10"/>
  <c r="QG1530" i="10"/>
  <c r="QG1520" i="10"/>
  <c r="QG1528" i="10"/>
  <c r="QG1532" i="10"/>
  <c r="QG1522" i="10"/>
  <c r="QG1526" i="10"/>
  <c r="QG1527" i="10"/>
  <c r="QG1514" i="10"/>
  <c r="QG1531" i="10"/>
  <c r="QG1516" i="10"/>
  <c r="QG1517" i="10"/>
  <c r="QG1519" i="10"/>
  <c r="QG1521" i="10"/>
  <c r="QG1515" i="10"/>
  <c r="QG1524" i="10"/>
  <c r="IY1518" i="10"/>
  <c r="IY1514" i="10"/>
  <c r="IY1515" i="10"/>
  <c r="IY1516" i="10"/>
  <c r="IY1519" i="10"/>
  <c r="IY1517" i="10"/>
  <c r="IY1523" i="10"/>
  <c r="IY1520" i="10"/>
  <c r="IY1522" i="10"/>
  <c r="IY1527" i="10"/>
  <c r="IY1526" i="10"/>
  <c r="IY1524" i="10"/>
  <c r="IY1525" i="10"/>
  <c r="IY1528" i="10"/>
  <c r="IY1521" i="10"/>
  <c r="IY1533" i="10"/>
  <c r="IY1529" i="10"/>
  <c r="IY1531" i="10"/>
  <c r="IY1532" i="10"/>
  <c r="IY1530" i="10"/>
  <c r="OP1493" i="10"/>
  <c r="OP1491" i="10"/>
  <c r="OP1496" i="10"/>
  <c r="OP1498" i="10"/>
  <c r="OP1495" i="10"/>
  <c r="OP1497" i="10"/>
  <c r="OP1492" i="10"/>
  <c r="OP1494" i="10"/>
  <c r="OP1500" i="10"/>
  <c r="OP1501" i="10"/>
  <c r="OP1499" i="10"/>
  <c r="OP1508" i="10"/>
  <c r="OP1509" i="10"/>
  <c r="OP1502" i="10"/>
  <c r="OP1507" i="10"/>
  <c r="OP1504" i="10"/>
  <c r="OP1503" i="10"/>
  <c r="OP1506" i="10"/>
  <c r="OP1505" i="10"/>
  <c r="OP1510" i="10"/>
  <c r="JN1493" i="10"/>
  <c r="JN1492" i="10"/>
  <c r="JN1496" i="10"/>
  <c r="JN1498" i="10"/>
  <c r="JN1495" i="10"/>
  <c r="JN1497" i="10"/>
  <c r="JN1494" i="10"/>
  <c r="JN1500" i="10"/>
  <c r="JN1491" i="10"/>
  <c r="JN1499" i="10"/>
  <c r="JN1501" i="10"/>
  <c r="JN1508" i="10"/>
  <c r="JN1502" i="10"/>
  <c r="JN1507" i="10"/>
  <c r="JN1504" i="10"/>
  <c r="JN1506" i="10"/>
  <c r="JN1503" i="10"/>
  <c r="JN1505" i="10"/>
  <c r="JN1510" i="10"/>
  <c r="JN1509" i="10"/>
  <c r="AER1521" i="10"/>
  <c r="AER1523" i="10"/>
  <c r="AER1528" i="10"/>
  <c r="AER1524" i="10"/>
  <c r="AER1527" i="10"/>
  <c r="AER1525" i="10"/>
  <c r="AER1526" i="10"/>
  <c r="AER1530" i="10"/>
  <c r="AER1529" i="10"/>
  <c r="AER1532" i="10"/>
  <c r="AER1531" i="10"/>
  <c r="AER1533" i="10"/>
  <c r="AER1520" i="10"/>
  <c r="AER1514" i="10"/>
  <c r="AER1516" i="10"/>
  <c r="AER1517" i="10"/>
  <c r="AER1519" i="10"/>
  <c r="AER1515" i="10"/>
  <c r="AER1518" i="10"/>
  <c r="AER1522" i="10"/>
  <c r="DZ1493" i="10"/>
  <c r="DZ1492" i="10"/>
  <c r="DZ1496" i="10"/>
  <c r="DZ1498" i="10"/>
  <c r="DZ1495" i="10"/>
  <c r="DZ1491" i="10"/>
  <c r="DZ1494" i="10"/>
  <c r="DZ1497" i="10"/>
  <c r="DZ1499" i="10"/>
  <c r="DZ1502" i="10"/>
  <c r="DZ1500" i="10"/>
  <c r="DZ1501" i="10"/>
  <c r="DZ1508" i="10"/>
  <c r="DZ1506" i="10"/>
  <c r="DZ1505" i="10"/>
  <c r="DZ1503" i="10"/>
  <c r="DZ1509" i="10"/>
  <c r="DZ1507" i="10"/>
  <c r="DZ1510" i="10"/>
  <c r="DZ1504" i="10"/>
  <c r="AAJ1515" i="10"/>
  <c r="AAJ1517" i="10"/>
  <c r="AAJ1514" i="10"/>
  <c r="AAJ1519" i="10"/>
  <c r="AAJ1523" i="10"/>
  <c r="AAJ1518" i="10"/>
  <c r="AAJ1524" i="10"/>
  <c r="AAJ1522" i="10"/>
  <c r="AAJ1520" i="10"/>
  <c r="AAJ1527" i="10"/>
  <c r="AAJ1531" i="10"/>
  <c r="AAJ1516" i="10"/>
  <c r="AAJ1521" i="10"/>
  <c r="AAJ1530" i="10"/>
  <c r="AAJ1528" i="10"/>
  <c r="AAJ1526" i="10"/>
  <c r="AAJ1525" i="10"/>
  <c r="AAJ1529" i="10"/>
  <c r="AAJ1533" i="10"/>
  <c r="AAJ1532" i="10"/>
  <c r="AFY1493" i="10"/>
  <c r="AFY1494" i="10"/>
  <c r="AFY1496" i="10"/>
  <c r="AFY1498" i="10"/>
  <c r="AFY1495" i="10"/>
  <c r="AFY1497" i="10"/>
  <c r="AFY1492" i="10"/>
  <c r="AFY1499" i="10"/>
  <c r="AFY1491" i="10"/>
  <c r="AFY1501" i="10"/>
  <c r="AFY1508" i="10"/>
  <c r="AFY1509" i="10"/>
  <c r="AFY1507" i="10"/>
  <c r="AFY1502" i="10"/>
  <c r="AFY1504" i="10"/>
  <c r="AFY1503" i="10"/>
  <c r="AFY1506" i="10"/>
  <c r="AFY1500" i="10"/>
  <c r="AFY1505" i="10"/>
  <c r="AFY1510" i="10"/>
  <c r="VK1533" i="10"/>
  <c r="VK1526" i="10"/>
  <c r="VK1519" i="10"/>
  <c r="VK1521" i="10"/>
  <c r="VK1522" i="10"/>
  <c r="VK1532" i="10"/>
  <c r="VK1515" i="10"/>
  <c r="VK1524" i="10"/>
  <c r="VK1529" i="10"/>
  <c r="VK1527" i="10"/>
  <c r="VK1518" i="10"/>
  <c r="VK1531" i="10"/>
  <c r="VK1525" i="10"/>
  <c r="VK1516" i="10"/>
  <c r="VK1523" i="10"/>
  <c r="VK1530" i="10"/>
  <c r="VK1517" i="10"/>
  <c r="VK1528" i="10"/>
  <c r="VK1514" i="10"/>
  <c r="VK1520" i="10"/>
  <c r="ACL1493" i="10"/>
  <c r="ACL1496" i="10"/>
  <c r="ACL1498" i="10"/>
  <c r="ACL1495" i="10"/>
  <c r="ACL1497" i="10"/>
  <c r="ACL1492" i="10"/>
  <c r="ACL1491" i="10"/>
  <c r="ACL1494" i="10"/>
  <c r="ACL1500" i="10"/>
  <c r="ACL1501" i="10"/>
  <c r="ACL1508" i="10"/>
  <c r="ACL1499" i="10"/>
  <c r="ACL1509" i="10"/>
  <c r="ACL1507" i="10"/>
  <c r="ACL1502" i="10"/>
  <c r="ACL1504" i="10"/>
  <c r="ACL1503" i="10"/>
  <c r="ACL1506" i="10"/>
  <c r="ACL1505" i="10"/>
  <c r="ACL1510" i="10"/>
  <c r="QH1516" i="10"/>
  <c r="QH1515" i="10"/>
  <c r="QH1518" i="10"/>
  <c r="QH1514" i="10"/>
  <c r="QH1517" i="10"/>
  <c r="QH1521" i="10"/>
  <c r="QH1524" i="10"/>
  <c r="QH1520" i="10"/>
  <c r="QH1522" i="10"/>
  <c r="QH1523" i="10"/>
  <c r="QH1526" i="10"/>
  <c r="QH1527" i="10"/>
  <c r="QH1525" i="10"/>
  <c r="QH1529" i="10"/>
  <c r="QH1532" i="10"/>
  <c r="QH1531" i="10"/>
  <c r="QH1528" i="10"/>
  <c r="QH1519" i="10"/>
  <c r="QH1533" i="10"/>
  <c r="QH1530" i="10"/>
  <c r="XV1492" i="10"/>
  <c r="XV1491" i="10"/>
  <c r="XV1493" i="10"/>
  <c r="XV1494" i="10"/>
  <c r="XV1500" i="10"/>
  <c r="XV1495" i="10"/>
  <c r="XV1497" i="10"/>
  <c r="XV1496" i="10"/>
  <c r="XV1498" i="10"/>
  <c r="XV1505" i="10"/>
  <c r="XV1501" i="10"/>
  <c r="XV1504" i="10"/>
  <c r="XV1503" i="10"/>
  <c r="XV1506" i="10"/>
  <c r="XV1499" i="10"/>
  <c r="XV1508" i="10"/>
  <c r="XV1509" i="10"/>
  <c r="XV1507" i="10"/>
  <c r="XV1510" i="10"/>
  <c r="XV1502" i="10"/>
  <c r="Y1493" i="10"/>
  <c r="Y1492" i="10"/>
  <c r="Y1491" i="10"/>
  <c r="Y1495" i="10"/>
  <c r="Y1497" i="10"/>
  <c r="Y1496" i="10"/>
  <c r="Y1498" i="10"/>
  <c r="Y1500" i="10"/>
  <c r="Y1494" i="10"/>
  <c r="Y1499" i="10"/>
  <c r="Y1501" i="10"/>
  <c r="Y1508" i="10"/>
  <c r="Y1506" i="10"/>
  <c r="Y1505" i="10"/>
  <c r="Y1504" i="10"/>
  <c r="Y1507" i="10"/>
  <c r="Y1502" i="10"/>
  <c r="Y1503" i="10"/>
  <c r="Y1509" i="10"/>
  <c r="Y1510" i="10"/>
  <c r="LF1515" i="10"/>
  <c r="LF1514" i="10"/>
  <c r="LF1517" i="10"/>
  <c r="LF1520" i="10"/>
  <c r="LF1519" i="10"/>
  <c r="LF1516" i="10"/>
  <c r="LF1518" i="10"/>
  <c r="LF1527" i="10"/>
  <c r="LF1523" i="10"/>
  <c r="LF1524" i="10"/>
  <c r="LF1526" i="10"/>
  <c r="LF1522" i="10"/>
  <c r="LF1529" i="10"/>
  <c r="LF1525" i="10"/>
  <c r="LF1521" i="10"/>
  <c r="LF1533" i="10"/>
  <c r="LF1528" i="10"/>
  <c r="LF1531" i="10"/>
  <c r="LF1530" i="10"/>
  <c r="LF1532" i="10"/>
  <c r="WL1516" i="10"/>
  <c r="WL1515" i="10"/>
  <c r="WL1514" i="10"/>
  <c r="WL1519" i="10"/>
  <c r="WL1517" i="10"/>
  <c r="WL1522" i="10"/>
  <c r="WL1518" i="10"/>
  <c r="WL1520" i="10"/>
  <c r="WL1523" i="10"/>
  <c r="WL1525" i="10"/>
  <c r="WL1521" i="10"/>
  <c r="WL1526" i="10"/>
  <c r="WL1528" i="10"/>
  <c r="WL1524" i="10"/>
  <c r="WL1531" i="10"/>
  <c r="WL1527" i="10"/>
  <c r="WL1529" i="10"/>
  <c r="WL1530" i="10"/>
  <c r="WL1533" i="10"/>
  <c r="WL1532" i="10"/>
  <c r="ADH1491" i="10"/>
  <c r="ADH1492" i="10"/>
  <c r="ADH1494" i="10"/>
  <c r="ADH1493" i="10"/>
  <c r="ADH1499" i="10"/>
  <c r="ADH1496" i="10"/>
  <c r="ADH1495" i="10"/>
  <c r="ADH1500" i="10"/>
  <c r="ADH1501" i="10"/>
  <c r="ADH1497" i="10"/>
  <c r="ADH1498" i="10"/>
  <c r="ADH1505" i="10"/>
  <c r="ADH1504" i="10"/>
  <c r="ADH1502" i="10"/>
  <c r="ADH1503" i="10"/>
  <c r="ADH1506" i="10"/>
  <c r="ADH1508" i="10"/>
  <c r="ADH1507" i="10"/>
  <c r="ADH1510" i="10"/>
  <c r="ADH1509" i="10"/>
  <c r="QX1531" i="10"/>
  <c r="QX1532" i="10"/>
  <c r="QX1519" i="10"/>
  <c r="QX1527" i="10"/>
  <c r="QX1516" i="10"/>
  <c r="QX1522" i="10"/>
  <c r="QX1524" i="10"/>
  <c r="QX1520" i="10"/>
  <c r="QX1528" i="10"/>
  <c r="QX1530" i="10"/>
  <c r="QX1525" i="10"/>
  <c r="QX1514" i="10"/>
  <c r="QX1515" i="10"/>
  <c r="QX1526" i="10"/>
  <c r="QX1521" i="10"/>
  <c r="QX1517" i="10"/>
  <c r="QX1523" i="10"/>
  <c r="QX1529" i="10"/>
  <c r="QX1518" i="10"/>
  <c r="QX1533" i="10"/>
  <c r="YM1491" i="10"/>
  <c r="YM1494" i="10"/>
  <c r="YM1496" i="10"/>
  <c r="YM1498" i="10"/>
  <c r="YM1495" i="10"/>
  <c r="YM1497" i="10"/>
  <c r="YM1492" i="10"/>
  <c r="YM1499" i="10"/>
  <c r="YM1501" i="10"/>
  <c r="YM1500" i="10"/>
  <c r="YM1493" i="10"/>
  <c r="YM1503" i="10"/>
  <c r="YM1506" i="10"/>
  <c r="YM1509" i="10"/>
  <c r="YM1502" i="10"/>
  <c r="YM1507" i="10"/>
  <c r="YM1505" i="10"/>
  <c r="YM1504" i="10"/>
  <c r="YM1508" i="10"/>
  <c r="YM1510" i="10"/>
  <c r="AFM1492" i="10"/>
  <c r="AFM1491" i="10"/>
  <c r="AFM1496" i="10"/>
  <c r="AFM1495" i="10"/>
  <c r="AFM1497" i="10"/>
  <c r="AFM1500" i="10"/>
  <c r="AFM1493" i="10"/>
  <c r="AFM1498" i="10"/>
  <c r="AFM1494" i="10"/>
  <c r="AFM1501" i="10"/>
  <c r="AFM1499" i="10"/>
  <c r="AFM1507" i="10"/>
  <c r="AFM1502" i="10"/>
  <c r="AFM1505" i="10"/>
  <c r="AFM1504" i="10"/>
  <c r="AFM1503" i="10"/>
  <c r="AFM1506" i="10"/>
  <c r="AFM1508" i="10"/>
  <c r="AFM1509" i="10"/>
  <c r="AFM1510" i="10"/>
  <c r="OB1516" i="10"/>
  <c r="OB1515" i="10"/>
  <c r="OB1514" i="10"/>
  <c r="OB1517" i="10"/>
  <c r="OB1518" i="10"/>
  <c r="OB1519" i="10"/>
  <c r="OB1521" i="10"/>
  <c r="OB1523" i="10"/>
  <c r="OB1524" i="10"/>
  <c r="OB1522" i="10"/>
  <c r="OB1526" i="10"/>
  <c r="OB1528" i="10"/>
  <c r="OB1525" i="10"/>
  <c r="OB1527" i="10"/>
  <c r="OB1531" i="10"/>
  <c r="OB1532" i="10"/>
  <c r="OB1520" i="10"/>
  <c r="OB1529" i="10"/>
  <c r="OB1530" i="10"/>
  <c r="OB1533" i="10"/>
  <c r="TI1493" i="10"/>
  <c r="TI1492" i="10"/>
  <c r="TI1491" i="10"/>
  <c r="TI1494" i="10"/>
  <c r="TI1496" i="10"/>
  <c r="TI1495" i="10"/>
  <c r="TI1497" i="10"/>
  <c r="TI1499" i="10"/>
  <c r="TI1498" i="10"/>
  <c r="TI1500" i="10"/>
  <c r="TI1501" i="10"/>
  <c r="TI1507" i="10"/>
  <c r="TI1505" i="10"/>
  <c r="TI1504" i="10"/>
  <c r="TI1503" i="10"/>
  <c r="TI1506" i="10"/>
  <c r="TI1502" i="10"/>
  <c r="TI1509" i="10"/>
  <c r="TI1510" i="10"/>
  <c r="TI1508" i="10"/>
  <c r="WZ1515" i="10"/>
  <c r="WZ1514" i="10"/>
  <c r="WZ1516" i="10"/>
  <c r="WZ1517" i="10"/>
  <c r="WZ1519" i="10"/>
  <c r="WZ1518" i="10"/>
  <c r="WZ1521" i="10"/>
  <c r="WZ1520" i="10"/>
  <c r="WZ1522" i="10"/>
  <c r="WZ1524" i="10"/>
  <c r="WZ1525" i="10"/>
  <c r="WZ1526" i="10"/>
  <c r="WZ1523" i="10"/>
  <c r="WZ1529" i="10"/>
  <c r="WZ1530" i="10"/>
  <c r="WZ1528" i="10"/>
  <c r="WZ1527" i="10"/>
  <c r="WZ1531" i="10"/>
  <c r="WZ1532" i="10"/>
  <c r="WZ1533" i="10"/>
  <c r="ABX1492" i="10"/>
  <c r="ABX1491" i="10"/>
  <c r="ABX1494" i="10"/>
  <c r="ABX1500" i="10"/>
  <c r="ABX1493" i="10"/>
  <c r="ABX1495" i="10"/>
  <c r="ABX1499" i="10"/>
  <c r="ABX1501" i="10"/>
  <c r="ABX1496" i="10"/>
  <c r="ABX1497" i="10"/>
  <c r="ABX1498" i="10"/>
  <c r="ABX1505" i="10"/>
  <c r="ABX1504" i="10"/>
  <c r="ABX1503" i="10"/>
  <c r="ABX1506" i="10"/>
  <c r="ABX1508" i="10"/>
  <c r="ABX1502" i="10"/>
  <c r="ABX1509" i="10"/>
  <c r="ABX1507" i="10"/>
  <c r="ABX1510" i="10"/>
  <c r="KZ1531" i="10"/>
  <c r="KZ1525" i="10"/>
  <c r="KZ1523" i="10"/>
  <c r="KZ1528" i="10"/>
  <c r="KZ1520" i="10"/>
  <c r="KZ1516" i="10"/>
  <c r="KZ1514" i="10"/>
  <c r="KZ1530" i="10"/>
  <c r="KZ1522" i="10"/>
  <c r="KZ1519" i="10"/>
  <c r="KZ1532" i="10"/>
  <c r="KZ1529" i="10"/>
  <c r="KZ1533" i="10"/>
  <c r="KZ1524" i="10"/>
  <c r="KZ1515" i="10"/>
  <c r="KZ1526" i="10"/>
  <c r="KZ1518" i="10"/>
  <c r="KZ1521" i="10"/>
  <c r="KZ1517" i="10"/>
  <c r="KZ1527" i="10"/>
  <c r="QP1493" i="10"/>
  <c r="QP1496" i="10"/>
  <c r="QP1498" i="10"/>
  <c r="QP1492" i="10"/>
  <c r="QP1495" i="10"/>
  <c r="QP1497" i="10"/>
  <c r="QP1494" i="10"/>
  <c r="QP1500" i="10"/>
  <c r="QP1491" i="10"/>
  <c r="QP1501" i="10"/>
  <c r="QP1508" i="10"/>
  <c r="QP1499" i="10"/>
  <c r="QP1502" i="10"/>
  <c r="QP1509" i="10"/>
  <c r="QP1507" i="10"/>
  <c r="QP1504" i="10"/>
  <c r="QP1503" i="10"/>
  <c r="QP1506" i="10"/>
  <c r="QP1505" i="10"/>
  <c r="QP1510" i="10"/>
  <c r="DR1514" i="10"/>
  <c r="DR1515" i="10"/>
  <c r="DR1516" i="10"/>
  <c r="DR1519" i="10"/>
  <c r="DR1517" i="10"/>
  <c r="DR1520" i="10"/>
  <c r="DR1518" i="10"/>
  <c r="DR1523" i="10"/>
  <c r="DR1522" i="10"/>
  <c r="DR1524" i="10"/>
  <c r="DR1528" i="10"/>
  <c r="DR1525" i="10"/>
  <c r="DR1526" i="10"/>
  <c r="DR1521" i="10"/>
  <c r="DR1527" i="10"/>
  <c r="DR1533" i="10"/>
  <c r="DR1530" i="10"/>
  <c r="DR1529" i="10"/>
  <c r="DR1532" i="10"/>
  <c r="DR1531" i="10"/>
  <c r="JI1491" i="10"/>
  <c r="JI1493" i="10"/>
  <c r="JI1492" i="10"/>
  <c r="JI1494" i="10"/>
  <c r="JI1499" i="10"/>
  <c r="JI1496" i="10"/>
  <c r="JI1497" i="10"/>
  <c r="JI1498" i="10"/>
  <c r="JI1495" i="10"/>
  <c r="JI1500" i="10"/>
  <c r="JI1501" i="10"/>
  <c r="JI1505" i="10"/>
  <c r="JI1504" i="10"/>
  <c r="JI1506" i="10"/>
  <c r="JI1503" i="10"/>
  <c r="JI1508" i="10"/>
  <c r="JI1509" i="10"/>
  <c r="JI1507" i="10"/>
  <c r="JI1502" i="10"/>
  <c r="JI1510" i="10"/>
  <c r="AAC1530" i="10"/>
  <c r="AAC1517" i="10"/>
  <c r="AAC1527" i="10"/>
  <c r="AAC1523" i="10"/>
  <c r="AAC1533" i="10"/>
  <c r="AAC1529" i="10"/>
  <c r="AAC1522" i="10"/>
  <c r="AAC1531" i="10"/>
  <c r="AAC1515" i="10"/>
  <c r="AAC1524" i="10"/>
  <c r="AAC1516" i="10"/>
  <c r="AAC1528" i="10"/>
  <c r="AAC1519" i="10"/>
  <c r="AAC1532" i="10"/>
  <c r="AAC1526" i="10"/>
  <c r="AAC1521" i="10"/>
  <c r="AAC1518" i="10"/>
  <c r="AAC1514" i="10"/>
  <c r="AAC1520" i="10"/>
  <c r="AAC1525" i="10"/>
  <c r="CM1493" i="10"/>
  <c r="CM1492" i="10"/>
  <c r="CM1496" i="10"/>
  <c r="CM1498" i="10"/>
  <c r="CM1495" i="10"/>
  <c r="CM1491" i="10"/>
  <c r="CM1494" i="10"/>
  <c r="CM1497" i="10"/>
  <c r="CM1499" i="10"/>
  <c r="CM1502" i="10"/>
  <c r="CM1500" i="10"/>
  <c r="CM1501" i="10"/>
  <c r="CM1508" i="10"/>
  <c r="CM1506" i="10"/>
  <c r="CM1505" i="10"/>
  <c r="CM1503" i="10"/>
  <c r="CM1509" i="10"/>
  <c r="CM1510" i="10"/>
  <c r="CM1507" i="10"/>
  <c r="CM1504" i="10"/>
  <c r="ZA1527" i="10"/>
  <c r="ZA1529" i="10"/>
  <c r="ZA1517" i="10"/>
  <c r="ZA1532" i="10"/>
  <c r="ZA1519" i="10"/>
  <c r="ZA1526" i="10"/>
  <c r="ZA1514" i="10"/>
  <c r="ZA1521" i="10"/>
  <c r="ZA1528" i="10"/>
  <c r="ZA1516" i="10"/>
  <c r="ZA1522" i="10"/>
  <c r="ZA1530" i="10"/>
  <c r="ZA1533" i="10"/>
  <c r="ZA1520" i="10"/>
  <c r="ZA1523" i="10"/>
  <c r="ZA1525" i="10"/>
  <c r="ZA1518" i="10"/>
  <c r="ZA1515" i="10"/>
  <c r="ZA1524" i="10"/>
  <c r="ZA1531" i="10"/>
  <c r="TM1514" i="10"/>
  <c r="TM1515" i="10"/>
  <c r="TM1516" i="10"/>
  <c r="TM1518" i="10"/>
  <c r="TM1517" i="10"/>
  <c r="TM1519" i="10"/>
  <c r="TM1520" i="10"/>
  <c r="TM1522" i="10"/>
  <c r="TM1523" i="10"/>
  <c r="TM1524" i="10"/>
  <c r="TM1521" i="10"/>
  <c r="TM1528" i="10"/>
  <c r="TM1527" i="10"/>
  <c r="TM1526" i="10"/>
  <c r="TM1529" i="10"/>
  <c r="TM1532" i="10"/>
  <c r="TM1530" i="10"/>
  <c r="TM1525" i="10"/>
  <c r="TM1531" i="10"/>
  <c r="TM1533" i="10"/>
  <c r="ADU1521" i="10"/>
  <c r="ADU1533" i="10"/>
  <c r="ADU1514" i="10"/>
  <c r="ADU1528" i="10"/>
  <c r="ADU1525" i="10"/>
  <c r="ADU1516" i="10"/>
  <c r="ADU1532" i="10"/>
  <c r="ADU1529" i="10"/>
  <c r="ADU1517" i="10"/>
  <c r="ADU1527" i="10"/>
  <c r="ADU1520" i="10"/>
  <c r="ADU1530" i="10"/>
  <c r="ADU1526" i="10"/>
  <c r="ADU1523" i="10"/>
  <c r="ADU1515" i="10"/>
  <c r="ADU1518" i="10"/>
  <c r="ADU1519" i="10"/>
  <c r="ADU1531" i="10"/>
  <c r="ADU1522" i="10"/>
  <c r="ADU1524" i="10"/>
  <c r="DC1491" i="10"/>
  <c r="DC1493" i="10"/>
  <c r="DC1492" i="10"/>
  <c r="DC1494" i="10"/>
  <c r="DC1497" i="10"/>
  <c r="DC1499" i="10"/>
  <c r="DC1495" i="10"/>
  <c r="DC1498" i="10"/>
  <c r="DC1500" i="10"/>
  <c r="DC1496" i="10"/>
  <c r="DC1501" i="10"/>
  <c r="DC1505" i="10"/>
  <c r="DC1504" i="10"/>
  <c r="DC1507" i="10"/>
  <c r="DC1502" i="10"/>
  <c r="DC1503" i="10"/>
  <c r="DC1509" i="10"/>
  <c r="DC1506" i="10"/>
  <c r="DC1508" i="10"/>
  <c r="DC1510" i="10"/>
  <c r="ZP1525" i="10"/>
  <c r="ZP1532" i="10"/>
  <c r="ZP1516" i="10"/>
  <c r="ZP1519" i="10"/>
  <c r="ZP1517" i="10"/>
  <c r="ZP1526" i="10"/>
  <c r="ZP1518" i="10"/>
  <c r="ZP1530" i="10"/>
  <c r="ZP1520" i="10"/>
  <c r="ZP1514" i="10"/>
  <c r="ZP1523" i="10"/>
  <c r="ZP1522" i="10"/>
  <c r="ZP1531" i="10"/>
  <c r="ZP1527" i="10"/>
  <c r="ZP1515" i="10"/>
  <c r="ZP1528" i="10"/>
  <c r="ZP1529" i="10"/>
  <c r="ZP1533" i="10"/>
  <c r="ZP1521" i="10"/>
  <c r="ZP1524" i="10"/>
  <c r="AFJ1491" i="10"/>
  <c r="AFJ1492" i="10"/>
  <c r="AFJ1494" i="10"/>
  <c r="AFJ1493" i="10"/>
  <c r="AFJ1499" i="10"/>
  <c r="AFJ1496" i="10"/>
  <c r="AFJ1500" i="10"/>
  <c r="AFJ1495" i="10"/>
  <c r="AFJ1497" i="10"/>
  <c r="AFJ1498" i="10"/>
  <c r="AFJ1501" i="10"/>
  <c r="AFJ1505" i="10"/>
  <c r="AFJ1504" i="10"/>
  <c r="AFJ1503" i="10"/>
  <c r="AFJ1506" i="10"/>
  <c r="AFJ1508" i="10"/>
  <c r="AFJ1507" i="10"/>
  <c r="AFJ1502" i="10"/>
  <c r="AFJ1509" i="10"/>
  <c r="AFJ1510" i="10"/>
  <c r="UN1514" i="10"/>
  <c r="UN1515" i="10"/>
  <c r="UN1518" i="10"/>
  <c r="UN1519" i="10"/>
  <c r="UN1517" i="10"/>
  <c r="UN1516" i="10"/>
  <c r="UN1523" i="10"/>
  <c r="UN1520" i="10"/>
  <c r="UN1522" i="10"/>
  <c r="UN1521" i="10"/>
  <c r="UN1528" i="10"/>
  <c r="UN1525" i="10"/>
  <c r="UN1527" i="10"/>
  <c r="UN1526" i="10"/>
  <c r="UN1530" i="10"/>
  <c r="UN1524" i="10"/>
  <c r="UN1531" i="10"/>
  <c r="UN1532" i="10"/>
  <c r="UN1529" i="10"/>
  <c r="UN1533" i="10"/>
  <c r="AEM1522" i="10"/>
  <c r="AEM1529" i="10"/>
  <c r="AEM1523" i="10"/>
  <c r="AEM1532" i="10"/>
  <c r="AEM1519" i="10"/>
  <c r="AEM1524" i="10"/>
  <c r="AEM1531" i="10"/>
  <c r="AEM1515" i="10"/>
  <c r="AEM1525" i="10"/>
  <c r="AEM1528" i="10"/>
  <c r="AEM1516" i="10"/>
  <c r="AEM1518" i="10"/>
  <c r="AEM1530" i="10"/>
  <c r="AEM1521" i="10"/>
  <c r="AEM1527" i="10"/>
  <c r="AEM1520" i="10"/>
  <c r="AEM1526" i="10"/>
  <c r="AEM1517" i="10"/>
  <c r="AEM1514" i="10"/>
  <c r="AEM1533" i="10"/>
  <c r="HY1515" i="10"/>
  <c r="HY1516" i="10"/>
  <c r="HY1514" i="10"/>
  <c r="HY1518" i="10"/>
  <c r="HY1519" i="10"/>
  <c r="HY1521" i="10"/>
  <c r="HY1522" i="10"/>
  <c r="HY1524" i="10"/>
  <c r="HY1525" i="10"/>
  <c r="HY1520" i="10"/>
  <c r="HY1523" i="10"/>
  <c r="HY1517" i="10"/>
  <c r="HY1527" i="10"/>
  <c r="HY1529" i="10"/>
  <c r="HY1526" i="10"/>
  <c r="HY1528" i="10"/>
  <c r="HY1530" i="10"/>
  <c r="HY1533" i="10"/>
  <c r="HY1531" i="10"/>
  <c r="HY1532" i="10"/>
  <c r="PK1503" i="10"/>
  <c r="PK1502" i="10"/>
  <c r="PK1505" i="10"/>
  <c r="PK1498" i="10"/>
  <c r="PK1508" i="10"/>
  <c r="PK1510" i="10"/>
  <c r="PK1507" i="10"/>
  <c r="PK1500" i="10"/>
  <c r="PK1493" i="10"/>
  <c r="PK1495" i="10"/>
  <c r="PK1501" i="10"/>
  <c r="PK1506" i="10"/>
  <c r="PK1496" i="10"/>
  <c r="PK1504" i="10"/>
  <c r="PK1497" i="10"/>
  <c r="PK1491" i="10"/>
  <c r="PK1494" i="10"/>
  <c r="PK1492" i="10"/>
  <c r="PK1509" i="10"/>
  <c r="PK1499" i="10"/>
  <c r="JW1502" i="10"/>
  <c r="JW1492" i="10"/>
  <c r="JW1494" i="10"/>
  <c r="JW1505" i="10"/>
  <c r="JW1507" i="10"/>
  <c r="JW1496" i="10"/>
  <c r="JW1498" i="10"/>
  <c r="JW1500" i="10"/>
  <c r="JW1497" i="10"/>
  <c r="JW1506" i="10"/>
  <c r="JW1504" i="10"/>
  <c r="JW1510" i="10"/>
  <c r="JW1508" i="10"/>
  <c r="JW1495" i="10"/>
  <c r="JW1491" i="10"/>
  <c r="JW1493" i="10"/>
  <c r="JW1499" i="10"/>
  <c r="JW1501" i="10"/>
  <c r="JW1503" i="10"/>
  <c r="JW1509" i="10"/>
  <c r="AEX1522" i="10"/>
  <c r="AEX1526" i="10"/>
  <c r="AEX1524" i="10"/>
  <c r="AEX1516" i="10"/>
  <c r="AEX1520" i="10"/>
  <c r="AEX1531" i="10"/>
  <c r="AEX1523" i="10"/>
  <c r="AEX1530" i="10"/>
  <c r="AEX1515" i="10"/>
  <c r="AEX1529" i="10"/>
  <c r="AEX1532" i="10"/>
  <c r="AEX1528" i="10"/>
  <c r="AEX1525" i="10"/>
  <c r="AEX1527" i="10"/>
  <c r="AEX1517" i="10"/>
  <c r="AEX1514" i="10"/>
  <c r="AEX1521" i="10"/>
  <c r="AEX1533" i="10"/>
  <c r="AEX1519" i="10"/>
  <c r="AEX1518" i="10"/>
  <c r="QL1492" i="10"/>
  <c r="QL1491" i="10"/>
  <c r="QL1493" i="10"/>
  <c r="QL1494" i="10"/>
  <c r="QL1500" i="10"/>
  <c r="QL1495" i="10"/>
  <c r="QL1501" i="10"/>
  <c r="QL1496" i="10"/>
  <c r="QL1498" i="10"/>
  <c r="QL1499" i="10"/>
  <c r="QL1497" i="10"/>
  <c r="QL1505" i="10"/>
  <c r="QL1504" i="10"/>
  <c r="QL1503" i="10"/>
  <c r="QL1506" i="10"/>
  <c r="QL1508" i="10"/>
  <c r="QL1509" i="10"/>
  <c r="QL1507" i="10"/>
  <c r="QL1510" i="10"/>
  <c r="QL1502" i="10"/>
  <c r="GR1517" i="10"/>
  <c r="GR1516" i="10"/>
  <c r="GR1515" i="10"/>
  <c r="GR1514" i="10"/>
  <c r="GR1518" i="10"/>
  <c r="GR1519" i="10"/>
  <c r="GR1520" i="10"/>
  <c r="GR1523" i="10"/>
  <c r="GR1521" i="10"/>
  <c r="GR1522" i="10"/>
  <c r="GR1524" i="10"/>
  <c r="GR1525" i="10"/>
  <c r="GR1528" i="10"/>
  <c r="GR1526" i="10"/>
  <c r="GR1529" i="10"/>
  <c r="GR1527" i="10"/>
  <c r="GR1531" i="10"/>
  <c r="GR1532" i="10"/>
  <c r="GR1530" i="10"/>
  <c r="GR1533" i="10"/>
  <c r="AEY1533" i="10"/>
  <c r="AEY1514" i="10"/>
  <c r="AEY1520" i="10"/>
  <c r="AEY1526" i="10"/>
  <c r="AEY1515" i="10"/>
  <c r="AEY1525" i="10"/>
  <c r="AEY1527" i="10"/>
  <c r="AEY1528" i="10"/>
  <c r="AEY1518" i="10"/>
  <c r="AEY1516" i="10"/>
  <c r="AEY1521" i="10"/>
  <c r="AEY1517" i="10"/>
  <c r="AEY1532" i="10"/>
  <c r="AEY1530" i="10"/>
  <c r="AEY1519" i="10"/>
  <c r="AEY1529" i="10"/>
  <c r="AEY1524" i="10"/>
  <c r="AEY1531" i="10"/>
  <c r="AEY1523" i="10"/>
  <c r="AEY1522" i="10"/>
  <c r="CL1493" i="10"/>
  <c r="CL1492" i="10"/>
  <c r="CL1491" i="10"/>
  <c r="CL1495" i="10"/>
  <c r="CL1497" i="10"/>
  <c r="CL1496" i="10"/>
  <c r="CL1498" i="10"/>
  <c r="CL1499" i="10"/>
  <c r="CL1500" i="10"/>
  <c r="CL1501" i="10"/>
  <c r="CL1494" i="10"/>
  <c r="CL1508" i="10"/>
  <c r="CL1506" i="10"/>
  <c r="CL1505" i="10"/>
  <c r="CL1502" i="10"/>
  <c r="CL1504" i="10"/>
  <c r="CL1507" i="10"/>
  <c r="CL1510" i="10"/>
  <c r="CL1503" i="10"/>
  <c r="CL1509" i="10"/>
  <c r="JM1493" i="10"/>
  <c r="JM1492" i="10"/>
  <c r="JM1496" i="10"/>
  <c r="JM1498" i="10"/>
  <c r="JM1495" i="10"/>
  <c r="JM1497" i="10"/>
  <c r="JM1491" i="10"/>
  <c r="JM1494" i="10"/>
  <c r="JM1499" i="10"/>
  <c r="JM1500" i="10"/>
  <c r="JM1501" i="10"/>
  <c r="JM1509" i="10"/>
  <c r="JM1502" i="10"/>
  <c r="JM1507" i="10"/>
  <c r="JM1505" i="10"/>
  <c r="JM1503" i="10"/>
  <c r="JM1508" i="10"/>
  <c r="JM1504" i="10"/>
  <c r="JM1510" i="10"/>
  <c r="JM1506" i="10"/>
  <c r="OM1520" i="10"/>
  <c r="OM1517" i="10"/>
  <c r="OM1526" i="10"/>
  <c r="OM1532" i="10"/>
  <c r="OM1530" i="10"/>
  <c r="OM1533" i="10"/>
  <c r="OM1525" i="10"/>
  <c r="OM1524" i="10"/>
  <c r="OM1527" i="10"/>
  <c r="OM1515" i="10"/>
  <c r="OM1514" i="10"/>
  <c r="OM1516" i="10"/>
  <c r="OM1531" i="10"/>
  <c r="OM1521" i="10"/>
  <c r="OM1518" i="10"/>
  <c r="OM1529" i="10"/>
  <c r="OM1528" i="10"/>
  <c r="OM1522" i="10"/>
  <c r="OM1519" i="10"/>
  <c r="OM1523" i="10"/>
  <c r="UD1492" i="10"/>
  <c r="UD1491" i="10"/>
  <c r="UD1493" i="10"/>
  <c r="UD1494" i="10"/>
  <c r="UD1500" i="10"/>
  <c r="UD1495" i="10"/>
  <c r="UD1501" i="10"/>
  <c r="UD1498" i="10"/>
  <c r="UD1497" i="10"/>
  <c r="UD1496" i="10"/>
  <c r="UD1502" i="10"/>
  <c r="UD1505" i="10"/>
  <c r="UD1504" i="10"/>
  <c r="UD1503" i="10"/>
  <c r="UD1506" i="10"/>
  <c r="UD1508" i="10"/>
  <c r="UD1499" i="10"/>
  <c r="UD1509" i="10"/>
  <c r="UD1507" i="10"/>
  <c r="UD1510" i="10"/>
  <c r="HF1516" i="10"/>
  <c r="HF1518" i="10"/>
  <c r="HF1519" i="10"/>
  <c r="HF1517" i="10"/>
  <c r="HF1514" i="10"/>
  <c r="HF1515" i="10"/>
  <c r="HF1520" i="10"/>
  <c r="HF1521" i="10"/>
  <c r="HF1522" i="10"/>
  <c r="HF1524" i="10"/>
  <c r="HF1525" i="10"/>
  <c r="HF1526" i="10"/>
  <c r="HF1527" i="10"/>
  <c r="HF1528" i="10"/>
  <c r="HF1523" i="10"/>
  <c r="HF1529" i="10"/>
  <c r="HF1531" i="10"/>
  <c r="HF1532" i="10"/>
  <c r="HF1530" i="10"/>
  <c r="HF1533" i="10"/>
  <c r="MV1493" i="10"/>
  <c r="MV1492" i="10"/>
  <c r="MV1491" i="10"/>
  <c r="MV1495" i="10"/>
  <c r="MV1497" i="10"/>
  <c r="MV1496" i="10"/>
  <c r="MV1498" i="10"/>
  <c r="MV1494" i="10"/>
  <c r="MV1499" i="10"/>
  <c r="MV1501" i="10"/>
  <c r="MV1500" i="10"/>
  <c r="MV1509" i="10"/>
  <c r="MV1507" i="10"/>
  <c r="MV1505" i="10"/>
  <c r="MV1502" i="10"/>
  <c r="MV1504" i="10"/>
  <c r="MV1508" i="10"/>
  <c r="MV1506" i="10"/>
  <c r="MV1510" i="10"/>
  <c r="MV1503" i="10"/>
  <c r="Q1521" i="10"/>
  <c r="Q1529" i="10"/>
  <c r="Q1516" i="10"/>
  <c r="Q1524" i="10"/>
  <c r="Q1518" i="10"/>
  <c r="Q1528" i="10"/>
  <c r="Q1519" i="10"/>
  <c r="Q1530" i="10"/>
  <c r="Q1522" i="10"/>
  <c r="Q1532" i="10"/>
  <c r="Q1515" i="10"/>
  <c r="Q1526" i="10"/>
  <c r="Q1517" i="10"/>
  <c r="Q1520" i="10"/>
  <c r="Q1523" i="10"/>
  <c r="Q1531" i="10"/>
  <c r="Q1533" i="10"/>
  <c r="Q1527" i="10"/>
  <c r="Q1514" i="10"/>
  <c r="Q1525" i="10"/>
  <c r="HG1492" i="10"/>
  <c r="HG1491" i="10"/>
  <c r="HG1493" i="10"/>
  <c r="HG1494" i="10"/>
  <c r="HG1500" i="10"/>
  <c r="HG1495" i="10"/>
  <c r="HG1497" i="10"/>
  <c r="HG1501" i="10"/>
  <c r="HG1498" i="10"/>
  <c r="HG1499" i="10"/>
  <c r="HG1496" i="10"/>
  <c r="HG1505" i="10"/>
  <c r="HG1504" i="10"/>
  <c r="HG1502" i="10"/>
  <c r="HG1503" i="10"/>
  <c r="HG1506" i="10"/>
  <c r="HG1508" i="10"/>
  <c r="HG1509" i="10"/>
  <c r="HG1507" i="10"/>
  <c r="HG1510" i="10"/>
  <c r="ADD1519" i="10"/>
  <c r="ADD1523" i="10"/>
  <c r="ADD1522" i="10"/>
  <c r="ADD1521" i="10"/>
  <c r="ADD1524" i="10"/>
  <c r="ADD1527" i="10"/>
  <c r="ADD1528" i="10"/>
  <c r="ADD1526" i="10"/>
  <c r="ADD1530" i="10"/>
  <c r="ADD1532" i="10"/>
  <c r="ADD1531" i="10"/>
  <c r="ADD1529" i="10"/>
  <c r="ADD1533" i="10"/>
  <c r="ADD1525" i="10"/>
  <c r="ADD1520" i="10"/>
  <c r="ADD1514" i="10"/>
  <c r="ADD1517" i="10"/>
  <c r="ADD1516" i="10"/>
  <c r="ADD1515" i="10"/>
  <c r="ADD1518" i="10"/>
  <c r="BR1492" i="10"/>
  <c r="BR1491" i="10"/>
  <c r="BR1493" i="10"/>
  <c r="BR1494" i="10"/>
  <c r="BR1500" i="10"/>
  <c r="BR1495" i="10"/>
  <c r="BR1498" i="10"/>
  <c r="BR1499" i="10"/>
  <c r="BR1501" i="10"/>
  <c r="BR1496" i="10"/>
  <c r="BR1506" i="10"/>
  <c r="BR1505" i="10"/>
  <c r="BR1502" i="10"/>
  <c r="BR1504" i="10"/>
  <c r="BR1507" i="10"/>
  <c r="BR1503" i="10"/>
  <c r="BR1509" i="10"/>
  <c r="BR1508" i="10"/>
  <c r="BR1497" i="10"/>
  <c r="BR1510" i="10"/>
  <c r="YE1526" i="10"/>
  <c r="YE1533" i="10"/>
  <c r="YE1524" i="10"/>
  <c r="YE1529" i="10"/>
  <c r="YE1516" i="10"/>
  <c r="YE1523" i="10"/>
  <c r="YE1530" i="10"/>
  <c r="YE1515" i="10"/>
  <c r="YE1525" i="10"/>
  <c r="YE1527" i="10"/>
  <c r="YE1519" i="10"/>
  <c r="YE1521" i="10"/>
  <c r="YE1520" i="10"/>
  <c r="YE1532" i="10"/>
  <c r="YE1531" i="10"/>
  <c r="YE1517" i="10"/>
  <c r="YE1522" i="10"/>
  <c r="YE1514" i="10"/>
  <c r="YE1518" i="10"/>
  <c r="YE1528" i="10"/>
  <c r="TA1529" i="10"/>
  <c r="TA1532" i="10"/>
  <c r="TA1528" i="10"/>
  <c r="TA1518" i="10"/>
  <c r="TA1530" i="10"/>
  <c r="TA1520" i="10"/>
  <c r="TA1531" i="10"/>
  <c r="TA1525" i="10"/>
  <c r="TA1533" i="10"/>
  <c r="TA1519" i="10"/>
  <c r="TA1523" i="10"/>
  <c r="TA1522" i="10"/>
  <c r="TA1514" i="10"/>
  <c r="TA1526" i="10"/>
  <c r="TA1527" i="10"/>
  <c r="TA1515" i="10"/>
  <c r="TA1517" i="10"/>
  <c r="TA1516" i="10"/>
  <c r="TA1524" i="10"/>
  <c r="TA1521" i="10"/>
  <c r="AAL1491" i="10"/>
  <c r="AAL1493" i="10"/>
  <c r="AAL1492" i="10"/>
  <c r="AAL1494" i="10"/>
  <c r="AAL1499" i="10"/>
  <c r="AAL1496" i="10"/>
  <c r="AAL1501" i="10"/>
  <c r="AAL1495" i="10"/>
  <c r="AAL1498" i="10"/>
  <c r="AAL1500" i="10"/>
  <c r="AAL1505" i="10"/>
  <c r="AAL1504" i="10"/>
  <c r="AAL1497" i="10"/>
  <c r="AAL1503" i="10"/>
  <c r="AAL1506" i="10"/>
  <c r="AAL1508" i="10"/>
  <c r="AAL1502" i="10"/>
  <c r="AAL1507" i="10"/>
  <c r="AAL1510" i="10"/>
  <c r="AAL1509" i="10"/>
  <c r="KE1503" i="10"/>
  <c r="KE1497" i="10"/>
  <c r="KE1508" i="10"/>
  <c r="KE1495" i="10"/>
  <c r="KE1510" i="10"/>
  <c r="KE1500" i="10"/>
  <c r="KE1507" i="10"/>
  <c r="KE1509" i="10"/>
  <c r="KE1494" i="10"/>
  <c r="KE1492" i="10"/>
  <c r="KE1498" i="10"/>
  <c r="KE1496" i="10"/>
  <c r="KE1493" i="10"/>
  <c r="KE1502" i="10"/>
  <c r="KE1504" i="10"/>
  <c r="KE1506" i="10"/>
  <c r="KE1491" i="10"/>
  <c r="KE1501" i="10"/>
  <c r="KE1499" i="10"/>
  <c r="KE1505" i="10"/>
  <c r="AFC1503" i="10"/>
  <c r="AFC1501" i="10"/>
  <c r="AFC1502" i="10"/>
  <c r="AFC1510" i="10"/>
  <c r="AFC1507" i="10"/>
  <c r="AFC1500" i="10"/>
  <c r="AFC1504" i="10"/>
  <c r="AFC1492" i="10"/>
  <c r="AFC1493" i="10"/>
  <c r="AFC1496" i="10"/>
  <c r="AFC1509" i="10"/>
  <c r="AFC1495" i="10"/>
  <c r="AFC1505" i="10"/>
  <c r="AFC1498" i="10"/>
  <c r="AFC1497" i="10"/>
  <c r="AFC1494" i="10"/>
  <c r="AFC1491" i="10"/>
  <c r="AFC1508" i="10"/>
  <c r="AFC1506" i="10"/>
  <c r="AFC1499" i="10"/>
  <c r="UC1530" i="10"/>
  <c r="UC1532" i="10"/>
  <c r="UC1521" i="10"/>
  <c r="UC1520" i="10"/>
  <c r="UC1523" i="10"/>
  <c r="UC1524" i="10"/>
  <c r="UC1514" i="10"/>
  <c r="UC1531" i="10"/>
  <c r="UC1519" i="10"/>
  <c r="UC1526" i="10"/>
  <c r="UC1522" i="10"/>
  <c r="UC1516" i="10"/>
  <c r="UC1525" i="10"/>
  <c r="UC1518" i="10"/>
  <c r="UC1533" i="10"/>
  <c r="UC1529" i="10"/>
  <c r="UC1515" i="10"/>
  <c r="UC1528" i="10"/>
  <c r="UC1517" i="10"/>
  <c r="UC1527" i="10"/>
  <c r="ABJ1493" i="10"/>
  <c r="ABJ1496" i="10"/>
  <c r="ABJ1498" i="10"/>
  <c r="ABJ1495" i="10"/>
  <c r="ABJ1497" i="10"/>
  <c r="ABJ1491" i="10"/>
  <c r="ABJ1494" i="10"/>
  <c r="ABJ1500" i="10"/>
  <c r="ABJ1501" i="10"/>
  <c r="ABJ1492" i="10"/>
  <c r="ABJ1499" i="10"/>
  <c r="ABJ1508" i="10"/>
  <c r="ABJ1502" i="10"/>
  <c r="ABJ1509" i="10"/>
  <c r="ABJ1507" i="10"/>
  <c r="ABJ1504" i="10"/>
  <c r="ABJ1503" i="10"/>
  <c r="ABJ1506" i="10"/>
  <c r="ABJ1510" i="10"/>
  <c r="ABJ1505" i="10"/>
  <c r="DJ1515" i="10"/>
  <c r="DJ1517" i="10"/>
  <c r="DJ1514" i="10"/>
  <c r="DJ1519" i="10"/>
  <c r="DJ1518" i="10"/>
  <c r="DJ1516" i="10"/>
  <c r="DJ1522" i="10"/>
  <c r="DJ1523" i="10"/>
  <c r="DJ1524" i="10"/>
  <c r="DJ1520" i="10"/>
  <c r="DJ1521" i="10"/>
  <c r="DJ1526" i="10"/>
  <c r="DJ1528" i="10"/>
  <c r="DJ1527" i="10"/>
  <c r="DJ1525" i="10"/>
  <c r="DJ1533" i="10"/>
  <c r="DJ1531" i="10"/>
  <c r="DJ1532" i="10"/>
  <c r="DJ1530" i="10"/>
  <c r="DJ1529" i="10"/>
  <c r="OQ1533" i="10"/>
  <c r="OQ1526" i="10"/>
  <c r="OQ1515" i="10"/>
  <c r="OQ1523" i="10"/>
  <c r="OQ1530" i="10"/>
  <c r="OQ1517" i="10"/>
  <c r="OQ1527" i="10"/>
  <c r="OQ1514" i="10"/>
  <c r="OQ1525" i="10"/>
  <c r="OQ1521" i="10"/>
  <c r="OQ1519" i="10"/>
  <c r="OQ1532" i="10"/>
  <c r="OQ1524" i="10"/>
  <c r="OQ1522" i="10"/>
  <c r="OQ1520" i="10"/>
  <c r="OQ1528" i="10"/>
  <c r="OQ1529" i="10"/>
  <c r="OQ1516" i="10"/>
  <c r="OQ1518" i="10"/>
  <c r="OQ1531" i="10"/>
  <c r="WC1491" i="10"/>
  <c r="WC1493" i="10"/>
  <c r="WC1492" i="10"/>
  <c r="WC1494" i="10"/>
  <c r="WC1499" i="10"/>
  <c r="WC1496" i="10"/>
  <c r="WC1495" i="10"/>
  <c r="WC1498" i="10"/>
  <c r="WC1501" i="10"/>
  <c r="WC1497" i="10"/>
  <c r="WC1505" i="10"/>
  <c r="WC1504" i="10"/>
  <c r="WC1503" i="10"/>
  <c r="WC1506" i="10"/>
  <c r="WC1508" i="10"/>
  <c r="WC1502" i="10"/>
  <c r="WC1507" i="10"/>
  <c r="WC1510" i="10"/>
  <c r="WC1500" i="10"/>
  <c r="WC1509" i="10"/>
  <c r="AFG1491" i="10"/>
  <c r="AFG1493" i="10"/>
  <c r="AFG1496" i="10"/>
  <c r="AFG1498" i="10"/>
  <c r="AFG1495" i="10"/>
  <c r="AFG1497" i="10"/>
  <c r="AFG1492" i="10"/>
  <c r="AFG1494" i="10"/>
  <c r="AFG1501" i="10"/>
  <c r="AFG1499" i="10"/>
  <c r="AFG1500" i="10"/>
  <c r="AFG1508" i="10"/>
  <c r="AFG1509" i="10"/>
  <c r="AFG1507" i="10"/>
  <c r="AFG1502" i="10"/>
  <c r="AFG1504" i="10"/>
  <c r="AFG1503" i="10"/>
  <c r="AFG1506" i="10"/>
  <c r="AFG1510" i="10"/>
  <c r="AFG1505" i="10"/>
  <c r="XM1518" i="10"/>
  <c r="XM1517" i="10"/>
  <c r="XM1526" i="10"/>
  <c r="XM1527" i="10"/>
  <c r="XM1522" i="10"/>
  <c r="XM1530" i="10"/>
  <c r="XM1531" i="10"/>
  <c r="XM1524" i="10"/>
  <c r="XM1529" i="10"/>
  <c r="XM1532" i="10"/>
  <c r="XM1533" i="10"/>
  <c r="XM1523" i="10"/>
  <c r="XM1514" i="10"/>
  <c r="XM1520" i="10"/>
  <c r="XM1515" i="10"/>
  <c r="XM1528" i="10"/>
  <c r="XM1519" i="10"/>
  <c r="XM1516" i="10"/>
  <c r="XM1525" i="10"/>
  <c r="XM1521" i="10"/>
  <c r="NS1526" i="10"/>
  <c r="NS1533" i="10"/>
  <c r="NS1522" i="10"/>
  <c r="NS1520" i="10"/>
  <c r="NS1524" i="10"/>
  <c r="NS1521" i="10"/>
  <c r="NS1517" i="10"/>
  <c r="NS1528" i="10"/>
  <c r="NS1529" i="10"/>
  <c r="NS1527" i="10"/>
  <c r="NS1516" i="10"/>
  <c r="NS1518" i="10"/>
  <c r="NS1531" i="10"/>
  <c r="NS1515" i="10"/>
  <c r="NS1523" i="10"/>
  <c r="NS1530" i="10"/>
  <c r="NS1514" i="10"/>
  <c r="NS1525" i="10"/>
  <c r="NS1519" i="10"/>
  <c r="NS1532" i="10"/>
  <c r="RJ1492" i="10"/>
  <c r="RJ1491" i="10"/>
  <c r="RJ1495" i="10"/>
  <c r="RJ1497" i="10"/>
  <c r="RJ1493" i="10"/>
  <c r="RJ1496" i="10"/>
  <c r="RJ1498" i="10"/>
  <c r="RJ1499" i="10"/>
  <c r="RJ1500" i="10"/>
  <c r="RJ1501" i="10"/>
  <c r="RJ1494" i="10"/>
  <c r="RJ1509" i="10"/>
  <c r="RJ1507" i="10"/>
  <c r="RJ1502" i="10"/>
  <c r="RJ1505" i="10"/>
  <c r="RJ1504" i="10"/>
  <c r="RJ1508" i="10"/>
  <c r="RJ1503" i="10"/>
  <c r="RJ1506" i="10"/>
  <c r="RJ1510" i="10"/>
  <c r="DP1493" i="10"/>
  <c r="DP1492" i="10"/>
  <c r="DP1491" i="10"/>
  <c r="DP1495" i="10"/>
  <c r="DP1497" i="10"/>
  <c r="DP1496" i="10"/>
  <c r="DP1498" i="10"/>
  <c r="DP1501" i="10"/>
  <c r="DP1499" i="10"/>
  <c r="DP1500" i="10"/>
  <c r="DP1494" i="10"/>
  <c r="DP1502" i="10"/>
  <c r="DP1508" i="10"/>
  <c r="DP1506" i="10"/>
  <c r="DP1505" i="10"/>
  <c r="DP1504" i="10"/>
  <c r="DP1507" i="10"/>
  <c r="DP1510" i="10"/>
  <c r="DP1509" i="10"/>
  <c r="DP1503" i="10"/>
  <c r="UM1533" i="10"/>
  <c r="UM1526" i="10"/>
  <c r="UM1518" i="10"/>
  <c r="UM1531" i="10"/>
  <c r="UM1516" i="10"/>
  <c r="UM1523" i="10"/>
  <c r="UM1530" i="10"/>
  <c r="UM1515" i="10"/>
  <c r="UM1525" i="10"/>
  <c r="UM1527" i="10"/>
  <c r="UM1517" i="10"/>
  <c r="UM1528" i="10"/>
  <c r="UM1519" i="10"/>
  <c r="UM1514" i="10"/>
  <c r="UM1520" i="10"/>
  <c r="UM1522" i="10"/>
  <c r="UM1532" i="10"/>
  <c r="UM1521" i="10"/>
  <c r="UM1524" i="10"/>
  <c r="UM1529" i="10"/>
  <c r="AAA1491" i="10"/>
  <c r="AAA1493" i="10"/>
  <c r="AAA1494" i="10"/>
  <c r="AAA1496" i="10"/>
  <c r="AAA1498" i="10"/>
  <c r="AAA1495" i="10"/>
  <c r="AAA1497" i="10"/>
  <c r="AAA1492" i="10"/>
  <c r="AAA1499" i="10"/>
  <c r="AAA1500" i="10"/>
  <c r="AAA1503" i="10"/>
  <c r="AAA1506" i="10"/>
  <c r="AAA1501" i="10"/>
  <c r="AAA1502" i="10"/>
  <c r="AAA1509" i="10"/>
  <c r="AAA1507" i="10"/>
  <c r="AAA1505" i="10"/>
  <c r="AAA1504" i="10"/>
  <c r="AAA1508" i="10"/>
  <c r="AAA1510" i="10"/>
  <c r="NE1517" i="10"/>
  <c r="NE1516" i="10"/>
  <c r="NE1514" i="10"/>
  <c r="NE1519" i="10"/>
  <c r="NE1515" i="10"/>
  <c r="NE1518" i="10"/>
  <c r="NE1520" i="10"/>
  <c r="NE1521" i="10"/>
  <c r="NE1524" i="10"/>
  <c r="NE1528" i="10"/>
  <c r="NE1529" i="10"/>
  <c r="NE1522" i="10"/>
  <c r="NE1523" i="10"/>
  <c r="NE1526" i="10"/>
  <c r="NE1527" i="10"/>
  <c r="NE1531" i="10"/>
  <c r="NE1532" i="10"/>
  <c r="NE1530" i="10"/>
  <c r="NE1533" i="10"/>
  <c r="NE1525" i="10"/>
  <c r="SU1503" i="10"/>
  <c r="SU1502" i="10"/>
  <c r="SU1510" i="10"/>
  <c r="SU1498" i="10"/>
  <c r="SU1508" i="10"/>
  <c r="SU1504" i="10"/>
  <c r="SU1507" i="10"/>
  <c r="SU1500" i="10"/>
  <c r="SU1493" i="10"/>
  <c r="SU1509" i="10"/>
  <c r="SU1506" i="10"/>
  <c r="SU1499" i="10"/>
  <c r="SU1495" i="10"/>
  <c r="SU1501" i="10"/>
  <c r="SU1496" i="10"/>
  <c r="SU1497" i="10"/>
  <c r="SU1492" i="10"/>
  <c r="SU1491" i="10"/>
  <c r="SU1505" i="10"/>
  <c r="SU1494" i="10"/>
  <c r="HR1517" i="10"/>
  <c r="HR1516" i="10"/>
  <c r="HR1518" i="10"/>
  <c r="HR1514" i="10"/>
  <c r="HR1515" i="10"/>
  <c r="HR1520" i="10"/>
  <c r="HR1519" i="10"/>
  <c r="HR1523" i="10"/>
  <c r="HR1521" i="10"/>
  <c r="HR1522" i="10"/>
  <c r="HR1524" i="10"/>
  <c r="HR1525" i="10"/>
  <c r="HR1526" i="10"/>
  <c r="HR1528" i="10"/>
  <c r="HR1529" i="10"/>
  <c r="HR1527" i="10"/>
  <c r="HR1533" i="10"/>
  <c r="HR1531" i="10"/>
  <c r="HR1532" i="10"/>
  <c r="HR1530" i="10"/>
  <c r="PE1491" i="10"/>
  <c r="PE1493" i="10"/>
  <c r="PE1492" i="10"/>
  <c r="PE1494" i="10"/>
  <c r="PE1499" i="10"/>
  <c r="PE1500" i="10"/>
  <c r="PE1496" i="10"/>
  <c r="PE1498" i="10"/>
  <c r="PE1501" i="10"/>
  <c r="PE1502" i="10"/>
  <c r="PE1505" i="10"/>
  <c r="PE1497" i="10"/>
  <c r="PE1504" i="10"/>
  <c r="PE1495" i="10"/>
  <c r="PE1503" i="10"/>
  <c r="PE1506" i="10"/>
  <c r="PE1508" i="10"/>
  <c r="PE1507" i="10"/>
  <c r="PE1510" i="10"/>
  <c r="PE1509" i="10"/>
  <c r="CC1517" i="10"/>
  <c r="CC1518" i="10"/>
  <c r="CC1514" i="10"/>
  <c r="CC1515" i="10"/>
  <c r="CC1516" i="10"/>
  <c r="CC1522" i="10"/>
  <c r="CC1524" i="10"/>
  <c r="CC1519" i="10"/>
  <c r="CC1520" i="10"/>
  <c r="CC1521" i="10"/>
  <c r="CC1523" i="10"/>
  <c r="CC1525" i="10"/>
  <c r="CC1526" i="10"/>
  <c r="CC1527" i="10"/>
  <c r="CC1528" i="10"/>
  <c r="CC1530" i="10"/>
  <c r="CC1529" i="10"/>
  <c r="CC1532" i="10"/>
  <c r="CC1531" i="10"/>
  <c r="CC1533" i="10"/>
  <c r="JQ1491" i="10"/>
  <c r="JQ1494" i="10"/>
  <c r="JQ1499" i="10"/>
  <c r="JQ1492" i="10"/>
  <c r="JQ1496" i="10"/>
  <c r="JQ1498" i="10"/>
  <c r="JQ1495" i="10"/>
  <c r="JQ1497" i="10"/>
  <c r="JQ1493" i="10"/>
  <c r="JQ1500" i="10"/>
  <c r="JQ1502" i="10"/>
  <c r="JQ1503" i="10"/>
  <c r="JQ1506" i="10"/>
  <c r="JQ1501" i="10"/>
  <c r="JQ1508" i="10"/>
  <c r="JQ1509" i="10"/>
  <c r="JQ1507" i="10"/>
  <c r="JQ1505" i="10"/>
  <c r="JQ1504" i="10"/>
  <c r="JQ1510" i="10"/>
  <c r="IH1516" i="10"/>
  <c r="IH1515" i="10"/>
  <c r="IH1514" i="10"/>
  <c r="IH1518" i="10"/>
  <c r="IH1517" i="10"/>
  <c r="IH1523" i="10"/>
  <c r="IH1521" i="10"/>
  <c r="IH1522" i="10"/>
  <c r="IH1524" i="10"/>
  <c r="IH1525" i="10"/>
  <c r="IH1519" i="10"/>
  <c r="IH1527" i="10"/>
  <c r="IH1520" i="10"/>
  <c r="IH1528" i="10"/>
  <c r="IH1526" i="10"/>
  <c r="IH1529" i="10"/>
  <c r="IH1531" i="10"/>
  <c r="IH1532" i="10"/>
  <c r="IH1530" i="10"/>
  <c r="IH1533" i="10"/>
  <c r="PU1493" i="10"/>
  <c r="PU1492" i="10"/>
  <c r="PU1496" i="10"/>
  <c r="PU1498" i="10"/>
  <c r="PU1495" i="10"/>
  <c r="PU1497" i="10"/>
  <c r="PU1494" i="10"/>
  <c r="PU1491" i="10"/>
  <c r="PU1499" i="10"/>
  <c r="PU1500" i="10"/>
  <c r="PU1501" i="10"/>
  <c r="PU1507" i="10"/>
  <c r="PU1505" i="10"/>
  <c r="PU1502" i="10"/>
  <c r="PU1503" i="10"/>
  <c r="PU1506" i="10"/>
  <c r="PU1508" i="10"/>
  <c r="PU1509" i="10"/>
  <c r="PU1504" i="10"/>
  <c r="PU1510" i="10"/>
  <c r="DE1517" i="10"/>
  <c r="DE1516" i="10"/>
  <c r="DE1515" i="10"/>
  <c r="DE1518" i="10"/>
  <c r="DE1520" i="10"/>
  <c r="DE1519" i="10"/>
  <c r="DE1514" i="10"/>
  <c r="DE1525" i="10"/>
  <c r="DE1521" i="10"/>
  <c r="DE1523" i="10"/>
  <c r="DE1524" i="10"/>
  <c r="DE1529" i="10"/>
  <c r="DE1527" i="10"/>
  <c r="DE1528" i="10"/>
  <c r="DE1522" i="10"/>
  <c r="DE1532" i="10"/>
  <c r="DE1531" i="10"/>
  <c r="DE1526" i="10"/>
  <c r="DE1533" i="10"/>
  <c r="DE1530" i="10"/>
  <c r="KR1494" i="10"/>
  <c r="KR1505" i="10"/>
  <c r="KR1492" i="10"/>
  <c r="KR1495" i="10"/>
  <c r="KR1499" i="10"/>
  <c r="KR1502" i="10"/>
  <c r="KR1508" i="10"/>
  <c r="KR1491" i="10"/>
  <c r="KR1496" i="10"/>
  <c r="KR1493" i="10"/>
  <c r="KR1510" i="10"/>
  <c r="KR1498" i="10"/>
  <c r="KR1501" i="10"/>
  <c r="KR1504" i="10"/>
  <c r="KR1507" i="10"/>
  <c r="KR1500" i="10"/>
  <c r="KR1509" i="10"/>
  <c r="KR1497" i="10"/>
  <c r="KR1503" i="10"/>
  <c r="KR1506" i="10"/>
  <c r="AFK1503" i="10"/>
  <c r="AFK1494" i="10"/>
  <c r="AFK1501" i="10"/>
  <c r="AFK1502" i="10"/>
  <c r="AFK1496" i="10"/>
  <c r="AFK1499" i="10"/>
  <c r="AFK1495" i="10"/>
  <c r="AFK1508" i="10"/>
  <c r="AFK1497" i="10"/>
  <c r="AFK1509" i="10"/>
  <c r="AFK1506" i="10"/>
  <c r="AFK1505" i="10"/>
  <c r="AFK1507" i="10"/>
  <c r="AFK1510" i="10"/>
  <c r="AFK1491" i="10"/>
  <c r="AFK1492" i="10"/>
  <c r="AFK1493" i="10"/>
  <c r="AFK1500" i="10"/>
  <c r="AFK1498" i="10"/>
  <c r="AFK1504" i="10"/>
  <c r="UP1515" i="10"/>
  <c r="UP1516" i="10"/>
  <c r="UP1514" i="10"/>
  <c r="UP1520" i="10"/>
  <c r="UP1518" i="10"/>
  <c r="UP1519" i="10"/>
  <c r="UP1517" i="10"/>
  <c r="UP1522" i="10"/>
  <c r="UP1524" i="10"/>
  <c r="UP1521" i="10"/>
  <c r="UP1523" i="10"/>
  <c r="UP1525" i="10"/>
  <c r="UP1528" i="10"/>
  <c r="UP1526" i="10"/>
  <c r="UP1529" i="10"/>
  <c r="UP1527" i="10"/>
  <c r="UP1530" i="10"/>
  <c r="UP1531" i="10"/>
  <c r="UP1533" i="10"/>
  <c r="UP1532" i="10"/>
  <c r="ABT1493" i="10"/>
  <c r="ABT1492" i="10"/>
  <c r="ABT1496" i="10"/>
  <c r="ABT1498" i="10"/>
  <c r="ABT1491" i="10"/>
  <c r="ABT1495" i="10"/>
  <c r="ABT1497" i="10"/>
  <c r="ABT1494" i="10"/>
  <c r="ABT1500" i="10"/>
  <c r="ABT1501" i="10"/>
  <c r="ABT1508" i="10"/>
  <c r="ABT1502" i="10"/>
  <c r="ABT1509" i="10"/>
  <c r="ABT1507" i="10"/>
  <c r="ABT1504" i="10"/>
  <c r="ABT1503" i="10"/>
  <c r="ABT1506" i="10"/>
  <c r="ABT1505" i="10"/>
  <c r="ABT1510" i="10"/>
  <c r="ABT1499" i="10"/>
  <c r="DV1516" i="10"/>
  <c r="DV1514" i="10"/>
  <c r="DV1518" i="10"/>
  <c r="DV1519" i="10"/>
  <c r="DV1521" i="10"/>
  <c r="DV1520" i="10"/>
  <c r="DV1523" i="10"/>
  <c r="DV1515" i="10"/>
  <c r="DV1517" i="10"/>
  <c r="DV1525" i="10"/>
  <c r="DV1524" i="10"/>
  <c r="DV1528" i="10"/>
  <c r="DV1529" i="10"/>
  <c r="DV1526" i="10"/>
  <c r="DV1531" i="10"/>
  <c r="DV1527" i="10"/>
  <c r="DV1530" i="10"/>
  <c r="DV1532" i="10"/>
  <c r="DV1522" i="10"/>
  <c r="DV1533" i="10"/>
  <c r="PB1515" i="10"/>
  <c r="PB1514" i="10"/>
  <c r="PB1516" i="10"/>
  <c r="PB1517" i="10"/>
  <c r="PB1520" i="10"/>
  <c r="PB1522" i="10"/>
  <c r="PB1523" i="10"/>
  <c r="PB1518" i="10"/>
  <c r="PB1519" i="10"/>
  <c r="PB1521" i="10"/>
  <c r="PB1528" i="10"/>
  <c r="PB1525" i="10"/>
  <c r="PB1527" i="10"/>
  <c r="PB1530" i="10"/>
  <c r="PB1531" i="10"/>
  <c r="PB1532" i="10"/>
  <c r="PB1524" i="10"/>
  <c r="PB1526" i="10"/>
  <c r="PB1533" i="10"/>
  <c r="PB1529" i="10"/>
  <c r="WO1491" i="10"/>
  <c r="WO1493" i="10"/>
  <c r="WO1492" i="10"/>
  <c r="WO1494" i="10"/>
  <c r="WO1499" i="10"/>
  <c r="WO1500" i="10"/>
  <c r="WO1496" i="10"/>
  <c r="WO1501" i="10"/>
  <c r="WO1497" i="10"/>
  <c r="WO1502" i="10"/>
  <c r="WO1505" i="10"/>
  <c r="WO1504" i="10"/>
  <c r="WO1503" i="10"/>
  <c r="WO1506" i="10"/>
  <c r="WO1508" i="10"/>
  <c r="WO1507" i="10"/>
  <c r="WO1495" i="10"/>
  <c r="WO1510" i="10"/>
  <c r="WO1498" i="10"/>
  <c r="WO1509" i="10"/>
  <c r="AFV1492" i="10"/>
  <c r="AFV1491" i="10"/>
  <c r="AFV1494" i="10"/>
  <c r="AFV1496" i="10"/>
  <c r="AFV1495" i="10"/>
  <c r="AFV1497" i="10"/>
  <c r="AFV1498" i="10"/>
  <c r="AFV1500" i="10"/>
  <c r="AFV1493" i="10"/>
  <c r="AFV1499" i="10"/>
  <c r="AFV1501" i="10"/>
  <c r="AFV1507" i="10"/>
  <c r="AFV1505" i="10"/>
  <c r="AFV1502" i="10"/>
  <c r="AFV1504" i="10"/>
  <c r="AFV1503" i="10"/>
  <c r="AFV1506" i="10"/>
  <c r="AFV1509" i="10"/>
  <c r="AFV1510" i="10"/>
  <c r="AFV1508" i="10"/>
  <c r="AEA1524" i="10"/>
  <c r="AEA1532" i="10"/>
  <c r="AEA1533" i="10"/>
  <c r="AEA1514" i="10"/>
  <c r="AEA1520" i="10"/>
  <c r="AEA1519" i="10"/>
  <c r="AEA1531" i="10"/>
  <c r="AEA1528" i="10"/>
  <c r="AEA1518" i="10"/>
  <c r="AEA1530" i="10"/>
  <c r="AEA1523" i="10"/>
  <c r="AEA1527" i="10"/>
  <c r="AEA1522" i="10"/>
  <c r="AEA1526" i="10"/>
  <c r="AEA1525" i="10"/>
  <c r="AEA1515" i="10"/>
  <c r="AEA1521" i="10"/>
  <c r="AEA1516" i="10"/>
  <c r="AEA1517" i="10"/>
  <c r="AEA1529" i="10"/>
  <c r="BB1493" i="10"/>
  <c r="BB1492" i="10"/>
  <c r="BB1491" i="10"/>
  <c r="BB1495" i="10"/>
  <c r="BB1497" i="10"/>
  <c r="BB1496" i="10"/>
  <c r="BB1498" i="10"/>
  <c r="BB1500" i="10"/>
  <c r="BB1501" i="10"/>
  <c r="BB1499" i="10"/>
  <c r="BB1508" i="10"/>
  <c r="BB1502" i="10"/>
  <c r="BB1506" i="10"/>
  <c r="BB1505" i="10"/>
  <c r="BB1504" i="10"/>
  <c r="BB1507" i="10"/>
  <c r="BB1494" i="10"/>
  <c r="BB1510" i="10"/>
  <c r="BB1509" i="10"/>
  <c r="BB1503" i="10"/>
  <c r="MM1526" i="10"/>
  <c r="MM1533" i="10"/>
  <c r="MM1522" i="10"/>
  <c r="MM1520" i="10"/>
  <c r="MM1524" i="10"/>
  <c r="MM1521" i="10"/>
  <c r="MM1527" i="10"/>
  <c r="MM1528" i="10"/>
  <c r="MM1529" i="10"/>
  <c r="MM1516" i="10"/>
  <c r="MM1518" i="10"/>
  <c r="MM1531" i="10"/>
  <c r="MM1517" i="10"/>
  <c r="MM1515" i="10"/>
  <c r="MM1523" i="10"/>
  <c r="MM1530" i="10"/>
  <c r="MM1519" i="10"/>
  <c r="MM1525" i="10"/>
  <c r="MM1514" i="10"/>
  <c r="MM1532" i="10"/>
  <c r="ABE1514" i="10"/>
  <c r="ABE1519" i="10"/>
  <c r="ABE1523" i="10"/>
  <c r="ABE1524" i="10"/>
  <c r="ABE1520" i="10"/>
  <c r="ABE1522" i="10"/>
  <c r="ABE1525" i="10"/>
  <c r="ABE1527" i="10"/>
  <c r="ABE1528" i="10"/>
  <c r="ABE1526" i="10"/>
  <c r="ABE1518" i="10"/>
  <c r="ABE1521" i="10"/>
  <c r="ABE1531" i="10"/>
  <c r="ABE1529" i="10"/>
  <c r="ABE1530" i="10"/>
  <c r="ABE1532" i="10"/>
  <c r="ABE1533" i="10"/>
  <c r="ABE1516" i="10"/>
  <c r="ABE1517" i="10"/>
  <c r="ABE1515" i="10"/>
  <c r="CG1491" i="10"/>
  <c r="CG1492" i="10"/>
  <c r="CG1494" i="10"/>
  <c r="CG1497" i="10"/>
  <c r="CG1499" i="10"/>
  <c r="CG1496" i="10"/>
  <c r="CG1498" i="10"/>
  <c r="CG1495" i="10"/>
  <c r="CG1493" i="10"/>
  <c r="CG1502" i="10"/>
  <c r="CG1500" i="10"/>
  <c r="CG1501" i="10"/>
  <c r="CG1503" i="10"/>
  <c r="CG1509" i="10"/>
  <c r="CG1508" i="10"/>
  <c r="CG1505" i="10"/>
  <c r="CG1504" i="10"/>
  <c r="CG1507" i="10"/>
  <c r="CG1506" i="10"/>
  <c r="CG1510" i="10"/>
  <c r="GQ1523" i="10"/>
  <c r="GQ1516" i="10"/>
  <c r="GQ1527" i="10"/>
  <c r="GQ1521" i="10"/>
  <c r="GQ1515" i="10"/>
  <c r="GQ1520" i="10"/>
  <c r="GQ1522" i="10"/>
  <c r="GQ1519" i="10"/>
  <c r="GQ1532" i="10"/>
  <c r="GQ1526" i="10"/>
  <c r="GQ1528" i="10"/>
  <c r="GQ1525" i="10"/>
  <c r="GQ1530" i="10"/>
  <c r="GQ1531" i="10"/>
  <c r="GQ1533" i="10"/>
  <c r="GQ1514" i="10"/>
  <c r="GQ1529" i="10"/>
  <c r="GQ1517" i="10"/>
  <c r="GQ1524" i="10"/>
  <c r="GQ1518" i="10"/>
  <c r="ADS1533" i="10"/>
  <c r="ADS1514" i="10"/>
  <c r="ADS1520" i="10"/>
  <c r="ADS1526" i="10"/>
  <c r="ADS1515" i="10"/>
  <c r="ADS1525" i="10"/>
  <c r="ADS1527" i="10"/>
  <c r="ADS1523" i="10"/>
  <c r="ADS1522" i="10"/>
  <c r="ADS1529" i="10"/>
  <c r="ADS1528" i="10"/>
  <c r="ADS1516" i="10"/>
  <c r="ADS1521" i="10"/>
  <c r="ADS1519" i="10"/>
  <c r="ADS1517" i="10"/>
  <c r="ADS1532" i="10"/>
  <c r="ADS1524" i="10"/>
  <c r="ADS1531" i="10"/>
  <c r="ADS1518" i="10"/>
  <c r="ADS1530" i="10"/>
  <c r="ZZ1531" i="10"/>
  <c r="ZZ1532" i="10"/>
  <c r="ZZ1521" i="10"/>
  <c r="ZZ1533" i="10"/>
  <c r="ZZ1530" i="10"/>
  <c r="ZZ1524" i="10"/>
  <c r="ZZ1522" i="10"/>
  <c r="ZZ1515" i="10"/>
  <c r="ZZ1529" i="10"/>
  <c r="ZZ1526" i="10"/>
  <c r="ZZ1528" i="10"/>
  <c r="ZZ1517" i="10"/>
  <c r="ZZ1523" i="10"/>
  <c r="ZZ1516" i="10"/>
  <c r="ZZ1518" i="10"/>
  <c r="ZZ1525" i="10"/>
  <c r="ZZ1519" i="10"/>
  <c r="ZZ1520" i="10"/>
  <c r="ZZ1527" i="10"/>
  <c r="ZZ1514" i="10"/>
  <c r="IK1491" i="10"/>
  <c r="IK1494" i="10"/>
  <c r="IK1499" i="10"/>
  <c r="IK1492" i="10"/>
  <c r="IK1496" i="10"/>
  <c r="IK1498" i="10"/>
  <c r="IK1495" i="10"/>
  <c r="IK1497" i="10"/>
  <c r="IK1502" i="10"/>
  <c r="IK1493" i="10"/>
  <c r="IK1503" i="10"/>
  <c r="IK1508" i="10"/>
  <c r="IK1501" i="10"/>
  <c r="IK1500" i="10"/>
  <c r="IK1506" i="10"/>
  <c r="IK1507" i="10"/>
  <c r="IK1505" i="10"/>
  <c r="IK1504" i="10"/>
  <c r="IK1509" i="10"/>
  <c r="IK1510" i="10"/>
  <c r="XS1514" i="10"/>
  <c r="XS1517" i="10"/>
  <c r="XS1518" i="10"/>
  <c r="XS1519" i="10"/>
  <c r="XS1516" i="10"/>
  <c r="XS1515" i="10"/>
  <c r="XS1521" i="10"/>
  <c r="XS1523" i="10"/>
  <c r="XS1520" i="10"/>
  <c r="XS1522" i="10"/>
  <c r="XS1524" i="10"/>
  <c r="XS1525" i="10"/>
  <c r="XS1528" i="10"/>
  <c r="XS1531" i="10"/>
  <c r="XS1532" i="10"/>
  <c r="XS1529" i="10"/>
  <c r="XS1530" i="10"/>
  <c r="XS1527" i="10"/>
  <c r="XS1526" i="10"/>
  <c r="XS1533" i="10"/>
  <c r="AEC1492" i="10"/>
  <c r="AEC1491" i="10"/>
  <c r="AEC1495" i="10"/>
  <c r="AEC1497" i="10"/>
  <c r="AEC1493" i="10"/>
  <c r="AEC1496" i="10"/>
  <c r="AEC1498" i="10"/>
  <c r="AEC1501" i="10"/>
  <c r="AEC1500" i="10"/>
  <c r="AEC1494" i="10"/>
  <c r="AEC1499" i="10"/>
  <c r="AEC1507" i="10"/>
  <c r="AEC1505" i="10"/>
  <c r="AEC1504" i="10"/>
  <c r="AEC1502" i="10"/>
  <c r="AEC1508" i="10"/>
  <c r="AEC1510" i="10"/>
  <c r="AEC1506" i="10"/>
  <c r="AEC1509" i="10"/>
  <c r="AEC1503" i="10"/>
  <c r="XK1516" i="10"/>
  <c r="XK1515" i="10"/>
  <c r="XK1514" i="10"/>
  <c r="XK1518" i="10"/>
  <c r="XK1519" i="10"/>
  <c r="XK1517" i="10"/>
  <c r="XK1521" i="10"/>
  <c r="XK1522" i="10"/>
  <c r="XK1523" i="10"/>
  <c r="XK1527" i="10"/>
  <c r="XK1520" i="10"/>
  <c r="XK1524" i="10"/>
  <c r="XK1528" i="10"/>
  <c r="XK1525" i="10"/>
  <c r="XK1526" i="10"/>
  <c r="XK1529" i="10"/>
  <c r="XK1532" i="10"/>
  <c r="XK1530" i="10"/>
  <c r="XK1533" i="10"/>
  <c r="XK1531" i="10"/>
  <c r="VR1492" i="10"/>
  <c r="VR1491" i="10"/>
  <c r="VR1493" i="10"/>
  <c r="VR1494" i="10"/>
  <c r="VR1499" i="10"/>
  <c r="VR1496" i="10"/>
  <c r="VR1498" i="10"/>
  <c r="VR1501" i="10"/>
  <c r="VR1500" i="10"/>
  <c r="VR1495" i="10"/>
  <c r="VR1497" i="10"/>
  <c r="VR1504" i="10"/>
  <c r="VR1503" i="10"/>
  <c r="VR1506" i="10"/>
  <c r="VR1508" i="10"/>
  <c r="VR1502" i="10"/>
  <c r="VR1509" i="10"/>
  <c r="VR1505" i="10"/>
  <c r="VR1507" i="10"/>
  <c r="VR1510" i="10"/>
  <c r="KM1522" i="10"/>
  <c r="KM1519" i="10"/>
  <c r="KM1528" i="10"/>
  <c r="KM1525" i="10"/>
  <c r="KM1524" i="10"/>
  <c r="KM1532" i="10"/>
  <c r="KM1518" i="10"/>
  <c r="KM1527" i="10"/>
  <c r="KM1520" i="10"/>
  <c r="KM1514" i="10"/>
  <c r="KM1531" i="10"/>
  <c r="KM1530" i="10"/>
  <c r="KM1529" i="10"/>
  <c r="KM1533" i="10"/>
  <c r="KM1523" i="10"/>
  <c r="KM1521" i="10"/>
  <c r="KM1516" i="10"/>
  <c r="KM1517" i="10"/>
  <c r="KM1526" i="10"/>
  <c r="KM1515" i="10"/>
  <c r="EX1491" i="10"/>
  <c r="EX1492" i="10"/>
  <c r="EX1494" i="10"/>
  <c r="EX1499" i="10"/>
  <c r="EX1496" i="10"/>
  <c r="EX1495" i="10"/>
  <c r="EX1497" i="10"/>
  <c r="EX1493" i="10"/>
  <c r="EX1500" i="10"/>
  <c r="EX1502" i="10"/>
  <c r="EX1498" i="10"/>
  <c r="EX1501" i="10"/>
  <c r="EX1503" i="10"/>
  <c r="EX1506" i="10"/>
  <c r="EX1507" i="10"/>
  <c r="EX1509" i="10"/>
  <c r="EX1505" i="10"/>
  <c r="EX1508" i="10"/>
  <c r="EX1504" i="10"/>
  <c r="EX1510" i="10"/>
  <c r="AAX1532" i="10"/>
  <c r="AAX1528" i="10"/>
  <c r="AAX1527" i="10"/>
  <c r="AAX1530" i="10"/>
  <c r="AAX1518" i="10"/>
  <c r="AAX1522" i="10"/>
  <c r="AAX1533" i="10"/>
  <c r="AAX1514" i="10"/>
  <c r="AAX1531" i="10"/>
  <c r="AAX1515" i="10"/>
  <c r="AAX1526" i="10"/>
  <c r="AAX1529" i="10"/>
  <c r="AAX1523" i="10"/>
  <c r="AAX1521" i="10"/>
  <c r="AAX1516" i="10"/>
  <c r="AAX1524" i="10"/>
  <c r="AAX1525" i="10"/>
  <c r="AAX1517" i="10"/>
  <c r="AAX1519" i="10"/>
  <c r="AAX1520" i="10"/>
  <c r="EV1493" i="10"/>
  <c r="EV1492" i="10"/>
  <c r="EV1496" i="10"/>
  <c r="EV1495" i="10"/>
  <c r="EV1497" i="10"/>
  <c r="EV1491" i="10"/>
  <c r="EV1498" i="10"/>
  <c r="EV1494" i="10"/>
  <c r="EV1499" i="10"/>
  <c r="EV1502" i="10"/>
  <c r="EV1501" i="10"/>
  <c r="EV1500" i="10"/>
  <c r="EV1507" i="10"/>
  <c r="EV1505" i="10"/>
  <c r="EV1508" i="10"/>
  <c r="EV1503" i="10"/>
  <c r="EV1506" i="10"/>
  <c r="EV1509" i="10"/>
  <c r="EV1504" i="10"/>
  <c r="EV1510" i="10"/>
  <c r="FS1523" i="10"/>
  <c r="FS1516" i="10"/>
  <c r="FS1527" i="10"/>
  <c r="FS1532" i="10"/>
  <c r="FS1531" i="10"/>
  <c r="FS1533" i="10"/>
  <c r="FS1526" i="10"/>
  <c r="FS1518" i="10"/>
  <c r="FS1525" i="10"/>
  <c r="FS1524" i="10"/>
  <c r="FS1530" i="10"/>
  <c r="FS1515" i="10"/>
  <c r="FS1517" i="10"/>
  <c r="FS1514" i="10"/>
  <c r="FS1529" i="10"/>
  <c r="FS1522" i="10"/>
  <c r="FS1519" i="10"/>
  <c r="FS1521" i="10"/>
  <c r="FS1528" i="10"/>
  <c r="FS1520" i="10"/>
  <c r="LI1491" i="10"/>
  <c r="LI1493" i="10"/>
  <c r="LI1494" i="10"/>
  <c r="LI1499" i="10"/>
  <c r="LI1496" i="10"/>
  <c r="LI1498" i="10"/>
  <c r="LI1495" i="10"/>
  <c r="LI1497" i="10"/>
  <c r="LI1492" i="10"/>
  <c r="LI1502" i="10"/>
  <c r="LI1503" i="10"/>
  <c r="LI1506" i="10"/>
  <c r="LI1508" i="10"/>
  <c r="LI1509" i="10"/>
  <c r="LI1501" i="10"/>
  <c r="LI1507" i="10"/>
  <c r="LI1505" i="10"/>
  <c r="LI1504" i="10"/>
  <c r="LI1500" i="10"/>
  <c r="LI1510" i="10"/>
  <c r="GW1516" i="10"/>
  <c r="GW1517" i="10"/>
  <c r="GW1514" i="10"/>
  <c r="GW1515" i="10"/>
  <c r="GW1518" i="10"/>
  <c r="GW1520" i="10"/>
  <c r="GW1519" i="10"/>
  <c r="GW1523" i="10"/>
  <c r="GW1521" i="10"/>
  <c r="GW1522" i="10"/>
  <c r="GW1524" i="10"/>
  <c r="GW1525" i="10"/>
  <c r="GW1526" i="10"/>
  <c r="GW1527" i="10"/>
  <c r="GW1528" i="10"/>
  <c r="GW1533" i="10"/>
  <c r="GW1531" i="10"/>
  <c r="GW1532" i="10"/>
  <c r="GW1529" i="10"/>
  <c r="GW1530" i="10"/>
  <c r="SC1493" i="10"/>
  <c r="SC1492" i="10"/>
  <c r="SC1491" i="10"/>
  <c r="SC1494" i="10"/>
  <c r="SC1496" i="10"/>
  <c r="SC1495" i="10"/>
  <c r="SC1497" i="10"/>
  <c r="SC1499" i="10"/>
  <c r="SC1498" i="10"/>
  <c r="SC1501" i="10"/>
  <c r="SC1507" i="10"/>
  <c r="SC1505" i="10"/>
  <c r="SC1500" i="10"/>
  <c r="SC1502" i="10"/>
  <c r="SC1504" i="10"/>
  <c r="SC1503" i="10"/>
  <c r="SC1506" i="10"/>
  <c r="SC1509" i="10"/>
  <c r="SC1508" i="10"/>
  <c r="SC1510" i="10"/>
  <c r="ACT1526" i="10"/>
  <c r="ACT1532" i="10"/>
  <c r="ACT1529" i="10"/>
  <c r="ACT1519" i="10"/>
  <c r="ACT1528" i="10"/>
  <c r="ACT1525" i="10"/>
  <c r="ACT1531" i="10"/>
  <c r="ACT1524" i="10"/>
  <c r="ACT1514" i="10"/>
  <c r="ACT1515" i="10"/>
  <c r="ACT1533" i="10"/>
  <c r="ACT1516" i="10"/>
  <c r="ACT1523" i="10"/>
  <c r="ACT1521" i="10"/>
  <c r="ACT1530" i="10"/>
  <c r="ACT1517" i="10"/>
  <c r="ACT1520" i="10"/>
  <c r="ACT1518" i="10"/>
  <c r="ACT1522" i="10"/>
  <c r="ACT1527" i="10"/>
  <c r="XR1492" i="10"/>
  <c r="XR1491" i="10"/>
  <c r="XR1494" i="10"/>
  <c r="XR1496" i="10"/>
  <c r="XR1498" i="10"/>
  <c r="XR1495" i="10"/>
  <c r="XR1499" i="10"/>
  <c r="XR1497" i="10"/>
  <c r="XR1501" i="10"/>
  <c r="XR1504" i="10"/>
  <c r="XR1503" i="10"/>
  <c r="XR1506" i="10"/>
  <c r="XR1502" i="10"/>
  <c r="XR1508" i="10"/>
  <c r="XR1493" i="10"/>
  <c r="XR1500" i="10"/>
  <c r="XR1509" i="10"/>
  <c r="XR1505" i="10"/>
  <c r="XR1507" i="10"/>
  <c r="XR1510" i="10"/>
  <c r="AEU1531" i="10"/>
  <c r="AEU1533" i="10"/>
  <c r="AEU1514" i="10"/>
  <c r="AEU1525" i="10"/>
  <c r="AEU1529" i="10"/>
  <c r="AEU1518" i="10"/>
  <c r="AEU1516" i="10"/>
  <c r="AEU1530" i="10"/>
  <c r="AEU1521" i="10"/>
  <c r="AEU1520" i="10"/>
  <c r="AEU1526" i="10"/>
  <c r="AEU1523" i="10"/>
  <c r="AEU1515" i="10"/>
  <c r="AEU1527" i="10"/>
  <c r="AEU1524" i="10"/>
  <c r="AEU1528" i="10"/>
  <c r="AEU1519" i="10"/>
  <c r="AEU1532" i="10"/>
  <c r="AEU1517" i="10"/>
  <c r="AEU1522" i="10"/>
  <c r="KK1532" i="10"/>
  <c r="KK1528" i="10"/>
  <c r="KK1526" i="10"/>
  <c r="KK1533" i="10"/>
  <c r="KK1531" i="10"/>
  <c r="KK1529" i="10"/>
  <c r="KK1524" i="10"/>
  <c r="KK1530" i="10"/>
  <c r="KK1523" i="10"/>
  <c r="KK1518" i="10"/>
  <c r="KK1517" i="10"/>
  <c r="KK1514" i="10"/>
  <c r="KK1519" i="10"/>
  <c r="KK1516" i="10"/>
  <c r="KK1522" i="10"/>
  <c r="KK1527" i="10"/>
  <c r="KK1521" i="10"/>
  <c r="KK1525" i="10"/>
  <c r="KK1520" i="10"/>
  <c r="KK1515" i="10"/>
  <c r="TV1492" i="10"/>
  <c r="TV1491" i="10"/>
  <c r="TV1495" i="10"/>
  <c r="TV1497" i="10"/>
  <c r="TV1493" i="10"/>
  <c r="TV1496" i="10"/>
  <c r="TV1498" i="10"/>
  <c r="TV1499" i="10"/>
  <c r="TV1501" i="10"/>
  <c r="TV1494" i="10"/>
  <c r="TV1500" i="10"/>
  <c r="TV1509" i="10"/>
  <c r="TV1507" i="10"/>
  <c r="TV1502" i="10"/>
  <c r="TV1505" i="10"/>
  <c r="TV1504" i="10"/>
  <c r="TV1508" i="10"/>
  <c r="TV1506" i="10"/>
  <c r="TV1510" i="10"/>
  <c r="TV1503" i="10"/>
  <c r="KS1528" i="10"/>
  <c r="KS1521" i="10"/>
  <c r="KS1518" i="10"/>
  <c r="KS1529" i="10"/>
  <c r="KS1520" i="10"/>
  <c r="KS1522" i="10"/>
  <c r="KS1514" i="10"/>
  <c r="KS1527" i="10"/>
  <c r="KS1515" i="10"/>
  <c r="KS1533" i="10"/>
  <c r="KS1526" i="10"/>
  <c r="KS1525" i="10"/>
  <c r="KS1524" i="10"/>
  <c r="KS1523" i="10"/>
  <c r="KS1516" i="10"/>
  <c r="KS1530" i="10"/>
  <c r="KS1517" i="10"/>
  <c r="KS1532" i="10"/>
  <c r="KS1519" i="10"/>
  <c r="KS1531" i="10"/>
  <c r="XE1493" i="10"/>
  <c r="XE1492" i="10"/>
  <c r="XE1491" i="10"/>
  <c r="XE1496" i="10"/>
  <c r="XE1498" i="10"/>
  <c r="XE1495" i="10"/>
  <c r="XE1497" i="10"/>
  <c r="XE1494" i="10"/>
  <c r="XE1499" i="10"/>
  <c r="XE1501" i="10"/>
  <c r="XE1500" i="10"/>
  <c r="XE1507" i="10"/>
  <c r="XE1505" i="10"/>
  <c r="XE1502" i="10"/>
  <c r="XE1503" i="10"/>
  <c r="XE1506" i="10"/>
  <c r="XE1508" i="10"/>
  <c r="XE1504" i="10"/>
  <c r="XE1509" i="10"/>
  <c r="XE1510" i="10"/>
  <c r="IA1508" i="10"/>
  <c r="IA1506" i="10"/>
  <c r="IA1509" i="10"/>
  <c r="IA1510" i="10"/>
  <c r="IA1500" i="10"/>
  <c r="IA1493" i="10"/>
  <c r="IA1501" i="10"/>
  <c r="IA1498" i="10"/>
  <c r="IA1504" i="10"/>
  <c r="IA1491" i="10"/>
  <c r="IA1496" i="10"/>
  <c r="IA1499" i="10"/>
  <c r="IA1503" i="10"/>
  <c r="IA1497" i="10"/>
  <c r="IA1507" i="10"/>
  <c r="IA1502" i="10"/>
  <c r="IA1494" i="10"/>
  <c r="IA1505" i="10"/>
  <c r="IA1492" i="10"/>
  <c r="IA1495" i="10"/>
  <c r="SJ1492" i="10"/>
  <c r="SJ1491" i="10"/>
  <c r="SJ1494" i="10"/>
  <c r="SJ1499" i="10"/>
  <c r="SJ1496" i="10"/>
  <c r="SJ1498" i="10"/>
  <c r="SJ1493" i="10"/>
  <c r="SJ1495" i="10"/>
  <c r="SJ1497" i="10"/>
  <c r="SJ1501" i="10"/>
  <c r="SJ1504" i="10"/>
  <c r="SJ1502" i="10"/>
  <c r="SJ1503" i="10"/>
  <c r="SJ1506" i="10"/>
  <c r="SJ1508" i="10"/>
  <c r="SJ1500" i="10"/>
  <c r="SJ1509" i="10"/>
  <c r="SJ1505" i="10"/>
  <c r="SJ1507" i="10"/>
  <c r="SJ1510" i="10"/>
  <c r="ABQ1532" i="10"/>
  <c r="ABQ1527" i="10"/>
  <c r="ABQ1529" i="10"/>
  <c r="ABQ1533" i="10"/>
  <c r="ABQ1515" i="10"/>
  <c r="ABQ1526" i="10"/>
  <c r="ABQ1514" i="10"/>
  <c r="ABQ1523" i="10"/>
  <c r="ABQ1516" i="10"/>
  <c r="ABQ1522" i="10"/>
  <c r="ABQ1530" i="10"/>
  <c r="ABQ1519" i="10"/>
  <c r="ABQ1531" i="10"/>
  <c r="ABQ1520" i="10"/>
  <c r="ABQ1517" i="10"/>
  <c r="ABQ1525" i="10"/>
  <c r="ABQ1518" i="10"/>
  <c r="ABQ1528" i="10"/>
  <c r="ABQ1521" i="10"/>
  <c r="ABQ1524" i="10"/>
  <c r="FT1514" i="10"/>
  <c r="FT1515" i="10"/>
  <c r="FT1516" i="10"/>
  <c r="FT1517" i="10"/>
  <c r="FT1518" i="10"/>
  <c r="FT1520" i="10"/>
  <c r="FT1519" i="10"/>
  <c r="FT1522" i="10"/>
  <c r="FT1527" i="10"/>
  <c r="FT1523" i="10"/>
  <c r="FT1525" i="10"/>
  <c r="FT1526" i="10"/>
  <c r="FT1521" i="10"/>
  <c r="FT1528" i="10"/>
  <c r="FT1533" i="10"/>
  <c r="FT1529" i="10"/>
  <c r="FT1532" i="10"/>
  <c r="FT1524" i="10"/>
  <c r="FT1530" i="10"/>
  <c r="FT1531" i="10"/>
  <c r="DY1493" i="10"/>
  <c r="DY1492" i="10"/>
  <c r="DY1491" i="10"/>
  <c r="DY1495" i="10"/>
  <c r="DY1497" i="10"/>
  <c r="DY1496" i="10"/>
  <c r="DY1498" i="10"/>
  <c r="DY1494" i="10"/>
  <c r="DY1500" i="10"/>
  <c r="DY1501" i="10"/>
  <c r="DY1499" i="10"/>
  <c r="DY1508" i="10"/>
  <c r="DY1506" i="10"/>
  <c r="DY1505" i="10"/>
  <c r="DY1502" i="10"/>
  <c r="DY1504" i="10"/>
  <c r="DY1507" i="10"/>
  <c r="DY1503" i="10"/>
  <c r="DY1510" i="10"/>
  <c r="DY1509" i="10"/>
  <c r="UV1521" i="10"/>
  <c r="UV1526" i="10"/>
  <c r="UV1517" i="10"/>
  <c r="UV1527" i="10"/>
  <c r="UV1523" i="10"/>
  <c r="UV1529" i="10"/>
  <c r="UV1514" i="10"/>
  <c r="UV1525" i="10"/>
  <c r="UV1531" i="10"/>
  <c r="UV1519" i="10"/>
  <c r="UV1515" i="10"/>
  <c r="UV1530" i="10"/>
  <c r="UV1516" i="10"/>
  <c r="UV1528" i="10"/>
  <c r="UV1532" i="10"/>
  <c r="UV1518" i="10"/>
  <c r="UV1522" i="10"/>
  <c r="UV1520" i="10"/>
  <c r="UV1524" i="10"/>
  <c r="UV1533" i="10"/>
  <c r="AAI1493" i="10"/>
  <c r="AAI1491" i="10"/>
  <c r="AAI1496" i="10"/>
  <c r="AAI1498" i="10"/>
  <c r="AAI1495" i="10"/>
  <c r="AAI1497" i="10"/>
  <c r="AAI1492" i="10"/>
  <c r="AAI1494" i="10"/>
  <c r="AAI1500" i="10"/>
  <c r="AAI1508" i="10"/>
  <c r="AAI1502" i="10"/>
  <c r="AAI1509" i="10"/>
  <c r="AAI1501" i="10"/>
  <c r="AAI1507" i="10"/>
  <c r="AAI1504" i="10"/>
  <c r="AAI1499" i="10"/>
  <c r="AAI1503" i="10"/>
  <c r="AAI1506" i="10"/>
  <c r="AAI1510" i="10"/>
  <c r="AAI1505" i="10"/>
  <c r="TE1491" i="10"/>
  <c r="TE1494" i="10"/>
  <c r="TE1492" i="10"/>
  <c r="TE1496" i="10"/>
  <c r="TE1498" i="10"/>
  <c r="TE1495" i="10"/>
  <c r="TE1497" i="10"/>
  <c r="TE1493" i="10"/>
  <c r="TE1499" i="10"/>
  <c r="TE1500" i="10"/>
  <c r="TE1503" i="10"/>
  <c r="TE1506" i="10"/>
  <c r="TE1508" i="10"/>
  <c r="TE1502" i="10"/>
  <c r="TE1509" i="10"/>
  <c r="TE1507" i="10"/>
  <c r="TE1505" i="10"/>
  <c r="TE1501" i="10"/>
  <c r="TE1504" i="10"/>
  <c r="TE1510" i="10"/>
  <c r="ID1516" i="10"/>
  <c r="ID1518" i="10"/>
  <c r="ID1514" i="10"/>
  <c r="ID1519" i="10"/>
  <c r="ID1515" i="10"/>
  <c r="ID1517" i="10"/>
  <c r="ID1523" i="10"/>
  <c r="ID1521" i="10"/>
  <c r="ID1526" i="10"/>
  <c r="ID1528" i="10"/>
  <c r="ID1527" i="10"/>
  <c r="ID1520" i="10"/>
  <c r="ID1533" i="10"/>
  <c r="ID1531" i="10"/>
  <c r="ID1532" i="10"/>
  <c r="ID1529" i="10"/>
  <c r="ID1530" i="10"/>
  <c r="ID1525" i="10"/>
  <c r="ID1522" i="10"/>
  <c r="ID1524" i="10"/>
  <c r="PR1492" i="10"/>
  <c r="PR1491" i="10"/>
  <c r="PR1495" i="10"/>
  <c r="PR1497" i="10"/>
  <c r="PR1493" i="10"/>
  <c r="PR1496" i="10"/>
  <c r="PR1498" i="10"/>
  <c r="PR1494" i="10"/>
  <c r="PR1500" i="10"/>
  <c r="PR1501" i="10"/>
  <c r="PR1499" i="10"/>
  <c r="PR1509" i="10"/>
  <c r="PR1507" i="10"/>
  <c r="PR1505" i="10"/>
  <c r="PR1502" i="10"/>
  <c r="PR1504" i="10"/>
  <c r="PR1508" i="10"/>
  <c r="PR1503" i="10"/>
  <c r="PR1510" i="10"/>
  <c r="PR1506" i="10"/>
  <c r="CP1516" i="10"/>
  <c r="CP1517" i="10"/>
  <c r="CP1514" i="10"/>
  <c r="CP1515" i="10"/>
  <c r="CP1518" i="10"/>
  <c r="CP1519" i="10"/>
  <c r="CP1521" i="10"/>
  <c r="CP1523" i="10"/>
  <c r="CP1522" i="10"/>
  <c r="CP1524" i="10"/>
  <c r="CP1520" i="10"/>
  <c r="CP1526" i="10"/>
  <c r="CP1527" i="10"/>
  <c r="CP1528" i="10"/>
  <c r="CP1525" i="10"/>
  <c r="CP1533" i="10"/>
  <c r="CP1530" i="10"/>
  <c r="CP1531" i="10"/>
  <c r="CP1529" i="10"/>
  <c r="CP1532" i="10"/>
  <c r="KC1495" i="10"/>
  <c r="KC1496" i="10"/>
  <c r="KC1502" i="10"/>
  <c r="KC1505" i="10"/>
  <c r="KC1493" i="10"/>
  <c r="KC1499" i="10"/>
  <c r="KC1508" i="10"/>
  <c r="KC1491" i="10"/>
  <c r="KC1492" i="10"/>
  <c r="KC1500" i="10"/>
  <c r="KC1509" i="10"/>
  <c r="KC1494" i="10"/>
  <c r="KC1501" i="10"/>
  <c r="KC1504" i="10"/>
  <c r="KC1507" i="10"/>
  <c r="KC1498" i="10"/>
  <c r="KC1510" i="10"/>
  <c r="KC1503" i="10"/>
  <c r="KC1497" i="10"/>
  <c r="KC1506" i="10"/>
  <c r="AFA1529" i="10"/>
  <c r="AFA1519" i="10"/>
  <c r="AFA1532" i="10"/>
  <c r="AFA1527" i="10"/>
  <c r="AFA1517" i="10"/>
  <c r="AFA1520" i="10"/>
  <c r="AFA1530" i="10"/>
  <c r="AFA1531" i="10"/>
  <c r="AFA1526" i="10"/>
  <c r="AFA1524" i="10"/>
  <c r="AFA1523" i="10"/>
  <c r="AFA1516" i="10"/>
  <c r="AFA1528" i="10"/>
  <c r="AFA1525" i="10"/>
  <c r="AFA1518" i="10"/>
  <c r="AFA1521" i="10"/>
  <c r="AFA1515" i="10"/>
  <c r="AFA1522" i="10"/>
  <c r="AFA1514" i="10"/>
  <c r="AFA1533" i="10"/>
  <c r="EY1498" i="10"/>
  <c r="EY1506" i="10"/>
  <c r="EY1507" i="10"/>
  <c r="EY1509" i="10"/>
  <c r="EY1508" i="10"/>
  <c r="EY1510" i="10"/>
  <c r="EY1493" i="10"/>
  <c r="EY1502" i="10"/>
  <c r="EY1503" i="10"/>
  <c r="EY1491" i="10"/>
  <c r="EY1496" i="10"/>
  <c r="EY1497" i="10"/>
  <c r="EY1499" i="10"/>
  <c r="EY1505" i="10"/>
  <c r="EY1494" i="10"/>
  <c r="EY1492" i="10"/>
  <c r="EY1495" i="10"/>
  <c r="EY1501" i="10"/>
  <c r="EY1500" i="10"/>
  <c r="EY1504" i="10"/>
  <c r="ABF1527" i="10"/>
  <c r="ABF1521" i="10"/>
  <c r="ABF1522" i="10"/>
  <c r="ABF1530" i="10"/>
  <c r="ABF1520" i="10"/>
  <c r="ABF1526" i="10"/>
  <c r="ABF1516" i="10"/>
  <c r="ABF1515" i="10"/>
  <c r="ABF1531" i="10"/>
  <c r="ABF1528" i="10"/>
  <c r="ABF1532" i="10"/>
  <c r="ABF1519" i="10"/>
  <c r="ABF1529" i="10"/>
  <c r="ABF1518" i="10"/>
  <c r="ABF1524" i="10"/>
  <c r="ABF1525" i="10"/>
  <c r="ABF1514" i="10"/>
  <c r="ABF1523" i="10"/>
  <c r="ABF1517" i="10"/>
  <c r="ABF1533" i="10"/>
  <c r="X1493" i="10"/>
  <c r="X1492" i="10"/>
  <c r="X1491" i="10"/>
  <c r="X1494" i="10"/>
  <c r="X1496" i="10"/>
  <c r="X1495" i="10"/>
  <c r="X1498" i="10"/>
  <c r="X1499" i="10"/>
  <c r="X1502" i="10"/>
  <c r="X1497" i="10"/>
  <c r="X1500" i="10"/>
  <c r="X1506" i="10"/>
  <c r="X1501" i="10"/>
  <c r="X1505" i="10"/>
  <c r="X1504" i="10"/>
  <c r="X1507" i="10"/>
  <c r="X1503" i="10"/>
  <c r="X1509" i="10"/>
  <c r="X1508" i="10"/>
  <c r="X1510" i="10"/>
  <c r="LE1528" i="10"/>
  <c r="LE1532" i="10"/>
  <c r="LE1531" i="10"/>
  <c r="LE1527" i="10"/>
  <c r="LE1524" i="10"/>
  <c r="LE1520" i="10"/>
  <c r="LE1515" i="10"/>
  <c r="LE1533" i="10"/>
  <c r="LE1522" i="10"/>
  <c r="LE1517" i="10"/>
  <c r="LE1521" i="10"/>
  <c r="LE1530" i="10"/>
  <c r="LE1529" i="10"/>
  <c r="LE1519" i="10"/>
  <c r="LE1518" i="10"/>
  <c r="LE1514" i="10"/>
  <c r="LE1523" i="10"/>
  <c r="LE1525" i="10"/>
  <c r="LE1516" i="10"/>
  <c r="LE1526" i="10"/>
  <c r="WK1529" i="10"/>
  <c r="WK1531" i="10"/>
  <c r="WK1533" i="10"/>
  <c r="WK1522" i="10"/>
  <c r="WK1530" i="10"/>
  <c r="WK1526" i="10"/>
  <c r="WK1516" i="10"/>
  <c r="WK1523" i="10"/>
  <c r="WK1518" i="10"/>
  <c r="WK1525" i="10"/>
  <c r="WK1519" i="10"/>
  <c r="WK1527" i="10"/>
  <c r="WK1517" i="10"/>
  <c r="WK1521" i="10"/>
  <c r="WK1515" i="10"/>
  <c r="WK1528" i="10"/>
  <c r="WK1532" i="10"/>
  <c r="WK1514" i="10"/>
  <c r="WK1520" i="10"/>
  <c r="WK1524" i="10"/>
  <c r="AFS1523" i="10"/>
  <c r="AFS1529" i="10"/>
  <c r="AFS1515" i="10"/>
  <c r="AFS1516" i="10"/>
  <c r="AFS1533" i="10"/>
  <c r="AFS1517" i="10"/>
  <c r="AFS1526" i="10"/>
  <c r="AFS1525" i="10"/>
  <c r="AFS1514" i="10"/>
  <c r="AFS1521" i="10"/>
  <c r="AFS1524" i="10"/>
  <c r="AFS1528" i="10"/>
  <c r="AFS1531" i="10"/>
  <c r="AFS1527" i="10"/>
  <c r="AFS1520" i="10"/>
  <c r="AFS1530" i="10"/>
  <c r="AFS1522" i="10"/>
  <c r="AFS1532" i="10"/>
  <c r="AFS1518" i="10"/>
  <c r="AFS1519" i="10"/>
  <c r="JU1518" i="10"/>
  <c r="JU1515" i="10"/>
  <c r="JU1517" i="10"/>
  <c r="JU1514" i="10"/>
  <c r="JU1516" i="10"/>
  <c r="JU1519" i="10"/>
  <c r="JU1523" i="10"/>
  <c r="JU1527" i="10"/>
  <c r="JU1524" i="10"/>
  <c r="JU1526" i="10"/>
  <c r="JU1521" i="10"/>
  <c r="JU1528" i="10"/>
  <c r="JU1522" i="10"/>
  <c r="JU1525" i="10"/>
  <c r="JU1520" i="10"/>
  <c r="JU1533" i="10"/>
  <c r="JU1531" i="10"/>
  <c r="JU1532" i="10"/>
  <c r="JU1529" i="10"/>
  <c r="JU1530" i="10"/>
  <c r="RG1503" i="10"/>
  <c r="RG1502" i="10"/>
  <c r="RG1491" i="10"/>
  <c r="RG1501" i="10"/>
  <c r="RG1505" i="10"/>
  <c r="RG1495" i="10"/>
  <c r="RG1494" i="10"/>
  <c r="RG1497" i="10"/>
  <c r="RG1499" i="10"/>
  <c r="RG1493" i="10"/>
  <c r="RG1496" i="10"/>
  <c r="RG1508" i="10"/>
  <c r="RG1509" i="10"/>
  <c r="RG1506" i="10"/>
  <c r="RG1500" i="10"/>
  <c r="RG1498" i="10"/>
  <c r="RG1510" i="10"/>
  <c r="RG1507" i="10"/>
  <c r="RG1504" i="10"/>
  <c r="RG1492" i="10"/>
  <c r="LV1492" i="10"/>
  <c r="LV1491" i="10"/>
  <c r="LV1494" i="10"/>
  <c r="LV1499" i="10"/>
  <c r="LV1493" i="10"/>
  <c r="LV1496" i="10"/>
  <c r="LV1498" i="10"/>
  <c r="LV1500" i="10"/>
  <c r="LV1495" i="10"/>
  <c r="LV1497" i="10"/>
  <c r="LV1501" i="10"/>
  <c r="LV1504" i="10"/>
  <c r="LV1502" i="10"/>
  <c r="LV1503" i="10"/>
  <c r="LV1506" i="10"/>
  <c r="LV1508" i="10"/>
  <c r="LV1509" i="10"/>
  <c r="LV1505" i="10"/>
  <c r="LV1507" i="10"/>
  <c r="LV1510" i="10"/>
  <c r="XB1517" i="10"/>
  <c r="XB1514" i="10"/>
  <c r="XB1516" i="10"/>
  <c r="XB1515" i="10"/>
  <c r="XB1524" i="10"/>
  <c r="XB1519" i="10"/>
  <c r="XB1518" i="10"/>
  <c r="XB1520" i="10"/>
  <c r="XB1522" i="10"/>
  <c r="XB1525" i="10"/>
  <c r="XB1521" i="10"/>
  <c r="XB1526" i="10"/>
  <c r="XB1523" i="10"/>
  <c r="XB1529" i="10"/>
  <c r="XB1532" i="10"/>
  <c r="XB1530" i="10"/>
  <c r="XB1528" i="10"/>
  <c r="XB1531" i="10"/>
  <c r="XB1527" i="10"/>
  <c r="XB1533" i="10"/>
  <c r="ADR1492" i="10"/>
  <c r="ADR1491" i="10"/>
  <c r="ADR1494" i="10"/>
  <c r="ADR1500" i="10"/>
  <c r="ADR1493" i="10"/>
  <c r="ADR1495" i="10"/>
  <c r="ADR1501" i="10"/>
  <c r="ADR1497" i="10"/>
  <c r="ADR1498" i="10"/>
  <c r="ADR1496" i="10"/>
  <c r="ADR1499" i="10"/>
  <c r="ADR1505" i="10"/>
  <c r="ADR1504" i="10"/>
  <c r="ADR1503" i="10"/>
  <c r="ADR1506" i="10"/>
  <c r="ADR1502" i="10"/>
  <c r="ADR1508" i="10"/>
  <c r="ADR1509" i="10"/>
  <c r="ADR1507" i="10"/>
  <c r="ADR1510" i="10"/>
  <c r="AGK1524" i="10"/>
  <c r="AGK1525" i="10"/>
  <c r="AGK1527" i="10"/>
  <c r="AGK1528" i="10"/>
  <c r="AGK1529" i="10"/>
  <c r="AGK1531" i="10"/>
  <c r="AGK1532" i="10"/>
  <c r="AGK1533" i="10"/>
  <c r="AGK1530" i="10"/>
  <c r="AGK1518" i="10"/>
  <c r="AGK1519" i="10"/>
  <c r="AGK1517" i="10"/>
  <c r="AGK1516" i="10"/>
  <c r="AGK1526" i="10"/>
  <c r="AGK1514" i="10"/>
  <c r="AGK1520" i="10"/>
  <c r="AGK1523" i="10"/>
  <c r="AGK1522" i="10"/>
  <c r="AGK1515" i="10"/>
  <c r="AGK1521" i="10"/>
  <c r="ES1492" i="10"/>
  <c r="ES1491" i="10"/>
  <c r="ES1493" i="10"/>
  <c r="ES1498" i="10"/>
  <c r="ES1494" i="10"/>
  <c r="ES1500" i="10"/>
  <c r="ES1495" i="10"/>
  <c r="ES1497" i="10"/>
  <c r="ES1501" i="10"/>
  <c r="ES1496" i="10"/>
  <c r="ES1499" i="10"/>
  <c r="ES1505" i="10"/>
  <c r="ES1508" i="10"/>
  <c r="ES1504" i="10"/>
  <c r="ES1502" i="10"/>
  <c r="ES1503" i="10"/>
  <c r="ES1506" i="10"/>
  <c r="ES1509" i="10"/>
  <c r="ES1510" i="10"/>
  <c r="ES1507" i="10"/>
  <c r="NQ1493" i="10"/>
  <c r="NQ1492" i="10"/>
  <c r="NQ1491" i="10"/>
  <c r="NQ1494" i="10"/>
  <c r="NQ1496" i="10"/>
  <c r="NQ1495" i="10"/>
  <c r="NQ1497" i="10"/>
  <c r="NQ1498" i="10"/>
  <c r="NQ1499" i="10"/>
  <c r="NQ1500" i="10"/>
  <c r="NQ1501" i="10"/>
  <c r="NQ1507" i="10"/>
  <c r="NQ1505" i="10"/>
  <c r="NQ1504" i="10"/>
  <c r="NQ1503" i="10"/>
  <c r="NQ1506" i="10"/>
  <c r="NQ1509" i="10"/>
  <c r="NQ1502" i="10"/>
  <c r="NQ1510" i="10"/>
  <c r="NQ1508" i="10"/>
  <c r="DW1525" i="10"/>
  <c r="DW1529" i="10"/>
  <c r="DW1527" i="10"/>
  <c r="DW1532" i="10"/>
  <c r="DW1526" i="10"/>
  <c r="DW1531" i="10"/>
  <c r="DW1533" i="10"/>
  <c r="DW1530" i="10"/>
  <c r="DW1522" i="10"/>
  <c r="DW1515" i="10"/>
  <c r="DW1521" i="10"/>
  <c r="DW1517" i="10"/>
  <c r="DW1518" i="10"/>
  <c r="DW1524" i="10"/>
  <c r="DW1516" i="10"/>
  <c r="DW1528" i="10"/>
  <c r="DW1514" i="10"/>
  <c r="DW1519" i="10"/>
  <c r="DW1523" i="10"/>
  <c r="DW1520" i="10"/>
  <c r="HC1517" i="10"/>
  <c r="HC1516" i="10"/>
  <c r="HC1514" i="10"/>
  <c r="HC1519" i="10"/>
  <c r="HC1521" i="10"/>
  <c r="HC1522" i="10"/>
  <c r="HC1524" i="10"/>
  <c r="HC1525" i="10"/>
  <c r="HC1518" i="10"/>
  <c r="HC1520" i="10"/>
  <c r="HC1523" i="10"/>
  <c r="HC1529" i="10"/>
  <c r="HC1515" i="10"/>
  <c r="HC1526" i="10"/>
  <c r="HC1527" i="10"/>
  <c r="HC1528" i="10"/>
  <c r="HC1530" i="10"/>
  <c r="HC1533" i="10"/>
  <c r="HC1531" i="10"/>
  <c r="HC1532" i="10"/>
  <c r="MT1492" i="10"/>
  <c r="MT1491" i="10"/>
  <c r="MT1493" i="10"/>
  <c r="MT1494" i="10"/>
  <c r="MT1500" i="10"/>
  <c r="MT1495" i="10"/>
  <c r="MT1499" i="10"/>
  <c r="MT1501" i="10"/>
  <c r="MT1498" i="10"/>
  <c r="MT1497" i="10"/>
  <c r="MT1496" i="10"/>
  <c r="MT1505" i="10"/>
  <c r="MT1502" i="10"/>
  <c r="MT1504" i="10"/>
  <c r="MT1503" i="10"/>
  <c r="MT1506" i="10"/>
  <c r="MT1508" i="10"/>
  <c r="MT1509" i="10"/>
  <c r="MT1507" i="10"/>
  <c r="MT1510" i="10"/>
  <c r="V1516" i="10"/>
  <c r="V1515" i="10"/>
  <c r="V1514" i="10"/>
  <c r="V1520" i="10"/>
  <c r="V1517" i="10"/>
  <c r="V1519" i="10"/>
  <c r="V1518" i="10"/>
  <c r="V1525" i="10"/>
  <c r="V1524" i="10"/>
  <c r="V1526" i="10"/>
  <c r="V1529" i="10"/>
  <c r="V1521" i="10"/>
  <c r="V1527" i="10"/>
  <c r="V1522" i="10"/>
  <c r="V1523" i="10"/>
  <c r="V1528" i="10"/>
  <c r="V1532" i="10"/>
  <c r="V1531" i="10"/>
  <c r="V1530" i="10"/>
  <c r="V1533" i="10"/>
  <c r="FL1492" i="10"/>
  <c r="FL1491" i="10"/>
  <c r="FL1498" i="10"/>
  <c r="FL1494" i="10"/>
  <c r="FL1499" i="10"/>
  <c r="FL1496" i="10"/>
  <c r="FL1493" i="10"/>
  <c r="FL1497" i="10"/>
  <c r="FL1495" i="10"/>
  <c r="FL1501" i="10"/>
  <c r="FL1500" i="10"/>
  <c r="FL1504" i="10"/>
  <c r="FL1502" i="10"/>
  <c r="FL1503" i="10"/>
  <c r="FL1508" i="10"/>
  <c r="FL1506" i="10"/>
  <c r="FL1509" i="10"/>
  <c r="FL1505" i="10"/>
  <c r="FL1507" i="10"/>
  <c r="FL1510" i="10"/>
  <c r="NW1514" i="10"/>
  <c r="NW1515" i="10"/>
  <c r="NW1517" i="10"/>
  <c r="NW1518" i="10"/>
  <c r="NW1516" i="10"/>
  <c r="NW1520" i="10"/>
  <c r="NW1523" i="10"/>
  <c r="NW1522" i="10"/>
  <c r="NW1524" i="10"/>
  <c r="NW1521" i="10"/>
  <c r="NW1519" i="10"/>
  <c r="NW1528" i="10"/>
  <c r="NW1531" i="10"/>
  <c r="NW1532" i="10"/>
  <c r="NW1530" i="10"/>
  <c r="NW1526" i="10"/>
  <c r="NW1527" i="10"/>
  <c r="NW1525" i="10"/>
  <c r="NW1529" i="10"/>
  <c r="NW1533" i="10"/>
  <c r="ABQ1492" i="10"/>
  <c r="ABQ1491" i="10"/>
  <c r="ABQ1493" i="10"/>
  <c r="ABQ1495" i="10"/>
  <c r="ABQ1497" i="10"/>
  <c r="ABQ1496" i="10"/>
  <c r="ABQ1498" i="10"/>
  <c r="ABQ1500" i="10"/>
  <c r="ABQ1494" i="10"/>
  <c r="ABQ1499" i="10"/>
  <c r="ABQ1501" i="10"/>
  <c r="ABQ1502" i="10"/>
  <c r="ABQ1509" i="10"/>
  <c r="ABQ1507" i="10"/>
  <c r="ABQ1505" i="10"/>
  <c r="ABQ1504" i="10"/>
  <c r="ABQ1508" i="10"/>
  <c r="ABQ1506" i="10"/>
  <c r="ABQ1510" i="10"/>
  <c r="ABQ1503" i="10"/>
  <c r="TX1515" i="10"/>
  <c r="TX1514" i="10"/>
  <c r="TX1516" i="10"/>
  <c r="TX1517" i="10"/>
  <c r="TX1520" i="10"/>
  <c r="TX1518" i="10"/>
  <c r="TX1519" i="10"/>
  <c r="TX1522" i="10"/>
  <c r="TX1523" i="10"/>
  <c r="TX1521" i="10"/>
  <c r="TX1528" i="10"/>
  <c r="TX1524" i="10"/>
  <c r="TX1527" i="10"/>
  <c r="TX1525" i="10"/>
  <c r="TX1532" i="10"/>
  <c r="TX1531" i="10"/>
  <c r="TX1526" i="10"/>
  <c r="TX1529" i="10"/>
  <c r="TX1533" i="10"/>
  <c r="TX1530" i="10"/>
  <c r="ABD1492" i="10"/>
  <c r="ABD1491" i="10"/>
  <c r="ABD1493" i="10"/>
  <c r="ABD1494" i="10"/>
  <c r="ABD1496" i="10"/>
  <c r="ABD1498" i="10"/>
  <c r="ABD1501" i="10"/>
  <c r="ABD1497" i="10"/>
  <c r="ABD1499" i="10"/>
  <c r="ABD1500" i="10"/>
  <c r="ABD1504" i="10"/>
  <c r="ABD1495" i="10"/>
  <c r="ABD1503" i="10"/>
  <c r="ABD1506" i="10"/>
  <c r="ABD1508" i="10"/>
  <c r="ABD1502" i="10"/>
  <c r="ABD1509" i="10"/>
  <c r="ABD1505" i="10"/>
  <c r="ABD1507" i="10"/>
  <c r="ABD1510" i="10"/>
  <c r="DB1526" i="10"/>
  <c r="DB1515" i="10"/>
  <c r="DB1525" i="10"/>
  <c r="DB1523" i="10"/>
  <c r="DB1520" i="10"/>
  <c r="DB1517" i="10"/>
  <c r="DB1530" i="10"/>
  <c r="DB1522" i="10"/>
  <c r="DB1519" i="10"/>
  <c r="DB1528" i="10"/>
  <c r="DB1527" i="10"/>
  <c r="DB1521" i="10"/>
  <c r="DB1518" i="10"/>
  <c r="DB1533" i="10"/>
  <c r="DB1532" i="10"/>
  <c r="DB1524" i="10"/>
  <c r="DB1531" i="10"/>
  <c r="DB1516" i="10"/>
  <c r="DB1514" i="10"/>
  <c r="DB1529" i="10"/>
  <c r="OI1526" i="10"/>
  <c r="OI1533" i="10"/>
  <c r="OI1528" i="10"/>
  <c r="OI1529" i="10"/>
  <c r="OI1532" i="10"/>
  <c r="OI1516" i="10"/>
  <c r="OI1518" i="10"/>
  <c r="OI1531" i="10"/>
  <c r="OI1515" i="10"/>
  <c r="OI1523" i="10"/>
  <c r="OI1530" i="10"/>
  <c r="OI1517" i="10"/>
  <c r="OI1527" i="10"/>
  <c r="OI1514" i="10"/>
  <c r="OI1525" i="10"/>
  <c r="OI1522" i="10"/>
  <c r="OI1520" i="10"/>
  <c r="OI1524" i="10"/>
  <c r="OI1521" i="10"/>
  <c r="OI1519" i="10"/>
  <c r="VU1492" i="10"/>
  <c r="VU1491" i="10"/>
  <c r="VU1493" i="10"/>
  <c r="VU1494" i="10"/>
  <c r="VU1496" i="10"/>
  <c r="VU1495" i="10"/>
  <c r="VU1497" i="10"/>
  <c r="VU1498" i="10"/>
  <c r="VU1499" i="10"/>
  <c r="VU1501" i="10"/>
  <c r="VU1500" i="10"/>
  <c r="VU1507" i="10"/>
  <c r="VU1505" i="10"/>
  <c r="VU1504" i="10"/>
  <c r="VU1503" i="10"/>
  <c r="VU1506" i="10"/>
  <c r="VU1502" i="10"/>
  <c r="VU1509" i="10"/>
  <c r="VU1510" i="10"/>
  <c r="VU1508" i="10"/>
  <c r="AFI1492" i="10"/>
  <c r="AFI1491" i="10"/>
  <c r="AFI1494" i="10"/>
  <c r="AFI1493" i="10"/>
  <c r="AFI1496" i="10"/>
  <c r="AFI1498" i="10"/>
  <c r="AFI1495" i="10"/>
  <c r="AFI1497" i="10"/>
  <c r="AFI1501" i="10"/>
  <c r="AFI1500" i="10"/>
  <c r="AFI1499" i="10"/>
  <c r="AFI1504" i="10"/>
  <c r="AFI1503" i="10"/>
  <c r="AFI1506" i="10"/>
  <c r="AFI1508" i="10"/>
  <c r="AFI1502" i="10"/>
  <c r="AFI1505" i="10"/>
  <c r="AFI1507" i="10"/>
  <c r="AFI1509" i="10"/>
  <c r="AFI1510" i="10"/>
  <c r="UL1520" i="10"/>
  <c r="UL1523" i="10"/>
  <c r="UL1522" i="10"/>
  <c r="UL1527" i="10"/>
  <c r="UL1514" i="10"/>
  <c r="UL1516" i="10"/>
  <c r="UL1531" i="10"/>
  <c r="UL1524" i="10"/>
  <c r="UL1530" i="10"/>
  <c r="UL1515" i="10"/>
  <c r="UL1528" i="10"/>
  <c r="UL1532" i="10"/>
  <c r="UL1519" i="10"/>
  <c r="UL1517" i="10"/>
  <c r="UL1529" i="10"/>
  <c r="UL1525" i="10"/>
  <c r="UL1518" i="10"/>
  <c r="UL1521" i="10"/>
  <c r="UL1526" i="10"/>
  <c r="UL1533" i="10"/>
  <c r="ABR1493" i="10"/>
  <c r="ABR1492" i="10"/>
  <c r="ABR1496" i="10"/>
  <c r="ABR1498" i="10"/>
  <c r="ABR1491" i="10"/>
  <c r="ABR1495" i="10"/>
  <c r="ABR1497" i="10"/>
  <c r="ABR1494" i="10"/>
  <c r="ABR1499" i="10"/>
  <c r="ABR1502" i="10"/>
  <c r="ABR1507" i="10"/>
  <c r="ABR1501" i="10"/>
  <c r="ABR1505" i="10"/>
  <c r="ABR1503" i="10"/>
  <c r="ABR1506" i="10"/>
  <c r="ABR1508" i="10"/>
  <c r="ABR1509" i="10"/>
  <c r="ABR1510" i="10"/>
  <c r="ABR1500" i="10"/>
  <c r="ABR1504" i="10"/>
  <c r="ED1516" i="10"/>
  <c r="ED1515" i="10"/>
  <c r="ED1514" i="10"/>
  <c r="ED1519" i="10"/>
  <c r="ED1520" i="10"/>
  <c r="ED1517" i="10"/>
  <c r="ED1524" i="10"/>
  <c r="ED1522" i="10"/>
  <c r="ED1518" i="10"/>
  <c r="ED1521" i="10"/>
  <c r="ED1525" i="10"/>
  <c r="ED1528" i="10"/>
  <c r="ED1526" i="10"/>
  <c r="ED1529" i="10"/>
  <c r="ED1523" i="10"/>
  <c r="ED1532" i="10"/>
  <c r="ED1531" i="10"/>
  <c r="ED1533" i="10"/>
  <c r="ED1527" i="10"/>
  <c r="ED1530" i="10"/>
  <c r="PJ1517" i="10"/>
  <c r="PJ1515" i="10"/>
  <c r="PJ1516" i="10"/>
  <c r="PJ1514" i="10"/>
  <c r="PJ1519" i="10"/>
  <c r="PJ1518" i="10"/>
  <c r="PJ1524" i="10"/>
  <c r="PJ1521" i="10"/>
  <c r="PJ1522" i="10"/>
  <c r="PJ1523" i="10"/>
  <c r="PJ1526" i="10"/>
  <c r="PJ1520" i="10"/>
  <c r="PJ1525" i="10"/>
  <c r="PJ1527" i="10"/>
  <c r="PJ1528" i="10"/>
  <c r="PJ1529" i="10"/>
  <c r="PJ1531" i="10"/>
  <c r="PJ1532" i="10"/>
  <c r="PJ1530" i="10"/>
  <c r="PJ1533" i="10"/>
  <c r="WW1491" i="10"/>
  <c r="WW1494" i="10"/>
  <c r="WW1496" i="10"/>
  <c r="WW1498" i="10"/>
  <c r="WW1495" i="10"/>
  <c r="WW1497" i="10"/>
  <c r="WW1493" i="10"/>
  <c r="WW1492" i="10"/>
  <c r="WW1501" i="10"/>
  <c r="WW1500" i="10"/>
  <c r="WW1499" i="10"/>
  <c r="WW1503" i="10"/>
  <c r="WW1506" i="10"/>
  <c r="WW1509" i="10"/>
  <c r="WW1507" i="10"/>
  <c r="WW1505" i="10"/>
  <c r="WW1502" i="10"/>
  <c r="WW1504" i="10"/>
  <c r="WW1508" i="10"/>
  <c r="WW1510" i="10"/>
  <c r="OA1526" i="10"/>
  <c r="OA1533" i="10"/>
  <c r="OA1528" i="10"/>
  <c r="OA1529" i="10"/>
  <c r="OA1532" i="10"/>
  <c r="OA1516" i="10"/>
  <c r="OA1518" i="10"/>
  <c r="OA1531" i="10"/>
  <c r="OA1515" i="10"/>
  <c r="OA1523" i="10"/>
  <c r="OA1530" i="10"/>
  <c r="OA1517" i="10"/>
  <c r="OA1527" i="10"/>
  <c r="OA1519" i="10"/>
  <c r="OA1514" i="10"/>
  <c r="OA1525" i="10"/>
  <c r="OA1522" i="10"/>
  <c r="OA1520" i="10"/>
  <c r="OA1524" i="10"/>
  <c r="OA1521" i="10"/>
  <c r="VM1493" i="10"/>
  <c r="VM1492" i="10"/>
  <c r="VM1496" i="10"/>
  <c r="VM1498" i="10"/>
  <c r="VM1495" i="10"/>
  <c r="VM1497" i="10"/>
  <c r="VM1494" i="10"/>
  <c r="VM1491" i="10"/>
  <c r="VM1499" i="10"/>
  <c r="VM1500" i="10"/>
  <c r="VM1501" i="10"/>
  <c r="VM1502" i="10"/>
  <c r="VM1507" i="10"/>
  <c r="VM1505" i="10"/>
  <c r="VM1503" i="10"/>
  <c r="VM1506" i="10"/>
  <c r="VM1508" i="10"/>
  <c r="VM1509" i="10"/>
  <c r="VM1510" i="10"/>
  <c r="VM1504" i="10"/>
  <c r="AFD1492" i="10"/>
  <c r="AFD1491" i="10"/>
  <c r="AFD1496" i="10"/>
  <c r="AFD1495" i="10"/>
  <c r="AFD1497" i="10"/>
  <c r="AFD1498" i="10"/>
  <c r="AFD1493" i="10"/>
  <c r="AFD1500" i="10"/>
  <c r="AFD1494" i="10"/>
  <c r="AFD1507" i="10"/>
  <c r="AFD1502" i="10"/>
  <c r="AFD1505" i="10"/>
  <c r="AFD1504" i="10"/>
  <c r="AFD1503" i="10"/>
  <c r="AFD1506" i="10"/>
  <c r="AFD1499" i="10"/>
  <c r="AFD1510" i="10"/>
  <c r="AFD1509" i="10"/>
  <c r="AFD1501" i="10"/>
  <c r="AFD1508" i="10"/>
  <c r="IM1527" i="10"/>
  <c r="IM1516" i="10"/>
  <c r="IM1521" i="10"/>
  <c r="IM1522" i="10"/>
  <c r="IM1515" i="10"/>
  <c r="IM1520" i="10"/>
  <c r="IM1528" i="10"/>
  <c r="IM1517" i="10"/>
  <c r="IM1526" i="10"/>
  <c r="IM1531" i="10"/>
  <c r="IM1524" i="10"/>
  <c r="IM1525" i="10"/>
  <c r="IM1523" i="10"/>
  <c r="IM1530" i="10"/>
  <c r="IM1533" i="10"/>
  <c r="IM1514" i="10"/>
  <c r="IM1529" i="10"/>
  <c r="IM1532" i="10"/>
  <c r="IM1518" i="10"/>
  <c r="IM1519" i="10"/>
  <c r="QA1503" i="10"/>
  <c r="QA1502" i="10"/>
  <c r="QA1491" i="10"/>
  <c r="QA1501" i="10"/>
  <c r="QA1504" i="10"/>
  <c r="QA1495" i="10"/>
  <c r="QA1494" i="10"/>
  <c r="QA1505" i="10"/>
  <c r="QA1497" i="10"/>
  <c r="QA1499" i="10"/>
  <c r="QA1510" i="10"/>
  <c r="QA1496" i="10"/>
  <c r="QA1507" i="10"/>
  <c r="QA1509" i="10"/>
  <c r="QA1492" i="10"/>
  <c r="QA1493" i="10"/>
  <c r="QA1508" i="10"/>
  <c r="QA1500" i="10"/>
  <c r="QA1506" i="10"/>
  <c r="QA1498" i="10"/>
  <c r="WB1515" i="10"/>
  <c r="WB1517" i="10"/>
  <c r="WB1519" i="10"/>
  <c r="WB1518" i="10"/>
  <c r="WB1520" i="10"/>
  <c r="WB1522" i="10"/>
  <c r="WB1523" i="10"/>
  <c r="WB1524" i="10"/>
  <c r="WB1527" i="10"/>
  <c r="WB1528" i="10"/>
  <c r="WB1525" i="10"/>
  <c r="WB1526" i="10"/>
  <c r="WB1531" i="10"/>
  <c r="WB1532" i="10"/>
  <c r="WB1530" i="10"/>
  <c r="WB1529" i="10"/>
  <c r="WB1533" i="10"/>
  <c r="WB1521" i="10"/>
  <c r="WB1514" i="10"/>
  <c r="WB1516" i="10"/>
  <c r="RV1493" i="10"/>
  <c r="RV1492" i="10"/>
  <c r="RV1496" i="10"/>
  <c r="RV1498" i="10"/>
  <c r="RV1495" i="10"/>
  <c r="RV1497" i="10"/>
  <c r="RV1491" i="10"/>
  <c r="RV1494" i="10"/>
  <c r="RV1500" i="10"/>
  <c r="RV1499" i="10"/>
  <c r="RV1501" i="10"/>
  <c r="RV1508" i="10"/>
  <c r="RV1509" i="10"/>
  <c r="RV1507" i="10"/>
  <c r="RV1504" i="10"/>
  <c r="RV1503" i="10"/>
  <c r="RV1506" i="10"/>
  <c r="RV1502" i="10"/>
  <c r="RV1505" i="10"/>
  <c r="RV1510" i="10"/>
  <c r="LS1504" i="10"/>
  <c r="LS1502" i="10"/>
  <c r="LS1507" i="10"/>
  <c r="LS1500" i="10"/>
  <c r="LS1496" i="10"/>
  <c r="LS1509" i="10"/>
  <c r="LS1493" i="10"/>
  <c r="LS1494" i="10"/>
  <c r="LS1497" i="10"/>
  <c r="LS1505" i="10"/>
  <c r="LS1495" i="10"/>
  <c r="LS1508" i="10"/>
  <c r="LS1503" i="10"/>
  <c r="LS1499" i="10"/>
  <c r="LS1498" i="10"/>
  <c r="LS1501" i="10"/>
  <c r="LS1506" i="10"/>
  <c r="LS1491" i="10"/>
  <c r="LS1510" i="10"/>
  <c r="LS1492" i="10"/>
  <c r="CA1520" i="10"/>
  <c r="CA1522" i="10"/>
  <c r="CA1524" i="10"/>
  <c r="CA1525" i="10"/>
  <c r="CA1523" i="10"/>
  <c r="CA1529" i="10"/>
  <c r="CA1531" i="10"/>
  <c r="CA1527" i="10"/>
  <c r="CA1528" i="10"/>
  <c r="CA1530" i="10"/>
  <c r="CA1532" i="10"/>
  <c r="CA1533" i="10"/>
  <c r="CA1526" i="10"/>
  <c r="CA1518" i="10"/>
  <c r="CA1517" i="10"/>
  <c r="CA1521" i="10"/>
  <c r="CA1516" i="10"/>
  <c r="CA1519" i="10"/>
  <c r="CA1514" i="10"/>
  <c r="CA1515" i="10"/>
  <c r="HM1514" i="10"/>
  <c r="HM1515" i="10"/>
  <c r="HM1518" i="10"/>
  <c r="HM1516" i="10"/>
  <c r="HM1517" i="10"/>
  <c r="HM1520" i="10"/>
  <c r="HM1519" i="10"/>
  <c r="HM1523" i="10"/>
  <c r="HM1521" i="10"/>
  <c r="HM1522" i="10"/>
  <c r="HM1524" i="10"/>
  <c r="HM1525" i="10"/>
  <c r="HM1528" i="10"/>
  <c r="HM1527" i="10"/>
  <c r="HM1526" i="10"/>
  <c r="HM1529" i="10"/>
  <c r="HM1531" i="10"/>
  <c r="HM1532" i="10"/>
  <c r="HM1530" i="10"/>
  <c r="HM1533" i="10"/>
  <c r="NC1491" i="10"/>
  <c r="NC1493" i="10"/>
  <c r="NC1492" i="10"/>
  <c r="NC1494" i="10"/>
  <c r="NC1499" i="10"/>
  <c r="NC1496" i="10"/>
  <c r="NC1495" i="10"/>
  <c r="NC1500" i="10"/>
  <c r="NC1498" i="10"/>
  <c r="NC1497" i="10"/>
  <c r="NC1501" i="10"/>
  <c r="NC1505" i="10"/>
  <c r="NC1502" i="10"/>
  <c r="NC1504" i="10"/>
  <c r="NC1503" i="10"/>
  <c r="NC1506" i="10"/>
  <c r="NC1508" i="10"/>
  <c r="NC1507" i="10"/>
  <c r="NC1510" i="10"/>
  <c r="NC1509" i="10"/>
  <c r="AE1519" i="10"/>
  <c r="AE1516" i="10"/>
  <c r="AE1520" i="10"/>
  <c r="AE1518" i="10"/>
  <c r="AE1517" i="10"/>
  <c r="AE1525" i="10"/>
  <c r="AE1523" i="10"/>
  <c r="AE1526" i="10"/>
  <c r="AE1529" i="10"/>
  <c r="AE1521" i="10"/>
  <c r="AE1522" i="10"/>
  <c r="AE1528" i="10"/>
  <c r="AE1532" i="10"/>
  <c r="AE1531" i="10"/>
  <c r="AE1524" i="10"/>
  <c r="AE1527" i="10"/>
  <c r="AE1533" i="10"/>
  <c r="AE1530" i="10"/>
  <c r="AE1515" i="10"/>
  <c r="AE1514" i="10"/>
  <c r="WR1514" i="10"/>
  <c r="WR1515" i="10"/>
  <c r="WR1517" i="10"/>
  <c r="WR1519" i="10"/>
  <c r="WR1518" i="10"/>
  <c r="WR1516" i="10"/>
  <c r="WR1523" i="10"/>
  <c r="WR1522" i="10"/>
  <c r="WR1524" i="10"/>
  <c r="WR1521" i="10"/>
  <c r="WR1520" i="10"/>
  <c r="WR1528" i="10"/>
  <c r="WR1525" i="10"/>
  <c r="WR1526" i="10"/>
  <c r="WR1527" i="10"/>
  <c r="WR1531" i="10"/>
  <c r="WR1532" i="10"/>
  <c r="WR1530" i="10"/>
  <c r="WR1529" i="10"/>
  <c r="WR1533" i="10"/>
  <c r="JC1527" i="10"/>
  <c r="JC1516" i="10"/>
  <c r="JC1530" i="10"/>
  <c r="JC1533" i="10"/>
  <c r="JC1515" i="10"/>
  <c r="JC1517" i="10"/>
  <c r="JC1524" i="10"/>
  <c r="JC1528" i="10"/>
  <c r="JC1514" i="10"/>
  <c r="JC1529" i="10"/>
  <c r="JC1532" i="10"/>
  <c r="JC1520" i="10"/>
  <c r="JC1518" i="10"/>
  <c r="JC1519" i="10"/>
  <c r="JC1521" i="10"/>
  <c r="JC1522" i="10"/>
  <c r="JC1526" i="10"/>
  <c r="JC1531" i="10"/>
  <c r="JC1525" i="10"/>
  <c r="JC1523" i="10"/>
  <c r="UI1514" i="10"/>
  <c r="UI1516" i="10"/>
  <c r="UI1517" i="10"/>
  <c r="UI1515" i="10"/>
  <c r="UI1518" i="10"/>
  <c r="UI1519" i="10"/>
  <c r="UI1520" i="10"/>
  <c r="UI1521" i="10"/>
  <c r="UI1523" i="10"/>
  <c r="UI1524" i="10"/>
  <c r="UI1525" i="10"/>
  <c r="UI1527" i="10"/>
  <c r="UI1522" i="10"/>
  <c r="UI1528" i="10"/>
  <c r="UI1531" i="10"/>
  <c r="UI1532" i="10"/>
  <c r="UI1530" i="10"/>
  <c r="UI1526" i="10"/>
  <c r="UI1533" i="10"/>
  <c r="UI1529" i="10"/>
  <c r="ABN1491" i="10"/>
  <c r="ABN1493" i="10"/>
  <c r="ABN1492" i="10"/>
  <c r="ABN1494" i="10"/>
  <c r="ABN1499" i="10"/>
  <c r="ABN1495" i="10"/>
  <c r="ABN1497" i="10"/>
  <c r="ABN1498" i="10"/>
  <c r="ABN1500" i="10"/>
  <c r="ABN1496" i="10"/>
  <c r="ABN1505" i="10"/>
  <c r="ABN1504" i="10"/>
  <c r="ABN1503" i="10"/>
  <c r="ABN1506" i="10"/>
  <c r="ABN1501" i="10"/>
  <c r="ABN1508" i="10"/>
  <c r="ABN1507" i="10"/>
  <c r="ABN1510" i="10"/>
  <c r="ABN1502" i="10"/>
  <c r="ABN1509" i="10"/>
  <c r="WH1492" i="10"/>
  <c r="WH1491" i="10"/>
  <c r="WH1495" i="10"/>
  <c r="WH1497" i="10"/>
  <c r="WH1493" i="10"/>
  <c r="WH1496" i="10"/>
  <c r="WH1498" i="10"/>
  <c r="WH1499" i="10"/>
  <c r="WH1500" i="10"/>
  <c r="WH1494" i="10"/>
  <c r="WH1501" i="10"/>
  <c r="WH1509" i="10"/>
  <c r="WH1507" i="10"/>
  <c r="WH1502" i="10"/>
  <c r="WH1505" i="10"/>
  <c r="WH1504" i="10"/>
  <c r="WH1508" i="10"/>
  <c r="WH1506" i="10"/>
  <c r="WH1510" i="10"/>
  <c r="WH1503" i="10"/>
  <c r="JS1527" i="10"/>
  <c r="JS1516" i="10"/>
  <c r="JS1521" i="10"/>
  <c r="JS1522" i="10"/>
  <c r="JS1517" i="10"/>
  <c r="JS1520" i="10"/>
  <c r="JS1528" i="10"/>
  <c r="JS1515" i="10"/>
  <c r="JS1526" i="10"/>
  <c r="JS1531" i="10"/>
  <c r="JS1525" i="10"/>
  <c r="JS1523" i="10"/>
  <c r="JS1524" i="10"/>
  <c r="JS1530" i="10"/>
  <c r="JS1533" i="10"/>
  <c r="JS1514" i="10"/>
  <c r="JS1529" i="10"/>
  <c r="JS1532" i="10"/>
  <c r="JS1518" i="10"/>
  <c r="JS1519" i="10"/>
  <c r="RE1491" i="10"/>
  <c r="RE1493" i="10"/>
  <c r="RE1492" i="10"/>
  <c r="RE1494" i="10"/>
  <c r="RE1499" i="10"/>
  <c r="RE1500" i="10"/>
  <c r="RE1495" i="10"/>
  <c r="RE1498" i="10"/>
  <c r="RE1497" i="10"/>
  <c r="RE1496" i="10"/>
  <c r="RE1501" i="10"/>
  <c r="RE1505" i="10"/>
  <c r="RE1504" i="10"/>
  <c r="RE1503" i="10"/>
  <c r="RE1506" i="10"/>
  <c r="RE1508" i="10"/>
  <c r="RE1502" i="10"/>
  <c r="RE1507" i="10"/>
  <c r="RE1510" i="10"/>
  <c r="RE1509" i="10"/>
  <c r="MC1493" i="10"/>
  <c r="MC1492" i="10"/>
  <c r="MC1496" i="10"/>
  <c r="MC1498" i="10"/>
  <c r="MC1495" i="10"/>
  <c r="MC1497" i="10"/>
  <c r="MC1491" i="10"/>
  <c r="MC1494" i="10"/>
  <c r="MC1499" i="10"/>
  <c r="MC1501" i="10"/>
  <c r="MC1500" i="10"/>
  <c r="MC1507" i="10"/>
  <c r="MC1505" i="10"/>
  <c r="MC1503" i="10"/>
  <c r="MC1506" i="10"/>
  <c r="MC1508" i="10"/>
  <c r="MC1502" i="10"/>
  <c r="MC1509" i="10"/>
  <c r="MC1510" i="10"/>
  <c r="MC1504" i="10"/>
  <c r="AGI1503" i="10"/>
  <c r="AGI1494" i="10"/>
  <c r="AGI1501" i="10"/>
  <c r="AGI1502" i="10"/>
  <c r="AGI1507" i="10"/>
  <c r="AGI1492" i="10"/>
  <c r="AGI1493" i="10"/>
  <c r="AGI1504" i="10"/>
  <c r="AGI1496" i="10"/>
  <c r="AGI1499" i="10"/>
  <c r="AGI1505" i="10"/>
  <c r="AGI1491" i="10"/>
  <c r="AGI1508" i="10"/>
  <c r="AGI1509" i="10"/>
  <c r="AGI1506" i="10"/>
  <c r="AGI1510" i="10"/>
  <c r="AGI1500" i="10"/>
  <c r="AGI1498" i="10"/>
  <c r="AGI1497" i="10"/>
  <c r="AGI1495" i="10"/>
  <c r="WA1526" i="10"/>
  <c r="WA1533" i="10"/>
  <c r="WA1522" i="10"/>
  <c r="WA1532" i="10"/>
  <c r="WA1524" i="10"/>
  <c r="WA1529" i="10"/>
  <c r="WA1517" i="10"/>
  <c r="WA1518" i="10"/>
  <c r="WA1531" i="10"/>
  <c r="WA1516" i="10"/>
  <c r="WA1523" i="10"/>
  <c r="WA1530" i="10"/>
  <c r="WA1528" i="10"/>
  <c r="WA1515" i="10"/>
  <c r="WA1525" i="10"/>
  <c r="WA1527" i="10"/>
  <c r="WA1514" i="10"/>
  <c r="WA1520" i="10"/>
  <c r="WA1519" i="10"/>
  <c r="WA1521" i="10"/>
  <c r="ACZ1492" i="10"/>
  <c r="ACZ1491" i="10"/>
  <c r="ACZ1494" i="10"/>
  <c r="ACZ1500" i="10"/>
  <c r="ACZ1493" i="10"/>
  <c r="ACZ1495" i="10"/>
  <c r="ACZ1496" i="10"/>
  <c r="ACZ1499" i="10"/>
  <c r="ACZ1497" i="10"/>
  <c r="ACZ1498" i="10"/>
  <c r="ACZ1501" i="10"/>
  <c r="ACZ1505" i="10"/>
  <c r="ACZ1502" i="10"/>
  <c r="ACZ1504" i="10"/>
  <c r="ACZ1503" i="10"/>
  <c r="ACZ1506" i="10"/>
  <c r="ACZ1508" i="10"/>
  <c r="ACZ1509" i="10"/>
  <c r="ACZ1507" i="10"/>
  <c r="ACZ1510" i="10"/>
  <c r="QM1526" i="10"/>
  <c r="QM1533" i="10"/>
  <c r="QM1522" i="10"/>
  <c r="QM1521" i="10"/>
  <c r="QM1524" i="10"/>
  <c r="QM1529" i="10"/>
  <c r="QM1517" i="10"/>
  <c r="QM1518" i="10"/>
  <c r="QM1531" i="10"/>
  <c r="QM1516" i="10"/>
  <c r="QM1523" i="10"/>
  <c r="QM1530" i="10"/>
  <c r="QM1515" i="10"/>
  <c r="QM1525" i="10"/>
  <c r="QM1527" i="10"/>
  <c r="QM1514" i="10"/>
  <c r="QM1532" i="10"/>
  <c r="QM1528" i="10"/>
  <c r="QM1519" i="10"/>
  <c r="QM1520" i="10"/>
  <c r="XY1493" i="10"/>
  <c r="XY1492" i="10"/>
  <c r="XY1496" i="10"/>
  <c r="XY1498" i="10"/>
  <c r="XY1495" i="10"/>
  <c r="XY1497" i="10"/>
  <c r="XY1491" i="10"/>
  <c r="XY1494" i="10"/>
  <c r="XY1499" i="10"/>
  <c r="XY1501" i="10"/>
  <c r="XY1502" i="10"/>
  <c r="XY1507" i="10"/>
  <c r="XY1505" i="10"/>
  <c r="XY1503" i="10"/>
  <c r="XY1506" i="10"/>
  <c r="XY1508" i="10"/>
  <c r="XY1500" i="10"/>
  <c r="XY1504" i="10"/>
  <c r="XY1510" i="10"/>
  <c r="XY1509" i="10"/>
  <c r="P1525" i="10"/>
  <c r="P1523" i="10"/>
  <c r="P1530" i="10"/>
  <c r="P1518" i="10"/>
  <c r="P1526" i="10"/>
  <c r="P1531" i="10"/>
  <c r="P1519" i="10"/>
  <c r="P1527" i="10"/>
  <c r="P1516" i="10"/>
  <c r="P1528" i="10"/>
  <c r="P1522" i="10"/>
  <c r="P1524" i="10"/>
  <c r="P1521" i="10"/>
  <c r="P1520" i="10"/>
  <c r="P1532" i="10"/>
  <c r="P1529" i="10"/>
  <c r="P1515" i="10"/>
  <c r="P1514" i="10"/>
  <c r="P1533" i="10"/>
  <c r="P1517" i="10"/>
  <c r="VF1514" i="10"/>
  <c r="VF1516" i="10"/>
  <c r="VF1515" i="10"/>
  <c r="VF1518" i="10"/>
  <c r="VF1519" i="10"/>
  <c r="VF1520" i="10"/>
  <c r="VF1522" i="10"/>
  <c r="VF1524" i="10"/>
  <c r="VF1517" i="10"/>
  <c r="VF1521" i="10"/>
  <c r="VF1526" i="10"/>
  <c r="VF1525" i="10"/>
  <c r="VF1523" i="10"/>
  <c r="VF1529" i="10"/>
  <c r="VF1530" i="10"/>
  <c r="VF1531" i="10"/>
  <c r="VF1532" i="10"/>
  <c r="VF1527" i="10"/>
  <c r="VF1528" i="10"/>
  <c r="VF1533" i="10"/>
  <c r="ADK1492" i="10"/>
  <c r="ADK1491" i="10"/>
  <c r="ADK1495" i="10"/>
  <c r="ADK1497" i="10"/>
  <c r="ADK1493" i="10"/>
  <c r="ADK1496" i="10"/>
  <c r="ADK1498" i="10"/>
  <c r="ADK1494" i="10"/>
  <c r="ADK1499" i="10"/>
  <c r="ADK1500" i="10"/>
  <c r="ADK1501" i="10"/>
  <c r="ADK1509" i="10"/>
  <c r="ADK1507" i="10"/>
  <c r="ADK1505" i="10"/>
  <c r="ADK1504" i="10"/>
  <c r="ADK1508" i="10"/>
  <c r="ADK1502" i="10"/>
  <c r="ADK1506" i="10"/>
  <c r="ADK1510" i="10"/>
  <c r="ADK1503" i="10"/>
  <c r="CE1516" i="10"/>
  <c r="CE1515" i="10"/>
  <c r="CE1517" i="10"/>
  <c r="CE1514" i="10"/>
  <c r="CE1519" i="10"/>
  <c r="CE1520" i="10"/>
  <c r="CE1521" i="10"/>
  <c r="CE1522" i="10"/>
  <c r="CE1524" i="10"/>
  <c r="CE1525" i="10"/>
  <c r="CE1518" i="10"/>
  <c r="CE1526" i="10"/>
  <c r="CE1527" i="10"/>
  <c r="CE1528" i="10"/>
  <c r="CE1523" i="10"/>
  <c r="CE1529" i="10"/>
  <c r="CE1533" i="10"/>
  <c r="CE1530" i="10"/>
  <c r="CE1532" i="10"/>
  <c r="CE1531" i="10"/>
  <c r="HV1493" i="10"/>
  <c r="HV1492" i="10"/>
  <c r="HV1491" i="10"/>
  <c r="HV1495" i="10"/>
  <c r="HV1497" i="10"/>
  <c r="HV1496" i="10"/>
  <c r="HV1498" i="10"/>
  <c r="HV1501" i="10"/>
  <c r="HV1499" i="10"/>
  <c r="HV1494" i="10"/>
  <c r="HV1502" i="10"/>
  <c r="HV1507" i="10"/>
  <c r="HV1500" i="10"/>
  <c r="HV1509" i="10"/>
  <c r="HV1505" i="10"/>
  <c r="HV1504" i="10"/>
  <c r="HV1508" i="10"/>
  <c r="HV1506" i="10"/>
  <c r="HV1503" i="10"/>
  <c r="HV1510" i="10"/>
  <c r="YS1519" i="10"/>
  <c r="YS1525" i="10"/>
  <c r="YS1532" i="10"/>
  <c r="YS1516" i="10"/>
  <c r="YS1522" i="10"/>
  <c r="YS1533" i="10"/>
  <c r="YS1517" i="10"/>
  <c r="YS1514" i="10"/>
  <c r="YS1527" i="10"/>
  <c r="YS1523" i="10"/>
  <c r="YS1518" i="10"/>
  <c r="YS1528" i="10"/>
  <c r="YS1526" i="10"/>
  <c r="YS1530" i="10"/>
  <c r="YS1520" i="10"/>
  <c r="YS1529" i="10"/>
  <c r="YS1524" i="10"/>
  <c r="YS1531" i="10"/>
  <c r="YS1521" i="10"/>
  <c r="YS1515" i="10"/>
  <c r="AN1491" i="10"/>
  <c r="AN1493" i="10"/>
  <c r="AN1492" i="10"/>
  <c r="AN1494" i="10"/>
  <c r="AN1497" i="10"/>
  <c r="AN1499" i="10"/>
  <c r="AN1500" i="10"/>
  <c r="AN1495" i="10"/>
  <c r="AN1496" i="10"/>
  <c r="AN1501" i="10"/>
  <c r="AN1498" i="10"/>
  <c r="AN1505" i="10"/>
  <c r="AN1504" i="10"/>
  <c r="AN1507" i="10"/>
  <c r="AN1503" i="10"/>
  <c r="AN1509" i="10"/>
  <c r="AN1502" i="10"/>
  <c r="AN1506" i="10"/>
  <c r="AN1508" i="10"/>
  <c r="AN1510" i="10"/>
  <c r="RK1526" i="10"/>
  <c r="RK1533" i="10"/>
  <c r="RK1514" i="10"/>
  <c r="RK1532" i="10"/>
  <c r="RK1516" i="10"/>
  <c r="RK1519" i="10"/>
  <c r="RK1520" i="10"/>
  <c r="RK1523" i="10"/>
  <c r="RK1522" i="10"/>
  <c r="RK1521" i="10"/>
  <c r="RK1524" i="10"/>
  <c r="RK1529" i="10"/>
  <c r="RK1518" i="10"/>
  <c r="RK1531" i="10"/>
  <c r="RK1515" i="10"/>
  <c r="RK1525" i="10"/>
  <c r="RK1527" i="10"/>
  <c r="RK1530" i="10"/>
  <c r="RK1517" i="10"/>
  <c r="RK1528" i="10"/>
  <c r="XA1492" i="10"/>
  <c r="XA1491" i="10"/>
  <c r="XA1494" i="10"/>
  <c r="XA1493" i="10"/>
  <c r="XA1496" i="10"/>
  <c r="XA1495" i="10"/>
  <c r="XA1497" i="10"/>
  <c r="XA1498" i="10"/>
  <c r="XA1499" i="10"/>
  <c r="XA1500" i="10"/>
  <c r="XA1501" i="10"/>
  <c r="XA1507" i="10"/>
  <c r="XA1505" i="10"/>
  <c r="XA1502" i="10"/>
  <c r="XA1504" i="10"/>
  <c r="XA1503" i="10"/>
  <c r="XA1506" i="10"/>
  <c r="XA1509" i="10"/>
  <c r="XA1510" i="10"/>
  <c r="XA1508" i="10"/>
  <c r="CB1516" i="10"/>
  <c r="CB1514" i="10"/>
  <c r="CB1515" i="10"/>
  <c r="CB1520" i="10"/>
  <c r="CB1517" i="10"/>
  <c r="CB1518" i="10"/>
  <c r="CB1519" i="10"/>
  <c r="CB1525" i="10"/>
  <c r="CB1521" i="10"/>
  <c r="CB1523" i="10"/>
  <c r="CB1522" i="10"/>
  <c r="CB1524" i="10"/>
  <c r="CB1529" i="10"/>
  <c r="CB1527" i="10"/>
  <c r="CB1528" i="10"/>
  <c r="CB1532" i="10"/>
  <c r="CB1531" i="10"/>
  <c r="CB1533" i="10"/>
  <c r="CB1530" i="10"/>
  <c r="CB1526" i="10"/>
  <c r="NI1515" i="10"/>
  <c r="NI1518" i="10"/>
  <c r="NI1514" i="10"/>
  <c r="NI1516" i="10"/>
  <c r="NI1517" i="10"/>
  <c r="NI1520" i="10"/>
  <c r="NI1522" i="10"/>
  <c r="NI1523" i="10"/>
  <c r="NI1524" i="10"/>
  <c r="NI1521" i="10"/>
  <c r="NI1525" i="10"/>
  <c r="NI1519" i="10"/>
  <c r="NI1526" i="10"/>
  <c r="NI1527" i="10"/>
  <c r="NI1528" i="10"/>
  <c r="NI1533" i="10"/>
  <c r="NI1530" i="10"/>
  <c r="NI1532" i="10"/>
  <c r="NI1529" i="10"/>
  <c r="NI1531" i="10"/>
  <c r="UU1491" i="10"/>
  <c r="UU1494" i="10"/>
  <c r="UU1493" i="10"/>
  <c r="UU1492" i="10"/>
  <c r="UU1496" i="10"/>
  <c r="UU1498" i="10"/>
  <c r="UU1495" i="10"/>
  <c r="UU1497" i="10"/>
  <c r="UU1499" i="10"/>
  <c r="UU1500" i="10"/>
  <c r="UU1501" i="10"/>
  <c r="UU1502" i="10"/>
  <c r="UU1503" i="10"/>
  <c r="UU1506" i="10"/>
  <c r="UU1509" i="10"/>
  <c r="UU1507" i="10"/>
  <c r="UU1505" i="10"/>
  <c r="UU1504" i="10"/>
  <c r="UU1508" i="10"/>
  <c r="UU1510" i="10"/>
  <c r="HS1518" i="10"/>
  <c r="HS1514" i="10"/>
  <c r="HS1517" i="10"/>
  <c r="HS1516" i="10"/>
  <c r="HS1515" i="10"/>
  <c r="HS1519" i="10"/>
  <c r="HS1523" i="10"/>
  <c r="HS1520" i="10"/>
  <c r="HS1521" i="10"/>
  <c r="HS1525" i="10"/>
  <c r="HS1522" i="10"/>
  <c r="HS1524" i="10"/>
  <c r="HS1526" i="10"/>
  <c r="HS1528" i="10"/>
  <c r="HS1529" i="10"/>
  <c r="HS1527" i="10"/>
  <c r="HS1533" i="10"/>
  <c r="HS1531" i="10"/>
  <c r="HS1532" i="10"/>
  <c r="HS1530" i="10"/>
  <c r="PG1493" i="10"/>
  <c r="PG1492" i="10"/>
  <c r="PG1491" i="10"/>
  <c r="PG1494" i="10"/>
  <c r="PG1496" i="10"/>
  <c r="PG1495" i="10"/>
  <c r="PG1497" i="10"/>
  <c r="PG1499" i="10"/>
  <c r="PG1500" i="10"/>
  <c r="PG1498" i="10"/>
  <c r="PG1507" i="10"/>
  <c r="PG1501" i="10"/>
  <c r="PG1502" i="10"/>
  <c r="PG1505" i="10"/>
  <c r="PG1504" i="10"/>
  <c r="PG1503" i="10"/>
  <c r="PG1506" i="10"/>
  <c r="PG1509" i="10"/>
  <c r="PG1508" i="10"/>
  <c r="PG1510" i="10"/>
  <c r="KD1499" i="10"/>
  <c r="KD1508" i="10"/>
  <c r="KD1502" i="10"/>
  <c r="KD1505" i="10"/>
  <c r="KD1500" i="10"/>
  <c r="KD1509" i="10"/>
  <c r="KD1503" i="10"/>
  <c r="KD1506" i="10"/>
  <c r="KD1498" i="10"/>
  <c r="KD1501" i="10"/>
  <c r="KD1504" i="10"/>
  <c r="KD1507" i="10"/>
  <c r="KD1510" i="10"/>
  <c r="KD1497" i="10"/>
  <c r="KD1491" i="10"/>
  <c r="KD1492" i="10"/>
  <c r="KD1494" i="10"/>
  <c r="KD1495" i="10"/>
  <c r="KD1493" i="10"/>
  <c r="KD1496" i="10"/>
  <c r="AFB1515" i="10"/>
  <c r="AFB1514" i="10"/>
  <c r="AFB1524" i="10"/>
  <c r="AFB1522" i="10"/>
  <c r="AFB1520" i="10"/>
  <c r="AFB1526" i="10"/>
  <c r="AFB1521" i="10"/>
  <c r="AFB1523" i="10"/>
  <c r="AFB1527" i="10"/>
  <c r="AFB1525" i="10"/>
  <c r="AFB1532" i="10"/>
  <c r="AFB1531" i="10"/>
  <c r="AFB1530" i="10"/>
  <c r="AFB1533" i="10"/>
  <c r="AFB1529" i="10"/>
  <c r="AFB1528" i="10"/>
  <c r="AFB1519" i="10"/>
  <c r="AFB1518" i="10"/>
  <c r="AFB1517" i="10"/>
  <c r="AFB1516" i="10"/>
  <c r="FB1491" i="10"/>
  <c r="FB1493" i="10"/>
  <c r="FB1492" i="10"/>
  <c r="FB1498" i="10"/>
  <c r="FB1494" i="10"/>
  <c r="FB1499" i="10"/>
  <c r="FB1500" i="10"/>
  <c r="FB1496" i="10"/>
  <c r="FB1497" i="10"/>
  <c r="FB1501" i="10"/>
  <c r="FB1505" i="10"/>
  <c r="FB1504" i="10"/>
  <c r="FB1508" i="10"/>
  <c r="FB1503" i="10"/>
  <c r="FB1506" i="10"/>
  <c r="FB1495" i="10"/>
  <c r="FB1502" i="10"/>
  <c r="FB1509" i="10"/>
  <c r="FB1510" i="10"/>
  <c r="FB1507" i="10"/>
  <c r="ABH1516" i="10"/>
  <c r="ABH1519" i="10"/>
  <c r="ABH1518" i="10"/>
  <c r="ABH1522" i="10"/>
  <c r="ABH1523" i="10"/>
  <c r="ABH1521" i="10"/>
  <c r="ABH1520" i="10"/>
  <c r="ABH1525" i="10"/>
  <c r="ABH1527" i="10"/>
  <c r="ABH1528" i="10"/>
  <c r="ABH1526" i="10"/>
  <c r="ABH1529" i="10"/>
  <c r="ABH1530" i="10"/>
  <c r="ABH1532" i="10"/>
  <c r="ABH1531" i="10"/>
  <c r="ABH1524" i="10"/>
  <c r="ABH1533" i="10"/>
  <c r="ABH1514" i="10"/>
  <c r="ABH1515" i="10"/>
  <c r="ABH1517" i="10"/>
  <c r="LF1493" i="10"/>
  <c r="LF1492" i="10"/>
  <c r="LF1491" i="10"/>
  <c r="LF1495" i="10"/>
  <c r="LF1497" i="10"/>
  <c r="LF1496" i="10"/>
  <c r="LF1498" i="10"/>
  <c r="LF1494" i="10"/>
  <c r="LF1501" i="10"/>
  <c r="LF1499" i="10"/>
  <c r="LF1500" i="10"/>
  <c r="LF1509" i="10"/>
  <c r="LF1507" i="10"/>
  <c r="LF1505" i="10"/>
  <c r="LF1504" i="10"/>
  <c r="LF1502" i="10"/>
  <c r="LF1508" i="10"/>
  <c r="LF1503" i="10"/>
  <c r="LF1510" i="10"/>
  <c r="LF1506" i="10"/>
  <c r="AFT1532" i="10"/>
  <c r="AFT1516" i="10"/>
  <c r="AFT1529" i="10"/>
  <c r="AFT1524" i="10"/>
  <c r="AFT1515" i="10"/>
  <c r="AFT1525" i="10"/>
  <c r="AFT1520" i="10"/>
  <c r="AFT1518" i="10"/>
  <c r="AFT1517" i="10"/>
  <c r="AFT1514" i="10"/>
  <c r="AFT1522" i="10"/>
  <c r="AFT1519" i="10"/>
  <c r="AFT1527" i="10"/>
  <c r="AFT1530" i="10"/>
  <c r="AFT1528" i="10"/>
  <c r="AFT1526" i="10"/>
  <c r="AFT1531" i="10"/>
  <c r="AFT1521" i="10"/>
  <c r="AFT1533" i="10"/>
  <c r="AFT1523" i="10"/>
  <c r="FR1493" i="10"/>
  <c r="FR1492" i="10"/>
  <c r="FR1491" i="10"/>
  <c r="FR1494" i="10"/>
  <c r="FR1496" i="10"/>
  <c r="FR1495" i="10"/>
  <c r="FR1497" i="10"/>
  <c r="FR1502" i="10"/>
  <c r="FR1499" i="10"/>
  <c r="FR1500" i="10"/>
  <c r="FR1498" i="10"/>
  <c r="FR1507" i="10"/>
  <c r="FR1505" i="10"/>
  <c r="FR1509" i="10"/>
  <c r="FR1504" i="10"/>
  <c r="FR1501" i="10"/>
  <c r="FR1503" i="10"/>
  <c r="FR1506" i="10"/>
  <c r="FR1510" i="10"/>
  <c r="FR1508" i="10"/>
  <c r="ABV1520" i="10"/>
  <c r="ABV1530" i="10"/>
  <c r="ABV1521" i="10"/>
  <c r="ABV1533" i="10"/>
  <c r="ABV1518" i="10"/>
  <c r="ABV1523" i="10"/>
  <c r="ABV1514" i="10"/>
  <c r="ABV1524" i="10"/>
  <c r="ABV1531" i="10"/>
  <c r="ABV1526" i="10"/>
  <c r="ABV1516" i="10"/>
  <c r="ABV1529" i="10"/>
  <c r="ABV1532" i="10"/>
  <c r="ABV1517" i="10"/>
  <c r="ABV1519" i="10"/>
  <c r="ABV1527" i="10"/>
  <c r="ABV1515" i="10"/>
  <c r="ABV1522" i="10"/>
  <c r="ABV1525" i="10"/>
  <c r="ABV1528" i="10"/>
  <c r="XO1526" i="10"/>
  <c r="XO1533" i="10"/>
  <c r="XO1522" i="10"/>
  <c r="XO1532" i="10"/>
  <c r="XO1528" i="10"/>
  <c r="XO1524" i="10"/>
  <c r="XO1529" i="10"/>
  <c r="XO1518" i="10"/>
  <c r="XO1531" i="10"/>
  <c r="XO1516" i="10"/>
  <c r="XO1523" i="10"/>
  <c r="XO1530" i="10"/>
  <c r="XO1515" i="10"/>
  <c r="XO1525" i="10"/>
  <c r="XO1527" i="10"/>
  <c r="XO1514" i="10"/>
  <c r="XO1520" i="10"/>
  <c r="XO1517" i="10"/>
  <c r="XO1519" i="10"/>
  <c r="XO1521" i="10"/>
  <c r="EI1516" i="10"/>
  <c r="EI1517" i="10"/>
  <c r="EI1514" i="10"/>
  <c r="EI1515" i="10"/>
  <c r="EI1518" i="10"/>
  <c r="EI1520" i="10"/>
  <c r="EI1521" i="10"/>
  <c r="EI1525" i="10"/>
  <c r="EI1524" i="10"/>
  <c r="EI1522" i="10"/>
  <c r="EI1526" i="10"/>
  <c r="EI1527" i="10"/>
  <c r="EI1529" i="10"/>
  <c r="EI1523" i="10"/>
  <c r="EI1519" i="10"/>
  <c r="EI1528" i="10"/>
  <c r="EI1533" i="10"/>
  <c r="EI1530" i="10"/>
  <c r="EI1532" i="10"/>
  <c r="EI1531" i="10"/>
  <c r="NG1518" i="10"/>
  <c r="NG1514" i="10"/>
  <c r="NG1516" i="10"/>
  <c r="NG1517" i="10"/>
  <c r="NG1515" i="10"/>
  <c r="NG1519" i="10"/>
  <c r="NG1525" i="10"/>
  <c r="NG1522" i="10"/>
  <c r="NG1523" i="10"/>
  <c r="NG1524" i="10"/>
  <c r="NG1526" i="10"/>
  <c r="NG1527" i="10"/>
  <c r="NG1520" i="10"/>
  <c r="NG1528" i="10"/>
  <c r="NG1533" i="10"/>
  <c r="NG1529" i="10"/>
  <c r="NG1521" i="10"/>
  <c r="NG1532" i="10"/>
  <c r="NG1530" i="10"/>
  <c r="NG1531" i="10"/>
  <c r="CO1493" i="10"/>
  <c r="CO1497" i="10"/>
  <c r="CO1499" i="10"/>
  <c r="CO1492" i="10"/>
  <c r="CO1496" i="10"/>
  <c r="CO1498" i="10"/>
  <c r="CO1495" i="10"/>
  <c r="CO1494" i="10"/>
  <c r="CO1500" i="10"/>
  <c r="CO1502" i="10"/>
  <c r="CO1501" i="10"/>
  <c r="CO1491" i="10"/>
  <c r="CO1508" i="10"/>
  <c r="CO1506" i="10"/>
  <c r="CO1504" i="10"/>
  <c r="CO1507" i="10"/>
  <c r="CO1503" i="10"/>
  <c r="CO1509" i="10"/>
  <c r="CO1510" i="10"/>
  <c r="CO1505" i="10"/>
  <c r="TK1529" i="10"/>
  <c r="TK1523" i="10"/>
  <c r="TK1519" i="10"/>
  <c r="TK1527" i="10"/>
  <c r="TK1530" i="10"/>
  <c r="TK1514" i="10"/>
  <c r="TK1516" i="10"/>
  <c r="TK1533" i="10"/>
  <c r="TK1518" i="10"/>
  <c r="TK1520" i="10"/>
  <c r="TK1526" i="10"/>
  <c r="TK1515" i="10"/>
  <c r="TK1522" i="10"/>
  <c r="TK1532" i="10"/>
  <c r="TK1521" i="10"/>
  <c r="TK1524" i="10"/>
  <c r="TK1525" i="10"/>
  <c r="TK1531" i="10"/>
  <c r="TK1517" i="10"/>
  <c r="TK1528" i="10"/>
  <c r="ZB1492" i="10"/>
  <c r="ZB1491" i="10"/>
  <c r="ZB1493" i="10"/>
  <c r="ZB1494" i="10"/>
  <c r="ZB1500" i="10"/>
  <c r="ZB1495" i="10"/>
  <c r="ZB1499" i="10"/>
  <c r="ZB1496" i="10"/>
  <c r="ZB1498" i="10"/>
  <c r="ZB1497" i="10"/>
  <c r="ZB1502" i="10"/>
  <c r="ZB1505" i="10"/>
  <c r="ZB1504" i="10"/>
  <c r="ZB1501" i="10"/>
  <c r="ZB1503" i="10"/>
  <c r="ZB1506" i="10"/>
  <c r="ZB1508" i="10"/>
  <c r="ZB1509" i="10"/>
  <c r="ZB1507" i="10"/>
  <c r="ZB1510" i="10"/>
  <c r="MD1514" i="10"/>
  <c r="MD1515" i="10"/>
  <c r="MD1517" i="10"/>
  <c r="MD1518" i="10"/>
  <c r="MD1519" i="10"/>
  <c r="MD1516" i="10"/>
  <c r="MD1521" i="10"/>
  <c r="MD1522" i="10"/>
  <c r="MD1524" i="10"/>
  <c r="MD1520" i="10"/>
  <c r="MD1526" i="10"/>
  <c r="MD1523" i="10"/>
  <c r="MD1527" i="10"/>
  <c r="MD1528" i="10"/>
  <c r="MD1525" i="10"/>
  <c r="MD1531" i="10"/>
  <c r="MD1532" i="10"/>
  <c r="MD1530" i="10"/>
  <c r="MD1533" i="10"/>
  <c r="MD1529" i="10"/>
  <c r="RT1492" i="10"/>
  <c r="RT1491" i="10"/>
  <c r="RT1495" i="10"/>
  <c r="RT1497" i="10"/>
  <c r="RT1493" i="10"/>
  <c r="RT1496" i="10"/>
  <c r="RT1498" i="10"/>
  <c r="RT1500" i="10"/>
  <c r="RT1501" i="10"/>
  <c r="RT1494" i="10"/>
  <c r="RT1499" i="10"/>
  <c r="RT1509" i="10"/>
  <c r="RT1507" i="10"/>
  <c r="RT1502" i="10"/>
  <c r="RT1505" i="10"/>
  <c r="RT1504" i="10"/>
  <c r="RT1508" i="10"/>
  <c r="RT1510" i="10"/>
  <c r="RT1506" i="10"/>
  <c r="RT1503" i="10"/>
  <c r="NT1493" i="10"/>
  <c r="NT1496" i="10"/>
  <c r="NT1498" i="10"/>
  <c r="NT1492" i="10"/>
  <c r="NT1495" i="10"/>
  <c r="NT1497" i="10"/>
  <c r="NT1494" i="10"/>
  <c r="NT1500" i="10"/>
  <c r="NT1501" i="10"/>
  <c r="NT1491" i="10"/>
  <c r="NT1502" i="10"/>
  <c r="NT1508" i="10"/>
  <c r="NT1509" i="10"/>
  <c r="NT1507" i="10"/>
  <c r="NT1504" i="10"/>
  <c r="NT1499" i="10"/>
  <c r="NT1503" i="10"/>
  <c r="NT1506" i="10"/>
  <c r="NT1505" i="10"/>
  <c r="NT1510" i="10"/>
  <c r="AS1514" i="10"/>
  <c r="AS1515" i="10"/>
  <c r="AS1517" i="10"/>
  <c r="AS1518" i="10"/>
  <c r="AS1516" i="10"/>
  <c r="AS1523" i="10"/>
  <c r="AS1521" i="10"/>
  <c r="AS1522" i="10"/>
  <c r="AS1525" i="10"/>
  <c r="AS1519" i="10"/>
  <c r="AS1524" i="10"/>
  <c r="AS1527" i="10"/>
  <c r="AS1528" i="10"/>
  <c r="AS1529" i="10"/>
  <c r="AS1526" i="10"/>
  <c r="AS1530" i="10"/>
  <c r="AS1532" i="10"/>
  <c r="AS1531" i="10"/>
  <c r="AS1520" i="10"/>
  <c r="AS1533" i="10"/>
  <c r="IF1493" i="10"/>
  <c r="IF1492" i="10"/>
  <c r="IF1491" i="10"/>
  <c r="IF1495" i="10"/>
  <c r="IF1497" i="10"/>
  <c r="IF1496" i="10"/>
  <c r="IF1498" i="10"/>
  <c r="IF1501" i="10"/>
  <c r="IF1499" i="10"/>
  <c r="IF1500" i="10"/>
  <c r="IF1506" i="10"/>
  <c r="IF1507" i="10"/>
  <c r="IF1505" i="10"/>
  <c r="IF1509" i="10"/>
  <c r="IF1504" i="10"/>
  <c r="IF1494" i="10"/>
  <c r="IF1508" i="10"/>
  <c r="IF1502" i="10"/>
  <c r="IF1503" i="10"/>
  <c r="IF1510" i="10"/>
  <c r="OJ1492" i="10"/>
  <c r="OJ1491" i="10"/>
  <c r="OJ1493" i="10"/>
  <c r="OJ1494" i="10"/>
  <c r="OJ1500" i="10"/>
  <c r="OJ1495" i="10"/>
  <c r="OJ1497" i="10"/>
  <c r="OJ1501" i="10"/>
  <c r="OJ1499" i="10"/>
  <c r="OJ1498" i="10"/>
  <c r="OJ1496" i="10"/>
  <c r="OJ1505" i="10"/>
  <c r="OJ1504" i="10"/>
  <c r="OJ1503" i="10"/>
  <c r="OJ1506" i="10"/>
  <c r="OJ1508" i="10"/>
  <c r="OJ1502" i="10"/>
  <c r="OJ1509" i="10"/>
  <c r="OJ1507" i="10"/>
  <c r="OJ1510" i="10"/>
  <c r="BT1514" i="10"/>
  <c r="BT1515" i="10"/>
  <c r="BT1516" i="10"/>
  <c r="BT1519" i="10"/>
  <c r="BT1520" i="10"/>
  <c r="BT1517" i="10"/>
  <c r="BT1518" i="10"/>
  <c r="BT1523" i="10"/>
  <c r="BT1521" i="10"/>
  <c r="BT1522" i="10"/>
  <c r="BT1525" i="10"/>
  <c r="BT1527" i="10"/>
  <c r="BT1528" i="10"/>
  <c r="BT1524" i="10"/>
  <c r="BT1529" i="10"/>
  <c r="BT1526" i="10"/>
  <c r="BT1530" i="10"/>
  <c r="BT1532" i="10"/>
  <c r="BT1531" i="10"/>
  <c r="BT1533" i="10"/>
  <c r="JG1508" i="10"/>
  <c r="JG1506" i="10"/>
  <c r="JG1509" i="10"/>
  <c r="JG1510" i="10"/>
  <c r="JG1499" i="10"/>
  <c r="JG1504" i="10"/>
  <c r="JG1498" i="10"/>
  <c r="JG1500" i="10"/>
  <c r="JG1493" i="10"/>
  <c r="JG1505" i="10"/>
  <c r="JG1495" i="10"/>
  <c r="JG1501" i="10"/>
  <c r="JG1496" i="10"/>
  <c r="JG1491" i="10"/>
  <c r="JG1503" i="10"/>
  <c r="JG1502" i="10"/>
  <c r="JG1492" i="10"/>
  <c r="JG1497" i="10"/>
  <c r="JG1507" i="10"/>
  <c r="JG1494" i="10"/>
  <c r="AEM1503" i="10"/>
  <c r="AEM1501" i="10"/>
  <c r="AEM1502" i="10"/>
  <c r="AEM1493" i="10"/>
  <c r="AEM1510" i="10"/>
  <c r="AEM1498" i="10"/>
  <c r="AEM1508" i="10"/>
  <c r="AEM1496" i="10"/>
  <c r="AEM1509" i="10"/>
  <c r="AEM1491" i="10"/>
  <c r="AEM1495" i="10"/>
  <c r="AEM1506" i="10"/>
  <c r="AEM1497" i="10"/>
  <c r="AEM1499" i="10"/>
  <c r="AEM1507" i="10"/>
  <c r="AEM1505" i="10"/>
  <c r="AEM1492" i="10"/>
  <c r="AEM1494" i="10"/>
  <c r="AEM1504" i="10"/>
  <c r="AEM1500" i="10"/>
  <c r="TF1514" i="10"/>
  <c r="TF1517" i="10"/>
  <c r="TF1515" i="10"/>
  <c r="TF1519" i="10"/>
  <c r="TF1520" i="10"/>
  <c r="TF1518" i="10"/>
  <c r="TF1522" i="10"/>
  <c r="TF1523" i="10"/>
  <c r="TF1527" i="10"/>
  <c r="TF1525" i="10"/>
  <c r="TF1526" i="10"/>
  <c r="TF1524" i="10"/>
  <c r="TF1528" i="10"/>
  <c r="TF1531" i="10"/>
  <c r="TF1521" i="10"/>
  <c r="TF1532" i="10"/>
  <c r="TF1529" i="10"/>
  <c r="TF1533" i="10"/>
  <c r="TF1530" i="10"/>
  <c r="TF1516" i="10"/>
  <c r="AAN1492" i="10"/>
  <c r="AAN1491" i="10"/>
  <c r="AAN1494" i="10"/>
  <c r="AAN1500" i="10"/>
  <c r="AAN1495" i="10"/>
  <c r="AAN1493" i="10"/>
  <c r="AAN1499" i="10"/>
  <c r="AAN1496" i="10"/>
  <c r="AAN1501" i="10"/>
  <c r="AAN1497" i="10"/>
  <c r="AAN1505" i="10"/>
  <c r="AAN1498" i="10"/>
  <c r="AAN1504" i="10"/>
  <c r="AAN1503" i="10"/>
  <c r="AAN1506" i="10"/>
  <c r="AAN1508" i="10"/>
  <c r="AAN1502" i="10"/>
  <c r="AAN1509" i="10"/>
  <c r="AAN1507" i="10"/>
  <c r="AAN1510" i="10"/>
  <c r="CK1514" i="10"/>
  <c r="CK1515" i="10"/>
  <c r="CK1520" i="10"/>
  <c r="CK1516" i="10"/>
  <c r="CK1519" i="10"/>
  <c r="CK1518" i="10"/>
  <c r="CK1525" i="10"/>
  <c r="CK1517" i="10"/>
  <c r="CK1523" i="10"/>
  <c r="CK1522" i="10"/>
  <c r="CK1524" i="10"/>
  <c r="CK1529" i="10"/>
  <c r="CK1521" i="10"/>
  <c r="CK1527" i="10"/>
  <c r="CK1528" i="10"/>
  <c r="CK1532" i="10"/>
  <c r="CK1531" i="10"/>
  <c r="CK1533" i="10"/>
  <c r="CK1526" i="10"/>
  <c r="CK1530" i="10"/>
  <c r="NR1514" i="10"/>
  <c r="NR1515" i="10"/>
  <c r="NR1517" i="10"/>
  <c r="NR1516" i="10"/>
  <c r="NR1518" i="10"/>
  <c r="NR1519" i="10"/>
  <c r="NR1524" i="10"/>
  <c r="NR1520" i="10"/>
  <c r="NR1522" i="10"/>
  <c r="NR1523" i="10"/>
  <c r="NR1525" i="10"/>
  <c r="NR1526" i="10"/>
  <c r="NR1527" i="10"/>
  <c r="NR1529" i="10"/>
  <c r="NR1521" i="10"/>
  <c r="NR1528" i="10"/>
  <c r="NR1531" i="10"/>
  <c r="NR1530" i="10"/>
  <c r="NR1533" i="10"/>
  <c r="NR1532" i="10"/>
  <c r="VD1493" i="10"/>
  <c r="VD1496" i="10"/>
  <c r="VD1498" i="10"/>
  <c r="VD1495" i="10"/>
  <c r="VD1497" i="10"/>
  <c r="VD1492" i="10"/>
  <c r="VD1491" i="10"/>
  <c r="VD1494" i="10"/>
  <c r="VD1500" i="10"/>
  <c r="VD1499" i="10"/>
  <c r="VD1501" i="10"/>
  <c r="VD1502" i="10"/>
  <c r="VD1508" i="10"/>
  <c r="VD1509" i="10"/>
  <c r="VD1507" i="10"/>
  <c r="VD1504" i="10"/>
  <c r="VD1503" i="10"/>
  <c r="VD1506" i="10"/>
  <c r="VD1505" i="10"/>
  <c r="VD1510" i="10"/>
  <c r="BK1520" i="10"/>
  <c r="BK1516" i="10"/>
  <c r="BK1517" i="10"/>
  <c r="BK1523" i="10"/>
  <c r="BK1521" i="10"/>
  <c r="BK1522" i="10"/>
  <c r="BK1525" i="10"/>
  <c r="BK1527" i="10"/>
  <c r="BK1528" i="10"/>
  <c r="BK1529" i="10"/>
  <c r="BK1524" i="10"/>
  <c r="BK1526" i="10"/>
  <c r="BK1530" i="10"/>
  <c r="BK1532" i="10"/>
  <c r="BK1531" i="10"/>
  <c r="BK1533" i="10"/>
  <c r="BK1514" i="10"/>
  <c r="BK1515" i="10"/>
  <c r="BK1519" i="10"/>
  <c r="BK1518" i="10"/>
  <c r="GR1491" i="10"/>
  <c r="GR1494" i="10"/>
  <c r="GR1492" i="10"/>
  <c r="GR1499" i="10"/>
  <c r="GR1496" i="10"/>
  <c r="GR1498" i="10"/>
  <c r="GR1495" i="10"/>
  <c r="GR1497" i="10"/>
  <c r="GR1493" i="10"/>
  <c r="GR1502" i="10"/>
  <c r="GR1503" i="10"/>
  <c r="GR1501" i="10"/>
  <c r="GR1508" i="10"/>
  <c r="GR1507" i="10"/>
  <c r="GR1505" i="10"/>
  <c r="GR1506" i="10"/>
  <c r="GR1504" i="10"/>
  <c r="GR1509" i="10"/>
  <c r="GR1510" i="10"/>
  <c r="GR1500" i="10"/>
  <c r="EF1514" i="10"/>
  <c r="EF1515" i="10"/>
  <c r="EF1517" i="10"/>
  <c r="EF1519" i="10"/>
  <c r="EF1516" i="10"/>
  <c r="EF1523" i="10"/>
  <c r="EF1524" i="10"/>
  <c r="EF1520" i="10"/>
  <c r="EF1518" i="10"/>
  <c r="EF1521" i="10"/>
  <c r="EF1525" i="10"/>
  <c r="EF1528" i="10"/>
  <c r="EF1522" i="10"/>
  <c r="EF1532" i="10"/>
  <c r="EF1531" i="10"/>
  <c r="EF1526" i="10"/>
  <c r="EF1533" i="10"/>
  <c r="EF1530" i="10"/>
  <c r="EF1529" i="10"/>
  <c r="EF1527" i="10"/>
  <c r="GB1493" i="10"/>
  <c r="GB1492" i="10"/>
  <c r="GB1491" i="10"/>
  <c r="GB1494" i="10"/>
  <c r="GB1496" i="10"/>
  <c r="GB1495" i="10"/>
  <c r="GB1497" i="10"/>
  <c r="GB1498" i="10"/>
  <c r="GB1500" i="10"/>
  <c r="GB1502" i="10"/>
  <c r="GB1506" i="10"/>
  <c r="GB1507" i="10"/>
  <c r="GB1505" i="10"/>
  <c r="GB1499" i="10"/>
  <c r="GB1504" i="10"/>
  <c r="GB1509" i="10"/>
  <c r="GB1503" i="10"/>
  <c r="GB1501" i="10"/>
  <c r="GB1508" i="10"/>
  <c r="GB1510" i="10"/>
  <c r="WY1516" i="10"/>
  <c r="WY1523" i="10"/>
  <c r="WY1530" i="10"/>
  <c r="WY1526" i="10"/>
  <c r="WY1517" i="10"/>
  <c r="WY1528" i="10"/>
  <c r="WY1533" i="10"/>
  <c r="WY1514" i="10"/>
  <c r="WY1520" i="10"/>
  <c r="WY1524" i="10"/>
  <c r="WY1529" i="10"/>
  <c r="WY1522" i="10"/>
  <c r="WY1531" i="10"/>
  <c r="WY1518" i="10"/>
  <c r="WY1525" i="10"/>
  <c r="WY1521" i="10"/>
  <c r="WY1532" i="10"/>
  <c r="WY1515" i="10"/>
  <c r="WY1527" i="10"/>
  <c r="WY1519" i="10"/>
  <c r="ACE1492" i="10"/>
  <c r="ACE1491" i="10"/>
  <c r="ACE1494" i="10"/>
  <c r="ACE1493" i="10"/>
  <c r="ACE1496" i="10"/>
  <c r="ACE1498" i="10"/>
  <c r="ACE1495" i="10"/>
  <c r="ACE1497" i="10"/>
  <c r="ACE1499" i="10"/>
  <c r="ACE1500" i="10"/>
  <c r="ACE1501" i="10"/>
  <c r="ACE1504" i="10"/>
  <c r="ACE1503" i="10"/>
  <c r="ACE1506" i="10"/>
  <c r="ACE1508" i="10"/>
  <c r="ACE1509" i="10"/>
  <c r="ACE1505" i="10"/>
  <c r="ACE1502" i="10"/>
  <c r="ACE1507" i="10"/>
  <c r="ACE1510" i="10"/>
  <c r="HF1491" i="10"/>
  <c r="HF1493" i="10"/>
  <c r="HF1492" i="10"/>
  <c r="HF1494" i="10"/>
  <c r="HF1499" i="10"/>
  <c r="HF1495" i="10"/>
  <c r="HF1498" i="10"/>
  <c r="HF1496" i="10"/>
  <c r="HF1497" i="10"/>
  <c r="HF1501" i="10"/>
  <c r="HF1500" i="10"/>
  <c r="HF1505" i="10"/>
  <c r="HF1504" i="10"/>
  <c r="HF1502" i="10"/>
  <c r="HF1503" i="10"/>
  <c r="HF1506" i="10"/>
  <c r="HF1508" i="10"/>
  <c r="HF1507" i="10"/>
  <c r="HF1510" i="10"/>
  <c r="HF1509" i="10"/>
  <c r="PQ1517" i="10"/>
  <c r="PQ1515" i="10"/>
  <c r="PQ1514" i="10"/>
  <c r="PQ1518" i="10"/>
  <c r="PQ1516" i="10"/>
  <c r="PQ1519" i="10"/>
  <c r="PQ1522" i="10"/>
  <c r="PQ1523" i="10"/>
  <c r="PQ1520" i="10"/>
  <c r="PQ1521" i="10"/>
  <c r="PQ1528" i="10"/>
  <c r="PQ1525" i="10"/>
  <c r="PQ1526" i="10"/>
  <c r="PQ1524" i="10"/>
  <c r="PQ1527" i="10"/>
  <c r="PQ1530" i="10"/>
  <c r="PQ1531" i="10"/>
  <c r="PQ1532" i="10"/>
  <c r="PQ1529" i="10"/>
  <c r="PQ1533" i="10"/>
  <c r="VG1503" i="10"/>
  <c r="VG1501" i="10"/>
  <c r="VG1502" i="10"/>
  <c r="VG1510" i="10"/>
  <c r="VG1495" i="10"/>
  <c r="VG1494" i="10"/>
  <c r="VG1504" i="10"/>
  <c r="VG1492" i="10"/>
  <c r="VG1507" i="10"/>
  <c r="VG1498" i="10"/>
  <c r="VG1491" i="10"/>
  <c r="VG1493" i="10"/>
  <c r="VG1499" i="10"/>
  <c r="VG1506" i="10"/>
  <c r="VG1505" i="10"/>
  <c r="VG1508" i="10"/>
  <c r="VG1509" i="10"/>
  <c r="VG1496" i="10"/>
  <c r="VG1500" i="10"/>
  <c r="VG1497" i="10"/>
  <c r="KY1522" i="10"/>
  <c r="KY1528" i="10"/>
  <c r="KY1529" i="10"/>
  <c r="KY1525" i="10"/>
  <c r="KY1526" i="10"/>
  <c r="KY1531" i="10"/>
  <c r="KY1517" i="10"/>
  <c r="KY1523" i="10"/>
  <c r="KY1520" i="10"/>
  <c r="KY1530" i="10"/>
  <c r="KY1532" i="10"/>
  <c r="KY1515" i="10"/>
  <c r="KY1521" i="10"/>
  <c r="KY1524" i="10"/>
  <c r="KY1527" i="10"/>
  <c r="KY1533" i="10"/>
  <c r="KY1519" i="10"/>
  <c r="KY1514" i="10"/>
  <c r="KY1516" i="10"/>
  <c r="KY1518" i="10"/>
  <c r="SM1503" i="10"/>
  <c r="SM1502" i="10"/>
  <c r="SM1497" i="10"/>
  <c r="SM1499" i="10"/>
  <c r="SM1504" i="10"/>
  <c r="SM1505" i="10"/>
  <c r="SM1498" i="10"/>
  <c r="SM1508" i="10"/>
  <c r="SM1491" i="10"/>
  <c r="SM1492" i="10"/>
  <c r="SM1493" i="10"/>
  <c r="SM1495" i="10"/>
  <c r="SM1494" i="10"/>
  <c r="SM1500" i="10"/>
  <c r="SM1510" i="10"/>
  <c r="SM1509" i="10"/>
  <c r="SM1496" i="10"/>
  <c r="SM1501" i="10"/>
  <c r="SM1506" i="10"/>
  <c r="SM1507" i="10"/>
  <c r="FK1491" i="10"/>
  <c r="FK1494" i="10"/>
  <c r="FK1499" i="10"/>
  <c r="FK1492" i="10"/>
  <c r="FK1496" i="10"/>
  <c r="FK1495" i="10"/>
  <c r="FK1497" i="10"/>
  <c r="FK1493" i="10"/>
  <c r="FK1498" i="10"/>
  <c r="FK1502" i="10"/>
  <c r="FK1500" i="10"/>
  <c r="FK1503" i="10"/>
  <c r="FK1508" i="10"/>
  <c r="FK1501" i="10"/>
  <c r="FK1506" i="10"/>
  <c r="FK1507" i="10"/>
  <c r="FK1505" i="10"/>
  <c r="FK1504" i="10"/>
  <c r="FK1510" i="10"/>
  <c r="FK1509" i="10"/>
  <c r="MX1493" i="10"/>
  <c r="MX1491" i="10"/>
  <c r="MX1496" i="10"/>
  <c r="MX1498" i="10"/>
  <c r="MX1495" i="10"/>
  <c r="MX1497" i="10"/>
  <c r="MX1494" i="10"/>
  <c r="MX1500" i="10"/>
  <c r="MX1502" i="10"/>
  <c r="MX1499" i="10"/>
  <c r="MX1501" i="10"/>
  <c r="MX1508" i="10"/>
  <c r="MX1509" i="10"/>
  <c r="MX1507" i="10"/>
  <c r="MX1504" i="10"/>
  <c r="MX1503" i="10"/>
  <c r="MX1506" i="10"/>
  <c r="MX1505" i="10"/>
  <c r="MX1492" i="10"/>
  <c r="MX1510" i="10"/>
  <c r="AH1514" i="10"/>
  <c r="AH1515" i="10"/>
  <c r="AH1518" i="10"/>
  <c r="AH1516" i="10"/>
  <c r="AH1520" i="10"/>
  <c r="AH1517" i="10"/>
  <c r="AH1521" i="10"/>
  <c r="AH1522" i="10"/>
  <c r="AH1524" i="10"/>
  <c r="AH1523" i="10"/>
  <c r="AH1529" i="10"/>
  <c r="AH1526" i="10"/>
  <c r="AH1527" i="10"/>
  <c r="AH1528" i="10"/>
  <c r="AH1530" i="10"/>
  <c r="AH1532" i="10"/>
  <c r="AH1531" i="10"/>
  <c r="AH1519" i="10"/>
  <c r="AH1525" i="10"/>
  <c r="AH1533" i="10"/>
  <c r="HU1493" i="10"/>
  <c r="HU1492" i="10"/>
  <c r="HU1491" i="10"/>
  <c r="HU1494" i="10"/>
  <c r="HU1496" i="10"/>
  <c r="HU1495" i="10"/>
  <c r="HU1497" i="10"/>
  <c r="HU1500" i="10"/>
  <c r="HU1502" i="10"/>
  <c r="HU1499" i="10"/>
  <c r="HU1498" i="10"/>
  <c r="HU1507" i="10"/>
  <c r="HU1505" i="10"/>
  <c r="HU1504" i="10"/>
  <c r="HU1503" i="10"/>
  <c r="HU1506" i="10"/>
  <c r="HU1501" i="10"/>
  <c r="HU1509" i="10"/>
  <c r="HU1510" i="10"/>
  <c r="HU1508" i="10"/>
  <c r="ADN1515" i="10"/>
  <c r="ADN1516" i="10"/>
  <c r="ADN1518" i="10"/>
  <c r="ADN1514" i="10"/>
  <c r="ADN1519" i="10"/>
  <c r="ADN1520" i="10"/>
  <c r="ADN1521" i="10"/>
  <c r="ADN1524" i="10"/>
  <c r="ADN1525" i="10"/>
  <c r="ADN1526" i="10"/>
  <c r="ADN1522" i="10"/>
  <c r="ADN1517" i="10"/>
  <c r="ADN1528" i="10"/>
  <c r="ADN1531" i="10"/>
  <c r="ADN1527" i="10"/>
  <c r="ADN1523" i="10"/>
  <c r="ADN1532" i="10"/>
  <c r="ADN1529" i="10"/>
  <c r="ADN1530" i="10"/>
  <c r="ADN1533" i="10"/>
  <c r="NZ1514" i="10"/>
  <c r="NZ1516" i="10"/>
  <c r="NZ1517" i="10"/>
  <c r="NZ1518" i="10"/>
  <c r="NZ1519" i="10"/>
  <c r="NZ1521" i="10"/>
  <c r="NZ1523" i="10"/>
  <c r="NZ1525" i="10"/>
  <c r="NZ1520" i="10"/>
  <c r="NZ1522" i="10"/>
  <c r="NZ1528" i="10"/>
  <c r="NZ1515" i="10"/>
  <c r="NZ1524" i="10"/>
  <c r="NZ1527" i="10"/>
  <c r="NZ1526" i="10"/>
  <c r="NZ1531" i="10"/>
  <c r="NZ1532" i="10"/>
  <c r="NZ1530" i="10"/>
  <c r="NZ1529" i="10"/>
  <c r="NZ1533" i="10"/>
  <c r="VL1492" i="10"/>
  <c r="VL1491" i="10"/>
  <c r="VL1495" i="10"/>
  <c r="VL1497" i="10"/>
  <c r="VL1493" i="10"/>
  <c r="VL1496" i="10"/>
  <c r="VL1498" i="10"/>
  <c r="VL1494" i="10"/>
  <c r="VL1501" i="10"/>
  <c r="VL1499" i="10"/>
  <c r="VL1500" i="10"/>
  <c r="VL1509" i="10"/>
  <c r="VL1507" i="10"/>
  <c r="VL1505" i="10"/>
  <c r="VL1504" i="10"/>
  <c r="VL1508" i="10"/>
  <c r="VL1502" i="10"/>
  <c r="VL1506" i="10"/>
  <c r="VL1503" i="10"/>
  <c r="VL1510" i="10"/>
  <c r="IV1492" i="10"/>
  <c r="IV1491" i="10"/>
  <c r="IV1493" i="10"/>
  <c r="IV1494" i="10"/>
  <c r="IV1499" i="10"/>
  <c r="IV1496" i="10"/>
  <c r="IV1498" i="10"/>
  <c r="IV1500" i="10"/>
  <c r="IV1501" i="10"/>
  <c r="IV1495" i="10"/>
  <c r="IV1504" i="10"/>
  <c r="IV1503" i="10"/>
  <c r="IV1508" i="10"/>
  <c r="IV1497" i="10"/>
  <c r="IV1502" i="10"/>
  <c r="IV1506" i="10"/>
  <c r="IV1505" i="10"/>
  <c r="IV1509" i="10"/>
  <c r="IV1510" i="10"/>
  <c r="IV1507" i="10"/>
  <c r="AEF1523" i="10"/>
  <c r="AEF1532" i="10"/>
  <c r="AEF1530" i="10"/>
  <c r="AEF1516" i="10"/>
  <c r="AEF1526" i="10"/>
  <c r="AEF1517" i="10"/>
  <c r="AEF1525" i="10"/>
  <c r="AEF1520" i="10"/>
  <c r="AEF1531" i="10"/>
  <c r="AEF1514" i="10"/>
  <c r="AEF1519" i="10"/>
  <c r="AEF1533" i="10"/>
  <c r="AEF1518" i="10"/>
  <c r="AEF1527" i="10"/>
  <c r="AEF1522" i="10"/>
  <c r="AEF1524" i="10"/>
  <c r="AEF1529" i="10"/>
  <c r="AEF1521" i="10"/>
  <c r="AEF1528" i="10"/>
  <c r="AEF1515" i="10"/>
  <c r="DJ1491" i="10"/>
  <c r="DJ1494" i="10"/>
  <c r="DJ1497" i="10"/>
  <c r="DJ1499" i="10"/>
  <c r="DJ1496" i="10"/>
  <c r="DJ1498" i="10"/>
  <c r="DJ1495" i="10"/>
  <c r="DJ1493" i="10"/>
  <c r="DJ1492" i="10"/>
  <c r="DJ1500" i="10"/>
  <c r="DJ1502" i="10"/>
  <c r="DJ1503" i="10"/>
  <c r="DJ1509" i="10"/>
  <c r="DJ1508" i="10"/>
  <c r="DJ1501" i="10"/>
  <c r="DJ1505" i="10"/>
  <c r="DJ1504" i="10"/>
  <c r="DJ1507" i="10"/>
  <c r="DJ1510" i="10"/>
  <c r="DJ1506" i="10"/>
  <c r="ZV1519" i="10"/>
  <c r="ZV1515" i="10"/>
  <c r="ZV1517" i="10"/>
  <c r="ZV1516" i="10"/>
  <c r="ZV1523" i="10"/>
  <c r="ZV1520" i="10"/>
  <c r="ZV1514" i="10"/>
  <c r="ZV1522" i="10"/>
  <c r="ZV1518" i="10"/>
  <c r="ZV1521" i="10"/>
  <c r="ZV1528" i="10"/>
  <c r="ZV1524" i="10"/>
  <c r="ZV1525" i="10"/>
  <c r="ZV1526" i="10"/>
  <c r="ZV1527" i="10"/>
  <c r="ZV1531" i="10"/>
  <c r="ZV1532" i="10"/>
  <c r="ZV1529" i="10"/>
  <c r="ZV1530" i="10"/>
  <c r="ZV1533" i="10"/>
  <c r="AFN1492" i="10"/>
  <c r="AFN1491" i="10"/>
  <c r="AFN1495" i="10"/>
  <c r="AFN1497" i="10"/>
  <c r="AFN1493" i="10"/>
  <c r="AFN1494" i="10"/>
  <c r="AFN1496" i="10"/>
  <c r="AFN1498" i="10"/>
  <c r="AFN1499" i="10"/>
  <c r="AFN1500" i="10"/>
  <c r="AFN1501" i="10"/>
  <c r="AFN1507" i="10"/>
  <c r="AFN1502" i="10"/>
  <c r="AFN1505" i="10"/>
  <c r="AFN1504" i="10"/>
  <c r="AFN1508" i="10"/>
  <c r="AFN1506" i="10"/>
  <c r="AFN1509" i="10"/>
  <c r="AFN1510" i="10"/>
  <c r="AFN1503" i="10"/>
  <c r="GK1514" i="10"/>
  <c r="GK1515" i="10"/>
  <c r="GK1516" i="10"/>
  <c r="GK1519" i="10"/>
  <c r="GK1517" i="10"/>
  <c r="GK1518" i="10"/>
  <c r="GK1521" i="10"/>
  <c r="GK1522" i="10"/>
  <c r="GK1524" i="10"/>
  <c r="GK1525" i="10"/>
  <c r="GK1520" i="10"/>
  <c r="GK1523" i="10"/>
  <c r="GK1526" i="10"/>
  <c r="GK1528" i="10"/>
  <c r="GK1527" i="10"/>
  <c r="GK1531" i="10"/>
  <c r="GK1532" i="10"/>
  <c r="GK1530" i="10"/>
  <c r="GK1529" i="10"/>
  <c r="GK1533" i="10"/>
  <c r="MA1504" i="10"/>
  <c r="MA1502" i="10"/>
  <c r="MA1497" i="10"/>
  <c r="MA1499" i="10"/>
  <c r="MA1505" i="10"/>
  <c r="MA1510" i="10"/>
  <c r="MA1498" i="10"/>
  <c r="MA1508" i="10"/>
  <c r="MA1503" i="10"/>
  <c r="MA1500" i="10"/>
  <c r="MA1496" i="10"/>
  <c r="MA1501" i="10"/>
  <c r="MA1507" i="10"/>
  <c r="MA1491" i="10"/>
  <c r="MA1506" i="10"/>
  <c r="MA1492" i="10"/>
  <c r="MA1494" i="10"/>
  <c r="MA1493" i="10"/>
  <c r="MA1495" i="10"/>
  <c r="MA1509" i="10"/>
  <c r="ACM1533" i="10"/>
  <c r="ACM1515" i="10"/>
  <c r="ACM1525" i="10"/>
  <c r="ACM1527" i="10"/>
  <c r="ACM1526" i="10"/>
  <c r="ACM1523" i="10"/>
  <c r="ACM1530" i="10"/>
  <c r="ACM1532" i="10"/>
  <c r="ACM1522" i="10"/>
  <c r="ACM1516" i="10"/>
  <c r="ACM1528" i="10"/>
  <c r="ACM1517" i="10"/>
  <c r="ACM1520" i="10"/>
  <c r="ACM1514" i="10"/>
  <c r="ACM1521" i="10"/>
  <c r="ACM1524" i="10"/>
  <c r="ACM1529" i="10"/>
  <c r="ACM1519" i="10"/>
  <c r="ACM1518" i="10"/>
  <c r="ACM1531" i="10"/>
  <c r="ET1493" i="10"/>
  <c r="ET1492" i="10"/>
  <c r="ET1491" i="10"/>
  <c r="ET1498" i="10"/>
  <c r="ET1494" i="10"/>
  <c r="ET1496" i="10"/>
  <c r="ET1495" i="10"/>
  <c r="ET1497" i="10"/>
  <c r="ET1502" i="10"/>
  <c r="ET1499" i="10"/>
  <c r="ET1505" i="10"/>
  <c r="ET1508" i="10"/>
  <c r="ET1504" i="10"/>
  <c r="ET1503" i="10"/>
  <c r="ET1506" i="10"/>
  <c r="ET1500" i="10"/>
  <c r="ET1507" i="10"/>
  <c r="ET1501" i="10"/>
  <c r="ET1509" i="10"/>
  <c r="ET1510" i="10"/>
  <c r="VQ1515" i="10"/>
  <c r="VQ1516" i="10"/>
  <c r="VQ1517" i="10"/>
  <c r="VQ1519" i="10"/>
  <c r="VQ1518" i="10"/>
  <c r="VQ1523" i="10"/>
  <c r="VQ1522" i="10"/>
  <c r="VQ1514" i="10"/>
  <c r="VQ1525" i="10"/>
  <c r="VQ1527" i="10"/>
  <c r="VQ1524" i="10"/>
  <c r="VQ1528" i="10"/>
  <c r="VQ1521" i="10"/>
  <c r="VQ1526" i="10"/>
  <c r="VQ1520" i="10"/>
  <c r="VQ1530" i="10"/>
  <c r="VQ1529" i="10"/>
  <c r="VQ1532" i="10"/>
  <c r="VQ1531" i="10"/>
  <c r="VQ1533" i="10"/>
  <c r="ABA1493" i="10"/>
  <c r="ABA1496" i="10"/>
  <c r="ABA1498" i="10"/>
  <c r="ABA1495" i="10"/>
  <c r="ABA1497" i="10"/>
  <c r="ABA1492" i="10"/>
  <c r="ABA1494" i="10"/>
  <c r="ABA1500" i="10"/>
  <c r="ABA1501" i="10"/>
  <c r="ABA1491" i="10"/>
  <c r="ABA1508" i="10"/>
  <c r="ABA1499" i="10"/>
  <c r="ABA1502" i="10"/>
  <c r="ABA1509" i="10"/>
  <c r="ABA1507" i="10"/>
  <c r="ABA1504" i="10"/>
  <c r="ABA1503" i="10"/>
  <c r="ABA1506" i="10"/>
  <c r="ABA1505" i="10"/>
  <c r="ABA1510" i="10"/>
  <c r="SY1526" i="10"/>
  <c r="SY1533" i="10"/>
  <c r="SY1522" i="10"/>
  <c r="SY1532" i="10"/>
  <c r="SY1524" i="10"/>
  <c r="SY1529" i="10"/>
  <c r="SY1517" i="10"/>
  <c r="SY1518" i="10"/>
  <c r="SY1531" i="10"/>
  <c r="SY1516" i="10"/>
  <c r="SY1523" i="10"/>
  <c r="SY1530" i="10"/>
  <c r="SY1515" i="10"/>
  <c r="SY1525" i="10"/>
  <c r="SY1527" i="10"/>
  <c r="SY1514" i="10"/>
  <c r="SY1520" i="10"/>
  <c r="SY1528" i="10"/>
  <c r="SY1519" i="10"/>
  <c r="SY1521" i="10"/>
  <c r="AAH1493" i="10"/>
  <c r="AAH1492" i="10"/>
  <c r="AAH1491" i="10"/>
  <c r="AAH1496" i="10"/>
  <c r="AAH1498" i="10"/>
  <c r="AAH1495" i="10"/>
  <c r="AAH1497" i="10"/>
  <c r="AAH1494" i="10"/>
  <c r="AAH1499" i="10"/>
  <c r="AAH1501" i="10"/>
  <c r="AAH1502" i="10"/>
  <c r="AAH1507" i="10"/>
  <c r="AAH1505" i="10"/>
  <c r="AAH1503" i="10"/>
  <c r="AAH1506" i="10"/>
  <c r="AAH1500" i="10"/>
  <c r="AAH1508" i="10"/>
  <c r="AAH1504" i="10"/>
  <c r="AAH1509" i="10"/>
  <c r="AAH1510" i="10"/>
  <c r="NJ1514" i="10"/>
  <c r="NJ1518" i="10"/>
  <c r="NJ1515" i="10"/>
  <c r="NJ1517" i="10"/>
  <c r="NJ1520" i="10"/>
  <c r="NJ1516" i="10"/>
  <c r="NJ1522" i="10"/>
  <c r="NJ1524" i="10"/>
  <c r="NJ1521" i="10"/>
  <c r="NJ1523" i="10"/>
  <c r="NJ1519" i="10"/>
  <c r="NJ1526" i="10"/>
  <c r="NJ1527" i="10"/>
  <c r="NJ1528" i="10"/>
  <c r="NJ1525" i="10"/>
  <c r="NJ1531" i="10"/>
  <c r="NJ1532" i="10"/>
  <c r="NJ1530" i="10"/>
  <c r="NJ1529" i="10"/>
  <c r="NJ1533" i="10"/>
  <c r="UW1491" i="10"/>
  <c r="UW1493" i="10"/>
  <c r="UW1492" i="10"/>
  <c r="UW1494" i="10"/>
  <c r="UW1499" i="10"/>
  <c r="UW1498" i="10"/>
  <c r="UW1497" i="10"/>
  <c r="UW1496" i="10"/>
  <c r="UW1495" i="10"/>
  <c r="UW1500" i="10"/>
  <c r="UW1501" i="10"/>
  <c r="UW1505" i="10"/>
  <c r="UW1504" i="10"/>
  <c r="UW1502" i="10"/>
  <c r="UW1503" i="10"/>
  <c r="UW1506" i="10"/>
  <c r="UW1508" i="10"/>
  <c r="UW1507" i="10"/>
  <c r="UW1510" i="10"/>
  <c r="UW1509" i="10"/>
  <c r="AES1492" i="10"/>
  <c r="AES1491" i="10"/>
  <c r="AES1494" i="10"/>
  <c r="AES1493" i="10"/>
  <c r="AES1495" i="10"/>
  <c r="AES1499" i="10"/>
  <c r="AES1501" i="10"/>
  <c r="AES1505" i="10"/>
  <c r="AES1497" i="10"/>
  <c r="AES1504" i="10"/>
  <c r="AES1498" i="10"/>
  <c r="AES1503" i="10"/>
  <c r="AES1506" i="10"/>
  <c r="AES1508" i="10"/>
  <c r="AES1496" i="10"/>
  <c r="AES1502" i="10"/>
  <c r="AES1509" i="10"/>
  <c r="AES1507" i="10"/>
  <c r="AES1510" i="10"/>
  <c r="AES1500" i="10"/>
  <c r="TO1526" i="10"/>
  <c r="TO1533" i="10"/>
  <c r="TO1515" i="10"/>
  <c r="TO1525" i="10"/>
  <c r="TO1527" i="10"/>
  <c r="TO1517" i="10"/>
  <c r="TO1528" i="10"/>
  <c r="TO1514" i="10"/>
  <c r="TO1520" i="10"/>
  <c r="TO1519" i="10"/>
  <c r="TO1521" i="10"/>
  <c r="TO1524" i="10"/>
  <c r="TO1522" i="10"/>
  <c r="TO1532" i="10"/>
  <c r="TO1518" i="10"/>
  <c r="TO1531" i="10"/>
  <c r="TO1516" i="10"/>
  <c r="TO1523" i="10"/>
  <c r="TO1530" i="10"/>
  <c r="TO1529" i="10"/>
  <c r="AAV1491" i="10"/>
  <c r="AAV1493" i="10"/>
  <c r="AAV1492" i="10"/>
  <c r="AAV1494" i="10"/>
  <c r="AAV1499" i="10"/>
  <c r="AAV1497" i="10"/>
  <c r="AAV1496" i="10"/>
  <c r="AAV1500" i="10"/>
  <c r="AAV1495" i="10"/>
  <c r="AAV1498" i="10"/>
  <c r="AAV1505" i="10"/>
  <c r="AAV1504" i="10"/>
  <c r="AAV1503" i="10"/>
  <c r="AAV1506" i="10"/>
  <c r="AAV1508" i="10"/>
  <c r="AAV1501" i="10"/>
  <c r="AAV1507" i="10"/>
  <c r="AAV1510" i="10"/>
  <c r="AAV1509" i="10"/>
  <c r="AAV1502" i="10"/>
  <c r="OK1517" i="10"/>
  <c r="OK1514" i="10"/>
  <c r="OK1520" i="10"/>
  <c r="OK1515" i="10"/>
  <c r="OK1518" i="10"/>
  <c r="OK1523" i="10"/>
  <c r="OK1522" i="10"/>
  <c r="OK1519" i="10"/>
  <c r="OK1524" i="10"/>
  <c r="OK1516" i="10"/>
  <c r="OK1521" i="10"/>
  <c r="OK1526" i="10"/>
  <c r="OK1528" i="10"/>
  <c r="OK1525" i="10"/>
  <c r="OK1531" i="10"/>
  <c r="OK1532" i="10"/>
  <c r="OK1529" i="10"/>
  <c r="OK1530" i="10"/>
  <c r="OK1527" i="10"/>
  <c r="OK1533" i="10"/>
  <c r="VY1493" i="10"/>
  <c r="VY1492" i="10"/>
  <c r="VY1496" i="10"/>
  <c r="VY1498" i="10"/>
  <c r="VY1491" i="10"/>
  <c r="VY1495" i="10"/>
  <c r="VY1497" i="10"/>
  <c r="VY1494" i="10"/>
  <c r="VY1499" i="10"/>
  <c r="VY1500" i="10"/>
  <c r="VY1501" i="10"/>
  <c r="VY1502" i="10"/>
  <c r="VY1507" i="10"/>
  <c r="VY1505" i="10"/>
  <c r="VY1503" i="10"/>
  <c r="VY1506" i="10"/>
  <c r="VY1508" i="10"/>
  <c r="VY1509" i="10"/>
  <c r="VY1510" i="10"/>
  <c r="VY1504" i="10"/>
  <c r="BU1516" i="10"/>
  <c r="BU1514" i="10"/>
  <c r="BU1515" i="10"/>
  <c r="BU1517" i="10"/>
  <c r="BU1518" i="10"/>
  <c r="BU1519" i="10"/>
  <c r="BU1520" i="10"/>
  <c r="BU1521" i="10"/>
  <c r="BU1522" i="10"/>
  <c r="BU1524" i="10"/>
  <c r="BU1525" i="10"/>
  <c r="BU1523" i="10"/>
  <c r="BU1526" i="10"/>
  <c r="BU1527" i="10"/>
  <c r="BU1528" i="10"/>
  <c r="BU1529" i="10"/>
  <c r="BU1533" i="10"/>
  <c r="BU1530" i="10"/>
  <c r="BU1532" i="10"/>
  <c r="BU1531" i="10"/>
  <c r="JJ1492" i="10"/>
  <c r="JJ1491" i="10"/>
  <c r="JJ1493" i="10"/>
  <c r="JJ1494" i="10"/>
  <c r="JJ1500" i="10"/>
  <c r="JJ1495" i="10"/>
  <c r="JJ1501" i="10"/>
  <c r="JJ1499" i="10"/>
  <c r="JJ1496" i="10"/>
  <c r="JJ1497" i="10"/>
  <c r="JJ1498" i="10"/>
  <c r="JJ1505" i="10"/>
  <c r="JJ1504" i="10"/>
  <c r="JJ1506" i="10"/>
  <c r="JJ1503" i="10"/>
  <c r="JJ1508" i="10"/>
  <c r="JJ1502" i="10"/>
  <c r="JJ1507" i="10"/>
  <c r="JJ1510" i="10"/>
  <c r="JJ1509" i="10"/>
  <c r="AEN1523" i="10"/>
  <c r="AEN1529" i="10"/>
  <c r="AEN1515" i="10"/>
  <c r="AEN1516" i="10"/>
  <c r="AEN1526" i="10"/>
  <c r="AEN1520" i="10"/>
  <c r="AEN1527" i="10"/>
  <c r="AEN1531" i="10"/>
  <c r="AEN1518" i="10"/>
  <c r="AEN1522" i="10"/>
  <c r="AEN1528" i="10"/>
  <c r="AEN1525" i="10"/>
  <c r="AEN1514" i="10"/>
  <c r="AEN1521" i="10"/>
  <c r="AEN1524" i="10"/>
  <c r="AEN1519" i="10"/>
  <c r="AEN1530" i="10"/>
  <c r="AEN1533" i="10"/>
  <c r="AEN1517" i="10"/>
  <c r="AEN1532" i="10"/>
  <c r="DV1491" i="10"/>
  <c r="DV1493" i="10"/>
  <c r="DV1492" i="10"/>
  <c r="DV1494" i="10"/>
  <c r="DV1497" i="10"/>
  <c r="DV1499" i="10"/>
  <c r="DV1500" i="10"/>
  <c r="DV1498" i="10"/>
  <c r="DV1495" i="10"/>
  <c r="DV1501" i="10"/>
  <c r="DV1505" i="10"/>
  <c r="DV1504" i="10"/>
  <c r="DV1507" i="10"/>
  <c r="DV1502" i="10"/>
  <c r="DV1503" i="10"/>
  <c r="DV1509" i="10"/>
  <c r="DV1496" i="10"/>
  <c r="DV1506" i="10"/>
  <c r="DV1508" i="10"/>
  <c r="DV1510" i="10"/>
  <c r="AAF1525" i="10"/>
  <c r="AAF1527" i="10"/>
  <c r="AAF1529" i="10"/>
  <c r="AAF1516" i="10"/>
  <c r="AAF1531" i="10"/>
  <c r="AAF1519" i="10"/>
  <c r="AAF1522" i="10"/>
  <c r="AAF1528" i="10"/>
  <c r="AAF1514" i="10"/>
  <c r="AAF1532" i="10"/>
  <c r="AAF1530" i="10"/>
  <c r="AAF1520" i="10"/>
  <c r="AAF1533" i="10"/>
  <c r="AAF1515" i="10"/>
  <c r="AAF1524" i="10"/>
  <c r="AAF1526" i="10"/>
  <c r="AAF1517" i="10"/>
  <c r="AAF1523" i="10"/>
  <c r="AAF1518" i="10"/>
  <c r="AAF1521" i="10"/>
  <c r="VO1515" i="10"/>
  <c r="VO1517" i="10"/>
  <c r="VO1514" i="10"/>
  <c r="VO1518" i="10"/>
  <c r="VO1519" i="10"/>
  <c r="VO1524" i="10"/>
  <c r="VO1520" i="10"/>
  <c r="VO1516" i="10"/>
  <c r="VO1522" i="10"/>
  <c r="VO1525" i="10"/>
  <c r="VO1523" i="10"/>
  <c r="VO1527" i="10"/>
  <c r="VO1528" i="10"/>
  <c r="VO1521" i="10"/>
  <c r="VO1526" i="10"/>
  <c r="VO1531" i="10"/>
  <c r="VO1530" i="10"/>
  <c r="VO1532" i="10"/>
  <c r="VO1529" i="10"/>
  <c r="VO1533" i="10"/>
  <c r="AAR1493" i="10"/>
  <c r="AAR1492" i="10"/>
  <c r="AAR1496" i="10"/>
  <c r="AAR1498" i="10"/>
  <c r="AAR1495" i="10"/>
  <c r="AAR1497" i="10"/>
  <c r="AAR1491" i="10"/>
  <c r="AAR1494" i="10"/>
  <c r="AAR1500" i="10"/>
  <c r="AAR1499" i="10"/>
  <c r="AAR1501" i="10"/>
  <c r="AAR1508" i="10"/>
  <c r="AAR1502" i="10"/>
  <c r="AAR1509" i="10"/>
  <c r="AAR1507" i="10"/>
  <c r="AAR1504" i="10"/>
  <c r="AAR1503" i="10"/>
  <c r="AAR1506" i="10"/>
  <c r="AAR1510" i="10"/>
  <c r="AAR1505" i="10"/>
  <c r="ACC1515" i="10"/>
  <c r="ACC1514" i="10"/>
  <c r="ACC1519" i="10"/>
  <c r="ACC1516" i="10"/>
  <c r="ACC1517" i="10"/>
  <c r="ACC1522" i="10"/>
  <c r="ACC1518" i="10"/>
  <c r="ACC1521" i="10"/>
  <c r="ACC1520" i="10"/>
  <c r="ACC1523" i="10"/>
  <c r="ACC1524" i="10"/>
  <c r="ACC1526" i="10"/>
  <c r="ACC1525" i="10"/>
  <c r="ACC1528" i="10"/>
  <c r="ACC1531" i="10"/>
  <c r="ACC1530" i="10"/>
  <c r="ACC1527" i="10"/>
  <c r="ACC1533" i="10"/>
  <c r="ACC1529" i="10"/>
  <c r="ACC1532" i="10"/>
  <c r="GQ1493" i="10"/>
  <c r="GQ1492" i="10"/>
  <c r="GQ1499" i="10"/>
  <c r="GQ1496" i="10"/>
  <c r="GQ1498" i="10"/>
  <c r="GQ1495" i="10"/>
  <c r="GQ1497" i="10"/>
  <c r="GQ1491" i="10"/>
  <c r="GQ1494" i="10"/>
  <c r="GQ1500" i="10"/>
  <c r="GQ1502" i="10"/>
  <c r="GQ1501" i="10"/>
  <c r="GQ1508" i="10"/>
  <c r="GQ1509" i="10"/>
  <c r="GQ1507" i="10"/>
  <c r="GQ1504" i="10"/>
  <c r="GQ1503" i="10"/>
  <c r="GQ1505" i="10"/>
  <c r="GQ1506" i="10"/>
  <c r="GQ1510" i="10"/>
  <c r="ADS1492" i="10"/>
  <c r="ADS1491" i="10"/>
  <c r="ADS1496" i="10"/>
  <c r="ADS1495" i="10"/>
  <c r="ADS1497" i="10"/>
  <c r="ADS1499" i="10"/>
  <c r="ADS1494" i="10"/>
  <c r="ADS1500" i="10"/>
  <c r="ADS1493" i="10"/>
  <c r="ADS1498" i="10"/>
  <c r="ADS1507" i="10"/>
  <c r="ADS1501" i="10"/>
  <c r="ADS1505" i="10"/>
  <c r="ADS1504" i="10"/>
  <c r="ADS1503" i="10"/>
  <c r="ADS1506" i="10"/>
  <c r="ADS1509" i="10"/>
  <c r="ADS1502" i="10"/>
  <c r="ADS1510" i="10"/>
  <c r="ADS1508" i="10"/>
  <c r="QE1526" i="10"/>
  <c r="QE1533" i="10"/>
  <c r="QE1514" i="10"/>
  <c r="QE1532" i="10"/>
  <c r="QE1519" i="10"/>
  <c r="QE1520" i="10"/>
  <c r="QE1522" i="10"/>
  <c r="QE1521" i="10"/>
  <c r="QE1523" i="10"/>
  <c r="QE1524" i="10"/>
  <c r="QE1529" i="10"/>
  <c r="QE1516" i="10"/>
  <c r="QE1518" i="10"/>
  <c r="QE1531" i="10"/>
  <c r="QE1515" i="10"/>
  <c r="QE1525" i="10"/>
  <c r="QE1527" i="10"/>
  <c r="QE1517" i="10"/>
  <c r="QE1528" i="10"/>
  <c r="QE1530" i="10"/>
  <c r="AGJ1521" i="10"/>
  <c r="AGJ1528" i="10"/>
  <c r="AGJ1530" i="10"/>
  <c r="AGJ1532" i="10"/>
  <c r="AGJ1514" i="10"/>
  <c r="AGJ1523" i="10"/>
  <c r="AGJ1533" i="10"/>
  <c r="AGJ1515" i="10"/>
  <c r="AGJ1529" i="10"/>
  <c r="AGJ1518" i="10"/>
  <c r="AGJ1531" i="10"/>
  <c r="AGJ1516" i="10"/>
  <c r="AGJ1524" i="10"/>
  <c r="AGJ1527" i="10"/>
  <c r="AGJ1522" i="10"/>
  <c r="AGJ1519" i="10"/>
  <c r="AGJ1520" i="10"/>
  <c r="AGJ1525" i="10"/>
  <c r="AGJ1526" i="10"/>
  <c r="AGJ1517" i="10"/>
  <c r="AFF1492" i="10"/>
  <c r="AFF1496" i="10"/>
  <c r="AFF1498" i="10"/>
  <c r="AFF1495" i="10"/>
  <c r="AFF1497" i="10"/>
  <c r="AFF1494" i="10"/>
  <c r="AFF1491" i="10"/>
  <c r="AFF1493" i="10"/>
  <c r="AFF1499" i="10"/>
  <c r="AFF1500" i="10"/>
  <c r="AFF1501" i="10"/>
  <c r="AFF1507" i="10"/>
  <c r="AFF1502" i="10"/>
  <c r="AFF1505" i="10"/>
  <c r="AFF1503" i="10"/>
  <c r="AFF1506" i="10"/>
  <c r="AFF1508" i="10"/>
  <c r="AFF1509" i="10"/>
  <c r="AFF1504" i="10"/>
  <c r="AFF1510" i="10"/>
  <c r="LC1527" i="10"/>
  <c r="LC1528" i="10"/>
  <c r="LC1521" i="10"/>
  <c r="LC1518" i="10"/>
  <c r="LC1525" i="10"/>
  <c r="LC1517" i="10"/>
  <c r="LC1514" i="10"/>
  <c r="LC1531" i="10"/>
  <c r="LC1530" i="10"/>
  <c r="LC1529" i="10"/>
  <c r="LC1519" i="10"/>
  <c r="LC1533" i="10"/>
  <c r="LC1522" i="10"/>
  <c r="LC1516" i="10"/>
  <c r="LC1532" i="10"/>
  <c r="LC1526" i="10"/>
  <c r="LC1523" i="10"/>
  <c r="LC1515" i="10"/>
  <c r="LC1524" i="10"/>
  <c r="LC1520" i="10"/>
  <c r="JT1492" i="10"/>
  <c r="JT1491" i="10"/>
  <c r="JT1493" i="10"/>
  <c r="JT1494" i="10"/>
  <c r="JT1500" i="10"/>
  <c r="JT1495" i="10"/>
  <c r="JT1501" i="10"/>
  <c r="JT1497" i="10"/>
  <c r="JT1499" i="10"/>
  <c r="JT1505" i="10"/>
  <c r="JT1496" i="10"/>
  <c r="JT1504" i="10"/>
  <c r="JT1498" i="10"/>
  <c r="JT1503" i="10"/>
  <c r="JT1506" i="10"/>
  <c r="JT1508" i="10"/>
  <c r="JT1509" i="10"/>
  <c r="JT1507" i="10"/>
  <c r="JT1502" i="10"/>
  <c r="JT1510" i="10"/>
  <c r="ADA1519" i="10"/>
  <c r="ADA1520" i="10"/>
  <c r="ADA1522" i="10"/>
  <c r="ADA1521" i="10"/>
  <c r="ADA1524" i="10"/>
  <c r="ADA1523" i="10"/>
  <c r="ADA1528" i="10"/>
  <c r="ADA1525" i="10"/>
  <c r="ADA1526" i="10"/>
  <c r="ADA1527" i="10"/>
  <c r="ADA1532" i="10"/>
  <c r="ADA1531" i="10"/>
  <c r="ADA1529" i="10"/>
  <c r="ADA1530" i="10"/>
  <c r="ADA1533" i="10"/>
  <c r="ADA1517" i="10"/>
  <c r="ADA1516" i="10"/>
  <c r="ADA1515" i="10"/>
  <c r="ADA1518" i="10"/>
  <c r="ADA1514" i="10"/>
  <c r="OO1493" i="10"/>
  <c r="OO1492" i="10"/>
  <c r="OO1491" i="10"/>
  <c r="OO1496" i="10"/>
  <c r="OO1498" i="10"/>
  <c r="OO1495" i="10"/>
  <c r="OO1497" i="10"/>
  <c r="OO1494" i="10"/>
  <c r="OO1499" i="10"/>
  <c r="OO1501" i="10"/>
  <c r="OO1502" i="10"/>
  <c r="OO1507" i="10"/>
  <c r="OO1500" i="10"/>
  <c r="OO1505" i="10"/>
  <c r="OO1503" i="10"/>
  <c r="OO1506" i="10"/>
  <c r="OO1508" i="10"/>
  <c r="OO1509" i="10"/>
  <c r="OO1510" i="10"/>
  <c r="OO1504" i="10"/>
  <c r="OD1493" i="10"/>
  <c r="OD1496" i="10"/>
  <c r="OD1498" i="10"/>
  <c r="OD1495" i="10"/>
  <c r="OD1497" i="10"/>
  <c r="OD1492" i="10"/>
  <c r="OD1491" i="10"/>
  <c r="OD1494" i="10"/>
  <c r="OD1500" i="10"/>
  <c r="OD1499" i="10"/>
  <c r="OD1501" i="10"/>
  <c r="OD1508" i="10"/>
  <c r="OD1502" i="10"/>
  <c r="OD1509" i="10"/>
  <c r="OD1507" i="10"/>
  <c r="OD1504" i="10"/>
  <c r="OD1503" i="10"/>
  <c r="OD1506" i="10"/>
  <c r="OD1510" i="10"/>
  <c r="OD1505" i="10"/>
  <c r="TY1524" i="10"/>
  <c r="TY1523" i="10"/>
  <c r="TY1528" i="10"/>
  <c r="TY1527" i="10"/>
  <c r="TY1525" i="10"/>
  <c r="TY1532" i="10"/>
  <c r="TY1531" i="10"/>
  <c r="TY1530" i="10"/>
  <c r="TY1529" i="10"/>
  <c r="TY1533" i="10"/>
  <c r="TY1518" i="10"/>
  <c r="TY1519" i="10"/>
  <c r="TY1520" i="10"/>
  <c r="TY1514" i="10"/>
  <c r="TY1526" i="10"/>
  <c r="TY1522" i="10"/>
  <c r="TY1521" i="10"/>
  <c r="TY1516" i="10"/>
  <c r="TY1515" i="10"/>
  <c r="TY1517" i="10"/>
  <c r="WJ1493" i="10"/>
  <c r="WJ1496" i="10"/>
  <c r="WJ1498" i="10"/>
  <c r="WJ1492" i="10"/>
  <c r="WJ1495" i="10"/>
  <c r="WJ1497" i="10"/>
  <c r="WJ1494" i="10"/>
  <c r="WJ1500" i="10"/>
  <c r="WJ1501" i="10"/>
  <c r="WJ1491" i="10"/>
  <c r="WJ1508" i="10"/>
  <c r="WJ1509" i="10"/>
  <c r="WJ1507" i="10"/>
  <c r="WJ1502" i="10"/>
  <c r="WJ1504" i="10"/>
  <c r="WJ1499" i="10"/>
  <c r="WJ1503" i="10"/>
  <c r="WJ1506" i="10"/>
  <c r="WJ1505" i="10"/>
  <c r="WJ1510" i="10"/>
  <c r="AAX1492" i="10"/>
  <c r="AAX1491" i="10"/>
  <c r="AAX1496" i="10"/>
  <c r="AAX1495" i="10"/>
  <c r="AAX1497" i="10"/>
  <c r="AAX1498" i="10"/>
  <c r="AAX1493" i="10"/>
  <c r="AAX1500" i="10"/>
  <c r="AAX1501" i="10"/>
  <c r="AAX1494" i="10"/>
  <c r="AAX1499" i="10"/>
  <c r="AAX1507" i="10"/>
  <c r="AAX1505" i="10"/>
  <c r="AAX1504" i="10"/>
  <c r="AAX1503" i="10"/>
  <c r="AAX1506" i="10"/>
  <c r="AAX1502" i="10"/>
  <c r="AAX1509" i="10"/>
  <c r="AAX1510" i="10"/>
  <c r="AAX1508" i="10"/>
  <c r="VC1526" i="10"/>
  <c r="VC1533" i="10"/>
  <c r="VC1516" i="10"/>
  <c r="VC1523" i="10"/>
  <c r="VC1530" i="10"/>
  <c r="VC1515" i="10"/>
  <c r="VC1525" i="10"/>
  <c r="VC1527" i="10"/>
  <c r="VC1517" i="10"/>
  <c r="VC1528" i="10"/>
  <c r="VC1532" i="10"/>
  <c r="VC1514" i="10"/>
  <c r="VC1520" i="10"/>
  <c r="VC1522" i="10"/>
  <c r="VC1519" i="10"/>
  <c r="VC1521" i="10"/>
  <c r="VC1524" i="10"/>
  <c r="VC1529" i="10"/>
  <c r="VC1518" i="10"/>
  <c r="VC1531" i="10"/>
  <c r="LJ1492" i="10"/>
  <c r="LJ1491" i="10"/>
  <c r="LJ1493" i="10"/>
  <c r="LJ1494" i="10"/>
  <c r="LJ1499" i="10"/>
  <c r="LJ1496" i="10"/>
  <c r="LJ1498" i="10"/>
  <c r="LJ1495" i="10"/>
  <c r="LJ1497" i="10"/>
  <c r="LJ1500" i="10"/>
  <c r="LJ1501" i="10"/>
  <c r="LJ1504" i="10"/>
  <c r="LJ1502" i="10"/>
  <c r="LJ1503" i="10"/>
  <c r="LJ1506" i="10"/>
  <c r="LJ1508" i="10"/>
  <c r="LJ1509" i="10"/>
  <c r="LJ1505" i="10"/>
  <c r="LJ1507" i="10"/>
  <c r="LJ1510" i="10"/>
  <c r="QY1527" i="10"/>
  <c r="QY1533" i="10"/>
  <c r="QY1529" i="10"/>
  <c r="QY1528" i="10"/>
  <c r="QY1524" i="10"/>
  <c r="QY1531" i="10"/>
  <c r="QY1515" i="10"/>
  <c r="QY1514" i="10"/>
  <c r="QY1517" i="10"/>
  <c r="QY1526" i="10"/>
  <c r="QY1516" i="10"/>
  <c r="QY1520" i="10"/>
  <c r="QY1530" i="10"/>
  <c r="QY1519" i="10"/>
  <c r="QY1522" i="10"/>
  <c r="QY1523" i="10"/>
  <c r="QY1525" i="10"/>
  <c r="QY1521" i="10"/>
  <c r="QY1518" i="10"/>
  <c r="QY1532" i="10"/>
  <c r="ZK1491" i="10"/>
  <c r="ZK1493" i="10"/>
  <c r="ZK1492" i="10"/>
  <c r="ZK1494" i="10"/>
  <c r="ZK1499" i="10"/>
  <c r="ZK1496" i="10"/>
  <c r="ZK1500" i="10"/>
  <c r="ZK1498" i="10"/>
  <c r="ZK1495" i="10"/>
  <c r="ZK1497" i="10"/>
  <c r="ZK1505" i="10"/>
  <c r="ZK1502" i="10"/>
  <c r="ZK1504" i="10"/>
  <c r="ZK1503" i="10"/>
  <c r="ZK1506" i="10"/>
  <c r="ZK1508" i="10"/>
  <c r="ZK1507" i="10"/>
  <c r="ZK1510" i="10"/>
  <c r="ZK1501" i="10"/>
  <c r="ZK1509" i="10"/>
  <c r="AAK1529" i="10"/>
  <c r="AAK1524" i="10"/>
  <c r="AAK1520" i="10"/>
  <c r="AAK1525" i="10"/>
  <c r="AAK1533" i="10"/>
  <c r="AAK1521" i="10"/>
  <c r="AAK1532" i="10"/>
  <c r="AAK1515" i="10"/>
  <c r="AAK1527" i="10"/>
  <c r="AAK1523" i="10"/>
  <c r="AAK1514" i="10"/>
  <c r="AAK1526" i="10"/>
  <c r="AAK1530" i="10"/>
  <c r="AAK1518" i="10"/>
  <c r="AAK1528" i="10"/>
  <c r="AAK1516" i="10"/>
  <c r="AAK1517" i="10"/>
  <c r="AAK1522" i="10"/>
  <c r="AAK1519" i="10"/>
  <c r="AAK1531" i="10"/>
  <c r="GS1492" i="10"/>
  <c r="GS1491" i="10"/>
  <c r="GS1494" i="10"/>
  <c r="GS1499" i="10"/>
  <c r="GS1496" i="10"/>
  <c r="GS1498" i="10"/>
  <c r="GS1493" i="10"/>
  <c r="GS1500" i="10"/>
  <c r="GS1497" i="10"/>
  <c r="GS1501" i="10"/>
  <c r="GS1504" i="10"/>
  <c r="GS1503" i="10"/>
  <c r="GS1508" i="10"/>
  <c r="GS1509" i="10"/>
  <c r="GS1495" i="10"/>
  <c r="GS1505" i="10"/>
  <c r="GS1506" i="10"/>
  <c r="GS1510" i="10"/>
  <c r="GS1502" i="10"/>
  <c r="GS1507" i="10"/>
  <c r="HI1493" i="10"/>
  <c r="HI1492" i="10"/>
  <c r="HI1491" i="10"/>
  <c r="HI1495" i="10"/>
  <c r="HI1497" i="10"/>
  <c r="HI1496" i="10"/>
  <c r="HI1498" i="10"/>
  <c r="HI1499" i="10"/>
  <c r="HI1501" i="10"/>
  <c r="HI1494" i="10"/>
  <c r="HI1500" i="10"/>
  <c r="HI1509" i="10"/>
  <c r="HI1507" i="10"/>
  <c r="HI1505" i="10"/>
  <c r="HI1502" i="10"/>
  <c r="HI1504" i="10"/>
  <c r="HI1508" i="10"/>
  <c r="HI1503" i="10"/>
  <c r="HI1510" i="10"/>
  <c r="HI1506" i="10"/>
  <c r="AFR1492" i="10"/>
  <c r="AFR1491" i="10"/>
  <c r="AFR1493" i="10"/>
  <c r="AFR1494" i="10"/>
  <c r="AFR1496" i="10"/>
  <c r="AFR1498" i="10"/>
  <c r="AFR1495" i="10"/>
  <c r="AFR1501" i="10"/>
  <c r="AFR1499" i="10"/>
  <c r="AFR1500" i="10"/>
  <c r="AFR1504" i="10"/>
  <c r="AFR1503" i="10"/>
  <c r="AFR1506" i="10"/>
  <c r="AFR1508" i="10"/>
  <c r="AFR1497" i="10"/>
  <c r="AFR1502" i="10"/>
  <c r="AFR1505" i="10"/>
  <c r="AFR1507" i="10"/>
  <c r="AFR1509" i="10"/>
  <c r="AFR1510" i="10"/>
  <c r="AEU1503" i="10"/>
  <c r="AEU1501" i="10"/>
  <c r="AEU1502" i="10"/>
  <c r="AEU1492" i="10"/>
  <c r="AEU1504" i="10"/>
  <c r="AEU1505" i="10"/>
  <c r="AEU1507" i="10"/>
  <c r="AEU1500" i="10"/>
  <c r="AEU1498" i="10"/>
  <c r="AEU1499" i="10"/>
  <c r="AEU1496" i="10"/>
  <c r="AEU1497" i="10"/>
  <c r="AEU1491" i="10"/>
  <c r="AEU1494" i="10"/>
  <c r="AEU1493" i="10"/>
  <c r="AEU1510" i="10"/>
  <c r="AEU1508" i="10"/>
  <c r="AEU1495" i="10"/>
  <c r="AEU1509" i="10"/>
  <c r="AEU1506" i="10"/>
  <c r="PP1514" i="10"/>
  <c r="PP1516" i="10"/>
  <c r="PP1515" i="10"/>
  <c r="PP1518" i="10"/>
  <c r="PP1517" i="10"/>
  <c r="PP1519" i="10"/>
  <c r="PP1522" i="10"/>
  <c r="PP1524" i="10"/>
  <c r="PP1521" i="10"/>
  <c r="PP1528" i="10"/>
  <c r="PP1520" i="10"/>
  <c r="PP1527" i="10"/>
  <c r="PP1530" i="10"/>
  <c r="PP1526" i="10"/>
  <c r="PP1523" i="10"/>
  <c r="PP1531" i="10"/>
  <c r="PP1532" i="10"/>
  <c r="PP1533" i="10"/>
  <c r="PP1529" i="10"/>
  <c r="PP1525" i="10"/>
  <c r="JO1508" i="10"/>
  <c r="JO1509" i="10"/>
  <c r="JO1506" i="10"/>
  <c r="JO1510" i="10"/>
  <c r="JO1502" i="10"/>
  <c r="JO1503" i="10"/>
  <c r="JO1498" i="10"/>
  <c r="JO1499" i="10"/>
  <c r="JO1504" i="10"/>
  <c r="JO1495" i="10"/>
  <c r="JO1500" i="10"/>
  <c r="JO1501" i="10"/>
  <c r="JO1496" i="10"/>
  <c r="JO1491" i="10"/>
  <c r="JO1505" i="10"/>
  <c r="JO1492" i="10"/>
  <c r="JO1497" i="10"/>
  <c r="JO1507" i="10"/>
  <c r="JO1494" i="10"/>
  <c r="JO1493" i="10"/>
  <c r="KC1533" i="10"/>
  <c r="KC1527" i="10"/>
  <c r="KC1520" i="10"/>
  <c r="KC1524" i="10"/>
  <c r="KC1523" i="10"/>
  <c r="KC1517" i="10"/>
  <c r="KC1515" i="10"/>
  <c r="KC1531" i="10"/>
  <c r="KC1530" i="10"/>
  <c r="KC1519" i="10"/>
  <c r="KC1514" i="10"/>
  <c r="KC1522" i="10"/>
  <c r="KC1528" i="10"/>
  <c r="KC1532" i="10"/>
  <c r="KC1529" i="10"/>
  <c r="KC1526" i="10"/>
  <c r="KC1525" i="10"/>
  <c r="KC1516" i="10"/>
  <c r="KC1518" i="10"/>
  <c r="KC1521" i="10"/>
  <c r="ADG1533" i="10"/>
  <c r="ADG1517" i="10"/>
  <c r="ADG1524" i="10"/>
  <c r="ADG1531" i="10"/>
  <c r="ADG1519" i="10"/>
  <c r="ADG1518" i="10"/>
  <c r="ADG1523" i="10"/>
  <c r="ADG1530" i="10"/>
  <c r="ADG1528" i="10"/>
  <c r="ADG1525" i="10"/>
  <c r="ADG1527" i="10"/>
  <c r="ADG1514" i="10"/>
  <c r="ADG1529" i="10"/>
  <c r="ADG1520" i="10"/>
  <c r="ADG1526" i="10"/>
  <c r="ADG1522" i="10"/>
  <c r="ADG1516" i="10"/>
  <c r="ADG1521" i="10"/>
  <c r="ADG1515" i="10"/>
  <c r="ADG1532" i="10"/>
  <c r="JZ1497" i="10"/>
  <c r="JZ1501" i="10"/>
  <c r="JZ1507" i="10"/>
  <c r="JZ1495" i="10"/>
  <c r="JZ1498" i="10"/>
  <c r="JZ1504" i="10"/>
  <c r="JZ1499" i="10"/>
  <c r="JZ1508" i="10"/>
  <c r="JZ1496" i="10"/>
  <c r="JZ1502" i="10"/>
  <c r="JZ1505" i="10"/>
  <c r="JZ1493" i="10"/>
  <c r="JZ1500" i="10"/>
  <c r="JZ1503" i="10"/>
  <c r="JZ1506" i="10"/>
  <c r="JZ1510" i="10"/>
  <c r="JZ1494" i="10"/>
  <c r="JZ1491" i="10"/>
  <c r="JZ1492" i="10"/>
  <c r="JZ1509" i="10"/>
  <c r="TN1516" i="10"/>
  <c r="TN1517" i="10"/>
  <c r="TN1514" i="10"/>
  <c r="TN1519" i="10"/>
  <c r="TN1521" i="10"/>
  <c r="TN1520" i="10"/>
  <c r="TN1515" i="10"/>
  <c r="TN1522" i="10"/>
  <c r="TN1523" i="10"/>
  <c r="TN1518" i="10"/>
  <c r="TN1528" i="10"/>
  <c r="TN1524" i="10"/>
  <c r="TN1526" i="10"/>
  <c r="TN1530" i="10"/>
  <c r="TN1529" i="10"/>
  <c r="TN1532" i="10"/>
  <c r="TN1525" i="10"/>
  <c r="TN1527" i="10"/>
  <c r="TN1533" i="10"/>
  <c r="TN1531" i="10"/>
  <c r="PM1491" i="10"/>
  <c r="PM1494" i="10"/>
  <c r="PM1496" i="10"/>
  <c r="PM1498" i="10"/>
  <c r="PM1495" i="10"/>
  <c r="PM1497" i="10"/>
  <c r="PM1492" i="10"/>
  <c r="PM1493" i="10"/>
  <c r="PM1499" i="10"/>
  <c r="PM1500" i="10"/>
  <c r="PM1503" i="10"/>
  <c r="PM1506" i="10"/>
  <c r="PM1508" i="10"/>
  <c r="PM1501" i="10"/>
  <c r="PM1509" i="10"/>
  <c r="PM1507" i="10"/>
  <c r="PM1505" i="10"/>
  <c r="PM1502" i="10"/>
  <c r="PM1504" i="10"/>
  <c r="PM1510" i="10"/>
  <c r="GT1518" i="10"/>
  <c r="GT1515" i="10"/>
  <c r="GT1516" i="10"/>
  <c r="GT1514" i="10"/>
  <c r="GT1517" i="10"/>
  <c r="GT1523" i="10"/>
  <c r="GT1519" i="10"/>
  <c r="GT1521" i="10"/>
  <c r="GT1522" i="10"/>
  <c r="GT1520" i="10"/>
  <c r="GT1528" i="10"/>
  <c r="GT1525" i="10"/>
  <c r="GT1524" i="10"/>
  <c r="GT1529" i="10"/>
  <c r="GT1526" i="10"/>
  <c r="GT1527" i="10"/>
  <c r="GT1531" i="10"/>
  <c r="GT1532" i="10"/>
  <c r="GT1530" i="10"/>
  <c r="GT1533" i="10"/>
  <c r="MK1493" i="10"/>
  <c r="MK1492" i="10"/>
  <c r="MK1491" i="10"/>
  <c r="MK1494" i="10"/>
  <c r="MK1496" i="10"/>
  <c r="MK1495" i="10"/>
  <c r="MK1497" i="10"/>
  <c r="MK1498" i="10"/>
  <c r="MK1500" i="10"/>
  <c r="MK1499" i="10"/>
  <c r="MK1507" i="10"/>
  <c r="MK1501" i="10"/>
  <c r="MK1505" i="10"/>
  <c r="MK1502" i="10"/>
  <c r="MK1504" i="10"/>
  <c r="MK1503" i="10"/>
  <c r="MK1506" i="10"/>
  <c r="MK1509" i="10"/>
  <c r="MK1510" i="10"/>
  <c r="MK1508" i="10"/>
  <c r="ACU1526" i="10"/>
  <c r="ACU1533" i="10"/>
  <c r="ACU1514" i="10"/>
  <c r="ACU1520" i="10"/>
  <c r="ACU1523" i="10"/>
  <c r="ACU1530" i="10"/>
  <c r="ACU1522" i="10"/>
  <c r="ACU1527" i="10"/>
  <c r="ACU1519" i="10"/>
  <c r="ACU1516" i="10"/>
  <c r="ACU1525" i="10"/>
  <c r="ACU1515" i="10"/>
  <c r="ACU1528" i="10"/>
  <c r="ACU1532" i="10"/>
  <c r="ACU1517" i="10"/>
  <c r="ACU1521" i="10"/>
  <c r="ACU1524" i="10"/>
  <c r="ACU1529" i="10"/>
  <c r="ACU1518" i="10"/>
  <c r="ACU1531" i="10"/>
  <c r="FC1492" i="10"/>
  <c r="FC1491" i="10"/>
  <c r="FC1493" i="10"/>
  <c r="FC1498" i="10"/>
  <c r="FC1494" i="10"/>
  <c r="FC1500" i="10"/>
  <c r="FC1495" i="10"/>
  <c r="FC1497" i="10"/>
  <c r="FC1501" i="10"/>
  <c r="FC1496" i="10"/>
  <c r="FC1499" i="10"/>
  <c r="FC1505" i="10"/>
  <c r="FC1504" i="10"/>
  <c r="FC1508" i="10"/>
  <c r="FC1503" i="10"/>
  <c r="FC1506" i="10"/>
  <c r="FC1507" i="10"/>
  <c r="FC1502" i="10"/>
  <c r="FC1509" i="10"/>
  <c r="FC1510" i="10"/>
  <c r="NN1516" i="10"/>
  <c r="NN1515" i="10"/>
  <c r="NN1514" i="10"/>
  <c r="NN1517" i="10"/>
  <c r="NN1518" i="10"/>
  <c r="NN1521" i="10"/>
  <c r="NN1522" i="10"/>
  <c r="NN1523" i="10"/>
  <c r="NN1519" i="10"/>
  <c r="NN1520" i="10"/>
  <c r="NN1525" i="10"/>
  <c r="NN1528" i="10"/>
  <c r="NN1524" i="10"/>
  <c r="NN1526" i="10"/>
  <c r="NN1527" i="10"/>
  <c r="NN1531" i="10"/>
  <c r="NN1532" i="10"/>
  <c r="NN1530" i="10"/>
  <c r="NN1529" i="10"/>
  <c r="NN1533" i="10"/>
  <c r="ABI1493" i="10"/>
  <c r="ABI1492" i="10"/>
  <c r="ABI1496" i="10"/>
  <c r="ABI1498" i="10"/>
  <c r="ABI1495" i="10"/>
  <c r="ABI1497" i="10"/>
  <c r="ABI1491" i="10"/>
  <c r="ABI1494" i="10"/>
  <c r="ABI1499" i="10"/>
  <c r="ABI1500" i="10"/>
  <c r="ABI1501" i="10"/>
  <c r="ABI1502" i="10"/>
  <c r="ABI1507" i="10"/>
  <c r="ABI1505" i="10"/>
  <c r="ABI1503" i="10"/>
  <c r="ABI1506" i="10"/>
  <c r="ABI1508" i="10"/>
  <c r="ABI1509" i="10"/>
  <c r="ABI1504" i="10"/>
  <c r="ABI1510" i="10"/>
  <c r="TJ1531" i="10"/>
  <c r="TJ1518" i="10"/>
  <c r="TJ1523" i="10"/>
  <c r="TJ1529" i="10"/>
  <c r="TJ1520" i="10"/>
  <c r="TJ1524" i="10"/>
  <c r="TJ1530" i="10"/>
  <c r="TJ1516" i="10"/>
  <c r="TJ1525" i="10"/>
  <c r="TJ1519" i="10"/>
  <c r="TJ1526" i="10"/>
  <c r="TJ1515" i="10"/>
  <c r="TJ1517" i="10"/>
  <c r="TJ1521" i="10"/>
  <c r="TJ1527" i="10"/>
  <c r="TJ1522" i="10"/>
  <c r="TJ1533" i="10"/>
  <c r="TJ1532" i="10"/>
  <c r="TJ1514" i="10"/>
  <c r="TJ1528" i="10"/>
  <c r="AAT1492" i="10"/>
  <c r="AAT1491" i="10"/>
  <c r="AAT1494" i="10"/>
  <c r="AAT1493" i="10"/>
  <c r="AAT1496" i="10"/>
  <c r="AAT1498" i="10"/>
  <c r="AAT1501" i="10"/>
  <c r="AAT1495" i="10"/>
  <c r="AAT1497" i="10"/>
  <c r="AAT1504" i="10"/>
  <c r="AAT1499" i="10"/>
  <c r="AAT1500" i="10"/>
  <c r="AAT1503" i="10"/>
  <c r="AAT1506" i="10"/>
  <c r="AAT1508" i="10"/>
  <c r="AAT1502" i="10"/>
  <c r="AAT1509" i="10"/>
  <c r="AAT1505" i="10"/>
  <c r="AAT1507" i="10"/>
  <c r="AAT1510" i="10"/>
  <c r="NV1518" i="10"/>
  <c r="NV1517" i="10"/>
  <c r="NV1515" i="10"/>
  <c r="NV1514" i="10"/>
  <c r="NV1516" i="10"/>
  <c r="NV1519" i="10"/>
  <c r="NV1522" i="10"/>
  <c r="NV1520" i="10"/>
  <c r="NV1524" i="10"/>
  <c r="NV1523" i="10"/>
  <c r="NV1525" i="10"/>
  <c r="NV1527" i="10"/>
  <c r="NV1528" i="10"/>
  <c r="NV1521" i="10"/>
  <c r="NV1530" i="10"/>
  <c r="NV1526" i="10"/>
  <c r="NV1529" i="10"/>
  <c r="NV1531" i="10"/>
  <c r="NV1532" i="10"/>
  <c r="NV1533" i="10"/>
  <c r="VJ1492" i="10"/>
  <c r="VJ1491" i="10"/>
  <c r="VJ1493" i="10"/>
  <c r="VJ1494" i="10"/>
  <c r="VJ1500" i="10"/>
  <c r="VJ1495" i="10"/>
  <c r="VJ1499" i="10"/>
  <c r="VJ1496" i="10"/>
  <c r="VJ1497" i="10"/>
  <c r="VJ1505" i="10"/>
  <c r="VJ1504" i="10"/>
  <c r="VJ1498" i="10"/>
  <c r="VJ1501" i="10"/>
  <c r="VJ1503" i="10"/>
  <c r="VJ1506" i="10"/>
  <c r="VJ1508" i="10"/>
  <c r="VJ1509" i="10"/>
  <c r="VJ1507" i="10"/>
  <c r="VJ1510" i="10"/>
  <c r="VJ1502" i="10"/>
  <c r="QF1493" i="10"/>
  <c r="QF1496" i="10"/>
  <c r="QF1498" i="10"/>
  <c r="QF1491" i="10"/>
  <c r="QF1495" i="10"/>
  <c r="QF1497" i="10"/>
  <c r="QF1492" i="10"/>
  <c r="QF1494" i="10"/>
  <c r="QF1500" i="10"/>
  <c r="QF1499" i="10"/>
  <c r="QF1501" i="10"/>
  <c r="QF1502" i="10"/>
  <c r="QF1508" i="10"/>
  <c r="QF1509" i="10"/>
  <c r="QF1507" i="10"/>
  <c r="QF1504" i="10"/>
  <c r="QF1503" i="10"/>
  <c r="QF1506" i="10"/>
  <c r="QF1510" i="10"/>
  <c r="QF1505" i="10"/>
  <c r="DQ1518" i="10"/>
  <c r="DQ1516" i="10"/>
  <c r="DQ1517" i="10"/>
  <c r="DQ1514" i="10"/>
  <c r="DQ1515" i="10"/>
  <c r="DQ1522" i="10"/>
  <c r="DQ1524" i="10"/>
  <c r="DQ1520" i="10"/>
  <c r="DQ1525" i="10"/>
  <c r="DQ1519" i="10"/>
  <c r="DQ1523" i="10"/>
  <c r="DQ1526" i="10"/>
  <c r="DQ1521" i="10"/>
  <c r="DQ1527" i="10"/>
  <c r="DQ1529" i="10"/>
  <c r="DQ1528" i="10"/>
  <c r="DQ1533" i="10"/>
  <c r="DQ1530" i="10"/>
  <c r="DQ1532" i="10"/>
  <c r="DQ1531" i="10"/>
  <c r="LE1494" i="10"/>
  <c r="LE1499" i="10"/>
  <c r="LE1502" i="10"/>
  <c r="LE1510" i="10"/>
  <c r="LE1492" i="10"/>
  <c r="LE1493" i="10"/>
  <c r="LE1498" i="10"/>
  <c r="LE1501" i="10"/>
  <c r="LE1504" i="10"/>
  <c r="LE1507" i="10"/>
  <c r="LE1495" i="10"/>
  <c r="LE1508" i="10"/>
  <c r="LE1500" i="10"/>
  <c r="LE1497" i="10"/>
  <c r="LE1503" i="10"/>
  <c r="LE1506" i="10"/>
  <c r="LE1509" i="10"/>
  <c r="LE1491" i="10"/>
  <c r="LE1505" i="10"/>
  <c r="LE1496" i="10"/>
  <c r="AFS1503" i="10"/>
  <c r="AFS1494" i="10"/>
  <c r="AFS1501" i="10"/>
  <c r="AFS1502" i="10"/>
  <c r="AFS1504" i="10"/>
  <c r="AFS1495" i="10"/>
  <c r="AFS1508" i="10"/>
  <c r="AFS1496" i="10"/>
  <c r="AFS1499" i="10"/>
  <c r="AFS1505" i="10"/>
  <c r="AFS1497" i="10"/>
  <c r="AFS1500" i="10"/>
  <c r="AFS1510" i="10"/>
  <c r="AFS1492" i="10"/>
  <c r="AFS1509" i="10"/>
  <c r="AFS1507" i="10"/>
  <c r="AFS1498" i="10"/>
  <c r="AFS1506" i="10"/>
  <c r="AFS1491" i="10"/>
  <c r="AFS1493" i="10"/>
  <c r="VB1518" i="10"/>
  <c r="VB1519" i="10"/>
  <c r="VB1520" i="10"/>
  <c r="VB1522" i="10"/>
  <c r="VB1523" i="10"/>
  <c r="VB1524" i="10"/>
  <c r="VB1521" i="10"/>
  <c r="VB1517" i="10"/>
  <c r="VB1516" i="10"/>
  <c r="VB1525" i="10"/>
  <c r="VB1527" i="10"/>
  <c r="VB1528" i="10"/>
  <c r="VB1526" i="10"/>
  <c r="VB1530" i="10"/>
  <c r="VB1529" i="10"/>
  <c r="VB1533" i="10"/>
  <c r="VB1531" i="10"/>
  <c r="VB1532" i="10"/>
  <c r="VB1515" i="10"/>
  <c r="VB1514" i="10"/>
  <c r="ACD1491" i="10"/>
  <c r="ACD1494" i="10"/>
  <c r="ACD1493" i="10"/>
  <c r="ACD1496" i="10"/>
  <c r="ACD1498" i="10"/>
  <c r="ACD1492" i="10"/>
  <c r="ACD1495" i="10"/>
  <c r="ACD1497" i="10"/>
  <c r="ACD1500" i="10"/>
  <c r="ACD1501" i="10"/>
  <c r="ACD1499" i="10"/>
  <c r="ACD1503" i="10"/>
  <c r="ACD1506" i="10"/>
  <c r="ACD1509" i="10"/>
  <c r="ACD1502" i="10"/>
  <c r="ACD1507" i="10"/>
  <c r="ACD1505" i="10"/>
  <c r="ACD1504" i="10"/>
  <c r="ACD1508" i="10"/>
  <c r="ACD1510" i="10"/>
  <c r="EG1514" i="10"/>
  <c r="EG1515" i="10"/>
  <c r="EG1516" i="10"/>
  <c r="EG1517" i="10"/>
  <c r="EG1519" i="10"/>
  <c r="EG1518" i="10"/>
  <c r="EG1521" i="10"/>
  <c r="EG1525" i="10"/>
  <c r="EG1523" i="10"/>
  <c r="EG1520" i="10"/>
  <c r="EG1528" i="10"/>
  <c r="EG1526" i="10"/>
  <c r="EG1527" i="10"/>
  <c r="EG1522" i="10"/>
  <c r="EG1530" i="10"/>
  <c r="EG1524" i="10"/>
  <c r="EG1532" i="10"/>
  <c r="EG1531" i="10"/>
  <c r="EG1529" i="10"/>
  <c r="EG1533" i="10"/>
  <c r="XB1492" i="10"/>
  <c r="XB1491" i="10"/>
  <c r="XB1495" i="10"/>
  <c r="XB1497" i="10"/>
  <c r="XB1493" i="10"/>
  <c r="XB1496" i="10"/>
  <c r="XB1498" i="10"/>
  <c r="XB1494" i="10"/>
  <c r="XB1500" i="10"/>
  <c r="XB1501" i="10"/>
  <c r="XB1499" i="10"/>
  <c r="XB1509" i="10"/>
  <c r="XB1507" i="10"/>
  <c r="XB1505" i="10"/>
  <c r="XB1502" i="10"/>
  <c r="XB1504" i="10"/>
  <c r="XB1508" i="10"/>
  <c r="XB1510" i="10"/>
  <c r="XB1503" i="10"/>
  <c r="XB1506" i="10"/>
  <c r="AGD1530" i="10"/>
  <c r="AGD1517" i="10"/>
  <c r="AGD1519" i="10"/>
  <c r="AGD1522" i="10"/>
  <c r="AGD1514" i="10"/>
  <c r="AGD1527" i="10"/>
  <c r="AGD1523" i="10"/>
  <c r="AGD1516" i="10"/>
  <c r="AGD1532" i="10"/>
  <c r="AGD1533" i="10"/>
  <c r="AGD1526" i="10"/>
  <c r="AGD1524" i="10"/>
  <c r="AGD1529" i="10"/>
  <c r="AGD1531" i="10"/>
  <c r="AGD1521" i="10"/>
  <c r="AGD1515" i="10"/>
  <c r="AGD1528" i="10"/>
  <c r="AGD1525" i="10"/>
  <c r="AGD1520" i="10"/>
  <c r="AGD1518" i="10"/>
  <c r="IX1492" i="10"/>
  <c r="IX1491" i="10"/>
  <c r="IX1493" i="10"/>
  <c r="IX1494" i="10"/>
  <c r="IX1500" i="10"/>
  <c r="IX1495" i="10"/>
  <c r="IX1497" i="10"/>
  <c r="IX1501" i="10"/>
  <c r="IX1498" i="10"/>
  <c r="IX1496" i="10"/>
  <c r="IX1502" i="10"/>
  <c r="IX1506" i="10"/>
  <c r="IX1505" i="10"/>
  <c r="IX1504" i="10"/>
  <c r="IX1503" i="10"/>
  <c r="IX1509" i="10"/>
  <c r="IX1508" i="10"/>
  <c r="IX1499" i="10"/>
  <c r="IX1507" i="10"/>
  <c r="IX1510" i="10"/>
  <c r="YY1514" i="10"/>
  <c r="YY1515" i="10"/>
  <c r="YY1517" i="10"/>
  <c r="YY1518" i="10"/>
  <c r="YY1519" i="10"/>
  <c r="YY1520" i="10"/>
  <c r="YY1523" i="10"/>
  <c r="YY1522" i="10"/>
  <c r="YY1524" i="10"/>
  <c r="YY1521" i="10"/>
  <c r="YY1527" i="10"/>
  <c r="YY1516" i="10"/>
  <c r="YY1528" i="10"/>
  <c r="YY1530" i="10"/>
  <c r="YY1532" i="10"/>
  <c r="YY1526" i="10"/>
  <c r="YY1529" i="10"/>
  <c r="YY1525" i="10"/>
  <c r="YY1531" i="10"/>
  <c r="YY1533" i="10"/>
  <c r="AFW1526" i="10"/>
  <c r="AFW1515" i="10"/>
  <c r="AFW1525" i="10"/>
  <c r="AFW1527" i="10"/>
  <c r="AFW1533" i="10"/>
  <c r="AFW1523" i="10"/>
  <c r="AFW1531" i="10"/>
  <c r="AFW1524" i="10"/>
  <c r="AFW1530" i="10"/>
  <c r="AFW1517" i="10"/>
  <c r="AFW1518" i="10"/>
  <c r="AFW1522" i="10"/>
  <c r="AFW1528" i="10"/>
  <c r="AFW1516" i="10"/>
  <c r="AFW1520" i="10"/>
  <c r="AFW1514" i="10"/>
  <c r="AFW1532" i="10"/>
  <c r="AFW1519" i="10"/>
  <c r="AFW1529" i="10"/>
  <c r="AFW1521" i="10"/>
  <c r="DW1492" i="10"/>
  <c r="DW1491" i="10"/>
  <c r="DW1493" i="10"/>
  <c r="DW1494" i="10"/>
  <c r="DW1500" i="10"/>
  <c r="DW1495" i="10"/>
  <c r="DW1501" i="10"/>
  <c r="DW1497" i="10"/>
  <c r="DW1496" i="10"/>
  <c r="DW1498" i="10"/>
  <c r="DW1499" i="10"/>
  <c r="DW1506" i="10"/>
  <c r="DW1505" i="10"/>
  <c r="DW1504" i="10"/>
  <c r="DW1507" i="10"/>
  <c r="DW1502" i="10"/>
  <c r="DW1503" i="10"/>
  <c r="DW1509" i="10"/>
  <c r="DW1508" i="10"/>
  <c r="DW1510" i="10"/>
  <c r="PO1526" i="10"/>
  <c r="PO1533" i="10"/>
  <c r="PO1528" i="10"/>
  <c r="PO1531" i="10"/>
  <c r="PO1516" i="10"/>
  <c r="PO1518" i="10"/>
  <c r="PO1530" i="10"/>
  <c r="PO1515" i="10"/>
  <c r="PO1523" i="10"/>
  <c r="PO1527" i="10"/>
  <c r="PO1517" i="10"/>
  <c r="PO1525" i="10"/>
  <c r="PO1520" i="10"/>
  <c r="PO1514" i="10"/>
  <c r="PO1532" i="10"/>
  <c r="PO1522" i="10"/>
  <c r="PO1521" i="10"/>
  <c r="PO1519" i="10"/>
  <c r="PO1524" i="10"/>
  <c r="PO1529" i="10"/>
  <c r="VE1491" i="10"/>
  <c r="VE1494" i="10"/>
  <c r="VE1496" i="10"/>
  <c r="VE1498" i="10"/>
  <c r="VE1495" i="10"/>
  <c r="VE1497" i="10"/>
  <c r="VE1492" i="10"/>
  <c r="VE1493" i="10"/>
  <c r="VE1499" i="10"/>
  <c r="VE1500" i="10"/>
  <c r="VE1503" i="10"/>
  <c r="VE1506" i="10"/>
  <c r="VE1502" i="10"/>
  <c r="VE1501" i="10"/>
  <c r="VE1509" i="10"/>
  <c r="VE1507" i="10"/>
  <c r="VE1505" i="10"/>
  <c r="VE1504" i="10"/>
  <c r="VE1508" i="10"/>
  <c r="VE1510" i="10"/>
  <c r="NW1503" i="10"/>
  <c r="NW1502" i="10"/>
  <c r="NW1510" i="10"/>
  <c r="NW1497" i="10"/>
  <c r="NW1499" i="10"/>
  <c r="NW1504" i="10"/>
  <c r="NW1492" i="10"/>
  <c r="NW1498" i="10"/>
  <c r="NW1508" i="10"/>
  <c r="NW1493" i="10"/>
  <c r="NW1496" i="10"/>
  <c r="NW1494" i="10"/>
  <c r="NW1506" i="10"/>
  <c r="NW1509" i="10"/>
  <c r="NW1500" i="10"/>
  <c r="NW1495" i="10"/>
  <c r="NW1501" i="10"/>
  <c r="NW1507" i="10"/>
  <c r="NW1505" i="10"/>
  <c r="NW1491" i="10"/>
  <c r="WI1526" i="10"/>
  <c r="WI1533" i="10"/>
  <c r="WI1518" i="10"/>
  <c r="WI1531" i="10"/>
  <c r="WI1519" i="10"/>
  <c r="WI1516" i="10"/>
  <c r="WI1523" i="10"/>
  <c r="WI1530" i="10"/>
  <c r="WI1515" i="10"/>
  <c r="WI1525" i="10"/>
  <c r="WI1527" i="10"/>
  <c r="WI1521" i="10"/>
  <c r="WI1517" i="10"/>
  <c r="WI1528" i="10"/>
  <c r="WI1514" i="10"/>
  <c r="WI1520" i="10"/>
  <c r="WI1522" i="10"/>
  <c r="WI1532" i="10"/>
  <c r="WI1524" i="10"/>
  <c r="WI1529" i="10"/>
  <c r="BC1516" i="10"/>
  <c r="BC1518" i="10"/>
  <c r="BC1517" i="10"/>
  <c r="BC1520" i="10"/>
  <c r="BC1521" i="10"/>
  <c r="BC1522" i="10"/>
  <c r="BC1524" i="10"/>
  <c r="BC1525" i="10"/>
  <c r="BC1526" i="10"/>
  <c r="BC1523" i="10"/>
  <c r="BC1527" i="10"/>
  <c r="BC1528" i="10"/>
  <c r="BC1529" i="10"/>
  <c r="BC1533" i="10"/>
  <c r="BC1530" i="10"/>
  <c r="BC1532" i="10"/>
  <c r="BC1531" i="10"/>
  <c r="BC1519" i="10"/>
  <c r="BC1514" i="10"/>
  <c r="BC1515" i="10"/>
  <c r="IQ1508" i="10"/>
  <c r="IQ1506" i="10"/>
  <c r="IQ1510" i="10"/>
  <c r="IQ1509" i="10"/>
  <c r="IQ1499" i="10"/>
  <c r="IQ1504" i="10"/>
  <c r="IQ1500" i="10"/>
  <c r="IQ1498" i="10"/>
  <c r="IQ1494" i="10"/>
  <c r="IQ1505" i="10"/>
  <c r="IQ1502" i="10"/>
  <c r="IQ1497" i="10"/>
  <c r="IQ1507" i="10"/>
  <c r="IQ1492" i="10"/>
  <c r="IQ1501" i="10"/>
  <c r="IQ1493" i="10"/>
  <c r="IQ1495" i="10"/>
  <c r="IQ1496" i="10"/>
  <c r="IQ1491" i="10"/>
  <c r="IQ1503" i="10"/>
  <c r="TX1493" i="10"/>
  <c r="TX1491" i="10"/>
  <c r="TX1496" i="10"/>
  <c r="TX1498" i="10"/>
  <c r="TX1495" i="10"/>
  <c r="TX1497" i="10"/>
  <c r="TX1494" i="10"/>
  <c r="TX1500" i="10"/>
  <c r="TX1499" i="10"/>
  <c r="TX1501" i="10"/>
  <c r="TX1492" i="10"/>
  <c r="TX1508" i="10"/>
  <c r="TX1509" i="10"/>
  <c r="TX1507" i="10"/>
  <c r="TX1502" i="10"/>
  <c r="TX1504" i="10"/>
  <c r="TX1503" i="10"/>
  <c r="TX1506" i="10"/>
  <c r="TX1505" i="10"/>
  <c r="TX1510" i="10"/>
  <c r="AEB1519" i="10"/>
  <c r="AEB1517" i="10"/>
  <c r="AEB1523" i="10"/>
  <c r="AEB1522" i="10"/>
  <c r="AEB1521" i="10"/>
  <c r="AEB1528" i="10"/>
  <c r="AEB1527" i="10"/>
  <c r="AEB1526" i="10"/>
  <c r="AEB1529" i="10"/>
  <c r="AEB1530" i="10"/>
  <c r="AEB1531" i="10"/>
  <c r="AEB1532" i="10"/>
  <c r="AEB1533" i="10"/>
  <c r="AEB1515" i="10"/>
  <c r="AEB1516" i="10"/>
  <c r="AEB1520" i="10"/>
  <c r="AEB1525" i="10"/>
  <c r="AEB1514" i="10"/>
  <c r="AEB1524" i="10"/>
  <c r="AEB1518" i="10"/>
  <c r="DB1492" i="10"/>
  <c r="DB1491" i="10"/>
  <c r="DB1494" i="10"/>
  <c r="DB1497" i="10"/>
  <c r="DB1499" i="10"/>
  <c r="DB1493" i="10"/>
  <c r="DB1496" i="10"/>
  <c r="DB1498" i="10"/>
  <c r="DB1495" i="10"/>
  <c r="DB1500" i="10"/>
  <c r="DB1501" i="10"/>
  <c r="DB1504" i="10"/>
  <c r="DB1507" i="10"/>
  <c r="DB1502" i="10"/>
  <c r="DB1503" i="10"/>
  <c r="DB1508" i="10"/>
  <c r="DB1506" i="10"/>
  <c r="DB1505" i="10"/>
  <c r="DB1510" i="10"/>
  <c r="DB1509" i="10"/>
  <c r="ZO1517" i="10"/>
  <c r="ZO1527" i="10"/>
  <c r="ZO1530" i="10"/>
  <c r="ZO1529" i="10"/>
  <c r="ZO1532" i="10"/>
  <c r="ZO1531" i="10"/>
  <c r="ZO1533" i="10"/>
  <c r="ZO1528" i="10"/>
  <c r="ZO1523" i="10"/>
  <c r="ZO1520" i="10"/>
  <c r="ZO1514" i="10"/>
  <c r="ZO1524" i="10"/>
  <c r="ZO1516" i="10"/>
  <c r="ZO1519" i="10"/>
  <c r="ZO1526" i="10"/>
  <c r="ZO1522" i="10"/>
  <c r="ZO1518" i="10"/>
  <c r="ZO1525" i="10"/>
  <c r="ZO1521" i="10"/>
  <c r="ZO1515" i="10"/>
  <c r="JE1491" i="10"/>
  <c r="JE1494" i="10"/>
  <c r="JE1499" i="10"/>
  <c r="JE1493" i="10"/>
  <c r="JE1496" i="10"/>
  <c r="JE1498" i="10"/>
  <c r="JE1495" i="10"/>
  <c r="JE1497" i="10"/>
  <c r="JE1492" i="10"/>
  <c r="JE1502" i="10"/>
  <c r="JE1500" i="10"/>
  <c r="JE1503" i="10"/>
  <c r="JE1508" i="10"/>
  <c r="JE1507" i="10"/>
  <c r="JE1505" i="10"/>
  <c r="JE1506" i="10"/>
  <c r="JE1501" i="10"/>
  <c r="JE1504" i="10"/>
  <c r="JE1509" i="10"/>
  <c r="JE1510" i="10"/>
  <c r="AEL1492" i="10"/>
  <c r="AEL1491" i="10"/>
  <c r="AEL1495" i="10"/>
  <c r="AEL1497" i="10"/>
  <c r="AEL1493" i="10"/>
  <c r="AEL1496" i="10"/>
  <c r="AEL1498" i="10"/>
  <c r="AEL1500" i="10"/>
  <c r="AEL1501" i="10"/>
  <c r="AEL1499" i="10"/>
  <c r="AEL1494" i="10"/>
  <c r="AEL1507" i="10"/>
  <c r="AEL1505" i="10"/>
  <c r="AEL1504" i="10"/>
  <c r="AEL1508" i="10"/>
  <c r="AEL1502" i="10"/>
  <c r="AEL1503" i="10"/>
  <c r="AEL1509" i="10"/>
  <c r="AEL1510" i="10"/>
  <c r="AEL1506" i="10"/>
  <c r="ED1491" i="10"/>
  <c r="ED1493" i="10"/>
  <c r="ED1494" i="10"/>
  <c r="ED1499" i="10"/>
  <c r="ED1496" i="10"/>
  <c r="ED1497" i="10"/>
  <c r="ED1495" i="10"/>
  <c r="ED1498" i="10"/>
  <c r="ED1492" i="10"/>
  <c r="ED1500" i="10"/>
  <c r="ED1502" i="10"/>
  <c r="ED1503" i="10"/>
  <c r="ED1507" i="10"/>
  <c r="ED1501" i="10"/>
  <c r="ED1508" i="10"/>
  <c r="ED1505" i="10"/>
  <c r="ED1506" i="10"/>
  <c r="ED1504" i="10"/>
  <c r="ED1509" i="10"/>
  <c r="ED1510" i="10"/>
  <c r="AAM1531" i="10"/>
  <c r="AAM1515" i="10"/>
  <c r="AAM1523" i="10"/>
  <c r="AAM1518" i="10"/>
  <c r="AAM1532" i="10"/>
  <c r="AAM1530" i="10"/>
  <c r="AAM1533" i="10"/>
  <c r="AAM1519" i="10"/>
  <c r="AAM1520" i="10"/>
  <c r="AAM1528" i="10"/>
  <c r="AAM1526" i="10"/>
  <c r="AAM1521" i="10"/>
  <c r="AAM1525" i="10"/>
  <c r="AAM1524" i="10"/>
  <c r="AAM1516" i="10"/>
  <c r="AAM1522" i="10"/>
  <c r="AAM1517" i="10"/>
  <c r="AAM1527" i="10"/>
  <c r="AAM1529" i="10"/>
  <c r="AAM1514" i="10"/>
  <c r="CT1492" i="10"/>
  <c r="CT1491" i="10"/>
  <c r="CT1493" i="10"/>
  <c r="CT1494" i="10"/>
  <c r="CT1500" i="10"/>
  <c r="CT1495" i="10"/>
  <c r="CT1501" i="10"/>
  <c r="CT1498" i="10"/>
  <c r="CT1499" i="10"/>
  <c r="CT1497" i="10"/>
  <c r="CT1496" i="10"/>
  <c r="CT1506" i="10"/>
  <c r="CT1505" i="10"/>
  <c r="CT1504" i="10"/>
  <c r="CT1507" i="10"/>
  <c r="CT1503" i="10"/>
  <c r="CT1509" i="10"/>
  <c r="CT1508" i="10"/>
  <c r="CT1502" i="10"/>
  <c r="CT1510" i="10"/>
  <c r="ZG1516" i="10"/>
  <c r="ZG1514" i="10"/>
  <c r="ZG1519" i="10"/>
  <c r="ZG1518" i="10"/>
  <c r="ZG1515" i="10"/>
  <c r="ZG1521" i="10"/>
  <c r="ZG1523" i="10"/>
  <c r="ZG1520" i="10"/>
  <c r="ZG1526" i="10"/>
  <c r="ZG1528" i="10"/>
  <c r="ZG1522" i="10"/>
  <c r="ZG1527" i="10"/>
  <c r="ZG1525" i="10"/>
  <c r="ZG1517" i="10"/>
  <c r="ZG1531" i="10"/>
  <c r="ZG1524" i="10"/>
  <c r="ZG1529" i="10"/>
  <c r="ZG1530" i="10"/>
  <c r="ZG1533" i="10"/>
  <c r="ZG1532" i="10"/>
  <c r="TS1532" i="10"/>
  <c r="TS1514" i="10"/>
  <c r="TS1526" i="10"/>
  <c r="TS1516" i="10"/>
  <c r="TS1521" i="10"/>
  <c r="TS1520" i="10"/>
  <c r="TS1527" i="10"/>
  <c r="TS1523" i="10"/>
  <c r="TS1529" i="10"/>
  <c r="TS1525" i="10"/>
  <c r="TS1531" i="10"/>
  <c r="TS1518" i="10"/>
  <c r="TS1522" i="10"/>
  <c r="TS1530" i="10"/>
  <c r="TS1519" i="10"/>
  <c r="TS1524" i="10"/>
  <c r="TS1517" i="10"/>
  <c r="TS1528" i="10"/>
  <c r="TS1533" i="10"/>
  <c r="TS1515" i="10"/>
  <c r="ABB1491" i="10"/>
  <c r="ABB1494" i="10"/>
  <c r="ABB1496" i="10"/>
  <c r="ABB1498" i="10"/>
  <c r="ABB1495" i="10"/>
  <c r="ABB1497" i="10"/>
  <c r="ABB1492" i="10"/>
  <c r="ABB1493" i="10"/>
  <c r="ABB1499" i="10"/>
  <c r="ABB1500" i="10"/>
  <c r="ABB1501" i="10"/>
  <c r="ABB1503" i="10"/>
  <c r="ABB1506" i="10"/>
  <c r="ABB1502" i="10"/>
  <c r="ABB1509" i="10"/>
  <c r="ABB1507" i="10"/>
  <c r="ABB1505" i="10"/>
  <c r="ABB1504" i="10"/>
  <c r="ABB1508" i="10"/>
  <c r="ABB1510" i="10"/>
  <c r="MH1492" i="10"/>
  <c r="MH1491" i="10"/>
  <c r="MH1493" i="10"/>
  <c r="MH1494" i="10"/>
  <c r="MH1500" i="10"/>
  <c r="MH1495" i="10"/>
  <c r="MH1497" i="10"/>
  <c r="MH1501" i="10"/>
  <c r="MH1499" i="10"/>
  <c r="MH1496" i="10"/>
  <c r="MH1498" i="10"/>
  <c r="MH1502" i="10"/>
  <c r="MH1505" i="10"/>
  <c r="MH1504" i="10"/>
  <c r="MH1503" i="10"/>
  <c r="MH1506" i="10"/>
  <c r="MH1508" i="10"/>
  <c r="MH1509" i="10"/>
  <c r="MH1507" i="10"/>
  <c r="MH1510" i="10"/>
  <c r="CU1514" i="10"/>
  <c r="CU1515" i="10"/>
  <c r="CU1516" i="10"/>
  <c r="CU1517" i="10"/>
  <c r="CU1524" i="10"/>
  <c r="CU1518" i="10"/>
  <c r="CU1520" i="10"/>
  <c r="CU1519" i="10"/>
  <c r="CU1522" i="10"/>
  <c r="CU1523" i="10"/>
  <c r="CU1525" i="10"/>
  <c r="CU1526" i="10"/>
  <c r="CU1527" i="10"/>
  <c r="CU1528" i="10"/>
  <c r="CU1530" i="10"/>
  <c r="CU1532" i="10"/>
  <c r="CU1531" i="10"/>
  <c r="CU1521" i="10"/>
  <c r="CU1529" i="10"/>
  <c r="CU1533" i="10"/>
  <c r="IC1491" i="10"/>
  <c r="IC1493" i="10"/>
  <c r="IC1492" i="10"/>
  <c r="IC1494" i="10"/>
  <c r="IC1499" i="10"/>
  <c r="IC1496" i="10"/>
  <c r="IC1497" i="10"/>
  <c r="IC1495" i="10"/>
  <c r="IC1498" i="10"/>
  <c r="IC1501" i="10"/>
  <c r="IC1505" i="10"/>
  <c r="IC1509" i="10"/>
  <c r="IC1504" i="10"/>
  <c r="IC1503" i="10"/>
  <c r="IC1500" i="10"/>
  <c r="IC1502" i="10"/>
  <c r="IC1508" i="10"/>
  <c r="IC1507" i="10"/>
  <c r="IC1506" i="10"/>
  <c r="IC1510" i="10"/>
  <c r="AEQ1526" i="10"/>
  <c r="AEQ1515" i="10"/>
  <c r="AEQ1525" i="10"/>
  <c r="AEQ1527" i="10"/>
  <c r="AEQ1533" i="10"/>
  <c r="AEQ1523" i="10"/>
  <c r="AEQ1531" i="10"/>
  <c r="AEQ1514" i="10"/>
  <c r="AEQ1532" i="10"/>
  <c r="AEQ1519" i="10"/>
  <c r="AEQ1529" i="10"/>
  <c r="AEQ1524" i="10"/>
  <c r="AEQ1530" i="10"/>
  <c r="AEQ1518" i="10"/>
  <c r="AEQ1528" i="10"/>
  <c r="AEQ1522" i="10"/>
  <c r="AEQ1516" i="10"/>
  <c r="AEQ1520" i="10"/>
  <c r="AEQ1517" i="10"/>
  <c r="AEQ1521" i="10"/>
  <c r="CA1492" i="10"/>
  <c r="CA1491" i="10"/>
  <c r="CA1493" i="10"/>
  <c r="CA1494" i="10"/>
  <c r="CA1500" i="10"/>
  <c r="CA1495" i="10"/>
  <c r="CA1497" i="10"/>
  <c r="CA1501" i="10"/>
  <c r="CA1496" i="10"/>
  <c r="CA1498" i="10"/>
  <c r="CA1499" i="10"/>
  <c r="CA1506" i="10"/>
  <c r="CA1505" i="10"/>
  <c r="CA1504" i="10"/>
  <c r="CA1507" i="10"/>
  <c r="CA1503" i="10"/>
  <c r="CA1509" i="10"/>
  <c r="CA1508" i="10"/>
  <c r="CA1502" i="10"/>
  <c r="CA1510" i="10"/>
  <c r="PX1533" i="10"/>
  <c r="PX1527" i="10"/>
  <c r="PX1523" i="10"/>
  <c r="PX1514" i="10"/>
  <c r="PX1529" i="10"/>
  <c r="PX1525" i="10"/>
  <c r="PX1518" i="10"/>
  <c r="PX1526" i="10"/>
  <c r="PX1530" i="10"/>
  <c r="PX1522" i="10"/>
  <c r="PX1528" i="10"/>
  <c r="PX1532" i="10"/>
  <c r="PX1520" i="10"/>
  <c r="PX1531" i="10"/>
  <c r="PX1516" i="10"/>
  <c r="PX1517" i="10"/>
  <c r="PX1519" i="10"/>
  <c r="PX1521" i="10"/>
  <c r="PX1515" i="10"/>
  <c r="PX1524" i="10"/>
  <c r="VN1493" i="10"/>
  <c r="VN1491" i="10"/>
  <c r="VN1496" i="10"/>
  <c r="VN1498" i="10"/>
  <c r="VN1495" i="10"/>
  <c r="VN1497" i="10"/>
  <c r="VN1494" i="10"/>
  <c r="VN1500" i="10"/>
  <c r="VN1492" i="10"/>
  <c r="VN1499" i="10"/>
  <c r="VN1508" i="10"/>
  <c r="VN1502" i="10"/>
  <c r="VN1509" i="10"/>
  <c r="VN1507" i="10"/>
  <c r="VN1501" i="10"/>
  <c r="VN1504" i="10"/>
  <c r="VN1503" i="10"/>
  <c r="VN1506" i="10"/>
  <c r="VN1505" i="10"/>
  <c r="VN1510" i="10"/>
  <c r="IP1515" i="10"/>
  <c r="IP1516" i="10"/>
  <c r="IP1514" i="10"/>
  <c r="IP1520" i="10"/>
  <c r="IP1517" i="10"/>
  <c r="IP1519" i="10"/>
  <c r="IP1518" i="10"/>
  <c r="IP1525" i="10"/>
  <c r="IP1523" i="10"/>
  <c r="IP1524" i="10"/>
  <c r="IP1527" i="10"/>
  <c r="IP1526" i="10"/>
  <c r="IP1522" i="10"/>
  <c r="IP1528" i="10"/>
  <c r="IP1521" i="10"/>
  <c r="IP1533" i="10"/>
  <c r="IP1529" i="10"/>
  <c r="IP1532" i="10"/>
  <c r="IP1530" i="10"/>
  <c r="IP1531" i="10"/>
  <c r="OG1491" i="10"/>
  <c r="OG1493" i="10"/>
  <c r="OG1494" i="10"/>
  <c r="OG1496" i="10"/>
  <c r="OG1498" i="10"/>
  <c r="OG1495" i="10"/>
  <c r="OG1497" i="10"/>
  <c r="OG1499" i="10"/>
  <c r="OG1500" i="10"/>
  <c r="OG1492" i="10"/>
  <c r="OG1503" i="10"/>
  <c r="OG1506" i="10"/>
  <c r="OG1508" i="10"/>
  <c r="OG1501" i="10"/>
  <c r="OG1502" i="10"/>
  <c r="OG1509" i="10"/>
  <c r="OG1507" i="10"/>
  <c r="OG1505" i="10"/>
  <c r="OG1504" i="10"/>
  <c r="OG1510" i="10"/>
  <c r="JC1493" i="10"/>
  <c r="JC1492" i="10"/>
  <c r="JC1496" i="10"/>
  <c r="JC1498" i="10"/>
  <c r="JC1491" i="10"/>
  <c r="JC1495" i="10"/>
  <c r="JC1497" i="10"/>
  <c r="JC1494" i="10"/>
  <c r="JC1499" i="10"/>
  <c r="JC1501" i="10"/>
  <c r="JC1500" i="10"/>
  <c r="JC1502" i="10"/>
  <c r="JC1507" i="10"/>
  <c r="JC1505" i="10"/>
  <c r="JC1506" i="10"/>
  <c r="JC1503" i="10"/>
  <c r="JC1508" i="10"/>
  <c r="JC1509" i="10"/>
  <c r="JC1504" i="10"/>
  <c r="JC1510" i="10"/>
  <c r="AEJ1517" i="10"/>
  <c r="AEJ1519" i="10"/>
  <c r="AEJ1524" i="10"/>
  <c r="AEJ1522" i="10"/>
  <c r="AEJ1523" i="10"/>
  <c r="AEJ1525" i="10"/>
  <c r="AEJ1526" i="10"/>
  <c r="AEJ1527" i="10"/>
  <c r="AEJ1531" i="10"/>
  <c r="AEJ1532" i="10"/>
  <c r="AEJ1528" i="10"/>
  <c r="AEJ1530" i="10"/>
  <c r="AEJ1533" i="10"/>
  <c r="AEJ1529" i="10"/>
  <c r="AEJ1514" i="10"/>
  <c r="AEJ1516" i="10"/>
  <c r="AEJ1518" i="10"/>
  <c r="AEJ1520" i="10"/>
  <c r="AEJ1521" i="10"/>
  <c r="AEJ1515" i="10"/>
  <c r="DN1492" i="10"/>
  <c r="DN1491" i="10"/>
  <c r="DN1493" i="10"/>
  <c r="DN1494" i="10"/>
  <c r="DN1500" i="10"/>
  <c r="DN1495" i="10"/>
  <c r="DN1501" i="10"/>
  <c r="DN1497" i="10"/>
  <c r="DN1498" i="10"/>
  <c r="DN1499" i="10"/>
  <c r="DN1496" i="10"/>
  <c r="DN1506" i="10"/>
  <c r="DN1505" i="10"/>
  <c r="DN1504" i="10"/>
  <c r="DN1507" i="10"/>
  <c r="DN1503" i="10"/>
  <c r="DN1509" i="10"/>
  <c r="DN1508" i="10"/>
  <c r="DN1502" i="10"/>
  <c r="DN1510" i="10"/>
  <c r="OT1517" i="10"/>
  <c r="OT1515" i="10"/>
  <c r="OT1516" i="10"/>
  <c r="OT1519" i="10"/>
  <c r="OT1514" i="10"/>
  <c r="OT1518" i="10"/>
  <c r="OT1524" i="10"/>
  <c r="OT1521" i="10"/>
  <c r="OT1522" i="10"/>
  <c r="OT1520" i="10"/>
  <c r="OT1523" i="10"/>
  <c r="OT1527" i="10"/>
  <c r="OT1526" i="10"/>
  <c r="OT1529" i="10"/>
  <c r="OT1531" i="10"/>
  <c r="OT1528" i="10"/>
  <c r="OT1532" i="10"/>
  <c r="OT1525" i="10"/>
  <c r="OT1530" i="10"/>
  <c r="OT1533" i="10"/>
  <c r="ZY1515" i="10"/>
  <c r="ZY1517" i="10"/>
  <c r="ZY1518" i="10"/>
  <c r="ZY1516" i="10"/>
  <c r="ZY1514" i="10"/>
  <c r="ZY1521" i="10"/>
  <c r="ZY1520" i="10"/>
  <c r="ZY1523" i="10"/>
  <c r="ZY1522" i="10"/>
  <c r="ZY1524" i="10"/>
  <c r="ZY1527" i="10"/>
  <c r="ZY1528" i="10"/>
  <c r="ZY1525" i="10"/>
  <c r="ZY1526" i="10"/>
  <c r="ZY1519" i="10"/>
  <c r="ZY1531" i="10"/>
  <c r="ZY1530" i="10"/>
  <c r="ZY1529" i="10"/>
  <c r="ZY1532" i="10"/>
  <c r="ZY1533" i="10"/>
  <c r="AFQ1491" i="10"/>
  <c r="AFQ1493" i="10"/>
  <c r="AFQ1494" i="10"/>
  <c r="AFQ1492" i="10"/>
  <c r="AFQ1496" i="10"/>
  <c r="AFQ1498" i="10"/>
  <c r="AFQ1495" i="10"/>
  <c r="AFQ1497" i="10"/>
  <c r="AFQ1501" i="10"/>
  <c r="AFQ1499" i="10"/>
  <c r="AFQ1500" i="10"/>
  <c r="AFQ1503" i="10"/>
  <c r="AFQ1506" i="10"/>
  <c r="AFQ1507" i="10"/>
  <c r="AFQ1502" i="10"/>
  <c r="AFQ1505" i="10"/>
  <c r="AFQ1504" i="10"/>
  <c r="AFQ1508" i="10"/>
  <c r="AFQ1509" i="10"/>
  <c r="AFQ1510" i="10"/>
  <c r="UY1517" i="10"/>
  <c r="UY1515" i="10"/>
  <c r="UY1514" i="10"/>
  <c r="UY1518" i="10"/>
  <c r="UY1516" i="10"/>
  <c r="UY1519" i="10"/>
  <c r="UY1524" i="10"/>
  <c r="UY1520" i="10"/>
  <c r="UY1522" i="10"/>
  <c r="UY1523" i="10"/>
  <c r="UY1525" i="10"/>
  <c r="UY1527" i="10"/>
  <c r="UY1528" i="10"/>
  <c r="UY1526" i="10"/>
  <c r="UY1521" i="10"/>
  <c r="UY1531" i="10"/>
  <c r="UY1532" i="10"/>
  <c r="UY1530" i="10"/>
  <c r="UY1529" i="10"/>
  <c r="UY1533" i="10"/>
  <c r="ACB1492" i="10"/>
  <c r="ACB1496" i="10"/>
  <c r="ACB1498" i="10"/>
  <c r="ACB1495" i="10"/>
  <c r="ACB1497" i="10"/>
  <c r="ACB1491" i="10"/>
  <c r="ACB1494" i="10"/>
  <c r="ACB1493" i="10"/>
  <c r="ACB1499" i="10"/>
  <c r="ACB1501" i="10"/>
  <c r="ACB1500" i="10"/>
  <c r="ACB1502" i="10"/>
  <c r="ACB1507" i="10"/>
  <c r="ACB1505" i="10"/>
  <c r="ACB1503" i="10"/>
  <c r="ACB1506" i="10"/>
  <c r="ACB1508" i="10"/>
  <c r="ACB1504" i="10"/>
  <c r="ACB1510" i="10"/>
  <c r="ACB1509" i="10"/>
  <c r="EO1516" i="10"/>
  <c r="EO1514" i="10"/>
  <c r="EO1515" i="10"/>
  <c r="EO1517" i="10"/>
  <c r="EO1518" i="10"/>
  <c r="EO1519" i="10"/>
  <c r="EO1520" i="10"/>
  <c r="EO1523" i="10"/>
  <c r="EO1524" i="10"/>
  <c r="EO1521" i="10"/>
  <c r="EO1525" i="10"/>
  <c r="EO1522" i="10"/>
  <c r="EO1528" i="10"/>
  <c r="EO1532" i="10"/>
  <c r="EO1531" i="10"/>
  <c r="EO1529" i="10"/>
  <c r="EO1530" i="10"/>
  <c r="EO1533" i="10"/>
  <c r="EO1527" i="10"/>
  <c r="EO1526" i="10"/>
  <c r="PV1517" i="10"/>
  <c r="PV1514" i="10"/>
  <c r="PV1516" i="10"/>
  <c r="PV1519" i="10"/>
  <c r="PV1515" i="10"/>
  <c r="PV1518" i="10"/>
  <c r="PV1524" i="10"/>
  <c r="PV1520" i="10"/>
  <c r="PV1521" i="10"/>
  <c r="PV1522" i="10"/>
  <c r="PV1523" i="10"/>
  <c r="PV1525" i="10"/>
  <c r="PV1526" i="10"/>
  <c r="PV1527" i="10"/>
  <c r="PV1528" i="10"/>
  <c r="PV1529" i="10"/>
  <c r="PV1531" i="10"/>
  <c r="PV1532" i="10"/>
  <c r="PV1530" i="10"/>
  <c r="PV1533" i="10"/>
  <c r="XI1491" i="10"/>
  <c r="XI1493" i="10"/>
  <c r="XI1492" i="10"/>
  <c r="XI1494" i="10"/>
  <c r="XI1499" i="10"/>
  <c r="XI1495" i="10"/>
  <c r="XI1498" i="10"/>
  <c r="XI1497" i="10"/>
  <c r="XI1500" i="10"/>
  <c r="XI1501" i="10"/>
  <c r="XI1496" i="10"/>
  <c r="XI1505" i="10"/>
  <c r="XI1504" i="10"/>
  <c r="XI1502" i="10"/>
  <c r="XI1503" i="10"/>
  <c r="XI1506" i="10"/>
  <c r="XI1508" i="10"/>
  <c r="XI1507" i="10"/>
  <c r="XI1510" i="10"/>
  <c r="XI1509" i="10"/>
  <c r="DF1518" i="10"/>
  <c r="DF1514" i="10"/>
  <c r="DF1515" i="10"/>
  <c r="DF1516" i="10"/>
  <c r="DF1524" i="10"/>
  <c r="DF1519" i="10"/>
  <c r="DF1517" i="10"/>
  <c r="DF1522" i="10"/>
  <c r="DF1523" i="10"/>
  <c r="DF1521" i="10"/>
  <c r="DF1526" i="10"/>
  <c r="DF1527" i="10"/>
  <c r="DF1528" i="10"/>
  <c r="DF1520" i="10"/>
  <c r="DF1530" i="10"/>
  <c r="DF1532" i="10"/>
  <c r="DF1529" i="10"/>
  <c r="DF1531" i="10"/>
  <c r="DF1525" i="10"/>
  <c r="DF1533" i="10"/>
  <c r="KT1492" i="10"/>
  <c r="KT1498" i="10"/>
  <c r="KT1501" i="10"/>
  <c r="KT1504" i="10"/>
  <c r="KT1507" i="10"/>
  <c r="KT1499" i="10"/>
  <c r="KT1502" i="10"/>
  <c r="KT1508" i="10"/>
  <c r="KT1496" i="10"/>
  <c r="KT1505" i="10"/>
  <c r="KT1491" i="10"/>
  <c r="KT1500" i="10"/>
  <c r="KT1509" i="10"/>
  <c r="KT1497" i="10"/>
  <c r="KT1503" i="10"/>
  <c r="KT1506" i="10"/>
  <c r="KT1494" i="10"/>
  <c r="KT1495" i="10"/>
  <c r="KT1493" i="10"/>
  <c r="KT1510" i="10"/>
  <c r="AFL1528" i="10"/>
  <c r="AFL1530" i="10"/>
  <c r="AFL1519" i="10"/>
  <c r="AFL1525" i="10"/>
  <c r="AFL1522" i="10"/>
  <c r="AFL1515" i="10"/>
  <c r="AFL1521" i="10"/>
  <c r="AFL1527" i="10"/>
  <c r="AFL1533" i="10"/>
  <c r="AFL1514" i="10"/>
  <c r="AFL1526" i="10"/>
  <c r="AFL1524" i="10"/>
  <c r="AFL1523" i="10"/>
  <c r="AFL1532" i="10"/>
  <c r="AFL1520" i="10"/>
  <c r="AFL1516" i="10"/>
  <c r="AFL1531" i="10"/>
  <c r="AFL1517" i="10"/>
  <c r="AFL1529" i="10"/>
  <c r="AFL1518" i="10"/>
  <c r="FF1493" i="10"/>
  <c r="FF1492" i="10"/>
  <c r="FF1491" i="10"/>
  <c r="FF1495" i="10"/>
  <c r="FF1497" i="10"/>
  <c r="FF1498" i="10"/>
  <c r="FF1496" i="10"/>
  <c r="FF1499" i="10"/>
  <c r="FF1501" i="10"/>
  <c r="FF1494" i="10"/>
  <c r="FF1500" i="10"/>
  <c r="FF1502" i="10"/>
  <c r="FF1507" i="10"/>
  <c r="FF1505" i="10"/>
  <c r="FF1504" i="10"/>
  <c r="FF1508" i="10"/>
  <c r="FF1506" i="10"/>
  <c r="FF1509" i="10"/>
  <c r="FF1503" i="10"/>
  <c r="FF1510" i="10"/>
  <c r="ABL1525" i="10"/>
  <c r="ABL1530" i="10"/>
  <c r="ABL1529" i="10"/>
  <c r="ABL1517" i="10"/>
  <c r="ABL1528" i="10"/>
  <c r="ABL1526" i="10"/>
  <c r="ABL1533" i="10"/>
  <c r="ABL1516" i="10"/>
  <c r="ABL1514" i="10"/>
  <c r="ABL1532" i="10"/>
  <c r="ABL1518" i="10"/>
  <c r="ABL1527" i="10"/>
  <c r="ABL1523" i="10"/>
  <c r="ABL1515" i="10"/>
  <c r="ABL1531" i="10"/>
  <c r="ABL1521" i="10"/>
  <c r="ABL1522" i="10"/>
  <c r="ABL1519" i="10"/>
  <c r="ABL1520" i="10"/>
  <c r="ABL1524" i="10"/>
  <c r="P1492" i="10"/>
  <c r="P1504" i="10"/>
  <c r="P1497" i="10"/>
  <c r="P1500" i="10"/>
  <c r="P1503" i="10"/>
  <c r="P1506" i="10"/>
  <c r="P1510" i="10"/>
  <c r="P1493" i="10"/>
  <c r="P1494" i="10"/>
  <c r="P1507" i="10"/>
  <c r="P1498" i="10"/>
  <c r="P1501" i="10"/>
  <c r="P1491" i="10"/>
  <c r="P1496" i="10"/>
  <c r="P1502" i="10"/>
  <c r="P1505" i="10"/>
  <c r="P1509" i="10"/>
  <c r="P1499" i="10"/>
  <c r="P1495" i="10"/>
  <c r="P1508" i="10"/>
  <c r="ZL1514" i="10"/>
  <c r="ZL1519" i="10"/>
  <c r="ZL1518" i="10"/>
  <c r="ZL1517" i="10"/>
  <c r="ZL1516" i="10"/>
  <c r="ZL1521" i="10"/>
  <c r="ZL1522" i="10"/>
  <c r="ZL1524" i="10"/>
  <c r="ZL1527" i="10"/>
  <c r="ZL1523" i="10"/>
  <c r="ZL1525" i="10"/>
  <c r="ZL1526" i="10"/>
  <c r="ZL1528" i="10"/>
  <c r="ZL1520" i="10"/>
  <c r="ZL1529" i="10"/>
  <c r="ZL1530" i="10"/>
  <c r="ZL1532" i="10"/>
  <c r="ZL1531" i="10"/>
  <c r="ZL1533" i="10"/>
  <c r="ZL1515" i="10"/>
  <c r="ADY1492" i="10"/>
  <c r="ADY1491" i="10"/>
  <c r="ADY1494" i="10"/>
  <c r="ADY1493" i="10"/>
  <c r="ADY1496" i="10"/>
  <c r="ADY1498" i="10"/>
  <c r="ADY1497" i="10"/>
  <c r="ADY1499" i="10"/>
  <c r="ADY1501" i="10"/>
  <c r="ADY1495" i="10"/>
  <c r="ADY1500" i="10"/>
  <c r="ADY1504" i="10"/>
  <c r="ADY1503" i="10"/>
  <c r="ADY1506" i="10"/>
  <c r="ADY1502" i="10"/>
  <c r="ADY1508" i="10"/>
  <c r="ADY1509" i="10"/>
  <c r="ADY1505" i="10"/>
  <c r="ADY1510" i="10"/>
  <c r="ADY1507" i="10"/>
  <c r="KQ1528" i="10"/>
  <c r="KQ1533" i="10"/>
  <c r="KQ1521" i="10"/>
  <c r="KQ1529" i="10"/>
  <c r="KQ1522" i="10"/>
  <c r="KQ1531" i="10"/>
  <c r="KQ1517" i="10"/>
  <c r="KQ1523" i="10"/>
  <c r="KQ1520" i="10"/>
  <c r="KQ1519" i="10"/>
  <c r="KQ1532" i="10"/>
  <c r="KQ1515" i="10"/>
  <c r="KQ1524" i="10"/>
  <c r="KQ1527" i="10"/>
  <c r="KQ1514" i="10"/>
  <c r="KQ1530" i="10"/>
  <c r="KQ1526" i="10"/>
  <c r="KQ1516" i="10"/>
  <c r="KQ1518" i="10"/>
  <c r="KQ1525" i="10"/>
  <c r="QG1491" i="10"/>
  <c r="QG1492" i="10"/>
  <c r="QG1494" i="10"/>
  <c r="QG1496" i="10"/>
  <c r="QG1498" i="10"/>
  <c r="QG1495" i="10"/>
  <c r="QG1497" i="10"/>
  <c r="QG1493" i="10"/>
  <c r="QG1500" i="10"/>
  <c r="QG1503" i="10"/>
  <c r="QG1506" i="10"/>
  <c r="QG1502" i="10"/>
  <c r="QG1508" i="10"/>
  <c r="QG1509" i="10"/>
  <c r="QG1507" i="10"/>
  <c r="QG1501" i="10"/>
  <c r="QG1505" i="10"/>
  <c r="QG1499" i="10"/>
  <c r="QG1504" i="10"/>
  <c r="QG1510" i="10"/>
  <c r="IY1508" i="10"/>
  <c r="IY1506" i="10"/>
  <c r="IY1509" i="10"/>
  <c r="IY1510" i="10"/>
  <c r="IY1495" i="10"/>
  <c r="IY1492" i="10"/>
  <c r="IY1505" i="10"/>
  <c r="IY1502" i="10"/>
  <c r="IY1497" i="10"/>
  <c r="IY1507" i="10"/>
  <c r="IY1491" i="10"/>
  <c r="IY1493" i="10"/>
  <c r="IY1500" i="10"/>
  <c r="IY1501" i="10"/>
  <c r="IY1504" i="10"/>
  <c r="IY1499" i="10"/>
  <c r="IY1503" i="10"/>
  <c r="IY1498" i="10"/>
  <c r="IY1494" i="10"/>
  <c r="IY1496" i="10"/>
  <c r="ZU1522" i="10"/>
  <c r="ZU1519" i="10"/>
  <c r="ZU1524" i="10"/>
  <c r="ZU1533" i="10"/>
  <c r="ZU1520" i="10"/>
  <c r="ZU1529" i="10"/>
  <c r="ZU1531" i="10"/>
  <c r="ZU1525" i="10"/>
  <c r="ZU1517" i="10"/>
  <c r="ZU1526" i="10"/>
  <c r="ZU1521" i="10"/>
  <c r="ZU1532" i="10"/>
  <c r="ZU1515" i="10"/>
  <c r="ZU1530" i="10"/>
  <c r="ZU1527" i="10"/>
  <c r="ZU1516" i="10"/>
  <c r="ZU1514" i="10"/>
  <c r="ZU1518" i="10"/>
  <c r="ZU1523" i="10"/>
  <c r="ZU1528" i="10"/>
  <c r="CB1493" i="10"/>
  <c r="CB1492" i="10"/>
  <c r="CB1491" i="10"/>
  <c r="CB1494" i="10"/>
  <c r="CB1496" i="10"/>
  <c r="CB1495" i="10"/>
  <c r="CB1502" i="10"/>
  <c r="CB1497" i="10"/>
  <c r="CB1500" i="10"/>
  <c r="CB1506" i="10"/>
  <c r="CB1505" i="10"/>
  <c r="CB1504" i="10"/>
  <c r="CB1507" i="10"/>
  <c r="CB1498" i="10"/>
  <c r="CB1499" i="10"/>
  <c r="CB1503" i="10"/>
  <c r="CB1509" i="10"/>
  <c r="CB1501" i="10"/>
  <c r="CB1508" i="10"/>
  <c r="CB1510" i="10"/>
  <c r="YO1524" i="10"/>
  <c r="YO1528" i="10"/>
  <c r="YO1523" i="10"/>
  <c r="YO1531" i="10"/>
  <c r="YO1529" i="10"/>
  <c r="YO1533" i="10"/>
  <c r="YO1522" i="10"/>
  <c r="YO1514" i="10"/>
  <c r="YO1521" i="10"/>
  <c r="YO1519" i="10"/>
  <c r="YO1515" i="10"/>
  <c r="YO1527" i="10"/>
  <c r="YO1518" i="10"/>
  <c r="YO1530" i="10"/>
  <c r="YO1532" i="10"/>
  <c r="YO1517" i="10"/>
  <c r="YO1525" i="10"/>
  <c r="YO1520" i="10"/>
  <c r="YO1516" i="10"/>
  <c r="YO1526" i="10"/>
  <c r="AER1491" i="10"/>
  <c r="AER1492" i="10"/>
  <c r="AER1494" i="10"/>
  <c r="AER1493" i="10"/>
  <c r="AER1499" i="10"/>
  <c r="AER1500" i="10"/>
  <c r="AER1496" i="10"/>
  <c r="AER1497" i="10"/>
  <c r="AER1498" i="10"/>
  <c r="AER1505" i="10"/>
  <c r="AER1495" i="10"/>
  <c r="AER1504" i="10"/>
  <c r="AER1501" i="10"/>
  <c r="AER1503" i="10"/>
  <c r="AER1506" i="10"/>
  <c r="AER1508" i="10"/>
  <c r="AER1507" i="10"/>
  <c r="AER1510" i="10"/>
  <c r="AER1509" i="10"/>
  <c r="AER1502" i="10"/>
  <c r="HS1508" i="10"/>
  <c r="HS1509" i="10"/>
  <c r="HS1510" i="10"/>
  <c r="HS1506" i="10"/>
  <c r="HS1498" i="10"/>
  <c r="HS1494" i="10"/>
  <c r="HS1496" i="10"/>
  <c r="HS1491" i="10"/>
  <c r="HS1501" i="10"/>
  <c r="HS1493" i="10"/>
  <c r="HS1499" i="10"/>
  <c r="HS1495" i="10"/>
  <c r="HS1500" i="10"/>
  <c r="HS1504" i="10"/>
  <c r="HS1503" i="10"/>
  <c r="HS1497" i="10"/>
  <c r="HS1507" i="10"/>
  <c r="HS1502" i="10"/>
  <c r="HS1505" i="10"/>
  <c r="HS1492" i="10"/>
  <c r="SZ1516" i="10"/>
  <c r="SZ1515" i="10"/>
  <c r="SZ1517" i="10"/>
  <c r="SZ1514" i="10"/>
  <c r="SZ1518" i="10"/>
  <c r="SZ1521" i="10"/>
  <c r="SZ1524" i="10"/>
  <c r="SZ1519" i="10"/>
  <c r="SZ1520" i="10"/>
  <c r="SZ1526" i="10"/>
  <c r="SZ1523" i="10"/>
  <c r="SZ1522" i="10"/>
  <c r="SZ1525" i="10"/>
  <c r="SZ1530" i="10"/>
  <c r="SZ1529" i="10"/>
  <c r="SZ1528" i="10"/>
  <c r="SZ1532" i="10"/>
  <c r="SZ1531" i="10"/>
  <c r="SZ1533" i="10"/>
  <c r="SZ1527" i="10"/>
  <c r="AAJ1491" i="10"/>
  <c r="AAJ1492" i="10"/>
  <c r="AAJ1494" i="10"/>
  <c r="AAJ1496" i="10"/>
  <c r="AAJ1498" i="10"/>
  <c r="AAJ1495" i="10"/>
  <c r="AAJ1497" i="10"/>
  <c r="AAJ1493" i="10"/>
  <c r="AAJ1500" i="10"/>
  <c r="AAJ1499" i="10"/>
  <c r="AAJ1501" i="10"/>
  <c r="AAJ1503" i="10"/>
  <c r="AAJ1506" i="10"/>
  <c r="AAJ1502" i="10"/>
  <c r="AAJ1509" i="10"/>
  <c r="AAJ1507" i="10"/>
  <c r="AAJ1505" i="10"/>
  <c r="AAJ1504" i="10"/>
  <c r="AAJ1508" i="10"/>
  <c r="AAJ1510" i="10"/>
  <c r="CR1516" i="10"/>
  <c r="CR1514" i="10"/>
  <c r="CR1517" i="10"/>
  <c r="CR1518" i="10"/>
  <c r="CR1520" i="10"/>
  <c r="CR1521" i="10"/>
  <c r="CR1515" i="10"/>
  <c r="CR1525" i="10"/>
  <c r="CR1524" i="10"/>
  <c r="CR1519" i="10"/>
  <c r="CR1526" i="10"/>
  <c r="CR1529" i="10"/>
  <c r="CR1523" i="10"/>
  <c r="CR1522" i="10"/>
  <c r="CR1532" i="10"/>
  <c r="CR1531" i="10"/>
  <c r="CR1530" i="10"/>
  <c r="CR1527" i="10"/>
  <c r="CR1528" i="10"/>
  <c r="CR1533" i="10"/>
  <c r="NY1515" i="10"/>
  <c r="NY1517" i="10"/>
  <c r="NY1518" i="10"/>
  <c r="NY1514" i="10"/>
  <c r="NY1516" i="10"/>
  <c r="NY1520" i="10"/>
  <c r="NY1519" i="10"/>
  <c r="NY1522" i="10"/>
  <c r="NY1521" i="10"/>
  <c r="NY1528" i="10"/>
  <c r="NY1523" i="10"/>
  <c r="NY1526" i="10"/>
  <c r="NY1531" i="10"/>
  <c r="NY1532" i="10"/>
  <c r="NY1530" i="10"/>
  <c r="NY1525" i="10"/>
  <c r="NY1524" i="10"/>
  <c r="NY1527" i="10"/>
  <c r="NY1529" i="10"/>
  <c r="NY1533" i="10"/>
  <c r="VK1493" i="10"/>
  <c r="VK1492" i="10"/>
  <c r="VK1491" i="10"/>
  <c r="VK1494" i="10"/>
  <c r="VK1496" i="10"/>
  <c r="VK1495" i="10"/>
  <c r="VK1497" i="10"/>
  <c r="VK1501" i="10"/>
  <c r="VK1498" i="10"/>
  <c r="VK1500" i="10"/>
  <c r="VK1507" i="10"/>
  <c r="VK1505" i="10"/>
  <c r="VK1499" i="10"/>
  <c r="VK1504" i="10"/>
  <c r="VK1503" i="10"/>
  <c r="VK1506" i="10"/>
  <c r="VK1502" i="10"/>
  <c r="VK1509" i="10"/>
  <c r="VK1510" i="10"/>
  <c r="VK1508" i="10"/>
  <c r="IU1527" i="10"/>
  <c r="IU1516" i="10"/>
  <c r="IU1526" i="10"/>
  <c r="IU1531" i="10"/>
  <c r="IU1518" i="10"/>
  <c r="IU1525" i="10"/>
  <c r="IU1523" i="10"/>
  <c r="IU1530" i="10"/>
  <c r="IU1533" i="10"/>
  <c r="IU1515" i="10"/>
  <c r="IU1517" i="10"/>
  <c r="IU1524" i="10"/>
  <c r="IU1519" i="10"/>
  <c r="IU1514" i="10"/>
  <c r="IU1529" i="10"/>
  <c r="IU1532" i="10"/>
  <c r="IU1521" i="10"/>
  <c r="IU1522" i="10"/>
  <c r="IU1520" i="10"/>
  <c r="IU1528" i="10"/>
  <c r="QH1492" i="10"/>
  <c r="QH1491" i="10"/>
  <c r="QH1494" i="10"/>
  <c r="QH1499" i="10"/>
  <c r="QH1496" i="10"/>
  <c r="QH1498" i="10"/>
  <c r="QH1493" i="10"/>
  <c r="QH1495" i="10"/>
  <c r="QH1500" i="10"/>
  <c r="QH1501" i="10"/>
  <c r="QH1504" i="10"/>
  <c r="QH1503" i="10"/>
  <c r="QH1506" i="10"/>
  <c r="QH1497" i="10"/>
  <c r="QH1502" i="10"/>
  <c r="QH1508" i="10"/>
  <c r="QH1509" i="10"/>
  <c r="QH1505" i="10"/>
  <c r="QH1507" i="10"/>
  <c r="QH1510" i="10"/>
  <c r="DS1514" i="10"/>
  <c r="DS1515" i="10"/>
  <c r="DS1516" i="10"/>
  <c r="DS1519" i="10"/>
  <c r="DS1517" i="10"/>
  <c r="DS1520" i="10"/>
  <c r="DS1518" i="10"/>
  <c r="DS1522" i="10"/>
  <c r="DS1524" i="10"/>
  <c r="DS1521" i="10"/>
  <c r="DS1523" i="10"/>
  <c r="DS1528" i="10"/>
  <c r="DS1525" i="10"/>
  <c r="DS1526" i="10"/>
  <c r="DS1527" i="10"/>
  <c r="DS1529" i="10"/>
  <c r="DS1533" i="10"/>
  <c r="DS1531" i="10"/>
  <c r="DS1530" i="10"/>
  <c r="DS1532" i="10"/>
  <c r="OZ1518" i="10"/>
  <c r="OZ1514" i="10"/>
  <c r="OZ1516" i="10"/>
  <c r="OZ1515" i="10"/>
  <c r="OZ1517" i="10"/>
  <c r="OZ1519" i="10"/>
  <c r="OZ1520" i="10"/>
  <c r="OZ1522" i="10"/>
  <c r="OZ1523" i="10"/>
  <c r="OZ1524" i="10"/>
  <c r="OZ1525" i="10"/>
  <c r="OZ1526" i="10"/>
  <c r="OZ1528" i="10"/>
  <c r="OZ1521" i="10"/>
  <c r="OZ1527" i="10"/>
  <c r="OZ1529" i="10"/>
  <c r="OZ1530" i="10"/>
  <c r="OZ1533" i="10"/>
  <c r="OZ1532" i="10"/>
  <c r="OZ1531" i="10"/>
  <c r="WL1492" i="10"/>
  <c r="WL1491" i="10"/>
  <c r="WL1493" i="10"/>
  <c r="WL1494" i="10"/>
  <c r="WL1499" i="10"/>
  <c r="WL1496" i="10"/>
  <c r="WL1498" i="10"/>
  <c r="WL1501" i="10"/>
  <c r="WL1495" i="10"/>
  <c r="WL1500" i="10"/>
  <c r="WL1504" i="10"/>
  <c r="WL1503" i="10"/>
  <c r="WL1506" i="10"/>
  <c r="WL1508" i="10"/>
  <c r="WL1509" i="10"/>
  <c r="WL1502" i="10"/>
  <c r="WL1505" i="10"/>
  <c r="WL1497" i="10"/>
  <c r="WL1507" i="10"/>
  <c r="WL1510" i="10"/>
  <c r="QX1492" i="10"/>
  <c r="QX1491" i="10"/>
  <c r="QX1495" i="10"/>
  <c r="QX1497" i="10"/>
  <c r="QX1493" i="10"/>
  <c r="QX1496" i="10"/>
  <c r="QX1498" i="10"/>
  <c r="QX1501" i="10"/>
  <c r="QX1500" i="10"/>
  <c r="QX1502" i="10"/>
  <c r="QX1509" i="10"/>
  <c r="QX1494" i="10"/>
  <c r="QX1507" i="10"/>
  <c r="QX1499" i="10"/>
  <c r="QX1505" i="10"/>
  <c r="QX1504" i="10"/>
  <c r="QX1508" i="10"/>
  <c r="QX1506" i="10"/>
  <c r="QX1510" i="10"/>
  <c r="QX1503" i="10"/>
  <c r="SH1515" i="10"/>
  <c r="SH1516" i="10"/>
  <c r="SH1518" i="10"/>
  <c r="SH1514" i="10"/>
  <c r="SH1517" i="10"/>
  <c r="SH1519" i="10"/>
  <c r="SH1522" i="10"/>
  <c r="SH1523" i="10"/>
  <c r="SH1521" i="10"/>
  <c r="SH1524" i="10"/>
  <c r="SH1527" i="10"/>
  <c r="SH1528" i="10"/>
  <c r="SH1525" i="10"/>
  <c r="SH1532" i="10"/>
  <c r="SH1531" i="10"/>
  <c r="SH1526" i="10"/>
  <c r="SH1530" i="10"/>
  <c r="SH1529" i="10"/>
  <c r="SH1520" i="10"/>
  <c r="SH1533" i="10"/>
  <c r="XO1493" i="10"/>
  <c r="XO1492" i="10"/>
  <c r="XO1496" i="10"/>
  <c r="XO1498" i="10"/>
  <c r="XO1495" i="10"/>
  <c r="XO1497" i="10"/>
  <c r="XO1491" i="10"/>
  <c r="XO1494" i="10"/>
  <c r="XO1499" i="10"/>
  <c r="XO1501" i="10"/>
  <c r="XO1500" i="10"/>
  <c r="XO1507" i="10"/>
  <c r="XO1505" i="10"/>
  <c r="XO1503" i="10"/>
  <c r="XO1506" i="10"/>
  <c r="XO1502" i="10"/>
  <c r="XO1508" i="10"/>
  <c r="XO1504" i="10"/>
  <c r="XO1509" i="10"/>
  <c r="XO1510" i="10"/>
  <c r="OB1493" i="10"/>
  <c r="OB1492" i="10"/>
  <c r="OB1491" i="10"/>
  <c r="OB1495" i="10"/>
  <c r="OB1497" i="10"/>
  <c r="OB1496" i="10"/>
  <c r="OB1498" i="10"/>
  <c r="OB1500" i="10"/>
  <c r="OB1501" i="10"/>
  <c r="OB1494" i="10"/>
  <c r="OB1499" i="10"/>
  <c r="OB1509" i="10"/>
  <c r="OB1507" i="10"/>
  <c r="OB1505" i="10"/>
  <c r="OB1504" i="10"/>
  <c r="OB1508" i="10"/>
  <c r="OB1502" i="10"/>
  <c r="OB1506" i="10"/>
  <c r="OB1503" i="10"/>
  <c r="OB1510" i="10"/>
  <c r="WZ1492" i="10"/>
  <c r="WZ1491" i="10"/>
  <c r="WZ1493" i="10"/>
  <c r="WZ1494" i="10"/>
  <c r="WZ1500" i="10"/>
  <c r="WZ1495" i="10"/>
  <c r="WZ1498" i="10"/>
  <c r="WZ1497" i="10"/>
  <c r="WZ1496" i="10"/>
  <c r="WZ1501" i="10"/>
  <c r="WZ1499" i="10"/>
  <c r="WZ1505" i="10"/>
  <c r="WZ1502" i="10"/>
  <c r="WZ1504" i="10"/>
  <c r="WZ1503" i="10"/>
  <c r="WZ1506" i="10"/>
  <c r="WZ1508" i="10"/>
  <c r="WZ1509" i="10"/>
  <c r="WZ1507" i="10"/>
  <c r="WZ1510" i="10"/>
  <c r="KZ1500" i="10"/>
  <c r="KZ1495" i="10"/>
  <c r="KZ1496" i="10"/>
  <c r="KZ1492" i="10"/>
  <c r="KZ1497" i="10"/>
  <c r="KZ1503" i="10"/>
  <c r="KZ1506" i="10"/>
  <c r="KZ1493" i="10"/>
  <c r="KZ1494" i="10"/>
  <c r="KZ1499" i="10"/>
  <c r="KZ1502" i="10"/>
  <c r="KZ1491" i="10"/>
  <c r="KZ1505" i="10"/>
  <c r="KZ1498" i="10"/>
  <c r="KZ1501" i="10"/>
  <c r="KZ1504" i="10"/>
  <c r="KZ1508" i="10"/>
  <c r="KZ1509" i="10"/>
  <c r="KZ1507" i="10"/>
  <c r="KZ1510" i="10"/>
  <c r="ABO1526" i="10"/>
  <c r="ABO1533" i="10"/>
  <c r="ABO1522" i="10"/>
  <c r="ABO1532" i="10"/>
  <c r="ABO1528" i="10"/>
  <c r="ABO1524" i="10"/>
  <c r="ABO1529" i="10"/>
  <c r="ABO1518" i="10"/>
  <c r="ABO1531" i="10"/>
  <c r="ABO1516" i="10"/>
  <c r="ABO1523" i="10"/>
  <c r="ABO1530" i="10"/>
  <c r="ABO1515" i="10"/>
  <c r="ABO1525" i="10"/>
  <c r="ABO1527" i="10"/>
  <c r="ABO1514" i="10"/>
  <c r="ABO1520" i="10"/>
  <c r="ABO1517" i="10"/>
  <c r="ABO1519" i="10"/>
  <c r="ABO1521" i="10"/>
  <c r="DR1493" i="10"/>
  <c r="DR1492" i="10"/>
  <c r="DR1497" i="10"/>
  <c r="DR1499" i="10"/>
  <c r="DR1496" i="10"/>
  <c r="DR1498" i="10"/>
  <c r="DR1495" i="10"/>
  <c r="DR1491" i="10"/>
  <c r="DR1494" i="10"/>
  <c r="DR1500" i="10"/>
  <c r="DR1502" i="10"/>
  <c r="DR1501" i="10"/>
  <c r="DR1508" i="10"/>
  <c r="DR1506" i="10"/>
  <c r="DR1504" i="10"/>
  <c r="DR1507" i="10"/>
  <c r="DR1503" i="10"/>
  <c r="DR1509" i="10"/>
  <c r="DR1505" i="10"/>
  <c r="DR1510" i="10"/>
  <c r="UO1520" i="10"/>
  <c r="UO1522" i="10"/>
  <c r="UO1521" i="10"/>
  <c r="UO1528" i="10"/>
  <c r="UO1527" i="10"/>
  <c r="UO1530" i="10"/>
  <c r="UO1533" i="10"/>
  <c r="UO1532" i="10"/>
  <c r="UO1531" i="10"/>
  <c r="UO1526" i="10"/>
  <c r="UO1516" i="10"/>
  <c r="UO1515" i="10"/>
  <c r="UO1518" i="10"/>
  <c r="UO1514" i="10"/>
  <c r="UO1517" i="10"/>
  <c r="UO1524" i="10"/>
  <c r="UO1529" i="10"/>
  <c r="UO1519" i="10"/>
  <c r="UO1523" i="10"/>
  <c r="UO1525" i="10"/>
  <c r="AAC1491" i="10"/>
  <c r="AAC1493" i="10"/>
  <c r="AAC1492" i="10"/>
  <c r="AAC1494" i="10"/>
  <c r="AAC1499" i="10"/>
  <c r="AAC1495" i="10"/>
  <c r="AAC1498" i="10"/>
  <c r="AAC1497" i="10"/>
  <c r="AAC1496" i="10"/>
  <c r="AAC1500" i="10"/>
  <c r="AAC1501" i="10"/>
  <c r="AAC1505" i="10"/>
  <c r="AAC1504" i="10"/>
  <c r="AAC1503" i="10"/>
  <c r="AAC1506" i="10"/>
  <c r="AAC1502" i="10"/>
  <c r="AAC1508" i="10"/>
  <c r="AAC1507" i="10"/>
  <c r="AAC1510" i="10"/>
  <c r="AAC1509" i="10"/>
  <c r="GH1516" i="10"/>
  <c r="GH1518" i="10"/>
  <c r="GH1514" i="10"/>
  <c r="GH1515" i="10"/>
  <c r="GH1517" i="10"/>
  <c r="GH1519" i="10"/>
  <c r="GH1521" i="10"/>
  <c r="GH1522" i="10"/>
  <c r="GH1524" i="10"/>
  <c r="GH1525" i="10"/>
  <c r="GH1523" i="10"/>
  <c r="GH1529" i="10"/>
  <c r="GH1526" i="10"/>
  <c r="GH1520" i="10"/>
  <c r="GH1528" i="10"/>
  <c r="GH1527" i="10"/>
  <c r="GH1530" i="10"/>
  <c r="GH1531" i="10"/>
  <c r="GH1532" i="10"/>
  <c r="GH1533" i="10"/>
  <c r="RN1516" i="10"/>
  <c r="RN1517" i="10"/>
  <c r="RN1514" i="10"/>
  <c r="RN1515" i="10"/>
  <c r="RN1518" i="10"/>
  <c r="RN1519" i="10"/>
  <c r="RN1520" i="10"/>
  <c r="RN1524" i="10"/>
  <c r="RN1521" i="10"/>
  <c r="RN1522" i="10"/>
  <c r="RN1523" i="10"/>
  <c r="RN1525" i="10"/>
  <c r="RN1527" i="10"/>
  <c r="RN1528" i="10"/>
  <c r="RN1526" i="10"/>
  <c r="RN1530" i="10"/>
  <c r="RN1529" i="10"/>
  <c r="RN1531" i="10"/>
  <c r="RN1533" i="10"/>
  <c r="RN1532" i="10"/>
  <c r="ZA1491" i="10"/>
  <c r="ZA1493" i="10"/>
  <c r="ZA1492" i="10"/>
  <c r="ZA1494" i="10"/>
  <c r="ZA1499" i="10"/>
  <c r="ZA1496" i="10"/>
  <c r="ZA1498" i="10"/>
  <c r="ZA1497" i="10"/>
  <c r="ZA1495" i="10"/>
  <c r="ZA1500" i="10"/>
  <c r="ZA1501" i="10"/>
  <c r="ZA1502" i="10"/>
  <c r="ZA1505" i="10"/>
  <c r="ZA1504" i="10"/>
  <c r="ZA1503" i="10"/>
  <c r="ZA1506" i="10"/>
  <c r="ZA1508" i="10"/>
  <c r="ZA1507" i="10"/>
  <c r="ZA1510" i="10"/>
  <c r="ZA1509" i="10"/>
  <c r="TM1493" i="10"/>
  <c r="TM1492" i="10"/>
  <c r="TM1496" i="10"/>
  <c r="TM1498" i="10"/>
  <c r="TM1495" i="10"/>
  <c r="TM1497" i="10"/>
  <c r="TM1494" i="10"/>
  <c r="TM1499" i="10"/>
  <c r="TM1501" i="10"/>
  <c r="TM1491" i="10"/>
  <c r="TM1500" i="10"/>
  <c r="TM1502" i="10"/>
  <c r="TM1507" i="10"/>
  <c r="TM1505" i="10"/>
  <c r="TM1503" i="10"/>
  <c r="TM1506" i="10"/>
  <c r="TM1508" i="10"/>
  <c r="TM1510" i="10"/>
  <c r="TM1509" i="10"/>
  <c r="TM1504" i="10"/>
  <c r="ADU1492" i="10"/>
  <c r="ADU1496" i="10"/>
  <c r="ADU1498" i="10"/>
  <c r="ADU1495" i="10"/>
  <c r="ADU1497" i="10"/>
  <c r="ADU1491" i="10"/>
  <c r="ADU1494" i="10"/>
  <c r="ADU1493" i="10"/>
  <c r="ADU1499" i="10"/>
  <c r="ADU1501" i="10"/>
  <c r="ADU1507" i="10"/>
  <c r="ADU1505" i="10"/>
  <c r="ADU1503" i="10"/>
  <c r="ADU1506" i="10"/>
  <c r="ADU1500" i="10"/>
  <c r="ADU1502" i="10"/>
  <c r="ADU1508" i="10"/>
  <c r="ADU1509" i="10"/>
  <c r="ADU1510" i="10"/>
  <c r="ADU1504" i="10"/>
  <c r="GX1518" i="10"/>
  <c r="GX1516" i="10"/>
  <c r="GX1514" i="10"/>
  <c r="GX1519" i="10"/>
  <c r="GX1517" i="10"/>
  <c r="GX1515" i="10"/>
  <c r="GX1523" i="10"/>
  <c r="GX1520" i="10"/>
  <c r="GX1526" i="10"/>
  <c r="GX1527" i="10"/>
  <c r="GX1521" i="10"/>
  <c r="GX1525" i="10"/>
  <c r="GX1528" i="10"/>
  <c r="GX1524" i="10"/>
  <c r="GX1522" i="10"/>
  <c r="GX1533" i="10"/>
  <c r="GX1531" i="10"/>
  <c r="GX1532" i="10"/>
  <c r="GX1530" i="10"/>
  <c r="GX1529" i="10"/>
  <c r="SD1517" i="10"/>
  <c r="SD1515" i="10"/>
  <c r="SD1514" i="10"/>
  <c r="SD1518" i="10"/>
  <c r="SD1516" i="10"/>
  <c r="SD1519" i="10"/>
  <c r="SD1520" i="10"/>
  <c r="SD1522" i="10"/>
  <c r="SD1523" i="10"/>
  <c r="SD1521" i="10"/>
  <c r="SD1526" i="10"/>
  <c r="SD1525" i="10"/>
  <c r="SD1524" i="10"/>
  <c r="SD1527" i="10"/>
  <c r="SD1528" i="10"/>
  <c r="SD1530" i="10"/>
  <c r="SD1532" i="10"/>
  <c r="SD1531" i="10"/>
  <c r="SD1529" i="10"/>
  <c r="SD1533" i="10"/>
  <c r="ZP1493" i="10"/>
  <c r="ZP1492" i="10"/>
  <c r="ZP1496" i="10"/>
  <c r="ZP1498" i="10"/>
  <c r="ZP1495" i="10"/>
  <c r="ZP1497" i="10"/>
  <c r="ZP1491" i="10"/>
  <c r="ZP1494" i="10"/>
  <c r="ZP1499" i="10"/>
  <c r="ZP1501" i="10"/>
  <c r="ZP1507" i="10"/>
  <c r="ZP1500" i="10"/>
  <c r="ZP1505" i="10"/>
  <c r="ZP1502" i="10"/>
  <c r="ZP1503" i="10"/>
  <c r="ZP1506" i="10"/>
  <c r="ZP1508" i="10"/>
  <c r="ZP1504" i="10"/>
  <c r="ZP1510" i="10"/>
  <c r="ZP1509" i="10"/>
  <c r="NA1514" i="10"/>
  <c r="NA1515" i="10"/>
  <c r="NA1518" i="10"/>
  <c r="NA1517" i="10"/>
  <c r="NA1516" i="10"/>
  <c r="NA1520" i="10"/>
  <c r="NA1521" i="10"/>
  <c r="NA1519" i="10"/>
  <c r="NA1525" i="10"/>
  <c r="NA1522" i="10"/>
  <c r="NA1523" i="10"/>
  <c r="NA1524" i="10"/>
  <c r="NA1528" i="10"/>
  <c r="NA1530" i="10"/>
  <c r="NA1529" i="10"/>
  <c r="NA1527" i="10"/>
  <c r="NA1531" i="10"/>
  <c r="NA1532" i="10"/>
  <c r="NA1526" i="10"/>
  <c r="NA1533" i="10"/>
  <c r="UN1492" i="10"/>
  <c r="UN1491" i="10"/>
  <c r="UN1493" i="10"/>
  <c r="UN1494" i="10"/>
  <c r="UN1500" i="10"/>
  <c r="UN1495" i="10"/>
  <c r="UN1497" i="10"/>
  <c r="UN1501" i="10"/>
  <c r="UN1496" i="10"/>
  <c r="UN1499" i="10"/>
  <c r="UN1498" i="10"/>
  <c r="UN1505" i="10"/>
  <c r="UN1502" i="10"/>
  <c r="UN1504" i="10"/>
  <c r="UN1503" i="10"/>
  <c r="UN1506" i="10"/>
  <c r="UN1508" i="10"/>
  <c r="UN1509" i="10"/>
  <c r="UN1507" i="10"/>
  <c r="UN1510" i="10"/>
  <c r="HY1491" i="10"/>
  <c r="HY1492" i="10"/>
  <c r="HY1494" i="10"/>
  <c r="HY1499" i="10"/>
  <c r="HY1496" i="10"/>
  <c r="HY1498" i="10"/>
  <c r="HY1493" i="10"/>
  <c r="HY1495" i="10"/>
  <c r="HY1497" i="10"/>
  <c r="HY1500" i="10"/>
  <c r="HY1502" i="10"/>
  <c r="HY1501" i="10"/>
  <c r="HY1503" i="10"/>
  <c r="HY1508" i="10"/>
  <c r="HY1506" i="10"/>
  <c r="HY1507" i="10"/>
  <c r="HY1505" i="10"/>
  <c r="HY1504" i="10"/>
  <c r="HY1510" i="10"/>
  <c r="HY1509" i="10"/>
  <c r="ADP1517" i="10"/>
  <c r="ADP1527" i="10"/>
  <c r="ADP1518" i="10"/>
  <c r="ADP1520" i="10"/>
  <c r="ADP1529" i="10"/>
  <c r="ADP1514" i="10"/>
  <c r="ADP1523" i="10"/>
  <c r="ADP1533" i="10"/>
  <c r="ADP1530" i="10"/>
  <c r="ADP1516" i="10"/>
  <c r="ADP1528" i="10"/>
  <c r="ADP1522" i="10"/>
  <c r="ADP1532" i="10"/>
  <c r="ADP1515" i="10"/>
  <c r="ADP1525" i="10"/>
  <c r="ADP1531" i="10"/>
  <c r="ADP1519" i="10"/>
  <c r="ADP1521" i="10"/>
  <c r="ADP1524" i="10"/>
  <c r="ADP1526" i="10"/>
  <c r="CK1493" i="10"/>
  <c r="CK1492" i="10"/>
  <c r="CK1491" i="10"/>
  <c r="CK1494" i="10"/>
  <c r="CK1496" i="10"/>
  <c r="CK1495" i="10"/>
  <c r="CK1498" i="10"/>
  <c r="CK1499" i="10"/>
  <c r="CK1502" i="10"/>
  <c r="CK1497" i="10"/>
  <c r="CK1501" i="10"/>
  <c r="CK1506" i="10"/>
  <c r="CK1505" i="10"/>
  <c r="CK1504" i="10"/>
  <c r="CK1507" i="10"/>
  <c r="CK1500" i="10"/>
  <c r="CK1503" i="10"/>
  <c r="CK1509" i="10"/>
  <c r="CK1508" i="10"/>
  <c r="CK1510" i="10"/>
  <c r="YX1514" i="10"/>
  <c r="YX1515" i="10"/>
  <c r="YX1517" i="10"/>
  <c r="YX1519" i="10"/>
  <c r="YX1522" i="10"/>
  <c r="YX1524" i="10"/>
  <c r="YX1516" i="10"/>
  <c r="YX1518" i="10"/>
  <c r="YX1520" i="10"/>
  <c r="YX1523" i="10"/>
  <c r="YX1521" i="10"/>
  <c r="YX1527" i="10"/>
  <c r="YX1525" i="10"/>
  <c r="YX1528" i="10"/>
  <c r="YX1530" i="10"/>
  <c r="YX1532" i="10"/>
  <c r="YX1526" i="10"/>
  <c r="YX1529" i="10"/>
  <c r="YX1531" i="10"/>
  <c r="YX1533" i="10"/>
  <c r="AEX1493" i="10"/>
  <c r="AEX1496" i="10"/>
  <c r="AEX1498" i="10"/>
  <c r="AEX1495" i="10"/>
  <c r="AEX1497" i="10"/>
  <c r="AEX1492" i="10"/>
  <c r="AEX1491" i="10"/>
  <c r="AEX1494" i="10"/>
  <c r="AEX1501" i="10"/>
  <c r="AEX1508" i="10"/>
  <c r="AEX1509" i="10"/>
  <c r="AEX1502" i="10"/>
  <c r="AEX1507" i="10"/>
  <c r="AEX1499" i="10"/>
  <c r="AEX1500" i="10"/>
  <c r="AEX1504" i="10"/>
  <c r="AEX1503" i="10"/>
  <c r="AEX1506" i="10"/>
  <c r="AEX1505" i="10"/>
  <c r="AEX1510" i="10"/>
  <c r="AAZ1515" i="10"/>
  <c r="AAZ1519" i="10"/>
  <c r="AAZ1517" i="10"/>
  <c r="AAZ1523" i="10"/>
  <c r="AAZ1521" i="10"/>
  <c r="AAZ1520" i="10"/>
  <c r="AAZ1524" i="10"/>
  <c r="AAZ1526" i="10"/>
  <c r="AAZ1527" i="10"/>
  <c r="AAZ1522" i="10"/>
  <c r="AAZ1528" i="10"/>
  <c r="AAZ1530" i="10"/>
  <c r="AAZ1532" i="10"/>
  <c r="AAZ1525" i="10"/>
  <c r="AAZ1531" i="10"/>
  <c r="AAZ1529" i="10"/>
  <c r="AAZ1533" i="10"/>
  <c r="AAZ1514" i="10"/>
  <c r="AAZ1518" i="10"/>
  <c r="AAZ1516" i="10"/>
  <c r="AEY1491" i="10"/>
  <c r="AEY1494" i="10"/>
  <c r="AEY1493" i="10"/>
  <c r="AEY1496" i="10"/>
  <c r="AEY1498" i="10"/>
  <c r="AEY1495" i="10"/>
  <c r="AEY1497" i="10"/>
  <c r="AEY1501" i="10"/>
  <c r="AEY1499" i="10"/>
  <c r="AEY1500" i="10"/>
  <c r="AEY1492" i="10"/>
  <c r="AEY1503" i="10"/>
  <c r="AEY1506" i="10"/>
  <c r="AEY1502" i="10"/>
  <c r="AEY1507" i="10"/>
  <c r="AEY1505" i="10"/>
  <c r="AEY1504" i="10"/>
  <c r="AEY1509" i="10"/>
  <c r="AEY1508" i="10"/>
  <c r="AEY1510" i="10"/>
  <c r="AGC1514" i="10"/>
  <c r="AGC1524" i="10"/>
  <c r="AGC1522" i="10"/>
  <c r="AGC1520" i="10"/>
  <c r="AGC1526" i="10"/>
  <c r="AGC1523" i="10"/>
  <c r="AGC1525" i="10"/>
  <c r="AGC1527" i="10"/>
  <c r="AGC1528" i="10"/>
  <c r="AGC1530" i="10"/>
  <c r="AGC1529" i="10"/>
  <c r="AGC1531" i="10"/>
  <c r="AGC1532" i="10"/>
  <c r="AGC1533" i="10"/>
  <c r="AGC1516" i="10"/>
  <c r="AGC1517" i="10"/>
  <c r="AGC1518" i="10"/>
  <c r="AGC1521" i="10"/>
  <c r="AGC1515" i="10"/>
  <c r="AGC1519" i="10"/>
  <c r="EF1491" i="10"/>
  <c r="EF1493" i="10"/>
  <c r="EF1492" i="10"/>
  <c r="EF1494" i="10"/>
  <c r="EF1499" i="10"/>
  <c r="EF1498" i="10"/>
  <c r="EF1495" i="10"/>
  <c r="EF1497" i="10"/>
  <c r="EF1500" i="10"/>
  <c r="EF1496" i="10"/>
  <c r="EF1501" i="10"/>
  <c r="EF1505" i="10"/>
  <c r="EF1506" i="10"/>
  <c r="EF1504" i="10"/>
  <c r="EF1503" i="10"/>
  <c r="EF1507" i="10"/>
  <c r="EF1509" i="10"/>
  <c r="EF1502" i="10"/>
  <c r="EF1508" i="10"/>
  <c r="EF1510" i="10"/>
  <c r="AL1517" i="10"/>
  <c r="AL1514" i="10"/>
  <c r="AL1515" i="10"/>
  <c r="AL1519" i="10"/>
  <c r="AL1516" i="10"/>
  <c r="AL1520" i="10"/>
  <c r="AL1518" i="10"/>
  <c r="AL1523" i="10"/>
  <c r="AL1521" i="10"/>
  <c r="AL1522" i="10"/>
  <c r="AL1524" i="10"/>
  <c r="AL1526" i="10"/>
  <c r="AL1527" i="10"/>
  <c r="AL1528" i="10"/>
  <c r="AL1525" i="10"/>
  <c r="AL1533" i="10"/>
  <c r="AL1530" i="10"/>
  <c r="AL1529" i="10"/>
  <c r="AL1532" i="10"/>
  <c r="AL1531" i="10"/>
  <c r="IW1515" i="10"/>
  <c r="IW1514" i="10"/>
  <c r="IW1519" i="10"/>
  <c r="IW1518" i="10"/>
  <c r="IW1517" i="10"/>
  <c r="IW1516" i="10"/>
  <c r="IW1521" i="10"/>
  <c r="IW1522" i="10"/>
  <c r="IW1524" i="10"/>
  <c r="IW1525" i="10"/>
  <c r="IW1520" i="10"/>
  <c r="IW1526" i="10"/>
  <c r="IW1528" i="10"/>
  <c r="IW1523" i="10"/>
  <c r="IW1527" i="10"/>
  <c r="IW1529" i="10"/>
  <c r="IW1531" i="10"/>
  <c r="IW1532" i="10"/>
  <c r="IW1530" i="10"/>
  <c r="IW1533" i="10"/>
  <c r="OM1503" i="10"/>
  <c r="OM1502" i="10"/>
  <c r="OM1504" i="10"/>
  <c r="OM1493" i="10"/>
  <c r="OM1505" i="10"/>
  <c r="OM1496" i="10"/>
  <c r="OM1509" i="10"/>
  <c r="OM1510" i="10"/>
  <c r="OM1491" i="10"/>
  <c r="OM1501" i="10"/>
  <c r="OM1508" i="10"/>
  <c r="OM1499" i="10"/>
  <c r="OM1507" i="10"/>
  <c r="OM1495" i="10"/>
  <c r="OM1500" i="10"/>
  <c r="OM1498" i="10"/>
  <c r="OM1506" i="10"/>
  <c r="OM1497" i="10"/>
  <c r="OM1492" i="10"/>
  <c r="OM1494" i="10"/>
  <c r="BO1516" i="10"/>
  <c r="BO1518" i="10"/>
  <c r="BO1517" i="10"/>
  <c r="BO1515" i="10"/>
  <c r="BO1519" i="10"/>
  <c r="BO1514" i="10"/>
  <c r="BO1525" i="10"/>
  <c r="BO1520" i="10"/>
  <c r="BO1524" i="10"/>
  <c r="BO1526" i="10"/>
  <c r="BO1523" i="10"/>
  <c r="BO1529" i="10"/>
  <c r="BO1521" i="10"/>
  <c r="BO1522" i="10"/>
  <c r="BO1527" i="10"/>
  <c r="BO1532" i="10"/>
  <c r="BO1528" i="10"/>
  <c r="BO1531" i="10"/>
  <c r="BO1530" i="10"/>
  <c r="BO1533" i="10"/>
  <c r="YC1514" i="10"/>
  <c r="YC1516" i="10"/>
  <c r="YC1515" i="10"/>
  <c r="YC1517" i="10"/>
  <c r="YC1518" i="10"/>
  <c r="YC1520" i="10"/>
  <c r="YC1522" i="10"/>
  <c r="YC1524" i="10"/>
  <c r="YC1519" i="10"/>
  <c r="YC1521" i="10"/>
  <c r="YC1523" i="10"/>
  <c r="YC1526" i="10"/>
  <c r="YC1527" i="10"/>
  <c r="YC1528" i="10"/>
  <c r="YC1529" i="10"/>
  <c r="YC1530" i="10"/>
  <c r="YC1531" i="10"/>
  <c r="YC1532" i="10"/>
  <c r="YC1525" i="10"/>
  <c r="YC1533" i="10"/>
  <c r="Q1493" i="10"/>
  <c r="Q1492" i="10"/>
  <c r="Q1496" i="10"/>
  <c r="Q1498" i="10"/>
  <c r="Q1491" i="10"/>
  <c r="Q1495" i="10"/>
  <c r="Q1494" i="10"/>
  <c r="Q1497" i="10"/>
  <c r="Q1499" i="10"/>
  <c r="Q1502" i="10"/>
  <c r="Q1500" i="10"/>
  <c r="Q1501" i="10"/>
  <c r="Q1508" i="10"/>
  <c r="Q1506" i="10"/>
  <c r="Q1505" i="10"/>
  <c r="Q1503" i="10"/>
  <c r="Q1509" i="10"/>
  <c r="Q1504" i="10"/>
  <c r="Q1510" i="10"/>
  <c r="Q1507" i="10"/>
  <c r="WE1521" i="10"/>
  <c r="WE1528" i="10"/>
  <c r="WE1526" i="10"/>
  <c r="WE1529" i="10"/>
  <c r="WE1524" i="10"/>
  <c r="WE1532" i="10"/>
  <c r="WE1523" i="10"/>
  <c r="WE1533" i="10"/>
  <c r="WE1515" i="10"/>
  <c r="WE1525" i="10"/>
  <c r="WE1514" i="10"/>
  <c r="WE1518" i="10"/>
  <c r="WE1519" i="10"/>
  <c r="WE1531" i="10"/>
  <c r="WE1530" i="10"/>
  <c r="WE1520" i="10"/>
  <c r="WE1522" i="10"/>
  <c r="WE1516" i="10"/>
  <c r="WE1517" i="10"/>
  <c r="WE1527" i="10"/>
  <c r="ADD1493" i="10"/>
  <c r="ADD1492" i="10"/>
  <c r="ADD1496" i="10"/>
  <c r="ADD1498" i="10"/>
  <c r="ADD1495" i="10"/>
  <c r="ADD1497" i="10"/>
  <c r="ADD1491" i="10"/>
  <c r="ADD1494" i="10"/>
  <c r="ADD1500" i="10"/>
  <c r="ADD1501" i="10"/>
  <c r="ADD1499" i="10"/>
  <c r="ADD1508" i="10"/>
  <c r="ADD1509" i="10"/>
  <c r="ADD1507" i="10"/>
  <c r="ADD1502" i="10"/>
  <c r="ADD1504" i="10"/>
  <c r="ADD1503" i="10"/>
  <c r="ADD1506" i="10"/>
  <c r="ADD1510" i="10"/>
  <c r="ADD1505" i="10"/>
  <c r="FK1516" i="10"/>
  <c r="FK1524" i="10"/>
  <c r="FK1523" i="10"/>
  <c r="FK1527" i="10"/>
  <c r="FK1533" i="10"/>
  <c r="FK1532" i="10"/>
  <c r="FK1528" i="10"/>
  <c r="FK1531" i="10"/>
  <c r="FK1521" i="10"/>
  <c r="FK1519" i="10"/>
  <c r="FK1520" i="10"/>
  <c r="FK1517" i="10"/>
  <c r="FK1522" i="10"/>
  <c r="FK1526" i="10"/>
  <c r="FK1515" i="10"/>
  <c r="FK1525" i="10"/>
  <c r="FK1530" i="10"/>
  <c r="FK1514" i="10"/>
  <c r="FK1529" i="10"/>
  <c r="FK1518" i="10"/>
  <c r="QQ1515" i="10"/>
  <c r="QQ1514" i="10"/>
  <c r="QQ1517" i="10"/>
  <c r="QQ1518" i="10"/>
  <c r="QQ1516" i="10"/>
  <c r="QQ1522" i="10"/>
  <c r="QQ1520" i="10"/>
  <c r="QQ1524" i="10"/>
  <c r="QQ1521" i="10"/>
  <c r="QQ1519" i="10"/>
  <c r="QQ1528" i="10"/>
  <c r="QQ1526" i="10"/>
  <c r="QQ1527" i="10"/>
  <c r="QQ1523" i="10"/>
  <c r="QQ1525" i="10"/>
  <c r="QQ1530" i="10"/>
  <c r="QQ1531" i="10"/>
  <c r="QQ1532" i="10"/>
  <c r="QQ1533" i="10"/>
  <c r="QQ1529" i="10"/>
  <c r="YE1491" i="10"/>
  <c r="YE1493" i="10"/>
  <c r="YE1492" i="10"/>
  <c r="YE1494" i="10"/>
  <c r="YE1499" i="10"/>
  <c r="YE1500" i="10"/>
  <c r="YE1498" i="10"/>
  <c r="YE1497" i="10"/>
  <c r="YE1496" i="10"/>
  <c r="YE1505" i="10"/>
  <c r="YE1504" i="10"/>
  <c r="YE1503" i="10"/>
  <c r="YE1506" i="10"/>
  <c r="YE1508" i="10"/>
  <c r="YE1495" i="10"/>
  <c r="YE1507" i="10"/>
  <c r="YE1510" i="10"/>
  <c r="YE1501" i="10"/>
  <c r="YE1502" i="10"/>
  <c r="YE1509" i="10"/>
  <c r="TA1493" i="10"/>
  <c r="TA1492" i="10"/>
  <c r="TA1496" i="10"/>
  <c r="TA1498" i="10"/>
  <c r="TA1495" i="10"/>
  <c r="TA1497" i="10"/>
  <c r="TA1491" i="10"/>
  <c r="TA1494" i="10"/>
  <c r="TA1499" i="10"/>
  <c r="TA1500" i="10"/>
  <c r="TA1501" i="10"/>
  <c r="TA1502" i="10"/>
  <c r="TA1507" i="10"/>
  <c r="TA1505" i="10"/>
  <c r="TA1503" i="10"/>
  <c r="TA1506" i="10"/>
  <c r="TA1508" i="10"/>
  <c r="TA1509" i="10"/>
  <c r="TA1510" i="10"/>
  <c r="TA1504" i="10"/>
  <c r="ZF1520" i="10"/>
  <c r="ZF1528" i="10"/>
  <c r="ZF1531" i="10"/>
  <c r="ZF1527" i="10"/>
  <c r="ZF1529" i="10"/>
  <c r="ZF1530" i="10"/>
  <c r="ZF1533" i="10"/>
  <c r="ZF1532" i="10"/>
  <c r="ZF1519" i="10"/>
  <c r="ZF1525" i="10"/>
  <c r="ZF1523" i="10"/>
  <c r="ZF1526" i="10"/>
  <c r="ZF1518" i="10"/>
  <c r="ZF1517" i="10"/>
  <c r="ZF1516" i="10"/>
  <c r="ZF1522" i="10"/>
  <c r="ZF1514" i="10"/>
  <c r="ZF1524" i="10"/>
  <c r="ZF1515" i="10"/>
  <c r="ZF1521" i="10"/>
  <c r="BJ1514" i="10"/>
  <c r="BJ1515" i="10"/>
  <c r="BJ1517" i="10"/>
  <c r="BJ1519" i="10"/>
  <c r="BJ1516" i="10"/>
  <c r="BJ1518" i="10"/>
  <c r="BJ1520" i="10"/>
  <c r="BJ1521" i="10"/>
  <c r="BJ1522" i="10"/>
  <c r="BJ1524" i="10"/>
  <c r="BJ1523" i="10"/>
  <c r="BJ1526" i="10"/>
  <c r="BJ1527" i="10"/>
  <c r="BJ1528" i="10"/>
  <c r="BJ1530" i="10"/>
  <c r="BJ1532" i="10"/>
  <c r="BJ1525" i="10"/>
  <c r="BJ1531" i="10"/>
  <c r="BJ1529" i="10"/>
  <c r="BJ1533" i="10"/>
  <c r="MP1516" i="10"/>
  <c r="MP1514" i="10"/>
  <c r="MP1515" i="10"/>
  <c r="MP1517" i="10"/>
  <c r="MP1519" i="10"/>
  <c r="MP1521" i="10"/>
  <c r="MP1525" i="10"/>
  <c r="MP1518" i="10"/>
  <c r="MP1524" i="10"/>
  <c r="MP1520" i="10"/>
  <c r="MP1526" i="10"/>
  <c r="MP1528" i="10"/>
  <c r="MP1530" i="10"/>
  <c r="MP1522" i="10"/>
  <c r="MP1533" i="10"/>
  <c r="MP1523" i="10"/>
  <c r="MP1531" i="10"/>
  <c r="MP1532" i="10"/>
  <c r="MP1527" i="10"/>
  <c r="MP1529" i="10"/>
  <c r="UC1491" i="10"/>
  <c r="UC1493" i="10"/>
  <c r="UC1492" i="10"/>
  <c r="UC1494" i="10"/>
  <c r="UC1499" i="10"/>
  <c r="UC1498" i="10"/>
  <c r="UC1500" i="10"/>
  <c r="UC1497" i="10"/>
  <c r="UC1496" i="10"/>
  <c r="UC1495" i="10"/>
  <c r="UC1501" i="10"/>
  <c r="UC1502" i="10"/>
  <c r="UC1505" i="10"/>
  <c r="UC1504" i="10"/>
  <c r="UC1503" i="10"/>
  <c r="UC1506" i="10"/>
  <c r="UC1508" i="10"/>
  <c r="UC1507" i="10"/>
  <c r="UC1510" i="10"/>
  <c r="UC1509" i="10"/>
  <c r="AEF1493" i="10"/>
  <c r="AEF1491" i="10"/>
  <c r="AEF1496" i="10"/>
  <c r="AEF1498" i="10"/>
  <c r="AEF1495" i="10"/>
  <c r="AEF1497" i="10"/>
  <c r="AEF1492" i="10"/>
  <c r="AEF1494" i="10"/>
  <c r="AEF1499" i="10"/>
  <c r="AEF1508" i="10"/>
  <c r="AEF1500" i="10"/>
  <c r="AEF1502" i="10"/>
  <c r="AEF1509" i="10"/>
  <c r="AEF1507" i="10"/>
  <c r="AEF1504" i="10"/>
  <c r="AEF1503" i="10"/>
  <c r="AEF1506" i="10"/>
  <c r="AEF1505" i="10"/>
  <c r="AEF1510" i="10"/>
  <c r="AEF1501" i="10"/>
  <c r="HB1514" i="10"/>
  <c r="HB1515" i="10"/>
  <c r="HB1517" i="10"/>
  <c r="HB1516" i="10"/>
  <c r="HB1518" i="10"/>
  <c r="HB1519" i="10"/>
  <c r="HB1520" i="10"/>
  <c r="HB1523" i="10"/>
  <c r="HB1521" i="10"/>
  <c r="HB1522" i="10"/>
  <c r="HB1524" i="10"/>
  <c r="HB1525" i="10"/>
  <c r="HB1527" i="10"/>
  <c r="HB1528" i="10"/>
  <c r="HB1526" i="10"/>
  <c r="HB1531" i="10"/>
  <c r="HB1532" i="10"/>
  <c r="HB1529" i="10"/>
  <c r="HB1530" i="10"/>
  <c r="HB1533" i="10"/>
  <c r="OQ1491" i="10"/>
  <c r="OQ1494" i="10"/>
  <c r="OQ1493" i="10"/>
  <c r="OQ1496" i="10"/>
  <c r="OQ1498" i="10"/>
  <c r="OQ1495" i="10"/>
  <c r="OQ1497" i="10"/>
  <c r="OQ1492" i="10"/>
  <c r="OQ1499" i="10"/>
  <c r="OQ1500" i="10"/>
  <c r="OQ1503" i="10"/>
  <c r="OQ1506" i="10"/>
  <c r="OQ1508" i="10"/>
  <c r="OQ1509" i="10"/>
  <c r="OQ1502" i="10"/>
  <c r="OQ1507" i="10"/>
  <c r="OQ1505" i="10"/>
  <c r="OQ1504" i="10"/>
  <c r="OQ1501" i="10"/>
  <c r="OQ1510" i="10"/>
  <c r="ABK1519" i="10"/>
  <c r="ABK1520" i="10"/>
  <c r="ABK1529" i="10"/>
  <c r="ABK1527" i="10"/>
  <c r="ABK1532" i="10"/>
  <c r="ABK1533" i="10"/>
  <c r="ABK1524" i="10"/>
  <c r="ABK1526" i="10"/>
  <c r="ABK1514" i="10"/>
  <c r="ABK1523" i="10"/>
  <c r="ABK1515" i="10"/>
  <c r="ABK1525" i="10"/>
  <c r="ABK1521" i="10"/>
  <c r="ABK1528" i="10"/>
  <c r="ABK1517" i="10"/>
  <c r="ABK1530" i="10"/>
  <c r="ABK1522" i="10"/>
  <c r="ABK1516" i="10"/>
  <c r="ABK1518" i="10"/>
  <c r="ABK1531" i="10"/>
  <c r="RY1514" i="10"/>
  <c r="RY1515" i="10"/>
  <c r="RY1516" i="10"/>
  <c r="RY1519" i="10"/>
  <c r="RY1520" i="10"/>
  <c r="RY1521" i="10"/>
  <c r="RY1524" i="10"/>
  <c r="RY1518" i="10"/>
  <c r="RY1522" i="10"/>
  <c r="RY1523" i="10"/>
  <c r="RY1526" i="10"/>
  <c r="RY1525" i="10"/>
  <c r="RY1530" i="10"/>
  <c r="RY1529" i="10"/>
  <c r="RY1517" i="10"/>
  <c r="RY1532" i="10"/>
  <c r="RY1527" i="10"/>
  <c r="RY1528" i="10"/>
  <c r="RY1531" i="10"/>
  <c r="RY1533" i="10"/>
  <c r="XM1492" i="10"/>
  <c r="XM1491" i="10"/>
  <c r="XM1493" i="10"/>
  <c r="XM1494" i="10"/>
  <c r="XM1496" i="10"/>
  <c r="XM1495" i="10"/>
  <c r="XM1497" i="10"/>
  <c r="XM1499" i="10"/>
  <c r="XM1501" i="10"/>
  <c r="XM1507" i="10"/>
  <c r="XM1505" i="10"/>
  <c r="XM1500" i="10"/>
  <c r="XM1504" i="10"/>
  <c r="XM1503" i="10"/>
  <c r="XM1506" i="10"/>
  <c r="XM1498" i="10"/>
  <c r="XM1509" i="10"/>
  <c r="XM1508" i="10"/>
  <c r="XM1510" i="10"/>
  <c r="XM1502" i="10"/>
  <c r="NS1493" i="10"/>
  <c r="NS1492" i="10"/>
  <c r="NS1496" i="10"/>
  <c r="NS1498" i="10"/>
  <c r="NS1495" i="10"/>
  <c r="NS1497" i="10"/>
  <c r="NS1491" i="10"/>
  <c r="NS1494" i="10"/>
  <c r="NS1499" i="10"/>
  <c r="NS1501" i="10"/>
  <c r="NS1500" i="10"/>
  <c r="NS1507" i="10"/>
  <c r="NS1505" i="10"/>
  <c r="NS1503" i="10"/>
  <c r="NS1506" i="10"/>
  <c r="NS1502" i="10"/>
  <c r="NS1508" i="10"/>
  <c r="NS1504" i="10"/>
  <c r="NS1510" i="10"/>
  <c r="NS1509" i="10"/>
  <c r="CJ1518" i="10"/>
  <c r="CJ1516" i="10"/>
  <c r="CJ1515" i="10"/>
  <c r="CJ1514" i="10"/>
  <c r="CJ1517" i="10"/>
  <c r="CJ1519" i="10"/>
  <c r="CJ1522" i="10"/>
  <c r="CJ1524" i="10"/>
  <c r="CJ1525" i="10"/>
  <c r="CJ1520" i="10"/>
  <c r="CJ1521" i="10"/>
  <c r="CJ1529" i="10"/>
  <c r="CJ1531" i="10"/>
  <c r="CJ1523" i="10"/>
  <c r="CJ1527" i="10"/>
  <c r="CJ1526" i="10"/>
  <c r="CJ1530" i="10"/>
  <c r="CJ1532" i="10"/>
  <c r="CJ1533" i="10"/>
  <c r="CJ1528" i="10"/>
  <c r="OW1520" i="10"/>
  <c r="OW1523" i="10"/>
  <c r="OW1529" i="10"/>
  <c r="OW1531" i="10"/>
  <c r="OW1533" i="10"/>
  <c r="OW1530" i="10"/>
  <c r="OW1516" i="10"/>
  <c r="OW1518" i="10"/>
  <c r="OW1515" i="10"/>
  <c r="OW1524" i="10"/>
  <c r="OW1532" i="10"/>
  <c r="OW1519" i="10"/>
  <c r="OW1517" i="10"/>
  <c r="OW1521" i="10"/>
  <c r="OW1522" i="10"/>
  <c r="OW1526" i="10"/>
  <c r="OW1528" i="10"/>
  <c r="OW1514" i="10"/>
  <c r="OW1527" i="10"/>
  <c r="OW1525" i="10"/>
  <c r="UM1491" i="10"/>
  <c r="UM1493" i="10"/>
  <c r="UM1492" i="10"/>
  <c r="UM1494" i="10"/>
  <c r="UM1499" i="10"/>
  <c r="UM1496" i="10"/>
  <c r="UM1495" i="10"/>
  <c r="UM1498" i="10"/>
  <c r="UM1497" i="10"/>
  <c r="UM1501" i="10"/>
  <c r="UM1505" i="10"/>
  <c r="UM1502" i="10"/>
  <c r="UM1504" i="10"/>
  <c r="UM1503" i="10"/>
  <c r="UM1506" i="10"/>
  <c r="UM1508" i="10"/>
  <c r="UM1507" i="10"/>
  <c r="UM1500" i="10"/>
  <c r="UM1510" i="10"/>
  <c r="UM1509" i="10"/>
  <c r="HO1523" i="10"/>
  <c r="HO1516" i="10"/>
  <c r="HO1527" i="10"/>
  <c r="HO1514" i="10"/>
  <c r="HO1529" i="10"/>
  <c r="HO1518" i="10"/>
  <c r="HO1531" i="10"/>
  <c r="HO1521" i="10"/>
  <c r="HO1533" i="10"/>
  <c r="HO1520" i="10"/>
  <c r="HO1525" i="10"/>
  <c r="HO1524" i="10"/>
  <c r="HO1526" i="10"/>
  <c r="HO1530" i="10"/>
  <c r="HO1522" i="10"/>
  <c r="HO1519" i="10"/>
  <c r="HO1532" i="10"/>
  <c r="HO1515" i="10"/>
  <c r="HO1517" i="10"/>
  <c r="HO1528" i="10"/>
  <c r="NE1493" i="10"/>
  <c r="NE1492" i="10"/>
  <c r="NE1491" i="10"/>
  <c r="NE1494" i="10"/>
  <c r="NE1496" i="10"/>
  <c r="NE1495" i="10"/>
  <c r="NE1497" i="10"/>
  <c r="NE1498" i="10"/>
  <c r="NE1499" i="10"/>
  <c r="NE1507" i="10"/>
  <c r="NE1505" i="10"/>
  <c r="NE1502" i="10"/>
  <c r="NE1504" i="10"/>
  <c r="NE1503" i="10"/>
  <c r="NE1506" i="10"/>
  <c r="NE1500" i="10"/>
  <c r="NE1501" i="10"/>
  <c r="NE1509" i="10"/>
  <c r="NE1508" i="10"/>
  <c r="NE1510" i="10"/>
  <c r="HR1492" i="10"/>
  <c r="HR1491" i="10"/>
  <c r="HR1493" i="10"/>
  <c r="HR1494" i="10"/>
  <c r="HR1500" i="10"/>
  <c r="HR1495" i="10"/>
  <c r="HR1497" i="10"/>
  <c r="HR1501" i="10"/>
  <c r="HR1496" i="10"/>
  <c r="HR1499" i="10"/>
  <c r="HR1505" i="10"/>
  <c r="HR1504" i="10"/>
  <c r="HR1503" i="10"/>
  <c r="HR1506" i="10"/>
  <c r="HR1508" i="10"/>
  <c r="HR1498" i="10"/>
  <c r="HR1502" i="10"/>
  <c r="HR1507" i="10"/>
  <c r="HR1509" i="10"/>
  <c r="HR1510" i="10"/>
  <c r="ADL1517" i="10"/>
  <c r="ADL1521" i="10"/>
  <c r="ADL1524" i="10"/>
  <c r="ADL1523" i="10"/>
  <c r="ADL1526" i="10"/>
  <c r="ADL1525" i="10"/>
  <c r="ADL1528" i="10"/>
  <c r="ADL1531" i="10"/>
  <c r="ADL1527" i="10"/>
  <c r="ADL1529" i="10"/>
  <c r="ADL1530" i="10"/>
  <c r="ADL1532" i="10"/>
  <c r="ADL1533" i="10"/>
  <c r="ADL1518" i="10"/>
  <c r="ADL1519" i="10"/>
  <c r="ADL1522" i="10"/>
  <c r="ADL1516" i="10"/>
  <c r="ADL1515" i="10"/>
  <c r="ADL1520" i="10"/>
  <c r="ADL1514" i="10"/>
  <c r="CC1493" i="10"/>
  <c r="CC1492" i="10"/>
  <c r="CC1491" i="10"/>
  <c r="CC1495" i="10"/>
  <c r="CC1497" i="10"/>
  <c r="CC1496" i="10"/>
  <c r="CC1498" i="10"/>
  <c r="CC1494" i="10"/>
  <c r="CC1501" i="10"/>
  <c r="CC1500" i="10"/>
  <c r="CC1499" i="10"/>
  <c r="CC1502" i="10"/>
  <c r="CC1508" i="10"/>
  <c r="CC1506" i="10"/>
  <c r="CC1505" i="10"/>
  <c r="CC1504" i="10"/>
  <c r="CC1507" i="10"/>
  <c r="CC1510" i="10"/>
  <c r="CC1503" i="10"/>
  <c r="CC1509" i="10"/>
  <c r="YP1515" i="10"/>
  <c r="YP1514" i="10"/>
  <c r="YP1517" i="10"/>
  <c r="YP1516" i="10"/>
  <c r="YP1519" i="10"/>
  <c r="YP1518" i="10"/>
  <c r="YP1524" i="10"/>
  <c r="YP1521" i="10"/>
  <c r="YP1522" i="10"/>
  <c r="YP1526" i="10"/>
  <c r="YP1525" i="10"/>
  <c r="YP1528" i="10"/>
  <c r="YP1520" i="10"/>
  <c r="YP1523" i="10"/>
  <c r="YP1527" i="10"/>
  <c r="YP1530" i="10"/>
  <c r="YP1532" i="10"/>
  <c r="YP1529" i="10"/>
  <c r="YP1531" i="10"/>
  <c r="YP1533" i="10"/>
  <c r="AT1516" i="10"/>
  <c r="AT1518" i="10"/>
  <c r="AT1514" i="10"/>
  <c r="AT1515" i="10"/>
  <c r="AT1517" i="10"/>
  <c r="AT1519" i="10"/>
  <c r="AT1521" i="10"/>
  <c r="AT1522" i="10"/>
  <c r="AT1524" i="10"/>
  <c r="AT1525" i="10"/>
  <c r="AT1526" i="10"/>
  <c r="AT1527" i="10"/>
  <c r="AT1528" i="10"/>
  <c r="AT1529" i="10"/>
  <c r="AT1520" i="10"/>
  <c r="AT1523" i="10"/>
  <c r="AT1533" i="10"/>
  <c r="AT1530" i="10"/>
  <c r="AT1532" i="10"/>
  <c r="AT1531" i="10"/>
  <c r="IH1493" i="10"/>
  <c r="IH1492" i="10"/>
  <c r="IH1496" i="10"/>
  <c r="IH1498" i="10"/>
  <c r="IH1495" i="10"/>
  <c r="IH1497" i="10"/>
  <c r="IH1494" i="10"/>
  <c r="IH1500" i="10"/>
  <c r="IH1499" i="10"/>
  <c r="IH1501" i="10"/>
  <c r="IH1491" i="10"/>
  <c r="IH1508" i="10"/>
  <c r="IH1506" i="10"/>
  <c r="IH1507" i="10"/>
  <c r="IH1504" i="10"/>
  <c r="IH1502" i="10"/>
  <c r="IH1503" i="10"/>
  <c r="IH1510" i="10"/>
  <c r="IH1509" i="10"/>
  <c r="IH1505" i="10"/>
  <c r="ADV1514" i="10"/>
  <c r="ADV1515" i="10"/>
  <c r="ADV1517" i="10"/>
  <c r="ADV1522" i="10"/>
  <c r="ADV1523" i="10"/>
  <c r="ADV1524" i="10"/>
  <c r="ADV1528" i="10"/>
  <c r="ADV1527" i="10"/>
  <c r="ADV1525" i="10"/>
  <c r="ADV1521" i="10"/>
  <c r="ADV1526" i="10"/>
  <c r="ADV1532" i="10"/>
  <c r="ADV1529" i="10"/>
  <c r="ADV1530" i="10"/>
  <c r="ADV1531" i="10"/>
  <c r="ADV1533" i="10"/>
  <c r="ADV1519" i="10"/>
  <c r="ADV1516" i="10"/>
  <c r="ADV1518" i="10"/>
  <c r="ADV1520" i="10"/>
  <c r="DE1492" i="10"/>
  <c r="DE1491" i="10"/>
  <c r="DE1493" i="10"/>
  <c r="DE1494" i="10"/>
  <c r="DE1500" i="10"/>
  <c r="DE1495" i="10"/>
  <c r="DE1496" i="10"/>
  <c r="DE1501" i="10"/>
  <c r="DE1497" i="10"/>
  <c r="DE1506" i="10"/>
  <c r="DE1505" i="10"/>
  <c r="DE1504" i="10"/>
  <c r="DE1507" i="10"/>
  <c r="DE1502" i="10"/>
  <c r="DE1503" i="10"/>
  <c r="DE1509" i="10"/>
  <c r="DE1508" i="10"/>
  <c r="DE1498" i="10"/>
  <c r="DE1499" i="10"/>
  <c r="DE1510" i="10"/>
  <c r="ZQ1515" i="10"/>
  <c r="ZQ1514" i="10"/>
  <c r="ZQ1516" i="10"/>
  <c r="ZQ1517" i="10"/>
  <c r="ZQ1522" i="10"/>
  <c r="ZQ1519" i="10"/>
  <c r="ZQ1518" i="10"/>
  <c r="ZQ1523" i="10"/>
  <c r="ZQ1520" i="10"/>
  <c r="ZQ1521" i="10"/>
  <c r="ZQ1528" i="10"/>
  <c r="ZQ1525" i="10"/>
  <c r="ZQ1530" i="10"/>
  <c r="ZQ1529" i="10"/>
  <c r="ZQ1531" i="10"/>
  <c r="ZQ1526" i="10"/>
  <c r="ZQ1533" i="10"/>
  <c r="ZQ1524" i="10"/>
  <c r="ZQ1527" i="10"/>
  <c r="ZQ1532" i="10"/>
  <c r="NB1524" i="10"/>
  <c r="NB1516" i="10"/>
  <c r="NB1528" i="10"/>
  <c r="NB1531" i="10"/>
  <c r="NB1532" i="10"/>
  <c r="NB1530" i="10"/>
  <c r="NB1527" i="10"/>
  <c r="NB1533" i="10"/>
  <c r="NB1515" i="10"/>
  <c r="NB1518" i="10"/>
  <c r="NB1514" i="10"/>
  <c r="NB1517" i="10"/>
  <c r="NB1525" i="10"/>
  <c r="NB1519" i="10"/>
  <c r="NB1523" i="10"/>
  <c r="NB1526" i="10"/>
  <c r="NB1529" i="10"/>
  <c r="NB1521" i="10"/>
  <c r="NB1520" i="10"/>
  <c r="NB1522" i="10"/>
  <c r="UP1492" i="10"/>
  <c r="UP1491" i="10"/>
  <c r="UP1493" i="10"/>
  <c r="UP1495" i="10"/>
  <c r="UP1497" i="10"/>
  <c r="UP1496" i="10"/>
  <c r="UP1498" i="10"/>
  <c r="UP1494" i="10"/>
  <c r="UP1501" i="10"/>
  <c r="UP1500" i="10"/>
  <c r="UP1499" i="10"/>
  <c r="UP1509" i="10"/>
  <c r="UP1507" i="10"/>
  <c r="UP1505" i="10"/>
  <c r="UP1502" i="10"/>
  <c r="UP1504" i="10"/>
  <c r="UP1508" i="10"/>
  <c r="UP1503" i="10"/>
  <c r="UP1510" i="10"/>
  <c r="UP1506" i="10"/>
  <c r="AEN1492" i="10"/>
  <c r="AEN1496" i="10"/>
  <c r="AEN1498" i="10"/>
  <c r="AEN1495" i="10"/>
  <c r="AEN1497" i="10"/>
  <c r="AEN1491" i="10"/>
  <c r="AEN1494" i="10"/>
  <c r="AEN1493" i="10"/>
  <c r="AEN1499" i="10"/>
  <c r="AEN1500" i="10"/>
  <c r="AEN1501" i="10"/>
  <c r="AEN1502" i="10"/>
  <c r="AEN1507" i="10"/>
  <c r="AEN1505" i="10"/>
  <c r="AEN1503" i="10"/>
  <c r="AEN1506" i="10"/>
  <c r="AEN1508" i="10"/>
  <c r="AEN1504" i="10"/>
  <c r="AEN1509" i="10"/>
  <c r="AEN1510" i="10"/>
  <c r="PB1492" i="10"/>
  <c r="PB1491" i="10"/>
  <c r="PB1494" i="10"/>
  <c r="PB1499" i="10"/>
  <c r="PB1496" i="10"/>
  <c r="PB1498" i="10"/>
  <c r="PB1493" i="10"/>
  <c r="PB1495" i="10"/>
  <c r="PB1497" i="10"/>
  <c r="PB1501" i="10"/>
  <c r="PB1504" i="10"/>
  <c r="PB1503" i="10"/>
  <c r="PB1506" i="10"/>
  <c r="PB1508" i="10"/>
  <c r="PB1509" i="10"/>
  <c r="PB1500" i="10"/>
  <c r="PB1502" i="10"/>
  <c r="PB1505" i="10"/>
  <c r="PB1507" i="10"/>
  <c r="PB1510" i="10"/>
  <c r="AAF1492" i="10"/>
  <c r="AAF1491" i="10"/>
  <c r="AAF1493" i="10"/>
  <c r="AAF1496" i="10"/>
  <c r="AAF1495" i="10"/>
  <c r="AAF1497" i="10"/>
  <c r="AAF1494" i="10"/>
  <c r="AAF1501" i="10"/>
  <c r="AAF1498" i="10"/>
  <c r="AAF1499" i="10"/>
  <c r="AAF1500" i="10"/>
  <c r="AAF1507" i="10"/>
  <c r="AAF1505" i="10"/>
  <c r="AAF1504" i="10"/>
  <c r="AAF1503" i="10"/>
  <c r="AAF1506" i="10"/>
  <c r="AAF1502" i="10"/>
  <c r="AAF1509" i="10"/>
  <c r="AAF1510" i="10"/>
  <c r="AAF1508" i="10"/>
  <c r="ZT1514" i="10"/>
  <c r="ZT1515" i="10"/>
  <c r="ZT1516" i="10"/>
  <c r="ZT1518" i="10"/>
  <c r="ZT1517" i="10"/>
  <c r="ZT1520" i="10"/>
  <c r="ZT1522" i="10"/>
  <c r="ZT1524" i="10"/>
  <c r="ZT1521" i="10"/>
  <c r="ZT1523" i="10"/>
  <c r="ZT1528" i="10"/>
  <c r="ZT1531" i="10"/>
  <c r="ZT1519" i="10"/>
  <c r="ZT1525" i="10"/>
  <c r="ZT1530" i="10"/>
  <c r="ZT1527" i="10"/>
  <c r="ZT1532" i="10"/>
  <c r="ZT1526" i="10"/>
  <c r="ZT1529" i="10"/>
  <c r="ZT1533" i="10"/>
  <c r="AEA1492" i="10"/>
  <c r="AEA1491" i="10"/>
  <c r="AEA1494" i="10"/>
  <c r="AEA1493" i="10"/>
  <c r="AEA1495" i="10"/>
  <c r="AEA1496" i="10"/>
  <c r="AEA1501" i="10"/>
  <c r="AEA1497" i="10"/>
  <c r="AEA1498" i="10"/>
  <c r="AEA1499" i="10"/>
  <c r="AEA1500" i="10"/>
  <c r="AEA1505" i="10"/>
  <c r="AEA1504" i="10"/>
  <c r="AEA1503" i="10"/>
  <c r="AEA1506" i="10"/>
  <c r="AEA1502" i="10"/>
  <c r="AEA1508" i="10"/>
  <c r="AEA1509" i="10"/>
  <c r="AEA1507" i="10"/>
  <c r="AEA1510" i="10"/>
  <c r="LW1526" i="10"/>
  <c r="LW1533" i="10"/>
  <c r="LW1515" i="10"/>
  <c r="LW1523" i="10"/>
  <c r="LW1530" i="10"/>
  <c r="LW1521" i="10"/>
  <c r="LW1517" i="10"/>
  <c r="LW1527" i="10"/>
  <c r="LW1519" i="10"/>
  <c r="LW1525" i="10"/>
  <c r="LW1514" i="10"/>
  <c r="LW1532" i="10"/>
  <c r="LW1524" i="10"/>
  <c r="LW1522" i="10"/>
  <c r="LW1520" i="10"/>
  <c r="LW1528" i="10"/>
  <c r="LW1529" i="10"/>
  <c r="LW1516" i="10"/>
  <c r="LW1518" i="10"/>
  <c r="LW1531" i="10"/>
  <c r="MM1493" i="10"/>
  <c r="MM1492" i="10"/>
  <c r="MM1496" i="10"/>
  <c r="MM1498" i="10"/>
  <c r="MM1495" i="10"/>
  <c r="MM1497" i="10"/>
  <c r="MM1491" i="10"/>
  <c r="MM1494" i="10"/>
  <c r="MM1499" i="10"/>
  <c r="MM1500" i="10"/>
  <c r="MM1501" i="10"/>
  <c r="MM1507" i="10"/>
  <c r="MM1505" i="10"/>
  <c r="MM1503" i="10"/>
  <c r="MM1506" i="10"/>
  <c r="MM1508" i="10"/>
  <c r="MM1510" i="10"/>
  <c r="MM1502" i="10"/>
  <c r="MM1509" i="10"/>
  <c r="MM1504" i="10"/>
  <c r="ABE1491" i="10"/>
  <c r="ABE1493" i="10"/>
  <c r="ABE1492" i="10"/>
  <c r="ABE1494" i="10"/>
  <c r="ABE1499" i="10"/>
  <c r="ABE1500" i="10"/>
  <c r="ABE1498" i="10"/>
  <c r="ABE1497" i="10"/>
  <c r="ABE1496" i="10"/>
  <c r="ABE1495" i="10"/>
  <c r="ABE1501" i="10"/>
  <c r="ABE1505" i="10"/>
  <c r="ABE1504" i="10"/>
  <c r="ABE1503" i="10"/>
  <c r="ABE1506" i="10"/>
  <c r="ABE1508" i="10"/>
  <c r="ABE1507" i="10"/>
  <c r="ABE1502" i="10"/>
  <c r="ABE1510" i="10"/>
  <c r="ABE1509" i="10"/>
  <c r="ZJ1527" i="10"/>
  <c r="ZJ1531" i="10"/>
  <c r="ZJ1533" i="10"/>
  <c r="ZJ1520" i="10"/>
  <c r="ZJ1525" i="10"/>
  <c r="ZJ1523" i="10"/>
  <c r="ZJ1522" i="10"/>
  <c r="ZJ1526" i="10"/>
  <c r="ZJ1514" i="10"/>
  <c r="ZJ1530" i="10"/>
  <c r="ZJ1529" i="10"/>
  <c r="ZJ1519" i="10"/>
  <c r="ZJ1532" i="10"/>
  <c r="ZJ1528" i="10"/>
  <c r="ZJ1524" i="10"/>
  <c r="ZJ1515" i="10"/>
  <c r="ZJ1518" i="10"/>
  <c r="ZJ1521" i="10"/>
  <c r="ZJ1516" i="10"/>
  <c r="ZJ1517" i="10"/>
  <c r="ZZ1493" i="10"/>
  <c r="ZZ1496" i="10"/>
  <c r="ZZ1498" i="10"/>
  <c r="ZZ1495" i="10"/>
  <c r="ZZ1497" i="10"/>
  <c r="ZZ1491" i="10"/>
  <c r="ZZ1494" i="10"/>
  <c r="ZZ1500" i="10"/>
  <c r="ZZ1501" i="10"/>
  <c r="ZZ1492" i="10"/>
  <c r="ZZ1499" i="10"/>
  <c r="ZZ1502" i="10"/>
  <c r="ZZ1508" i="10"/>
  <c r="ZZ1509" i="10"/>
  <c r="ZZ1507" i="10"/>
  <c r="ZZ1504" i="10"/>
  <c r="ZZ1503" i="10"/>
  <c r="ZZ1506" i="10"/>
  <c r="ZZ1505" i="10"/>
  <c r="ZZ1510" i="10"/>
  <c r="AGJ1491" i="10"/>
  <c r="AGJ1493" i="10"/>
  <c r="AGJ1496" i="10"/>
  <c r="AGJ1498" i="10"/>
  <c r="AGJ1495" i="10"/>
  <c r="AGJ1497" i="10"/>
  <c r="AGJ1492" i="10"/>
  <c r="AGJ1494" i="10"/>
  <c r="AGJ1500" i="10"/>
  <c r="AGJ1499" i="10"/>
  <c r="AGJ1501" i="10"/>
  <c r="AGJ1503" i="10"/>
  <c r="AGJ1506" i="10"/>
  <c r="AGJ1502" i="10"/>
  <c r="AGJ1507" i="10"/>
  <c r="AGJ1505" i="10"/>
  <c r="AGJ1504" i="10"/>
  <c r="AGJ1508" i="10"/>
  <c r="AGJ1509" i="10"/>
  <c r="AGJ1510" i="10"/>
  <c r="ZI1516" i="10"/>
  <c r="ZI1514" i="10"/>
  <c r="ZI1515" i="10"/>
  <c r="ZI1519" i="10"/>
  <c r="ZI1518" i="10"/>
  <c r="ZI1520" i="10"/>
  <c r="ZI1521" i="10"/>
  <c r="ZI1523" i="10"/>
  <c r="ZI1517" i="10"/>
  <c r="ZI1524" i="10"/>
  <c r="ZI1525" i="10"/>
  <c r="ZI1526" i="10"/>
  <c r="ZI1528" i="10"/>
  <c r="ZI1522" i="10"/>
  <c r="ZI1527" i="10"/>
  <c r="ZI1531" i="10"/>
  <c r="ZI1530" i="10"/>
  <c r="ZI1532" i="10"/>
  <c r="ZI1529" i="10"/>
  <c r="ZI1533" i="10"/>
  <c r="XS1503" i="10"/>
  <c r="XS1501" i="10"/>
  <c r="XS1502" i="10"/>
  <c r="XS1510" i="10"/>
  <c r="XS1498" i="10"/>
  <c r="XS1508" i="10"/>
  <c r="XS1504" i="10"/>
  <c r="XS1493" i="10"/>
  <c r="XS1494" i="10"/>
  <c r="XS1507" i="10"/>
  <c r="XS1509" i="10"/>
  <c r="XS1495" i="10"/>
  <c r="XS1499" i="10"/>
  <c r="XS1496" i="10"/>
  <c r="XS1500" i="10"/>
  <c r="XS1506" i="10"/>
  <c r="XS1497" i="10"/>
  <c r="XS1491" i="10"/>
  <c r="XS1505" i="10"/>
  <c r="XS1492" i="10"/>
  <c r="YT1531" i="10"/>
  <c r="YT1516" i="10"/>
  <c r="YT1517" i="10"/>
  <c r="YT1519" i="10"/>
  <c r="YT1521" i="10"/>
  <c r="YT1522" i="10"/>
  <c r="YT1527" i="10"/>
  <c r="YT1526" i="10"/>
  <c r="YT1528" i="10"/>
  <c r="YT1530" i="10"/>
  <c r="YT1532" i="10"/>
  <c r="YT1533" i="10"/>
  <c r="YT1523" i="10"/>
  <c r="YT1518" i="10"/>
  <c r="YT1524" i="10"/>
  <c r="YT1520" i="10"/>
  <c r="YT1514" i="10"/>
  <c r="YT1529" i="10"/>
  <c r="YT1515" i="10"/>
  <c r="YT1525" i="10"/>
  <c r="XK1503" i="10"/>
  <c r="XK1501" i="10"/>
  <c r="XK1502" i="10"/>
  <c r="XK1496" i="10"/>
  <c r="XK1509" i="10"/>
  <c r="XK1504" i="10"/>
  <c r="XK1491" i="10"/>
  <c r="XK1505" i="10"/>
  <c r="XK1495" i="10"/>
  <c r="XK1494" i="10"/>
  <c r="XK1498" i="10"/>
  <c r="XK1497" i="10"/>
  <c r="XK1507" i="10"/>
  <c r="XK1510" i="10"/>
  <c r="XK1492" i="10"/>
  <c r="XK1493" i="10"/>
  <c r="XK1499" i="10"/>
  <c r="XK1506" i="10"/>
  <c r="XK1508" i="10"/>
  <c r="XK1500" i="10"/>
  <c r="ADA1492" i="10"/>
  <c r="ADA1491" i="10"/>
  <c r="ADA1496" i="10"/>
  <c r="ADA1495" i="10"/>
  <c r="ADA1497" i="10"/>
  <c r="ADA1493" i="10"/>
  <c r="ADA1499" i="10"/>
  <c r="ADA1494" i="10"/>
  <c r="ADA1500" i="10"/>
  <c r="ADA1501" i="10"/>
  <c r="ADA1507" i="10"/>
  <c r="ADA1505" i="10"/>
  <c r="ADA1502" i="10"/>
  <c r="ADA1504" i="10"/>
  <c r="ADA1503" i="10"/>
  <c r="ADA1506" i="10"/>
  <c r="ADA1498" i="10"/>
  <c r="ADA1509" i="10"/>
  <c r="ADA1508" i="10"/>
  <c r="ADA1510" i="10"/>
  <c r="IS1516" i="10"/>
  <c r="IS1517" i="10"/>
  <c r="IS1518" i="10"/>
  <c r="IS1514" i="10"/>
  <c r="IS1520" i="10"/>
  <c r="IS1523" i="10"/>
  <c r="IS1515" i="10"/>
  <c r="IS1519" i="10"/>
  <c r="IS1521" i="10"/>
  <c r="IS1522" i="10"/>
  <c r="IS1524" i="10"/>
  <c r="IS1525" i="10"/>
  <c r="IS1527" i="10"/>
  <c r="IS1528" i="10"/>
  <c r="IS1529" i="10"/>
  <c r="IS1531" i="10"/>
  <c r="IS1532" i="10"/>
  <c r="IS1530" i="10"/>
  <c r="IS1533" i="10"/>
  <c r="IS1526" i="10"/>
  <c r="EA1518" i="10"/>
  <c r="EA1514" i="10"/>
  <c r="EA1515" i="10"/>
  <c r="EA1517" i="10"/>
  <c r="EA1516" i="10"/>
  <c r="EA1524" i="10"/>
  <c r="EA1522" i="10"/>
  <c r="EA1519" i="10"/>
  <c r="EA1523" i="10"/>
  <c r="EA1520" i="10"/>
  <c r="EA1526" i="10"/>
  <c r="EA1527" i="10"/>
  <c r="EA1528" i="10"/>
  <c r="EA1521" i="10"/>
  <c r="EA1533" i="10"/>
  <c r="EA1525" i="10"/>
  <c r="EA1529" i="10"/>
  <c r="EA1530" i="10"/>
  <c r="EA1531" i="10"/>
  <c r="EA1532" i="10"/>
  <c r="KM1502" i="10"/>
  <c r="KM1492" i="10"/>
  <c r="KM1494" i="10"/>
  <c r="KM1505" i="10"/>
  <c r="KM1499" i="10"/>
  <c r="KM1501" i="10"/>
  <c r="KM1510" i="10"/>
  <c r="KM1503" i="10"/>
  <c r="KM1509" i="10"/>
  <c r="KM1507" i="10"/>
  <c r="KM1496" i="10"/>
  <c r="KM1498" i="10"/>
  <c r="KM1500" i="10"/>
  <c r="KM1506" i="10"/>
  <c r="KM1504" i="10"/>
  <c r="KM1491" i="10"/>
  <c r="KM1493" i="10"/>
  <c r="KM1495" i="10"/>
  <c r="KM1497" i="10"/>
  <c r="KM1508" i="10"/>
  <c r="AC1516" i="10"/>
  <c r="AC1514" i="10"/>
  <c r="AC1515" i="10"/>
  <c r="AC1519" i="10"/>
  <c r="AC1517" i="10"/>
  <c r="AC1520" i="10"/>
  <c r="AC1518" i="10"/>
  <c r="AC1523" i="10"/>
  <c r="AC1521" i="10"/>
  <c r="AC1522" i="10"/>
  <c r="AC1524" i="10"/>
  <c r="AC1526" i="10"/>
  <c r="AC1525" i="10"/>
  <c r="AC1527" i="10"/>
  <c r="AC1528" i="10"/>
  <c r="AC1533" i="10"/>
  <c r="AC1529" i="10"/>
  <c r="AC1530" i="10"/>
  <c r="AC1532" i="10"/>
  <c r="AC1531" i="10"/>
  <c r="FS1493" i="10"/>
  <c r="FS1492" i="10"/>
  <c r="FS1491" i="10"/>
  <c r="FS1495" i="10"/>
  <c r="FS1497" i="10"/>
  <c r="FS1496" i="10"/>
  <c r="FS1501" i="10"/>
  <c r="FS1499" i="10"/>
  <c r="FS1500" i="10"/>
  <c r="FS1494" i="10"/>
  <c r="FS1506" i="10"/>
  <c r="FS1507" i="10"/>
  <c r="FS1505" i="10"/>
  <c r="FS1509" i="10"/>
  <c r="FS1498" i="10"/>
  <c r="FS1502" i="10"/>
  <c r="FS1504" i="10"/>
  <c r="FS1508" i="10"/>
  <c r="FS1503" i="10"/>
  <c r="FS1510" i="10"/>
  <c r="ABW1526" i="10"/>
  <c r="ABW1533" i="10"/>
  <c r="ABW1523" i="10"/>
  <c r="ABW1531" i="10"/>
  <c r="ABW1516" i="10"/>
  <c r="ABW1522" i="10"/>
  <c r="ABW1530" i="10"/>
  <c r="ABW1519" i="10"/>
  <c r="ABW1515" i="10"/>
  <c r="ABW1525" i="10"/>
  <c r="ABW1527" i="10"/>
  <c r="ABW1517" i="10"/>
  <c r="ABW1528" i="10"/>
  <c r="ABW1521" i="10"/>
  <c r="ABW1514" i="10"/>
  <c r="ABW1520" i="10"/>
  <c r="ABW1524" i="10"/>
  <c r="ABW1532" i="10"/>
  <c r="ABW1518" i="10"/>
  <c r="ABW1529" i="10"/>
  <c r="GW1492" i="10"/>
  <c r="GW1491" i="10"/>
  <c r="GW1493" i="10"/>
  <c r="GW1494" i="10"/>
  <c r="GW1500" i="10"/>
  <c r="GW1495" i="10"/>
  <c r="GW1497" i="10"/>
  <c r="GW1501" i="10"/>
  <c r="GW1499" i="10"/>
  <c r="GW1496" i="10"/>
  <c r="GW1498" i="10"/>
  <c r="GW1505" i="10"/>
  <c r="GW1504" i="10"/>
  <c r="GW1506" i="10"/>
  <c r="GW1503" i="10"/>
  <c r="GW1508" i="10"/>
  <c r="GW1502" i="10"/>
  <c r="GW1507" i="10"/>
  <c r="GW1510" i="10"/>
  <c r="GW1509" i="10"/>
  <c r="OH1514" i="10"/>
  <c r="OH1515" i="10"/>
  <c r="OH1517" i="10"/>
  <c r="OH1519" i="10"/>
  <c r="OH1518" i="10"/>
  <c r="OH1523" i="10"/>
  <c r="OH1525" i="10"/>
  <c r="OH1520" i="10"/>
  <c r="OH1522" i="10"/>
  <c r="OH1521" i="10"/>
  <c r="OH1527" i="10"/>
  <c r="OH1516" i="10"/>
  <c r="OH1528" i="10"/>
  <c r="OH1524" i="10"/>
  <c r="OH1531" i="10"/>
  <c r="OH1532" i="10"/>
  <c r="OH1529" i="10"/>
  <c r="OH1530" i="10"/>
  <c r="OH1533" i="10"/>
  <c r="OH1526" i="10"/>
  <c r="ACT1492" i="10"/>
  <c r="ACT1491" i="10"/>
  <c r="ACT1496" i="10"/>
  <c r="ACT1498" i="10"/>
  <c r="ACT1495" i="10"/>
  <c r="ACT1497" i="10"/>
  <c r="ACT1494" i="10"/>
  <c r="ACT1493" i="10"/>
  <c r="ACT1499" i="10"/>
  <c r="ACT1501" i="10"/>
  <c r="ACT1500" i="10"/>
  <c r="ACT1507" i="10"/>
  <c r="ACT1502" i="10"/>
  <c r="ACT1505" i="10"/>
  <c r="ACT1503" i="10"/>
  <c r="ACT1506" i="10"/>
  <c r="ACT1508" i="10"/>
  <c r="ACT1509" i="10"/>
  <c r="ACT1504" i="10"/>
  <c r="ACT1510" i="10"/>
  <c r="HI1518" i="10"/>
  <c r="HI1514" i="10"/>
  <c r="HI1515" i="10"/>
  <c r="HI1516" i="10"/>
  <c r="HI1519" i="10"/>
  <c r="HI1517" i="10"/>
  <c r="HI1520" i="10"/>
  <c r="HI1523" i="10"/>
  <c r="HI1522" i="10"/>
  <c r="HI1526" i="10"/>
  <c r="HI1528" i="10"/>
  <c r="HI1521" i="10"/>
  <c r="HI1525" i="10"/>
  <c r="HI1524" i="10"/>
  <c r="HI1533" i="10"/>
  <c r="HI1529" i="10"/>
  <c r="HI1531" i="10"/>
  <c r="HI1532" i="10"/>
  <c r="HI1527" i="10"/>
  <c r="HI1530" i="10"/>
  <c r="FZ1514" i="10"/>
  <c r="FZ1516" i="10"/>
  <c r="FZ1517" i="10"/>
  <c r="FZ1515" i="10"/>
  <c r="FZ1519" i="10"/>
  <c r="FZ1520" i="10"/>
  <c r="FZ1521" i="10"/>
  <c r="FZ1522" i="10"/>
  <c r="FZ1524" i="10"/>
  <c r="FZ1525" i="10"/>
  <c r="FZ1518" i="10"/>
  <c r="FZ1526" i="10"/>
  <c r="FZ1528" i="10"/>
  <c r="FZ1532" i="10"/>
  <c r="FZ1531" i="10"/>
  <c r="FZ1530" i="10"/>
  <c r="FZ1529" i="10"/>
  <c r="FZ1533" i="10"/>
  <c r="FZ1527" i="10"/>
  <c r="FZ1523" i="10"/>
  <c r="ME1526" i="10"/>
  <c r="ME1533" i="10"/>
  <c r="ME1519" i="10"/>
  <c r="ME1525" i="10"/>
  <c r="ME1516" i="10"/>
  <c r="ME1514" i="10"/>
  <c r="ME1532" i="10"/>
  <c r="ME1531" i="10"/>
  <c r="ME1522" i="10"/>
  <c r="ME1520" i="10"/>
  <c r="ME1518" i="10"/>
  <c r="ME1524" i="10"/>
  <c r="ME1521" i="10"/>
  <c r="ME1528" i="10"/>
  <c r="ME1529" i="10"/>
  <c r="ME1515" i="10"/>
  <c r="ME1523" i="10"/>
  <c r="ME1530" i="10"/>
  <c r="ME1517" i="10"/>
  <c r="ME1527" i="10"/>
  <c r="KK1495" i="10"/>
  <c r="KK1502" i="10"/>
  <c r="KK1491" i="10"/>
  <c r="KK1493" i="10"/>
  <c r="KK1504" i="10"/>
  <c r="KK1499" i="10"/>
  <c r="KK1498" i="10"/>
  <c r="KK1506" i="10"/>
  <c r="KK1501" i="10"/>
  <c r="KK1492" i="10"/>
  <c r="KK1500" i="10"/>
  <c r="KK1503" i="10"/>
  <c r="KK1508" i="10"/>
  <c r="KK1505" i="10"/>
  <c r="KK1510" i="10"/>
  <c r="KK1494" i="10"/>
  <c r="KK1507" i="10"/>
  <c r="KK1497" i="10"/>
  <c r="KK1509" i="10"/>
  <c r="KK1496" i="10"/>
  <c r="AAI1526" i="10"/>
  <c r="AAI1533" i="10"/>
  <c r="AAI1522" i="10"/>
  <c r="AAI1532" i="10"/>
  <c r="AAI1524" i="10"/>
  <c r="AAI1529" i="10"/>
  <c r="AAI1518" i="10"/>
  <c r="AAI1531" i="10"/>
  <c r="AAI1528" i="10"/>
  <c r="AAI1516" i="10"/>
  <c r="AAI1523" i="10"/>
  <c r="AAI1530" i="10"/>
  <c r="AAI1517" i="10"/>
  <c r="AAI1515" i="10"/>
  <c r="AAI1525" i="10"/>
  <c r="AAI1527" i="10"/>
  <c r="AAI1514" i="10"/>
  <c r="AAI1520" i="10"/>
  <c r="AAI1519" i="10"/>
  <c r="AAI1521" i="10"/>
  <c r="NQ1515" i="10"/>
  <c r="NQ1516" i="10"/>
  <c r="NQ1519" i="10"/>
  <c r="NQ1514" i="10"/>
  <c r="NQ1517" i="10"/>
  <c r="NQ1518" i="10"/>
  <c r="NQ1520" i="10"/>
  <c r="NQ1521" i="10"/>
  <c r="NQ1524" i="10"/>
  <c r="NQ1522" i="10"/>
  <c r="NQ1526" i="10"/>
  <c r="NQ1527" i="10"/>
  <c r="NQ1523" i="10"/>
  <c r="NQ1525" i="10"/>
  <c r="NQ1528" i="10"/>
  <c r="NQ1529" i="10"/>
  <c r="NQ1531" i="10"/>
  <c r="NQ1532" i="10"/>
  <c r="NQ1530" i="10"/>
  <c r="NQ1533" i="10"/>
  <c r="AM1516" i="10"/>
  <c r="AM1517" i="10"/>
  <c r="AM1518" i="10"/>
  <c r="AM1520" i="10"/>
  <c r="AM1523" i="10"/>
  <c r="AM1521" i="10"/>
  <c r="AM1522" i="10"/>
  <c r="AM1526" i="10"/>
  <c r="AM1527" i="10"/>
  <c r="AM1528" i="10"/>
  <c r="AM1524" i="10"/>
  <c r="AM1525" i="10"/>
  <c r="AM1533" i="10"/>
  <c r="AM1529" i="10"/>
  <c r="AM1531" i="10"/>
  <c r="AM1532" i="10"/>
  <c r="AM1530" i="10"/>
  <c r="AM1515" i="10"/>
  <c r="AM1519" i="10"/>
  <c r="AM1514" i="10"/>
  <c r="FT1493" i="10"/>
  <c r="FT1492" i="10"/>
  <c r="FT1496" i="10"/>
  <c r="FT1495" i="10"/>
  <c r="FT1497" i="10"/>
  <c r="FT1494" i="10"/>
  <c r="FT1491" i="10"/>
  <c r="FT1499" i="10"/>
  <c r="FT1502" i="10"/>
  <c r="FT1501" i="10"/>
  <c r="FT1500" i="10"/>
  <c r="FT1498" i="10"/>
  <c r="FT1506" i="10"/>
  <c r="FT1507" i="10"/>
  <c r="FT1505" i="10"/>
  <c r="FT1509" i="10"/>
  <c r="FT1503" i="10"/>
  <c r="FT1508" i="10"/>
  <c r="FT1504" i="10"/>
  <c r="FT1510" i="10"/>
  <c r="PF1531" i="10"/>
  <c r="PF1530" i="10"/>
  <c r="PF1533" i="10"/>
  <c r="PF1518" i="10"/>
  <c r="PF1527" i="10"/>
  <c r="PF1521" i="10"/>
  <c r="PF1529" i="10"/>
  <c r="PF1522" i="10"/>
  <c r="PF1532" i="10"/>
  <c r="PF1514" i="10"/>
  <c r="PF1524" i="10"/>
  <c r="PF1516" i="10"/>
  <c r="PF1526" i="10"/>
  <c r="PF1519" i="10"/>
  <c r="PF1523" i="10"/>
  <c r="PF1517" i="10"/>
  <c r="PF1520" i="10"/>
  <c r="PF1515" i="10"/>
  <c r="PF1525" i="10"/>
  <c r="PF1528" i="10"/>
  <c r="UV1492" i="10"/>
  <c r="UV1491" i="10"/>
  <c r="UV1494" i="10"/>
  <c r="UV1493" i="10"/>
  <c r="UV1499" i="10"/>
  <c r="UV1496" i="10"/>
  <c r="UV1498" i="10"/>
  <c r="UV1497" i="10"/>
  <c r="UV1495" i="10"/>
  <c r="UV1500" i="10"/>
  <c r="UV1501" i="10"/>
  <c r="UV1504" i="10"/>
  <c r="UV1502" i="10"/>
  <c r="UV1503" i="10"/>
  <c r="UV1506" i="10"/>
  <c r="UV1508" i="10"/>
  <c r="UV1509" i="10"/>
  <c r="UV1505" i="10"/>
  <c r="UV1507" i="10"/>
  <c r="UV1510" i="10"/>
  <c r="NN1492" i="10"/>
  <c r="NN1491" i="10"/>
  <c r="NN1493" i="10"/>
  <c r="NN1494" i="10"/>
  <c r="NN1500" i="10"/>
  <c r="NN1495" i="10"/>
  <c r="NN1498" i="10"/>
  <c r="NN1501" i="10"/>
  <c r="NN1497" i="10"/>
  <c r="NN1499" i="10"/>
  <c r="NN1496" i="10"/>
  <c r="NN1505" i="10"/>
  <c r="NN1504" i="10"/>
  <c r="NN1502" i="10"/>
  <c r="NN1503" i="10"/>
  <c r="NN1506" i="10"/>
  <c r="NN1508" i="10"/>
  <c r="NN1509" i="10"/>
  <c r="NN1507" i="10"/>
  <c r="NN1510" i="10"/>
  <c r="VZ1523" i="10"/>
  <c r="VZ1514" i="10"/>
  <c r="VZ1518" i="10"/>
  <c r="VZ1520" i="10"/>
  <c r="VZ1521" i="10"/>
  <c r="VZ1522" i="10"/>
  <c r="VZ1528" i="10"/>
  <c r="VZ1527" i="10"/>
  <c r="VZ1531" i="10"/>
  <c r="VZ1532" i="10"/>
  <c r="VZ1529" i="10"/>
  <c r="VZ1525" i="10"/>
  <c r="VZ1526" i="10"/>
  <c r="VZ1533" i="10"/>
  <c r="VZ1524" i="10"/>
  <c r="VZ1530" i="10"/>
  <c r="VZ1519" i="10"/>
  <c r="VZ1516" i="10"/>
  <c r="VZ1517" i="10"/>
  <c r="VZ1515" i="10"/>
  <c r="AQ1516" i="10"/>
  <c r="AQ1517" i="10"/>
  <c r="AQ1518" i="10"/>
  <c r="AQ1514" i="10"/>
  <c r="AQ1515" i="10"/>
  <c r="AQ1520" i="10"/>
  <c r="AQ1521" i="10"/>
  <c r="AQ1522" i="10"/>
  <c r="AQ1524" i="10"/>
  <c r="AQ1519" i="10"/>
  <c r="AQ1523" i="10"/>
  <c r="AQ1529" i="10"/>
  <c r="AQ1526" i="10"/>
  <c r="AQ1525" i="10"/>
  <c r="AQ1527" i="10"/>
  <c r="AQ1528" i="10"/>
  <c r="AQ1530" i="10"/>
  <c r="AQ1532" i="10"/>
  <c r="AQ1531" i="10"/>
  <c r="AQ1533" i="10"/>
  <c r="ID1492" i="10"/>
  <c r="ID1491" i="10"/>
  <c r="ID1493" i="10"/>
  <c r="ID1494" i="10"/>
  <c r="ID1500" i="10"/>
  <c r="ID1495" i="10"/>
  <c r="ID1497" i="10"/>
  <c r="ID1498" i="10"/>
  <c r="ID1501" i="10"/>
  <c r="ID1496" i="10"/>
  <c r="ID1505" i="10"/>
  <c r="ID1504" i="10"/>
  <c r="ID1503" i="10"/>
  <c r="ID1502" i="10"/>
  <c r="ID1508" i="10"/>
  <c r="ID1506" i="10"/>
  <c r="ID1507" i="10"/>
  <c r="ID1509" i="10"/>
  <c r="ID1510" i="10"/>
  <c r="ID1499" i="10"/>
  <c r="ADT1515" i="10"/>
  <c r="ADT1514" i="10"/>
  <c r="ADT1516" i="10"/>
  <c r="ADT1522" i="10"/>
  <c r="ADT1527" i="10"/>
  <c r="ADT1525" i="10"/>
  <c r="ADT1526" i="10"/>
  <c r="ADT1524" i="10"/>
  <c r="ADT1528" i="10"/>
  <c r="ADT1532" i="10"/>
  <c r="ADT1531" i="10"/>
  <c r="ADT1529" i="10"/>
  <c r="ADT1530" i="10"/>
  <c r="ADT1533" i="10"/>
  <c r="ADT1517" i="10"/>
  <c r="ADT1518" i="10"/>
  <c r="ADT1521" i="10"/>
  <c r="ADT1523" i="10"/>
  <c r="ADT1520" i="10"/>
  <c r="ADT1519" i="10"/>
  <c r="CP1491" i="10"/>
  <c r="CP1493" i="10"/>
  <c r="CP1494" i="10"/>
  <c r="CP1497" i="10"/>
  <c r="CP1499" i="10"/>
  <c r="CP1492" i="10"/>
  <c r="CP1496" i="10"/>
  <c r="CP1498" i="10"/>
  <c r="CP1495" i="10"/>
  <c r="CP1500" i="10"/>
  <c r="CP1502" i="10"/>
  <c r="CP1503" i="10"/>
  <c r="CP1509" i="10"/>
  <c r="CP1501" i="10"/>
  <c r="CP1508" i="10"/>
  <c r="CP1505" i="10"/>
  <c r="CP1504" i="10"/>
  <c r="CP1507" i="10"/>
  <c r="CP1510" i="10"/>
  <c r="CP1506" i="10"/>
  <c r="NV1492" i="10"/>
  <c r="NV1491" i="10"/>
  <c r="NV1494" i="10"/>
  <c r="NV1499" i="10"/>
  <c r="NV1496" i="10"/>
  <c r="NV1498" i="10"/>
  <c r="NV1493" i="10"/>
  <c r="NV1497" i="10"/>
  <c r="NV1495" i="10"/>
  <c r="NV1501" i="10"/>
  <c r="NV1500" i="10"/>
  <c r="NV1504" i="10"/>
  <c r="NV1503" i="10"/>
  <c r="NV1506" i="10"/>
  <c r="NV1502" i="10"/>
  <c r="NV1508" i="10"/>
  <c r="NV1509" i="10"/>
  <c r="NV1505" i="10"/>
  <c r="NV1507" i="10"/>
  <c r="NV1510" i="10"/>
  <c r="ZC1526" i="10"/>
  <c r="ZC1533" i="10"/>
  <c r="ZC1522" i="10"/>
  <c r="ZC1532" i="10"/>
  <c r="ZC1524" i="10"/>
  <c r="ZC1529" i="10"/>
  <c r="ZC1517" i="10"/>
  <c r="ZC1518" i="10"/>
  <c r="ZC1531" i="10"/>
  <c r="ZC1516" i="10"/>
  <c r="ZC1523" i="10"/>
  <c r="ZC1530" i="10"/>
  <c r="ZC1515" i="10"/>
  <c r="ZC1525" i="10"/>
  <c r="ZC1527" i="10"/>
  <c r="ZC1514" i="10"/>
  <c r="ZC1520" i="10"/>
  <c r="ZC1519" i="10"/>
  <c r="ZC1521" i="10"/>
  <c r="ZC1528" i="10"/>
  <c r="AFA1491" i="10"/>
  <c r="AFA1492" i="10"/>
  <c r="AFA1494" i="10"/>
  <c r="AFA1493" i="10"/>
  <c r="AFA1499" i="10"/>
  <c r="AFA1500" i="10"/>
  <c r="AFA1501" i="10"/>
  <c r="AFA1496" i="10"/>
  <c r="AFA1495" i="10"/>
  <c r="AFA1497" i="10"/>
  <c r="AFA1498" i="10"/>
  <c r="AFA1505" i="10"/>
  <c r="AFA1504" i="10"/>
  <c r="AFA1503" i="10"/>
  <c r="AFA1506" i="10"/>
  <c r="AFA1508" i="10"/>
  <c r="AFA1502" i="10"/>
  <c r="AFA1507" i="10"/>
  <c r="AFA1510" i="10"/>
  <c r="AFA1509" i="10"/>
  <c r="IT1515" i="10"/>
  <c r="IT1514" i="10"/>
  <c r="IT1516" i="10"/>
  <c r="IT1517" i="10"/>
  <c r="IT1518" i="10"/>
  <c r="IT1519" i="10"/>
  <c r="IT1521" i="10"/>
  <c r="IT1522" i="10"/>
  <c r="IT1524" i="10"/>
  <c r="IT1520" i="10"/>
  <c r="IT1523" i="10"/>
  <c r="IT1525" i="10"/>
  <c r="IT1529" i="10"/>
  <c r="IT1526" i="10"/>
  <c r="IT1528" i="10"/>
  <c r="IT1530" i="10"/>
  <c r="IT1533" i="10"/>
  <c r="IT1527" i="10"/>
  <c r="IT1531" i="10"/>
  <c r="IT1532" i="10"/>
  <c r="TZ1517" i="10"/>
  <c r="TZ1514" i="10"/>
  <c r="TZ1520" i="10"/>
  <c r="TZ1515" i="10"/>
  <c r="TZ1522" i="10"/>
  <c r="TZ1516" i="10"/>
  <c r="TZ1523" i="10"/>
  <c r="TZ1519" i="10"/>
  <c r="TZ1524" i="10"/>
  <c r="TZ1518" i="10"/>
  <c r="TZ1521" i="10"/>
  <c r="TZ1528" i="10"/>
  <c r="TZ1527" i="10"/>
  <c r="TZ1526" i="10"/>
  <c r="TZ1529" i="10"/>
  <c r="TZ1532" i="10"/>
  <c r="TZ1525" i="10"/>
  <c r="TZ1530" i="10"/>
  <c r="TZ1533" i="10"/>
  <c r="TZ1531" i="10"/>
  <c r="ABF1492" i="10"/>
  <c r="ABF1491" i="10"/>
  <c r="ABF1493" i="10"/>
  <c r="ABF1494" i="10"/>
  <c r="ABF1500" i="10"/>
  <c r="ABF1495" i="10"/>
  <c r="ABF1501" i="10"/>
  <c r="ABF1498" i="10"/>
  <c r="ABF1497" i="10"/>
  <c r="ABF1499" i="10"/>
  <c r="ABF1505" i="10"/>
  <c r="ABF1504" i="10"/>
  <c r="ABF1503" i="10"/>
  <c r="ABF1506" i="10"/>
  <c r="ABF1508" i="10"/>
  <c r="ABF1496" i="10"/>
  <c r="ABF1502" i="10"/>
  <c r="ABF1509" i="10"/>
  <c r="ABF1507" i="10"/>
  <c r="ABF1510" i="10"/>
  <c r="OX1514" i="10"/>
  <c r="OX1515" i="10"/>
  <c r="OX1516" i="10"/>
  <c r="OX1517" i="10"/>
  <c r="OX1519" i="10"/>
  <c r="OX1520" i="10"/>
  <c r="OX1518" i="10"/>
  <c r="OX1525" i="10"/>
  <c r="OX1522" i="10"/>
  <c r="OX1523" i="10"/>
  <c r="OX1526" i="10"/>
  <c r="OX1521" i="10"/>
  <c r="OX1524" i="10"/>
  <c r="OX1528" i="10"/>
  <c r="OX1527" i="10"/>
  <c r="OX1529" i="10"/>
  <c r="OX1531" i="10"/>
  <c r="OX1532" i="10"/>
  <c r="OX1533" i="10"/>
  <c r="OX1530" i="10"/>
  <c r="WK1491" i="10"/>
  <c r="WK1493" i="10"/>
  <c r="WK1494" i="10"/>
  <c r="WK1496" i="10"/>
  <c r="WK1498" i="10"/>
  <c r="WK1492" i="10"/>
  <c r="WK1495" i="10"/>
  <c r="WK1497" i="10"/>
  <c r="WK1499" i="10"/>
  <c r="WK1500" i="10"/>
  <c r="WK1503" i="10"/>
  <c r="WK1506" i="10"/>
  <c r="WK1501" i="10"/>
  <c r="WK1509" i="10"/>
  <c r="WK1507" i="10"/>
  <c r="WK1505" i="10"/>
  <c r="WK1504" i="10"/>
  <c r="WK1502" i="10"/>
  <c r="WK1508" i="10"/>
  <c r="WK1510" i="10"/>
  <c r="JU1493" i="10"/>
  <c r="JU1492" i="10"/>
  <c r="JU1491" i="10"/>
  <c r="JU1494" i="10"/>
  <c r="JU1496" i="10"/>
  <c r="JU1495" i="10"/>
  <c r="JU1497" i="10"/>
  <c r="JU1502" i="10"/>
  <c r="JU1498" i="10"/>
  <c r="JU1499" i="10"/>
  <c r="JU1500" i="10"/>
  <c r="JU1507" i="10"/>
  <c r="JU1501" i="10"/>
  <c r="JU1505" i="10"/>
  <c r="JU1504" i="10"/>
  <c r="JU1503" i="10"/>
  <c r="JU1506" i="10"/>
  <c r="JU1509" i="10"/>
  <c r="JU1510" i="10"/>
  <c r="JU1508" i="10"/>
  <c r="AEV1531" i="10"/>
  <c r="AEV1529" i="10"/>
  <c r="AEV1522" i="10"/>
  <c r="AEV1523" i="10"/>
  <c r="AEV1524" i="10"/>
  <c r="AEV1526" i="10"/>
  <c r="AEV1516" i="10"/>
  <c r="AEV1532" i="10"/>
  <c r="AEV1521" i="10"/>
  <c r="AEV1518" i="10"/>
  <c r="AEV1515" i="10"/>
  <c r="AEV1519" i="10"/>
  <c r="AEV1530" i="10"/>
  <c r="AEV1525" i="10"/>
  <c r="AEV1527" i="10"/>
  <c r="AEV1520" i="10"/>
  <c r="AEV1533" i="10"/>
  <c r="AEV1514" i="10"/>
  <c r="AEV1517" i="10"/>
  <c r="AEV1528" i="10"/>
  <c r="PN1533" i="10"/>
  <c r="PN1518" i="10"/>
  <c r="PN1520" i="10"/>
  <c r="PN1522" i="10"/>
  <c r="PN1528" i="10"/>
  <c r="PN1524" i="10"/>
  <c r="PN1531" i="10"/>
  <c r="PN1515" i="10"/>
  <c r="PN1514" i="10"/>
  <c r="PN1527" i="10"/>
  <c r="PN1516" i="10"/>
  <c r="PN1519" i="10"/>
  <c r="PN1532" i="10"/>
  <c r="PN1523" i="10"/>
  <c r="PN1517" i="10"/>
  <c r="PN1530" i="10"/>
  <c r="PN1529" i="10"/>
  <c r="PN1525" i="10"/>
  <c r="PN1521" i="10"/>
  <c r="PN1526" i="10"/>
  <c r="AGD1492" i="10"/>
  <c r="AGD1491" i="10"/>
  <c r="AGD1493" i="10"/>
  <c r="AGD1494" i="10"/>
  <c r="AGD1495" i="10"/>
  <c r="AGD1497" i="10"/>
  <c r="AGD1498" i="10"/>
  <c r="AGD1499" i="10"/>
  <c r="AGD1496" i="10"/>
  <c r="AGD1505" i="10"/>
  <c r="AGD1504" i="10"/>
  <c r="AGD1502" i="10"/>
  <c r="AGD1503" i="10"/>
  <c r="AGD1506" i="10"/>
  <c r="AGD1508" i="10"/>
  <c r="AGD1500" i="10"/>
  <c r="AGD1501" i="10"/>
  <c r="AGD1509" i="10"/>
  <c r="AGD1507" i="10"/>
  <c r="AGD1510" i="10"/>
  <c r="ACS1515" i="10"/>
  <c r="ACS1517" i="10"/>
  <c r="ACS1519" i="10"/>
  <c r="ACS1521" i="10"/>
  <c r="ACS1524" i="10"/>
  <c r="ACS1522" i="10"/>
  <c r="ACS1525" i="10"/>
  <c r="ACS1520" i="10"/>
  <c r="ACS1523" i="10"/>
  <c r="ACS1527" i="10"/>
  <c r="ACS1526" i="10"/>
  <c r="ACS1529" i="10"/>
  <c r="ACS1528" i="10"/>
  <c r="ACS1531" i="10"/>
  <c r="ACS1530" i="10"/>
  <c r="ACS1532" i="10"/>
  <c r="ACS1533" i="10"/>
  <c r="ACS1516" i="10"/>
  <c r="ACS1514" i="10"/>
  <c r="ACS1518" i="10"/>
  <c r="AGK1492" i="10"/>
  <c r="AGK1491" i="10"/>
  <c r="AGK1493" i="10"/>
  <c r="AGK1496" i="10"/>
  <c r="AGK1498" i="10"/>
  <c r="AGK1495" i="10"/>
  <c r="AGK1499" i="10"/>
  <c r="AGK1497" i="10"/>
  <c r="AGK1501" i="10"/>
  <c r="AGK1500" i="10"/>
  <c r="AGK1504" i="10"/>
  <c r="AGK1503" i="10"/>
  <c r="AGK1506" i="10"/>
  <c r="AGK1502" i="10"/>
  <c r="AGK1508" i="10"/>
  <c r="AGK1494" i="10"/>
  <c r="AGK1505" i="10"/>
  <c r="AGK1507" i="10"/>
  <c r="AGK1509" i="10"/>
  <c r="AGK1510" i="10"/>
  <c r="BM1517" i="10"/>
  <c r="BM1518" i="10"/>
  <c r="BM1514" i="10"/>
  <c r="BM1515" i="10"/>
  <c r="BM1523" i="10"/>
  <c r="BM1520" i="10"/>
  <c r="BM1521" i="10"/>
  <c r="BM1522" i="10"/>
  <c r="BM1524" i="10"/>
  <c r="BM1516" i="10"/>
  <c r="BM1526" i="10"/>
  <c r="BM1527" i="10"/>
  <c r="BM1528" i="10"/>
  <c r="BM1525" i="10"/>
  <c r="BM1519" i="10"/>
  <c r="BM1533" i="10"/>
  <c r="BM1530" i="10"/>
  <c r="BM1531" i="10"/>
  <c r="BM1529" i="10"/>
  <c r="BM1532" i="10"/>
  <c r="HC1508" i="10"/>
  <c r="HC1506" i="10"/>
  <c r="HC1509" i="10"/>
  <c r="HC1510" i="10"/>
  <c r="HC1491" i="10"/>
  <c r="HC1501" i="10"/>
  <c r="HC1498" i="10"/>
  <c r="HC1495" i="10"/>
  <c r="HC1499" i="10"/>
  <c r="HC1503" i="10"/>
  <c r="HC1494" i="10"/>
  <c r="HC1505" i="10"/>
  <c r="HC1502" i="10"/>
  <c r="HC1500" i="10"/>
  <c r="HC1492" i="10"/>
  <c r="HC1493" i="10"/>
  <c r="HC1504" i="10"/>
  <c r="HC1497" i="10"/>
  <c r="HC1507" i="10"/>
  <c r="HC1496" i="10"/>
  <c r="XZ1516" i="10"/>
  <c r="XZ1524" i="10"/>
  <c r="XZ1533" i="10"/>
  <c r="XZ1518" i="10"/>
  <c r="XZ1519" i="10"/>
  <c r="XZ1532" i="10"/>
  <c r="XZ1520" i="10"/>
  <c r="XZ1527" i="10"/>
  <c r="XZ1522" i="10"/>
  <c r="XZ1514" i="10"/>
  <c r="XZ1526" i="10"/>
  <c r="XZ1523" i="10"/>
  <c r="XZ1525" i="10"/>
  <c r="XZ1529" i="10"/>
  <c r="XZ1515" i="10"/>
  <c r="XZ1521" i="10"/>
  <c r="XZ1531" i="10"/>
  <c r="XZ1517" i="10"/>
  <c r="XZ1528" i="10"/>
  <c r="XZ1530" i="10"/>
  <c r="V1491" i="10"/>
  <c r="V1493" i="10"/>
  <c r="V1492" i="10"/>
  <c r="V1494" i="10"/>
  <c r="V1497" i="10"/>
  <c r="V1499" i="10"/>
  <c r="V1496" i="10"/>
  <c r="V1498" i="10"/>
  <c r="V1500" i="10"/>
  <c r="V1495" i="10"/>
  <c r="V1501" i="10"/>
  <c r="V1505" i="10"/>
  <c r="V1504" i="10"/>
  <c r="V1507" i="10"/>
  <c r="V1503" i="10"/>
  <c r="V1509" i="10"/>
  <c r="V1502" i="10"/>
  <c r="V1506" i="10"/>
  <c r="V1510" i="10"/>
  <c r="V1508" i="10"/>
  <c r="IG1514" i="10"/>
  <c r="IG1515" i="10"/>
  <c r="IG1517" i="10"/>
  <c r="IG1518" i="10"/>
  <c r="IG1516" i="10"/>
  <c r="IG1520" i="10"/>
  <c r="IG1519" i="10"/>
  <c r="IG1521" i="10"/>
  <c r="IG1522" i="10"/>
  <c r="IG1524" i="10"/>
  <c r="IG1525" i="10"/>
  <c r="IG1527" i="10"/>
  <c r="IG1523" i="10"/>
  <c r="IG1526" i="10"/>
  <c r="IG1529" i="10"/>
  <c r="IG1530" i="10"/>
  <c r="IG1528" i="10"/>
  <c r="IG1532" i="10"/>
  <c r="IG1531" i="10"/>
  <c r="IG1533" i="10"/>
  <c r="WI1493" i="10"/>
  <c r="WI1492" i="10"/>
  <c r="WI1496" i="10"/>
  <c r="WI1498" i="10"/>
  <c r="WI1495" i="10"/>
  <c r="WI1497" i="10"/>
  <c r="WI1491" i="10"/>
  <c r="WI1494" i="10"/>
  <c r="WI1499" i="10"/>
  <c r="WI1501" i="10"/>
  <c r="WI1507" i="10"/>
  <c r="WI1502" i="10"/>
  <c r="WI1505" i="10"/>
  <c r="WI1503" i="10"/>
  <c r="WI1506" i="10"/>
  <c r="WI1500" i="10"/>
  <c r="WI1508" i="10"/>
  <c r="WI1504" i="10"/>
  <c r="WI1510" i="10"/>
  <c r="WI1509" i="10"/>
  <c r="MI1519" i="10"/>
  <c r="MI1528" i="10"/>
  <c r="MI1527" i="10"/>
  <c r="MI1526" i="10"/>
  <c r="MI1531" i="10"/>
  <c r="MI1532" i="10"/>
  <c r="MI1530" i="10"/>
  <c r="MI1529" i="10"/>
  <c r="MI1533" i="10"/>
  <c r="MI1525" i="10"/>
  <c r="MI1518" i="10"/>
  <c r="MI1520" i="10"/>
  <c r="MI1523" i="10"/>
  <c r="MI1524" i="10"/>
  <c r="MI1514" i="10"/>
  <c r="MI1516" i="10"/>
  <c r="MI1515" i="10"/>
  <c r="MI1521" i="10"/>
  <c r="MI1517" i="10"/>
  <c r="MI1522" i="10"/>
  <c r="AEB1492" i="10"/>
  <c r="AEB1491" i="10"/>
  <c r="AEB1496" i="10"/>
  <c r="AEB1495" i="10"/>
  <c r="AEB1497" i="10"/>
  <c r="AEB1500" i="10"/>
  <c r="AEB1494" i="10"/>
  <c r="AEB1499" i="10"/>
  <c r="AEB1498" i="10"/>
  <c r="AEB1493" i="10"/>
  <c r="AEB1507" i="10"/>
  <c r="AEB1505" i="10"/>
  <c r="AEB1504" i="10"/>
  <c r="AEB1501" i="10"/>
  <c r="AEB1503" i="10"/>
  <c r="AEB1506" i="10"/>
  <c r="AEB1509" i="10"/>
  <c r="AEB1510" i="10"/>
  <c r="AEB1502" i="10"/>
  <c r="AEB1508" i="10"/>
  <c r="GU1518" i="10"/>
  <c r="GU1519" i="10"/>
  <c r="GU1516" i="10"/>
  <c r="GU1515" i="10"/>
  <c r="GU1517" i="10"/>
  <c r="GU1521" i="10"/>
  <c r="GU1522" i="10"/>
  <c r="GU1524" i="10"/>
  <c r="GU1525" i="10"/>
  <c r="GU1514" i="10"/>
  <c r="GU1520" i="10"/>
  <c r="GU1526" i="10"/>
  <c r="GU1527" i="10"/>
  <c r="GU1528" i="10"/>
  <c r="GU1523" i="10"/>
  <c r="GU1531" i="10"/>
  <c r="GU1532" i="10"/>
  <c r="GU1529" i="10"/>
  <c r="GU1530" i="10"/>
  <c r="GU1533" i="10"/>
  <c r="OI1491" i="10"/>
  <c r="OI1493" i="10"/>
  <c r="OI1492" i="10"/>
  <c r="OI1494" i="10"/>
  <c r="OI1499" i="10"/>
  <c r="OI1495" i="10"/>
  <c r="OI1496" i="10"/>
  <c r="OI1500" i="10"/>
  <c r="OI1497" i="10"/>
  <c r="OI1501" i="10"/>
  <c r="OI1498" i="10"/>
  <c r="OI1505" i="10"/>
  <c r="OI1504" i="10"/>
  <c r="OI1503" i="10"/>
  <c r="OI1506" i="10"/>
  <c r="OI1508" i="10"/>
  <c r="OI1507" i="10"/>
  <c r="OI1510" i="10"/>
  <c r="OI1509" i="10"/>
  <c r="OI1502" i="10"/>
  <c r="MY1516" i="10"/>
  <c r="MY1515" i="10"/>
  <c r="MY1517" i="10"/>
  <c r="MY1519" i="10"/>
  <c r="MY1518" i="10"/>
  <c r="MY1521" i="10"/>
  <c r="MY1522" i="10"/>
  <c r="MY1523" i="10"/>
  <c r="MY1514" i="10"/>
  <c r="MY1520" i="10"/>
  <c r="MY1525" i="10"/>
  <c r="MY1526" i="10"/>
  <c r="MY1527" i="10"/>
  <c r="MY1524" i="10"/>
  <c r="MY1528" i="10"/>
  <c r="MY1529" i="10"/>
  <c r="MY1533" i="10"/>
  <c r="MY1531" i="10"/>
  <c r="MY1532" i="10"/>
  <c r="MY1530" i="10"/>
  <c r="UL1492" i="10"/>
  <c r="UL1491" i="10"/>
  <c r="UL1494" i="10"/>
  <c r="UL1499" i="10"/>
  <c r="UL1496" i="10"/>
  <c r="UL1498" i="10"/>
  <c r="UL1493" i="10"/>
  <c r="UL1500" i="10"/>
  <c r="UL1495" i="10"/>
  <c r="UL1497" i="10"/>
  <c r="UL1501" i="10"/>
  <c r="UL1502" i="10"/>
  <c r="UL1504" i="10"/>
  <c r="UL1503" i="10"/>
  <c r="UL1506" i="10"/>
  <c r="UL1508" i="10"/>
  <c r="UL1509" i="10"/>
  <c r="UL1505" i="10"/>
  <c r="UL1507" i="10"/>
  <c r="UL1510" i="10"/>
  <c r="AEL1516" i="10"/>
  <c r="AEL1515" i="10"/>
  <c r="AEL1517" i="10"/>
  <c r="AEL1519" i="10"/>
  <c r="AEL1521" i="10"/>
  <c r="AEL1524" i="10"/>
  <c r="AEL1522" i="10"/>
  <c r="AEL1527" i="10"/>
  <c r="AEL1523" i="10"/>
  <c r="AEL1525" i="10"/>
  <c r="AEL1520" i="10"/>
  <c r="AEL1528" i="10"/>
  <c r="AEL1531" i="10"/>
  <c r="AEL1532" i="10"/>
  <c r="AEL1530" i="10"/>
  <c r="AEL1533" i="10"/>
  <c r="AEL1529" i="10"/>
  <c r="AEL1518" i="10"/>
  <c r="AEL1514" i="10"/>
  <c r="AEL1526" i="10"/>
  <c r="HW1516" i="10"/>
  <c r="HW1527" i="10"/>
  <c r="HW1530" i="10"/>
  <c r="HW1533" i="10"/>
  <c r="HW1515" i="10"/>
  <c r="HW1517" i="10"/>
  <c r="HW1524" i="10"/>
  <c r="HW1520" i="10"/>
  <c r="HW1514" i="10"/>
  <c r="HW1529" i="10"/>
  <c r="HW1532" i="10"/>
  <c r="HW1518" i="10"/>
  <c r="HW1519" i="10"/>
  <c r="HW1528" i="10"/>
  <c r="HW1521" i="10"/>
  <c r="HW1522" i="10"/>
  <c r="HW1526" i="10"/>
  <c r="HW1531" i="10"/>
  <c r="HW1525" i="10"/>
  <c r="HW1523" i="10"/>
  <c r="PJ1493" i="10"/>
  <c r="PJ1496" i="10"/>
  <c r="PJ1498" i="10"/>
  <c r="PJ1495" i="10"/>
  <c r="PJ1497" i="10"/>
  <c r="PJ1492" i="10"/>
  <c r="PJ1491" i="10"/>
  <c r="PJ1494" i="10"/>
  <c r="PJ1500" i="10"/>
  <c r="PJ1499" i="10"/>
  <c r="PJ1501" i="10"/>
  <c r="PJ1508" i="10"/>
  <c r="PJ1509" i="10"/>
  <c r="PJ1507" i="10"/>
  <c r="PJ1504" i="10"/>
  <c r="PJ1503" i="10"/>
  <c r="PJ1506" i="10"/>
  <c r="PJ1505" i="10"/>
  <c r="PJ1510" i="10"/>
  <c r="PJ1502" i="10"/>
  <c r="AAM1503" i="10"/>
  <c r="AAM1501" i="10"/>
  <c r="AAM1502" i="10"/>
  <c r="AAM1497" i="10"/>
  <c r="AAM1499" i="10"/>
  <c r="AAM1491" i="10"/>
  <c r="AAM1492" i="10"/>
  <c r="AAM1498" i="10"/>
  <c r="AAM1508" i="10"/>
  <c r="AAM1500" i="10"/>
  <c r="AAM1510" i="10"/>
  <c r="AAM1505" i="10"/>
  <c r="AAM1495" i="10"/>
  <c r="AAM1504" i="10"/>
  <c r="AAM1496" i="10"/>
  <c r="AAM1507" i="10"/>
  <c r="AAM1506" i="10"/>
  <c r="AAM1494" i="10"/>
  <c r="AAM1509" i="10"/>
  <c r="AAM1493" i="10"/>
  <c r="OA1493" i="10"/>
  <c r="OA1492" i="10"/>
  <c r="OA1491" i="10"/>
  <c r="OA1494" i="10"/>
  <c r="OA1496" i="10"/>
  <c r="OA1495" i="10"/>
  <c r="OA1497" i="10"/>
  <c r="OA1499" i="10"/>
  <c r="OA1498" i="10"/>
  <c r="OA1507" i="10"/>
  <c r="OA1500" i="10"/>
  <c r="OA1501" i="10"/>
  <c r="OA1505" i="10"/>
  <c r="OA1504" i="10"/>
  <c r="OA1503" i="10"/>
  <c r="OA1506" i="10"/>
  <c r="OA1502" i="10"/>
  <c r="OA1509" i="10"/>
  <c r="OA1510" i="10"/>
  <c r="OA1508" i="10"/>
  <c r="BA1514" i="10"/>
  <c r="BA1515" i="10"/>
  <c r="BA1516" i="10"/>
  <c r="BA1517" i="10"/>
  <c r="BA1519" i="10"/>
  <c r="BA1520" i="10"/>
  <c r="BA1518" i="10"/>
  <c r="BA1521" i="10"/>
  <c r="BA1522" i="10"/>
  <c r="BA1524" i="10"/>
  <c r="BA1523" i="10"/>
  <c r="BA1529" i="10"/>
  <c r="BA1525" i="10"/>
  <c r="BA1526" i="10"/>
  <c r="BA1527" i="10"/>
  <c r="BA1528" i="10"/>
  <c r="BA1530" i="10"/>
  <c r="BA1532" i="10"/>
  <c r="BA1531" i="10"/>
  <c r="BA1533" i="10"/>
  <c r="IM1491" i="10"/>
  <c r="IM1493" i="10"/>
  <c r="IM1492" i="10"/>
  <c r="IM1494" i="10"/>
  <c r="IM1499" i="10"/>
  <c r="IM1498" i="10"/>
  <c r="IM1500" i="10"/>
  <c r="IM1496" i="10"/>
  <c r="IM1497" i="10"/>
  <c r="IM1495" i="10"/>
  <c r="IM1501" i="10"/>
  <c r="IM1505" i="10"/>
  <c r="IM1502" i="10"/>
  <c r="IM1504" i="10"/>
  <c r="IM1503" i="10"/>
  <c r="IM1508" i="10"/>
  <c r="IM1506" i="10"/>
  <c r="IM1507" i="10"/>
  <c r="IM1510" i="10"/>
  <c r="IM1509" i="10"/>
  <c r="ADZ1531" i="10"/>
  <c r="ADZ1533" i="10"/>
  <c r="ADZ1518" i="10"/>
  <c r="ADZ1522" i="10"/>
  <c r="ADZ1524" i="10"/>
  <c r="ADZ1514" i="10"/>
  <c r="ADZ1527" i="10"/>
  <c r="ADZ1532" i="10"/>
  <c r="ADZ1521" i="10"/>
  <c r="ADZ1520" i="10"/>
  <c r="ADZ1525" i="10"/>
  <c r="ADZ1523" i="10"/>
  <c r="ADZ1529" i="10"/>
  <c r="ADZ1516" i="10"/>
  <c r="ADZ1526" i="10"/>
  <c r="ADZ1515" i="10"/>
  <c r="ADZ1528" i="10"/>
  <c r="ADZ1519" i="10"/>
  <c r="ADZ1517" i="10"/>
  <c r="ADZ1530" i="10"/>
  <c r="WB1492" i="10"/>
  <c r="WB1491" i="10"/>
  <c r="WB1494" i="10"/>
  <c r="WB1499" i="10"/>
  <c r="WB1496" i="10"/>
  <c r="WB1498" i="10"/>
  <c r="WB1493" i="10"/>
  <c r="WB1500" i="10"/>
  <c r="WB1495" i="10"/>
  <c r="WB1497" i="10"/>
  <c r="WB1504" i="10"/>
  <c r="WB1503" i="10"/>
  <c r="WB1506" i="10"/>
  <c r="WB1508" i="10"/>
  <c r="WB1509" i="10"/>
  <c r="WB1501" i="10"/>
  <c r="WB1505" i="10"/>
  <c r="WB1507" i="10"/>
  <c r="WB1502" i="10"/>
  <c r="WB1510" i="10"/>
  <c r="MH1516" i="10"/>
  <c r="MH1515" i="10"/>
  <c r="MH1518" i="10"/>
  <c r="MH1514" i="10"/>
  <c r="MH1517" i="10"/>
  <c r="MH1520" i="10"/>
  <c r="MH1523" i="10"/>
  <c r="MH1522" i="10"/>
  <c r="MH1521" i="10"/>
  <c r="MH1525" i="10"/>
  <c r="MH1528" i="10"/>
  <c r="MH1524" i="10"/>
  <c r="MH1529" i="10"/>
  <c r="MH1519" i="10"/>
  <c r="MH1527" i="10"/>
  <c r="MH1531" i="10"/>
  <c r="MH1532" i="10"/>
  <c r="MH1530" i="10"/>
  <c r="MH1526" i="10"/>
  <c r="MH1533" i="10"/>
  <c r="AEQ1492" i="10"/>
  <c r="AEQ1491" i="10"/>
  <c r="AEQ1494" i="10"/>
  <c r="AEQ1493" i="10"/>
  <c r="AEQ1496" i="10"/>
  <c r="AEQ1498" i="10"/>
  <c r="AEQ1501" i="10"/>
  <c r="AEQ1497" i="10"/>
  <c r="AEQ1495" i="10"/>
  <c r="AEQ1500" i="10"/>
  <c r="AEQ1504" i="10"/>
  <c r="AEQ1503" i="10"/>
  <c r="AEQ1506" i="10"/>
  <c r="AEQ1508" i="10"/>
  <c r="AEQ1502" i="10"/>
  <c r="AEQ1505" i="10"/>
  <c r="AEQ1507" i="10"/>
  <c r="AEQ1499" i="10"/>
  <c r="AEQ1509" i="10"/>
  <c r="AEQ1510" i="10"/>
  <c r="BV1517" i="10"/>
  <c r="BV1516" i="10"/>
  <c r="BV1514" i="10"/>
  <c r="BV1518" i="10"/>
  <c r="BV1515" i="10"/>
  <c r="BV1519" i="10"/>
  <c r="BV1523" i="10"/>
  <c r="BV1521" i="10"/>
  <c r="BV1522" i="10"/>
  <c r="BV1524" i="10"/>
  <c r="BV1520" i="10"/>
  <c r="BV1525" i="10"/>
  <c r="BV1526" i="10"/>
  <c r="BV1527" i="10"/>
  <c r="BV1528" i="10"/>
  <c r="BV1533" i="10"/>
  <c r="BV1530" i="10"/>
  <c r="BV1529" i="10"/>
  <c r="BV1532" i="10"/>
  <c r="BV1531" i="10"/>
  <c r="HM1493" i="10"/>
  <c r="HM1499" i="10"/>
  <c r="HM1491" i="10"/>
  <c r="HM1496" i="10"/>
  <c r="HM1498" i="10"/>
  <c r="HM1495" i="10"/>
  <c r="HM1497" i="10"/>
  <c r="HM1494" i="10"/>
  <c r="HM1500" i="10"/>
  <c r="HM1502" i="10"/>
  <c r="HM1501" i="10"/>
  <c r="HM1492" i="10"/>
  <c r="HM1506" i="10"/>
  <c r="HM1508" i="10"/>
  <c r="HM1507" i="10"/>
  <c r="HM1509" i="10"/>
  <c r="HM1504" i="10"/>
  <c r="HM1503" i="10"/>
  <c r="HM1505" i="10"/>
  <c r="HM1510" i="10"/>
  <c r="PX1492" i="10"/>
  <c r="PX1491" i="10"/>
  <c r="PX1494" i="10"/>
  <c r="PX1499" i="10"/>
  <c r="PX1493" i="10"/>
  <c r="PX1496" i="10"/>
  <c r="PX1498" i="10"/>
  <c r="PX1495" i="10"/>
  <c r="PX1497" i="10"/>
  <c r="PX1501" i="10"/>
  <c r="PX1504" i="10"/>
  <c r="PX1500" i="10"/>
  <c r="PX1502" i="10"/>
  <c r="PX1503" i="10"/>
  <c r="PX1506" i="10"/>
  <c r="PX1508" i="10"/>
  <c r="PX1509" i="10"/>
  <c r="PX1505" i="10"/>
  <c r="PX1507" i="10"/>
  <c r="PX1510" i="10"/>
  <c r="YI1516" i="10"/>
  <c r="YI1522" i="10"/>
  <c r="YI1526" i="10"/>
  <c r="YI1530" i="10"/>
  <c r="YI1518" i="10"/>
  <c r="YI1529" i="10"/>
  <c r="YI1515" i="10"/>
  <c r="YI1531" i="10"/>
  <c r="YI1520" i="10"/>
  <c r="YI1521" i="10"/>
  <c r="YI1525" i="10"/>
  <c r="YI1517" i="10"/>
  <c r="YI1524" i="10"/>
  <c r="YI1532" i="10"/>
  <c r="YI1523" i="10"/>
  <c r="YI1527" i="10"/>
  <c r="YI1528" i="10"/>
  <c r="YI1533" i="10"/>
  <c r="YI1514" i="10"/>
  <c r="YI1519" i="10"/>
  <c r="AE1491" i="10"/>
  <c r="AE1493" i="10"/>
  <c r="AE1492" i="10"/>
  <c r="AE1494" i="10"/>
  <c r="AE1497" i="10"/>
  <c r="AE1499" i="10"/>
  <c r="AE1495" i="10"/>
  <c r="AE1498" i="10"/>
  <c r="AE1500" i="10"/>
  <c r="AE1501" i="10"/>
  <c r="AE1502" i="10"/>
  <c r="AE1505" i="10"/>
  <c r="AE1504" i="10"/>
  <c r="AE1507" i="10"/>
  <c r="AE1503" i="10"/>
  <c r="AE1509" i="10"/>
  <c r="AE1506" i="10"/>
  <c r="AE1496" i="10"/>
  <c r="AE1508" i="10"/>
  <c r="AE1510" i="10"/>
  <c r="RB1493" i="10"/>
  <c r="RB1491" i="10"/>
  <c r="RB1496" i="10"/>
  <c r="RB1498" i="10"/>
  <c r="RB1495" i="10"/>
  <c r="RB1497" i="10"/>
  <c r="RB1494" i="10"/>
  <c r="RB1500" i="10"/>
  <c r="RB1492" i="10"/>
  <c r="RB1501" i="10"/>
  <c r="RB1499" i="10"/>
  <c r="RB1508" i="10"/>
  <c r="RB1509" i="10"/>
  <c r="RB1502" i="10"/>
  <c r="RB1507" i="10"/>
  <c r="RB1504" i="10"/>
  <c r="RB1503" i="10"/>
  <c r="RB1506" i="10"/>
  <c r="RB1505" i="10"/>
  <c r="RB1510" i="10"/>
  <c r="WR1492" i="10"/>
  <c r="WR1491" i="10"/>
  <c r="WR1495" i="10"/>
  <c r="WR1497" i="10"/>
  <c r="WR1493" i="10"/>
  <c r="WR1496" i="10"/>
  <c r="WR1498" i="10"/>
  <c r="WR1500" i="10"/>
  <c r="WR1494" i="10"/>
  <c r="WR1501" i="10"/>
  <c r="WR1499" i="10"/>
  <c r="WR1509" i="10"/>
  <c r="WR1507" i="10"/>
  <c r="WR1502" i="10"/>
  <c r="WR1505" i="10"/>
  <c r="WR1504" i="10"/>
  <c r="WR1508" i="10"/>
  <c r="WR1510" i="10"/>
  <c r="WR1506" i="10"/>
  <c r="WR1503" i="10"/>
  <c r="BQ1514" i="10"/>
  <c r="BQ1515" i="10"/>
  <c r="BQ1518" i="10"/>
  <c r="BQ1520" i="10"/>
  <c r="BQ1516" i="10"/>
  <c r="BQ1517" i="10"/>
  <c r="BQ1519" i="10"/>
  <c r="BQ1521" i="10"/>
  <c r="BQ1522" i="10"/>
  <c r="BQ1524" i="10"/>
  <c r="BQ1525" i="10"/>
  <c r="BQ1523" i="10"/>
  <c r="BQ1529" i="10"/>
  <c r="BQ1528" i="10"/>
  <c r="BQ1531" i="10"/>
  <c r="BQ1526" i="10"/>
  <c r="BQ1530" i="10"/>
  <c r="BQ1527" i="10"/>
  <c r="BQ1532" i="10"/>
  <c r="BQ1533" i="10"/>
  <c r="MW1514" i="10"/>
  <c r="MW1515" i="10"/>
  <c r="MW1518" i="10"/>
  <c r="MW1516" i="10"/>
  <c r="MW1520" i="10"/>
  <c r="MW1517" i="10"/>
  <c r="MW1519" i="10"/>
  <c r="MW1522" i="10"/>
  <c r="MW1523" i="10"/>
  <c r="MW1524" i="10"/>
  <c r="MW1521" i="10"/>
  <c r="MW1525" i="10"/>
  <c r="MW1526" i="10"/>
  <c r="MW1527" i="10"/>
  <c r="MW1528" i="10"/>
  <c r="MW1529" i="10"/>
  <c r="MW1531" i="10"/>
  <c r="MW1530" i="10"/>
  <c r="MW1533" i="10"/>
  <c r="MW1532" i="10"/>
  <c r="UI1503" i="10"/>
  <c r="UI1502" i="10"/>
  <c r="UI1505" i="10"/>
  <c r="UI1491" i="10"/>
  <c r="UI1501" i="10"/>
  <c r="UI1510" i="10"/>
  <c r="UI1497" i="10"/>
  <c r="UI1499" i="10"/>
  <c r="UI1507" i="10"/>
  <c r="UI1506" i="10"/>
  <c r="UI1492" i="10"/>
  <c r="UI1495" i="10"/>
  <c r="UI1504" i="10"/>
  <c r="UI1493" i="10"/>
  <c r="UI1494" i="10"/>
  <c r="UI1508" i="10"/>
  <c r="UI1498" i="10"/>
  <c r="UI1500" i="10"/>
  <c r="UI1509" i="10"/>
  <c r="UI1496" i="10"/>
  <c r="HH1517" i="10"/>
  <c r="HH1516" i="10"/>
  <c r="HH1515" i="10"/>
  <c r="HH1518" i="10"/>
  <c r="HH1520" i="10"/>
  <c r="HH1519" i="10"/>
  <c r="HH1514" i="10"/>
  <c r="HH1523" i="10"/>
  <c r="HH1521" i="10"/>
  <c r="HH1522" i="10"/>
  <c r="HH1524" i="10"/>
  <c r="HH1525" i="10"/>
  <c r="HH1526" i="10"/>
  <c r="HH1528" i="10"/>
  <c r="HH1527" i="10"/>
  <c r="HH1533" i="10"/>
  <c r="HH1529" i="10"/>
  <c r="HH1531" i="10"/>
  <c r="HH1532" i="10"/>
  <c r="HH1530" i="10"/>
  <c r="OT1492" i="10"/>
  <c r="OT1491" i="10"/>
  <c r="OT1493" i="10"/>
  <c r="OT1494" i="10"/>
  <c r="OT1500" i="10"/>
  <c r="OT1495" i="10"/>
  <c r="OT1501" i="10"/>
  <c r="OT1496" i="10"/>
  <c r="OT1498" i="10"/>
  <c r="OT1499" i="10"/>
  <c r="OT1497" i="10"/>
  <c r="OT1505" i="10"/>
  <c r="OT1504" i="10"/>
  <c r="OT1503" i="10"/>
  <c r="OT1506" i="10"/>
  <c r="OT1508" i="10"/>
  <c r="OT1509" i="10"/>
  <c r="OT1502" i="10"/>
  <c r="OT1507" i="10"/>
  <c r="OT1510" i="10"/>
  <c r="CD1516" i="10"/>
  <c r="CD1517" i="10"/>
  <c r="CD1514" i="10"/>
  <c r="CD1515" i="10"/>
  <c r="CD1518" i="10"/>
  <c r="CD1519" i="10"/>
  <c r="CD1520" i="10"/>
  <c r="CD1521" i="10"/>
  <c r="CD1523" i="10"/>
  <c r="CD1522" i="10"/>
  <c r="CD1525" i="10"/>
  <c r="CD1527" i="10"/>
  <c r="CD1528" i="10"/>
  <c r="CD1529" i="10"/>
  <c r="CD1526" i="10"/>
  <c r="CD1530" i="10"/>
  <c r="CD1524" i="10"/>
  <c r="CD1532" i="10"/>
  <c r="CD1531" i="10"/>
  <c r="CD1533" i="10"/>
  <c r="JS1491" i="10"/>
  <c r="JS1493" i="10"/>
  <c r="JS1492" i="10"/>
  <c r="JS1494" i="10"/>
  <c r="JS1499" i="10"/>
  <c r="JS1496" i="10"/>
  <c r="JS1498" i="10"/>
  <c r="JS1495" i="10"/>
  <c r="JS1501" i="10"/>
  <c r="JS1505" i="10"/>
  <c r="JS1497" i="10"/>
  <c r="JS1504" i="10"/>
  <c r="JS1503" i="10"/>
  <c r="JS1506" i="10"/>
  <c r="JS1500" i="10"/>
  <c r="JS1508" i="10"/>
  <c r="JS1502" i="10"/>
  <c r="JS1507" i="10"/>
  <c r="JS1510" i="10"/>
  <c r="JS1509" i="10"/>
  <c r="AET1515" i="10"/>
  <c r="AET1514" i="10"/>
  <c r="AET1517" i="10"/>
  <c r="AET1520" i="10"/>
  <c r="AET1519" i="10"/>
  <c r="AET1516" i="10"/>
  <c r="AET1518" i="10"/>
  <c r="AET1522" i="10"/>
  <c r="AET1521" i="10"/>
  <c r="AET1528" i="10"/>
  <c r="AET1527" i="10"/>
  <c r="AET1529" i="10"/>
  <c r="AET1525" i="10"/>
  <c r="AET1530" i="10"/>
  <c r="AET1526" i="10"/>
  <c r="AET1531" i="10"/>
  <c r="AET1532" i="10"/>
  <c r="AET1533" i="10"/>
  <c r="AET1523" i="10"/>
  <c r="AET1524" i="10"/>
  <c r="EO1492" i="10"/>
  <c r="EO1491" i="10"/>
  <c r="EO1494" i="10"/>
  <c r="EO1499" i="10"/>
  <c r="EO1493" i="10"/>
  <c r="EO1496" i="10"/>
  <c r="EO1497" i="10"/>
  <c r="EO1495" i="10"/>
  <c r="EO1498" i="10"/>
  <c r="EO1500" i="10"/>
  <c r="EO1501" i="10"/>
  <c r="EO1504" i="10"/>
  <c r="EO1506" i="10"/>
  <c r="EO1502" i="10"/>
  <c r="EO1503" i="10"/>
  <c r="EO1507" i="10"/>
  <c r="EO1509" i="10"/>
  <c r="EO1508" i="10"/>
  <c r="EO1505" i="10"/>
  <c r="EO1510" i="10"/>
  <c r="AAW1515" i="10"/>
  <c r="AAW1514" i="10"/>
  <c r="AAW1516" i="10"/>
  <c r="AAW1517" i="10"/>
  <c r="AAW1518" i="10"/>
  <c r="AAW1519" i="10"/>
  <c r="AAW1524" i="10"/>
  <c r="AAW1521" i="10"/>
  <c r="AAW1520" i="10"/>
  <c r="AAW1523" i="10"/>
  <c r="AAW1526" i="10"/>
  <c r="AAW1522" i="10"/>
  <c r="AAW1528" i="10"/>
  <c r="AAW1527" i="10"/>
  <c r="AAW1530" i="10"/>
  <c r="AAW1525" i="10"/>
  <c r="AAW1531" i="10"/>
  <c r="AAW1529" i="10"/>
  <c r="AAW1532" i="10"/>
  <c r="AAW1533" i="10"/>
  <c r="OL1531" i="10"/>
  <c r="OL1532" i="10"/>
  <c r="OL1527" i="10"/>
  <c r="OL1530" i="10"/>
  <c r="OL1529" i="10"/>
  <c r="OL1525" i="10"/>
  <c r="OL1526" i="10"/>
  <c r="OL1524" i="10"/>
  <c r="OL1514" i="10"/>
  <c r="OL1523" i="10"/>
  <c r="OL1533" i="10"/>
  <c r="OL1517" i="10"/>
  <c r="OL1519" i="10"/>
  <c r="OL1520" i="10"/>
  <c r="OL1518" i="10"/>
  <c r="OL1515" i="10"/>
  <c r="OL1522" i="10"/>
  <c r="OL1528" i="10"/>
  <c r="OL1516" i="10"/>
  <c r="OL1521" i="10"/>
  <c r="WA1491" i="10"/>
  <c r="WA1492" i="10"/>
  <c r="WA1494" i="10"/>
  <c r="WA1496" i="10"/>
  <c r="WA1498" i="10"/>
  <c r="WA1493" i="10"/>
  <c r="WA1495" i="10"/>
  <c r="WA1497" i="10"/>
  <c r="WA1501" i="10"/>
  <c r="WA1500" i="10"/>
  <c r="WA1503" i="10"/>
  <c r="WA1506" i="10"/>
  <c r="WA1509" i="10"/>
  <c r="WA1502" i="10"/>
  <c r="WA1507" i="10"/>
  <c r="WA1505" i="10"/>
  <c r="WA1504" i="10"/>
  <c r="WA1508" i="10"/>
  <c r="WA1499" i="10"/>
  <c r="WA1510" i="10"/>
  <c r="AFL1492" i="10"/>
  <c r="AFL1491" i="10"/>
  <c r="AFL1493" i="10"/>
  <c r="AFL1495" i="10"/>
  <c r="AFL1496" i="10"/>
  <c r="AFL1497" i="10"/>
  <c r="AFL1498" i="10"/>
  <c r="AFL1499" i="10"/>
  <c r="AFL1494" i="10"/>
  <c r="AFL1500" i="10"/>
  <c r="AFL1502" i="10"/>
  <c r="AFL1505" i="10"/>
  <c r="AFL1504" i="10"/>
  <c r="AFL1503" i="10"/>
  <c r="AFL1506" i="10"/>
  <c r="AFL1508" i="10"/>
  <c r="AFL1509" i="10"/>
  <c r="AFL1501" i="10"/>
  <c r="AFL1507" i="10"/>
  <c r="AFL1510" i="10"/>
  <c r="JA1515" i="10"/>
  <c r="JA1516" i="10"/>
  <c r="JA1517" i="10"/>
  <c r="JA1514" i="10"/>
  <c r="JA1520" i="10"/>
  <c r="JA1519" i="10"/>
  <c r="JA1518" i="10"/>
  <c r="JA1522" i="10"/>
  <c r="JA1527" i="10"/>
  <c r="JA1526" i="10"/>
  <c r="JA1521" i="10"/>
  <c r="JA1528" i="10"/>
  <c r="JA1523" i="10"/>
  <c r="JA1533" i="10"/>
  <c r="JA1525" i="10"/>
  <c r="JA1532" i="10"/>
  <c r="JA1529" i="10"/>
  <c r="JA1524" i="10"/>
  <c r="JA1530" i="10"/>
  <c r="JA1531" i="10"/>
  <c r="QM1493" i="10"/>
  <c r="QM1492" i="10"/>
  <c r="QM1491" i="10"/>
  <c r="QM1494" i="10"/>
  <c r="QM1496" i="10"/>
  <c r="QM1495" i="10"/>
  <c r="QM1497" i="10"/>
  <c r="QM1498" i="10"/>
  <c r="QM1499" i="10"/>
  <c r="QM1507" i="10"/>
  <c r="QM1505" i="10"/>
  <c r="QM1500" i="10"/>
  <c r="QM1504" i="10"/>
  <c r="QM1503" i="10"/>
  <c r="QM1506" i="10"/>
  <c r="QM1502" i="10"/>
  <c r="QM1501" i="10"/>
  <c r="QM1509" i="10"/>
  <c r="QM1510" i="10"/>
  <c r="QM1508" i="10"/>
  <c r="UE1526" i="10"/>
  <c r="UE1533" i="10"/>
  <c r="UE1522" i="10"/>
  <c r="UE1532" i="10"/>
  <c r="UE1528" i="10"/>
  <c r="UE1524" i="10"/>
  <c r="UE1529" i="10"/>
  <c r="UE1518" i="10"/>
  <c r="UE1531" i="10"/>
  <c r="UE1516" i="10"/>
  <c r="UE1523" i="10"/>
  <c r="UE1530" i="10"/>
  <c r="UE1515" i="10"/>
  <c r="UE1525" i="10"/>
  <c r="UE1527" i="10"/>
  <c r="UE1514" i="10"/>
  <c r="UE1520" i="10"/>
  <c r="UE1519" i="10"/>
  <c r="UE1521" i="10"/>
  <c r="UE1517" i="10"/>
  <c r="PY1514" i="10"/>
  <c r="PY1515" i="10"/>
  <c r="PY1516" i="10"/>
  <c r="PY1519" i="10"/>
  <c r="PY1520" i="10"/>
  <c r="PY1517" i="10"/>
  <c r="PY1518" i="10"/>
  <c r="PY1522" i="10"/>
  <c r="PY1523" i="10"/>
  <c r="PY1524" i="10"/>
  <c r="PY1525" i="10"/>
  <c r="PY1526" i="10"/>
  <c r="PY1521" i="10"/>
  <c r="PY1528" i="10"/>
  <c r="PY1529" i="10"/>
  <c r="PY1533" i="10"/>
  <c r="PY1530" i="10"/>
  <c r="PY1531" i="10"/>
  <c r="PY1527" i="10"/>
  <c r="PY1532" i="10"/>
  <c r="VF1492" i="10"/>
  <c r="VF1491" i="10"/>
  <c r="VF1494" i="10"/>
  <c r="VF1499" i="10"/>
  <c r="VF1496" i="10"/>
  <c r="VF1498" i="10"/>
  <c r="VF1493" i="10"/>
  <c r="VF1497" i="10"/>
  <c r="VF1500" i="10"/>
  <c r="VF1501" i="10"/>
  <c r="VF1504" i="10"/>
  <c r="VF1503" i="10"/>
  <c r="VF1506" i="10"/>
  <c r="VF1502" i="10"/>
  <c r="VF1508" i="10"/>
  <c r="VF1495" i="10"/>
  <c r="VF1509" i="10"/>
  <c r="VF1505" i="10"/>
  <c r="VF1507" i="10"/>
  <c r="VF1510" i="10"/>
  <c r="YW1529" i="10"/>
  <c r="YW1533" i="10"/>
  <c r="YW1520" i="10"/>
  <c r="YW1530" i="10"/>
  <c r="YW1519" i="10"/>
  <c r="YW1531" i="10"/>
  <c r="YW1522" i="10"/>
  <c r="YW1525" i="10"/>
  <c r="YW1514" i="10"/>
  <c r="YW1526" i="10"/>
  <c r="YW1515" i="10"/>
  <c r="YW1523" i="10"/>
  <c r="YW1518" i="10"/>
  <c r="YW1527" i="10"/>
  <c r="YW1516" i="10"/>
  <c r="YW1517" i="10"/>
  <c r="YW1524" i="10"/>
  <c r="YW1521" i="10"/>
  <c r="YW1528" i="10"/>
  <c r="YW1532" i="10"/>
  <c r="CE1493" i="10"/>
  <c r="CE1497" i="10"/>
  <c r="CE1499" i="10"/>
  <c r="CE1496" i="10"/>
  <c r="CE1498" i="10"/>
  <c r="CE1495" i="10"/>
  <c r="CE1491" i="10"/>
  <c r="CE1492" i="10"/>
  <c r="CE1494" i="10"/>
  <c r="CE1500" i="10"/>
  <c r="CE1502" i="10"/>
  <c r="CE1501" i="10"/>
  <c r="CE1508" i="10"/>
  <c r="CE1506" i="10"/>
  <c r="CE1504" i="10"/>
  <c r="CE1507" i="10"/>
  <c r="CE1503" i="10"/>
  <c r="CE1509" i="10"/>
  <c r="CE1510" i="10"/>
  <c r="CE1505" i="10"/>
  <c r="TB1530" i="10"/>
  <c r="TB1527" i="10"/>
  <c r="TB1520" i="10"/>
  <c r="TB1524" i="10"/>
  <c r="TB1521" i="10"/>
  <c r="TB1526" i="10"/>
  <c r="TB1529" i="10"/>
  <c r="TB1522" i="10"/>
  <c r="TB1516" i="10"/>
  <c r="TB1531" i="10"/>
  <c r="TB1518" i="10"/>
  <c r="TB1533" i="10"/>
  <c r="TB1515" i="10"/>
  <c r="TB1523" i="10"/>
  <c r="TB1532" i="10"/>
  <c r="TB1514" i="10"/>
  <c r="TB1525" i="10"/>
  <c r="TB1517" i="10"/>
  <c r="TB1528" i="10"/>
  <c r="TB1519" i="10"/>
  <c r="YS1492" i="10"/>
  <c r="YS1491" i="10"/>
  <c r="YS1494" i="10"/>
  <c r="YS1496" i="10"/>
  <c r="YS1493" i="10"/>
  <c r="YS1495" i="10"/>
  <c r="YS1497" i="10"/>
  <c r="YS1499" i="10"/>
  <c r="YS1498" i="10"/>
  <c r="YS1500" i="10"/>
  <c r="YS1507" i="10"/>
  <c r="YS1501" i="10"/>
  <c r="YS1502" i="10"/>
  <c r="YS1505" i="10"/>
  <c r="YS1504" i="10"/>
  <c r="YS1503" i="10"/>
  <c r="YS1506" i="10"/>
  <c r="YS1509" i="10"/>
  <c r="YS1510" i="10"/>
  <c r="YS1508" i="10"/>
  <c r="DI1514" i="10"/>
  <c r="DI1515" i="10"/>
  <c r="DI1516" i="10"/>
  <c r="DI1519" i="10"/>
  <c r="DI1518" i="10"/>
  <c r="DI1520" i="10"/>
  <c r="DI1517" i="10"/>
  <c r="DI1522" i="10"/>
  <c r="DI1524" i="10"/>
  <c r="DI1521" i="10"/>
  <c r="DI1526" i="10"/>
  <c r="DI1528" i="10"/>
  <c r="DI1527" i="10"/>
  <c r="DI1533" i="10"/>
  <c r="DI1523" i="10"/>
  <c r="DI1529" i="10"/>
  <c r="DI1530" i="10"/>
  <c r="DI1525" i="10"/>
  <c r="DI1532" i="10"/>
  <c r="DI1531" i="10"/>
  <c r="LU1516" i="10"/>
  <c r="LU1514" i="10"/>
  <c r="LU1517" i="10"/>
  <c r="LU1520" i="10"/>
  <c r="LU1522" i="10"/>
  <c r="LU1524" i="10"/>
  <c r="LU1515" i="10"/>
  <c r="LU1519" i="10"/>
  <c r="LU1518" i="10"/>
  <c r="LU1521" i="10"/>
  <c r="LU1525" i="10"/>
  <c r="LU1523" i="10"/>
  <c r="LU1526" i="10"/>
  <c r="LU1529" i="10"/>
  <c r="LU1528" i="10"/>
  <c r="LU1527" i="10"/>
  <c r="LU1530" i="10"/>
  <c r="LU1531" i="10"/>
  <c r="LU1532" i="10"/>
  <c r="LU1533" i="10"/>
  <c r="RK1493" i="10"/>
  <c r="RK1492" i="10"/>
  <c r="RK1496" i="10"/>
  <c r="RK1498" i="10"/>
  <c r="RK1491" i="10"/>
  <c r="RK1495" i="10"/>
  <c r="RK1497" i="10"/>
  <c r="RK1494" i="10"/>
  <c r="RK1499" i="10"/>
  <c r="RK1500" i="10"/>
  <c r="RK1501" i="10"/>
  <c r="RK1507" i="10"/>
  <c r="RK1502" i="10"/>
  <c r="RK1505" i="10"/>
  <c r="RK1503" i="10"/>
  <c r="RK1506" i="10"/>
  <c r="RK1508" i="10"/>
  <c r="RK1504" i="10"/>
  <c r="RK1509" i="10"/>
  <c r="RK1510" i="10"/>
  <c r="NI1493" i="10"/>
  <c r="NI1492" i="10"/>
  <c r="NI1496" i="10"/>
  <c r="NI1498" i="10"/>
  <c r="NI1495" i="10"/>
  <c r="NI1497" i="10"/>
  <c r="NI1491" i="10"/>
  <c r="NI1494" i="10"/>
  <c r="NI1499" i="10"/>
  <c r="NI1501" i="10"/>
  <c r="NI1500" i="10"/>
  <c r="NI1507" i="10"/>
  <c r="NI1505" i="10"/>
  <c r="NI1502" i="10"/>
  <c r="NI1503" i="10"/>
  <c r="NI1506" i="10"/>
  <c r="NI1508" i="10"/>
  <c r="NI1504" i="10"/>
  <c r="NI1509" i="10"/>
  <c r="NI1510" i="10"/>
  <c r="ADM1523" i="10"/>
  <c r="ADM1529" i="10"/>
  <c r="ADM1532" i="10"/>
  <c r="ADM1533" i="10"/>
  <c r="ADM1520" i="10"/>
  <c r="ADM1515" i="10"/>
  <c r="ADM1521" i="10"/>
  <c r="ADM1519" i="10"/>
  <c r="ADM1522" i="10"/>
  <c r="ADM1528" i="10"/>
  <c r="ADM1518" i="10"/>
  <c r="ADM1530" i="10"/>
  <c r="ADM1524" i="10"/>
  <c r="ADM1525" i="10"/>
  <c r="ADM1517" i="10"/>
  <c r="ADM1527" i="10"/>
  <c r="ADM1526" i="10"/>
  <c r="ADM1514" i="10"/>
  <c r="ADM1516" i="10"/>
  <c r="ADM1531" i="10"/>
  <c r="CR1491" i="10"/>
  <c r="CR1493" i="10"/>
  <c r="CR1492" i="10"/>
  <c r="CR1494" i="10"/>
  <c r="CR1497" i="10"/>
  <c r="CR1499" i="10"/>
  <c r="CR1495" i="10"/>
  <c r="CR1498" i="10"/>
  <c r="CR1500" i="10"/>
  <c r="CR1501" i="10"/>
  <c r="CR1496" i="10"/>
  <c r="CR1505" i="10"/>
  <c r="CR1504" i="10"/>
  <c r="CR1507" i="10"/>
  <c r="CR1503" i="10"/>
  <c r="CR1509" i="10"/>
  <c r="CR1502" i="10"/>
  <c r="CR1506" i="10"/>
  <c r="CR1510" i="10"/>
  <c r="CR1508" i="10"/>
  <c r="AFB1492" i="10"/>
  <c r="AFB1491" i="10"/>
  <c r="AFB1494" i="10"/>
  <c r="AFB1493" i="10"/>
  <c r="AFB1495" i="10"/>
  <c r="AFB1497" i="10"/>
  <c r="AFB1498" i="10"/>
  <c r="AFB1499" i="10"/>
  <c r="AFB1501" i="10"/>
  <c r="AFB1496" i="10"/>
  <c r="AFB1505" i="10"/>
  <c r="AFB1504" i="10"/>
  <c r="AFB1503" i="10"/>
  <c r="AFB1506" i="10"/>
  <c r="AFB1508" i="10"/>
  <c r="AFB1509" i="10"/>
  <c r="AFB1500" i="10"/>
  <c r="AFB1502" i="10"/>
  <c r="AFB1507" i="10"/>
  <c r="AFB1510" i="10"/>
  <c r="UA1515" i="10"/>
  <c r="UA1517" i="10"/>
  <c r="UA1514" i="10"/>
  <c r="UA1522" i="10"/>
  <c r="UA1516" i="10"/>
  <c r="UA1523" i="10"/>
  <c r="UA1520" i="10"/>
  <c r="UA1518" i="10"/>
  <c r="UA1521" i="10"/>
  <c r="UA1524" i="10"/>
  <c r="UA1528" i="10"/>
  <c r="UA1526" i="10"/>
  <c r="UA1525" i="10"/>
  <c r="UA1527" i="10"/>
  <c r="UA1530" i="10"/>
  <c r="UA1529" i="10"/>
  <c r="UA1533" i="10"/>
  <c r="UA1531" i="10"/>
  <c r="UA1532" i="10"/>
  <c r="UA1519" i="10"/>
  <c r="ABH1492" i="10"/>
  <c r="ABH1491" i="10"/>
  <c r="ABH1495" i="10"/>
  <c r="ABH1497" i="10"/>
  <c r="ABH1493" i="10"/>
  <c r="ABH1496" i="10"/>
  <c r="ABH1498" i="10"/>
  <c r="ABH1494" i="10"/>
  <c r="ABH1500" i="10"/>
  <c r="ABH1501" i="10"/>
  <c r="ABH1499" i="10"/>
  <c r="ABH1502" i="10"/>
  <c r="ABH1509" i="10"/>
  <c r="ABH1507" i="10"/>
  <c r="ABH1505" i="10"/>
  <c r="ABH1504" i="10"/>
  <c r="ABH1508" i="10"/>
  <c r="ABH1506" i="10"/>
  <c r="ABH1503" i="10"/>
  <c r="ABH1510" i="10"/>
  <c r="DS1491" i="10"/>
  <c r="DS1494" i="10"/>
  <c r="DS1492" i="10"/>
  <c r="DS1497" i="10"/>
  <c r="DS1499" i="10"/>
  <c r="DS1496" i="10"/>
  <c r="DS1498" i="10"/>
  <c r="DS1495" i="10"/>
  <c r="DS1493" i="10"/>
  <c r="DS1502" i="10"/>
  <c r="DS1500" i="10"/>
  <c r="DS1503" i="10"/>
  <c r="DS1509" i="10"/>
  <c r="DS1501" i="10"/>
  <c r="DS1508" i="10"/>
  <c r="DS1505" i="10"/>
  <c r="DS1504" i="10"/>
  <c r="DS1507" i="10"/>
  <c r="DS1506" i="10"/>
  <c r="DS1510" i="10"/>
  <c r="AAD1516" i="10"/>
  <c r="AAD1514" i="10"/>
  <c r="AAD1519" i="10"/>
  <c r="AAD1517" i="10"/>
  <c r="AAD1518" i="10"/>
  <c r="AAD1524" i="10"/>
  <c r="AAD1515" i="10"/>
  <c r="AAD1520" i="10"/>
  <c r="AAD1521" i="10"/>
  <c r="AAD1525" i="10"/>
  <c r="AAD1526" i="10"/>
  <c r="AAD1527" i="10"/>
  <c r="AAD1528" i="10"/>
  <c r="AAD1530" i="10"/>
  <c r="AAD1529" i="10"/>
  <c r="AAD1523" i="10"/>
  <c r="AAD1532" i="10"/>
  <c r="AAD1533" i="10"/>
  <c r="AAD1522" i="10"/>
  <c r="AAD1531" i="10"/>
  <c r="AFT1491" i="10"/>
  <c r="AFT1492" i="10"/>
  <c r="AFT1493" i="10"/>
  <c r="AFT1499" i="10"/>
  <c r="AFT1494" i="10"/>
  <c r="AFT1500" i="10"/>
  <c r="AFT1496" i="10"/>
  <c r="AFT1495" i="10"/>
  <c r="AFT1497" i="10"/>
  <c r="AFT1498" i="10"/>
  <c r="AFT1505" i="10"/>
  <c r="AFT1502" i="10"/>
  <c r="AFT1504" i="10"/>
  <c r="AFT1501" i="10"/>
  <c r="AFT1503" i="10"/>
  <c r="AFT1506" i="10"/>
  <c r="AFT1508" i="10"/>
  <c r="AFT1507" i="10"/>
  <c r="AFT1510" i="10"/>
  <c r="AFT1509" i="10"/>
  <c r="JL1515" i="10"/>
  <c r="JL1518" i="10"/>
  <c r="JL1520" i="10"/>
  <c r="JL1519" i="10"/>
  <c r="JL1514" i="10"/>
  <c r="JL1517" i="10"/>
  <c r="JL1516" i="10"/>
  <c r="JL1524" i="10"/>
  <c r="JL1525" i="10"/>
  <c r="JL1527" i="10"/>
  <c r="JL1521" i="10"/>
  <c r="JL1526" i="10"/>
  <c r="JL1523" i="10"/>
  <c r="JL1529" i="10"/>
  <c r="JL1533" i="10"/>
  <c r="JL1522" i="10"/>
  <c r="JL1530" i="10"/>
  <c r="JL1531" i="10"/>
  <c r="JL1528" i="10"/>
  <c r="JL1532" i="10"/>
  <c r="US1515" i="10"/>
  <c r="US1517" i="10"/>
  <c r="US1516" i="10"/>
  <c r="US1514" i="10"/>
  <c r="US1520" i="10"/>
  <c r="US1521" i="10"/>
  <c r="US1518" i="10"/>
  <c r="US1522" i="10"/>
  <c r="US1523" i="10"/>
  <c r="US1519" i="10"/>
  <c r="US1526" i="10"/>
  <c r="US1524" i="10"/>
  <c r="US1527" i="10"/>
  <c r="US1525" i="10"/>
  <c r="US1528" i="10"/>
  <c r="US1529" i="10"/>
  <c r="US1531" i="10"/>
  <c r="US1532" i="10"/>
  <c r="US1530" i="10"/>
  <c r="US1533" i="10"/>
  <c r="ABV1492" i="10"/>
  <c r="ABV1491" i="10"/>
  <c r="ABV1494" i="10"/>
  <c r="ABV1493" i="10"/>
  <c r="ABV1496" i="10"/>
  <c r="ABV1498" i="10"/>
  <c r="ABV1501" i="10"/>
  <c r="ABV1497" i="10"/>
  <c r="ABV1495" i="10"/>
  <c r="ABV1500" i="10"/>
  <c r="ABV1499" i="10"/>
  <c r="ABV1504" i="10"/>
  <c r="ABV1503" i="10"/>
  <c r="ABV1506" i="10"/>
  <c r="ABV1508" i="10"/>
  <c r="ABV1502" i="10"/>
  <c r="ABV1509" i="10"/>
  <c r="ABV1505" i="10"/>
  <c r="ABV1507" i="10"/>
  <c r="ABV1510" i="10"/>
  <c r="IO1518" i="10"/>
  <c r="IO1517" i="10"/>
  <c r="IO1515" i="10"/>
  <c r="IO1516" i="10"/>
  <c r="IO1514" i="10"/>
  <c r="IO1519" i="10"/>
  <c r="IO1520" i="10"/>
  <c r="IO1523" i="10"/>
  <c r="IO1524" i="10"/>
  <c r="IO1527" i="10"/>
  <c r="IO1526" i="10"/>
  <c r="IO1528" i="10"/>
  <c r="IO1522" i="10"/>
  <c r="IO1525" i="10"/>
  <c r="IO1521" i="10"/>
  <c r="IO1533" i="10"/>
  <c r="IO1531" i="10"/>
  <c r="IO1532" i="10"/>
  <c r="IO1530" i="10"/>
  <c r="IO1529" i="10"/>
  <c r="AGE1533" i="10"/>
  <c r="AGE1517" i="10"/>
  <c r="AGE1520" i="10"/>
  <c r="AGE1526" i="10"/>
  <c r="AGE1515" i="10"/>
  <c r="AGE1525" i="10"/>
  <c r="AGE1527" i="10"/>
  <c r="AGE1514" i="10"/>
  <c r="AGE1532" i="10"/>
  <c r="AGE1519" i="10"/>
  <c r="AGE1529" i="10"/>
  <c r="AGE1524" i="10"/>
  <c r="AGE1531" i="10"/>
  <c r="AGE1518" i="10"/>
  <c r="AGE1530" i="10"/>
  <c r="AGE1523" i="10"/>
  <c r="AGE1528" i="10"/>
  <c r="AGE1522" i="10"/>
  <c r="AGE1516" i="10"/>
  <c r="AGE1521" i="10"/>
  <c r="EI1498" i="10"/>
  <c r="EI1497" i="10"/>
  <c r="EI1508" i="10"/>
  <c r="EI1506" i="10"/>
  <c r="EI1509" i="10"/>
  <c r="EI1507" i="10"/>
  <c r="EI1510" i="10"/>
  <c r="EI1502" i="10"/>
  <c r="EI1503" i="10"/>
  <c r="EI1499" i="10"/>
  <c r="EI1504" i="10"/>
  <c r="EI1501" i="10"/>
  <c r="EI1495" i="10"/>
  <c r="EI1500" i="10"/>
  <c r="EI1494" i="10"/>
  <c r="EI1496" i="10"/>
  <c r="EI1491" i="10"/>
  <c r="EI1505" i="10"/>
  <c r="EI1492" i="10"/>
  <c r="EI1493" i="10"/>
  <c r="HZ1514" i="10"/>
  <c r="HZ1515" i="10"/>
  <c r="HZ1516" i="10"/>
  <c r="HZ1518" i="10"/>
  <c r="HZ1523" i="10"/>
  <c r="HZ1521" i="10"/>
  <c r="HZ1522" i="10"/>
  <c r="HZ1519" i="10"/>
  <c r="HZ1520" i="10"/>
  <c r="HZ1528" i="10"/>
  <c r="HZ1517" i="10"/>
  <c r="HZ1525" i="10"/>
  <c r="HZ1527" i="10"/>
  <c r="HZ1529" i="10"/>
  <c r="HZ1526" i="10"/>
  <c r="HZ1531" i="10"/>
  <c r="HZ1532" i="10"/>
  <c r="HZ1530" i="10"/>
  <c r="HZ1524" i="10"/>
  <c r="HZ1533" i="10"/>
  <c r="NG1503" i="10"/>
  <c r="NG1502" i="10"/>
  <c r="NG1493" i="10"/>
  <c r="NG1510" i="10"/>
  <c r="NG1496" i="10"/>
  <c r="NG1509" i="10"/>
  <c r="NG1491" i="10"/>
  <c r="NG1501" i="10"/>
  <c r="NG1505" i="10"/>
  <c r="NG1507" i="10"/>
  <c r="NG1504" i="10"/>
  <c r="NG1492" i="10"/>
  <c r="NG1494" i="10"/>
  <c r="NG1508" i="10"/>
  <c r="NG1499" i="10"/>
  <c r="NG1498" i="10"/>
  <c r="NG1495" i="10"/>
  <c r="NG1497" i="10"/>
  <c r="NG1506" i="10"/>
  <c r="NG1500" i="10"/>
  <c r="FJ1516" i="10"/>
  <c r="FJ1514" i="10"/>
  <c r="FJ1518" i="10"/>
  <c r="FJ1520" i="10"/>
  <c r="FJ1515" i="10"/>
  <c r="FJ1517" i="10"/>
  <c r="FJ1521" i="10"/>
  <c r="FJ1522" i="10"/>
  <c r="FJ1525" i="10"/>
  <c r="FJ1524" i="10"/>
  <c r="FJ1519" i="10"/>
  <c r="FJ1523" i="10"/>
  <c r="FJ1527" i="10"/>
  <c r="FJ1526" i="10"/>
  <c r="FJ1532" i="10"/>
  <c r="FJ1531" i="10"/>
  <c r="FJ1528" i="10"/>
  <c r="FJ1529" i="10"/>
  <c r="FJ1530" i="10"/>
  <c r="FJ1533" i="10"/>
  <c r="NU1522" i="10"/>
  <c r="NU1527" i="10"/>
  <c r="NU1526" i="10"/>
  <c r="NU1531" i="10"/>
  <c r="NU1532" i="10"/>
  <c r="NU1533" i="10"/>
  <c r="NU1530" i="10"/>
  <c r="NU1524" i="10"/>
  <c r="NU1528" i="10"/>
  <c r="NU1529" i="10"/>
  <c r="NU1516" i="10"/>
  <c r="NU1518" i="10"/>
  <c r="NU1515" i="10"/>
  <c r="NU1525" i="10"/>
  <c r="NU1519" i="10"/>
  <c r="NU1514" i="10"/>
  <c r="NU1517" i="10"/>
  <c r="NU1521" i="10"/>
  <c r="NU1523" i="10"/>
  <c r="NU1520" i="10"/>
  <c r="TK1503" i="10"/>
  <c r="TK1502" i="10"/>
  <c r="TK1504" i="10"/>
  <c r="TK1493" i="10"/>
  <c r="TK1505" i="10"/>
  <c r="TK1496" i="10"/>
  <c r="TK1509" i="10"/>
  <c r="TK1510" i="10"/>
  <c r="TK1491" i="10"/>
  <c r="TK1501" i="10"/>
  <c r="TK1499" i="10"/>
  <c r="TK1495" i="10"/>
  <c r="TK1500" i="10"/>
  <c r="TK1498" i="10"/>
  <c r="TK1492" i="10"/>
  <c r="TK1497" i="10"/>
  <c r="TK1506" i="10"/>
  <c r="TK1507" i="10"/>
  <c r="TK1494" i="10"/>
  <c r="TK1508" i="10"/>
  <c r="GM1518" i="10"/>
  <c r="GM1514" i="10"/>
  <c r="GM1515" i="10"/>
  <c r="GM1516" i="10"/>
  <c r="GM1519" i="10"/>
  <c r="GM1517" i="10"/>
  <c r="GM1520" i="10"/>
  <c r="GM1523" i="10"/>
  <c r="GM1525" i="10"/>
  <c r="GM1521" i="10"/>
  <c r="GM1524" i="10"/>
  <c r="GM1527" i="10"/>
  <c r="GM1526" i="10"/>
  <c r="GM1522" i="10"/>
  <c r="GM1528" i="10"/>
  <c r="GM1533" i="10"/>
  <c r="GM1531" i="10"/>
  <c r="GM1532" i="10"/>
  <c r="GM1529" i="10"/>
  <c r="GM1530" i="10"/>
  <c r="MD1493" i="10"/>
  <c r="MD1492" i="10"/>
  <c r="MD1496" i="10"/>
  <c r="MD1498" i="10"/>
  <c r="MD1495" i="10"/>
  <c r="MD1497" i="10"/>
  <c r="MD1491" i="10"/>
  <c r="MD1494" i="10"/>
  <c r="MD1500" i="10"/>
  <c r="MD1499" i="10"/>
  <c r="MD1501" i="10"/>
  <c r="MD1508" i="10"/>
  <c r="MD1509" i="10"/>
  <c r="MD1507" i="10"/>
  <c r="MD1502" i="10"/>
  <c r="MD1504" i="10"/>
  <c r="MD1503" i="10"/>
  <c r="MD1506" i="10"/>
  <c r="MD1510" i="10"/>
  <c r="MD1505" i="10"/>
  <c r="ACO1529" i="10"/>
  <c r="ACO1523" i="10"/>
  <c r="ACO1530" i="10"/>
  <c r="ACO1531" i="10"/>
  <c r="ACO1533" i="10"/>
  <c r="ACO1514" i="10"/>
  <c r="ACO1528" i="10"/>
  <c r="ACO1516" i="10"/>
  <c r="ACO1532" i="10"/>
  <c r="ACO1524" i="10"/>
  <c r="ACO1519" i="10"/>
  <c r="ACO1517" i="10"/>
  <c r="ACO1521" i="10"/>
  <c r="ACO1520" i="10"/>
  <c r="ACO1525" i="10"/>
  <c r="ACO1527" i="10"/>
  <c r="ACO1515" i="10"/>
  <c r="ACO1518" i="10"/>
  <c r="ACO1526" i="10"/>
  <c r="ACO1522" i="10"/>
  <c r="GH1491" i="10"/>
  <c r="GH1494" i="10"/>
  <c r="GH1499" i="10"/>
  <c r="GH1496" i="10"/>
  <c r="GH1498" i="10"/>
  <c r="GH1493" i="10"/>
  <c r="GH1495" i="10"/>
  <c r="GH1497" i="10"/>
  <c r="GH1492" i="10"/>
  <c r="GH1500" i="10"/>
  <c r="GH1502" i="10"/>
  <c r="GH1503" i="10"/>
  <c r="GH1509" i="10"/>
  <c r="GH1508" i="10"/>
  <c r="GH1507" i="10"/>
  <c r="GH1505" i="10"/>
  <c r="GH1501" i="10"/>
  <c r="GH1504" i="10"/>
  <c r="GH1506" i="10"/>
  <c r="GH1510" i="10"/>
  <c r="ACJ1522" i="10"/>
  <c r="ACJ1526" i="10"/>
  <c r="ACJ1521" i="10"/>
  <c r="ACJ1525" i="10"/>
  <c r="ACJ1516" i="10"/>
  <c r="ACJ1528" i="10"/>
  <c r="ACJ1518" i="10"/>
  <c r="ACJ1532" i="10"/>
  <c r="ACJ1531" i="10"/>
  <c r="ACJ1524" i="10"/>
  <c r="ACJ1519" i="10"/>
  <c r="ACJ1530" i="10"/>
  <c r="ACJ1527" i="10"/>
  <c r="ACJ1533" i="10"/>
  <c r="ACJ1520" i="10"/>
  <c r="ACJ1514" i="10"/>
  <c r="ACJ1529" i="10"/>
  <c r="ACJ1515" i="10"/>
  <c r="ACJ1517" i="10"/>
  <c r="ACJ1523" i="10"/>
  <c r="AS1493" i="10"/>
  <c r="AS1492" i="10"/>
  <c r="AS1491" i="10"/>
  <c r="AS1495" i="10"/>
  <c r="AS1497" i="10"/>
  <c r="AS1496" i="10"/>
  <c r="AS1498" i="10"/>
  <c r="AS1499" i="10"/>
  <c r="AS1501" i="10"/>
  <c r="AS1494" i="10"/>
  <c r="AS1500" i="10"/>
  <c r="AS1508" i="10"/>
  <c r="AS1506" i="10"/>
  <c r="AS1505" i="10"/>
  <c r="AS1504" i="10"/>
  <c r="AS1507" i="10"/>
  <c r="AS1502" i="10"/>
  <c r="AS1510" i="10"/>
  <c r="AS1503" i="10"/>
  <c r="AS1509" i="10"/>
  <c r="LY1516" i="10"/>
  <c r="LY1514" i="10"/>
  <c r="LY1515" i="10"/>
  <c r="LY1517" i="10"/>
  <c r="LY1518" i="10"/>
  <c r="LY1521" i="10"/>
  <c r="LY1523" i="10"/>
  <c r="LY1522" i="10"/>
  <c r="LY1524" i="10"/>
  <c r="LY1528" i="10"/>
  <c r="LY1525" i="10"/>
  <c r="LY1520" i="10"/>
  <c r="LY1527" i="10"/>
  <c r="LY1529" i="10"/>
  <c r="LY1531" i="10"/>
  <c r="LY1532" i="10"/>
  <c r="LY1519" i="10"/>
  <c r="LY1530" i="10"/>
  <c r="LY1526" i="10"/>
  <c r="LY1533" i="10"/>
  <c r="XF1515" i="10"/>
  <c r="XF1520" i="10"/>
  <c r="XF1524" i="10"/>
  <c r="XF1528" i="10"/>
  <c r="XF1527" i="10"/>
  <c r="XF1525" i="10"/>
  <c r="XF1531" i="10"/>
  <c r="XF1529" i="10"/>
  <c r="XF1533" i="10"/>
  <c r="XF1532" i="10"/>
  <c r="XF1530" i="10"/>
  <c r="XF1526" i="10"/>
  <c r="XF1521" i="10"/>
  <c r="XF1514" i="10"/>
  <c r="XF1522" i="10"/>
  <c r="XF1516" i="10"/>
  <c r="XF1517" i="10"/>
  <c r="XF1523" i="10"/>
  <c r="XF1519" i="10"/>
  <c r="XF1518" i="10"/>
  <c r="AGG1526" i="10"/>
  <c r="AGG1529" i="10"/>
  <c r="AGG1531" i="10"/>
  <c r="AGG1533" i="10"/>
  <c r="AGG1521" i="10"/>
  <c r="AGG1514" i="10"/>
  <c r="AGG1523" i="10"/>
  <c r="AGG1524" i="10"/>
  <c r="AGG1518" i="10"/>
  <c r="AGG1532" i="10"/>
  <c r="AGG1520" i="10"/>
  <c r="AGG1527" i="10"/>
  <c r="AGG1522" i="10"/>
  <c r="AGG1519" i="10"/>
  <c r="AGG1515" i="10"/>
  <c r="AGG1528" i="10"/>
  <c r="AGG1530" i="10"/>
  <c r="AGG1517" i="10"/>
  <c r="AGG1516" i="10"/>
  <c r="AGG1525" i="10"/>
  <c r="GX1493" i="10"/>
  <c r="GX1492" i="10"/>
  <c r="GX1491" i="10"/>
  <c r="GX1494" i="10"/>
  <c r="GX1496" i="10"/>
  <c r="GX1495" i="10"/>
  <c r="GX1497" i="10"/>
  <c r="GX1502" i="10"/>
  <c r="GX1499" i="10"/>
  <c r="GX1500" i="10"/>
  <c r="GX1498" i="10"/>
  <c r="GX1507" i="10"/>
  <c r="GX1501" i="10"/>
  <c r="GX1505" i="10"/>
  <c r="GX1504" i="10"/>
  <c r="GX1506" i="10"/>
  <c r="GX1503" i="10"/>
  <c r="GX1509" i="10"/>
  <c r="GX1510" i="10"/>
  <c r="GX1508" i="10"/>
  <c r="ACX1516" i="10"/>
  <c r="ACX1514" i="10"/>
  <c r="ACX1515" i="10"/>
  <c r="ACX1519" i="10"/>
  <c r="ACX1517" i="10"/>
  <c r="ACX1522" i="10"/>
  <c r="ACX1520" i="10"/>
  <c r="ACX1523" i="10"/>
  <c r="ACX1526" i="10"/>
  <c r="ACX1525" i="10"/>
  <c r="ACX1528" i="10"/>
  <c r="ACX1524" i="10"/>
  <c r="ACX1527" i="10"/>
  <c r="ACX1531" i="10"/>
  <c r="ACX1530" i="10"/>
  <c r="ACX1521" i="10"/>
  <c r="ACX1532" i="10"/>
  <c r="ACX1529" i="10"/>
  <c r="ACX1533" i="10"/>
  <c r="ACX1518" i="10"/>
  <c r="BT1493" i="10"/>
  <c r="BT1492" i="10"/>
  <c r="BT1491" i="10"/>
  <c r="BT1495" i="10"/>
  <c r="BT1497" i="10"/>
  <c r="BT1496" i="10"/>
  <c r="BT1498" i="10"/>
  <c r="BT1494" i="10"/>
  <c r="BT1499" i="10"/>
  <c r="BT1501" i="10"/>
  <c r="BT1500" i="10"/>
  <c r="BT1508" i="10"/>
  <c r="BT1506" i="10"/>
  <c r="BT1502" i="10"/>
  <c r="BT1505" i="10"/>
  <c r="BT1504" i="10"/>
  <c r="BT1507" i="10"/>
  <c r="BT1510" i="10"/>
  <c r="BT1509" i="10"/>
  <c r="BT1503" i="10"/>
  <c r="YG1528" i="10"/>
  <c r="YG1523" i="10"/>
  <c r="YG1527" i="10"/>
  <c r="YG1532" i="10"/>
  <c r="YG1533" i="10"/>
  <c r="YG1516" i="10"/>
  <c r="YG1521" i="10"/>
  <c r="YG1525" i="10"/>
  <c r="YG1522" i="10"/>
  <c r="YG1517" i="10"/>
  <c r="YG1524" i="10"/>
  <c r="YG1531" i="10"/>
  <c r="YG1518" i="10"/>
  <c r="YG1520" i="10"/>
  <c r="YG1515" i="10"/>
  <c r="YG1519" i="10"/>
  <c r="YG1514" i="10"/>
  <c r="YG1530" i="10"/>
  <c r="YG1526" i="10"/>
  <c r="YG1529" i="10"/>
  <c r="AK1517" i="10"/>
  <c r="AK1516" i="10"/>
  <c r="AK1518" i="10"/>
  <c r="AK1514" i="10"/>
  <c r="AK1515" i="10"/>
  <c r="AK1520" i="10"/>
  <c r="AK1521" i="10"/>
  <c r="AK1522" i="10"/>
  <c r="AK1524" i="10"/>
  <c r="AK1525" i="10"/>
  <c r="AK1526" i="10"/>
  <c r="AK1527" i="10"/>
  <c r="AK1528" i="10"/>
  <c r="AK1523" i="10"/>
  <c r="AK1529" i="10"/>
  <c r="AK1519" i="10"/>
  <c r="AK1533" i="10"/>
  <c r="AK1530" i="10"/>
  <c r="AK1532" i="10"/>
  <c r="AK1531" i="10"/>
  <c r="LQ1515" i="10"/>
  <c r="LQ1514" i="10"/>
  <c r="LQ1522" i="10"/>
  <c r="LQ1527" i="10"/>
  <c r="LQ1524" i="10"/>
  <c r="LQ1528" i="10"/>
  <c r="LQ1523" i="10"/>
  <c r="LQ1529" i="10"/>
  <c r="LQ1532" i="10"/>
  <c r="LQ1531" i="10"/>
  <c r="LQ1526" i="10"/>
  <c r="LQ1530" i="10"/>
  <c r="LQ1533" i="10"/>
  <c r="LQ1519" i="10"/>
  <c r="LQ1517" i="10"/>
  <c r="LQ1520" i="10"/>
  <c r="LQ1516" i="10"/>
  <c r="LQ1521" i="10"/>
  <c r="LQ1525" i="10"/>
  <c r="LQ1518" i="10"/>
  <c r="TF1492" i="10"/>
  <c r="TF1491" i="10"/>
  <c r="TF1494" i="10"/>
  <c r="TF1499" i="10"/>
  <c r="TF1496" i="10"/>
  <c r="TF1498" i="10"/>
  <c r="TF1493" i="10"/>
  <c r="TF1495" i="10"/>
  <c r="TF1497" i="10"/>
  <c r="TF1501" i="10"/>
  <c r="TF1504" i="10"/>
  <c r="TF1500" i="10"/>
  <c r="TF1503" i="10"/>
  <c r="TF1506" i="10"/>
  <c r="TF1508" i="10"/>
  <c r="TF1502" i="10"/>
  <c r="TF1509" i="10"/>
  <c r="TF1505" i="10"/>
  <c r="TF1507" i="10"/>
  <c r="TF1510" i="10"/>
  <c r="NR1493" i="10"/>
  <c r="NR1492" i="10"/>
  <c r="NR1491" i="10"/>
  <c r="NR1495" i="10"/>
  <c r="NR1497" i="10"/>
  <c r="NR1496" i="10"/>
  <c r="NR1498" i="10"/>
  <c r="NR1501" i="10"/>
  <c r="NR1494" i="10"/>
  <c r="NR1499" i="10"/>
  <c r="NR1500" i="10"/>
  <c r="NR1509" i="10"/>
  <c r="NR1507" i="10"/>
  <c r="NR1505" i="10"/>
  <c r="NR1504" i="10"/>
  <c r="NR1502" i="10"/>
  <c r="NR1508" i="10"/>
  <c r="NR1506" i="10"/>
  <c r="NR1503" i="10"/>
  <c r="NR1510" i="10"/>
  <c r="AEG1515" i="10"/>
  <c r="AEG1516" i="10"/>
  <c r="AEG1519" i="10"/>
  <c r="AEG1523" i="10"/>
  <c r="AEG1524" i="10"/>
  <c r="AEG1526" i="10"/>
  <c r="AEG1520" i="10"/>
  <c r="AEG1518" i="10"/>
  <c r="AEG1514" i="10"/>
  <c r="AEG1522" i="10"/>
  <c r="AEG1525" i="10"/>
  <c r="AEG1531" i="10"/>
  <c r="AEG1532" i="10"/>
  <c r="AEG1528" i="10"/>
  <c r="AEG1529" i="10"/>
  <c r="AEG1533" i="10"/>
  <c r="AEG1527" i="10"/>
  <c r="AEG1530" i="10"/>
  <c r="AEG1517" i="10"/>
  <c r="AEG1521" i="10"/>
  <c r="BK1493" i="10"/>
  <c r="BK1492" i="10"/>
  <c r="BK1491" i="10"/>
  <c r="BK1495" i="10"/>
  <c r="BK1497" i="10"/>
  <c r="BK1496" i="10"/>
  <c r="BK1498" i="10"/>
  <c r="BK1500" i="10"/>
  <c r="BK1501" i="10"/>
  <c r="BK1494" i="10"/>
  <c r="BK1499" i="10"/>
  <c r="BK1508" i="10"/>
  <c r="BK1506" i="10"/>
  <c r="BK1505" i="10"/>
  <c r="BK1504" i="10"/>
  <c r="BK1507" i="10"/>
  <c r="BK1502" i="10"/>
  <c r="BK1510" i="10"/>
  <c r="BK1509" i="10"/>
  <c r="BK1503" i="10"/>
  <c r="RM1517" i="10"/>
  <c r="RM1515" i="10"/>
  <c r="RM1519" i="10"/>
  <c r="RM1521" i="10"/>
  <c r="RM1524" i="10"/>
  <c r="RM1525" i="10"/>
  <c r="RM1523" i="10"/>
  <c r="RM1520" i="10"/>
  <c r="RM1526" i="10"/>
  <c r="RM1522" i="10"/>
  <c r="RM1530" i="10"/>
  <c r="RM1529" i="10"/>
  <c r="RM1528" i="10"/>
  <c r="RM1527" i="10"/>
  <c r="RM1531" i="10"/>
  <c r="RM1533" i="10"/>
  <c r="RM1532" i="10"/>
  <c r="RM1514" i="10"/>
  <c r="RM1518" i="10"/>
  <c r="RM1516" i="10"/>
  <c r="YN1516" i="10"/>
  <c r="YN1527" i="10"/>
  <c r="YN1526" i="10"/>
  <c r="YN1528" i="10"/>
  <c r="YN1531" i="10"/>
  <c r="YN1530" i="10"/>
  <c r="YN1532" i="10"/>
  <c r="YN1529" i="10"/>
  <c r="YN1533" i="10"/>
  <c r="YN1520" i="10"/>
  <c r="YN1514" i="10"/>
  <c r="YN1524" i="10"/>
  <c r="YN1525" i="10"/>
  <c r="YN1522" i="10"/>
  <c r="YN1517" i="10"/>
  <c r="YN1518" i="10"/>
  <c r="YN1521" i="10"/>
  <c r="YN1523" i="10"/>
  <c r="YN1515" i="10"/>
  <c r="YN1519" i="10"/>
  <c r="AL1491" i="10"/>
  <c r="AL1494" i="10"/>
  <c r="AL1497" i="10"/>
  <c r="AL1499" i="10"/>
  <c r="AL1496" i="10"/>
  <c r="AL1498" i="10"/>
  <c r="AL1495" i="10"/>
  <c r="AL1493" i="10"/>
  <c r="AL1492" i="10"/>
  <c r="AL1500" i="10"/>
  <c r="AL1502" i="10"/>
  <c r="AL1503" i="10"/>
  <c r="AL1509" i="10"/>
  <c r="AL1510" i="10"/>
  <c r="AL1508" i="10"/>
  <c r="AL1501" i="10"/>
  <c r="AL1505" i="10"/>
  <c r="AL1504" i="10"/>
  <c r="AL1507" i="10"/>
  <c r="AL1506" i="10"/>
  <c r="RI1527" i="10"/>
  <c r="RI1531" i="10"/>
  <c r="RI1530" i="10"/>
  <c r="RI1533" i="10"/>
  <c r="RI1522" i="10"/>
  <c r="RI1528" i="10"/>
  <c r="RI1524" i="10"/>
  <c r="RI1532" i="10"/>
  <c r="RI1518" i="10"/>
  <c r="RI1529" i="10"/>
  <c r="RI1523" i="10"/>
  <c r="RI1526" i="10"/>
  <c r="RI1519" i="10"/>
  <c r="RI1514" i="10"/>
  <c r="RI1516" i="10"/>
  <c r="RI1520" i="10"/>
  <c r="RI1521" i="10"/>
  <c r="RI1525" i="10"/>
  <c r="RI1515" i="10"/>
  <c r="RI1517" i="10"/>
  <c r="WY1491" i="10"/>
  <c r="WY1493" i="10"/>
  <c r="WY1492" i="10"/>
  <c r="WY1494" i="10"/>
  <c r="WY1499" i="10"/>
  <c r="WY1498" i="10"/>
  <c r="WY1497" i="10"/>
  <c r="WY1500" i="10"/>
  <c r="WY1495" i="10"/>
  <c r="WY1505" i="10"/>
  <c r="WY1502" i="10"/>
  <c r="WY1504" i="10"/>
  <c r="WY1503" i="10"/>
  <c r="WY1506" i="10"/>
  <c r="WY1496" i="10"/>
  <c r="WY1508" i="10"/>
  <c r="WY1507" i="10"/>
  <c r="WY1501" i="10"/>
  <c r="WY1510" i="10"/>
  <c r="WY1509" i="10"/>
  <c r="KA1529" i="10"/>
  <c r="KA1528" i="10"/>
  <c r="KA1521" i="10"/>
  <c r="KA1522" i="10"/>
  <c r="KA1533" i="10"/>
  <c r="KA1532" i="10"/>
  <c r="KA1515" i="10"/>
  <c r="KA1524" i="10"/>
  <c r="KA1527" i="10"/>
  <c r="KA1530" i="10"/>
  <c r="KA1526" i="10"/>
  <c r="KA1525" i="10"/>
  <c r="KA1519" i="10"/>
  <c r="KA1514" i="10"/>
  <c r="KA1516" i="10"/>
  <c r="KA1518" i="10"/>
  <c r="KA1531" i="10"/>
  <c r="KA1517" i="10"/>
  <c r="KA1523" i="10"/>
  <c r="KA1520" i="10"/>
  <c r="PQ1493" i="10"/>
  <c r="PQ1492" i="10"/>
  <c r="PQ1491" i="10"/>
  <c r="PQ1494" i="10"/>
  <c r="PQ1496" i="10"/>
  <c r="PQ1495" i="10"/>
  <c r="PQ1497" i="10"/>
  <c r="PQ1498" i="10"/>
  <c r="PQ1500" i="10"/>
  <c r="PQ1507" i="10"/>
  <c r="PQ1505" i="10"/>
  <c r="PQ1501" i="10"/>
  <c r="PQ1502" i="10"/>
  <c r="PQ1504" i="10"/>
  <c r="PQ1503" i="10"/>
  <c r="PQ1506" i="10"/>
  <c r="PQ1509" i="10"/>
  <c r="PQ1508" i="10"/>
  <c r="PQ1510" i="10"/>
  <c r="PQ1499" i="10"/>
  <c r="KY1491" i="10"/>
  <c r="KY1509" i="10"/>
  <c r="KY1492" i="10"/>
  <c r="KY1497" i="10"/>
  <c r="KY1510" i="10"/>
  <c r="KY1493" i="10"/>
  <c r="KY1496" i="10"/>
  <c r="KY1494" i="10"/>
  <c r="KY1508" i="10"/>
  <c r="KY1507" i="10"/>
  <c r="KY1495" i="10"/>
  <c r="KY1498" i="10"/>
  <c r="KY1501" i="10"/>
  <c r="KY1502" i="10"/>
  <c r="KY1504" i="10"/>
  <c r="KY1505" i="10"/>
  <c r="KY1500" i="10"/>
  <c r="KY1499" i="10"/>
  <c r="KY1503" i="10"/>
  <c r="KY1506" i="10"/>
  <c r="AFP1515" i="10"/>
  <c r="AFP1521" i="10"/>
  <c r="AFP1522" i="10"/>
  <c r="AFP1525" i="10"/>
  <c r="AFP1527" i="10"/>
  <c r="AFP1528" i="10"/>
  <c r="AFP1523" i="10"/>
  <c r="AFP1531" i="10"/>
  <c r="AFP1529" i="10"/>
  <c r="AFP1530" i="10"/>
  <c r="AFP1532" i="10"/>
  <c r="AFP1533" i="10"/>
  <c r="AFP1524" i="10"/>
  <c r="AFP1519" i="10"/>
  <c r="AFP1514" i="10"/>
  <c r="AFP1518" i="10"/>
  <c r="AFP1526" i="10"/>
  <c r="AFP1517" i="10"/>
  <c r="AFP1520" i="10"/>
  <c r="AFP1516" i="10"/>
  <c r="ABP1518" i="10"/>
  <c r="ABP1517" i="10"/>
  <c r="ABP1516" i="10"/>
  <c r="ABP1521" i="10"/>
  <c r="ABP1519" i="10"/>
  <c r="ABP1520" i="10"/>
  <c r="ABP1522" i="10"/>
  <c r="ABP1523" i="10"/>
  <c r="ABP1524" i="10"/>
  <c r="ABP1526" i="10"/>
  <c r="ABP1527" i="10"/>
  <c r="ABP1525" i="10"/>
  <c r="ABP1528" i="10"/>
  <c r="ABP1531" i="10"/>
  <c r="ABP1533" i="10"/>
  <c r="ABP1529" i="10"/>
  <c r="ABP1532" i="10"/>
  <c r="ABP1530" i="10"/>
  <c r="ABP1515" i="10"/>
  <c r="ABP1514" i="10"/>
  <c r="AH1493" i="10"/>
  <c r="AH1492" i="10"/>
  <c r="AH1491" i="10"/>
  <c r="AH1495" i="10"/>
  <c r="AH1497" i="10"/>
  <c r="AH1496" i="10"/>
  <c r="AH1498" i="10"/>
  <c r="AH1501" i="10"/>
  <c r="AH1494" i="10"/>
  <c r="AH1500" i="10"/>
  <c r="AH1499" i="10"/>
  <c r="AH1508" i="10"/>
  <c r="AH1502" i="10"/>
  <c r="AH1506" i="10"/>
  <c r="AH1505" i="10"/>
  <c r="AH1504" i="10"/>
  <c r="AH1507" i="10"/>
  <c r="AH1503" i="10"/>
  <c r="AH1510" i="10"/>
  <c r="AH1509" i="10"/>
  <c r="LO1526" i="10"/>
  <c r="LO1533" i="10"/>
  <c r="LO1528" i="10"/>
  <c r="LO1529" i="10"/>
  <c r="LO1516" i="10"/>
  <c r="LO1518" i="10"/>
  <c r="LO1532" i="10"/>
  <c r="LO1515" i="10"/>
  <c r="LO1523" i="10"/>
  <c r="LO1514" i="10"/>
  <c r="LO1531" i="10"/>
  <c r="LO1517" i="10"/>
  <c r="LO1527" i="10"/>
  <c r="LO1530" i="10"/>
  <c r="LO1519" i="10"/>
  <c r="LO1525" i="10"/>
  <c r="LO1522" i="10"/>
  <c r="LO1520" i="10"/>
  <c r="LO1524" i="10"/>
  <c r="LO1521" i="10"/>
  <c r="WU1517" i="10"/>
  <c r="WU1515" i="10"/>
  <c r="WU1514" i="10"/>
  <c r="WU1516" i="10"/>
  <c r="WU1518" i="10"/>
  <c r="WU1519" i="10"/>
  <c r="WU1521" i="10"/>
  <c r="WU1523" i="10"/>
  <c r="WU1526" i="10"/>
  <c r="WU1520" i="10"/>
  <c r="WU1524" i="10"/>
  <c r="WU1527" i="10"/>
  <c r="WU1528" i="10"/>
  <c r="WU1522" i="10"/>
  <c r="WU1525" i="10"/>
  <c r="WU1529" i="10"/>
  <c r="WU1530" i="10"/>
  <c r="WU1531" i="10"/>
  <c r="WU1533" i="10"/>
  <c r="WU1532" i="10"/>
  <c r="ADN1491" i="10"/>
  <c r="ADN1494" i="10"/>
  <c r="ADN1493" i="10"/>
  <c r="ADN1496" i="10"/>
  <c r="ADN1498" i="10"/>
  <c r="ADN1495" i="10"/>
  <c r="ADN1497" i="10"/>
  <c r="ADN1492" i="10"/>
  <c r="ADN1500" i="10"/>
  <c r="ADN1501" i="10"/>
  <c r="ADN1502" i="10"/>
  <c r="ADN1503" i="10"/>
  <c r="ADN1506" i="10"/>
  <c r="ADN1509" i="10"/>
  <c r="ADN1507" i="10"/>
  <c r="ADN1499" i="10"/>
  <c r="ADN1505" i="10"/>
  <c r="ADN1504" i="10"/>
  <c r="ADN1508" i="10"/>
  <c r="ADN1510" i="10"/>
  <c r="GL1516" i="10"/>
  <c r="GL1517" i="10"/>
  <c r="GL1515" i="10"/>
  <c r="GL1520" i="10"/>
  <c r="GL1519" i="10"/>
  <c r="GL1514" i="10"/>
  <c r="GL1518" i="10"/>
  <c r="GL1523" i="10"/>
  <c r="GL1521" i="10"/>
  <c r="GL1522" i="10"/>
  <c r="GL1524" i="10"/>
  <c r="GL1525" i="10"/>
  <c r="GL1527" i="10"/>
  <c r="GL1526" i="10"/>
  <c r="GL1528" i="10"/>
  <c r="GL1533" i="10"/>
  <c r="GL1531" i="10"/>
  <c r="GL1532" i="10"/>
  <c r="GL1530" i="10"/>
  <c r="GL1529" i="10"/>
  <c r="NZ1492" i="10"/>
  <c r="NZ1491" i="10"/>
  <c r="NZ1493" i="10"/>
  <c r="NZ1494" i="10"/>
  <c r="NZ1500" i="10"/>
  <c r="NZ1495" i="10"/>
  <c r="NZ1501" i="10"/>
  <c r="NZ1498" i="10"/>
  <c r="NZ1499" i="10"/>
  <c r="NZ1505" i="10"/>
  <c r="NZ1504" i="10"/>
  <c r="NZ1503" i="10"/>
  <c r="NZ1506" i="10"/>
  <c r="NZ1508" i="10"/>
  <c r="NZ1509" i="10"/>
  <c r="NZ1496" i="10"/>
  <c r="NZ1497" i="10"/>
  <c r="NZ1507" i="10"/>
  <c r="NZ1510" i="10"/>
  <c r="NZ1502" i="10"/>
  <c r="ZF1493" i="10"/>
  <c r="ZF1492" i="10"/>
  <c r="ZF1496" i="10"/>
  <c r="ZF1498" i="10"/>
  <c r="ZF1495" i="10"/>
  <c r="ZF1497" i="10"/>
  <c r="ZF1491" i="10"/>
  <c r="ZF1494" i="10"/>
  <c r="ZF1500" i="10"/>
  <c r="ZF1499" i="10"/>
  <c r="ZF1508" i="10"/>
  <c r="ZF1509" i="10"/>
  <c r="ZF1507" i="10"/>
  <c r="ZF1501" i="10"/>
  <c r="ZF1504" i="10"/>
  <c r="ZF1503" i="10"/>
  <c r="ZF1506" i="10"/>
  <c r="ZF1505" i="10"/>
  <c r="ZF1510" i="10"/>
  <c r="ZF1502" i="10"/>
  <c r="BJ1493" i="10"/>
  <c r="BJ1492" i="10"/>
  <c r="BJ1491" i="10"/>
  <c r="BJ1494" i="10"/>
  <c r="BJ1496" i="10"/>
  <c r="BJ1495" i="10"/>
  <c r="BJ1502" i="10"/>
  <c r="BJ1497" i="10"/>
  <c r="BJ1500" i="10"/>
  <c r="BJ1498" i="10"/>
  <c r="BJ1499" i="10"/>
  <c r="BJ1506" i="10"/>
  <c r="BJ1505" i="10"/>
  <c r="BJ1501" i="10"/>
  <c r="BJ1504" i="10"/>
  <c r="BJ1507" i="10"/>
  <c r="BJ1503" i="10"/>
  <c r="BJ1509" i="10"/>
  <c r="BJ1508" i="10"/>
  <c r="BJ1510" i="10"/>
  <c r="XW1526" i="10"/>
  <c r="XW1533" i="10"/>
  <c r="XW1518" i="10"/>
  <c r="XW1531" i="10"/>
  <c r="XW1516" i="10"/>
  <c r="XW1523" i="10"/>
  <c r="XW1530" i="10"/>
  <c r="XW1515" i="10"/>
  <c r="XW1525" i="10"/>
  <c r="XW1527" i="10"/>
  <c r="XW1517" i="10"/>
  <c r="XW1528" i="10"/>
  <c r="XW1521" i="10"/>
  <c r="XW1514" i="10"/>
  <c r="XW1520" i="10"/>
  <c r="XW1522" i="10"/>
  <c r="XW1532" i="10"/>
  <c r="XW1524" i="10"/>
  <c r="XW1529" i="10"/>
  <c r="XW1519" i="10"/>
  <c r="SI1533" i="10"/>
  <c r="SI1515" i="10"/>
  <c r="SI1525" i="10"/>
  <c r="SI1527" i="10"/>
  <c r="SI1517" i="10"/>
  <c r="SI1528" i="10"/>
  <c r="SI1529" i="10"/>
  <c r="SI1514" i="10"/>
  <c r="SI1532" i="10"/>
  <c r="SI1524" i="10"/>
  <c r="SI1519" i="10"/>
  <c r="SI1520" i="10"/>
  <c r="SI1522" i="10"/>
  <c r="SI1521" i="10"/>
  <c r="SI1526" i="10"/>
  <c r="SI1518" i="10"/>
  <c r="SI1531" i="10"/>
  <c r="SI1516" i="10"/>
  <c r="SI1523" i="10"/>
  <c r="SI1530" i="10"/>
  <c r="ZV1492" i="10"/>
  <c r="ZV1491" i="10"/>
  <c r="ZV1493" i="10"/>
  <c r="ZV1496" i="10"/>
  <c r="ZV1495" i="10"/>
  <c r="ZV1497" i="10"/>
  <c r="ZV1494" i="10"/>
  <c r="ZV1498" i="10"/>
  <c r="ZV1501" i="10"/>
  <c r="ZV1507" i="10"/>
  <c r="ZV1505" i="10"/>
  <c r="ZV1504" i="10"/>
  <c r="ZV1502" i="10"/>
  <c r="ZV1503" i="10"/>
  <c r="ZV1506" i="10"/>
  <c r="ZV1509" i="10"/>
  <c r="ZV1499" i="10"/>
  <c r="ZV1510" i="10"/>
  <c r="ZV1508" i="10"/>
  <c r="ZV1500" i="10"/>
  <c r="ABK1497" i="10"/>
  <c r="ABK1499" i="10"/>
  <c r="ABK1491" i="10"/>
  <c r="ABK1501" i="10"/>
  <c r="ABK1492" i="10"/>
  <c r="ABK1498" i="10"/>
  <c r="ABK1508" i="10"/>
  <c r="ABK1504" i="10"/>
  <c r="ABK1502" i="10"/>
  <c r="ABK1494" i="10"/>
  <c r="ABK1505" i="10"/>
  <c r="ABK1509" i="10"/>
  <c r="ABK1506" i="10"/>
  <c r="ABK1500" i="10"/>
  <c r="ABK1496" i="10"/>
  <c r="ABK1510" i="10"/>
  <c r="ABK1495" i="10"/>
  <c r="ABK1507" i="10"/>
  <c r="ABK1493" i="10"/>
  <c r="ABK1503" i="10"/>
  <c r="IL1514" i="10"/>
  <c r="IL1515" i="10"/>
  <c r="IL1516" i="10"/>
  <c r="IL1519" i="10"/>
  <c r="IL1517" i="10"/>
  <c r="IL1520" i="10"/>
  <c r="IL1521" i="10"/>
  <c r="IL1522" i="10"/>
  <c r="IL1524" i="10"/>
  <c r="IL1525" i="10"/>
  <c r="IL1518" i="10"/>
  <c r="IL1523" i="10"/>
  <c r="IL1526" i="10"/>
  <c r="IL1528" i="10"/>
  <c r="IL1531" i="10"/>
  <c r="IL1532" i="10"/>
  <c r="IL1530" i="10"/>
  <c r="IL1529" i="10"/>
  <c r="IL1527" i="10"/>
  <c r="IL1533" i="10"/>
  <c r="AEW1523" i="10"/>
  <c r="AEW1522" i="10"/>
  <c r="AEW1524" i="10"/>
  <c r="AEW1521" i="10"/>
  <c r="AEW1528" i="10"/>
  <c r="AEW1526" i="10"/>
  <c r="AEW1531" i="10"/>
  <c r="AEW1529" i="10"/>
  <c r="AEW1525" i="10"/>
  <c r="AEW1530" i="10"/>
  <c r="AEW1527" i="10"/>
  <c r="AEW1532" i="10"/>
  <c r="AEW1533" i="10"/>
  <c r="AEW1517" i="10"/>
  <c r="AEW1518" i="10"/>
  <c r="AEW1519" i="10"/>
  <c r="AEW1514" i="10"/>
  <c r="AEW1520" i="10"/>
  <c r="AEW1516" i="10"/>
  <c r="AEW1515" i="10"/>
  <c r="CJ1492" i="10"/>
  <c r="CJ1491" i="10"/>
  <c r="CJ1493" i="10"/>
  <c r="CJ1494" i="10"/>
  <c r="CJ1500" i="10"/>
  <c r="CJ1495" i="10"/>
  <c r="CJ1501" i="10"/>
  <c r="CJ1497" i="10"/>
  <c r="CJ1496" i="10"/>
  <c r="CJ1498" i="10"/>
  <c r="CJ1499" i="10"/>
  <c r="CJ1506" i="10"/>
  <c r="CJ1505" i="10"/>
  <c r="CJ1504" i="10"/>
  <c r="CJ1507" i="10"/>
  <c r="CJ1502" i="10"/>
  <c r="CJ1503" i="10"/>
  <c r="CJ1509" i="10"/>
  <c r="CJ1508" i="10"/>
  <c r="CJ1510" i="10"/>
  <c r="AU1517" i="10"/>
  <c r="AU1516" i="10"/>
  <c r="AU1518" i="10"/>
  <c r="AU1520" i="10"/>
  <c r="AU1523" i="10"/>
  <c r="AU1521" i="10"/>
  <c r="AU1522" i="10"/>
  <c r="AU1524" i="10"/>
  <c r="AU1525" i="10"/>
  <c r="AU1526" i="10"/>
  <c r="AU1527" i="10"/>
  <c r="AU1528" i="10"/>
  <c r="AU1533" i="10"/>
  <c r="AU1530" i="10"/>
  <c r="AU1529" i="10"/>
  <c r="AU1532" i="10"/>
  <c r="AU1531" i="10"/>
  <c r="AU1519" i="10"/>
  <c r="AU1514" i="10"/>
  <c r="AU1515" i="10"/>
  <c r="GK1492" i="10"/>
  <c r="GK1491" i="10"/>
  <c r="GK1493" i="10"/>
  <c r="GK1494" i="10"/>
  <c r="GK1500" i="10"/>
  <c r="GK1495" i="10"/>
  <c r="GK1497" i="10"/>
  <c r="GK1501" i="10"/>
  <c r="GK1496" i="10"/>
  <c r="GK1498" i="10"/>
  <c r="GK1499" i="10"/>
  <c r="GK1506" i="10"/>
  <c r="GK1505" i="10"/>
  <c r="GK1504" i="10"/>
  <c r="GK1502" i="10"/>
  <c r="GK1503" i="10"/>
  <c r="GK1509" i="10"/>
  <c r="GK1508" i="10"/>
  <c r="GK1507" i="10"/>
  <c r="GK1510" i="10"/>
  <c r="XH1520" i="10"/>
  <c r="XH1523" i="10"/>
  <c r="XH1533" i="10"/>
  <c r="XH1518" i="10"/>
  <c r="XH1526" i="10"/>
  <c r="XH1514" i="10"/>
  <c r="XH1522" i="10"/>
  <c r="XH1530" i="10"/>
  <c r="XH1531" i="10"/>
  <c r="XH1528" i="10"/>
  <c r="XH1524" i="10"/>
  <c r="XH1529" i="10"/>
  <c r="XH1519" i="10"/>
  <c r="XH1517" i="10"/>
  <c r="XH1525" i="10"/>
  <c r="XH1527" i="10"/>
  <c r="XH1516" i="10"/>
  <c r="XH1515" i="10"/>
  <c r="XH1532" i="10"/>
  <c r="XH1521" i="10"/>
  <c r="ACM1491" i="10"/>
  <c r="ACM1494" i="10"/>
  <c r="ACM1493" i="10"/>
  <c r="ACM1496" i="10"/>
  <c r="ACM1498" i="10"/>
  <c r="ACM1495" i="10"/>
  <c r="ACM1497" i="10"/>
  <c r="ACM1492" i="10"/>
  <c r="ACM1499" i="10"/>
  <c r="ACM1500" i="10"/>
  <c r="ACM1503" i="10"/>
  <c r="ACM1506" i="10"/>
  <c r="ACM1501" i="10"/>
  <c r="ACM1509" i="10"/>
  <c r="ACM1507" i="10"/>
  <c r="ACM1505" i="10"/>
  <c r="ACM1504" i="10"/>
  <c r="ACM1502" i="10"/>
  <c r="ACM1510" i="10"/>
  <c r="ACM1508" i="10"/>
  <c r="PZ1515" i="10"/>
  <c r="PZ1514" i="10"/>
  <c r="PZ1517" i="10"/>
  <c r="PZ1516" i="10"/>
  <c r="PZ1519" i="10"/>
  <c r="PZ1520" i="10"/>
  <c r="PZ1518" i="10"/>
  <c r="PZ1522" i="10"/>
  <c r="PZ1523" i="10"/>
  <c r="PZ1524" i="10"/>
  <c r="PZ1521" i="10"/>
  <c r="PZ1528" i="10"/>
  <c r="PZ1525" i="10"/>
  <c r="PZ1527" i="10"/>
  <c r="PZ1530" i="10"/>
  <c r="PZ1526" i="10"/>
  <c r="PZ1529" i="10"/>
  <c r="PZ1532" i="10"/>
  <c r="PZ1531" i="10"/>
  <c r="PZ1533" i="10"/>
  <c r="VQ1491" i="10"/>
  <c r="VQ1494" i="10"/>
  <c r="VQ1496" i="10"/>
  <c r="VQ1498" i="10"/>
  <c r="VQ1495" i="10"/>
  <c r="VQ1497" i="10"/>
  <c r="VQ1492" i="10"/>
  <c r="VQ1493" i="10"/>
  <c r="VQ1499" i="10"/>
  <c r="VQ1501" i="10"/>
  <c r="VQ1503" i="10"/>
  <c r="VQ1506" i="10"/>
  <c r="VQ1500" i="10"/>
  <c r="VQ1502" i="10"/>
  <c r="VQ1509" i="10"/>
  <c r="VQ1507" i="10"/>
  <c r="VQ1505" i="10"/>
  <c r="VQ1504" i="10"/>
  <c r="VQ1508" i="10"/>
  <c r="VQ1510" i="10"/>
  <c r="AF1516" i="10"/>
  <c r="AF1514" i="10"/>
  <c r="AF1520" i="10"/>
  <c r="AF1515" i="10"/>
  <c r="AF1518" i="10"/>
  <c r="AF1519" i="10"/>
  <c r="AF1521" i="10"/>
  <c r="AF1522" i="10"/>
  <c r="AF1524" i="10"/>
  <c r="AF1525" i="10"/>
  <c r="AF1517" i="10"/>
  <c r="AF1523" i="10"/>
  <c r="AF1529" i="10"/>
  <c r="AF1531" i="10"/>
  <c r="AF1526" i="10"/>
  <c r="AF1527" i="10"/>
  <c r="AF1530" i="10"/>
  <c r="AF1528" i="10"/>
  <c r="AF1532" i="10"/>
  <c r="AF1533" i="10"/>
  <c r="LM1515" i="10"/>
  <c r="LM1518" i="10"/>
  <c r="LM1516" i="10"/>
  <c r="LM1514" i="10"/>
  <c r="LM1517" i="10"/>
  <c r="LM1519" i="10"/>
  <c r="LM1521" i="10"/>
  <c r="LM1522" i="10"/>
  <c r="LM1524" i="10"/>
  <c r="LM1520" i="10"/>
  <c r="LM1526" i="10"/>
  <c r="LM1528" i="10"/>
  <c r="LM1527" i="10"/>
  <c r="LM1525" i="10"/>
  <c r="LM1531" i="10"/>
  <c r="LM1532" i="10"/>
  <c r="LM1533" i="10"/>
  <c r="LM1530" i="10"/>
  <c r="LM1529" i="10"/>
  <c r="LM1523" i="10"/>
  <c r="SY1493" i="10"/>
  <c r="SY1492" i="10"/>
  <c r="SY1491" i="10"/>
  <c r="SY1494" i="10"/>
  <c r="SY1496" i="10"/>
  <c r="SY1495" i="10"/>
  <c r="SY1497" i="10"/>
  <c r="SY1498" i="10"/>
  <c r="SY1499" i="10"/>
  <c r="SY1500" i="10"/>
  <c r="SY1507" i="10"/>
  <c r="SY1505" i="10"/>
  <c r="SY1504" i="10"/>
  <c r="SY1503" i="10"/>
  <c r="SY1506" i="10"/>
  <c r="SY1501" i="10"/>
  <c r="SY1502" i="10"/>
  <c r="SY1509" i="10"/>
  <c r="SY1510" i="10"/>
  <c r="SY1508" i="10"/>
  <c r="FW1516" i="10"/>
  <c r="FW1518" i="10"/>
  <c r="FW1514" i="10"/>
  <c r="FW1519" i="10"/>
  <c r="FW1515" i="10"/>
  <c r="FW1520" i="10"/>
  <c r="FW1521" i="10"/>
  <c r="FW1522" i="10"/>
  <c r="FW1524" i="10"/>
  <c r="FW1525" i="10"/>
  <c r="FW1523" i="10"/>
  <c r="FW1517" i="10"/>
  <c r="FW1529" i="10"/>
  <c r="FW1527" i="10"/>
  <c r="FW1526" i="10"/>
  <c r="FW1528" i="10"/>
  <c r="FW1530" i="10"/>
  <c r="FW1532" i="10"/>
  <c r="FW1531" i="10"/>
  <c r="FW1533" i="10"/>
  <c r="NJ1493" i="10"/>
  <c r="NJ1492" i="10"/>
  <c r="NJ1496" i="10"/>
  <c r="NJ1498" i="10"/>
  <c r="NJ1495" i="10"/>
  <c r="NJ1497" i="10"/>
  <c r="NJ1491" i="10"/>
  <c r="NJ1494" i="10"/>
  <c r="NJ1500" i="10"/>
  <c r="NJ1499" i="10"/>
  <c r="NJ1501" i="10"/>
  <c r="NJ1508" i="10"/>
  <c r="NJ1509" i="10"/>
  <c r="NJ1507" i="10"/>
  <c r="NJ1504" i="10"/>
  <c r="NJ1502" i="10"/>
  <c r="NJ1503" i="10"/>
  <c r="NJ1506" i="10"/>
  <c r="NJ1505" i="10"/>
  <c r="NJ1510" i="10"/>
  <c r="LZ1514" i="10"/>
  <c r="LZ1523" i="10"/>
  <c r="LZ1527" i="10"/>
  <c r="LZ1528" i="10"/>
  <c r="LZ1529" i="10"/>
  <c r="LZ1531" i="10"/>
  <c r="LZ1532" i="10"/>
  <c r="LZ1526" i="10"/>
  <c r="LZ1533" i="10"/>
  <c r="LZ1530" i="10"/>
  <c r="LZ1516" i="10"/>
  <c r="LZ1524" i="10"/>
  <c r="LZ1515" i="10"/>
  <c r="LZ1519" i="10"/>
  <c r="LZ1520" i="10"/>
  <c r="LZ1521" i="10"/>
  <c r="LZ1522" i="10"/>
  <c r="LZ1525" i="10"/>
  <c r="LZ1518" i="10"/>
  <c r="LZ1517" i="10"/>
  <c r="TO1491" i="10"/>
  <c r="TO1494" i="10"/>
  <c r="TO1496" i="10"/>
  <c r="TO1498" i="10"/>
  <c r="TO1495" i="10"/>
  <c r="TO1497" i="10"/>
  <c r="TO1492" i="10"/>
  <c r="TO1493" i="10"/>
  <c r="TO1500" i="10"/>
  <c r="TO1499" i="10"/>
  <c r="TO1503" i="10"/>
  <c r="TO1506" i="10"/>
  <c r="TO1501" i="10"/>
  <c r="TO1508" i="10"/>
  <c r="TO1509" i="10"/>
  <c r="TO1502" i="10"/>
  <c r="TO1507" i="10"/>
  <c r="TO1505" i="10"/>
  <c r="TO1504" i="10"/>
  <c r="TO1510" i="10"/>
  <c r="GY1523" i="10"/>
  <c r="GY1516" i="10"/>
  <c r="GY1527" i="10"/>
  <c r="GY1526" i="10"/>
  <c r="GY1522" i="10"/>
  <c r="GY1519" i="10"/>
  <c r="GY1532" i="10"/>
  <c r="GY1525" i="10"/>
  <c r="GY1528" i="10"/>
  <c r="GY1533" i="10"/>
  <c r="GY1518" i="10"/>
  <c r="GY1530" i="10"/>
  <c r="GY1515" i="10"/>
  <c r="GY1517" i="10"/>
  <c r="GY1531" i="10"/>
  <c r="GY1514" i="10"/>
  <c r="GY1529" i="10"/>
  <c r="GY1524" i="10"/>
  <c r="GY1521" i="10"/>
  <c r="GY1520" i="10"/>
  <c r="OK1493" i="10"/>
  <c r="OK1492" i="10"/>
  <c r="OK1491" i="10"/>
  <c r="OK1494" i="10"/>
  <c r="OK1496" i="10"/>
  <c r="OK1495" i="10"/>
  <c r="OK1497" i="10"/>
  <c r="OK1498" i="10"/>
  <c r="OK1500" i="10"/>
  <c r="OK1507" i="10"/>
  <c r="OK1499" i="10"/>
  <c r="OK1505" i="10"/>
  <c r="OK1504" i="10"/>
  <c r="OK1501" i="10"/>
  <c r="OK1503" i="10"/>
  <c r="OK1506" i="10"/>
  <c r="OK1502" i="10"/>
  <c r="OK1509" i="10"/>
  <c r="OK1510" i="10"/>
  <c r="OK1508" i="10"/>
  <c r="BU1493" i="10"/>
  <c r="BU1492" i="10"/>
  <c r="BU1496" i="10"/>
  <c r="BU1498" i="10"/>
  <c r="BU1495" i="10"/>
  <c r="BU1494" i="10"/>
  <c r="BU1491" i="10"/>
  <c r="BU1497" i="10"/>
  <c r="BU1499" i="10"/>
  <c r="BU1502" i="10"/>
  <c r="BU1501" i="10"/>
  <c r="BU1500" i="10"/>
  <c r="BU1508" i="10"/>
  <c r="BU1506" i="10"/>
  <c r="BU1505" i="10"/>
  <c r="BU1503" i="10"/>
  <c r="BU1509" i="10"/>
  <c r="BU1504" i="10"/>
  <c r="BU1510" i="10"/>
  <c r="BU1507" i="10"/>
  <c r="YH1517" i="10"/>
  <c r="YH1522" i="10"/>
  <c r="YH1532" i="10"/>
  <c r="YH1515" i="10"/>
  <c r="YH1520" i="10"/>
  <c r="YH1533" i="10"/>
  <c r="YH1518" i="10"/>
  <c r="YH1525" i="10"/>
  <c r="YH1527" i="10"/>
  <c r="YH1519" i="10"/>
  <c r="YH1514" i="10"/>
  <c r="YH1528" i="10"/>
  <c r="YH1516" i="10"/>
  <c r="YH1529" i="10"/>
  <c r="YH1526" i="10"/>
  <c r="YH1524" i="10"/>
  <c r="YH1521" i="10"/>
  <c r="YH1530" i="10"/>
  <c r="YH1531" i="10"/>
  <c r="YH1523" i="10"/>
  <c r="HP1517" i="10"/>
  <c r="HP1515" i="10"/>
  <c r="HP1514" i="10"/>
  <c r="HP1518" i="10"/>
  <c r="HP1516" i="10"/>
  <c r="HP1523" i="10"/>
  <c r="HP1521" i="10"/>
  <c r="HP1522" i="10"/>
  <c r="HP1519" i="10"/>
  <c r="HP1525" i="10"/>
  <c r="HP1528" i="10"/>
  <c r="HP1524" i="10"/>
  <c r="HP1527" i="10"/>
  <c r="HP1529" i="10"/>
  <c r="HP1526" i="10"/>
  <c r="HP1531" i="10"/>
  <c r="HP1532" i="10"/>
  <c r="HP1530" i="10"/>
  <c r="HP1520" i="10"/>
  <c r="HP1533" i="10"/>
  <c r="SW1514" i="10"/>
  <c r="SW1515" i="10"/>
  <c r="SW1517" i="10"/>
  <c r="SW1516" i="10"/>
  <c r="SW1518" i="10"/>
  <c r="SW1522" i="10"/>
  <c r="SW1523" i="10"/>
  <c r="SW1520" i="10"/>
  <c r="SW1519" i="10"/>
  <c r="SW1521" i="10"/>
  <c r="SW1527" i="10"/>
  <c r="SW1528" i="10"/>
  <c r="SW1524" i="10"/>
  <c r="SW1532" i="10"/>
  <c r="SW1526" i="10"/>
  <c r="SW1531" i="10"/>
  <c r="SW1530" i="10"/>
  <c r="SW1529" i="10"/>
  <c r="SW1533" i="10"/>
  <c r="SW1525" i="10"/>
  <c r="QC1514" i="10"/>
  <c r="QC1516" i="10"/>
  <c r="QC1515" i="10"/>
  <c r="QC1518" i="10"/>
  <c r="QC1522" i="10"/>
  <c r="QC1523" i="10"/>
  <c r="QC1517" i="10"/>
  <c r="QC1521" i="10"/>
  <c r="QC1527" i="10"/>
  <c r="QC1524" i="10"/>
  <c r="QC1528" i="10"/>
  <c r="QC1526" i="10"/>
  <c r="QC1520" i="10"/>
  <c r="QC1530" i="10"/>
  <c r="QC1519" i="10"/>
  <c r="QC1525" i="10"/>
  <c r="QC1531" i="10"/>
  <c r="QC1532" i="10"/>
  <c r="QC1529" i="10"/>
  <c r="QC1533" i="10"/>
  <c r="VO1503" i="10"/>
  <c r="VO1501" i="10"/>
  <c r="VO1502" i="10"/>
  <c r="VO1491" i="10"/>
  <c r="VO1497" i="10"/>
  <c r="VO1499" i="10"/>
  <c r="VO1504" i="10"/>
  <c r="VO1493" i="10"/>
  <c r="VO1494" i="10"/>
  <c r="VO1505" i="10"/>
  <c r="VO1508" i="10"/>
  <c r="VO1495" i="10"/>
  <c r="VO1509" i="10"/>
  <c r="VO1498" i="10"/>
  <c r="VO1500" i="10"/>
  <c r="VO1506" i="10"/>
  <c r="VO1510" i="10"/>
  <c r="VO1507" i="10"/>
  <c r="VO1492" i="10"/>
  <c r="VO1496" i="10"/>
  <c r="OU1527" i="10"/>
  <c r="OU1531" i="10"/>
  <c r="OU1532" i="10"/>
  <c r="OU1530" i="10"/>
  <c r="OU1533" i="10"/>
  <c r="OU1521" i="10"/>
  <c r="OU1529" i="10"/>
  <c r="OU1515" i="10"/>
  <c r="OU1524" i="10"/>
  <c r="OU1520" i="10"/>
  <c r="OU1516" i="10"/>
  <c r="OU1514" i="10"/>
  <c r="OU1518" i="10"/>
  <c r="OU1528" i="10"/>
  <c r="OU1517" i="10"/>
  <c r="OU1523" i="10"/>
  <c r="OU1519" i="10"/>
  <c r="OU1526" i="10"/>
  <c r="OU1525" i="10"/>
  <c r="OU1522" i="10"/>
  <c r="ACC1493" i="10"/>
  <c r="ACC1496" i="10"/>
  <c r="ACC1498" i="10"/>
  <c r="ACC1492" i="10"/>
  <c r="ACC1495" i="10"/>
  <c r="ACC1497" i="10"/>
  <c r="ACC1494" i="10"/>
  <c r="ACC1500" i="10"/>
  <c r="ACC1491" i="10"/>
  <c r="ACC1499" i="10"/>
  <c r="ACC1501" i="10"/>
  <c r="ACC1508" i="10"/>
  <c r="ACC1509" i="10"/>
  <c r="ACC1502" i="10"/>
  <c r="ACC1507" i="10"/>
  <c r="ACC1504" i="10"/>
  <c r="ACC1503" i="10"/>
  <c r="ACC1506" i="10"/>
  <c r="ACC1505" i="10"/>
  <c r="ACC1510" i="10"/>
  <c r="PH1516" i="10"/>
  <c r="PH1515" i="10"/>
  <c r="PH1518" i="10"/>
  <c r="PH1514" i="10"/>
  <c r="PH1521" i="10"/>
  <c r="PH1520" i="10"/>
  <c r="PH1517" i="10"/>
  <c r="PH1524" i="10"/>
  <c r="PH1519" i="10"/>
  <c r="PH1525" i="10"/>
  <c r="PH1527" i="10"/>
  <c r="PH1523" i="10"/>
  <c r="PH1526" i="10"/>
  <c r="PH1531" i="10"/>
  <c r="PH1532" i="10"/>
  <c r="PH1528" i="10"/>
  <c r="PH1529" i="10"/>
  <c r="PH1533" i="10"/>
  <c r="PH1530" i="10"/>
  <c r="PH1522" i="10"/>
  <c r="QE1493" i="10"/>
  <c r="QE1492" i="10"/>
  <c r="QE1496" i="10"/>
  <c r="QE1498" i="10"/>
  <c r="QE1491" i="10"/>
  <c r="QE1495" i="10"/>
  <c r="QE1497" i="10"/>
  <c r="QE1494" i="10"/>
  <c r="QE1499" i="10"/>
  <c r="QE1501" i="10"/>
  <c r="QE1500" i="10"/>
  <c r="QE1507" i="10"/>
  <c r="QE1505" i="10"/>
  <c r="QE1503" i="10"/>
  <c r="QE1506" i="10"/>
  <c r="QE1502" i="10"/>
  <c r="QE1508" i="10"/>
  <c r="QE1504" i="10"/>
  <c r="QE1509" i="10"/>
  <c r="QE1510" i="10"/>
  <c r="RF1514" i="10"/>
  <c r="RF1516" i="10"/>
  <c r="RF1517" i="10"/>
  <c r="RF1518" i="10"/>
  <c r="RF1515" i="10"/>
  <c r="RF1520" i="10"/>
  <c r="RF1522" i="10"/>
  <c r="RF1523" i="10"/>
  <c r="RF1521" i="10"/>
  <c r="RF1519" i="10"/>
  <c r="RF1527" i="10"/>
  <c r="RF1524" i="10"/>
  <c r="RF1526" i="10"/>
  <c r="RF1528" i="10"/>
  <c r="RF1531" i="10"/>
  <c r="RF1532" i="10"/>
  <c r="RF1529" i="10"/>
  <c r="RF1530" i="10"/>
  <c r="RF1525" i="10"/>
  <c r="RF1533" i="10"/>
  <c r="BE1516" i="10"/>
  <c r="BE1518" i="10"/>
  <c r="BE1515" i="10"/>
  <c r="BE1517" i="10"/>
  <c r="BE1519" i="10"/>
  <c r="BE1520" i="10"/>
  <c r="BE1523" i="10"/>
  <c r="BE1514" i="10"/>
  <c r="BE1526" i="10"/>
  <c r="BE1527" i="10"/>
  <c r="BE1528" i="10"/>
  <c r="BE1525" i="10"/>
  <c r="BE1521" i="10"/>
  <c r="BE1529" i="10"/>
  <c r="BE1533" i="10"/>
  <c r="BE1531" i="10"/>
  <c r="BE1524" i="10"/>
  <c r="BE1530" i="10"/>
  <c r="BE1522" i="10"/>
  <c r="BE1532" i="10"/>
  <c r="LC1502" i="10"/>
  <c r="LC1492" i="10"/>
  <c r="LC1494" i="10"/>
  <c r="LC1505" i="10"/>
  <c r="LC1491" i="10"/>
  <c r="LC1493" i="10"/>
  <c r="LC1495" i="10"/>
  <c r="LC1497" i="10"/>
  <c r="LC1499" i="10"/>
  <c r="LC1501" i="10"/>
  <c r="LC1498" i="10"/>
  <c r="LC1503" i="10"/>
  <c r="LC1509" i="10"/>
  <c r="LC1500" i="10"/>
  <c r="LC1507" i="10"/>
  <c r="LC1496" i="10"/>
  <c r="LC1506" i="10"/>
  <c r="LC1504" i="10"/>
  <c r="LC1510" i="10"/>
  <c r="LC1508" i="10"/>
  <c r="CW1514" i="10"/>
  <c r="CW1516" i="10"/>
  <c r="CW1519" i="10"/>
  <c r="CW1517" i="10"/>
  <c r="CW1520" i="10"/>
  <c r="CW1515" i="10"/>
  <c r="CW1522" i="10"/>
  <c r="CW1523" i="10"/>
  <c r="CW1518" i="10"/>
  <c r="CW1525" i="10"/>
  <c r="CW1521" i="10"/>
  <c r="CW1527" i="10"/>
  <c r="CW1528" i="10"/>
  <c r="CW1524" i="10"/>
  <c r="CW1529" i="10"/>
  <c r="CW1526" i="10"/>
  <c r="CW1530" i="10"/>
  <c r="CW1532" i="10"/>
  <c r="CW1531" i="10"/>
  <c r="CW1533" i="10"/>
  <c r="IS1493" i="10"/>
  <c r="IS1492" i="10"/>
  <c r="IS1496" i="10"/>
  <c r="IS1498" i="10"/>
  <c r="IS1495" i="10"/>
  <c r="IS1497" i="10"/>
  <c r="IS1491" i="10"/>
  <c r="IS1494" i="10"/>
  <c r="IS1499" i="10"/>
  <c r="IS1501" i="10"/>
  <c r="IS1500" i="10"/>
  <c r="IS1507" i="10"/>
  <c r="IS1506" i="10"/>
  <c r="IS1502" i="10"/>
  <c r="IS1505" i="10"/>
  <c r="IS1503" i="10"/>
  <c r="IS1509" i="10"/>
  <c r="IS1508" i="10"/>
  <c r="IS1510" i="10"/>
  <c r="IS1504" i="10"/>
  <c r="VT1517" i="10"/>
  <c r="VT1515" i="10"/>
  <c r="VT1514" i="10"/>
  <c r="VT1518" i="10"/>
  <c r="VT1519" i="10"/>
  <c r="VT1516" i="10"/>
  <c r="VT1522" i="10"/>
  <c r="VT1523" i="10"/>
  <c r="VT1524" i="10"/>
  <c r="VT1521" i="10"/>
  <c r="VT1526" i="10"/>
  <c r="VT1525" i="10"/>
  <c r="VT1520" i="10"/>
  <c r="VT1529" i="10"/>
  <c r="VT1530" i="10"/>
  <c r="VT1527" i="10"/>
  <c r="VT1528" i="10"/>
  <c r="VT1531" i="10"/>
  <c r="VT1532" i="10"/>
  <c r="VT1533" i="10"/>
  <c r="TY1491" i="10"/>
  <c r="TY1494" i="10"/>
  <c r="TY1493" i="10"/>
  <c r="TY1496" i="10"/>
  <c r="TY1498" i="10"/>
  <c r="TY1495" i="10"/>
  <c r="TY1497" i="10"/>
  <c r="TY1492" i="10"/>
  <c r="TY1500" i="10"/>
  <c r="TY1499" i="10"/>
  <c r="TY1503" i="10"/>
  <c r="TY1506" i="10"/>
  <c r="TY1508" i="10"/>
  <c r="TY1501" i="10"/>
  <c r="TY1509" i="10"/>
  <c r="TY1507" i="10"/>
  <c r="TY1505" i="10"/>
  <c r="TY1504" i="10"/>
  <c r="TY1502" i="10"/>
  <c r="TY1510" i="10"/>
  <c r="NM1515" i="10"/>
  <c r="NM1516" i="10"/>
  <c r="NM1514" i="10"/>
  <c r="NM1519" i="10"/>
  <c r="NM1517" i="10"/>
  <c r="NM1518" i="10"/>
  <c r="NM1521" i="10"/>
  <c r="NM1522" i="10"/>
  <c r="NM1523" i="10"/>
  <c r="NM1525" i="10"/>
  <c r="NM1528" i="10"/>
  <c r="NM1524" i="10"/>
  <c r="NM1526" i="10"/>
  <c r="NM1531" i="10"/>
  <c r="NM1532" i="10"/>
  <c r="NM1530" i="10"/>
  <c r="NM1527" i="10"/>
  <c r="NM1529" i="10"/>
  <c r="NM1533" i="10"/>
  <c r="NM1520" i="10"/>
  <c r="RW1515" i="10"/>
  <c r="RW1514" i="10"/>
  <c r="RW1517" i="10"/>
  <c r="RW1516" i="10"/>
  <c r="RW1520" i="10"/>
  <c r="RW1521" i="10"/>
  <c r="RW1522" i="10"/>
  <c r="RW1523" i="10"/>
  <c r="RW1518" i="10"/>
  <c r="RW1519" i="10"/>
  <c r="RW1527" i="10"/>
  <c r="RW1528" i="10"/>
  <c r="RW1524" i="10"/>
  <c r="RW1525" i="10"/>
  <c r="RW1529" i="10"/>
  <c r="RW1532" i="10"/>
  <c r="RW1531" i="10"/>
  <c r="RW1530" i="10"/>
  <c r="RW1533" i="10"/>
  <c r="RW1526" i="10"/>
  <c r="VC1493" i="10"/>
  <c r="VC1492" i="10"/>
  <c r="VC1496" i="10"/>
  <c r="VC1498" i="10"/>
  <c r="VC1495" i="10"/>
  <c r="VC1497" i="10"/>
  <c r="VC1494" i="10"/>
  <c r="VC1499" i="10"/>
  <c r="VC1491" i="10"/>
  <c r="VC1500" i="10"/>
  <c r="VC1501" i="10"/>
  <c r="VC1507" i="10"/>
  <c r="VC1505" i="10"/>
  <c r="VC1503" i="10"/>
  <c r="VC1506" i="10"/>
  <c r="VC1502" i="10"/>
  <c r="VC1508" i="10"/>
  <c r="VC1504" i="10"/>
  <c r="VC1510" i="10"/>
  <c r="VC1509" i="10"/>
  <c r="IN1517" i="10"/>
  <c r="IN1514" i="10"/>
  <c r="IN1516" i="10"/>
  <c r="IN1515" i="10"/>
  <c r="IN1520" i="10"/>
  <c r="IN1519" i="10"/>
  <c r="IN1518" i="10"/>
  <c r="IN1523" i="10"/>
  <c r="IN1521" i="10"/>
  <c r="IN1522" i="10"/>
  <c r="IN1524" i="10"/>
  <c r="IN1525" i="10"/>
  <c r="IN1526" i="10"/>
  <c r="IN1528" i="10"/>
  <c r="IN1527" i="10"/>
  <c r="IN1533" i="10"/>
  <c r="IN1531" i="10"/>
  <c r="IN1532" i="10"/>
  <c r="IN1530" i="10"/>
  <c r="IN1529" i="10"/>
  <c r="QY1503" i="10"/>
  <c r="QY1502" i="10"/>
  <c r="QY1504" i="10"/>
  <c r="QY1493" i="10"/>
  <c r="QY1505" i="10"/>
  <c r="QY1496" i="10"/>
  <c r="QY1509" i="10"/>
  <c r="QY1510" i="10"/>
  <c r="QY1491" i="10"/>
  <c r="QY1501" i="10"/>
  <c r="QY1492" i="10"/>
  <c r="QY1494" i="10"/>
  <c r="QY1508" i="10"/>
  <c r="QY1499" i="10"/>
  <c r="QY1506" i="10"/>
  <c r="QY1495" i="10"/>
  <c r="QY1500" i="10"/>
  <c r="QY1497" i="10"/>
  <c r="QY1507" i="10"/>
  <c r="QY1498" i="10"/>
  <c r="JR1515" i="10"/>
  <c r="JR1516" i="10"/>
  <c r="JR1514" i="10"/>
  <c r="JR1517" i="10"/>
  <c r="JR1519" i="10"/>
  <c r="JR1518" i="10"/>
  <c r="JR1520" i="10"/>
  <c r="JR1521" i="10"/>
  <c r="JR1522" i="10"/>
  <c r="JR1524" i="10"/>
  <c r="JR1525" i="10"/>
  <c r="JR1526" i="10"/>
  <c r="JR1523" i="10"/>
  <c r="JR1528" i="10"/>
  <c r="JR1527" i="10"/>
  <c r="JR1531" i="10"/>
  <c r="JR1532" i="10"/>
  <c r="JR1530" i="10"/>
  <c r="JR1533" i="10"/>
  <c r="JR1529" i="10"/>
  <c r="AAK1492" i="10"/>
  <c r="AAK1491" i="10"/>
  <c r="AAK1494" i="10"/>
  <c r="AAK1496" i="10"/>
  <c r="AAK1498" i="10"/>
  <c r="AAK1493" i="10"/>
  <c r="AAK1495" i="10"/>
  <c r="AAK1500" i="10"/>
  <c r="AAK1497" i="10"/>
  <c r="AAK1499" i="10"/>
  <c r="AAK1501" i="10"/>
  <c r="AAK1504" i="10"/>
  <c r="AAK1503" i="10"/>
  <c r="AAK1506" i="10"/>
  <c r="AAK1508" i="10"/>
  <c r="AAK1502" i="10"/>
  <c r="AAK1509" i="10"/>
  <c r="AAK1505" i="10"/>
  <c r="AAK1507" i="10"/>
  <c r="AAK1510" i="10"/>
  <c r="OH1492" i="10"/>
  <c r="OH1491" i="10"/>
  <c r="OH1493" i="10"/>
  <c r="OH1494" i="10"/>
  <c r="OH1499" i="10"/>
  <c r="OH1496" i="10"/>
  <c r="OH1498" i="10"/>
  <c r="OH1495" i="10"/>
  <c r="OH1497" i="10"/>
  <c r="OH1501" i="10"/>
  <c r="OH1504" i="10"/>
  <c r="OH1503" i="10"/>
  <c r="OH1506" i="10"/>
  <c r="OH1500" i="10"/>
  <c r="OH1508" i="10"/>
  <c r="OH1502" i="10"/>
  <c r="OH1509" i="10"/>
  <c r="OH1505" i="10"/>
  <c r="OH1510" i="10"/>
  <c r="OH1507" i="10"/>
  <c r="ML1514" i="10"/>
  <c r="ML1518" i="10"/>
  <c r="ML1519" i="10"/>
  <c r="ML1515" i="10"/>
  <c r="ML1516" i="10"/>
  <c r="ML1520" i="10"/>
  <c r="ML1522" i="10"/>
  <c r="ML1523" i="10"/>
  <c r="ML1524" i="10"/>
  <c r="ML1521" i="10"/>
  <c r="ML1527" i="10"/>
  <c r="ML1517" i="10"/>
  <c r="ML1525" i="10"/>
  <c r="ML1526" i="10"/>
  <c r="ML1529" i="10"/>
  <c r="ML1533" i="10"/>
  <c r="ML1530" i="10"/>
  <c r="ML1528" i="10"/>
  <c r="ML1531" i="10"/>
  <c r="ML1532" i="10"/>
  <c r="ACR1524" i="10"/>
  <c r="ACR1520" i="10"/>
  <c r="ACR1530" i="10"/>
  <c r="ACR1532" i="10"/>
  <c r="ACR1517" i="10"/>
  <c r="ACR1526" i="10"/>
  <c r="ACR1516" i="10"/>
  <c r="ACR1531" i="10"/>
  <c r="ACR1527" i="10"/>
  <c r="ACR1514" i="10"/>
  <c r="ACR1521" i="10"/>
  <c r="ACR1518" i="10"/>
  <c r="ACR1533" i="10"/>
  <c r="ACR1515" i="10"/>
  <c r="ACR1522" i="10"/>
  <c r="ACR1519" i="10"/>
  <c r="ACR1529" i="10"/>
  <c r="ACR1523" i="10"/>
  <c r="ACR1525" i="10"/>
  <c r="ACR1528" i="10"/>
  <c r="PP1492" i="10"/>
  <c r="PP1491" i="10"/>
  <c r="PP1493" i="10"/>
  <c r="PP1494" i="10"/>
  <c r="PP1500" i="10"/>
  <c r="PP1495" i="10"/>
  <c r="PP1498" i="10"/>
  <c r="PP1501" i="10"/>
  <c r="PP1497" i="10"/>
  <c r="PP1499" i="10"/>
  <c r="PP1496" i="10"/>
  <c r="PP1505" i="10"/>
  <c r="PP1502" i="10"/>
  <c r="PP1504" i="10"/>
  <c r="PP1503" i="10"/>
  <c r="PP1506" i="10"/>
  <c r="PP1508" i="10"/>
  <c r="PP1509" i="10"/>
  <c r="PP1507" i="10"/>
  <c r="PP1510" i="10"/>
  <c r="CV1515" i="10"/>
  <c r="CV1517" i="10"/>
  <c r="CV1520" i="10"/>
  <c r="CV1521" i="10"/>
  <c r="CV1522" i="10"/>
  <c r="CV1516" i="10"/>
  <c r="CV1526" i="10"/>
  <c r="CV1528" i="10"/>
  <c r="CV1523" i="10"/>
  <c r="CV1519" i="10"/>
  <c r="CV1514" i="10"/>
  <c r="CV1518" i="10"/>
  <c r="CV1524" i="10"/>
  <c r="CV1531" i="10"/>
  <c r="CV1530" i="10"/>
  <c r="CV1533" i="10"/>
  <c r="CV1525" i="10"/>
  <c r="CV1532" i="10"/>
  <c r="CV1527" i="10"/>
  <c r="CV1529" i="10"/>
  <c r="YR1523" i="10"/>
  <c r="YR1529" i="10"/>
  <c r="YR1527" i="10"/>
  <c r="YR1531" i="10"/>
  <c r="YR1516" i="10"/>
  <c r="YR1514" i="10"/>
  <c r="YR1520" i="10"/>
  <c r="YR1528" i="10"/>
  <c r="YR1517" i="10"/>
  <c r="YR1524" i="10"/>
  <c r="YR1530" i="10"/>
  <c r="YR1519" i="10"/>
  <c r="YR1532" i="10"/>
  <c r="YR1525" i="10"/>
  <c r="YR1521" i="10"/>
  <c r="YR1533" i="10"/>
  <c r="YR1518" i="10"/>
  <c r="YR1522" i="10"/>
  <c r="YR1526" i="10"/>
  <c r="YR1515" i="10"/>
  <c r="XT1530" i="10"/>
  <c r="XT1528" i="10"/>
  <c r="XT1521" i="10"/>
  <c r="XT1524" i="10"/>
  <c r="XT1533" i="10"/>
  <c r="XT1520" i="10"/>
  <c r="XT1514" i="10"/>
  <c r="XT1529" i="10"/>
  <c r="XT1518" i="10"/>
  <c r="XT1523" i="10"/>
  <c r="XT1526" i="10"/>
  <c r="XT1517" i="10"/>
  <c r="XT1522" i="10"/>
  <c r="XT1515" i="10"/>
  <c r="XT1527" i="10"/>
  <c r="XT1519" i="10"/>
  <c r="XT1525" i="10"/>
  <c r="XT1516" i="10"/>
  <c r="XT1531" i="10"/>
  <c r="XT1532" i="10"/>
  <c r="NH1493" i="10"/>
  <c r="NH1491" i="10"/>
  <c r="NH1496" i="10"/>
  <c r="NH1498" i="10"/>
  <c r="NH1510" i="10"/>
  <c r="NH1501" i="10"/>
  <c r="NH1504" i="10"/>
  <c r="NH1492" i="10"/>
  <c r="NH1499" i="10"/>
  <c r="NH1502" i="10"/>
  <c r="NH1506" i="10"/>
  <c r="NH1507" i="10"/>
  <c r="NH1508" i="10"/>
  <c r="NH1494" i="10"/>
  <c r="NH1503" i="10"/>
  <c r="NH1500" i="10"/>
  <c r="NH1509" i="10"/>
  <c r="NH1495" i="10"/>
  <c r="NH1505" i="10"/>
  <c r="NH1497" i="10"/>
  <c r="ZH1491" i="10"/>
  <c r="ZH1501" i="10"/>
  <c r="ZH1503" i="10"/>
  <c r="ZH1496" i="10"/>
  <c r="ZH1498" i="10"/>
  <c r="ZH1510" i="10"/>
  <c r="ZH1492" i="10"/>
  <c r="ZH1502" i="10"/>
  <c r="ZH1504" i="10"/>
  <c r="ZH1509" i="10"/>
  <c r="ZH1493" i="10"/>
  <c r="ZH1499" i="10"/>
  <c r="ZH1506" i="10"/>
  <c r="ZH1507" i="10"/>
  <c r="ZH1508" i="10"/>
  <c r="ZH1494" i="10"/>
  <c r="ZH1500" i="10"/>
  <c r="ZH1495" i="10"/>
  <c r="ZH1505" i="10"/>
  <c r="ZH1497" i="10"/>
  <c r="KN1533" i="10"/>
  <c r="KN1525" i="10"/>
  <c r="KN1515" i="10"/>
  <c r="KN1517" i="10"/>
  <c r="KN1530" i="10"/>
  <c r="KN1528" i="10"/>
  <c r="KN1516" i="10"/>
  <c r="KN1531" i="10"/>
  <c r="KN1527" i="10"/>
  <c r="KN1526" i="10"/>
  <c r="KN1518" i="10"/>
  <c r="KN1532" i="10"/>
  <c r="KN1522" i="10"/>
  <c r="KN1519" i="10"/>
  <c r="KN1529" i="10"/>
  <c r="KN1523" i="10"/>
  <c r="KN1521" i="10"/>
  <c r="KN1520" i="10"/>
  <c r="KN1514" i="10"/>
  <c r="KN1524" i="10"/>
  <c r="FP1493" i="10"/>
  <c r="FP1496" i="10"/>
  <c r="FP1492" i="10"/>
  <c r="FP1501" i="10"/>
  <c r="FP1504" i="10"/>
  <c r="FP1499" i="10"/>
  <c r="FP1507" i="10"/>
  <c r="FP1510" i="10"/>
  <c r="FP1502" i="10"/>
  <c r="FP1508" i="10"/>
  <c r="FP1503" i="10"/>
  <c r="FP1494" i="10"/>
  <c r="FP1506" i="10"/>
  <c r="FP1498" i="10"/>
  <c r="FP1500" i="10"/>
  <c r="FP1509" i="10"/>
  <c r="FP1495" i="10"/>
  <c r="FP1491" i="10"/>
  <c r="FP1505" i="10"/>
  <c r="FP1497" i="10"/>
  <c r="PD1515" i="10"/>
  <c r="PD1516" i="10"/>
  <c r="PD1518" i="10"/>
  <c r="PD1514" i="10"/>
  <c r="PD1525" i="10"/>
  <c r="PD1526" i="10"/>
  <c r="PD1524" i="10"/>
  <c r="PD1520" i="10"/>
  <c r="PD1523" i="10"/>
  <c r="PD1517" i="10"/>
  <c r="PD1522" i="10"/>
  <c r="PD1528" i="10"/>
  <c r="PD1521" i="10"/>
  <c r="PD1529" i="10"/>
  <c r="PD1533" i="10"/>
  <c r="PD1519" i="10"/>
  <c r="PD1531" i="10"/>
  <c r="PD1530" i="10"/>
  <c r="PD1532" i="10"/>
  <c r="PD1527" i="10"/>
  <c r="KF1497" i="10"/>
  <c r="KF1498" i="10"/>
  <c r="KF1496" i="10"/>
  <c r="KF1493" i="10"/>
  <c r="KF1500" i="10"/>
  <c r="KF1502" i="10"/>
  <c r="KF1504" i="10"/>
  <c r="KF1506" i="10"/>
  <c r="KF1495" i="10"/>
  <c r="KF1508" i="10"/>
  <c r="KF1510" i="10"/>
  <c r="KF1492" i="10"/>
  <c r="KF1491" i="10"/>
  <c r="KF1507" i="10"/>
  <c r="KF1509" i="10"/>
  <c r="KF1503" i="10"/>
  <c r="KF1501" i="10"/>
  <c r="KF1494" i="10"/>
  <c r="KF1499" i="10"/>
  <c r="KF1505" i="10"/>
  <c r="VX1525" i="10"/>
  <c r="VX1523" i="10"/>
  <c r="VX1531" i="10"/>
  <c r="VX1528" i="10"/>
  <c r="VX1532" i="10"/>
  <c r="VX1517" i="10"/>
  <c r="VX1522" i="10"/>
  <c r="VX1533" i="10"/>
  <c r="VX1520" i="10"/>
  <c r="VX1524" i="10"/>
  <c r="VX1521" i="10"/>
  <c r="VX1529" i="10"/>
  <c r="VX1519" i="10"/>
  <c r="VX1514" i="10"/>
  <c r="VX1526" i="10"/>
  <c r="VX1518" i="10"/>
  <c r="VX1516" i="10"/>
  <c r="VX1527" i="10"/>
  <c r="VX1515" i="10"/>
  <c r="VX1530" i="10"/>
  <c r="QZ1508" i="10"/>
  <c r="QZ1495" i="10"/>
  <c r="QZ1497" i="10"/>
  <c r="QZ1505" i="10"/>
  <c r="QZ1494" i="10"/>
  <c r="QZ1500" i="10"/>
  <c r="QZ1502" i="10"/>
  <c r="QZ1503" i="10"/>
  <c r="QZ1492" i="10"/>
  <c r="QZ1496" i="10"/>
  <c r="QZ1498" i="10"/>
  <c r="QZ1510" i="10"/>
  <c r="QZ1499" i="10"/>
  <c r="QZ1501" i="10"/>
  <c r="QZ1509" i="10"/>
  <c r="QZ1504" i="10"/>
  <c r="QZ1491" i="10"/>
  <c r="QZ1506" i="10"/>
  <c r="QZ1493" i="10"/>
  <c r="QZ1507" i="10"/>
  <c r="CF1518" i="10"/>
  <c r="CF1520" i="10"/>
  <c r="CF1526" i="10"/>
  <c r="CF1528" i="10"/>
  <c r="CF1517" i="10"/>
  <c r="CF1523" i="10"/>
  <c r="CF1514" i="10"/>
  <c r="CF1519" i="10"/>
  <c r="CF1521" i="10"/>
  <c r="CF1515" i="10"/>
  <c r="CF1516" i="10"/>
  <c r="CF1524" i="10"/>
  <c r="CF1531" i="10"/>
  <c r="CF1530" i="10"/>
  <c r="CF1533" i="10"/>
  <c r="CF1522" i="10"/>
  <c r="CF1525" i="10"/>
  <c r="CF1532" i="10"/>
  <c r="CF1527" i="10"/>
  <c r="CF1529" i="10"/>
  <c r="RH1518" i="10"/>
  <c r="RH1514" i="10"/>
  <c r="RH1523" i="10"/>
  <c r="RH1526" i="10"/>
  <c r="RH1529" i="10"/>
  <c r="RH1515" i="10"/>
  <c r="RH1516" i="10"/>
  <c r="RH1524" i="10"/>
  <c r="RH1519" i="10"/>
  <c r="RH1517" i="10"/>
  <c r="RH1520" i="10"/>
  <c r="RH1521" i="10"/>
  <c r="RH1522" i="10"/>
  <c r="RH1528" i="10"/>
  <c r="RH1525" i="10"/>
  <c r="RH1531" i="10"/>
  <c r="RH1533" i="10"/>
  <c r="RH1530" i="10"/>
  <c r="RH1527" i="10"/>
  <c r="RH1532" i="10"/>
  <c r="MJ1491" i="10"/>
  <c r="MJ1492" i="10"/>
  <c r="MJ1495" i="10"/>
  <c r="MJ1497" i="10"/>
  <c r="MJ1505" i="10"/>
  <c r="MJ1493" i="10"/>
  <c r="MJ1494" i="10"/>
  <c r="MJ1500" i="10"/>
  <c r="MJ1503" i="10"/>
  <c r="MJ1496" i="10"/>
  <c r="MJ1498" i="10"/>
  <c r="MJ1502" i="10"/>
  <c r="MJ1510" i="10"/>
  <c r="MJ1501" i="10"/>
  <c r="MJ1508" i="10"/>
  <c r="MJ1499" i="10"/>
  <c r="MJ1509" i="10"/>
  <c r="MJ1504" i="10"/>
  <c r="MJ1506" i="10"/>
  <c r="MJ1507" i="10"/>
  <c r="QR1520" i="10"/>
  <c r="QR1514" i="10"/>
  <c r="QR1522" i="10"/>
  <c r="QR1517" i="10"/>
  <c r="QR1526" i="10"/>
  <c r="QR1515" i="10"/>
  <c r="QR1516" i="10"/>
  <c r="QR1519" i="10"/>
  <c r="QR1518" i="10"/>
  <c r="QR1524" i="10"/>
  <c r="QR1521" i="10"/>
  <c r="QR1525" i="10"/>
  <c r="QR1530" i="10"/>
  <c r="QR1531" i="10"/>
  <c r="QR1533" i="10"/>
  <c r="QR1527" i="10"/>
  <c r="QR1528" i="10"/>
  <c r="QR1529" i="10"/>
  <c r="QR1523" i="10"/>
  <c r="QR1532" i="10"/>
  <c r="LT1491" i="10"/>
  <c r="LT1499" i="10"/>
  <c r="LT1506" i="10"/>
  <c r="LT1507" i="10"/>
  <c r="LT1492" i="10"/>
  <c r="LT1508" i="10"/>
  <c r="LT1495" i="10"/>
  <c r="LT1497" i="10"/>
  <c r="LT1505" i="10"/>
  <c r="LT1494" i="10"/>
  <c r="LT1500" i="10"/>
  <c r="LT1502" i="10"/>
  <c r="LT1493" i="10"/>
  <c r="LT1503" i="10"/>
  <c r="LT1498" i="10"/>
  <c r="LT1501" i="10"/>
  <c r="LT1509" i="10"/>
  <c r="LT1496" i="10"/>
  <c r="LT1510" i="10"/>
  <c r="LT1504" i="10"/>
  <c r="QJ1518" i="10"/>
  <c r="QJ1514" i="10"/>
  <c r="QJ1516" i="10"/>
  <c r="QJ1520" i="10"/>
  <c r="QJ1515" i="10"/>
  <c r="QJ1524" i="10"/>
  <c r="QJ1526" i="10"/>
  <c r="QJ1517" i="10"/>
  <c r="QJ1521" i="10"/>
  <c r="QJ1525" i="10"/>
  <c r="QJ1523" i="10"/>
  <c r="QJ1527" i="10"/>
  <c r="QJ1529" i="10"/>
  <c r="QJ1528" i="10"/>
  <c r="QJ1530" i="10"/>
  <c r="QJ1532" i="10"/>
  <c r="QJ1533" i="10"/>
  <c r="QJ1531" i="10"/>
  <c r="QJ1522" i="10"/>
  <c r="QJ1519" i="10"/>
  <c r="LL1491" i="10"/>
  <c r="LL1504" i="10"/>
  <c r="LL1509" i="10"/>
  <c r="LL1499" i="10"/>
  <c r="LL1506" i="10"/>
  <c r="LL1507" i="10"/>
  <c r="LL1492" i="10"/>
  <c r="LL1495" i="10"/>
  <c r="LL1497" i="10"/>
  <c r="LL1502" i="10"/>
  <c r="LL1505" i="10"/>
  <c r="LL1494" i="10"/>
  <c r="LL1500" i="10"/>
  <c r="LL1498" i="10"/>
  <c r="LL1501" i="10"/>
  <c r="LL1508" i="10"/>
  <c r="LL1493" i="10"/>
  <c r="LL1496" i="10"/>
  <c r="LL1503" i="10"/>
  <c r="LL1510" i="10"/>
  <c r="UZ1492" i="10"/>
  <c r="UZ1491" i="10"/>
  <c r="UZ1501" i="10"/>
  <c r="UZ1504" i="10"/>
  <c r="UZ1509" i="10"/>
  <c r="UZ1493" i="10"/>
  <c r="UZ1499" i="10"/>
  <c r="UZ1502" i="10"/>
  <c r="UZ1508" i="10"/>
  <c r="UZ1495" i="10"/>
  <c r="UZ1497" i="10"/>
  <c r="UZ1505" i="10"/>
  <c r="UZ1498" i="10"/>
  <c r="UZ1506" i="10"/>
  <c r="UZ1494" i="10"/>
  <c r="UZ1496" i="10"/>
  <c r="UZ1503" i="10"/>
  <c r="UZ1500" i="10"/>
  <c r="UZ1507" i="10"/>
  <c r="UZ1510" i="10"/>
  <c r="GF1515" i="10"/>
  <c r="GF1517" i="10"/>
  <c r="GF1518" i="10"/>
  <c r="GF1520" i="10"/>
  <c r="GF1516" i="10"/>
  <c r="GF1526" i="10"/>
  <c r="GF1528" i="10"/>
  <c r="GF1514" i="10"/>
  <c r="GF1522" i="10"/>
  <c r="GF1523" i="10"/>
  <c r="GF1519" i="10"/>
  <c r="GF1524" i="10"/>
  <c r="GF1525" i="10"/>
  <c r="GF1521" i="10"/>
  <c r="GF1527" i="10"/>
  <c r="GF1529" i="10"/>
  <c r="GF1530" i="10"/>
  <c r="GF1532" i="10"/>
  <c r="GF1533" i="10"/>
  <c r="GF1531" i="10"/>
  <c r="BH1491" i="10"/>
  <c r="BH1504" i="10"/>
  <c r="BH1497" i="10"/>
  <c r="BH1499" i="10"/>
  <c r="BH1493" i="10"/>
  <c r="BH1502" i="10"/>
  <c r="BH1492" i="10"/>
  <c r="BH1495" i="10"/>
  <c r="BH1505" i="10"/>
  <c r="BH1510" i="10"/>
  <c r="BH1494" i="10"/>
  <c r="BH1500" i="10"/>
  <c r="BH1507" i="10"/>
  <c r="BH1508" i="10"/>
  <c r="BH1509" i="10"/>
  <c r="BH1501" i="10"/>
  <c r="BH1496" i="10"/>
  <c r="BH1503" i="10"/>
  <c r="BH1506" i="10"/>
  <c r="BH1498" i="10"/>
  <c r="KV1533" i="10"/>
  <c r="KV1516" i="10"/>
  <c r="KV1531" i="10"/>
  <c r="KV1523" i="10"/>
  <c r="KV1520" i="10"/>
  <c r="KV1528" i="10"/>
  <c r="KV1515" i="10"/>
  <c r="KV1530" i="10"/>
  <c r="KV1517" i="10"/>
  <c r="KV1522" i="10"/>
  <c r="KV1514" i="10"/>
  <c r="KV1526" i="10"/>
  <c r="KV1521" i="10"/>
  <c r="KV1518" i="10"/>
  <c r="KV1532" i="10"/>
  <c r="KV1519" i="10"/>
  <c r="KV1527" i="10"/>
  <c r="KV1525" i="10"/>
  <c r="KV1524" i="10"/>
  <c r="KV1529" i="10"/>
  <c r="FX1492" i="10"/>
  <c r="FX1501" i="10"/>
  <c r="FX1493" i="10"/>
  <c r="FX1504" i="10"/>
  <c r="FX1499" i="10"/>
  <c r="FX1502" i="10"/>
  <c r="FX1508" i="10"/>
  <c r="FX1510" i="10"/>
  <c r="FX1491" i="10"/>
  <c r="FX1495" i="10"/>
  <c r="FX1497" i="10"/>
  <c r="FX1505" i="10"/>
  <c r="FX1494" i="10"/>
  <c r="FX1500" i="10"/>
  <c r="FX1506" i="10"/>
  <c r="FX1498" i="10"/>
  <c r="FX1507" i="10"/>
  <c r="FX1509" i="10"/>
  <c r="FX1496" i="10"/>
  <c r="FX1503" i="10"/>
  <c r="JP1515" i="10"/>
  <c r="JP1519" i="10"/>
  <c r="JP1514" i="10"/>
  <c r="JP1516" i="10"/>
  <c r="JP1518" i="10"/>
  <c r="JP1522" i="10"/>
  <c r="JP1525" i="10"/>
  <c r="JP1521" i="10"/>
  <c r="JP1523" i="10"/>
  <c r="JP1524" i="10"/>
  <c r="JP1517" i="10"/>
  <c r="JP1527" i="10"/>
  <c r="JP1520" i="10"/>
  <c r="JP1532" i="10"/>
  <c r="JP1528" i="10"/>
  <c r="JP1529" i="10"/>
  <c r="JP1526" i="10"/>
  <c r="JP1533" i="10"/>
  <c r="JP1530" i="10"/>
  <c r="JP1531" i="10"/>
  <c r="YB1526" i="10"/>
  <c r="YB1525" i="10"/>
  <c r="YB1515" i="10"/>
  <c r="YB1518" i="10"/>
  <c r="YB1516" i="10"/>
  <c r="YB1531" i="10"/>
  <c r="YB1521" i="10"/>
  <c r="YB1517" i="10"/>
  <c r="YB1529" i="10"/>
  <c r="YB1520" i="10"/>
  <c r="YB1524" i="10"/>
  <c r="YB1514" i="10"/>
  <c r="YB1523" i="10"/>
  <c r="YB1530" i="10"/>
  <c r="YB1527" i="10"/>
  <c r="YB1532" i="10"/>
  <c r="YB1519" i="10"/>
  <c r="YB1533" i="10"/>
  <c r="YB1528" i="10"/>
  <c r="YB1522" i="10"/>
  <c r="IR1491" i="10"/>
  <c r="IR1504" i="10"/>
  <c r="IR1499" i="10"/>
  <c r="IR1507" i="10"/>
  <c r="IR1502" i="10"/>
  <c r="IR1492" i="10"/>
  <c r="IR1495" i="10"/>
  <c r="IR1497" i="10"/>
  <c r="IR1505" i="10"/>
  <c r="IR1510" i="10"/>
  <c r="IR1494" i="10"/>
  <c r="IR1500" i="10"/>
  <c r="IR1493" i="10"/>
  <c r="IR1496" i="10"/>
  <c r="IR1506" i="10"/>
  <c r="IR1503" i="10"/>
  <c r="IR1509" i="10"/>
  <c r="IR1498" i="10"/>
  <c r="IR1501" i="10"/>
  <c r="IR1508" i="10"/>
  <c r="WV1522" i="10"/>
  <c r="WV1532" i="10"/>
  <c r="WV1530" i="10"/>
  <c r="WV1528" i="10"/>
  <c r="WV1531" i="10"/>
  <c r="WV1517" i="10"/>
  <c r="WV1529" i="10"/>
  <c r="WV1518" i="10"/>
  <c r="WV1520" i="10"/>
  <c r="WV1514" i="10"/>
  <c r="WV1525" i="10"/>
  <c r="WV1533" i="10"/>
  <c r="WV1519" i="10"/>
  <c r="WV1521" i="10"/>
  <c r="WV1515" i="10"/>
  <c r="WV1524" i="10"/>
  <c r="WV1526" i="10"/>
  <c r="WV1516" i="10"/>
  <c r="WV1523" i="10"/>
  <c r="WV1527" i="10"/>
  <c r="RX1491" i="10"/>
  <c r="RX1492" i="10"/>
  <c r="RX1503" i="10"/>
  <c r="RX1496" i="10"/>
  <c r="RX1498" i="10"/>
  <c r="RX1510" i="10"/>
  <c r="RX1501" i="10"/>
  <c r="RX1502" i="10"/>
  <c r="RX1504" i="10"/>
  <c r="RX1509" i="10"/>
  <c r="RX1493" i="10"/>
  <c r="RX1499" i="10"/>
  <c r="RX1506" i="10"/>
  <c r="RX1507" i="10"/>
  <c r="RX1494" i="10"/>
  <c r="RX1500" i="10"/>
  <c r="RX1495" i="10"/>
  <c r="RX1505" i="10"/>
  <c r="RX1497" i="10"/>
  <c r="RX1508" i="10"/>
  <c r="DD1516" i="10"/>
  <c r="DD1515" i="10"/>
  <c r="DD1519" i="10"/>
  <c r="DD1514" i="10"/>
  <c r="DD1518" i="10"/>
  <c r="DD1524" i="10"/>
  <c r="DD1527" i="10"/>
  <c r="DD1521" i="10"/>
  <c r="DD1523" i="10"/>
  <c r="DD1526" i="10"/>
  <c r="DD1520" i="10"/>
  <c r="DD1528" i="10"/>
  <c r="DD1522" i="10"/>
  <c r="DD1525" i="10"/>
  <c r="DD1517" i="10"/>
  <c r="DD1530" i="10"/>
  <c r="DD1533" i="10"/>
  <c r="DD1532" i="10"/>
  <c r="DD1531" i="10"/>
  <c r="DD1529" i="10"/>
  <c r="WN1491" i="10"/>
  <c r="WN1494" i="10"/>
  <c r="WN1500" i="10"/>
  <c r="WN1501" i="10"/>
  <c r="WN1503" i="10"/>
  <c r="WN1496" i="10"/>
  <c r="WN1498" i="10"/>
  <c r="WN1502" i="10"/>
  <c r="WN1504" i="10"/>
  <c r="WN1509" i="10"/>
  <c r="WN1510" i="10"/>
  <c r="WN1506" i="10"/>
  <c r="WN1492" i="10"/>
  <c r="WN1493" i="10"/>
  <c r="WN1495" i="10"/>
  <c r="WN1499" i="10"/>
  <c r="WN1505" i="10"/>
  <c r="WN1497" i="10"/>
  <c r="WN1507" i="10"/>
  <c r="WN1508" i="10"/>
  <c r="HT1515" i="10"/>
  <c r="HT1519" i="10"/>
  <c r="HT1522" i="10"/>
  <c r="HT1525" i="10"/>
  <c r="HT1514" i="10"/>
  <c r="HT1521" i="10"/>
  <c r="HT1523" i="10"/>
  <c r="HT1524" i="10"/>
  <c r="HT1516" i="10"/>
  <c r="HT1517" i="10"/>
  <c r="HT1518" i="10"/>
  <c r="HT1529" i="10"/>
  <c r="HT1527" i="10"/>
  <c r="HT1528" i="10"/>
  <c r="HT1526" i="10"/>
  <c r="HT1533" i="10"/>
  <c r="HT1520" i="10"/>
  <c r="HT1532" i="10"/>
  <c r="HT1530" i="10"/>
  <c r="HT1531" i="10"/>
  <c r="CV1491" i="10"/>
  <c r="CV1504" i="10"/>
  <c r="CV1497" i="10"/>
  <c r="CV1499" i="10"/>
  <c r="CV1492" i="10"/>
  <c r="CV1493" i="10"/>
  <c r="CV1502" i="10"/>
  <c r="CV1495" i="10"/>
  <c r="CV1505" i="10"/>
  <c r="CV1510" i="10"/>
  <c r="CV1494" i="10"/>
  <c r="CV1500" i="10"/>
  <c r="CV1507" i="10"/>
  <c r="CV1508" i="10"/>
  <c r="CV1501" i="10"/>
  <c r="CV1509" i="10"/>
  <c r="CV1496" i="10"/>
  <c r="CV1503" i="10"/>
  <c r="CV1506" i="10"/>
  <c r="CV1498" i="10"/>
  <c r="ON1515" i="10"/>
  <c r="ON1519" i="10"/>
  <c r="ON1517" i="10"/>
  <c r="ON1514" i="10"/>
  <c r="ON1516" i="10"/>
  <c r="ON1526" i="10"/>
  <c r="ON1522" i="10"/>
  <c r="ON1525" i="10"/>
  <c r="ON1523" i="10"/>
  <c r="ON1521" i="10"/>
  <c r="ON1520" i="10"/>
  <c r="ON1524" i="10"/>
  <c r="ON1527" i="10"/>
  <c r="ON1532" i="10"/>
  <c r="ON1518" i="10"/>
  <c r="ON1529" i="10"/>
  <c r="ON1533" i="10"/>
  <c r="ON1531" i="10"/>
  <c r="ON1530" i="10"/>
  <c r="ON1528" i="10"/>
  <c r="JP1491" i="10"/>
  <c r="JP1492" i="10"/>
  <c r="JP1495" i="10"/>
  <c r="JP1497" i="10"/>
  <c r="JP1505" i="10"/>
  <c r="JP1494" i="10"/>
  <c r="JP1500" i="10"/>
  <c r="JP1493" i="10"/>
  <c r="JP1503" i="10"/>
  <c r="JP1496" i="10"/>
  <c r="JP1498" i="10"/>
  <c r="JP1510" i="10"/>
  <c r="JP1501" i="10"/>
  <c r="JP1506" i="10"/>
  <c r="JP1507" i="10"/>
  <c r="JP1508" i="10"/>
  <c r="JP1509" i="10"/>
  <c r="JP1499" i="10"/>
  <c r="JP1502" i="10"/>
  <c r="JP1504" i="10"/>
  <c r="YR1491" i="10"/>
  <c r="YR1492" i="10"/>
  <c r="YR1495" i="10"/>
  <c r="YR1497" i="10"/>
  <c r="YR1501" i="10"/>
  <c r="YR1505" i="10"/>
  <c r="YR1494" i="10"/>
  <c r="YR1500" i="10"/>
  <c r="YR1503" i="10"/>
  <c r="YR1496" i="10"/>
  <c r="YR1498" i="10"/>
  <c r="YR1502" i="10"/>
  <c r="YR1510" i="10"/>
  <c r="YR1499" i="10"/>
  <c r="YR1507" i="10"/>
  <c r="YR1504" i="10"/>
  <c r="YR1508" i="10"/>
  <c r="YR1509" i="10"/>
  <c r="YR1493" i="10"/>
  <c r="YR1506" i="10"/>
  <c r="JX1531" i="10"/>
  <c r="JX1527" i="10"/>
  <c r="JX1526" i="10"/>
  <c r="JX1518" i="10"/>
  <c r="JX1522" i="10"/>
  <c r="JX1519" i="10"/>
  <c r="JX1528" i="10"/>
  <c r="JX1523" i="10"/>
  <c r="JX1533" i="10"/>
  <c r="JX1517" i="10"/>
  <c r="JX1516" i="10"/>
  <c r="JX1529" i="10"/>
  <c r="JX1520" i="10"/>
  <c r="JX1514" i="10"/>
  <c r="JX1521" i="10"/>
  <c r="JX1515" i="10"/>
  <c r="JX1532" i="10"/>
  <c r="JX1525" i="10"/>
  <c r="JX1524" i="10"/>
  <c r="JX1530" i="10"/>
  <c r="EZ1491" i="10"/>
  <c r="EZ1494" i="10"/>
  <c r="EZ1500" i="10"/>
  <c r="EZ1503" i="10"/>
  <c r="EZ1496" i="10"/>
  <c r="EZ1501" i="10"/>
  <c r="EZ1510" i="10"/>
  <c r="EZ1492" i="10"/>
  <c r="EZ1504" i="10"/>
  <c r="EZ1507" i="10"/>
  <c r="EZ1508" i="10"/>
  <c r="EZ1493" i="10"/>
  <c r="EZ1495" i="10"/>
  <c r="EZ1505" i="10"/>
  <c r="EZ1497" i="10"/>
  <c r="EZ1502" i="10"/>
  <c r="EZ1509" i="10"/>
  <c r="EZ1506" i="10"/>
  <c r="EZ1498" i="10"/>
  <c r="EZ1499" i="10"/>
  <c r="AB1514" i="10"/>
  <c r="AB1517" i="10"/>
  <c r="AB1521" i="10"/>
  <c r="AB1516" i="10"/>
  <c r="AB1525" i="10"/>
  <c r="AB1520" i="10"/>
  <c r="AB1518" i="10"/>
  <c r="AB1526" i="10"/>
  <c r="AB1519" i="10"/>
  <c r="AB1523" i="10"/>
  <c r="AB1527" i="10"/>
  <c r="AB1529" i="10"/>
  <c r="AB1531" i="10"/>
  <c r="AB1530" i="10"/>
  <c r="AB1515" i="10"/>
  <c r="AB1524" i="10"/>
  <c r="AB1533" i="10"/>
  <c r="AB1522" i="10"/>
  <c r="AB1532" i="10"/>
  <c r="AB1528" i="10"/>
  <c r="YB1491" i="10"/>
  <c r="YB1493" i="10"/>
  <c r="YB1499" i="10"/>
  <c r="YB1501" i="10"/>
  <c r="YB1506" i="10"/>
  <c r="YB1507" i="10"/>
  <c r="YB1508" i="10"/>
  <c r="YB1495" i="10"/>
  <c r="YB1497" i="10"/>
  <c r="YB1505" i="10"/>
  <c r="YB1494" i="10"/>
  <c r="YB1500" i="10"/>
  <c r="YB1502" i="10"/>
  <c r="YB1503" i="10"/>
  <c r="YB1498" i="10"/>
  <c r="YB1510" i="10"/>
  <c r="YB1492" i="10"/>
  <c r="YB1496" i="10"/>
  <c r="YB1504" i="10"/>
  <c r="YB1509" i="10"/>
  <c r="JH1520" i="10"/>
  <c r="JH1514" i="10"/>
  <c r="JH1522" i="10"/>
  <c r="JH1516" i="10"/>
  <c r="JH1517" i="10"/>
  <c r="JH1518" i="10"/>
  <c r="JH1521" i="10"/>
  <c r="JH1523" i="10"/>
  <c r="JH1524" i="10"/>
  <c r="JH1525" i="10"/>
  <c r="JH1527" i="10"/>
  <c r="JH1530" i="10"/>
  <c r="JH1533" i="10"/>
  <c r="JH1519" i="10"/>
  <c r="JH1526" i="10"/>
  <c r="JH1531" i="10"/>
  <c r="JH1528" i="10"/>
  <c r="JH1529" i="10"/>
  <c r="JH1515" i="10"/>
  <c r="JH1532" i="10"/>
  <c r="EJ1493" i="10"/>
  <c r="EJ1502" i="10"/>
  <c r="EJ1495" i="10"/>
  <c r="EJ1497" i="10"/>
  <c r="EJ1505" i="10"/>
  <c r="EJ1494" i="10"/>
  <c r="EJ1500" i="10"/>
  <c r="EJ1503" i="10"/>
  <c r="EJ1510" i="10"/>
  <c r="EJ1496" i="10"/>
  <c r="EJ1507" i="10"/>
  <c r="EJ1508" i="10"/>
  <c r="EJ1499" i="10"/>
  <c r="EJ1509" i="10"/>
  <c r="EJ1506" i="10"/>
  <c r="EJ1498" i="10"/>
  <c r="EJ1504" i="10"/>
  <c r="EJ1491" i="10"/>
  <c r="EJ1492" i="10"/>
  <c r="EJ1501" i="10"/>
  <c r="XT1491" i="10"/>
  <c r="XT1492" i="10"/>
  <c r="XT1501" i="10"/>
  <c r="XT1504" i="10"/>
  <c r="XT1509" i="10"/>
  <c r="XT1493" i="10"/>
  <c r="XT1499" i="10"/>
  <c r="XT1506" i="10"/>
  <c r="XT1507" i="10"/>
  <c r="XT1495" i="10"/>
  <c r="XT1497" i="10"/>
  <c r="XT1502" i="10"/>
  <c r="XT1505" i="10"/>
  <c r="XT1494" i="10"/>
  <c r="XT1500" i="10"/>
  <c r="XT1508" i="10"/>
  <c r="XT1498" i="10"/>
  <c r="XT1510" i="10"/>
  <c r="XT1496" i="10"/>
  <c r="XT1503" i="10"/>
  <c r="IZ1518" i="10"/>
  <c r="IZ1514" i="10"/>
  <c r="IZ1515" i="10"/>
  <c r="IZ1519" i="10"/>
  <c r="IZ1524" i="10"/>
  <c r="IZ1517" i="10"/>
  <c r="IZ1520" i="10"/>
  <c r="IZ1522" i="10"/>
  <c r="IZ1525" i="10"/>
  <c r="IZ1516" i="10"/>
  <c r="IZ1523" i="10"/>
  <c r="IZ1521" i="10"/>
  <c r="IZ1526" i="10"/>
  <c r="IZ1530" i="10"/>
  <c r="IZ1532" i="10"/>
  <c r="IZ1529" i="10"/>
  <c r="IZ1527" i="10"/>
  <c r="IZ1533" i="10"/>
  <c r="IZ1528" i="10"/>
  <c r="IZ1531" i="10"/>
  <c r="EB1491" i="10"/>
  <c r="EB1492" i="10"/>
  <c r="EB1499" i="10"/>
  <c r="EB1493" i="10"/>
  <c r="EB1497" i="10"/>
  <c r="EB1502" i="10"/>
  <c r="EB1495" i="10"/>
  <c r="EB1505" i="10"/>
  <c r="EB1494" i="10"/>
  <c r="EB1500" i="10"/>
  <c r="EB1510" i="10"/>
  <c r="EB1503" i="10"/>
  <c r="EB1507" i="10"/>
  <c r="EB1508" i="10"/>
  <c r="EB1501" i="10"/>
  <c r="EB1496" i="10"/>
  <c r="EB1509" i="10"/>
  <c r="EB1506" i="10"/>
  <c r="EB1498" i="10"/>
  <c r="EB1504" i="10"/>
  <c r="SN1514" i="10"/>
  <c r="SN1516" i="10"/>
  <c r="SN1518" i="10"/>
  <c r="SN1517" i="10"/>
  <c r="SN1526" i="10"/>
  <c r="SN1528" i="10"/>
  <c r="SN1520" i="10"/>
  <c r="SN1521" i="10"/>
  <c r="SN1523" i="10"/>
  <c r="SN1524" i="10"/>
  <c r="SN1525" i="10"/>
  <c r="SN1522" i="10"/>
  <c r="SN1527" i="10"/>
  <c r="SN1515" i="10"/>
  <c r="SN1529" i="10"/>
  <c r="SN1533" i="10"/>
  <c r="SN1530" i="10"/>
  <c r="SN1532" i="10"/>
  <c r="SN1519" i="10"/>
  <c r="SN1531" i="10"/>
  <c r="NP1492" i="10"/>
  <c r="NP1501" i="10"/>
  <c r="NP1504" i="10"/>
  <c r="NP1509" i="10"/>
  <c r="NP1499" i="10"/>
  <c r="NP1506" i="10"/>
  <c r="NP1502" i="10"/>
  <c r="NP1508" i="10"/>
  <c r="NP1493" i="10"/>
  <c r="NP1495" i="10"/>
  <c r="NP1497" i="10"/>
  <c r="NP1505" i="10"/>
  <c r="NP1507" i="10"/>
  <c r="NP1491" i="10"/>
  <c r="NP1494" i="10"/>
  <c r="NP1496" i="10"/>
  <c r="NP1503" i="10"/>
  <c r="NP1500" i="10"/>
  <c r="NP1510" i="10"/>
  <c r="NP1498" i="10"/>
  <c r="XD1532" i="10"/>
  <c r="XD1531" i="10"/>
  <c r="XD1525" i="10"/>
  <c r="XD1514" i="10"/>
  <c r="XD1523" i="10"/>
  <c r="XD1527" i="10"/>
  <c r="XD1516" i="10"/>
  <c r="XD1524" i="10"/>
  <c r="XD1520" i="10"/>
  <c r="XD1526" i="10"/>
  <c r="XD1515" i="10"/>
  <c r="XD1530" i="10"/>
  <c r="XD1529" i="10"/>
  <c r="XD1518" i="10"/>
  <c r="XD1528" i="10"/>
  <c r="XD1517" i="10"/>
  <c r="XD1533" i="10"/>
  <c r="XD1521" i="10"/>
  <c r="XD1519" i="10"/>
  <c r="XD1522" i="10"/>
  <c r="SF1496" i="10"/>
  <c r="SF1498" i="10"/>
  <c r="SF1510" i="10"/>
  <c r="SF1501" i="10"/>
  <c r="SF1504" i="10"/>
  <c r="SF1493" i="10"/>
  <c r="SF1499" i="10"/>
  <c r="SF1502" i="10"/>
  <c r="SF1506" i="10"/>
  <c r="SF1507" i="10"/>
  <c r="SF1508" i="10"/>
  <c r="SF1494" i="10"/>
  <c r="SF1503" i="10"/>
  <c r="SF1500" i="10"/>
  <c r="SF1492" i="10"/>
  <c r="SF1495" i="10"/>
  <c r="SF1505" i="10"/>
  <c r="SF1509" i="10"/>
  <c r="SF1497" i="10"/>
  <c r="SF1491" i="10"/>
  <c r="DL1514" i="10"/>
  <c r="DL1517" i="10"/>
  <c r="DL1515" i="10"/>
  <c r="DL1520" i="10"/>
  <c r="DL1527" i="10"/>
  <c r="DL1526" i="10"/>
  <c r="DL1516" i="10"/>
  <c r="DL1522" i="10"/>
  <c r="DL1523" i="10"/>
  <c r="DL1524" i="10"/>
  <c r="DL1525" i="10"/>
  <c r="DL1518" i="10"/>
  <c r="DL1530" i="10"/>
  <c r="DL1521" i="10"/>
  <c r="DL1533" i="10"/>
  <c r="DL1519" i="10"/>
  <c r="DL1532" i="10"/>
  <c r="DL1531" i="10"/>
  <c r="DL1529" i="10"/>
  <c r="DL1528" i="10"/>
  <c r="RX1517" i="10"/>
  <c r="RX1514" i="10"/>
  <c r="RX1515" i="10"/>
  <c r="RX1518" i="10"/>
  <c r="RX1521" i="10"/>
  <c r="RX1516" i="10"/>
  <c r="RX1526" i="10"/>
  <c r="RX1527" i="10"/>
  <c r="RX1523" i="10"/>
  <c r="RX1520" i="10"/>
  <c r="RX1522" i="10"/>
  <c r="RX1525" i="10"/>
  <c r="RX1533" i="10"/>
  <c r="RX1528" i="10"/>
  <c r="RX1530" i="10"/>
  <c r="RX1529" i="10"/>
  <c r="RX1524" i="10"/>
  <c r="RX1519" i="10"/>
  <c r="RX1531" i="10"/>
  <c r="RX1532" i="10"/>
  <c r="YJ1501" i="10"/>
  <c r="YJ1508" i="10"/>
  <c r="YJ1495" i="10"/>
  <c r="YJ1497" i="10"/>
  <c r="YJ1505" i="10"/>
  <c r="YJ1494" i="10"/>
  <c r="YJ1500" i="10"/>
  <c r="YJ1502" i="10"/>
  <c r="YJ1503" i="10"/>
  <c r="YJ1496" i="10"/>
  <c r="YJ1498" i="10"/>
  <c r="YJ1510" i="10"/>
  <c r="YJ1491" i="10"/>
  <c r="YJ1493" i="10"/>
  <c r="YJ1506" i="10"/>
  <c r="YJ1492" i="10"/>
  <c r="YJ1499" i="10"/>
  <c r="YJ1507" i="10"/>
  <c r="YJ1504" i="10"/>
  <c r="YJ1509" i="10"/>
  <c r="EJ1530" i="10"/>
  <c r="EJ1521" i="10"/>
  <c r="EJ1517" i="10"/>
  <c r="EJ1515" i="10"/>
  <c r="EJ1529" i="10"/>
  <c r="EJ1526" i="10"/>
  <c r="EJ1524" i="10"/>
  <c r="EJ1522" i="10"/>
  <c r="EJ1518" i="10"/>
  <c r="EJ1523" i="10"/>
  <c r="EJ1532" i="10"/>
  <c r="EJ1516" i="10"/>
  <c r="EJ1525" i="10"/>
  <c r="EJ1520" i="10"/>
  <c r="EJ1519" i="10"/>
  <c r="EJ1527" i="10"/>
  <c r="EJ1528" i="10"/>
  <c r="EJ1531" i="10"/>
  <c r="EJ1514" i="10"/>
  <c r="EJ1533" i="10"/>
  <c r="SF1520" i="10"/>
  <c r="SF1521" i="10"/>
  <c r="SF1516" i="10"/>
  <c r="SF1519" i="10"/>
  <c r="SF1526" i="10"/>
  <c r="SF1517" i="10"/>
  <c r="SF1522" i="10"/>
  <c r="SF1514" i="10"/>
  <c r="SF1515" i="10"/>
  <c r="SF1524" i="10"/>
  <c r="SF1523" i="10"/>
  <c r="SF1525" i="10"/>
  <c r="SF1527" i="10"/>
  <c r="SF1518" i="10"/>
  <c r="SF1530" i="10"/>
  <c r="SF1533" i="10"/>
  <c r="SF1531" i="10"/>
  <c r="SF1529" i="10"/>
  <c r="SF1528" i="10"/>
  <c r="SF1532" i="10"/>
  <c r="PD1491" i="10"/>
  <c r="PD1494" i="10"/>
  <c r="PD1500" i="10"/>
  <c r="PD1503" i="10"/>
  <c r="PD1496" i="10"/>
  <c r="PD1498" i="10"/>
  <c r="PD1492" i="10"/>
  <c r="PD1501" i="10"/>
  <c r="PD1502" i="10"/>
  <c r="PD1504" i="10"/>
  <c r="PD1509" i="10"/>
  <c r="PD1506" i="10"/>
  <c r="PD1493" i="10"/>
  <c r="PD1507" i="10"/>
  <c r="PD1495" i="10"/>
  <c r="PD1499" i="10"/>
  <c r="PD1505" i="10"/>
  <c r="PD1508" i="10"/>
  <c r="PD1497" i="10"/>
  <c r="PD1510" i="10"/>
  <c r="VX1492" i="10"/>
  <c r="VX1501" i="10"/>
  <c r="VX1508" i="10"/>
  <c r="VX1495" i="10"/>
  <c r="VX1497" i="10"/>
  <c r="VX1505" i="10"/>
  <c r="VX1494" i="10"/>
  <c r="VX1500" i="10"/>
  <c r="VX1491" i="10"/>
  <c r="VX1502" i="10"/>
  <c r="VX1503" i="10"/>
  <c r="VX1496" i="10"/>
  <c r="VX1498" i="10"/>
  <c r="VX1510" i="10"/>
  <c r="VX1504" i="10"/>
  <c r="VX1509" i="10"/>
  <c r="VX1506" i="10"/>
  <c r="VX1493" i="10"/>
  <c r="VX1499" i="10"/>
  <c r="VX1507" i="10"/>
  <c r="HD1515" i="10"/>
  <c r="HD1519" i="10"/>
  <c r="HD1520" i="10"/>
  <c r="HD1517" i="10"/>
  <c r="HD1514" i="10"/>
  <c r="HD1518" i="10"/>
  <c r="HD1523" i="10"/>
  <c r="HD1524" i="10"/>
  <c r="HD1526" i="10"/>
  <c r="HD1521" i="10"/>
  <c r="HD1522" i="10"/>
  <c r="HD1525" i="10"/>
  <c r="HD1516" i="10"/>
  <c r="HD1532" i="10"/>
  <c r="HD1527" i="10"/>
  <c r="HD1529" i="10"/>
  <c r="HD1530" i="10"/>
  <c r="HD1531" i="10"/>
  <c r="HD1528" i="10"/>
  <c r="HD1533" i="10"/>
  <c r="CF1491" i="10"/>
  <c r="CF1504" i="10"/>
  <c r="CF1497" i="10"/>
  <c r="CF1499" i="10"/>
  <c r="CF1493" i="10"/>
  <c r="CF1502" i="10"/>
  <c r="CF1492" i="10"/>
  <c r="CF1495" i="10"/>
  <c r="CF1505" i="10"/>
  <c r="CF1510" i="10"/>
  <c r="CF1494" i="10"/>
  <c r="CF1500" i="10"/>
  <c r="CF1507" i="10"/>
  <c r="CF1508" i="10"/>
  <c r="CF1509" i="10"/>
  <c r="CF1501" i="10"/>
  <c r="CF1496" i="10"/>
  <c r="CF1503" i="10"/>
  <c r="CF1506" i="10"/>
  <c r="CF1498" i="10"/>
  <c r="WF1520" i="10"/>
  <c r="WF1526" i="10"/>
  <c r="WF1525" i="10"/>
  <c r="WF1527" i="10"/>
  <c r="WF1530" i="10"/>
  <c r="WF1531" i="10"/>
  <c r="WF1529" i="10"/>
  <c r="WF1521" i="10"/>
  <c r="WF1532" i="10"/>
  <c r="WF1523" i="10"/>
  <c r="WF1524" i="10"/>
  <c r="WF1515" i="10"/>
  <c r="WF1528" i="10"/>
  <c r="WF1518" i="10"/>
  <c r="WF1533" i="10"/>
  <c r="WF1517" i="10"/>
  <c r="WF1514" i="10"/>
  <c r="WF1519" i="10"/>
  <c r="WF1522" i="10"/>
  <c r="WF1516" i="10"/>
  <c r="RH1491" i="10"/>
  <c r="RH1492" i="10"/>
  <c r="RH1495" i="10"/>
  <c r="RH1497" i="10"/>
  <c r="RH1505" i="10"/>
  <c r="RH1494" i="10"/>
  <c r="RH1500" i="10"/>
  <c r="RH1503" i="10"/>
  <c r="RH1496" i="10"/>
  <c r="RH1498" i="10"/>
  <c r="RH1502" i="10"/>
  <c r="RH1510" i="10"/>
  <c r="RH1501" i="10"/>
  <c r="RH1508" i="10"/>
  <c r="RH1509" i="10"/>
  <c r="RH1504" i="10"/>
  <c r="RH1506" i="10"/>
  <c r="RH1493" i="10"/>
  <c r="RH1507" i="10"/>
  <c r="RH1499" i="10"/>
  <c r="CN1516" i="10"/>
  <c r="CN1520" i="10"/>
  <c r="CN1526" i="10"/>
  <c r="CN1528" i="10"/>
  <c r="CN1523" i="10"/>
  <c r="CN1514" i="10"/>
  <c r="CN1521" i="10"/>
  <c r="CN1515" i="10"/>
  <c r="CN1519" i="10"/>
  <c r="CN1517" i="10"/>
  <c r="CN1518" i="10"/>
  <c r="CN1524" i="10"/>
  <c r="CN1531" i="10"/>
  <c r="CN1530" i="10"/>
  <c r="CN1533" i="10"/>
  <c r="CN1522" i="10"/>
  <c r="CN1525" i="10"/>
  <c r="CN1532" i="10"/>
  <c r="CN1527" i="10"/>
  <c r="CN1529" i="10"/>
  <c r="VP1521" i="10"/>
  <c r="VP1526" i="10"/>
  <c r="VP1519" i="10"/>
  <c r="VP1522" i="10"/>
  <c r="VP1518" i="10"/>
  <c r="VP1529" i="10"/>
  <c r="VP1530" i="10"/>
  <c r="VP1532" i="10"/>
  <c r="VP1531" i="10"/>
  <c r="VP1533" i="10"/>
  <c r="VP1528" i="10"/>
  <c r="VP1527" i="10"/>
  <c r="VP1517" i="10"/>
  <c r="VP1523" i="10"/>
  <c r="VP1524" i="10"/>
  <c r="VP1515" i="10"/>
  <c r="VP1525" i="10"/>
  <c r="VP1514" i="10"/>
  <c r="VP1516" i="10"/>
  <c r="VP1520" i="10"/>
  <c r="QR1491" i="10"/>
  <c r="QR1493" i="10"/>
  <c r="QR1499" i="10"/>
  <c r="QR1506" i="10"/>
  <c r="QR1507" i="10"/>
  <c r="QR1508" i="10"/>
  <c r="QR1495" i="10"/>
  <c r="QR1497" i="10"/>
  <c r="QR1505" i="10"/>
  <c r="QR1494" i="10"/>
  <c r="QR1500" i="10"/>
  <c r="QR1502" i="10"/>
  <c r="QR1503" i="10"/>
  <c r="QR1498" i="10"/>
  <c r="QR1501" i="10"/>
  <c r="QR1496" i="10"/>
  <c r="QR1509" i="10"/>
  <c r="QR1492" i="10"/>
  <c r="QR1504" i="10"/>
  <c r="QR1510" i="10"/>
  <c r="BX1514" i="10"/>
  <c r="BX1520" i="10"/>
  <c r="BX1515" i="10"/>
  <c r="BX1517" i="10"/>
  <c r="BX1519" i="10"/>
  <c r="BX1521" i="10"/>
  <c r="BX1526" i="10"/>
  <c r="BX1528" i="10"/>
  <c r="BX1516" i="10"/>
  <c r="BX1523" i="10"/>
  <c r="BX1518" i="10"/>
  <c r="BX1524" i="10"/>
  <c r="BX1531" i="10"/>
  <c r="BX1530" i="10"/>
  <c r="BX1533" i="10"/>
  <c r="BX1522" i="10"/>
  <c r="BX1525" i="10"/>
  <c r="BX1532" i="10"/>
  <c r="BX1527" i="10"/>
  <c r="BX1529" i="10"/>
  <c r="VH1517" i="10"/>
  <c r="VH1516" i="10"/>
  <c r="VH1525" i="10"/>
  <c r="VH1520" i="10"/>
  <c r="VH1522" i="10"/>
  <c r="VH1524" i="10"/>
  <c r="VH1528" i="10"/>
  <c r="VH1521" i="10"/>
  <c r="VH1527" i="10"/>
  <c r="VH1530" i="10"/>
  <c r="VH1526" i="10"/>
  <c r="VH1531" i="10"/>
  <c r="VH1529" i="10"/>
  <c r="VH1532" i="10"/>
  <c r="VH1533" i="10"/>
  <c r="VH1518" i="10"/>
  <c r="VH1514" i="10"/>
  <c r="VH1519" i="10"/>
  <c r="VH1515" i="10"/>
  <c r="VH1523" i="10"/>
  <c r="QJ1491" i="10"/>
  <c r="QJ1504" i="10"/>
  <c r="QJ1509" i="10"/>
  <c r="QJ1493" i="10"/>
  <c r="QJ1499" i="10"/>
  <c r="QJ1506" i="10"/>
  <c r="QJ1507" i="10"/>
  <c r="QJ1495" i="10"/>
  <c r="QJ1497" i="10"/>
  <c r="QJ1502" i="10"/>
  <c r="QJ1505" i="10"/>
  <c r="QJ1494" i="10"/>
  <c r="QJ1500" i="10"/>
  <c r="QJ1498" i="10"/>
  <c r="QJ1501" i="10"/>
  <c r="QJ1496" i="10"/>
  <c r="QJ1503" i="10"/>
  <c r="QJ1492" i="10"/>
  <c r="QJ1508" i="10"/>
  <c r="QJ1510" i="10"/>
  <c r="BP1514" i="10"/>
  <c r="BP1520" i="10"/>
  <c r="BP1515" i="10"/>
  <c r="BP1521" i="10"/>
  <c r="BP1516" i="10"/>
  <c r="BP1518" i="10"/>
  <c r="BP1525" i="10"/>
  <c r="BP1519" i="10"/>
  <c r="BP1526" i="10"/>
  <c r="BP1523" i="10"/>
  <c r="BP1527" i="10"/>
  <c r="BP1529" i="10"/>
  <c r="BP1517" i="10"/>
  <c r="BP1531" i="10"/>
  <c r="BP1530" i="10"/>
  <c r="BP1524" i="10"/>
  <c r="BP1533" i="10"/>
  <c r="BP1522" i="10"/>
  <c r="BP1532" i="10"/>
  <c r="BP1528" i="10"/>
  <c r="LD1533" i="10"/>
  <c r="LD1526" i="10"/>
  <c r="LD1530" i="10"/>
  <c r="LD1524" i="10"/>
  <c r="LD1528" i="10"/>
  <c r="LD1519" i="10"/>
  <c r="LD1515" i="10"/>
  <c r="LD1518" i="10"/>
  <c r="LD1527" i="10"/>
  <c r="LD1523" i="10"/>
  <c r="LD1520" i="10"/>
  <c r="LD1514" i="10"/>
  <c r="LD1531" i="10"/>
  <c r="LD1516" i="10"/>
  <c r="LD1521" i="10"/>
  <c r="LD1522" i="10"/>
  <c r="LD1529" i="10"/>
  <c r="LD1517" i="10"/>
  <c r="LD1525" i="10"/>
  <c r="LD1532" i="10"/>
  <c r="GF1491" i="10"/>
  <c r="GF1493" i="10"/>
  <c r="GF1504" i="10"/>
  <c r="GF1499" i="10"/>
  <c r="GF1507" i="10"/>
  <c r="GF1502" i="10"/>
  <c r="GF1495" i="10"/>
  <c r="GF1497" i="10"/>
  <c r="GF1505" i="10"/>
  <c r="GF1510" i="10"/>
  <c r="GF1494" i="10"/>
  <c r="GF1500" i="10"/>
  <c r="GF1506" i="10"/>
  <c r="GF1498" i="10"/>
  <c r="GF1509" i="10"/>
  <c r="GF1492" i="10"/>
  <c r="GF1501" i="10"/>
  <c r="GF1508" i="10"/>
  <c r="GF1496" i="10"/>
  <c r="GF1503" i="10"/>
  <c r="PT1516" i="10"/>
  <c r="PT1519" i="10"/>
  <c r="PT1521" i="10"/>
  <c r="PT1517" i="10"/>
  <c r="PT1520" i="10"/>
  <c r="PT1526" i="10"/>
  <c r="PT1515" i="10"/>
  <c r="PT1518" i="10"/>
  <c r="PT1522" i="10"/>
  <c r="PT1523" i="10"/>
  <c r="PT1524" i="10"/>
  <c r="PT1525" i="10"/>
  <c r="PT1530" i="10"/>
  <c r="PT1533" i="10"/>
  <c r="PT1527" i="10"/>
  <c r="PT1529" i="10"/>
  <c r="PT1532" i="10"/>
  <c r="PT1528" i="10"/>
  <c r="PT1531" i="10"/>
  <c r="PT1514" i="10"/>
  <c r="KV1494" i="10"/>
  <c r="KV1497" i="10"/>
  <c r="KV1491" i="10"/>
  <c r="KV1499" i="10"/>
  <c r="KV1501" i="10"/>
  <c r="KV1503" i="10"/>
  <c r="KV1505" i="10"/>
  <c r="KV1496" i="10"/>
  <c r="KV1507" i="10"/>
  <c r="KV1509" i="10"/>
  <c r="KV1493" i="10"/>
  <c r="KV1498" i="10"/>
  <c r="KV1492" i="10"/>
  <c r="KV1508" i="10"/>
  <c r="KV1510" i="10"/>
  <c r="KV1495" i="10"/>
  <c r="KV1500" i="10"/>
  <c r="KV1506" i="10"/>
  <c r="KV1504" i="10"/>
  <c r="KV1502" i="10"/>
  <c r="ER1491" i="10"/>
  <c r="ER1492" i="10"/>
  <c r="ER1495" i="10"/>
  <c r="ER1497" i="10"/>
  <c r="ER1505" i="10"/>
  <c r="ER1494" i="10"/>
  <c r="ER1500" i="10"/>
  <c r="ER1503" i="10"/>
  <c r="ER1496" i="10"/>
  <c r="ER1510" i="10"/>
  <c r="ER1501" i="10"/>
  <c r="ER1507" i="10"/>
  <c r="ER1508" i="10"/>
  <c r="ER1499" i="10"/>
  <c r="ER1493" i="10"/>
  <c r="ER1509" i="10"/>
  <c r="ER1502" i="10"/>
  <c r="ER1504" i="10"/>
  <c r="ER1506" i="10"/>
  <c r="ER1498" i="10"/>
  <c r="SV1491" i="10"/>
  <c r="SV1504" i="10"/>
  <c r="SV1509" i="10"/>
  <c r="SV1493" i="10"/>
  <c r="SV1499" i="10"/>
  <c r="SV1506" i="10"/>
  <c r="SV1507" i="10"/>
  <c r="SV1495" i="10"/>
  <c r="SV1497" i="10"/>
  <c r="SV1502" i="10"/>
  <c r="SV1505" i="10"/>
  <c r="SV1492" i="10"/>
  <c r="SV1494" i="10"/>
  <c r="SV1500" i="10"/>
  <c r="SV1508" i="10"/>
  <c r="SV1510" i="10"/>
  <c r="SV1498" i="10"/>
  <c r="SV1501" i="10"/>
  <c r="SV1496" i="10"/>
  <c r="SV1503" i="10"/>
  <c r="PL1514" i="10"/>
  <c r="PL1517" i="10"/>
  <c r="PL1518" i="10"/>
  <c r="PL1526" i="10"/>
  <c r="PL1527" i="10"/>
  <c r="PL1520" i="10"/>
  <c r="PL1525" i="10"/>
  <c r="PL1519" i="10"/>
  <c r="PL1521" i="10"/>
  <c r="PL1523" i="10"/>
  <c r="PL1528" i="10"/>
  <c r="PL1515" i="10"/>
  <c r="PL1524" i="10"/>
  <c r="PL1533" i="10"/>
  <c r="PL1516" i="10"/>
  <c r="PL1530" i="10"/>
  <c r="PL1522" i="10"/>
  <c r="PL1529" i="10"/>
  <c r="PL1531" i="10"/>
  <c r="PL1532" i="10"/>
  <c r="UB1521" i="10"/>
  <c r="UB1515" i="10"/>
  <c r="UB1520" i="10"/>
  <c r="UB1522" i="10"/>
  <c r="UB1524" i="10"/>
  <c r="UB1518" i="10"/>
  <c r="UB1523" i="10"/>
  <c r="UB1526" i="10"/>
  <c r="UB1525" i="10"/>
  <c r="UB1516" i="10"/>
  <c r="UB1527" i="10"/>
  <c r="UB1533" i="10"/>
  <c r="UB1528" i="10"/>
  <c r="UB1531" i="10"/>
  <c r="UB1530" i="10"/>
  <c r="UB1532" i="10"/>
  <c r="UB1529" i="10"/>
  <c r="UB1517" i="10"/>
  <c r="UB1514" i="10"/>
  <c r="UB1519" i="10"/>
  <c r="AJ1517" i="10"/>
  <c r="AJ1521" i="10"/>
  <c r="AJ1514" i="10"/>
  <c r="AJ1516" i="10"/>
  <c r="AJ1519" i="10"/>
  <c r="AJ1525" i="10"/>
  <c r="AJ1515" i="10"/>
  <c r="AJ1520" i="10"/>
  <c r="AJ1518" i="10"/>
  <c r="AJ1526" i="10"/>
  <c r="AJ1523" i="10"/>
  <c r="AJ1527" i="10"/>
  <c r="AJ1529" i="10"/>
  <c r="AJ1531" i="10"/>
  <c r="AJ1530" i="10"/>
  <c r="AJ1524" i="10"/>
  <c r="AJ1533" i="10"/>
  <c r="AJ1522" i="10"/>
  <c r="AJ1532" i="10"/>
  <c r="AJ1528" i="10"/>
  <c r="WV1491" i="10"/>
  <c r="WV1501" i="10"/>
  <c r="WV1503" i="10"/>
  <c r="WV1496" i="10"/>
  <c r="WV1498" i="10"/>
  <c r="WV1510" i="10"/>
  <c r="WV1502" i="10"/>
  <c r="WV1504" i="10"/>
  <c r="WV1509" i="10"/>
  <c r="WV1492" i="10"/>
  <c r="WV1493" i="10"/>
  <c r="WV1499" i="10"/>
  <c r="WV1506" i="10"/>
  <c r="WV1507" i="10"/>
  <c r="WV1494" i="10"/>
  <c r="WV1500" i="10"/>
  <c r="WV1495" i="10"/>
  <c r="WV1505" i="10"/>
  <c r="WV1497" i="10"/>
  <c r="WV1508" i="10"/>
  <c r="IB1514" i="10"/>
  <c r="IB1517" i="10"/>
  <c r="IB1519" i="10"/>
  <c r="IB1520" i="10"/>
  <c r="IB1521" i="10"/>
  <c r="IB1515" i="10"/>
  <c r="IB1518" i="10"/>
  <c r="IB1523" i="10"/>
  <c r="IB1524" i="10"/>
  <c r="IB1516" i="10"/>
  <c r="IB1526" i="10"/>
  <c r="IB1522" i="10"/>
  <c r="IB1529" i="10"/>
  <c r="IB1527" i="10"/>
  <c r="IB1530" i="10"/>
  <c r="IB1525" i="10"/>
  <c r="IB1533" i="10"/>
  <c r="IB1531" i="10"/>
  <c r="IB1528" i="10"/>
  <c r="IB1532" i="10"/>
  <c r="DD1491" i="10"/>
  <c r="DD1504" i="10"/>
  <c r="DD1492" i="10"/>
  <c r="DD1497" i="10"/>
  <c r="DD1499" i="10"/>
  <c r="DD1493" i="10"/>
  <c r="DD1502" i="10"/>
  <c r="DD1495" i="10"/>
  <c r="DD1505" i="10"/>
  <c r="DD1510" i="10"/>
  <c r="DD1494" i="10"/>
  <c r="DD1500" i="10"/>
  <c r="DD1507" i="10"/>
  <c r="DD1508" i="10"/>
  <c r="DD1501" i="10"/>
  <c r="DD1496" i="10"/>
  <c r="DD1509" i="10"/>
  <c r="DD1503" i="10"/>
  <c r="DD1506" i="10"/>
  <c r="DD1498" i="10"/>
  <c r="MR1517" i="10"/>
  <c r="MR1519" i="10"/>
  <c r="MR1521" i="10"/>
  <c r="MR1525" i="10"/>
  <c r="MR1526" i="10"/>
  <c r="MR1515" i="10"/>
  <c r="MR1523" i="10"/>
  <c r="MR1524" i="10"/>
  <c r="MR1514" i="10"/>
  <c r="MR1516" i="10"/>
  <c r="MR1520" i="10"/>
  <c r="MR1518" i="10"/>
  <c r="MR1528" i="10"/>
  <c r="MR1533" i="10"/>
  <c r="MR1530" i="10"/>
  <c r="MR1531" i="10"/>
  <c r="MR1527" i="10"/>
  <c r="MR1529" i="10"/>
  <c r="MR1532" i="10"/>
  <c r="MR1522" i="10"/>
  <c r="HT1491" i="10"/>
  <c r="HT1503" i="10"/>
  <c r="HT1496" i="10"/>
  <c r="HT1498" i="10"/>
  <c r="HT1493" i="10"/>
  <c r="HT1501" i="10"/>
  <c r="HT1504" i="10"/>
  <c r="HT1510" i="10"/>
  <c r="HT1499" i="10"/>
  <c r="HT1507" i="10"/>
  <c r="HT1505" i="10"/>
  <c r="HT1506" i="10"/>
  <c r="HT1497" i="10"/>
  <c r="HT1502" i="10"/>
  <c r="HT1492" i="10"/>
  <c r="HT1509" i="10"/>
  <c r="HT1508" i="10"/>
  <c r="HT1494" i="10"/>
  <c r="HT1500" i="10"/>
  <c r="HT1495" i="10"/>
  <c r="TL1517" i="10"/>
  <c r="TL1520" i="10"/>
  <c r="TL1518" i="10"/>
  <c r="TL1523" i="10"/>
  <c r="TL1519" i="10"/>
  <c r="TL1521" i="10"/>
  <c r="TL1524" i="10"/>
  <c r="TL1522" i="10"/>
  <c r="TL1528" i="10"/>
  <c r="TL1525" i="10"/>
  <c r="TL1532" i="10"/>
  <c r="TL1527" i="10"/>
  <c r="TL1533" i="10"/>
  <c r="TL1531" i="10"/>
  <c r="TL1529" i="10"/>
  <c r="TL1530" i="10"/>
  <c r="TL1526" i="10"/>
  <c r="TL1514" i="10"/>
  <c r="TL1516" i="10"/>
  <c r="TL1515" i="10"/>
  <c r="ON1493" i="10"/>
  <c r="ON1508" i="10"/>
  <c r="ON1495" i="10"/>
  <c r="ON1497" i="10"/>
  <c r="ON1505" i="10"/>
  <c r="ON1491" i="10"/>
  <c r="ON1494" i="10"/>
  <c r="ON1500" i="10"/>
  <c r="ON1502" i="10"/>
  <c r="ON1503" i="10"/>
  <c r="ON1496" i="10"/>
  <c r="ON1498" i="10"/>
  <c r="ON1510" i="10"/>
  <c r="ON1492" i="10"/>
  <c r="ON1504" i="10"/>
  <c r="ON1506" i="10"/>
  <c r="ON1507" i="10"/>
  <c r="ON1499" i="10"/>
  <c r="ON1501" i="10"/>
  <c r="ON1509" i="10"/>
  <c r="OV1514" i="10"/>
  <c r="OV1518" i="10"/>
  <c r="OV1521" i="10"/>
  <c r="OV1523" i="10"/>
  <c r="OV1526" i="10"/>
  <c r="OV1529" i="10"/>
  <c r="OV1522" i="10"/>
  <c r="OV1517" i="10"/>
  <c r="OV1519" i="10"/>
  <c r="OV1524" i="10"/>
  <c r="OV1520" i="10"/>
  <c r="OV1515" i="10"/>
  <c r="OV1525" i="10"/>
  <c r="OV1527" i="10"/>
  <c r="OV1531" i="10"/>
  <c r="OV1528" i="10"/>
  <c r="OV1533" i="10"/>
  <c r="OV1516" i="10"/>
  <c r="OV1530" i="10"/>
  <c r="OV1532" i="10"/>
  <c r="JX1499" i="10"/>
  <c r="JX1500" i="10"/>
  <c r="JX1501" i="10"/>
  <c r="JX1502" i="10"/>
  <c r="JX1503" i="10"/>
  <c r="JX1504" i="10"/>
  <c r="JX1505" i="10"/>
  <c r="JX1506" i="10"/>
  <c r="JX1498" i="10"/>
  <c r="JX1495" i="10"/>
  <c r="JX1508" i="10"/>
  <c r="JX1510" i="10"/>
  <c r="JX1492" i="10"/>
  <c r="JX1494" i="10"/>
  <c r="JX1497" i="10"/>
  <c r="JX1491" i="10"/>
  <c r="JX1507" i="10"/>
  <c r="JX1509" i="10"/>
  <c r="JX1493" i="10"/>
  <c r="JX1496" i="10"/>
  <c r="OF1520" i="10"/>
  <c r="OF1514" i="10"/>
  <c r="OF1519" i="10"/>
  <c r="OF1522" i="10"/>
  <c r="OF1526" i="10"/>
  <c r="OF1516" i="10"/>
  <c r="OF1518" i="10"/>
  <c r="OF1517" i="10"/>
  <c r="OF1521" i="10"/>
  <c r="OF1525" i="10"/>
  <c r="OF1527" i="10"/>
  <c r="OF1523" i="10"/>
  <c r="OF1515" i="10"/>
  <c r="OF1530" i="10"/>
  <c r="OF1524" i="10"/>
  <c r="OF1531" i="10"/>
  <c r="OF1533" i="10"/>
  <c r="OF1528" i="10"/>
  <c r="OF1532" i="10"/>
  <c r="OF1529" i="10"/>
  <c r="JH1493" i="10"/>
  <c r="JH1502" i="10"/>
  <c r="JH1508" i="10"/>
  <c r="JH1492" i="10"/>
  <c r="JH1495" i="10"/>
  <c r="JH1497" i="10"/>
  <c r="JH1505" i="10"/>
  <c r="JH1491" i="10"/>
  <c r="JH1494" i="10"/>
  <c r="JH1500" i="10"/>
  <c r="JH1503" i="10"/>
  <c r="JH1510" i="10"/>
  <c r="JH1496" i="10"/>
  <c r="JH1498" i="10"/>
  <c r="JH1506" i="10"/>
  <c r="JH1507" i="10"/>
  <c r="JH1509" i="10"/>
  <c r="JH1501" i="10"/>
  <c r="JH1499" i="10"/>
  <c r="JH1504" i="10"/>
  <c r="NX1518" i="10"/>
  <c r="NX1515" i="10"/>
  <c r="NX1520" i="10"/>
  <c r="NX1514" i="10"/>
  <c r="NX1519" i="10"/>
  <c r="NX1524" i="10"/>
  <c r="NX1526" i="10"/>
  <c r="NX1523" i="10"/>
  <c r="NX1517" i="10"/>
  <c r="NX1522" i="10"/>
  <c r="NX1525" i="10"/>
  <c r="NX1527" i="10"/>
  <c r="NX1516" i="10"/>
  <c r="NX1521" i="10"/>
  <c r="NX1528" i="10"/>
  <c r="NX1530" i="10"/>
  <c r="NX1532" i="10"/>
  <c r="NX1533" i="10"/>
  <c r="NX1531" i="10"/>
  <c r="NX1529" i="10"/>
  <c r="IZ1491" i="10"/>
  <c r="IZ1499" i="10"/>
  <c r="IZ1507" i="10"/>
  <c r="IZ1502" i="10"/>
  <c r="IZ1508" i="10"/>
  <c r="IZ1492" i="10"/>
  <c r="IZ1495" i="10"/>
  <c r="IZ1497" i="10"/>
  <c r="IZ1505" i="10"/>
  <c r="IZ1494" i="10"/>
  <c r="IZ1500" i="10"/>
  <c r="IZ1510" i="10"/>
  <c r="IZ1503" i="10"/>
  <c r="IZ1504" i="10"/>
  <c r="IZ1506" i="10"/>
  <c r="IZ1509" i="10"/>
  <c r="IZ1498" i="10"/>
  <c r="IZ1501" i="10"/>
  <c r="IZ1493" i="10"/>
  <c r="IZ1496" i="10"/>
  <c r="XL1525" i="10"/>
  <c r="XL1523" i="10"/>
  <c r="XL1531" i="10"/>
  <c r="XL1529" i="10"/>
  <c r="XL1514" i="10"/>
  <c r="XL1521" i="10"/>
  <c r="XL1524" i="10"/>
  <c r="XL1516" i="10"/>
  <c r="XL1528" i="10"/>
  <c r="XL1518" i="10"/>
  <c r="XL1532" i="10"/>
  <c r="XL1515" i="10"/>
  <c r="XL1526" i="10"/>
  <c r="XL1520" i="10"/>
  <c r="XL1527" i="10"/>
  <c r="XL1517" i="10"/>
  <c r="XL1519" i="10"/>
  <c r="XL1530" i="10"/>
  <c r="XL1522" i="10"/>
  <c r="XL1533" i="10"/>
  <c r="SN1492" i="10"/>
  <c r="SN1501" i="10"/>
  <c r="SN1504" i="10"/>
  <c r="SN1509" i="10"/>
  <c r="SN1493" i="10"/>
  <c r="SN1499" i="10"/>
  <c r="SN1506" i="10"/>
  <c r="SN1502" i="10"/>
  <c r="SN1508" i="10"/>
  <c r="SN1495" i="10"/>
  <c r="SN1497" i="10"/>
  <c r="SN1505" i="10"/>
  <c r="SN1494" i="10"/>
  <c r="SN1496" i="10"/>
  <c r="SN1503" i="10"/>
  <c r="SN1507" i="10"/>
  <c r="SN1500" i="10"/>
  <c r="SN1510" i="10"/>
  <c r="SN1491" i="10"/>
  <c r="SN1498" i="10"/>
  <c r="DT1514" i="10"/>
  <c r="DT1521" i="10"/>
  <c r="DT1527" i="10"/>
  <c r="DT1517" i="10"/>
  <c r="DT1526" i="10"/>
  <c r="DT1519" i="10"/>
  <c r="DT1520" i="10"/>
  <c r="DT1515" i="10"/>
  <c r="DT1518" i="10"/>
  <c r="DT1516" i="10"/>
  <c r="DT1523" i="10"/>
  <c r="DT1524" i="10"/>
  <c r="DT1522" i="10"/>
  <c r="DT1525" i="10"/>
  <c r="DT1530" i="10"/>
  <c r="DT1533" i="10"/>
  <c r="DT1532" i="10"/>
  <c r="DT1528" i="10"/>
  <c r="DT1531" i="10"/>
  <c r="DT1529" i="10"/>
  <c r="XD1496" i="10"/>
  <c r="XD1498" i="10"/>
  <c r="XD1501" i="10"/>
  <c r="XD1510" i="10"/>
  <c r="XD1504" i="10"/>
  <c r="XD1492" i="10"/>
  <c r="XD1493" i="10"/>
  <c r="XD1499" i="10"/>
  <c r="XD1502" i="10"/>
  <c r="XD1506" i="10"/>
  <c r="XD1507" i="10"/>
  <c r="XD1491" i="10"/>
  <c r="XD1508" i="10"/>
  <c r="XD1500" i="10"/>
  <c r="XD1495" i="10"/>
  <c r="XD1505" i="10"/>
  <c r="XD1497" i="10"/>
  <c r="XD1509" i="10"/>
  <c r="XD1494" i="10"/>
  <c r="XD1503" i="10"/>
  <c r="IJ1515" i="10"/>
  <c r="IJ1521" i="10"/>
  <c r="IJ1518" i="10"/>
  <c r="IJ1523" i="10"/>
  <c r="IJ1524" i="10"/>
  <c r="IJ1526" i="10"/>
  <c r="IJ1514" i="10"/>
  <c r="IJ1525" i="10"/>
  <c r="IJ1517" i="10"/>
  <c r="IJ1528" i="10"/>
  <c r="IJ1516" i="10"/>
  <c r="IJ1522" i="10"/>
  <c r="IJ1520" i="10"/>
  <c r="IJ1519" i="10"/>
  <c r="IJ1527" i="10"/>
  <c r="IJ1530" i="10"/>
  <c r="IJ1532" i="10"/>
  <c r="IJ1531" i="10"/>
  <c r="IJ1533" i="10"/>
  <c r="IJ1529" i="10"/>
  <c r="DL1491" i="10"/>
  <c r="DL1504" i="10"/>
  <c r="DL1492" i="10"/>
  <c r="DL1497" i="10"/>
  <c r="DL1499" i="10"/>
  <c r="DL1493" i="10"/>
  <c r="DL1502" i="10"/>
  <c r="DL1495" i="10"/>
  <c r="DL1505" i="10"/>
  <c r="DL1510" i="10"/>
  <c r="DL1494" i="10"/>
  <c r="DL1500" i="10"/>
  <c r="DL1507" i="10"/>
  <c r="DL1508" i="10"/>
  <c r="DL1501" i="10"/>
  <c r="DL1496" i="10"/>
  <c r="DL1509" i="10"/>
  <c r="DL1503" i="10"/>
  <c r="DL1506" i="10"/>
  <c r="DL1498" i="10"/>
  <c r="RP1491" i="10"/>
  <c r="RP1494" i="10"/>
  <c r="RP1500" i="10"/>
  <c r="RP1492" i="10"/>
  <c r="RP1503" i="10"/>
  <c r="RP1496" i="10"/>
  <c r="RP1498" i="10"/>
  <c r="RP1501" i="10"/>
  <c r="RP1502" i="10"/>
  <c r="RP1504" i="10"/>
  <c r="RP1509" i="10"/>
  <c r="RP1510" i="10"/>
  <c r="RP1506" i="10"/>
  <c r="RP1493" i="10"/>
  <c r="RP1495" i="10"/>
  <c r="RP1507" i="10"/>
  <c r="RP1499" i="10"/>
  <c r="RP1505" i="10"/>
  <c r="RP1497" i="10"/>
  <c r="RP1508" i="10"/>
  <c r="TD1491" i="10"/>
  <c r="TD1493" i="10"/>
  <c r="TD1499" i="10"/>
  <c r="TD1506" i="10"/>
  <c r="TD1507" i="10"/>
  <c r="TD1508" i="10"/>
  <c r="TD1495" i="10"/>
  <c r="TD1497" i="10"/>
  <c r="TD1505" i="10"/>
  <c r="TD1492" i="10"/>
  <c r="TD1494" i="10"/>
  <c r="TD1500" i="10"/>
  <c r="TD1502" i="10"/>
  <c r="TD1503" i="10"/>
  <c r="TD1504" i="10"/>
  <c r="TD1510" i="10"/>
  <c r="TD1498" i="10"/>
  <c r="TD1501" i="10"/>
  <c r="TD1496" i="10"/>
  <c r="TD1509" i="10"/>
  <c r="NP1516" i="10"/>
  <c r="NP1517" i="10"/>
  <c r="NP1518" i="10"/>
  <c r="NP1526" i="10"/>
  <c r="NP1528" i="10"/>
  <c r="NP1514" i="10"/>
  <c r="NP1521" i="10"/>
  <c r="NP1520" i="10"/>
  <c r="NP1523" i="10"/>
  <c r="NP1515" i="10"/>
  <c r="NP1519" i="10"/>
  <c r="NP1524" i="10"/>
  <c r="NP1522" i="10"/>
  <c r="NP1529" i="10"/>
  <c r="NP1533" i="10"/>
  <c r="NP1531" i="10"/>
  <c r="NP1527" i="10"/>
  <c r="NP1530" i="10"/>
  <c r="NP1532" i="10"/>
  <c r="NP1525" i="10"/>
  <c r="UJ1515" i="10"/>
  <c r="UJ1519" i="10"/>
  <c r="UJ1520" i="10"/>
  <c r="UJ1516" i="10"/>
  <c r="UJ1514" i="10"/>
  <c r="UJ1518" i="10"/>
  <c r="UJ1521" i="10"/>
  <c r="UJ1527" i="10"/>
  <c r="UJ1523" i="10"/>
  <c r="UJ1525" i="10"/>
  <c r="UJ1526" i="10"/>
  <c r="UJ1522" i="10"/>
  <c r="UJ1529" i="10"/>
  <c r="UJ1528" i="10"/>
  <c r="UJ1533" i="10"/>
  <c r="UJ1530" i="10"/>
  <c r="UJ1524" i="10"/>
  <c r="UJ1532" i="10"/>
  <c r="UJ1531" i="10"/>
  <c r="UJ1517" i="10"/>
  <c r="AR1515" i="10"/>
  <c r="AR1517" i="10"/>
  <c r="AR1519" i="10"/>
  <c r="AR1521" i="10"/>
  <c r="AR1516" i="10"/>
  <c r="AR1525" i="10"/>
  <c r="AR1514" i="10"/>
  <c r="AR1520" i="10"/>
  <c r="AR1518" i="10"/>
  <c r="AR1526" i="10"/>
  <c r="AR1523" i="10"/>
  <c r="AR1527" i="10"/>
  <c r="AR1529" i="10"/>
  <c r="AR1531" i="10"/>
  <c r="AR1530" i="10"/>
  <c r="AR1524" i="10"/>
  <c r="AR1533" i="10"/>
  <c r="AR1522" i="10"/>
  <c r="AR1532" i="10"/>
  <c r="AR1528" i="10"/>
  <c r="UB1491" i="10"/>
  <c r="UB1494" i="10"/>
  <c r="UB1500" i="10"/>
  <c r="UB1503" i="10"/>
  <c r="UB1496" i="10"/>
  <c r="UB1498" i="10"/>
  <c r="UB1501" i="10"/>
  <c r="UB1502" i="10"/>
  <c r="UB1504" i="10"/>
  <c r="UB1509" i="10"/>
  <c r="UB1492" i="10"/>
  <c r="UB1493" i="10"/>
  <c r="UB1495" i="10"/>
  <c r="UB1499" i="10"/>
  <c r="UB1505" i="10"/>
  <c r="UB1507" i="10"/>
  <c r="UB1497" i="10"/>
  <c r="UB1508" i="10"/>
  <c r="UB1510" i="10"/>
  <c r="UB1506" i="10"/>
  <c r="AJ1491" i="10"/>
  <c r="AJ1492" i="10"/>
  <c r="AJ1504" i="10"/>
  <c r="AJ1497" i="10"/>
  <c r="AJ1499" i="10"/>
  <c r="AJ1493" i="10"/>
  <c r="AJ1502" i="10"/>
  <c r="AJ1495" i="10"/>
  <c r="AJ1505" i="10"/>
  <c r="AJ1510" i="10"/>
  <c r="AJ1494" i="10"/>
  <c r="AJ1500" i="10"/>
  <c r="AJ1507" i="10"/>
  <c r="AJ1508" i="10"/>
  <c r="AJ1509" i="10"/>
  <c r="AJ1501" i="10"/>
  <c r="AJ1496" i="10"/>
  <c r="AJ1503" i="10"/>
  <c r="AJ1506" i="10"/>
  <c r="AJ1498" i="10"/>
  <c r="MB1515" i="10"/>
  <c r="MB1519" i="10"/>
  <c r="MB1514" i="10"/>
  <c r="MB1516" i="10"/>
  <c r="MB1522" i="10"/>
  <c r="MB1526" i="10"/>
  <c r="MB1517" i="10"/>
  <c r="MB1521" i="10"/>
  <c r="MB1518" i="10"/>
  <c r="MB1527" i="10"/>
  <c r="MB1524" i="10"/>
  <c r="MB1520" i="10"/>
  <c r="MB1532" i="10"/>
  <c r="MB1525" i="10"/>
  <c r="MB1528" i="10"/>
  <c r="MB1533" i="10"/>
  <c r="MB1523" i="10"/>
  <c r="MB1529" i="10"/>
  <c r="MB1530" i="10"/>
  <c r="MB1531" i="10"/>
  <c r="HD1491" i="10"/>
  <c r="HD1492" i="10"/>
  <c r="HD1495" i="10"/>
  <c r="HD1497" i="10"/>
  <c r="HD1505" i="10"/>
  <c r="HD1494" i="10"/>
  <c r="HD1500" i="10"/>
  <c r="HD1503" i="10"/>
  <c r="HD1496" i="10"/>
  <c r="HD1498" i="10"/>
  <c r="HD1510" i="10"/>
  <c r="HD1493" i="10"/>
  <c r="HD1501" i="10"/>
  <c r="HD1499" i="10"/>
  <c r="HD1506" i="10"/>
  <c r="HD1509" i="10"/>
  <c r="HD1502" i="10"/>
  <c r="HD1504" i="10"/>
  <c r="HD1507" i="10"/>
  <c r="HD1508" i="10"/>
  <c r="WF1491" i="10"/>
  <c r="WF1492" i="10"/>
  <c r="WF1495" i="10"/>
  <c r="WF1497" i="10"/>
  <c r="WF1501" i="10"/>
  <c r="WF1505" i="10"/>
  <c r="WF1494" i="10"/>
  <c r="WF1500" i="10"/>
  <c r="WF1503" i="10"/>
  <c r="WF1496" i="10"/>
  <c r="WF1498" i="10"/>
  <c r="WF1502" i="10"/>
  <c r="WF1510" i="10"/>
  <c r="WF1508" i="10"/>
  <c r="WF1504" i="10"/>
  <c r="WF1509" i="10"/>
  <c r="WF1506" i="10"/>
  <c r="WF1493" i="10"/>
  <c r="WF1499" i="10"/>
  <c r="WF1507" i="10"/>
  <c r="HL1514" i="10"/>
  <c r="HL1517" i="10"/>
  <c r="HL1518" i="10"/>
  <c r="HL1523" i="10"/>
  <c r="HL1529" i="10"/>
  <c r="HL1525" i="10"/>
  <c r="HL1519" i="10"/>
  <c r="HL1524" i="10"/>
  <c r="HL1526" i="10"/>
  <c r="HL1515" i="10"/>
  <c r="HL1521" i="10"/>
  <c r="HL1522" i="10"/>
  <c r="HL1520" i="10"/>
  <c r="HL1516" i="10"/>
  <c r="HL1531" i="10"/>
  <c r="HL1527" i="10"/>
  <c r="HL1528" i="10"/>
  <c r="HL1533" i="10"/>
  <c r="HL1532" i="10"/>
  <c r="HL1530" i="10"/>
  <c r="CN1491" i="10"/>
  <c r="CN1504" i="10"/>
  <c r="CN1497" i="10"/>
  <c r="CN1499" i="10"/>
  <c r="CN1493" i="10"/>
  <c r="CN1502" i="10"/>
  <c r="CN1492" i="10"/>
  <c r="CN1495" i="10"/>
  <c r="CN1505" i="10"/>
  <c r="CN1510" i="10"/>
  <c r="CN1494" i="10"/>
  <c r="CN1500" i="10"/>
  <c r="CN1507" i="10"/>
  <c r="CN1508" i="10"/>
  <c r="CN1509" i="10"/>
  <c r="CN1501" i="10"/>
  <c r="CN1496" i="10"/>
  <c r="CN1503" i="10"/>
  <c r="CN1506" i="10"/>
  <c r="CN1498" i="10"/>
  <c r="VP1491" i="10"/>
  <c r="VP1493" i="10"/>
  <c r="VP1499" i="10"/>
  <c r="VP1501" i="10"/>
  <c r="VP1506" i="10"/>
  <c r="VP1507" i="10"/>
  <c r="VP1492" i="10"/>
  <c r="VP1508" i="10"/>
  <c r="VP1495" i="10"/>
  <c r="VP1497" i="10"/>
  <c r="VP1505" i="10"/>
  <c r="VP1494" i="10"/>
  <c r="VP1500" i="10"/>
  <c r="VP1502" i="10"/>
  <c r="VP1503" i="10"/>
  <c r="VP1496" i="10"/>
  <c r="VP1504" i="10"/>
  <c r="VP1509" i="10"/>
  <c r="VP1510" i="10"/>
  <c r="VP1498" i="10"/>
  <c r="GV1520" i="10"/>
  <c r="GV1522" i="10"/>
  <c r="GV1521" i="10"/>
  <c r="GV1514" i="10"/>
  <c r="GV1517" i="10"/>
  <c r="GV1518" i="10"/>
  <c r="GV1515" i="10"/>
  <c r="GV1519" i="10"/>
  <c r="GV1516" i="10"/>
  <c r="GV1525" i="10"/>
  <c r="GV1530" i="10"/>
  <c r="GV1526" i="10"/>
  <c r="GV1533" i="10"/>
  <c r="GV1527" i="10"/>
  <c r="GV1531" i="10"/>
  <c r="GV1528" i="10"/>
  <c r="GV1523" i="10"/>
  <c r="GV1529" i="10"/>
  <c r="GV1532" i="10"/>
  <c r="GV1524" i="10"/>
  <c r="BX1491" i="10"/>
  <c r="BX1504" i="10"/>
  <c r="BX1497" i="10"/>
  <c r="BX1499" i="10"/>
  <c r="BX1493" i="10"/>
  <c r="BX1502" i="10"/>
  <c r="BX1492" i="10"/>
  <c r="BX1495" i="10"/>
  <c r="BX1505" i="10"/>
  <c r="BX1510" i="10"/>
  <c r="BX1494" i="10"/>
  <c r="BX1500" i="10"/>
  <c r="BX1507" i="10"/>
  <c r="BX1508" i="10"/>
  <c r="BX1509" i="10"/>
  <c r="BX1501" i="10"/>
  <c r="BX1496" i="10"/>
  <c r="BX1503" i="10"/>
  <c r="BX1506" i="10"/>
  <c r="BX1498" i="10"/>
  <c r="VH1491" i="10"/>
  <c r="VH1501" i="10"/>
  <c r="VH1504" i="10"/>
  <c r="VH1509" i="10"/>
  <c r="VH1493" i="10"/>
  <c r="VH1499" i="10"/>
  <c r="VH1506" i="10"/>
  <c r="VH1507" i="10"/>
  <c r="VH1492" i="10"/>
  <c r="VH1495" i="10"/>
  <c r="VH1497" i="10"/>
  <c r="VH1502" i="10"/>
  <c r="VH1505" i="10"/>
  <c r="VH1494" i="10"/>
  <c r="VH1500" i="10"/>
  <c r="VH1496" i="10"/>
  <c r="VH1503" i="10"/>
  <c r="VH1508" i="10"/>
  <c r="VH1498" i="10"/>
  <c r="VH1510" i="10"/>
  <c r="GN1518" i="10"/>
  <c r="GN1517" i="10"/>
  <c r="GN1521" i="10"/>
  <c r="GN1522" i="10"/>
  <c r="GN1514" i="10"/>
  <c r="GN1516" i="10"/>
  <c r="GN1524" i="10"/>
  <c r="GN1519" i="10"/>
  <c r="GN1520" i="10"/>
  <c r="GN1525" i="10"/>
  <c r="GN1526" i="10"/>
  <c r="GN1515" i="10"/>
  <c r="GN1523" i="10"/>
  <c r="GN1530" i="10"/>
  <c r="GN1527" i="10"/>
  <c r="GN1532" i="10"/>
  <c r="GN1528" i="10"/>
  <c r="GN1529" i="10"/>
  <c r="GN1531" i="10"/>
  <c r="GN1533" i="10"/>
  <c r="BP1491" i="10"/>
  <c r="BP1504" i="10"/>
  <c r="BP1497" i="10"/>
  <c r="BP1499" i="10"/>
  <c r="BP1493" i="10"/>
  <c r="BP1502" i="10"/>
  <c r="BP1492" i="10"/>
  <c r="BP1495" i="10"/>
  <c r="BP1505" i="10"/>
  <c r="BP1510" i="10"/>
  <c r="BP1494" i="10"/>
  <c r="BP1500" i="10"/>
  <c r="BP1507" i="10"/>
  <c r="BP1508" i="10"/>
  <c r="BP1509" i="10"/>
  <c r="BP1501" i="10"/>
  <c r="BP1496" i="10"/>
  <c r="BP1503" i="10"/>
  <c r="BP1506" i="10"/>
  <c r="BP1498" i="10"/>
  <c r="QB1520" i="10"/>
  <c r="QB1514" i="10"/>
  <c r="QB1526" i="10"/>
  <c r="QB1528" i="10"/>
  <c r="QB1517" i="10"/>
  <c r="QB1519" i="10"/>
  <c r="QB1521" i="10"/>
  <c r="QB1518" i="10"/>
  <c r="QB1522" i="10"/>
  <c r="QB1524" i="10"/>
  <c r="QB1516" i="10"/>
  <c r="QB1527" i="10"/>
  <c r="QB1523" i="10"/>
  <c r="QB1525" i="10"/>
  <c r="QB1515" i="10"/>
  <c r="QB1533" i="10"/>
  <c r="QB1532" i="10"/>
  <c r="QB1530" i="10"/>
  <c r="QB1529" i="10"/>
  <c r="QB1531" i="10"/>
  <c r="LD1495" i="10"/>
  <c r="LD1500" i="10"/>
  <c r="LD1502" i="10"/>
  <c r="LD1504" i="10"/>
  <c r="LD1506" i="10"/>
  <c r="LD1492" i="10"/>
  <c r="LD1508" i="10"/>
  <c r="LD1510" i="10"/>
  <c r="LD1494" i="10"/>
  <c r="LD1497" i="10"/>
  <c r="LD1491" i="10"/>
  <c r="LD1499" i="10"/>
  <c r="LD1501" i="10"/>
  <c r="LD1503" i="10"/>
  <c r="LD1505" i="10"/>
  <c r="LD1496" i="10"/>
  <c r="LD1507" i="10"/>
  <c r="LD1509" i="10"/>
  <c r="LD1498" i="10"/>
  <c r="LD1493" i="10"/>
  <c r="UR1522" i="10"/>
  <c r="UR1526" i="10"/>
  <c r="UR1524" i="10"/>
  <c r="UR1519" i="10"/>
  <c r="UR1525" i="10"/>
  <c r="UR1527" i="10"/>
  <c r="UR1523" i="10"/>
  <c r="UR1521" i="10"/>
  <c r="UR1515" i="10"/>
  <c r="UR1530" i="10"/>
  <c r="UR1533" i="10"/>
  <c r="UR1529" i="10"/>
  <c r="UR1532" i="10"/>
  <c r="UR1531" i="10"/>
  <c r="UR1528" i="10"/>
  <c r="UR1514" i="10"/>
  <c r="UR1516" i="10"/>
  <c r="UR1517" i="10"/>
  <c r="UR1520" i="10"/>
  <c r="UR1518" i="10"/>
  <c r="PT1493" i="10"/>
  <c r="PT1496" i="10"/>
  <c r="PT1498" i="10"/>
  <c r="PT1510" i="10"/>
  <c r="PT1492" i="10"/>
  <c r="PT1501" i="10"/>
  <c r="PT1504" i="10"/>
  <c r="PT1491" i="10"/>
  <c r="PT1499" i="10"/>
  <c r="PT1502" i="10"/>
  <c r="PT1506" i="10"/>
  <c r="PT1507" i="10"/>
  <c r="PT1508" i="10"/>
  <c r="PT1495" i="10"/>
  <c r="PT1509" i="10"/>
  <c r="PT1505" i="10"/>
  <c r="PT1497" i="10"/>
  <c r="PT1494" i="10"/>
  <c r="PT1503" i="10"/>
  <c r="PT1500" i="10"/>
  <c r="AZ1517" i="10"/>
  <c r="AZ1521" i="10"/>
  <c r="AZ1516" i="10"/>
  <c r="AZ1519" i="10"/>
  <c r="AZ1525" i="10"/>
  <c r="AZ1514" i="10"/>
  <c r="AZ1520" i="10"/>
  <c r="AZ1515" i="10"/>
  <c r="AZ1518" i="10"/>
  <c r="AZ1526" i="10"/>
  <c r="AZ1523" i="10"/>
  <c r="AZ1527" i="10"/>
  <c r="AZ1529" i="10"/>
  <c r="AZ1531" i="10"/>
  <c r="AZ1530" i="10"/>
  <c r="AZ1524" i="10"/>
  <c r="AZ1533" i="10"/>
  <c r="AZ1522" i="10"/>
  <c r="AZ1532" i="10"/>
  <c r="AZ1528" i="10"/>
  <c r="WN1526" i="10"/>
  <c r="WN1530" i="10"/>
  <c r="WN1529" i="10"/>
  <c r="WN1527" i="10"/>
  <c r="WN1516" i="10"/>
  <c r="WN1532" i="10"/>
  <c r="WN1517" i="10"/>
  <c r="WN1520" i="10"/>
  <c r="WN1533" i="10"/>
  <c r="WN1519" i="10"/>
  <c r="WN1514" i="10"/>
  <c r="WN1524" i="10"/>
  <c r="WN1521" i="10"/>
  <c r="WN1531" i="10"/>
  <c r="WN1518" i="10"/>
  <c r="WN1523" i="10"/>
  <c r="WN1525" i="10"/>
  <c r="WN1522" i="10"/>
  <c r="WN1528" i="10"/>
  <c r="WN1515" i="10"/>
  <c r="TT1491" i="10"/>
  <c r="TT1492" i="10"/>
  <c r="TT1495" i="10"/>
  <c r="TT1497" i="10"/>
  <c r="TT1505" i="10"/>
  <c r="TT1494" i="10"/>
  <c r="TT1500" i="10"/>
  <c r="TT1503" i="10"/>
  <c r="TT1496" i="10"/>
  <c r="TT1498" i="10"/>
  <c r="TT1502" i="10"/>
  <c r="TT1510" i="10"/>
  <c r="TT1501" i="10"/>
  <c r="TT1493" i="10"/>
  <c r="TT1499" i="10"/>
  <c r="TT1507" i="10"/>
  <c r="TT1508" i="10"/>
  <c r="TT1509" i="10"/>
  <c r="TT1504" i="10"/>
  <c r="TT1506" i="10"/>
  <c r="EB1519" i="10"/>
  <c r="EB1518" i="10"/>
  <c r="EB1523" i="10"/>
  <c r="EB1527" i="10"/>
  <c r="EB1520" i="10"/>
  <c r="EB1526" i="10"/>
  <c r="EB1515" i="10"/>
  <c r="EB1521" i="10"/>
  <c r="EB1516" i="10"/>
  <c r="EB1524" i="10"/>
  <c r="EB1514" i="10"/>
  <c r="EB1522" i="10"/>
  <c r="EB1525" i="10"/>
  <c r="EB1517" i="10"/>
  <c r="EB1530" i="10"/>
  <c r="EB1533" i="10"/>
  <c r="EB1528" i="10"/>
  <c r="EB1532" i="10"/>
  <c r="EB1531" i="10"/>
  <c r="EB1529" i="10"/>
  <c r="KN1491" i="10"/>
  <c r="KN1492" i="10"/>
  <c r="KN1493" i="10"/>
  <c r="KN1494" i="10"/>
  <c r="KN1495" i="10"/>
  <c r="KN1496" i="10"/>
  <c r="KN1499" i="10"/>
  <c r="KN1501" i="10"/>
  <c r="KN1503" i="10"/>
  <c r="KN1505" i="10"/>
  <c r="KN1507" i="10"/>
  <c r="KN1509" i="10"/>
  <c r="KN1498" i="10"/>
  <c r="KN1500" i="10"/>
  <c r="KN1502" i="10"/>
  <c r="KN1504" i="10"/>
  <c r="KN1506" i="10"/>
  <c r="KN1508" i="10"/>
  <c r="KN1510" i="10"/>
  <c r="KN1497" i="10"/>
  <c r="PL1491" i="10"/>
  <c r="PL1503" i="10"/>
  <c r="PL1496" i="10"/>
  <c r="PL1498" i="10"/>
  <c r="PL1510" i="10"/>
  <c r="PL1492" i="10"/>
  <c r="PL1501" i="10"/>
  <c r="PL1502" i="10"/>
  <c r="PL1504" i="10"/>
  <c r="PL1509" i="10"/>
  <c r="PL1499" i="10"/>
  <c r="PL1506" i="10"/>
  <c r="PL1507" i="10"/>
  <c r="PL1493" i="10"/>
  <c r="PL1500" i="10"/>
  <c r="PL1495" i="10"/>
  <c r="PL1505" i="10"/>
  <c r="PL1508" i="10"/>
  <c r="PL1497" i="10"/>
  <c r="PL1494" i="10"/>
  <c r="YZ1527" i="10"/>
  <c r="YZ1526" i="10"/>
  <c r="YZ1515" i="10"/>
  <c r="YZ1532" i="10"/>
  <c r="YZ1524" i="10"/>
  <c r="YZ1525" i="10"/>
  <c r="YZ1529" i="10"/>
  <c r="YZ1530" i="10"/>
  <c r="YZ1523" i="10"/>
  <c r="YZ1518" i="10"/>
  <c r="YZ1516" i="10"/>
  <c r="YZ1521" i="10"/>
  <c r="YZ1519" i="10"/>
  <c r="YZ1520" i="10"/>
  <c r="YZ1533" i="10"/>
  <c r="YZ1522" i="10"/>
  <c r="YZ1531" i="10"/>
  <c r="YZ1517" i="10"/>
  <c r="YZ1528" i="10"/>
  <c r="YZ1514" i="10"/>
  <c r="FH1514" i="10"/>
  <c r="FH1516" i="10"/>
  <c r="FH1518" i="10"/>
  <c r="FH1520" i="10"/>
  <c r="FH1525" i="10"/>
  <c r="FH1522" i="10"/>
  <c r="FH1526" i="10"/>
  <c r="FH1515" i="10"/>
  <c r="FH1519" i="10"/>
  <c r="FH1517" i="10"/>
  <c r="FH1527" i="10"/>
  <c r="FH1523" i="10"/>
  <c r="FH1524" i="10"/>
  <c r="FH1521" i="10"/>
  <c r="FH1528" i="10"/>
  <c r="FH1532" i="10"/>
  <c r="FH1533" i="10"/>
  <c r="FH1531" i="10"/>
  <c r="FH1530" i="10"/>
  <c r="FH1529" i="10"/>
  <c r="MZ1514" i="10"/>
  <c r="MZ1517" i="10"/>
  <c r="MZ1518" i="10"/>
  <c r="MZ1522" i="10"/>
  <c r="MZ1526" i="10"/>
  <c r="MZ1527" i="10"/>
  <c r="MZ1524" i="10"/>
  <c r="MZ1516" i="10"/>
  <c r="MZ1525" i="10"/>
  <c r="MZ1521" i="10"/>
  <c r="MZ1520" i="10"/>
  <c r="MZ1528" i="10"/>
  <c r="MZ1515" i="10"/>
  <c r="MZ1519" i="10"/>
  <c r="MZ1533" i="10"/>
  <c r="MZ1530" i="10"/>
  <c r="MZ1523" i="10"/>
  <c r="MZ1529" i="10"/>
  <c r="MZ1531" i="10"/>
  <c r="MZ1532" i="10"/>
  <c r="IB1493" i="10"/>
  <c r="IB1491" i="10"/>
  <c r="IB1496" i="10"/>
  <c r="IB1498" i="10"/>
  <c r="IB1501" i="10"/>
  <c r="IB1504" i="10"/>
  <c r="IB1499" i="10"/>
  <c r="IB1507" i="10"/>
  <c r="IB1510" i="10"/>
  <c r="IB1502" i="10"/>
  <c r="IB1508" i="10"/>
  <c r="IB1497" i="10"/>
  <c r="IB1506" i="10"/>
  <c r="IB1492" i="10"/>
  <c r="IB1509" i="10"/>
  <c r="IB1503" i="10"/>
  <c r="IB1494" i="10"/>
  <c r="IB1500" i="10"/>
  <c r="IB1495" i="10"/>
  <c r="IB1505" i="10"/>
  <c r="RP1516" i="10"/>
  <c r="RP1519" i="10"/>
  <c r="RP1515" i="10"/>
  <c r="RP1518" i="10"/>
  <c r="RP1520" i="10"/>
  <c r="RP1525" i="10"/>
  <c r="RP1526" i="10"/>
  <c r="RP1528" i="10"/>
  <c r="RP1517" i="10"/>
  <c r="RP1524" i="10"/>
  <c r="RP1514" i="10"/>
  <c r="RP1521" i="10"/>
  <c r="RP1529" i="10"/>
  <c r="RP1533" i="10"/>
  <c r="RP1527" i="10"/>
  <c r="RP1530" i="10"/>
  <c r="RP1531" i="10"/>
  <c r="RP1532" i="10"/>
  <c r="RP1522" i="10"/>
  <c r="RP1523" i="10"/>
  <c r="MR1491" i="10"/>
  <c r="MR1493" i="10"/>
  <c r="MR1494" i="10"/>
  <c r="MR1500" i="10"/>
  <c r="MR1503" i="10"/>
  <c r="MR1496" i="10"/>
  <c r="MR1498" i="10"/>
  <c r="MR1501" i="10"/>
  <c r="MR1502" i="10"/>
  <c r="MR1504" i="10"/>
  <c r="MR1509" i="10"/>
  <c r="MR1499" i="10"/>
  <c r="MR1505" i="10"/>
  <c r="MR1510" i="10"/>
  <c r="MR1497" i="10"/>
  <c r="MR1492" i="10"/>
  <c r="MR1506" i="10"/>
  <c r="MR1507" i="10"/>
  <c r="MR1495" i="10"/>
  <c r="MR1508" i="10"/>
  <c r="YJ1521" i="10"/>
  <c r="YJ1524" i="10"/>
  <c r="YJ1531" i="10"/>
  <c r="YJ1532" i="10"/>
  <c r="YJ1520" i="10"/>
  <c r="YJ1523" i="10"/>
  <c r="YJ1526" i="10"/>
  <c r="YJ1519" i="10"/>
  <c r="YJ1525" i="10"/>
  <c r="YJ1518" i="10"/>
  <c r="YJ1527" i="10"/>
  <c r="YJ1514" i="10"/>
  <c r="YJ1530" i="10"/>
  <c r="YJ1516" i="10"/>
  <c r="YJ1517" i="10"/>
  <c r="YJ1533" i="10"/>
  <c r="YJ1515" i="10"/>
  <c r="YJ1529" i="10"/>
  <c r="YJ1522" i="10"/>
  <c r="YJ1528" i="10"/>
  <c r="TL1491" i="10"/>
  <c r="TL1508" i="10"/>
  <c r="TL1495" i="10"/>
  <c r="TL1497" i="10"/>
  <c r="TL1505" i="10"/>
  <c r="TL1492" i="10"/>
  <c r="TL1494" i="10"/>
  <c r="TL1500" i="10"/>
  <c r="TL1502" i="10"/>
  <c r="TL1503" i="10"/>
  <c r="TL1496" i="10"/>
  <c r="TL1498" i="10"/>
  <c r="TL1510" i="10"/>
  <c r="TL1506" i="10"/>
  <c r="TL1493" i="10"/>
  <c r="TL1499" i="10"/>
  <c r="TL1501" i="10"/>
  <c r="TL1507" i="10"/>
  <c r="TL1504" i="10"/>
  <c r="TL1509" i="10"/>
  <c r="ER1515" i="10"/>
  <c r="ER1514" i="10"/>
  <c r="ER1516" i="10"/>
  <c r="ER1518" i="10"/>
  <c r="ER1521" i="10"/>
  <c r="ER1517" i="10"/>
  <c r="ER1522" i="10"/>
  <c r="ER1519" i="10"/>
  <c r="ER1520" i="10"/>
  <c r="ER1527" i="10"/>
  <c r="ER1523" i="10"/>
  <c r="ER1524" i="10"/>
  <c r="ER1526" i="10"/>
  <c r="ER1528" i="10"/>
  <c r="ER1525" i="10"/>
  <c r="ER1530" i="10"/>
  <c r="ER1529" i="10"/>
  <c r="ER1532" i="10"/>
  <c r="ER1533" i="10"/>
  <c r="ER1531" i="10"/>
  <c r="TT1518" i="10"/>
  <c r="TT1514" i="10"/>
  <c r="TT1516" i="10"/>
  <c r="TT1520" i="10"/>
  <c r="TT1521" i="10"/>
  <c r="TT1525" i="10"/>
  <c r="TT1529" i="10"/>
  <c r="TT1517" i="10"/>
  <c r="TT1523" i="10"/>
  <c r="TT1519" i="10"/>
  <c r="TT1528" i="10"/>
  <c r="TT1522" i="10"/>
  <c r="TT1515" i="10"/>
  <c r="TT1531" i="10"/>
  <c r="TT1533" i="10"/>
  <c r="TT1527" i="10"/>
  <c r="TT1526" i="10"/>
  <c r="TT1524" i="10"/>
  <c r="TT1530" i="10"/>
  <c r="TT1532" i="10"/>
  <c r="OV1491" i="10"/>
  <c r="OV1492" i="10"/>
  <c r="OV1495" i="10"/>
  <c r="OV1497" i="10"/>
  <c r="OV1505" i="10"/>
  <c r="OV1494" i="10"/>
  <c r="OV1500" i="10"/>
  <c r="OV1503" i="10"/>
  <c r="OV1496" i="10"/>
  <c r="OV1498" i="10"/>
  <c r="OV1502" i="10"/>
  <c r="OV1510" i="10"/>
  <c r="OV1501" i="10"/>
  <c r="OV1504" i="10"/>
  <c r="OV1506" i="10"/>
  <c r="OV1493" i="10"/>
  <c r="OV1507" i="10"/>
  <c r="OV1499" i="10"/>
  <c r="OV1508" i="10"/>
  <c r="OV1509" i="10"/>
  <c r="TD1515" i="10"/>
  <c r="TD1519" i="10"/>
  <c r="TD1516" i="10"/>
  <c r="TD1517" i="10"/>
  <c r="TD1526" i="10"/>
  <c r="TD1522" i="10"/>
  <c r="TD1523" i="10"/>
  <c r="TD1514" i="10"/>
  <c r="TD1524" i="10"/>
  <c r="TD1525" i="10"/>
  <c r="TD1518" i="10"/>
  <c r="TD1530" i="10"/>
  <c r="TD1520" i="10"/>
  <c r="TD1528" i="10"/>
  <c r="TD1531" i="10"/>
  <c r="TD1533" i="10"/>
  <c r="TD1527" i="10"/>
  <c r="TD1532" i="10"/>
  <c r="TD1521" i="10"/>
  <c r="TD1529" i="10"/>
  <c r="OF1491" i="10"/>
  <c r="OF1499" i="10"/>
  <c r="OF1506" i="10"/>
  <c r="OF1507" i="10"/>
  <c r="OF1508" i="10"/>
  <c r="OF1493" i="10"/>
  <c r="OF1495" i="10"/>
  <c r="OF1497" i="10"/>
  <c r="OF1505" i="10"/>
  <c r="OF1494" i="10"/>
  <c r="OF1500" i="10"/>
  <c r="OF1502" i="10"/>
  <c r="OF1503" i="10"/>
  <c r="OF1496" i="10"/>
  <c r="OF1492" i="10"/>
  <c r="OF1510" i="10"/>
  <c r="OF1504" i="10"/>
  <c r="OF1498" i="10"/>
  <c r="OF1501" i="10"/>
  <c r="OF1509" i="10"/>
  <c r="SV1514" i="10"/>
  <c r="SV1516" i="10"/>
  <c r="SV1520" i="10"/>
  <c r="SV1518" i="10"/>
  <c r="SV1522" i="10"/>
  <c r="SV1524" i="10"/>
  <c r="SV1526" i="10"/>
  <c r="SV1515" i="10"/>
  <c r="SV1521" i="10"/>
  <c r="SV1519" i="10"/>
  <c r="SV1523" i="10"/>
  <c r="SV1525" i="10"/>
  <c r="SV1517" i="10"/>
  <c r="SV1529" i="10"/>
  <c r="SV1530" i="10"/>
  <c r="SV1532" i="10"/>
  <c r="SV1533" i="10"/>
  <c r="SV1531" i="10"/>
  <c r="SV1527" i="10"/>
  <c r="SV1528" i="10"/>
  <c r="NX1491" i="10"/>
  <c r="NX1492" i="10"/>
  <c r="NX1504" i="10"/>
  <c r="NX1509" i="10"/>
  <c r="NX1499" i="10"/>
  <c r="NX1506" i="10"/>
  <c r="NX1507" i="10"/>
  <c r="NX1493" i="10"/>
  <c r="NX1495" i="10"/>
  <c r="NX1497" i="10"/>
  <c r="NX1502" i="10"/>
  <c r="NX1505" i="10"/>
  <c r="NX1494" i="10"/>
  <c r="NX1500" i="10"/>
  <c r="NX1496" i="10"/>
  <c r="NX1503" i="10"/>
  <c r="NX1508" i="10"/>
  <c r="NX1510" i="10"/>
  <c r="NX1498" i="10"/>
  <c r="NX1501" i="10"/>
  <c r="XL1492" i="10"/>
  <c r="XL1501" i="10"/>
  <c r="XL1504" i="10"/>
  <c r="XL1509" i="10"/>
  <c r="XL1493" i="10"/>
  <c r="XL1499" i="10"/>
  <c r="XL1491" i="10"/>
  <c r="XL1502" i="10"/>
  <c r="XL1508" i="10"/>
  <c r="XL1495" i="10"/>
  <c r="XL1497" i="10"/>
  <c r="XL1505" i="10"/>
  <c r="XL1507" i="10"/>
  <c r="XL1498" i="10"/>
  <c r="XL1510" i="10"/>
  <c r="XL1506" i="10"/>
  <c r="XL1494" i="10"/>
  <c r="XL1496" i="10"/>
  <c r="XL1503" i="10"/>
  <c r="XL1500" i="10"/>
  <c r="IR1517" i="10"/>
  <c r="IR1518" i="10"/>
  <c r="IR1521" i="10"/>
  <c r="IR1522" i="10"/>
  <c r="IR1526" i="10"/>
  <c r="IR1528" i="10"/>
  <c r="IR1524" i="10"/>
  <c r="IR1514" i="10"/>
  <c r="IR1525" i="10"/>
  <c r="IR1515" i="10"/>
  <c r="IR1519" i="10"/>
  <c r="IR1516" i="10"/>
  <c r="IR1523" i="10"/>
  <c r="IR1527" i="10"/>
  <c r="IR1533" i="10"/>
  <c r="IR1532" i="10"/>
  <c r="IR1529" i="10"/>
  <c r="IR1530" i="10"/>
  <c r="IR1531" i="10"/>
  <c r="IR1520" i="10"/>
  <c r="DT1491" i="10"/>
  <c r="DT1504" i="10"/>
  <c r="DT1492" i="10"/>
  <c r="DT1497" i="10"/>
  <c r="DT1499" i="10"/>
  <c r="DT1493" i="10"/>
  <c r="DT1502" i="10"/>
  <c r="DT1495" i="10"/>
  <c r="DT1505" i="10"/>
  <c r="DT1510" i="10"/>
  <c r="DT1494" i="10"/>
  <c r="DT1500" i="10"/>
  <c r="DT1507" i="10"/>
  <c r="DT1508" i="10"/>
  <c r="DT1501" i="10"/>
  <c r="DT1496" i="10"/>
  <c r="DT1509" i="10"/>
  <c r="DT1503" i="10"/>
  <c r="DT1506" i="10"/>
  <c r="DT1498" i="10"/>
  <c r="NH1516" i="10"/>
  <c r="NH1515" i="10"/>
  <c r="NH1517" i="10"/>
  <c r="NH1521" i="10"/>
  <c r="NH1514" i="10"/>
  <c r="NH1526" i="10"/>
  <c r="NH1525" i="10"/>
  <c r="NH1519" i="10"/>
  <c r="NH1523" i="10"/>
  <c r="NH1522" i="10"/>
  <c r="NH1528" i="10"/>
  <c r="NH1518" i="10"/>
  <c r="NH1520" i="10"/>
  <c r="NH1524" i="10"/>
  <c r="NH1529" i="10"/>
  <c r="NH1530" i="10"/>
  <c r="NH1533" i="10"/>
  <c r="NH1531" i="10"/>
  <c r="NH1527" i="10"/>
  <c r="NH1532" i="10"/>
  <c r="IJ1492" i="10"/>
  <c r="IJ1501" i="10"/>
  <c r="IJ1504" i="10"/>
  <c r="IJ1499" i="10"/>
  <c r="IJ1502" i="10"/>
  <c r="IJ1508" i="10"/>
  <c r="IJ1510" i="10"/>
  <c r="IJ1495" i="10"/>
  <c r="IJ1497" i="10"/>
  <c r="IJ1505" i="10"/>
  <c r="IJ1506" i="10"/>
  <c r="IJ1493" i="10"/>
  <c r="IJ1496" i="10"/>
  <c r="IJ1503" i="10"/>
  <c r="IJ1509" i="10"/>
  <c r="IJ1494" i="10"/>
  <c r="IJ1491" i="10"/>
  <c r="IJ1500" i="10"/>
  <c r="IJ1498" i="10"/>
  <c r="IJ1507" i="10"/>
  <c r="MZ1491" i="10"/>
  <c r="MZ1503" i="10"/>
  <c r="MZ1496" i="10"/>
  <c r="MZ1498" i="10"/>
  <c r="MZ1510" i="10"/>
  <c r="MZ1501" i="10"/>
  <c r="MZ1502" i="10"/>
  <c r="MZ1504" i="10"/>
  <c r="MZ1509" i="10"/>
  <c r="MZ1492" i="10"/>
  <c r="MZ1499" i="10"/>
  <c r="MZ1506" i="10"/>
  <c r="MZ1507" i="10"/>
  <c r="MZ1497" i="10"/>
  <c r="MZ1494" i="10"/>
  <c r="MZ1493" i="10"/>
  <c r="MZ1500" i="10"/>
  <c r="MZ1495" i="10"/>
  <c r="MZ1508" i="10"/>
  <c r="MZ1505" i="10"/>
  <c r="EZ1515" i="10"/>
  <c r="EZ1520" i="10"/>
  <c r="EZ1516" i="10"/>
  <c r="EZ1529" i="10"/>
  <c r="EZ1521" i="10"/>
  <c r="EZ1522" i="10"/>
  <c r="EZ1519" i="10"/>
  <c r="EZ1526" i="10"/>
  <c r="EZ1514" i="10"/>
  <c r="EZ1518" i="10"/>
  <c r="EZ1527" i="10"/>
  <c r="EZ1523" i="10"/>
  <c r="EZ1524" i="10"/>
  <c r="EZ1517" i="10"/>
  <c r="EZ1528" i="10"/>
  <c r="EZ1525" i="10"/>
  <c r="EZ1530" i="10"/>
  <c r="EZ1532" i="10"/>
  <c r="EZ1533" i="10"/>
  <c r="EZ1531" i="10"/>
  <c r="ZH1520" i="10"/>
  <c r="ZH1523" i="10"/>
  <c r="ZH1532" i="10"/>
  <c r="ZH1525" i="10"/>
  <c r="ZH1519" i="10"/>
  <c r="ZH1533" i="10"/>
  <c r="ZH1524" i="10"/>
  <c r="ZH1515" i="10"/>
  <c r="ZH1521" i="10"/>
  <c r="ZH1531" i="10"/>
  <c r="ZH1514" i="10"/>
  <c r="ZH1529" i="10"/>
  <c r="ZH1530" i="10"/>
  <c r="ZH1516" i="10"/>
  <c r="ZH1517" i="10"/>
  <c r="ZH1522" i="10"/>
  <c r="ZH1527" i="10"/>
  <c r="ZH1528" i="10"/>
  <c r="ZH1526" i="10"/>
  <c r="ZH1518" i="10"/>
  <c r="UJ1491" i="10"/>
  <c r="UJ1503" i="10"/>
  <c r="UJ1496" i="10"/>
  <c r="UJ1498" i="10"/>
  <c r="UJ1510" i="10"/>
  <c r="UJ1501" i="10"/>
  <c r="UJ1502" i="10"/>
  <c r="UJ1504" i="10"/>
  <c r="UJ1509" i="10"/>
  <c r="UJ1493" i="10"/>
  <c r="UJ1499" i="10"/>
  <c r="UJ1506" i="10"/>
  <c r="UJ1507" i="10"/>
  <c r="UJ1505" i="10"/>
  <c r="UJ1497" i="10"/>
  <c r="UJ1508" i="10"/>
  <c r="UJ1494" i="10"/>
  <c r="UJ1500" i="10"/>
  <c r="UJ1492" i="10"/>
  <c r="UJ1495" i="10"/>
  <c r="FP1514" i="10"/>
  <c r="FP1517" i="10"/>
  <c r="FP1516" i="10"/>
  <c r="FP1522" i="10"/>
  <c r="FP1520" i="10"/>
  <c r="FP1515" i="10"/>
  <c r="FP1518" i="10"/>
  <c r="FP1519" i="10"/>
  <c r="FP1521" i="10"/>
  <c r="FP1527" i="10"/>
  <c r="FP1523" i="10"/>
  <c r="FP1524" i="10"/>
  <c r="FP1526" i="10"/>
  <c r="FP1525" i="10"/>
  <c r="FP1529" i="10"/>
  <c r="FP1528" i="10"/>
  <c r="FP1530" i="10"/>
  <c r="FP1532" i="10"/>
  <c r="FP1533" i="10"/>
  <c r="FP1531" i="10"/>
  <c r="AR1491" i="10"/>
  <c r="AR1492" i="10"/>
  <c r="AR1504" i="10"/>
  <c r="AR1497" i="10"/>
  <c r="AR1499" i="10"/>
  <c r="AR1493" i="10"/>
  <c r="AR1502" i="10"/>
  <c r="AR1495" i="10"/>
  <c r="AR1505" i="10"/>
  <c r="AR1510" i="10"/>
  <c r="AR1494" i="10"/>
  <c r="AR1500" i="10"/>
  <c r="AR1507" i="10"/>
  <c r="AR1508" i="10"/>
  <c r="AR1509" i="10"/>
  <c r="AR1501" i="10"/>
  <c r="AR1496" i="10"/>
  <c r="AR1503" i="10"/>
  <c r="AR1506" i="10"/>
  <c r="AR1498" i="10"/>
  <c r="YZ1491" i="10"/>
  <c r="YZ1494" i="10"/>
  <c r="YZ1500" i="10"/>
  <c r="YZ1501" i="10"/>
  <c r="YZ1503" i="10"/>
  <c r="YZ1496" i="10"/>
  <c r="YZ1498" i="10"/>
  <c r="YZ1492" i="10"/>
  <c r="YZ1502" i="10"/>
  <c r="YZ1504" i="10"/>
  <c r="YZ1509" i="10"/>
  <c r="YZ1497" i="10"/>
  <c r="YZ1507" i="10"/>
  <c r="YZ1508" i="10"/>
  <c r="YZ1510" i="10"/>
  <c r="YZ1493" i="10"/>
  <c r="YZ1495" i="10"/>
  <c r="YZ1506" i="10"/>
  <c r="YZ1499" i="10"/>
  <c r="YZ1505" i="10"/>
  <c r="KF1532" i="10"/>
  <c r="KF1520" i="10"/>
  <c r="KF1514" i="10"/>
  <c r="KF1519" i="10"/>
  <c r="KF1522" i="10"/>
  <c r="KF1516" i="10"/>
  <c r="KF1515" i="10"/>
  <c r="KF1528" i="10"/>
  <c r="KF1524" i="10"/>
  <c r="KF1533" i="10"/>
  <c r="KF1523" i="10"/>
  <c r="KF1529" i="10"/>
  <c r="KF1518" i="10"/>
  <c r="KF1531" i="10"/>
  <c r="KF1521" i="10"/>
  <c r="KF1527" i="10"/>
  <c r="KF1530" i="10"/>
  <c r="KF1517" i="10"/>
  <c r="KF1525" i="10"/>
  <c r="KF1526" i="10"/>
  <c r="FH1491" i="10"/>
  <c r="FH1503" i="10"/>
  <c r="FH1496" i="10"/>
  <c r="FH1492" i="10"/>
  <c r="FH1501" i="10"/>
  <c r="FH1504" i="10"/>
  <c r="FH1510" i="10"/>
  <c r="FH1493" i="10"/>
  <c r="FH1499" i="10"/>
  <c r="FH1507" i="10"/>
  <c r="FH1508" i="10"/>
  <c r="FH1497" i="10"/>
  <c r="FH1502" i="10"/>
  <c r="FH1506" i="10"/>
  <c r="FH1509" i="10"/>
  <c r="FH1494" i="10"/>
  <c r="FH1498" i="10"/>
  <c r="FH1500" i="10"/>
  <c r="FH1495" i="10"/>
  <c r="FH1505" i="10"/>
  <c r="QZ1519" i="10"/>
  <c r="QZ1515" i="10"/>
  <c r="QZ1521" i="10"/>
  <c r="QZ1526" i="10"/>
  <c r="QZ1514" i="10"/>
  <c r="QZ1522" i="10"/>
  <c r="QZ1524" i="10"/>
  <c r="QZ1525" i="10"/>
  <c r="QZ1517" i="10"/>
  <c r="QZ1518" i="10"/>
  <c r="QZ1523" i="10"/>
  <c r="QZ1520" i="10"/>
  <c r="QZ1532" i="10"/>
  <c r="QZ1516" i="10"/>
  <c r="QZ1528" i="10"/>
  <c r="QZ1533" i="10"/>
  <c r="QZ1529" i="10"/>
  <c r="QZ1531" i="10"/>
  <c r="QZ1527" i="10"/>
  <c r="QZ1530" i="10"/>
  <c r="MB1493" i="10"/>
  <c r="MB1492" i="10"/>
  <c r="MB1508" i="10"/>
  <c r="MB1495" i="10"/>
  <c r="MB1497" i="10"/>
  <c r="MB1505" i="10"/>
  <c r="MB1494" i="10"/>
  <c r="MB1500" i="10"/>
  <c r="MB1502" i="10"/>
  <c r="MB1503" i="10"/>
  <c r="MB1496" i="10"/>
  <c r="MB1498" i="10"/>
  <c r="MB1510" i="10"/>
  <c r="MB1499" i="10"/>
  <c r="MB1501" i="10"/>
  <c r="MB1509" i="10"/>
  <c r="MB1491" i="10"/>
  <c r="MB1504" i="10"/>
  <c r="MB1506" i="10"/>
  <c r="MB1507" i="10"/>
  <c r="MJ1515" i="10"/>
  <c r="MJ1519" i="10"/>
  <c r="MJ1518" i="10"/>
  <c r="MJ1520" i="10"/>
  <c r="MJ1523" i="10"/>
  <c r="MJ1526" i="10"/>
  <c r="MJ1529" i="10"/>
  <c r="MJ1514" i="10"/>
  <c r="MJ1525" i="10"/>
  <c r="MJ1516" i="10"/>
  <c r="MJ1522" i="10"/>
  <c r="MJ1517" i="10"/>
  <c r="MJ1524" i="10"/>
  <c r="MJ1521" i="10"/>
  <c r="MJ1531" i="10"/>
  <c r="MJ1527" i="10"/>
  <c r="MJ1533" i="10"/>
  <c r="MJ1532" i="10"/>
  <c r="MJ1530" i="10"/>
  <c r="MJ1528" i="10"/>
  <c r="HL1491" i="10"/>
  <c r="HL1494" i="10"/>
  <c r="HL1500" i="10"/>
  <c r="HL1492" i="10"/>
  <c r="HL1503" i="10"/>
  <c r="HL1496" i="10"/>
  <c r="HL1498" i="10"/>
  <c r="HL1493" i="10"/>
  <c r="HL1501" i="10"/>
  <c r="HL1510" i="10"/>
  <c r="HL1504" i="10"/>
  <c r="HL1499" i="10"/>
  <c r="HL1495" i="10"/>
  <c r="HL1506" i="10"/>
  <c r="HL1505" i="10"/>
  <c r="HL1509" i="10"/>
  <c r="HL1497" i="10"/>
  <c r="HL1502" i="10"/>
  <c r="HL1507" i="10"/>
  <c r="HL1508" i="10"/>
  <c r="AB1491" i="10"/>
  <c r="AB1492" i="10"/>
  <c r="AB1504" i="10"/>
  <c r="AB1497" i="10"/>
  <c r="AB1499" i="10"/>
  <c r="AB1493" i="10"/>
  <c r="AB1502" i="10"/>
  <c r="AB1495" i="10"/>
  <c r="AB1505" i="10"/>
  <c r="AB1510" i="10"/>
  <c r="AB1494" i="10"/>
  <c r="AB1500" i="10"/>
  <c r="AB1507" i="10"/>
  <c r="AB1508" i="10"/>
  <c r="AB1509" i="10"/>
  <c r="AB1501" i="10"/>
  <c r="AB1496" i="10"/>
  <c r="AB1503" i="10"/>
  <c r="AB1506" i="10"/>
  <c r="AB1498" i="10"/>
  <c r="LT1520" i="10"/>
  <c r="LT1515" i="10"/>
  <c r="LT1522" i="10"/>
  <c r="LT1517" i="10"/>
  <c r="LT1526" i="10"/>
  <c r="LT1516" i="10"/>
  <c r="LT1519" i="10"/>
  <c r="LT1525" i="10"/>
  <c r="LT1524" i="10"/>
  <c r="LT1514" i="10"/>
  <c r="LT1523" i="10"/>
  <c r="LT1521" i="10"/>
  <c r="LT1527" i="10"/>
  <c r="LT1530" i="10"/>
  <c r="LT1518" i="10"/>
  <c r="LT1531" i="10"/>
  <c r="LT1533" i="10"/>
  <c r="LT1528" i="10"/>
  <c r="LT1529" i="10"/>
  <c r="LT1532" i="10"/>
  <c r="GV1493" i="10"/>
  <c r="GV1502" i="10"/>
  <c r="GV1508" i="10"/>
  <c r="GV1495" i="10"/>
  <c r="GV1497" i="10"/>
  <c r="GV1505" i="10"/>
  <c r="GV1494" i="10"/>
  <c r="GV1500" i="10"/>
  <c r="GV1503" i="10"/>
  <c r="GV1510" i="10"/>
  <c r="GV1492" i="10"/>
  <c r="GV1496" i="10"/>
  <c r="GV1498" i="10"/>
  <c r="GV1501" i="10"/>
  <c r="GV1506" i="10"/>
  <c r="GV1499" i="10"/>
  <c r="GV1509" i="10"/>
  <c r="GV1504" i="10"/>
  <c r="GV1507" i="10"/>
  <c r="GV1491" i="10"/>
  <c r="LL1518" i="10"/>
  <c r="LL1516" i="10"/>
  <c r="LL1514" i="10"/>
  <c r="LL1524" i="10"/>
  <c r="LL1526" i="10"/>
  <c r="LL1521" i="10"/>
  <c r="LL1523" i="10"/>
  <c r="LL1522" i="10"/>
  <c r="LL1525" i="10"/>
  <c r="LL1520" i="10"/>
  <c r="LL1527" i="10"/>
  <c r="LL1530" i="10"/>
  <c r="LL1532" i="10"/>
  <c r="LL1533" i="10"/>
  <c r="LL1519" i="10"/>
  <c r="LL1531" i="10"/>
  <c r="LL1528" i="10"/>
  <c r="LL1515" i="10"/>
  <c r="LL1517" i="10"/>
  <c r="LL1529" i="10"/>
  <c r="GN1491" i="10"/>
  <c r="GN1499" i="10"/>
  <c r="GN1507" i="10"/>
  <c r="GN1502" i="10"/>
  <c r="GN1508" i="10"/>
  <c r="GN1495" i="10"/>
  <c r="GN1497" i="10"/>
  <c r="GN1505" i="10"/>
  <c r="GN1494" i="10"/>
  <c r="GN1500" i="10"/>
  <c r="GN1510" i="10"/>
  <c r="GN1503" i="10"/>
  <c r="GN1498" i="10"/>
  <c r="GN1506" i="10"/>
  <c r="GN1492" i="10"/>
  <c r="GN1501" i="10"/>
  <c r="GN1509" i="10"/>
  <c r="GN1496" i="10"/>
  <c r="GN1493" i="10"/>
  <c r="GN1504" i="10"/>
  <c r="UZ1523" i="10"/>
  <c r="UZ1528" i="10"/>
  <c r="UZ1524" i="10"/>
  <c r="UZ1521" i="10"/>
  <c r="UZ1525" i="10"/>
  <c r="UZ1522" i="10"/>
  <c r="UZ1530" i="10"/>
  <c r="UZ1527" i="10"/>
  <c r="UZ1529" i="10"/>
  <c r="UZ1533" i="10"/>
  <c r="UZ1526" i="10"/>
  <c r="UZ1532" i="10"/>
  <c r="UZ1531" i="10"/>
  <c r="UZ1518" i="10"/>
  <c r="UZ1517" i="10"/>
  <c r="UZ1520" i="10"/>
  <c r="UZ1514" i="10"/>
  <c r="UZ1519" i="10"/>
  <c r="UZ1516" i="10"/>
  <c r="UZ1515" i="10"/>
  <c r="QB1492" i="10"/>
  <c r="QB1501" i="10"/>
  <c r="QB1504" i="10"/>
  <c r="QB1509" i="10"/>
  <c r="QB1491" i="10"/>
  <c r="QB1493" i="10"/>
  <c r="QB1499" i="10"/>
  <c r="QB1506" i="10"/>
  <c r="QB1502" i="10"/>
  <c r="QB1508" i="10"/>
  <c r="QB1495" i="10"/>
  <c r="QB1497" i="10"/>
  <c r="QB1505" i="10"/>
  <c r="QB1498" i="10"/>
  <c r="QB1507" i="10"/>
  <c r="QB1494" i="10"/>
  <c r="QB1496" i="10"/>
  <c r="QB1503" i="10"/>
  <c r="QB1500" i="10"/>
  <c r="QB1510" i="10"/>
  <c r="BH1519" i="10"/>
  <c r="BH1517" i="10"/>
  <c r="BH1515" i="10"/>
  <c r="BH1521" i="10"/>
  <c r="BH1516" i="10"/>
  <c r="BH1525" i="10"/>
  <c r="BH1520" i="10"/>
  <c r="BH1518" i="10"/>
  <c r="BH1526" i="10"/>
  <c r="BH1523" i="10"/>
  <c r="BH1527" i="10"/>
  <c r="BH1529" i="10"/>
  <c r="BH1531" i="10"/>
  <c r="BH1530" i="10"/>
  <c r="BH1524" i="10"/>
  <c r="BH1533" i="10"/>
  <c r="BH1522" i="10"/>
  <c r="BH1532" i="10"/>
  <c r="BH1528" i="10"/>
  <c r="BH1514" i="10"/>
  <c r="UR1496" i="10"/>
  <c r="UR1498" i="10"/>
  <c r="UR1510" i="10"/>
  <c r="UR1491" i="10"/>
  <c r="UR1501" i="10"/>
  <c r="UR1504" i="10"/>
  <c r="UR1493" i="10"/>
  <c r="UR1499" i="10"/>
  <c r="UR1502" i="10"/>
  <c r="UR1506" i="10"/>
  <c r="UR1507" i="10"/>
  <c r="UR1508" i="10"/>
  <c r="UR1497" i="10"/>
  <c r="UR1509" i="10"/>
  <c r="UR1494" i="10"/>
  <c r="UR1503" i="10"/>
  <c r="UR1500" i="10"/>
  <c r="UR1492" i="10"/>
  <c r="UR1495" i="10"/>
  <c r="UR1505" i="10"/>
  <c r="FX1519" i="10"/>
  <c r="FX1521" i="10"/>
  <c r="FX1515" i="10"/>
  <c r="FX1516" i="10"/>
  <c r="FX1514" i="10"/>
  <c r="FX1522" i="10"/>
  <c r="FX1523" i="10"/>
  <c r="FX1525" i="10"/>
  <c r="FX1524" i="10"/>
  <c r="FX1520" i="10"/>
  <c r="FX1529" i="10"/>
  <c r="FX1518" i="10"/>
  <c r="FX1527" i="10"/>
  <c r="FX1530" i="10"/>
  <c r="FX1528" i="10"/>
  <c r="FX1526" i="10"/>
  <c r="FX1532" i="10"/>
  <c r="FX1517" i="10"/>
  <c r="FX1533" i="10"/>
  <c r="FX1531" i="10"/>
  <c r="AZ1491" i="10"/>
  <c r="AZ1492" i="10"/>
  <c r="AZ1504" i="10"/>
  <c r="AZ1497" i="10"/>
  <c r="AZ1499" i="10"/>
  <c r="AZ1493" i="10"/>
  <c r="AZ1502" i="10"/>
  <c r="AZ1495" i="10"/>
  <c r="AZ1505" i="10"/>
  <c r="AZ1510" i="10"/>
  <c r="AZ1494" i="10"/>
  <c r="AZ1500" i="10"/>
  <c r="AZ1507" i="10"/>
  <c r="AZ1508" i="10"/>
  <c r="AZ1509" i="10"/>
  <c r="AZ1501" i="10"/>
  <c r="AZ1496" i="10"/>
  <c r="AZ1503" i="10"/>
  <c r="AZ1506" i="10"/>
  <c r="AZ1498" i="10"/>
  <c r="O34" i="9" l="1"/>
  <c r="P26" i="9"/>
  <c r="P34" i="9"/>
  <c r="O24" i="9"/>
  <c r="P22" i="9"/>
  <c r="P20" i="9"/>
  <c r="P27" i="9"/>
  <c r="P30" i="9"/>
  <c r="P33" i="9"/>
  <c r="P28" i="14"/>
  <c r="O26" i="9"/>
  <c r="P17" i="9"/>
  <c r="P18" i="9"/>
  <c r="O30" i="9"/>
  <c r="O19" i="9"/>
  <c r="O23" i="9"/>
  <c r="O16" i="9"/>
  <c r="P21" i="9"/>
  <c r="O33" i="9"/>
  <c r="O28" i="9"/>
  <c r="O21" i="9"/>
  <c r="O25" i="9"/>
  <c r="P31" i="9"/>
  <c r="O29" i="9"/>
  <c r="O15" i="9"/>
  <c r="O22" i="9"/>
  <c r="P25" i="9"/>
  <c r="P23" i="9"/>
  <c r="O27" i="9"/>
  <c r="O17" i="9"/>
  <c r="P29" i="9"/>
  <c r="P16" i="9"/>
  <c r="O31" i="9"/>
  <c r="P32" i="9"/>
  <c r="P19" i="9"/>
  <c r="O32" i="9"/>
  <c r="P24" i="9"/>
  <c r="O20" i="9"/>
  <c r="O18" i="9"/>
  <c r="P15" i="9"/>
  <c r="P28" i="9"/>
  <c r="O34" i="14"/>
  <c r="O17" i="14"/>
  <c r="P22" i="14"/>
  <c r="P20" i="14"/>
  <c r="P27" i="14"/>
  <c r="P19" i="14"/>
  <c r="P16" i="14"/>
  <c r="O23" i="14"/>
  <c r="O19" i="14"/>
  <c r="O20" i="14"/>
  <c r="O30" i="14"/>
  <c r="O33" i="14"/>
  <c r="O25" i="14"/>
  <c r="O15" i="14"/>
  <c r="P32" i="14"/>
  <c r="P30" i="14"/>
  <c r="P23" i="14"/>
  <c r="P31" i="14"/>
  <c r="O16" i="14"/>
  <c r="O22" i="14"/>
  <c r="O29" i="14"/>
  <c r="O27" i="14"/>
  <c r="O32" i="14"/>
  <c r="O31" i="14"/>
  <c r="P24" i="14"/>
  <c r="P34" i="14"/>
  <c r="P33" i="14"/>
  <c r="P29" i="14"/>
  <c r="P18" i="14"/>
  <c r="O21" i="14"/>
  <c r="O26" i="14"/>
  <c r="O24" i="14"/>
  <c r="O28" i="14"/>
  <c r="O18" i="14"/>
  <c r="P21" i="14"/>
  <c r="P15" i="14"/>
  <c r="P26" i="14"/>
  <c r="P17" i="14"/>
  <c r="P25" i="14"/>
  <c r="T17" i="9" l="1"/>
  <c r="S21" i="9" s="1"/>
  <c r="T17" i="14"/>
  <c r="T19" i="14" l="1"/>
  <c r="S21" i="14"/>
  <c r="T19" i="9"/>
  <c r="C35" i="9" s="1"/>
  <c r="C35" i="14" l="1"/>
  <c r="H26" i="16" l="1"/>
  <c r="Y5" i="16" l="1"/>
  <c r="U4" i="16"/>
  <c r="U26" i="16" s="1"/>
  <c r="C30" i="16" l="1"/>
  <c r="P8" i="16"/>
  <c r="P30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FB8F05-DBA5-49CF-A84C-B040D93E9337}" keepAlive="1" name="Consulta - Tabla5" description="Conexión a la consulta 'Tabla5' en el libro." type="5" refreshedVersion="0" background="1">
    <dbPr connection="Provider=Microsoft.Mashup.OleDb.1;Data Source=$Workbook$;Location=Tabla5;Extended Properties=&quot;&quot;" command="SELECT * FROM [Tabla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<sst xmlns="http://schemas.openxmlformats.org/spreadsheetml/2006/main" count="5376" uniqueCount="2088">
  <si>
    <t>Diaz Magne Alexia</t>
  </si>
  <si>
    <t>Jalil De La Zerda Jania Thais</t>
  </si>
  <si>
    <t>Becerra Soria Addie Renata</t>
  </si>
  <si>
    <t>Ferrel Benitez Andres Mateo</t>
  </si>
  <si>
    <t>Jaldin Herbas Catalina</t>
  </si>
  <si>
    <t>Solis Rocha Eilyn Valery</t>
  </si>
  <si>
    <t>Mercado Rojas Maria Belen</t>
  </si>
  <si>
    <t>Pardo Lopez Alexia Abigail</t>
  </si>
  <si>
    <t>Sejas Campos Zulma Isabela</t>
  </si>
  <si>
    <t>Bustillo Flores Sofia Victoria</t>
  </si>
  <si>
    <t>Camacho Reyes Alejandra Noemi</t>
  </si>
  <si>
    <t>Patiño Vargas Christopher Dylan</t>
  </si>
  <si>
    <t>Larrazabal Mateo Antonio</t>
  </si>
  <si>
    <t>Quiroga Siles Alejandra Viviana</t>
  </si>
  <si>
    <t>Ayala Gonzales Diana Victoria</t>
  </si>
  <si>
    <t>Bonuccelli Fernandez Nicolas Rafael</t>
  </si>
  <si>
    <t>Sandoval Guzman Ignacio</t>
  </si>
  <si>
    <t>Terrazas Daza Diego</t>
  </si>
  <si>
    <t>Muriel Oroza Agustina Gabriela</t>
  </si>
  <si>
    <t>Fuentes Mano Matias</t>
  </si>
  <si>
    <t>Arnez Vallejo Mariana</t>
  </si>
  <si>
    <t xml:space="preserve">Duarte Numbela Iker Dadier </t>
  </si>
  <si>
    <t xml:space="preserve">Fernandez Orellana Florencia </t>
  </si>
  <si>
    <t>Garcia Zambrana Stefany</t>
  </si>
  <si>
    <t>Pardo Bernal Alejandra</t>
  </si>
  <si>
    <t>Vargas Caussin Dilmar Sebastian</t>
  </si>
  <si>
    <t>Arnez Vergara Rodrigo Hernan</t>
  </si>
  <si>
    <t xml:space="preserve">Lara Parrilla Mauricio Mateo </t>
  </si>
  <si>
    <t>Machado Mendoza Gabriela</t>
  </si>
  <si>
    <t>CODIGO</t>
  </si>
  <si>
    <t>CURSO</t>
  </si>
  <si>
    <t>NOMBRE DE MAMA O PAPA</t>
  </si>
  <si>
    <t>NOMBRE PARA LA FACTURA</t>
  </si>
  <si>
    <t>NIT</t>
  </si>
  <si>
    <t>HERMANOS</t>
  </si>
  <si>
    <t>PENSION</t>
  </si>
  <si>
    <t>TELEFONO</t>
  </si>
  <si>
    <t>NOMBRE DEL ESTUDIANTE</t>
  </si>
  <si>
    <t>Nombre para la factura :</t>
  </si>
  <si>
    <t>Nombre del estudiante :</t>
  </si>
  <si>
    <t>Nivel :</t>
  </si>
  <si>
    <t>Curso(s) :</t>
  </si>
  <si>
    <t>Pension mensual :</t>
  </si>
  <si>
    <t xml:space="preserve">Primera Cuota - Feb </t>
  </si>
  <si>
    <t>Firma P.</t>
  </si>
  <si>
    <t>Segunda Cuota - Mar</t>
  </si>
  <si>
    <t>Tercera Cuota - Abril</t>
  </si>
  <si>
    <t>Cuarta Cuota - Mayo</t>
  </si>
  <si>
    <t>Quinta Cuota - Junio</t>
  </si>
  <si>
    <t>Rbo...….……Fact………..</t>
  </si>
  <si>
    <t>NIT o CI:</t>
  </si>
  <si>
    <t>Codigo del estudiante :</t>
  </si>
  <si>
    <t>NIVEL</t>
  </si>
  <si>
    <t>PRIMARIA</t>
  </si>
  <si>
    <t>SECUNDARIA</t>
  </si>
  <si>
    <t>_______________________</t>
  </si>
  <si>
    <t>Bs. …………………..</t>
  </si>
  <si>
    <t>Sexta Cuota - Julio</t>
  </si>
  <si>
    <t>Septima Cuota - Agosto</t>
  </si>
  <si>
    <t>Octava Cuota - Sept.</t>
  </si>
  <si>
    <t>Novena Cuota - Octubre</t>
  </si>
  <si>
    <t>Decima Cuota - Noviem.</t>
  </si>
  <si>
    <t>Telefono - Celular</t>
  </si>
  <si>
    <t>CONTROL DE PROGRAMA EXTENSIVO DE INGLES Y PROGRAMA</t>
  </si>
  <si>
    <t>CURSOS</t>
  </si>
  <si>
    <t>FECHA</t>
  </si>
  <si>
    <t>FEBRERO</t>
  </si>
  <si>
    <t>MARZO</t>
  </si>
  <si>
    <t>ABRIL</t>
  </si>
  <si>
    <t>MAYO</t>
  </si>
  <si>
    <t>JUNIO</t>
  </si>
  <si>
    <t>Rcbo.</t>
  </si>
  <si>
    <t>Bs.</t>
  </si>
  <si>
    <t>Inicio de clases</t>
  </si>
  <si>
    <t>Varios</t>
  </si>
  <si>
    <t>ALEMAN</t>
  </si>
  <si>
    <t>REP. MAT. MONTESSORI</t>
  </si>
  <si>
    <t>JULIO</t>
  </si>
  <si>
    <t>AGOSTO</t>
  </si>
  <si>
    <t>SEPTIEMBRE</t>
  </si>
  <si>
    <t>OCTUBRE</t>
  </si>
  <si>
    <t>NOVIEMBRE</t>
  </si>
  <si>
    <t>VARIOS 1</t>
  </si>
  <si>
    <t>VARIOS 2</t>
  </si>
  <si>
    <t>Fecha de inscripción :</t>
  </si>
  <si>
    <t>Nombre de Mamá o Papá :</t>
  </si>
  <si>
    <t>No. Hermanos(as) :</t>
  </si>
  <si>
    <t>No. Hnos(as) :</t>
  </si>
  <si>
    <t>Monto mensual Prog Extensivo Ingles/Montessori :</t>
  </si>
  <si>
    <t>SARA - JORGE</t>
  </si>
  <si>
    <t>CHOPITEA</t>
  </si>
  <si>
    <t>PATRICIA - MARCELO</t>
  </si>
  <si>
    <t>NUMBELA</t>
  </si>
  <si>
    <t>M. RENEE - RONALD</t>
  </si>
  <si>
    <t>RONALD ARNEZ</t>
  </si>
  <si>
    <t>70384338m/75495723p/4715673c</t>
  </si>
  <si>
    <t>INICIAL</t>
  </si>
  <si>
    <t>MONICA - LUIS FERNANDO</t>
  </si>
  <si>
    <t>Teran Galarza Ernesto</t>
  </si>
  <si>
    <t>ANTONIETA - ALVARO</t>
  </si>
  <si>
    <t xml:space="preserve">Perez Suarez Victoria - Mariana - Luciana </t>
  </si>
  <si>
    <t>JASEL - SAUL</t>
  </si>
  <si>
    <t>70779841m/70710720p/4549305c</t>
  </si>
  <si>
    <t>KATIHUSKA - RAMON</t>
  </si>
  <si>
    <t>ANA CECILIA - MATHIAS</t>
  </si>
  <si>
    <t>72252752m/72719292p</t>
  </si>
  <si>
    <t>MAT - PRIM</t>
  </si>
  <si>
    <t>ELVA</t>
  </si>
  <si>
    <t>77977893m</t>
  </si>
  <si>
    <t>M. ELENA - OSCAR</t>
  </si>
  <si>
    <t>70393643m/77483202p</t>
  </si>
  <si>
    <t>Borda Rojas Victoria Micaela - Oscar Mateo</t>
  </si>
  <si>
    <t>VANIA - JAVIER</t>
  </si>
  <si>
    <t>CARLA - ANDRES</t>
  </si>
  <si>
    <t>78309460m/77400202p/4249362c</t>
  </si>
  <si>
    <t>SUSANA - ERICK</t>
  </si>
  <si>
    <t>72280804m/72295941p/4711922c</t>
  </si>
  <si>
    <t>PRIM - SEC</t>
  </si>
  <si>
    <t>SHIRLEY - GILMAR</t>
  </si>
  <si>
    <t>ROJAS</t>
  </si>
  <si>
    <t>FABIOLA - ROBERTO</t>
  </si>
  <si>
    <t>CARLA - FREDDY</t>
  </si>
  <si>
    <t>70772583m/71724517p/4425168c</t>
  </si>
  <si>
    <t>FABIOLA - WILSON</t>
  </si>
  <si>
    <t>FLORERO</t>
  </si>
  <si>
    <t>ALICIA - JUAN</t>
  </si>
  <si>
    <t>Antezana Torrez Maite Valentina - Matias Andre</t>
  </si>
  <si>
    <t>MARIA - MIGUEL</t>
  </si>
  <si>
    <t>Espinoza Muñoz Ruben Sebastian</t>
  </si>
  <si>
    <t>CLAUDIA</t>
  </si>
  <si>
    <t>Saavedra Alvarez Diego - Valeria</t>
  </si>
  <si>
    <t>ALICIA - RODOLFO</t>
  </si>
  <si>
    <t>72256780m/67407724p/4222640c</t>
  </si>
  <si>
    <t>1º Prim</t>
  </si>
  <si>
    <t>69437573m/76411412p</t>
  </si>
  <si>
    <t xml:space="preserve">GIOVANNA - AUSBERTO </t>
  </si>
  <si>
    <t>75482049m/70392786p/4440635c</t>
  </si>
  <si>
    <t>ROBERTO SANCHEZ</t>
  </si>
  <si>
    <t>ABISH - RONALD</t>
  </si>
  <si>
    <t>70349905m/75483256p/4448261c</t>
  </si>
  <si>
    <t>ELY - NACHO</t>
  </si>
  <si>
    <t>Maternal</t>
  </si>
  <si>
    <t>MATERNAL</t>
  </si>
  <si>
    <t>MONICA - RIGO</t>
  </si>
  <si>
    <t>76475888m/76475999p/4243633c</t>
  </si>
  <si>
    <t>Pardo Lopez Benjamin - Joaquin</t>
  </si>
  <si>
    <t>DANIELA - DANIEL</t>
  </si>
  <si>
    <t>MELANIA - CESAR</t>
  </si>
  <si>
    <t>SILVIA - JUAN PABLO</t>
  </si>
  <si>
    <t>SILVIA VALENCIA</t>
  </si>
  <si>
    <t>77426445m/70788101p/4473221c</t>
  </si>
  <si>
    <t>SILVIA - GABRIEL</t>
  </si>
  <si>
    <t>GABRIEL ISRRAEL</t>
  </si>
  <si>
    <t>70713218m/70713217p/4501735c</t>
  </si>
  <si>
    <t>Beltran Avila Danna Sofia</t>
  </si>
  <si>
    <t>ANEL - WALDO</t>
  </si>
  <si>
    <t>77922227m/77922422p</t>
  </si>
  <si>
    <t>ESTELA - ENRIQUE</t>
  </si>
  <si>
    <t>ENRIQUE BAUTISTA</t>
  </si>
  <si>
    <t>76401066m/76401269p/67479267o</t>
  </si>
  <si>
    <t>72712093m/79992460p/4121974c</t>
  </si>
  <si>
    <t>LUZ</t>
  </si>
  <si>
    <t>79785001m</t>
  </si>
  <si>
    <t>70732517m/70712451p/4477695c</t>
  </si>
  <si>
    <t>Rodriguez Shütt Santiago - Martina</t>
  </si>
  <si>
    <t>71766622m/76906714p/4667948c</t>
  </si>
  <si>
    <t>KAREN - ABDEL</t>
  </si>
  <si>
    <t>75918618m/76434601p/4443795c</t>
  </si>
  <si>
    <t>Lopez Andrew Manuel - Gabriel - Maria Jose</t>
  </si>
  <si>
    <t>CAROLINA - SERGIO</t>
  </si>
  <si>
    <t>CAROLINA ANDREW</t>
  </si>
  <si>
    <t>70750767m/65342993p/4710387p</t>
  </si>
  <si>
    <t>CLAUDIA - OSVALDO</t>
  </si>
  <si>
    <t>67506640m/68810694p</t>
  </si>
  <si>
    <t>ANA CLAUDIA - CHRISTIAN</t>
  </si>
  <si>
    <t>77903900m/75953023p/4460491c</t>
  </si>
  <si>
    <t>KARINA - WEIMAR</t>
  </si>
  <si>
    <t>60700414m/70350419p</t>
  </si>
  <si>
    <t>RINA - ALEJANDRO</t>
  </si>
  <si>
    <t>Murillo Frontanilla Luciano Eduardo - Matias Esteban</t>
  </si>
  <si>
    <t>ANA - ESTEBAN</t>
  </si>
  <si>
    <t>70784048m/70747329p/4511386c</t>
  </si>
  <si>
    <t>Irigoyen Llosa Lila Raquel - Pedro Pablo</t>
  </si>
  <si>
    <t>79367830m/70709503p</t>
  </si>
  <si>
    <t>VIVIAN - MARCO</t>
  </si>
  <si>
    <t>79787941m/70716488p/4460101c</t>
  </si>
  <si>
    <t>ANDREA - DANIEL</t>
  </si>
  <si>
    <t>70760940m/75502310p/4519368c</t>
  </si>
  <si>
    <t>FABIANA - MAURICIO</t>
  </si>
  <si>
    <t>75900431m/68581010m/4586725c</t>
  </si>
  <si>
    <t>KARLA - JOSE</t>
  </si>
  <si>
    <t>72778047m/72725750p</t>
  </si>
  <si>
    <t>MONICA - HAROLD</t>
  </si>
  <si>
    <t>72212316m/72201985p/4026066c</t>
  </si>
  <si>
    <t>PAMELA - PAUL</t>
  </si>
  <si>
    <t>JALDIN</t>
  </si>
  <si>
    <t>72255292m/70797278p</t>
  </si>
  <si>
    <t>70749010m/70750393p/4365560c</t>
  </si>
  <si>
    <t>Miranda Villarroel Hernán Orlando</t>
  </si>
  <si>
    <t>XIMENA - HERNAN</t>
  </si>
  <si>
    <t>DULIA LOPEZ</t>
  </si>
  <si>
    <t>MARISCAL</t>
  </si>
  <si>
    <t>Mariscal Coll Hugo Ramiro</t>
  </si>
  <si>
    <t>JHANNA - ALVARO</t>
  </si>
  <si>
    <t>77497367m/77490798p/4244537c</t>
  </si>
  <si>
    <t>INIC - PRIM</t>
  </si>
  <si>
    <t>Sanchez Cuesta Alicia</t>
  </si>
  <si>
    <t>SANCHEZ</t>
  </si>
  <si>
    <t>STEPHANIE - HERNAN</t>
  </si>
  <si>
    <t>75497897m/77424577p/4240497c</t>
  </si>
  <si>
    <t>CLAUDIA - ROGER</t>
  </si>
  <si>
    <t>71746645m/76124958p</t>
  </si>
  <si>
    <t>INIC - SEC</t>
  </si>
  <si>
    <t>GABRIELA - CRISTHIAN</t>
  </si>
  <si>
    <t>72216086m/72219070p/4795749c</t>
  </si>
  <si>
    <t>Sanzetenea Zambrana Kira Gabriela - Suri Daniela</t>
  </si>
  <si>
    <t>MARIA RENEE - DORIAN</t>
  </si>
  <si>
    <t>70732357m/70747283p/4022733c</t>
  </si>
  <si>
    <t>VIVIAN - LUDWING</t>
  </si>
  <si>
    <t>70726755m/70722744p/4297739c</t>
  </si>
  <si>
    <t>79707780m/79771836p/4429135c</t>
  </si>
  <si>
    <t>ZURITA</t>
  </si>
  <si>
    <t>JESSICA - ALEJANDRO</t>
  </si>
  <si>
    <t>RUDON</t>
  </si>
  <si>
    <t>2º - 4º Sec</t>
  </si>
  <si>
    <t>LENNY - ADOLFO</t>
  </si>
  <si>
    <t>72296009m/72276015p/4026933c</t>
  </si>
  <si>
    <t>Siles Mariscal Sarai Belen</t>
  </si>
  <si>
    <t>CAROLA - CARLOS</t>
  </si>
  <si>
    <t>MARCELA - RODRIGO</t>
  </si>
  <si>
    <t>77497420m/77911166p/4416610c</t>
  </si>
  <si>
    <t>KARINA - CESAR</t>
  </si>
  <si>
    <t>67497695m/77427893p/4582818c</t>
  </si>
  <si>
    <t>MARCELA - ARMANDO</t>
  </si>
  <si>
    <t>INIC-PRIM-SEC</t>
  </si>
  <si>
    <t>GISELLE - ESTEBAN</t>
  </si>
  <si>
    <t/>
  </si>
  <si>
    <t>Peñarrieta Numbela Joaquín Ignacio - Saya Mei</t>
  </si>
  <si>
    <t>DENISE - JULIO</t>
  </si>
  <si>
    <t>71220340m/76402979p/4413469c</t>
  </si>
  <si>
    <t>MARLENE - SIGFRIDO</t>
  </si>
  <si>
    <t>76400295m/77900040p/4458284c</t>
  </si>
  <si>
    <t>HEIDY - LUIS FERNANDO</t>
  </si>
  <si>
    <t>SEJAS</t>
  </si>
  <si>
    <t>S/F</t>
  </si>
  <si>
    <t>GRACIELA - RUBEN</t>
  </si>
  <si>
    <t>Campos Maida Amir</t>
  </si>
  <si>
    <t>72212230m/76408000p/4450278c</t>
  </si>
  <si>
    <t>CARLA - CHRISTIAN</t>
  </si>
  <si>
    <t>77423076m/78367619p</t>
  </si>
  <si>
    <t>Zema Nuñez Fernanda Paola - Leonardo Jhoel</t>
  </si>
  <si>
    <t>CARLA - GIOVANI</t>
  </si>
  <si>
    <t>67460323m/70774462p/4245037c</t>
  </si>
  <si>
    <t>CARRASCO</t>
  </si>
  <si>
    <t>ALEJANDRA - JAVIER</t>
  </si>
  <si>
    <t>MARCELA - ALFREDO</t>
  </si>
  <si>
    <t>70744003m/71858812p/4486558c</t>
  </si>
  <si>
    <t>JACQUELINE - ALDO</t>
  </si>
  <si>
    <t>76462448m/60375289p/4401767c</t>
  </si>
  <si>
    <t>KAREN - GUIDO</t>
  </si>
  <si>
    <t>70766863m/70360540p/4248931c</t>
  </si>
  <si>
    <t>70377993m/4425055c</t>
  </si>
  <si>
    <t>MARGOTH - DAVID</t>
  </si>
  <si>
    <t>65365701m/79700092p/4409442c</t>
  </si>
  <si>
    <t>KARINA - JHONNY</t>
  </si>
  <si>
    <t>76504051m/77702006p/4121082c</t>
  </si>
  <si>
    <t>Peñaloza Prado Rafael Andres - Nicolas Luis</t>
  </si>
  <si>
    <t>STEPHANIE - DAVID</t>
  </si>
  <si>
    <t>CARLOS PEÑALOZA</t>
  </si>
  <si>
    <t>70729511m/76456938p</t>
  </si>
  <si>
    <t>PRIM-SEC</t>
  </si>
  <si>
    <t>ANA-ORLANDO</t>
  </si>
  <si>
    <t>69775684m/69775685p/4446097c</t>
  </si>
  <si>
    <t>MAT-PRIM</t>
  </si>
  <si>
    <t>Fernandez Tambo Samantha - Santiago</t>
  </si>
  <si>
    <t>ELIZABETH - DANIEL</t>
  </si>
  <si>
    <t>75959935m/76458299p/4067779c</t>
  </si>
  <si>
    <t>VANESA - WILLIAM</t>
  </si>
  <si>
    <t>MABEL - RAMIRO</t>
  </si>
  <si>
    <t>67503199m/78327809p</t>
  </si>
  <si>
    <t>79730401m/70733130p/4422406c</t>
  </si>
  <si>
    <t>Flores La Fuente Valentina</t>
  </si>
  <si>
    <t>GABRIELA - MAURICIO</t>
  </si>
  <si>
    <t>76424979m/4246792c</t>
  </si>
  <si>
    <t>Gimenez Pavisic Pia - Luka</t>
  </si>
  <si>
    <t>CLAUDIA - ALEJANDRO</t>
  </si>
  <si>
    <t>VARINIA - MAURICO</t>
  </si>
  <si>
    <t>Vera Ledezma Annelisse</t>
  </si>
  <si>
    <t>CAROLA - ROGER</t>
  </si>
  <si>
    <t>ROGER ARNEZ</t>
  </si>
  <si>
    <t>76470045m/76470046p/4423382c</t>
  </si>
  <si>
    <t>Crespo Caballero Luciano Ramiro</t>
  </si>
  <si>
    <t>MONICA DANIELA CABALLERO</t>
  </si>
  <si>
    <t>MANO</t>
  </si>
  <si>
    <t>Cardozo Jose Manuel</t>
  </si>
  <si>
    <t>ANTEZANA</t>
  </si>
  <si>
    <t>ERIC-EMILY</t>
  </si>
  <si>
    <t>63885140p/63885133m/4062500</t>
  </si>
  <si>
    <t>GUSTAVO-VIVIANA</t>
  </si>
  <si>
    <t>4300751/79950180m/72273222</t>
  </si>
  <si>
    <t>ALMANZA</t>
  </si>
  <si>
    <t>Rojas Rios Camila</t>
  </si>
  <si>
    <t>Martinez Teran Montserrat Maia</t>
  </si>
  <si>
    <t>RUTH TERAN</t>
  </si>
  <si>
    <t>INI-PRIM</t>
  </si>
  <si>
    <t>72726617M</t>
  </si>
  <si>
    <t>ASTRID</t>
  </si>
  <si>
    <t>Quiroga Ramirez Sofia Isabella</t>
  </si>
  <si>
    <t>Merida Guardia Santiago Benjamin</t>
  </si>
  <si>
    <t>Saavedra Almaraz Sergio Gabriel</t>
  </si>
  <si>
    <t>CLASES EXTRA :</t>
  </si>
  <si>
    <t>CH</t>
  </si>
  <si>
    <t>AL</t>
  </si>
  <si>
    <t>FR</t>
  </si>
  <si>
    <t>INS</t>
  </si>
  <si>
    <t xml:space="preserve">Vidaurre Galindo Salvador </t>
  </si>
  <si>
    <t>ADQUISICIÓN DE SEGURO CONTRA ACCIDENTES</t>
  </si>
  <si>
    <t>CANTIDAD</t>
  </si>
  <si>
    <t>MONTO</t>
  </si>
  <si>
    <t>OBSERVACIONES</t>
  </si>
  <si>
    <t>NEIDA ZURITA</t>
  </si>
  <si>
    <t>DELGADILLO</t>
  </si>
  <si>
    <t>76984599m/4413397c</t>
  </si>
  <si>
    <t>Rojas Gabriel Emanuel</t>
  </si>
  <si>
    <t>ROXANA</t>
  </si>
  <si>
    <t>76965070m</t>
  </si>
  <si>
    <t>FERNANDO REVOLLO</t>
  </si>
  <si>
    <t>Campos Hermosa Ayar Ulises</t>
  </si>
  <si>
    <t>WARA - JORGE</t>
  </si>
  <si>
    <t>FERNANDEZ</t>
  </si>
  <si>
    <t>68515643m/72219643p/4248620c</t>
  </si>
  <si>
    <t>79783816m/70717798p</t>
  </si>
  <si>
    <t>TELMA - FERNANDO</t>
  </si>
  <si>
    <t>72288662m</t>
  </si>
  <si>
    <t>ADELAIDA - MAURICIO</t>
  </si>
  <si>
    <t>RHOMINA - RICHARD</t>
  </si>
  <si>
    <t>70390381m/70389385p</t>
  </si>
  <si>
    <t>Jimenez Quiroga Laura</t>
  </si>
  <si>
    <t>ANA - CHRISTIAN</t>
  </si>
  <si>
    <t>72733704m/70350212p</t>
  </si>
  <si>
    <t>VERA</t>
  </si>
  <si>
    <t>Choque Vega Mayte - Mario - Maria</t>
  </si>
  <si>
    <t>ANA - MARIO</t>
  </si>
  <si>
    <t>MARIO RAMIRO CHOQUE</t>
  </si>
  <si>
    <t>70751369m/71479267p</t>
  </si>
  <si>
    <t>Orellana Bautista Herberth - Alvaro</t>
  </si>
  <si>
    <t>RUTH - ALVARO</t>
  </si>
  <si>
    <t>MARIA CRISTINA SANTA CRUZ</t>
  </si>
  <si>
    <t>SILVIA - ANDRES</t>
  </si>
  <si>
    <t>Almanza Merida Alejandra</t>
  </si>
  <si>
    <t>ZELMY - RODRIGO</t>
  </si>
  <si>
    <t>MERIDA</t>
  </si>
  <si>
    <t>Garcia Cespedes Valentina Hemily</t>
  </si>
  <si>
    <t>ROMULO ROJAS</t>
  </si>
  <si>
    <t>70788951m/72245653p/4369704c</t>
  </si>
  <si>
    <t>Perez Rocabado Jorge Adrian - Andre Sebastian</t>
  </si>
  <si>
    <t>ERICK PEREZ</t>
  </si>
  <si>
    <t>LESLIE - MARCO</t>
  </si>
  <si>
    <t>76490242m/77423319p</t>
  </si>
  <si>
    <t>MAXIMO AYALA</t>
  </si>
  <si>
    <t xml:space="preserve">Numbela Saavedra Fabrizio - Agustín - Rafael </t>
  </si>
  <si>
    <t>Taborga Fernandez Dayne - Hayley</t>
  </si>
  <si>
    <t>69441585m/78345746p</t>
  </si>
  <si>
    <t>Cordero Quiroga Anghelo - Keyla</t>
  </si>
  <si>
    <t>IVELIS - ANGHELO</t>
  </si>
  <si>
    <t>65311884m/70794212p/4011724c</t>
  </si>
  <si>
    <t>Villarreal Pariente Matias Sebastian</t>
  </si>
  <si>
    <t>ELIANA - JAVIER</t>
  </si>
  <si>
    <t>76400687m</t>
  </si>
  <si>
    <t xml:space="preserve">MARIA - DILMAR </t>
  </si>
  <si>
    <t>MARIA CAUSSIN</t>
  </si>
  <si>
    <t>JOSE ALFONSO LOREDO LEAL</t>
  </si>
  <si>
    <t>WALTER - JENNIFER</t>
  </si>
  <si>
    <t>ERIKA - MILTHON</t>
  </si>
  <si>
    <t>MONICA - GABRIEL</t>
  </si>
  <si>
    <t>ALEJANDRA - CARLOS</t>
  </si>
  <si>
    <t>70358210m/70355479p</t>
  </si>
  <si>
    <t>75474972m/70772725p</t>
  </si>
  <si>
    <t>Quiroga Bazoalto Luana Daniela</t>
  </si>
  <si>
    <t>CARLA - ESTEBAN</t>
  </si>
  <si>
    <t>79353321m/70731790p</t>
  </si>
  <si>
    <t>ERIKA - ISRAEL</t>
  </si>
  <si>
    <t>MANDY - GERMAN</t>
  </si>
  <si>
    <t>72778812m/72736147p</t>
  </si>
  <si>
    <t>Taya Carmona Sofia Keiko</t>
  </si>
  <si>
    <t>ANDREA - JUAN PABLO</t>
  </si>
  <si>
    <t>CLAUDIA XIMENA LARRAZABAL</t>
  </si>
  <si>
    <t>67578374m</t>
  </si>
  <si>
    <t>WALDO CHOQUE</t>
  </si>
  <si>
    <t>Mercado Gomez Laura Luana</t>
  </si>
  <si>
    <t>LIZA - VICTOR</t>
  </si>
  <si>
    <t>79967909m/70370898p</t>
  </si>
  <si>
    <t>EVA URIBE</t>
  </si>
  <si>
    <t>JULIO PEÑARRIETA</t>
  </si>
  <si>
    <t>VARGAS</t>
  </si>
  <si>
    <t>LINETTE - ROBERTO</t>
  </si>
  <si>
    <t>TERAN</t>
  </si>
  <si>
    <t>77923456m/78345678p</t>
  </si>
  <si>
    <t>BECERRA LUDWING</t>
  </si>
  <si>
    <t>RIVERA</t>
  </si>
  <si>
    <t>72299420m/72787108p/4248966c</t>
  </si>
  <si>
    <t>BORDA</t>
  </si>
  <si>
    <t>ELY HUANCA SARAVIA</t>
  </si>
  <si>
    <t>Zambrana Alvarez Santiago Lukas Mair</t>
  </si>
  <si>
    <t>NINOCHKA - PABLO</t>
  </si>
  <si>
    <t xml:space="preserve">JANNETH - PABLO </t>
  </si>
  <si>
    <t>76466707p/4408633c</t>
  </si>
  <si>
    <t>62616711m/68462255p/4795082c</t>
  </si>
  <si>
    <t>ISABEL - DAVID</t>
  </si>
  <si>
    <t>72273703m/60740205p</t>
  </si>
  <si>
    <t>ARNEZ</t>
  </si>
  <si>
    <t>LITZI DANITZA CHOQUE HIDALGO</t>
  </si>
  <si>
    <t>67202212P/67202230</t>
  </si>
  <si>
    <t>BEATRIZ LIA</t>
  </si>
  <si>
    <t>ALVAREZ</t>
  </si>
  <si>
    <t>MORALES</t>
  </si>
  <si>
    <t>EDITH-FORTUNATO</t>
  </si>
  <si>
    <t>Sanchez Zenteno Valentina Sophia</t>
  </si>
  <si>
    <t>BRENDA</t>
  </si>
  <si>
    <t>CAROLINA</t>
  </si>
  <si>
    <t>Maternal B</t>
  </si>
  <si>
    <t>Castro Oropeza Julieta Thais</t>
  </si>
  <si>
    <t>Roman Saavedra Ariana Montserrat</t>
  </si>
  <si>
    <t xml:space="preserve">LENNA </t>
  </si>
  <si>
    <t>SERGIO SAAVEDRA</t>
  </si>
  <si>
    <t>I2</t>
  </si>
  <si>
    <t>Meneses Velasco Santiago - Sara</t>
  </si>
  <si>
    <t>RECIBO DE CAJA</t>
  </si>
  <si>
    <t>FLUJO DE CAJA DE INGRESOS Y EGRESOS</t>
  </si>
  <si>
    <t>DETALLE</t>
  </si>
  <si>
    <t>INGRESO EFECTIVO</t>
  </si>
  <si>
    <t>EGRESO</t>
  </si>
  <si>
    <t xml:space="preserve">Detalle Ingresos Egresos </t>
  </si>
  <si>
    <t>INGRESOS MENSUALIDAD COLEGIO DESPERTAD</t>
  </si>
  <si>
    <t>INGRESOS MENSUALIDAD PROGRAMA DE INGLES</t>
  </si>
  <si>
    <t>INGRESOS DEPORTES - DEPORTE4</t>
  </si>
  <si>
    <t>EGRESOS IMPUESTOS SIN</t>
  </si>
  <si>
    <t>EGRESOS COMPRAS KIOSKO</t>
  </si>
  <si>
    <t>EGRESOS FOTOCOPIAS LIBROS</t>
  </si>
  <si>
    <t>EGRESOS COMPRA UNIFORMES</t>
  </si>
  <si>
    <t>EGRESOS GASOLINA O GAS</t>
  </si>
  <si>
    <t>EGRESOS SUELDOS Y SALARIOS</t>
  </si>
  <si>
    <t>EGRESOS MATERIALES MANTENIMIENTO</t>
  </si>
  <si>
    <t>EGRESOS GAS YPFB</t>
  </si>
  <si>
    <t>EGRESOS AGUA SEMAPA</t>
  </si>
  <si>
    <t>EGRESOS ENERGIA ELECTRICA ELFEC</t>
  </si>
  <si>
    <t>EGRESOS INTERNET Y TELEFONIA</t>
  </si>
  <si>
    <t>INGRESOS OTROS2</t>
  </si>
  <si>
    <t>INGRESOS OTROS3</t>
  </si>
  <si>
    <t>INGRESOS OTROS4</t>
  </si>
  <si>
    <t>INGRESOS OTROS5</t>
  </si>
  <si>
    <t>INGRESO TRANS.ó QR</t>
  </si>
  <si>
    <t>Total INGRESOS &amp; EGRESOS</t>
  </si>
  <si>
    <t>SALDO</t>
  </si>
  <si>
    <t>Hemos recibido de :</t>
  </si>
  <si>
    <t>La suma de :</t>
  </si>
  <si>
    <t>Por concepto de :</t>
  </si>
  <si>
    <t>$us.</t>
  </si>
  <si>
    <t xml:space="preserve">Cochabamba, </t>
  </si>
  <si>
    <t>INGRESOS</t>
  </si>
  <si>
    <t>No.</t>
  </si>
  <si>
    <t>t.c. (6,97)</t>
  </si>
  <si>
    <t>FIRMA DEL INTERESADO</t>
  </si>
  <si>
    <t>FIRMA DEL CAJERO</t>
  </si>
  <si>
    <t>REGISTRO INICIAL SIN VALORES OFICIALES</t>
  </si>
  <si>
    <t>Bs.(Efect.)</t>
  </si>
  <si>
    <t>Bs.(Tr.-QR)</t>
  </si>
  <si>
    <t>Observaciones :</t>
  </si>
  <si>
    <t>PLANILLA DE SUELDOS DOCENTES</t>
  </si>
  <si>
    <t>- Horas X</t>
  </si>
  <si>
    <t>Horas</t>
  </si>
  <si>
    <t>HABER</t>
  </si>
  <si>
    <t>Atra y Faltas</t>
  </si>
  <si>
    <t>Por F/Atrs</t>
  </si>
  <si>
    <t>ADELANTO</t>
  </si>
  <si>
    <t>LIQUIDO</t>
  </si>
  <si>
    <t>Nro</t>
  </si>
  <si>
    <t xml:space="preserve">APELLIDOS Y NOMBRE </t>
  </si>
  <si>
    <t>MATERIA</t>
  </si>
  <si>
    <t>Nro. C.I.</t>
  </si>
  <si>
    <t>MENSUAL</t>
  </si>
  <si>
    <t>PAGABLE</t>
  </si>
  <si>
    <t>Bs. DESC.</t>
  </si>
  <si>
    <t xml:space="preserve">Vesna Lazaneo </t>
  </si>
  <si>
    <t>Directora</t>
  </si>
  <si>
    <t>3603941 CB.</t>
  </si>
  <si>
    <t>David Antequera</t>
  </si>
  <si>
    <t>Director</t>
  </si>
  <si>
    <t>3375300 CB.</t>
  </si>
  <si>
    <t xml:space="preserve">Felicidad Benito </t>
  </si>
  <si>
    <t>Secretaria</t>
  </si>
  <si>
    <t>2797745 Or.</t>
  </si>
  <si>
    <t>Carmen Gomez</t>
  </si>
  <si>
    <t>Psicóloga</t>
  </si>
  <si>
    <t>3109973 Or.</t>
  </si>
  <si>
    <t xml:space="preserve">Rocio Janette Cruz </t>
  </si>
  <si>
    <t>7908651CB.</t>
  </si>
  <si>
    <t>Fabiola Herrera</t>
  </si>
  <si>
    <t>Aux Inicial 1</t>
  </si>
  <si>
    <t>7929725 CB.</t>
  </si>
  <si>
    <t>Lucy Rodriguez</t>
  </si>
  <si>
    <t>3800831 Lp.</t>
  </si>
  <si>
    <t>Marlene Quiñonez</t>
  </si>
  <si>
    <t>Prof. Mater.</t>
  </si>
  <si>
    <t>5238814 CB.</t>
  </si>
  <si>
    <t>Lilian Herrera</t>
  </si>
  <si>
    <t>Prof Inicial 3</t>
  </si>
  <si>
    <t>7881370 CB.</t>
  </si>
  <si>
    <t>Romina Edith Mamani Cruz</t>
  </si>
  <si>
    <t>Aux Inicial 3</t>
  </si>
  <si>
    <t>12874630 CB.</t>
  </si>
  <si>
    <t xml:space="preserve">Nancy Soria </t>
  </si>
  <si>
    <t>Prof Inicial 2</t>
  </si>
  <si>
    <t>2337042 Lp.</t>
  </si>
  <si>
    <t>Thelma Cortez</t>
  </si>
  <si>
    <t>Aux Inicial 2</t>
  </si>
  <si>
    <t>5107060 CB.</t>
  </si>
  <si>
    <t>Karina Velasquez</t>
  </si>
  <si>
    <t>Prof. Inicial 4</t>
  </si>
  <si>
    <t>5253008 CB.</t>
  </si>
  <si>
    <t xml:space="preserve">Susana  </t>
  </si>
  <si>
    <t>Aux Inical 4</t>
  </si>
  <si>
    <t>4513602 CB.</t>
  </si>
  <si>
    <t xml:space="preserve">Liliana Cruz </t>
  </si>
  <si>
    <t>Prof 2º Pri A</t>
  </si>
  <si>
    <t>6485652 CB.</t>
  </si>
  <si>
    <t>Marivel Sanchez</t>
  </si>
  <si>
    <t>Auxi. 2º P B</t>
  </si>
  <si>
    <t>7981530 CB.</t>
  </si>
  <si>
    <t>Edith Mora</t>
  </si>
  <si>
    <t>Prof. 2º P B</t>
  </si>
  <si>
    <t>4469239 CB.</t>
  </si>
  <si>
    <t>Dámaris Oropeza</t>
  </si>
  <si>
    <t>Prof 1º Pri B</t>
  </si>
  <si>
    <t>8012506 CB.</t>
  </si>
  <si>
    <t>Aidé Orellana</t>
  </si>
  <si>
    <t>Auxiliar 1ºPB</t>
  </si>
  <si>
    <t>7890177 CB.</t>
  </si>
  <si>
    <t>Maria Carolina Cossio</t>
  </si>
  <si>
    <t>Auxiliar 2ºPA</t>
  </si>
  <si>
    <t>3775384 CB.</t>
  </si>
  <si>
    <t>Candída Perez</t>
  </si>
  <si>
    <t>Auxiliar 2ºPB</t>
  </si>
  <si>
    <t>1110900 CB.</t>
  </si>
  <si>
    <t>Miriam Guzman</t>
  </si>
  <si>
    <t>Prof 3ºPri B</t>
  </si>
  <si>
    <t>3756262 CB.</t>
  </si>
  <si>
    <t>Jenny Diaz</t>
  </si>
  <si>
    <t>Auxi. 3º P B</t>
  </si>
  <si>
    <t>7940872 CB.</t>
  </si>
  <si>
    <t>Ana Claudia Lafuente</t>
  </si>
  <si>
    <t>Prof. Ingles</t>
  </si>
  <si>
    <t>6442423 CB.</t>
  </si>
  <si>
    <t>Cecilia Fernandez</t>
  </si>
  <si>
    <t>Prof, 4to A</t>
  </si>
  <si>
    <t>Susana Marcus</t>
  </si>
  <si>
    <t>Sociales Ingles</t>
  </si>
  <si>
    <t>5234822 CB.</t>
  </si>
  <si>
    <t>Vanessa Bustillos</t>
  </si>
  <si>
    <t>Ciencias</t>
  </si>
  <si>
    <t>4400632 CB.</t>
  </si>
  <si>
    <t>Carmen Zambrana</t>
  </si>
  <si>
    <t>Inglés</t>
  </si>
  <si>
    <t>2475663 CB.</t>
  </si>
  <si>
    <t>Eugenia Condori</t>
  </si>
  <si>
    <t>Matemáticas</t>
  </si>
  <si>
    <t>5240336 CB.</t>
  </si>
  <si>
    <t>Ana Gabriela Villarroel</t>
  </si>
  <si>
    <t>Lenguaje</t>
  </si>
  <si>
    <t>6551091 CB.</t>
  </si>
  <si>
    <t xml:space="preserve">Milena Solares </t>
  </si>
  <si>
    <t>Manualidades</t>
  </si>
  <si>
    <t>969916 CB.</t>
  </si>
  <si>
    <t>Rafael Antequera</t>
  </si>
  <si>
    <t>Fisica</t>
  </si>
  <si>
    <t>3399098 CB.</t>
  </si>
  <si>
    <t>Margaret Giancalone</t>
  </si>
  <si>
    <t>Mariela Reyna</t>
  </si>
  <si>
    <t>Bio.Español</t>
  </si>
  <si>
    <t>3117036 CB.</t>
  </si>
  <si>
    <t>Paola Luzio</t>
  </si>
  <si>
    <t>3764931 CB.</t>
  </si>
  <si>
    <t>Marcelo Rodriguez</t>
  </si>
  <si>
    <t>Historia</t>
  </si>
  <si>
    <t>4401361 CB.</t>
  </si>
  <si>
    <t>Deyna Castro</t>
  </si>
  <si>
    <t>Secr Secundaria</t>
  </si>
  <si>
    <t>6550274CB.</t>
  </si>
  <si>
    <t xml:space="preserve">Victor Velarde </t>
  </si>
  <si>
    <t>Mantenimi.</t>
  </si>
  <si>
    <t>Simon Martinez</t>
  </si>
  <si>
    <t>Regente</t>
  </si>
  <si>
    <t>Osvaldo Terán</t>
  </si>
  <si>
    <t>Jardinería</t>
  </si>
  <si>
    <t xml:space="preserve">Martha Condori </t>
  </si>
  <si>
    <t>Cocina</t>
  </si>
  <si>
    <t>Rosmery Mercado</t>
  </si>
  <si>
    <t>Ana Maria Goitia</t>
  </si>
  <si>
    <t>Enrriqueta Pinaya</t>
  </si>
  <si>
    <t>Betty Colquehuanca</t>
  </si>
  <si>
    <t>Portera</t>
  </si>
  <si>
    <t>Carla Balderrama</t>
  </si>
  <si>
    <t>limpieza</t>
  </si>
  <si>
    <t>4390163 CB.</t>
  </si>
  <si>
    <t xml:space="preserve">Casiano </t>
  </si>
  <si>
    <t>Jardinero</t>
  </si>
  <si>
    <t>Nilsa Franco</t>
  </si>
  <si>
    <t>Auxiliar</t>
  </si>
  <si>
    <t>Yoli Aguilar</t>
  </si>
  <si>
    <t>E-10131741</t>
  </si>
  <si>
    <t>Rogelia Jimenez</t>
  </si>
  <si>
    <t>Limpieza</t>
  </si>
  <si>
    <t xml:space="preserve">Karina  </t>
  </si>
  <si>
    <t>Maribel</t>
  </si>
  <si>
    <t>Mishell</t>
  </si>
  <si>
    <t>Roxana Burgoa</t>
  </si>
  <si>
    <t>Juana Vidal</t>
  </si>
  <si>
    <t>Aux Maternal A</t>
  </si>
  <si>
    <t>5374807 Scz</t>
  </si>
  <si>
    <t>Blanca Condori</t>
  </si>
  <si>
    <t>Prof Inicial 1</t>
  </si>
  <si>
    <t>6134711LP.</t>
  </si>
  <si>
    <t>Monica Martinez</t>
  </si>
  <si>
    <t>Prof 1ro A</t>
  </si>
  <si>
    <t>5304263 CB.</t>
  </si>
  <si>
    <t>Milenka Guzmán</t>
  </si>
  <si>
    <t>Auxiliar 1º PA</t>
  </si>
  <si>
    <t>8696995 CB.</t>
  </si>
  <si>
    <t>Marcia Rojas</t>
  </si>
  <si>
    <t>Prof.3º P A</t>
  </si>
  <si>
    <t>8023077 CB.</t>
  </si>
  <si>
    <t>Maria Geancarla Claros</t>
  </si>
  <si>
    <t>Prof. 4to B</t>
  </si>
  <si>
    <t>4411136 CB.</t>
  </si>
  <si>
    <t>Sandra Montero</t>
  </si>
  <si>
    <t>Matemática</t>
  </si>
  <si>
    <t>Adriana Castro</t>
  </si>
  <si>
    <t>Arte</t>
  </si>
  <si>
    <t>8822542 CB.</t>
  </si>
  <si>
    <t>Magaly Ayala</t>
  </si>
  <si>
    <t>Quimica</t>
  </si>
  <si>
    <t>Salem Padilla</t>
  </si>
  <si>
    <t xml:space="preserve"> P-522662901</t>
  </si>
  <si>
    <t>Shirley Campos</t>
  </si>
  <si>
    <t>Matematica</t>
  </si>
  <si>
    <t>Laura Burgoa</t>
  </si>
  <si>
    <t>Piscologa</t>
  </si>
  <si>
    <t xml:space="preserve">Loyda </t>
  </si>
  <si>
    <t>Ana Claudia Padilla</t>
  </si>
  <si>
    <t>MES</t>
  </si>
  <si>
    <t>EGRESOS MATERIAL DE LIMPIEZA</t>
  </si>
  <si>
    <t>EGRESOS MATERIAL DE ESCRITORIO</t>
  </si>
  <si>
    <t>EGRESOS SUBSIDIOS</t>
  </si>
  <si>
    <t>BUSCAR CODIGO POR APELLIDO</t>
  </si>
  <si>
    <t>APELLIDO</t>
  </si>
  <si>
    <t xml:space="preserve">INTERESADO QUE DEPOSITA O RECIBE </t>
  </si>
  <si>
    <t>SIN INTERESADO</t>
  </si>
  <si>
    <t>Padres :</t>
  </si>
  <si>
    <t>Alumnos :</t>
  </si>
  <si>
    <t>Cursos :</t>
  </si>
  <si>
    <t>Factura :</t>
  </si>
  <si>
    <t>NIT :</t>
  </si>
  <si>
    <t>TOTAL PAGADO A LA FECHA</t>
  </si>
  <si>
    <t>SALDO POR PAGAR GESTION 2024</t>
  </si>
  <si>
    <t>TOTAL INGRESO</t>
  </si>
  <si>
    <t>No.RECIBO</t>
  </si>
  <si>
    <t>pagos parciales</t>
  </si>
  <si>
    <t>EGRESOS</t>
  </si>
  <si>
    <t>COD.PROF.</t>
  </si>
  <si>
    <t>NOMBRE</t>
  </si>
  <si>
    <t>P2024001</t>
  </si>
  <si>
    <t>P2024002</t>
  </si>
  <si>
    <t>P2024003</t>
  </si>
  <si>
    <t>P2024004</t>
  </si>
  <si>
    <t>P2024006</t>
  </si>
  <si>
    <t>P2024007</t>
  </si>
  <si>
    <t>P2024008</t>
  </si>
  <si>
    <t>P2024009</t>
  </si>
  <si>
    <t>P2024014</t>
  </si>
  <si>
    <t>P2024015</t>
  </si>
  <si>
    <t>P2024016</t>
  </si>
  <si>
    <t>P2024017</t>
  </si>
  <si>
    <t>P2024018</t>
  </si>
  <si>
    <t>P2024019</t>
  </si>
  <si>
    <t>P2024020</t>
  </si>
  <si>
    <t>P2024021</t>
  </si>
  <si>
    <t>P2024022</t>
  </si>
  <si>
    <t>P2024023</t>
  </si>
  <si>
    <t>P2024024</t>
  </si>
  <si>
    <t>P2024025</t>
  </si>
  <si>
    <t>P2024026</t>
  </si>
  <si>
    <t>P2024027</t>
  </si>
  <si>
    <t>P2024028</t>
  </si>
  <si>
    <t>P2024029</t>
  </si>
  <si>
    <t>P2024030</t>
  </si>
  <si>
    <t>P2024031</t>
  </si>
  <si>
    <t>P2024032</t>
  </si>
  <si>
    <t>P2024033</t>
  </si>
  <si>
    <t>P2024034</t>
  </si>
  <si>
    <t>P2024035</t>
  </si>
  <si>
    <t>P2024036</t>
  </si>
  <si>
    <t>P2024037</t>
  </si>
  <si>
    <t>P2024038</t>
  </si>
  <si>
    <t>P2024039</t>
  </si>
  <si>
    <t>P2024040</t>
  </si>
  <si>
    <t>P2024041</t>
  </si>
  <si>
    <t>P2024042</t>
  </si>
  <si>
    <t>P2024043</t>
  </si>
  <si>
    <t>P2024044</t>
  </si>
  <si>
    <t>P2024045</t>
  </si>
  <si>
    <t>P2024046</t>
  </si>
  <si>
    <t>P2024047</t>
  </si>
  <si>
    <t>P2024048</t>
  </si>
  <si>
    <t>P2024049</t>
  </si>
  <si>
    <t>P2024050</t>
  </si>
  <si>
    <t>P2024051</t>
  </si>
  <si>
    <t>P2024052</t>
  </si>
  <si>
    <t>P2024053</t>
  </si>
  <si>
    <t>P2024054</t>
  </si>
  <si>
    <t>P2024055</t>
  </si>
  <si>
    <t>P2024056</t>
  </si>
  <si>
    <t>P2024057</t>
  </si>
  <si>
    <t>P2024058</t>
  </si>
  <si>
    <t>P2024059</t>
  </si>
  <si>
    <t>P2024060</t>
  </si>
  <si>
    <t>P2024061</t>
  </si>
  <si>
    <t>P2024062</t>
  </si>
  <si>
    <t>P2024063</t>
  </si>
  <si>
    <t>P2024064</t>
  </si>
  <si>
    <t>P2024065</t>
  </si>
  <si>
    <t>P2024066</t>
  </si>
  <si>
    <t>P2024067</t>
  </si>
  <si>
    <t>P2024068</t>
  </si>
  <si>
    <t>P2024069</t>
  </si>
  <si>
    <t>P2024070</t>
  </si>
  <si>
    <t>P2024071</t>
  </si>
  <si>
    <t>P2024072</t>
  </si>
  <si>
    <t>P2024073</t>
  </si>
  <si>
    <t>P2024074</t>
  </si>
  <si>
    <t>P2024075</t>
  </si>
  <si>
    <t>P2024076</t>
  </si>
  <si>
    <t>P2024077</t>
  </si>
  <si>
    <t>P2024078</t>
  </si>
  <si>
    <t>P2024079</t>
  </si>
  <si>
    <t>P2024080</t>
  </si>
  <si>
    <t>P2024081</t>
  </si>
  <si>
    <t>P2024082</t>
  </si>
  <si>
    <t>P2024083</t>
  </si>
  <si>
    <t>P2024084</t>
  </si>
  <si>
    <t>P2024085</t>
  </si>
  <si>
    <t>P2024086</t>
  </si>
  <si>
    <t>P2024087</t>
  </si>
  <si>
    <t>P2024088</t>
  </si>
  <si>
    <t>P2024089</t>
  </si>
  <si>
    <t>P2024090</t>
  </si>
  <si>
    <t>P2024091</t>
  </si>
  <si>
    <t>P2024092</t>
  </si>
  <si>
    <t>P2024093</t>
  </si>
  <si>
    <t>P2024094</t>
  </si>
  <si>
    <t>P2024095</t>
  </si>
  <si>
    <t>P2024096</t>
  </si>
  <si>
    <t>P2024097</t>
  </si>
  <si>
    <t>P2024098</t>
  </si>
  <si>
    <t>P2024099</t>
  </si>
  <si>
    <t>P2024100</t>
  </si>
  <si>
    <t>P2024101</t>
  </si>
  <si>
    <t>P2024102</t>
  </si>
  <si>
    <t>P2024103</t>
  </si>
  <si>
    <t>P2024104</t>
  </si>
  <si>
    <t>P2024105</t>
  </si>
  <si>
    <t>P2024106</t>
  </si>
  <si>
    <t>P2024107</t>
  </si>
  <si>
    <t>P2024108</t>
  </si>
  <si>
    <t>P2024109</t>
  </si>
  <si>
    <t>P2024110</t>
  </si>
  <si>
    <t>P2024111</t>
  </si>
  <si>
    <t>P2024112</t>
  </si>
  <si>
    <t>P2024113</t>
  </si>
  <si>
    <t>P2024114</t>
  </si>
  <si>
    <t>P2024115</t>
  </si>
  <si>
    <t>P2024116</t>
  </si>
  <si>
    <t>P2024117</t>
  </si>
  <si>
    <t>P2024118</t>
  </si>
  <si>
    <t>P2024119</t>
  </si>
  <si>
    <t>P2024120</t>
  </si>
  <si>
    <t>P2024121</t>
  </si>
  <si>
    <t>P2024122</t>
  </si>
  <si>
    <t>P2024123</t>
  </si>
  <si>
    <t>P2024124</t>
  </si>
  <si>
    <t>P2024125</t>
  </si>
  <si>
    <t>P2024126</t>
  </si>
  <si>
    <t>P2024127</t>
  </si>
  <si>
    <t>P2024128</t>
  </si>
  <si>
    <t>P2024129</t>
  </si>
  <si>
    <t>P2024130</t>
  </si>
  <si>
    <t>P2024131</t>
  </si>
  <si>
    <t>P2024132</t>
  </si>
  <si>
    <t>P2024133</t>
  </si>
  <si>
    <t>P2024134</t>
  </si>
  <si>
    <t>P2024135</t>
  </si>
  <si>
    <t>P2024136</t>
  </si>
  <si>
    <t>P2024137</t>
  </si>
  <si>
    <t>P2024138</t>
  </si>
  <si>
    <t>P2024139</t>
  </si>
  <si>
    <t>P2024140</t>
  </si>
  <si>
    <t>P2024141</t>
  </si>
  <si>
    <t>P2024142</t>
  </si>
  <si>
    <t>P2024143</t>
  </si>
  <si>
    <t>P2024144</t>
  </si>
  <si>
    <t>P2024145</t>
  </si>
  <si>
    <t>P2024146</t>
  </si>
  <si>
    <t>P2024147</t>
  </si>
  <si>
    <t>P2024148</t>
  </si>
  <si>
    <t>P2024149</t>
  </si>
  <si>
    <t>P2024150</t>
  </si>
  <si>
    <t>Profesor :</t>
  </si>
  <si>
    <t>Haber Mensual :</t>
  </si>
  <si>
    <t>Hs. Mensual :</t>
  </si>
  <si>
    <t>Hs. Atrasos Faltas :</t>
  </si>
  <si>
    <t>(-) Descuento x Atrasos y Faltas</t>
  </si>
  <si>
    <t>Anticipos :</t>
  </si>
  <si>
    <t>Liquido Pagable :</t>
  </si>
  <si>
    <t>COLEGIO DESPERTAD</t>
  </si>
  <si>
    <t>EXTENSIVO MONTESSORI GESTION 2024</t>
  </si>
  <si>
    <t>CONTROL DE PENSIONES GESTION 2024</t>
  </si>
  <si>
    <r>
      <t>GESTIÓN</t>
    </r>
    <r>
      <rPr>
        <b/>
        <sz val="18"/>
        <color rgb="FFFF0000"/>
        <rFont val="Berlin Sans FB Demi"/>
        <family val="2"/>
      </rPr>
      <t xml:space="preserve"> 2024</t>
    </r>
  </si>
  <si>
    <t>LISTAS</t>
  </si>
  <si>
    <t>DAVID ANTEQUERA CABALLERO</t>
  </si>
  <si>
    <t>VESNA LAZANEO MOLINA</t>
  </si>
  <si>
    <t>COMERCIAL AKADIA S.R.L.</t>
  </si>
  <si>
    <t>KAMIL ANTEQUERA LAZANEO</t>
  </si>
  <si>
    <t>ADAIR ANTEQUERA LAZANEO</t>
  </si>
  <si>
    <t>DIEL ANTEQUERA LAZANEO</t>
  </si>
  <si>
    <t>OTRO1</t>
  </si>
  <si>
    <t>OTRO2</t>
  </si>
  <si>
    <t>OTRO3</t>
  </si>
  <si>
    <t>FACTURA No.</t>
  </si>
  <si>
    <t>Fact.</t>
  </si>
  <si>
    <t>pagos</t>
  </si>
  <si>
    <t>fact.</t>
  </si>
  <si>
    <t>Pensión AKADIA :</t>
  </si>
  <si>
    <t>Pensión DESPERTAD:</t>
  </si>
  <si>
    <t>BUSCAR CODIGO PROFESOR POR NOMBRE</t>
  </si>
  <si>
    <t>INGRESOS DEPORTES - DEPORTE1</t>
  </si>
  <si>
    <t>INGRESOS DEPORTES - DEPORTE2</t>
  </si>
  <si>
    <t>INGRESOS DEPORTES - DEPORTE3</t>
  </si>
  <si>
    <t>EGRESOS OTROS 1</t>
  </si>
  <si>
    <t>EGRESOS OTROS 2</t>
  </si>
  <si>
    <t>EGRESOS OTROS 3</t>
  </si>
  <si>
    <t>EGRESOS OTROS 4</t>
  </si>
  <si>
    <t>EGRESOS OTROS 5</t>
  </si>
  <si>
    <t>Acha Terrazas Samantha Isabela</t>
  </si>
  <si>
    <t>Aguayo Stofel Bruno Cristian</t>
  </si>
  <si>
    <t>Aguila Sejas Adrian - Matias</t>
  </si>
  <si>
    <t>Aguilar Eguez Oscar Fabian</t>
  </si>
  <si>
    <t>Alcocer Gutierrez Noah Francisco</t>
  </si>
  <si>
    <t>Aldazoro Mendoza Adan Andres</t>
  </si>
  <si>
    <t>Almanza Soria Andres Maximo</t>
  </si>
  <si>
    <t>Alvarez Chaira Vivian Alicira</t>
  </si>
  <si>
    <t>Anaya Gutierrez Luciana Beatriz</t>
  </si>
  <si>
    <t>Andrade Gonzales Luciana</t>
  </si>
  <si>
    <t>Angulo Balderrama Fabricio - Santiago</t>
  </si>
  <si>
    <t>Antezana Aranibar Javier Leandro</t>
  </si>
  <si>
    <t>Antezana Rojas Andrea Abril</t>
  </si>
  <si>
    <t>Apaza Carrasco Esther Julia</t>
  </si>
  <si>
    <t>Arandia Cahuana Alissa - Matias</t>
  </si>
  <si>
    <t>Arce Romero Sara Areliz</t>
  </si>
  <si>
    <t>Arispe Carpio Sebastian</t>
  </si>
  <si>
    <t>Arnez Almanza Ivana Massiel</t>
  </si>
  <si>
    <t>Arnez Vargas Juan Pablo - Renata</t>
  </si>
  <si>
    <t>Balderrama Molina Caitli Antonella</t>
  </si>
  <si>
    <t>Barrientos Flores Derek Ariel</t>
  </si>
  <si>
    <t>Barrientos Octavio Rafael</t>
  </si>
  <si>
    <t>Bautista Jaramillo Maira - Rodrigo - Camila</t>
  </si>
  <si>
    <t>Bellido La Faye Zarah</t>
  </si>
  <si>
    <t xml:space="preserve">Betti Goitia Luciano - Genaro - Isis </t>
  </si>
  <si>
    <t>Buitrago Ortega Pedro</t>
  </si>
  <si>
    <t>Caballero Rojas Natan Jesus</t>
  </si>
  <si>
    <t>Calbimonte Zurita Sofia Berta - Alejandra Belen</t>
  </si>
  <si>
    <t xml:space="preserve">Calderon Callisaya Emma - Fabio </t>
  </si>
  <si>
    <t>Calderon Sanchez Flor Ariadne - Jaime Anibal</t>
  </si>
  <si>
    <t>Campero Siancas Rafael</t>
  </si>
  <si>
    <t>Campos Ignacio Santiago</t>
  </si>
  <si>
    <t>Canedo Mendoza Luis Mario - Juan Marco</t>
  </si>
  <si>
    <t>Cardenas Martinez Fernanda del Pilar</t>
  </si>
  <si>
    <t>Cardozo Franco David Andre - Johnny Leonardo</t>
  </si>
  <si>
    <t>Castro Machado Micaela - Hugo</t>
  </si>
  <si>
    <t>Chavez Ruiz Lourdes Belen</t>
  </si>
  <si>
    <t>Colque Sanchez Anderson</t>
  </si>
  <si>
    <t>Condori Huanca Esther Abigail - Natalia Elizabeth</t>
  </si>
  <si>
    <t>Condori Ochoa Nikole Daniela</t>
  </si>
  <si>
    <t>Coronado Alvarez Micaela Alejandra - Renata Camila</t>
  </si>
  <si>
    <t>Cuenca Rodrigo Isabella Valentina</t>
  </si>
  <si>
    <t>Cuentas Avila Johann Alejandro</t>
  </si>
  <si>
    <t>Del Llano Camacho Samantha Elena</t>
  </si>
  <si>
    <t>Dominguez Pol Estrella Miel</t>
  </si>
  <si>
    <t>Eid Vargas Julian Octavio</t>
  </si>
  <si>
    <t>Erostegui Torrejon Gabriel</t>
  </si>
  <si>
    <t>Escobar Flores Ema - Zoe - Abi</t>
  </si>
  <si>
    <t>Espinoza Rada Angel Fabian</t>
  </si>
  <si>
    <t>Espinoza Velasquez Laia - Alia</t>
  </si>
  <si>
    <t>Fanola Calderon Matias Rodrigo</t>
  </si>
  <si>
    <t>Farris Bustamante Lorenzo - Gael</t>
  </si>
  <si>
    <t>Fernandez Loredo Luka German</t>
  </si>
  <si>
    <t>Fernandez Terrazas Luis Matias</t>
  </si>
  <si>
    <t>Fernandez Torrico Ruben</t>
  </si>
  <si>
    <t>Fernandez Vargas Estefania Avril - Oscar Tadeo</t>
  </si>
  <si>
    <t>Fiorilo Rivero Luca</t>
  </si>
  <si>
    <t>Fiorilo Rivero Mia Belen</t>
  </si>
  <si>
    <t>Fiorilo Rivero Sophia Natalia</t>
  </si>
  <si>
    <t>Galindo Valencia Lucia - Andres</t>
  </si>
  <si>
    <t>Gallinate Calderon Camila</t>
  </si>
  <si>
    <t>Gandarillas Valle Isabel</t>
  </si>
  <si>
    <t>Garcia Mendoza Dante</t>
  </si>
  <si>
    <t>Garcia Rodriguez Bruno Antonio</t>
  </si>
  <si>
    <t>Garcia Rodriguez Renata Daniela</t>
  </si>
  <si>
    <t>Garron Garron Raquel - Felipe</t>
  </si>
  <si>
    <t>Gomez Mariscal Facundo</t>
  </si>
  <si>
    <t>Gonzales Barrios Ashly Rose</t>
  </si>
  <si>
    <t xml:space="preserve">Gruel Saravia Alek Owen - Bastian Werner </t>
  </si>
  <si>
    <t>Gutierrez Vargas Zoe Victoria</t>
  </si>
  <si>
    <t>Guzman Quispe Danna Carolina</t>
  </si>
  <si>
    <t>Hinojosa Almaquio Uma Aynara</t>
  </si>
  <si>
    <t>Hinojosa Montoya Leonardo -  Arturo</t>
  </si>
  <si>
    <t>Hinojosa Pinaya Daniel - Gabriel</t>
  </si>
  <si>
    <t>Huanca Amurrio Isabella - Valentina</t>
  </si>
  <si>
    <t>Humerez La Faye Nicolas</t>
  </si>
  <si>
    <t>Inchausty Vargas Luciana Valeria</t>
  </si>
  <si>
    <t>Isrrael Mercado Daniela</t>
  </si>
  <si>
    <t>Jaldin Vasquez Matias - Santiago</t>
  </si>
  <si>
    <t>Jimenez Ancasi Fernanda Lucia</t>
  </si>
  <si>
    <t>Ledezma Torres Renata Roma</t>
  </si>
  <si>
    <t>Lopez Mendoza Rebeca</t>
  </si>
  <si>
    <t>Lopez Quiroga Camilo Alejandro</t>
  </si>
  <si>
    <t>Lora Espinoza Sarah</t>
  </si>
  <si>
    <t>Lora Soria Galvarro Santiago</t>
  </si>
  <si>
    <t>Loredo Molina Frederick Artem</t>
  </si>
  <si>
    <t>Loria Alvarez Luciana Valentina</t>
  </si>
  <si>
    <t>Luna Machicado Joaquin Ignacio - Maria Belen</t>
  </si>
  <si>
    <t>Luna Quiroz Mia Isabella</t>
  </si>
  <si>
    <t>Pacheco Perez Ramiro Vladimir</t>
  </si>
  <si>
    <t>Maldonado Lozada Nicolas Andre</t>
  </si>
  <si>
    <t>Marciandi Gongora Sophie</t>
  </si>
  <si>
    <t>Mejia Mareño Santiago</t>
  </si>
  <si>
    <t>Melgarejo Villarroel Lucas David</t>
  </si>
  <si>
    <t>Mendoza Feusi Flurin Isondu</t>
  </si>
  <si>
    <t>Meneces Chavare Camila Martina - Dylan Mateo</t>
  </si>
  <si>
    <t xml:space="preserve">Mercado Herrera Bruno Ignacio </t>
  </si>
  <si>
    <t>Mercado Herrera Carlos Arturo</t>
  </si>
  <si>
    <t>Mercado Quiroga Nicolas Andre - Rodrigo David</t>
  </si>
  <si>
    <t>Mercado Suaznabar Cecilia</t>
  </si>
  <si>
    <t>Mercado Suaznabar Sofia</t>
  </si>
  <si>
    <t>Michel Krpan Aitana</t>
  </si>
  <si>
    <t>Miguez Magne Arelys - Caleb</t>
  </si>
  <si>
    <t>Montaño Rossell Valentin Santiago</t>
  </si>
  <si>
    <t>Muñoz Polglase Rafael Dylan</t>
  </si>
  <si>
    <t>Olarte Fuentes Diana Arlett</t>
  </si>
  <si>
    <t xml:space="preserve">Olmos Delgadillo Renata - Ignacio </t>
  </si>
  <si>
    <t>Oporto Trujillo Ulises</t>
  </si>
  <si>
    <t xml:space="preserve">Ortega Escudero Gianella - Raphaella - Isabella </t>
  </si>
  <si>
    <t>Ortega Rojas Brisa</t>
  </si>
  <si>
    <t>Padilla Alonso Ciro</t>
  </si>
  <si>
    <t>Paniagua Ortega Luciana - Violetta</t>
  </si>
  <si>
    <t>Paniagua Torrico Isabel Andrea</t>
  </si>
  <si>
    <t>Pardo Ergueta Sophie Alejandra</t>
  </si>
  <si>
    <t xml:space="preserve">Parrado Ruiz Gustavo - Gabriel </t>
  </si>
  <si>
    <t>Paz Santa Cruz Agustin - Antonio Francisco</t>
  </si>
  <si>
    <t>Ponce Zurita Andrea Paola</t>
  </si>
  <si>
    <t>Prieto Gonzales Maria Jose</t>
  </si>
  <si>
    <t>Quinteros David Gabriel</t>
  </si>
  <si>
    <t>Quiñones Crespo Rodrigo - Sebastian</t>
  </si>
  <si>
    <t>Quiroga Guerra Ian - Kael - Shanna</t>
  </si>
  <si>
    <t>Quiroga Perez Elian -  Erick</t>
  </si>
  <si>
    <t>Ramallo Caero Romina</t>
  </si>
  <si>
    <t>Ramos Rojas Katerin Bianca - Jessica Mariel</t>
  </si>
  <si>
    <t>Revollo Aquino Helena</t>
  </si>
  <si>
    <t>Revollo Lopez Raffaella</t>
  </si>
  <si>
    <t>Revollo Medrano Zoe Lynn</t>
  </si>
  <si>
    <t>Reynolds Arispe Mariel - Vanessa</t>
  </si>
  <si>
    <t>Rico Flores Valentina Salome</t>
  </si>
  <si>
    <t>Rioja Tisco Andres Dominic - Dennisse Jhoana</t>
  </si>
  <si>
    <t>Rios Quiroga Mauricio</t>
  </si>
  <si>
    <t>Rocabado Andia Luciana - Mariana</t>
  </si>
  <si>
    <t>Rocabado Sempertegui Guadalupe</t>
  </si>
  <si>
    <t>Rocha Pinto Kiara Adelaida - Mateo Mauricio</t>
  </si>
  <si>
    <t>Rojas Flores Renata Liah</t>
  </si>
  <si>
    <t>Rojas Peña Abel Santiago</t>
  </si>
  <si>
    <t>Rojas Roman Valeria Gabriela</t>
  </si>
  <si>
    <t xml:space="preserve">Rojas Zaconeta Sebastian </t>
  </si>
  <si>
    <t>Rosas Uriona Gilma Sofia</t>
  </si>
  <si>
    <t>Rudon Fischer Carly - Aiden - Lukas</t>
  </si>
  <si>
    <t>Saavedra Bustamante Mateo</t>
  </si>
  <si>
    <t xml:space="preserve">Salamanca Soriano Constanza Isabel </t>
  </si>
  <si>
    <t>Salazar Bozo Stephany Raquel</t>
  </si>
  <si>
    <t>Salazar Mariaca Sara</t>
  </si>
  <si>
    <t>Salguero Suaznabar Santiago</t>
  </si>
  <si>
    <t>Salinas Arandia Francisco</t>
  </si>
  <si>
    <t>Salinas Suarez Jared Eliud - Jabes Duncan</t>
  </si>
  <si>
    <t>Sanabria Coronel Raquel - Nicolas</t>
  </si>
  <si>
    <t>Sanchez Aguirre Rachel</t>
  </si>
  <si>
    <t>Sanchez Saavedra Mario Roberto - Alexia Sofia</t>
  </si>
  <si>
    <t>Santelices Chavez Danna Nazarena</t>
  </si>
  <si>
    <t>Saunero De Los Rios Fernando</t>
  </si>
  <si>
    <t>Seguel Chopitea Tomas Alonzo</t>
  </si>
  <si>
    <t>Sejas Rojas Nicolas - Oscar</t>
  </si>
  <si>
    <t>Sejas Zapata Fernanda Gabriela - Rodrigo Gabriel</t>
  </si>
  <si>
    <t>Sejas Zurita Shemi Shiore</t>
  </si>
  <si>
    <t>Seleme Cuentas Carlos Alejandro</t>
  </si>
  <si>
    <t>Serrudo Campos Lia Rafaela</t>
  </si>
  <si>
    <t>Solis Bustamante Thiago Mauricio</t>
  </si>
  <si>
    <t>Soria Camargo Bianca Paris</t>
  </si>
  <si>
    <t>Sotomayor Canedo Ariel Eduardo</t>
  </si>
  <si>
    <t xml:space="preserve">Teran Uberhuaga Arleth - Itzel - Gabriel </t>
  </si>
  <si>
    <t>Terrazas Tapia Sebastian</t>
  </si>
  <si>
    <t xml:space="preserve">Torrico Condori Pablo - Julia </t>
  </si>
  <si>
    <t>Torrico Guillen Nadira Rafaela - Naihara Jaylene</t>
  </si>
  <si>
    <t>Torrico Quezada Shaiel Fernanda</t>
  </si>
  <si>
    <t>Torrico Vidaurre Adrian - Fabio</t>
  </si>
  <si>
    <t>Trigo Peñarrieta Victoria - Julian</t>
  </si>
  <si>
    <t>Triveño Ruiz Fernando - Sebastian - Pedro</t>
  </si>
  <si>
    <t>Trujillo Castro Isabella</t>
  </si>
  <si>
    <t>Uriona Zurita Rashel</t>
  </si>
  <si>
    <t>Ustariz San Martin Loana</t>
  </si>
  <si>
    <t>Vaca Montaño Rafael</t>
  </si>
  <si>
    <t>Valencia Maldonado Felipe - Nestor</t>
  </si>
  <si>
    <t>Vallejos Mamani Jhoel Abdiel</t>
  </si>
  <si>
    <t>Vargas Gomez Maria Jose</t>
  </si>
  <si>
    <t>Vargas Salazar Benjamin Guido</t>
  </si>
  <si>
    <t>Vargas Suarez Diana - Carolina</t>
  </si>
  <si>
    <t>Vargas-Magne Requez Zoe</t>
  </si>
  <si>
    <t>Vega Florero Nataly Thais - Thiago Adrian</t>
  </si>
  <si>
    <t>Veizaga  Aguilar Isabella - Genesis Antonella</t>
  </si>
  <si>
    <t xml:space="preserve">Villarroel Bustamante Facundo - Mateo </t>
  </si>
  <si>
    <t>Villarroel Rojas Sebastian</t>
  </si>
  <si>
    <t>Villarroel Vlahovic Neda Angelica - Novak Alberto</t>
  </si>
  <si>
    <t>Viviani Hinojosa Sebastian Leonardo</t>
  </si>
  <si>
    <t>Zapata Velasco Luciano Andre</t>
  </si>
  <si>
    <t>Zenteno Aduviri Lyanna Meredith</t>
  </si>
  <si>
    <t>Zenteno Tomas Zoe Dayneth</t>
  </si>
  <si>
    <t>2° Prim</t>
  </si>
  <si>
    <t>4° Prim</t>
  </si>
  <si>
    <t>1° Prim</t>
  </si>
  <si>
    <t>3° Prim</t>
  </si>
  <si>
    <t>I1</t>
  </si>
  <si>
    <t>3° Sec</t>
  </si>
  <si>
    <t>1° Sec</t>
  </si>
  <si>
    <t>2° - 6°Sec</t>
  </si>
  <si>
    <t>2°Sec</t>
  </si>
  <si>
    <t>6°Sec</t>
  </si>
  <si>
    <t>5°S-4°S-2°P</t>
  </si>
  <si>
    <t>5°Prim - 2°Sec</t>
  </si>
  <si>
    <t>2°Prim - 3°Sec</t>
  </si>
  <si>
    <t>5° Prim</t>
  </si>
  <si>
    <t xml:space="preserve">5° Sec </t>
  </si>
  <si>
    <t>5°Prim - 1° Sec</t>
  </si>
  <si>
    <t xml:space="preserve">6° Sec </t>
  </si>
  <si>
    <t>2ºPrim-3ºsec</t>
  </si>
  <si>
    <t>1°- 4° Sec</t>
  </si>
  <si>
    <t>1°Prim</t>
  </si>
  <si>
    <t>2°Prim</t>
  </si>
  <si>
    <t>4° Sec</t>
  </si>
  <si>
    <t>2°P - 2°S - 3°S</t>
  </si>
  <si>
    <t>6° Prim</t>
  </si>
  <si>
    <t>2°P - 3°P - 5°P</t>
  </si>
  <si>
    <t>6°Prim - 2°Sec</t>
  </si>
  <si>
    <t>5° Sec</t>
  </si>
  <si>
    <t>2° Sec</t>
  </si>
  <si>
    <t>I2 - 4° Prim</t>
  </si>
  <si>
    <t>4°Prim - 3°Sec</t>
  </si>
  <si>
    <t>Mat - 4°Prim</t>
  </si>
  <si>
    <t>4°Prim</t>
  </si>
  <si>
    <t>4° - 6° Prim</t>
  </si>
  <si>
    <t>3°Prim - 2°Sec</t>
  </si>
  <si>
    <t>2°Prim - 2°Sec</t>
  </si>
  <si>
    <t>2° - 5° Prim</t>
  </si>
  <si>
    <t>1° - 4° Prim</t>
  </si>
  <si>
    <t xml:space="preserve">6° Prim </t>
  </si>
  <si>
    <t>I2 - 4°P - 1°S</t>
  </si>
  <si>
    <t>3°- 5°Prim</t>
  </si>
  <si>
    <t>2° - 3° Prim</t>
  </si>
  <si>
    <t>4º - 6ºs</t>
  </si>
  <si>
    <t>3° - 5° Sec</t>
  </si>
  <si>
    <t>6° Sec</t>
  </si>
  <si>
    <t xml:space="preserve">4°Prim - 3°Sec </t>
  </si>
  <si>
    <t>5° Prim - 1° Sec</t>
  </si>
  <si>
    <t>4° Prim - 1° Sec</t>
  </si>
  <si>
    <t>I2 - 2° Prim</t>
  </si>
  <si>
    <t>2°Prim - 1°Sec</t>
  </si>
  <si>
    <t>1º - 2º -4° Sec</t>
  </si>
  <si>
    <t>I1 - 2° Prim</t>
  </si>
  <si>
    <t>I1 - 3° Prim</t>
  </si>
  <si>
    <t>2° - 6° Prim</t>
  </si>
  <si>
    <t>4°- 6°Sec</t>
  </si>
  <si>
    <t>3°Prim - 3°Sec</t>
  </si>
  <si>
    <t xml:space="preserve">2° - 3° Prim </t>
  </si>
  <si>
    <t>5°Prim - 3°Sec</t>
  </si>
  <si>
    <t>I1 - 4° Prim</t>
  </si>
  <si>
    <t>6°Prim - 5°Sec</t>
  </si>
  <si>
    <t>1°P - 6°P - 2°S</t>
  </si>
  <si>
    <t>1º - 4ºPrim</t>
  </si>
  <si>
    <t>4°Prim - 6°Sec</t>
  </si>
  <si>
    <t>I2 - 5°P - 4°S</t>
  </si>
  <si>
    <t>I2 - 5° Prim</t>
  </si>
  <si>
    <t>6°Pim - 3°Sec</t>
  </si>
  <si>
    <t xml:space="preserve">4°- 6°Sec </t>
  </si>
  <si>
    <t xml:space="preserve">4° - 6°Sec </t>
  </si>
  <si>
    <t xml:space="preserve">5°Prim-1°-2°Sec </t>
  </si>
  <si>
    <t>2° - 6°Prim</t>
  </si>
  <si>
    <t>1°P - 3°P - 3S</t>
  </si>
  <si>
    <t>1° - 3°Prim</t>
  </si>
  <si>
    <t>1°Prim - 1°Sec</t>
  </si>
  <si>
    <t>1° - 2°Sec</t>
  </si>
  <si>
    <t>2° - 4° Prim</t>
  </si>
  <si>
    <t>I1 - 6° Prim</t>
  </si>
  <si>
    <t>4°- 5° Prim</t>
  </si>
  <si>
    <t>2°P-3°S-5°S</t>
  </si>
  <si>
    <t>6°Prim - 3°Sec</t>
  </si>
  <si>
    <t>4° - 2°Sec</t>
  </si>
  <si>
    <t>I2 - 4°Prim</t>
  </si>
  <si>
    <t>2° - 4° Sec</t>
  </si>
  <si>
    <t>4° - 6°Prim</t>
  </si>
  <si>
    <t>5°Prim - 5°Sec</t>
  </si>
  <si>
    <t xml:space="preserve">6º Sec </t>
  </si>
  <si>
    <t>I1 - 1°Sec</t>
  </si>
  <si>
    <t>1° - 5°Prim</t>
  </si>
  <si>
    <t xml:space="preserve">2° Prim </t>
  </si>
  <si>
    <t>I1-4°-6º Pri</t>
  </si>
  <si>
    <t>4° - 1° Sec</t>
  </si>
  <si>
    <t>CLAUDIA - SAMUEL</t>
  </si>
  <si>
    <t>CRISTIAN - PRISCILA</t>
  </si>
  <si>
    <t>VIVIAN - EDGAR</t>
  </si>
  <si>
    <t>CLAUDIA - FERNANDO</t>
  </si>
  <si>
    <t>ALEXANDRA - JHIMMY</t>
  </si>
  <si>
    <t>FABIOLA</t>
  </si>
  <si>
    <t>LITZI - AGUSTIN</t>
  </si>
  <si>
    <t>DANIELA - ALEX</t>
  </si>
  <si>
    <t>GIOVANNA - JORGE</t>
  </si>
  <si>
    <t>KARINA - JAVIER</t>
  </si>
  <si>
    <t>ESTHER - JORGE</t>
  </si>
  <si>
    <t>JANNETH - LUIS</t>
  </si>
  <si>
    <t>ANDREINA</t>
  </si>
  <si>
    <t>ZULMA - JHONS</t>
  </si>
  <si>
    <t>ANA - JAVIER</t>
  </si>
  <si>
    <t>LILIAN - ARIEL</t>
  </si>
  <si>
    <t>FABIOLA - ARIEL</t>
  </si>
  <si>
    <t>NATALIA-MARVIN</t>
  </si>
  <si>
    <t>LAURA - FEDERICO</t>
  </si>
  <si>
    <t>ANGELA - MAURICIO</t>
  </si>
  <si>
    <t>ADRIANA</t>
  </si>
  <si>
    <t>VILMA - MARCO</t>
  </si>
  <si>
    <t>PAMELA - CARLO</t>
  </si>
  <si>
    <t>NEYSA - ALEJANDRO</t>
  </si>
  <si>
    <t>PAOLA - SAID</t>
  </si>
  <si>
    <t>JESICA - HAMAN</t>
  </si>
  <si>
    <t>YADYD - JOHNNY</t>
  </si>
  <si>
    <t>MANUEL(papá)</t>
  </si>
  <si>
    <t>LORENA - HERBERTH</t>
  </si>
  <si>
    <t>GABINA - REYNALDO</t>
  </si>
  <si>
    <t>LINEL - ALEJANDRO</t>
  </si>
  <si>
    <t>MARCELO - MARCELA</t>
  </si>
  <si>
    <t>OLGA - JULIO</t>
  </si>
  <si>
    <t>VALERIA - SERGIO</t>
  </si>
  <si>
    <t>BRISA</t>
  </si>
  <si>
    <t>LISBED - EDUARDO</t>
  </si>
  <si>
    <t>SOFIA - AHMED</t>
  </si>
  <si>
    <t>VIVIANA - PEDRO</t>
  </si>
  <si>
    <t>FANNY - VICTOR</t>
  </si>
  <si>
    <t>CLAUDIA - CRISTIAN</t>
  </si>
  <si>
    <t>YVONNE - PAOLA</t>
  </si>
  <si>
    <t>MARIANA - RODRIGO</t>
  </si>
  <si>
    <t>CAROLINA - MAURO</t>
  </si>
  <si>
    <t>KOTSKA - GONZALO</t>
  </si>
  <si>
    <t>CECILIA - JUAN PABLO</t>
  </si>
  <si>
    <t>SOLANGE - LUIS</t>
  </si>
  <si>
    <t>MARCELA - RUBEN</t>
  </si>
  <si>
    <t>MONICA - OSCAR</t>
  </si>
  <si>
    <t>CAROLINA - MARCELO</t>
  </si>
  <si>
    <t>VIVIAN - ALFREDO</t>
  </si>
  <si>
    <t>JIMENA - ELMER</t>
  </si>
  <si>
    <t>MILKA - HECTOR</t>
  </si>
  <si>
    <t>NINOSKA - VICTOR</t>
  </si>
  <si>
    <t>KARLA - ANTONIO</t>
  </si>
  <si>
    <t xml:space="preserve">ERIKA </t>
  </si>
  <si>
    <t>ANA - PABLO</t>
  </si>
  <si>
    <t>RUTH - LUIS</t>
  </si>
  <si>
    <t>KARLA - ARIEL</t>
  </si>
  <si>
    <t>ANDREA - PABLO</t>
  </si>
  <si>
    <t>MARCELA - YURI</t>
  </si>
  <si>
    <t>KAREN - GABRIEL</t>
  </si>
  <si>
    <t>JACQUELINE - HERNAN</t>
  </si>
  <si>
    <t>MAYERLING - CALEB</t>
  </si>
  <si>
    <t>LAURA - WALDO</t>
  </si>
  <si>
    <t>JIMENA - JORGE LUIS</t>
  </si>
  <si>
    <t xml:space="preserve">LILA </t>
  </si>
  <si>
    <t>JOSELINE - MAURICIO</t>
  </si>
  <si>
    <t>CLAUDIA - MAURICIO</t>
  </si>
  <si>
    <t>ROMA - JAVIER</t>
  </si>
  <si>
    <t>CARLA - VICTOR</t>
  </si>
  <si>
    <t>CYNTHIA - JOSE</t>
  </si>
  <si>
    <t>LAURA-ESNEIDER</t>
  </si>
  <si>
    <t>SILVIA - CARLOS</t>
  </si>
  <si>
    <t>LILIAN-RONALD</t>
  </si>
  <si>
    <t>MARCELA - JOSE MIGUEL</t>
  </si>
  <si>
    <t>KAREN - ROBERTO</t>
  </si>
  <si>
    <t>MILENKA - MARCO</t>
  </si>
  <si>
    <t>CARLA - HENRRIQUE</t>
  </si>
  <si>
    <t>ELIZABETH - SANDRO</t>
  </si>
  <si>
    <t>FABIOLA - LUIS</t>
  </si>
  <si>
    <t>WENDY - ANDREA</t>
  </si>
  <si>
    <t>PAOLA - VICTOR</t>
  </si>
  <si>
    <t>RUTH - ERIK</t>
  </si>
  <si>
    <t>CINTHIA - RONALD</t>
  </si>
  <si>
    <t>SOLEDAD - JUAN</t>
  </si>
  <si>
    <t>SHIRLEY</t>
  </si>
  <si>
    <t>IVONE - CARLOS</t>
  </si>
  <si>
    <t xml:space="preserve">DANIELA </t>
  </si>
  <si>
    <t>MARIANNE - GUSTAVO</t>
  </si>
  <si>
    <t>EDITH - JOSE LUIS</t>
  </si>
  <si>
    <t>MARIA - MAURICIO</t>
  </si>
  <si>
    <t>JOSE LUIS - NICOLA</t>
  </si>
  <si>
    <t>LAURA - JHOHAN</t>
  </si>
  <si>
    <t>ARIANA - JAVIER</t>
  </si>
  <si>
    <t>PAMELA - WALTER</t>
  </si>
  <si>
    <t>VERONICA-MOISES</t>
  </si>
  <si>
    <t>CONSUELO - GUSTAVO</t>
  </si>
  <si>
    <t>SOLEDAD</t>
  </si>
  <si>
    <t>EVELYN - MARCELO</t>
  </si>
  <si>
    <t>DULIA</t>
  </si>
  <si>
    <t>KYMBERLY - JOSE</t>
  </si>
  <si>
    <t>CLAUDIA - OMAR</t>
  </si>
  <si>
    <t>MARIELA - BORIS</t>
  </si>
  <si>
    <t>NEIDA - JOSE LUIS</t>
  </si>
  <si>
    <t>MARIA EUGENIA-JAVIER</t>
  </si>
  <si>
    <t>DORYS</t>
  </si>
  <si>
    <t>OLIVIA - RODRIGO</t>
  </si>
  <si>
    <t>JAKELINE - CARLOS</t>
  </si>
  <si>
    <t>MARCELA - OMAR</t>
  </si>
  <si>
    <t>MARCO (abuelo)</t>
  </si>
  <si>
    <t>ANDREA - MARCELO</t>
  </si>
  <si>
    <t>ANNELIESE - FERNANDO</t>
  </si>
  <si>
    <t>MARILYN</t>
  </si>
  <si>
    <t>ERIKA - VONDAS</t>
  </si>
  <si>
    <t>CINTYA - DENNIS</t>
  </si>
  <si>
    <t>LASTENIA - MILIVOY</t>
  </si>
  <si>
    <t>NEYDA - JUAN</t>
  </si>
  <si>
    <t>PAOLA - RODRIGO</t>
  </si>
  <si>
    <t>MIRKA - CARLOS</t>
  </si>
  <si>
    <t>DEBBIE - ROMULO</t>
  </si>
  <si>
    <t>SUSANA - IVAN</t>
  </si>
  <si>
    <t>FABIANA - CARLOS</t>
  </si>
  <si>
    <t>ROMMY- ALEJANDRO</t>
  </si>
  <si>
    <t>JHOSELIN - MAX DAVID</t>
  </si>
  <si>
    <t>SANDRA</t>
  </si>
  <si>
    <t>ESTEFANIA - RAUL</t>
  </si>
  <si>
    <t>ANA - MAURICIO</t>
  </si>
  <si>
    <t>ANGELA - HERNAN</t>
  </si>
  <si>
    <t>TERESA - RAMIRO</t>
  </si>
  <si>
    <t>AELYN - VICTOR</t>
  </si>
  <si>
    <t>MONICA - FERNANDO</t>
  </si>
  <si>
    <t>RUTH - OSCAR</t>
  </si>
  <si>
    <t>HEIDY - JUAN</t>
  </si>
  <si>
    <t>MARIA - ROLANDO</t>
  </si>
  <si>
    <t>CARLOS - GABRIELA</t>
  </si>
  <si>
    <t>ANDREA - JESUS</t>
  </si>
  <si>
    <t>VERONICA-RUDDY</t>
  </si>
  <si>
    <t>ILSEN - LUIS</t>
  </si>
  <si>
    <t>PATRICIA - ROLANDO</t>
  </si>
  <si>
    <t>JAEL - ALDO</t>
  </si>
  <si>
    <t>EUGENIA - RAUL</t>
  </si>
  <si>
    <t>CLARIZA - MARCELO</t>
  </si>
  <si>
    <t>IRIS - HECTOR</t>
  </si>
  <si>
    <t>PAULA - JORGE</t>
  </si>
  <si>
    <t>EVELYN - PEDRO</t>
  </si>
  <si>
    <t>ANDREA - PEDRO</t>
  </si>
  <si>
    <t>HEIDY - EDGAR</t>
  </si>
  <si>
    <t>ZARA - JUAN</t>
  </si>
  <si>
    <t>VIVIAN - ANDRES</t>
  </si>
  <si>
    <t>DANIELA - JHEISSON</t>
  </si>
  <si>
    <t>YARA - NESTOR</t>
  </si>
  <si>
    <t>HUMBERTO-MARITZA</t>
  </si>
  <si>
    <t>JAQUELINE - MARCELO</t>
  </si>
  <si>
    <t>PAMELA - ALEXEI</t>
  </si>
  <si>
    <t>ELVA - ROLANDO</t>
  </si>
  <si>
    <t>LILIANA - MARCELO</t>
  </si>
  <si>
    <t>GABRIELA - JOSE</t>
  </si>
  <si>
    <t>ALEYDA - RONALD</t>
  </si>
  <si>
    <t>NADJA - JIMMY</t>
  </si>
  <si>
    <t>DANIELA - HUMBERTO</t>
  </si>
  <si>
    <t>PATRICIA - DIEGO</t>
  </si>
  <si>
    <t>LITZE - RONALD</t>
  </si>
  <si>
    <t>HEIDY - OSCAR</t>
  </si>
  <si>
    <t>S/N</t>
  </si>
  <si>
    <t>SAMUEL ACHA</t>
  </si>
  <si>
    <t>CRISTIAN AGUAYO</t>
  </si>
  <si>
    <t>EVA MORAL BRAVO</t>
  </si>
  <si>
    <t>VIVIAN GUTIERREZ</t>
  </si>
  <si>
    <t>ALMANZA JHIMMY</t>
  </si>
  <si>
    <t>LITZI GUTIERREZ ACHA</t>
  </si>
  <si>
    <t>ALEX ANDRADE</t>
  </si>
  <si>
    <t>ARIAS</t>
  </si>
  <si>
    <t>ANDREINA CARPIO</t>
  </si>
  <si>
    <t>BARRIENTOS</t>
  </si>
  <si>
    <t>CARLA GONZALES</t>
  </si>
  <si>
    <t>MARVIN BEJARANO</t>
  </si>
  <si>
    <t>ARCOS</t>
  </si>
  <si>
    <t>ANA CECILIA GOYTIA</t>
  </si>
  <si>
    <t>CARDONA</t>
  </si>
  <si>
    <t>CESAR CASTRO</t>
  </si>
  <si>
    <t>LORENA RUIZ</t>
  </si>
  <si>
    <t>REYNALDO CONDORI</t>
  </si>
  <si>
    <t>SILVIA RODRIGO</t>
  </si>
  <si>
    <t>LUZ MAGNE</t>
  </si>
  <si>
    <t>BRISA MISHAEL POL QUILLA</t>
  </si>
  <si>
    <t>AHMED EID</t>
  </si>
  <si>
    <t>VICTOR ESCOBAR</t>
  </si>
  <si>
    <t>RODRIGO FANOLA</t>
  </si>
  <si>
    <t xml:space="preserve">SOLANGE TERRAZAS </t>
  </si>
  <si>
    <t>BENITEZ</t>
  </si>
  <si>
    <t>VALLE</t>
  </si>
  <si>
    <t>GARCIA</t>
  </si>
  <si>
    <t>HERNAN HUANCA</t>
  </si>
  <si>
    <t>MERCADO</t>
  </si>
  <si>
    <t>JORGE INCHAUSTY</t>
  </si>
  <si>
    <t>CHRISTIAN EDUARDO JIMENES CARRASCO</t>
  </si>
  <si>
    <t>TORRES</t>
  </si>
  <si>
    <t>JOSE A. LOPEZ</t>
  </si>
  <si>
    <t>LORA</t>
  </si>
  <si>
    <t>SILVIA SORIA GALVARRO</t>
  </si>
  <si>
    <t>LOREDO</t>
  </si>
  <si>
    <t>LUNA MARCO ANTONIO</t>
  </si>
  <si>
    <t>DANIELA GONGORA</t>
  </si>
  <si>
    <t>JHONNY MENESES</t>
  </si>
  <si>
    <t>GILMAR IVAN MERCADO</t>
  </si>
  <si>
    <t>DANIELA GUARDIA</t>
  </si>
  <si>
    <t>MAGNE</t>
  </si>
  <si>
    <t>MURIEL</t>
  </si>
  <si>
    <t>ALVARO ORELLANA</t>
  </si>
  <si>
    <t>CONSUELO ORTEGA</t>
  </si>
  <si>
    <t>JOSE PATIÑO</t>
  </si>
  <si>
    <t>MARIA LUISA DORIA MEDINA</t>
  </si>
  <si>
    <t>QUINTEROS</t>
  </si>
  <si>
    <t>CRESPO</t>
  </si>
  <si>
    <t>ROMAN JOSE RAMOS TORRICO</t>
  </si>
  <si>
    <t>MEDRANO</t>
  </si>
  <si>
    <t>PEÑA</t>
  </si>
  <si>
    <t>MAX ROSAS MENDEZ</t>
  </si>
  <si>
    <t>SANDRA BUSTAMANTE</t>
  </si>
  <si>
    <t>RAUL SALAMANCA</t>
  </si>
  <si>
    <t>BRENDA ZENTENO</t>
  </si>
  <si>
    <t>CHAVEZ</t>
  </si>
  <si>
    <t>HEIDY ZAPATA MONTAÑO</t>
  </si>
  <si>
    <t>BUSTAMANTE</t>
  </si>
  <si>
    <t>ROLANDO SOTOMAYOR</t>
  </si>
  <si>
    <t xml:space="preserve">ALDO TORDOYA </t>
  </si>
  <si>
    <t>TORRICO</t>
  </si>
  <si>
    <t>PEDRO TRIVEÑO</t>
  </si>
  <si>
    <t>ALBERT TRUJILLO</t>
  </si>
  <si>
    <t>EDGAR URIONA</t>
  </si>
  <si>
    <t>ANDRES VACA</t>
  </si>
  <si>
    <t>CAHUANA</t>
  </si>
  <si>
    <t>MARCELO VIDAURRE</t>
  </si>
  <si>
    <t>VILLARROEL</t>
  </si>
  <si>
    <t xml:space="preserve">JIMMY VILLARROEL </t>
  </si>
  <si>
    <t>VIVIANI</t>
  </si>
  <si>
    <t>ZAPATA</t>
  </si>
  <si>
    <t>YAVE</t>
  </si>
  <si>
    <t xml:space="preserve"> S/N</t>
  </si>
  <si>
    <t>70774858m/65722206p</t>
  </si>
  <si>
    <t>77431297m/65058590p</t>
  </si>
  <si>
    <t>72765317m/+3017930858p</t>
  </si>
  <si>
    <t>60343871m/79729093p</t>
  </si>
  <si>
    <t>79794429m/70343793p</t>
  </si>
  <si>
    <t>79726996m/79375100p</t>
  </si>
  <si>
    <t>70397295m</t>
  </si>
  <si>
    <t>69463728m/62621709p</t>
  </si>
  <si>
    <t>71725098m/71407154p</t>
  </si>
  <si>
    <t>70763580m/77390048p</t>
  </si>
  <si>
    <t>78333019m/62677539p</t>
  </si>
  <si>
    <t>69269233m/70725450p/4549901c</t>
  </si>
  <si>
    <t>76642620m/63904478p</t>
  </si>
  <si>
    <t>70372777m/68476897p</t>
  </si>
  <si>
    <t>61614528m</t>
  </si>
  <si>
    <t>79352305m/75473839p</t>
  </si>
  <si>
    <t>72259087m/77444221p</t>
  </si>
  <si>
    <t>79737191m/79755556p</t>
  </si>
  <si>
    <t>72769779m</t>
  </si>
  <si>
    <t>70776698m/70756400p</t>
  </si>
  <si>
    <t>77490014m</t>
  </si>
  <si>
    <t>60770002m/76401141p</t>
  </si>
  <si>
    <t>72172713m/72968198p</t>
  </si>
  <si>
    <t>76439902m</t>
  </si>
  <si>
    <t>79950455m/4553882c</t>
  </si>
  <si>
    <t>71721826m</t>
  </si>
  <si>
    <t>70733344m/70777845p</t>
  </si>
  <si>
    <t>63946391m/79819596p</t>
  </si>
  <si>
    <t>77490248m/77451177p</t>
  </si>
  <si>
    <t>74803195m/70387635p</t>
  </si>
  <si>
    <t>77939023m/78910737p</t>
  </si>
  <si>
    <t>72498305m/73837053p</t>
  </si>
  <si>
    <t>71091392m - 71019469p</t>
  </si>
  <si>
    <t>76932997m/79363509p</t>
  </si>
  <si>
    <t>74576757m/72007873p</t>
  </si>
  <si>
    <t>77916986m/76450117p</t>
  </si>
  <si>
    <t>71499483m/72773379p</t>
  </si>
  <si>
    <t>70763915m/72243437p</t>
  </si>
  <si>
    <t>70771585m</t>
  </si>
  <si>
    <t>71451275m/72766441p</t>
  </si>
  <si>
    <t>76400255m/77955655p</t>
  </si>
  <si>
    <t>77261613p/70167003p</t>
  </si>
  <si>
    <t>74704268m</t>
  </si>
  <si>
    <t>77488964m</t>
  </si>
  <si>
    <t>70724215m/70713584p</t>
  </si>
  <si>
    <t>63900377m</t>
  </si>
  <si>
    <t>75475477m/77977917p</t>
  </si>
  <si>
    <t>79777999m</t>
  </si>
  <si>
    <t>76454208Tutora</t>
  </si>
  <si>
    <t>72712409m/4248922c</t>
  </si>
  <si>
    <t>67585931m/71729195p</t>
  </si>
  <si>
    <t>69451001m/75476163p</t>
  </si>
  <si>
    <t>74314007m/74306046p</t>
  </si>
  <si>
    <t>60701604m</t>
  </si>
  <si>
    <t>79978987m/70785704p</t>
  </si>
  <si>
    <t>70782434m/70715651</t>
  </si>
  <si>
    <t>75841871m</t>
  </si>
  <si>
    <t>65755946m</t>
  </si>
  <si>
    <t>67526097m/67425369p</t>
  </si>
  <si>
    <t>70718548m/72201210p</t>
  </si>
  <si>
    <t>67400424m/27295688p</t>
  </si>
  <si>
    <t>70728687m/70344488p</t>
  </si>
  <si>
    <t>72222668m</t>
  </si>
  <si>
    <t>75917173m/76900088p</t>
  </si>
  <si>
    <t>77977330m/77434444p</t>
  </si>
  <si>
    <t>70371731m/65754998p</t>
  </si>
  <si>
    <t>65379770m/70749199p</t>
  </si>
  <si>
    <t>74128223m/76420804p</t>
  </si>
  <si>
    <t>70736135m/70798133p</t>
  </si>
  <si>
    <t>79379361m/61617875p</t>
  </si>
  <si>
    <t>70383255m/72280400p</t>
  </si>
  <si>
    <t>77353992m/77918053p</t>
  </si>
  <si>
    <t>68501685m/72291070p</t>
  </si>
  <si>
    <t>76205498m</t>
  </si>
  <si>
    <t>72284741m/68581175p</t>
  </si>
  <si>
    <t>75841871m/69484883p</t>
  </si>
  <si>
    <t>73763212m/70799173p</t>
  </si>
  <si>
    <t>65322299m/77415163p</t>
  </si>
  <si>
    <t>76988881m</t>
  </si>
  <si>
    <t>75967267p/71407303P</t>
  </si>
  <si>
    <t>70743210m/70736613p</t>
  </si>
  <si>
    <t>67579304m/67579344p</t>
  </si>
  <si>
    <t>77412000m/77952403p</t>
  </si>
  <si>
    <t>70701423m/72200921p</t>
  </si>
  <si>
    <t>73349446m/64887975p</t>
  </si>
  <si>
    <t>63939915m/64850901p</t>
  </si>
  <si>
    <t>72043355m/72302465p</t>
  </si>
  <si>
    <t>67195466m/72021452p</t>
  </si>
  <si>
    <t>70743210m</t>
  </si>
  <si>
    <t>70717265m/70711009p</t>
  </si>
  <si>
    <t>70388265m/70783484p</t>
  </si>
  <si>
    <t>69484190m/3515975116p</t>
  </si>
  <si>
    <t>70705185m/73790047p</t>
  </si>
  <si>
    <t>71717730m/71411088p</t>
  </si>
  <si>
    <t>75912997m/75957346p</t>
  </si>
  <si>
    <t>62720809m/79965805p</t>
  </si>
  <si>
    <t>67410818m</t>
  </si>
  <si>
    <t>72778278m/71444038p</t>
  </si>
  <si>
    <t>77915015m</t>
  </si>
  <si>
    <t>76977907m/77490197p</t>
  </si>
  <si>
    <t>77400191m</t>
  </si>
  <si>
    <t>72917795m/70307820p</t>
  </si>
  <si>
    <t>70370724m/71264728p</t>
  </si>
  <si>
    <t>76917975m/76400820p</t>
  </si>
  <si>
    <t>69750024m/69484883p</t>
  </si>
  <si>
    <t>72295074m/72496532m</t>
  </si>
  <si>
    <t>77437888m/77931339p/4302553c</t>
  </si>
  <si>
    <t>69456069m/75467982p</t>
  </si>
  <si>
    <t>70757197m/70770524p</t>
  </si>
  <si>
    <t>76858455m/76904442p</t>
  </si>
  <si>
    <t>75990906m</t>
  </si>
  <si>
    <t>70729177m/70787100p</t>
  </si>
  <si>
    <t>72775610m/74327297p</t>
  </si>
  <si>
    <t>76425479m/67491958p</t>
  </si>
  <si>
    <t>70781618m/70778008p</t>
  </si>
  <si>
    <t>61617911m</t>
  </si>
  <si>
    <t>73789712m</t>
  </si>
  <si>
    <t>70367608m/4799374c</t>
  </si>
  <si>
    <t>76938322m/7598008p</t>
  </si>
  <si>
    <t>44320286m/71409100p</t>
  </si>
  <si>
    <t>70753788m/79388313p</t>
  </si>
  <si>
    <t>79372806m/60464101p</t>
  </si>
  <si>
    <t>76985308m</t>
  </si>
  <si>
    <t>70756668m/72727237p</t>
  </si>
  <si>
    <t>70377262m/70344206p</t>
  </si>
  <si>
    <t>71756365m/68581181p</t>
  </si>
  <si>
    <t>70749461 abuelo</t>
  </si>
  <si>
    <t>77944066m/7794438p</t>
  </si>
  <si>
    <t>77456078m</t>
  </si>
  <si>
    <t>76422091m/75937854p</t>
  </si>
  <si>
    <t>77925660m/72256582p</t>
  </si>
  <si>
    <t>69415007m/77411100p</t>
  </si>
  <si>
    <t>70428624m/76954609p</t>
  </si>
  <si>
    <t>69523471m/71411013p</t>
  </si>
  <si>
    <t>65724979m/79787866p</t>
  </si>
  <si>
    <t>70358507m/70376790p</t>
  </si>
  <si>
    <t>17120384m/76998962p</t>
  </si>
  <si>
    <t>79376675abu/79376675m</t>
  </si>
  <si>
    <t>67409078m/67598785p</t>
  </si>
  <si>
    <t>70621995m/77403190p</t>
  </si>
  <si>
    <t>70716630m</t>
  </si>
  <si>
    <t>70718964m/70308026p</t>
  </si>
  <si>
    <t>77412645m/77412551p</t>
  </si>
  <si>
    <t>70740527m</t>
  </si>
  <si>
    <t>68512356m/67557461p</t>
  </si>
  <si>
    <t>70754559m/70757810p</t>
  </si>
  <si>
    <t>76924479m</t>
  </si>
  <si>
    <t>65768245m/69509509p</t>
  </si>
  <si>
    <t>70787406m/70760630p</t>
  </si>
  <si>
    <t>76921721m/71407186p</t>
  </si>
  <si>
    <t>67509653m/76499322p</t>
  </si>
  <si>
    <t>67400757m/72240081p</t>
  </si>
  <si>
    <t>72200425m</t>
  </si>
  <si>
    <t>75486634m/75486633p</t>
  </si>
  <si>
    <t>70783592m/69414614p</t>
  </si>
  <si>
    <t>72770010m/71730168p</t>
  </si>
  <si>
    <t>70726048m/70763481p</t>
  </si>
  <si>
    <t>77991187m/77991187p</t>
  </si>
  <si>
    <t>60375783m/70748297p</t>
  </si>
  <si>
    <t>72294430m/76906910p</t>
  </si>
  <si>
    <t>73082022m/72250934p</t>
  </si>
  <si>
    <t>79791349m/70344613p</t>
  </si>
  <si>
    <t>75484778m/73773397p</t>
  </si>
  <si>
    <t>70763838m/70778284p</t>
  </si>
  <si>
    <t>70730290m</t>
  </si>
  <si>
    <t>78304199m/76488997p</t>
  </si>
  <si>
    <t>70382378m/71707888p</t>
  </si>
  <si>
    <t>77444144m/77490314p</t>
  </si>
  <si>
    <t>72718345m/72247676p</t>
  </si>
  <si>
    <t>60380202m/77998727p</t>
  </si>
  <si>
    <t>69522922m/77955520p</t>
  </si>
  <si>
    <t>60386507m/79959456p</t>
  </si>
  <si>
    <t>77949620m/76438778p</t>
  </si>
  <si>
    <t>77901744m/67599720p</t>
  </si>
  <si>
    <t>69514884m/67555200p</t>
  </si>
  <si>
    <t>72042272m/73036325p</t>
  </si>
  <si>
    <t>72772550m/72244474p</t>
  </si>
  <si>
    <t>77913121p/70305205m</t>
  </si>
  <si>
    <t>70782512m/78343863p</t>
  </si>
  <si>
    <t>76999232m/77400257p/4412950c</t>
  </si>
  <si>
    <t>78353021m/78300955p</t>
  </si>
  <si>
    <t>72748501m/70748815p/4248925c</t>
  </si>
  <si>
    <t>79360787m/72202748p</t>
  </si>
  <si>
    <t>72226272m/72226231p</t>
  </si>
  <si>
    <t>62673128m/69733546p</t>
  </si>
  <si>
    <t>77482510m/70301979p</t>
  </si>
  <si>
    <t>79711919m/79955666p</t>
  </si>
  <si>
    <t>76919019m/76462503p</t>
  </si>
  <si>
    <t>77420505m/77420505p</t>
  </si>
  <si>
    <t>67414092m/77407717p</t>
  </si>
  <si>
    <t>67510543m/67555515p</t>
  </si>
  <si>
    <t>PENSION AKADIA</t>
  </si>
  <si>
    <t>Choque Lopez Jonan Nacor</t>
  </si>
  <si>
    <t>Lizarazu Skipper Elliot - Julia - Ellie</t>
  </si>
  <si>
    <t>Lopez Marcus Matias - Anabella</t>
  </si>
  <si>
    <t>Poots Pedrozo Oliver - Alexa</t>
  </si>
  <si>
    <t>Tordoya Gonzales Oksana Kristine - Rizvan</t>
  </si>
  <si>
    <t>Valverde Padilla Luciana - Jorge - Matias</t>
  </si>
  <si>
    <t>Zambrana La Fuente Mateo - Camila -Thiago</t>
  </si>
  <si>
    <t xml:space="preserve">Gonzales Prada Mercado Haniel Simone </t>
  </si>
  <si>
    <t>JEAMY - SALVADOR</t>
  </si>
  <si>
    <t>68077974m/76984743p</t>
  </si>
  <si>
    <t>70341209m/71771230p</t>
  </si>
  <si>
    <t>ROCHA</t>
  </si>
  <si>
    <t>6°</t>
  </si>
  <si>
    <t>MAYERLING TERCEROS</t>
  </si>
  <si>
    <t>Agreda Alvarez Isabella Eduarda</t>
  </si>
  <si>
    <t>MILENKA</t>
  </si>
  <si>
    <t>76498255m</t>
  </si>
  <si>
    <t>67524625m</t>
  </si>
  <si>
    <t>4°Prim - 2°Sec</t>
  </si>
  <si>
    <t>MARLENE CAHUANA/SIGFRIDO ARANDIA</t>
  </si>
  <si>
    <t>4412083/3088967</t>
  </si>
  <si>
    <t>Carvajal Arispe Bruno Renato</t>
  </si>
  <si>
    <t>LOYDA - ALBERTO</t>
  </si>
  <si>
    <t>ARISPE</t>
  </si>
  <si>
    <t>78323000m/75976759p</t>
  </si>
  <si>
    <t>Prof. MAYRA - EVER</t>
  </si>
  <si>
    <t>ROLANDO FERNANDEZ</t>
  </si>
  <si>
    <t>77992750m/78322240p</t>
  </si>
  <si>
    <t>QUISPE/GUZMAN</t>
  </si>
  <si>
    <t>SAMANTHA/HENRY</t>
  </si>
  <si>
    <t>PRISCILA - EDVAN</t>
  </si>
  <si>
    <t>78374181m</t>
  </si>
  <si>
    <t xml:space="preserve">6° Prim  </t>
  </si>
  <si>
    <t>78374181m/79979001p</t>
  </si>
  <si>
    <t>Prof. DAMARIS - OSVALDO</t>
  </si>
  <si>
    <t>Carvajal Rodriguez Sara - Sofia</t>
  </si>
  <si>
    <t>4° - 6° Sec</t>
  </si>
  <si>
    <t>VILMA ROJAS</t>
  </si>
  <si>
    <t>RADA DIAZ PAOLA JOHANNA</t>
  </si>
  <si>
    <t>I1 - 4°Prim</t>
  </si>
  <si>
    <t>Huanca Terceros Milan - Isha Luana</t>
  </si>
  <si>
    <t>Montes Fernandez Mateo Andre - Lucas Dario</t>
  </si>
  <si>
    <t>Martinez Guardia Victor Felipe - Victor Sebastian</t>
  </si>
  <si>
    <t>Moreira Jalil Jose Nicolas</t>
  </si>
  <si>
    <t>Obando Choque Jose Matias</t>
  </si>
  <si>
    <t>JUAN JOSE - LITZI</t>
  </si>
  <si>
    <t xml:space="preserve">I1 - 5°Sec </t>
  </si>
  <si>
    <t>Siles Rosas Luciano Vlentin</t>
  </si>
  <si>
    <t>CAMILA - CARLOS</t>
  </si>
  <si>
    <t>MACEDA</t>
  </si>
  <si>
    <t>76478438m/63522212p</t>
  </si>
  <si>
    <t>Salazar Cardona Fabianne</t>
  </si>
  <si>
    <t>I1-1°-3°Prim</t>
  </si>
  <si>
    <t>Maternal - I2</t>
  </si>
  <si>
    <t>Valdez Vargas Novak - Ian</t>
  </si>
  <si>
    <t>Prof. GABRIELA - SAUL</t>
  </si>
  <si>
    <t xml:space="preserve">I2 - 5° Prim </t>
  </si>
  <si>
    <t xml:space="preserve">Mora Illanes Leandro - Dylan </t>
  </si>
  <si>
    <t>Rojas Mora Thiago</t>
  </si>
  <si>
    <t>Prof. MARIVEL - JAIME</t>
  </si>
  <si>
    <t>Prof. CECILIA - RAMIRO</t>
  </si>
  <si>
    <t xml:space="preserve">S/F  </t>
  </si>
  <si>
    <t>I2-3°Prim-1°Sec</t>
  </si>
  <si>
    <t>Prof. DARLIN - FRANK</t>
  </si>
  <si>
    <t>2° - 4°Prim</t>
  </si>
  <si>
    <t>3° - 4° Prim</t>
  </si>
  <si>
    <t>FRANZ RICO</t>
  </si>
  <si>
    <t xml:space="preserve"> 6° Sec</t>
  </si>
  <si>
    <t>4°Sec</t>
  </si>
  <si>
    <t>3°Sec</t>
  </si>
  <si>
    <t>HEIDI - Prof. MARCELO</t>
  </si>
  <si>
    <t>2°P - 5°P - 4°S</t>
  </si>
  <si>
    <t>MAT - 1°Prim</t>
  </si>
  <si>
    <t>Soraire Almanza Joaquin - Adrian</t>
  </si>
  <si>
    <t xml:space="preserve">I2 - 4°Prim  </t>
  </si>
  <si>
    <t>PABLO TORRICO</t>
  </si>
  <si>
    <t>Venegas Arce Julian Horacio</t>
  </si>
  <si>
    <t xml:space="preserve">NATALIA - MIGUEL </t>
  </si>
  <si>
    <t>70764600m/71721286p</t>
  </si>
  <si>
    <t>4°Prim - 1°Sec</t>
  </si>
  <si>
    <t>Valdez Flores Dana Porsha</t>
  </si>
  <si>
    <t>CARMEN - RENE</t>
  </si>
  <si>
    <t>SALAZAR</t>
  </si>
  <si>
    <t>72210602m/79351955p</t>
  </si>
  <si>
    <t>ANDREA - ROLANDO</t>
  </si>
  <si>
    <t>Flores Cespedes Aaron Tony</t>
  </si>
  <si>
    <t>EDITH - OMAR</t>
  </si>
  <si>
    <t>71782252m/76410930p</t>
  </si>
  <si>
    <t>Amurrio Ivanovic Ethan Tomislav</t>
  </si>
  <si>
    <t>60778453m/72720078p</t>
  </si>
  <si>
    <t>KHAREMM - JIMMY</t>
  </si>
  <si>
    <t>CUOTA INICIAL</t>
  </si>
  <si>
    <t>EDWARD - JHOVANA</t>
  </si>
  <si>
    <t>Caero Paredes Gianna - Andy - Lara</t>
  </si>
  <si>
    <t>XIMENA - ANDY</t>
  </si>
  <si>
    <t>77400957m/77956668p</t>
  </si>
  <si>
    <t>Antezana Rojas Santiago Israel - Mateo Isaac</t>
  </si>
  <si>
    <t>Arze Puri Genesis Ainara - Luis Diego</t>
  </si>
  <si>
    <t>Aviles Villalpando Santiago - Martina</t>
  </si>
  <si>
    <t>I1 - 2° - 4Prim</t>
  </si>
  <si>
    <t>1° - 4°Prim</t>
  </si>
  <si>
    <t>1° - 3° - 6°Sec</t>
  </si>
  <si>
    <t>Bispo De Queiroz Pedro</t>
  </si>
  <si>
    <t>FLOR - BRENTON</t>
  </si>
  <si>
    <t>Quiroga Gandarillas Carlos Gabriel</t>
  </si>
  <si>
    <t>GABRIELA - CARLOS</t>
  </si>
  <si>
    <t>CARLOS QUIROGA</t>
  </si>
  <si>
    <t>70718503m/70798969p</t>
  </si>
  <si>
    <t>Ramos Viamont Luna Isabella</t>
  </si>
  <si>
    <t>LUPE - CAMILO</t>
  </si>
  <si>
    <t>76454355m</t>
  </si>
  <si>
    <t xml:space="preserve">Tordoya Cossio Abigail - Ezequiel </t>
  </si>
  <si>
    <t>ARIANE - ROMAN</t>
  </si>
  <si>
    <t>72721455m/72754585p</t>
  </si>
  <si>
    <t>Veselnoi Cahuana Catalina - Zara Luciana</t>
  </si>
  <si>
    <t>4° - 5° Sec</t>
  </si>
  <si>
    <t>CAROLA - NERY</t>
  </si>
  <si>
    <t>72708105m/79388817p</t>
  </si>
  <si>
    <t>Ibañez Sebastian Ignacio</t>
  </si>
  <si>
    <t>CECILIA - FREDDY</t>
  </si>
  <si>
    <t>7790582m/73766897</t>
  </si>
  <si>
    <t>ARCE</t>
  </si>
  <si>
    <t>Ortuño Rivero Yuri Elias</t>
  </si>
  <si>
    <t>LUCIA - YURI</t>
  </si>
  <si>
    <t>ORTUÑO</t>
  </si>
  <si>
    <t>75994707m/67432253p</t>
  </si>
  <si>
    <t>AMURRIO PAGO REPOSICIÓN EN EFECTIVO 1450</t>
  </si>
  <si>
    <t>AMURRIO PAGÓ PRIMERA PENSION DE FEBRERO 1450 CON FACTURA DE COLEGIO 22 Y DE AKADIA 25</t>
  </si>
  <si>
    <t>Lopez Matamoros Andre</t>
  </si>
  <si>
    <t>MARIANELA - RAMIRO</t>
  </si>
  <si>
    <t>RAMIRO LOPEZ ARZE</t>
  </si>
  <si>
    <t>72720085m/71420500p</t>
  </si>
  <si>
    <t>Meneses Acha Gloria - Carola</t>
  </si>
  <si>
    <t>AMURRIO</t>
  </si>
  <si>
    <t>JIMMY AMURRIO</t>
  </si>
  <si>
    <t>AGUILA</t>
  </si>
  <si>
    <t>Pensión Febrero y Marzo</t>
  </si>
  <si>
    <t xml:space="preserve">AGUILA </t>
  </si>
  <si>
    <t>1ra CUOTA - MES FEBRERO</t>
  </si>
  <si>
    <t>1ra CUOTA - FEBRERO</t>
  </si>
  <si>
    <t>ALCOCER</t>
  </si>
  <si>
    <t>ANDRADE</t>
  </si>
  <si>
    <t>ARANDIA</t>
  </si>
  <si>
    <t>175 - 176</t>
  </si>
  <si>
    <t xml:space="preserve">1ra CUOTA - FEBRERO </t>
  </si>
  <si>
    <t>177 - 178</t>
  </si>
  <si>
    <t>INGRESOS REPOSICIÓN PROGRAMA INGLÉS</t>
  </si>
  <si>
    <t>INGRESOS REPOSICIÓN PROGRAMA MONTESSORI</t>
  </si>
  <si>
    <t>INGRESOS PROGRAMA EXTENSIVO INGLÉS</t>
  </si>
  <si>
    <t>INGRESOS PROGRAMA EXTENSIVO MONTESSORI</t>
  </si>
  <si>
    <t>REPOSICIÓN PROGRAMA MONTESSORI</t>
  </si>
  <si>
    <t>ANGULO</t>
  </si>
  <si>
    <t>AGUILAR</t>
  </si>
  <si>
    <t>AYALA</t>
  </si>
  <si>
    <t>ACHA</t>
  </si>
  <si>
    <t>REYNOLDS</t>
  </si>
  <si>
    <t>PROGRAMA INGLES 1ra CUOTA - FEBRERO</t>
  </si>
  <si>
    <t>EID</t>
  </si>
  <si>
    <t xml:space="preserve">1ra CUOTA </t>
  </si>
  <si>
    <t>PRIMERA A DECIMA</t>
  </si>
  <si>
    <t>MAS PROGRAMA DE INGLES DE PRIMERA A DECIMA</t>
  </si>
  <si>
    <t>MAURICIO BELTRAN</t>
  </si>
  <si>
    <t>PRIMERA CUOTA FEBRERO</t>
  </si>
  <si>
    <t>PENSION MES FEBRERO</t>
  </si>
  <si>
    <t>MAURIO BELTRAN</t>
  </si>
  <si>
    <t>A CUENTA REPOSICION</t>
  </si>
  <si>
    <t>AGUAYO</t>
  </si>
  <si>
    <t>BISPO</t>
  </si>
  <si>
    <t>PRIMERA CUOTA - FEBRERO</t>
  </si>
  <si>
    <t>ANAYA</t>
  </si>
  <si>
    <t>Susana Puente</t>
  </si>
  <si>
    <t>INGRESOS REPOSICIÓN PROGRAMA MONTESSORI E INGLÉS</t>
  </si>
  <si>
    <t>INGRESOS PROGRAMA EXTENSIVO MONTESSORI E INGLÉS</t>
  </si>
  <si>
    <t>LISTAS P/EGRESOS</t>
  </si>
  <si>
    <t>PRIMERA Y SEGUNDA CUOTA - FEBRERO Y MARZO</t>
  </si>
  <si>
    <t>ALDAZORO</t>
  </si>
  <si>
    <t>A CUENTA REPOSICIÓN</t>
  </si>
  <si>
    <t>REP</t>
  </si>
  <si>
    <t xml:space="preserve">BARRIENTOS </t>
  </si>
  <si>
    <t>BEJARANO</t>
  </si>
  <si>
    <t>BETTI</t>
  </si>
  <si>
    <t>BECERRA</t>
  </si>
  <si>
    <t>BUITRAGO</t>
  </si>
  <si>
    <t>BUSTILLO</t>
  </si>
  <si>
    <t>BAUTISTA</t>
  </si>
  <si>
    <t>BELLIDO</t>
  </si>
  <si>
    <t>HUMEREZ</t>
  </si>
  <si>
    <t>CAMPOS</t>
  </si>
  <si>
    <t>CAERO</t>
  </si>
  <si>
    <t>SEGUNDA CUOTA - MARZO</t>
  </si>
  <si>
    <t>CARVAJAL ARISPE</t>
  </si>
  <si>
    <t>CASTRO MACHADO</t>
  </si>
  <si>
    <t>CAMACHO REYES</t>
  </si>
  <si>
    <t>CAMPERO SIANCAS</t>
  </si>
  <si>
    <t>PRIMERA A DECIMA CUOTA</t>
  </si>
  <si>
    <t>CONDORI OCHOA</t>
  </si>
  <si>
    <t>CARDOZO FRANCO</t>
  </si>
  <si>
    <t>CORONADO ALVAREZ</t>
  </si>
  <si>
    <t>PRIMERA DECIMA CUOTA</t>
  </si>
  <si>
    <t>CALDERON CALLISAYA</t>
  </si>
  <si>
    <t>PRIMERA CUOTA</t>
  </si>
  <si>
    <t>CAMPOS HERMOSA</t>
  </si>
  <si>
    <t>CONDORI HUANCA</t>
  </si>
  <si>
    <t>CANEDO MENDOZA</t>
  </si>
  <si>
    <t>CHOQUE VEGA</t>
  </si>
  <si>
    <t>CHACON PEREZ</t>
  </si>
  <si>
    <t>CARDOZO</t>
  </si>
  <si>
    <t>CARDENAS MARTINEZ</t>
  </si>
  <si>
    <t>CABALLERO ROJAS</t>
  </si>
  <si>
    <t>CRESPO CABALLERO</t>
  </si>
  <si>
    <t>Coffiel Zambrana Santiago</t>
  </si>
  <si>
    <t>CICELY - FREDDY</t>
  </si>
  <si>
    <t>CICELY ZAMBRANA</t>
  </si>
  <si>
    <t>75989387m/69523674p</t>
  </si>
  <si>
    <t>COFFIEL ZAMBRANA</t>
  </si>
  <si>
    <t>CALBIMONTE ZURITA</t>
  </si>
  <si>
    <t>DIAZ MAGNE</t>
  </si>
  <si>
    <t>ESCOBAR FLORES</t>
  </si>
  <si>
    <t>EROSTEGUI TORREJON</t>
  </si>
  <si>
    <t>ESPINOZA MUÑOZ</t>
  </si>
  <si>
    <t>ESPINOZA RADA</t>
  </si>
  <si>
    <t>FLORES CESPEDES</t>
  </si>
  <si>
    <t>FERNANDEZ LA FUENTE</t>
  </si>
  <si>
    <t>FARRIS BUSTAMANTE</t>
  </si>
  <si>
    <t>REP.</t>
  </si>
  <si>
    <t>FUENTES MANO</t>
  </si>
  <si>
    <t>FIORILO RIVERO</t>
  </si>
  <si>
    <t>PRIMERA CUOTA - MES FEBRERO</t>
  </si>
  <si>
    <t>PRIMERA CUOTA  - FEBRERO</t>
  </si>
  <si>
    <t>A CUENTA PRIMERA CUOTA MES - FEBRERO</t>
  </si>
  <si>
    <t>FERNANDEZ TERRAZAS</t>
  </si>
  <si>
    <t>FANOLA CALDERON</t>
  </si>
  <si>
    <t>FERNANDEZ TAMBO</t>
  </si>
  <si>
    <t>A CUENTA PROGRAMA MES FEBRERO</t>
  </si>
  <si>
    <t>FERNANDEZ VARGAS</t>
  </si>
  <si>
    <t>FERNANDEZ ORELLANA</t>
  </si>
  <si>
    <t>ARNEZ VALLEJO</t>
  </si>
  <si>
    <t>SEGUNDA CUOTA  - MARZO</t>
  </si>
  <si>
    <t>FERREL BENITEZ</t>
  </si>
  <si>
    <t>TRA</t>
  </si>
  <si>
    <t>INGRESOS TRANSPORTE ESCOLAR</t>
  </si>
  <si>
    <t>TRANSPORTE FEBRERO</t>
  </si>
  <si>
    <t>GONZALES PRADA</t>
  </si>
  <si>
    <t xml:space="preserve">AVILES VILLALPANDO </t>
  </si>
  <si>
    <t>GRUEL SARAVIA</t>
  </si>
  <si>
    <t>BARRIENTOS FLORES</t>
  </si>
  <si>
    <t>SEGUNA CUOTA - MARZO</t>
  </si>
  <si>
    <t>SEGUNDA CUOTA - MES MARZO</t>
  </si>
  <si>
    <t>GONZALES BARRIOS</t>
  </si>
  <si>
    <t>GARCIA MENDOZA</t>
  </si>
  <si>
    <t>GUTIERRREZ VARGAS</t>
  </si>
  <si>
    <t>GUTIERREZ VARGAS</t>
  </si>
  <si>
    <t>MAURICO GARRON</t>
  </si>
  <si>
    <t>GARRON GARRON</t>
  </si>
  <si>
    <t>PRIMERA CUOTA -FEBRERO</t>
  </si>
  <si>
    <t>6440329/5230073</t>
  </si>
  <si>
    <t>GUZMAN QUISPE</t>
  </si>
  <si>
    <t>PRIMEWRA CUOTA - FEBRERO</t>
  </si>
  <si>
    <t>GARCIA CESPEDES</t>
  </si>
  <si>
    <t>PABLO GOMEZ</t>
  </si>
  <si>
    <t>GOMEZ MARISCAL</t>
  </si>
  <si>
    <t>PEIMERA CUOTA - FEBRERO</t>
  </si>
  <si>
    <t>GANDARILLAS VALLE</t>
  </si>
  <si>
    <t>HUANCA AMURRIO</t>
  </si>
  <si>
    <t>IBAÑEZ</t>
  </si>
  <si>
    <t>INCHAUSTY VARGAS</t>
  </si>
  <si>
    <t>IRIGOYEN LLOSA</t>
  </si>
  <si>
    <t>JIMENEZ ANCASI</t>
  </si>
  <si>
    <t>JALDIN HERBAS</t>
  </si>
  <si>
    <t>JALIL DE LA ZERDA</t>
  </si>
  <si>
    <t>JALDIN VASQUEZ</t>
  </si>
  <si>
    <t>JIMENEZ QUIROGA</t>
  </si>
  <si>
    <t>BUSTILLO FLORES</t>
  </si>
  <si>
    <t>SEGUNDA CUOTA  - CUOTA</t>
  </si>
  <si>
    <t>LOPEZ MATAMOROS</t>
  </si>
  <si>
    <t>LOPEZ MENDOZA</t>
  </si>
  <si>
    <t>LOPEZ ANDREW</t>
  </si>
  <si>
    <t>LOREDO MOLINA</t>
  </si>
  <si>
    <t>PRIMERA CUOTA - ENERO</t>
  </si>
  <si>
    <t>SEGUNDA CUOTA - FEBRERO</t>
  </si>
  <si>
    <t>LORA ESPINOZA</t>
  </si>
  <si>
    <t>TERCERA CUOTA - ABRIL</t>
  </si>
  <si>
    <t>Camacho Lopez Andres Alejandro</t>
  </si>
  <si>
    <t>NANCY - JUAN</t>
  </si>
  <si>
    <t>LOPEZ</t>
  </si>
  <si>
    <t>63994041m/75465658p</t>
  </si>
  <si>
    <t>CAMACHO LOPEZ</t>
  </si>
  <si>
    <t>SEGUNDA CUOTA FEBRERO</t>
  </si>
  <si>
    <t>PAIGE - EMILIANO</t>
  </si>
  <si>
    <t>77995853m/62619716p</t>
  </si>
  <si>
    <t>Almeida Tobias Beck</t>
  </si>
  <si>
    <t>Rojas Arias Alvaro Fabricio</t>
  </si>
  <si>
    <t>GRISSEL - HECTOR</t>
  </si>
  <si>
    <t>HECTOR ROJAS</t>
  </si>
  <si>
    <t>69545912m/73764802p</t>
  </si>
  <si>
    <t>PENSIONES</t>
  </si>
  <si>
    <t>MEJIA MAREÑO</t>
  </si>
  <si>
    <t>HINOJOSA</t>
  </si>
  <si>
    <t>LARA</t>
  </si>
  <si>
    <t>MURILLO FRONTANILLA</t>
  </si>
  <si>
    <t>MENESES</t>
  </si>
  <si>
    <t>MERCADO GOMEZ</t>
  </si>
  <si>
    <t>MERIDA GUARDIA</t>
  </si>
  <si>
    <t>MERIDA  GUARDIA</t>
  </si>
  <si>
    <t>MALDONADO LOZADA</t>
  </si>
  <si>
    <t>MALDONADO</t>
  </si>
  <si>
    <t>MELGAREJO VILLARROEL</t>
  </si>
  <si>
    <t>MONTAÑO ROSSELL</t>
  </si>
  <si>
    <t>MARISCAL COLL</t>
  </si>
  <si>
    <t>VELASCO ADAD</t>
  </si>
  <si>
    <t>MEJIA RIVERO</t>
  </si>
  <si>
    <t>PENALOZA PRADO</t>
  </si>
  <si>
    <t>PEÑALOZA PRADO</t>
  </si>
  <si>
    <t>ARNEZ VERGARA</t>
  </si>
  <si>
    <t>MERCADO SUAZNABAR</t>
  </si>
  <si>
    <t>BETTI GITIA</t>
  </si>
  <si>
    <t>BETTI GOITIA</t>
  </si>
  <si>
    <t>ARANDIA CAHUANA</t>
  </si>
  <si>
    <t>54-55</t>
  </si>
  <si>
    <t>52-53</t>
  </si>
  <si>
    <t>TERCERA  CUOTA - ABRIL</t>
  </si>
  <si>
    <t>49-50</t>
  </si>
  <si>
    <t>48-51</t>
  </si>
  <si>
    <t>MONTES FERNANDEZ</t>
  </si>
  <si>
    <t>MENECES CHAVARE</t>
  </si>
  <si>
    <t>HINOJOSA MONTOYA</t>
  </si>
  <si>
    <t>MIGUEZ MAGNE</t>
  </si>
  <si>
    <t>MONTAN LEAN</t>
  </si>
  <si>
    <t>MIRANDA VILLARROEL</t>
  </si>
  <si>
    <t>MUNOZ POLGLASE</t>
  </si>
  <si>
    <t>MUNOZ POLGRASE</t>
  </si>
  <si>
    <t>MERCADO ROJAS</t>
  </si>
  <si>
    <t>MERCADO HERRERA</t>
  </si>
  <si>
    <t>MACHADO MENDOZA</t>
  </si>
  <si>
    <t>LUNA QUIROZ</t>
  </si>
  <si>
    <t>LARRAZABAL</t>
  </si>
  <si>
    <t>LORIA ALVAREZ</t>
  </si>
  <si>
    <t>Montan Leal Kyra - Walter Kayron</t>
  </si>
  <si>
    <t>MICHEL KRPAN</t>
  </si>
  <si>
    <t>MARIANNE KRPAN TORRICO</t>
  </si>
  <si>
    <t>MORA ILLANES</t>
  </si>
  <si>
    <t>A CUENTA PRIMERA CUOTA - FEBRERO</t>
  </si>
  <si>
    <t>ALMEIDA</t>
  </si>
  <si>
    <t>INGRESOS PROGRAMA</t>
  </si>
  <si>
    <t>INGRESOS PROGRAMA MONTESSORI MATERNAL</t>
  </si>
  <si>
    <t>PRIMERA CUOTA - MARZO</t>
  </si>
  <si>
    <t>Cho Jaramillo Taesan Zabdiel</t>
  </si>
  <si>
    <t>SILVIA - YONG</t>
  </si>
  <si>
    <t>71469333m</t>
  </si>
  <si>
    <t>OPORTO TRUJILLO</t>
  </si>
  <si>
    <t>ORELLANA BAUTISTA</t>
  </si>
  <si>
    <t>OLMOS DELGADILLO</t>
  </si>
  <si>
    <t>ORTUÑO RIVERO</t>
  </si>
  <si>
    <t>ORTEGA ROJAS</t>
  </si>
  <si>
    <t>PARRADO RUIZ</t>
  </si>
  <si>
    <t>PEREZ ROCABADO</t>
  </si>
  <si>
    <t>PONCE ZURITA</t>
  </si>
  <si>
    <t>PAZ SANTA CRUZ</t>
  </si>
  <si>
    <t>PRIETO GONZALES</t>
  </si>
  <si>
    <t>PEÑARRIETA  NUMBELA</t>
  </si>
  <si>
    <t>PEÑARRIETA NUMBELA</t>
  </si>
  <si>
    <t>PEREZ SUAREZ</t>
  </si>
  <si>
    <t>PARDO LOPEZ</t>
  </si>
  <si>
    <t>PANIAGUA TORRICO</t>
  </si>
  <si>
    <t>PARDO BERNAL</t>
  </si>
  <si>
    <t>PADILLA ALONZO</t>
  </si>
  <si>
    <t>SEGUNDA CUOTA  MARZO</t>
  </si>
  <si>
    <t>SEGUNDA CUOTA MARZO</t>
  </si>
  <si>
    <t>SUSANA - ROBERTO</t>
  </si>
  <si>
    <t>QUIÑONES CRESPO</t>
  </si>
  <si>
    <t>QUIROGA GUERRA</t>
  </si>
  <si>
    <t>QUIROGA RAMIREZ</t>
  </si>
  <si>
    <t>SEGUNA A DECIMA CUOTA</t>
  </si>
  <si>
    <t>SEGUNDA A DECIMA CUOTA</t>
  </si>
  <si>
    <t>CARDENAS</t>
  </si>
  <si>
    <t>73-81</t>
  </si>
  <si>
    <t>79-87</t>
  </si>
  <si>
    <t>Fernandez Lafuente Isabella</t>
  </si>
  <si>
    <t>REVOLLO LOPEZ</t>
  </si>
  <si>
    <t>REVOLLO MEDRANO</t>
  </si>
  <si>
    <t>REVOLLO MEDRANDO</t>
  </si>
  <si>
    <t>ROCABADO ANDIA</t>
  </si>
  <si>
    <t>REVOLLO AQUINO</t>
  </si>
  <si>
    <t>RIOJA TISCO</t>
  </si>
  <si>
    <t>ROJAS ROMAN</t>
  </si>
  <si>
    <t>ROCHA PINTO</t>
  </si>
  <si>
    <t>RIOS QUIROGA</t>
  </si>
  <si>
    <t>RAMOS ROJAS</t>
  </si>
  <si>
    <t>ROSAS URIONA</t>
  </si>
  <si>
    <t>ROMAN SAAVEDRA</t>
  </si>
  <si>
    <t>ROJAS RIOS</t>
  </si>
  <si>
    <t>ROJAS ZACONETA</t>
  </si>
  <si>
    <t>RICO FLORES</t>
  </si>
  <si>
    <t>Robles Mendoza Mariela Valeria</t>
  </si>
  <si>
    <t>Robles Mendoza Maria Victoria</t>
  </si>
  <si>
    <t>QUIROGA GANDARILLAS</t>
  </si>
  <si>
    <t>ARNEZ ALMANZA</t>
  </si>
  <si>
    <t>ROCABADO</t>
  </si>
  <si>
    <t>SAAVEDRA BUSTAMANTE</t>
  </si>
  <si>
    <t>SEJAS ZURITA</t>
  </si>
  <si>
    <t>SALAMANCA SORIANO</t>
  </si>
  <si>
    <t>PRIMERA CUOTA - FEBERRO</t>
  </si>
  <si>
    <t>SOTOMAYOR CANEDO</t>
  </si>
  <si>
    <t>SANCHEZ ZENTENO</t>
  </si>
  <si>
    <t>TORDOYA GONZALES</t>
  </si>
  <si>
    <t>TERAN GALARZA</t>
  </si>
  <si>
    <t>TORRICO GUILLEN</t>
  </si>
  <si>
    <t>TERRAZAS DAZA</t>
  </si>
  <si>
    <t>TAYA CARMONA</t>
  </si>
  <si>
    <t>TRIVEÑO RUIZ</t>
  </si>
  <si>
    <t>TRUJILLO CASTRO</t>
  </si>
  <si>
    <t>PREIMERA CUOTA - FEBRERO</t>
  </si>
  <si>
    <t>TORIICO VIDAURRE</t>
  </si>
  <si>
    <t>TORRICO QUEZADA</t>
  </si>
  <si>
    <t>GUZMAN</t>
  </si>
  <si>
    <t>URIONA ZURITA</t>
  </si>
  <si>
    <t>USTARIZ SAN MARTIN</t>
  </si>
  <si>
    <t>RUIZ WILMA/ZARA SAN MARTIN</t>
  </si>
  <si>
    <t>815393/5921753</t>
  </si>
  <si>
    <t>VILLARROEL BUSTAMANTE</t>
  </si>
  <si>
    <t>VIDAURRE GALINDO</t>
  </si>
  <si>
    <t>Velasco Adad Dayanara</t>
  </si>
  <si>
    <t>JUANITA - ROBERTO</t>
  </si>
  <si>
    <t>ROBERTO VELASCO BACIGALUPO</t>
  </si>
  <si>
    <t>VARGAS SALAZAR</t>
  </si>
  <si>
    <t>77467615m</t>
  </si>
  <si>
    <t>ROJAS/BALDELOMAR</t>
  </si>
  <si>
    <t>2891155/6290412</t>
  </si>
  <si>
    <t>VEGA FLORERO</t>
  </si>
  <si>
    <t>VALLEJOS MAMANI</t>
  </si>
  <si>
    <t>VILLARREAL PARIENTE</t>
  </si>
  <si>
    <t>VALDEZ FLORES</t>
  </si>
  <si>
    <t>VESELNOI CAHUANA</t>
  </si>
  <si>
    <t>VESELNOI</t>
  </si>
  <si>
    <t>VACA MONTAÑO</t>
  </si>
  <si>
    <t>VEIZAGA AGUILAR</t>
  </si>
  <si>
    <t>VARGAS SUAREZ</t>
  </si>
  <si>
    <t>VARGAS-MAGNE</t>
  </si>
  <si>
    <t>VILLARROEL ROJAS</t>
  </si>
  <si>
    <t>VIVIANI HINOJOSA</t>
  </si>
  <si>
    <t>VALDEZ VARGAS</t>
  </si>
  <si>
    <t>PRIEMERA CUOTA - FEBRERO</t>
  </si>
  <si>
    <t>VARGAS GOMEZ</t>
  </si>
  <si>
    <t>VERA LEDEZMA</t>
  </si>
  <si>
    <t>VILLARROEL VLAHOVIC</t>
  </si>
  <si>
    <t>ZAPATA VELASCO</t>
  </si>
  <si>
    <t>ZEMA NUÑEZ</t>
  </si>
  <si>
    <t>ZAMBRANA ALVAREZ</t>
  </si>
  <si>
    <t>ZENTENO TOMAS</t>
  </si>
  <si>
    <t>Mejia Rivero Luana</t>
  </si>
  <si>
    <t>MALVINA - ARMANDO</t>
  </si>
  <si>
    <t>ALEX ARMANDO MEJIA SUAREZ</t>
  </si>
  <si>
    <t>72816413m/71609752</t>
  </si>
  <si>
    <t>MARCIANDI GONGORA</t>
  </si>
  <si>
    <t>OLARTE FUENTES</t>
  </si>
  <si>
    <t>ROBLES MENDOZA</t>
  </si>
  <si>
    <t>A CUENTA PENSION ESCOLAR</t>
  </si>
  <si>
    <t>ROJAS ARIAS</t>
  </si>
  <si>
    <t>ROJAS MORA</t>
  </si>
  <si>
    <t>PRIMERA CUOTA -  FEBRERO</t>
  </si>
  <si>
    <t>SEGUEL CHOPITEA</t>
  </si>
  <si>
    <t>SILES MARISCAL</t>
  </si>
  <si>
    <t>SANTELICES CHAVEZ</t>
  </si>
  <si>
    <t>SAAVEDRA ALVAREZ</t>
  </si>
  <si>
    <t>SORIA CAMARGO</t>
  </si>
  <si>
    <t>SORIA</t>
  </si>
  <si>
    <t>SEJAS ROJAS</t>
  </si>
  <si>
    <t>SANZETENEA ZAMBRANA</t>
  </si>
  <si>
    <t>SERRUDO CAMPOS</t>
  </si>
  <si>
    <t>SILES ROSAS</t>
  </si>
  <si>
    <t>SEJAS ZAPATA</t>
  </si>
  <si>
    <t>SOLIS ROCHA</t>
  </si>
  <si>
    <t>SOLIS ROCHAS</t>
  </si>
  <si>
    <t>SANCHEZ AGUIRRE</t>
  </si>
  <si>
    <t>SOLIS BUSTAMANTE</t>
  </si>
  <si>
    <t>SANABRIA CORONEL</t>
  </si>
  <si>
    <t>SALGUERO SUAZNABAR</t>
  </si>
  <si>
    <t>SANDOVAL GUZMAN</t>
  </si>
  <si>
    <t>SALAZAR MARIACA</t>
  </si>
  <si>
    <t>SALAZAR BOZO</t>
  </si>
  <si>
    <t>SAUNERO</t>
  </si>
  <si>
    <t>SAUNERO DE LOS RIOS</t>
  </si>
  <si>
    <t>TABORGA</t>
  </si>
  <si>
    <t>PRIMERA CUTA - FEBRERO</t>
  </si>
  <si>
    <t>QUIROGA</t>
  </si>
  <si>
    <t>REVOLLO</t>
  </si>
  <si>
    <t>URIONA</t>
  </si>
  <si>
    <t>VACA</t>
  </si>
  <si>
    <t>PATINO</t>
  </si>
  <si>
    <t>DEPOSITO EL 08/01/2024</t>
  </si>
  <si>
    <t>PATIÑO</t>
  </si>
  <si>
    <t>EUGENIA CONDORI</t>
  </si>
  <si>
    <t>1RA CUOTA FEBRERO</t>
  </si>
  <si>
    <t>JALIL</t>
  </si>
  <si>
    <t>Bejarano Bianchi Ezequiel - Giancarlo - Micaela</t>
  </si>
  <si>
    <t>MAT-INI-PRIM</t>
  </si>
  <si>
    <t>Mat-I1-2° Prim</t>
  </si>
  <si>
    <t>INSCRIPCION DE GIANCARLO Y MICAELA BEJARANO</t>
  </si>
  <si>
    <t>1RA CUOTA FEBRERO EZEQUIEL BEJARANO</t>
  </si>
  <si>
    <t>2DA CUOTA MARZO EZEQUIEL, GIANCARLO Y MICAELA</t>
  </si>
  <si>
    <t>MONTES</t>
  </si>
  <si>
    <t>2da cuota MARZO</t>
  </si>
  <si>
    <t>2DA CUOTA MARZO</t>
  </si>
  <si>
    <t>2DA CUOTA MARZO COMPLETO DE EZEQUIEL, GIANCARLO Y MICAELA DESDE EL 11 DE MARO</t>
  </si>
  <si>
    <t>PRIMERA CUOTA MARZO</t>
  </si>
  <si>
    <t>ORTEGA ESCUDERO</t>
  </si>
  <si>
    <t>PRIMERA Y SEGUNDA CUOTA MESES FEBRERO Y MARZO</t>
  </si>
  <si>
    <t>INCHAUSTY</t>
  </si>
  <si>
    <t>RECIBO ANULADO</t>
  </si>
  <si>
    <t>INSCRIPCION SOPHIE MARCIANDI</t>
  </si>
  <si>
    <t>Chacon Perez Sissy - Bruno - Sofia</t>
  </si>
  <si>
    <t xml:space="preserve">Mat-2°Prim - 2°Sec </t>
  </si>
  <si>
    <t>MAT-PRIM-SEC</t>
  </si>
  <si>
    <t>SALINAS</t>
  </si>
  <si>
    <t>PPRIMERA CUOTA FEBRERO</t>
  </si>
  <si>
    <t>BELTRAN</t>
  </si>
  <si>
    <t>A/C REPOSICION PROGRAMA</t>
  </si>
  <si>
    <t>VADAURRE</t>
  </si>
  <si>
    <t xml:space="preserve">PRIMERA CUOTA </t>
  </si>
  <si>
    <t>MARCELA TORRICO</t>
  </si>
  <si>
    <t>1RA CUOTA MES FEBRERO</t>
  </si>
  <si>
    <t>TERCERA CUOTA ABRIL</t>
  </si>
  <si>
    <t>INGRESOS ANULADO</t>
  </si>
  <si>
    <t>ANULADO</t>
  </si>
  <si>
    <t>RECIBO 646 ANULADO</t>
  </si>
  <si>
    <t>RECIBO N 656 ANULADO</t>
  </si>
  <si>
    <t>INGRESOS OTROS 1</t>
  </si>
  <si>
    <t>2DA CUOTA MES MARZO</t>
  </si>
  <si>
    <t>recibo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</si>
</sst>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Bs&quot;#,##0;\-&quot;Bs&quot;#,##0"/>
    <numFmt numFmtId="44" formatCode="_-&quot;Bs&quot;* #,##0.00_-;\-&quot;Bs&quot;* #,##0.00_-;_-&quot;Bs&quot;* &quot;-&quot;??_-;_-@_-"/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&quot;Bs&quot;#,##0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Rockwell"/>
      <family val="1"/>
    </font>
    <font>
      <b/>
      <sz val="11"/>
      <color theme="1"/>
      <name val="Rockwell"/>
      <family val="1"/>
    </font>
    <font>
      <b/>
      <sz val="12"/>
      <color theme="1"/>
      <name val="Rockwell"/>
      <family val="1"/>
    </font>
    <font>
      <b/>
      <sz val="14"/>
      <color theme="1"/>
      <name val="Rockwell"/>
      <family val="1"/>
    </font>
    <font>
      <b/>
      <sz val="16"/>
      <color theme="1"/>
      <name val="Rockwell"/>
      <family val="1"/>
    </font>
    <font>
      <b/>
      <sz val="22"/>
      <color theme="1"/>
      <name val="Rockwell"/>
      <family val="1"/>
    </font>
    <font>
      <sz val="11"/>
      <color theme="1"/>
      <name val="Calibri"/>
      <family val="2"/>
      <scheme val="minor"/>
    </font>
    <font>
      <sz val="12"/>
      <color theme="1"/>
      <name val="Rockwell"/>
      <family val="1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Rockwell"/>
      <family val="1"/>
    </font>
    <font>
      <b/>
      <sz val="16"/>
      <color rgb="FFFF0000"/>
      <name val="Rockwell"/>
      <family val="1"/>
    </font>
    <font>
      <b/>
      <sz val="18"/>
      <color rgb="FFFF0000"/>
      <name val="Rockwell"/>
      <family val="1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14"/>
      <color rgb="FFFF0000"/>
      <name val="Berlin Sans FB Demi"/>
      <family val="2"/>
    </font>
    <font>
      <b/>
      <sz val="18"/>
      <color rgb="FFFF0000"/>
      <name val="Berlin Sans FB Demi"/>
      <family val="2"/>
    </font>
    <font>
      <sz val="13"/>
      <color theme="1"/>
      <name val="Rockwell"/>
      <family val="1"/>
    </font>
    <font>
      <b/>
      <sz val="13"/>
      <color theme="1"/>
      <name val="Rockwell"/>
      <family val="1"/>
    </font>
    <font>
      <sz val="14"/>
      <color theme="1"/>
      <name val="Rockwell"/>
      <family val="1"/>
    </font>
    <font>
      <sz val="20"/>
      <name val="Rockwell"/>
      <family val="1"/>
    </font>
    <font>
      <sz val="10"/>
      <color theme="1"/>
      <name val="Rockwell"/>
      <family val="1"/>
    </font>
    <font>
      <b/>
      <sz val="10"/>
      <color theme="1"/>
      <name val="Rockwell"/>
      <family val="1"/>
    </font>
    <font>
      <b/>
      <sz val="9"/>
      <color theme="1"/>
      <name val="Rockwell"/>
      <family val="1"/>
    </font>
    <font>
      <sz val="10"/>
      <name val="Arial"/>
      <family val="2"/>
    </font>
    <font>
      <b/>
      <sz val="18"/>
      <color theme="0"/>
      <name val="Rockwell"/>
      <family val="1"/>
    </font>
    <font>
      <u/>
      <sz val="12"/>
      <color theme="1"/>
      <name val="Rockwell"/>
      <family val="1"/>
    </font>
    <font>
      <sz val="16"/>
      <color theme="1"/>
      <name val="Rockwell"/>
      <family val="1"/>
    </font>
    <font>
      <sz val="12"/>
      <color theme="1"/>
      <name val="Calibri"/>
      <family val="2"/>
      <scheme val="minor"/>
    </font>
    <font>
      <sz val="12"/>
      <name val="Rockwell"/>
      <family val="1"/>
    </font>
    <font>
      <sz val="12"/>
      <color theme="0"/>
      <name val="Rockwell"/>
      <family val="1"/>
    </font>
    <font>
      <b/>
      <sz val="10"/>
      <name val="Rockwell"/>
      <family val="1"/>
    </font>
    <font>
      <sz val="10"/>
      <name val="Rockwell"/>
      <family val="1"/>
    </font>
    <font>
      <b/>
      <sz val="16"/>
      <name val="Rockwell"/>
      <family val="1"/>
    </font>
    <font>
      <u/>
      <sz val="12"/>
      <name val="Rockwell"/>
      <family val="1"/>
    </font>
    <font>
      <b/>
      <u/>
      <sz val="10"/>
      <color theme="1"/>
      <name val="Rockwell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CF5E7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E64AA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30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33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2" borderId="13" xfId="0" applyFont="1" applyFill="1" applyBorder="1"/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/>
    <xf numFmtId="0" fontId="6" fillId="2" borderId="14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165" fontId="0" fillId="0" borderId="0" xfId="0" applyNumberFormat="1"/>
    <xf numFmtId="0" fontId="5" fillId="0" borderId="0" xfId="0" applyFont="1"/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6" fillId="0" borderId="10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23" fillId="0" borderId="5" xfId="0" applyFont="1" applyBorder="1"/>
    <xf numFmtId="0" fontId="23" fillId="0" borderId="0" xfId="0" applyFont="1"/>
    <xf numFmtId="0" fontId="23" fillId="0" borderId="6" xfId="0" applyFont="1" applyBorder="1"/>
    <xf numFmtId="0" fontId="24" fillId="0" borderId="0" xfId="0" applyFont="1"/>
    <xf numFmtId="0" fontId="24" fillId="0" borderId="6" xfId="0" applyFont="1" applyBorder="1"/>
    <xf numFmtId="0" fontId="23" fillId="0" borderId="5" xfId="0" quotePrefix="1" applyFont="1" applyBorder="1"/>
    <xf numFmtId="0" fontId="23" fillId="0" borderId="0" xfId="0" quotePrefix="1" applyFont="1"/>
    <xf numFmtId="0" fontId="23" fillId="0" borderId="7" xfId="0" quotePrefix="1" applyFont="1" applyBorder="1"/>
    <xf numFmtId="0" fontId="23" fillId="0" borderId="8" xfId="0" applyFont="1" applyBorder="1"/>
    <xf numFmtId="0" fontId="23" fillId="0" borderId="9" xfId="0" applyFont="1" applyBorder="1"/>
    <xf numFmtId="0" fontId="23" fillId="0" borderId="8" xfId="0" quotePrefix="1" applyFont="1" applyBorder="1"/>
    <xf numFmtId="0" fontId="24" fillId="0" borderId="8" xfId="0" applyFont="1" applyBorder="1"/>
    <xf numFmtId="0" fontId="24" fillId="0" borderId="9" xfId="0" applyFont="1" applyBorder="1"/>
    <xf numFmtId="0" fontId="12" fillId="0" borderId="0" xfId="0" applyFont="1"/>
    <xf numFmtId="0" fontId="2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2" fillId="8" borderId="1" xfId="0" applyFont="1" applyFill="1" applyBorder="1"/>
    <xf numFmtId="0" fontId="12" fillId="7" borderId="1" xfId="0" applyFon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4" xfId="0" applyBorder="1" applyProtection="1">
      <protection locked="0"/>
    </xf>
    <xf numFmtId="0" fontId="0" fillId="0" borderId="1" xfId="0" applyBorder="1" applyProtection="1">
      <protection locked="0"/>
    </xf>
    <xf numFmtId="0" fontId="38" fillId="0" borderId="0" xfId="3" applyFont="1"/>
    <xf numFmtId="0" fontId="38" fillId="0" borderId="0" xfId="3" applyFont="1" applyAlignment="1">
      <alignment horizontal="center"/>
    </xf>
    <xf numFmtId="0" fontId="38" fillId="0" borderId="31" xfId="3" applyFont="1" applyBorder="1" applyAlignment="1">
      <alignment horizontal="center"/>
    </xf>
    <xf numFmtId="2" fontId="38" fillId="0" borderId="14" xfId="3" applyNumberFormat="1" applyFont="1" applyBorder="1" applyAlignment="1">
      <alignment horizontal="center"/>
    </xf>
    <xf numFmtId="0" fontId="37" fillId="15" borderId="1" xfId="3" applyFont="1" applyFill="1" applyBorder="1" applyAlignment="1">
      <alignment horizontal="center"/>
    </xf>
    <xf numFmtId="0" fontId="38" fillId="15" borderId="1" xfId="3" applyFont="1" applyFill="1" applyBorder="1"/>
    <xf numFmtId="2" fontId="37" fillId="15" borderId="1" xfId="3" applyNumberFormat="1" applyFont="1" applyFill="1" applyBorder="1" applyAlignment="1">
      <alignment horizontal="center"/>
    </xf>
    <xf numFmtId="0" fontId="37" fillId="15" borderId="1" xfId="3" applyFont="1" applyFill="1" applyBorder="1"/>
    <xf numFmtId="2" fontId="37" fillId="15" borderId="1" xfId="3" applyNumberFormat="1" applyFont="1" applyFill="1" applyBorder="1"/>
    <xf numFmtId="0" fontId="37" fillId="15" borderId="1" xfId="3" applyFont="1" applyFill="1" applyBorder="1" applyAlignment="1">
      <alignment horizontal="center" vertical="center"/>
    </xf>
    <xf numFmtId="2" fontId="37" fillId="15" borderId="1" xfId="3" applyNumberFormat="1" applyFont="1" applyFill="1" applyBorder="1" applyAlignment="1">
      <alignment horizontal="center" vertical="center"/>
    </xf>
    <xf numFmtId="0" fontId="38" fillId="0" borderId="0" xfId="3" applyFont="1" applyAlignment="1">
      <alignment horizontal="center" vertical="center"/>
    </xf>
    <xf numFmtId="0" fontId="38" fillId="15" borderId="1" xfId="3" applyFont="1" applyFill="1" applyBorder="1" applyAlignment="1">
      <alignment horizontal="center"/>
    </xf>
    <xf numFmtId="2" fontId="38" fillId="15" borderId="1" xfId="3" applyNumberFormat="1" applyFont="1" applyFill="1" applyBorder="1" applyAlignment="1">
      <alignment horizontal="center"/>
    </xf>
    <xf numFmtId="0" fontId="38" fillId="0" borderId="1" xfId="3" applyFont="1" applyBorder="1" applyAlignment="1" applyProtection="1">
      <alignment horizontal="center"/>
      <protection locked="0"/>
    </xf>
    <xf numFmtId="2" fontId="38" fillId="0" borderId="1" xfId="3" applyNumberFormat="1" applyFont="1" applyBorder="1" applyAlignment="1" applyProtection="1">
      <alignment horizontal="center"/>
      <protection locked="0"/>
    </xf>
    <xf numFmtId="0" fontId="38" fillId="0" borderId="1" xfId="3" applyFont="1" applyBorder="1" applyProtection="1">
      <protection locked="0"/>
    </xf>
    <xf numFmtId="0" fontId="12" fillId="14" borderId="29" xfId="0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165" fontId="0" fillId="0" borderId="1" xfId="0" applyNumberFormat="1" applyBorder="1"/>
    <xf numFmtId="0" fontId="12" fillId="4" borderId="1" xfId="0" applyFont="1" applyFill="1" applyBorder="1"/>
    <xf numFmtId="0" fontId="8" fillId="0" borderId="18" xfId="0" applyFont="1" applyBorder="1"/>
    <xf numFmtId="0" fontId="7" fillId="14" borderId="29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14" fontId="12" fillId="0" borderId="0" xfId="0" applyNumberFormat="1" applyFont="1"/>
    <xf numFmtId="0" fontId="32" fillId="0" borderId="0" xfId="0" applyFont="1" applyAlignment="1">
      <alignment horizontal="center" vertical="center"/>
    </xf>
    <xf numFmtId="166" fontId="12" fillId="0" borderId="0" xfId="0" applyNumberFormat="1" applyFont="1"/>
    <xf numFmtId="0" fontId="12" fillId="0" borderId="0" xfId="0" applyFont="1" applyAlignment="1">
      <alignment horizontal="center" vertical="center"/>
    </xf>
    <xf numFmtId="0" fontId="25" fillId="0" borderId="0" xfId="0" applyFont="1"/>
    <xf numFmtId="166" fontId="25" fillId="9" borderId="14" xfId="0" applyNumberFormat="1" applyFont="1" applyFill="1" applyBorder="1"/>
    <xf numFmtId="166" fontId="25" fillId="5" borderId="14" xfId="0" applyNumberFormat="1" applyFont="1" applyFill="1" applyBorder="1"/>
    <xf numFmtId="0" fontId="8" fillId="6" borderId="19" xfId="0" applyFont="1" applyFill="1" applyBorder="1"/>
    <xf numFmtId="0" fontId="8" fillId="6" borderId="20" xfId="0" applyFont="1" applyFill="1" applyBorder="1"/>
    <xf numFmtId="166" fontId="8" fillId="6" borderId="14" xfId="0" applyNumberFormat="1" applyFont="1" applyFill="1" applyBorder="1"/>
    <xf numFmtId="166" fontId="8" fillId="0" borderId="22" xfId="0" applyNumberFormat="1" applyFont="1" applyBorder="1"/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left" vertical="center"/>
    </xf>
    <xf numFmtId="0" fontId="12" fillId="0" borderId="2" xfId="0" applyFont="1" applyBorder="1"/>
    <xf numFmtId="0" fontId="12" fillId="0" borderId="3" xfId="0" applyFont="1" applyBorder="1"/>
    <xf numFmtId="0" fontId="12" fillId="0" borderId="4" xfId="0" applyFont="1" applyBorder="1"/>
    <xf numFmtId="0" fontId="12" fillId="0" borderId="5" xfId="0" applyFont="1" applyBorder="1"/>
    <xf numFmtId="0" fontId="12" fillId="0" borderId="6" xfId="0" applyFont="1" applyBorder="1"/>
    <xf numFmtId="0" fontId="27" fillId="0" borderId="0" xfId="0" applyFont="1" applyAlignment="1">
      <alignment horizontal="center"/>
    </xf>
    <xf numFmtId="0" fontId="36" fillId="13" borderId="0" xfId="0" applyFont="1" applyFill="1"/>
    <xf numFmtId="0" fontId="29" fillId="0" borderId="1" xfId="0" applyFont="1" applyBorder="1" applyAlignment="1">
      <alignment horizontal="center" vertical="center"/>
    </xf>
    <xf numFmtId="0" fontId="7" fillId="0" borderId="1" xfId="0" applyFont="1" applyBorder="1"/>
    <xf numFmtId="0" fontId="12" fillId="0" borderId="1" xfId="0" applyFont="1" applyBorder="1" applyAlignment="1">
      <alignment horizontal="center"/>
    </xf>
    <xf numFmtId="5" fontId="12" fillId="0" borderId="1" xfId="2" applyNumberFormat="1" applyFont="1" applyBorder="1" applyAlignment="1" applyProtection="1">
      <alignment horizontal="center"/>
    </xf>
    <xf numFmtId="0" fontId="7" fillId="0" borderId="1" xfId="0" applyFont="1" applyBorder="1" applyAlignment="1">
      <alignment wrapText="1"/>
    </xf>
    <xf numFmtId="0" fontId="12" fillId="0" borderId="0" xfId="0" applyFont="1" applyAlignment="1">
      <alignment horizontal="right"/>
    </xf>
    <xf numFmtId="0" fontId="7" fillId="0" borderId="0" xfId="0" applyFont="1"/>
    <xf numFmtId="0" fontId="12" fillId="0" borderId="7" xfId="0" applyFont="1" applyBorder="1"/>
    <xf numFmtId="0" fontId="12" fillId="0" borderId="8" xfId="0" applyFont="1" applyBorder="1"/>
    <xf numFmtId="0" fontId="12" fillId="0" borderId="9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12" fillId="8" borderId="14" xfId="0" applyFont="1" applyFill="1" applyBorder="1"/>
    <xf numFmtId="44" fontId="35" fillId="8" borderId="14" xfId="2" applyFont="1" applyFill="1" applyBorder="1" applyAlignment="1" applyProtection="1">
      <alignment horizontal="left" vertical="center"/>
    </xf>
    <xf numFmtId="0" fontId="40" fillId="8" borderId="1" xfId="2" applyNumberFormat="1" applyFont="1" applyFill="1" applyBorder="1" applyAlignment="1" applyProtection="1">
      <alignment horizontal="right" vertical="center"/>
    </xf>
    <xf numFmtId="44" fontId="35" fillId="8" borderId="1" xfId="2" applyFont="1" applyFill="1" applyBorder="1" applyAlignment="1" applyProtection="1">
      <alignment horizontal="left" vertical="center"/>
    </xf>
    <xf numFmtId="0" fontId="35" fillId="8" borderId="1" xfId="2" applyNumberFormat="1" applyFont="1" applyFill="1" applyBorder="1" applyAlignment="1" applyProtection="1">
      <alignment horizontal="right" vertical="center"/>
    </xf>
    <xf numFmtId="44" fontId="35" fillId="8" borderId="1" xfId="2" applyFont="1" applyFill="1" applyBorder="1" applyAlignment="1" applyProtection="1">
      <alignment horizontal="left" vertical="center" wrapText="1"/>
    </xf>
    <xf numFmtId="0" fontId="35" fillId="8" borderId="1" xfId="2" applyNumberFormat="1" applyFont="1" applyFill="1" applyBorder="1" applyAlignment="1" applyProtection="1">
      <alignment horizontal="right" vertical="center" wrapText="1"/>
    </xf>
    <xf numFmtId="0" fontId="27" fillId="0" borderId="1" xfId="0" applyFont="1" applyBorder="1" applyAlignment="1">
      <alignment horizontal="center" vertical="center" wrapText="1"/>
    </xf>
    <xf numFmtId="0" fontId="0" fillId="8" borderId="0" xfId="0" applyFill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0" fillId="16" borderId="0" xfId="0" applyFill="1"/>
    <xf numFmtId="0" fontId="14" fillId="2" borderId="1" xfId="0" applyFont="1" applyFill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14" fillId="2" borderId="1" xfId="0" applyFont="1" applyFill="1" applyBorder="1" applyAlignment="1">
      <alignment horizontal="right" vertical="center"/>
    </xf>
    <xf numFmtId="0" fontId="2" fillId="0" borderId="1" xfId="0" applyFont="1" applyBorder="1"/>
    <xf numFmtId="0" fontId="0" fillId="0" borderId="1" xfId="0" quotePrefix="1" applyBorder="1"/>
    <xf numFmtId="0" fontId="0" fillId="0" borderId="1" xfId="0" quotePrefix="1" applyBorder="1" applyAlignment="1">
      <alignment horizontal="right"/>
    </xf>
    <xf numFmtId="0" fontId="2" fillId="0" borderId="1" xfId="0" applyFont="1" applyBorder="1" applyAlignment="1">
      <alignment horizontal="left" vertical="center"/>
    </xf>
    <xf numFmtId="0" fontId="2" fillId="0" borderId="1" xfId="0" quotePrefix="1" applyFont="1" applyBorder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4" fillId="0" borderId="1" xfId="0" applyFont="1" applyBorder="1" applyAlignment="1" applyProtection="1">
      <alignment horizontal="left" vertical="center"/>
      <protection locked="0"/>
    </xf>
    <xf numFmtId="0" fontId="0" fillId="0" borderId="30" xfId="0" applyBorder="1"/>
    <xf numFmtId="0" fontId="0" fillId="0" borderId="1" xfId="1" applyNumberFormat="1" applyFont="1" applyFill="1" applyBorder="1" applyAlignment="1" applyProtection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7" fillId="14" borderId="29" xfId="0" applyFont="1" applyFill="1" applyBorder="1" applyAlignment="1">
      <alignment horizontal="center" vertical="center"/>
    </xf>
    <xf numFmtId="0" fontId="38" fillId="0" borderId="1" xfId="3" applyFont="1" applyBorder="1" applyAlignment="1" applyProtection="1">
      <alignment horizontal="left" vertical="center"/>
      <protection locked="0"/>
    </xf>
    <xf numFmtId="0" fontId="28" fillId="0" borderId="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2" fontId="7" fillId="11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8" fillId="11" borderId="24" xfId="0" applyFont="1" applyFill="1" applyBorder="1" applyAlignment="1">
      <alignment horizontal="center" vertical="center" wrapText="1"/>
    </xf>
    <xf numFmtId="0" fontId="28" fillId="11" borderId="25" xfId="0" applyFont="1" applyFill="1" applyBorder="1" applyAlignment="1">
      <alignment horizontal="center" vertical="center" wrapText="1"/>
    </xf>
    <xf numFmtId="0" fontId="28" fillId="11" borderId="26" xfId="0" applyFont="1" applyFill="1" applyBorder="1" applyAlignment="1">
      <alignment horizontal="center" vertical="center" wrapText="1"/>
    </xf>
    <xf numFmtId="0" fontId="28" fillId="11" borderId="27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/>
    </xf>
    <xf numFmtId="0" fontId="28" fillId="8" borderId="17" xfId="0" applyFont="1" applyFill="1" applyBorder="1" applyAlignment="1">
      <alignment horizontal="center" vertical="center"/>
    </xf>
    <xf numFmtId="0" fontId="28" fillId="8" borderId="25" xfId="0" applyFont="1" applyFill="1" applyBorder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23" xfId="0" applyFont="1" applyFill="1" applyBorder="1" applyAlignment="1">
      <alignment horizontal="center" vertical="center"/>
    </xf>
    <xf numFmtId="0" fontId="28" fillId="8" borderId="27" xfId="0" applyFont="1" applyFill="1" applyBorder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17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8" fillId="14" borderId="23" xfId="0" applyFont="1" applyFill="1" applyBorder="1" applyAlignment="1">
      <alignment horizontal="center" vertical="center"/>
    </xf>
    <xf numFmtId="0" fontId="28" fillId="14" borderId="27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8" fillId="0" borderId="1" xfId="0" applyFont="1" applyBorder="1" applyAlignment="1">
      <alignment horizontal="left" vertical="center" wrapText="1"/>
    </xf>
    <xf numFmtId="165" fontId="12" fillId="0" borderId="0" xfId="0" applyNumberFormat="1" applyFont="1" applyAlignment="1">
      <alignment horizontal="left" vertical="center"/>
    </xf>
    <xf numFmtId="0" fontId="12" fillId="0" borderId="28" xfId="0" applyFont="1" applyBorder="1" applyAlignment="1">
      <alignment horizontal="center"/>
    </xf>
    <xf numFmtId="0" fontId="12" fillId="0" borderId="13" xfId="0" applyFont="1" applyBorder="1" applyAlignment="1">
      <alignment horizontal="center" vertical="top"/>
    </xf>
    <xf numFmtId="0" fontId="12" fillId="0" borderId="30" xfId="0" applyFont="1" applyBorder="1" applyAlignment="1">
      <alignment horizontal="center" vertical="top"/>
    </xf>
    <xf numFmtId="0" fontId="12" fillId="0" borderId="14" xfId="0" applyFont="1" applyBorder="1" applyAlignment="1">
      <alignment horizontal="center" vertical="top"/>
    </xf>
    <xf numFmtId="0" fontId="28" fillId="11" borderId="17" xfId="0" applyFont="1" applyFill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31" xfId="0" applyFont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8" fillId="0" borderId="24" xfId="0" applyFont="1" applyBorder="1" applyAlignment="1">
      <alignment horizontal="center" vertical="center" wrapText="1"/>
    </xf>
    <xf numFmtId="0" fontId="28" fillId="0" borderId="25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 wrapText="1"/>
    </xf>
    <xf numFmtId="0" fontId="33" fillId="12" borderId="21" xfId="0" applyFont="1" applyFill="1" applyBorder="1" applyAlignment="1">
      <alignment horizontal="center" vertical="center"/>
    </xf>
    <xf numFmtId="44" fontId="12" fillId="0" borderId="1" xfId="2" applyFont="1" applyBorder="1" applyAlignment="1" applyProtection="1">
      <alignment horizontal="center" vertical="center"/>
    </xf>
    <xf numFmtId="0" fontId="28" fillId="0" borderId="1" xfId="0" applyFont="1" applyBorder="1" applyAlignment="1">
      <alignment horizontal="center" wrapText="1"/>
    </xf>
    <xf numFmtId="44" fontId="12" fillId="0" borderId="1" xfId="2" applyFont="1" applyBorder="1" applyAlignment="1" applyProtection="1">
      <alignment horizontal="center"/>
    </xf>
    <xf numFmtId="44" fontId="12" fillId="0" borderId="1" xfId="2" applyFont="1" applyBorder="1" applyAlignment="1" applyProtection="1">
      <alignment horizontal="center" wrapText="1"/>
    </xf>
    <xf numFmtId="0" fontId="28" fillId="11" borderId="24" xfId="0" applyFont="1" applyFill="1" applyBorder="1" applyAlignment="1" applyProtection="1">
      <alignment horizontal="center" vertical="center" wrapText="1"/>
      <protection locked="0"/>
    </xf>
    <xf numFmtId="0" fontId="28" fillId="11" borderId="25" xfId="0" applyFont="1" applyFill="1" applyBorder="1" applyAlignment="1" applyProtection="1">
      <alignment horizontal="center" vertical="center" wrapText="1"/>
      <protection locked="0"/>
    </xf>
    <xf numFmtId="0" fontId="28" fillId="11" borderId="26" xfId="0" applyFont="1" applyFill="1" applyBorder="1" applyAlignment="1" applyProtection="1">
      <alignment horizontal="center" vertical="center" wrapText="1"/>
      <protection locked="0"/>
    </xf>
    <xf numFmtId="0" fontId="28" fillId="11" borderId="27" xfId="0" applyFont="1" applyFill="1" applyBorder="1" applyAlignment="1" applyProtection="1">
      <alignment horizontal="center" vertical="center" wrapText="1"/>
      <protection locked="0"/>
    </xf>
    <xf numFmtId="2" fontId="7" fillId="11" borderId="1" xfId="0" applyNumberFormat="1" applyFont="1" applyFill="1" applyBorder="1" applyAlignment="1" applyProtection="1">
      <alignment horizontal="center" vertical="center"/>
      <protection locked="0"/>
    </xf>
    <xf numFmtId="0" fontId="28" fillId="8" borderId="24" xfId="0" applyFont="1" applyFill="1" applyBorder="1" applyAlignment="1" applyProtection="1">
      <alignment horizontal="center" vertical="center"/>
      <protection locked="0"/>
    </xf>
    <xf numFmtId="0" fontId="28" fillId="8" borderId="17" xfId="0" applyFont="1" applyFill="1" applyBorder="1" applyAlignment="1" applyProtection="1">
      <alignment horizontal="center" vertical="center"/>
      <protection locked="0"/>
    </xf>
    <xf numFmtId="0" fontId="28" fillId="8" borderId="25" xfId="0" applyFont="1" applyFill="1" applyBorder="1" applyAlignment="1" applyProtection="1">
      <alignment horizontal="center" vertical="center"/>
      <protection locked="0"/>
    </xf>
    <xf numFmtId="0" fontId="28" fillId="8" borderId="26" xfId="0" applyFont="1" applyFill="1" applyBorder="1" applyAlignment="1" applyProtection="1">
      <alignment horizontal="center" vertical="center"/>
      <protection locked="0"/>
    </xf>
    <xf numFmtId="0" fontId="28" fillId="8" borderId="23" xfId="0" applyFont="1" applyFill="1" applyBorder="1" applyAlignment="1" applyProtection="1">
      <alignment horizontal="center" vertical="center"/>
      <protection locked="0"/>
    </xf>
    <xf numFmtId="0" fontId="28" fillId="8" borderId="27" xfId="0" applyFont="1" applyFill="1" applyBorder="1" applyAlignment="1" applyProtection="1">
      <alignment horizontal="center" vertical="center"/>
      <protection locked="0"/>
    </xf>
    <xf numFmtId="0" fontId="28" fillId="14" borderId="24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28" fillId="14" borderId="25" xfId="0" applyFont="1" applyFill="1" applyBorder="1" applyAlignment="1" applyProtection="1">
      <alignment horizontal="center" vertical="center"/>
      <protection locked="0"/>
    </xf>
    <xf numFmtId="0" fontId="28" fillId="14" borderId="26" xfId="0" applyFont="1" applyFill="1" applyBorder="1" applyAlignment="1" applyProtection="1">
      <alignment horizontal="center" vertical="center"/>
      <protection locked="0"/>
    </xf>
    <xf numFmtId="0" fontId="28" fillId="14" borderId="23" xfId="0" applyFont="1" applyFill="1" applyBorder="1" applyAlignment="1" applyProtection="1">
      <alignment horizontal="center" vertical="center"/>
      <protection locked="0"/>
    </xf>
    <xf numFmtId="0" fontId="28" fillId="14" borderId="27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 wrapText="1"/>
      <protection locked="0"/>
    </xf>
    <xf numFmtId="0" fontId="7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31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2" fontId="7" fillId="11" borderId="1" xfId="0" quotePrefix="1" applyNumberFormat="1" applyFont="1" applyFill="1" applyBorder="1" applyAlignment="1" applyProtection="1">
      <alignment horizontal="center" vertical="center"/>
      <protection locked="0"/>
    </xf>
    <xf numFmtId="0" fontId="28" fillId="0" borderId="24" xfId="0" applyFont="1" applyBorder="1" applyAlignment="1">
      <alignment horizontal="left" vertical="center" wrapText="1"/>
    </xf>
    <xf numFmtId="0" fontId="28" fillId="0" borderId="17" xfId="0" applyFont="1" applyBorder="1" applyAlignment="1">
      <alignment horizontal="left" vertical="center" wrapText="1"/>
    </xf>
    <xf numFmtId="0" fontId="28" fillId="0" borderId="25" xfId="0" applyFont="1" applyBorder="1" applyAlignment="1">
      <alignment horizontal="left" vertical="center" wrapText="1"/>
    </xf>
    <xf numFmtId="0" fontId="28" fillId="0" borderId="26" xfId="0" applyFont="1" applyBorder="1" applyAlignment="1">
      <alignment horizontal="left" vertical="center" wrapText="1"/>
    </xf>
    <xf numFmtId="0" fontId="28" fillId="0" borderId="23" xfId="0" applyFont="1" applyBorder="1" applyAlignment="1">
      <alignment horizontal="left" vertical="center" wrapText="1"/>
    </xf>
    <xf numFmtId="0" fontId="28" fillId="0" borderId="27" xfId="0" applyFont="1" applyBorder="1" applyAlignment="1">
      <alignment horizontal="left" vertical="center" wrapText="1"/>
    </xf>
    <xf numFmtId="0" fontId="41" fillId="14" borderId="24" xfId="0" applyFont="1" applyFill="1" applyBorder="1" applyAlignment="1" applyProtection="1">
      <alignment horizontal="center" vertical="center"/>
      <protection locked="0"/>
    </xf>
    <xf numFmtId="0" fontId="41" fillId="14" borderId="17" xfId="0" applyFont="1" applyFill="1" applyBorder="1" applyAlignment="1" applyProtection="1">
      <alignment horizontal="center" vertical="center"/>
      <protection locked="0"/>
    </xf>
    <xf numFmtId="0" fontId="41" fillId="14" borderId="25" xfId="0" applyFont="1" applyFill="1" applyBorder="1" applyAlignment="1" applyProtection="1">
      <alignment horizontal="center" vertical="center"/>
      <protection locked="0"/>
    </xf>
    <xf numFmtId="0" fontId="41" fillId="14" borderId="26" xfId="0" applyFont="1" applyFill="1" applyBorder="1" applyAlignment="1" applyProtection="1">
      <alignment horizontal="center" vertical="center"/>
      <protection locked="0"/>
    </xf>
    <xf numFmtId="0" fontId="41" fillId="14" borderId="23" xfId="0" applyFont="1" applyFill="1" applyBorder="1" applyAlignment="1" applyProtection="1">
      <alignment horizontal="center" vertical="center"/>
      <protection locked="0"/>
    </xf>
    <xf numFmtId="0" fontId="41" fillId="14" borderId="27" xfId="0" applyFont="1" applyFill="1" applyBorder="1" applyAlignment="1" applyProtection="1">
      <alignment horizontal="center" vertical="center"/>
      <protection locked="0"/>
    </xf>
    <xf numFmtId="0" fontId="29" fillId="0" borderId="24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2" fontId="7" fillId="11" borderId="24" xfId="0" applyNumberFormat="1" applyFont="1" applyFill="1" applyBorder="1" applyAlignment="1" applyProtection="1">
      <alignment horizontal="center" vertical="center"/>
      <protection locked="0"/>
    </xf>
    <xf numFmtId="2" fontId="7" fillId="11" borderId="17" xfId="0" applyNumberFormat="1" applyFont="1" applyFill="1" applyBorder="1" applyAlignment="1" applyProtection="1">
      <alignment horizontal="center" vertical="center"/>
      <protection locked="0"/>
    </xf>
    <xf numFmtId="2" fontId="7" fillId="11" borderId="25" xfId="0" applyNumberFormat="1" applyFont="1" applyFill="1" applyBorder="1" applyAlignment="1" applyProtection="1">
      <alignment horizontal="center" vertical="center"/>
      <protection locked="0"/>
    </xf>
    <xf numFmtId="2" fontId="7" fillId="11" borderId="26" xfId="0" applyNumberFormat="1" applyFont="1" applyFill="1" applyBorder="1" applyAlignment="1" applyProtection="1">
      <alignment horizontal="center" vertical="center"/>
      <protection locked="0"/>
    </xf>
    <xf numFmtId="2" fontId="7" fillId="11" borderId="23" xfId="0" applyNumberFormat="1" applyFont="1" applyFill="1" applyBorder="1" applyAlignment="1" applyProtection="1">
      <alignment horizontal="center" vertical="center"/>
      <protection locked="0"/>
    </xf>
    <xf numFmtId="2" fontId="7" fillId="11" borderId="27" xfId="0" applyNumberFormat="1" applyFont="1" applyFill="1" applyBorder="1" applyAlignment="1" applyProtection="1">
      <alignment horizontal="center" vertical="center"/>
      <protection locked="0"/>
    </xf>
    <xf numFmtId="2" fontId="7" fillId="0" borderId="24" xfId="0" applyNumberFormat="1" applyFont="1" applyBorder="1" applyAlignment="1">
      <alignment horizontal="center" vertical="center"/>
    </xf>
    <xf numFmtId="2" fontId="7" fillId="0" borderId="17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2" fontId="7" fillId="0" borderId="26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2" fontId="7" fillId="0" borderId="27" xfId="0" applyNumberFormat="1" applyFont="1" applyBorder="1" applyAlignment="1">
      <alignment horizontal="center" vertical="center"/>
    </xf>
    <xf numFmtId="0" fontId="27" fillId="11" borderId="24" xfId="0" applyFont="1" applyFill="1" applyBorder="1" applyAlignment="1" applyProtection="1">
      <alignment horizontal="center" vertical="center" wrapText="1"/>
      <protection locked="0"/>
    </xf>
    <xf numFmtId="0" fontId="27" fillId="11" borderId="17" xfId="0" applyFont="1" applyFill="1" applyBorder="1" applyAlignment="1" applyProtection="1">
      <alignment horizontal="center" vertical="center" wrapText="1"/>
      <protection locked="0"/>
    </xf>
    <xf numFmtId="0" fontId="27" fillId="11" borderId="25" xfId="0" applyFont="1" applyFill="1" applyBorder="1" applyAlignment="1" applyProtection="1">
      <alignment horizontal="center" vertical="center" wrapText="1"/>
      <protection locked="0"/>
    </xf>
    <xf numFmtId="0" fontId="28" fillId="14" borderId="24" xfId="0" applyFont="1" applyFill="1" applyBorder="1" applyAlignment="1" applyProtection="1">
      <alignment horizontal="center" vertical="center" wrapText="1"/>
      <protection locked="0"/>
    </xf>
    <xf numFmtId="0" fontId="28" fillId="14" borderId="25" xfId="0" applyFont="1" applyFill="1" applyBorder="1" applyAlignment="1" applyProtection="1">
      <alignment horizontal="center" vertical="center" wrapText="1"/>
      <protection locked="0"/>
    </xf>
    <xf numFmtId="0" fontId="28" fillId="14" borderId="26" xfId="0" applyFont="1" applyFill="1" applyBorder="1" applyAlignment="1" applyProtection="1">
      <alignment horizontal="center" vertical="center" wrapText="1"/>
      <protection locked="0"/>
    </xf>
    <xf numFmtId="0" fontId="28" fillId="14" borderId="27" xfId="0" applyFont="1" applyFill="1" applyBorder="1" applyAlignment="1" applyProtection="1">
      <alignment horizontal="center" vertical="center" wrapText="1"/>
      <protection locked="0"/>
    </xf>
    <xf numFmtId="2" fontId="7" fillId="11" borderId="19" xfId="0" applyNumberFormat="1" applyFont="1" applyFill="1" applyBorder="1" applyAlignment="1" applyProtection="1">
      <alignment horizontal="center" vertical="center"/>
      <protection locked="0"/>
    </xf>
    <xf numFmtId="2" fontId="7" fillId="11" borderId="20" xfId="0" applyNumberFormat="1" applyFont="1" applyFill="1" applyBorder="1" applyAlignment="1" applyProtection="1">
      <alignment horizontal="center" vertical="center"/>
      <protection locked="0"/>
    </xf>
    <xf numFmtId="2" fontId="7" fillId="11" borderId="21" xfId="0" applyNumberFormat="1" applyFon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37" fillId="15" borderId="1" xfId="3" applyFont="1" applyFill="1" applyBorder="1" applyAlignment="1">
      <alignment horizontal="center"/>
    </xf>
    <xf numFmtId="0" fontId="39" fillId="15" borderId="1" xfId="3" applyFont="1" applyFill="1" applyBorder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6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5" fillId="0" borderId="10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3" borderId="10" xfId="0" applyFont="1" applyFill="1" applyBorder="1" applyAlignment="1" applyProtection="1">
      <alignment horizontal="center" vertical="center"/>
      <protection locked="0"/>
    </xf>
    <xf numFmtId="0" fontId="9" fillId="3" borderId="11" xfId="0" applyFont="1" applyFill="1" applyBorder="1" applyAlignment="1" applyProtection="1">
      <alignment horizontal="center" vertical="center"/>
      <protection locked="0"/>
    </xf>
    <xf numFmtId="165" fontId="7" fillId="0" borderId="10" xfId="0" applyNumberFormat="1" applyFont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center"/>
    </xf>
    <xf numFmtId="165" fontId="7" fillId="0" borderId="11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11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165" fontId="7" fillId="0" borderId="9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9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left" vertical="center"/>
    </xf>
    <xf numFmtId="0" fontId="16" fillId="0" borderId="12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</cellXfs>
  <cellStyles count="6">
    <cellStyle name="Millares" xfId="1" builtinId="3"/>
    <cellStyle name="Millares 2" xfId="4" xr:uid="{D25BD980-5CA8-4DDF-849A-797807E45C79}"/>
    <cellStyle name="Moneda" xfId="2" builtinId="4"/>
    <cellStyle name="Moneda 2" xfId="5" xr:uid="{340A61E1-CD89-41A8-92E9-36143925AD3D}"/>
    <cellStyle name="Normal" xfId="0" builtinId="0"/>
    <cellStyle name="Normal 2" xfId="3" xr:uid="{65865848-3B81-4B05-B8C7-706DFA5DD2C3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FF0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Rockwell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9" formatCode="d/m/yyyy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DE64AA"/>
      <color rgb="FFE9EDF7"/>
      <color rgb="FFECF5E7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533399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20F2E9-C90D-47D8-B354-C35893D8B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" y="236220"/>
          <a:ext cx="2135504" cy="60432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F8341348-436E-46EA-9067-41F24FEC2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" y="5141595"/>
          <a:ext cx="2179320" cy="617021"/>
        </a:xfrm>
        <a:prstGeom prst="rect">
          <a:avLst/>
        </a:prstGeom>
      </xdr:spPr>
    </xdr:pic>
    <xdr:clientData/>
  </xdr:oneCellAnchor>
  <xdr:twoCellAnchor editAs="oneCell">
    <xdr:from>
      <xdr:col>14</xdr:col>
      <xdr:colOff>38100</xdr:colOff>
      <xdr:row>1</xdr:row>
      <xdr:rowOff>60960</xdr:rowOff>
    </xdr:from>
    <xdr:to>
      <xdr:col>16</xdr:col>
      <xdr:colOff>84667</xdr:colOff>
      <xdr:row>3</xdr:row>
      <xdr:rowOff>296919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DF9C33A-8EAE-4B6F-954B-FFAD8B9B0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0" y="262043"/>
          <a:ext cx="2237317" cy="616959"/>
        </a:xfrm>
        <a:prstGeom prst="rect">
          <a:avLst/>
        </a:prstGeom>
      </xdr:spPr>
    </xdr:pic>
    <xdr:clientData/>
  </xdr:twoCellAnchor>
  <xdr:twoCellAnchor editAs="oneCell">
    <xdr:from>
      <xdr:col>14</xdr:col>
      <xdr:colOff>53340</xdr:colOff>
      <xdr:row>23</xdr:row>
      <xdr:rowOff>15240</xdr:rowOff>
    </xdr:from>
    <xdr:to>
      <xdr:col>16</xdr:col>
      <xdr:colOff>116687</xdr:colOff>
      <xdr:row>25</xdr:row>
      <xdr:rowOff>243417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8B1AEBB-38C1-4C13-8CD0-944A0DB3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8840" y="5179907"/>
          <a:ext cx="2254097" cy="6303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ingresos_akadia" textlink="">
      <xdr:nvSpPr>
        <xdr:cNvPr id="4" name="CuadroTexto 3">
          <a:extLst>
            <a:ext uri="{FF2B5EF4-FFF2-40B4-BE49-F238E27FC236}">
              <a16:creationId xmlns:a16="http://schemas.microsoft.com/office/drawing/2014/main" id="{1BA53A74-F417-499A-854D-A12584A25728}"/>
            </a:ext>
          </a:extLst>
        </xdr:cNvPr>
        <xdr:cNvSpPr txBox="1"/>
      </xdr:nvSpPr>
      <xdr:spPr>
        <a:xfrm>
          <a:off x="8373047" y="1181100"/>
          <a:ext cx="1201028" cy="60343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INGRESO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ingreso" textlink="">
      <xdr:nvSpPr>
        <xdr:cNvPr id="5" name="CuadroTexto 4">
          <a:extLst>
            <a:ext uri="{FF2B5EF4-FFF2-40B4-BE49-F238E27FC236}">
              <a16:creationId xmlns:a16="http://schemas.microsoft.com/office/drawing/2014/main" id="{8E23F72C-EF5F-4B0F-A608-404E2664CD5B}"/>
            </a:ext>
          </a:extLst>
        </xdr:cNvPr>
        <xdr:cNvSpPr txBox="1"/>
      </xdr:nvSpPr>
      <xdr:spPr>
        <a:xfrm>
          <a:off x="8344273" y="227798"/>
          <a:ext cx="1201028" cy="61418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E3554F8-D1AF-46D9-A1E7-2CA440273FAC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7" name="CuadroTexto 6">
          <a:extLst>
            <a:ext uri="{FF2B5EF4-FFF2-40B4-BE49-F238E27FC236}">
              <a16:creationId xmlns:a16="http://schemas.microsoft.com/office/drawing/2014/main" id="{324522CA-F81B-4627-8346-3EF0386A372F}"/>
            </a:ext>
          </a:extLst>
        </xdr:cNvPr>
        <xdr:cNvSpPr txBox="1"/>
      </xdr:nvSpPr>
      <xdr:spPr>
        <a:xfrm>
          <a:off x="8371390" y="2143760"/>
          <a:ext cx="1201028" cy="606696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8" name="Flecha: a la derecha 7">
          <a:extLst>
            <a:ext uri="{FF2B5EF4-FFF2-40B4-BE49-F238E27FC236}">
              <a16:creationId xmlns:a16="http://schemas.microsoft.com/office/drawing/2014/main" id="{6A46AFEE-2252-4ACA-B660-8043A67E11DE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C9BA3A2E-9CCF-4925-AA56-9CCEE3F0F044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  <xdr:twoCellAnchor editAs="oneCell">
    <xdr:from>
      <xdr:col>1</xdr:col>
      <xdr:colOff>38100</xdr:colOff>
      <xdr:row>1</xdr:row>
      <xdr:rowOff>60960</xdr:rowOff>
    </xdr:from>
    <xdr:to>
      <xdr:col>2</xdr:col>
      <xdr:colOff>464820</xdr:colOff>
      <xdr:row>4</xdr:row>
      <xdr:rowOff>124250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95D7A82-D089-4E23-FC0C-1819F3331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" y="251460"/>
          <a:ext cx="2118360" cy="76433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23</xdr:row>
      <xdr:rowOff>15240</xdr:rowOff>
    </xdr:from>
    <xdr:to>
      <xdr:col>2</xdr:col>
      <xdr:colOff>480060</xdr:colOff>
      <xdr:row>26</xdr:row>
      <xdr:rowOff>78530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492F8C3-A03A-4B00-8496-4D249068F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5135880"/>
          <a:ext cx="2118360" cy="764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533400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45720"/>
          <a:ext cx="2179320" cy="61702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36220"/>
          <a:ext cx="2179320" cy="617021"/>
        </a:xfrm>
        <a:prstGeom prst="rect">
          <a:avLst/>
        </a:prstGeom>
      </xdr:spPr>
    </xdr:pic>
    <xdr:clientData/>
  </xdr:oneCellAnchor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recibo_despertad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09910" y="1175657"/>
          <a:ext cx="1138254" cy="60234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INGRESO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ingreso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286084" y="231262"/>
          <a:ext cx="1143532" cy="6197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7" name="Flecha: a la derech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308253" y="2133600"/>
          <a:ext cx="1138254" cy="587827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10" name="Flecha: a la derech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533400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36220"/>
          <a:ext cx="2179320" cy="61956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5166360"/>
          <a:ext cx="2179320" cy="617021"/>
        </a:xfrm>
        <a:prstGeom prst="rect">
          <a:avLst/>
        </a:prstGeom>
      </xdr:spPr>
    </xdr:pic>
    <xdr:clientData/>
  </xdr:oneCellAnchor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egresos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373047" y="1181100"/>
          <a:ext cx="1201028" cy="60343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EGRESO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egresos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44273" y="227798"/>
          <a:ext cx="1201028" cy="61418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371390" y="2143760"/>
          <a:ext cx="1201028" cy="606696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8" name="Flecha: a la derech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519860</xdr:colOff>
      <xdr:row>0</xdr:row>
      <xdr:rowOff>47625</xdr:rowOff>
    </xdr:from>
    <xdr:to>
      <xdr:col>14</xdr:col>
      <xdr:colOff>601501</xdr:colOff>
      <xdr:row>2</xdr:row>
      <xdr:rowOff>250031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9235" y="47625"/>
          <a:ext cx="2748641" cy="797719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24</xdr:row>
      <xdr:rowOff>34879</xdr:rowOff>
    </xdr:from>
    <xdr:to>
      <xdr:col>14</xdr:col>
      <xdr:colOff>38100</xdr:colOff>
      <xdr:row>25</xdr:row>
      <xdr:rowOff>232628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064579"/>
          <a:ext cx="1495425" cy="512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220980</xdr:colOff>
      <xdr:row>0</xdr:row>
      <xdr:rowOff>68581</xdr:rowOff>
    </xdr:from>
    <xdr:to>
      <xdr:col>7</xdr:col>
      <xdr:colOff>106680</xdr:colOff>
      <xdr:row>2</xdr:row>
      <xdr:rowOff>332887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0900" y="68581"/>
          <a:ext cx="3055620" cy="11025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fita_OMEN\AppData\Roaming\Microsoft\AddIns\036%20-%20Funci&#243;n%20UDF%20Convertir%20n&#250;meros%20a%20letras.xlam" TargetMode="External"/><Relationship Id="rId1" Type="http://schemas.openxmlformats.org/officeDocument/2006/relationships/externalLinkPath" Target="/Users/Rafita_OMEN/AppData/Roaming/Microsoft/AddIns/036%20-%20Funci&#243;n%20UDF%20Convertir%20n&#250;meros%20a%20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CELeINFO"/>
      <sheetName val="Números a letras"/>
      <sheetName val="Hoja1"/>
    </sheetNames>
    <definedNames>
      <definedName name="cMoneda2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9BC7E-B6A5-4F4C-ABE5-5A4E45F7910A}" name="nombres" displayName="nombres" ref="A2:K690" totalsRowCount="1" headerRowDxfId="26" dataDxfId="24" totalsRowDxfId="22" headerRowBorderDxfId="25" tableBorderDxfId="23">
  <autoFilter ref="A2:K689" xr:uid="{6BC9BC7E-B6A5-4F4C-ABE5-5A4E45F7910A}"/>
  <tableColumns count="11">
    <tableColumn id="1" xr3:uid="{06CCDC77-136B-41AD-BBEA-F01392D735E8}" name="CODIGO" totalsRowLabel="Total INGRESOS &amp; EGRESOS" dataDxfId="21" totalsRowDxfId="20">
      <calculatedColumnFormula>IF(E3&lt;&gt;"",ROW(A1),"")</calculatedColumnFormula>
    </tableColumn>
    <tableColumn id="2" xr3:uid="{F802A7CE-7475-4FEA-847A-BD156E812478}" name="FECHA" dataDxfId="19" totalsRowDxfId="18"/>
    <tableColumn id="3" xr3:uid="{DD200758-07E4-4F05-9786-7882B81D9DE1}" name="No.RECIBO" dataDxfId="17" totalsRowDxfId="16">
      <calculatedColumnFormula>IF(E3&lt;&gt;"",ROW(A1),"")</calculatedColumnFormula>
    </tableColumn>
    <tableColumn id="9" xr3:uid="{8FDF70D5-8F26-474A-8C5A-30F18D0097E1}" name="INTERESADO QUE DEPOSITA O RECIBE " dataDxfId="15" totalsRowDxfId="14"/>
    <tableColumn id="4" xr3:uid="{FDFAE11D-1DC2-41C8-A57A-0344B533B2DB}" name="DETALLE" dataDxfId="13" totalsRowDxfId="12"/>
    <tableColumn id="5" xr3:uid="{1036B222-A1E5-4D5E-BE28-14B76F378663}" name="INGRESO EFECTIVO" totalsRowFunction="sum" dataDxfId="11" totalsRowDxfId="10"/>
    <tableColumn id="6" xr3:uid="{D9269415-72D8-4735-B6AE-55C19B3218A8}" name="INGRESO TRANS.ó QR" totalsRowFunction="sum" dataDxfId="9" totalsRowDxfId="8"/>
    <tableColumn id="7" xr3:uid="{440F0CBC-B829-43C7-BB07-E2C734D5DEAE}" name="EGRESO" totalsRowFunction="sum" dataDxfId="7" totalsRowDxfId="6"/>
    <tableColumn id="8" xr3:uid="{AE5CEC12-25FC-4993-A657-A1E6F10A190F}" name="OBSERVACIONES" dataDxfId="5" totalsRowDxfId="4"/>
    <tableColumn id="10" xr3:uid="{3EF6F3BD-4EF8-4C78-BB7A-DF6474A19009}" name="TOTAL INGRESO" dataDxfId="3" totalsRowDxfId="2">
      <calculatedColumnFormula>IF(nombres[[#This Row],[DETALLE]]="","",nombres[[#This Row],[INGRESO TRANS.ó QR]]+nombres[[#This Row],[INGRESO EFECTIVO]])</calculatedColumnFormula>
    </tableColumn>
    <tableColumn id="11" xr3:uid="{5647C3BB-B75E-40F6-B1CB-8155998829CE}" name="FACTURA No.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E569-F9E9-4B4A-A93D-0A85D64086AB}">
  <sheetPr codeName="Hoja11">
    <pageSetUpPr fitToPage="1"/>
  </sheetPr>
  <dimension ref="A1:Y43"/>
  <sheetViews>
    <sheetView zoomScale="90" zoomScaleNormal="90" workbookViewId="0">
      <selection activeCell="C8" sqref="C8:E9"/>
    </sheetView>
  </sheetViews>
  <sheetFormatPr baseColWidth="10" defaultColWidth="11.5546875" defaultRowHeight="15" x14ac:dyDescent="0.25"/>
  <cols>
    <col min="1" max="1" width="2.10937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1" width="4.33203125" style="42" customWidth="1"/>
    <col min="12" max="12" width="2.6640625" style="42" customWidth="1"/>
    <col min="13" max="13" width="1" style="42" customWidth="1"/>
    <col min="14" max="14" width="2" style="42" customWidth="1"/>
    <col min="15" max="15" width="24.6640625" style="42" customWidth="1"/>
    <col min="16" max="16" width="8.109375" style="42" customWidth="1"/>
    <col min="17" max="17" width="25.109375" style="42" customWidth="1"/>
    <col min="18" max="18" width="10.88671875" style="42" customWidth="1"/>
    <col min="19" max="20" width="5.33203125" style="42" customWidth="1"/>
    <col min="21" max="24" width="4.33203125" style="42" customWidth="1"/>
    <col min="25" max="25" width="2.6640625" style="42" customWidth="1"/>
    <col min="26" max="26" width="2.44140625" style="42" customWidth="1"/>
    <col min="27" max="16384" width="11.5546875" style="42"/>
  </cols>
  <sheetData>
    <row r="1" spans="1:25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N1" s="94"/>
      <c r="O1" s="95"/>
      <c r="P1" s="95"/>
      <c r="Q1" s="95"/>
      <c r="R1" s="95"/>
      <c r="S1" s="95"/>
      <c r="T1" s="95"/>
      <c r="U1" s="95"/>
      <c r="V1" s="95"/>
      <c r="W1" s="95"/>
      <c r="X1" s="95"/>
      <c r="Y1" s="96"/>
    </row>
    <row r="2" spans="1:25" ht="15.6" customHeight="1" x14ac:dyDescent="0.3">
      <c r="A2" s="97"/>
      <c r="D2" s="155" t="s">
        <v>427</v>
      </c>
      <c r="E2" s="155"/>
      <c r="F2" s="156" t="s">
        <v>460</v>
      </c>
      <c r="G2" s="156"/>
      <c r="H2" s="157">
        <v>234</v>
      </c>
      <c r="I2" s="157"/>
      <c r="J2" s="157"/>
      <c r="K2" s="157"/>
      <c r="L2" s="98"/>
      <c r="N2" s="97"/>
      <c r="Q2" s="155" t="s">
        <v>427</v>
      </c>
      <c r="R2" s="155"/>
      <c r="S2" s="156" t="s">
        <v>460</v>
      </c>
      <c r="T2" s="156"/>
      <c r="U2" s="158">
        <f>H2</f>
        <v>234</v>
      </c>
      <c r="V2" s="158"/>
      <c r="W2" s="158"/>
      <c r="X2" s="158"/>
      <c r="Y2" s="98"/>
    </row>
    <row r="3" spans="1:25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N3" s="97"/>
      <c r="Q3" s="155"/>
      <c r="R3" s="155"/>
      <c r="S3" s="156"/>
      <c r="T3" s="156"/>
      <c r="U3" s="156"/>
      <c r="V3" s="156"/>
      <c r="W3" s="156"/>
      <c r="X3" s="156"/>
      <c r="Y3" s="98"/>
    </row>
    <row r="4" spans="1:25" ht="24" customHeight="1" x14ac:dyDescent="0.5">
      <c r="A4" s="97"/>
      <c r="D4" s="152" t="s">
        <v>459</v>
      </c>
      <c r="E4" s="152"/>
      <c r="F4" s="153" t="s">
        <v>465</v>
      </c>
      <c r="G4" s="153"/>
      <c r="H4" s="154">
        <f>_xlfn.XLOOKUP(H2,'FLUJO DE CAJA'!C3:C1199,'FLUJO DE CAJA'!F3:F1199,FALSE)</f>
        <v>0</v>
      </c>
      <c r="I4" s="154"/>
      <c r="J4" s="154"/>
      <c r="K4" s="154"/>
      <c r="L4" s="98"/>
      <c r="N4" s="97"/>
      <c r="Q4" s="152" t="s">
        <v>459</v>
      </c>
      <c r="R4" s="152"/>
      <c r="S4" s="153" t="s">
        <v>465</v>
      </c>
      <c r="T4" s="153"/>
      <c r="U4" s="154">
        <f>H4</f>
        <v>0</v>
      </c>
      <c r="V4" s="154"/>
      <c r="W4" s="154"/>
      <c r="X4" s="154"/>
      <c r="Y4" s="98"/>
    </row>
    <row r="5" spans="1:25" ht="22.95" customHeight="1" x14ac:dyDescent="0.25">
      <c r="A5" s="97"/>
      <c r="E5" s="99" t="s">
        <v>461</v>
      </c>
      <c r="F5" s="153" t="s">
        <v>466</v>
      </c>
      <c r="G5" s="153"/>
      <c r="H5" s="154">
        <f>_xlfn.XLOOKUP(H2,'FLUJO DE CAJA'!C3:C1199,'FLUJO DE CAJA'!G3:G1199,FALSE)</f>
        <v>364</v>
      </c>
      <c r="I5" s="154"/>
      <c r="J5" s="154"/>
      <c r="K5" s="154"/>
      <c r="L5" s="98"/>
      <c r="M5" s="100">
        <f>H4+(6.97*H6)</f>
        <v>0</v>
      </c>
      <c r="N5" s="97"/>
      <c r="R5" s="99" t="s">
        <v>461</v>
      </c>
      <c r="S5" s="153" t="s">
        <v>466</v>
      </c>
      <c r="T5" s="153"/>
      <c r="U5" s="154">
        <f>H5</f>
        <v>364</v>
      </c>
      <c r="V5" s="154"/>
      <c r="W5" s="154"/>
      <c r="X5" s="154"/>
      <c r="Y5" s="100">
        <f>M5</f>
        <v>0</v>
      </c>
    </row>
    <row r="6" spans="1:25" ht="22.95" customHeight="1" x14ac:dyDescent="0.25">
      <c r="A6" s="97"/>
      <c r="B6" s="159" t="s">
        <v>454</v>
      </c>
      <c r="C6" s="160" t="str">
        <f>_xlfn.XLOOKUP(H2,'FLUJO DE CAJA'!C3:C1199,'FLUJO DE CAJA'!D3:D1199,FALSE)</f>
        <v>LORIA ALVAREZ</v>
      </c>
      <c r="D6" s="161"/>
      <c r="E6" s="111" t="s">
        <v>29</v>
      </c>
      <c r="F6" s="153" t="s">
        <v>457</v>
      </c>
      <c r="G6" s="153"/>
      <c r="H6" s="154">
        <f>_xlfn.XLOOKUP(H2,'FLUJO DE CAJA'!C3:C1199,'FLUJO DE CAJA'!H3:H1199,FALSE)</f>
        <v>0</v>
      </c>
      <c r="I6" s="154"/>
      <c r="J6" s="154"/>
      <c r="K6" s="154"/>
      <c r="L6" s="98"/>
      <c r="N6" s="97"/>
      <c r="O6" s="159" t="s">
        <v>454</v>
      </c>
      <c r="P6" s="160" t="str">
        <f>C6</f>
        <v>LORIA ALVAREZ</v>
      </c>
      <c r="Q6" s="161"/>
      <c r="R6" s="111" t="s">
        <v>29</v>
      </c>
      <c r="S6" s="153" t="s">
        <v>457</v>
      </c>
      <c r="T6" s="153"/>
      <c r="U6" s="154">
        <f>H6</f>
        <v>0</v>
      </c>
      <c r="V6" s="154"/>
      <c r="W6" s="154"/>
      <c r="X6" s="154"/>
      <c r="Y6" s="98"/>
    </row>
    <row r="7" spans="1:25" ht="15.6" x14ac:dyDescent="0.25">
      <c r="A7" s="97"/>
      <c r="B7" s="159"/>
      <c r="C7" s="162"/>
      <c r="D7" s="163"/>
      <c r="E7" s="149">
        <f>_xlfn.XLOOKUP(H2,'FLUJO DE CAJA'!C3:C1199,'FLUJO DE CAJA'!A3:A1199,FALSE)</f>
        <v>2024142</v>
      </c>
      <c r="F7" s="176"/>
      <c r="G7" s="176"/>
      <c r="H7" s="176"/>
      <c r="I7" s="176"/>
      <c r="J7" s="176"/>
      <c r="K7" s="176"/>
      <c r="L7" s="98"/>
      <c r="N7" s="97"/>
      <c r="O7" s="159"/>
      <c r="P7" s="162"/>
      <c r="Q7" s="163"/>
      <c r="R7" s="149">
        <f>E7</f>
        <v>2024142</v>
      </c>
      <c r="S7" s="176"/>
      <c r="T7" s="176"/>
      <c r="U7" s="176"/>
      <c r="V7" s="176"/>
      <c r="W7" s="176"/>
      <c r="X7" s="176"/>
      <c r="Y7" s="98"/>
    </row>
    <row r="8" spans="1:25" ht="15" customHeight="1" x14ac:dyDescent="0.25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AMERICANOS",0)),[1]!cMoneda2(M5+H5,"BOLIVIANO","BOLIVIANOS",0)),[1]!cMoneda2(H5+M5,"BOLIVIANO","BOLIVIANOS",0))</f>
        <v xml:space="preserve">TRESCIENTOS SESENTA Y CUATRO BOLIVIANOS </v>
      </c>
      <c r="D8" s="177"/>
      <c r="E8" s="177"/>
      <c r="F8" s="160" t="s">
        <v>837</v>
      </c>
      <c r="G8" s="161"/>
      <c r="H8" s="164">
        <f>_xlfn.XLOOKUP(H2,'FLUJO DE CAJA'!C3:C1199,'FLUJO DE CAJA'!K3:K1199,FALSE)</f>
        <v>173</v>
      </c>
      <c r="I8" s="165"/>
      <c r="J8" s="165"/>
      <c r="K8" s="166"/>
      <c r="L8" s="98"/>
      <c r="N8" s="97"/>
      <c r="O8" s="159" t="s">
        <v>455</v>
      </c>
      <c r="P8" s="177" t="str">
        <f>C8</f>
        <v xml:space="preserve">TRESCIENTOS SESENTA Y CUATRO BOLIVIANOS </v>
      </c>
      <c r="Q8" s="177"/>
      <c r="R8" s="177"/>
      <c r="S8" s="160" t="s">
        <v>837</v>
      </c>
      <c r="T8" s="161"/>
      <c r="U8" s="164">
        <f>H8</f>
        <v>173</v>
      </c>
      <c r="V8" s="165"/>
      <c r="W8" s="165"/>
      <c r="X8" s="166"/>
      <c r="Y8" s="98"/>
    </row>
    <row r="9" spans="1:25" ht="15" customHeight="1" x14ac:dyDescent="0.25">
      <c r="A9" s="97"/>
      <c r="B9" s="159"/>
      <c r="C9" s="177"/>
      <c r="D9" s="177"/>
      <c r="E9" s="177"/>
      <c r="F9" s="162"/>
      <c r="G9" s="163"/>
      <c r="H9" s="167"/>
      <c r="I9" s="168"/>
      <c r="J9" s="168"/>
      <c r="K9" s="169"/>
      <c r="L9" s="98"/>
      <c r="N9" s="97"/>
      <c r="O9" s="159"/>
      <c r="P9" s="177"/>
      <c r="Q9" s="177"/>
      <c r="R9" s="177"/>
      <c r="S9" s="162"/>
      <c r="T9" s="163"/>
      <c r="U9" s="167"/>
      <c r="V9" s="168"/>
      <c r="W9" s="168"/>
      <c r="X9" s="169"/>
      <c r="Y9" s="98"/>
    </row>
    <row r="10" spans="1:25" x14ac:dyDescent="0.25">
      <c r="A10" s="97"/>
      <c r="B10" s="159" t="s">
        <v>456</v>
      </c>
      <c r="C10" s="170" t="str">
        <f>_xlfn.XLOOKUP(H2,'FLUJO DE CAJA'!C3:C1199,'FLUJO DE CAJA'!E3:E1199,FALSE)</f>
        <v>INGRESOS PROGRAMA EXTENSIVO MONTESSORI</v>
      </c>
      <c r="D10" s="171"/>
      <c r="E10" s="171"/>
      <c r="F10" s="171"/>
      <c r="G10" s="171"/>
      <c r="H10" s="171"/>
      <c r="I10" s="171"/>
      <c r="J10" s="171"/>
      <c r="K10" s="172"/>
      <c r="L10" s="98"/>
      <c r="N10" s="97"/>
      <c r="O10" s="159" t="s">
        <v>456</v>
      </c>
      <c r="P10" s="170" t="str">
        <f>C10</f>
        <v>INGRESOS PROGRAMA EXTENSIVO MONTESSORI</v>
      </c>
      <c r="Q10" s="171"/>
      <c r="R10" s="171"/>
      <c r="S10" s="171"/>
      <c r="T10" s="171"/>
      <c r="U10" s="171"/>
      <c r="V10" s="171"/>
      <c r="W10" s="171"/>
      <c r="X10" s="172"/>
      <c r="Y10" s="98"/>
    </row>
    <row r="11" spans="1:25" x14ac:dyDescent="0.25">
      <c r="A11" s="97"/>
      <c r="B11" s="159"/>
      <c r="C11" s="173"/>
      <c r="D11" s="174"/>
      <c r="E11" s="174"/>
      <c r="F11" s="174"/>
      <c r="G11" s="174"/>
      <c r="H11" s="174"/>
      <c r="I11" s="174"/>
      <c r="J11" s="174"/>
      <c r="K11" s="175"/>
      <c r="L11" s="98"/>
      <c r="N11" s="97"/>
      <c r="O11" s="159"/>
      <c r="P11" s="173"/>
      <c r="Q11" s="174"/>
      <c r="R11" s="174"/>
      <c r="S11" s="174"/>
      <c r="T11" s="174"/>
      <c r="U11" s="174"/>
      <c r="V11" s="174"/>
      <c r="W11" s="174"/>
      <c r="X11" s="175"/>
      <c r="Y11" s="98"/>
    </row>
    <row r="12" spans="1:25" ht="30.6" customHeight="1" x14ac:dyDescent="0.25">
      <c r="A12" s="97"/>
      <c r="B12" s="180" t="s">
        <v>467</v>
      </c>
      <c r="C12" s="160" t="str">
        <f>_xlfn.XLOOKUP(H2,'FLUJO DE CAJA'!C3:C1199,'FLUJO DE CAJA'!I3:I1199,FALSE)</f>
        <v>PRIMERA CUOTA - FEBRERO</v>
      </c>
      <c r="D12" s="183"/>
      <c r="E12" s="183"/>
      <c r="F12" s="183"/>
      <c r="G12" s="183"/>
      <c r="H12" s="183"/>
      <c r="I12" s="183"/>
      <c r="J12" s="183"/>
      <c r="K12" s="161"/>
      <c r="L12" s="98"/>
      <c r="N12" s="97"/>
      <c r="O12" s="180" t="s">
        <v>467</v>
      </c>
      <c r="P12" s="160" t="str">
        <f>C12</f>
        <v>PRIMERA CUOTA - FEBRERO</v>
      </c>
      <c r="Q12" s="183"/>
      <c r="R12" s="183"/>
      <c r="S12" s="183"/>
      <c r="T12" s="183"/>
      <c r="U12" s="183"/>
      <c r="V12" s="183"/>
      <c r="W12" s="183"/>
      <c r="X12" s="161"/>
      <c r="Y12" s="98"/>
    </row>
    <row r="13" spans="1:25" ht="21" customHeight="1" x14ac:dyDescent="0.25">
      <c r="A13" s="97"/>
      <c r="B13" s="181"/>
      <c r="C13" s="184" t="str">
        <f>IF(E7="","",CONCATENATE("Alumnos : ",VLOOKUP(E7,CODIGOS!A2:L584,3,FALSE)," - Cursos : ",VLOOKUP(E7,CODIGOS!A2:L584,2,FALSE)," "))</f>
        <v xml:space="preserve">Alumnos : Loria Alvarez Luciana Valentina - Cursos : 3° Prim </v>
      </c>
      <c r="D13" s="185"/>
      <c r="E13" s="185"/>
      <c r="F13" s="185"/>
      <c r="G13" s="185"/>
      <c r="H13" s="185"/>
      <c r="I13" s="185"/>
      <c r="J13" s="185"/>
      <c r="K13" s="186"/>
      <c r="L13" s="98"/>
      <c r="N13" s="97"/>
      <c r="O13" s="181"/>
      <c r="P13" s="184" t="str">
        <f>C13</f>
        <v xml:space="preserve">Alumnos : Loria Alvarez Luciana Valentina - Cursos : 3° Prim </v>
      </c>
      <c r="Q13" s="185"/>
      <c r="R13" s="185"/>
      <c r="S13" s="185"/>
      <c r="T13" s="185"/>
      <c r="U13" s="185"/>
      <c r="V13" s="185"/>
      <c r="W13" s="185"/>
      <c r="X13" s="186"/>
      <c r="Y13" s="98"/>
    </row>
    <row r="14" spans="1:25" ht="21" customHeight="1" x14ac:dyDescent="0.25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97"/>
      <c r="O14" s="182"/>
      <c r="P14" s="187"/>
      <c r="Q14" s="188"/>
      <c r="R14" s="188"/>
      <c r="S14" s="188"/>
      <c r="T14" s="188"/>
      <c r="U14" s="188"/>
      <c r="V14" s="188"/>
      <c r="W14" s="188"/>
      <c r="X14" s="189"/>
      <c r="Y14" s="98"/>
    </row>
    <row r="15" spans="1:25" x14ac:dyDescent="0.25">
      <c r="A15" s="97"/>
      <c r="L15" s="98"/>
      <c r="N15" s="97"/>
      <c r="Y15" s="98"/>
    </row>
    <row r="16" spans="1:25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97"/>
      <c r="O16" s="106"/>
      <c r="P16" s="106" t="s">
        <v>458</v>
      </c>
      <c r="Q16" s="178">
        <f ca="1">TODAY()</f>
        <v>45364</v>
      </c>
      <c r="R16" s="178"/>
      <c r="S16" s="178"/>
      <c r="T16" s="178"/>
      <c r="U16" s="178"/>
      <c r="V16" s="178"/>
      <c r="W16" s="178"/>
      <c r="Y16" s="98"/>
    </row>
    <row r="17" spans="1:25" ht="15.6" customHeight="1" x14ac:dyDescent="0.25">
      <c r="A17" s="97"/>
      <c r="L17" s="98"/>
      <c r="N17" s="97"/>
      <c r="Y17" s="98"/>
    </row>
    <row r="18" spans="1:25" x14ac:dyDescent="0.25">
      <c r="A18" s="97"/>
      <c r="L18" s="98"/>
      <c r="N18" s="97"/>
      <c r="Y18" s="98"/>
    </row>
    <row r="19" spans="1:25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97"/>
      <c r="O19" s="179"/>
      <c r="P19" s="179"/>
      <c r="R19" s="179"/>
      <c r="S19" s="179"/>
      <c r="T19" s="179"/>
      <c r="U19" s="179"/>
      <c r="V19" s="179"/>
      <c r="W19" s="179"/>
      <c r="Y19" s="98"/>
    </row>
    <row r="20" spans="1:25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97"/>
      <c r="O20" s="191" t="s">
        <v>463</v>
      </c>
      <c r="P20" s="191"/>
      <c r="Q20" s="107"/>
      <c r="R20" s="191" t="s">
        <v>462</v>
      </c>
      <c r="S20" s="191"/>
      <c r="T20" s="191"/>
      <c r="U20" s="191"/>
      <c r="V20" s="191"/>
      <c r="W20" s="191"/>
      <c r="Y20" s="98"/>
    </row>
    <row r="21" spans="1:25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108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10"/>
    </row>
    <row r="22" spans="1:25" ht="15.6" thickBot="1" x14ac:dyDescent="0.3">
      <c r="A22" s="97"/>
      <c r="L22" s="98"/>
      <c r="N22" s="97"/>
      <c r="Y22" s="98"/>
    </row>
    <row r="23" spans="1:25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94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6"/>
    </row>
    <row r="24" spans="1:25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234</v>
      </c>
      <c r="I24" s="158"/>
      <c r="J24" s="158"/>
      <c r="K24" s="158"/>
      <c r="L24" s="98"/>
      <c r="N24" s="97"/>
      <c r="Q24" s="155" t="s">
        <v>427</v>
      </c>
      <c r="R24" s="155"/>
      <c r="S24" s="156" t="s">
        <v>460</v>
      </c>
      <c r="T24" s="156"/>
      <c r="U24" s="158">
        <f>U2</f>
        <v>234</v>
      </c>
      <c r="V24" s="158"/>
      <c r="W24" s="158"/>
      <c r="X24" s="158"/>
      <c r="Y24" s="98"/>
    </row>
    <row r="25" spans="1:25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97"/>
      <c r="Q25" s="155"/>
      <c r="R25" s="155"/>
      <c r="S25" s="156"/>
      <c r="T25" s="156"/>
      <c r="U25" s="156"/>
      <c r="V25" s="156"/>
      <c r="W25" s="156"/>
      <c r="X25" s="156"/>
      <c r="Y25" s="98"/>
    </row>
    <row r="26" spans="1:25" ht="24" x14ac:dyDescent="0.5">
      <c r="A26" s="97"/>
      <c r="D26" s="152" t="s">
        <v>459</v>
      </c>
      <c r="E26" s="152"/>
      <c r="F26" s="153" t="s">
        <v>465</v>
      </c>
      <c r="G26" s="153"/>
      <c r="H26" s="190">
        <f>IF(H4="","",H4)</f>
        <v>0</v>
      </c>
      <c r="I26" s="190"/>
      <c r="J26" s="190"/>
      <c r="K26" s="190"/>
      <c r="L26" s="98"/>
      <c r="N26" s="97"/>
      <c r="Q26" s="152" t="s">
        <v>459</v>
      </c>
      <c r="R26" s="152"/>
      <c r="S26" s="153" t="s">
        <v>465</v>
      </c>
      <c r="T26" s="153"/>
      <c r="U26" s="190">
        <f>IF(U4="","",U4)</f>
        <v>0</v>
      </c>
      <c r="V26" s="190"/>
      <c r="W26" s="190"/>
      <c r="X26" s="190"/>
      <c r="Y26" s="98"/>
    </row>
    <row r="27" spans="1:25" ht="22.2" customHeight="1" x14ac:dyDescent="0.25">
      <c r="A27" s="97"/>
      <c r="E27" s="99" t="s">
        <v>461</v>
      </c>
      <c r="F27" s="153" t="s">
        <v>466</v>
      </c>
      <c r="G27" s="153"/>
      <c r="H27" s="190">
        <f>IF(H5="","",H5)</f>
        <v>364</v>
      </c>
      <c r="I27" s="190"/>
      <c r="J27" s="190"/>
      <c r="K27" s="190"/>
      <c r="L27" s="98"/>
      <c r="N27" s="97"/>
      <c r="R27" s="99" t="s">
        <v>461</v>
      </c>
      <c r="S27" s="153" t="s">
        <v>466</v>
      </c>
      <c r="T27" s="153"/>
      <c r="U27" s="190">
        <f>IF(U5="","",U5)</f>
        <v>364</v>
      </c>
      <c r="V27" s="190"/>
      <c r="W27" s="190"/>
      <c r="X27" s="190"/>
      <c r="Y27" s="98"/>
    </row>
    <row r="28" spans="1:25" ht="22.2" customHeight="1" x14ac:dyDescent="0.25">
      <c r="A28" s="97"/>
      <c r="B28" s="159" t="s">
        <v>454</v>
      </c>
      <c r="C28" s="192" t="str">
        <f>IF(C6="","",C6)</f>
        <v>LORIA ALVAREZ</v>
      </c>
      <c r="D28" s="193"/>
      <c r="E28" s="111" t="s">
        <v>29</v>
      </c>
      <c r="F28" s="153" t="s">
        <v>457</v>
      </c>
      <c r="G28" s="153"/>
      <c r="H28" s="190">
        <f>IF(H6="","",H6)</f>
        <v>0</v>
      </c>
      <c r="I28" s="190"/>
      <c r="J28" s="190"/>
      <c r="K28" s="190"/>
      <c r="L28" s="98"/>
      <c r="N28" s="97"/>
      <c r="O28" s="159" t="s">
        <v>454</v>
      </c>
      <c r="P28" s="192" t="str">
        <f>IF(P6="","",P6)</f>
        <v>LORIA ALVAREZ</v>
      </c>
      <c r="Q28" s="193"/>
      <c r="R28" s="111" t="s">
        <v>29</v>
      </c>
      <c r="S28" s="153" t="s">
        <v>457</v>
      </c>
      <c r="T28" s="153"/>
      <c r="U28" s="190">
        <f>IF(U6="","",U6)</f>
        <v>0</v>
      </c>
      <c r="V28" s="190"/>
      <c r="W28" s="190"/>
      <c r="X28" s="190"/>
      <c r="Y28" s="98"/>
    </row>
    <row r="29" spans="1:25" x14ac:dyDescent="0.25">
      <c r="A29" s="97"/>
      <c r="B29" s="159"/>
      <c r="C29" s="187"/>
      <c r="D29" s="189"/>
      <c r="E29" s="120">
        <f>IF(E7="","",E7)</f>
        <v>2024142</v>
      </c>
      <c r="F29" s="176"/>
      <c r="G29" s="176"/>
      <c r="H29" s="176"/>
      <c r="I29" s="176"/>
      <c r="J29" s="176"/>
      <c r="K29" s="176"/>
      <c r="L29" s="98"/>
      <c r="N29" s="97"/>
      <c r="O29" s="159"/>
      <c r="P29" s="187"/>
      <c r="Q29" s="189"/>
      <c r="R29" s="120">
        <f>IF(R7="","",R7)</f>
        <v>2024142</v>
      </c>
      <c r="S29" s="176"/>
      <c r="T29" s="176"/>
      <c r="U29" s="176"/>
      <c r="V29" s="176"/>
      <c r="W29" s="176"/>
      <c r="X29" s="176"/>
      <c r="Y29" s="98"/>
    </row>
    <row r="30" spans="1:25" x14ac:dyDescent="0.25">
      <c r="A30" s="97"/>
      <c r="B30" s="159" t="s">
        <v>455</v>
      </c>
      <c r="C30" s="194" t="str">
        <f>IF(C8="","",C8)</f>
        <v xml:space="preserve">TRESCIENTOS SESENTA Y CUATRO BOLIVIANOS </v>
      </c>
      <c r="D30" s="194"/>
      <c r="E30" s="194"/>
      <c r="F30" s="192" t="s">
        <v>837</v>
      </c>
      <c r="G30" s="193"/>
      <c r="H30" s="195">
        <f>IF(H8="","",H8)</f>
        <v>173</v>
      </c>
      <c r="I30" s="196"/>
      <c r="J30" s="196"/>
      <c r="K30" s="197"/>
      <c r="L30" s="98"/>
      <c r="N30" s="97"/>
      <c r="O30" s="159" t="s">
        <v>455</v>
      </c>
      <c r="P30" s="194" t="str">
        <f>IF(P8="","",P8)</f>
        <v xml:space="preserve">TRESCIENTOS SESENTA Y CUATRO BOLIVIANOS </v>
      </c>
      <c r="Q30" s="194"/>
      <c r="R30" s="194"/>
      <c r="S30" s="192" t="s">
        <v>837</v>
      </c>
      <c r="T30" s="193"/>
      <c r="U30" s="195">
        <f>IF(U8="","",U8)</f>
        <v>173</v>
      </c>
      <c r="V30" s="196"/>
      <c r="W30" s="196"/>
      <c r="X30" s="197"/>
      <c r="Y30" s="98"/>
    </row>
    <row r="31" spans="1:25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97"/>
      <c r="O31" s="159"/>
      <c r="P31" s="194"/>
      <c r="Q31" s="194"/>
      <c r="R31" s="194"/>
      <c r="S31" s="187"/>
      <c r="T31" s="189"/>
      <c r="U31" s="198"/>
      <c r="V31" s="199"/>
      <c r="W31" s="199"/>
      <c r="X31" s="200"/>
      <c r="Y31" s="98"/>
    </row>
    <row r="32" spans="1:25" x14ac:dyDescent="0.25">
      <c r="A32" s="97"/>
      <c r="B32" s="159" t="s">
        <v>456</v>
      </c>
      <c r="C32" s="192" t="str">
        <f>IF(C10="","",C10)</f>
        <v>INGRESOS PROGRAMA EXTENSIVO MONTESSORI</v>
      </c>
      <c r="D32" s="204"/>
      <c r="E32" s="204"/>
      <c r="F32" s="204"/>
      <c r="G32" s="204"/>
      <c r="H32" s="204"/>
      <c r="I32" s="204"/>
      <c r="J32" s="204"/>
      <c r="K32" s="193"/>
      <c r="L32" s="98"/>
      <c r="N32" s="97"/>
      <c r="O32" s="159" t="s">
        <v>456</v>
      </c>
      <c r="P32" s="192" t="str">
        <f>IF(P10="","",P10)</f>
        <v>INGRESOS PROGRAMA EXTENSIVO MONTESSORI</v>
      </c>
      <c r="Q32" s="204"/>
      <c r="R32" s="204"/>
      <c r="S32" s="204"/>
      <c r="T32" s="204"/>
      <c r="U32" s="204"/>
      <c r="V32" s="204"/>
      <c r="W32" s="204"/>
      <c r="X32" s="193"/>
      <c r="Y32" s="98"/>
    </row>
    <row r="33" spans="1:25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97"/>
      <c r="O33" s="159"/>
      <c r="P33" s="187"/>
      <c r="Q33" s="188"/>
      <c r="R33" s="188"/>
      <c r="S33" s="188"/>
      <c r="T33" s="188"/>
      <c r="U33" s="188"/>
      <c r="V33" s="188"/>
      <c r="W33" s="188"/>
      <c r="X33" s="189"/>
      <c r="Y33" s="98"/>
    </row>
    <row r="34" spans="1:25" ht="30.6" customHeight="1" x14ac:dyDescent="0.25">
      <c r="A34" s="97"/>
      <c r="B34" s="201" t="s">
        <v>467</v>
      </c>
      <c r="C34" s="192" t="str">
        <f>IF(C12="","",C12)</f>
        <v>PRIMERA CUOTA - FEBRERO</v>
      </c>
      <c r="D34" s="204"/>
      <c r="E34" s="204"/>
      <c r="F34" s="204"/>
      <c r="G34" s="204"/>
      <c r="H34" s="204"/>
      <c r="I34" s="204"/>
      <c r="J34" s="204"/>
      <c r="K34" s="193"/>
      <c r="L34" s="98"/>
      <c r="N34" s="97"/>
      <c r="O34" s="201" t="s">
        <v>467</v>
      </c>
      <c r="P34" s="192" t="str">
        <f>IF(P12="","",P12)</f>
        <v>PRIMERA CUOTA - FEBRERO</v>
      </c>
      <c r="Q34" s="204"/>
      <c r="R34" s="204"/>
      <c r="S34" s="204"/>
      <c r="T34" s="204"/>
      <c r="U34" s="204"/>
      <c r="V34" s="204"/>
      <c r="W34" s="204"/>
      <c r="X34" s="193"/>
      <c r="Y34" s="98"/>
    </row>
    <row r="35" spans="1:25" ht="21" customHeight="1" x14ac:dyDescent="0.25">
      <c r="A35" s="97"/>
      <c r="B35" s="202"/>
      <c r="C35" s="184" t="str">
        <f>IF(C13="","",C13)</f>
        <v xml:space="preserve">Alumnos : Loria Alvarez Luciana Valentina - Cursos : 3° Prim </v>
      </c>
      <c r="D35" s="185"/>
      <c r="E35" s="185"/>
      <c r="F35" s="185"/>
      <c r="G35" s="185"/>
      <c r="H35" s="185"/>
      <c r="I35" s="185"/>
      <c r="J35" s="185"/>
      <c r="K35" s="186"/>
      <c r="L35" s="98"/>
      <c r="N35" s="97"/>
      <c r="O35" s="202"/>
      <c r="P35" s="184" t="str">
        <f>IF(P13="","",P13)</f>
        <v xml:space="preserve">Alumnos : Loria Alvarez Luciana Valentina - Cursos : 3° Prim </v>
      </c>
      <c r="Q35" s="185"/>
      <c r="R35" s="185"/>
      <c r="S35" s="185"/>
      <c r="T35" s="185"/>
      <c r="U35" s="185"/>
      <c r="V35" s="185"/>
      <c r="W35" s="185"/>
      <c r="X35" s="186"/>
      <c r="Y35" s="98"/>
    </row>
    <row r="36" spans="1:25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  <c r="N36" s="97"/>
      <c r="O36" s="203"/>
      <c r="P36" s="187"/>
      <c r="Q36" s="188"/>
      <c r="R36" s="188"/>
      <c r="S36" s="188"/>
      <c r="T36" s="188"/>
      <c r="U36" s="188"/>
      <c r="V36" s="188"/>
      <c r="W36" s="188"/>
      <c r="X36" s="189"/>
      <c r="Y36" s="98"/>
    </row>
    <row r="37" spans="1:25" x14ac:dyDescent="0.25">
      <c r="A37" s="97"/>
      <c r="L37" s="98"/>
      <c r="N37" s="97"/>
      <c r="Y37" s="98"/>
    </row>
    <row r="38" spans="1:25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  <c r="N38" s="97"/>
      <c r="O38" s="106"/>
      <c r="P38" s="106" t="s">
        <v>458</v>
      </c>
      <c r="Q38" s="178">
        <f ca="1">Q16</f>
        <v>45364</v>
      </c>
      <c r="R38" s="178"/>
      <c r="S38" s="178"/>
      <c r="T38" s="178"/>
      <c r="U38" s="178"/>
      <c r="V38" s="178"/>
      <c r="W38" s="178"/>
      <c r="Y38" s="98"/>
    </row>
    <row r="39" spans="1:25" x14ac:dyDescent="0.25">
      <c r="A39" s="97"/>
      <c r="L39" s="98"/>
      <c r="N39" s="97"/>
      <c r="Y39" s="98"/>
    </row>
    <row r="40" spans="1:25" x14ac:dyDescent="0.25">
      <c r="A40" s="97"/>
      <c r="L40" s="98"/>
      <c r="N40" s="97"/>
      <c r="Y40" s="98"/>
    </row>
    <row r="41" spans="1:25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  <c r="N41" s="97"/>
      <c r="O41" s="179"/>
      <c r="P41" s="179"/>
      <c r="R41" s="179"/>
      <c r="S41" s="179"/>
      <c r="T41" s="179"/>
      <c r="U41" s="179"/>
      <c r="V41" s="179"/>
      <c r="W41" s="179"/>
      <c r="Y41" s="98"/>
    </row>
    <row r="42" spans="1:25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  <c r="N42" s="97"/>
      <c r="O42" s="191" t="s">
        <v>463</v>
      </c>
      <c r="P42" s="191"/>
      <c r="Q42" s="107"/>
      <c r="R42" s="191" t="s">
        <v>462</v>
      </c>
      <c r="S42" s="191"/>
      <c r="T42" s="191"/>
      <c r="U42" s="191"/>
      <c r="V42" s="191"/>
      <c r="W42" s="191"/>
      <c r="Y42" s="98"/>
    </row>
    <row r="43" spans="1:25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  <c r="N43" s="108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10"/>
    </row>
  </sheetData>
  <mergeCells count="112">
    <mergeCell ref="B42:C42"/>
    <mergeCell ref="E42:J42"/>
    <mergeCell ref="O42:P42"/>
    <mergeCell ref="R42:W42"/>
    <mergeCell ref="D38:J38"/>
    <mergeCell ref="Q38:W38"/>
    <mergeCell ref="B41:C41"/>
    <mergeCell ref="E41:J41"/>
    <mergeCell ref="O41:P41"/>
    <mergeCell ref="R41:W41"/>
    <mergeCell ref="B30:B31"/>
    <mergeCell ref="C30:E31"/>
    <mergeCell ref="F30:G31"/>
    <mergeCell ref="H30:K31"/>
    <mergeCell ref="O30:O31"/>
    <mergeCell ref="P30:R31"/>
    <mergeCell ref="B34:B36"/>
    <mergeCell ref="C34:K34"/>
    <mergeCell ref="O34:O36"/>
    <mergeCell ref="P34:X34"/>
    <mergeCell ref="C35:K36"/>
    <mergeCell ref="P35:X36"/>
    <mergeCell ref="S30:T31"/>
    <mergeCell ref="U30:X31"/>
    <mergeCell ref="B32:B33"/>
    <mergeCell ref="C32:K33"/>
    <mergeCell ref="O32:O33"/>
    <mergeCell ref="P32:X33"/>
    <mergeCell ref="F27:G27"/>
    <mergeCell ref="H27:K27"/>
    <mergeCell ref="S27:T27"/>
    <mergeCell ref="U27:X27"/>
    <mergeCell ref="B28:B29"/>
    <mergeCell ref="C28:D29"/>
    <mergeCell ref="F28:G28"/>
    <mergeCell ref="H28:K28"/>
    <mergeCell ref="O28:O29"/>
    <mergeCell ref="P28:Q29"/>
    <mergeCell ref="S28:T28"/>
    <mergeCell ref="U28:X28"/>
    <mergeCell ref="F29:K29"/>
    <mergeCell ref="S29:X29"/>
    <mergeCell ref="F25:K25"/>
    <mergeCell ref="S25:X25"/>
    <mergeCell ref="D26:E26"/>
    <mergeCell ref="F26:G26"/>
    <mergeCell ref="H26:K26"/>
    <mergeCell ref="Q26:R26"/>
    <mergeCell ref="S26:T26"/>
    <mergeCell ref="U26:X26"/>
    <mergeCell ref="B20:C20"/>
    <mergeCell ref="E20:J20"/>
    <mergeCell ref="O20:P20"/>
    <mergeCell ref="R20:W20"/>
    <mergeCell ref="D24:E25"/>
    <mergeCell ref="F24:G24"/>
    <mergeCell ref="H24:K24"/>
    <mergeCell ref="Q24:R25"/>
    <mergeCell ref="S24:T24"/>
    <mergeCell ref="U24:X24"/>
    <mergeCell ref="D16:J16"/>
    <mergeCell ref="Q16:W16"/>
    <mergeCell ref="B19:C19"/>
    <mergeCell ref="E19:J19"/>
    <mergeCell ref="O19:P19"/>
    <mergeCell ref="R19:W19"/>
    <mergeCell ref="B12:B14"/>
    <mergeCell ref="C12:K12"/>
    <mergeCell ref="O12:O14"/>
    <mergeCell ref="P12:X12"/>
    <mergeCell ref="C13:K14"/>
    <mergeCell ref="P13:X14"/>
    <mergeCell ref="S8:T9"/>
    <mergeCell ref="U8:X9"/>
    <mergeCell ref="B10:B11"/>
    <mergeCell ref="C10:K11"/>
    <mergeCell ref="O10:O11"/>
    <mergeCell ref="P10:X11"/>
    <mergeCell ref="S6:T6"/>
    <mergeCell ref="U6:X6"/>
    <mergeCell ref="F7:K7"/>
    <mergeCell ref="S7:X7"/>
    <mergeCell ref="B8:B9"/>
    <mergeCell ref="C8:E9"/>
    <mergeCell ref="F8:G9"/>
    <mergeCell ref="H8:K9"/>
    <mergeCell ref="O8:O9"/>
    <mergeCell ref="P8:R9"/>
    <mergeCell ref="F5:G5"/>
    <mergeCell ref="H5:K5"/>
    <mergeCell ref="S5:T5"/>
    <mergeCell ref="U5:X5"/>
    <mergeCell ref="B6:B7"/>
    <mergeCell ref="C6:D7"/>
    <mergeCell ref="F6:G6"/>
    <mergeCell ref="H6:K6"/>
    <mergeCell ref="O6:O7"/>
    <mergeCell ref="P6:Q7"/>
    <mergeCell ref="D4:E4"/>
    <mergeCell ref="F4:G4"/>
    <mergeCell ref="H4:K4"/>
    <mergeCell ref="Q4:R4"/>
    <mergeCell ref="S4:T4"/>
    <mergeCell ref="U4:X4"/>
    <mergeCell ref="D2:E3"/>
    <mergeCell ref="F2:G2"/>
    <mergeCell ref="H2:K2"/>
    <mergeCell ref="Q2:R3"/>
    <mergeCell ref="S2:T2"/>
    <mergeCell ref="U2:X2"/>
    <mergeCell ref="F3:K3"/>
    <mergeCell ref="S3:X3"/>
  </mergeCells>
  <pageMargins left="0.55000000000000004" right="0.23622047244094502" top="0.59055118110236204" bottom="0.43307086614173201" header="0.31496062992126" footer="0.31496062992126"/>
  <pageSetup scale="96" fitToWidth="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C824-C6E2-4180-9814-0FC807A52B44}">
  <sheetPr codeName="Hoja10">
    <tabColor rgb="FF0070C0"/>
    <pageSetUpPr fitToPage="1"/>
  </sheetPr>
  <dimension ref="A1:U1048555"/>
  <sheetViews>
    <sheetView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2" width="4.33203125" style="42" customWidth="1"/>
    <col min="13" max="13" width="2.44140625" style="42" customWidth="1"/>
    <col min="14" max="14" width="8.109375" style="42" customWidth="1"/>
    <col min="15" max="15" width="14.6640625" style="42" customWidth="1"/>
    <col min="16" max="17" width="10.6640625" style="42" customWidth="1"/>
    <col min="18" max="18" width="2.5546875" style="42" customWidth="1"/>
    <col min="19" max="19" width="24.88671875" style="42" customWidth="1"/>
    <col min="20" max="20" width="28.88671875" style="42" customWidth="1"/>
    <col min="21" max="21" width="10" style="42" customWidth="1"/>
    <col min="22" max="16384" width="11.5546875" style="42"/>
  </cols>
  <sheetData>
    <row r="1" spans="1:21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S1" s="232" t="s">
        <v>653</v>
      </c>
      <c r="T1" s="233"/>
    </row>
    <row r="2" spans="1:21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S2" s="234" t="s">
        <v>654</v>
      </c>
      <c r="T2" s="234"/>
    </row>
    <row r="3" spans="1:21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S3" s="235" t="s">
        <v>867</v>
      </c>
      <c r="T3" s="235"/>
    </row>
    <row r="4" spans="1:21" ht="24" customHeight="1" x14ac:dyDescent="0.5">
      <c r="A4" s="97"/>
      <c r="D4" s="152" t="s">
        <v>459</v>
      </c>
      <c r="E4" s="152"/>
      <c r="F4" s="153" t="s">
        <v>465</v>
      </c>
      <c r="G4" s="153"/>
      <c r="H4" s="214"/>
      <c r="I4" s="214"/>
      <c r="J4" s="214"/>
      <c r="K4" s="214"/>
      <c r="L4" s="98"/>
      <c r="S4" s="234" t="s">
        <v>29</v>
      </c>
      <c r="T4" s="234"/>
    </row>
    <row r="5" spans="1:21" ht="22.95" customHeight="1" x14ac:dyDescent="0.25">
      <c r="A5" s="97"/>
      <c r="E5" s="99" t="s">
        <v>461</v>
      </c>
      <c r="F5" s="153" t="s">
        <v>466</v>
      </c>
      <c r="G5" s="153"/>
      <c r="H5" s="214"/>
      <c r="I5" s="214"/>
      <c r="J5" s="214"/>
      <c r="K5" s="214"/>
      <c r="L5" s="98"/>
      <c r="M5" s="100">
        <f>H4+(6.97*H6)</f>
        <v>0</v>
      </c>
      <c r="S5" s="236">
        <f>VLOOKUP(S3,CODIGOS!C2:M584,11,FALSE)</f>
        <v>2024022</v>
      </c>
      <c r="T5" s="236"/>
    </row>
    <row r="6" spans="1:21" ht="22.95" customHeight="1" x14ac:dyDescent="0.25">
      <c r="A6" s="97"/>
      <c r="B6" s="159" t="s">
        <v>454</v>
      </c>
      <c r="C6" s="210"/>
      <c r="D6" s="211"/>
      <c r="E6" s="111" t="s">
        <v>29</v>
      </c>
      <c r="F6" s="153" t="s">
        <v>457</v>
      </c>
      <c r="G6" s="153"/>
      <c r="H6" s="214"/>
      <c r="I6" s="214"/>
      <c r="J6" s="214"/>
      <c r="K6" s="214"/>
      <c r="L6" s="98"/>
      <c r="S6" s="236"/>
      <c r="T6" s="236"/>
    </row>
    <row r="7" spans="1:21" ht="15.6" x14ac:dyDescent="0.25">
      <c r="A7" s="97"/>
      <c r="B7" s="159"/>
      <c r="C7" s="212"/>
      <c r="D7" s="213"/>
      <c r="E7" s="73"/>
      <c r="F7" s="176"/>
      <c r="G7" s="176"/>
      <c r="H7" s="176"/>
      <c r="I7" s="176"/>
      <c r="J7" s="176"/>
      <c r="K7" s="176"/>
      <c r="L7" s="98"/>
    </row>
    <row r="8" spans="1:21" ht="15" customHeight="1" x14ac:dyDescent="0.3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AMERICANOS",0)),[1]!cMoneda2(M5+H5,"BOLIVIANO","BOLIVIANOS",0)),[1]!cMoneda2(H5+M5,"BOLIVIANO","BOLIVIANOS",0))</f>
        <v/>
      </c>
      <c r="D8" s="177"/>
      <c r="E8" s="177"/>
      <c r="F8" s="160" t="s">
        <v>837</v>
      </c>
      <c r="G8" s="161"/>
      <c r="H8" s="215"/>
      <c r="I8" s="216"/>
      <c r="J8" s="216"/>
      <c r="K8" s="217"/>
      <c r="L8" s="98"/>
      <c r="S8" s="102" t="s">
        <v>658</v>
      </c>
      <c r="T8" s="148" t="str">
        <f>VLOOKUP(S5,CODIGOS!A2:L584,3,FALSE)</f>
        <v>Arispe Carpio Sebastian</v>
      </c>
    </row>
    <row r="9" spans="1:21" ht="15" customHeight="1" x14ac:dyDescent="0.3">
      <c r="A9" s="97"/>
      <c r="B9" s="159"/>
      <c r="C9" s="177"/>
      <c r="D9" s="177"/>
      <c r="E9" s="177"/>
      <c r="F9" s="162"/>
      <c r="G9" s="163"/>
      <c r="H9" s="218"/>
      <c r="I9" s="219"/>
      <c r="J9" s="219"/>
      <c r="K9" s="220"/>
      <c r="L9" s="98"/>
      <c r="S9" s="102" t="s">
        <v>657</v>
      </c>
      <c r="T9" s="103" t="str">
        <f>VLOOKUP(S5,CODIGOS!A2:L584,4,FALSE)</f>
        <v>ANDREINA</v>
      </c>
    </row>
    <row r="10" spans="1:21" ht="15.6" x14ac:dyDescent="0.3">
      <c r="A10" s="97"/>
      <c r="B10" s="159" t="s">
        <v>456</v>
      </c>
      <c r="C10" s="221"/>
      <c r="D10" s="222"/>
      <c r="E10" s="222"/>
      <c r="F10" s="222"/>
      <c r="G10" s="222"/>
      <c r="H10" s="222"/>
      <c r="I10" s="222"/>
      <c r="J10" s="222"/>
      <c r="K10" s="223"/>
      <c r="L10" s="98"/>
      <c r="S10" s="102" t="s">
        <v>659</v>
      </c>
      <c r="T10" s="103" t="str">
        <f>VLOOKUP(S5,CODIGOS!A2:L584,2,FALSE)</f>
        <v>5° Prim</v>
      </c>
    </row>
    <row r="11" spans="1:21" ht="15.6" x14ac:dyDescent="0.3">
      <c r="A11" s="97"/>
      <c r="B11" s="159"/>
      <c r="C11" s="224"/>
      <c r="D11" s="225"/>
      <c r="E11" s="225"/>
      <c r="F11" s="225"/>
      <c r="G11" s="225"/>
      <c r="H11" s="225"/>
      <c r="I11" s="225"/>
      <c r="J11" s="225"/>
      <c r="K11" s="226"/>
      <c r="L11" s="98"/>
      <c r="S11" s="102" t="s">
        <v>841</v>
      </c>
      <c r="T11" s="103">
        <f>VLOOKUP(S5,CODIGOS!A2:L584,9,FALSE)</f>
        <v>823</v>
      </c>
      <c r="U11" s="230">
        <f>T11+T12</f>
        <v>1200</v>
      </c>
    </row>
    <row r="12" spans="1:21" ht="30.6" customHeight="1" x14ac:dyDescent="0.3">
      <c r="A12" s="97"/>
      <c r="B12" s="180" t="s">
        <v>467</v>
      </c>
      <c r="C12" s="210"/>
      <c r="D12" s="227"/>
      <c r="E12" s="227"/>
      <c r="F12" s="227"/>
      <c r="G12" s="227"/>
      <c r="H12" s="227"/>
      <c r="I12" s="227"/>
      <c r="J12" s="227"/>
      <c r="K12" s="211"/>
      <c r="L12" s="98"/>
      <c r="S12" s="102" t="s">
        <v>840</v>
      </c>
      <c r="T12" s="103">
        <f>VLOOKUP(S5,CODIGOS!A2:L584,10,FALSE)</f>
        <v>377</v>
      </c>
      <c r="U12" s="231"/>
    </row>
    <row r="13" spans="1:21" ht="21" customHeight="1" x14ac:dyDescent="0.3">
      <c r="A13" s="97"/>
      <c r="B13" s="181"/>
      <c r="C13" s="184" t="str">
        <f>IF(E7="","",CONCATENATE("Alumnos : ",VLOOKUP(E7,CODIGOS!A2:L584,3,FALSE)," - Cursos : ",VLOOKUP(E7,CODIGOS!A2:L584,2,FALSE)))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N13" s="228" t="s">
        <v>666</v>
      </c>
      <c r="O13" s="229"/>
      <c r="P13" s="229"/>
      <c r="Q13" s="229"/>
      <c r="S13" s="102" t="s">
        <v>660</v>
      </c>
      <c r="T13" s="103" t="str">
        <f>VLOOKUP(S5,CODIGOS!A2:L584,5,FALSE)</f>
        <v>ANDREINA CARPIO</v>
      </c>
    </row>
    <row r="14" spans="1:21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44" t="s">
        <v>460</v>
      </c>
      <c r="O14" s="44" t="s">
        <v>838</v>
      </c>
      <c r="P14" s="44" t="s">
        <v>839</v>
      </c>
      <c r="Q14" s="44" t="s">
        <v>2087</v>
      </c>
      <c r="S14" s="102" t="s">
        <v>661</v>
      </c>
      <c r="T14" s="103">
        <f>VLOOKUP(S5,CODIGOS!A2:L584,6,FALSE)</f>
        <v>7267059</v>
      </c>
    </row>
    <row r="15" spans="1:21" x14ac:dyDescent="0.25">
      <c r="A15" s="97"/>
      <c r="L15" s="98"/>
      <c r="N15" s="113">
        <v>1</v>
      </c>
      <c r="O15" s="114">
        <f ca="1">HLOOKUP(S5,'FLUJO DE CAJA'!O1490:AGN1510,2,FALSE)</f>
        <v>377</v>
      </c>
      <c r="P15" s="115">
        <f ca="1">HLOOKUP(S5,'FLUJO DE CAJA'!O1513:AGN1533,2,FALSE)</f>
        <v>125</v>
      </c>
      <c r="Q15" s="115">
        <f ca="1">HLOOKUP(S5,'FLUJO DE CAJA'!O1536:AGN1556,2,FALSE)</f>
        <v>663</v>
      </c>
      <c r="S15" s="194" t="str">
        <f>CONCATENATE("TOTAL DESPERTAD Y AKADIA 2024 - ci.",VLOOKUP(S5,CODIGOS!A2:L584,11,FALSE))</f>
        <v>TOTAL DESPERTAD Y AKADIA 2024 - ci.1200</v>
      </c>
      <c r="T15" s="206">
        <f>VLOOKUP(S5,CODIGOS!A2:L584,11,FALSE)+(VLOOKUP(S5,CODIGOS!A2:N584,14,FALSE)*(T11+T12))</f>
        <v>13200</v>
      </c>
    </row>
    <row r="16" spans="1:21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45">
        <v>2</v>
      </c>
      <c r="O16" s="116">
        <f ca="1">HLOOKUP(S5,'FLUJO DE CAJA'!O1490:AGN1510,3,FALSE)</f>
        <v>823</v>
      </c>
      <c r="P16" s="117">
        <f ca="1">HLOOKUP(S5,'FLUJO DE CAJA'!O1513:AGN1533,3,FALSE)</f>
        <v>120</v>
      </c>
      <c r="Q16" s="117">
        <f ca="1">HLOOKUP(S5,'FLUJO DE CAJA'!O1536:AGN1556,3,FALSE)</f>
        <v>663</v>
      </c>
      <c r="S16" s="194"/>
      <c r="T16" s="206"/>
    </row>
    <row r="17" spans="1:20" ht="15.6" customHeight="1" x14ac:dyDescent="0.25">
      <c r="A17" s="97"/>
      <c r="L17" s="98"/>
      <c r="N17" s="45">
        <v>3</v>
      </c>
      <c r="O17" s="118">
        <f ca="1">HLOOKUP(S5,'FLUJO DE CAJA'!O1490:AGN1510,4,FALSE)</f>
        <v>1200</v>
      </c>
      <c r="P17" s="119" t="str">
        <f ca="1">HLOOKUP(S5,'FLUJO DE CAJA'!O1513:AGN1533,4,FALSE)</f>
        <v>S/F</v>
      </c>
      <c r="Q17" s="119">
        <f ca="1">HLOOKUP(S5,'FLUJO DE CAJA'!O1536:AGN1556,4,FALSE)</f>
        <v>32</v>
      </c>
      <c r="S17" s="207" t="s">
        <v>662</v>
      </c>
      <c r="T17" s="208">
        <f ca="1">SUM(O15:O34)</f>
        <v>3600</v>
      </c>
    </row>
    <row r="18" spans="1:20" x14ac:dyDescent="0.25">
      <c r="A18" s="97"/>
      <c r="L18" s="98"/>
      <c r="N18" s="45">
        <v>4</v>
      </c>
      <c r="O18" s="118">
        <f ca="1">HLOOKUP(S5,'FLUJO DE CAJA'!O1490:AGN1510,5,FALSE)</f>
        <v>377</v>
      </c>
      <c r="P18" s="119">
        <f ca="1">HLOOKUP(S5,'FLUJO DE CAJA'!O1513:AGN1533,5,FALSE)</f>
        <v>11</v>
      </c>
      <c r="Q18" s="119">
        <f ca="1">HLOOKUP(S5,'FLUJO DE CAJA'!O1536:AGN1556,5,FALSE)</f>
        <v>6</v>
      </c>
      <c r="S18" s="207"/>
      <c r="T18" s="208"/>
    </row>
    <row r="19" spans="1:20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45">
        <v>5</v>
      </c>
      <c r="O19" s="118">
        <f ca="1">HLOOKUP(S5,'FLUJO DE CAJA'!O1490:AGN1510,6,FALSE)</f>
        <v>823</v>
      </c>
      <c r="P19" s="119">
        <f ca="1">HLOOKUP(S5,'FLUJO DE CAJA'!O1513:AGN1533,6,FALSE)</f>
        <v>13</v>
      </c>
      <c r="Q19" s="119">
        <f ca="1">HLOOKUP(S5,'FLUJO DE CAJA'!O1536:AGN1556,6,FALSE)</f>
        <v>5</v>
      </c>
      <c r="S19" s="207" t="s">
        <v>663</v>
      </c>
      <c r="T19" s="209">
        <f ca="1">T15-T17</f>
        <v>9600</v>
      </c>
    </row>
    <row r="20" spans="1:20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45">
        <v>6</v>
      </c>
      <c r="O20" s="118" t="str">
        <f ca="1">HLOOKUP(S5,'FLUJO DE CAJA'!O1490:AGN1510,7,FALSE)</f>
        <v/>
      </c>
      <c r="P20" s="119" t="str">
        <f ca="1">HLOOKUP(S5,'FLUJO DE CAJA'!O1513:AGN1533,7,FALSE)</f>
        <v/>
      </c>
      <c r="Q20" s="119" t="str">
        <f ca="1">HLOOKUP(S5,'FLUJO DE CAJA'!O1536:AGN1556,7,FALSE)</f>
        <v/>
      </c>
      <c r="S20" s="207"/>
      <c r="T20" s="209"/>
    </row>
    <row r="21" spans="1:20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45">
        <v>7</v>
      </c>
      <c r="O21" s="118" t="str">
        <f ca="1">HLOOKUP(S5,'FLUJO DE CAJA'!O1490:AGN1510,8,FALSE)</f>
        <v/>
      </c>
      <c r="P21" s="119" t="str">
        <f ca="1">HLOOKUP(S5,'FLUJO DE CAJA'!O1513:AGN1533,8,FALSE)</f>
        <v/>
      </c>
      <c r="Q21" s="119" t="str">
        <f ca="1">HLOOKUP(S5,'FLUJO DE CAJA'!O1536:AGN1556,8,FALSE)</f>
        <v/>
      </c>
      <c r="S21" s="205">
        <f ca="1">IFERROR(ROUNDDOWN(T17/(T11+T12),0),"sin pagos")</f>
        <v>3</v>
      </c>
    </row>
    <row r="22" spans="1:20" ht="15.6" thickBot="1" x14ac:dyDescent="0.3">
      <c r="A22" s="97"/>
      <c r="L22" s="98"/>
      <c r="N22" s="45">
        <v>8</v>
      </c>
      <c r="O22" s="118" t="str">
        <f ca="1">HLOOKUP(S5,'FLUJO DE CAJA'!O1490:AGN1510,9,FALSE)</f>
        <v/>
      </c>
      <c r="P22" s="119" t="str">
        <f ca="1">HLOOKUP(S5,'FLUJO DE CAJA'!O1513:AGN1533,9,FALSE)</f>
        <v/>
      </c>
      <c r="Q22" s="119" t="str">
        <f ca="1">HLOOKUP(S5,'FLUJO DE CAJA'!O1536:AGN1556,9,FALSE)</f>
        <v/>
      </c>
      <c r="S22" s="205"/>
    </row>
    <row r="23" spans="1:20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45">
        <v>9</v>
      </c>
      <c r="O23" s="118" t="str">
        <f ca="1">HLOOKUP(S5,'FLUJO DE CAJA'!O1490:AGN1510,10,FALSE)</f>
        <v/>
      </c>
      <c r="P23" s="119" t="str">
        <f ca="1">HLOOKUP(S5,'FLUJO DE CAJA'!O1513:AGN1533,10,FALSE)</f>
        <v/>
      </c>
      <c r="Q23" s="119" t="str">
        <f ca="1">HLOOKUP(S5,'FLUJO DE CAJA'!O1536:AGN1556,10,FALSE)</f>
        <v/>
      </c>
    </row>
    <row r="24" spans="1:20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  <c r="N24" s="45">
        <v>10</v>
      </c>
      <c r="O24" s="118" t="str">
        <f ca="1">HLOOKUP(S5,'FLUJO DE CAJA'!O1490:AGN1510,11,FALSE)</f>
        <v/>
      </c>
      <c r="P24" s="119" t="str">
        <f ca="1">HLOOKUP(S5,'FLUJO DE CAJA'!O1513:AGN1533,11,FALSE)</f>
        <v/>
      </c>
      <c r="Q24" s="119" t="str">
        <f ca="1">HLOOKUP(S5,'FLUJO DE CAJA'!O1536:AGN1556,11,FALSE)</f>
        <v/>
      </c>
    </row>
    <row r="25" spans="1:20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45">
        <v>11</v>
      </c>
      <c r="O25" s="118" t="str">
        <f ca="1">HLOOKUP(S5,'FLUJO DE CAJA'!O1490:AGN1510,12,FALSE)</f>
        <v/>
      </c>
      <c r="P25" s="119" t="str">
        <f ca="1">HLOOKUP(S5,'FLUJO DE CAJA'!O1513:AGN1533,12,FALSE)</f>
        <v/>
      </c>
      <c r="Q25" s="119" t="str">
        <f ca="1">HLOOKUP(S5,'FLUJO DE CAJA'!O1536:AGN1556,12,FALSE)</f>
        <v/>
      </c>
    </row>
    <row r="26" spans="1:20" ht="24" x14ac:dyDescent="0.5">
      <c r="A26" s="97"/>
      <c r="D26" s="152" t="s">
        <v>459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  <c r="N26" s="45">
        <v>12</v>
      </c>
      <c r="O26" s="118" t="str">
        <f ca="1">HLOOKUP(S5,'FLUJO DE CAJA'!O1490:AGN1510,13,FALSE)</f>
        <v/>
      </c>
      <c r="P26" s="119" t="str">
        <f ca="1">HLOOKUP(S5,'FLUJO DE CAJA'!O1513:AGN1533,13,FALSE)</f>
        <v/>
      </c>
      <c r="Q26" s="119" t="str">
        <f ca="1">HLOOKUP(S5,'FLUJO DE CAJA'!O1536:AGN1556,13,FALSE)</f>
        <v/>
      </c>
    </row>
    <row r="27" spans="1:20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  <c r="N27" s="45">
        <v>13</v>
      </c>
      <c r="O27" s="116" t="str">
        <f ca="1">HLOOKUP(S5,'FLUJO DE CAJA'!O1490:AGN1510,14,FALSE)</f>
        <v/>
      </c>
      <c r="P27" s="117" t="str">
        <f ca="1">HLOOKUP(S5,'FLUJO DE CAJA'!O1513:AGN1533,14,FALSE)</f>
        <v/>
      </c>
      <c r="Q27" s="117" t="str">
        <f ca="1">HLOOKUP(S5,'FLUJO DE CAJA'!O1536:AGN1556,14,FALSE)</f>
        <v/>
      </c>
    </row>
    <row r="28" spans="1:20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153" t="s">
        <v>457</v>
      </c>
      <c r="G28" s="153"/>
      <c r="H28" s="190" t="str">
        <f>IF(H6="","",H6)</f>
        <v/>
      </c>
      <c r="I28" s="190"/>
      <c r="J28" s="190"/>
      <c r="K28" s="190"/>
      <c r="L28" s="98"/>
      <c r="N28" s="45">
        <v>14</v>
      </c>
      <c r="O28" s="116" t="str">
        <f ca="1">HLOOKUP(S5,'FLUJO DE CAJA'!O1490:AGN1510,15,FALSE)</f>
        <v/>
      </c>
      <c r="P28" s="117" t="str">
        <f ca="1">HLOOKUP(S5,'FLUJO DE CAJA'!O1513:AGN1533,15,FALSE)</f>
        <v/>
      </c>
      <c r="Q28" s="117" t="str">
        <f ca="1">HLOOKUP(S5,'FLUJO DE CAJA'!O1536:AGN1556,15,FALSE)</f>
        <v/>
      </c>
    </row>
    <row r="29" spans="1:20" x14ac:dyDescent="0.25">
      <c r="A29" s="97"/>
      <c r="B29" s="159"/>
      <c r="C29" s="187"/>
      <c r="D29" s="189"/>
      <c r="E29" s="120" t="str">
        <f>IF(E7="","",E7)</f>
        <v/>
      </c>
      <c r="F29" s="176"/>
      <c r="G29" s="176"/>
      <c r="H29" s="176"/>
      <c r="I29" s="176"/>
      <c r="J29" s="176"/>
      <c r="K29" s="176"/>
      <c r="L29" s="98"/>
      <c r="N29" s="45">
        <v>15</v>
      </c>
      <c r="O29" s="116" t="str">
        <f ca="1">HLOOKUP(S5,'FLUJO DE CAJA'!O1490:AGN1510,16,FALSE)</f>
        <v/>
      </c>
      <c r="P29" s="117" t="str">
        <f ca="1">HLOOKUP(S5,'FLUJO DE CAJA'!O1513:AGN1533,16,FALSE)</f>
        <v/>
      </c>
      <c r="Q29" s="117" t="str">
        <f ca="1">HLOOKUP(S5,'FLUJO DE CAJA'!O1536:AGN1556,16,FALSE)</f>
        <v/>
      </c>
    </row>
    <row r="30" spans="1:20" x14ac:dyDescent="0.25">
      <c r="A30" s="97"/>
      <c r="B30" s="159" t="s">
        <v>455</v>
      </c>
      <c r="C30" s="194" t="str">
        <f>IF(C8="","",C8)</f>
        <v/>
      </c>
      <c r="D30" s="194"/>
      <c r="E30" s="194"/>
      <c r="F30" s="192" t="s">
        <v>837</v>
      </c>
      <c r="G30" s="193"/>
      <c r="H30" s="195" t="str">
        <f>IF(H8="","",H8)</f>
        <v/>
      </c>
      <c r="I30" s="196"/>
      <c r="J30" s="196"/>
      <c r="K30" s="197"/>
      <c r="L30" s="98"/>
      <c r="N30" s="45">
        <v>16</v>
      </c>
      <c r="O30" s="116" t="str">
        <f ca="1">HLOOKUP(S5,'FLUJO DE CAJA'!O1490:AGN1510,17,FALSE)</f>
        <v/>
      </c>
      <c r="P30" s="117" t="str">
        <f ca="1">HLOOKUP(S5,'FLUJO DE CAJA'!O1513:AGN1533,17,FALSE)</f>
        <v/>
      </c>
      <c r="Q30" s="117" t="str">
        <f ca="1">HLOOKUP(S5,'FLUJO DE CAJA'!O1536:AGN1556,17,FALSE)</f>
        <v/>
      </c>
    </row>
    <row r="31" spans="1:20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45">
        <v>17</v>
      </c>
      <c r="O31" s="116" t="str">
        <f ca="1">HLOOKUP(S5,'FLUJO DE CAJA'!O1490:AGN1510,18,FALSE)</f>
        <v/>
      </c>
      <c r="P31" s="117" t="str">
        <f ca="1">HLOOKUP(S5,'FLUJO DE CAJA'!O1513:AGN1533,18,FALSE)</f>
        <v/>
      </c>
      <c r="Q31" s="117" t="str">
        <f ca="1">HLOOKUP(S5,'FLUJO DE CAJA'!O1536:AGN1556,18,FALSE)</f>
        <v/>
      </c>
    </row>
    <row r="32" spans="1:20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  <c r="N32" s="45">
        <v>18</v>
      </c>
      <c r="O32" s="116" t="str">
        <f ca="1">HLOOKUP(S5,'FLUJO DE CAJA'!O1490:AGN1510,19,FALSE)</f>
        <v/>
      </c>
      <c r="P32" s="117" t="str">
        <f ca="1">HLOOKUP(S5,'FLUJO DE CAJA'!O1513:AGN1533,19,FALSE)</f>
        <v/>
      </c>
      <c r="Q32" s="117" t="str">
        <f ca="1">HLOOKUP(S5,'FLUJO DE CAJA'!O1536:AGN1556,19,FALSE)</f>
        <v/>
      </c>
    </row>
    <row r="33" spans="1:17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45">
        <v>19</v>
      </c>
      <c r="O33" s="116" t="str">
        <f ca="1">HLOOKUP(S5,'FLUJO DE CAJA'!O1490:AGN1510,20,FALSE)</f>
        <v/>
      </c>
      <c r="P33" s="117" t="str">
        <f ca="1">HLOOKUP(S5,'FLUJO DE CAJA'!O1513:AGN1533,20,FALSE)</f>
        <v/>
      </c>
      <c r="Q33" s="117" t="str">
        <f ca="1">HLOOKUP(S5,'FLUJO DE CAJA'!O1536:AGN1556,20,FALSE)</f>
        <v/>
      </c>
    </row>
    <row r="34" spans="1:17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  <c r="N34" s="45">
        <v>20</v>
      </c>
      <c r="O34" s="116" t="str">
        <f ca="1">HLOOKUP(S5,'FLUJO DE CAJA'!O1490:AGN1510,21,FALSE)</f>
        <v/>
      </c>
      <c r="P34" s="117" t="str">
        <f ca="1">HLOOKUP(S5,'FLUJO DE CAJA'!O1513:AGN1533,21,FALSE)</f>
        <v/>
      </c>
      <c r="Q34" s="117" t="str">
        <f ca="1">HLOOKUP(S5,'FLUJO DE CAJA'!O1536:AGN1556,21,FALSE)</f>
        <v/>
      </c>
    </row>
    <row r="35" spans="1:17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7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7" x14ac:dyDescent="0.25">
      <c r="A37" s="97"/>
      <c r="L37" s="98"/>
    </row>
    <row r="38" spans="1:17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7" x14ac:dyDescent="0.25">
      <c r="A39" s="97"/>
      <c r="L39" s="98"/>
    </row>
    <row r="40" spans="1:17" x14ac:dyDescent="0.25">
      <c r="A40" s="97"/>
      <c r="L40" s="98"/>
    </row>
    <row r="41" spans="1:17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7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7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45" spans="16:16" x14ac:dyDescent="0.25">
      <c r="P1048545" s="42" t="b">
        <v>0</v>
      </c>
    </row>
    <row r="1048546" spans="16:16" x14ac:dyDescent="0.25">
      <c r="P1048546" s="42" t="b">
        <v>0</v>
      </c>
    </row>
    <row r="1048547" spans="16:16" x14ac:dyDescent="0.25">
      <c r="P1048547" s="42" t="b">
        <v>0</v>
      </c>
    </row>
    <row r="1048548" spans="16:16" x14ac:dyDescent="0.25">
      <c r="P1048548" s="42" t="b">
        <v>0</v>
      </c>
    </row>
    <row r="1048549" spans="16:16" x14ac:dyDescent="0.25">
      <c r="P1048549" s="42" t="b">
        <v>0</v>
      </c>
    </row>
    <row r="1048550" spans="16:16" x14ac:dyDescent="0.25">
      <c r="P1048550" s="42" t="b">
        <v>0</v>
      </c>
    </row>
    <row r="1048551" spans="16:16" x14ac:dyDescent="0.25">
      <c r="P1048551" s="42" t="b">
        <v>0</v>
      </c>
    </row>
    <row r="1048552" spans="16:16" x14ac:dyDescent="0.25">
      <c r="P1048552" s="42" t="b">
        <v>0</v>
      </c>
    </row>
    <row r="1048553" spans="16:16" x14ac:dyDescent="0.25">
      <c r="P1048553" s="42" t="b">
        <v>0</v>
      </c>
    </row>
    <row r="1048554" spans="16:16" x14ac:dyDescent="0.25">
      <c r="P1048554" s="42" t="b">
        <v>0</v>
      </c>
    </row>
    <row r="1048555" spans="16:16" x14ac:dyDescent="0.25">
      <c r="P1048555" s="42" t="b">
        <v>0</v>
      </c>
    </row>
  </sheetData>
  <sheetProtection algorithmName="SHA-512" hashValue="s3zpTvfxOvIDv+Jw+3rxwWIyQDjSPaqle0NcGJg0mlfs87B1Ewi10AleGnblwBuTCXEH+SfxdU9Z7EjOlU9+Lg==" saltValue="f538JXuXFuRpVsXw62RgQg==" spinCount="100000" sheet="1" objects="1" scenarios="1"/>
  <mergeCells count="70">
    <mergeCell ref="D4:E4"/>
    <mergeCell ref="F4:G4"/>
    <mergeCell ref="H4:K4"/>
    <mergeCell ref="S4:T4"/>
    <mergeCell ref="F5:G5"/>
    <mergeCell ref="H5:K5"/>
    <mergeCell ref="S5:T6"/>
    <mergeCell ref="S1:T1"/>
    <mergeCell ref="D2:E3"/>
    <mergeCell ref="F2:G2"/>
    <mergeCell ref="H2:K2"/>
    <mergeCell ref="S2:T2"/>
    <mergeCell ref="F3:K3"/>
    <mergeCell ref="S3:T3"/>
    <mergeCell ref="B12:B14"/>
    <mergeCell ref="C12:K12"/>
    <mergeCell ref="C13:K14"/>
    <mergeCell ref="N13:Q13"/>
    <mergeCell ref="U11:U12"/>
    <mergeCell ref="B8:B9"/>
    <mergeCell ref="C8:E9"/>
    <mergeCell ref="F8:G9"/>
    <mergeCell ref="H8:K9"/>
    <mergeCell ref="B10:B11"/>
    <mergeCell ref="C10:K11"/>
    <mergeCell ref="B6:B7"/>
    <mergeCell ref="C6:D7"/>
    <mergeCell ref="F6:G6"/>
    <mergeCell ref="H6:K6"/>
    <mergeCell ref="F7:K7"/>
    <mergeCell ref="B19:C19"/>
    <mergeCell ref="E19:J19"/>
    <mergeCell ref="S19:S20"/>
    <mergeCell ref="T19:T20"/>
    <mergeCell ref="B20:C20"/>
    <mergeCell ref="E20:J20"/>
    <mergeCell ref="S15:S16"/>
    <mergeCell ref="T15:T16"/>
    <mergeCell ref="D16:J16"/>
    <mergeCell ref="S17:S18"/>
    <mergeCell ref="T17:T18"/>
    <mergeCell ref="S21:S22"/>
    <mergeCell ref="D24:E25"/>
    <mergeCell ref="F24:G24"/>
    <mergeCell ref="H24:K24"/>
    <mergeCell ref="F25:K25"/>
    <mergeCell ref="B28:B29"/>
    <mergeCell ref="C28:D29"/>
    <mergeCell ref="F28:G28"/>
    <mergeCell ref="H28:K28"/>
    <mergeCell ref="F29:K29"/>
    <mergeCell ref="D26:E26"/>
    <mergeCell ref="F26:G26"/>
    <mergeCell ref="H26:K26"/>
    <mergeCell ref="F27:G27"/>
    <mergeCell ref="H27:K27"/>
    <mergeCell ref="B30:B31"/>
    <mergeCell ref="C30:E31"/>
    <mergeCell ref="F30:G31"/>
    <mergeCell ref="H30:K31"/>
    <mergeCell ref="B32:B33"/>
    <mergeCell ref="C32:K33"/>
    <mergeCell ref="B42:C42"/>
    <mergeCell ref="E42:J42"/>
    <mergeCell ref="B34:B36"/>
    <mergeCell ref="C34:K34"/>
    <mergeCell ref="C35:K36"/>
    <mergeCell ref="D38:J38"/>
    <mergeCell ref="B41:C41"/>
    <mergeCell ref="E41:J41"/>
  </mergeCells>
  <pageMargins left="0.55000000000000004" right="0.23622047244094502" top="0.59055118110236204" bottom="0.43307086614173201" header="0.31496062992126" footer="0.31496062992126"/>
  <pageSetup scale="94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A4866CF-506C-421B-B804-CD5520B6B1D6}">
          <x14:formula1>
            <xm:f>LISTAS!$A$3:$A$21</xm:f>
          </x14:formula1>
          <xm:sqref>C10:K11</xm:sqref>
        </x14:dataValidation>
        <x14:dataValidation type="list" allowBlank="1" showInputMessage="1" showErrorMessage="1" xr:uid="{8BC83B9E-45B9-49DF-BC2A-1D05B3096E86}">
          <x14:formula1>
            <xm:f>CODIGOS!$C$2:$C$584</xm:f>
          </x14:formula1>
          <xm:sqref>S3</xm:sqref>
        </x14:dataValidation>
        <x14:dataValidation type="list" allowBlank="1" showInputMessage="1" showErrorMessage="1" xr:uid="{C6F6283F-3ACC-4E2B-A2CA-CC9298030050}">
          <x14:formula1>
            <xm:f>CODIGOS!$A$2:$A$584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85370-7DDC-4544-BA53-D680DEF489A3}">
  <sheetPr codeName="Hoja1">
    <tabColor rgb="FFC00000"/>
    <pageSetUpPr fitToPage="1"/>
  </sheetPr>
  <dimension ref="A1:U1048555"/>
  <sheetViews>
    <sheetView tabSelected="1"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2" width="4.33203125" style="42" customWidth="1"/>
    <col min="13" max="13" width="2.88671875" style="42" customWidth="1"/>
    <col min="14" max="14" width="8.109375" style="42" customWidth="1"/>
    <col min="15" max="15" width="14.6640625" style="42" customWidth="1"/>
    <col min="16" max="17" width="10.6640625" style="42" customWidth="1"/>
    <col min="18" max="18" width="2.88671875" style="42" customWidth="1"/>
    <col min="19" max="19" width="24.88671875" style="42" customWidth="1"/>
    <col min="20" max="20" width="29" style="42" customWidth="1"/>
    <col min="21" max="21" width="9.109375" style="42" customWidth="1"/>
    <col min="22" max="16384" width="11.5546875" style="42"/>
  </cols>
  <sheetData>
    <row r="1" spans="1:21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S1" s="232" t="s">
        <v>653</v>
      </c>
      <c r="T1" s="233"/>
    </row>
    <row r="2" spans="1:21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S2" s="234" t="s">
        <v>654</v>
      </c>
      <c r="T2" s="234"/>
    </row>
    <row r="3" spans="1:21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S3" s="235" t="s">
        <v>867</v>
      </c>
      <c r="T3" s="235"/>
    </row>
    <row r="4" spans="1:21" ht="24" customHeight="1" x14ac:dyDescent="0.5">
      <c r="A4" s="97"/>
      <c r="D4" s="152" t="s">
        <v>459</v>
      </c>
      <c r="E4" s="152"/>
      <c r="F4" s="153" t="s">
        <v>465</v>
      </c>
      <c r="G4" s="153"/>
      <c r="H4" s="238"/>
      <c r="I4" s="214"/>
      <c r="J4" s="214"/>
      <c r="K4" s="214"/>
      <c r="L4" s="98"/>
      <c r="S4" s="234" t="s">
        <v>29</v>
      </c>
      <c r="T4" s="234"/>
    </row>
    <row r="5" spans="1:21" ht="22.95" customHeight="1" x14ac:dyDescent="0.25">
      <c r="A5" s="97"/>
      <c r="E5" s="99" t="s">
        <v>461</v>
      </c>
      <c r="F5" s="153" t="s">
        <v>466</v>
      </c>
      <c r="G5" s="153"/>
      <c r="H5" s="214"/>
      <c r="I5" s="214"/>
      <c r="J5" s="214"/>
      <c r="K5" s="214"/>
      <c r="L5" s="98"/>
      <c r="M5" s="100">
        <f>H4+(6.97*H6)</f>
        <v>0</v>
      </c>
      <c r="S5" s="236">
        <f>VLOOKUP(S3,CODIGOS!C2:M584,11,FALSE)</f>
        <v>2024022</v>
      </c>
      <c r="T5" s="236"/>
    </row>
    <row r="6" spans="1:21" ht="22.95" customHeight="1" x14ac:dyDescent="0.25">
      <c r="A6" s="97"/>
      <c r="B6" s="159" t="s">
        <v>454</v>
      </c>
      <c r="C6" s="210"/>
      <c r="D6" s="211"/>
      <c r="E6" s="111" t="s">
        <v>29</v>
      </c>
      <c r="F6" s="153" t="s">
        <v>457</v>
      </c>
      <c r="G6" s="153"/>
      <c r="H6" s="214"/>
      <c r="I6" s="214"/>
      <c r="J6" s="214"/>
      <c r="K6" s="214"/>
      <c r="L6" s="98"/>
      <c r="S6" s="236"/>
      <c r="T6" s="236"/>
    </row>
    <row r="7" spans="1:21" x14ac:dyDescent="0.25">
      <c r="A7" s="97"/>
      <c r="B7" s="159"/>
      <c r="C7" s="212"/>
      <c r="D7" s="213"/>
      <c r="E7" s="68"/>
      <c r="F7" s="176"/>
      <c r="G7" s="176"/>
      <c r="H7" s="176"/>
      <c r="I7" s="176"/>
      <c r="J7" s="176"/>
      <c r="K7" s="176"/>
      <c r="L7" s="98"/>
    </row>
    <row r="8" spans="1:21" ht="15" customHeight="1" x14ac:dyDescent="0.3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AMERICANOS",0)),[1]!cMoneda2(M5+H5,"BOLIVIANO","BOLIVIANOS",0)),[1]!cMoneda2(M5+H5,"BOLIVIANO","BOLIVIANOS",0))</f>
        <v/>
      </c>
      <c r="D8" s="177"/>
      <c r="E8" s="177"/>
      <c r="F8" s="160" t="s">
        <v>837</v>
      </c>
      <c r="G8" s="161"/>
      <c r="H8" s="215"/>
      <c r="I8" s="216"/>
      <c r="J8" s="216"/>
      <c r="K8" s="217"/>
      <c r="L8" s="98"/>
      <c r="S8" s="102" t="s">
        <v>658</v>
      </c>
      <c r="T8" s="148" t="str">
        <f>VLOOKUP(S5,CODIGOS!A2:L584,3,FALSE)</f>
        <v>Arispe Carpio Sebastian</v>
      </c>
    </row>
    <row r="9" spans="1:21" ht="15" customHeight="1" x14ac:dyDescent="0.3">
      <c r="A9" s="97"/>
      <c r="B9" s="159"/>
      <c r="C9" s="177"/>
      <c r="D9" s="177"/>
      <c r="E9" s="177"/>
      <c r="F9" s="162"/>
      <c r="G9" s="163"/>
      <c r="H9" s="218"/>
      <c r="I9" s="219"/>
      <c r="J9" s="219"/>
      <c r="K9" s="220"/>
      <c r="L9" s="98"/>
      <c r="S9" s="102" t="s">
        <v>657</v>
      </c>
      <c r="T9" s="103" t="str">
        <f>VLOOKUP(S5,CODIGOS!A2:L584,4,FALSE)</f>
        <v>ANDREINA</v>
      </c>
    </row>
    <row r="10" spans="1:21" ht="15.6" x14ac:dyDescent="0.3">
      <c r="A10" s="97"/>
      <c r="B10" s="159" t="s">
        <v>456</v>
      </c>
      <c r="C10" s="221"/>
      <c r="D10" s="222"/>
      <c r="E10" s="222"/>
      <c r="F10" s="222"/>
      <c r="G10" s="222"/>
      <c r="H10" s="222"/>
      <c r="I10" s="222"/>
      <c r="J10" s="222"/>
      <c r="K10" s="223"/>
      <c r="L10" s="98"/>
      <c r="S10" s="102" t="s">
        <v>659</v>
      </c>
      <c r="T10" s="103" t="str">
        <f>VLOOKUP(S5,CODIGOS!A2:L584,2,FALSE)</f>
        <v>5° Prim</v>
      </c>
    </row>
    <row r="11" spans="1:21" ht="15.6" x14ac:dyDescent="0.3">
      <c r="A11" s="97"/>
      <c r="B11" s="159"/>
      <c r="C11" s="224"/>
      <c r="D11" s="225"/>
      <c r="E11" s="225"/>
      <c r="F11" s="225"/>
      <c r="G11" s="225"/>
      <c r="H11" s="225"/>
      <c r="I11" s="225"/>
      <c r="J11" s="225"/>
      <c r="K11" s="226"/>
      <c r="L11" s="98"/>
      <c r="S11" s="102" t="s">
        <v>841</v>
      </c>
      <c r="T11" s="103">
        <f>VLOOKUP(S5,CODIGOS!A2:L584,9,FALSE)</f>
        <v>823</v>
      </c>
      <c r="U11" s="230">
        <f>T12+T11</f>
        <v>1200</v>
      </c>
    </row>
    <row r="12" spans="1:21" ht="30.6" customHeight="1" x14ac:dyDescent="0.3">
      <c r="A12" s="97"/>
      <c r="B12" s="180" t="s">
        <v>467</v>
      </c>
      <c r="C12" s="210"/>
      <c r="D12" s="227"/>
      <c r="E12" s="227"/>
      <c r="F12" s="227"/>
      <c r="G12" s="227"/>
      <c r="H12" s="227"/>
      <c r="I12" s="227"/>
      <c r="J12" s="227"/>
      <c r="K12" s="211"/>
      <c r="L12" s="98"/>
      <c r="S12" s="102" t="s">
        <v>840</v>
      </c>
      <c r="T12" s="103">
        <f>VLOOKUP(S5,CODIGOS!A2:L584,10,FALSE)</f>
        <v>377</v>
      </c>
      <c r="U12" s="231"/>
    </row>
    <row r="13" spans="1:21" ht="21" customHeight="1" x14ac:dyDescent="0.3">
      <c r="A13" s="97"/>
      <c r="B13" s="181"/>
      <c r="C13" s="184" t="str">
        <f>IF(E7="","",CONCATENATE("Alumnos : ",VLOOKUP(E7,CODIGOS!A2:L584,3,FALSE)," - Cursos : ",VLOOKUP(E7,CODIGOS!A2:L584,2,FALSE)))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N13" s="237" t="s">
        <v>666</v>
      </c>
      <c r="O13" s="237"/>
      <c r="P13" s="237"/>
      <c r="Q13" s="237"/>
      <c r="S13" s="102" t="s">
        <v>660</v>
      </c>
      <c r="T13" s="103" t="str">
        <f>VLOOKUP(S5,CODIGOS!A2:L584,5,FALSE)</f>
        <v>ANDREINA CARPIO</v>
      </c>
    </row>
    <row r="14" spans="1:21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44" t="s">
        <v>460</v>
      </c>
      <c r="O14" s="44" t="s">
        <v>838</v>
      </c>
      <c r="P14" s="44" t="s">
        <v>839</v>
      </c>
      <c r="Q14" s="44" t="s">
        <v>2087</v>
      </c>
      <c r="S14" s="102" t="s">
        <v>661</v>
      </c>
      <c r="T14" s="103">
        <f>VLOOKUP(S5,CODIGOS!A2:L584,6,FALSE)</f>
        <v>7267059</v>
      </c>
    </row>
    <row r="15" spans="1:21" x14ac:dyDescent="0.25">
      <c r="A15" s="97"/>
      <c r="L15" s="98"/>
      <c r="N15" s="113">
        <v>1</v>
      </c>
      <c r="O15" s="114">
        <f ca="1">HLOOKUP(S5,'FLUJO DE CAJA'!O1490:AGN1510,2,FALSE)</f>
        <v>377</v>
      </c>
      <c r="P15" s="115">
        <f ca="1">HLOOKUP(S5,'FLUJO DE CAJA'!O1513:AGN1533,2,FALSE)</f>
        <v>125</v>
      </c>
      <c r="Q15" s="115">
        <f ca="1">HLOOKUP(S5,'FLUJO DE CAJA'!O1536:AGN1556,2,FALSE)</f>
        <v>663</v>
      </c>
      <c r="S15" s="194" t="str">
        <f>CONCATENATE("TOTAL DESPERTAD Y AKADIA 2024 - ci.",VLOOKUP(S5,CODIGOS!A2:L584,11,FALSE))</f>
        <v>TOTAL DESPERTAD Y AKADIA 2024 - ci.1200</v>
      </c>
      <c r="T15" s="206">
        <f>VLOOKUP(S5,CODIGOS!A2:L584,11,FALSE)+(VLOOKUP(S5,CODIGOS!A2:N584,14,FALSE)*(T11+T12))</f>
        <v>13200</v>
      </c>
    </row>
    <row r="16" spans="1:21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45">
        <v>2</v>
      </c>
      <c r="O16" s="116">
        <f ca="1">HLOOKUP(S5,'FLUJO DE CAJA'!O1490:AGN1510,3,FALSE)</f>
        <v>823</v>
      </c>
      <c r="P16" s="117">
        <f ca="1">HLOOKUP(S5,'FLUJO DE CAJA'!O1513:AGN1533,3,FALSE)</f>
        <v>120</v>
      </c>
      <c r="Q16" s="117">
        <f ca="1">HLOOKUP(S5,'FLUJO DE CAJA'!O1536:AGN1556,3,FALSE)</f>
        <v>663</v>
      </c>
      <c r="S16" s="194"/>
      <c r="T16" s="206"/>
    </row>
    <row r="17" spans="1:20" ht="15.6" customHeight="1" x14ac:dyDescent="0.25">
      <c r="A17" s="97"/>
      <c r="L17" s="98"/>
      <c r="N17" s="45">
        <v>3</v>
      </c>
      <c r="O17" s="118">
        <f ca="1">HLOOKUP(S5,'FLUJO DE CAJA'!O1490:AGN1510,4,FALSE)</f>
        <v>1200</v>
      </c>
      <c r="P17" s="119" t="str">
        <f ca="1">HLOOKUP(S5,'FLUJO DE CAJA'!O1513:AGN1533,4,FALSE)</f>
        <v>S/F</v>
      </c>
      <c r="Q17" s="119">
        <f ca="1">HLOOKUP(S5,'FLUJO DE CAJA'!O1536:AGN1556,4,FALSE)</f>
        <v>32</v>
      </c>
      <c r="S17" s="207" t="s">
        <v>662</v>
      </c>
      <c r="T17" s="208">
        <f ca="1">SUM(O15:O34)</f>
        <v>3600</v>
      </c>
    </row>
    <row r="18" spans="1:20" x14ac:dyDescent="0.25">
      <c r="A18" s="97"/>
      <c r="L18" s="98"/>
      <c r="N18" s="45">
        <v>4</v>
      </c>
      <c r="O18" s="118">
        <f ca="1">HLOOKUP(S5,'FLUJO DE CAJA'!O1490:AGN1510,5,FALSE)</f>
        <v>377</v>
      </c>
      <c r="P18" s="119">
        <f ca="1">HLOOKUP(S5,'FLUJO DE CAJA'!O1513:AGN1533,5,FALSE)</f>
        <v>11</v>
      </c>
      <c r="Q18" s="119">
        <f ca="1">HLOOKUP(S5,'FLUJO DE CAJA'!O1536:AGN1556,5,FALSE)</f>
        <v>6</v>
      </c>
      <c r="S18" s="207"/>
      <c r="T18" s="208"/>
    </row>
    <row r="19" spans="1:20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45">
        <v>5</v>
      </c>
      <c r="O19" s="118">
        <f ca="1">HLOOKUP(S5,'FLUJO DE CAJA'!O1490:AGN1510,6,FALSE)</f>
        <v>823</v>
      </c>
      <c r="P19" s="119">
        <f ca="1">HLOOKUP(S5,'FLUJO DE CAJA'!O1513:AGN1533,6,FALSE)</f>
        <v>13</v>
      </c>
      <c r="Q19" s="119">
        <f ca="1">HLOOKUP(S5,'FLUJO DE CAJA'!O1536:AGN1556,6,FALSE)</f>
        <v>5</v>
      </c>
      <c r="S19" s="207" t="s">
        <v>663</v>
      </c>
      <c r="T19" s="209">
        <f ca="1">T15-T17</f>
        <v>9600</v>
      </c>
    </row>
    <row r="20" spans="1:20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45">
        <v>6</v>
      </c>
      <c r="O20" s="118" t="str">
        <f ca="1">HLOOKUP(S5,'FLUJO DE CAJA'!O1490:AGN1510,7,FALSE)</f>
        <v/>
      </c>
      <c r="P20" s="119" t="str">
        <f ca="1">HLOOKUP(S5,'FLUJO DE CAJA'!O1513:AGN1533,7,FALSE)</f>
        <v/>
      </c>
      <c r="Q20" s="119" t="str">
        <f ca="1">HLOOKUP(S5,'FLUJO DE CAJA'!O1536:AGN1556,7,FALSE)</f>
        <v/>
      </c>
      <c r="S20" s="207"/>
      <c r="T20" s="209"/>
    </row>
    <row r="21" spans="1:20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45">
        <v>7</v>
      </c>
      <c r="O21" s="118" t="str">
        <f ca="1">HLOOKUP(S5,'FLUJO DE CAJA'!O1490:AGN1510,8,FALSE)</f>
        <v/>
      </c>
      <c r="P21" s="119" t="str">
        <f ca="1">HLOOKUP(S5,'FLUJO DE CAJA'!O1513:AGN1533,8,FALSE)</f>
        <v/>
      </c>
      <c r="Q21" s="119" t="str">
        <f ca="1">HLOOKUP(S5,'FLUJO DE CAJA'!O1536:AGN1556,8,FALSE)</f>
        <v/>
      </c>
      <c r="S21" s="205">
        <f ca="1">IFERROR(ROUNDDOWN(T17/(T11+T12),0),"sin pagos")</f>
        <v>3</v>
      </c>
    </row>
    <row r="22" spans="1:20" ht="15.6" thickBot="1" x14ac:dyDescent="0.3">
      <c r="A22" s="97"/>
      <c r="L22" s="98"/>
      <c r="N22" s="45">
        <v>8</v>
      </c>
      <c r="O22" s="118" t="str">
        <f ca="1">HLOOKUP(S5,'FLUJO DE CAJA'!O1490:AGN1510,9,FALSE)</f>
        <v/>
      </c>
      <c r="P22" s="119" t="str">
        <f ca="1">HLOOKUP(S5,'FLUJO DE CAJA'!O1513:AGN1533,9,FALSE)</f>
        <v/>
      </c>
      <c r="Q22" s="119" t="str">
        <f ca="1">HLOOKUP(S5,'FLUJO DE CAJA'!O1536:AGN1556,9,FALSE)</f>
        <v/>
      </c>
      <c r="S22" s="205"/>
    </row>
    <row r="23" spans="1:20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45">
        <v>9</v>
      </c>
      <c r="O23" s="118" t="str">
        <f ca="1">HLOOKUP(S5,'FLUJO DE CAJA'!O1490:AGN1510,10,FALSE)</f>
        <v/>
      </c>
      <c r="P23" s="119" t="str">
        <f ca="1">HLOOKUP(S5,'FLUJO DE CAJA'!O1513:AGN1533,10,FALSE)</f>
        <v/>
      </c>
      <c r="Q23" s="119" t="str">
        <f ca="1">HLOOKUP(S5,'FLUJO DE CAJA'!O1536:AGN1556,10,FALSE)</f>
        <v/>
      </c>
    </row>
    <row r="24" spans="1:20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  <c r="N24" s="45">
        <v>10</v>
      </c>
      <c r="O24" s="118" t="str">
        <f ca="1">HLOOKUP(S5,'FLUJO DE CAJA'!O1490:AGN1510,11,FALSE)</f>
        <v/>
      </c>
      <c r="P24" s="119" t="str">
        <f ca="1">HLOOKUP(S5,'FLUJO DE CAJA'!O1513:AGN1533,11,FALSE)</f>
        <v/>
      </c>
      <c r="Q24" s="119" t="str">
        <f ca="1">HLOOKUP(S5,'FLUJO DE CAJA'!O1536:AGN1556,11,FALSE)</f>
        <v/>
      </c>
    </row>
    <row r="25" spans="1:20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45">
        <v>11</v>
      </c>
      <c r="O25" s="118" t="str">
        <f ca="1">HLOOKUP(S5,'FLUJO DE CAJA'!O1490:AGN1510,12,FALSE)</f>
        <v/>
      </c>
      <c r="P25" s="119" t="str">
        <f ca="1">HLOOKUP(S5,'FLUJO DE CAJA'!O1513:AGN1533,12,FALSE)</f>
        <v/>
      </c>
      <c r="Q25" s="119" t="str">
        <f ca="1">HLOOKUP(S5,'FLUJO DE CAJA'!O1536:AGN1556,12,FALSE)</f>
        <v/>
      </c>
    </row>
    <row r="26" spans="1:20" ht="24" x14ac:dyDescent="0.5">
      <c r="A26" s="97"/>
      <c r="D26" s="152" t="s">
        <v>459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  <c r="N26" s="45">
        <v>12</v>
      </c>
      <c r="O26" s="118" t="str">
        <f ca="1">HLOOKUP(S5,'FLUJO DE CAJA'!O1490:AGN1510,13,FALSE)</f>
        <v/>
      </c>
      <c r="P26" s="119" t="str">
        <f ca="1">HLOOKUP(S5,'FLUJO DE CAJA'!O1513:AGN1533,13,FALSE)</f>
        <v/>
      </c>
      <c r="Q26" s="119" t="str">
        <f ca="1">HLOOKUP(S5,'FLUJO DE CAJA'!O1536:AGN1556,13,FALSE)</f>
        <v/>
      </c>
    </row>
    <row r="27" spans="1:20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  <c r="N27" s="45">
        <v>13</v>
      </c>
      <c r="O27" s="116" t="str">
        <f ca="1">HLOOKUP(S5,'FLUJO DE CAJA'!O1490:AGN1510,14,FALSE)</f>
        <v/>
      </c>
      <c r="P27" s="117" t="str">
        <f ca="1">HLOOKUP(S5,'FLUJO DE CAJA'!O1513:AGN1533,14,FALSE)</f>
        <v/>
      </c>
      <c r="Q27" s="117" t="str">
        <f ca="1">HLOOKUP(S5,'FLUJO DE CAJA'!O1536:AGN1556,14,FALSE)</f>
        <v/>
      </c>
    </row>
    <row r="28" spans="1:20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153" t="s">
        <v>457</v>
      </c>
      <c r="G28" s="153"/>
      <c r="H28" s="190" t="str">
        <f>IF(H6="","",H6)</f>
        <v/>
      </c>
      <c r="I28" s="190"/>
      <c r="J28" s="190"/>
      <c r="K28" s="190"/>
      <c r="L28" s="98"/>
      <c r="N28" s="45">
        <v>14</v>
      </c>
      <c r="O28" s="116" t="str">
        <f ca="1">HLOOKUP(S5,'FLUJO DE CAJA'!O1490:AGN1510,15,FALSE)</f>
        <v/>
      </c>
      <c r="P28" s="117" t="str">
        <f ca="1">HLOOKUP(S5,'FLUJO DE CAJA'!O1513:AGN1533,15,FALSE)</f>
        <v/>
      </c>
      <c r="Q28" s="117" t="str">
        <f ca="1">HLOOKUP(S5,'FLUJO DE CAJA'!O1536:AGN1556,15,FALSE)</f>
        <v/>
      </c>
    </row>
    <row r="29" spans="1:20" x14ac:dyDescent="0.25">
      <c r="A29" s="97"/>
      <c r="B29" s="159"/>
      <c r="C29" s="187"/>
      <c r="D29" s="189"/>
      <c r="E29" s="120" t="str">
        <f>IF(E7="","",E7)</f>
        <v/>
      </c>
      <c r="F29" s="176"/>
      <c r="G29" s="176"/>
      <c r="H29" s="176"/>
      <c r="I29" s="176"/>
      <c r="J29" s="176"/>
      <c r="K29" s="176"/>
      <c r="L29" s="98"/>
      <c r="N29" s="45">
        <v>15</v>
      </c>
      <c r="O29" s="116" t="str">
        <f ca="1">HLOOKUP(S5,'FLUJO DE CAJA'!O1490:AGN1510,16,FALSE)</f>
        <v/>
      </c>
      <c r="P29" s="117" t="str">
        <f ca="1">HLOOKUP(S5,'FLUJO DE CAJA'!O1513:AGN1533,16,FALSE)</f>
        <v/>
      </c>
      <c r="Q29" s="117" t="str">
        <f ca="1">HLOOKUP(S5,'FLUJO DE CAJA'!O1536:AGN1556,16,FALSE)</f>
        <v/>
      </c>
    </row>
    <row r="30" spans="1:20" x14ac:dyDescent="0.25">
      <c r="A30" s="97"/>
      <c r="B30" s="159" t="s">
        <v>455</v>
      </c>
      <c r="C30" s="194" t="str">
        <f>IF(C8="","",C8)</f>
        <v/>
      </c>
      <c r="D30" s="194"/>
      <c r="E30" s="194"/>
      <c r="F30" s="192" t="s">
        <v>837</v>
      </c>
      <c r="G30" s="193"/>
      <c r="H30" s="195" t="str">
        <f>IF(H8="","",H8)</f>
        <v/>
      </c>
      <c r="I30" s="196"/>
      <c r="J30" s="196"/>
      <c r="K30" s="197"/>
      <c r="L30" s="98"/>
      <c r="N30" s="45">
        <v>16</v>
      </c>
      <c r="O30" s="116" t="str">
        <f ca="1">HLOOKUP(S5,'FLUJO DE CAJA'!O1490:AGN1510,17,FALSE)</f>
        <v/>
      </c>
      <c r="P30" s="117" t="str">
        <f ca="1">HLOOKUP(S5,'FLUJO DE CAJA'!O1513:AGN1533,17,FALSE)</f>
        <v/>
      </c>
      <c r="Q30" s="117" t="str">
        <f ca="1">HLOOKUP(S5,'FLUJO DE CAJA'!O1536:AGN1556,17,FALSE)</f>
        <v/>
      </c>
    </row>
    <row r="31" spans="1:20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45">
        <v>17</v>
      </c>
      <c r="O31" s="116" t="str">
        <f ca="1">HLOOKUP(S5,'FLUJO DE CAJA'!O1490:AGN1510,18,FALSE)</f>
        <v/>
      </c>
      <c r="P31" s="117" t="str">
        <f ca="1">HLOOKUP(S5,'FLUJO DE CAJA'!O1513:AGN1533,18,FALSE)</f>
        <v/>
      </c>
      <c r="Q31" s="117" t="str">
        <f ca="1">HLOOKUP(S5,'FLUJO DE CAJA'!O1536:AGN1556,18,FALSE)</f>
        <v/>
      </c>
    </row>
    <row r="32" spans="1:20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  <c r="N32" s="45">
        <v>18</v>
      </c>
      <c r="O32" s="116" t="str">
        <f ca="1">HLOOKUP(S5,'FLUJO DE CAJA'!O1490:AGN1510,19,FALSE)</f>
        <v/>
      </c>
      <c r="P32" s="117" t="str">
        <f ca="1">HLOOKUP(S5,'FLUJO DE CAJA'!O1513:AGN1533,19,FALSE)</f>
        <v/>
      </c>
      <c r="Q32" s="117" t="str">
        <f ca="1">HLOOKUP(S5,'FLUJO DE CAJA'!O1536:AGN1556,19,FALSE)</f>
        <v/>
      </c>
    </row>
    <row r="33" spans="1:17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45">
        <v>19</v>
      </c>
      <c r="O33" s="116" t="str">
        <f ca="1">HLOOKUP(S5,'FLUJO DE CAJA'!O1490:AGN1510,20,FALSE)</f>
        <v/>
      </c>
      <c r="P33" s="117" t="str">
        <f ca="1">HLOOKUP(S5,'FLUJO DE CAJA'!O1513:AGN1533,20,FALSE)</f>
        <v/>
      </c>
      <c r="Q33" s="117" t="str">
        <f ca="1">HLOOKUP(S5,'FLUJO DE CAJA'!O1536:AGN1556,20,FALSE)</f>
        <v/>
      </c>
    </row>
    <row r="34" spans="1:17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  <c r="N34" s="45">
        <v>20</v>
      </c>
      <c r="O34" s="116" t="str">
        <f ca="1">HLOOKUP(S5,'FLUJO DE CAJA'!O1490:AGN1510,21,FALSE)</f>
        <v/>
      </c>
      <c r="P34" s="117" t="str">
        <f ca="1">HLOOKUP(S5,'FLUJO DE CAJA'!O1513:AGN1533,21,FALSE)</f>
        <v/>
      </c>
      <c r="Q34" s="117" t="str">
        <f ca="1">HLOOKUP(S5,'FLUJO DE CAJA'!O1536:AGN1556,21,FALSE)</f>
        <v/>
      </c>
    </row>
    <row r="35" spans="1:17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7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7" x14ac:dyDescent="0.25">
      <c r="A37" s="97"/>
      <c r="L37" s="98"/>
    </row>
    <row r="38" spans="1:17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7" x14ac:dyDescent="0.25">
      <c r="A39" s="97"/>
      <c r="L39" s="98"/>
    </row>
    <row r="40" spans="1:17" x14ac:dyDescent="0.25">
      <c r="A40" s="97"/>
      <c r="L40" s="98"/>
    </row>
    <row r="41" spans="1:17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7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7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45" spans="16:16" x14ac:dyDescent="0.25">
      <c r="P1048545" s="42" t="b">
        <v>0</v>
      </c>
    </row>
    <row r="1048546" spans="16:16" x14ac:dyDescent="0.25">
      <c r="P1048546" s="42" t="b">
        <v>0</v>
      </c>
    </row>
    <row r="1048547" spans="16:16" x14ac:dyDescent="0.25">
      <c r="P1048547" s="42" t="b">
        <v>0</v>
      </c>
    </row>
    <row r="1048548" spans="16:16" x14ac:dyDescent="0.25">
      <c r="P1048548" s="42" t="b">
        <v>0</v>
      </c>
    </row>
    <row r="1048549" spans="16:16" x14ac:dyDescent="0.25">
      <c r="P1048549" s="42" t="b">
        <v>0</v>
      </c>
    </row>
    <row r="1048550" spans="16:16" x14ac:dyDescent="0.25">
      <c r="P1048550" s="42" t="b">
        <v>0</v>
      </c>
    </row>
    <row r="1048551" spans="16:16" x14ac:dyDescent="0.25">
      <c r="P1048551" s="42" t="b">
        <v>0</v>
      </c>
    </row>
    <row r="1048552" spans="16:16" x14ac:dyDescent="0.25">
      <c r="P1048552" s="42" t="b">
        <v>0</v>
      </c>
    </row>
    <row r="1048553" spans="16:16" x14ac:dyDescent="0.25">
      <c r="P1048553" s="42" t="b">
        <v>0</v>
      </c>
    </row>
    <row r="1048554" spans="16:16" x14ac:dyDescent="0.25">
      <c r="P1048554" s="42" t="b">
        <v>0</v>
      </c>
    </row>
    <row r="1048555" spans="16:16" x14ac:dyDescent="0.25">
      <c r="P1048555" s="42" t="b">
        <v>0</v>
      </c>
    </row>
  </sheetData>
  <sheetProtection algorithmName="SHA-512" hashValue="8x1/AuPFXBrIkwaLsp3JFpa0eg8M4/X9ql6cdCNQ3ivSHtvqjYamf3ApKIGfAc8a1aS+7vvgS3SJOpbsXwo70g==" saltValue="cM1TmPTtjS+GD8kU6fbdnA==" spinCount="100000" sheet="1" objects="1" scenarios="1"/>
  <mergeCells count="70">
    <mergeCell ref="U11:U12"/>
    <mergeCell ref="H6:K6"/>
    <mergeCell ref="F3:K3"/>
    <mergeCell ref="F4:G4"/>
    <mergeCell ref="F5:G5"/>
    <mergeCell ref="B42:C42"/>
    <mergeCell ref="E41:J41"/>
    <mergeCell ref="E42:J42"/>
    <mergeCell ref="B34:B36"/>
    <mergeCell ref="C35:K36"/>
    <mergeCell ref="D38:J38"/>
    <mergeCell ref="C34:K34"/>
    <mergeCell ref="B41:C41"/>
    <mergeCell ref="F30:G31"/>
    <mergeCell ref="H30:K31"/>
    <mergeCell ref="C32:K33"/>
    <mergeCell ref="B28:B29"/>
    <mergeCell ref="C28:D29"/>
    <mergeCell ref="F29:K29"/>
    <mergeCell ref="B30:B31"/>
    <mergeCell ref="C30:E31"/>
    <mergeCell ref="B32:B33"/>
    <mergeCell ref="H28:K28"/>
    <mergeCell ref="F28:G28"/>
    <mergeCell ref="B6:B7"/>
    <mergeCell ref="B8:B9"/>
    <mergeCell ref="C8:E9"/>
    <mergeCell ref="B20:C20"/>
    <mergeCell ref="B19:C19"/>
    <mergeCell ref="B12:B14"/>
    <mergeCell ref="B10:B11"/>
    <mergeCell ref="D16:J16"/>
    <mergeCell ref="F27:G27"/>
    <mergeCell ref="H27:K27"/>
    <mergeCell ref="F26:G26"/>
    <mergeCell ref="H26:K26"/>
    <mergeCell ref="S21:S22"/>
    <mergeCell ref="D24:E25"/>
    <mergeCell ref="D26:E26"/>
    <mergeCell ref="E19:J19"/>
    <mergeCell ref="E20:J20"/>
    <mergeCell ref="F24:G24"/>
    <mergeCell ref="H24:K24"/>
    <mergeCell ref="F25:K25"/>
    <mergeCell ref="T17:T18"/>
    <mergeCell ref="T19:T20"/>
    <mergeCell ref="S2:T2"/>
    <mergeCell ref="S3:T3"/>
    <mergeCell ref="S4:T4"/>
    <mergeCell ref="S5:T6"/>
    <mergeCell ref="S15:S16"/>
    <mergeCell ref="T15:T16"/>
    <mergeCell ref="S19:S20"/>
    <mergeCell ref="S17:S18"/>
    <mergeCell ref="N13:Q13"/>
    <mergeCell ref="S1:T1"/>
    <mergeCell ref="C13:K14"/>
    <mergeCell ref="D4:E4"/>
    <mergeCell ref="D2:E3"/>
    <mergeCell ref="C12:K12"/>
    <mergeCell ref="C10:K11"/>
    <mergeCell ref="F7:K7"/>
    <mergeCell ref="C6:D7"/>
    <mergeCell ref="F8:G9"/>
    <mergeCell ref="H8:K9"/>
    <mergeCell ref="H2:K2"/>
    <mergeCell ref="H4:K4"/>
    <mergeCell ref="H5:K5"/>
    <mergeCell ref="F2:G2"/>
    <mergeCell ref="F6:G6"/>
  </mergeCells>
  <pageMargins left="0.55000000000000004" right="0.23622047244094502" top="0.59055118110236204" bottom="0.43307086614173201" header="0.31496062992126" footer="0.31496062992126"/>
  <pageSetup scale="94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98D145-94F5-46FB-AB19-29595630919A}">
          <x14:formula1>
            <xm:f>LISTAS!$A$3:$A$21</xm:f>
          </x14:formula1>
          <xm:sqref>C10:K11</xm:sqref>
        </x14:dataValidation>
        <x14:dataValidation type="list" allowBlank="1" showInputMessage="1" showErrorMessage="1" xr:uid="{812EFBB0-D042-4E5A-A3C5-2141C640540F}">
          <x14:formula1>
            <xm:f>CODIGOS!$A$2:$A$584</xm:f>
          </x14:formula1>
          <xm:sqref>E7</xm:sqref>
        </x14:dataValidation>
        <x14:dataValidation type="list" allowBlank="1" showInputMessage="1" showErrorMessage="1" xr:uid="{5C22D0F7-5F20-42DA-9737-89066B22C04D}">
          <x14:formula1>
            <xm:f>CODIGOS!$C$2:$C$584</xm:f>
          </x14:formula1>
          <xm:sqref>S3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8F51-3327-444C-9BB9-D2D52D27E30C}">
  <sheetPr codeName="Hoja9">
    <pageSetUpPr fitToPage="1"/>
  </sheetPr>
  <dimension ref="A1:R1048544"/>
  <sheetViews>
    <sheetView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2.109375" style="42" customWidth="1"/>
    <col min="6" max="7" width="5.33203125" style="42" customWidth="1"/>
    <col min="8" max="13" width="4.33203125" style="42" customWidth="1"/>
    <col min="14" max="14" width="8.109375" style="42" customWidth="1"/>
    <col min="15" max="15" width="14.6640625" style="42" customWidth="1"/>
    <col min="16" max="16" width="13.33203125" style="42" customWidth="1"/>
    <col min="17" max="17" width="23.33203125" style="42" customWidth="1"/>
    <col min="18" max="18" width="54.44140625" style="42" customWidth="1"/>
    <col min="19" max="16384" width="11.5546875" style="42"/>
  </cols>
  <sheetData>
    <row r="1" spans="1:18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Q1" s="232" t="s">
        <v>842</v>
      </c>
      <c r="R1" s="233"/>
    </row>
    <row r="2" spans="1:18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Q2" s="234" t="s">
        <v>669</v>
      </c>
      <c r="R2" s="234"/>
    </row>
    <row r="3" spans="1:18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Q3" s="235" t="s">
        <v>550</v>
      </c>
      <c r="R3" s="235"/>
    </row>
    <row r="4" spans="1:18" ht="24" customHeight="1" x14ac:dyDescent="0.5">
      <c r="A4" s="97"/>
      <c r="D4" s="152" t="s">
        <v>667</v>
      </c>
      <c r="E4" s="152"/>
      <c r="F4" s="153" t="s">
        <v>465</v>
      </c>
      <c r="G4" s="153"/>
      <c r="H4" s="274"/>
      <c r="I4" s="275"/>
      <c r="J4" s="275"/>
      <c r="K4" s="276"/>
      <c r="L4" s="98"/>
      <c r="Q4" s="234" t="s">
        <v>29</v>
      </c>
      <c r="R4" s="234"/>
    </row>
    <row r="5" spans="1:18" ht="22.95" customHeight="1" x14ac:dyDescent="0.25">
      <c r="A5" s="97"/>
      <c r="E5" s="99" t="s">
        <v>461</v>
      </c>
      <c r="F5" s="153" t="s">
        <v>466</v>
      </c>
      <c r="G5" s="153"/>
      <c r="H5" s="274"/>
      <c r="I5" s="275"/>
      <c r="J5" s="275"/>
      <c r="K5" s="276"/>
      <c r="L5" s="98"/>
      <c r="M5" s="100">
        <f>H4+(6.97*H6)</f>
        <v>0</v>
      </c>
      <c r="Q5" s="236" t="str">
        <f>VLOOKUP(Q3,SUELDOS!B5:K149,3,FALSE)</f>
        <v>P2024024</v>
      </c>
      <c r="R5" s="236"/>
    </row>
    <row r="6" spans="1:18" ht="22.95" customHeight="1" x14ac:dyDescent="0.25">
      <c r="A6" s="97"/>
      <c r="B6" s="159" t="s">
        <v>454</v>
      </c>
      <c r="C6" s="270"/>
      <c r="D6" s="271"/>
      <c r="E6" s="101" t="s">
        <v>668</v>
      </c>
      <c r="F6" s="251" t="s">
        <v>457</v>
      </c>
      <c r="G6" s="252"/>
      <c r="H6" s="255"/>
      <c r="I6" s="256"/>
      <c r="J6" s="256"/>
      <c r="K6" s="257"/>
      <c r="L6" s="98"/>
      <c r="Q6" s="236"/>
      <c r="R6" s="236"/>
    </row>
    <row r="7" spans="1:18" ht="15" customHeight="1" x14ac:dyDescent="0.25">
      <c r="A7" s="97"/>
      <c r="B7" s="159"/>
      <c r="C7" s="272"/>
      <c r="D7" s="273"/>
      <c r="E7" s="68"/>
      <c r="F7" s="253"/>
      <c r="G7" s="254"/>
      <c r="H7" s="258"/>
      <c r="I7" s="259"/>
      <c r="J7" s="259"/>
      <c r="K7" s="260"/>
      <c r="L7" s="98"/>
    </row>
    <row r="8" spans="1:18" ht="15" customHeight="1" x14ac:dyDescent="0.3">
      <c r="A8" s="97"/>
      <c r="B8" s="159" t="s">
        <v>455</v>
      </c>
      <c r="C8" s="239" t="str" cm="1">
        <f t="array" ref="C8">IF(H4="", IF(H5="",IF(H6="","",[1]!cMoneda2(H6,"DOLAR AMERICANO","DOLARES AMERICANOS",0)),[1]!cMoneda2(H5+M5,"BOLIVIANO","BOLIVIANOS",0)),[1]!cMoneda2(H5+M5,"BOLIVIANO","BOLIVIANOS",0))</f>
        <v/>
      </c>
      <c r="D8" s="240"/>
      <c r="E8" s="240"/>
      <c r="F8" s="240"/>
      <c r="G8" s="240"/>
      <c r="H8" s="240"/>
      <c r="I8" s="240"/>
      <c r="J8" s="240"/>
      <c r="K8" s="241"/>
      <c r="L8" s="98"/>
      <c r="Q8" s="102" t="s">
        <v>815</v>
      </c>
      <c r="R8" s="103" t="str">
        <f>VLOOKUP(Q3,SUELDOS!B5:K149,1,FALSE)</f>
        <v>Ana Claudia Lafuente</v>
      </c>
    </row>
    <row r="9" spans="1:18" ht="15" customHeight="1" x14ac:dyDescent="0.3">
      <c r="A9" s="97"/>
      <c r="B9" s="159"/>
      <c r="C9" s="242"/>
      <c r="D9" s="243"/>
      <c r="E9" s="243"/>
      <c r="F9" s="243"/>
      <c r="G9" s="243"/>
      <c r="H9" s="243"/>
      <c r="I9" s="243"/>
      <c r="J9" s="243"/>
      <c r="K9" s="244"/>
      <c r="L9" s="98"/>
      <c r="Q9" s="102" t="s">
        <v>817</v>
      </c>
      <c r="R9" s="103">
        <f>VLOOKUP(Q3,SUELDOS!B5:K149,5,FALSE)</f>
        <v>160</v>
      </c>
    </row>
    <row r="10" spans="1:18" ht="15.6" x14ac:dyDescent="0.3">
      <c r="A10" s="97"/>
      <c r="B10" s="159" t="s">
        <v>456</v>
      </c>
      <c r="C10" s="245"/>
      <c r="D10" s="246"/>
      <c r="E10" s="246"/>
      <c r="F10" s="246"/>
      <c r="G10" s="246"/>
      <c r="H10" s="246"/>
      <c r="I10" s="246"/>
      <c r="J10" s="246"/>
      <c r="K10" s="247"/>
      <c r="L10" s="98"/>
      <c r="Q10" s="102" t="s">
        <v>816</v>
      </c>
      <c r="R10" s="104">
        <f>VLOOKUP(Q3,SUELDOS!B5:K149,6,FALSE)</f>
        <v>3387</v>
      </c>
    </row>
    <row r="11" spans="1:18" ht="15.6" x14ac:dyDescent="0.3">
      <c r="A11" s="97"/>
      <c r="B11" s="159"/>
      <c r="C11" s="248"/>
      <c r="D11" s="249"/>
      <c r="E11" s="249"/>
      <c r="F11" s="249"/>
      <c r="G11" s="249"/>
      <c r="H11" s="249"/>
      <c r="I11" s="249"/>
      <c r="J11" s="249"/>
      <c r="K11" s="250"/>
      <c r="L11" s="98"/>
      <c r="Q11" s="102" t="s">
        <v>818</v>
      </c>
      <c r="R11" s="103">
        <f>VLOOKUP(Q3,SUELDOS!B5:K149,7,FALSE)</f>
        <v>0</v>
      </c>
    </row>
    <row r="12" spans="1:18" ht="30.6" customHeight="1" x14ac:dyDescent="0.3">
      <c r="A12" s="97"/>
      <c r="B12" s="180" t="s">
        <v>467</v>
      </c>
      <c r="C12" s="267"/>
      <c r="D12" s="268"/>
      <c r="E12" s="268"/>
      <c r="F12" s="268"/>
      <c r="G12" s="268"/>
      <c r="H12" s="268"/>
      <c r="I12" s="268"/>
      <c r="J12" s="268"/>
      <c r="K12" s="269"/>
      <c r="L12" s="98"/>
      <c r="Q12" s="105" t="s">
        <v>819</v>
      </c>
      <c r="R12" s="104">
        <f>VLOOKUP(Q3,SUELDOS!B5:K149,8,FALSE)</f>
        <v>0</v>
      </c>
    </row>
    <row r="13" spans="1:18" ht="21" customHeight="1" x14ac:dyDescent="0.3">
      <c r="A13" s="97"/>
      <c r="B13" s="181"/>
      <c r="C13" s="184" t="str">
        <f>IF(E7="","",CONCATENATE("Profesor : ",R8," --&gt; Horas Mensuales : ",R9," ==&gt; Haber Mensual : ",R10," (Menos) Descuento por retrasos y/o faltas : ",R12," (Menos) descuento por anticipos :",R13," ==&gt; Liquido pagable : ",R14," Bs."))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Q13" s="102" t="s">
        <v>820</v>
      </c>
      <c r="R13" s="104">
        <f>VLOOKUP(Q3,SUELDOS!B5:K149,9,FALSE)</f>
        <v>0</v>
      </c>
    </row>
    <row r="14" spans="1:18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Q14" s="102" t="s">
        <v>821</v>
      </c>
      <c r="R14" s="104">
        <f>VLOOKUP(Q3,SUELDOS!B5:K149,10,FALSE)</f>
        <v>3387</v>
      </c>
    </row>
    <row r="15" spans="1:18" x14ac:dyDescent="0.25">
      <c r="A15" s="97"/>
      <c r="L15" s="98"/>
    </row>
    <row r="16" spans="1:18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</row>
    <row r="17" spans="1:12" ht="15.6" customHeight="1" x14ac:dyDescent="0.25">
      <c r="A17" s="97"/>
      <c r="L17" s="98"/>
    </row>
    <row r="18" spans="1:12" x14ac:dyDescent="0.25">
      <c r="A18" s="97"/>
      <c r="L18" s="98"/>
    </row>
    <row r="19" spans="1:12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</row>
    <row r="20" spans="1:12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</row>
    <row r="21" spans="1:12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</row>
    <row r="22" spans="1:12" ht="15.6" thickBot="1" x14ac:dyDescent="0.3">
      <c r="A22" s="97"/>
      <c r="L22" s="98"/>
    </row>
    <row r="23" spans="1:12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</row>
    <row r="24" spans="1:12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</row>
    <row r="25" spans="1:12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</row>
    <row r="26" spans="1:12" ht="24" x14ac:dyDescent="0.5">
      <c r="A26" s="97"/>
      <c r="D26" s="152" t="s">
        <v>667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</row>
    <row r="27" spans="1:12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</row>
    <row r="28" spans="1:12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251" t="s">
        <v>457</v>
      </c>
      <c r="G28" s="252"/>
      <c r="H28" s="261" t="str">
        <f>IF(H6="","",H6)</f>
        <v/>
      </c>
      <c r="I28" s="262"/>
      <c r="J28" s="262"/>
      <c r="K28" s="263"/>
      <c r="L28" s="98"/>
    </row>
    <row r="29" spans="1:12" x14ac:dyDescent="0.25">
      <c r="A29" s="97"/>
      <c r="B29" s="159"/>
      <c r="C29" s="187"/>
      <c r="D29" s="189"/>
      <c r="E29" s="112" t="str">
        <f>IF(E7="","",E7)</f>
        <v/>
      </c>
      <c r="F29" s="253"/>
      <c r="G29" s="254"/>
      <c r="H29" s="264"/>
      <c r="I29" s="265"/>
      <c r="J29" s="265"/>
      <c r="K29" s="266"/>
      <c r="L29" s="98"/>
    </row>
    <row r="30" spans="1:12" x14ac:dyDescent="0.25">
      <c r="A30" s="97"/>
      <c r="B30" s="159" t="s">
        <v>455</v>
      </c>
      <c r="C30" s="192" t="str">
        <f>IF(C8="","",C8)</f>
        <v/>
      </c>
      <c r="D30" s="204"/>
      <c r="E30" s="204"/>
      <c r="F30" s="204"/>
      <c r="G30" s="204"/>
      <c r="H30" s="204"/>
      <c r="I30" s="204"/>
      <c r="J30" s="204"/>
      <c r="K30" s="193"/>
      <c r="L30" s="98"/>
    </row>
    <row r="31" spans="1:12" x14ac:dyDescent="0.25">
      <c r="A31" s="97"/>
      <c r="B31" s="159"/>
      <c r="C31" s="187"/>
      <c r="D31" s="188"/>
      <c r="E31" s="188"/>
      <c r="F31" s="188"/>
      <c r="G31" s="188"/>
      <c r="H31" s="188"/>
      <c r="I31" s="188"/>
      <c r="J31" s="188"/>
      <c r="K31" s="189"/>
      <c r="L31" s="98"/>
    </row>
    <row r="32" spans="1:12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</row>
    <row r="33" spans="1:12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</row>
    <row r="34" spans="1:12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</row>
    <row r="35" spans="1:12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2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2" x14ac:dyDescent="0.25">
      <c r="A37" s="97"/>
      <c r="L37" s="98"/>
    </row>
    <row r="38" spans="1:12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2" x14ac:dyDescent="0.25">
      <c r="A39" s="97"/>
      <c r="L39" s="98"/>
    </row>
    <row r="40" spans="1:12" x14ac:dyDescent="0.25">
      <c r="A40" s="97"/>
      <c r="L40" s="98"/>
    </row>
    <row r="41" spans="1:12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2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2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34" spans="16:16" x14ac:dyDescent="0.25">
      <c r="P1048534" s="42" t="b">
        <v>0</v>
      </c>
    </row>
    <row r="1048535" spans="16:16" x14ac:dyDescent="0.25">
      <c r="P1048535" s="42" t="b">
        <v>1</v>
      </c>
    </row>
    <row r="1048536" spans="16:16" x14ac:dyDescent="0.25">
      <c r="P1048536" s="42" t="b">
        <v>0</v>
      </c>
    </row>
    <row r="1048537" spans="16:16" x14ac:dyDescent="0.25">
      <c r="P1048537" s="42" t="b">
        <v>0</v>
      </c>
    </row>
    <row r="1048538" spans="16:16" x14ac:dyDescent="0.25">
      <c r="P1048538" s="42" t="b">
        <v>0</v>
      </c>
    </row>
    <row r="1048539" spans="16:16" x14ac:dyDescent="0.25">
      <c r="P1048539" s="42" t="b">
        <v>0</v>
      </c>
    </row>
    <row r="1048540" spans="16:16" x14ac:dyDescent="0.25">
      <c r="P1048540" s="42" t="b">
        <v>0</v>
      </c>
    </row>
    <row r="1048541" spans="16:16" x14ac:dyDescent="0.25">
      <c r="P1048541" s="42" t="b">
        <v>0</v>
      </c>
    </row>
    <row r="1048542" spans="16:16" x14ac:dyDescent="0.25">
      <c r="P1048542" s="42" t="b">
        <v>0</v>
      </c>
    </row>
    <row r="1048543" spans="16:16" x14ac:dyDescent="0.25">
      <c r="P1048543" s="42" t="b">
        <v>0</v>
      </c>
    </row>
    <row r="1048544" spans="16:16" x14ac:dyDescent="0.25">
      <c r="P1048544" s="42" t="b">
        <v>0</v>
      </c>
    </row>
  </sheetData>
  <sheetProtection algorithmName="SHA-512" hashValue="DYETh9Xs+NrUoWXjQpjGVQBMI6aMmnnMMxgsrptxVWv6YsPw5vD+WWLrNml/vkiXlH1NbKRTP7ozpJ9Mgxn9Ag==" saltValue="ZLXp2KaWOp9B7OoB1yp5kw==" spinCount="100000" sheet="1" objects="1" scenarios="1"/>
  <mergeCells count="55">
    <mergeCell ref="Q1:R1"/>
    <mergeCell ref="D2:E3"/>
    <mergeCell ref="F2:G2"/>
    <mergeCell ref="H2:K2"/>
    <mergeCell ref="Q2:R2"/>
    <mergeCell ref="F3:K3"/>
    <mergeCell ref="Q3:R3"/>
    <mergeCell ref="D4:E4"/>
    <mergeCell ref="F4:G4"/>
    <mergeCell ref="H4:K4"/>
    <mergeCell ref="Q4:R4"/>
    <mergeCell ref="F5:G5"/>
    <mergeCell ref="H5:K5"/>
    <mergeCell ref="Q5:R6"/>
    <mergeCell ref="B10:B11"/>
    <mergeCell ref="B12:B14"/>
    <mergeCell ref="C12:K12"/>
    <mergeCell ref="C13:K14"/>
    <mergeCell ref="B6:B7"/>
    <mergeCell ref="C6:D7"/>
    <mergeCell ref="B8:B9"/>
    <mergeCell ref="B19:C19"/>
    <mergeCell ref="E19:J19"/>
    <mergeCell ref="B20:C20"/>
    <mergeCell ref="E20:J20"/>
    <mergeCell ref="D16:J16"/>
    <mergeCell ref="D24:E25"/>
    <mergeCell ref="F24:G24"/>
    <mergeCell ref="H24:K24"/>
    <mergeCell ref="F25:K25"/>
    <mergeCell ref="D26:E26"/>
    <mergeCell ref="F26:G26"/>
    <mergeCell ref="H26:K26"/>
    <mergeCell ref="B30:B31"/>
    <mergeCell ref="B32:B33"/>
    <mergeCell ref="F27:G27"/>
    <mergeCell ref="H27:K27"/>
    <mergeCell ref="B28:B29"/>
    <mergeCell ref="C28:D29"/>
    <mergeCell ref="B42:C42"/>
    <mergeCell ref="E42:J42"/>
    <mergeCell ref="C8:K9"/>
    <mergeCell ref="C10:K11"/>
    <mergeCell ref="F6:G7"/>
    <mergeCell ref="H6:K7"/>
    <mergeCell ref="F28:G29"/>
    <mergeCell ref="H28:K29"/>
    <mergeCell ref="C30:K31"/>
    <mergeCell ref="C32:K33"/>
    <mergeCell ref="B34:B36"/>
    <mergeCell ref="C34:K34"/>
    <mergeCell ref="C35:K36"/>
    <mergeCell ref="D38:J38"/>
    <mergeCell ref="B41:C41"/>
    <mergeCell ref="E41:J41"/>
  </mergeCells>
  <pageMargins left="0.56000000000000005" right="0.23622047244094491" top="0.59055118110236227" bottom="0.43307086614173229" header="0.31496062992125984" footer="0.31496062992125984"/>
  <pageSetup scale="93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B70CDA-6E00-48BD-8AB4-5A7821D4EB53}">
          <x14:formula1>
            <xm:f>LISTAS!$A$22:$A$40</xm:f>
          </x14:formula1>
          <xm:sqref>C10:K11</xm:sqref>
        </x14:dataValidation>
        <x14:dataValidation type="list" allowBlank="1" showInputMessage="1" showErrorMessage="1" xr:uid="{0868FA11-7FCE-4885-A459-B769CDD61818}">
          <x14:formula1>
            <xm:f>LISTAS!$B$2:$B$11</xm:f>
          </x14:formula1>
          <xm:sqref>C6:D7</xm:sqref>
        </x14:dataValidation>
        <x14:dataValidation type="list" allowBlank="1" showInputMessage="1" showErrorMessage="1" xr:uid="{0389B413-E1BB-4721-9CF6-B5C2D2341D4F}">
          <x14:formula1>
            <xm:f>SUELDOS!$D$5:$D$149</xm:f>
          </x14:formula1>
          <xm:sqref>E7</xm:sqref>
        </x14:dataValidation>
        <x14:dataValidation type="list" allowBlank="1" showInputMessage="1" showErrorMessage="1" xr:uid="{CFA455EB-A88D-43EA-A8F4-55E2C028EED1}">
          <x14:formula1>
            <xm:f>SUELDOS!$B$5:$B$149</xm:f>
          </x14:formula1>
          <xm:sqref>Q3:R3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rgb="FF00B050"/>
  </sheetPr>
  <dimension ref="A1:N584"/>
  <sheetViews>
    <sheetView topLeftCell="I184" zoomScale="160" zoomScaleNormal="160" workbookViewId="0">
      <selection activeCell="K6" sqref="K6"/>
    </sheetView>
  </sheetViews>
  <sheetFormatPr baseColWidth="10" defaultRowHeight="14.4" x14ac:dyDescent="0.3"/>
  <cols>
    <col min="1" max="1" width="8.6640625" bestFit="1" customWidth="1"/>
    <col min="2" max="2" width="14.88671875" style="127" bestFit="1" customWidth="1"/>
    <col min="3" max="3" width="46.88671875" customWidth="1"/>
    <col min="4" max="4" width="26" bestFit="1" customWidth="1"/>
    <col min="5" max="5" width="40.5546875" bestFit="1" customWidth="1"/>
    <col min="6" max="6" width="17.109375" bestFit="1" customWidth="1"/>
    <col min="7" max="7" width="33.5546875" bestFit="1" customWidth="1"/>
    <col min="8" max="8" width="9.5546875" customWidth="1"/>
    <col min="9" max="10" width="10.33203125" style="133" bestFit="1" customWidth="1"/>
    <col min="11" max="11" width="14.33203125" style="13" customWidth="1"/>
    <col min="12" max="12" width="12.88671875" style="128" customWidth="1"/>
    <col min="13" max="13" width="8.6640625" bestFit="1" customWidth="1"/>
    <col min="14" max="14" width="9.5546875" customWidth="1"/>
  </cols>
  <sheetData>
    <row r="1" spans="1:14" s="3" customFormat="1" ht="20.399999999999999" x14ac:dyDescent="0.3">
      <c r="A1" s="1" t="s">
        <v>29</v>
      </c>
      <c r="B1" s="1" t="s">
        <v>30</v>
      </c>
      <c r="C1" s="1" t="s">
        <v>37</v>
      </c>
      <c r="D1" s="122" t="s">
        <v>31</v>
      </c>
      <c r="E1" s="122" t="s">
        <v>32</v>
      </c>
      <c r="F1" s="123" t="s">
        <v>33</v>
      </c>
      <c r="G1" s="123" t="s">
        <v>36</v>
      </c>
      <c r="H1" s="124" t="s">
        <v>34</v>
      </c>
      <c r="I1" s="134" t="s">
        <v>35</v>
      </c>
      <c r="J1" s="131" t="s">
        <v>1558</v>
      </c>
      <c r="K1" s="147" t="s">
        <v>1650</v>
      </c>
      <c r="L1" s="1" t="s">
        <v>52</v>
      </c>
      <c r="M1" s="1" t="s">
        <v>29</v>
      </c>
      <c r="N1" s="1" t="s">
        <v>1854</v>
      </c>
    </row>
    <row r="2" spans="1:14" x14ac:dyDescent="0.3">
      <c r="A2" s="47">
        <v>2024001</v>
      </c>
      <c r="B2" s="48" t="s">
        <v>1040</v>
      </c>
      <c r="C2" s="135" t="s">
        <v>851</v>
      </c>
      <c r="D2" s="69" t="s">
        <v>1128</v>
      </c>
      <c r="E2" s="69" t="s">
        <v>1292</v>
      </c>
      <c r="F2" s="69">
        <v>833726</v>
      </c>
      <c r="G2" s="69" t="s">
        <v>1367</v>
      </c>
      <c r="H2" s="136" t="s">
        <v>236</v>
      </c>
      <c r="I2" s="137">
        <v>716</v>
      </c>
      <c r="J2" s="132">
        <v>364</v>
      </c>
      <c r="K2" s="146">
        <v>1187</v>
      </c>
      <c r="L2" s="48" t="s">
        <v>53</v>
      </c>
      <c r="M2" s="47">
        <f t="shared" ref="M2" si="0">A2</f>
        <v>2024001</v>
      </c>
      <c r="N2" s="47">
        <v>10</v>
      </c>
    </row>
    <row r="3" spans="1:14" x14ac:dyDescent="0.3">
      <c r="A3" s="47">
        <v>2024002</v>
      </c>
      <c r="B3" s="48" t="s">
        <v>1045</v>
      </c>
      <c r="C3" s="135" t="s">
        <v>1573</v>
      </c>
      <c r="D3" s="69" t="s">
        <v>1574</v>
      </c>
      <c r="E3" s="136" t="s">
        <v>244</v>
      </c>
      <c r="F3" s="136" t="s">
        <v>1291</v>
      </c>
      <c r="G3" s="69" t="s">
        <v>1575</v>
      </c>
      <c r="H3" s="136" t="s">
        <v>236</v>
      </c>
      <c r="I3" s="132">
        <v>823</v>
      </c>
      <c r="J3" s="132">
        <v>610</v>
      </c>
      <c r="K3" s="146">
        <v>0</v>
      </c>
      <c r="L3" s="48" t="s">
        <v>54</v>
      </c>
      <c r="M3" s="47">
        <f t="shared" ref="M3:M66" si="1">A3</f>
        <v>2024002</v>
      </c>
      <c r="N3" s="47">
        <v>10</v>
      </c>
    </row>
    <row r="4" spans="1:14" x14ac:dyDescent="0.3">
      <c r="A4" s="47">
        <v>2024003</v>
      </c>
      <c r="B4" s="48" t="s">
        <v>1591</v>
      </c>
      <c r="C4" s="138" t="s">
        <v>852</v>
      </c>
      <c r="D4" s="69" t="s">
        <v>1129</v>
      </c>
      <c r="E4" s="69" t="s">
        <v>1293</v>
      </c>
      <c r="F4" s="69">
        <v>6458016</v>
      </c>
      <c r="G4" s="69" t="s">
        <v>1592</v>
      </c>
      <c r="H4" s="136" t="s">
        <v>236</v>
      </c>
      <c r="I4" s="137">
        <v>823</v>
      </c>
      <c r="J4" s="132">
        <v>364</v>
      </c>
      <c r="K4" s="146">
        <v>1187</v>
      </c>
      <c r="L4" s="48" t="s">
        <v>53</v>
      </c>
      <c r="M4" s="47">
        <f t="shared" si="1"/>
        <v>2024003</v>
      </c>
      <c r="N4" s="47">
        <v>10</v>
      </c>
    </row>
    <row r="5" spans="1:14" x14ac:dyDescent="0.3">
      <c r="A5" s="47">
        <v>2024004</v>
      </c>
      <c r="B5" s="48" t="s">
        <v>1577</v>
      </c>
      <c r="C5" s="138" t="s">
        <v>853</v>
      </c>
      <c r="D5" s="69" t="s">
        <v>208</v>
      </c>
      <c r="E5" s="136" t="s">
        <v>244</v>
      </c>
      <c r="F5" s="136" t="s">
        <v>1291</v>
      </c>
      <c r="G5" s="69" t="s">
        <v>209</v>
      </c>
      <c r="H5" s="69">
        <v>2</v>
      </c>
      <c r="I5" s="137">
        <v>1476</v>
      </c>
      <c r="J5" s="132">
        <v>974</v>
      </c>
      <c r="K5" s="146">
        <v>0</v>
      </c>
      <c r="L5" s="48" t="s">
        <v>117</v>
      </c>
      <c r="M5" s="47">
        <f t="shared" si="1"/>
        <v>2024004</v>
      </c>
      <c r="N5" s="47">
        <v>10</v>
      </c>
    </row>
    <row r="6" spans="1:14" x14ac:dyDescent="0.3">
      <c r="A6" s="47">
        <v>2024005</v>
      </c>
      <c r="B6" s="48" t="s">
        <v>1041</v>
      </c>
      <c r="C6" s="135" t="s">
        <v>854</v>
      </c>
      <c r="D6" s="69" t="s">
        <v>1290</v>
      </c>
      <c r="E6" s="69" t="s">
        <v>1294</v>
      </c>
      <c r="F6" s="69">
        <v>1305573016</v>
      </c>
      <c r="G6" s="69" t="s">
        <v>1368</v>
      </c>
      <c r="H6" s="69"/>
      <c r="I6" s="137">
        <v>823</v>
      </c>
      <c r="J6" s="132">
        <v>377</v>
      </c>
      <c r="K6" s="146">
        <v>1200</v>
      </c>
      <c r="L6" s="48" t="s">
        <v>53</v>
      </c>
      <c r="M6" s="47">
        <f t="shared" si="1"/>
        <v>2024005</v>
      </c>
      <c r="N6" s="47">
        <v>10</v>
      </c>
    </row>
    <row r="7" spans="1:14" x14ac:dyDescent="0.3">
      <c r="A7" s="47">
        <v>2024006</v>
      </c>
      <c r="B7" s="48" t="s">
        <v>1040</v>
      </c>
      <c r="C7" s="135" t="s">
        <v>855</v>
      </c>
      <c r="D7" s="69" t="s">
        <v>1130</v>
      </c>
      <c r="E7" s="69" t="s">
        <v>1295</v>
      </c>
      <c r="F7" s="69">
        <v>3622379</v>
      </c>
      <c r="G7" s="69" t="s">
        <v>1369</v>
      </c>
      <c r="H7" s="136" t="s">
        <v>236</v>
      </c>
      <c r="I7" s="137">
        <v>823</v>
      </c>
      <c r="J7" s="132">
        <v>377</v>
      </c>
      <c r="K7" s="146">
        <v>1200</v>
      </c>
      <c r="L7" s="48" t="s">
        <v>53</v>
      </c>
      <c r="M7" s="47">
        <f t="shared" si="1"/>
        <v>2024006</v>
      </c>
      <c r="N7" s="47">
        <v>10</v>
      </c>
    </row>
    <row r="8" spans="1:14" x14ac:dyDescent="0.3">
      <c r="A8" s="47">
        <v>2024007</v>
      </c>
      <c r="B8" s="48" t="s">
        <v>1042</v>
      </c>
      <c r="C8" s="135" t="s">
        <v>856</v>
      </c>
      <c r="D8" s="69" t="s">
        <v>1131</v>
      </c>
      <c r="E8" s="136" t="s">
        <v>236</v>
      </c>
      <c r="F8" s="136" t="s">
        <v>236</v>
      </c>
      <c r="G8" s="69" t="s">
        <v>1370</v>
      </c>
      <c r="H8" s="136" t="s">
        <v>236</v>
      </c>
      <c r="I8" s="137">
        <v>823</v>
      </c>
      <c r="J8" s="132">
        <v>377</v>
      </c>
      <c r="K8" s="146">
        <v>1200</v>
      </c>
      <c r="L8" s="48" t="s">
        <v>53</v>
      </c>
      <c r="M8" s="47">
        <f t="shared" si="1"/>
        <v>2024007</v>
      </c>
      <c r="N8" s="47">
        <v>10</v>
      </c>
    </row>
    <row r="9" spans="1:14" x14ac:dyDescent="0.3">
      <c r="A9" s="47">
        <v>2024008</v>
      </c>
      <c r="B9" s="48" t="s">
        <v>1040</v>
      </c>
      <c r="C9" s="138" t="s">
        <v>349</v>
      </c>
      <c r="D9" s="69" t="s">
        <v>350</v>
      </c>
      <c r="E9" s="136" t="s">
        <v>351</v>
      </c>
      <c r="F9" s="136">
        <v>3615014</v>
      </c>
      <c r="G9" s="69" t="s">
        <v>1371</v>
      </c>
      <c r="H9" s="136" t="s">
        <v>236</v>
      </c>
      <c r="I9" s="137">
        <v>823</v>
      </c>
      <c r="J9" s="132">
        <v>364</v>
      </c>
      <c r="K9" s="146">
        <v>1187</v>
      </c>
      <c r="L9" s="48" t="s">
        <v>53</v>
      </c>
      <c r="M9" s="47">
        <f t="shared" si="1"/>
        <v>2024008</v>
      </c>
      <c r="N9" s="47">
        <v>10</v>
      </c>
    </row>
    <row r="10" spans="1:14" x14ac:dyDescent="0.3">
      <c r="A10" s="47">
        <v>2024009</v>
      </c>
      <c r="B10" s="48" t="s">
        <v>1043</v>
      </c>
      <c r="C10" s="135" t="s">
        <v>857</v>
      </c>
      <c r="D10" s="69" t="s">
        <v>1132</v>
      </c>
      <c r="E10" s="69" t="s">
        <v>1296</v>
      </c>
      <c r="F10" s="69">
        <v>6429591016</v>
      </c>
      <c r="G10" s="69" t="s">
        <v>1372</v>
      </c>
      <c r="H10" s="136" t="s">
        <v>236</v>
      </c>
      <c r="I10" s="137">
        <v>823</v>
      </c>
      <c r="J10" s="132">
        <v>377</v>
      </c>
      <c r="K10" s="146">
        <v>1200</v>
      </c>
      <c r="L10" s="48" t="s">
        <v>96</v>
      </c>
      <c r="M10" s="47">
        <f t="shared" si="1"/>
        <v>2024009</v>
      </c>
      <c r="N10" s="47">
        <v>10</v>
      </c>
    </row>
    <row r="11" spans="1:14" x14ac:dyDescent="0.3">
      <c r="A11" s="47">
        <v>2024318</v>
      </c>
      <c r="B11" s="48" t="s">
        <v>141</v>
      </c>
      <c r="C11" s="135" t="s">
        <v>1849</v>
      </c>
      <c r="D11" s="69" t="s">
        <v>1847</v>
      </c>
      <c r="E11" s="69" t="s">
        <v>244</v>
      </c>
      <c r="F11" s="69" t="s">
        <v>1291</v>
      </c>
      <c r="G11" s="69" t="s">
        <v>1848</v>
      </c>
      <c r="H11" s="136" t="s">
        <v>236</v>
      </c>
      <c r="I11" s="132">
        <v>0</v>
      </c>
      <c r="J11" s="132">
        <v>700</v>
      </c>
      <c r="K11" s="146">
        <v>0</v>
      </c>
      <c r="L11" s="48" t="s">
        <v>142</v>
      </c>
      <c r="M11" s="47">
        <f t="shared" si="1"/>
        <v>2024318</v>
      </c>
      <c r="N11" s="47">
        <v>9</v>
      </c>
    </row>
    <row r="12" spans="1:14" x14ac:dyDescent="0.3">
      <c r="A12" s="47">
        <v>2024010</v>
      </c>
      <c r="B12" s="48" t="s">
        <v>1042</v>
      </c>
      <c r="C12" s="138" t="s">
        <v>858</v>
      </c>
      <c r="D12" s="69" t="s">
        <v>1133</v>
      </c>
      <c r="E12" s="136" t="s">
        <v>413</v>
      </c>
      <c r="F12" s="136">
        <v>3036522</v>
      </c>
      <c r="G12" s="69" t="s">
        <v>1373</v>
      </c>
      <c r="H12" s="136" t="s">
        <v>236</v>
      </c>
      <c r="I12" s="137">
        <v>823</v>
      </c>
      <c r="J12" s="132">
        <v>364</v>
      </c>
      <c r="K12" s="146">
        <v>1187</v>
      </c>
      <c r="L12" s="48" t="s">
        <v>53</v>
      </c>
      <c r="M12" s="47">
        <f t="shared" si="1"/>
        <v>2024010</v>
      </c>
      <c r="N12" s="47">
        <v>10</v>
      </c>
    </row>
    <row r="13" spans="1:14" x14ac:dyDescent="0.3">
      <c r="A13" s="47">
        <v>2024011</v>
      </c>
      <c r="B13" s="48" t="s">
        <v>1065</v>
      </c>
      <c r="C13" s="135" t="s">
        <v>1647</v>
      </c>
      <c r="D13" s="69" t="s">
        <v>1649</v>
      </c>
      <c r="E13" s="136" t="s">
        <v>1693</v>
      </c>
      <c r="F13" s="136">
        <v>3610891017</v>
      </c>
      <c r="G13" s="69" t="s">
        <v>1648</v>
      </c>
      <c r="H13" s="69"/>
      <c r="I13" s="132">
        <v>823</v>
      </c>
      <c r="J13" s="132">
        <v>627</v>
      </c>
      <c r="K13" s="146">
        <v>1450</v>
      </c>
      <c r="L13" s="48" t="s">
        <v>54</v>
      </c>
      <c r="M13" s="47">
        <f t="shared" si="1"/>
        <v>2024011</v>
      </c>
      <c r="N13" s="47">
        <v>10</v>
      </c>
    </row>
    <row r="14" spans="1:14" x14ac:dyDescent="0.3">
      <c r="A14" s="47">
        <v>2024012</v>
      </c>
      <c r="B14" s="48" t="s">
        <v>425</v>
      </c>
      <c r="C14" s="135" t="s">
        <v>859</v>
      </c>
      <c r="D14" s="69" t="s">
        <v>1134</v>
      </c>
      <c r="E14" s="69" t="s">
        <v>1297</v>
      </c>
      <c r="F14" s="69">
        <v>6431024</v>
      </c>
      <c r="G14" s="69" t="s">
        <v>1374</v>
      </c>
      <c r="H14" s="136" t="s">
        <v>236</v>
      </c>
      <c r="I14" s="137">
        <v>823</v>
      </c>
      <c r="J14" s="132">
        <v>377</v>
      </c>
      <c r="K14" s="146">
        <v>1200</v>
      </c>
      <c r="L14" s="48" t="s">
        <v>96</v>
      </c>
      <c r="M14" s="47">
        <f t="shared" si="1"/>
        <v>2024012</v>
      </c>
      <c r="N14" s="47">
        <v>10</v>
      </c>
    </row>
    <row r="15" spans="1:14" x14ac:dyDescent="0.3">
      <c r="A15" s="47">
        <v>2024013</v>
      </c>
      <c r="B15" s="48" t="s">
        <v>1039</v>
      </c>
      <c r="C15" s="135" t="s">
        <v>860</v>
      </c>
      <c r="D15" s="69" t="s">
        <v>1135</v>
      </c>
      <c r="E15" s="69" t="s">
        <v>1298</v>
      </c>
      <c r="F15" s="69">
        <v>3729951</v>
      </c>
      <c r="G15" s="69" t="s">
        <v>1375</v>
      </c>
      <c r="H15" s="136" t="s">
        <v>236</v>
      </c>
      <c r="I15" s="137">
        <v>823</v>
      </c>
      <c r="J15" s="132">
        <v>364</v>
      </c>
      <c r="K15" s="146">
        <v>1187</v>
      </c>
      <c r="L15" s="48" t="s">
        <v>53</v>
      </c>
      <c r="M15" s="47">
        <f t="shared" si="1"/>
        <v>2024013</v>
      </c>
      <c r="N15" s="47">
        <v>10</v>
      </c>
    </row>
    <row r="16" spans="1:14" x14ac:dyDescent="0.3">
      <c r="A16" s="47">
        <v>2024014</v>
      </c>
      <c r="B16" s="48" t="s">
        <v>1046</v>
      </c>
      <c r="C16" s="138" t="s">
        <v>861</v>
      </c>
      <c r="D16" s="69" t="s">
        <v>259</v>
      </c>
      <c r="E16" s="69" t="s">
        <v>244</v>
      </c>
      <c r="F16" s="69" t="s">
        <v>1291</v>
      </c>
      <c r="G16" s="69" t="s">
        <v>260</v>
      </c>
      <c r="H16" s="69">
        <v>2</v>
      </c>
      <c r="I16" s="137">
        <v>1480</v>
      </c>
      <c r="J16" s="132">
        <v>1220</v>
      </c>
      <c r="K16" s="146">
        <v>2700</v>
      </c>
      <c r="L16" s="48" t="s">
        <v>54</v>
      </c>
      <c r="M16" s="47">
        <f t="shared" si="1"/>
        <v>2024014</v>
      </c>
      <c r="N16" s="47">
        <v>10</v>
      </c>
    </row>
    <row r="17" spans="1:14" x14ac:dyDescent="0.3">
      <c r="A17" s="47">
        <v>2024015</v>
      </c>
      <c r="B17" s="48" t="s">
        <v>1047</v>
      </c>
      <c r="C17" s="138" t="s">
        <v>862</v>
      </c>
      <c r="D17" s="69" t="s">
        <v>1136</v>
      </c>
      <c r="E17" s="136" t="s">
        <v>236</v>
      </c>
      <c r="F17" s="136" t="s">
        <v>236</v>
      </c>
      <c r="G17" s="69" t="s">
        <v>1376</v>
      </c>
      <c r="H17" s="136" t="s">
        <v>236</v>
      </c>
      <c r="I17" s="137">
        <v>740</v>
      </c>
      <c r="J17" s="132">
        <v>610</v>
      </c>
      <c r="K17" s="146">
        <v>0</v>
      </c>
      <c r="L17" s="48" t="s">
        <v>54</v>
      </c>
      <c r="M17" s="47">
        <f t="shared" si="1"/>
        <v>2024015</v>
      </c>
      <c r="N17" s="47">
        <v>10</v>
      </c>
    </row>
    <row r="18" spans="1:14" x14ac:dyDescent="0.3">
      <c r="A18" s="47">
        <v>2024016</v>
      </c>
      <c r="B18" s="48" t="s">
        <v>1048</v>
      </c>
      <c r="C18" s="138" t="s">
        <v>863</v>
      </c>
      <c r="D18" s="69" t="s">
        <v>1137</v>
      </c>
      <c r="E18" s="136" t="s">
        <v>244</v>
      </c>
      <c r="F18" s="136" t="s">
        <v>1291</v>
      </c>
      <c r="G18" s="69" t="s">
        <v>1377</v>
      </c>
      <c r="H18" s="136"/>
      <c r="I18" s="137">
        <v>690</v>
      </c>
      <c r="J18" s="132">
        <v>610</v>
      </c>
      <c r="K18" s="146">
        <v>1300</v>
      </c>
      <c r="L18" s="48" t="s">
        <v>54</v>
      </c>
      <c r="M18" s="47">
        <f t="shared" si="1"/>
        <v>2024016</v>
      </c>
      <c r="N18" s="47">
        <v>10</v>
      </c>
    </row>
    <row r="19" spans="1:14" x14ac:dyDescent="0.3">
      <c r="A19" s="47">
        <v>2024017</v>
      </c>
      <c r="B19" s="48" t="s">
        <v>1049</v>
      </c>
      <c r="C19" s="138" t="s">
        <v>1655</v>
      </c>
      <c r="D19" s="69" t="s">
        <v>381</v>
      </c>
      <c r="E19" s="136" t="s">
        <v>236</v>
      </c>
      <c r="F19" s="136" t="s">
        <v>236</v>
      </c>
      <c r="G19" s="69" t="s">
        <v>197</v>
      </c>
      <c r="H19" s="69">
        <v>3</v>
      </c>
      <c r="I19" s="137">
        <v>0</v>
      </c>
      <c r="J19" s="132">
        <v>0</v>
      </c>
      <c r="K19" s="146">
        <v>0</v>
      </c>
      <c r="L19" s="48" t="s">
        <v>117</v>
      </c>
      <c r="M19" s="47">
        <f t="shared" si="1"/>
        <v>2024017</v>
      </c>
      <c r="N19" s="47">
        <v>10</v>
      </c>
    </row>
    <row r="20" spans="1:14" x14ac:dyDescent="0.3">
      <c r="A20" s="47">
        <v>2024018</v>
      </c>
      <c r="B20" s="48" t="s">
        <v>1050</v>
      </c>
      <c r="C20" s="138" t="s">
        <v>126</v>
      </c>
      <c r="D20" s="69" t="s">
        <v>127</v>
      </c>
      <c r="E20" s="136" t="s">
        <v>244</v>
      </c>
      <c r="F20" s="136" t="s">
        <v>1291</v>
      </c>
      <c r="G20" s="69" t="s">
        <v>1378</v>
      </c>
      <c r="H20" s="136">
        <v>2</v>
      </c>
      <c r="I20" s="137">
        <v>1426</v>
      </c>
      <c r="J20" s="132">
        <v>974</v>
      </c>
      <c r="K20" s="146">
        <v>0</v>
      </c>
      <c r="L20" s="48" t="s">
        <v>117</v>
      </c>
      <c r="M20" s="47">
        <f t="shared" si="1"/>
        <v>2024018</v>
      </c>
      <c r="N20" s="47">
        <v>10</v>
      </c>
    </row>
    <row r="21" spans="1:14" x14ac:dyDescent="0.3">
      <c r="A21" s="47">
        <v>2024019</v>
      </c>
      <c r="B21" s="48" t="s">
        <v>1042</v>
      </c>
      <c r="C21" s="135" t="s">
        <v>864</v>
      </c>
      <c r="D21" s="69" t="s">
        <v>1138</v>
      </c>
      <c r="E21" s="69" t="s">
        <v>253</v>
      </c>
      <c r="F21" s="69">
        <v>3731235018</v>
      </c>
      <c r="G21" s="69" t="s">
        <v>1379</v>
      </c>
      <c r="H21" s="136" t="s">
        <v>236</v>
      </c>
      <c r="I21" s="137">
        <v>636</v>
      </c>
      <c r="J21" s="132">
        <v>364</v>
      </c>
      <c r="K21" s="146">
        <v>0</v>
      </c>
      <c r="L21" s="48" t="s">
        <v>53</v>
      </c>
      <c r="M21" s="47">
        <f t="shared" si="1"/>
        <v>2024019</v>
      </c>
      <c r="N21" s="47">
        <v>10</v>
      </c>
    </row>
    <row r="22" spans="1:14" x14ac:dyDescent="0.3">
      <c r="A22" s="47">
        <v>2024020</v>
      </c>
      <c r="B22" s="48" t="s">
        <v>1051</v>
      </c>
      <c r="C22" s="138" t="s">
        <v>865</v>
      </c>
      <c r="D22" s="69" t="s">
        <v>240</v>
      </c>
      <c r="E22" s="139" t="s">
        <v>1578</v>
      </c>
      <c r="F22" s="139" t="s">
        <v>1579</v>
      </c>
      <c r="G22" s="69" t="s">
        <v>241</v>
      </c>
      <c r="H22" s="69">
        <v>2</v>
      </c>
      <c r="I22" s="137">
        <v>1646</v>
      </c>
      <c r="J22" s="132">
        <v>974</v>
      </c>
      <c r="K22" s="146">
        <v>2620</v>
      </c>
      <c r="L22" s="48" t="s">
        <v>117</v>
      </c>
      <c r="M22" s="47">
        <f t="shared" si="1"/>
        <v>2024020</v>
      </c>
      <c r="N22" s="47">
        <v>10</v>
      </c>
    </row>
    <row r="23" spans="1:14" x14ac:dyDescent="0.3">
      <c r="A23" s="47">
        <v>2024021</v>
      </c>
      <c r="B23" s="48" t="s">
        <v>1039</v>
      </c>
      <c r="C23" s="138" t="s">
        <v>866</v>
      </c>
      <c r="D23" s="69" t="s">
        <v>1139</v>
      </c>
      <c r="E23" s="136" t="s">
        <v>415</v>
      </c>
      <c r="F23" s="136">
        <v>2762866</v>
      </c>
      <c r="G23" s="69" t="s">
        <v>1380</v>
      </c>
      <c r="H23" s="136" t="s">
        <v>236</v>
      </c>
      <c r="I23" s="137">
        <v>823</v>
      </c>
      <c r="J23" s="137">
        <v>364</v>
      </c>
      <c r="K23" s="146">
        <v>1200</v>
      </c>
      <c r="L23" s="48" t="s">
        <v>53</v>
      </c>
      <c r="M23" s="47">
        <f t="shared" si="1"/>
        <v>2024021</v>
      </c>
      <c r="N23" s="47">
        <v>10</v>
      </c>
    </row>
    <row r="24" spans="1:14" x14ac:dyDescent="0.3">
      <c r="A24" s="47">
        <v>2024022</v>
      </c>
      <c r="B24" s="48" t="s">
        <v>1052</v>
      </c>
      <c r="C24" s="135" t="s">
        <v>867</v>
      </c>
      <c r="D24" s="69" t="s">
        <v>1140</v>
      </c>
      <c r="E24" s="69" t="s">
        <v>1300</v>
      </c>
      <c r="F24" s="69">
        <v>7267059</v>
      </c>
      <c r="G24" s="69" t="s">
        <v>1381</v>
      </c>
      <c r="H24" s="136" t="s">
        <v>236</v>
      </c>
      <c r="I24" s="137">
        <v>823</v>
      </c>
      <c r="J24" s="132">
        <v>377</v>
      </c>
      <c r="K24" s="146">
        <v>1200</v>
      </c>
      <c r="L24" s="48" t="s">
        <v>53</v>
      </c>
      <c r="M24" s="47">
        <f t="shared" si="1"/>
        <v>2024022</v>
      </c>
      <c r="N24" s="47">
        <v>10</v>
      </c>
    </row>
    <row r="25" spans="1:14" x14ac:dyDescent="0.3">
      <c r="A25" s="47">
        <v>2024023</v>
      </c>
      <c r="B25" s="48" t="s">
        <v>1043</v>
      </c>
      <c r="C25" s="135" t="s">
        <v>868</v>
      </c>
      <c r="D25" s="69" t="s">
        <v>1141</v>
      </c>
      <c r="E25" s="69" t="s">
        <v>300</v>
      </c>
      <c r="F25" s="69">
        <v>6424211019</v>
      </c>
      <c r="G25" s="69" t="s">
        <v>1382</v>
      </c>
      <c r="H25" s="136" t="s">
        <v>236</v>
      </c>
      <c r="I25" s="137">
        <v>823</v>
      </c>
      <c r="J25" s="132">
        <v>377</v>
      </c>
      <c r="K25" s="146">
        <v>1200</v>
      </c>
      <c r="L25" s="48" t="s">
        <v>96</v>
      </c>
      <c r="M25" s="47">
        <f t="shared" si="1"/>
        <v>2024023</v>
      </c>
      <c r="N25" s="47">
        <v>10</v>
      </c>
    </row>
    <row r="26" spans="1:14" x14ac:dyDescent="0.3">
      <c r="A26" s="47">
        <v>2024024</v>
      </c>
      <c r="B26" s="48" t="s">
        <v>1053</v>
      </c>
      <c r="C26" s="138" t="s">
        <v>20</v>
      </c>
      <c r="D26" s="69" t="s">
        <v>93</v>
      </c>
      <c r="E26" s="136" t="s">
        <v>94</v>
      </c>
      <c r="F26" s="136">
        <v>3143281</v>
      </c>
      <c r="G26" s="69" t="s">
        <v>95</v>
      </c>
      <c r="H26" s="136" t="s">
        <v>236</v>
      </c>
      <c r="I26" s="137">
        <v>823</v>
      </c>
      <c r="J26" s="132">
        <v>610</v>
      </c>
      <c r="K26" s="146">
        <v>1433</v>
      </c>
      <c r="L26" s="48" t="s">
        <v>54</v>
      </c>
      <c r="M26" s="47">
        <f t="shared" si="1"/>
        <v>2024024</v>
      </c>
      <c r="N26" s="47">
        <v>10</v>
      </c>
    </row>
    <row r="27" spans="1:14" x14ac:dyDescent="0.3">
      <c r="A27" s="47">
        <v>2024025</v>
      </c>
      <c r="B27" s="48" t="s">
        <v>1054</v>
      </c>
      <c r="C27" s="135" t="s">
        <v>869</v>
      </c>
      <c r="D27" s="69" t="s">
        <v>1142</v>
      </c>
      <c r="E27" s="69" t="s">
        <v>410</v>
      </c>
      <c r="F27" s="69">
        <v>4466728015</v>
      </c>
      <c r="G27" s="69" t="s">
        <v>1383</v>
      </c>
      <c r="H27" s="69">
        <v>2</v>
      </c>
      <c r="I27" s="137">
        <v>1276</v>
      </c>
      <c r="J27" s="132">
        <v>974</v>
      </c>
      <c r="K27" s="146">
        <v>2250</v>
      </c>
      <c r="L27" s="48" t="s">
        <v>270</v>
      </c>
      <c r="M27" s="47">
        <f t="shared" si="1"/>
        <v>2024025</v>
      </c>
      <c r="N27" s="47">
        <v>10</v>
      </c>
    </row>
    <row r="28" spans="1:14" x14ac:dyDescent="0.3">
      <c r="A28" s="47">
        <v>2024026</v>
      </c>
      <c r="B28" s="48" t="s">
        <v>1055</v>
      </c>
      <c r="C28" s="138" t="s">
        <v>26</v>
      </c>
      <c r="D28" s="69" t="s">
        <v>288</v>
      </c>
      <c r="E28" s="69" t="s">
        <v>289</v>
      </c>
      <c r="F28" s="69">
        <v>949885</v>
      </c>
      <c r="G28" s="69" t="s">
        <v>290</v>
      </c>
      <c r="H28" s="136" t="s">
        <v>236</v>
      </c>
      <c r="I28" s="137">
        <v>823</v>
      </c>
      <c r="J28" s="132">
        <v>610</v>
      </c>
      <c r="K28" s="146">
        <v>1433</v>
      </c>
      <c r="L28" s="48" t="s">
        <v>54</v>
      </c>
      <c r="M28" s="47">
        <f t="shared" si="1"/>
        <v>2024026</v>
      </c>
      <c r="N28" s="47">
        <v>10</v>
      </c>
    </row>
    <row r="29" spans="1:14" x14ac:dyDescent="0.3">
      <c r="A29" s="47">
        <v>2024027</v>
      </c>
      <c r="B29" s="48" t="s">
        <v>1056</v>
      </c>
      <c r="C29" s="135" t="s">
        <v>1656</v>
      </c>
      <c r="D29" s="69" t="s">
        <v>1651</v>
      </c>
      <c r="E29" s="69"/>
      <c r="F29" s="69"/>
      <c r="G29" s="69" t="s">
        <v>1384</v>
      </c>
      <c r="H29" s="69">
        <v>2</v>
      </c>
      <c r="I29" s="137">
        <v>1356</v>
      </c>
      <c r="J29" s="132">
        <v>974</v>
      </c>
      <c r="K29" s="146">
        <v>0</v>
      </c>
      <c r="L29" s="48" t="s">
        <v>270</v>
      </c>
      <c r="M29" s="47">
        <f t="shared" si="1"/>
        <v>2024027</v>
      </c>
      <c r="N29" s="47">
        <v>10</v>
      </c>
    </row>
    <row r="30" spans="1:14" x14ac:dyDescent="0.3">
      <c r="A30" s="47">
        <v>2024028</v>
      </c>
      <c r="B30" s="48" t="s">
        <v>1057</v>
      </c>
      <c r="C30" s="135" t="s">
        <v>1657</v>
      </c>
      <c r="D30" s="69"/>
      <c r="E30" s="69"/>
      <c r="F30" s="69"/>
      <c r="G30" s="69"/>
      <c r="H30" s="69">
        <v>2</v>
      </c>
      <c r="I30" s="137">
        <v>1646</v>
      </c>
      <c r="J30" s="132">
        <v>1220</v>
      </c>
      <c r="K30" s="146">
        <v>2600</v>
      </c>
      <c r="L30" s="48" t="s">
        <v>54</v>
      </c>
      <c r="M30" s="47">
        <f t="shared" si="1"/>
        <v>2024028</v>
      </c>
      <c r="N30" s="47">
        <v>10</v>
      </c>
    </row>
    <row r="31" spans="1:14" x14ac:dyDescent="0.3">
      <c r="A31" s="47">
        <v>2024029</v>
      </c>
      <c r="B31" s="48" t="s">
        <v>1044</v>
      </c>
      <c r="C31" s="138" t="s">
        <v>14</v>
      </c>
      <c r="D31" s="69" t="s">
        <v>121</v>
      </c>
      <c r="E31" s="69" t="s">
        <v>1302</v>
      </c>
      <c r="F31" s="69">
        <v>3808783013</v>
      </c>
      <c r="G31" s="69" t="s">
        <v>280</v>
      </c>
      <c r="H31" s="136" t="s">
        <v>236</v>
      </c>
      <c r="I31" s="137">
        <v>823</v>
      </c>
      <c r="J31" s="132">
        <v>627</v>
      </c>
      <c r="K31" s="146">
        <v>1433</v>
      </c>
      <c r="L31" s="48" t="s">
        <v>54</v>
      </c>
      <c r="M31" s="47">
        <f t="shared" si="1"/>
        <v>2024029</v>
      </c>
      <c r="N31" s="47">
        <v>10</v>
      </c>
    </row>
    <row r="32" spans="1:14" x14ac:dyDescent="0.3">
      <c r="A32" s="47">
        <v>2024030</v>
      </c>
      <c r="B32" s="48" t="s">
        <v>1039</v>
      </c>
      <c r="C32" s="135" t="s">
        <v>870</v>
      </c>
      <c r="D32" s="69" t="s">
        <v>1143</v>
      </c>
      <c r="E32" s="69" t="s">
        <v>244</v>
      </c>
      <c r="F32" s="69" t="s">
        <v>1291</v>
      </c>
      <c r="G32" s="69" t="s">
        <v>1385</v>
      </c>
      <c r="H32" s="136" t="s">
        <v>236</v>
      </c>
      <c r="I32" s="137">
        <v>716</v>
      </c>
      <c r="J32" s="132">
        <v>364</v>
      </c>
      <c r="K32" s="146">
        <v>1187</v>
      </c>
      <c r="L32" s="48" t="s">
        <v>53</v>
      </c>
      <c r="M32" s="47">
        <f t="shared" si="1"/>
        <v>2024030</v>
      </c>
      <c r="N32" s="47">
        <v>10</v>
      </c>
    </row>
    <row r="33" spans="1:14" x14ac:dyDescent="0.3">
      <c r="A33" s="47">
        <v>2024031</v>
      </c>
      <c r="B33" s="48" t="s">
        <v>1058</v>
      </c>
      <c r="C33" s="135" t="s">
        <v>871</v>
      </c>
      <c r="D33" s="69" t="s">
        <v>1144</v>
      </c>
      <c r="E33" s="69" t="s">
        <v>1301</v>
      </c>
      <c r="F33" s="69">
        <v>6476859</v>
      </c>
      <c r="G33" s="69" t="s">
        <v>1386</v>
      </c>
      <c r="H33" s="136" t="s">
        <v>236</v>
      </c>
      <c r="I33" s="137">
        <v>823</v>
      </c>
      <c r="J33" s="132">
        <v>364</v>
      </c>
      <c r="K33" s="146">
        <v>1187</v>
      </c>
      <c r="L33" s="48" t="s">
        <v>53</v>
      </c>
      <c r="M33" s="47">
        <f t="shared" si="1"/>
        <v>2024031</v>
      </c>
      <c r="N33" s="47">
        <v>10</v>
      </c>
    </row>
    <row r="34" spans="1:14" x14ac:dyDescent="0.3">
      <c r="A34" s="47">
        <v>2024032</v>
      </c>
      <c r="B34" s="48" t="s">
        <v>1059</v>
      </c>
      <c r="C34" s="135" t="s">
        <v>872</v>
      </c>
      <c r="D34" s="69" t="s">
        <v>129</v>
      </c>
      <c r="E34" s="69" t="s">
        <v>1301</v>
      </c>
      <c r="F34" s="69">
        <v>5271483</v>
      </c>
      <c r="G34" s="69" t="s">
        <v>1387</v>
      </c>
      <c r="H34" s="136" t="s">
        <v>236</v>
      </c>
      <c r="I34" s="137">
        <v>823</v>
      </c>
      <c r="J34" s="132">
        <v>364</v>
      </c>
      <c r="K34" s="146">
        <v>1187</v>
      </c>
      <c r="L34" s="48" t="s">
        <v>53</v>
      </c>
      <c r="M34" s="47">
        <f t="shared" si="1"/>
        <v>2024032</v>
      </c>
      <c r="N34" s="47">
        <v>10</v>
      </c>
    </row>
    <row r="35" spans="1:14" x14ac:dyDescent="0.3">
      <c r="A35" s="47">
        <v>2024033</v>
      </c>
      <c r="B35" s="48" t="s">
        <v>1061</v>
      </c>
      <c r="C35" s="138" t="s">
        <v>873</v>
      </c>
      <c r="D35" s="69" t="s">
        <v>157</v>
      </c>
      <c r="E35" s="69" t="s">
        <v>158</v>
      </c>
      <c r="F35" s="69">
        <v>5032188</v>
      </c>
      <c r="G35" s="69" t="s">
        <v>159</v>
      </c>
      <c r="H35" s="69">
        <v>3</v>
      </c>
      <c r="I35" s="137">
        <v>1646</v>
      </c>
      <c r="J35" s="132">
        <v>1814</v>
      </c>
      <c r="K35" s="146">
        <v>3460</v>
      </c>
      <c r="L35" s="48" t="s">
        <v>117</v>
      </c>
      <c r="M35" s="47">
        <f t="shared" si="1"/>
        <v>2024033</v>
      </c>
      <c r="N35" s="47">
        <v>10</v>
      </c>
    </row>
    <row r="36" spans="1:14" x14ac:dyDescent="0.3">
      <c r="A36" s="47">
        <v>2024034</v>
      </c>
      <c r="B36" s="48" t="s">
        <v>1045</v>
      </c>
      <c r="C36" s="138" t="s">
        <v>2</v>
      </c>
      <c r="D36" s="69" t="s">
        <v>218</v>
      </c>
      <c r="E36" s="69" t="s">
        <v>398</v>
      </c>
      <c r="F36" s="69">
        <v>3599727</v>
      </c>
      <c r="G36" s="69" t="s">
        <v>1388</v>
      </c>
      <c r="H36" s="136" t="s">
        <v>236</v>
      </c>
      <c r="I36" s="137">
        <v>823</v>
      </c>
      <c r="J36" s="137">
        <v>610</v>
      </c>
      <c r="K36" s="146">
        <v>1433</v>
      </c>
      <c r="L36" s="48" t="s">
        <v>54</v>
      </c>
      <c r="M36" s="47">
        <f t="shared" si="1"/>
        <v>2024034</v>
      </c>
      <c r="N36" s="47">
        <v>10</v>
      </c>
    </row>
    <row r="37" spans="1:14" x14ac:dyDescent="0.3">
      <c r="A37" s="47">
        <v>2024035</v>
      </c>
      <c r="B37" s="48" t="s">
        <v>2055</v>
      </c>
      <c r="C37" s="135" t="s">
        <v>2053</v>
      </c>
      <c r="D37" s="69" t="s">
        <v>1145</v>
      </c>
      <c r="E37" s="69" t="s">
        <v>1303</v>
      </c>
      <c r="F37" s="69">
        <v>5053364</v>
      </c>
      <c r="G37" s="69" t="s">
        <v>1389</v>
      </c>
      <c r="H37" s="69"/>
      <c r="I37" s="137">
        <v>1646</v>
      </c>
      <c r="J37" s="137">
        <v>1254</v>
      </c>
      <c r="K37" s="146">
        <v>2900</v>
      </c>
      <c r="L37" s="48" t="s">
        <v>2054</v>
      </c>
      <c r="M37" s="47">
        <f t="shared" si="1"/>
        <v>2024035</v>
      </c>
      <c r="N37" s="47">
        <v>10</v>
      </c>
    </row>
    <row r="38" spans="1:14" x14ac:dyDescent="0.3">
      <c r="A38" s="47">
        <v>2024036</v>
      </c>
      <c r="B38" s="48" t="s">
        <v>1043</v>
      </c>
      <c r="C38" s="135" t="s">
        <v>874</v>
      </c>
      <c r="D38" s="69" t="s">
        <v>1146</v>
      </c>
      <c r="E38" s="69" t="s">
        <v>1304</v>
      </c>
      <c r="F38" s="69">
        <v>11251234</v>
      </c>
      <c r="G38" s="69" t="s">
        <v>1390</v>
      </c>
      <c r="H38" s="136" t="s">
        <v>236</v>
      </c>
      <c r="I38" s="137">
        <v>823</v>
      </c>
      <c r="J38" s="137">
        <v>364</v>
      </c>
      <c r="K38" s="146">
        <v>1187</v>
      </c>
      <c r="L38" s="48" t="s">
        <v>96</v>
      </c>
      <c r="M38" s="47">
        <f t="shared" si="1"/>
        <v>2024036</v>
      </c>
      <c r="N38" s="47">
        <v>10</v>
      </c>
    </row>
    <row r="39" spans="1:14" x14ac:dyDescent="0.3">
      <c r="A39" s="47">
        <v>2024037</v>
      </c>
      <c r="B39" s="48" t="s">
        <v>1062</v>
      </c>
      <c r="C39" s="138" t="s">
        <v>154</v>
      </c>
      <c r="D39" s="69" t="s">
        <v>1147</v>
      </c>
      <c r="E39" s="69" t="s">
        <v>244</v>
      </c>
      <c r="F39" s="69" t="s">
        <v>1291</v>
      </c>
      <c r="G39" s="69" t="s">
        <v>331</v>
      </c>
      <c r="H39" s="136" t="s">
        <v>236</v>
      </c>
      <c r="I39" s="137">
        <v>716</v>
      </c>
      <c r="J39" s="132">
        <v>364</v>
      </c>
      <c r="K39" s="146">
        <v>1080</v>
      </c>
      <c r="L39" s="48" t="s">
        <v>53</v>
      </c>
      <c r="M39" s="47">
        <f t="shared" si="1"/>
        <v>2024037</v>
      </c>
      <c r="N39" s="47">
        <v>10</v>
      </c>
    </row>
    <row r="40" spans="1:14" x14ac:dyDescent="0.3">
      <c r="A40" s="47">
        <v>2024038</v>
      </c>
      <c r="B40" s="48" t="s">
        <v>1063</v>
      </c>
      <c r="C40" s="138" t="s">
        <v>875</v>
      </c>
      <c r="D40" s="69" t="s">
        <v>104</v>
      </c>
      <c r="E40" s="136" t="s">
        <v>1305</v>
      </c>
      <c r="F40" s="136">
        <v>5309537</v>
      </c>
      <c r="G40" s="69" t="s">
        <v>105</v>
      </c>
      <c r="H40" s="136">
        <v>3</v>
      </c>
      <c r="I40" s="137">
        <v>1646</v>
      </c>
      <c r="J40" s="137">
        <v>1321</v>
      </c>
      <c r="K40" s="146">
        <v>2967</v>
      </c>
      <c r="L40" s="48" t="s">
        <v>53</v>
      </c>
      <c r="M40" s="47">
        <f t="shared" si="1"/>
        <v>2024038</v>
      </c>
      <c r="N40" s="47">
        <v>10</v>
      </c>
    </row>
    <row r="41" spans="1:14" x14ac:dyDescent="0.3">
      <c r="A41" s="47">
        <v>2024039</v>
      </c>
      <c r="B41" s="48" t="s">
        <v>1065</v>
      </c>
      <c r="C41" s="135" t="s">
        <v>1661</v>
      </c>
      <c r="D41" s="69" t="s">
        <v>1589</v>
      </c>
      <c r="E41" s="69" t="s">
        <v>1293</v>
      </c>
      <c r="F41" s="69">
        <v>6458016</v>
      </c>
      <c r="G41" s="69" t="s">
        <v>1590</v>
      </c>
      <c r="H41" s="136" t="s">
        <v>236</v>
      </c>
      <c r="I41" s="137">
        <v>823</v>
      </c>
      <c r="J41" s="132">
        <v>610</v>
      </c>
      <c r="K41" s="146">
        <v>1433</v>
      </c>
      <c r="L41" s="48" t="s">
        <v>54</v>
      </c>
      <c r="M41" s="47">
        <f t="shared" si="1"/>
        <v>2024039</v>
      </c>
      <c r="N41" s="47">
        <v>10</v>
      </c>
    </row>
    <row r="42" spans="1:14" x14ac:dyDescent="0.3">
      <c r="A42" s="47">
        <v>2024040</v>
      </c>
      <c r="B42" s="48" t="s">
        <v>1044</v>
      </c>
      <c r="C42" s="138" t="s">
        <v>15</v>
      </c>
      <c r="D42" s="69" t="s">
        <v>113</v>
      </c>
      <c r="E42" s="136" t="s">
        <v>236</v>
      </c>
      <c r="F42" s="136" t="s">
        <v>236</v>
      </c>
      <c r="G42" s="69" t="s">
        <v>114</v>
      </c>
      <c r="H42" s="136" t="s">
        <v>236</v>
      </c>
      <c r="I42" s="137">
        <v>823</v>
      </c>
      <c r="J42" s="132">
        <v>610</v>
      </c>
      <c r="K42" s="146">
        <v>0</v>
      </c>
      <c r="L42" s="48" t="s">
        <v>54</v>
      </c>
      <c r="M42" s="47">
        <f t="shared" si="1"/>
        <v>2024040</v>
      </c>
      <c r="N42" s="47">
        <v>10</v>
      </c>
    </row>
    <row r="43" spans="1:14" x14ac:dyDescent="0.3">
      <c r="A43" s="47">
        <v>2024041</v>
      </c>
      <c r="B43" s="48" t="s">
        <v>1064</v>
      </c>
      <c r="C43" s="138" t="s">
        <v>111</v>
      </c>
      <c r="D43" s="69" t="s">
        <v>109</v>
      </c>
      <c r="E43" s="69" t="s">
        <v>401</v>
      </c>
      <c r="F43" s="69">
        <v>5185708</v>
      </c>
      <c r="G43" s="69" t="s">
        <v>110</v>
      </c>
      <c r="H43" s="69">
        <v>2</v>
      </c>
      <c r="I43" s="137">
        <v>1646</v>
      </c>
      <c r="J43" s="132">
        <v>974</v>
      </c>
      <c r="K43" s="146">
        <v>0</v>
      </c>
      <c r="L43" s="48" t="s">
        <v>117</v>
      </c>
      <c r="M43" s="47">
        <f t="shared" si="1"/>
        <v>2024041</v>
      </c>
      <c r="N43" s="47">
        <v>10</v>
      </c>
    </row>
    <row r="44" spans="1:14" x14ac:dyDescent="0.3">
      <c r="A44" s="47">
        <v>2024042</v>
      </c>
      <c r="B44" s="140" t="s">
        <v>1065</v>
      </c>
      <c r="C44" s="138" t="s">
        <v>876</v>
      </c>
      <c r="D44" s="141" t="s">
        <v>103</v>
      </c>
      <c r="E44" s="136" t="s">
        <v>244</v>
      </c>
      <c r="F44" s="136" t="s">
        <v>1291</v>
      </c>
      <c r="G44" s="69" t="s">
        <v>1391</v>
      </c>
      <c r="H44" s="136" t="s">
        <v>236</v>
      </c>
      <c r="I44" s="137">
        <v>740</v>
      </c>
      <c r="J44" s="132">
        <v>610</v>
      </c>
      <c r="K44" s="146">
        <v>1350</v>
      </c>
      <c r="L44" s="48" t="s">
        <v>54</v>
      </c>
      <c r="M44" s="47">
        <f t="shared" si="1"/>
        <v>2024042</v>
      </c>
      <c r="N44" s="47">
        <v>10</v>
      </c>
    </row>
    <row r="45" spans="1:14" x14ac:dyDescent="0.3">
      <c r="A45" s="47">
        <v>2024043</v>
      </c>
      <c r="B45" s="140" t="s">
        <v>1066</v>
      </c>
      <c r="C45" s="138" t="s">
        <v>9</v>
      </c>
      <c r="D45" s="69" t="s">
        <v>1148</v>
      </c>
      <c r="E45" s="136" t="s">
        <v>244</v>
      </c>
      <c r="F45" s="136" t="s">
        <v>1291</v>
      </c>
      <c r="G45" s="69" t="s">
        <v>1392</v>
      </c>
      <c r="H45" s="136" t="s">
        <v>236</v>
      </c>
      <c r="I45" s="137">
        <v>740</v>
      </c>
      <c r="J45" s="132">
        <v>610</v>
      </c>
      <c r="K45" s="146">
        <v>1350</v>
      </c>
      <c r="L45" s="48" t="s">
        <v>54</v>
      </c>
      <c r="M45" s="47">
        <f t="shared" si="1"/>
        <v>2024043</v>
      </c>
      <c r="N45" s="47">
        <v>10</v>
      </c>
    </row>
    <row r="46" spans="1:14" x14ac:dyDescent="0.3">
      <c r="A46" s="47">
        <v>2024044</v>
      </c>
      <c r="B46" s="48" t="s">
        <v>1041</v>
      </c>
      <c r="C46" s="135" t="s">
        <v>877</v>
      </c>
      <c r="D46" s="69" t="s">
        <v>1149</v>
      </c>
      <c r="E46" s="69" t="s">
        <v>1596</v>
      </c>
      <c r="F46" s="69">
        <v>3815235</v>
      </c>
      <c r="G46" s="69" t="s">
        <v>1393</v>
      </c>
      <c r="H46" s="136" t="s">
        <v>236</v>
      </c>
      <c r="I46" s="137">
        <v>823</v>
      </c>
      <c r="J46" s="132">
        <v>364</v>
      </c>
      <c r="K46" s="146">
        <v>1187</v>
      </c>
      <c r="L46" s="48" t="s">
        <v>53</v>
      </c>
      <c r="M46" s="47">
        <f t="shared" si="1"/>
        <v>2024044</v>
      </c>
      <c r="N46" s="47">
        <v>10</v>
      </c>
    </row>
    <row r="47" spans="1:14" x14ac:dyDescent="0.3">
      <c r="A47" s="47">
        <v>2024045</v>
      </c>
      <c r="B47" s="48" t="s">
        <v>1658</v>
      </c>
      <c r="C47" s="135" t="s">
        <v>1652</v>
      </c>
      <c r="D47" s="69" t="s">
        <v>1653</v>
      </c>
      <c r="E47" s="69" t="s">
        <v>244</v>
      </c>
      <c r="F47" s="69" t="s">
        <v>1291</v>
      </c>
      <c r="G47" s="69" t="s">
        <v>1654</v>
      </c>
      <c r="H47" s="69">
        <v>3</v>
      </c>
      <c r="I47" s="132">
        <v>1646</v>
      </c>
      <c r="J47" s="132">
        <v>1354</v>
      </c>
      <c r="K47" s="146">
        <v>3000</v>
      </c>
      <c r="L47" s="48" t="s">
        <v>205</v>
      </c>
      <c r="M47" s="47">
        <f t="shared" si="1"/>
        <v>2024045</v>
      </c>
      <c r="N47" s="47">
        <v>10</v>
      </c>
    </row>
    <row r="48" spans="1:14" x14ac:dyDescent="0.3">
      <c r="A48" s="47">
        <v>2024046</v>
      </c>
      <c r="B48" s="48" t="s">
        <v>1067</v>
      </c>
      <c r="C48" s="138" t="s">
        <v>878</v>
      </c>
      <c r="D48" s="69" t="s">
        <v>186</v>
      </c>
      <c r="E48" s="136" t="s">
        <v>221</v>
      </c>
      <c r="F48" s="136">
        <v>768133010</v>
      </c>
      <c r="G48" s="69" t="s">
        <v>187</v>
      </c>
      <c r="H48" s="136">
        <v>2</v>
      </c>
      <c r="I48" s="137">
        <v>1646</v>
      </c>
      <c r="J48" s="132">
        <v>728</v>
      </c>
      <c r="K48" s="146">
        <v>2374</v>
      </c>
      <c r="L48" s="48" t="s">
        <v>205</v>
      </c>
      <c r="M48" s="47">
        <f t="shared" si="1"/>
        <v>2024046</v>
      </c>
      <c r="N48" s="47">
        <v>10</v>
      </c>
    </row>
    <row r="49" spans="1:14" x14ac:dyDescent="0.3">
      <c r="A49" s="47">
        <v>2024047</v>
      </c>
      <c r="B49" s="48" t="s">
        <v>1068</v>
      </c>
      <c r="C49" s="138" t="s">
        <v>879</v>
      </c>
      <c r="D49" s="69" t="s">
        <v>1150</v>
      </c>
      <c r="E49" s="136" t="s">
        <v>236</v>
      </c>
      <c r="F49" s="136" t="s">
        <v>236</v>
      </c>
      <c r="G49" s="69" t="s">
        <v>160</v>
      </c>
      <c r="H49" s="69">
        <v>2</v>
      </c>
      <c r="I49" s="137">
        <v>1646</v>
      </c>
      <c r="J49" s="132">
        <v>974</v>
      </c>
      <c r="K49" s="146">
        <v>2620</v>
      </c>
      <c r="L49" s="48" t="s">
        <v>117</v>
      </c>
      <c r="M49" s="47">
        <f t="shared" si="1"/>
        <v>2024047</v>
      </c>
      <c r="N49" s="47">
        <v>10</v>
      </c>
    </row>
    <row r="50" spans="1:14" x14ac:dyDescent="0.3">
      <c r="A50" s="47">
        <v>2024048</v>
      </c>
      <c r="B50" s="48" t="s">
        <v>1069</v>
      </c>
      <c r="C50" s="138" t="s">
        <v>880</v>
      </c>
      <c r="D50" s="69" t="s">
        <v>1618</v>
      </c>
      <c r="E50" s="136" t="s">
        <v>236</v>
      </c>
      <c r="F50" s="136" t="s">
        <v>236</v>
      </c>
      <c r="G50" s="69" t="s">
        <v>1394</v>
      </c>
      <c r="H50" s="136">
        <v>2</v>
      </c>
      <c r="I50" s="137">
        <v>500</v>
      </c>
      <c r="J50" s="132">
        <v>400</v>
      </c>
      <c r="K50" s="146">
        <v>0</v>
      </c>
      <c r="L50" s="48" t="s">
        <v>106</v>
      </c>
      <c r="M50" s="47">
        <f t="shared" si="1"/>
        <v>2024048</v>
      </c>
      <c r="N50" s="47">
        <v>10</v>
      </c>
    </row>
    <row r="51" spans="1:14" x14ac:dyDescent="0.3">
      <c r="A51" s="47">
        <v>2024317</v>
      </c>
      <c r="B51" s="48" t="s">
        <v>1041</v>
      </c>
      <c r="C51" s="135" t="s">
        <v>1841</v>
      </c>
      <c r="D51" s="69" t="s">
        <v>1842</v>
      </c>
      <c r="E51" s="69" t="s">
        <v>1843</v>
      </c>
      <c r="F51" s="69">
        <v>5926032</v>
      </c>
      <c r="G51" s="69" t="s">
        <v>1844</v>
      </c>
      <c r="H51" s="136" t="s">
        <v>236</v>
      </c>
      <c r="I51" s="132">
        <v>823</v>
      </c>
      <c r="J51" s="132">
        <v>377</v>
      </c>
      <c r="K51" s="146">
        <v>1200</v>
      </c>
      <c r="L51" s="48" t="s">
        <v>53</v>
      </c>
      <c r="M51" s="47">
        <f t="shared" si="1"/>
        <v>2024317</v>
      </c>
      <c r="N51" s="47">
        <v>10</v>
      </c>
    </row>
    <row r="52" spans="1:14" x14ac:dyDescent="0.3">
      <c r="A52" s="47">
        <v>2024049</v>
      </c>
      <c r="B52" s="48" t="s">
        <v>1066</v>
      </c>
      <c r="C52" s="138" t="s">
        <v>10</v>
      </c>
      <c r="D52" s="69" t="s">
        <v>146</v>
      </c>
      <c r="E52" s="69" t="s">
        <v>244</v>
      </c>
      <c r="F52" s="69" t="s">
        <v>1291</v>
      </c>
      <c r="G52" s="69" t="s">
        <v>1395</v>
      </c>
      <c r="H52" s="136" t="s">
        <v>236</v>
      </c>
      <c r="I52" s="137">
        <v>740</v>
      </c>
      <c r="J52" s="132">
        <v>610</v>
      </c>
      <c r="K52" s="146">
        <v>1350</v>
      </c>
      <c r="L52" s="48" t="s">
        <v>54</v>
      </c>
      <c r="M52" s="47">
        <f t="shared" si="1"/>
        <v>2024049</v>
      </c>
      <c r="N52" s="47">
        <v>10</v>
      </c>
    </row>
    <row r="53" spans="1:14" x14ac:dyDescent="0.3">
      <c r="A53" s="47">
        <v>2024050</v>
      </c>
      <c r="B53" s="48" t="s">
        <v>425</v>
      </c>
      <c r="C53" s="135" t="s">
        <v>881</v>
      </c>
      <c r="D53" s="69" t="s">
        <v>1151</v>
      </c>
      <c r="E53" s="69" t="s">
        <v>244</v>
      </c>
      <c r="F53" s="69" t="s">
        <v>1291</v>
      </c>
      <c r="G53" s="69" t="s">
        <v>1396</v>
      </c>
      <c r="H53" s="136" t="s">
        <v>236</v>
      </c>
      <c r="I53" s="137">
        <v>716</v>
      </c>
      <c r="J53" s="132">
        <v>364</v>
      </c>
      <c r="K53" s="146">
        <v>1200</v>
      </c>
      <c r="L53" s="48" t="s">
        <v>96</v>
      </c>
      <c r="M53" s="47">
        <f t="shared" si="1"/>
        <v>2024050</v>
      </c>
      <c r="N53" s="47">
        <v>10</v>
      </c>
    </row>
    <row r="54" spans="1:14" x14ac:dyDescent="0.3">
      <c r="A54" s="47">
        <v>2024051</v>
      </c>
      <c r="B54" s="48" t="s">
        <v>1042</v>
      </c>
      <c r="C54" s="138" t="s">
        <v>327</v>
      </c>
      <c r="D54" s="69" t="s">
        <v>328</v>
      </c>
      <c r="E54" s="69" t="s">
        <v>1291</v>
      </c>
      <c r="F54" s="69" t="s">
        <v>1291</v>
      </c>
      <c r="G54" s="69" t="s">
        <v>330</v>
      </c>
      <c r="H54" s="136" t="s">
        <v>236</v>
      </c>
      <c r="I54" s="137">
        <v>736</v>
      </c>
      <c r="J54" s="132">
        <v>364</v>
      </c>
      <c r="K54" s="146">
        <v>1100</v>
      </c>
      <c r="L54" s="48" t="s">
        <v>53</v>
      </c>
      <c r="M54" s="47">
        <f t="shared" si="1"/>
        <v>2024051</v>
      </c>
      <c r="N54" s="47">
        <v>10</v>
      </c>
    </row>
    <row r="55" spans="1:14" x14ac:dyDescent="0.3">
      <c r="A55" s="47">
        <v>2024052</v>
      </c>
      <c r="B55" s="48" t="s">
        <v>1052</v>
      </c>
      <c r="C55" s="138" t="s">
        <v>882</v>
      </c>
      <c r="D55" s="69" t="s">
        <v>1152</v>
      </c>
      <c r="E55" s="136" t="s">
        <v>244</v>
      </c>
      <c r="F55" s="136"/>
      <c r="G55" s="69" t="s">
        <v>1397</v>
      </c>
      <c r="H55" s="136" t="s">
        <v>236</v>
      </c>
      <c r="I55" s="137">
        <v>736</v>
      </c>
      <c r="J55" s="132">
        <v>364</v>
      </c>
      <c r="K55" s="146">
        <v>1100</v>
      </c>
      <c r="L55" s="48" t="s">
        <v>53</v>
      </c>
      <c r="M55" s="47">
        <f t="shared" si="1"/>
        <v>2024052</v>
      </c>
      <c r="N55" s="47">
        <v>10</v>
      </c>
    </row>
    <row r="56" spans="1:14" x14ac:dyDescent="0.3">
      <c r="A56" s="47">
        <v>2024053</v>
      </c>
      <c r="B56" s="48" t="s">
        <v>1070</v>
      </c>
      <c r="C56" s="138" t="s">
        <v>246</v>
      </c>
      <c r="D56" s="69" t="s">
        <v>1153</v>
      </c>
      <c r="E56" s="136" t="s">
        <v>236</v>
      </c>
      <c r="F56" s="136" t="s">
        <v>236</v>
      </c>
      <c r="G56" s="69" t="s">
        <v>247</v>
      </c>
      <c r="H56" s="136" t="s">
        <v>236</v>
      </c>
      <c r="I56" s="137">
        <v>636</v>
      </c>
      <c r="J56" s="132">
        <v>364</v>
      </c>
      <c r="K56" s="146">
        <v>1000</v>
      </c>
      <c r="L56" s="48" t="s">
        <v>53</v>
      </c>
      <c r="M56" s="47">
        <f t="shared" si="1"/>
        <v>2024053</v>
      </c>
      <c r="N56" s="47">
        <v>10</v>
      </c>
    </row>
    <row r="57" spans="1:14" x14ac:dyDescent="0.3">
      <c r="A57" s="47">
        <v>2024054</v>
      </c>
      <c r="B57" s="48" t="s">
        <v>1071</v>
      </c>
      <c r="C57" s="138" t="s">
        <v>883</v>
      </c>
      <c r="D57" s="69" t="s">
        <v>357</v>
      </c>
      <c r="E57" s="69" t="s">
        <v>244</v>
      </c>
      <c r="F57" s="69" t="s">
        <v>1291</v>
      </c>
      <c r="G57" s="69" t="s">
        <v>358</v>
      </c>
      <c r="H57" s="136">
        <v>2</v>
      </c>
      <c r="I57" s="137">
        <v>1459</v>
      </c>
      <c r="J57" s="132">
        <v>728</v>
      </c>
      <c r="K57" s="146">
        <v>2187</v>
      </c>
      <c r="L57" s="48" t="s">
        <v>53</v>
      </c>
      <c r="M57" s="47">
        <f t="shared" si="1"/>
        <v>2024054</v>
      </c>
      <c r="N57" s="47">
        <v>10</v>
      </c>
    </row>
    <row r="58" spans="1:14" x14ac:dyDescent="0.3">
      <c r="A58" s="47">
        <v>2024055</v>
      </c>
      <c r="B58" s="48" t="s">
        <v>141</v>
      </c>
      <c r="C58" s="135" t="s">
        <v>884</v>
      </c>
      <c r="D58" s="69" t="s">
        <v>254</v>
      </c>
      <c r="E58" s="69" t="s">
        <v>1299</v>
      </c>
      <c r="F58" s="69">
        <v>3104152</v>
      </c>
      <c r="G58" s="69" t="s">
        <v>1398</v>
      </c>
      <c r="H58" s="136" t="s">
        <v>236</v>
      </c>
      <c r="I58" s="137">
        <v>0</v>
      </c>
      <c r="J58" s="137">
        <v>1000</v>
      </c>
      <c r="K58" s="146">
        <v>2000</v>
      </c>
      <c r="L58" s="48" t="s">
        <v>142</v>
      </c>
      <c r="M58" s="47">
        <f t="shared" si="1"/>
        <v>2024055</v>
      </c>
      <c r="N58" s="47">
        <v>10</v>
      </c>
    </row>
    <row r="59" spans="1:14" x14ac:dyDescent="0.3">
      <c r="A59" s="47">
        <v>2024056</v>
      </c>
      <c r="B59" s="48" t="s">
        <v>1072</v>
      </c>
      <c r="C59" s="135" t="s">
        <v>885</v>
      </c>
      <c r="D59" s="69" t="s">
        <v>1154</v>
      </c>
      <c r="E59" s="69" t="s">
        <v>244</v>
      </c>
      <c r="F59" s="69" t="s">
        <v>1291</v>
      </c>
      <c r="G59" s="69" t="s">
        <v>1399</v>
      </c>
      <c r="H59" s="69">
        <v>2</v>
      </c>
      <c r="I59" s="137">
        <v>1406</v>
      </c>
      <c r="J59" s="132">
        <v>974</v>
      </c>
      <c r="K59" s="146">
        <v>0</v>
      </c>
      <c r="L59" s="48" t="s">
        <v>117</v>
      </c>
      <c r="M59" s="47">
        <f t="shared" si="1"/>
        <v>2024056</v>
      </c>
      <c r="N59" s="47">
        <v>10</v>
      </c>
    </row>
    <row r="60" spans="1:14" x14ac:dyDescent="0.3">
      <c r="A60" s="47">
        <v>2024057</v>
      </c>
      <c r="B60" s="48" t="s">
        <v>1042</v>
      </c>
      <c r="C60" s="138" t="s">
        <v>294</v>
      </c>
      <c r="D60" s="136" t="s">
        <v>1155</v>
      </c>
      <c r="E60" s="136" t="s">
        <v>244</v>
      </c>
      <c r="F60" s="136" t="s">
        <v>236</v>
      </c>
      <c r="G60" s="69" t="s">
        <v>406</v>
      </c>
      <c r="H60" s="136" t="s">
        <v>236</v>
      </c>
      <c r="I60" s="137">
        <v>823</v>
      </c>
      <c r="J60" s="132">
        <v>364</v>
      </c>
      <c r="K60" s="146">
        <v>1187</v>
      </c>
      <c r="L60" s="48" t="s">
        <v>53</v>
      </c>
      <c r="M60" s="47">
        <f t="shared" si="1"/>
        <v>2024057</v>
      </c>
      <c r="N60" s="47">
        <v>10</v>
      </c>
    </row>
    <row r="61" spans="1:14" x14ac:dyDescent="0.3">
      <c r="A61" s="47">
        <v>2024058</v>
      </c>
      <c r="B61" s="48" t="s">
        <v>1043</v>
      </c>
      <c r="C61" s="135" t="s">
        <v>1580</v>
      </c>
      <c r="D61" s="69" t="s">
        <v>1581</v>
      </c>
      <c r="E61" s="69" t="s">
        <v>1582</v>
      </c>
      <c r="F61" s="69">
        <v>8053291</v>
      </c>
      <c r="G61" s="69" t="s">
        <v>1583</v>
      </c>
      <c r="H61" s="136" t="s">
        <v>236</v>
      </c>
      <c r="I61" s="132">
        <v>823</v>
      </c>
      <c r="J61" s="132">
        <v>377</v>
      </c>
      <c r="K61" s="146">
        <v>1200</v>
      </c>
      <c r="L61" s="48" t="s">
        <v>96</v>
      </c>
      <c r="M61" s="129">
        <f t="shared" si="1"/>
        <v>2024058</v>
      </c>
      <c r="N61" s="47">
        <v>10</v>
      </c>
    </row>
    <row r="62" spans="1:14" x14ac:dyDescent="0.3">
      <c r="A62" s="47">
        <v>2024059</v>
      </c>
      <c r="B62" s="142" t="s">
        <v>1595</v>
      </c>
      <c r="C62" s="138" t="s">
        <v>1594</v>
      </c>
      <c r="D62" s="69" t="s">
        <v>120</v>
      </c>
      <c r="E62" s="136" t="s">
        <v>244</v>
      </c>
      <c r="F62" s="136" t="s">
        <v>1291</v>
      </c>
      <c r="G62" s="69" t="s">
        <v>183</v>
      </c>
      <c r="H62" s="136">
        <v>2</v>
      </c>
      <c r="I62" s="137">
        <v>1280</v>
      </c>
      <c r="J62" s="132">
        <v>1220</v>
      </c>
      <c r="K62" s="146">
        <v>0</v>
      </c>
      <c r="L62" s="48" t="s">
        <v>54</v>
      </c>
      <c r="M62" s="47">
        <f t="shared" si="1"/>
        <v>2024059</v>
      </c>
      <c r="N62" s="47">
        <v>10</v>
      </c>
    </row>
    <row r="63" spans="1:14" x14ac:dyDescent="0.3">
      <c r="A63" s="47">
        <v>2024060</v>
      </c>
      <c r="B63" s="48" t="s">
        <v>1659</v>
      </c>
      <c r="C63" s="138" t="s">
        <v>886</v>
      </c>
      <c r="D63" s="69" t="s">
        <v>231</v>
      </c>
      <c r="E63" s="136" t="s">
        <v>1307</v>
      </c>
      <c r="F63" s="136">
        <v>4018039017</v>
      </c>
      <c r="G63" s="69" t="s">
        <v>232</v>
      </c>
      <c r="H63" s="136">
        <v>2</v>
      </c>
      <c r="I63" s="137">
        <v>1646</v>
      </c>
      <c r="J63" s="132">
        <v>728</v>
      </c>
      <c r="K63" s="146">
        <v>2374</v>
      </c>
      <c r="L63" s="48" t="s">
        <v>53</v>
      </c>
      <c r="M63" s="47">
        <f t="shared" si="1"/>
        <v>2024060</v>
      </c>
      <c r="N63" s="47">
        <v>10</v>
      </c>
    </row>
    <row r="64" spans="1:14" x14ac:dyDescent="0.3">
      <c r="A64" s="47">
        <v>2024061</v>
      </c>
      <c r="B64" s="48" t="s">
        <v>1042</v>
      </c>
      <c r="C64" s="138" t="s">
        <v>421</v>
      </c>
      <c r="D64" s="69" t="s">
        <v>1593</v>
      </c>
      <c r="E64" s="136" t="s">
        <v>244</v>
      </c>
      <c r="F64" s="136" t="s">
        <v>1291</v>
      </c>
      <c r="G64" s="69" t="s">
        <v>261</v>
      </c>
      <c r="H64" s="136" t="s">
        <v>236</v>
      </c>
      <c r="I64" s="137">
        <v>500</v>
      </c>
      <c r="J64" s="132">
        <v>0</v>
      </c>
      <c r="K64" s="146">
        <v>0</v>
      </c>
      <c r="L64" s="48" t="s">
        <v>53</v>
      </c>
      <c r="M64" s="47">
        <f t="shared" si="1"/>
        <v>2024061</v>
      </c>
      <c r="N64" s="47">
        <v>10</v>
      </c>
    </row>
    <row r="65" spans="1:14" x14ac:dyDescent="0.3">
      <c r="A65" s="47">
        <v>2024062</v>
      </c>
      <c r="B65" s="48" t="s">
        <v>2070</v>
      </c>
      <c r="C65" s="135" t="s">
        <v>2069</v>
      </c>
      <c r="D65" s="69" t="s">
        <v>1584</v>
      </c>
      <c r="E65" s="69" t="s">
        <v>244</v>
      </c>
      <c r="F65" s="69" t="s">
        <v>1291</v>
      </c>
      <c r="G65" s="69" t="s">
        <v>1400</v>
      </c>
      <c r="H65" s="69">
        <v>2</v>
      </c>
      <c r="I65" s="137">
        <v>1500</v>
      </c>
      <c r="J65" s="132">
        <v>0</v>
      </c>
      <c r="K65" s="146">
        <v>0</v>
      </c>
      <c r="L65" s="48" t="s">
        <v>2071</v>
      </c>
      <c r="M65" s="47">
        <f t="shared" si="1"/>
        <v>2024062</v>
      </c>
      <c r="N65" s="47">
        <v>10</v>
      </c>
    </row>
    <row r="66" spans="1:14" x14ac:dyDescent="0.3">
      <c r="A66" s="47">
        <v>2024063</v>
      </c>
      <c r="B66" s="142" t="s">
        <v>1082</v>
      </c>
      <c r="C66" s="135" t="s">
        <v>887</v>
      </c>
      <c r="D66" s="69" t="s">
        <v>1156</v>
      </c>
      <c r="E66" s="69" t="s">
        <v>1308</v>
      </c>
      <c r="F66" s="69">
        <v>3101700</v>
      </c>
      <c r="G66" s="69" t="s">
        <v>1401</v>
      </c>
      <c r="H66" s="136" t="s">
        <v>236</v>
      </c>
      <c r="I66" s="137">
        <v>823</v>
      </c>
      <c r="J66" s="132">
        <v>627</v>
      </c>
      <c r="K66" s="146">
        <v>1450</v>
      </c>
      <c r="L66" s="48" t="s">
        <v>54</v>
      </c>
      <c r="M66" s="47">
        <f t="shared" si="1"/>
        <v>2024063</v>
      </c>
      <c r="N66" s="47">
        <v>10</v>
      </c>
    </row>
    <row r="67" spans="1:14" x14ac:dyDescent="0.3">
      <c r="A67" s="47">
        <v>2024320</v>
      </c>
      <c r="B67" s="48" t="s">
        <v>1039</v>
      </c>
      <c r="C67" s="135" t="s">
        <v>1905</v>
      </c>
      <c r="D67" s="69" t="s">
        <v>1906</v>
      </c>
      <c r="E67" s="69" t="s">
        <v>244</v>
      </c>
      <c r="F67" s="69" t="s">
        <v>1291</v>
      </c>
      <c r="G67" s="69" t="s">
        <v>1907</v>
      </c>
      <c r="H67" s="136" t="s">
        <v>236</v>
      </c>
      <c r="I67" s="132">
        <v>500</v>
      </c>
      <c r="J67" s="132">
        <v>0</v>
      </c>
      <c r="K67" s="146">
        <v>0</v>
      </c>
      <c r="L67" s="48" t="s">
        <v>53</v>
      </c>
      <c r="M67" s="47">
        <f t="shared" ref="M67:M130" si="2">A67</f>
        <v>2024320</v>
      </c>
      <c r="N67" s="47">
        <v>9</v>
      </c>
    </row>
    <row r="68" spans="1:14" x14ac:dyDescent="0.3">
      <c r="A68" s="47">
        <v>2024064</v>
      </c>
      <c r="B68" s="142" t="s">
        <v>1082</v>
      </c>
      <c r="C68" s="138" t="s">
        <v>1559</v>
      </c>
      <c r="D68" s="69" t="s">
        <v>155</v>
      </c>
      <c r="E68" s="69" t="s">
        <v>388</v>
      </c>
      <c r="F68" s="69">
        <v>4474356014</v>
      </c>
      <c r="G68" s="69" t="s">
        <v>156</v>
      </c>
      <c r="H68" s="136" t="s">
        <v>236</v>
      </c>
      <c r="I68" s="137">
        <v>690</v>
      </c>
      <c r="J68" s="132">
        <v>610</v>
      </c>
      <c r="K68" s="146">
        <v>0</v>
      </c>
      <c r="L68" s="48" t="s">
        <v>54</v>
      </c>
      <c r="M68" s="47">
        <f t="shared" si="2"/>
        <v>2024064</v>
      </c>
      <c r="N68" s="47">
        <v>10</v>
      </c>
    </row>
    <row r="69" spans="1:14" x14ac:dyDescent="0.3">
      <c r="A69" s="47">
        <v>2024065</v>
      </c>
      <c r="B69" s="48" t="s">
        <v>1660</v>
      </c>
      <c r="C69" s="138" t="s">
        <v>341</v>
      </c>
      <c r="D69" s="69" t="s">
        <v>342</v>
      </c>
      <c r="E69" s="69" t="s">
        <v>343</v>
      </c>
      <c r="F69" s="69">
        <v>4382504014</v>
      </c>
      <c r="G69" s="69" t="s">
        <v>344</v>
      </c>
      <c r="H69" s="69">
        <v>3</v>
      </c>
      <c r="I69" s="137">
        <v>1646</v>
      </c>
      <c r="J69" s="132">
        <v>1479</v>
      </c>
      <c r="K69" s="146">
        <v>3125</v>
      </c>
      <c r="L69" s="48" t="s">
        <v>117</v>
      </c>
      <c r="M69" s="47">
        <f t="shared" si="2"/>
        <v>2024065</v>
      </c>
      <c r="N69" s="47">
        <v>10</v>
      </c>
    </row>
    <row r="70" spans="1:14" x14ac:dyDescent="0.3">
      <c r="A70" s="47">
        <v>2024316</v>
      </c>
      <c r="B70" s="48" t="s">
        <v>1045</v>
      </c>
      <c r="C70" s="135" t="s">
        <v>1769</v>
      </c>
      <c r="D70" s="69" t="s">
        <v>1770</v>
      </c>
      <c r="E70" s="69" t="s">
        <v>1771</v>
      </c>
      <c r="F70" s="69">
        <v>5279071</v>
      </c>
      <c r="G70" s="69" t="s">
        <v>1772</v>
      </c>
      <c r="H70" s="136" t="s">
        <v>236</v>
      </c>
      <c r="I70" s="132">
        <v>823</v>
      </c>
      <c r="J70" s="132">
        <v>610</v>
      </c>
      <c r="K70" s="146">
        <v>1433</v>
      </c>
      <c r="L70" s="48" t="s">
        <v>54</v>
      </c>
      <c r="M70" s="47">
        <f t="shared" si="2"/>
        <v>2024316</v>
      </c>
      <c r="N70" s="47">
        <v>10</v>
      </c>
    </row>
    <row r="71" spans="1:14" x14ac:dyDescent="0.3">
      <c r="A71" s="47">
        <v>2024066</v>
      </c>
      <c r="B71" s="48" t="s">
        <v>1060</v>
      </c>
      <c r="C71" s="135" t="s">
        <v>888</v>
      </c>
      <c r="D71" s="69" t="s">
        <v>382</v>
      </c>
      <c r="E71" s="69" t="s">
        <v>1291</v>
      </c>
      <c r="F71" s="69" t="s">
        <v>1291</v>
      </c>
      <c r="G71" s="69" t="s">
        <v>383</v>
      </c>
      <c r="H71" s="136" t="s">
        <v>236</v>
      </c>
      <c r="I71" s="137">
        <v>690</v>
      </c>
      <c r="J71" s="132">
        <v>610</v>
      </c>
      <c r="K71" s="146">
        <v>0</v>
      </c>
      <c r="L71" s="48" t="s">
        <v>54</v>
      </c>
      <c r="M71" s="47">
        <f t="shared" si="2"/>
        <v>2024066</v>
      </c>
      <c r="N71" s="47">
        <v>10</v>
      </c>
    </row>
    <row r="72" spans="1:14" x14ac:dyDescent="0.3">
      <c r="A72" s="47">
        <v>2024067</v>
      </c>
      <c r="B72" s="48" t="s">
        <v>1074</v>
      </c>
      <c r="C72" s="138" t="s">
        <v>889</v>
      </c>
      <c r="D72" s="69" t="s">
        <v>140</v>
      </c>
      <c r="E72" s="69" t="s">
        <v>402</v>
      </c>
      <c r="F72" s="69">
        <v>6400551</v>
      </c>
      <c r="G72" s="69" t="s">
        <v>1402</v>
      </c>
      <c r="H72" s="136">
        <v>2</v>
      </c>
      <c r="I72" s="137">
        <v>1646</v>
      </c>
      <c r="J72" s="132">
        <v>728</v>
      </c>
      <c r="K72" s="146">
        <v>2374</v>
      </c>
      <c r="L72" s="48" t="s">
        <v>53</v>
      </c>
      <c r="M72" s="47">
        <f t="shared" si="2"/>
        <v>2024067</v>
      </c>
      <c r="N72" s="47">
        <v>10</v>
      </c>
    </row>
    <row r="73" spans="1:14" x14ac:dyDescent="0.3">
      <c r="A73" s="47">
        <v>2024068</v>
      </c>
      <c r="B73" s="48" t="s">
        <v>1044</v>
      </c>
      <c r="C73" s="135" t="s">
        <v>890</v>
      </c>
      <c r="D73" s="69" t="s">
        <v>1157</v>
      </c>
      <c r="E73" s="69" t="s">
        <v>1309</v>
      </c>
      <c r="F73" s="69">
        <v>5282807015</v>
      </c>
      <c r="G73" s="69" t="s">
        <v>1403</v>
      </c>
      <c r="H73" s="136" t="s">
        <v>236</v>
      </c>
      <c r="I73" s="137">
        <v>823</v>
      </c>
      <c r="J73" s="132">
        <v>610</v>
      </c>
      <c r="K73" s="146">
        <v>1433</v>
      </c>
      <c r="L73" s="48" t="s">
        <v>54</v>
      </c>
      <c r="M73" s="47">
        <f t="shared" si="2"/>
        <v>2024068</v>
      </c>
      <c r="N73" s="47">
        <v>10</v>
      </c>
    </row>
    <row r="74" spans="1:14" x14ac:dyDescent="0.3">
      <c r="A74" s="47">
        <v>2024069</v>
      </c>
      <c r="B74" s="48" t="s">
        <v>1040</v>
      </c>
      <c r="C74" s="138" t="s">
        <v>363</v>
      </c>
      <c r="D74" s="69" t="s">
        <v>364</v>
      </c>
      <c r="E74" s="69" t="s">
        <v>244</v>
      </c>
      <c r="F74" s="69" t="s">
        <v>1291</v>
      </c>
      <c r="G74" s="69" t="s">
        <v>365</v>
      </c>
      <c r="H74" s="69">
        <v>2</v>
      </c>
      <c r="I74" s="137">
        <v>1432</v>
      </c>
      <c r="J74" s="132">
        <v>728</v>
      </c>
      <c r="K74" s="146">
        <v>2374</v>
      </c>
      <c r="L74" s="48" t="s">
        <v>53</v>
      </c>
      <c r="M74" s="47">
        <f t="shared" si="2"/>
        <v>2024069</v>
      </c>
      <c r="N74" s="47">
        <v>10</v>
      </c>
    </row>
    <row r="75" spans="1:14" x14ac:dyDescent="0.3">
      <c r="A75" s="47">
        <v>2024070</v>
      </c>
      <c r="B75" s="48" t="s">
        <v>1075</v>
      </c>
      <c r="C75" s="135" t="s">
        <v>891</v>
      </c>
      <c r="D75" s="69" t="s">
        <v>1158</v>
      </c>
      <c r="E75" s="69" t="s">
        <v>244</v>
      </c>
      <c r="F75" s="69" t="s">
        <v>1291</v>
      </c>
      <c r="G75" s="69" t="s">
        <v>1404</v>
      </c>
      <c r="H75" s="136">
        <v>2</v>
      </c>
      <c r="I75" s="137">
        <v>1412</v>
      </c>
      <c r="J75" s="137">
        <v>728</v>
      </c>
      <c r="K75" s="146">
        <v>2140</v>
      </c>
      <c r="L75" s="48" t="s">
        <v>53</v>
      </c>
      <c r="M75" s="47">
        <f t="shared" si="2"/>
        <v>2024070</v>
      </c>
      <c r="N75" s="47">
        <v>10</v>
      </c>
    </row>
    <row r="76" spans="1:14" x14ac:dyDescent="0.3">
      <c r="A76" s="47">
        <v>2024071</v>
      </c>
      <c r="B76" s="48" t="s">
        <v>1052</v>
      </c>
      <c r="C76" s="138" t="s">
        <v>291</v>
      </c>
      <c r="D76" s="69" t="s">
        <v>374</v>
      </c>
      <c r="E76" s="69" t="s">
        <v>292</v>
      </c>
      <c r="F76" s="69">
        <v>5212410</v>
      </c>
      <c r="G76" s="69" t="s">
        <v>1405</v>
      </c>
      <c r="H76" s="136" t="s">
        <v>236</v>
      </c>
      <c r="I76" s="137">
        <v>823</v>
      </c>
      <c r="J76" s="132">
        <v>364</v>
      </c>
      <c r="K76" s="146">
        <v>1187</v>
      </c>
      <c r="L76" s="48" t="s">
        <v>53</v>
      </c>
      <c r="M76" s="47">
        <f t="shared" si="2"/>
        <v>2024071</v>
      </c>
      <c r="N76" s="47">
        <v>10</v>
      </c>
    </row>
    <row r="77" spans="1:14" x14ac:dyDescent="0.3">
      <c r="A77" s="47">
        <v>2024072</v>
      </c>
      <c r="B77" s="48" t="s">
        <v>1076</v>
      </c>
      <c r="C77" s="138" t="s">
        <v>892</v>
      </c>
      <c r="D77" s="69" t="s">
        <v>1159</v>
      </c>
      <c r="E77" s="69" t="s">
        <v>1310</v>
      </c>
      <c r="F77" s="69">
        <v>676214</v>
      </c>
      <c r="G77" s="69" t="s">
        <v>1406</v>
      </c>
      <c r="H77" s="136" t="s">
        <v>236</v>
      </c>
      <c r="I77" s="137">
        <v>823</v>
      </c>
      <c r="J77" s="132">
        <v>364</v>
      </c>
      <c r="K77" s="146">
        <v>1187</v>
      </c>
      <c r="L77" s="48" t="s">
        <v>53</v>
      </c>
      <c r="M77" s="47">
        <f t="shared" si="2"/>
        <v>2024072</v>
      </c>
      <c r="N77" s="47">
        <v>10</v>
      </c>
    </row>
    <row r="78" spans="1:14" x14ac:dyDescent="0.3">
      <c r="A78" s="47">
        <v>2024073</v>
      </c>
      <c r="B78" s="48" t="s">
        <v>1066</v>
      </c>
      <c r="C78" s="138" t="s">
        <v>893</v>
      </c>
      <c r="D78" s="69" t="s">
        <v>1160</v>
      </c>
      <c r="E78" s="136" t="s">
        <v>236</v>
      </c>
      <c r="F78" s="136" t="s">
        <v>236</v>
      </c>
      <c r="G78" s="69" t="s">
        <v>1407</v>
      </c>
      <c r="H78" s="136" t="s">
        <v>236</v>
      </c>
      <c r="I78" s="137">
        <v>823</v>
      </c>
      <c r="J78" s="137">
        <v>610</v>
      </c>
      <c r="K78" s="146">
        <v>1433</v>
      </c>
      <c r="L78" s="48" t="s">
        <v>53</v>
      </c>
      <c r="M78" s="47">
        <f t="shared" si="2"/>
        <v>2024073</v>
      </c>
      <c r="N78" s="47">
        <v>10</v>
      </c>
    </row>
    <row r="79" spans="1:14" x14ac:dyDescent="0.3">
      <c r="A79" s="47">
        <v>2024074</v>
      </c>
      <c r="B79" s="48" t="s">
        <v>1066</v>
      </c>
      <c r="C79" s="135" t="s">
        <v>894</v>
      </c>
      <c r="D79" s="69" t="s">
        <v>1161</v>
      </c>
      <c r="E79" s="69" t="s">
        <v>329</v>
      </c>
      <c r="F79" s="69">
        <v>437475</v>
      </c>
      <c r="G79" s="69" t="s">
        <v>1408</v>
      </c>
      <c r="H79" s="136" t="s">
        <v>236</v>
      </c>
      <c r="I79" s="137">
        <v>823</v>
      </c>
      <c r="J79" s="132">
        <v>610</v>
      </c>
      <c r="K79" s="146">
        <v>1433</v>
      </c>
      <c r="L79" s="48" t="s">
        <v>54</v>
      </c>
      <c r="M79" s="47">
        <f t="shared" si="2"/>
        <v>2024074</v>
      </c>
      <c r="N79" s="47">
        <v>10</v>
      </c>
    </row>
    <row r="80" spans="1:14" x14ac:dyDescent="0.3">
      <c r="A80" s="47">
        <v>2024075</v>
      </c>
      <c r="B80" s="48" t="s">
        <v>1045</v>
      </c>
      <c r="C80" s="138" t="s">
        <v>0</v>
      </c>
      <c r="D80" s="69" t="s">
        <v>161</v>
      </c>
      <c r="E80" s="69" t="s">
        <v>1311</v>
      </c>
      <c r="F80" s="69">
        <v>4283664</v>
      </c>
      <c r="G80" s="69" t="s">
        <v>162</v>
      </c>
      <c r="H80" s="136" t="s">
        <v>236</v>
      </c>
      <c r="I80" s="137">
        <v>823</v>
      </c>
      <c r="J80" s="132">
        <v>610</v>
      </c>
      <c r="K80" s="146">
        <v>1433</v>
      </c>
      <c r="L80" s="48" t="s">
        <v>53</v>
      </c>
      <c r="M80" s="47">
        <f t="shared" si="2"/>
        <v>2024075</v>
      </c>
      <c r="N80" s="47">
        <v>10</v>
      </c>
    </row>
    <row r="81" spans="1:14" x14ac:dyDescent="0.3">
      <c r="A81" s="47">
        <v>2024076</v>
      </c>
      <c r="B81" s="48" t="s">
        <v>1065</v>
      </c>
      <c r="C81" s="138" t="s">
        <v>895</v>
      </c>
      <c r="D81" s="69" t="s">
        <v>1162</v>
      </c>
      <c r="E81" s="69" t="s">
        <v>1312</v>
      </c>
      <c r="F81" s="69">
        <v>4526394</v>
      </c>
      <c r="G81" s="69" t="s">
        <v>1409</v>
      </c>
      <c r="H81" s="136" t="s">
        <v>236</v>
      </c>
      <c r="I81" s="137">
        <v>690</v>
      </c>
      <c r="J81" s="132">
        <v>610</v>
      </c>
      <c r="K81" s="146">
        <v>1433</v>
      </c>
      <c r="L81" s="48" t="s">
        <v>54</v>
      </c>
      <c r="M81" s="47">
        <f t="shared" si="2"/>
        <v>2024076</v>
      </c>
      <c r="N81" s="47">
        <v>10</v>
      </c>
    </row>
    <row r="82" spans="1:14" x14ac:dyDescent="0.3">
      <c r="A82" s="47">
        <v>2024077</v>
      </c>
      <c r="B82" s="48" t="s">
        <v>1065</v>
      </c>
      <c r="C82" s="138" t="s">
        <v>21</v>
      </c>
      <c r="D82" s="69" t="s">
        <v>1163</v>
      </c>
      <c r="E82" s="69" t="s">
        <v>92</v>
      </c>
      <c r="F82" s="69">
        <v>4460002</v>
      </c>
      <c r="G82" s="69" t="s">
        <v>1410</v>
      </c>
      <c r="H82" s="136" t="s">
        <v>236</v>
      </c>
      <c r="I82" s="137">
        <v>590</v>
      </c>
      <c r="J82" s="132">
        <v>610</v>
      </c>
      <c r="K82" s="146">
        <v>0</v>
      </c>
      <c r="L82" s="48" t="s">
        <v>54</v>
      </c>
      <c r="M82" s="47">
        <f t="shared" si="2"/>
        <v>2024077</v>
      </c>
      <c r="N82" s="47">
        <v>10</v>
      </c>
    </row>
    <row r="83" spans="1:14" x14ac:dyDescent="0.3">
      <c r="A83" s="47">
        <v>2024078</v>
      </c>
      <c r="B83" s="48" t="s">
        <v>1045</v>
      </c>
      <c r="C83" s="135" t="s">
        <v>896</v>
      </c>
      <c r="D83" s="69" t="s">
        <v>1164</v>
      </c>
      <c r="E83" s="69" t="s">
        <v>1313</v>
      </c>
      <c r="F83" s="69">
        <v>3626489</v>
      </c>
      <c r="G83" s="69" t="s">
        <v>1411</v>
      </c>
      <c r="H83" s="136" t="s">
        <v>236</v>
      </c>
      <c r="I83" s="137">
        <v>823</v>
      </c>
      <c r="J83" s="137">
        <v>610</v>
      </c>
      <c r="K83" s="146">
        <v>1433</v>
      </c>
      <c r="L83" s="48" t="s">
        <v>54</v>
      </c>
      <c r="M83" s="47">
        <f t="shared" si="2"/>
        <v>2024078</v>
      </c>
      <c r="N83" s="47">
        <v>10</v>
      </c>
    </row>
    <row r="84" spans="1:14" x14ac:dyDescent="0.3">
      <c r="A84" s="47">
        <v>2024079</v>
      </c>
      <c r="B84" s="48" t="s">
        <v>1065</v>
      </c>
      <c r="C84" s="135" t="s">
        <v>897</v>
      </c>
      <c r="D84" s="69" t="s">
        <v>1165</v>
      </c>
      <c r="E84" s="136" t="s">
        <v>244</v>
      </c>
      <c r="F84" s="136" t="s">
        <v>1291</v>
      </c>
      <c r="G84" s="69" t="s">
        <v>1412</v>
      </c>
      <c r="H84" s="136" t="s">
        <v>236</v>
      </c>
      <c r="I84" s="137">
        <v>690</v>
      </c>
      <c r="J84" s="132">
        <v>610</v>
      </c>
      <c r="K84" s="146">
        <v>0</v>
      </c>
      <c r="L84" s="48" t="s">
        <v>54</v>
      </c>
      <c r="M84" s="47">
        <f t="shared" si="2"/>
        <v>2024079</v>
      </c>
      <c r="N84" s="47">
        <v>10</v>
      </c>
    </row>
    <row r="85" spans="1:14" x14ac:dyDescent="0.3">
      <c r="A85" s="47">
        <v>2024080</v>
      </c>
      <c r="B85" s="48" t="s">
        <v>1077</v>
      </c>
      <c r="C85" s="135" t="s">
        <v>898</v>
      </c>
      <c r="D85" s="69" t="s">
        <v>1166</v>
      </c>
      <c r="E85" s="69" t="s">
        <v>1314</v>
      </c>
      <c r="F85" s="69">
        <v>4447227</v>
      </c>
      <c r="G85" s="69" t="s">
        <v>1413</v>
      </c>
      <c r="H85" s="69">
        <v>3</v>
      </c>
      <c r="I85" s="137">
        <v>1646</v>
      </c>
      <c r="J85" s="132">
        <v>1604</v>
      </c>
      <c r="K85" s="146">
        <v>3250</v>
      </c>
      <c r="L85" s="48" t="s">
        <v>234</v>
      </c>
      <c r="M85" s="47">
        <f t="shared" si="2"/>
        <v>2024080</v>
      </c>
      <c r="N85" s="47">
        <v>10</v>
      </c>
    </row>
    <row r="86" spans="1:14" x14ac:dyDescent="0.3">
      <c r="A86" s="47">
        <v>2024081</v>
      </c>
      <c r="B86" s="48" t="s">
        <v>1066</v>
      </c>
      <c r="C86" s="138" t="s">
        <v>128</v>
      </c>
      <c r="D86" s="69" t="s">
        <v>1167</v>
      </c>
      <c r="E86" s="69" t="s">
        <v>1291</v>
      </c>
      <c r="F86" s="69" t="s">
        <v>244</v>
      </c>
      <c r="G86" s="69" t="s">
        <v>1414</v>
      </c>
      <c r="H86" s="136" t="s">
        <v>236</v>
      </c>
      <c r="I86" s="137">
        <v>690</v>
      </c>
      <c r="J86" s="132">
        <v>610</v>
      </c>
      <c r="K86" s="146">
        <v>0</v>
      </c>
      <c r="L86" s="48" t="s">
        <v>54</v>
      </c>
      <c r="M86" s="47">
        <f t="shared" si="2"/>
        <v>2024081</v>
      </c>
      <c r="N86" s="47">
        <v>10</v>
      </c>
    </row>
    <row r="87" spans="1:14" x14ac:dyDescent="0.3">
      <c r="A87" s="47">
        <v>2024082</v>
      </c>
      <c r="B87" s="48" t="s">
        <v>425</v>
      </c>
      <c r="C87" s="135" t="s">
        <v>899</v>
      </c>
      <c r="D87" s="69" t="s">
        <v>1168</v>
      </c>
      <c r="E87" s="136" t="s">
        <v>1597</v>
      </c>
      <c r="F87" s="136">
        <v>7870204</v>
      </c>
      <c r="G87" s="136" t="s">
        <v>1415</v>
      </c>
      <c r="H87" s="136" t="s">
        <v>236</v>
      </c>
      <c r="I87" s="137">
        <v>823</v>
      </c>
      <c r="J87" s="137">
        <v>364</v>
      </c>
      <c r="K87" s="146">
        <v>1187</v>
      </c>
      <c r="L87" s="48" t="s">
        <v>96</v>
      </c>
      <c r="M87" s="47">
        <f t="shared" si="2"/>
        <v>2024082</v>
      </c>
      <c r="N87" s="47">
        <v>10</v>
      </c>
    </row>
    <row r="88" spans="1:14" x14ac:dyDescent="0.3">
      <c r="A88" s="47">
        <v>2024083</v>
      </c>
      <c r="B88" s="48" t="s">
        <v>1078</v>
      </c>
      <c r="C88" s="138" t="s">
        <v>900</v>
      </c>
      <c r="D88" s="69" t="s">
        <v>125</v>
      </c>
      <c r="E88" s="136" t="s">
        <v>236</v>
      </c>
      <c r="F88" s="136" t="s">
        <v>236</v>
      </c>
      <c r="G88" s="69" t="s">
        <v>1416</v>
      </c>
      <c r="H88" s="136">
        <v>2</v>
      </c>
      <c r="I88" s="137">
        <v>1472</v>
      </c>
      <c r="J88" s="132">
        <v>728</v>
      </c>
      <c r="K88" s="146">
        <v>0</v>
      </c>
      <c r="L88" s="48" t="s">
        <v>53</v>
      </c>
      <c r="M88" s="47">
        <f t="shared" si="2"/>
        <v>2024083</v>
      </c>
      <c r="N88" s="47">
        <v>10</v>
      </c>
    </row>
    <row r="89" spans="1:14" x14ac:dyDescent="0.3">
      <c r="A89" s="47">
        <v>2024084</v>
      </c>
      <c r="B89" s="48" t="s">
        <v>1059</v>
      </c>
      <c r="C89" s="135" t="s">
        <v>901</v>
      </c>
      <c r="D89" s="69" t="s">
        <v>1169</v>
      </c>
      <c r="E89" s="136" t="s">
        <v>1315</v>
      </c>
      <c r="F89" s="136">
        <v>987942</v>
      </c>
      <c r="G89" s="69" t="s">
        <v>1417</v>
      </c>
      <c r="H89" s="136" t="s">
        <v>236</v>
      </c>
      <c r="I89" s="137">
        <v>716</v>
      </c>
      <c r="J89" s="132">
        <v>364</v>
      </c>
      <c r="K89" s="146">
        <v>1187</v>
      </c>
      <c r="L89" s="48" t="s">
        <v>53</v>
      </c>
      <c r="M89" s="47">
        <f t="shared" si="2"/>
        <v>2024084</v>
      </c>
      <c r="N89" s="47">
        <v>10</v>
      </c>
    </row>
    <row r="90" spans="1:14" x14ac:dyDescent="0.3">
      <c r="A90" s="47">
        <v>2024085</v>
      </c>
      <c r="B90" s="48" t="s">
        <v>1079</v>
      </c>
      <c r="C90" s="135" t="s">
        <v>902</v>
      </c>
      <c r="D90" s="69" t="s">
        <v>1170</v>
      </c>
      <c r="E90" s="136" t="s">
        <v>244</v>
      </c>
      <c r="F90" s="136" t="s">
        <v>1291</v>
      </c>
      <c r="G90" s="69" t="s">
        <v>1418</v>
      </c>
      <c r="H90" s="69">
        <v>2</v>
      </c>
      <c r="I90" s="137">
        <v>1432</v>
      </c>
      <c r="J90" s="132">
        <v>728</v>
      </c>
      <c r="K90" s="146">
        <v>2160</v>
      </c>
      <c r="L90" s="48" t="s">
        <v>53</v>
      </c>
      <c r="M90" s="47">
        <f t="shared" si="2"/>
        <v>2024085</v>
      </c>
      <c r="N90" s="47">
        <v>10</v>
      </c>
    </row>
    <row r="91" spans="1:14" x14ac:dyDescent="0.3">
      <c r="A91" s="47">
        <v>2024086</v>
      </c>
      <c r="B91" s="48" t="s">
        <v>1043</v>
      </c>
      <c r="C91" s="135" t="s">
        <v>1936</v>
      </c>
      <c r="D91" s="69" t="s">
        <v>1643</v>
      </c>
      <c r="E91" s="69" t="s">
        <v>1585</v>
      </c>
      <c r="F91" s="69">
        <v>5214823</v>
      </c>
      <c r="G91" s="69" t="s">
        <v>1586</v>
      </c>
      <c r="H91" s="136" t="s">
        <v>236</v>
      </c>
      <c r="I91" s="132">
        <v>823</v>
      </c>
      <c r="J91" s="132">
        <v>377</v>
      </c>
      <c r="K91" s="146">
        <v>1200</v>
      </c>
      <c r="L91" s="48" t="s">
        <v>96</v>
      </c>
      <c r="M91" s="47">
        <f t="shared" si="2"/>
        <v>2024086</v>
      </c>
      <c r="N91" s="47">
        <v>10</v>
      </c>
    </row>
    <row r="92" spans="1:14" x14ac:dyDescent="0.3">
      <c r="A92" s="47">
        <v>2024087</v>
      </c>
      <c r="B92" s="48" t="s">
        <v>1042</v>
      </c>
      <c r="C92" s="138" t="s">
        <v>903</v>
      </c>
      <c r="D92" s="69" t="s">
        <v>1171</v>
      </c>
      <c r="E92" s="136" t="s">
        <v>244</v>
      </c>
      <c r="F92" s="136" t="s">
        <v>1291</v>
      </c>
      <c r="G92" s="69" t="s">
        <v>1419</v>
      </c>
      <c r="H92" s="136" t="s">
        <v>236</v>
      </c>
      <c r="I92" s="137">
        <v>823</v>
      </c>
      <c r="J92" s="132">
        <v>364</v>
      </c>
      <c r="K92" s="146">
        <v>0</v>
      </c>
      <c r="L92" s="48" t="s">
        <v>53</v>
      </c>
      <c r="M92" s="47">
        <f t="shared" si="2"/>
        <v>2024087</v>
      </c>
      <c r="N92" s="47">
        <v>10</v>
      </c>
    </row>
    <row r="93" spans="1:14" x14ac:dyDescent="0.3">
      <c r="A93" s="47">
        <v>2024088</v>
      </c>
      <c r="B93" s="48" t="s">
        <v>1055</v>
      </c>
      <c r="C93" s="138" t="s">
        <v>22</v>
      </c>
      <c r="D93" s="69" t="s">
        <v>1172</v>
      </c>
      <c r="E93" s="136" t="s">
        <v>244</v>
      </c>
      <c r="F93" s="136" t="s">
        <v>1291</v>
      </c>
      <c r="G93" s="69" t="s">
        <v>219</v>
      </c>
      <c r="H93" s="136" t="s">
        <v>236</v>
      </c>
      <c r="I93" s="137">
        <v>390</v>
      </c>
      <c r="J93" s="132">
        <v>610</v>
      </c>
      <c r="K93" s="146">
        <v>0</v>
      </c>
      <c r="L93" s="48" t="s">
        <v>54</v>
      </c>
      <c r="M93" s="47">
        <f t="shared" si="2"/>
        <v>2024088</v>
      </c>
      <c r="N93" s="47">
        <v>10</v>
      </c>
    </row>
    <row r="94" spans="1:14" x14ac:dyDescent="0.3">
      <c r="A94" s="47">
        <v>2024089</v>
      </c>
      <c r="B94" s="48" t="s">
        <v>1080</v>
      </c>
      <c r="C94" s="138" t="s">
        <v>274</v>
      </c>
      <c r="D94" s="69" t="s">
        <v>275</v>
      </c>
      <c r="E94" s="136" t="s">
        <v>244</v>
      </c>
      <c r="F94" s="136" t="s">
        <v>244</v>
      </c>
      <c r="G94" s="69" t="s">
        <v>276</v>
      </c>
      <c r="H94" s="69">
        <v>2</v>
      </c>
      <c r="I94" s="137">
        <v>1180</v>
      </c>
      <c r="J94" s="132">
        <v>1220</v>
      </c>
      <c r="K94" s="146">
        <v>0</v>
      </c>
      <c r="L94" s="48" t="s">
        <v>54</v>
      </c>
      <c r="M94" s="47">
        <f t="shared" si="2"/>
        <v>2024089</v>
      </c>
      <c r="N94" s="47">
        <v>10</v>
      </c>
    </row>
    <row r="95" spans="1:14" x14ac:dyDescent="0.3">
      <c r="A95" s="47">
        <v>2024090</v>
      </c>
      <c r="B95" s="48" t="s">
        <v>1041</v>
      </c>
      <c r="C95" s="135" t="s">
        <v>904</v>
      </c>
      <c r="D95" s="69" t="s">
        <v>1173</v>
      </c>
      <c r="E95" s="69" t="s">
        <v>1316</v>
      </c>
      <c r="F95" s="69">
        <v>5309574015</v>
      </c>
      <c r="G95" s="69" t="s">
        <v>1420</v>
      </c>
      <c r="H95" s="136" t="s">
        <v>236</v>
      </c>
      <c r="I95" s="137">
        <v>823</v>
      </c>
      <c r="J95" s="137">
        <v>377</v>
      </c>
      <c r="K95" s="146">
        <v>1250</v>
      </c>
      <c r="L95" s="48" t="s">
        <v>53</v>
      </c>
      <c r="M95" s="47">
        <f t="shared" si="2"/>
        <v>2024090</v>
      </c>
      <c r="N95" s="47">
        <v>10</v>
      </c>
    </row>
    <row r="96" spans="1:14" x14ac:dyDescent="0.3">
      <c r="A96" s="47">
        <v>2024091</v>
      </c>
      <c r="B96" s="48" t="s">
        <v>1044</v>
      </c>
      <c r="C96" s="135" t="s">
        <v>905</v>
      </c>
      <c r="D96" s="69" t="s">
        <v>1174</v>
      </c>
      <c r="E96" s="136" t="s">
        <v>236</v>
      </c>
      <c r="F96" s="136" t="s">
        <v>236</v>
      </c>
      <c r="G96" s="69" t="s">
        <v>1421</v>
      </c>
      <c r="H96" s="136" t="s">
        <v>236</v>
      </c>
      <c r="I96" s="137">
        <v>700</v>
      </c>
      <c r="J96" s="132">
        <v>0</v>
      </c>
      <c r="K96" s="146">
        <v>0</v>
      </c>
      <c r="L96" s="48" t="s">
        <v>54</v>
      </c>
      <c r="M96" s="47">
        <f t="shared" si="2"/>
        <v>2024091</v>
      </c>
      <c r="N96" s="47">
        <v>10</v>
      </c>
    </row>
    <row r="97" spans="1:14" x14ac:dyDescent="0.3">
      <c r="A97" s="47">
        <v>2024092</v>
      </c>
      <c r="B97" s="48" t="s">
        <v>1081</v>
      </c>
      <c r="C97" s="135" t="s">
        <v>906</v>
      </c>
      <c r="D97" s="69" t="s">
        <v>1175</v>
      </c>
      <c r="E97" s="136" t="s">
        <v>244</v>
      </c>
      <c r="F97" s="136" t="s">
        <v>1291</v>
      </c>
      <c r="G97" s="69" t="s">
        <v>1422</v>
      </c>
      <c r="H97" s="136">
        <v>2</v>
      </c>
      <c r="I97" s="137">
        <v>1480</v>
      </c>
      <c r="J97" s="132">
        <v>1220</v>
      </c>
      <c r="K97" s="146">
        <v>0</v>
      </c>
      <c r="L97" s="48" t="s">
        <v>54</v>
      </c>
      <c r="M97" s="47">
        <f t="shared" si="2"/>
        <v>2024092</v>
      </c>
      <c r="N97" s="47">
        <v>10</v>
      </c>
    </row>
    <row r="98" spans="1:14" x14ac:dyDescent="0.3">
      <c r="A98" s="47">
        <v>2024093</v>
      </c>
      <c r="B98" s="48" t="s">
        <v>1045</v>
      </c>
      <c r="C98" s="138" t="s">
        <v>3</v>
      </c>
      <c r="D98" s="69" t="s">
        <v>107</v>
      </c>
      <c r="E98" s="136" t="s">
        <v>1317</v>
      </c>
      <c r="F98" s="136">
        <v>2762747</v>
      </c>
      <c r="G98" s="69" t="s">
        <v>108</v>
      </c>
      <c r="H98" s="136" t="s">
        <v>236</v>
      </c>
      <c r="I98" s="137">
        <v>823</v>
      </c>
      <c r="J98" s="132">
        <v>610</v>
      </c>
      <c r="K98" s="146">
        <v>1433</v>
      </c>
      <c r="L98" s="48" t="s">
        <v>54</v>
      </c>
      <c r="M98" s="47">
        <f t="shared" si="2"/>
        <v>2024093</v>
      </c>
      <c r="N98" s="47">
        <v>10</v>
      </c>
    </row>
    <row r="99" spans="1:14" x14ac:dyDescent="0.3">
      <c r="A99" s="47">
        <v>2024094</v>
      </c>
      <c r="B99" s="48" t="s">
        <v>1065</v>
      </c>
      <c r="C99" s="138" t="s">
        <v>907</v>
      </c>
      <c r="D99" s="69" t="s">
        <v>1176</v>
      </c>
      <c r="E99" s="136" t="s">
        <v>244</v>
      </c>
      <c r="F99" s="136" t="s">
        <v>1291</v>
      </c>
      <c r="G99" s="69" t="s">
        <v>1423</v>
      </c>
      <c r="H99" s="136" t="s">
        <v>236</v>
      </c>
      <c r="I99" s="137">
        <v>823</v>
      </c>
      <c r="J99" s="132">
        <v>426</v>
      </c>
      <c r="K99" s="146">
        <v>0</v>
      </c>
      <c r="L99" s="48" t="s">
        <v>54</v>
      </c>
      <c r="M99" s="47">
        <f t="shared" si="2"/>
        <v>2024094</v>
      </c>
      <c r="N99" s="47">
        <v>10</v>
      </c>
    </row>
    <row r="100" spans="1:14" x14ac:dyDescent="0.3">
      <c r="A100" s="47">
        <v>2024095</v>
      </c>
      <c r="B100" s="48" t="s">
        <v>1040</v>
      </c>
      <c r="C100" s="135" t="s">
        <v>908</v>
      </c>
      <c r="D100" s="69" t="s">
        <v>419</v>
      </c>
      <c r="E100" s="69" t="s">
        <v>244</v>
      </c>
      <c r="F100" s="69" t="s">
        <v>1291</v>
      </c>
      <c r="G100" s="69" t="s">
        <v>1423</v>
      </c>
      <c r="H100" s="136" t="s">
        <v>236</v>
      </c>
      <c r="I100" s="137">
        <v>823</v>
      </c>
      <c r="J100" s="132">
        <v>364</v>
      </c>
      <c r="K100" s="146">
        <v>0</v>
      </c>
      <c r="L100" s="48" t="s">
        <v>53</v>
      </c>
      <c r="M100" s="47">
        <f t="shared" si="2"/>
        <v>2024095</v>
      </c>
      <c r="N100" s="47">
        <v>10</v>
      </c>
    </row>
    <row r="101" spans="1:14" x14ac:dyDescent="0.3">
      <c r="A101" s="47">
        <v>2024096</v>
      </c>
      <c r="B101" s="48" t="s">
        <v>1042</v>
      </c>
      <c r="C101" s="135" t="s">
        <v>909</v>
      </c>
      <c r="D101" s="69" t="s">
        <v>419</v>
      </c>
      <c r="E101" s="69" t="s">
        <v>244</v>
      </c>
      <c r="F101" s="69" t="s">
        <v>1291</v>
      </c>
      <c r="G101" s="69" t="s">
        <v>1423</v>
      </c>
      <c r="H101" s="136" t="s">
        <v>236</v>
      </c>
      <c r="I101" s="137">
        <v>0</v>
      </c>
      <c r="J101" s="132">
        <v>364</v>
      </c>
      <c r="K101" s="146">
        <v>0</v>
      </c>
      <c r="L101" s="48" t="s">
        <v>53</v>
      </c>
      <c r="M101" s="47">
        <f t="shared" si="2"/>
        <v>2024096</v>
      </c>
      <c r="N101" s="47">
        <v>10</v>
      </c>
    </row>
    <row r="102" spans="1:14" x14ac:dyDescent="0.3">
      <c r="A102" s="47">
        <v>2024097</v>
      </c>
      <c r="B102" s="48" t="s">
        <v>1065</v>
      </c>
      <c r="C102" s="135" t="s">
        <v>1644</v>
      </c>
      <c r="D102" s="69" t="s">
        <v>1645</v>
      </c>
      <c r="E102" s="69" t="s">
        <v>244</v>
      </c>
      <c r="F102" s="69" t="s">
        <v>1291</v>
      </c>
      <c r="G102" s="69" t="s">
        <v>1646</v>
      </c>
      <c r="H102" s="69"/>
      <c r="I102" s="132">
        <v>823</v>
      </c>
      <c r="J102" s="132">
        <v>610</v>
      </c>
      <c r="K102" s="146">
        <v>1433</v>
      </c>
      <c r="L102" s="48" t="s">
        <v>54</v>
      </c>
      <c r="M102" s="47">
        <f t="shared" si="2"/>
        <v>2024097</v>
      </c>
      <c r="N102" s="47">
        <v>10</v>
      </c>
    </row>
    <row r="103" spans="1:14" x14ac:dyDescent="0.3">
      <c r="A103" s="47">
        <v>2024098</v>
      </c>
      <c r="B103" s="48" t="s">
        <v>1626</v>
      </c>
      <c r="C103" s="138" t="s">
        <v>281</v>
      </c>
      <c r="D103" s="69" t="s">
        <v>282</v>
      </c>
      <c r="E103" s="136" t="s">
        <v>244</v>
      </c>
      <c r="F103" s="136" t="s">
        <v>1291</v>
      </c>
      <c r="G103" s="69" t="s">
        <v>283</v>
      </c>
      <c r="H103" s="136" t="s">
        <v>236</v>
      </c>
      <c r="I103" s="137">
        <v>490</v>
      </c>
      <c r="J103" s="132">
        <v>610</v>
      </c>
      <c r="K103" s="146">
        <v>1100</v>
      </c>
      <c r="L103" s="48" t="s">
        <v>54</v>
      </c>
      <c r="M103" s="47">
        <f t="shared" si="2"/>
        <v>2024098</v>
      </c>
      <c r="N103" s="47">
        <v>10</v>
      </c>
    </row>
    <row r="104" spans="1:14" x14ac:dyDescent="0.3">
      <c r="A104" s="47">
        <v>2024099</v>
      </c>
      <c r="B104" s="48" t="s">
        <v>1060</v>
      </c>
      <c r="C104" s="138" t="s">
        <v>19</v>
      </c>
      <c r="D104" s="69" t="s">
        <v>408</v>
      </c>
      <c r="E104" s="69" t="s">
        <v>293</v>
      </c>
      <c r="F104" s="69">
        <v>4188474016</v>
      </c>
      <c r="G104" s="69" t="s">
        <v>409</v>
      </c>
      <c r="H104" s="136" t="s">
        <v>236</v>
      </c>
      <c r="I104" s="137">
        <v>823</v>
      </c>
      <c r="J104" s="132">
        <v>610</v>
      </c>
      <c r="K104" s="146">
        <v>0</v>
      </c>
      <c r="L104" s="48" t="s">
        <v>54</v>
      </c>
      <c r="M104" s="47">
        <f t="shared" si="2"/>
        <v>2024099</v>
      </c>
      <c r="N104" s="47">
        <v>10</v>
      </c>
    </row>
    <row r="105" spans="1:14" x14ac:dyDescent="0.3">
      <c r="A105" s="47">
        <v>2024100</v>
      </c>
      <c r="B105" s="48" t="s">
        <v>1078</v>
      </c>
      <c r="C105" s="138" t="s">
        <v>910</v>
      </c>
      <c r="D105" s="69" t="s">
        <v>148</v>
      </c>
      <c r="E105" s="69" t="s">
        <v>244</v>
      </c>
      <c r="F105" s="69" t="s">
        <v>1291</v>
      </c>
      <c r="G105" s="69" t="s">
        <v>150</v>
      </c>
      <c r="H105" s="69">
        <v>2</v>
      </c>
      <c r="I105" s="137">
        <v>1432</v>
      </c>
      <c r="J105" s="137">
        <v>728</v>
      </c>
      <c r="K105" s="146">
        <v>0</v>
      </c>
      <c r="L105" s="48" t="s">
        <v>53</v>
      </c>
      <c r="M105" s="47">
        <f t="shared" si="2"/>
        <v>2024100</v>
      </c>
      <c r="N105" s="47">
        <v>10</v>
      </c>
    </row>
    <row r="106" spans="1:14" x14ac:dyDescent="0.3">
      <c r="A106" s="47">
        <v>2024101</v>
      </c>
      <c r="B106" s="48" t="s">
        <v>1065</v>
      </c>
      <c r="C106" s="135" t="s">
        <v>911</v>
      </c>
      <c r="D106" s="69" t="s">
        <v>1177</v>
      </c>
      <c r="E106" s="136" t="s">
        <v>1570</v>
      </c>
      <c r="F106" s="136">
        <v>3807568015</v>
      </c>
      <c r="G106" s="69" t="s">
        <v>1424</v>
      </c>
      <c r="H106" s="136" t="s">
        <v>236</v>
      </c>
      <c r="I106" s="137">
        <v>823</v>
      </c>
      <c r="J106" s="137">
        <v>610</v>
      </c>
      <c r="K106" s="146">
        <v>1433</v>
      </c>
      <c r="L106" s="48" t="s">
        <v>54</v>
      </c>
      <c r="M106" s="47">
        <f t="shared" si="2"/>
        <v>2024101</v>
      </c>
      <c r="N106" s="47">
        <v>10</v>
      </c>
    </row>
    <row r="107" spans="1:14" x14ac:dyDescent="0.3">
      <c r="A107" s="47">
        <v>2024102</v>
      </c>
      <c r="B107" s="48" t="s">
        <v>1041</v>
      </c>
      <c r="C107" s="135" t="s">
        <v>912</v>
      </c>
      <c r="D107" s="69" t="s">
        <v>1178</v>
      </c>
      <c r="E107" s="69" t="s">
        <v>1318</v>
      </c>
      <c r="F107" s="69">
        <v>6542531</v>
      </c>
      <c r="G107" s="69" t="s">
        <v>1425</v>
      </c>
      <c r="H107" s="136" t="s">
        <v>236</v>
      </c>
      <c r="I107" s="137">
        <v>823</v>
      </c>
      <c r="J107" s="132">
        <v>364</v>
      </c>
      <c r="K107" s="146">
        <v>1187</v>
      </c>
      <c r="L107" s="48" t="s">
        <v>53</v>
      </c>
      <c r="M107" s="47">
        <f t="shared" si="2"/>
        <v>2024102</v>
      </c>
      <c r="N107" s="47">
        <v>10</v>
      </c>
    </row>
    <row r="108" spans="1:14" x14ac:dyDescent="0.3">
      <c r="A108" s="47">
        <v>2024103</v>
      </c>
      <c r="B108" s="48" t="s">
        <v>1040</v>
      </c>
      <c r="C108" s="138" t="s">
        <v>352</v>
      </c>
      <c r="D108" s="69" t="s">
        <v>1179</v>
      </c>
      <c r="E108" s="69" t="s">
        <v>244</v>
      </c>
      <c r="F108" s="69" t="s">
        <v>1291</v>
      </c>
      <c r="G108" s="69" t="s">
        <v>1426</v>
      </c>
      <c r="H108" s="136" t="s">
        <v>236</v>
      </c>
      <c r="I108" s="137">
        <v>736</v>
      </c>
      <c r="J108" s="132">
        <v>364</v>
      </c>
      <c r="K108" s="146">
        <v>1187</v>
      </c>
      <c r="L108" s="48" t="s">
        <v>53</v>
      </c>
      <c r="M108" s="47">
        <f t="shared" si="2"/>
        <v>2024103</v>
      </c>
      <c r="N108" s="47">
        <v>10</v>
      </c>
    </row>
    <row r="109" spans="1:14" x14ac:dyDescent="0.3">
      <c r="A109" s="47">
        <v>2024104</v>
      </c>
      <c r="B109" s="48" t="s">
        <v>425</v>
      </c>
      <c r="C109" s="135" t="s">
        <v>913</v>
      </c>
      <c r="D109" s="69" t="s">
        <v>1180</v>
      </c>
      <c r="E109" s="136" t="s">
        <v>1319</v>
      </c>
      <c r="F109" s="136">
        <v>4433653012</v>
      </c>
      <c r="G109" s="69" t="s">
        <v>1427</v>
      </c>
      <c r="H109" s="136" t="s">
        <v>236</v>
      </c>
      <c r="I109" s="137">
        <v>823</v>
      </c>
      <c r="J109" s="132">
        <v>377</v>
      </c>
      <c r="K109" s="146">
        <v>1200</v>
      </c>
      <c r="L109" s="48" t="s">
        <v>96</v>
      </c>
      <c r="M109" s="47">
        <f t="shared" si="2"/>
        <v>2024104</v>
      </c>
      <c r="N109" s="47">
        <v>10</v>
      </c>
    </row>
    <row r="110" spans="1:14" x14ac:dyDescent="0.3">
      <c r="A110" s="47">
        <v>2024105</v>
      </c>
      <c r="B110" s="48" t="s">
        <v>1042</v>
      </c>
      <c r="C110" s="135" t="s">
        <v>914</v>
      </c>
      <c r="D110" s="69" t="s">
        <v>1181</v>
      </c>
      <c r="E110" s="69"/>
      <c r="F110" s="69"/>
      <c r="G110" s="69" t="s">
        <v>1428</v>
      </c>
      <c r="H110" s="136"/>
      <c r="I110" s="137">
        <v>736</v>
      </c>
      <c r="J110" s="137">
        <v>364</v>
      </c>
      <c r="K110" s="146">
        <v>1100</v>
      </c>
      <c r="L110" s="48" t="s">
        <v>53</v>
      </c>
      <c r="M110" s="47">
        <f t="shared" si="2"/>
        <v>2024105</v>
      </c>
      <c r="N110" s="47">
        <v>10</v>
      </c>
    </row>
    <row r="111" spans="1:14" x14ac:dyDescent="0.3">
      <c r="A111" s="47">
        <v>2024106</v>
      </c>
      <c r="B111" s="48" t="s">
        <v>1039</v>
      </c>
      <c r="C111" s="135" t="s">
        <v>915</v>
      </c>
      <c r="D111" s="69" t="s">
        <v>1181</v>
      </c>
      <c r="E111" s="69"/>
      <c r="F111" s="69"/>
      <c r="G111" s="69" t="s">
        <v>1428</v>
      </c>
      <c r="H111" s="136"/>
      <c r="I111" s="137">
        <v>736</v>
      </c>
      <c r="J111" s="132">
        <v>364</v>
      </c>
      <c r="K111" s="146">
        <v>1100</v>
      </c>
      <c r="L111" s="48" t="s">
        <v>53</v>
      </c>
      <c r="M111" s="47">
        <f t="shared" si="2"/>
        <v>2024106</v>
      </c>
      <c r="N111" s="47">
        <v>10</v>
      </c>
    </row>
    <row r="112" spans="1:14" x14ac:dyDescent="0.3">
      <c r="A112" s="47">
        <v>2024107</v>
      </c>
      <c r="B112" s="48" t="s">
        <v>1082</v>
      </c>
      <c r="C112" s="138" t="s">
        <v>23</v>
      </c>
      <c r="D112" s="69" t="s">
        <v>1182</v>
      </c>
      <c r="E112" s="69" t="s">
        <v>359</v>
      </c>
      <c r="F112" s="69">
        <v>992801015</v>
      </c>
      <c r="G112" s="69" t="s">
        <v>1429</v>
      </c>
      <c r="H112" s="136" t="s">
        <v>236</v>
      </c>
      <c r="I112" s="137">
        <v>640</v>
      </c>
      <c r="J112" s="143">
        <v>610</v>
      </c>
      <c r="K112" s="146">
        <v>0</v>
      </c>
      <c r="L112" s="48" t="s">
        <v>54</v>
      </c>
      <c r="M112" s="47">
        <f t="shared" si="2"/>
        <v>2024107</v>
      </c>
      <c r="N112" s="47">
        <v>10</v>
      </c>
    </row>
    <row r="113" spans="1:14" x14ac:dyDescent="0.3">
      <c r="A113" s="47">
        <v>2024108</v>
      </c>
      <c r="B113" s="48" t="s">
        <v>1083</v>
      </c>
      <c r="C113" s="135" t="s">
        <v>916</v>
      </c>
      <c r="D113" s="69" t="s">
        <v>188</v>
      </c>
      <c r="E113" s="136" t="s">
        <v>1811</v>
      </c>
      <c r="F113" s="136">
        <v>5158913</v>
      </c>
      <c r="G113" s="69" t="s">
        <v>189</v>
      </c>
      <c r="H113" s="136">
        <v>2</v>
      </c>
      <c r="I113" s="137">
        <v>1646</v>
      </c>
      <c r="J113" s="137">
        <v>974</v>
      </c>
      <c r="K113" s="146">
        <v>0</v>
      </c>
      <c r="L113" s="48" t="s">
        <v>117</v>
      </c>
      <c r="M113" s="47">
        <f t="shared" si="2"/>
        <v>2024108</v>
      </c>
      <c r="N113" s="47">
        <v>10</v>
      </c>
    </row>
    <row r="114" spans="1:14" x14ac:dyDescent="0.3">
      <c r="A114" s="47">
        <v>2024109</v>
      </c>
      <c r="B114" s="48" t="s">
        <v>1052</v>
      </c>
      <c r="C114" s="138" t="s">
        <v>284</v>
      </c>
      <c r="D114" s="69" t="s">
        <v>285</v>
      </c>
      <c r="E114" s="136" t="s">
        <v>295</v>
      </c>
      <c r="F114" s="136">
        <v>783316</v>
      </c>
      <c r="G114" s="69" t="s">
        <v>1430</v>
      </c>
      <c r="H114" s="136">
        <v>2</v>
      </c>
      <c r="I114" s="137">
        <v>1172</v>
      </c>
      <c r="J114" s="137">
        <v>728</v>
      </c>
      <c r="K114" s="146">
        <v>0</v>
      </c>
      <c r="L114" s="48" t="s">
        <v>53</v>
      </c>
      <c r="M114" s="47">
        <f t="shared" si="2"/>
        <v>2024109</v>
      </c>
      <c r="N114" s="47">
        <v>10</v>
      </c>
    </row>
    <row r="115" spans="1:14" x14ac:dyDescent="0.3">
      <c r="A115" s="47">
        <v>2024110</v>
      </c>
      <c r="B115" s="48" t="s">
        <v>1039</v>
      </c>
      <c r="C115" s="135" t="s">
        <v>917</v>
      </c>
      <c r="D115" s="69" t="s">
        <v>1183</v>
      </c>
      <c r="E115" s="136" t="s">
        <v>1818</v>
      </c>
      <c r="F115" s="136">
        <v>5188628</v>
      </c>
      <c r="G115" s="69" t="s">
        <v>1431</v>
      </c>
      <c r="H115" s="136" t="s">
        <v>236</v>
      </c>
      <c r="I115" s="137">
        <v>823</v>
      </c>
      <c r="J115" s="132">
        <v>377</v>
      </c>
      <c r="K115" s="146">
        <v>1200</v>
      </c>
      <c r="L115" s="48" t="s">
        <v>53</v>
      </c>
      <c r="M115" s="47">
        <f t="shared" si="2"/>
        <v>2024110</v>
      </c>
      <c r="N115" s="47">
        <v>10</v>
      </c>
    </row>
    <row r="116" spans="1:14" x14ac:dyDescent="0.3">
      <c r="A116" s="47">
        <v>2024111</v>
      </c>
      <c r="B116" s="48" t="s">
        <v>1042</v>
      </c>
      <c r="C116" s="135" t="s">
        <v>918</v>
      </c>
      <c r="D116" s="69" t="s">
        <v>1184</v>
      </c>
      <c r="E116" s="69"/>
      <c r="F116" s="69"/>
      <c r="G116" s="69" t="s">
        <v>1432</v>
      </c>
      <c r="H116" s="136" t="s">
        <v>236</v>
      </c>
      <c r="I116" s="137">
        <v>823</v>
      </c>
      <c r="J116" s="132">
        <v>377</v>
      </c>
      <c r="K116" s="146">
        <v>1200</v>
      </c>
      <c r="L116" s="48" t="s">
        <v>53</v>
      </c>
      <c r="M116" s="47">
        <f t="shared" si="2"/>
        <v>2024111</v>
      </c>
      <c r="N116" s="47">
        <v>10</v>
      </c>
    </row>
    <row r="117" spans="1:14" x14ac:dyDescent="0.3">
      <c r="A117" s="47">
        <v>2024112</v>
      </c>
      <c r="B117" s="48" t="s">
        <v>1060</v>
      </c>
      <c r="C117" s="135" t="s">
        <v>1566</v>
      </c>
      <c r="D117" s="69" t="s">
        <v>1567</v>
      </c>
      <c r="E117" s="136" t="s">
        <v>236</v>
      </c>
      <c r="F117" s="136" t="s">
        <v>236</v>
      </c>
      <c r="G117" s="69" t="s">
        <v>1569</v>
      </c>
      <c r="H117" s="136" t="s">
        <v>236</v>
      </c>
      <c r="I117" s="132">
        <v>823</v>
      </c>
      <c r="J117" s="132">
        <v>627</v>
      </c>
      <c r="K117" s="146">
        <v>1450</v>
      </c>
      <c r="L117" s="48" t="s">
        <v>54</v>
      </c>
      <c r="M117" s="47">
        <f t="shared" si="2"/>
        <v>2024112</v>
      </c>
      <c r="N117" s="47">
        <v>10</v>
      </c>
    </row>
    <row r="118" spans="1:14" x14ac:dyDescent="0.3">
      <c r="A118" s="47">
        <v>2024113</v>
      </c>
      <c r="B118" s="48" t="s">
        <v>1084</v>
      </c>
      <c r="C118" s="138" t="s">
        <v>919</v>
      </c>
      <c r="D118" s="69" t="s">
        <v>375</v>
      </c>
      <c r="E118" s="136" t="s">
        <v>244</v>
      </c>
      <c r="F118" s="136" t="s">
        <v>1291</v>
      </c>
      <c r="G118" s="69" t="s">
        <v>376</v>
      </c>
      <c r="H118" s="69">
        <v>2</v>
      </c>
      <c r="I118" s="137">
        <v>1426</v>
      </c>
      <c r="J118" s="132">
        <v>974</v>
      </c>
      <c r="K118" s="146">
        <v>2400</v>
      </c>
      <c r="L118" s="48" t="s">
        <v>117</v>
      </c>
      <c r="M118" s="47">
        <f t="shared" si="2"/>
        <v>2024113</v>
      </c>
      <c r="N118" s="47">
        <v>10</v>
      </c>
    </row>
    <row r="119" spans="1:14" x14ac:dyDescent="0.3">
      <c r="A119" s="47">
        <v>2024114</v>
      </c>
      <c r="B119" s="48" t="s">
        <v>1042</v>
      </c>
      <c r="C119" s="135" t="s">
        <v>920</v>
      </c>
      <c r="D119" s="69" t="s">
        <v>1185</v>
      </c>
      <c r="E119" s="69" t="s">
        <v>394</v>
      </c>
      <c r="F119" s="69">
        <v>8001735</v>
      </c>
      <c r="G119" s="69" t="s">
        <v>1433</v>
      </c>
      <c r="H119" s="136" t="s">
        <v>236</v>
      </c>
      <c r="I119" s="137">
        <v>823</v>
      </c>
      <c r="J119" s="132">
        <v>377</v>
      </c>
      <c r="K119" s="146">
        <v>1200</v>
      </c>
      <c r="L119" s="48" t="s">
        <v>53</v>
      </c>
      <c r="M119" s="47">
        <f t="shared" si="2"/>
        <v>2024114</v>
      </c>
      <c r="N119" s="47">
        <v>10</v>
      </c>
    </row>
    <row r="120" spans="1:14" x14ac:dyDescent="0.3">
      <c r="A120" s="47">
        <v>2024115</v>
      </c>
      <c r="B120" s="48" t="s">
        <v>1039</v>
      </c>
      <c r="C120" s="135" t="s">
        <v>921</v>
      </c>
      <c r="D120" s="69" t="s">
        <v>1186</v>
      </c>
      <c r="E120" s="69" t="s">
        <v>1587</v>
      </c>
      <c r="F120" s="69" t="s">
        <v>1814</v>
      </c>
      <c r="G120" s="69" t="s">
        <v>1434</v>
      </c>
      <c r="H120" s="136" t="s">
        <v>236</v>
      </c>
      <c r="I120" s="137">
        <v>823</v>
      </c>
      <c r="J120" s="132">
        <v>364</v>
      </c>
      <c r="K120" s="146">
        <v>1187</v>
      </c>
      <c r="L120" s="48" t="s">
        <v>53</v>
      </c>
      <c r="M120" s="47">
        <f t="shared" si="2"/>
        <v>2024115</v>
      </c>
      <c r="N120" s="47">
        <v>10</v>
      </c>
    </row>
    <row r="121" spans="1:14" x14ac:dyDescent="0.3">
      <c r="A121" s="47">
        <v>2024116</v>
      </c>
      <c r="B121" s="48" t="s">
        <v>1040</v>
      </c>
      <c r="C121" s="138" t="s">
        <v>922</v>
      </c>
      <c r="D121" s="69" t="s">
        <v>262</v>
      </c>
      <c r="E121" s="136" t="s">
        <v>236</v>
      </c>
      <c r="F121" s="136" t="s">
        <v>236</v>
      </c>
      <c r="G121" s="69" t="s">
        <v>263</v>
      </c>
      <c r="H121" s="136" t="s">
        <v>236</v>
      </c>
      <c r="I121" s="137">
        <v>823</v>
      </c>
      <c r="J121" s="137">
        <v>364</v>
      </c>
      <c r="K121" s="146">
        <v>1187</v>
      </c>
      <c r="L121" s="48" t="s">
        <v>53</v>
      </c>
      <c r="M121" s="47">
        <f t="shared" si="2"/>
        <v>2024116</v>
      </c>
      <c r="N121" s="47">
        <v>10</v>
      </c>
    </row>
    <row r="122" spans="1:14" x14ac:dyDescent="0.3">
      <c r="A122" s="47">
        <v>2024117</v>
      </c>
      <c r="B122" s="48" t="s">
        <v>1085</v>
      </c>
      <c r="C122" s="138" t="s">
        <v>923</v>
      </c>
      <c r="D122" s="69" t="s">
        <v>1187</v>
      </c>
      <c r="E122" s="136" t="s">
        <v>236</v>
      </c>
      <c r="F122" s="136" t="s">
        <v>236</v>
      </c>
      <c r="G122" s="69" t="s">
        <v>1435</v>
      </c>
      <c r="H122" s="69">
        <v>2</v>
      </c>
      <c r="I122" s="137">
        <v>1646</v>
      </c>
      <c r="J122" s="132">
        <v>728</v>
      </c>
      <c r="K122" s="146">
        <v>2374</v>
      </c>
      <c r="L122" s="48" t="s">
        <v>270</v>
      </c>
      <c r="M122" s="47">
        <f t="shared" si="2"/>
        <v>2024117</v>
      </c>
      <c r="N122" s="47">
        <v>10</v>
      </c>
    </row>
    <row r="123" spans="1:14" x14ac:dyDescent="0.3">
      <c r="A123" s="47">
        <v>2024118</v>
      </c>
      <c r="B123" s="48" t="s">
        <v>1086</v>
      </c>
      <c r="C123" s="138" t="s">
        <v>924</v>
      </c>
      <c r="D123" s="69" t="s">
        <v>1188</v>
      </c>
      <c r="E123" s="136" t="s">
        <v>236</v>
      </c>
      <c r="F123" s="136" t="s">
        <v>236</v>
      </c>
      <c r="G123" s="69" t="s">
        <v>1436</v>
      </c>
      <c r="H123" s="136">
        <v>2</v>
      </c>
      <c r="I123" s="137">
        <v>1646</v>
      </c>
      <c r="J123" s="132">
        <v>728</v>
      </c>
      <c r="K123" s="146">
        <v>0</v>
      </c>
      <c r="L123" s="48" t="s">
        <v>205</v>
      </c>
      <c r="M123" s="47">
        <f t="shared" si="2"/>
        <v>2024118</v>
      </c>
      <c r="N123" s="47">
        <v>10</v>
      </c>
    </row>
    <row r="124" spans="1:14" x14ac:dyDescent="0.3">
      <c r="A124" s="47">
        <v>2024119</v>
      </c>
      <c r="B124" s="48" t="s">
        <v>1073</v>
      </c>
      <c r="C124" s="135" t="s">
        <v>925</v>
      </c>
      <c r="D124" s="69" t="s">
        <v>1189</v>
      </c>
      <c r="E124" s="69" t="s">
        <v>1320</v>
      </c>
      <c r="F124" s="69">
        <v>1999470</v>
      </c>
      <c r="G124" s="69" t="s">
        <v>1437</v>
      </c>
      <c r="H124" s="69">
        <v>2</v>
      </c>
      <c r="I124" s="137">
        <v>1646</v>
      </c>
      <c r="J124" s="132">
        <v>1004</v>
      </c>
      <c r="K124" s="146">
        <v>2650</v>
      </c>
      <c r="L124" s="48" t="s">
        <v>117</v>
      </c>
      <c r="M124" s="47">
        <f t="shared" si="2"/>
        <v>2024119</v>
      </c>
      <c r="N124" s="47">
        <v>10</v>
      </c>
    </row>
    <row r="125" spans="1:14" x14ac:dyDescent="0.3">
      <c r="A125" s="47">
        <v>2024120</v>
      </c>
      <c r="B125" s="48" t="s">
        <v>1598</v>
      </c>
      <c r="C125" s="138" t="s">
        <v>1599</v>
      </c>
      <c r="D125" s="69" t="s">
        <v>1190</v>
      </c>
      <c r="E125" s="136" t="s">
        <v>1572</v>
      </c>
      <c r="F125" s="136">
        <v>5234822</v>
      </c>
      <c r="G125" s="69" t="s">
        <v>1438</v>
      </c>
      <c r="H125" s="136">
        <v>2</v>
      </c>
      <c r="I125" s="137">
        <v>1646</v>
      </c>
      <c r="J125" s="132">
        <v>728</v>
      </c>
      <c r="K125" s="146">
        <v>0</v>
      </c>
      <c r="L125" s="48" t="s">
        <v>53</v>
      </c>
      <c r="M125" s="47">
        <f t="shared" si="2"/>
        <v>2024120</v>
      </c>
      <c r="N125" s="47">
        <v>10</v>
      </c>
    </row>
    <row r="126" spans="1:14" x14ac:dyDescent="0.3">
      <c r="A126" s="47">
        <v>2024121</v>
      </c>
      <c r="B126" s="48" t="s">
        <v>1042</v>
      </c>
      <c r="C126" s="135" t="s">
        <v>926</v>
      </c>
      <c r="D126" s="69" t="s">
        <v>1191</v>
      </c>
      <c r="E126" s="69" t="s">
        <v>1304</v>
      </c>
      <c r="F126" s="69">
        <v>11251234</v>
      </c>
      <c r="G126" s="69" t="s">
        <v>1390</v>
      </c>
      <c r="H126" s="136" t="s">
        <v>236</v>
      </c>
      <c r="I126" s="137">
        <v>823</v>
      </c>
      <c r="J126" s="132">
        <v>364</v>
      </c>
      <c r="K126" s="146">
        <v>1187</v>
      </c>
      <c r="L126" s="48" t="s">
        <v>53</v>
      </c>
      <c r="M126" s="47">
        <f t="shared" si="2"/>
        <v>2024121</v>
      </c>
      <c r="N126" s="47">
        <v>10</v>
      </c>
    </row>
    <row r="127" spans="1:14" x14ac:dyDescent="0.3">
      <c r="A127" s="47">
        <v>2024122</v>
      </c>
      <c r="B127" s="48" t="s">
        <v>1065</v>
      </c>
      <c r="C127" s="135" t="s">
        <v>1677</v>
      </c>
      <c r="D127" s="69" t="s">
        <v>1678</v>
      </c>
      <c r="E127" s="69"/>
      <c r="F127" s="69"/>
      <c r="G127" s="69" t="s">
        <v>1679</v>
      </c>
      <c r="H127" s="69"/>
      <c r="I127" s="132">
        <v>823</v>
      </c>
      <c r="J127" s="132">
        <v>627</v>
      </c>
      <c r="K127" s="146">
        <v>1450</v>
      </c>
      <c r="L127" s="48"/>
      <c r="M127" s="47">
        <f t="shared" si="2"/>
        <v>2024122</v>
      </c>
      <c r="N127" s="47">
        <v>10</v>
      </c>
    </row>
    <row r="128" spans="1:14" x14ac:dyDescent="0.3">
      <c r="A128" s="47">
        <v>2024123</v>
      </c>
      <c r="B128" s="48" t="s">
        <v>1082</v>
      </c>
      <c r="C128" s="135" t="s">
        <v>927</v>
      </c>
      <c r="D128" s="69" t="s">
        <v>1192</v>
      </c>
      <c r="E128" s="69" t="s">
        <v>1322</v>
      </c>
      <c r="F128" s="69">
        <v>8002028013</v>
      </c>
      <c r="G128" s="69" t="s">
        <v>1439</v>
      </c>
      <c r="H128" s="136" t="s">
        <v>236</v>
      </c>
      <c r="I128" s="137">
        <v>823</v>
      </c>
      <c r="J128" s="137">
        <v>610</v>
      </c>
      <c r="K128" s="146">
        <v>1433</v>
      </c>
      <c r="L128" s="48" t="s">
        <v>54</v>
      </c>
      <c r="M128" s="47">
        <f t="shared" si="2"/>
        <v>2024123</v>
      </c>
      <c r="N128" s="47">
        <v>10</v>
      </c>
    </row>
    <row r="129" spans="1:14" x14ac:dyDescent="0.3">
      <c r="A129" s="47">
        <v>2024124</v>
      </c>
      <c r="B129" s="48" t="s">
        <v>1050</v>
      </c>
      <c r="C129" s="138" t="s">
        <v>182</v>
      </c>
      <c r="D129" s="69" t="s">
        <v>1193</v>
      </c>
      <c r="E129" s="136" t="s">
        <v>244</v>
      </c>
      <c r="F129" s="136" t="s">
        <v>1291</v>
      </c>
      <c r="G129" s="69" t="s">
        <v>1440</v>
      </c>
      <c r="H129" s="136">
        <v>2</v>
      </c>
      <c r="I129" s="137">
        <v>1226</v>
      </c>
      <c r="J129" s="132">
        <v>974</v>
      </c>
      <c r="K129" s="146">
        <v>0</v>
      </c>
      <c r="L129" s="48" t="s">
        <v>53</v>
      </c>
      <c r="M129" s="47">
        <f t="shared" si="2"/>
        <v>2024124</v>
      </c>
      <c r="N129" s="47">
        <v>10</v>
      </c>
    </row>
    <row r="130" spans="1:14" x14ac:dyDescent="0.3">
      <c r="A130" s="47">
        <v>2024125</v>
      </c>
      <c r="B130" s="48" t="s">
        <v>1571</v>
      </c>
      <c r="C130" s="138" t="s">
        <v>928</v>
      </c>
      <c r="D130" s="69" t="s">
        <v>151</v>
      </c>
      <c r="E130" s="69" t="s">
        <v>152</v>
      </c>
      <c r="F130" s="69">
        <v>3750033</v>
      </c>
      <c r="G130" s="69" t="s">
        <v>153</v>
      </c>
      <c r="H130" s="136" t="s">
        <v>236</v>
      </c>
      <c r="I130" s="137">
        <v>540</v>
      </c>
      <c r="J130" s="137">
        <v>610</v>
      </c>
      <c r="K130" s="146">
        <v>0</v>
      </c>
      <c r="L130" s="48" t="s">
        <v>54</v>
      </c>
      <c r="M130" s="47">
        <f t="shared" si="2"/>
        <v>2024125</v>
      </c>
      <c r="N130" s="47">
        <v>10</v>
      </c>
    </row>
    <row r="131" spans="1:14" x14ac:dyDescent="0.3">
      <c r="A131" s="47">
        <v>2024126</v>
      </c>
      <c r="B131" s="48" t="s">
        <v>1045</v>
      </c>
      <c r="C131" s="138" t="s">
        <v>4</v>
      </c>
      <c r="D131" s="69" t="s">
        <v>194</v>
      </c>
      <c r="E131" s="69" t="s">
        <v>195</v>
      </c>
      <c r="F131" s="69">
        <v>3812981</v>
      </c>
      <c r="G131" s="69" t="s">
        <v>196</v>
      </c>
      <c r="H131" s="136" t="s">
        <v>236</v>
      </c>
      <c r="I131" s="137">
        <v>823</v>
      </c>
      <c r="J131" s="132">
        <v>610</v>
      </c>
      <c r="K131" s="146">
        <v>1300</v>
      </c>
      <c r="L131" s="48" t="s">
        <v>54</v>
      </c>
      <c r="M131" s="47">
        <f t="shared" ref="M131:M194" si="3">A131</f>
        <v>2024126</v>
      </c>
      <c r="N131" s="47">
        <v>10</v>
      </c>
    </row>
    <row r="132" spans="1:14" x14ac:dyDescent="0.3">
      <c r="A132" s="47">
        <v>2024127</v>
      </c>
      <c r="B132" s="48" t="s">
        <v>1087</v>
      </c>
      <c r="C132" s="138" t="s">
        <v>929</v>
      </c>
      <c r="D132" s="69" t="s">
        <v>1194</v>
      </c>
      <c r="E132" s="136" t="s">
        <v>244</v>
      </c>
      <c r="F132" s="136" t="s">
        <v>1291</v>
      </c>
      <c r="G132" s="69" t="s">
        <v>1441</v>
      </c>
      <c r="H132" s="136">
        <v>2</v>
      </c>
      <c r="I132" s="137">
        <v>1426</v>
      </c>
      <c r="J132" s="137">
        <v>974</v>
      </c>
      <c r="K132" s="146">
        <v>0</v>
      </c>
      <c r="L132" s="48" t="s">
        <v>117</v>
      </c>
      <c r="M132" s="47">
        <f t="shared" si="3"/>
        <v>2024127</v>
      </c>
      <c r="N132" s="47">
        <v>10</v>
      </c>
    </row>
    <row r="133" spans="1:14" x14ac:dyDescent="0.3">
      <c r="A133" s="47">
        <v>2024128</v>
      </c>
      <c r="B133" s="48" t="s">
        <v>1045</v>
      </c>
      <c r="C133" s="138" t="s">
        <v>1</v>
      </c>
      <c r="D133" s="69" t="s">
        <v>112</v>
      </c>
      <c r="E133" s="69" t="s">
        <v>244</v>
      </c>
      <c r="F133" s="69" t="s">
        <v>1291</v>
      </c>
      <c r="G133" s="69" t="s">
        <v>1442</v>
      </c>
      <c r="H133" s="136" t="s">
        <v>236</v>
      </c>
      <c r="I133" s="137">
        <v>740</v>
      </c>
      <c r="J133" s="132">
        <v>610</v>
      </c>
      <c r="K133" s="146">
        <v>1350</v>
      </c>
      <c r="L133" s="48" t="s">
        <v>54</v>
      </c>
      <c r="M133" s="47">
        <f t="shared" si="3"/>
        <v>2024128</v>
      </c>
      <c r="N133" s="47">
        <v>10</v>
      </c>
    </row>
    <row r="134" spans="1:14" x14ac:dyDescent="0.3">
      <c r="A134" s="47">
        <v>2024129</v>
      </c>
      <c r="B134" s="48" t="s">
        <v>1039</v>
      </c>
      <c r="C134" s="135" t="s">
        <v>930</v>
      </c>
      <c r="D134" s="69" t="s">
        <v>1195</v>
      </c>
      <c r="E134" s="136" t="s">
        <v>244</v>
      </c>
      <c r="F134" s="136" t="s">
        <v>236</v>
      </c>
      <c r="G134" s="69" t="s">
        <v>1443</v>
      </c>
      <c r="H134" s="136" t="s">
        <v>236</v>
      </c>
      <c r="I134" s="137">
        <v>716</v>
      </c>
      <c r="J134" s="132">
        <v>364</v>
      </c>
      <c r="K134" s="146">
        <v>1080</v>
      </c>
      <c r="L134" s="48" t="s">
        <v>53</v>
      </c>
      <c r="M134" s="47">
        <f t="shared" si="3"/>
        <v>2024129</v>
      </c>
      <c r="N134" s="47">
        <v>10</v>
      </c>
    </row>
    <row r="135" spans="1:14" x14ac:dyDescent="0.3">
      <c r="A135" s="47">
        <v>2024130</v>
      </c>
      <c r="B135" s="48" t="s">
        <v>1040</v>
      </c>
      <c r="C135" s="138" t="s">
        <v>337</v>
      </c>
      <c r="D135" s="69" t="s">
        <v>338</v>
      </c>
      <c r="E135" s="69" t="s">
        <v>1323</v>
      </c>
      <c r="F135" s="69">
        <v>974626</v>
      </c>
      <c r="G135" s="69" t="s">
        <v>339</v>
      </c>
      <c r="H135" s="136" t="s">
        <v>236</v>
      </c>
      <c r="I135" s="137">
        <v>823</v>
      </c>
      <c r="J135" s="132">
        <v>364</v>
      </c>
      <c r="K135" s="146">
        <v>1187</v>
      </c>
      <c r="L135" s="48" t="s">
        <v>53</v>
      </c>
      <c r="M135" s="47">
        <f t="shared" si="3"/>
        <v>2024130</v>
      </c>
      <c r="N135" s="47">
        <v>10</v>
      </c>
    </row>
    <row r="136" spans="1:14" x14ac:dyDescent="0.3">
      <c r="A136" s="47">
        <v>2024131</v>
      </c>
      <c r="B136" s="48" t="s">
        <v>1082</v>
      </c>
      <c r="C136" s="138" t="s">
        <v>27</v>
      </c>
      <c r="D136" s="69" t="s">
        <v>286</v>
      </c>
      <c r="E136" s="69" t="s">
        <v>1291</v>
      </c>
      <c r="F136" s="69" t="s">
        <v>244</v>
      </c>
      <c r="G136" s="69" t="s">
        <v>1444</v>
      </c>
      <c r="H136" s="136" t="s">
        <v>236</v>
      </c>
      <c r="I136" s="137">
        <v>690</v>
      </c>
      <c r="J136" s="137">
        <v>610</v>
      </c>
      <c r="K136" s="146">
        <v>0</v>
      </c>
      <c r="L136" s="48" t="s">
        <v>54</v>
      </c>
      <c r="M136" s="47">
        <f t="shared" si="3"/>
        <v>2024131</v>
      </c>
      <c r="N136" s="47">
        <v>10</v>
      </c>
    </row>
    <row r="137" spans="1:14" x14ac:dyDescent="0.3">
      <c r="A137" s="47">
        <v>2024132</v>
      </c>
      <c r="B137" s="48" t="s">
        <v>1044</v>
      </c>
      <c r="C137" s="144" t="s">
        <v>12</v>
      </c>
      <c r="D137" s="69" t="s">
        <v>129</v>
      </c>
      <c r="E137" s="136" t="s">
        <v>386</v>
      </c>
      <c r="F137" s="136">
        <v>4502793</v>
      </c>
      <c r="G137" s="69" t="s">
        <v>387</v>
      </c>
      <c r="H137" s="136" t="s">
        <v>236</v>
      </c>
      <c r="I137" s="137">
        <v>823</v>
      </c>
      <c r="J137" s="132">
        <v>610</v>
      </c>
      <c r="K137" s="146">
        <v>1433</v>
      </c>
      <c r="L137" s="48" t="s">
        <v>54</v>
      </c>
      <c r="M137" s="47">
        <f t="shared" si="3"/>
        <v>2024132</v>
      </c>
      <c r="N137" s="47">
        <v>10</v>
      </c>
    </row>
    <row r="138" spans="1:14" x14ac:dyDescent="0.3">
      <c r="A138" s="47">
        <v>2024133</v>
      </c>
      <c r="B138" s="48" t="s">
        <v>1082</v>
      </c>
      <c r="C138" s="135" t="s">
        <v>931</v>
      </c>
      <c r="D138" s="69" t="s">
        <v>1196</v>
      </c>
      <c r="E138" s="69" t="s">
        <v>1324</v>
      </c>
      <c r="F138" s="69">
        <v>3440727</v>
      </c>
      <c r="G138" s="69" t="s">
        <v>1445</v>
      </c>
      <c r="H138" s="136" t="s">
        <v>236</v>
      </c>
      <c r="I138" s="137">
        <v>823</v>
      </c>
      <c r="J138" s="132">
        <v>627</v>
      </c>
      <c r="K138" s="146">
        <v>1550</v>
      </c>
      <c r="L138" s="48" t="s">
        <v>54</v>
      </c>
      <c r="M138" s="47">
        <f t="shared" si="3"/>
        <v>2024133</v>
      </c>
      <c r="N138" s="47">
        <v>10</v>
      </c>
    </row>
    <row r="139" spans="1:14" x14ac:dyDescent="0.3">
      <c r="A139" s="47">
        <v>2024134</v>
      </c>
      <c r="B139" s="48" t="s">
        <v>1046</v>
      </c>
      <c r="C139" s="138" t="s">
        <v>1560</v>
      </c>
      <c r="D139" s="69" t="s">
        <v>296</v>
      </c>
      <c r="E139" s="136" t="s">
        <v>244</v>
      </c>
      <c r="F139" s="136" t="s">
        <v>1291</v>
      </c>
      <c r="G139" s="69" t="s">
        <v>297</v>
      </c>
      <c r="H139" s="69">
        <v>3</v>
      </c>
      <c r="I139" s="137">
        <v>0</v>
      </c>
      <c r="J139" s="132">
        <v>0</v>
      </c>
      <c r="K139" s="146">
        <v>0</v>
      </c>
      <c r="L139" s="48" t="s">
        <v>270</v>
      </c>
      <c r="M139" s="47">
        <f t="shared" si="3"/>
        <v>2024134</v>
      </c>
      <c r="N139" s="47">
        <v>10</v>
      </c>
    </row>
    <row r="140" spans="1:14" x14ac:dyDescent="0.3">
      <c r="A140" s="47">
        <v>2024135</v>
      </c>
      <c r="B140" s="48" t="s">
        <v>1088</v>
      </c>
      <c r="C140" s="138" t="s">
        <v>168</v>
      </c>
      <c r="D140" s="69" t="s">
        <v>169</v>
      </c>
      <c r="E140" s="69" t="s">
        <v>170</v>
      </c>
      <c r="F140" s="69">
        <v>4501909</v>
      </c>
      <c r="G140" s="69" t="s">
        <v>171</v>
      </c>
      <c r="H140" s="69">
        <v>3</v>
      </c>
      <c r="I140" s="137">
        <v>1752</v>
      </c>
      <c r="J140" s="132">
        <v>1830</v>
      </c>
      <c r="K140" s="146">
        <v>3582</v>
      </c>
      <c r="L140" s="48" t="s">
        <v>54</v>
      </c>
      <c r="M140" s="47">
        <f t="shared" si="3"/>
        <v>2024135</v>
      </c>
      <c r="N140" s="47">
        <v>10</v>
      </c>
    </row>
    <row r="141" spans="1:14" x14ac:dyDescent="0.3">
      <c r="A141" s="47">
        <v>2024136</v>
      </c>
      <c r="B141" s="48" t="s">
        <v>1050</v>
      </c>
      <c r="C141" s="135" t="s">
        <v>1561</v>
      </c>
      <c r="D141" s="69" t="s">
        <v>1927</v>
      </c>
      <c r="E141" s="69" t="s">
        <v>244</v>
      </c>
      <c r="F141" s="69" t="s">
        <v>1291</v>
      </c>
      <c r="G141" s="69" t="s">
        <v>1446</v>
      </c>
      <c r="H141" s="69">
        <v>2</v>
      </c>
      <c r="I141" s="137">
        <v>700</v>
      </c>
      <c r="J141" s="132">
        <v>0</v>
      </c>
      <c r="K141" s="146">
        <v>0</v>
      </c>
      <c r="L141" s="48" t="s">
        <v>270</v>
      </c>
      <c r="M141" s="47">
        <f t="shared" si="3"/>
        <v>2024136</v>
      </c>
      <c r="N141" s="47">
        <v>10</v>
      </c>
    </row>
    <row r="142" spans="1:14" x14ac:dyDescent="0.3">
      <c r="A142" s="47">
        <v>2024315</v>
      </c>
      <c r="B142" s="48" t="s">
        <v>1065</v>
      </c>
      <c r="C142" s="135" t="s">
        <v>1687</v>
      </c>
      <c r="D142" s="69" t="s">
        <v>1688</v>
      </c>
      <c r="E142" s="69" t="s">
        <v>1689</v>
      </c>
      <c r="F142" s="69">
        <v>2881991</v>
      </c>
      <c r="G142" s="69" t="s">
        <v>1690</v>
      </c>
      <c r="H142" s="136" t="s">
        <v>236</v>
      </c>
      <c r="I142" s="132">
        <v>823</v>
      </c>
      <c r="J142" s="132">
        <v>627</v>
      </c>
      <c r="K142" s="146">
        <v>1450</v>
      </c>
      <c r="L142" s="48" t="s">
        <v>54</v>
      </c>
      <c r="M142" s="47">
        <f t="shared" si="3"/>
        <v>2024315</v>
      </c>
      <c r="N142" s="47">
        <v>10</v>
      </c>
    </row>
    <row r="143" spans="1:14" x14ac:dyDescent="0.3">
      <c r="A143" s="47">
        <v>2024137</v>
      </c>
      <c r="B143" s="48" t="s">
        <v>1039</v>
      </c>
      <c r="C143" s="135" t="s">
        <v>932</v>
      </c>
      <c r="D143" s="69" t="s">
        <v>1197</v>
      </c>
      <c r="E143" s="69" t="s">
        <v>244</v>
      </c>
      <c r="F143" s="69" t="s">
        <v>1291</v>
      </c>
      <c r="G143" s="69" t="s">
        <v>1447</v>
      </c>
      <c r="H143" s="136" t="s">
        <v>236</v>
      </c>
      <c r="I143" s="137">
        <v>736</v>
      </c>
      <c r="J143" s="132">
        <v>364</v>
      </c>
      <c r="K143" s="146">
        <v>0</v>
      </c>
      <c r="L143" s="48" t="s">
        <v>53</v>
      </c>
      <c r="M143" s="47">
        <f t="shared" si="3"/>
        <v>2024137</v>
      </c>
      <c r="N143" s="47">
        <v>10</v>
      </c>
    </row>
    <row r="144" spans="1:14" x14ac:dyDescent="0.3">
      <c r="A144" s="47">
        <v>2024138</v>
      </c>
      <c r="B144" s="48" t="s">
        <v>1041</v>
      </c>
      <c r="C144" s="135" t="s">
        <v>933</v>
      </c>
      <c r="D144" s="69" t="s">
        <v>1198</v>
      </c>
      <c r="E144" s="69" t="s">
        <v>1325</v>
      </c>
      <c r="F144" s="69">
        <v>2880025</v>
      </c>
      <c r="G144" s="69" t="s">
        <v>1448</v>
      </c>
      <c r="H144" s="136" t="s">
        <v>236</v>
      </c>
      <c r="I144" s="137">
        <v>823</v>
      </c>
      <c r="J144" s="132">
        <v>377</v>
      </c>
      <c r="K144" s="146">
        <v>1200</v>
      </c>
      <c r="L144" s="48" t="s">
        <v>53</v>
      </c>
      <c r="M144" s="47">
        <f t="shared" si="3"/>
        <v>2024138</v>
      </c>
      <c r="N144" s="47">
        <v>10</v>
      </c>
    </row>
    <row r="145" spans="1:14" x14ac:dyDescent="0.3">
      <c r="A145" s="47">
        <v>2024139</v>
      </c>
      <c r="B145" s="48" t="s">
        <v>133</v>
      </c>
      <c r="C145" s="135" t="s">
        <v>934</v>
      </c>
      <c r="D145" s="69" t="s">
        <v>1199</v>
      </c>
      <c r="E145" s="69" t="s">
        <v>1326</v>
      </c>
      <c r="F145" s="69">
        <v>9478862</v>
      </c>
      <c r="G145" s="69" t="s">
        <v>1449</v>
      </c>
      <c r="H145" s="69"/>
      <c r="I145" s="137">
        <v>823</v>
      </c>
      <c r="J145" s="132">
        <v>377</v>
      </c>
      <c r="K145" s="146">
        <v>1200</v>
      </c>
      <c r="L145" s="48" t="s">
        <v>53</v>
      </c>
      <c r="M145" s="47">
        <f t="shared" si="3"/>
        <v>2024139</v>
      </c>
      <c r="N145" s="47">
        <v>10</v>
      </c>
    </row>
    <row r="146" spans="1:14" x14ac:dyDescent="0.3">
      <c r="A146" s="47">
        <v>2024140</v>
      </c>
      <c r="B146" s="48" t="s">
        <v>1065</v>
      </c>
      <c r="C146" s="138" t="s">
        <v>935</v>
      </c>
      <c r="D146" s="69" t="s">
        <v>1200</v>
      </c>
      <c r="E146" s="69" t="s">
        <v>1327</v>
      </c>
      <c r="F146" s="69">
        <v>4411152</v>
      </c>
      <c r="G146" s="69" t="s">
        <v>1450</v>
      </c>
      <c r="H146" s="136" t="s">
        <v>236</v>
      </c>
      <c r="I146" s="137">
        <v>823</v>
      </c>
      <c r="J146" s="132">
        <v>610</v>
      </c>
      <c r="K146" s="146">
        <v>1433</v>
      </c>
      <c r="L146" s="48" t="s">
        <v>54</v>
      </c>
      <c r="M146" s="47">
        <f t="shared" si="3"/>
        <v>2024140</v>
      </c>
      <c r="N146" s="47">
        <v>10</v>
      </c>
    </row>
    <row r="147" spans="1:14" x14ac:dyDescent="0.3">
      <c r="A147" s="47">
        <v>2024141</v>
      </c>
      <c r="B147" s="48" t="s">
        <v>141</v>
      </c>
      <c r="C147" s="135" t="s">
        <v>936</v>
      </c>
      <c r="D147" s="69" t="s">
        <v>1201</v>
      </c>
      <c r="E147" s="69" t="s">
        <v>1328</v>
      </c>
      <c r="F147" s="69">
        <v>5310697</v>
      </c>
      <c r="G147" s="69" t="s">
        <v>1451</v>
      </c>
      <c r="H147" s="69"/>
      <c r="I147" s="137">
        <v>500</v>
      </c>
      <c r="J147" s="132">
        <v>500</v>
      </c>
      <c r="K147" s="146">
        <v>2000</v>
      </c>
      <c r="L147" s="48" t="s">
        <v>142</v>
      </c>
      <c r="M147" s="47">
        <f t="shared" si="3"/>
        <v>2024141</v>
      </c>
      <c r="N147" s="47">
        <v>10</v>
      </c>
    </row>
    <row r="148" spans="1:14" x14ac:dyDescent="0.3">
      <c r="A148" s="47">
        <v>2024142</v>
      </c>
      <c r="B148" s="48" t="s">
        <v>1042</v>
      </c>
      <c r="C148" s="135" t="s">
        <v>937</v>
      </c>
      <c r="D148" s="69" t="s">
        <v>1202</v>
      </c>
      <c r="E148" s="69" t="s">
        <v>414</v>
      </c>
      <c r="F148" s="69">
        <v>5300212</v>
      </c>
      <c r="G148" s="69" t="s">
        <v>1452</v>
      </c>
      <c r="H148" s="136" t="s">
        <v>236</v>
      </c>
      <c r="I148" s="137">
        <v>823</v>
      </c>
      <c r="J148" s="132">
        <v>364</v>
      </c>
      <c r="K148" s="146">
        <v>1187</v>
      </c>
      <c r="L148" s="48" t="s">
        <v>53</v>
      </c>
      <c r="M148" s="47">
        <f t="shared" si="3"/>
        <v>2024142</v>
      </c>
      <c r="N148" s="47">
        <v>10</v>
      </c>
    </row>
    <row r="149" spans="1:14" x14ac:dyDescent="0.3">
      <c r="A149" s="47">
        <v>2024143</v>
      </c>
      <c r="B149" s="48" t="s">
        <v>1089</v>
      </c>
      <c r="C149" s="135" t="s">
        <v>938</v>
      </c>
      <c r="D149" s="69" t="s">
        <v>1203</v>
      </c>
      <c r="E149" s="136" t="s">
        <v>244</v>
      </c>
      <c r="F149" s="136" t="s">
        <v>1291</v>
      </c>
      <c r="G149" s="69" t="s">
        <v>1453</v>
      </c>
      <c r="H149" s="136">
        <v>2</v>
      </c>
      <c r="I149" s="137">
        <v>1000</v>
      </c>
      <c r="J149" s="132">
        <v>0</v>
      </c>
      <c r="K149" s="146">
        <v>0</v>
      </c>
      <c r="L149" s="48" t="s">
        <v>205</v>
      </c>
      <c r="M149" s="47">
        <f t="shared" si="3"/>
        <v>2024143</v>
      </c>
      <c r="N149" s="47">
        <v>10</v>
      </c>
    </row>
    <row r="150" spans="1:14" x14ac:dyDescent="0.3">
      <c r="A150" s="47">
        <v>2024144</v>
      </c>
      <c r="B150" s="48" t="s">
        <v>1040</v>
      </c>
      <c r="C150" s="135" t="s">
        <v>939</v>
      </c>
      <c r="D150" s="69" t="s">
        <v>1204</v>
      </c>
      <c r="E150" s="69" t="s">
        <v>1329</v>
      </c>
      <c r="F150" s="69">
        <v>3350741</v>
      </c>
      <c r="G150" s="69" t="s">
        <v>1454</v>
      </c>
      <c r="H150" s="136" t="s">
        <v>236</v>
      </c>
      <c r="I150" s="137">
        <v>823</v>
      </c>
      <c r="J150" s="132">
        <v>364</v>
      </c>
      <c r="K150" s="146">
        <v>1187</v>
      </c>
      <c r="L150" s="48" t="s">
        <v>53</v>
      </c>
      <c r="M150" s="47">
        <f t="shared" si="3"/>
        <v>2024144</v>
      </c>
      <c r="N150" s="47">
        <v>10</v>
      </c>
    </row>
    <row r="151" spans="1:14" x14ac:dyDescent="0.3">
      <c r="A151" s="47">
        <v>2024145</v>
      </c>
      <c r="B151" s="48" t="s">
        <v>1082</v>
      </c>
      <c r="C151" s="135" t="s">
        <v>28</v>
      </c>
      <c r="D151" s="69" t="s">
        <v>1205</v>
      </c>
      <c r="E151" s="69" t="s">
        <v>244</v>
      </c>
      <c r="F151" s="69" t="s">
        <v>1291</v>
      </c>
      <c r="G151" s="69" t="s">
        <v>1455</v>
      </c>
      <c r="H151" s="136" t="s">
        <v>236</v>
      </c>
      <c r="I151" s="137">
        <v>590</v>
      </c>
      <c r="J151" s="132">
        <v>610</v>
      </c>
      <c r="K151" s="146">
        <v>0</v>
      </c>
      <c r="L151" s="48" t="s">
        <v>54</v>
      </c>
      <c r="M151" s="47">
        <f t="shared" si="3"/>
        <v>2024145</v>
      </c>
      <c r="N151" s="47">
        <v>10</v>
      </c>
    </row>
    <row r="152" spans="1:14" x14ac:dyDescent="0.3">
      <c r="A152" s="47">
        <v>2024146</v>
      </c>
      <c r="B152" s="48" t="s">
        <v>1040</v>
      </c>
      <c r="C152" s="135" t="s">
        <v>941</v>
      </c>
      <c r="D152" s="69" t="s">
        <v>1207</v>
      </c>
      <c r="E152" s="69" t="s">
        <v>244</v>
      </c>
      <c r="F152" s="69" t="s">
        <v>1366</v>
      </c>
      <c r="G152" s="69" t="s">
        <v>1457</v>
      </c>
      <c r="H152" s="136" t="s">
        <v>236</v>
      </c>
      <c r="I152" s="137">
        <v>736</v>
      </c>
      <c r="J152" s="132">
        <v>364</v>
      </c>
      <c r="K152" s="146">
        <v>1187</v>
      </c>
      <c r="L152" s="48" t="s">
        <v>53</v>
      </c>
      <c r="M152" s="47">
        <f t="shared" si="3"/>
        <v>2024146</v>
      </c>
      <c r="N152" s="47">
        <v>10</v>
      </c>
    </row>
    <row r="153" spans="1:14" x14ac:dyDescent="0.3">
      <c r="A153" s="47">
        <v>2024147</v>
      </c>
      <c r="B153" s="48" t="s">
        <v>1039</v>
      </c>
      <c r="C153" s="138" t="s">
        <v>942</v>
      </c>
      <c r="D153" s="69" t="s">
        <v>1208</v>
      </c>
      <c r="E153" s="136" t="s">
        <v>1330</v>
      </c>
      <c r="F153" s="136">
        <v>6479775</v>
      </c>
      <c r="G153" s="69" t="s">
        <v>1458</v>
      </c>
      <c r="H153" s="136" t="s">
        <v>236</v>
      </c>
      <c r="I153" s="137">
        <v>823</v>
      </c>
      <c r="J153" s="137">
        <v>364</v>
      </c>
      <c r="K153" s="146">
        <v>0</v>
      </c>
      <c r="L153" s="48" t="s">
        <v>53</v>
      </c>
      <c r="M153" s="47">
        <f t="shared" si="3"/>
        <v>2024147</v>
      </c>
      <c r="N153" s="47">
        <v>10</v>
      </c>
    </row>
    <row r="154" spans="1:14" x14ac:dyDescent="0.3">
      <c r="A154" s="47">
        <v>2024148</v>
      </c>
      <c r="B154" s="48" t="s">
        <v>1040</v>
      </c>
      <c r="C154" s="138" t="s">
        <v>202</v>
      </c>
      <c r="D154" s="69" t="s">
        <v>203</v>
      </c>
      <c r="E154" s="69" t="s">
        <v>244</v>
      </c>
      <c r="F154" s="69" t="s">
        <v>1291</v>
      </c>
      <c r="G154" s="69" t="s">
        <v>204</v>
      </c>
      <c r="H154" s="136" t="s">
        <v>236</v>
      </c>
      <c r="I154" s="137">
        <v>716</v>
      </c>
      <c r="J154" s="137">
        <v>364</v>
      </c>
      <c r="K154" s="146">
        <v>1080</v>
      </c>
      <c r="L154" s="48" t="s">
        <v>53</v>
      </c>
      <c r="M154" s="47">
        <f t="shared" si="3"/>
        <v>2024148</v>
      </c>
      <c r="N154" s="47">
        <v>10</v>
      </c>
    </row>
    <row r="155" spans="1:14" x14ac:dyDescent="0.3">
      <c r="A155" s="47">
        <v>2024149</v>
      </c>
      <c r="B155" s="48" t="s">
        <v>1090</v>
      </c>
      <c r="C155" s="138" t="s">
        <v>1601</v>
      </c>
      <c r="D155" s="69" t="s">
        <v>1209</v>
      </c>
      <c r="E155" s="136" t="s">
        <v>244</v>
      </c>
      <c r="F155" s="136" t="s">
        <v>1291</v>
      </c>
      <c r="G155" s="69" t="s">
        <v>1459</v>
      </c>
      <c r="H155" s="136">
        <v>2</v>
      </c>
      <c r="I155" s="137">
        <v>1432</v>
      </c>
      <c r="J155" s="132">
        <v>728</v>
      </c>
      <c r="K155" s="146">
        <v>1400</v>
      </c>
      <c r="L155" s="48" t="s">
        <v>205</v>
      </c>
      <c r="M155" s="47">
        <f t="shared" si="3"/>
        <v>2024149</v>
      </c>
      <c r="N155" s="47">
        <v>10</v>
      </c>
    </row>
    <row r="156" spans="1:14" x14ac:dyDescent="0.3">
      <c r="A156" s="47">
        <v>2024150</v>
      </c>
      <c r="B156" s="48" t="s">
        <v>1052</v>
      </c>
      <c r="C156" s="138" t="s">
        <v>302</v>
      </c>
      <c r="D156" s="69" t="s">
        <v>1210</v>
      </c>
      <c r="E156" s="69" t="s">
        <v>303</v>
      </c>
      <c r="F156" s="69">
        <v>4284791</v>
      </c>
      <c r="G156" s="69" t="s">
        <v>1460</v>
      </c>
      <c r="H156" s="136" t="s">
        <v>236</v>
      </c>
      <c r="I156" s="137">
        <v>823</v>
      </c>
      <c r="J156" s="132">
        <v>364</v>
      </c>
      <c r="K156" s="146">
        <v>1187</v>
      </c>
      <c r="L156" s="48" t="s">
        <v>53</v>
      </c>
      <c r="M156" s="47">
        <f t="shared" si="3"/>
        <v>2024150</v>
      </c>
      <c r="N156" s="47">
        <v>10</v>
      </c>
    </row>
    <row r="157" spans="1:14" x14ac:dyDescent="0.3">
      <c r="A157" s="47">
        <v>2024151</v>
      </c>
      <c r="B157" s="48" t="s">
        <v>1062</v>
      </c>
      <c r="C157" s="138" t="s">
        <v>943</v>
      </c>
      <c r="D157" s="69" t="s">
        <v>277</v>
      </c>
      <c r="E157" s="136" t="s">
        <v>244</v>
      </c>
      <c r="F157" s="136" t="s">
        <v>1291</v>
      </c>
      <c r="G157" s="69" t="s">
        <v>1461</v>
      </c>
      <c r="H157" s="136" t="s">
        <v>236</v>
      </c>
      <c r="I157" s="137">
        <v>736</v>
      </c>
      <c r="J157" s="137">
        <v>364</v>
      </c>
      <c r="K157" s="146">
        <v>1080</v>
      </c>
      <c r="L157" s="48" t="s">
        <v>53</v>
      </c>
      <c r="M157" s="47">
        <f t="shared" si="3"/>
        <v>2024151</v>
      </c>
      <c r="N157" s="47">
        <v>10</v>
      </c>
    </row>
    <row r="158" spans="1:14" x14ac:dyDescent="0.3">
      <c r="A158" s="47">
        <v>2024323</v>
      </c>
      <c r="B158" s="48" t="s">
        <v>1044</v>
      </c>
      <c r="C158" s="135" t="s">
        <v>2008</v>
      </c>
      <c r="D158" s="69" t="s">
        <v>2009</v>
      </c>
      <c r="E158" s="69" t="s">
        <v>2010</v>
      </c>
      <c r="F158" s="69">
        <v>1918709</v>
      </c>
      <c r="G158" s="69" t="s">
        <v>2011</v>
      </c>
      <c r="H158" s="136" t="s">
        <v>236</v>
      </c>
      <c r="I158" s="132">
        <v>823</v>
      </c>
      <c r="J158" s="132">
        <v>627</v>
      </c>
      <c r="K158" s="146">
        <v>1450</v>
      </c>
      <c r="L158" s="48" t="s">
        <v>54</v>
      </c>
      <c r="M158" s="47">
        <f t="shared" si="3"/>
        <v>2024323</v>
      </c>
      <c r="N158" s="47">
        <v>10</v>
      </c>
    </row>
    <row r="159" spans="1:14" x14ac:dyDescent="0.3">
      <c r="A159" s="47">
        <v>2024152</v>
      </c>
      <c r="B159" s="48" t="s">
        <v>1039</v>
      </c>
      <c r="C159" s="135" t="s">
        <v>944</v>
      </c>
      <c r="D159" s="69" t="s">
        <v>1211</v>
      </c>
      <c r="E159" s="136" t="s">
        <v>236</v>
      </c>
      <c r="F159" s="136" t="s">
        <v>236</v>
      </c>
      <c r="G159" s="69" t="s">
        <v>1462</v>
      </c>
      <c r="H159" s="136" t="s">
        <v>236</v>
      </c>
      <c r="I159" s="137">
        <v>823</v>
      </c>
      <c r="J159" s="137">
        <v>377</v>
      </c>
      <c r="K159" s="146">
        <v>1200</v>
      </c>
      <c r="L159" s="48" t="s">
        <v>53</v>
      </c>
      <c r="M159" s="47">
        <f t="shared" si="3"/>
        <v>2024152</v>
      </c>
      <c r="N159" s="47">
        <v>10</v>
      </c>
    </row>
    <row r="160" spans="1:14" x14ac:dyDescent="0.3">
      <c r="A160" s="47">
        <v>2024153</v>
      </c>
      <c r="B160" s="48" t="s">
        <v>1065</v>
      </c>
      <c r="C160" s="138" t="s">
        <v>945</v>
      </c>
      <c r="D160" s="69" t="s">
        <v>306</v>
      </c>
      <c r="E160" s="136" t="s">
        <v>236</v>
      </c>
      <c r="F160" s="136" t="s">
        <v>236</v>
      </c>
      <c r="G160" s="69" t="s">
        <v>1463</v>
      </c>
      <c r="H160" s="136" t="s">
        <v>236</v>
      </c>
      <c r="I160" s="137">
        <v>740</v>
      </c>
      <c r="J160" s="132">
        <v>610</v>
      </c>
      <c r="K160" s="146">
        <v>0</v>
      </c>
      <c r="L160" s="48" t="s">
        <v>54</v>
      </c>
      <c r="M160" s="47">
        <f t="shared" si="3"/>
        <v>2024153</v>
      </c>
      <c r="N160" s="47">
        <v>10</v>
      </c>
    </row>
    <row r="161" spans="1:14" x14ac:dyDescent="0.3">
      <c r="A161" s="47">
        <v>2024154</v>
      </c>
      <c r="B161" s="48" t="s">
        <v>1091</v>
      </c>
      <c r="C161" s="138" t="s">
        <v>946</v>
      </c>
      <c r="D161" s="69" t="s">
        <v>1212</v>
      </c>
      <c r="E161" s="136" t="s">
        <v>392</v>
      </c>
      <c r="F161" s="136">
        <v>833355016</v>
      </c>
      <c r="G161" s="69" t="s">
        <v>1464</v>
      </c>
      <c r="H161" s="69">
        <v>2</v>
      </c>
      <c r="I161" s="137">
        <v>1459</v>
      </c>
      <c r="J161" s="137">
        <v>728</v>
      </c>
      <c r="K161" s="146">
        <v>0</v>
      </c>
      <c r="L161" s="48" t="s">
        <v>53</v>
      </c>
      <c r="M161" s="47">
        <f t="shared" si="3"/>
        <v>2024154</v>
      </c>
      <c r="N161" s="47">
        <v>10</v>
      </c>
    </row>
    <row r="162" spans="1:14" x14ac:dyDescent="0.3">
      <c r="A162" s="47">
        <v>2024164</v>
      </c>
      <c r="B162" s="48" t="s">
        <v>1674</v>
      </c>
      <c r="C162" s="135" t="s">
        <v>1691</v>
      </c>
      <c r="D162" s="69" t="s">
        <v>1675</v>
      </c>
      <c r="E162" s="69" t="s">
        <v>244</v>
      </c>
      <c r="F162" s="69" t="s">
        <v>1291</v>
      </c>
      <c r="G162" s="69" t="s">
        <v>1676</v>
      </c>
      <c r="H162" s="69">
        <v>2</v>
      </c>
      <c r="I162" s="132">
        <v>1180</v>
      </c>
      <c r="J162" s="132">
        <v>1220</v>
      </c>
      <c r="K162" s="146">
        <v>2400</v>
      </c>
      <c r="L162" s="48" t="s">
        <v>54</v>
      </c>
      <c r="M162" s="47">
        <f t="shared" si="3"/>
        <v>2024164</v>
      </c>
      <c r="N162" s="47">
        <v>10</v>
      </c>
    </row>
    <row r="163" spans="1:14" x14ac:dyDescent="0.3">
      <c r="A163" s="47">
        <v>2024155</v>
      </c>
      <c r="B163" s="48" t="s">
        <v>1092</v>
      </c>
      <c r="C163" s="138" t="s">
        <v>426</v>
      </c>
      <c r="D163" s="69" t="s">
        <v>264</v>
      </c>
      <c r="E163" s="136" t="s">
        <v>1331</v>
      </c>
      <c r="F163" s="136">
        <v>2707192</v>
      </c>
      <c r="G163" s="69" t="s">
        <v>265</v>
      </c>
      <c r="H163" s="69">
        <v>2</v>
      </c>
      <c r="I163" s="137">
        <v>1180</v>
      </c>
      <c r="J163" s="137">
        <v>1220</v>
      </c>
      <c r="K163" s="146">
        <v>2866</v>
      </c>
      <c r="L163" s="48" t="s">
        <v>54</v>
      </c>
      <c r="M163" s="47">
        <f t="shared" si="3"/>
        <v>2024155</v>
      </c>
      <c r="N163" s="47">
        <v>10</v>
      </c>
    </row>
    <row r="164" spans="1:14" x14ac:dyDescent="0.3">
      <c r="A164" s="47">
        <v>2024156</v>
      </c>
      <c r="B164" s="48" t="s">
        <v>1040</v>
      </c>
      <c r="C164" s="138" t="s">
        <v>389</v>
      </c>
      <c r="D164" s="69" t="s">
        <v>390</v>
      </c>
      <c r="E164" s="69" t="s">
        <v>1321</v>
      </c>
      <c r="F164" s="69">
        <v>5273342</v>
      </c>
      <c r="G164" s="69" t="s">
        <v>391</v>
      </c>
      <c r="H164" s="136" t="s">
        <v>236</v>
      </c>
      <c r="I164" s="137">
        <v>823</v>
      </c>
      <c r="J164" s="137">
        <v>364</v>
      </c>
      <c r="K164" s="146">
        <v>1187</v>
      </c>
      <c r="L164" s="48" t="s">
        <v>53</v>
      </c>
      <c r="M164" s="47">
        <f t="shared" si="3"/>
        <v>2024156</v>
      </c>
      <c r="N164" s="47">
        <v>10</v>
      </c>
    </row>
    <row r="165" spans="1:14" s="121" customFormat="1" x14ac:dyDescent="0.3">
      <c r="A165" s="47">
        <v>2024157</v>
      </c>
      <c r="B165" s="48" t="s">
        <v>1059</v>
      </c>
      <c r="C165" s="135" t="s">
        <v>947</v>
      </c>
      <c r="D165" s="69" t="s">
        <v>1214</v>
      </c>
      <c r="E165" s="136" t="s">
        <v>236</v>
      </c>
      <c r="F165" s="136" t="s">
        <v>236</v>
      </c>
      <c r="G165" s="69" t="s">
        <v>1466</v>
      </c>
      <c r="H165" s="136" t="s">
        <v>236</v>
      </c>
      <c r="I165" s="137">
        <v>823</v>
      </c>
      <c r="J165" s="137">
        <v>364</v>
      </c>
      <c r="K165" s="146">
        <v>1187</v>
      </c>
      <c r="L165" s="48" t="s">
        <v>117</v>
      </c>
      <c r="M165" s="47">
        <f t="shared" si="3"/>
        <v>2024157</v>
      </c>
      <c r="N165" s="47">
        <v>10</v>
      </c>
    </row>
    <row r="166" spans="1:14" x14ac:dyDescent="0.3">
      <c r="A166" s="47">
        <v>2024158</v>
      </c>
      <c r="B166" s="48" t="s">
        <v>1044</v>
      </c>
      <c r="C166" s="135" t="s">
        <v>948</v>
      </c>
      <c r="D166" s="69" t="s">
        <v>1214</v>
      </c>
      <c r="E166" s="136" t="s">
        <v>236</v>
      </c>
      <c r="F166" s="136" t="s">
        <v>236</v>
      </c>
      <c r="G166" s="69" t="s">
        <v>1466</v>
      </c>
      <c r="H166" s="136" t="s">
        <v>236</v>
      </c>
      <c r="I166" s="137">
        <v>823</v>
      </c>
      <c r="J166" s="132">
        <v>610</v>
      </c>
      <c r="K166" s="146">
        <v>1433</v>
      </c>
      <c r="L166" s="48" t="s">
        <v>117</v>
      </c>
      <c r="M166" s="47">
        <f t="shared" si="3"/>
        <v>2024158</v>
      </c>
      <c r="N166" s="47">
        <v>10</v>
      </c>
    </row>
    <row r="167" spans="1:14" x14ac:dyDescent="0.3">
      <c r="A167" s="47">
        <v>2024159</v>
      </c>
      <c r="B167" s="48" t="s">
        <v>1093</v>
      </c>
      <c r="C167" s="138" t="s">
        <v>949</v>
      </c>
      <c r="D167" s="69" t="s">
        <v>251</v>
      </c>
      <c r="E167" s="136" t="s">
        <v>244</v>
      </c>
      <c r="F167" s="136" t="s">
        <v>1291</v>
      </c>
      <c r="G167" s="69" t="s">
        <v>252</v>
      </c>
      <c r="H167" s="136">
        <v>2</v>
      </c>
      <c r="I167" s="137">
        <v>1376</v>
      </c>
      <c r="J167" s="132">
        <v>974</v>
      </c>
      <c r="K167" s="146">
        <v>2350</v>
      </c>
      <c r="L167" s="48" t="s">
        <v>117</v>
      </c>
      <c r="M167" s="47">
        <f t="shared" si="3"/>
        <v>2024159</v>
      </c>
      <c r="N167" s="47">
        <v>10</v>
      </c>
    </row>
    <row r="168" spans="1:14" x14ac:dyDescent="0.3">
      <c r="A168" s="47">
        <v>2024160</v>
      </c>
      <c r="B168" s="48" t="s">
        <v>1045</v>
      </c>
      <c r="C168" s="138" t="s">
        <v>6</v>
      </c>
      <c r="D168" s="69" t="s">
        <v>118</v>
      </c>
      <c r="E168" s="69" t="s">
        <v>1332</v>
      </c>
      <c r="F168" s="69">
        <v>3137855011</v>
      </c>
      <c r="G168" s="69" t="s">
        <v>354</v>
      </c>
      <c r="H168" s="136" t="s">
        <v>236</v>
      </c>
      <c r="I168" s="137">
        <v>823</v>
      </c>
      <c r="J168" s="132">
        <v>610</v>
      </c>
      <c r="K168" s="146">
        <v>1300</v>
      </c>
      <c r="L168" s="48" t="s">
        <v>54</v>
      </c>
      <c r="M168" s="47">
        <f t="shared" si="3"/>
        <v>2024160</v>
      </c>
      <c r="N168" s="47">
        <v>10</v>
      </c>
    </row>
    <row r="169" spans="1:14" x14ac:dyDescent="0.3">
      <c r="A169" s="47">
        <v>2024161</v>
      </c>
      <c r="B169" s="48" t="s">
        <v>1045</v>
      </c>
      <c r="C169" s="138" t="s">
        <v>950</v>
      </c>
      <c r="D169" s="69" t="s">
        <v>235</v>
      </c>
      <c r="E169" s="69" t="s">
        <v>244</v>
      </c>
      <c r="F169" s="69" t="s">
        <v>1291</v>
      </c>
      <c r="G169" s="69" t="s">
        <v>407</v>
      </c>
      <c r="H169" s="136" t="s">
        <v>236</v>
      </c>
      <c r="I169" s="137">
        <v>640</v>
      </c>
      <c r="J169" s="132">
        <v>610</v>
      </c>
      <c r="K169" s="146">
        <v>0</v>
      </c>
      <c r="L169" s="48" t="s">
        <v>54</v>
      </c>
      <c r="M169" s="47">
        <f t="shared" si="3"/>
        <v>2024161</v>
      </c>
      <c r="N169" s="47">
        <v>10</v>
      </c>
    </row>
    <row r="170" spans="1:14" x14ac:dyDescent="0.3">
      <c r="A170" s="47">
        <v>2024162</v>
      </c>
      <c r="B170" s="48" t="s">
        <v>1627</v>
      </c>
      <c r="C170" s="138" t="s">
        <v>951</v>
      </c>
      <c r="D170" s="69" t="s">
        <v>235</v>
      </c>
      <c r="E170" s="69" t="s">
        <v>244</v>
      </c>
      <c r="F170" s="69" t="s">
        <v>1291</v>
      </c>
      <c r="G170" s="69" t="s">
        <v>407</v>
      </c>
      <c r="H170" s="136" t="s">
        <v>236</v>
      </c>
      <c r="I170" s="137">
        <v>640</v>
      </c>
      <c r="J170" s="132">
        <v>610</v>
      </c>
      <c r="K170" s="146">
        <v>0</v>
      </c>
      <c r="L170" s="48" t="s">
        <v>54</v>
      </c>
      <c r="M170" s="47">
        <f t="shared" si="3"/>
        <v>2024162</v>
      </c>
      <c r="N170" s="47">
        <v>10</v>
      </c>
    </row>
    <row r="171" spans="1:14" x14ac:dyDescent="0.3">
      <c r="A171" s="47">
        <v>2024163</v>
      </c>
      <c r="B171" s="48" t="s">
        <v>1062</v>
      </c>
      <c r="C171" s="138" t="s">
        <v>308</v>
      </c>
      <c r="D171" s="69" t="s">
        <v>1215</v>
      </c>
      <c r="E171" s="136" t="s">
        <v>1333</v>
      </c>
      <c r="F171" s="136">
        <v>4476822</v>
      </c>
      <c r="G171" s="69" t="s">
        <v>333</v>
      </c>
      <c r="H171" s="136" t="s">
        <v>236</v>
      </c>
      <c r="I171" s="137">
        <v>823</v>
      </c>
      <c r="J171" s="132">
        <v>364</v>
      </c>
      <c r="K171" s="146">
        <v>1187</v>
      </c>
      <c r="L171" s="48" t="s">
        <v>53</v>
      </c>
      <c r="M171" s="47">
        <f t="shared" si="3"/>
        <v>2024163</v>
      </c>
      <c r="N171" s="47">
        <v>10</v>
      </c>
    </row>
    <row r="172" spans="1:14" x14ac:dyDescent="0.3">
      <c r="A172" s="47">
        <v>2024165</v>
      </c>
      <c r="B172" s="48" t="s">
        <v>425</v>
      </c>
      <c r="C172" s="135" t="s">
        <v>952</v>
      </c>
      <c r="D172" s="69" t="s">
        <v>1216</v>
      </c>
      <c r="E172" s="136" t="s">
        <v>1898</v>
      </c>
      <c r="F172" s="136">
        <v>3141582016</v>
      </c>
      <c r="G172" s="69" t="s">
        <v>1467</v>
      </c>
      <c r="H172" s="136" t="s">
        <v>236</v>
      </c>
      <c r="I172" s="137">
        <v>823</v>
      </c>
      <c r="J172" s="132">
        <v>377</v>
      </c>
      <c r="K172" s="146">
        <v>1200</v>
      </c>
      <c r="L172" s="48" t="s">
        <v>96</v>
      </c>
      <c r="M172" s="47">
        <f t="shared" si="3"/>
        <v>2024165</v>
      </c>
      <c r="N172" s="47">
        <v>10</v>
      </c>
    </row>
    <row r="173" spans="1:14" x14ac:dyDescent="0.3">
      <c r="A173" s="47">
        <v>2024166</v>
      </c>
      <c r="B173" s="48" t="s">
        <v>1094</v>
      </c>
      <c r="C173" s="135" t="s">
        <v>953</v>
      </c>
      <c r="D173" s="69" t="s">
        <v>1217</v>
      </c>
      <c r="E173" s="69" t="s">
        <v>1334</v>
      </c>
      <c r="F173" s="69">
        <v>5317108011</v>
      </c>
      <c r="G173" s="69" t="s">
        <v>1468</v>
      </c>
      <c r="H173" s="69">
        <v>2</v>
      </c>
      <c r="I173" s="137">
        <v>1646</v>
      </c>
      <c r="J173" s="137">
        <v>754</v>
      </c>
      <c r="K173" s="146">
        <v>2400</v>
      </c>
      <c r="L173" s="48" t="s">
        <v>53</v>
      </c>
      <c r="M173" s="47">
        <f t="shared" si="3"/>
        <v>2024166</v>
      </c>
      <c r="N173" s="47">
        <v>10</v>
      </c>
    </row>
    <row r="174" spans="1:14" x14ac:dyDescent="0.3">
      <c r="A174" s="47">
        <v>2024167</v>
      </c>
      <c r="B174" s="48" t="s">
        <v>1052</v>
      </c>
      <c r="C174" s="138" t="s">
        <v>198</v>
      </c>
      <c r="D174" s="69" t="s">
        <v>199</v>
      </c>
      <c r="E174" s="136" t="s">
        <v>236</v>
      </c>
      <c r="F174" s="136" t="s">
        <v>236</v>
      </c>
      <c r="G174" s="69" t="s">
        <v>1469</v>
      </c>
      <c r="H174" s="136" t="s">
        <v>236</v>
      </c>
      <c r="I174" s="137">
        <v>716</v>
      </c>
      <c r="J174" s="132">
        <v>364</v>
      </c>
      <c r="K174" s="146">
        <v>0</v>
      </c>
      <c r="L174" s="48" t="s">
        <v>53</v>
      </c>
      <c r="M174" s="47">
        <f t="shared" si="3"/>
        <v>2024167</v>
      </c>
      <c r="N174" s="47">
        <v>10</v>
      </c>
    </row>
    <row r="175" spans="1:14" x14ac:dyDescent="0.3">
      <c r="A175" s="47">
        <v>2024168</v>
      </c>
      <c r="B175" s="48" t="s">
        <v>1095</v>
      </c>
      <c r="C175" s="138" t="s">
        <v>1896</v>
      </c>
      <c r="D175" s="69" t="s">
        <v>372</v>
      </c>
      <c r="E175" s="69" t="s">
        <v>371</v>
      </c>
      <c r="F175" s="69">
        <v>18859380200</v>
      </c>
      <c r="G175" s="69" t="s">
        <v>1470</v>
      </c>
      <c r="H175" s="69">
        <v>2</v>
      </c>
      <c r="I175" s="137">
        <v>1646</v>
      </c>
      <c r="J175" s="137">
        <v>974</v>
      </c>
      <c r="K175" s="146">
        <v>2620</v>
      </c>
      <c r="L175" s="48" t="s">
        <v>117</v>
      </c>
      <c r="M175" s="47">
        <f t="shared" si="3"/>
        <v>2024168</v>
      </c>
      <c r="N175" s="47">
        <v>10</v>
      </c>
    </row>
    <row r="176" spans="1:14" x14ac:dyDescent="0.3">
      <c r="A176" s="47">
        <v>2024169</v>
      </c>
      <c r="B176" s="48" t="s">
        <v>1044</v>
      </c>
      <c r="C176" s="138" t="s">
        <v>954</v>
      </c>
      <c r="D176" s="69" t="s">
        <v>255</v>
      </c>
      <c r="E176" s="136" t="s">
        <v>244</v>
      </c>
      <c r="F176" s="136"/>
      <c r="G176" s="69" t="s">
        <v>256</v>
      </c>
      <c r="H176" s="69"/>
      <c r="I176" s="137">
        <v>690</v>
      </c>
      <c r="J176" s="132">
        <v>610</v>
      </c>
      <c r="K176" s="146">
        <v>0</v>
      </c>
      <c r="L176" s="48" t="s">
        <v>54</v>
      </c>
      <c r="M176" s="47">
        <f t="shared" si="3"/>
        <v>2024169</v>
      </c>
      <c r="N176" s="47">
        <v>10</v>
      </c>
    </row>
    <row r="177" spans="1:14" x14ac:dyDescent="0.3">
      <c r="A177" s="47">
        <v>2024170</v>
      </c>
      <c r="B177" s="48" t="s">
        <v>1096</v>
      </c>
      <c r="C177" s="138" t="s">
        <v>1600</v>
      </c>
      <c r="D177" s="69" t="s">
        <v>147</v>
      </c>
      <c r="E177" s="69" t="s">
        <v>244</v>
      </c>
      <c r="F177" s="69" t="s">
        <v>1291</v>
      </c>
      <c r="G177" s="69" t="s">
        <v>400</v>
      </c>
      <c r="H177" s="136" t="s">
        <v>236</v>
      </c>
      <c r="I177" s="137">
        <v>1432</v>
      </c>
      <c r="J177" s="132">
        <v>728</v>
      </c>
      <c r="K177" s="146">
        <v>2160</v>
      </c>
      <c r="L177" s="48" t="s">
        <v>205</v>
      </c>
      <c r="M177" s="47">
        <f t="shared" si="3"/>
        <v>2024170</v>
      </c>
      <c r="N177" s="47">
        <v>10</v>
      </c>
    </row>
    <row r="178" spans="1:14" x14ac:dyDescent="0.3">
      <c r="A178" s="47">
        <v>2024171</v>
      </c>
      <c r="B178" s="48" t="s">
        <v>1615</v>
      </c>
      <c r="C178" s="138" t="s">
        <v>1616</v>
      </c>
      <c r="D178" s="69" t="s">
        <v>138</v>
      </c>
      <c r="E178" s="136" t="s">
        <v>244</v>
      </c>
      <c r="F178" s="136" t="s">
        <v>1291</v>
      </c>
      <c r="G178" s="69" t="s">
        <v>139</v>
      </c>
      <c r="H178" s="136" t="s">
        <v>236</v>
      </c>
      <c r="I178" s="137">
        <v>872</v>
      </c>
      <c r="J178" s="132">
        <v>728</v>
      </c>
      <c r="K178" s="146">
        <v>0</v>
      </c>
      <c r="L178" s="48" t="s">
        <v>53</v>
      </c>
      <c r="M178" s="125">
        <f t="shared" si="3"/>
        <v>2024171</v>
      </c>
      <c r="N178" s="47">
        <v>10</v>
      </c>
    </row>
    <row r="179" spans="1:14" x14ac:dyDescent="0.3">
      <c r="A179" s="47">
        <v>2024172</v>
      </c>
      <c r="B179" s="48" t="s">
        <v>142</v>
      </c>
      <c r="C179" s="135" t="s">
        <v>1602</v>
      </c>
      <c r="D179" s="69" t="s">
        <v>1218</v>
      </c>
      <c r="E179" s="136" t="s">
        <v>236</v>
      </c>
      <c r="F179" s="136" t="s">
        <v>236</v>
      </c>
      <c r="G179" s="69" t="s">
        <v>1471</v>
      </c>
      <c r="H179" s="136" t="s">
        <v>236</v>
      </c>
      <c r="I179" s="137">
        <v>0</v>
      </c>
      <c r="J179" s="137">
        <v>0</v>
      </c>
      <c r="K179" s="146">
        <v>0</v>
      </c>
      <c r="L179" s="48" t="s">
        <v>142</v>
      </c>
      <c r="M179" s="47">
        <f t="shared" si="3"/>
        <v>2024172</v>
      </c>
      <c r="N179" s="47">
        <v>10</v>
      </c>
    </row>
    <row r="180" spans="1:14" x14ac:dyDescent="0.3">
      <c r="A180" s="47">
        <v>2024173</v>
      </c>
      <c r="B180" s="48" t="s">
        <v>1065</v>
      </c>
      <c r="C180" s="135" t="s">
        <v>955</v>
      </c>
      <c r="D180" s="69" t="s">
        <v>1219</v>
      </c>
      <c r="E180" s="69" t="s">
        <v>244</v>
      </c>
      <c r="F180" s="69" t="s">
        <v>1291</v>
      </c>
      <c r="G180" s="69" t="s">
        <v>1472</v>
      </c>
      <c r="H180" s="136" t="s">
        <v>236</v>
      </c>
      <c r="I180" s="137">
        <v>740</v>
      </c>
      <c r="J180" s="132">
        <v>610</v>
      </c>
      <c r="K180" s="146">
        <v>1350</v>
      </c>
      <c r="L180" s="48" t="s">
        <v>54</v>
      </c>
      <c r="M180" s="47">
        <f t="shared" si="3"/>
        <v>2024173</v>
      </c>
      <c r="N180" s="47">
        <v>10</v>
      </c>
    </row>
    <row r="181" spans="1:14" x14ac:dyDescent="0.3">
      <c r="A181" s="47">
        <v>2024174</v>
      </c>
      <c r="B181" s="48" t="s">
        <v>1060</v>
      </c>
      <c r="C181" s="138" t="s">
        <v>18</v>
      </c>
      <c r="D181" s="69" t="s">
        <v>248</v>
      </c>
      <c r="E181" s="136" t="s">
        <v>1335</v>
      </c>
      <c r="F181" s="69">
        <v>5230417011</v>
      </c>
      <c r="G181" s="69" t="s">
        <v>249</v>
      </c>
      <c r="H181" s="136" t="s">
        <v>236</v>
      </c>
      <c r="I181" s="137">
        <v>823</v>
      </c>
      <c r="J181" s="137">
        <v>610</v>
      </c>
      <c r="K181" s="146">
        <v>0</v>
      </c>
      <c r="L181" s="48" t="s">
        <v>54</v>
      </c>
      <c r="M181" s="47">
        <f t="shared" si="3"/>
        <v>2024174</v>
      </c>
      <c r="N181" s="47">
        <v>10</v>
      </c>
    </row>
    <row r="182" spans="1:14" x14ac:dyDescent="0.3">
      <c r="A182" s="47">
        <v>2024175</v>
      </c>
      <c r="B182" s="48" t="s">
        <v>1097</v>
      </c>
      <c r="C182" s="138" t="s">
        <v>179</v>
      </c>
      <c r="D182" s="69" t="s">
        <v>180</v>
      </c>
      <c r="E182" s="136" t="s">
        <v>244</v>
      </c>
      <c r="F182" s="136" t="s">
        <v>1291</v>
      </c>
      <c r="G182" s="69" t="s">
        <v>181</v>
      </c>
      <c r="H182" s="69">
        <v>2</v>
      </c>
      <c r="I182" s="137">
        <v>1476</v>
      </c>
      <c r="J182" s="132">
        <v>974</v>
      </c>
      <c r="K182" s="146">
        <v>2450</v>
      </c>
      <c r="L182" s="48" t="s">
        <v>117</v>
      </c>
      <c r="M182" s="47">
        <f t="shared" si="3"/>
        <v>2024175</v>
      </c>
      <c r="N182" s="47">
        <v>10</v>
      </c>
    </row>
    <row r="183" spans="1:14" x14ac:dyDescent="0.3">
      <c r="A183" s="47">
        <v>2024176</v>
      </c>
      <c r="B183" s="48" t="s">
        <v>1098</v>
      </c>
      <c r="C183" s="138" t="s">
        <v>360</v>
      </c>
      <c r="D183" s="69" t="s">
        <v>91</v>
      </c>
      <c r="E183" s="69" t="s">
        <v>92</v>
      </c>
      <c r="F183" s="69">
        <v>3549730014</v>
      </c>
      <c r="G183" s="69" t="s">
        <v>1473</v>
      </c>
      <c r="H183" s="69">
        <v>3</v>
      </c>
      <c r="I183" s="137">
        <v>1875.5</v>
      </c>
      <c r="J183" s="132">
        <v>1338</v>
      </c>
      <c r="K183" s="146">
        <v>3213.5</v>
      </c>
      <c r="L183" s="48" t="s">
        <v>117</v>
      </c>
      <c r="M183" s="47">
        <f t="shared" si="3"/>
        <v>2024176</v>
      </c>
      <c r="N183" s="47">
        <v>10</v>
      </c>
    </row>
    <row r="184" spans="1:14" x14ac:dyDescent="0.3">
      <c r="A184" s="47">
        <v>2024177</v>
      </c>
      <c r="B184" s="48" t="s">
        <v>1628</v>
      </c>
      <c r="C184" s="138" t="s">
        <v>1603</v>
      </c>
      <c r="D184" s="69" t="s">
        <v>1604</v>
      </c>
      <c r="E184" s="69" t="s">
        <v>411</v>
      </c>
      <c r="F184" s="69">
        <v>4068329017</v>
      </c>
      <c r="G184" s="69" t="s">
        <v>412</v>
      </c>
      <c r="H184" s="69">
        <v>2</v>
      </c>
      <c r="I184" s="137">
        <v>350</v>
      </c>
      <c r="J184" s="132">
        <v>0</v>
      </c>
      <c r="K184" s="146">
        <v>0</v>
      </c>
      <c r="L184" s="48" t="s">
        <v>270</v>
      </c>
      <c r="M184" s="47">
        <f t="shared" si="3"/>
        <v>2024177</v>
      </c>
      <c r="N184" s="47">
        <v>10</v>
      </c>
    </row>
    <row r="185" spans="1:14" x14ac:dyDescent="0.3">
      <c r="A185" s="47">
        <v>2024178</v>
      </c>
      <c r="B185" s="48" t="s">
        <v>1043</v>
      </c>
      <c r="C185" s="135" t="s">
        <v>956</v>
      </c>
      <c r="D185" s="69" t="s">
        <v>1614</v>
      </c>
      <c r="E185" s="69" t="s">
        <v>244</v>
      </c>
      <c r="F185" s="69" t="s">
        <v>244</v>
      </c>
      <c r="G185" s="69" t="s">
        <v>1474</v>
      </c>
      <c r="H185" s="136" t="s">
        <v>236</v>
      </c>
      <c r="I185" s="137">
        <v>500</v>
      </c>
      <c r="J185" s="132">
        <v>0</v>
      </c>
      <c r="K185" s="146">
        <v>0</v>
      </c>
      <c r="L185" s="48" t="s">
        <v>96</v>
      </c>
      <c r="M185" s="47">
        <f t="shared" si="3"/>
        <v>2024178</v>
      </c>
      <c r="N185" s="47">
        <v>10</v>
      </c>
    </row>
    <row r="186" spans="1:14" x14ac:dyDescent="0.3">
      <c r="A186" s="47">
        <v>2024179</v>
      </c>
      <c r="B186" s="48" t="s">
        <v>1099</v>
      </c>
      <c r="C186" s="138" t="s">
        <v>957</v>
      </c>
      <c r="D186" s="69" t="s">
        <v>178</v>
      </c>
      <c r="E186" s="69" t="s">
        <v>321</v>
      </c>
      <c r="F186" s="69">
        <v>5915152</v>
      </c>
      <c r="G186" s="69" t="s">
        <v>322</v>
      </c>
      <c r="H186" s="136">
        <v>2</v>
      </c>
      <c r="I186" s="137">
        <v>1646</v>
      </c>
      <c r="J186" s="132">
        <v>728</v>
      </c>
      <c r="K186" s="146">
        <v>2374</v>
      </c>
      <c r="L186" s="48" t="s">
        <v>53</v>
      </c>
      <c r="M186" s="47">
        <f t="shared" si="3"/>
        <v>2024179</v>
      </c>
      <c r="N186" s="47">
        <v>10</v>
      </c>
    </row>
    <row r="187" spans="1:14" x14ac:dyDescent="0.3">
      <c r="A187" s="47">
        <v>2024180</v>
      </c>
      <c r="B187" s="48" t="s">
        <v>1039</v>
      </c>
      <c r="C187" s="135" t="s">
        <v>958</v>
      </c>
      <c r="D187" s="69" t="s">
        <v>1220</v>
      </c>
      <c r="E187" s="69" t="s">
        <v>244</v>
      </c>
      <c r="F187" s="69" t="s">
        <v>1291</v>
      </c>
      <c r="G187" s="69" t="s">
        <v>1475</v>
      </c>
      <c r="H187" s="136" t="s">
        <v>236</v>
      </c>
      <c r="I187" s="137">
        <v>716</v>
      </c>
      <c r="J187" s="132">
        <v>364</v>
      </c>
      <c r="K187" s="146">
        <v>1080</v>
      </c>
      <c r="L187" s="48" t="s">
        <v>53</v>
      </c>
      <c r="M187" s="47">
        <f t="shared" si="3"/>
        <v>2024180</v>
      </c>
      <c r="N187" s="47">
        <v>10</v>
      </c>
    </row>
    <row r="188" spans="1:14" x14ac:dyDescent="0.3">
      <c r="A188" s="47">
        <v>2024181</v>
      </c>
      <c r="B188" s="48" t="s">
        <v>1100</v>
      </c>
      <c r="C188" s="138" t="s">
        <v>345</v>
      </c>
      <c r="D188" s="69" t="s">
        <v>346</v>
      </c>
      <c r="E188" s="136" t="s">
        <v>1336</v>
      </c>
      <c r="F188" s="136">
        <v>3566934018</v>
      </c>
      <c r="G188" s="136" t="s">
        <v>1476</v>
      </c>
      <c r="H188" s="136">
        <v>2</v>
      </c>
      <c r="I188" s="137">
        <v>1646</v>
      </c>
      <c r="J188" s="137">
        <v>974</v>
      </c>
      <c r="K188" s="146">
        <v>2620</v>
      </c>
      <c r="L188" s="48" t="s">
        <v>117</v>
      </c>
      <c r="M188" s="47">
        <f t="shared" si="3"/>
        <v>2024181</v>
      </c>
      <c r="N188" s="47">
        <v>10</v>
      </c>
    </row>
    <row r="189" spans="1:14" x14ac:dyDescent="0.3">
      <c r="A189" s="47">
        <v>2024182</v>
      </c>
      <c r="B189" s="48" t="s">
        <v>1101</v>
      </c>
      <c r="C189" s="138" t="s">
        <v>959</v>
      </c>
      <c r="D189" s="69" t="s">
        <v>1221</v>
      </c>
      <c r="E189" s="69" t="s">
        <v>415</v>
      </c>
      <c r="F189" s="69">
        <v>3022959015</v>
      </c>
      <c r="G189" s="69" t="s">
        <v>1477</v>
      </c>
      <c r="H189" s="69">
        <v>3</v>
      </c>
      <c r="I189" s="137">
        <v>1462</v>
      </c>
      <c r="J189" s="132">
        <v>1338</v>
      </c>
      <c r="K189" s="146">
        <v>0</v>
      </c>
      <c r="L189" s="48" t="s">
        <v>270</v>
      </c>
      <c r="M189" s="47">
        <f t="shared" si="3"/>
        <v>2024182</v>
      </c>
      <c r="N189" s="47">
        <v>10</v>
      </c>
    </row>
    <row r="190" spans="1:14" x14ac:dyDescent="0.3">
      <c r="A190" s="47">
        <v>2024183</v>
      </c>
      <c r="B190" s="48" t="s">
        <v>425</v>
      </c>
      <c r="C190" s="135" t="s">
        <v>960</v>
      </c>
      <c r="D190" s="69" t="s">
        <v>1222</v>
      </c>
      <c r="E190" s="69" t="s">
        <v>244</v>
      </c>
      <c r="F190" s="69" t="s">
        <v>1291</v>
      </c>
      <c r="G190" s="69" t="s">
        <v>1478</v>
      </c>
      <c r="H190" s="136" t="s">
        <v>236</v>
      </c>
      <c r="I190" s="137">
        <v>736</v>
      </c>
      <c r="J190" s="132">
        <v>364</v>
      </c>
      <c r="K190" s="146">
        <v>1187</v>
      </c>
      <c r="L190" s="48" t="s">
        <v>96</v>
      </c>
      <c r="M190" s="47">
        <f t="shared" si="3"/>
        <v>2024183</v>
      </c>
      <c r="N190" s="47">
        <v>10</v>
      </c>
    </row>
    <row r="191" spans="1:14" x14ac:dyDescent="0.3">
      <c r="A191" s="47">
        <v>2024314</v>
      </c>
      <c r="B191" s="48" t="s">
        <v>425</v>
      </c>
      <c r="C191" s="135" t="s">
        <v>1681</v>
      </c>
      <c r="D191" s="69" t="s">
        <v>1682</v>
      </c>
      <c r="E191" s="69" t="s">
        <v>1683</v>
      </c>
      <c r="F191" s="69">
        <v>5233168</v>
      </c>
      <c r="G191" s="69" t="s">
        <v>1684</v>
      </c>
      <c r="H191" s="136" t="s">
        <v>236</v>
      </c>
      <c r="I191" s="132">
        <v>823</v>
      </c>
      <c r="J191" s="132">
        <v>377</v>
      </c>
      <c r="K191" s="146">
        <v>1200</v>
      </c>
      <c r="L191" s="48" t="s">
        <v>96</v>
      </c>
      <c r="M191" s="47">
        <f t="shared" si="3"/>
        <v>2024314</v>
      </c>
      <c r="N191" s="47">
        <v>9</v>
      </c>
    </row>
    <row r="192" spans="1:14" x14ac:dyDescent="0.3">
      <c r="A192" s="47">
        <v>2024184</v>
      </c>
      <c r="B192" s="48" t="s">
        <v>1066</v>
      </c>
      <c r="C192" s="135" t="s">
        <v>940</v>
      </c>
      <c r="D192" s="69" t="s">
        <v>1206</v>
      </c>
      <c r="E192" s="69" t="s">
        <v>244</v>
      </c>
      <c r="F192" s="69" t="s">
        <v>1291</v>
      </c>
      <c r="G192" s="69" t="s">
        <v>1456</v>
      </c>
      <c r="H192" s="136" t="s">
        <v>236</v>
      </c>
      <c r="I192" s="137">
        <v>690</v>
      </c>
      <c r="J192" s="137">
        <v>610</v>
      </c>
      <c r="K192" s="146">
        <v>1433</v>
      </c>
      <c r="L192" s="48" t="s">
        <v>54</v>
      </c>
      <c r="M192" s="47">
        <f t="shared" si="3"/>
        <v>2024184</v>
      </c>
      <c r="N192" s="47">
        <v>10</v>
      </c>
    </row>
    <row r="193" spans="1:14" x14ac:dyDescent="0.3">
      <c r="A193" s="47">
        <v>2024185</v>
      </c>
      <c r="B193" s="48" t="s">
        <v>1082</v>
      </c>
      <c r="C193" s="135" t="s">
        <v>961</v>
      </c>
      <c r="D193" s="69" t="s">
        <v>1223</v>
      </c>
      <c r="E193" s="69" t="s">
        <v>244</v>
      </c>
      <c r="F193" s="69" t="s">
        <v>1291</v>
      </c>
      <c r="G193" s="69" t="s">
        <v>1479</v>
      </c>
      <c r="H193" s="69"/>
      <c r="I193" s="137">
        <v>100</v>
      </c>
      <c r="J193" s="132">
        <v>0</v>
      </c>
      <c r="K193" s="146">
        <v>0</v>
      </c>
      <c r="L193" s="48" t="s">
        <v>54</v>
      </c>
      <c r="M193" s="47">
        <f t="shared" si="3"/>
        <v>2024185</v>
      </c>
      <c r="N193" s="47">
        <v>10</v>
      </c>
    </row>
    <row r="194" spans="1:14" x14ac:dyDescent="0.3">
      <c r="A194" s="47">
        <v>2024186</v>
      </c>
      <c r="B194" s="48" t="s">
        <v>1075</v>
      </c>
      <c r="C194" s="138" t="s">
        <v>962</v>
      </c>
      <c r="D194" s="69" t="s">
        <v>1224</v>
      </c>
      <c r="E194" s="69" t="s">
        <v>1337</v>
      </c>
      <c r="F194" s="69">
        <v>5236781</v>
      </c>
      <c r="G194" s="69" t="s">
        <v>1480</v>
      </c>
      <c r="H194" s="136">
        <v>2</v>
      </c>
      <c r="I194" s="137">
        <v>1646</v>
      </c>
      <c r="J194" s="132">
        <v>728</v>
      </c>
      <c r="K194" s="146">
        <v>2374</v>
      </c>
      <c r="L194" s="48" t="s">
        <v>53</v>
      </c>
      <c r="M194" s="47">
        <f t="shared" si="3"/>
        <v>2024186</v>
      </c>
      <c r="N194" s="47">
        <v>10</v>
      </c>
    </row>
    <row r="195" spans="1:14" x14ac:dyDescent="0.3">
      <c r="A195" s="47">
        <v>2024187</v>
      </c>
      <c r="B195" s="48" t="s">
        <v>1044</v>
      </c>
      <c r="C195" s="135" t="s">
        <v>963</v>
      </c>
      <c r="D195" s="69" t="s">
        <v>348</v>
      </c>
      <c r="E195" s="136" t="s">
        <v>236</v>
      </c>
      <c r="F195" s="136" t="s">
        <v>236</v>
      </c>
      <c r="G195" s="69" t="s">
        <v>1481</v>
      </c>
      <c r="H195" s="136" t="s">
        <v>236</v>
      </c>
      <c r="I195" s="137">
        <v>823</v>
      </c>
      <c r="J195" s="132">
        <v>610</v>
      </c>
      <c r="K195" s="146">
        <v>1433</v>
      </c>
      <c r="L195" s="48" t="s">
        <v>54</v>
      </c>
      <c r="M195" s="47">
        <f t="shared" ref="M195:M258" si="4">A195</f>
        <v>2024187</v>
      </c>
      <c r="N195" s="47">
        <v>10</v>
      </c>
    </row>
    <row r="196" spans="1:14" x14ac:dyDescent="0.3">
      <c r="A196" s="47">
        <v>2024188</v>
      </c>
      <c r="B196" s="48" t="s">
        <v>1082</v>
      </c>
      <c r="C196" s="138" t="s">
        <v>24</v>
      </c>
      <c r="D196" s="69" t="s">
        <v>1225</v>
      </c>
      <c r="E196" s="136" t="s">
        <v>244</v>
      </c>
      <c r="F196" s="136" t="s">
        <v>1291</v>
      </c>
      <c r="G196" s="69" t="s">
        <v>1482</v>
      </c>
      <c r="H196" s="136" t="s">
        <v>236</v>
      </c>
      <c r="I196" s="137">
        <v>690</v>
      </c>
      <c r="J196" s="132">
        <v>610</v>
      </c>
      <c r="K196" s="146">
        <v>1433</v>
      </c>
      <c r="L196" s="48" t="s">
        <v>54</v>
      </c>
      <c r="M196" s="47">
        <f t="shared" si="4"/>
        <v>2024188</v>
      </c>
      <c r="N196" s="47">
        <v>10</v>
      </c>
    </row>
    <row r="197" spans="1:14" x14ac:dyDescent="0.3">
      <c r="A197" s="47">
        <v>2024189</v>
      </c>
      <c r="B197" s="48" t="s">
        <v>1062</v>
      </c>
      <c r="C197" s="138" t="s">
        <v>964</v>
      </c>
      <c r="D197" s="69" t="s">
        <v>1226</v>
      </c>
      <c r="E197" s="136" t="s">
        <v>236</v>
      </c>
      <c r="F197" s="136" t="s">
        <v>236</v>
      </c>
      <c r="G197" s="69" t="s">
        <v>1483</v>
      </c>
      <c r="H197" s="136" t="s">
        <v>236</v>
      </c>
      <c r="I197" s="137">
        <v>823</v>
      </c>
      <c r="J197" s="132">
        <v>377</v>
      </c>
      <c r="K197" s="146">
        <v>1187</v>
      </c>
      <c r="L197" s="48" t="s">
        <v>53</v>
      </c>
      <c r="M197" s="47">
        <f t="shared" si="4"/>
        <v>2024189</v>
      </c>
      <c r="N197" s="47">
        <v>10</v>
      </c>
    </row>
    <row r="198" spans="1:14" x14ac:dyDescent="0.3">
      <c r="A198" s="47">
        <v>2024190</v>
      </c>
      <c r="B198" s="48" t="s">
        <v>1066</v>
      </c>
      <c r="C198" s="138" t="s">
        <v>7</v>
      </c>
      <c r="D198" s="69" t="s">
        <v>1227</v>
      </c>
      <c r="E198" s="69" t="s">
        <v>200</v>
      </c>
      <c r="F198" s="69">
        <v>3813458</v>
      </c>
      <c r="G198" s="69" t="s">
        <v>1484</v>
      </c>
      <c r="H198" s="136" t="s">
        <v>236</v>
      </c>
      <c r="I198" s="137">
        <v>823</v>
      </c>
      <c r="J198" s="137">
        <v>610</v>
      </c>
      <c r="K198" s="146">
        <v>1433</v>
      </c>
      <c r="L198" s="48" t="s">
        <v>54</v>
      </c>
      <c r="M198" s="47">
        <f t="shared" si="4"/>
        <v>2024190</v>
      </c>
      <c r="N198" s="47">
        <v>10</v>
      </c>
    </row>
    <row r="199" spans="1:14" x14ac:dyDescent="0.3">
      <c r="A199" s="47">
        <v>2024191</v>
      </c>
      <c r="B199" s="48" t="s">
        <v>1050</v>
      </c>
      <c r="C199" s="138" t="s">
        <v>145</v>
      </c>
      <c r="D199" s="69" t="s">
        <v>143</v>
      </c>
      <c r="E199" s="136" t="s">
        <v>1843</v>
      </c>
      <c r="F199" s="136">
        <v>3589173011</v>
      </c>
      <c r="G199" s="69" t="s">
        <v>144</v>
      </c>
      <c r="H199" s="136">
        <v>2</v>
      </c>
      <c r="I199" s="137">
        <v>1646</v>
      </c>
      <c r="J199" s="137">
        <v>974</v>
      </c>
      <c r="K199" s="146">
        <v>0</v>
      </c>
      <c r="L199" s="48" t="s">
        <v>117</v>
      </c>
      <c r="M199" s="47">
        <f t="shared" si="4"/>
        <v>2024191</v>
      </c>
      <c r="N199" s="47">
        <v>10</v>
      </c>
    </row>
    <row r="200" spans="1:14" x14ac:dyDescent="0.3">
      <c r="A200" s="47">
        <v>2024192</v>
      </c>
      <c r="B200" s="48" t="s">
        <v>1060</v>
      </c>
      <c r="C200" s="138" t="s">
        <v>965</v>
      </c>
      <c r="D200" s="69" t="s">
        <v>225</v>
      </c>
      <c r="E200" s="69" t="s">
        <v>1291</v>
      </c>
      <c r="F200" s="69" t="s">
        <v>244</v>
      </c>
      <c r="G200" s="69" t="s">
        <v>226</v>
      </c>
      <c r="H200" s="69">
        <v>2</v>
      </c>
      <c r="I200" s="137">
        <v>1280</v>
      </c>
      <c r="J200" s="132">
        <v>1220</v>
      </c>
      <c r="K200" s="146">
        <v>2000</v>
      </c>
      <c r="L200" s="48" t="s">
        <v>54</v>
      </c>
      <c r="M200" s="47">
        <f t="shared" si="4"/>
        <v>2024192</v>
      </c>
      <c r="N200" s="47">
        <v>10</v>
      </c>
    </row>
    <row r="201" spans="1:14" x14ac:dyDescent="0.3">
      <c r="A201" s="47">
        <v>2024193</v>
      </c>
      <c r="B201" s="48" t="s">
        <v>1066</v>
      </c>
      <c r="C201" s="138" t="s">
        <v>11</v>
      </c>
      <c r="D201" s="69" t="s">
        <v>1228</v>
      </c>
      <c r="E201" s="69" t="s">
        <v>1338</v>
      </c>
      <c r="F201" s="69">
        <v>5992181</v>
      </c>
      <c r="G201" s="69" t="s">
        <v>134</v>
      </c>
      <c r="H201" s="136" t="s">
        <v>236</v>
      </c>
      <c r="I201" s="137">
        <v>823</v>
      </c>
      <c r="J201" s="132">
        <v>610</v>
      </c>
      <c r="K201" s="146">
        <v>1433</v>
      </c>
      <c r="L201" s="48" t="s">
        <v>54</v>
      </c>
      <c r="M201" s="47">
        <f t="shared" si="4"/>
        <v>2024193</v>
      </c>
      <c r="N201" s="47">
        <v>10</v>
      </c>
    </row>
    <row r="202" spans="1:14" x14ac:dyDescent="0.3">
      <c r="A202" s="47">
        <v>2024194</v>
      </c>
      <c r="B202" s="48" t="s">
        <v>1102</v>
      </c>
      <c r="C202" s="138" t="s">
        <v>966</v>
      </c>
      <c r="D202" s="69" t="s">
        <v>1229</v>
      </c>
      <c r="E202" s="69" t="s">
        <v>347</v>
      </c>
      <c r="F202" s="69">
        <v>6439717012</v>
      </c>
      <c r="G202" s="69" t="s">
        <v>1485</v>
      </c>
      <c r="H202" s="136">
        <v>2</v>
      </c>
      <c r="I202" s="137">
        <v>1646</v>
      </c>
      <c r="J202" s="132">
        <v>728</v>
      </c>
      <c r="K202" s="146">
        <v>2374</v>
      </c>
      <c r="L202" s="48" t="s">
        <v>205</v>
      </c>
      <c r="M202" s="47">
        <f t="shared" si="4"/>
        <v>2024194</v>
      </c>
      <c r="N202" s="47">
        <v>10</v>
      </c>
    </row>
    <row r="203" spans="1:14" x14ac:dyDescent="0.3">
      <c r="A203" s="47">
        <v>2024195</v>
      </c>
      <c r="B203" s="48" t="s">
        <v>1103</v>
      </c>
      <c r="C203" s="138" t="s">
        <v>266</v>
      </c>
      <c r="D203" s="69" t="s">
        <v>267</v>
      </c>
      <c r="E203" s="69" t="s">
        <v>268</v>
      </c>
      <c r="F203" s="69">
        <v>790718017</v>
      </c>
      <c r="G203" s="69" t="s">
        <v>269</v>
      </c>
      <c r="H203" s="69">
        <v>2</v>
      </c>
      <c r="I203" s="137">
        <v>1180</v>
      </c>
      <c r="J203" s="132">
        <v>1220</v>
      </c>
      <c r="K203" s="146">
        <v>2000</v>
      </c>
      <c r="L203" s="48" t="s">
        <v>54</v>
      </c>
      <c r="M203" s="47">
        <f t="shared" si="4"/>
        <v>2024195</v>
      </c>
      <c r="N203" s="47">
        <v>10</v>
      </c>
    </row>
    <row r="204" spans="1:14" x14ac:dyDescent="0.3">
      <c r="A204" s="47">
        <v>2024196</v>
      </c>
      <c r="B204" s="48" t="s">
        <v>1104</v>
      </c>
      <c r="C204" s="138" t="s">
        <v>237</v>
      </c>
      <c r="D204" s="69" t="s">
        <v>238</v>
      </c>
      <c r="E204" s="136" t="s">
        <v>393</v>
      </c>
      <c r="F204" s="69">
        <v>3055749019</v>
      </c>
      <c r="G204" s="69" t="s">
        <v>239</v>
      </c>
      <c r="H204" s="69">
        <v>2</v>
      </c>
      <c r="I204" s="137">
        <v>1646</v>
      </c>
      <c r="J204" s="137">
        <v>1220</v>
      </c>
      <c r="K204" s="146">
        <v>0</v>
      </c>
      <c r="L204" s="48" t="s">
        <v>54</v>
      </c>
      <c r="M204" s="47">
        <f t="shared" si="4"/>
        <v>2024196</v>
      </c>
      <c r="N204" s="47">
        <v>10</v>
      </c>
    </row>
    <row r="205" spans="1:14" x14ac:dyDescent="0.3">
      <c r="A205" s="47">
        <v>2024197</v>
      </c>
      <c r="B205" s="48" t="s">
        <v>1105</v>
      </c>
      <c r="C205" s="138" t="s">
        <v>355</v>
      </c>
      <c r="D205" s="69" t="s">
        <v>115</v>
      </c>
      <c r="E205" s="69" t="s">
        <v>356</v>
      </c>
      <c r="F205" s="69">
        <v>3127840</v>
      </c>
      <c r="G205" s="69" t="s">
        <v>116</v>
      </c>
      <c r="H205" s="69">
        <v>2</v>
      </c>
      <c r="I205" s="137">
        <v>1646</v>
      </c>
      <c r="J205" s="132">
        <v>1220</v>
      </c>
      <c r="K205" s="146">
        <v>2866</v>
      </c>
      <c r="L205" s="48" t="s">
        <v>54</v>
      </c>
      <c r="M205" s="47">
        <f t="shared" si="4"/>
        <v>2024197</v>
      </c>
      <c r="N205" s="47">
        <v>10</v>
      </c>
    </row>
    <row r="206" spans="1:14" x14ac:dyDescent="0.3">
      <c r="A206" s="47">
        <v>2024198</v>
      </c>
      <c r="B206" s="48" t="s">
        <v>1106</v>
      </c>
      <c r="C206" s="138" t="s">
        <v>100</v>
      </c>
      <c r="D206" s="69" t="s">
        <v>101</v>
      </c>
      <c r="E206" s="69"/>
      <c r="F206" s="69"/>
      <c r="G206" s="69" t="s">
        <v>102</v>
      </c>
      <c r="H206" s="69">
        <v>3</v>
      </c>
      <c r="I206" s="137">
        <v>1016</v>
      </c>
      <c r="J206" s="132">
        <v>1584</v>
      </c>
      <c r="K206" s="146">
        <v>2600</v>
      </c>
      <c r="L206" s="48" t="s">
        <v>117</v>
      </c>
      <c r="M206" s="47">
        <f t="shared" si="4"/>
        <v>2024198</v>
      </c>
      <c r="N206" s="47">
        <v>10</v>
      </c>
    </row>
    <row r="207" spans="1:14" x14ac:dyDescent="0.3">
      <c r="A207" s="47">
        <v>2024199</v>
      </c>
      <c r="B207" s="48" t="s">
        <v>1082</v>
      </c>
      <c r="C207" s="138" t="s">
        <v>967</v>
      </c>
      <c r="D207" s="69" t="s">
        <v>1231</v>
      </c>
      <c r="E207" s="136" t="s">
        <v>320</v>
      </c>
      <c r="F207" s="136">
        <v>4467420</v>
      </c>
      <c r="G207" s="69" t="s">
        <v>1487</v>
      </c>
      <c r="H207" s="136" t="s">
        <v>236</v>
      </c>
      <c r="I207" s="137">
        <v>823</v>
      </c>
      <c r="J207" s="137">
        <v>610</v>
      </c>
      <c r="K207" s="146">
        <v>1433</v>
      </c>
      <c r="L207" s="48" t="s">
        <v>54</v>
      </c>
      <c r="M207" s="47">
        <f t="shared" si="4"/>
        <v>2024199</v>
      </c>
      <c r="N207" s="47">
        <v>10</v>
      </c>
    </row>
    <row r="208" spans="1:14" x14ac:dyDescent="0.3">
      <c r="A208" s="47">
        <v>2024200</v>
      </c>
      <c r="B208" s="48" t="s">
        <v>1624</v>
      </c>
      <c r="C208" s="135" t="s">
        <v>1562</v>
      </c>
      <c r="D208" s="69" t="s">
        <v>1662</v>
      </c>
      <c r="E208" s="145" t="s">
        <v>244</v>
      </c>
      <c r="F208" s="69"/>
      <c r="G208" s="69">
        <v>71723013</v>
      </c>
      <c r="H208" s="69">
        <v>2</v>
      </c>
      <c r="I208" s="137">
        <v>300</v>
      </c>
      <c r="J208" s="132">
        <v>0</v>
      </c>
      <c r="K208" s="146">
        <v>0</v>
      </c>
      <c r="L208" s="48" t="s">
        <v>53</v>
      </c>
      <c r="M208" s="47">
        <f t="shared" si="4"/>
        <v>2024200</v>
      </c>
      <c r="N208" s="47">
        <v>10</v>
      </c>
    </row>
    <row r="209" spans="1:14" x14ac:dyDescent="0.3">
      <c r="A209" s="47">
        <v>2024201</v>
      </c>
      <c r="B209" s="48" t="s">
        <v>1045</v>
      </c>
      <c r="C209" s="135" t="s">
        <v>968</v>
      </c>
      <c r="D209" s="145" t="s">
        <v>1232</v>
      </c>
      <c r="E209" s="69" t="s">
        <v>1339</v>
      </c>
      <c r="F209" s="69">
        <v>1310694</v>
      </c>
      <c r="G209" s="69" t="s">
        <v>1488</v>
      </c>
      <c r="H209" s="69"/>
      <c r="I209" s="137">
        <v>823</v>
      </c>
      <c r="J209" s="132">
        <v>627</v>
      </c>
      <c r="K209" s="146">
        <v>1450</v>
      </c>
      <c r="L209" s="48" t="s">
        <v>54</v>
      </c>
      <c r="M209" s="47">
        <f t="shared" si="4"/>
        <v>2024201</v>
      </c>
      <c r="N209" s="47">
        <v>10</v>
      </c>
    </row>
    <row r="210" spans="1:14" x14ac:dyDescent="0.3">
      <c r="A210" s="47">
        <v>2024202</v>
      </c>
      <c r="B210" s="48" t="s">
        <v>1042</v>
      </c>
      <c r="C210" s="138" t="s">
        <v>969</v>
      </c>
      <c r="D210" s="69" t="s">
        <v>1233</v>
      </c>
      <c r="E210" s="69" t="s">
        <v>1340</v>
      </c>
      <c r="F210" s="69">
        <v>3741845011</v>
      </c>
      <c r="G210" s="69" t="s">
        <v>1489</v>
      </c>
      <c r="H210" s="136" t="s">
        <v>236</v>
      </c>
      <c r="I210" s="137">
        <v>823</v>
      </c>
      <c r="J210" s="132">
        <v>364</v>
      </c>
      <c r="K210" s="146">
        <v>1187</v>
      </c>
      <c r="L210" s="48" t="s">
        <v>53</v>
      </c>
      <c r="M210" s="47">
        <f t="shared" si="4"/>
        <v>2024202</v>
      </c>
      <c r="N210" s="47">
        <v>10</v>
      </c>
    </row>
    <row r="211" spans="1:14" x14ac:dyDescent="0.3">
      <c r="A211" s="47">
        <v>2024203</v>
      </c>
      <c r="B211" s="48" t="s">
        <v>1107</v>
      </c>
      <c r="C211" s="138" t="s">
        <v>970</v>
      </c>
      <c r="D211" s="69" t="s">
        <v>1234</v>
      </c>
      <c r="E211" s="69" t="s">
        <v>1341</v>
      </c>
      <c r="F211" s="69">
        <v>4536354</v>
      </c>
      <c r="G211" s="69" t="s">
        <v>1490</v>
      </c>
      <c r="H211" s="136">
        <v>2</v>
      </c>
      <c r="I211" s="137">
        <v>1646</v>
      </c>
      <c r="J211" s="137">
        <v>728</v>
      </c>
      <c r="K211" s="146">
        <v>2374</v>
      </c>
      <c r="L211" s="48" t="s">
        <v>53</v>
      </c>
      <c r="M211" s="47">
        <f t="shared" si="4"/>
        <v>2024203</v>
      </c>
      <c r="N211" s="47">
        <v>10</v>
      </c>
    </row>
    <row r="212" spans="1:14" x14ac:dyDescent="0.3">
      <c r="A212" s="47">
        <v>2024204</v>
      </c>
      <c r="B212" s="48" t="s">
        <v>1052</v>
      </c>
      <c r="C212" s="138" t="s">
        <v>378</v>
      </c>
      <c r="D212" s="69" t="s">
        <v>1235</v>
      </c>
      <c r="E212" s="136" t="s">
        <v>244</v>
      </c>
      <c r="F212" s="136" t="s">
        <v>1291</v>
      </c>
      <c r="G212" s="69" t="s">
        <v>1491</v>
      </c>
      <c r="H212" s="136" t="s">
        <v>236</v>
      </c>
      <c r="I212" s="137">
        <v>0</v>
      </c>
      <c r="J212" s="132">
        <v>0</v>
      </c>
      <c r="K212" s="146">
        <v>0</v>
      </c>
      <c r="L212" s="48" t="s">
        <v>53</v>
      </c>
      <c r="M212" s="47">
        <f t="shared" si="4"/>
        <v>2024204</v>
      </c>
      <c r="N212" s="47">
        <v>10</v>
      </c>
    </row>
    <row r="213" spans="1:14" x14ac:dyDescent="0.3">
      <c r="A213" s="47">
        <v>2024205</v>
      </c>
      <c r="B213" s="48" t="s">
        <v>1041</v>
      </c>
      <c r="C213" s="135" t="s">
        <v>1663</v>
      </c>
      <c r="D213" s="69" t="s">
        <v>1664</v>
      </c>
      <c r="E213" s="69" t="s">
        <v>1665</v>
      </c>
      <c r="F213" s="69">
        <v>3138007010</v>
      </c>
      <c r="G213" s="69" t="s">
        <v>1666</v>
      </c>
      <c r="H213" s="136" t="s">
        <v>236</v>
      </c>
      <c r="I213" s="132">
        <v>823</v>
      </c>
      <c r="J213" s="132">
        <v>377</v>
      </c>
      <c r="K213" s="146">
        <v>1200</v>
      </c>
      <c r="L213" s="48" t="s">
        <v>53</v>
      </c>
      <c r="M213" s="47">
        <f t="shared" si="4"/>
        <v>2024205</v>
      </c>
      <c r="N213" s="47">
        <v>10</v>
      </c>
    </row>
    <row r="214" spans="1:14" x14ac:dyDescent="0.3">
      <c r="A214" s="47">
        <v>2024206</v>
      </c>
      <c r="B214" s="48" t="s">
        <v>1108</v>
      </c>
      <c r="C214" s="138" t="s">
        <v>971</v>
      </c>
      <c r="D214" s="69" t="s">
        <v>166</v>
      </c>
      <c r="E214" s="136" t="s">
        <v>244</v>
      </c>
      <c r="F214" s="136" t="s">
        <v>1291</v>
      </c>
      <c r="G214" s="69" t="s">
        <v>167</v>
      </c>
      <c r="H214" s="136">
        <v>3</v>
      </c>
      <c r="I214" s="137">
        <v>1646</v>
      </c>
      <c r="J214" s="132">
        <v>1054</v>
      </c>
      <c r="K214" s="146">
        <v>0</v>
      </c>
      <c r="L214" s="48" t="s">
        <v>117</v>
      </c>
      <c r="M214" s="47">
        <f t="shared" si="4"/>
        <v>2024206</v>
      </c>
      <c r="N214" s="47">
        <v>10</v>
      </c>
    </row>
    <row r="215" spans="1:14" x14ac:dyDescent="0.3">
      <c r="A215" s="47">
        <v>2024207</v>
      </c>
      <c r="B215" s="48" t="s">
        <v>1623</v>
      </c>
      <c r="C215" s="138" t="s">
        <v>972</v>
      </c>
      <c r="D215" s="69" t="s">
        <v>1236</v>
      </c>
      <c r="E215" s="69" t="s">
        <v>244</v>
      </c>
      <c r="F215" s="69" t="s">
        <v>1291</v>
      </c>
      <c r="G215" s="69" t="s">
        <v>1492</v>
      </c>
      <c r="H215" s="136">
        <v>2</v>
      </c>
      <c r="I215" s="137">
        <v>1422</v>
      </c>
      <c r="J215" s="132">
        <v>728</v>
      </c>
      <c r="K215" s="146">
        <v>2374</v>
      </c>
      <c r="L215" s="48" t="s">
        <v>53</v>
      </c>
      <c r="M215" s="47">
        <f t="shared" si="4"/>
        <v>2024207</v>
      </c>
      <c r="N215" s="47">
        <v>10</v>
      </c>
    </row>
    <row r="216" spans="1:14" x14ac:dyDescent="0.3">
      <c r="A216" s="47">
        <v>2024208</v>
      </c>
      <c r="B216" s="48" t="s">
        <v>1045</v>
      </c>
      <c r="C216" s="135" t="s">
        <v>307</v>
      </c>
      <c r="D216" s="69" t="s">
        <v>1237</v>
      </c>
      <c r="E216" s="69"/>
      <c r="F216" s="69"/>
      <c r="G216" s="69" t="s">
        <v>1493</v>
      </c>
      <c r="H216" s="136" t="s">
        <v>236</v>
      </c>
      <c r="I216" s="137">
        <v>823</v>
      </c>
      <c r="J216" s="132">
        <v>627</v>
      </c>
      <c r="K216" s="146">
        <v>1450</v>
      </c>
      <c r="L216" s="48" t="s">
        <v>54</v>
      </c>
      <c r="M216" s="47">
        <f t="shared" si="4"/>
        <v>2024208</v>
      </c>
      <c r="N216" s="47">
        <v>10</v>
      </c>
    </row>
    <row r="217" spans="1:14" x14ac:dyDescent="0.3">
      <c r="A217" s="47">
        <v>2024209</v>
      </c>
      <c r="B217" s="48" t="s">
        <v>1044</v>
      </c>
      <c r="C217" s="138" t="s">
        <v>13</v>
      </c>
      <c r="D217" s="69" t="s">
        <v>298</v>
      </c>
      <c r="E217" s="136" t="s">
        <v>244</v>
      </c>
      <c r="F217" s="136" t="s">
        <v>1291</v>
      </c>
      <c r="G217" s="69" t="s">
        <v>299</v>
      </c>
      <c r="H217" s="136" t="s">
        <v>236</v>
      </c>
      <c r="I217" s="137">
        <v>690</v>
      </c>
      <c r="J217" s="132">
        <v>610</v>
      </c>
      <c r="K217" s="146">
        <v>1100</v>
      </c>
      <c r="L217" s="48" t="s">
        <v>54</v>
      </c>
      <c r="M217" s="47">
        <f t="shared" si="4"/>
        <v>2024209</v>
      </c>
      <c r="N217" s="47">
        <v>10</v>
      </c>
    </row>
    <row r="218" spans="1:14" x14ac:dyDescent="0.3">
      <c r="A218" s="47">
        <v>2024210</v>
      </c>
      <c r="B218" s="48" t="s">
        <v>1040</v>
      </c>
      <c r="C218" s="135" t="s">
        <v>973</v>
      </c>
      <c r="D218" s="69" t="s">
        <v>176</v>
      </c>
      <c r="E218" s="136" t="s">
        <v>244</v>
      </c>
      <c r="F218" s="136" t="s">
        <v>1291</v>
      </c>
      <c r="G218" s="69" t="s">
        <v>177</v>
      </c>
      <c r="H218" s="136" t="s">
        <v>236</v>
      </c>
      <c r="I218" s="137">
        <v>736</v>
      </c>
      <c r="J218" s="132">
        <v>364</v>
      </c>
      <c r="K218" s="146">
        <v>1080</v>
      </c>
      <c r="L218" s="48" t="s">
        <v>53</v>
      </c>
      <c r="M218" s="47">
        <f t="shared" si="4"/>
        <v>2024210</v>
      </c>
      <c r="N218" s="47">
        <v>10</v>
      </c>
    </row>
    <row r="219" spans="1:14" x14ac:dyDescent="0.3">
      <c r="A219" s="47">
        <v>2024211</v>
      </c>
      <c r="B219" s="48" t="s">
        <v>1095</v>
      </c>
      <c r="C219" s="138" t="s">
        <v>974</v>
      </c>
      <c r="D219" s="69" t="s">
        <v>190</v>
      </c>
      <c r="E219" s="69" t="s">
        <v>1342</v>
      </c>
      <c r="F219" s="69">
        <v>3155018018</v>
      </c>
      <c r="G219" s="69" t="s">
        <v>191</v>
      </c>
      <c r="H219" s="69">
        <v>2</v>
      </c>
      <c r="I219" s="137">
        <v>1646</v>
      </c>
      <c r="J219" s="132">
        <v>974</v>
      </c>
      <c r="K219" s="146">
        <v>2620</v>
      </c>
      <c r="L219" s="48" t="s">
        <v>117</v>
      </c>
      <c r="M219" s="47">
        <f t="shared" si="4"/>
        <v>2024211</v>
      </c>
      <c r="N219" s="47">
        <v>10</v>
      </c>
    </row>
    <row r="220" spans="1:14" x14ac:dyDescent="0.3">
      <c r="A220" s="47">
        <v>2024212</v>
      </c>
      <c r="B220" s="48" t="s">
        <v>1082</v>
      </c>
      <c r="C220" s="135" t="s">
        <v>1667</v>
      </c>
      <c r="D220" s="145" t="s">
        <v>1668</v>
      </c>
      <c r="E220" s="69" t="s">
        <v>244</v>
      </c>
      <c r="F220" s="69" t="s">
        <v>1291</v>
      </c>
      <c r="G220" s="69" t="s">
        <v>1669</v>
      </c>
      <c r="H220" s="69"/>
      <c r="I220" s="132">
        <v>250</v>
      </c>
      <c r="J220" s="132">
        <v>0</v>
      </c>
      <c r="K220" s="146">
        <v>0</v>
      </c>
      <c r="L220" s="48" t="s">
        <v>54</v>
      </c>
      <c r="M220" s="47">
        <f t="shared" si="4"/>
        <v>2024212</v>
      </c>
      <c r="N220" s="47">
        <v>10</v>
      </c>
    </row>
    <row r="221" spans="1:14" x14ac:dyDescent="0.3">
      <c r="A221" s="47">
        <v>2024213</v>
      </c>
      <c r="B221" s="48" t="s">
        <v>1041</v>
      </c>
      <c r="C221" s="135" t="s">
        <v>975</v>
      </c>
      <c r="D221" s="69" t="s">
        <v>1238</v>
      </c>
      <c r="E221" s="136" t="s">
        <v>244</v>
      </c>
      <c r="F221" s="136" t="s">
        <v>1291</v>
      </c>
      <c r="G221" s="69" t="s">
        <v>1494</v>
      </c>
      <c r="H221" s="136" t="s">
        <v>236</v>
      </c>
      <c r="I221" s="137">
        <v>736</v>
      </c>
      <c r="J221" s="137">
        <v>364</v>
      </c>
      <c r="K221" s="146">
        <v>1100</v>
      </c>
      <c r="L221" s="48" t="s">
        <v>53</v>
      </c>
      <c r="M221" s="47">
        <f t="shared" si="4"/>
        <v>2024213</v>
      </c>
      <c r="N221" s="47">
        <v>10</v>
      </c>
    </row>
    <row r="222" spans="1:14" x14ac:dyDescent="0.3">
      <c r="A222" s="47">
        <v>2024214</v>
      </c>
      <c r="B222" s="48" t="s">
        <v>1065</v>
      </c>
      <c r="C222" s="138" t="s">
        <v>976</v>
      </c>
      <c r="D222" s="69" t="s">
        <v>1239</v>
      </c>
      <c r="E222" s="69" t="s">
        <v>326</v>
      </c>
      <c r="F222" s="69">
        <v>3605812</v>
      </c>
      <c r="G222" s="69" t="s">
        <v>220</v>
      </c>
      <c r="H222" s="136" t="s">
        <v>236</v>
      </c>
      <c r="I222" s="137">
        <v>823</v>
      </c>
      <c r="J222" s="132">
        <v>610</v>
      </c>
      <c r="K222" s="146">
        <v>1433</v>
      </c>
      <c r="L222" s="48" t="s">
        <v>54</v>
      </c>
      <c r="M222" s="47">
        <f t="shared" si="4"/>
        <v>2024214</v>
      </c>
      <c r="N222" s="47">
        <v>10</v>
      </c>
    </row>
    <row r="223" spans="1:14" x14ac:dyDescent="0.3">
      <c r="A223" s="47">
        <v>2024215</v>
      </c>
      <c r="B223" s="48" t="s">
        <v>1039</v>
      </c>
      <c r="C223" s="135" t="s">
        <v>977</v>
      </c>
      <c r="D223" s="69" t="s">
        <v>1240</v>
      </c>
      <c r="E223" t="s">
        <v>1343</v>
      </c>
      <c r="F223" s="69">
        <v>5154123</v>
      </c>
      <c r="G223" s="69" t="s">
        <v>1495</v>
      </c>
      <c r="H223" s="136" t="s">
        <v>236</v>
      </c>
      <c r="I223" s="137">
        <v>823</v>
      </c>
      <c r="J223" s="132">
        <v>377</v>
      </c>
      <c r="K223" s="146">
        <v>1200</v>
      </c>
      <c r="L223" s="48" t="s">
        <v>53</v>
      </c>
      <c r="M223" s="47">
        <f t="shared" si="4"/>
        <v>2024215</v>
      </c>
      <c r="N223" s="47">
        <v>10</v>
      </c>
    </row>
    <row r="224" spans="1:14" x14ac:dyDescent="0.3">
      <c r="A224" s="47">
        <v>2024216</v>
      </c>
      <c r="B224" s="48" t="s">
        <v>1110</v>
      </c>
      <c r="C224" s="138" t="s">
        <v>978</v>
      </c>
      <c r="D224" s="69" t="s">
        <v>1241</v>
      </c>
      <c r="E224" s="69" t="s">
        <v>244</v>
      </c>
      <c r="F224" s="69" t="s">
        <v>244</v>
      </c>
      <c r="G224" s="69" t="s">
        <v>377</v>
      </c>
      <c r="H224" s="136">
        <v>2</v>
      </c>
      <c r="I224" s="137">
        <v>1426</v>
      </c>
      <c r="J224" s="132">
        <v>974</v>
      </c>
      <c r="K224" s="146">
        <v>0</v>
      </c>
      <c r="L224" s="48" t="s">
        <v>117</v>
      </c>
      <c r="M224" s="47">
        <f t="shared" si="4"/>
        <v>2024216</v>
      </c>
      <c r="N224" s="47">
        <v>10</v>
      </c>
    </row>
    <row r="225" spans="1:14" x14ac:dyDescent="0.3">
      <c r="A225" s="47">
        <v>2024217</v>
      </c>
      <c r="B225" s="48" t="s">
        <v>1048</v>
      </c>
      <c r="C225" s="138" t="s">
        <v>979</v>
      </c>
      <c r="D225" s="69" t="s">
        <v>192</v>
      </c>
      <c r="E225" s="136" t="s">
        <v>1625</v>
      </c>
      <c r="F225" s="136">
        <v>3756563</v>
      </c>
      <c r="G225" s="69" t="s">
        <v>193</v>
      </c>
      <c r="H225" s="136" t="s">
        <v>236</v>
      </c>
      <c r="I225" s="137">
        <v>823</v>
      </c>
      <c r="J225" s="132">
        <v>610</v>
      </c>
      <c r="K225" s="146">
        <v>0</v>
      </c>
      <c r="L225" s="48" t="s">
        <v>54</v>
      </c>
      <c r="M225" s="47">
        <f t="shared" si="4"/>
        <v>2024217</v>
      </c>
      <c r="N225" s="47">
        <v>10</v>
      </c>
    </row>
    <row r="226" spans="1:14" x14ac:dyDescent="0.3">
      <c r="A226" s="47">
        <v>2024218</v>
      </c>
      <c r="B226" s="48" t="s">
        <v>1111</v>
      </c>
      <c r="C226" s="138" t="s">
        <v>980</v>
      </c>
      <c r="D226" s="69" t="s">
        <v>1242</v>
      </c>
      <c r="E226" s="69" t="s">
        <v>244</v>
      </c>
      <c r="F226" s="69" t="s">
        <v>1291</v>
      </c>
      <c r="G226" s="69" t="s">
        <v>1496</v>
      </c>
      <c r="H226" s="136">
        <v>2</v>
      </c>
      <c r="I226" s="137">
        <v>1380</v>
      </c>
      <c r="J226" s="132">
        <v>1220</v>
      </c>
      <c r="K226" s="146">
        <v>2600</v>
      </c>
      <c r="L226" s="48" t="s">
        <v>54</v>
      </c>
      <c r="M226" s="47">
        <f t="shared" si="4"/>
        <v>2024218</v>
      </c>
      <c r="N226" s="47">
        <v>10</v>
      </c>
    </row>
    <row r="227" spans="1:14" x14ac:dyDescent="0.3">
      <c r="A227" s="47">
        <v>2024219</v>
      </c>
      <c r="B227" s="48" t="s">
        <v>425</v>
      </c>
      <c r="C227" s="135" t="s">
        <v>981</v>
      </c>
      <c r="D227" s="69" t="s">
        <v>1243</v>
      </c>
      <c r="E227" s="69" t="s">
        <v>244</v>
      </c>
      <c r="F227" s="69" t="s">
        <v>1291</v>
      </c>
      <c r="G227" s="69" t="s">
        <v>1497</v>
      </c>
      <c r="H227" s="136" t="s">
        <v>236</v>
      </c>
      <c r="I227" s="137">
        <v>716</v>
      </c>
      <c r="J227" s="132">
        <v>364</v>
      </c>
      <c r="K227" s="146">
        <v>1080</v>
      </c>
      <c r="L227" s="48" t="s">
        <v>96</v>
      </c>
      <c r="M227" s="47">
        <f t="shared" si="4"/>
        <v>2024219</v>
      </c>
      <c r="N227" s="47">
        <v>10</v>
      </c>
    </row>
    <row r="228" spans="1:14" x14ac:dyDescent="0.3">
      <c r="A228" s="47">
        <v>2024321</v>
      </c>
      <c r="B228" s="48" t="s">
        <v>1040</v>
      </c>
      <c r="C228" s="135" t="s">
        <v>1953</v>
      </c>
      <c r="D228" s="69" t="s">
        <v>1230</v>
      </c>
      <c r="E228" s="69" t="s">
        <v>244</v>
      </c>
      <c r="F228" s="69" t="s">
        <v>244</v>
      </c>
      <c r="G228" s="69" t="s">
        <v>1486</v>
      </c>
      <c r="H228" s="136" t="s">
        <v>236</v>
      </c>
      <c r="I228" s="137">
        <v>716</v>
      </c>
      <c r="J228" s="132">
        <v>364</v>
      </c>
      <c r="K228" s="146">
        <v>1200</v>
      </c>
      <c r="L228" s="48" t="s">
        <v>53</v>
      </c>
      <c r="M228" s="47">
        <f t="shared" si="4"/>
        <v>2024321</v>
      </c>
      <c r="N228" s="47">
        <v>10</v>
      </c>
    </row>
    <row r="229" spans="1:14" x14ac:dyDescent="0.3">
      <c r="A229" s="47">
        <v>2024220</v>
      </c>
      <c r="B229" s="48" t="s">
        <v>1039</v>
      </c>
      <c r="C229" s="135" t="s">
        <v>1952</v>
      </c>
      <c r="D229" s="69" t="s">
        <v>1230</v>
      </c>
      <c r="E229" s="69" t="s">
        <v>244</v>
      </c>
      <c r="F229" s="69" t="s">
        <v>244</v>
      </c>
      <c r="G229" s="69" t="s">
        <v>1486</v>
      </c>
      <c r="H229" s="136" t="s">
        <v>236</v>
      </c>
      <c r="I229" s="137">
        <v>716</v>
      </c>
      <c r="J229" s="132">
        <v>364</v>
      </c>
      <c r="K229" s="146">
        <v>1200</v>
      </c>
      <c r="L229" s="48" t="s">
        <v>53</v>
      </c>
      <c r="M229" s="47">
        <f t="shared" si="4"/>
        <v>2024220</v>
      </c>
      <c r="N229" s="47">
        <v>10</v>
      </c>
    </row>
    <row r="230" spans="1:14" x14ac:dyDescent="0.3">
      <c r="A230" s="47">
        <v>2024221</v>
      </c>
      <c r="B230" s="48" t="s">
        <v>1050</v>
      </c>
      <c r="C230" s="135" t="s">
        <v>982</v>
      </c>
      <c r="D230" s="69" t="s">
        <v>1244</v>
      </c>
      <c r="E230" s="69" t="s">
        <v>244</v>
      </c>
      <c r="F230" s="69" t="s">
        <v>1291</v>
      </c>
      <c r="G230" s="69" t="s">
        <v>1498</v>
      </c>
      <c r="H230" s="69">
        <v>2</v>
      </c>
      <c r="I230" s="137">
        <v>1476</v>
      </c>
      <c r="J230" s="132">
        <v>974</v>
      </c>
      <c r="K230" s="146">
        <v>2450</v>
      </c>
      <c r="L230" s="48" t="s">
        <v>117</v>
      </c>
      <c r="M230" s="47">
        <f t="shared" si="4"/>
        <v>2024221</v>
      </c>
      <c r="N230" s="47">
        <v>10</v>
      </c>
    </row>
    <row r="231" spans="1:14" x14ac:dyDescent="0.3">
      <c r="A231" s="47">
        <v>2024222</v>
      </c>
      <c r="B231" s="48" t="s">
        <v>1082</v>
      </c>
      <c r="C231" s="138" t="s">
        <v>983</v>
      </c>
      <c r="D231" s="69" t="s">
        <v>233</v>
      </c>
      <c r="E231" s="69" t="s">
        <v>244</v>
      </c>
      <c r="F231" s="69" t="s">
        <v>1291</v>
      </c>
      <c r="G231" s="69" t="s">
        <v>1576</v>
      </c>
      <c r="H231" s="136" t="s">
        <v>236</v>
      </c>
      <c r="I231" s="137">
        <v>490</v>
      </c>
      <c r="J231" s="132">
        <v>610</v>
      </c>
      <c r="K231" s="146">
        <v>0</v>
      </c>
      <c r="L231" s="48" t="s">
        <v>54</v>
      </c>
      <c r="M231" s="47">
        <f t="shared" si="4"/>
        <v>2024222</v>
      </c>
      <c r="N231" s="47">
        <v>10</v>
      </c>
    </row>
    <row r="232" spans="1:14" x14ac:dyDescent="0.3">
      <c r="A232" s="47">
        <v>2024223</v>
      </c>
      <c r="B232" s="48" t="s">
        <v>1113</v>
      </c>
      <c r="C232" s="138" t="s">
        <v>984</v>
      </c>
      <c r="D232" s="69" t="s">
        <v>334</v>
      </c>
      <c r="E232" s="69" t="s">
        <v>244</v>
      </c>
      <c r="F232" s="69" t="s">
        <v>1291</v>
      </c>
      <c r="G232" s="69" t="s">
        <v>1499</v>
      </c>
      <c r="H232" s="136">
        <v>2</v>
      </c>
      <c r="I232" s="137">
        <v>1372</v>
      </c>
      <c r="J232" s="132">
        <v>728</v>
      </c>
      <c r="K232" s="146">
        <v>2100</v>
      </c>
      <c r="L232" s="48" t="s">
        <v>205</v>
      </c>
      <c r="M232" s="47">
        <f t="shared" si="4"/>
        <v>2024223</v>
      </c>
      <c r="N232" s="47">
        <v>10</v>
      </c>
    </row>
    <row r="233" spans="1:14" x14ac:dyDescent="0.3">
      <c r="A233" s="47">
        <v>2024224</v>
      </c>
      <c r="B233" s="48" t="s">
        <v>1114</v>
      </c>
      <c r="C233" s="138" t="s">
        <v>164</v>
      </c>
      <c r="D233" s="69" t="s">
        <v>1629</v>
      </c>
      <c r="E233" s="136" t="s">
        <v>244</v>
      </c>
      <c r="F233" s="136" t="s">
        <v>1291</v>
      </c>
      <c r="G233" s="69" t="s">
        <v>165</v>
      </c>
      <c r="H233" s="69">
        <v>2</v>
      </c>
      <c r="I233" s="137">
        <v>459</v>
      </c>
      <c r="J233" s="132">
        <v>728</v>
      </c>
      <c r="K233" s="146">
        <v>0</v>
      </c>
      <c r="L233" s="48" t="s">
        <v>53</v>
      </c>
      <c r="M233" s="47">
        <f t="shared" si="4"/>
        <v>2024224</v>
      </c>
      <c r="N233" s="47">
        <v>10</v>
      </c>
    </row>
    <row r="234" spans="1:14" x14ac:dyDescent="0.3">
      <c r="A234" s="47">
        <v>2024319</v>
      </c>
      <c r="B234" s="48" t="s">
        <v>1065</v>
      </c>
      <c r="C234" s="135" t="s">
        <v>1850</v>
      </c>
      <c r="D234" s="69" t="s">
        <v>1851</v>
      </c>
      <c r="E234" s="69" t="s">
        <v>1852</v>
      </c>
      <c r="F234" s="69">
        <v>3108019</v>
      </c>
      <c r="G234" s="69" t="s">
        <v>1853</v>
      </c>
      <c r="H234" s="136" t="s">
        <v>236</v>
      </c>
      <c r="I234" s="132">
        <v>823</v>
      </c>
      <c r="J234" s="132">
        <v>627</v>
      </c>
      <c r="K234" s="146">
        <v>1450</v>
      </c>
      <c r="L234" s="48" t="s">
        <v>54</v>
      </c>
      <c r="M234" s="47">
        <f t="shared" si="4"/>
        <v>2024319</v>
      </c>
      <c r="N234" s="47">
        <v>9</v>
      </c>
    </row>
    <row r="235" spans="1:14" x14ac:dyDescent="0.3">
      <c r="A235" s="47">
        <v>2024225</v>
      </c>
      <c r="B235" s="48" t="s">
        <v>1041</v>
      </c>
      <c r="C235" s="135" t="s">
        <v>985</v>
      </c>
      <c r="D235" s="69" t="s">
        <v>1245</v>
      </c>
      <c r="E235" s="136" t="s">
        <v>244</v>
      </c>
      <c r="F235" s="136" t="s">
        <v>1291</v>
      </c>
      <c r="G235" s="69" t="s">
        <v>1500</v>
      </c>
      <c r="H235" s="136" t="s">
        <v>236</v>
      </c>
      <c r="I235" s="137">
        <v>736</v>
      </c>
      <c r="J235" s="132">
        <v>364</v>
      </c>
      <c r="K235" s="146">
        <v>1187</v>
      </c>
      <c r="L235" s="48" t="s">
        <v>53</v>
      </c>
      <c r="M235" s="47">
        <f t="shared" si="4"/>
        <v>2024225</v>
      </c>
      <c r="N235" s="47">
        <v>10</v>
      </c>
    </row>
    <row r="236" spans="1:14" x14ac:dyDescent="0.3">
      <c r="A236" s="47">
        <v>2024226</v>
      </c>
      <c r="B236" s="48" t="s">
        <v>1042</v>
      </c>
      <c r="C236" s="138" t="s">
        <v>323</v>
      </c>
      <c r="D236" s="69" t="s">
        <v>324</v>
      </c>
      <c r="E236" s="136" t="s">
        <v>119</v>
      </c>
      <c r="F236" s="136">
        <v>1022599023</v>
      </c>
      <c r="G236" s="69" t="s">
        <v>325</v>
      </c>
      <c r="H236" s="136" t="s">
        <v>236</v>
      </c>
      <c r="I236" s="137">
        <v>823</v>
      </c>
      <c r="J236" s="132">
        <v>364</v>
      </c>
      <c r="K236" s="146">
        <v>1187</v>
      </c>
      <c r="L236" s="48" t="s">
        <v>53</v>
      </c>
      <c r="M236" s="47">
        <f t="shared" si="4"/>
        <v>2024226</v>
      </c>
      <c r="N236" s="47">
        <v>10</v>
      </c>
    </row>
    <row r="237" spans="1:14" x14ac:dyDescent="0.3">
      <c r="A237" s="47">
        <v>2024227</v>
      </c>
      <c r="B237" s="48" t="s">
        <v>1042</v>
      </c>
      <c r="C237" s="138" t="s">
        <v>1617</v>
      </c>
      <c r="D237" s="69" t="s">
        <v>416</v>
      </c>
      <c r="E237" s="69" t="s">
        <v>244</v>
      </c>
      <c r="F237" s="69" t="s">
        <v>244</v>
      </c>
      <c r="G237" s="69" t="s">
        <v>305</v>
      </c>
      <c r="H237" s="69">
        <v>2</v>
      </c>
      <c r="I237" s="137">
        <v>400</v>
      </c>
      <c r="J237" s="132">
        <v>0</v>
      </c>
      <c r="K237" s="146">
        <v>0</v>
      </c>
      <c r="L237" s="48" t="s">
        <v>304</v>
      </c>
      <c r="M237" s="47">
        <f t="shared" si="4"/>
        <v>2024227</v>
      </c>
      <c r="N237" s="47">
        <v>10</v>
      </c>
    </row>
    <row r="238" spans="1:14" x14ac:dyDescent="0.3">
      <c r="A238" s="47">
        <v>2024228</v>
      </c>
      <c r="B238" s="48" t="s">
        <v>425</v>
      </c>
      <c r="C238" s="135" t="s">
        <v>986</v>
      </c>
      <c r="D238" s="69" t="s">
        <v>1246</v>
      </c>
      <c r="E238" s="69" t="s">
        <v>1344</v>
      </c>
      <c r="F238" s="69">
        <v>8041120</v>
      </c>
      <c r="G238" s="69" t="s">
        <v>1501</v>
      </c>
      <c r="H238" s="136" t="s">
        <v>236</v>
      </c>
      <c r="I238" s="137">
        <v>593</v>
      </c>
      <c r="J238" s="132">
        <v>0</v>
      </c>
      <c r="K238" s="146">
        <v>0</v>
      </c>
      <c r="L238" s="48" t="s">
        <v>96</v>
      </c>
      <c r="M238" s="47">
        <f t="shared" si="4"/>
        <v>2024228</v>
      </c>
      <c r="N238" s="47">
        <v>10</v>
      </c>
    </row>
    <row r="239" spans="1:14" x14ac:dyDescent="0.3">
      <c r="A239" s="47">
        <v>2024229</v>
      </c>
      <c r="B239" s="48" t="s">
        <v>1042</v>
      </c>
      <c r="C239" s="138" t="s">
        <v>301</v>
      </c>
      <c r="D239" s="69" t="s">
        <v>1247</v>
      </c>
      <c r="E239" s="136" t="s">
        <v>353</v>
      </c>
      <c r="F239" s="136">
        <v>4473854</v>
      </c>
      <c r="G239" s="69" t="s">
        <v>1502</v>
      </c>
      <c r="H239" s="136" t="s">
        <v>236</v>
      </c>
      <c r="I239" s="137">
        <v>823</v>
      </c>
      <c r="J239" s="132">
        <v>364</v>
      </c>
      <c r="K239" s="146">
        <v>1187</v>
      </c>
      <c r="L239" s="48" t="s">
        <v>53</v>
      </c>
      <c r="M239" s="47">
        <f t="shared" si="4"/>
        <v>2024229</v>
      </c>
      <c r="N239" s="47">
        <v>10</v>
      </c>
    </row>
    <row r="240" spans="1:14" x14ac:dyDescent="0.3">
      <c r="A240" s="47">
        <v>2024230</v>
      </c>
      <c r="B240" s="48" t="s">
        <v>425</v>
      </c>
      <c r="C240" s="135" t="s">
        <v>987</v>
      </c>
      <c r="D240" s="69" t="s">
        <v>1248</v>
      </c>
      <c r="E240" s="69" t="s">
        <v>244</v>
      </c>
      <c r="F240" s="69" t="s">
        <v>1291</v>
      </c>
      <c r="G240" s="69" t="s">
        <v>1503</v>
      </c>
      <c r="H240" s="136" t="s">
        <v>236</v>
      </c>
      <c r="I240" s="137">
        <v>736</v>
      </c>
      <c r="J240" s="132">
        <v>364</v>
      </c>
      <c r="K240" s="146">
        <v>1100</v>
      </c>
      <c r="L240" s="48" t="s">
        <v>96</v>
      </c>
      <c r="M240" s="47">
        <f t="shared" si="4"/>
        <v>2024230</v>
      </c>
      <c r="N240" s="47">
        <v>10</v>
      </c>
    </row>
    <row r="241" spans="1:14" x14ac:dyDescent="0.3">
      <c r="A241" s="47">
        <v>2024231</v>
      </c>
      <c r="B241" s="48" t="s">
        <v>1040</v>
      </c>
      <c r="C241" s="135" t="s">
        <v>988</v>
      </c>
      <c r="D241" s="69" t="s">
        <v>1249</v>
      </c>
      <c r="E241" s="69" t="s">
        <v>329</v>
      </c>
      <c r="F241" s="69">
        <v>3149374</v>
      </c>
      <c r="G241" s="69" t="s">
        <v>1504</v>
      </c>
      <c r="H241" s="136" t="s">
        <v>236</v>
      </c>
      <c r="I241" s="137">
        <v>823</v>
      </c>
      <c r="J241" s="132">
        <v>364</v>
      </c>
      <c r="K241" s="146">
        <v>1187</v>
      </c>
      <c r="L241" s="48" t="s">
        <v>53</v>
      </c>
      <c r="M241" s="47">
        <f t="shared" si="4"/>
        <v>2024231</v>
      </c>
      <c r="N241" s="47">
        <v>10</v>
      </c>
    </row>
    <row r="242" spans="1:14" x14ac:dyDescent="0.3">
      <c r="A242" s="47">
        <v>2024232</v>
      </c>
      <c r="B242" s="48" t="s">
        <v>1062</v>
      </c>
      <c r="C242" s="135" t="s">
        <v>422</v>
      </c>
      <c r="D242" s="69" t="s">
        <v>1250</v>
      </c>
      <c r="E242" s="69" t="s">
        <v>244</v>
      </c>
      <c r="F242" s="69" t="s">
        <v>1291</v>
      </c>
      <c r="G242" s="69" t="s">
        <v>1505</v>
      </c>
      <c r="H242" s="69"/>
      <c r="I242" s="137">
        <v>736</v>
      </c>
      <c r="J242" s="132">
        <v>364</v>
      </c>
      <c r="K242" s="146">
        <v>1100</v>
      </c>
      <c r="L242" s="48" t="s">
        <v>53</v>
      </c>
      <c r="M242" s="47">
        <f t="shared" si="4"/>
        <v>2024232</v>
      </c>
      <c r="N242" s="47">
        <v>10</v>
      </c>
    </row>
    <row r="243" spans="1:14" x14ac:dyDescent="0.3">
      <c r="A243" s="47">
        <v>2024233</v>
      </c>
      <c r="B243" s="48" t="s">
        <v>1042</v>
      </c>
      <c r="C243" s="138" t="s">
        <v>989</v>
      </c>
      <c r="D243" s="69" t="s">
        <v>1251</v>
      </c>
      <c r="E243" s="69" t="s">
        <v>1345</v>
      </c>
      <c r="F243" s="69">
        <v>5161265</v>
      </c>
      <c r="G243" s="69" t="s">
        <v>1506</v>
      </c>
      <c r="H243" s="136" t="s">
        <v>236</v>
      </c>
      <c r="I243" s="137">
        <v>823</v>
      </c>
      <c r="J243" s="132">
        <v>364</v>
      </c>
      <c r="K243" s="146">
        <v>1187</v>
      </c>
      <c r="L243" s="48" t="s">
        <v>53</v>
      </c>
      <c r="M243" s="47">
        <f t="shared" si="4"/>
        <v>2024233</v>
      </c>
      <c r="N243" s="47">
        <v>10</v>
      </c>
    </row>
    <row r="244" spans="1:14" x14ac:dyDescent="0.3">
      <c r="A244" s="47">
        <v>2024234</v>
      </c>
      <c r="B244" s="48" t="s">
        <v>1115</v>
      </c>
      <c r="C244" s="138" t="s">
        <v>990</v>
      </c>
      <c r="D244" s="69" t="s">
        <v>222</v>
      </c>
      <c r="E244" s="69" t="s">
        <v>223</v>
      </c>
      <c r="F244" s="69">
        <v>4394646013</v>
      </c>
      <c r="G244" s="69" t="s">
        <v>397</v>
      </c>
      <c r="H244" s="69">
        <v>3</v>
      </c>
      <c r="I244" s="137">
        <v>1875.5</v>
      </c>
      <c r="J244" s="132">
        <v>1584</v>
      </c>
      <c r="K244" s="146">
        <v>0</v>
      </c>
      <c r="L244" s="48" t="s">
        <v>117</v>
      </c>
      <c r="M244" s="47">
        <f t="shared" si="4"/>
        <v>2024234</v>
      </c>
      <c r="N244" s="47">
        <v>10</v>
      </c>
    </row>
    <row r="245" spans="1:14" x14ac:dyDescent="0.3">
      <c r="A245" s="47">
        <v>2024235</v>
      </c>
      <c r="B245" s="48" t="s">
        <v>1082</v>
      </c>
      <c r="C245" s="138" t="s">
        <v>309</v>
      </c>
      <c r="D245" s="69" t="s">
        <v>423</v>
      </c>
      <c r="E245" s="69" t="s">
        <v>424</v>
      </c>
      <c r="F245" s="69">
        <v>848720</v>
      </c>
      <c r="G245" s="69"/>
      <c r="H245" s="136" t="s">
        <v>236</v>
      </c>
      <c r="I245" s="137">
        <v>823</v>
      </c>
      <c r="J245" s="132">
        <v>610</v>
      </c>
      <c r="K245" s="146">
        <v>1433</v>
      </c>
      <c r="L245" s="48" t="s">
        <v>54</v>
      </c>
      <c r="M245" s="47">
        <f t="shared" si="4"/>
        <v>2024235</v>
      </c>
      <c r="N245" s="47">
        <v>10</v>
      </c>
    </row>
    <row r="246" spans="1:14" x14ac:dyDescent="0.3">
      <c r="A246" s="47">
        <v>2024236</v>
      </c>
      <c r="B246" s="48" t="s">
        <v>1116</v>
      </c>
      <c r="C246" s="138" t="s">
        <v>130</v>
      </c>
      <c r="D246" s="69" t="s">
        <v>131</v>
      </c>
      <c r="E246" s="136" t="s">
        <v>244</v>
      </c>
      <c r="F246" s="136" t="s">
        <v>1291</v>
      </c>
      <c r="G246" s="69" t="s">
        <v>132</v>
      </c>
      <c r="H246" s="69">
        <v>2</v>
      </c>
      <c r="I246" s="137">
        <v>1406</v>
      </c>
      <c r="J246" s="132">
        <v>974</v>
      </c>
      <c r="K246" s="146">
        <v>2380</v>
      </c>
      <c r="L246" s="48" t="s">
        <v>117</v>
      </c>
      <c r="M246" s="47">
        <f t="shared" si="4"/>
        <v>2024236</v>
      </c>
      <c r="N246" s="47">
        <v>10</v>
      </c>
    </row>
    <row r="247" spans="1:14" x14ac:dyDescent="0.3">
      <c r="A247" s="47">
        <v>2024237</v>
      </c>
      <c r="B247" s="48" t="s">
        <v>1082</v>
      </c>
      <c r="C247" s="135" t="s">
        <v>991</v>
      </c>
      <c r="D247" s="69" t="s">
        <v>1252</v>
      </c>
      <c r="E247" s="69" t="s">
        <v>1346</v>
      </c>
      <c r="F247" s="69">
        <v>3571303</v>
      </c>
      <c r="G247" s="69" t="s">
        <v>1507</v>
      </c>
      <c r="H247" s="136" t="s">
        <v>236</v>
      </c>
      <c r="I247" s="137">
        <v>823</v>
      </c>
      <c r="J247" s="132">
        <v>627</v>
      </c>
      <c r="K247" s="146">
        <v>1450</v>
      </c>
      <c r="L247" s="48" t="s">
        <v>54</v>
      </c>
      <c r="M247" s="47">
        <f t="shared" si="4"/>
        <v>2024237</v>
      </c>
      <c r="N247" s="47">
        <v>10</v>
      </c>
    </row>
    <row r="248" spans="1:14" x14ac:dyDescent="0.3">
      <c r="A248" s="47">
        <v>2024238</v>
      </c>
      <c r="B248" s="48" t="s">
        <v>1041</v>
      </c>
      <c r="C248" s="135" t="s">
        <v>992</v>
      </c>
      <c r="D248" s="69" t="s">
        <v>1253</v>
      </c>
      <c r="E248" s="69" t="s">
        <v>1347</v>
      </c>
      <c r="F248" s="69">
        <v>59069979</v>
      </c>
      <c r="G248" s="69" t="s">
        <v>1508</v>
      </c>
      <c r="H248" s="136" t="s">
        <v>236</v>
      </c>
      <c r="I248" s="137">
        <v>823</v>
      </c>
      <c r="J248" s="132">
        <v>364</v>
      </c>
      <c r="K248" s="146">
        <v>1200</v>
      </c>
      <c r="L248" s="48" t="s">
        <v>53</v>
      </c>
      <c r="M248" s="47">
        <f t="shared" si="4"/>
        <v>2024238</v>
      </c>
      <c r="N248" s="47">
        <v>10</v>
      </c>
    </row>
    <row r="249" spans="1:14" x14ac:dyDescent="0.3">
      <c r="A249" s="47">
        <v>2024239</v>
      </c>
      <c r="B249" s="48" t="s">
        <v>1044</v>
      </c>
      <c r="C249" s="138" t="s">
        <v>993</v>
      </c>
      <c r="D249" s="69" t="s">
        <v>1254</v>
      </c>
      <c r="E249" s="136" t="s">
        <v>236</v>
      </c>
      <c r="F249" s="136" t="s">
        <v>236</v>
      </c>
      <c r="G249" s="69" t="s">
        <v>1509</v>
      </c>
      <c r="H249" s="136" t="s">
        <v>236</v>
      </c>
      <c r="I249" s="137">
        <v>823</v>
      </c>
      <c r="J249" s="132">
        <v>610</v>
      </c>
      <c r="K249" s="146">
        <v>1433</v>
      </c>
      <c r="L249" s="48" t="s">
        <v>54</v>
      </c>
      <c r="M249" s="47">
        <f t="shared" si="4"/>
        <v>2024239</v>
      </c>
      <c r="N249" s="47">
        <v>10</v>
      </c>
    </row>
    <row r="250" spans="1:14" x14ac:dyDescent="0.3">
      <c r="A250" s="47">
        <v>2024240</v>
      </c>
      <c r="B250" s="48" t="s">
        <v>1040</v>
      </c>
      <c r="C250" s="135" t="s">
        <v>1610</v>
      </c>
      <c r="D250" s="69" t="s">
        <v>1213</v>
      </c>
      <c r="E250" s="69" t="s">
        <v>1306</v>
      </c>
      <c r="F250" s="69">
        <v>451029018</v>
      </c>
      <c r="G250" s="69" t="s">
        <v>1465</v>
      </c>
      <c r="H250" s="136" t="s">
        <v>236</v>
      </c>
      <c r="I250" s="137">
        <v>823</v>
      </c>
      <c r="J250" s="132">
        <v>364</v>
      </c>
      <c r="K250" s="146">
        <v>1187</v>
      </c>
      <c r="L250" s="48" t="s">
        <v>117</v>
      </c>
      <c r="M250" s="47">
        <f t="shared" si="4"/>
        <v>2024240</v>
      </c>
      <c r="N250" s="47">
        <v>10</v>
      </c>
    </row>
    <row r="251" spans="1:14" x14ac:dyDescent="0.3">
      <c r="A251" s="47">
        <v>2024241</v>
      </c>
      <c r="B251" s="48" t="s">
        <v>1040</v>
      </c>
      <c r="C251" s="135" t="s">
        <v>1610</v>
      </c>
      <c r="D251" s="69" t="s">
        <v>1213</v>
      </c>
      <c r="E251" s="69" t="s">
        <v>1306</v>
      </c>
      <c r="F251" s="69">
        <v>451029018</v>
      </c>
      <c r="G251" s="69" t="s">
        <v>1465</v>
      </c>
      <c r="H251" s="69"/>
      <c r="I251" s="132">
        <v>823</v>
      </c>
      <c r="J251" s="132">
        <v>364</v>
      </c>
      <c r="K251" s="146">
        <v>0</v>
      </c>
      <c r="L251" s="48" t="s">
        <v>53</v>
      </c>
      <c r="M251" s="47">
        <f t="shared" si="4"/>
        <v>2024241</v>
      </c>
      <c r="N251" s="47">
        <v>10</v>
      </c>
    </row>
    <row r="252" spans="1:14" x14ac:dyDescent="0.3">
      <c r="A252" s="47">
        <v>2024242</v>
      </c>
      <c r="B252" s="48" t="s">
        <v>1039</v>
      </c>
      <c r="C252" s="135" t="s">
        <v>994</v>
      </c>
      <c r="D252" s="69" t="s">
        <v>1254</v>
      </c>
      <c r="E252" s="136" t="s">
        <v>236</v>
      </c>
      <c r="F252" s="136" t="s">
        <v>236</v>
      </c>
      <c r="G252" s="69" t="s">
        <v>1509</v>
      </c>
      <c r="H252" s="136" t="s">
        <v>236</v>
      </c>
      <c r="I252" s="137">
        <v>823</v>
      </c>
      <c r="J252" s="132">
        <v>364</v>
      </c>
      <c r="K252" s="146">
        <v>1187</v>
      </c>
      <c r="L252" s="48" t="s">
        <v>53</v>
      </c>
      <c r="M252" s="47">
        <f t="shared" si="4"/>
        <v>2024242</v>
      </c>
      <c r="N252" s="47">
        <v>10</v>
      </c>
    </row>
    <row r="253" spans="1:14" x14ac:dyDescent="0.3">
      <c r="A253" s="47">
        <v>2024243</v>
      </c>
      <c r="B253" s="48" t="s">
        <v>1052</v>
      </c>
      <c r="C253" s="138" t="s">
        <v>995</v>
      </c>
      <c r="D253" s="69" t="s">
        <v>210</v>
      </c>
      <c r="E253" s="69" t="s">
        <v>244</v>
      </c>
      <c r="F253" s="69" t="s">
        <v>1291</v>
      </c>
      <c r="G253" s="69" t="s">
        <v>211</v>
      </c>
      <c r="H253" s="136" t="s">
        <v>236</v>
      </c>
      <c r="I253" s="137">
        <v>716</v>
      </c>
      <c r="J253" s="132">
        <v>364</v>
      </c>
      <c r="K253" s="146">
        <v>1080</v>
      </c>
      <c r="L253" s="48" t="s">
        <v>53</v>
      </c>
      <c r="M253" s="47">
        <f t="shared" si="4"/>
        <v>2024243</v>
      </c>
      <c r="N253" s="47">
        <v>10</v>
      </c>
    </row>
    <row r="254" spans="1:14" x14ac:dyDescent="0.3">
      <c r="A254" s="47">
        <v>2024244</v>
      </c>
      <c r="B254" s="48" t="s">
        <v>1045</v>
      </c>
      <c r="C254" s="138" t="s">
        <v>996</v>
      </c>
      <c r="D254" s="69" t="s">
        <v>184</v>
      </c>
      <c r="E254" s="69" t="s">
        <v>244</v>
      </c>
      <c r="F254" s="69" t="s">
        <v>1291</v>
      </c>
      <c r="G254" s="69" t="s">
        <v>185</v>
      </c>
      <c r="H254" s="136" t="s">
        <v>236</v>
      </c>
      <c r="I254" s="137">
        <v>690</v>
      </c>
      <c r="J254" s="132">
        <v>610</v>
      </c>
      <c r="K254" s="146">
        <v>0</v>
      </c>
      <c r="L254" s="48" t="s">
        <v>54</v>
      </c>
      <c r="M254" s="47">
        <f t="shared" si="4"/>
        <v>2024244</v>
      </c>
      <c r="N254" s="47">
        <v>10</v>
      </c>
    </row>
    <row r="255" spans="1:14" x14ac:dyDescent="0.3">
      <c r="A255" s="47">
        <v>2024245</v>
      </c>
      <c r="B255" s="48" t="s">
        <v>224</v>
      </c>
      <c r="C255" s="138" t="s">
        <v>997</v>
      </c>
      <c r="D255" s="69" t="s">
        <v>172</v>
      </c>
      <c r="E255" s="69"/>
      <c r="F255" s="69"/>
      <c r="G255" s="69" t="s">
        <v>173</v>
      </c>
      <c r="H255" s="69">
        <v>2</v>
      </c>
      <c r="I255" s="137">
        <v>0</v>
      </c>
      <c r="J255" s="132">
        <v>0</v>
      </c>
      <c r="K255" s="146">
        <v>0</v>
      </c>
      <c r="L255" s="48" t="s">
        <v>54</v>
      </c>
      <c r="M255" s="47">
        <f t="shared" si="4"/>
        <v>2024245</v>
      </c>
      <c r="N255" s="47">
        <v>10</v>
      </c>
    </row>
    <row r="256" spans="1:14" x14ac:dyDescent="0.3">
      <c r="A256" s="47">
        <v>2024246</v>
      </c>
      <c r="B256" s="48" t="s">
        <v>1117</v>
      </c>
      <c r="C256" s="138" t="s">
        <v>998</v>
      </c>
      <c r="D256" s="69" t="s">
        <v>229</v>
      </c>
      <c r="E256" s="69" t="s">
        <v>244</v>
      </c>
      <c r="F256" s="69" t="s">
        <v>1291</v>
      </c>
      <c r="G256" s="69" t="s">
        <v>230</v>
      </c>
      <c r="H256" s="69">
        <v>2</v>
      </c>
      <c r="I256" s="137">
        <v>1526</v>
      </c>
      <c r="J256" s="132">
        <v>974</v>
      </c>
      <c r="K256" s="146">
        <v>2620</v>
      </c>
      <c r="L256" s="48" t="s">
        <v>117</v>
      </c>
      <c r="M256" s="47">
        <f t="shared" si="4"/>
        <v>2024246</v>
      </c>
      <c r="N256" s="47">
        <v>10</v>
      </c>
    </row>
    <row r="257" spans="1:14" x14ac:dyDescent="0.3">
      <c r="A257" s="47">
        <v>2024247</v>
      </c>
      <c r="B257" s="48" t="s">
        <v>1082</v>
      </c>
      <c r="C257" s="135" t="s">
        <v>999</v>
      </c>
      <c r="D257" s="69" t="s">
        <v>1255</v>
      </c>
      <c r="E257" s="69" t="s">
        <v>244</v>
      </c>
      <c r="F257" s="69" t="s">
        <v>1291</v>
      </c>
      <c r="G257" s="69" t="s">
        <v>1510</v>
      </c>
      <c r="H257" s="136" t="s">
        <v>236</v>
      </c>
      <c r="I257" s="137">
        <v>740</v>
      </c>
      <c r="J257" s="132">
        <v>610</v>
      </c>
      <c r="K257" s="146">
        <v>1350</v>
      </c>
      <c r="L257" s="48" t="s">
        <v>54</v>
      </c>
      <c r="M257" s="47">
        <f t="shared" si="4"/>
        <v>2024247</v>
      </c>
      <c r="N257" s="47">
        <v>10</v>
      </c>
    </row>
    <row r="258" spans="1:14" x14ac:dyDescent="0.3">
      <c r="A258" s="47">
        <v>2024248</v>
      </c>
      <c r="B258" s="48" t="s">
        <v>1052</v>
      </c>
      <c r="C258" s="138" t="s">
        <v>206</v>
      </c>
      <c r="D258" s="69" t="s">
        <v>1256</v>
      </c>
      <c r="E258" s="69" t="s">
        <v>207</v>
      </c>
      <c r="F258" s="69">
        <v>3588892</v>
      </c>
      <c r="G258" s="69" t="s">
        <v>1511</v>
      </c>
      <c r="H258" s="136" t="s">
        <v>236</v>
      </c>
      <c r="I258" s="137">
        <v>823</v>
      </c>
      <c r="J258" s="132">
        <v>364</v>
      </c>
      <c r="K258" s="146">
        <v>0</v>
      </c>
      <c r="L258" s="48" t="s">
        <v>53</v>
      </c>
      <c r="M258" s="47">
        <f t="shared" si="4"/>
        <v>2024248</v>
      </c>
      <c r="N258" s="47">
        <v>10</v>
      </c>
    </row>
    <row r="259" spans="1:14" x14ac:dyDescent="0.3">
      <c r="A259" s="47">
        <v>2024249</v>
      </c>
      <c r="B259" s="48" t="s">
        <v>1118</v>
      </c>
      <c r="C259" s="135" t="s">
        <v>1000</v>
      </c>
      <c r="D259" s="69" t="s">
        <v>395</v>
      </c>
      <c r="E259" s="69" t="s">
        <v>137</v>
      </c>
      <c r="F259" s="136">
        <v>4538389017</v>
      </c>
      <c r="G259" s="69" t="s">
        <v>1512</v>
      </c>
      <c r="H259" s="136">
        <v>2</v>
      </c>
      <c r="I259" s="137">
        <v>1646</v>
      </c>
      <c r="J259" s="132">
        <v>754</v>
      </c>
      <c r="K259" s="146">
        <v>2374</v>
      </c>
      <c r="L259" s="48" t="s">
        <v>205</v>
      </c>
      <c r="M259" s="47">
        <f t="shared" ref="M259:M324" si="5">A259</f>
        <v>2024249</v>
      </c>
      <c r="N259" s="47">
        <v>10</v>
      </c>
    </row>
    <row r="260" spans="1:14" x14ac:dyDescent="0.3">
      <c r="A260" s="47">
        <v>2024250</v>
      </c>
      <c r="B260" s="48" t="s">
        <v>1042</v>
      </c>
      <c r="C260" s="138" t="s">
        <v>417</v>
      </c>
      <c r="D260" s="69" t="s">
        <v>418</v>
      </c>
      <c r="E260" s="69" t="s">
        <v>1348</v>
      </c>
      <c r="F260" s="69">
        <v>6443231</v>
      </c>
      <c r="G260" s="69" t="s">
        <v>1513</v>
      </c>
      <c r="H260" s="136" t="s">
        <v>236</v>
      </c>
      <c r="I260" s="137">
        <v>823</v>
      </c>
      <c r="J260" s="132">
        <v>364</v>
      </c>
      <c r="K260" s="146">
        <v>1187</v>
      </c>
      <c r="L260" s="48" t="s">
        <v>53</v>
      </c>
      <c r="M260" s="47">
        <f t="shared" si="5"/>
        <v>2024250</v>
      </c>
      <c r="N260" s="47">
        <v>10</v>
      </c>
    </row>
    <row r="261" spans="1:14" x14ac:dyDescent="0.3">
      <c r="A261" s="47">
        <v>2024251</v>
      </c>
      <c r="B261" s="48" t="s">
        <v>1044</v>
      </c>
      <c r="C261" s="138" t="s">
        <v>16</v>
      </c>
      <c r="D261" s="69" t="s">
        <v>97</v>
      </c>
      <c r="E261" s="136" t="s">
        <v>244</v>
      </c>
      <c r="F261" s="136" t="s">
        <v>1291</v>
      </c>
      <c r="G261" s="69" t="s">
        <v>163</v>
      </c>
      <c r="H261" s="136" t="s">
        <v>236</v>
      </c>
      <c r="I261" s="137">
        <v>740</v>
      </c>
      <c r="J261" s="132">
        <v>610</v>
      </c>
      <c r="K261" s="146">
        <v>1350</v>
      </c>
      <c r="L261" s="48" t="s">
        <v>54</v>
      </c>
      <c r="M261" s="47">
        <f t="shared" si="5"/>
        <v>2024251</v>
      </c>
      <c r="N261" s="47">
        <v>10</v>
      </c>
    </row>
    <row r="262" spans="1:14" x14ac:dyDescent="0.3">
      <c r="A262" s="47">
        <v>2024252</v>
      </c>
      <c r="B262" s="48" t="s">
        <v>133</v>
      </c>
      <c r="C262" s="135" t="s">
        <v>1001</v>
      </c>
      <c r="D262" s="69" t="s">
        <v>1257</v>
      </c>
      <c r="E262" s="69" t="s">
        <v>1349</v>
      </c>
      <c r="F262" s="69">
        <v>7934936</v>
      </c>
      <c r="G262" s="69" t="s">
        <v>1514</v>
      </c>
      <c r="H262" s="136" t="s">
        <v>236</v>
      </c>
      <c r="I262" s="137">
        <v>823</v>
      </c>
      <c r="J262" s="132">
        <v>364</v>
      </c>
      <c r="K262" s="146">
        <v>1187</v>
      </c>
      <c r="L262" s="48" t="s">
        <v>53</v>
      </c>
      <c r="M262" s="47">
        <f t="shared" si="5"/>
        <v>2024252</v>
      </c>
      <c r="N262" s="47">
        <v>10</v>
      </c>
    </row>
    <row r="263" spans="1:14" x14ac:dyDescent="0.3">
      <c r="A263" s="47">
        <v>2024253</v>
      </c>
      <c r="B263" s="48" t="s">
        <v>1119</v>
      </c>
      <c r="C263" s="138" t="s">
        <v>215</v>
      </c>
      <c r="D263" s="69" t="s">
        <v>216</v>
      </c>
      <c r="E263" s="69" t="s">
        <v>244</v>
      </c>
      <c r="F263" s="69" t="s">
        <v>1291</v>
      </c>
      <c r="G263" s="69" t="s">
        <v>217</v>
      </c>
      <c r="H263" s="69">
        <v>2</v>
      </c>
      <c r="I263" s="137">
        <v>1400</v>
      </c>
      <c r="J263" s="132">
        <v>1220</v>
      </c>
      <c r="K263" s="146">
        <v>2620</v>
      </c>
      <c r="L263" s="48" t="s">
        <v>54</v>
      </c>
      <c r="M263" s="47">
        <f t="shared" si="5"/>
        <v>2024253</v>
      </c>
      <c r="N263" s="47">
        <v>10</v>
      </c>
    </row>
    <row r="264" spans="1:14" x14ac:dyDescent="0.3">
      <c r="A264" s="47">
        <v>2024254</v>
      </c>
      <c r="B264" s="48" t="s">
        <v>1065</v>
      </c>
      <c r="C264" s="135" t="s">
        <v>1002</v>
      </c>
      <c r="D264" s="69" t="s">
        <v>1258</v>
      </c>
      <c r="E264" s="136" t="s">
        <v>2039</v>
      </c>
      <c r="F264" s="136">
        <v>3790751017</v>
      </c>
      <c r="G264" s="69" t="s">
        <v>1515</v>
      </c>
      <c r="H264" s="136" t="s">
        <v>236</v>
      </c>
      <c r="I264" s="137">
        <v>823</v>
      </c>
      <c r="J264" s="132">
        <v>610</v>
      </c>
      <c r="K264" s="146">
        <v>1433</v>
      </c>
      <c r="L264" s="48" t="s">
        <v>54</v>
      </c>
      <c r="M264" s="47">
        <f t="shared" si="5"/>
        <v>2024254</v>
      </c>
      <c r="N264" s="47">
        <v>10</v>
      </c>
    </row>
    <row r="265" spans="1:14" x14ac:dyDescent="0.3">
      <c r="A265" s="47">
        <v>2024255</v>
      </c>
      <c r="B265" s="48" t="s">
        <v>1043</v>
      </c>
      <c r="C265" s="135" t="s">
        <v>1003</v>
      </c>
      <c r="D265" s="69" t="s">
        <v>89</v>
      </c>
      <c r="E265" s="69" t="s">
        <v>90</v>
      </c>
      <c r="F265" s="69">
        <v>5231994</v>
      </c>
      <c r="G265" s="69" t="s">
        <v>1516</v>
      </c>
      <c r="H265" s="136" t="s">
        <v>236</v>
      </c>
      <c r="I265" s="137">
        <v>823</v>
      </c>
      <c r="J265" s="132">
        <v>377</v>
      </c>
      <c r="K265" s="146">
        <v>1180</v>
      </c>
      <c r="L265" s="48" t="s">
        <v>96</v>
      </c>
      <c r="M265" s="47">
        <f t="shared" si="5"/>
        <v>2024255</v>
      </c>
      <c r="N265" s="47">
        <v>10</v>
      </c>
    </row>
    <row r="266" spans="1:14" x14ac:dyDescent="0.3">
      <c r="A266" s="47">
        <v>2024256</v>
      </c>
      <c r="B266" s="48" t="s">
        <v>1066</v>
      </c>
      <c r="C266" s="138" t="s">
        <v>8</v>
      </c>
      <c r="D266" s="69" t="s">
        <v>242</v>
      </c>
      <c r="E266" s="136" t="s">
        <v>244</v>
      </c>
      <c r="F266" s="136" t="s">
        <v>1291</v>
      </c>
      <c r="G266" s="69" t="s">
        <v>1517</v>
      </c>
      <c r="H266" s="136" t="s">
        <v>236</v>
      </c>
      <c r="I266" s="137">
        <v>740</v>
      </c>
      <c r="J266" s="132">
        <v>610</v>
      </c>
      <c r="K266" s="146">
        <v>0</v>
      </c>
      <c r="L266" s="48" t="s">
        <v>54</v>
      </c>
      <c r="M266" s="47">
        <f t="shared" si="5"/>
        <v>2024256</v>
      </c>
      <c r="N266" s="47">
        <v>10</v>
      </c>
    </row>
    <row r="267" spans="1:14" x14ac:dyDescent="0.3">
      <c r="A267" s="47">
        <v>2024257</v>
      </c>
      <c r="B267" s="48" t="s">
        <v>1097</v>
      </c>
      <c r="C267" s="135" t="s">
        <v>1004</v>
      </c>
      <c r="D267" s="69" t="s">
        <v>1259</v>
      </c>
      <c r="E267" s="69" t="s">
        <v>243</v>
      </c>
      <c r="F267" s="69">
        <v>5160853010</v>
      </c>
      <c r="G267" s="69" t="s">
        <v>1518</v>
      </c>
      <c r="H267" s="136">
        <v>2</v>
      </c>
      <c r="I267" s="137">
        <v>1646</v>
      </c>
      <c r="J267" s="132">
        <v>1004</v>
      </c>
      <c r="K267" s="146">
        <v>2650</v>
      </c>
      <c r="L267" s="48" t="s">
        <v>117</v>
      </c>
      <c r="M267" s="47">
        <f t="shared" si="5"/>
        <v>2024257</v>
      </c>
      <c r="N267" s="47">
        <v>10</v>
      </c>
    </row>
    <row r="268" spans="1:14" x14ac:dyDescent="0.3">
      <c r="A268" s="47">
        <v>2024258</v>
      </c>
      <c r="B268" s="48" t="s">
        <v>1116</v>
      </c>
      <c r="C268" s="138" t="s">
        <v>1005</v>
      </c>
      <c r="D268" s="69" t="s">
        <v>1260</v>
      </c>
      <c r="E268" s="69" t="s">
        <v>1350</v>
      </c>
      <c r="F268" s="69">
        <v>4407401</v>
      </c>
      <c r="G268" s="69" t="s">
        <v>1519</v>
      </c>
      <c r="H268" s="69">
        <v>2</v>
      </c>
      <c r="I268" s="137">
        <v>1646</v>
      </c>
      <c r="J268" s="132">
        <v>974</v>
      </c>
      <c r="K268" s="146">
        <v>0</v>
      </c>
      <c r="L268" s="48" t="s">
        <v>117</v>
      </c>
      <c r="M268" s="47">
        <f t="shared" si="5"/>
        <v>2024258</v>
      </c>
      <c r="N268" s="47">
        <v>10</v>
      </c>
    </row>
    <row r="269" spans="1:14" x14ac:dyDescent="0.3">
      <c r="A269" s="47">
        <v>2024259</v>
      </c>
      <c r="B269" s="48" t="s">
        <v>1048</v>
      </c>
      <c r="C269" s="135" t="s">
        <v>1006</v>
      </c>
      <c r="D269" s="69" t="s">
        <v>1261</v>
      </c>
      <c r="E269" s="136" t="s">
        <v>244</v>
      </c>
      <c r="F269" s="136" t="s">
        <v>1291</v>
      </c>
      <c r="G269" s="69" t="s">
        <v>1520</v>
      </c>
      <c r="H269" s="136" t="s">
        <v>236</v>
      </c>
      <c r="I269" s="137">
        <v>690</v>
      </c>
      <c r="J269" s="132">
        <v>610</v>
      </c>
      <c r="K269" s="146">
        <v>1300</v>
      </c>
      <c r="L269" s="48" t="s">
        <v>54</v>
      </c>
      <c r="M269" s="47">
        <f t="shared" si="5"/>
        <v>2024259</v>
      </c>
      <c r="N269" s="47">
        <v>10</v>
      </c>
    </row>
    <row r="270" spans="1:14" x14ac:dyDescent="0.3">
      <c r="A270" s="47">
        <v>2024260</v>
      </c>
      <c r="B270" s="48" t="s">
        <v>1039</v>
      </c>
      <c r="C270" s="135" t="s">
        <v>1007</v>
      </c>
      <c r="D270" s="69" t="s">
        <v>1262</v>
      </c>
      <c r="E270" s="136" t="s">
        <v>236</v>
      </c>
      <c r="F270" s="136" t="s">
        <v>236</v>
      </c>
      <c r="G270" s="69" t="s">
        <v>1521</v>
      </c>
      <c r="H270" s="136" t="s">
        <v>236</v>
      </c>
      <c r="I270" s="137">
        <v>823</v>
      </c>
      <c r="J270" s="132">
        <v>364</v>
      </c>
      <c r="K270" s="146">
        <v>1187</v>
      </c>
      <c r="L270" s="48" t="s">
        <v>53</v>
      </c>
      <c r="M270" s="47">
        <f t="shared" si="5"/>
        <v>2024260</v>
      </c>
      <c r="N270" s="47">
        <v>10</v>
      </c>
    </row>
    <row r="271" spans="1:14" x14ac:dyDescent="0.3">
      <c r="A271" s="47">
        <v>2024261</v>
      </c>
      <c r="B271" s="48" t="s">
        <v>1039</v>
      </c>
      <c r="C271" s="135" t="s">
        <v>1008</v>
      </c>
      <c r="D271" s="69" t="s">
        <v>1263</v>
      </c>
      <c r="E271" s="69" t="s">
        <v>244</v>
      </c>
      <c r="F271" s="69" t="s">
        <v>1291</v>
      </c>
      <c r="G271" s="69" t="s">
        <v>1522</v>
      </c>
      <c r="H271" s="136" t="s">
        <v>236</v>
      </c>
      <c r="I271" s="137">
        <v>716</v>
      </c>
      <c r="J271" s="132">
        <v>364</v>
      </c>
      <c r="K271" s="146">
        <v>1080</v>
      </c>
      <c r="L271" s="48" t="s">
        <v>53</v>
      </c>
      <c r="M271" s="47">
        <f t="shared" si="5"/>
        <v>2024261</v>
      </c>
      <c r="N271" s="47">
        <v>10</v>
      </c>
    </row>
    <row r="272" spans="1:14" x14ac:dyDescent="0.3">
      <c r="A272" s="47">
        <v>2024262</v>
      </c>
      <c r="B272" s="48" t="s">
        <v>1066</v>
      </c>
      <c r="C272" s="138" t="s">
        <v>227</v>
      </c>
      <c r="D272" s="69" t="s">
        <v>228</v>
      </c>
      <c r="E272" s="69" t="s">
        <v>201</v>
      </c>
      <c r="F272" s="69">
        <v>4795779</v>
      </c>
      <c r="G272" s="69" t="s">
        <v>1523</v>
      </c>
      <c r="H272" s="136" t="s">
        <v>236</v>
      </c>
      <c r="I272" s="137">
        <v>823</v>
      </c>
      <c r="J272" s="132">
        <v>610</v>
      </c>
      <c r="K272" s="146">
        <v>1433</v>
      </c>
      <c r="L272" s="48" t="s">
        <v>54</v>
      </c>
      <c r="M272" s="47">
        <f t="shared" si="5"/>
        <v>2024262</v>
      </c>
      <c r="N272" s="47">
        <v>10</v>
      </c>
    </row>
    <row r="273" spans="1:14" x14ac:dyDescent="0.3">
      <c r="A273" s="47">
        <v>2024263</v>
      </c>
      <c r="B273" s="48" t="s">
        <v>1043</v>
      </c>
      <c r="C273" s="135" t="s">
        <v>1606</v>
      </c>
      <c r="D273" s="69" t="s">
        <v>1607</v>
      </c>
      <c r="E273" s="69" t="s">
        <v>1608</v>
      </c>
      <c r="F273" s="69">
        <v>6195635</v>
      </c>
      <c r="G273" s="69" t="s">
        <v>1609</v>
      </c>
      <c r="H273" s="69"/>
      <c r="I273" s="132">
        <v>823</v>
      </c>
      <c r="J273" s="132">
        <v>377</v>
      </c>
      <c r="K273" s="146">
        <v>1200</v>
      </c>
      <c r="L273" s="48" t="s">
        <v>96</v>
      </c>
      <c r="M273" s="47">
        <f t="shared" si="5"/>
        <v>2024263</v>
      </c>
      <c r="N273" s="47">
        <v>10</v>
      </c>
    </row>
    <row r="274" spans="1:14" x14ac:dyDescent="0.3">
      <c r="A274" s="47">
        <v>2024264</v>
      </c>
      <c r="B274" s="48" t="s">
        <v>1060</v>
      </c>
      <c r="C274" s="135" t="s">
        <v>1009</v>
      </c>
      <c r="D274" s="69" t="s">
        <v>1264</v>
      </c>
      <c r="E274" s="69" t="s">
        <v>1351</v>
      </c>
      <c r="F274" s="69">
        <v>785855</v>
      </c>
      <c r="G274" s="69" t="s">
        <v>1524</v>
      </c>
      <c r="H274" s="69"/>
      <c r="I274" s="137">
        <v>823</v>
      </c>
      <c r="J274" s="132">
        <v>627</v>
      </c>
      <c r="K274" s="146">
        <v>1450</v>
      </c>
      <c r="L274" s="48" t="s">
        <v>54</v>
      </c>
      <c r="M274" s="47">
        <f t="shared" si="5"/>
        <v>2024264</v>
      </c>
      <c r="N274" s="47">
        <v>10</v>
      </c>
    </row>
    <row r="275" spans="1:14" x14ac:dyDescent="0.3">
      <c r="A275" s="47">
        <v>2024265</v>
      </c>
      <c r="B275" s="48" t="s">
        <v>1045</v>
      </c>
      <c r="C275" s="138" t="s">
        <v>5</v>
      </c>
      <c r="D275" s="69" t="s">
        <v>373</v>
      </c>
      <c r="E275" s="69" t="s">
        <v>244</v>
      </c>
      <c r="F275" s="69" t="s">
        <v>1291</v>
      </c>
      <c r="G275" s="69" t="s">
        <v>1525</v>
      </c>
      <c r="H275" s="136" t="s">
        <v>236</v>
      </c>
      <c r="I275" s="137">
        <v>490</v>
      </c>
      <c r="J275" s="132">
        <v>610</v>
      </c>
      <c r="K275" s="146">
        <v>1250</v>
      </c>
      <c r="L275" s="48" t="s">
        <v>54</v>
      </c>
      <c r="M275" s="47">
        <f t="shared" si="5"/>
        <v>2024265</v>
      </c>
      <c r="N275" s="47">
        <v>10</v>
      </c>
    </row>
    <row r="276" spans="1:14" x14ac:dyDescent="0.3">
      <c r="A276" s="47">
        <v>2024266</v>
      </c>
      <c r="B276" s="48" t="s">
        <v>1633</v>
      </c>
      <c r="C276" s="138" t="s">
        <v>1632</v>
      </c>
      <c r="D276" s="69" t="s">
        <v>379</v>
      </c>
      <c r="E276" s="136" t="s">
        <v>300</v>
      </c>
      <c r="F276" s="136">
        <v>5211933015</v>
      </c>
      <c r="G276" s="69" t="s">
        <v>380</v>
      </c>
      <c r="H276" s="136" t="s">
        <v>236</v>
      </c>
      <c r="I276" s="137">
        <v>1646</v>
      </c>
      <c r="J276" s="132">
        <v>728</v>
      </c>
      <c r="K276" s="146">
        <v>0</v>
      </c>
      <c r="L276" s="48" t="s">
        <v>304</v>
      </c>
      <c r="M276" s="47">
        <f t="shared" si="5"/>
        <v>2024266</v>
      </c>
      <c r="N276" s="47">
        <v>10</v>
      </c>
    </row>
    <row r="277" spans="1:14" x14ac:dyDescent="0.3">
      <c r="A277" s="47">
        <v>2024267</v>
      </c>
      <c r="B277" s="48" t="s">
        <v>1043</v>
      </c>
      <c r="C277" s="135" t="s">
        <v>1010</v>
      </c>
      <c r="D277" s="69" t="s">
        <v>1265</v>
      </c>
      <c r="E277" s="136" t="s">
        <v>2024</v>
      </c>
      <c r="F277" s="136">
        <v>6505345016</v>
      </c>
      <c r="G277" s="69" t="s">
        <v>1526</v>
      </c>
      <c r="H277" s="136" t="s">
        <v>236</v>
      </c>
      <c r="I277" s="137">
        <v>823</v>
      </c>
      <c r="J277" s="132">
        <v>377</v>
      </c>
      <c r="K277" s="146">
        <v>1200</v>
      </c>
      <c r="L277" s="48" t="s">
        <v>96</v>
      </c>
      <c r="M277" s="47">
        <f t="shared" si="5"/>
        <v>2024267</v>
      </c>
      <c r="N277" s="47">
        <v>10</v>
      </c>
    </row>
    <row r="278" spans="1:14" x14ac:dyDescent="0.3">
      <c r="A278" s="47">
        <v>2024268</v>
      </c>
      <c r="B278" s="48" t="s">
        <v>1052</v>
      </c>
      <c r="C278" s="138" t="s">
        <v>1011</v>
      </c>
      <c r="D278" s="69" t="s">
        <v>1266</v>
      </c>
      <c r="E278" s="69" t="s">
        <v>1352</v>
      </c>
      <c r="F278" s="69">
        <v>2707823</v>
      </c>
      <c r="G278" s="69" t="s">
        <v>1527</v>
      </c>
      <c r="H278" s="136" t="s">
        <v>236</v>
      </c>
      <c r="I278" s="137">
        <v>823</v>
      </c>
      <c r="J278" s="132">
        <v>364</v>
      </c>
      <c r="K278" s="146">
        <v>1187</v>
      </c>
      <c r="L278" s="48" t="s">
        <v>53</v>
      </c>
      <c r="M278" s="47">
        <f t="shared" si="5"/>
        <v>2024268</v>
      </c>
      <c r="N278" s="47">
        <v>10</v>
      </c>
    </row>
    <row r="279" spans="1:14" x14ac:dyDescent="0.3">
      <c r="A279" s="47">
        <v>2024269</v>
      </c>
      <c r="B279" s="48" t="s">
        <v>1120</v>
      </c>
      <c r="C279" s="138" t="s">
        <v>361</v>
      </c>
      <c r="D279" s="69" t="s">
        <v>1619</v>
      </c>
      <c r="E279" s="136" t="s">
        <v>244</v>
      </c>
      <c r="F279" s="136" t="s">
        <v>1291</v>
      </c>
      <c r="G279" s="69" t="s">
        <v>362</v>
      </c>
      <c r="H279" s="136">
        <v>2</v>
      </c>
      <c r="I279" s="137">
        <v>1000</v>
      </c>
      <c r="J279" s="132">
        <v>0</v>
      </c>
      <c r="K279" s="146">
        <v>0</v>
      </c>
      <c r="L279" s="48" t="s">
        <v>53</v>
      </c>
      <c r="M279" s="47">
        <f t="shared" si="5"/>
        <v>2024269</v>
      </c>
      <c r="N279" s="47">
        <v>10</v>
      </c>
    </row>
    <row r="280" spans="1:14" x14ac:dyDescent="0.3">
      <c r="A280" s="47">
        <v>2024270</v>
      </c>
      <c r="B280" s="48" t="s">
        <v>1042</v>
      </c>
      <c r="C280" s="138" t="s">
        <v>384</v>
      </c>
      <c r="D280" s="69" t="s">
        <v>385</v>
      </c>
      <c r="E280" s="69" t="s">
        <v>244</v>
      </c>
      <c r="F280" s="69" t="s">
        <v>244</v>
      </c>
      <c r="G280" s="69" t="s">
        <v>1528</v>
      </c>
      <c r="H280" s="136" t="s">
        <v>236</v>
      </c>
      <c r="I280" s="137">
        <v>686</v>
      </c>
      <c r="J280" s="132">
        <v>364</v>
      </c>
      <c r="K280" s="146">
        <v>0</v>
      </c>
      <c r="L280" s="48" t="s">
        <v>53</v>
      </c>
      <c r="M280" s="47">
        <f t="shared" si="5"/>
        <v>2024270</v>
      </c>
      <c r="N280" s="47">
        <v>10</v>
      </c>
    </row>
    <row r="281" spans="1:14" x14ac:dyDescent="0.3">
      <c r="A281" s="47">
        <v>2024271</v>
      </c>
      <c r="B281" s="48" t="s">
        <v>1062</v>
      </c>
      <c r="C281" s="138" t="s">
        <v>98</v>
      </c>
      <c r="D281" s="69" t="s">
        <v>99</v>
      </c>
      <c r="E281" s="69" t="s">
        <v>244</v>
      </c>
      <c r="F281" s="69" t="s">
        <v>1291</v>
      </c>
      <c r="G281" s="69" t="s">
        <v>1529</v>
      </c>
      <c r="H281" s="136" t="s">
        <v>236</v>
      </c>
      <c r="I281" s="137">
        <v>736</v>
      </c>
      <c r="J281" s="132">
        <v>364</v>
      </c>
      <c r="K281" s="146">
        <v>0</v>
      </c>
      <c r="L281" s="48" t="s">
        <v>53</v>
      </c>
      <c r="M281" s="47">
        <f t="shared" si="5"/>
        <v>2024271</v>
      </c>
      <c r="N281" s="47">
        <v>10</v>
      </c>
    </row>
    <row r="282" spans="1:14" x14ac:dyDescent="0.3">
      <c r="A282" s="47">
        <v>2024272</v>
      </c>
      <c r="B282" s="48" t="s">
        <v>1630</v>
      </c>
      <c r="C282" s="138" t="s">
        <v>1012</v>
      </c>
      <c r="D282" s="69" t="s">
        <v>213</v>
      </c>
      <c r="E282" s="69" t="s">
        <v>244</v>
      </c>
      <c r="F282" s="69" t="s">
        <v>1291</v>
      </c>
      <c r="G282" s="69" t="s">
        <v>214</v>
      </c>
      <c r="H282" s="69">
        <v>3</v>
      </c>
      <c r="I282" s="137">
        <v>1662</v>
      </c>
      <c r="J282" s="132">
        <v>1338</v>
      </c>
      <c r="K282" s="146">
        <v>0</v>
      </c>
      <c r="L282" s="48" t="s">
        <v>117</v>
      </c>
      <c r="M282" s="47">
        <f t="shared" si="5"/>
        <v>2024272</v>
      </c>
      <c r="N282" s="47">
        <v>10</v>
      </c>
    </row>
    <row r="283" spans="1:14" x14ac:dyDescent="0.3">
      <c r="A283" s="47">
        <v>2024273</v>
      </c>
      <c r="B283" s="48" t="s">
        <v>1044</v>
      </c>
      <c r="C283" s="138" t="s">
        <v>17</v>
      </c>
      <c r="D283" s="69" t="s">
        <v>332</v>
      </c>
      <c r="E283" s="69" t="s">
        <v>244</v>
      </c>
      <c r="F283" s="69" t="s">
        <v>1291</v>
      </c>
      <c r="G283" s="69" t="s">
        <v>1530</v>
      </c>
      <c r="H283" s="136" t="s">
        <v>236</v>
      </c>
      <c r="I283" s="137">
        <v>740</v>
      </c>
      <c r="J283" s="132">
        <v>610</v>
      </c>
      <c r="K283" s="146">
        <v>1350</v>
      </c>
      <c r="L283" s="48" t="s">
        <v>54</v>
      </c>
      <c r="M283" s="47">
        <f t="shared" si="5"/>
        <v>2024273</v>
      </c>
      <c r="N283" s="47">
        <v>10</v>
      </c>
    </row>
    <row r="284" spans="1:14" x14ac:dyDescent="0.3">
      <c r="A284" s="47">
        <v>2024274</v>
      </c>
      <c r="B284" s="48" t="s">
        <v>1065</v>
      </c>
      <c r="C284" s="138" t="s">
        <v>1013</v>
      </c>
      <c r="D284" s="69" t="s">
        <v>1588</v>
      </c>
      <c r="E284" s="136" t="s">
        <v>244</v>
      </c>
      <c r="F284" s="136" t="s">
        <v>1291</v>
      </c>
      <c r="G284" s="69" t="s">
        <v>1531</v>
      </c>
      <c r="H284" s="136" t="s">
        <v>236</v>
      </c>
      <c r="I284" s="137">
        <v>740</v>
      </c>
      <c r="J284" s="132">
        <v>610</v>
      </c>
      <c r="K284" s="146">
        <v>1433</v>
      </c>
      <c r="L284" s="48" t="s">
        <v>54</v>
      </c>
      <c r="M284" s="47">
        <f t="shared" si="5"/>
        <v>2024274</v>
      </c>
      <c r="N284" s="47">
        <v>10</v>
      </c>
    </row>
    <row r="285" spans="1:14" x14ac:dyDescent="0.3">
      <c r="A285" s="47">
        <v>2024275</v>
      </c>
      <c r="B285" s="48" t="s">
        <v>1605</v>
      </c>
      <c r="C285" s="138" t="s">
        <v>1670</v>
      </c>
      <c r="D285" s="69" t="s">
        <v>1671</v>
      </c>
      <c r="E285" s="69" t="s">
        <v>244</v>
      </c>
      <c r="F285" s="69" t="s">
        <v>1291</v>
      </c>
      <c r="G285" s="69" t="s">
        <v>1672</v>
      </c>
      <c r="H285" s="69">
        <v>2</v>
      </c>
      <c r="I285" s="137">
        <v>1356</v>
      </c>
      <c r="J285" s="132">
        <v>974</v>
      </c>
      <c r="K285" s="146">
        <v>2330</v>
      </c>
      <c r="L285" s="48" t="s">
        <v>54</v>
      </c>
      <c r="M285" s="47">
        <f t="shared" si="5"/>
        <v>2024275</v>
      </c>
      <c r="N285" s="47">
        <v>10</v>
      </c>
    </row>
    <row r="286" spans="1:14" x14ac:dyDescent="0.3">
      <c r="A286" s="47">
        <v>2024276</v>
      </c>
      <c r="B286" s="48" t="s">
        <v>1631</v>
      </c>
      <c r="C286" s="138" t="s">
        <v>1563</v>
      </c>
      <c r="D286" s="69" t="s">
        <v>1267</v>
      </c>
      <c r="E286" s="69" t="s">
        <v>1353</v>
      </c>
      <c r="F286" s="69">
        <v>5270661</v>
      </c>
      <c r="G286" s="69" t="s">
        <v>1532</v>
      </c>
      <c r="H286" s="136">
        <v>2</v>
      </c>
      <c r="I286" s="137">
        <v>1646</v>
      </c>
      <c r="J286" s="132">
        <v>728</v>
      </c>
      <c r="K286" s="146">
        <v>0</v>
      </c>
      <c r="L286" s="48" t="s">
        <v>273</v>
      </c>
      <c r="M286" s="47">
        <f t="shared" si="5"/>
        <v>2024276</v>
      </c>
      <c r="N286" s="47">
        <v>10</v>
      </c>
    </row>
    <row r="287" spans="1:14" x14ac:dyDescent="0.3">
      <c r="A287" s="47">
        <v>2024277</v>
      </c>
      <c r="B287" s="48" t="s">
        <v>1095</v>
      </c>
      <c r="C287" s="135" t="s">
        <v>1014</v>
      </c>
      <c r="D287" s="69" t="s">
        <v>1268</v>
      </c>
      <c r="E287" s="69" t="s">
        <v>244</v>
      </c>
      <c r="F287" s="136" t="s">
        <v>1291</v>
      </c>
      <c r="G287" s="69" t="s">
        <v>1533</v>
      </c>
      <c r="H287" s="136">
        <v>2</v>
      </c>
      <c r="I287" s="137">
        <v>1000</v>
      </c>
      <c r="J287" s="132">
        <v>0</v>
      </c>
      <c r="K287" s="146">
        <v>0</v>
      </c>
      <c r="L287" s="48" t="s">
        <v>117</v>
      </c>
      <c r="M287" s="47">
        <f t="shared" si="5"/>
        <v>2024277</v>
      </c>
      <c r="N287" s="47">
        <v>10</v>
      </c>
    </row>
    <row r="288" spans="1:14" x14ac:dyDescent="0.3">
      <c r="A288" s="47">
        <v>2024278</v>
      </c>
      <c r="B288" s="48" t="s">
        <v>1071</v>
      </c>
      <c r="C288" s="138" t="s">
        <v>1015</v>
      </c>
      <c r="D288" s="69" t="s">
        <v>1269</v>
      </c>
      <c r="E288" s="136" t="s">
        <v>244</v>
      </c>
      <c r="F288" s="136" t="s">
        <v>1291</v>
      </c>
      <c r="G288" s="69" t="s">
        <v>1534</v>
      </c>
      <c r="H288" s="69">
        <v>2</v>
      </c>
      <c r="I288" s="137">
        <v>1472</v>
      </c>
      <c r="J288" s="132">
        <v>728</v>
      </c>
      <c r="K288" s="146">
        <v>0</v>
      </c>
      <c r="L288" s="48" t="s">
        <v>53</v>
      </c>
      <c r="M288" s="47">
        <f t="shared" si="5"/>
        <v>2024278</v>
      </c>
      <c r="N288" s="47">
        <v>10</v>
      </c>
    </row>
    <row r="289" spans="1:14" x14ac:dyDescent="0.3">
      <c r="A289" s="47">
        <v>2024279</v>
      </c>
      <c r="B289" s="48" t="s">
        <v>1040</v>
      </c>
      <c r="C289" s="138" t="s">
        <v>1016</v>
      </c>
      <c r="D289" s="69" t="s">
        <v>1270</v>
      </c>
      <c r="E289" s="69" t="s">
        <v>1354</v>
      </c>
      <c r="F289" s="69">
        <v>4414336</v>
      </c>
      <c r="G289" s="69" t="s">
        <v>1535</v>
      </c>
      <c r="H289" s="136" t="s">
        <v>236</v>
      </c>
      <c r="I289" s="137">
        <v>823</v>
      </c>
      <c r="J289" s="132">
        <v>364</v>
      </c>
      <c r="K289" s="146">
        <v>1187</v>
      </c>
      <c r="L289" s="48" t="s">
        <v>53</v>
      </c>
      <c r="M289" s="47">
        <f t="shared" si="5"/>
        <v>2024279</v>
      </c>
      <c r="N289" s="47">
        <v>10</v>
      </c>
    </row>
    <row r="290" spans="1:14" x14ac:dyDescent="0.3">
      <c r="A290" s="47">
        <v>2024280</v>
      </c>
      <c r="B290" s="48" t="s">
        <v>1112</v>
      </c>
      <c r="C290" s="138" t="s">
        <v>1017</v>
      </c>
      <c r="D290" s="69" t="s">
        <v>405</v>
      </c>
      <c r="E290" s="136" t="s">
        <v>1634</v>
      </c>
      <c r="F290" s="136">
        <v>987356</v>
      </c>
      <c r="G290" s="69" t="s">
        <v>122</v>
      </c>
      <c r="H290" s="136">
        <v>2</v>
      </c>
      <c r="I290" s="137">
        <v>1646</v>
      </c>
      <c r="J290" s="132">
        <v>728</v>
      </c>
      <c r="K290" s="146">
        <v>2374</v>
      </c>
      <c r="L290" s="48" t="s">
        <v>53</v>
      </c>
      <c r="M290" s="47">
        <f t="shared" si="5"/>
        <v>2024280</v>
      </c>
      <c r="N290" s="47">
        <v>10</v>
      </c>
    </row>
    <row r="291" spans="1:14" x14ac:dyDescent="0.3">
      <c r="A291" s="47">
        <v>2024281</v>
      </c>
      <c r="B291" s="48" t="s">
        <v>1096</v>
      </c>
      <c r="C291" s="138" t="s">
        <v>1018</v>
      </c>
      <c r="D291" s="69" t="s">
        <v>1271</v>
      </c>
      <c r="E291" s="136" t="s">
        <v>236</v>
      </c>
      <c r="F291" s="136" t="s">
        <v>236</v>
      </c>
      <c r="G291" s="69" t="s">
        <v>1536</v>
      </c>
      <c r="H291" s="136">
        <v>2</v>
      </c>
      <c r="I291" s="137">
        <v>1646</v>
      </c>
      <c r="J291" s="132">
        <v>728</v>
      </c>
      <c r="K291" s="146">
        <v>0</v>
      </c>
      <c r="L291" s="48" t="s">
        <v>53</v>
      </c>
      <c r="M291" s="47">
        <f t="shared" si="5"/>
        <v>2024281</v>
      </c>
      <c r="N291" s="47">
        <v>10</v>
      </c>
    </row>
    <row r="292" spans="1:14" x14ac:dyDescent="0.3">
      <c r="A292" s="47">
        <v>2024282</v>
      </c>
      <c r="B292" s="48" t="s">
        <v>1611</v>
      </c>
      <c r="C292" s="135" t="s">
        <v>1019</v>
      </c>
      <c r="D292" s="69" t="s">
        <v>1272</v>
      </c>
      <c r="E292" s="69" t="s">
        <v>1355</v>
      </c>
      <c r="F292" s="69">
        <v>3730966</v>
      </c>
      <c r="G292" s="69" t="s">
        <v>1537</v>
      </c>
      <c r="H292" s="69">
        <v>3</v>
      </c>
      <c r="I292" s="137">
        <v>1092</v>
      </c>
      <c r="J292" s="132">
        <v>1908</v>
      </c>
      <c r="K292" s="146">
        <v>3000</v>
      </c>
      <c r="L292" s="48" t="s">
        <v>205</v>
      </c>
      <c r="M292" s="47">
        <f t="shared" si="5"/>
        <v>2024282</v>
      </c>
      <c r="N292" s="47">
        <v>10</v>
      </c>
    </row>
    <row r="293" spans="1:14" x14ac:dyDescent="0.3">
      <c r="A293" s="47">
        <v>2024283</v>
      </c>
      <c r="B293" s="48" t="s">
        <v>1059</v>
      </c>
      <c r="C293" s="135" t="s">
        <v>1020</v>
      </c>
      <c r="D293" s="69" t="s">
        <v>1273</v>
      </c>
      <c r="E293" s="69" t="s">
        <v>1356</v>
      </c>
      <c r="F293" s="69">
        <v>5236146</v>
      </c>
      <c r="G293" s="69" t="s">
        <v>1538</v>
      </c>
      <c r="H293" s="136" t="s">
        <v>236</v>
      </c>
      <c r="I293" s="137">
        <v>823</v>
      </c>
      <c r="J293" s="132">
        <v>364</v>
      </c>
      <c r="K293" s="146">
        <v>1187</v>
      </c>
      <c r="L293" s="48" t="s">
        <v>53</v>
      </c>
      <c r="M293" s="47">
        <f t="shared" si="5"/>
        <v>2024283</v>
      </c>
      <c r="N293" s="47">
        <v>10</v>
      </c>
    </row>
    <row r="294" spans="1:14" x14ac:dyDescent="0.3">
      <c r="A294" s="47">
        <v>2024284</v>
      </c>
      <c r="B294" s="48" t="s">
        <v>1052</v>
      </c>
      <c r="C294" s="138" t="s">
        <v>1021</v>
      </c>
      <c r="D294" s="69" t="s">
        <v>1274</v>
      </c>
      <c r="E294" s="69" t="s">
        <v>1357</v>
      </c>
      <c r="F294" s="69">
        <v>3145036</v>
      </c>
      <c r="G294" s="69" t="s">
        <v>1539</v>
      </c>
      <c r="H294" s="136" t="s">
        <v>236</v>
      </c>
      <c r="I294" s="137">
        <v>823</v>
      </c>
      <c r="J294" s="132">
        <v>364</v>
      </c>
      <c r="K294" s="146">
        <v>0</v>
      </c>
      <c r="L294" s="48" t="s">
        <v>53</v>
      </c>
      <c r="M294" s="47">
        <f t="shared" si="5"/>
        <v>2024284</v>
      </c>
      <c r="N294" s="47">
        <v>10</v>
      </c>
    </row>
    <row r="295" spans="1:14" x14ac:dyDescent="0.3">
      <c r="A295" s="47">
        <v>2024285</v>
      </c>
      <c r="B295" s="48" t="s">
        <v>1058</v>
      </c>
      <c r="C295" s="135" t="s">
        <v>1022</v>
      </c>
      <c r="D295" s="69" t="s">
        <v>1275</v>
      </c>
      <c r="E295" s="136" t="s">
        <v>1976</v>
      </c>
      <c r="F295" s="136" t="s">
        <v>1977</v>
      </c>
      <c r="G295" s="69" t="s">
        <v>1540</v>
      </c>
      <c r="H295" s="136" t="s">
        <v>236</v>
      </c>
      <c r="I295" s="137">
        <v>823</v>
      </c>
      <c r="J295" s="132">
        <v>377</v>
      </c>
      <c r="K295" s="146">
        <v>1200</v>
      </c>
      <c r="L295" s="48" t="s">
        <v>53</v>
      </c>
      <c r="M295" s="47">
        <f t="shared" si="5"/>
        <v>2024285</v>
      </c>
      <c r="N295" s="47">
        <v>10</v>
      </c>
    </row>
    <row r="296" spans="1:14" x14ac:dyDescent="0.3">
      <c r="A296" s="47">
        <v>2024286</v>
      </c>
      <c r="B296" s="48" t="s">
        <v>1058</v>
      </c>
      <c r="C296" s="135" t="s">
        <v>1023</v>
      </c>
      <c r="D296" s="69" t="s">
        <v>1276</v>
      </c>
      <c r="E296" s="69" t="s">
        <v>1358</v>
      </c>
      <c r="F296" s="69">
        <v>5228679</v>
      </c>
      <c r="G296" s="69" t="s">
        <v>1541</v>
      </c>
      <c r="H296" s="136" t="s">
        <v>236</v>
      </c>
      <c r="I296" s="137">
        <v>823</v>
      </c>
      <c r="J296" s="132">
        <v>377</v>
      </c>
      <c r="K296" s="146">
        <v>1200</v>
      </c>
      <c r="L296" s="48" t="s">
        <v>53</v>
      </c>
      <c r="M296" s="47">
        <f t="shared" si="5"/>
        <v>2024286</v>
      </c>
      <c r="N296" s="47">
        <v>10</v>
      </c>
    </row>
    <row r="297" spans="1:14" x14ac:dyDescent="0.3">
      <c r="A297" s="47">
        <v>2024287</v>
      </c>
      <c r="B297" s="48" t="s">
        <v>1082</v>
      </c>
      <c r="C297" s="135" t="s">
        <v>1639</v>
      </c>
      <c r="D297" s="69" t="s">
        <v>1640</v>
      </c>
      <c r="E297" s="69" t="s">
        <v>1641</v>
      </c>
      <c r="F297" s="69">
        <v>1045239</v>
      </c>
      <c r="G297" s="69" t="s">
        <v>1642</v>
      </c>
      <c r="H297" s="69"/>
      <c r="I297" s="132">
        <v>823</v>
      </c>
      <c r="J297" s="132">
        <v>627</v>
      </c>
      <c r="K297" s="146">
        <v>1450</v>
      </c>
      <c r="L297" s="48" t="s">
        <v>54</v>
      </c>
      <c r="M297" s="47">
        <f t="shared" si="5"/>
        <v>2024287</v>
      </c>
      <c r="N297" s="47">
        <v>10</v>
      </c>
    </row>
    <row r="298" spans="1:14" x14ac:dyDescent="0.3">
      <c r="A298" s="47">
        <v>2024288</v>
      </c>
      <c r="B298" s="48" t="s">
        <v>1612</v>
      </c>
      <c r="C298" s="135" t="s">
        <v>1613</v>
      </c>
      <c r="D298" s="69" t="s">
        <v>1277</v>
      </c>
      <c r="E298" s="136" t="s">
        <v>244</v>
      </c>
      <c r="F298" s="136" t="s">
        <v>1291</v>
      </c>
      <c r="G298" s="136" t="s">
        <v>1542</v>
      </c>
      <c r="H298" s="136" t="s">
        <v>236</v>
      </c>
      <c r="I298" s="137">
        <v>1152</v>
      </c>
      <c r="J298" s="132">
        <v>728</v>
      </c>
      <c r="K298" s="146">
        <v>1080</v>
      </c>
      <c r="L298" s="48" t="s">
        <v>96</v>
      </c>
      <c r="M298" s="47">
        <f t="shared" si="5"/>
        <v>2024288</v>
      </c>
      <c r="N298" s="47">
        <v>10</v>
      </c>
    </row>
    <row r="299" spans="1:14" x14ac:dyDescent="0.3">
      <c r="A299" s="47">
        <v>2024289</v>
      </c>
      <c r="B299" s="48" t="s">
        <v>1121</v>
      </c>
      <c r="C299" s="135" t="s">
        <v>1024</v>
      </c>
      <c r="D299" s="69" t="s">
        <v>1278</v>
      </c>
      <c r="E299" s="136" t="s">
        <v>244</v>
      </c>
      <c r="F299" s="136" t="s">
        <v>1291</v>
      </c>
      <c r="G299" s="69" t="s">
        <v>1543</v>
      </c>
      <c r="H299" s="69">
        <v>2</v>
      </c>
      <c r="I299" s="137">
        <v>1426</v>
      </c>
      <c r="J299" s="132">
        <v>974</v>
      </c>
      <c r="K299" s="146">
        <v>2400</v>
      </c>
      <c r="L299" s="48" t="s">
        <v>117</v>
      </c>
      <c r="M299" s="47">
        <f t="shared" si="5"/>
        <v>2024289</v>
      </c>
      <c r="N299" s="47">
        <v>10</v>
      </c>
    </row>
    <row r="300" spans="1:14" x14ac:dyDescent="0.3">
      <c r="A300" s="47">
        <v>2024290</v>
      </c>
      <c r="B300" s="48" t="s">
        <v>1039</v>
      </c>
      <c r="C300" s="135" t="s">
        <v>1025</v>
      </c>
      <c r="D300" s="69" t="s">
        <v>1279</v>
      </c>
      <c r="E300" s="69" t="s">
        <v>1620</v>
      </c>
      <c r="F300" s="69" t="s">
        <v>1291</v>
      </c>
      <c r="G300" s="69" t="s">
        <v>1544</v>
      </c>
      <c r="H300" s="69"/>
      <c r="I300" s="137">
        <v>736</v>
      </c>
      <c r="J300" s="132">
        <v>364</v>
      </c>
      <c r="K300" s="146">
        <v>1100</v>
      </c>
      <c r="L300" s="48" t="s">
        <v>53</v>
      </c>
      <c r="M300" s="47">
        <f t="shared" si="5"/>
        <v>2024290</v>
      </c>
      <c r="N300" s="47">
        <v>10</v>
      </c>
    </row>
    <row r="301" spans="1:14" x14ac:dyDescent="0.3">
      <c r="A301" s="47">
        <v>2024291</v>
      </c>
      <c r="B301" s="48" t="s">
        <v>1621</v>
      </c>
      <c r="C301" s="138" t="s">
        <v>1564</v>
      </c>
      <c r="D301" s="69" t="s">
        <v>271</v>
      </c>
      <c r="E301" s="136" t="s">
        <v>244</v>
      </c>
      <c r="F301" s="136" t="s">
        <v>1291</v>
      </c>
      <c r="G301" s="69" t="s">
        <v>272</v>
      </c>
      <c r="H301" s="69">
        <v>3</v>
      </c>
      <c r="I301" s="137">
        <v>1000</v>
      </c>
      <c r="J301" s="132">
        <v>0</v>
      </c>
      <c r="K301" s="146">
        <v>0</v>
      </c>
      <c r="L301" s="48" t="s">
        <v>234</v>
      </c>
      <c r="M301" s="47">
        <f t="shared" si="5"/>
        <v>2024291</v>
      </c>
      <c r="N301" s="47">
        <v>10</v>
      </c>
    </row>
    <row r="302" spans="1:14" s="130" customFormat="1" x14ac:dyDescent="0.3">
      <c r="A302" s="47">
        <v>2024292</v>
      </c>
      <c r="B302" s="48" t="s">
        <v>1122</v>
      </c>
      <c r="C302" s="138" t="s">
        <v>25</v>
      </c>
      <c r="D302" s="69" t="s">
        <v>369</v>
      </c>
      <c r="E302" s="69" t="s">
        <v>370</v>
      </c>
      <c r="F302" s="69">
        <v>4419333</v>
      </c>
      <c r="G302" s="69" t="s">
        <v>1545</v>
      </c>
      <c r="H302" s="136" t="s">
        <v>236</v>
      </c>
      <c r="I302" s="137">
        <v>740</v>
      </c>
      <c r="J302" s="132">
        <v>610</v>
      </c>
      <c r="K302" s="146">
        <v>0</v>
      </c>
      <c r="L302" s="48" t="s">
        <v>54</v>
      </c>
      <c r="M302" s="47">
        <f t="shared" si="5"/>
        <v>2024292</v>
      </c>
      <c r="N302" s="47">
        <v>10</v>
      </c>
    </row>
    <row r="303" spans="1:14" x14ac:dyDescent="0.3">
      <c r="A303" s="47">
        <v>2024293</v>
      </c>
      <c r="B303" s="48" t="s">
        <v>1052</v>
      </c>
      <c r="C303" s="138" t="s">
        <v>1026</v>
      </c>
      <c r="D303" s="69" t="s">
        <v>278</v>
      </c>
      <c r="E303" s="136" t="s">
        <v>244</v>
      </c>
      <c r="F303" s="136" t="s">
        <v>1291</v>
      </c>
      <c r="G303" s="69" t="s">
        <v>279</v>
      </c>
      <c r="H303" s="136" t="s">
        <v>236</v>
      </c>
      <c r="I303" s="137">
        <v>736</v>
      </c>
      <c r="J303" s="132">
        <v>364</v>
      </c>
      <c r="K303" s="146">
        <v>1187</v>
      </c>
      <c r="L303" s="48" t="s">
        <v>53</v>
      </c>
      <c r="M303" s="47">
        <f t="shared" si="5"/>
        <v>2024293</v>
      </c>
      <c r="N303" s="47">
        <v>10</v>
      </c>
    </row>
    <row r="304" spans="1:14" x14ac:dyDescent="0.3">
      <c r="A304" s="47">
        <v>2024294</v>
      </c>
      <c r="B304" s="48" t="s">
        <v>1045</v>
      </c>
      <c r="C304" s="135" t="s">
        <v>1027</v>
      </c>
      <c r="D304" s="69" t="s">
        <v>1280</v>
      </c>
      <c r="E304" s="69" t="s">
        <v>1985</v>
      </c>
      <c r="F304" s="69" t="s">
        <v>1986</v>
      </c>
      <c r="G304" s="136" t="s">
        <v>236</v>
      </c>
      <c r="H304" s="136" t="s">
        <v>236</v>
      </c>
      <c r="I304" s="137">
        <v>823</v>
      </c>
      <c r="J304" s="132">
        <v>627</v>
      </c>
      <c r="K304" s="146">
        <v>1200</v>
      </c>
      <c r="L304" s="48" t="s">
        <v>54</v>
      </c>
      <c r="M304" s="47">
        <f t="shared" si="5"/>
        <v>2024294</v>
      </c>
      <c r="N304" s="47">
        <v>10</v>
      </c>
    </row>
    <row r="305" spans="1:14" x14ac:dyDescent="0.3">
      <c r="A305" s="47">
        <v>2024295</v>
      </c>
      <c r="B305" s="48" t="s">
        <v>1638</v>
      </c>
      <c r="C305" s="138" t="s">
        <v>1028</v>
      </c>
      <c r="D305" s="69" t="s">
        <v>245</v>
      </c>
      <c r="E305" s="136" t="s">
        <v>244</v>
      </c>
      <c r="F305" s="136" t="s">
        <v>1291</v>
      </c>
      <c r="G305" s="69" t="s">
        <v>1546</v>
      </c>
      <c r="H305" s="69">
        <v>2</v>
      </c>
      <c r="I305" s="137">
        <v>1126</v>
      </c>
      <c r="J305" s="132">
        <v>974</v>
      </c>
      <c r="K305" s="146">
        <v>0</v>
      </c>
      <c r="L305" s="48" t="s">
        <v>53</v>
      </c>
      <c r="M305" s="47">
        <f t="shared" si="5"/>
        <v>2024295</v>
      </c>
      <c r="N305" s="47">
        <v>10</v>
      </c>
    </row>
    <row r="306" spans="1:14" x14ac:dyDescent="0.3">
      <c r="A306" s="47">
        <v>2024296</v>
      </c>
      <c r="B306" s="48" t="s">
        <v>1066</v>
      </c>
      <c r="C306" s="138" t="s">
        <v>1029</v>
      </c>
      <c r="D306" s="69" t="s">
        <v>257</v>
      </c>
      <c r="E306" s="136" t="s">
        <v>399</v>
      </c>
      <c r="F306" s="136">
        <v>825762</v>
      </c>
      <c r="G306" s="69" t="s">
        <v>258</v>
      </c>
      <c r="H306" s="136" t="s">
        <v>236</v>
      </c>
      <c r="I306" s="137">
        <v>823</v>
      </c>
      <c r="J306" s="132">
        <v>610</v>
      </c>
      <c r="K306" s="146">
        <v>1433</v>
      </c>
      <c r="L306" s="48" t="s">
        <v>54</v>
      </c>
      <c r="M306" s="47">
        <f t="shared" si="5"/>
        <v>2024296</v>
      </c>
      <c r="N306" s="47">
        <v>10</v>
      </c>
    </row>
    <row r="307" spans="1:14" x14ac:dyDescent="0.3">
      <c r="A307" s="47">
        <v>2024297</v>
      </c>
      <c r="B307" s="48" t="s">
        <v>1124</v>
      </c>
      <c r="C307" s="138" t="s">
        <v>1030</v>
      </c>
      <c r="D307" s="69" t="s">
        <v>123</v>
      </c>
      <c r="E307" s="69" t="s">
        <v>124</v>
      </c>
      <c r="F307" s="69">
        <v>1248924</v>
      </c>
      <c r="G307" s="69" t="s">
        <v>1548</v>
      </c>
      <c r="H307" s="136">
        <v>2</v>
      </c>
      <c r="I307" s="137">
        <v>1646</v>
      </c>
      <c r="J307" s="132">
        <v>728</v>
      </c>
      <c r="K307" s="146">
        <v>0</v>
      </c>
      <c r="L307" s="48" t="s">
        <v>53</v>
      </c>
      <c r="M307" s="47">
        <f t="shared" si="5"/>
        <v>2024297</v>
      </c>
      <c r="N307" s="47">
        <v>10</v>
      </c>
    </row>
    <row r="308" spans="1:14" x14ac:dyDescent="0.3">
      <c r="A308" s="47">
        <v>2024298</v>
      </c>
      <c r="B308" s="48" t="s">
        <v>1118</v>
      </c>
      <c r="C308" s="138" t="s">
        <v>1031</v>
      </c>
      <c r="D308" s="69" t="s">
        <v>335</v>
      </c>
      <c r="E308" s="69" t="s">
        <v>244</v>
      </c>
      <c r="F308" s="69" t="s">
        <v>1291</v>
      </c>
      <c r="G308" s="69" t="s">
        <v>336</v>
      </c>
      <c r="H308" s="136">
        <v>2</v>
      </c>
      <c r="I308" s="137">
        <v>1472</v>
      </c>
      <c r="J308" s="132">
        <v>728</v>
      </c>
      <c r="K308" s="146">
        <v>2374</v>
      </c>
      <c r="L308" s="48" t="s">
        <v>205</v>
      </c>
      <c r="M308" s="47">
        <f t="shared" si="5"/>
        <v>2024298</v>
      </c>
      <c r="N308" s="47">
        <v>10</v>
      </c>
    </row>
    <row r="309" spans="1:14" x14ac:dyDescent="0.3">
      <c r="A309" s="47">
        <v>2024322</v>
      </c>
      <c r="B309" s="48" t="s">
        <v>1065</v>
      </c>
      <c r="C309" s="135" t="s">
        <v>1980</v>
      </c>
      <c r="D309" s="69" t="s">
        <v>1981</v>
      </c>
      <c r="E309" s="69" t="s">
        <v>1982</v>
      </c>
      <c r="F309" s="69">
        <v>1733150</v>
      </c>
      <c r="G309" s="69" t="s">
        <v>1984</v>
      </c>
      <c r="H309" s="136" t="s">
        <v>236</v>
      </c>
      <c r="I309" s="132">
        <v>823</v>
      </c>
      <c r="J309" s="132">
        <v>677</v>
      </c>
      <c r="K309" s="146">
        <v>0</v>
      </c>
      <c r="L309" s="48" t="s">
        <v>54</v>
      </c>
      <c r="M309" s="47">
        <f t="shared" si="5"/>
        <v>2024322</v>
      </c>
      <c r="N309" s="47">
        <v>10</v>
      </c>
    </row>
    <row r="310" spans="1:14" x14ac:dyDescent="0.3">
      <c r="A310" s="47">
        <v>2024299</v>
      </c>
      <c r="B310" s="48" t="s">
        <v>1041</v>
      </c>
      <c r="C310" s="135" t="s">
        <v>1635</v>
      </c>
      <c r="D310" s="69" t="s">
        <v>1636</v>
      </c>
      <c r="E310" s="136" t="s">
        <v>236</v>
      </c>
      <c r="F310" s="136" t="s">
        <v>236</v>
      </c>
      <c r="G310" s="69" t="s">
        <v>1637</v>
      </c>
      <c r="H310" s="136" t="s">
        <v>236</v>
      </c>
      <c r="I310" s="132">
        <v>823</v>
      </c>
      <c r="J310" s="132">
        <v>377</v>
      </c>
      <c r="K310" s="146">
        <v>1200</v>
      </c>
      <c r="L310" s="48" t="s">
        <v>53</v>
      </c>
      <c r="M310" s="47">
        <f t="shared" si="5"/>
        <v>2024299</v>
      </c>
      <c r="N310" s="47">
        <v>10</v>
      </c>
    </row>
    <row r="311" spans="1:14" x14ac:dyDescent="0.3">
      <c r="A311" s="47">
        <v>2024300</v>
      </c>
      <c r="B311" s="48" t="s">
        <v>1044</v>
      </c>
      <c r="C311" s="138" t="s">
        <v>287</v>
      </c>
      <c r="D311" s="69" t="s">
        <v>1282</v>
      </c>
      <c r="E311" s="136" t="s">
        <v>340</v>
      </c>
      <c r="F311" s="136">
        <v>3156641</v>
      </c>
      <c r="G311" s="69" t="s">
        <v>1549</v>
      </c>
      <c r="H311" s="136" t="s">
        <v>236</v>
      </c>
      <c r="I311" s="137">
        <v>740</v>
      </c>
      <c r="J311" s="132">
        <v>610</v>
      </c>
      <c r="K311" s="146">
        <v>1350</v>
      </c>
      <c r="L311" s="48" t="s">
        <v>54</v>
      </c>
      <c r="M311" s="47">
        <f t="shared" si="5"/>
        <v>2024300</v>
      </c>
      <c r="N311" s="47">
        <v>10</v>
      </c>
    </row>
    <row r="312" spans="1:14" x14ac:dyDescent="0.3">
      <c r="A312" s="47">
        <v>2024301</v>
      </c>
      <c r="B312" s="48" t="s">
        <v>1123</v>
      </c>
      <c r="C312" s="135" t="s">
        <v>1673</v>
      </c>
      <c r="D312" s="69" t="s">
        <v>1281</v>
      </c>
      <c r="E312" s="69" t="s">
        <v>1359</v>
      </c>
      <c r="F312" s="69">
        <v>4507625</v>
      </c>
      <c r="G312" s="69" t="s">
        <v>1547</v>
      </c>
      <c r="H312" s="136">
        <v>2</v>
      </c>
      <c r="I312" s="137">
        <v>1646</v>
      </c>
      <c r="J312" s="132">
        <v>974</v>
      </c>
      <c r="K312" s="146">
        <v>2600</v>
      </c>
      <c r="L312" s="48" t="s">
        <v>212</v>
      </c>
      <c r="M312" s="47">
        <f t="shared" si="5"/>
        <v>2024301</v>
      </c>
      <c r="N312" s="47">
        <v>10</v>
      </c>
    </row>
    <row r="313" spans="1:14" x14ac:dyDescent="0.3">
      <c r="A313" s="47">
        <v>2024302</v>
      </c>
      <c r="B313" s="48" t="s">
        <v>1125</v>
      </c>
      <c r="C313" s="138" t="s">
        <v>315</v>
      </c>
      <c r="D313" s="69" t="s">
        <v>1283</v>
      </c>
      <c r="E313" s="136" t="s">
        <v>1360</v>
      </c>
      <c r="F313" s="136">
        <v>4505820</v>
      </c>
      <c r="G313" s="69" t="s">
        <v>1550</v>
      </c>
      <c r="H313" s="136" t="s">
        <v>236</v>
      </c>
      <c r="I313" s="137">
        <v>823</v>
      </c>
      <c r="J313" s="132">
        <v>364</v>
      </c>
      <c r="K313" s="146">
        <v>1187</v>
      </c>
      <c r="L313" s="48" t="s">
        <v>53</v>
      </c>
      <c r="M313" s="47">
        <f t="shared" si="5"/>
        <v>2024302</v>
      </c>
      <c r="N313" s="47">
        <v>10</v>
      </c>
    </row>
    <row r="314" spans="1:14" x14ac:dyDescent="0.3">
      <c r="A314" s="47">
        <v>2024303</v>
      </c>
      <c r="B314" s="48" t="s">
        <v>1060</v>
      </c>
      <c r="C314" s="138" t="s">
        <v>366</v>
      </c>
      <c r="D314" s="69" t="s">
        <v>367</v>
      </c>
      <c r="E314" s="136" t="s">
        <v>244</v>
      </c>
      <c r="F314" s="136" t="s">
        <v>1291</v>
      </c>
      <c r="G314" s="69" t="s">
        <v>368</v>
      </c>
      <c r="H314" s="136" t="s">
        <v>236</v>
      </c>
      <c r="I314" s="137">
        <v>823</v>
      </c>
      <c r="J314" s="137">
        <v>610</v>
      </c>
      <c r="K314" s="146">
        <v>1433</v>
      </c>
      <c r="L314" s="48" t="s">
        <v>54</v>
      </c>
      <c r="M314" s="47">
        <f t="shared" si="5"/>
        <v>2024303</v>
      </c>
      <c r="N314" s="47">
        <v>10</v>
      </c>
    </row>
    <row r="315" spans="1:14" x14ac:dyDescent="0.3">
      <c r="A315" s="47">
        <v>2024304</v>
      </c>
      <c r="B315" s="48" t="s">
        <v>1114</v>
      </c>
      <c r="C315" s="138" t="s">
        <v>1032</v>
      </c>
      <c r="D315" s="69" t="s">
        <v>1284</v>
      </c>
      <c r="E315" s="136" t="s">
        <v>1361</v>
      </c>
      <c r="F315" s="136">
        <v>4641141</v>
      </c>
      <c r="G315" s="69" t="s">
        <v>1551</v>
      </c>
      <c r="H315" s="136">
        <v>2</v>
      </c>
      <c r="I315" s="137">
        <v>1646</v>
      </c>
      <c r="J315" s="132">
        <v>728</v>
      </c>
      <c r="K315" s="146">
        <v>0</v>
      </c>
      <c r="L315" s="48" t="s">
        <v>53</v>
      </c>
      <c r="M315" s="47">
        <f t="shared" si="5"/>
        <v>2024304</v>
      </c>
      <c r="N315" s="47">
        <v>10</v>
      </c>
    </row>
    <row r="316" spans="1:14" x14ac:dyDescent="0.3">
      <c r="A316" s="47">
        <v>2024305</v>
      </c>
      <c r="B316" s="48" t="s">
        <v>1082</v>
      </c>
      <c r="C316" s="135" t="s">
        <v>1033</v>
      </c>
      <c r="D316" s="69" t="s">
        <v>1285</v>
      </c>
      <c r="E316" s="69" t="s">
        <v>119</v>
      </c>
      <c r="F316" s="69">
        <v>5186948019</v>
      </c>
      <c r="G316" s="69" t="s">
        <v>1552</v>
      </c>
      <c r="H316" s="136" t="s">
        <v>236</v>
      </c>
      <c r="I316" s="137">
        <v>823</v>
      </c>
      <c r="J316" s="132">
        <v>627</v>
      </c>
      <c r="K316" s="146">
        <v>1433</v>
      </c>
      <c r="L316" s="48" t="s">
        <v>54</v>
      </c>
      <c r="M316" s="47">
        <f t="shared" si="5"/>
        <v>2024305</v>
      </c>
      <c r="N316" s="47">
        <v>10</v>
      </c>
    </row>
    <row r="317" spans="1:14" x14ac:dyDescent="0.3">
      <c r="A317" s="47">
        <v>2024306</v>
      </c>
      <c r="B317" s="48" t="s">
        <v>1109</v>
      </c>
      <c r="C317" s="138" t="s">
        <v>1034</v>
      </c>
      <c r="D317" s="69" t="s">
        <v>1286</v>
      </c>
      <c r="E317" s="69" t="s">
        <v>1362</v>
      </c>
      <c r="F317" s="69">
        <v>3754833</v>
      </c>
      <c r="G317" s="69" t="s">
        <v>1553</v>
      </c>
      <c r="H317" s="136">
        <v>2</v>
      </c>
      <c r="I317" s="137">
        <v>1646</v>
      </c>
      <c r="J317" s="132">
        <v>728</v>
      </c>
      <c r="K317" s="146">
        <v>2374</v>
      </c>
      <c r="L317" s="48" t="s">
        <v>53</v>
      </c>
      <c r="M317" s="47">
        <f t="shared" si="5"/>
        <v>2024306</v>
      </c>
      <c r="N317" s="47">
        <v>10</v>
      </c>
    </row>
    <row r="318" spans="1:14" x14ac:dyDescent="0.3">
      <c r="A318" s="47">
        <v>2024307</v>
      </c>
      <c r="B318" s="48" t="s">
        <v>1065</v>
      </c>
      <c r="C318" s="135" t="s">
        <v>1035</v>
      </c>
      <c r="D318" s="69" t="s">
        <v>1287</v>
      </c>
      <c r="E318" s="69" t="s">
        <v>1363</v>
      </c>
      <c r="F318" s="69">
        <v>4181106</v>
      </c>
      <c r="G318" s="69" t="s">
        <v>1554</v>
      </c>
      <c r="H318" s="136" t="s">
        <v>236</v>
      </c>
      <c r="I318" s="137">
        <v>823</v>
      </c>
      <c r="J318" s="132">
        <v>610</v>
      </c>
      <c r="K318" s="146">
        <v>1433</v>
      </c>
      <c r="L318" s="48" t="s">
        <v>54</v>
      </c>
      <c r="M318" s="47">
        <f t="shared" si="5"/>
        <v>2024307</v>
      </c>
      <c r="N318" s="47">
        <v>10</v>
      </c>
    </row>
    <row r="319" spans="1:14" x14ac:dyDescent="0.3">
      <c r="A319" s="47">
        <v>2024308</v>
      </c>
      <c r="B319" s="48" t="s">
        <v>1062</v>
      </c>
      <c r="C319" s="138" t="s">
        <v>403</v>
      </c>
      <c r="D319" s="136" t="s">
        <v>404</v>
      </c>
      <c r="E319" s="136" t="s">
        <v>244</v>
      </c>
      <c r="F319" s="136" t="s">
        <v>236</v>
      </c>
      <c r="G319" s="69" t="s">
        <v>1555</v>
      </c>
      <c r="H319" s="136" t="s">
        <v>236</v>
      </c>
      <c r="I319" s="137">
        <v>716</v>
      </c>
      <c r="J319" s="132">
        <v>364</v>
      </c>
      <c r="K319" s="146">
        <v>1080</v>
      </c>
      <c r="L319" s="48" t="s">
        <v>53</v>
      </c>
      <c r="M319" s="47">
        <f t="shared" si="5"/>
        <v>2024308</v>
      </c>
      <c r="N319" s="47">
        <v>10</v>
      </c>
    </row>
    <row r="320" spans="1:14" x14ac:dyDescent="0.3">
      <c r="A320" s="47">
        <v>2024309</v>
      </c>
      <c r="B320" s="48" t="s">
        <v>1126</v>
      </c>
      <c r="C320" s="138" t="s">
        <v>1565</v>
      </c>
      <c r="D320" s="69" t="s">
        <v>174</v>
      </c>
      <c r="E320" s="69"/>
      <c r="F320" s="69"/>
      <c r="G320" s="69" t="s">
        <v>175</v>
      </c>
      <c r="H320" s="69">
        <v>3</v>
      </c>
      <c r="I320" s="137">
        <v>1650</v>
      </c>
      <c r="J320" s="132">
        <v>0</v>
      </c>
      <c r="K320" s="146">
        <v>0</v>
      </c>
      <c r="L320" s="48" t="s">
        <v>53</v>
      </c>
      <c r="M320" s="47">
        <f t="shared" si="5"/>
        <v>2024309</v>
      </c>
      <c r="N320" s="47">
        <v>10</v>
      </c>
    </row>
    <row r="321" spans="1:14" x14ac:dyDescent="0.3">
      <c r="A321" s="47">
        <v>2024310</v>
      </c>
      <c r="B321" s="48" t="s">
        <v>1042</v>
      </c>
      <c r="C321" s="135" t="s">
        <v>1036</v>
      </c>
      <c r="D321" s="69" t="s">
        <v>1288</v>
      </c>
      <c r="E321" s="69" t="s">
        <v>1364</v>
      </c>
      <c r="F321" s="69">
        <v>8731660</v>
      </c>
      <c r="G321" s="69" t="s">
        <v>1556</v>
      </c>
      <c r="H321" s="136" t="s">
        <v>236</v>
      </c>
      <c r="I321" s="137">
        <v>823</v>
      </c>
      <c r="J321" s="132">
        <v>377</v>
      </c>
      <c r="K321" s="146">
        <v>1200</v>
      </c>
      <c r="L321" s="48" t="s">
        <v>53</v>
      </c>
      <c r="M321" s="47">
        <f t="shared" si="5"/>
        <v>2024310</v>
      </c>
      <c r="N321" s="47">
        <v>10</v>
      </c>
    </row>
    <row r="322" spans="1:14" x14ac:dyDescent="0.3">
      <c r="A322" s="47">
        <v>2024311</v>
      </c>
      <c r="B322" s="48" t="s">
        <v>1127</v>
      </c>
      <c r="C322" s="138" t="s">
        <v>250</v>
      </c>
      <c r="D322" s="69" t="s">
        <v>135</v>
      </c>
      <c r="E322" s="136" t="s">
        <v>244</v>
      </c>
      <c r="F322" s="136" t="s">
        <v>1291</v>
      </c>
      <c r="G322" s="69" t="s">
        <v>136</v>
      </c>
      <c r="H322" s="69">
        <v>2</v>
      </c>
      <c r="I322" s="137">
        <v>1476</v>
      </c>
      <c r="J322" s="132">
        <v>974</v>
      </c>
      <c r="K322" s="146">
        <v>2450</v>
      </c>
      <c r="L322" s="48" t="s">
        <v>117</v>
      </c>
      <c r="M322" s="47">
        <f t="shared" si="5"/>
        <v>2024311</v>
      </c>
      <c r="N322" s="47">
        <v>10</v>
      </c>
    </row>
    <row r="323" spans="1:14" x14ac:dyDescent="0.3">
      <c r="A323" s="47">
        <v>2024312</v>
      </c>
      <c r="B323" s="48" t="s">
        <v>1039</v>
      </c>
      <c r="C323" s="135" t="s">
        <v>1037</v>
      </c>
      <c r="D323" s="69" t="s">
        <v>1289</v>
      </c>
      <c r="E323" s="69" t="s">
        <v>1365</v>
      </c>
      <c r="F323" s="69">
        <v>3621086</v>
      </c>
      <c r="G323" s="69" t="s">
        <v>1557</v>
      </c>
      <c r="H323" s="136" t="s">
        <v>236</v>
      </c>
      <c r="I323" s="137">
        <v>823</v>
      </c>
      <c r="J323" s="132">
        <v>377</v>
      </c>
      <c r="K323" s="146">
        <v>0</v>
      </c>
      <c r="L323" s="48" t="s">
        <v>53</v>
      </c>
      <c r="M323" s="47">
        <f t="shared" si="5"/>
        <v>2024312</v>
      </c>
      <c r="N323" s="47">
        <v>10</v>
      </c>
    </row>
    <row r="324" spans="1:14" x14ac:dyDescent="0.3">
      <c r="A324" s="47">
        <v>2024313</v>
      </c>
      <c r="B324" s="48" t="s">
        <v>1052</v>
      </c>
      <c r="C324" s="138" t="s">
        <v>1038</v>
      </c>
      <c r="D324" s="69" t="s">
        <v>1622</v>
      </c>
      <c r="E324" s="69" t="s">
        <v>244</v>
      </c>
      <c r="F324" s="69" t="s">
        <v>1291</v>
      </c>
      <c r="G324" s="69" t="s">
        <v>1568</v>
      </c>
      <c r="H324" s="136" t="s">
        <v>236</v>
      </c>
      <c r="I324" s="137">
        <v>500</v>
      </c>
      <c r="J324" s="132">
        <v>0</v>
      </c>
      <c r="K324" s="146">
        <v>0</v>
      </c>
      <c r="L324" s="48" t="s">
        <v>53</v>
      </c>
      <c r="M324" s="47">
        <f t="shared" si="5"/>
        <v>2024313</v>
      </c>
      <c r="N324" s="47">
        <v>10</v>
      </c>
    </row>
    <row r="325" spans="1:14" x14ac:dyDescent="0.3">
      <c r="A325" s="47">
        <v>2024324</v>
      </c>
      <c r="B325" s="48"/>
      <c r="C325" s="135"/>
      <c r="D325" s="69"/>
      <c r="E325" s="69"/>
      <c r="F325" s="69"/>
      <c r="G325" s="69"/>
      <c r="H325" s="69"/>
      <c r="I325" s="132"/>
      <c r="J325" s="132"/>
      <c r="K325" s="146">
        <v>0</v>
      </c>
      <c r="L325" s="48"/>
      <c r="M325" s="47">
        <f t="shared" ref="M325:M385" si="6">A325</f>
        <v>2024324</v>
      </c>
      <c r="N325" s="47">
        <v>10</v>
      </c>
    </row>
    <row r="326" spans="1:14" x14ac:dyDescent="0.3">
      <c r="A326" s="47">
        <v>2024325</v>
      </c>
      <c r="B326" s="48"/>
      <c r="C326" s="135"/>
      <c r="D326" s="69"/>
      <c r="E326" s="69"/>
      <c r="F326" s="69"/>
      <c r="G326" s="69"/>
      <c r="H326" s="69"/>
      <c r="I326" s="132"/>
      <c r="J326" s="132"/>
      <c r="K326" s="146">
        <v>0</v>
      </c>
      <c r="L326" s="48"/>
      <c r="M326" s="47">
        <f t="shared" si="6"/>
        <v>2024325</v>
      </c>
      <c r="N326" s="47">
        <v>10</v>
      </c>
    </row>
    <row r="327" spans="1:14" x14ac:dyDescent="0.3">
      <c r="A327" s="47">
        <v>2024326</v>
      </c>
      <c r="B327" s="48"/>
      <c r="C327" s="135"/>
      <c r="D327" s="69"/>
      <c r="E327" s="69"/>
      <c r="F327" s="69"/>
      <c r="G327" s="69"/>
      <c r="H327" s="69"/>
      <c r="I327" s="132"/>
      <c r="J327" s="132"/>
      <c r="K327" s="146">
        <v>0</v>
      </c>
      <c r="L327" s="48"/>
      <c r="M327" s="47">
        <f t="shared" si="6"/>
        <v>2024326</v>
      </c>
      <c r="N327" s="47">
        <v>10</v>
      </c>
    </row>
    <row r="328" spans="1:14" x14ac:dyDescent="0.3">
      <c r="A328" s="47">
        <v>2024327</v>
      </c>
      <c r="B328" s="48"/>
      <c r="C328" s="135"/>
      <c r="D328" s="69"/>
      <c r="E328" s="69"/>
      <c r="F328" s="69"/>
      <c r="G328" s="69"/>
      <c r="H328" s="69"/>
      <c r="I328" s="132"/>
      <c r="J328" s="132"/>
      <c r="K328" s="146">
        <v>0</v>
      </c>
      <c r="L328" s="48"/>
      <c r="M328" s="47">
        <f t="shared" si="6"/>
        <v>2024327</v>
      </c>
      <c r="N328" s="47">
        <v>10</v>
      </c>
    </row>
    <row r="329" spans="1:14" x14ac:dyDescent="0.3">
      <c r="A329" s="47">
        <v>2024328</v>
      </c>
      <c r="B329" s="48"/>
      <c r="C329" s="135"/>
      <c r="D329" s="69"/>
      <c r="E329" s="69"/>
      <c r="F329" s="69"/>
      <c r="G329" s="69"/>
      <c r="H329" s="69"/>
      <c r="I329" s="132"/>
      <c r="J329" s="132"/>
      <c r="K329" s="146">
        <v>0</v>
      </c>
      <c r="L329" s="48"/>
      <c r="M329" s="47">
        <f t="shared" si="6"/>
        <v>2024328</v>
      </c>
      <c r="N329" s="47">
        <v>10</v>
      </c>
    </row>
    <row r="330" spans="1:14" x14ac:dyDescent="0.3">
      <c r="A330" s="47">
        <v>2024329</v>
      </c>
      <c r="B330" s="48"/>
      <c r="C330" s="135"/>
      <c r="D330" s="69"/>
      <c r="E330" s="69"/>
      <c r="F330" s="69"/>
      <c r="G330" s="69"/>
      <c r="H330" s="69"/>
      <c r="I330" s="132"/>
      <c r="J330" s="132"/>
      <c r="K330" s="146">
        <v>0</v>
      </c>
      <c r="L330" s="48"/>
      <c r="M330" s="47">
        <f t="shared" si="6"/>
        <v>2024329</v>
      </c>
      <c r="N330" s="47">
        <v>10</v>
      </c>
    </row>
    <row r="331" spans="1:14" x14ac:dyDescent="0.3">
      <c r="A331" s="47">
        <v>2024330</v>
      </c>
      <c r="B331" s="48"/>
      <c r="C331" s="135"/>
      <c r="D331" s="69"/>
      <c r="E331" s="69"/>
      <c r="F331" s="69"/>
      <c r="G331" s="69"/>
      <c r="H331" s="69"/>
      <c r="I331" s="132"/>
      <c r="J331" s="132"/>
      <c r="K331" s="146">
        <v>0</v>
      </c>
      <c r="L331" s="48"/>
      <c r="M331" s="47">
        <f t="shared" si="6"/>
        <v>2024330</v>
      </c>
      <c r="N331" s="47">
        <v>10</v>
      </c>
    </row>
    <row r="332" spans="1:14" x14ac:dyDescent="0.3">
      <c r="A332" s="47">
        <v>2024331</v>
      </c>
      <c r="B332" s="48"/>
      <c r="C332" s="135"/>
      <c r="D332" s="69"/>
      <c r="E332" s="69"/>
      <c r="F332" s="69"/>
      <c r="G332" s="69"/>
      <c r="H332" s="69"/>
      <c r="I332" s="132"/>
      <c r="J332" s="132"/>
      <c r="K332" s="70"/>
      <c r="L332" s="48"/>
      <c r="M332" s="47">
        <f t="shared" si="6"/>
        <v>2024331</v>
      </c>
      <c r="N332" s="47">
        <v>10</v>
      </c>
    </row>
    <row r="333" spans="1:14" x14ac:dyDescent="0.3">
      <c r="A333" s="47">
        <v>2024339</v>
      </c>
      <c r="B333" s="48"/>
      <c r="C333" s="135"/>
      <c r="D333" s="69"/>
      <c r="E333" s="69"/>
      <c r="F333" s="69"/>
      <c r="G333" s="69"/>
      <c r="H333" s="69"/>
      <c r="I333" s="132"/>
      <c r="J333" s="132"/>
      <c r="K333" s="70"/>
      <c r="L333" s="48"/>
      <c r="M333" s="47">
        <f t="shared" si="6"/>
        <v>2024339</v>
      </c>
      <c r="N333" s="47">
        <v>10</v>
      </c>
    </row>
    <row r="334" spans="1:14" x14ac:dyDescent="0.3">
      <c r="A334" s="47">
        <v>2024340</v>
      </c>
      <c r="B334" s="48"/>
      <c r="C334" s="135"/>
      <c r="D334" s="69"/>
      <c r="E334" s="69"/>
      <c r="F334" s="69"/>
      <c r="G334" s="69"/>
      <c r="H334" s="69"/>
      <c r="I334" s="132"/>
      <c r="J334" s="132"/>
      <c r="K334" s="70"/>
      <c r="L334" s="48"/>
      <c r="M334" s="47">
        <f t="shared" si="6"/>
        <v>2024340</v>
      </c>
      <c r="N334" s="47">
        <v>10</v>
      </c>
    </row>
    <row r="335" spans="1:14" x14ac:dyDescent="0.3">
      <c r="A335" s="47">
        <v>2024341</v>
      </c>
      <c r="B335" s="48"/>
      <c r="C335" s="135"/>
      <c r="D335" s="69"/>
      <c r="E335" s="69"/>
      <c r="F335" s="69"/>
      <c r="G335" s="69"/>
      <c r="H335" s="69"/>
      <c r="I335" s="132"/>
      <c r="J335" s="132"/>
      <c r="K335" s="70"/>
      <c r="L335" s="48"/>
      <c r="M335" s="47">
        <f t="shared" si="6"/>
        <v>2024341</v>
      </c>
      <c r="N335" s="47">
        <v>10</v>
      </c>
    </row>
    <row r="336" spans="1:14" x14ac:dyDescent="0.3">
      <c r="A336" s="47">
        <v>2024342</v>
      </c>
      <c r="B336" s="48"/>
      <c r="C336" s="135"/>
      <c r="D336" s="69"/>
      <c r="E336" s="69"/>
      <c r="F336" s="69"/>
      <c r="G336" s="69"/>
      <c r="H336" s="69"/>
      <c r="I336" s="132"/>
      <c r="J336" s="132"/>
      <c r="K336" s="70"/>
      <c r="L336" s="48"/>
      <c r="M336" s="47">
        <f t="shared" si="6"/>
        <v>2024342</v>
      </c>
      <c r="N336" s="47">
        <v>10</v>
      </c>
    </row>
    <row r="337" spans="1:14" x14ac:dyDescent="0.3">
      <c r="A337" s="47">
        <v>2024343</v>
      </c>
      <c r="B337" s="48"/>
      <c r="C337" s="135"/>
      <c r="D337" s="69"/>
      <c r="E337" s="69"/>
      <c r="F337" s="69"/>
      <c r="G337" s="69"/>
      <c r="H337" s="69"/>
      <c r="I337" s="132"/>
      <c r="J337" s="132"/>
      <c r="K337" s="70"/>
      <c r="L337" s="48"/>
      <c r="M337" s="47">
        <f t="shared" si="6"/>
        <v>2024343</v>
      </c>
      <c r="N337" s="47">
        <v>10</v>
      </c>
    </row>
    <row r="338" spans="1:14" x14ac:dyDescent="0.3">
      <c r="A338" s="47">
        <v>2024344</v>
      </c>
      <c r="B338" s="48"/>
      <c r="C338" s="135"/>
      <c r="D338" s="69"/>
      <c r="E338" s="69"/>
      <c r="F338" s="69"/>
      <c r="G338" s="69"/>
      <c r="H338" s="69"/>
      <c r="I338" s="132"/>
      <c r="J338" s="132"/>
      <c r="K338" s="70"/>
      <c r="L338" s="48"/>
      <c r="M338" s="47">
        <f t="shared" si="6"/>
        <v>2024344</v>
      </c>
      <c r="N338" s="47">
        <v>10</v>
      </c>
    </row>
    <row r="339" spans="1:14" x14ac:dyDescent="0.3">
      <c r="A339" s="47">
        <v>2024345</v>
      </c>
      <c r="B339" s="48"/>
      <c r="C339" s="135"/>
      <c r="D339" s="69"/>
      <c r="E339" s="69"/>
      <c r="F339" s="69"/>
      <c r="G339" s="69"/>
      <c r="H339" s="69"/>
      <c r="I339" s="132"/>
      <c r="J339" s="132"/>
      <c r="K339" s="70"/>
      <c r="L339" s="48"/>
      <c r="M339" s="47">
        <f t="shared" si="6"/>
        <v>2024345</v>
      </c>
      <c r="N339" s="47">
        <v>10</v>
      </c>
    </row>
    <row r="340" spans="1:14" x14ac:dyDescent="0.3">
      <c r="A340" s="47">
        <v>2024346</v>
      </c>
      <c r="B340" s="126"/>
      <c r="C340" s="69"/>
      <c r="D340" s="69"/>
      <c r="E340" s="69"/>
      <c r="F340" s="69"/>
      <c r="G340" s="69"/>
      <c r="H340" s="69"/>
      <c r="I340" s="132"/>
      <c r="J340" s="132"/>
      <c r="K340" s="70"/>
      <c r="L340" s="48"/>
      <c r="M340" s="47">
        <f t="shared" si="6"/>
        <v>2024346</v>
      </c>
      <c r="N340" s="47">
        <v>10</v>
      </c>
    </row>
    <row r="341" spans="1:14" x14ac:dyDescent="0.3">
      <c r="A341" s="47">
        <v>2024347</v>
      </c>
      <c r="B341" s="126"/>
      <c r="C341" s="69"/>
      <c r="D341" s="69"/>
      <c r="E341" s="69"/>
      <c r="F341" s="69"/>
      <c r="G341" s="69"/>
      <c r="H341" s="69"/>
      <c r="I341" s="132"/>
      <c r="J341" s="132"/>
      <c r="K341" s="70"/>
      <c r="L341" s="48"/>
      <c r="M341" s="47">
        <f t="shared" si="6"/>
        <v>2024347</v>
      </c>
      <c r="N341" s="47">
        <v>10</v>
      </c>
    </row>
    <row r="342" spans="1:14" x14ac:dyDescent="0.3">
      <c r="A342" s="47">
        <v>2024348</v>
      </c>
      <c r="B342" s="126"/>
      <c r="C342" s="69"/>
      <c r="D342" s="69"/>
      <c r="E342" s="69"/>
      <c r="F342" s="69"/>
      <c r="G342" s="69"/>
      <c r="H342" s="69"/>
      <c r="I342" s="132"/>
      <c r="J342" s="132"/>
      <c r="K342" s="70"/>
      <c r="L342" s="48"/>
      <c r="M342" s="47">
        <f t="shared" si="6"/>
        <v>2024348</v>
      </c>
      <c r="N342" s="47">
        <v>10</v>
      </c>
    </row>
    <row r="343" spans="1:14" x14ac:dyDescent="0.3">
      <c r="A343" s="47">
        <v>2024349</v>
      </c>
      <c r="B343" s="126"/>
      <c r="C343" s="69"/>
      <c r="D343" s="69"/>
      <c r="E343" s="69"/>
      <c r="F343" s="69"/>
      <c r="G343" s="69"/>
      <c r="H343" s="69"/>
      <c r="I343" s="132"/>
      <c r="J343" s="132"/>
      <c r="K343" s="70"/>
      <c r="L343" s="48"/>
      <c r="M343" s="47">
        <f t="shared" si="6"/>
        <v>2024349</v>
      </c>
      <c r="N343" s="47">
        <v>10</v>
      </c>
    </row>
    <row r="344" spans="1:14" x14ac:dyDescent="0.3">
      <c r="A344" s="47">
        <v>2024350</v>
      </c>
      <c r="B344" s="126"/>
      <c r="C344" s="69"/>
      <c r="D344" s="69"/>
      <c r="E344" s="69"/>
      <c r="F344" s="69"/>
      <c r="G344" s="69"/>
      <c r="H344" s="69"/>
      <c r="I344" s="132"/>
      <c r="J344" s="132"/>
      <c r="K344" s="70"/>
      <c r="L344" s="48"/>
      <c r="M344" s="47">
        <f t="shared" si="6"/>
        <v>2024350</v>
      </c>
      <c r="N344" s="47">
        <v>10</v>
      </c>
    </row>
    <row r="345" spans="1:14" x14ac:dyDescent="0.3">
      <c r="A345" s="47">
        <v>2024351</v>
      </c>
      <c r="B345" s="126"/>
      <c r="C345" s="69"/>
      <c r="D345" s="69"/>
      <c r="E345" s="69"/>
      <c r="F345" s="69"/>
      <c r="G345" s="69"/>
      <c r="H345" s="69"/>
      <c r="I345" s="132"/>
      <c r="J345" s="132"/>
      <c r="K345" s="70"/>
      <c r="L345" s="48"/>
      <c r="M345" s="47">
        <f t="shared" si="6"/>
        <v>2024351</v>
      </c>
      <c r="N345" s="47">
        <v>10</v>
      </c>
    </row>
    <row r="346" spans="1:14" x14ac:dyDescent="0.3">
      <c r="A346" s="47">
        <v>2024352</v>
      </c>
      <c r="B346" s="126"/>
      <c r="C346" s="69"/>
      <c r="D346" s="69"/>
      <c r="E346" s="69"/>
      <c r="F346" s="69"/>
      <c r="G346" s="69"/>
      <c r="H346" s="69"/>
      <c r="I346" s="132"/>
      <c r="J346" s="132"/>
      <c r="K346" s="70"/>
      <c r="L346" s="48"/>
      <c r="M346" s="47">
        <f t="shared" si="6"/>
        <v>2024352</v>
      </c>
      <c r="N346" s="47">
        <v>10</v>
      </c>
    </row>
    <row r="347" spans="1:14" x14ac:dyDescent="0.3">
      <c r="A347" s="47">
        <v>2024353</v>
      </c>
      <c r="B347" s="126"/>
      <c r="C347" s="69"/>
      <c r="D347" s="69"/>
      <c r="E347" s="69"/>
      <c r="F347" s="69"/>
      <c r="G347" s="69"/>
      <c r="H347" s="69"/>
      <c r="I347" s="132"/>
      <c r="J347" s="132"/>
      <c r="K347" s="70"/>
      <c r="L347" s="48"/>
      <c r="M347" s="47">
        <f t="shared" si="6"/>
        <v>2024353</v>
      </c>
      <c r="N347" s="47">
        <v>10</v>
      </c>
    </row>
    <row r="348" spans="1:14" x14ac:dyDescent="0.3">
      <c r="A348" s="47">
        <v>2024354</v>
      </c>
      <c r="B348" s="126"/>
      <c r="C348" s="69"/>
      <c r="D348" s="69"/>
      <c r="E348" s="69"/>
      <c r="F348" s="69"/>
      <c r="G348" s="69"/>
      <c r="H348" s="69"/>
      <c r="I348" s="132"/>
      <c r="J348" s="132"/>
      <c r="K348" s="70"/>
      <c r="L348" s="48"/>
      <c r="M348" s="47">
        <f t="shared" si="6"/>
        <v>2024354</v>
      </c>
      <c r="N348" s="47">
        <v>10</v>
      </c>
    </row>
    <row r="349" spans="1:14" x14ac:dyDescent="0.3">
      <c r="A349" s="47">
        <v>2024355</v>
      </c>
      <c r="B349" s="126"/>
      <c r="C349" s="69"/>
      <c r="D349" s="69"/>
      <c r="E349" s="69"/>
      <c r="F349" s="69"/>
      <c r="G349" s="69"/>
      <c r="H349" s="69"/>
      <c r="I349" s="132"/>
      <c r="J349" s="132"/>
      <c r="K349" s="70"/>
      <c r="L349" s="48"/>
      <c r="M349" s="47">
        <f t="shared" si="6"/>
        <v>2024355</v>
      </c>
      <c r="N349" s="47">
        <v>10</v>
      </c>
    </row>
    <row r="350" spans="1:14" x14ac:dyDescent="0.3">
      <c r="A350" s="47">
        <v>2024356</v>
      </c>
      <c r="B350" s="126"/>
      <c r="C350" s="69"/>
      <c r="D350" s="69"/>
      <c r="E350" s="69"/>
      <c r="F350" s="69"/>
      <c r="G350" s="69"/>
      <c r="H350" s="69"/>
      <c r="I350" s="132"/>
      <c r="J350" s="132"/>
      <c r="K350" s="70"/>
      <c r="L350" s="48"/>
      <c r="M350" s="47">
        <f t="shared" si="6"/>
        <v>2024356</v>
      </c>
      <c r="N350" s="47">
        <v>10</v>
      </c>
    </row>
    <row r="351" spans="1:14" x14ac:dyDescent="0.3">
      <c r="A351" s="47">
        <v>2024357</v>
      </c>
      <c r="B351" s="126"/>
      <c r="C351" s="69"/>
      <c r="D351" s="69"/>
      <c r="E351" s="69"/>
      <c r="F351" s="69"/>
      <c r="G351" s="69"/>
      <c r="H351" s="69"/>
      <c r="I351" s="132"/>
      <c r="J351" s="132"/>
      <c r="K351" s="70"/>
      <c r="L351" s="48"/>
      <c r="M351" s="47">
        <f t="shared" si="6"/>
        <v>2024357</v>
      </c>
      <c r="N351" s="47">
        <v>10</v>
      </c>
    </row>
    <row r="352" spans="1:14" x14ac:dyDescent="0.3">
      <c r="A352" s="47">
        <v>2024358</v>
      </c>
      <c r="B352" s="126"/>
      <c r="C352" s="69"/>
      <c r="D352" s="69"/>
      <c r="E352" s="69"/>
      <c r="F352" s="69"/>
      <c r="G352" s="69"/>
      <c r="H352" s="69"/>
      <c r="I352" s="132"/>
      <c r="J352" s="132"/>
      <c r="K352" s="70"/>
      <c r="L352" s="48"/>
      <c r="M352" s="47">
        <f t="shared" si="6"/>
        <v>2024358</v>
      </c>
      <c r="N352" s="47">
        <v>10</v>
      </c>
    </row>
    <row r="353" spans="1:14" x14ac:dyDescent="0.3">
      <c r="A353" s="47">
        <v>2024359</v>
      </c>
      <c r="B353" s="126"/>
      <c r="C353" s="69"/>
      <c r="D353" s="69"/>
      <c r="E353" s="69"/>
      <c r="F353" s="69"/>
      <c r="G353" s="69"/>
      <c r="H353" s="69"/>
      <c r="I353" s="132"/>
      <c r="J353" s="132"/>
      <c r="K353" s="70"/>
      <c r="L353" s="48"/>
      <c r="M353" s="47">
        <f t="shared" si="6"/>
        <v>2024359</v>
      </c>
      <c r="N353" s="47">
        <v>10</v>
      </c>
    </row>
    <row r="354" spans="1:14" x14ac:dyDescent="0.3">
      <c r="A354" s="47">
        <v>2024360</v>
      </c>
      <c r="B354" s="126"/>
      <c r="C354" s="69"/>
      <c r="D354" s="69"/>
      <c r="E354" s="69"/>
      <c r="F354" s="69"/>
      <c r="G354" s="69"/>
      <c r="H354" s="69"/>
      <c r="I354" s="132"/>
      <c r="J354" s="132"/>
      <c r="K354" s="70"/>
      <c r="L354" s="48"/>
      <c r="M354" s="47">
        <f t="shared" si="6"/>
        <v>2024360</v>
      </c>
      <c r="N354" s="47">
        <v>10</v>
      </c>
    </row>
    <row r="355" spans="1:14" x14ac:dyDescent="0.3">
      <c r="A355" s="47">
        <v>2024361</v>
      </c>
      <c r="B355" s="126"/>
      <c r="C355" s="69"/>
      <c r="D355" s="69"/>
      <c r="E355" s="69"/>
      <c r="F355" s="69"/>
      <c r="G355" s="69"/>
      <c r="H355" s="69"/>
      <c r="I355" s="132"/>
      <c r="J355" s="132"/>
      <c r="K355" s="70"/>
      <c r="L355" s="48"/>
      <c r="M355" s="47">
        <f t="shared" si="6"/>
        <v>2024361</v>
      </c>
      <c r="N355" s="47">
        <v>10</v>
      </c>
    </row>
    <row r="356" spans="1:14" x14ac:dyDescent="0.3">
      <c r="A356" s="47">
        <v>2024362</v>
      </c>
      <c r="B356" s="126"/>
      <c r="C356" s="69"/>
      <c r="D356" s="69"/>
      <c r="E356" s="69"/>
      <c r="F356" s="69"/>
      <c r="G356" s="69"/>
      <c r="H356" s="69"/>
      <c r="I356" s="132"/>
      <c r="J356" s="132"/>
      <c r="K356" s="70"/>
      <c r="L356" s="48"/>
      <c r="M356" s="47">
        <f t="shared" si="6"/>
        <v>2024362</v>
      </c>
      <c r="N356" s="47">
        <v>10</v>
      </c>
    </row>
    <row r="357" spans="1:14" x14ac:dyDescent="0.3">
      <c r="A357" s="47">
        <v>2024363</v>
      </c>
      <c r="B357" s="126"/>
      <c r="C357" s="69"/>
      <c r="D357" s="69"/>
      <c r="E357" s="69"/>
      <c r="F357" s="69"/>
      <c r="G357" s="69"/>
      <c r="H357" s="69"/>
      <c r="I357" s="132"/>
      <c r="J357" s="132"/>
      <c r="K357" s="70"/>
      <c r="L357" s="48"/>
      <c r="M357" s="47">
        <f t="shared" si="6"/>
        <v>2024363</v>
      </c>
      <c r="N357" s="47">
        <v>10</v>
      </c>
    </row>
    <row r="358" spans="1:14" x14ac:dyDescent="0.3">
      <c r="A358" s="47">
        <v>2024364</v>
      </c>
      <c r="B358" s="126"/>
      <c r="C358" s="69"/>
      <c r="D358" s="69"/>
      <c r="E358" s="69"/>
      <c r="F358" s="69"/>
      <c r="G358" s="69"/>
      <c r="H358" s="69"/>
      <c r="I358" s="132"/>
      <c r="J358" s="132"/>
      <c r="K358" s="70"/>
      <c r="L358" s="48"/>
      <c r="M358" s="47">
        <f t="shared" si="6"/>
        <v>2024364</v>
      </c>
      <c r="N358" s="47">
        <v>10</v>
      </c>
    </row>
    <row r="359" spans="1:14" x14ac:dyDescent="0.3">
      <c r="A359" s="47">
        <v>2024365</v>
      </c>
      <c r="B359" s="126"/>
      <c r="C359" s="69"/>
      <c r="D359" s="69"/>
      <c r="E359" s="69"/>
      <c r="F359" s="69"/>
      <c r="G359" s="69"/>
      <c r="H359" s="69"/>
      <c r="I359" s="132"/>
      <c r="J359" s="132"/>
      <c r="K359" s="70"/>
      <c r="L359" s="48"/>
      <c r="M359" s="47">
        <f t="shared" si="6"/>
        <v>2024365</v>
      </c>
      <c r="N359" s="47">
        <v>10</v>
      </c>
    </row>
    <row r="360" spans="1:14" x14ac:dyDescent="0.3">
      <c r="A360" s="47">
        <v>2024366</v>
      </c>
      <c r="B360" s="126"/>
      <c r="C360" s="69"/>
      <c r="D360" s="69"/>
      <c r="E360" s="69"/>
      <c r="F360" s="69"/>
      <c r="G360" s="69"/>
      <c r="H360" s="69"/>
      <c r="I360" s="132"/>
      <c r="J360" s="132"/>
      <c r="K360" s="70"/>
      <c r="L360" s="48"/>
      <c r="M360" s="47">
        <f t="shared" si="6"/>
        <v>2024366</v>
      </c>
      <c r="N360" s="47">
        <v>10</v>
      </c>
    </row>
    <row r="361" spans="1:14" x14ac:dyDescent="0.3">
      <c r="A361" s="47">
        <v>2024367</v>
      </c>
      <c r="B361" s="126"/>
      <c r="C361" s="69"/>
      <c r="D361" s="69"/>
      <c r="E361" s="69"/>
      <c r="F361" s="69"/>
      <c r="G361" s="69"/>
      <c r="H361" s="69"/>
      <c r="I361" s="132"/>
      <c r="J361" s="132"/>
      <c r="K361" s="70"/>
      <c r="L361" s="48"/>
      <c r="M361" s="47">
        <f t="shared" si="6"/>
        <v>2024367</v>
      </c>
      <c r="N361" s="47">
        <v>10</v>
      </c>
    </row>
    <row r="362" spans="1:14" x14ac:dyDescent="0.3">
      <c r="A362" s="47">
        <v>2024368</v>
      </c>
      <c r="B362" s="126"/>
      <c r="C362" s="69"/>
      <c r="D362" s="69"/>
      <c r="E362" s="69"/>
      <c r="F362" s="69"/>
      <c r="G362" s="69"/>
      <c r="H362" s="69"/>
      <c r="I362" s="132"/>
      <c r="J362" s="132"/>
      <c r="K362" s="70"/>
      <c r="L362" s="48"/>
      <c r="M362" s="47">
        <f t="shared" si="6"/>
        <v>2024368</v>
      </c>
      <c r="N362" s="47">
        <v>10</v>
      </c>
    </row>
    <row r="363" spans="1:14" x14ac:dyDescent="0.3">
      <c r="A363" s="47">
        <v>2024369</v>
      </c>
      <c r="B363" s="126"/>
      <c r="C363" s="69"/>
      <c r="D363" s="69"/>
      <c r="E363" s="69"/>
      <c r="F363" s="69"/>
      <c r="G363" s="69"/>
      <c r="H363" s="69"/>
      <c r="I363" s="132"/>
      <c r="J363" s="132"/>
      <c r="K363" s="70"/>
      <c r="L363" s="48"/>
      <c r="M363" s="47">
        <f t="shared" si="6"/>
        <v>2024369</v>
      </c>
      <c r="N363" s="47">
        <v>10</v>
      </c>
    </row>
    <row r="364" spans="1:14" x14ac:dyDescent="0.3">
      <c r="A364" s="47">
        <v>2024370</v>
      </c>
      <c r="B364" s="126"/>
      <c r="C364" s="69"/>
      <c r="D364" s="69"/>
      <c r="E364" s="69"/>
      <c r="F364" s="69"/>
      <c r="G364" s="69"/>
      <c r="H364" s="69"/>
      <c r="I364" s="132"/>
      <c r="J364" s="132"/>
      <c r="K364" s="70"/>
      <c r="L364" s="48"/>
      <c r="M364" s="47">
        <f t="shared" si="6"/>
        <v>2024370</v>
      </c>
      <c r="N364" s="47">
        <v>10</v>
      </c>
    </row>
    <row r="365" spans="1:14" x14ac:dyDescent="0.3">
      <c r="A365" s="47">
        <v>2024371</v>
      </c>
      <c r="B365" s="126"/>
      <c r="C365" s="69"/>
      <c r="D365" s="69"/>
      <c r="E365" s="69"/>
      <c r="F365" s="69"/>
      <c r="G365" s="69"/>
      <c r="H365" s="69"/>
      <c r="I365" s="132"/>
      <c r="J365" s="132"/>
      <c r="K365" s="70"/>
      <c r="L365" s="48"/>
      <c r="M365" s="47">
        <f t="shared" si="6"/>
        <v>2024371</v>
      </c>
      <c r="N365" s="47">
        <v>10</v>
      </c>
    </row>
    <row r="366" spans="1:14" x14ac:dyDescent="0.3">
      <c r="A366" s="47">
        <v>2024372</v>
      </c>
      <c r="B366" s="126"/>
      <c r="C366" s="69"/>
      <c r="D366" s="69"/>
      <c r="E366" s="69"/>
      <c r="F366" s="69"/>
      <c r="G366" s="69"/>
      <c r="H366" s="69"/>
      <c r="I366" s="132"/>
      <c r="J366" s="132"/>
      <c r="K366" s="70"/>
      <c r="L366" s="48"/>
      <c r="M366" s="47">
        <f t="shared" si="6"/>
        <v>2024372</v>
      </c>
      <c r="N366" s="47">
        <v>10</v>
      </c>
    </row>
    <row r="367" spans="1:14" x14ac:dyDescent="0.3">
      <c r="A367" s="47">
        <v>2024373</v>
      </c>
      <c r="B367" s="126"/>
      <c r="C367" s="69"/>
      <c r="D367" s="69"/>
      <c r="E367" s="69"/>
      <c r="F367" s="69"/>
      <c r="G367" s="69"/>
      <c r="H367" s="69"/>
      <c r="I367" s="132"/>
      <c r="J367" s="132"/>
      <c r="K367" s="70"/>
      <c r="L367" s="48"/>
      <c r="M367" s="47">
        <f t="shared" si="6"/>
        <v>2024373</v>
      </c>
      <c r="N367" s="47">
        <v>10</v>
      </c>
    </row>
    <row r="368" spans="1:14" x14ac:dyDescent="0.3">
      <c r="A368" s="47">
        <v>2024374</v>
      </c>
      <c r="B368" s="126"/>
      <c r="C368" s="69"/>
      <c r="D368" s="69"/>
      <c r="E368" s="69"/>
      <c r="F368" s="69"/>
      <c r="G368" s="69"/>
      <c r="H368" s="69"/>
      <c r="I368" s="132"/>
      <c r="J368" s="132"/>
      <c r="K368" s="70"/>
      <c r="L368" s="48"/>
      <c r="M368" s="47">
        <f t="shared" si="6"/>
        <v>2024374</v>
      </c>
      <c r="N368" s="47">
        <v>10</v>
      </c>
    </row>
    <row r="369" spans="1:14" x14ac:dyDescent="0.3">
      <c r="A369" s="47">
        <v>2024375</v>
      </c>
      <c r="B369" s="126"/>
      <c r="C369" s="69"/>
      <c r="D369" s="69"/>
      <c r="E369" s="69"/>
      <c r="F369" s="69"/>
      <c r="G369" s="69"/>
      <c r="H369" s="69"/>
      <c r="I369" s="132"/>
      <c r="J369" s="132"/>
      <c r="K369" s="70"/>
      <c r="L369" s="48"/>
      <c r="M369" s="47">
        <f t="shared" si="6"/>
        <v>2024375</v>
      </c>
      <c r="N369" s="47">
        <v>10</v>
      </c>
    </row>
    <row r="370" spans="1:14" x14ac:dyDescent="0.3">
      <c r="A370" s="47">
        <v>2024376</v>
      </c>
      <c r="B370" s="126"/>
      <c r="C370" s="69"/>
      <c r="D370" s="69"/>
      <c r="E370" s="69"/>
      <c r="F370" s="69"/>
      <c r="G370" s="69"/>
      <c r="H370" s="69"/>
      <c r="I370" s="132"/>
      <c r="J370" s="132"/>
      <c r="K370" s="70"/>
      <c r="L370" s="48"/>
      <c r="M370" s="47">
        <f t="shared" si="6"/>
        <v>2024376</v>
      </c>
      <c r="N370" s="47">
        <v>10</v>
      </c>
    </row>
    <row r="371" spans="1:14" x14ac:dyDescent="0.3">
      <c r="A371" s="47">
        <v>2024377</v>
      </c>
      <c r="B371" s="126"/>
      <c r="C371" s="69"/>
      <c r="D371" s="69"/>
      <c r="E371" s="69"/>
      <c r="F371" s="69"/>
      <c r="G371" s="69"/>
      <c r="H371" s="69"/>
      <c r="I371" s="132"/>
      <c r="J371" s="132"/>
      <c r="K371" s="70"/>
      <c r="L371" s="48"/>
      <c r="M371" s="47">
        <f t="shared" si="6"/>
        <v>2024377</v>
      </c>
      <c r="N371" s="47">
        <v>10</v>
      </c>
    </row>
    <row r="372" spans="1:14" x14ac:dyDescent="0.3">
      <c r="A372" s="47">
        <v>2024378</v>
      </c>
      <c r="B372" s="126"/>
      <c r="C372" s="69"/>
      <c r="D372" s="69"/>
      <c r="E372" s="69"/>
      <c r="F372" s="69"/>
      <c r="G372" s="69"/>
      <c r="H372" s="69"/>
      <c r="I372" s="132"/>
      <c r="J372" s="132"/>
      <c r="K372" s="70"/>
      <c r="L372" s="48"/>
      <c r="M372" s="47">
        <f t="shared" si="6"/>
        <v>2024378</v>
      </c>
      <c r="N372" s="47">
        <v>10</v>
      </c>
    </row>
    <row r="373" spans="1:14" x14ac:dyDescent="0.3">
      <c r="A373" s="47">
        <v>2024379</v>
      </c>
      <c r="B373" s="126"/>
      <c r="C373" s="69"/>
      <c r="D373" s="69"/>
      <c r="E373" s="69"/>
      <c r="F373" s="69"/>
      <c r="G373" s="69"/>
      <c r="H373" s="69"/>
      <c r="I373" s="132"/>
      <c r="J373" s="132"/>
      <c r="K373" s="70"/>
      <c r="L373" s="48"/>
      <c r="M373" s="47">
        <f t="shared" si="6"/>
        <v>2024379</v>
      </c>
      <c r="N373" s="47">
        <v>10</v>
      </c>
    </row>
    <row r="374" spans="1:14" x14ac:dyDescent="0.3">
      <c r="A374" s="47">
        <v>2024380</v>
      </c>
      <c r="B374" s="126"/>
      <c r="C374" s="69"/>
      <c r="D374" s="69"/>
      <c r="E374" s="69"/>
      <c r="F374" s="69"/>
      <c r="G374" s="69"/>
      <c r="H374" s="69"/>
      <c r="I374" s="132"/>
      <c r="J374" s="132"/>
      <c r="K374" s="70"/>
      <c r="L374" s="48"/>
      <c r="M374" s="47">
        <f t="shared" si="6"/>
        <v>2024380</v>
      </c>
      <c r="N374" s="47">
        <v>10</v>
      </c>
    </row>
    <row r="375" spans="1:14" x14ac:dyDescent="0.3">
      <c r="A375" s="47">
        <v>2024381</v>
      </c>
      <c r="B375" s="126"/>
      <c r="C375" s="69"/>
      <c r="D375" s="69"/>
      <c r="E375" s="69"/>
      <c r="F375" s="69"/>
      <c r="G375" s="69"/>
      <c r="H375" s="69"/>
      <c r="I375" s="132"/>
      <c r="J375" s="132"/>
      <c r="K375" s="70"/>
      <c r="L375" s="48"/>
      <c r="M375" s="47">
        <f t="shared" si="6"/>
        <v>2024381</v>
      </c>
      <c r="N375" s="47">
        <v>10</v>
      </c>
    </row>
    <row r="376" spans="1:14" x14ac:dyDescent="0.3">
      <c r="A376" s="47">
        <v>2024382</v>
      </c>
      <c r="B376" s="126"/>
      <c r="C376" s="69"/>
      <c r="D376" s="69"/>
      <c r="E376" s="69"/>
      <c r="F376" s="69"/>
      <c r="G376" s="69"/>
      <c r="H376" s="69"/>
      <c r="I376" s="132"/>
      <c r="J376" s="132"/>
      <c r="K376" s="70"/>
      <c r="L376" s="48"/>
      <c r="M376" s="47">
        <f t="shared" si="6"/>
        <v>2024382</v>
      </c>
      <c r="N376" s="47">
        <v>10</v>
      </c>
    </row>
    <row r="377" spans="1:14" x14ac:dyDescent="0.3">
      <c r="A377" s="47">
        <v>2024383</v>
      </c>
      <c r="B377" s="126"/>
      <c r="C377" s="69"/>
      <c r="D377" s="69"/>
      <c r="E377" s="69"/>
      <c r="F377" s="69"/>
      <c r="G377" s="69"/>
      <c r="H377" s="69"/>
      <c r="I377" s="132"/>
      <c r="J377" s="132"/>
      <c r="K377" s="70"/>
      <c r="L377" s="48"/>
      <c r="M377" s="47">
        <f t="shared" si="6"/>
        <v>2024383</v>
      </c>
      <c r="N377" s="47">
        <v>10</v>
      </c>
    </row>
    <row r="378" spans="1:14" x14ac:dyDescent="0.3">
      <c r="A378" s="47">
        <v>2024384</v>
      </c>
      <c r="B378" s="126"/>
      <c r="C378" s="69"/>
      <c r="D378" s="69"/>
      <c r="E378" s="69"/>
      <c r="F378" s="69"/>
      <c r="G378" s="69"/>
      <c r="H378" s="69"/>
      <c r="I378" s="132"/>
      <c r="J378" s="132"/>
      <c r="K378" s="70"/>
      <c r="L378" s="48"/>
      <c r="M378" s="47">
        <f t="shared" si="6"/>
        <v>2024384</v>
      </c>
      <c r="N378" s="47">
        <v>10</v>
      </c>
    </row>
    <row r="379" spans="1:14" x14ac:dyDescent="0.3">
      <c r="A379" s="47">
        <v>2024385</v>
      </c>
      <c r="B379" s="126"/>
      <c r="C379" s="69"/>
      <c r="D379" s="69"/>
      <c r="E379" s="69"/>
      <c r="F379" s="69"/>
      <c r="G379" s="69"/>
      <c r="H379" s="69"/>
      <c r="I379" s="132"/>
      <c r="J379" s="132"/>
      <c r="K379" s="70"/>
      <c r="L379" s="48"/>
      <c r="M379" s="47">
        <f t="shared" si="6"/>
        <v>2024385</v>
      </c>
      <c r="N379" s="47">
        <v>10</v>
      </c>
    </row>
    <row r="380" spans="1:14" x14ac:dyDescent="0.3">
      <c r="A380" s="47">
        <v>2024386</v>
      </c>
      <c r="B380" s="126"/>
      <c r="C380" s="69"/>
      <c r="D380" s="69"/>
      <c r="E380" s="69"/>
      <c r="F380" s="69"/>
      <c r="G380" s="69"/>
      <c r="H380" s="69"/>
      <c r="I380" s="132"/>
      <c r="J380" s="132"/>
      <c r="K380" s="70"/>
      <c r="L380" s="48"/>
      <c r="M380" s="47">
        <f t="shared" si="6"/>
        <v>2024386</v>
      </c>
      <c r="N380" s="47">
        <v>10</v>
      </c>
    </row>
    <row r="381" spans="1:14" x14ac:dyDescent="0.3">
      <c r="A381" s="47">
        <v>2024387</v>
      </c>
      <c r="B381" s="126"/>
      <c r="C381" s="69"/>
      <c r="D381" s="69"/>
      <c r="E381" s="69"/>
      <c r="F381" s="69"/>
      <c r="G381" s="69"/>
      <c r="H381" s="69"/>
      <c r="I381" s="132"/>
      <c r="J381" s="132"/>
      <c r="K381" s="70"/>
      <c r="L381" s="48"/>
      <c r="M381" s="47">
        <f t="shared" si="6"/>
        <v>2024387</v>
      </c>
      <c r="N381" s="47">
        <v>10</v>
      </c>
    </row>
    <row r="382" spans="1:14" x14ac:dyDescent="0.3">
      <c r="A382" s="47">
        <v>2024388</v>
      </c>
      <c r="B382" s="126"/>
      <c r="C382" s="69"/>
      <c r="D382" s="69"/>
      <c r="E382" s="69"/>
      <c r="F382" s="69"/>
      <c r="G382" s="69"/>
      <c r="H382" s="69"/>
      <c r="I382" s="132"/>
      <c r="J382" s="132"/>
      <c r="K382" s="70"/>
      <c r="L382" s="48"/>
      <c r="M382" s="47">
        <f t="shared" si="6"/>
        <v>2024388</v>
      </c>
      <c r="N382" s="47">
        <v>10</v>
      </c>
    </row>
    <row r="383" spans="1:14" x14ac:dyDescent="0.3">
      <c r="A383" s="47">
        <v>2024389</v>
      </c>
      <c r="B383" s="126"/>
      <c r="C383" s="69"/>
      <c r="D383" s="69"/>
      <c r="E383" s="69"/>
      <c r="F383" s="69"/>
      <c r="G383" s="69"/>
      <c r="H383" s="69"/>
      <c r="I383" s="132"/>
      <c r="J383" s="132"/>
      <c r="K383" s="70"/>
      <c r="L383" s="48"/>
      <c r="M383" s="47">
        <f t="shared" si="6"/>
        <v>2024389</v>
      </c>
      <c r="N383" s="47">
        <v>10</v>
      </c>
    </row>
    <row r="384" spans="1:14" x14ac:dyDescent="0.3">
      <c r="A384" s="47">
        <v>2024390</v>
      </c>
      <c r="B384" s="126"/>
      <c r="C384" s="69"/>
      <c r="D384" s="69"/>
      <c r="E384" s="69"/>
      <c r="F384" s="69"/>
      <c r="G384" s="69"/>
      <c r="H384" s="69"/>
      <c r="I384" s="132"/>
      <c r="J384" s="132"/>
      <c r="K384" s="70"/>
      <c r="L384" s="48"/>
      <c r="M384" s="47">
        <f t="shared" si="6"/>
        <v>2024390</v>
      </c>
      <c r="N384" s="47">
        <v>10</v>
      </c>
    </row>
    <row r="385" spans="1:14" x14ac:dyDescent="0.3">
      <c r="A385" s="47">
        <v>2024391</v>
      </c>
      <c r="B385" s="126"/>
      <c r="C385" s="69"/>
      <c r="D385" s="69"/>
      <c r="E385" s="69"/>
      <c r="F385" s="69"/>
      <c r="G385" s="69"/>
      <c r="H385" s="69"/>
      <c r="I385" s="132"/>
      <c r="J385" s="132"/>
      <c r="K385" s="70"/>
      <c r="L385" s="48"/>
      <c r="M385" s="47">
        <f t="shared" si="6"/>
        <v>2024391</v>
      </c>
      <c r="N385" s="47">
        <v>10</v>
      </c>
    </row>
    <row r="386" spans="1:14" x14ac:dyDescent="0.3">
      <c r="A386" s="47">
        <v>2024392</v>
      </c>
      <c r="B386" s="126"/>
      <c r="C386" s="69"/>
      <c r="D386" s="69"/>
      <c r="E386" s="69"/>
      <c r="F386" s="69"/>
      <c r="G386" s="69"/>
      <c r="H386" s="69"/>
      <c r="I386" s="132"/>
      <c r="J386" s="132"/>
      <c r="K386" s="70"/>
      <c r="L386" s="48"/>
      <c r="M386" s="47">
        <f t="shared" ref="M386:M449" si="7">A386</f>
        <v>2024392</v>
      </c>
      <c r="N386" s="47">
        <v>10</v>
      </c>
    </row>
    <row r="387" spans="1:14" x14ac:dyDescent="0.3">
      <c r="A387" s="47">
        <v>2024393</v>
      </c>
      <c r="B387" s="126"/>
      <c r="C387" s="69"/>
      <c r="D387" s="69"/>
      <c r="E387" s="69"/>
      <c r="F387" s="69"/>
      <c r="G387" s="69"/>
      <c r="H387" s="69"/>
      <c r="I387" s="132"/>
      <c r="J387" s="132"/>
      <c r="K387" s="70"/>
      <c r="L387" s="48"/>
      <c r="M387" s="47">
        <f t="shared" si="7"/>
        <v>2024393</v>
      </c>
      <c r="N387" s="47">
        <v>10</v>
      </c>
    </row>
    <row r="388" spans="1:14" x14ac:dyDescent="0.3">
      <c r="A388" s="47">
        <v>2024394</v>
      </c>
      <c r="B388" s="126"/>
      <c r="C388" s="69"/>
      <c r="D388" s="69"/>
      <c r="E388" s="69"/>
      <c r="F388" s="69"/>
      <c r="G388" s="69"/>
      <c r="H388" s="69"/>
      <c r="I388" s="132"/>
      <c r="J388" s="132"/>
      <c r="K388" s="70"/>
      <c r="L388" s="48"/>
      <c r="M388" s="47">
        <f t="shared" si="7"/>
        <v>2024394</v>
      </c>
      <c r="N388" s="47">
        <v>10</v>
      </c>
    </row>
    <row r="389" spans="1:14" x14ac:dyDescent="0.3">
      <c r="A389" s="47">
        <v>2024395</v>
      </c>
      <c r="B389" s="126"/>
      <c r="C389" s="69"/>
      <c r="D389" s="69"/>
      <c r="E389" s="69"/>
      <c r="F389" s="69"/>
      <c r="G389" s="69"/>
      <c r="H389" s="69"/>
      <c r="I389" s="132"/>
      <c r="J389" s="132"/>
      <c r="K389" s="70"/>
      <c r="L389" s="48"/>
      <c r="M389" s="47">
        <f t="shared" si="7"/>
        <v>2024395</v>
      </c>
      <c r="N389" s="47">
        <v>10</v>
      </c>
    </row>
    <row r="390" spans="1:14" x14ac:dyDescent="0.3">
      <c r="A390" s="47">
        <v>2024396</v>
      </c>
      <c r="B390" s="126"/>
      <c r="C390" s="69"/>
      <c r="D390" s="69"/>
      <c r="E390" s="69"/>
      <c r="F390" s="69"/>
      <c r="G390" s="69"/>
      <c r="H390" s="69"/>
      <c r="I390" s="132"/>
      <c r="J390" s="132"/>
      <c r="K390" s="70"/>
      <c r="L390" s="48"/>
      <c r="M390" s="47">
        <f t="shared" si="7"/>
        <v>2024396</v>
      </c>
      <c r="N390" s="47">
        <v>10</v>
      </c>
    </row>
    <row r="391" spans="1:14" x14ac:dyDescent="0.3">
      <c r="A391" s="47">
        <v>2024397</v>
      </c>
      <c r="B391" s="126"/>
      <c r="C391" s="69"/>
      <c r="D391" s="69"/>
      <c r="E391" s="69"/>
      <c r="F391" s="69"/>
      <c r="G391" s="69"/>
      <c r="H391" s="69"/>
      <c r="I391" s="132"/>
      <c r="J391" s="132"/>
      <c r="K391" s="70"/>
      <c r="L391" s="48"/>
      <c r="M391" s="47">
        <f t="shared" si="7"/>
        <v>2024397</v>
      </c>
      <c r="N391" s="47">
        <v>10</v>
      </c>
    </row>
    <row r="392" spans="1:14" x14ac:dyDescent="0.3">
      <c r="A392" s="47">
        <v>2024398</v>
      </c>
      <c r="B392" s="126"/>
      <c r="C392" s="69"/>
      <c r="D392" s="69"/>
      <c r="E392" s="69"/>
      <c r="F392" s="69"/>
      <c r="G392" s="69"/>
      <c r="H392" s="69"/>
      <c r="I392" s="132"/>
      <c r="J392" s="132"/>
      <c r="K392" s="70"/>
      <c r="L392" s="48"/>
      <c r="M392" s="47">
        <f t="shared" si="7"/>
        <v>2024398</v>
      </c>
      <c r="N392" s="47">
        <v>10</v>
      </c>
    </row>
    <row r="393" spans="1:14" x14ac:dyDescent="0.3">
      <c r="A393" s="47">
        <v>2024399</v>
      </c>
      <c r="B393" s="126"/>
      <c r="C393" s="69"/>
      <c r="D393" s="69"/>
      <c r="E393" s="69"/>
      <c r="F393" s="69"/>
      <c r="G393" s="69"/>
      <c r="H393" s="69"/>
      <c r="I393" s="132"/>
      <c r="J393" s="132"/>
      <c r="K393" s="70"/>
      <c r="L393" s="48"/>
      <c r="M393" s="47">
        <f t="shared" si="7"/>
        <v>2024399</v>
      </c>
      <c r="N393" s="47">
        <v>10</v>
      </c>
    </row>
    <row r="394" spans="1:14" x14ac:dyDescent="0.3">
      <c r="A394" s="47">
        <v>2024400</v>
      </c>
      <c r="B394" s="126"/>
      <c r="C394" s="69"/>
      <c r="D394" s="69"/>
      <c r="E394" s="69"/>
      <c r="F394" s="69"/>
      <c r="G394" s="69"/>
      <c r="H394" s="69"/>
      <c r="I394" s="132"/>
      <c r="J394" s="132"/>
      <c r="K394" s="70"/>
      <c r="L394" s="48"/>
      <c r="M394" s="47">
        <f t="shared" si="7"/>
        <v>2024400</v>
      </c>
      <c r="N394" s="47">
        <v>10</v>
      </c>
    </row>
    <row r="395" spans="1:14" x14ac:dyDescent="0.3">
      <c r="A395" s="47">
        <v>2024401</v>
      </c>
      <c r="B395" s="126"/>
      <c r="C395" s="69"/>
      <c r="D395" s="69"/>
      <c r="E395" s="69"/>
      <c r="F395" s="69"/>
      <c r="G395" s="69"/>
      <c r="H395" s="69"/>
      <c r="I395" s="132"/>
      <c r="J395" s="132"/>
      <c r="K395" s="70"/>
      <c r="L395" s="48"/>
      <c r="M395" s="47">
        <f t="shared" si="7"/>
        <v>2024401</v>
      </c>
      <c r="N395" s="47">
        <v>10</v>
      </c>
    </row>
    <row r="396" spans="1:14" x14ac:dyDescent="0.3">
      <c r="A396" s="47">
        <v>2024402</v>
      </c>
      <c r="B396" s="126"/>
      <c r="C396" s="69"/>
      <c r="D396" s="69"/>
      <c r="E396" s="69"/>
      <c r="F396" s="69"/>
      <c r="G396" s="69"/>
      <c r="H396" s="69"/>
      <c r="I396" s="132"/>
      <c r="J396" s="132"/>
      <c r="K396" s="70"/>
      <c r="L396" s="48"/>
      <c r="M396" s="47">
        <f t="shared" si="7"/>
        <v>2024402</v>
      </c>
      <c r="N396" s="47">
        <v>10</v>
      </c>
    </row>
    <row r="397" spans="1:14" x14ac:dyDescent="0.3">
      <c r="A397" s="47">
        <v>2024403</v>
      </c>
      <c r="B397" s="126"/>
      <c r="C397" s="69"/>
      <c r="D397" s="69"/>
      <c r="E397" s="69"/>
      <c r="F397" s="69"/>
      <c r="G397" s="69"/>
      <c r="H397" s="69"/>
      <c r="I397" s="132"/>
      <c r="J397" s="132"/>
      <c r="K397" s="70"/>
      <c r="L397" s="48"/>
      <c r="M397" s="47">
        <f t="shared" si="7"/>
        <v>2024403</v>
      </c>
      <c r="N397" s="47">
        <v>10</v>
      </c>
    </row>
    <row r="398" spans="1:14" x14ac:dyDescent="0.3">
      <c r="A398" s="47">
        <v>2024404</v>
      </c>
      <c r="B398" s="126"/>
      <c r="C398" s="69"/>
      <c r="D398" s="69"/>
      <c r="E398" s="69"/>
      <c r="F398" s="69"/>
      <c r="G398" s="69"/>
      <c r="H398" s="69"/>
      <c r="I398" s="132"/>
      <c r="J398" s="132"/>
      <c r="K398" s="70"/>
      <c r="L398" s="48"/>
      <c r="M398" s="47">
        <f t="shared" si="7"/>
        <v>2024404</v>
      </c>
      <c r="N398" s="47">
        <v>10</v>
      </c>
    </row>
    <row r="399" spans="1:14" x14ac:dyDescent="0.3">
      <c r="A399" s="47">
        <v>2024405</v>
      </c>
      <c r="B399" s="126"/>
      <c r="C399" s="69"/>
      <c r="D399" s="69"/>
      <c r="E399" s="69"/>
      <c r="F399" s="69"/>
      <c r="G399" s="69"/>
      <c r="H399" s="69"/>
      <c r="I399" s="132"/>
      <c r="J399" s="132"/>
      <c r="K399" s="70"/>
      <c r="L399" s="48"/>
      <c r="M399" s="47">
        <f t="shared" si="7"/>
        <v>2024405</v>
      </c>
      <c r="N399" s="47">
        <v>10</v>
      </c>
    </row>
    <row r="400" spans="1:14" x14ac:dyDescent="0.3">
      <c r="A400" s="47">
        <v>2024406</v>
      </c>
      <c r="B400" s="126"/>
      <c r="C400" s="69"/>
      <c r="D400" s="69"/>
      <c r="E400" s="69"/>
      <c r="F400" s="69"/>
      <c r="G400" s="69"/>
      <c r="H400" s="69"/>
      <c r="I400" s="132"/>
      <c r="J400" s="132"/>
      <c r="K400" s="70"/>
      <c r="L400" s="48"/>
      <c r="M400" s="47">
        <f t="shared" si="7"/>
        <v>2024406</v>
      </c>
      <c r="N400" s="47">
        <v>10</v>
      </c>
    </row>
    <row r="401" spans="1:14" x14ac:dyDescent="0.3">
      <c r="A401" s="47">
        <v>2024407</v>
      </c>
      <c r="B401" s="126"/>
      <c r="C401" s="69"/>
      <c r="D401" s="69"/>
      <c r="E401" s="69"/>
      <c r="F401" s="69"/>
      <c r="G401" s="69"/>
      <c r="H401" s="69"/>
      <c r="I401" s="132"/>
      <c r="J401" s="132"/>
      <c r="K401" s="70"/>
      <c r="L401" s="48"/>
      <c r="M401" s="47">
        <f t="shared" si="7"/>
        <v>2024407</v>
      </c>
      <c r="N401" s="47">
        <v>10</v>
      </c>
    </row>
    <row r="402" spans="1:14" x14ac:dyDescent="0.3">
      <c r="A402" s="47">
        <v>2024408</v>
      </c>
      <c r="B402" s="126"/>
      <c r="C402" s="69"/>
      <c r="D402" s="69"/>
      <c r="E402" s="69"/>
      <c r="F402" s="69"/>
      <c r="G402" s="69"/>
      <c r="H402" s="69"/>
      <c r="I402" s="132"/>
      <c r="J402" s="132"/>
      <c r="K402" s="70"/>
      <c r="L402" s="48"/>
      <c r="M402" s="47">
        <f t="shared" si="7"/>
        <v>2024408</v>
      </c>
      <c r="N402" s="47">
        <v>10</v>
      </c>
    </row>
    <row r="403" spans="1:14" x14ac:dyDescent="0.3">
      <c r="A403" s="47">
        <v>2024409</v>
      </c>
      <c r="B403" s="126"/>
      <c r="C403" s="69"/>
      <c r="D403" s="69"/>
      <c r="E403" s="69"/>
      <c r="F403" s="69"/>
      <c r="G403" s="69"/>
      <c r="H403" s="69"/>
      <c r="I403" s="132"/>
      <c r="J403" s="132"/>
      <c r="K403" s="70"/>
      <c r="L403" s="48"/>
      <c r="M403" s="47">
        <f t="shared" si="7"/>
        <v>2024409</v>
      </c>
      <c r="N403" s="47">
        <v>10</v>
      </c>
    </row>
    <row r="404" spans="1:14" x14ac:dyDescent="0.3">
      <c r="A404" s="47">
        <v>2024410</v>
      </c>
      <c r="B404" s="126"/>
      <c r="C404" s="69"/>
      <c r="D404" s="69"/>
      <c r="E404" s="69"/>
      <c r="F404" s="69"/>
      <c r="G404" s="69"/>
      <c r="H404" s="69"/>
      <c r="I404" s="132"/>
      <c r="J404" s="132"/>
      <c r="K404" s="70"/>
      <c r="L404" s="48"/>
      <c r="M404" s="47">
        <f t="shared" si="7"/>
        <v>2024410</v>
      </c>
      <c r="N404" s="47">
        <v>10</v>
      </c>
    </row>
    <row r="405" spans="1:14" x14ac:dyDescent="0.3">
      <c r="A405" s="47">
        <v>2024411</v>
      </c>
      <c r="B405" s="126"/>
      <c r="C405" s="69"/>
      <c r="D405" s="69"/>
      <c r="E405" s="69"/>
      <c r="F405" s="69"/>
      <c r="G405" s="69"/>
      <c r="H405" s="69"/>
      <c r="I405" s="132"/>
      <c r="J405" s="132"/>
      <c r="K405" s="70"/>
      <c r="L405" s="48"/>
      <c r="M405" s="47">
        <f t="shared" si="7"/>
        <v>2024411</v>
      </c>
      <c r="N405" s="47">
        <v>10</v>
      </c>
    </row>
    <row r="406" spans="1:14" x14ac:dyDescent="0.3">
      <c r="A406" s="47">
        <v>2024412</v>
      </c>
      <c r="B406" s="126"/>
      <c r="C406" s="69"/>
      <c r="D406" s="69"/>
      <c r="E406" s="69"/>
      <c r="F406" s="69"/>
      <c r="G406" s="69"/>
      <c r="H406" s="69"/>
      <c r="I406" s="132"/>
      <c r="J406" s="132"/>
      <c r="K406" s="70"/>
      <c r="L406" s="48"/>
      <c r="M406" s="47">
        <f t="shared" si="7"/>
        <v>2024412</v>
      </c>
      <c r="N406" s="47">
        <v>10</v>
      </c>
    </row>
    <row r="407" spans="1:14" x14ac:dyDescent="0.3">
      <c r="A407" s="47">
        <v>2024413</v>
      </c>
      <c r="B407" s="126"/>
      <c r="C407" s="69"/>
      <c r="D407" s="69"/>
      <c r="E407" s="69"/>
      <c r="F407" s="69"/>
      <c r="G407" s="69"/>
      <c r="H407" s="69"/>
      <c r="I407" s="132"/>
      <c r="J407" s="132"/>
      <c r="K407" s="70"/>
      <c r="L407" s="48"/>
      <c r="M407" s="47">
        <f t="shared" si="7"/>
        <v>2024413</v>
      </c>
      <c r="N407" s="47">
        <v>10</v>
      </c>
    </row>
    <row r="408" spans="1:14" x14ac:dyDescent="0.3">
      <c r="A408" s="47">
        <v>2024414</v>
      </c>
      <c r="B408" s="126"/>
      <c r="C408" s="69"/>
      <c r="D408" s="69"/>
      <c r="E408" s="69"/>
      <c r="F408" s="69"/>
      <c r="G408" s="69"/>
      <c r="H408" s="69"/>
      <c r="I408" s="132"/>
      <c r="J408" s="132"/>
      <c r="K408" s="70"/>
      <c r="L408" s="48"/>
      <c r="M408" s="47">
        <f t="shared" si="7"/>
        <v>2024414</v>
      </c>
      <c r="N408" s="47">
        <v>10</v>
      </c>
    </row>
    <row r="409" spans="1:14" x14ac:dyDescent="0.3">
      <c r="A409" s="47">
        <v>2024415</v>
      </c>
      <c r="B409" s="126"/>
      <c r="C409" s="69"/>
      <c r="D409" s="69"/>
      <c r="E409" s="69"/>
      <c r="F409" s="69"/>
      <c r="G409" s="69"/>
      <c r="H409" s="69"/>
      <c r="I409" s="132"/>
      <c r="J409" s="132"/>
      <c r="K409" s="70"/>
      <c r="L409" s="48"/>
      <c r="M409" s="47">
        <f t="shared" si="7"/>
        <v>2024415</v>
      </c>
      <c r="N409" s="47">
        <v>10</v>
      </c>
    </row>
    <row r="410" spans="1:14" x14ac:dyDescent="0.3">
      <c r="A410" s="47">
        <v>2024416</v>
      </c>
      <c r="B410" s="126"/>
      <c r="C410" s="69"/>
      <c r="D410" s="69"/>
      <c r="E410" s="69"/>
      <c r="F410" s="69"/>
      <c r="G410" s="69"/>
      <c r="H410" s="69"/>
      <c r="I410" s="132"/>
      <c r="J410" s="132"/>
      <c r="K410" s="70"/>
      <c r="L410" s="48"/>
      <c r="M410" s="47">
        <f t="shared" si="7"/>
        <v>2024416</v>
      </c>
      <c r="N410" s="47">
        <v>10</v>
      </c>
    </row>
    <row r="411" spans="1:14" x14ac:dyDescent="0.3">
      <c r="A411" s="47">
        <v>2024417</v>
      </c>
      <c r="B411" s="126"/>
      <c r="C411" s="69"/>
      <c r="D411" s="69"/>
      <c r="E411" s="69"/>
      <c r="F411" s="69"/>
      <c r="G411" s="69"/>
      <c r="H411" s="69"/>
      <c r="I411" s="132"/>
      <c r="J411" s="132"/>
      <c r="K411" s="70"/>
      <c r="L411" s="48"/>
      <c r="M411" s="47">
        <f t="shared" si="7"/>
        <v>2024417</v>
      </c>
      <c r="N411" s="47">
        <v>10</v>
      </c>
    </row>
    <row r="412" spans="1:14" x14ac:dyDescent="0.3">
      <c r="A412" s="47">
        <v>2024418</v>
      </c>
      <c r="B412" s="126"/>
      <c r="C412" s="69"/>
      <c r="D412" s="69"/>
      <c r="E412" s="69"/>
      <c r="F412" s="69"/>
      <c r="G412" s="69"/>
      <c r="H412" s="69"/>
      <c r="I412" s="132"/>
      <c r="J412" s="132"/>
      <c r="K412" s="70"/>
      <c r="L412" s="48"/>
      <c r="M412" s="47">
        <f t="shared" si="7"/>
        <v>2024418</v>
      </c>
      <c r="N412" s="47">
        <v>10</v>
      </c>
    </row>
    <row r="413" spans="1:14" x14ac:dyDescent="0.3">
      <c r="A413" s="47">
        <v>2024419</v>
      </c>
      <c r="B413" s="126"/>
      <c r="C413" s="69"/>
      <c r="D413" s="69"/>
      <c r="E413" s="69"/>
      <c r="F413" s="69"/>
      <c r="G413" s="69"/>
      <c r="H413" s="69"/>
      <c r="I413" s="132"/>
      <c r="J413" s="132"/>
      <c r="K413" s="70"/>
      <c r="L413" s="48"/>
      <c r="M413" s="47">
        <f t="shared" si="7"/>
        <v>2024419</v>
      </c>
      <c r="N413" s="47">
        <v>10</v>
      </c>
    </row>
    <row r="414" spans="1:14" x14ac:dyDescent="0.3">
      <c r="A414" s="47">
        <v>2024420</v>
      </c>
      <c r="B414" s="126"/>
      <c r="C414" s="69"/>
      <c r="D414" s="69"/>
      <c r="E414" s="69"/>
      <c r="F414" s="69"/>
      <c r="G414" s="69"/>
      <c r="H414" s="69"/>
      <c r="I414" s="132"/>
      <c r="J414" s="132"/>
      <c r="K414" s="70"/>
      <c r="L414" s="48"/>
      <c r="M414" s="47">
        <f t="shared" si="7"/>
        <v>2024420</v>
      </c>
      <c r="N414" s="47">
        <v>10</v>
      </c>
    </row>
    <row r="415" spans="1:14" x14ac:dyDescent="0.3">
      <c r="A415" s="47">
        <v>2024421</v>
      </c>
      <c r="B415" s="126"/>
      <c r="C415" s="69"/>
      <c r="D415" s="69"/>
      <c r="E415" s="69"/>
      <c r="F415" s="69"/>
      <c r="G415" s="69"/>
      <c r="H415" s="69"/>
      <c r="I415" s="132"/>
      <c r="J415" s="132"/>
      <c r="K415" s="70"/>
      <c r="L415" s="48"/>
      <c r="M415" s="47">
        <f t="shared" si="7"/>
        <v>2024421</v>
      </c>
      <c r="N415" s="47">
        <v>10</v>
      </c>
    </row>
    <row r="416" spans="1:14" x14ac:dyDescent="0.3">
      <c r="A416" s="47">
        <v>2024422</v>
      </c>
      <c r="B416" s="126"/>
      <c r="C416" s="69"/>
      <c r="D416" s="69"/>
      <c r="E416" s="69"/>
      <c r="F416" s="69"/>
      <c r="G416" s="69"/>
      <c r="H416" s="69"/>
      <c r="I416" s="132"/>
      <c r="J416" s="132"/>
      <c r="K416" s="70"/>
      <c r="L416" s="48"/>
      <c r="M416" s="47">
        <f t="shared" si="7"/>
        <v>2024422</v>
      </c>
      <c r="N416" s="47">
        <v>10</v>
      </c>
    </row>
    <row r="417" spans="1:14" x14ac:dyDescent="0.3">
      <c r="A417" s="47">
        <v>2024423</v>
      </c>
      <c r="B417" s="126"/>
      <c r="C417" s="69"/>
      <c r="D417" s="69"/>
      <c r="E417" s="69"/>
      <c r="F417" s="69"/>
      <c r="G417" s="69"/>
      <c r="H417" s="69"/>
      <c r="I417" s="132"/>
      <c r="J417" s="132"/>
      <c r="K417" s="70"/>
      <c r="L417" s="48"/>
      <c r="M417" s="47">
        <f t="shared" si="7"/>
        <v>2024423</v>
      </c>
      <c r="N417" s="47">
        <v>10</v>
      </c>
    </row>
    <row r="418" spans="1:14" x14ac:dyDescent="0.3">
      <c r="A418" s="47">
        <v>2024424</v>
      </c>
      <c r="B418" s="126"/>
      <c r="C418" s="69"/>
      <c r="D418" s="69"/>
      <c r="E418" s="69"/>
      <c r="F418" s="69"/>
      <c r="G418" s="69"/>
      <c r="H418" s="69"/>
      <c r="I418" s="132"/>
      <c r="J418" s="132"/>
      <c r="K418" s="70"/>
      <c r="L418" s="48"/>
      <c r="M418" s="47">
        <f t="shared" si="7"/>
        <v>2024424</v>
      </c>
      <c r="N418" s="47">
        <v>10</v>
      </c>
    </row>
    <row r="419" spans="1:14" x14ac:dyDescent="0.3">
      <c r="A419" s="47">
        <v>2024425</v>
      </c>
      <c r="B419" s="126"/>
      <c r="C419" s="69"/>
      <c r="D419" s="69"/>
      <c r="E419" s="69"/>
      <c r="F419" s="69"/>
      <c r="G419" s="69"/>
      <c r="H419" s="69"/>
      <c r="I419" s="132"/>
      <c r="J419" s="132"/>
      <c r="K419" s="70"/>
      <c r="L419" s="48"/>
      <c r="M419" s="47">
        <f t="shared" si="7"/>
        <v>2024425</v>
      </c>
      <c r="N419" s="47">
        <v>10</v>
      </c>
    </row>
    <row r="420" spans="1:14" x14ac:dyDescent="0.3">
      <c r="A420" s="47">
        <v>2024426</v>
      </c>
      <c r="B420" s="126"/>
      <c r="C420" s="69"/>
      <c r="D420" s="69"/>
      <c r="E420" s="69"/>
      <c r="F420" s="69"/>
      <c r="G420" s="69"/>
      <c r="H420" s="69"/>
      <c r="I420" s="132"/>
      <c r="J420" s="132"/>
      <c r="K420" s="70"/>
      <c r="L420" s="48"/>
      <c r="M420" s="47">
        <f t="shared" si="7"/>
        <v>2024426</v>
      </c>
      <c r="N420" s="47">
        <v>10</v>
      </c>
    </row>
    <row r="421" spans="1:14" x14ac:dyDescent="0.3">
      <c r="A421" s="47">
        <v>2024427</v>
      </c>
      <c r="B421" s="126"/>
      <c r="C421" s="69"/>
      <c r="D421" s="69"/>
      <c r="E421" s="69"/>
      <c r="F421" s="69"/>
      <c r="G421" s="69"/>
      <c r="H421" s="69"/>
      <c r="I421" s="132"/>
      <c r="J421" s="132"/>
      <c r="K421" s="70"/>
      <c r="L421" s="48"/>
      <c r="M421" s="47">
        <f t="shared" si="7"/>
        <v>2024427</v>
      </c>
      <c r="N421" s="47">
        <v>10</v>
      </c>
    </row>
    <row r="422" spans="1:14" x14ac:dyDescent="0.3">
      <c r="A422" s="47">
        <v>2024428</v>
      </c>
      <c r="B422" s="126"/>
      <c r="C422" s="69"/>
      <c r="D422" s="69"/>
      <c r="E422" s="69"/>
      <c r="F422" s="69"/>
      <c r="G422" s="69"/>
      <c r="H422" s="69"/>
      <c r="I422" s="132"/>
      <c r="J422" s="132"/>
      <c r="K422" s="70"/>
      <c r="L422" s="48"/>
      <c r="M422" s="47">
        <f t="shared" si="7"/>
        <v>2024428</v>
      </c>
      <c r="N422" s="47">
        <v>10</v>
      </c>
    </row>
    <row r="423" spans="1:14" x14ac:dyDescent="0.3">
      <c r="A423" s="47">
        <v>2024429</v>
      </c>
      <c r="B423" s="126"/>
      <c r="C423" s="69"/>
      <c r="D423" s="69"/>
      <c r="E423" s="69"/>
      <c r="F423" s="69"/>
      <c r="G423" s="69"/>
      <c r="H423" s="69"/>
      <c r="I423" s="132"/>
      <c r="J423" s="132"/>
      <c r="K423" s="70"/>
      <c r="L423" s="48"/>
      <c r="M423" s="47">
        <f t="shared" si="7"/>
        <v>2024429</v>
      </c>
      <c r="N423" s="47">
        <v>10</v>
      </c>
    </row>
    <row r="424" spans="1:14" x14ac:dyDescent="0.3">
      <c r="A424" s="47">
        <v>2024430</v>
      </c>
      <c r="B424" s="126"/>
      <c r="C424" s="69"/>
      <c r="D424" s="69"/>
      <c r="E424" s="69"/>
      <c r="F424" s="69"/>
      <c r="G424" s="69"/>
      <c r="H424" s="69"/>
      <c r="I424" s="132"/>
      <c r="J424" s="132"/>
      <c r="K424" s="70"/>
      <c r="L424" s="48"/>
      <c r="M424" s="47">
        <f t="shared" si="7"/>
        <v>2024430</v>
      </c>
      <c r="N424" s="47">
        <v>10</v>
      </c>
    </row>
    <row r="425" spans="1:14" x14ac:dyDescent="0.3">
      <c r="A425" s="47">
        <v>2024431</v>
      </c>
      <c r="B425" s="126"/>
      <c r="C425" s="69"/>
      <c r="D425" s="69"/>
      <c r="E425" s="69"/>
      <c r="F425" s="69"/>
      <c r="G425" s="69"/>
      <c r="H425" s="69"/>
      <c r="I425" s="132"/>
      <c r="J425" s="132"/>
      <c r="K425" s="70"/>
      <c r="L425" s="48"/>
      <c r="M425" s="47">
        <f t="shared" si="7"/>
        <v>2024431</v>
      </c>
      <c r="N425" s="47">
        <v>10</v>
      </c>
    </row>
    <row r="426" spans="1:14" x14ac:dyDescent="0.3">
      <c r="A426" s="47">
        <v>2024432</v>
      </c>
      <c r="B426" s="126"/>
      <c r="C426" s="69"/>
      <c r="D426" s="69"/>
      <c r="E426" s="69"/>
      <c r="F426" s="69"/>
      <c r="G426" s="69"/>
      <c r="H426" s="69"/>
      <c r="I426" s="132"/>
      <c r="J426" s="132"/>
      <c r="K426" s="70"/>
      <c r="L426" s="48"/>
      <c r="M426" s="47">
        <f t="shared" si="7"/>
        <v>2024432</v>
      </c>
      <c r="N426" s="47">
        <v>10</v>
      </c>
    </row>
    <row r="427" spans="1:14" x14ac:dyDescent="0.3">
      <c r="A427" s="47">
        <v>2024433</v>
      </c>
      <c r="B427" s="126"/>
      <c r="C427" s="69"/>
      <c r="D427" s="69"/>
      <c r="E427" s="69"/>
      <c r="F427" s="69"/>
      <c r="G427" s="69"/>
      <c r="H427" s="69"/>
      <c r="I427" s="132"/>
      <c r="J427" s="132"/>
      <c r="K427" s="70"/>
      <c r="L427" s="48"/>
      <c r="M427" s="47">
        <f t="shared" si="7"/>
        <v>2024433</v>
      </c>
      <c r="N427" s="47">
        <v>10</v>
      </c>
    </row>
    <row r="428" spans="1:14" x14ac:dyDescent="0.3">
      <c r="A428" s="47">
        <v>2024434</v>
      </c>
      <c r="B428" s="126"/>
      <c r="C428" s="69"/>
      <c r="D428" s="69"/>
      <c r="E428" s="69"/>
      <c r="F428" s="69"/>
      <c r="G428" s="69"/>
      <c r="H428" s="69"/>
      <c r="I428" s="132"/>
      <c r="J428" s="132"/>
      <c r="K428" s="70"/>
      <c r="L428" s="48"/>
      <c r="M428" s="47">
        <f t="shared" si="7"/>
        <v>2024434</v>
      </c>
      <c r="N428" s="47">
        <v>10</v>
      </c>
    </row>
    <row r="429" spans="1:14" x14ac:dyDescent="0.3">
      <c r="A429" s="47">
        <v>2024435</v>
      </c>
      <c r="B429" s="126"/>
      <c r="C429" s="69"/>
      <c r="D429" s="69"/>
      <c r="E429" s="69"/>
      <c r="F429" s="69"/>
      <c r="G429" s="69"/>
      <c r="H429" s="69"/>
      <c r="I429" s="132"/>
      <c r="J429" s="132"/>
      <c r="K429" s="70"/>
      <c r="L429" s="48"/>
      <c r="M429" s="47">
        <f t="shared" si="7"/>
        <v>2024435</v>
      </c>
      <c r="N429" s="47">
        <v>10</v>
      </c>
    </row>
    <row r="430" spans="1:14" x14ac:dyDescent="0.3">
      <c r="A430" s="47">
        <v>2024436</v>
      </c>
      <c r="B430" s="126"/>
      <c r="C430" s="69"/>
      <c r="D430" s="69"/>
      <c r="E430" s="69"/>
      <c r="F430" s="69"/>
      <c r="G430" s="69"/>
      <c r="H430" s="69"/>
      <c r="I430" s="132"/>
      <c r="J430" s="132"/>
      <c r="K430" s="70"/>
      <c r="L430" s="48"/>
      <c r="M430" s="47">
        <f t="shared" si="7"/>
        <v>2024436</v>
      </c>
      <c r="N430" s="47">
        <v>10</v>
      </c>
    </row>
    <row r="431" spans="1:14" x14ac:dyDescent="0.3">
      <c r="A431" s="47">
        <v>2024437</v>
      </c>
      <c r="B431" s="126"/>
      <c r="C431" s="69"/>
      <c r="D431" s="69"/>
      <c r="E431" s="69"/>
      <c r="F431" s="69"/>
      <c r="G431" s="69"/>
      <c r="H431" s="69"/>
      <c r="I431" s="132"/>
      <c r="J431" s="132"/>
      <c r="K431" s="70"/>
      <c r="L431" s="48"/>
      <c r="M431" s="47">
        <f t="shared" si="7"/>
        <v>2024437</v>
      </c>
      <c r="N431" s="47">
        <v>10</v>
      </c>
    </row>
    <row r="432" spans="1:14" x14ac:dyDescent="0.3">
      <c r="A432" s="47">
        <v>2024438</v>
      </c>
      <c r="B432" s="126"/>
      <c r="C432" s="69"/>
      <c r="D432" s="69"/>
      <c r="E432" s="69"/>
      <c r="F432" s="69"/>
      <c r="G432" s="69"/>
      <c r="H432" s="69"/>
      <c r="I432" s="132"/>
      <c r="J432" s="132"/>
      <c r="K432" s="70"/>
      <c r="L432" s="48"/>
      <c r="M432" s="47">
        <f t="shared" si="7"/>
        <v>2024438</v>
      </c>
      <c r="N432" s="47">
        <v>10</v>
      </c>
    </row>
    <row r="433" spans="1:14" x14ac:dyDescent="0.3">
      <c r="A433" s="47">
        <v>2024439</v>
      </c>
      <c r="B433" s="126"/>
      <c r="C433" s="69"/>
      <c r="D433" s="69"/>
      <c r="E433" s="69"/>
      <c r="F433" s="69"/>
      <c r="G433" s="69"/>
      <c r="H433" s="69"/>
      <c r="I433" s="132"/>
      <c r="J433" s="132"/>
      <c r="K433" s="70"/>
      <c r="L433" s="48"/>
      <c r="M433" s="47">
        <f t="shared" si="7"/>
        <v>2024439</v>
      </c>
      <c r="N433" s="47">
        <v>10</v>
      </c>
    </row>
    <row r="434" spans="1:14" x14ac:dyDescent="0.3">
      <c r="A434" s="47">
        <v>2024440</v>
      </c>
      <c r="B434" s="126"/>
      <c r="C434" s="69"/>
      <c r="D434" s="69"/>
      <c r="E434" s="69"/>
      <c r="F434" s="69"/>
      <c r="G434" s="69"/>
      <c r="H434" s="69"/>
      <c r="I434" s="132"/>
      <c r="J434" s="132"/>
      <c r="K434" s="70"/>
      <c r="L434" s="48"/>
      <c r="M434" s="47">
        <f t="shared" si="7"/>
        <v>2024440</v>
      </c>
      <c r="N434" s="47">
        <v>10</v>
      </c>
    </row>
    <row r="435" spans="1:14" x14ac:dyDescent="0.3">
      <c r="A435" s="47">
        <v>2024441</v>
      </c>
      <c r="B435" s="126"/>
      <c r="C435" s="69"/>
      <c r="D435" s="69"/>
      <c r="E435" s="69"/>
      <c r="F435" s="69"/>
      <c r="G435" s="69"/>
      <c r="H435" s="69"/>
      <c r="I435" s="132"/>
      <c r="J435" s="132"/>
      <c r="K435" s="70"/>
      <c r="L435" s="48"/>
      <c r="M435" s="47">
        <f t="shared" si="7"/>
        <v>2024441</v>
      </c>
      <c r="N435" s="47">
        <v>10</v>
      </c>
    </row>
    <row r="436" spans="1:14" x14ac:dyDescent="0.3">
      <c r="A436" s="47">
        <v>2024442</v>
      </c>
      <c r="B436" s="126"/>
      <c r="C436" s="69"/>
      <c r="D436" s="69"/>
      <c r="E436" s="69"/>
      <c r="F436" s="69"/>
      <c r="G436" s="69"/>
      <c r="H436" s="69"/>
      <c r="I436" s="132"/>
      <c r="J436" s="132"/>
      <c r="K436" s="70"/>
      <c r="L436" s="48"/>
      <c r="M436" s="47">
        <f t="shared" si="7"/>
        <v>2024442</v>
      </c>
      <c r="N436" s="47">
        <v>10</v>
      </c>
    </row>
    <row r="437" spans="1:14" x14ac:dyDescent="0.3">
      <c r="A437" s="47">
        <v>2024443</v>
      </c>
      <c r="B437" s="126"/>
      <c r="C437" s="69"/>
      <c r="D437" s="69"/>
      <c r="E437" s="69"/>
      <c r="F437" s="69"/>
      <c r="G437" s="69"/>
      <c r="H437" s="69"/>
      <c r="I437" s="132"/>
      <c r="J437" s="132"/>
      <c r="K437" s="70"/>
      <c r="L437" s="48"/>
      <c r="M437" s="47">
        <f t="shared" si="7"/>
        <v>2024443</v>
      </c>
      <c r="N437" s="47">
        <v>10</v>
      </c>
    </row>
    <row r="438" spans="1:14" x14ac:dyDescent="0.3">
      <c r="A438" s="47">
        <v>2024444</v>
      </c>
      <c r="B438" s="126"/>
      <c r="C438" s="69"/>
      <c r="D438" s="69"/>
      <c r="E438" s="69"/>
      <c r="F438" s="69"/>
      <c r="G438" s="69"/>
      <c r="H438" s="69"/>
      <c r="I438" s="132"/>
      <c r="J438" s="132"/>
      <c r="K438" s="70"/>
      <c r="L438" s="48"/>
      <c r="M438" s="47">
        <f t="shared" si="7"/>
        <v>2024444</v>
      </c>
      <c r="N438" s="47">
        <v>10</v>
      </c>
    </row>
    <row r="439" spans="1:14" x14ac:dyDescent="0.3">
      <c r="A439" s="47">
        <v>2024445</v>
      </c>
      <c r="B439" s="126"/>
      <c r="C439" s="69"/>
      <c r="D439" s="69"/>
      <c r="E439" s="69"/>
      <c r="F439" s="69"/>
      <c r="G439" s="69"/>
      <c r="H439" s="69"/>
      <c r="I439" s="132"/>
      <c r="J439" s="132"/>
      <c r="K439" s="70"/>
      <c r="L439" s="48"/>
      <c r="M439" s="47">
        <f t="shared" si="7"/>
        <v>2024445</v>
      </c>
      <c r="N439" s="47">
        <v>10</v>
      </c>
    </row>
    <row r="440" spans="1:14" x14ac:dyDescent="0.3">
      <c r="A440" s="47">
        <v>2024446</v>
      </c>
      <c r="B440" s="126"/>
      <c r="C440" s="69"/>
      <c r="D440" s="69"/>
      <c r="E440" s="69"/>
      <c r="F440" s="69"/>
      <c r="G440" s="69"/>
      <c r="H440" s="69"/>
      <c r="I440" s="132"/>
      <c r="J440" s="132"/>
      <c r="K440" s="70"/>
      <c r="L440" s="48"/>
      <c r="M440" s="47">
        <f t="shared" si="7"/>
        <v>2024446</v>
      </c>
      <c r="N440" s="47">
        <v>10</v>
      </c>
    </row>
    <row r="441" spans="1:14" x14ac:dyDescent="0.3">
      <c r="A441" s="47">
        <v>2024447</v>
      </c>
      <c r="B441" s="126"/>
      <c r="C441" s="69"/>
      <c r="D441" s="69"/>
      <c r="E441" s="69"/>
      <c r="F441" s="69"/>
      <c r="G441" s="69"/>
      <c r="H441" s="69"/>
      <c r="I441" s="132"/>
      <c r="J441" s="132"/>
      <c r="K441" s="70"/>
      <c r="L441" s="48"/>
      <c r="M441" s="47">
        <f t="shared" si="7"/>
        <v>2024447</v>
      </c>
      <c r="N441" s="47">
        <v>10</v>
      </c>
    </row>
    <row r="442" spans="1:14" x14ac:dyDescent="0.3">
      <c r="A442" s="47">
        <v>2024448</v>
      </c>
      <c r="B442" s="126"/>
      <c r="C442" s="69"/>
      <c r="D442" s="69"/>
      <c r="E442" s="69"/>
      <c r="F442" s="69"/>
      <c r="G442" s="69"/>
      <c r="H442" s="69"/>
      <c r="I442" s="132"/>
      <c r="J442" s="132"/>
      <c r="K442" s="70"/>
      <c r="L442" s="48"/>
      <c r="M442" s="47">
        <f t="shared" si="7"/>
        <v>2024448</v>
      </c>
      <c r="N442" s="47">
        <v>10</v>
      </c>
    </row>
    <row r="443" spans="1:14" x14ac:dyDescent="0.3">
      <c r="A443" s="47">
        <v>2024449</v>
      </c>
      <c r="B443" s="126"/>
      <c r="C443" s="69"/>
      <c r="D443" s="69"/>
      <c r="E443" s="69"/>
      <c r="F443" s="69"/>
      <c r="G443" s="69"/>
      <c r="H443" s="69"/>
      <c r="I443" s="132"/>
      <c r="J443" s="132"/>
      <c r="K443" s="70"/>
      <c r="L443" s="48"/>
      <c r="M443" s="47">
        <f t="shared" si="7"/>
        <v>2024449</v>
      </c>
      <c r="N443" s="47">
        <v>10</v>
      </c>
    </row>
    <row r="444" spans="1:14" x14ac:dyDescent="0.3">
      <c r="A444" s="47">
        <v>2024450</v>
      </c>
      <c r="B444" s="126"/>
      <c r="C444" s="69"/>
      <c r="D444" s="69"/>
      <c r="E444" s="69"/>
      <c r="F444" s="69"/>
      <c r="G444" s="69"/>
      <c r="H444" s="69"/>
      <c r="I444" s="132"/>
      <c r="J444" s="132"/>
      <c r="K444" s="70"/>
      <c r="L444" s="48"/>
      <c r="M444" s="47">
        <f t="shared" si="7"/>
        <v>2024450</v>
      </c>
      <c r="N444" s="47">
        <v>10</v>
      </c>
    </row>
    <row r="445" spans="1:14" x14ac:dyDescent="0.3">
      <c r="A445" s="47">
        <v>2024451</v>
      </c>
      <c r="B445" s="126"/>
      <c r="C445" s="69"/>
      <c r="D445" s="69"/>
      <c r="E445" s="69"/>
      <c r="F445" s="69"/>
      <c r="G445" s="69"/>
      <c r="H445" s="69"/>
      <c r="I445" s="132"/>
      <c r="J445" s="132"/>
      <c r="K445" s="70"/>
      <c r="L445" s="48"/>
      <c r="M445" s="47">
        <f t="shared" si="7"/>
        <v>2024451</v>
      </c>
      <c r="N445" s="47">
        <v>10</v>
      </c>
    </row>
    <row r="446" spans="1:14" x14ac:dyDescent="0.3">
      <c r="A446" s="47">
        <v>2024452</v>
      </c>
      <c r="B446" s="126"/>
      <c r="C446" s="69"/>
      <c r="D446" s="69"/>
      <c r="E446" s="69"/>
      <c r="F446" s="69"/>
      <c r="G446" s="69"/>
      <c r="H446" s="69"/>
      <c r="I446" s="132"/>
      <c r="J446" s="132"/>
      <c r="K446" s="70"/>
      <c r="L446" s="48"/>
      <c r="M446" s="47">
        <f t="shared" si="7"/>
        <v>2024452</v>
      </c>
      <c r="N446" s="47">
        <v>10</v>
      </c>
    </row>
    <row r="447" spans="1:14" x14ac:dyDescent="0.3">
      <c r="A447" s="47">
        <v>2024453</v>
      </c>
      <c r="B447" s="126"/>
      <c r="C447" s="69"/>
      <c r="D447" s="69"/>
      <c r="E447" s="69"/>
      <c r="F447" s="69"/>
      <c r="G447" s="69"/>
      <c r="H447" s="69"/>
      <c r="I447" s="132"/>
      <c r="J447" s="132"/>
      <c r="K447" s="70"/>
      <c r="L447" s="48"/>
      <c r="M447" s="47">
        <f t="shared" si="7"/>
        <v>2024453</v>
      </c>
      <c r="N447" s="47">
        <v>10</v>
      </c>
    </row>
    <row r="448" spans="1:14" x14ac:dyDescent="0.3">
      <c r="A448" s="47">
        <v>2024454</v>
      </c>
      <c r="B448" s="126"/>
      <c r="C448" s="69"/>
      <c r="D448" s="69"/>
      <c r="E448" s="69"/>
      <c r="F448" s="69"/>
      <c r="G448" s="69"/>
      <c r="H448" s="69"/>
      <c r="I448" s="132"/>
      <c r="J448" s="132"/>
      <c r="K448" s="70"/>
      <c r="L448" s="48"/>
      <c r="M448" s="47">
        <f t="shared" si="7"/>
        <v>2024454</v>
      </c>
      <c r="N448" s="47">
        <v>10</v>
      </c>
    </row>
    <row r="449" spans="1:14" x14ac:dyDescent="0.3">
      <c r="A449" s="47">
        <v>2024455</v>
      </c>
      <c r="B449" s="126"/>
      <c r="C449" s="69"/>
      <c r="D449" s="69"/>
      <c r="E449" s="69"/>
      <c r="F449" s="69"/>
      <c r="G449" s="69"/>
      <c r="H449" s="69"/>
      <c r="I449" s="132"/>
      <c r="J449" s="132"/>
      <c r="K449" s="70"/>
      <c r="L449" s="48"/>
      <c r="M449" s="47">
        <f t="shared" si="7"/>
        <v>2024455</v>
      </c>
      <c r="N449" s="47">
        <v>10</v>
      </c>
    </row>
    <row r="450" spans="1:14" x14ac:dyDescent="0.3">
      <c r="A450" s="47">
        <v>2024456</v>
      </c>
      <c r="B450" s="126"/>
      <c r="C450" s="69"/>
      <c r="D450" s="69"/>
      <c r="E450" s="69"/>
      <c r="F450" s="69"/>
      <c r="G450" s="69"/>
      <c r="H450" s="69"/>
      <c r="I450" s="132"/>
      <c r="J450" s="132"/>
      <c r="K450" s="70"/>
      <c r="L450" s="48"/>
      <c r="M450" s="47">
        <f t="shared" ref="M450:M513" si="8">A450</f>
        <v>2024456</v>
      </c>
      <c r="N450" s="47">
        <v>10</v>
      </c>
    </row>
    <row r="451" spans="1:14" x14ac:dyDescent="0.3">
      <c r="A451" s="47">
        <v>2024457</v>
      </c>
      <c r="B451" s="126"/>
      <c r="C451" s="69"/>
      <c r="D451" s="69"/>
      <c r="E451" s="69"/>
      <c r="F451" s="69"/>
      <c r="G451" s="69"/>
      <c r="H451" s="69"/>
      <c r="I451" s="132"/>
      <c r="J451" s="132"/>
      <c r="K451" s="70"/>
      <c r="L451" s="48"/>
      <c r="M451" s="47">
        <f t="shared" si="8"/>
        <v>2024457</v>
      </c>
      <c r="N451" s="47">
        <v>10</v>
      </c>
    </row>
    <row r="452" spans="1:14" x14ac:dyDescent="0.3">
      <c r="A452" s="47">
        <v>2024458</v>
      </c>
      <c r="B452" s="126"/>
      <c r="C452" s="69"/>
      <c r="D452" s="69"/>
      <c r="E452" s="69"/>
      <c r="F452" s="69"/>
      <c r="G452" s="69"/>
      <c r="H452" s="69"/>
      <c r="I452" s="132"/>
      <c r="J452" s="132"/>
      <c r="K452" s="70"/>
      <c r="L452" s="48"/>
      <c r="M452" s="47">
        <f t="shared" si="8"/>
        <v>2024458</v>
      </c>
      <c r="N452" s="47">
        <v>10</v>
      </c>
    </row>
    <row r="453" spans="1:14" x14ac:dyDescent="0.3">
      <c r="A453" s="47">
        <v>2024459</v>
      </c>
      <c r="B453" s="126"/>
      <c r="C453" s="69"/>
      <c r="D453" s="69"/>
      <c r="E453" s="69"/>
      <c r="F453" s="69"/>
      <c r="G453" s="69"/>
      <c r="H453" s="69"/>
      <c r="I453" s="132"/>
      <c r="J453" s="132"/>
      <c r="K453" s="70"/>
      <c r="L453" s="48"/>
      <c r="M453" s="47">
        <f t="shared" si="8"/>
        <v>2024459</v>
      </c>
      <c r="N453" s="47">
        <v>10</v>
      </c>
    </row>
    <row r="454" spans="1:14" x14ac:dyDescent="0.3">
      <c r="A454" s="47">
        <v>2024460</v>
      </c>
      <c r="B454" s="126"/>
      <c r="C454" s="69"/>
      <c r="D454" s="69"/>
      <c r="E454" s="69"/>
      <c r="F454" s="69"/>
      <c r="G454" s="69"/>
      <c r="H454" s="69"/>
      <c r="I454" s="132"/>
      <c r="J454" s="132"/>
      <c r="K454" s="70"/>
      <c r="L454" s="48"/>
      <c r="M454" s="47">
        <f t="shared" si="8"/>
        <v>2024460</v>
      </c>
      <c r="N454" s="47">
        <v>10</v>
      </c>
    </row>
    <row r="455" spans="1:14" x14ac:dyDescent="0.3">
      <c r="A455" s="47">
        <v>2024461</v>
      </c>
      <c r="B455" s="126"/>
      <c r="C455" s="69"/>
      <c r="D455" s="69"/>
      <c r="E455" s="69"/>
      <c r="F455" s="69"/>
      <c r="G455" s="69"/>
      <c r="H455" s="69"/>
      <c r="I455" s="132"/>
      <c r="J455" s="132"/>
      <c r="K455" s="70"/>
      <c r="L455" s="48"/>
      <c r="M455" s="47">
        <f t="shared" si="8"/>
        <v>2024461</v>
      </c>
      <c r="N455" s="47">
        <v>10</v>
      </c>
    </row>
    <row r="456" spans="1:14" x14ac:dyDescent="0.3">
      <c r="A456" s="47">
        <v>2024462</v>
      </c>
      <c r="B456" s="126"/>
      <c r="C456" s="69"/>
      <c r="D456" s="69"/>
      <c r="E456" s="69"/>
      <c r="F456" s="69"/>
      <c r="G456" s="69"/>
      <c r="H456" s="69"/>
      <c r="I456" s="132"/>
      <c r="J456" s="132"/>
      <c r="K456" s="70"/>
      <c r="L456" s="48"/>
      <c r="M456" s="47">
        <f t="shared" si="8"/>
        <v>2024462</v>
      </c>
      <c r="N456" s="47">
        <v>10</v>
      </c>
    </row>
    <row r="457" spans="1:14" x14ac:dyDescent="0.3">
      <c r="A457" s="47">
        <v>2024463</v>
      </c>
      <c r="B457" s="126"/>
      <c r="C457" s="69"/>
      <c r="D457" s="69"/>
      <c r="E457" s="69"/>
      <c r="F457" s="69"/>
      <c r="G457" s="69"/>
      <c r="H457" s="69"/>
      <c r="I457" s="132"/>
      <c r="J457" s="132"/>
      <c r="K457" s="70"/>
      <c r="L457" s="48"/>
      <c r="M457" s="47">
        <f t="shared" si="8"/>
        <v>2024463</v>
      </c>
      <c r="N457" s="47">
        <v>10</v>
      </c>
    </row>
    <row r="458" spans="1:14" x14ac:dyDescent="0.3">
      <c r="A458" s="47">
        <v>2024464</v>
      </c>
      <c r="B458" s="126"/>
      <c r="C458" s="69"/>
      <c r="D458" s="69"/>
      <c r="E458" s="69"/>
      <c r="F458" s="69"/>
      <c r="G458" s="69"/>
      <c r="H458" s="69"/>
      <c r="I458" s="132"/>
      <c r="J458" s="132"/>
      <c r="K458" s="70"/>
      <c r="L458" s="48"/>
      <c r="M458" s="47">
        <f t="shared" si="8"/>
        <v>2024464</v>
      </c>
      <c r="N458" s="47">
        <v>10</v>
      </c>
    </row>
    <row r="459" spans="1:14" x14ac:dyDescent="0.3">
      <c r="A459" s="47">
        <v>2024465</v>
      </c>
      <c r="B459" s="126"/>
      <c r="C459" s="69"/>
      <c r="D459" s="69"/>
      <c r="E459" s="69"/>
      <c r="F459" s="69"/>
      <c r="G459" s="69"/>
      <c r="H459" s="69"/>
      <c r="I459" s="132"/>
      <c r="J459" s="132"/>
      <c r="K459" s="70"/>
      <c r="L459" s="48"/>
      <c r="M459" s="47">
        <f t="shared" si="8"/>
        <v>2024465</v>
      </c>
      <c r="N459" s="47">
        <v>10</v>
      </c>
    </row>
    <row r="460" spans="1:14" x14ac:dyDescent="0.3">
      <c r="A460" s="47">
        <v>2024466</v>
      </c>
      <c r="B460" s="126"/>
      <c r="C460" s="69"/>
      <c r="D460" s="69"/>
      <c r="E460" s="69"/>
      <c r="F460" s="69"/>
      <c r="G460" s="69"/>
      <c r="H460" s="69"/>
      <c r="I460" s="132"/>
      <c r="J460" s="132"/>
      <c r="K460" s="70"/>
      <c r="L460" s="48"/>
      <c r="M460" s="47">
        <f t="shared" si="8"/>
        <v>2024466</v>
      </c>
      <c r="N460" s="47">
        <v>10</v>
      </c>
    </row>
    <row r="461" spans="1:14" x14ac:dyDescent="0.3">
      <c r="A461" s="47">
        <v>2024467</v>
      </c>
      <c r="B461" s="126"/>
      <c r="C461" s="69"/>
      <c r="D461" s="69"/>
      <c r="E461" s="69"/>
      <c r="F461" s="69"/>
      <c r="G461" s="69"/>
      <c r="H461" s="69"/>
      <c r="I461" s="132"/>
      <c r="J461" s="132"/>
      <c r="K461" s="70"/>
      <c r="L461" s="48"/>
      <c r="M461" s="47">
        <f t="shared" si="8"/>
        <v>2024467</v>
      </c>
      <c r="N461" s="47">
        <v>10</v>
      </c>
    </row>
    <row r="462" spans="1:14" x14ac:dyDescent="0.3">
      <c r="A462" s="47">
        <v>2024468</v>
      </c>
      <c r="B462" s="126"/>
      <c r="C462" s="69"/>
      <c r="D462" s="69"/>
      <c r="E462" s="69"/>
      <c r="F462" s="69"/>
      <c r="G462" s="69"/>
      <c r="H462" s="69"/>
      <c r="I462" s="132"/>
      <c r="J462" s="132"/>
      <c r="K462" s="70"/>
      <c r="L462" s="48"/>
      <c r="M462" s="47">
        <f t="shared" si="8"/>
        <v>2024468</v>
      </c>
      <c r="N462" s="47">
        <v>10</v>
      </c>
    </row>
    <row r="463" spans="1:14" x14ac:dyDescent="0.3">
      <c r="A463" s="47">
        <v>2024469</v>
      </c>
      <c r="B463" s="126"/>
      <c r="C463" s="69"/>
      <c r="D463" s="69"/>
      <c r="E463" s="69"/>
      <c r="F463" s="69"/>
      <c r="G463" s="69"/>
      <c r="H463" s="69"/>
      <c r="I463" s="132"/>
      <c r="J463" s="132"/>
      <c r="K463" s="70"/>
      <c r="L463" s="48"/>
      <c r="M463" s="47">
        <f t="shared" si="8"/>
        <v>2024469</v>
      </c>
      <c r="N463" s="47">
        <v>10</v>
      </c>
    </row>
    <row r="464" spans="1:14" x14ac:dyDescent="0.3">
      <c r="A464" s="47">
        <v>2024470</v>
      </c>
      <c r="B464" s="126"/>
      <c r="C464" s="69"/>
      <c r="D464" s="69"/>
      <c r="E464" s="69"/>
      <c r="F464" s="69"/>
      <c r="G464" s="69"/>
      <c r="H464" s="69"/>
      <c r="I464" s="132"/>
      <c r="J464" s="132"/>
      <c r="K464" s="70"/>
      <c r="L464" s="48"/>
      <c r="M464" s="47">
        <f t="shared" si="8"/>
        <v>2024470</v>
      </c>
      <c r="N464" s="47">
        <v>10</v>
      </c>
    </row>
    <row r="465" spans="1:14" x14ac:dyDescent="0.3">
      <c r="A465" s="47">
        <v>2024471</v>
      </c>
      <c r="B465" s="126"/>
      <c r="C465" s="69"/>
      <c r="D465" s="69"/>
      <c r="E465" s="69"/>
      <c r="F465" s="69"/>
      <c r="G465" s="69"/>
      <c r="H465" s="69"/>
      <c r="I465" s="132"/>
      <c r="J465" s="132"/>
      <c r="K465" s="70"/>
      <c r="L465" s="48"/>
      <c r="M465" s="47">
        <f t="shared" si="8"/>
        <v>2024471</v>
      </c>
      <c r="N465" s="47">
        <v>10</v>
      </c>
    </row>
    <row r="466" spans="1:14" x14ac:dyDescent="0.3">
      <c r="A466" s="47">
        <v>2024472</v>
      </c>
      <c r="B466" s="126"/>
      <c r="C466" s="69"/>
      <c r="D466" s="69"/>
      <c r="E466" s="69"/>
      <c r="F466" s="69"/>
      <c r="G466" s="69"/>
      <c r="H466" s="69"/>
      <c r="I466" s="132"/>
      <c r="J466" s="132"/>
      <c r="K466" s="70"/>
      <c r="L466" s="48"/>
      <c r="M466" s="47">
        <f t="shared" si="8"/>
        <v>2024472</v>
      </c>
      <c r="N466" s="47">
        <v>10</v>
      </c>
    </row>
    <row r="467" spans="1:14" x14ac:dyDescent="0.3">
      <c r="A467" s="47">
        <v>2024473</v>
      </c>
      <c r="B467" s="126"/>
      <c r="C467" s="69"/>
      <c r="D467" s="69"/>
      <c r="E467" s="69"/>
      <c r="F467" s="69"/>
      <c r="G467" s="69"/>
      <c r="H467" s="69"/>
      <c r="I467" s="132"/>
      <c r="J467" s="132"/>
      <c r="K467" s="70"/>
      <c r="L467" s="48"/>
      <c r="M467" s="47">
        <f t="shared" si="8"/>
        <v>2024473</v>
      </c>
      <c r="N467" s="47">
        <v>10</v>
      </c>
    </row>
    <row r="468" spans="1:14" x14ac:dyDescent="0.3">
      <c r="A468" s="47">
        <v>2024474</v>
      </c>
      <c r="B468" s="126"/>
      <c r="C468" s="69"/>
      <c r="D468" s="69"/>
      <c r="E468" s="69"/>
      <c r="F468" s="69"/>
      <c r="G468" s="69"/>
      <c r="H468" s="69"/>
      <c r="I468" s="132"/>
      <c r="J468" s="132"/>
      <c r="K468" s="70"/>
      <c r="L468" s="48"/>
      <c r="M468" s="47">
        <f t="shared" si="8"/>
        <v>2024474</v>
      </c>
      <c r="N468" s="47">
        <v>10</v>
      </c>
    </row>
    <row r="469" spans="1:14" x14ac:dyDescent="0.3">
      <c r="A469" s="47">
        <v>2024475</v>
      </c>
      <c r="B469" s="126"/>
      <c r="C469" s="69"/>
      <c r="D469" s="69"/>
      <c r="E469" s="69"/>
      <c r="F469" s="69"/>
      <c r="G469" s="69"/>
      <c r="H469" s="69"/>
      <c r="I469" s="132"/>
      <c r="J469" s="132"/>
      <c r="K469" s="70"/>
      <c r="L469" s="48"/>
      <c r="M469" s="47">
        <f t="shared" si="8"/>
        <v>2024475</v>
      </c>
      <c r="N469" s="47">
        <v>10</v>
      </c>
    </row>
    <row r="470" spans="1:14" x14ac:dyDescent="0.3">
      <c r="A470" s="47">
        <v>2024476</v>
      </c>
      <c r="B470" s="126"/>
      <c r="C470" s="69"/>
      <c r="D470" s="69"/>
      <c r="E470" s="69"/>
      <c r="F470" s="69"/>
      <c r="G470" s="69"/>
      <c r="H470" s="69"/>
      <c r="I470" s="132"/>
      <c r="J470" s="132"/>
      <c r="K470" s="70"/>
      <c r="L470" s="48"/>
      <c r="M470" s="47">
        <f t="shared" si="8"/>
        <v>2024476</v>
      </c>
      <c r="N470" s="47">
        <v>10</v>
      </c>
    </row>
    <row r="471" spans="1:14" x14ac:dyDescent="0.3">
      <c r="A471" s="47">
        <v>2024477</v>
      </c>
      <c r="B471" s="126"/>
      <c r="C471" s="69"/>
      <c r="D471" s="69"/>
      <c r="E471" s="69"/>
      <c r="F471" s="69"/>
      <c r="G471" s="69"/>
      <c r="H471" s="69"/>
      <c r="I471" s="132"/>
      <c r="J471" s="132"/>
      <c r="K471" s="70"/>
      <c r="L471" s="48"/>
      <c r="M471" s="47">
        <f t="shared" si="8"/>
        <v>2024477</v>
      </c>
      <c r="N471" s="47">
        <v>10</v>
      </c>
    </row>
    <row r="472" spans="1:14" x14ac:dyDescent="0.3">
      <c r="A472" s="47">
        <v>2024478</v>
      </c>
      <c r="B472" s="126"/>
      <c r="C472" s="69"/>
      <c r="D472" s="69"/>
      <c r="E472" s="69"/>
      <c r="F472" s="69"/>
      <c r="G472" s="69"/>
      <c r="H472" s="69"/>
      <c r="I472" s="132"/>
      <c r="J472" s="132"/>
      <c r="K472" s="70"/>
      <c r="L472" s="48"/>
      <c r="M472" s="47">
        <f t="shared" si="8"/>
        <v>2024478</v>
      </c>
      <c r="N472" s="47">
        <v>10</v>
      </c>
    </row>
    <row r="473" spans="1:14" x14ac:dyDescent="0.3">
      <c r="A473" s="47">
        <v>2024479</v>
      </c>
      <c r="B473" s="126"/>
      <c r="C473" s="69"/>
      <c r="D473" s="69"/>
      <c r="E473" s="69"/>
      <c r="F473" s="69"/>
      <c r="G473" s="69"/>
      <c r="H473" s="69"/>
      <c r="I473" s="132"/>
      <c r="J473" s="132"/>
      <c r="K473" s="70"/>
      <c r="L473" s="48"/>
      <c r="M473" s="47">
        <f t="shared" si="8"/>
        <v>2024479</v>
      </c>
      <c r="N473" s="47">
        <v>10</v>
      </c>
    </row>
    <row r="474" spans="1:14" x14ac:dyDescent="0.3">
      <c r="A474" s="47">
        <v>2024480</v>
      </c>
      <c r="B474" s="126"/>
      <c r="C474" s="69"/>
      <c r="D474" s="69"/>
      <c r="E474" s="69"/>
      <c r="F474" s="69"/>
      <c r="G474" s="69"/>
      <c r="H474" s="69"/>
      <c r="I474" s="132"/>
      <c r="J474" s="132"/>
      <c r="K474" s="70"/>
      <c r="L474" s="48"/>
      <c r="M474" s="47">
        <f t="shared" si="8"/>
        <v>2024480</v>
      </c>
      <c r="N474" s="47">
        <v>10</v>
      </c>
    </row>
    <row r="475" spans="1:14" x14ac:dyDescent="0.3">
      <c r="A475" s="47">
        <v>2024481</v>
      </c>
      <c r="B475" s="126"/>
      <c r="C475" s="69"/>
      <c r="D475" s="69"/>
      <c r="E475" s="69"/>
      <c r="F475" s="69"/>
      <c r="G475" s="69"/>
      <c r="H475" s="69"/>
      <c r="I475" s="132"/>
      <c r="J475" s="132"/>
      <c r="K475" s="70"/>
      <c r="L475" s="48"/>
      <c r="M475" s="47">
        <f t="shared" si="8"/>
        <v>2024481</v>
      </c>
      <c r="N475" s="47">
        <v>10</v>
      </c>
    </row>
    <row r="476" spans="1:14" x14ac:dyDescent="0.3">
      <c r="A476" s="47">
        <v>2024482</v>
      </c>
      <c r="B476" s="126"/>
      <c r="C476" s="69"/>
      <c r="D476" s="69"/>
      <c r="E476" s="69"/>
      <c r="F476" s="69"/>
      <c r="G476" s="69"/>
      <c r="H476" s="69"/>
      <c r="I476" s="132"/>
      <c r="J476" s="132"/>
      <c r="K476" s="70"/>
      <c r="L476" s="48"/>
      <c r="M476" s="47">
        <f t="shared" si="8"/>
        <v>2024482</v>
      </c>
      <c r="N476" s="47">
        <v>10</v>
      </c>
    </row>
    <row r="477" spans="1:14" x14ac:dyDescent="0.3">
      <c r="A477" s="47">
        <v>2024483</v>
      </c>
      <c r="B477" s="126"/>
      <c r="C477" s="69"/>
      <c r="D477" s="69"/>
      <c r="E477" s="69"/>
      <c r="F477" s="69"/>
      <c r="G477" s="69"/>
      <c r="H477" s="69"/>
      <c r="I477" s="132"/>
      <c r="J477" s="132"/>
      <c r="K477" s="70"/>
      <c r="L477" s="48"/>
      <c r="M477" s="47">
        <f t="shared" si="8"/>
        <v>2024483</v>
      </c>
      <c r="N477" s="47">
        <v>10</v>
      </c>
    </row>
    <row r="478" spans="1:14" x14ac:dyDescent="0.3">
      <c r="A478" s="47">
        <v>2024484</v>
      </c>
      <c r="B478" s="126"/>
      <c r="C478" s="69"/>
      <c r="D478" s="69"/>
      <c r="E478" s="69"/>
      <c r="F478" s="69"/>
      <c r="G478" s="69"/>
      <c r="H478" s="69"/>
      <c r="I478" s="132"/>
      <c r="J478" s="132"/>
      <c r="K478" s="70"/>
      <c r="L478" s="48"/>
      <c r="M478" s="47">
        <f t="shared" si="8"/>
        <v>2024484</v>
      </c>
      <c r="N478" s="47">
        <v>10</v>
      </c>
    </row>
    <row r="479" spans="1:14" x14ac:dyDescent="0.3">
      <c r="A479" s="47">
        <v>2024485</v>
      </c>
      <c r="B479" s="126"/>
      <c r="C479" s="69"/>
      <c r="D479" s="69"/>
      <c r="E479" s="69"/>
      <c r="F479" s="69"/>
      <c r="G479" s="69"/>
      <c r="H479" s="69"/>
      <c r="I479" s="132"/>
      <c r="J479" s="132"/>
      <c r="K479" s="70"/>
      <c r="L479" s="48"/>
      <c r="M479" s="47">
        <f t="shared" si="8"/>
        <v>2024485</v>
      </c>
      <c r="N479" s="47">
        <v>10</v>
      </c>
    </row>
    <row r="480" spans="1:14" x14ac:dyDescent="0.3">
      <c r="A480" s="47">
        <v>2024486</v>
      </c>
      <c r="B480" s="126"/>
      <c r="C480" s="69"/>
      <c r="D480" s="69"/>
      <c r="E480" s="69"/>
      <c r="F480" s="69"/>
      <c r="G480" s="69"/>
      <c r="H480" s="69"/>
      <c r="I480" s="132"/>
      <c r="J480" s="132"/>
      <c r="K480" s="70"/>
      <c r="L480" s="48"/>
      <c r="M480" s="47">
        <f t="shared" si="8"/>
        <v>2024486</v>
      </c>
      <c r="N480" s="47">
        <v>10</v>
      </c>
    </row>
    <row r="481" spans="1:14" x14ac:dyDescent="0.3">
      <c r="A481" s="47">
        <v>2024487</v>
      </c>
      <c r="B481" s="126"/>
      <c r="C481" s="69"/>
      <c r="D481" s="69"/>
      <c r="E481" s="69"/>
      <c r="F481" s="69"/>
      <c r="G481" s="69"/>
      <c r="H481" s="69"/>
      <c r="I481" s="132"/>
      <c r="J481" s="132"/>
      <c r="K481" s="70"/>
      <c r="L481" s="48"/>
      <c r="M481" s="47">
        <f t="shared" si="8"/>
        <v>2024487</v>
      </c>
      <c r="N481" s="47">
        <v>10</v>
      </c>
    </row>
    <row r="482" spans="1:14" x14ac:dyDescent="0.3">
      <c r="A482" s="47">
        <v>2024488</v>
      </c>
      <c r="B482" s="126"/>
      <c r="C482" s="69"/>
      <c r="D482" s="69"/>
      <c r="E482" s="69"/>
      <c r="F482" s="69"/>
      <c r="G482" s="69"/>
      <c r="H482" s="69"/>
      <c r="I482" s="132"/>
      <c r="J482" s="132"/>
      <c r="K482" s="70"/>
      <c r="L482" s="48"/>
      <c r="M482" s="47">
        <f t="shared" si="8"/>
        <v>2024488</v>
      </c>
      <c r="N482" s="47">
        <v>10</v>
      </c>
    </row>
    <row r="483" spans="1:14" x14ac:dyDescent="0.3">
      <c r="A483" s="47">
        <v>2024489</v>
      </c>
      <c r="B483" s="126"/>
      <c r="C483" s="69"/>
      <c r="D483" s="69"/>
      <c r="E483" s="69"/>
      <c r="F483" s="69"/>
      <c r="G483" s="69"/>
      <c r="H483" s="69"/>
      <c r="I483" s="132"/>
      <c r="J483" s="132"/>
      <c r="K483" s="70"/>
      <c r="L483" s="48"/>
      <c r="M483" s="47">
        <f t="shared" si="8"/>
        <v>2024489</v>
      </c>
      <c r="N483" s="47">
        <v>10</v>
      </c>
    </row>
    <row r="484" spans="1:14" x14ac:dyDescent="0.3">
      <c r="A484" s="47">
        <v>2024490</v>
      </c>
      <c r="B484" s="126"/>
      <c r="C484" s="69"/>
      <c r="D484" s="69"/>
      <c r="E484" s="69"/>
      <c r="F484" s="69"/>
      <c r="G484" s="69"/>
      <c r="H484" s="69"/>
      <c r="I484" s="132"/>
      <c r="J484" s="132"/>
      <c r="K484" s="70"/>
      <c r="L484" s="48"/>
      <c r="M484" s="47">
        <f t="shared" si="8"/>
        <v>2024490</v>
      </c>
      <c r="N484" s="47">
        <v>10</v>
      </c>
    </row>
    <row r="485" spans="1:14" x14ac:dyDescent="0.3">
      <c r="A485" s="47">
        <v>2024491</v>
      </c>
      <c r="B485" s="126"/>
      <c r="C485" s="69"/>
      <c r="D485" s="69"/>
      <c r="E485" s="69"/>
      <c r="F485" s="69"/>
      <c r="G485" s="69"/>
      <c r="H485" s="69"/>
      <c r="I485" s="132"/>
      <c r="J485" s="132"/>
      <c r="K485" s="70"/>
      <c r="L485" s="48"/>
      <c r="M485" s="47">
        <f t="shared" si="8"/>
        <v>2024491</v>
      </c>
      <c r="N485" s="47">
        <v>10</v>
      </c>
    </row>
    <row r="486" spans="1:14" x14ac:dyDescent="0.3">
      <c r="A486" s="47">
        <v>2024492</v>
      </c>
      <c r="B486" s="126"/>
      <c r="C486" s="69"/>
      <c r="D486" s="69"/>
      <c r="E486" s="69"/>
      <c r="F486" s="69"/>
      <c r="G486" s="69"/>
      <c r="H486" s="69"/>
      <c r="I486" s="132"/>
      <c r="J486" s="132"/>
      <c r="K486" s="70"/>
      <c r="L486" s="48"/>
      <c r="M486" s="47">
        <f t="shared" si="8"/>
        <v>2024492</v>
      </c>
      <c r="N486" s="47">
        <v>10</v>
      </c>
    </row>
    <row r="487" spans="1:14" x14ac:dyDescent="0.3">
      <c r="A487" s="47">
        <v>2024493</v>
      </c>
      <c r="B487" s="126"/>
      <c r="C487" s="69"/>
      <c r="D487" s="69"/>
      <c r="E487" s="69"/>
      <c r="F487" s="69"/>
      <c r="G487" s="69"/>
      <c r="H487" s="69"/>
      <c r="I487" s="132"/>
      <c r="J487" s="132"/>
      <c r="K487" s="70"/>
      <c r="L487" s="48"/>
      <c r="M487" s="47">
        <f t="shared" si="8"/>
        <v>2024493</v>
      </c>
      <c r="N487" s="47">
        <v>10</v>
      </c>
    </row>
    <row r="488" spans="1:14" x14ac:dyDescent="0.3">
      <c r="A488" s="47">
        <v>2024494</v>
      </c>
      <c r="B488" s="126"/>
      <c r="C488" s="69"/>
      <c r="D488" s="69"/>
      <c r="E488" s="69"/>
      <c r="F488" s="69"/>
      <c r="G488" s="69"/>
      <c r="H488" s="69"/>
      <c r="I488" s="132"/>
      <c r="J488" s="132"/>
      <c r="K488" s="70"/>
      <c r="L488" s="48"/>
      <c r="M488" s="47">
        <f t="shared" si="8"/>
        <v>2024494</v>
      </c>
      <c r="N488" s="47">
        <v>10</v>
      </c>
    </row>
    <row r="489" spans="1:14" x14ac:dyDescent="0.3">
      <c r="A489" s="47">
        <v>2024495</v>
      </c>
      <c r="B489" s="126"/>
      <c r="C489" s="69"/>
      <c r="D489" s="69"/>
      <c r="E489" s="69"/>
      <c r="F489" s="69"/>
      <c r="G489" s="69"/>
      <c r="H489" s="69"/>
      <c r="I489" s="132"/>
      <c r="J489" s="132"/>
      <c r="K489" s="70"/>
      <c r="L489" s="48"/>
      <c r="M489" s="47">
        <f t="shared" si="8"/>
        <v>2024495</v>
      </c>
      <c r="N489" s="47">
        <v>10</v>
      </c>
    </row>
    <row r="490" spans="1:14" x14ac:dyDescent="0.3">
      <c r="A490" s="47">
        <v>2024496</v>
      </c>
      <c r="B490" s="126"/>
      <c r="C490" s="69"/>
      <c r="D490" s="69"/>
      <c r="E490" s="69"/>
      <c r="F490" s="69"/>
      <c r="G490" s="69"/>
      <c r="H490" s="69"/>
      <c r="I490" s="132"/>
      <c r="J490" s="132"/>
      <c r="K490" s="70"/>
      <c r="L490" s="48"/>
      <c r="M490" s="47">
        <f t="shared" si="8"/>
        <v>2024496</v>
      </c>
      <c r="N490" s="47">
        <v>10</v>
      </c>
    </row>
    <row r="491" spans="1:14" x14ac:dyDescent="0.3">
      <c r="A491" s="47">
        <v>2024497</v>
      </c>
      <c r="B491" s="126"/>
      <c r="C491" s="69"/>
      <c r="D491" s="69"/>
      <c r="E491" s="69"/>
      <c r="F491" s="69"/>
      <c r="G491" s="69"/>
      <c r="H491" s="69"/>
      <c r="I491" s="132"/>
      <c r="J491" s="132"/>
      <c r="K491" s="70"/>
      <c r="L491" s="48"/>
      <c r="M491" s="47">
        <f t="shared" si="8"/>
        <v>2024497</v>
      </c>
      <c r="N491" s="47">
        <v>10</v>
      </c>
    </row>
    <row r="492" spans="1:14" x14ac:dyDescent="0.3">
      <c r="A492" s="47">
        <v>2024498</v>
      </c>
      <c r="B492" s="126"/>
      <c r="C492" s="69"/>
      <c r="D492" s="69"/>
      <c r="E492" s="69"/>
      <c r="F492" s="69"/>
      <c r="G492" s="69"/>
      <c r="H492" s="69"/>
      <c r="I492" s="132"/>
      <c r="J492" s="132"/>
      <c r="K492" s="70"/>
      <c r="L492" s="48"/>
      <c r="M492" s="47">
        <f t="shared" si="8"/>
        <v>2024498</v>
      </c>
      <c r="N492" s="47">
        <v>10</v>
      </c>
    </row>
    <row r="493" spans="1:14" x14ac:dyDescent="0.3">
      <c r="A493" s="47">
        <v>2024499</v>
      </c>
      <c r="B493" s="126"/>
      <c r="C493" s="69"/>
      <c r="D493" s="69"/>
      <c r="E493" s="69"/>
      <c r="F493" s="69"/>
      <c r="G493" s="69"/>
      <c r="H493" s="69"/>
      <c r="I493" s="132"/>
      <c r="J493" s="132"/>
      <c r="K493" s="70"/>
      <c r="L493" s="48"/>
      <c r="M493" s="47">
        <f t="shared" si="8"/>
        <v>2024499</v>
      </c>
      <c r="N493" s="47">
        <v>10</v>
      </c>
    </row>
    <row r="494" spans="1:14" x14ac:dyDescent="0.3">
      <c r="A494" s="47">
        <v>2024500</v>
      </c>
      <c r="B494" s="126"/>
      <c r="C494" s="69"/>
      <c r="D494" s="69"/>
      <c r="E494" s="69"/>
      <c r="F494" s="69"/>
      <c r="G494" s="69"/>
      <c r="H494" s="69"/>
      <c r="I494" s="132"/>
      <c r="J494" s="132"/>
      <c r="K494" s="70"/>
      <c r="L494" s="48"/>
      <c r="M494" s="47">
        <f t="shared" si="8"/>
        <v>2024500</v>
      </c>
      <c r="N494" s="47">
        <v>10</v>
      </c>
    </row>
    <row r="495" spans="1:14" x14ac:dyDescent="0.3">
      <c r="A495" s="47">
        <v>2024501</v>
      </c>
      <c r="B495" s="126"/>
      <c r="C495" s="69"/>
      <c r="D495" s="69"/>
      <c r="E495" s="69"/>
      <c r="F495" s="69"/>
      <c r="G495" s="69"/>
      <c r="H495" s="69"/>
      <c r="I495" s="132"/>
      <c r="J495" s="132"/>
      <c r="K495" s="70"/>
      <c r="L495" s="48"/>
      <c r="M495" s="47">
        <f t="shared" si="8"/>
        <v>2024501</v>
      </c>
      <c r="N495" s="47">
        <v>10</v>
      </c>
    </row>
    <row r="496" spans="1:14" x14ac:dyDescent="0.3">
      <c r="A496" s="47">
        <v>2024502</v>
      </c>
      <c r="B496" s="126"/>
      <c r="C496" s="69"/>
      <c r="D496" s="69"/>
      <c r="E496" s="69"/>
      <c r="F496" s="69"/>
      <c r="G496" s="69"/>
      <c r="H496" s="69"/>
      <c r="I496" s="132"/>
      <c r="J496" s="132"/>
      <c r="K496" s="70"/>
      <c r="L496" s="48"/>
      <c r="M496" s="47">
        <f t="shared" si="8"/>
        <v>2024502</v>
      </c>
      <c r="N496" s="47">
        <v>10</v>
      </c>
    </row>
    <row r="497" spans="1:14" x14ac:dyDescent="0.3">
      <c r="A497" s="47">
        <v>2024503</v>
      </c>
      <c r="B497" s="126"/>
      <c r="C497" s="69"/>
      <c r="D497" s="69"/>
      <c r="E497" s="69"/>
      <c r="F497" s="69"/>
      <c r="G497" s="69"/>
      <c r="H497" s="69"/>
      <c r="I497" s="132"/>
      <c r="J497" s="132"/>
      <c r="K497" s="70"/>
      <c r="L497" s="48"/>
      <c r="M497" s="47">
        <f t="shared" si="8"/>
        <v>2024503</v>
      </c>
      <c r="N497" s="47">
        <v>10</v>
      </c>
    </row>
    <row r="498" spans="1:14" x14ac:dyDescent="0.3">
      <c r="A498" s="47">
        <v>2024504</v>
      </c>
      <c r="B498" s="126"/>
      <c r="C498" s="69"/>
      <c r="D498" s="69"/>
      <c r="E498" s="69"/>
      <c r="F498" s="69"/>
      <c r="G498" s="69"/>
      <c r="H498" s="69"/>
      <c r="I498" s="132"/>
      <c r="J498" s="132"/>
      <c r="K498" s="70"/>
      <c r="L498" s="48"/>
      <c r="M498" s="47">
        <f t="shared" si="8"/>
        <v>2024504</v>
      </c>
      <c r="N498" s="47">
        <v>10</v>
      </c>
    </row>
    <row r="499" spans="1:14" x14ac:dyDescent="0.3">
      <c r="A499" s="47">
        <v>2024505</v>
      </c>
      <c r="B499" s="126"/>
      <c r="C499" s="69"/>
      <c r="D499" s="69"/>
      <c r="E499" s="69"/>
      <c r="F499" s="69"/>
      <c r="G499" s="69"/>
      <c r="H499" s="69"/>
      <c r="I499" s="132"/>
      <c r="J499" s="132"/>
      <c r="K499" s="70"/>
      <c r="L499" s="48"/>
      <c r="M499" s="47">
        <f t="shared" si="8"/>
        <v>2024505</v>
      </c>
      <c r="N499" s="47">
        <v>10</v>
      </c>
    </row>
    <row r="500" spans="1:14" x14ac:dyDescent="0.3">
      <c r="A500" s="47">
        <v>2024506</v>
      </c>
      <c r="B500" s="126"/>
      <c r="C500" s="69"/>
      <c r="D500" s="69"/>
      <c r="E500" s="69"/>
      <c r="F500" s="69"/>
      <c r="G500" s="69"/>
      <c r="H500" s="69"/>
      <c r="I500" s="132"/>
      <c r="J500" s="132"/>
      <c r="K500" s="70"/>
      <c r="L500" s="48"/>
      <c r="M500" s="47">
        <f t="shared" si="8"/>
        <v>2024506</v>
      </c>
      <c r="N500" s="47">
        <v>10</v>
      </c>
    </row>
    <row r="501" spans="1:14" x14ac:dyDescent="0.3">
      <c r="A501" s="47">
        <v>2024507</v>
      </c>
      <c r="B501" s="126"/>
      <c r="C501" s="69"/>
      <c r="D501" s="69"/>
      <c r="E501" s="69"/>
      <c r="F501" s="69"/>
      <c r="G501" s="69"/>
      <c r="H501" s="69"/>
      <c r="I501" s="132"/>
      <c r="J501" s="132"/>
      <c r="K501" s="70"/>
      <c r="L501" s="48"/>
      <c r="M501" s="47">
        <f t="shared" si="8"/>
        <v>2024507</v>
      </c>
      <c r="N501" s="47">
        <v>10</v>
      </c>
    </row>
    <row r="502" spans="1:14" x14ac:dyDescent="0.3">
      <c r="A502" s="47">
        <v>2024508</v>
      </c>
      <c r="B502" s="126"/>
      <c r="C502" s="69"/>
      <c r="D502" s="69"/>
      <c r="E502" s="69"/>
      <c r="F502" s="69"/>
      <c r="G502" s="69"/>
      <c r="H502" s="69"/>
      <c r="I502" s="132"/>
      <c r="J502" s="132"/>
      <c r="K502" s="70"/>
      <c r="L502" s="48"/>
      <c r="M502" s="47">
        <f t="shared" si="8"/>
        <v>2024508</v>
      </c>
      <c r="N502" s="47">
        <v>10</v>
      </c>
    </row>
    <row r="503" spans="1:14" x14ac:dyDescent="0.3">
      <c r="A503" s="47">
        <v>2024509</v>
      </c>
      <c r="B503" s="126"/>
      <c r="C503" s="69"/>
      <c r="D503" s="69"/>
      <c r="E503" s="69"/>
      <c r="F503" s="69"/>
      <c r="G503" s="69"/>
      <c r="H503" s="69"/>
      <c r="I503" s="132"/>
      <c r="J503" s="132"/>
      <c r="K503" s="70"/>
      <c r="L503" s="48"/>
      <c r="M503" s="47">
        <f t="shared" si="8"/>
        <v>2024509</v>
      </c>
      <c r="N503" s="47">
        <v>10</v>
      </c>
    </row>
    <row r="504" spans="1:14" x14ac:dyDescent="0.3">
      <c r="A504" s="47">
        <v>2024510</v>
      </c>
      <c r="B504" s="126"/>
      <c r="C504" s="69"/>
      <c r="D504" s="69"/>
      <c r="E504" s="69"/>
      <c r="F504" s="69"/>
      <c r="G504" s="69"/>
      <c r="H504" s="69"/>
      <c r="I504" s="132"/>
      <c r="J504" s="132"/>
      <c r="K504" s="70"/>
      <c r="L504" s="48"/>
      <c r="M504" s="47">
        <f t="shared" si="8"/>
        <v>2024510</v>
      </c>
      <c r="N504" s="47">
        <v>10</v>
      </c>
    </row>
    <row r="505" spans="1:14" x14ac:dyDescent="0.3">
      <c r="A505" s="47">
        <v>2024511</v>
      </c>
      <c r="B505" s="126"/>
      <c r="C505" s="69"/>
      <c r="D505" s="69"/>
      <c r="E505" s="69"/>
      <c r="F505" s="69"/>
      <c r="G505" s="69"/>
      <c r="H505" s="69"/>
      <c r="I505" s="132"/>
      <c r="J505" s="132"/>
      <c r="K505" s="70"/>
      <c r="L505" s="48"/>
      <c r="M505" s="47">
        <f t="shared" si="8"/>
        <v>2024511</v>
      </c>
      <c r="N505" s="47">
        <v>10</v>
      </c>
    </row>
    <row r="506" spans="1:14" x14ac:dyDescent="0.3">
      <c r="A506" s="47">
        <v>2024512</v>
      </c>
      <c r="B506" s="126"/>
      <c r="C506" s="69"/>
      <c r="D506" s="69"/>
      <c r="E506" s="69"/>
      <c r="F506" s="69"/>
      <c r="G506" s="69"/>
      <c r="H506" s="69"/>
      <c r="I506" s="132"/>
      <c r="J506" s="132"/>
      <c r="K506" s="70"/>
      <c r="L506" s="48"/>
      <c r="M506" s="47">
        <f t="shared" si="8"/>
        <v>2024512</v>
      </c>
      <c r="N506" s="47">
        <v>10</v>
      </c>
    </row>
    <row r="507" spans="1:14" x14ac:dyDescent="0.3">
      <c r="A507" s="47">
        <v>2024513</v>
      </c>
      <c r="B507" s="126"/>
      <c r="C507" s="69"/>
      <c r="D507" s="69"/>
      <c r="E507" s="69"/>
      <c r="F507" s="69"/>
      <c r="G507" s="69"/>
      <c r="H507" s="69"/>
      <c r="I507" s="132"/>
      <c r="J507" s="132"/>
      <c r="K507" s="70"/>
      <c r="L507" s="48"/>
      <c r="M507" s="47">
        <f t="shared" si="8"/>
        <v>2024513</v>
      </c>
      <c r="N507" s="47">
        <v>10</v>
      </c>
    </row>
    <row r="508" spans="1:14" x14ac:dyDescent="0.3">
      <c r="A508" s="47">
        <v>2024514</v>
      </c>
      <c r="B508" s="126"/>
      <c r="C508" s="69"/>
      <c r="D508" s="69"/>
      <c r="E508" s="69"/>
      <c r="F508" s="69"/>
      <c r="G508" s="69"/>
      <c r="H508" s="69"/>
      <c r="I508" s="132"/>
      <c r="J508" s="132"/>
      <c r="K508" s="70"/>
      <c r="L508" s="48"/>
      <c r="M508" s="47">
        <f t="shared" si="8"/>
        <v>2024514</v>
      </c>
      <c r="N508" s="47">
        <v>10</v>
      </c>
    </row>
    <row r="509" spans="1:14" x14ac:dyDescent="0.3">
      <c r="A509" s="47">
        <v>2024515</v>
      </c>
      <c r="B509" s="126"/>
      <c r="C509" s="69"/>
      <c r="D509" s="69"/>
      <c r="E509" s="69"/>
      <c r="F509" s="69"/>
      <c r="G509" s="69"/>
      <c r="H509" s="69"/>
      <c r="I509" s="132"/>
      <c r="J509" s="132"/>
      <c r="K509" s="70"/>
      <c r="L509" s="48"/>
      <c r="M509" s="47">
        <f t="shared" si="8"/>
        <v>2024515</v>
      </c>
      <c r="N509" s="47">
        <v>10</v>
      </c>
    </row>
    <row r="510" spans="1:14" x14ac:dyDescent="0.3">
      <c r="A510" s="47">
        <v>2024516</v>
      </c>
      <c r="B510" s="126"/>
      <c r="C510" s="69"/>
      <c r="D510" s="69"/>
      <c r="E510" s="69"/>
      <c r="F510" s="69"/>
      <c r="G510" s="69"/>
      <c r="H510" s="69"/>
      <c r="I510" s="132"/>
      <c r="J510" s="132"/>
      <c r="K510" s="70"/>
      <c r="L510" s="48"/>
      <c r="M510" s="47">
        <f t="shared" si="8"/>
        <v>2024516</v>
      </c>
      <c r="N510" s="47">
        <v>10</v>
      </c>
    </row>
    <row r="511" spans="1:14" x14ac:dyDescent="0.3">
      <c r="A511" s="47">
        <v>2024517</v>
      </c>
      <c r="B511" s="126"/>
      <c r="C511" s="69"/>
      <c r="D511" s="69"/>
      <c r="E511" s="69"/>
      <c r="F511" s="69"/>
      <c r="G511" s="69"/>
      <c r="H511" s="69"/>
      <c r="I511" s="132"/>
      <c r="J511" s="132"/>
      <c r="K511" s="70"/>
      <c r="L511" s="48"/>
      <c r="M511" s="47">
        <f t="shared" si="8"/>
        <v>2024517</v>
      </c>
      <c r="N511" s="47">
        <v>10</v>
      </c>
    </row>
    <row r="512" spans="1:14" x14ac:dyDescent="0.3">
      <c r="A512" s="47">
        <v>2024518</v>
      </c>
      <c r="B512" s="126"/>
      <c r="C512" s="69"/>
      <c r="D512" s="69"/>
      <c r="E512" s="69"/>
      <c r="F512" s="69"/>
      <c r="G512" s="69"/>
      <c r="H512" s="69"/>
      <c r="I512" s="132"/>
      <c r="J512" s="132"/>
      <c r="K512" s="70"/>
      <c r="L512" s="48"/>
      <c r="M512" s="47">
        <f t="shared" si="8"/>
        <v>2024518</v>
      </c>
      <c r="N512" s="47">
        <v>10</v>
      </c>
    </row>
    <row r="513" spans="1:14" x14ac:dyDescent="0.3">
      <c r="A513" s="47">
        <v>2024519</v>
      </c>
      <c r="B513" s="126"/>
      <c r="C513" s="69"/>
      <c r="D513" s="69"/>
      <c r="E513" s="69"/>
      <c r="F513" s="69"/>
      <c r="G513" s="69"/>
      <c r="H513" s="69"/>
      <c r="I513" s="132"/>
      <c r="J513" s="132"/>
      <c r="K513" s="70"/>
      <c r="L513" s="48"/>
      <c r="M513" s="47">
        <f t="shared" si="8"/>
        <v>2024519</v>
      </c>
      <c r="N513" s="47">
        <v>10</v>
      </c>
    </row>
    <row r="514" spans="1:14" x14ac:dyDescent="0.3">
      <c r="A514" s="47">
        <v>2024520</v>
      </c>
      <c r="B514" s="126"/>
      <c r="C514" s="69"/>
      <c r="D514" s="69"/>
      <c r="E514" s="69"/>
      <c r="F514" s="69"/>
      <c r="G514" s="69"/>
      <c r="H514" s="69"/>
      <c r="I514" s="132"/>
      <c r="J514" s="132"/>
      <c r="K514" s="70"/>
      <c r="L514" s="48"/>
      <c r="M514" s="47">
        <f t="shared" ref="M514:M577" si="9">A514</f>
        <v>2024520</v>
      </c>
      <c r="N514" s="47">
        <v>10</v>
      </c>
    </row>
    <row r="515" spans="1:14" x14ac:dyDescent="0.3">
      <c r="A515" s="47">
        <v>2024521</v>
      </c>
      <c r="B515" s="126"/>
      <c r="C515" s="69"/>
      <c r="D515" s="69"/>
      <c r="E515" s="69"/>
      <c r="F515" s="69"/>
      <c r="G515" s="69"/>
      <c r="H515" s="69"/>
      <c r="I515" s="132"/>
      <c r="J515" s="132"/>
      <c r="K515" s="70"/>
      <c r="L515" s="48"/>
      <c r="M515" s="47">
        <f t="shared" si="9"/>
        <v>2024521</v>
      </c>
      <c r="N515" s="47">
        <v>10</v>
      </c>
    </row>
    <row r="516" spans="1:14" x14ac:dyDescent="0.3">
      <c r="A516" s="47">
        <v>2024522</v>
      </c>
      <c r="B516" s="126"/>
      <c r="C516" s="69"/>
      <c r="D516" s="69"/>
      <c r="E516" s="69"/>
      <c r="F516" s="69"/>
      <c r="G516" s="69"/>
      <c r="H516" s="69"/>
      <c r="I516" s="132"/>
      <c r="J516" s="132"/>
      <c r="K516" s="70"/>
      <c r="L516" s="48"/>
      <c r="M516" s="47">
        <f t="shared" si="9"/>
        <v>2024522</v>
      </c>
      <c r="N516" s="47">
        <v>10</v>
      </c>
    </row>
    <row r="517" spans="1:14" x14ac:dyDescent="0.3">
      <c r="A517" s="47">
        <v>2024523</v>
      </c>
      <c r="B517" s="126"/>
      <c r="C517" s="69"/>
      <c r="D517" s="69"/>
      <c r="E517" s="69"/>
      <c r="F517" s="69"/>
      <c r="G517" s="69"/>
      <c r="H517" s="69"/>
      <c r="I517" s="132"/>
      <c r="J517" s="132"/>
      <c r="K517" s="70"/>
      <c r="L517" s="48"/>
      <c r="M517" s="47">
        <f t="shared" si="9"/>
        <v>2024523</v>
      </c>
      <c r="N517" s="47">
        <v>10</v>
      </c>
    </row>
    <row r="518" spans="1:14" x14ac:dyDescent="0.3">
      <c r="A518" s="47">
        <v>2024524</v>
      </c>
      <c r="B518" s="126"/>
      <c r="C518" s="69"/>
      <c r="D518" s="69"/>
      <c r="E518" s="69"/>
      <c r="F518" s="69"/>
      <c r="G518" s="69"/>
      <c r="H518" s="69"/>
      <c r="I518" s="132"/>
      <c r="J518" s="132"/>
      <c r="K518" s="70"/>
      <c r="L518" s="48"/>
      <c r="M518" s="47">
        <f t="shared" si="9"/>
        <v>2024524</v>
      </c>
      <c r="N518" s="47">
        <v>10</v>
      </c>
    </row>
    <row r="519" spans="1:14" x14ac:dyDescent="0.3">
      <c r="A519" s="47">
        <v>2024525</v>
      </c>
      <c r="B519" s="126"/>
      <c r="C519" s="69"/>
      <c r="D519" s="69"/>
      <c r="E519" s="69"/>
      <c r="F519" s="69"/>
      <c r="G519" s="69"/>
      <c r="H519" s="69"/>
      <c r="I519" s="132"/>
      <c r="J519" s="132"/>
      <c r="K519" s="70"/>
      <c r="L519" s="48"/>
      <c r="M519" s="47">
        <f t="shared" si="9"/>
        <v>2024525</v>
      </c>
      <c r="N519" s="47">
        <v>10</v>
      </c>
    </row>
    <row r="520" spans="1:14" x14ac:dyDescent="0.3">
      <c r="A520" s="47">
        <v>2024526</v>
      </c>
      <c r="B520" s="126"/>
      <c r="C520" s="69"/>
      <c r="D520" s="69"/>
      <c r="E520" s="69"/>
      <c r="F520" s="69"/>
      <c r="G520" s="69"/>
      <c r="H520" s="69"/>
      <c r="I520" s="132"/>
      <c r="J520" s="132"/>
      <c r="K520" s="70"/>
      <c r="L520" s="48"/>
      <c r="M520" s="47">
        <f t="shared" si="9"/>
        <v>2024526</v>
      </c>
      <c r="N520" s="47">
        <v>10</v>
      </c>
    </row>
    <row r="521" spans="1:14" x14ac:dyDescent="0.3">
      <c r="A521" s="47">
        <v>2024527</v>
      </c>
      <c r="B521" s="126"/>
      <c r="C521" s="69"/>
      <c r="D521" s="69"/>
      <c r="E521" s="69"/>
      <c r="F521" s="69"/>
      <c r="G521" s="69"/>
      <c r="H521" s="69"/>
      <c r="I521" s="132"/>
      <c r="J521" s="132"/>
      <c r="K521" s="70"/>
      <c r="L521" s="48"/>
      <c r="M521" s="47">
        <f t="shared" si="9"/>
        <v>2024527</v>
      </c>
      <c r="N521" s="47">
        <v>10</v>
      </c>
    </row>
    <row r="522" spans="1:14" x14ac:dyDescent="0.3">
      <c r="A522" s="47">
        <v>2024528</v>
      </c>
      <c r="B522" s="126"/>
      <c r="C522" s="69"/>
      <c r="D522" s="69"/>
      <c r="E522" s="69"/>
      <c r="F522" s="69"/>
      <c r="G522" s="69"/>
      <c r="H522" s="69"/>
      <c r="I522" s="132"/>
      <c r="J522" s="132"/>
      <c r="K522" s="70"/>
      <c r="L522" s="48"/>
      <c r="M522" s="47">
        <f t="shared" si="9"/>
        <v>2024528</v>
      </c>
      <c r="N522" s="47">
        <v>10</v>
      </c>
    </row>
    <row r="523" spans="1:14" x14ac:dyDescent="0.3">
      <c r="A523" s="47">
        <v>2024529</v>
      </c>
      <c r="B523" s="126"/>
      <c r="C523" s="69"/>
      <c r="D523" s="69"/>
      <c r="E523" s="69"/>
      <c r="F523" s="69"/>
      <c r="G523" s="69"/>
      <c r="H523" s="69"/>
      <c r="I523" s="132"/>
      <c r="J523" s="132"/>
      <c r="K523" s="70"/>
      <c r="L523" s="48"/>
      <c r="M523" s="47">
        <f t="shared" si="9"/>
        <v>2024529</v>
      </c>
      <c r="N523" s="47">
        <v>10</v>
      </c>
    </row>
    <row r="524" spans="1:14" x14ac:dyDescent="0.3">
      <c r="A524" s="47">
        <v>2024530</v>
      </c>
      <c r="B524" s="126"/>
      <c r="C524" s="69"/>
      <c r="D524" s="69"/>
      <c r="E524" s="69"/>
      <c r="F524" s="69"/>
      <c r="G524" s="69"/>
      <c r="H524" s="69"/>
      <c r="I524" s="132"/>
      <c r="J524" s="132"/>
      <c r="K524" s="70"/>
      <c r="L524" s="48"/>
      <c r="M524" s="47">
        <f t="shared" si="9"/>
        <v>2024530</v>
      </c>
      <c r="N524" s="47">
        <v>10</v>
      </c>
    </row>
    <row r="525" spans="1:14" x14ac:dyDescent="0.3">
      <c r="A525" s="47">
        <v>2024531</v>
      </c>
      <c r="B525" s="126"/>
      <c r="C525" s="69"/>
      <c r="D525" s="69"/>
      <c r="E525" s="69"/>
      <c r="F525" s="69"/>
      <c r="G525" s="69"/>
      <c r="H525" s="69"/>
      <c r="I525" s="132"/>
      <c r="J525" s="132"/>
      <c r="K525" s="70"/>
      <c r="L525" s="48"/>
      <c r="M525" s="47">
        <f t="shared" si="9"/>
        <v>2024531</v>
      </c>
      <c r="N525" s="47">
        <v>10</v>
      </c>
    </row>
    <row r="526" spans="1:14" x14ac:dyDescent="0.3">
      <c r="A526" s="47">
        <v>2024532</v>
      </c>
      <c r="B526" s="126"/>
      <c r="C526" s="69"/>
      <c r="D526" s="69"/>
      <c r="E526" s="69"/>
      <c r="F526" s="69"/>
      <c r="G526" s="69"/>
      <c r="H526" s="69"/>
      <c r="I526" s="132"/>
      <c r="J526" s="132"/>
      <c r="K526" s="70"/>
      <c r="L526" s="48"/>
      <c r="M526" s="47">
        <f t="shared" si="9"/>
        <v>2024532</v>
      </c>
      <c r="N526" s="47">
        <v>10</v>
      </c>
    </row>
    <row r="527" spans="1:14" x14ac:dyDescent="0.3">
      <c r="A527" s="47">
        <v>2024533</v>
      </c>
      <c r="B527" s="126"/>
      <c r="C527" s="69"/>
      <c r="D527" s="69"/>
      <c r="E527" s="69"/>
      <c r="F527" s="69"/>
      <c r="G527" s="69"/>
      <c r="H527" s="69"/>
      <c r="I527" s="132"/>
      <c r="J527" s="132"/>
      <c r="K527" s="70"/>
      <c r="L527" s="48"/>
      <c r="M527" s="47">
        <f t="shared" si="9"/>
        <v>2024533</v>
      </c>
      <c r="N527" s="47">
        <v>10</v>
      </c>
    </row>
    <row r="528" spans="1:14" x14ac:dyDescent="0.3">
      <c r="A528" s="47">
        <v>2024534</v>
      </c>
      <c r="B528" s="126"/>
      <c r="C528" s="69"/>
      <c r="D528" s="69"/>
      <c r="E528" s="69"/>
      <c r="F528" s="69"/>
      <c r="G528" s="69"/>
      <c r="H528" s="69"/>
      <c r="I528" s="132"/>
      <c r="J528" s="132"/>
      <c r="K528" s="70"/>
      <c r="L528" s="48"/>
      <c r="M528" s="47">
        <f t="shared" si="9"/>
        <v>2024534</v>
      </c>
      <c r="N528" s="47">
        <v>10</v>
      </c>
    </row>
    <row r="529" spans="1:14" x14ac:dyDescent="0.3">
      <c r="A529" s="47">
        <v>2024535</v>
      </c>
      <c r="B529" s="126"/>
      <c r="C529" s="69"/>
      <c r="D529" s="69"/>
      <c r="E529" s="69"/>
      <c r="F529" s="69"/>
      <c r="G529" s="69"/>
      <c r="H529" s="69"/>
      <c r="I529" s="132"/>
      <c r="J529" s="132"/>
      <c r="K529" s="70"/>
      <c r="L529" s="48"/>
      <c r="M529" s="47">
        <f t="shared" si="9"/>
        <v>2024535</v>
      </c>
      <c r="N529" s="47">
        <v>10</v>
      </c>
    </row>
    <row r="530" spans="1:14" x14ac:dyDescent="0.3">
      <c r="A530" s="47">
        <v>2024536</v>
      </c>
      <c r="B530" s="126"/>
      <c r="C530" s="69"/>
      <c r="D530" s="69"/>
      <c r="E530" s="69"/>
      <c r="F530" s="69"/>
      <c r="G530" s="69"/>
      <c r="H530" s="69"/>
      <c r="I530" s="132"/>
      <c r="J530" s="132"/>
      <c r="K530" s="70"/>
      <c r="L530" s="48"/>
      <c r="M530" s="47">
        <f t="shared" si="9"/>
        <v>2024536</v>
      </c>
      <c r="N530" s="47">
        <v>10</v>
      </c>
    </row>
    <row r="531" spans="1:14" x14ac:dyDescent="0.3">
      <c r="A531" s="47">
        <v>2024537</v>
      </c>
      <c r="B531" s="126"/>
      <c r="C531" s="69"/>
      <c r="D531" s="69"/>
      <c r="E531" s="69"/>
      <c r="F531" s="69"/>
      <c r="G531" s="69"/>
      <c r="H531" s="69"/>
      <c r="I531" s="132"/>
      <c r="J531" s="132"/>
      <c r="K531" s="70"/>
      <c r="L531" s="48"/>
      <c r="M531" s="47">
        <f t="shared" si="9"/>
        <v>2024537</v>
      </c>
      <c r="N531" s="47">
        <v>10</v>
      </c>
    </row>
    <row r="532" spans="1:14" x14ac:dyDescent="0.3">
      <c r="A532" s="47">
        <v>2024538</v>
      </c>
      <c r="B532" s="126"/>
      <c r="C532" s="69"/>
      <c r="D532" s="69"/>
      <c r="E532" s="69"/>
      <c r="F532" s="69"/>
      <c r="G532" s="69"/>
      <c r="H532" s="69"/>
      <c r="I532" s="132"/>
      <c r="J532" s="132"/>
      <c r="K532" s="70"/>
      <c r="L532" s="48"/>
      <c r="M532" s="47">
        <f t="shared" si="9"/>
        <v>2024538</v>
      </c>
      <c r="N532" s="47">
        <v>10</v>
      </c>
    </row>
    <row r="533" spans="1:14" x14ac:dyDescent="0.3">
      <c r="A533" s="47">
        <v>2024539</v>
      </c>
      <c r="B533" s="126"/>
      <c r="C533" s="69"/>
      <c r="D533" s="69"/>
      <c r="E533" s="69"/>
      <c r="F533" s="69"/>
      <c r="G533" s="69"/>
      <c r="H533" s="69"/>
      <c r="I533" s="132"/>
      <c r="J533" s="132"/>
      <c r="K533" s="70"/>
      <c r="L533" s="48"/>
      <c r="M533" s="47">
        <f t="shared" si="9"/>
        <v>2024539</v>
      </c>
      <c r="N533" s="47">
        <v>10</v>
      </c>
    </row>
    <row r="534" spans="1:14" x14ac:dyDescent="0.3">
      <c r="A534" s="47">
        <v>2024540</v>
      </c>
      <c r="B534" s="126"/>
      <c r="C534" s="69"/>
      <c r="D534" s="69"/>
      <c r="E534" s="69"/>
      <c r="F534" s="69"/>
      <c r="G534" s="69"/>
      <c r="H534" s="69"/>
      <c r="I534" s="132"/>
      <c r="J534" s="132"/>
      <c r="K534" s="70"/>
      <c r="L534" s="48"/>
      <c r="M534" s="47">
        <f t="shared" si="9"/>
        <v>2024540</v>
      </c>
      <c r="N534" s="47">
        <v>10</v>
      </c>
    </row>
    <row r="535" spans="1:14" x14ac:dyDescent="0.3">
      <c r="A535" s="47">
        <v>2024541</v>
      </c>
      <c r="B535" s="126"/>
      <c r="C535" s="69"/>
      <c r="D535" s="69"/>
      <c r="E535" s="69"/>
      <c r="F535" s="69"/>
      <c r="G535" s="69"/>
      <c r="H535" s="69"/>
      <c r="I535" s="132"/>
      <c r="J535" s="132"/>
      <c r="K535" s="70"/>
      <c r="L535" s="48"/>
      <c r="M535" s="47">
        <f t="shared" si="9"/>
        <v>2024541</v>
      </c>
      <c r="N535" s="47">
        <v>10</v>
      </c>
    </row>
    <row r="536" spans="1:14" x14ac:dyDescent="0.3">
      <c r="A536" s="47">
        <v>2024542</v>
      </c>
      <c r="B536" s="126"/>
      <c r="C536" s="69"/>
      <c r="D536" s="69"/>
      <c r="E536" s="69"/>
      <c r="F536" s="69"/>
      <c r="G536" s="69"/>
      <c r="H536" s="69"/>
      <c r="I536" s="132"/>
      <c r="J536" s="132"/>
      <c r="K536" s="70"/>
      <c r="L536" s="48"/>
      <c r="M536" s="47">
        <f t="shared" si="9"/>
        <v>2024542</v>
      </c>
      <c r="N536" s="47">
        <v>10</v>
      </c>
    </row>
    <row r="537" spans="1:14" x14ac:dyDescent="0.3">
      <c r="A537" s="47">
        <v>2024543</v>
      </c>
      <c r="B537" s="126"/>
      <c r="C537" s="69"/>
      <c r="D537" s="69"/>
      <c r="E537" s="69"/>
      <c r="F537" s="69"/>
      <c r="G537" s="69"/>
      <c r="H537" s="69"/>
      <c r="I537" s="132"/>
      <c r="J537" s="132"/>
      <c r="K537" s="70"/>
      <c r="L537" s="48"/>
      <c r="M537" s="47">
        <f t="shared" si="9"/>
        <v>2024543</v>
      </c>
      <c r="N537" s="47">
        <v>10</v>
      </c>
    </row>
    <row r="538" spans="1:14" x14ac:dyDescent="0.3">
      <c r="A538" s="47">
        <v>2024544</v>
      </c>
      <c r="B538" s="126"/>
      <c r="C538" s="69"/>
      <c r="D538" s="69"/>
      <c r="E538" s="69"/>
      <c r="F538" s="69"/>
      <c r="G538" s="69"/>
      <c r="H538" s="69"/>
      <c r="I538" s="132"/>
      <c r="J538" s="132"/>
      <c r="K538" s="70"/>
      <c r="L538" s="48"/>
      <c r="M538" s="47">
        <f t="shared" si="9"/>
        <v>2024544</v>
      </c>
      <c r="N538" s="47">
        <v>10</v>
      </c>
    </row>
    <row r="539" spans="1:14" x14ac:dyDescent="0.3">
      <c r="A539" s="47">
        <v>2024545</v>
      </c>
      <c r="B539" s="126"/>
      <c r="C539" s="69"/>
      <c r="D539" s="69"/>
      <c r="E539" s="69"/>
      <c r="F539" s="69"/>
      <c r="G539" s="69"/>
      <c r="H539" s="69"/>
      <c r="I539" s="132"/>
      <c r="J539" s="132"/>
      <c r="K539" s="70"/>
      <c r="L539" s="48"/>
      <c r="M539" s="47">
        <f t="shared" si="9"/>
        <v>2024545</v>
      </c>
      <c r="N539" s="47">
        <v>10</v>
      </c>
    </row>
    <row r="540" spans="1:14" x14ac:dyDescent="0.3">
      <c r="A540" s="47">
        <v>2024546</v>
      </c>
      <c r="B540" s="126"/>
      <c r="C540" s="69"/>
      <c r="D540" s="69"/>
      <c r="E540" s="69"/>
      <c r="F540" s="69"/>
      <c r="G540" s="69"/>
      <c r="H540" s="69"/>
      <c r="I540" s="132"/>
      <c r="J540" s="132"/>
      <c r="K540" s="70"/>
      <c r="L540" s="48"/>
      <c r="M540" s="47">
        <f t="shared" si="9"/>
        <v>2024546</v>
      </c>
      <c r="N540" s="47">
        <v>10</v>
      </c>
    </row>
    <row r="541" spans="1:14" x14ac:dyDescent="0.3">
      <c r="A541" s="47">
        <v>2024547</v>
      </c>
      <c r="B541" s="126"/>
      <c r="C541" s="69"/>
      <c r="D541" s="69"/>
      <c r="E541" s="69"/>
      <c r="F541" s="69"/>
      <c r="G541" s="69"/>
      <c r="H541" s="69"/>
      <c r="I541" s="132"/>
      <c r="J541" s="132"/>
      <c r="K541" s="70"/>
      <c r="L541" s="48"/>
      <c r="M541" s="47">
        <f t="shared" si="9"/>
        <v>2024547</v>
      </c>
      <c r="N541" s="47">
        <v>10</v>
      </c>
    </row>
    <row r="542" spans="1:14" x14ac:dyDescent="0.3">
      <c r="A542" s="47">
        <v>2024548</v>
      </c>
      <c r="B542" s="126"/>
      <c r="C542" s="69"/>
      <c r="D542" s="69"/>
      <c r="E542" s="69"/>
      <c r="F542" s="69"/>
      <c r="G542" s="69"/>
      <c r="H542" s="69"/>
      <c r="I542" s="132"/>
      <c r="J542" s="132"/>
      <c r="K542" s="70"/>
      <c r="L542" s="48"/>
      <c r="M542" s="47">
        <f t="shared" si="9"/>
        <v>2024548</v>
      </c>
      <c r="N542" s="47">
        <v>10</v>
      </c>
    </row>
    <row r="543" spans="1:14" x14ac:dyDescent="0.3">
      <c r="A543" s="47">
        <v>2024549</v>
      </c>
      <c r="B543" s="126"/>
      <c r="C543" s="69"/>
      <c r="D543" s="69"/>
      <c r="E543" s="69"/>
      <c r="F543" s="69"/>
      <c r="G543" s="69"/>
      <c r="H543" s="69"/>
      <c r="I543" s="132"/>
      <c r="J543" s="132"/>
      <c r="K543" s="70"/>
      <c r="L543" s="48"/>
      <c r="M543" s="47">
        <f t="shared" si="9"/>
        <v>2024549</v>
      </c>
      <c r="N543" s="47">
        <v>10</v>
      </c>
    </row>
    <row r="544" spans="1:14" x14ac:dyDescent="0.3">
      <c r="A544" s="47">
        <v>2024550</v>
      </c>
      <c r="B544" s="126"/>
      <c r="C544" s="69"/>
      <c r="D544" s="69"/>
      <c r="E544" s="69"/>
      <c r="F544" s="69"/>
      <c r="G544" s="69"/>
      <c r="H544" s="69"/>
      <c r="I544" s="132"/>
      <c r="J544" s="132"/>
      <c r="K544" s="70"/>
      <c r="L544" s="48"/>
      <c r="M544" s="47">
        <f t="shared" si="9"/>
        <v>2024550</v>
      </c>
      <c r="N544" s="47">
        <v>10</v>
      </c>
    </row>
    <row r="545" spans="1:14" x14ac:dyDescent="0.3">
      <c r="A545" s="47">
        <v>2024551</v>
      </c>
      <c r="B545" s="126"/>
      <c r="C545" s="69"/>
      <c r="D545" s="69"/>
      <c r="E545" s="69"/>
      <c r="F545" s="69"/>
      <c r="G545" s="69"/>
      <c r="H545" s="69"/>
      <c r="I545" s="132"/>
      <c r="J545" s="132"/>
      <c r="K545" s="70"/>
      <c r="L545" s="48"/>
      <c r="M545" s="47">
        <f t="shared" si="9"/>
        <v>2024551</v>
      </c>
      <c r="N545" s="47">
        <v>10</v>
      </c>
    </row>
    <row r="546" spans="1:14" x14ac:dyDescent="0.3">
      <c r="A546" s="47">
        <v>2024552</v>
      </c>
      <c r="B546" s="126"/>
      <c r="C546" s="69"/>
      <c r="D546" s="69"/>
      <c r="E546" s="69"/>
      <c r="F546" s="69"/>
      <c r="G546" s="69"/>
      <c r="H546" s="69"/>
      <c r="I546" s="132"/>
      <c r="J546" s="132"/>
      <c r="K546" s="70"/>
      <c r="L546" s="48"/>
      <c r="M546" s="47">
        <f t="shared" si="9"/>
        <v>2024552</v>
      </c>
      <c r="N546" s="47">
        <v>10</v>
      </c>
    </row>
    <row r="547" spans="1:14" x14ac:dyDescent="0.3">
      <c r="A547" s="47">
        <v>2024553</v>
      </c>
      <c r="B547" s="126"/>
      <c r="C547" s="69"/>
      <c r="D547" s="69"/>
      <c r="E547" s="69"/>
      <c r="F547" s="69"/>
      <c r="G547" s="69"/>
      <c r="H547" s="69"/>
      <c r="I547" s="132"/>
      <c r="J547" s="132"/>
      <c r="K547" s="70"/>
      <c r="L547" s="48"/>
      <c r="M547" s="47">
        <f t="shared" si="9"/>
        <v>2024553</v>
      </c>
      <c r="N547" s="47">
        <v>10</v>
      </c>
    </row>
    <row r="548" spans="1:14" x14ac:dyDescent="0.3">
      <c r="A548" s="47">
        <v>2024554</v>
      </c>
      <c r="B548" s="126"/>
      <c r="C548" s="69"/>
      <c r="D548" s="69"/>
      <c r="E548" s="69"/>
      <c r="F548" s="69"/>
      <c r="G548" s="69"/>
      <c r="H548" s="69"/>
      <c r="I548" s="132"/>
      <c r="J548" s="132"/>
      <c r="K548" s="70"/>
      <c r="L548" s="48"/>
      <c r="M548" s="47">
        <f t="shared" si="9"/>
        <v>2024554</v>
      </c>
      <c r="N548" s="47">
        <v>10</v>
      </c>
    </row>
    <row r="549" spans="1:14" x14ac:dyDescent="0.3">
      <c r="A549" s="47">
        <v>2024555</v>
      </c>
      <c r="B549" s="126"/>
      <c r="C549" s="69"/>
      <c r="D549" s="69"/>
      <c r="E549" s="69"/>
      <c r="F549" s="69"/>
      <c r="G549" s="69"/>
      <c r="H549" s="69"/>
      <c r="I549" s="132"/>
      <c r="J549" s="132"/>
      <c r="K549" s="70"/>
      <c r="L549" s="48"/>
      <c r="M549" s="47">
        <f t="shared" si="9"/>
        <v>2024555</v>
      </c>
      <c r="N549" s="47">
        <v>10</v>
      </c>
    </row>
    <row r="550" spans="1:14" x14ac:dyDescent="0.3">
      <c r="A550" s="47">
        <v>2024556</v>
      </c>
      <c r="B550" s="126"/>
      <c r="C550" s="69"/>
      <c r="D550" s="69"/>
      <c r="E550" s="69"/>
      <c r="F550" s="69"/>
      <c r="G550" s="69"/>
      <c r="H550" s="69"/>
      <c r="I550" s="132"/>
      <c r="J550" s="132"/>
      <c r="K550" s="70"/>
      <c r="L550" s="48"/>
      <c r="M550" s="47">
        <f t="shared" si="9"/>
        <v>2024556</v>
      </c>
      <c r="N550" s="47">
        <v>10</v>
      </c>
    </row>
    <row r="551" spans="1:14" x14ac:dyDescent="0.3">
      <c r="A551" s="47">
        <v>2024557</v>
      </c>
      <c r="B551" s="126"/>
      <c r="C551" s="69"/>
      <c r="D551" s="69"/>
      <c r="E551" s="69"/>
      <c r="F551" s="69"/>
      <c r="G551" s="69"/>
      <c r="H551" s="69"/>
      <c r="I551" s="132"/>
      <c r="J551" s="132"/>
      <c r="K551" s="70"/>
      <c r="L551" s="48"/>
      <c r="M551" s="47">
        <f t="shared" si="9"/>
        <v>2024557</v>
      </c>
      <c r="N551" s="47">
        <v>10</v>
      </c>
    </row>
    <row r="552" spans="1:14" x14ac:dyDescent="0.3">
      <c r="A552" s="47">
        <v>2024558</v>
      </c>
      <c r="B552" s="126"/>
      <c r="C552" s="69"/>
      <c r="D552" s="69"/>
      <c r="E552" s="69"/>
      <c r="F552" s="69"/>
      <c r="G552" s="69"/>
      <c r="H552" s="69"/>
      <c r="I552" s="132"/>
      <c r="J552" s="132"/>
      <c r="K552" s="70"/>
      <c r="L552" s="48"/>
      <c r="M552" s="47">
        <f t="shared" si="9"/>
        <v>2024558</v>
      </c>
      <c r="N552" s="47">
        <v>10</v>
      </c>
    </row>
    <row r="553" spans="1:14" x14ac:dyDescent="0.3">
      <c r="A553" s="47">
        <v>2024559</v>
      </c>
      <c r="B553" s="126"/>
      <c r="C553" s="69"/>
      <c r="D553" s="69"/>
      <c r="E553" s="69"/>
      <c r="F553" s="69"/>
      <c r="G553" s="69"/>
      <c r="H553" s="69"/>
      <c r="I553" s="132"/>
      <c r="J553" s="132"/>
      <c r="K553" s="70"/>
      <c r="L553" s="48"/>
      <c r="M553" s="47">
        <f t="shared" si="9"/>
        <v>2024559</v>
      </c>
      <c r="N553" s="47">
        <v>10</v>
      </c>
    </row>
    <row r="554" spans="1:14" x14ac:dyDescent="0.3">
      <c r="A554" s="47">
        <v>2024560</v>
      </c>
      <c r="B554" s="126"/>
      <c r="C554" s="69"/>
      <c r="D554" s="69"/>
      <c r="E554" s="69"/>
      <c r="F554" s="69"/>
      <c r="G554" s="69"/>
      <c r="H554" s="69"/>
      <c r="I554" s="132"/>
      <c r="J554" s="132"/>
      <c r="K554" s="70"/>
      <c r="L554" s="48"/>
      <c r="M554" s="47">
        <f t="shared" si="9"/>
        <v>2024560</v>
      </c>
      <c r="N554" s="47">
        <v>10</v>
      </c>
    </row>
    <row r="555" spans="1:14" x14ac:dyDescent="0.3">
      <c r="A555" s="47">
        <v>2024561</v>
      </c>
      <c r="B555" s="126"/>
      <c r="C555" s="69"/>
      <c r="D555" s="69"/>
      <c r="E555" s="69"/>
      <c r="F555" s="69"/>
      <c r="G555" s="69"/>
      <c r="H555" s="69"/>
      <c r="I555" s="132"/>
      <c r="J555" s="132"/>
      <c r="K555" s="70"/>
      <c r="L555" s="48"/>
      <c r="M555" s="47">
        <f t="shared" si="9"/>
        <v>2024561</v>
      </c>
      <c r="N555" s="47">
        <v>10</v>
      </c>
    </row>
    <row r="556" spans="1:14" x14ac:dyDescent="0.3">
      <c r="A556" s="47">
        <v>2024562</v>
      </c>
      <c r="B556" s="126"/>
      <c r="C556" s="69"/>
      <c r="D556" s="69"/>
      <c r="E556" s="69"/>
      <c r="F556" s="69"/>
      <c r="G556" s="69"/>
      <c r="H556" s="69"/>
      <c r="I556" s="132"/>
      <c r="J556" s="132"/>
      <c r="K556" s="70"/>
      <c r="L556" s="48"/>
      <c r="M556" s="47">
        <f t="shared" si="9"/>
        <v>2024562</v>
      </c>
      <c r="N556" s="47">
        <v>10</v>
      </c>
    </row>
    <row r="557" spans="1:14" x14ac:dyDescent="0.3">
      <c r="A557" s="47">
        <v>2024563</v>
      </c>
      <c r="B557" s="126"/>
      <c r="C557" s="69"/>
      <c r="D557" s="69"/>
      <c r="E557" s="69"/>
      <c r="F557" s="69"/>
      <c r="G557" s="69"/>
      <c r="H557" s="69"/>
      <c r="I557" s="132"/>
      <c r="J557" s="132"/>
      <c r="K557" s="70"/>
      <c r="L557" s="48"/>
      <c r="M557" s="47">
        <f t="shared" si="9"/>
        <v>2024563</v>
      </c>
      <c r="N557" s="47">
        <v>10</v>
      </c>
    </row>
    <row r="558" spans="1:14" x14ac:dyDescent="0.3">
      <c r="A558" s="47">
        <v>2024564</v>
      </c>
      <c r="B558" s="126"/>
      <c r="C558" s="69"/>
      <c r="D558" s="69"/>
      <c r="E558" s="69"/>
      <c r="F558" s="69"/>
      <c r="G558" s="69"/>
      <c r="H558" s="69"/>
      <c r="I558" s="132"/>
      <c r="J558" s="132"/>
      <c r="K558" s="70"/>
      <c r="L558" s="48"/>
      <c r="M558" s="47">
        <f t="shared" si="9"/>
        <v>2024564</v>
      </c>
      <c r="N558" s="47">
        <v>10</v>
      </c>
    </row>
    <row r="559" spans="1:14" x14ac:dyDescent="0.3">
      <c r="A559" s="47">
        <v>2024565</v>
      </c>
      <c r="B559" s="126"/>
      <c r="C559" s="69"/>
      <c r="D559" s="69"/>
      <c r="E559" s="69"/>
      <c r="F559" s="69"/>
      <c r="G559" s="69"/>
      <c r="H559" s="69"/>
      <c r="I559" s="132"/>
      <c r="J559" s="132"/>
      <c r="K559" s="70"/>
      <c r="L559" s="48"/>
      <c r="M559" s="47">
        <f t="shared" si="9"/>
        <v>2024565</v>
      </c>
      <c r="N559" s="47">
        <v>10</v>
      </c>
    </row>
    <row r="560" spans="1:14" x14ac:dyDescent="0.3">
      <c r="A560" s="47">
        <v>2024566</v>
      </c>
      <c r="B560" s="126"/>
      <c r="C560" s="69"/>
      <c r="D560" s="69"/>
      <c r="E560" s="69"/>
      <c r="F560" s="69"/>
      <c r="G560" s="69"/>
      <c r="H560" s="69"/>
      <c r="I560" s="132"/>
      <c r="J560" s="132"/>
      <c r="K560" s="70"/>
      <c r="L560" s="48"/>
      <c r="M560" s="47">
        <f t="shared" si="9"/>
        <v>2024566</v>
      </c>
      <c r="N560" s="47">
        <v>10</v>
      </c>
    </row>
    <row r="561" spans="1:14" x14ac:dyDescent="0.3">
      <c r="A561" s="47">
        <v>2024567</v>
      </c>
      <c r="B561" s="126"/>
      <c r="C561" s="69"/>
      <c r="D561" s="69"/>
      <c r="E561" s="69"/>
      <c r="F561" s="69"/>
      <c r="G561" s="69"/>
      <c r="H561" s="69"/>
      <c r="I561" s="132"/>
      <c r="J561" s="132"/>
      <c r="K561" s="70"/>
      <c r="L561" s="48"/>
      <c r="M561" s="47">
        <f t="shared" si="9"/>
        <v>2024567</v>
      </c>
      <c r="N561" s="47">
        <v>10</v>
      </c>
    </row>
    <row r="562" spans="1:14" x14ac:dyDescent="0.3">
      <c r="A562" s="47">
        <v>2024568</v>
      </c>
      <c r="B562" s="126"/>
      <c r="C562" s="69"/>
      <c r="D562" s="69"/>
      <c r="E562" s="69"/>
      <c r="F562" s="69"/>
      <c r="G562" s="69"/>
      <c r="H562" s="69"/>
      <c r="I562" s="132"/>
      <c r="J562" s="132"/>
      <c r="K562" s="70"/>
      <c r="L562" s="48"/>
      <c r="M562" s="47">
        <f t="shared" si="9"/>
        <v>2024568</v>
      </c>
      <c r="N562" s="47">
        <v>10</v>
      </c>
    </row>
    <row r="563" spans="1:14" x14ac:dyDescent="0.3">
      <c r="A563" s="47">
        <v>2024569</v>
      </c>
      <c r="B563" s="126"/>
      <c r="C563" s="69"/>
      <c r="D563" s="69"/>
      <c r="E563" s="69"/>
      <c r="F563" s="69"/>
      <c r="G563" s="69"/>
      <c r="H563" s="69"/>
      <c r="I563" s="132"/>
      <c r="J563" s="132"/>
      <c r="K563" s="70"/>
      <c r="L563" s="48"/>
      <c r="M563" s="47">
        <f t="shared" si="9"/>
        <v>2024569</v>
      </c>
      <c r="N563" s="47">
        <v>10</v>
      </c>
    </row>
    <row r="564" spans="1:14" x14ac:dyDescent="0.3">
      <c r="A564" s="47">
        <v>2024570</v>
      </c>
      <c r="B564" s="126"/>
      <c r="C564" s="69"/>
      <c r="D564" s="69"/>
      <c r="E564" s="69"/>
      <c r="F564" s="69"/>
      <c r="G564" s="69"/>
      <c r="H564" s="69"/>
      <c r="I564" s="132"/>
      <c r="J564" s="132"/>
      <c r="K564" s="70"/>
      <c r="L564" s="48"/>
      <c r="M564" s="47">
        <f t="shared" si="9"/>
        <v>2024570</v>
      </c>
      <c r="N564" s="47">
        <v>10</v>
      </c>
    </row>
    <row r="565" spans="1:14" x14ac:dyDescent="0.3">
      <c r="A565" s="47">
        <v>2024571</v>
      </c>
      <c r="B565" s="126"/>
      <c r="C565" s="69"/>
      <c r="D565" s="69"/>
      <c r="E565" s="69"/>
      <c r="F565" s="69"/>
      <c r="G565" s="69"/>
      <c r="H565" s="69"/>
      <c r="I565" s="132"/>
      <c r="J565" s="132"/>
      <c r="K565" s="70"/>
      <c r="L565" s="48"/>
      <c r="M565" s="47">
        <f t="shared" si="9"/>
        <v>2024571</v>
      </c>
      <c r="N565" s="47">
        <v>10</v>
      </c>
    </row>
    <row r="566" spans="1:14" x14ac:dyDescent="0.3">
      <c r="A566" s="47">
        <v>2024572</v>
      </c>
      <c r="B566" s="126"/>
      <c r="C566" s="69"/>
      <c r="D566" s="69"/>
      <c r="E566" s="69"/>
      <c r="F566" s="69"/>
      <c r="G566" s="69"/>
      <c r="H566" s="69"/>
      <c r="I566" s="132"/>
      <c r="J566" s="132"/>
      <c r="K566" s="70"/>
      <c r="L566" s="48"/>
      <c r="M566" s="47">
        <f t="shared" si="9"/>
        <v>2024572</v>
      </c>
      <c r="N566" s="47">
        <v>10</v>
      </c>
    </row>
    <row r="567" spans="1:14" x14ac:dyDescent="0.3">
      <c r="A567" s="47">
        <v>2024573</v>
      </c>
      <c r="B567" s="126"/>
      <c r="C567" s="69"/>
      <c r="D567" s="69"/>
      <c r="E567" s="69"/>
      <c r="F567" s="69"/>
      <c r="G567" s="69"/>
      <c r="H567" s="69"/>
      <c r="I567" s="132"/>
      <c r="J567" s="132"/>
      <c r="K567" s="70"/>
      <c r="L567" s="48"/>
      <c r="M567" s="47">
        <f t="shared" si="9"/>
        <v>2024573</v>
      </c>
      <c r="N567" s="47">
        <v>10</v>
      </c>
    </row>
    <row r="568" spans="1:14" x14ac:dyDescent="0.3">
      <c r="A568" s="47">
        <v>2024574</v>
      </c>
      <c r="B568" s="126"/>
      <c r="C568" s="69"/>
      <c r="D568" s="69"/>
      <c r="E568" s="69"/>
      <c r="F568" s="69"/>
      <c r="G568" s="69"/>
      <c r="H568" s="69"/>
      <c r="I568" s="132"/>
      <c r="J568" s="132"/>
      <c r="K568" s="70"/>
      <c r="L568" s="48"/>
      <c r="M568" s="47">
        <f t="shared" si="9"/>
        <v>2024574</v>
      </c>
      <c r="N568" s="47">
        <v>10</v>
      </c>
    </row>
    <row r="569" spans="1:14" x14ac:dyDescent="0.3">
      <c r="A569" s="47">
        <v>2024575</v>
      </c>
      <c r="B569" s="126"/>
      <c r="C569" s="69"/>
      <c r="D569" s="69"/>
      <c r="E569" s="69"/>
      <c r="F569" s="69"/>
      <c r="G569" s="69"/>
      <c r="H569" s="69"/>
      <c r="I569" s="132"/>
      <c r="J569" s="132"/>
      <c r="K569" s="70"/>
      <c r="L569" s="48"/>
      <c r="M569" s="47">
        <f t="shared" si="9"/>
        <v>2024575</v>
      </c>
      <c r="N569" s="47">
        <v>10</v>
      </c>
    </row>
    <row r="570" spans="1:14" x14ac:dyDescent="0.3">
      <c r="A570" s="47">
        <v>2024576</v>
      </c>
      <c r="B570" s="126"/>
      <c r="C570" s="69"/>
      <c r="D570" s="69"/>
      <c r="E570" s="69"/>
      <c r="F570" s="69"/>
      <c r="G570" s="69"/>
      <c r="H570" s="69"/>
      <c r="I570" s="132"/>
      <c r="J570" s="132"/>
      <c r="K570" s="70"/>
      <c r="L570" s="48"/>
      <c r="M570" s="47">
        <f t="shared" si="9"/>
        <v>2024576</v>
      </c>
      <c r="N570" s="47">
        <v>10</v>
      </c>
    </row>
    <row r="571" spans="1:14" x14ac:dyDescent="0.3">
      <c r="A571" s="47">
        <v>2024577</v>
      </c>
      <c r="B571" s="126"/>
      <c r="C571" s="69"/>
      <c r="D571" s="69"/>
      <c r="E571" s="69"/>
      <c r="F571" s="69"/>
      <c r="G571" s="69"/>
      <c r="H571" s="69"/>
      <c r="I571" s="132"/>
      <c r="J571" s="132"/>
      <c r="K571" s="70"/>
      <c r="L571" s="48"/>
      <c r="M571" s="47">
        <f t="shared" si="9"/>
        <v>2024577</v>
      </c>
      <c r="N571" s="47">
        <v>10</v>
      </c>
    </row>
    <row r="572" spans="1:14" x14ac:dyDescent="0.3">
      <c r="A572" s="47">
        <v>2024578</v>
      </c>
      <c r="B572" s="126"/>
      <c r="C572" s="69"/>
      <c r="D572" s="69"/>
      <c r="E572" s="69"/>
      <c r="F572" s="69"/>
      <c r="G572" s="69"/>
      <c r="H572" s="69"/>
      <c r="I572" s="132"/>
      <c r="J572" s="132"/>
      <c r="K572" s="70"/>
      <c r="L572" s="48"/>
      <c r="M572" s="47">
        <f t="shared" si="9"/>
        <v>2024578</v>
      </c>
      <c r="N572" s="47">
        <v>10</v>
      </c>
    </row>
    <row r="573" spans="1:14" x14ac:dyDescent="0.3">
      <c r="A573" s="47">
        <v>2024579</v>
      </c>
      <c r="B573" s="126"/>
      <c r="C573" s="69"/>
      <c r="D573" s="69"/>
      <c r="E573" s="69"/>
      <c r="F573" s="69"/>
      <c r="G573" s="69"/>
      <c r="H573" s="69"/>
      <c r="I573" s="132"/>
      <c r="J573" s="132"/>
      <c r="K573" s="70"/>
      <c r="L573" s="48"/>
      <c r="M573" s="47">
        <f t="shared" si="9"/>
        <v>2024579</v>
      </c>
      <c r="N573" s="47">
        <v>10</v>
      </c>
    </row>
    <row r="574" spans="1:14" x14ac:dyDescent="0.3">
      <c r="A574" s="47">
        <v>2024847</v>
      </c>
      <c r="B574" s="126"/>
      <c r="C574" s="69"/>
      <c r="D574" s="69"/>
      <c r="E574" s="69"/>
      <c r="F574" s="69"/>
      <c r="G574" s="69"/>
      <c r="H574" s="69"/>
      <c r="I574" s="132"/>
      <c r="J574" s="132"/>
      <c r="K574" s="70"/>
      <c r="L574" s="48"/>
      <c r="M574" s="47">
        <f t="shared" si="9"/>
        <v>2024847</v>
      </c>
      <c r="N574" s="47">
        <v>10</v>
      </c>
    </row>
    <row r="575" spans="1:14" x14ac:dyDescent="0.3">
      <c r="A575" s="47">
        <v>2024848</v>
      </c>
      <c r="B575" s="126"/>
      <c r="C575" s="69"/>
      <c r="D575" s="69"/>
      <c r="E575" s="69"/>
      <c r="F575" s="69"/>
      <c r="G575" s="69"/>
      <c r="H575" s="69"/>
      <c r="I575" s="132"/>
      <c r="J575" s="132"/>
      <c r="K575" s="70"/>
      <c r="L575" s="48"/>
      <c r="M575" s="47">
        <f t="shared" si="9"/>
        <v>2024848</v>
      </c>
      <c r="N575" s="47">
        <v>10</v>
      </c>
    </row>
    <row r="576" spans="1:14" x14ac:dyDescent="0.3">
      <c r="A576" s="47">
        <v>2024849</v>
      </c>
      <c r="B576" s="126"/>
      <c r="C576" s="69"/>
      <c r="D576" s="69"/>
      <c r="E576" s="69"/>
      <c r="F576" s="69"/>
      <c r="G576" s="69"/>
      <c r="H576" s="69"/>
      <c r="I576" s="132"/>
      <c r="J576" s="132"/>
      <c r="K576" s="70"/>
      <c r="L576" s="48"/>
      <c r="M576" s="47">
        <f t="shared" si="9"/>
        <v>2024849</v>
      </c>
      <c r="N576" s="47">
        <v>10</v>
      </c>
    </row>
    <row r="577" spans="1:14" x14ac:dyDescent="0.3">
      <c r="A577" s="47">
        <v>2024850</v>
      </c>
      <c r="B577" s="126"/>
      <c r="C577" s="69"/>
      <c r="D577" s="69"/>
      <c r="E577" s="69"/>
      <c r="F577" s="69"/>
      <c r="G577" s="69"/>
      <c r="H577" s="69"/>
      <c r="I577" s="132"/>
      <c r="J577" s="132"/>
      <c r="K577" s="70"/>
      <c r="L577" s="48"/>
      <c r="M577" s="47">
        <f t="shared" si="9"/>
        <v>2024850</v>
      </c>
      <c r="N577" s="47">
        <v>10</v>
      </c>
    </row>
    <row r="578" spans="1:14" x14ac:dyDescent="0.3">
      <c r="A578" s="47">
        <v>2024851</v>
      </c>
      <c r="B578" s="126"/>
      <c r="C578" s="69"/>
      <c r="D578" s="69"/>
      <c r="E578" s="69"/>
      <c r="F578" s="69"/>
      <c r="G578" s="69"/>
      <c r="H578" s="69"/>
      <c r="I578" s="132"/>
      <c r="J578" s="132"/>
      <c r="K578" s="70"/>
      <c r="L578" s="48"/>
      <c r="M578" s="47">
        <f t="shared" ref="M578:M584" si="10">A578</f>
        <v>2024851</v>
      </c>
      <c r="N578" s="47">
        <v>10</v>
      </c>
    </row>
    <row r="579" spans="1:14" x14ac:dyDescent="0.3">
      <c r="A579" s="47">
        <v>2024852</v>
      </c>
      <c r="B579" s="126"/>
      <c r="C579" s="69"/>
      <c r="D579" s="69"/>
      <c r="E579" s="69"/>
      <c r="F579" s="69"/>
      <c r="G579" s="69"/>
      <c r="H579" s="69"/>
      <c r="I579" s="132"/>
      <c r="J579" s="132"/>
      <c r="K579" s="70"/>
      <c r="L579" s="48"/>
      <c r="M579" s="47">
        <f t="shared" si="10"/>
        <v>2024852</v>
      </c>
      <c r="N579" s="47">
        <v>10</v>
      </c>
    </row>
    <row r="580" spans="1:14" x14ac:dyDescent="0.3">
      <c r="A580" s="47">
        <v>2024853</v>
      </c>
      <c r="B580" s="126"/>
      <c r="C580" s="69"/>
      <c r="D580" s="69"/>
      <c r="E580" s="69"/>
      <c r="F580" s="69"/>
      <c r="G580" s="69"/>
      <c r="H580" s="69"/>
      <c r="I580" s="132"/>
      <c r="J580" s="132"/>
      <c r="K580" s="70"/>
      <c r="L580" s="48"/>
      <c r="M580" s="47">
        <f t="shared" si="10"/>
        <v>2024853</v>
      </c>
      <c r="N580" s="47">
        <v>10</v>
      </c>
    </row>
    <row r="581" spans="1:14" x14ac:dyDescent="0.3">
      <c r="A581" s="47">
        <v>2024854</v>
      </c>
      <c r="B581" s="126"/>
      <c r="C581" s="69"/>
      <c r="D581" s="69"/>
      <c r="E581" s="69"/>
      <c r="F581" s="69"/>
      <c r="G581" s="69"/>
      <c r="H581" s="69"/>
      <c r="I581" s="132"/>
      <c r="J581" s="132"/>
      <c r="K581" s="70"/>
      <c r="L581" s="48"/>
      <c r="M581" s="47">
        <f t="shared" si="10"/>
        <v>2024854</v>
      </c>
      <c r="N581" s="47">
        <v>10</v>
      </c>
    </row>
    <row r="582" spans="1:14" x14ac:dyDescent="0.3">
      <c r="A582" s="47">
        <v>2024855</v>
      </c>
      <c r="B582" s="126"/>
      <c r="C582" s="69"/>
      <c r="D582" s="69"/>
      <c r="E582" s="69"/>
      <c r="F582" s="69"/>
      <c r="G582" s="69"/>
      <c r="H582" s="69"/>
      <c r="I582" s="132"/>
      <c r="J582" s="132"/>
      <c r="K582" s="70"/>
      <c r="L582" s="48"/>
      <c r="M582" s="47">
        <f t="shared" si="10"/>
        <v>2024855</v>
      </c>
      <c r="N582" s="47">
        <v>10</v>
      </c>
    </row>
    <row r="583" spans="1:14" x14ac:dyDescent="0.3">
      <c r="A583" s="47">
        <v>2024856</v>
      </c>
      <c r="B583" s="126"/>
      <c r="C583" s="69"/>
      <c r="D583" s="69"/>
      <c r="E583" s="69"/>
      <c r="F583" s="69"/>
      <c r="G583" s="69"/>
      <c r="H583" s="69"/>
      <c r="I583" s="132"/>
      <c r="J583" s="132"/>
      <c r="K583" s="70"/>
      <c r="L583" s="48"/>
      <c r="M583" s="47">
        <f t="shared" si="10"/>
        <v>2024856</v>
      </c>
      <c r="N583" s="47">
        <v>10</v>
      </c>
    </row>
    <row r="584" spans="1:14" x14ac:dyDescent="0.3">
      <c r="A584" s="47">
        <v>2024857</v>
      </c>
      <c r="B584" s="126"/>
      <c r="C584" s="69"/>
      <c r="D584" s="69"/>
      <c r="E584" s="69"/>
      <c r="F584" s="69"/>
      <c r="G584" s="69"/>
      <c r="H584" s="69"/>
      <c r="I584" s="132"/>
      <c r="J584" s="132"/>
      <c r="K584" s="70"/>
      <c r="L584" s="48"/>
      <c r="M584" s="47">
        <f t="shared" si="10"/>
        <v>2024857</v>
      </c>
      <c r="N584" s="47">
        <v>10</v>
      </c>
    </row>
  </sheetData>
  <sortState xmlns:xlrd2="http://schemas.microsoft.com/office/spreadsheetml/2017/richdata2" ref="A3:N324">
    <sortCondition ref="C3:C324"/>
  </sortState>
  <phoneticPr fontId="19" type="noConversion"/>
  <pageMargins left="0.7" right="0.7" top="0.75" bottom="0.75" header="0.3" footer="0.3"/>
  <pageSetup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4250-326D-4C57-810D-77D0951922EE}">
  <sheetPr codeName="Hoja2"/>
  <dimension ref="A1:AGO1556"/>
  <sheetViews>
    <sheetView topLeftCell="E1" zoomScale="65" zoomScaleNormal="65" workbookViewId="0">
      <pane ySplit="2" topLeftCell="A1534" activePane="bottomLeft" state="frozen"/>
      <selection pane="bottomLeft" activeCell="P1556" sqref="P1556"/>
    </sheetView>
  </sheetViews>
  <sheetFormatPr baseColWidth="10" defaultColWidth="12" defaultRowHeight="15" x14ac:dyDescent="0.25"/>
  <cols>
    <col min="1" max="1" width="15.5546875" style="42" customWidth="1"/>
    <col min="2" max="2" width="13.6640625" style="42" customWidth="1"/>
    <col min="3" max="3" width="13.33203125" style="42" customWidth="1"/>
    <col min="4" max="5" width="56.33203125" style="42" customWidth="1"/>
    <col min="6" max="8" width="19" style="42" customWidth="1"/>
    <col min="9" max="9" width="56.33203125" style="42" customWidth="1"/>
    <col min="10" max="10" width="14.6640625" style="42" bestFit="1" customWidth="1"/>
    <col min="11" max="11" width="15.6640625" style="42" customWidth="1"/>
    <col min="12" max="12" width="5.6640625" style="42" customWidth="1"/>
    <col min="13" max="13" width="5.33203125" style="42" customWidth="1"/>
    <col min="14" max="14" width="9.5546875" style="42" bestFit="1" customWidth="1"/>
    <col min="15" max="16384" width="12" style="42"/>
  </cols>
  <sheetData>
    <row r="1" spans="1:873" s="74" customFormat="1" ht="40.200000000000003" customHeight="1" x14ac:dyDescent="0.3">
      <c r="A1" s="277" t="s">
        <v>428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</row>
    <row r="2" spans="1:873" s="74" customFormat="1" ht="51" customHeight="1" x14ac:dyDescent="0.3">
      <c r="A2" s="75" t="s">
        <v>29</v>
      </c>
      <c r="B2" s="75" t="s">
        <v>65</v>
      </c>
      <c r="C2" s="75" t="s">
        <v>665</v>
      </c>
      <c r="D2" s="75" t="s">
        <v>655</v>
      </c>
      <c r="E2" s="75" t="s">
        <v>429</v>
      </c>
      <c r="F2" s="76" t="s">
        <v>430</v>
      </c>
      <c r="G2" s="76" t="s">
        <v>451</v>
      </c>
      <c r="H2" s="75" t="s">
        <v>431</v>
      </c>
      <c r="I2" s="75" t="s">
        <v>319</v>
      </c>
      <c r="J2" s="75" t="s">
        <v>664</v>
      </c>
      <c r="K2" s="75" t="s">
        <v>836</v>
      </c>
    </row>
    <row r="3" spans="1:873" ht="15" customHeight="1" x14ac:dyDescent="0.3">
      <c r="A3" s="77"/>
      <c r="B3" s="78">
        <v>45292</v>
      </c>
      <c r="C3" s="79">
        <v>0</v>
      </c>
      <c r="D3" s="42" t="s">
        <v>656</v>
      </c>
      <c r="E3" s="42" t="s">
        <v>464</v>
      </c>
      <c r="F3" s="80">
        <v>0</v>
      </c>
      <c r="G3" s="80">
        <v>0</v>
      </c>
      <c r="H3" s="80">
        <v>0</v>
      </c>
      <c r="I3" s="42">
        <v>0</v>
      </c>
      <c r="J3" s="80">
        <f>IF(nombres[[#This Row],[DETALLE]]="","",nombres[[#This Row],[INGRESO TRANS.ó QR]]+nombres[[#This Row],[INGRESO EFECTIVO]])</f>
        <v>0</v>
      </c>
      <c r="K3" s="42">
        <v>0</v>
      </c>
    </row>
    <row r="4" spans="1:873" ht="17.399999999999999" x14ac:dyDescent="0.3">
      <c r="A4" s="81">
        <v>2024022</v>
      </c>
      <c r="B4" s="78">
        <v>45364</v>
      </c>
      <c r="C4" s="79">
        <v>663</v>
      </c>
      <c r="D4" s="42" t="s">
        <v>1300</v>
      </c>
      <c r="E4" s="42" t="s">
        <v>1707</v>
      </c>
      <c r="F4" s="80">
        <v>377</v>
      </c>
      <c r="G4" s="80">
        <v>0</v>
      </c>
      <c r="H4" s="80">
        <v>0</v>
      </c>
      <c r="I4" s="42" t="s">
        <v>2086</v>
      </c>
      <c r="J4" s="80">
        <v>377</v>
      </c>
      <c r="K4" s="42">
        <v>125</v>
      </c>
      <c r="L4" s="82"/>
    </row>
    <row r="5" spans="1:873" x14ac:dyDescent="0.25">
      <c r="A5" s="81">
        <v>2024022</v>
      </c>
      <c r="B5" s="78">
        <v>45364</v>
      </c>
      <c r="C5" s="79">
        <v>663</v>
      </c>
      <c r="D5" s="42" t="s">
        <v>1300</v>
      </c>
      <c r="E5" s="42" t="s">
        <v>433</v>
      </c>
      <c r="F5" s="80">
        <v>823</v>
      </c>
      <c r="G5" s="80">
        <v>0</v>
      </c>
      <c r="H5" s="80">
        <v>0</v>
      </c>
      <c r="I5" s="42" t="s">
        <v>2086</v>
      </c>
      <c r="J5" s="80">
        <v>823</v>
      </c>
      <c r="K5" s="42">
        <v>120</v>
      </c>
    </row>
    <row r="6" spans="1:873" ht="15.6" x14ac:dyDescent="0.25">
      <c r="A6" s="81">
        <v>2024051</v>
      </c>
      <c r="B6" s="78">
        <v>45364</v>
      </c>
      <c r="C6" s="79">
        <v>662</v>
      </c>
      <c r="D6" s="42" t="s">
        <v>1746</v>
      </c>
      <c r="E6" s="42" t="s">
        <v>1708</v>
      </c>
      <c r="F6" s="80">
        <v>0</v>
      </c>
      <c r="G6" s="80">
        <v>364</v>
      </c>
      <c r="H6" s="80">
        <v>0</v>
      </c>
      <c r="I6" s="42" t="s">
        <v>2086</v>
      </c>
      <c r="J6" s="80">
        <v>364</v>
      </c>
      <c r="K6" s="42" t="s">
        <v>244</v>
      </c>
      <c r="AGO6" s="74"/>
    </row>
    <row r="7" spans="1:873" x14ac:dyDescent="0.25">
      <c r="A7" s="81">
        <v>2024051</v>
      </c>
      <c r="B7" s="78">
        <v>45364</v>
      </c>
      <c r="C7" s="79">
        <v>662</v>
      </c>
      <c r="D7" s="42" t="s">
        <v>1746</v>
      </c>
      <c r="E7" s="42" t="s">
        <v>433</v>
      </c>
      <c r="F7" s="80">
        <v>0</v>
      </c>
      <c r="G7" s="80">
        <v>736</v>
      </c>
      <c r="H7" s="80">
        <v>0</v>
      </c>
      <c r="I7" s="42" t="s">
        <v>2086</v>
      </c>
      <c r="J7" s="80">
        <v>736</v>
      </c>
      <c r="K7" s="42" t="s">
        <v>244</v>
      </c>
    </row>
    <row r="8" spans="1:873" x14ac:dyDescent="0.25">
      <c r="A8" s="81">
        <v>2024280</v>
      </c>
      <c r="B8" s="78">
        <v>45364</v>
      </c>
      <c r="C8" s="79">
        <v>661</v>
      </c>
      <c r="D8" s="42" t="s">
        <v>2082</v>
      </c>
      <c r="E8" s="42" t="s">
        <v>2081</v>
      </c>
      <c r="F8" s="80">
        <v>-728</v>
      </c>
      <c r="G8" s="80">
        <v>0</v>
      </c>
      <c r="H8" s="80">
        <v>0</v>
      </c>
      <c r="I8" s="42" t="s">
        <v>2084</v>
      </c>
      <c r="J8" s="80">
        <v>-728</v>
      </c>
      <c r="K8" s="42">
        <v>0</v>
      </c>
    </row>
    <row r="9" spans="1:873" x14ac:dyDescent="0.25">
      <c r="A9" s="81">
        <v>2024244</v>
      </c>
      <c r="B9" s="78">
        <v>45364</v>
      </c>
      <c r="C9" s="79">
        <v>660</v>
      </c>
      <c r="D9" s="42" t="s">
        <v>2082</v>
      </c>
      <c r="E9" s="42" t="s">
        <v>2081</v>
      </c>
      <c r="F9" s="80">
        <v>-1300</v>
      </c>
      <c r="G9" s="80">
        <v>0</v>
      </c>
      <c r="H9" s="80">
        <v>0</v>
      </c>
      <c r="I9" s="42" t="s">
        <v>2083</v>
      </c>
      <c r="J9" s="80">
        <v>-1300</v>
      </c>
      <c r="K9" s="42">
        <v>0</v>
      </c>
    </row>
    <row r="10" spans="1:873" x14ac:dyDescent="0.25">
      <c r="A10" s="81">
        <v>2024163</v>
      </c>
      <c r="B10" s="78">
        <v>45364</v>
      </c>
      <c r="C10" s="79">
        <v>659</v>
      </c>
      <c r="D10" s="42" t="s">
        <v>351</v>
      </c>
      <c r="E10" s="42" t="s">
        <v>1707</v>
      </c>
      <c r="F10" s="80">
        <v>364</v>
      </c>
      <c r="G10" s="80">
        <v>0</v>
      </c>
      <c r="H10" s="80">
        <v>0</v>
      </c>
      <c r="I10" s="42" t="s">
        <v>2080</v>
      </c>
      <c r="J10" s="80">
        <v>364</v>
      </c>
      <c r="K10" s="42">
        <v>124</v>
      </c>
    </row>
    <row r="11" spans="1:873" x14ac:dyDescent="0.25">
      <c r="A11" s="81">
        <v>2024163</v>
      </c>
      <c r="B11" s="78">
        <v>45364</v>
      </c>
      <c r="C11" s="79">
        <v>658</v>
      </c>
      <c r="D11" s="42" t="s">
        <v>351</v>
      </c>
      <c r="E11" s="42" t="s">
        <v>433</v>
      </c>
      <c r="F11" s="80">
        <v>823</v>
      </c>
      <c r="G11" s="80">
        <v>0</v>
      </c>
      <c r="H11" s="80">
        <v>0</v>
      </c>
      <c r="I11" s="42" t="s">
        <v>2080</v>
      </c>
      <c r="J11" s="80">
        <v>823</v>
      </c>
      <c r="K11" s="42">
        <v>119</v>
      </c>
    </row>
    <row r="12" spans="1:873" x14ac:dyDescent="0.25">
      <c r="A12" s="81">
        <v>2024104</v>
      </c>
      <c r="B12" s="78">
        <v>45364</v>
      </c>
      <c r="C12" s="79">
        <v>657</v>
      </c>
      <c r="D12" s="42" t="s">
        <v>1319</v>
      </c>
      <c r="E12" s="42" t="s">
        <v>1708</v>
      </c>
      <c r="F12" s="80">
        <v>0</v>
      </c>
      <c r="G12" s="80">
        <v>377</v>
      </c>
      <c r="H12" s="80">
        <v>0</v>
      </c>
      <c r="I12" s="42" t="s">
        <v>1926</v>
      </c>
      <c r="J12" s="80">
        <v>377</v>
      </c>
      <c r="K12" s="42">
        <v>123</v>
      </c>
    </row>
    <row r="13" spans="1:873" x14ac:dyDescent="0.25">
      <c r="A13" s="81">
        <v>2024280</v>
      </c>
      <c r="B13" s="78">
        <v>45364</v>
      </c>
      <c r="C13" s="79">
        <v>656</v>
      </c>
      <c r="D13" s="42" t="s">
        <v>1319</v>
      </c>
      <c r="E13" s="42" t="s">
        <v>1731</v>
      </c>
      <c r="F13" s="80">
        <v>0</v>
      </c>
      <c r="G13" s="80">
        <v>728</v>
      </c>
      <c r="H13" s="80">
        <v>0</v>
      </c>
      <c r="I13" s="42" t="s">
        <v>1926</v>
      </c>
      <c r="J13" s="80">
        <v>728</v>
      </c>
      <c r="K13" s="42">
        <v>123</v>
      </c>
    </row>
    <row r="14" spans="1:873" x14ac:dyDescent="0.25">
      <c r="A14" s="81">
        <v>2024104</v>
      </c>
      <c r="B14" s="78">
        <v>45364</v>
      </c>
      <c r="C14" s="79">
        <v>655</v>
      </c>
      <c r="D14" s="42" t="s">
        <v>1319</v>
      </c>
      <c r="E14" s="42" t="s">
        <v>433</v>
      </c>
      <c r="F14" s="80">
        <v>0</v>
      </c>
      <c r="G14" s="80">
        <v>823</v>
      </c>
      <c r="H14" s="80">
        <v>0</v>
      </c>
      <c r="I14" s="42" t="s">
        <v>1926</v>
      </c>
      <c r="J14" s="80">
        <v>823</v>
      </c>
      <c r="K14" s="42">
        <v>118</v>
      </c>
    </row>
    <row r="15" spans="1:873" x14ac:dyDescent="0.25">
      <c r="A15" s="81">
        <v>2024091</v>
      </c>
      <c r="B15" s="78">
        <v>45364</v>
      </c>
      <c r="C15" s="79">
        <v>654</v>
      </c>
      <c r="D15" s="42" t="s">
        <v>2078</v>
      </c>
      <c r="E15" s="42" t="s">
        <v>433</v>
      </c>
      <c r="F15" s="80">
        <v>700</v>
      </c>
      <c r="G15" s="80">
        <v>0</v>
      </c>
      <c r="H15" s="80">
        <v>0</v>
      </c>
      <c r="I15" s="42" t="s">
        <v>2079</v>
      </c>
      <c r="J15" s="80">
        <v>700</v>
      </c>
      <c r="K15" s="42" t="s">
        <v>244</v>
      </c>
    </row>
    <row r="16" spans="1:873" x14ac:dyDescent="0.25">
      <c r="A16" s="81">
        <v>2024280</v>
      </c>
      <c r="B16" s="78">
        <v>45364</v>
      </c>
      <c r="C16" s="79">
        <v>653</v>
      </c>
      <c r="D16" s="42" t="s">
        <v>1354</v>
      </c>
      <c r="E16" s="42" t="s">
        <v>1730</v>
      </c>
      <c r="F16" s="80">
        <v>0</v>
      </c>
      <c r="G16" s="80">
        <v>728</v>
      </c>
      <c r="H16" s="80">
        <v>0</v>
      </c>
      <c r="I16" s="42" t="s">
        <v>2077</v>
      </c>
      <c r="J16" s="80">
        <v>728</v>
      </c>
      <c r="K16" s="42">
        <v>121</v>
      </c>
    </row>
    <row r="17" spans="1:11" x14ac:dyDescent="0.25">
      <c r="A17" s="81">
        <v>2024280</v>
      </c>
      <c r="B17" s="78">
        <v>45364</v>
      </c>
      <c r="C17" s="79">
        <v>652</v>
      </c>
      <c r="D17" s="42" t="s">
        <v>2076</v>
      </c>
      <c r="E17" s="42" t="s">
        <v>433</v>
      </c>
      <c r="F17" s="80">
        <v>0</v>
      </c>
      <c r="G17" s="80">
        <v>1646</v>
      </c>
      <c r="H17" s="80">
        <v>0</v>
      </c>
      <c r="I17" s="42" t="s">
        <v>1721</v>
      </c>
      <c r="J17" s="80">
        <v>1646</v>
      </c>
      <c r="K17" s="42">
        <v>116</v>
      </c>
    </row>
    <row r="18" spans="1:11" x14ac:dyDescent="0.25">
      <c r="A18" s="81">
        <v>2024037</v>
      </c>
      <c r="B18" s="78">
        <v>45364</v>
      </c>
      <c r="C18" s="79">
        <v>651</v>
      </c>
      <c r="D18" s="42" t="s">
        <v>2074</v>
      </c>
      <c r="E18" s="42">
        <v>0</v>
      </c>
      <c r="F18" s="80">
        <v>360</v>
      </c>
      <c r="G18" s="80">
        <v>0</v>
      </c>
      <c r="H18" s="80">
        <v>0</v>
      </c>
      <c r="I18" s="42" t="s">
        <v>2075</v>
      </c>
      <c r="J18" s="80">
        <v>360</v>
      </c>
      <c r="K18" s="42" t="s">
        <v>1736</v>
      </c>
    </row>
    <row r="19" spans="1:11" x14ac:dyDescent="0.25">
      <c r="A19" s="81">
        <v>2024037</v>
      </c>
      <c r="B19" s="78">
        <v>45364</v>
      </c>
      <c r="C19" s="79">
        <v>650</v>
      </c>
      <c r="D19" s="42" t="s">
        <v>2074</v>
      </c>
      <c r="E19" s="42" t="s">
        <v>1707</v>
      </c>
      <c r="F19" s="80">
        <v>364</v>
      </c>
      <c r="G19" s="80">
        <v>0</v>
      </c>
      <c r="H19" s="80">
        <v>0</v>
      </c>
      <c r="I19" s="42" t="s">
        <v>1926</v>
      </c>
      <c r="J19" s="80">
        <v>364</v>
      </c>
      <c r="K19" s="42" t="s">
        <v>244</v>
      </c>
    </row>
    <row r="20" spans="1:11" x14ac:dyDescent="0.25">
      <c r="A20" s="81">
        <v>2024037</v>
      </c>
      <c r="B20" s="78">
        <v>45364</v>
      </c>
      <c r="C20" s="79">
        <v>649</v>
      </c>
      <c r="D20" s="42" t="s">
        <v>2074</v>
      </c>
      <c r="E20" s="42" t="s">
        <v>433</v>
      </c>
      <c r="F20" s="80">
        <v>716</v>
      </c>
      <c r="G20" s="80">
        <v>0</v>
      </c>
      <c r="H20" s="80">
        <v>0</v>
      </c>
      <c r="I20" s="42" t="s">
        <v>1926</v>
      </c>
      <c r="J20" s="80">
        <v>716</v>
      </c>
      <c r="K20" s="42" t="s">
        <v>244</v>
      </c>
    </row>
    <row r="21" spans="1:11" x14ac:dyDescent="0.25">
      <c r="A21" s="81">
        <v>2024244</v>
      </c>
      <c r="B21" s="78">
        <v>45364</v>
      </c>
      <c r="C21" s="79">
        <v>648</v>
      </c>
      <c r="D21" s="42" t="s">
        <v>2072</v>
      </c>
      <c r="E21" s="42" t="s">
        <v>433</v>
      </c>
      <c r="F21" s="80">
        <v>690</v>
      </c>
      <c r="G21" s="80">
        <v>0</v>
      </c>
      <c r="H21" s="80">
        <v>0</v>
      </c>
      <c r="I21" s="42" t="s">
        <v>2073</v>
      </c>
      <c r="J21" s="80">
        <v>690</v>
      </c>
      <c r="K21" s="42">
        <v>0</v>
      </c>
    </row>
    <row r="22" spans="1:11" x14ac:dyDescent="0.25">
      <c r="A22" s="81">
        <v>2024244</v>
      </c>
      <c r="B22" s="78">
        <v>45364</v>
      </c>
      <c r="C22" s="79">
        <v>647</v>
      </c>
      <c r="D22" s="42" t="s">
        <v>2072</v>
      </c>
      <c r="E22" s="42" t="s">
        <v>1707</v>
      </c>
      <c r="F22" s="80">
        <v>610</v>
      </c>
      <c r="G22" s="80">
        <v>0</v>
      </c>
      <c r="H22" s="80">
        <v>0</v>
      </c>
      <c r="I22" s="42" t="s">
        <v>1721</v>
      </c>
      <c r="J22" s="80">
        <v>610</v>
      </c>
      <c r="K22" s="42" t="s">
        <v>244</v>
      </c>
    </row>
    <row r="23" spans="1:11" x14ac:dyDescent="0.25">
      <c r="A23" s="81">
        <v>2024244</v>
      </c>
      <c r="B23" s="78">
        <v>45364</v>
      </c>
      <c r="C23" s="79">
        <v>646</v>
      </c>
      <c r="D23" s="42" t="s">
        <v>2072</v>
      </c>
      <c r="E23" s="42" t="s">
        <v>433</v>
      </c>
      <c r="F23" s="80">
        <v>1300</v>
      </c>
      <c r="G23" s="80">
        <v>0</v>
      </c>
      <c r="H23" s="80">
        <v>0</v>
      </c>
      <c r="I23" s="42" t="s">
        <v>1721</v>
      </c>
      <c r="J23" s="80">
        <v>1300</v>
      </c>
      <c r="K23" s="42" t="s">
        <v>244</v>
      </c>
    </row>
    <row r="24" spans="1:11" x14ac:dyDescent="0.25">
      <c r="A24" s="81">
        <v>2024158</v>
      </c>
      <c r="B24" s="78">
        <v>45363</v>
      </c>
      <c r="C24" s="79">
        <v>645</v>
      </c>
      <c r="D24" s="42" t="s">
        <v>1321</v>
      </c>
      <c r="E24" s="42" t="s">
        <v>1707</v>
      </c>
      <c r="F24" s="80">
        <v>0</v>
      </c>
      <c r="G24" s="80">
        <v>610</v>
      </c>
      <c r="H24" s="80">
        <v>0</v>
      </c>
      <c r="I24" s="42" t="s">
        <v>2061</v>
      </c>
      <c r="J24" s="80">
        <v>610</v>
      </c>
      <c r="K24" s="42">
        <v>119</v>
      </c>
    </row>
    <row r="25" spans="1:11" x14ac:dyDescent="0.25">
      <c r="A25" s="81">
        <v>2024158</v>
      </c>
      <c r="B25" s="78">
        <v>45363</v>
      </c>
      <c r="C25" s="79">
        <v>645</v>
      </c>
      <c r="D25" s="42" t="s">
        <v>1321</v>
      </c>
      <c r="E25" s="42" t="s">
        <v>433</v>
      </c>
      <c r="F25" s="80">
        <v>0</v>
      </c>
      <c r="G25" s="80">
        <v>823</v>
      </c>
      <c r="H25" s="80">
        <v>0</v>
      </c>
      <c r="I25" s="42" t="s">
        <v>2061</v>
      </c>
      <c r="J25" s="80">
        <v>823</v>
      </c>
      <c r="K25" s="42">
        <v>114</v>
      </c>
    </row>
    <row r="26" spans="1:11" x14ac:dyDescent="0.25">
      <c r="A26" s="81">
        <v>2024147</v>
      </c>
      <c r="B26" s="78">
        <v>45363</v>
      </c>
      <c r="C26" s="79">
        <v>644</v>
      </c>
      <c r="D26" s="42" t="s">
        <v>1330</v>
      </c>
      <c r="E26" s="42" t="s">
        <v>1706</v>
      </c>
      <c r="F26" s="80">
        <v>0</v>
      </c>
      <c r="G26" s="80">
        <v>1187</v>
      </c>
      <c r="H26" s="80">
        <v>0</v>
      </c>
      <c r="I26" s="42" t="s">
        <v>2068</v>
      </c>
      <c r="J26" s="80">
        <v>1187</v>
      </c>
      <c r="K26" s="42" t="s">
        <v>1736</v>
      </c>
    </row>
    <row r="27" spans="1:11" x14ac:dyDescent="0.25">
      <c r="A27" s="81">
        <v>2024147</v>
      </c>
      <c r="B27" s="78">
        <v>45363</v>
      </c>
      <c r="C27" s="79">
        <v>643</v>
      </c>
      <c r="D27" s="42" t="s">
        <v>1330</v>
      </c>
      <c r="E27" s="42" t="s">
        <v>1708</v>
      </c>
      <c r="F27" s="80">
        <v>0</v>
      </c>
      <c r="G27" s="80">
        <v>-5600</v>
      </c>
      <c r="H27" s="80">
        <v>0</v>
      </c>
      <c r="I27" s="42" t="s">
        <v>2067</v>
      </c>
      <c r="J27" s="80">
        <v>-5600</v>
      </c>
      <c r="K27" s="42" t="s">
        <v>1736</v>
      </c>
    </row>
    <row r="28" spans="1:11" x14ac:dyDescent="0.25">
      <c r="A28" s="81">
        <v>2024123</v>
      </c>
      <c r="B28" s="78">
        <v>45363</v>
      </c>
      <c r="C28" s="79">
        <v>642</v>
      </c>
      <c r="D28" s="42" t="s">
        <v>2066</v>
      </c>
      <c r="E28" s="42" t="s">
        <v>1707</v>
      </c>
      <c r="F28" s="80">
        <v>610</v>
      </c>
      <c r="G28" s="80">
        <v>0</v>
      </c>
      <c r="H28" s="80">
        <v>0</v>
      </c>
      <c r="I28" s="42" t="s">
        <v>1721</v>
      </c>
      <c r="J28" s="80">
        <v>610</v>
      </c>
      <c r="K28" s="42">
        <v>120</v>
      </c>
    </row>
    <row r="29" spans="1:11" x14ac:dyDescent="0.25">
      <c r="A29" s="81">
        <v>2024123</v>
      </c>
      <c r="B29" s="78">
        <v>45363</v>
      </c>
      <c r="C29" s="79">
        <v>641</v>
      </c>
      <c r="D29" s="42" t="s">
        <v>2066</v>
      </c>
      <c r="E29" s="42" t="s">
        <v>433</v>
      </c>
      <c r="F29" s="80">
        <v>823</v>
      </c>
      <c r="G29" s="80">
        <v>0</v>
      </c>
      <c r="H29" s="80">
        <v>0</v>
      </c>
      <c r="I29" s="42" t="s">
        <v>1721</v>
      </c>
      <c r="J29" s="80">
        <v>823</v>
      </c>
      <c r="K29" s="42">
        <v>115</v>
      </c>
    </row>
    <row r="30" spans="1:11" x14ac:dyDescent="0.25">
      <c r="A30" s="81">
        <v>2024182</v>
      </c>
      <c r="B30" s="78">
        <v>45363</v>
      </c>
      <c r="C30" s="79">
        <v>640</v>
      </c>
      <c r="D30" s="42" t="s">
        <v>2064</v>
      </c>
      <c r="E30" s="42" t="s">
        <v>433</v>
      </c>
      <c r="F30" s="80">
        <v>0</v>
      </c>
      <c r="G30" s="80">
        <v>2924</v>
      </c>
      <c r="H30" s="80">
        <v>0</v>
      </c>
      <c r="I30" s="42" t="s">
        <v>2065</v>
      </c>
      <c r="J30" s="80">
        <v>2924</v>
      </c>
      <c r="K30" s="42" t="s">
        <v>244</v>
      </c>
    </row>
    <row r="31" spans="1:11" x14ac:dyDescent="0.25">
      <c r="A31" s="81">
        <v>2024182</v>
      </c>
      <c r="B31" s="78">
        <v>45363</v>
      </c>
      <c r="C31" s="79">
        <v>640</v>
      </c>
      <c r="D31" s="42" t="s">
        <v>2064</v>
      </c>
      <c r="E31" s="42" t="s">
        <v>1731</v>
      </c>
      <c r="F31" s="80">
        <v>0</v>
      </c>
      <c r="G31" s="80">
        <v>2676</v>
      </c>
      <c r="H31" s="80">
        <v>0</v>
      </c>
      <c r="I31" s="42" t="s">
        <v>2065</v>
      </c>
      <c r="J31" s="80">
        <v>2676</v>
      </c>
      <c r="K31" s="42" t="s">
        <v>244</v>
      </c>
    </row>
    <row r="32" spans="1:11" x14ac:dyDescent="0.25">
      <c r="A32" s="81">
        <v>2024147</v>
      </c>
      <c r="B32" s="78">
        <v>45363</v>
      </c>
      <c r="C32" s="79">
        <v>639</v>
      </c>
      <c r="D32" s="42" t="s">
        <v>2064</v>
      </c>
      <c r="E32" s="42" t="s">
        <v>433</v>
      </c>
      <c r="F32" s="80">
        <v>0</v>
      </c>
      <c r="G32" s="80">
        <v>5600</v>
      </c>
      <c r="H32" s="80">
        <v>0</v>
      </c>
      <c r="I32" s="42" t="s">
        <v>2065</v>
      </c>
      <c r="J32" s="80">
        <v>5600</v>
      </c>
      <c r="K32" s="42" t="s">
        <v>244</v>
      </c>
    </row>
    <row r="33" spans="1:11" x14ac:dyDescent="0.25">
      <c r="A33" s="81">
        <v>2024182</v>
      </c>
      <c r="B33" s="78">
        <v>45363</v>
      </c>
      <c r="C33" s="79">
        <v>639</v>
      </c>
      <c r="D33" s="42">
        <v>0</v>
      </c>
      <c r="E33" s="42" t="s">
        <v>1730</v>
      </c>
      <c r="F33" s="80">
        <v>0</v>
      </c>
      <c r="G33" s="80">
        <v>2800</v>
      </c>
      <c r="H33" s="80">
        <v>0</v>
      </c>
      <c r="I33" s="42">
        <v>0</v>
      </c>
      <c r="J33" s="80">
        <v>2800</v>
      </c>
      <c r="K33" s="42" t="s">
        <v>1736</v>
      </c>
    </row>
    <row r="34" spans="1:11" x14ac:dyDescent="0.25">
      <c r="A34" s="81">
        <v>2024113</v>
      </c>
      <c r="B34" s="78">
        <v>45363</v>
      </c>
      <c r="C34" s="79">
        <v>638</v>
      </c>
      <c r="D34" s="42" t="s">
        <v>1803</v>
      </c>
      <c r="E34" s="42" t="s">
        <v>1707</v>
      </c>
      <c r="F34" s="80">
        <v>0</v>
      </c>
      <c r="G34" s="80">
        <v>974</v>
      </c>
      <c r="H34" s="80">
        <v>0</v>
      </c>
      <c r="I34" s="42" t="s">
        <v>1721</v>
      </c>
      <c r="J34" s="80">
        <v>974</v>
      </c>
      <c r="K34" s="42" t="s">
        <v>244</v>
      </c>
    </row>
    <row r="35" spans="1:11" x14ac:dyDescent="0.25">
      <c r="A35" s="81">
        <v>2024113</v>
      </c>
      <c r="B35" s="78">
        <v>45363</v>
      </c>
      <c r="C35" s="79">
        <v>637</v>
      </c>
      <c r="D35" s="42" t="s">
        <v>1803</v>
      </c>
      <c r="E35" s="42" t="s">
        <v>433</v>
      </c>
      <c r="F35" s="80">
        <v>0</v>
      </c>
      <c r="G35" s="80">
        <v>1426</v>
      </c>
      <c r="H35" s="80">
        <v>0</v>
      </c>
      <c r="I35" s="42" t="s">
        <v>2063</v>
      </c>
      <c r="J35" s="80">
        <v>1426</v>
      </c>
      <c r="K35" s="42" t="s">
        <v>244</v>
      </c>
    </row>
    <row r="36" spans="1:11" x14ac:dyDescent="0.25">
      <c r="A36" s="81">
        <v>2024035</v>
      </c>
      <c r="B36" s="78">
        <v>45363</v>
      </c>
      <c r="C36" s="79">
        <v>636</v>
      </c>
      <c r="D36" s="42" t="s">
        <v>1738</v>
      </c>
      <c r="E36" s="42" t="s">
        <v>1708</v>
      </c>
      <c r="F36" s="80">
        <v>0</v>
      </c>
      <c r="G36" s="80">
        <v>829</v>
      </c>
      <c r="H36" s="80">
        <v>0</v>
      </c>
      <c r="I36" s="42" t="s">
        <v>2062</v>
      </c>
      <c r="J36" s="80">
        <v>829</v>
      </c>
      <c r="K36" s="42">
        <v>117</v>
      </c>
    </row>
    <row r="37" spans="1:11" x14ac:dyDescent="0.25">
      <c r="A37" s="81">
        <v>2024170</v>
      </c>
      <c r="B37" s="78">
        <v>45363</v>
      </c>
      <c r="C37" s="79">
        <v>635</v>
      </c>
      <c r="D37" s="42" t="s">
        <v>2059</v>
      </c>
      <c r="E37" s="42" t="s">
        <v>1708</v>
      </c>
      <c r="F37" s="80">
        <v>728</v>
      </c>
      <c r="G37" s="80">
        <v>0</v>
      </c>
      <c r="H37" s="80">
        <v>0</v>
      </c>
      <c r="I37" s="42" t="s">
        <v>2061</v>
      </c>
      <c r="J37" s="80">
        <v>728</v>
      </c>
      <c r="K37" s="42" t="s">
        <v>244</v>
      </c>
    </row>
    <row r="38" spans="1:11" x14ac:dyDescent="0.25">
      <c r="A38" s="81">
        <v>2024170</v>
      </c>
      <c r="B38" s="78">
        <v>45363</v>
      </c>
      <c r="C38" s="79">
        <v>635</v>
      </c>
      <c r="D38" s="42" t="s">
        <v>2059</v>
      </c>
      <c r="E38" s="42" t="s">
        <v>433</v>
      </c>
      <c r="F38" s="80">
        <v>1432</v>
      </c>
      <c r="G38" s="80">
        <v>0</v>
      </c>
      <c r="H38" s="80">
        <v>0</v>
      </c>
      <c r="I38" s="42" t="s">
        <v>2060</v>
      </c>
      <c r="J38" s="80">
        <v>1432</v>
      </c>
      <c r="K38" s="42" t="s">
        <v>244</v>
      </c>
    </row>
    <row r="39" spans="1:11" x14ac:dyDescent="0.25">
      <c r="A39" s="81">
        <v>2024035</v>
      </c>
      <c r="B39" s="78">
        <v>45363</v>
      </c>
      <c r="C39" s="79">
        <v>634</v>
      </c>
      <c r="D39" s="42" t="s">
        <v>1738</v>
      </c>
      <c r="E39" s="42" t="s">
        <v>433</v>
      </c>
      <c r="F39" s="80">
        <v>0</v>
      </c>
      <c r="G39" s="80">
        <v>1646</v>
      </c>
      <c r="H39" s="80">
        <v>0</v>
      </c>
      <c r="I39" s="42" t="s">
        <v>2058</v>
      </c>
      <c r="J39" s="80">
        <v>1646</v>
      </c>
      <c r="K39" s="42">
        <v>112</v>
      </c>
    </row>
    <row r="40" spans="1:11" x14ac:dyDescent="0.25">
      <c r="A40" s="81">
        <v>2024035</v>
      </c>
      <c r="B40" s="78">
        <v>45363</v>
      </c>
      <c r="C40" s="79">
        <v>633</v>
      </c>
      <c r="D40" s="42" t="s">
        <v>1738</v>
      </c>
      <c r="E40" s="42" t="s">
        <v>1708</v>
      </c>
      <c r="F40" s="80">
        <v>0</v>
      </c>
      <c r="G40" s="80">
        <v>377</v>
      </c>
      <c r="H40" s="80">
        <v>0</v>
      </c>
      <c r="I40" s="42" t="s">
        <v>2057</v>
      </c>
      <c r="J40" s="80">
        <v>377</v>
      </c>
      <c r="K40" s="42">
        <v>111</v>
      </c>
    </row>
    <row r="41" spans="1:11" x14ac:dyDescent="0.25">
      <c r="A41" s="81">
        <v>2024035</v>
      </c>
      <c r="B41" s="78">
        <v>45363</v>
      </c>
      <c r="C41" s="79">
        <v>632</v>
      </c>
      <c r="D41" s="42" t="s">
        <v>1738</v>
      </c>
      <c r="E41" s="42" t="s">
        <v>433</v>
      </c>
      <c r="F41" s="80">
        <v>0</v>
      </c>
      <c r="G41" s="80">
        <v>823</v>
      </c>
      <c r="H41" s="80">
        <v>0</v>
      </c>
      <c r="I41" s="42" t="s">
        <v>2057</v>
      </c>
      <c r="J41" s="80">
        <v>823</v>
      </c>
      <c r="K41" s="42">
        <v>106</v>
      </c>
    </row>
    <row r="42" spans="1:11" x14ac:dyDescent="0.25">
      <c r="A42" s="81">
        <v>2024035</v>
      </c>
      <c r="B42" s="78">
        <v>45363</v>
      </c>
      <c r="C42" s="79">
        <v>631</v>
      </c>
      <c r="D42" s="42" t="s">
        <v>1738</v>
      </c>
      <c r="E42" s="42" t="s">
        <v>1708</v>
      </c>
      <c r="F42" s="80">
        <v>0</v>
      </c>
      <c r="G42" s="80">
        <v>1530</v>
      </c>
      <c r="H42" s="80">
        <v>0</v>
      </c>
      <c r="I42" s="42" t="s">
        <v>2056</v>
      </c>
      <c r="J42" s="80">
        <v>1530</v>
      </c>
      <c r="K42" s="42" t="s">
        <v>1736</v>
      </c>
    </row>
    <row r="43" spans="1:11" x14ac:dyDescent="0.25">
      <c r="A43" s="81">
        <v>2024146</v>
      </c>
      <c r="B43" s="78">
        <v>45363</v>
      </c>
      <c r="C43" s="79">
        <v>630</v>
      </c>
      <c r="D43" s="42" t="s">
        <v>1864</v>
      </c>
      <c r="E43" s="42" t="s">
        <v>1707</v>
      </c>
      <c r="F43" s="80">
        <v>0</v>
      </c>
      <c r="G43" s="80">
        <v>364</v>
      </c>
      <c r="H43" s="80">
        <v>0</v>
      </c>
      <c r="I43" s="42" t="s">
        <v>1926</v>
      </c>
      <c r="J43" s="80">
        <v>364</v>
      </c>
      <c r="K43" s="42" t="s">
        <v>244</v>
      </c>
    </row>
    <row r="44" spans="1:11" x14ac:dyDescent="0.25">
      <c r="A44" s="81">
        <v>2024146</v>
      </c>
      <c r="B44" s="78">
        <v>45363</v>
      </c>
      <c r="C44" s="79">
        <v>629</v>
      </c>
      <c r="D44" s="42" t="s">
        <v>1864</v>
      </c>
      <c r="E44" s="42" t="s">
        <v>433</v>
      </c>
      <c r="F44" s="80">
        <v>0</v>
      </c>
      <c r="G44" s="80">
        <v>736</v>
      </c>
      <c r="H44" s="80">
        <v>0</v>
      </c>
      <c r="I44" s="42" t="s">
        <v>1926</v>
      </c>
      <c r="J44" s="80">
        <v>736</v>
      </c>
      <c r="K44" s="42" t="s">
        <v>244</v>
      </c>
    </row>
    <row r="45" spans="1:11" x14ac:dyDescent="0.25">
      <c r="A45" s="81">
        <v>2024128</v>
      </c>
      <c r="B45" s="78">
        <v>45363</v>
      </c>
      <c r="C45" s="79">
        <v>629</v>
      </c>
      <c r="D45" s="42" t="s">
        <v>2052</v>
      </c>
      <c r="E45" s="42" t="s">
        <v>1707</v>
      </c>
      <c r="F45" s="80">
        <v>610</v>
      </c>
      <c r="G45" s="80">
        <v>0</v>
      </c>
      <c r="H45" s="80">
        <v>0</v>
      </c>
      <c r="I45" s="42" t="s">
        <v>1926</v>
      </c>
      <c r="J45" s="80">
        <v>610</v>
      </c>
      <c r="K45" s="42" t="s">
        <v>244</v>
      </c>
    </row>
    <row r="46" spans="1:11" x14ac:dyDescent="0.25">
      <c r="A46" s="81">
        <v>2024128</v>
      </c>
      <c r="B46" s="78">
        <v>45363</v>
      </c>
      <c r="C46" s="79">
        <v>628</v>
      </c>
      <c r="D46" s="42" t="s">
        <v>2052</v>
      </c>
      <c r="E46" s="42" t="s">
        <v>433</v>
      </c>
      <c r="F46" s="80">
        <v>740</v>
      </c>
      <c r="G46" s="80">
        <v>0</v>
      </c>
      <c r="H46" s="80">
        <v>0</v>
      </c>
      <c r="I46" s="42" t="s">
        <v>1926</v>
      </c>
      <c r="J46" s="80">
        <v>740</v>
      </c>
      <c r="K46" s="42" t="s">
        <v>244</v>
      </c>
    </row>
    <row r="47" spans="1:11" x14ac:dyDescent="0.25">
      <c r="A47" s="81">
        <v>2024277</v>
      </c>
      <c r="B47" s="78">
        <v>45363</v>
      </c>
      <c r="C47" s="79">
        <v>627</v>
      </c>
      <c r="D47" s="42" t="s">
        <v>2050</v>
      </c>
      <c r="E47" s="42" t="s">
        <v>433</v>
      </c>
      <c r="F47" s="80">
        <v>1000</v>
      </c>
      <c r="G47" s="80">
        <v>0</v>
      </c>
      <c r="H47" s="80">
        <v>0</v>
      </c>
      <c r="I47" s="42" t="s">
        <v>2051</v>
      </c>
      <c r="J47" s="80">
        <v>1000</v>
      </c>
      <c r="K47" s="42" t="s">
        <v>244</v>
      </c>
    </row>
    <row r="48" spans="1:11" x14ac:dyDescent="0.25">
      <c r="A48" s="81">
        <v>2024193</v>
      </c>
      <c r="B48" s="78">
        <v>45363</v>
      </c>
      <c r="C48" s="79">
        <v>627</v>
      </c>
      <c r="D48" s="42" t="s">
        <v>2049</v>
      </c>
      <c r="E48" s="42" t="s">
        <v>1707</v>
      </c>
      <c r="F48" s="80">
        <v>0</v>
      </c>
      <c r="G48" s="80">
        <v>610</v>
      </c>
      <c r="H48" s="80">
        <v>0</v>
      </c>
      <c r="I48" s="42" t="s">
        <v>1721</v>
      </c>
      <c r="J48" s="80">
        <v>610</v>
      </c>
      <c r="K48" s="42">
        <v>116</v>
      </c>
    </row>
    <row r="49" spans="1:11" x14ac:dyDescent="0.25">
      <c r="A49" s="81">
        <v>2024193</v>
      </c>
      <c r="B49" s="78">
        <v>45363</v>
      </c>
      <c r="C49" s="79">
        <v>626</v>
      </c>
      <c r="D49" s="42" t="s">
        <v>2049</v>
      </c>
      <c r="E49" s="42" t="s">
        <v>433</v>
      </c>
      <c r="F49" s="80">
        <v>0</v>
      </c>
      <c r="G49" s="80">
        <v>823</v>
      </c>
      <c r="H49" s="80">
        <v>0</v>
      </c>
      <c r="I49" s="42" t="s">
        <v>1721</v>
      </c>
      <c r="J49" s="80">
        <v>823</v>
      </c>
      <c r="K49" s="42">
        <v>111</v>
      </c>
    </row>
    <row r="50" spans="1:11" x14ac:dyDescent="0.25">
      <c r="A50" s="81">
        <v>2024193</v>
      </c>
      <c r="B50" s="78">
        <v>45363</v>
      </c>
      <c r="C50" s="79">
        <v>625</v>
      </c>
      <c r="D50" s="42" t="s">
        <v>2047</v>
      </c>
      <c r="E50" s="42" t="s">
        <v>1705</v>
      </c>
      <c r="F50" s="80">
        <v>0</v>
      </c>
      <c r="G50" s="80">
        <v>1433</v>
      </c>
      <c r="H50" s="80">
        <v>0</v>
      </c>
      <c r="I50" s="42" t="s">
        <v>2048</v>
      </c>
      <c r="J50" s="80">
        <v>1433</v>
      </c>
      <c r="K50" s="42" t="s">
        <v>1736</v>
      </c>
    </row>
    <row r="51" spans="1:11" x14ac:dyDescent="0.25">
      <c r="A51" s="81">
        <v>2024286</v>
      </c>
      <c r="B51" s="78">
        <v>45363</v>
      </c>
      <c r="C51" s="79">
        <v>624</v>
      </c>
      <c r="D51" s="42" t="s">
        <v>2046</v>
      </c>
      <c r="E51" s="42" t="s">
        <v>1707</v>
      </c>
      <c r="F51" s="80">
        <v>0</v>
      </c>
      <c r="G51" s="80">
        <v>364</v>
      </c>
      <c r="H51" s="80">
        <v>0</v>
      </c>
      <c r="I51" s="42">
        <v>0</v>
      </c>
      <c r="J51" s="80">
        <v>364</v>
      </c>
      <c r="K51" s="42">
        <v>115</v>
      </c>
    </row>
    <row r="52" spans="1:11" x14ac:dyDescent="0.25">
      <c r="A52" s="81">
        <v>2024286</v>
      </c>
      <c r="B52" s="78">
        <v>45363</v>
      </c>
      <c r="C52" s="79">
        <v>623</v>
      </c>
      <c r="D52" s="42" t="s">
        <v>2046</v>
      </c>
      <c r="E52" s="42" t="s">
        <v>433</v>
      </c>
      <c r="F52" s="80">
        <v>0</v>
      </c>
      <c r="G52" s="80">
        <v>823</v>
      </c>
      <c r="H52" s="80">
        <v>0</v>
      </c>
      <c r="I52" s="42" t="s">
        <v>1926</v>
      </c>
      <c r="J52" s="80">
        <v>823</v>
      </c>
      <c r="K52" s="42">
        <v>110</v>
      </c>
    </row>
    <row r="53" spans="1:11" x14ac:dyDescent="0.25">
      <c r="A53" s="81">
        <v>2024284</v>
      </c>
      <c r="B53" s="78">
        <v>45363</v>
      </c>
      <c r="C53" s="79">
        <v>622</v>
      </c>
      <c r="D53" s="42" t="s">
        <v>2045</v>
      </c>
      <c r="E53" s="42" t="s">
        <v>1707</v>
      </c>
      <c r="F53" s="80">
        <v>364</v>
      </c>
      <c r="G53" s="80">
        <v>0</v>
      </c>
      <c r="H53" s="80">
        <v>0</v>
      </c>
      <c r="I53" s="42" t="s">
        <v>1926</v>
      </c>
      <c r="J53" s="80">
        <v>364</v>
      </c>
      <c r="K53" s="42">
        <v>114</v>
      </c>
    </row>
    <row r="54" spans="1:11" x14ac:dyDescent="0.25">
      <c r="A54" s="81">
        <v>2024284</v>
      </c>
      <c r="B54" s="78">
        <v>45363</v>
      </c>
      <c r="C54" s="79">
        <v>621</v>
      </c>
      <c r="D54" s="42" t="s">
        <v>2045</v>
      </c>
      <c r="E54" s="42" t="s">
        <v>433</v>
      </c>
      <c r="F54" s="80">
        <v>823</v>
      </c>
      <c r="G54" s="80">
        <v>0</v>
      </c>
      <c r="H54" s="80">
        <v>0</v>
      </c>
      <c r="I54" s="42" t="s">
        <v>1926</v>
      </c>
      <c r="J54" s="80">
        <v>823</v>
      </c>
      <c r="K54" s="42">
        <v>109</v>
      </c>
    </row>
    <row r="55" spans="1:11" x14ac:dyDescent="0.25">
      <c r="A55" s="81">
        <v>2024214</v>
      </c>
      <c r="B55" s="78">
        <v>45362</v>
      </c>
      <c r="C55" s="79">
        <v>620</v>
      </c>
      <c r="D55" s="42" t="s">
        <v>2044</v>
      </c>
      <c r="E55" s="42" t="s">
        <v>1707</v>
      </c>
      <c r="F55" s="80">
        <v>610</v>
      </c>
      <c r="G55" s="80">
        <v>0</v>
      </c>
      <c r="H55" s="80">
        <v>0</v>
      </c>
      <c r="I55" s="42" t="s">
        <v>1926</v>
      </c>
      <c r="J55" s="80">
        <v>610</v>
      </c>
      <c r="K55" s="42">
        <v>0</v>
      </c>
    </row>
    <row r="56" spans="1:11" x14ac:dyDescent="0.25">
      <c r="A56" s="81">
        <v>2024214</v>
      </c>
      <c r="B56" s="78">
        <v>45362</v>
      </c>
      <c r="C56" s="79">
        <v>619</v>
      </c>
      <c r="D56" s="42" t="s">
        <v>2044</v>
      </c>
      <c r="E56" s="42" t="s">
        <v>433</v>
      </c>
      <c r="F56" s="80">
        <v>823</v>
      </c>
      <c r="G56" s="80">
        <v>0</v>
      </c>
      <c r="H56" s="80">
        <v>0</v>
      </c>
      <c r="I56" s="42" t="s">
        <v>1926</v>
      </c>
      <c r="J56" s="80">
        <v>823</v>
      </c>
      <c r="K56" s="42">
        <v>0</v>
      </c>
    </row>
    <row r="57" spans="1:11" x14ac:dyDescent="0.25">
      <c r="A57" s="81">
        <v>2024205</v>
      </c>
      <c r="B57" s="78">
        <v>45362</v>
      </c>
      <c r="C57" s="79">
        <v>618</v>
      </c>
      <c r="D57" s="42" t="s">
        <v>2043</v>
      </c>
      <c r="E57" s="42" t="s">
        <v>1708</v>
      </c>
      <c r="F57" s="80">
        <v>0</v>
      </c>
      <c r="G57" s="80">
        <v>377</v>
      </c>
      <c r="H57" s="80">
        <v>0</v>
      </c>
      <c r="I57" s="42" t="s">
        <v>1721</v>
      </c>
      <c r="J57" s="80">
        <v>377</v>
      </c>
      <c r="K57" s="42">
        <v>0</v>
      </c>
    </row>
    <row r="58" spans="1:11" x14ac:dyDescent="0.25">
      <c r="A58" s="81">
        <v>2024205</v>
      </c>
      <c r="B58" s="78">
        <v>45362</v>
      </c>
      <c r="C58" s="79">
        <v>617</v>
      </c>
      <c r="D58" s="42" t="s">
        <v>2043</v>
      </c>
      <c r="E58" s="42" t="s">
        <v>433</v>
      </c>
      <c r="F58" s="80">
        <v>0</v>
      </c>
      <c r="G58" s="80">
        <v>823</v>
      </c>
      <c r="H58" s="80">
        <v>0</v>
      </c>
      <c r="I58" s="42" t="s">
        <v>1721</v>
      </c>
      <c r="J58" s="80">
        <v>823</v>
      </c>
      <c r="K58" s="42">
        <v>0</v>
      </c>
    </row>
    <row r="59" spans="1:11" x14ac:dyDescent="0.25">
      <c r="A59" s="81">
        <v>2024021</v>
      </c>
      <c r="B59" s="78">
        <v>45362</v>
      </c>
      <c r="C59" s="79">
        <v>616</v>
      </c>
      <c r="D59" s="42" t="s">
        <v>1680</v>
      </c>
      <c r="E59" s="42" t="s">
        <v>1708</v>
      </c>
      <c r="F59" s="80">
        <v>364</v>
      </c>
      <c r="G59" s="80">
        <v>0</v>
      </c>
      <c r="H59" s="80">
        <v>0</v>
      </c>
      <c r="I59" s="42" t="s">
        <v>1926</v>
      </c>
      <c r="J59" s="80">
        <v>364</v>
      </c>
      <c r="K59" s="42">
        <v>0</v>
      </c>
    </row>
    <row r="60" spans="1:11" x14ac:dyDescent="0.25">
      <c r="A60" s="81">
        <v>2024021</v>
      </c>
      <c r="B60" s="78">
        <v>45362</v>
      </c>
      <c r="C60" s="79">
        <v>615</v>
      </c>
      <c r="D60" s="42" t="s">
        <v>1680</v>
      </c>
      <c r="E60" s="42" t="s">
        <v>433</v>
      </c>
      <c r="F60" s="80">
        <v>823</v>
      </c>
      <c r="G60" s="80">
        <v>0</v>
      </c>
      <c r="H60" s="80">
        <v>0</v>
      </c>
      <c r="I60" s="42" t="s">
        <v>1926</v>
      </c>
      <c r="J60" s="80">
        <v>823</v>
      </c>
      <c r="K60" s="42">
        <v>0</v>
      </c>
    </row>
    <row r="61" spans="1:11" x14ac:dyDescent="0.25">
      <c r="A61" s="81">
        <v>2024269</v>
      </c>
      <c r="B61" s="78">
        <v>45362</v>
      </c>
      <c r="C61" s="79">
        <v>614</v>
      </c>
      <c r="D61" s="42" t="s">
        <v>2041</v>
      </c>
      <c r="E61" s="42" t="s">
        <v>433</v>
      </c>
      <c r="F61" s="80">
        <v>1000</v>
      </c>
      <c r="G61" s="80">
        <v>0</v>
      </c>
      <c r="H61" s="80">
        <v>0</v>
      </c>
      <c r="I61" s="42" t="s">
        <v>2042</v>
      </c>
      <c r="J61" s="80">
        <v>1000</v>
      </c>
      <c r="K61" s="42" t="s">
        <v>244</v>
      </c>
    </row>
    <row r="62" spans="1:11" x14ac:dyDescent="0.25">
      <c r="A62" s="81">
        <v>2024254</v>
      </c>
      <c r="B62" s="78">
        <v>45361</v>
      </c>
      <c r="C62" s="79">
        <v>613</v>
      </c>
      <c r="D62" s="42" t="s">
        <v>2040</v>
      </c>
      <c r="E62" s="42" t="s">
        <v>1705</v>
      </c>
      <c r="F62" s="80">
        <v>1433</v>
      </c>
      <c r="G62" s="80">
        <v>0</v>
      </c>
      <c r="H62" s="80">
        <v>0</v>
      </c>
      <c r="I62" s="42">
        <v>0</v>
      </c>
      <c r="J62" s="80">
        <v>1433</v>
      </c>
      <c r="K62" s="42" t="s">
        <v>1736</v>
      </c>
    </row>
    <row r="63" spans="1:11" x14ac:dyDescent="0.25">
      <c r="A63" s="81">
        <v>2024239</v>
      </c>
      <c r="B63" s="78">
        <v>45361</v>
      </c>
      <c r="C63" s="79">
        <v>612</v>
      </c>
      <c r="D63" s="42" t="s">
        <v>2038</v>
      </c>
      <c r="E63" s="42" t="s">
        <v>1705</v>
      </c>
      <c r="F63" s="80">
        <v>1433</v>
      </c>
      <c r="G63" s="80">
        <v>0</v>
      </c>
      <c r="H63" s="80">
        <v>0</v>
      </c>
      <c r="I63" s="42">
        <v>0</v>
      </c>
      <c r="J63" s="80">
        <v>1433</v>
      </c>
      <c r="K63" s="42" t="s">
        <v>1736</v>
      </c>
    </row>
    <row r="64" spans="1:11" x14ac:dyDescent="0.25">
      <c r="A64" s="81">
        <v>2024242</v>
      </c>
      <c r="B64" s="78">
        <v>45361</v>
      </c>
      <c r="C64" s="79">
        <v>611</v>
      </c>
      <c r="D64" s="42" t="s">
        <v>2037</v>
      </c>
      <c r="E64" s="42" t="s">
        <v>1706</v>
      </c>
      <c r="F64" s="80">
        <v>1187</v>
      </c>
      <c r="G64" s="80">
        <v>0</v>
      </c>
      <c r="H64" s="80">
        <v>0</v>
      </c>
      <c r="I64" s="42">
        <v>0</v>
      </c>
      <c r="J64" s="80">
        <v>1187</v>
      </c>
      <c r="K64" s="42" t="s">
        <v>1736</v>
      </c>
    </row>
    <row r="65" spans="1:11" x14ac:dyDescent="0.25">
      <c r="A65" s="81">
        <v>2024251</v>
      </c>
      <c r="B65" s="78">
        <v>45361</v>
      </c>
      <c r="C65" s="79">
        <v>610</v>
      </c>
      <c r="D65" s="42" t="s">
        <v>2036</v>
      </c>
      <c r="E65" s="42" t="s">
        <v>1705</v>
      </c>
      <c r="F65" s="80">
        <v>1350</v>
      </c>
      <c r="G65" s="80">
        <v>0</v>
      </c>
      <c r="H65" s="80">
        <v>0</v>
      </c>
      <c r="I65" s="42">
        <v>0</v>
      </c>
      <c r="J65" s="80">
        <v>1350</v>
      </c>
      <c r="K65" s="42" t="s">
        <v>1736</v>
      </c>
    </row>
    <row r="66" spans="1:11" x14ac:dyDescent="0.25">
      <c r="A66" s="81">
        <v>2024243</v>
      </c>
      <c r="B66" s="78">
        <v>45361</v>
      </c>
      <c r="C66" s="79">
        <v>609</v>
      </c>
      <c r="D66" s="42" t="s">
        <v>2035</v>
      </c>
      <c r="E66" s="42" t="s">
        <v>1707</v>
      </c>
      <c r="F66" s="80">
        <v>364</v>
      </c>
      <c r="G66" s="80">
        <v>0</v>
      </c>
      <c r="H66" s="80">
        <v>0</v>
      </c>
      <c r="I66" s="42" t="s">
        <v>1727</v>
      </c>
      <c r="J66" s="80">
        <v>364</v>
      </c>
      <c r="K66" s="42" t="s">
        <v>244</v>
      </c>
    </row>
    <row r="67" spans="1:11" x14ac:dyDescent="0.25">
      <c r="A67" s="81">
        <v>2024243</v>
      </c>
      <c r="B67" s="78">
        <v>45361</v>
      </c>
      <c r="C67" s="79">
        <v>608</v>
      </c>
      <c r="D67" s="42" t="s">
        <v>2035</v>
      </c>
      <c r="E67" s="42" t="s">
        <v>433</v>
      </c>
      <c r="F67" s="80">
        <v>716</v>
      </c>
      <c r="G67" s="80">
        <v>0</v>
      </c>
      <c r="H67" s="80">
        <v>0</v>
      </c>
      <c r="I67" s="42" t="s">
        <v>1727</v>
      </c>
      <c r="J67" s="80">
        <v>716</v>
      </c>
      <c r="K67" s="42" t="s">
        <v>244</v>
      </c>
    </row>
    <row r="68" spans="1:11" x14ac:dyDescent="0.25">
      <c r="A68" s="81">
        <v>2024243</v>
      </c>
      <c r="B68" s="78">
        <v>45361</v>
      </c>
      <c r="C68" s="79">
        <v>607</v>
      </c>
      <c r="D68" s="42" t="s">
        <v>2035</v>
      </c>
      <c r="E68" s="42" t="s">
        <v>1705</v>
      </c>
      <c r="F68" s="80">
        <v>1080</v>
      </c>
      <c r="G68" s="80">
        <v>0</v>
      </c>
      <c r="H68" s="80">
        <v>0</v>
      </c>
      <c r="I68" s="42">
        <v>0</v>
      </c>
      <c r="J68" s="80">
        <v>1080</v>
      </c>
      <c r="K68" s="42" t="s">
        <v>1736</v>
      </c>
    </row>
    <row r="69" spans="1:11" x14ac:dyDescent="0.25">
      <c r="A69" s="81">
        <v>2024246</v>
      </c>
      <c r="B69" s="78">
        <v>45361</v>
      </c>
      <c r="C69" s="79">
        <v>606</v>
      </c>
      <c r="D69" s="42" t="s">
        <v>2034</v>
      </c>
      <c r="E69" s="42" t="s">
        <v>1705</v>
      </c>
      <c r="F69" s="80">
        <v>1000</v>
      </c>
      <c r="G69" s="80">
        <v>1620</v>
      </c>
      <c r="H69" s="80">
        <v>0</v>
      </c>
      <c r="I69" s="42">
        <v>0</v>
      </c>
      <c r="J69" s="80">
        <v>2620</v>
      </c>
      <c r="K69" s="42" t="s">
        <v>1736</v>
      </c>
    </row>
    <row r="70" spans="1:11" x14ac:dyDescent="0.25">
      <c r="A70" s="81">
        <v>2024264</v>
      </c>
      <c r="B70" s="78">
        <v>45361</v>
      </c>
      <c r="C70" s="79">
        <v>605</v>
      </c>
      <c r="D70" s="42" t="s">
        <v>2033</v>
      </c>
      <c r="E70" s="42" t="s">
        <v>1707</v>
      </c>
      <c r="F70" s="80">
        <v>0</v>
      </c>
      <c r="G70" s="80">
        <v>627</v>
      </c>
      <c r="H70" s="80">
        <v>0</v>
      </c>
      <c r="I70" s="42" t="s">
        <v>1727</v>
      </c>
      <c r="J70" s="80">
        <v>627</v>
      </c>
      <c r="K70" s="42">
        <v>0</v>
      </c>
    </row>
    <row r="71" spans="1:11" x14ac:dyDescent="0.25">
      <c r="A71" s="81">
        <v>2024264</v>
      </c>
      <c r="B71" s="78">
        <v>45361</v>
      </c>
      <c r="C71" s="79">
        <v>604</v>
      </c>
      <c r="D71" s="42" t="s">
        <v>2033</v>
      </c>
      <c r="E71" s="42" t="s">
        <v>433</v>
      </c>
      <c r="F71" s="80">
        <v>0</v>
      </c>
      <c r="G71" s="80">
        <v>823</v>
      </c>
      <c r="H71" s="80">
        <v>0</v>
      </c>
      <c r="I71" s="42" t="s">
        <v>1727</v>
      </c>
      <c r="J71" s="80">
        <v>823</v>
      </c>
      <c r="K71" s="42">
        <v>0</v>
      </c>
    </row>
    <row r="72" spans="1:11" x14ac:dyDescent="0.25">
      <c r="A72" s="81">
        <v>2024264</v>
      </c>
      <c r="B72" s="78">
        <v>45361</v>
      </c>
      <c r="C72" s="79">
        <v>603</v>
      </c>
      <c r="D72" s="42" t="s">
        <v>2033</v>
      </c>
      <c r="E72" s="42" t="s">
        <v>1705</v>
      </c>
      <c r="F72" s="80">
        <v>0</v>
      </c>
      <c r="G72" s="80">
        <v>1450</v>
      </c>
      <c r="H72" s="80">
        <v>0</v>
      </c>
      <c r="I72" s="42">
        <v>0</v>
      </c>
      <c r="J72" s="80">
        <v>1450</v>
      </c>
      <c r="K72" s="42" t="s">
        <v>1736</v>
      </c>
    </row>
    <row r="73" spans="1:11" x14ac:dyDescent="0.25">
      <c r="A73" s="81">
        <v>2024247</v>
      </c>
      <c r="B73" s="78">
        <v>45361</v>
      </c>
      <c r="C73" s="79">
        <v>602</v>
      </c>
      <c r="D73" s="42" t="s">
        <v>2032</v>
      </c>
      <c r="E73" s="42" t="s">
        <v>1705</v>
      </c>
      <c r="F73" s="80">
        <v>0</v>
      </c>
      <c r="G73" s="80">
        <v>1350</v>
      </c>
      <c r="H73" s="80">
        <v>0</v>
      </c>
      <c r="I73" s="42">
        <v>0</v>
      </c>
      <c r="J73" s="80">
        <v>1350</v>
      </c>
      <c r="K73" s="42" t="s">
        <v>1736</v>
      </c>
    </row>
    <row r="74" spans="1:11" x14ac:dyDescent="0.25">
      <c r="A74" s="81">
        <v>2024265</v>
      </c>
      <c r="B74" s="78">
        <v>45361</v>
      </c>
      <c r="C74" s="79">
        <v>601</v>
      </c>
      <c r="D74" s="42" t="s">
        <v>2031</v>
      </c>
      <c r="E74" s="42" t="s">
        <v>1707</v>
      </c>
      <c r="F74" s="80">
        <v>0</v>
      </c>
      <c r="G74" s="80">
        <v>6100</v>
      </c>
      <c r="H74" s="80">
        <v>0</v>
      </c>
      <c r="I74" s="42" t="s">
        <v>1753</v>
      </c>
      <c r="J74" s="80">
        <v>6100</v>
      </c>
      <c r="K74" s="42" t="s">
        <v>244</v>
      </c>
    </row>
    <row r="75" spans="1:11" x14ac:dyDescent="0.25">
      <c r="A75" s="81">
        <v>2024265</v>
      </c>
      <c r="B75" s="78">
        <v>45361</v>
      </c>
      <c r="C75" s="79">
        <v>600</v>
      </c>
      <c r="D75" s="42" t="s">
        <v>2030</v>
      </c>
      <c r="E75" s="42" t="s">
        <v>433</v>
      </c>
      <c r="F75" s="80">
        <v>0</v>
      </c>
      <c r="G75" s="80">
        <v>4900</v>
      </c>
      <c r="H75" s="80">
        <v>0</v>
      </c>
      <c r="I75" s="42" t="s">
        <v>1753</v>
      </c>
      <c r="J75" s="80">
        <v>4900</v>
      </c>
      <c r="K75" s="42" t="s">
        <v>244</v>
      </c>
    </row>
    <row r="76" spans="1:11" x14ac:dyDescent="0.25">
      <c r="A76" s="81">
        <v>2024265</v>
      </c>
      <c r="B76" s="78">
        <v>45361</v>
      </c>
      <c r="C76" s="79">
        <v>599</v>
      </c>
      <c r="D76" s="42" t="s">
        <v>2030</v>
      </c>
      <c r="E76" s="42" t="s">
        <v>1705</v>
      </c>
      <c r="F76" s="80">
        <v>0</v>
      </c>
      <c r="G76" s="80">
        <v>1250</v>
      </c>
      <c r="H76" s="80">
        <v>0</v>
      </c>
      <c r="I76" s="42">
        <v>0</v>
      </c>
      <c r="J76" s="80">
        <v>1250</v>
      </c>
      <c r="K76" s="42" t="s">
        <v>1736</v>
      </c>
    </row>
    <row r="77" spans="1:11" x14ac:dyDescent="0.25">
      <c r="A77" s="81">
        <v>2024258</v>
      </c>
      <c r="B77" s="78">
        <v>45361</v>
      </c>
      <c r="C77" s="79">
        <v>598</v>
      </c>
      <c r="D77" s="42" t="s">
        <v>2029</v>
      </c>
      <c r="E77" s="42" t="s">
        <v>1707</v>
      </c>
      <c r="F77" s="80">
        <v>0</v>
      </c>
      <c r="G77" s="80">
        <v>974</v>
      </c>
      <c r="H77" s="80">
        <v>0</v>
      </c>
      <c r="I77" s="42" t="s">
        <v>1727</v>
      </c>
      <c r="J77" s="80">
        <v>974</v>
      </c>
      <c r="K77" s="42">
        <v>188</v>
      </c>
    </row>
    <row r="78" spans="1:11" x14ac:dyDescent="0.25">
      <c r="A78" s="81">
        <v>2024258</v>
      </c>
      <c r="B78" s="78">
        <v>45361</v>
      </c>
      <c r="C78" s="79">
        <v>597</v>
      </c>
      <c r="D78" s="42" t="s">
        <v>2029</v>
      </c>
      <c r="E78" s="42" t="s">
        <v>433</v>
      </c>
      <c r="F78" s="80">
        <v>0</v>
      </c>
      <c r="G78" s="80">
        <v>1646</v>
      </c>
      <c r="H78" s="80">
        <v>0</v>
      </c>
      <c r="I78" s="42" t="s">
        <v>1727</v>
      </c>
      <c r="J78" s="80">
        <v>1646</v>
      </c>
      <c r="K78" s="42">
        <v>186</v>
      </c>
    </row>
    <row r="79" spans="1:11" x14ac:dyDescent="0.25">
      <c r="A79" s="81">
        <v>2024263</v>
      </c>
      <c r="B79" s="78">
        <v>45361</v>
      </c>
      <c r="C79" s="79">
        <v>596</v>
      </c>
      <c r="D79" s="42" t="s">
        <v>2028</v>
      </c>
      <c r="E79" s="42" t="s">
        <v>1706</v>
      </c>
      <c r="F79" s="80">
        <v>0</v>
      </c>
      <c r="G79" s="80">
        <v>1200</v>
      </c>
      <c r="H79" s="80">
        <v>0</v>
      </c>
      <c r="I79" s="42">
        <v>0</v>
      </c>
      <c r="J79" s="80">
        <v>1200</v>
      </c>
      <c r="K79" s="42" t="s">
        <v>1736</v>
      </c>
    </row>
    <row r="80" spans="1:11" x14ac:dyDescent="0.25">
      <c r="A80" s="81">
        <v>2024261</v>
      </c>
      <c r="B80" s="78">
        <v>45361</v>
      </c>
      <c r="C80" s="79">
        <v>595</v>
      </c>
      <c r="D80" s="42" t="s">
        <v>2027</v>
      </c>
      <c r="E80" s="42" t="s">
        <v>1708</v>
      </c>
      <c r="F80" s="80">
        <v>0</v>
      </c>
      <c r="G80" s="80">
        <v>364</v>
      </c>
      <c r="H80" s="80">
        <v>0</v>
      </c>
      <c r="I80" s="42" t="s">
        <v>1840</v>
      </c>
      <c r="J80" s="80">
        <v>364</v>
      </c>
      <c r="K80" s="42" t="s">
        <v>244</v>
      </c>
    </row>
    <row r="81" spans="1:11" x14ac:dyDescent="0.25">
      <c r="A81" s="81">
        <v>2024261</v>
      </c>
      <c r="B81" s="78">
        <v>45361</v>
      </c>
      <c r="C81" s="79">
        <v>594</v>
      </c>
      <c r="D81" s="42" t="s">
        <v>2027</v>
      </c>
      <c r="E81" s="42" t="s">
        <v>433</v>
      </c>
      <c r="F81" s="80">
        <v>0</v>
      </c>
      <c r="G81" s="80">
        <v>716</v>
      </c>
      <c r="H81" s="80">
        <v>0</v>
      </c>
      <c r="I81" s="42" t="s">
        <v>1840</v>
      </c>
      <c r="J81" s="80">
        <v>716</v>
      </c>
      <c r="K81" s="42" t="s">
        <v>244</v>
      </c>
    </row>
    <row r="82" spans="1:11" x14ac:dyDescent="0.25">
      <c r="A82" s="81">
        <v>2024261</v>
      </c>
      <c r="B82" s="78">
        <v>45361</v>
      </c>
      <c r="C82" s="79">
        <v>593</v>
      </c>
      <c r="D82" s="42" t="s">
        <v>2027</v>
      </c>
      <c r="E82" s="42" t="s">
        <v>1708</v>
      </c>
      <c r="F82" s="80">
        <v>0</v>
      </c>
      <c r="G82" s="80">
        <v>364</v>
      </c>
      <c r="H82" s="80">
        <v>0</v>
      </c>
      <c r="I82" s="42" t="s">
        <v>1748</v>
      </c>
      <c r="J82" s="80">
        <v>364</v>
      </c>
      <c r="K82" s="42" t="s">
        <v>244</v>
      </c>
    </row>
    <row r="83" spans="1:11" x14ac:dyDescent="0.25">
      <c r="A83" s="81">
        <v>2024261</v>
      </c>
      <c r="B83" s="78">
        <v>45361</v>
      </c>
      <c r="C83" s="79">
        <v>592</v>
      </c>
      <c r="D83" s="42" t="s">
        <v>2027</v>
      </c>
      <c r="E83" s="42" t="s">
        <v>433</v>
      </c>
      <c r="F83" s="80">
        <v>0</v>
      </c>
      <c r="G83" s="80">
        <v>716</v>
      </c>
      <c r="H83" s="80">
        <v>0</v>
      </c>
      <c r="I83" s="42" t="s">
        <v>1748</v>
      </c>
      <c r="J83" s="80">
        <v>716</v>
      </c>
      <c r="K83" s="42" t="s">
        <v>244</v>
      </c>
    </row>
    <row r="84" spans="1:11" x14ac:dyDescent="0.25">
      <c r="A84" s="81">
        <v>2024261</v>
      </c>
      <c r="B84" s="78">
        <v>45361</v>
      </c>
      <c r="C84" s="79">
        <v>591</v>
      </c>
      <c r="D84" s="42" t="s">
        <v>2027</v>
      </c>
      <c r="E84" s="42" t="s">
        <v>1708</v>
      </c>
      <c r="F84" s="80">
        <v>0</v>
      </c>
      <c r="G84" s="80">
        <v>364</v>
      </c>
      <c r="H84" s="80">
        <v>0</v>
      </c>
      <c r="I84" s="42" t="s">
        <v>1727</v>
      </c>
      <c r="J84" s="80">
        <v>364</v>
      </c>
      <c r="K84" s="42" t="s">
        <v>244</v>
      </c>
    </row>
    <row r="85" spans="1:11" x14ac:dyDescent="0.25">
      <c r="A85" s="81">
        <v>2024261</v>
      </c>
      <c r="B85" s="78">
        <v>45361</v>
      </c>
      <c r="C85" s="79">
        <v>590</v>
      </c>
      <c r="D85" s="42" t="s">
        <v>2027</v>
      </c>
      <c r="E85" s="42" t="s">
        <v>433</v>
      </c>
      <c r="F85" s="80">
        <v>0</v>
      </c>
      <c r="G85" s="80">
        <v>716</v>
      </c>
      <c r="H85" s="80">
        <v>0</v>
      </c>
      <c r="I85" s="42" t="s">
        <v>1727</v>
      </c>
      <c r="J85" s="80">
        <v>716</v>
      </c>
      <c r="K85" s="42" t="s">
        <v>244</v>
      </c>
    </row>
    <row r="86" spans="1:11" x14ac:dyDescent="0.25">
      <c r="A86" s="81">
        <v>2024261</v>
      </c>
      <c r="B86" s="78">
        <v>45361</v>
      </c>
      <c r="C86" s="79">
        <v>589</v>
      </c>
      <c r="D86" s="42" t="s">
        <v>2027</v>
      </c>
      <c r="E86" s="42" t="s">
        <v>1706</v>
      </c>
      <c r="F86" s="80">
        <v>0</v>
      </c>
      <c r="G86" s="80">
        <v>1080</v>
      </c>
      <c r="H86" s="80">
        <v>0</v>
      </c>
      <c r="I86" s="42">
        <v>0</v>
      </c>
      <c r="J86" s="80">
        <v>1080</v>
      </c>
      <c r="K86" s="42" t="s">
        <v>1736</v>
      </c>
    </row>
    <row r="87" spans="1:11" x14ac:dyDescent="0.25">
      <c r="A87" s="81">
        <v>2024253</v>
      </c>
      <c r="B87" s="78">
        <v>45361</v>
      </c>
      <c r="C87" s="79">
        <v>588</v>
      </c>
      <c r="D87" s="42" t="s">
        <v>2026</v>
      </c>
      <c r="E87" s="42" t="s">
        <v>1707</v>
      </c>
      <c r="F87" s="80">
        <v>1220</v>
      </c>
      <c r="G87" s="80">
        <v>0</v>
      </c>
      <c r="H87" s="80">
        <v>0</v>
      </c>
      <c r="I87" s="42" t="s">
        <v>1748</v>
      </c>
      <c r="J87" s="80">
        <v>1220</v>
      </c>
      <c r="K87" s="42" t="s">
        <v>244</v>
      </c>
    </row>
    <row r="88" spans="1:11" x14ac:dyDescent="0.25">
      <c r="A88" s="81">
        <v>2024253</v>
      </c>
      <c r="B88" s="78">
        <v>45361</v>
      </c>
      <c r="C88" s="79">
        <v>587</v>
      </c>
      <c r="D88" s="42" t="s">
        <v>2026</v>
      </c>
      <c r="E88" s="42" t="s">
        <v>433</v>
      </c>
      <c r="F88" s="80">
        <v>1400</v>
      </c>
      <c r="G88" s="80">
        <v>0</v>
      </c>
      <c r="H88" s="80">
        <v>0</v>
      </c>
      <c r="I88" s="42" t="s">
        <v>1748</v>
      </c>
      <c r="J88" s="80">
        <v>1400</v>
      </c>
      <c r="K88" s="42" t="s">
        <v>244</v>
      </c>
    </row>
    <row r="89" spans="1:11" x14ac:dyDescent="0.25">
      <c r="A89" s="81">
        <v>2024253</v>
      </c>
      <c r="B89" s="78">
        <v>45361</v>
      </c>
      <c r="C89" s="79">
        <v>586</v>
      </c>
      <c r="D89" s="42" t="s">
        <v>2026</v>
      </c>
      <c r="E89" s="42" t="s">
        <v>1707</v>
      </c>
      <c r="F89" s="80">
        <v>1220</v>
      </c>
      <c r="G89" s="80">
        <v>0</v>
      </c>
      <c r="H89" s="80">
        <v>0</v>
      </c>
      <c r="I89" s="42" t="s">
        <v>1727</v>
      </c>
      <c r="J89" s="80">
        <v>1220</v>
      </c>
      <c r="K89" s="42" t="s">
        <v>244</v>
      </c>
    </row>
    <row r="90" spans="1:11" x14ac:dyDescent="0.25">
      <c r="A90" s="81">
        <v>2024253</v>
      </c>
      <c r="B90" s="78">
        <v>45361</v>
      </c>
      <c r="C90" s="79">
        <v>585</v>
      </c>
      <c r="D90" s="42" t="s">
        <v>2026</v>
      </c>
      <c r="E90" s="42" t="s">
        <v>433</v>
      </c>
      <c r="F90" s="80">
        <v>1400</v>
      </c>
      <c r="G90" s="80">
        <v>0</v>
      </c>
      <c r="H90" s="80">
        <v>0</v>
      </c>
      <c r="I90" s="42" t="s">
        <v>1727</v>
      </c>
      <c r="J90" s="80">
        <v>1400</v>
      </c>
      <c r="K90" s="42" t="s">
        <v>244</v>
      </c>
    </row>
    <row r="91" spans="1:11" x14ac:dyDescent="0.25">
      <c r="A91" s="81">
        <v>2024253</v>
      </c>
      <c r="B91" s="78">
        <v>45361</v>
      </c>
      <c r="C91" s="79">
        <v>584</v>
      </c>
      <c r="D91" s="42" t="s">
        <v>2026</v>
      </c>
      <c r="E91" s="42" t="s">
        <v>1705</v>
      </c>
      <c r="F91" s="80">
        <v>2620</v>
      </c>
      <c r="G91" s="80">
        <v>0</v>
      </c>
      <c r="H91" s="80">
        <v>0</v>
      </c>
      <c r="I91" s="42">
        <v>0</v>
      </c>
      <c r="J91" s="80">
        <v>2620</v>
      </c>
      <c r="K91" s="42" t="s">
        <v>1736</v>
      </c>
    </row>
    <row r="92" spans="1:11" x14ac:dyDescent="0.25">
      <c r="A92" s="81">
        <v>2024257</v>
      </c>
      <c r="B92" s="78">
        <v>45361</v>
      </c>
      <c r="C92" s="79">
        <v>583</v>
      </c>
      <c r="D92" s="42" t="s">
        <v>2025</v>
      </c>
      <c r="E92" s="42" t="s">
        <v>1705</v>
      </c>
      <c r="F92" s="80">
        <v>2650</v>
      </c>
      <c r="G92" s="80">
        <v>0</v>
      </c>
      <c r="H92" s="80">
        <v>0</v>
      </c>
      <c r="I92" s="42">
        <v>0</v>
      </c>
      <c r="J92" s="80">
        <v>2650</v>
      </c>
      <c r="K92" s="42" t="s">
        <v>1736</v>
      </c>
    </row>
    <row r="93" spans="1:11" x14ac:dyDescent="0.25">
      <c r="A93" s="81">
        <v>2024267</v>
      </c>
      <c r="B93" s="78">
        <v>45361</v>
      </c>
      <c r="C93" s="79">
        <v>582</v>
      </c>
      <c r="D93" s="42" t="s">
        <v>2023</v>
      </c>
      <c r="E93" s="42" t="s">
        <v>1708</v>
      </c>
      <c r="F93" s="80">
        <v>0</v>
      </c>
      <c r="G93" s="80">
        <v>377</v>
      </c>
      <c r="H93" s="80">
        <v>0</v>
      </c>
      <c r="I93" s="42" t="s">
        <v>1727</v>
      </c>
      <c r="J93" s="80">
        <v>377</v>
      </c>
      <c r="K93" s="42">
        <v>0</v>
      </c>
    </row>
    <row r="94" spans="1:11" x14ac:dyDescent="0.25">
      <c r="A94" s="81">
        <v>2024267</v>
      </c>
      <c r="B94" s="78">
        <v>45361</v>
      </c>
      <c r="C94" s="79">
        <v>581</v>
      </c>
      <c r="D94" s="42" t="s">
        <v>2023</v>
      </c>
      <c r="E94" s="42" t="s">
        <v>433</v>
      </c>
      <c r="F94" s="80">
        <v>0</v>
      </c>
      <c r="G94" s="80">
        <v>823</v>
      </c>
      <c r="H94" s="80">
        <v>0</v>
      </c>
      <c r="I94" s="42" t="s">
        <v>1727</v>
      </c>
      <c r="J94" s="80">
        <v>823</v>
      </c>
      <c r="K94" s="42">
        <v>0</v>
      </c>
    </row>
    <row r="95" spans="1:11" x14ac:dyDescent="0.25">
      <c r="A95" s="81">
        <v>2024267</v>
      </c>
      <c r="B95" s="78">
        <v>45361</v>
      </c>
      <c r="C95" s="79">
        <v>580</v>
      </c>
      <c r="D95" s="42" t="s">
        <v>2023</v>
      </c>
      <c r="E95" s="42" t="s">
        <v>1706</v>
      </c>
      <c r="F95" s="80">
        <v>0</v>
      </c>
      <c r="G95" s="80">
        <v>1200</v>
      </c>
      <c r="H95" s="80">
        <v>0</v>
      </c>
      <c r="I95" s="42">
        <v>0</v>
      </c>
      <c r="J95" s="80">
        <v>1200</v>
      </c>
      <c r="K95" s="42" t="s">
        <v>1736</v>
      </c>
    </row>
    <row r="96" spans="1:11" x14ac:dyDescent="0.25">
      <c r="A96" s="81">
        <v>2024236</v>
      </c>
      <c r="B96" s="78">
        <v>45361</v>
      </c>
      <c r="C96" s="79">
        <v>579</v>
      </c>
      <c r="D96" s="42" t="s">
        <v>2022</v>
      </c>
      <c r="E96" s="42" t="s">
        <v>1707</v>
      </c>
      <c r="F96" s="80">
        <v>974</v>
      </c>
      <c r="G96" s="80">
        <v>0</v>
      </c>
      <c r="H96" s="80">
        <v>0</v>
      </c>
      <c r="I96" s="42" t="s">
        <v>1748</v>
      </c>
      <c r="J96" s="80">
        <v>974</v>
      </c>
      <c r="K96" s="42" t="s">
        <v>244</v>
      </c>
    </row>
    <row r="97" spans="1:11" x14ac:dyDescent="0.25">
      <c r="A97" s="81">
        <v>2024236</v>
      </c>
      <c r="B97" s="78">
        <v>45361</v>
      </c>
      <c r="C97" s="79">
        <v>578</v>
      </c>
      <c r="D97" s="42" t="s">
        <v>2022</v>
      </c>
      <c r="E97" s="42" t="s">
        <v>433</v>
      </c>
      <c r="F97" s="80">
        <v>1406</v>
      </c>
      <c r="G97" s="80">
        <v>0</v>
      </c>
      <c r="H97" s="80">
        <v>0</v>
      </c>
      <c r="I97" s="42" t="s">
        <v>1748</v>
      </c>
      <c r="J97" s="80">
        <v>1406</v>
      </c>
      <c r="K97" s="42" t="s">
        <v>244</v>
      </c>
    </row>
    <row r="98" spans="1:11" x14ac:dyDescent="0.25">
      <c r="A98" s="81">
        <v>2024236</v>
      </c>
      <c r="B98" s="78">
        <v>45361</v>
      </c>
      <c r="C98" s="79">
        <v>577</v>
      </c>
      <c r="D98" s="42" t="s">
        <v>2022</v>
      </c>
      <c r="E98" s="42" t="s">
        <v>1707</v>
      </c>
      <c r="F98" s="80">
        <v>974</v>
      </c>
      <c r="G98" s="80">
        <v>0</v>
      </c>
      <c r="H98" s="80">
        <v>0</v>
      </c>
      <c r="I98" s="42" t="s">
        <v>1727</v>
      </c>
      <c r="J98" s="80">
        <v>974</v>
      </c>
      <c r="K98" s="42" t="s">
        <v>244</v>
      </c>
    </row>
    <row r="99" spans="1:11" x14ac:dyDescent="0.25">
      <c r="A99" s="81">
        <v>2024236</v>
      </c>
      <c r="B99" s="78">
        <v>45361</v>
      </c>
      <c r="C99" s="79">
        <v>576</v>
      </c>
      <c r="D99" s="42" t="s">
        <v>2022</v>
      </c>
      <c r="E99" s="42" t="s">
        <v>433</v>
      </c>
      <c r="F99" s="80">
        <v>1406</v>
      </c>
      <c r="G99" s="80">
        <v>0</v>
      </c>
      <c r="H99" s="80">
        <v>0</v>
      </c>
      <c r="I99" s="42" t="s">
        <v>1727</v>
      </c>
      <c r="J99" s="80">
        <v>1406</v>
      </c>
      <c r="K99" s="42" t="s">
        <v>244</v>
      </c>
    </row>
    <row r="100" spans="1:11" x14ac:dyDescent="0.25">
      <c r="A100" s="81">
        <v>2024236</v>
      </c>
      <c r="B100" s="78">
        <v>45361</v>
      </c>
      <c r="C100" s="79">
        <v>575</v>
      </c>
      <c r="D100" s="42" t="s">
        <v>2022</v>
      </c>
      <c r="E100" s="42" t="s">
        <v>1706</v>
      </c>
      <c r="F100" s="80">
        <v>2380</v>
      </c>
      <c r="G100" s="80">
        <v>0</v>
      </c>
      <c r="H100" s="80">
        <v>0</v>
      </c>
      <c r="I100" s="42">
        <v>0</v>
      </c>
      <c r="J100" s="80">
        <v>2380</v>
      </c>
      <c r="K100" s="42" t="s">
        <v>1736</v>
      </c>
    </row>
    <row r="101" spans="1:11" x14ac:dyDescent="0.25">
      <c r="A101" s="81">
        <v>2024252</v>
      </c>
      <c r="B101" s="78">
        <v>45361</v>
      </c>
      <c r="C101" s="79">
        <v>574</v>
      </c>
      <c r="D101" s="42" t="s">
        <v>2021</v>
      </c>
      <c r="E101" s="42" t="s">
        <v>1708</v>
      </c>
      <c r="F101" s="80">
        <v>0</v>
      </c>
      <c r="G101" s="80">
        <v>364</v>
      </c>
      <c r="H101" s="80">
        <v>0</v>
      </c>
      <c r="I101" s="42" t="s">
        <v>1727</v>
      </c>
      <c r="J101" s="80">
        <v>364</v>
      </c>
      <c r="K101" s="42">
        <v>26</v>
      </c>
    </row>
    <row r="102" spans="1:11" x14ac:dyDescent="0.25">
      <c r="A102" s="81">
        <v>2024252</v>
      </c>
      <c r="B102" s="78">
        <v>45361</v>
      </c>
      <c r="C102" s="79">
        <v>573</v>
      </c>
      <c r="D102" s="42" t="s">
        <v>2021</v>
      </c>
      <c r="E102" s="42" t="s">
        <v>433</v>
      </c>
      <c r="F102" s="80">
        <v>0</v>
      </c>
      <c r="G102" s="80">
        <v>823</v>
      </c>
      <c r="H102" s="80">
        <v>0</v>
      </c>
      <c r="I102" s="42" t="s">
        <v>1727</v>
      </c>
      <c r="J102" s="80">
        <v>823</v>
      </c>
      <c r="K102" s="42">
        <v>23</v>
      </c>
    </row>
    <row r="103" spans="1:11" x14ac:dyDescent="0.25">
      <c r="A103" s="81">
        <v>2024252</v>
      </c>
      <c r="B103" s="78">
        <v>45361</v>
      </c>
      <c r="C103" s="79">
        <v>572</v>
      </c>
      <c r="D103" s="42" t="s">
        <v>2021</v>
      </c>
      <c r="E103" s="42" t="s">
        <v>1706</v>
      </c>
      <c r="F103" s="80">
        <v>0</v>
      </c>
      <c r="G103" s="80">
        <v>1187</v>
      </c>
      <c r="H103" s="80">
        <v>0</v>
      </c>
      <c r="I103" s="42">
        <v>0</v>
      </c>
      <c r="J103" s="80">
        <v>1187</v>
      </c>
      <c r="K103" s="42" t="s">
        <v>1736</v>
      </c>
    </row>
    <row r="104" spans="1:11" x14ac:dyDescent="0.25">
      <c r="A104" s="81">
        <v>2024262</v>
      </c>
      <c r="B104" s="78">
        <v>45361</v>
      </c>
      <c r="C104" s="79">
        <v>571</v>
      </c>
      <c r="D104" s="42" t="s">
        <v>2020</v>
      </c>
      <c r="E104" s="42" t="s">
        <v>1707</v>
      </c>
      <c r="F104" s="80">
        <v>0</v>
      </c>
      <c r="G104" s="80">
        <v>610</v>
      </c>
      <c r="H104" s="80">
        <v>0</v>
      </c>
      <c r="I104" s="42" t="s">
        <v>1727</v>
      </c>
      <c r="J104" s="80">
        <v>610</v>
      </c>
      <c r="K104" s="42">
        <v>30</v>
      </c>
    </row>
    <row r="105" spans="1:11" x14ac:dyDescent="0.25">
      <c r="A105" s="81">
        <v>2024262</v>
      </c>
      <c r="B105" s="78">
        <v>45361</v>
      </c>
      <c r="C105" s="79">
        <v>570</v>
      </c>
      <c r="D105" s="42" t="s">
        <v>2020</v>
      </c>
      <c r="E105" s="42" t="s">
        <v>433</v>
      </c>
      <c r="F105" s="80">
        <v>0</v>
      </c>
      <c r="G105" s="80">
        <v>823</v>
      </c>
      <c r="H105" s="80">
        <v>0</v>
      </c>
      <c r="I105" s="42" t="s">
        <v>1813</v>
      </c>
      <c r="J105" s="80">
        <v>823</v>
      </c>
      <c r="K105" s="42">
        <v>26</v>
      </c>
    </row>
    <row r="106" spans="1:11" x14ac:dyDescent="0.25">
      <c r="A106" s="81">
        <v>2024262</v>
      </c>
      <c r="B106" s="78">
        <v>45361</v>
      </c>
      <c r="C106" s="79">
        <v>569</v>
      </c>
      <c r="D106" s="42" t="s">
        <v>2020</v>
      </c>
      <c r="E106" s="42" t="s">
        <v>1705</v>
      </c>
      <c r="F106" s="80">
        <v>1433</v>
      </c>
      <c r="G106" s="80">
        <v>0</v>
      </c>
      <c r="H106" s="80">
        <v>0</v>
      </c>
      <c r="I106" s="42">
        <v>0</v>
      </c>
      <c r="J106" s="80">
        <v>1433</v>
      </c>
      <c r="K106" s="42" t="s">
        <v>1736</v>
      </c>
    </row>
    <row r="107" spans="1:11" x14ac:dyDescent="0.25">
      <c r="A107" s="81">
        <v>2024255</v>
      </c>
      <c r="B107" s="78">
        <v>45361</v>
      </c>
      <c r="C107" s="79">
        <v>568</v>
      </c>
      <c r="D107" s="42" t="s">
        <v>2019</v>
      </c>
      <c r="E107" s="42" t="s">
        <v>1708</v>
      </c>
      <c r="F107" s="80">
        <v>0</v>
      </c>
      <c r="G107" s="80">
        <v>377</v>
      </c>
      <c r="H107" s="80">
        <v>0</v>
      </c>
      <c r="I107" s="42" t="s">
        <v>1748</v>
      </c>
      <c r="J107" s="80">
        <v>377</v>
      </c>
      <c r="K107" s="42">
        <v>63</v>
      </c>
    </row>
    <row r="108" spans="1:11" x14ac:dyDescent="0.25">
      <c r="A108" s="81">
        <v>2024255</v>
      </c>
      <c r="B108" s="78">
        <v>45361</v>
      </c>
      <c r="C108" s="79">
        <v>567</v>
      </c>
      <c r="D108" s="42" t="s">
        <v>2019</v>
      </c>
      <c r="E108" s="42" t="s">
        <v>433</v>
      </c>
      <c r="F108" s="80">
        <v>0</v>
      </c>
      <c r="G108" s="80">
        <v>823</v>
      </c>
      <c r="H108" s="80">
        <v>0</v>
      </c>
      <c r="I108" s="42" t="s">
        <v>1748</v>
      </c>
      <c r="J108" s="80">
        <v>823</v>
      </c>
      <c r="K108" s="42">
        <v>56</v>
      </c>
    </row>
    <row r="109" spans="1:11" x14ac:dyDescent="0.25">
      <c r="A109" s="81">
        <v>2024255</v>
      </c>
      <c r="B109" s="78">
        <v>45361</v>
      </c>
      <c r="C109" s="79">
        <v>566</v>
      </c>
      <c r="D109" s="42" t="s">
        <v>2019</v>
      </c>
      <c r="E109" s="42" t="s">
        <v>1708</v>
      </c>
      <c r="F109" s="80">
        <v>0</v>
      </c>
      <c r="G109" s="80">
        <v>377</v>
      </c>
      <c r="H109" s="80">
        <v>0</v>
      </c>
      <c r="I109" s="42" t="s">
        <v>1727</v>
      </c>
      <c r="J109" s="80">
        <v>377</v>
      </c>
      <c r="K109" s="42">
        <v>62</v>
      </c>
    </row>
    <row r="110" spans="1:11" x14ac:dyDescent="0.25">
      <c r="A110" s="81">
        <v>2024255</v>
      </c>
      <c r="B110" s="78">
        <v>45361</v>
      </c>
      <c r="C110" s="79">
        <v>565</v>
      </c>
      <c r="D110" s="42" t="s">
        <v>2019</v>
      </c>
      <c r="E110" s="42" t="s">
        <v>433</v>
      </c>
      <c r="F110" s="80">
        <v>0</v>
      </c>
      <c r="G110" s="80">
        <v>823</v>
      </c>
      <c r="H110" s="80">
        <v>0</v>
      </c>
      <c r="I110" s="42" t="s">
        <v>1727</v>
      </c>
      <c r="J110" s="80">
        <v>823</v>
      </c>
      <c r="K110" s="42">
        <v>57</v>
      </c>
    </row>
    <row r="111" spans="1:11" x14ac:dyDescent="0.25">
      <c r="A111" s="81">
        <v>2024255</v>
      </c>
      <c r="B111" s="78">
        <v>45361</v>
      </c>
      <c r="C111" s="79">
        <v>564</v>
      </c>
      <c r="D111" s="42" t="s">
        <v>2019</v>
      </c>
      <c r="E111" s="42" t="s">
        <v>1706</v>
      </c>
      <c r="F111" s="80">
        <v>0</v>
      </c>
      <c r="G111" s="80">
        <v>1180</v>
      </c>
      <c r="H111" s="80">
        <v>0</v>
      </c>
      <c r="I111" s="42">
        <v>0</v>
      </c>
      <c r="J111" s="80">
        <v>1180</v>
      </c>
      <c r="K111" s="42" t="s">
        <v>1736</v>
      </c>
    </row>
    <row r="112" spans="1:11" x14ac:dyDescent="0.25">
      <c r="A112" s="81">
        <v>2024227</v>
      </c>
      <c r="B112" s="78">
        <v>45361</v>
      </c>
      <c r="C112" s="79">
        <v>563</v>
      </c>
      <c r="D112" s="42" t="s">
        <v>2017</v>
      </c>
      <c r="E112" s="42" t="s">
        <v>433</v>
      </c>
      <c r="F112" s="80">
        <v>400</v>
      </c>
      <c r="G112" s="80">
        <v>0</v>
      </c>
      <c r="H112" s="80">
        <v>0</v>
      </c>
      <c r="I112" s="42" t="s">
        <v>2018</v>
      </c>
      <c r="J112" s="80">
        <v>400</v>
      </c>
      <c r="K112" s="42" t="s">
        <v>244</v>
      </c>
    </row>
    <row r="113" spans="1:11" x14ac:dyDescent="0.25">
      <c r="A113" s="81">
        <v>2024217</v>
      </c>
      <c r="B113" s="78">
        <v>45361</v>
      </c>
      <c r="C113" s="79">
        <v>562</v>
      </c>
      <c r="D113" s="42" t="s">
        <v>1951</v>
      </c>
      <c r="E113" s="42" t="s">
        <v>1707</v>
      </c>
      <c r="F113" s="80">
        <v>610</v>
      </c>
      <c r="G113" s="80">
        <v>0</v>
      </c>
      <c r="H113" s="80">
        <v>0</v>
      </c>
      <c r="I113" s="42" t="s">
        <v>1748</v>
      </c>
      <c r="J113" s="80">
        <v>610</v>
      </c>
      <c r="K113" s="42">
        <v>105</v>
      </c>
    </row>
    <row r="114" spans="1:11" x14ac:dyDescent="0.25">
      <c r="A114" s="81">
        <v>2024217</v>
      </c>
      <c r="B114" s="78">
        <v>45361</v>
      </c>
      <c r="C114" s="79">
        <v>561</v>
      </c>
      <c r="D114" s="42" t="s">
        <v>1951</v>
      </c>
      <c r="E114" s="42" t="s">
        <v>433</v>
      </c>
      <c r="F114" s="80">
        <v>823</v>
      </c>
      <c r="G114" s="80">
        <v>0</v>
      </c>
      <c r="H114" s="80">
        <v>0</v>
      </c>
      <c r="I114" s="42" t="s">
        <v>1748</v>
      </c>
      <c r="J114" s="80">
        <v>823</v>
      </c>
      <c r="K114" s="42">
        <v>98</v>
      </c>
    </row>
    <row r="115" spans="1:11" x14ac:dyDescent="0.25">
      <c r="A115" s="81">
        <v>2024223</v>
      </c>
      <c r="B115" s="78">
        <v>45361</v>
      </c>
      <c r="C115" s="79">
        <v>560</v>
      </c>
      <c r="D115" s="42" t="s">
        <v>1944</v>
      </c>
      <c r="E115" s="42" t="s">
        <v>1731</v>
      </c>
      <c r="F115" s="80">
        <v>728</v>
      </c>
      <c r="G115" s="80">
        <v>0</v>
      </c>
      <c r="H115" s="80">
        <v>0</v>
      </c>
      <c r="I115" s="42" t="s">
        <v>1727</v>
      </c>
      <c r="J115" s="80">
        <v>728</v>
      </c>
      <c r="K115" s="42" t="s">
        <v>244</v>
      </c>
    </row>
    <row r="116" spans="1:11" x14ac:dyDescent="0.25">
      <c r="A116" s="81">
        <v>2024223</v>
      </c>
      <c r="B116" s="78">
        <v>45361</v>
      </c>
      <c r="C116" s="79">
        <v>559</v>
      </c>
      <c r="D116" s="42" t="s">
        <v>1944</v>
      </c>
      <c r="E116" s="42" t="s">
        <v>433</v>
      </c>
      <c r="F116" s="80">
        <v>1372</v>
      </c>
      <c r="G116" s="80">
        <v>0</v>
      </c>
      <c r="H116" s="80">
        <v>0</v>
      </c>
      <c r="I116" s="42" t="s">
        <v>1727</v>
      </c>
      <c r="J116" s="80">
        <v>1372</v>
      </c>
      <c r="K116" s="42" t="s">
        <v>244</v>
      </c>
    </row>
    <row r="117" spans="1:11" x14ac:dyDescent="0.25">
      <c r="A117" s="81">
        <v>2024319</v>
      </c>
      <c r="B117" s="78">
        <v>45361</v>
      </c>
      <c r="C117" s="79">
        <v>558</v>
      </c>
      <c r="D117" s="42" t="s">
        <v>2016</v>
      </c>
      <c r="E117" s="42" t="s">
        <v>1705</v>
      </c>
      <c r="F117" s="80">
        <v>1450</v>
      </c>
      <c r="G117" s="80">
        <v>0</v>
      </c>
      <c r="H117" s="80">
        <v>0</v>
      </c>
      <c r="I117" s="42">
        <v>0</v>
      </c>
      <c r="J117" s="80">
        <v>1450</v>
      </c>
      <c r="K117" s="42" t="s">
        <v>1736</v>
      </c>
    </row>
    <row r="118" spans="1:11" x14ac:dyDescent="0.25">
      <c r="A118" s="81">
        <v>2024220</v>
      </c>
      <c r="B118" s="78">
        <v>45361</v>
      </c>
      <c r="C118" s="79">
        <v>557</v>
      </c>
      <c r="D118" s="42" t="s">
        <v>2014</v>
      </c>
      <c r="E118" s="42" t="s">
        <v>433</v>
      </c>
      <c r="F118" s="80">
        <v>3360</v>
      </c>
      <c r="G118" s="80">
        <v>0</v>
      </c>
      <c r="H118" s="80">
        <v>0</v>
      </c>
      <c r="I118" s="42" t="s">
        <v>2015</v>
      </c>
      <c r="J118" s="80">
        <v>3360</v>
      </c>
      <c r="K118" s="42" t="s">
        <v>244</v>
      </c>
    </row>
    <row r="119" spans="1:11" x14ac:dyDescent="0.25">
      <c r="A119" s="81">
        <v>2024220</v>
      </c>
      <c r="B119" s="78">
        <v>45361</v>
      </c>
      <c r="C119" s="79">
        <v>556</v>
      </c>
      <c r="D119" s="42" t="s">
        <v>2014</v>
      </c>
      <c r="E119" s="42" t="s">
        <v>1708</v>
      </c>
      <c r="F119" s="80">
        <v>3640</v>
      </c>
      <c r="G119" s="80">
        <v>0</v>
      </c>
      <c r="H119" s="80">
        <v>0</v>
      </c>
      <c r="I119" s="42" t="s">
        <v>1753</v>
      </c>
      <c r="J119" s="80">
        <v>3640</v>
      </c>
      <c r="K119" s="42" t="s">
        <v>244</v>
      </c>
    </row>
    <row r="120" spans="1:11" x14ac:dyDescent="0.25">
      <c r="A120" s="81">
        <v>2024202</v>
      </c>
      <c r="B120" s="78">
        <v>45361</v>
      </c>
      <c r="C120" s="79">
        <v>555</v>
      </c>
      <c r="D120" s="42" t="s">
        <v>1340</v>
      </c>
      <c r="E120" s="42" t="s">
        <v>1708</v>
      </c>
      <c r="F120" s="80">
        <v>364</v>
      </c>
      <c r="G120" s="80">
        <v>0</v>
      </c>
      <c r="H120" s="80">
        <v>0</v>
      </c>
      <c r="I120" s="42" t="s">
        <v>1748</v>
      </c>
      <c r="J120" s="80">
        <v>364</v>
      </c>
      <c r="K120" s="42">
        <v>107</v>
      </c>
    </row>
    <row r="121" spans="1:11" x14ac:dyDescent="0.25">
      <c r="A121" s="81">
        <v>2024202</v>
      </c>
      <c r="B121" s="78">
        <v>45361</v>
      </c>
      <c r="C121" s="79">
        <v>554</v>
      </c>
      <c r="D121" s="42" t="s">
        <v>1340</v>
      </c>
      <c r="E121" s="42" t="s">
        <v>433</v>
      </c>
      <c r="F121" s="80">
        <v>823</v>
      </c>
      <c r="G121" s="80">
        <v>0</v>
      </c>
      <c r="H121" s="80">
        <v>0</v>
      </c>
      <c r="I121" s="42" t="s">
        <v>1748</v>
      </c>
      <c r="J121" s="80">
        <v>823</v>
      </c>
      <c r="K121" s="42">
        <v>100</v>
      </c>
    </row>
    <row r="122" spans="1:11" x14ac:dyDescent="0.25">
      <c r="A122" s="81">
        <v>2024178</v>
      </c>
      <c r="B122" s="78">
        <v>45361</v>
      </c>
      <c r="C122" s="79">
        <v>553</v>
      </c>
      <c r="D122" s="42" t="s">
        <v>2013</v>
      </c>
      <c r="E122" s="42" t="s">
        <v>433</v>
      </c>
      <c r="F122" s="80">
        <v>500</v>
      </c>
      <c r="G122" s="80">
        <v>0</v>
      </c>
      <c r="H122" s="80">
        <v>0</v>
      </c>
      <c r="I122" s="42" t="s">
        <v>1727</v>
      </c>
      <c r="J122" s="80">
        <v>500</v>
      </c>
      <c r="K122" s="42" t="s">
        <v>244</v>
      </c>
    </row>
    <row r="123" spans="1:11" x14ac:dyDescent="0.25">
      <c r="A123" s="81">
        <v>2024180</v>
      </c>
      <c r="B123" s="78">
        <v>45361</v>
      </c>
      <c r="C123" s="79">
        <v>552</v>
      </c>
      <c r="D123" s="42" t="s">
        <v>1908</v>
      </c>
      <c r="E123" s="42" t="s">
        <v>1708</v>
      </c>
      <c r="F123" s="80">
        <v>0</v>
      </c>
      <c r="G123" s="80">
        <v>364</v>
      </c>
      <c r="H123" s="80">
        <v>0</v>
      </c>
      <c r="I123" s="42" t="s">
        <v>1748</v>
      </c>
      <c r="J123" s="80">
        <v>364</v>
      </c>
      <c r="K123" s="42" t="s">
        <v>244</v>
      </c>
    </row>
    <row r="124" spans="1:11" x14ac:dyDescent="0.25">
      <c r="A124" s="81">
        <v>2024180</v>
      </c>
      <c r="B124" s="78">
        <v>45361</v>
      </c>
      <c r="C124" s="79">
        <v>551</v>
      </c>
      <c r="D124" s="42" t="s">
        <v>1908</v>
      </c>
      <c r="E124" s="42" t="s">
        <v>433</v>
      </c>
      <c r="F124" s="80">
        <v>0</v>
      </c>
      <c r="G124" s="80">
        <v>716</v>
      </c>
      <c r="H124" s="80">
        <v>0</v>
      </c>
      <c r="I124" s="42" t="s">
        <v>1748</v>
      </c>
      <c r="J124" s="80">
        <v>716</v>
      </c>
      <c r="K124" s="42" t="s">
        <v>244</v>
      </c>
    </row>
    <row r="125" spans="1:11" x14ac:dyDescent="0.25">
      <c r="A125" s="81">
        <v>2024147</v>
      </c>
      <c r="B125" s="78">
        <v>45361</v>
      </c>
      <c r="C125" s="79">
        <v>550</v>
      </c>
      <c r="D125" s="42" t="s">
        <v>2012</v>
      </c>
      <c r="E125" s="42" t="s">
        <v>1708</v>
      </c>
      <c r="F125" s="80">
        <v>0</v>
      </c>
      <c r="G125" s="80">
        <v>3640</v>
      </c>
      <c r="H125" s="80">
        <v>0</v>
      </c>
      <c r="I125" s="42" t="s">
        <v>1753</v>
      </c>
      <c r="J125" s="80">
        <v>3640</v>
      </c>
      <c r="K125" s="42">
        <v>0</v>
      </c>
    </row>
    <row r="126" spans="1:11" x14ac:dyDescent="0.25">
      <c r="A126" s="81">
        <v>2024147</v>
      </c>
      <c r="B126" s="78">
        <v>45361</v>
      </c>
      <c r="C126" s="79">
        <v>549</v>
      </c>
      <c r="D126" s="42" t="s">
        <v>2012</v>
      </c>
      <c r="E126" s="42" t="s">
        <v>433</v>
      </c>
      <c r="F126" s="80">
        <v>0</v>
      </c>
      <c r="G126" s="80">
        <v>8230</v>
      </c>
      <c r="H126" s="80">
        <v>0</v>
      </c>
      <c r="I126" s="42" t="s">
        <v>1753</v>
      </c>
      <c r="J126" s="80">
        <v>8230</v>
      </c>
      <c r="K126" s="42">
        <v>0</v>
      </c>
    </row>
    <row r="127" spans="1:11" x14ac:dyDescent="0.25">
      <c r="A127" s="81">
        <v>2024170</v>
      </c>
      <c r="B127" s="78">
        <v>45361</v>
      </c>
      <c r="C127" s="79">
        <v>548</v>
      </c>
      <c r="D127" s="42" t="s">
        <v>1882</v>
      </c>
      <c r="E127" s="42" t="s">
        <v>1731</v>
      </c>
      <c r="F127" s="80">
        <v>728</v>
      </c>
      <c r="G127" s="80">
        <v>0</v>
      </c>
      <c r="H127" s="80">
        <v>0</v>
      </c>
      <c r="I127" s="42" t="s">
        <v>1727</v>
      </c>
      <c r="J127" s="80">
        <v>728</v>
      </c>
      <c r="K127" s="42" t="s">
        <v>244</v>
      </c>
    </row>
    <row r="128" spans="1:11" x14ac:dyDescent="0.25">
      <c r="A128" s="81">
        <v>2024170</v>
      </c>
      <c r="B128" s="78">
        <v>45361</v>
      </c>
      <c r="C128" s="79">
        <v>547</v>
      </c>
      <c r="D128" s="42" t="s">
        <v>1882</v>
      </c>
      <c r="E128" s="42" t="s">
        <v>433</v>
      </c>
      <c r="F128" s="80">
        <v>1432</v>
      </c>
      <c r="G128" s="80">
        <v>0</v>
      </c>
      <c r="H128" s="80">
        <v>0</v>
      </c>
      <c r="I128" s="42" t="s">
        <v>1727</v>
      </c>
      <c r="J128" s="80">
        <v>1432</v>
      </c>
      <c r="K128" s="42" t="s">
        <v>244</v>
      </c>
    </row>
    <row r="129" spans="1:11" x14ac:dyDescent="0.25">
      <c r="A129" s="81">
        <v>2024145</v>
      </c>
      <c r="B129" s="78">
        <v>45361</v>
      </c>
      <c r="C129" s="79">
        <v>546</v>
      </c>
      <c r="D129" s="42" t="s">
        <v>1892</v>
      </c>
      <c r="E129" s="42" t="s">
        <v>1707</v>
      </c>
      <c r="F129" s="80">
        <v>610</v>
      </c>
      <c r="G129" s="80">
        <v>0</v>
      </c>
      <c r="H129" s="80">
        <v>0</v>
      </c>
      <c r="I129" s="42" t="s">
        <v>1840</v>
      </c>
      <c r="J129" s="80">
        <v>610</v>
      </c>
      <c r="K129" s="42" t="s">
        <v>244</v>
      </c>
    </row>
    <row r="130" spans="1:11" x14ac:dyDescent="0.25">
      <c r="A130" s="81">
        <v>2024145</v>
      </c>
      <c r="B130" s="78">
        <v>45361</v>
      </c>
      <c r="C130" s="79">
        <v>545</v>
      </c>
      <c r="D130" s="42" t="s">
        <v>1892</v>
      </c>
      <c r="E130" s="42" t="s">
        <v>433</v>
      </c>
      <c r="F130" s="80">
        <v>590</v>
      </c>
      <c r="G130" s="80">
        <v>0</v>
      </c>
      <c r="H130" s="80">
        <v>0</v>
      </c>
      <c r="I130" s="42" t="s">
        <v>1840</v>
      </c>
      <c r="J130" s="80">
        <v>590</v>
      </c>
      <c r="K130" s="42" t="s">
        <v>244</v>
      </c>
    </row>
    <row r="131" spans="1:11" x14ac:dyDescent="0.25">
      <c r="A131" s="81">
        <v>2024154</v>
      </c>
      <c r="B131" s="78">
        <v>45361</v>
      </c>
      <c r="C131" s="79">
        <v>544</v>
      </c>
      <c r="D131" s="42" t="s">
        <v>1883</v>
      </c>
      <c r="E131" s="42" t="s">
        <v>1731</v>
      </c>
      <c r="F131" s="80">
        <v>0</v>
      </c>
      <c r="G131" s="80">
        <v>728</v>
      </c>
      <c r="H131" s="80">
        <v>0</v>
      </c>
      <c r="I131" s="42" t="s">
        <v>1748</v>
      </c>
      <c r="J131" s="80">
        <v>728</v>
      </c>
      <c r="K131" s="42">
        <v>90</v>
      </c>
    </row>
    <row r="132" spans="1:11" x14ac:dyDescent="0.25">
      <c r="A132" s="81">
        <v>2024154</v>
      </c>
      <c r="B132" s="78">
        <v>45361</v>
      </c>
      <c r="C132" s="79">
        <v>543</v>
      </c>
      <c r="D132" s="42" t="s">
        <v>1883</v>
      </c>
      <c r="E132" s="42" t="s">
        <v>433</v>
      </c>
      <c r="F132" s="80">
        <v>0</v>
      </c>
      <c r="G132" s="80">
        <v>1459</v>
      </c>
      <c r="H132" s="80">
        <v>0</v>
      </c>
      <c r="I132" s="42" t="s">
        <v>1748</v>
      </c>
      <c r="J132" s="80">
        <v>1459</v>
      </c>
      <c r="K132" s="42">
        <v>83</v>
      </c>
    </row>
    <row r="133" spans="1:11" x14ac:dyDescent="0.25">
      <c r="A133" s="81">
        <v>2024313</v>
      </c>
      <c r="B133" s="78">
        <v>45360</v>
      </c>
      <c r="C133" s="79">
        <v>542</v>
      </c>
      <c r="D133" s="42" t="s">
        <v>2007</v>
      </c>
      <c r="E133" s="42" t="s">
        <v>433</v>
      </c>
      <c r="F133" s="80">
        <v>500</v>
      </c>
      <c r="G133" s="80">
        <v>0</v>
      </c>
      <c r="H133" s="80">
        <v>0</v>
      </c>
      <c r="I133" s="42" t="s">
        <v>1727</v>
      </c>
      <c r="J133" s="80">
        <v>500</v>
      </c>
      <c r="K133" s="42" t="s">
        <v>244</v>
      </c>
    </row>
    <row r="134" spans="1:11" x14ac:dyDescent="0.25">
      <c r="A134" s="81">
        <v>2024308</v>
      </c>
      <c r="B134" s="78">
        <v>45360</v>
      </c>
      <c r="C134" s="79">
        <v>541</v>
      </c>
      <c r="D134" s="42" t="s">
        <v>2006</v>
      </c>
      <c r="E134" s="42" t="s">
        <v>1707</v>
      </c>
      <c r="F134" s="80">
        <v>364</v>
      </c>
      <c r="G134" s="80">
        <v>0</v>
      </c>
      <c r="H134" s="80">
        <v>0</v>
      </c>
      <c r="I134" s="42" t="s">
        <v>1960</v>
      </c>
      <c r="J134" s="80">
        <v>364</v>
      </c>
      <c r="K134" s="42" t="s">
        <v>244</v>
      </c>
    </row>
    <row r="135" spans="1:11" x14ac:dyDescent="0.25">
      <c r="A135" s="81">
        <v>2024308</v>
      </c>
      <c r="B135" s="78">
        <v>45360</v>
      </c>
      <c r="C135" s="79">
        <v>540</v>
      </c>
      <c r="D135" s="42" t="s">
        <v>2006</v>
      </c>
      <c r="E135" s="42" t="s">
        <v>433</v>
      </c>
      <c r="F135" s="80">
        <v>716</v>
      </c>
      <c r="G135" s="80">
        <v>0</v>
      </c>
      <c r="H135" s="80">
        <v>0</v>
      </c>
      <c r="I135" s="42" t="s">
        <v>1727</v>
      </c>
      <c r="J135" s="80">
        <v>716</v>
      </c>
      <c r="K135" s="42" t="s">
        <v>244</v>
      </c>
    </row>
    <row r="136" spans="1:11" x14ac:dyDescent="0.25">
      <c r="A136" s="81">
        <v>2024308</v>
      </c>
      <c r="B136" s="78">
        <v>45360</v>
      </c>
      <c r="C136" s="79">
        <v>539</v>
      </c>
      <c r="D136" s="42" t="s">
        <v>2006</v>
      </c>
      <c r="E136" s="42" t="s">
        <v>1705</v>
      </c>
      <c r="F136" s="80">
        <v>108</v>
      </c>
      <c r="G136" s="80">
        <v>0</v>
      </c>
      <c r="H136" s="80">
        <v>0</v>
      </c>
      <c r="I136" s="42">
        <v>0</v>
      </c>
      <c r="J136" s="80">
        <v>108</v>
      </c>
      <c r="K136" s="42" t="s">
        <v>1736</v>
      </c>
    </row>
    <row r="137" spans="1:11" x14ac:dyDescent="0.25">
      <c r="A137" s="81">
        <v>2024311</v>
      </c>
      <c r="B137" s="78">
        <v>45360</v>
      </c>
      <c r="C137" s="79">
        <v>538</v>
      </c>
      <c r="D137" s="42" t="s">
        <v>2005</v>
      </c>
      <c r="E137" s="42" t="s">
        <v>1707</v>
      </c>
      <c r="F137" s="80">
        <v>974</v>
      </c>
      <c r="G137" s="80">
        <v>0</v>
      </c>
      <c r="H137" s="80">
        <v>0</v>
      </c>
      <c r="I137" s="42" t="s">
        <v>1727</v>
      </c>
      <c r="J137" s="80">
        <v>974</v>
      </c>
      <c r="K137" s="42" t="s">
        <v>244</v>
      </c>
    </row>
    <row r="138" spans="1:11" x14ac:dyDescent="0.25">
      <c r="A138" s="81">
        <v>2024311</v>
      </c>
      <c r="B138" s="78">
        <v>45360</v>
      </c>
      <c r="C138" s="79">
        <v>537</v>
      </c>
      <c r="D138" s="42" t="s">
        <v>2005</v>
      </c>
      <c r="E138" s="42" t="s">
        <v>433</v>
      </c>
      <c r="F138" s="80">
        <v>1476</v>
      </c>
      <c r="G138" s="80">
        <v>0</v>
      </c>
      <c r="H138" s="80">
        <v>0</v>
      </c>
      <c r="I138" s="42" t="s">
        <v>1727</v>
      </c>
      <c r="J138" s="80">
        <v>1476</v>
      </c>
      <c r="K138" s="42" t="s">
        <v>244</v>
      </c>
    </row>
    <row r="139" spans="1:11" x14ac:dyDescent="0.25">
      <c r="A139" s="81">
        <v>2024311</v>
      </c>
      <c r="B139" s="78">
        <v>45360</v>
      </c>
      <c r="C139" s="79">
        <v>536</v>
      </c>
      <c r="D139" s="42" t="s">
        <v>2005</v>
      </c>
      <c r="E139" s="42" t="s">
        <v>1705</v>
      </c>
      <c r="F139" s="80">
        <v>2450</v>
      </c>
      <c r="G139" s="80">
        <v>0</v>
      </c>
      <c r="H139" s="80">
        <v>0</v>
      </c>
      <c r="I139" s="42">
        <v>0</v>
      </c>
      <c r="J139" s="80">
        <v>2450</v>
      </c>
      <c r="K139" s="42" t="s">
        <v>1736</v>
      </c>
    </row>
    <row r="140" spans="1:11" x14ac:dyDescent="0.25">
      <c r="A140" s="81">
        <v>2024310</v>
      </c>
      <c r="B140" s="78">
        <v>45360</v>
      </c>
      <c r="C140" s="79">
        <v>535</v>
      </c>
      <c r="D140" s="42" t="s">
        <v>2004</v>
      </c>
      <c r="E140" s="42" t="s">
        <v>1708</v>
      </c>
      <c r="F140" s="80">
        <v>1200</v>
      </c>
      <c r="G140" s="80">
        <v>0</v>
      </c>
      <c r="H140" s="80">
        <v>0</v>
      </c>
      <c r="I140" s="42">
        <v>0</v>
      </c>
      <c r="J140" s="80">
        <v>1200</v>
      </c>
      <c r="K140" s="42" t="s">
        <v>1736</v>
      </c>
    </row>
    <row r="141" spans="1:11" x14ac:dyDescent="0.25">
      <c r="A141" s="81">
        <v>2024306</v>
      </c>
      <c r="B141" s="78">
        <v>45360</v>
      </c>
      <c r="C141" s="79">
        <v>534</v>
      </c>
      <c r="D141" s="42" t="s">
        <v>2003</v>
      </c>
      <c r="E141" s="42" t="s">
        <v>1708</v>
      </c>
      <c r="F141" s="80">
        <v>728</v>
      </c>
      <c r="G141" s="80">
        <v>0</v>
      </c>
      <c r="H141" s="80">
        <v>0</v>
      </c>
      <c r="I141" s="42" t="s">
        <v>1748</v>
      </c>
      <c r="J141" s="80">
        <v>728</v>
      </c>
      <c r="K141" s="42">
        <v>0</v>
      </c>
    </row>
    <row r="142" spans="1:11" x14ac:dyDescent="0.25">
      <c r="A142" s="81">
        <v>2024306</v>
      </c>
      <c r="B142" s="78">
        <v>45360</v>
      </c>
      <c r="C142" s="79">
        <v>533</v>
      </c>
      <c r="D142" s="42" t="s">
        <v>2003</v>
      </c>
      <c r="E142" s="42" t="s">
        <v>433</v>
      </c>
      <c r="F142" s="80">
        <v>1646</v>
      </c>
      <c r="G142" s="80">
        <v>0</v>
      </c>
      <c r="H142" s="80">
        <v>0</v>
      </c>
      <c r="I142" s="42" t="s">
        <v>1748</v>
      </c>
      <c r="J142" s="80">
        <v>1646</v>
      </c>
      <c r="K142" s="42">
        <v>0</v>
      </c>
    </row>
    <row r="143" spans="1:11" x14ac:dyDescent="0.25">
      <c r="A143" s="81">
        <v>2024306</v>
      </c>
      <c r="B143" s="78">
        <v>45360</v>
      </c>
      <c r="C143" s="79">
        <v>532</v>
      </c>
      <c r="D143" s="42" t="s">
        <v>2003</v>
      </c>
      <c r="E143" s="42" t="s">
        <v>1708</v>
      </c>
      <c r="F143" s="80">
        <v>728</v>
      </c>
      <c r="G143" s="80">
        <v>0</v>
      </c>
      <c r="H143" s="80">
        <v>0</v>
      </c>
      <c r="I143" s="42" t="s">
        <v>1727</v>
      </c>
      <c r="J143" s="80">
        <v>728</v>
      </c>
      <c r="K143" s="42">
        <v>10</v>
      </c>
    </row>
    <row r="144" spans="1:11" x14ac:dyDescent="0.25">
      <c r="A144" s="81">
        <v>2024306</v>
      </c>
      <c r="B144" s="78">
        <v>45360</v>
      </c>
      <c r="C144" s="79">
        <v>531</v>
      </c>
      <c r="D144" s="42" t="s">
        <v>2003</v>
      </c>
      <c r="E144" s="42" t="s">
        <v>433</v>
      </c>
      <c r="F144" s="80">
        <v>1646</v>
      </c>
      <c r="G144" s="80">
        <v>0</v>
      </c>
      <c r="H144" s="80">
        <v>0</v>
      </c>
      <c r="I144" s="42" t="s">
        <v>1727</v>
      </c>
      <c r="J144" s="80">
        <v>1646</v>
      </c>
      <c r="K144" s="42">
        <v>7</v>
      </c>
    </row>
    <row r="145" spans="1:11" x14ac:dyDescent="0.25">
      <c r="A145" s="81">
        <v>2024306</v>
      </c>
      <c r="B145" s="78">
        <v>45360</v>
      </c>
      <c r="C145" s="79">
        <v>530</v>
      </c>
      <c r="D145" s="42" t="s">
        <v>2003</v>
      </c>
      <c r="E145" s="42" t="s">
        <v>1706</v>
      </c>
      <c r="F145" s="80">
        <v>2374</v>
      </c>
      <c r="G145" s="80">
        <v>0</v>
      </c>
      <c r="H145" s="80">
        <v>0</v>
      </c>
      <c r="I145" s="42">
        <v>0</v>
      </c>
      <c r="J145" s="80">
        <v>2374</v>
      </c>
      <c r="K145" s="42" t="s">
        <v>1736</v>
      </c>
    </row>
    <row r="146" spans="1:11" x14ac:dyDescent="0.25">
      <c r="A146" s="81">
        <v>2024300</v>
      </c>
      <c r="B146" s="78">
        <v>45360</v>
      </c>
      <c r="C146" s="79">
        <v>529</v>
      </c>
      <c r="D146" s="42" t="s">
        <v>2002</v>
      </c>
      <c r="E146" s="42" t="s">
        <v>1707</v>
      </c>
      <c r="F146" s="80">
        <v>610</v>
      </c>
      <c r="G146" s="80">
        <v>0</v>
      </c>
      <c r="H146" s="80">
        <v>0</v>
      </c>
      <c r="I146" s="42" t="s">
        <v>1727</v>
      </c>
      <c r="J146" s="80">
        <v>610</v>
      </c>
      <c r="K146" s="42">
        <v>0</v>
      </c>
    </row>
    <row r="147" spans="1:11" x14ac:dyDescent="0.25">
      <c r="A147" s="81">
        <v>2024300</v>
      </c>
      <c r="B147" s="78">
        <v>45360</v>
      </c>
      <c r="C147" s="79">
        <v>528</v>
      </c>
      <c r="D147" s="42" t="s">
        <v>2002</v>
      </c>
      <c r="E147" s="42" t="s">
        <v>433</v>
      </c>
      <c r="F147" s="80">
        <v>740</v>
      </c>
      <c r="G147" s="80">
        <v>0</v>
      </c>
      <c r="H147" s="80">
        <v>0</v>
      </c>
      <c r="I147" s="42" t="s">
        <v>1727</v>
      </c>
      <c r="J147" s="80">
        <v>740</v>
      </c>
      <c r="K147" s="42">
        <v>0</v>
      </c>
    </row>
    <row r="148" spans="1:11" x14ac:dyDescent="0.25">
      <c r="A148" s="81">
        <v>2024300</v>
      </c>
      <c r="B148" s="78">
        <v>45360</v>
      </c>
      <c r="C148" s="79">
        <v>527</v>
      </c>
      <c r="D148" s="42" t="s">
        <v>2002</v>
      </c>
      <c r="E148" s="42" t="s">
        <v>1705</v>
      </c>
      <c r="F148" s="80">
        <v>1350</v>
      </c>
      <c r="G148" s="80">
        <v>0</v>
      </c>
      <c r="H148" s="80">
        <v>0</v>
      </c>
      <c r="I148" s="42">
        <v>0</v>
      </c>
      <c r="J148" s="80">
        <v>1350</v>
      </c>
      <c r="K148" s="42" t="s">
        <v>1736</v>
      </c>
    </row>
    <row r="149" spans="1:11" x14ac:dyDescent="0.25">
      <c r="A149" s="81">
        <v>2024293</v>
      </c>
      <c r="B149" s="78">
        <v>45360</v>
      </c>
      <c r="C149" s="79">
        <v>526</v>
      </c>
      <c r="D149" s="42" t="s">
        <v>2001</v>
      </c>
      <c r="E149" s="42" t="s">
        <v>1707</v>
      </c>
      <c r="F149" s="80">
        <v>364</v>
      </c>
      <c r="G149" s="80">
        <v>0</v>
      </c>
      <c r="H149" s="80">
        <v>0</v>
      </c>
      <c r="I149" s="42" t="s">
        <v>1840</v>
      </c>
      <c r="J149" s="80">
        <v>364</v>
      </c>
      <c r="K149" s="42" t="s">
        <v>244</v>
      </c>
    </row>
    <row r="150" spans="1:11" x14ac:dyDescent="0.25">
      <c r="A150" s="81">
        <v>2024293</v>
      </c>
      <c r="B150" s="78">
        <v>45360</v>
      </c>
      <c r="C150" s="79">
        <v>525</v>
      </c>
      <c r="D150" s="42" t="s">
        <v>2001</v>
      </c>
      <c r="E150" s="42" t="s">
        <v>433</v>
      </c>
      <c r="F150" s="80">
        <v>736</v>
      </c>
      <c r="G150" s="80">
        <v>0</v>
      </c>
      <c r="H150" s="80">
        <v>0</v>
      </c>
      <c r="I150" s="42" t="s">
        <v>1840</v>
      </c>
      <c r="J150" s="80">
        <v>736</v>
      </c>
      <c r="K150" s="42" t="s">
        <v>244</v>
      </c>
    </row>
    <row r="151" spans="1:11" x14ac:dyDescent="0.25">
      <c r="A151" s="81">
        <v>2024293</v>
      </c>
      <c r="B151" s="78">
        <v>45360</v>
      </c>
      <c r="C151" s="79">
        <v>524</v>
      </c>
      <c r="D151" s="42" t="s">
        <v>2001</v>
      </c>
      <c r="E151" s="42" t="s">
        <v>1707</v>
      </c>
      <c r="F151" s="80">
        <v>364</v>
      </c>
      <c r="G151" s="80">
        <v>0</v>
      </c>
      <c r="H151" s="80">
        <v>0</v>
      </c>
      <c r="I151" s="42" t="s">
        <v>1748</v>
      </c>
      <c r="J151" s="80">
        <v>364</v>
      </c>
      <c r="K151" s="42" t="s">
        <v>244</v>
      </c>
    </row>
    <row r="152" spans="1:11" x14ac:dyDescent="0.25">
      <c r="A152" s="81">
        <v>2024293</v>
      </c>
      <c r="B152" s="78">
        <v>45360</v>
      </c>
      <c r="C152" s="79">
        <v>523</v>
      </c>
      <c r="D152" s="42" t="s">
        <v>2001</v>
      </c>
      <c r="E152" s="42" t="s">
        <v>433</v>
      </c>
      <c r="F152" s="80">
        <v>736</v>
      </c>
      <c r="G152" s="80">
        <v>0</v>
      </c>
      <c r="H152" s="80">
        <v>0</v>
      </c>
      <c r="I152" s="42" t="s">
        <v>1748</v>
      </c>
      <c r="J152" s="80">
        <v>736</v>
      </c>
      <c r="K152" s="42" t="s">
        <v>244</v>
      </c>
    </row>
    <row r="153" spans="1:11" x14ac:dyDescent="0.25">
      <c r="A153" s="81">
        <v>2024293</v>
      </c>
      <c r="B153" s="78">
        <v>45360</v>
      </c>
      <c r="C153" s="79">
        <v>522</v>
      </c>
      <c r="D153" s="42" t="s">
        <v>2001</v>
      </c>
      <c r="E153" s="42" t="s">
        <v>1707</v>
      </c>
      <c r="F153" s="80">
        <v>364</v>
      </c>
      <c r="G153" s="80">
        <v>0</v>
      </c>
      <c r="H153" s="80">
        <v>0</v>
      </c>
      <c r="I153" s="42" t="s">
        <v>1727</v>
      </c>
      <c r="J153" s="80">
        <v>364</v>
      </c>
      <c r="K153" s="42" t="s">
        <v>244</v>
      </c>
    </row>
    <row r="154" spans="1:11" x14ac:dyDescent="0.25">
      <c r="A154" s="81">
        <v>2024293</v>
      </c>
      <c r="B154" s="78">
        <v>45360</v>
      </c>
      <c r="C154" s="79">
        <v>521</v>
      </c>
      <c r="D154" s="42" t="s">
        <v>2001</v>
      </c>
      <c r="E154" s="42" t="s">
        <v>433</v>
      </c>
      <c r="F154" s="80">
        <v>736</v>
      </c>
      <c r="G154" s="80">
        <v>0</v>
      </c>
      <c r="H154" s="80">
        <v>0</v>
      </c>
      <c r="I154" s="42" t="s">
        <v>1727</v>
      </c>
      <c r="J154" s="80">
        <v>736</v>
      </c>
      <c r="K154" s="42" t="s">
        <v>244</v>
      </c>
    </row>
    <row r="155" spans="1:11" x14ac:dyDescent="0.25">
      <c r="A155" s="81">
        <v>2024293</v>
      </c>
      <c r="B155" s="78">
        <v>45360</v>
      </c>
      <c r="C155" s="79">
        <v>520</v>
      </c>
      <c r="D155" s="42" t="s">
        <v>2001</v>
      </c>
      <c r="E155" s="42" t="s">
        <v>1705</v>
      </c>
      <c r="F155" s="80">
        <v>1187</v>
      </c>
      <c r="G155" s="80">
        <v>0</v>
      </c>
      <c r="H155" s="80">
        <v>0</v>
      </c>
      <c r="I155" s="42">
        <v>0</v>
      </c>
      <c r="J155" s="80">
        <v>1187</v>
      </c>
      <c r="K155" s="42" t="s">
        <v>1736</v>
      </c>
    </row>
    <row r="156" spans="1:11" x14ac:dyDescent="0.25">
      <c r="A156" s="81">
        <v>2024288</v>
      </c>
      <c r="B156" s="78">
        <v>45360</v>
      </c>
      <c r="C156" s="79">
        <v>519</v>
      </c>
      <c r="D156" s="42" t="s">
        <v>1999</v>
      </c>
      <c r="E156" s="42" t="s">
        <v>1708</v>
      </c>
      <c r="F156" s="80">
        <v>0</v>
      </c>
      <c r="G156" s="80">
        <v>728</v>
      </c>
      <c r="H156" s="80">
        <v>0</v>
      </c>
      <c r="I156" s="42" t="s">
        <v>2000</v>
      </c>
      <c r="J156" s="80">
        <v>728</v>
      </c>
      <c r="K156" s="42" t="s">
        <v>244</v>
      </c>
    </row>
    <row r="157" spans="1:11" x14ac:dyDescent="0.25">
      <c r="A157" s="81">
        <v>2024288</v>
      </c>
      <c r="B157" s="78">
        <v>45360</v>
      </c>
      <c r="C157" s="79">
        <v>518</v>
      </c>
      <c r="D157" s="42" t="s">
        <v>1999</v>
      </c>
      <c r="E157" s="42" t="s">
        <v>433</v>
      </c>
      <c r="F157" s="80">
        <v>0</v>
      </c>
      <c r="G157" s="80">
        <v>1152</v>
      </c>
      <c r="H157" s="80">
        <v>0</v>
      </c>
      <c r="I157" s="42" t="s">
        <v>1727</v>
      </c>
      <c r="J157" s="80">
        <v>1152</v>
      </c>
      <c r="K157" s="42" t="s">
        <v>244</v>
      </c>
    </row>
    <row r="158" spans="1:11" x14ac:dyDescent="0.25">
      <c r="A158" s="81">
        <v>2024288</v>
      </c>
      <c r="B158" s="78">
        <v>45360</v>
      </c>
      <c r="C158" s="79">
        <v>517</v>
      </c>
      <c r="D158" s="42" t="s">
        <v>1999</v>
      </c>
      <c r="E158" s="42" t="s">
        <v>1706</v>
      </c>
      <c r="F158" s="80">
        <v>1080</v>
      </c>
      <c r="G158" s="80">
        <v>0</v>
      </c>
      <c r="H158" s="80">
        <v>0</v>
      </c>
      <c r="I158" s="42">
        <v>0</v>
      </c>
      <c r="J158" s="80">
        <v>1080</v>
      </c>
      <c r="K158" s="42" t="s">
        <v>1736</v>
      </c>
    </row>
    <row r="159" spans="1:11" x14ac:dyDescent="0.25">
      <c r="A159" s="81">
        <v>2024307</v>
      </c>
      <c r="B159" s="78">
        <v>45360</v>
      </c>
      <c r="C159" s="79">
        <v>516</v>
      </c>
      <c r="D159" s="42" t="s">
        <v>1998</v>
      </c>
      <c r="E159" s="42" t="s">
        <v>1705</v>
      </c>
      <c r="F159" s="80">
        <v>1433</v>
      </c>
      <c r="G159" s="80">
        <v>0</v>
      </c>
      <c r="H159" s="80">
        <v>0</v>
      </c>
      <c r="I159" s="42">
        <v>0</v>
      </c>
      <c r="J159" s="80">
        <v>1433</v>
      </c>
      <c r="K159" s="42" t="s">
        <v>1736</v>
      </c>
    </row>
    <row r="160" spans="1:11" x14ac:dyDescent="0.25">
      <c r="A160" s="81">
        <v>2024305</v>
      </c>
      <c r="B160" s="78">
        <v>45360</v>
      </c>
      <c r="C160" s="79">
        <v>515</v>
      </c>
      <c r="D160" s="42" t="s">
        <v>1997</v>
      </c>
      <c r="E160" s="42" t="s">
        <v>1705</v>
      </c>
      <c r="F160" s="80">
        <v>1433</v>
      </c>
      <c r="G160" s="80">
        <v>0</v>
      </c>
      <c r="H160" s="80">
        <v>0</v>
      </c>
      <c r="I160" s="42">
        <v>0</v>
      </c>
      <c r="J160" s="80">
        <v>1433</v>
      </c>
      <c r="K160" s="42" t="s">
        <v>1736</v>
      </c>
    </row>
    <row r="161" spans="1:11" x14ac:dyDescent="0.25">
      <c r="A161" s="81">
        <v>2024296</v>
      </c>
      <c r="B161" s="78">
        <v>45360</v>
      </c>
      <c r="C161" s="79">
        <v>514</v>
      </c>
      <c r="D161" s="42" t="s">
        <v>1996</v>
      </c>
      <c r="E161" s="42" t="s">
        <v>1707</v>
      </c>
      <c r="F161" s="80">
        <v>0</v>
      </c>
      <c r="G161" s="80">
        <v>610</v>
      </c>
      <c r="H161" s="80">
        <v>0</v>
      </c>
      <c r="I161" s="42" t="s">
        <v>1727</v>
      </c>
      <c r="J161" s="80">
        <v>610</v>
      </c>
      <c r="K161" s="42">
        <v>0</v>
      </c>
    </row>
    <row r="162" spans="1:11" x14ac:dyDescent="0.25">
      <c r="A162" s="81">
        <v>2024296</v>
      </c>
      <c r="B162" s="78">
        <v>45360</v>
      </c>
      <c r="C162" s="79">
        <v>513</v>
      </c>
      <c r="D162" s="42" t="s">
        <v>1996</v>
      </c>
      <c r="E162" s="42" t="s">
        <v>433</v>
      </c>
      <c r="F162" s="80">
        <v>0</v>
      </c>
      <c r="G162" s="80">
        <v>823</v>
      </c>
      <c r="H162" s="80">
        <v>0</v>
      </c>
      <c r="I162" s="42" t="s">
        <v>1727</v>
      </c>
      <c r="J162" s="80">
        <v>823</v>
      </c>
      <c r="K162" s="42">
        <v>0</v>
      </c>
    </row>
    <row r="163" spans="1:11" x14ac:dyDescent="0.25">
      <c r="A163" s="81">
        <v>2024296</v>
      </c>
      <c r="B163" s="78">
        <v>45360</v>
      </c>
      <c r="C163" s="79">
        <v>512</v>
      </c>
      <c r="D163" s="42" t="s">
        <v>1996</v>
      </c>
      <c r="E163" s="42" t="s">
        <v>1705</v>
      </c>
      <c r="F163" s="80">
        <v>1433</v>
      </c>
      <c r="G163" s="80">
        <v>0</v>
      </c>
      <c r="H163" s="80">
        <v>0</v>
      </c>
      <c r="I163" s="42">
        <v>0</v>
      </c>
      <c r="J163" s="80">
        <v>1433</v>
      </c>
      <c r="K163" s="42" t="s">
        <v>1736</v>
      </c>
    </row>
    <row r="164" spans="1:11" x14ac:dyDescent="0.25">
      <c r="A164" s="81">
        <v>2024295</v>
      </c>
      <c r="B164" s="78">
        <v>45360</v>
      </c>
      <c r="C164" s="79">
        <v>511</v>
      </c>
      <c r="D164" s="42" t="s">
        <v>1995</v>
      </c>
      <c r="E164" s="42" t="s">
        <v>1707</v>
      </c>
      <c r="F164" s="80">
        <v>0</v>
      </c>
      <c r="G164" s="80">
        <v>974</v>
      </c>
      <c r="H164" s="80">
        <v>0</v>
      </c>
      <c r="I164" s="42" t="s">
        <v>1727</v>
      </c>
      <c r="J164" s="80">
        <v>974</v>
      </c>
      <c r="K164" s="42" t="s">
        <v>244</v>
      </c>
    </row>
    <row r="165" spans="1:11" x14ac:dyDescent="0.25">
      <c r="A165" s="81">
        <v>2024295</v>
      </c>
      <c r="B165" s="78">
        <v>45360</v>
      </c>
      <c r="C165" s="79">
        <v>510</v>
      </c>
      <c r="D165" s="42" t="s">
        <v>1995</v>
      </c>
      <c r="E165" s="42" t="s">
        <v>433</v>
      </c>
      <c r="F165" s="80">
        <v>1126</v>
      </c>
      <c r="G165" s="80">
        <v>0</v>
      </c>
      <c r="H165" s="80">
        <v>0</v>
      </c>
      <c r="I165" s="42" t="s">
        <v>1727</v>
      </c>
      <c r="J165" s="80">
        <v>1126</v>
      </c>
      <c r="K165" s="42" t="s">
        <v>244</v>
      </c>
    </row>
    <row r="166" spans="1:11" x14ac:dyDescent="0.25">
      <c r="A166" s="81">
        <v>2024298</v>
      </c>
      <c r="B166" s="78">
        <v>45360</v>
      </c>
      <c r="C166" s="79">
        <v>509</v>
      </c>
      <c r="D166" s="42" t="s">
        <v>1994</v>
      </c>
      <c r="E166" s="42" t="s">
        <v>1730</v>
      </c>
      <c r="F166" s="80">
        <v>2374</v>
      </c>
      <c r="G166" s="80">
        <v>0</v>
      </c>
      <c r="H166" s="80">
        <v>0</v>
      </c>
      <c r="I166" s="42">
        <v>0</v>
      </c>
      <c r="J166" s="80">
        <v>2374</v>
      </c>
      <c r="K166" s="42" t="s">
        <v>1736</v>
      </c>
    </row>
    <row r="167" spans="1:11" x14ac:dyDescent="0.25">
      <c r="A167" s="81">
        <v>2024286</v>
      </c>
      <c r="B167" s="78">
        <v>45360</v>
      </c>
      <c r="C167" s="79">
        <v>508</v>
      </c>
      <c r="D167" s="42" t="s">
        <v>1993</v>
      </c>
      <c r="E167" s="42" t="s">
        <v>1708</v>
      </c>
      <c r="F167" s="80">
        <v>0</v>
      </c>
      <c r="G167" s="80">
        <v>377</v>
      </c>
      <c r="H167" s="80">
        <v>0</v>
      </c>
      <c r="I167" s="42" t="s">
        <v>1727</v>
      </c>
      <c r="J167" s="80">
        <v>377</v>
      </c>
      <c r="K167" s="42">
        <v>3</v>
      </c>
    </row>
    <row r="168" spans="1:11" x14ac:dyDescent="0.25">
      <c r="A168" s="81">
        <v>2024286</v>
      </c>
      <c r="B168" s="78">
        <v>45360</v>
      </c>
      <c r="C168" s="79">
        <v>507</v>
      </c>
      <c r="D168" s="42" t="s">
        <v>1993</v>
      </c>
      <c r="E168" s="42" t="s">
        <v>433</v>
      </c>
      <c r="F168" s="80">
        <v>0</v>
      </c>
      <c r="G168" s="80">
        <v>823</v>
      </c>
      <c r="H168" s="80">
        <v>0</v>
      </c>
      <c r="I168" s="42" t="s">
        <v>1727</v>
      </c>
      <c r="J168" s="80">
        <v>823</v>
      </c>
      <c r="K168" s="42">
        <v>3</v>
      </c>
    </row>
    <row r="169" spans="1:11" x14ac:dyDescent="0.25">
      <c r="A169" s="81">
        <v>2024286</v>
      </c>
      <c r="B169" s="78">
        <v>45360</v>
      </c>
      <c r="C169" s="79">
        <v>506</v>
      </c>
      <c r="D169" s="42" t="s">
        <v>1993</v>
      </c>
      <c r="E169" s="42" t="s">
        <v>1706</v>
      </c>
      <c r="F169" s="80">
        <v>1200</v>
      </c>
      <c r="G169" s="80">
        <v>0</v>
      </c>
      <c r="H169" s="80">
        <v>0</v>
      </c>
      <c r="I169" s="42">
        <v>0</v>
      </c>
      <c r="J169" s="80">
        <v>1200</v>
      </c>
      <c r="K169" s="42" t="s">
        <v>1736</v>
      </c>
    </row>
    <row r="170" spans="1:11" x14ac:dyDescent="0.25">
      <c r="A170" s="81">
        <v>2024301</v>
      </c>
      <c r="B170" s="78">
        <v>45360</v>
      </c>
      <c r="C170" s="79">
        <v>505</v>
      </c>
      <c r="D170" s="42" t="s">
        <v>1991</v>
      </c>
      <c r="E170" s="42" t="s">
        <v>1731</v>
      </c>
      <c r="F170" s="80">
        <v>974</v>
      </c>
      <c r="G170" s="80">
        <v>0</v>
      </c>
      <c r="H170" s="80">
        <v>0</v>
      </c>
      <c r="I170" s="42" t="s">
        <v>1727</v>
      </c>
      <c r="J170" s="80">
        <v>974</v>
      </c>
      <c r="K170" s="42">
        <v>21</v>
      </c>
    </row>
    <row r="171" spans="1:11" x14ac:dyDescent="0.25">
      <c r="A171" s="81">
        <v>2024301</v>
      </c>
      <c r="B171" s="78">
        <v>45360</v>
      </c>
      <c r="C171" s="79">
        <v>504</v>
      </c>
      <c r="D171" s="42" t="s">
        <v>1992</v>
      </c>
      <c r="E171" s="42" t="s">
        <v>433</v>
      </c>
      <c r="F171" s="80">
        <v>1646</v>
      </c>
      <c r="G171" s="80">
        <v>0</v>
      </c>
      <c r="H171" s="80">
        <v>0</v>
      </c>
      <c r="I171" s="42" t="s">
        <v>1727</v>
      </c>
      <c r="J171" s="80">
        <v>1646</v>
      </c>
      <c r="K171" s="42">
        <v>19</v>
      </c>
    </row>
    <row r="172" spans="1:11" x14ac:dyDescent="0.25">
      <c r="A172" s="81">
        <v>2024301</v>
      </c>
      <c r="B172" s="78">
        <v>45360</v>
      </c>
      <c r="C172" s="79">
        <v>503</v>
      </c>
      <c r="D172" s="42" t="s">
        <v>1991</v>
      </c>
      <c r="E172" s="42" t="s">
        <v>1730</v>
      </c>
      <c r="F172" s="80">
        <v>2620</v>
      </c>
      <c r="G172" s="80">
        <v>0</v>
      </c>
      <c r="H172" s="80">
        <v>0</v>
      </c>
      <c r="I172" s="42">
        <v>0</v>
      </c>
      <c r="J172" s="80">
        <v>2620</v>
      </c>
      <c r="K172" s="42" t="s">
        <v>1736</v>
      </c>
    </row>
    <row r="173" spans="1:11" x14ac:dyDescent="0.25">
      <c r="A173" s="81">
        <v>2024287</v>
      </c>
      <c r="B173" s="78">
        <v>45360</v>
      </c>
      <c r="C173" s="79">
        <v>502</v>
      </c>
      <c r="D173" s="42" t="s">
        <v>1990</v>
      </c>
      <c r="E173" s="42" t="s">
        <v>1707</v>
      </c>
      <c r="F173" s="80">
        <v>0</v>
      </c>
      <c r="G173" s="80">
        <v>627</v>
      </c>
      <c r="H173" s="80">
        <v>0</v>
      </c>
      <c r="I173" s="42" t="s">
        <v>1727</v>
      </c>
      <c r="J173" s="80">
        <v>627</v>
      </c>
      <c r="K173" s="42">
        <v>0</v>
      </c>
    </row>
    <row r="174" spans="1:11" x14ac:dyDescent="0.25">
      <c r="A174" s="81">
        <v>2024287</v>
      </c>
      <c r="B174" s="78">
        <v>45360</v>
      </c>
      <c r="C174" s="79">
        <v>501</v>
      </c>
      <c r="D174" s="42" t="s">
        <v>1990</v>
      </c>
      <c r="E174" s="42" t="s">
        <v>433</v>
      </c>
      <c r="F174" s="80">
        <v>0</v>
      </c>
      <c r="G174" s="80">
        <v>823</v>
      </c>
      <c r="H174" s="80">
        <v>0</v>
      </c>
      <c r="I174" s="42" t="s">
        <v>1727</v>
      </c>
      <c r="J174" s="80">
        <v>823</v>
      </c>
      <c r="K174" s="42">
        <v>0</v>
      </c>
    </row>
    <row r="175" spans="1:11" x14ac:dyDescent="0.25">
      <c r="A175" s="81">
        <v>2024287</v>
      </c>
      <c r="B175" s="78">
        <v>45360</v>
      </c>
      <c r="C175" s="79">
        <v>500</v>
      </c>
      <c r="D175" s="42" t="s">
        <v>1990</v>
      </c>
      <c r="E175" s="42" t="s">
        <v>1705</v>
      </c>
      <c r="F175" s="80">
        <v>0</v>
      </c>
      <c r="G175" s="80">
        <v>1450</v>
      </c>
      <c r="H175" s="80">
        <v>0</v>
      </c>
      <c r="I175" s="42">
        <v>0</v>
      </c>
      <c r="J175" s="80">
        <v>1450</v>
      </c>
      <c r="K175" s="42" t="s">
        <v>1736</v>
      </c>
    </row>
    <row r="176" spans="1:11" x14ac:dyDescent="0.25">
      <c r="A176" s="81">
        <v>2024303</v>
      </c>
      <c r="B176" s="78">
        <v>45360</v>
      </c>
      <c r="C176" s="79">
        <v>499</v>
      </c>
      <c r="D176" s="42" t="s">
        <v>1989</v>
      </c>
      <c r="E176" s="42" t="s">
        <v>1705</v>
      </c>
      <c r="F176" s="80">
        <v>0</v>
      </c>
      <c r="G176" s="80">
        <v>1433</v>
      </c>
      <c r="H176" s="80">
        <v>0</v>
      </c>
      <c r="I176" s="42">
        <v>0</v>
      </c>
      <c r="J176" s="80">
        <v>1433</v>
      </c>
      <c r="K176" s="42" t="s">
        <v>1736</v>
      </c>
    </row>
    <row r="177" spans="1:11" x14ac:dyDescent="0.25">
      <c r="A177" s="81">
        <v>2024290</v>
      </c>
      <c r="B177" s="78">
        <v>45360</v>
      </c>
      <c r="C177" s="79">
        <v>498</v>
      </c>
      <c r="D177" s="42" t="s">
        <v>1988</v>
      </c>
      <c r="E177" s="42" t="s">
        <v>1708</v>
      </c>
      <c r="F177" s="80">
        <v>364</v>
      </c>
      <c r="G177" s="80">
        <v>0</v>
      </c>
      <c r="H177" s="80">
        <v>0</v>
      </c>
      <c r="I177" s="42" t="s">
        <v>1840</v>
      </c>
      <c r="J177" s="80">
        <v>364</v>
      </c>
      <c r="K177" s="42" t="s">
        <v>244</v>
      </c>
    </row>
    <row r="178" spans="1:11" x14ac:dyDescent="0.25">
      <c r="A178" s="81">
        <v>2024290</v>
      </c>
      <c r="B178" s="78">
        <v>45360</v>
      </c>
      <c r="C178" s="79">
        <v>497</v>
      </c>
      <c r="D178" s="42" t="s">
        <v>1988</v>
      </c>
      <c r="E178" s="42" t="s">
        <v>433</v>
      </c>
      <c r="F178" s="80">
        <v>736</v>
      </c>
      <c r="G178" s="80">
        <v>0</v>
      </c>
      <c r="H178" s="80">
        <v>0</v>
      </c>
      <c r="I178" s="42" t="s">
        <v>1840</v>
      </c>
      <c r="J178" s="80">
        <v>736</v>
      </c>
      <c r="K178" s="42" t="s">
        <v>244</v>
      </c>
    </row>
    <row r="179" spans="1:11" x14ac:dyDescent="0.25">
      <c r="A179" s="81">
        <v>2024290</v>
      </c>
      <c r="B179" s="78">
        <v>45360</v>
      </c>
      <c r="C179" s="79">
        <v>496</v>
      </c>
      <c r="D179" s="42" t="s">
        <v>1988</v>
      </c>
      <c r="E179" s="42" t="s">
        <v>1708</v>
      </c>
      <c r="F179" s="80">
        <v>364</v>
      </c>
      <c r="G179" s="80">
        <v>0</v>
      </c>
      <c r="H179" s="80">
        <v>0</v>
      </c>
      <c r="I179" s="42" t="s">
        <v>1748</v>
      </c>
      <c r="J179" s="80">
        <v>364</v>
      </c>
      <c r="K179" s="42" t="s">
        <v>244</v>
      </c>
    </row>
    <row r="180" spans="1:11" x14ac:dyDescent="0.25">
      <c r="A180" s="81">
        <v>2024290</v>
      </c>
      <c r="B180" s="78">
        <v>45360</v>
      </c>
      <c r="C180" s="79">
        <v>495</v>
      </c>
      <c r="D180" s="42" t="s">
        <v>1988</v>
      </c>
      <c r="E180" s="42" t="s">
        <v>433</v>
      </c>
      <c r="F180" s="80">
        <v>736</v>
      </c>
      <c r="G180" s="80">
        <v>0</v>
      </c>
      <c r="H180" s="80">
        <v>0</v>
      </c>
      <c r="I180" s="42" t="s">
        <v>1748</v>
      </c>
      <c r="J180" s="80">
        <v>736</v>
      </c>
      <c r="K180" s="42" t="s">
        <v>244</v>
      </c>
    </row>
    <row r="181" spans="1:11" x14ac:dyDescent="0.25">
      <c r="A181" s="81">
        <v>2024290</v>
      </c>
      <c r="B181" s="78">
        <v>45360</v>
      </c>
      <c r="C181" s="79">
        <v>494</v>
      </c>
      <c r="D181" s="42" t="s">
        <v>1988</v>
      </c>
      <c r="E181" s="42" t="s">
        <v>1708</v>
      </c>
      <c r="F181" s="80">
        <v>364</v>
      </c>
      <c r="G181" s="80">
        <v>0</v>
      </c>
      <c r="H181" s="80">
        <v>0</v>
      </c>
      <c r="I181" s="42" t="s">
        <v>1727</v>
      </c>
      <c r="J181" s="80">
        <v>364</v>
      </c>
      <c r="K181" s="42" t="s">
        <v>244</v>
      </c>
    </row>
    <row r="182" spans="1:11" x14ac:dyDescent="0.25">
      <c r="A182" s="81">
        <v>2024290</v>
      </c>
      <c r="B182" s="78">
        <v>45360</v>
      </c>
      <c r="C182" s="79">
        <v>493</v>
      </c>
      <c r="D182" s="42" t="s">
        <v>1988</v>
      </c>
      <c r="E182" s="42" t="s">
        <v>433</v>
      </c>
      <c r="F182" s="80">
        <v>736</v>
      </c>
      <c r="G182" s="80">
        <v>0</v>
      </c>
      <c r="H182" s="80">
        <v>0</v>
      </c>
      <c r="I182" s="42" t="s">
        <v>1727</v>
      </c>
      <c r="J182" s="80">
        <v>736</v>
      </c>
      <c r="K182" s="42" t="s">
        <v>244</v>
      </c>
    </row>
    <row r="183" spans="1:11" x14ac:dyDescent="0.25">
      <c r="A183" s="81">
        <v>2024290</v>
      </c>
      <c r="B183" s="78">
        <v>45360</v>
      </c>
      <c r="C183" s="79">
        <v>492</v>
      </c>
      <c r="D183" s="42" t="s">
        <v>1988</v>
      </c>
      <c r="E183" s="42" t="s">
        <v>1706</v>
      </c>
      <c r="F183" s="80">
        <v>1100</v>
      </c>
      <c r="G183" s="80">
        <v>0</v>
      </c>
      <c r="H183" s="80">
        <v>0</v>
      </c>
      <c r="I183" s="42">
        <v>0</v>
      </c>
      <c r="J183" s="80">
        <v>1100</v>
      </c>
      <c r="K183" s="42" t="s">
        <v>1736</v>
      </c>
    </row>
    <row r="184" spans="1:11" x14ac:dyDescent="0.25">
      <c r="A184" s="81">
        <v>2024297</v>
      </c>
      <c r="B184" s="78">
        <v>45360</v>
      </c>
      <c r="C184" s="79">
        <v>491</v>
      </c>
      <c r="D184" s="42" t="s">
        <v>1987</v>
      </c>
      <c r="E184" s="42" t="s">
        <v>1731</v>
      </c>
      <c r="F184" s="80">
        <v>728</v>
      </c>
      <c r="G184" s="80">
        <v>0</v>
      </c>
      <c r="H184" s="80">
        <v>0</v>
      </c>
      <c r="I184" s="42" t="s">
        <v>1748</v>
      </c>
      <c r="J184" s="80">
        <v>728</v>
      </c>
      <c r="K184" s="42">
        <v>0</v>
      </c>
    </row>
    <row r="185" spans="1:11" x14ac:dyDescent="0.25">
      <c r="A185" s="81">
        <v>2024297</v>
      </c>
      <c r="B185" s="78">
        <v>45360</v>
      </c>
      <c r="C185" s="79">
        <v>490</v>
      </c>
      <c r="D185" s="42" t="s">
        <v>1987</v>
      </c>
      <c r="E185" s="42" t="s">
        <v>433</v>
      </c>
      <c r="F185" s="80">
        <v>1646</v>
      </c>
      <c r="G185" s="80">
        <v>0</v>
      </c>
      <c r="H185" s="80">
        <v>0</v>
      </c>
      <c r="I185" s="42" t="s">
        <v>1748</v>
      </c>
      <c r="J185" s="80">
        <v>1646</v>
      </c>
      <c r="K185" s="42">
        <v>0</v>
      </c>
    </row>
    <row r="186" spans="1:11" x14ac:dyDescent="0.25">
      <c r="A186" s="81">
        <v>2024297</v>
      </c>
      <c r="B186" s="78">
        <v>45360</v>
      </c>
      <c r="C186" s="79">
        <v>489</v>
      </c>
      <c r="D186" s="42" t="s">
        <v>1987</v>
      </c>
      <c r="E186" s="42" t="s">
        <v>1731</v>
      </c>
      <c r="F186" s="80">
        <v>728</v>
      </c>
      <c r="G186" s="80">
        <v>0</v>
      </c>
      <c r="H186" s="80">
        <v>0</v>
      </c>
      <c r="I186" s="42" t="s">
        <v>1727</v>
      </c>
      <c r="J186" s="80">
        <v>728</v>
      </c>
      <c r="K186" s="42">
        <v>174</v>
      </c>
    </row>
    <row r="187" spans="1:11" x14ac:dyDescent="0.25">
      <c r="A187" s="81">
        <v>2024297</v>
      </c>
      <c r="B187" s="78">
        <v>45360</v>
      </c>
      <c r="C187" s="79">
        <v>488</v>
      </c>
      <c r="D187" s="42" t="s">
        <v>1987</v>
      </c>
      <c r="E187" s="42" t="s">
        <v>433</v>
      </c>
      <c r="F187" s="80">
        <v>1646</v>
      </c>
      <c r="G187" s="80">
        <v>0</v>
      </c>
      <c r="H187" s="80">
        <v>0</v>
      </c>
      <c r="I187" s="42" t="s">
        <v>1727</v>
      </c>
      <c r="J187" s="80">
        <v>1646</v>
      </c>
      <c r="K187" s="42">
        <v>172</v>
      </c>
    </row>
    <row r="188" spans="1:11" x14ac:dyDescent="0.25">
      <c r="A188" s="81">
        <v>2024294</v>
      </c>
      <c r="B188" s="78">
        <v>45360</v>
      </c>
      <c r="C188" s="79">
        <v>487</v>
      </c>
      <c r="D188" s="42" t="s">
        <v>1983</v>
      </c>
      <c r="E188" s="42" t="s">
        <v>1705</v>
      </c>
      <c r="F188" s="80">
        <v>1450</v>
      </c>
      <c r="G188" s="80">
        <v>0</v>
      </c>
      <c r="H188" s="80">
        <v>0</v>
      </c>
      <c r="I188" s="42">
        <v>0</v>
      </c>
      <c r="J188" s="80">
        <v>1450</v>
      </c>
      <c r="K188" s="42" t="s">
        <v>1736</v>
      </c>
    </row>
    <row r="189" spans="1:11" x14ac:dyDescent="0.25">
      <c r="A189" s="81">
        <v>2024322</v>
      </c>
      <c r="B189" s="78">
        <v>45360</v>
      </c>
      <c r="C189" s="79">
        <v>486</v>
      </c>
      <c r="D189" s="42" t="s">
        <v>1868</v>
      </c>
      <c r="E189" s="42" t="s">
        <v>1707</v>
      </c>
      <c r="F189" s="80">
        <v>0</v>
      </c>
      <c r="G189" s="80">
        <v>677</v>
      </c>
      <c r="H189" s="80">
        <v>0</v>
      </c>
      <c r="I189" s="42" t="s">
        <v>1727</v>
      </c>
      <c r="J189" s="80">
        <v>677</v>
      </c>
      <c r="K189" s="42">
        <v>0</v>
      </c>
    </row>
    <row r="190" spans="1:11" x14ac:dyDescent="0.25">
      <c r="A190" s="81">
        <v>2024322</v>
      </c>
      <c r="B190" s="78">
        <v>45360</v>
      </c>
      <c r="C190" s="79">
        <v>485</v>
      </c>
      <c r="D190" s="42" t="s">
        <v>1868</v>
      </c>
      <c r="E190" s="42" t="s">
        <v>433</v>
      </c>
      <c r="F190" s="80">
        <v>0</v>
      </c>
      <c r="G190" s="80">
        <v>823</v>
      </c>
      <c r="H190" s="80">
        <v>0</v>
      </c>
      <c r="I190" s="42" t="s">
        <v>1727</v>
      </c>
      <c r="J190" s="80">
        <v>823</v>
      </c>
      <c r="K190" s="42">
        <v>0</v>
      </c>
    </row>
    <row r="191" spans="1:11" x14ac:dyDescent="0.25">
      <c r="A191" s="81">
        <v>2024302</v>
      </c>
      <c r="B191" s="78">
        <v>45360</v>
      </c>
      <c r="C191" s="79">
        <v>484</v>
      </c>
      <c r="D191" s="42" t="s">
        <v>1979</v>
      </c>
      <c r="E191" s="42" t="s">
        <v>1708</v>
      </c>
      <c r="F191" s="80">
        <v>0</v>
      </c>
      <c r="G191" s="80">
        <v>364</v>
      </c>
      <c r="H191" s="80">
        <v>0</v>
      </c>
      <c r="I191" s="42" t="s">
        <v>1727</v>
      </c>
      <c r="J191" s="80">
        <v>364</v>
      </c>
      <c r="K191" s="42">
        <v>95</v>
      </c>
    </row>
    <row r="192" spans="1:11" x14ac:dyDescent="0.25">
      <c r="A192" s="81">
        <v>2024302</v>
      </c>
      <c r="B192" s="78">
        <v>45360</v>
      </c>
      <c r="C192" s="79">
        <v>483</v>
      </c>
      <c r="D192" s="42" t="s">
        <v>1979</v>
      </c>
      <c r="E192" s="42" t="s">
        <v>433</v>
      </c>
      <c r="F192" s="80">
        <v>0</v>
      </c>
      <c r="G192" s="80">
        <v>823</v>
      </c>
      <c r="H192" s="80">
        <v>0</v>
      </c>
      <c r="I192" s="42" t="s">
        <v>1727</v>
      </c>
      <c r="J192" s="80">
        <v>823</v>
      </c>
      <c r="K192" s="42">
        <v>89</v>
      </c>
    </row>
    <row r="193" spans="1:11" x14ac:dyDescent="0.25">
      <c r="A193" s="81">
        <v>2024302</v>
      </c>
      <c r="B193" s="78">
        <v>45360</v>
      </c>
      <c r="C193" s="79">
        <v>482</v>
      </c>
      <c r="D193" s="42" t="s">
        <v>1979</v>
      </c>
      <c r="E193" s="42" t="s">
        <v>1706</v>
      </c>
      <c r="F193" s="80">
        <v>1187</v>
      </c>
      <c r="G193" s="80">
        <v>0</v>
      </c>
      <c r="H193" s="80">
        <v>0</v>
      </c>
      <c r="I193" s="42">
        <v>0</v>
      </c>
      <c r="J193" s="80">
        <v>1187</v>
      </c>
      <c r="K193" s="42" t="s">
        <v>1736</v>
      </c>
    </row>
    <row r="194" spans="1:11" x14ac:dyDescent="0.25">
      <c r="A194" s="81">
        <v>2024304</v>
      </c>
      <c r="B194" s="78">
        <v>45360</v>
      </c>
      <c r="C194" s="79">
        <v>481</v>
      </c>
      <c r="D194" s="42" t="s">
        <v>1978</v>
      </c>
      <c r="E194" s="42" t="s">
        <v>1707</v>
      </c>
      <c r="F194" s="80">
        <v>0</v>
      </c>
      <c r="G194" s="80">
        <v>728</v>
      </c>
      <c r="H194" s="80">
        <v>0</v>
      </c>
      <c r="I194" s="42" t="s">
        <v>1748</v>
      </c>
      <c r="J194" s="80">
        <v>728</v>
      </c>
      <c r="K194" s="42">
        <v>101</v>
      </c>
    </row>
    <row r="195" spans="1:11" x14ac:dyDescent="0.25">
      <c r="A195" s="81">
        <v>2024304</v>
      </c>
      <c r="B195" s="78">
        <v>45360</v>
      </c>
      <c r="C195" s="79">
        <v>480</v>
      </c>
      <c r="D195" s="42" t="s">
        <v>1978</v>
      </c>
      <c r="E195" s="42" t="s">
        <v>433</v>
      </c>
      <c r="F195" s="80">
        <v>0</v>
      </c>
      <c r="G195" s="80">
        <v>1646</v>
      </c>
      <c r="H195" s="80">
        <v>0</v>
      </c>
      <c r="I195" s="42" t="s">
        <v>1748</v>
      </c>
      <c r="J195" s="80">
        <v>1646</v>
      </c>
      <c r="K195" s="42">
        <v>92</v>
      </c>
    </row>
    <row r="196" spans="1:11" x14ac:dyDescent="0.25">
      <c r="A196" s="81">
        <v>2024304</v>
      </c>
      <c r="B196" s="78">
        <v>45360</v>
      </c>
      <c r="C196" s="79">
        <v>479</v>
      </c>
      <c r="D196" s="42" t="s">
        <v>1978</v>
      </c>
      <c r="E196" s="42" t="s">
        <v>1707</v>
      </c>
      <c r="F196" s="80">
        <v>0</v>
      </c>
      <c r="G196" s="80">
        <v>728</v>
      </c>
      <c r="H196" s="80">
        <v>0</v>
      </c>
      <c r="I196" s="42" t="s">
        <v>1727</v>
      </c>
      <c r="J196" s="80">
        <v>728</v>
      </c>
      <c r="K196" s="42">
        <v>100</v>
      </c>
    </row>
    <row r="197" spans="1:11" x14ac:dyDescent="0.25">
      <c r="A197" s="81">
        <v>2024304</v>
      </c>
      <c r="B197" s="78">
        <v>45360</v>
      </c>
      <c r="C197" s="79">
        <v>478</v>
      </c>
      <c r="D197" s="42" t="s">
        <v>1978</v>
      </c>
      <c r="E197" s="42" t="s">
        <v>433</v>
      </c>
      <c r="F197" s="80">
        <v>0</v>
      </c>
      <c r="G197" s="80">
        <v>1646</v>
      </c>
      <c r="H197" s="80">
        <v>0</v>
      </c>
      <c r="I197" s="42" t="s">
        <v>1727</v>
      </c>
      <c r="J197" s="80">
        <v>1646</v>
      </c>
      <c r="K197" s="42">
        <v>91</v>
      </c>
    </row>
    <row r="198" spans="1:11" x14ac:dyDescent="0.25">
      <c r="A198" s="81">
        <v>2024285</v>
      </c>
      <c r="B198" s="78">
        <v>45360</v>
      </c>
      <c r="C198" s="79">
        <v>477</v>
      </c>
      <c r="D198" s="42" t="s">
        <v>1975</v>
      </c>
      <c r="E198" s="42" t="s">
        <v>1708</v>
      </c>
      <c r="F198" s="80">
        <v>0</v>
      </c>
      <c r="G198" s="80">
        <v>377</v>
      </c>
      <c r="H198" s="80">
        <v>0</v>
      </c>
      <c r="I198" s="42" t="s">
        <v>1748</v>
      </c>
      <c r="J198" s="80">
        <v>377</v>
      </c>
      <c r="K198" s="42">
        <v>108</v>
      </c>
    </row>
    <row r="199" spans="1:11" x14ac:dyDescent="0.25">
      <c r="A199" s="81">
        <v>2024285</v>
      </c>
      <c r="B199" s="78">
        <v>45360</v>
      </c>
      <c r="C199" s="79">
        <v>476</v>
      </c>
      <c r="D199" s="42" t="s">
        <v>1975</v>
      </c>
      <c r="E199" s="42" t="s">
        <v>433</v>
      </c>
      <c r="F199" s="80">
        <v>0</v>
      </c>
      <c r="G199" s="80">
        <v>823</v>
      </c>
      <c r="H199" s="80">
        <v>0</v>
      </c>
      <c r="I199" s="42" t="s">
        <v>1748</v>
      </c>
      <c r="J199" s="80">
        <v>823</v>
      </c>
      <c r="K199" s="42">
        <v>101</v>
      </c>
    </row>
    <row r="200" spans="1:11" x14ac:dyDescent="0.25">
      <c r="A200" s="81">
        <v>2024285</v>
      </c>
      <c r="B200" s="78">
        <v>45360</v>
      </c>
      <c r="C200" s="79">
        <v>475</v>
      </c>
      <c r="D200" s="42" t="s">
        <v>1975</v>
      </c>
      <c r="E200" s="42" t="s">
        <v>1708</v>
      </c>
      <c r="F200" s="80">
        <v>0</v>
      </c>
      <c r="G200" s="80">
        <v>377</v>
      </c>
      <c r="H200" s="80">
        <v>0</v>
      </c>
      <c r="I200" s="42" t="s">
        <v>1727</v>
      </c>
      <c r="J200" s="80">
        <v>377</v>
      </c>
      <c r="K200" s="42">
        <v>11</v>
      </c>
    </row>
    <row r="201" spans="1:11" x14ac:dyDescent="0.25">
      <c r="A201" s="81">
        <v>2024285</v>
      </c>
      <c r="B201" s="78">
        <v>45360</v>
      </c>
      <c r="C201" s="79">
        <v>474</v>
      </c>
      <c r="D201" s="42" t="s">
        <v>1975</v>
      </c>
      <c r="E201" s="42" t="s">
        <v>433</v>
      </c>
      <c r="F201" s="80">
        <v>0</v>
      </c>
      <c r="G201" s="80">
        <v>823</v>
      </c>
      <c r="H201" s="80">
        <v>0</v>
      </c>
      <c r="I201" s="42" t="s">
        <v>1727</v>
      </c>
      <c r="J201" s="80">
        <v>823</v>
      </c>
      <c r="K201" s="42">
        <v>8</v>
      </c>
    </row>
    <row r="202" spans="1:11" x14ac:dyDescent="0.25">
      <c r="A202" s="81">
        <v>2024285</v>
      </c>
      <c r="B202" s="78">
        <v>45360</v>
      </c>
      <c r="C202" s="79">
        <v>473</v>
      </c>
      <c r="D202" s="42" t="s">
        <v>1975</v>
      </c>
      <c r="E202" s="42" t="s">
        <v>1706</v>
      </c>
      <c r="F202" s="80">
        <v>0</v>
      </c>
      <c r="G202" s="80">
        <v>1200</v>
      </c>
      <c r="H202" s="80">
        <v>0</v>
      </c>
      <c r="I202" s="42">
        <v>0</v>
      </c>
      <c r="J202" s="80">
        <v>1200</v>
      </c>
      <c r="K202" s="42" t="s">
        <v>1736</v>
      </c>
    </row>
    <row r="203" spans="1:11" x14ac:dyDescent="0.25">
      <c r="A203" s="81">
        <v>2024284</v>
      </c>
      <c r="B203" s="78">
        <v>45360</v>
      </c>
      <c r="C203" s="79">
        <v>472</v>
      </c>
      <c r="D203" s="42" t="s">
        <v>1974</v>
      </c>
      <c r="E203" s="42" t="s">
        <v>433</v>
      </c>
      <c r="F203" s="80">
        <v>823</v>
      </c>
      <c r="G203" s="80">
        <v>0</v>
      </c>
      <c r="H203" s="80">
        <v>0</v>
      </c>
      <c r="I203" s="42" t="s">
        <v>1727</v>
      </c>
      <c r="J203" s="80">
        <v>823</v>
      </c>
      <c r="K203" s="42">
        <v>163</v>
      </c>
    </row>
    <row r="204" spans="1:11" x14ac:dyDescent="0.25">
      <c r="A204" s="81">
        <v>2024284</v>
      </c>
      <c r="B204" s="78">
        <v>45360</v>
      </c>
      <c r="C204" s="79">
        <v>471</v>
      </c>
      <c r="D204" s="42" t="s">
        <v>1974</v>
      </c>
      <c r="E204" s="42" t="s">
        <v>1707</v>
      </c>
      <c r="F204" s="80">
        <v>364</v>
      </c>
      <c r="G204" s="80">
        <v>0</v>
      </c>
      <c r="H204" s="80">
        <v>0</v>
      </c>
      <c r="I204" s="42" t="s">
        <v>1727</v>
      </c>
      <c r="J204" s="80">
        <v>364</v>
      </c>
      <c r="K204" s="42">
        <v>162</v>
      </c>
    </row>
    <row r="205" spans="1:11" x14ac:dyDescent="0.25">
      <c r="A205" s="81">
        <v>2024115</v>
      </c>
      <c r="B205" s="78">
        <v>45360</v>
      </c>
      <c r="C205" s="79">
        <v>470</v>
      </c>
      <c r="D205" s="42" t="s">
        <v>1973</v>
      </c>
      <c r="E205" s="42" t="s">
        <v>1708</v>
      </c>
      <c r="F205" s="80">
        <v>364</v>
      </c>
      <c r="G205" s="80">
        <v>0</v>
      </c>
      <c r="H205" s="80">
        <v>0</v>
      </c>
      <c r="I205" s="42" t="s">
        <v>1748</v>
      </c>
      <c r="J205" s="80">
        <v>364</v>
      </c>
      <c r="K205" s="42">
        <v>110</v>
      </c>
    </row>
    <row r="206" spans="1:11" x14ac:dyDescent="0.25">
      <c r="A206" s="81">
        <v>2024115</v>
      </c>
      <c r="B206" s="78">
        <v>45360</v>
      </c>
      <c r="C206" s="79">
        <v>469</v>
      </c>
      <c r="D206" s="42" t="s">
        <v>1973</v>
      </c>
      <c r="E206" s="42" t="s">
        <v>433</v>
      </c>
      <c r="F206" s="80">
        <v>823</v>
      </c>
      <c r="G206" s="80">
        <v>0</v>
      </c>
      <c r="H206" s="80">
        <v>0</v>
      </c>
      <c r="I206" s="42" t="s">
        <v>1748</v>
      </c>
      <c r="J206" s="80">
        <v>823</v>
      </c>
      <c r="K206" s="42">
        <v>104</v>
      </c>
    </row>
    <row r="207" spans="1:11" x14ac:dyDescent="0.25">
      <c r="A207" s="81">
        <v>2024279</v>
      </c>
      <c r="B207" s="78">
        <v>45359</v>
      </c>
      <c r="C207" s="79">
        <v>468</v>
      </c>
      <c r="D207" s="42" t="s">
        <v>1972</v>
      </c>
      <c r="E207" s="42" t="s">
        <v>1705</v>
      </c>
      <c r="F207" s="80">
        <v>1187</v>
      </c>
      <c r="G207" s="80">
        <v>0</v>
      </c>
      <c r="H207" s="80">
        <v>0</v>
      </c>
      <c r="I207" s="42">
        <v>0</v>
      </c>
      <c r="J207" s="80">
        <v>1187</v>
      </c>
      <c r="K207" s="42" t="s">
        <v>1736</v>
      </c>
    </row>
    <row r="208" spans="1:11" x14ac:dyDescent="0.25">
      <c r="A208" s="81">
        <v>2024280</v>
      </c>
      <c r="B208" s="78">
        <v>45359</v>
      </c>
      <c r="C208" s="79">
        <v>467</v>
      </c>
      <c r="D208" s="42" t="s">
        <v>1971</v>
      </c>
      <c r="E208" s="42" t="s">
        <v>1730</v>
      </c>
      <c r="F208" s="80">
        <v>0</v>
      </c>
      <c r="G208" s="80">
        <v>2374</v>
      </c>
      <c r="H208" s="80">
        <v>0</v>
      </c>
      <c r="I208" s="42">
        <v>0</v>
      </c>
      <c r="J208" s="80">
        <v>2374</v>
      </c>
      <c r="K208" s="42" t="s">
        <v>1736</v>
      </c>
    </row>
    <row r="209" spans="1:11" x14ac:dyDescent="0.25">
      <c r="A209" s="81">
        <v>2024283</v>
      </c>
      <c r="B209" s="78">
        <v>45359</v>
      </c>
      <c r="C209" s="79">
        <v>466</v>
      </c>
      <c r="D209" s="42" t="s">
        <v>1969</v>
      </c>
      <c r="E209" s="42" t="s">
        <v>1708</v>
      </c>
      <c r="F209" s="80">
        <v>364</v>
      </c>
      <c r="G209" s="80">
        <v>0</v>
      </c>
      <c r="H209" s="80">
        <v>0</v>
      </c>
      <c r="I209" s="42" t="s">
        <v>1727</v>
      </c>
      <c r="J209" s="80">
        <v>364</v>
      </c>
      <c r="K209" s="42">
        <v>43</v>
      </c>
    </row>
    <row r="210" spans="1:11" x14ac:dyDescent="0.25">
      <c r="A210" s="81">
        <v>2024283</v>
      </c>
      <c r="B210" s="78">
        <v>45359</v>
      </c>
      <c r="C210" s="79">
        <v>465</v>
      </c>
      <c r="D210" s="42" t="s">
        <v>1969</v>
      </c>
      <c r="E210" s="42" t="s">
        <v>433</v>
      </c>
      <c r="F210" s="80">
        <v>823</v>
      </c>
      <c r="G210" s="80">
        <v>0</v>
      </c>
      <c r="H210" s="80">
        <v>0</v>
      </c>
      <c r="I210" s="42" t="s">
        <v>1970</v>
      </c>
      <c r="J210" s="80">
        <v>823</v>
      </c>
      <c r="K210" s="42">
        <v>39</v>
      </c>
    </row>
    <row r="211" spans="1:11" x14ac:dyDescent="0.25">
      <c r="A211" s="81">
        <v>2024283</v>
      </c>
      <c r="B211" s="78">
        <v>45359</v>
      </c>
      <c r="C211" s="79">
        <v>464</v>
      </c>
      <c r="D211" s="42" t="s">
        <v>1969</v>
      </c>
      <c r="E211" s="42" t="s">
        <v>1706</v>
      </c>
      <c r="F211" s="80">
        <v>1187</v>
      </c>
      <c r="G211" s="80">
        <v>0</v>
      </c>
      <c r="H211" s="80">
        <v>0</v>
      </c>
      <c r="I211" s="42">
        <v>0</v>
      </c>
      <c r="J211" s="80">
        <v>1187</v>
      </c>
      <c r="K211" s="42" t="s">
        <v>1736</v>
      </c>
    </row>
    <row r="212" spans="1:11" x14ac:dyDescent="0.25">
      <c r="A212" s="81">
        <v>2024282</v>
      </c>
      <c r="B212" s="78">
        <v>45359</v>
      </c>
      <c r="C212" s="79">
        <v>463</v>
      </c>
      <c r="D212" s="42" t="s">
        <v>1968</v>
      </c>
      <c r="E212" s="42" t="s">
        <v>1708</v>
      </c>
      <c r="F212" s="80">
        <v>0</v>
      </c>
      <c r="G212" s="80">
        <v>1908</v>
      </c>
      <c r="H212" s="80">
        <v>0</v>
      </c>
      <c r="I212" s="42" t="s">
        <v>1748</v>
      </c>
      <c r="J212" s="80">
        <v>1908</v>
      </c>
      <c r="K212" s="42">
        <v>75</v>
      </c>
    </row>
    <row r="213" spans="1:11" x14ac:dyDescent="0.25">
      <c r="A213" s="81">
        <v>2024282</v>
      </c>
      <c r="B213" s="78">
        <v>45359</v>
      </c>
      <c r="C213" s="79">
        <v>462</v>
      </c>
      <c r="D213" s="42" t="s">
        <v>1968</v>
      </c>
      <c r="E213" s="42" t="s">
        <v>433</v>
      </c>
      <c r="F213" s="80">
        <v>0</v>
      </c>
      <c r="G213" s="80">
        <v>1092</v>
      </c>
      <c r="H213" s="80">
        <v>0</v>
      </c>
      <c r="I213" s="42" t="s">
        <v>1748</v>
      </c>
      <c r="J213" s="80">
        <v>1092</v>
      </c>
      <c r="K213" s="42">
        <v>6</v>
      </c>
    </row>
    <row r="214" spans="1:11" x14ac:dyDescent="0.25">
      <c r="A214" s="81">
        <v>2024282</v>
      </c>
      <c r="B214" s="78">
        <v>45359</v>
      </c>
      <c r="C214" s="79">
        <v>461</v>
      </c>
      <c r="D214" s="42" t="s">
        <v>1968</v>
      </c>
      <c r="E214" s="42" t="s">
        <v>1708</v>
      </c>
      <c r="F214" s="80">
        <v>0</v>
      </c>
      <c r="G214" s="80">
        <v>1908</v>
      </c>
      <c r="H214" s="80">
        <v>0</v>
      </c>
      <c r="I214" s="42" t="s">
        <v>1727</v>
      </c>
      <c r="J214" s="80">
        <v>1908</v>
      </c>
      <c r="K214" s="42">
        <v>0</v>
      </c>
    </row>
    <row r="215" spans="1:11" x14ac:dyDescent="0.25">
      <c r="A215" s="81">
        <v>2024282</v>
      </c>
      <c r="B215" s="78">
        <v>45359</v>
      </c>
      <c r="C215" s="79">
        <v>460</v>
      </c>
      <c r="D215" s="42" t="s">
        <v>1968</v>
      </c>
      <c r="E215" s="42" t="s">
        <v>433</v>
      </c>
      <c r="F215" s="80">
        <v>0</v>
      </c>
      <c r="G215" s="80">
        <v>1092</v>
      </c>
      <c r="H215" s="80">
        <v>0</v>
      </c>
      <c r="I215" s="42" t="s">
        <v>1727</v>
      </c>
      <c r="J215" s="80">
        <v>1092</v>
      </c>
      <c r="K215" s="42">
        <v>0</v>
      </c>
    </row>
    <row r="216" spans="1:11" x14ac:dyDescent="0.25">
      <c r="A216" s="81">
        <v>2024282</v>
      </c>
      <c r="B216" s="78">
        <v>45359</v>
      </c>
      <c r="C216" s="79">
        <v>459</v>
      </c>
      <c r="D216" s="42" t="s">
        <v>1968</v>
      </c>
      <c r="E216" s="42" t="s">
        <v>1706</v>
      </c>
      <c r="F216" s="80">
        <v>0</v>
      </c>
      <c r="G216" s="80">
        <v>3000</v>
      </c>
      <c r="H216" s="80">
        <v>0</v>
      </c>
      <c r="I216" s="42">
        <v>0</v>
      </c>
      <c r="J216" s="80">
        <v>3000</v>
      </c>
      <c r="K216" s="42" t="s">
        <v>1736</v>
      </c>
    </row>
    <row r="217" spans="1:11" x14ac:dyDescent="0.25">
      <c r="A217" s="81">
        <v>2024270</v>
      </c>
      <c r="B217" s="78">
        <v>45359</v>
      </c>
      <c r="C217" s="79">
        <v>458</v>
      </c>
      <c r="D217" s="42" t="s">
        <v>1967</v>
      </c>
      <c r="E217" s="42" t="s">
        <v>1708</v>
      </c>
      <c r="F217" s="80">
        <v>364</v>
      </c>
      <c r="G217" s="80">
        <v>0</v>
      </c>
      <c r="H217" s="80">
        <v>0</v>
      </c>
      <c r="I217" s="42" t="s">
        <v>1727</v>
      </c>
      <c r="J217" s="80">
        <v>364</v>
      </c>
      <c r="K217" s="42" t="s">
        <v>244</v>
      </c>
    </row>
    <row r="218" spans="1:11" x14ac:dyDescent="0.25">
      <c r="A218" s="81">
        <v>2024270</v>
      </c>
      <c r="B218" s="78">
        <v>45359</v>
      </c>
      <c r="C218" s="79">
        <v>457</v>
      </c>
      <c r="D218" s="42" t="s">
        <v>1967</v>
      </c>
      <c r="E218" s="42" t="s">
        <v>433</v>
      </c>
      <c r="F218" s="80">
        <v>686</v>
      </c>
      <c r="G218" s="80">
        <v>0</v>
      </c>
      <c r="H218" s="80">
        <v>0</v>
      </c>
      <c r="I218" s="42" t="s">
        <v>1727</v>
      </c>
      <c r="J218" s="80">
        <v>686</v>
      </c>
      <c r="K218" s="42" t="s">
        <v>244</v>
      </c>
    </row>
    <row r="219" spans="1:11" x14ac:dyDescent="0.25">
      <c r="A219" s="81">
        <v>2024273</v>
      </c>
      <c r="B219" s="78">
        <v>45359</v>
      </c>
      <c r="C219" s="79">
        <v>456</v>
      </c>
      <c r="D219" s="42" t="s">
        <v>1966</v>
      </c>
      <c r="E219" s="42" t="s">
        <v>1707</v>
      </c>
      <c r="F219" s="80">
        <v>0</v>
      </c>
      <c r="G219" s="80">
        <v>610</v>
      </c>
      <c r="H219" s="80">
        <v>0</v>
      </c>
      <c r="I219" s="42" t="s">
        <v>1813</v>
      </c>
      <c r="J219" s="80">
        <v>610</v>
      </c>
      <c r="K219" s="42" t="s">
        <v>244</v>
      </c>
    </row>
    <row r="220" spans="1:11" x14ac:dyDescent="0.25">
      <c r="A220" s="81">
        <v>2024273</v>
      </c>
      <c r="B220" s="78">
        <v>45359</v>
      </c>
      <c r="C220" s="79">
        <v>455</v>
      </c>
      <c r="D220" s="42" t="s">
        <v>1966</v>
      </c>
      <c r="E220" s="42" t="s">
        <v>433</v>
      </c>
      <c r="F220" s="80">
        <v>0</v>
      </c>
      <c r="G220" s="80">
        <v>740</v>
      </c>
      <c r="H220" s="80">
        <v>0</v>
      </c>
      <c r="I220" s="42" t="s">
        <v>1727</v>
      </c>
      <c r="J220" s="80">
        <v>740</v>
      </c>
      <c r="K220" s="42" t="s">
        <v>244</v>
      </c>
    </row>
    <row r="221" spans="1:11" x14ac:dyDescent="0.25">
      <c r="A221" s="81">
        <v>2024273</v>
      </c>
      <c r="B221" s="78">
        <v>45359</v>
      </c>
      <c r="C221" s="79">
        <v>454</v>
      </c>
      <c r="D221" s="42" t="s">
        <v>1966</v>
      </c>
      <c r="E221" s="42" t="s">
        <v>1705</v>
      </c>
      <c r="F221" s="80">
        <v>0</v>
      </c>
      <c r="G221" s="80">
        <v>1350</v>
      </c>
      <c r="H221" s="80">
        <v>0</v>
      </c>
      <c r="I221" s="42">
        <v>0</v>
      </c>
      <c r="J221" s="80">
        <v>1350</v>
      </c>
      <c r="K221" s="42" t="s">
        <v>1736</v>
      </c>
    </row>
    <row r="222" spans="1:11" x14ac:dyDescent="0.25">
      <c r="A222" s="81">
        <v>2024278</v>
      </c>
      <c r="B222" s="78">
        <v>45359</v>
      </c>
      <c r="C222" s="79">
        <v>453</v>
      </c>
      <c r="D222" s="42" t="s">
        <v>1965</v>
      </c>
      <c r="E222" s="42" t="s">
        <v>1707</v>
      </c>
      <c r="F222" s="80">
        <v>728</v>
      </c>
      <c r="G222" s="80">
        <v>0</v>
      </c>
      <c r="H222" s="80">
        <v>0</v>
      </c>
      <c r="I222" s="42" t="s">
        <v>1748</v>
      </c>
      <c r="J222" s="80">
        <v>728</v>
      </c>
      <c r="K222" s="42" t="s">
        <v>244</v>
      </c>
    </row>
    <row r="223" spans="1:11" x14ac:dyDescent="0.25">
      <c r="A223" s="81">
        <v>2024278</v>
      </c>
      <c r="B223" s="78">
        <v>45359</v>
      </c>
      <c r="C223" s="79">
        <v>452</v>
      </c>
      <c r="D223" s="42" t="s">
        <v>1965</v>
      </c>
      <c r="E223" s="42" t="s">
        <v>433</v>
      </c>
      <c r="F223" s="80">
        <v>1472</v>
      </c>
      <c r="G223" s="80">
        <v>0</v>
      </c>
      <c r="H223" s="80">
        <v>0</v>
      </c>
      <c r="I223" s="42" t="s">
        <v>1748</v>
      </c>
      <c r="J223" s="80">
        <v>1472</v>
      </c>
      <c r="K223" s="42" t="s">
        <v>244</v>
      </c>
    </row>
    <row r="224" spans="1:11" x14ac:dyDescent="0.25">
      <c r="A224" s="81">
        <v>2024278</v>
      </c>
      <c r="B224" s="78">
        <v>45359</v>
      </c>
      <c r="C224" s="79">
        <v>451</v>
      </c>
      <c r="D224" s="42" t="s">
        <v>1965</v>
      </c>
      <c r="E224" s="42" t="s">
        <v>1707</v>
      </c>
      <c r="F224" s="80">
        <v>728</v>
      </c>
      <c r="G224" s="80">
        <v>0</v>
      </c>
      <c r="H224" s="80">
        <v>0</v>
      </c>
      <c r="I224" s="42" t="s">
        <v>1727</v>
      </c>
      <c r="J224" s="80">
        <v>728</v>
      </c>
      <c r="K224" s="42" t="s">
        <v>244</v>
      </c>
    </row>
    <row r="225" spans="1:11" x14ac:dyDescent="0.25">
      <c r="A225" s="81">
        <v>2024278</v>
      </c>
      <c r="B225" s="78">
        <v>45359</v>
      </c>
      <c r="C225" s="79">
        <v>450</v>
      </c>
      <c r="D225" s="42" t="s">
        <v>1965</v>
      </c>
      <c r="E225" s="42" t="s">
        <v>433</v>
      </c>
      <c r="F225" s="80">
        <v>1472</v>
      </c>
      <c r="G225" s="80">
        <v>0</v>
      </c>
      <c r="H225" s="80">
        <v>0</v>
      </c>
      <c r="I225" s="42" t="s">
        <v>1727</v>
      </c>
      <c r="J225" s="80">
        <v>1472</v>
      </c>
      <c r="K225" s="42" t="s">
        <v>244</v>
      </c>
    </row>
    <row r="226" spans="1:11" x14ac:dyDescent="0.25">
      <c r="A226" s="81">
        <v>2024271</v>
      </c>
      <c r="B226" s="78">
        <v>45359</v>
      </c>
      <c r="C226" s="79">
        <v>449</v>
      </c>
      <c r="D226" s="42" t="s">
        <v>1964</v>
      </c>
      <c r="E226" s="42" t="s">
        <v>1707</v>
      </c>
      <c r="F226" s="80">
        <v>364</v>
      </c>
      <c r="G226" s="80">
        <v>0</v>
      </c>
      <c r="H226" s="80">
        <v>0</v>
      </c>
      <c r="I226" s="42" t="s">
        <v>1748</v>
      </c>
      <c r="J226" s="80">
        <v>364</v>
      </c>
      <c r="K226" s="42" t="s">
        <v>244</v>
      </c>
    </row>
    <row r="227" spans="1:11" x14ac:dyDescent="0.25">
      <c r="A227" s="81">
        <v>2024271</v>
      </c>
      <c r="B227" s="78">
        <v>45359</v>
      </c>
      <c r="C227" s="79">
        <v>448</v>
      </c>
      <c r="D227" s="42" t="s">
        <v>1964</v>
      </c>
      <c r="E227" s="42" t="s">
        <v>433</v>
      </c>
      <c r="F227" s="80">
        <v>736</v>
      </c>
      <c r="G227" s="80">
        <v>0</v>
      </c>
      <c r="H227" s="80">
        <v>0</v>
      </c>
      <c r="I227" s="42" t="s">
        <v>1748</v>
      </c>
      <c r="J227" s="80">
        <v>736</v>
      </c>
      <c r="K227" s="42" t="s">
        <v>244</v>
      </c>
    </row>
    <row r="228" spans="1:11" x14ac:dyDescent="0.25">
      <c r="A228" s="81">
        <v>2024271</v>
      </c>
      <c r="B228" s="78">
        <v>45359</v>
      </c>
      <c r="C228" s="79">
        <v>447</v>
      </c>
      <c r="D228" s="42" t="s">
        <v>1964</v>
      </c>
      <c r="E228" s="42" t="s">
        <v>1707</v>
      </c>
      <c r="F228" s="80">
        <v>364</v>
      </c>
      <c r="G228" s="80">
        <v>0</v>
      </c>
      <c r="H228" s="80">
        <v>0</v>
      </c>
      <c r="I228" s="42" t="s">
        <v>1727</v>
      </c>
      <c r="J228" s="80">
        <v>364</v>
      </c>
      <c r="K228" s="42" t="s">
        <v>244</v>
      </c>
    </row>
    <row r="229" spans="1:11" x14ac:dyDescent="0.25">
      <c r="A229" s="81">
        <v>2024271</v>
      </c>
      <c r="B229" s="78">
        <v>45359</v>
      </c>
      <c r="C229" s="79">
        <v>446</v>
      </c>
      <c r="D229" s="42" t="s">
        <v>1964</v>
      </c>
      <c r="E229" s="42" t="s">
        <v>433</v>
      </c>
      <c r="F229" s="80">
        <v>736</v>
      </c>
      <c r="G229" s="80">
        <v>0</v>
      </c>
      <c r="H229" s="80">
        <v>0</v>
      </c>
      <c r="I229" s="42" t="s">
        <v>1727</v>
      </c>
      <c r="J229" s="80">
        <v>736</v>
      </c>
      <c r="K229" s="42" t="s">
        <v>244</v>
      </c>
    </row>
    <row r="230" spans="1:11" x14ac:dyDescent="0.25">
      <c r="A230" s="81">
        <v>2024276</v>
      </c>
      <c r="B230" s="78">
        <v>45359</v>
      </c>
      <c r="C230" s="79">
        <v>445</v>
      </c>
      <c r="D230" s="42" t="s">
        <v>1963</v>
      </c>
      <c r="E230" s="42" t="s">
        <v>1707</v>
      </c>
      <c r="F230" s="80">
        <v>0</v>
      </c>
      <c r="G230" s="80">
        <v>728</v>
      </c>
      <c r="H230" s="80">
        <v>0</v>
      </c>
      <c r="I230" s="42" t="s">
        <v>1727</v>
      </c>
      <c r="J230" s="80">
        <v>728</v>
      </c>
      <c r="K230" s="42">
        <v>104</v>
      </c>
    </row>
    <row r="231" spans="1:11" x14ac:dyDescent="0.25">
      <c r="A231" s="81">
        <v>2024276</v>
      </c>
      <c r="B231" s="78">
        <v>45359</v>
      </c>
      <c r="C231" s="79">
        <v>444</v>
      </c>
      <c r="D231" s="42" t="s">
        <v>1963</v>
      </c>
      <c r="E231" s="42" t="s">
        <v>433</v>
      </c>
      <c r="F231" s="80">
        <v>0</v>
      </c>
      <c r="G231" s="80">
        <v>1646</v>
      </c>
      <c r="H231" s="80">
        <v>0</v>
      </c>
      <c r="I231" s="42" t="s">
        <v>1727</v>
      </c>
      <c r="J231" s="80">
        <v>1646</v>
      </c>
      <c r="K231" s="42">
        <v>103</v>
      </c>
    </row>
    <row r="232" spans="1:11" x14ac:dyDescent="0.25">
      <c r="A232" s="81">
        <v>2024250</v>
      </c>
      <c r="B232" s="78">
        <v>45359</v>
      </c>
      <c r="C232" s="79">
        <v>443</v>
      </c>
      <c r="D232" s="42" t="s">
        <v>1962</v>
      </c>
      <c r="E232" s="42" t="s">
        <v>1708</v>
      </c>
      <c r="F232" s="80">
        <v>0</v>
      </c>
      <c r="G232" s="80">
        <v>364</v>
      </c>
      <c r="H232" s="80">
        <v>0</v>
      </c>
      <c r="I232" s="42" t="s">
        <v>1727</v>
      </c>
      <c r="J232" s="80">
        <v>364</v>
      </c>
      <c r="K232" s="42">
        <v>65</v>
      </c>
    </row>
    <row r="233" spans="1:11" x14ac:dyDescent="0.25">
      <c r="A233" s="81">
        <v>2024250</v>
      </c>
      <c r="B233" s="78">
        <v>45359</v>
      </c>
      <c r="C233" s="79">
        <v>442</v>
      </c>
      <c r="D233" s="42" t="s">
        <v>1962</v>
      </c>
      <c r="E233" s="42" t="s">
        <v>433</v>
      </c>
      <c r="F233" s="80">
        <v>0</v>
      </c>
      <c r="G233" s="80">
        <v>823</v>
      </c>
      <c r="H233" s="80">
        <v>0</v>
      </c>
      <c r="I233" s="42" t="s">
        <v>1727</v>
      </c>
      <c r="J233" s="80">
        <v>823</v>
      </c>
      <c r="K233" s="42">
        <v>59</v>
      </c>
    </row>
    <row r="234" spans="1:11" x14ac:dyDescent="0.25">
      <c r="A234" s="81">
        <v>2024250</v>
      </c>
      <c r="B234" s="78">
        <v>45359</v>
      </c>
      <c r="C234" s="79">
        <v>441</v>
      </c>
      <c r="D234" s="42" t="s">
        <v>1962</v>
      </c>
      <c r="E234" s="42" t="s">
        <v>1706</v>
      </c>
      <c r="F234" s="80">
        <v>0</v>
      </c>
      <c r="G234" s="80">
        <v>1187</v>
      </c>
      <c r="H234" s="80">
        <v>0</v>
      </c>
      <c r="I234" s="42">
        <v>0</v>
      </c>
      <c r="J234" s="80">
        <v>1187</v>
      </c>
      <c r="K234" s="42" t="s">
        <v>1736</v>
      </c>
    </row>
    <row r="235" spans="1:11" x14ac:dyDescent="0.25">
      <c r="A235" s="81">
        <v>2024268</v>
      </c>
      <c r="B235" s="78">
        <v>45359</v>
      </c>
      <c r="C235" s="79">
        <v>440</v>
      </c>
      <c r="D235" s="42" t="s">
        <v>1961</v>
      </c>
      <c r="E235" s="42" t="s">
        <v>1707</v>
      </c>
      <c r="F235" s="80">
        <v>364</v>
      </c>
      <c r="G235" s="80">
        <v>0</v>
      </c>
      <c r="H235" s="80">
        <v>0</v>
      </c>
      <c r="I235" s="42" t="s">
        <v>1748</v>
      </c>
      <c r="J235" s="80">
        <v>364</v>
      </c>
      <c r="K235" s="42">
        <v>92</v>
      </c>
    </row>
    <row r="236" spans="1:11" x14ac:dyDescent="0.25">
      <c r="A236" s="81">
        <v>2024268</v>
      </c>
      <c r="B236" s="78">
        <v>45359</v>
      </c>
      <c r="C236" s="79">
        <v>439</v>
      </c>
      <c r="D236" s="42" t="s">
        <v>1961</v>
      </c>
      <c r="E236" s="42" t="s">
        <v>433</v>
      </c>
      <c r="F236" s="80">
        <v>823</v>
      </c>
      <c r="G236" s="80">
        <v>0</v>
      </c>
      <c r="H236" s="80">
        <v>0</v>
      </c>
      <c r="I236" s="42" t="s">
        <v>1838</v>
      </c>
      <c r="J236" s="80">
        <v>823</v>
      </c>
      <c r="K236" s="42">
        <v>85</v>
      </c>
    </row>
    <row r="237" spans="1:11" x14ac:dyDescent="0.25">
      <c r="A237" s="81">
        <v>2024268</v>
      </c>
      <c r="B237" s="78">
        <v>45359</v>
      </c>
      <c r="C237" s="79">
        <v>438</v>
      </c>
      <c r="D237" s="42" t="s">
        <v>1961</v>
      </c>
      <c r="E237" s="42" t="s">
        <v>1707</v>
      </c>
      <c r="F237" s="80">
        <v>364</v>
      </c>
      <c r="G237" s="80">
        <v>0</v>
      </c>
      <c r="H237" s="80">
        <v>0</v>
      </c>
      <c r="I237" s="42" t="s">
        <v>1727</v>
      </c>
      <c r="J237" s="80">
        <v>364</v>
      </c>
      <c r="K237" s="42">
        <v>91</v>
      </c>
    </row>
    <row r="238" spans="1:11" x14ac:dyDescent="0.25">
      <c r="A238" s="81">
        <v>2024268</v>
      </c>
      <c r="B238" s="78">
        <v>45359</v>
      </c>
      <c r="C238" s="79">
        <v>437</v>
      </c>
      <c r="D238" s="42" t="s">
        <v>1961</v>
      </c>
      <c r="E238" s="42" t="s">
        <v>433</v>
      </c>
      <c r="F238" s="80">
        <v>823</v>
      </c>
      <c r="G238" s="80">
        <v>0</v>
      </c>
      <c r="H238" s="80">
        <v>0</v>
      </c>
      <c r="I238" s="42" t="s">
        <v>1727</v>
      </c>
      <c r="J238" s="80">
        <v>823</v>
      </c>
      <c r="K238" s="42">
        <v>84</v>
      </c>
    </row>
    <row r="239" spans="1:11" x14ac:dyDescent="0.25">
      <c r="A239" s="81">
        <v>2024268</v>
      </c>
      <c r="B239" s="78">
        <v>45359</v>
      </c>
      <c r="C239" s="79">
        <v>436</v>
      </c>
      <c r="D239" s="42" t="s">
        <v>1961</v>
      </c>
      <c r="E239" s="42" t="s">
        <v>1705</v>
      </c>
      <c r="F239" s="80">
        <v>1187</v>
      </c>
      <c r="G239" s="80">
        <v>0</v>
      </c>
      <c r="H239" s="80">
        <v>0</v>
      </c>
      <c r="I239" s="42">
        <v>0</v>
      </c>
      <c r="J239" s="80">
        <v>1187</v>
      </c>
      <c r="K239" s="42" t="s">
        <v>1736</v>
      </c>
    </row>
    <row r="240" spans="1:11" x14ac:dyDescent="0.25">
      <c r="A240" s="81">
        <v>2024238</v>
      </c>
      <c r="B240" s="78">
        <v>45359</v>
      </c>
      <c r="C240" s="79">
        <v>435</v>
      </c>
      <c r="D240" s="42" t="s">
        <v>1959</v>
      </c>
      <c r="E240" s="42" t="s">
        <v>1708</v>
      </c>
      <c r="F240" s="80">
        <v>0</v>
      </c>
      <c r="G240" s="80">
        <v>364</v>
      </c>
      <c r="H240" s="80">
        <v>0</v>
      </c>
      <c r="I240" s="42" t="s">
        <v>1748</v>
      </c>
      <c r="J240" s="80">
        <v>364</v>
      </c>
      <c r="K240" s="42">
        <v>45</v>
      </c>
    </row>
    <row r="241" spans="1:11" x14ac:dyDescent="0.25">
      <c r="A241" s="81">
        <v>2024238</v>
      </c>
      <c r="B241" s="78">
        <v>45359</v>
      </c>
      <c r="C241" s="79">
        <v>434</v>
      </c>
      <c r="D241" s="42" t="s">
        <v>1959</v>
      </c>
      <c r="E241" s="42" t="s">
        <v>433</v>
      </c>
      <c r="F241" s="80">
        <v>0</v>
      </c>
      <c r="G241" s="80">
        <v>823</v>
      </c>
      <c r="H241" s="80">
        <v>0</v>
      </c>
      <c r="I241" s="42" t="s">
        <v>1748</v>
      </c>
      <c r="J241" s="80">
        <v>823</v>
      </c>
      <c r="K241" s="42">
        <v>41</v>
      </c>
    </row>
    <row r="242" spans="1:11" x14ac:dyDescent="0.25">
      <c r="A242" s="81">
        <v>2024238</v>
      </c>
      <c r="B242" s="78">
        <v>45359</v>
      </c>
      <c r="C242" s="79">
        <v>433</v>
      </c>
      <c r="D242" s="42" t="s">
        <v>1959</v>
      </c>
      <c r="E242" s="42" t="s">
        <v>1707</v>
      </c>
      <c r="F242" s="80">
        <v>0</v>
      </c>
      <c r="G242" s="80">
        <v>364</v>
      </c>
      <c r="H242" s="80">
        <v>0</v>
      </c>
      <c r="I242" s="42" t="s">
        <v>1727</v>
      </c>
      <c r="J242" s="80">
        <v>364</v>
      </c>
      <c r="K242" s="42">
        <v>44</v>
      </c>
    </row>
    <row r="243" spans="1:11" x14ac:dyDescent="0.25">
      <c r="A243" s="81">
        <v>2024238</v>
      </c>
      <c r="B243" s="78">
        <v>45359</v>
      </c>
      <c r="C243" s="79">
        <v>432</v>
      </c>
      <c r="D243" s="42" t="s">
        <v>1959</v>
      </c>
      <c r="E243" s="42" t="s">
        <v>433</v>
      </c>
      <c r="F243" s="80">
        <v>0</v>
      </c>
      <c r="G243" s="80">
        <v>823</v>
      </c>
      <c r="H243" s="80">
        <v>0</v>
      </c>
      <c r="I243" s="42" t="s">
        <v>1960</v>
      </c>
      <c r="J243" s="80">
        <v>823</v>
      </c>
      <c r="K243" s="42">
        <v>40</v>
      </c>
    </row>
    <row r="244" spans="1:11" x14ac:dyDescent="0.25">
      <c r="A244" s="81">
        <v>2024238</v>
      </c>
      <c r="B244" s="78">
        <v>45359</v>
      </c>
      <c r="C244" s="79">
        <v>431</v>
      </c>
      <c r="D244" s="42" t="s">
        <v>1959</v>
      </c>
      <c r="E244" s="42" t="s">
        <v>1706</v>
      </c>
      <c r="F244" s="80">
        <v>0</v>
      </c>
      <c r="G244" s="80">
        <v>1200</v>
      </c>
      <c r="H244" s="80">
        <v>0</v>
      </c>
      <c r="I244" s="42">
        <v>0</v>
      </c>
      <c r="J244" s="80">
        <v>1200</v>
      </c>
      <c r="K244" s="42" t="s">
        <v>1736</v>
      </c>
    </row>
    <row r="245" spans="1:11" x14ac:dyDescent="0.25">
      <c r="A245" s="81">
        <v>2024259</v>
      </c>
      <c r="B245" s="78">
        <v>45359</v>
      </c>
      <c r="C245" s="79">
        <v>430</v>
      </c>
      <c r="D245" s="42" t="s">
        <v>1958</v>
      </c>
      <c r="E245" s="42" t="s">
        <v>1705</v>
      </c>
      <c r="F245" s="80">
        <v>1300</v>
      </c>
      <c r="G245" s="80">
        <v>0</v>
      </c>
      <c r="H245" s="80">
        <v>0</v>
      </c>
      <c r="I245" s="42">
        <v>0</v>
      </c>
      <c r="J245" s="80">
        <v>1300</v>
      </c>
      <c r="K245" s="42" t="s">
        <v>1736</v>
      </c>
    </row>
    <row r="246" spans="1:11" x14ac:dyDescent="0.25">
      <c r="A246" s="81">
        <v>2024237</v>
      </c>
      <c r="B246" s="78">
        <v>45359</v>
      </c>
      <c r="C246" s="79">
        <v>429</v>
      </c>
      <c r="D246" s="42" t="s">
        <v>1957</v>
      </c>
      <c r="E246" s="42" t="s">
        <v>1705</v>
      </c>
      <c r="F246" s="80">
        <v>1450</v>
      </c>
      <c r="G246" s="80">
        <v>0</v>
      </c>
      <c r="H246" s="80">
        <v>0</v>
      </c>
      <c r="I246" s="42">
        <v>0</v>
      </c>
      <c r="J246" s="80">
        <v>1450</v>
      </c>
      <c r="K246" s="42" t="s">
        <v>1736</v>
      </c>
    </row>
    <row r="247" spans="1:11" x14ac:dyDescent="0.25">
      <c r="A247" s="81">
        <v>2024221</v>
      </c>
      <c r="B247" s="78">
        <v>45358</v>
      </c>
      <c r="C247" s="79">
        <v>428</v>
      </c>
      <c r="D247" s="42" t="s">
        <v>1956</v>
      </c>
      <c r="E247" s="42" t="s">
        <v>1707</v>
      </c>
      <c r="F247" s="80">
        <v>0</v>
      </c>
      <c r="G247" s="80">
        <v>974</v>
      </c>
      <c r="H247" s="80">
        <v>0</v>
      </c>
      <c r="I247" s="42" t="s">
        <v>1748</v>
      </c>
      <c r="J247" s="80">
        <v>974</v>
      </c>
      <c r="K247" s="42" t="s">
        <v>244</v>
      </c>
    </row>
    <row r="248" spans="1:11" x14ac:dyDescent="0.25">
      <c r="A248" s="81">
        <v>2024221</v>
      </c>
      <c r="B248" s="78">
        <v>45358</v>
      </c>
      <c r="C248" s="79">
        <v>428</v>
      </c>
      <c r="D248" s="42" t="s">
        <v>1956</v>
      </c>
      <c r="E248" s="42" t="s">
        <v>433</v>
      </c>
      <c r="F248" s="80">
        <v>0</v>
      </c>
      <c r="G248" s="80">
        <v>1476</v>
      </c>
      <c r="H248" s="80">
        <v>0</v>
      </c>
      <c r="I248" s="42" t="s">
        <v>1748</v>
      </c>
      <c r="J248" s="80">
        <v>1476</v>
      </c>
      <c r="K248" s="42" t="s">
        <v>244</v>
      </c>
    </row>
    <row r="249" spans="1:11" x14ac:dyDescent="0.25">
      <c r="A249" s="81">
        <v>2024185</v>
      </c>
      <c r="B249" s="78">
        <v>45358</v>
      </c>
      <c r="C249" s="79">
        <v>427</v>
      </c>
      <c r="D249" s="42" t="s">
        <v>1924</v>
      </c>
      <c r="E249" s="42">
        <v>0</v>
      </c>
      <c r="F249" s="80">
        <v>100</v>
      </c>
      <c r="G249" s="80">
        <v>0</v>
      </c>
      <c r="H249" s="80">
        <v>0</v>
      </c>
      <c r="I249" s="42" t="s">
        <v>1748</v>
      </c>
      <c r="J249" s="80">
        <v>100</v>
      </c>
      <c r="K249" s="42" t="s">
        <v>244</v>
      </c>
    </row>
    <row r="250" spans="1:11" x14ac:dyDescent="0.25">
      <c r="A250" s="81">
        <v>2024199</v>
      </c>
      <c r="B250" s="78">
        <v>45358</v>
      </c>
      <c r="C250" s="79">
        <v>426</v>
      </c>
      <c r="D250" s="42" t="s">
        <v>1915</v>
      </c>
      <c r="E250" s="42" t="s">
        <v>1707</v>
      </c>
      <c r="F250" s="80">
        <v>0</v>
      </c>
      <c r="G250" s="80">
        <v>610</v>
      </c>
      <c r="H250" s="80">
        <v>0</v>
      </c>
      <c r="I250" s="42" t="s">
        <v>1748</v>
      </c>
      <c r="J250" s="80">
        <v>610</v>
      </c>
      <c r="K250" s="42">
        <v>93</v>
      </c>
    </row>
    <row r="251" spans="1:11" x14ac:dyDescent="0.25">
      <c r="A251" s="81">
        <v>2024199</v>
      </c>
      <c r="B251" s="78">
        <v>45358</v>
      </c>
      <c r="C251" s="79">
        <v>425</v>
      </c>
      <c r="D251" s="42" t="s">
        <v>1915</v>
      </c>
      <c r="E251" s="42" t="s">
        <v>433</v>
      </c>
      <c r="F251" s="80">
        <v>0</v>
      </c>
      <c r="G251" s="80">
        <v>823</v>
      </c>
      <c r="H251" s="80">
        <v>0</v>
      </c>
      <c r="I251" s="42" t="s">
        <v>1748</v>
      </c>
      <c r="J251" s="80">
        <v>823</v>
      </c>
      <c r="K251" s="42">
        <v>86</v>
      </c>
    </row>
    <row r="252" spans="1:11" x14ac:dyDescent="0.25">
      <c r="A252" s="81">
        <v>2024314</v>
      </c>
      <c r="B252" s="78">
        <v>45358</v>
      </c>
      <c r="C252" s="79">
        <v>424</v>
      </c>
      <c r="D252" s="42" t="s">
        <v>1911</v>
      </c>
      <c r="E252" s="42" t="s">
        <v>1708</v>
      </c>
      <c r="F252" s="80">
        <v>0</v>
      </c>
      <c r="G252" s="80">
        <v>377</v>
      </c>
      <c r="H252" s="80">
        <v>0</v>
      </c>
      <c r="I252" s="42" t="s">
        <v>1748</v>
      </c>
      <c r="J252" s="80">
        <v>377</v>
      </c>
      <c r="K252" s="42">
        <v>94</v>
      </c>
    </row>
    <row r="253" spans="1:11" x14ac:dyDescent="0.25">
      <c r="A253" s="81">
        <v>2024314</v>
      </c>
      <c r="B253" s="78">
        <v>45358</v>
      </c>
      <c r="C253" s="79">
        <v>423</v>
      </c>
      <c r="D253" s="42" t="s">
        <v>1911</v>
      </c>
      <c r="E253" s="42" t="s">
        <v>433</v>
      </c>
      <c r="F253" s="80">
        <v>0</v>
      </c>
      <c r="G253" s="80">
        <v>823</v>
      </c>
      <c r="H253" s="80">
        <v>0</v>
      </c>
      <c r="I253" s="42" t="s">
        <v>1748</v>
      </c>
      <c r="J253" s="80">
        <v>823</v>
      </c>
      <c r="K253" s="42">
        <v>88</v>
      </c>
    </row>
    <row r="254" spans="1:11" x14ac:dyDescent="0.25">
      <c r="A254" s="81">
        <v>2024023</v>
      </c>
      <c r="B254" s="78">
        <v>45358</v>
      </c>
      <c r="C254" s="79">
        <v>421</v>
      </c>
      <c r="D254" s="42" t="s">
        <v>1955</v>
      </c>
      <c r="E254" s="42" t="s">
        <v>1708</v>
      </c>
      <c r="F254" s="80">
        <v>377</v>
      </c>
      <c r="G254" s="80">
        <v>0</v>
      </c>
      <c r="H254" s="80">
        <v>0</v>
      </c>
      <c r="I254" s="42" t="s">
        <v>1748</v>
      </c>
      <c r="J254" s="80">
        <v>377</v>
      </c>
      <c r="K254" s="42">
        <v>96</v>
      </c>
    </row>
    <row r="255" spans="1:11" x14ac:dyDescent="0.25">
      <c r="A255" s="81">
        <v>2024023</v>
      </c>
      <c r="B255" s="78">
        <v>45358</v>
      </c>
      <c r="C255" s="79">
        <v>420</v>
      </c>
      <c r="D255" s="42" t="s">
        <v>1955</v>
      </c>
      <c r="E255" s="42" t="s">
        <v>433</v>
      </c>
      <c r="F255" s="80">
        <v>823</v>
      </c>
      <c r="G255" s="80">
        <v>0</v>
      </c>
      <c r="H255" s="80">
        <v>0</v>
      </c>
      <c r="I255" s="42" t="s">
        <v>1748</v>
      </c>
      <c r="J255" s="80">
        <v>823</v>
      </c>
      <c r="K255" s="42">
        <v>90</v>
      </c>
    </row>
    <row r="256" spans="1:11" x14ac:dyDescent="0.25">
      <c r="A256" s="81">
        <v>2024205</v>
      </c>
      <c r="B256" s="78">
        <v>45358</v>
      </c>
      <c r="C256" s="79">
        <v>419</v>
      </c>
      <c r="D256" s="42" t="s">
        <v>1954</v>
      </c>
      <c r="E256" s="42" t="s">
        <v>1706</v>
      </c>
      <c r="F256" s="80">
        <v>1200</v>
      </c>
      <c r="G256" s="80">
        <v>0</v>
      </c>
      <c r="H256" s="80">
        <v>0</v>
      </c>
      <c r="I256" s="42">
        <v>0</v>
      </c>
      <c r="J256" s="80">
        <v>1200</v>
      </c>
      <c r="K256" s="42" t="s">
        <v>1736</v>
      </c>
    </row>
    <row r="257" spans="1:11" x14ac:dyDescent="0.25">
      <c r="A257" s="81">
        <v>2024226</v>
      </c>
      <c r="B257" s="78">
        <v>45358</v>
      </c>
      <c r="C257" s="79">
        <v>418</v>
      </c>
      <c r="D257" s="42" t="s">
        <v>119</v>
      </c>
      <c r="E257" s="42" t="s">
        <v>1706</v>
      </c>
      <c r="F257" s="80">
        <v>1187</v>
      </c>
      <c r="G257" s="80">
        <v>0</v>
      </c>
      <c r="H257" s="80">
        <v>0</v>
      </c>
      <c r="I257" s="42">
        <v>0</v>
      </c>
      <c r="J257" s="80">
        <v>1187</v>
      </c>
      <c r="K257" s="42" t="s">
        <v>1736</v>
      </c>
    </row>
    <row r="258" spans="1:11" x14ac:dyDescent="0.25">
      <c r="A258" s="81">
        <v>2024217</v>
      </c>
      <c r="B258" s="78">
        <v>45358</v>
      </c>
      <c r="C258" s="79">
        <v>417</v>
      </c>
      <c r="D258" s="42" t="s">
        <v>1951</v>
      </c>
      <c r="E258" s="42" t="s">
        <v>1707</v>
      </c>
      <c r="F258" s="80">
        <v>610</v>
      </c>
      <c r="G258" s="80">
        <v>0</v>
      </c>
      <c r="H258" s="80">
        <v>0</v>
      </c>
      <c r="I258" s="42" t="s">
        <v>1727</v>
      </c>
      <c r="J258" s="80">
        <v>610</v>
      </c>
      <c r="K258" s="42">
        <v>37</v>
      </c>
    </row>
    <row r="259" spans="1:11" x14ac:dyDescent="0.25">
      <c r="A259" s="81">
        <v>2024217</v>
      </c>
      <c r="B259" s="78">
        <v>45358</v>
      </c>
      <c r="C259" s="79">
        <v>416</v>
      </c>
      <c r="D259" s="42" t="s">
        <v>1951</v>
      </c>
      <c r="E259" s="42" t="s">
        <v>433</v>
      </c>
      <c r="F259" s="80">
        <v>823</v>
      </c>
      <c r="G259" s="80">
        <v>0</v>
      </c>
      <c r="H259" s="80">
        <v>0</v>
      </c>
      <c r="I259" s="42" t="s">
        <v>1727</v>
      </c>
      <c r="J259" s="80">
        <v>823</v>
      </c>
      <c r="K259" s="42">
        <v>33</v>
      </c>
    </row>
    <row r="260" spans="1:11" x14ac:dyDescent="0.25">
      <c r="A260" s="81">
        <v>2024231</v>
      </c>
      <c r="B260" s="78">
        <v>45358</v>
      </c>
      <c r="C260" s="79">
        <v>415</v>
      </c>
      <c r="D260" s="42" t="s">
        <v>1950</v>
      </c>
      <c r="E260" s="42" t="s">
        <v>1705</v>
      </c>
      <c r="F260" s="80">
        <v>0</v>
      </c>
      <c r="G260" s="80">
        <v>1187</v>
      </c>
      <c r="H260" s="80">
        <v>0</v>
      </c>
      <c r="I260" s="42">
        <v>0</v>
      </c>
      <c r="J260" s="80">
        <v>1187</v>
      </c>
      <c r="K260" s="42" t="s">
        <v>1736</v>
      </c>
    </row>
    <row r="261" spans="1:11" x14ac:dyDescent="0.25">
      <c r="A261" s="81">
        <v>2024229</v>
      </c>
      <c r="B261" s="78">
        <v>45358</v>
      </c>
      <c r="C261" s="79">
        <v>414</v>
      </c>
      <c r="D261" s="42" t="s">
        <v>1949</v>
      </c>
      <c r="E261" s="42" t="s">
        <v>1706</v>
      </c>
      <c r="F261" s="80">
        <v>1187</v>
      </c>
      <c r="G261" s="80">
        <v>0</v>
      </c>
      <c r="H261" s="80">
        <v>0</v>
      </c>
      <c r="I261" s="42">
        <v>0</v>
      </c>
      <c r="J261" s="80">
        <v>1187</v>
      </c>
      <c r="K261" s="42" t="s">
        <v>1736</v>
      </c>
    </row>
    <row r="262" spans="1:11" x14ac:dyDescent="0.25">
      <c r="A262" s="81">
        <v>2024232</v>
      </c>
      <c r="B262" s="78">
        <v>45358</v>
      </c>
      <c r="C262" s="79">
        <v>413</v>
      </c>
      <c r="D262" s="42" t="s">
        <v>1948</v>
      </c>
      <c r="E262" s="42" t="s">
        <v>1705</v>
      </c>
      <c r="F262" s="80">
        <v>1100</v>
      </c>
      <c r="G262" s="80">
        <v>0</v>
      </c>
      <c r="H262" s="80">
        <v>0</v>
      </c>
      <c r="I262" s="42">
        <v>0</v>
      </c>
      <c r="J262" s="80">
        <v>1100</v>
      </c>
      <c r="K262" s="42" t="s">
        <v>1736</v>
      </c>
    </row>
    <row r="263" spans="1:11" x14ac:dyDescent="0.25">
      <c r="A263" s="81">
        <v>2024233</v>
      </c>
      <c r="B263" s="78">
        <v>45358</v>
      </c>
      <c r="C263" s="79">
        <v>412</v>
      </c>
      <c r="D263" s="42" t="s">
        <v>1947</v>
      </c>
      <c r="E263" s="42" t="s">
        <v>1706</v>
      </c>
      <c r="F263" s="80">
        <v>0</v>
      </c>
      <c r="G263" s="80">
        <v>1187</v>
      </c>
      <c r="H263" s="80">
        <v>0</v>
      </c>
      <c r="I263" s="42">
        <v>0</v>
      </c>
      <c r="J263" s="80">
        <v>1187</v>
      </c>
      <c r="K263" s="42" t="s">
        <v>1736</v>
      </c>
    </row>
    <row r="264" spans="1:11" x14ac:dyDescent="0.25">
      <c r="A264" s="81">
        <v>2024211</v>
      </c>
      <c r="B264" s="78">
        <v>45358</v>
      </c>
      <c r="C264" s="79">
        <v>411</v>
      </c>
      <c r="D264" s="42" t="s">
        <v>1946</v>
      </c>
      <c r="E264" s="42" t="s">
        <v>1705</v>
      </c>
      <c r="F264" s="80">
        <v>0</v>
      </c>
      <c r="G264" s="80">
        <v>2620</v>
      </c>
      <c r="H264" s="80">
        <v>0</v>
      </c>
      <c r="I264" s="42">
        <v>0</v>
      </c>
      <c r="J264" s="80">
        <v>2620</v>
      </c>
      <c r="K264" s="42" t="s">
        <v>1736</v>
      </c>
    </row>
    <row r="265" spans="1:11" x14ac:dyDescent="0.25">
      <c r="A265" s="81">
        <v>2024219</v>
      </c>
      <c r="B265" s="78">
        <v>45358</v>
      </c>
      <c r="C265" s="79">
        <v>410</v>
      </c>
      <c r="D265" s="42" t="s">
        <v>1945</v>
      </c>
      <c r="E265" s="42" t="s">
        <v>1708</v>
      </c>
      <c r="F265" s="80">
        <v>3640</v>
      </c>
      <c r="G265" s="80">
        <v>0</v>
      </c>
      <c r="H265" s="80">
        <v>0</v>
      </c>
      <c r="I265" s="42" t="s">
        <v>1753</v>
      </c>
      <c r="J265" s="80">
        <v>3640</v>
      </c>
      <c r="K265" s="42" t="s">
        <v>244</v>
      </c>
    </row>
    <row r="266" spans="1:11" x14ac:dyDescent="0.25">
      <c r="A266" s="81">
        <v>2024219</v>
      </c>
      <c r="B266" s="78">
        <v>45358</v>
      </c>
      <c r="C266" s="79">
        <v>409</v>
      </c>
      <c r="D266" s="42" t="s">
        <v>1945</v>
      </c>
      <c r="E266" s="42" t="s">
        <v>433</v>
      </c>
      <c r="F266" s="80">
        <v>7160</v>
      </c>
      <c r="G266" s="80">
        <v>0</v>
      </c>
      <c r="H266" s="80">
        <v>0</v>
      </c>
      <c r="I266" s="42" t="s">
        <v>1753</v>
      </c>
      <c r="J266" s="80">
        <v>7160</v>
      </c>
      <c r="K266" s="42" t="s">
        <v>244</v>
      </c>
    </row>
    <row r="267" spans="1:11" x14ac:dyDescent="0.25">
      <c r="A267" s="81">
        <v>2024219</v>
      </c>
      <c r="B267" s="78">
        <v>45358</v>
      </c>
      <c r="C267" s="79">
        <v>408</v>
      </c>
      <c r="D267" s="42" t="s">
        <v>1945</v>
      </c>
      <c r="E267" s="42" t="s">
        <v>1708</v>
      </c>
      <c r="F267" s="80">
        <v>1080</v>
      </c>
      <c r="G267" s="80">
        <v>0</v>
      </c>
      <c r="H267" s="80">
        <v>0</v>
      </c>
      <c r="I267" s="42">
        <v>0</v>
      </c>
      <c r="J267" s="80">
        <v>1080</v>
      </c>
      <c r="K267" s="42" t="s">
        <v>1736</v>
      </c>
    </row>
    <row r="268" spans="1:11" x14ac:dyDescent="0.25">
      <c r="A268" s="81">
        <v>2024223</v>
      </c>
      <c r="B268" s="78">
        <v>45358</v>
      </c>
      <c r="C268" s="79">
        <v>407</v>
      </c>
      <c r="D268" s="42" t="s">
        <v>1944</v>
      </c>
      <c r="E268" s="42" t="s">
        <v>1730</v>
      </c>
      <c r="F268" s="80">
        <v>2100</v>
      </c>
      <c r="G268" s="80">
        <v>0</v>
      </c>
      <c r="H268" s="80">
        <v>0</v>
      </c>
      <c r="I268" s="42">
        <v>0</v>
      </c>
      <c r="J268" s="80">
        <v>2100</v>
      </c>
      <c r="K268" s="42" t="s">
        <v>1736</v>
      </c>
    </row>
    <row r="269" spans="1:11" x14ac:dyDescent="0.25">
      <c r="A269" s="81">
        <v>2024230</v>
      </c>
      <c r="B269" s="78">
        <v>45358</v>
      </c>
      <c r="C269" s="79">
        <v>406</v>
      </c>
      <c r="D269" s="42" t="s">
        <v>1943</v>
      </c>
      <c r="E269" s="42" t="s">
        <v>1708</v>
      </c>
      <c r="F269" s="80">
        <v>0</v>
      </c>
      <c r="G269" s="80">
        <v>364</v>
      </c>
      <c r="H269" s="80">
        <v>0</v>
      </c>
      <c r="I269" s="42" t="s">
        <v>1748</v>
      </c>
      <c r="J269" s="80">
        <v>364</v>
      </c>
      <c r="K269" s="42" t="s">
        <v>244</v>
      </c>
    </row>
    <row r="270" spans="1:11" x14ac:dyDescent="0.25">
      <c r="A270" s="81">
        <v>2024230</v>
      </c>
      <c r="B270" s="78">
        <v>45358</v>
      </c>
      <c r="C270" s="79">
        <v>405</v>
      </c>
      <c r="D270" s="42" t="s">
        <v>1943</v>
      </c>
      <c r="E270" s="42">
        <v>0</v>
      </c>
      <c r="F270" s="80">
        <v>0</v>
      </c>
      <c r="G270" s="80">
        <v>736</v>
      </c>
      <c r="H270" s="80">
        <v>0</v>
      </c>
      <c r="I270" s="42" t="s">
        <v>1748</v>
      </c>
      <c r="J270" s="80">
        <v>736</v>
      </c>
      <c r="K270" s="42" t="s">
        <v>244</v>
      </c>
    </row>
    <row r="271" spans="1:11" x14ac:dyDescent="0.25">
      <c r="A271" s="81">
        <v>2024230</v>
      </c>
      <c r="B271" s="78">
        <v>45358</v>
      </c>
      <c r="C271" s="79">
        <v>404</v>
      </c>
      <c r="D271" s="42" t="s">
        <v>1943</v>
      </c>
      <c r="E271" s="42" t="s">
        <v>1708</v>
      </c>
      <c r="F271" s="80">
        <v>0</v>
      </c>
      <c r="G271" s="80">
        <v>364</v>
      </c>
      <c r="H271" s="80">
        <v>0</v>
      </c>
      <c r="I271" s="42" t="s">
        <v>1727</v>
      </c>
      <c r="J271" s="80">
        <v>364</v>
      </c>
      <c r="K271" s="42" t="s">
        <v>244</v>
      </c>
    </row>
    <row r="272" spans="1:11" x14ac:dyDescent="0.25">
      <c r="A272" s="81">
        <v>2024230</v>
      </c>
      <c r="B272" s="78">
        <v>45358</v>
      </c>
      <c r="C272" s="79">
        <v>403</v>
      </c>
      <c r="D272" s="42" t="s">
        <v>1943</v>
      </c>
      <c r="E272" s="42" t="s">
        <v>433</v>
      </c>
      <c r="F272" s="80">
        <v>0</v>
      </c>
      <c r="G272" s="80">
        <v>736</v>
      </c>
      <c r="H272" s="80">
        <v>0</v>
      </c>
      <c r="I272" s="42" t="s">
        <v>1727</v>
      </c>
      <c r="J272" s="80">
        <v>736</v>
      </c>
      <c r="K272" s="42" t="s">
        <v>244</v>
      </c>
    </row>
    <row r="273" spans="1:11" x14ac:dyDescent="0.25">
      <c r="A273" s="81">
        <v>2024230</v>
      </c>
      <c r="B273" s="78">
        <v>45358</v>
      </c>
      <c r="C273" s="79">
        <v>402</v>
      </c>
      <c r="D273" s="42" t="s">
        <v>1943</v>
      </c>
      <c r="E273" s="42" t="s">
        <v>1706</v>
      </c>
      <c r="F273" s="80">
        <v>0</v>
      </c>
      <c r="G273" s="80">
        <v>1100</v>
      </c>
      <c r="H273" s="80">
        <v>0</v>
      </c>
      <c r="I273" s="42">
        <v>0</v>
      </c>
      <c r="J273" s="80">
        <v>1100</v>
      </c>
      <c r="K273" s="42" t="s">
        <v>1736</v>
      </c>
    </row>
    <row r="274" spans="1:11" x14ac:dyDescent="0.25">
      <c r="A274" s="81">
        <v>2024218</v>
      </c>
      <c r="B274" s="78">
        <v>45358</v>
      </c>
      <c r="C274" s="79">
        <v>401</v>
      </c>
      <c r="D274" s="42" t="s">
        <v>1942</v>
      </c>
      <c r="E274" s="42" t="s">
        <v>1705</v>
      </c>
      <c r="F274" s="80">
        <v>2600</v>
      </c>
      <c r="G274" s="80">
        <v>0</v>
      </c>
      <c r="H274" s="80">
        <v>0</v>
      </c>
      <c r="I274" s="42">
        <v>0</v>
      </c>
      <c r="J274" s="80">
        <v>2600</v>
      </c>
      <c r="K274" s="42" t="s">
        <v>1736</v>
      </c>
    </row>
    <row r="275" spans="1:11" x14ac:dyDescent="0.25">
      <c r="A275" s="81">
        <v>2024213</v>
      </c>
      <c r="B275" s="78">
        <v>45358</v>
      </c>
      <c r="C275" s="79">
        <v>400</v>
      </c>
      <c r="D275" s="42" t="s">
        <v>1941</v>
      </c>
      <c r="E275" s="42" t="s">
        <v>1708</v>
      </c>
      <c r="F275" s="80">
        <v>0</v>
      </c>
      <c r="G275" s="80">
        <v>364</v>
      </c>
      <c r="H275" s="80">
        <v>0</v>
      </c>
      <c r="I275" s="42" t="s">
        <v>1727</v>
      </c>
      <c r="J275" s="80">
        <v>364</v>
      </c>
      <c r="K275" s="42" t="s">
        <v>244</v>
      </c>
    </row>
    <row r="276" spans="1:11" x14ac:dyDescent="0.25">
      <c r="A276" s="81">
        <v>2024213</v>
      </c>
      <c r="B276" s="78">
        <v>45358</v>
      </c>
      <c r="C276" s="79">
        <v>399</v>
      </c>
      <c r="D276" s="42" t="s">
        <v>1941</v>
      </c>
      <c r="E276" s="42" t="s">
        <v>433</v>
      </c>
      <c r="F276" s="80">
        <v>0</v>
      </c>
      <c r="G276" s="80">
        <v>736</v>
      </c>
      <c r="H276" s="80">
        <v>0</v>
      </c>
      <c r="I276" s="42" t="s">
        <v>1727</v>
      </c>
      <c r="J276" s="80">
        <v>736</v>
      </c>
      <c r="K276" s="42" t="s">
        <v>244</v>
      </c>
    </row>
    <row r="277" spans="1:11" x14ac:dyDescent="0.25">
      <c r="A277" s="81">
        <v>2024213</v>
      </c>
      <c r="B277" s="78">
        <v>45358</v>
      </c>
      <c r="C277" s="79">
        <v>398</v>
      </c>
      <c r="D277" s="42" t="s">
        <v>1941</v>
      </c>
      <c r="E277" s="42" t="s">
        <v>1706</v>
      </c>
      <c r="F277" s="80">
        <v>0</v>
      </c>
      <c r="G277" s="80">
        <v>1100</v>
      </c>
      <c r="H277" s="80">
        <v>0</v>
      </c>
      <c r="I277" s="42">
        <v>0</v>
      </c>
      <c r="J277" s="80">
        <v>1100</v>
      </c>
      <c r="K277" s="42" t="s">
        <v>1736</v>
      </c>
    </row>
    <row r="278" spans="1:11" x14ac:dyDescent="0.25">
      <c r="A278" s="81">
        <v>2024221</v>
      </c>
      <c r="B278" s="78">
        <v>45358</v>
      </c>
      <c r="C278" s="79">
        <v>397</v>
      </c>
      <c r="D278" s="42" t="s">
        <v>1940</v>
      </c>
      <c r="E278" s="42" t="s">
        <v>1707</v>
      </c>
      <c r="F278" s="80">
        <v>0</v>
      </c>
      <c r="G278" s="80">
        <v>974</v>
      </c>
      <c r="H278" s="80">
        <v>0</v>
      </c>
      <c r="I278" s="42" t="s">
        <v>1727</v>
      </c>
      <c r="J278" s="80">
        <v>974</v>
      </c>
      <c r="K278" s="42" t="s">
        <v>244</v>
      </c>
    </row>
    <row r="279" spans="1:11" x14ac:dyDescent="0.25">
      <c r="A279" s="81">
        <v>2024221</v>
      </c>
      <c r="B279" s="78">
        <v>45358</v>
      </c>
      <c r="C279" s="79">
        <v>396</v>
      </c>
      <c r="D279" s="42" t="s">
        <v>1940</v>
      </c>
      <c r="E279" s="42" t="s">
        <v>433</v>
      </c>
      <c r="F279" s="80">
        <v>0</v>
      </c>
      <c r="G279" s="80">
        <v>1476</v>
      </c>
      <c r="H279" s="80">
        <v>0</v>
      </c>
      <c r="I279" s="42" t="s">
        <v>1727</v>
      </c>
      <c r="J279" s="80">
        <v>1476</v>
      </c>
      <c r="K279" s="42" t="s">
        <v>244</v>
      </c>
    </row>
    <row r="280" spans="1:11" x14ac:dyDescent="0.25">
      <c r="A280" s="81">
        <v>2024221</v>
      </c>
      <c r="B280" s="78">
        <v>45358</v>
      </c>
      <c r="C280" s="79">
        <v>395</v>
      </c>
      <c r="D280" s="42" t="s">
        <v>1940</v>
      </c>
      <c r="E280" s="42" t="s">
        <v>1705</v>
      </c>
      <c r="F280" s="80">
        <v>0</v>
      </c>
      <c r="G280" s="80">
        <v>2450</v>
      </c>
      <c r="H280" s="80">
        <v>0</v>
      </c>
      <c r="I280" s="42">
        <v>0</v>
      </c>
      <c r="J280" s="80">
        <v>2450</v>
      </c>
      <c r="K280" s="42" t="s">
        <v>1736</v>
      </c>
    </row>
    <row r="281" spans="1:11" x14ac:dyDescent="0.25">
      <c r="A281" s="81">
        <v>2024215</v>
      </c>
      <c r="B281" s="78">
        <v>45358</v>
      </c>
      <c r="C281" s="79">
        <v>394</v>
      </c>
      <c r="D281" s="42" t="s">
        <v>1938</v>
      </c>
      <c r="E281" s="42" t="s">
        <v>1708</v>
      </c>
      <c r="F281" s="80">
        <v>377</v>
      </c>
      <c r="G281" s="80">
        <v>0</v>
      </c>
      <c r="H281" s="80">
        <v>0</v>
      </c>
      <c r="I281" s="42" t="s">
        <v>1727</v>
      </c>
      <c r="J281" s="80">
        <v>377</v>
      </c>
      <c r="K281" s="42">
        <v>0</v>
      </c>
    </row>
    <row r="282" spans="1:11" x14ac:dyDescent="0.25">
      <c r="A282" s="81">
        <v>2024215</v>
      </c>
      <c r="B282" s="78">
        <v>45358</v>
      </c>
      <c r="C282" s="79">
        <v>393</v>
      </c>
      <c r="D282" s="42" t="s">
        <v>1939</v>
      </c>
      <c r="E282" s="42" t="s">
        <v>433</v>
      </c>
      <c r="F282" s="80">
        <v>823</v>
      </c>
      <c r="G282" s="80">
        <v>0</v>
      </c>
      <c r="H282" s="80">
        <v>0</v>
      </c>
      <c r="I282" s="42" t="s">
        <v>1727</v>
      </c>
      <c r="J282" s="80">
        <v>823</v>
      </c>
      <c r="K282" s="42">
        <v>0</v>
      </c>
    </row>
    <row r="283" spans="1:11" x14ac:dyDescent="0.25">
      <c r="A283" s="81">
        <v>2024215</v>
      </c>
      <c r="B283" s="78">
        <v>45358</v>
      </c>
      <c r="C283" s="79">
        <v>392</v>
      </c>
      <c r="D283" s="42" t="s">
        <v>1938</v>
      </c>
      <c r="E283" s="42" t="s">
        <v>1706</v>
      </c>
      <c r="F283" s="80">
        <v>1200</v>
      </c>
      <c r="G283" s="80">
        <v>0</v>
      </c>
      <c r="H283" s="80">
        <v>0</v>
      </c>
      <c r="I283" s="42">
        <v>0</v>
      </c>
      <c r="J283" s="80">
        <v>1200</v>
      </c>
      <c r="K283" s="42" t="s">
        <v>1736</v>
      </c>
    </row>
    <row r="284" spans="1:11" x14ac:dyDescent="0.25">
      <c r="A284" s="81">
        <v>2024214</v>
      </c>
      <c r="B284" s="78">
        <v>45358</v>
      </c>
      <c r="C284" s="79">
        <v>391</v>
      </c>
      <c r="D284" s="42" t="s">
        <v>1937</v>
      </c>
      <c r="E284" s="42" t="s">
        <v>1707</v>
      </c>
      <c r="F284" s="80">
        <v>610</v>
      </c>
      <c r="G284" s="80">
        <v>0</v>
      </c>
      <c r="H284" s="80">
        <v>0</v>
      </c>
      <c r="I284" s="42" t="s">
        <v>1727</v>
      </c>
      <c r="J284" s="80">
        <v>610</v>
      </c>
      <c r="K284" s="42">
        <v>19</v>
      </c>
    </row>
    <row r="285" spans="1:11" x14ac:dyDescent="0.25">
      <c r="A285" s="81">
        <v>2024214</v>
      </c>
      <c r="B285" s="78">
        <v>45358</v>
      </c>
      <c r="C285" s="79">
        <v>390</v>
      </c>
      <c r="D285" s="42" t="s">
        <v>1937</v>
      </c>
      <c r="E285" s="42" t="s">
        <v>433</v>
      </c>
      <c r="F285" s="80">
        <v>823</v>
      </c>
      <c r="G285" s="80">
        <v>0</v>
      </c>
      <c r="H285" s="80">
        <v>0</v>
      </c>
      <c r="I285" s="42" t="s">
        <v>1727</v>
      </c>
      <c r="J285" s="80">
        <v>823</v>
      </c>
      <c r="K285" s="42">
        <v>16</v>
      </c>
    </row>
    <row r="286" spans="1:11" x14ac:dyDescent="0.25">
      <c r="A286" s="81">
        <v>2024214</v>
      </c>
      <c r="B286" s="78">
        <v>45358</v>
      </c>
      <c r="C286" s="79">
        <v>389</v>
      </c>
      <c r="D286" s="42" t="s">
        <v>1937</v>
      </c>
      <c r="E286" s="42" t="s">
        <v>1705</v>
      </c>
      <c r="F286" s="80">
        <v>1433</v>
      </c>
      <c r="G286" s="80">
        <v>0</v>
      </c>
      <c r="H286" s="80">
        <v>0</v>
      </c>
      <c r="I286" s="42">
        <v>0</v>
      </c>
      <c r="J286" s="80">
        <v>1433</v>
      </c>
      <c r="K286" s="42" t="s">
        <v>1736</v>
      </c>
    </row>
    <row r="287" spans="1:11" x14ac:dyDescent="0.25">
      <c r="A287" s="81">
        <v>2024086</v>
      </c>
      <c r="B287" s="78">
        <v>45358</v>
      </c>
      <c r="C287" s="79">
        <v>388</v>
      </c>
      <c r="D287" s="42" t="s">
        <v>329</v>
      </c>
      <c r="E287" s="42" t="s">
        <v>1708</v>
      </c>
      <c r="F287" s="80">
        <v>0</v>
      </c>
      <c r="G287" s="80">
        <v>377</v>
      </c>
      <c r="H287" s="80">
        <v>0</v>
      </c>
      <c r="I287" s="42" t="s">
        <v>1721</v>
      </c>
      <c r="J287" s="80">
        <v>377</v>
      </c>
      <c r="K287" s="42">
        <v>89</v>
      </c>
    </row>
    <row r="288" spans="1:11" x14ac:dyDescent="0.25">
      <c r="A288" s="81">
        <v>2024086</v>
      </c>
      <c r="B288" s="78">
        <v>45358</v>
      </c>
      <c r="C288" s="79">
        <v>387</v>
      </c>
      <c r="D288" s="42" t="s">
        <v>329</v>
      </c>
      <c r="E288" s="42" t="s">
        <v>433</v>
      </c>
      <c r="F288" s="80">
        <v>0</v>
      </c>
      <c r="G288" s="80">
        <v>823</v>
      </c>
      <c r="H288" s="80">
        <v>0</v>
      </c>
      <c r="I288" s="42" t="s">
        <v>1721</v>
      </c>
      <c r="J288" s="80">
        <v>823</v>
      </c>
      <c r="K288" s="42">
        <v>82</v>
      </c>
    </row>
    <row r="289" spans="1:11" x14ac:dyDescent="0.25">
      <c r="A289" s="81">
        <v>2024055</v>
      </c>
      <c r="B289" s="78">
        <v>45358</v>
      </c>
      <c r="C289" s="79">
        <v>386</v>
      </c>
      <c r="D289" s="42" t="s">
        <v>1933</v>
      </c>
      <c r="E289" s="42" t="s">
        <v>1903</v>
      </c>
      <c r="F289" s="80">
        <v>1000</v>
      </c>
      <c r="G289" s="80">
        <v>0</v>
      </c>
      <c r="H289" s="80">
        <v>0</v>
      </c>
      <c r="I289" s="42">
        <v>0</v>
      </c>
      <c r="J289" s="80">
        <v>1000</v>
      </c>
      <c r="K289" s="42">
        <v>88</v>
      </c>
    </row>
    <row r="290" spans="1:11" x14ac:dyDescent="0.25">
      <c r="A290" s="81">
        <v>2024012</v>
      </c>
      <c r="B290" s="78">
        <v>45358</v>
      </c>
      <c r="C290" s="79">
        <v>385</v>
      </c>
      <c r="D290" s="42" t="s">
        <v>1728</v>
      </c>
      <c r="E290" s="42" t="s">
        <v>433</v>
      </c>
      <c r="F290" s="80">
        <v>0</v>
      </c>
      <c r="G290" s="80">
        <v>7407</v>
      </c>
      <c r="H290" s="80">
        <v>0</v>
      </c>
      <c r="I290" s="42" t="s">
        <v>1932</v>
      </c>
      <c r="J290" s="80">
        <v>7407</v>
      </c>
      <c r="K290" s="42" t="s">
        <v>1934</v>
      </c>
    </row>
    <row r="291" spans="1:11" x14ac:dyDescent="0.25">
      <c r="A291" s="81">
        <v>2024012</v>
      </c>
      <c r="B291" s="78">
        <v>45358</v>
      </c>
      <c r="C291" s="79">
        <v>384</v>
      </c>
      <c r="D291" s="42" t="s">
        <v>1728</v>
      </c>
      <c r="E291" s="42" t="s">
        <v>1708</v>
      </c>
      <c r="F291" s="80">
        <v>0</v>
      </c>
      <c r="G291" s="80">
        <v>3393</v>
      </c>
      <c r="H291" s="80">
        <v>0</v>
      </c>
      <c r="I291" s="42" t="s">
        <v>1931</v>
      </c>
      <c r="J291" s="80">
        <v>3393</v>
      </c>
      <c r="K291" s="42" t="s">
        <v>1935</v>
      </c>
    </row>
    <row r="292" spans="1:11" x14ac:dyDescent="0.25">
      <c r="A292" s="81">
        <v>2024208</v>
      </c>
      <c r="B292" s="78">
        <v>45358</v>
      </c>
      <c r="C292" s="79">
        <v>383</v>
      </c>
      <c r="D292" s="42" t="s">
        <v>1930</v>
      </c>
      <c r="E292" s="42" t="s">
        <v>1707</v>
      </c>
      <c r="F292" s="80">
        <v>0</v>
      </c>
      <c r="G292" s="80">
        <v>1450</v>
      </c>
      <c r="H292" s="80">
        <v>0</v>
      </c>
      <c r="I292" s="42">
        <v>0</v>
      </c>
      <c r="J292" s="80">
        <v>1450</v>
      </c>
      <c r="K292" s="42" t="s">
        <v>1736</v>
      </c>
    </row>
    <row r="293" spans="1:11" x14ac:dyDescent="0.25">
      <c r="A293" s="81">
        <v>2024202</v>
      </c>
      <c r="B293" s="78">
        <v>45358</v>
      </c>
      <c r="C293" s="79">
        <v>382</v>
      </c>
      <c r="D293" s="42" t="s">
        <v>1340</v>
      </c>
      <c r="E293" s="42" t="s">
        <v>1708</v>
      </c>
      <c r="F293" s="80">
        <v>364</v>
      </c>
      <c r="G293" s="80">
        <v>0</v>
      </c>
      <c r="H293" s="80">
        <v>0</v>
      </c>
      <c r="I293" s="42" t="s">
        <v>1727</v>
      </c>
      <c r="J293" s="80">
        <v>364</v>
      </c>
      <c r="K293" s="42">
        <v>168</v>
      </c>
    </row>
    <row r="294" spans="1:11" x14ac:dyDescent="0.25">
      <c r="A294" s="81">
        <v>2024202</v>
      </c>
      <c r="B294" s="78">
        <v>45358</v>
      </c>
      <c r="C294" s="79">
        <v>381</v>
      </c>
      <c r="D294" s="42" t="s">
        <v>1340</v>
      </c>
      <c r="E294" s="42" t="s">
        <v>433</v>
      </c>
      <c r="F294" s="80">
        <v>823</v>
      </c>
      <c r="G294" s="80">
        <v>0</v>
      </c>
      <c r="H294" s="80">
        <v>0</v>
      </c>
      <c r="I294" s="42" t="s">
        <v>1727</v>
      </c>
      <c r="J294" s="80">
        <v>823</v>
      </c>
      <c r="K294" s="42">
        <v>167</v>
      </c>
    </row>
    <row r="295" spans="1:11" x14ac:dyDescent="0.25">
      <c r="A295" s="81">
        <v>2024202</v>
      </c>
      <c r="B295" s="78">
        <v>45358</v>
      </c>
      <c r="C295" s="79">
        <v>380</v>
      </c>
      <c r="D295" s="42" t="s">
        <v>1340</v>
      </c>
      <c r="E295" s="42" t="s">
        <v>1706</v>
      </c>
      <c r="F295" s="80">
        <v>1187</v>
      </c>
      <c r="G295" s="80">
        <v>0</v>
      </c>
      <c r="H295" s="80">
        <v>0</v>
      </c>
      <c r="I295" s="42">
        <v>0</v>
      </c>
      <c r="J295" s="80">
        <v>1187</v>
      </c>
      <c r="K295" s="42" t="s">
        <v>1736</v>
      </c>
    </row>
    <row r="296" spans="1:11" x14ac:dyDescent="0.25">
      <c r="A296" s="81">
        <v>2024206</v>
      </c>
      <c r="B296" s="78">
        <v>45358</v>
      </c>
      <c r="C296" s="79">
        <v>379</v>
      </c>
      <c r="D296" s="42" t="s">
        <v>1929</v>
      </c>
      <c r="E296" s="42" t="s">
        <v>1731</v>
      </c>
      <c r="F296" s="80">
        <v>1338</v>
      </c>
      <c r="G296" s="80">
        <v>0</v>
      </c>
      <c r="H296" s="80">
        <v>0</v>
      </c>
      <c r="I296" s="42" t="s">
        <v>1727</v>
      </c>
      <c r="J296" s="80">
        <v>1054</v>
      </c>
      <c r="K296" s="42" t="s">
        <v>244</v>
      </c>
    </row>
    <row r="297" spans="1:11" x14ac:dyDescent="0.25">
      <c r="A297" s="81">
        <v>2024206</v>
      </c>
      <c r="B297" s="78">
        <v>45358</v>
      </c>
      <c r="C297" s="79">
        <v>378</v>
      </c>
      <c r="D297" s="42" t="s">
        <v>1929</v>
      </c>
      <c r="E297" s="42" t="s">
        <v>433</v>
      </c>
      <c r="F297" s="80">
        <v>1362</v>
      </c>
      <c r="G297" s="80">
        <v>0</v>
      </c>
      <c r="H297" s="80">
        <v>0</v>
      </c>
      <c r="I297" s="42" t="s">
        <v>1727</v>
      </c>
      <c r="J297" s="80">
        <v>1646</v>
      </c>
      <c r="K297" s="42" t="s">
        <v>244</v>
      </c>
    </row>
    <row r="298" spans="1:11" x14ac:dyDescent="0.25">
      <c r="A298" s="81">
        <v>2024203</v>
      </c>
      <c r="B298" s="78">
        <v>45358</v>
      </c>
      <c r="C298" s="79">
        <v>377</v>
      </c>
      <c r="D298" s="42" t="s">
        <v>1928</v>
      </c>
      <c r="E298" s="42" t="s">
        <v>1731</v>
      </c>
      <c r="F298" s="80">
        <v>728</v>
      </c>
      <c r="G298" s="80">
        <v>0</v>
      </c>
      <c r="H298" s="80">
        <v>0</v>
      </c>
      <c r="I298" s="42" t="s">
        <v>1727</v>
      </c>
      <c r="J298" s="80">
        <v>728</v>
      </c>
      <c r="K298" s="42">
        <v>71</v>
      </c>
    </row>
    <row r="299" spans="1:11" x14ac:dyDescent="0.25">
      <c r="A299" s="81">
        <v>2024203</v>
      </c>
      <c r="B299" s="78">
        <v>45358</v>
      </c>
      <c r="C299" s="79">
        <v>376</v>
      </c>
      <c r="D299" s="42" t="s">
        <v>1928</v>
      </c>
      <c r="E299" s="42" t="s">
        <v>433</v>
      </c>
      <c r="F299" s="80">
        <v>1646</v>
      </c>
      <c r="G299" s="80">
        <v>0</v>
      </c>
      <c r="H299" s="80">
        <v>0</v>
      </c>
      <c r="I299" s="42" t="s">
        <v>1721</v>
      </c>
      <c r="J299" s="80">
        <v>1646</v>
      </c>
      <c r="K299" s="42">
        <v>65</v>
      </c>
    </row>
    <row r="300" spans="1:11" x14ac:dyDescent="0.25">
      <c r="A300" s="81">
        <v>2024203</v>
      </c>
      <c r="B300" s="78">
        <v>45358</v>
      </c>
      <c r="C300" s="79">
        <v>375</v>
      </c>
      <c r="D300" s="42" t="s">
        <v>1928</v>
      </c>
      <c r="E300" s="42" t="s">
        <v>1730</v>
      </c>
      <c r="F300" s="80">
        <v>2374</v>
      </c>
      <c r="G300" s="80">
        <v>0</v>
      </c>
      <c r="H300" s="80">
        <v>0</v>
      </c>
      <c r="I300" s="42">
        <v>0</v>
      </c>
      <c r="J300" s="80">
        <v>2374</v>
      </c>
      <c r="K300" s="42" t="s">
        <v>1736</v>
      </c>
    </row>
    <row r="301" spans="1:11" x14ac:dyDescent="0.25">
      <c r="A301" s="81">
        <v>2024160</v>
      </c>
      <c r="B301" s="78">
        <v>45358</v>
      </c>
      <c r="C301" s="79">
        <v>374</v>
      </c>
      <c r="D301" s="42" t="s">
        <v>1321</v>
      </c>
      <c r="E301" s="42" t="s">
        <v>1707</v>
      </c>
      <c r="F301" s="80">
        <v>610</v>
      </c>
      <c r="G301" s="80">
        <v>0</v>
      </c>
      <c r="H301" s="80">
        <v>0</v>
      </c>
      <c r="I301" s="42" t="s">
        <v>1926</v>
      </c>
      <c r="J301" s="80">
        <v>610</v>
      </c>
      <c r="K301" s="42">
        <v>78</v>
      </c>
    </row>
    <row r="302" spans="1:11" x14ac:dyDescent="0.25">
      <c r="A302" s="81">
        <v>2024160</v>
      </c>
      <c r="B302" s="78">
        <v>45358</v>
      </c>
      <c r="C302" s="79">
        <v>373</v>
      </c>
      <c r="D302" s="42" t="s">
        <v>1321</v>
      </c>
      <c r="E302" s="42" t="s">
        <v>433</v>
      </c>
      <c r="F302" s="80">
        <v>823</v>
      </c>
      <c r="G302" s="80">
        <v>0</v>
      </c>
      <c r="H302" s="80">
        <v>0</v>
      </c>
      <c r="I302" s="42" t="s">
        <v>1925</v>
      </c>
      <c r="J302" s="80">
        <v>823</v>
      </c>
      <c r="K302" s="42">
        <v>72</v>
      </c>
    </row>
    <row r="303" spans="1:11" x14ac:dyDescent="0.25">
      <c r="A303" s="81">
        <v>2024195</v>
      </c>
      <c r="B303" s="78">
        <v>45357</v>
      </c>
      <c r="C303" s="79">
        <v>372</v>
      </c>
      <c r="D303" s="42" t="s">
        <v>1871</v>
      </c>
      <c r="E303" s="42" t="s">
        <v>1707</v>
      </c>
      <c r="F303" s="80">
        <v>0</v>
      </c>
      <c r="G303" s="80">
        <v>1220</v>
      </c>
      <c r="H303" s="80">
        <v>0</v>
      </c>
      <c r="I303" s="42" t="s">
        <v>1727</v>
      </c>
      <c r="J303" s="80">
        <v>1220</v>
      </c>
      <c r="K303" s="42" t="s">
        <v>244</v>
      </c>
    </row>
    <row r="304" spans="1:11" x14ac:dyDescent="0.25">
      <c r="A304" s="81">
        <v>2024185</v>
      </c>
      <c r="B304" s="78">
        <v>45357</v>
      </c>
      <c r="C304" s="79">
        <v>371</v>
      </c>
      <c r="D304" s="42" t="s">
        <v>1924</v>
      </c>
      <c r="E304" s="42" t="s">
        <v>433</v>
      </c>
      <c r="F304" s="80">
        <v>100</v>
      </c>
      <c r="G304" s="80">
        <v>0</v>
      </c>
      <c r="H304" s="80">
        <v>0</v>
      </c>
      <c r="I304" s="42" t="s">
        <v>1727</v>
      </c>
      <c r="J304" s="80">
        <v>100</v>
      </c>
      <c r="K304" s="42" t="s">
        <v>244</v>
      </c>
    </row>
    <row r="305" spans="1:11" x14ac:dyDescent="0.25">
      <c r="A305" s="81">
        <v>2024190</v>
      </c>
      <c r="B305" s="78">
        <v>45357</v>
      </c>
      <c r="C305" s="79">
        <v>370</v>
      </c>
      <c r="D305" s="42" t="s">
        <v>1921</v>
      </c>
      <c r="E305" s="42" t="s">
        <v>1707</v>
      </c>
      <c r="F305" s="80">
        <v>610</v>
      </c>
      <c r="G305" s="80">
        <v>0</v>
      </c>
      <c r="H305" s="80">
        <v>0</v>
      </c>
      <c r="I305" s="42" t="s">
        <v>1838</v>
      </c>
      <c r="J305" s="80">
        <v>610</v>
      </c>
      <c r="K305" s="42">
        <v>60</v>
      </c>
    </row>
    <row r="306" spans="1:11" x14ac:dyDescent="0.25">
      <c r="A306" s="81">
        <v>2024190</v>
      </c>
      <c r="B306" s="78">
        <v>45357</v>
      </c>
      <c r="C306" s="79">
        <v>369</v>
      </c>
      <c r="D306" s="42" t="s">
        <v>1921</v>
      </c>
      <c r="E306" s="42" t="s">
        <v>433</v>
      </c>
      <c r="F306" s="80">
        <v>823</v>
      </c>
      <c r="G306" s="80">
        <v>0</v>
      </c>
      <c r="H306" s="80">
        <v>0</v>
      </c>
      <c r="I306" s="42" t="s">
        <v>1748</v>
      </c>
      <c r="J306" s="80">
        <v>823</v>
      </c>
      <c r="K306" s="42">
        <v>55</v>
      </c>
    </row>
    <row r="307" spans="1:11" x14ac:dyDescent="0.25">
      <c r="A307" s="81">
        <v>2024190</v>
      </c>
      <c r="B307" s="78">
        <v>45357</v>
      </c>
      <c r="C307" s="79">
        <v>368</v>
      </c>
      <c r="D307" s="42" t="s">
        <v>1921</v>
      </c>
      <c r="E307" s="42" t="s">
        <v>1707</v>
      </c>
      <c r="F307" s="80">
        <v>0</v>
      </c>
      <c r="G307" s="80">
        <v>610</v>
      </c>
      <c r="H307" s="80">
        <v>0</v>
      </c>
      <c r="I307" s="42" t="s">
        <v>1727</v>
      </c>
      <c r="J307" s="80">
        <v>610</v>
      </c>
      <c r="K307" s="42">
        <v>165</v>
      </c>
    </row>
    <row r="308" spans="1:11" x14ac:dyDescent="0.25">
      <c r="A308" s="81">
        <v>2024190</v>
      </c>
      <c r="B308" s="78">
        <v>45357</v>
      </c>
      <c r="C308" s="79">
        <v>367</v>
      </c>
      <c r="D308" s="42" t="s">
        <v>1921</v>
      </c>
      <c r="E308" s="42" t="s">
        <v>433</v>
      </c>
      <c r="F308" s="80">
        <v>0</v>
      </c>
      <c r="G308" s="80">
        <v>823</v>
      </c>
      <c r="H308" s="80">
        <v>0</v>
      </c>
      <c r="I308" s="42" t="s">
        <v>1727</v>
      </c>
      <c r="J308" s="80">
        <v>823</v>
      </c>
      <c r="K308" s="42">
        <v>164</v>
      </c>
    </row>
    <row r="309" spans="1:11" x14ac:dyDescent="0.25">
      <c r="A309" s="81">
        <v>2024190</v>
      </c>
      <c r="B309" s="78">
        <v>45357</v>
      </c>
      <c r="C309" s="79">
        <v>366</v>
      </c>
      <c r="D309" s="42" t="s">
        <v>1921</v>
      </c>
      <c r="E309" s="42" t="s">
        <v>1705</v>
      </c>
      <c r="F309" s="80">
        <v>0</v>
      </c>
      <c r="G309" s="80">
        <v>1433</v>
      </c>
      <c r="H309" s="80">
        <v>0</v>
      </c>
      <c r="I309" s="42">
        <v>0</v>
      </c>
      <c r="J309" s="80">
        <v>1433</v>
      </c>
      <c r="K309" s="42" t="s">
        <v>1736</v>
      </c>
    </row>
    <row r="310" spans="1:11" x14ac:dyDescent="0.25">
      <c r="A310" s="81">
        <v>2024188</v>
      </c>
      <c r="B310" s="78">
        <v>45357</v>
      </c>
      <c r="C310" s="79">
        <v>365</v>
      </c>
      <c r="D310" s="42" t="s">
        <v>1923</v>
      </c>
      <c r="E310" s="42" t="s">
        <v>1705</v>
      </c>
      <c r="F310" s="80">
        <v>0</v>
      </c>
      <c r="G310" s="80">
        <v>1433</v>
      </c>
      <c r="H310" s="80">
        <v>0</v>
      </c>
      <c r="I310" s="42">
        <v>0</v>
      </c>
      <c r="J310" s="80">
        <v>1433</v>
      </c>
      <c r="K310" s="42" t="s">
        <v>1736</v>
      </c>
    </row>
    <row r="311" spans="1:11" x14ac:dyDescent="0.25">
      <c r="A311" s="81">
        <v>2024187</v>
      </c>
      <c r="B311" s="78">
        <v>45357</v>
      </c>
      <c r="C311" s="79">
        <v>364</v>
      </c>
      <c r="D311" s="42" t="s">
        <v>1922</v>
      </c>
      <c r="E311" s="42" t="s">
        <v>1705</v>
      </c>
      <c r="F311" s="80">
        <v>1433</v>
      </c>
      <c r="G311" s="80">
        <v>0</v>
      </c>
      <c r="H311" s="80">
        <v>0</v>
      </c>
      <c r="I311" s="42">
        <v>0</v>
      </c>
      <c r="J311" s="80">
        <v>1433</v>
      </c>
      <c r="K311" s="42" t="s">
        <v>1736</v>
      </c>
    </row>
    <row r="312" spans="1:11" x14ac:dyDescent="0.25">
      <c r="A312" s="81">
        <v>2024191</v>
      </c>
      <c r="B312" s="78">
        <v>45357</v>
      </c>
      <c r="C312" s="79">
        <v>363</v>
      </c>
      <c r="D312" s="42" t="s">
        <v>1921</v>
      </c>
      <c r="E312" s="42" t="s">
        <v>1707</v>
      </c>
      <c r="F312" s="80">
        <v>974</v>
      </c>
      <c r="G312" s="80">
        <v>0</v>
      </c>
      <c r="H312" s="80">
        <v>0</v>
      </c>
      <c r="I312" s="42" t="s">
        <v>1727</v>
      </c>
      <c r="J312" s="80">
        <v>974</v>
      </c>
      <c r="K312" s="42">
        <v>70</v>
      </c>
    </row>
    <row r="313" spans="1:11" x14ac:dyDescent="0.25">
      <c r="A313" s="81">
        <v>2024191</v>
      </c>
      <c r="B313" s="78">
        <v>45357</v>
      </c>
      <c r="C313" s="79">
        <v>362</v>
      </c>
      <c r="D313" s="42" t="s">
        <v>1921</v>
      </c>
      <c r="E313" s="42" t="s">
        <v>433</v>
      </c>
      <c r="F313" s="80">
        <v>1646</v>
      </c>
      <c r="G313" s="80">
        <v>0</v>
      </c>
      <c r="H313" s="80">
        <v>0</v>
      </c>
      <c r="I313" s="42" t="s">
        <v>1727</v>
      </c>
      <c r="J313" s="80">
        <v>1646</v>
      </c>
      <c r="K313" s="42">
        <v>64</v>
      </c>
    </row>
    <row r="314" spans="1:11" x14ac:dyDescent="0.25">
      <c r="A314" s="81">
        <v>2024198</v>
      </c>
      <c r="B314" s="78">
        <v>45357</v>
      </c>
      <c r="C314" s="79">
        <v>361</v>
      </c>
      <c r="D314" s="42" t="s">
        <v>1920</v>
      </c>
      <c r="E314" s="42" t="s">
        <v>1705</v>
      </c>
      <c r="F314" s="80">
        <v>0</v>
      </c>
      <c r="G314" s="80">
        <v>2600</v>
      </c>
      <c r="H314" s="80">
        <v>0</v>
      </c>
      <c r="I314" s="42">
        <v>0</v>
      </c>
      <c r="J314" s="80">
        <v>2600</v>
      </c>
      <c r="K314" s="42" t="s">
        <v>1736</v>
      </c>
    </row>
    <row r="315" spans="1:11" x14ac:dyDescent="0.25">
      <c r="A315" s="81">
        <v>2024196</v>
      </c>
      <c r="B315" s="78">
        <v>45357</v>
      </c>
      <c r="C315" s="79">
        <v>360</v>
      </c>
      <c r="D315" s="42" t="s">
        <v>1919</v>
      </c>
      <c r="E315" s="42" t="s">
        <v>1707</v>
      </c>
      <c r="F315" s="80">
        <v>0</v>
      </c>
      <c r="G315" s="80">
        <v>1220</v>
      </c>
      <c r="H315" s="80">
        <v>0</v>
      </c>
      <c r="I315" s="42" t="s">
        <v>1727</v>
      </c>
      <c r="J315" s="80">
        <v>1220</v>
      </c>
      <c r="K315" s="42">
        <v>0</v>
      </c>
    </row>
    <row r="316" spans="1:11" x14ac:dyDescent="0.25">
      <c r="A316" s="81">
        <v>2024196</v>
      </c>
      <c r="B316" s="78">
        <v>45357</v>
      </c>
      <c r="C316" s="79">
        <v>359</v>
      </c>
      <c r="D316" s="42" t="s">
        <v>1918</v>
      </c>
      <c r="E316" s="42" t="s">
        <v>433</v>
      </c>
      <c r="F316" s="80">
        <v>0</v>
      </c>
      <c r="G316" s="80">
        <v>1646</v>
      </c>
      <c r="H316" s="80">
        <v>0</v>
      </c>
      <c r="I316" s="42" t="s">
        <v>1727</v>
      </c>
      <c r="J316" s="80">
        <v>1646</v>
      </c>
      <c r="K316" s="42">
        <v>0</v>
      </c>
    </row>
    <row r="317" spans="1:11" x14ac:dyDescent="0.25">
      <c r="A317" s="81">
        <v>2024201</v>
      </c>
      <c r="B317" s="78">
        <v>45357</v>
      </c>
      <c r="C317" s="79">
        <v>358</v>
      </c>
      <c r="D317" s="42" t="s">
        <v>1917</v>
      </c>
      <c r="E317" s="42" t="s">
        <v>1707</v>
      </c>
      <c r="F317" s="80">
        <v>0</v>
      </c>
      <c r="G317" s="80">
        <v>627</v>
      </c>
      <c r="H317" s="80">
        <v>0</v>
      </c>
      <c r="I317" s="42" t="s">
        <v>1727</v>
      </c>
      <c r="J317" s="80">
        <v>627</v>
      </c>
      <c r="K317" s="42">
        <v>0</v>
      </c>
    </row>
    <row r="318" spans="1:11" x14ac:dyDescent="0.25">
      <c r="A318" s="81">
        <v>2024201</v>
      </c>
      <c r="B318" s="78">
        <v>45357</v>
      </c>
      <c r="C318" s="79">
        <v>357</v>
      </c>
      <c r="D318" s="42" t="s">
        <v>1917</v>
      </c>
      <c r="E318" s="42" t="s">
        <v>433</v>
      </c>
      <c r="F318" s="80">
        <v>0</v>
      </c>
      <c r="G318" s="80">
        <v>823</v>
      </c>
      <c r="H318" s="80">
        <v>0</v>
      </c>
      <c r="I318" s="42" t="s">
        <v>1727</v>
      </c>
      <c r="J318" s="80">
        <v>823</v>
      </c>
      <c r="K318" s="42">
        <v>0</v>
      </c>
    </row>
    <row r="319" spans="1:11" x14ac:dyDescent="0.25">
      <c r="A319" s="81">
        <v>2024201</v>
      </c>
      <c r="B319" s="78">
        <v>45357</v>
      </c>
      <c r="C319" s="79">
        <v>356</v>
      </c>
      <c r="D319" s="42" t="s">
        <v>1917</v>
      </c>
      <c r="E319" s="42" t="s">
        <v>1705</v>
      </c>
      <c r="F319" s="80">
        <v>0</v>
      </c>
      <c r="G319" s="80">
        <v>1450</v>
      </c>
      <c r="H319" s="80">
        <v>0</v>
      </c>
      <c r="I319" s="42">
        <v>0</v>
      </c>
      <c r="J319" s="80">
        <v>1450</v>
      </c>
      <c r="K319" s="42" t="s">
        <v>1736</v>
      </c>
    </row>
    <row r="320" spans="1:11" x14ac:dyDescent="0.25">
      <c r="A320" s="81">
        <v>2024194</v>
      </c>
      <c r="B320" s="78">
        <v>45357</v>
      </c>
      <c r="C320" s="79">
        <v>355</v>
      </c>
      <c r="D320" s="42" t="s">
        <v>1916</v>
      </c>
      <c r="E320" s="42" t="s">
        <v>1730</v>
      </c>
      <c r="F320" s="80">
        <v>0</v>
      </c>
      <c r="G320" s="80">
        <v>2374</v>
      </c>
      <c r="H320" s="80">
        <v>0</v>
      </c>
      <c r="I320" s="42">
        <v>0</v>
      </c>
      <c r="J320" s="80">
        <v>2374</v>
      </c>
      <c r="K320" s="42" t="s">
        <v>1736</v>
      </c>
    </row>
    <row r="321" spans="1:11" x14ac:dyDescent="0.25">
      <c r="A321" s="81">
        <v>2024199</v>
      </c>
      <c r="B321" s="78">
        <v>45357</v>
      </c>
      <c r="C321" s="79">
        <v>354</v>
      </c>
      <c r="D321" s="42" t="s">
        <v>1915</v>
      </c>
      <c r="E321" s="42" t="s">
        <v>1707</v>
      </c>
      <c r="F321" s="80">
        <v>0</v>
      </c>
      <c r="G321" s="80">
        <v>610</v>
      </c>
      <c r="H321" s="80">
        <v>0</v>
      </c>
      <c r="I321" s="42" t="s">
        <v>1727</v>
      </c>
      <c r="J321" s="80">
        <v>610</v>
      </c>
      <c r="K321" s="42">
        <v>167</v>
      </c>
    </row>
    <row r="322" spans="1:11" x14ac:dyDescent="0.25">
      <c r="A322" s="81">
        <v>2024199</v>
      </c>
      <c r="B322" s="78">
        <v>45357</v>
      </c>
      <c r="C322" s="79">
        <v>353</v>
      </c>
      <c r="D322" s="42" t="s">
        <v>1915</v>
      </c>
      <c r="E322" s="42">
        <v>0</v>
      </c>
      <c r="F322" s="80">
        <v>0</v>
      </c>
      <c r="G322" s="80">
        <v>823</v>
      </c>
      <c r="H322" s="80">
        <v>0</v>
      </c>
      <c r="I322" s="42" t="s">
        <v>1727</v>
      </c>
      <c r="J322" s="80">
        <v>823</v>
      </c>
      <c r="K322" s="42">
        <v>166</v>
      </c>
    </row>
    <row r="323" spans="1:11" x14ac:dyDescent="0.25">
      <c r="A323" s="81">
        <v>2024199</v>
      </c>
      <c r="B323" s="78">
        <v>45357</v>
      </c>
      <c r="C323" s="79">
        <v>352</v>
      </c>
      <c r="D323" s="42" t="s">
        <v>1915</v>
      </c>
      <c r="E323" s="42" t="s">
        <v>1705</v>
      </c>
      <c r="F323" s="80">
        <v>0</v>
      </c>
      <c r="G323" s="80">
        <v>1433</v>
      </c>
      <c r="H323" s="80">
        <v>0</v>
      </c>
      <c r="I323" s="42">
        <v>0</v>
      </c>
      <c r="J323" s="80">
        <v>1433</v>
      </c>
      <c r="K323" s="42" t="s">
        <v>1736</v>
      </c>
    </row>
    <row r="324" spans="1:11" x14ac:dyDescent="0.25">
      <c r="A324" s="81">
        <v>2024197</v>
      </c>
      <c r="B324" s="78">
        <v>45357</v>
      </c>
      <c r="C324" s="79">
        <v>351</v>
      </c>
      <c r="D324" s="42" t="s">
        <v>1914</v>
      </c>
      <c r="E324" s="42" t="s">
        <v>1707</v>
      </c>
      <c r="F324" s="80">
        <v>0</v>
      </c>
      <c r="G324" s="80">
        <v>1220</v>
      </c>
      <c r="H324" s="80">
        <v>0</v>
      </c>
      <c r="I324" s="42" t="s">
        <v>1727</v>
      </c>
      <c r="J324" s="80">
        <v>1220</v>
      </c>
      <c r="K324" s="42">
        <v>34</v>
      </c>
    </row>
    <row r="325" spans="1:11" x14ac:dyDescent="0.25">
      <c r="A325" s="81">
        <v>2024181</v>
      </c>
      <c r="B325" s="78">
        <v>45357</v>
      </c>
      <c r="C325" s="79">
        <v>350</v>
      </c>
      <c r="D325" s="42" t="s">
        <v>1336</v>
      </c>
      <c r="E325" s="42" t="s">
        <v>1707</v>
      </c>
      <c r="F325" s="80">
        <v>974</v>
      </c>
      <c r="G325" s="80">
        <v>0</v>
      </c>
      <c r="H325" s="80">
        <v>0</v>
      </c>
      <c r="I325" s="42" t="s">
        <v>1727</v>
      </c>
      <c r="J325" s="80">
        <v>974</v>
      </c>
      <c r="K325" s="42">
        <v>77</v>
      </c>
    </row>
    <row r="326" spans="1:11" x14ac:dyDescent="0.25">
      <c r="A326" s="81">
        <v>2024181</v>
      </c>
      <c r="B326" s="78">
        <v>45357</v>
      </c>
      <c r="C326" s="79">
        <v>349</v>
      </c>
      <c r="D326" s="42" t="s">
        <v>1336</v>
      </c>
      <c r="E326" s="42" t="s">
        <v>433</v>
      </c>
      <c r="F326" s="80">
        <v>1646</v>
      </c>
      <c r="G326" s="80">
        <v>0</v>
      </c>
      <c r="H326" s="80">
        <v>0</v>
      </c>
      <c r="I326" s="42" t="s">
        <v>1727</v>
      </c>
      <c r="J326" s="80">
        <v>1646</v>
      </c>
      <c r="K326" s="42">
        <v>71</v>
      </c>
    </row>
    <row r="327" spans="1:11" x14ac:dyDescent="0.25">
      <c r="A327" s="81">
        <v>2024197</v>
      </c>
      <c r="B327" s="78">
        <v>45357</v>
      </c>
      <c r="C327" s="79">
        <v>348</v>
      </c>
      <c r="D327" s="42" t="s">
        <v>1914</v>
      </c>
      <c r="E327" s="42" t="s">
        <v>433</v>
      </c>
      <c r="F327" s="80">
        <v>0</v>
      </c>
      <c r="G327" s="80">
        <v>1646</v>
      </c>
      <c r="H327" s="80">
        <v>0</v>
      </c>
      <c r="I327" s="42" t="s">
        <v>1727</v>
      </c>
      <c r="J327" s="80">
        <v>1646</v>
      </c>
      <c r="K327" s="42">
        <v>30</v>
      </c>
    </row>
    <row r="328" spans="1:11" x14ac:dyDescent="0.25">
      <c r="A328" s="81">
        <v>2024197</v>
      </c>
      <c r="B328" s="78">
        <v>45357</v>
      </c>
      <c r="C328" s="79">
        <v>347</v>
      </c>
      <c r="D328" s="42" t="s">
        <v>1914</v>
      </c>
      <c r="E328" s="42" t="s">
        <v>1705</v>
      </c>
      <c r="F328" s="80">
        <v>0</v>
      </c>
      <c r="G328" s="80">
        <v>2866</v>
      </c>
      <c r="H328" s="80">
        <v>0</v>
      </c>
      <c r="I328" s="42">
        <v>0</v>
      </c>
      <c r="J328" s="80">
        <v>2866</v>
      </c>
      <c r="K328" s="42" t="s">
        <v>1736</v>
      </c>
    </row>
    <row r="329" spans="1:11" x14ac:dyDescent="0.25">
      <c r="A329" s="81">
        <v>2024192</v>
      </c>
      <c r="B329" s="78">
        <v>45357</v>
      </c>
      <c r="C329" s="79">
        <v>346</v>
      </c>
      <c r="D329" s="42" t="s">
        <v>1913</v>
      </c>
      <c r="E329" s="42" t="s">
        <v>1705</v>
      </c>
      <c r="F329" s="80">
        <v>2000</v>
      </c>
      <c r="G329" s="80">
        <v>0</v>
      </c>
      <c r="H329" s="80">
        <v>0</v>
      </c>
      <c r="I329" s="42">
        <v>0</v>
      </c>
      <c r="J329" s="80">
        <v>2000</v>
      </c>
      <c r="K329" s="42" t="s">
        <v>1736</v>
      </c>
    </row>
    <row r="330" spans="1:11" x14ac:dyDescent="0.25">
      <c r="A330" s="81">
        <v>2024183</v>
      </c>
      <c r="B330" s="78">
        <v>45357</v>
      </c>
      <c r="C330" s="79">
        <v>345</v>
      </c>
      <c r="D330" s="42" t="s">
        <v>1912</v>
      </c>
      <c r="E330" s="42" t="s">
        <v>1708</v>
      </c>
      <c r="F330" s="80">
        <v>364</v>
      </c>
      <c r="G330" s="80">
        <v>0</v>
      </c>
      <c r="H330" s="80">
        <v>0</v>
      </c>
      <c r="I330" s="42" t="s">
        <v>1748</v>
      </c>
      <c r="J330" s="80">
        <v>364</v>
      </c>
      <c r="K330" s="42" t="s">
        <v>244</v>
      </c>
    </row>
    <row r="331" spans="1:11" x14ac:dyDescent="0.25">
      <c r="A331" s="81">
        <v>2024183</v>
      </c>
      <c r="B331" s="78">
        <v>45357</v>
      </c>
      <c r="C331" s="79">
        <v>344</v>
      </c>
      <c r="D331" s="42" t="s">
        <v>1912</v>
      </c>
      <c r="E331" s="42" t="s">
        <v>433</v>
      </c>
      <c r="F331" s="80">
        <v>736</v>
      </c>
      <c r="G331" s="80">
        <v>0</v>
      </c>
      <c r="H331" s="80">
        <v>0</v>
      </c>
      <c r="I331" s="42" t="s">
        <v>1748</v>
      </c>
      <c r="J331" s="80">
        <v>736</v>
      </c>
      <c r="K331" s="42" t="s">
        <v>244</v>
      </c>
    </row>
    <row r="332" spans="1:11" x14ac:dyDescent="0.25">
      <c r="A332" s="81">
        <v>2024183</v>
      </c>
      <c r="B332" s="78">
        <v>45357</v>
      </c>
      <c r="C332" s="79">
        <v>343</v>
      </c>
      <c r="D332" s="42" t="s">
        <v>1912</v>
      </c>
      <c r="E332" s="42" t="s">
        <v>1708</v>
      </c>
      <c r="F332" s="80">
        <v>364</v>
      </c>
      <c r="G332" s="80">
        <v>0</v>
      </c>
      <c r="H332" s="80">
        <v>0</v>
      </c>
      <c r="I332" s="42" t="s">
        <v>1727</v>
      </c>
      <c r="J332" s="80">
        <v>364</v>
      </c>
      <c r="K332" s="42" t="s">
        <v>244</v>
      </c>
    </row>
    <row r="333" spans="1:11" x14ac:dyDescent="0.25">
      <c r="A333" s="81">
        <v>2024183</v>
      </c>
      <c r="B333" s="78">
        <v>45357</v>
      </c>
      <c r="C333" s="79">
        <v>342</v>
      </c>
      <c r="D333" s="42" t="s">
        <v>1912</v>
      </c>
      <c r="E333" s="42" t="s">
        <v>433</v>
      </c>
      <c r="F333" s="80">
        <v>736</v>
      </c>
      <c r="G333" s="80">
        <v>0</v>
      </c>
      <c r="H333" s="80">
        <v>0</v>
      </c>
      <c r="I333" s="42" t="s">
        <v>1727</v>
      </c>
      <c r="J333" s="80">
        <v>736</v>
      </c>
      <c r="K333" s="42" t="s">
        <v>244</v>
      </c>
    </row>
    <row r="334" spans="1:11" x14ac:dyDescent="0.25">
      <c r="A334" s="81">
        <v>2024183</v>
      </c>
      <c r="B334" s="78">
        <v>45357</v>
      </c>
      <c r="C334" s="79">
        <v>341</v>
      </c>
      <c r="D334" s="42" t="s">
        <v>1912</v>
      </c>
      <c r="E334" s="42" t="s">
        <v>1706</v>
      </c>
      <c r="F334" s="80">
        <v>1187</v>
      </c>
      <c r="G334" s="80">
        <v>0</v>
      </c>
      <c r="H334" s="80">
        <v>0</v>
      </c>
      <c r="I334" s="42">
        <v>0</v>
      </c>
      <c r="J334" s="80">
        <v>1187</v>
      </c>
      <c r="K334" s="42" t="s">
        <v>1736</v>
      </c>
    </row>
    <row r="335" spans="1:11" x14ac:dyDescent="0.25">
      <c r="A335" s="81">
        <v>2024314</v>
      </c>
      <c r="B335" s="78">
        <v>45357</v>
      </c>
      <c r="C335" s="79">
        <v>340</v>
      </c>
      <c r="D335" s="42" t="s">
        <v>1911</v>
      </c>
      <c r="E335" s="42" t="s">
        <v>1706</v>
      </c>
      <c r="F335" s="80">
        <v>0</v>
      </c>
      <c r="G335" s="80">
        <v>120</v>
      </c>
      <c r="H335" s="80">
        <v>0</v>
      </c>
      <c r="I335" s="42">
        <v>0</v>
      </c>
      <c r="J335" s="80">
        <v>120</v>
      </c>
      <c r="K335" s="42" t="s">
        <v>1736</v>
      </c>
    </row>
    <row r="336" spans="1:11" x14ac:dyDescent="0.25">
      <c r="A336" s="81">
        <v>2024314</v>
      </c>
      <c r="B336" s="78">
        <v>45357</v>
      </c>
      <c r="C336" s="79">
        <v>337</v>
      </c>
      <c r="D336" s="42" t="s">
        <v>1911</v>
      </c>
      <c r="E336" s="42" t="s">
        <v>1706</v>
      </c>
      <c r="F336" s="80">
        <v>120</v>
      </c>
      <c r="G336" s="80">
        <v>0</v>
      </c>
      <c r="H336" s="80">
        <v>0</v>
      </c>
      <c r="I336" s="42">
        <v>0</v>
      </c>
      <c r="J336" s="80">
        <v>120</v>
      </c>
      <c r="K336" s="42" t="s">
        <v>1736</v>
      </c>
    </row>
    <row r="337" spans="1:11" x14ac:dyDescent="0.25">
      <c r="A337" s="81">
        <v>2024179</v>
      </c>
      <c r="B337" s="78">
        <v>45357</v>
      </c>
      <c r="C337" s="79">
        <v>336</v>
      </c>
      <c r="D337" s="42" t="s">
        <v>1910</v>
      </c>
      <c r="E337" s="42" t="s">
        <v>1731</v>
      </c>
      <c r="F337" s="80">
        <v>0</v>
      </c>
      <c r="G337" s="80">
        <v>728</v>
      </c>
      <c r="H337" s="80">
        <v>0</v>
      </c>
      <c r="I337" s="42" t="s">
        <v>1727</v>
      </c>
      <c r="J337" s="80">
        <v>728</v>
      </c>
      <c r="K337" s="42">
        <v>61</v>
      </c>
    </row>
    <row r="338" spans="1:11" x14ac:dyDescent="0.25">
      <c r="A338" s="81">
        <v>2024179</v>
      </c>
      <c r="B338" s="78">
        <v>45357</v>
      </c>
      <c r="C338" s="79">
        <v>335</v>
      </c>
      <c r="D338" s="42" t="s">
        <v>1910</v>
      </c>
      <c r="E338" s="42" t="s">
        <v>433</v>
      </c>
      <c r="F338" s="80">
        <v>0</v>
      </c>
      <c r="G338" s="80">
        <v>1646</v>
      </c>
      <c r="H338" s="80">
        <v>0</v>
      </c>
      <c r="I338" s="42" t="s">
        <v>1727</v>
      </c>
      <c r="J338" s="80">
        <v>1646</v>
      </c>
      <c r="K338" s="42">
        <v>56</v>
      </c>
    </row>
    <row r="339" spans="1:11" x14ac:dyDescent="0.25">
      <c r="A339" s="81">
        <v>2024179</v>
      </c>
      <c r="B339" s="78">
        <v>45357</v>
      </c>
      <c r="C339" s="79">
        <v>334</v>
      </c>
      <c r="D339" s="42" t="s">
        <v>1910</v>
      </c>
      <c r="E339" s="42" t="s">
        <v>1730</v>
      </c>
      <c r="F339" s="80">
        <v>374</v>
      </c>
      <c r="G339" s="80">
        <v>2000</v>
      </c>
      <c r="H339" s="80">
        <v>0</v>
      </c>
      <c r="I339" s="42">
        <v>0</v>
      </c>
      <c r="J339" s="80">
        <v>2374</v>
      </c>
      <c r="K339" s="42" t="s">
        <v>1736</v>
      </c>
    </row>
    <row r="340" spans="1:11" x14ac:dyDescent="0.25">
      <c r="A340" s="81">
        <v>2024181</v>
      </c>
      <c r="B340" s="78">
        <v>45357</v>
      </c>
      <c r="C340" s="79">
        <v>333</v>
      </c>
      <c r="D340" s="42" t="s">
        <v>1909</v>
      </c>
      <c r="E340" s="42" t="s">
        <v>1705</v>
      </c>
      <c r="F340" s="80">
        <v>2620</v>
      </c>
      <c r="G340" s="80">
        <v>0</v>
      </c>
      <c r="H340" s="80">
        <v>0</v>
      </c>
      <c r="I340" s="42">
        <v>0</v>
      </c>
      <c r="J340" s="80">
        <v>2620</v>
      </c>
      <c r="K340" s="42" t="s">
        <v>1736</v>
      </c>
    </row>
    <row r="341" spans="1:11" x14ac:dyDescent="0.25">
      <c r="A341" s="81">
        <v>2024180</v>
      </c>
      <c r="B341" s="78">
        <v>45357</v>
      </c>
      <c r="C341" s="79">
        <v>332</v>
      </c>
      <c r="D341" s="42" t="s">
        <v>1908</v>
      </c>
      <c r="E341" s="42" t="s">
        <v>1708</v>
      </c>
      <c r="F341" s="80">
        <v>0</v>
      </c>
      <c r="G341" s="80">
        <v>364</v>
      </c>
      <c r="H341" s="80">
        <v>0</v>
      </c>
      <c r="I341" s="42" t="s">
        <v>1727</v>
      </c>
      <c r="J341" s="80">
        <v>364</v>
      </c>
      <c r="K341" s="42" t="s">
        <v>244</v>
      </c>
    </row>
    <row r="342" spans="1:11" x14ac:dyDescent="0.25">
      <c r="A342" s="81">
        <v>2024180</v>
      </c>
      <c r="B342" s="78">
        <v>45357</v>
      </c>
      <c r="C342" s="79">
        <v>331</v>
      </c>
      <c r="D342" s="42" t="s">
        <v>1908</v>
      </c>
      <c r="E342" s="42" t="s">
        <v>433</v>
      </c>
      <c r="F342" s="80">
        <v>0</v>
      </c>
      <c r="G342" s="80">
        <v>716</v>
      </c>
      <c r="H342" s="80">
        <v>0</v>
      </c>
      <c r="I342" s="42" t="s">
        <v>1727</v>
      </c>
      <c r="J342" s="80">
        <v>716</v>
      </c>
      <c r="K342" s="42" t="s">
        <v>244</v>
      </c>
    </row>
    <row r="343" spans="1:11" x14ac:dyDescent="0.25">
      <c r="A343" s="81">
        <v>2024180</v>
      </c>
      <c r="B343" s="78">
        <v>45357</v>
      </c>
      <c r="C343" s="79">
        <v>330</v>
      </c>
      <c r="D343" s="42" t="s">
        <v>1908</v>
      </c>
      <c r="E343" s="42" t="s">
        <v>1706</v>
      </c>
      <c r="F343" s="80">
        <v>0</v>
      </c>
      <c r="G343" s="80">
        <v>1080</v>
      </c>
      <c r="H343" s="80">
        <v>0</v>
      </c>
      <c r="I343" s="42">
        <v>0</v>
      </c>
      <c r="J343" s="80">
        <v>1080</v>
      </c>
      <c r="K343" s="42" t="s">
        <v>1736</v>
      </c>
    </row>
    <row r="344" spans="1:11" x14ac:dyDescent="0.25">
      <c r="A344" s="81">
        <v>2024135</v>
      </c>
      <c r="B344" s="78">
        <v>45357</v>
      </c>
      <c r="C344" s="79">
        <v>329</v>
      </c>
      <c r="D344" s="42" t="s">
        <v>1843</v>
      </c>
      <c r="E344" s="42" t="s">
        <v>1707</v>
      </c>
      <c r="F344" s="80">
        <v>1830</v>
      </c>
      <c r="G344" s="80">
        <v>0</v>
      </c>
      <c r="H344" s="80">
        <v>0</v>
      </c>
      <c r="I344" s="42" t="s">
        <v>1727</v>
      </c>
      <c r="J344" s="80">
        <v>1830</v>
      </c>
      <c r="K344" s="42">
        <v>76</v>
      </c>
    </row>
    <row r="345" spans="1:11" x14ac:dyDescent="0.25">
      <c r="A345" s="81">
        <v>2024135</v>
      </c>
      <c r="B345" s="78">
        <v>45357</v>
      </c>
      <c r="C345" s="79">
        <v>328</v>
      </c>
      <c r="D345" s="42" t="s">
        <v>1843</v>
      </c>
      <c r="E345" s="42" t="s">
        <v>433</v>
      </c>
      <c r="F345" s="80">
        <v>1752</v>
      </c>
      <c r="G345" s="80">
        <v>0</v>
      </c>
      <c r="H345" s="80">
        <v>0</v>
      </c>
      <c r="I345" s="42" t="s">
        <v>1727</v>
      </c>
      <c r="J345" s="80">
        <v>1752</v>
      </c>
      <c r="K345" s="42">
        <v>70</v>
      </c>
    </row>
    <row r="346" spans="1:11" x14ac:dyDescent="0.25">
      <c r="A346" s="81">
        <v>2024318</v>
      </c>
      <c r="B346" s="78">
        <v>45357</v>
      </c>
      <c r="C346" s="79">
        <v>327</v>
      </c>
      <c r="D346" s="42" t="s">
        <v>1901</v>
      </c>
      <c r="E346" s="42" t="s">
        <v>1903</v>
      </c>
      <c r="F346" s="80">
        <v>700</v>
      </c>
      <c r="G346" s="80">
        <v>0</v>
      </c>
      <c r="H346" s="80">
        <v>0</v>
      </c>
      <c r="I346" s="42" t="s">
        <v>1904</v>
      </c>
      <c r="J346" s="80">
        <v>700</v>
      </c>
      <c r="K346" s="42" t="s">
        <v>244</v>
      </c>
    </row>
    <row r="347" spans="1:11" x14ac:dyDescent="0.25">
      <c r="A347" s="81">
        <v>2024161</v>
      </c>
      <c r="B347" s="78">
        <v>45357</v>
      </c>
      <c r="C347" s="79">
        <v>326</v>
      </c>
      <c r="D347" s="42" t="s">
        <v>1873</v>
      </c>
      <c r="E347" s="42" t="s">
        <v>433</v>
      </c>
      <c r="F347" s="80">
        <v>640</v>
      </c>
      <c r="G347" s="80">
        <v>0</v>
      </c>
      <c r="H347" s="80">
        <v>0</v>
      </c>
      <c r="I347" s="42" t="s">
        <v>1727</v>
      </c>
      <c r="J347" s="80">
        <v>640</v>
      </c>
      <c r="K347" s="42" t="s">
        <v>244</v>
      </c>
    </row>
    <row r="348" spans="1:11" x14ac:dyDescent="0.25">
      <c r="A348" s="81">
        <v>2024151</v>
      </c>
      <c r="B348" s="78">
        <v>45357</v>
      </c>
      <c r="C348" s="79">
        <v>325</v>
      </c>
      <c r="D348" s="42" t="s">
        <v>1855</v>
      </c>
      <c r="E348" s="42" t="s">
        <v>1707</v>
      </c>
      <c r="F348" s="80">
        <v>364</v>
      </c>
      <c r="G348" s="80">
        <v>0</v>
      </c>
      <c r="H348" s="80">
        <v>0</v>
      </c>
      <c r="I348" s="42" t="s">
        <v>1727</v>
      </c>
      <c r="J348" s="80">
        <v>364</v>
      </c>
      <c r="K348" s="42" t="s">
        <v>244</v>
      </c>
    </row>
    <row r="349" spans="1:11" x14ac:dyDescent="0.25">
      <c r="A349" s="81">
        <v>2024151</v>
      </c>
      <c r="B349" s="78">
        <v>45357</v>
      </c>
      <c r="C349" s="79">
        <v>324</v>
      </c>
      <c r="D349" s="42" t="s">
        <v>1855</v>
      </c>
      <c r="E349" s="42" t="s">
        <v>433</v>
      </c>
      <c r="F349" s="80">
        <v>736</v>
      </c>
      <c r="G349" s="80">
        <v>0</v>
      </c>
      <c r="H349" s="80">
        <v>0</v>
      </c>
      <c r="I349" s="42" t="s">
        <v>1727</v>
      </c>
      <c r="J349" s="80">
        <v>736</v>
      </c>
      <c r="K349" s="42" t="s">
        <v>244</v>
      </c>
    </row>
    <row r="350" spans="1:11" x14ac:dyDescent="0.25">
      <c r="A350" s="81">
        <v>2024171</v>
      </c>
      <c r="B350" s="78">
        <v>45357</v>
      </c>
      <c r="C350" s="79">
        <v>322</v>
      </c>
      <c r="D350" s="42" t="s">
        <v>1899</v>
      </c>
      <c r="E350" s="42" t="s">
        <v>433</v>
      </c>
      <c r="F350" s="80">
        <v>0</v>
      </c>
      <c r="G350" s="80">
        <v>720</v>
      </c>
      <c r="H350" s="80">
        <v>0</v>
      </c>
      <c r="I350" s="42" t="s">
        <v>1900</v>
      </c>
      <c r="J350" s="80">
        <v>720</v>
      </c>
      <c r="K350" s="42" t="s">
        <v>244</v>
      </c>
    </row>
    <row r="351" spans="1:11" x14ac:dyDescent="0.25">
      <c r="A351" s="81">
        <v>2024171</v>
      </c>
      <c r="B351" s="78">
        <v>45357</v>
      </c>
      <c r="C351" s="79">
        <v>321</v>
      </c>
      <c r="D351" s="42" t="s">
        <v>1899</v>
      </c>
      <c r="E351" s="42" t="s">
        <v>1730</v>
      </c>
      <c r="F351" s="80">
        <v>0</v>
      </c>
      <c r="G351" s="80">
        <v>7280</v>
      </c>
      <c r="H351" s="80">
        <v>0</v>
      </c>
      <c r="I351" s="42" t="s">
        <v>1753</v>
      </c>
      <c r="J351" s="80">
        <v>7280</v>
      </c>
      <c r="K351" s="42" t="s">
        <v>244</v>
      </c>
    </row>
    <row r="352" spans="1:11" x14ac:dyDescent="0.25">
      <c r="A352" s="81">
        <v>2024165</v>
      </c>
      <c r="B352" s="78">
        <v>45357</v>
      </c>
      <c r="C352" s="79">
        <v>320</v>
      </c>
      <c r="D352" s="42" t="s">
        <v>1897</v>
      </c>
      <c r="E352" s="42" t="s">
        <v>1708</v>
      </c>
      <c r="F352" s="80">
        <v>377</v>
      </c>
      <c r="G352" s="80">
        <v>0</v>
      </c>
      <c r="H352" s="80">
        <v>0</v>
      </c>
      <c r="I352" s="42" t="s">
        <v>1727</v>
      </c>
      <c r="J352" s="80">
        <v>377</v>
      </c>
      <c r="K352" s="42">
        <v>21</v>
      </c>
    </row>
    <row r="353" spans="1:11" x14ac:dyDescent="0.25">
      <c r="A353" s="81">
        <v>2024165</v>
      </c>
      <c r="B353" s="78">
        <v>45357</v>
      </c>
      <c r="C353" s="79">
        <v>319</v>
      </c>
      <c r="D353" s="42" t="s">
        <v>1897</v>
      </c>
      <c r="E353" s="42" t="s">
        <v>433</v>
      </c>
      <c r="F353" s="80">
        <v>823</v>
      </c>
      <c r="G353" s="80">
        <v>0</v>
      </c>
      <c r="H353" s="80">
        <v>0</v>
      </c>
      <c r="I353" s="42" t="s">
        <v>1727</v>
      </c>
      <c r="J353" s="80">
        <v>823</v>
      </c>
      <c r="K353" s="42">
        <v>20</v>
      </c>
    </row>
    <row r="354" spans="1:11" x14ac:dyDescent="0.25">
      <c r="A354" s="81">
        <v>2024165</v>
      </c>
      <c r="B354" s="78">
        <v>45357</v>
      </c>
      <c r="C354" s="79">
        <v>318</v>
      </c>
      <c r="D354" s="42" t="s">
        <v>1897</v>
      </c>
      <c r="E354" s="42" t="s">
        <v>1706</v>
      </c>
      <c r="F354" s="80">
        <v>1200</v>
      </c>
      <c r="G354" s="80">
        <v>0</v>
      </c>
      <c r="H354" s="80">
        <v>0</v>
      </c>
      <c r="I354" s="42">
        <v>0</v>
      </c>
      <c r="J354" s="80">
        <v>1200</v>
      </c>
      <c r="K354" s="42" t="s">
        <v>1736</v>
      </c>
    </row>
    <row r="355" spans="1:11" x14ac:dyDescent="0.25">
      <c r="A355" s="81">
        <v>2024151</v>
      </c>
      <c r="B355" s="78">
        <v>45356</v>
      </c>
      <c r="C355" s="79">
        <v>317</v>
      </c>
      <c r="D355" s="42" t="s">
        <v>1855</v>
      </c>
      <c r="E355" s="42" t="s">
        <v>1705</v>
      </c>
      <c r="F355" s="80">
        <v>0</v>
      </c>
      <c r="G355" s="80">
        <v>1080</v>
      </c>
      <c r="H355" s="80">
        <v>0</v>
      </c>
      <c r="I355" s="42">
        <v>0</v>
      </c>
      <c r="J355" s="80">
        <v>1080</v>
      </c>
      <c r="K355" s="42" t="s">
        <v>1736</v>
      </c>
    </row>
    <row r="356" spans="1:11" x14ac:dyDescent="0.25">
      <c r="A356" s="81">
        <v>2024137</v>
      </c>
      <c r="B356" s="78">
        <v>45356</v>
      </c>
      <c r="C356" s="79">
        <v>316</v>
      </c>
      <c r="D356" s="42" t="s">
        <v>1843</v>
      </c>
      <c r="E356" s="42" t="s">
        <v>1708</v>
      </c>
      <c r="F356" s="80">
        <v>364</v>
      </c>
      <c r="G356" s="80">
        <v>0</v>
      </c>
      <c r="H356" s="80">
        <v>0</v>
      </c>
      <c r="I356" s="42" t="s">
        <v>1840</v>
      </c>
      <c r="J356" s="80">
        <v>364</v>
      </c>
      <c r="K356" s="42" t="s">
        <v>244</v>
      </c>
    </row>
    <row r="357" spans="1:11" x14ac:dyDescent="0.25">
      <c r="A357" s="81">
        <v>2024137</v>
      </c>
      <c r="B357" s="78">
        <v>45356</v>
      </c>
      <c r="C357" s="79">
        <v>315</v>
      </c>
      <c r="D357" s="42" t="s">
        <v>1843</v>
      </c>
      <c r="E357" s="42" t="s">
        <v>433</v>
      </c>
      <c r="F357" s="80">
        <v>736</v>
      </c>
      <c r="G357" s="80">
        <v>0</v>
      </c>
      <c r="H357" s="80">
        <v>0</v>
      </c>
      <c r="I357" s="42" t="s">
        <v>1840</v>
      </c>
      <c r="J357" s="80">
        <v>736</v>
      </c>
      <c r="K357" s="42" t="s">
        <v>244</v>
      </c>
    </row>
    <row r="358" spans="1:11" x14ac:dyDescent="0.25">
      <c r="A358" s="81">
        <v>2024013</v>
      </c>
      <c r="B358" s="78">
        <v>45356</v>
      </c>
      <c r="C358" s="79">
        <v>314</v>
      </c>
      <c r="D358" s="42" t="s">
        <v>1700</v>
      </c>
      <c r="E358" s="42" t="s">
        <v>1708</v>
      </c>
      <c r="F358" s="80">
        <v>364</v>
      </c>
      <c r="G358" s="80">
        <v>0</v>
      </c>
      <c r="H358" s="80">
        <v>0</v>
      </c>
      <c r="I358" s="42" t="s">
        <v>1748</v>
      </c>
      <c r="J358" s="80">
        <v>364</v>
      </c>
      <c r="K358" s="42">
        <v>67</v>
      </c>
    </row>
    <row r="359" spans="1:11" x14ac:dyDescent="0.25">
      <c r="A359" s="81">
        <v>2024013</v>
      </c>
      <c r="B359" s="78">
        <v>45356</v>
      </c>
      <c r="C359" s="79">
        <v>313</v>
      </c>
      <c r="D359" s="42" t="s">
        <v>1700</v>
      </c>
      <c r="E359" s="42" t="s">
        <v>433</v>
      </c>
      <c r="F359" s="80">
        <v>823</v>
      </c>
      <c r="G359" s="80">
        <v>0</v>
      </c>
      <c r="H359" s="80">
        <v>0</v>
      </c>
      <c r="I359" s="42" t="s">
        <v>1748</v>
      </c>
      <c r="J359" s="80">
        <v>823</v>
      </c>
      <c r="K359" s="42">
        <v>61</v>
      </c>
    </row>
    <row r="360" spans="1:11" x14ac:dyDescent="0.25">
      <c r="A360" s="81">
        <v>2024116</v>
      </c>
      <c r="B360" s="78">
        <v>45356</v>
      </c>
      <c r="C360" s="79">
        <v>312</v>
      </c>
      <c r="D360" s="42" t="s">
        <v>1856</v>
      </c>
      <c r="E360" s="42" t="s">
        <v>1707</v>
      </c>
      <c r="F360" s="80">
        <v>364</v>
      </c>
      <c r="G360" s="80">
        <v>0</v>
      </c>
      <c r="H360" s="80">
        <v>0</v>
      </c>
      <c r="I360" s="42" t="s">
        <v>1727</v>
      </c>
      <c r="J360" s="80">
        <v>364</v>
      </c>
      <c r="K360" s="42">
        <v>66</v>
      </c>
    </row>
    <row r="361" spans="1:11" x14ac:dyDescent="0.25">
      <c r="A361" s="81">
        <v>2024116</v>
      </c>
      <c r="B361" s="78">
        <v>45356</v>
      </c>
      <c r="C361" s="79">
        <v>311</v>
      </c>
      <c r="D361" s="42" t="s">
        <v>1856</v>
      </c>
      <c r="E361" s="42" t="s">
        <v>433</v>
      </c>
      <c r="F361" s="80">
        <v>823</v>
      </c>
      <c r="G361" s="80">
        <v>0</v>
      </c>
      <c r="H361" s="80">
        <v>0</v>
      </c>
      <c r="I361" s="42" t="s">
        <v>1727</v>
      </c>
      <c r="J361" s="80">
        <v>823</v>
      </c>
      <c r="K361" s="42">
        <v>60</v>
      </c>
    </row>
    <row r="362" spans="1:11" x14ac:dyDescent="0.25">
      <c r="A362" s="81">
        <v>2024014</v>
      </c>
      <c r="B362" s="78">
        <v>45356</v>
      </c>
      <c r="C362" s="79">
        <v>310</v>
      </c>
      <c r="D362" s="42" t="s">
        <v>1857</v>
      </c>
      <c r="E362" s="42" t="s">
        <v>1707</v>
      </c>
      <c r="F362" s="80">
        <v>0</v>
      </c>
      <c r="G362" s="80">
        <v>610</v>
      </c>
      <c r="H362" s="80">
        <v>0</v>
      </c>
      <c r="I362" s="42" t="s">
        <v>1727</v>
      </c>
      <c r="J362" s="80">
        <v>610</v>
      </c>
      <c r="K362" s="42" t="s">
        <v>244</v>
      </c>
    </row>
    <row r="363" spans="1:11" x14ac:dyDescent="0.25">
      <c r="A363" s="81">
        <v>2024131</v>
      </c>
      <c r="B363" s="78">
        <v>45356</v>
      </c>
      <c r="C363" s="79">
        <v>309</v>
      </c>
      <c r="D363" s="42" t="s">
        <v>1857</v>
      </c>
      <c r="E363" s="42" t="s">
        <v>433</v>
      </c>
      <c r="F363" s="80">
        <v>0</v>
      </c>
      <c r="G363" s="80">
        <v>690</v>
      </c>
      <c r="H363" s="80">
        <v>0</v>
      </c>
      <c r="I363" s="42" t="s">
        <v>1727</v>
      </c>
      <c r="J363" s="80">
        <v>690</v>
      </c>
      <c r="K363" s="42" t="s">
        <v>244</v>
      </c>
    </row>
    <row r="364" spans="1:11" x14ac:dyDescent="0.25">
      <c r="A364" s="81">
        <v>2024014</v>
      </c>
      <c r="B364" s="78">
        <v>45356</v>
      </c>
      <c r="C364" s="79">
        <v>308</v>
      </c>
      <c r="D364" s="42" t="s">
        <v>1710</v>
      </c>
      <c r="E364" s="42" t="s">
        <v>1707</v>
      </c>
      <c r="F364" s="80">
        <v>1220</v>
      </c>
      <c r="G364" s="80">
        <v>0</v>
      </c>
      <c r="H364" s="80">
        <v>0</v>
      </c>
      <c r="I364" s="42" t="s">
        <v>1727</v>
      </c>
      <c r="J364" s="80">
        <v>1220</v>
      </c>
      <c r="K364" s="42" t="s">
        <v>244</v>
      </c>
    </row>
    <row r="365" spans="1:11" x14ac:dyDescent="0.25">
      <c r="A365" s="81">
        <v>2024014</v>
      </c>
      <c r="B365" s="78">
        <v>45356</v>
      </c>
      <c r="C365" s="79">
        <v>307</v>
      </c>
      <c r="D365" s="42" t="s">
        <v>1710</v>
      </c>
      <c r="E365" s="42" t="s">
        <v>433</v>
      </c>
      <c r="F365" s="80">
        <v>1480</v>
      </c>
      <c r="G365" s="80">
        <v>0</v>
      </c>
      <c r="H365" s="80">
        <v>0</v>
      </c>
      <c r="I365" s="42">
        <v>0</v>
      </c>
      <c r="J365" s="80">
        <v>1480</v>
      </c>
      <c r="K365" s="42" t="s">
        <v>244</v>
      </c>
    </row>
    <row r="366" spans="1:11" x14ac:dyDescent="0.25">
      <c r="A366" s="81">
        <v>2024175</v>
      </c>
      <c r="B366" s="78">
        <v>45356</v>
      </c>
      <c r="C366" s="79">
        <v>306</v>
      </c>
      <c r="D366" s="42" t="s">
        <v>1858</v>
      </c>
      <c r="E366" s="42" t="s">
        <v>1705</v>
      </c>
      <c r="F366" s="80">
        <v>0</v>
      </c>
      <c r="G366" s="80">
        <v>2450</v>
      </c>
      <c r="H366" s="80">
        <v>0</v>
      </c>
      <c r="I366" s="42">
        <v>0</v>
      </c>
      <c r="J366" s="80">
        <v>2450</v>
      </c>
      <c r="K366" s="42" t="s">
        <v>1736</v>
      </c>
    </row>
    <row r="367" spans="1:11" x14ac:dyDescent="0.25">
      <c r="A367" s="81">
        <v>2024155</v>
      </c>
      <c r="B367" s="78">
        <v>45356</v>
      </c>
      <c r="C367" s="79">
        <v>305</v>
      </c>
      <c r="D367" s="42" t="s">
        <v>1859</v>
      </c>
      <c r="E367" s="42" t="s">
        <v>1705</v>
      </c>
      <c r="F367" s="80">
        <v>0</v>
      </c>
      <c r="G367" s="80">
        <v>2866</v>
      </c>
      <c r="H367" s="80">
        <v>0</v>
      </c>
      <c r="I367" s="42">
        <v>0</v>
      </c>
      <c r="J367" s="80">
        <v>2866</v>
      </c>
      <c r="K367" s="42" t="s">
        <v>1736</v>
      </c>
    </row>
    <row r="368" spans="1:11" x14ac:dyDescent="0.25">
      <c r="A368" s="81">
        <v>2024156</v>
      </c>
      <c r="B368" s="78">
        <v>45356</v>
      </c>
      <c r="C368" s="79">
        <v>304</v>
      </c>
      <c r="D368" s="42" t="s">
        <v>1860</v>
      </c>
      <c r="E368" s="42" t="s">
        <v>1705</v>
      </c>
      <c r="F368" s="80">
        <v>0</v>
      </c>
      <c r="G368" s="80">
        <v>1187</v>
      </c>
      <c r="H368" s="80">
        <v>0</v>
      </c>
      <c r="I368" s="42">
        <v>0</v>
      </c>
      <c r="J368" s="80">
        <v>1187</v>
      </c>
      <c r="K368" s="42" t="s">
        <v>1736</v>
      </c>
    </row>
    <row r="369" spans="1:11" x14ac:dyDescent="0.25">
      <c r="A369" s="81">
        <v>2024163</v>
      </c>
      <c r="B369" s="78">
        <v>45356</v>
      </c>
      <c r="C369" s="79">
        <v>303</v>
      </c>
      <c r="D369" s="42" t="s">
        <v>1861</v>
      </c>
      <c r="E369" s="42" t="s">
        <v>1707</v>
      </c>
      <c r="F369" s="80">
        <v>364</v>
      </c>
      <c r="G369" s="80">
        <v>0</v>
      </c>
      <c r="H369" s="80">
        <v>0</v>
      </c>
      <c r="I369" s="42" t="s">
        <v>1748</v>
      </c>
      <c r="J369" s="80">
        <v>364</v>
      </c>
      <c r="K369" s="42">
        <v>13</v>
      </c>
    </row>
    <row r="370" spans="1:11" x14ac:dyDescent="0.25">
      <c r="A370" s="81">
        <v>2024163</v>
      </c>
      <c r="B370" s="78">
        <v>45356</v>
      </c>
      <c r="C370" s="79">
        <v>302</v>
      </c>
      <c r="D370" s="42" t="s">
        <v>1861</v>
      </c>
      <c r="E370" s="42" t="s">
        <v>433</v>
      </c>
      <c r="F370" s="80">
        <v>823</v>
      </c>
      <c r="G370" s="80">
        <v>0</v>
      </c>
      <c r="H370" s="80">
        <v>0</v>
      </c>
      <c r="I370" s="42" t="s">
        <v>1748</v>
      </c>
      <c r="J370" s="80">
        <v>823</v>
      </c>
      <c r="K370" s="42">
        <v>10</v>
      </c>
    </row>
    <row r="371" spans="1:11" x14ac:dyDescent="0.25">
      <c r="A371" s="81">
        <v>2024163</v>
      </c>
      <c r="B371" s="78">
        <v>45356</v>
      </c>
      <c r="C371" s="79">
        <v>301</v>
      </c>
      <c r="D371" s="42" t="s">
        <v>1861</v>
      </c>
      <c r="E371" s="42" t="s">
        <v>1707</v>
      </c>
      <c r="F371" s="80">
        <v>364</v>
      </c>
      <c r="G371" s="80">
        <v>0</v>
      </c>
      <c r="H371" s="80">
        <v>0</v>
      </c>
      <c r="I371" s="42" t="s">
        <v>1727</v>
      </c>
      <c r="J371" s="80">
        <v>364</v>
      </c>
      <c r="K371" s="42">
        <v>12</v>
      </c>
    </row>
    <row r="372" spans="1:11" x14ac:dyDescent="0.25">
      <c r="A372" s="81">
        <v>2024163</v>
      </c>
      <c r="B372" s="78">
        <v>45356</v>
      </c>
      <c r="C372" s="79">
        <v>300</v>
      </c>
      <c r="D372" s="42" t="s">
        <v>1861</v>
      </c>
      <c r="E372" s="42" t="s">
        <v>433</v>
      </c>
      <c r="F372" s="80">
        <v>823</v>
      </c>
      <c r="G372" s="80">
        <v>0</v>
      </c>
      <c r="H372" s="80">
        <v>0</v>
      </c>
      <c r="I372" s="42" t="s">
        <v>1727</v>
      </c>
      <c r="J372" s="80">
        <v>823</v>
      </c>
      <c r="K372" s="42">
        <v>9</v>
      </c>
    </row>
    <row r="373" spans="1:11" x14ac:dyDescent="0.25">
      <c r="A373" s="81">
        <v>2024163</v>
      </c>
      <c r="B373" s="78">
        <v>45356</v>
      </c>
      <c r="C373" s="79">
        <v>299</v>
      </c>
      <c r="D373" s="42" t="s">
        <v>1862</v>
      </c>
      <c r="E373" s="42" t="s">
        <v>1705</v>
      </c>
      <c r="F373" s="80">
        <v>0</v>
      </c>
      <c r="G373" s="80">
        <v>1187</v>
      </c>
      <c r="H373" s="80">
        <v>0</v>
      </c>
      <c r="I373" s="42">
        <v>0</v>
      </c>
      <c r="J373" s="80">
        <v>1187</v>
      </c>
      <c r="K373" s="42" t="s">
        <v>1736</v>
      </c>
    </row>
    <row r="374" spans="1:11" x14ac:dyDescent="0.25">
      <c r="A374" s="81">
        <v>2024146</v>
      </c>
      <c r="B374" s="78">
        <v>45356</v>
      </c>
      <c r="C374" s="79">
        <v>298</v>
      </c>
      <c r="D374" s="42" t="s">
        <v>1863</v>
      </c>
      <c r="E374" s="42" t="s">
        <v>1707</v>
      </c>
      <c r="F374" s="80">
        <v>0</v>
      </c>
      <c r="G374" s="80">
        <v>364</v>
      </c>
      <c r="H374" s="80">
        <v>0</v>
      </c>
      <c r="I374" s="42" t="s">
        <v>1727</v>
      </c>
      <c r="J374" s="80">
        <v>364</v>
      </c>
      <c r="K374" s="42" t="s">
        <v>244</v>
      </c>
    </row>
    <row r="375" spans="1:11" x14ac:dyDescent="0.25">
      <c r="A375" s="81">
        <v>2024146</v>
      </c>
      <c r="B375" s="78">
        <v>45356</v>
      </c>
      <c r="C375" s="79">
        <v>297</v>
      </c>
      <c r="D375" s="42" t="s">
        <v>1863</v>
      </c>
      <c r="E375" s="42" t="s">
        <v>433</v>
      </c>
      <c r="F375" s="80">
        <v>0</v>
      </c>
      <c r="G375" s="80">
        <v>736</v>
      </c>
      <c r="H375" s="80">
        <v>0</v>
      </c>
      <c r="I375" s="42" t="s">
        <v>1727</v>
      </c>
      <c r="J375" s="80">
        <v>736</v>
      </c>
      <c r="K375" s="42" t="s">
        <v>244</v>
      </c>
    </row>
    <row r="376" spans="1:11" x14ac:dyDescent="0.25">
      <c r="A376" s="81">
        <v>2024146</v>
      </c>
      <c r="B376" s="78">
        <v>45356</v>
      </c>
      <c r="C376" s="79">
        <v>296</v>
      </c>
      <c r="D376" s="42" t="s">
        <v>1864</v>
      </c>
      <c r="E376" s="42" t="s">
        <v>1705</v>
      </c>
      <c r="F376" s="80">
        <v>0</v>
      </c>
      <c r="G376" s="80">
        <v>1187</v>
      </c>
      <c r="H376" s="80">
        <v>0</v>
      </c>
      <c r="I376" s="42">
        <v>0</v>
      </c>
      <c r="J376" s="80">
        <v>1187</v>
      </c>
      <c r="K376" s="42" t="s">
        <v>1736</v>
      </c>
    </row>
    <row r="377" spans="1:11" x14ac:dyDescent="0.25">
      <c r="A377" s="81">
        <v>2024152</v>
      </c>
      <c r="B377" s="78">
        <v>45356</v>
      </c>
      <c r="C377" s="79">
        <v>295</v>
      </c>
      <c r="D377" s="42" t="s">
        <v>1865</v>
      </c>
      <c r="E377" s="42" t="s">
        <v>1706</v>
      </c>
      <c r="F377" s="80">
        <v>1200</v>
      </c>
      <c r="G377" s="80">
        <v>0</v>
      </c>
      <c r="H377" s="80">
        <v>0</v>
      </c>
      <c r="I377" s="42">
        <v>0</v>
      </c>
      <c r="J377" s="80">
        <v>1200</v>
      </c>
      <c r="K377" s="42" t="s">
        <v>1736</v>
      </c>
    </row>
    <row r="378" spans="1:11" x14ac:dyDescent="0.25">
      <c r="A378" s="81">
        <v>2024169</v>
      </c>
      <c r="B378" s="78">
        <v>45356</v>
      </c>
      <c r="C378" s="79">
        <v>294</v>
      </c>
      <c r="D378" s="42" t="s">
        <v>1866</v>
      </c>
      <c r="E378" s="42" t="s">
        <v>1707</v>
      </c>
      <c r="F378" s="80">
        <v>610</v>
      </c>
      <c r="G378" s="80">
        <v>0</v>
      </c>
      <c r="H378" s="80">
        <v>0</v>
      </c>
      <c r="I378" s="42" t="s">
        <v>1727</v>
      </c>
      <c r="J378" s="80">
        <v>610</v>
      </c>
      <c r="K378" s="42" t="s">
        <v>244</v>
      </c>
    </row>
    <row r="379" spans="1:11" x14ac:dyDescent="0.25">
      <c r="A379" s="81">
        <v>2024169</v>
      </c>
      <c r="B379" s="78">
        <v>45356</v>
      </c>
      <c r="C379" s="79">
        <v>293</v>
      </c>
      <c r="D379" s="42" t="s">
        <v>1866</v>
      </c>
      <c r="E379" s="42" t="s">
        <v>433</v>
      </c>
      <c r="F379" s="80">
        <v>690</v>
      </c>
      <c r="G379" s="80">
        <v>0</v>
      </c>
      <c r="H379" s="80">
        <v>0</v>
      </c>
      <c r="I379" s="42" t="s">
        <v>1727</v>
      </c>
      <c r="J379" s="80">
        <v>690</v>
      </c>
      <c r="K379" s="42" t="s">
        <v>244</v>
      </c>
    </row>
    <row r="380" spans="1:11" x14ac:dyDescent="0.25">
      <c r="A380" s="81">
        <v>2024148</v>
      </c>
      <c r="B380" s="78">
        <v>45356</v>
      </c>
      <c r="C380" s="79">
        <v>292</v>
      </c>
      <c r="D380" s="42" t="s">
        <v>1867</v>
      </c>
      <c r="E380" s="42" t="s">
        <v>1707</v>
      </c>
      <c r="F380" s="80">
        <v>364</v>
      </c>
      <c r="G380" s="80">
        <v>0</v>
      </c>
      <c r="H380" s="80">
        <v>0</v>
      </c>
      <c r="I380" s="42" t="s">
        <v>1748</v>
      </c>
      <c r="J380" s="80">
        <v>364</v>
      </c>
      <c r="K380" s="42" t="s">
        <v>244</v>
      </c>
    </row>
    <row r="381" spans="1:11" x14ac:dyDescent="0.25">
      <c r="A381" s="81">
        <v>2024148</v>
      </c>
      <c r="B381" s="78">
        <v>45356</v>
      </c>
      <c r="C381" s="79">
        <v>291</v>
      </c>
      <c r="D381" s="42" t="s">
        <v>1867</v>
      </c>
      <c r="E381" s="42" t="s">
        <v>433</v>
      </c>
      <c r="F381" s="80">
        <v>716</v>
      </c>
      <c r="G381" s="80">
        <v>0</v>
      </c>
      <c r="H381" s="80">
        <v>0</v>
      </c>
      <c r="I381" s="42" t="s">
        <v>1748</v>
      </c>
      <c r="J381" s="80">
        <v>716</v>
      </c>
      <c r="K381" s="42" t="s">
        <v>244</v>
      </c>
    </row>
    <row r="382" spans="1:11" x14ac:dyDescent="0.25">
      <c r="A382" s="81">
        <v>2024148</v>
      </c>
      <c r="B382" s="78">
        <v>45356</v>
      </c>
      <c r="C382" s="79">
        <v>290</v>
      </c>
      <c r="D382" s="42" t="s">
        <v>1867</v>
      </c>
      <c r="E382" s="42" t="s">
        <v>1707</v>
      </c>
      <c r="F382" s="80">
        <v>364</v>
      </c>
      <c r="G382" s="80">
        <v>0</v>
      </c>
      <c r="H382" s="80">
        <v>0</v>
      </c>
      <c r="I382" s="42" t="s">
        <v>1727</v>
      </c>
      <c r="J382" s="80">
        <v>364</v>
      </c>
      <c r="K382" s="42" t="s">
        <v>244</v>
      </c>
    </row>
    <row r="383" spans="1:11" x14ac:dyDescent="0.25">
      <c r="A383" s="81">
        <v>2024148</v>
      </c>
      <c r="B383" s="78">
        <v>45356</v>
      </c>
      <c r="C383" s="79">
        <v>289</v>
      </c>
      <c r="D383" s="42" t="s">
        <v>1867</v>
      </c>
      <c r="E383" s="42" t="s">
        <v>433</v>
      </c>
      <c r="F383" s="80">
        <v>716</v>
      </c>
      <c r="G383" s="80">
        <v>0</v>
      </c>
      <c r="H383" s="80">
        <v>0</v>
      </c>
      <c r="I383" s="42" t="s">
        <v>1727</v>
      </c>
      <c r="J383" s="80">
        <v>716</v>
      </c>
      <c r="K383" s="42" t="s">
        <v>244</v>
      </c>
    </row>
    <row r="384" spans="1:11" x14ac:dyDescent="0.25">
      <c r="A384" s="81">
        <v>2024148</v>
      </c>
      <c r="B384" s="78">
        <v>45356</v>
      </c>
      <c r="C384" s="79">
        <v>288</v>
      </c>
      <c r="D384" s="42" t="s">
        <v>1867</v>
      </c>
      <c r="E384" s="42" t="s">
        <v>1705</v>
      </c>
      <c r="F384" s="80">
        <v>1080</v>
      </c>
      <c r="G384" s="80">
        <v>0</v>
      </c>
      <c r="H384" s="80">
        <v>0</v>
      </c>
      <c r="I384" s="42">
        <v>0</v>
      </c>
      <c r="J384" s="80">
        <v>1080</v>
      </c>
      <c r="K384" s="42" t="s">
        <v>1736</v>
      </c>
    </row>
    <row r="385" spans="1:11" x14ac:dyDescent="0.25">
      <c r="A385" s="81">
        <v>2024323</v>
      </c>
      <c r="B385" s="78">
        <v>45356</v>
      </c>
      <c r="C385" s="79">
        <v>285</v>
      </c>
      <c r="D385" s="42" t="s">
        <v>1869</v>
      </c>
      <c r="E385" s="42" t="s">
        <v>1707</v>
      </c>
      <c r="F385" s="80">
        <v>0</v>
      </c>
      <c r="G385" s="80">
        <v>627</v>
      </c>
      <c r="H385" s="80">
        <v>0</v>
      </c>
      <c r="I385" s="42" t="s">
        <v>1727</v>
      </c>
      <c r="J385" s="80">
        <v>627</v>
      </c>
      <c r="K385" s="42">
        <v>0</v>
      </c>
    </row>
    <row r="386" spans="1:11" x14ac:dyDescent="0.25">
      <c r="A386" s="81">
        <v>2024323</v>
      </c>
      <c r="B386" s="78">
        <v>45356</v>
      </c>
      <c r="C386" s="79">
        <v>284</v>
      </c>
      <c r="D386" s="42" t="s">
        <v>1869</v>
      </c>
      <c r="E386" s="42" t="s">
        <v>433</v>
      </c>
      <c r="F386" s="80">
        <v>0</v>
      </c>
      <c r="G386" s="80">
        <v>823</v>
      </c>
      <c r="H386" s="80">
        <v>0</v>
      </c>
      <c r="I386" s="42" t="s">
        <v>1727</v>
      </c>
      <c r="J386" s="80">
        <v>823</v>
      </c>
      <c r="K386" s="42">
        <v>0</v>
      </c>
    </row>
    <row r="387" spans="1:11" x14ac:dyDescent="0.25">
      <c r="A387" s="81">
        <v>2024323</v>
      </c>
      <c r="B387" s="78">
        <v>45356</v>
      </c>
      <c r="C387" s="79">
        <v>283</v>
      </c>
      <c r="D387" s="42" t="s">
        <v>1869</v>
      </c>
      <c r="E387" s="42" t="s">
        <v>1705</v>
      </c>
      <c r="F387" s="80">
        <v>0</v>
      </c>
      <c r="G387" s="80">
        <v>1450</v>
      </c>
      <c r="H387" s="80">
        <v>0</v>
      </c>
      <c r="I387" s="42">
        <v>0</v>
      </c>
      <c r="J387" s="80">
        <v>1450</v>
      </c>
      <c r="K387" s="42" t="s">
        <v>1736</v>
      </c>
    </row>
    <row r="388" spans="1:11" x14ac:dyDescent="0.25">
      <c r="A388" s="81">
        <v>2024195</v>
      </c>
      <c r="B388" s="78">
        <v>45356</v>
      </c>
      <c r="C388" s="79">
        <v>282</v>
      </c>
      <c r="D388" s="42" t="s">
        <v>1870</v>
      </c>
      <c r="E388" s="42" t="s">
        <v>1705</v>
      </c>
      <c r="F388" s="80">
        <v>0</v>
      </c>
      <c r="G388" s="80">
        <v>2000</v>
      </c>
      <c r="H388" s="80">
        <v>0</v>
      </c>
      <c r="I388" s="42">
        <v>0</v>
      </c>
      <c r="J388" s="80">
        <v>2000</v>
      </c>
      <c r="K388" s="42" t="s">
        <v>1736</v>
      </c>
    </row>
    <row r="389" spans="1:11" x14ac:dyDescent="0.25">
      <c r="A389" s="81">
        <v>0</v>
      </c>
      <c r="B389" s="78">
        <v>45356</v>
      </c>
      <c r="C389" s="79">
        <v>281</v>
      </c>
      <c r="D389" s="42">
        <v>0</v>
      </c>
      <c r="E389" s="42">
        <v>0</v>
      </c>
      <c r="F389" s="80">
        <v>0</v>
      </c>
      <c r="G389" s="80">
        <v>0</v>
      </c>
      <c r="H389" s="80">
        <v>0</v>
      </c>
      <c r="I389" s="42">
        <v>0</v>
      </c>
      <c r="J389" s="80">
        <v>0</v>
      </c>
      <c r="K389" s="42">
        <v>0</v>
      </c>
    </row>
    <row r="390" spans="1:11" x14ac:dyDescent="0.25">
      <c r="A390" s="81">
        <v>2024195</v>
      </c>
      <c r="B390" s="78">
        <v>45356</v>
      </c>
      <c r="C390" s="79">
        <v>279</v>
      </c>
      <c r="D390" s="42" t="s">
        <v>1871</v>
      </c>
      <c r="E390" s="42" t="s">
        <v>433</v>
      </c>
      <c r="F390" s="80">
        <v>0</v>
      </c>
      <c r="G390" s="80">
        <v>1180</v>
      </c>
      <c r="H390" s="80">
        <v>0</v>
      </c>
      <c r="I390" s="42">
        <v>0</v>
      </c>
      <c r="J390" s="80">
        <v>1180</v>
      </c>
      <c r="K390" s="42" t="s">
        <v>244</v>
      </c>
    </row>
    <row r="391" spans="1:11" x14ac:dyDescent="0.25">
      <c r="A391" s="81">
        <v>2024026</v>
      </c>
      <c r="B391" s="78">
        <v>45356</v>
      </c>
      <c r="C391" s="79">
        <v>278</v>
      </c>
      <c r="D391" s="42" t="s">
        <v>1822</v>
      </c>
      <c r="E391" s="42" t="s">
        <v>1731</v>
      </c>
      <c r="F391" s="80">
        <v>0</v>
      </c>
      <c r="G391" s="80">
        <v>1004</v>
      </c>
      <c r="H391" s="80">
        <v>0</v>
      </c>
      <c r="I391" s="42">
        <v>0</v>
      </c>
      <c r="J391" s="80">
        <v>1004</v>
      </c>
      <c r="K391" s="42">
        <v>59</v>
      </c>
    </row>
    <row r="392" spans="1:11" x14ac:dyDescent="0.25">
      <c r="A392" s="81">
        <v>2024119</v>
      </c>
      <c r="B392" s="78">
        <v>45356</v>
      </c>
      <c r="C392" s="79">
        <v>277</v>
      </c>
      <c r="D392" s="42" t="s">
        <v>1822</v>
      </c>
      <c r="E392" s="42" t="s">
        <v>433</v>
      </c>
      <c r="F392" s="80">
        <v>0</v>
      </c>
      <c r="G392" s="80">
        <v>1646</v>
      </c>
      <c r="H392" s="80">
        <v>0</v>
      </c>
      <c r="I392" s="42" t="s">
        <v>1727</v>
      </c>
      <c r="J392" s="80">
        <v>1646</v>
      </c>
      <c r="K392" s="42">
        <v>54</v>
      </c>
    </row>
    <row r="393" spans="1:11" x14ac:dyDescent="0.25">
      <c r="A393" s="81">
        <v>2024026</v>
      </c>
      <c r="B393" s="78">
        <v>45356</v>
      </c>
      <c r="C393" s="79">
        <v>276</v>
      </c>
      <c r="D393" s="42" t="s">
        <v>1872</v>
      </c>
      <c r="E393" s="42" t="s">
        <v>1707</v>
      </c>
      <c r="F393" s="80">
        <v>610</v>
      </c>
      <c r="G393" s="80">
        <v>0</v>
      </c>
      <c r="H393" s="80">
        <v>0</v>
      </c>
      <c r="I393" s="42" t="s">
        <v>1727</v>
      </c>
      <c r="J393" s="80">
        <v>610</v>
      </c>
      <c r="K393" s="42">
        <v>48</v>
      </c>
    </row>
    <row r="394" spans="1:11" x14ac:dyDescent="0.25">
      <c r="A394" s="81">
        <v>2024026</v>
      </c>
      <c r="B394" s="78">
        <v>45356</v>
      </c>
      <c r="C394" s="79">
        <v>275</v>
      </c>
      <c r="D394" s="42" t="s">
        <v>1872</v>
      </c>
      <c r="E394" s="42" t="s">
        <v>433</v>
      </c>
      <c r="F394" s="80">
        <v>823</v>
      </c>
      <c r="G394" s="80">
        <v>0</v>
      </c>
      <c r="H394" s="80">
        <v>0</v>
      </c>
      <c r="I394" s="42" t="s">
        <v>1727</v>
      </c>
      <c r="J394" s="80">
        <v>823</v>
      </c>
      <c r="K394" s="42">
        <v>44</v>
      </c>
    </row>
    <row r="395" spans="1:11" x14ac:dyDescent="0.25">
      <c r="A395" s="81">
        <v>2024161</v>
      </c>
      <c r="B395" s="78">
        <v>45356</v>
      </c>
      <c r="C395" s="79">
        <v>273</v>
      </c>
      <c r="D395" s="42" t="s">
        <v>1873</v>
      </c>
      <c r="E395" s="42" t="s">
        <v>1705</v>
      </c>
      <c r="F395" s="80">
        <v>610</v>
      </c>
      <c r="G395" s="80">
        <v>0</v>
      </c>
      <c r="H395" s="80">
        <v>0</v>
      </c>
      <c r="I395" s="42" t="s">
        <v>1727</v>
      </c>
      <c r="J395" s="80">
        <v>610</v>
      </c>
      <c r="K395" s="42" t="s">
        <v>244</v>
      </c>
    </row>
    <row r="396" spans="1:11" x14ac:dyDescent="0.25">
      <c r="A396" s="81">
        <v>2024038</v>
      </c>
      <c r="B396" s="78">
        <v>45356</v>
      </c>
      <c r="C396" s="79">
        <v>272</v>
      </c>
      <c r="D396" s="42" t="s">
        <v>1874</v>
      </c>
      <c r="E396" s="42" t="s">
        <v>1731</v>
      </c>
      <c r="F396" s="80">
        <v>1321</v>
      </c>
      <c r="G396" s="80">
        <v>0</v>
      </c>
      <c r="H396" s="80">
        <v>0</v>
      </c>
      <c r="I396" s="42" t="s">
        <v>1748</v>
      </c>
      <c r="J396" s="80">
        <v>1321</v>
      </c>
      <c r="K396" s="42">
        <v>0</v>
      </c>
    </row>
    <row r="397" spans="1:11" x14ac:dyDescent="0.25">
      <c r="A397" s="81">
        <v>2024038</v>
      </c>
      <c r="B397" s="78">
        <v>45356</v>
      </c>
      <c r="C397" s="79">
        <v>271</v>
      </c>
      <c r="D397" s="42" t="s">
        <v>1875</v>
      </c>
      <c r="E397" s="42" t="s">
        <v>433</v>
      </c>
      <c r="F397" s="80">
        <v>1646</v>
      </c>
      <c r="G397" s="80">
        <v>0</v>
      </c>
      <c r="H397" s="80">
        <v>0</v>
      </c>
      <c r="I397" s="42" t="s">
        <v>1748</v>
      </c>
      <c r="J397" s="80">
        <v>1646</v>
      </c>
      <c r="K397" s="42">
        <v>0</v>
      </c>
    </row>
    <row r="398" spans="1:11" x14ac:dyDescent="0.25">
      <c r="A398" s="81">
        <v>2024020</v>
      </c>
      <c r="B398" s="78">
        <v>45356</v>
      </c>
      <c r="C398" s="79">
        <v>270</v>
      </c>
      <c r="D398" s="42" t="s">
        <v>1876</v>
      </c>
      <c r="E398" s="42" t="s">
        <v>1731</v>
      </c>
      <c r="F398" s="80">
        <v>0</v>
      </c>
      <c r="G398" s="80">
        <v>974</v>
      </c>
      <c r="H398" s="80">
        <v>0</v>
      </c>
      <c r="I398" s="42" t="s">
        <v>1840</v>
      </c>
      <c r="J398" s="80">
        <v>974</v>
      </c>
      <c r="K398" s="42" t="s">
        <v>1877</v>
      </c>
    </row>
    <row r="399" spans="1:11" x14ac:dyDescent="0.25">
      <c r="A399" s="81">
        <v>2024020</v>
      </c>
      <c r="B399" s="78">
        <v>45356</v>
      </c>
      <c r="C399" s="79">
        <v>269</v>
      </c>
      <c r="D399" s="42" t="s">
        <v>1876</v>
      </c>
      <c r="E399" s="42" t="s">
        <v>1731</v>
      </c>
      <c r="F399" s="80">
        <v>0</v>
      </c>
      <c r="G399" s="80">
        <v>974</v>
      </c>
      <c r="H399" s="80">
        <v>0</v>
      </c>
      <c r="I399" s="42" t="s">
        <v>1748</v>
      </c>
      <c r="J399" s="80">
        <v>974</v>
      </c>
      <c r="K399" s="42" t="s">
        <v>1878</v>
      </c>
    </row>
    <row r="400" spans="1:11" x14ac:dyDescent="0.25">
      <c r="A400" s="81">
        <v>2024020</v>
      </c>
      <c r="B400" s="78">
        <v>45356</v>
      </c>
      <c r="C400" s="79">
        <v>268</v>
      </c>
      <c r="D400" s="42" t="s">
        <v>1876</v>
      </c>
      <c r="E400" s="42" t="s">
        <v>433</v>
      </c>
      <c r="F400" s="80">
        <v>0</v>
      </c>
      <c r="G400" s="80">
        <v>1646</v>
      </c>
      <c r="H400" s="80">
        <v>0</v>
      </c>
      <c r="I400" s="42" t="s">
        <v>1879</v>
      </c>
      <c r="J400" s="80">
        <v>1646</v>
      </c>
      <c r="K400" s="42" t="s">
        <v>1880</v>
      </c>
    </row>
    <row r="401" spans="1:11" x14ac:dyDescent="0.25">
      <c r="A401" s="81">
        <v>2024020</v>
      </c>
      <c r="B401" s="78">
        <v>45356</v>
      </c>
      <c r="C401" s="79">
        <v>267</v>
      </c>
      <c r="D401" s="42" t="s">
        <v>1876</v>
      </c>
      <c r="E401" s="42" t="s">
        <v>433</v>
      </c>
      <c r="F401" s="80">
        <v>0</v>
      </c>
      <c r="G401" s="80">
        <v>1646</v>
      </c>
      <c r="H401" s="80">
        <v>0</v>
      </c>
      <c r="I401" s="42" t="s">
        <v>1748</v>
      </c>
      <c r="J401" s="80">
        <v>1646</v>
      </c>
      <c r="K401" s="42" t="s">
        <v>1881</v>
      </c>
    </row>
    <row r="402" spans="1:11" x14ac:dyDescent="0.25">
      <c r="A402" s="81">
        <v>2024170</v>
      </c>
      <c r="B402" s="78">
        <v>45356</v>
      </c>
      <c r="C402" s="79">
        <v>266</v>
      </c>
      <c r="D402" s="42" t="s">
        <v>1882</v>
      </c>
      <c r="E402" s="42" t="s">
        <v>1730</v>
      </c>
      <c r="F402" s="80">
        <v>2160</v>
      </c>
      <c r="G402" s="80">
        <v>0</v>
      </c>
      <c r="H402" s="80">
        <v>0</v>
      </c>
      <c r="I402" s="42">
        <v>0</v>
      </c>
      <c r="J402" s="80">
        <v>2160</v>
      </c>
      <c r="K402" s="42" t="s">
        <v>1736</v>
      </c>
    </row>
    <row r="403" spans="1:11" x14ac:dyDescent="0.25">
      <c r="A403" s="81">
        <v>2024154</v>
      </c>
      <c r="B403" s="78">
        <v>45356</v>
      </c>
      <c r="C403" s="79">
        <v>265</v>
      </c>
      <c r="D403" s="42" t="s">
        <v>1883</v>
      </c>
      <c r="E403" s="42" t="s">
        <v>1731</v>
      </c>
      <c r="F403" s="80">
        <v>728</v>
      </c>
      <c r="G403" s="80">
        <v>0</v>
      </c>
      <c r="H403" s="80">
        <v>0</v>
      </c>
      <c r="I403" s="42" t="s">
        <v>1727</v>
      </c>
      <c r="J403" s="80">
        <v>728</v>
      </c>
      <c r="K403" s="42">
        <v>180</v>
      </c>
    </row>
    <row r="404" spans="1:11" x14ac:dyDescent="0.25">
      <c r="A404" s="81">
        <v>2024154</v>
      </c>
      <c r="B404" s="78">
        <v>45356</v>
      </c>
      <c r="C404" s="79">
        <v>264</v>
      </c>
      <c r="D404" s="42" t="s">
        <v>1883</v>
      </c>
      <c r="E404" s="42" t="s">
        <v>433</v>
      </c>
      <c r="F404" s="80">
        <v>1459</v>
      </c>
      <c r="G404" s="80">
        <v>0</v>
      </c>
      <c r="H404" s="80">
        <v>0</v>
      </c>
      <c r="I404" s="42" t="s">
        <v>1727</v>
      </c>
      <c r="J404" s="80">
        <v>1459</v>
      </c>
      <c r="K404" s="42">
        <v>178</v>
      </c>
    </row>
    <row r="405" spans="1:11" x14ac:dyDescent="0.25">
      <c r="A405" s="81">
        <v>2024117</v>
      </c>
      <c r="B405" s="78">
        <v>45356</v>
      </c>
      <c r="C405" s="79">
        <v>263</v>
      </c>
      <c r="D405" s="42" t="s">
        <v>1884</v>
      </c>
      <c r="E405" s="42" t="s">
        <v>1730</v>
      </c>
      <c r="F405" s="80">
        <v>0</v>
      </c>
      <c r="G405" s="80">
        <v>2374</v>
      </c>
      <c r="H405" s="80">
        <v>0</v>
      </c>
      <c r="I405" s="42">
        <v>0</v>
      </c>
      <c r="J405" s="80">
        <v>2374</v>
      </c>
      <c r="K405" s="42" t="s">
        <v>1736</v>
      </c>
    </row>
    <row r="406" spans="1:11" x14ac:dyDescent="0.25">
      <c r="A406" s="81">
        <v>2024166</v>
      </c>
      <c r="B406" s="78">
        <v>45355</v>
      </c>
      <c r="C406" s="79">
        <v>262</v>
      </c>
      <c r="D406" s="42" t="s">
        <v>1885</v>
      </c>
      <c r="E406" s="42" t="s">
        <v>1706</v>
      </c>
      <c r="F406" s="80">
        <v>2400</v>
      </c>
      <c r="G406" s="80">
        <v>0</v>
      </c>
      <c r="H406" s="80">
        <v>0</v>
      </c>
      <c r="I406" s="42">
        <v>0</v>
      </c>
      <c r="J406" s="80">
        <v>2400</v>
      </c>
      <c r="K406" s="42" t="s">
        <v>1736</v>
      </c>
    </row>
    <row r="407" spans="1:11" x14ac:dyDescent="0.25">
      <c r="A407" s="81">
        <v>2024168</v>
      </c>
      <c r="B407" s="78">
        <v>45355</v>
      </c>
      <c r="C407" s="79">
        <v>261</v>
      </c>
      <c r="D407" s="42" t="s">
        <v>1886</v>
      </c>
      <c r="E407" s="42" t="s">
        <v>1707</v>
      </c>
      <c r="F407" s="80">
        <v>0</v>
      </c>
      <c r="G407" s="80">
        <v>974</v>
      </c>
      <c r="H407" s="80">
        <v>0</v>
      </c>
      <c r="I407" s="42" t="s">
        <v>1840</v>
      </c>
      <c r="J407" s="80">
        <v>974</v>
      </c>
      <c r="K407" s="42">
        <v>0</v>
      </c>
    </row>
    <row r="408" spans="1:11" x14ac:dyDescent="0.25">
      <c r="A408" s="81">
        <v>2024168</v>
      </c>
      <c r="B408" s="78">
        <v>45355</v>
      </c>
      <c r="C408" s="79">
        <v>260</v>
      </c>
      <c r="D408" s="42" t="s">
        <v>1886</v>
      </c>
      <c r="E408" s="42" t="s">
        <v>433</v>
      </c>
      <c r="F408" s="80">
        <v>0</v>
      </c>
      <c r="G408" s="80">
        <v>1646</v>
      </c>
      <c r="H408" s="80">
        <v>0</v>
      </c>
      <c r="I408" s="42" t="s">
        <v>1840</v>
      </c>
      <c r="J408" s="80">
        <v>1646</v>
      </c>
      <c r="K408" s="42">
        <v>0</v>
      </c>
    </row>
    <row r="409" spans="1:11" x14ac:dyDescent="0.25">
      <c r="A409" s="81">
        <v>2024168</v>
      </c>
      <c r="B409" s="78">
        <v>45355</v>
      </c>
      <c r="C409" s="79">
        <v>259</v>
      </c>
      <c r="D409" s="42" t="s">
        <v>1886</v>
      </c>
      <c r="E409" s="42" t="s">
        <v>1707</v>
      </c>
      <c r="F409" s="80">
        <v>0</v>
      </c>
      <c r="G409" s="80">
        <v>974</v>
      </c>
      <c r="H409" s="80">
        <v>0</v>
      </c>
      <c r="I409" s="42" t="s">
        <v>1748</v>
      </c>
      <c r="J409" s="80">
        <v>974</v>
      </c>
      <c r="K409" s="42">
        <v>0</v>
      </c>
    </row>
    <row r="410" spans="1:11" x14ac:dyDescent="0.25">
      <c r="A410" s="81">
        <v>2024168</v>
      </c>
      <c r="B410" s="78">
        <v>45355</v>
      </c>
      <c r="C410" s="79">
        <v>258</v>
      </c>
      <c r="D410" s="42" t="s">
        <v>1886</v>
      </c>
      <c r="E410" s="42" t="s">
        <v>433</v>
      </c>
      <c r="F410" s="80">
        <v>0</v>
      </c>
      <c r="G410" s="80">
        <v>1646</v>
      </c>
      <c r="H410" s="80">
        <v>0</v>
      </c>
      <c r="I410" s="42" t="s">
        <v>1748</v>
      </c>
      <c r="J410" s="80">
        <v>1646</v>
      </c>
      <c r="K410" s="42">
        <v>0</v>
      </c>
    </row>
    <row r="411" spans="1:11" x14ac:dyDescent="0.25">
      <c r="A411" s="81">
        <v>2024168</v>
      </c>
      <c r="B411" s="78">
        <v>45355</v>
      </c>
      <c r="C411" s="79">
        <v>257</v>
      </c>
      <c r="D411" s="42" t="s">
        <v>1886</v>
      </c>
      <c r="E411" s="42" t="s">
        <v>1707</v>
      </c>
      <c r="F411" s="80">
        <v>0</v>
      </c>
      <c r="G411" s="80">
        <v>974</v>
      </c>
      <c r="H411" s="80">
        <v>0</v>
      </c>
      <c r="I411" s="42" t="s">
        <v>1727</v>
      </c>
      <c r="J411" s="80">
        <v>974</v>
      </c>
      <c r="K411" s="42">
        <v>0</v>
      </c>
    </row>
    <row r="412" spans="1:11" x14ac:dyDescent="0.25">
      <c r="A412" s="81">
        <v>2024168</v>
      </c>
      <c r="B412" s="78">
        <v>45355</v>
      </c>
      <c r="C412" s="79">
        <v>256</v>
      </c>
      <c r="D412" s="42" t="s">
        <v>1886</v>
      </c>
      <c r="E412" s="42" t="s">
        <v>433</v>
      </c>
      <c r="F412" s="80">
        <v>0</v>
      </c>
      <c r="G412" s="80">
        <v>1646</v>
      </c>
      <c r="H412" s="80">
        <v>0</v>
      </c>
      <c r="I412" s="42" t="s">
        <v>1727</v>
      </c>
      <c r="J412" s="80">
        <v>1646</v>
      </c>
      <c r="K412" s="42">
        <v>0</v>
      </c>
    </row>
    <row r="413" spans="1:11" x14ac:dyDescent="0.25">
      <c r="A413" s="81">
        <v>2024168</v>
      </c>
      <c r="B413" s="78">
        <v>45355</v>
      </c>
      <c r="C413" s="79">
        <v>255</v>
      </c>
      <c r="D413" s="42" t="s">
        <v>1886</v>
      </c>
      <c r="E413" s="42" t="s">
        <v>1705</v>
      </c>
      <c r="F413" s="80">
        <v>0</v>
      </c>
      <c r="G413" s="80">
        <v>2620</v>
      </c>
      <c r="H413" s="80">
        <v>0</v>
      </c>
      <c r="I413" s="42">
        <v>0</v>
      </c>
      <c r="J413" s="80">
        <v>2620</v>
      </c>
      <c r="K413" s="42" t="s">
        <v>1736</v>
      </c>
    </row>
    <row r="414" spans="1:11" x14ac:dyDescent="0.25">
      <c r="A414" s="81">
        <v>2024167</v>
      </c>
      <c r="B414" s="78">
        <v>45355</v>
      </c>
      <c r="C414" s="79">
        <v>254</v>
      </c>
      <c r="D414" s="42" t="s">
        <v>1887</v>
      </c>
      <c r="E414" s="42" t="s">
        <v>1707</v>
      </c>
      <c r="F414" s="80">
        <v>364</v>
      </c>
      <c r="G414" s="80">
        <v>0</v>
      </c>
      <c r="H414" s="80">
        <v>0</v>
      </c>
      <c r="I414" s="42" t="s">
        <v>1840</v>
      </c>
      <c r="J414" s="80">
        <v>364</v>
      </c>
      <c r="K414" s="42">
        <v>0</v>
      </c>
    </row>
    <row r="415" spans="1:11" x14ac:dyDescent="0.25">
      <c r="A415" s="81">
        <v>2024167</v>
      </c>
      <c r="B415" s="78">
        <v>45355</v>
      </c>
      <c r="C415" s="79">
        <v>253</v>
      </c>
      <c r="D415" s="42" t="s">
        <v>1887</v>
      </c>
      <c r="E415" s="42" t="s">
        <v>433</v>
      </c>
      <c r="F415" s="80">
        <v>716</v>
      </c>
      <c r="G415" s="80">
        <v>0</v>
      </c>
      <c r="H415" s="80">
        <v>0</v>
      </c>
      <c r="I415" s="42" t="s">
        <v>1840</v>
      </c>
      <c r="J415" s="80">
        <v>716</v>
      </c>
      <c r="K415" s="42">
        <v>0</v>
      </c>
    </row>
    <row r="416" spans="1:11" x14ac:dyDescent="0.25">
      <c r="A416" s="81">
        <v>2024167</v>
      </c>
      <c r="B416" s="78">
        <v>45355</v>
      </c>
      <c r="C416" s="79">
        <v>252</v>
      </c>
      <c r="D416" s="42" t="s">
        <v>1887</v>
      </c>
      <c r="E416" s="42" t="s">
        <v>1707</v>
      </c>
      <c r="F416" s="80">
        <v>364</v>
      </c>
      <c r="G416" s="80">
        <v>0</v>
      </c>
      <c r="H416" s="80">
        <v>0</v>
      </c>
      <c r="I416" s="42" t="s">
        <v>1748</v>
      </c>
      <c r="J416" s="80">
        <v>364</v>
      </c>
      <c r="K416" s="42">
        <v>0</v>
      </c>
    </row>
    <row r="417" spans="1:11" x14ac:dyDescent="0.25">
      <c r="A417" s="81">
        <v>2024167</v>
      </c>
      <c r="B417" s="78">
        <v>45355</v>
      </c>
      <c r="C417" s="79">
        <v>251</v>
      </c>
      <c r="D417" s="42" t="s">
        <v>1887</v>
      </c>
      <c r="E417" s="42" t="s">
        <v>433</v>
      </c>
      <c r="F417" s="80">
        <v>716</v>
      </c>
      <c r="G417" s="80">
        <v>0</v>
      </c>
      <c r="H417" s="80">
        <v>0</v>
      </c>
      <c r="I417" s="42" t="s">
        <v>1748</v>
      </c>
      <c r="J417" s="80">
        <v>716</v>
      </c>
      <c r="K417" s="42">
        <v>0</v>
      </c>
    </row>
    <row r="418" spans="1:11" x14ac:dyDescent="0.25">
      <c r="A418" s="81">
        <v>2024167</v>
      </c>
      <c r="B418" s="78">
        <v>45355</v>
      </c>
      <c r="C418" s="79">
        <v>250</v>
      </c>
      <c r="D418" s="42" t="s">
        <v>1887</v>
      </c>
      <c r="E418" s="42" t="s">
        <v>1707</v>
      </c>
      <c r="F418" s="80">
        <v>364</v>
      </c>
      <c r="G418" s="80">
        <v>0</v>
      </c>
      <c r="H418" s="80">
        <v>0</v>
      </c>
      <c r="I418" s="42" t="s">
        <v>1721</v>
      </c>
      <c r="J418" s="80">
        <v>364</v>
      </c>
      <c r="K418" s="42">
        <v>0</v>
      </c>
    </row>
    <row r="419" spans="1:11" x14ac:dyDescent="0.25">
      <c r="A419" s="81">
        <v>2024167</v>
      </c>
      <c r="B419" s="78">
        <v>45355</v>
      </c>
      <c r="C419" s="79">
        <v>249</v>
      </c>
      <c r="D419" s="42" t="s">
        <v>1887</v>
      </c>
      <c r="E419" s="42" t="s">
        <v>433</v>
      </c>
      <c r="F419" s="80">
        <v>716</v>
      </c>
      <c r="G419" s="80">
        <v>0</v>
      </c>
      <c r="H419" s="80">
        <v>0</v>
      </c>
      <c r="I419" s="42" t="s">
        <v>1727</v>
      </c>
      <c r="J419" s="80">
        <v>716</v>
      </c>
      <c r="K419" s="42">
        <v>0</v>
      </c>
    </row>
    <row r="420" spans="1:11" x14ac:dyDescent="0.25">
      <c r="A420" s="81">
        <v>2024173</v>
      </c>
      <c r="B420" s="78">
        <v>45355</v>
      </c>
      <c r="C420" s="79">
        <v>248</v>
      </c>
      <c r="D420" s="42" t="s">
        <v>1888</v>
      </c>
      <c r="E420" s="42" t="s">
        <v>1707</v>
      </c>
      <c r="F420" s="80">
        <v>610</v>
      </c>
      <c r="G420" s="80">
        <v>0</v>
      </c>
      <c r="H420" s="80">
        <v>0</v>
      </c>
      <c r="I420" s="42" t="s">
        <v>1727</v>
      </c>
      <c r="J420" s="80">
        <v>610</v>
      </c>
      <c r="K420" s="42" t="s">
        <v>244</v>
      </c>
    </row>
    <row r="421" spans="1:11" x14ac:dyDescent="0.25">
      <c r="A421" s="81">
        <v>2024173</v>
      </c>
      <c r="B421" s="78">
        <v>45355</v>
      </c>
      <c r="C421" s="79">
        <v>247</v>
      </c>
      <c r="D421" s="42" t="s">
        <v>1888</v>
      </c>
      <c r="E421" s="42" t="s">
        <v>433</v>
      </c>
      <c r="F421" s="80">
        <v>740</v>
      </c>
      <c r="G421" s="80">
        <v>0</v>
      </c>
      <c r="H421" s="80">
        <v>0</v>
      </c>
      <c r="I421" s="42" t="s">
        <v>1727</v>
      </c>
      <c r="J421" s="80">
        <v>740</v>
      </c>
      <c r="K421" s="42" t="s">
        <v>244</v>
      </c>
    </row>
    <row r="422" spans="1:11" x14ac:dyDescent="0.25">
      <c r="A422" s="81">
        <v>2024173</v>
      </c>
      <c r="B422" s="78">
        <v>45355</v>
      </c>
      <c r="C422" s="79">
        <v>246</v>
      </c>
      <c r="D422" s="42" t="s">
        <v>1889</v>
      </c>
      <c r="E422" s="42" t="s">
        <v>1705</v>
      </c>
      <c r="F422" s="80">
        <v>1350</v>
      </c>
      <c r="G422" s="80">
        <v>0</v>
      </c>
      <c r="H422" s="80">
        <v>0</v>
      </c>
      <c r="I422" s="42">
        <v>0</v>
      </c>
      <c r="J422" s="80">
        <v>1350</v>
      </c>
      <c r="K422" s="42" t="s">
        <v>1736</v>
      </c>
    </row>
    <row r="423" spans="1:11" x14ac:dyDescent="0.25">
      <c r="A423" s="81">
        <v>2024160</v>
      </c>
      <c r="B423" s="78">
        <v>45355</v>
      </c>
      <c r="C423" s="79">
        <v>245</v>
      </c>
      <c r="D423" s="42" t="s">
        <v>1890</v>
      </c>
      <c r="E423" s="42" t="s">
        <v>433</v>
      </c>
      <c r="F423" s="80">
        <v>823</v>
      </c>
      <c r="G423" s="80">
        <v>0</v>
      </c>
      <c r="H423" s="80">
        <v>0</v>
      </c>
      <c r="I423" s="42" t="s">
        <v>1727</v>
      </c>
      <c r="J423" s="80">
        <v>823</v>
      </c>
      <c r="K423" s="42">
        <v>11</v>
      </c>
    </row>
    <row r="424" spans="1:11" x14ac:dyDescent="0.25">
      <c r="A424" s="81">
        <v>2024160</v>
      </c>
      <c r="B424" s="78">
        <v>45355</v>
      </c>
      <c r="C424" s="79">
        <v>244</v>
      </c>
      <c r="D424" s="42" t="s">
        <v>1890</v>
      </c>
      <c r="E424" s="42" t="s">
        <v>1705</v>
      </c>
      <c r="F424" s="80">
        <v>610</v>
      </c>
      <c r="G424" s="80">
        <v>0</v>
      </c>
      <c r="H424" s="80">
        <v>0</v>
      </c>
      <c r="I424" s="42" t="s">
        <v>1727</v>
      </c>
      <c r="J424" s="80">
        <v>610</v>
      </c>
      <c r="K424" s="42">
        <v>14</v>
      </c>
    </row>
    <row r="425" spans="1:11" x14ac:dyDescent="0.25">
      <c r="A425" s="81">
        <v>2024158</v>
      </c>
      <c r="B425" s="78">
        <v>45355</v>
      </c>
      <c r="C425" s="79">
        <v>243</v>
      </c>
      <c r="D425" s="42" t="s">
        <v>1891</v>
      </c>
      <c r="E425" s="42" t="s">
        <v>1707</v>
      </c>
      <c r="F425" s="80">
        <v>0</v>
      </c>
      <c r="G425" s="80">
        <v>610</v>
      </c>
      <c r="H425" s="80">
        <v>0</v>
      </c>
      <c r="I425" s="42" t="s">
        <v>1727</v>
      </c>
      <c r="J425" s="80">
        <v>610</v>
      </c>
      <c r="K425" s="42">
        <v>0</v>
      </c>
    </row>
    <row r="426" spans="1:11" x14ac:dyDescent="0.25">
      <c r="A426" s="81">
        <v>2024158</v>
      </c>
      <c r="B426" s="78">
        <v>45355</v>
      </c>
      <c r="C426" s="79">
        <v>242</v>
      </c>
      <c r="D426" s="42" t="s">
        <v>1891</v>
      </c>
      <c r="E426" s="42" t="s">
        <v>433</v>
      </c>
      <c r="F426" s="80">
        <v>0</v>
      </c>
      <c r="G426" s="80">
        <v>823</v>
      </c>
      <c r="H426" s="80">
        <v>0</v>
      </c>
      <c r="I426" s="42" t="s">
        <v>1727</v>
      </c>
      <c r="J426" s="80">
        <v>823</v>
      </c>
      <c r="K426" s="42">
        <v>0</v>
      </c>
    </row>
    <row r="427" spans="1:11" x14ac:dyDescent="0.25">
      <c r="A427" s="81">
        <v>2024145</v>
      </c>
      <c r="B427" s="78">
        <v>45355</v>
      </c>
      <c r="C427" s="79">
        <v>241</v>
      </c>
      <c r="D427" s="42" t="s">
        <v>1892</v>
      </c>
      <c r="E427" s="42" t="s">
        <v>433</v>
      </c>
      <c r="F427" s="80">
        <v>590</v>
      </c>
      <c r="G427" s="80">
        <v>0</v>
      </c>
      <c r="H427" s="80">
        <v>0</v>
      </c>
      <c r="I427" s="42" t="s">
        <v>1748</v>
      </c>
      <c r="J427" s="80">
        <v>590</v>
      </c>
      <c r="K427" s="42">
        <v>0</v>
      </c>
    </row>
    <row r="428" spans="1:11" x14ac:dyDescent="0.25">
      <c r="A428" s="81">
        <v>2024145</v>
      </c>
      <c r="B428" s="78">
        <v>45355</v>
      </c>
      <c r="C428" s="79">
        <v>240</v>
      </c>
      <c r="D428" s="42" t="s">
        <v>1892</v>
      </c>
      <c r="E428" s="42" t="s">
        <v>1707</v>
      </c>
      <c r="F428" s="80">
        <v>610</v>
      </c>
      <c r="G428" s="80">
        <v>0</v>
      </c>
      <c r="H428" s="80">
        <v>0</v>
      </c>
      <c r="I428" s="42" t="s">
        <v>1748</v>
      </c>
      <c r="J428" s="80">
        <v>610</v>
      </c>
      <c r="K428" s="42">
        <v>0</v>
      </c>
    </row>
    <row r="429" spans="1:11" x14ac:dyDescent="0.25">
      <c r="A429" s="81">
        <v>2024145</v>
      </c>
      <c r="B429" s="78">
        <v>45355</v>
      </c>
      <c r="C429" s="79">
        <v>239</v>
      </c>
      <c r="D429" s="42" t="s">
        <v>1892</v>
      </c>
      <c r="E429" s="42" t="s">
        <v>433</v>
      </c>
      <c r="F429" s="80">
        <v>590</v>
      </c>
      <c r="G429" s="80">
        <v>0</v>
      </c>
      <c r="H429" s="80">
        <v>0</v>
      </c>
      <c r="I429" s="42" t="s">
        <v>1727</v>
      </c>
      <c r="J429" s="80">
        <v>590</v>
      </c>
      <c r="K429" s="42">
        <v>0</v>
      </c>
    </row>
    <row r="430" spans="1:11" x14ac:dyDescent="0.25">
      <c r="A430" s="81">
        <v>2024145</v>
      </c>
      <c r="B430" s="78">
        <v>45355</v>
      </c>
      <c r="C430" s="79">
        <v>238</v>
      </c>
      <c r="D430" s="42" t="s">
        <v>1892</v>
      </c>
      <c r="E430" s="42" t="s">
        <v>1707</v>
      </c>
      <c r="F430" s="80">
        <v>610</v>
      </c>
      <c r="G430" s="80">
        <v>0</v>
      </c>
      <c r="H430" s="80">
        <v>0</v>
      </c>
      <c r="I430" s="42" t="s">
        <v>1727</v>
      </c>
      <c r="J430" s="80">
        <v>610</v>
      </c>
      <c r="K430" s="42">
        <v>0</v>
      </c>
    </row>
    <row r="431" spans="1:11" x14ac:dyDescent="0.25">
      <c r="A431" s="81">
        <v>2024144</v>
      </c>
      <c r="B431" s="78">
        <v>45355</v>
      </c>
      <c r="C431" s="79">
        <v>237</v>
      </c>
      <c r="D431" s="42" t="s">
        <v>1893</v>
      </c>
      <c r="E431" s="42" t="s">
        <v>1705</v>
      </c>
      <c r="F431" s="80">
        <v>0</v>
      </c>
      <c r="G431" s="80">
        <v>1187</v>
      </c>
      <c r="H431" s="80">
        <v>0</v>
      </c>
      <c r="I431" s="42">
        <v>0</v>
      </c>
      <c r="J431" s="80">
        <v>1187</v>
      </c>
      <c r="K431" s="42" t="s">
        <v>1736</v>
      </c>
    </row>
    <row r="432" spans="1:11" x14ac:dyDescent="0.25">
      <c r="A432" s="81">
        <v>2024132</v>
      </c>
      <c r="B432" s="78">
        <v>45355</v>
      </c>
      <c r="C432" s="79">
        <v>236</v>
      </c>
      <c r="D432" s="42" t="s">
        <v>1894</v>
      </c>
      <c r="E432" s="42" t="s">
        <v>1707</v>
      </c>
      <c r="F432" s="80">
        <v>0</v>
      </c>
      <c r="G432" s="80">
        <v>610</v>
      </c>
      <c r="H432" s="80">
        <v>0</v>
      </c>
      <c r="I432" s="42" t="s">
        <v>1727</v>
      </c>
      <c r="J432" s="80">
        <v>610</v>
      </c>
      <c r="K432" s="42">
        <v>0</v>
      </c>
    </row>
    <row r="433" spans="1:11" x14ac:dyDescent="0.25">
      <c r="A433" s="81">
        <v>2024132</v>
      </c>
      <c r="B433" s="78">
        <v>45355</v>
      </c>
      <c r="C433" s="79">
        <v>235</v>
      </c>
      <c r="D433" s="42" t="s">
        <v>1894</v>
      </c>
      <c r="E433" s="42" t="s">
        <v>433</v>
      </c>
      <c r="F433" s="80">
        <v>0</v>
      </c>
      <c r="G433" s="80">
        <v>823</v>
      </c>
      <c r="H433" s="80">
        <v>0</v>
      </c>
      <c r="I433" s="42" t="s">
        <v>1727</v>
      </c>
      <c r="J433" s="80">
        <v>823</v>
      </c>
      <c r="K433" s="42">
        <v>0</v>
      </c>
    </row>
    <row r="434" spans="1:11" x14ac:dyDescent="0.25">
      <c r="A434" s="81">
        <v>2024142</v>
      </c>
      <c r="B434" s="78">
        <v>45355</v>
      </c>
      <c r="C434" s="79">
        <v>234</v>
      </c>
      <c r="D434" s="42" t="s">
        <v>1895</v>
      </c>
      <c r="E434" s="42" t="s">
        <v>1708</v>
      </c>
      <c r="F434" s="80">
        <v>0</v>
      </c>
      <c r="G434" s="80">
        <v>364</v>
      </c>
      <c r="H434" s="80">
        <v>0</v>
      </c>
      <c r="I434" s="42" t="s">
        <v>1727</v>
      </c>
      <c r="J434" s="80">
        <v>364</v>
      </c>
      <c r="K434" s="42">
        <v>173</v>
      </c>
    </row>
    <row r="435" spans="1:11" x14ac:dyDescent="0.25">
      <c r="A435" s="81">
        <v>2024142</v>
      </c>
      <c r="B435" s="78">
        <v>45355</v>
      </c>
      <c r="C435" s="79">
        <v>233</v>
      </c>
      <c r="D435" s="42" t="s">
        <v>1895</v>
      </c>
      <c r="E435" s="42" t="s">
        <v>433</v>
      </c>
      <c r="F435" s="80">
        <v>0</v>
      </c>
      <c r="G435" s="80">
        <v>823</v>
      </c>
      <c r="H435" s="80">
        <v>0</v>
      </c>
      <c r="I435" s="42" t="s">
        <v>1727</v>
      </c>
      <c r="J435" s="80">
        <v>823</v>
      </c>
      <c r="K435" s="42">
        <v>173</v>
      </c>
    </row>
    <row r="436" spans="1:11" x14ac:dyDescent="0.25">
      <c r="A436" s="81">
        <v>2024142</v>
      </c>
      <c r="B436" s="78">
        <v>45355</v>
      </c>
      <c r="C436" s="79">
        <v>232</v>
      </c>
      <c r="D436" s="42" t="s">
        <v>1895</v>
      </c>
      <c r="E436" s="42" t="s">
        <v>1706</v>
      </c>
      <c r="F436" s="80">
        <v>0</v>
      </c>
      <c r="G436" s="80">
        <v>1187</v>
      </c>
      <c r="H436" s="80">
        <v>0</v>
      </c>
      <c r="I436" s="42">
        <v>0</v>
      </c>
      <c r="J436" s="80">
        <v>1187</v>
      </c>
      <c r="K436" s="42" t="s">
        <v>1736</v>
      </c>
    </row>
    <row r="437" spans="1:11" x14ac:dyDescent="0.25">
      <c r="A437" s="81">
        <v>2024055</v>
      </c>
      <c r="B437" s="78">
        <v>45355</v>
      </c>
      <c r="C437" s="79">
        <v>231</v>
      </c>
      <c r="D437" s="42" t="s">
        <v>1766</v>
      </c>
      <c r="E437" s="42" t="s">
        <v>1708</v>
      </c>
      <c r="F437" s="80">
        <v>500</v>
      </c>
      <c r="G437" s="80">
        <v>0</v>
      </c>
      <c r="H437" s="80">
        <v>0</v>
      </c>
      <c r="I437" s="42" t="s">
        <v>1837</v>
      </c>
      <c r="J437" s="80">
        <v>500</v>
      </c>
      <c r="K437" s="42">
        <v>163</v>
      </c>
    </row>
    <row r="438" spans="1:11" x14ac:dyDescent="0.25">
      <c r="A438" s="81">
        <v>2024055</v>
      </c>
      <c r="B438" s="78">
        <v>45355</v>
      </c>
      <c r="C438" s="79">
        <v>230</v>
      </c>
      <c r="D438" s="42" t="s">
        <v>1766</v>
      </c>
      <c r="E438" s="42" t="s">
        <v>433</v>
      </c>
      <c r="F438" s="80">
        <v>500</v>
      </c>
      <c r="G438" s="80">
        <v>0</v>
      </c>
      <c r="H438" s="80">
        <v>0</v>
      </c>
      <c r="I438" s="42" t="s">
        <v>1837</v>
      </c>
      <c r="J438" s="80">
        <v>500</v>
      </c>
      <c r="K438" s="42">
        <v>163</v>
      </c>
    </row>
    <row r="439" spans="1:11" x14ac:dyDescent="0.25">
      <c r="A439" s="81">
        <v>2024055</v>
      </c>
      <c r="B439" s="78">
        <v>45355</v>
      </c>
      <c r="C439" s="79">
        <v>229</v>
      </c>
      <c r="D439" s="42" t="s">
        <v>1766</v>
      </c>
      <c r="E439" s="42" t="s">
        <v>1706</v>
      </c>
      <c r="F439" s="80">
        <v>1000</v>
      </c>
      <c r="G439" s="80">
        <v>0</v>
      </c>
      <c r="H439" s="80">
        <v>0</v>
      </c>
      <c r="I439" s="42">
        <v>0</v>
      </c>
      <c r="J439" s="80">
        <v>1000</v>
      </c>
      <c r="K439" s="42" t="s">
        <v>1736</v>
      </c>
    </row>
    <row r="440" spans="1:11" x14ac:dyDescent="0.25">
      <c r="A440" s="81">
        <v>2024139</v>
      </c>
      <c r="B440" s="78">
        <v>45355</v>
      </c>
      <c r="C440" s="79">
        <v>228</v>
      </c>
      <c r="D440" s="42" t="s">
        <v>1839</v>
      </c>
      <c r="E440" s="42" t="s">
        <v>1708</v>
      </c>
      <c r="F440" s="80">
        <v>0</v>
      </c>
      <c r="G440" s="80">
        <v>377</v>
      </c>
      <c r="H440" s="80">
        <v>0</v>
      </c>
      <c r="I440" s="42" t="s">
        <v>1840</v>
      </c>
      <c r="J440" s="80">
        <v>377</v>
      </c>
      <c r="K440" s="42">
        <v>39</v>
      </c>
    </row>
    <row r="441" spans="1:11" x14ac:dyDescent="0.25">
      <c r="A441" s="81">
        <v>2024317</v>
      </c>
      <c r="B441" s="78">
        <v>45355</v>
      </c>
      <c r="C441" s="79">
        <v>227</v>
      </c>
      <c r="D441" s="42" t="s">
        <v>1845</v>
      </c>
      <c r="E441" s="42" t="s">
        <v>1706</v>
      </c>
      <c r="F441" s="80">
        <v>1200</v>
      </c>
      <c r="G441" s="80">
        <v>0</v>
      </c>
      <c r="H441" s="80">
        <v>0</v>
      </c>
      <c r="I441" s="42">
        <v>0</v>
      </c>
      <c r="J441" s="80">
        <v>1200</v>
      </c>
      <c r="K441" s="42" t="s">
        <v>1736</v>
      </c>
    </row>
    <row r="442" spans="1:11" x14ac:dyDescent="0.25">
      <c r="A442" s="81">
        <v>2024139</v>
      </c>
      <c r="B442" s="78">
        <v>45355</v>
      </c>
      <c r="C442" s="79">
        <v>226</v>
      </c>
      <c r="D442" s="42" t="s">
        <v>1839</v>
      </c>
      <c r="E442" s="42" t="s">
        <v>433</v>
      </c>
      <c r="F442" s="80">
        <v>0</v>
      </c>
      <c r="G442" s="80">
        <v>823</v>
      </c>
      <c r="H442" s="80">
        <v>0</v>
      </c>
      <c r="I442" s="42" t="s">
        <v>1840</v>
      </c>
      <c r="J442" s="80">
        <v>823</v>
      </c>
      <c r="K442" s="42">
        <v>35</v>
      </c>
    </row>
    <row r="443" spans="1:11" x14ac:dyDescent="0.25">
      <c r="A443" s="81">
        <v>2024139</v>
      </c>
      <c r="B443" s="78">
        <v>45355</v>
      </c>
      <c r="C443" s="79">
        <v>225</v>
      </c>
      <c r="D443" s="42" t="s">
        <v>1839</v>
      </c>
      <c r="E443" s="42" t="s">
        <v>1708</v>
      </c>
      <c r="F443" s="80">
        <v>0</v>
      </c>
      <c r="G443" s="80">
        <v>377</v>
      </c>
      <c r="H443" s="80">
        <v>0</v>
      </c>
      <c r="I443" s="42" t="s">
        <v>1748</v>
      </c>
      <c r="J443" s="80">
        <v>377</v>
      </c>
      <c r="K443" s="42">
        <v>39</v>
      </c>
    </row>
    <row r="444" spans="1:11" x14ac:dyDescent="0.25">
      <c r="A444" s="81">
        <v>2024139</v>
      </c>
      <c r="B444" s="78">
        <v>45355</v>
      </c>
      <c r="C444" s="79">
        <v>224</v>
      </c>
      <c r="D444" s="42" t="s">
        <v>1839</v>
      </c>
      <c r="E444" s="42" t="s">
        <v>433</v>
      </c>
      <c r="F444" s="80">
        <v>0</v>
      </c>
      <c r="G444" s="80">
        <v>823</v>
      </c>
      <c r="H444" s="80">
        <v>0</v>
      </c>
      <c r="I444" s="42" t="s">
        <v>1748</v>
      </c>
      <c r="J444" s="80">
        <v>823</v>
      </c>
      <c r="K444" s="42">
        <v>34</v>
      </c>
    </row>
    <row r="445" spans="1:11" x14ac:dyDescent="0.25">
      <c r="A445" s="81">
        <v>2024139</v>
      </c>
      <c r="B445" s="78">
        <v>45355</v>
      </c>
      <c r="C445" s="79">
        <v>223</v>
      </c>
      <c r="D445" s="42" t="s">
        <v>1839</v>
      </c>
      <c r="E445" s="42" t="s">
        <v>1708</v>
      </c>
      <c r="F445" s="80">
        <v>0</v>
      </c>
      <c r="G445" s="80">
        <v>377</v>
      </c>
      <c r="H445" s="80">
        <v>0</v>
      </c>
      <c r="I445" s="42" t="s">
        <v>1727</v>
      </c>
      <c r="J445" s="80">
        <v>377</v>
      </c>
      <c r="K445" s="42">
        <v>179</v>
      </c>
    </row>
    <row r="446" spans="1:11" x14ac:dyDescent="0.25">
      <c r="A446" s="81">
        <v>2024139</v>
      </c>
      <c r="B446" s="78">
        <v>45355</v>
      </c>
      <c r="C446" s="79">
        <v>222</v>
      </c>
      <c r="D446" s="42" t="s">
        <v>1839</v>
      </c>
      <c r="E446" s="42" t="s">
        <v>433</v>
      </c>
      <c r="F446" s="80">
        <v>0</v>
      </c>
      <c r="G446" s="80">
        <v>823</v>
      </c>
      <c r="H446" s="80">
        <v>0</v>
      </c>
      <c r="I446" s="42" t="s">
        <v>1727</v>
      </c>
      <c r="J446" s="80">
        <v>823</v>
      </c>
      <c r="K446" s="42">
        <v>177</v>
      </c>
    </row>
    <row r="447" spans="1:11" x14ac:dyDescent="0.25">
      <c r="A447" s="81">
        <v>2024139</v>
      </c>
      <c r="B447" s="78">
        <v>45355</v>
      </c>
      <c r="C447" s="79">
        <v>221</v>
      </c>
      <c r="D447" s="42" t="s">
        <v>1839</v>
      </c>
      <c r="E447" s="42" t="s">
        <v>1706</v>
      </c>
      <c r="F447" s="80">
        <v>0</v>
      </c>
      <c r="G447" s="80">
        <v>1200</v>
      </c>
      <c r="H447" s="80">
        <v>0</v>
      </c>
      <c r="I447" s="42">
        <v>0</v>
      </c>
      <c r="J447" s="80">
        <v>1200</v>
      </c>
      <c r="K447" s="42" t="s">
        <v>1736</v>
      </c>
    </row>
    <row r="448" spans="1:11" x14ac:dyDescent="0.25">
      <c r="A448" s="81">
        <v>2024141</v>
      </c>
      <c r="B448" s="78">
        <v>45355</v>
      </c>
      <c r="C448" s="79">
        <v>220</v>
      </c>
      <c r="D448" s="42" t="s">
        <v>1836</v>
      </c>
      <c r="E448" s="42" t="s">
        <v>433</v>
      </c>
      <c r="F448" s="80">
        <v>500</v>
      </c>
      <c r="G448" s="80">
        <v>0</v>
      </c>
      <c r="H448" s="80">
        <v>0</v>
      </c>
      <c r="I448" s="42" t="s">
        <v>1838</v>
      </c>
      <c r="J448" s="80">
        <v>500</v>
      </c>
      <c r="K448" s="42">
        <v>4</v>
      </c>
    </row>
    <row r="449" spans="1:11" x14ac:dyDescent="0.25">
      <c r="A449" s="81">
        <v>2024141</v>
      </c>
      <c r="B449" s="78">
        <v>45355</v>
      </c>
      <c r="C449" s="79">
        <v>219</v>
      </c>
      <c r="D449" s="42" t="s">
        <v>1836</v>
      </c>
      <c r="E449" s="42" t="s">
        <v>1708</v>
      </c>
      <c r="F449" s="80">
        <v>500</v>
      </c>
      <c r="G449" s="80">
        <v>0</v>
      </c>
      <c r="H449" s="80">
        <v>0</v>
      </c>
      <c r="I449" s="42" t="s">
        <v>1838</v>
      </c>
      <c r="J449" s="80">
        <v>500</v>
      </c>
      <c r="K449" s="42">
        <v>4</v>
      </c>
    </row>
    <row r="450" spans="1:11" x14ac:dyDescent="0.25">
      <c r="A450" s="81">
        <v>2024141</v>
      </c>
      <c r="B450" s="78">
        <v>45355</v>
      </c>
      <c r="C450" s="79">
        <v>218</v>
      </c>
      <c r="D450" s="42" t="s">
        <v>1836</v>
      </c>
      <c r="E450" s="42" t="s">
        <v>1708</v>
      </c>
      <c r="F450" s="80">
        <v>0</v>
      </c>
      <c r="G450" s="80">
        <v>500</v>
      </c>
      <c r="H450" s="80">
        <v>0</v>
      </c>
      <c r="I450" s="42" t="s">
        <v>1837</v>
      </c>
      <c r="J450" s="80">
        <v>500</v>
      </c>
      <c r="K450" s="42">
        <v>0</v>
      </c>
    </row>
    <row r="451" spans="1:11" x14ac:dyDescent="0.25">
      <c r="A451" s="81">
        <v>2024141</v>
      </c>
      <c r="B451" s="78">
        <v>45355</v>
      </c>
      <c r="C451" s="79">
        <v>217</v>
      </c>
      <c r="D451" s="42" t="s">
        <v>1836</v>
      </c>
      <c r="E451" s="42" t="s">
        <v>433</v>
      </c>
      <c r="F451" s="80">
        <v>0</v>
      </c>
      <c r="G451" s="80">
        <v>500</v>
      </c>
      <c r="H451" s="80">
        <v>0</v>
      </c>
      <c r="I451" s="42" t="s">
        <v>1837</v>
      </c>
      <c r="J451" s="80">
        <v>500</v>
      </c>
      <c r="K451" s="42">
        <v>0</v>
      </c>
    </row>
    <row r="452" spans="1:11" x14ac:dyDescent="0.25">
      <c r="A452" s="81">
        <v>2024141</v>
      </c>
      <c r="B452" s="78">
        <v>45355</v>
      </c>
      <c r="C452" s="79">
        <v>216</v>
      </c>
      <c r="D452" s="42" t="s">
        <v>1836</v>
      </c>
      <c r="E452" s="42" t="s">
        <v>1706</v>
      </c>
      <c r="F452" s="80">
        <v>0</v>
      </c>
      <c r="G452" s="80">
        <v>1000</v>
      </c>
      <c r="H452" s="80">
        <v>0</v>
      </c>
      <c r="I452" s="42">
        <v>0</v>
      </c>
      <c r="J452" s="80">
        <v>1000</v>
      </c>
      <c r="K452" s="42" t="s">
        <v>1736</v>
      </c>
    </row>
    <row r="453" spans="1:11" x14ac:dyDescent="0.25">
      <c r="A453" s="81">
        <v>2024135</v>
      </c>
      <c r="B453" s="78">
        <v>45355</v>
      </c>
      <c r="C453" s="79">
        <v>215</v>
      </c>
      <c r="D453" s="42" t="s">
        <v>1835</v>
      </c>
      <c r="E453" s="42" t="s">
        <v>1705</v>
      </c>
      <c r="F453" s="80">
        <v>3582</v>
      </c>
      <c r="G453" s="80">
        <v>0</v>
      </c>
      <c r="H453" s="80">
        <v>0</v>
      </c>
      <c r="I453" s="42">
        <v>0</v>
      </c>
      <c r="J453" s="80">
        <v>3582</v>
      </c>
      <c r="K453" s="42" t="s">
        <v>1736</v>
      </c>
    </row>
    <row r="454" spans="1:11" x14ac:dyDescent="0.25">
      <c r="A454" s="81">
        <v>2024137</v>
      </c>
      <c r="B454" s="78">
        <v>45355</v>
      </c>
      <c r="C454" s="79">
        <v>214</v>
      </c>
      <c r="D454" s="42" t="s">
        <v>1834</v>
      </c>
      <c r="E454" s="42" t="s">
        <v>1708</v>
      </c>
      <c r="F454" s="80">
        <v>364</v>
      </c>
      <c r="G454" s="80">
        <v>0</v>
      </c>
      <c r="H454" s="80">
        <v>0</v>
      </c>
      <c r="I454" s="42" t="s">
        <v>1748</v>
      </c>
      <c r="J454" s="80">
        <v>364</v>
      </c>
      <c r="K454" s="42" t="s">
        <v>244</v>
      </c>
    </row>
    <row r="455" spans="1:11" x14ac:dyDescent="0.25">
      <c r="A455" s="81">
        <v>2024137</v>
      </c>
      <c r="B455" s="78">
        <v>45355</v>
      </c>
      <c r="C455" s="79">
        <v>213</v>
      </c>
      <c r="D455" s="42" t="s">
        <v>1834</v>
      </c>
      <c r="E455" s="42" t="s">
        <v>433</v>
      </c>
      <c r="F455" s="80">
        <v>736</v>
      </c>
      <c r="G455" s="80">
        <v>0</v>
      </c>
      <c r="H455" s="80">
        <v>0</v>
      </c>
      <c r="I455" s="42" t="s">
        <v>1748</v>
      </c>
      <c r="J455" s="80">
        <v>736</v>
      </c>
      <c r="K455" s="42" t="s">
        <v>244</v>
      </c>
    </row>
    <row r="456" spans="1:11" x14ac:dyDescent="0.25">
      <c r="A456" s="81">
        <v>2024137</v>
      </c>
      <c r="B456" s="78">
        <v>45355</v>
      </c>
      <c r="C456" s="79">
        <v>212</v>
      </c>
      <c r="D456" s="42" t="s">
        <v>1834</v>
      </c>
      <c r="E456" s="42" t="s">
        <v>1708</v>
      </c>
      <c r="F456" s="80">
        <v>364</v>
      </c>
      <c r="G456" s="80">
        <v>0</v>
      </c>
      <c r="H456" s="80">
        <v>0</v>
      </c>
      <c r="I456" s="42" t="s">
        <v>1727</v>
      </c>
      <c r="J456" s="80">
        <v>364</v>
      </c>
      <c r="K456" s="42" t="s">
        <v>244</v>
      </c>
    </row>
    <row r="457" spans="1:11" x14ac:dyDescent="0.25">
      <c r="A457" s="81">
        <v>2024137</v>
      </c>
      <c r="B457" s="78">
        <v>45355</v>
      </c>
      <c r="C457" s="79">
        <v>211</v>
      </c>
      <c r="D457" s="42" t="s">
        <v>1834</v>
      </c>
      <c r="E457" s="42" t="s">
        <v>433</v>
      </c>
      <c r="F457" s="80">
        <v>736</v>
      </c>
      <c r="G457" s="80">
        <v>0</v>
      </c>
      <c r="H457" s="80">
        <v>0</v>
      </c>
      <c r="I457" s="42" t="s">
        <v>1727</v>
      </c>
      <c r="J457" s="80">
        <v>736</v>
      </c>
      <c r="K457" s="42" t="s">
        <v>244</v>
      </c>
    </row>
    <row r="458" spans="1:11" x14ac:dyDescent="0.25">
      <c r="A458" s="81">
        <v>2024315</v>
      </c>
      <c r="B458" s="78">
        <v>45355</v>
      </c>
      <c r="C458" s="79">
        <v>210</v>
      </c>
      <c r="D458" s="42" t="s">
        <v>1833</v>
      </c>
      <c r="E458" s="42" t="s">
        <v>1705</v>
      </c>
      <c r="F458" s="80">
        <v>0</v>
      </c>
      <c r="G458" s="80">
        <v>1450</v>
      </c>
      <c r="H458" s="80">
        <v>0</v>
      </c>
      <c r="I458" s="42">
        <v>0</v>
      </c>
      <c r="J458" s="80">
        <v>1450</v>
      </c>
      <c r="K458" s="42" t="s">
        <v>1736</v>
      </c>
    </row>
    <row r="459" spans="1:11" x14ac:dyDescent="0.25">
      <c r="A459" s="81">
        <v>2024126</v>
      </c>
      <c r="B459" s="78">
        <v>45355</v>
      </c>
      <c r="C459" s="79">
        <v>209</v>
      </c>
      <c r="D459" s="42" t="s">
        <v>1827</v>
      </c>
      <c r="E459" s="42" t="s">
        <v>433</v>
      </c>
      <c r="F459" s="80">
        <v>823</v>
      </c>
      <c r="G459" s="80">
        <v>0</v>
      </c>
      <c r="H459" s="80">
        <v>0</v>
      </c>
      <c r="I459" s="42" t="s">
        <v>1727</v>
      </c>
      <c r="J459" s="80">
        <v>823</v>
      </c>
      <c r="K459" s="42">
        <v>69</v>
      </c>
    </row>
    <row r="460" spans="1:11" x14ac:dyDescent="0.25">
      <c r="A460" s="81">
        <v>2024126</v>
      </c>
      <c r="B460" s="78">
        <v>45355</v>
      </c>
      <c r="C460" s="79">
        <v>208</v>
      </c>
      <c r="D460" s="42" t="s">
        <v>1827</v>
      </c>
      <c r="E460" s="42" t="s">
        <v>433</v>
      </c>
      <c r="F460" s="80">
        <v>610</v>
      </c>
      <c r="G460" s="80">
        <v>0</v>
      </c>
      <c r="H460" s="80">
        <v>0</v>
      </c>
      <c r="I460" s="42" t="s">
        <v>1727</v>
      </c>
      <c r="J460" s="80">
        <v>610</v>
      </c>
      <c r="K460" s="42">
        <v>63</v>
      </c>
    </row>
    <row r="461" spans="1:11" x14ac:dyDescent="0.25">
      <c r="A461" s="81">
        <v>2024068</v>
      </c>
      <c r="B461" s="78">
        <v>45352</v>
      </c>
      <c r="C461" s="79">
        <v>207</v>
      </c>
      <c r="D461" s="42" t="s">
        <v>1754</v>
      </c>
      <c r="E461" s="42" t="s">
        <v>1707</v>
      </c>
      <c r="F461" s="80">
        <v>0</v>
      </c>
      <c r="G461" s="80">
        <v>610</v>
      </c>
      <c r="H461" s="80">
        <v>0</v>
      </c>
      <c r="I461" s="42" t="s">
        <v>1727</v>
      </c>
      <c r="J461" s="80">
        <v>610</v>
      </c>
      <c r="K461" s="42">
        <v>47</v>
      </c>
    </row>
    <row r="462" spans="1:11" x14ac:dyDescent="0.25">
      <c r="A462" s="81">
        <v>2024068</v>
      </c>
      <c r="B462" s="78">
        <v>45352</v>
      </c>
      <c r="C462" s="79">
        <v>206</v>
      </c>
      <c r="D462" s="42" t="s">
        <v>1754</v>
      </c>
      <c r="E462" s="42" t="s">
        <v>433</v>
      </c>
      <c r="F462" s="80">
        <v>0</v>
      </c>
      <c r="G462" s="80">
        <v>823</v>
      </c>
      <c r="H462" s="80">
        <v>0</v>
      </c>
      <c r="I462" s="42" t="s">
        <v>1727</v>
      </c>
      <c r="J462" s="80">
        <v>823</v>
      </c>
      <c r="K462" s="42">
        <v>43</v>
      </c>
    </row>
    <row r="463" spans="1:11" x14ac:dyDescent="0.25">
      <c r="A463" s="81">
        <v>2024043</v>
      </c>
      <c r="B463" s="78">
        <v>45352</v>
      </c>
      <c r="C463" s="79">
        <v>205</v>
      </c>
      <c r="D463" s="42" t="s">
        <v>1831</v>
      </c>
      <c r="E463" s="42" t="s">
        <v>1707</v>
      </c>
      <c r="F463" s="80">
        <v>610</v>
      </c>
      <c r="G463" s="80">
        <v>0</v>
      </c>
      <c r="H463" s="80">
        <v>0</v>
      </c>
      <c r="I463" s="42" t="s">
        <v>1748</v>
      </c>
      <c r="J463" s="80">
        <v>610</v>
      </c>
      <c r="K463" s="42" t="s">
        <v>244</v>
      </c>
    </row>
    <row r="464" spans="1:11" x14ac:dyDescent="0.25">
      <c r="A464" s="81">
        <v>2024043</v>
      </c>
      <c r="B464" s="78">
        <v>45352</v>
      </c>
      <c r="C464" s="79">
        <v>204</v>
      </c>
      <c r="D464" s="42" t="s">
        <v>1831</v>
      </c>
      <c r="E464" s="42" t="s">
        <v>433</v>
      </c>
      <c r="F464" s="80">
        <v>740</v>
      </c>
      <c r="G464" s="80">
        <v>0</v>
      </c>
      <c r="H464" s="80">
        <v>0</v>
      </c>
      <c r="I464" s="42" t="s">
        <v>1832</v>
      </c>
      <c r="J464" s="80">
        <v>740</v>
      </c>
      <c r="K464" s="42" t="s">
        <v>244</v>
      </c>
    </row>
    <row r="465" spans="1:11" x14ac:dyDescent="0.25">
      <c r="A465" s="81">
        <v>2024093</v>
      </c>
      <c r="B465" s="78">
        <v>45352</v>
      </c>
      <c r="C465" s="79">
        <v>203</v>
      </c>
      <c r="D465" s="42" t="s">
        <v>1797</v>
      </c>
      <c r="E465" s="42" t="s">
        <v>1707</v>
      </c>
      <c r="F465" s="80">
        <v>0</v>
      </c>
      <c r="G465" s="80">
        <v>610</v>
      </c>
      <c r="H465" s="80">
        <v>0</v>
      </c>
      <c r="I465" s="42" t="s">
        <v>1727</v>
      </c>
      <c r="J465" s="80">
        <v>610</v>
      </c>
      <c r="K465" s="42">
        <v>46</v>
      </c>
    </row>
    <row r="466" spans="1:11" x14ac:dyDescent="0.25">
      <c r="A466" s="81">
        <v>2024093</v>
      </c>
      <c r="B466" s="78">
        <v>45352</v>
      </c>
      <c r="C466" s="79">
        <v>202</v>
      </c>
      <c r="D466" s="42" t="s">
        <v>1797</v>
      </c>
      <c r="E466" s="42" t="s">
        <v>433</v>
      </c>
      <c r="F466" s="80">
        <v>0</v>
      </c>
      <c r="G466" s="80">
        <v>823</v>
      </c>
      <c r="H466" s="80">
        <v>0</v>
      </c>
      <c r="I466" s="42" t="s">
        <v>1727</v>
      </c>
      <c r="J466" s="80">
        <v>823</v>
      </c>
      <c r="K466" s="42">
        <v>42</v>
      </c>
    </row>
    <row r="467" spans="1:11" x14ac:dyDescent="0.25">
      <c r="A467" s="81">
        <v>2024130</v>
      </c>
      <c r="B467" s="78">
        <v>45352</v>
      </c>
      <c r="C467" s="79">
        <v>201</v>
      </c>
      <c r="D467" s="42" t="s">
        <v>1830</v>
      </c>
      <c r="E467" s="42" t="s">
        <v>1705</v>
      </c>
      <c r="F467" s="80">
        <v>0</v>
      </c>
      <c r="G467" s="80">
        <v>1187</v>
      </c>
      <c r="H467" s="80">
        <v>0</v>
      </c>
      <c r="I467" s="42">
        <v>0</v>
      </c>
      <c r="J467" s="80">
        <v>1187</v>
      </c>
      <c r="K467" s="42" t="s">
        <v>1736</v>
      </c>
    </row>
    <row r="468" spans="1:11" x14ac:dyDescent="0.25">
      <c r="A468" s="81">
        <v>2024127</v>
      </c>
      <c r="B468" s="78">
        <v>45352</v>
      </c>
      <c r="C468" s="79">
        <v>200</v>
      </c>
      <c r="D468" s="42" t="s">
        <v>1829</v>
      </c>
      <c r="E468" s="42" t="s">
        <v>1731</v>
      </c>
      <c r="F468" s="80">
        <v>9740</v>
      </c>
      <c r="G468" s="80">
        <v>0</v>
      </c>
      <c r="H468" s="80">
        <v>0</v>
      </c>
      <c r="I468" s="42" t="s">
        <v>1753</v>
      </c>
      <c r="J468" s="80">
        <v>9740</v>
      </c>
      <c r="K468" s="42" t="s">
        <v>244</v>
      </c>
    </row>
    <row r="469" spans="1:11" x14ac:dyDescent="0.25">
      <c r="A469" s="81">
        <v>2024127</v>
      </c>
      <c r="B469" s="78">
        <v>45352</v>
      </c>
      <c r="C469" s="79">
        <v>199</v>
      </c>
      <c r="D469" s="42" t="s">
        <v>1829</v>
      </c>
      <c r="E469" s="42" t="s">
        <v>433</v>
      </c>
      <c r="F469" s="80">
        <v>14260</v>
      </c>
      <c r="G469" s="80">
        <v>0</v>
      </c>
      <c r="H469" s="80">
        <v>0</v>
      </c>
      <c r="I469" s="42" t="s">
        <v>1753</v>
      </c>
      <c r="J469" s="80">
        <v>14260</v>
      </c>
      <c r="K469" s="42" t="s">
        <v>244</v>
      </c>
    </row>
    <row r="470" spans="1:11" x14ac:dyDescent="0.25">
      <c r="A470" s="81">
        <v>2024128</v>
      </c>
      <c r="B470" s="78">
        <v>45352</v>
      </c>
      <c r="C470" s="79">
        <v>198</v>
      </c>
      <c r="D470" s="42" t="s">
        <v>1828</v>
      </c>
      <c r="E470" s="42" t="s">
        <v>1707</v>
      </c>
      <c r="F470" s="80">
        <v>610</v>
      </c>
      <c r="G470" s="80">
        <v>0</v>
      </c>
      <c r="H470" s="80">
        <v>0</v>
      </c>
      <c r="I470" s="42" t="s">
        <v>1727</v>
      </c>
      <c r="J470" s="80">
        <v>610</v>
      </c>
      <c r="K470" s="42" t="s">
        <v>244</v>
      </c>
    </row>
    <row r="471" spans="1:11" x14ac:dyDescent="0.25">
      <c r="A471" s="81">
        <v>2024128</v>
      </c>
      <c r="B471" s="78">
        <v>45352</v>
      </c>
      <c r="C471" s="79">
        <v>197</v>
      </c>
      <c r="D471" s="42" t="s">
        <v>1828</v>
      </c>
      <c r="E471" s="42" t="s">
        <v>433</v>
      </c>
      <c r="F471" s="80">
        <v>740</v>
      </c>
      <c r="G471" s="80">
        <v>0</v>
      </c>
      <c r="H471" s="80">
        <v>0</v>
      </c>
      <c r="I471" s="42" t="s">
        <v>1727</v>
      </c>
      <c r="J471" s="80">
        <v>740</v>
      </c>
      <c r="K471" s="42" t="s">
        <v>244</v>
      </c>
    </row>
    <row r="472" spans="1:11" x14ac:dyDescent="0.25">
      <c r="A472" s="81">
        <v>2024128</v>
      </c>
      <c r="B472" s="78">
        <v>45352</v>
      </c>
      <c r="C472" s="79">
        <v>196</v>
      </c>
      <c r="D472" s="42" t="s">
        <v>1828</v>
      </c>
      <c r="E472" s="42" t="s">
        <v>1705</v>
      </c>
      <c r="F472" s="80">
        <v>1350</v>
      </c>
      <c r="G472" s="80">
        <v>0</v>
      </c>
      <c r="H472" s="80">
        <v>0</v>
      </c>
      <c r="I472" s="42">
        <v>0</v>
      </c>
      <c r="J472" s="80">
        <v>1350</v>
      </c>
      <c r="K472" s="42" t="s">
        <v>1736</v>
      </c>
    </row>
    <row r="473" spans="1:11" x14ac:dyDescent="0.25">
      <c r="A473" s="81">
        <v>2024126</v>
      </c>
      <c r="B473" s="78">
        <v>45352</v>
      </c>
      <c r="C473" s="79">
        <v>195</v>
      </c>
      <c r="D473" s="42" t="s">
        <v>1827</v>
      </c>
      <c r="E473" s="42" t="s">
        <v>1705</v>
      </c>
      <c r="F473" s="80">
        <v>1300</v>
      </c>
      <c r="G473" s="80">
        <v>0</v>
      </c>
      <c r="H473" s="80">
        <v>0</v>
      </c>
      <c r="I473" s="42">
        <v>0</v>
      </c>
      <c r="J473" s="80">
        <v>1300</v>
      </c>
      <c r="K473" s="42" t="s">
        <v>1736</v>
      </c>
    </row>
    <row r="474" spans="1:11" x14ac:dyDescent="0.25">
      <c r="A474" s="81">
        <v>2024129</v>
      </c>
      <c r="B474" s="78">
        <v>45352</v>
      </c>
      <c r="C474" s="79">
        <v>194</v>
      </c>
      <c r="D474" s="42" t="s">
        <v>1826</v>
      </c>
      <c r="E474" s="42" t="s">
        <v>1706</v>
      </c>
      <c r="F474" s="80">
        <v>1080</v>
      </c>
      <c r="G474" s="80">
        <v>0</v>
      </c>
      <c r="H474" s="80">
        <v>0</v>
      </c>
      <c r="I474" s="42">
        <v>0</v>
      </c>
      <c r="J474" s="80">
        <v>1080</v>
      </c>
      <c r="K474" s="42" t="s">
        <v>1736</v>
      </c>
    </row>
    <row r="475" spans="1:11" x14ac:dyDescent="0.25">
      <c r="A475" s="81">
        <v>2024129</v>
      </c>
      <c r="B475" s="78">
        <v>45352</v>
      </c>
      <c r="C475" s="79">
        <v>193</v>
      </c>
      <c r="D475" s="42" t="s">
        <v>1826</v>
      </c>
      <c r="E475" s="42" t="s">
        <v>1708</v>
      </c>
      <c r="F475" s="80">
        <v>364</v>
      </c>
      <c r="G475" s="80">
        <v>0</v>
      </c>
      <c r="H475" s="80">
        <v>0</v>
      </c>
      <c r="I475" s="42" t="s">
        <v>1727</v>
      </c>
      <c r="J475" s="80">
        <v>364</v>
      </c>
      <c r="K475" s="42" t="s">
        <v>244</v>
      </c>
    </row>
    <row r="476" spans="1:11" x14ac:dyDescent="0.25">
      <c r="A476" s="81">
        <v>2024129</v>
      </c>
      <c r="B476" s="78">
        <v>45352</v>
      </c>
      <c r="C476" s="79">
        <v>192</v>
      </c>
      <c r="D476" s="42" t="s">
        <v>1826</v>
      </c>
      <c r="E476" s="42" t="s">
        <v>433</v>
      </c>
      <c r="F476" s="80">
        <v>716</v>
      </c>
      <c r="G476" s="80">
        <v>0</v>
      </c>
      <c r="H476" s="80">
        <v>0</v>
      </c>
      <c r="I476" s="42" t="s">
        <v>1727</v>
      </c>
      <c r="J476" s="80">
        <v>716</v>
      </c>
      <c r="K476" s="42" t="s">
        <v>244</v>
      </c>
    </row>
    <row r="477" spans="1:11" x14ac:dyDescent="0.25">
      <c r="A477" s="81">
        <v>2024124</v>
      </c>
      <c r="B477" s="78">
        <v>45352</v>
      </c>
      <c r="C477" s="79">
        <v>191</v>
      </c>
      <c r="D477" s="42" t="s">
        <v>1825</v>
      </c>
      <c r="E477" s="42" t="s">
        <v>1707</v>
      </c>
      <c r="F477" s="80">
        <v>0</v>
      </c>
      <c r="G477" s="80">
        <v>974</v>
      </c>
      <c r="H477" s="80">
        <v>0</v>
      </c>
      <c r="I477" s="42" t="s">
        <v>1727</v>
      </c>
      <c r="J477" s="80">
        <v>974</v>
      </c>
      <c r="K477" s="42" t="s">
        <v>244</v>
      </c>
    </row>
    <row r="478" spans="1:11" x14ac:dyDescent="0.25">
      <c r="A478" s="81">
        <v>2024124</v>
      </c>
      <c r="B478" s="78">
        <v>45352</v>
      </c>
      <c r="C478" s="79">
        <v>191</v>
      </c>
      <c r="D478" s="42" t="s">
        <v>1825</v>
      </c>
      <c r="E478" s="42" t="s">
        <v>1707</v>
      </c>
      <c r="F478" s="80">
        <v>0</v>
      </c>
      <c r="G478" s="80">
        <v>974</v>
      </c>
      <c r="H478" s="80">
        <v>0</v>
      </c>
      <c r="I478" s="42" t="s">
        <v>1727</v>
      </c>
      <c r="J478" s="80">
        <v>974</v>
      </c>
      <c r="K478" s="42" t="s">
        <v>244</v>
      </c>
    </row>
    <row r="479" spans="1:11" x14ac:dyDescent="0.25">
      <c r="A479" s="81">
        <v>2024124</v>
      </c>
      <c r="B479" s="78">
        <v>45352</v>
      </c>
      <c r="C479" s="79">
        <v>190</v>
      </c>
      <c r="D479" s="42" t="s">
        <v>1825</v>
      </c>
      <c r="E479" s="42" t="s">
        <v>433</v>
      </c>
      <c r="F479" s="80">
        <v>0</v>
      </c>
      <c r="G479" s="80">
        <v>1226</v>
      </c>
      <c r="H479" s="80">
        <v>0</v>
      </c>
      <c r="I479" s="42" t="s">
        <v>1727</v>
      </c>
      <c r="J479" s="80">
        <v>1226</v>
      </c>
      <c r="K479" s="42" t="s">
        <v>244</v>
      </c>
    </row>
    <row r="480" spans="1:11" x14ac:dyDescent="0.25">
      <c r="A480" s="81">
        <v>2024123</v>
      </c>
      <c r="B480" s="78">
        <v>45352</v>
      </c>
      <c r="C480" s="79">
        <v>189</v>
      </c>
      <c r="D480" s="42" t="s">
        <v>1824</v>
      </c>
      <c r="E480" s="42" t="s">
        <v>1705</v>
      </c>
      <c r="F480" s="80">
        <v>0</v>
      </c>
      <c r="G480" s="80">
        <v>1433</v>
      </c>
      <c r="H480" s="80">
        <v>0</v>
      </c>
      <c r="I480" s="42">
        <v>0</v>
      </c>
      <c r="J480" s="80">
        <v>1433</v>
      </c>
      <c r="K480" s="42" t="s">
        <v>1736</v>
      </c>
    </row>
    <row r="481" spans="1:11" x14ac:dyDescent="0.25">
      <c r="A481" s="81">
        <v>2024122</v>
      </c>
      <c r="B481" s="78">
        <v>45352</v>
      </c>
      <c r="C481" s="79">
        <v>188</v>
      </c>
      <c r="D481" s="42" t="s">
        <v>1823</v>
      </c>
      <c r="E481" s="42" t="s">
        <v>1705</v>
      </c>
      <c r="F481" s="80">
        <v>0</v>
      </c>
      <c r="G481" s="80">
        <v>1450</v>
      </c>
      <c r="H481" s="80">
        <v>0</v>
      </c>
      <c r="I481" s="42">
        <v>0</v>
      </c>
      <c r="J481" s="80">
        <v>1450</v>
      </c>
      <c r="K481" s="42" t="s">
        <v>1736</v>
      </c>
    </row>
    <row r="482" spans="1:11" x14ac:dyDescent="0.25">
      <c r="A482" s="81">
        <v>2024122</v>
      </c>
      <c r="B482" s="78">
        <v>45352</v>
      </c>
      <c r="C482" s="79">
        <v>188</v>
      </c>
      <c r="D482" s="42" t="s">
        <v>1823</v>
      </c>
      <c r="E482" s="42" t="s">
        <v>1705</v>
      </c>
      <c r="F482" s="80">
        <v>0</v>
      </c>
      <c r="G482" s="80">
        <v>1450</v>
      </c>
      <c r="H482" s="80">
        <v>0</v>
      </c>
      <c r="I482" s="42">
        <v>0</v>
      </c>
      <c r="J482" s="80">
        <v>1450</v>
      </c>
      <c r="K482" s="42" t="s">
        <v>1736</v>
      </c>
    </row>
    <row r="483" spans="1:11" x14ac:dyDescent="0.25">
      <c r="A483" s="81">
        <v>2024119</v>
      </c>
      <c r="B483" s="78">
        <v>45352</v>
      </c>
      <c r="C483" s="79">
        <v>187</v>
      </c>
      <c r="D483" s="42" t="s">
        <v>1822</v>
      </c>
      <c r="E483" s="42" t="s">
        <v>1730</v>
      </c>
      <c r="F483" s="80">
        <v>0</v>
      </c>
      <c r="G483" s="80">
        <v>2650</v>
      </c>
      <c r="H483" s="80">
        <v>0</v>
      </c>
      <c r="I483" s="42">
        <v>0</v>
      </c>
      <c r="J483" s="80">
        <v>2650</v>
      </c>
      <c r="K483" s="42" t="s">
        <v>1736</v>
      </c>
    </row>
    <row r="484" spans="1:11" x14ac:dyDescent="0.25">
      <c r="A484" s="81">
        <v>2024102</v>
      </c>
      <c r="B484" s="78">
        <v>45352</v>
      </c>
      <c r="C484" s="79">
        <v>186</v>
      </c>
      <c r="D484" s="42" t="s">
        <v>1821</v>
      </c>
      <c r="E484" s="42" t="s">
        <v>1708</v>
      </c>
      <c r="F484" s="80">
        <v>364</v>
      </c>
      <c r="G484" s="80">
        <v>0</v>
      </c>
      <c r="H484" s="80">
        <v>0</v>
      </c>
      <c r="I484" s="42" t="s">
        <v>1727</v>
      </c>
      <c r="J484" s="80">
        <v>364</v>
      </c>
      <c r="K484" s="42">
        <v>36</v>
      </c>
    </row>
    <row r="485" spans="1:11" x14ac:dyDescent="0.25">
      <c r="A485" s="81">
        <v>2024102</v>
      </c>
      <c r="B485" s="78">
        <v>45352</v>
      </c>
      <c r="C485" s="79">
        <v>185</v>
      </c>
      <c r="D485" s="42" t="s">
        <v>1821</v>
      </c>
      <c r="E485" s="42" t="s">
        <v>433</v>
      </c>
      <c r="F485" s="80">
        <v>823</v>
      </c>
      <c r="G485" s="80">
        <v>0</v>
      </c>
      <c r="H485" s="80">
        <v>0</v>
      </c>
      <c r="I485" s="42" t="s">
        <v>1727</v>
      </c>
      <c r="J485" s="80">
        <v>823</v>
      </c>
      <c r="K485" s="42">
        <v>32</v>
      </c>
    </row>
    <row r="486" spans="1:11" x14ac:dyDescent="0.25">
      <c r="A486" s="81">
        <v>2024102</v>
      </c>
      <c r="B486" s="78">
        <v>45352</v>
      </c>
      <c r="C486" s="79">
        <v>184</v>
      </c>
      <c r="D486" s="42" t="s">
        <v>1821</v>
      </c>
      <c r="E486" s="42" t="s">
        <v>1706</v>
      </c>
      <c r="F486" s="80">
        <v>1187</v>
      </c>
      <c r="G486" s="80">
        <v>0</v>
      </c>
      <c r="H486" s="80">
        <v>0</v>
      </c>
      <c r="I486" s="42">
        <v>0</v>
      </c>
      <c r="J486" s="80">
        <v>1187</v>
      </c>
      <c r="K486" s="42" t="s">
        <v>1736</v>
      </c>
    </row>
    <row r="487" spans="1:11" x14ac:dyDescent="0.25">
      <c r="A487" s="81">
        <v>2024110</v>
      </c>
      <c r="B487" s="78">
        <v>45352</v>
      </c>
      <c r="C487" s="79">
        <v>183</v>
      </c>
      <c r="D487" s="42" t="s">
        <v>1819</v>
      </c>
      <c r="E487" s="42" t="s">
        <v>1708</v>
      </c>
      <c r="F487" s="80">
        <v>0</v>
      </c>
      <c r="G487" s="80">
        <v>377</v>
      </c>
      <c r="H487" s="80">
        <v>0</v>
      </c>
      <c r="I487" s="42" t="s">
        <v>1727</v>
      </c>
      <c r="J487" s="80">
        <v>377</v>
      </c>
      <c r="K487" s="42">
        <v>18</v>
      </c>
    </row>
    <row r="488" spans="1:11" x14ac:dyDescent="0.25">
      <c r="A488" s="81">
        <v>2024110</v>
      </c>
      <c r="B488" s="78">
        <v>45352</v>
      </c>
      <c r="C488" s="79">
        <v>182</v>
      </c>
      <c r="D488" s="42" t="s">
        <v>1819</v>
      </c>
      <c r="E488" s="42" t="s">
        <v>433</v>
      </c>
      <c r="F488" s="80">
        <v>0</v>
      </c>
      <c r="G488" s="80">
        <v>823</v>
      </c>
      <c r="H488" s="80">
        <v>0</v>
      </c>
      <c r="I488" s="42" t="s">
        <v>1820</v>
      </c>
      <c r="J488" s="80">
        <v>823</v>
      </c>
      <c r="K488" s="42">
        <v>15</v>
      </c>
    </row>
    <row r="489" spans="1:11" x14ac:dyDescent="0.25">
      <c r="A489" s="81">
        <v>2024103</v>
      </c>
      <c r="B489" s="78">
        <v>45352</v>
      </c>
      <c r="C489" s="79">
        <v>181</v>
      </c>
      <c r="D489" s="42" t="s">
        <v>1817</v>
      </c>
      <c r="E489" s="42" t="s">
        <v>1705</v>
      </c>
      <c r="F489" s="80">
        <v>900</v>
      </c>
      <c r="G489" s="80">
        <v>287</v>
      </c>
      <c r="H489" s="80">
        <v>0</v>
      </c>
      <c r="I489" s="42">
        <v>0</v>
      </c>
      <c r="J489" s="80">
        <v>1187</v>
      </c>
      <c r="K489" s="42" t="s">
        <v>1736</v>
      </c>
    </row>
    <row r="490" spans="1:11" x14ac:dyDescent="0.25">
      <c r="A490" s="81">
        <v>2024115</v>
      </c>
      <c r="B490" s="78">
        <v>45352</v>
      </c>
      <c r="C490" s="79">
        <v>180</v>
      </c>
      <c r="D490" s="42" t="s">
        <v>1815</v>
      </c>
      <c r="E490" s="42" t="s">
        <v>1706</v>
      </c>
      <c r="F490" s="80">
        <v>1187</v>
      </c>
      <c r="G490" s="80">
        <v>0</v>
      </c>
      <c r="H490" s="80">
        <v>0</v>
      </c>
      <c r="I490" s="42">
        <v>0</v>
      </c>
      <c r="J490" s="80">
        <v>1187</v>
      </c>
      <c r="K490" s="42" t="s">
        <v>1783</v>
      </c>
    </row>
    <row r="491" spans="1:11" x14ac:dyDescent="0.25">
      <c r="A491" s="81">
        <v>2024115</v>
      </c>
      <c r="B491" s="78">
        <v>45352</v>
      </c>
      <c r="C491" s="79">
        <v>179</v>
      </c>
      <c r="D491" s="42" t="s">
        <v>1815</v>
      </c>
      <c r="E491" s="42" t="s">
        <v>1708</v>
      </c>
      <c r="F491" s="80">
        <v>364</v>
      </c>
      <c r="G491" s="80">
        <v>0</v>
      </c>
      <c r="H491" s="80">
        <v>0</v>
      </c>
      <c r="I491" s="42" t="s">
        <v>1816</v>
      </c>
      <c r="J491" s="80">
        <v>364</v>
      </c>
      <c r="K491" s="42">
        <v>17</v>
      </c>
    </row>
    <row r="492" spans="1:11" x14ac:dyDescent="0.25">
      <c r="A492" s="81">
        <v>2024115</v>
      </c>
      <c r="B492" s="78">
        <v>45352</v>
      </c>
      <c r="C492" s="79">
        <v>178</v>
      </c>
      <c r="D492" s="42" t="s">
        <v>1815</v>
      </c>
      <c r="E492" s="42" t="s">
        <v>433</v>
      </c>
      <c r="F492" s="80">
        <v>823</v>
      </c>
      <c r="G492" s="80">
        <v>0</v>
      </c>
      <c r="H492" s="80">
        <v>0</v>
      </c>
      <c r="I492" s="42" t="s">
        <v>1727</v>
      </c>
      <c r="J492" s="80">
        <v>823</v>
      </c>
      <c r="K492" s="42">
        <v>14</v>
      </c>
    </row>
    <row r="493" spans="1:11" x14ac:dyDescent="0.25">
      <c r="A493" s="81">
        <v>2024108</v>
      </c>
      <c r="B493" s="78">
        <v>45352</v>
      </c>
      <c r="C493" s="79">
        <v>177</v>
      </c>
      <c r="D493" s="42" t="s">
        <v>1812</v>
      </c>
      <c r="E493" s="42" t="s">
        <v>1707</v>
      </c>
      <c r="F493" s="80">
        <v>0</v>
      </c>
      <c r="G493" s="80">
        <v>974</v>
      </c>
      <c r="H493" s="80">
        <v>0</v>
      </c>
      <c r="I493" s="42" t="s">
        <v>1727</v>
      </c>
      <c r="J493" s="80">
        <v>974</v>
      </c>
      <c r="K493" s="42">
        <v>169</v>
      </c>
    </row>
    <row r="494" spans="1:11" x14ac:dyDescent="0.25">
      <c r="A494" s="81">
        <v>2024108</v>
      </c>
      <c r="B494" s="78">
        <v>45352</v>
      </c>
      <c r="C494" s="79">
        <v>176</v>
      </c>
      <c r="D494" s="42" t="s">
        <v>1812</v>
      </c>
      <c r="E494" s="42" t="s">
        <v>433</v>
      </c>
      <c r="F494" s="80">
        <v>0</v>
      </c>
      <c r="G494" s="80">
        <v>1646</v>
      </c>
      <c r="H494" s="80">
        <v>0</v>
      </c>
      <c r="I494" s="42" t="s">
        <v>1813</v>
      </c>
      <c r="J494" s="80">
        <v>1646</v>
      </c>
      <c r="K494" s="42">
        <v>169</v>
      </c>
    </row>
    <row r="495" spans="1:11" x14ac:dyDescent="0.25">
      <c r="A495" s="81">
        <v>2024114</v>
      </c>
      <c r="B495" s="78">
        <v>45352</v>
      </c>
      <c r="C495" s="79">
        <v>175</v>
      </c>
      <c r="D495" s="42" t="s">
        <v>1810</v>
      </c>
      <c r="E495" s="42" t="s">
        <v>1708</v>
      </c>
      <c r="F495" s="80">
        <v>377</v>
      </c>
      <c r="G495" s="80">
        <v>0</v>
      </c>
      <c r="H495" s="80">
        <v>0</v>
      </c>
      <c r="I495" s="42" t="s">
        <v>1727</v>
      </c>
      <c r="J495" s="80">
        <v>377</v>
      </c>
      <c r="K495" s="42">
        <v>182</v>
      </c>
    </row>
    <row r="496" spans="1:11" x14ac:dyDescent="0.25">
      <c r="A496" s="81">
        <v>2024114</v>
      </c>
      <c r="B496" s="78">
        <v>45352</v>
      </c>
      <c r="C496" s="79">
        <v>174</v>
      </c>
      <c r="D496" s="42" t="s">
        <v>1810</v>
      </c>
      <c r="E496" s="42" t="s">
        <v>433</v>
      </c>
      <c r="F496" s="80">
        <v>823</v>
      </c>
      <c r="G496" s="80">
        <v>0</v>
      </c>
      <c r="H496" s="80">
        <v>0</v>
      </c>
      <c r="I496" s="42" t="s">
        <v>1727</v>
      </c>
      <c r="J496" s="80">
        <v>823</v>
      </c>
      <c r="K496" s="42">
        <v>180</v>
      </c>
    </row>
    <row r="497" spans="1:11" x14ac:dyDescent="0.25">
      <c r="A497" s="81">
        <v>2024114</v>
      </c>
      <c r="B497" s="78">
        <v>45352</v>
      </c>
      <c r="C497" s="79">
        <v>173</v>
      </c>
      <c r="D497" s="42" t="s">
        <v>1809</v>
      </c>
      <c r="E497" s="42" t="s">
        <v>1706</v>
      </c>
      <c r="F497" s="80">
        <v>1200</v>
      </c>
      <c r="G497" s="80">
        <v>0</v>
      </c>
      <c r="H497" s="80">
        <v>0</v>
      </c>
      <c r="I497" s="42">
        <v>0</v>
      </c>
      <c r="J497" s="80">
        <v>1200</v>
      </c>
      <c r="K497" s="42" t="s">
        <v>1736</v>
      </c>
    </row>
    <row r="498" spans="1:11" x14ac:dyDescent="0.25">
      <c r="A498" s="81">
        <v>2024104</v>
      </c>
      <c r="B498" s="78">
        <v>45352</v>
      </c>
      <c r="C498" s="79">
        <v>172</v>
      </c>
      <c r="D498" s="42" t="s">
        <v>1808</v>
      </c>
      <c r="E498" s="42" t="s">
        <v>1708</v>
      </c>
      <c r="F498" s="80">
        <v>0</v>
      </c>
      <c r="G498" s="80">
        <v>377</v>
      </c>
      <c r="H498" s="80">
        <v>0</v>
      </c>
      <c r="I498" s="42" t="s">
        <v>1727</v>
      </c>
      <c r="J498" s="80">
        <v>377</v>
      </c>
      <c r="K498" s="42">
        <v>190</v>
      </c>
    </row>
    <row r="499" spans="1:11" x14ac:dyDescent="0.25">
      <c r="A499" s="81">
        <v>2024104</v>
      </c>
      <c r="B499" s="78">
        <v>45352</v>
      </c>
      <c r="C499" s="79">
        <v>171</v>
      </c>
      <c r="D499" s="42" t="s">
        <v>1808</v>
      </c>
      <c r="E499" s="42" t="s">
        <v>433</v>
      </c>
      <c r="F499" s="80">
        <v>0</v>
      </c>
      <c r="G499" s="80">
        <v>823</v>
      </c>
      <c r="H499" s="80">
        <v>0</v>
      </c>
      <c r="I499" s="42" t="s">
        <v>1727</v>
      </c>
      <c r="J499" s="80">
        <v>823</v>
      </c>
      <c r="K499" s="42">
        <v>188</v>
      </c>
    </row>
    <row r="500" spans="1:11" x14ac:dyDescent="0.25">
      <c r="A500" s="81">
        <v>2024104</v>
      </c>
      <c r="B500" s="78">
        <v>45352</v>
      </c>
      <c r="C500" s="79">
        <v>170</v>
      </c>
      <c r="D500" s="42" t="s">
        <v>1808</v>
      </c>
      <c r="E500" s="42" t="s">
        <v>1706</v>
      </c>
      <c r="F500" s="80">
        <v>0</v>
      </c>
      <c r="G500" s="80">
        <v>1200</v>
      </c>
      <c r="H500" s="80">
        <v>0</v>
      </c>
      <c r="I500" s="42">
        <v>0</v>
      </c>
      <c r="J500" s="80">
        <v>1200</v>
      </c>
      <c r="K500" s="42" t="s">
        <v>1736</v>
      </c>
    </row>
    <row r="501" spans="1:11" x14ac:dyDescent="0.25">
      <c r="A501" s="81">
        <v>2024111</v>
      </c>
      <c r="B501" s="78">
        <v>45352</v>
      </c>
      <c r="C501" s="79">
        <v>169</v>
      </c>
      <c r="D501" s="42" t="s">
        <v>1807</v>
      </c>
      <c r="E501" s="42" t="s">
        <v>1706</v>
      </c>
      <c r="F501" s="80">
        <v>1200</v>
      </c>
      <c r="G501" s="80">
        <v>0</v>
      </c>
      <c r="H501" s="80">
        <v>0</v>
      </c>
      <c r="I501" s="42">
        <v>0</v>
      </c>
      <c r="J501" s="80">
        <v>1200</v>
      </c>
      <c r="K501" s="42" t="s">
        <v>1736</v>
      </c>
    </row>
    <row r="502" spans="1:11" x14ac:dyDescent="0.25">
      <c r="A502" s="81">
        <v>2024031</v>
      </c>
      <c r="B502" s="78">
        <v>45352</v>
      </c>
      <c r="C502" s="79">
        <v>168</v>
      </c>
      <c r="D502" s="42" t="s">
        <v>1804</v>
      </c>
      <c r="E502" s="42" t="s">
        <v>1708</v>
      </c>
      <c r="F502" s="80">
        <v>364</v>
      </c>
      <c r="G502" s="80">
        <v>0</v>
      </c>
      <c r="H502" s="80">
        <v>0</v>
      </c>
      <c r="I502" s="42" t="s">
        <v>1806</v>
      </c>
      <c r="J502" s="80">
        <v>364</v>
      </c>
      <c r="K502" s="42">
        <v>42</v>
      </c>
    </row>
    <row r="503" spans="1:11" x14ac:dyDescent="0.25">
      <c r="A503" s="81">
        <v>2024031</v>
      </c>
      <c r="B503" s="78">
        <v>45352</v>
      </c>
      <c r="C503" s="79">
        <v>167</v>
      </c>
      <c r="D503" s="42" t="s">
        <v>1804</v>
      </c>
      <c r="E503" s="42" t="s">
        <v>433</v>
      </c>
      <c r="F503" s="80">
        <v>823</v>
      </c>
      <c r="G503" s="80">
        <v>0</v>
      </c>
      <c r="H503" s="80">
        <v>0</v>
      </c>
      <c r="I503" s="42" t="s">
        <v>1805</v>
      </c>
      <c r="J503" s="80">
        <v>823</v>
      </c>
      <c r="K503" s="42">
        <v>38</v>
      </c>
    </row>
    <row r="504" spans="1:11" x14ac:dyDescent="0.25">
      <c r="A504" s="81">
        <v>2024113</v>
      </c>
      <c r="B504" s="78">
        <v>45352</v>
      </c>
      <c r="C504" s="79">
        <v>166</v>
      </c>
      <c r="D504" s="42" t="s">
        <v>1803</v>
      </c>
      <c r="E504" s="42" t="s">
        <v>1705</v>
      </c>
      <c r="F504" s="80">
        <v>0</v>
      </c>
      <c r="G504" s="80">
        <v>2400</v>
      </c>
      <c r="H504" s="80">
        <v>0</v>
      </c>
      <c r="I504" s="42">
        <v>0</v>
      </c>
      <c r="J504" s="80">
        <v>2400</v>
      </c>
      <c r="K504" s="42" t="s">
        <v>1736</v>
      </c>
    </row>
    <row r="505" spans="1:11" x14ac:dyDescent="0.25">
      <c r="A505" s="81">
        <v>2024112</v>
      </c>
      <c r="B505" s="78">
        <v>45352</v>
      </c>
      <c r="C505" s="79">
        <v>165</v>
      </c>
      <c r="D505" s="42" t="s">
        <v>1801</v>
      </c>
      <c r="E505" s="42" t="s">
        <v>1707</v>
      </c>
      <c r="F505" s="80">
        <v>627</v>
      </c>
      <c r="G505" s="80">
        <v>0</v>
      </c>
      <c r="H505" s="80">
        <v>0</v>
      </c>
      <c r="I505" s="42" t="s">
        <v>1727</v>
      </c>
      <c r="J505" s="80">
        <v>627</v>
      </c>
      <c r="K505" s="42">
        <v>0</v>
      </c>
    </row>
    <row r="506" spans="1:11" x14ac:dyDescent="0.25">
      <c r="A506" s="81">
        <v>2024112</v>
      </c>
      <c r="B506" s="78">
        <v>45352</v>
      </c>
      <c r="C506" s="79">
        <v>164</v>
      </c>
      <c r="D506" s="42" t="s">
        <v>1801</v>
      </c>
      <c r="E506" s="42" t="s">
        <v>433</v>
      </c>
      <c r="F506" s="80">
        <v>823</v>
      </c>
      <c r="G506" s="80">
        <v>0</v>
      </c>
      <c r="H506" s="80">
        <v>0</v>
      </c>
      <c r="I506" s="42" t="s">
        <v>1727</v>
      </c>
      <c r="J506" s="80">
        <v>823</v>
      </c>
      <c r="K506" s="42">
        <v>0</v>
      </c>
    </row>
    <row r="507" spans="1:11" x14ac:dyDescent="0.25">
      <c r="A507" s="81">
        <v>2024028</v>
      </c>
      <c r="B507" s="78">
        <v>45352</v>
      </c>
      <c r="C507" s="79">
        <v>163</v>
      </c>
      <c r="D507" s="42" t="s">
        <v>1802</v>
      </c>
      <c r="E507" s="42" t="s">
        <v>1705</v>
      </c>
      <c r="F507" s="80">
        <v>0</v>
      </c>
      <c r="G507" s="80">
        <v>2600</v>
      </c>
      <c r="H507" s="80">
        <v>0</v>
      </c>
      <c r="I507" s="42">
        <v>0</v>
      </c>
      <c r="J507" s="80">
        <v>2600</v>
      </c>
      <c r="K507" s="42" t="s">
        <v>1736</v>
      </c>
    </row>
    <row r="508" spans="1:11" x14ac:dyDescent="0.25">
      <c r="A508" s="81">
        <v>2024112</v>
      </c>
      <c r="B508" s="78">
        <v>45352</v>
      </c>
      <c r="C508" s="79">
        <v>162</v>
      </c>
      <c r="D508" s="42" t="s">
        <v>1801</v>
      </c>
      <c r="E508" s="42" t="s">
        <v>1705</v>
      </c>
      <c r="F508" s="80">
        <v>1450</v>
      </c>
      <c r="G508" s="80">
        <v>0</v>
      </c>
      <c r="H508" s="80">
        <v>0</v>
      </c>
      <c r="I508" s="42">
        <v>0</v>
      </c>
      <c r="J508" s="80">
        <v>1450</v>
      </c>
      <c r="K508" s="42" t="s">
        <v>1736</v>
      </c>
    </row>
    <row r="509" spans="1:11" x14ac:dyDescent="0.25">
      <c r="A509" s="81">
        <v>2024093</v>
      </c>
      <c r="B509" s="78">
        <v>45352</v>
      </c>
      <c r="C509" s="79">
        <v>161</v>
      </c>
      <c r="D509" s="42" t="s">
        <v>1797</v>
      </c>
      <c r="E509" s="42" t="s">
        <v>1799</v>
      </c>
      <c r="F509" s="80">
        <v>40</v>
      </c>
      <c r="G509" s="80">
        <v>0</v>
      </c>
      <c r="H509" s="80">
        <v>0</v>
      </c>
      <c r="I509" s="42" t="s">
        <v>1800</v>
      </c>
      <c r="J509" s="80">
        <v>40</v>
      </c>
      <c r="K509" s="42" t="s">
        <v>1798</v>
      </c>
    </row>
    <row r="510" spans="1:11" x14ac:dyDescent="0.25">
      <c r="A510" s="81">
        <v>2024093</v>
      </c>
      <c r="B510" s="78">
        <v>45352</v>
      </c>
      <c r="C510" s="79">
        <v>160</v>
      </c>
      <c r="D510" s="42" t="s">
        <v>1797</v>
      </c>
      <c r="E510" s="42" t="s">
        <v>1705</v>
      </c>
      <c r="F510" s="80">
        <v>0</v>
      </c>
      <c r="G510" s="80">
        <v>1433</v>
      </c>
      <c r="H510" s="80">
        <v>0</v>
      </c>
      <c r="I510" s="42">
        <v>0</v>
      </c>
      <c r="J510" s="80">
        <v>1433</v>
      </c>
      <c r="K510" s="42" t="s">
        <v>1736</v>
      </c>
    </row>
    <row r="511" spans="1:11" x14ac:dyDescent="0.25">
      <c r="A511" s="81">
        <v>2024024</v>
      </c>
      <c r="B511" s="78">
        <v>45352</v>
      </c>
      <c r="C511" s="79">
        <v>159</v>
      </c>
      <c r="D511" s="42" t="s">
        <v>1795</v>
      </c>
      <c r="E511" s="42" t="s">
        <v>1707</v>
      </c>
      <c r="F511" s="80">
        <v>610</v>
      </c>
      <c r="G511" s="80">
        <v>0</v>
      </c>
      <c r="H511" s="80">
        <v>0</v>
      </c>
      <c r="I511" s="42" t="s">
        <v>1796</v>
      </c>
      <c r="J511" s="80">
        <v>610</v>
      </c>
      <c r="K511" s="42">
        <v>40</v>
      </c>
    </row>
    <row r="512" spans="1:11" x14ac:dyDescent="0.25">
      <c r="A512" s="81">
        <v>2024024</v>
      </c>
      <c r="B512" s="78">
        <v>45352</v>
      </c>
      <c r="C512" s="79">
        <v>158</v>
      </c>
      <c r="D512" s="42" t="s">
        <v>1795</v>
      </c>
      <c r="E512" s="42" t="s">
        <v>433</v>
      </c>
      <c r="F512" s="80">
        <v>823</v>
      </c>
      <c r="G512" s="80">
        <v>0</v>
      </c>
      <c r="H512" s="80">
        <v>0</v>
      </c>
      <c r="I512" s="42" t="s">
        <v>1748</v>
      </c>
      <c r="J512" s="80">
        <v>823</v>
      </c>
      <c r="K512" s="42">
        <v>36</v>
      </c>
    </row>
    <row r="513" spans="1:11" x14ac:dyDescent="0.25">
      <c r="A513" s="81">
        <v>2024088</v>
      </c>
      <c r="B513" s="78">
        <v>45351</v>
      </c>
      <c r="C513" s="79">
        <v>157</v>
      </c>
      <c r="D513" s="42" t="s">
        <v>1794</v>
      </c>
      <c r="E513" s="42" t="s">
        <v>1707</v>
      </c>
      <c r="F513" s="80">
        <v>6100</v>
      </c>
      <c r="G513" s="80">
        <v>0</v>
      </c>
      <c r="H513" s="80">
        <v>0</v>
      </c>
      <c r="I513" s="42" t="s">
        <v>1753</v>
      </c>
      <c r="J513" s="80">
        <v>6100</v>
      </c>
      <c r="K513" s="42" t="s">
        <v>244</v>
      </c>
    </row>
    <row r="514" spans="1:11" x14ac:dyDescent="0.25">
      <c r="A514" s="81">
        <v>2024088</v>
      </c>
      <c r="B514" s="78">
        <v>45351</v>
      </c>
      <c r="C514" s="79">
        <v>156</v>
      </c>
      <c r="D514" s="42" t="s">
        <v>1794</v>
      </c>
      <c r="E514" s="42" t="s">
        <v>433</v>
      </c>
      <c r="F514" s="80">
        <v>3900</v>
      </c>
      <c r="G514" s="80">
        <v>0</v>
      </c>
      <c r="H514" s="80">
        <v>0</v>
      </c>
      <c r="I514" s="42" t="s">
        <v>1753</v>
      </c>
      <c r="J514" s="80">
        <v>3900</v>
      </c>
      <c r="K514" s="42" t="s">
        <v>244</v>
      </c>
    </row>
    <row r="515" spans="1:11" x14ac:dyDescent="0.25">
      <c r="A515" s="81">
        <v>2024089</v>
      </c>
      <c r="B515" s="78">
        <v>45351</v>
      </c>
      <c r="C515" s="79">
        <v>155</v>
      </c>
      <c r="D515" s="42" t="s">
        <v>1793</v>
      </c>
      <c r="E515" s="42" t="s">
        <v>1707</v>
      </c>
      <c r="F515" s="80">
        <v>0</v>
      </c>
      <c r="G515" s="80">
        <v>1220</v>
      </c>
      <c r="H515" s="80">
        <v>0</v>
      </c>
      <c r="I515" s="42" t="s">
        <v>1727</v>
      </c>
      <c r="J515" s="80">
        <v>1220</v>
      </c>
      <c r="K515" s="42">
        <v>0</v>
      </c>
    </row>
    <row r="516" spans="1:11" x14ac:dyDescent="0.25">
      <c r="A516" s="81">
        <v>2024092</v>
      </c>
      <c r="B516" s="78">
        <v>45351</v>
      </c>
      <c r="C516" s="79">
        <v>154</v>
      </c>
      <c r="D516" s="42" t="s">
        <v>1793</v>
      </c>
      <c r="E516" s="42" t="s">
        <v>433</v>
      </c>
      <c r="F516" s="80">
        <v>0</v>
      </c>
      <c r="G516" s="80">
        <v>1480</v>
      </c>
      <c r="H516" s="80">
        <v>0</v>
      </c>
      <c r="I516" s="42" t="s">
        <v>1727</v>
      </c>
      <c r="J516" s="80">
        <v>1480</v>
      </c>
      <c r="K516" s="42" t="s">
        <v>244</v>
      </c>
    </row>
    <row r="517" spans="1:11" x14ac:dyDescent="0.25">
      <c r="A517" s="81">
        <v>2024089</v>
      </c>
      <c r="B517" s="78">
        <v>45351</v>
      </c>
      <c r="C517" s="79">
        <v>153</v>
      </c>
      <c r="D517" s="42" t="s">
        <v>1791</v>
      </c>
      <c r="E517" s="42" t="s">
        <v>1707</v>
      </c>
      <c r="F517" s="80">
        <v>820</v>
      </c>
      <c r="G517" s="80">
        <v>0</v>
      </c>
      <c r="H517" s="80">
        <v>0</v>
      </c>
      <c r="I517" s="42" t="s">
        <v>1792</v>
      </c>
      <c r="J517" s="80">
        <v>820</v>
      </c>
      <c r="K517" s="42">
        <v>0</v>
      </c>
    </row>
    <row r="518" spans="1:11" x14ac:dyDescent="0.25">
      <c r="A518" s="81">
        <v>2024089</v>
      </c>
      <c r="B518" s="78">
        <v>45351</v>
      </c>
      <c r="C518" s="79">
        <v>152</v>
      </c>
      <c r="D518" s="42" t="s">
        <v>1791</v>
      </c>
      <c r="E518" s="42" t="s">
        <v>433</v>
      </c>
      <c r="F518" s="80">
        <v>1180</v>
      </c>
      <c r="G518" s="80">
        <v>0</v>
      </c>
      <c r="H518" s="80">
        <v>0</v>
      </c>
      <c r="I518" s="42" t="s">
        <v>1727</v>
      </c>
      <c r="J518" s="80">
        <v>1180</v>
      </c>
      <c r="K518" s="42" t="s">
        <v>244</v>
      </c>
    </row>
    <row r="519" spans="1:11" x14ac:dyDescent="0.25">
      <c r="A519" s="81">
        <v>2024084</v>
      </c>
      <c r="B519" s="78">
        <v>45351</v>
      </c>
      <c r="C519" s="79">
        <v>151</v>
      </c>
      <c r="D519" s="42" t="s">
        <v>1790</v>
      </c>
      <c r="E519" s="42" t="s">
        <v>1708</v>
      </c>
      <c r="F519" s="80">
        <v>0</v>
      </c>
      <c r="G519" s="80">
        <v>1187</v>
      </c>
      <c r="H519" s="80">
        <v>0</v>
      </c>
      <c r="I519" s="42">
        <v>0</v>
      </c>
      <c r="J519" s="80">
        <v>1187</v>
      </c>
      <c r="K519" s="42" t="s">
        <v>1783</v>
      </c>
    </row>
    <row r="520" spans="1:11" x14ac:dyDescent="0.25">
      <c r="A520" s="81">
        <v>2024090</v>
      </c>
      <c r="B520" s="78">
        <v>45351</v>
      </c>
      <c r="C520" s="79">
        <v>150</v>
      </c>
      <c r="D520" s="42" t="s">
        <v>1789</v>
      </c>
      <c r="E520" s="42" t="s">
        <v>1706</v>
      </c>
      <c r="F520" s="80">
        <v>0</v>
      </c>
      <c r="G520" s="80">
        <v>1250</v>
      </c>
      <c r="H520" s="80">
        <v>0</v>
      </c>
      <c r="I520" s="42">
        <v>0</v>
      </c>
      <c r="J520" s="80">
        <v>1250</v>
      </c>
      <c r="K520" s="42" t="s">
        <v>1783</v>
      </c>
    </row>
    <row r="521" spans="1:11" x14ac:dyDescent="0.25">
      <c r="A521" s="81">
        <v>2024096</v>
      </c>
      <c r="B521" s="78">
        <v>45351</v>
      </c>
      <c r="C521" s="79">
        <v>149</v>
      </c>
      <c r="D521" s="42" t="s">
        <v>1785</v>
      </c>
      <c r="E521" s="42" t="s">
        <v>1708</v>
      </c>
      <c r="F521" s="80">
        <v>14</v>
      </c>
      <c r="G521" s="80">
        <v>0</v>
      </c>
      <c r="H521" s="80">
        <v>0</v>
      </c>
      <c r="I521" s="42" t="s">
        <v>1788</v>
      </c>
      <c r="J521" s="80">
        <v>14</v>
      </c>
      <c r="K521" s="42">
        <v>0</v>
      </c>
    </row>
    <row r="522" spans="1:11" x14ac:dyDescent="0.25">
      <c r="A522" s="81">
        <v>2024095</v>
      </c>
      <c r="B522" s="78">
        <v>45351</v>
      </c>
      <c r="C522" s="79">
        <v>148</v>
      </c>
      <c r="D522" s="42" t="s">
        <v>1785</v>
      </c>
      <c r="E522" s="42" t="s">
        <v>1707</v>
      </c>
      <c r="F522" s="80">
        <v>364</v>
      </c>
      <c r="G522" s="80">
        <v>0</v>
      </c>
      <c r="H522" s="80">
        <v>0</v>
      </c>
      <c r="I522" s="42" t="s">
        <v>1727</v>
      </c>
      <c r="J522" s="80">
        <v>364</v>
      </c>
      <c r="K522" s="42" t="s">
        <v>244</v>
      </c>
    </row>
    <row r="523" spans="1:11" x14ac:dyDescent="0.25">
      <c r="A523" s="81">
        <v>2024095</v>
      </c>
      <c r="B523" s="78">
        <v>45351</v>
      </c>
      <c r="C523" s="79">
        <v>147</v>
      </c>
      <c r="D523" s="42" t="s">
        <v>1785</v>
      </c>
      <c r="E523" s="42" t="s">
        <v>433</v>
      </c>
      <c r="F523" s="80">
        <v>823</v>
      </c>
      <c r="G523" s="80">
        <v>0</v>
      </c>
      <c r="H523" s="80">
        <v>0</v>
      </c>
      <c r="I523" s="42">
        <v>0</v>
      </c>
      <c r="J523" s="80">
        <v>823</v>
      </c>
      <c r="K523" s="42" t="s">
        <v>244</v>
      </c>
    </row>
    <row r="524" spans="1:11" x14ac:dyDescent="0.25">
      <c r="A524" s="81">
        <v>2024094</v>
      </c>
      <c r="B524" s="78">
        <v>45351</v>
      </c>
      <c r="C524" s="79">
        <v>146</v>
      </c>
      <c r="D524" s="42" t="s">
        <v>1785</v>
      </c>
      <c r="E524" s="42" t="s">
        <v>1707</v>
      </c>
      <c r="F524" s="80">
        <v>426</v>
      </c>
      <c r="G524" s="80">
        <v>0</v>
      </c>
      <c r="H524" s="80">
        <v>0</v>
      </c>
      <c r="I524" s="42" t="s">
        <v>1787</v>
      </c>
      <c r="J524" s="80">
        <v>426</v>
      </c>
      <c r="K524" s="42" t="s">
        <v>244</v>
      </c>
    </row>
    <row r="525" spans="1:11" x14ac:dyDescent="0.25">
      <c r="A525" s="81">
        <v>2024094</v>
      </c>
      <c r="B525" s="78">
        <v>45351</v>
      </c>
      <c r="C525" s="79">
        <v>145</v>
      </c>
      <c r="D525" s="42" t="s">
        <v>1785</v>
      </c>
      <c r="E525" s="42" t="s">
        <v>433</v>
      </c>
      <c r="F525" s="80">
        <v>823</v>
      </c>
      <c r="G525" s="80">
        <v>0</v>
      </c>
      <c r="H525" s="80">
        <v>0</v>
      </c>
      <c r="I525" s="42" t="s">
        <v>1786</v>
      </c>
      <c r="J525" s="80">
        <v>823</v>
      </c>
      <c r="K525" s="42" t="s">
        <v>244</v>
      </c>
    </row>
    <row r="526" spans="1:11" x14ac:dyDescent="0.25">
      <c r="A526" s="81">
        <v>2024099</v>
      </c>
      <c r="B526" s="78">
        <v>45351</v>
      </c>
      <c r="C526" s="79">
        <v>144</v>
      </c>
      <c r="D526" s="42" t="s">
        <v>1784</v>
      </c>
      <c r="E526" s="42" t="s">
        <v>1707</v>
      </c>
      <c r="F526" s="80">
        <v>610</v>
      </c>
      <c r="G526" s="80">
        <v>0</v>
      </c>
      <c r="H526" s="80">
        <v>0</v>
      </c>
      <c r="I526" s="42" t="s">
        <v>1727</v>
      </c>
      <c r="J526" s="80">
        <v>610</v>
      </c>
      <c r="K526" s="42">
        <v>183</v>
      </c>
    </row>
    <row r="527" spans="1:11" x14ac:dyDescent="0.25">
      <c r="A527" s="81">
        <v>2024099</v>
      </c>
      <c r="B527" s="78">
        <v>45351</v>
      </c>
      <c r="C527" s="79">
        <v>143</v>
      </c>
      <c r="D527" s="42" t="s">
        <v>1784</v>
      </c>
      <c r="E527" s="42" t="s">
        <v>433</v>
      </c>
      <c r="F527" s="80">
        <v>823</v>
      </c>
      <c r="G527" s="80">
        <v>0</v>
      </c>
      <c r="H527" s="80">
        <v>0</v>
      </c>
      <c r="I527" s="42" t="s">
        <v>1727</v>
      </c>
      <c r="J527" s="80">
        <v>823</v>
      </c>
      <c r="K527" s="42">
        <v>181</v>
      </c>
    </row>
    <row r="528" spans="1:11" x14ac:dyDescent="0.25">
      <c r="A528" s="81">
        <v>2024085</v>
      </c>
      <c r="B528" s="78">
        <v>45351</v>
      </c>
      <c r="C528" s="79">
        <v>142</v>
      </c>
      <c r="D528" s="42" t="s">
        <v>1782</v>
      </c>
      <c r="E528" s="42" t="s">
        <v>1706</v>
      </c>
      <c r="F528" s="80">
        <v>2160</v>
      </c>
      <c r="G528" s="80">
        <v>0</v>
      </c>
      <c r="H528" s="80">
        <v>0</v>
      </c>
      <c r="I528" s="42">
        <v>0</v>
      </c>
      <c r="J528" s="80">
        <v>2160</v>
      </c>
      <c r="K528" s="42" t="s">
        <v>1783</v>
      </c>
    </row>
    <row r="529" spans="1:11" x14ac:dyDescent="0.25">
      <c r="A529" s="81">
        <v>2024086</v>
      </c>
      <c r="B529" s="78">
        <v>45351</v>
      </c>
      <c r="C529" s="79">
        <v>141</v>
      </c>
      <c r="D529" s="42" t="s">
        <v>1781</v>
      </c>
      <c r="E529" s="42" t="s">
        <v>1706</v>
      </c>
      <c r="F529" s="80">
        <v>1200</v>
      </c>
      <c r="G529" s="80">
        <v>0</v>
      </c>
      <c r="H529" s="80">
        <v>0</v>
      </c>
      <c r="I529" s="42">
        <v>0</v>
      </c>
      <c r="J529" s="80">
        <v>1200</v>
      </c>
      <c r="K529" s="42" t="s">
        <v>1736</v>
      </c>
    </row>
    <row r="530" spans="1:11" x14ac:dyDescent="0.25">
      <c r="A530" s="81">
        <v>2024097</v>
      </c>
      <c r="B530" s="78">
        <v>45351</v>
      </c>
      <c r="C530" s="79">
        <v>140</v>
      </c>
      <c r="D530" s="42" t="s">
        <v>1780</v>
      </c>
      <c r="E530" s="42" t="s">
        <v>1707</v>
      </c>
      <c r="F530" s="80">
        <v>610</v>
      </c>
      <c r="G530" s="80">
        <v>0</v>
      </c>
      <c r="H530" s="80">
        <v>0</v>
      </c>
      <c r="I530" s="42" t="s">
        <v>1727</v>
      </c>
      <c r="J530" s="80">
        <v>610</v>
      </c>
      <c r="K530" s="42" t="s">
        <v>244</v>
      </c>
    </row>
    <row r="531" spans="1:11" x14ac:dyDescent="0.25">
      <c r="A531" s="81">
        <v>2024097</v>
      </c>
      <c r="B531" s="78">
        <v>45351</v>
      </c>
      <c r="C531" s="79">
        <v>139</v>
      </c>
      <c r="D531" s="42" t="s">
        <v>1780</v>
      </c>
      <c r="E531" s="42" t="s">
        <v>433</v>
      </c>
      <c r="F531" s="80">
        <v>823</v>
      </c>
      <c r="G531" s="80">
        <v>0</v>
      </c>
      <c r="H531" s="80">
        <v>0</v>
      </c>
      <c r="I531" s="42" t="s">
        <v>1727</v>
      </c>
      <c r="J531" s="80">
        <v>823</v>
      </c>
      <c r="K531" s="42" t="s">
        <v>244</v>
      </c>
    </row>
    <row r="532" spans="1:11" x14ac:dyDescent="0.25">
      <c r="A532" s="81">
        <v>2024097</v>
      </c>
      <c r="B532" s="78">
        <v>45351</v>
      </c>
      <c r="C532" s="79">
        <v>138</v>
      </c>
      <c r="D532" s="42" t="s">
        <v>1780</v>
      </c>
      <c r="E532" s="42" t="s">
        <v>1705</v>
      </c>
      <c r="F532" s="80">
        <v>1433</v>
      </c>
      <c r="G532" s="80">
        <v>0</v>
      </c>
      <c r="H532" s="80">
        <v>0</v>
      </c>
      <c r="I532" s="42">
        <v>0</v>
      </c>
      <c r="J532" s="80">
        <v>1433</v>
      </c>
      <c r="K532" s="42" t="s">
        <v>1736</v>
      </c>
    </row>
    <row r="533" spans="1:11" x14ac:dyDescent="0.25">
      <c r="A533" s="81">
        <v>2024082</v>
      </c>
      <c r="B533" s="78">
        <v>45351</v>
      </c>
      <c r="C533" s="79">
        <v>137</v>
      </c>
      <c r="D533" s="42" t="s">
        <v>1779</v>
      </c>
      <c r="E533" s="42" t="s">
        <v>1708</v>
      </c>
      <c r="F533" s="80">
        <v>0</v>
      </c>
      <c r="G533" s="80">
        <v>364</v>
      </c>
      <c r="H533" s="80">
        <v>0</v>
      </c>
      <c r="I533" s="42" t="s">
        <v>1727</v>
      </c>
      <c r="J533" s="80">
        <v>364</v>
      </c>
      <c r="K533" s="42">
        <v>27</v>
      </c>
    </row>
    <row r="534" spans="1:11" x14ac:dyDescent="0.25">
      <c r="A534" s="81">
        <v>2024082</v>
      </c>
      <c r="B534" s="78">
        <v>45351</v>
      </c>
      <c r="C534" s="79">
        <v>136</v>
      </c>
      <c r="D534" s="42" t="s">
        <v>1779</v>
      </c>
      <c r="E534" s="42" t="s">
        <v>433</v>
      </c>
      <c r="F534" s="80">
        <v>0</v>
      </c>
      <c r="G534" s="80">
        <v>823</v>
      </c>
      <c r="H534" s="80">
        <v>0</v>
      </c>
      <c r="I534" s="42" t="s">
        <v>1727</v>
      </c>
      <c r="J534" s="80">
        <v>823</v>
      </c>
      <c r="K534" s="42">
        <v>24</v>
      </c>
    </row>
    <row r="535" spans="1:11" x14ac:dyDescent="0.25">
      <c r="A535" s="81">
        <v>2024082</v>
      </c>
      <c r="B535" s="78">
        <v>45351</v>
      </c>
      <c r="C535" s="79">
        <v>135</v>
      </c>
      <c r="D535" s="42" t="s">
        <v>1779</v>
      </c>
      <c r="E535" s="42" t="s">
        <v>1706</v>
      </c>
      <c r="F535" s="80">
        <v>1187</v>
      </c>
      <c r="G535" s="80">
        <v>0</v>
      </c>
      <c r="H535" s="80">
        <v>0</v>
      </c>
      <c r="I535" s="42">
        <v>0</v>
      </c>
      <c r="J535" s="80">
        <v>1187</v>
      </c>
      <c r="K535" s="42" t="s">
        <v>1736</v>
      </c>
    </row>
    <row r="536" spans="1:11" x14ac:dyDescent="0.25">
      <c r="A536" s="81">
        <v>2024081</v>
      </c>
      <c r="B536" s="78">
        <v>45351</v>
      </c>
      <c r="C536" s="79">
        <v>134</v>
      </c>
      <c r="D536" s="42" t="s">
        <v>1778</v>
      </c>
      <c r="E536" s="42" t="s">
        <v>1707</v>
      </c>
      <c r="F536" s="80">
        <v>1220</v>
      </c>
      <c r="G536" s="80">
        <v>0</v>
      </c>
      <c r="H536" s="80">
        <v>0</v>
      </c>
      <c r="I536" s="42" t="s">
        <v>1733</v>
      </c>
      <c r="J536" s="80">
        <v>1220</v>
      </c>
      <c r="K536" s="42" t="s">
        <v>244</v>
      </c>
    </row>
    <row r="537" spans="1:11" x14ac:dyDescent="0.25">
      <c r="A537" s="81">
        <v>2024081</v>
      </c>
      <c r="B537" s="78">
        <v>45351</v>
      </c>
      <c r="C537" s="79">
        <v>133</v>
      </c>
      <c r="D537" s="42" t="s">
        <v>1778</v>
      </c>
      <c r="E537" s="42" t="s">
        <v>433</v>
      </c>
      <c r="F537" s="80">
        <v>1380</v>
      </c>
      <c r="G537" s="80">
        <v>0</v>
      </c>
      <c r="H537" s="80">
        <v>0</v>
      </c>
      <c r="I537" s="42" t="s">
        <v>1733</v>
      </c>
      <c r="J537" s="80">
        <v>1380</v>
      </c>
      <c r="K537" s="42" t="s">
        <v>244</v>
      </c>
    </row>
    <row r="538" spans="1:11" x14ac:dyDescent="0.25">
      <c r="A538" s="81">
        <v>2024079</v>
      </c>
      <c r="B538" s="78">
        <v>45351</v>
      </c>
      <c r="C538" s="79">
        <v>132</v>
      </c>
      <c r="D538" s="42" t="s">
        <v>1777</v>
      </c>
      <c r="E538" s="42" t="s">
        <v>1707</v>
      </c>
      <c r="F538" s="80">
        <v>0</v>
      </c>
      <c r="G538" s="80">
        <v>610</v>
      </c>
      <c r="H538" s="80">
        <v>0</v>
      </c>
      <c r="I538" s="42" t="s">
        <v>1727</v>
      </c>
      <c r="J538" s="80">
        <v>610</v>
      </c>
      <c r="K538" s="42" t="s">
        <v>244</v>
      </c>
    </row>
    <row r="539" spans="1:11" x14ac:dyDescent="0.25">
      <c r="A539" s="81">
        <v>2024079</v>
      </c>
      <c r="B539" s="78">
        <v>45351</v>
      </c>
      <c r="C539" s="79">
        <v>131</v>
      </c>
      <c r="D539" s="42" t="s">
        <v>1777</v>
      </c>
      <c r="E539" s="42" t="s">
        <v>433</v>
      </c>
      <c r="F539" s="80">
        <v>400</v>
      </c>
      <c r="G539" s="80">
        <v>290</v>
      </c>
      <c r="H539" s="80">
        <v>0</v>
      </c>
      <c r="I539" s="42" t="s">
        <v>1727</v>
      </c>
      <c r="J539" s="80">
        <v>690</v>
      </c>
      <c r="K539" s="42" t="s">
        <v>244</v>
      </c>
    </row>
    <row r="540" spans="1:11" x14ac:dyDescent="0.25">
      <c r="A540" s="81">
        <v>2024080</v>
      </c>
      <c r="B540" s="78">
        <v>45351</v>
      </c>
      <c r="C540" s="79">
        <v>130</v>
      </c>
      <c r="D540" s="42" t="s">
        <v>1776</v>
      </c>
      <c r="E540" s="42" t="s">
        <v>1730</v>
      </c>
      <c r="F540" s="80">
        <v>1604</v>
      </c>
      <c r="G540" s="80">
        <v>0</v>
      </c>
      <c r="H540" s="80">
        <v>0</v>
      </c>
      <c r="I540" s="42" t="s">
        <v>1727</v>
      </c>
      <c r="J540" s="80">
        <v>1604</v>
      </c>
      <c r="K540" s="42">
        <v>15</v>
      </c>
    </row>
    <row r="541" spans="1:11" x14ac:dyDescent="0.25">
      <c r="A541" s="81">
        <v>2024080</v>
      </c>
      <c r="B541" s="78">
        <v>45351</v>
      </c>
      <c r="C541" s="79">
        <v>129</v>
      </c>
      <c r="D541" s="42" t="s">
        <v>1776</v>
      </c>
      <c r="E541" s="42" t="s">
        <v>433</v>
      </c>
      <c r="F541" s="80">
        <v>1646</v>
      </c>
      <c r="G541" s="80">
        <v>0</v>
      </c>
      <c r="H541" s="80">
        <v>0</v>
      </c>
      <c r="I541" s="42" t="s">
        <v>1727</v>
      </c>
      <c r="J541" s="80">
        <v>1646</v>
      </c>
      <c r="K541" s="42">
        <v>12</v>
      </c>
    </row>
    <row r="542" spans="1:11" x14ac:dyDescent="0.25">
      <c r="A542" s="81">
        <v>2024080</v>
      </c>
      <c r="B542" s="78">
        <v>45351</v>
      </c>
      <c r="C542" s="79">
        <v>128</v>
      </c>
      <c r="D542" s="42" t="s">
        <v>1776</v>
      </c>
      <c r="E542" s="42" t="s">
        <v>1730</v>
      </c>
      <c r="F542" s="80">
        <v>3250</v>
      </c>
      <c r="G542" s="80">
        <v>0</v>
      </c>
      <c r="H542" s="80">
        <v>0</v>
      </c>
      <c r="I542" s="42">
        <v>0</v>
      </c>
      <c r="J542" s="80">
        <v>3250</v>
      </c>
      <c r="K542" s="42" t="s">
        <v>1736</v>
      </c>
    </row>
    <row r="543" spans="1:11" x14ac:dyDescent="0.25">
      <c r="A543" s="81">
        <v>2024075</v>
      </c>
      <c r="B543" s="78">
        <v>45351</v>
      </c>
      <c r="C543" s="79">
        <v>126</v>
      </c>
      <c r="D543" s="42" t="s">
        <v>1775</v>
      </c>
      <c r="E543" s="42" t="s">
        <v>1705</v>
      </c>
      <c r="F543" s="80">
        <v>0</v>
      </c>
      <c r="G543" s="80">
        <v>1433</v>
      </c>
      <c r="H543" s="80">
        <v>0</v>
      </c>
      <c r="I543" s="42">
        <v>0</v>
      </c>
      <c r="J543" s="80">
        <v>1433</v>
      </c>
      <c r="K543" s="42" t="s">
        <v>1736</v>
      </c>
    </row>
    <row r="544" spans="1:11" x14ac:dyDescent="0.25">
      <c r="A544" s="81">
        <v>2024046</v>
      </c>
      <c r="B544" s="78">
        <v>45351</v>
      </c>
      <c r="C544" s="79">
        <v>125</v>
      </c>
      <c r="D544" s="42" t="s">
        <v>1774</v>
      </c>
      <c r="E544" s="42" t="s">
        <v>1731</v>
      </c>
      <c r="F544" s="80">
        <v>0</v>
      </c>
      <c r="G544" s="80">
        <v>728</v>
      </c>
      <c r="H544" s="80">
        <v>0</v>
      </c>
      <c r="I544" s="42" t="s">
        <v>1727</v>
      </c>
      <c r="J544" s="80">
        <v>728</v>
      </c>
      <c r="K544" s="42">
        <v>24</v>
      </c>
    </row>
    <row r="545" spans="1:11" x14ac:dyDescent="0.25">
      <c r="A545" s="81">
        <v>2024046</v>
      </c>
      <c r="B545" s="78">
        <v>45351</v>
      </c>
      <c r="C545" s="79">
        <v>124</v>
      </c>
      <c r="D545" s="42" t="s">
        <v>1774</v>
      </c>
      <c r="E545" s="42" t="s">
        <v>433</v>
      </c>
      <c r="F545" s="80">
        <v>0</v>
      </c>
      <c r="G545" s="80">
        <v>1646</v>
      </c>
      <c r="H545" s="80">
        <v>0</v>
      </c>
      <c r="I545" s="42" t="s">
        <v>1727</v>
      </c>
      <c r="J545" s="80">
        <v>1646</v>
      </c>
      <c r="K545" s="42">
        <v>21</v>
      </c>
    </row>
    <row r="546" spans="1:11" x14ac:dyDescent="0.25">
      <c r="A546" s="81">
        <v>2024046</v>
      </c>
      <c r="B546" s="78">
        <v>45351</v>
      </c>
      <c r="C546" s="79">
        <v>123</v>
      </c>
      <c r="D546" s="42" t="s">
        <v>1774</v>
      </c>
      <c r="E546" s="42" t="s">
        <v>1730</v>
      </c>
      <c r="F546" s="80">
        <v>0</v>
      </c>
      <c r="G546" s="80">
        <v>2374</v>
      </c>
      <c r="H546" s="80">
        <v>0</v>
      </c>
      <c r="I546" s="42">
        <v>0</v>
      </c>
      <c r="J546" s="80">
        <v>2374</v>
      </c>
      <c r="K546" s="42" t="s">
        <v>1736</v>
      </c>
    </row>
    <row r="547" spans="1:11" x14ac:dyDescent="0.25">
      <c r="A547" s="81">
        <v>2024316</v>
      </c>
      <c r="B547" s="78">
        <v>45351</v>
      </c>
      <c r="C547" s="79">
        <v>122</v>
      </c>
      <c r="D547" s="42" t="s">
        <v>1773</v>
      </c>
      <c r="E547" s="42" t="s">
        <v>1705</v>
      </c>
      <c r="F547" s="80">
        <v>0</v>
      </c>
      <c r="G547" s="80">
        <v>1433</v>
      </c>
      <c r="H547" s="80">
        <v>0</v>
      </c>
      <c r="I547" s="42">
        <v>0</v>
      </c>
      <c r="J547" s="80">
        <v>1433</v>
      </c>
      <c r="K547" s="42" t="s">
        <v>1736</v>
      </c>
    </row>
    <row r="548" spans="1:11" x14ac:dyDescent="0.25">
      <c r="A548" s="81">
        <v>2024071</v>
      </c>
      <c r="B548" s="78">
        <v>45351</v>
      </c>
      <c r="C548" s="79">
        <v>121</v>
      </c>
      <c r="D548" s="42" t="s">
        <v>1768</v>
      </c>
      <c r="E548" s="42" t="s">
        <v>1707</v>
      </c>
      <c r="F548" s="80">
        <v>0</v>
      </c>
      <c r="G548" s="80">
        <v>364</v>
      </c>
      <c r="H548" s="80">
        <v>0</v>
      </c>
      <c r="I548" s="42" t="s">
        <v>1727</v>
      </c>
      <c r="J548" s="80">
        <v>364</v>
      </c>
      <c r="K548" s="42">
        <v>6</v>
      </c>
    </row>
    <row r="549" spans="1:11" x14ac:dyDescent="0.25">
      <c r="A549" s="81">
        <v>2024071</v>
      </c>
      <c r="B549" s="78">
        <v>45351</v>
      </c>
      <c r="C549" s="79">
        <v>120</v>
      </c>
      <c r="D549" s="42" t="s">
        <v>1768</v>
      </c>
      <c r="E549" s="42" t="s">
        <v>433</v>
      </c>
      <c r="F549" s="80">
        <v>0</v>
      </c>
      <c r="G549" s="80">
        <v>823</v>
      </c>
      <c r="H549" s="80">
        <v>0</v>
      </c>
      <c r="I549" s="42" t="s">
        <v>1727</v>
      </c>
      <c r="J549" s="80">
        <v>823</v>
      </c>
      <c r="K549" s="42">
        <v>4</v>
      </c>
    </row>
    <row r="550" spans="1:11" x14ac:dyDescent="0.25">
      <c r="A550" s="81">
        <v>2024071</v>
      </c>
      <c r="B550" s="78">
        <v>45351</v>
      </c>
      <c r="C550" s="79">
        <v>119</v>
      </c>
      <c r="D550" s="42" t="s">
        <v>1768</v>
      </c>
      <c r="E550" s="42" t="s">
        <v>1705</v>
      </c>
      <c r="F550" s="80">
        <v>1187</v>
      </c>
      <c r="G550" s="80">
        <v>0</v>
      </c>
      <c r="H550" s="80">
        <v>0</v>
      </c>
      <c r="I550" s="42">
        <v>0</v>
      </c>
      <c r="J550" s="80">
        <v>1187</v>
      </c>
      <c r="K550" s="42" t="s">
        <v>1736</v>
      </c>
    </row>
    <row r="551" spans="1:11" x14ac:dyDescent="0.25">
      <c r="A551" s="81">
        <v>2024044</v>
      </c>
      <c r="B551" s="78">
        <v>45351</v>
      </c>
      <c r="C551" s="79">
        <v>118</v>
      </c>
      <c r="D551" s="42" t="s">
        <v>1767</v>
      </c>
      <c r="E551" s="42" t="s">
        <v>1706</v>
      </c>
      <c r="F551" s="80">
        <v>0</v>
      </c>
      <c r="G551" s="80">
        <v>1187</v>
      </c>
      <c r="H551" s="80">
        <v>0</v>
      </c>
      <c r="I551" s="42">
        <v>0</v>
      </c>
      <c r="J551" s="80">
        <v>1187</v>
      </c>
      <c r="K551" s="42" t="s">
        <v>1736</v>
      </c>
    </row>
    <row r="552" spans="1:11" x14ac:dyDescent="0.25">
      <c r="A552" s="81">
        <v>2024055</v>
      </c>
      <c r="B552" s="78">
        <v>45351</v>
      </c>
      <c r="C552" s="79">
        <v>117</v>
      </c>
      <c r="D552" s="42" t="s">
        <v>1766</v>
      </c>
      <c r="E552" s="42" t="s">
        <v>1708</v>
      </c>
      <c r="F552" s="80">
        <v>500</v>
      </c>
      <c r="G552" s="80">
        <v>0</v>
      </c>
      <c r="H552" s="80">
        <v>0</v>
      </c>
      <c r="I552" s="42" t="s">
        <v>1838</v>
      </c>
      <c r="J552" s="80">
        <v>500</v>
      </c>
      <c r="K552" s="42">
        <v>5</v>
      </c>
    </row>
    <row r="553" spans="1:11" x14ac:dyDescent="0.25">
      <c r="A553" s="81">
        <v>2024055</v>
      </c>
      <c r="B553" s="78">
        <v>45351</v>
      </c>
      <c r="C553" s="79">
        <v>116</v>
      </c>
      <c r="D553" s="42" t="s">
        <v>1766</v>
      </c>
      <c r="E553" s="42" t="s">
        <v>433</v>
      </c>
      <c r="F553" s="80">
        <v>500</v>
      </c>
      <c r="G553" s="80">
        <v>0</v>
      </c>
      <c r="H553" s="80">
        <v>0</v>
      </c>
      <c r="I553" s="42" t="s">
        <v>1846</v>
      </c>
      <c r="J553" s="80">
        <v>500</v>
      </c>
      <c r="K553" s="42">
        <v>5</v>
      </c>
    </row>
    <row r="554" spans="1:11" x14ac:dyDescent="0.25">
      <c r="A554" s="81">
        <v>2024057</v>
      </c>
      <c r="B554" s="78">
        <v>45351</v>
      </c>
      <c r="C554" s="79">
        <v>115</v>
      </c>
      <c r="D554" s="42" t="s">
        <v>1765</v>
      </c>
      <c r="E554" s="42" t="s">
        <v>1706</v>
      </c>
      <c r="F554" s="80">
        <v>1187</v>
      </c>
      <c r="G554" s="80">
        <v>0</v>
      </c>
      <c r="H554" s="80">
        <v>0</v>
      </c>
      <c r="I554" s="42">
        <v>0</v>
      </c>
      <c r="J554" s="80">
        <v>1187</v>
      </c>
      <c r="K554" s="42" t="s">
        <v>1736</v>
      </c>
    </row>
    <row r="555" spans="1:11" x14ac:dyDescent="0.25">
      <c r="A555" s="81">
        <v>2024062</v>
      </c>
      <c r="B555" s="78">
        <v>45351</v>
      </c>
      <c r="C555" s="79">
        <v>114</v>
      </c>
      <c r="D555" s="42" t="s">
        <v>1764</v>
      </c>
      <c r="E555" s="42" t="s">
        <v>433</v>
      </c>
      <c r="F555" s="80">
        <v>1000</v>
      </c>
      <c r="G555" s="80">
        <v>0</v>
      </c>
      <c r="H555" s="80">
        <v>0</v>
      </c>
      <c r="I555" s="42" t="s">
        <v>1727</v>
      </c>
      <c r="J555" s="80">
        <v>1000</v>
      </c>
      <c r="K555" s="42" t="s">
        <v>244</v>
      </c>
    </row>
    <row r="556" spans="1:11" x14ac:dyDescent="0.25">
      <c r="A556" s="81">
        <v>2024065</v>
      </c>
      <c r="B556" s="78">
        <v>45351</v>
      </c>
      <c r="C556" s="79">
        <v>113</v>
      </c>
      <c r="D556" s="42" t="s">
        <v>1763</v>
      </c>
      <c r="E556" s="42" t="s">
        <v>1705</v>
      </c>
      <c r="F556" s="80">
        <v>3125</v>
      </c>
      <c r="G556" s="80">
        <v>0</v>
      </c>
      <c r="H556" s="80">
        <v>0</v>
      </c>
      <c r="I556" s="42">
        <v>0</v>
      </c>
      <c r="J556" s="80">
        <v>3125</v>
      </c>
      <c r="K556" s="42" t="s">
        <v>1736</v>
      </c>
    </row>
    <row r="557" spans="1:11" x14ac:dyDescent="0.25">
      <c r="A557" s="81">
        <v>2024054</v>
      </c>
      <c r="B557" s="78">
        <v>45351</v>
      </c>
      <c r="C557" s="79">
        <v>112</v>
      </c>
      <c r="D557" s="42" t="s">
        <v>1762</v>
      </c>
      <c r="E557" s="42" t="s">
        <v>1707</v>
      </c>
      <c r="F557" s="80">
        <v>728</v>
      </c>
      <c r="G557" s="80">
        <v>0</v>
      </c>
      <c r="H557" s="80">
        <v>0</v>
      </c>
      <c r="I557" s="42" t="s">
        <v>1727</v>
      </c>
      <c r="J557" s="80">
        <v>728</v>
      </c>
      <c r="K557" s="42" t="s">
        <v>244</v>
      </c>
    </row>
    <row r="558" spans="1:11" x14ac:dyDescent="0.25">
      <c r="A558" s="81">
        <v>2024054</v>
      </c>
      <c r="B558" s="78">
        <v>45351</v>
      </c>
      <c r="C558" s="79">
        <v>111</v>
      </c>
      <c r="D558" s="42" t="s">
        <v>1762</v>
      </c>
      <c r="E558" s="42" t="s">
        <v>433</v>
      </c>
      <c r="F558" s="80">
        <v>1459</v>
      </c>
      <c r="G558" s="80">
        <v>0</v>
      </c>
      <c r="H558" s="80">
        <v>0</v>
      </c>
      <c r="I558" s="42" t="s">
        <v>1727</v>
      </c>
      <c r="J558" s="80">
        <v>1459</v>
      </c>
      <c r="K558" s="42" t="s">
        <v>244</v>
      </c>
    </row>
    <row r="559" spans="1:11" x14ac:dyDescent="0.25">
      <c r="A559" s="81">
        <v>2024054</v>
      </c>
      <c r="B559" s="78">
        <v>45351</v>
      </c>
      <c r="C559" s="79">
        <v>110</v>
      </c>
      <c r="D559" s="42" t="s">
        <v>1762</v>
      </c>
      <c r="E559" s="42" t="s">
        <v>1705</v>
      </c>
      <c r="F559" s="80">
        <v>2187</v>
      </c>
      <c r="G559" s="80">
        <v>0</v>
      </c>
      <c r="H559" s="80">
        <v>0</v>
      </c>
      <c r="I559" s="42">
        <v>0</v>
      </c>
      <c r="J559" s="80">
        <v>2187</v>
      </c>
      <c r="K559" s="42" t="s">
        <v>1736</v>
      </c>
    </row>
    <row r="560" spans="1:11" x14ac:dyDescent="0.25">
      <c r="A560" s="81">
        <v>2024067</v>
      </c>
      <c r="B560" s="78">
        <v>45351</v>
      </c>
      <c r="C560" s="79">
        <v>109</v>
      </c>
      <c r="D560" s="42" t="s">
        <v>1761</v>
      </c>
      <c r="E560" s="42" t="s">
        <v>1730</v>
      </c>
      <c r="F560" s="80">
        <v>2374</v>
      </c>
      <c r="G560" s="80">
        <v>0</v>
      </c>
      <c r="H560" s="80">
        <v>0</v>
      </c>
      <c r="I560" s="42">
        <v>0</v>
      </c>
      <c r="J560" s="80">
        <v>2374</v>
      </c>
      <c r="K560" s="42" t="s">
        <v>1736</v>
      </c>
    </row>
    <row r="561" spans="1:11" x14ac:dyDescent="0.25">
      <c r="A561" s="81">
        <v>2024051</v>
      </c>
      <c r="B561" s="78">
        <v>45351</v>
      </c>
      <c r="C561" s="79">
        <v>108</v>
      </c>
      <c r="D561" s="42" t="s">
        <v>1760</v>
      </c>
      <c r="E561" s="42" t="s">
        <v>1708</v>
      </c>
      <c r="F561" s="80">
        <v>0</v>
      </c>
      <c r="G561" s="80">
        <v>364</v>
      </c>
      <c r="H561" s="80">
        <v>0</v>
      </c>
      <c r="I561" s="42" t="s">
        <v>1727</v>
      </c>
      <c r="J561" s="80">
        <v>364</v>
      </c>
      <c r="K561" s="42" t="s">
        <v>244</v>
      </c>
    </row>
    <row r="562" spans="1:11" x14ac:dyDescent="0.25">
      <c r="A562" s="81">
        <v>2024051</v>
      </c>
      <c r="B562" s="78">
        <v>45351</v>
      </c>
      <c r="C562" s="79">
        <v>107</v>
      </c>
      <c r="D562" s="42" t="s">
        <v>1760</v>
      </c>
      <c r="E562" s="42" t="s">
        <v>433</v>
      </c>
      <c r="F562" s="80">
        <v>0</v>
      </c>
      <c r="G562" s="80">
        <v>736</v>
      </c>
      <c r="H562" s="80">
        <v>0</v>
      </c>
      <c r="I562" s="42" t="s">
        <v>1727</v>
      </c>
      <c r="J562" s="80">
        <v>736</v>
      </c>
      <c r="K562" s="42" t="s">
        <v>244</v>
      </c>
    </row>
    <row r="563" spans="1:11" x14ac:dyDescent="0.25">
      <c r="A563" s="81">
        <v>2024051</v>
      </c>
      <c r="B563" s="78">
        <v>45351</v>
      </c>
      <c r="C563" s="79">
        <v>106</v>
      </c>
      <c r="D563" s="42" t="s">
        <v>1760</v>
      </c>
      <c r="E563" s="42" t="s">
        <v>1706</v>
      </c>
      <c r="F563" s="80">
        <v>0</v>
      </c>
      <c r="G563" s="80">
        <v>1100</v>
      </c>
      <c r="H563" s="80">
        <v>0</v>
      </c>
      <c r="I563" s="42">
        <v>0</v>
      </c>
      <c r="J563" s="80">
        <v>1100</v>
      </c>
      <c r="K563" s="42" t="s">
        <v>1736</v>
      </c>
    </row>
    <row r="564" spans="1:11" x14ac:dyDescent="0.25">
      <c r="A564" s="81">
        <v>2024047</v>
      </c>
      <c r="B564" s="78">
        <v>45351</v>
      </c>
      <c r="C564" s="79">
        <v>105</v>
      </c>
      <c r="D564" s="42" t="s">
        <v>1758</v>
      </c>
      <c r="E564" s="42" t="s">
        <v>1707</v>
      </c>
      <c r="F564" s="80">
        <v>0</v>
      </c>
      <c r="G564" s="80">
        <v>974</v>
      </c>
      <c r="H564" s="80">
        <v>0</v>
      </c>
      <c r="I564" s="42" t="s">
        <v>1759</v>
      </c>
      <c r="J564" s="80">
        <v>974</v>
      </c>
      <c r="K564" s="42">
        <v>0</v>
      </c>
    </row>
    <row r="565" spans="1:11" x14ac:dyDescent="0.25">
      <c r="A565" s="81">
        <v>2024047</v>
      </c>
      <c r="B565" s="78">
        <v>45351</v>
      </c>
      <c r="C565" s="79">
        <v>104</v>
      </c>
      <c r="D565" s="42" t="s">
        <v>1758</v>
      </c>
      <c r="E565" s="42" t="s">
        <v>433</v>
      </c>
      <c r="F565" s="80">
        <v>0</v>
      </c>
      <c r="G565" s="80">
        <v>1646</v>
      </c>
      <c r="H565" s="80">
        <v>0</v>
      </c>
      <c r="I565" s="42" t="s">
        <v>1727</v>
      </c>
      <c r="J565" s="80">
        <v>1646</v>
      </c>
      <c r="K565" s="42">
        <v>0</v>
      </c>
    </row>
    <row r="566" spans="1:11" x14ac:dyDescent="0.25">
      <c r="A566" s="81">
        <v>2024047</v>
      </c>
      <c r="B566" s="78">
        <v>45351</v>
      </c>
      <c r="C566" s="79">
        <v>103</v>
      </c>
      <c r="D566" s="42" t="s">
        <v>1758</v>
      </c>
      <c r="E566" s="42" t="s">
        <v>1705</v>
      </c>
      <c r="F566" s="80">
        <v>0</v>
      </c>
      <c r="G566" s="80">
        <v>2620</v>
      </c>
      <c r="H566" s="80">
        <v>0</v>
      </c>
      <c r="I566" s="42">
        <v>0</v>
      </c>
      <c r="J566" s="80">
        <v>2620</v>
      </c>
      <c r="K566" s="42" t="s">
        <v>1736</v>
      </c>
    </row>
    <row r="567" spans="1:11" x14ac:dyDescent="0.25">
      <c r="A567" s="81">
        <v>2024070</v>
      </c>
      <c r="B567" s="78">
        <v>45351</v>
      </c>
      <c r="C567" s="79">
        <v>102</v>
      </c>
      <c r="D567" s="42" t="s">
        <v>1756</v>
      </c>
      <c r="E567" s="42" t="s">
        <v>1731</v>
      </c>
      <c r="F567" s="80">
        <v>7280</v>
      </c>
      <c r="G567" s="80">
        <v>0</v>
      </c>
      <c r="H567" s="80">
        <v>0</v>
      </c>
      <c r="I567" s="42" t="s">
        <v>1757</v>
      </c>
      <c r="J567" s="80">
        <v>7280</v>
      </c>
      <c r="K567" s="42" t="s">
        <v>244</v>
      </c>
    </row>
    <row r="568" spans="1:11" x14ac:dyDescent="0.25">
      <c r="A568" s="81">
        <v>2024070</v>
      </c>
      <c r="B568" s="78">
        <v>45351</v>
      </c>
      <c r="C568" s="79">
        <v>101</v>
      </c>
      <c r="D568" s="42" t="s">
        <v>1756</v>
      </c>
      <c r="E568" s="42" t="s">
        <v>433</v>
      </c>
      <c r="F568" s="80">
        <v>14120</v>
      </c>
      <c r="G568" s="80">
        <v>0</v>
      </c>
      <c r="H568" s="80">
        <v>0</v>
      </c>
      <c r="I568" s="42" t="s">
        <v>1753</v>
      </c>
      <c r="J568" s="80">
        <v>14120</v>
      </c>
      <c r="K568" s="42" t="s">
        <v>244</v>
      </c>
    </row>
    <row r="569" spans="1:11" x14ac:dyDescent="0.25">
      <c r="A569" s="81">
        <v>2024070</v>
      </c>
      <c r="B569" s="78">
        <v>45351</v>
      </c>
      <c r="C569" s="79">
        <v>100</v>
      </c>
      <c r="D569" s="42" t="s">
        <v>1756</v>
      </c>
      <c r="E569" s="42" t="s">
        <v>1730</v>
      </c>
      <c r="F569" s="80">
        <v>2140</v>
      </c>
      <c r="G569" s="80">
        <v>0</v>
      </c>
      <c r="H569" s="80">
        <v>0</v>
      </c>
      <c r="I569" s="42">
        <v>0</v>
      </c>
      <c r="J569" s="80">
        <v>2140</v>
      </c>
      <c r="K569" s="42" t="s">
        <v>1736</v>
      </c>
    </row>
    <row r="570" spans="1:11" x14ac:dyDescent="0.25">
      <c r="A570" s="81">
        <v>2024272</v>
      </c>
      <c r="B570" s="78">
        <v>45350</v>
      </c>
      <c r="C570" s="79">
        <v>99</v>
      </c>
      <c r="D570" s="42" t="s">
        <v>396</v>
      </c>
      <c r="E570" s="42" t="s">
        <v>1731</v>
      </c>
      <c r="F570" s="80">
        <v>1338</v>
      </c>
      <c r="G570" s="80">
        <v>0</v>
      </c>
      <c r="H570" s="80">
        <v>0</v>
      </c>
      <c r="I570" s="42" t="s">
        <v>1727</v>
      </c>
      <c r="J570" s="80">
        <v>1338</v>
      </c>
      <c r="K570" s="42" t="s">
        <v>244</v>
      </c>
    </row>
    <row r="571" spans="1:11" x14ac:dyDescent="0.25">
      <c r="A571" s="81">
        <v>2024272</v>
      </c>
      <c r="B571" s="78">
        <v>45350</v>
      </c>
      <c r="C571" s="79">
        <v>98</v>
      </c>
      <c r="D571" s="42" t="s">
        <v>396</v>
      </c>
      <c r="E571" s="42" t="s">
        <v>433</v>
      </c>
      <c r="F571" s="80">
        <v>1662</v>
      </c>
      <c r="G571" s="80">
        <v>0</v>
      </c>
      <c r="H571" s="80">
        <v>0</v>
      </c>
      <c r="I571" s="42" t="s">
        <v>1727</v>
      </c>
      <c r="J571" s="80">
        <v>1662</v>
      </c>
      <c r="K571" s="42" t="s">
        <v>244</v>
      </c>
    </row>
    <row r="572" spans="1:11" x14ac:dyDescent="0.25">
      <c r="A572" s="81">
        <v>2024056</v>
      </c>
      <c r="B572" s="78">
        <v>45350</v>
      </c>
      <c r="C572" s="79">
        <v>97</v>
      </c>
      <c r="D572" s="42" t="s">
        <v>1755</v>
      </c>
      <c r="E572" s="42" t="s">
        <v>1731</v>
      </c>
      <c r="F572" s="80">
        <v>9740</v>
      </c>
      <c r="G572" s="80">
        <v>0</v>
      </c>
      <c r="H572" s="80">
        <v>0</v>
      </c>
      <c r="I572" s="42" t="s">
        <v>1753</v>
      </c>
      <c r="J572" s="80">
        <v>9740</v>
      </c>
      <c r="K572" s="42" t="s">
        <v>244</v>
      </c>
    </row>
    <row r="573" spans="1:11" x14ac:dyDescent="0.25">
      <c r="A573" s="81">
        <v>2024056</v>
      </c>
      <c r="B573" s="78">
        <v>45350</v>
      </c>
      <c r="C573" s="79">
        <v>96</v>
      </c>
      <c r="D573" s="42" t="s">
        <v>1755</v>
      </c>
      <c r="E573" s="42" t="s">
        <v>433</v>
      </c>
      <c r="F573" s="80">
        <v>14060</v>
      </c>
      <c r="G573" s="80">
        <v>0</v>
      </c>
      <c r="H573" s="80">
        <v>0</v>
      </c>
      <c r="I573" s="42" t="s">
        <v>1753</v>
      </c>
      <c r="J573" s="80">
        <v>14060</v>
      </c>
      <c r="K573" s="42" t="s">
        <v>244</v>
      </c>
    </row>
    <row r="574" spans="1:11" x14ac:dyDescent="0.25">
      <c r="A574" s="81">
        <v>2024068</v>
      </c>
      <c r="B574" s="78">
        <v>45350</v>
      </c>
      <c r="C574" s="79">
        <v>95</v>
      </c>
      <c r="D574" s="42" t="s">
        <v>1754</v>
      </c>
      <c r="E574" s="42" t="s">
        <v>1705</v>
      </c>
      <c r="F574" s="80">
        <v>0</v>
      </c>
      <c r="G574" s="80">
        <v>1433</v>
      </c>
      <c r="H574" s="80">
        <v>0</v>
      </c>
      <c r="I574" s="42">
        <v>0</v>
      </c>
      <c r="J574" s="80">
        <v>1433</v>
      </c>
      <c r="K574" s="42" t="s">
        <v>1736</v>
      </c>
    </row>
    <row r="575" spans="1:11" x14ac:dyDescent="0.25">
      <c r="A575" s="81">
        <v>2024050</v>
      </c>
      <c r="B575" s="78">
        <v>45350</v>
      </c>
      <c r="C575" s="79">
        <v>94</v>
      </c>
      <c r="D575" s="42" t="s">
        <v>1752</v>
      </c>
      <c r="E575" s="42" t="s">
        <v>1708</v>
      </c>
      <c r="F575" s="80">
        <v>0</v>
      </c>
      <c r="G575" s="80">
        <v>3640</v>
      </c>
      <c r="H575" s="80">
        <v>0</v>
      </c>
      <c r="I575" s="42" t="s">
        <v>1753</v>
      </c>
      <c r="J575" s="80">
        <v>3640</v>
      </c>
      <c r="K575" s="42" t="s">
        <v>244</v>
      </c>
    </row>
    <row r="576" spans="1:11" x14ac:dyDescent="0.25">
      <c r="A576" s="81">
        <v>2024050</v>
      </c>
      <c r="B576" s="78">
        <v>45350</v>
      </c>
      <c r="C576" s="79">
        <v>93</v>
      </c>
      <c r="D576" s="42" t="s">
        <v>1752</v>
      </c>
      <c r="E576" s="42" t="s">
        <v>433</v>
      </c>
      <c r="F576" s="80">
        <v>0</v>
      </c>
      <c r="G576" s="80">
        <v>7160</v>
      </c>
      <c r="H576" s="80">
        <v>0</v>
      </c>
      <c r="I576" s="42" t="s">
        <v>1753</v>
      </c>
      <c r="J576" s="80">
        <v>7160</v>
      </c>
      <c r="K576" s="42" t="s">
        <v>244</v>
      </c>
    </row>
    <row r="577" spans="1:11" x14ac:dyDescent="0.25">
      <c r="A577" s="81">
        <v>2024050</v>
      </c>
      <c r="B577" s="78">
        <v>45350</v>
      </c>
      <c r="C577" s="79">
        <v>92</v>
      </c>
      <c r="D577" s="42" t="s">
        <v>1752</v>
      </c>
      <c r="E577" s="42" t="s">
        <v>1706</v>
      </c>
      <c r="F577" s="80">
        <v>0</v>
      </c>
      <c r="G577" s="80">
        <v>1200</v>
      </c>
      <c r="H577" s="80">
        <v>0</v>
      </c>
      <c r="I577" s="42">
        <v>0</v>
      </c>
      <c r="J577" s="80">
        <v>1200</v>
      </c>
      <c r="K577" s="42" t="s">
        <v>1736</v>
      </c>
    </row>
    <row r="578" spans="1:11" x14ac:dyDescent="0.25">
      <c r="A578" s="81">
        <v>2024049</v>
      </c>
      <c r="B578" s="78">
        <v>45350</v>
      </c>
      <c r="C578" s="79">
        <v>91</v>
      </c>
      <c r="D578" s="42" t="s">
        <v>1751</v>
      </c>
      <c r="E578" s="42" t="s">
        <v>1705</v>
      </c>
      <c r="F578" s="80">
        <v>0</v>
      </c>
      <c r="G578" s="80">
        <v>1350</v>
      </c>
      <c r="H578" s="80">
        <v>0</v>
      </c>
      <c r="I578" s="42">
        <v>0</v>
      </c>
      <c r="J578" s="80">
        <v>1350</v>
      </c>
      <c r="K578" s="42" t="s">
        <v>1736</v>
      </c>
    </row>
    <row r="579" spans="1:11" x14ac:dyDescent="0.25">
      <c r="A579" s="81">
        <v>2024060</v>
      </c>
      <c r="B579" s="78">
        <v>45350</v>
      </c>
      <c r="C579" s="79">
        <v>90</v>
      </c>
      <c r="D579" s="42" t="s">
        <v>1750</v>
      </c>
      <c r="E579" s="42" t="s">
        <v>1730</v>
      </c>
      <c r="F579" s="80">
        <v>0</v>
      </c>
      <c r="G579" s="80">
        <v>2374</v>
      </c>
      <c r="H579" s="80">
        <v>0</v>
      </c>
      <c r="I579" s="42">
        <v>0</v>
      </c>
      <c r="J579" s="80">
        <v>2374</v>
      </c>
      <c r="K579" s="42" t="s">
        <v>1736</v>
      </c>
    </row>
    <row r="580" spans="1:11" x14ac:dyDescent="0.25">
      <c r="A580" s="81">
        <v>2024058</v>
      </c>
      <c r="B580" s="78">
        <v>45350</v>
      </c>
      <c r="C580" s="79">
        <v>89</v>
      </c>
      <c r="D580" s="42" t="s">
        <v>1749</v>
      </c>
      <c r="E580" s="42" t="s">
        <v>1706</v>
      </c>
      <c r="F580" s="80">
        <v>0</v>
      </c>
      <c r="G580" s="80">
        <v>1200</v>
      </c>
      <c r="H580" s="80">
        <v>0</v>
      </c>
      <c r="I580" s="42">
        <v>0</v>
      </c>
      <c r="J580" s="80">
        <v>1200</v>
      </c>
      <c r="K580" s="42" t="s">
        <v>1736</v>
      </c>
    </row>
    <row r="581" spans="1:11" x14ac:dyDescent="0.25">
      <c r="A581" s="81">
        <v>2024063</v>
      </c>
      <c r="B581" s="78">
        <v>45350</v>
      </c>
      <c r="C581" s="79">
        <v>88</v>
      </c>
      <c r="D581" s="42" t="s">
        <v>1349</v>
      </c>
      <c r="E581" s="42" t="s">
        <v>1707</v>
      </c>
      <c r="F581" s="80">
        <v>627</v>
      </c>
      <c r="G581" s="80">
        <v>0</v>
      </c>
      <c r="H581" s="80">
        <v>0</v>
      </c>
      <c r="I581" s="42" t="s">
        <v>1748</v>
      </c>
      <c r="J581" s="80">
        <v>627</v>
      </c>
      <c r="K581" s="42">
        <v>2</v>
      </c>
    </row>
    <row r="582" spans="1:11" x14ac:dyDescent="0.25">
      <c r="A582" s="81">
        <v>2024063</v>
      </c>
      <c r="B582" s="78">
        <v>45350</v>
      </c>
      <c r="C582" s="79">
        <v>87</v>
      </c>
      <c r="D582" s="42" t="s">
        <v>1349</v>
      </c>
      <c r="E582" s="42" t="s">
        <v>433</v>
      </c>
      <c r="F582" s="80">
        <v>823</v>
      </c>
      <c r="G582" s="80">
        <v>0</v>
      </c>
      <c r="H582" s="80">
        <v>0</v>
      </c>
      <c r="I582" s="42" t="s">
        <v>1748</v>
      </c>
      <c r="J582" s="80">
        <v>823</v>
      </c>
      <c r="K582" s="42">
        <v>2</v>
      </c>
    </row>
    <row r="583" spans="1:11" x14ac:dyDescent="0.25">
      <c r="A583" s="81">
        <v>2024063</v>
      </c>
      <c r="B583" s="78">
        <v>45350</v>
      </c>
      <c r="C583" s="79">
        <v>86</v>
      </c>
      <c r="D583" s="42" t="s">
        <v>1349</v>
      </c>
      <c r="E583" s="42" t="s">
        <v>1707</v>
      </c>
      <c r="F583" s="80">
        <v>0</v>
      </c>
      <c r="G583" s="80">
        <v>627</v>
      </c>
      <c r="H583" s="80">
        <v>0</v>
      </c>
      <c r="I583" s="42" t="s">
        <v>1727</v>
      </c>
      <c r="J583" s="80">
        <v>627</v>
      </c>
      <c r="K583" s="42">
        <v>1</v>
      </c>
    </row>
    <row r="584" spans="1:11" x14ac:dyDescent="0.25">
      <c r="A584" s="81">
        <v>2024063</v>
      </c>
      <c r="B584" s="78">
        <v>45350</v>
      </c>
      <c r="C584" s="79">
        <v>85</v>
      </c>
      <c r="D584" s="42" t="s">
        <v>1349</v>
      </c>
      <c r="E584" s="42" t="s">
        <v>433</v>
      </c>
      <c r="F584" s="80">
        <v>0</v>
      </c>
      <c r="G584" s="80">
        <v>823</v>
      </c>
      <c r="H584" s="80">
        <v>0</v>
      </c>
      <c r="I584" s="42" t="s">
        <v>1727</v>
      </c>
      <c r="J584" s="80">
        <v>823</v>
      </c>
      <c r="K584" s="42">
        <v>1</v>
      </c>
    </row>
    <row r="585" spans="1:11" x14ac:dyDescent="0.25">
      <c r="A585" s="81">
        <v>2024063</v>
      </c>
      <c r="B585" s="78">
        <v>45350</v>
      </c>
      <c r="C585" s="79">
        <v>84</v>
      </c>
      <c r="D585" s="42" t="s">
        <v>1349</v>
      </c>
      <c r="E585" s="42" t="s">
        <v>1705</v>
      </c>
      <c r="F585" s="80">
        <v>0</v>
      </c>
      <c r="G585" s="80">
        <v>1450</v>
      </c>
      <c r="H585" s="80">
        <v>0</v>
      </c>
      <c r="I585" s="42">
        <v>0</v>
      </c>
      <c r="J585" s="80">
        <v>1450</v>
      </c>
      <c r="K585" s="42" t="s">
        <v>1736</v>
      </c>
    </row>
    <row r="586" spans="1:11" x14ac:dyDescent="0.25">
      <c r="A586" s="81">
        <v>2024045</v>
      </c>
      <c r="B586" s="78">
        <v>45350</v>
      </c>
      <c r="C586" s="79">
        <v>83</v>
      </c>
      <c r="D586" s="42" t="s">
        <v>1747</v>
      </c>
      <c r="E586" s="42" t="s">
        <v>1730</v>
      </c>
      <c r="F586" s="80">
        <v>3000</v>
      </c>
      <c r="G586" s="80">
        <v>0</v>
      </c>
      <c r="H586" s="80">
        <v>0</v>
      </c>
      <c r="I586" s="42">
        <v>0</v>
      </c>
      <c r="J586" s="80">
        <v>3000</v>
      </c>
      <c r="K586" s="42" t="s">
        <v>1736</v>
      </c>
    </row>
    <row r="587" spans="1:11" x14ac:dyDescent="0.25">
      <c r="A587" s="81">
        <v>2024052</v>
      </c>
      <c r="B587" s="78">
        <v>45350</v>
      </c>
      <c r="C587" s="79">
        <v>82</v>
      </c>
      <c r="D587" s="42" t="s">
        <v>1746</v>
      </c>
      <c r="E587" s="42" t="s">
        <v>1705</v>
      </c>
      <c r="F587" s="80">
        <v>0</v>
      </c>
      <c r="G587" s="80">
        <v>1100</v>
      </c>
      <c r="H587" s="80">
        <v>0</v>
      </c>
      <c r="I587" s="42">
        <v>0</v>
      </c>
      <c r="J587" s="80">
        <v>1100</v>
      </c>
      <c r="K587" s="42" t="s">
        <v>1736</v>
      </c>
    </row>
    <row r="588" spans="1:11" x14ac:dyDescent="0.25">
      <c r="A588" s="81">
        <v>2024121</v>
      </c>
      <c r="B588" s="78">
        <v>45350</v>
      </c>
      <c r="C588" s="79">
        <v>81</v>
      </c>
      <c r="D588" s="42" t="s">
        <v>1745</v>
      </c>
      <c r="E588" s="42" t="s">
        <v>1706</v>
      </c>
      <c r="F588" s="80">
        <v>0</v>
      </c>
      <c r="G588" s="80">
        <v>1187</v>
      </c>
      <c r="H588" s="80">
        <v>0</v>
      </c>
      <c r="I588" s="42">
        <v>0</v>
      </c>
      <c r="J588" s="80">
        <v>1187</v>
      </c>
      <c r="K588" s="42" t="s">
        <v>1736</v>
      </c>
    </row>
    <row r="589" spans="1:11" x14ac:dyDescent="0.25">
      <c r="A589" s="81">
        <v>2024036</v>
      </c>
      <c r="B589" s="78">
        <v>45350</v>
      </c>
      <c r="C589" s="79">
        <v>80</v>
      </c>
      <c r="D589" s="42" t="s">
        <v>1744</v>
      </c>
      <c r="E589" s="42" t="s">
        <v>1706</v>
      </c>
      <c r="F589" s="80">
        <v>0</v>
      </c>
      <c r="G589" s="80">
        <v>1187</v>
      </c>
      <c r="H589" s="80">
        <v>0</v>
      </c>
      <c r="I589" s="42">
        <v>0</v>
      </c>
      <c r="J589" s="80">
        <v>1187</v>
      </c>
      <c r="K589" s="42" t="s">
        <v>1736</v>
      </c>
    </row>
    <row r="590" spans="1:11" x14ac:dyDescent="0.25">
      <c r="A590" s="81">
        <v>2024032</v>
      </c>
      <c r="B590" s="78">
        <v>45350</v>
      </c>
      <c r="C590" s="79">
        <v>79</v>
      </c>
      <c r="D590" s="42" t="s">
        <v>1301</v>
      </c>
      <c r="E590" s="42" t="s">
        <v>1706</v>
      </c>
      <c r="F590" s="80">
        <v>0</v>
      </c>
      <c r="G590" s="80">
        <v>1187</v>
      </c>
      <c r="H590" s="80">
        <v>0</v>
      </c>
      <c r="I590" s="42">
        <v>0</v>
      </c>
      <c r="J590" s="80">
        <v>1187</v>
      </c>
      <c r="K590" s="42" t="s">
        <v>1736</v>
      </c>
    </row>
    <row r="591" spans="1:11" x14ac:dyDescent="0.25">
      <c r="A591" s="81">
        <v>2024033</v>
      </c>
      <c r="B591" s="78">
        <v>45350</v>
      </c>
      <c r="C591" s="79">
        <v>78</v>
      </c>
      <c r="D591" s="42" t="s">
        <v>1743</v>
      </c>
      <c r="E591" s="42" t="s">
        <v>1730</v>
      </c>
      <c r="F591" s="80">
        <v>0</v>
      </c>
      <c r="G591" s="80">
        <v>1814</v>
      </c>
      <c r="H591" s="80">
        <v>0</v>
      </c>
      <c r="I591" s="42" t="s">
        <v>1727</v>
      </c>
      <c r="J591" s="80">
        <v>1814</v>
      </c>
      <c r="K591" s="42">
        <v>28</v>
      </c>
    </row>
    <row r="592" spans="1:11" x14ac:dyDescent="0.25">
      <c r="A592" s="81">
        <v>2024033</v>
      </c>
      <c r="B592" s="78">
        <v>45350</v>
      </c>
      <c r="C592" s="79">
        <v>77</v>
      </c>
      <c r="D592" s="42" t="s">
        <v>1743</v>
      </c>
      <c r="E592" s="42" t="s">
        <v>433</v>
      </c>
      <c r="F592" s="80">
        <v>0</v>
      </c>
      <c r="G592" s="80">
        <v>1646</v>
      </c>
      <c r="H592" s="80">
        <v>0</v>
      </c>
      <c r="I592" s="42" t="s">
        <v>1727</v>
      </c>
      <c r="J592" s="80">
        <v>1646</v>
      </c>
      <c r="K592" s="42">
        <v>25</v>
      </c>
    </row>
    <row r="593" spans="1:11" x14ac:dyDescent="0.25">
      <c r="A593" s="81">
        <v>2024033</v>
      </c>
      <c r="B593" s="78">
        <v>45350</v>
      </c>
      <c r="C593" s="79">
        <v>76</v>
      </c>
      <c r="D593" s="42" t="s">
        <v>1743</v>
      </c>
      <c r="E593" s="42" t="s">
        <v>1730</v>
      </c>
      <c r="F593" s="80">
        <v>0</v>
      </c>
      <c r="G593" s="80">
        <v>3460</v>
      </c>
      <c r="H593" s="80">
        <v>0</v>
      </c>
      <c r="I593" s="42">
        <v>0</v>
      </c>
      <c r="J593" s="80">
        <v>3460</v>
      </c>
      <c r="K593" s="42" t="s">
        <v>1736</v>
      </c>
    </row>
    <row r="594" spans="1:11" x14ac:dyDescent="0.25">
      <c r="A594" s="81">
        <v>2024043</v>
      </c>
      <c r="B594" s="78">
        <v>45350</v>
      </c>
      <c r="C594" s="79">
        <v>75</v>
      </c>
      <c r="D594" s="42" t="s">
        <v>1742</v>
      </c>
      <c r="E594" s="42" t="s">
        <v>1707</v>
      </c>
      <c r="F594" s="80">
        <v>610</v>
      </c>
      <c r="G594" s="80">
        <v>0</v>
      </c>
      <c r="H594" s="80">
        <v>0</v>
      </c>
      <c r="I594" s="42" t="s">
        <v>1727</v>
      </c>
      <c r="J594" s="80">
        <v>610</v>
      </c>
      <c r="K594" s="42" t="s">
        <v>244</v>
      </c>
    </row>
    <row r="595" spans="1:11" x14ac:dyDescent="0.25">
      <c r="A595" s="81">
        <v>2024043</v>
      </c>
      <c r="B595" s="78">
        <v>45350</v>
      </c>
      <c r="C595" s="79">
        <v>74</v>
      </c>
      <c r="D595" s="42" t="s">
        <v>1742</v>
      </c>
      <c r="E595" s="42" t="s">
        <v>433</v>
      </c>
      <c r="F595" s="80">
        <v>740</v>
      </c>
      <c r="G595" s="80">
        <v>0</v>
      </c>
      <c r="H595" s="80">
        <v>0</v>
      </c>
      <c r="I595" s="42" t="s">
        <v>1727</v>
      </c>
      <c r="J595" s="80">
        <v>740</v>
      </c>
      <c r="K595" s="42" t="s">
        <v>244</v>
      </c>
    </row>
    <row r="596" spans="1:11" x14ac:dyDescent="0.25">
      <c r="A596" s="81">
        <v>2024043</v>
      </c>
      <c r="B596" s="78">
        <v>45350</v>
      </c>
      <c r="C596" s="79">
        <v>73</v>
      </c>
      <c r="D596" s="42" t="s">
        <v>1742</v>
      </c>
      <c r="E596" s="42" t="s">
        <v>1705</v>
      </c>
      <c r="F596" s="80">
        <v>1350</v>
      </c>
      <c r="G596" s="80">
        <v>0</v>
      </c>
      <c r="H596" s="80">
        <v>0</v>
      </c>
      <c r="I596" s="42">
        <v>0</v>
      </c>
      <c r="J596" s="80">
        <v>1350</v>
      </c>
      <c r="K596" s="42" t="s">
        <v>1736</v>
      </c>
    </row>
    <row r="597" spans="1:11" x14ac:dyDescent="0.25">
      <c r="A597" s="81">
        <v>2024042</v>
      </c>
      <c r="B597" s="78">
        <v>45350</v>
      </c>
      <c r="C597" s="79">
        <v>72</v>
      </c>
      <c r="D597" s="42" t="s">
        <v>1741</v>
      </c>
      <c r="E597" s="42" t="s">
        <v>1707</v>
      </c>
      <c r="F597" s="80">
        <v>610</v>
      </c>
      <c r="G597" s="80">
        <v>0</v>
      </c>
      <c r="H597" s="80">
        <v>0</v>
      </c>
      <c r="I597" s="42" t="s">
        <v>1727</v>
      </c>
      <c r="J597" s="80">
        <v>610</v>
      </c>
      <c r="K597" s="42" t="s">
        <v>244</v>
      </c>
    </row>
    <row r="598" spans="1:11" x14ac:dyDescent="0.25">
      <c r="A598" s="81">
        <v>2024042</v>
      </c>
      <c r="B598" s="78">
        <v>45350</v>
      </c>
      <c r="C598" s="79">
        <v>71</v>
      </c>
      <c r="D598" s="42" t="s">
        <v>1741</v>
      </c>
      <c r="E598" s="42">
        <v>0</v>
      </c>
      <c r="F598" s="80">
        <v>740</v>
      </c>
      <c r="G598" s="80">
        <v>0</v>
      </c>
      <c r="H598" s="80">
        <v>0</v>
      </c>
      <c r="I598" s="42" t="s">
        <v>1727</v>
      </c>
      <c r="J598" s="80">
        <v>740</v>
      </c>
      <c r="K598" s="42" t="s">
        <v>244</v>
      </c>
    </row>
    <row r="599" spans="1:11" x14ac:dyDescent="0.25">
      <c r="A599" s="81">
        <v>2024042</v>
      </c>
      <c r="B599" s="78">
        <v>45350</v>
      </c>
      <c r="C599" s="79">
        <v>70</v>
      </c>
      <c r="D599" s="42" t="s">
        <v>1741</v>
      </c>
      <c r="E599" s="42" t="s">
        <v>1705</v>
      </c>
      <c r="F599" s="80">
        <v>1350</v>
      </c>
      <c r="G599" s="80">
        <v>0</v>
      </c>
      <c r="H599" s="80">
        <v>0</v>
      </c>
      <c r="I599" s="42">
        <v>0</v>
      </c>
      <c r="J599" s="80">
        <v>1350</v>
      </c>
      <c r="K599" s="42" t="s">
        <v>1736</v>
      </c>
    </row>
    <row r="600" spans="1:11" x14ac:dyDescent="0.25">
      <c r="A600" s="81">
        <v>2024034</v>
      </c>
      <c r="B600" s="78">
        <v>45350</v>
      </c>
      <c r="C600" s="79">
        <v>69</v>
      </c>
      <c r="D600" s="42" t="s">
        <v>1740</v>
      </c>
      <c r="E600" s="42" t="s">
        <v>1705</v>
      </c>
      <c r="F600" s="80">
        <v>0</v>
      </c>
      <c r="G600" s="80">
        <v>1433</v>
      </c>
      <c r="H600" s="80">
        <v>0</v>
      </c>
      <c r="I600" s="42">
        <v>0</v>
      </c>
      <c r="J600" s="80">
        <v>1433</v>
      </c>
      <c r="K600" s="42" t="s">
        <v>1736</v>
      </c>
    </row>
    <row r="601" spans="1:11" x14ac:dyDescent="0.25">
      <c r="A601" s="81">
        <v>2024038</v>
      </c>
      <c r="B601" s="78">
        <v>45350</v>
      </c>
      <c r="C601" s="79">
        <v>68</v>
      </c>
      <c r="D601" s="42" t="s">
        <v>1739</v>
      </c>
      <c r="E601" s="42" t="s">
        <v>1731</v>
      </c>
      <c r="F601" s="80">
        <v>1321</v>
      </c>
      <c r="G601" s="80">
        <v>0</v>
      </c>
      <c r="H601" s="80">
        <v>0</v>
      </c>
      <c r="I601" s="42" t="s">
        <v>1727</v>
      </c>
      <c r="J601" s="80">
        <v>1321</v>
      </c>
      <c r="K601" s="42">
        <v>191</v>
      </c>
    </row>
    <row r="602" spans="1:11" x14ac:dyDescent="0.25">
      <c r="A602" s="81">
        <v>2024038</v>
      </c>
      <c r="B602" s="78">
        <v>45350</v>
      </c>
      <c r="C602" s="79">
        <v>67</v>
      </c>
      <c r="D602" s="42" t="s">
        <v>1739</v>
      </c>
      <c r="E602" s="42">
        <v>0</v>
      </c>
      <c r="F602" s="80">
        <v>1646</v>
      </c>
      <c r="G602" s="80">
        <v>0</v>
      </c>
      <c r="H602" s="80">
        <v>0</v>
      </c>
      <c r="I602" s="42" t="s">
        <v>1727</v>
      </c>
      <c r="J602" s="80">
        <v>1646</v>
      </c>
      <c r="K602" s="42">
        <v>189</v>
      </c>
    </row>
    <row r="603" spans="1:11" x14ac:dyDescent="0.25">
      <c r="A603" s="81">
        <v>2024035</v>
      </c>
      <c r="B603" s="78">
        <v>45350</v>
      </c>
      <c r="C603" s="79">
        <v>66</v>
      </c>
      <c r="D603" s="42" t="s">
        <v>1738</v>
      </c>
      <c r="E603" s="42" t="s">
        <v>1706</v>
      </c>
      <c r="F603" s="80">
        <v>0</v>
      </c>
      <c r="G603" s="80">
        <v>1200</v>
      </c>
      <c r="H603" s="80">
        <v>0</v>
      </c>
      <c r="I603" s="42">
        <v>0</v>
      </c>
      <c r="J603" s="80">
        <v>1200</v>
      </c>
      <c r="K603" s="42" t="s">
        <v>1736</v>
      </c>
    </row>
    <row r="604" spans="1:11" x14ac:dyDescent="0.25">
      <c r="A604" s="81">
        <v>2024031</v>
      </c>
      <c r="B604" s="78">
        <v>45350</v>
      </c>
      <c r="C604" s="79">
        <v>65</v>
      </c>
      <c r="D604" s="42" t="s">
        <v>1301</v>
      </c>
      <c r="E604" s="42" t="s">
        <v>1708</v>
      </c>
      <c r="F604" s="80">
        <v>364</v>
      </c>
      <c r="G604" s="80">
        <v>0</v>
      </c>
      <c r="H604" s="80">
        <v>0</v>
      </c>
      <c r="I604" s="42" t="s">
        <v>1727</v>
      </c>
      <c r="J604" s="80">
        <v>364</v>
      </c>
      <c r="K604" s="42">
        <v>0</v>
      </c>
    </row>
    <row r="605" spans="1:11" x14ac:dyDescent="0.25">
      <c r="A605" s="81">
        <v>2024031</v>
      </c>
      <c r="B605" s="78">
        <v>45350</v>
      </c>
      <c r="C605" s="79">
        <v>65</v>
      </c>
      <c r="D605" s="42" t="s">
        <v>1301</v>
      </c>
      <c r="E605" s="42" t="s">
        <v>433</v>
      </c>
      <c r="F605" s="80">
        <v>823</v>
      </c>
      <c r="G605" s="80">
        <v>0</v>
      </c>
      <c r="H605" s="80">
        <v>0</v>
      </c>
      <c r="I605" s="42" t="s">
        <v>1727</v>
      </c>
      <c r="J605" s="80">
        <v>823</v>
      </c>
      <c r="K605" s="42">
        <v>0</v>
      </c>
    </row>
    <row r="606" spans="1:11" x14ac:dyDescent="0.25">
      <c r="A606" s="81">
        <v>2024031</v>
      </c>
      <c r="B606" s="78">
        <v>45350</v>
      </c>
      <c r="C606" s="79">
        <v>64</v>
      </c>
      <c r="D606" s="42" t="s">
        <v>1737</v>
      </c>
      <c r="E606" s="42" t="s">
        <v>1706</v>
      </c>
      <c r="F606" s="80">
        <v>1187</v>
      </c>
      <c r="G606" s="80">
        <v>0</v>
      </c>
      <c r="H606" s="80">
        <v>0</v>
      </c>
      <c r="I606" s="42">
        <v>0</v>
      </c>
      <c r="J606" s="80">
        <v>1187</v>
      </c>
      <c r="K606" s="42" t="s">
        <v>1736</v>
      </c>
    </row>
    <row r="607" spans="1:11" x14ac:dyDescent="0.25">
      <c r="A607" s="81">
        <v>2024025</v>
      </c>
      <c r="B607" s="78">
        <v>45350</v>
      </c>
      <c r="C607" s="79">
        <v>63</v>
      </c>
      <c r="D607" s="42" t="s">
        <v>410</v>
      </c>
      <c r="E607" s="42" t="s">
        <v>1705</v>
      </c>
      <c r="F607" s="80">
        <v>0</v>
      </c>
      <c r="G607" s="80">
        <v>2250</v>
      </c>
      <c r="H607" s="80">
        <v>0</v>
      </c>
      <c r="I607" s="42">
        <v>0</v>
      </c>
      <c r="J607" s="80">
        <v>2250</v>
      </c>
      <c r="K607" s="42" t="s">
        <v>1736</v>
      </c>
    </row>
    <row r="608" spans="1:11" x14ac:dyDescent="0.25">
      <c r="A608" s="81">
        <v>2024007</v>
      </c>
      <c r="B608" s="78">
        <v>45350</v>
      </c>
      <c r="C608" s="79">
        <v>62</v>
      </c>
      <c r="D608" s="42" t="s">
        <v>1734</v>
      </c>
      <c r="E608" s="42" t="s">
        <v>1706</v>
      </c>
      <c r="F608" s="80">
        <v>500</v>
      </c>
      <c r="G608" s="80">
        <v>0</v>
      </c>
      <c r="H608" s="80">
        <v>0</v>
      </c>
      <c r="I608" s="42" t="s">
        <v>1735</v>
      </c>
      <c r="J608" s="80">
        <v>500</v>
      </c>
      <c r="K608" s="42" t="s">
        <v>244</v>
      </c>
    </row>
    <row r="609" spans="1:11" x14ac:dyDescent="0.25">
      <c r="A609" s="81">
        <v>2024010</v>
      </c>
      <c r="B609" s="78">
        <v>45350</v>
      </c>
      <c r="C609" s="79">
        <v>61</v>
      </c>
      <c r="D609" s="42" t="s">
        <v>414</v>
      </c>
      <c r="E609" s="42" t="s">
        <v>1706</v>
      </c>
      <c r="F609" s="80">
        <v>1187</v>
      </c>
      <c r="G609" s="80">
        <v>0</v>
      </c>
      <c r="H609" s="80">
        <v>0</v>
      </c>
      <c r="I609" s="42">
        <v>0</v>
      </c>
      <c r="J609" s="80">
        <v>1187</v>
      </c>
      <c r="K609" s="42" t="s">
        <v>244</v>
      </c>
    </row>
    <row r="610" spans="1:11" x14ac:dyDescent="0.25">
      <c r="A610" s="81">
        <v>2024026</v>
      </c>
      <c r="B610" s="78">
        <v>45350</v>
      </c>
      <c r="C610" s="79">
        <v>60</v>
      </c>
      <c r="D610" s="42" t="s">
        <v>410</v>
      </c>
      <c r="E610" s="42" t="s">
        <v>1705</v>
      </c>
      <c r="F610" s="80">
        <v>1433</v>
      </c>
      <c r="G610" s="80">
        <v>0</v>
      </c>
      <c r="H610" s="80">
        <v>0</v>
      </c>
      <c r="I610" s="42">
        <v>0</v>
      </c>
      <c r="J610" s="80">
        <v>1433</v>
      </c>
      <c r="K610" s="42" t="s">
        <v>244</v>
      </c>
    </row>
    <row r="611" spans="1:11" x14ac:dyDescent="0.25">
      <c r="A611" s="81">
        <v>2024015</v>
      </c>
      <c r="B611" s="78">
        <v>45350</v>
      </c>
      <c r="C611" s="79">
        <v>59</v>
      </c>
      <c r="D611" s="42" t="s">
        <v>295</v>
      </c>
      <c r="E611" s="42" t="s">
        <v>1707</v>
      </c>
      <c r="F611" s="80">
        <v>1220</v>
      </c>
      <c r="G611" s="80">
        <v>0</v>
      </c>
      <c r="H611" s="80">
        <v>0</v>
      </c>
      <c r="I611" s="42" t="s">
        <v>1733</v>
      </c>
      <c r="J611" s="80">
        <v>1220</v>
      </c>
      <c r="K611" s="42">
        <v>0</v>
      </c>
    </row>
    <row r="612" spans="1:11" x14ac:dyDescent="0.25">
      <c r="A612" s="81">
        <v>2024015</v>
      </c>
      <c r="B612" s="78">
        <v>45350</v>
      </c>
      <c r="C612" s="79">
        <v>58</v>
      </c>
      <c r="D612" s="42" t="s">
        <v>295</v>
      </c>
      <c r="E612" s="42" t="s">
        <v>433</v>
      </c>
      <c r="F612" s="80">
        <v>1480</v>
      </c>
      <c r="G612" s="80">
        <v>0</v>
      </c>
      <c r="H612" s="80">
        <v>0</v>
      </c>
      <c r="I612" s="42" t="s">
        <v>1733</v>
      </c>
      <c r="J612" s="80">
        <v>1480</v>
      </c>
      <c r="K612" s="42">
        <v>0</v>
      </c>
    </row>
    <row r="613" spans="1:11" x14ac:dyDescent="0.25">
      <c r="A613" s="81">
        <v>2024018</v>
      </c>
      <c r="B613" s="78">
        <v>45350</v>
      </c>
      <c r="C613" s="79">
        <v>57</v>
      </c>
      <c r="D613" s="42" t="s">
        <v>295</v>
      </c>
      <c r="E613" s="42" t="s">
        <v>433</v>
      </c>
      <c r="F613" s="80">
        <v>1426</v>
      </c>
      <c r="G613" s="80">
        <v>0</v>
      </c>
      <c r="H613" s="80">
        <v>0</v>
      </c>
      <c r="I613" s="42" t="s">
        <v>1727</v>
      </c>
      <c r="J613" s="80">
        <v>1426</v>
      </c>
      <c r="K613" s="42" t="s">
        <v>244</v>
      </c>
    </row>
    <row r="614" spans="1:11" x14ac:dyDescent="0.25">
      <c r="A614" s="81">
        <v>2024018</v>
      </c>
      <c r="B614" s="78">
        <v>45350</v>
      </c>
      <c r="C614" s="79">
        <v>56</v>
      </c>
      <c r="D614" s="42" t="s">
        <v>295</v>
      </c>
      <c r="E614" s="42" t="s">
        <v>1707</v>
      </c>
      <c r="F614" s="80">
        <v>974</v>
      </c>
      <c r="G614" s="80">
        <v>0</v>
      </c>
      <c r="H614" s="80">
        <v>0</v>
      </c>
      <c r="I614" s="42" t="s">
        <v>1727</v>
      </c>
      <c r="J614" s="80">
        <v>974</v>
      </c>
      <c r="K614" s="42" t="s">
        <v>244</v>
      </c>
    </row>
    <row r="615" spans="1:11" x14ac:dyDescent="0.25">
      <c r="A615" s="81">
        <v>2024012</v>
      </c>
      <c r="B615" s="78">
        <v>45350</v>
      </c>
      <c r="C615" s="79">
        <v>54</v>
      </c>
      <c r="D615" s="42" t="s">
        <v>1728</v>
      </c>
      <c r="E615" s="42" t="s">
        <v>1708</v>
      </c>
      <c r="F615" s="80">
        <v>377</v>
      </c>
      <c r="G615" s="80">
        <v>0</v>
      </c>
      <c r="H615" s="80">
        <v>0</v>
      </c>
      <c r="I615" s="42" t="s">
        <v>1727</v>
      </c>
      <c r="J615" s="80">
        <v>377</v>
      </c>
      <c r="K615" s="42">
        <v>0</v>
      </c>
    </row>
    <row r="616" spans="1:11" x14ac:dyDescent="0.25">
      <c r="A616" s="81">
        <v>2024012</v>
      </c>
      <c r="B616" s="78">
        <v>45350</v>
      </c>
      <c r="C616" s="79">
        <v>53</v>
      </c>
      <c r="D616" s="42" t="s">
        <v>1728</v>
      </c>
      <c r="E616" s="42" t="s">
        <v>433</v>
      </c>
      <c r="F616" s="80">
        <v>823</v>
      </c>
      <c r="G616" s="80">
        <v>0</v>
      </c>
      <c r="H616" s="80">
        <v>0</v>
      </c>
      <c r="I616" s="42" t="s">
        <v>1727</v>
      </c>
      <c r="J616" s="80">
        <v>823</v>
      </c>
      <c r="K616" s="42">
        <v>0</v>
      </c>
    </row>
    <row r="617" spans="1:11" x14ac:dyDescent="0.25">
      <c r="A617" s="81">
        <v>2024012</v>
      </c>
      <c r="B617" s="78">
        <v>45350</v>
      </c>
      <c r="C617" s="79">
        <v>52</v>
      </c>
      <c r="D617" s="42" t="s">
        <v>1728</v>
      </c>
      <c r="E617" s="42" t="s">
        <v>1706</v>
      </c>
      <c r="F617" s="80">
        <v>1200</v>
      </c>
      <c r="G617" s="80">
        <v>0</v>
      </c>
      <c r="H617" s="80">
        <v>0</v>
      </c>
      <c r="I617" s="42">
        <v>0</v>
      </c>
      <c r="J617" s="80">
        <v>1200</v>
      </c>
      <c r="K617" s="42" t="s">
        <v>244</v>
      </c>
    </row>
    <row r="618" spans="1:11" x14ac:dyDescent="0.25">
      <c r="A618" s="81">
        <v>2024008</v>
      </c>
      <c r="B618" s="78">
        <v>45350</v>
      </c>
      <c r="C618" s="79">
        <v>51</v>
      </c>
      <c r="D618" s="42" t="s">
        <v>300</v>
      </c>
      <c r="E618" s="42" t="s">
        <v>1705</v>
      </c>
      <c r="F618" s="80">
        <v>1187</v>
      </c>
      <c r="G618" s="80">
        <v>0</v>
      </c>
      <c r="H618" s="80">
        <v>0</v>
      </c>
      <c r="I618" s="42">
        <v>0</v>
      </c>
      <c r="J618" s="80">
        <v>1187</v>
      </c>
      <c r="K618" s="42" t="s">
        <v>244</v>
      </c>
    </row>
    <row r="619" spans="1:11" x14ac:dyDescent="0.25">
      <c r="A619" s="81">
        <v>2024008</v>
      </c>
      <c r="B619" s="78">
        <v>45350</v>
      </c>
      <c r="C619" s="79">
        <v>50</v>
      </c>
      <c r="D619" s="42" t="s">
        <v>300</v>
      </c>
      <c r="E619" s="42" t="s">
        <v>1707</v>
      </c>
      <c r="F619" s="80">
        <v>364</v>
      </c>
      <c r="G619" s="80">
        <v>0</v>
      </c>
      <c r="H619" s="80">
        <v>0</v>
      </c>
      <c r="I619" s="42">
        <v>0</v>
      </c>
      <c r="J619" s="80">
        <v>364</v>
      </c>
      <c r="K619" s="42">
        <v>20</v>
      </c>
    </row>
    <row r="620" spans="1:11" x14ac:dyDescent="0.25">
      <c r="A620" s="81">
        <v>2024008</v>
      </c>
      <c r="B620" s="78">
        <v>45350</v>
      </c>
      <c r="C620" s="79">
        <v>50</v>
      </c>
      <c r="D620" s="42" t="s">
        <v>300</v>
      </c>
      <c r="E620" s="42" t="s">
        <v>433</v>
      </c>
      <c r="F620" s="80">
        <v>823</v>
      </c>
      <c r="G620" s="80">
        <v>0</v>
      </c>
      <c r="H620" s="80">
        <v>0</v>
      </c>
      <c r="I620" s="42" t="s">
        <v>1727</v>
      </c>
      <c r="J620" s="80">
        <v>823</v>
      </c>
      <c r="K620" s="42">
        <v>17</v>
      </c>
    </row>
    <row r="621" spans="1:11" x14ac:dyDescent="0.25">
      <c r="A621" s="81">
        <v>2024039</v>
      </c>
      <c r="B621" s="78">
        <v>45350</v>
      </c>
      <c r="C621" s="79">
        <v>49</v>
      </c>
      <c r="D621" s="42" t="s">
        <v>1726</v>
      </c>
      <c r="E621" s="42" t="s">
        <v>1705</v>
      </c>
      <c r="F621" s="80">
        <v>1433</v>
      </c>
      <c r="G621" s="80">
        <v>0</v>
      </c>
      <c r="H621" s="80">
        <v>0</v>
      </c>
      <c r="I621" s="42">
        <v>0</v>
      </c>
      <c r="J621" s="80">
        <v>1433</v>
      </c>
      <c r="K621" s="42" t="s">
        <v>244</v>
      </c>
    </row>
    <row r="622" spans="1:11" x14ac:dyDescent="0.25">
      <c r="A622" s="81">
        <v>2024003</v>
      </c>
      <c r="B622" s="78">
        <v>45350</v>
      </c>
      <c r="C622" s="79">
        <v>48</v>
      </c>
      <c r="D622" s="42" t="s">
        <v>1725</v>
      </c>
      <c r="E622" s="42" t="s">
        <v>1705</v>
      </c>
      <c r="F622" s="80">
        <v>1187</v>
      </c>
      <c r="G622" s="80">
        <v>0</v>
      </c>
      <c r="H622" s="80">
        <v>0</v>
      </c>
      <c r="I622" s="42">
        <v>0</v>
      </c>
      <c r="J622" s="80">
        <v>1187</v>
      </c>
      <c r="K622" s="42" t="s">
        <v>244</v>
      </c>
    </row>
    <row r="623" spans="1:11" x14ac:dyDescent="0.25">
      <c r="A623" s="81">
        <v>2024037</v>
      </c>
      <c r="B623" s="78">
        <v>45350</v>
      </c>
      <c r="C623" s="79">
        <v>47</v>
      </c>
      <c r="D623" s="42" t="s">
        <v>1723</v>
      </c>
      <c r="E623" s="42" t="s">
        <v>1705</v>
      </c>
      <c r="F623" s="80">
        <v>360</v>
      </c>
      <c r="G623" s="80">
        <v>0</v>
      </c>
      <c r="H623" s="80">
        <v>0</v>
      </c>
      <c r="I623" s="42" t="s">
        <v>1724</v>
      </c>
      <c r="J623" s="80">
        <v>360</v>
      </c>
      <c r="K623" s="42" t="s">
        <v>244</v>
      </c>
    </row>
    <row r="624" spans="1:11" x14ac:dyDescent="0.25">
      <c r="A624" s="81">
        <v>2024037</v>
      </c>
      <c r="B624" s="78">
        <v>45350</v>
      </c>
      <c r="C624" s="79">
        <v>47</v>
      </c>
      <c r="D624" s="42" t="s">
        <v>1720</v>
      </c>
      <c r="E624" s="42" t="s">
        <v>1707</v>
      </c>
      <c r="F624" s="80">
        <v>716</v>
      </c>
      <c r="G624" s="80">
        <v>0</v>
      </c>
      <c r="H624" s="80">
        <v>0</v>
      </c>
      <c r="I624" s="42" t="s">
        <v>1722</v>
      </c>
      <c r="J624" s="80">
        <v>716</v>
      </c>
      <c r="K624" s="42" t="s">
        <v>244</v>
      </c>
    </row>
    <row r="625" spans="1:11" x14ac:dyDescent="0.25">
      <c r="A625" s="81">
        <v>2024037</v>
      </c>
      <c r="B625" s="78">
        <v>45350</v>
      </c>
      <c r="C625" s="79">
        <v>46</v>
      </c>
      <c r="D625" s="42" t="s">
        <v>1720</v>
      </c>
      <c r="E625" s="42" t="s">
        <v>1707</v>
      </c>
      <c r="F625" s="80">
        <v>364</v>
      </c>
      <c r="G625" s="80">
        <v>0</v>
      </c>
      <c r="H625" s="80">
        <v>0</v>
      </c>
      <c r="I625" s="42" t="s">
        <v>1721</v>
      </c>
      <c r="J625" s="80">
        <v>364</v>
      </c>
      <c r="K625" s="42" t="s">
        <v>244</v>
      </c>
    </row>
    <row r="626" spans="1:11" x14ac:dyDescent="0.25">
      <c r="A626" s="81">
        <v>2024100</v>
      </c>
      <c r="B626" s="78">
        <v>45350</v>
      </c>
      <c r="C626" s="79">
        <v>45</v>
      </c>
      <c r="D626" s="42" t="s">
        <v>149</v>
      </c>
      <c r="E626" s="42" t="s">
        <v>1708</v>
      </c>
      <c r="F626" s="80">
        <v>7280</v>
      </c>
      <c r="G626" s="80">
        <v>0</v>
      </c>
      <c r="H626" s="80">
        <v>0</v>
      </c>
      <c r="I626" s="42" t="s">
        <v>1719</v>
      </c>
      <c r="J626" s="80">
        <v>7280</v>
      </c>
      <c r="K626" s="42" t="s">
        <v>244</v>
      </c>
    </row>
    <row r="627" spans="1:11" x14ac:dyDescent="0.25">
      <c r="A627" s="81">
        <v>2024100</v>
      </c>
      <c r="B627" s="78">
        <v>45350</v>
      </c>
      <c r="C627" s="79">
        <v>44</v>
      </c>
      <c r="D627" s="42" t="s">
        <v>149</v>
      </c>
      <c r="E627" s="42" t="s">
        <v>433</v>
      </c>
      <c r="F627" s="80">
        <v>14320</v>
      </c>
      <c r="G627" s="80">
        <v>0</v>
      </c>
      <c r="H627" s="80">
        <v>0</v>
      </c>
      <c r="I627" s="42" t="s">
        <v>1718</v>
      </c>
      <c r="J627" s="80">
        <v>14320</v>
      </c>
      <c r="K627" s="42" t="s">
        <v>244</v>
      </c>
    </row>
    <row r="628" spans="1:11" x14ac:dyDescent="0.25">
      <c r="A628" s="81">
        <v>2024001</v>
      </c>
      <c r="B628" s="78">
        <v>45349</v>
      </c>
      <c r="C628" s="79">
        <v>43</v>
      </c>
      <c r="D628" s="42" t="s">
        <v>1713</v>
      </c>
      <c r="E628" s="42" t="s">
        <v>1705</v>
      </c>
      <c r="F628" s="80">
        <v>0</v>
      </c>
      <c r="G628" s="80">
        <v>1187</v>
      </c>
      <c r="H628" s="80">
        <v>0</v>
      </c>
      <c r="I628" s="42">
        <v>0</v>
      </c>
      <c r="J628" s="80">
        <v>1187</v>
      </c>
      <c r="K628" s="42" t="s">
        <v>244</v>
      </c>
    </row>
    <row r="629" spans="1:11" x14ac:dyDescent="0.25">
      <c r="A629" s="81">
        <v>2024001</v>
      </c>
      <c r="B629" s="78">
        <v>45349</v>
      </c>
      <c r="C629" s="79">
        <v>42</v>
      </c>
      <c r="D629" s="42" t="s">
        <v>1713</v>
      </c>
      <c r="E629" s="42" t="s">
        <v>1707</v>
      </c>
      <c r="F629" s="80">
        <v>0</v>
      </c>
      <c r="G629" s="80">
        <v>2570</v>
      </c>
      <c r="H629" s="80">
        <v>0</v>
      </c>
      <c r="I629" s="42">
        <v>0</v>
      </c>
      <c r="J629" s="80">
        <v>2570</v>
      </c>
      <c r="K629" s="42" t="s">
        <v>244</v>
      </c>
    </row>
    <row r="630" spans="1:11" x14ac:dyDescent="0.25">
      <c r="A630" s="81">
        <v>2024078</v>
      </c>
      <c r="B630" s="78">
        <v>45349</v>
      </c>
      <c r="C630" s="79">
        <v>41</v>
      </c>
      <c r="D630" s="42" t="s">
        <v>1716</v>
      </c>
      <c r="E630" s="42" t="s">
        <v>1705</v>
      </c>
      <c r="F630" s="80">
        <v>0</v>
      </c>
      <c r="G630" s="80">
        <v>143.30000000000001</v>
      </c>
      <c r="H630" s="80">
        <v>0</v>
      </c>
      <c r="I630" s="42" t="s">
        <v>1717</v>
      </c>
      <c r="J630" s="80">
        <v>143.30000000000001</v>
      </c>
      <c r="K630" s="42" t="s">
        <v>244</v>
      </c>
    </row>
    <row r="631" spans="1:11" x14ac:dyDescent="0.25">
      <c r="A631" s="81">
        <v>2024078</v>
      </c>
      <c r="B631" s="78">
        <v>45349</v>
      </c>
      <c r="C631" s="79">
        <v>40</v>
      </c>
      <c r="D631" s="42" t="s">
        <v>1716</v>
      </c>
      <c r="E631" s="42" t="s">
        <v>1707</v>
      </c>
      <c r="F631" s="80">
        <v>0</v>
      </c>
      <c r="G631" s="80">
        <v>610</v>
      </c>
      <c r="H631" s="80">
        <v>0</v>
      </c>
      <c r="I631" s="42">
        <v>0</v>
      </c>
      <c r="J631" s="80">
        <v>610</v>
      </c>
      <c r="K631" s="42">
        <v>35</v>
      </c>
    </row>
    <row r="632" spans="1:11" x14ac:dyDescent="0.25">
      <c r="A632" s="81">
        <v>2024078</v>
      </c>
      <c r="B632" s="78">
        <v>45349</v>
      </c>
      <c r="C632" s="79">
        <v>39</v>
      </c>
      <c r="D632" s="42" t="s">
        <v>1716</v>
      </c>
      <c r="E632" s="42" t="s">
        <v>433</v>
      </c>
      <c r="F632" s="80">
        <v>823</v>
      </c>
      <c r="G632" s="80">
        <v>0</v>
      </c>
      <c r="H632" s="80">
        <v>0</v>
      </c>
      <c r="I632" s="42" t="s">
        <v>1698</v>
      </c>
      <c r="J632" s="80">
        <v>823</v>
      </c>
      <c r="K632" s="42">
        <v>31</v>
      </c>
    </row>
    <row r="633" spans="1:11" x14ac:dyDescent="0.25">
      <c r="A633" s="81">
        <v>2024216</v>
      </c>
      <c r="B633" s="78">
        <v>45349</v>
      </c>
      <c r="C633" s="79">
        <v>38</v>
      </c>
      <c r="D633" s="42" t="s">
        <v>1714</v>
      </c>
      <c r="E633" s="42" t="s">
        <v>1708</v>
      </c>
      <c r="F633" s="80">
        <v>974</v>
      </c>
      <c r="G633" s="80">
        <v>0</v>
      </c>
      <c r="H633" s="80">
        <v>0</v>
      </c>
      <c r="I633" s="42" t="s">
        <v>1715</v>
      </c>
      <c r="J633" s="80">
        <v>974</v>
      </c>
      <c r="K633" s="42" t="s">
        <v>244</v>
      </c>
    </row>
    <row r="634" spans="1:11" x14ac:dyDescent="0.25">
      <c r="A634" s="81">
        <v>2024216</v>
      </c>
      <c r="B634" s="78">
        <v>45349</v>
      </c>
      <c r="C634" s="79">
        <v>37</v>
      </c>
      <c r="D634" s="42" t="s">
        <v>1714</v>
      </c>
      <c r="E634" s="42" t="s">
        <v>1707</v>
      </c>
      <c r="F634" s="80">
        <v>1423</v>
      </c>
      <c r="G634" s="80">
        <v>0</v>
      </c>
      <c r="H634" s="80">
        <v>0</v>
      </c>
      <c r="I634" s="42" t="s">
        <v>1698</v>
      </c>
      <c r="J634" s="80">
        <v>1423</v>
      </c>
      <c r="K634" s="42" t="s">
        <v>244</v>
      </c>
    </row>
    <row r="635" spans="1:11" x14ac:dyDescent="0.25">
      <c r="A635" s="81">
        <v>0</v>
      </c>
      <c r="B635" s="78">
        <v>45349</v>
      </c>
      <c r="C635" s="79">
        <v>36</v>
      </c>
      <c r="D635" s="42" t="s">
        <v>1713</v>
      </c>
      <c r="E635" s="42" t="s">
        <v>1707</v>
      </c>
      <c r="F635" s="80">
        <v>0</v>
      </c>
      <c r="G635" s="80">
        <v>2570</v>
      </c>
      <c r="H635" s="80">
        <v>0</v>
      </c>
      <c r="I635" s="42">
        <v>0</v>
      </c>
      <c r="J635" s="80">
        <v>2570</v>
      </c>
      <c r="K635" s="42" t="s">
        <v>244</v>
      </c>
    </row>
    <row r="636" spans="1:11" x14ac:dyDescent="0.25">
      <c r="A636" s="81">
        <v>2024001</v>
      </c>
      <c r="B636" s="78">
        <v>45349</v>
      </c>
      <c r="C636" s="79">
        <v>35</v>
      </c>
      <c r="D636" s="42" t="s">
        <v>1713</v>
      </c>
      <c r="E636" s="42" t="s">
        <v>433</v>
      </c>
      <c r="F636" s="80">
        <v>0</v>
      </c>
      <c r="G636" s="80">
        <v>8230</v>
      </c>
      <c r="H636" s="80">
        <v>0</v>
      </c>
      <c r="I636" s="42">
        <v>0</v>
      </c>
      <c r="J636" s="80">
        <v>8230</v>
      </c>
      <c r="K636" s="42" t="s">
        <v>244</v>
      </c>
    </row>
    <row r="637" spans="1:11" x14ac:dyDescent="0.25">
      <c r="A637" s="81">
        <v>2024021</v>
      </c>
      <c r="B637" s="78">
        <v>45349</v>
      </c>
      <c r="C637" s="79">
        <v>34</v>
      </c>
      <c r="D637" s="42" t="s">
        <v>1680</v>
      </c>
      <c r="E637" s="42" t="s">
        <v>1706</v>
      </c>
      <c r="F637" s="80">
        <v>0</v>
      </c>
      <c r="G637" s="80">
        <v>1200</v>
      </c>
      <c r="H637" s="80">
        <v>0</v>
      </c>
      <c r="I637" s="42">
        <v>0</v>
      </c>
      <c r="J637" s="80">
        <v>1200</v>
      </c>
      <c r="K637" s="42" t="s">
        <v>244</v>
      </c>
    </row>
    <row r="638" spans="1:11" x14ac:dyDescent="0.25">
      <c r="A638" s="81">
        <v>2024011</v>
      </c>
      <c r="B638" s="78">
        <v>45349</v>
      </c>
      <c r="C638" s="79">
        <v>33</v>
      </c>
      <c r="D638" s="42" t="s">
        <v>1692</v>
      </c>
      <c r="E638" s="42" t="s">
        <v>1705</v>
      </c>
      <c r="F638" s="80">
        <v>1450</v>
      </c>
      <c r="G638" s="80">
        <v>0</v>
      </c>
      <c r="H638" s="80">
        <v>0</v>
      </c>
      <c r="I638" s="42">
        <v>0</v>
      </c>
      <c r="J638" s="80">
        <v>1450</v>
      </c>
      <c r="K638" s="42" t="s">
        <v>244</v>
      </c>
    </row>
    <row r="639" spans="1:11" x14ac:dyDescent="0.25">
      <c r="A639" s="81">
        <v>2024022</v>
      </c>
      <c r="B639" s="78">
        <v>45349</v>
      </c>
      <c r="C639" s="79">
        <v>32</v>
      </c>
      <c r="D639" s="42" t="s">
        <v>1582</v>
      </c>
      <c r="E639" s="42" t="s">
        <v>1705</v>
      </c>
      <c r="F639" s="80">
        <v>1200</v>
      </c>
      <c r="G639" s="80">
        <v>0</v>
      </c>
      <c r="H639" s="80">
        <v>0</v>
      </c>
      <c r="I639" s="42">
        <v>0</v>
      </c>
      <c r="J639" s="80">
        <v>1200</v>
      </c>
      <c r="K639" s="42" t="s">
        <v>244</v>
      </c>
    </row>
    <row r="640" spans="1:11" x14ac:dyDescent="0.25">
      <c r="A640" s="81">
        <v>2024029</v>
      </c>
      <c r="B640" s="78">
        <v>45349</v>
      </c>
      <c r="C640" s="79">
        <v>31</v>
      </c>
      <c r="D640" s="42" t="s">
        <v>1712</v>
      </c>
      <c r="E640" s="42" t="s">
        <v>1705</v>
      </c>
      <c r="F640" s="80">
        <v>1433</v>
      </c>
      <c r="G640" s="80">
        <v>0</v>
      </c>
      <c r="H640" s="80">
        <v>0</v>
      </c>
      <c r="I640" s="42">
        <v>0</v>
      </c>
      <c r="J640" s="80">
        <v>1433</v>
      </c>
      <c r="K640" s="42" t="s">
        <v>244</v>
      </c>
    </row>
    <row r="641" spans="1:11" x14ac:dyDescent="0.25">
      <c r="A641" s="81">
        <v>2024005</v>
      </c>
      <c r="B641" s="78">
        <v>45349</v>
      </c>
      <c r="C641" s="79">
        <v>30</v>
      </c>
      <c r="D641" s="42" t="s">
        <v>1711</v>
      </c>
      <c r="E641" s="42" t="s">
        <v>1706</v>
      </c>
      <c r="F641" s="80">
        <v>0</v>
      </c>
      <c r="G641" s="80">
        <v>1200</v>
      </c>
      <c r="H641" s="80">
        <v>0</v>
      </c>
      <c r="I641" s="42">
        <v>0</v>
      </c>
      <c r="J641" s="80">
        <v>1200</v>
      </c>
      <c r="K641" s="42" t="s">
        <v>244</v>
      </c>
    </row>
    <row r="642" spans="1:11" x14ac:dyDescent="0.25">
      <c r="A642" s="81">
        <v>2024023</v>
      </c>
      <c r="B642" s="78">
        <v>45349</v>
      </c>
      <c r="C642" s="79">
        <v>29</v>
      </c>
      <c r="D642" s="42" t="s">
        <v>410</v>
      </c>
      <c r="E642" s="42" t="s">
        <v>1706</v>
      </c>
      <c r="F642" s="80">
        <v>1200</v>
      </c>
      <c r="G642" s="80">
        <v>0</v>
      </c>
      <c r="H642" s="80">
        <v>0</v>
      </c>
      <c r="I642" s="42">
        <v>0</v>
      </c>
      <c r="J642" s="80">
        <v>1200</v>
      </c>
      <c r="K642" s="42" t="s">
        <v>244</v>
      </c>
    </row>
    <row r="643" spans="1:11" x14ac:dyDescent="0.25">
      <c r="A643" s="81">
        <v>2024016</v>
      </c>
      <c r="B643" s="78">
        <v>45349</v>
      </c>
      <c r="C643" s="79">
        <v>28</v>
      </c>
      <c r="D643" s="42" t="s">
        <v>295</v>
      </c>
      <c r="E643" s="42" t="s">
        <v>1705</v>
      </c>
      <c r="F643" s="80">
        <v>1300</v>
      </c>
      <c r="G643" s="80">
        <v>0</v>
      </c>
      <c r="H643" s="80">
        <v>0</v>
      </c>
      <c r="I643" s="42">
        <v>0</v>
      </c>
      <c r="J643" s="80">
        <v>1300</v>
      </c>
      <c r="K643" s="42" t="s">
        <v>244</v>
      </c>
    </row>
    <row r="644" spans="1:11" x14ac:dyDescent="0.25">
      <c r="A644" s="81">
        <v>2024014</v>
      </c>
      <c r="B644" s="78">
        <v>45349</v>
      </c>
      <c r="C644" s="79">
        <v>27</v>
      </c>
      <c r="D644" s="42" t="s">
        <v>1710</v>
      </c>
      <c r="E644" s="42" t="s">
        <v>1705</v>
      </c>
      <c r="F644" s="80">
        <v>2700</v>
      </c>
      <c r="G644" s="80">
        <v>0</v>
      </c>
      <c r="H644" s="80">
        <v>0</v>
      </c>
      <c r="I644" s="42">
        <v>0</v>
      </c>
      <c r="J644" s="80">
        <v>2700</v>
      </c>
      <c r="K644" s="42" t="s">
        <v>244</v>
      </c>
    </row>
    <row r="645" spans="1:11" x14ac:dyDescent="0.25">
      <c r="A645" s="81">
        <v>2024006</v>
      </c>
      <c r="B645" s="78">
        <v>45349</v>
      </c>
      <c r="C645" s="79">
        <v>26</v>
      </c>
      <c r="D645" s="42" t="s">
        <v>1699</v>
      </c>
      <c r="E645" s="42" t="s">
        <v>1705</v>
      </c>
      <c r="F645" s="80">
        <v>1200</v>
      </c>
      <c r="G645" s="80">
        <v>0</v>
      </c>
      <c r="H645" s="80">
        <v>0</v>
      </c>
      <c r="I645" s="42">
        <v>0</v>
      </c>
      <c r="J645" s="80">
        <v>1200</v>
      </c>
      <c r="K645" s="42" t="s">
        <v>244</v>
      </c>
    </row>
    <row r="646" spans="1:11" x14ac:dyDescent="0.25">
      <c r="A646" s="81">
        <v>2024013</v>
      </c>
      <c r="B646" s="78">
        <v>45349</v>
      </c>
      <c r="C646" s="79">
        <v>25</v>
      </c>
      <c r="D646" s="42" t="s">
        <v>1700</v>
      </c>
      <c r="E646" s="42" t="s">
        <v>1706</v>
      </c>
      <c r="F646" s="80">
        <v>1187</v>
      </c>
      <c r="G646" s="80">
        <v>0</v>
      </c>
      <c r="H646" s="80">
        <v>0</v>
      </c>
      <c r="I646" s="42">
        <v>0</v>
      </c>
      <c r="J646" s="80">
        <v>1187</v>
      </c>
      <c r="K646" s="42" t="s">
        <v>244</v>
      </c>
    </row>
    <row r="647" spans="1:11" x14ac:dyDescent="0.25">
      <c r="A647" s="81">
        <v>2024020</v>
      </c>
      <c r="B647" s="78">
        <v>45349</v>
      </c>
      <c r="C647" s="79">
        <v>24</v>
      </c>
      <c r="D647" s="42" t="s">
        <v>1701</v>
      </c>
      <c r="E647" s="42" t="s">
        <v>1705</v>
      </c>
      <c r="F647" s="80">
        <v>0</v>
      </c>
      <c r="G647" s="80">
        <v>2620</v>
      </c>
      <c r="H647" s="80">
        <v>0</v>
      </c>
      <c r="I647" s="42" t="s">
        <v>1709</v>
      </c>
      <c r="J647" s="80">
        <v>2620</v>
      </c>
      <c r="K647" s="42" t="s">
        <v>244</v>
      </c>
    </row>
    <row r="648" spans="1:11" x14ac:dyDescent="0.25">
      <c r="A648" s="81">
        <v>2024024</v>
      </c>
      <c r="B648" s="78">
        <v>45349</v>
      </c>
      <c r="C648" s="79">
        <v>23</v>
      </c>
      <c r="D648" s="42" t="s">
        <v>410</v>
      </c>
      <c r="E648" s="42" t="s">
        <v>1705</v>
      </c>
      <c r="F648" s="80">
        <v>1433</v>
      </c>
      <c r="G648" s="80">
        <v>0</v>
      </c>
      <c r="H648" s="80">
        <v>0</v>
      </c>
      <c r="I648" s="42">
        <v>0</v>
      </c>
      <c r="J648" s="80">
        <v>1433</v>
      </c>
      <c r="K648" s="42" t="s">
        <v>244</v>
      </c>
    </row>
    <row r="649" spans="1:11" x14ac:dyDescent="0.25">
      <c r="A649" s="81">
        <v>2024009</v>
      </c>
      <c r="B649" s="78">
        <v>45349</v>
      </c>
      <c r="C649" s="79">
        <v>22</v>
      </c>
      <c r="D649" s="42" t="s">
        <v>300</v>
      </c>
      <c r="E649" s="42" t="s">
        <v>1706</v>
      </c>
      <c r="F649" s="80">
        <v>0</v>
      </c>
      <c r="G649" s="80">
        <v>1200</v>
      </c>
      <c r="H649" s="80">
        <v>0</v>
      </c>
      <c r="I649" s="42">
        <v>0</v>
      </c>
      <c r="J649" s="80">
        <v>1200</v>
      </c>
      <c r="K649" s="42" t="s">
        <v>244</v>
      </c>
    </row>
    <row r="650" spans="1:11" x14ac:dyDescent="0.25">
      <c r="A650" s="81">
        <v>2024009</v>
      </c>
      <c r="B650" s="78">
        <v>45349</v>
      </c>
      <c r="C650" s="79">
        <v>21</v>
      </c>
      <c r="D650" s="42" t="s">
        <v>300</v>
      </c>
      <c r="E650" s="42" t="s">
        <v>434</v>
      </c>
      <c r="F650" s="80">
        <v>0</v>
      </c>
      <c r="G650" s="80">
        <v>377</v>
      </c>
      <c r="H650" s="80">
        <v>0</v>
      </c>
      <c r="I650" s="42" t="s">
        <v>1698</v>
      </c>
      <c r="J650" s="80">
        <v>377</v>
      </c>
      <c r="K650" s="42">
        <v>171</v>
      </c>
    </row>
    <row r="651" spans="1:11" x14ac:dyDescent="0.25">
      <c r="A651" s="81">
        <v>2024009</v>
      </c>
      <c r="B651" s="78">
        <v>45349</v>
      </c>
      <c r="C651" s="79">
        <v>20</v>
      </c>
      <c r="D651" s="42" t="s">
        <v>300</v>
      </c>
      <c r="E651" s="42" t="s">
        <v>433</v>
      </c>
      <c r="F651" s="80">
        <v>0</v>
      </c>
      <c r="G651" s="80">
        <v>823</v>
      </c>
      <c r="H651" s="80">
        <v>0</v>
      </c>
      <c r="I651" s="42" t="s">
        <v>1698</v>
      </c>
      <c r="J651" s="80">
        <v>823</v>
      </c>
      <c r="K651" s="42">
        <v>170</v>
      </c>
    </row>
    <row r="652" spans="1:11" x14ac:dyDescent="0.25">
      <c r="A652" s="81">
        <v>2024024</v>
      </c>
      <c r="B652" s="78">
        <v>45349</v>
      </c>
      <c r="C652" s="79">
        <v>19</v>
      </c>
      <c r="D652" s="42" t="s">
        <v>410</v>
      </c>
      <c r="E652" s="42" t="s">
        <v>434</v>
      </c>
      <c r="F652" s="80">
        <v>610</v>
      </c>
      <c r="G652" s="80">
        <v>0</v>
      </c>
      <c r="H652" s="80">
        <v>0</v>
      </c>
      <c r="I652" s="42" t="s">
        <v>1698</v>
      </c>
      <c r="J652" s="80">
        <v>610</v>
      </c>
      <c r="K652" s="42">
        <v>170</v>
      </c>
    </row>
    <row r="653" spans="1:11" x14ac:dyDescent="0.25">
      <c r="A653" s="81">
        <v>2024024</v>
      </c>
      <c r="B653" s="78">
        <v>45349</v>
      </c>
      <c r="C653" s="79">
        <v>18</v>
      </c>
      <c r="D653" s="42" t="s">
        <v>410</v>
      </c>
      <c r="E653" s="42" t="s">
        <v>433</v>
      </c>
      <c r="F653" s="80">
        <v>823</v>
      </c>
      <c r="G653" s="80">
        <v>0</v>
      </c>
      <c r="H653" s="80">
        <v>0</v>
      </c>
      <c r="I653" s="42" t="s">
        <v>1698</v>
      </c>
      <c r="J653" s="80">
        <v>823</v>
      </c>
      <c r="K653" s="42">
        <v>169</v>
      </c>
    </row>
    <row r="654" spans="1:11" x14ac:dyDescent="0.25">
      <c r="A654" s="81">
        <v>2024020</v>
      </c>
      <c r="B654" s="78">
        <v>45349</v>
      </c>
      <c r="C654" s="79">
        <v>17</v>
      </c>
      <c r="D654" s="42" t="s">
        <v>1701</v>
      </c>
      <c r="E654" s="42" t="s">
        <v>434</v>
      </c>
      <c r="F654" s="80">
        <v>0</v>
      </c>
      <c r="G654" s="80">
        <v>974</v>
      </c>
      <c r="H654" s="80">
        <v>0</v>
      </c>
      <c r="I654" s="42" t="s">
        <v>1703</v>
      </c>
      <c r="J654" s="80">
        <v>974</v>
      </c>
      <c r="K654" s="42" t="s">
        <v>1704</v>
      </c>
    </row>
    <row r="655" spans="1:11" x14ac:dyDescent="0.25">
      <c r="A655" s="81">
        <v>2024020</v>
      </c>
      <c r="B655" s="78">
        <v>45349</v>
      </c>
      <c r="C655" s="79">
        <v>16</v>
      </c>
      <c r="D655" s="42" t="s">
        <v>1701</v>
      </c>
      <c r="E655" s="42" t="s">
        <v>433</v>
      </c>
      <c r="F655" s="80">
        <v>0</v>
      </c>
      <c r="G655" s="80">
        <v>1646</v>
      </c>
      <c r="H655" s="80">
        <v>0</v>
      </c>
      <c r="I655" s="42" t="s">
        <v>1698</v>
      </c>
      <c r="J655" s="80">
        <v>1646</v>
      </c>
      <c r="K655" s="42" t="s">
        <v>1702</v>
      </c>
    </row>
    <row r="656" spans="1:11" x14ac:dyDescent="0.25">
      <c r="A656" s="81">
        <v>2024013</v>
      </c>
      <c r="B656" s="78">
        <v>45349</v>
      </c>
      <c r="C656" s="79">
        <v>15</v>
      </c>
      <c r="D656" s="42" t="s">
        <v>1700</v>
      </c>
      <c r="E656" s="42" t="s">
        <v>434</v>
      </c>
      <c r="F656" s="80">
        <v>364</v>
      </c>
      <c r="G656" s="80">
        <v>0</v>
      </c>
      <c r="H656" s="80">
        <v>0</v>
      </c>
      <c r="I656" s="42" t="s">
        <v>1698</v>
      </c>
      <c r="J656" s="80">
        <v>364</v>
      </c>
      <c r="K656" s="42">
        <v>181</v>
      </c>
    </row>
    <row r="657" spans="1:11" x14ac:dyDescent="0.25">
      <c r="A657" s="81">
        <v>2024013</v>
      </c>
      <c r="B657" s="78">
        <v>45349</v>
      </c>
      <c r="C657" s="79">
        <v>14</v>
      </c>
      <c r="D657" s="42" t="s">
        <v>1700</v>
      </c>
      <c r="E657" s="42" t="s">
        <v>433</v>
      </c>
      <c r="F657" s="80">
        <v>823</v>
      </c>
      <c r="G657" s="80">
        <v>0</v>
      </c>
      <c r="H657" s="80">
        <v>0</v>
      </c>
      <c r="I657" s="42" t="s">
        <v>1698</v>
      </c>
      <c r="J657" s="80">
        <v>823</v>
      </c>
      <c r="K657" s="42">
        <v>179</v>
      </c>
    </row>
    <row r="658" spans="1:11" x14ac:dyDescent="0.25">
      <c r="A658" s="81">
        <v>2024006</v>
      </c>
      <c r="B658" s="78">
        <v>45349</v>
      </c>
      <c r="C658" s="79">
        <v>13</v>
      </c>
      <c r="D658" s="42" t="s">
        <v>1699</v>
      </c>
      <c r="E658" s="42" t="s">
        <v>434</v>
      </c>
      <c r="F658" s="80">
        <v>377</v>
      </c>
      <c r="G658" s="80">
        <v>0</v>
      </c>
      <c r="H658" s="80">
        <v>0</v>
      </c>
      <c r="I658" s="42" t="s">
        <v>1698</v>
      </c>
      <c r="J658" s="80">
        <v>377</v>
      </c>
      <c r="K658" s="42">
        <v>184</v>
      </c>
    </row>
    <row r="659" spans="1:11" x14ac:dyDescent="0.25">
      <c r="A659" s="81">
        <v>2024006</v>
      </c>
      <c r="B659" s="78">
        <v>45349</v>
      </c>
      <c r="C659" s="79">
        <v>12</v>
      </c>
      <c r="D659" s="42" t="s">
        <v>1699</v>
      </c>
      <c r="E659" s="42" t="s">
        <v>433</v>
      </c>
      <c r="F659" s="80">
        <v>823</v>
      </c>
      <c r="G659" s="80">
        <v>0</v>
      </c>
      <c r="H659" s="80">
        <v>0</v>
      </c>
      <c r="I659" s="42" t="s">
        <v>1698</v>
      </c>
      <c r="J659" s="80">
        <v>823</v>
      </c>
      <c r="K659" s="42">
        <v>182</v>
      </c>
    </row>
    <row r="660" spans="1:11" x14ac:dyDescent="0.25">
      <c r="A660" s="81">
        <v>2024016</v>
      </c>
      <c r="B660" s="78">
        <v>45349</v>
      </c>
      <c r="C660" s="79">
        <v>11</v>
      </c>
      <c r="D660" s="42" t="s">
        <v>295</v>
      </c>
      <c r="E660" s="42" t="s">
        <v>434</v>
      </c>
      <c r="F660" s="80">
        <v>610</v>
      </c>
      <c r="G660" s="80">
        <v>0</v>
      </c>
      <c r="H660" s="80">
        <v>0</v>
      </c>
      <c r="I660" s="42" t="s">
        <v>1698</v>
      </c>
      <c r="J660" s="80">
        <v>610</v>
      </c>
      <c r="K660" s="42" t="s">
        <v>244</v>
      </c>
    </row>
    <row r="661" spans="1:11" x14ac:dyDescent="0.25">
      <c r="A661" s="81">
        <v>2024016</v>
      </c>
      <c r="B661" s="78">
        <v>45349</v>
      </c>
      <c r="C661" s="79">
        <v>10</v>
      </c>
      <c r="D661" s="42" t="s">
        <v>295</v>
      </c>
      <c r="E661" s="42" t="s">
        <v>433</v>
      </c>
      <c r="F661" s="80">
        <v>690</v>
      </c>
      <c r="G661" s="80">
        <v>0</v>
      </c>
      <c r="H661" s="80">
        <v>0</v>
      </c>
      <c r="I661" s="42" t="s">
        <v>1698</v>
      </c>
      <c r="J661" s="80">
        <v>690</v>
      </c>
      <c r="K661" s="42" t="s">
        <v>244</v>
      </c>
    </row>
    <row r="662" spans="1:11" x14ac:dyDescent="0.25">
      <c r="A662" s="81">
        <v>2024023</v>
      </c>
      <c r="B662" s="78">
        <v>45349</v>
      </c>
      <c r="C662" s="79">
        <v>9</v>
      </c>
      <c r="D662" s="42" t="s">
        <v>410</v>
      </c>
      <c r="E662" s="42" t="s">
        <v>434</v>
      </c>
      <c r="F662" s="80">
        <v>377</v>
      </c>
      <c r="G662" s="80">
        <v>0</v>
      </c>
      <c r="H662" s="80">
        <v>0</v>
      </c>
      <c r="I662" s="42" t="s">
        <v>1697</v>
      </c>
      <c r="J662" s="80">
        <v>377</v>
      </c>
      <c r="K662" s="42">
        <v>0</v>
      </c>
    </row>
    <row r="663" spans="1:11" x14ac:dyDescent="0.25">
      <c r="A663" s="81">
        <v>2024023</v>
      </c>
      <c r="B663" s="78">
        <v>45349</v>
      </c>
      <c r="C663" s="79">
        <v>9</v>
      </c>
      <c r="D663" s="42" t="s">
        <v>410</v>
      </c>
      <c r="E663" s="42" t="s">
        <v>433</v>
      </c>
      <c r="F663" s="80">
        <v>823</v>
      </c>
      <c r="G663" s="80">
        <v>0</v>
      </c>
      <c r="H663" s="80">
        <v>0</v>
      </c>
      <c r="I663" s="42">
        <v>0</v>
      </c>
      <c r="J663" s="80">
        <v>823</v>
      </c>
      <c r="K663" s="42">
        <v>0</v>
      </c>
    </row>
    <row r="664" spans="1:11" x14ac:dyDescent="0.25">
      <c r="A664" s="81">
        <v>2024004</v>
      </c>
      <c r="B664" s="78">
        <v>45349</v>
      </c>
      <c r="C664" s="79">
        <v>8</v>
      </c>
      <c r="D664" s="42" t="s">
        <v>1696</v>
      </c>
      <c r="E664" s="42" t="s">
        <v>434</v>
      </c>
      <c r="F664" s="80">
        <v>1948</v>
      </c>
      <c r="G664" s="80">
        <v>0</v>
      </c>
      <c r="H664" s="80">
        <v>0</v>
      </c>
      <c r="I664" s="42">
        <v>0</v>
      </c>
      <c r="J664" s="80">
        <v>1948</v>
      </c>
      <c r="K664" s="42" t="s">
        <v>244</v>
      </c>
    </row>
    <row r="665" spans="1:11" x14ac:dyDescent="0.25">
      <c r="A665" s="81">
        <v>2024004</v>
      </c>
      <c r="B665" s="78">
        <v>45349</v>
      </c>
      <c r="C665" s="79">
        <v>7</v>
      </c>
      <c r="D665" s="42" t="s">
        <v>1694</v>
      </c>
      <c r="E665" s="42" t="s">
        <v>433</v>
      </c>
      <c r="F665" s="80">
        <v>2952</v>
      </c>
      <c r="G665" s="80">
        <v>0</v>
      </c>
      <c r="H665" s="80">
        <v>0</v>
      </c>
      <c r="I665" s="42" t="s">
        <v>1695</v>
      </c>
      <c r="J665" s="80">
        <v>2952</v>
      </c>
      <c r="K665" s="42" t="s">
        <v>244</v>
      </c>
    </row>
    <row r="666" spans="1:11" x14ac:dyDescent="0.25">
      <c r="A666" s="81">
        <v>2024022</v>
      </c>
      <c r="B666" s="78">
        <v>45349</v>
      </c>
      <c r="C666" s="79">
        <v>6</v>
      </c>
      <c r="D666" s="42" t="s">
        <v>1582</v>
      </c>
      <c r="E666" s="42" t="s">
        <v>434</v>
      </c>
      <c r="F666" s="80">
        <v>0</v>
      </c>
      <c r="G666" s="80">
        <v>377</v>
      </c>
      <c r="H666" s="80">
        <v>0</v>
      </c>
      <c r="I666" s="42">
        <v>0</v>
      </c>
      <c r="J666" s="80">
        <v>377</v>
      </c>
      <c r="K666" s="42">
        <v>11</v>
      </c>
    </row>
    <row r="667" spans="1:11" x14ac:dyDescent="0.25">
      <c r="A667" s="81">
        <v>2024022</v>
      </c>
      <c r="B667" s="78">
        <v>45349</v>
      </c>
      <c r="C667" s="79">
        <v>5</v>
      </c>
      <c r="D667" s="42" t="s">
        <v>1582</v>
      </c>
      <c r="E667" s="42" t="s">
        <v>433</v>
      </c>
      <c r="F667" s="80">
        <v>0</v>
      </c>
      <c r="G667" s="80">
        <v>823</v>
      </c>
      <c r="H667" s="80">
        <v>0</v>
      </c>
      <c r="I667" s="42">
        <v>0</v>
      </c>
      <c r="J667" s="80">
        <v>823</v>
      </c>
      <c r="K667" s="42">
        <v>13</v>
      </c>
    </row>
    <row r="668" spans="1:11" x14ac:dyDescent="0.25">
      <c r="A668" s="81">
        <v>2024021</v>
      </c>
      <c r="B668" s="78">
        <v>45349</v>
      </c>
      <c r="C668" s="79">
        <v>4</v>
      </c>
      <c r="D668" s="42" t="s">
        <v>1680</v>
      </c>
      <c r="E668" s="42" t="s">
        <v>434</v>
      </c>
      <c r="F668" s="80">
        <v>364</v>
      </c>
      <c r="G668" s="80">
        <v>0</v>
      </c>
      <c r="H668" s="80">
        <v>0</v>
      </c>
      <c r="I668" s="42">
        <v>0</v>
      </c>
      <c r="J668" s="80">
        <v>364</v>
      </c>
      <c r="K668" s="42">
        <v>0</v>
      </c>
    </row>
    <row r="669" spans="1:11" x14ac:dyDescent="0.25">
      <c r="A669" s="81">
        <v>2024021</v>
      </c>
      <c r="B669" s="78">
        <v>45349</v>
      </c>
      <c r="C669" s="79">
        <v>3</v>
      </c>
      <c r="D669" s="42" t="s">
        <v>1680</v>
      </c>
      <c r="E669" s="42" t="s">
        <v>433</v>
      </c>
      <c r="F669" s="80">
        <v>827</v>
      </c>
      <c r="G669" s="80">
        <v>0</v>
      </c>
      <c r="H669" s="80">
        <v>0</v>
      </c>
      <c r="I669" s="42">
        <v>0</v>
      </c>
      <c r="J669" s="80">
        <v>827</v>
      </c>
      <c r="K669" s="42">
        <v>0</v>
      </c>
    </row>
    <row r="670" spans="1:11" x14ac:dyDescent="0.25">
      <c r="A670" s="81">
        <v>2024011</v>
      </c>
      <c r="B670" s="78">
        <v>45349</v>
      </c>
      <c r="C670" s="79">
        <v>2</v>
      </c>
      <c r="D670" s="42" t="s">
        <v>1692</v>
      </c>
      <c r="E670" s="42" t="s">
        <v>434</v>
      </c>
      <c r="F670" s="80">
        <v>627</v>
      </c>
      <c r="G670" s="80">
        <v>0</v>
      </c>
      <c r="H670" s="80">
        <v>0</v>
      </c>
      <c r="I670" s="42">
        <v>0</v>
      </c>
      <c r="J670" s="80">
        <v>627</v>
      </c>
      <c r="K670" s="42">
        <v>25</v>
      </c>
    </row>
    <row r="671" spans="1:11" x14ac:dyDescent="0.25">
      <c r="A671" s="81">
        <v>2024011</v>
      </c>
      <c r="B671" s="78">
        <v>45349</v>
      </c>
      <c r="C671" s="79">
        <v>1</v>
      </c>
      <c r="D671" s="42" t="s">
        <v>1692</v>
      </c>
      <c r="E671" s="42" t="s">
        <v>433</v>
      </c>
      <c r="F671" s="80">
        <v>823</v>
      </c>
      <c r="G671" s="80">
        <v>0</v>
      </c>
      <c r="H671" s="80">
        <v>0</v>
      </c>
      <c r="I671" s="42">
        <v>0</v>
      </c>
      <c r="J671" s="80">
        <v>823</v>
      </c>
      <c r="K671" s="42">
        <v>22</v>
      </c>
    </row>
    <row r="672" spans="1:11" x14ac:dyDescent="0.25">
      <c r="A672" s="81"/>
      <c r="B672" s="78"/>
      <c r="C672" s="79"/>
      <c r="F672" s="80"/>
      <c r="G672" s="80"/>
      <c r="H672" s="80"/>
      <c r="J672" s="80"/>
    </row>
    <row r="673" spans="1:10" x14ac:dyDescent="0.25">
      <c r="A673" s="81"/>
      <c r="B673" s="78"/>
      <c r="C673" s="79"/>
      <c r="F673" s="80"/>
      <c r="G673" s="80"/>
      <c r="H673" s="80"/>
      <c r="J673" s="80" t="str">
        <f>IF(nombres[[#This Row],[DETALLE]]="","",nombres[[#This Row],[INGRESO TRANS.ó QR]]+nombres[[#This Row],[INGRESO EFECTIVO]])</f>
        <v/>
      </c>
    </row>
    <row r="674" spans="1:10" x14ac:dyDescent="0.25">
      <c r="A674" s="81"/>
      <c r="B674" s="78"/>
      <c r="C674" s="79"/>
      <c r="F674" s="80"/>
      <c r="G674" s="80"/>
      <c r="H674" s="80"/>
      <c r="J674" s="80" t="str">
        <f>IF(nombres[[#This Row],[DETALLE]]="","",nombres[[#This Row],[INGRESO TRANS.ó QR]]+nombres[[#This Row],[INGRESO EFECTIVO]])</f>
        <v/>
      </c>
    </row>
    <row r="675" spans="1:10" x14ac:dyDescent="0.25">
      <c r="A675" s="81"/>
      <c r="B675" s="78"/>
      <c r="C675" s="79"/>
      <c r="F675" s="80"/>
      <c r="G675" s="80"/>
      <c r="H675" s="80"/>
      <c r="J675" s="80" t="str">
        <f>IF(nombres[[#This Row],[DETALLE]]="","",nombres[[#This Row],[INGRESO TRANS.ó QR]]+nombres[[#This Row],[INGRESO EFECTIVO]])</f>
        <v/>
      </c>
    </row>
    <row r="676" spans="1:10" x14ac:dyDescent="0.25">
      <c r="A676" s="81"/>
      <c r="B676" s="78"/>
      <c r="C676" s="79"/>
      <c r="F676" s="80"/>
      <c r="G676" s="80"/>
      <c r="H676" s="80"/>
      <c r="J676" s="80" t="str">
        <f>IF(nombres[[#This Row],[DETALLE]]="","",nombres[[#This Row],[INGRESO TRANS.ó QR]]+nombres[[#This Row],[INGRESO EFECTIVO]])</f>
        <v/>
      </c>
    </row>
    <row r="677" spans="1:10" x14ac:dyDescent="0.25">
      <c r="A677" s="81"/>
      <c r="B677" s="78"/>
      <c r="C677" s="79"/>
      <c r="F677" s="80"/>
      <c r="G677" s="80"/>
      <c r="H677" s="80"/>
      <c r="J677" s="80" t="str">
        <f>IF(nombres[[#This Row],[DETALLE]]="","",nombres[[#This Row],[INGRESO TRANS.ó QR]]+nombres[[#This Row],[INGRESO EFECTIVO]])</f>
        <v/>
      </c>
    </row>
    <row r="678" spans="1:10" x14ac:dyDescent="0.25">
      <c r="A678" s="81"/>
      <c r="B678" s="78"/>
      <c r="C678" s="79"/>
      <c r="F678" s="80"/>
      <c r="G678" s="80"/>
      <c r="H678" s="80"/>
      <c r="J678" s="80" t="str">
        <f>IF(nombres[[#This Row],[DETALLE]]="","",nombres[[#This Row],[INGRESO TRANS.ó QR]]+nombres[[#This Row],[INGRESO EFECTIVO]])</f>
        <v/>
      </c>
    </row>
    <row r="679" spans="1:10" x14ac:dyDescent="0.25">
      <c r="A679" s="81"/>
      <c r="B679" s="78"/>
      <c r="C679" s="79"/>
      <c r="F679" s="80"/>
      <c r="G679" s="80"/>
      <c r="H679" s="80"/>
      <c r="J679" s="80" t="str">
        <f>IF(nombres[[#This Row],[DETALLE]]="","",nombres[[#This Row],[INGRESO TRANS.ó QR]]+nombres[[#This Row],[INGRESO EFECTIVO]])</f>
        <v/>
      </c>
    </row>
    <row r="680" spans="1:10" x14ac:dyDescent="0.25">
      <c r="A680" s="81"/>
      <c r="B680" s="78"/>
      <c r="C680" s="79"/>
      <c r="F680" s="80"/>
      <c r="G680" s="80"/>
      <c r="H680" s="80"/>
      <c r="J680" s="80" t="str">
        <f>IF(nombres[[#This Row],[DETALLE]]="","",nombres[[#This Row],[INGRESO TRANS.ó QR]]+nombres[[#This Row],[INGRESO EFECTIVO]])</f>
        <v/>
      </c>
    </row>
    <row r="681" spans="1:10" x14ac:dyDescent="0.25">
      <c r="A681" s="81"/>
      <c r="B681" s="78"/>
      <c r="C681" s="79"/>
      <c r="F681" s="80"/>
      <c r="G681" s="80"/>
      <c r="H681" s="80"/>
      <c r="J681" s="80" t="str">
        <f>IF(nombres[[#This Row],[DETALLE]]="","",nombres[[#This Row],[INGRESO TRANS.ó QR]]+nombres[[#This Row],[INGRESO EFECTIVO]])</f>
        <v/>
      </c>
    </row>
    <row r="682" spans="1:10" x14ac:dyDescent="0.25">
      <c r="A682" s="81"/>
      <c r="B682" s="78"/>
      <c r="C682" s="79"/>
      <c r="F682" s="80"/>
      <c r="G682" s="80"/>
      <c r="H682" s="80"/>
      <c r="J682" s="80" t="str">
        <f>IF(nombres[[#This Row],[DETALLE]]="","",nombres[[#This Row],[INGRESO TRANS.ó QR]]+nombres[[#This Row],[INGRESO EFECTIVO]])</f>
        <v/>
      </c>
    </row>
    <row r="683" spans="1:10" ht="15.6" x14ac:dyDescent="0.3">
      <c r="A683" s="77"/>
      <c r="B683" s="78"/>
      <c r="C683" s="79"/>
      <c r="F683" s="80"/>
      <c r="G683" s="80"/>
      <c r="H683" s="80"/>
      <c r="J683" s="80" t="str">
        <f>IF(nombres[[#This Row],[DETALLE]]="","",nombres[[#This Row],[INGRESO TRANS.ó QR]]+nombres[[#This Row],[INGRESO EFECTIVO]])</f>
        <v/>
      </c>
    </row>
    <row r="684" spans="1:10" ht="15.6" x14ac:dyDescent="0.3">
      <c r="A684" s="77"/>
      <c r="B684" s="78"/>
      <c r="C684" s="79"/>
      <c r="F684" s="80"/>
      <c r="G684" s="80"/>
      <c r="H684" s="80"/>
      <c r="J684" s="80" t="str">
        <f>IF(nombres[[#This Row],[DETALLE]]="","",nombres[[#This Row],[INGRESO TRANS.ó QR]]+nombres[[#This Row],[INGRESO EFECTIVO]])</f>
        <v/>
      </c>
    </row>
    <row r="685" spans="1:10" x14ac:dyDescent="0.25">
      <c r="A685" s="81" t="str">
        <f t="shared" ref="A685:A688" si="0">IF(E685&lt;&gt;"",ROW(A683),"")</f>
        <v/>
      </c>
      <c r="B685" s="78"/>
      <c r="C685" s="79" t="str">
        <f t="shared" ref="C685:C688" si="1">IF(E685&lt;&gt;"",ROW(A683),"")</f>
        <v/>
      </c>
      <c r="F685" s="80"/>
      <c r="G685" s="80"/>
      <c r="H685" s="80"/>
      <c r="J685" s="80" t="str">
        <f>IF(nombres[[#This Row],[DETALLE]]="","",nombres[[#This Row],[INGRESO TRANS.ó QR]]+nombres[[#This Row],[INGRESO EFECTIVO]])</f>
        <v/>
      </c>
    </row>
    <row r="686" spans="1:10" x14ac:dyDescent="0.25">
      <c r="A686" s="81" t="str">
        <f t="shared" si="0"/>
        <v/>
      </c>
      <c r="B686" s="78"/>
      <c r="C686" s="79" t="str">
        <f t="shared" si="1"/>
        <v/>
      </c>
      <c r="F686" s="80"/>
      <c r="G686" s="80"/>
      <c r="H686" s="80"/>
      <c r="J686" s="80" t="str">
        <f>IF(nombres[[#This Row],[DETALLE]]="","",nombres[[#This Row],[INGRESO TRANS.ó QR]]+nombres[[#This Row],[INGRESO EFECTIVO]])</f>
        <v/>
      </c>
    </row>
    <row r="687" spans="1:10" x14ac:dyDescent="0.25">
      <c r="A687" s="81" t="str">
        <f t="shared" si="0"/>
        <v/>
      </c>
      <c r="B687" s="78"/>
      <c r="C687" s="79" t="str">
        <f t="shared" si="1"/>
        <v/>
      </c>
      <c r="F687" s="80"/>
      <c r="G687" s="80"/>
      <c r="H687" s="80"/>
      <c r="J687" s="80" t="str">
        <f>IF(nombres[[#This Row],[DETALLE]]="","",nombres[[#This Row],[INGRESO TRANS.ó QR]]+nombres[[#This Row],[INGRESO EFECTIVO]])</f>
        <v/>
      </c>
    </row>
    <row r="688" spans="1:10" x14ac:dyDescent="0.25">
      <c r="A688" s="81" t="str">
        <f t="shared" si="0"/>
        <v/>
      </c>
      <c r="B688" s="78"/>
      <c r="C688" s="79" t="str">
        <f t="shared" si="1"/>
        <v/>
      </c>
      <c r="F688" s="80"/>
      <c r="G688" s="80"/>
      <c r="H688" s="80"/>
      <c r="J688" s="80" t="str">
        <f>IF(nombres[[#This Row],[DETALLE]]="","",nombres[[#This Row],[INGRESO TRANS.ó QR]]+nombres[[#This Row],[INGRESO EFECTIVO]])</f>
        <v/>
      </c>
    </row>
    <row r="689" spans="1:11" ht="15.6" x14ac:dyDescent="0.3">
      <c r="A689" s="77"/>
      <c r="B689" s="78"/>
      <c r="C689" s="79"/>
      <c r="F689" s="80"/>
      <c r="G689" s="80"/>
      <c r="H689" s="80"/>
      <c r="J689" s="80" t="str">
        <f>IF(nombres[[#This Row],[DETALLE]]="","",nombres[[#This Row],[INGRESO TRANS.ó QR]]+nombres[[#This Row],[INGRESO EFECTIVO]])</f>
        <v/>
      </c>
    </row>
    <row r="690" spans="1:11" ht="18" thickBot="1" x14ac:dyDescent="0.35">
      <c r="A690" s="82" t="s">
        <v>452</v>
      </c>
      <c r="B690" s="82"/>
      <c r="C690" s="82"/>
      <c r="D690" s="82"/>
      <c r="E690" s="82"/>
      <c r="F690" s="83">
        <f>SUBTOTAL(109,nombres[INGRESO EFECTIVO])</f>
        <v>471622</v>
      </c>
      <c r="G690" s="83">
        <f>SUBTOTAL(109,nombres[INGRESO TRANS.ó QR])</f>
        <v>368184.3</v>
      </c>
      <c r="H690" s="84">
        <f>SUBTOTAL(109,nombres[EGRESO])</f>
        <v>0</v>
      </c>
      <c r="I690" s="82"/>
      <c r="J690" s="82"/>
      <c r="K690" s="82"/>
    </row>
    <row r="691" spans="1:11" ht="18.600000000000001" thickTop="1" x14ac:dyDescent="0.35">
      <c r="A691" s="85" t="s">
        <v>453</v>
      </c>
      <c r="B691" s="86"/>
      <c r="C691" s="86"/>
      <c r="D691" s="86"/>
      <c r="E691" s="87">
        <f>nombres[[#Totals],[INGRESO EFECTIVO]]+nombres[[#Totals],[INGRESO TRANS.ó QR]]-nombres[[#Totals],[EGRESO]]</f>
        <v>839806.3</v>
      </c>
      <c r="F691" s="88"/>
      <c r="G691" s="88"/>
      <c r="H691" s="72"/>
      <c r="I691" s="82"/>
      <c r="J691" s="82"/>
      <c r="K691" s="82"/>
    </row>
    <row r="692" spans="1:11" ht="17.399999999999999" x14ac:dyDescent="0.3">
      <c r="I692" s="82"/>
      <c r="J692" s="82"/>
      <c r="K692" s="82"/>
    </row>
    <row r="1490" spans="15:872" ht="15.6" x14ac:dyDescent="0.25">
      <c r="O1490" s="74"/>
      <c r="P1490" s="151">
        <f t="array" ref="P1490:AGN1490">TRANSPOSE(CODIGOS!A2:A584)</f>
        <v>2024001</v>
      </c>
      <c r="Q1490" s="151">
        <v>2024002</v>
      </c>
      <c r="R1490" s="151">
        <v>2024003</v>
      </c>
      <c r="S1490" s="151">
        <v>2024004</v>
      </c>
      <c r="T1490" s="151">
        <v>2024005</v>
      </c>
      <c r="U1490" s="151">
        <v>2024006</v>
      </c>
      <c r="V1490" s="151">
        <v>2024007</v>
      </c>
      <c r="W1490" s="151">
        <v>2024008</v>
      </c>
      <c r="X1490" s="151">
        <v>2024009</v>
      </c>
      <c r="Y1490" s="151">
        <v>2024318</v>
      </c>
      <c r="Z1490" s="151">
        <v>2024010</v>
      </c>
      <c r="AA1490" s="151">
        <v>2024011</v>
      </c>
      <c r="AB1490" s="151">
        <v>2024012</v>
      </c>
      <c r="AC1490" s="151">
        <v>2024013</v>
      </c>
      <c r="AD1490" s="151">
        <v>2024014</v>
      </c>
      <c r="AE1490" s="151">
        <v>2024015</v>
      </c>
      <c r="AF1490" s="151">
        <v>2024016</v>
      </c>
      <c r="AG1490" s="151">
        <v>2024017</v>
      </c>
      <c r="AH1490" s="151">
        <v>2024018</v>
      </c>
      <c r="AI1490" s="151">
        <v>2024019</v>
      </c>
      <c r="AJ1490" s="151">
        <v>2024020</v>
      </c>
      <c r="AK1490" s="151">
        <v>2024021</v>
      </c>
      <c r="AL1490" s="151">
        <v>2024022</v>
      </c>
      <c r="AM1490" s="151">
        <v>2024023</v>
      </c>
      <c r="AN1490" s="151">
        <v>2024024</v>
      </c>
      <c r="AO1490" s="151">
        <v>2024025</v>
      </c>
      <c r="AP1490" s="151">
        <v>2024026</v>
      </c>
      <c r="AQ1490" s="151">
        <v>2024027</v>
      </c>
      <c r="AR1490" s="151">
        <v>2024028</v>
      </c>
      <c r="AS1490" s="151">
        <v>2024029</v>
      </c>
      <c r="AT1490" s="151">
        <v>2024030</v>
      </c>
      <c r="AU1490" s="151">
        <v>2024031</v>
      </c>
      <c r="AV1490" s="151">
        <v>2024032</v>
      </c>
      <c r="AW1490" s="151">
        <v>2024033</v>
      </c>
      <c r="AX1490" s="151">
        <v>2024034</v>
      </c>
      <c r="AY1490" s="151">
        <v>2024035</v>
      </c>
      <c r="AZ1490" s="151">
        <v>2024036</v>
      </c>
      <c r="BA1490" s="151">
        <v>2024037</v>
      </c>
      <c r="BB1490" s="151">
        <v>2024038</v>
      </c>
      <c r="BC1490" s="151">
        <v>2024039</v>
      </c>
      <c r="BD1490" s="151">
        <v>2024040</v>
      </c>
      <c r="BE1490" s="151">
        <v>2024041</v>
      </c>
      <c r="BF1490" s="151">
        <v>2024042</v>
      </c>
      <c r="BG1490" s="151">
        <v>2024043</v>
      </c>
      <c r="BH1490" s="151">
        <v>2024044</v>
      </c>
      <c r="BI1490" s="151">
        <v>2024045</v>
      </c>
      <c r="BJ1490" s="151">
        <v>2024046</v>
      </c>
      <c r="BK1490" s="151">
        <v>2024047</v>
      </c>
      <c r="BL1490" s="151">
        <v>2024048</v>
      </c>
      <c r="BM1490" s="151">
        <v>2024317</v>
      </c>
      <c r="BN1490" s="151">
        <v>2024049</v>
      </c>
      <c r="BO1490" s="151">
        <v>2024050</v>
      </c>
      <c r="BP1490" s="151">
        <v>2024051</v>
      </c>
      <c r="BQ1490" s="151">
        <v>2024052</v>
      </c>
      <c r="BR1490" s="151">
        <v>2024053</v>
      </c>
      <c r="BS1490" s="151">
        <v>2024054</v>
      </c>
      <c r="BT1490" s="151">
        <v>2024055</v>
      </c>
      <c r="BU1490" s="151">
        <v>2024056</v>
      </c>
      <c r="BV1490" s="151">
        <v>2024057</v>
      </c>
      <c r="BW1490" s="151">
        <v>2024058</v>
      </c>
      <c r="BX1490" s="151">
        <v>2024059</v>
      </c>
      <c r="BY1490" s="151">
        <v>2024060</v>
      </c>
      <c r="BZ1490" s="151">
        <v>2024061</v>
      </c>
      <c r="CA1490" s="151">
        <v>2024062</v>
      </c>
      <c r="CB1490" s="151">
        <v>2024063</v>
      </c>
      <c r="CC1490" s="151">
        <v>2024320</v>
      </c>
      <c r="CD1490" s="151">
        <v>2024064</v>
      </c>
      <c r="CE1490" s="151">
        <v>2024065</v>
      </c>
      <c r="CF1490" s="151">
        <v>2024316</v>
      </c>
      <c r="CG1490" s="151">
        <v>2024066</v>
      </c>
      <c r="CH1490" s="151">
        <v>2024067</v>
      </c>
      <c r="CI1490" s="151">
        <v>2024068</v>
      </c>
      <c r="CJ1490" s="151">
        <v>2024069</v>
      </c>
      <c r="CK1490" s="151">
        <v>2024070</v>
      </c>
      <c r="CL1490" s="151">
        <v>2024071</v>
      </c>
      <c r="CM1490" s="151">
        <v>2024072</v>
      </c>
      <c r="CN1490" s="151">
        <v>2024073</v>
      </c>
      <c r="CO1490" s="151">
        <v>2024074</v>
      </c>
      <c r="CP1490" s="151">
        <v>2024075</v>
      </c>
      <c r="CQ1490" s="151">
        <v>2024076</v>
      </c>
      <c r="CR1490" s="151">
        <v>2024077</v>
      </c>
      <c r="CS1490" s="151">
        <v>2024078</v>
      </c>
      <c r="CT1490" s="151">
        <v>2024079</v>
      </c>
      <c r="CU1490" s="151">
        <v>2024080</v>
      </c>
      <c r="CV1490" s="151">
        <v>2024081</v>
      </c>
      <c r="CW1490" s="151">
        <v>2024082</v>
      </c>
      <c r="CX1490" s="151">
        <v>2024083</v>
      </c>
      <c r="CY1490" s="151">
        <v>2024084</v>
      </c>
      <c r="CZ1490" s="151">
        <v>2024085</v>
      </c>
      <c r="DA1490" s="151">
        <v>2024086</v>
      </c>
      <c r="DB1490" s="151">
        <v>2024087</v>
      </c>
      <c r="DC1490" s="151">
        <v>2024088</v>
      </c>
      <c r="DD1490" s="151">
        <v>2024089</v>
      </c>
      <c r="DE1490" s="151">
        <v>2024090</v>
      </c>
      <c r="DF1490" s="151">
        <v>2024091</v>
      </c>
      <c r="DG1490" s="151">
        <v>2024092</v>
      </c>
      <c r="DH1490" s="151">
        <v>2024093</v>
      </c>
      <c r="DI1490" s="151">
        <v>2024094</v>
      </c>
      <c r="DJ1490" s="151">
        <v>2024095</v>
      </c>
      <c r="DK1490" s="151">
        <v>2024096</v>
      </c>
      <c r="DL1490" s="151">
        <v>2024097</v>
      </c>
      <c r="DM1490" s="151">
        <v>2024098</v>
      </c>
      <c r="DN1490" s="151">
        <v>2024099</v>
      </c>
      <c r="DO1490" s="151">
        <v>2024100</v>
      </c>
      <c r="DP1490" s="151">
        <v>2024101</v>
      </c>
      <c r="DQ1490" s="151">
        <v>2024102</v>
      </c>
      <c r="DR1490" s="151">
        <v>2024103</v>
      </c>
      <c r="DS1490" s="151">
        <v>2024104</v>
      </c>
      <c r="DT1490" s="151">
        <v>2024105</v>
      </c>
      <c r="DU1490" s="151">
        <v>2024106</v>
      </c>
      <c r="DV1490" s="151">
        <v>2024107</v>
      </c>
      <c r="DW1490" s="151">
        <v>2024108</v>
      </c>
      <c r="DX1490" s="151">
        <v>2024109</v>
      </c>
      <c r="DY1490" s="151">
        <v>2024110</v>
      </c>
      <c r="DZ1490" s="151">
        <v>2024111</v>
      </c>
      <c r="EA1490" s="151">
        <v>2024112</v>
      </c>
      <c r="EB1490" s="151">
        <v>2024113</v>
      </c>
      <c r="EC1490" s="151">
        <v>2024114</v>
      </c>
      <c r="ED1490" s="151">
        <v>2024115</v>
      </c>
      <c r="EE1490" s="151">
        <v>2024116</v>
      </c>
      <c r="EF1490" s="151">
        <v>2024117</v>
      </c>
      <c r="EG1490" s="151">
        <v>2024118</v>
      </c>
      <c r="EH1490" s="151">
        <v>2024119</v>
      </c>
      <c r="EI1490" s="151">
        <v>2024120</v>
      </c>
      <c r="EJ1490" s="151">
        <v>2024121</v>
      </c>
      <c r="EK1490" s="151">
        <v>2024122</v>
      </c>
      <c r="EL1490" s="151">
        <v>2024123</v>
      </c>
      <c r="EM1490" s="151">
        <v>2024124</v>
      </c>
      <c r="EN1490" s="151">
        <v>2024125</v>
      </c>
      <c r="EO1490" s="151">
        <v>2024126</v>
      </c>
      <c r="EP1490" s="151">
        <v>2024127</v>
      </c>
      <c r="EQ1490" s="151">
        <v>2024128</v>
      </c>
      <c r="ER1490" s="151">
        <v>2024129</v>
      </c>
      <c r="ES1490" s="151">
        <v>2024130</v>
      </c>
      <c r="ET1490" s="151">
        <v>2024131</v>
      </c>
      <c r="EU1490" s="151">
        <v>2024132</v>
      </c>
      <c r="EV1490" s="151">
        <v>2024133</v>
      </c>
      <c r="EW1490" s="151">
        <v>2024134</v>
      </c>
      <c r="EX1490" s="151">
        <v>2024135</v>
      </c>
      <c r="EY1490" s="151">
        <v>2024136</v>
      </c>
      <c r="EZ1490" s="151">
        <v>2024315</v>
      </c>
      <c r="FA1490" s="151">
        <v>2024137</v>
      </c>
      <c r="FB1490" s="151">
        <v>2024138</v>
      </c>
      <c r="FC1490" s="151">
        <v>2024139</v>
      </c>
      <c r="FD1490" s="151">
        <v>2024140</v>
      </c>
      <c r="FE1490" s="151">
        <v>2024141</v>
      </c>
      <c r="FF1490" s="151">
        <v>2024142</v>
      </c>
      <c r="FG1490" s="151">
        <v>2024143</v>
      </c>
      <c r="FH1490" s="151">
        <v>2024144</v>
      </c>
      <c r="FI1490" s="151">
        <v>2024145</v>
      </c>
      <c r="FJ1490" s="151">
        <v>2024146</v>
      </c>
      <c r="FK1490" s="151">
        <v>2024147</v>
      </c>
      <c r="FL1490" s="151">
        <v>2024148</v>
      </c>
      <c r="FM1490" s="151">
        <v>2024149</v>
      </c>
      <c r="FN1490" s="151">
        <v>2024150</v>
      </c>
      <c r="FO1490" s="151">
        <v>2024151</v>
      </c>
      <c r="FP1490" s="151">
        <v>2024323</v>
      </c>
      <c r="FQ1490" s="151">
        <v>2024152</v>
      </c>
      <c r="FR1490" s="151">
        <v>2024153</v>
      </c>
      <c r="FS1490" s="151">
        <v>2024154</v>
      </c>
      <c r="FT1490" s="151">
        <v>2024164</v>
      </c>
      <c r="FU1490" s="151">
        <v>2024155</v>
      </c>
      <c r="FV1490" s="151">
        <v>2024156</v>
      </c>
      <c r="FW1490" s="151">
        <v>2024157</v>
      </c>
      <c r="FX1490" s="151">
        <v>2024158</v>
      </c>
      <c r="FY1490" s="151">
        <v>2024159</v>
      </c>
      <c r="FZ1490" s="151">
        <v>2024160</v>
      </c>
      <c r="GA1490" s="151">
        <v>2024161</v>
      </c>
      <c r="GB1490" s="151">
        <v>2024162</v>
      </c>
      <c r="GC1490" s="151">
        <v>2024163</v>
      </c>
      <c r="GD1490" s="151">
        <v>2024165</v>
      </c>
      <c r="GE1490" s="151">
        <v>2024166</v>
      </c>
      <c r="GF1490" s="151">
        <v>2024167</v>
      </c>
      <c r="GG1490" s="151">
        <v>2024168</v>
      </c>
      <c r="GH1490" s="151">
        <v>2024169</v>
      </c>
      <c r="GI1490" s="151">
        <v>2024170</v>
      </c>
      <c r="GJ1490" s="151">
        <v>2024171</v>
      </c>
      <c r="GK1490" s="151">
        <v>2024172</v>
      </c>
      <c r="GL1490" s="151">
        <v>2024173</v>
      </c>
      <c r="GM1490" s="151">
        <v>2024174</v>
      </c>
      <c r="GN1490" s="151">
        <v>2024175</v>
      </c>
      <c r="GO1490" s="151">
        <v>2024176</v>
      </c>
      <c r="GP1490" s="151">
        <v>2024177</v>
      </c>
      <c r="GQ1490" s="151">
        <v>2024178</v>
      </c>
      <c r="GR1490" s="151">
        <v>2024179</v>
      </c>
      <c r="GS1490" s="151">
        <v>2024180</v>
      </c>
      <c r="GT1490" s="151">
        <v>2024181</v>
      </c>
      <c r="GU1490" s="151">
        <v>2024182</v>
      </c>
      <c r="GV1490" s="151">
        <v>2024183</v>
      </c>
      <c r="GW1490" s="151">
        <v>2024314</v>
      </c>
      <c r="GX1490" s="151">
        <v>2024184</v>
      </c>
      <c r="GY1490" s="151">
        <v>2024185</v>
      </c>
      <c r="GZ1490" s="151">
        <v>2024186</v>
      </c>
      <c r="HA1490" s="151">
        <v>2024187</v>
      </c>
      <c r="HB1490" s="151">
        <v>2024188</v>
      </c>
      <c r="HC1490" s="151">
        <v>2024189</v>
      </c>
      <c r="HD1490" s="151">
        <v>2024190</v>
      </c>
      <c r="HE1490" s="151">
        <v>2024191</v>
      </c>
      <c r="HF1490" s="151">
        <v>2024192</v>
      </c>
      <c r="HG1490" s="151">
        <v>2024193</v>
      </c>
      <c r="HH1490" s="151">
        <v>2024194</v>
      </c>
      <c r="HI1490" s="151">
        <v>2024195</v>
      </c>
      <c r="HJ1490" s="151">
        <v>2024196</v>
      </c>
      <c r="HK1490" s="151">
        <v>2024197</v>
      </c>
      <c r="HL1490" s="151">
        <v>2024198</v>
      </c>
      <c r="HM1490" s="151">
        <v>2024199</v>
      </c>
      <c r="HN1490" s="151">
        <v>2024200</v>
      </c>
      <c r="HO1490" s="151">
        <v>2024201</v>
      </c>
      <c r="HP1490" s="151">
        <v>2024202</v>
      </c>
      <c r="HQ1490" s="151">
        <v>2024203</v>
      </c>
      <c r="HR1490" s="151">
        <v>2024204</v>
      </c>
      <c r="HS1490" s="151">
        <v>2024205</v>
      </c>
      <c r="HT1490" s="151">
        <v>2024206</v>
      </c>
      <c r="HU1490" s="151">
        <v>2024207</v>
      </c>
      <c r="HV1490" s="151">
        <v>2024208</v>
      </c>
      <c r="HW1490" s="151">
        <v>2024209</v>
      </c>
      <c r="HX1490" s="151">
        <v>2024210</v>
      </c>
      <c r="HY1490" s="151">
        <v>2024211</v>
      </c>
      <c r="HZ1490" s="151">
        <v>2024212</v>
      </c>
      <c r="IA1490" s="151">
        <v>2024213</v>
      </c>
      <c r="IB1490" s="151">
        <v>2024214</v>
      </c>
      <c r="IC1490" s="151">
        <v>2024215</v>
      </c>
      <c r="ID1490" s="151">
        <v>2024216</v>
      </c>
      <c r="IE1490" s="151">
        <v>2024217</v>
      </c>
      <c r="IF1490" s="151">
        <v>2024218</v>
      </c>
      <c r="IG1490" s="151">
        <v>2024219</v>
      </c>
      <c r="IH1490" s="151">
        <v>2024321</v>
      </c>
      <c r="II1490" s="151">
        <v>2024220</v>
      </c>
      <c r="IJ1490" s="151">
        <v>2024221</v>
      </c>
      <c r="IK1490" s="151">
        <v>2024222</v>
      </c>
      <c r="IL1490" s="151">
        <v>2024223</v>
      </c>
      <c r="IM1490" s="151">
        <v>2024224</v>
      </c>
      <c r="IN1490" s="151">
        <v>2024319</v>
      </c>
      <c r="IO1490" s="151">
        <v>2024225</v>
      </c>
      <c r="IP1490" s="151">
        <v>2024226</v>
      </c>
      <c r="IQ1490" s="151">
        <v>2024227</v>
      </c>
      <c r="IR1490" s="151">
        <v>2024228</v>
      </c>
      <c r="IS1490" s="151">
        <v>2024229</v>
      </c>
      <c r="IT1490" s="151">
        <v>2024230</v>
      </c>
      <c r="IU1490" s="151">
        <v>2024231</v>
      </c>
      <c r="IV1490" s="151">
        <v>2024232</v>
      </c>
      <c r="IW1490" s="151">
        <v>2024233</v>
      </c>
      <c r="IX1490" s="151">
        <v>2024234</v>
      </c>
      <c r="IY1490" s="151">
        <v>2024235</v>
      </c>
      <c r="IZ1490" s="151">
        <v>2024236</v>
      </c>
      <c r="JA1490" s="151">
        <v>2024237</v>
      </c>
      <c r="JB1490" s="151">
        <v>2024238</v>
      </c>
      <c r="JC1490" s="151">
        <v>2024239</v>
      </c>
      <c r="JD1490" s="151">
        <v>2024240</v>
      </c>
      <c r="JE1490" s="151">
        <v>2024241</v>
      </c>
      <c r="JF1490" s="151">
        <v>2024242</v>
      </c>
      <c r="JG1490" s="151">
        <v>2024243</v>
      </c>
      <c r="JH1490" s="151">
        <v>2024244</v>
      </c>
      <c r="JI1490" s="151">
        <v>2024245</v>
      </c>
      <c r="JJ1490" s="151">
        <v>2024246</v>
      </c>
      <c r="JK1490" s="151">
        <v>2024247</v>
      </c>
      <c r="JL1490" s="151">
        <v>2024248</v>
      </c>
      <c r="JM1490" s="151">
        <v>2024249</v>
      </c>
      <c r="JN1490" s="151">
        <v>2024250</v>
      </c>
      <c r="JO1490" s="151">
        <v>2024251</v>
      </c>
      <c r="JP1490" s="151">
        <v>2024252</v>
      </c>
      <c r="JQ1490" s="151">
        <v>2024253</v>
      </c>
      <c r="JR1490" s="151">
        <v>2024254</v>
      </c>
      <c r="JS1490" s="151">
        <v>2024255</v>
      </c>
      <c r="JT1490" s="151">
        <v>2024256</v>
      </c>
      <c r="JU1490" s="151">
        <v>2024257</v>
      </c>
      <c r="JV1490" s="151">
        <v>2024258</v>
      </c>
      <c r="JW1490" s="151">
        <v>2024259</v>
      </c>
      <c r="JX1490" s="151">
        <v>2024260</v>
      </c>
      <c r="JY1490" s="151">
        <v>2024261</v>
      </c>
      <c r="JZ1490" s="151">
        <v>2024262</v>
      </c>
      <c r="KA1490" s="151">
        <v>2024263</v>
      </c>
      <c r="KB1490" s="151">
        <v>2024264</v>
      </c>
      <c r="KC1490" s="151">
        <v>2024265</v>
      </c>
      <c r="KD1490" s="151">
        <v>2024266</v>
      </c>
      <c r="KE1490" s="151">
        <v>2024267</v>
      </c>
      <c r="KF1490" s="151">
        <v>2024268</v>
      </c>
      <c r="KG1490" s="151">
        <v>2024269</v>
      </c>
      <c r="KH1490" s="151">
        <v>2024270</v>
      </c>
      <c r="KI1490" s="151">
        <v>2024271</v>
      </c>
      <c r="KJ1490" s="151">
        <v>2024272</v>
      </c>
      <c r="KK1490" s="151">
        <v>2024273</v>
      </c>
      <c r="KL1490" s="151">
        <v>2024274</v>
      </c>
      <c r="KM1490" s="151">
        <v>2024275</v>
      </c>
      <c r="KN1490" s="151">
        <v>2024276</v>
      </c>
      <c r="KO1490" s="151">
        <v>2024277</v>
      </c>
      <c r="KP1490" s="151">
        <v>2024278</v>
      </c>
      <c r="KQ1490" s="151">
        <v>2024279</v>
      </c>
      <c r="KR1490" s="151">
        <v>2024280</v>
      </c>
      <c r="KS1490" s="151">
        <v>2024281</v>
      </c>
      <c r="KT1490" s="151">
        <v>2024282</v>
      </c>
      <c r="KU1490" s="151">
        <v>2024283</v>
      </c>
      <c r="KV1490" s="151">
        <v>2024284</v>
      </c>
      <c r="KW1490" s="151">
        <v>2024285</v>
      </c>
      <c r="KX1490" s="151">
        <v>2024286</v>
      </c>
      <c r="KY1490" s="151">
        <v>2024287</v>
      </c>
      <c r="KZ1490" s="151">
        <v>2024288</v>
      </c>
      <c r="LA1490" s="151">
        <v>2024289</v>
      </c>
      <c r="LB1490" s="151">
        <v>2024290</v>
      </c>
      <c r="LC1490" s="151">
        <v>2024291</v>
      </c>
      <c r="LD1490" s="151">
        <v>2024292</v>
      </c>
      <c r="LE1490" s="151">
        <v>2024293</v>
      </c>
      <c r="LF1490" s="151">
        <v>2024294</v>
      </c>
      <c r="LG1490" s="151">
        <v>2024295</v>
      </c>
      <c r="LH1490" s="151">
        <v>2024296</v>
      </c>
      <c r="LI1490" s="151">
        <v>2024297</v>
      </c>
      <c r="LJ1490" s="151">
        <v>2024298</v>
      </c>
      <c r="LK1490" s="151">
        <v>2024322</v>
      </c>
      <c r="LL1490" s="151">
        <v>2024299</v>
      </c>
      <c r="LM1490" s="151">
        <v>2024300</v>
      </c>
      <c r="LN1490" s="151">
        <v>2024301</v>
      </c>
      <c r="LO1490" s="151">
        <v>2024302</v>
      </c>
      <c r="LP1490" s="151">
        <v>2024303</v>
      </c>
      <c r="LQ1490" s="151">
        <v>2024304</v>
      </c>
      <c r="LR1490" s="151">
        <v>2024305</v>
      </c>
      <c r="LS1490" s="151">
        <v>2024306</v>
      </c>
      <c r="LT1490" s="151">
        <v>2024307</v>
      </c>
      <c r="LU1490" s="151">
        <v>2024308</v>
      </c>
      <c r="LV1490" s="151">
        <v>2024309</v>
      </c>
      <c r="LW1490" s="151">
        <v>2024310</v>
      </c>
      <c r="LX1490" s="151">
        <v>2024311</v>
      </c>
      <c r="LY1490" s="151">
        <v>2024312</v>
      </c>
      <c r="LZ1490" s="151">
        <v>2024313</v>
      </c>
      <c r="MA1490" s="151">
        <v>2024324</v>
      </c>
      <c r="MB1490" s="151">
        <v>2024325</v>
      </c>
      <c r="MC1490" s="151">
        <v>2024326</v>
      </c>
      <c r="MD1490" s="151">
        <v>2024327</v>
      </c>
      <c r="ME1490" s="151">
        <v>2024328</v>
      </c>
      <c r="MF1490" s="151">
        <v>2024329</v>
      </c>
      <c r="MG1490" s="151">
        <v>2024330</v>
      </c>
      <c r="MH1490" s="151">
        <v>2024331</v>
      </c>
      <c r="MI1490" s="151">
        <v>2024339</v>
      </c>
      <c r="MJ1490" s="151">
        <v>2024340</v>
      </c>
      <c r="MK1490" s="151">
        <v>2024341</v>
      </c>
      <c r="ML1490" s="151">
        <v>2024342</v>
      </c>
      <c r="MM1490" s="151">
        <v>2024343</v>
      </c>
      <c r="MN1490" s="151">
        <v>2024344</v>
      </c>
      <c r="MO1490" s="151">
        <v>2024345</v>
      </c>
      <c r="MP1490" s="151">
        <v>2024346</v>
      </c>
      <c r="MQ1490" s="151">
        <v>2024347</v>
      </c>
      <c r="MR1490" s="151">
        <v>2024348</v>
      </c>
      <c r="MS1490" s="151">
        <v>2024349</v>
      </c>
      <c r="MT1490" s="151">
        <v>2024350</v>
      </c>
      <c r="MU1490" s="151">
        <v>2024351</v>
      </c>
      <c r="MV1490" s="151">
        <v>2024352</v>
      </c>
      <c r="MW1490" s="151">
        <v>2024353</v>
      </c>
      <c r="MX1490" s="151">
        <v>2024354</v>
      </c>
      <c r="MY1490" s="151">
        <v>2024355</v>
      </c>
      <c r="MZ1490" s="151">
        <v>2024356</v>
      </c>
      <c r="NA1490" s="151">
        <v>2024357</v>
      </c>
      <c r="NB1490" s="151">
        <v>2024358</v>
      </c>
      <c r="NC1490" s="151">
        <v>2024359</v>
      </c>
      <c r="ND1490" s="151">
        <v>2024360</v>
      </c>
      <c r="NE1490" s="151">
        <v>2024361</v>
      </c>
      <c r="NF1490" s="151">
        <v>2024362</v>
      </c>
      <c r="NG1490" s="151">
        <v>2024363</v>
      </c>
      <c r="NH1490" s="151">
        <v>2024364</v>
      </c>
      <c r="NI1490" s="151">
        <v>2024365</v>
      </c>
      <c r="NJ1490" s="151">
        <v>2024366</v>
      </c>
      <c r="NK1490" s="151">
        <v>2024367</v>
      </c>
      <c r="NL1490" s="151">
        <v>2024368</v>
      </c>
      <c r="NM1490" s="151">
        <v>2024369</v>
      </c>
      <c r="NN1490" s="151">
        <v>2024370</v>
      </c>
      <c r="NO1490" s="151">
        <v>2024371</v>
      </c>
      <c r="NP1490" s="151">
        <v>2024372</v>
      </c>
      <c r="NQ1490" s="151">
        <v>2024373</v>
      </c>
      <c r="NR1490" s="151">
        <v>2024374</v>
      </c>
      <c r="NS1490" s="151">
        <v>2024375</v>
      </c>
      <c r="NT1490" s="151">
        <v>2024376</v>
      </c>
      <c r="NU1490" s="151">
        <v>2024377</v>
      </c>
      <c r="NV1490" s="151">
        <v>2024378</v>
      </c>
      <c r="NW1490" s="151">
        <v>2024379</v>
      </c>
      <c r="NX1490" s="151">
        <v>2024380</v>
      </c>
      <c r="NY1490" s="151">
        <v>2024381</v>
      </c>
      <c r="NZ1490" s="151">
        <v>2024382</v>
      </c>
      <c r="OA1490" s="151">
        <v>2024383</v>
      </c>
      <c r="OB1490" s="151">
        <v>2024384</v>
      </c>
      <c r="OC1490" s="151">
        <v>2024385</v>
      </c>
      <c r="OD1490" s="151">
        <v>2024386</v>
      </c>
      <c r="OE1490" s="151">
        <v>2024387</v>
      </c>
      <c r="OF1490" s="151">
        <v>2024388</v>
      </c>
      <c r="OG1490" s="151">
        <v>2024389</v>
      </c>
      <c r="OH1490" s="151">
        <v>2024390</v>
      </c>
      <c r="OI1490" s="151">
        <v>2024391</v>
      </c>
      <c r="OJ1490" s="151">
        <v>2024392</v>
      </c>
      <c r="OK1490" s="151">
        <v>2024393</v>
      </c>
      <c r="OL1490" s="151">
        <v>2024394</v>
      </c>
      <c r="OM1490" s="151">
        <v>2024395</v>
      </c>
      <c r="ON1490" s="151">
        <v>2024396</v>
      </c>
      <c r="OO1490" s="151">
        <v>2024397</v>
      </c>
      <c r="OP1490" s="151">
        <v>2024398</v>
      </c>
      <c r="OQ1490" s="151">
        <v>2024399</v>
      </c>
      <c r="OR1490" s="151">
        <v>2024400</v>
      </c>
      <c r="OS1490" s="151">
        <v>2024401</v>
      </c>
      <c r="OT1490" s="151">
        <v>2024402</v>
      </c>
      <c r="OU1490" s="151">
        <v>2024403</v>
      </c>
      <c r="OV1490" s="151">
        <v>2024404</v>
      </c>
      <c r="OW1490" s="151">
        <v>2024405</v>
      </c>
      <c r="OX1490" s="151">
        <v>2024406</v>
      </c>
      <c r="OY1490" s="151">
        <v>2024407</v>
      </c>
      <c r="OZ1490" s="151">
        <v>2024408</v>
      </c>
      <c r="PA1490" s="151">
        <v>2024409</v>
      </c>
      <c r="PB1490" s="151">
        <v>2024410</v>
      </c>
      <c r="PC1490" s="151">
        <v>2024411</v>
      </c>
      <c r="PD1490" s="151">
        <v>2024412</v>
      </c>
      <c r="PE1490" s="151">
        <v>2024413</v>
      </c>
      <c r="PF1490" s="151">
        <v>2024414</v>
      </c>
      <c r="PG1490" s="151">
        <v>2024415</v>
      </c>
      <c r="PH1490" s="151">
        <v>2024416</v>
      </c>
      <c r="PI1490" s="151">
        <v>2024417</v>
      </c>
      <c r="PJ1490" s="151">
        <v>2024418</v>
      </c>
      <c r="PK1490" s="151">
        <v>2024419</v>
      </c>
      <c r="PL1490" s="151">
        <v>2024420</v>
      </c>
      <c r="PM1490" s="151">
        <v>2024421</v>
      </c>
      <c r="PN1490" s="151">
        <v>2024422</v>
      </c>
      <c r="PO1490" s="151">
        <v>2024423</v>
      </c>
      <c r="PP1490" s="151">
        <v>2024424</v>
      </c>
      <c r="PQ1490" s="151">
        <v>2024425</v>
      </c>
      <c r="PR1490" s="151">
        <v>2024426</v>
      </c>
      <c r="PS1490" s="151">
        <v>2024427</v>
      </c>
      <c r="PT1490" s="151">
        <v>2024428</v>
      </c>
      <c r="PU1490" s="151">
        <v>2024429</v>
      </c>
      <c r="PV1490" s="151">
        <v>2024430</v>
      </c>
      <c r="PW1490" s="151">
        <v>2024431</v>
      </c>
      <c r="PX1490" s="151">
        <v>2024432</v>
      </c>
      <c r="PY1490" s="151">
        <v>2024433</v>
      </c>
      <c r="PZ1490" s="151">
        <v>2024434</v>
      </c>
      <c r="QA1490" s="151">
        <v>2024435</v>
      </c>
      <c r="QB1490" s="151">
        <v>2024436</v>
      </c>
      <c r="QC1490" s="151">
        <v>2024437</v>
      </c>
      <c r="QD1490" s="151">
        <v>2024438</v>
      </c>
      <c r="QE1490" s="151">
        <v>2024439</v>
      </c>
      <c r="QF1490" s="151">
        <v>2024440</v>
      </c>
      <c r="QG1490" s="151">
        <v>2024441</v>
      </c>
      <c r="QH1490" s="151">
        <v>2024442</v>
      </c>
      <c r="QI1490" s="151">
        <v>2024443</v>
      </c>
      <c r="QJ1490" s="151">
        <v>2024444</v>
      </c>
      <c r="QK1490" s="151">
        <v>2024445</v>
      </c>
      <c r="QL1490" s="151">
        <v>2024446</v>
      </c>
      <c r="QM1490" s="151">
        <v>2024447</v>
      </c>
      <c r="QN1490" s="151">
        <v>2024448</v>
      </c>
      <c r="QO1490" s="151">
        <v>2024449</v>
      </c>
      <c r="QP1490" s="151">
        <v>2024450</v>
      </c>
      <c r="QQ1490" s="151">
        <v>2024451</v>
      </c>
      <c r="QR1490" s="151">
        <v>2024452</v>
      </c>
      <c r="QS1490" s="151">
        <v>2024453</v>
      </c>
      <c r="QT1490" s="151">
        <v>2024454</v>
      </c>
      <c r="QU1490" s="151">
        <v>2024455</v>
      </c>
      <c r="QV1490" s="151">
        <v>2024456</v>
      </c>
      <c r="QW1490" s="151">
        <v>2024457</v>
      </c>
      <c r="QX1490" s="151">
        <v>2024458</v>
      </c>
      <c r="QY1490" s="151">
        <v>2024459</v>
      </c>
      <c r="QZ1490" s="151">
        <v>2024460</v>
      </c>
      <c r="RA1490" s="151">
        <v>2024461</v>
      </c>
      <c r="RB1490" s="151">
        <v>2024462</v>
      </c>
      <c r="RC1490" s="151">
        <v>2024463</v>
      </c>
      <c r="RD1490" s="151">
        <v>2024464</v>
      </c>
      <c r="RE1490" s="151">
        <v>2024465</v>
      </c>
      <c r="RF1490" s="151">
        <v>2024466</v>
      </c>
      <c r="RG1490" s="151">
        <v>2024467</v>
      </c>
      <c r="RH1490" s="151">
        <v>2024468</v>
      </c>
      <c r="RI1490" s="151">
        <v>2024469</v>
      </c>
      <c r="RJ1490" s="151">
        <v>2024470</v>
      </c>
      <c r="RK1490" s="151">
        <v>2024471</v>
      </c>
      <c r="RL1490" s="151">
        <v>2024472</v>
      </c>
      <c r="RM1490" s="151">
        <v>2024473</v>
      </c>
      <c r="RN1490" s="151">
        <v>2024474</v>
      </c>
      <c r="RO1490" s="151">
        <v>2024475</v>
      </c>
      <c r="RP1490" s="151">
        <v>2024476</v>
      </c>
      <c r="RQ1490" s="151">
        <v>2024477</v>
      </c>
      <c r="RR1490" s="151">
        <v>2024478</v>
      </c>
      <c r="RS1490" s="151">
        <v>2024479</v>
      </c>
      <c r="RT1490" s="151">
        <v>2024480</v>
      </c>
      <c r="RU1490" s="151">
        <v>2024481</v>
      </c>
      <c r="RV1490" s="151">
        <v>2024482</v>
      </c>
      <c r="RW1490" s="151">
        <v>2024483</v>
      </c>
      <c r="RX1490" s="151">
        <v>2024484</v>
      </c>
      <c r="RY1490" s="151">
        <v>2024485</v>
      </c>
      <c r="RZ1490" s="151">
        <v>2024486</v>
      </c>
      <c r="SA1490" s="151">
        <v>2024487</v>
      </c>
      <c r="SB1490" s="151">
        <v>2024488</v>
      </c>
      <c r="SC1490" s="151">
        <v>2024489</v>
      </c>
      <c r="SD1490" s="151">
        <v>2024490</v>
      </c>
      <c r="SE1490" s="151">
        <v>2024491</v>
      </c>
      <c r="SF1490" s="151">
        <v>2024492</v>
      </c>
      <c r="SG1490" s="151">
        <v>2024493</v>
      </c>
      <c r="SH1490" s="151">
        <v>2024494</v>
      </c>
      <c r="SI1490" s="151">
        <v>2024495</v>
      </c>
      <c r="SJ1490" s="151">
        <v>2024496</v>
      </c>
      <c r="SK1490" s="151">
        <v>2024497</v>
      </c>
      <c r="SL1490" s="151">
        <v>2024498</v>
      </c>
      <c r="SM1490" s="151">
        <v>2024499</v>
      </c>
      <c r="SN1490" s="151">
        <v>2024500</v>
      </c>
      <c r="SO1490" s="151">
        <v>2024501</v>
      </c>
      <c r="SP1490" s="151">
        <v>2024502</v>
      </c>
      <c r="SQ1490" s="151">
        <v>2024503</v>
      </c>
      <c r="SR1490" s="151">
        <v>2024504</v>
      </c>
      <c r="SS1490" s="151">
        <v>2024505</v>
      </c>
      <c r="ST1490" s="151">
        <v>2024506</v>
      </c>
      <c r="SU1490" s="151">
        <v>2024507</v>
      </c>
      <c r="SV1490" s="151">
        <v>2024508</v>
      </c>
      <c r="SW1490" s="151">
        <v>2024509</v>
      </c>
      <c r="SX1490" s="151">
        <v>2024510</v>
      </c>
      <c r="SY1490" s="151">
        <v>2024511</v>
      </c>
      <c r="SZ1490" s="151">
        <v>2024512</v>
      </c>
      <c r="TA1490" s="151">
        <v>2024513</v>
      </c>
      <c r="TB1490" s="151">
        <v>2024514</v>
      </c>
      <c r="TC1490" s="151">
        <v>2024515</v>
      </c>
      <c r="TD1490" s="151">
        <v>2024516</v>
      </c>
      <c r="TE1490" s="151">
        <v>2024517</v>
      </c>
      <c r="TF1490" s="151">
        <v>2024518</v>
      </c>
      <c r="TG1490" s="151">
        <v>2024519</v>
      </c>
      <c r="TH1490" s="151">
        <v>2024520</v>
      </c>
      <c r="TI1490" s="151">
        <v>2024521</v>
      </c>
      <c r="TJ1490" s="151">
        <v>2024522</v>
      </c>
      <c r="TK1490" s="151">
        <v>2024523</v>
      </c>
      <c r="TL1490" s="151">
        <v>2024524</v>
      </c>
      <c r="TM1490" s="151">
        <v>2024525</v>
      </c>
      <c r="TN1490" s="151">
        <v>2024526</v>
      </c>
      <c r="TO1490" s="151">
        <v>2024527</v>
      </c>
      <c r="TP1490" s="151">
        <v>2024528</v>
      </c>
      <c r="TQ1490" s="151">
        <v>2024529</v>
      </c>
      <c r="TR1490" s="151">
        <v>2024530</v>
      </c>
      <c r="TS1490" s="151">
        <v>2024531</v>
      </c>
      <c r="TT1490" s="151">
        <v>2024532</v>
      </c>
      <c r="TU1490" s="151">
        <v>2024533</v>
      </c>
      <c r="TV1490" s="151">
        <v>2024534</v>
      </c>
      <c r="TW1490" s="151">
        <v>2024535</v>
      </c>
      <c r="TX1490" s="151">
        <v>2024536</v>
      </c>
      <c r="TY1490" s="151">
        <v>2024537</v>
      </c>
      <c r="TZ1490" s="151">
        <v>2024538</v>
      </c>
      <c r="UA1490" s="151">
        <v>2024539</v>
      </c>
      <c r="UB1490" s="151">
        <v>2024540</v>
      </c>
      <c r="UC1490" s="151">
        <v>2024541</v>
      </c>
      <c r="UD1490" s="151">
        <v>2024542</v>
      </c>
      <c r="UE1490" s="151">
        <v>2024543</v>
      </c>
      <c r="UF1490" s="151">
        <v>2024544</v>
      </c>
      <c r="UG1490" s="151">
        <v>2024545</v>
      </c>
      <c r="UH1490" s="151">
        <v>2024546</v>
      </c>
      <c r="UI1490" s="151">
        <v>2024547</v>
      </c>
      <c r="UJ1490" s="151">
        <v>2024548</v>
      </c>
      <c r="UK1490" s="151">
        <v>2024549</v>
      </c>
      <c r="UL1490" s="151">
        <v>2024550</v>
      </c>
      <c r="UM1490" s="151">
        <v>2024551</v>
      </c>
      <c r="UN1490" s="151">
        <v>2024552</v>
      </c>
      <c r="UO1490" s="151">
        <v>2024553</v>
      </c>
      <c r="UP1490" s="151">
        <v>2024554</v>
      </c>
      <c r="UQ1490" s="151">
        <v>2024555</v>
      </c>
      <c r="UR1490" s="151">
        <v>2024556</v>
      </c>
      <c r="US1490" s="151">
        <v>2024557</v>
      </c>
      <c r="UT1490" s="151">
        <v>2024558</v>
      </c>
      <c r="UU1490" s="151">
        <v>2024559</v>
      </c>
      <c r="UV1490" s="151">
        <v>2024560</v>
      </c>
      <c r="UW1490" s="151">
        <v>2024561</v>
      </c>
      <c r="UX1490" s="151">
        <v>2024562</v>
      </c>
      <c r="UY1490" s="151">
        <v>2024563</v>
      </c>
      <c r="UZ1490" s="151">
        <v>2024564</v>
      </c>
      <c r="VA1490" s="151">
        <v>2024565</v>
      </c>
      <c r="VB1490" s="151">
        <v>2024566</v>
      </c>
      <c r="VC1490" s="151">
        <v>2024567</v>
      </c>
      <c r="VD1490" s="151">
        <v>2024568</v>
      </c>
      <c r="VE1490" s="151">
        <v>2024569</v>
      </c>
      <c r="VF1490" s="151">
        <v>2024570</v>
      </c>
      <c r="VG1490" s="151">
        <v>2024571</v>
      </c>
      <c r="VH1490" s="151">
        <v>2024572</v>
      </c>
      <c r="VI1490" s="151">
        <v>2024573</v>
      </c>
      <c r="VJ1490" s="151">
        <v>2024574</v>
      </c>
      <c r="VK1490" s="151">
        <v>2024575</v>
      </c>
      <c r="VL1490" s="151">
        <v>2024576</v>
      </c>
      <c r="VM1490" s="151">
        <v>2024577</v>
      </c>
      <c r="VN1490" s="151">
        <v>2024578</v>
      </c>
      <c r="VO1490" s="151">
        <v>2024579</v>
      </c>
      <c r="VP1490" s="151">
        <v>2024847</v>
      </c>
      <c r="VQ1490" s="151">
        <v>2024848</v>
      </c>
      <c r="VR1490" s="151">
        <v>2024849</v>
      </c>
      <c r="VS1490" s="151">
        <v>2024850</v>
      </c>
      <c r="VT1490" s="151">
        <v>2024851</v>
      </c>
      <c r="VU1490" s="151">
        <v>2024852</v>
      </c>
      <c r="VV1490" s="151">
        <v>2024853</v>
      </c>
      <c r="VW1490" s="151">
        <v>2024854</v>
      </c>
      <c r="VX1490" s="151">
        <v>2024855</v>
      </c>
      <c r="VY1490" s="151">
        <v>2024856</v>
      </c>
      <c r="VZ1490" s="151">
        <v>2024857</v>
      </c>
      <c r="WA1490" s="151" t="e">
        <v>#N/A</v>
      </c>
      <c r="WB1490" s="151" t="e">
        <v>#N/A</v>
      </c>
      <c r="WC1490" s="151" t="e">
        <v>#N/A</v>
      </c>
      <c r="WD1490" s="151" t="e">
        <v>#N/A</v>
      </c>
      <c r="WE1490" s="151" t="e">
        <v>#N/A</v>
      </c>
      <c r="WF1490" s="151" t="e">
        <v>#N/A</v>
      </c>
      <c r="WG1490" s="151" t="e">
        <v>#N/A</v>
      </c>
      <c r="WH1490" s="151" t="e">
        <v>#N/A</v>
      </c>
      <c r="WI1490" s="151" t="e">
        <v>#N/A</v>
      </c>
      <c r="WJ1490" s="151" t="e">
        <v>#N/A</v>
      </c>
      <c r="WK1490" s="151" t="e">
        <v>#N/A</v>
      </c>
      <c r="WL1490" s="151" t="e">
        <v>#N/A</v>
      </c>
      <c r="WM1490" s="151" t="e">
        <v>#N/A</v>
      </c>
      <c r="WN1490" s="151" t="e">
        <v>#N/A</v>
      </c>
      <c r="WO1490" s="151" t="e">
        <v>#N/A</v>
      </c>
      <c r="WP1490" s="151" t="e">
        <v>#N/A</v>
      </c>
      <c r="WQ1490" s="151" t="e">
        <v>#N/A</v>
      </c>
      <c r="WR1490" s="151" t="e">
        <v>#N/A</v>
      </c>
      <c r="WS1490" s="151" t="e">
        <v>#N/A</v>
      </c>
      <c r="WT1490" s="151" t="e">
        <v>#N/A</v>
      </c>
      <c r="WU1490" s="151" t="e">
        <v>#N/A</v>
      </c>
      <c r="WV1490" s="151" t="e">
        <v>#N/A</v>
      </c>
      <c r="WW1490" s="151" t="e">
        <v>#N/A</v>
      </c>
      <c r="WX1490" s="151" t="e">
        <v>#N/A</v>
      </c>
      <c r="WY1490" s="151" t="e">
        <v>#N/A</v>
      </c>
      <c r="WZ1490" s="151" t="e">
        <v>#N/A</v>
      </c>
      <c r="XA1490" s="151" t="e">
        <v>#N/A</v>
      </c>
      <c r="XB1490" s="151" t="e">
        <v>#N/A</v>
      </c>
      <c r="XC1490" s="151" t="e">
        <v>#N/A</v>
      </c>
      <c r="XD1490" s="151" t="e">
        <v>#N/A</v>
      </c>
      <c r="XE1490" s="151" t="e">
        <v>#N/A</v>
      </c>
      <c r="XF1490" s="151" t="e">
        <v>#N/A</v>
      </c>
      <c r="XG1490" s="151" t="e">
        <v>#N/A</v>
      </c>
      <c r="XH1490" s="151" t="e">
        <v>#N/A</v>
      </c>
      <c r="XI1490" s="151" t="e">
        <v>#N/A</v>
      </c>
      <c r="XJ1490" s="151" t="e">
        <v>#N/A</v>
      </c>
      <c r="XK1490" s="151" t="e">
        <v>#N/A</v>
      </c>
      <c r="XL1490" s="151" t="e">
        <v>#N/A</v>
      </c>
      <c r="XM1490" s="151" t="e">
        <v>#N/A</v>
      </c>
      <c r="XN1490" s="151" t="e">
        <v>#N/A</v>
      </c>
      <c r="XO1490" s="151" t="e">
        <v>#N/A</v>
      </c>
      <c r="XP1490" s="151" t="e">
        <v>#N/A</v>
      </c>
      <c r="XQ1490" s="151" t="e">
        <v>#N/A</v>
      </c>
      <c r="XR1490" s="151" t="e">
        <v>#N/A</v>
      </c>
      <c r="XS1490" s="151" t="e">
        <v>#N/A</v>
      </c>
      <c r="XT1490" s="151" t="e">
        <v>#N/A</v>
      </c>
      <c r="XU1490" s="151" t="e">
        <v>#N/A</v>
      </c>
      <c r="XV1490" s="151" t="e">
        <v>#N/A</v>
      </c>
      <c r="XW1490" s="151" t="e">
        <v>#N/A</v>
      </c>
      <c r="XX1490" s="151" t="e">
        <v>#N/A</v>
      </c>
      <c r="XY1490" s="151" t="e">
        <v>#N/A</v>
      </c>
      <c r="XZ1490" s="151" t="e">
        <v>#N/A</v>
      </c>
      <c r="YA1490" s="151" t="e">
        <v>#N/A</v>
      </c>
      <c r="YB1490" s="151" t="e">
        <v>#N/A</v>
      </c>
      <c r="YC1490" s="151" t="e">
        <v>#N/A</v>
      </c>
      <c r="YD1490" s="151" t="e">
        <v>#N/A</v>
      </c>
      <c r="YE1490" s="151" t="e">
        <v>#N/A</v>
      </c>
      <c r="YF1490" s="151" t="e">
        <v>#N/A</v>
      </c>
      <c r="YG1490" s="151" t="e">
        <v>#N/A</v>
      </c>
      <c r="YH1490" s="151" t="e">
        <v>#N/A</v>
      </c>
      <c r="YI1490" s="151" t="e">
        <v>#N/A</v>
      </c>
      <c r="YJ1490" s="151" t="e">
        <v>#N/A</v>
      </c>
      <c r="YK1490" s="151" t="e">
        <v>#N/A</v>
      </c>
      <c r="YL1490" s="151" t="e">
        <v>#N/A</v>
      </c>
      <c r="YM1490" s="151" t="e">
        <v>#N/A</v>
      </c>
      <c r="YN1490" s="151" t="e">
        <v>#N/A</v>
      </c>
      <c r="YO1490" s="151" t="e">
        <v>#N/A</v>
      </c>
      <c r="YP1490" s="151" t="e">
        <v>#N/A</v>
      </c>
      <c r="YQ1490" s="151" t="e">
        <v>#N/A</v>
      </c>
      <c r="YR1490" s="151" t="e">
        <v>#N/A</v>
      </c>
      <c r="YS1490" s="151" t="e">
        <v>#N/A</v>
      </c>
      <c r="YT1490" s="151" t="e">
        <v>#N/A</v>
      </c>
      <c r="YU1490" s="151" t="e">
        <v>#N/A</v>
      </c>
      <c r="YV1490" s="151" t="e">
        <v>#N/A</v>
      </c>
      <c r="YW1490" s="151" t="e">
        <v>#N/A</v>
      </c>
      <c r="YX1490" s="151" t="e">
        <v>#N/A</v>
      </c>
      <c r="YY1490" s="151" t="e">
        <v>#N/A</v>
      </c>
      <c r="YZ1490" s="151" t="e">
        <v>#N/A</v>
      </c>
      <c r="ZA1490" s="151" t="e">
        <v>#N/A</v>
      </c>
      <c r="ZB1490" s="151" t="e">
        <v>#N/A</v>
      </c>
      <c r="ZC1490" s="151" t="e">
        <v>#N/A</v>
      </c>
      <c r="ZD1490" s="151" t="e">
        <v>#N/A</v>
      </c>
      <c r="ZE1490" s="151" t="e">
        <v>#N/A</v>
      </c>
      <c r="ZF1490" s="151" t="e">
        <v>#N/A</v>
      </c>
      <c r="ZG1490" s="151" t="e">
        <v>#N/A</v>
      </c>
      <c r="ZH1490" s="151" t="e">
        <v>#N/A</v>
      </c>
      <c r="ZI1490" s="151" t="e">
        <v>#N/A</v>
      </c>
      <c r="ZJ1490" s="151" t="e">
        <v>#N/A</v>
      </c>
      <c r="ZK1490" s="151" t="e">
        <v>#N/A</v>
      </c>
      <c r="ZL1490" s="151" t="e">
        <v>#N/A</v>
      </c>
      <c r="ZM1490" s="151" t="e">
        <v>#N/A</v>
      </c>
      <c r="ZN1490" s="151" t="e">
        <v>#N/A</v>
      </c>
      <c r="ZO1490" s="151" t="e">
        <v>#N/A</v>
      </c>
      <c r="ZP1490" s="151" t="e">
        <v>#N/A</v>
      </c>
      <c r="ZQ1490" s="151" t="e">
        <v>#N/A</v>
      </c>
      <c r="ZR1490" s="151" t="e">
        <v>#N/A</v>
      </c>
      <c r="ZS1490" s="151" t="e">
        <v>#N/A</v>
      </c>
      <c r="ZT1490" s="151" t="e">
        <v>#N/A</v>
      </c>
      <c r="ZU1490" s="151" t="e">
        <v>#N/A</v>
      </c>
      <c r="ZV1490" s="151" t="e">
        <v>#N/A</v>
      </c>
      <c r="ZW1490" s="151" t="e">
        <v>#N/A</v>
      </c>
      <c r="ZX1490" s="151" t="e">
        <v>#N/A</v>
      </c>
      <c r="ZY1490" s="151" t="e">
        <v>#N/A</v>
      </c>
      <c r="ZZ1490" s="151" t="e">
        <v>#N/A</v>
      </c>
      <c r="AAA1490" s="151" t="e">
        <v>#N/A</v>
      </c>
      <c r="AAB1490" s="151" t="e">
        <v>#N/A</v>
      </c>
      <c r="AAC1490" s="151" t="e">
        <v>#N/A</v>
      </c>
      <c r="AAD1490" s="151" t="e">
        <v>#N/A</v>
      </c>
      <c r="AAE1490" s="151" t="e">
        <v>#N/A</v>
      </c>
      <c r="AAF1490" s="151" t="e">
        <v>#N/A</v>
      </c>
      <c r="AAG1490" s="151" t="e">
        <v>#N/A</v>
      </c>
      <c r="AAH1490" s="151" t="e">
        <v>#N/A</v>
      </c>
      <c r="AAI1490" s="151" t="e">
        <v>#N/A</v>
      </c>
      <c r="AAJ1490" s="151" t="e">
        <v>#N/A</v>
      </c>
      <c r="AAK1490" s="151" t="e">
        <v>#N/A</v>
      </c>
      <c r="AAL1490" s="151" t="e">
        <v>#N/A</v>
      </c>
      <c r="AAM1490" s="151" t="e">
        <v>#N/A</v>
      </c>
      <c r="AAN1490" s="151" t="e">
        <v>#N/A</v>
      </c>
      <c r="AAO1490" s="151" t="e">
        <v>#N/A</v>
      </c>
      <c r="AAP1490" s="151" t="e">
        <v>#N/A</v>
      </c>
      <c r="AAQ1490" s="151" t="e">
        <v>#N/A</v>
      </c>
      <c r="AAR1490" s="151" t="e">
        <v>#N/A</v>
      </c>
      <c r="AAS1490" s="151" t="e">
        <v>#N/A</v>
      </c>
      <c r="AAT1490" s="151" t="e">
        <v>#N/A</v>
      </c>
      <c r="AAU1490" s="151" t="e">
        <v>#N/A</v>
      </c>
      <c r="AAV1490" s="151" t="e">
        <v>#N/A</v>
      </c>
      <c r="AAW1490" s="151" t="e">
        <v>#N/A</v>
      </c>
      <c r="AAX1490" s="151" t="e">
        <v>#N/A</v>
      </c>
      <c r="AAY1490" s="151" t="e">
        <v>#N/A</v>
      </c>
      <c r="AAZ1490" s="151" t="e">
        <v>#N/A</v>
      </c>
      <c r="ABA1490" s="151" t="e">
        <v>#N/A</v>
      </c>
      <c r="ABB1490" s="151" t="e">
        <v>#N/A</v>
      </c>
      <c r="ABC1490" s="151" t="e">
        <v>#N/A</v>
      </c>
      <c r="ABD1490" s="151" t="e">
        <v>#N/A</v>
      </c>
      <c r="ABE1490" s="151" t="e">
        <v>#N/A</v>
      </c>
      <c r="ABF1490" s="151" t="e">
        <v>#N/A</v>
      </c>
      <c r="ABG1490" s="111" t="e">
        <v>#N/A</v>
      </c>
      <c r="ABH1490" s="111" t="e">
        <v>#N/A</v>
      </c>
      <c r="ABI1490" s="111" t="e">
        <v>#N/A</v>
      </c>
      <c r="ABJ1490" s="111" t="e">
        <v>#N/A</v>
      </c>
      <c r="ABK1490" s="111" t="e">
        <v>#N/A</v>
      </c>
      <c r="ABL1490" s="111" t="e">
        <v>#N/A</v>
      </c>
      <c r="ABM1490" s="111" t="e">
        <v>#N/A</v>
      </c>
      <c r="ABN1490" s="111" t="e">
        <v>#N/A</v>
      </c>
      <c r="ABO1490" s="111" t="e">
        <v>#N/A</v>
      </c>
      <c r="ABP1490" s="111" t="e">
        <v>#N/A</v>
      </c>
      <c r="ABQ1490" s="111" t="e">
        <v>#N/A</v>
      </c>
      <c r="ABR1490" s="111" t="e">
        <v>#N/A</v>
      </c>
      <c r="ABS1490" s="111" t="e">
        <v>#N/A</v>
      </c>
      <c r="ABT1490" s="111" t="e">
        <v>#N/A</v>
      </c>
      <c r="ABU1490" s="111" t="e">
        <v>#N/A</v>
      </c>
      <c r="ABV1490" s="111" t="e">
        <v>#N/A</v>
      </c>
      <c r="ABW1490" s="111" t="e">
        <v>#N/A</v>
      </c>
      <c r="ABX1490" s="111" t="e">
        <v>#N/A</v>
      </c>
      <c r="ABY1490" s="111" t="e">
        <v>#N/A</v>
      </c>
      <c r="ABZ1490" s="111" t="e">
        <v>#N/A</v>
      </c>
      <c r="ACA1490" s="111" t="e">
        <v>#N/A</v>
      </c>
      <c r="ACB1490" s="111" t="e">
        <v>#N/A</v>
      </c>
      <c r="ACC1490" s="111" t="e">
        <v>#N/A</v>
      </c>
      <c r="ACD1490" s="111" t="e">
        <v>#N/A</v>
      </c>
      <c r="ACE1490" s="111" t="e">
        <v>#N/A</v>
      </c>
      <c r="ACF1490" s="111" t="e">
        <v>#N/A</v>
      </c>
      <c r="ACG1490" s="111" t="e">
        <v>#N/A</v>
      </c>
      <c r="ACH1490" s="111" t="e">
        <v>#N/A</v>
      </c>
      <c r="ACI1490" s="111" t="e">
        <v>#N/A</v>
      </c>
      <c r="ACJ1490" s="111" t="e">
        <v>#N/A</v>
      </c>
      <c r="ACK1490" s="111" t="e">
        <v>#N/A</v>
      </c>
      <c r="ACL1490" s="111" t="e">
        <v>#N/A</v>
      </c>
      <c r="ACM1490" s="111" t="e">
        <v>#N/A</v>
      </c>
      <c r="ACN1490" s="111" t="e">
        <v>#N/A</v>
      </c>
      <c r="ACO1490" s="111" t="e">
        <v>#N/A</v>
      </c>
      <c r="ACP1490" s="111" t="e">
        <v>#N/A</v>
      </c>
      <c r="ACQ1490" s="111" t="e">
        <v>#N/A</v>
      </c>
      <c r="ACR1490" s="111" t="e">
        <v>#N/A</v>
      </c>
      <c r="ACS1490" s="111" t="e">
        <v>#N/A</v>
      </c>
      <c r="ACT1490" s="111" t="e">
        <v>#N/A</v>
      </c>
      <c r="ACU1490" s="111" t="e">
        <v>#N/A</v>
      </c>
      <c r="ACV1490" s="111" t="e">
        <v>#N/A</v>
      </c>
      <c r="ACW1490" s="111" t="e">
        <v>#N/A</v>
      </c>
      <c r="ACX1490" s="111" t="e">
        <v>#N/A</v>
      </c>
      <c r="ACY1490" s="111" t="e">
        <v>#N/A</v>
      </c>
      <c r="ACZ1490" s="111" t="e">
        <v>#N/A</v>
      </c>
      <c r="ADA1490" s="111" t="e">
        <v>#N/A</v>
      </c>
      <c r="ADB1490" s="111" t="e">
        <v>#N/A</v>
      </c>
      <c r="ADC1490" s="111" t="e">
        <v>#N/A</v>
      </c>
      <c r="ADD1490" s="111" t="e">
        <v>#N/A</v>
      </c>
      <c r="ADE1490" s="111" t="e">
        <v>#N/A</v>
      </c>
      <c r="ADF1490" s="111" t="e">
        <v>#N/A</v>
      </c>
      <c r="ADG1490" s="111" t="e">
        <v>#N/A</v>
      </c>
      <c r="ADH1490" s="111" t="e">
        <v>#N/A</v>
      </c>
      <c r="ADI1490" s="111" t="e">
        <v>#N/A</v>
      </c>
      <c r="ADJ1490" s="111" t="e">
        <v>#N/A</v>
      </c>
      <c r="ADK1490" s="111" t="e">
        <v>#N/A</v>
      </c>
      <c r="ADL1490" s="111" t="e">
        <v>#N/A</v>
      </c>
      <c r="ADM1490" s="111" t="e">
        <v>#N/A</v>
      </c>
      <c r="ADN1490" s="111" t="e">
        <v>#N/A</v>
      </c>
      <c r="ADO1490" s="111" t="e">
        <v>#N/A</v>
      </c>
      <c r="ADP1490" s="111" t="e">
        <v>#N/A</v>
      </c>
      <c r="ADQ1490" s="111" t="e">
        <v>#N/A</v>
      </c>
      <c r="ADR1490" s="111" t="e">
        <v>#N/A</v>
      </c>
      <c r="ADS1490" s="111" t="e">
        <v>#N/A</v>
      </c>
      <c r="ADT1490" s="111" t="e">
        <v>#N/A</v>
      </c>
      <c r="ADU1490" s="111" t="e">
        <v>#N/A</v>
      </c>
      <c r="ADV1490" s="111" t="e">
        <v>#N/A</v>
      </c>
      <c r="ADW1490" s="111" t="e">
        <v>#N/A</v>
      </c>
      <c r="ADX1490" s="111" t="e">
        <v>#N/A</v>
      </c>
      <c r="ADY1490" s="111" t="e">
        <v>#N/A</v>
      </c>
      <c r="ADZ1490" s="111" t="e">
        <v>#N/A</v>
      </c>
      <c r="AEA1490" s="111" t="e">
        <v>#N/A</v>
      </c>
      <c r="AEB1490" s="111" t="e">
        <v>#N/A</v>
      </c>
      <c r="AEC1490" s="111" t="e">
        <v>#N/A</v>
      </c>
      <c r="AED1490" s="111" t="e">
        <v>#N/A</v>
      </c>
      <c r="AEE1490" s="111" t="e">
        <v>#N/A</v>
      </c>
      <c r="AEF1490" s="111" t="e">
        <v>#N/A</v>
      </c>
      <c r="AEG1490" s="111" t="e">
        <v>#N/A</v>
      </c>
      <c r="AEH1490" s="111" t="e">
        <v>#N/A</v>
      </c>
      <c r="AEI1490" s="111" t="e">
        <v>#N/A</v>
      </c>
      <c r="AEJ1490" s="111" t="e">
        <v>#N/A</v>
      </c>
      <c r="AEK1490" s="111" t="e">
        <v>#N/A</v>
      </c>
      <c r="AEL1490" s="111" t="e">
        <v>#N/A</v>
      </c>
      <c r="AEM1490" s="111" t="e">
        <v>#N/A</v>
      </c>
      <c r="AEN1490" s="111" t="e">
        <v>#N/A</v>
      </c>
      <c r="AEO1490" s="111" t="e">
        <v>#N/A</v>
      </c>
      <c r="AEP1490" s="111" t="e">
        <v>#N/A</v>
      </c>
      <c r="AEQ1490" s="111" t="e">
        <v>#N/A</v>
      </c>
      <c r="AER1490" s="111" t="e">
        <v>#N/A</v>
      </c>
      <c r="AES1490" s="111" t="e">
        <v>#N/A</v>
      </c>
      <c r="AET1490" s="111" t="e">
        <v>#N/A</v>
      </c>
      <c r="AEU1490" s="111" t="e">
        <v>#N/A</v>
      </c>
      <c r="AEV1490" s="111" t="e">
        <v>#N/A</v>
      </c>
      <c r="AEW1490" s="111" t="e">
        <v>#N/A</v>
      </c>
      <c r="AEX1490" s="111" t="e">
        <v>#N/A</v>
      </c>
      <c r="AEY1490" s="111" t="e">
        <v>#N/A</v>
      </c>
      <c r="AEZ1490" s="111" t="e">
        <v>#N/A</v>
      </c>
      <c r="AFA1490" s="111" t="e">
        <v>#N/A</v>
      </c>
      <c r="AFB1490" s="111" t="e">
        <v>#N/A</v>
      </c>
      <c r="AFC1490" s="111" t="e">
        <v>#N/A</v>
      </c>
      <c r="AFD1490" s="111" t="e">
        <v>#N/A</v>
      </c>
      <c r="AFE1490" s="111" t="e">
        <v>#N/A</v>
      </c>
      <c r="AFF1490" s="111" t="e">
        <v>#N/A</v>
      </c>
      <c r="AFG1490" s="111" t="e">
        <v>#N/A</v>
      </c>
      <c r="AFH1490" s="111" t="e">
        <v>#N/A</v>
      </c>
      <c r="AFI1490" s="111" t="e">
        <v>#N/A</v>
      </c>
      <c r="AFJ1490" s="111" t="e">
        <v>#N/A</v>
      </c>
      <c r="AFK1490" s="111" t="e">
        <v>#N/A</v>
      </c>
      <c r="AFL1490" s="111" t="e">
        <v>#N/A</v>
      </c>
      <c r="AFM1490" s="111" t="e">
        <v>#N/A</v>
      </c>
      <c r="AFN1490" s="111" t="e">
        <v>#N/A</v>
      </c>
      <c r="AFO1490" s="111" t="e">
        <v>#N/A</v>
      </c>
      <c r="AFP1490" s="111" t="e">
        <v>#N/A</v>
      </c>
      <c r="AFQ1490" s="111" t="e">
        <v>#N/A</v>
      </c>
      <c r="AFR1490" s="111" t="e">
        <v>#N/A</v>
      </c>
      <c r="AFS1490" s="111" t="e">
        <v>#N/A</v>
      </c>
      <c r="AFT1490" s="111" t="e">
        <v>#N/A</v>
      </c>
      <c r="AFU1490" s="111" t="e">
        <v>#N/A</v>
      </c>
      <c r="AFV1490" s="111" t="e">
        <v>#N/A</v>
      </c>
      <c r="AFW1490" s="111" t="e">
        <v>#N/A</v>
      </c>
      <c r="AFX1490" s="111" t="e">
        <v>#N/A</v>
      </c>
      <c r="AFY1490" s="111" t="e">
        <v>#N/A</v>
      </c>
      <c r="AFZ1490" s="111" t="e">
        <v>#N/A</v>
      </c>
      <c r="AGA1490" s="111" t="e">
        <v>#N/A</v>
      </c>
      <c r="AGB1490" s="111" t="e">
        <v>#N/A</v>
      </c>
      <c r="AGC1490" s="111" t="e">
        <v>#N/A</v>
      </c>
      <c r="AGD1490" s="111" t="e">
        <v>#N/A</v>
      </c>
      <c r="AGE1490" s="111" t="e">
        <v>#N/A</v>
      </c>
      <c r="AGF1490" s="111" t="e">
        <v>#N/A</v>
      </c>
      <c r="AGG1490" s="111" t="e">
        <v>#N/A</v>
      </c>
      <c r="AGH1490" s="111" t="e">
        <v>#N/A</v>
      </c>
      <c r="AGI1490" s="111" t="e">
        <v>#N/A</v>
      </c>
      <c r="AGJ1490" s="111" t="e">
        <v>#N/A</v>
      </c>
      <c r="AGK1490" s="111" t="e">
        <v>#N/A</v>
      </c>
      <c r="AGL1490" s="111" t="e">
        <v>#N/A</v>
      </c>
      <c r="AGM1490" s="111" t="e">
        <v>#N/A</v>
      </c>
      <c r="AGN1490" s="111" t="e">
        <v>#N/A</v>
      </c>
    </row>
    <row r="1491" spans="15:872" x14ac:dyDescent="0.25">
      <c r="O1491" s="42">
        <v>1</v>
      </c>
      <c r="P1491" s="42">
        <f t="array" aca="1" ref="P1491:P1510" ca="1">IFERROR(INDEX(nombres[],SMALL(IF(OFFSET(nombres[],0,0,ROWS(nombres[]),1)=P$1490,ROW(OFFSET(nombres[],0,0,ROWS(nombres[]),1))-ROW(OFFSET(nombres[],0,0,1,1))+1,ROW(OFFSET(nombres[],ROWS(nombres[])-1,0,1,1))+1),$O1491:$O1510),10),"")</f>
        <v>1187</v>
      </c>
      <c r="Q1491" s="42" t="str">
        <f t="array" aca="1" ref="Q1491:Q1510" ca="1">IFERROR(INDEX(nombres[],SMALL(IF(OFFSET(nombres[],0,0,ROWS(nombres[]),1)=Q$1490,ROW(OFFSET(nombres[],0,0,ROWS(nombres[]),1))-ROW(OFFSET(nombres[],0,0,1,1))+1,ROW(OFFSET(nombres[],ROWS(nombres[])-1,0,1,1))+1),$O1491:$O1510),10),"")</f>
        <v/>
      </c>
      <c r="R1491" s="42">
        <f t="array" aca="1" ref="R1491:R1510" ca="1">IFERROR(INDEX(nombres[],SMALL(IF(OFFSET(nombres[],0,0,ROWS(nombres[]),1)=R$1490,ROW(OFFSET(nombres[],0,0,ROWS(nombres[]),1))-ROW(OFFSET(nombres[],0,0,1,1))+1,ROW(OFFSET(nombres[],ROWS(nombres[])-1,0,1,1))+1),$O1491:$O1510),10),"")</f>
        <v>1187</v>
      </c>
      <c r="S1491" s="42">
        <f t="array" aca="1" ref="S1491:S1510" ca="1">IFERROR(INDEX(nombres[],SMALL(IF(OFFSET(nombres[],0,0,ROWS(nombres[]),1)=S$1490,ROW(OFFSET(nombres[],0,0,ROWS(nombres[]),1))-ROW(OFFSET(nombres[],0,0,1,1))+1,ROW(OFFSET(nombres[],ROWS(nombres[])-1,0,1,1))+1),$O1491:$O1510),10),"")</f>
        <v>1948</v>
      </c>
      <c r="T1491" s="42">
        <f t="array" aca="1" ref="T1491:T1510" ca="1">IFERROR(INDEX(nombres[],SMALL(IF(OFFSET(nombres[],0,0,ROWS(nombres[]),1)=T$1490,ROW(OFFSET(nombres[],0,0,ROWS(nombres[]),1))-ROW(OFFSET(nombres[],0,0,1,1))+1,ROW(OFFSET(nombres[],ROWS(nombres[])-1,0,1,1))+1),$O1491:$O1510),10),"")</f>
        <v>1200</v>
      </c>
      <c r="U1491" s="42">
        <f t="array" aca="1" ref="U1491:U1510" ca="1">IFERROR(INDEX(nombres[],SMALL(IF(OFFSET(nombres[],0,0,ROWS(nombres[]),1)=U$1490,ROW(OFFSET(nombres[],0,0,ROWS(nombres[]),1))-ROW(OFFSET(nombres[],0,0,1,1))+1,ROW(OFFSET(nombres[],ROWS(nombres[])-1,0,1,1))+1),$O1491:$O1510),10),"")</f>
        <v>1200</v>
      </c>
      <c r="V1491" s="42">
        <f t="array" aca="1" ref="V1491:V1510" ca="1">IFERROR(INDEX(nombres[],SMALL(IF(OFFSET(nombres[],0,0,ROWS(nombres[]),1)=V$1490,ROW(OFFSET(nombres[],0,0,ROWS(nombres[]),1))-ROW(OFFSET(nombres[],0,0,1,1))+1,ROW(OFFSET(nombres[],ROWS(nombres[])-1,0,1,1))+1),$O1491:$O1510),10),"")</f>
        <v>500</v>
      </c>
      <c r="W1491" s="42">
        <f t="array" aca="1" ref="W1491:W1510" ca="1">IFERROR(INDEX(nombres[],SMALL(IF(OFFSET(nombres[],0,0,ROWS(nombres[]),1)=W$1490,ROW(OFFSET(nombres[],0,0,ROWS(nombres[]),1))-ROW(OFFSET(nombres[],0,0,1,1))+1,ROW(OFFSET(nombres[],ROWS(nombres[])-1,0,1,1))+1),$O1491:$O1510),10),"")</f>
        <v>1187</v>
      </c>
      <c r="X1491" s="42">
        <f t="array" aca="1" ref="X1491:X1510" ca="1">IFERROR(INDEX(nombres[],SMALL(IF(OFFSET(nombres[],0,0,ROWS(nombres[]),1)=X$1490,ROW(OFFSET(nombres[],0,0,ROWS(nombres[]),1))-ROW(OFFSET(nombres[],0,0,1,1))+1,ROW(OFFSET(nombres[],ROWS(nombres[])-1,0,1,1))+1),$O1491:$O1510),10),"")</f>
        <v>1200</v>
      </c>
      <c r="Y1491" s="42">
        <f t="array" aca="1" ref="Y1491:Y1510" ca="1">IFERROR(INDEX(nombres[],SMALL(IF(OFFSET(nombres[],0,0,ROWS(nombres[]),1)=Y$1490,ROW(OFFSET(nombres[],0,0,ROWS(nombres[]),1))-ROW(OFFSET(nombres[],0,0,1,1))+1,ROW(OFFSET(nombres[],ROWS(nombres[])-1,0,1,1))+1),$O1491:$O1510),10),"")</f>
        <v>700</v>
      </c>
      <c r="Z1491" s="42">
        <f t="array" aca="1" ref="Z1491:Z1510" ca="1">IFERROR(INDEX(nombres[],SMALL(IF(OFFSET(nombres[],0,0,ROWS(nombres[]),1)=Z$1490,ROW(OFFSET(nombres[],0,0,ROWS(nombres[]),1))-ROW(OFFSET(nombres[],0,0,1,1))+1,ROW(OFFSET(nombres[],ROWS(nombres[])-1,0,1,1))+1),$O1491:$O1510),10),"")</f>
        <v>1187</v>
      </c>
      <c r="AA1491" s="42">
        <f t="array" aca="1" ref="AA1491:AA1510" ca="1">IFERROR(INDEX(nombres[],SMALL(IF(OFFSET(nombres[],0,0,ROWS(nombres[]),1)=AA$1490,ROW(OFFSET(nombres[],0,0,ROWS(nombres[]),1))-ROW(OFFSET(nombres[],0,0,1,1))+1,ROW(OFFSET(nombres[],ROWS(nombres[])-1,0,1,1))+1),$O1491:$O1510),10),"")</f>
        <v>1450</v>
      </c>
      <c r="AB1491" s="42">
        <f t="array" aca="1" ref="AB1491:AB1510" ca="1">IFERROR(INDEX(nombres[],SMALL(IF(OFFSET(nombres[],0,0,ROWS(nombres[]),1)=AB$1490,ROW(OFFSET(nombres[],0,0,ROWS(nombres[]),1))-ROW(OFFSET(nombres[],0,0,1,1))+1,ROW(OFFSET(nombres[],ROWS(nombres[])-1,0,1,1))+1),$O1491:$O1510),10),"")</f>
        <v>7407</v>
      </c>
      <c r="AC1491" s="42">
        <f t="array" aca="1" ref="AC1491:AC1510" ca="1">IFERROR(INDEX(nombres[],SMALL(IF(OFFSET(nombres[],0,0,ROWS(nombres[]),1)=AC$1490,ROW(OFFSET(nombres[],0,0,ROWS(nombres[]),1))-ROW(OFFSET(nombres[],0,0,1,1))+1,ROW(OFFSET(nombres[],ROWS(nombres[])-1,0,1,1))+1),$O1491:$O1510),10),"")</f>
        <v>364</v>
      </c>
      <c r="AD1491" s="42">
        <f t="array" aca="1" ref="AD1491:AD1510" ca="1">IFERROR(INDEX(nombres[],SMALL(IF(OFFSET(nombres[],0,0,ROWS(nombres[]),1)=AD$1490,ROW(OFFSET(nombres[],0,0,ROWS(nombres[]),1))-ROW(OFFSET(nombres[],0,0,1,1))+1,ROW(OFFSET(nombres[],ROWS(nombres[])-1,0,1,1))+1),$O1491:$O1510),10),"")</f>
        <v>610</v>
      </c>
      <c r="AE1491" s="42">
        <f t="array" aca="1" ref="AE1491:AE1510" ca="1">IFERROR(INDEX(nombres[],SMALL(IF(OFFSET(nombres[],0,0,ROWS(nombres[]),1)=AE$1490,ROW(OFFSET(nombres[],0,0,ROWS(nombres[]),1))-ROW(OFFSET(nombres[],0,0,1,1))+1,ROW(OFFSET(nombres[],ROWS(nombres[])-1,0,1,1))+1),$O1491:$O1510),10),"")</f>
        <v>1220</v>
      </c>
      <c r="AF1491" s="42">
        <f t="array" aca="1" ref="AF1491:AF1510" ca="1">IFERROR(INDEX(nombres[],SMALL(IF(OFFSET(nombres[],0,0,ROWS(nombres[]),1)=AF$1490,ROW(OFFSET(nombres[],0,0,ROWS(nombres[]),1))-ROW(OFFSET(nombres[],0,0,1,1))+1,ROW(OFFSET(nombres[],ROWS(nombres[])-1,0,1,1))+1),$O1491:$O1510),10),"")</f>
        <v>1300</v>
      </c>
      <c r="AG1491" s="42" t="str">
        <f t="array" aca="1" ref="AG1491:AG1510" ca="1">IFERROR(INDEX(nombres[],SMALL(IF(OFFSET(nombres[],0,0,ROWS(nombres[]),1)=AG$1490,ROW(OFFSET(nombres[],0,0,ROWS(nombres[]),1))-ROW(OFFSET(nombres[],0,0,1,1))+1,ROW(OFFSET(nombres[],ROWS(nombres[])-1,0,1,1))+1),$O1491:$O1510),10),"")</f>
        <v/>
      </c>
      <c r="AH1491" s="42">
        <f t="array" aca="1" ref="AH1491:AH1510" ca="1">IFERROR(INDEX(nombres[],SMALL(IF(OFFSET(nombres[],0,0,ROWS(nombres[]),1)=AH$1490,ROW(OFFSET(nombres[],0,0,ROWS(nombres[]),1))-ROW(OFFSET(nombres[],0,0,1,1))+1,ROW(OFFSET(nombres[],ROWS(nombres[])-1,0,1,1))+1),$O1491:$O1510),10),"")</f>
        <v>1426</v>
      </c>
      <c r="AI1491" s="42" t="str">
        <f t="array" aca="1" ref="AI1491:AI1510" ca="1">IFERROR(INDEX(nombres[],SMALL(IF(OFFSET(nombres[],0,0,ROWS(nombres[]),1)=AI$1490,ROW(OFFSET(nombres[],0,0,ROWS(nombres[]),1))-ROW(OFFSET(nombres[],0,0,1,1))+1,ROW(OFFSET(nombres[],ROWS(nombres[])-1,0,1,1))+1),$O1491:$O1510),10),"")</f>
        <v/>
      </c>
      <c r="AJ1491" s="42">
        <f t="array" aca="1" ref="AJ1491:AJ1510" ca="1">IFERROR(INDEX(nombres[],SMALL(IF(OFFSET(nombres[],0,0,ROWS(nombres[]),1)=AJ$1490,ROW(OFFSET(nombres[],0,0,ROWS(nombres[]),1))-ROW(OFFSET(nombres[],0,0,1,1))+1,ROW(OFFSET(nombres[],ROWS(nombres[])-1,0,1,1))+1),$O1491:$O1510),10),"")</f>
        <v>974</v>
      </c>
      <c r="AK1491" s="42">
        <f t="array" aca="1" ref="AK1491:AK1510" ca="1">IFERROR(INDEX(nombres[],SMALL(IF(OFFSET(nombres[],0,0,ROWS(nombres[]),1)=AK$1490,ROW(OFFSET(nombres[],0,0,ROWS(nombres[]),1))-ROW(OFFSET(nombres[],0,0,1,1))+1,ROW(OFFSET(nombres[],ROWS(nombres[])-1,0,1,1))+1),$O1491:$O1510),10),"")</f>
        <v>364</v>
      </c>
      <c r="AL1491" s="42">
        <f t="array" aca="1" ref="AL1491:AL1510" ca="1">IFERROR(INDEX(nombres[],SMALL(IF(OFFSET(nombres[],0,0,ROWS(nombres[]),1)=AL$1490,ROW(OFFSET(nombres[],0,0,ROWS(nombres[]),1))-ROW(OFFSET(nombres[],0,0,1,1))+1,ROW(OFFSET(nombres[],ROWS(nombres[])-1,0,1,1))+1),$O1491:$O1510),10),"")</f>
        <v>377</v>
      </c>
      <c r="AM1491" s="42">
        <f t="array" aca="1" ref="AM1491:AM1510" ca="1">IFERROR(INDEX(nombres[],SMALL(IF(OFFSET(nombres[],0,0,ROWS(nombres[]),1)=AM$1490,ROW(OFFSET(nombres[],0,0,ROWS(nombres[]),1))-ROW(OFFSET(nombres[],0,0,1,1))+1,ROW(OFFSET(nombres[],ROWS(nombres[])-1,0,1,1))+1),$O1491:$O1510),10),"")</f>
        <v>377</v>
      </c>
      <c r="AN1491" s="42">
        <f t="array" aca="1" ref="AN1491:AN1510" ca="1">IFERROR(INDEX(nombres[],SMALL(IF(OFFSET(nombres[],0,0,ROWS(nombres[]),1)=AN$1490,ROW(OFFSET(nombres[],0,0,ROWS(nombres[]),1))-ROW(OFFSET(nombres[],0,0,1,1))+1,ROW(OFFSET(nombres[],ROWS(nombres[])-1,0,1,1))+1),$O1491:$O1510),10),"")</f>
        <v>610</v>
      </c>
      <c r="AO1491" s="42">
        <f t="array" aca="1" ref="AO1491:AO1510" ca="1">IFERROR(INDEX(nombres[],SMALL(IF(OFFSET(nombres[],0,0,ROWS(nombres[]),1)=AO$1490,ROW(OFFSET(nombres[],0,0,ROWS(nombres[]),1))-ROW(OFFSET(nombres[],0,0,1,1))+1,ROW(OFFSET(nombres[],ROWS(nombres[])-1,0,1,1))+1),$O1491:$O1510),10),"")</f>
        <v>2250</v>
      </c>
      <c r="AP1491" s="42">
        <f t="array" aca="1" ref="AP1491:AP1510" ca="1">IFERROR(INDEX(nombres[],SMALL(IF(OFFSET(nombres[],0,0,ROWS(nombres[]),1)=AP$1490,ROW(OFFSET(nombres[],0,0,ROWS(nombres[]),1))-ROW(OFFSET(nombres[],0,0,1,1))+1,ROW(OFFSET(nombres[],ROWS(nombres[])-1,0,1,1))+1),$O1491:$O1510),10),"")</f>
        <v>1004</v>
      </c>
      <c r="AQ1491" s="42" t="str">
        <f t="array" aca="1" ref="AQ1491:AQ1510" ca="1">IFERROR(INDEX(nombres[],SMALL(IF(OFFSET(nombres[],0,0,ROWS(nombres[]),1)=AQ$1490,ROW(OFFSET(nombres[],0,0,ROWS(nombres[]),1))-ROW(OFFSET(nombres[],0,0,1,1))+1,ROW(OFFSET(nombres[],ROWS(nombres[])-1,0,1,1))+1),$O1491:$O1510),10),"")</f>
        <v/>
      </c>
      <c r="AR1491" s="42">
        <f t="array" aca="1" ref="AR1491:AR1510" ca="1">IFERROR(INDEX(nombres[],SMALL(IF(OFFSET(nombres[],0,0,ROWS(nombres[]),1)=AR$1490,ROW(OFFSET(nombres[],0,0,ROWS(nombres[]),1))-ROW(OFFSET(nombres[],0,0,1,1))+1,ROW(OFFSET(nombres[],ROWS(nombres[])-1,0,1,1))+1),$O1491:$O1510),10),"")</f>
        <v>2600</v>
      </c>
      <c r="AS1491" s="42">
        <f t="array" aca="1" ref="AS1491:AS1510" ca="1">IFERROR(INDEX(nombres[],SMALL(IF(OFFSET(nombres[],0,0,ROWS(nombres[]),1)=AS$1490,ROW(OFFSET(nombres[],0,0,ROWS(nombres[]),1))-ROW(OFFSET(nombres[],0,0,1,1))+1,ROW(OFFSET(nombres[],ROWS(nombres[])-1,0,1,1))+1),$O1491:$O1510),10),"")</f>
        <v>1433</v>
      </c>
      <c r="AT1491" s="42" t="str">
        <f t="array" aca="1" ref="AT1491:AT1510" ca="1">IFERROR(INDEX(nombres[],SMALL(IF(OFFSET(nombres[],0,0,ROWS(nombres[]),1)=AT$1490,ROW(OFFSET(nombres[],0,0,ROWS(nombres[]),1))-ROW(OFFSET(nombres[],0,0,1,1))+1,ROW(OFFSET(nombres[],ROWS(nombres[])-1,0,1,1))+1),$O1491:$O1510),10),"")</f>
        <v/>
      </c>
      <c r="AU1491" s="42">
        <f t="array" aca="1" ref="AU1491:AU1510" ca="1">IFERROR(INDEX(nombres[],SMALL(IF(OFFSET(nombres[],0,0,ROWS(nombres[]),1)=AU$1490,ROW(OFFSET(nombres[],0,0,ROWS(nombres[]),1))-ROW(OFFSET(nombres[],0,0,1,1))+1,ROW(OFFSET(nombres[],ROWS(nombres[])-1,0,1,1))+1),$O1491:$O1510),10),"")</f>
        <v>364</v>
      </c>
      <c r="AV1491" s="42">
        <f t="array" aca="1" ref="AV1491:AV1510" ca="1">IFERROR(INDEX(nombres[],SMALL(IF(OFFSET(nombres[],0,0,ROWS(nombres[]),1)=AV$1490,ROW(OFFSET(nombres[],0,0,ROWS(nombres[]),1))-ROW(OFFSET(nombres[],0,0,1,1))+1,ROW(OFFSET(nombres[],ROWS(nombres[])-1,0,1,1))+1),$O1491:$O1510),10),"")</f>
        <v>1187</v>
      </c>
      <c r="AW1491" s="42">
        <f t="array" aca="1" ref="AW1491:AW1510" ca="1">IFERROR(INDEX(nombres[],SMALL(IF(OFFSET(nombres[],0,0,ROWS(nombres[]),1)=AW$1490,ROW(OFFSET(nombres[],0,0,ROWS(nombres[]),1))-ROW(OFFSET(nombres[],0,0,1,1))+1,ROW(OFFSET(nombres[],ROWS(nombres[])-1,0,1,1))+1),$O1491:$O1510),10),"")</f>
        <v>1814</v>
      </c>
      <c r="AX1491" s="42">
        <f t="array" aca="1" ref="AX1491:AX1510" ca="1">IFERROR(INDEX(nombres[],SMALL(IF(OFFSET(nombres[],0,0,ROWS(nombres[]),1)=AX$1490,ROW(OFFSET(nombres[],0,0,ROWS(nombres[]),1))-ROW(OFFSET(nombres[],0,0,1,1))+1,ROW(OFFSET(nombres[],ROWS(nombres[])-1,0,1,1))+1),$O1491:$O1510),10),"")</f>
        <v>1433</v>
      </c>
      <c r="AY1491" s="42">
        <f t="array" aca="1" ref="AY1491:AY1510" ca="1">IFERROR(INDEX(nombres[],SMALL(IF(OFFSET(nombres[],0,0,ROWS(nombres[]),1)=AY$1490,ROW(OFFSET(nombres[],0,0,ROWS(nombres[]),1))-ROW(OFFSET(nombres[],0,0,1,1))+1,ROW(OFFSET(nombres[],ROWS(nombres[])-1,0,1,1))+1),$O1491:$O1510),10),"")</f>
        <v>829</v>
      </c>
      <c r="AZ1491" s="42">
        <f t="array" aca="1" ref="AZ1491:AZ1510" ca="1">IFERROR(INDEX(nombres[],SMALL(IF(OFFSET(nombres[],0,0,ROWS(nombres[]),1)=AZ$1490,ROW(OFFSET(nombres[],0,0,ROWS(nombres[]),1))-ROW(OFFSET(nombres[],0,0,1,1))+1,ROW(OFFSET(nombres[],ROWS(nombres[])-1,0,1,1))+1),$O1491:$O1510),10),"")</f>
        <v>1187</v>
      </c>
      <c r="BA1491" s="42">
        <f t="array" aca="1" ref="BA1491:BA1510" ca="1">IFERROR(INDEX(nombres[],SMALL(IF(OFFSET(nombres[],0,0,ROWS(nombres[]),1)=BA$1490,ROW(OFFSET(nombres[],0,0,ROWS(nombres[]),1))-ROW(OFFSET(nombres[],0,0,1,1))+1,ROW(OFFSET(nombres[],ROWS(nombres[])-1,0,1,1))+1),$O1491:$O1510),10),"")</f>
        <v>360</v>
      </c>
      <c r="BB1491" s="42">
        <f t="array" aca="1" ref="BB1491:BB1510" ca="1">IFERROR(INDEX(nombres[],SMALL(IF(OFFSET(nombres[],0,0,ROWS(nombres[]),1)=BB$1490,ROW(OFFSET(nombres[],0,0,ROWS(nombres[]),1))-ROW(OFFSET(nombres[],0,0,1,1))+1,ROW(OFFSET(nombres[],ROWS(nombres[])-1,0,1,1))+1),$O1491:$O1510),10),"")</f>
        <v>1321</v>
      </c>
      <c r="BC1491" s="42">
        <f t="array" aca="1" ref="BC1491:BC1510" ca="1">IFERROR(INDEX(nombres[],SMALL(IF(OFFSET(nombres[],0,0,ROWS(nombres[]),1)=BC$1490,ROW(OFFSET(nombres[],0,0,ROWS(nombres[]),1))-ROW(OFFSET(nombres[],0,0,1,1))+1,ROW(OFFSET(nombres[],ROWS(nombres[])-1,0,1,1))+1),$O1491:$O1510),10),"")</f>
        <v>1433</v>
      </c>
      <c r="BD1491" s="42" t="str">
        <f t="array" aca="1" ref="BD1491:BD1510" ca="1">IFERROR(INDEX(nombres[],SMALL(IF(OFFSET(nombres[],0,0,ROWS(nombres[]),1)=BD$1490,ROW(OFFSET(nombres[],0,0,ROWS(nombres[]),1))-ROW(OFFSET(nombres[],0,0,1,1))+1,ROW(OFFSET(nombres[],ROWS(nombres[])-1,0,1,1))+1),$O1491:$O1510),10),"")</f>
        <v/>
      </c>
      <c r="BE1491" s="42" t="str">
        <f t="array" aca="1" ref="BE1491:BE1510" ca="1">IFERROR(INDEX(nombres[],SMALL(IF(OFFSET(nombres[],0,0,ROWS(nombres[]),1)=BE$1490,ROW(OFFSET(nombres[],0,0,ROWS(nombres[]),1))-ROW(OFFSET(nombres[],0,0,1,1))+1,ROW(OFFSET(nombres[],ROWS(nombres[])-1,0,1,1))+1),$O1491:$O1510),10),"")</f>
        <v/>
      </c>
      <c r="BF1491" s="42">
        <f t="array" aca="1" ref="BF1491:BF1510" ca="1">IFERROR(INDEX(nombres[],SMALL(IF(OFFSET(nombres[],0,0,ROWS(nombres[]),1)=BF$1490,ROW(OFFSET(nombres[],0,0,ROWS(nombres[]),1))-ROW(OFFSET(nombres[],0,0,1,1))+1,ROW(OFFSET(nombres[],ROWS(nombres[])-1,0,1,1))+1),$O1491:$O1510),10),"")</f>
        <v>610</v>
      </c>
      <c r="BG1491" s="42">
        <f t="array" aca="1" ref="BG1491:BG1510" ca="1">IFERROR(INDEX(nombres[],SMALL(IF(OFFSET(nombres[],0,0,ROWS(nombres[]),1)=BG$1490,ROW(OFFSET(nombres[],0,0,ROWS(nombres[]),1))-ROW(OFFSET(nombres[],0,0,1,1))+1,ROW(OFFSET(nombres[],ROWS(nombres[])-1,0,1,1))+1),$O1491:$O1510),10),"")</f>
        <v>610</v>
      </c>
      <c r="BH1491" s="42">
        <f t="array" aca="1" ref="BH1491:BH1510" ca="1">IFERROR(INDEX(nombres[],SMALL(IF(OFFSET(nombres[],0,0,ROWS(nombres[]),1)=BH$1490,ROW(OFFSET(nombres[],0,0,ROWS(nombres[]),1))-ROW(OFFSET(nombres[],0,0,1,1))+1,ROW(OFFSET(nombres[],ROWS(nombres[])-1,0,1,1))+1),$O1491:$O1510),10),"")</f>
        <v>1187</v>
      </c>
      <c r="BI1491" s="42">
        <f t="array" aca="1" ref="BI1491:BI1510" ca="1">IFERROR(INDEX(nombres[],SMALL(IF(OFFSET(nombres[],0,0,ROWS(nombres[]),1)=BI$1490,ROW(OFFSET(nombres[],0,0,ROWS(nombres[]),1))-ROW(OFFSET(nombres[],0,0,1,1))+1,ROW(OFFSET(nombres[],ROWS(nombres[])-1,0,1,1))+1),$O1491:$O1510),10),"")</f>
        <v>3000</v>
      </c>
      <c r="BJ1491" s="42">
        <f t="array" aca="1" ref="BJ1491:BJ1510" ca="1">IFERROR(INDEX(nombres[],SMALL(IF(OFFSET(nombres[],0,0,ROWS(nombres[]),1)=BJ$1490,ROW(OFFSET(nombres[],0,0,ROWS(nombres[]),1))-ROW(OFFSET(nombres[],0,0,1,1))+1,ROW(OFFSET(nombres[],ROWS(nombres[])-1,0,1,1))+1),$O1491:$O1510),10),"")</f>
        <v>728</v>
      </c>
      <c r="BK1491" s="42">
        <f t="array" aca="1" ref="BK1491:BK1510" ca="1">IFERROR(INDEX(nombres[],SMALL(IF(OFFSET(nombres[],0,0,ROWS(nombres[]),1)=BK$1490,ROW(OFFSET(nombres[],0,0,ROWS(nombres[]),1))-ROW(OFFSET(nombres[],0,0,1,1))+1,ROW(OFFSET(nombres[],ROWS(nombres[])-1,0,1,1))+1),$O1491:$O1510),10),"")</f>
        <v>974</v>
      </c>
      <c r="BL1491" s="42" t="str">
        <f t="array" aca="1" ref="BL1491:BL1510" ca="1">IFERROR(INDEX(nombres[],SMALL(IF(OFFSET(nombres[],0,0,ROWS(nombres[]),1)=BL$1490,ROW(OFFSET(nombres[],0,0,ROWS(nombres[]),1))-ROW(OFFSET(nombres[],0,0,1,1))+1,ROW(OFFSET(nombres[],ROWS(nombres[])-1,0,1,1))+1),$O1491:$O1510),10),"")</f>
        <v/>
      </c>
      <c r="BM1491" s="42">
        <f t="array" aca="1" ref="BM1491:BM1510" ca="1">IFERROR(INDEX(nombres[],SMALL(IF(OFFSET(nombres[],0,0,ROWS(nombres[]),1)=BM$1490,ROW(OFFSET(nombres[],0,0,ROWS(nombres[]),1))-ROW(OFFSET(nombres[],0,0,1,1))+1,ROW(OFFSET(nombres[],ROWS(nombres[])-1,0,1,1))+1),$O1491:$O1510),10),"")</f>
        <v>1200</v>
      </c>
      <c r="BN1491" s="42">
        <f t="array" aca="1" ref="BN1491:BN1510" ca="1">IFERROR(INDEX(nombres[],SMALL(IF(OFFSET(nombres[],0,0,ROWS(nombres[]),1)=BN$1490,ROW(OFFSET(nombres[],0,0,ROWS(nombres[]),1))-ROW(OFFSET(nombres[],0,0,1,1))+1,ROW(OFFSET(nombres[],ROWS(nombres[])-1,0,1,1))+1),$O1491:$O1510),10),"")</f>
        <v>1350</v>
      </c>
      <c r="BO1491" s="42">
        <f t="array" aca="1" ref="BO1491:BO1510" ca="1">IFERROR(INDEX(nombres[],SMALL(IF(OFFSET(nombres[],0,0,ROWS(nombres[]),1)=BO$1490,ROW(OFFSET(nombres[],0,0,ROWS(nombres[]),1))-ROW(OFFSET(nombres[],0,0,1,1))+1,ROW(OFFSET(nombres[],ROWS(nombres[])-1,0,1,1))+1),$O1491:$O1510),10),"")</f>
        <v>3640</v>
      </c>
      <c r="BP1491" s="42">
        <f t="array" aca="1" ref="BP1491:BP1510" ca="1">IFERROR(INDEX(nombres[],SMALL(IF(OFFSET(nombres[],0,0,ROWS(nombres[]),1)=BP$1490,ROW(OFFSET(nombres[],0,0,ROWS(nombres[]),1))-ROW(OFFSET(nombres[],0,0,1,1))+1,ROW(OFFSET(nombres[],ROWS(nombres[])-1,0,1,1))+1),$O1491:$O1510),10),"")</f>
        <v>364</v>
      </c>
      <c r="BQ1491" s="42">
        <f t="array" aca="1" ref="BQ1491:BQ1510" ca="1">IFERROR(INDEX(nombres[],SMALL(IF(OFFSET(nombres[],0,0,ROWS(nombres[]),1)=BQ$1490,ROW(OFFSET(nombres[],0,0,ROWS(nombres[]),1))-ROW(OFFSET(nombres[],0,0,1,1))+1,ROW(OFFSET(nombres[],ROWS(nombres[])-1,0,1,1))+1),$O1491:$O1510),10),"")</f>
        <v>1100</v>
      </c>
      <c r="BR1491" s="42" t="str">
        <f t="array" aca="1" ref="BR1491:BR1510" ca="1">IFERROR(INDEX(nombres[],SMALL(IF(OFFSET(nombres[],0,0,ROWS(nombres[]),1)=BR$1490,ROW(OFFSET(nombres[],0,0,ROWS(nombres[]),1))-ROW(OFFSET(nombres[],0,0,1,1))+1,ROW(OFFSET(nombres[],ROWS(nombres[])-1,0,1,1))+1),$O1491:$O1510),10),"")</f>
        <v/>
      </c>
      <c r="BS1491" s="42">
        <f t="array" aca="1" ref="BS1491:BS1510" ca="1">IFERROR(INDEX(nombres[],SMALL(IF(OFFSET(nombres[],0,0,ROWS(nombres[]),1)=BS$1490,ROW(OFFSET(nombres[],0,0,ROWS(nombres[]),1))-ROW(OFFSET(nombres[],0,0,1,1))+1,ROW(OFFSET(nombres[],ROWS(nombres[])-1,0,1,1))+1),$O1491:$O1510),10),"")</f>
        <v>728</v>
      </c>
      <c r="BT1491" s="42">
        <f t="array" aca="1" ref="BT1491:BT1510" ca="1">IFERROR(INDEX(nombres[],SMALL(IF(OFFSET(nombres[],0,0,ROWS(nombres[]),1)=BT$1490,ROW(OFFSET(nombres[],0,0,ROWS(nombres[]),1))-ROW(OFFSET(nombres[],0,0,1,1))+1,ROW(OFFSET(nombres[],ROWS(nombres[])-1,0,1,1))+1),$O1491:$O1510),10),"")</f>
        <v>1000</v>
      </c>
      <c r="BU1491" s="42">
        <f t="array" aca="1" ref="BU1491:BU1510" ca="1">IFERROR(INDEX(nombres[],SMALL(IF(OFFSET(nombres[],0,0,ROWS(nombres[]),1)=BU$1490,ROW(OFFSET(nombres[],0,0,ROWS(nombres[]),1))-ROW(OFFSET(nombres[],0,0,1,1))+1,ROW(OFFSET(nombres[],ROWS(nombres[])-1,0,1,1))+1),$O1491:$O1510),10),"")</f>
        <v>9740</v>
      </c>
      <c r="BV1491" s="42">
        <f t="array" aca="1" ref="BV1491:BV1510" ca="1">IFERROR(INDEX(nombres[],SMALL(IF(OFFSET(nombres[],0,0,ROWS(nombres[]),1)=BV$1490,ROW(OFFSET(nombres[],0,0,ROWS(nombres[]),1))-ROW(OFFSET(nombres[],0,0,1,1))+1,ROW(OFFSET(nombres[],ROWS(nombres[])-1,0,1,1))+1),$O1491:$O1510),10),"")</f>
        <v>1187</v>
      </c>
      <c r="BW1491" s="42">
        <f t="array" aca="1" ref="BW1491:BW1510" ca="1">IFERROR(INDEX(nombres[],SMALL(IF(OFFSET(nombres[],0,0,ROWS(nombres[]),1)=BW$1490,ROW(OFFSET(nombres[],0,0,ROWS(nombres[]),1))-ROW(OFFSET(nombres[],0,0,1,1))+1,ROW(OFFSET(nombres[],ROWS(nombres[])-1,0,1,1))+1),$O1491:$O1510),10),"")</f>
        <v>1200</v>
      </c>
      <c r="BX1491" s="42" t="str">
        <f t="array" aca="1" ref="BX1491:BX1510" ca="1">IFERROR(INDEX(nombres[],SMALL(IF(OFFSET(nombres[],0,0,ROWS(nombres[]),1)=BX$1490,ROW(OFFSET(nombres[],0,0,ROWS(nombres[]),1))-ROW(OFFSET(nombres[],0,0,1,1))+1,ROW(OFFSET(nombres[],ROWS(nombres[])-1,0,1,1))+1),$O1491:$O1510),10),"")</f>
        <v/>
      </c>
      <c r="BY1491" s="42">
        <f t="array" aca="1" ref="BY1491:BY1510" ca="1">IFERROR(INDEX(nombres[],SMALL(IF(OFFSET(nombres[],0,0,ROWS(nombres[]),1)=BY$1490,ROW(OFFSET(nombres[],0,0,ROWS(nombres[]),1))-ROW(OFFSET(nombres[],0,0,1,1))+1,ROW(OFFSET(nombres[],ROWS(nombres[])-1,0,1,1))+1),$O1491:$O1510),10),"")</f>
        <v>2374</v>
      </c>
      <c r="BZ1491" s="42" t="str">
        <f t="array" aca="1" ref="BZ1491:BZ1510" ca="1">IFERROR(INDEX(nombres[],SMALL(IF(OFFSET(nombres[],0,0,ROWS(nombres[]),1)=BZ$1490,ROW(OFFSET(nombres[],0,0,ROWS(nombres[]),1))-ROW(OFFSET(nombres[],0,0,1,1))+1,ROW(OFFSET(nombres[],ROWS(nombres[])-1,0,1,1))+1),$O1491:$O1510),10),"")</f>
        <v/>
      </c>
      <c r="CA1491" s="42">
        <f t="array" aca="1" ref="CA1491:CA1510" ca="1">IFERROR(INDEX(nombres[],SMALL(IF(OFFSET(nombres[],0,0,ROWS(nombres[]),1)=CA$1490,ROW(OFFSET(nombres[],0,0,ROWS(nombres[]),1))-ROW(OFFSET(nombres[],0,0,1,1))+1,ROW(OFFSET(nombres[],ROWS(nombres[])-1,0,1,1))+1),$O1491:$O1510),10),"")</f>
        <v>1000</v>
      </c>
      <c r="CB1491" s="42">
        <f t="array" aca="1" ref="CB1491:CB1510" ca="1">IFERROR(INDEX(nombres[],SMALL(IF(OFFSET(nombres[],0,0,ROWS(nombres[]),1)=CB$1490,ROW(OFFSET(nombres[],0,0,ROWS(nombres[]),1))-ROW(OFFSET(nombres[],0,0,1,1))+1,ROW(OFFSET(nombres[],ROWS(nombres[])-1,0,1,1))+1),$O1491:$O1510),10),"")</f>
        <v>627</v>
      </c>
      <c r="CC1491" s="42" t="str">
        <f t="array" aca="1" ref="CC1491:CC1510" ca="1">IFERROR(INDEX(nombres[],SMALL(IF(OFFSET(nombres[],0,0,ROWS(nombres[]),1)=CC$1490,ROW(OFFSET(nombres[],0,0,ROWS(nombres[]),1))-ROW(OFFSET(nombres[],0,0,1,1))+1,ROW(OFFSET(nombres[],ROWS(nombres[])-1,0,1,1))+1),$O1491:$O1510),10),"")</f>
        <v/>
      </c>
      <c r="CD1491" s="42" t="str">
        <f t="array" aca="1" ref="CD1491:CD1510" ca="1">IFERROR(INDEX(nombres[],SMALL(IF(OFFSET(nombres[],0,0,ROWS(nombres[]),1)=CD$1490,ROW(OFFSET(nombres[],0,0,ROWS(nombres[]),1))-ROW(OFFSET(nombres[],0,0,1,1))+1,ROW(OFFSET(nombres[],ROWS(nombres[])-1,0,1,1))+1),$O1491:$O1510),10),"")</f>
        <v/>
      </c>
      <c r="CE1491" s="42">
        <f t="array" aca="1" ref="CE1491:CE1510" ca="1">IFERROR(INDEX(nombres[],SMALL(IF(OFFSET(nombres[],0,0,ROWS(nombres[]),1)=CE$1490,ROW(OFFSET(nombres[],0,0,ROWS(nombres[]),1))-ROW(OFFSET(nombres[],0,0,1,1))+1,ROW(OFFSET(nombres[],ROWS(nombres[])-1,0,1,1))+1),$O1491:$O1510),10),"")</f>
        <v>3125</v>
      </c>
      <c r="CF1491" s="42">
        <f t="array" aca="1" ref="CF1491:CF1510" ca="1">IFERROR(INDEX(nombres[],SMALL(IF(OFFSET(nombres[],0,0,ROWS(nombres[]),1)=CF$1490,ROW(OFFSET(nombres[],0,0,ROWS(nombres[]),1))-ROW(OFFSET(nombres[],0,0,1,1))+1,ROW(OFFSET(nombres[],ROWS(nombres[])-1,0,1,1))+1),$O1491:$O1510),10),"")</f>
        <v>1433</v>
      </c>
      <c r="CG1491" s="42" t="str">
        <f t="array" aca="1" ref="CG1491:CG1510" ca="1">IFERROR(INDEX(nombres[],SMALL(IF(OFFSET(nombres[],0,0,ROWS(nombres[]),1)=CG$1490,ROW(OFFSET(nombres[],0,0,ROWS(nombres[]),1))-ROW(OFFSET(nombres[],0,0,1,1))+1,ROW(OFFSET(nombres[],ROWS(nombres[])-1,0,1,1))+1),$O1491:$O1510),10),"")</f>
        <v/>
      </c>
      <c r="CH1491" s="42">
        <f t="array" aca="1" ref="CH1491:CH1510" ca="1">IFERROR(INDEX(nombres[],SMALL(IF(OFFSET(nombres[],0,0,ROWS(nombres[]),1)=CH$1490,ROW(OFFSET(nombres[],0,0,ROWS(nombres[]),1))-ROW(OFFSET(nombres[],0,0,1,1))+1,ROW(OFFSET(nombres[],ROWS(nombres[])-1,0,1,1))+1),$O1491:$O1510),10),"")</f>
        <v>2374</v>
      </c>
      <c r="CI1491" s="42">
        <f t="array" aca="1" ref="CI1491:CI1510" ca="1">IFERROR(INDEX(nombres[],SMALL(IF(OFFSET(nombres[],0,0,ROWS(nombres[]),1)=CI$1490,ROW(OFFSET(nombres[],0,0,ROWS(nombres[]),1))-ROW(OFFSET(nombres[],0,0,1,1))+1,ROW(OFFSET(nombres[],ROWS(nombres[])-1,0,1,1))+1),$O1491:$O1510),10),"")</f>
        <v>610</v>
      </c>
      <c r="CJ1491" s="42" t="str">
        <f t="array" aca="1" ref="CJ1491:CJ1510" ca="1">IFERROR(INDEX(nombres[],SMALL(IF(OFFSET(nombres[],0,0,ROWS(nombres[]),1)=CJ$1490,ROW(OFFSET(nombres[],0,0,ROWS(nombres[]),1))-ROW(OFFSET(nombres[],0,0,1,1))+1,ROW(OFFSET(nombres[],ROWS(nombres[])-1,0,1,1))+1),$O1491:$O1510),10),"")</f>
        <v/>
      </c>
      <c r="CK1491" s="42">
        <f t="array" aca="1" ref="CK1491:CK1510" ca="1">IFERROR(INDEX(nombres[],SMALL(IF(OFFSET(nombres[],0,0,ROWS(nombres[]),1)=CK$1490,ROW(OFFSET(nombres[],0,0,ROWS(nombres[]),1))-ROW(OFFSET(nombres[],0,0,1,1))+1,ROW(OFFSET(nombres[],ROWS(nombres[])-1,0,1,1))+1),$O1491:$O1510),10),"")</f>
        <v>7280</v>
      </c>
      <c r="CL1491" s="42">
        <f t="array" aca="1" ref="CL1491:CL1510" ca="1">IFERROR(INDEX(nombres[],SMALL(IF(OFFSET(nombres[],0,0,ROWS(nombres[]),1)=CL$1490,ROW(OFFSET(nombres[],0,0,ROWS(nombres[]),1))-ROW(OFFSET(nombres[],0,0,1,1))+1,ROW(OFFSET(nombres[],ROWS(nombres[])-1,0,1,1))+1),$O1491:$O1510),10),"")</f>
        <v>364</v>
      </c>
      <c r="CM1491" s="42" t="str">
        <f t="array" aca="1" ref="CM1491:CM1510" ca="1">IFERROR(INDEX(nombres[],SMALL(IF(OFFSET(nombres[],0,0,ROWS(nombres[]),1)=CM$1490,ROW(OFFSET(nombres[],0,0,ROWS(nombres[]),1))-ROW(OFFSET(nombres[],0,0,1,1))+1,ROW(OFFSET(nombres[],ROWS(nombres[])-1,0,1,1))+1),$O1491:$O1510),10),"")</f>
        <v/>
      </c>
      <c r="CN1491" s="42" t="str">
        <f t="array" aca="1" ref="CN1491:CN1510" ca="1">IFERROR(INDEX(nombres[],SMALL(IF(OFFSET(nombres[],0,0,ROWS(nombres[]),1)=CN$1490,ROW(OFFSET(nombres[],0,0,ROWS(nombres[]),1))-ROW(OFFSET(nombres[],0,0,1,1))+1,ROW(OFFSET(nombres[],ROWS(nombres[])-1,0,1,1))+1),$O1491:$O1510),10),"")</f>
        <v/>
      </c>
      <c r="CO1491" s="42" t="str">
        <f t="array" aca="1" ref="CO1491:CO1510" ca="1">IFERROR(INDEX(nombres[],SMALL(IF(OFFSET(nombres[],0,0,ROWS(nombres[]),1)=CO$1490,ROW(OFFSET(nombres[],0,0,ROWS(nombres[]),1))-ROW(OFFSET(nombres[],0,0,1,1))+1,ROW(OFFSET(nombres[],ROWS(nombres[])-1,0,1,1))+1),$O1491:$O1510),10),"")</f>
        <v/>
      </c>
      <c r="CP1491" s="42">
        <f t="array" aca="1" ref="CP1491:CP1510" ca="1">IFERROR(INDEX(nombres[],SMALL(IF(OFFSET(nombres[],0,0,ROWS(nombres[]),1)=CP$1490,ROW(OFFSET(nombres[],0,0,ROWS(nombres[]),1))-ROW(OFFSET(nombres[],0,0,1,1))+1,ROW(OFFSET(nombres[],ROWS(nombres[])-1,0,1,1))+1),$O1491:$O1510),10),"")</f>
        <v>1433</v>
      </c>
      <c r="CQ1491" s="42" t="str">
        <f t="array" aca="1" ref="CQ1491:CQ1510" ca="1">IFERROR(INDEX(nombres[],SMALL(IF(OFFSET(nombres[],0,0,ROWS(nombres[]),1)=CQ$1490,ROW(OFFSET(nombres[],0,0,ROWS(nombres[]),1))-ROW(OFFSET(nombres[],0,0,1,1))+1,ROW(OFFSET(nombres[],ROWS(nombres[])-1,0,1,1))+1),$O1491:$O1510),10),"")</f>
        <v/>
      </c>
      <c r="CR1491" s="42" t="str">
        <f t="array" aca="1" ref="CR1491:CR1510" ca="1">IFERROR(INDEX(nombres[],SMALL(IF(OFFSET(nombres[],0,0,ROWS(nombres[]),1)=CR$1490,ROW(OFFSET(nombres[],0,0,ROWS(nombres[]),1))-ROW(OFFSET(nombres[],0,0,1,1))+1,ROW(OFFSET(nombres[],ROWS(nombres[])-1,0,1,1))+1),$O1491:$O1510),10),"")</f>
        <v/>
      </c>
      <c r="CS1491" s="42">
        <f t="array" aca="1" ref="CS1491:CS1510" ca="1">IFERROR(INDEX(nombres[],SMALL(IF(OFFSET(nombres[],0,0,ROWS(nombres[]),1)=CS$1490,ROW(OFFSET(nombres[],0,0,ROWS(nombres[]),1))-ROW(OFFSET(nombres[],0,0,1,1))+1,ROW(OFFSET(nombres[],ROWS(nombres[])-1,0,1,1))+1),$O1491:$O1510),10),"")</f>
        <v>143.30000000000001</v>
      </c>
      <c r="CT1491" s="42">
        <f t="array" aca="1" ref="CT1491:CT1510" ca="1">IFERROR(INDEX(nombres[],SMALL(IF(OFFSET(nombres[],0,0,ROWS(nombres[]),1)=CT$1490,ROW(OFFSET(nombres[],0,0,ROWS(nombres[]),1))-ROW(OFFSET(nombres[],0,0,1,1))+1,ROW(OFFSET(nombres[],ROWS(nombres[])-1,0,1,1))+1),$O1491:$O1510),10),"")</f>
        <v>610</v>
      </c>
      <c r="CU1491" s="42">
        <f t="array" aca="1" ref="CU1491:CU1510" ca="1">IFERROR(INDEX(nombres[],SMALL(IF(OFFSET(nombres[],0,0,ROWS(nombres[]),1)=CU$1490,ROW(OFFSET(nombres[],0,0,ROWS(nombres[]),1))-ROW(OFFSET(nombres[],0,0,1,1))+1,ROW(OFFSET(nombres[],ROWS(nombres[])-1,0,1,1))+1),$O1491:$O1510),10),"")</f>
        <v>1604</v>
      </c>
      <c r="CV1491" s="42">
        <f t="array" aca="1" ref="CV1491:CV1510" ca="1">IFERROR(INDEX(nombres[],SMALL(IF(OFFSET(nombres[],0,0,ROWS(nombres[]),1)=CV$1490,ROW(OFFSET(nombres[],0,0,ROWS(nombres[]),1))-ROW(OFFSET(nombres[],0,0,1,1))+1,ROW(OFFSET(nombres[],ROWS(nombres[])-1,0,1,1))+1),$O1491:$O1510),10),"")</f>
        <v>1220</v>
      </c>
      <c r="CW1491" s="42">
        <f t="array" aca="1" ref="CW1491:CW1510" ca="1">IFERROR(INDEX(nombres[],SMALL(IF(OFFSET(nombres[],0,0,ROWS(nombres[]),1)=CW$1490,ROW(OFFSET(nombres[],0,0,ROWS(nombres[]),1))-ROW(OFFSET(nombres[],0,0,1,1))+1,ROW(OFFSET(nombres[],ROWS(nombres[])-1,0,1,1))+1),$O1491:$O1510),10),"")</f>
        <v>364</v>
      </c>
      <c r="CX1491" s="42" t="str">
        <f t="array" aca="1" ref="CX1491:CX1510" ca="1">IFERROR(INDEX(nombres[],SMALL(IF(OFFSET(nombres[],0,0,ROWS(nombres[]),1)=CX$1490,ROW(OFFSET(nombres[],0,0,ROWS(nombres[]),1))-ROW(OFFSET(nombres[],0,0,1,1))+1,ROW(OFFSET(nombres[],ROWS(nombres[])-1,0,1,1))+1),$O1491:$O1510),10),"")</f>
        <v/>
      </c>
      <c r="CY1491" s="42">
        <f t="array" aca="1" ref="CY1491:CY1510" ca="1">IFERROR(INDEX(nombres[],SMALL(IF(OFFSET(nombres[],0,0,ROWS(nombres[]),1)=CY$1490,ROW(OFFSET(nombres[],0,0,ROWS(nombres[]),1))-ROW(OFFSET(nombres[],0,0,1,1))+1,ROW(OFFSET(nombres[],ROWS(nombres[])-1,0,1,1))+1),$O1491:$O1510),10),"")</f>
        <v>1187</v>
      </c>
      <c r="CZ1491" s="42">
        <f t="array" aca="1" ref="CZ1491:CZ1510" ca="1">IFERROR(INDEX(nombres[],SMALL(IF(OFFSET(nombres[],0,0,ROWS(nombres[]),1)=CZ$1490,ROW(OFFSET(nombres[],0,0,ROWS(nombres[]),1))-ROW(OFFSET(nombres[],0,0,1,1))+1,ROW(OFFSET(nombres[],ROWS(nombres[])-1,0,1,1))+1),$O1491:$O1510),10),"")</f>
        <v>2160</v>
      </c>
      <c r="DA1491" s="42">
        <f t="array" aca="1" ref="DA1491:DA1510" ca="1">IFERROR(INDEX(nombres[],SMALL(IF(OFFSET(nombres[],0,0,ROWS(nombres[]),1)=DA$1490,ROW(OFFSET(nombres[],0,0,ROWS(nombres[]),1))-ROW(OFFSET(nombres[],0,0,1,1))+1,ROW(OFFSET(nombres[],ROWS(nombres[])-1,0,1,1))+1),$O1491:$O1510),10),"")</f>
        <v>377</v>
      </c>
      <c r="DB1491" s="42" t="str">
        <f t="array" aca="1" ref="DB1491:DB1510" ca="1">IFERROR(INDEX(nombres[],SMALL(IF(OFFSET(nombres[],0,0,ROWS(nombres[]),1)=DB$1490,ROW(OFFSET(nombres[],0,0,ROWS(nombres[]),1))-ROW(OFFSET(nombres[],0,0,1,1))+1,ROW(OFFSET(nombres[],ROWS(nombres[])-1,0,1,1))+1),$O1491:$O1510),10),"")</f>
        <v/>
      </c>
      <c r="DC1491" s="42">
        <f t="array" aca="1" ref="DC1491:DC1510" ca="1">IFERROR(INDEX(nombres[],SMALL(IF(OFFSET(nombres[],0,0,ROWS(nombres[]),1)=DC$1490,ROW(OFFSET(nombres[],0,0,ROWS(nombres[]),1))-ROW(OFFSET(nombres[],0,0,1,1))+1,ROW(OFFSET(nombres[],ROWS(nombres[])-1,0,1,1))+1),$O1491:$O1510),10),"")</f>
        <v>6100</v>
      </c>
      <c r="DD1491" s="42">
        <f t="array" aca="1" ref="DD1491:DD1510" ca="1">IFERROR(INDEX(nombres[],SMALL(IF(OFFSET(nombres[],0,0,ROWS(nombres[]),1)=DD$1490,ROW(OFFSET(nombres[],0,0,ROWS(nombres[]),1))-ROW(OFFSET(nombres[],0,0,1,1))+1,ROW(OFFSET(nombres[],ROWS(nombres[])-1,0,1,1))+1),$O1491:$O1510),10),"")</f>
        <v>1220</v>
      </c>
      <c r="DE1491" s="42">
        <f t="array" aca="1" ref="DE1491:DE1510" ca="1">IFERROR(INDEX(nombres[],SMALL(IF(OFFSET(nombres[],0,0,ROWS(nombres[]),1)=DE$1490,ROW(OFFSET(nombres[],0,0,ROWS(nombres[]),1))-ROW(OFFSET(nombres[],0,0,1,1))+1,ROW(OFFSET(nombres[],ROWS(nombres[])-1,0,1,1))+1),$O1491:$O1510),10),"")</f>
        <v>1250</v>
      </c>
      <c r="DF1491" s="42">
        <f t="array" aca="1" ref="DF1491:DF1510" ca="1">IFERROR(INDEX(nombres[],SMALL(IF(OFFSET(nombres[],0,0,ROWS(nombres[]),1)=DF$1490,ROW(OFFSET(nombres[],0,0,ROWS(nombres[]),1))-ROW(OFFSET(nombres[],0,0,1,1))+1,ROW(OFFSET(nombres[],ROWS(nombres[])-1,0,1,1))+1),$O1491:$O1510),10),"")</f>
        <v>700</v>
      </c>
      <c r="DG1491" s="42">
        <f t="array" aca="1" ref="DG1491:DG1510" ca="1">IFERROR(INDEX(nombres[],SMALL(IF(OFFSET(nombres[],0,0,ROWS(nombres[]),1)=DG$1490,ROW(OFFSET(nombres[],0,0,ROWS(nombres[]),1))-ROW(OFFSET(nombres[],0,0,1,1))+1,ROW(OFFSET(nombres[],ROWS(nombres[])-1,0,1,1))+1),$O1491:$O1510),10),"")</f>
        <v>1480</v>
      </c>
      <c r="DH1491" s="42">
        <f t="array" aca="1" ref="DH1491:DH1510" ca="1">IFERROR(INDEX(nombres[],SMALL(IF(OFFSET(nombres[],0,0,ROWS(nombres[]),1)=DH$1490,ROW(OFFSET(nombres[],0,0,ROWS(nombres[]),1))-ROW(OFFSET(nombres[],0,0,1,1))+1,ROW(OFFSET(nombres[],ROWS(nombres[])-1,0,1,1))+1),$O1491:$O1510),10),"")</f>
        <v>610</v>
      </c>
      <c r="DI1491" s="42">
        <f t="array" aca="1" ref="DI1491:DI1510" ca="1">IFERROR(INDEX(nombres[],SMALL(IF(OFFSET(nombres[],0,0,ROWS(nombres[]),1)=DI$1490,ROW(OFFSET(nombres[],0,0,ROWS(nombres[]),1))-ROW(OFFSET(nombres[],0,0,1,1))+1,ROW(OFFSET(nombres[],ROWS(nombres[])-1,0,1,1))+1),$O1491:$O1510),10),"")</f>
        <v>426</v>
      </c>
      <c r="DJ1491" s="42">
        <f t="array" aca="1" ref="DJ1491:DJ1510" ca="1">IFERROR(INDEX(nombres[],SMALL(IF(OFFSET(nombres[],0,0,ROWS(nombres[]),1)=DJ$1490,ROW(OFFSET(nombres[],0,0,ROWS(nombres[]),1))-ROW(OFFSET(nombres[],0,0,1,1))+1,ROW(OFFSET(nombres[],ROWS(nombres[])-1,0,1,1))+1),$O1491:$O1510),10),"")</f>
        <v>364</v>
      </c>
      <c r="DK1491" s="42">
        <f t="array" aca="1" ref="DK1491:DK1510" ca="1">IFERROR(INDEX(nombres[],SMALL(IF(OFFSET(nombres[],0,0,ROWS(nombres[]),1)=DK$1490,ROW(OFFSET(nombres[],0,0,ROWS(nombres[]),1))-ROW(OFFSET(nombres[],0,0,1,1))+1,ROW(OFFSET(nombres[],ROWS(nombres[])-1,0,1,1))+1),$O1491:$O1510),10),"")</f>
        <v>14</v>
      </c>
      <c r="DL1491" s="42">
        <f t="array" aca="1" ref="DL1491:DL1510" ca="1">IFERROR(INDEX(nombres[],SMALL(IF(OFFSET(nombres[],0,0,ROWS(nombres[]),1)=DL$1490,ROW(OFFSET(nombres[],0,0,ROWS(nombres[]),1))-ROW(OFFSET(nombres[],0,0,1,1))+1,ROW(OFFSET(nombres[],ROWS(nombres[])-1,0,1,1))+1),$O1491:$O1510),10),"")</f>
        <v>610</v>
      </c>
      <c r="DM1491" s="42" t="str">
        <f t="array" aca="1" ref="DM1491:DM1510" ca="1">IFERROR(INDEX(nombres[],SMALL(IF(OFFSET(nombres[],0,0,ROWS(nombres[]),1)=DM$1490,ROW(OFFSET(nombres[],0,0,ROWS(nombres[]),1))-ROW(OFFSET(nombres[],0,0,1,1))+1,ROW(OFFSET(nombres[],ROWS(nombres[])-1,0,1,1))+1),$O1491:$O1510),10),"")</f>
        <v/>
      </c>
      <c r="DN1491" s="42">
        <f t="array" aca="1" ref="DN1491:DN1510" ca="1">IFERROR(INDEX(nombres[],SMALL(IF(OFFSET(nombres[],0,0,ROWS(nombres[]),1)=DN$1490,ROW(OFFSET(nombres[],0,0,ROWS(nombres[]),1))-ROW(OFFSET(nombres[],0,0,1,1))+1,ROW(OFFSET(nombres[],ROWS(nombres[])-1,0,1,1))+1),$O1491:$O1510),10),"")</f>
        <v>610</v>
      </c>
      <c r="DO1491" s="42">
        <f t="array" aca="1" ref="DO1491:DO1510" ca="1">IFERROR(INDEX(nombres[],SMALL(IF(OFFSET(nombres[],0,0,ROWS(nombres[]),1)=DO$1490,ROW(OFFSET(nombres[],0,0,ROWS(nombres[]),1))-ROW(OFFSET(nombres[],0,0,1,1))+1,ROW(OFFSET(nombres[],ROWS(nombres[])-1,0,1,1))+1),$O1491:$O1510),10),"")</f>
        <v>7280</v>
      </c>
      <c r="DP1491" s="42" t="str">
        <f t="array" aca="1" ref="DP1491:DP1510" ca="1">IFERROR(INDEX(nombres[],SMALL(IF(OFFSET(nombres[],0,0,ROWS(nombres[]),1)=DP$1490,ROW(OFFSET(nombres[],0,0,ROWS(nombres[]),1))-ROW(OFFSET(nombres[],0,0,1,1))+1,ROW(OFFSET(nombres[],ROWS(nombres[])-1,0,1,1))+1),$O1491:$O1510),10),"")</f>
        <v/>
      </c>
      <c r="DQ1491" s="42">
        <f t="array" aca="1" ref="DQ1491:DQ1510" ca="1">IFERROR(INDEX(nombres[],SMALL(IF(OFFSET(nombres[],0,0,ROWS(nombres[]),1)=DQ$1490,ROW(OFFSET(nombres[],0,0,ROWS(nombres[]),1))-ROW(OFFSET(nombres[],0,0,1,1))+1,ROW(OFFSET(nombres[],ROWS(nombres[])-1,0,1,1))+1),$O1491:$O1510),10),"")</f>
        <v>364</v>
      </c>
      <c r="DR1491" s="42">
        <f t="array" aca="1" ref="DR1491:DR1510" ca="1">IFERROR(INDEX(nombres[],SMALL(IF(OFFSET(nombres[],0,0,ROWS(nombres[]),1)=DR$1490,ROW(OFFSET(nombres[],0,0,ROWS(nombres[]),1))-ROW(OFFSET(nombres[],0,0,1,1))+1,ROW(OFFSET(nombres[],ROWS(nombres[])-1,0,1,1))+1),$O1491:$O1510),10),"")</f>
        <v>1187</v>
      </c>
      <c r="DS1491" s="42">
        <f t="array" aca="1" ref="DS1491:DS1510" ca="1">IFERROR(INDEX(nombres[],SMALL(IF(OFFSET(nombres[],0,0,ROWS(nombres[]),1)=DS$1490,ROW(OFFSET(nombres[],0,0,ROWS(nombres[]),1))-ROW(OFFSET(nombres[],0,0,1,1))+1,ROW(OFFSET(nombres[],ROWS(nombres[])-1,0,1,1))+1),$O1491:$O1510),10),"")</f>
        <v>377</v>
      </c>
      <c r="DT1491" s="42" t="str">
        <f t="array" aca="1" ref="DT1491:DT1510" ca="1">IFERROR(INDEX(nombres[],SMALL(IF(OFFSET(nombres[],0,0,ROWS(nombres[]),1)=DT$1490,ROW(OFFSET(nombres[],0,0,ROWS(nombres[]),1))-ROW(OFFSET(nombres[],0,0,1,1))+1,ROW(OFFSET(nombres[],ROWS(nombres[])-1,0,1,1))+1),$O1491:$O1510),10),"")</f>
        <v/>
      </c>
      <c r="DU1491" s="42" t="str">
        <f t="array" aca="1" ref="DU1491:DU1510" ca="1">IFERROR(INDEX(nombres[],SMALL(IF(OFFSET(nombres[],0,0,ROWS(nombres[]),1)=DU$1490,ROW(OFFSET(nombres[],0,0,ROWS(nombres[]),1))-ROW(OFFSET(nombres[],0,0,1,1))+1,ROW(OFFSET(nombres[],ROWS(nombres[])-1,0,1,1))+1),$O1491:$O1510),10),"")</f>
        <v/>
      </c>
      <c r="DV1491" s="42" t="str">
        <f t="array" aca="1" ref="DV1491:DV1510" ca="1">IFERROR(INDEX(nombres[],SMALL(IF(OFFSET(nombres[],0,0,ROWS(nombres[]),1)=DV$1490,ROW(OFFSET(nombres[],0,0,ROWS(nombres[]),1))-ROW(OFFSET(nombres[],0,0,1,1))+1,ROW(OFFSET(nombres[],ROWS(nombres[])-1,0,1,1))+1),$O1491:$O1510),10),"")</f>
        <v/>
      </c>
      <c r="DW1491" s="42">
        <f t="array" aca="1" ref="DW1491:DW1510" ca="1">IFERROR(INDEX(nombres[],SMALL(IF(OFFSET(nombres[],0,0,ROWS(nombres[]),1)=DW$1490,ROW(OFFSET(nombres[],0,0,ROWS(nombres[]),1))-ROW(OFFSET(nombres[],0,0,1,1))+1,ROW(OFFSET(nombres[],ROWS(nombres[])-1,0,1,1))+1),$O1491:$O1510),10),"")</f>
        <v>974</v>
      </c>
      <c r="DX1491" s="42" t="str">
        <f t="array" aca="1" ref="DX1491:DX1510" ca="1">IFERROR(INDEX(nombres[],SMALL(IF(OFFSET(nombres[],0,0,ROWS(nombres[]),1)=DX$1490,ROW(OFFSET(nombres[],0,0,ROWS(nombres[]),1))-ROW(OFFSET(nombres[],0,0,1,1))+1,ROW(OFFSET(nombres[],ROWS(nombres[])-1,0,1,1))+1),$O1491:$O1510),10),"")</f>
        <v/>
      </c>
      <c r="DY1491" s="42">
        <f t="array" aca="1" ref="DY1491:DY1510" ca="1">IFERROR(INDEX(nombres[],SMALL(IF(OFFSET(nombres[],0,0,ROWS(nombres[]),1)=DY$1490,ROW(OFFSET(nombres[],0,0,ROWS(nombres[]),1))-ROW(OFFSET(nombres[],0,0,1,1))+1,ROW(OFFSET(nombres[],ROWS(nombres[])-1,0,1,1))+1),$O1491:$O1510),10),"")</f>
        <v>377</v>
      </c>
      <c r="DZ1491" s="42">
        <f t="array" aca="1" ref="DZ1491:DZ1510" ca="1">IFERROR(INDEX(nombres[],SMALL(IF(OFFSET(nombres[],0,0,ROWS(nombres[]),1)=DZ$1490,ROW(OFFSET(nombres[],0,0,ROWS(nombres[]),1))-ROW(OFFSET(nombres[],0,0,1,1))+1,ROW(OFFSET(nombres[],ROWS(nombres[])-1,0,1,1))+1),$O1491:$O1510),10),"")</f>
        <v>1200</v>
      </c>
      <c r="EA1491" s="42">
        <f t="array" aca="1" ref="EA1491:EA1510" ca="1">IFERROR(INDEX(nombres[],SMALL(IF(OFFSET(nombres[],0,0,ROWS(nombres[]),1)=EA$1490,ROW(OFFSET(nombres[],0,0,ROWS(nombres[]),1))-ROW(OFFSET(nombres[],0,0,1,1))+1,ROW(OFFSET(nombres[],ROWS(nombres[])-1,0,1,1))+1),$O1491:$O1510),10),"")</f>
        <v>627</v>
      </c>
      <c r="EB1491" s="42">
        <f t="array" aca="1" ref="EB1491:EB1510" ca="1">IFERROR(INDEX(nombres[],SMALL(IF(OFFSET(nombres[],0,0,ROWS(nombres[]),1)=EB$1490,ROW(OFFSET(nombres[],0,0,ROWS(nombres[]),1))-ROW(OFFSET(nombres[],0,0,1,1))+1,ROW(OFFSET(nombres[],ROWS(nombres[])-1,0,1,1))+1),$O1491:$O1510),10),"")</f>
        <v>974</v>
      </c>
      <c r="EC1491" s="42">
        <f t="array" aca="1" ref="EC1491:EC1510" ca="1">IFERROR(INDEX(nombres[],SMALL(IF(OFFSET(nombres[],0,0,ROWS(nombres[]),1)=EC$1490,ROW(OFFSET(nombres[],0,0,ROWS(nombres[]),1))-ROW(OFFSET(nombres[],0,0,1,1))+1,ROW(OFFSET(nombres[],ROWS(nombres[])-1,0,1,1))+1),$O1491:$O1510),10),"")</f>
        <v>377</v>
      </c>
      <c r="ED1491" s="42">
        <f t="array" aca="1" ref="ED1491:ED1510" ca="1">IFERROR(INDEX(nombres[],SMALL(IF(OFFSET(nombres[],0,0,ROWS(nombres[]),1)=ED$1490,ROW(OFFSET(nombres[],0,0,ROWS(nombres[]),1))-ROW(OFFSET(nombres[],0,0,1,1))+1,ROW(OFFSET(nombres[],ROWS(nombres[])-1,0,1,1))+1),$O1491:$O1510),10),"")</f>
        <v>364</v>
      </c>
      <c r="EE1491" s="42">
        <f t="array" aca="1" ref="EE1491:EE1510" ca="1">IFERROR(INDEX(nombres[],SMALL(IF(OFFSET(nombres[],0,0,ROWS(nombres[]),1)=EE$1490,ROW(OFFSET(nombres[],0,0,ROWS(nombres[]),1))-ROW(OFFSET(nombres[],0,0,1,1))+1,ROW(OFFSET(nombres[],ROWS(nombres[])-1,0,1,1))+1),$O1491:$O1510),10),"")</f>
        <v>364</v>
      </c>
      <c r="EF1491" s="42">
        <f t="array" aca="1" ref="EF1491:EF1510" ca="1">IFERROR(INDEX(nombres[],SMALL(IF(OFFSET(nombres[],0,0,ROWS(nombres[]),1)=EF$1490,ROW(OFFSET(nombres[],0,0,ROWS(nombres[]),1))-ROW(OFFSET(nombres[],0,0,1,1))+1,ROW(OFFSET(nombres[],ROWS(nombres[])-1,0,1,1))+1),$O1491:$O1510),10),"")</f>
        <v>2374</v>
      </c>
      <c r="EG1491" s="42" t="str">
        <f t="array" aca="1" ref="EG1491:EG1510" ca="1">IFERROR(INDEX(nombres[],SMALL(IF(OFFSET(nombres[],0,0,ROWS(nombres[]),1)=EG$1490,ROW(OFFSET(nombres[],0,0,ROWS(nombres[]),1))-ROW(OFFSET(nombres[],0,0,1,1))+1,ROW(OFFSET(nombres[],ROWS(nombres[])-1,0,1,1))+1),$O1491:$O1510),10),"")</f>
        <v/>
      </c>
      <c r="EH1491" s="42">
        <f t="array" aca="1" ref="EH1491:EH1510" ca="1">IFERROR(INDEX(nombres[],SMALL(IF(OFFSET(nombres[],0,0,ROWS(nombres[]),1)=EH$1490,ROW(OFFSET(nombres[],0,0,ROWS(nombres[]),1))-ROW(OFFSET(nombres[],0,0,1,1))+1,ROW(OFFSET(nombres[],ROWS(nombres[])-1,0,1,1))+1),$O1491:$O1510),10),"")</f>
        <v>1646</v>
      </c>
      <c r="EI1491" s="42" t="str">
        <f t="array" aca="1" ref="EI1491:EI1510" ca="1">IFERROR(INDEX(nombres[],SMALL(IF(OFFSET(nombres[],0,0,ROWS(nombres[]),1)=EI$1490,ROW(OFFSET(nombres[],0,0,ROWS(nombres[]),1))-ROW(OFFSET(nombres[],0,0,1,1))+1,ROW(OFFSET(nombres[],ROWS(nombres[])-1,0,1,1))+1),$O1491:$O1510),10),"")</f>
        <v/>
      </c>
      <c r="EJ1491" s="42">
        <f t="array" aca="1" ref="EJ1491:EJ1510" ca="1">IFERROR(INDEX(nombres[],SMALL(IF(OFFSET(nombres[],0,0,ROWS(nombres[]),1)=EJ$1490,ROW(OFFSET(nombres[],0,0,ROWS(nombres[]),1))-ROW(OFFSET(nombres[],0,0,1,1))+1,ROW(OFFSET(nombres[],ROWS(nombres[])-1,0,1,1))+1),$O1491:$O1510),10),"")</f>
        <v>1187</v>
      </c>
      <c r="EK1491" s="42">
        <f t="array" aca="1" ref="EK1491:EK1510" ca="1">IFERROR(INDEX(nombres[],SMALL(IF(OFFSET(nombres[],0,0,ROWS(nombres[]),1)=EK$1490,ROW(OFFSET(nombres[],0,0,ROWS(nombres[]),1))-ROW(OFFSET(nombres[],0,0,1,1))+1,ROW(OFFSET(nombres[],ROWS(nombres[])-1,0,1,1))+1),$O1491:$O1510),10),"")</f>
        <v>1450</v>
      </c>
      <c r="EL1491" s="42">
        <f t="array" aca="1" ref="EL1491:EL1510" ca="1">IFERROR(INDEX(nombres[],SMALL(IF(OFFSET(nombres[],0,0,ROWS(nombres[]),1)=EL$1490,ROW(OFFSET(nombres[],0,0,ROWS(nombres[]),1))-ROW(OFFSET(nombres[],0,0,1,1))+1,ROW(OFFSET(nombres[],ROWS(nombres[])-1,0,1,1))+1),$O1491:$O1510),10),"")</f>
        <v>610</v>
      </c>
      <c r="EM1491" s="42">
        <f t="array" aca="1" ref="EM1491:EM1510" ca="1">IFERROR(INDEX(nombres[],SMALL(IF(OFFSET(nombres[],0,0,ROWS(nombres[]),1)=EM$1490,ROW(OFFSET(nombres[],0,0,ROWS(nombres[]),1))-ROW(OFFSET(nombres[],0,0,1,1))+1,ROW(OFFSET(nombres[],ROWS(nombres[])-1,0,1,1))+1),$O1491:$O1510),10),"")</f>
        <v>974</v>
      </c>
      <c r="EN1491" s="42" t="str">
        <f t="array" aca="1" ref="EN1491:EN1510" ca="1">IFERROR(INDEX(nombres[],SMALL(IF(OFFSET(nombres[],0,0,ROWS(nombres[]),1)=EN$1490,ROW(OFFSET(nombres[],0,0,ROWS(nombres[]),1))-ROW(OFFSET(nombres[],0,0,1,1))+1,ROW(OFFSET(nombres[],ROWS(nombres[])-1,0,1,1))+1),$O1491:$O1510),10),"")</f>
        <v/>
      </c>
      <c r="EO1491" s="42">
        <f t="array" aca="1" ref="EO1491:EO1510" ca="1">IFERROR(INDEX(nombres[],SMALL(IF(OFFSET(nombres[],0,0,ROWS(nombres[]),1)=EO$1490,ROW(OFFSET(nombres[],0,0,ROWS(nombres[]),1))-ROW(OFFSET(nombres[],0,0,1,1))+1,ROW(OFFSET(nombres[],ROWS(nombres[])-1,0,1,1))+1),$O1491:$O1510),10),"")</f>
        <v>823</v>
      </c>
      <c r="EP1491" s="42">
        <f t="array" aca="1" ref="EP1491:EP1510" ca="1">IFERROR(INDEX(nombres[],SMALL(IF(OFFSET(nombres[],0,0,ROWS(nombres[]),1)=EP$1490,ROW(OFFSET(nombres[],0,0,ROWS(nombres[]),1))-ROW(OFFSET(nombres[],0,0,1,1))+1,ROW(OFFSET(nombres[],ROWS(nombres[])-1,0,1,1))+1),$O1491:$O1510),10),"")</f>
        <v>9740</v>
      </c>
      <c r="EQ1491" s="42">
        <f t="array" aca="1" ref="EQ1491:EQ1510" ca="1">IFERROR(INDEX(nombres[],SMALL(IF(OFFSET(nombres[],0,0,ROWS(nombres[]),1)=EQ$1490,ROW(OFFSET(nombres[],0,0,ROWS(nombres[]),1))-ROW(OFFSET(nombres[],0,0,1,1))+1,ROW(OFFSET(nombres[],ROWS(nombres[])-1,0,1,1))+1),$O1491:$O1510),10),"")</f>
        <v>610</v>
      </c>
      <c r="ER1491" s="42">
        <f t="array" aca="1" ref="ER1491:ER1510" ca="1">IFERROR(INDEX(nombres[],SMALL(IF(OFFSET(nombres[],0,0,ROWS(nombres[]),1)=ER$1490,ROW(OFFSET(nombres[],0,0,ROWS(nombres[]),1))-ROW(OFFSET(nombres[],0,0,1,1))+1,ROW(OFFSET(nombres[],ROWS(nombres[])-1,0,1,1))+1),$O1491:$O1510),10),"")</f>
        <v>1080</v>
      </c>
      <c r="ES1491" s="42">
        <f t="array" aca="1" ref="ES1491:ES1510" ca="1">IFERROR(INDEX(nombres[],SMALL(IF(OFFSET(nombres[],0,0,ROWS(nombres[]),1)=ES$1490,ROW(OFFSET(nombres[],0,0,ROWS(nombres[]),1))-ROW(OFFSET(nombres[],0,0,1,1))+1,ROW(OFFSET(nombres[],ROWS(nombres[])-1,0,1,1))+1),$O1491:$O1510),10),"")</f>
        <v>1187</v>
      </c>
      <c r="ET1491" s="42">
        <f t="array" aca="1" ref="ET1491:ET1510" ca="1">IFERROR(INDEX(nombres[],SMALL(IF(OFFSET(nombres[],0,0,ROWS(nombres[]),1)=ET$1490,ROW(OFFSET(nombres[],0,0,ROWS(nombres[]),1))-ROW(OFFSET(nombres[],0,0,1,1))+1,ROW(OFFSET(nombres[],ROWS(nombres[])-1,0,1,1))+1),$O1491:$O1510),10),"")</f>
        <v>690</v>
      </c>
      <c r="EU1491" s="42">
        <f t="array" aca="1" ref="EU1491:EU1510" ca="1">IFERROR(INDEX(nombres[],SMALL(IF(OFFSET(nombres[],0,0,ROWS(nombres[]),1)=EU$1490,ROW(OFFSET(nombres[],0,0,ROWS(nombres[]),1))-ROW(OFFSET(nombres[],0,0,1,1))+1,ROW(OFFSET(nombres[],ROWS(nombres[])-1,0,1,1))+1),$O1491:$O1510),10),"")</f>
        <v>610</v>
      </c>
      <c r="EV1491" s="42" t="str">
        <f t="array" aca="1" ref="EV1491:EV1510" ca="1">IFERROR(INDEX(nombres[],SMALL(IF(OFFSET(nombres[],0,0,ROWS(nombres[]),1)=EV$1490,ROW(OFFSET(nombres[],0,0,ROWS(nombres[]),1))-ROW(OFFSET(nombres[],0,0,1,1))+1,ROW(OFFSET(nombres[],ROWS(nombres[])-1,0,1,1))+1),$O1491:$O1510),10),"")</f>
        <v/>
      </c>
      <c r="EW1491" s="42" t="str">
        <f t="array" aca="1" ref="EW1491:EW1510" ca="1">IFERROR(INDEX(nombres[],SMALL(IF(OFFSET(nombres[],0,0,ROWS(nombres[]),1)=EW$1490,ROW(OFFSET(nombres[],0,0,ROWS(nombres[]),1))-ROW(OFFSET(nombres[],0,0,1,1))+1,ROW(OFFSET(nombres[],ROWS(nombres[])-1,0,1,1))+1),$O1491:$O1510),10),"")</f>
        <v/>
      </c>
      <c r="EX1491" s="42">
        <f t="array" aca="1" ref="EX1491:EX1510" ca="1">IFERROR(INDEX(nombres[],SMALL(IF(OFFSET(nombres[],0,0,ROWS(nombres[]),1)=EX$1490,ROW(OFFSET(nombres[],0,0,ROWS(nombres[]),1))-ROW(OFFSET(nombres[],0,0,1,1))+1,ROW(OFFSET(nombres[],ROWS(nombres[])-1,0,1,1))+1),$O1491:$O1510),10),"")</f>
        <v>1830</v>
      </c>
      <c r="EY1491" s="42" t="str">
        <f t="array" aca="1" ref="EY1491:EY1510" ca="1">IFERROR(INDEX(nombres[],SMALL(IF(OFFSET(nombres[],0,0,ROWS(nombres[]),1)=EY$1490,ROW(OFFSET(nombres[],0,0,ROWS(nombres[]),1))-ROW(OFFSET(nombres[],0,0,1,1))+1,ROW(OFFSET(nombres[],ROWS(nombres[])-1,0,1,1))+1),$O1491:$O1510),10),"")</f>
        <v/>
      </c>
      <c r="EZ1491" s="42">
        <f t="array" aca="1" ref="EZ1491:EZ1510" ca="1">IFERROR(INDEX(nombres[],SMALL(IF(OFFSET(nombres[],0,0,ROWS(nombres[]),1)=EZ$1490,ROW(OFFSET(nombres[],0,0,ROWS(nombres[]),1))-ROW(OFFSET(nombres[],0,0,1,1))+1,ROW(OFFSET(nombres[],ROWS(nombres[])-1,0,1,1))+1),$O1491:$O1510),10),"")</f>
        <v>1450</v>
      </c>
      <c r="FA1491" s="42">
        <f t="array" aca="1" ref="FA1491:FA1510" ca="1">IFERROR(INDEX(nombres[],SMALL(IF(OFFSET(nombres[],0,0,ROWS(nombres[]),1)=FA$1490,ROW(OFFSET(nombres[],0,0,ROWS(nombres[]),1))-ROW(OFFSET(nombres[],0,0,1,1))+1,ROW(OFFSET(nombres[],ROWS(nombres[])-1,0,1,1))+1),$O1491:$O1510),10),"")</f>
        <v>364</v>
      </c>
      <c r="FB1491" s="42" t="str">
        <f t="array" aca="1" ref="FB1491:FB1510" ca="1">IFERROR(INDEX(nombres[],SMALL(IF(OFFSET(nombres[],0,0,ROWS(nombres[]),1)=FB$1490,ROW(OFFSET(nombres[],0,0,ROWS(nombres[]),1))-ROW(OFFSET(nombres[],0,0,1,1))+1,ROW(OFFSET(nombres[],ROWS(nombres[])-1,0,1,1))+1),$O1491:$O1510),10),"")</f>
        <v/>
      </c>
      <c r="FC1491" s="42">
        <f t="array" aca="1" ref="FC1491:FC1510" ca="1">IFERROR(INDEX(nombres[],SMALL(IF(OFFSET(nombres[],0,0,ROWS(nombres[]),1)=FC$1490,ROW(OFFSET(nombres[],0,0,ROWS(nombres[]),1))-ROW(OFFSET(nombres[],0,0,1,1))+1,ROW(OFFSET(nombres[],ROWS(nombres[])-1,0,1,1))+1),$O1491:$O1510),10),"")</f>
        <v>377</v>
      </c>
      <c r="FD1491" s="42" t="str">
        <f t="array" aca="1" ref="FD1491:FD1510" ca="1">IFERROR(INDEX(nombres[],SMALL(IF(OFFSET(nombres[],0,0,ROWS(nombres[]),1)=FD$1490,ROW(OFFSET(nombres[],0,0,ROWS(nombres[]),1))-ROW(OFFSET(nombres[],0,0,1,1))+1,ROW(OFFSET(nombres[],ROWS(nombres[])-1,0,1,1))+1),$O1491:$O1510),10),"")</f>
        <v/>
      </c>
      <c r="FE1491" s="42">
        <f t="array" aca="1" ref="FE1491:FE1510" ca="1">IFERROR(INDEX(nombres[],SMALL(IF(OFFSET(nombres[],0,0,ROWS(nombres[]),1)=FE$1490,ROW(OFFSET(nombres[],0,0,ROWS(nombres[]),1))-ROW(OFFSET(nombres[],0,0,1,1))+1,ROW(OFFSET(nombres[],ROWS(nombres[])-1,0,1,1))+1),$O1491:$O1510),10),"")</f>
        <v>500</v>
      </c>
      <c r="FF1491" s="42">
        <f t="array" aca="1" ref="FF1491:FF1510" ca="1">IFERROR(INDEX(nombres[],SMALL(IF(OFFSET(nombres[],0,0,ROWS(nombres[]),1)=FF$1490,ROW(OFFSET(nombres[],0,0,ROWS(nombres[]),1))-ROW(OFFSET(nombres[],0,0,1,1))+1,ROW(OFFSET(nombres[],ROWS(nombres[])-1,0,1,1))+1),$O1491:$O1510),10),"")</f>
        <v>364</v>
      </c>
      <c r="FG1491" s="42" t="str">
        <f t="array" aca="1" ref="FG1491:FG1510" ca="1">IFERROR(INDEX(nombres[],SMALL(IF(OFFSET(nombres[],0,0,ROWS(nombres[]),1)=FG$1490,ROW(OFFSET(nombres[],0,0,ROWS(nombres[]),1))-ROW(OFFSET(nombres[],0,0,1,1))+1,ROW(OFFSET(nombres[],ROWS(nombres[])-1,0,1,1))+1),$O1491:$O1510),10),"")</f>
        <v/>
      </c>
      <c r="FH1491" s="42">
        <f t="array" aca="1" ref="FH1491:FH1510" ca="1">IFERROR(INDEX(nombres[],SMALL(IF(OFFSET(nombres[],0,0,ROWS(nombres[]),1)=FH$1490,ROW(OFFSET(nombres[],0,0,ROWS(nombres[]),1))-ROW(OFFSET(nombres[],0,0,1,1))+1,ROW(OFFSET(nombres[],ROWS(nombres[])-1,0,1,1))+1),$O1491:$O1510),10),"")</f>
        <v>1187</v>
      </c>
      <c r="FI1491" s="42">
        <f t="array" aca="1" ref="FI1491:FI1510" ca="1">IFERROR(INDEX(nombres[],SMALL(IF(OFFSET(nombres[],0,0,ROWS(nombres[]),1)=FI$1490,ROW(OFFSET(nombres[],0,0,ROWS(nombres[]),1))-ROW(OFFSET(nombres[],0,0,1,1))+1,ROW(OFFSET(nombres[],ROWS(nombres[])-1,0,1,1))+1),$O1491:$O1510),10),"")</f>
        <v>610</v>
      </c>
      <c r="FJ1491" s="42">
        <f t="array" aca="1" ref="FJ1491:FJ1510" ca="1">IFERROR(INDEX(nombres[],SMALL(IF(OFFSET(nombres[],0,0,ROWS(nombres[]),1)=FJ$1490,ROW(OFFSET(nombres[],0,0,ROWS(nombres[]),1))-ROW(OFFSET(nombres[],0,0,1,1))+1,ROW(OFFSET(nombres[],ROWS(nombres[])-1,0,1,1))+1),$O1491:$O1510),10),"")</f>
        <v>364</v>
      </c>
      <c r="FK1491" s="42">
        <f t="array" aca="1" ref="FK1491:FK1510" ca="1">IFERROR(INDEX(nombres[],SMALL(IF(OFFSET(nombres[],0,0,ROWS(nombres[]),1)=FK$1490,ROW(OFFSET(nombres[],0,0,ROWS(nombres[]),1))-ROW(OFFSET(nombres[],0,0,1,1))+1,ROW(OFFSET(nombres[],ROWS(nombres[])-1,0,1,1))+1),$O1491:$O1510),10),"")</f>
        <v>1187</v>
      </c>
      <c r="FL1491" s="42">
        <f t="array" aca="1" ref="FL1491:FL1510" ca="1">IFERROR(INDEX(nombres[],SMALL(IF(OFFSET(nombres[],0,0,ROWS(nombres[]),1)=FL$1490,ROW(OFFSET(nombres[],0,0,ROWS(nombres[]),1))-ROW(OFFSET(nombres[],0,0,1,1))+1,ROW(OFFSET(nombres[],ROWS(nombres[])-1,0,1,1))+1),$O1491:$O1510),10),"")</f>
        <v>364</v>
      </c>
      <c r="FM1491" s="42" t="str">
        <f t="array" aca="1" ref="FM1491:FM1510" ca="1">IFERROR(INDEX(nombres[],SMALL(IF(OFFSET(nombres[],0,0,ROWS(nombres[]),1)=FM$1490,ROW(OFFSET(nombres[],0,0,ROWS(nombres[]),1))-ROW(OFFSET(nombres[],0,0,1,1))+1,ROW(OFFSET(nombres[],ROWS(nombres[])-1,0,1,1))+1),$O1491:$O1510),10),"")</f>
        <v/>
      </c>
      <c r="FN1491" s="42" t="str">
        <f t="array" aca="1" ref="FN1491:FN1510" ca="1">IFERROR(INDEX(nombres[],SMALL(IF(OFFSET(nombres[],0,0,ROWS(nombres[]),1)=FN$1490,ROW(OFFSET(nombres[],0,0,ROWS(nombres[]),1))-ROW(OFFSET(nombres[],0,0,1,1))+1,ROW(OFFSET(nombres[],ROWS(nombres[])-1,0,1,1))+1),$O1491:$O1510),10),"")</f>
        <v/>
      </c>
      <c r="FO1491" s="42">
        <f t="array" aca="1" ref="FO1491:FO1510" ca="1">IFERROR(INDEX(nombres[],SMALL(IF(OFFSET(nombres[],0,0,ROWS(nombres[]),1)=FO$1490,ROW(OFFSET(nombres[],0,0,ROWS(nombres[]),1))-ROW(OFFSET(nombres[],0,0,1,1))+1,ROW(OFFSET(nombres[],ROWS(nombres[])-1,0,1,1))+1),$O1491:$O1510),10),"")</f>
        <v>364</v>
      </c>
      <c r="FP1491" s="42">
        <f t="array" aca="1" ref="FP1491:FP1510" ca="1">IFERROR(INDEX(nombres[],SMALL(IF(OFFSET(nombres[],0,0,ROWS(nombres[]),1)=FP$1490,ROW(OFFSET(nombres[],0,0,ROWS(nombres[]),1))-ROW(OFFSET(nombres[],0,0,1,1))+1,ROW(OFFSET(nombres[],ROWS(nombres[])-1,0,1,1))+1),$O1491:$O1510),10),"")</f>
        <v>627</v>
      </c>
      <c r="FQ1491" s="42">
        <f t="array" aca="1" ref="FQ1491:FQ1510" ca="1">IFERROR(INDEX(nombres[],SMALL(IF(OFFSET(nombres[],0,0,ROWS(nombres[]),1)=FQ$1490,ROW(OFFSET(nombres[],0,0,ROWS(nombres[]),1))-ROW(OFFSET(nombres[],0,0,1,1))+1,ROW(OFFSET(nombres[],ROWS(nombres[])-1,0,1,1))+1),$O1491:$O1510),10),"")</f>
        <v>1200</v>
      </c>
      <c r="FR1491" s="42" t="str">
        <f t="array" aca="1" ref="FR1491:FR1510" ca="1">IFERROR(INDEX(nombres[],SMALL(IF(OFFSET(nombres[],0,0,ROWS(nombres[]),1)=FR$1490,ROW(OFFSET(nombres[],0,0,ROWS(nombres[]),1))-ROW(OFFSET(nombres[],0,0,1,1))+1,ROW(OFFSET(nombres[],ROWS(nombres[])-1,0,1,1))+1),$O1491:$O1510),10),"")</f>
        <v/>
      </c>
      <c r="FS1491" s="42">
        <f t="array" aca="1" ref="FS1491:FS1510" ca="1">IFERROR(INDEX(nombres[],SMALL(IF(OFFSET(nombres[],0,0,ROWS(nombres[]),1)=FS$1490,ROW(OFFSET(nombres[],0,0,ROWS(nombres[]),1))-ROW(OFFSET(nombres[],0,0,1,1))+1,ROW(OFFSET(nombres[],ROWS(nombres[])-1,0,1,1))+1),$O1491:$O1510),10),"")</f>
        <v>728</v>
      </c>
      <c r="FT1491" s="42" t="str">
        <f t="array" aca="1" ref="FT1491:FT1510" ca="1">IFERROR(INDEX(nombres[],SMALL(IF(OFFSET(nombres[],0,0,ROWS(nombres[]),1)=FT$1490,ROW(OFFSET(nombres[],0,0,ROWS(nombres[]),1))-ROW(OFFSET(nombres[],0,0,1,1))+1,ROW(OFFSET(nombres[],ROWS(nombres[])-1,0,1,1))+1),$O1491:$O1510),10),"")</f>
        <v/>
      </c>
      <c r="FU1491" s="42">
        <f t="array" aca="1" ref="FU1491:FU1510" ca="1">IFERROR(INDEX(nombres[],SMALL(IF(OFFSET(nombres[],0,0,ROWS(nombres[]),1)=FU$1490,ROW(OFFSET(nombres[],0,0,ROWS(nombres[]),1))-ROW(OFFSET(nombres[],0,0,1,1))+1,ROW(OFFSET(nombres[],ROWS(nombres[])-1,0,1,1))+1),$O1491:$O1510),10),"")</f>
        <v>2866</v>
      </c>
      <c r="FV1491" s="42">
        <f t="array" aca="1" ref="FV1491:FV1510" ca="1">IFERROR(INDEX(nombres[],SMALL(IF(OFFSET(nombres[],0,0,ROWS(nombres[]),1)=FV$1490,ROW(OFFSET(nombres[],0,0,ROWS(nombres[]),1))-ROW(OFFSET(nombres[],0,0,1,1))+1,ROW(OFFSET(nombres[],ROWS(nombres[])-1,0,1,1))+1),$O1491:$O1510),10),"")</f>
        <v>1187</v>
      </c>
      <c r="FW1491" s="42" t="str">
        <f t="array" aca="1" ref="FW1491:FW1510" ca="1">IFERROR(INDEX(nombres[],SMALL(IF(OFFSET(nombres[],0,0,ROWS(nombres[]),1)=FW$1490,ROW(OFFSET(nombres[],0,0,ROWS(nombres[]),1))-ROW(OFFSET(nombres[],0,0,1,1))+1,ROW(OFFSET(nombres[],ROWS(nombres[])-1,0,1,1))+1),$O1491:$O1510),10),"")</f>
        <v/>
      </c>
      <c r="FX1491" s="42">
        <f t="array" aca="1" ref="FX1491:FX1510" ca="1">IFERROR(INDEX(nombres[],SMALL(IF(OFFSET(nombres[],0,0,ROWS(nombres[]),1)=FX$1490,ROW(OFFSET(nombres[],0,0,ROWS(nombres[]),1))-ROW(OFFSET(nombres[],0,0,1,1))+1,ROW(OFFSET(nombres[],ROWS(nombres[])-1,0,1,1))+1),$O1491:$O1510),10),"")</f>
        <v>610</v>
      </c>
      <c r="FY1491" s="42" t="str">
        <f t="array" aca="1" ref="FY1491:FY1510" ca="1">IFERROR(INDEX(nombres[],SMALL(IF(OFFSET(nombres[],0,0,ROWS(nombres[]),1)=FY$1490,ROW(OFFSET(nombres[],0,0,ROWS(nombres[]),1))-ROW(OFFSET(nombres[],0,0,1,1))+1,ROW(OFFSET(nombres[],ROWS(nombres[])-1,0,1,1))+1),$O1491:$O1510),10),"")</f>
        <v/>
      </c>
      <c r="FZ1491" s="42">
        <f t="array" aca="1" ref="FZ1491:FZ1510" ca="1">IFERROR(INDEX(nombres[],SMALL(IF(OFFSET(nombres[],0,0,ROWS(nombres[]),1)=FZ$1490,ROW(OFFSET(nombres[],0,0,ROWS(nombres[]),1))-ROW(OFFSET(nombres[],0,0,1,1))+1,ROW(OFFSET(nombres[],ROWS(nombres[])-1,0,1,1))+1),$O1491:$O1510),10),"")</f>
        <v>610</v>
      </c>
      <c r="GA1491" s="42">
        <f t="array" aca="1" ref="GA1491:GA1510" ca="1">IFERROR(INDEX(nombres[],SMALL(IF(OFFSET(nombres[],0,0,ROWS(nombres[]),1)=GA$1490,ROW(OFFSET(nombres[],0,0,ROWS(nombres[]),1))-ROW(OFFSET(nombres[],0,0,1,1))+1,ROW(OFFSET(nombres[],ROWS(nombres[])-1,0,1,1))+1),$O1491:$O1510),10),"")</f>
        <v>640</v>
      </c>
      <c r="GB1491" s="42" t="str">
        <f t="array" aca="1" ref="GB1491:GB1510" ca="1">IFERROR(INDEX(nombres[],SMALL(IF(OFFSET(nombres[],0,0,ROWS(nombres[]),1)=GB$1490,ROW(OFFSET(nombres[],0,0,ROWS(nombres[]),1))-ROW(OFFSET(nombres[],0,0,1,1))+1,ROW(OFFSET(nombres[],ROWS(nombres[])-1,0,1,1))+1),$O1491:$O1510),10),"")</f>
        <v/>
      </c>
      <c r="GC1491" s="42">
        <f t="array" aca="1" ref="GC1491:GC1510" ca="1">IFERROR(INDEX(nombres[],SMALL(IF(OFFSET(nombres[],0,0,ROWS(nombres[]),1)=GC$1490,ROW(OFFSET(nombres[],0,0,ROWS(nombres[]),1))-ROW(OFFSET(nombres[],0,0,1,1))+1,ROW(OFFSET(nombres[],ROWS(nombres[])-1,0,1,1))+1),$O1491:$O1510),10),"")</f>
        <v>364</v>
      </c>
      <c r="GD1491" s="42">
        <f t="array" aca="1" ref="GD1491:GD1510" ca="1">IFERROR(INDEX(nombres[],SMALL(IF(OFFSET(nombres[],0,0,ROWS(nombres[]),1)=GD$1490,ROW(OFFSET(nombres[],0,0,ROWS(nombres[]),1))-ROW(OFFSET(nombres[],0,0,1,1))+1,ROW(OFFSET(nombres[],ROWS(nombres[])-1,0,1,1))+1),$O1491:$O1510),10),"")</f>
        <v>377</v>
      </c>
      <c r="GE1491" s="42">
        <f t="array" aca="1" ref="GE1491:GE1510" ca="1">IFERROR(INDEX(nombres[],SMALL(IF(OFFSET(nombres[],0,0,ROWS(nombres[]),1)=GE$1490,ROW(OFFSET(nombres[],0,0,ROWS(nombres[]),1))-ROW(OFFSET(nombres[],0,0,1,1))+1,ROW(OFFSET(nombres[],ROWS(nombres[])-1,0,1,1))+1),$O1491:$O1510),10),"")</f>
        <v>2400</v>
      </c>
      <c r="GF1491" s="42">
        <f t="array" aca="1" ref="GF1491:GF1510" ca="1">IFERROR(INDEX(nombres[],SMALL(IF(OFFSET(nombres[],0,0,ROWS(nombres[]),1)=GF$1490,ROW(OFFSET(nombres[],0,0,ROWS(nombres[]),1))-ROW(OFFSET(nombres[],0,0,1,1))+1,ROW(OFFSET(nombres[],ROWS(nombres[])-1,0,1,1))+1),$O1491:$O1510),10),"")</f>
        <v>364</v>
      </c>
      <c r="GG1491" s="42">
        <f t="array" aca="1" ref="GG1491:GG1510" ca="1">IFERROR(INDEX(nombres[],SMALL(IF(OFFSET(nombres[],0,0,ROWS(nombres[]),1)=GG$1490,ROW(OFFSET(nombres[],0,0,ROWS(nombres[]),1))-ROW(OFFSET(nombres[],0,0,1,1))+1,ROW(OFFSET(nombres[],ROWS(nombres[])-1,0,1,1))+1),$O1491:$O1510),10),"")</f>
        <v>974</v>
      </c>
      <c r="GH1491" s="42">
        <f t="array" aca="1" ref="GH1491:GH1510" ca="1">IFERROR(INDEX(nombres[],SMALL(IF(OFFSET(nombres[],0,0,ROWS(nombres[]),1)=GH$1490,ROW(OFFSET(nombres[],0,0,ROWS(nombres[]),1))-ROW(OFFSET(nombres[],0,0,1,1))+1,ROW(OFFSET(nombres[],ROWS(nombres[])-1,0,1,1))+1),$O1491:$O1510),10),"")</f>
        <v>610</v>
      </c>
      <c r="GI1491" s="42">
        <f t="array" aca="1" ref="GI1491:GI1510" ca="1">IFERROR(INDEX(nombres[],SMALL(IF(OFFSET(nombres[],0,0,ROWS(nombres[]),1)=GI$1490,ROW(OFFSET(nombres[],0,0,ROWS(nombres[]),1))-ROW(OFFSET(nombres[],0,0,1,1))+1,ROW(OFFSET(nombres[],ROWS(nombres[])-1,0,1,1))+1),$O1491:$O1510),10),"")</f>
        <v>728</v>
      </c>
      <c r="GJ1491" s="42">
        <f t="array" aca="1" ref="GJ1491:GJ1510" ca="1">IFERROR(INDEX(nombres[],SMALL(IF(OFFSET(nombres[],0,0,ROWS(nombres[]),1)=GJ$1490,ROW(OFFSET(nombres[],0,0,ROWS(nombres[]),1))-ROW(OFFSET(nombres[],0,0,1,1))+1,ROW(OFFSET(nombres[],ROWS(nombres[])-1,0,1,1))+1),$O1491:$O1510),10),"")</f>
        <v>720</v>
      </c>
      <c r="GK1491" s="42" t="str">
        <f t="array" aca="1" ref="GK1491:GK1510" ca="1">IFERROR(INDEX(nombres[],SMALL(IF(OFFSET(nombres[],0,0,ROWS(nombres[]),1)=GK$1490,ROW(OFFSET(nombres[],0,0,ROWS(nombres[]),1))-ROW(OFFSET(nombres[],0,0,1,1))+1,ROW(OFFSET(nombres[],ROWS(nombres[])-1,0,1,1))+1),$O1491:$O1510),10),"")</f>
        <v/>
      </c>
      <c r="GL1491" s="42">
        <f t="array" aca="1" ref="GL1491:GL1510" ca="1">IFERROR(INDEX(nombres[],SMALL(IF(OFFSET(nombres[],0,0,ROWS(nombres[]),1)=GL$1490,ROW(OFFSET(nombres[],0,0,ROWS(nombres[]),1))-ROW(OFFSET(nombres[],0,0,1,1))+1,ROW(OFFSET(nombres[],ROWS(nombres[])-1,0,1,1))+1),$O1491:$O1510),10),"")</f>
        <v>610</v>
      </c>
      <c r="GM1491" s="42" t="str">
        <f t="array" aca="1" ref="GM1491:GM1510" ca="1">IFERROR(INDEX(nombres[],SMALL(IF(OFFSET(nombres[],0,0,ROWS(nombres[]),1)=GM$1490,ROW(OFFSET(nombres[],0,0,ROWS(nombres[]),1))-ROW(OFFSET(nombres[],0,0,1,1))+1,ROW(OFFSET(nombres[],ROWS(nombres[])-1,0,1,1))+1),$O1491:$O1510),10),"")</f>
        <v/>
      </c>
      <c r="GN1491" s="42">
        <f t="array" aca="1" ref="GN1491:GN1510" ca="1">IFERROR(INDEX(nombres[],SMALL(IF(OFFSET(nombres[],0,0,ROWS(nombres[]),1)=GN$1490,ROW(OFFSET(nombres[],0,0,ROWS(nombres[]),1))-ROW(OFFSET(nombres[],0,0,1,1))+1,ROW(OFFSET(nombres[],ROWS(nombres[])-1,0,1,1))+1),$O1491:$O1510),10),"")</f>
        <v>2450</v>
      </c>
      <c r="GO1491" s="42" t="str">
        <f t="array" aca="1" ref="GO1491:GO1510" ca="1">IFERROR(INDEX(nombres[],SMALL(IF(OFFSET(nombres[],0,0,ROWS(nombres[]),1)=GO$1490,ROW(OFFSET(nombres[],0,0,ROWS(nombres[]),1))-ROW(OFFSET(nombres[],0,0,1,1))+1,ROW(OFFSET(nombres[],ROWS(nombres[])-1,0,1,1))+1),$O1491:$O1510),10),"")</f>
        <v/>
      </c>
      <c r="GP1491" s="42" t="str">
        <f t="array" aca="1" ref="GP1491:GP1510" ca="1">IFERROR(INDEX(nombres[],SMALL(IF(OFFSET(nombres[],0,0,ROWS(nombres[]),1)=GP$1490,ROW(OFFSET(nombres[],0,0,ROWS(nombres[]),1))-ROW(OFFSET(nombres[],0,0,1,1))+1,ROW(OFFSET(nombres[],ROWS(nombres[])-1,0,1,1))+1),$O1491:$O1510),10),"")</f>
        <v/>
      </c>
      <c r="GQ1491" s="42">
        <f t="array" aca="1" ref="GQ1491:GQ1510" ca="1">IFERROR(INDEX(nombres[],SMALL(IF(OFFSET(nombres[],0,0,ROWS(nombres[]),1)=GQ$1490,ROW(OFFSET(nombres[],0,0,ROWS(nombres[]),1))-ROW(OFFSET(nombres[],0,0,1,1))+1,ROW(OFFSET(nombres[],ROWS(nombres[])-1,0,1,1))+1),$O1491:$O1510),10),"")</f>
        <v>500</v>
      </c>
      <c r="GR1491" s="42">
        <f t="array" aca="1" ref="GR1491:GR1510" ca="1">IFERROR(INDEX(nombres[],SMALL(IF(OFFSET(nombres[],0,0,ROWS(nombres[]),1)=GR$1490,ROW(OFFSET(nombres[],0,0,ROWS(nombres[]),1))-ROW(OFFSET(nombres[],0,0,1,1))+1,ROW(OFFSET(nombres[],ROWS(nombres[])-1,0,1,1))+1),$O1491:$O1510),10),"")</f>
        <v>728</v>
      </c>
      <c r="GS1491" s="42">
        <f t="array" aca="1" ref="GS1491:GS1510" ca="1">IFERROR(INDEX(nombres[],SMALL(IF(OFFSET(nombres[],0,0,ROWS(nombres[]),1)=GS$1490,ROW(OFFSET(nombres[],0,0,ROWS(nombres[]),1))-ROW(OFFSET(nombres[],0,0,1,1))+1,ROW(OFFSET(nombres[],ROWS(nombres[])-1,0,1,1))+1),$O1491:$O1510),10),"")</f>
        <v>364</v>
      </c>
      <c r="GT1491" s="42">
        <f t="array" aca="1" ref="GT1491:GT1510" ca="1">IFERROR(INDEX(nombres[],SMALL(IF(OFFSET(nombres[],0,0,ROWS(nombres[]),1)=GT$1490,ROW(OFFSET(nombres[],0,0,ROWS(nombres[]),1))-ROW(OFFSET(nombres[],0,0,1,1))+1,ROW(OFFSET(nombres[],ROWS(nombres[])-1,0,1,1))+1),$O1491:$O1510),10),"")</f>
        <v>974</v>
      </c>
      <c r="GU1491" s="42">
        <f t="array" aca="1" ref="GU1491:GU1510" ca="1">IFERROR(INDEX(nombres[],SMALL(IF(OFFSET(nombres[],0,0,ROWS(nombres[]),1)=GU$1490,ROW(OFFSET(nombres[],0,0,ROWS(nombres[]),1))-ROW(OFFSET(nombres[],0,0,1,1))+1,ROW(OFFSET(nombres[],ROWS(nombres[])-1,0,1,1))+1),$O1491:$O1510),10),"")</f>
        <v>2924</v>
      </c>
      <c r="GV1491" s="42">
        <f t="array" aca="1" ref="GV1491:GV1510" ca="1">IFERROR(INDEX(nombres[],SMALL(IF(OFFSET(nombres[],0,0,ROWS(nombres[]),1)=GV$1490,ROW(OFFSET(nombres[],0,0,ROWS(nombres[]),1))-ROW(OFFSET(nombres[],0,0,1,1))+1,ROW(OFFSET(nombres[],ROWS(nombres[])-1,0,1,1))+1),$O1491:$O1510),10),"")</f>
        <v>364</v>
      </c>
      <c r="GW1491" s="42">
        <f t="array" aca="1" ref="GW1491:GW1510" ca="1">IFERROR(INDEX(nombres[],SMALL(IF(OFFSET(nombres[],0,0,ROWS(nombres[]),1)=GW$1490,ROW(OFFSET(nombres[],0,0,ROWS(nombres[]),1))-ROW(OFFSET(nombres[],0,0,1,1))+1,ROW(OFFSET(nombres[],ROWS(nombres[])-1,0,1,1))+1),$O1491:$O1510),10),"")</f>
        <v>377</v>
      </c>
      <c r="GX1491" s="42" t="str">
        <f t="array" aca="1" ref="GX1491:GX1510" ca="1">IFERROR(INDEX(nombres[],SMALL(IF(OFFSET(nombres[],0,0,ROWS(nombres[]),1)=GX$1490,ROW(OFFSET(nombres[],0,0,ROWS(nombres[]),1))-ROW(OFFSET(nombres[],0,0,1,1))+1,ROW(OFFSET(nombres[],ROWS(nombres[])-1,0,1,1))+1),$O1491:$O1510),10),"")</f>
        <v/>
      </c>
      <c r="GY1491" s="42">
        <f t="array" aca="1" ref="GY1491:GY1510" ca="1">IFERROR(INDEX(nombres[],SMALL(IF(OFFSET(nombres[],0,0,ROWS(nombres[]),1)=GY$1490,ROW(OFFSET(nombres[],0,0,ROWS(nombres[]),1))-ROW(OFFSET(nombres[],0,0,1,1))+1,ROW(OFFSET(nombres[],ROWS(nombres[])-1,0,1,1))+1),$O1491:$O1510),10),"")</f>
        <v>100</v>
      </c>
      <c r="GZ1491" s="42" t="str">
        <f t="array" aca="1" ref="GZ1491:GZ1510" ca="1">IFERROR(INDEX(nombres[],SMALL(IF(OFFSET(nombres[],0,0,ROWS(nombres[]),1)=GZ$1490,ROW(OFFSET(nombres[],0,0,ROWS(nombres[]),1))-ROW(OFFSET(nombres[],0,0,1,1))+1,ROW(OFFSET(nombres[],ROWS(nombres[])-1,0,1,1))+1),$O1491:$O1510),10),"")</f>
        <v/>
      </c>
      <c r="HA1491" s="42">
        <f t="array" aca="1" ref="HA1491:HA1510" ca="1">IFERROR(INDEX(nombres[],SMALL(IF(OFFSET(nombres[],0,0,ROWS(nombres[]),1)=HA$1490,ROW(OFFSET(nombres[],0,0,ROWS(nombres[]),1))-ROW(OFFSET(nombres[],0,0,1,1))+1,ROW(OFFSET(nombres[],ROWS(nombres[])-1,0,1,1))+1),$O1491:$O1510),10),"")</f>
        <v>1433</v>
      </c>
      <c r="HB1491" s="42">
        <f t="array" aca="1" ref="HB1491:HB1510" ca="1">IFERROR(INDEX(nombres[],SMALL(IF(OFFSET(nombres[],0,0,ROWS(nombres[]),1)=HB$1490,ROW(OFFSET(nombres[],0,0,ROWS(nombres[]),1))-ROW(OFFSET(nombres[],0,0,1,1))+1,ROW(OFFSET(nombres[],ROWS(nombres[])-1,0,1,1))+1),$O1491:$O1510),10),"")</f>
        <v>1433</v>
      </c>
      <c r="HC1491" s="42" t="str">
        <f t="array" aca="1" ref="HC1491:HC1510" ca="1">IFERROR(INDEX(nombres[],SMALL(IF(OFFSET(nombres[],0,0,ROWS(nombres[]),1)=HC$1490,ROW(OFFSET(nombres[],0,0,ROWS(nombres[]),1))-ROW(OFFSET(nombres[],0,0,1,1))+1,ROW(OFFSET(nombres[],ROWS(nombres[])-1,0,1,1))+1),$O1491:$O1510),10),"")</f>
        <v/>
      </c>
      <c r="HD1491" s="42">
        <f t="array" aca="1" ref="HD1491:HD1510" ca="1">IFERROR(INDEX(nombres[],SMALL(IF(OFFSET(nombres[],0,0,ROWS(nombres[]),1)=HD$1490,ROW(OFFSET(nombres[],0,0,ROWS(nombres[]),1))-ROW(OFFSET(nombres[],0,0,1,1))+1,ROW(OFFSET(nombres[],ROWS(nombres[])-1,0,1,1))+1),$O1491:$O1510),10),"")</f>
        <v>610</v>
      </c>
      <c r="HE1491" s="42">
        <f t="array" aca="1" ref="HE1491:HE1510" ca="1">IFERROR(INDEX(nombres[],SMALL(IF(OFFSET(nombres[],0,0,ROWS(nombres[]),1)=HE$1490,ROW(OFFSET(nombres[],0,0,ROWS(nombres[]),1))-ROW(OFFSET(nombres[],0,0,1,1))+1,ROW(OFFSET(nombres[],ROWS(nombres[])-1,0,1,1))+1),$O1491:$O1510),10),"")</f>
        <v>974</v>
      </c>
      <c r="HF1491" s="42">
        <f t="array" aca="1" ref="HF1491:HF1510" ca="1">IFERROR(INDEX(nombres[],SMALL(IF(OFFSET(nombres[],0,0,ROWS(nombres[]),1)=HF$1490,ROW(OFFSET(nombres[],0,0,ROWS(nombres[]),1))-ROW(OFFSET(nombres[],0,0,1,1))+1,ROW(OFFSET(nombres[],ROWS(nombres[])-1,0,1,1))+1),$O1491:$O1510),10),"")</f>
        <v>2000</v>
      </c>
      <c r="HG1491" s="42">
        <f t="array" aca="1" ref="HG1491:HG1510" ca="1">IFERROR(INDEX(nombres[],SMALL(IF(OFFSET(nombres[],0,0,ROWS(nombres[]),1)=HG$1490,ROW(OFFSET(nombres[],0,0,ROWS(nombres[]),1))-ROW(OFFSET(nombres[],0,0,1,1))+1,ROW(OFFSET(nombres[],ROWS(nombres[])-1,0,1,1))+1),$O1491:$O1510),10),"")</f>
        <v>610</v>
      </c>
      <c r="HH1491" s="42">
        <f t="array" aca="1" ref="HH1491:HH1510" ca="1">IFERROR(INDEX(nombres[],SMALL(IF(OFFSET(nombres[],0,0,ROWS(nombres[]),1)=HH$1490,ROW(OFFSET(nombres[],0,0,ROWS(nombres[]),1))-ROW(OFFSET(nombres[],0,0,1,1))+1,ROW(OFFSET(nombres[],ROWS(nombres[])-1,0,1,1))+1),$O1491:$O1510),10),"")</f>
        <v>2374</v>
      </c>
      <c r="HI1491" s="42">
        <f t="array" aca="1" ref="HI1491:HI1510" ca="1">IFERROR(INDEX(nombres[],SMALL(IF(OFFSET(nombres[],0,0,ROWS(nombres[]),1)=HI$1490,ROW(OFFSET(nombres[],0,0,ROWS(nombres[]),1))-ROW(OFFSET(nombres[],0,0,1,1))+1,ROW(OFFSET(nombres[],ROWS(nombres[])-1,0,1,1))+1),$O1491:$O1510),10),"")</f>
        <v>1220</v>
      </c>
      <c r="HJ1491" s="42">
        <f t="array" aca="1" ref="HJ1491:HJ1510" ca="1">IFERROR(INDEX(nombres[],SMALL(IF(OFFSET(nombres[],0,0,ROWS(nombres[]),1)=HJ$1490,ROW(OFFSET(nombres[],0,0,ROWS(nombres[]),1))-ROW(OFFSET(nombres[],0,0,1,1))+1,ROW(OFFSET(nombres[],ROWS(nombres[])-1,0,1,1))+1),$O1491:$O1510),10),"")</f>
        <v>1220</v>
      </c>
      <c r="HK1491" s="42">
        <f t="array" aca="1" ref="HK1491:HK1510" ca="1">IFERROR(INDEX(nombres[],SMALL(IF(OFFSET(nombres[],0,0,ROWS(nombres[]),1)=HK$1490,ROW(OFFSET(nombres[],0,0,ROWS(nombres[]),1))-ROW(OFFSET(nombres[],0,0,1,1))+1,ROW(OFFSET(nombres[],ROWS(nombres[])-1,0,1,1))+1),$O1491:$O1510),10),"")</f>
        <v>1220</v>
      </c>
      <c r="HL1491" s="42">
        <f t="array" aca="1" ref="HL1491:HL1510" ca="1">IFERROR(INDEX(nombres[],SMALL(IF(OFFSET(nombres[],0,0,ROWS(nombres[]),1)=HL$1490,ROW(OFFSET(nombres[],0,0,ROWS(nombres[]),1))-ROW(OFFSET(nombres[],0,0,1,1))+1,ROW(OFFSET(nombres[],ROWS(nombres[])-1,0,1,1))+1),$O1491:$O1510),10),"")</f>
        <v>2600</v>
      </c>
      <c r="HM1491" s="42">
        <f t="array" aca="1" ref="HM1491:HM1510" ca="1">IFERROR(INDEX(nombres[],SMALL(IF(OFFSET(nombres[],0,0,ROWS(nombres[]),1)=HM$1490,ROW(OFFSET(nombres[],0,0,ROWS(nombres[]),1))-ROW(OFFSET(nombres[],0,0,1,1))+1,ROW(OFFSET(nombres[],ROWS(nombres[])-1,0,1,1))+1),$O1491:$O1510),10),"")</f>
        <v>610</v>
      </c>
      <c r="HN1491" s="42" t="str">
        <f t="array" aca="1" ref="HN1491:HN1510" ca="1">IFERROR(INDEX(nombres[],SMALL(IF(OFFSET(nombres[],0,0,ROWS(nombres[]),1)=HN$1490,ROW(OFFSET(nombres[],0,0,ROWS(nombres[]),1))-ROW(OFFSET(nombres[],0,0,1,1))+1,ROW(OFFSET(nombres[],ROWS(nombres[])-1,0,1,1))+1),$O1491:$O1510),10),"")</f>
        <v/>
      </c>
      <c r="HO1491" s="42">
        <f t="array" aca="1" ref="HO1491:HO1510" ca="1">IFERROR(INDEX(nombres[],SMALL(IF(OFFSET(nombres[],0,0,ROWS(nombres[]),1)=HO$1490,ROW(OFFSET(nombres[],0,0,ROWS(nombres[]),1))-ROW(OFFSET(nombres[],0,0,1,1))+1,ROW(OFFSET(nombres[],ROWS(nombres[])-1,0,1,1))+1),$O1491:$O1510),10),"")</f>
        <v>627</v>
      </c>
      <c r="HP1491" s="42">
        <f t="array" aca="1" ref="HP1491:HP1510" ca="1">IFERROR(INDEX(nombres[],SMALL(IF(OFFSET(nombres[],0,0,ROWS(nombres[]),1)=HP$1490,ROW(OFFSET(nombres[],0,0,ROWS(nombres[]),1))-ROW(OFFSET(nombres[],0,0,1,1))+1,ROW(OFFSET(nombres[],ROWS(nombres[])-1,0,1,1))+1),$O1491:$O1510),10),"")</f>
        <v>364</v>
      </c>
      <c r="HQ1491" s="42">
        <f t="array" aca="1" ref="HQ1491:HQ1510" ca="1">IFERROR(INDEX(nombres[],SMALL(IF(OFFSET(nombres[],0,0,ROWS(nombres[]),1)=HQ$1490,ROW(OFFSET(nombres[],0,0,ROWS(nombres[]),1))-ROW(OFFSET(nombres[],0,0,1,1))+1,ROW(OFFSET(nombres[],ROWS(nombres[])-1,0,1,1))+1),$O1491:$O1510),10),"")</f>
        <v>728</v>
      </c>
      <c r="HR1491" s="42" t="str">
        <f t="array" aca="1" ref="HR1491:HR1510" ca="1">IFERROR(INDEX(nombres[],SMALL(IF(OFFSET(nombres[],0,0,ROWS(nombres[]),1)=HR$1490,ROW(OFFSET(nombres[],0,0,ROWS(nombres[]),1))-ROW(OFFSET(nombres[],0,0,1,1))+1,ROW(OFFSET(nombres[],ROWS(nombres[])-1,0,1,1))+1),$O1491:$O1510),10),"")</f>
        <v/>
      </c>
      <c r="HS1491" s="42">
        <f t="array" aca="1" ref="HS1491:HS1510" ca="1">IFERROR(INDEX(nombres[],SMALL(IF(OFFSET(nombres[],0,0,ROWS(nombres[]),1)=HS$1490,ROW(OFFSET(nombres[],0,0,ROWS(nombres[]),1))-ROW(OFFSET(nombres[],0,0,1,1))+1,ROW(OFFSET(nombres[],ROWS(nombres[])-1,0,1,1))+1),$O1491:$O1510),10),"")</f>
        <v>377</v>
      </c>
      <c r="HT1491" s="42">
        <f t="array" aca="1" ref="HT1491:HT1510" ca="1">IFERROR(INDEX(nombres[],SMALL(IF(OFFSET(nombres[],0,0,ROWS(nombres[]),1)=HT$1490,ROW(OFFSET(nombres[],0,0,ROWS(nombres[]),1))-ROW(OFFSET(nombres[],0,0,1,1))+1,ROW(OFFSET(nombres[],ROWS(nombres[])-1,0,1,1))+1),$O1491:$O1510),10),"")</f>
        <v>1054</v>
      </c>
      <c r="HU1491" s="42" t="str">
        <f t="array" aca="1" ref="HU1491:HU1510" ca="1">IFERROR(INDEX(nombres[],SMALL(IF(OFFSET(nombres[],0,0,ROWS(nombres[]),1)=HU$1490,ROW(OFFSET(nombres[],0,0,ROWS(nombres[]),1))-ROW(OFFSET(nombres[],0,0,1,1))+1,ROW(OFFSET(nombres[],ROWS(nombres[])-1,0,1,1))+1),$O1491:$O1510),10),"")</f>
        <v/>
      </c>
      <c r="HV1491" s="42">
        <f t="array" aca="1" ref="HV1491:HV1510" ca="1">IFERROR(INDEX(nombres[],SMALL(IF(OFFSET(nombres[],0,0,ROWS(nombres[]),1)=HV$1490,ROW(OFFSET(nombres[],0,0,ROWS(nombres[]),1))-ROW(OFFSET(nombres[],0,0,1,1))+1,ROW(OFFSET(nombres[],ROWS(nombres[])-1,0,1,1))+1),$O1491:$O1510),10),"")</f>
        <v>1450</v>
      </c>
      <c r="HW1491" s="42" t="str">
        <f t="array" aca="1" ref="HW1491:HW1510" ca="1">IFERROR(INDEX(nombres[],SMALL(IF(OFFSET(nombres[],0,0,ROWS(nombres[]),1)=HW$1490,ROW(OFFSET(nombres[],0,0,ROWS(nombres[]),1))-ROW(OFFSET(nombres[],0,0,1,1))+1,ROW(OFFSET(nombres[],ROWS(nombres[])-1,0,1,1))+1),$O1491:$O1510),10),"")</f>
        <v/>
      </c>
      <c r="HX1491" s="42" t="str">
        <f t="array" aca="1" ref="HX1491:HX1510" ca="1">IFERROR(INDEX(nombres[],SMALL(IF(OFFSET(nombres[],0,0,ROWS(nombres[]),1)=HX$1490,ROW(OFFSET(nombres[],0,0,ROWS(nombres[]),1))-ROW(OFFSET(nombres[],0,0,1,1))+1,ROW(OFFSET(nombres[],ROWS(nombres[])-1,0,1,1))+1),$O1491:$O1510),10),"")</f>
        <v/>
      </c>
      <c r="HY1491" s="42">
        <f t="array" aca="1" ref="HY1491:HY1510" ca="1">IFERROR(INDEX(nombres[],SMALL(IF(OFFSET(nombres[],0,0,ROWS(nombres[]),1)=HY$1490,ROW(OFFSET(nombres[],0,0,ROWS(nombres[]),1))-ROW(OFFSET(nombres[],0,0,1,1))+1,ROW(OFFSET(nombres[],ROWS(nombres[])-1,0,1,1))+1),$O1491:$O1510),10),"")</f>
        <v>2620</v>
      </c>
      <c r="HZ1491" s="42" t="str">
        <f t="array" aca="1" ref="HZ1491:HZ1510" ca="1">IFERROR(INDEX(nombres[],SMALL(IF(OFFSET(nombres[],0,0,ROWS(nombres[]),1)=HZ$1490,ROW(OFFSET(nombres[],0,0,ROWS(nombres[]),1))-ROW(OFFSET(nombres[],0,0,1,1))+1,ROW(OFFSET(nombres[],ROWS(nombres[])-1,0,1,1))+1),$O1491:$O1510),10),"")</f>
        <v/>
      </c>
      <c r="IA1491" s="42">
        <f t="array" aca="1" ref="IA1491:IA1510" ca="1">IFERROR(INDEX(nombres[],SMALL(IF(OFFSET(nombres[],0,0,ROWS(nombres[]),1)=IA$1490,ROW(OFFSET(nombres[],0,0,ROWS(nombres[]),1))-ROW(OFFSET(nombres[],0,0,1,1))+1,ROW(OFFSET(nombres[],ROWS(nombres[])-1,0,1,1))+1),$O1491:$O1510),10),"")</f>
        <v>364</v>
      </c>
      <c r="IB1491" s="42">
        <f t="array" aca="1" ref="IB1491:IB1510" ca="1">IFERROR(INDEX(nombres[],SMALL(IF(OFFSET(nombres[],0,0,ROWS(nombres[]),1)=IB$1490,ROW(OFFSET(nombres[],0,0,ROWS(nombres[]),1))-ROW(OFFSET(nombres[],0,0,1,1))+1,ROW(OFFSET(nombres[],ROWS(nombres[])-1,0,1,1))+1),$O1491:$O1510),10),"")</f>
        <v>610</v>
      </c>
      <c r="IC1491" s="42">
        <f t="array" aca="1" ref="IC1491:IC1510" ca="1">IFERROR(INDEX(nombres[],SMALL(IF(OFFSET(nombres[],0,0,ROWS(nombres[]),1)=IC$1490,ROW(OFFSET(nombres[],0,0,ROWS(nombres[]),1))-ROW(OFFSET(nombres[],0,0,1,1))+1,ROW(OFFSET(nombres[],ROWS(nombres[])-1,0,1,1))+1),$O1491:$O1510),10),"")</f>
        <v>377</v>
      </c>
      <c r="ID1491" s="42">
        <f t="array" aca="1" ref="ID1491:ID1510" ca="1">IFERROR(INDEX(nombres[],SMALL(IF(OFFSET(nombres[],0,0,ROWS(nombres[]),1)=ID$1490,ROW(OFFSET(nombres[],0,0,ROWS(nombres[]),1))-ROW(OFFSET(nombres[],0,0,1,1))+1,ROW(OFFSET(nombres[],ROWS(nombres[])-1,0,1,1))+1),$O1491:$O1510),10),"")</f>
        <v>974</v>
      </c>
      <c r="IE1491" s="42">
        <f t="array" aca="1" ref="IE1491:IE1510" ca="1">IFERROR(INDEX(nombres[],SMALL(IF(OFFSET(nombres[],0,0,ROWS(nombres[]),1)=IE$1490,ROW(OFFSET(nombres[],0,0,ROWS(nombres[]),1))-ROW(OFFSET(nombres[],0,0,1,1))+1,ROW(OFFSET(nombres[],ROWS(nombres[])-1,0,1,1))+1),$O1491:$O1510),10),"")</f>
        <v>610</v>
      </c>
      <c r="IF1491" s="42">
        <f t="array" aca="1" ref="IF1491:IF1510" ca="1">IFERROR(INDEX(nombres[],SMALL(IF(OFFSET(nombres[],0,0,ROWS(nombres[]),1)=IF$1490,ROW(OFFSET(nombres[],0,0,ROWS(nombres[]),1))-ROW(OFFSET(nombres[],0,0,1,1))+1,ROW(OFFSET(nombres[],ROWS(nombres[])-1,0,1,1))+1),$O1491:$O1510),10),"")</f>
        <v>2600</v>
      </c>
      <c r="IG1491" s="42">
        <f t="array" aca="1" ref="IG1491:IG1510" ca="1">IFERROR(INDEX(nombres[],SMALL(IF(OFFSET(nombres[],0,0,ROWS(nombres[]),1)=IG$1490,ROW(OFFSET(nombres[],0,0,ROWS(nombres[]),1))-ROW(OFFSET(nombres[],0,0,1,1))+1,ROW(OFFSET(nombres[],ROWS(nombres[])-1,0,1,1))+1),$O1491:$O1510),10),"")</f>
        <v>3640</v>
      </c>
      <c r="IH1491" s="42" t="str">
        <f t="array" aca="1" ref="IH1491:IH1510" ca="1">IFERROR(INDEX(nombres[],SMALL(IF(OFFSET(nombres[],0,0,ROWS(nombres[]),1)=IH$1490,ROW(OFFSET(nombres[],0,0,ROWS(nombres[]),1))-ROW(OFFSET(nombres[],0,0,1,1))+1,ROW(OFFSET(nombres[],ROWS(nombres[])-1,0,1,1))+1),$O1491:$O1510),10),"")</f>
        <v/>
      </c>
      <c r="II1491" s="42">
        <f t="array" aca="1" ref="II1491:II1510" ca="1">IFERROR(INDEX(nombres[],SMALL(IF(OFFSET(nombres[],0,0,ROWS(nombres[]),1)=II$1490,ROW(OFFSET(nombres[],0,0,ROWS(nombres[]),1))-ROW(OFFSET(nombres[],0,0,1,1))+1,ROW(OFFSET(nombres[],ROWS(nombres[])-1,0,1,1))+1),$O1491:$O1510),10),"")</f>
        <v>3360</v>
      </c>
      <c r="IJ1491" s="42">
        <f t="array" aca="1" ref="IJ1491:IJ1510" ca="1">IFERROR(INDEX(nombres[],SMALL(IF(OFFSET(nombres[],0,0,ROWS(nombres[]),1)=IJ$1490,ROW(OFFSET(nombres[],0,0,ROWS(nombres[]),1))-ROW(OFFSET(nombres[],0,0,1,1))+1,ROW(OFFSET(nombres[],ROWS(nombres[])-1,0,1,1))+1),$O1491:$O1510),10),"")</f>
        <v>974</v>
      </c>
      <c r="IK1491" s="42" t="str">
        <f t="array" aca="1" ref="IK1491:IK1510" ca="1">IFERROR(INDEX(nombres[],SMALL(IF(OFFSET(nombres[],0,0,ROWS(nombres[]),1)=IK$1490,ROW(OFFSET(nombres[],0,0,ROWS(nombres[]),1))-ROW(OFFSET(nombres[],0,0,1,1))+1,ROW(OFFSET(nombres[],ROWS(nombres[])-1,0,1,1))+1),$O1491:$O1510),10),"")</f>
        <v/>
      </c>
      <c r="IL1491" s="42">
        <f t="array" aca="1" ref="IL1491:IL1510" ca="1">IFERROR(INDEX(nombres[],SMALL(IF(OFFSET(nombres[],0,0,ROWS(nombres[]),1)=IL$1490,ROW(OFFSET(nombres[],0,0,ROWS(nombres[]),1))-ROW(OFFSET(nombres[],0,0,1,1))+1,ROW(OFFSET(nombres[],ROWS(nombres[])-1,0,1,1))+1),$O1491:$O1510),10),"")</f>
        <v>728</v>
      </c>
      <c r="IM1491" s="42" t="str">
        <f t="array" aca="1" ref="IM1491:IM1510" ca="1">IFERROR(INDEX(nombres[],SMALL(IF(OFFSET(nombres[],0,0,ROWS(nombres[]),1)=IM$1490,ROW(OFFSET(nombres[],0,0,ROWS(nombres[]),1))-ROW(OFFSET(nombres[],0,0,1,1))+1,ROW(OFFSET(nombres[],ROWS(nombres[])-1,0,1,1))+1),$O1491:$O1510),10),"")</f>
        <v/>
      </c>
      <c r="IN1491" s="42">
        <f t="array" aca="1" ref="IN1491:IN1510" ca="1">IFERROR(INDEX(nombres[],SMALL(IF(OFFSET(nombres[],0,0,ROWS(nombres[]),1)=IN$1490,ROW(OFFSET(nombres[],0,0,ROWS(nombres[]),1))-ROW(OFFSET(nombres[],0,0,1,1))+1,ROW(OFFSET(nombres[],ROWS(nombres[])-1,0,1,1))+1),$O1491:$O1510),10),"")</f>
        <v>1450</v>
      </c>
      <c r="IO1491" s="42" t="str">
        <f t="array" aca="1" ref="IO1491:IO1510" ca="1">IFERROR(INDEX(nombres[],SMALL(IF(OFFSET(nombres[],0,0,ROWS(nombres[]),1)=IO$1490,ROW(OFFSET(nombres[],0,0,ROWS(nombres[]),1))-ROW(OFFSET(nombres[],0,0,1,1))+1,ROW(OFFSET(nombres[],ROWS(nombres[])-1,0,1,1))+1),$O1491:$O1510),10),"")</f>
        <v/>
      </c>
      <c r="IP1491" s="42">
        <f t="array" aca="1" ref="IP1491:IP1510" ca="1">IFERROR(INDEX(nombres[],SMALL(IF(OFFSET(nombres[],0,0,ROWS(nombres[]),1)=IP$1490,ROW(OFFSET(nombres[],0,0,ROWS(nombres[]),1))-ROW(OFFSET(nombres[],0,0,1,1))+1,ROW(OFFSET(nombres[],ROWS(nombres[])-1,0,1,1))+1),$O1491:$O1510),10),"")</f>
        <v>1187</v>
      </c>
      <c r="IQ1491" s="42">
        <f t="array" aca="1" ref="IQ1491:IQ1510" ca="1">IFERROR(INDEX(nombres[],SMALL(IF(OFFSET(nombres[],0,0,ROWS(nombres[]),1)=IQ$1490,ROW(OFFSET(nombres[],0,0,ROWS(nombres[]),1))-ROW(OFFSET(nombres[],0,0,1,1))+1,ROW(OFFSET(nombres[],ROWS(nombres[])-1,0,1,1))+1),$O1491:$O1510),10),"")</f>
        <v>400</v>
      </c>
      <c r="IR1491" s="42" t="str">
        <f t="array" aca="1" ref="IR1491:IR1510" ca="1">IFERROR(INDEX(nombres[],SMALL(IF(OFFSET(nombres[],0,0,ROWS(nombres[]),1)=IR$1490,ROW(OFFSET(nombres[],0,0,ROWS(nombres[]),1))-ROW(OFFSET(nombres[],0,0,1,1))+1,ROW(OFFSET(nombres[],ROWS(nombres[])-1,0,1,1))+1),$O1491:$O1510),10),"")</f>
        <v/>
      </c>
      <c r="IS1491" s="42">
        <f t="array" aca="1" ref="IS1491:IS1510" ca="1">IFERROR(INDEX(nombres[],SMALL(IF(OFFSET(nombres[],0,0,ROWS(nombres[]),1)=IS$1490,ROW(OFFSET(nombres[],0,0,ROWS(nombres[]),1))-ROW(OFFSET(nombres[],0,0,1,1))+1,ROW(OFFSET(nombres[],ROWS(nombres[])-1,0,1,1))+1),$O1491:$O1510),10),"")</f>
        <v>1187</v>
      </c>
      <c r="IT1491" s="42">
        <f t="array" aca="1" ref="IT1491:IT1510" ca="1">IFERROR(INDEX(nombres[],SMALL(IF(OFFSET(nombres[],0,0,ROWS(nombres[]),1)=IT$1490,ROW(OFFSET(nombres[],0,0,ROWS(nombres[]),1))-ROW(OFFSET(nombres[],0,0,1,1))+1,ROW(OFFSET(nombres[],ROWS(nombres[])-1,0,1,1))+1),$O1491:$O1510),10),"")</f>
        <v>364</v>
      </c>
      <c r="IU1491" s="42">
        <f t="array" aca="1" ref="IU1491:IU1510" ca="1">IFERROR(INDEX(nombres[],SMALL(IF(OFFSET(nombres[],0,0,ROWS(nombres[]),1)=IU$1490,ROW(OFFSET(nombres[],0,0,ROWS(nombres[]),1))-ROW(OFFSET(nombres[],0,0,1,1))+1,ROW(OFFSET(nombres[],ROWS(nombres[])-1,0,1,1))+1),$O1491:$O1510),10),"")</f>
        <v>1187</v>
      </c>
      <c r="IV1491" s="42">
        <f t="array" aca="1" ref="IV1491:IV1510" ca="1">IFERROR(INDEX(nombres[],SMALL(IF(OFFSET(nombres[],0,0,ROWS(nombres[]),1)=IV$1490,ROW(OFFSET(nombres[],0,0,ROWS(nombres[]),1))-ROW(OFFSET(nombres[],0,0,1,1))+1,ROW(OFFSET(nombres[],ROWS(nombres[])-1,0,1,1))+1),$O1491:$O1510),10),"")</f>
        <v>1100</v>
      </c>
      <c r="IW1491" s="42">
        <f t="array" aca="1" ref="IW1491:IW1510" ca="1">IFERROR(INDEX(nombres[],SMALL(IF(OFFSET(nombres[],0,0,ROWS(nombres[]),1)=IW$1490,ROW(OFFSET(nombres[],0,0,ROWS(nombres[]),1))-ROW(OFFSET(nombres[],0,0,1,1))+1,ROW(OFFSET(nombres[],ROWS(nombres[])-1,0,1,1))+1),$O1491:$O1510),10),"")</f>
        <v>1187</v>
      </c>
      <c r="IX1491" s="42" t="str">
        <f t="array" aca="1" ref="IX1491:IX1510" ca="1">IFERROR(INDEX(nombres[],SMALL(IF(OFFSET(nombres[],0,0,ROWS(nombres[]),1)=IX$1490,ROW(OFFSET(nombres[],0,0,ROWS(nombres[]),1))-ROW(OFFSET(nombres[],0,0,1,1))+1,ROW(OFFSET(nombres[],ROWS(nombres[])-1,0,1,1))+1),$O1491:$O1510),10),"")</f>
        <v/>
      </c>
      <c r="IY1491" s="42" t="str">
        <f t="array" aca="1" ref="IY1491:IY1510" ca="1">IFERROR(INDEX(nombres[],SMALL(IF(OFFSET(nombres[],0,0,ROWS(nombres[]),1)=IY$1490,ROW(OFFSET(nombres[],0,0,ROWS(nombres[]),1))-ROW(OFFSET(nombres[],0,0,1,1))+1,ROW(OFFSET(nombres[],ROWS(nombres[])-1,0,1,1))+1),$O1491:$O1510),10),"")</f>
        <v/>
      </c>
      <c r="IZ1491" s="42">
        <f t="array" aca="1" ref="IZ1491:IZ1510" ca="1">IFERROR(INDEX(nombres[],SMALL(IF(OFFSET(nombres[],0,0,ROWS(nombres[]),1)=IZ$1490,ROW(OFFSET(nombres[],0,0,ROWS(nombres[]),1))-ROW(OFFSET(nombres[],0,0,1,1))+1,ROW(OFFSET(nombres[],ROWS(nombres[])-1,0,1,1))+1),$O1491:$O1510),10),"")</f>
        <v>974</v>
      </c>
      <c r="JA1491" s="42">
        <f t="array" aca="1" ref="JA1491:JA1510" ca="1">IFERROR(INDEX(nombres[],SMALL(IF(OFFSET(nombres[],0,0,ROWS(nombres[]),1)=JA$1490,ROW(OFFSET(nombres[],0,0,ROWS(nombres[]),1))-ROW(OFFSET(nombres[],0,0,1,1))+1,ROW(OFFSET(nombres[],ROWS(nombres[])-1,0,1,1))+1),$O1491:$O1510),10),"")</f>
        <v>1450</v>
      </c>
      <c r="JB1491" s="42">
        <f t="array" aca="1" ref="JB1491:JB1510" ca="1">IFERROR(INDEX(nombres[],SMALL(IF(OFFSET(nombres[],0,0,ROWS(nombres[]),1)=JB$1490,ROW(OFFSET(nombres[],0,0,ROWS(nombres[]),1))-ROW(OFFSET(nombres[],0,0,1,1))+1,ROW(OFFSET(nombres[],ROWS(nombres[])-1,0,1,1))+1),$O1491:$O1510),10),"")</f>
        <v>364</v>
      </c>
      <c r="JC1491" s="42">
        <f t="array" aca="1" ref="JC1491:JC1510" ca="1">IFERROR(INDEX(nombres[],SMALL(IF(OFFSET(nombres[],0,0,ROWS(nombres[]),1)=JC$1490,ROW(OFFSET(nombres[],0,0,ROWS(nombres[]),1))-ROW(OFFSET(nombres[],0,0,1,1))+1,ROW(OFFSET(nombres[],ROWS(nombres[])-1,0,1,1))+1),$O1491:$O1510),10),"")</f>
        <v>1433</v>
      </c>
      <c r="JD1491" s="42" t="str">
        <f t="array" aca="1" ref="JD1491:JD1510" ca="1">IFERROR(INDEX(nombres[],SMALL(IF(OFFSET(nombres[],0,0,ROWS(nombres[]),1)=JD$1490,ROW(OFFSET(nombres[],0,0,ROWS(nombres[]),1))-ROW(OFFSET(nombres[],0,0,1,1))+1,ROW(OFFSET(nombres[],ROWS(nombres[])-1,0,1,1))+1),$O1491:$O1510),10),"")</f>
        <v/>
      </c>
      <c r="JE1491" s="42" t="str">
        <f t="array" aca="1" ref="JE1491:JE1510" ca="1">IFERROR(INDEX(nombres[],SMALL(IF(OFFSET(nombres[],0,0,ROWS(nombres[]),1)=JE$1490,ROW(OFFSET(nombres[],0,0,ROWS(nombres[]),1))-ROW(OFFSET(nombres[],0,0,1,1))+1,ROW(OFFSET(nombres[],ROWS(nombres[])-1,0,1,1))+1),$O1491:$O1510),10),"")</f>
        <v/>
      </c>
      <c r="JF1491" s="42">
        <f t="array" aca="1" ref="JF1491:JF1510" ca="1">IFERROR(INDEX(nombres[],SMALL(IF(OFFSET(nombres[],0,0,ROWS(nombres[]),1)=JF$1490,ROW(OFFSET(nombres[],0,0,ROWS(nombres[]),1))-ROW(OFFSET(nombres[],0,0,1,1))+1,ROW(OFFSET(nombres[],ROWS(nombres[])-1,0,1,1))+1),$O1491:$O1510),10),"")</f>
        <v>1187</v>
      </c>
      <c r="JG1491" s="42">
        <f t="array" aca="1" ref="JG1491:JG1510" ca="1">IFERROR(INDEX(nombres[],SMALL(IF(OFFSET(nombres[],0,0,ROWS(nombres[]),1)=JG$1490,ROW(OFFSET(nombres[],0,0,ROWS(nombres[]),1))-ROW(OFFSET(nombres[],0,0,1,1))+1,ROW(OFFSET(nombres[],ROWS(nombres[])-1,0,1,1))+1),$O1491:$O1510),10),"")</f>
        <v>364</v>
      </c>
      <c r="JH1491" s="42">
        <f t="array" aca="1" ref="JH1491:JH1510" ca="1">IFERROR(INDEX(nombres[],SMALL(IF(OFFSET(nombres[],0,0,ROWS(nombres[]),1)=JH$1490,ROW(OFFSET(nombres[],0,0,ROWS(nombres[]),1))-ROW(OFFSET(nombres[],0,0,1,1))+1,ROW(OFFSET(nombres[],ROWS(nombres[])-1,0,1,1))+1),$O1491:$O1510),10),"")</f>
        <v>-1300</v>
      </c>
      <c r="JI1491" s="42" t="str">
        <f t="array" aca="1" ref="JI1491:JI1510" ca="1">IFERROR(INDEX(nombres[],SMALL(IF(OFFSET(nombres[],0,0,ROWS(nombres[]),1)=JI$1490,ROW(OFFSET(nombres[],0,0,ROWS(nombres[]),1))-ROW(OFFSET(nombres[],0,0,1,1))+1,ROW(OFFSET(nombres[],ROWS(nombres[])-1,0,1,1))+1),$O1491:$O1510),10),"")</f>
        <v/>
      </c>
      <c r="JJ1491" s="42">
        <f t="array" aca="1" ref="JJ1491:JJ1510" ca="1">IFERROR(INDEX(nombres[],SMALL(IF(OFFSET(nombres[],0,0,ROWS(nombres[]),1)=JJ$1490,ROW(OFFSET(nombres[],0,0,ROWS(nombres[]),1))-ROW(OFFSET(nombres[],0,0,1,1))+1,ROW(OFFSET(nombres[],ROWS(nombres[])-1,0,1,1))+1),$O1491:$O1510),10),"")</f>
        <v>2620</v>
      </c>
      <c r="JK1491" s="42">
        <f t="array" aca="1" ref="JK1491:JK1510" ca="1">IFERROR(INDEX(nombres[],SMALL(IF(OFFSET(nombres[],0,0,ROWS(nombres[]),1)=JK$1490,ROW(OFFSET(nombres[],0,0,ROWS(nombres[]),1))-ROW(OFFSET(nombres[],0,0,1,1))+1,ROW(OFFSET(nombres[],ROWS(nombres[])-1,0,1,1))+1),$O1491:$O1510),10),"")</f>
        <v>1350</v>
      </c>
      <c r="JL1491" s="42" t="str">
        <f t="array" aca="1" ref="JL1491:JL1510" ca="1">IFERROR(INDEX(nombres[],SMALL(IF(OFFSET(nombres[],0,0,ROWS(nombres[]),1)=JL$1490,ROW(OFFSET(nombres[],0,0,ROWS(nombres[]),1))-ROW(OFFSET(nombres[],0,0,1,1))+1,ROW(OFFSET(nombres[],ROWS(nombres[])-1,0,1,1))+1),$O1491:$O1510),10),"")</f>
        <v/>
      </c>
      <c r="JM1491" s="42" t="str">
        <f t="array" aca="1" ref="JM1491:JM1510" ca="1">IFERROR(INDEX(nombres[],SMALL(IF(OFFSET(nombres[],0,0,ROWS(nombres[]),1)=JM$1490,ROW(OFFSET(nombres[],0,0,ROWS(nombres[]),1))-ROW(OFFSET(nombres[],0,0,1,1))+1,ROW(OFFSET(nombres[],ROWS(nombres[])-1,0,1,1))+1),$O1491:$O1510),10),"")</f>
        <v/>
      </c>
      <c r="JN1491" s="42">
        <f t="array" aca="1" ref="JN1491:JN1510" ca="1">IFERROR(INDEX(nombres[],SMALL(IF(OFFSET(nombres[],0,0,ROWS(nombres[]),1)=JN$1490,ROW(OFFSET(nombres[],0,0,ROWS(nombres[]),1))-ROW(OFFSET(nombres[],0,0,1,1))+1,ROW(OFFSET(nombres[],ROWS(nombres[])-1,0,1,1))+1),$O1491:$O1510),10),"")</f>
        <v>364</v>
      </c>
      <c r="JO1491" s="42">
        <f t="array" aca="1" ref="JO1491:JO1510" ca="1">IFERROR(INDEX(nombres[],SMALL(IF(OFFSET(nombres[],0,0,ROWS(nombres[]),1)=JO$1490,ROW(OFFSET(nombres[],0,0,ROWS(nombres[]),1))-ROW(OFFSET(nombres[],0,0,1,1))+1,ROW(OFFSET(nombres[],ROWS(nombres[])-1,0,1,1))+1),$O1491:$O1510),10),"")</f>
        <v>1350</v>
      </c>
      <c r="JP1491" s="42">
        <f t="array" aca="1" ref="JP1491:JP1510" ca="1">IFERROR(INDEX(nombres[],SMALL(IF(OFFSET(nombres[],0,0,ROWS(nombres[]),1)=JP$1490,ROW(OFFSET(nombres[],0,0,ROWS(nombres[]),1))-ROW(OFFSET(nombres[],0,0,1,1))+1,ROW(OFFSET(nombres[],ROWS(nombres[])-1,0,1,1))+1),$O1491:$O1510),10),"")</f>
        <v>364</v>
      </c>
      <c r="JQ1491" s="42">
        <f t="array" aca="1" ref="JQ1491:JQ1510" ca="1">IFERROR(INDEX(nombres[],SMALL(IF(OFFSET(nombres[],0,0,ROWS(nombres[]),1)=JQ$1490,ROW(OFFSET(nombres[],0,0,ROWS(nombres[]),1))-ROW(OFFSET(nombres[],0,0,1,1))+1,ROW(OFFSET(nombres[],ROWS(nombres[])-1,0,1,1))+1),$O1491:$O1510),10),"")</f>
        <v>1220</v>
      </c>
      <c r="JR1491" s="42">
        <f t="array" aca="1" ref="JR1491:JR1510" ca="1">IFERROR(INDEX(nombres[],SMALL(IF(OFFSET(nombres[],0,0,ROWS(nombres[]),1)=JR$1490,ROW(OFFSET(nombres[],0,0,ROWS(nombres[]),1))-ROW(OFFSET(nombres[],0,0,1,1))+1,ROW(OFFSET(nombres[],ROWS(nombres[])-1,0,1,1))+1),$O1491:$O1510),10),"")</f>
        <v>1433</v>
      </c>
      <c r="JS1491" s="42">
        <f t="array" aca="1" ref="JS1491:JS1510" ca="1">IFERROR(INDEX(nombres[],SMALL(IF(OFFSET(nombres[],0,0,ROWS(nombres[]),1)=JS$1490,ROW(OFFSET(nombres[],0,0,ROWS(nombres[]),1))-ROW(OFFSET(nombres[],0,0,1,1))+1,ROW(OFFSET(nombres[],ROWS(nombres[])-1,0,1,1))+1),$O1491:$O1510),10),"")</f>
        <v>377</v>
      </c>
      <c r="JT1491" s="42" t="str">
        <f t="array" aca="1" ref="JT1491:JT1510" ca="1">IFERROR(INDEX(nombres[],SMALL(IF(OFFSET(nombres[],0,0,ROWS(nombres[]),1)=JT$1490,ROW(OFFSET(nombres[],0,0,ROWS(nombres[]),1))-ROW(OFFSET(nombres[],0,0,1,1))+1,ROW(OFFSET(nombres[],ROWS(nombres[])-1,0,1,1))+1),$O1491:$O1510),10),"")</f>
        <v/>
      </c>
      <c r="JU1491" s="42">
        <f t="array" aca="1" ref="JU1491:JU1510" ca="1">IFERROR(INDEX(nombres[],SMALL(IF(OFFSET(nombres[],0,0,ROWS(nombres[]),1)=JU$1490,ROW(OFFSET(nombres[],0,0,ROWS(nombres[]),1))-ROW(OFFSET(nombres[],0,0,1,1))+1,ROW(OFFSET(nombres[],ROWS(nombres[])-1,0,1,1))+1),$O1491:$O1510),10),"")</f>
        <v>2650</v>
      </c>
      <c r="JV1491" s="42">
        <f t="array" aca="1" ref="JV1491:JV1510" ca="1">IFERROR(INDEX(nombres[],SMALL(IF(OFFSET(nombres[],0,0,ROWS(nombres[]),1)=JV$1490,ROW(OFFSET(nombres[],0,0,ROWS(nombres[]),1))-ROW(OFFSET(nombres[],0,0,1,1))+1,ROW(OFFSET(nombres[],ROWS(nombres[])-1,0,1,1))+1),$O1491:$O1510),10),"")</f>
        <v>974</v>
      </c>
      <c r="JW1491" s="42">
        <f t="array" aca="1" ref="JW1491:JW1510" ca="1">IFERROR(INDEX(nombres[],SMALL(IF(OFFSET(nombres[],0,0,ROWS(nombres[]),1)=JW$1490,ROW(OFFSET(nombres[],0,0,ROWS(nombres[]),1))-ROW(OFFSET(nombres[],0,0,1,1))+1,ROW(OFFSET(nombres[],ROWS(nombres[])-1,0,1,1))+1),$O1491:$O1510),10),"")</f>
        <v>1300</v>
      </c>
      <c r="JX1491" s="42" t="str">
        <f t="array" aca="1" ref="JX1491:JX1510" ca="1">IFERROR(INDEX(nombres[],SMALL(IF(OFFSET(nombres[],0,0,ROWS(nombres[]),1)=JX$1490,ROW(OFFSET(nombres[],0,0,ROWS(nombres[]),1))-ROW(OFFSET(nombres[],0,0,1,1))+1,ROW(OFFSET(nombres[],ROWS(nombres[])-1,0,1,1))+1),$O1491:$O1510),10),"")</f>
        <v/>
      </c>
      <c r="JY1491" s="42">
        <f t="array" aca="1" ref="JY1491:JY1510" ca="1">IFERROR(INDEX(nombres[],SMALL(IF(OFFSET(nombres[],0,0,ROWS(nombres[]),1)=JY$1490,ROW(OFFSET(nombres[],0,0,ROWS(nombres[]),1))-ROW(OFFSET(nombres[],0,0,1,1))+1,ROW(OFFSET(nombres[],ROWS(nombres[])-1,0,1,1))+1),$O1491:$O1510),10),"")</f>
        <v>364</v>
      </c>
      <c r="JZ1491" s="42">
        <f t="array" aca="1" ref="JZ1491:JZ1510" ca="1">IFERROR(INDEX(nombres[],SMALL(IF(OFFSET(nombres[],0,0,ROWS(nombres[]),1)=JZ$1490,ROW(OFFSET(nombres[],0,0,ROWS(nombres[]),1))-ROW(OFFSET(nombres[],0,0,1,1))+1,ROW(OFFSET(nombres[],ROWS(nombres[])-1,0,1,1))+1),$O1491:$O1510),10),"")</f>
        <v>610</v>
      </c>
      <c r="KA1491" s="42">
        <f t="array" aca="1" ref="KA1491:KA1510" ca="1">IFERROR(INDEX(nombres[],SMALL(IF(OFFSET(nombres[],0,0,ROWS(nombres[]),1)=KA$1490,ROW(OFFSET(nombres[],0,0,ROWS(nombres[]),1))-ROW(OFFSET(nombres[],0,0,1,1))+1,ROW(OFFSET(nombres[],ROWS(nombres[])-1,0,1,1))+1),$O1491:$O1510),10),"")</f>
        <v>1200</v>
      </c>
      <c r="KB1491" s="42">
        <f t="array" aca="1" ref="KB1491:KB1510" ca="1">IFERROR(INDEX(nombres[],SMALL(IF(OFFSET(nombres[],0,0,ROWS(nombres[]),1)=KB$1490,ROW(OFFSET(nombres[],0,0,ROWS(nombres[]),1))-ROW(OFFSET(nombres[],0,0,1,1))+1,ROW(OFFSET(nombres[],ROWS(nombres[])-1,0,1,1))+1),$O1491:$O1510),10),"")</f>
        <v>627</v>
      </c>
      <c r="KC1491" s="42">
        <f t="array" aca="1" ref="KC1491:KC1510" ca="1">IFERROR(INDEX(nombres[],SMALL(IF(OFFSET(nombres[],0,0,ROWS(nombres[]),1)=KC$1490,ROW(OFFSET(nombres[],0,0,ROWS(nombres[]),1))-ROW(OFFSET(nombres[],0,0,1,1))+1,ROW(OFFSET(nombres[],ROWS(nombres[])-1,0,1,1))+1),$O1491:$O1510),10),"")</f>
        <v>6100</v>
      </c>
      <c r="KD1491" s="42" t="str">
        <f t="array" aca="1" ref="KD1491:KD1510" ca="1">IFERROR(INDEX(nombres[],SMALL(IF(OFFSET(nombres[],0,0,ROWS(nombres[]),1)=KD$1490,ROW(OFFSET(nombres[],0,0,ROWS(nombres[]),1))-ROW(OFFSET(nombres[],0,0,1,1))+1,ROW(OFFSET(nombres[],ROWS(nombres[])-1,0,1,1))+1),$O1491:$O1510),10),"")</f>
        <v/>
      </c>
      <c r="KE1491" s="42">
        <f t="array" aca="1" ref="KE1491:KE1510" ca="1">IFERROR(INDEX(nombres[],SMALL(IF(OFFSET(nombres[],0,0,ROWS(nombres[]),1)=KE$1490,ROW(OFFSET(nombres[],0,0,ROWS(nombres[]),1))-ROW(OFFSET(nombres[],0,0,1,1))+1,ROW(OFFSET(nombres[],ROWS(nombres[])-1,0,1,1))+1),$O1491:$O1510),10),"")</f>
        <v>377</v>
      </c>
      <c r="KF1491" s="42">
        <f t="array" aca="1" ref="KF1491:KF1510" ca="1">IFERROR(INDEX(nombres[],SMALL(IF(OFFSET(nombres[],0,0,ROWS(nombres[]),1)=KF$1490,ROW(OFFSET(nombres[],0,0,ROWS(nombres[]),1))-ROW(OFFSET(nombres[],0,0,1,1))+1,ROW(OFFSET(nombres[],ROWS(nombres[])-1,0,1,1))+1),$O1491:$O1510),10),"")</f>
        <v>364</v>
      </c>
      <c r="KG1491" s="42">
        <f t="array" aca="1" ref="KG1491:KG1510" ca="1">IFERROR(INDEX(nombres[],SMALL(IF(OFFSET(nombres[],0,0,ROWS(nombres[]),1)=KG$1490,ROW(OFFSET(nombres[],0,0,ROWS(nombres[]),1))-ROW(OFFSET(nombres[],0,0,1,1))+1,ROW(OFFSET(nombres[],ROWS(nombres[])-1,0,1,1))+1),$O1491:$O1510),10),"")</f>
        <v>1000</v>
      </c>
      <c r="KH1491" s="42">
        <f t="array" aca="1" ref="KH1491:KH1510" ca="1">IFERROR(INDEX(nombres[],SMALL(IF(OFFSET(nombres[],0,0,ROWS(nombres[]),1)=KH$1490,ROW(OFFSET(nombres[],0,0,ROWS(nombres[]),1))-ROW(OFFSET(nombres[],0,0,1,1))+1,ROW(OFFSET(nombres[],ROWS(nombres[])-1,0,1,1))+1),$O1491:$O1510),10),"")</f>
        <v>364</v>
      </c>
      <c r="KI1491" s="42">
        <f t="array" aca="1" ref="KI1491:KI1510" ca="1">IFERROR(INDEX(nombres[],SMALL(IF(OFFSET(nombres[],0,0,ROWS(nombres[]),1)=KI$1490,ROW(OFFSET(nombres[],0,0,ROWS(nombres[]),1))-ROW(OFFSET(nombres[],0,0,1,1))+1,ROW(OFFSET(nombres[],ROWS(nombres[])-1,0,1,1))+1),$O1491:$O1510),10),"")</f>
        <v>364</v>
      </c>
      <c r="KJ1491" s="42">
        <f t="array" aca="1" ref="KJ1491:KJ1510" ca="1">IFERROR(INDEX(nombres[],SMALL(IF(OFFSET(nombres[],0,0,ROWS(nombres[]),1)=KJ$1490,ROW(OFFSET(nombres[],0,0,ROWS(nombres[]),1))-ROW(OFFSET(nombres[],0,0,1,1))+1,ROW(OFFSET(nombres[],ROWS(nombres[])-1,0,1,1))+1),$O1491:$O1510),10),"")</f>
        <v>1338</v>
      </c>
      <c r="KK1491" s="42">
        <f t="array" aca="1" ref="KK1491:KK1510" ca="1">IFERROR(INDEX(nombres[],SMALL(IF(OFFSET(nombres[],0,0,ROWS(nombres[]),1)=KK$1490,ROW(OFFSET(nombres[],0,0,ROWS(nombres[]),1))-ROW(OFFSET(nombres[],0,0,1,1))+1,ROW(OFFSET(nombres[],ROWS(nombres[])-1,0,1,1))+1),$O1491:$O1510),10),"")</f>
        <v>610</v>
      </c>
      <c r="KL1491" s="42" t="str">
        <f t="array" aca="1" ref="KL1491:KL1510" ca="1">IFERROR(INDEX(nombres[],SMALL(IF(OFFSET(nombres[],0,0,ROWS(nombres[]),1)=KL$1490,ROW(OFFSET(nombres[],0,0,ROWS(nombres[]),1))-ROW(OFFSET(nombres[],0,0,1,1))+1,ROW(OFFSET(nombres[],ROWS(nombres[])-1,0,1,1))+1),$O1491:$O1510),10),"")</f>
        <v/>
      </c>
      <c r="KM1491" s="42" t="str">
        <f t="array" aca="1" ref="KM1491:KM1510" ca="1">IFERROR(INDEX(nombres[],SMALL(IF(OFFSET(nombres[],0,0,ROWS(nombres[]),1)=KM$1490,ROW(OFFSET(nombres[],0,0,ROWS(nombres[]),1))-ROW(OFFSET(nombres[],0,0,1,1))+1,ROW(OFFSET(nombres[],ROWS(nombres[])-1,0,1,1))+1),$O1491:$O1510),10),"")</f>
        <v/>
      </c>
      <c r="KN1491" s="42">
        <f t="array" aca="1" ref="KN1491:KN1510" ca="1">IFERROR(INDEX(nombres[],SMALL(IF(OFFSET(nombres[],0,0,ROWS(nombres[]),1)=KN$1490,ROW(OFFSET(nombres[],0,0,ROWS(nombres[]),1))-ROW(OFFSET(nombres[],0,0,1,1))+1,ROW(OFFSET(nombres[],ROWS(nombres[])-1,0,1,1))+1),$O1491:$O1510),10),"")</f>
        <v>728</v>
      </c>
      <c r="KO1491" s="42">
        <f t="array" aca="1" ref="KO1491:KO1510" ca="1">IFERROR(INDEX(nombres[],SMALL(IF(OFFSET(nombres[],0,0,ROWS(nombres[]),1)=KO$1490,ROW(OFFSET(nombres[],0,0,ROWS(nombres[]),1))-ROW(OFFSET(nombres[],0,0,1,1))+1,ROW(OFFSET(nombres[],ROWS(nombres[])-1,0,1,1))+1),$O1491:$O1510),10),"")</f>
        <v>1000</v>
      </c>
      <c r="KP1491" s="42">
        <f t="array" aca="1" ref="KP1491:KP1510" ca="1">IFERROR(INDEX(nombres[],SMALL(IF(OFFSET(nombres[],0,0,ROWS(nombres[]),1)=KP$1490,ROW(OFFSET(nombres[],0,0,ROWS(nombres[]),1))-ROW(OFFSET(nombres[],0,0,1,1))+1,ROW(OFFSET(nombres[],ROWS(nombres[])-1,0,1,1))+1),$O1491:$O1510),10),"")</f>
        <v>728</v>
      </c>
      <c r="KQ1491" s="42">
        <f t="array" aca="1" ref="KQ1491:KQ1510" ca="1">IFERROR(INDEX(nombres[],SMALL(IF(OFFSET(nombres[],0,0,ROWS(nombres[]),1)=KQ$1490,ROW(OFFSET(nombres[],0,0,ROWS(nombres[]),1))-ROW(OFFSET(nombres[],0,0,1,1))+1,ROW(OFFSET(nombres[],ROWS(nombres[])-1,0,1,1))+1),$O1491:$O1510),10),"")</f>
        <v>1187</v>
      </c>
      <c r="KR1491" s="42">
        <f t="array" aca="1" ref="KR1491:KR1510" ca="1">IFERROR(INDEX(nombres[],SMALL(IF(OFFSET(nombres[],0,0,ROWS(nombres[]),1)=KR$1490,ROW(OFFSET(nombres[],0,0,ROWS(nombres[]),1))-ROW(OFFSET(nombres[],0,0,1,1))+1,ROW(OFFSET(nombres[],ROWS(nombres[])-1,0,1,1))+1),$O1491:$O1510),10),"")</f>
        <v>-728</v>
      </c>
      <c r="KS1491" s="42" t="str">
        <f t="array" aca="1" ref="KS1491:KS1510" ca="1">IFERROR(INDEX(nombres[],SMALL(IF(OFFSET(nombres[],0,0,ROWS(nombres[]),1)=KS$1490,ROW(OFFSET(nombres[],0,0,ROWS(nombres[]),1))-ROW(OFFSET(nombres[],0,0,1,1))+1,ROW(OFFSET(nombres[],ROWS(nombres[])-1,0,1,1))+1),$O1491:$O1510),10),"")</f>
        <v/>
      </c>
      <c r="KT1491" s="42">
        <f t="array" aca="1" ref="KT1491:KT1510" ca="1">IFERROR(INDEX(nombres[],SMALL(IF(OFFSET(nombres[],0,0,ROWS(nombres[]),1)=KT$1490,ROW(OFFSET(nombres[],0,0,ROWS(nombres[]),1))-ROW(OFFSET(nombres[],0,0,1,1))+1,ROW(OFFSET(nombres[],ROWS(nombres[])-1,0,1,1))+1),$O1491:$O1510),10),"")</f>
        <v>1908</v>
      </c>
      <c r="KU1491" s="42">
        <f t="array" aca="1" ref="KU1491:KU1510" ca="1">IFERROR(INDEX(nombres[],SMALL(IF(OFFSET(nombres[],0,0,ROWS(nombres[]),1)=KU$1490,ROW(OFFSET(nombres[],0,0,ROWS(nombres[]),1))-ROW(OFFSET(nombres[],0,0,1,1))+1,ROW(OFFSET(nombres[],ROWS(nombres[])-1,0,1,1))+1),$O1491:$O1510),10),"")</f>
        <v>364</v>
      </c>
      <c r="KV1491" s="42">
        <f t="array" aca="1" ref="KV1491:KV1510" ca="1">IFERROR(INDEX(nombres[],SMALL(IF(OFFSET(nombres[],0,0,ROWS(nombres[]),1)=KV$1490,ROW(OFFSET(nombres[],0,0,ROWS(nombres[]),1))-ROW(OFFSET(nombres[],0,0,1,1))+1,ROW(OFFSET(nombres[],ROWS(nombres[])-1,0,1,1))+1),$O1491:$O1510),10),"")</f>
        <v>364</v>
      </c>
      <c r="KW1491" s="42">
        <f t="array" aca="1" ref="KW1491:KW1510" ca="1">IFERROR(INDEX(nombres[],SMALL(IF(OFFSET(nombres[],0,0,ROWS(nombres[]),1)=KW$1490,ROW(OFFSET(nombres[],0,0,ROWS(nombres[]),1))-ROW(OFFSET(nombres[],0,0,1,1))+1,ROW(OFFSET(nombres[],ROWS(nombres[])-1,0,1,1))+1),$O1491:$O1510),10),"")</f>
        <v>377</v>
      </c>
      <c r="KX1491" s="42">
        <f t="array" aca="1" ref="KX1491:KX1510" ca="1">IFERROR(INDEX(nombres[],SMALL(IF(OFFSET(nombres[],0,0,ROWS(nombres[]),1)=KX$1490,ROW(OFFSET(nombres[],0,0,ROWS(nombres[]),1))-ROW(OFFSET(nombres[],0,0,1,1))+1,ROW(OFFSET(nombres[],ROWS(nombres[])-1,0,1,1))+1),$O1491:$O1510),10),"")</f>
        <v>364</v>
      </c>
      <c r="KY1491" s="42">
        <f t="array" aca="1" ref="KY1491:KY1510" ca="1">IFERROR(INDEX(nombres[],SMALL(IF(OFFSET(nombres[],0,0,ROWS(nombres[]),1)=KY$1490,ROW(OFFSET(nombres[],0,0,ROWS(nombres[]),1))-ROW(OFFSET(nombres[],0,0,1,1))+1,ROW(OFFSET(nombres[],ROWS(nombres[])-1,0,1,1))+1),$O1491:$O1510),10),"")</f>
        <v>627</v>
      </c>
      <c r="KZ1491" s="42">
        <f t="array" aca="1" ref="KZ1491:KZ1510" ca="1">IFERROR(INDEX(nombres[],SMALL(IF(OFFSET(nombres[],0,0,ROWS(nombres[]),1)=KZ$1490,ROW(OFFSET(nombres[],0,0,ROWS(nombres[]),1))-ROW(OFFSET(nombres[],0,0,1,1))+1,ROW(OFFSET(nombres[],ROWS(nombres[])-1,0,1,1))+1),$O1491:$O1510),10),"")</f>
        <v>728</v>
      </c>
      <c r="LA1491" s="42" t="str">
        <f t="array" aca="1" ref="LA1491:LA1510" ca="1">IFERROR(INDEX(nombres[],SMALL(IF(OFFSET(nombres[],0,0,ROWS(nombres[]),1)=LA$1490,ROW(OFFSET(nombres[],0,0,ROWS(nombres[]),1))-ROW(OFFSET(nombres[],0,0,1,1))+1,ROW(OFFSET(nombres[],ROWS(nombres[])-1,0,1,1))+1),$O1491:$O1510),10),"")</f>
        <v/>
      </c>
      <c r="LB1491" s="42">
        <f t="array" aca="1" ref="LB1491:LB1510" ca="1">IFERROR(INDEX(nombres[],SMALL(IF(OFFSET(nombres[],0,0,ROWS(nombres[]),1)=LB$1490,ROW(OFFSET(nombres[],0,0,ROWS(nombres[]),1))-ROW(OFFSET(nombres[],0,0,1,1))+1,ROW(OFFSET(nombres[],ROWS(nombres[])-1,0,1,1))+1),$O1491:$O1510),10),"")</f>
        <v>364</v>
      </c>
      <c r="LC1491" s="42" t="str">
        <f t="array" aca="1" ref="LC1491:LC1510" ca="1">IFERROR(INDEX(nombres[],SMALL(IF(OFFSET(nombres[],0,0,ROWS(nombres[]),1)=LC$1490,ROW(OFFSET(nombres[],0,0,ROWS(nombres[]),1))-ROW(OFFSET(nombres[],0,0,1,1))+1,ROW(OFFSET(nombres[],ROWS(nombres[])-1,0,1,1))+1),$O1491:$O1510),10),"")</f>
        <v/>
      </c>
      <c r="LD1491" s="42" t="str">
        <f t="array" aca="1" ref="LD1491:LD1510" ca="1">IFERROR(INDEX(nombres[],SMALL(IF(OFFSET(nombres[],0,0,ROWS(nombres[]),1)=LD$1490,ROW(OFFSET(nombres[],0,0,ROWS(nombres[]),1))-ROW(OFFSET(nombres[],0,0,1,1))+1,ROW(OFFSET(nombres[],ROWS(nombres[])-1,0,1,1))+1),$O1491:$O1510),10),"")</f>
        <v/>
      </c>
      <c r="LE1491" s="42">
        <f t="array" aca="1" ref="LE1491:LE1510" ca="1">IFERROR(INDEX(nombres[],SMALL(IF(OFFSET(nombres[],0,0,ROWS(nombres[]),1)=LE$1490,ROW(OFFSET(nombres[],0,0,ROWS(nombres[]),1))-ROW(OFFSET(nombres[],0,0,1,1))+1,ROW(OFFSET(nombres[],ROWS(nombres[])-1,0,1,1))+1),$O1491:$O1510),10),"")</f>
        <v>364</v>
      </c>
      <c r="LF1491" s="42">
        <f t="array" aca="1" ref="LF1491:LF1510" ca="1">IFERROR(INDEX(nombres[],SMALL(IF(OFFSET(nombres[],0,0,ROWS(nombres[]),1)=LF$1490,ROW(OFFSET(nombres[],0,0,ROWS(nombres[]),1))-ROW(OFFSET(nombres[],0,0,1,1))+1,ROW(OFFSET(nombres[],ROWS(nombres[])-1,0,1,1))+1),$O1491:$O1510),10),"")</f>
        <v>1450</v>
      </c>
      <c r="LG1491" s="42">
        <f t="array" aca="1" ref="LG1491:LG1510" ca="1">IFERROR(INDEX(nombres[],SMALL(IF(OFFSET(nombres[],0,0,ROWS(nombres[]),1)=LG$1490,ROW(OFFSET(nombres[],0,0,ROWS(nombres[]),1))-ROW(OFFSET(nombres[],0,0,1,1))+1,ROW(OFFSET(nombres[],ROWS(nombres[])-1,0,1,1))+1),$O1491:$O1510),10),"")</f>
        <v>974</v>
      </c>
      <c r="LH1491" s="42">
        <f t="array" aca="1" ref="LH1491:LH1510" ca="1">IFERROR(INDEX(nombres[],SMALL(IF(OFFSET(nombres[],0,0,ROWS(nombres[]),1)=LH$1490,ROW(OFFSET(nombres[],0,0,ROWS(nombres[]),1))-ROW(OFFSET(nombres[],0,0,1,1))+1,ROW(OFFSET(nombres[],ROWS(nombres[])-1,0,1,1))+1),$O1491:$O1510),10),"")</f>
        <v>610</v>
      </c>
      <c r="LI1491" s="42">
        <f t="array" aca="1" ref="LI1491:LI1510" ca="1">IFERROR(INDEX(nombres[],SMALL(IF(OFFSET(nombres[],0,0,ROWS(nombres[]),1)=LI$1490,ROW(OFFSET(nombres[],0,0,ROWS(nombres[]),1))-ROW(OFFSET(nombres[],0,0,1,1))+1,ROW(OFFSET(nombres[],ROWS(nombres[])-1,0,1,1))+1),$O1491:$O1510),10),"")</f>
        <v>728</v>
      </c>
      <c r="LJ1491" s="42">
        <f t="array" aca="1" ref="LJ1491:LJ1510" ca="1">IFERROR(INDEX(nombres[],SMALL(IF(OFFSET(nombres[],0,0,ROWS(nombres[]),1)=LJ$1490,ROW(OFFSET(nombres[],0,0,ROWS(nombres[]),1))-ROW(OFFSET(nombres[],0,0,1,1))+1,ROW(OFFSET(nombres[],ROWS(nombres[])-1,0,1,1))+1),$O1491:$O1510),10),"")</f>
        <v>2374</v>
      </c>
      <c r="LK1491" s="42">
        <f t="array" aca="1" ref="LK1491:LK1510" ca="1">IFERROR(INDEX(nombres[],SMALL(IF(OFFSET(nombres[],0,0,ROWS(nombres[]),1)=LK$1490,ROW(OFFSET(nombres[],0,0,ROWS(nombres[]),1))-ROW(OFFSET(nombres[],0,0,1,1))+1,ROW(OFFSET(nombres[],ROWS(nombres[])-1,0,1,1))+1),$O1491:$O1510),10),"")</f>
        <v>677</v>
      </c>
      <c r="LL1491" s="42" t="str">
        <f t="array" aca="1" ref="LL1491:LL1510" ca="1">IFERROR(INDEX(nombres[],SMALL(IF(OFFSET(nombres[],0,0,ROWS(nombres[]),1)=LL$1490,ROW(OFFSET(nombres[],0,0,ROWS(nombres[]),1))-ROW(OFFSET(nombres[],0,0,1,1))+1,ROW(OFFSET(nombres[],ROWS(nombres[])-1,0,1,1))+1),$O1491:$O1510),10),"")</f>
        <v/>
      </c>
      <c r="LM1491" s="42">
        <f t="array" aca="1" ref="LM1491:LM1510" ca="1">IFERROR(INDEX(nombres[],SMALL(IF(OFFSET(nombres[],0,0,ROWS(nombres[]),1)=LM$1490,ROW(OFFSET(nombres[],0,0,ROWS(nombres[]),1))-ROW(OFFSET(nombres[],0,0,1,1))+1,ROW(OFFSET(nombres[],ROWS(nombres[])-1,0,1,1))+1),$O1491:$O1510),10),"")</f>
        <v>610</v>
      </c>
      <c r="LN1491" s="42">
        <f t="array" aca="1" ref="LN1491:LN1510" ca="1">IFERROR(INDEX(nombres[],SMALL(IF(OFFSET(nombres[],0,0,ROWS(nombres[]),1)=LN$1490,ROW(OFFSET(nombres[],0,0,ROWS(nombres[]),1))-ROW(OFFSET(nombres[],0,0,1,1))+1,ROW(OFFSET(nombres[],ROWS(nombres[])-1,0,1,1))+1),$O1491:$O1510),10),"")</f>
        <v>974</v>
      </c>
      <c r="LO1491" s="42">
        <f t="array" aca="1" ref="LO1491:LO1510" ca="1">IFERROR(INDEX(nombres[],SMALL(IF(OFFSET(nombres[],0,0,ROWS(nombres[]),1)=LO$1490,ROW(OFFSET(nombres[],0,0,ROWS(nombres[]),1))-ROW(OFFSET(nombres[],0,0,1,1))+1,ROW(OFFSET(nombres[],ROWS(nombres[])-1,0,1,1))+1),$O1491:$O1510),10),"")</f>
        <v>364</v>
      </c>
      <c r="LP1491" s="42">
        <f t="array" aca="1" ref="LP1491:LP1510" ca="1">IFERROR(INDEX(nombres[],SMALL(IF(OFFSET(nombres[],0,0,ROWS(nombres[]),1)=LP$1490,ROW(OFFSET(nombres[],0,0,ROWS(nombres[]),1))-ROW(OFFSET(nombres[],0,0,1,1))+1,ROW(OFFSET(nombres[],ROWS(nombres[])-1,0,1,1))+1),$O1491:$O1510),10),"")</f>
        <v>1433</v>
      </c>
      <c r="LQ1491" s="42">
        <f t="array" aca="1" ref="LQ1491:LQ1510" ca="1">IFERROR(INDEX(nombres[],SMALL(IF(OFFSET(nombres[],0,0,ROWS(nombres[]),1)=LQ$1490,ROW(OFFSET(nombres[],0,0,ROWS(nombres[]),1))-ROW(OFFSET(nombres[],0,0,1,1))+1,ROW(OFFSET(nombres[],ROWS(nombres[])-1,0,1,1))+1),$O1491:$O1510),10),"")</f>
        <v>728</v>
      </c>
      <c r="LR1491" s="42">
        <f t="array" aca="1" ref="LR1491:LR1510" ca="1">IFERROR(INDEX(nombres[],SMALL(IF(OFFSET(nombres[],0,0,ROWS(nombres[]),1)=LR$1490,ROW(OFFSET(nombres[],0,0,ROWS(nombres[]),1))-ROW(OFFSET(nombres[],0,0,1,1))+1,ROW(OFFSET(nombres[],ROWS(nombres[])-1,0,1,1))+1),$O1491:$O1510),10),"")</f>
        <v>1433</v>
      </c>
      <c r="LS1491" s="42">
        <f t="array" aca="1" ref="LS1491:LS1510" ca="1">IFERROR(INDEX(nombres[],SMALL(IF(OFFSET(nombres[],0,0,ROWS(nombres[]),1)=LS$1490,ROW(OFFSET(nombres[],0,0,ROWS(nombres[]),1))-ROW(OFFSET(nombres[],0,0,1,1))+1,ROW(OFFSET(nombres[],ROWS(nombres[])-1,0,1,1))+1),$O1491:$O1510),10),"")</f>
        <v>728</v>
      </c>
      <c r="LT1491" s="42">
        <f t="array" aca="1" ref="LT1491:LT1510" ca="1">IFERROR(INDEX(nombres[],SMALL(IF(OFFSET(nombres[],0,0,ROWS(nombres[]),1)=LT$1490,ROW(OFFSET(nombres[],0,0,ROWS(nombres[]),1))-ROW(OFFSET(nombres[],0,0,1,1))+1,ROW(OFFSET(nombres[],ROWS(nombres[])-1,0,1,1))+1),$O1491:$O1510),10),"")</f>
        <v>1433</v>
      </c>
      <c r="LU1491" s="42">
        <f t="array" aca="1" ref="LU1491:LU1510" ca="1">IFERROR(INDEX(nombres[],SMALL(IF(OFFSET(nombres[],0,0,ROWS(nombres[]),1)=LU$1490,ROW(OFFSET(nombres[],0,0,ROWS(nombres[]),1))-ROW(OFFSET(nombres[],0,0,1,1))+1,ROW(OFFSET(nombres[],ROWS(nombres[])-1,0,1,1))+1),$O1491:$O1510),10),"")</f>
        <v>364</v>
      </c>
      <c r="LV1491" s="42" t="str">
        <f t="array" aca="1" ref="LV1491:LV1510" ca="1">IFERROR(INDEX(nombres[],SMALL(IF(OFFSET(nombres[],0,0,ROWS(nombres[]),1)=LV$1490,ROW(OFFSET(nombres[],0,0,ROWS(nombres[]),1))-ROW(OFFSET(nombres[],0,0,1,1))+1,ROW(OFFSET(nombres[],ROWS(nombres[])-1,0,1,1))+1),$O1491:$O1510),10),"")</f>
        <v/>
      </c>
      <c r="LW1491" s="42">
        <f t="array" aca="1" ref="LW1491:LW1510" ca="1">IFERROR(INDEX(nombres[],SMALL(IF(OFFSET(nombres[],0,0,ROWS(nombres[]),1)=LW$1490,ROW(OFFSET(nombres[],0,0,ROWS(nombres[]),1))-ROW(OFFSET(nombres[],0,0,1,1))+1,ROW(OFFSET(nombres[],ROWS(nombres[])-1,0,1,1))+1),$O1491:$O1510),10),"")</f>
        <v>1200</v>
      </c>
      <c r="LX1491" s="42">
        <f t="array" aca="1" ref="LX1491:LX1510" ca="1">IFERROR(INDEX(nombres[],SMALL(IF(OFFSET(nombres[],0,0,ROWS(nombres[]),1)=LX$1490,ROW(OFFSET(nombres[],0,0,ROWS(nombres[]),1))-ROW(OFFSET(nombres[],0,0,1,1))+1,ROW(OFFSET(nombres[],ROWS(nombres[])-1,0,1,1))+1),$O1491:$O1510),10),"")</f>
        <v>974</v>
      </c>
      <c r="LY1491" s="42" t="str">
        <f t="array" aca="1" ref="LY1491:LY1510" ca="1">IFERROR(INDEX(nombres[],SMALL(IF(OFFSET(nombres[],0,0,ROWS(nombres[]),1)=LY$1490,ROW(OFFSET(nombres[],0,0,ROWS(nombres[]),1))-ROW(OFFSET(nombres[],0,0,1,1))+1,ROW(OFFSET(nombres[],ROWS(nombres[])-1,0,1,1))+1),$O1491:$O1510),10),"")</f>
        <v/>
      </c>
      <c r="LZ1491" s="42">
        <f t="array" aca="1" ref="LZ1491:LZ1510" ca="1">IFERROR(INDEX(nombres[],SMALL(IF(OFFSET(nombres[],0,0,ROWS(nombres[]),1)=LZ$1490,ROW(OFFSET(nombres[],0,0,ROWS(nombres[]),1))-ROW(OFFSET(nombres[],0,0,1,1))+1,ROW(OFFSET(nombres[],ROWS(nombres[])-1,0,1,1))+1),$O1491:$O1510),10),"")</f>
        <v>500</v>
      </c>
      <c r="MA1491" s="42" t="str">
        <f t="array" aca="1" ref="MA1491:MA1510" ca="1">IFERROR(INDEX(nombres[],SMALL(IF(OFFSET(nombres[],0,0,ROWS(nombres[]),1)=MA$1490,ROW(OFFSET(nombres[],0,0,ROWS(nombres[]),1))-ROW(OFFSET(nombres[],0,0,1,1))+1,ROW(OFFSET(nombres[],ROWS(nombres[])-1,0,1,1))+1),$O1491:$O1510),10),"")</f>
        <v/>
      </c>
      <c r="MB1491" s="42" t="str">
        <f t="array" aca="1" ref="MB1491:MB1510" ca="1">IFERROR(INDEX(nombres[],SMALL(IF(OFFSET(nombres[],0,0,ROWS(nombres[]),1)=MB$1490,ROW(OFFSET(nombres[],0,0,ROWS(nombres[]),1))-ROW(OFFSET(nombres[],0,0,1,1))+1,ROW(OFFSET(nombres[],ROWS(nombres[])-1,0,1,1))+1),$O1491:$O1510),10),"")</f>
        <v/>
      </c>
      <c r="MC1491" s="42" t="str">
        <f t="array" aca="1" ref="MC1491:MC1510" ca="1">IFERROR(INDEX(nombres[],SMALL(IF(OFFSET(nombres[],0,0,ROWS(nombres[]),1)=MC$1490,ROW(OFFSET(nombres[],0,0,ROWS(nombres[]),1))-ROW(OFFSET(nombres[],0,0,1,1))+1,ROW(OFFSET(nombres[],ROWS(nombres[])-1,0,1,1))+1),$O1491:$O1510),10),"")</f>
        <v/>
      </c>
      <c r="MD1491" s="42" t="str">
        <f t="array" aca="1" ref="MD1491:MD1510" ca="1">IFERROR(INDEX(nombres[],SMALL(IF(OFFSET(nombres[],0,0,ROWS(nombres[]),1)=MD$1490,ROW(OFFSET(nombres[],0,0,ROWS(nombres[]),1))-ROW(OFFSET(nombres[],0,0,1,1))+1,ROW(OFFSET(nombres[],ROWS(nombres[])-1,0,1,1))+1),$O1491:$O1510),10),"")</f>
        <v/>
      </c>
      <c r="ME1491" s="42" t="str">
        <f t="array" aca="1" ref="ME1491:ME1510" ca="1">IFERROR(INDEX(nombres[],SMALL(IF(OFFSET(nombres[],0,0,ROWS(nombres[]),1)=ME$1490,ROW(OFFSET(nombres[],0,0,ROWS(nombres[]),1))-ROW(OFFSET(nombres[],0,0,1,1))+1,ROW(OFFSET(nombres[],ROWS(nombres[])-1,0,1,1))+1),$O1491:$O1510),10),"")</f>
        <v/>
      </c>
      <c r="MF1491" s="42" t="str">
        <f t="array" aca="1" ref="MF1491:MF1510" ca="1">IFERROR(INDEX(nombres[],SMALL(IF(OFFSET(nombres[],0,0,ROWS(nombres[]),1)=MF$1490,ROW(OFFSET(nombres[],0,0,ROWS(nombres[]),1))-ROW(OFFSET(nombres[],0,0,1,1))+1,ROW(OFFSET(nombres[],ROWS(nombres[])-1,0,1,1))+1),$O1491:$O1510),10),"")</f>
        <v/>
      </c>
      <c r="MG1491" s="42" t="str">
        <f t="array" aca="1" ref="MG1491:MG1510" ca="1">IFERROR(INDEX(nombres[],SMALL(IF(OFFSET(nombres[],0,0,ROWS(nombres[]),1)=MG$1490,ROW(OFFSET(nombres[],0,0,ROWS(nombres[]),1))-ROW(OFFSET(nombres[],0,0,1,1))+1,ROW(OFFSET(nombres[],ROWS(nombres[])-1,0,1,1))+1),$O1491:$O1510),10),"")</f>
        <v/>
      </c>
      <c r="MH1491" s="42" t="str">
        <f t="array" aca="1" ref="MH1491:MH1510" ca="1">IFERROR(INDEX(nombres[],SMALL(IF(OFFSET(nombres[],0,0,ROWS(nombres[]),1)=MH$1490,ROW(OFFSET(nombres[],0,0,ROWS(nombres[]),1))-ROW(OFFSET(nombres[],0,0,1,1))+1,ROW(OFFSET(nombres[],ROWS(nombres[])-1,0,1,1))+1),$O1491:$O1510),10),"")</f>
        <v/>
      </c>
      <c r="MI1491" s="42" t="str">
        <f t="array" aca="1" ref="MI1491:MI1510" ca="1">IFERROR(INDEX(nombres[],SMALL(IF(OFFSET(nombres[],0,0,ROWS(nombres[]),1)=MI$1490,ROW(OFFSET(nombres[],0,0,ROWS(nombres[]),1))-ROW(OFFSET(nombres[],0,0,1,1))+1,ROW(OFFSET(nombres[],ROWS(nombres[])-1,0,1,1))+1),$O1491:$O1510),10),"")</f>
        <v/>
      </c>
      <c r="MJ1491" s="42" t="str">
        <f t="array" aca="1" ref="MJ1491:MJ1510" ca="1">IFERROR(INDEX(nombres[],SMALL(IF(OFFSET(nombres[],0,0,ROWS(nombres[]),1)=MJ$1490,ROW(OFFSET(nombres[],0,0,ROWS(nombres[]),1))-ROW(OFFSET(nombres[],0,0,1,1))+1,ROW(OFFSET(nombres[],ROWS(nombres[])-1,0,1,1))+1),$O1491:$O1510),10),"")</f>
        <v/>
      </c>
      <c r="MK1491" s="42" t="str">
        <f t="array" aca="1" ref="MK1491:MK1510" ca="1">IFERROR(INDEX(nombres[],SMALL(IF(OFFSET(nombres[],0,0,ROWS(nombres[]),1)=MK$1490,ROW(OFFSET(nombres[],0,0,ROWS(nombres[]),1))-ROW(OFFSET(nombres[],0,0,1,1))+1,ROW(OFFSET(nombres[],ROWS(nombres[])-1,0,1,1))+1),$O1491:$O1510),10),"")</f>
        <v/>
      </c>
      <c r="ML1491" s="42" t="str">
        <f t="array" aca="1" ref="ML1491:ML1510" ca="1">IFERROR(INDEX(nombres[],SMALL(IF(OFFSET(nombres[],0,0,ROWS(nombres[]),1)=ML$1490,ROW(OFFSET(nombres[],0,0,ROWS(nombres[]),1))-ROW(OFFSET(nombres[],0,0,1,1))+1,ROW(OFFSET(nombres[],ROWS(nombres[])-1,0,1,1))+1),$O1491:$O1510),10),"")</f>
        <v/>
      </c>
      <c r="MM1491" s="42" t="str">
        <f t="array" aca="1" ref="MM1491:MM1510" ca="1">IFERROR(INDEX(nombres[],SMALL(IF(OFFSET(nombres[],0,0,ROWS(nombres[]),1)=MM$1490,ROW(OFFSET(nombres[],0,0,ROWS(nombres[]),1))-ROW(OFFSET(nombres[],0,0,1,1))+1,ROW(OFFSET(nombres[],ROWS(nombres[])-1,0,1,1))+1),$O1491:$O1510),10),"")</f>
        <v/>
      </c>
      <c r="MN1491" s="42" t="str">
        <f t="array" aca="1" ref="MN1491:MN1510" ca="1">IFERROR(INDEX(nombres[],SMALL(IF(OFFSET(nombres[],0,0,ROWS(nombres[]),1)=MN$1490,ROW(OFFSET(nombres[],0,0,ROWS(nombres[]),1))-ROW(OFFSET(nombres[],0,0,1,1))+1,ROW(OFFSET(nombres[],ROWS(nombres[])-1,0,1,1))+1),$O1491:$O1510),10),"")</f>
        <v/>
      </c>
      <c r="MO1491" s="42" t="str">
        <f t="array" aca="1" ref="MO1491:MO1510" ca="1">IFERROR(INDEX(nombres[],SMALL(IF(OFFSET(nombres[],0,0,ROWS(nombres[]),1)=MO$1490,ROW(OFFSET(nombres[],0,0,ROWS(nombres[]),1))-ROW(OFFSET(nombres[],0,0,1,1))+1,ROW(OFFSET(nombres[],ROWS(nombres[])-1,0,1,1))+1),$O1491:$O1510),10),"")</f>
        <v/>
      </c>
      <c r="MP1491" s="42" t="str">
        <f t="array" aca="1" ref="MP1491:MP1510" ca="1">IFERROR(INDEX(nombres[],SMALL(IF(OFFSET(nombres[],0,0,ROWS(nombres[]),1)=MP$1490,ROW(OFFSET(nombres[],0,0,ROWS(nombres[]),1))-ROW(OFFSET(nombres[],0,0,1,1))+1,ROW(OFFSET(nombres[],ROWS(nombres[])-1,0,1,1))+1),$O1491:$O1510),10),"")</f>
        <v/>
      </c>
      <c r="MQ1491" s="42" t="str">
        <f t="array" aca="1" ref="MQ1491:MQ1510" ca="1">IFERROR(INDEX(nombres[],SMALL(IF(OFFSET(nombres[],0,0,ROWS(nombres[]),1)=MQ$1490,ROW(OFFSET(nombres[],0,0,ROWS(nombres[]),1))-ROW(OFFSET(nombres[],0,0,1,1))+1,ROW(OFFSET(nombres[],ROWS(nombres[])-1,0,1,1))+1),$O1491:$O1510),10),"")</f>
        <v/>
      </c>
      <c r="MR1491" s="42" t="str">
        <f t="array" aca="1" ref="MR1491:MR1510" ca="1">IFERROR(INDEX(nombres[],SMALL(IF(OFFSET(nombres[],0,0,ROWS(nombres[]),1)=MR$1490,ROW(OFFSET(nombres[],0,0,ROWS(nombres[]),1))-ROW(OFFSET(nombres[],0,0,1,1))+1,ROW(OFFSET(nombres[],ROWS(nombres[])-1,0,1,1))+1),$O1491:$O1510),10),"")</f>
        <v/>
      </c>
      <c r="MS1491" s="42" t="str">
        <f t="array" aca="1" ref="MS1491:MS1510" ca="1">IFERROR(INDEX(nombres[],SMALL(IF(OFFSET(nombres[],0,0,ROWS(nombres[]),1)=MS$1490,ROW(OFFSET(nombres[],0,0,ROWS(nombres[]),1))-ROW(OFFSET(nombres[],0,0,1,1))+1,ROW(OFFSET(nombres[],ROWS(nombres[])-1,0,1,1))+1),$O1491:$O1510),10),"")</f>
        <v/>
      </c>
      <c r="MT1491" s="42" t="str">
        <f t="array" aca="1" ref="MT1491:MT1510" ca="1">IFERROR(INDEX(nombres[],SMALL(IF(OFFSET(nombres[],0,0,ROWS(nombres[]),1)=MT$1490,ROW(OFFSET(nombres[],0,0,ROWS(nombres[]),1))-ROW(OFFSET(nombres[],0,0,1,1))+1,ROW(OFFSET(nombres[],ROWS(nombres[])-1,0,1,1))+1),$O1491:$O1510),10),"")</f>
        <v/>
      </c>
      <c r="MU1491" s="42" t="str">
        <f t="array" aca="1" ref="MU1491:MU1510" ca="1">IFERROR(INDEX(nombres[],SMALL(IF(OFFSET(nombres[],0,0,ROWS(nombres[]),1)=MU$1490,ROW(OFFSET(nombres[],0,0,ROWS(nombres[]),1))-ROW(OFFSET(nombres[],0,0,1,1))+1,ROW(OFFSET(nombres[],ROWS(nombres[])-1,0,1,1))+1),$O1491:$O1510),10),"")</f>
        <v/>
      </c>
      <c r="MV1491" s="42" t="str">
        <f t="array" aca="1" ref="MV1491:MV1510" ca="1">IFERROR(INDEX(nombres[],SMALL(IF(OFFSET(nombres[],0,0,ROWS(nombres[]),1)=MV$1490,ROW(OFFSET(nombres[],0,0,ROWS(nombres[]),1))-ROW(OFFSET(nombres[],0,0,1,1))+1,ROW(OFFSET(nombres[],ROWS(nombres[])-1,0,1,1))+1),$O1491:$O1510),10),"")</f>
        <v/>
      </c>
      <c r="MW1491" s="42" t="str">
        <f t="array" aca="1" ref="MW1491:MW1510" ca="1">IFERROR(INDEX(nombres[],SMALL(IF(OFFSET(nombres[],0,0,ROWS(nombres[]),1)=MW$1490,ROW(OFFSET(nombres[],0,0,ROWS(nombres[]),1))-ROW(OFFSET(nombres[],0,0,1,1))+1,ROW(OFFSET(nombres[],ROWS(nombres[])-1,0,1,1))+1),$O1491:$O1510),10),"")</f>
        <v/>
      </c>
      <c r="MX1491" s="42" t="str">
        <f t="array" aca="1" ref="MX1491:MX1510" ca="1">IFERROR(INDEX(nombres[],SMALL(IF(OFFSET(nombres[],0,0,ROWS(nombres[]),1)=MX$1490,ROW(OFFSET(nombres[],0,0,ROWS(nombres[]),1))-ROW(OFFSET(nombres[],0,0,1,1))+1,ROW(OFFSET(nombres[],ROWS(nombres[])-1,0,1,1))+1),$O1491:$O1510),10),"")</f>
        <v/>
      </c>
      <c r="MY1491" s="42" t="str">
        <f t="array" aca="1" ref="MY1491:MY1510" ca="1">IFERROR(INDEX(nombres[],SMALL(IF(OFFSET(nombres[],0,0,ROWS(nombres[]),1)=MY$1490,ROW(OFFSET(nombres[],0,0,ROWS(nombres[]),1))-ROW(OFFSET(nombres[],0,0,1,1))+1,ROW(OFFSET(nombres[],ROWS(nombres[])-1,0,1,1))+1),$O1491:$O1510),10),"")</f>
        <v/>
      </c>
      <c r="MZ1491" s="42" t="str">
        <f t="array" aca="1" ref="MZ1491:MZ1510" ca="1">IFERROR(INDEX(nombres[],SMALL(IF(OFFSET(nombres[],0,0,ROWS(nombres[]),1)=MZ$1490,ROW(OFFSET(nombres[],0,0,ROWS(nombres[]),1))-ROW(OFFSET(nombres[],0,0,1,1))+1,ROW(OFFSET(nombres[],ROWS(nombres[])-1,0,1,1))+1),$O1491:$O1510),10),"")</f>
        <v/>
      </c>
      <c r="NA1491" s="42" t="str">
        <f t="array" aca="1" ref="NA1491:NA1510" ca="1">IFERROR(INDEX(nombres[],SMALL(IF(OFFSET(nombres[],0,0,ROWS(nombres[]),1)=NA$1490,ROW(OFFSET(nombres[],0,0,ROWS(nombres[]),1))-ROW(OFFSET(nombres[],0,0,1,1))+1,ROW(OFFSET(nombres[],ROWS(nombres[])-1,0,1,1))+1),$O1491:$O1510),10),"")</f>
        <v/>
      </c>
      <c r="NB1491" s="42" t="str">
        <f t="array" aca="1" ref="NB1491:NB1510" ca="1">IFERROR(INDEX(nombres[],SMALL(IF(OFFSET(nombres[],0,0,ROWS(nombres[]),1)=NB$1490,ROW(OFFSET(nombres[],0,0,ROWS(nombres[]),1))-ROW(OFFSET(nombres[],0,0,1,1))+1,ROW(OFFSET(nombres[],ROWS(nombres[])-1,0,1,1))+1),$O1491:$O1510),10),"")</f>
        <v/>
      </c>
      <c r="NC1491" s="42" t="str">
        <f t="array" aca="1" ref="NC1491:NC1510" ca="1">IFERROR(INDEX(nombres[],SMALL(IF(OFFSET(nombres[],0,0,ROWS(nombres[]),1)=NC$1490,ROW(OFFSET(nombres[],0,0,ROWS(nombres[]),1))-ROW(OFFSET(nombres[],0,0,1,1))+1,ROW(OFFSET(nombres[],ROWS(nombres[])-1,0,1,1))+1),$O1491:$O1510),10),"")</f>
        <v/>
      </c>
      <c r="ND1491" s="42" t="str">
        <f t="array" aca="1" ref="ND1491:ND1510" ca="1">IFERROR(INDEX(nombres[],SMALL(IF(OFFSET(nombres[],0,0,ROWS(nombres[]),1)=ND$1490,ROW(OFFSET(nombres[],0,0,ROWS(nombres[]),1))-ROW(OFFSET(nombres[],0,0,1,1))+1,ROW(OFFSET(nombres[],ROWS(nombres[])-1,0,1,1))+1),$O1491:$O1510),10),"")</f>
        <v/>
      </c>
      <c r="NE1491" s="42" t="str">
        <f t="array" aca="1" ref="NE1491:NE1510" ca="1">IFERROR(INDEX(nombres[],SMALL(IF(OFFSET(nombres[],0,0,ROWS(nombres[]),1)=NE$1490,ROW(OFFSET(nombres[],0,0,ROWS(nombres[]),1))-ROW(OFFSET(nombres[],0,0,1,1))+1,ROW(OFFSET(nombres[],ROWS(nombres[])-1,0,1,1))+1),$O1491:$O1510),10),"")</f>
        <v/>
      </c>
      <c r="NF1491" s="42" t="str">
        <f t="array" aca="1" ref="NF1491:NF1510" ca="1">IFERROR(INDEX(nombres[],SMALL(IF(OFFSET(nombres[],0,0,ROWS(nombres[]),1)=NF$1490,ROW(OFFSET(nombres[],0,0,ROWS(nombres[]),1))-ROW(OFFSET(nombres[],0,0,1,1))+1,ROW(OFFSET(nombres[],ROWS(nombres[])-1,0,1,1))+1),$O1491:$O1510),10),"")</f>
        <v/>
      </c>
      <c r="NG1491" s="42" t="str">
        <f t="array" aca="1" ref="NG1491:NG1510" ca="1">IFERROR(INDEX(nombres[],SMALL(IF(OFFSET(nombres[],0,0,ROWS(nombres[]),1)=NG$1490,ROW(OFFSET(nombres[],0,0,ROWS(nombres[]),1))-ROW(OFFSET(nombres[],0,0,1,1))+1,ROW(OFFSET(nombres[],ROWS(nombres[])-1,0,1,1))+1),$O1491:$O1510),10),"")</f>
        <v/>
      </c>
      <c r="NH1491" s="42" t="str">
        <f t="array" aca="1" ref="NH1491:NH1510" ca="1">IFERROR(INDEX(nombres[],SMALL(IF(OFFSET(nombres[],0,0,ROWS(nombres[]),1)=NH$1490,ROW(OFFSET(nombres[],0,0,ROWS(nombres[]),1))-ROW(OFFSET(nombres[],0,0,1,1))+1,ROW(OFFSET(nombres[],ROWS(nombres[])-1,0,1,1))+1),$O1491:$O1510),10),"")</f>
        <v/>
      </c>
      <c r="NI1491" s="42" t="str">
        <f t="array" aca="1" ref="NI1491:NI1510" ca="1">IFERROR(INDEX(nombres[],SMALL(IF(OFFSET(nombres[],0,0,ROWS(nombres[]),1)=NI$1490,ROW(OFFSET(nombres[],0,0,ROWS(nombres[]),1))-ROW(OFFSET(nombres[],0,0,1,1))+1,ROW(OFFSET(nombres[],ROWS(nombres[])-1,0,1,1))+1),$O1491:$O1510),10),"")</f>
        <v/>
      </c>
      <c r="NJ1491" s="42" t="str">
        <f t="array" aca="1" ref="NJ1491:NJ1510" ca="1">IFERROR(INDEX(nombres[],SMALL(IF(OFFSET(nombres[],0,0,ROWS(nombres[]),1)=NJ$1490,ROW(OFFSET(nombres[],0,0,ROWS(nombres[]),1))-ROW(OFFSET(nombres[],0,0,1,1))+1,ROW(OFFSET(nombres[],ROWS(nombres[])-1,0,1,1))+1),$O1491:$O1510),10),"")</f>
        <v/>
      </c>
      <c r="NK1491" s="42" t="str">
        <f t="array" aca="1" ref="NK1491:NK1510" ca="1">IFERROR(INDEX(nombres[],SMALL(IF(OFFSET(nombres[],0,0,ROWS(nombres[]),1)=NK$1490,ROW(OFFSET(nombres[],0,0,ROWS(nombres[]),1))-ROW(OFFSET(nombres[],0,0,1,1))+1,ROW(OFFSET(nombres[],ROWS(nombres[])-1,0,1,1))+1),$O1491:$O1510),10),"")</f>
        <v/>
      </c>
      <c r="NL1491" s="42" t="str">
        <f t="array" aca="1" ref="NL1491:NL1510" ca="1">IFERROR(INDEX(nombres[],SMALL(IF(OFFSET(nombres[],0,0,ROWS(nombres[]),1)=NL$1490,ROW(OFFSET(nombres[],0,0,ROWS(nombres[]),1))-ROW(OFFSET(nombres[],0,0,1,1))+1,ROW(OFFSET(nombres[],ROWS(nombres[])-1,0,1,1))+1),$O1491:$O1510),10),"")</f>
        <v/>
      </c>
      <c r="NM1491" s="42" t="str">
        <f t="array" aca="1" ref="NM1491:NM1510" ca="1">IFERROR(INDEX(nombres[],SMALL(IF(OFFSET(nombres[],0,0,ROWS(nombres[]),1)=NM$1490,ROW(OFFSET(nombres[],0,0,ROWS(nombres[]),1))-ROW(OFFSET(nombres[],0,0,1,1))+1,ROW(OFFSET(nombres[],ROWS(nombres[])-1,0,1,1))+1),$O1491:$O1510),10),"")</f>
        <v/>
      </c>
      <c r="NN1491" s="42" t="str">
        <f t="array" aca="1" ref="NN1491:NN1510" ca="1">IFERROR(INDEX(nombres[],SMALL(IF(OFFSET(nombres[],0,0,ROWS(nombres[]),1)=NN$1490,ROW(OFFSET(nombres[],0,0,ROWS(nombres[]),1))-ROW(OFFSET(nombres[],0,0,1,1))+1,ROW(OFFSET(nombres[],ROWS(nombres[])-1,0,1,1))+1),$O1491:$O1510),10),"")</f>
        <v/>
      </c>
      <c r="NO1491" s="42" t="str">
        <f t="array" aca="1" ref="NO1491:NO1510" ca="1">IFERROR(INDEX(nombres[],SMALL(IF(OFFSET(nombres[],0,0,ROWS(nombres[]),1)=NO$1490,ROW(OFFSET(nombres[],0,0,ROWS(nombres[]),1))-ROW(OFFSET(nombres[],0,0,1,1))+1,ROW(OFFSET(nombres[],ROWS(nombres[])-1,0,1,1))+1),$O1491:$O1510),10),"")</f>
        <v/>
      </c>
      <c r="NP1491" s="42" t="str">
        <f t="array" aca="1" ref="NP1491:NP1510" ca="1">IFERROR(INDEX(nombres[],SMALL(IF(OFFSET(nombres[],0,0,ROWS(nombres[]),1)=NP$1490,ROW(OFFSET(nombres[],0,0,ROWS(nombres[]),1))-ROW(OFFSET(nombres[],0,0,1,1))+1,ROW(OFFSET(nombres[],ROWS(nombres[])-1,0,1,1))+1),$O1491:$O1510),10),"")</f>
        <v/>
      </c>
      <c r="NQ1491" s="42" t="str">
        <f t="array" aca="1" ref="NQ1491:NQ1510" ca="1">IFERROR(INDEX(nombres[],SMALL(IF(OFFSET(nombres[],0,0,ROWS(nombres[]),1)=NQ$1490,ROW(OFFSET(nombres[],0,0,ROWS(nombres[]),1))-ROW(OFFSET(nombres[],0,0,1,1))+1,ROW(OFFSET(nombres[],ROWS(nombres[])-1,0,1,1))+1),$O1491:$O1510),10),"")</f>
        <v/>
      </c>
      <c r="NR1491" s="42" t="str">
        <f t="array" aca="1" ref="NR1491:NR1510" ca="1">IFERROR(INDEX(nombres[],SMALL(IF(OFFSET(nombres[],0,0,ROWS(nombres[]),1)=NR$1490,ROW(OFFSET(nombres[],0,0,ROWS(nombres[]),1))-ROW(OFFSET(nombres[],0,0,1,1))+1,ROW(OFFSET(nombres[],ROWS(nombres[])-1,0,1,1))+1),$O1491:$O1510),10),"")</f>
        <v/>
      </c>
      <c r="NS1491" s="42" t="str">
        <f t="array" aca="1" ref="NS1491:NS1510" ca="1">IFERROR(INDEX(nombres[],SMALL(IF(OFFSET(nombres[],0,0,ROWS(nombres[]),1)=NS$1490,ROW(OFFSET(nombres[],0,0,ROWS(nombres[]),1))-ROW(OFFSET(nombres[],0,0,1,1))+1,ROW(OFFSET(nombres[],ROWS(nombres[])-1,0,1,1))+1),$O1491:$O1510),10),"")</f>
        <v/>
      </c>
      <c r="NT1491" s="42" t="str">
        <f t="array" aca="1" ref="NT1491:NT1510" ca="1">IFERROR(INDEX(nombres[],SMALL(IF(OFFSET(nombres[],0,0,ROWS(nombres[]),1)=NT$1490,ROW(OFFSET(nombres[],0,0,ROWS(nombres[]),1))-ROW(OFFSET(nombres[],0,0,1,1))+1,ROW(OFFSET(nombres[],ROWS(nombres[])-1,0,1,1))+1),$O1491:$O1510),10),"")</f>
        <v/>
      </c>
      <c r="NU1491" s="42" t="str">
        <f t="array" aca="1" ref="NU1491:NU1510" ca="1">IFERROR(INDEX(nombres[],SMALL(IF(OFFSET(nombres[],0,0,ROWS(nombres[]),1)=NU$1490,ROW(OFFSET(nombres[],0,0,ROWS(nombres[]),1))-ROW(OFFSET(nombres[],0,0,1,1))+1,ROW(OFFSET(nombres[],ROWS(nombres[])-1,0,1,1))+1),$O1491:$O1510),10),"")</f>
        <v/>
      </c>
      <c r="NV1491" s="42" t="str">
        <f t="array" aca="1" ref="NV1491:NV1510" ca="1">IFERROR(INDEX(nombres[],SMALL(IF(OFFSET(nombres[],0,0,ROWS(nombres[]),1)=NV$1490,ROW(OFFSET(nombres[],0,0,ROWS(nombres[]),1))-ROW(OFFSET(nombres[],0,0,1,1))+1,ROW(OFFSET(nombres[],ROWS(nombres[])-1,0,1,1))+1),$O1491:$O1510),10),"")</f>
        <v/>
      </c>
      <c r="NW1491" s="42" t="str">
        <f t="array" aca="1" ref="NW1491:NW1510" ca="1">IFERROR(INDEX(nombres[],SMALL(IF(OFFSET(nombres[],0,0,ROWS(nombres[]),1)=NW$1490,ROW(OFFSET(nombres[],0,0,ROWS(nombres[]),1))-ROW(OFFSET(nombres[],0,0,1,1))+1,ROW(OFFSET(nombres[],ROWS(nombres[])-1,0,1,1))+1),$O1491:$O1510),10),"")</f>
        <v/>
      </c>
      <c r="NX1491" s="42" t="str">
        <f t="array" aca="1" ref="NX1491:NX1510" ca="1">IFERROR(INDEX(nombres[],SMALL(IF(OFFSET(nombres[],0,0,ROWS(nombres[]),1)=NX$1490,ROW(OFFSET(nombres[],0,0,ROWS(nombres[]),1))-ROW(OFFSET(nombres[],0,0,1,1))+1,ROW(OFFSET(nombres[],ROWS(nombres[])-1,0,1,1))+1),$O1491:$O1510),10),"")</f>
        <v/>
      </c>
      <c r="NY1491" s="42" t="str">
        <f t="array" aca="1" ref="NY1491:NY1510" ca="1">IFERROR(INDEX(nombres[],SMALL(IF(OFFSET(nombres[],0,0,ROWS(nombres[]),1)=NY$1490,ROW(OFFSET(nombres[],0,0,ROWS(nombres[]),1))-ROW(OFFSET(nombres[],0,0,1,1))+1,ROW(OFFSET(nombres[],ROWS(nombres[])-1,0,1,1))+1),$O1491:$O1510),10),"")</f>
        <v/>
      </c>
      <c r="NZ1491" s="42" t="str">
        <f t="array" aca="1" ref="NZ1491:NZ1510" ca="1">IFERROR(INDEX(nombres[],SMALL(IF(OFFSET(nombres[],0,0,ROWS(nombres[]),1)=NZ$1490,ROW(OFFSET(nombres[],0,0,ROWS(nombres[]),1))-ROW(OFFSET(nombres[],0,0,1,1))+1,ROW(OFFSET(nombres[],ROWS(nombres[])-1,0,1,1))+1),$O1491:$O1510),10),"")</f>
        <v/>
      </c>
      <c r="OA1491" s="42" t="str">
        <f t="array" aca="1" ref="OA1491:OA1510" ca="1">IFERROR(INDEX(nombres[],SMALL(IF(OFFSET(nombres[],0,0,ROWS(nombres[]),1)=OA$1490,ROW(OFFSET(nombres[],0,0,ROWS(nombres[]),1))-ROW(OFFSET(nombres[],0,0,1,1))+1,ROW(OFFSET(nombres[],ROWS(nombres[])-1,0,1,1))+1),$O1491:$O1510),10),"")</f>
        <v/>
      </c>
      <c r="OB1491" s="42" t="str">
        <f t="array" aca="1" ref="OB1491:OB1510" ca="1">IFERROR(INDEX(nombres[],SMALL(IF(OFFSET(nombres[],0,0,ROWS(nombres[]),1)=OB$1490,ROW(OFFSET(nombres[],0,0,ROWS(nombres[]),1))-ROW(OFFSET(nombres[],0,0,1,1))+1,ROW(OFFSET(nombres[],ROWS(nombres[])-1,0,1,1))+1),$O1491:$O1510),10),"")</f>
        <v/>
      </c>
      <c r="OC1491" s="42" t="str">
        <f t="array" aca="1" ref="OC1491:OC1510" ca="1">IFERROR(INDEX(nombres[],SMALL(IF(OFFSET(nombres[],0,0,ROWS(nombres[]),1)=OC$1490,ROW(OFFSET(nombres[],0,0,ROWS(nombres[]),1))-ROW(OFFSET(nombres[],0,0,1,1))+1,ROW(OFFSET(nombres[],ROWS(nombres[])-1,0,1,1))+1),$O1491:$O1510),10),"")</f>
        <v/>
      </c>
      <c r="OD1491" s="42" t="str">
        <f t="array" aca="1" ref="OD1491:OD1510" ca="1">IFERROR(INDEX(nombres[],SMALL(IF(OFFSET(nombres[],0,0,ROWS(nombres[]),1)=OD$1490,ROW(OFFSET(nombres[],0,0,ROWS(nombres[]),1))-ROW(OFFSET(nombres[],0,0,1,1))+1,ROW(OFFSET(nombres[],ROWS(nombres[])-1,0,1,1))+1),$O1491:$O1510),10),"")</f>
        <v/>
      </c>
      <c r="OE1491" s="42" t="str">
        <f t="array" aca="1" ref="OE1491:OE1510" ca="1">IFERROR(INDEX(nombres[],SMALL(IF(OFFSET(nombres[],0,0,ROWS(nombres[]),1)=OE$1490,ROW(OFFSET(nombres[],0,0,ROWS(nombres[]),1))-ROW(OFFSET(nombres[],0,0,1,1))+1,ROW(OFFSET(nombres[],ROWS(nombres[])-1,0,1,1))+1),$O1491:$O1510),10),"")</f>
        <v/>
      </c>
      <c r="OF1491" s="42" t="str">
        <f t="array" aca="1" ref="OF1491:OF1510" ca="1">IFERROR(INDEX(nombres[],SMALL(IF(OFFSET(nombres[],0,0,ROWS(nombres[]),1)=OF$1490,ROW(OFFSET(nombres[],0,0,ROWS(nombres[]),1))-ROW(OFFSET(nombres[],0,0,1,1))+1,ROW(OFFSET(nombres[],ROWS(nombres[])-1,0,1,1))+1),$O1491:$O1510),10),"")</f>
        <v/>
      </c>
      <c r="OG1491" s="42" t="str">
        <f t="array" aca="1" ref="OG1491:OG1510" ca="1">IFERROR(INDEX(nombres[],SMALL(IF(OFFSET(nombres[],0,0,ROWS(nombres[]),1)=OG$1490,ROW(OFFSET(nombres[],0,0,ROWS(nombres[]),1))-ROW(OFFSET(nombres[],0,0,1,1))+1,ROW(OFFSET(nombres[],ROWS(nombres[])-1,0,1,1))+1),$O1491:$O1510),10),"")</f>
        <v/>
      </c>
      <c r="OH1491" s="42" t="str">
        <f t="array" aca="1" ref="OH1491:OH1510" ca="1">IFERROR(INDEX(nombres[],SMALL(IF(OFFSET(nombres[],0,0,ROWS(nombres[]),1)=OH$1490,ROW(OFFSET(nombres[],0,0,ROWS(nombres[]),1))-ROW(OFFSET(nombres[],0,0,1,1))+1,ROW(OFFSET(nombres[],ROWS(nombres[])-1,0,1,1))+1),$O1491:$O1510),10),"")</f>
        <v/>
      </c>
      <c r="OI1491" s="42" t="str">
        <f t="array" aca="1" ref="OI1491:OI1510" ca="1">IFERROR(INDEX(nombres[],SMALL(IF(OFFSET(nombres[],0,0,ROWS(nombres[]),1)=OI$1490,ROW(OFFSET(nombres[],0,0,ROWS(nombres[]),1))-ROW(OFFSET(nombres[],0,0,1,1))+1,ROW(OFFSET(nombres[],ROWS(nombres[])-1,0,1,1))+1),$O1491:$O1510),10),"")</f>
        <v/>
      </c>
      <c r="OJ1491" s="42" t="str">
        <f t="array" aca="1" ref="OJ1491:OJ1510" ca="1">IFERROR(INDEX(nombres[],SMALL(IF(OFFSET(nombres[],0,0,ROWS(nombres[]),1)=OJ$1490,ROW(OFFSET(nombres[],0,0,ROWS(nombres[]),1))-ROW(OFFSET(nombres[],0,0,1,1))+1,ROW(OFFSET(nombres[],ROWS(nombres[])-1,0,1,1))+1),$O1491:$O1510),10),"")</f>
        <v/>
      </c>
      <c r="OK1491" s="42" t="str">
        <f t="array" aca="1" ref="OK1491:OK1510" ca="1">IFERROR(INDEX(nombres[],SMALL(IF(OFFSET(nombres[],0,0,ROWS(nombres[]),1)=OK$1490,ROW(OFFSET(nombres[],0,0,ROWS(nombres[]),1))-ROW(OFFSET(nombres[],0,0,1,1))+1,ROW(OFFSET(nombres[],ROWS(nombres[])-1,0,1,1))+1),$O1491:$O1510),10),"")</f>
        <v/>
      </c>
      <c r="OL1491" s="42" t="str">
        <f t="array" aca="1" ref="OL1491:OL1510" ca="1">IFERROR(INDEX(nombres[],SMALL(IF(OFFSET(nombres[],0,0,ROWS(nombres[]),1)=OL$1490,ROW(OFFSET(nombres[],0,0,ROWS(nombres[]),1))-ROW(OFFSET(nombres[],0,0,1,1))+1,ROW(OFFSET(nombres[],ROWS(nombres[])-1,0,1,1))+1),$O1491:$O1510),10),"")</f>
        <v/>
      </c>
      <c r="OM1491" s="42" t="str">
        <f t="array" aca="1" ref="OM1491:OM1510" ca="1">IFERROR(INDEX(nombres[],SMALL(IF(OFFSET(nombres[],0,0,ROWS(nombres[]),1)=OM$1490,ROW(OFFSET(nombres[],0,0,ROWS(nombres[]),1))-ROW(OFFSET(nombres[],0,0,1,1))+1,ROW(OFFSET(nombres[],ROWS(nombres[])-1,0,1,1))+1),$O1491:$O1510),10),"")</f>
        <v/>
      </c>
      <c r="ON1491" s="42" t="str">
        <f t="array" aca="1" ref="ON1491:ON1510" ca="1">IFERROR(INDEX(nombres[],SMALL(IF(OFFSET(nombres[],0,0,ROWS(nombres[]),1)=ON$1490,ROW(OFFSET(nombres[],0,0,ROWS(nombres[]),1))-ROW(OFFSET(nombres[],0,0,1,1))+1,ROW(OFFSET(nombres[],ROWS(nombres[])-1,0,1,1))+1),$O1491:$O1510),10),"")</f>
        <v/>
      </c>
      <c r="OO1491" s="42" t="str">
        <f t="array" aca="1" ref="OO1491:OO1510" ca="1">IFERROR(INDEX(nombres[],SMALL(IF(OFFSET(nombres[],0,0,ROWS(nombres[]),1)=OO$1490,ROW(OFFSET(nombres[],0,0,ROWS(nombres[]),1))-ROW(OFFSET(nombres[],0,0,1,1))+1,ROW(OFFSET(nombres[],ROWS(nombres[])-1,0,1,1))+1),$O1491:$O1510),10),"")</f>
        <v/>
      </c>
      <c r="OP1491" s="42" t="str">
        <f t="array" aca="1" ref="OP1491:OP1510" ca="1">IFERROR(INDEX(nombres[],SMALL(IF(OFFSET(nombres[],0,0,ROWS(nombres[]),1)=OP$1490,ROW(OFFSET(nombres[],0,0,ROWS(nombres[]),1))-ROW(OFFSET(nombres[],0,0,1,1))+1,ROW(OFFSET(nombres[],ROWS(nombres[])-1,0,1,1))+1),$O1491:$O1510),10),"")</f>
        <v/>
      </c>
      <c r="OQ1491" s="42" t="str">
        <f t="array" aca="1" ref="OQ1491:OQ1510" ca="1">IFERROR(INDEX(nombres[],SMALL(IF(OFFSET(nombres[],0,0,ROWS(nombres[]),1)=OQ$1490,ROW(OFFSET(nombres[],0,0,ROWS(nombres[]),1))-ROW(OFFSET(nombres[],0,0,1,1))+1,ROW(OFFSET(nombres[],ROWS(nombres[])-1,0,1,1))+1),$O1491:$O1510),10),"")</f>
        <v/>
      </c>
      <c r="OR1491" s="42" t="str">
        <f t="array" aca="1" ref="OR1491:OR1510" ca="1">IFERROR(INDEX(nombres[],SMALL(IF(OFFSET(nombres[],0,0,ROWS(nombres[]),1)=OR$1490,ROW(OFFSET(nombres[],0,0,ROWS(nombres[]),1))-ROW(OFFSET(nombres[],0,0,1,1))+1,ROW(OFFSET(nombres[],ROWS(nombres[])-1,0,1,1))+1),$O1491:$O1510),10),"")</f>
        <v/>
      </c>
      <c r="OS1491" s="42" t="str">
        <f t="array" aca="1" ref="OS1491:OS1510" ca="1">IFERROR(INDEX(nombres[],SMALL(IF(OFFSET(nombres[],0,0,ROWS(nombres[]),1)=OS$1490,ROW(OFFSET(nombres[],0,0,ROWS(nombres[]),1))-ROW(OFFSET(nombres[],0,0,1,1))+1,ROW(OFFSET(nombres[],ROWS(nombres[])-1,0,1,1))+1),$O1491:$O1510),10),"")</f>
        <v/>
      </c>
      <c r="OT1491" s="42" t="str">
        <f t="array" aca="1" ref="OT1491:OT1510" ca="1">IFERROR(INDEX(nombres[],SMALL(IF(OFFSET(nombres[],0,0,ROWS(nombres[]),1)=OT$1490,ROW(OFFSET(nombres[],0,0,ROWS(nombres[]),1))-ROW(OFFSET(nombres[],0,0,1,1))+1,ROW(OFFSET(nombres[],ROWS(nombres[])-1,0,1,1))+1),$O1491:$O1510),10),"")</f>
        <v/>
      </c>
      <c r="OU1491" s="42" t="str">
        <f t="array" aca="1" ref="OU1491:OU1510" ca="1">IFERROR(INDEX(nombres[],SMALL(IF(OFFSET(nombres[],0,0,ROWS(nombres[]),1)=OU$1490,ROW(OFFSET(nombres[],0,0,ROWS(nombres[]),1))-ROW(OFFSET(nombres[],0,0,1,1))+1,ROW(OFFSET(nombres[],ROWS(nombres[])-1,0,1,1))+1),$O1491:$O1510),10),"")</f>
        <v/>
      </c>
      <c r="OV1491" s="42" t="str">
        <f t="array" aca="1" ref="OV1491:OV1510" ca="1">IFERROR(INDEX(nombres[],SMALL(IF(OFFSET(nombres[],0,0,ROWS(nombres[]),1)=OV$1490,ROW(OFFSET(nombres[],0,0,ROWS(nombres[]),1))-ROW(OFFSET(nombres[],0,0,1,1))+1,ROW(OFFSET(nombres[],ROWS(nombres[])-1,0,1,1))+1),$O1491:$O1510),10),"")</f>
        <v/>
      </c>
      <c r="OW1491" s="42" t="str">
        <f t="array" aca="1" ref="OW1491:OW1510" ca="1">IFERROR(INDEX(nombres[],SMALL(IF(OFFSET(nombres[],0,0,ROWS(nombres[]),1)=OW$1490,ROW(OFFSET(nombres[],0,0,ROWS(nombres[]),1))-ROW(OFFSET(nombres[],0,0,1,1))+1,ROW(OFFSET(nombres[],ROWS(nombres[])-1,0,1,1))+1),$O1491:$O1510),10),"")</f>
        <v/>
      </c>
      <c r="OX1491" s="42" t="str">
        <f t="array" aca="1" ref="OX1491:OX1510" ca="1">IFERROR(INDEX(nombres[],SMALL(IF(OFFSET(nombres[],0,0,ROWS(nombres[]),1)=OX$1490,ROW(OFFSET(nombres[],0,0,ROWS(nombres[]),1))-ROW(OFFSET(nombres[],0,0,1,1))+1,ROW(OFFSET(nombres[],ROWS(nombres[])-1,0,1,1))+1),$O1491:$O1510),10),"")</f>
        <v/>
      </c>
      <c r="OY1491" s="42" t="str">
        <f t="array" aca="1" ref="OY1491:OY1510" ca="1">IFERROR(INDEX(nombres[],SMALL(IF(OFFSET(nombres[],0,0,ROWS(nombres[]),1)=OY$1490,ROW(OFFSET(nombres[],0,0,ROWS(nombres[]),1))-ROW(OFFSET(nombres[],0,0,1,1))+1,ROW(OFFSET(nombres[],ROWS(nombres[])-1,0,1,1))+1),$O1491:$O1510),10),"")</f>
        <v/>
      </c>
      <c r="OZ1491" s="42" t="str">
        <f t="array" aca="1" ref="OZ1491:OZ1510" ca="1">IFERROR(INDEX(nombres[],SMALL(IF(OFFSET(nombres[],0,0,ROWS(nombres[]),1)=OZ$1490,ROW(OFFSET(nombres[],0,0,ROWS(nombres[]),1))-ROW(OFFSET(nombres[],0,0,1,1))+1,ROW(OFFSET(nombres[],ROWS(nombres[])-1,0,1,1))+1),$O1491:$O1510),10),"")</f>
        <v/>
      </c>
      <c r="PA1491" s="42" t="str">
        <f t="array" aca="1" ref="PA1491:PA1510" ca="1">IFERROR(INDEX(nombres[],SMALL(IF(OFFSET(nombres[],0,0,ROWS(nombres[]),1)=PA$1490,ROW(OFFSET(nombres[],0,0,ROWS(nombres[]),1))-ROW(OFFSET(nombres[],0,0,1,1))+1,ROW(OFFSET(nombres[],ROWS(nombres[])-1,0,1,1))+1),$O1491:$O1510),10),"")</f>
        <v/>
      </c>
      <c r="PB1491" s="42" t="str">
        <f t="array" aca="1" ref="PB1491:PB1510" ca="1">IFERROR(INDEX(nombres[],SMALL(IF(OFFSET(nombres[],0,0,ROWS(nombres[]),1)=PB$1490,ROW(OFFSET(nombres[],0,0,ROWS(nombres[]),1))-ROW(OFFSET(nombres[],0,0,1,1))+1,ROW(OFFSET(nombres[],ROWS(nombres[])-1,0,1,1))+1),$O1491:$O1510),10),"")</f>
        <v/>
      </c>
      <c r="PC1491" s="42" t="str">
        <f t="array" aca="1" ref="PC1491:PC1510" ca="1">IFERROR(INDEX(nombres[],SMALL(IF(OFFSET(nombres[],0,0,ROWS(nombres[]),1)=PC$1490,ROW(OFFSET(nombres[],0,0,ROWS(nombres[]),1))-ROW(OFFSET(nombres[],0,0,1,1))+1,ROW(OFFSET(nombres[],ROWS(nombres[])-1,0,1,1))+1),$O1491:$O1510),10),"")</f>
        <v/>
      </c>
      <c r="PD1491" s="42" t="str">
        <f t="array" aca="1" ref="PD1491:PD1510" ca="1">IFERROR(INDEX(nombres[],SMALL(IF(OFFSET(nombres[],0,0,ROWS(nombres[]),1)=PD$1490,ROW(OFFSET(nombres[],0,0,ROWS(nombres[]),1))-ROW(OFFSET(nombres[],0,0,1,1))+1,ROW(OFFSET(nombres[],ROWS(nombres[])-1,0,1,1))+1),$O1491:$O1510),10),"")</f>
        <v/>
      </c>
      <c r="PE1491" s="42" t="str">
        <f t="array" aca="1" ref="PE1491:PE1510" ca="1">IFERROR(INDEX(nombres[],SMALL(IF(OFFSET(nombres[],0,0,ROWS(nombres[]),1)=PE$1490,ROW(OFFSET(nombres[],0,0,ROWS(nombres[]),1))-ROW(OFFSET(nombres[],0,0,1,1))+1,ROW(OFFSET(nombres[],ROWS(nombres[])-1,0,1,1))+1),$O1491:$O1510),10),"")</f>
        <v/>
      </c>
      <c r="PF1491" s="42" t="str">
        <f t="array" aca="1" ref="PF1491:PF1510" ca="1">IFERROR(INDEX(nombres[],SMALL(IF(OFFSET(nombres[],0,0,ROWS(nombres[]),1)=PF$1490,ROW(OFFSET(nombres[],0,0,ROWS(nombres[]),1))-ROW(OFFSET(nombres[],0,0,1,1))+1,ROW(OFFSET(nombres[],ROWS(nombres[])-1,0,1,1))+1),$O1491:$O1510),10),"")</f>
        <v/>
      </c>
      <c r="PG1491" s="42" t="str">
        <f t="array" aca="1" ref="PG1491:PG1510" ca="1">IFERROR(INDEX(nombres[],SMALL(IF(OFFSET(nombres[],0,0,ROWS(nombres[]),1)=PG$1490,ROW(OFFSET(nombres[],0,0,ROWS(nombres[]),1))-ROW(OFFSET(nombres[],0,0,1,1))+1,ROW(OFFSET(nombres[],ROWS(nombres[])-1,0,1,1))+1),$O1491:$O1510),10),"")</f>
        <v/>
      </c>
      <c r="PH1491" s="42" t="str">
        <f t="array" aca="1" ref="PH1491:PH1510" ca="1">IFERROR(INDEX(nombres[],SMALL(IF(OFFSET(nombres[],0,0,ROWS(nombres[]),1)=PH$1490,ROW(OFFSET(nombres[],0,0,ROWS(nombres[]),1))-ROW(OFFSET(nombres[],0,0,1,1))+1,ROW(OFFSET(nombres[],ROWS(nombres[])-1,0,1,1))+1),$O1491:$O1510),10),"")</f>
        <v/>
      </c>
      <c r="PI1491" s="42" t="str">
        <f t="array" aca="1" ref="PI1491:PI1510" ca="1">IFERROR(INDEX(nombres[],SMALL(IF(OFFSET(nombres[],0,0,ROWS(nombres[]),1)=PI$1490,ROW(OFFSET(nombres[],0,0,ROWS(nombres[]),1))-ROW(OFFSET(nombres[],0,0,1,1))+1,ROW(OFFSET(nombres[],ROWS(nombres[])-1,0,1,1))+1),$O1491:$O1510),10),"")</f>
        <v/>
      </c>
      <c r="PJ1491" s="42" t="str">
        <f t="array" aca="1" ref="PJ1491:PJ1510" ca="1">IFERROR(INDEX(nombres[],SMALL(IF(OFFSET(nombres[],0,0,ROWS(nombres[]),1)=PJ$1490,ROW(OFFSET(nombres[],0,0,ROWS(nombres[]),1))-ROW(OFFSET(nombres[],0,0,1,1))+1,ROW(OFFSET(nombres[],ROWS(nombres[])-1,0,1,1))+1),$O1491:$O1510),10),"")</f>
        <v/>
      </c>
      <c r="PK1491" s="42" t="str">
        <f t="array" aca="1" ref="PK1491:PK1510" ca="1">IFERROR(INDEX(nombres[],SMALL(IF(OFFSET(nombres[],0,0,ROWS(nombres[]),1)=PK$1490,ROW(OFFSET(nombres[],0,0,ROWS(nombres[]),1))-ROW(OFFSET(nombres[],0,0,1,1))+1,ROW(OFFSET(nombres[],ROWS(nombres[])-1,0,1,1))+1),$O1491:$O1510),10),"")</f>
        <v/>
      </c>
      <c r="PL1491" s="42" t="str">
        <f t="array" aca="1" ref="PL1491:PL1510" ca="1">IFERROR(INDEX(nombres[],SMALL(IF(OFFSET(nombres[],0,0,ROWS(nombres[]),1)=PL$1490,ROW(OFFSET(nombres[],0,0,ROWS(nombres[]),1))-ROW(OFFSET(nombres[],0,0,1,1))+1,ROW(OFFSET(nombres[],ROWS(nombres[])-1,0,1,1))+1),$O1491:$O1510),10),"")</f>
        <v/>
      </c>
      <c r="PM1491" s="42" t="str">
        <f t="array" aca="1" ref="PM1491:PM1510" ca="1">IFERROR(INDEX(nombres[],SMALL(IF(OFFSET(nombres[],0,0,ROWS(nombres[]),1)=PM$1490,ROW(OFFSET(nombres[],0,0,ROWS(nombres[]),1))-ROW(OFFSET(nombres[],0,0,1,1))+1,ROW(OFFSET(nombres[],ROWS(nombres[])-1,0,1,1))+1),$O1491:$O1510),10),"")</f>
        <v/>
      </c>
      <c r="PN1491" s="42" t="str">
        <f t="array" aca="1" ref="PN1491:PN1510" ca="1">IFERROR(INDEX(nombres[],SMALL(IF(OFFSET(nombres[],0,0,ROWS(nombres[]),1)=PN$1490,ROW(OFFSET(nombres[],0,0,ROWS(nombres[]),1))-ROW(OFFSET(nombres[],0,0,1,1))+1,ROW(OFFSET(nombres[],ROWS(nombres[])-1,0,1,1))+1),$O1491:$O1510),10),"")</f>
        <v/>
      </c>
      <c r="PO1491" s="42" t="str">
        <f t="array" aca="1" ref="PO1491:PO1510" ca="1">IFERROR(INDEX(nombres[],SMALL(IF(OFFSET(nombres[],0,0,ROWS(nombres[]),1)=PO$1490,ROW(OFFSET(nombres[],0,0,ROWS(nombres[]),1))-ROW(OFFSET(nombres[],0,0,1,1))+1,ROW(OFFSET(nombres[],ROWS(nombres[])-1,0,1,1))+1),$O1491:$O1510),10),"")</f>
        <v/>
      </c>
      <c r="PP1491" s="42" t="str">
        <f t="array" aca="1" ref="PP1491:PP1510" ca="1">IFERROR(INDEX(nombres[],SMALL(IF(OFFSET(nombres[],0,0,ROWS(nombres[]),1)=PP$1490,ROW(OFFSET(nombres[],0,0,ROWS(nombres[]),1))-ROW(OFFSET(nombres[],0,0,1,1))+1,ROW(OFFSET(nombres[],ROWS(nombres[])-1,0,1,1))+1),$O1491:$O1510),10),"")</f>
        <v/>
      </c>
      <c r="PQ1491" s="42" t="str">
        <f t="array" aca="1" ref="PQ1491:PQ1510" ca="1">IFERROR(INDEX(nombres[],SMALL(IF(OFFSET(nombres[],0,0,ROWS(nombres[]),1)=PQ$1490,ROW(OFFSET(nombres[],0,0,ROWS(nombres[]),1))-ROW(OFFSET(nombres[],0,0,1,1))+1,ROW(OFFSET(nombres[],ROWS(nombres[])-1,0,1,1))+1),$O1491:$O1510),10),"")</f>
        <v/>
      </c>
      <c r="PR1491" s="42" t="str">
        <f t="array" aca="1" ref="PR1491:PR1510" ca="1">IFERROR(INDEX(nombres[],SMALL(IF(OFFSET(nombres[],0,0,ROWS(nombres[]),1)=PR$1490,ROW(OFFSET(nombres[],0,0,ROWS(nombres[]),1))-ROW(OFFSET(nombres[],0,0,1,1))+1,ROW(OFFSET(nombres[],ROWS(nombres[])-1,0,1,1))+1),$O1491:$O1510),10),"")</f>
        <v/>
      </c>
      <c r="PS1491" s="42" t="str">
        <f t="array" aca="1" ref="PS1491:PS1510" ca="1">IFERROR(INDEX(nombres[],SMALL(IF(OFFSET(nombres[],0,0,ROWS(nombres[]),1)=PS$1490,ROW(OFFSET(nombres[],0,0,ROWS(nombres[]),1))-ROW(OFFSET(nombres[],0,0,1,1))+1,ROW(OFFSET(nombres[],ROWS(nombres[])-1,0,1,1))+1),$O1491:$O1510),10),"")</f>
        <v/>
      </c>
      <c r="PT1491" s="42" t="str">
        <f t="array" aca="1" ref="PT1491:PT1510" ca="1">IFERROR(INDEX(nombres[],SMALL(IF(OFFSET(nombres[],0,0,ROWS(nombres[]),1)=PT$1490,ROW(OFFSET(nombres[],0,0,ROWS(nombres[]),1))-ROW(OFFSET(nombres[],0,0,1,1))+1,ROW(OFFSET(nombres[],ROWS(nombres[])-1,0,1,1))+1),$O1491:$O1510),10),"")</f>
        <v/>
      </c>
      <c r="PU1491" s="42" t="str">
        <f t="array" aca="1" ref="PU1491:PU1510" ca="1">IFERROR(INDEX(nombres[],SMALL(IF(OFFSET(nombres[],0,0,ROWS(nombres[]),1)=PU$1490,ROW(OFFSET(nombres[],0,0,ROWS(nombres[]),1))-ROW(OFFSET(nombres[],0,0,1,1))+1,ROW(OFFSET(nombres[],ROWS(nombres[])-1,0,1,1))+1),$O1491:$O1510),10),"")</f>
        <v/>
      </c>
      <c r="PV1491" s="42" t="str">
        <f t="array" aca="1" ref="PV1491:PV1510" ca="1">IFERROR(INDEX(nombres[],SMALL(IF(OFFSET(nombres[],0,0,ROWS(nombres[]),1)=PV$1490,ROW(OFFSET(nombres[],0,0,ROWS(nombres[]),1))-ROW(OFFSET(nombres[],0,0,1,1))+1,ROW(OFFSET(nombres[],ROWS(nombres[])-1,0,1,1))+1),$O1491:$O1510),10),"")</f>
        <v/>
      </c>
      <c r="PW1491" s="42" t="str">
        <f t="array" aca="1" ref="PW1491:PW1510" ca="1">IFERROR(INDEX(nombres[],SMALL(IF(OFFSET(nombres[],0,0,ROWS(nombres[]),1)=PW$1490,ROW(OFFSET(nombres[],0,0,ROWS(nombres[]),1))-ROW(OFFSET(nombres[],0,0,1,1))+1,ROW(OFFSET(nombres[],ROWS(nombres[])-1,0,1,1))+1),$O1491:$O1510),10),"")</f>
        <v/>
      </c>
      <c r="PX1491" s="42" t="str">
        <f t="array" aca="1" ref="PX1491:PX1510" ca="1">IFERROR(INDEX(nombres[],SMALL(IF(OFFSET(nombres[],0,0,ROWS(nombres[]),1)=PX$1490,ROW(OFFSET(nombres[],0,0,ROWS(nombres[]),1))-ROW(OFFSET(nombres[],0,0,1,1))+1,ROW(OFFSET(nombres[],ROWS(nombres[])-1,0,1,1))+1),$O1491:$O1510),10),"")</f>
        <v/>
      </c>
      <c r="PY1491" s="42" t="str">
        <f t="array" aca="1" ref="PY1491:PY1510" ca="1">IFERROR(INDEX(nombres[],SMALL(IF(OFFSET(nombres[],0,0,ROWS(nombres[]),1)=PY$1490,ROW(OFFSET(nombres[],0,0,ROWS(nombres[]),1))-ROW(OFFSET(nombres[],0,0,1,1))+1,ROW(OFFSET(nombres[],ROWS(nombres[])-1,0,1,1))+1),$O1491:$O1510),10),"")</f>
        <v/>
      </c>
      <c r="PZ1491" s="42" t="str">
        <f t="array" aca="1" ref="PZ1491:PZ1510" ca="1">IFERROR(INDEX(nombres[],SMALL(IF(OFFSET(nombres[],0,0,ROWS(nombres[]),1)=PZ$1490,ROW(OFFSET(nombres[],0,0,ROWS(nombres[]),1))-ROW(OFFSET(nombres[],0,0,1,1))+1,ROW(OFFSET(nombres[],ROWS(nombres[])-1,0,1,1))+1),$O1491:$O1510),10),"")</f>
        <v/>
      </c>
      <c r="QA1491" s="42" t="str">
        <f t="array" aca="1" ref="QA1491:QA1510" ca="1">IFERROR(INDEX(nombres[],SMALL(IF(OFFSET(nombres[],0,0,ROWS(nombres[]),1)=QA$1490,ROW(OFFSET(nombres[],0,0,ROWS(nombres[]),1))-ROW(OFFSET(nombres[],0,0,1,1))+1,ROW(OFFSET(nombres[],ROWS(nombres[])-1,0,1,1))+1),$O1491:$O1510),10),"")</f>
        <v/>
      </c>
      <c r="QB1491" s="42" t="str">
        <f t="array" aca="1" ref="QB1491:QB1510" ca="1">IFERROR(INDEX(nombres[],SMALL(IF(OFFSET(nombres[],0,0,ROWS(nombres[]),1)=QB$1490,ROW(OFFSET(nombres[],0,0,ROWS(nombres[]),1))-ROW(OFFSET(nombres[],0,0,1,1))+1,ROW(OFFSET(nombres[],ROWS(nombres[])-1,0,1,1))+1),$O1491:$O1510),10),"")</f>
        <v/>
      </c>
      <c r="QC1491" s="42" t="str">
        <f t="array" aca="1" ref="QC1491:QC1510" ca="1">IFERROR(INDEX(nombres[],SMALL(IF(OFFSET(nombres[],0,0,ROWS(nombres[]),1)=QC$1490,ROW(OFFSET(nombres[],0,0,ROWS(nombres[]),1))-ROW(OFFSET(nombres[],0,0,1,1))+1,ROW(OFFSET(nombres[],ROWS(nombres[])-1,0,1,1))+1),$O1491:$O1510),10),"")</f>
        <v/>
      </c>
      <c r="QD1491" s="42" t="str">
        <f t="array" aca="1" ref="QD1491:QD1510" ca="1">IFERROR(INDEX(nombres[],SMALL(IF(OFFSET(nombres[],0,0,ROWS(nombres[]),1)=QD$1490,ROW(OFFSET(nombres[],0,0,ROWS(nombres[]),1))-ROW(OFFSET(nombres[],0,0,1,1))+1,ROW(OFFSET(nombres[],ROWS(nombres[])-1,0,1,1))+1),$O1491:$O1510),10),"")</f>
        <v/>
      </c>
      <c r="QE1491" s="42" t="str">
        <f t="array" aca="1" ref="QE1491:QE1510" ca="1">IFERROR(INDEX(nombres[],SMALL(IF(OFFSET(nombres[],0,0,ROWS(nombres[]),1)=QE$1490,ROW(OFFSET(nombres[],0,0,ROWS(nombres[]),1))-ROW(OFFSET(nombres[],0,0,1,1))+1,ROW(OFFSET(nombres[],ROWS(nombres[])-1,0,1,1))+1),$O1491:$O1510),10),"")</f>
        <v/>
      </c>
      <c r="QF1491" s="42" t="str">
        <f t="array" aca="1" ref="QF1491:QF1510" ca="1">IFERROR(INDEX(nombres[],SMALL(IF(OFFSET(nombres[],0,0,ROWS(nombres[]),1)=QF$1490,ROW(OFFSET(nombres[],0,0,ROWS(nombres[]),1))-ROW(OFFSET(nombres[],0,0,1,1))+1,ROW(OFFSET(nombres[],ROWS(nombres[])-1,0,1,1))+1),$O1491:$O1510),10),"")</f>
        <v/>
      </c>
      <c r="QG1491" s="42" t="str">
        <f t="array" aca="1" ref="QG1491:QG1510" ca="1">IFERROR(INDEX(nombres[],SMALL(IF(OFFSET(nombres[],0,0,ROWS(nombres[]),1)=QG$1490,ROW(OFFSET(nombres[],0,0,ROWS(nombres[]),1))-ROW(OFFSET(nombres[],0,0,1,1))+1,ROW(OFFSET(nombres[],ROWS(nombres[])-1,0,1,1))+1),$O1491:$O1510),10),"")</f>
        <v/>
      </c>
      <c r="QH1491" s="42" t="str">
        <f t="array" aca="1" ref="QH1491:QH1510" ca="1">IFERROR(INDEX(nombres[],SMALL(IF(OFFSET(nombres[],0,0,ROWS(nombres[]),1)=QH$1490,ROW(OFFSET(nombres[],0,0,ROWS(nombres[]),1))-ROW(OFFSET(nombres[],0,0,1,1))+1,ROW(OFFSET(nombres[],ROWS(nombres[])-1,0,1,1))+1),$O1491:$O1510),10),"")</f>
        <v/>
      </c>
      <c r="QI1491" s="42" t="str">
        <f t="array" aca="1" ref="QI1491:QI1510" ca="1">IFERROR(INDEX(nombres[],SMALL(IF(OFFSET(nombres[],0,0,ROWS(nombres[]),1)=QI$1490,ROW(OFFSET(nombres[],0,0,ROWS(nombres[]),1))-ROW(OFFSET(nombres[],0,0,1,1))+1,ROW(OFFSET(nombres[],ROWS(nombres[])-1,0,1,1))+1),$O1491:$O1510),10),"")</f>
        <v/>
      </c>
      <c r="QJ1491" s="42" t="str">
        <f t="array" aca="1" ref="QJ1491:QJ1510" ca="1">IFERROR(INDEX(nombres[],SMALL(IF(OFFSET(nombres[],0,0,ROWS(nombres[]),1)=QJ$1490,ROW(OFFSET(nombres[],0,0,ROWS(nombres[]),1))-ROW(OFFSET(nombres[],0,0,1,1))+1,ROW(OFFSET(nombres[],ROWS(nombres[])-1,0,1,1))+1),$O1491:$O1510),10),"")</f>
        <v/>
      </c>
      <c r="QK1491" s="42" t="str">
        <f t="array" aca="1" ref="QK1491:QK1510" ca="1">IFERROR(INDEX(nombres[],SMALL(IF(OFFSET(nombres[],0,0,ROWS(nombres[]),1)=QK$1490,ROW(OFFSET(nombres[],0,0,ROWS(nombres[]),1))-ROW(OFFSET(nombres[],0,0,1,1))+1,ROW(OFFSET(nombres[],ROWS(nombres[])-1,0,1,1))+1),$O1491:$O1510),10),"")</f>
        <v/>
      </c>
      <c r="QL1491" s="42" t="str">
        <f t="array" aca="1" ref="QL1491:QL1510" ca="1">IFERROR(INDEX(nombres[],SMALL(IF(OFFSET(nombres[],0,0,ROWS(nombres[]),1)=QL$1490,ROW(OFFSET(nombres[],0,0,ROWS(nombres[]),1))-ROW(OFFSET(nombres[],0,0,1,1))+1,ROW(OFFSET(nombres[],ROWS(nombres[])-1,0,1,1))+1),$O1491:$O1510),10),"")</f>
        <v/>
      </c>
      <c r="QM1491" s="42" t="str">
        <f t="array" aca="1" ref="QM1491:QM1510" ca="1">IFERROR(INDEX(nombres[],SMALL(IF(OFFSET(nombres[],0,0,ROWS(nombres[]),1)=QM$1490,ROW(OFFSET(nombres[],0,0,ROWS(nombres[]),1))-ROW(OFFSET(nombres[],0,0,1,1))+1,ROW(OFFSET(nombres[],ROWS(nombres[])-1,0,1,1))+1),$O1491:$O1510),10),"")</f>
        <v/>
      </c>
      <c r="QN1491" s="42" t="str">
        <f t="array" aca="1" ref="QN1491:QN1510" ca="1">IFERROR(INDEX(nombres[],SMALL(IF(OFFSET(nombres[],0,0,ROWS(nombres[]),1)=QN$1490,ROW(OFFSET(nombres[],0,0,ROWS(nombres[]),1))-ROW(OFFSET(nombres[],0,0,1,1))+1,ROW(OFFSET(nombres[],ROWS(nombres[])-1,0,1,1))+1),$O1491:$O1510),10),"")</f>
        <v/>
      </c>
      <c r="QO1491" s="42" t="str">
        <f t="array" aca="1" ref="QO1491:QO1510" ca="1">IFERROR(INDEX(nombres[],SMALL(IF(OFFSET(nombres[],0,0,ROWS(nombres[]),1)=QO$1490,ROW(OFFSET(nombres[],0,0,ROWS(nombres[]),1))-ROW(OFFSET(nombres[],0,0,1,1))+1,ROW(OFFSET(nombres[],ROWS(nombres[])-1,0,1,1))+1),$O1491:$O1510),10),"")</f>
        <v/>
      </c>
      <c r="QP1491" s="42" t="str">
        <f t="array" aca="1" ref="QP1491:QP1510" ca="1">IFERROR(INDEX(nombres[],SMALL(IF(OFFSET(nombres[],0,0,ROWS(nombres[]),1)=QP$1490,ROW(OFFSET(nombres[],0,0,ROWS(nombres[]),1))-ROW(OFFSET(nombres[],0,0,1,1))+1,ROW(OFFSET(nombres[],ROWS(nombres[])-1,0,1,1))+1),$O1491:$O1510),10),"")</f>
        <v/>
      </c>
      <c r="QQ1491" s="42" t="str">
        <f t="array" aca="1" ref="QQ1491:QQ1510" ca="1">IFERROR(INDEX(nombres[],SMALL(IF(OFFSET(nombres[],0,0,ROWS(nombres[]),1)=QQ$1490,ROW(OFFSET(nombres[],0,0,ROWS(nombres[]),1))-ROW(OFFSET(nombres[],0,0,1,1))+1,ROW(OFFSET(nombres[],ROWS(nombres[])-1,0,1,1))+1),$O1491:$O1510),10),"")</f>
        <v/>
      </c>
      <c r="QR1491" s="42" t="str">
        <f t="array" aca="1" ref="QR1491:QR1510" ca="1">IFERROR(INDEX(nombres[],SMALL(IF(OFFSET(nombres[],0,0,ROWS(nombres[]),1)=QR$1490,ROW(OFFSET(nombres[],0,0,ROWS(nombres[]),1))-ROW(OFFSET(nombres[],0,0,1,1))+1,ROW(OFFSET(nombres[],ROWS(nombres[])-1,0,1,1))+1),$O1491:$O1510),10),"")</f>
        <v/>
      </c>
      <c r="QS1491" s="42" t="str">
        <f t="array" aca="1" ref="QS1491:QS1510" ca="1">IFERROR(INDEX(nombres[],SMALL(IF(OFFSET(nombres[],0,0,ROWS(nombres[]),1)=QS$1490,ROW(OFFSET(nombres[],0,0,ROWS(nombres[]),1))-ROW(OFFSET(nombres[],0,0,1,1))+1,ROW(OFFSET(nombres[],ROWS(nombres[])-1,0,1,1))+1),$O1491:$O1510),10),"")</f>
        <v/>
      </c>
      <c r="QT1491" s="42" t="str">
        <f t="array" aca="1" ref="QT1491:QT1510" ca="1">IFERROR(INDEX(nombres[],SMALL(IF(OFFSET(nombres[],0,0,ROWS(nombres[]),1)=QT$1490,ROW(OFFSET(nombres[],0,0,ROWS(nombres[]),1))-ROW(OFFSET(nombres[],0,0,1,1))+1,ROW(OFFSET(nombres[],ROWS(nombres[])-1,0,1,1))+1),$O1491:$O1510),10),"")</f>
        <v/>
      </c>
      <c r="QU1491" s="42" t="str">
        <f t="array" aca="1" ref="QU1491:QU1510" ca="1">IFERROR(INDEX(nombres[],SMALL(IF(OFFSET(nombres[],0,0,ROWS(nombres[]),1)=QU$1490,ROW(OFFSET(nombres[],0,0,ROWS(nombres[]),1))-ROW(OFFSET(nombres[],0,0,1,1))+1,ROW(OFFSET(nombres[],ROWS(nombres[])-1,0,1,1))+1),$O1491:$O1510),10),"")</f>
        <v/>
      </c>
      <c r="QV1491" s="42" t="str">
        <f t="array" aca="1" ref="QV1491:QV1510" ca="1">IFERROR(INDEX(nombres[],SMALL(IF(OFFSET(nombres[],0,0,ROWS(nombres[]),1)=QV$1490,ROW(OFFSET(nombres[],0,0,ROWS(nombres[]),1))-ROW(OFFSET(nombres[],0,0,1,1))+1,ROW(OFFSET(nombres[],ROWS(nombres[])-1,0,1,1))+1),$O1491:$O1510),10),"")</f>
        <v/>
      </c>
      <c r="QW1491" s="42" t="str">
        <f t="array" aca="1" ref="QW1491:QW1510" ca="1">IFERROR(INDEX(nombres[],SMALL(IF(OFFSET(nombres[],0,0,ROWS(nombres[]),1)=QW$1490,ROW(OFFSET(nombres[],0,0,ROWS(nombres[]),1))-ROW(OFFSET(nombres[],0,0,1,1))+1,ROW(OFFSET(nombres[],ROWS(nombres[])-1,0,1,1))+1),$O1491:$O1510),10),"")</f>
        <v/>
      </c>
      <c r="QX1491" s="42" t="str">
        <f t="array" aca="1" ref="QX1491:QX1510" ca="1">IFERROR(INDEX(nombres[],SMALL(IF(OFFSET(nombres[],0,0,ROWS(nombres[]),1)=QX$1490,ROW(OFFSET(nombres[],0,0,ROWS(nombres[]),1))-ROW(OFFSET(nombres[],0,0,1,1))+1,ROW(OFFSET(nombres[],ROWS(nombres[])-1,0,1,1))+1),$O1491:$O1510),10),"")</f>
        <v/>
      </c>
      <c r="QY1491" s="42" t="str">
        <f t="array" aca="1" ref="QY1491:QY1510" ca="1">IFERROR(INDEX(nombres[],SMALL(IF(OFFSET(nombres[],0,0,ROWS(nombres[]),1)=QY$1490,ROW(OFFSET(nombres[],0,0,ROWS(nombres[]),1))-ROW(OFFSET(nombres[],0,0,1,1))+1,ROW(OFFSET(nombres[],ROWS(nombres[])-1,0,1,1))+1),$O1491:$O1510),10),"")</f>
        <v/>
      </c>
      <c r="QZ1491" s="42" t="str">
        <f t="array" aca="1" ref="QZ1491:QZ1510" ca="1">IFERROR(INDEX(nombres[],SMALL(IF(OFFSET(nombres[],0,0,ROWS(nombres[]),1)=QZ$1490,ROW(OFFSET(nombres[],0,0,ROWS(nombres[]),1))-ROW(OFFSET(nombres[],0,0,1,1))+1,ROW(OFFSET(nombres[],ROWS(nombres[])-1,0,1,1))+1),$O1491:$O1510),10),"")</f>
        <v/>
      </c>
      <c r="RA1491" s="42" t="str">
        <f t="array" aca="1" ref="RA1491:RA1510" ca="1">IFERROR(INDEX(nombres[],SMALL(IF(OFFSET(nombres[],0,0,ROWS(nombres[]),1)=RA$1490,ROW(OFFSET(nombres[],0,0,ROWS(nombres[]),1))-ROW(OFFSET(nombres[],0,0,1,1))+1,ROW(OFFSET(nombres[],ROWS(nombres[])-1,0,1,1))+1),$O1491:$O1510),10),"")</f>
        <v/>
      </c>
      <c r="RB1491" s="42" t="str">
        <f t="array" aca="1" ref="RB1491:RB1510" ca="1">IFERROR(INDEX(nombres[],SMALL(IF(OFFSET(nombres[],0,0,ROWS(nombres[]),1)=RB$1490,ROW(OFFSET(nombres[],0,0,ROWS(nombres[]),1))-ROW(OFFSET(nombres[],0,0,1,1))+1,ROW(OFFSET(nombres[],ROWS(nombres[])-1,0,1,1))+1),$O1491:$O1510),10),"")</f>
        <v/>
      </c>
      <c r="RC1491" s="42" t="str">
        <f t="array" aca="1" ref="RC1491:RC1510" ca="1">IFERROR(INDEX(nombres[],SMALL(IF(OFFSET(nombres[],0,0,ROWS(nombres[]),1)=RC$1490,ROW(OFFSET(nombres[],0,0,ROWS(nombres[]),1))-ROW(OFFSET(nombres[],0,0,1,1))+1,ROW(OFFSET(nombres[],ROWS(nombres[])-1,0,1,1))+1),$O1491:$O1510),10),"")</f>
        <v/>
      </c>
      <c r="RD1491" s="42" t="str">
        <f t="array" aca="1" ref="RD1491:RD1510" ca="1">IFERROR(INDEX(nombres[],SMALL(IF(OFFSET(nombres[],0,0,ROWS(nombres[]),1)=RD$1490,ROW(OFFSET(nombres[],0,0,ROWS(nombres[]),1))-ROW(OFFSET(nombres[],0,0,1,1))+1,ROW(OFFSET(nombres[],ROWS(nombres[])-1,0,1,1))+1),$O1491:$O1510),10),"")</f>
        <v/>
      </c>
      <c r="RE1491" s="42" t="str">
        <f t="array" aca="1" ref="RE1491:RE1510" ca="1">IFERROR(INDEX(nombres[],SMALL(IF(OFFSET(nombres[],0,0,ROWS(nombres[]),1)=RE$1490,ROW(OFFSET(nombres[],0,0,ROWS(nombres[]),1))-ROW(OFFSET(nombres[],0,0,1,1))+1,ROW(OFFSET(nombres[],ROWS(nombres[])-1,0,1,1))+1),$O1491:$O1510),10),"")</f>
        <v/>
      </c>
      <c r="RF1491" s="42" t="str">
        <f t="array" aca="1" ref="RF1491:RF1510" ca="1">IFERROR(INDEX(nombres[],SMALL(IF(OFFSET(nombres[],0,0,ROWS(nombres[]),1)=RF$1490,ROW(OFFSET(nombres[],0,0,ROWS(nombres[]),1))-ROW(OFFSET(nombres[],0,0,1,1))+1,ROW(OFFSET(nombres[],ROWS(nombres[])-1,0,1,1))+1),$O1491:$O1510),10),"")</f>
        <v/>
      </c>
      <c r="RG1491" s="42" t="str">
        <f t="array" aca="1" ref="RG1491:RG1510" ca="1">IFERROR(INDEX(nombres[],SMALL(IF(OFFSET(nombres[],0,0,ROWS(nombres[]),1)=RG$1490,ROW(OFFSET(nombres[],0,0,ROWS(nombres[]),1))-ROW(OFFSET(nombres[],0,0,1,1))+1,ROW(OFFSET(nombres[],ROWS(nombres[])-1,0,1,1))+1),$O1491:$O1510),10),"")</f>
        <v/>
      </c>
      <c r="RH1491" s="42" t="str">
        <f t="array" aca="1" ref="RH1491:RH1510" ca="1">IFERROR(INDEX(nombres[],SMALL(IF(OFFSET(nombres[],0,0,ROWS(nombres[]),1)=RH$1490,ROW(OFFSET(nombres[],0,0,ROWS(nombres[]),1))-ROW(OFFSET(nombres[],0,0,1,1))+1,ROW(OFFSET(nombres[],ROWS(nombres[])-1,0,1,1))+1),$O1491:$O1510),10),"")</f>
        <v/>
      </c>
      <c r="RI1491" s="42" t="str">
        <f t="array" aca="1" ref="RI1491:RI1510" ca="1">IFERROR(INDEX(nombres[],SMALL(IF(OFFSET(nombres[],0,0,ROWS(nombres[]),1)=RI$1490,ROW(OFFSET(nombres[],0,0,ROWS(nombres[]),1))-ROW(OFFSET(nombres[],0,0,1,1))+1,ROW(OFFSET(nombres[],ROWS(nombres[])-1,0,1,1))+1),$O1491:$O1510),10),"")</f>
        <v/>
      </c>
      <c r="RJ1491" s="42" t="str">
        <f t="array" aca="1" ref="RJ1491:RJ1510" ca="1">IFERROR(INDEX(nombres[],SMALL(IF(OFFSET(nombres[],0,0,ROWS(nombres[]),1)=RJ$1490,ROW(OFFSET(nombres[],0,0,ROWS(nombres[]),1))-ROW(OFFSET(nombres[],0,0,1,1))+1,ROW(OFFSET(nombres[],ROWS(nombres[])-1,0,1,1))+1),$O1491:$O1510),10),"")</f>
        <v/>
      </c>
      <c r="RK1491" s="42" t="str">
        <f t="array" aca="1" ref="RK1491:RK1510" ca="1">IFERROR(INDEX(nombres[],SMALL(IF(OFFSET(nombres[],0,0,ROWS(nombres[]),1)=RK$1490,ROW(OFFSET(nombres[],0,0,ROWS(nombres[]),1))-ROW(OFFSET(nombres[],0,0,1,1))+1,ROW(OFFSET(nombres[],ROWS(nombres[])-1,0,1,1))+1),$O1491:$O1510),10),"")</f>
        <v/>
      </c>
      <c r="RL1491" s="42" t="str">
        <f t="array" aca="1" ref="RL1491:RL1510" ca="1">IFERROR(INDEX(nombres[],SMALL(IF(OFFSET(nombres[],0,0,ROWS(nombres[]),1)=RL$1490,ROW(OFFSET(nombres[],0,0,ROWS(nombres[]),1))-ROW(OFFSET(nombres[],0,0,1,1))+1,ROW(OFFSET(nombres[],ROWS(nombres[])-1,0,1,1))+1),$O1491:$O1510),10),"")</f>
        <v/>
      </c>
      <c r="RM1491" s="42" t="str">
        <f t="array" aca="1" ref="RM1491:RM1510" ca="1">IFERROR(INDEX(nombres[],SMALL(IF(OFFSET(nombres[],0,0,ROWS(nombres[]),1)=RM$1490,ROW(OFFSET(nombres[],0,0,ROWS(nombres[]),1))-ROW(OFFSET(nombres[],0,0,1,1))+1,ROW(OFFSET(nombres[],ROWS(nombres[])-1,0,1,1))+1),$O1491:$O1510),10),"")</f>
        <v/>
      </c>
      <c r="RN1491" s="42" t="str">
        <f t="array" aca="1" ref="RN1491:RN1510" ca="1">IFERROR(INDEX(nombres[],SMALL(IF(OFFSET(nombres[],0,0,ROWS(nombres[]),1)=RN$1490,ROW(OFFSET(nombres[],0,0,ROWS(nombres[]),1))-ROW(OFFSET(nombres[],0,0,1,1))+1,ROW(OFFSET(nombres[],ROWS(nombres[])-1,0,1,1))+1),$O1491:$O1510),10),"")</f>
        <v/>
      </c>
      <c r="RO1491" s="42" t="str">
        <f t="array" aca="1" ref="RO1491:RO1510" ca="1">IFERROR(INDEX(nombres[],SMALL(IF(OFFSET(nombres[],0,0,ROWS(nombres[]),1)=RO$1490,ROW(OFFSET(nombres[],0,0,ROWS(nombres[]),1))-ROW(OFFSET(nombres[],0,0,1,1))+1,ROW(OFFSET(nombres[],ROWS(nombres[])-1,0,1,1))+1),$O1491:$O1510),10),"")</f>
        <v/>
      </c>
      <c r="RP1491" s="42" t="str">
        <f t="array" aca="1" ref="RP1491:RP1510" ca="1">IFERROR(INDEX(nombres[],SMALL(IF(OFFSET(nombres[],0,0,ROWS(nombres[]),1)=RP$1490,ROW(OFFSET(nombres[],0,0,ROWS(nombres[]),1))-ROW(OFFSET(nombres[],0,0,1,1))+1,ROW(OFFSET(nombres[],ROWS(nombres[])-1,0,1,1))+1),$O1491:$O1510),10),"")</f>
        <v/>
      </c>
      <c r="RQ1491" s="42" t="str">
        <f t="array" aca="1" ref="RQ1491:RQ1510" ca="1">IFERROR(INDEX(nombres[],SMALL(IF(OFFSET(nombres[],0,0,ROWS(nombres[]),1)=RQ$1490,ROW(OFFSET(nombres[],0,0,ROWS(nombres[]),1))-ROW(OFFSET(nombres[],0,0,1,1))+1,ROW(OFFSET(nombres[],ROWS(nombres[])-1,0,1,1))+1),$O1491:$O1510),10),"")</f>
        <v/>
      </c>
      <c r="RR1491" s="42" t="str">
        <f t="array" aca="1" ref="RR1491:RR1510" ca="1">IFERROR(INDEX(nombres[],SMALL(IF(OFFSET(nombres[],0,0,ROWS(nombres[]),1)=RR$1490,ROW(OFFSET(nombres[],0,0,ROWS(nombres[]),1))-ROW(OFFSET(nombres[],0,0,1,1))+1,ROW(OFFSET(nombres[],ROWS(nombres[])-1,0,1,1))+1),$O1491:$O1510),10),"")</f>
        <v/>
      </c>
      <c r="RS1491" s="42" t="str">
        <f t="array" aca="1" ref="RS1491:RS1510" ca="1">IFERROR(INDEX(nombres[],SMALL(IF(OFFSET(nombres[],0,0,ROWS(nombres[]),1)=RS$1490,ROW(OFFSET(nombres[],0,0,ROWS(nombres[]),1))-ROW(OFFSET(nombres[],0,0,1,1))+1,ROW(OFFSET(nombres[],ROWS(nombres[])-1,0,1,1))+1),$O1491:$O1510),10),"")</f>
        <v/>
      </c>
      <c r="RT1491" s="42" t="str">
        <f t="array" aca="1" ref="RT1491:RT1510" ca="1">IFERROR(INDEX(nombres[],SMALL(IF(OFFSET(nombres[],0,0,ROWS(nombres[]),1)=RT$1490,ROW(OFFSET(nombres[],0,0,ROWS(nombres[]),1))-ROW(OFFSET(nombres[],0,0,1,1))+1,ROW(OFFSET(nombres[],ROWS(nombres[])-1,0,1,1))+1),$O1491:$O1510),10),"")</f>
        <v/>
      </c>
      <c r="RU1491" s="42" t="str">
        <f t="array" aca="1" ref="RU1491:RU1510" ca="1">IFERROR(INDEX(nombres[],SMALL(IF(OFFSET(nombres[],0,0,ROWS(nombres[]),1)=RU$1490,ROW(OFFSET(nombres[],0,0,ROWS(nombres[]),1))-ROW(OFFSET(nombres[],0,0,1,1))+1,ROW(OFFSET(nombres[],ROWS(nombres[])-1,0,1,1))+1),$O1491:$O1510),10),"")</f>
        <v/>
      </c>
      <c r="RV1491" s="42" t="str">
        <f t="array" aca="1" ref="RV1491:RV1510" ca="1">IFERROR(INDEX(nombres[],SMALL(IF(OFFSET(nombres[],0,0,ROWS(nombres[]),1)=RV$1490,ROW(OFFSET(nombres[],0,0,ROWS(nombres[]),1))-ROW(OFFSET(nombres[],0,0,1,1))+1,ROW(OFFSET(nombres[],ROWS(nombres[])-1,0,1,1))+1),$O1491:$O1510),10),"")</f>
        <v/>
      </c>
      <c r="RW1491" s="42" t="str">
        <f t="array" aca="1" ref="RW1491:RW1510" ca="1">IFERROR(INDEX(nombres[],SMALL(IF(OFFSET(nombres[],0,0,ROWS(nombres[]),1)=RW$1490,ROW(OFFSET(nombres[],0,0,ROWS(nombres[]),1))-ROW(OFFSET(nombres[],0,0,1,1))+1,ROW(OFFSET(nombres[],ROWS(nombres[])-1,0,1,1))+1),$O1491:$O1510),10),"")</f>
        <v/>
      </c>
      <c r="RX1491" s="42" t="str">
        <f t="array" aca="1" ref="RX1491:RX1510" ca="1">IFERROR(INDEX(nombres[],SMALL(IF(OFFSET(nombres[],0,0,ROWS(nombres[]),1)=RX$1490,ROW(OFFSET(nombres[],0,0,ROWS(nombres[]),1))-ROW(OFFSET(nombres[],0,0,1,1))+1,ROW(OFFSET(nombres[],ROWS(nombres[])-1,0,1,1))+1),$O1491:$O1510),10),"")</f>
        <v/>
      </c>
      <c r="RY1491" s="42" t="str">
        <f t="array" aca="1" ref="RY1491:RY1510" ca="1">IFERROR(INDEX(nombres[],SMALL(IF(OFFSET(nombres[],0,0,ROWS(nombres[]),1)=RY$1490,ROW(OFFSET(nombres[],0,0,ROWS(nombres[]),1))-ROW(OFFSET(nombres[],0,0,1,1))+1,ROW(OFFSET(nombres[],ROWS(nombres[])-1,0,1,1))+1),$O1491:$O1510),10),"")</f>
        <v/>
      </c>
      <c r="RZ1491" s="42" t="str">
        <f t="array" aca="1" ref="RZ1491:RZ1510" ca="1">IFERROR(INDEX(nombres[],SMALL(IF(OFFSET(nombres[],0,0,ROWS(nombres[]),1)=RZ$1490,ROW(OFFSET(nombres[],0,0,ROWS(nombres[]),1))-ROW(OFFSET(nombres[],0,0,1,1))+1,ROW(OFFSET(nombres[],ROWS(nombres[])-1,0,1,1))+1),$O1491:$O1510),10),"")</f>
        <v/>
      </c>
      <c r="SA1491" s="42" t="str">
        <f t="array" aca="1" ref="SA1491:SA1510" ca="1">IFERROR(INDEX(nombres[],SMALL(IF(OFFSET(nombres[],0,0,ROWS(nombres[]),1)=SA$1490,ROW(OFFSET(nombres[],0,0,ROWS(nombres[]),1))-ROW(OFFSET(nombres[],0,0,1,1))+1,ROW(OFFSET(nombres[],ROWS(nombres[])-1,0,1,1))+1),$O1491:$O1510),10),"")</f>
        <v/>
      </c>
      <c r="SB1491" s="42" t="str">
        <f t="array" aca="1" ref="SB1491:SB1510" ca="1">IFERROR(INDEX(nombres[],SMALL(IF(OFFSET(nombres[],0,0,ROWS(nombres[]),1)=SB$1490,ROW(OFFSET(nombres[],0,0,ROWS(nombres[]),1))-ROW(OFFSET(nombres[],0,0,1,1))+1,ROW(OFFSET(nombres[],ROWS(nombres[])-1,0,1,1))+1),$O1491:$O1510),10),"")</f>
        <v/>
      </c>
      <c r="SC1491" s="42" t="str">
        <f t="array" aca="1" ref="SC1491:SC1510" ca="1">IFERROR(INDEX(nombres[],SMALL(IF(OFFSET(nombres[],0,0,ROWS(nombres[]),1)=SC$1490,ROW(OFFSET(nombres[],0,0,ROWS(nombres[]),1))-ROW(OFFSET(nombres[],0,0,1,1))+1,ROW(OFFSET(nombres[],ROWS(nombres[])-1,0,1,1))+1),$O1491:$O1510),10),"")</f>
        <v/>
      </c>
      <c r="SD1491" s="42" t="str">
        <f t="array" aca="1" ref="SD1491:SD1510" ca="1">IFERROR(INDEX(nombres[],SMALL(IF(OFFSET(nombres[],0,0,ROWS(nombres[]),1)=SD$1490,ROW(OFFSET(nombres[],0,0,ROWS(nombres[]),1))-ROW(OFFSET(nombres[],0,0,1,1))+1,ROW(OFFSET(nombres[],ROWS(nombres[])-1,0,1,1))+1),$O1491:$O1510),10),"")</f>
        <v/>
      </c>
      <c r="SE1491" s="42" t="str">
        <f t="array" aca="1" ref="SE1491:SE1510" ca="1">IFERROR(INDEX(nombres[],SMALL(IF(OFFSET(nombres[],0,0,ROWS(nombres[]),1)=SE$1490,ROW(OFFSET(nombres[],0,0,ROWS(nombres[]),1))-ROW(OFFSET(nombres[],0,0,1,1))+1,ROW(OFFSET(nombres[],ROWS(nombres[])-1,0,1,1))+1),$O1491:$O1510),10),"")</f>
        <v/>
      </c>
      <c r="SF1491" s="42" t="str">
        <f t="array" aca="1" ref="SF1491:SF1510" ca="1">IFERROR(INDEX(nombres[],SMALL(IF(OFFSET(nombres[],0,0,ROWS(nombres[]),1)=SF$1490,ROW(OFFSET(nombres[],0,0,ROWS(nombres[]),1))-ROW(OFFSET(nombres[],0,0,1,1))+1,ROW(OFFSET(nombres[],ROWS(nombres[])-1,0,1,1))+1),$O1491:$O1510),10),"")</f>
        <v/>
      </c>
      <c r="SG1491" s="42" t="str">
        <f t="array" aca="1" ref="SG1491:SG1510" ca="1">IFERROR(INDEX(nombres[],SMALL(IF(OFFSET(nombres[],0,0,ROWS(nombres[]),1)=SG$1490,ROW(OFFSET(nombres[],0,0,ROWS(nombres[]),1))-ROW(OFFSET(nombres[],0,0,1,1))+1,ROW(OFFSET(nombres[],ROWS(nombres[])-1,0,1,1))+1),$O1491:$O1510),10),"")</f>
        <v/>
      </c>
      <c r="SH1491" s="42" t="str">
        <f t="array" aca="1" ref="SH1491:SH1510" ca="1">IFERROR(INDEX(nombres[],SMALL(IF(OFFSET(nombres[],0,0,ROWS(nombres[]),1)=SH$1490,ROW(OFFSET(nombres[],0,0,ROWS(nombres[]),1))-ROW(OFFSET(nombres[],0,0,1,1))+1,ROW(OFFSET(nombres[],ROWS(nombres[])-1,0,1,1))+1),$O1491:$O1510),10),"")</f>
        <v/>
      </c>
      <c r="SI1491" s="42" t="str">
        <f t="array" aca="1" ref="SI1491:SI1510" ca="1">IFERROR(INDEX(nombres[],SMALL(IF(OFFSET(nombres[],0,0,ROWS(nombres[]),1)=SI$1490,ROW(OFFSET(nombres[],0,0,ROWS(nombres[]),1))-ROW(OFFSET(nombres[],0,0,1,1))+1,ROW(OFFSET(nombres[],ROWS(nombres[])-1,0,1,1))+1),$O1491:$O1510),10),"")</f>
        <v/>
      </c>
      <c r="SJ1491" s="42" t="str">
        <f t="array" aca="1" ref="SJ1491:SJ1510" ca="1">IFERROR(INDEX(nombres[],SMALL(IF(OFFSET(nombres[],0,0,ROWS(nombres[]),1)=SJ$1490,ROW(OFFSET(nombres[],0,0,ROWS(nombres[]),1))-ROW(OFFSET(nombres[],0,0,1,1))+1,ROW(OFFSET(nombres[],ROWS(nombres[])-1,0,1,1))+1),$O1491:$O1510),10),"")</f>
        <v/>
      </c>
      <c r="SK1491" s="42" t="str">
        <f t="array" aca="1" ref="SK1491:SK1510" ca="1">IFERROR(INDEX(nombres[],SMALL(IF(OFFSET(nombres[],0,0,ROWS(nombres[]),1)=SK$1490,ROW(OFFSET(nombres[],0,0,ROWS(nombres[]),1))-ROW(OFFSET(nombres[],0,0,1,1))+1,ROW(OFFSET(nombres[],ROWS(nombres[])-1,0,1,1))+1),$O1491:$O1510),10),"")</f>
        <v/>
      </c>
      <c r="SL1491" s="42" t="str">
        <f t="array" aca="1" ref="SL1491:SL1510" ca="1">IFERROR(INDEX(nombres[],SMALL(IF(OFFSET(nombres[],0,0,ROWS(nombres[]),1)=SL$1490,ROW(OFFSET(nombres[],0,0,ROWS(nombres[]),1))-ROW(OFFSET(nombres[],0,0,1,1))+1,ROW(OFFSET(nombres[],ROWS(nombres[])-1,0,1,1))+1),$O1491:$O1510),10),"")</f>
        <v/>
      </c>
      <c r="SM1491" s="42" t="str">
        <f t="array" aca="1" ref="SM1491:SM1510" ca="1">IFERROR(INDEX(nombres[],SMALL(IF(OFFSET(nombres[],0,0,ROWS(nombres[]),1)=SM$1490,ROW(OFFSET(nombres[],0,0,ROWS(nombres[]),1))-ROW(OFFSET(nombres[],0,0,1,1))+1,ROW(OFFSET(nombres[],ROWS(nombres[])-1,0,1,1))+1),$O1491:$O1510),10),"")</f>
        <v/>
      </c>
      <c r="SN1491" s="42" t="str">
        <f t="array" aca="1" ref="SN1491:SN1510" ca="1">IFERROR(INDEX(nombres[],SMALL(IF(OFFSET(nombres[],0,0,ROWS(nombres[]),1)=SN$1490,ROW(OFFSET(nombres[],0,0,ROWS(nombres[]),1))-ROW(OFFSET(nombres[],0,0,1,1))+1,ROW(OFFSET(nombres[],ROWS(nombres[])-1,0,1,1))+1),$O1491:$O1510),10),"")</f>
        <v/>
      </c>
      <c r="SO1491" s="42" t="str">
        <f t="array" aca="1" ref="SO1491:SO1510" ca="1">IFERROR(INDEX(nombres[],SMALL(IF(OFFSET(nombres[],0,0,ROWS(nombres[]),1)=SO$1490,ROW(OFFSET(nombres[],0,0,ROWS(nombres[]),1))-ROW(OFFSET(nombres[],0,0,1,1))+1,ROW(OFFSET(nombres[],ROWS(nombres[])-1,0,1,1))+1),$O1491:$O1510),10),"")</f>
        <v/>
      </c>
      <c r="SP1491" s="42" t="str">
        <f t="array" aca="1" ref="SP1491:SP1510" ca="1">IFERROR(INDEX(nombres[],SMALL(IF(OFFSET(nombres[],0,0,ROWS(nombres[]),1)=SP$1490,ROW(OFFSET(nombres[],0,0,ROWS(nombres[]),1))-ROW(OFFSET(nombres[],0,0,1,1))+1,ROW(OFFSET(nombres[],ROWS(nombres[])-1,0,1,1))+1),$O1491:$O1510),10),"")</f>
        <v/>
      </c>
      <c r="SQ1491" s="42" t="str">
        <f t="array" aca="1" ref="SQ1491:SQ1510" ca="1">IFERROR(INDEX(nombres[],SMALL(IF(OFFSET(nombres[],0,0,ROWS(nombres[]),1)=SQ$1490,ROW(OFFSET(nombres[],0,0,ROWS(nombres[]),1))-ROW(OFFSET(nombres[],0,0,1,1))+1,ROW(OFFSET(nombres[],ROWS(nombres[])-1,0,1,1))+1),$O1491:$O1510),10),"")</f>
        <v/>
      </c>
      <c r="SR1491" s="42" t="str">
        <f t="array" aca="1" ref="SR1491:SR1510" ca="1">IFERROR(INDEX(nombres[],SMALL(IF(OFFSET(nombres[],0,0,ROWS(nombres[]),1)=SR$1490,ROW(OFFSET(nombres[],0,0,ROWS(nombres[]),1))-ROW(OFFSET(nombres[],0,0,1,1))+1,ROW(OFFSET(nombres[],ROWS(nombres[])-1,0,1,1))+1),$O1491:$O1510),10),"")</f>
        <v/>
      </c>
      <c r="SS1491" s="42" t="str">
        <f t="array" aca="1" ref="SS1491:SS1510" ca="1">IFERROR(INDEX(nombres[],SMALL(IF(OFFSET(nombres[],0,0,ROWS(nombres[]),1)=SS$1490,ROW(OFFSET(nombres[],0,0,ROWS(nombres[]),1))-ROW(OFFSET(nombres[],0,0,1,1))+1,ROW(OFFSET(nombres[],ROWS(nombres[])-1,0,1,1))+1),$O1491:$O1510),10),"")</f>
        <v/>
      </c>
      <c r="ST1491" s="42" t="str">
        <f t="array" aca="1" ref="ST1491:ST1510" ca="1">IFERROR(INDEX(nombres[],SMALL(IF(OFFSET(nombres[],0,0,ROWS(nombres[]),1)=ST$1490,ROW(OFFSET(nombres[],0,0,ROWS(nombres[]),1))-ROW(OFFSET(nombres[],0,0,1,1))+1,ROW(OFFSET(nombres[],ROWS(nombres[])-1,0,1,1))+1),$O1491:$O1510),10),"")</f>
        <v/>
      </c>
      <c r="SU1491" s="42" t="str">
        <f t="array" aca="1" ref="SU1491:SU1510" ca="1">IFERROR(INDEX(nombres[],SMALL(IF(OFFSET(nombres[],0,0,ROWS(nombres[]),1)=SU$1490,ROW(OFFSET(nombres[],0,0,ROWS(nombres[]),1))-ROW(OFFSET(nombres[],0,0,1,1))+1,ROW(OFFSET(nombres[],ROWS(nombres[])-1,0,1,1))+1),$O1491:$O1510),10),"")</f>
        <v/>
      </c>
      <c r="SV1491" s="42" t="str">
        <f t="array" aca="1" ref="SV1491:SV1510" ca="1">IFERROR(INDEX(nombres[],SMALL(IF(OFFSET(nombres[],0,0,ROWS(nombres[]),1)=SV$1490,ROW(OFFSET(nombres[],0,0,ROWS(nombres[]),1))-ROW(OFFSET(nombres[],0,0,1,1))+1,ROW(OFFSET(nombres[],ROWS(nombres[])-1,0,1,1))+1),$O1491:$O1510),10),"")</f>
        <v/>
      </c>
      <c r="SW1491" s="42" t="str">
        <f t="array" aca="1" ref="SW1491:SW1510" ca="1">IFERROR(INDEX(nombres[],SMALL(IF(OFFSET(nombres[],0,0,ROWS(nombres[]),1)=SW$1490,ROW(OFFSET(nombres[],0,0,ROWS(nombres[]),1))-ROW(OFFSET(nombres[],0,0,1,1))+1,ROW(OFFSET(nombres[],ROWS(nombres[])-1,0,1,1))+1),$O1491:$O1510),10),"")</f>
        <v/>
      </c>
      <c r="SX1491" s="42" t="str">
        <f t="array" aca="1" ref="SX1491:SX1510" ca="1">IFERROR(INDEX(nombres[],SMALL(IF(OFFSET(nombres[],0,0,ROWS(nombres[]),1)=SX$1490,ROW(OFFSET(nombres[],0,0,ROWS(nombres[]),1))-ROW(OFFSET(nombres[],0,0,1,1))+1,ROW(OFFSET(nombres[],ROWS(nombres[])-1,0,1,1))+1),$O1491:$O1510),10),"")</f>
        <v/>
      </c>
      <c r="SY1491" s="42" t="str">
        <f t="array" aca="1" ref="SY1491:SY1510" ca="1">IFERROR(INDEX(nombres[],SMALL(IF(OFFSET(nombres[],0,0,ROWS(nombres[]),1)=SY$1490,ROW(OFFSET(nombres[],0,0,ROWS(nombres[]),1))-ROW(OFFSET(nombres[],0,0,1,1))+1,ROW(OFFSET(nombres[],ROWS(nombres[])-1,0,1,1))+1),$O1491:$O1510),10),"")</f>
        <v/>
      </c>
      <c r="SZ1491" s="42" t="str">
        <f t="array" aca="1" ref="SZ1491:SZ1510" ca="1">IFERROR(INDEX(nombres[],SMALL(IF(OFFSET(nombres[],0,0,ROWS(nombres[]),1)=SZ$1490,ROW(OFFSET(nombres[],0,0,ROWS(nombres[]),1))-ROW(OFFSET(nombres[],0,0,1,1))+1,ROW(OFFSET(nombres[],ROWS(nombres[])-1,0,1,1))+1),$O1491:$O1510),10),"")</f>
        <v/>
      </c>
      <c r="TA1491" s="42" t="str">
        <f t="array" aca="1" ref="TA1491:TA1510" ca="1">IFERROR(INDEX(nombres[],SMALL(IF(OFFSET(nombres[],0,0,ROWS(nombres[]),1)=TA$1490,ROW(OFFSET(nombres[],0,0,ROWS(nombres[]),1))-ROW(OFFSET(nombres[],0,0,1,1))+1,ROW(OFFSET(nombres[],ROWS(nombres[])-1,0,1,1))+1),$O1491:$O1510),10),"")</f>
        <v/>
      </c>
      <c r="TB1491" s="42" t="str">
        <f t="array" aca="1" ref="TB1491:TB1510" ca="1">IFERROR(INDEX(nombres[],SMALL(IF(OFFSET(nombres[],0,0,ROWS(nombres[]),1)=TB$1490,ROW(OFFSET(nombres[],0,0,ROWS(nombres[]),1))-ROW(OFFSET(nombres[],0,0,1,1))+1,ROW(OFFSET(nombres[],ROWS(nombres[])-1,0,1,1))+1),$O1491:$O1510),10),"")</f>
        <v/>
      </c>
      <c r="TC1491" s="42" t="str">
        <f t="array" aca="1" ref="TC1491:TC1510" ca="1">IFERROR(INDEX(nombres[],SMALL(IF(OFFSET(nombres[],0,0,ROWS(nombres[]),1)=TC$1490,ROW(OFFSET(nombres[],0,0,ROWS(nombres[]),1))-ROW(OFFSET(nombres[],0,0,1,1))+1,ROW(OFFSET(nombres[],ROWS(nombres[])-1,0,1,1))+1),$O1491:$O1510),10),"")</f>
        <v/>
      </c>
      <c r="TD1491" s="42" t="str">
        <f t="array" aca="1" ref="TD1491:TD1510" ca="1">IFERROR(INDEX(nombres[],SMALL(IF(OFFSET(nombres[],0,0,ROWS(nombres[]),1)=TD$1490,ROW(OFFSET(nombres[],0,0,ROWS(nombres[]),1))-ROW(OFFSET(nombres[],0,0,1,1))+1,ROW(OFFSET(nombres[],ROWS(nombres[])-1,0,1,1))+1),$O1491:$O1510),10),"")</f>
        <v/>
      </c>
      <c r="TE1491" s="42" t="str">
        <f t="array" aca="1" ref="TE1491:TE1510" ca="1">IFERROR(INDEX(nombres[],SMALL(IF(OFFSET(nombres[],0,0,ROWS(nombres[]),1)=TE$1490,ROW(OFFSET(nombres[],0,0,ROWS(nombres[]),1))-ROW(OFFSET(nombres[],0,0,1,1))+1,ROW(OFFSET(nombres[],ROWS(nombres[])-1,0,1,1))+1),$O1491:$O1510),10),"")</f>
        <v/>
      </c>
      <c r="TF1491" s="42" t="str">
        <f t="array" aca="1" ref="TF1491:TF1510" ca="1">IFERROR(INDEX(nombres[],SMALL(IF(OFFSET(nombres[],0,0,ROWS(nombres[]),1)=TF$1490,ROW(OFFSET(nombres[],0,0,ROWS(nombres[]),1))-ROW(OFFSET(nombres[],0,0,1,1))+1,ROW(OFFSET(nombres[],ROWS(nombres[])-1,0,1,1))+1),$O1491:$O1510),10),"")</f>
        <v/>
      </c>
      <c r="TG1491" s="42" t="str">
        <f t="array" aca="1" ref="TG1491:TG1510" ca="1">IFERROR(INDEX(nombres[],SMALL(IF(OFFSET(nombres[],0,0,ROWS(nombres[]),1)=TG$1490,ROW(OFFSET(nombres[],0,0,ROWS(nombres[]),1))-ROW(OFFSET(nombres[],0,0,1,1))+1,ROW(OFFSET(nombres[],ROWS(nombres[])-1,0,1,1))+1),$O1491:$O1510),10),"")</f>
        <v/>
      </c>
      <c r="TH1491" s="42" t="str">
        <f t="array" aca="1" ref="TH1491:TH1510" ca="1">IFERROR(INDEX(nombres[],SMALL(IF(OFFSET(nombres[],0,0,ROWS(nombres[]),1)=TH$1490,ROW(OFFSET(nombres[],0,0,ROWS(nombres[]),1))-ROW(OFFSET(nombres[],0,0,1,1))+1,ROW(OFFSET(nombres[],ROWS(nombres[])-1,0,1,1))+1),$O1491:$O1510),10),"")</f>
        <v/>
      </c>
      <c r="TI1491" s="42" t="str">
        <f t="array" aca="1" ref="TI1491:TI1510" ca="1">IFERROR(INDEX(nombres[],SMALL(IF(OFFSET(nombres[],0,0,ROWS(nombres[]),1)=TI$1490,ROW(OFFSET(nombres[],0,0,ROWS(nombres[]),1))-ROW(OFFSET(nombres[],0,0,1,1))+1,ROW(OFFSET(nombres[],ROWS(nombres[])-1,0,1,1))+1),$O1491:$O1510),10),"")</f>
        <v/>
      </c>
      <c r="TJ1491" s="42" t="str">
        <f t="array" aca="1" ref="TJ1491:TJ1510" ca="1">IFERROR(INDEX(nombres[],SMALL(IF(OFFSET(nombres[],0,0,ROWS(nombres[]),1)=TJ$1490,ROW(OFFSET(nombres[],0,0,ROWS(nombres[]),1))-ROW(OFFSET(nombres[],0,0,1,1))+1,ROW(OFFSET(nombres[],ROWS(nombres[])-1,0,1,1))+1),$O1491:$O1510),10),"")</f>
        <v/>
      </c>
      <c r="TK1491" s="42" t="str">
        <f t="array" aca="1" ref="TK1491:TK1510" ca="1">IFERROR(INDEX(nombres[],SMALL(IF(OFFSET(nombres[],0,0,ROWS(nombres[]),1)=TK$1490,ROW(OFFSET(nombres[],0,0,ROWS(nombres[]),1))-ROW(OFFSET(nombres[],0,0,1,1))+1,ROW(OFFSET(nombres[],ROWS(nombres[])-1,0,1,1))+1),$O1491:$O1510),10),"")</f>
        <v/>
      </c>
      <c r="TL1491" s="42" t="str">
        <f t="array" aca="1" ref="TL1491:TL1510" ca="1">IFERROR(INDEX(nombres[],SMALL(IF(OFFSET(nombres[],0,0,ROWS(nombres[]),1)=TL$1490,ROW(OFFSET(nombres[],0,0,ROWS(nombres[]),1))-ROW(OFFSET(nombres[],0,0,1,1))+1,ROW(OFFSET(nombres[],ROWS(nombres[])-1,0,1,1))+1),$O1491:$O1510),10),"")</f>
        <v/>
      </c>
      <c r="TM1491" s="42" t="str">
        <f t="array" aca="1" ref="TM1491:TM1510" ca="1">IFERROR(INDEX(nombres[],SMALL(IF(OFFSET(nombres[],0,0,ROWS(nombres[]),1)=TM$1490,ROW(OFFSET(nombres[],0,0,ROWS(nombres[]),1))-ROW(OFFSET(nombres[],0,0,1,1))+1,ROW(OFFSET(nombres[],ROWS(nombres[])-1,0,1,1))+1),$O1491:$O1510),10),"")</f>
        <v/>
      </c>
      <c r="TN1491" s="42" t="str">
        <f t="array" aca="1" ref="TN1491:TN1510" ca="1">IFERROR(INDEX(nombres[],SMALL(IF(OFFSET(nombres[],0,0,ROWS(nombres[]),1)=TN$1490,ROW(OFFSET(nombres[],0,0,ROWS(nombres[]),1))-ROW(OFFSET(nombres[],0,0,1,1))+1,ROW(OFFSET(nombres[],ROWS(nombres[])-1,0,1,1))+1),$O1491:$O1510),10),"")</f>
        <v/>
      </c>
      <c r="TO1491" s="42" t="str">
        <f t="array" aca="1" ref="TO1491:TO1510" ca="1">IFERROR(INDEX(nombres[],SMALL(IF(OFFSET(nombres[],0,0,ROWS(nombres[]),1)=TO$1490,ROW(OFFSET(nombres[],0,0,ROWS(nombres[]),1))-ROW(OFFSET(nombres[],0,0,1,1))+1,ROW(OFFSET(nombres[],ROWS(nombres[])-1,0,1,1))+1),$O1491:$O1510),10),"")</f>
        <v/>
      </c>
      <c r="TP1491" s="42" t="str">
        <f t="array" aca="1" ref="TP1491:TP1510" ca="1">IFERROR(INDEX(nombres[],SMALL(IF(OFFSET(nombres[],0,0,ROWS(nombres[]),1)=TP$1490,ROW(OFFSET(nombres[],0,0,ROWS(nombres[]),1))-ROW(OFFSET(nombres[],0,0,1,1))+1,ROW(OFFSET(nombres[],ROWS(nombres[])-1,0,1,1))+1),$O1491:$O1510),10),"")</f>
        <v/>
      </c>
      <c r="TQ1491" s="42" t="str">
        <f t="array" aca="1" ref="TQ1491:TQ1510" ca="1">IFERROR(INDEX(nombres[],SMALL(IF(OFFSET(nombres[],0,0,ROWS(nombres[]),1)=TQ$1490,ROW(OFFSET(nombres[],0,0,ROWS(nombres[]),1))-ROW(OFFSET(nombres[],0,0,1,1))+1,ROW(OFFSET(nombres[],ROWS(nombres[])-1,0,1,1))+1),$O1491:$O1510),10),"")</f>
        <v/>
      </c>
      <c r="TR1491" s="42" t="str">
        <f t="array" aca="1" ref="TR1491:TR1510" ca="1">IFERROR(INDEX(nombres[],SMALL(IF(OFFSET(nombres[],0,0,ROWS(nombres[]),1)=TR$1490,ROW(OFFSET(nombres[],0,0,ROWS(nombres[]),1))-ROW(OFFSET(nombres[],0,0,1,1))+1,ROW(OFFSET(nombres[],ROWS(nombres[])-1,0,1,1))+1),$O1491:$O1510),10),"")</f>
        <v/>
      </c>
      <c r="TS1491" s="42" t="str">
        <f t="array" aca="1" ref="TS1491:TS1510" ca="1">IFERROR(INDEX(nombres[],SMALL(IF(OFFSET(nombres[],0,0,ROWS(nombres[]),1)=TS$1490,ROW(OFFSET(nombres[],0,0,ROWS(nombres[]),1))-ROW(OFFSET(nombres[],0,0,1,1))+1,ROW(OFFSET(nombres[],ROWS(nombres[])-1,0,1,1))+1),$O1491:$O1510),10),"")</f>
        <v/>
      </c>
      <c r="TT1491" s="42" t="str">
        <f t="array" aca="1" ref="TT1491:TT1510" ca="1">IFERROR(INDEX(nombres[],SMALL(IF(OFFSET(nombres[],0,0,ROWS(nombres[]),1)=TT$1490,ROW(OFFSET(nombres[],0,0,ROWS(nombres[]),1))-ROW(OFFSET(nombres[],0,0,1,1))+1,ROW(OFFSET(nombres[],ROWS(nombres[])-1,0,1,1))+1),$O1491:$O1510),10),"")</f>
        <v/>
      </c>
      <c r="TU1491" s="42" t="str">
        <f t="array" aca="1" ref="TU1491:TU1510" ca="1">IFERROR(INDEX(nombres[],SMALL(IF(OFFSET(nombres[],0,0,ROWS(nombres[]),1)=TU$1490,ROW(OFFSET(nombres[],0,0,ROWS(nombres[]),1))-ROW(OFFSET(nombres[],0,0,1,1))+1,ROW(OFFSET(nombres[],ROWS(nombres[])-1,0,1,1))+1),$O1491:$O1510),10),"")</f>
        <v/>
      </c>
      <c r="TV1491" s="42" t="str">
        <f t="array" aca="1" ref="TV1491:TV1510" ca="1">IFERROR(INDEX(nombres[],SMALL(IF(OFFSET(nombres[],0,0,ROWS(nombres[]),1)=TV$1490,ROW(OFFSET(nombres[],0,0,ROWS(nombres[]),1))-ROW(OFFSET(nombres[],0,0,1,1))+1,ROW(OFFSET(nombres[],ROWS(nombres[])-1,0,1,1))+1),$O1491:$O1510),10),"")</f>
        <v/>
      </c>
      <c r="TW1491" s="42" t="str">
        <f t="array" aca="1" ref="TW1491:TW1510" ca="1">IFERROR(INDEX(nombres[],SMALL(IF(OFFSET(nombres[],0,0,ROWS(nombres[]),1)=TW$1490,ROW(OFFSET(nombres[],0,0,ROWS(nombres[]),1))-ROW(OFFSET(nombres[],0,0,1,1))+1,ROW(OFFSET(nombres[],ROWS(nombres[])-1,0,1,1))+1),$O1491:$O1510),10),"")</f>
        <v/>
      </c>
      <c r="TX1491" s="42" t="str">
        <f t="array" aca="1" ref="TX1491:TX1510" ca="1">IFERROR(INDEX(nombres[],SMALL(IF(OFFSET(nombres[],0,0,ROWS(nombres[]),1)=TX$1490,ROW(OFFSET(nombres[],0,0,ROWS(nombres[]),1))-ROW(OFFSET(nombres[],0,0,1,1))+1,ROW(OFFSET(nombres[],ROWS(nombres[])-1,0,1,1))+1),$O1491:$O1510),10),"")</f>
        <v/>
      </c>
      <c r="TY1491" s="42" t="str">
        <f t="array" aca="1" ref="TY1491:TY1510" ca="1">IFERROR(INDEX(nombres[],SMALL(IF(OFFSET(nombres[],0,0,ROWS(nombres[]),1)=TY$1490,ROW(OFFSET(nombres[],0,0,ROWS(nombres[]),1))-ROW(OFFSET(nombres[],0,0,1,1))+1,ROW(OFFSET(nombres[],ROWS(nombres[])-1,0,1,1))+1),$O1491:$O1510),10),"")</f>
        <v/>
      </c>
      <c r="TZ1491" s="42" t="str">
        <f t="array" aca="1" ref="TZ1491:TZ1510" ca="1">IFERROR(INDEX(nombres[],SMALL(IF(OFFSET(nombres[],0,0,ROWS(nombres[]),1)=TZ$1490,ROW(OFFSET(nombres[],0,0,ROWS(nombres[]),1))-ROW(OFFSET(nombres[],0,0,1,1))+1,ROW(OFFSET(nombres[],ROWS(nombres[])-1,0,1,1))+1),$O1491:$O1510),10),"")</f>
        <v/>
      </c>
      <c r="UA1491" s="42" t="str">
        <f t="array" aca="1" ref="UA1491:UA1510" ca="1">IFERROR(INDEX(nombres[],SMALL(IF(OFFSET(nombres[],0,0,ROWS(nombres[]),1)=UA$1490,ROW(OFFSET(nombres[],0,0,ROWS(nombres[]),1))-ROW(OFFSET(nombres[],0,0,1,1))+1,ROW(OFFSET(nombres[],ROWS(nombres[])-1,0,1,1))+1),$O1491:$O1510),10),"")</f>
        <v/>
      </c>
      <c r="UB1491" s="42" t="str">
        <f t="array" aca="1" ref="UB1491:UB1510" ca="1">IFERROR(INDEX(nombres[],SMALL(IF(OFFSET(nombres[],0,0,ROWS(nombres[]),1)=UB$1490,ROW(OFFSET(nombres[],0,0,ROWS(nombres[]),1))-ROW(OFFSET(nombres[],0,0,1,1))+1,ROW(OFFSET(nombres[],ROWS(nombres[])-1,0,1,1))+1),$O1491:$O1510),10),"")</f>
        <v/>
      </c>
      <c r="UC1491" s="42" t="str">
        <f t="array" aca="1" ref="UC1491:UC1510" ca="1">IFERROR(INDEX(nombres[],SMALL(IF(OFFSET(nombres[],0,0,ROWS(nombres[]),1)=UC$1490,ROW(OFFSET(nombres[],0,0,ROWS(nombres[]),1))-ROW(OFFSET(nombres[],0,0,1,1))+1,ROW(OFFSET(nombres[],ROWS(nombres[])-1,0,1,1))+1),$O1491:$O1510),10),"")</f>
        <v/>
      </c>
      <c r="UD1491" s="42" t="str">
        <f t="array" aca="1" ref="UD1491:UD1510" ca="1">IFERROR(INDEX(nombres[],SMALL(IF(OFFSET(nombres[],0,0,ROWS(nombres[]),1)=UD$1490,ROW(OFFSET(nombres[],0,0,ROWS(nombres[]),1))-ROW(OFFSET(nombres[],0,0,1,1))+1,ROW(OFFSET(nombres[],ROWS(nombres[])-1,0,1,1))+1),$O1491:$O1510),10),"")</f>
        <v/>
      </c>
      <c r="UE1491" s="42" t="str">
        <f t="array" aca="1" ref="UE1491:UE1510" ca="1">IFERROR(INDEX(nombres[],SMALL(IF(OFFSET(nombres[],0,0,ROWS(nombres[]),1)=UE$1490,ROW(OFFSET(nombres[],0,0,ROWS(nombres[]),1))-ROW(OFFSET(nombres[],0,0,1,1))+1,ROW(OFFSET(nombres[],ROWS(nombres[])-1,0,1,1))+1),$O1491:$O1510),10),"")</f>
        <v/>
      </c>
      <c r="UF1491" s="42" t="str">
        <f t="array" aca="1" ref="UF1491:UF1510" ca="1">IFERROR(INDEX(nombres[],SMALL(IF(OFFSET(nombres[],0,0,ROWS(nombres[]),1)=UF$1490,ROW(OFFSET(nombres[],0,0,ROWS(nombres[]),1))-ROW(OFFSET(nombres[],0,0,1,1))+1,ROW(OFFSET(nombres[],ROWS(nombres[])-1,0,1,1))+1),$O1491:$O1510),10),"")</f>
        <v/>
      </c>
      <c r="UG1491" s="42" t="str">
        <f t="array" aca="1" ref="UG1491:UG1510" ca="1">IFERROR(INDEX(nombres[],SMALL(IF(OFFSET(nombres[],0,0,ROWS(nombres[]),1)=UG$1490,ROW(OFFSET(nombres[],0,0,ROWS(nombres[]),1))-ROW(OFFSET(nombres[],0,0,1,1))+1,ROW(OFFSET(nombres[],ROWS(nombres[])-1,0,1,1))+1),$O1491:$O1510),10),"")</f>
        <v/>
      </c>
      <c r="UH1491" s="42" t="str">
        <f t="array" aca="1" ref="UH1491:UH1510" ca="1">IFERROR(INDEX(nombres[],SMALL(IF(OFFSET(nombres[],0,0,ROWS(nombres[]),1)=UH$1490,ROW(OFFSET(nombres[],0,0,ROWS(nombres[]),1))-ROW(OFFSET(nombres[],0,0,1,1))+1,ROW(OFFSET(nombres[],ROWS(nombres[])-1,0,1,1))+1),$O1491:$O1510),10),"")</f>
        <v/>
      </c>
      <c r="UI1491" s="42" t="str">
        <f t="array" aca="1" ref="UI1491:UI1510" ca="1">IFERROR(INDEX(nombres[],SMALL(IF(OFFSET(nombres[],0,0,ROWS(nombres[]),1)=UI$1490,ROW(OFFSET(nombres[],0,0,ROWS(nombres[]),1))-ROW(OFFSET(nombres[],0,0,1,1))+1,ROW(OFFSET(nombres[],ROWS(nombres[])-1,0,1,1))+1),$O1491:$O1510),10),"")</f>
        <v/>
      </c>
      <c r="UJ1491" s="42" t="str">
        <f t="array" aca="1" ref="UJ1491:UJ1510" ca="1">IFERROR(INDEX(nombres[],SMALL(IF(OFFSET(nombres[],0,0,ROWS(nombres[]),1)=UJ$1490,ROW(OFFSET(nombres[],0,0,ROWS(nombres[]),1))-ROW(OFFSET(nombres[],0,0,1,1))+1,ROW(OFFSET(nombres[],ROWS(nombres[])-1,0,1,1))+1),$O1491:$O1510),10),"")</f>
        <v/>
      </c>
      <c r="UK1491" s="42" t="str">
        <f t="array" aca="1" ref="UK1491:UK1510" ca="1">IFERROR(INDEX(nombres[],SMALL(IF(OFFSET(nombres[],0,0,ROWS(nombres[]),1)=UK$1490,ROW(OFFSET(nombres[],0,0,ROWS(nombres[]),1))-ROW(OFFSET(nombres[],0,0,1,1))+1,ROW(OFFSET(nombres[],ROWS(nombres[])-1,0,1,1))+1),$O1491:$O1510),10),"")</f>
        <v/>
      </c>
      <c r="UL1491" s="42" t="str">
        <f t="array" aca="1" ref="UL1491:UL1510" ca="1">IFERROR(INDEX(nombres[],SMALL(IF(OFFSET(nombres[],0,0,ROWS(nombres[]),1)=UL$1490,ROW(OFFSET(nombres[],0,0,ROWS(nombres[]),1))-ROW(OFFSET(nombres[],0,0,1,1))+1,ROW(OFFSET(nombres[],ROWS(nombres[])-1,0,1,1))+1),$O1491:$O1510),10),"")</f>
        <v/>
      </c>
      <c r="UM1491" s="42" t="str">
        <f t="array" aca="1" ref="UM1491:UM1510" ca="1">IFERROR(INDEX(nombres[],SMALL(IF(OFFSET(nombres[],0,0,ROWS(nombres[]),1)=UM$1490,ROW(OFFSET(nombres[],0,0,ROWS(nombres[]),1))-ROW(OFFSET(nombres[],0,0,1,1))+1,ROW(OFFSET(nombres[],ROWS(nombres[])-1,0,1,1))+1),$O1491:$O1510),10),"")</f>
        <v/>
      </c>
      <c r="UN1491" s="42" t="str">
        <f t="array" aca="1" ref="UN1491:UN1510" ca="1">IFERROR(INDEX(nombres[],SMALL(IF(OFFSET(nombres[],0,0,ROWS(nombres[]),1)=UN$1490,ROW(OFFSET(nombres[],0,0,ROWS(nombres[]),1))-ROW(OFFSET(nombres[],0,0,1,1))+1,ROW(OFFSET(nombres[],ROWS(nombres[])-1,0,1,1))+1),$O1491:$O1510),10),"")</f>
        <v/>
      </c>
      <c r="UO1491" s="42" t="str">
        <f t="array" aca="1" ref="UO1491:UO1510" ca="1">IFERROR(INDEX(nombres[],SMALL(IF(OFFSET(nombres[],0,0,ROWS(nombres[]),1)=UO$1490,ROW(OFFSET(nombres[],0,0,ROWS(nombres[]),1))-ROW(OFFSET(nombres[],0,0,1,1))+1,ROW(OFFSET(nombres[],ROWS(nombres[])-1,0,1,1))+1),$O1491:$O1510),10),"")</f>
        <v/>
      </c>
      <c r="UP1491" s="42" t="str">
        <f t="array" aca="1" ref="UP1491:UP1510" ca="1">IFERROR(INDEX(nombres[],SMALL(IF(OFFSET(nombres[],0,0,ROWS(nombres[]),1)=UP$1490,ROW(OFFSET(nombres[],0,0,ROWS(nombres[]),1))-ROW(OFFSET(nombres[],0,0,1,1))+1,ROW(OFFSET(nombres[],ROWS(nombres[])-1,0,1,1))+1),$O1491:$O1510),10),"")</f>
        <v/>
      </c>
      <c r="UQ1491" s="42" t="str">
        <f t="array" aca="1" ref="UQ1491:UQ1510" ca="1">IFERROR(INDEX(nombres[],SMALL(IF(OFFSET(nombres[],0,0,ROWS(nombres[]),1)=UQ$1490,ROW(OFFSET(nombres[],0,0,ROWS(nombres[]),1))-ROW(OFFSET(nombres[],0,0,1,1))+1,ROW(OFFSET(nombres[],ROWS(nombres[])-1,0,1,1))+1),$O1491:$O1510),10),"")</f>
        <v/>
      </c>
      <c r="UR1491" s="42" t="str">
        <f t="array" aca="1" ref="UR1491:UR1510" ca="1">IFERROR(INDEX(nombres[],SMALL(IF(OFFSET(nombres[],0,0,ROWS(nombres[]),1)=UR$1490,ROW(OFFSET(nombres[],0,0,ROWS(nombres[]),1))-ROW(OFFSET(nombres[],0,0,1,1))+1,ROW(OFFSET(nombres[],ROWS(nombres[])-1,0,1,1))+1),$O1491:$O1510),10),"")</f>
        <v/>
      </c>
      <c r="US1491" s="42" t="str">
        <f t="array" aca="1" ref="US1491:US1510" ca="1">IFERROR(INDEX(nombres[],SMALL(IF(OFFSET(nombres[],0,0,ROWS(nombres[]),1)=US$1490,ROW(OFFSET(nombres[],0,0,ROWS(nombres[]),1))-ROW(OFFSET(nombres[],0,0,1,1))+1,ROW(OFFSET(nombres[],ROWS(nombres[])-1,0,1,1))+1),$O1491:$O1510),10),"")</f>
        <v/>
      </c>
      <c r="UT1491" s="42" t="str">
        <f t="array" aca="1" ref="UT1491:UT1510" ca="1">IFERROR(INDEX(nombres[],SMALL(IF(OFFSET(nombres[],0,0,ROWS(nombres[]),1)=UT$1490,ROW(OFFSET(nombres[],0,0,ROWS(nombres[]),1))-ROW(OFFSET(nombres[],0,0,1,1))+1,ROW(OFFSET(nombres[],ROWS(nombres[])-1,0,1,1))+1),$O1491:$O1510),10),"")</f>
        <v/>
      </c>
      <c r="UU1491" s="42" t="str">
        <f t="array" aca="1" ref="UU1491:UU1510" ca="1">IFERROR(INDEX(nombres[],SMALL(IF(OFFSET(nombres[],0,0,ROWS(nombres[]),1)=UU$1490,ROW(OFFSET(nombres[],0,0,ROWS(nombres[]),1))-ROW(OFFSET(nombres[],0,0,1,1))+1,ROW(OFFSET(nombres[],ROWS(nombres[])-1,0,1,1))+1),$O1491:$O1510),10),"")</f>
        <v/>
      </c>
      <c r="UV1491" s="42" t="str">
        <f t="array" aca="1" ref="UV1491:UV1510" ca="1">IFERROR(INDEX(nombres[],SMALL(IF(OFFSET(nombres[],0,0,ROWS(nombres[]),1)=UV$1490,ROW(OFFSET(nombres[],0,0,ROWS(nombres[]),1))-ROW(OFFSET(nombres[],0,0,1,1))+1,ROW(OFFSET(nombres[],ROWS(nombres[])-1,0,1,1))+1),$O1491:$O1510),10),"")</f>
        <v/>
      </c>
      <c r="UW1491" s="42" t="str">
        <f t="array" aca="1" ref="UW1491:UW1510" ca="1">IFERROR(INDEX(nombres[],SMALL(IF(OFFSET(nombres[],0,0,ROWS(nombres[]),1)=UW$1490,ROW(OFFSET(nombres[],0,0,ROWS(nombres[]),1))-ROW(OFFSET(nombres[],0,0,1,1))+1,ROW(OFFSET(nombres[],ROWS(nombres[])-1,0,1,1))+1),$O1491:$O1510),10),"")</f>
        <v/>
      </c>
      <c r="UX1491" s="42" t="str">
        <f t="array" aca="1" ref="UX1491:UX1510" ca="1">IFERROR(INDEX(nombres[],SMALL(IF(OFFSET(nombres[],0,0,ROWS(nombres[]),1)=UX$1490,ROW(OFFSET(nombres[],0,0,ROWS(nombres[]),1))-ROW(OFFSET(nombres[],0,0,1,1))+1,ROW(OFFSET(nombres[],ROWS(nombres[])-1,0,1,1))+1),$O1491:$O1510),10),"")</f>
        <v/>
      </c>
      <c r="UY1491" s="42" t="str">
        <f t="array" aca="1" ref="UY1491:UY1510" ca="1">IFERROR(INDEX(nombres[],SMALL(IF(OFFSET(nombres[],0,0,ROWS(nombres[]),1)=UY$1490,ROW(OFFSET(nombres[],0,0,ROWS(nombres[]),1))-ROW(OFFSET(nombres[],0,0,1,1))+1,ROW(OFFSET(nombres[],ROWS(nombres[])-1,0,1,1))+1),$O1491:$O1510),10),"")</f>
        <v/>
      </c>
      <c r="UZ1491" s="42" t="str">
        <f t="array" aca="1" ref="UZ1491:UZ1510" ca="1">IFERROR(INDEX(nombres[],SMALL(IF(OFFSET(nombres[],0,0,ROWS(nombres[]),1)=UZ$1490,ROW(OFFSET(nombres[],0,0,ROWS(nombres[]),1))-ROW(OFFSET(nombres[],0,0,1,1))+1,ROW(OFFSET(nombres[],ROWS(nombres[])-1,0,1,1))+1),$O1491:$O1510),10),"")</f>
        <v/>
      </c>
      <c r="VA1491" s="42" t="str">
        <f t="array" aca="1" ref="VA1491:VA1510" ca="1">IFERROR(INDEX(nombres[],SMALL(IF(OFFSET(nombres[],0,0,ROWS(nombres[]),1)=VA$1490,ROW(OFFSET(nombres[],0,0,ROWS(nombres[]),1))-ROW(OFFSET(nombres[],0,0,1,1))+1,ROW(OFFSET(nombres[],ROWS(nombres[])-1,0,1,1))+1),$O1491:$O1510),10),"")</f>
        <v/>
      </c>
      <c r="VB1491" s="42" t="str">
        <f t="array" aca="1" ref="VB1491:VB1510" ca="1">IFERROR(INDEX(nombres[],SMALL(IF(OFFSET(nombres[],0,0,ROWS(nombres[]),1)=VB$1490,ROW(OFFSET(nombres[],0,0,ROWS(nombres[]),1))-ROW(OFFSET(nombres[],0,0,1,1))+1,ROW(OFFSET(nombres[],ROWS(nombres[])-1,0,1,1))+1),$O1491:$O1510),10),"")</f>
        <v/>
      </c>
      <c r="VC1491" s="42" t="str">
        <f t="array" aca="1" ref="VC1491:VC1510" ca="1">IFERROR(INDEX(nombres[],SMALL(IF(OFFSET(nombres[],0,0,ROWS(nombres[]),1)=VC$1490,ROW(OFFSET(nombres[],0,0,ROWS(nombres[]),1))-ROW(OFFSET(nombres[],0,0,1,1))+1,ROW(OFFSET(nombres[],ROWS(nombres[])-1,0,1,1))+1),$O1491:$O1510),10),"")</f>
        <v/>
      </c>
      <c r="VD1491" s="42" t="str">
        <f t="array" aca="1" ref="VD1491:VD1510" ca="1">IFERROR(INDEX(nombres[],SMALL(IF(OFFSET(nombres[],0,0,ROWS(nombres[]),1)=VD$1490,ROW(OFFSET(nombres[],0,0,ROWS(nombres[]),1))-ROW(OFFSET(nombres[],0,0,1,1))+1,ROW(OFFSET(nombres[],ROWS(nombres[])-1,0,1,1))+1),$O1491:$O1510),10),"")</f>
        <v/>
      </c>
      <c r="VE1491" s="42" t="str">
        <f t="array" aca="1" ref="VE1491:VE1510" ca="1">IFERROR(INDEX(nombres[],SMALL(IF(OFFSET(nombres[],0,0,ROWS(nombres[]),1)=VE$1490,ROW(OFFSET(nombres[],0,0,ROWS(nombres[]),1))-ROW(OFFSET(nombres[],0,0,1,1))+1,ROW(OFFSET(nombres[],ROWS(nombres[])-1,0,1,1))+1),$O1491:$O1510),10),"")</f>
        <v/>
      </c>
      <c r="VF1491" s="42" t="str">
        <f t="array" aca="1" ref="VF1491:VF1510" ca="1">IFERROR(INDEX(nombres[],SMALL(IF(OFFSET(nombres[],0,0,ROWS(nombres[]),1)=VF$1490,ROW(OFFSET(nombres[],0,0,ROWS(nombres[]),1))-ROW(OFFSET(nombres[],0,0,1,1))+1,ROW(OFFSET(nombres[],ROWS(nombres[])-1,0,1,1))+1),$O1491:$O1510),10),"")</f>
        <v/>
      </c>
      <c r="VG1491" s="42" t="str">
        <f t="array" aca="1" ref="VG1491:VG1510" ca="1">IFERROR(INDEX(nombres[],SMALL(IF(OFFSET(nombres[],0,0,ROWS(nombres[]),1)=VG$1490,ROW(OFFSET(nombres[],0,0,ROWS(nombres[]),1))-ROW(OFFSET(nombres[],0,0,1,1))+1,ROW(OFFSET(nombres[],ROWS(nombres[])-1,0,1,1))+1),$O1491:$O1510),10),"")</f>
        <v/>
      </c>
      <c r="VH1491" s="42" t="str">
        <f t="array" aca="1" ref="VH1491:VH1510" ca="1">IFERROR(INDEX(nombres[],SMALL(IF(OFFSET(nombres[],0,0,ROWS(nombres[]),1)=VH$1490,ROW(OFFSET(nombres[],0,0,ROWS(nombres[]),1))-ROW(OFFSET(nombres[],0,0,1,1))+1,ROW(OFFSET(nombres[],ROWS(nombres[])-1,0,1,1))+1),$O1491:$O1510),10),"")</f>
        <v/>
      </c>
      <c r="VI1491" s="42" t="str">
        <f t="array" aca="1" ref="VI1491:VI1510" ca="1">IFERROR(INDEX(nombres[],SMALL(IF(OFFSET(nombres[],0,0,ROWS(nombres[]),1)=VI$1490,ROW(OFFSET(nombres[],0,0,ROWS(nombres[]),1))-ROW(OFFSET(nombres[],0,0,1,1))+1,ROW(OFFSET(nombres[],ROWS(nombres[])-1,0,1,1))+1),$O1491:$O1510),10),"")</f>
        <v/>
      </c>
      <c r="VJ1491" s="42" t="str">
        <f t="array" aca="1" ref="VJ1491:VJ1510" ca="1">IFERROR(INDEX(nombres[],SMALL(IF(OFFSET(nombres[],0,0,ROWS(nombres[]),1)=VJ$1490,ROW(OFFSET(nombres[],0,0,ROWS(nombres[]),1))-ROW(OFFSET(nombres[],0,0,1,1))+1,ROW(OFFSET(nombres[],ROWS(nombres[])-1,0,1,1))+1),$O1491:$O1510),10),"")</f>
        <v/>
      </c>
      <c r="VK1491" s="42" t="str">
        <f t="array" aca="1" ref="VK1491:VK1510" ca="1">IFERROR(INDEX(nombres[],SMALL(IF(OFFSET(nombres[],0,0,ROWS(nombres[]),1)=VK$1490,ROW(OFFSET(nombres[],0,0,ROWS(nombres[]),1))-ROW(OFFSET(nombres[],0,0,1,1))+1,ROW(OFFSET(nombres[],ROWS(nombres[])-1,0,1,1))+1),$O1491:$O1510),10),"")</f>
        <v/>
      </c>
      <c r="VL1491" s="42" t="str">
        <f t="array" aca="1" ref="VL1491:VL1510" ca="1">IFERROR(INDEX(nombres[],SMALL(IF(OFFSET(nombres[],0,0,ROWS(nombres[]),1)=VL$1490,ROW(OFFSET(nombres[],0,0,ROWS(nombres[]),1))-ROW(OFFSET(nombres[],0,0,1,1))+1,ROW(OFFSET(nombres[],ROWS(nombres[])-1,0,1,1))+1),$O1491:$O1510),10),"")</f>
        <v/>
      </c>
      <c r="VM1491" s="42" t="str">
        <f t="array" aca="1" ref="VM1491:VM1510" ca="1">IFERROR(INDEX(nombres[],SMALL(IF(OFFSET(nombres[],0,0,ROWS(nombres[]),1)=VM$1490,ROW(OFFSET(nombres[],0,0,ROWS(nombres[]),1))-ROW(OFFSET(nombres[],0,0,1,1))+1,ROW(OFFSET(nombres[],ROWS(nombres[])-1,0,1,1))+1),$O1491:$O1510),10),"")</f>
        <v/>
      </c>
      <c r="VN1491" s="42" t="str">
        <f t="array" aca="1" ref="VN1491:VN1510" ca="1">IFERROR(INDEX(nombres[],SMALL(IF(OFFSET(nombres[],0,0,ROWS(nombres[]),1)=VN$1490,ROW(OFFSET(nombres[],0,0,ROWS(nombres[]),1))-ROW(OFFSET(nombres[],0,0,1,1))+1,ROW(OFFSET(nombres[],ROWS(nombres[])-1,0,1,1))+1),$O1491:$O1510),10),"")</f>
        <v/>
      </c>
      <c r="VO1491" s="42" t="str">
        <f t="array" aca="1" ref="VO1491:VO1510" ca="1">IFERROR(INDEX(nombres[],SMALL(IF(OFFSET(nombres[],0,0,ROWS(nombres[]),1)=VO$1490,ROW(OFFSET(nombres[],0,0,ROWS(nombres[]),1))-ROW(OFFSET(nombres[],0,0,1,1))+1,ROW(OFFSET(nombres[],ROWS(nombres[])-1,0,1,1))+1),$O1491:$O1510),10),"")</f>
        <v/>
      </c>
      <c r="VP1491" s="42" t="str">
        <f t="array" aca="1" ref="VP1491:VP1510" ca="1">IFERROR(INDEX(nombres[],SMALL(IF(OFFSET(nombres[],0,0,ROWS(nombres[]),1)=VP$1490,ROW(OFFSET(nombres[],0,0,ROWS(nombres[]),1))-ROW(OFFSET(nombres[],0,0,1,1))+1,ROW(OFFSET(nombres[],ROWS(nombres[])-1,0,1,1))+1),$O1491:$O1510),10),"")</f>
        <v/>
      </c>
      <c r="VQ1491" s="42" t="str">
        <f t="array" aca="1" ref="VQ1491:VQ1510" ca="1">IFERROR(INDEX(nombres[],SMALL(IF(OFFSET(nombres[],0,0,ROWS(nombres[]),1)=VQ$1490,ROW(OFFSET(nombres[],0,0,ROWS(nombres[]),1))-ROW(OFFSET(nombres[],0,0,1,1))+1,ROW(OFFSET(nombres[],ROWS(nombres[])-1,0,1,1))+1),$O1491:$O1510),10),"")</f>
        <v/>
      </c>
      <c r="VR1491" s="42" t="str">
        <f t="array" aca="1" ref="VR1491:VR1510" ca="1">IFERROR(INDEX(nombres[],SMALL(IF(OFFSET(nombres[],0,0,ROWS(nombres[]),1)=VR$1490,ROW(OFFSET(nombres[],0,0,ROWS(nombres[]),1))-ROW(OFFSET(nombres[],0,0,1,1))+1,ROW(OFFSET(nombres[],ROWS(nombres[])-1,0,1,1))+1),$O1491:$O1510),10),"")</f>
        <v/>
      </c>
      <c r="VS1491" s="42" t="str">
        <f t="array" aca="1" ref="VS1491:VS1510" ca="1">IFERROR(INDEX(nombres[],SMALL(IF(OFFSET(nombres[],0,0,ROWS(nombres[]),1)=VS$1490,ROW(OFFSET(nombres[],0,0,ROWS(nombres[]),1))-ROW(OFFSET(nombres[],0,0,1,1))+1,ROW(OFFSET(nombres[],ROWS(nombres[])-1,0,1,1))+1),$O1491:$O1510),10),"")</f>
        <v/>
      </c>
      <c r="VT1491" s="42" t="str">
        <f t="array" aca="1" ref="VT1491:VT1510" ca="1">IFERROR(INDEX(nombres[],SMALL(IF(OFFSET(nombres[],0,0,ROWS(nombres[]),1)=VT$1490,ROW(OFFSET(nombres[],0,0,ROWS(nombres[]),1))-ROW(OFFSET(nombres[],0,0,1,1))+1,ROW(OFFSET(nombres[],ROWS(nombres[])-1,0,1,1))+1),$O1491:$O1510),10),"")</f>
        <v/>
      </c>
      <c r="VU1491" s="42" t="str">
        <f t="array" aca="1" ref="VU1491:VU1510" ca="1">IFERROR(INDEX(nombres[],SMALL(IF(OFFSET(nombres[],0,0,ROWS(nombres[]),1)=VU$1490,ROW(OFFSET(nombres[],0,0,ROWS(nombres[]),1))-ROW(OFFSET(nombres[],0,0,1,1))+1,ROW(OFFSET(nombres[],ROWS(nombres[])-1,0,1,1))+1),$O1491:$O1510),10),"")</f>
        <v/>
      </c>
      <c r="VV1491" s="42" t="str">
        <f t="array" aca="1" ref="VV1491:VV1510" ca="1">IFERROR(INDEX(nombres[],SMALL(IF(OFFSET(nombres[],0,0,ROWS(nombres[]),1)=VV$1490,ROW(OFFSET(nombres[],0,0,ROWS(nombres[]),1))-ROW(OFFSET(nombres[],0,0,1,1))+1,ROW(OFFSET(nombres[],ROWS(nombres[])-1,0,1,1))+1),$O1491:$O1510),10),"")</f>
        <v/>
      </c>
      <c r="VW1491" s="42" t="str">
        <f t="array" aca="1" ref="VW1491:VW1510" ca="1">IFERROR(INDEX(nombres[],SMALL(IF(OFFSET(nombres[],0,0,ROWS(nombres[]),1)=VW$1490,ROW(OFFSET(nombres[],0,0,ROWS(nombres[]),1))-ROW(OFFSET(nombres[],0,0,1,1))+1,ROW(OFFSET(nombres[],ROWS(nombres[])-1,0,1,1))+1),$O1491:$O1510),10),"")</f>
        <v/>
      </c>
      <c r="VX1491" s="42" t="str">
        <f t="array" aca="1" ref="VX1491:VX1510" ca="1">IFERROR(INDEX(nombres[],SMALL(IF(OFFSET(nombres[],0,0,ROWS(nombres[]),1)=VX$1490,ROW(OFFSET(nombres[],0,0,ROWS(nombres[]),1))-ROW(OFFSET(nombres[],0,0,1,1))+1,ROW(OFFSET(nombres[],ROWS(nombres[])-1,0,1,1))+1),$O1491:$O1510),10),"")</f>
        <v/>
      </c>
      <c r="VY1491" s="42" t="str">
        <f t="array" aca="1" ref="VY1491:VY1510" ca="1">IFERROR(INDEX(nombres[],SMALL(IF(OFFSET(nombres[],0,0,ROWS(nombres[]),1)=VY$1490,ROW(OFFSET(nombres[],0,0,ROWS(nombres[]),1))-ROW(OFFSET(nombres[],0,0,1,1))+1,ROW(OFFSET(nombres[],ROWS(nombres[])-1,0,1,1))+1),$O1491:$O1510),10),"")</f>
        <v/>
      </c>
      <c r="VZ1491" s="42" t="str">
        <f t="array" aca="1" ref="VZ1491:VZ1510" ca="1">IFERROR(INDEX(nombres[],SMALL(IF(OFFSET(nombres[],0,0,ROWS(nombres[]),1)=VZ$1490,ROW(OFFSET(nombres[],0,0,ROWS(nombres[]),1))-ROW(OFFSET(nombres[],0,0,1,1))+1,ROW(OFFSET(nombres[],ROWS(nombres[])-1,0,1,1))+1),$O1491:$O1510),10),"")</f>
        <v/>
      </c>
      <c r="WA1491" s="42" t="str">
        <f t="array" aca="1" ref="WA1491:WA1510" ca="1">IFERROR(INDEX(nombres[],SMALL(IF(OFFSET(nombres[],0,0,ROWS(nombres[]),1)=WA$1490,ROW(OFFSET(nombres[],0,0,ROWS(nombres[]),1))-ROW(OFFSET(nombres[],0,0,1,1))+1,ROW(OFFSET(nombres[],ROWS(nombres[])-1,0,1,1))+1),$O1491:$O1510),10),"")</f>
        <v/>
      </c>
      <c r="WB1491" s="42" t="str">
        <f t="array" aca="1" ref="WB1491:WB1510" ca="1">IFERROR(INDEX(nombres[],SMALL(IF(OFFSET(nombres[],0,0,ROWS(nombres[]),1)=WB$1490,ROW(OFFSET(nombres[],0,0,ROWS(nombres[]),1))-ROW(OFFSET(nombres[],0,0,1,1))+1,ROW(OFFSET(nombres[],ROWS(nombres[])-1,0,1,1))+1),$O1491:$O1510),10),"")</f>
        <v/>
      </c>
      <c r="WC1491" s="42" t="str">
        <f t="array" aca="1" ref="WC1491:WC1510" ca="1">IFERROR(INDEX(nombres[],SMALL(IF(OFFSET(nombres[],0,0,ROWS(nombres[]),1)=WC$1490,ROW(OFFSET(nombres[],0,0,ROWS(nombres[]),1))-ROW(OFFSET(nombres[],0,0,1,1))+1,ROW(OFFSET(nombres[],ROWS(nombres[])-1,0,1,1))+1),$O1491:$O1510),10),"")</f>
        <v/>
      </c>
      <c r="WD1491" s="42" t="str">
        <f t="array" aca="1" ref="WD1491:WD1510" ca="1">IFERROR(INDEX(nombres[],SMALL(IF(OFFSET(nombres[],0,0,ROWS(nombres[]),1)=WD$1490,ROW(OFFSET(nombres[],0,0,ROWS(nombres[]),1))-ROW(OFFSET(nombres[],0,0,1,1))+1,ROW(OFFSET(nombres[],ROWS(nombres[])-1,0,1,1))+1),$O1491:$O1510),10),"")</f>
        <v/>
      </c>
      <c r="WE1491" s="42" t="str">
        <f t="array" aca="1" ref="WE1491:WE1510" ca="1">IFERROR(INDEX(nombres[],SMALL(IF(OFFSET(nombres[],0,0,ROWS(nombres[]),1)=WE$1490,ROW(OFFSET(nombres[],0,0,ROWS(nombres[]),1))-ROW(OFFSET(nombres[],0,0,1,1))+1,ROW(OFFSET(nombres[],ROWS(nombres[])-1,0,1,1))+1),$O1491:$O1510),10),"")</f>
        <v/>
      </c>
      <c r="WF1491" s="42" t="str">
        <f t="array" aca="1" ref="WF1491:WF1510" ca="1">IFERROR(INDEX(nombres[],SMALL(IF(OFFSET(nombres[],0,0,ROWS(nombres[]),1)=WF$1490,ROW(OFFSET(nombres[],0,0,ROWS(nombres[]),1))-ROW(OFFSET(nombres[],0,0,1,1))+1,ROW(OFFSET(nombres[],ROWS(nombres[])-1,0,1,1))+1),$O1491:$O1510),10),"")</f>
        <v/>
      </c>
      <c r="WG1491" s="42" t="str">
        <f t="array" aca="1" ref="WG1491:WG1510" ca="1">IFERROR(INDEX(nombres[],SMALL(IF(OFFSET(nombres[],0,0,ROWS(nombres[]),1)=WG$1490,ROW(OFFSET(nombres[],0,0,ROWS(nombres[]),1))-ROW(OFFSET(nombres[],0,0,1,1))+1,ROW(OFFSET(nombres[],ROWS(nombres[])-1,0,1,1))+1),$O1491:$O1510),10),"")</f>
        <v/>
      </c>
      <c r="WH1491" s="42" t="str">
        <f t="array" aca="1" ref="WH1491:WH1510" ca="1">IFERROR(INDEX(nombres[],SMALL(IF(OFFSET(nombres[],0,0,ROWS(nombres[]),1)=WH$1490,ROW(OFFSET(nombres[],0,0,ROWS(nombres[]),1))-ROW(OFFSET(nombres[],0,0,1,1))+1,ROW(OFFSET(nombres[],ROWS(nombres[])-1,0,1,1))+1),$O1491:$O1510),10),"")</f>
        <v/>
      </c>
      <c r="WI1491" s="42" t="str">
        <f t="array" aca="1" ref="WI1491:WI1510" ca="1">IFERROR(INDEX(nombres[],SMALL(IF(OFFSET(nombres[],0,0,ROWS(nombres[]),1)=WI$1490,ROW(OFFSET(nombres[],0,0,ROWS(nombres[]),1))-ROW(OFFSET(nombres[],0,0,1,1))+1,ROW(OFFSET(nombres[],ROWS(nombres[])-1,0,1,1))+1),$O1491:$O1510),10),"")</f>
        <v/>
      </c>
      <c r="WJ1491" s="42" t="str">
        <f t="array" aca="1" ref="WJ1491:WJ1510" ca="1">IFERROR(INDEX(nombres[],SMALL(IF(OFFSET(nombres[],0,0,ROWS(nombres[]),1)=WJ$1490,ROW(OFFSET(nombres[],0,0,ROWS(nombres[]),1))-ROW(OFFSET(nombres[],0,0,1,1))+1,ROW(OFFSET(nombres[],ROWS(nombres[])-1,0,1,1))+1),$O1491:$O1510),10),"")</f>
        <v/>
      </c>
      <c r="WK1491" s="42" t="str">
        <f t="array" aca="1" ref="WK1491:WK1510" ca="1">IFERROR(INDEX(nombres[],SMALL(IF(OFFSET(nombres[],0,0,ROWS(nombres[]),1)=WK$1490,ROW(OFFSET(nombres[],0,0,ROWS(nombres[]),1))-ROW(OFFSET(nombres[],0,0,1,1))+1,ROW(OFFSET(nombres[],ROWS(nombres[])-1,0,1,1))+1),$O1491:$O1510),10),"")</f>
        <v/>
      </c>
      <c r="WL1491" s="42" t="str">
        <f t="array" aca="1" ref="WL1491:WL1510" ca="1">IFERROR(INDEX(nombres[],SMALL(IF(OFFSET(nombres[],0,0,ROWS(nombres[]),1)=WL$1490,ROW(OFFSET(nombres[],0,0,ROWS(nombres[]),1))-ROW(OFFSET(nombres[],0,0,1,1))+1,ROW(OFFSET(nombres[],ROWS(nombres[])-1,0,1,1))+1),$O1491:$O1510),10),"")</f>
        <v/>
      </c>
      <c r="WM1491" s="42" t="str">
        <f t="array" aca="1" ref="WM1491:WM1510" ca="1">IFERROR(INDEX(nombres[],SMALL(IF(OFFSET(nombres[],0,0,ROWS(nombres[]),1)=WM$1490,ROW(OFFSET(nombres[],0,0,ROWS(nombres[]),1))-ROW(OFFSET(nombres[],0,0,1,1))+1,ROW(OFFSET(nombres[],ROWS(nombres[])-1,0,1,1))+1),$O1491:$O1510),10),"")</f>
        <v/>
      </c>
      <c r="WN1491" s="42" t="str">
        <f t="array" aca="1" ref="WN1491:WN1510" ca="1">IFERROR(INDEX(nombres[],SMALL(IF(OFFSET(nombres[],0,0,ROWS(nombres[]),1)=WN$1490,ROW(OFFSET(nombres[],0,0,ROWS(nombres[]),1))-ROW(OFFSET(nombres[],0,0,1,1))+1,ROW(OFFSET(nombres[],ROWS(nombres[])-1,0,1,1))+1),$O1491:$O1510),10),"")</f>
        <v/>
      </c>
      <c r="WO1491" s="42" t="str">
        <f t="array" aca="1" ref="WO1491:WO1510" ca="1">IFERROR(INDEX(nombres[],SMALL(IF(OFFSET(nombres[],0,0,ROWS(nombres[]),1)=WO$1490,ROW(OFFSET(nombres[],0,0,ROWS(nombres[]),1))-ROW(OFFSET(nombres[],0,0,1,1))+1,ROW(OFFSET(nombres[],ROWS(nombres[])-1,0,1,1))+1),$O1491:$O1510),10),"")</f>
        <v/>
      </c>
      <c r="WP1491" s="42" t="str">
        <f t="array" aca="1" ref="WP1491:WP1510" ca="1">IFERROR(INDEX(nombres[],SMALL(IF(OFFSET(nombres[],0,0,ROWS(nombres[]),1)=WP$1490,ROW(OFFSET(nombres[],0,0,ROWS(nombres[]),1))-ROW(OFFSET(nombres[],0,0,1,1))+1,ROW(OFFSET(nombres[],ROWS(nombres[])-1,0,1,1))+1),$O1491:$O1510),10),"")</f>
        <v/>
      </c>
      <c r="WQ1491" s="42" t="str">
        <f t="array" aca="1" ref="WQ1491:WQ1510" ca="1">IFERROR(INDEX(nombres[],SMALL(IF(OFFSET(nombres[],0,0,ROWS(nombres[]),1)=WQ$1490,ROW(OFFSET(nombres[],0,0,ROWS(nombres[]),1))-ROW(OFFSET(nombres[],0,0,1,1))+1,ROW(OFFSET(nombres[],ROWS(nombres[])-1,0,1,1))+1),$O1491:$O1510),10),"")</f>
        <v/>
      </c>
      <c r="WR1491" s="42" t="str">
        <f t="array" aca="1" ref="WR1491:WR1510" ca="1">IFERROR(INDEX(nombres[],SMALL(IF(OFFSET(nombres[],0,0,ROWS(nombres[]),1)=WR$1490,ROW(OFFSET(nombres[],0,0,ROWS(nombres[]),1))-ROW(OFFSET(nombres[],0,0,1,1))+1,ROW(OFFSET(nombres[],ROWS(nombres[])-1,0,1,1))+1),$O1491:$O1510),10),"")</f>
        <v/>
      </c>
      <c r="WS1491" s="42" t="str">
        <f t="array" aca="1" ref="WS1491:WS1510" ca="1">IFERROR(INDEX(nombres[],SMALL(IF(OFFSET(nombres[],0,0,ROWS(nombres[]),1)=WS$1490,ROW(OFFSET(nombres[],0,0,ROWS(nombres[]),1))-ROW(OFFSET(nombres[],0,0,1,1))+1,ROW(OFFSET(nombres[],ROWS(nombres[])-1,0,1,1))+1),$O1491:$O1510),10),"")</f>
        <v/>
      </c>
      <c r="WT1491" s="42" t="str">
        <f t="array" aca="1" ref="WT1491:WT1510" ca="1">IFERROR(INDEX(nombres[],SMALL(IF(OFFSET(nombres[],0,0,ROWS(nombres[]),1)=WT$1490,ROW(OFFSET(nombres[],0,0,ROWS(nombres[]),1))-ROW(OFFSET(nombres[],0,0,1,1))+1,ROW(OFFSET(nombres[],ROWS(nombres[])-1,0,1,1))+1),$O1491:$O1510),10),"")</f>
        <v/>
      </c>
      <c r="WU1491" s="42" t="str">
        <f t="array" aca="1" ref="WU1491:WU1510" ca="1">IFERROR(INDEX(nombres[],SMALL(IF(OFFSET(nombres[],0,0,ROWS(nombres[]),1)=WU$1490,ROW(OFFSET(nombres[],0,0,ROWS(nombres[]),1))-ROW(OFFSET(nombres[],0,0,1,1))+1,ROW(OFFSET(nombres[],ROWS(nombres[])-1,0,1,1))+1),$O1491:$O1510),10),"")</f>
        <v/>
      </c>
      <c r="WV1491" s="42" t="str">
        <f t="array" aca="1" ref="WV1491:WV1510" ca="1">IFERROR(INDEX(nombres[],SMALL(IF(OFFSET(nombres[],0,0,ROWS(nombres[]),1)=WV$1490,ROW(OFFSET(nombres[],0,0,ROWS(nombres[]),1))-ROW(OFFSET(nombres[],0,0,1,1))+1,ROW(OFFSET(nombres[],ROWS(nombres[])-1,0,1,1))+1),$O1491:$O1510),10),"")</f>
        <v/>
      </c>
      <c r="WW1491" s="42" t="str">
        <f t="array" aca="1" ref="WW1491:WW1510" ca="1">IFERROR(INDEX(nombres[],SMALL(IF(OFFSET(nombres[],0,0,ROWS(nombres[]),1)=WW$1490,ROW(OFFSET(nombres[],0,0,ROWS(nombres[]),1))-ROW(OFFSET(nombres[],0,0,1,1))+1,ROW(OFFSET(nombres[],ROWS(nombres[])-1,0,1,1))+1),$O1491:$O1510),10),"")</f>
        <v/>
      </c>
      <c r="WX1491" s="42" t="str">
        <f t="array" aca="1" ref="WX1491:WX1510" ca="1">IFERROR(INDEX(nombres[],SMALL(IF(OFFSET(nombres[],0,0,ROWS(nombres[]),1)=WX$1490,ROW(OFFSET(nombres[],0,0,ROWS(nombres[]),1))-ROW(OFFSET(nombres[],0,0,1,1))+1,ROW(OFFSET(nombres[],ROWS(nombres[])-1,0,1,1))+1),$O1491:$O1510),10),"")</f>
        <v/>
      </c>
      <c r="WY1491" s="42" t="str">
        <f t="array" aca="1" ref="WY1491:WY1510" ca="1">IFERROR(INDEX(nombres[],SMALL(IF(OFFSET(nombres[],0,0,ROWS(nombres[]),1)=WY$1490,ROW(OFFSET(nombres[],0,0,ROWS(nombres[]),1))-ROW(OFFSET(nombres[],0,0,1,1))+1,ROW(OFFSET(nombres[],ROWS(nombres[])-1,0,1,1))+1),$O1491:$O1510),10),"")</f>
        <v/>
      </c>
      <c r="WZ1491" s="42" t="str">
        <f t="array" aca="1" ref="WZ1491:WZ1510" ca="1">IFERROR(INDEX(nombres[],SMALL(IF(OFFSET(nombres[],0,0,ROWS(nombres[]),1)=WZ$1490,ROW(OFFSET(nombres[],0,0,ROWS(nombres[]),1))-ROW(OFFSET(nombres[],0,0,1,1))+1,ROW(OFFSET(nombres[],ROWS(nombres[])-1,0,1,1))+1),$O1491:$O1510),10),"")</f>
        <v/>
      </c>
      <c r="XA1491" s="42" t="str">
        <f t="array" aca="1" ref="XA1491:XA1510" ca="1">IFERROR(INDEX(nombres[],SMALL(IF(OFFSET(nombres[],0,0,ROWS(nombres[]),1)=XA$1490,ROW(OFFSET(nombres[],0,0,ROWS(nombres[]),1))-ROW(OFFSET(nombres[],0,0,1,1))+1,ROW(OFFSET(nombres[],ROWS(nombres[])-1,0,1,1))+1),$O1491:$O1510),10),"")</f>
        <v/>
      </c>
      <c r="XB1491" s="42" t="str">
        <f t="array" aca="1" ref="XB1491:XB1510" ca="1">IFERROR(INDEX(nombres[],SMALL(IF(OFFSET(nombres[],0,0,ROWS(nombres[]),1)=XB$1490,ROW(OFFSET(nombres[],0,0,ROWS(nombres[]),1))-ROW(OFFSET(nombres[],0,0,1,1))+1,ROW(OFFSET(nombres[],ROWS(nombres[])-1,0,1,1))+1),$O1491:$O1510),10),"")</f>
        <v/>
      </c>
      <c r="XC1491" s="42" t="str">
        <f t="array" aca="1" ref="XC1491:XC1510" ca="1">IFERROR(INDEX(nombres[],SMALL(IF(OFFSET(nombres[],0,0,ROWS(nombres[]),1)=XC$1490,ROW(OFFSET(nombres[],0,0,ROWS(nombres[]),1))-ROW(OFFSET(nombres[],0,0,1,1))+1,ROW(OFFSET(nombres[],ROWS(nombres[])-1,0,1,1))+1),$O1491:$O1510),10),"")</f>
        <v/>
      </c>
      <c r="XD1491" s="42" t="str">
        <f t="array" aca="1" ref="XD1491:XD1510" ca="1">IFERROR(INDEX(nombres[],SMALL(IF(OFFSET(nombres[],0,0,ROWS(nombres[]),1)=XD$1490,ROW(OFFSET(nombres[],0,0,ROWS(nombres[]),1))-ROW(OFFSET(nombres[],0,0,1,1))+1,ROW(OFFSET(nombres[],ROWS(nombres[])-1,0,1,1))+1),$O1491:$O1510),10),"")</f>
        <v/>
      </c>
      <c r="XE1491" s="42" t="str">
        <f t="array" aca="1" ref="XE1491:XE1510" ca="1">IFERROR(INDEX(nombres[],SMALL(IF(OFFSET(nombres[],0,0,ROWS(nombres[]),1)=XE$1490,ROW(OFFSET(nombres[],0,0,ROWS(nombres[]),1))-ROW(OFFSET(nombres[],0,0,1,1))+1,ROW(OFFSET(nombres[],ROWS(nombres[])-1,0,1,1))+1),$O1491:$O1510),10),"")</f>
        <v/>
      </c>
      <c r="XF1491" s="42" t="str">
        <f t="array" aca="1" ref="XF1491:XF1510" ca="1">IFERROR(INDEX(nombres[],SMALL(IF(OFFSET(nombres[],0,0,ROWS(nombres[]),1)=XF$1490,ROW(OFFSET(nombres[],0,0,ROWS(nombres[]),1))-ROW(OFFSET(nombres[],0,0,1,1))+1,ROW(OFFSET(nombres[],ROWS(nombres[])-1,0,1,1))+1),$O1491:$O1510),10),"")</f>
        <v/>
      </c>
      <c r="XG1491" s="42" t="str">
        <f t="array" aca="1" ref="XG1491:XG1510" ca="1">IFERROR(INDEX(nombres[],SMALL(IF(OFFSET(nombres[],0,0,ROWS(nombres[]),1)=XG$1490,ROW(OFFSET(nombres[],0,0,ROWS(nombres[]),1))-ROW(OFFSET(nombres[],0,0,1,1))+1,ROW(OFFSET(nombres[],ROWS(nombres[])-1,0,1,1))+1),$O1491:$O1510),10),"")</f>
        <v/>
      </c>
      <c r="XH1491" s="42" t="str">
        <f t="array" aca="1" ref="XH1491:XH1510" ca="1">IFERROR(INDEX(nombres[],SMALL(IF(OFFSET(nombres[],0,0,ROWS(nombres[]),1)=XH$1490,ROW(OFFSET(nombres[],0,0,ROWS(nombres[]),1))-ROW(OFFSET(nombres[],0,0,1,1))+1,ROW(OFFSET(nombres[],ROWS(nombres[])-1,0,1,1))+1),$O1491:$O1510),10),"")</f>
        <v/>
      </c>
      <c r="XI1491" s="42" t="str">
        <f t="array" aca="1" ref="XI1491:XI1510" ca="1">IFERROR(INDEX(nombres[],SMALL(IF(OFFSET(nombres[],0,0,ROWS(nombres[]),1)=XI$1490,ROW(OFFSET(nombres[],0,0,ROWS(nombres[]),1))-ROW(OFFSET(nombres[],0,0,1,1))+1,ROW(OFFSET(nombres[],ROWS(nombres[])-1,0,1,1))+1),$O1491:$O1510),10),"")</f>
        <v/>
      </c>
      <c r="XJ1491" s="42" t="str">
        <f t="array" aca="1" ref="XJ1491:XJ1510" ca="1">IFERROR(INDEX(nombres[],SMALL(IF(OFFSET(nombres[],0,0,ROWS(nombres[]),1)=XJ$1490,ROW(OFFSET(nombres[],0,0,ROWS(nombres[]),1))-ROW(OFFSET(nombres[],0,0,1,1))+1,ROW(OFFSET(nombres[],ROWS(nombres[])-1,0,1,1))+1),$O1491:$O1510),10),"")</f>
        <v/>
      </c>
      <c r="XK1491" s="42" t="str">
        <f t="array" aca="1" ref="XK1491:XK1510" ca="1">IFERROR(INDEX(nombres[],SMALL(IF(OFFSET(nombres[],0,0,ROWS(nombres[]),1)=XK$1490,ROW(OFFSET(nombres[],0,0,ROWS(nombres[]),1))-ROW(OFFSET(nombres[],0,0,1,1))+1,ROW(OFFSET(nombres[],ROWS(nombres[])-1,0,1,1))+1),$O1491:$O1510),10),"")</f>
        <v/>
      </c>
      <c r="XL1491" s="42" t="str">
        <f t="array" aca="1" ref="XL1491:XL1510" ca="1">IFERROR(INDEX(nombres[],SMALL(IF(OFFSET(nombres[],0,0,ROWS(nombres[]),1)=XL$1490,ROW(OFFSET(nombres[],0,0,ROWS(nombres[]),1))-ROW(OFFSET(nombres[],0,0,1,1))+1,ROW(OFFSET(nombres[],ROWS(nombres[])-1,0,1,1))+1),$O1491:$O1510),10),"")</f>
        <v/>
      </c>
      <c r="XM1491" s="42" t="str">
        <f t="array" aca="1" ref="XM1491:XM1510" ca="1">IFERROR(INDEX(nombres[],SMALL(IF(OFFSET(nombres[],0,0,ROWS(nombres[]),1)=XM$1490,ROW(OFFSET(nombres[],0,0,ROWS(nombres[]),1))-ROW(OFFSET(nombres[],0,0,1,1))+1,ROW(OFFSET(nombres[],ROWS(nombres[])-1,0,1,1))+1),$O1491:$O1510),10),"")</f>
        <v/>
      </c>
      <c r="XN1491" s="42" t="str">
        <f t="array" aca="1" ref="XN1491:XN1510" ca="1">IFERROR(INDEX(nombres[],SMALL(IF(OFFSET(nombres[],0,0,ROWS(nombres[]),1)=XN$1490,ROW(OFFSET(nombres[],0,0,ROWS(nombres[]),1))-ROW(OFFSET(nombres[],0,0,1,1))+1,ROW(OFFSET(nombres[],ROWS(nombres[])-1,0,1,1))+1),$O1491:$O1510),10),"")</f>
        <v/>
      </c>
      <c r="XO1491" s="42" t="str">
        <f t="array" aca="1" ref="XO1491:XO1510" ca="1">IFERROR(INDEX(nombres[],SMALL(IF(OFFSET(nombres[],0,0,ROWS(nombres[]),1)=XO$1490,ROW(OFFSET(nombres[],0,0,ROWS(nombres[]),1))-ROW(OFFSET(nombres[],0,0,1,1))+1,ROW(OFFSET(nombres[],ROWS(nombres[])-1,0,1,1))+1),$O1491:$O1510),10),"")</f>
        <v/>
      </c>
      <c r="XP1491" s="42" t="str">
        <f t="array" aca="1" ref="XP1491:XP1510" ca="1">IFERROR(INDEX(nombres[],SMALL(IF(OFFSET(nombres[],0,0,ROWS(nombres[]),1)=XP$1490,ROW(OFFSET(nombres[],0,0,ROWS(nombres[]),1))-ROW(OFFSET(nombres[],0,0,1,1))+1,ROW(OFFSET(nombres[],ROWS(nombres[])-1,0,1,1))+1),$O1491:$O1510),10),"")</f>
        <v/>
      </c>
      <c r="XQ1491" s="42" t="str">
        <f t="array" aca="1" ref="XQ1491:XQ1510" ca="1">IFERROR(INDEX(nombres[],SMALL(IF(OFFSET(nombres[],0,0,ROWS(nombres[]),1)=XQ$1490,ROW(OFFSET(nombres[],0,0,ROWS(nombres[]),1))-ROW(OFFSET(nombres[],0,0,1,1))+1,ROW(OFFSET(nombres[],ROWS(nombres[])-1,0,1,1))+1),$O1491:$O1510),10),"")</f>
        <v/>
      </c>
      <c r="XR1491" s="42" t="str">
        <f t="array" aca="1" ref="XR1491:XR1510" ca="1">IFERROR(INDEX(nombres[],SMALL(IF(OFFSET(nombres[],0,0,ROWS(nombres[]),1)=XR$1490,ROW(OFFSET(nombres[],0,0,ROWS(nombres[]),1))-ROW(OFFSET(nombres[],0,0,1,1))+1,ROW(OFFSET(nombres[],ROWS(nombres[])-1,0,1,1))+1),$O1491:$O1510),10),"")</f>
        <v/>
      </c>
      <c r="XS1491" s="42" t="str">
        <f t="array" aca="1" ref="XS1491:XS1510" ca="1">IFERROR(INDEX(nombres[],SMALL(IF(OFFSET(nombres[],0,0,ROWS(nombres[]),1)=XS$1490,ROW(OFFSET(nombres[],0,0,ROWS(nombres[]),1))-ROW(OFFSET(nombres[],0,0,1,1))+1,ROW(OFFSET(nombres[],ROWS(nombres[])-1,0,1,1))+1),$O1491:$O1510),10),"")</f>
        <v/>
      </c>
      <c r="XT1491" s="42" t="str">
        <f t="array" aca="1" ref="XT1491:XT1510" ca="1">IFERROR(INDEX(nombres[],SMALL(IF(OFFSET(nombres[],0,0,ROWS(nombres[]),1)=XT$1490,ROW(OFFSET(nombres[],0,0,ROWS(nombres[]),1))-ROW(OFFSET(nombres[],0,0,1,1))+1,ROW(OFFSET(nombres[],ROWS(nombres[])-1,0,1,1))+1),$O1491:$O1510),10),"")</f>
        <v/>
      </c>
      <c r="XU1491" s="42" t="str">
        <f t="array" aca="1" ref="XU1491:XU1510" ca="1">IFERROR(INDEX(nombres[],SMALL(IF(OFFSET(nombres[],0,0,ROWS(nombres[]),1)=XU$1490,ROW(OFFSET(nombres[],0,0,ROWS(nombres[]),1))-ROW(OFFSET(nombres[],0,0,1,1))+1,ROW(OFFSET(nombres[],ROWS(nombres[])-1,0,1,1))+1),$O1491:$O1510),10),"")</f>
        <v/>
      </c>
      <c r="XV1491" s="42" t="str">
        <f t="array" aca="1" ref="XV1491:XV1510" ca="1">IFERROR(INDEX(nombres[],SMALL(IF(OFFSET(nombres[],0,0,ROWS(nombres[]),1)=XV$1490,ROW(OFFSET(nombres[],0,0,ROWS(nombres[]),1))-ROW(OFFSET(nombres[],0,0,1,1))+1,ROW(OFFSET(nombres[],ROWS(nombres[])-1,0,1,1))+1),$O1491:$O1510),10),"")</f>
        <v/>
      </c>
      <c r="XW1491" s="42" t="str">
        <f t="array" aca="1" ref="XW1491:XW1510" ca="1">IFERROR(INDEX(nombres[],SMALL(IF(OFFSET(nombres[],0,0,ROWS(nombres[]),1)=XW$1490,ROW(OFFSET(nombres[],0,0,ROWS(nombres[]),1))-ROW(OFFSET(nombres[],0,0,1,1))+1,ROW(OFFSET(nombres[],ROWS(nombres[])-1,0,1,1))+1),$O1491:$O1510),10),"")</f>
        <v/>
      </c>
      <c r="XX1491" s="42" t="str">
        <f t="array" aca="1" ref="XX1491:XX1510" ca="1">IFERROR(INDEX(nombres[],SMALL(IF(OFFSET(nombres[],0,0,ROWS(nombres[]),1)=XX$1490,ROW(OFFSET(nombres[],0,0,ROWS(nombres[]),1))-ROW(OFFSET(nombres[],0,0,1,1))+1,ROW(OFFSET(nombres[],ROWS(nombres[])-1,0,1,1))+1),$O1491:$O1510),10),"")</f>
        <v/>
      </c>
      <c r="XY1491" s="42" t="str">
        <f t="array" aca="1" ref="XY1491:XY1510" ca="1">IFERROR(INDEX(nombres[],SMALL(IF(OFFSET(nombres[],0,0,ROWS(nombres[]),1)=XY$1490,ROW(OFFSET(nombres[],0,0,ROWS(nombres[]),1))-ROW(OFFSET(nombres[],0,0,1,1))+1,ROW(OFFSET(nombres[],ROWS(nombres[])-1,0,1,1))+1),$O1491:$O1510),10),"")</f>
        <v/>
      </c>
      <c r="XZ1491" s="42" t="str">
        <f t="array" aca="1" ref="XZ1491:XZ1510" ca="1">IFERROR(INDEX(nombres[],SMALL(IF(OFFSET(nombres[],0,0,ROWS(nombres[]),1)=XZ$1490,ROW(OFFSET(nombres[],0,0,ROWS(nombres[]),1))-ROW(OFFSET(nombres[],0,0,1,1))+1,ROW(OFFSET(nombres[],ROWS(nombres[])-1,0,1,1))+1),$O1491:$O1510),10),"")</f>
        <v/>
      </c>
      <c r="YA1491" s="42" t="str">
        <f t="array" aca="1" ref="YA1491:YA1510" ca="1">IFERROR(INDEX(nombres[],SMALL(IF(OFFSET(nombres[],0,0,ROWS(nombres[]),1)=YA$1490,ROW(OFFSET(nombres[],0,0,ROWS(nombres[]),1))-ROW(OFFSET(nombres[],0,0,1,1))+1,ROW(OFFSET(nombres[],ROWS(nombres[])-1,0,1,1))+1),$O1491:$O1510),10),"")</f>
        <v/>
      </c>
      <c r="YB1491" s="42" t="str">
        <f t="array" aca="1" ref="YB1491:YB1510" ca="1">IFERROR(INDEX(nombres[],SMALL(IF(OFFSET(nombres[],0,0,ROWS(nombres[]),1)=YB$1490,ROW(OFFSET(nombres[],0,0,ROWS(nombres[]),1))-ROW(OFFSET(nombres[],0,0,1,1))+1,ROW(OFFSET(nombres[],ROWS(nombres[])-1,0,1,1))+1),$O1491:$O1510),10),"")</f>
        <v/>
      </c>
      <c r="YC1491" s="42" t="str">
        <f t="array" aca="1" ref="YC1491:YC1510" ca="1">IFERROR(INDEX(nombres[],SMALL(IF(OFFSET(nombres[],0,0,ROWS(nombres[]),1)=YC$1490,ROW(OFFSET(nombres[],0,0,ROWS(nombres[]),1))-ROW(OFFSET(nombres[],0,0,1,1))+1,ROW(OFFSET(nombres[],ROWS(nombres[])-1,0,1,1))+1),$O1491:$O1510),10),"")</f>
        <v/>
      </c>
      <c r="YD1491" s="42" t="str">
        <f t="array" aca="1" ref="YD1491:YD1510" ca="1">IFERROR(INDEX(nombres[],SMALL(IF(OFFSET(nombres[],0,0,ROWS(nombres[]),1)=YD$1490,ROW(OFFSET(nombres[],0,0,ROWS(nombres[]),1))-ROW(OFFSET(nombres[],0,0,1,1))+1,ROW(OFFSET(nombres[],ROWS(nombres[])-1,0,1,1))+1),$O1491:$O1510),10),"")</f>
        <v/>
      </c>
      <c r="YE1491" s="42" t="str">
        <f t="array" aca="1" ref="YE1491:YE1510" ca="1">IFERROR(INDEX(nombres[],SMALL(IF(OFFSET(nombres[],0,0,ROWS(nombres[]),1)=YE$1490,ROW(OFFSET(nombres[],0,0,ROWS(nombres[]),1))-ROW(OFFSET(nombres[],0,0,1,1))+1,ROW(OFFSET(nombres[],ROWS(nombres[])-1,0,1,1))+1),$O1491:$O1510),10),"")</f>
        <v/>
      </c>
      <c r="YF1491" s="42" t="str">
        <f t="array" aca="1" ref="YF1491:YF1510" ca="1">IFERROR(INDEX(nombres[],SMALL(IF(OFFSET(nombres[],0,0,ROWS(nombres[]),1)=YF$1490,ROW(OFFSET(nombres[],0,0,ROWS(nombres[]),1))-ROW(OFFSET(nombres[],0,0,1,1))+1,ROW(OFFSET(nombres[],ROWS(nombres[])-1,0,1,1))+1),$O1491:$O1510),10),"")</f>
        <v/>
      </c>
      <c r="YG1491" s="42" t="str">
        <f t="array" aca="1" ref="YG1491:YG1510" ca="1">IFERROR(INDEX(nombres[],SMALL(IF(OFFSET(nombres[],0,0,ROWS(nombres[]),1)=YG$1490,ROW(OFFSET(nombres[],0,0,ROWS(nombres[]),1))-ROW(OFFSET(nombres[],0,0,1,1))+1,ROW(OFFSET(nombres[],ROWS(nombres[])-1,0,1,1))+1),$O1491:$O1510),10),"")</f>
        <v/>
      </c>
      <c r="YH1491" s="42" t="str">
        <f t="array" aca="1" ref="YH1491:YH1510" ca="1">IFERROR(INDEX(nombres[],SMALL(IF(OFFSET(nombres[],0,0,ROWS(nombres[]),1)=YH$1490,ROW(OFFSET(nombres[],0,0,ROWS(nombres[]),1))-ROW(OFFSET(nombres[],0,0,1,1))+1,ROW(OFFSET(nombres[],ROWS(nombres[])-1,0,1,1))+1),$O1491:$O1510),10),"")</f>
        <v/>
      </c>
      <c r="YI1491" s="42" t="str">
        <f t="array" aca="1" ref="YI1491:YI1510" ca="1">IFERROR(INDEX(nombres[],SMALL(IF(OFFSET(nombres[],0,0,ROWS(nombres[]),1)=YI$1490,ROW(OFFSET(nombres[],0,0,ROWS(nombres[]),1))-ROW(OFFSET(nombres[],0,0,1,1))+1,ROW(OFFSET(nombres[],ROWS(nombres[])-1,0,1,1))+1),$O1491:$O1510),10),"")</f>
        <v/>
      </c>
      <c r="YJ1491" s="42" t="str">
        <f t="array" aca="1" ref="YJ1491:YJ1510" ca="1">IFERROR(INDEX(nombres[],SMALL(IF(OFFSET(nombres[],0,0,ROWS(nombres[]),1)=YJ$1490,ROW(OFFSET(nombres[],0,0,ROWS(nombres[]),1))-ROW(OFFSET(nombres[],0,0,1,1))+1,ROW(OFFSET(nombres[],ROWS(nombres[])-1,0,1,1))+1),$O1491:$O1510),10),"")</f>
        <v/>
      </c>
      <c r="YK1491" s="42" t="str">
        <f t="array" aca="1" ref="YK1491:YK1510" ca="1">IFERROR(INDEX(nombres[],SMALL(IF(OFFSET(nombres[],0,0,ROWS(nombres[]),1)=YK$1490,ROW(OFFSET(nombres[],0,0,ROWS(nombres[]),1))-ROW(OFFSET(nombres[],0,0,1,1))+1,ROW(OFFSET(nombres[],ROWS(nombres[])-1,0,1,1))+1),$O1491:$O1510),10),"")</f>
        <v/>
      </c>
      <c r="YL1491" s="42" t="str">
        <f t="array" aca="1" ref="YL1491:YL1510" ca="1">IFERROR(INDEX(nombres[],SMALL(IF(OFFSET(nombres[],0,0,ROWS(nombres[]),1)=YL$1490,ROW(OFFSET(nombres[],0,0,ROWS(nombres[]),1))-ROW(OFFSET(nombres[],0,0,1,1))+1,ROW(OFFSET(nombres[],ROWS(nombres[])-1,0,1,1))+1),$O1491:$O1510),10),"")</f>
        <v/>
      </c>
      <c r="YM1491" s="42" t="str">
        <f t="array" aca="1" ref="YM1491:YM1510" ca="1">IFERROR(INDEX(nombres[],SMALL(IF(OFFSET(nombres[],0,0,ROWS(nombres[]),1)=YM$1490,ROW(OFFSET(nombres[],0,0,ROWS(nombres[]),1))-ROW(OFFSET(nombres[],0,0,1,1))+1,ROW(OFFSET(nombres[],ROWS(nombres[])-1,0,1,1))+1),$O1491:$O1510),10),"")</f>
        <v/>
      </c>
      <c r="YN1491" s="42" t="str">
        <f t="array" aca="1" ref="YN1491:YN1510" ca="1">IFERROR(INDEX(nombres[],SMALL(IF(OFFSET(nombres[],0,0,ROWS(nombres[]),1)=YN$1490,ROW(OFFSET(nombres[],0,0,ROWS(nombres[]),1))-ROW(OFFSET(nombres[],0,0,1,1))+1,ROW(OFFSET(nombres[],ROWS(nombres[])-1,0,1,1))+1),$O1491:$O1510),10),"")</f>
        <v/>
      </c>
      <c r="YO1491" s="42" t="str">
        <f t="array" aca="1" ref="YO1491:YO1510" ca="1">IFERROR(INDEX(nombres[],SMALL(IF(OFFSET(nombres[],0,0,ROWS(nombres[]),1)=YO$1490,ROW(OFFSET(nombres[],0,0,ROWS(nombres[]),1))-ROW(OFFSET(nombres[],0,0,1,1))+1,ROW(OFFSET(nombres[],ROWS(nombres[])-1,0,1,1))+1),$O1491:$O1510),10),"")</f>
        <v/>
      </c>
      <c r="YP1491" s="42" t="str">
        <f t="array" aca="1" ref="YP1491:YP1510" ca="1">IFERROR(INDEX(nombres[],SMALL(IF(OFFSET(nombres[],0,0,ROWS(nombres[]),1)=YP$1490,ROW(OFFSET(nombres[],0,0,ROWS(nombres[]),1))-ROW(OFFSET(nombres[],0,0,1,1))+1,ROW(OFFSET(nombres[],ROWS(nombres[])-1,0,1,1))+1),$O1491:$O1510),10),"")</f>
        <v/>
      </c>
      <c r="YQ1491" s="42" t="str">
        <f t="array" aca="1" ref="YQ1491:YQ1510" ca="1">IFERROR(INDEX(nombres[],SMALL(IF(OFFSET(nombres[],0,0,ROWS(nombres[]),1)=YQ$1490,ROW(OFFSET(nombres[],0,0,ROWS(nombres[]),1))-ROW(OFFSET(nombres[],0,0,1,1))+1,ROW(OFFSET(nombres[],ROWS(nombres[])-1,0,1,1))+1),$O1491:$O1510),10),"")</f>
        <v/>
      </c>
      <c r="YR1491" s="42" t="str">
        <f t="array" aca="1" ref="YR1491:YR1510" ca="1">IFERROR(INDEX(nombres[],SMALL(IF(OFFSET(nombres[],0,0,ROWS(nombres[]),1)=YR$1490,ROW(OFFSET(nombres[],0,0,ROWS(nombres[]),1))-ROW(OFFSET(nombres[],0,0,1,1))+1,ROW(OFFSET(nombres[],ROWS(nombres[])-1,0,1,1))+1),$O1491:$O1510),10),"")</f>
        <v/>
      </c>
      <c r="YS1491" s="42" t="str">
        <f t="array" aca="1" ref="YS1491:YS1510" ca="1">IFERROR(INDEX(nombres[],SMALL(IF(OFFSET(nombres[],0,0,ROWS(nombres[]),1)=YS$1490,ROW(OFFSET(nombres[],0,0,ROWS(nombres[]),1))-ROW(OFFSET(nombres[],0,0,1,1))+1,ROW(OFFSET(nombres[],ROWS(nombres[])-1,0,1,1))+1),$O1491:$O1510),10),"")</f>
        <v/>
      </c>
      <c r="YT1491" s="42" t="str">
        <f t="array" aca="1" ref="YT1491:YT1510" ca="1">IFERROR(INDEX(nombres[],SMALL(IF(OFFSET(nombres[],0,0,ROWS(nombres[]),1)=YT$1490,ROW(OFFSET(nombres[],0,0,ROWS(nombres[]),1))-ROW(OFFSET(nombres[],0,0,1,1))+1,ROW(OFFSET(nombres[],ROWS(nombres[])-1,0,1,1))+1),$O1491:$O1510),10),"")</f>
        <v/>
      </c>
      <c r="YU1491" s="42" t="str">
        <f t="array" aca="1" ref="YU1491:YU1510" ca="1">IFERROR(INDEX(nombres[],SMALL(IF(OFFSET(nombres[],0,0,ROWS(nombres[]),1)=YU$1490,ROW(OFFSET(nombres[],0,0,ROWS(nombres[]),1))-ROW(OFFSET(nombres[],0,0,1,1))+1,ROW(OFFSET(nombres[],ROWS(nombres[])-1,0,1,1))+1),$O1491:$O1510),10),"")</f>
        <v/>
      </c>
      <c r="YV1491" s="42" t="str">
        <f t="array" aca="1" ref="YV1491:YV1510" ca="1">IFERROR(INDEX(nombres[],SMALL(IF(OFFSET(nombres[],0,0,ROWS(nombres[]),1)=YV$1490,ROW(OFFSET(nombres[],0,0,ROWS(nombres[]),1))-ROW(OFFSET(nombres[],0,0,1,1))+1,ROW(OFFSET(nombres[],ROWS(nombres[])-1,0,1,1))+1),$O1491:$O1510),10),"")</f>
        <v/>
      </c>
      <c r="YW1491" s="42" t="str">
        <f t="array" aca="1" ref="YW1491:YW1510" ca="1">IFERROR(INDEX(nombres[],SMALL(IF(OFFSET(nombres[],0,0,ROWS(nombres[]),1)=YW$1490,ROW(OFFSET(nombres[],0,0,ROWS(nombres[]),1))-ROW(OFFSET(nombres[],0,0,1,1))+1,ROW(OFFSET(nombres[],ROWS(nombres[])-1,0,1,1))+1),$O1491:$O1510),10),"")</f>
        <v/>
      </c>
      <c r="YX1491" s="42" t="str">
        <f t="array" aca="1" ref="YX1491:YX1510" ca="1">IFERROR(INDEX(nombres[],SMALL(IF(OFFSET(nombres[],0,0,ROWS(nombres[]),1)=YX$1490,ROW(OFFSET(nombres[],0,0,ROWS(nombres[]),1))-ROW(OFFSET(nombres[],0,0,1,1))+1,ROW(OFFSET(nombres[],ROWS(nombres[])-1,0,1,1))+1),$O1491:$O1510),10),"")</f>
        <v/>
      </c>
      <c r="YY1491" s="42" t="str">
        <f t="array" aca="1" ref="YY1491:YY1510" ca="1">IFERROR(INDEX(nombres[],SMALL(IF(OFFSET(nombres[],0,0,ROWS(nombres[]),1)=YY$1490,ROW(OFFSET(nombres[],0,0,ROWS(nombres[]),1))-ROW(OFFSET(nombres[],0,0,1,1))+1,ROW(OFFSET(nombres[],ROWS(nombres[])-1,0,1,1))+1),$O1491:$O1510),10),"")</f>
        <v/>
      </c>
      <c r="YZ1491" s="42" t="str">
        <f t="array" aca="1" ref="YZ1491:YZ1510" ca="1">IFERROR(INDEX(nombres[],SMALL(IF(OFFSET(nombres[],0,0,ROWS(nombres[]),1)=YZ$1490,ROW(OFFSET(nombres[],0,0,ROWS(nombres[]),1))-ROW(OFFSET(nombres[],0,0,1,1))+1,ROW(OFFSET(nombres[],ROWS(nombres[])-1,0,1,1))+1),$O1491:$O1510),10),"")</f>
        <v/>
      </c>
      <c r="ZA1491" s="42" t="str">
        <f t="array" aca="1" ref="ZA1491:ZA1510" ca="1">IFERROR(INDEX(nombres[],SMALL(IF(OFFSET(nombres[],0,0,ROWS(nombres[]),1)=ZA$1490,ROW(OFFSET(nombres[],0,0,ROWS(nombres[]),1))-ROW(OFFSET(nombres[],0,0,1,1))+1,ROW(OFFSET(nombres[],ROWS(nombres[])-1,0,1,1))+1),$O1491:$O1510),10),"")</f>
        <v/>
      </c>
      <c r="ZB1491" s="42" t="str">
        <f t="array" aca="1" ref="ZB1491:ZB1510" ca="1">IFERROR(INDEX(nombres[],SMALL(IF(OFFSET(nombres[],0,0,ROWS(nombres[]),1)=ZB$1490,ROW(OFFSET(nombres[],0,0,ROWS(nombres[]),1))-ROW(OFFSET(nombres[],0,0,1,1))+1,ROW(OFFSET(nombres[],ROWS(nombres[])-1,0,1,1))+1),$O1491:$O1510),10),"")</f>
        <v/>
      </c>
      <c r="ZC1491" s="42" t="str">
        <f t="array" aca="1" ref="ZC1491:ZC1510" ca="1">IFERROR(INDEX(nombres[],SMALL(IF(OFFSET(nombres[],0,0,ROWS(nombres[]),1)=ZC$1490,ROW(OFFSET(nombres[],0,0,ROWS(nombres[]),1))-ROW(OFFSET(nombres[],0,0,1,1))+1,ROW(OFFSET(nombres[],ROWS(nombres[])-1,0,1,1))+1),$O1491:$O1510),10),"")</f>
        <v/>
      </c>
      <c r="ZD1491" s="42" t="str">
        <f t="array" aca="1" ref="ZD1491:ZD1510" ca="1">IFERROR(INDEX(nombres[],SMALL(IF(OFFSET(nombres[],0,0,ROWS(nombres[]),1)=ZD$1490,ROW(OFFSET(nombres[],0,0,ROWS(nombres[]),1))-ROW(OFFSET(nombres[],0,0,1,1))+1,ROW(OFFSET(nombres[],ROWS(nombres[])-1,0,1,1))+1),$O1491:$O1510),10),"")</f>
        <v/>
      </c>
      <c r="ZE1491" s="42" t="str">
        <f t="array" aca="1" ref="ZE1491:ZE1510" ca="1">IFERROR(INDEX(nombres[],SMALL(IF(OFFSET(nombres[],0,0,ROWS(nombres[]),1)=ZE$1490,ROW(OFFSET(nombres[],0,0,ROWS(nombres[]),1))-ROW(OFFSET(nombres[],0,0,1,1))+1,ROW(OFFSET(nombres[],ROWS(nombres[])-1,0,1,1))+1),$O1491:$O1510),10),"")</f>
        <v/>
      </c>
      <c r="ZF1491" s="42" t="str">
        <f t="array" aca="1" ref="ZF1491:ZF1510" ca="1">IFERROR(INDEX(nombres[],SMALL(IF(OFFSET(nombres[],0,0,ROWS(nombres[]),1)=ZF$1490,ROW(OFFSET(nombres[],0,0,ROWS(nombres[]),1))-ROW(OFFSET(nombres[],0,0,1,1))+1,ROW(OFFSET(nombres[],ROWS(nombres[])-1,0,1,1))+1),$O1491:$O1510),10),"")</f>
        <v/>
      </c>
      <c r="ZG1491" s="42" t="str">
        <f t="array" aca="1" ref="ZG1491:ZG1510" ca="1">IFERROR(INDEX(nombres[],SMALL(IF(OFFSET(nombres[],0,0,ROWS(nombres[]),1)=ZG$1490,ROW(OFFSET(nombres[],0,0,ROWS(nombres[]),1))-ROW(OFFSET(nombres[],0,0,1,1))+1,ROW(OFFSET(nombres[],ROWS(nombres[])-1,0,1,1))+1),$O1491:$O1510),10),"")</f>
        <v/>
      </c>
      <c r="ZH1491" s="42" t="str">
        <f t="array" aca="1" ref="ZH1491:ZH1510" ca="1">IFERROR(INDEX(nombres[],SMALL(IF(OFFSET(nombres[],0,0,ROWS(nombres[]),1)=ZH$1490,ROW(OFFSET(nombres[],0,0,ROWS(nombres[]),1))-ROW(OFFSET(nombres[],0,0,1,1))+1,ROW(OFFSET(nombres[],ROWS(nombres[])-1,0,1,1))+1),$O1491:$O1510),10),"")</f>
        <v/>
      </c>
      <c r="ZI1491" s="42" t="str">
        <f t="array" aca="1" ref="ZI1491:ZI1510" ca="1">IFERROR(INDEX(nombres[],SMALL(IF(OFFSET(nombres[],0,0,ROWS(nombres[]),1)=ZI$1490,ROW(OFFSET(nombres[],0,0,ROWS(nombres[]),1))-ROW(OFFSET(nombres[],0,0,1,1))+1,ROW(OFFSET(nombres[],ROWS(nombres[])-1,0,1,1))+1),$O1491:$O1510),10),"")</f>
        <v/>
      </c>
      <c r="ZJ1491" s="42" t="str">
        <f t="array" aca="1" ref="ZJ1491:ZJ1510" ca="1">IFERROR(INDEX(nombres[],SMALL(IF(OFFSET(nombres[],0,0,ROWS(nombres[]),1)=ZJ$1490,ROW(OFFSET(nombres[],0,0,ROWS(nombres[]),1))-ROW(OFFSET(nombres[],0,0,1,1))+1,ROW(OFFSET(nombres[],ROWS(nombres[])-1,0,1,1))+1),$O1491:$O1510),10),"")</f>
        <v/>
      </c>
      <c r="ZK1491" s="42" t="str">
        <f t="array" aca="1" ref="ZK1491:ZK1510" ca="1">IFERROR(INDEX(nombres[],SMALL(IF(OFFSET(nombres[],0,0,ROWS(nombres[]),1)=ZK$1490,ROW(OFFSET(nombres[],0,0,ROWS(nombres[]),1))-ROW(OFFSET(nombres[],0,0,1,1))+1,ROW(OFFSET(nombres[],ROWS(nombres[])-1,0,1,1))+1),$O1491:$O1510),10),"")</f>
        <v/>
      </c>
      <c r="ZL1491" s="42" t="str">
        <f t="array" aca="1" ref="ZL1491:ZL1510" ca="1">IFERROR(INDEX(nombres[],SMALL(IF(OFFSET(nombres[],0,0,ROWS(nombres[]),1)=ZL$1490,ROW(OFFSET(nombres[],0,0,ROWS(nombres[]),1))-ROW(OFFSET(nombres[],0,0,1,1))+1,ROW(OFFSET(nombres[],ROWS(nombres[])-1,0,1,1))+1),$O1491:$O1510),10),"")</f>
        <v/>
      </c>
      <c r="ZM1491" s="42" t="str">
        <f t="array" aca="1" ref="ZM1491:ZM1510" ca="1">IFERROR(INDEX(nombres[],SMALL(IF(OFFSET(nombres[],0,0,ROWS(nombres[]),1)=ZM$1490,ROW(OFFSET(nombres[],0,0,ROWS(nombres[]),1))-ROW(OFFSET(nombres[],0,0,1,1))+1,ROW(OFFSET(nombres[],ROWS(nombres[])-1,0,1,1))+1),$O1491:$O1510),10),"")</f>
        <v/>
      </c>
      <c r="ZN1491" s="42" t="str">
        <f t="array" aca="1" ref="ZN1491:ZN1510" ca="1">IFERROR(INDEX(nombres[],SMALL(IF(OFFSET(nombres[],0,0,ROWS(nombres[]),1)=ZN$1490,ROW(OFFSET(nombres[],0,0,ROWS(nombres[]),1))-ROW(OFFSET(nombres[],0,0,1,1))+1,ROW(OFFSET(nombres[],ROWS(nombres[])-1,0,1,1))+1),$O1491:$O1510),10),"")</f>
        <v/>
      </c>
      <c r="ZO1491" s="42" t="str">
        <f t="array" aca="1" ref="ZO1491:ZO1510" ca="1">IFERROR(INDEX(nombres[],SMALL(IF(OFFSET(nombres[],0,0,ROWS(nombres[]),1)=ZO$1490,ROW(OFFSET(nombres[],0,0,ROWS(nombres[]),1))-ROW(OFFSET(nombres[],0,0,1,1))+1,ROW(OFFSET(nombres[],ROWS(nombres[])-1,0,1,1))+1),$O1491:$O1510),10),"")</f>
        <v/>
      </c>
      <c r="ZP1491" s="42" t="str">
        <f t="array" aca="1" ref="ZP1491:ZP1510" ca="1">IFERROR(INDEX(nombres[],SMALL(IF(OFFSET(nombres[],0,0,ROWS(nombres[]),1)=ZP$1490,ROW(OFFSET(nombres[],0,0,ROWS(nombres[]),1))-ROW(OFFSET(nombres[],0,0,1,1))+1,ROW(OFFSET(nombres[],ROWS(nombres[])-1,0,1,1))+1),$O1491:$O1510),10),"")</f>
        <v/>
      </c>
      <c r="ZQ1491" s="42" t="str">
        <f t="array" aca="1" ref="ZQ1491:ZQ1510" ca="1">IFERROR(INDEX(nombres[],SMALL(IF(OFFSET(nombres[],0,0,ROWS(nombres[]),1)=ZQ$1490,ROW(OFFSET(nombres[],0,0,ROWS(nombres[]),1))-ROW(OFFSET(nombres[],0,0,1,1))+1,ROW(OFFSET(nombres[],ROWS(nombres[])-1,0,1,1))+1),$O1491:$O1510),10),"")</f>
        <v/>
      </c>
      <c r="ZR1491" s="42" t="str">
        <f t="array" aca="1" ref="ZR1491:ZR1510" ca="1">IFERROR(INDEX(nombres[],SMALL(IF(OFFSET(nombres[],0,0,ROWS(nombres[]),1)=ZR$1490,ROW(OFFSET(nombres[],0,0,ROWS(nombres[]),1))-ROW(OFFSET(nombres[],0,0,1,1))+1,ROW(OFFSET(nombres[],ROWS(nombres[])-1,0,1,1))+1),$O1491:$O1510),10),"")</f>
        <v/>
      </c>
      <c r="ZS1491" s="42" t="str">
        <f t="array" aca="1" ref="ZS1491:ZS1510" ca="1">IFERROR(INDEX(nombres[],SMALL(IF(OFFSET(nombres[],0,0,ROWS(nombres[]),1)=ZS$1490,ROW(OFFSET(nombres[],0,0,ROWS(nombres[]),1))-ROW(OFFSET(nombres[],0,0,1,1))+1,ROW(OFFSET(nombres[],ROWS(nombres[])-1,0,1,1))+1),$O1491:$O1510),10),"")</f>
        <v/>
      </c>
      <c r="ZT1491" s="42" t="str">
        <f t="array" aca="1" ref="ZT1491:ZT1510" ca="1">IFERROR(INDEX(nombres[],SMALL(IF(OFFSET(nombres[],0,0,ROWS(nombres[]),1)=ZT$1490,ROW(OFFSET(nombres[],0,0,ROWS(nombres[]),1))-ROW(OFFSET(nombres[],0,0,1,1))+1,ROW(OFFSET(nombres[],ROWS(nombres[])-1,0,1,1))+1),$O1491:$O1510),10),"")</f>
        <v/>
      </c>
      <c r="ZU1491" s="42" t="str">
        <f t="array" aca="1" ref="ZU1491:ZU1510" ca="1">IFERROR(INDEX(nombres[],SMALL(IF(OFFSET(nombres[],0,0,ROWS(nombres[]),1)=ZU$1490,ROW(OFFSET(nombres[],0,0,ROWS(nombres[]),1))-ROW(OFFSET(nombres[],0,0,1,1))+1,ROW(OFFSET(nombres[],ROWS(nombres[])-1,0,1,1))+1),$O1491:$O1510),10),"")</f>
        <v/>
      </c>
      <c r="ZV1491" s="42" t="str">
        <f t="array" aca="1" ref="ZV1491:ZV1510" ca="1">IFERROR(INDEX(nombres[],SMALL(IF(OFFSET(nombres[],0,0,ROWS(nombres[]),1)=ZV$1490,ROW(OFFSET(nombres[],0,0,ROWS(nombres[]),1))-ROW(OFFSET(nombres[],0,0,1,1))+1,ROW(OFFSET(nombres[],ROWS(nombres[])-1,0,1,1))+1),$O1491:$O1510),10),"")</f>
        <v/>
      </c>
      <c r="ZW1491" s="42" t="str">
        <f t="array" aca="1" ref="ZW1491:ZW1510" ca="1">IFERROR(INDEX(nombres[],SMALL(IF(OFFSET(nombres[],0,0,ROWS(nombres[]),1)=ZW$1490,ROW(OFFSET(nombres[],0,0,ROWS(nombres[]),1))-ROW(OFFSET(nombres[],0,0,1,1))+1,ROW(OFFSET(nombres[],ROWS(nombres[])-1,0,1,1))+1),$O1491:$O1510),10),"")</f>
        <v/>
      </c>
      <c r="ZX1491" s="42" t="str">
        <f t="array" aca="1" ref="ZX1491:ZX1510" ca="1">IFERROR(INDEX(nombres[],SMALL(IF(OFFSET(nombres[],0,0,ROWS(nombres[]),1)=ZX$1490,ROW(OFFSET(nombres[],0,0,ROWS(nombres[]),1))-ROW(OFFSET(nombres[],0,0,1,1))+1,ROW(OFFSET(nombres[],ROWS(nombres[])-1,0,1,1))+1),$O1491:$O1510),10),"")</f>
        <v/>
      </c>
      <c r="ZY1491" s="42" t="str">
        <f t="array" aca="1" ref="ZY1491:ZY1510" ca="1">IFERROR(INDEX(nombres[],SMALL(IF(OFFSET(nombres[],0,0,ROWS(nombres[]),1)=ZY$1490,ROW(OFFSET(nombres[],0,0,ROWS(nombres[]),1))-ROW(OFFSET(nombres[],0,0,1,1))+1,ROW(OFFSET(nombres[],ROWS(nombres[])-1,0,1,1))+1),$O1491:$O1510),10),"")</f>
        <v/>
      </c>
      <c r="ZZ1491" s="42" t="str">
        <f t="array" aca="1" ref="ZZ1491:ZZ1510" ca="1">IFERROR(INDEX(nombres[],SMALL(IF(OFFSET(nombres[],0,0,ROWS(nombres[]),1)=ZZ$1490,ROW(OFFSET(nombres[],0,0,ROWS(nombres[]),1))-ROW(OFFSET(nombres[],0,0,1,1))+1,ROW(OFFSET(nombres[],ROWS(nombres[])-1,0,1,1))+1),$O1491:$O1510),10),"")</f>
        <v/>
      </c>
      <c r="AAA1491" s="42" t="str">
        <f t="array" aca="1" ref="AAA1491:AAA1510" ca="1">IFERROR(INDEX(nombres[],SMALL(IF(OFFSET(nombres[],0,0,ROWS(nombres[]),1)=AAA$1490,ROW(OFFSET(nombres[],0,0,ROWS(nombres[]),1))-ROW(OFFSET(nombres[],0,0,1,1))+1,ROW(OFFSET(nombres[],ROWS(nombres[])-1,0,1,1))+1),$O1491:$O1510),10),"")</f>
        <v/>
      </c>
      <c r="AAB1491" s="42" t="str">
        <f t="array" aca="1" ref="AAB1491:AAB1510" ca="1">IFERROR(INDEX(nombres[],SMALL(IF(OFFSET(nombres[],0,0,ROWS(nombres[]),1)=AAB$1490,ROW(OFFSET(nombres[],0,0,ROWS(nombres[]),1))-ROW(OFFSET(nombres[],0,0,1,1))+1,ROW(OFFSET(nombres[],ROWS(nombres[])-1,0,1,1))+1),$O1491:$O1510),10),"")</f>
        <v/>
      </c>
      <c r="AAC1491" s="42" t="str">
        <f t="array" aca="1" ref="AAC1491:AAC1510" ca="1">IFERROR(INDEX(nombres[],SMALL(IF(OFFSET(nombres[],0,0,ROWS(nombres[]),1)=AAC$1490,ROW(OFFSET(nombres[],0,0,ROWS(nombres[]),1))-ROW(OFFSET(nombres[],0,0,1,1))+1,ROW(OFFSET(nombres[],ROWS(nombres[])-1,0,1,1))+1),$O1491:$O1510),10),"")</f>
        <v/>
      </c>
      <c r="AAD1491" s="42" t="str">
        <f t="array" aca="1" ref="AAD1491:AAD1510" ca="1">IFERROR(INDEX(nombres[],SMALL(IF(OFFSET(nombres[],0,0,ROWS(nombres[]),1)=AAD$1490,ROW(OFFSET(nombres[],0,0,ROWS(nombres[]),1))-ROW(OFFSET(nombres[],0,0,1,1))+1,ROW(OFFSET(nombres[],ROWS(nombres[])-1,0,1,1))+1),$O1491:$O1510),10),"")</f>
        <v/>
      </c>
      <c r="AAE1491" s="42" t="str">
        <f t="array" aca="1" ref="AAE1491:AAE1510" ca="1">IFERROR(INDEX(nombres[],SMALL(IF(OFFSET(nombres[],0,0,ROWS(nombres[]),1)=AAE$1490,ROW(OFFSET(nombres[],0,0,ROWS(nombres[]),1))-ROW(OFFSET(nombres[],0,0,1,1))+1,ROW(OFFSET(nombres[],ROWS(nombres[])-1,0,1,1))+1),$O1491:$O1510),10),"")</f>
        <v/>
      </c>
      <c r="AAF1491" s="42" t="str">
        <f t="array" aca="1" ref="AAF1491:AAF1510" ca="1">IFERROR(INDEX(nombres[],SMALL(IF(OFFSET(nombres[],0,0,ROWS(nombres[]),1)=AAF$1490,ROW(OFFSET(nombres[],0,0,ROWS(nombres[]),1))-ROW(OFFSET(nombres[],0,0,1,1))+1,ROW(OFFSET(nombres[],ROWS(nombres[])-1,0,1,1))+1),$O1491:$O1510),10),"")</f>
        <v/>
      </c>
      <c r="AAG1491" s="42" t="str">
        <f t="array" aca="1" ref="AAG1491:AAG1510" ca="1">IFERROR(INDEX(nombres[],SMALL(IF(OFFSET(nombres[],0,0,ROWS(nombres[]),1)=AAG$1490,ROW(OFFSET(nombres[],0,0,ROWS(nombres[]),1))-ROW(OFFSET(nombres[],0,0,1,1))+1,ROW(OFFSET(nombres[],ROWS(nombres[])-1,0,1,1))+1),$O1491:$O1510),10),"")</f>
        <v/>
      </c>
      <c r="AAH1491" s="42" t="str">
        <f t="array" aca="1" ref="AAH1491:AAH1510" ca="1">IFERROR(INDEX(nombres[],SMALL(IF(OFFSET(nombres[],0,0,ROWS(nombres[]),1)=AAH$1490,ROW(OFFSET(nombres[],0,0,ROWS(nombres[]),1))-ROW(OFFSET(nombres[],0,0,1,1))+1,ROW(OFFSET(nombres[],ROWS(nombres[])-1,0,1,1))+1),$O1491:$O1510),10),"")</f>
        <v/>
      </c>
      <c r="AAI1491" s="42" t="str">
        <f t="array" aca="1" ref="AAI1491:AAI1510" ca="1">IFERROR(INDEX(nombres[],SMALL(IF(OFFSET(nombres[],0,0,ROWS(nombres[]),1)=AAI$1490,ROW(OFFSET(nombres[],0,0,ROWS(nombres[]),1))-ROW(OFFSET(nombres[],0,0,1,1))+1,ROW(OFFSET(nombres[],ROWS(nombres[])-1,0,1,1))+1),$O1491:$O1510),10),"")</f>
        <v/>
      </c>
      <c r="AAJ1491" s="42" t="str">
        <f t="array" aca="1" ref="AAJ1491:AAJ1510" ca="1">IFERROR(INDEX(nombres[],SMALL(IF(OFFSET(nombres[],0,0,ROWS(nombres[]),1)=AAJ$1490,ROW(OFFSET(nombres[],0,0,ROWS(nombres[]),1))-ROW(OFFSET(nombres[],0,0,1,1))+1,ROW(OFFSET(nombres[],ROWS(nombres[])-1,0,1,1))+1),$O1491:$O1510),10),"")</f>
        <v/>
      </c>
      <c r="AAK1491" s="42" t="str">
        <f t="array" aca="1" ref="AAK1491:AAK1510" ca="1">IFERROR(INDEX(nombres[],SMALL(IF(OFFSET(nombres[],0,0,ROWS(nombres[]),1)=AAK$1490,ROW(OFFSET(nombres[],0,0,ROWS(nombres[]),1))-ROW(OFFSET(nombres[],0,0,1,1))+1,ROW(OFFSET(nombres[],ROWS(nombres[])-1,0,1,1))+1),$O1491:$O1510),10),"")</f>
        <v/>
      </c>
      <c r="AAL1491" s="42" t="str">
        <f t="array" aca="1" ref="AAL1491:AAL1510" ca="1">IFERROR(INDEX(nombres[],SMALL(IF(OFFSET(nombres[],0,0,ROWS(nombres[]),1)=AAL$1490,ROW(OFFSET(nombres[],0,0,ROWS(nombres[]),1))-ROW(OFFSET(nombres[],0,0,1,1))+1,ROW(OFFSET(nombres[],ROWS(nombres[])-1,0,1,1))+1),$O1491:$O1510),10),"")</f>
        <v/>
      </c>
      <c r="AAM1491" s="42" t="str">
        <f t="array" aca="1" ref="AAM1491:AAM1510" ca="1">IFERROR(INDEX(nombres[],SMALL(IF(OFFSET(nombres[],0,0,ROWS(nombres[]),1)=AAM$1490,ROW(OFFSET(nombres[],0,0,ROWS(nombres[]),1))-ROW(OFFSET(nombres[],0,0,1,1))+1,ROW(OFFSET(nombres[],ROWS(nombres[])-1,0,1,1))+1),$O1491:$O1510),10),"")</f>
        <v/>
      </c>
      <c r="AAN1491" s="42" t="str">
        <f t="array" aca="1" ref="AAN1491:AAN1510" ca="1">IFERROR(INDEX(nombres[],SMALL(IF(OFFSET(nombres[],0,0,ROWS(nombres[]),1)=AAN$1490,ROW(OFFSET(nombres[],0,0,ROWS(nombres[]),1))-ROW(OFFSET(nombres[],0,0,1,1))+1,ROW(OFFSET(nombres[],ROWS(nombres[])-1,0,1,1))+1),$O1491:$O1510),10),"")</f>
        <v/>
      </c>
      <c r="AAO1491" s="42" t="str">
        <f t="array" aca="1" ref="AAO1491:AAO1510" ca="1">IFERROR(INDEX(nombres[],SMALL(IF(OFFSET(nombres[],0,0,ROWS(nombres[]),1)=AAO$1490,ROW(OFFSET(nombres[],0,0,ROWS(nombres[]),1))-ROW(OFFSET(nombres[],0,0,1,1))+1,ROW(OFFSET(nombres[],ROWS(nombres[])-1,0,1,1))+1),$O1491:$O1510),10),"")</f>
        <v/>
      </c>
      <c r="AAP1491" s="42" t="str">
        <f t="array" aca="1" ref="AAP1491:AAP1510" ca="1">IFERROR(INDEX(nombres[],SMALL(IF(OFFSET(nombres[],0,0,ROWS(nombres[]),1)=AAP$1490,ROW(OFFSET(nombres[],0,0,ROWS(nombres[]),1))-ROW(OFFSET(nombres[],0,0,1,1))+1,ROW(OFFSET(nombres[],ROWS(nombres[])-1,0,1,1))+1),$O1491:$O1510),10),"")</f>
        <v/>
      </c>
      <c r="AAQ1491" s="42" t="str">
        <f t="array" aca="1" ref="AAQ1491:AAQ1510" ca="1">IFERROR(INDEX(nombres[],SMALL(IF(OFFSET(nombres[],0,0,ROWS(nombres[]),1)=AAQ$1490,ROW(OFFSET(nombres[],0,0,ROWS(nombres[]),1))-ROW(OFFSET(nombres[],0,0,1,1))+1,ROW(OFFSET(nombres[],ROWS(nombres[])-1,0,1,1))+1),$O1491:$O1510),10),"")</f>
        <v/>
      </c>
      <c r="AAR1491" s="42" t="str">
        <f t="array" aca="1" ref="AAR1491:AAR1510" ca="1">IFERROR(INDEX(nombres[],SMALL(IF(OFFSET(nombres[],0,0,ROWS(nombres[]),1)=AAR$1490,ROW(OFFSET(nombres[],0,0,ROWS(nombres[]),1))-ROW(OFFSET(nombres[],0,0,1,1))+1,ROW(OFFSET(nombres[],ROWS(nombres[])-1,0,1,1))+1),$O1491:$O1510),10),"")</f>
        <v/>
      </c>
      <c r="AAS1491" s="42" t="str">
        <f t="array" aca="1" ref="AAS1491:AAS1510" ca="1">IFERROR(INDEX(nombres[],SMALL(IF(OFFSET(nombres[],0,0,ROWS(nombres[]),1)=AAS$1490,ROW(OFFSET(nombres[],0,0,ROWS(nombres[]),1))-ROW(OFFSET(nombres[],0,0,1,1))+1,ROW(OFFSET(nombres[],ROWS(nombres[])-1,0,1,1))+1),$O1491:$O1510),10),"")</f>
        <v/>
      </c>
      <c r="AAT1491" s="42" t="str">
        <f t="array" aca="1" ref="AAT1491:AAT1510" ca="1">IFERROR(INDEX(nombres[],SMALL(IF(OFFSET(nombres[],0,0,ROWS(nombres[]),1)=AAT$1490,ROW(OFFSET(nombres[],0,0,ROWS(nombres[]),1))-ROW(OFFSET(nombres[],0,0,1,1))+1,ROW(OFFSET(nombres[],ROWS(nombres[])-1,0,1,1))+1),$O1491:$O1510),10),"")</f>
        <v/>
      </c>
      <c r="AAU1491" s="42" t="str">
        <f t="array" aca="1" ref="AAU1491:AAU1510" ca="1">IFERROR(INDEX(nombres[],SMALL(IF(OFFSET(nombres[],0,0,ROWS(nombres[]),1)=AAU$1490,ROW(OFFSET(nombres[],0,0,ROWS(nombres[]),1))-ROW(OFFSET(nombres[],0,0,1,1))+1,ROW(OFFSET(nombres[],ROWS(nombres[])-1,0,1,1))+1),$O1491:$O1510),10),"")</f>
        <v/>
      </c>
      <c r="AAV1491" s="42" t="str">
        <f t="array" aca="1" ref="AAV1491:AAV1510" ca="1">IFERROR(INDEX(nombres[],SMALL(IF(OFFSET(nombres[],0,0,ROWS(nombres[]),1)=AAV$1490,ROW(OFFSET(nombres[],0,0,ROWS(nombres[]),1))-ROW(OFFSET(nombres[],0,0,1,1))+1,ROW(OFFSET(nombres[],ROWS(nombres[])-1,0,1,1))+1),$O1491:$O1510),10),"")</f>
        <v/>
      </c>
      <c r="AAW1491" s="42" t="str">
        <f t="array" aca="1" ref="AAW1491:AAW1510" ca="1">IFERROR(INDEX(nombres[],SMALL(IF(OFFSET(nombres[],0,0,ROWS(nombres[]),1)=AAW$1490,ROW(OFFSET(nombres[],0,0,ROWS(nombres[]),1))-ROW(OFFSET(nombres[],0,0,1,1))+1,ROW(OFFSET(nombres[],ROWS(nombres[])-1,0,1,1))+1),$O1491:$O1510),10),"")</f>
        <v/>
      </c>
      <c r="AAX1491" s="42" t="str">
        <f t="array" aca="1" ref="AAX1491:AAX1510" ca="1">IFERROR(INDEX(nombres[],SMALL(IF(OFFSET(nombres[],0,0,ROWS(nombres[]),1)=AAX$1490,ROW(OFFSET(nombres[],0,0,ROWS(nombres[]),1))-ROW(OFFSET(nombres[],0,0,1,1))+1,ROW(OFFSET(nombres[],ROWS(nombres[])-1,0,1,1))+1),$O1491:$O1510),10),"")</f>
        <v/>
      </c>
      <c r="AAY1491" s="42" t="str">
        <f t="array" aca="1" ref="AAY1491:AAY1510" ca="1">IFERROR(INDEX(nombres[],SMALL(IF(OFFSET(nombres[],0,0,ROWS(nombres[]),1)=AAY$1490,ROW(OFFSET(nombres[],0,0,ROWS(nombres[]),1))-ROW(OFFSET(nombres[],0,0,1,1))+1,ROW(OFFSET(nombres[],ROWS(nombres[])-1,0,1,1))+1),$O1491:$O1510),10),"")</f>
        <v/>
      </c>
      <c r="AAZ1491" s="42" t="str">
        <f t="array" aca="1" ref="AAZ1491:AAZ1510" ca="1">IFERROR(INDEX(nombres[],SMALL(IF(OFFSET(nombres[],0,0,ROWS(nombres[]),1)=AAZ$1490,ROW(OFFSET(nombres[],0,0,ROWS(nombres[]),1))-ROW(OFFSET(nombres[],0,0,1,1))+1,ROW(OFFSET(nombres[],ROWS(nombres[])-1,0,1,1))+1),$O1491:$O1510),10),"")</f>
        <v/>
      </c>
      <c r="ABA1491" s="42" t="str">
        <f t="array" aca="1" ref="ABA1491:ABA1510" ca="1">IFERROR(INDEX(nombres[],SMALL(IF(OFFSET(nombres[],0,0,ROWS(nombres[]),1)=ABA$1490,ROW(OFFSET(nombres[],0,0,ROWS(nombres[]),1))-ROW(OFFSET(nombres[],0,0,1,1))+1,ROW(OFFSET(nombres[],ROWS(nombres[])-1,0,1,1))+1),$O1491:$O1510),10),"")</f>
        <v/>
      </c>
      <c r="ABB1491" s="42" t="str">
        <f t="array" aca="1" ref="ABB1491:ABB1510" ca="1">IFERROR(INDEX(nombres[],SMALL(IF(OFFSET(nombres[],0,0,ROWS(nombres[]),1)=ABB$1490,ROW(OFFSET(nombres[],0,0,ROWS(nombres[]),1))-ROW(OFFSET(nombres[],0,0,1,1))+1,ROW(OFFSET(nombres[],ROWS(nombres[])-1,0,1,1))+1),$O1491:$O1510),10),"")</f>
        <v/>
      </c>
      <c r="ABC1491" s="42" t="str">
        <f t="array" aca="1" ref="ABC1491:ABC1510" ca="1">IFERROR(INDEX(nombres[],SMALL(IF(OFFSET(nombres[],0,0,ROWS(nombres[]),1)=ABC$1490,ROW(OFFSET(nombres[],0,0,ROWS(nombres[]),1))-ROW(OFFSET(nombres[],0,0,1,1))+1,ROW(OFFSET(nombres[],ROWS(nombres[])-1,0,1,1))+1),$O1491:$O1510),10),"")</f>
        <v/>
      </c>
      <c r="ABD1491" s="42" t="str">
        <f t="array" aca="1" ref="ABD1491:ABD1510" ca="1">IFERROR(INDEX(nombres[],SMALL(IF(OFFSET(nombres[],0,0,ROWS(nombres[]),1)=ABD$1490,ROW(OFFSET(nombres[],0,0,ROWS(nombres[]),1))-ROW(OFFSET(nombres[],0,0,1,1))+1,ROW(OFFSET(nombres[],ROWS(nombres[])-1,0,1,1))+1),$O1491:$O1510),10),"")</f>
        <v/>
      </c>
      <c r="ABE1491" s="42" t="str">
        <f t="array" aca="1" ref="ABE1491:ABE1510" ca="1">IFERROR(INDEX(nombres[],SMALL(IF(OFFSET(nombres[],0,0,ROWS(nombres[]),1)=ABE$1490,ROW(OFFSET(nombres[],0,0,ROWS(nombres[]),1))-ROW(OFFSET(nombres[],0,0,1,1))+1,ROW(OFFSET(nombres[],ROWS(nombres[])-1,0,1,1))+1),$O1491:$O1510),10),"")</f>
        <v/>
      </c>
      <c r="ABF1491" s="42" t="str">
        <f t="array" aca="1" ref="ABF1491:ABF1510" ca="1">IFERROR(INDEX(nombres[],SMALL(IF(OFFSET(nombres[],0,0,ROWS(nombres[]),1)=ABF$1490,ROW(OFFSET(nombres[],0,0,ROWS(nombres[]),1))-ROW(OFFSET(nombres[],0,0,1,1))+1,ROW(OFFSET(nombres[],ROWS(nombres[])-1,0,1,1))+1),$O1491:$O1510),10),"")</f>
        <v/>
      </c>
      <c r="ABG1491" s="42" t="str">
        <f t="array" aca="1" ref="ABG1491:ABG1510" ca="1">IFERROR(INDEX(nombres[],SMALL(IF(OFFSET(nombres[],0,0,ROWS(nombres[]),1)=ABG$1490,ROW(OFFSET(nombres[],0,0,ROWS(nombres[]),1))-ROW(OFFSET(nombres[],0,0,1,1))+1,ROW(OFFSET(nombres[],ROWS(nombres[])-1,0,1,1))+1),$O1491:$O1510),10),"")</f>
        <v/>
      </c>
      <c r="ABH1491" s="42" t="str">
        <f t="array" aca="1" ref="ABH1491:ABH1510" ca="1">IFERROR(INDEX(nombres[],SMALL(IF(OFFSET(nombres[],0,0,ROWS(nombres[]),1)=ABH$1490,ROW(OFFSET(nombres[],0,0,ROWS(nombres[]),1))-ROW(OFFSET(nombres[],0,0,1,1))+1,ROW(OFFSET(nombres[],ROWS(nombres[])-1,0,1,1))+1),$O1491:$O1510),10),"")</f>
        <v/>
      </c>
      <c r="ABI1491" s="42" t="str">
        <f t="array" aca="1" ref="ABI1491:ABI1510" ca="1">IFERROR(INDEX(nombres[],SMALL(IF(OFFSET(nombres[],0,0,ROWS(nombres[]),1)=ABI$1490,ROW(OFFSET(nombres[],0,0,ROWS(nombres[]),1))-ROW(OFFSET(nombres[],0,0,1,1))+1,ROW(OFFSET(nombres[],ROWS(nombres[])-1,0,1,1))+1),$O1491:$O1510),10),"")</f>
        <v/>
      </c>
      <c r="ABJ1491" s="42" t="str">
        <f t="array" aca="1" ref="ABJ1491:ABJ1510" ca="1">IFERROR(INDEX(nombres[],SMALL(IF(OFFSET(nombres[],0,0,ROWS(nombres[]),1)=ABJ$1490,ROW(OFFSET(nombres[],0,0,ROWS(nombres[]),1))-ROW(OFFSET(nombres[],0,0,1,1))+1,ROW(OFFSET(nombres[],ROWS(nombres[])-1,0,1,1))+1),$O1491:$O1510),10),"")</f>
        <v/>
      </c>
      <c r="ABK1491" s="42" t="str">
        <f t="array" aca="1" ref="ABK1491:ABK1510" ca="1">IFERROR(INDEX(nombres[],SMALL(IF(OFFSET(nombres[],0,0,ROWS(nombres[]),1)=ABK$1490,ROW(OFFSET(nombres[],0,0,ROWS(nombres[]),1))-ROW(OFFSET(nombres[],0,0,1,1))+1,ROW(OFFSET(nombres[],ROWS(nombres[])-1,0,1,1))+1),$O1491:$O1510),10),"")</f>
        <v/>
      </c>
      <c r="ABL1491" s="42" t="str">
        <f t="array" aca="1" ref="ABL1491:ABL1510" ca="1">IFERROR(INDEX(nombres[],SMALL(IF(OFFSET(nombres[],0,0,ROWS(nombres[]),1)=ABL$1490,ROW(OFFSET(nombres[],0,0,ROWS(nombres[]),1))-ROW(OFFSET(nombres[],0,0,1,1))+1,ROW(OFFSET(nombres[],ROWS(nombres[])-1,0,1,1))+1),$O1491:$O1510),10),"")</f>
        <v/>
      </c>
      <c r="ABM1491" s="42" t="str">
        <f t="array" aca="1" ref="ABM1491:ABM1510" ca="1">IFERROR(INDEX(nombres[],SMALL(IF(OFFSET(nombres[],0,0,ROWS(nombres[]),1)=ABM$1490,ROW(OFFSET(nombres[],0,0,ROWS(nombres[]),1))-ROW(OFFSET(nombres[],0,0,1,1))+1,ROW(OFFSET(nombres[],ROWS(nombres[])-1,0,1,1))+1),$O1491:$O1510),10),"")</f>
        <v/>
      </c>
      <c r="ABN1491" s="42" t="str">
        <f t="array" aca="1" ref="ABN1491:ABN1510" ca="1">IFERROR(INDEX(nombres[],SMALL(IF(OFFSET(nombres[],0,0,ROWS(nombres[]),1)=ABN$1490,ROW(OFFSET(nombres[],0,0,ROWS(nombres[]),1))-ROW(OFFSET(nombres[],0,0,1,1))+1,ROW(OFFSET(nombres[],ROWS(nombres[])-1,0,1,1))+1),$O1491:$O1510),10),"")</f>
        <v/>
      </c>
      <c r="ABO1491" s="42" t="str">
        <f t="array" aca="1" ref="ABO1491:ABO1510" ca="1">IFERROR(INDEX(nombres[],SMALL(IF(OFFSET(nombres[],0,0,ROWS(nombres[]),1)=ABO$1490,ROW(OFFSET(nombres[],0,0,ROWS(nombres[]),1))-ROW(OFFSET(nombres[],0,0,1,1))+1,ROW(OFFSET(nombres[],ROWS(nombres[])-1,0,1,1))+1),$O1491:$O1510),10),"")</f>
        <v/>
      </c>
      <c r="ABP1491" s="42" t="str">
        <f t="array" aca="1" ref="ABP1491:ABP1510" ca="1">IFERROR(INDEX(nombres[],SMALL(IF(OFFSET(nombres[],0,0,ROWS(nombres[]),1)=ABP$1490,ROW(OFFSET(nombres[],0,0,ROWS(nombres[]),1))-ROW(OFFSET(nombres[],0,0,1,1))+1,ROW(OFFSET(nombres[],ROWS(nombres[])-1,0,1,1))+1),$O1491:$O1510),10),"")</f>
        <v/>
      </c>
      <c r="ABQ1491" s="42" t="str">
        <f t="array" aca="1" ref="ABQ1491:ABQ1510" ca="1">IFERROR(INDEX(nombres[],SMALL(IF(OFFSET(nombres[],0,0,ROWS(nombres[]),1)=ABQ$1490,ROW(OFFSET(nombres[],0,0,ROWS(nombres[]),1))-ROW(OFFSET(nombres[],0,0,1,1))+1,ROW(OFFSET(nombres[],ROWS(nombres[])-1,0,1,1))+1),$O1491:$O1510),10),"")</f>
        <v/>
      </c>
      <c r="ABR1491" s="42" t="str">
        <f t="array" aca="1" ref="ABR1491:ABR1510" ca="1">IFERROR(INDEX(nombres[],SMALL(IF(OFFSET(nombres[],0,0,ROWS(nombres[]),1)=ABR$1490,ROW(OFFSET(nombres[],0,0,ROWS(nombres[]),1))-ROW(OFFSET(nombres[],0,0,1,1))+1,ROW(OFFSET(nombres[],ROWS(nombres[])-1,0,1,1))+1),$O1491:$O1510),10),"")</f>
        <v/>
      </c>
      <c r="ABS1491" s="42" t="str">
        <f t="array" aca="1" ref="ABS1491:ABS1510" ca="1">IFERROR(INDEX(nombres[],SMALL(IF(OFFSET(nombres[],0,0,ROWS(nombres[]),1)=ABS$1490,ROW(OFFSET(nombres[],0,0,ROWS(nombres[]),1))-ROW(OFFSET(nombres[],0,0,1,1))+1,ROW(OFFSET(nombres[],ROWS(nombres[])-1,0,1,1))+1),$O1491:$O1510),10),"")</f>
        <v/>
      </c>
      <c r="ABT1491" s="42" t="str">
        <f t="array" aca="1" ref="ABT1491:ABT1510" ca="1">IFERROR(INDEX(nombres[],SMALL(IF(OFFSET(nombres[],0,0,ROWS(nombres[]),1)=ABT$1490,ROW(OFFSET(nombres[],0,0,ROWS(nombres[]),1))-ROW(OFFSET(nombres[],0,0,1,1))+1,ROW(OFFSET(nombres[],ROWS(nombres[])-1,0,1,1))+1),$O1491:$O1510),10),"")</f>
        <v/>
      </c>
      <c r="ABU1491" s="42" t="str">
        <f t="array" aca="1" ref="ABU1491:ABU1510" ca="1">IFERROR(INDEX(nombres[],SMALL(IF(OFFSET(nombres[],0,0,ROWS(nombres[]),1)=ABU$1490,ROW(OFFSET(nombres[],0,0,ROWS(nombres[]),1))-ROW(OFFSET(nombres[],0,0,1,1))+1,ROW(OFFSET(nombres[],ROWS(nombres[])-1,0,1,1))+1),$O1491:$O1510),10),"")</f>
        <v/>
      </c>
      <c r="ABV1491" s="42" t="str">
        <f t="array" aca="1" ref="ABV1491:ABV1510" ca="1">IFERROR(INDEX(nombres[],SMALL(IF(OFFSET(nombres[],0,0,ROWS(nombres[]),1)=ABV$1490,ROW(OFFSET(nombres[],0,0,ROWS(nombres[]),1))-ROW(OFFSET(nombres[],0,0,1,1))+1,ROW(OFFSET(nombres[],ROWS(nombres[])-1,0,1,1))+1),$O1491:$O1510),10),"")</f>
        <v/>
      </c>
      <c r="ABW1491" s="42" t="str">
        <f t="array" aca="1" ref="ABW1491:ABW1510" ca="1">IFERROR(INDEX(nombres[],SMALL(IF(OFFSET(nombres[],0,0,ROWS(nombres[]),1)=ABW$1490,ROW(OFFSET(nombres[],0,0,ROWS(nombres[]),1))-ROW(OFFSET(nombres[],0,0,1,1))+1,ROW(OFFSET(nombres[],ROWS(nombres[])-1,0,1,1))+1),$O1491:$O1510),10),"")</f>
        <v/>
      </c>
      <c r="ABX1491" s="42" t="str">
        <f t="array" aca="1" ref="ABX1491:ABX1510" ca="1">IFERROR(INDEX(nombres[],SMALL(IF(OFFSET(nombres[],0,0,ROWS(nombres[]),1)=ABX$1490,ROW(OFFSET(nombres[],0,0,ROWS(nombres[]),1))-ROW(OFFSET(nombres[],0,0,1,1))+1,ROW(OFFSET(nombres[],ROWS(nombres[])-1,0,1,1))+1),$O1491:$O1510),10),"")</f>
        <v/>
      </c>
      <c r="ABY1491" s="42" t="str">
        <f t="array" aca="1" ref="ABY1491:ABY1510" ca="1">IFERROR(INDEX(nombres[],SMALL(IF(OFFSET(nombres[],0,0,ROWS(nombres[]),1)=ABY$1490,ROW(OFFSET(nombres[],0,0,ROWS(nombres[]),1))-ROW(OFFSET(nombres[],0,0,1,1))+1,ROW(OFFSET(nombres[],ROWS(nombres[])-1,0,1,1))+1),$O1491:$O1510),10),"")</f>
        <v/>
      </c>
      <c r="ABZ1491" s="42" t="str">
        <f t="array" aca="1" ref="ABZ1491:ABZ1510" ca="1">IFERROR(INDEX(nombres[],SMALL(IF(OFFSET(nombres[],0,0,ROWS(nombres[]),1)=ABZ$1490,ROW(OFFSET(nombres[],0,0,ROWS(nombres[]),1))-ROW(OFFSET(nombres[],0,0,1,1))+1,ROW(OFFSET(nombres[],ROWS(nombres[])-1,0,1,1))+1),$O1491:$O1510),10),"")</f>
        <v/>
      </c>
      <c r="ACA1491" s="42" t="str">
        <f t="array" aca="1" ref="ACA1491:ACA1510" ca="1">IFERROR(INDEX(nombres[],SMALL(IF(OFFSET(nombres[],0,0,ROWS(nombres[]),1)=ACA$1490,ROW(OFFSET(nombres[],0,0,ROWS(nombres[]),1))-ROW(OFFSET(nombres[],0,0,1,1))+1,ROW(OFFSET(nombres[],ROWS(nombres[])-1,0,1,1))+1),$O1491:$O1510),10),"")</f>
        <v/>
      </c>
      <c r="ACB1491" s="42" t="str">
        <f t="array" aca="1" ref="ACB1491:ACB1510" ca="1">IFERROR(INDEX(nombres[],SMALL(IF(OFFSET(nombres[],0,0,ROWS(nombres[]),1)=ACB$1490,ROW(OFFSET(nombres[],0,0,ROWS(nombres[]),1))-ROW(OFFSET(nombres[],0,0,1,1))+1,ROW(OFFSET(nombres[],ROWS(nombres[])-1,0,1,1))+1),$O1491:$O1510),10),"")</f>
        <v/>
      </c>
      <c r="ACC1491" s="42" t="str">
        <f t="array" aca="1" ref="ACC1491:ACC1510" ca="1">IFERROR(INDEX(nombres[],SMALL(IF(OFFSET(nombres[],0,0,ROWS(nombres[]),1)=ACC$1490,ROW(OFFSET(nombres[],0,0,ROWS(nombres[]),1))-ROW(OFFSET(nombres[],0,0,1,1))+1,ROW(OFFSET(nombres[],ROWS(nombres[])-1,0,1,1))+1),$O1491:$O1510),10),"")</f>
        <v/>
      </c>
      <c r="ACD1491" s="42" t="str">
        <f t="array" aca="1" ref="ACD1491:ACD1510" ca="1">IFERROR(INDEX(nombres[],SMALL(IF(OFFSET(nombres[],0,0,ROWS(nombres[]),1)=ACD$1490,ROW(OFFSET(nombres[],0,0,ROWS(nombres[]),1))-ROW(OFFSET(nombres[],0,0,1,1))+1,ROW(OFFSET(nombres[],ROWS(nombres[])-1,0,1,1))+1),$O1491:$O1510),10),"")</f>
        <v/>
      </c>
      <c r="ACE1491" s="42" t="str">
        <f t="array" aca="1" ref="ACE1491:ACE1510" ca="1">IFERROR(INDEX(nombres[],SMALL(IF(OFFSET(nombres[],0,0,ROWS(nombres[]),1)=ACE$1490,ROW(OFFSET(nombres[],0,0,ROWS(nombres[]),1))-ROW(OFFSET(nombres[],0,0,1,1))+1,ROW(OFFSET(nombres[],ROWS(nombres[])-1,0,1,1))+1),$O1491:$O1510),10),"")</f>
        <v/>
      </c>
      <c r="ACF1491" s="42" t="str">
        <f t="array" aca="1" ref="ACF1491:ACF1510" ca="1">IFERROR(INDEX(nombres[],SMALL(IF(OFFSET(nombres[],0,0,ROWS(nombres[]),1)=ACF$1490,ROW(OFFSET(nombres[],0,0,ROWS(nombres[]),1))-ROW(OFFSET(nombres[],0,0,1,1))+1,ROW(OFFSET(nombres[],ROWS(nombres[])-1,0,1,1))+1),$O1491:$O1510),10),"")</f>
        <v/>
      </c>
      <c r="ACG1491" s="42" t="str">
        <f t="array" aca="1" ref="ACG1491:ACG1510" ca="1">IFERROR(INDEX(nombres[],SMALL(IF(OFFSET(nombres[],0,0,ROWS(nombres[]),1)=ACG$1490,ROW(OFFSET(nombres[],0,0,ROWS(nombres[]),1))-ROW(OFFSET(nombres[],0,0,1,1))+1,ROW(OFFSET(nombres[],ROWS(nombres[])-1,0,1,1))+1),$O1491:$O1510),10),"")</f>
        <v/>
      </c>
      <c r="ACH1491" s="42" t="str">
        <f t="array" aca="1" ref="ACH1491:ACH1510" ca="1">IFERROR(INDEX(nombres[],SMALL(IF(OFFSET(nombres[],0,0,ROWS(nombres[]),1)=ACH$1490,ROW(OFFSET(nombres[],0,0,ROWS(nombres[]),1))-ROW(OFFSET(nombres[],0,0,1,1))+1,ROW(OFFSET(nombres[],ROWS(nombres[])-1,0,1,1))+1),$O1491:$O1510),10),"")</f>
        <v/>
      </c>
      <c r="ACI1491" s="42" t="str">
        <f t="array" aca="1" ref="ACI1491:ACI1510" ca="1">IFERROR(INDEX(nombres[],SMALL(IF(OFFSET(nombres[],0,0,ROWS(nombres[]),1)=ACI$1490,ROW(OFFSET(nombres[],0,0,ROWS(nombres[]),1))-ROW(OFFSET(nombres[],0,0,1,1))+1,ROW(OFFSET(nombres[],ROWS(nombres[])-1,0,1,1))+1),$O1491:$O1510),10),"")</f>
        <v/>
      </c>
      <c r="ACJ1491" s="42" t="str">
        <f t="array" aca="1" ref="ACJ1491:ACJ1510" ca="1">IFERROR(INDEX(nombres[],SMALL(IF(OFFSET(nombres[],0,0,ROWS(nombres[]),1)=ACJ$1490,ROW(OFFSET(nombres[],0,0,ROWS(nombres[]),1))-ROW(OFFSET(nombres[],0,0,1,1))+1,ROW(OFFSET(nombres[],ROWS(nombres[])-1,0,1,1))+1),$O1491:$O1510),10),"")</f>
        <v/>
      </c>
      <c r="ACK1491" s="42" t="str">
        <f t="array" aca="1" ref="ACK1491:ACK1510" ca="1">IFERROR(INDEX(nombres[],SMALL(IF(OFFSET(nombres[],0,0,ROWS(nombres[]),1)=ACK$1490,ROW(OFFSET(nombres[],0,0,ROWS(nombres[]),1))-ROW(OFFSET(nombres[],0,0,1,1))+1,ROW(OFFSET(nombres[],ROWS(nombres[])-1,0,1,1))+1),$O1491:$O1510),10),"")</f>
        <v/>
      </c>
      <c r="ACL1491" s="42" t="str">
        <f t="array" aca="1" ref="ACL1491:ACL1510" ca="1">IFERROR(INDEX(nombres[],SMALL(IF(OFFSET(nombres[],0,0,ROWS(nombres[]),1)=ACL$1490,ROW(OFFSET(nombres[],0,0,ROWS(nombres[]),1))-ROW(OFFSET(nombres[],0,0,1,1))+1,ROW(OFFSET(nombres[],ROWS(nombres[])-1,0,1,1))+1),$O1491:$O1510),10),"")</f>
        <v/>
      </c>
      <c r="ACM1491" s="42" t="str">
        <f t="array" aca="1" ref="ACM1491:ACM1510" ca="1">IFERROR(INDEX(nombres[],SMALL(IF(OFFSET(nombres[],0,0,ROWS(nombres[]),1)=ACM$1490,ROW(OFFSET(nombres[],0,0,ROWS(nombres[]),1))-ROW(OFFSET(nombres[],0,0,1,1))+1,ROW(OFFSET(nombres[],ROWS(nombres[])-1,0,1,1))+1),$O1491:$O1510),10),"")</f>
        <v/>
      </c>
      <c r="ACN1491" s="42" t="str">
        <f t="array" aca="1" ref="ACN1491:ACN1510" ca="1">IFERROR(INDEX(nombres[],SMALL(IF(OFFSET(nombres[],0,0,ROWS(nombres[]),1)=ACN$1490,ROW(OFFSET(nombres[],0,0,ROWS(nombres[]),1))-ROW(OFFSET(nombres[],0,0,1,1))+1,ROW(OFFSET(nombres[],ROWS(nombres[])-1,0,1,1))+1),$O1491:$O1510),10),"")</f>
        <v/>
      </c>
      <c r="ACO1491" s="42" t="str">
        <f t="array" aca="1" ref="ACO1491:ACO1510" ca="1">IFERROR(INDEX(nombres[],SMALL(IF(OFFSET(nombres[],0,0,ROWS(nombres[]),1)=ACO$1490,ROW(OFFSET(nombres[],0,0,ROWS(nombres[]),1))-ROW(OFFSET(nombres[],0,0,1,1))+1,ROW(OFFSET(nombres[],ROWS(nombres[])-1,0,1,1))+1),$O1491:$O1510),10),"")</f>
        <v/>
      </c>
      <c r="ACP1491" s="42" t="str">
        <f t="array" aca="1" ref="ACP1491:ACP1510" ca="1">IFERROR(INDEX(nombres[],SMALL(IF(OFFSET(nombres[],0,0,ROWS(nombres[]),1)=ACP$1490,ROW(OFFSET(nombres[],0,0,ROWS(nombres[]),1))-ROW(OFFSET(nombres[],0,0,1,1))+1,ROW(OFFSET(nombres[],ROWS(nombres[])-1,0,1,1))+1),$O1491:$O1510),10),"")</f>
        <v/>
      </c>
      <c r="ACQ1491" s="42" t="str">
        <f t="array" aca="1" ref="ACQ1491:ACQ1510" ca="1">IFERROR(INDEX(nombres[],SMALL(IF(OFFSET(nombres[],0,0,ROWS(nombres[]),1)=ACQ$1490,ROW(OFFSET(nombres[],0,0,ROWS(nombres[]),1))-ROW(OFFSET(nombres[],0,0,1,1))+1,ROW(OFFSET(nombres[],ROWS(nombres[])-1,0,1,1))+1),$O1491:$O1510),10),"")</f>
        <v/>
      </c>
      <c r="ACR1491" s="42" t="str">
        <f t="array" aca="1" ref="ACR1491:ACR1510" ca="1">IFERROR(INDEX(nombres[],SMALL(IF(OFFSET(nombres[],0,0,ROWS(nombres[]),1)=ACR$1490,ROW(OFFSET(nombres[],0,0,ROWS(nombres[]),1))-ROW(OFFSET(nombres[],0,0,1,1))+1,ROW(OFFSET(nombres[],ROWS(nombres[])-1,0,1,1))+1),$O1491:$O1510),10),"")</f>
        <v/>
      </c>
      <c r="ACS1491" s="42" t="str">
        <f t="array" aca="1" ref="ACS1491:ACS1510" ca="1">IFERROR(INDEX(nombres[],SMALL(IF(OFFSET(nombres[],0,0,ROWS(nombres[]),1)=ACS$1490,ROW(OFFSET(nombres[],0,0,ROWS(nombres[]),1))-ROW(OFFSET(nombres[],0,0,1,1))+1,ROW(OFFSET(nombres[],ROWS(nombres[])-1,0,1,1))+1),$O1491:$O1510),10),"")</f>
        <v/>
      </c>
      <c r="ACT1491" s="42" t="str">
        <f t="array" aca="1" ref="ACT1491:ACT1510" ca="1">IFERROR(INDEX(nombres[],SMALL(IF(OFFSET(nombres[],0,0,ROWS(nombres[]),1)=ACT$1490,ROW(OFFSET(nombres[],0,0,ROWS(nombres[]),1))-ROW(OFFSET(nombres[],0,0,1,1))+1,ROW(OFFSET(nombres[],ROWS(nombres[])-1,0,1,1))+1),$O1491:$O1510),10),"")</f>
        <v/>
      </c>
      <c r="ACU1491" s="42" t="str">
        <f t="array" aca="1" ref="ACU1491:ACU1510" ca="1">IFERROR(INDEX(nombres[],SMALL(IF(OFFSET(nombres[],0,0,ROWS(nombres[]),1)=ACU$1490,ROW(OFFSET(nombres[],0,0,ROWS(nombres[]),1))-ROW(OFFSET(nombres[],0,0,1,1))+1,ROW(OFFSET(nombres[],ROWS(nombres[])-1,0,1,1))+1),$O1491:$O1510),10),"")</f>
        <v/>
      </c>
      <c r="ACV1491" s="42" t="str">
        <f t="array" aca="1" ref="ACV1491:ACV1510" ca="1">IFERROR(INDEX(nombres[],SMALL(IF(OFFSET(nombres[],0,0,ROWS(nombres[]),1)=ACV$1490,ROW(OFFSET(nombres[],0,0,ROWS(nombres[]),1))-ROW(OFFSET(nombres[],0,0,1,1))+1,ROW(OFFSET(nombres[],ROWS(nombres[])-1,0,1,1))+1),$O1491:$O1510),10),"")</f>
        <v/>
      </c>
      <c r="ACW1491" s="42" t="str">
        <f t="array" aca="1" ref="ACW1491:ACW1510" ca="1">IFERROR(INDEX(nombres[],SMALL(IF(OFFSET(nombres[],0,0,ROWS(nombres[]),1)=ACW$1490,ROW(OFFSET(nombres[],0,0,ROWS(nombres[]),1))-ROW(OFFSET(nombres[],0,0,1,1))+1,ROW(OFFSET(nombres[],ROWS(nombres[])-1,0,1,1))+1),$O1491:$O1510),10),"")</f>
        <v/>
      </c>
      <c r="ACX1491" s="42" t="str">
        <f t="array" aca="1" ref="ACX1491:ACX1510" ca="1">IFERROR(INDEX(nombres[],SMALL(IF(OFFSET(nombres[],0,0,ROWS(nombres[]),1)=ACX$1490,ROW(OFFSET(nombres[],0,0,ROWS(nombres[]),1))-ROW(OFFSET(nombres[],0,0,1,1))+1,ROW(OFFSET(nombres[],ROWS(nombres[])-1,0,1,1))+1),$O1491:$O1510),10),"")</f>
        <v/>
      </c>
      <c r="ACY1491" s="42" t="str">
        <f t="array" aca="1" ref="ACY1491:ACY1510" ca="1">IFERROR(INDEX(nombres[],SMALL(IF(OFFSET(nombres[],0,0,ROWS(nombres[]),1)=ACY$1490,ROW(OFFSET(nombres[],0,0,ROWS(nombres[]),1))-ROW(OFFSET(nombres[],0,0,1,1))+1,ROW(OFFSET(nombres[],ROWS(nombres[])-1,0,1,1))+1),$O1491:$O1510),10),"")</f>
        <v/>
      </c>
      <c r="ACZ1491" s="42" t="str">
        <f t="array" aca="1" ref="ACZ1491:ACZ1510" ca="1">IFERROR(INDEX(nombres[],SMALL(IF(OFFSET(nombres[],0,0,ROWS(nombres[]),1)=ACZ$1490,ROW(OFFSET(nombres[],0,0,ROWS(nombres[]),1))-ROW(OFFSET(nombres[],0,0,1,1))+1,ROW(OFFSET(nombres[],ROWS(nombres[])-1,0,1,1))+1),$O1491:$O1510),10),"")</f>
        <v/>
      </c>
      <c r="ADA1491" s="42" t="str">
        <f t="array" aca="1" ref="ADA1491:ADA1510" ca="1">IFERROR(INDEX(nombres[],SMALL(IF(OFFSET(nombres[],0,0,ROWS(nombres[]),1)=ADA$1490,ROW(OFFSET(nombres[],0,0,ROWS(nombres[]),1))-ROW(OFFSET(nombres[],0,0,1,1))+1,ROW(OFFSET(nombres[],ROWS(nombres[])-1,0,1,1))+1),$O1491:$O1510),10),"")</f>
        <v/>
      </c>
      <c r="ADB1491" s="42" t="str">
        <f t="array" aca="1" ref="ADB1491:ADB1510" ca="1">IFERROR(INDEX(nombres[],SMALL(IF(OFFSET(nombres[],0,0,ROWS(nombres[]),1)=ADB$1490,ROW(OFFSET(nombres[],0,0,ROWS(nombres[]),1))-ROW(OFFSET(nombres[],0,0,1,1))+1,ROW(OFFSET(nombres[],ROWS(nombres[])-1,0,1,1))+1),$O1491:$O1510),10),"")</f>
        <v/>
      </c>
      <c r="ADC1491" s="42" t="str">
        <f t="array" aca="1" ref="ADC1491:ADC1510" ca="1">IFERROR(INDEX(nombres[],SMALL(IF(OFFSET(nombres[],0,0,ROWS(nombres[]),1)=ADC$1490,ROW(OFFSET(nombres[],0,0,ROWS(nombres[]),1))-ROW(OFFSET(nombres[],0,0,1,1))+1,ROW(OFFSET(nombres[],ROWS(nombres[])-1,0,1,1))+1),$O1491:$O1510),10),"")</f>
        <v/>
      </c>
      <c r="ADD1491" s="42" t="str">
        <f t="array" aca="1" ref="ADD1491:ADD1510" ca="1">IFERROR(INDEX(nombres[],SMALL(IF(OFFSET(nombres[],0,0,ROWS(nombres[]),1)=ADD$1490,ROW(OFFSET(nombres[],0,0,ROWS(nombres[]),1))-ROW(OFFSET(nombres[],0,0,1,1))+1,ROW(OFFSET(nombres[],ROWS(nombres[])-1,0,1,1))+1),$O1491:$O1510),10),"")</f>
        <v/>
      </c>
      <c r="ADE1491" s="42" t="str">
        <f t="array" aca="1" ref="ADE1491:ADE1510" ca="1">IFERROR(INDEX(nombres[],SMALL(IF(OFFSET(nombres[],0,0,ROWS(nombres[]),1)=ADE$1490,ROW(OFFSET(nombres[],0,0,ROWS(nombres[]),1))-ROW(OFFSET(nombres[],0,0,1,1))+1,ROW(OFFSET(nombres[],ROWS(nombres[])-1,0,1,1))+1),$O1491:$O1510),10),"")</f>
        <v/>
      </c>
      <c r="ADF1491" s="42" t="str">
        <f t="array" aca="1" ref="ADF1491:ADF1510" ca="1">IFERROR(INDEX(nombres[],SMALL(IF(OFFSET(nombres[],0,0,ROWS(nombres[]),1)=ADF$1490,ROW(OFFSET(nombres[],0,0,ROWS(nombres[]),1))-ROW(OFFSET(nombres[],0,0,1,1))+1,ROW(OFFSET(nombres[],ROWS(nombres[])-1,0,1,1))+1),$O1491:$O1510),10),"")</f>
        <v/>
      </c>
      <c r="ADG1491" s="42" t="str">
        <f t="array" aca="1" ref="ADG1491:ADG1510" ca="1">IFERROR(INDEX(nombres[],SMALL(IF(OFFSET(nombres[],0,0,ROWS(nombres[]),1)=ADG$1490,ROW(OFFSET(nombres[],0,0,ROWS(nombres[]),1))-ROW(OFFSET(nombres[],0,0,1,1))+1,ROW(OFFSET(nombres[],ROWS(nombres[])-1,0,1,1))+1),$O1491:$O1510),10),"")</f>
        <v/>
      </c>
      <c r="ADH1491" s="42" t="str">
        <f t="array" aca="1" ref="ADH1491:ADH1510" ca="1">IFERROR(INDEX(nombres[],SMALL(IF(OFFSET(nombres[],0,0,ROWS(nombres[]),1)=ADH$1490,ROW(OFFSET(nombres[],0,0,ROWS(nombres[]),1))-ROW(OFFSET(nombres[],0,0,1,1))+1,ROW(OFFSET(nombres[],ROWS(nombres[])-1,0,1,1))+1),$O1491:$O1510),10),"")</f>
        <v/>
      </c>
      <c r="ADI1491" s="42" t="str">
        <f t="array" aca="1" ref="ADI1491:ADI1510" ca="1">IFERROR(INDEX(nombres[],SMALL(IF(OFFSET(nombres[],0,0,ROWS(nombres[]),1)=ADI$1490,ROW(OFFSET(nombres[],0,0,ROWS(nombres[]),1))-ROW(OFFSET(nombres[],0,0,1,1))+1,ROW(OFFSET(nombres[],ROWS(nombres[])-1,0,1,1))+1),$O1491:$O1510),10),"")</f>
        <v/>
      </c>
      <c r="ADJ1491" s="42" t="str">
        <f t="array" aca="1" ref="ADJ1491:ADJ1510" ca="1">IFERROR(INDEX(nombres[],SMALL(IF(OFFSET(nombres[],0,0,ROWS(nombres[]),1)=ADJ$1490,ROW(OFFSET(nombres[],0,0,ROWS(nombres[]),1))-ROW(OFFSET(nombres[],0,0,1,1))+1,ROW(OFFSET(nombres[],ROWS(nombres[])-1,0,1,1))+1),$O1491:$O1510),10),"")</f>
        <v/>
      </c>
      <c r="ADK1491" s="42" t="str">
        <f t="array" aca="1" ref="ADK1491:ADK1510" ca="1">IFERROR(INDEX(nombres[],SMALL(IF(OFFSET(nombres[],0,0,ROWS(nombres[]),1)=ADK$1490,ROW(OFFSET(nombres[],0,0,ROWS(nombres[]),1))-ROW(OFFSET(nombres[],0,0,1,1))+1,ROW(OFFSET(nombres[],ROWS(nombres[])-1,0,1,1))+1),$O1491:$O1510),10),"")</f>
        <v/>
      </c>
      <c r="ADL1491" s="42" t="str">
        <f t="array" aca="1" ref="ADL1491:ADL1510" ca="1">IFERROR(INDEX(nombres[],SMALL(IF(OFFSET(nombres[],0,0,ROWS(nombres[]),1)=ADL$1490,ROW(OFFSET(nombres[],0,0,ROWS(nombres[]),1))-ROW(OFFSET(nombres[],0,0,1,1))+1,ROW(OFFSET(nombres[],ROWS(nombres[])-1,0,1,1))+1),$O1491:$O1510),10),"")</f>
        <v/>
      </c>
      <c r="ADM1491" s="42" t="str">
        <f t="array" aca="1" ref="ADM1491:ADM1510" ca="1">IFERROR(INDEX(nombres[],SMALL(IF(OFFSET(nombres[],0,0,ROWS(nombres[]),1)=ADM$1490,ROW(OFFSET(nombres[],0,0,ROWS(nombres[]),1))-ROW(OFFSET(nombres[],0,0,1,1))+1,ROW(OFFSET(nombres[],ROWS(nombres[])-1,0,1,1))+1),$O1491:$O1510),10),"")</f>
        <v/>
      </c>
      <c r="ADN1491" s="42" t="str">
        <f t="array" aca="1" ref="ADN1491:ADN1510" ca="1">IFERROR(INDEX(nombres[],SMALL(IF(OFFSET(nombres[],0,0,ROWS(nombres[]),1)=ADN$1490,ROW(OFFSET(nombres[],0,0,ROWS(nombres[]),1))-ROW(OFFSET(nombres[],0,0,1,1))+1,ROW(OFFSET(nombres[],ROWS(nombres[])-1,0,1,1))+1),$O1491:$O1510),10),"")</f>
        <v/>
      </c>
      <c r="ADO1491" s="42" t="str">
        <f t="array" aca="1" ref="ADO1491:ADO1510" ca="1">IFERROR(INDEX(nombres[],SMALL(IF(OFFSET(nombres[],0,0,ROWS(nombres[]),1)=ADO$1490,ROW(OFFSET(nombres[],0,0,ROWS(nombres[]),1))-ROW(OFFSET(nombres[],0,0,1,1))+1,ROW(OFFSET(nombres[],ROWS(nombres[])-1,0,1,1))+1),$O1491:$O1510),10),"")</f>
        <v/>
      </c>
      <c r="ADP1491" s="42" t="str">
        <f t="array" aca="1" ref="ADP1491:ADP1510" ca="1">IFERROR(INDEX(nombres[],SMALL(IF(OFFSET(nombres[],0,0,ROWS(nombres[]),1)=ADP$1490,ROW(OFFSET(nombres[],0,0,ROWS(nombres[]),1))-ROW(OFFSET(nombres[],0,0,1,1))+1,ROW(OFFSET(nombres[],ROWS(nombres[])-1,0,1,1))+1),$O1491:$O1510),10),"")</f>
        <v/>
      </c>
      <c r="ADQ1491" s="42" t="str">
        <f t="array" aca="1" ref="ADQ1491:ADQ1510" ca="1">IFERROR(INDEX(nombres[],SMALL(IF(OFFSET(nombres[],0,0,ROWS(nombres[]),1)=ADQ$1490,ROW(OFFSET(nombres[],0,0,ROWS(nombres[]),1))-ROW(OFFSET(nombres[],0,0,1,1))+1,ROW(OFFSET(nombres[],ROWS(nombres[])-1,0,1,1))+1),$O1491:$O1510),10),"")</f>
        <v/>
      </c>
      <c r="ADR1491" s="42" t="str">
        <f t="array" aca="1" ref="ADR1491:ADR1510" ca="1">IFERROR(INDEX(nombres[],SMALL(IF(OFFSET(nombres[],0,0,ROWS(nombres[]),1)=ADR$1490,ROW(OFFSET(nombres[],0,0,ROWS(nombres[]),1))-ROW(OFFSET(nombres[],0,0,1,1))+1,ROW(OFFSET(nombres[],ROWS(nombres[])-1,0,1,1))+1),$O1491:$O1510),10),"")</f>
        <v/>
      </c>
      <c r="ADS1491" s="42" t="str">
        <f t="array" aca="1" ref="ADS1491:ADS1510" ca="1">IFERROR(INDEX(nombres[],SMALL(IF(OFFSET(nombres[],0,0,ROWS(nombres[]),1)=ADS$1490,ROW(OFFSET(nombres[],0,0,ROWS(nombres[]),1))-ROW(OFFSET(nombres[],0,0,1,1))+1,ROW(OFFSET(nombres[],ROWS(nombres[])-1,0,1,1))+1),$O1491:$O1510),10),"")</f>
        <v/>
      </c>
      <c r="ADT1491" s="42" t="str">
        <f t="array" aca="1" ref="ADT1491:ADT1510" ca="1">IFERROR(INDEX(nombres[],SMALL(IF(OFFSET(nombres[],0,0,ROWS(nombres[]),1)=ADT$1490,ROW(OFFSET(nombres[],0,0,ROWS(nombres[]),1))-ROW(OFFSET(nombres[],0,0,1,1))+1,ROW(OFFSET(nombres[],ROWS(nombres[])-1,0,1,1))+1),$O1491:$O1510),10),"")</f>
        <v/>
      </c>
      <c r="ADU1491" s="42" t="str">
        <f t="array" aca="1" ref="ADU1491:ADU1510" ca="1">IFERROR(INDEX(nombres[],SMALL(IF(OFFSET(nombres[],0,0,ROWS(nombres[]),1)=ADU$1490,ROW(OFFSET(nombres[],0,0,ROWS(nombres[]),1))-ROW(OFFSET(nombres[],0,0,1,1))+1,ROW(OFFSET(nombres[],ROWS(nombres[])-1,0,1,1))+1),$O1491:$O1510),10),"")</f>
        <v/>
      </c>
      <c r="ADV1491" s="42" t="str">
        <f t="array" aca="1" ref="ADV1491:ADV1510" ca="1">IFERROR(INDEX(nombres[],SMALL(IF(OFFSET(nombres[],0,0,ROWS(nombres[]),1)=ADV$1490,ROW(OFFSET(nombres[],0,0,ROWS(nombres[]),1))-ROW(OFFSET(nombres[],0,0,1,1))+1,ROW(OFFSET(nombres[],ROWS(nombres[])-1,0,1,1))+1),$O1491:$O1510),10),"")</f>
        <v/>
      </c>
      <c r="ADW1491" s="42" t="str">
        <f t="array" aca="1" ref="ADW1491:ADW1510" ca="1">IFERROR(INDEX(nombres[],SMALL(IF(OFFSET(nombres[],0,0,ROWS(nombres[]),1)=ADW$1490,ROW(OFFSET(nombres[],0,0,ROWS(nombres[]),1))-ROW(OFFSET(nombres[],0,0,1,1))+1,ROW(OFFSET(nombres[],ROWS(nombres[])-1,0,1,1))+1),$O1491:$O1510),10),"")</f>
        <v/>
      </c>
      <c r="ADX1491" s="42" t="str">
        <f t="array" aca="1" ref="ADX1491:ADX1510" ca="1">IFERROR(INDEX(nombres[],SMALL(IF(OFFSET(nombres[],0,0,ROWS(nombres[]),1)=ADX$1490,ROW(OFFSET(nombres[],0,0,ROWS(nombres[]),1))-ROW(OFFSET(nombres[],0,0,1,1))+1,ROW(OFFSET(nombres[],ROWS(nombres[])-1,0,1,1))+1),$O1491:$O1510),10),"")</f>
        <v/>
      </c>
      <c r="ADY1491" s="42" t="str">
        <f t="array" aca="1" ref="ADY1491:ADY1510" ca="1">IFERROR(INDEX(nombres[],SMALL(IF(OFFSET(nombres[],0,0,ROWS(nombres[]),1)=ADY$1490,ROW(OFFSET(nombres[],0,0,ROWS(nombres[]),1))-ROW(OFFSET(nombres[],0,0,1,1))+1,ROW(OFFSET(nombres[],ROWS(nombres[])-1,0,1,1))+1),$O1491:$O1510),10),"")</f>
        <v/>
      </c>
      <c r="ADZ1491" s="42" t="str">
        <f t="array" aca="1" ref="ADZ1491:ADZ1510" ca="1">IFERROR(INDEX(nombres[],SMALL(IF(OFFSET(nombres[],0,0,ROWS(nombres[]),1)=ADZ$1490,ROW(OFFSET(nombres[],0,0,ROWS(nombres[]),1))-ROW(OFFSET(nombres[],0,0,1,1))+1,ROW(OFFSET(nombres[],ROWS(nombres[])-1,0,1,1))+1),$O1491:$O1510),10),"")</f>
        <v/>
      </c>
      <c r="AEA1491" s="42" t="str">
        <f t="array" aca="1" ref="AEA1491:AEA1510" ca="1">IFERROR(INDEX(nombres[],SMALL(IF(OFFSET(nombres[],0,0,ROWS(nombres[]),1)=AEA$1490,ROW(OFFSET(nombres[],0,0,ROWS(nombres[]),1))-ROW(OFFSET(nombres[],0,0,1,1))+1,ROW(OFFSET(nombres[],ROWS(nombres[])-1,0,1,1))+1),$O1491:$O1510),10),"")</f>
        <v/>
      </c>
      <c r="AEB1491" s="42" t="str">
        <f t="array" aca="1" ref="AEB1491:AEB1510" ca="1">IFERROR(INDEX(nombres[],SMALL(IF(OFFSET(nombres[],0,0,ROWS(nombres[]),1)=AEB$1490,ROW(OFFSET(nombres[],0,0,ROWS(nombres[]),1))-ROW(OFFSET(nombres[],0,0,1,1))+1,ROW(OFFSET(nombres[],ROWS(nombres[])-1,0,1,1))+1),$O1491:$O1510),10),"")</f>
        <v/>
      </c>
      <c r="AEC1491" s="42" t="str">
        <f t="array" aca="1" ref="AEC1491:AEC1510" ca="1">IFERROR(INDEX(nombres[],SMALL(IF(OFFSET(nombres[],0,0,ROWS(nombres[]),1)=AEC$1490,ROW(OFFSET(nombres[],0,0,ROWS(nombres[]),1))-ROW(OFFSET(nombres[],0,0,1,1))+1,ROW(OFFSET(nombres[],ROWS(nombres[])-1,0,1,1))+1),$O1491:$O1510),10),"")</f>
        <v/>
      </c>
      <c r="AED1491" s="42" t="str">
        <f t="array" aca="1" ref="AED1491:AED1510" ca="1">IFERROR(INDEX(nombres[],SMALL(IF(OFFSET(nombres[],0,0,ROWS(nombres[]),1)=AED$1490,ROW(OFFSET(nombres[],0,0,ROWS(nombres[]),1))-ROW(OFFSET(nombres[],0,0,1,1))+1,ROW(OFFSET(nombres[],ROWS(nombres[])-1,0,1,1))+1),$O1491:$O1510),10),"")</f>
        <v/>
      </c>
      <c r="AEE1491" s="42" t="str">
        <f t="array" aca="1" ref="AEE1491:AEE1510" ca="1">IFERROR(INDEX(nombres[],SMALL(IF(OFFSET(nombres[],0,0,ROWS(nombres[]),1)=AEE$1490,ROW(OFFSET(nombres[],0,0,ROWS(nombres[]),1))-ROW(OFFSET(nombres[],0,0,1,1))+1,ROW(OFFSET(nombres[],ROWS(nombres[])-1,0,1,1))+1),$O1491:$O1510),10),"")</f>
        <v/>
      </c>
      <c r="AEF1491" s="42" t="str">
        <f t="array" aca="1" ref="AEF1491:AEF1510" ca="1">IFERROR(INDEX(nombres[],SMALL(IF(OFFSET(nombres[],0,0,ROWS(nombres[]),1)=AEF$1490,ROW(OFFSET(nombres[],0,0,ROWS(nombres[]),1))-ROW(OFFSET(nombres[],0,0,1,1))+1,ROW(OFFSET(nombres[],ROWS(nombres[])-1,0,1,1))+1),$O1491:$O1510),10),"")</f>
        <v/>
      </c>
      <c r="AEG1491" s="42" t="str">
        <f t="array" aca="1" ref="AEG1491:AEG1510" ca="1">IFERROR(INDEX(nombres[],SMALL(IF(OFFSET(nombres[],0,0,ROWS(nombres[]),1)=AEG$1490,ROW(OFFSET(nombres[],0,0,ROWS(nombres[]),1))-ROW(OFFSET(nombres[],0,0,1,1))+1,ROW(OFFSET(nombres[],ROWS(nombres[])-1,0,1,1))+1),$O1491:$O1510),10),"")</f>
        <v/>
      </c>
      <c r="AEH1491" s="42" t="str">
        <f t="array" aca="1" ref="AEH1491:AEH1510" ca="1">IFERROR(INDEX(nombres[],SMALL(IF(OFFSET(nombres[],0,0,ROWS(nombres[]),1)=AEH$1490,ROW(OFFSET(nombres[],0,0,ROWS(nombres[]),1))-ROW(OFFSET(nombres[],0,0,1,1))+1,ROW(OFFSET(nombres[],ROWS(nombres[])-1,0,1,1))+1),$O1491:$O1510),10),"")</f>
        <v/>
      </c>
      <c r="AEI1491" s="42" t="str">
        <f t="array" aca="1" ref="AEI1491:AEI1510" ca="1">IFERROR(INDEX(nombres[],SMALL(IF(OFFSET(nombres[],0,0,ROWS(nombres[]),1)=AEI$1490,ROW(OFFSET(nombres[],0,0,ROWS(nombres[]),1))-ROW(OFFSET(nombres[],0,0,1,1))+1,ROW(OFFSET(nombres[],ROWS(nombres[])-1,0,1,1))+1),$O1491:$O1510),10),"")</f>
        <v/>
      </c>
      <c r="AEJ1491" s="42" t="str">
        <f t="array" aca="1" ref="AEJ1491:AEJ1510" ca="1">IFERROR(INDEX(nombres[],SMALL(IF(OFFSET(nombres[],0,0,ROWS(nombres[]),1)=AEJ$1490,ROW(OFFSET(nombres[],0,0,ROWS(nombres[]),1))-ROW(OFFSET(nombres[],0,0,1,1))+1,ROW(OFFSET(nombres[],ROWS(nombres[])-1,0,1,1))+1),$O1491:$O1510),10),"")</f>
        <v/>
      </c>
      <c r="AEK1491" s="42" t="str">
        <f t="array" aca="1" ref="AEK1491:AEK1510" ca="1">IFERROR(INDEX(nombres[],SMALL(IF(OFFSET(nombres[],0,0,ROWS(nombres[]),1)=AEK$1490,ROW(OFFSET(nombres[],0,0,ROWS(nombres[]),1))-ROW(OFFSET(nombres[],0,0,1,1))+1,ROW(OFFSET(nombres[],ROWS(nombres[])-1,0,1,1))+1),$O1491:$O1510),10),"")</f>
        <v/>
      </c>
      <c r="AEL1491" s="42" t="str">
        <f t="array" aca="1" ref="AEL1491:AEL1510" ca="1">IFERROR(INDEX(nombres[],SMALL(IF(OFFSET(nombres[],0,0,ROWS(nombres[]),1)=AEL$1490,ROW(OFFSET(nombres[],0,0,ROWS(nombres[]),1))-ROW(OFFSET(nombres[],0,0,1,1))+1,ROW(OFFSET(nombres[],ROWS(nombres[])-1,0,1,1))+1),$O1491:$O1510),10),"")</f>
        <v/>
      </c>
      <c r="AEM1491" s="42" t="str">
        <f t="array" aca="1" ref="AEM1491:AEM1510" ca="1">IFERROR(INDEX(nombres[],SMALL(IF(OFFSET(nombres[],0,0,ROWS(nombres[]),1)=AEM$1490,ROW(OFFSET(nombres[],0,0,ROWS(nombres[]),1))-ROW(OFFSET(nombres[],0,0,1,1))+1,ROW(OFFSET(nombres[],ROWS(nombres[])-1,0,1,1))+1),$O1491:$O1510),10),"")</f>
        <v/>
      </c>
      <c r="AEN1491" s="42" t="str">
        <f t="array" aca="1" ref="AEN1491:AEN1510" ca="1">IFERROR(INDEX(nombres[],SMALL(IF(OFFSET(nombres[],0,0,ROWS(nombres[]),1)=AEN$1490,ROW(OFFSET(nombres[],0,0,ROWS(nombres[]),1))-ROW(OFFSET(nombres[],0,0,1,1))+1,ROW(OFFSET(nombres[],ROWS(nombres[])-1,0,1,1))+1),$O1491:$O1510),10),"")</f>
        <v/>
      </c>
      <c r="AEO1491" s="42" t="str">
        <f t="array" aca="1" ref="AEO1491:AEO1510" ca="1">IFERROR(INDEX(nombres[],SMALL(IF(OFFSET(nombres[],0,0,ROWS(nombres[]),1)=AEO$1490,ROW(OFFSET(nombres[],0,0,ROWS(nombres[]),1))-ROW(OFFSET(nombres[],0,0,1,1))+1,ROW(OFFSET(nombres[],ROWS(nombres[])-1,0,1,1))+1),$O1491:$O1510),10),"")</f>
        <v/>
      </c>
      <c r="AEP1491" s="42" t="str">
        <f t="array" aca="1" ref="AEP1491:AEP1510" ca="1">IFERROR(INDEX(nombres[],SMALL(IF(OFFSET(nombres[],0,0,ROWS(nombres[]),1)=AEP$1490,ROW(OFFSET(nombres[],0,0,ROWS(nombres[]),1))-ROW(OFFSET(nombres[],0,0,1,1))+1,ROW(OFFSET(nombres[],ROWS(nombres[])-1,0,1,1))+1),$O1491:$O1510),10),"")</f>
        <v/>
      </c>
      <c r="AEQ1491" s="42" t="str">
        <f t="array" aca="1" ref="AEQ1491:AEQ1510" ca="1">IFERROR(INDEX(nombres[],SMALL(IF(OFFSET(nombres[],0,0,ROWS(nombres[]),1)=AEQ$1490,ROW(OFFSET(nombres[],0,0,ROWS(nombres[]),1))-ROW(OFFSET(nombres[],0,0,1,1))+1,ROW(OFFSET(nombres[],ROWS(nombres[])-1,0,1,1))+1),$O1491:$O1510),10),"")</f>
        <v/>
      </c>
      <c r="AER1491" s="42" t="str">
        <f t="array" aca="1" ref="AER1491:AER1510" ca="1">IFERROR(INDEX(nombres[],SMALL(IF(OFFSET(nombres[],0,0,ROWS(nombres[]),1)=AER$1490,ROW(OFFSET(nombres[],0,0,ROWS(nombres[]),1))-ROW(OFFSET(nombres[],0,0,1,1))+1,ROW(OFFSET(nombres[],ROWS(nombres[])-1,0,1,1))+1),$O1491:$O1510),10),"")</f>
        <v/>
      </c>
      <c r="AES1491" s="42" t="str">
        <f t="array" aca="1" ref="AES1491:AES1510" ca="1">IFERROR(INDEX(nombres[],SMALL(IF(OFFSET(nombres[],0,0,ROWS(nombres[]),1)=AES$1490,ROW(OFFSET(nombres[],0,0,ROWS(nombres[]),1))-ROW(OFFSET(nombres[],0,0,1,1))+1,ROW(OFFSET(nombres[],ROWS(nombres[])-1,0,1,1))+1),$O1491:$O1510),10),"")</f>
        <v/>
      </c>
      <c r="AET1491" s="42" t="str">
        <f t="array" aca="1" ref="AET1491:AET1510" ca="1">IFERROR(INDEX(nombres[],SMALL(IF(OFFSET(nombres[],0,0,ROWS(nombres[]),1)=AET$1490,ROW(OFFSET(nombres[],0,0,ROWS(nombres[]),1))-ROW(OFFSET(nombres[],0,0,1,1))+1,ROW(OFFSET(nombres[],ROWS(nombres[])-1,0,1,1))+1),$O1491:$O1510),10),"")</f>
        <v/>
      </c>
      <c r="AEU1491" s="42" t="str">
        <f t="array" aca="1" ref="AEU1491:AEU1510" ca="1">IFERROR(INDEX(nombres[],SMALL(IF(OFFSET(nombres[],0,0,ROWS(nombres[]),1)=AEU$1490,ROW(OFFSET(nombres[],0,0,ROWS(nombres[]),1))-ROW(OFFSET(nombres[],0,0,1,1))+1,ROW(OFFSET(nombres[],ROWS(nombres[])-1,0,1,1))+1),$O1491:$O1510),10),"")</f>
        <v/>
      </c>
      <c r="AEV1491" s="42" t="str">
        <f t="array" aca="1" ref="AEV1491:AEV1510" ca="1">IFERROR(INDEX(nombres[],SMALL(IF(OFFSET(nombres[],0,0,ROWS(nombres[]),1)=AEV$1490,ROW(OFFSET(nombres[],0,0,ROWS(nombres[]),1))-ROW(OFFSET(nombres[],0,0,1,1))+1,ROW(OFFSET(nombres[],ROWS(nombres[])-1,0,1,1))+1),$O1491:$O1510),10),"")</f>
        <v/>
      </c>
      <c r="AEW1491" s="42" t="str">
        <f t="array" aca="1" ref="AEW1491:AEW1510" ca="1">IFERROR(INDEX(nombres[],SMALL(IF(OFFSET(nombres[],0,0,ROWS(nombres[]),1)=AEW$1490,ROW(OFFSET(nombres[],0,0,ROWS(nombres[]),1))-ROW(OFFSET(nombres[],0,0,1,1))+1,ROW(OFFSET(nombres[],ROWS(nombres[])-1,0,1,1))+1),$O1491:$O1510),10),"")</f>
        <v/>
      </c>
      <c r="AEX1491" s="42" t="str">
        <f t="array" aca="1" ref="AEX1491:AEX1510" ca="1">IFERROR(INDEX(nombres[],SMALL(IF(OFFSET(nombres[],0,0,ROWS(nombres[]),1)=AEX$1490,ROW(OFFSET(nombres[],0,0,ROWS(nombres[]),1))-ROW(OFFSET(nombres[],0,0,1,1))+1,ROW(OFFSET(nombres[],ROWS(nombres[])-1,0,1,1))+1),$O1491:$O1510),10),"")</f>
        <v/>
      </c>
      <c r="AEY1491" s="42" t="str">
        <f t="array" aca="1" ref="AEY1491:AEY1510" ca="1">IFERROR(INDEX(nombres[],SMALL(IF(OFFSET(nombres[],0,0,ROWS(nombres[]),1)=AEY$1490,ROW(OFFSET(nombres[],0,0,ROWS(nombres[]),1))-ROW(OFFSET(nombres[],0,0,1,1))+1,ROW(OFFSET(nombres[],ROWS(nombres[])-1,0,1,1))+1),$O1491:$O1510),10),"")</f>
        <v/>
      </c>
      <c r="AEZ1491" s="42" t="str">
        <f t="array" aca="1" ref="AEZ1491:AEZ1510" ca="1">IFERROR(INDEX(nombres[],SMALL(IF(OFFSET(nombres[],0,0,ROWS(nombres[]),1)=AEZ$1490,ROW(OFFSET(nombres[],0,0,ROWS(nombres[]),1))-ROW(OFFSET(nombres[],0,0,1,1))+1,ROW(OFFSET(nombres[],ROWS(nombres[])-1,0,1,1))+1),$O1491:$O1510),10),"")</f>
        <v/>
      </c>
      <c r="AFA1491" s="42" t="str">
        <f t="array" aca="1" ref="AFA1491:AFA1510" ca="1">IFERROR(INDEX(nombres[],SMALL(IF(OFFSET(nombres[],0,0,ROWS(nombres[]),1)=AFA$1490,ROW(OFFSET(nombres[],0,0,ROWS(nombres[]),1))-ROW(OFFSET(nombres[],0,0,1,1))+1,ROW(OFFSET(nombres[],ROWS(nombres[])-1,0,1,1))+1),$O1491:$O1510),10),"")</f>
        <v/>
      </c>
      <c r="AFB1491" s="42" t="str">
        <f t="array" aca="1" ref="AFB1491:AFB1510" ca="1">IFERROR(INDEX(nombres[],SMALL(IF(OFFSET(nombres[],0,0,ROWS(nombres[]),1)=AFB$1490,ROW(OFFSET(nombres[],0,0,ROWS(nombres[]),1))-ROW(OFFSET(nombres[],0,0,1,1))+1,ROW(OFFSET(nombres[],ROWS(nombres[])-1,0,1,1))+1),$O1491:$O1510),10),"")</f>
        <v/>
      </c>
      <c r="AFC1491" s="42" t="str">
        <f t="array" aca="1" ref="AFC1491:AFC1510" ca="1">IFERROR(INDEX(nombres[],SMALL(IF(OFFSET(nombres[],0,0,ROWS(nombres[]),1)=AFC$1490,ROW(OFFSET(nombres[],0,0,ROWS(nombres[]),1))-ROW(OFFSET(nombres[],0,0,1,1))+1,ROW(OFFSET(nombres[],ROWS(nombres[])-1,0,1,1))+1),$O1491:$O1510),10),"")</f>
        <v/>
      </c>
      <c r="AFD1491" s="42" t="str">
        <f t="array" aca="1" ref="AFD1491:AFD1510" ca="1">IFERROR(INDEX(nombres[],SMALL(IF(OFFSET(nombres[],0,0,ROWS(nombres[]),1)=AFD$1490,ROW(OFFSET(nombres[],0,0,ROWS(nombres[]),1))-ROW(OFFSET(nombres[],0,0,1,1))+1,ROW(OFFSET(nombres[],ROWS(nombres[])-1,0,1,1))+1),$O1491:$O1510),10),"")</f>
        <v/>
      </c>
      <c r="AFE1491" s="42" t="str">
        <f t="array" aca="1" ref="AFE1491:AFE1510" ca="1">IFERROR(INDEX(nombres[],SMALL(IF(OFFSET(nombres[],0,0,ROWS(nombres[]),1)=AFE$1490,ROW(OFFSET(nombres[],0,0,ROWS(nombres[]),1))-ROW(OFFSET(nombres[],0,0,1,1))+1,ROW(OFFSET(nombres[],ROWS(nombres[])-1,0,1,1))+1),$O1491:$O1510),10),"")</f>
        <v/>
      </c>
      <c r="AFF1491" s="42" t="str">
        <f t="array" aca="1" ref="AFF1491:AFF1510" ca="1">IFERROR(INDEX(nombres[],SMALL(IF(OFFSET(nombres[],0,0,ROWS(nombres[]),1)=AFF$1490,ROW(OFFSET(nombres[],0,0,ROWS(nombres[]),1))-ROW(OFFSET(nombres[],0,0,1,1))+1,ROW(OFFSET(nombres[],ROWS(nombres[])-1,0,1,1))+1),$O1491:$O1510),10),"")</f>
        <v/>
      </c>
      <c r="AFG1491" s="42" t="str">
        <f t="array" aca="1" ref="AFG1491:AFG1510" ca="1">IFERROR(INDEX(nombres[],SMALL(IF(OFFSET(nombres[],0,0,ROWS(nombres[]),1)=AFG$1490,ROW(OFFSET(nombres[],0,0,ROWS(nombres[]),1))-ROW(OFFSET(nombres[],0,0,1,1))+1,ROW(OFFSET(nombres[],ROWS(nombres[])-1,0,1,1))+1),$O1491:$O1510),10),"")</f>
        <v/>
      </c>
      <c r="AFH1491" s="42" t="str">
        <f t="array" aca="1" ref="AFH1491:AFH1510" ca="1">IFERROR(INDEX(nombres[],SMALL(IF(OFFSET(nombres[],0,0,ROWS(nombres[]),1)=AFH$1490,ROW(OFFSET(nombres[],0,0,ROWS(nombres[]),1))-ROW(OFFSET(nombres[],0,0,1,1))+1,ROW(OFFSET(nombres[],ROWS(nombres[])-1,0,1,1))+1),$O1491:$O1510),10),"")</f>
        <v/>
      </c>
      <c r="AFI1491" s="42" t="str">
        <f t="array" aca="1" ref="AFI1491:AFI1510" ca="1">IFERROR(INDEX(nombres[],SMALL(IF(OFFSET(nombres[],0,0,ROWS(nombres[]),1)=AFI$1490,ROW(OFFSET(nombres[],0,0,ROWS(nombres[]),1))-ROW(OFFSET(nombres[],0,0,1,1))+1,ROW(OFFSET(nombres[],ROWS(nombres[])-1,0,1,1))+1),$O1491:$O1510),10),"")</f>
        <v/>
      </c>
      <c r="AFJ1491" s="42" t="str">
        <f t="array" aca="1" ref="AFJ1491:AFJ1510" ca="1">IFERROR(INDEX(nombres[],SMALL(IF(OFFSET(nombres[],0,0,ROWS(nombres[]),1)=AFJ$1490,ROW(OFFSET(nombres[],0,0,ROWS(nombres[]),1))-ROW(OFFSET(nombres[],0,0,1,1))+1,ROW(OFFSET(nombres[],ROWS(nombres[])-1,0,1,1))+1),$O1491:$O1510),10),"")</f>
        <v/>
      </c>
      <c r="AFK1491" s="42" t="str">
        <f t="array" aca="1" ref="AFK1491:AFK1510" ca="1">IFERROR(INDEX(nombres[],SMALL(IF(OFFSET(nombres[],0,0,ROWS(nombres[]),1)=AFK$1490,ROW(OFFSET(nombres[],0,0,ROWS(nombres[]),1))-ROW(OFFSET(nombres[],0,0,1,1))+1,ROW(OFFSET(nombres[],ROWS(nombres[])-1,0,1,1))+1),$O1491:$O1510),10),"")</f>
        <v/>
      </c>
      <c r="AFL1491" s="42" t="str">
        <f t="array" aca="1" ref="AFL1491:AFL1510" ca="1">IFERROR(INDEX(nombres[],SMALL(IF(OFFSET(nombres[],0,0,ROWS(nombres[]),1)=AFL$1490,ROW(OFFSET(nombres[],0,0,ROWS(nombres[]),1))-ROW(OFFSET(nombres[],0,0,1,1))+1,ROW(OFFSET(nombres[],ROWS(nombres[])-1,0,1,1))+1),$O1491:$O1510),10),"")</f>
        <v/>
      </c>
      <c r="AFM1491" s="42" t="str">
        <f t="array" aca="1" ref="AFM1491:AFM1510" ca="1">IFERROR(INDEX(nombres[],SMALL(IF(OFFSET(nombres[],0,0,ROWS(nombres[]),1)=AFM$1490,ROW(OFFSET(nombres[],0,0,ROWS(nombres[]),1))-ROW(OFFSET(nombres[],0,0,1,1))+1,ROW(OFFSET(nombres[],ROWS(nombres[])-1,0,1,1))+1),$O1491:$O1510),10),"")</f>
        <v/>
      </c>
      <c r="AFN1491" s="42" t="str">
        <f t="array" aca="1" ref="AFN1491:AFN1510" ca="1">IFERROR(INDEX(nombres[],SMALL(IF(OFFSET(nombres[],0,0,ROWS(nombres[]),1)=AFN$1490,ROW(OFFSET(nombres[],0,0,ROWS(nombres[]),1))-ROW(OFFSET(nombres[],0,0,1,1))+1,ROW(OFFSET(nombres[],ROWS(nombres[])-1,0,1,1))+1),$O1491:$O1510),10),"")</f>
        <v/>
      </c>
      <c r="AFO1491" s="42" t="str">
        <f t="array" aca="1" ref="AFO1491:AFO1510" ca="1">IFERROR(INDEX(nombres[],SMALL(IF(OFFSET(nombres[],0,0,ROWS(nombres[]),1)=AFO$1490,ROW(OFFSET(nombres[],0,0,ROWS(nombres[]),1))-ROW(OFFSET(nombres[],0,0,1,1))+1,ROW(OFFSET(nombres[],ROWS(nombres[])-1,0,1,1))+1),$O1491:$O1510),10),"")</f>
        <v/>
      </c>
      <c r="AFP1491" s="42" t="str">
        <f t="array" aca="1" ref="AFP1491:AFP1510" ca="1">IFERROR(INDEX(nombres[],SMALL(IF(OFFSET(nombres[],0,0,ROWS(nombres[]),1)=AFP$1490,ROW(OFFSET(nombres[],0,0,ROWS(nombres[]),1))-ROW(OFFSET(nombres[],0,0,1,1))+1,ROW(OFFSET(nombres[],ROWS(nombres[])-1,0,1,1))+1),$O1491:$O1510),10),"")</f>
        <v/>
      </c>
      <c r="AFQ1491" s="42" t="str">
        <f t="array" aca="1" ref="AFQ1491:AFQ1510" ca="1">IFERROR(INDEX(nombres[],SMALL(IF(OFFSET(nombres[],0,0,ROWS(nombres[]),1)=AFQ$1490,ROW(OFFSET(nombres[],0,0,ROWS(nombres[]),1))-ROW(OFFSET(nombres[],0,0,1,1))+1,ROW(OFFSET(nombres[],ROWS(nombres[])-1,0,1,1))+1),$O1491:$O1510),10),"")</f>
        <v/>
      </c>
      <c r="AFR1491" s="42" t="str">
        <f t="array" aca="1" ref="AFR1491:AFR1510" ca="1">IFERROR(INDEX(nombres[],SMALL(IF(OFFSET(nombres[],0,0,ROWS(nombres[]),1)=AFR$1490,ROW(OFFSET(nombres[],0,0,ROWS(nombres[]),1))-ROW(OFFSET(nombres[],0,0,1,1))+1,ROW(OFFSET(nombres[],ROWS(nombres[])-1,0,1,1))+1),$O1491:$O1510),10),"")</f>
        <v/>
      </c>
      <c r="AFS1491" s="42" t="str">
        <f t="array" aca="1" ref="AFS1491:AFS1510" ca="1">IFERROR(INDEX(nombres[],SMALL(IF(OFFSET(nombres[],0,0,ROWS(nombres[]),1)=AFS$1490,ROW(OFFSET(nombres[],0,0,ROWS(nombres[]),1))-ROW(OFFSET(nombres[],0,0,1,1))+1,ROW(OFFSET(nombres[],ROWS(nombres[])-1,0,1,1))+1),$O1491:$O1510),10),"")</f>
        <v/>
      </c>
      <c r="AFT1491" s="42" t="str">
        <f t="array" aca="1" ref="AFT1491:AFT1510" ca="1">IFERROR(INDEX(nombres[],SMALL(IF(OFFSET(nombres[],0,0,ROWS(nombres[]),1)=AFT$1490,ROW(OFFSET(nombres[],0,0,ROWS(nombres[]),1))-ROW(OFFSET(nombres[],0,0,1,1))+1,ROW(OFFSET(nombres[],ROWS(nombres[])-1,0,1,1))+1),$O1491:$O1510),10),"")</f>
        <v/>
      </c>
      <c r="AFU1491" s="42" t="str">
        <f t="array" aca="1" ref="AFU1491:AFU1510" ca="1">IFERROR(INDEX(nombres[],SMALL(IF(OFFSET(nombres[],0,0,ROWS(nombres[]),1)=AFU$1490,ROW(OFFSET(nombres[],0,0,ROWS(nombres[]),1))-ROW(OFFSET(nombres[],0,0,1,1))+1,ROW(OFFSET(nombres[],ROWS(nombres[])-1,0,1,1))+1),$O1491:$O1510),10),"")</f>
        <v/>
      </c>
      <c r="AFV1491" s="42" t="str">
        <f t="array" aca="1" ref="AFV1491:AFV1510" ca="1">IFERROR(INDEX(nombres[],SMALL(IF(OFFSET(nombres[],0,0,ROWS(nombres[]),1)=AFV$1490,ROW(OFFSET(nombres[],0,0,ROWS(nombres[]),1))-ROW(OFFSET(nombres[],0,0,1,1))+1,ROW(OFFSET(nombres[],ROWS(nombres[])-1,0,1,1))+1),$O1491:$O1510),10),"")</f>
        <v/>
      </c>
      <c r="AFW1491" s="42" t="str">
        <f t="array" aca="1" ref="AFW1491:AFW1510" ca="1">IFERROR(INDEX(nombres[],SMALL(IF(OFFSET(nombres[],0,0,ROWS(nombres[]),1)=AFW$1490,ROW(OFFSET(nombres[],0,0,ROWS(nombres[]),1))-ROW(OFFSET(nombres[],0,0,1,1))+1,ROW(OFFSET(nombres[],ROWS(nombres[])-1,0,1,1))+1),$O1491:$O1510),10),"")</f>
        <v/>
      </c>
      <c r="AFX1491" s="42" t="str">
        <f t="array" aca="1" ref="AFX1491:AFX1510" ca="1">IFERROR(INDEX(nombres[],SMALL(IF(OFFSET(nombres[],0,0,ROWS(nombres[]),1)=AFX$1490,ROW(OFFSET(nombres[],0,0,ROWS(nombres[]),1))-ROW(OFFSET(nombres[],0,0,1,1))+1,ROW(OFFSET(nombres[],ROWS(nombres[])-1,0,1,1))+1),$O1491:$O1510),10),"")</f>
        <v/>
      </c>
      <c r="AFY1491" s="42" t="str">
        <f t="array" aca="1" ref="AFY1491:AFY1510" ca="1">IFERROR(INDEX(nombres[],SMALL(IF(OFFSET(nombres[],0,0,ROWS(nombres[]),1)=AFY$1490,ROW(OFFSET(nombres[],0,0,ROWS(nombres[]),1))-ROW(OFFSET(nombres[],0,0,1,1))+1,ROW(OFFSET(nombres[],ROWS(nombres[])-1,0,1,1))+1),$O1491:$O1510),10),"")</f>
        <v/>
      </c>
      <c r="AFZ1491" s="42" t="str">
        <f t="array" aca="1" ref="AFZ1491:AFZ1510" ca="1">IFERROR(INDEX(nombres[],SMALL(IF(OFFSET(nombres[],0,0,ROWS(nombres[]),1)=AFZ$1490,ROW(OFFSET(nombres[],0,0,ROWS(nombres[]),1))-ROW(OFFSET(nombres[],0,0,1,1))+1,ROW(OFFSET(nombres[],ROWS(nombres[])-1,0,1,1))+1),$O1491:$O1510),10),"")</f>
        <v/>
      </c>
      <c r="AGA1491" s="42" t="str">
        <f t="array" aca="1" ref="AGA1491:AGA1510" ca="1">IFERROR(INDEX(nombres[],SMALL(IF(OFFSET(nombres[],0,0,ROWS(nombres[]),1)=AGA$1490,ROW(OFFSET(nombres[],0,0,ROWS(nombres[]),1))-ROW(OFFSET(nombres[],0,0,1,1))+1,ROW(OFFSET(nombres[],ROWS(nombres[])-1,0,1,1))+1),$O1491:$O1510),10),"")</f>
        <v/>
      </c>
      <c r="AGB1491" s="42" t="str">
        <f t="array" aca="1" ref="AGB1491:AGB1510" ca="1">IFERROR(INDEX(nombres[],SMALL(IF(OFFSET(nombres[],0,0,ROWS(nombres[]),1)=AGB$1490,ROW(OFFSET(nombres[],0,0,ROWS(nombres[]),1))-ROW(OFFSET(nombres[],0,0,1,1))+1,ROW(OFFSET(nombres[],ROWS(nombres[])-1,0,1,1))+1),$O1491:$O1510),10),"")</f>
        <v/>
      </c>
      <c r="AGC1491" s="42" t="str">
        <f t="array" aca="1" ref="AGC1491:AGC1510" ca="1">IFERROR(INDEX(nombres[],SMALL(IF(OFFSET(nombres[],0,0,ROWS(nombres[]),1)=AGC$1490,ROW(OFFSET(nombres[],0,0,ROWS(nombres[]),1))-ROW(OFFSET(nombres[],0,0,1,1))+1,ROW(OFFSET(nombres[],ROWS(nombres[])-1,0,1,1))+1),$O1491:$O1510),10),"")</f>
        <v/>
      </c>
      <c r="AGD1491" s="42" t="str">
        <f t="array" aca="1" ref="AGD1491:AGD1510" ca="1">IFERROR(INDEX(nombres[],SMALL(IF(OFFSET(nombres[],0,0,ROWS(nombres[]),1)=AGD$1490,ROW(OFFSET(nombres[],0,0,ROWS(nombres[]),1))-ROW(OFFSET(nombres[],0,0,1,1))+1,ROW(OFFSET(nombres[],ROWS(nombres[])-1,0,1,1))+1),$O1491:$O1510),10),"")</f>
        <v/>
      </c>
      <c r="AGE1491" s="42" t="str">
        <f t="array" aca="1" ref="AGE1491:AGE1510" ca="1">IFERROR(INDEX(nombres[],SMALL(IF(OFFSET(nombres[],0,0,ROWS(nombres[]),1)=AGE$1490,ROW(OFFSET(nombres[],0,0,ROWS(nombres[]),1))-ROW(OFFSET(nombres[],0,0,1,1))+1,ROW(OFFSET(nombres[],ROWS(nombres[])-1,0,1,1))+1),$O1491:$O1510),10),"")</f>
        <v/>
      </c>
      <c r="AGF1491" s="42" t="str">
        <f t="array" aca="1" ref="AGF1491:AGF1510" ca="1">IFERROR(INDEX(nombres[],SMALL(IF(OFFSET(nombres[],0,0,ROWS(nombres[]),1)=AGF$1490,ROW(OFFSET(nombres[],0,0,ROWS(nombres[]),1))-ROW(OFFSET(nombres[],0,0,1,1))+1,ROW(OFFSET(nombres[],ROWS(nombres[])-1,0,1,1))+1),$O1491:$O1510),10),"")</f>
        <v/>
      </c>
      <c r="AGG1491" s="42" t="str">
        <f t="array" aca="1" ref="AGG1491:AGG1510" ca="1">IFERROR(INDEX(nombres[],SMALL(IF(OFFSET(nombres[],0,0,ROWS(nombres[]),1)=AGG$1490,ROW(OFFSET(nombres[],0,0,ROWS(nombres[]),1))-ROW(OFFSET(nombres[],0,0,1,1))+1,ROW(OFFSET(nombres[],ROWS(nombres[])-1,0,1,1))+1),$O1491:$O1510),10),"")</f>
        <v/>
      </c>
      <c r="AGH1491" s="42" t="str">
        <f t="array" aca="1" ref="AGH1491:AGH1510" ca="1">IFERROR(INDEX(nombres[],SMALL(IF(OFFSET(nombres[],0,0,ROWS(nombres[]),1)=AGH$1490,ROW(OFFSET(nombres[],0,0,ROWS(nombres[]),1))-ROW(OFFSET(nombres[],0,0,1,1))+1,ROW(OFFSET(nombres[],ROWS(nombres[])-1,0,1,1))+1),$O1491:$O1510),10),"")</f>
        <v/>
      </c>
      <c r="AGI1491" s="42" t="str">
        <f t="array" aca="1" ref="AGI1491:AGI1510" ca="1">IFERROR(INDEX(nombres[],SMALL(IF(OFFSET(nombres[],0,0,ROWS(nombres[]),1)=AGI$1490,ROW(OFFSET(nombres[],0,0,ROWS(nombres[]),1))-ROW(OFFSET(nombres[],0,0,1,1))+1,ROW(OFFSET(nombres[],ROWS(nombres[])-1,0,1,1))+1),$O1491:$O1510),10),"")</f>
        <v/>
      </c>
      <c r="AGJ1491" s="42" t="str">
        <f t="array" aca="1" ref="AGJ1491:AGJ1510" ca="1">IFERROR(INDEX(nombres[],SMALL(IF(OFFSET(nombres[],0,0,ROWS(nombres[]),1)=AGJ$1490,ROW(OFFSET(nombres[],0,0,ROWS(nombres[]),1))-ROW(OFFSET(nombres[],0,0,1,1))+1,ROW(OFFSET(nombres[],ROWS(nombres[])-1,0,1,1))+1),$O1491:$O1510),10),"")</f>
        <v/>
      </c>
      <c r="AGK1491" s="42" t="str">
        <f t="array" aca="1" ref="AGK1491:AGK1510" ca="1">IFERROR(INDEX(nombres[],SMALL(IF(OFFSET(nombres[],0,0,ROWS(nombres[]),1)=AGK$1490,ROW(OFFSET(nombres[],0,0,ROWS(nombres[]),1))-ROW(OFFSET(nombres[],0,0,1,1))+1,ROW(OFFSET(nombres[],ROWS(nombres[])-1,0,1,1))+1),$O1491:$O1510),10),"")</f>
        <v/>
      </c>
      <c r="AGL1491" s="42" t="str">
        <f t="array" aca="1" ref="AGL1491:AGL1510" ca="1">IFERROR(INDEX(nombres[],SMALL(IF(OFFSET(nombres[],0,0,ROWS(nombres[]),1)=AGL$1490,ROW(OFFSET(nombres[],0,0,ROWS(nombres[]),1))-ROW(OFFSET(nombres[],0,0,1,1))+1,ROW(OFFSET(nombres[],ROWS(nombres[])-1,0,1,1))+1),$O1491:$O1510),10),"")</f>
        <v/>
      </c>
      <c r="AGM1491" s="42" t="str">
        <f t="array" aca="1" ref="AGM1491:AGM1510" ca="1">IFERROR(INDEX(nombres[],SMALL(IF(OFFSET(nombres[],0,0,ROWS(nombres[]),1)=AGM$1490,ROW(OFFSET(nombres[],0,0,ROWS(nombres[]),1))-ROW(OFFSET(nombres[],0,0,1,1))+1,ROW(OFFSET(nombres[],ROWS(nombres[])-1,0,1,1))+1),$O1491:$O1510),10),"")</f>
        <v/>
      </c>
      <c r="AGN1491" s="42" t="str">
        <f t="array" aca="1" ref="AGN1491:AGN1510" ca="1">IFERROR(INDEX(nombres[],SMALL(IF(OFFSET(nombres[],0,0,ROWS(nombres[]),1)=AGN$1490,ROW(OFFSET(nombres[],0,0,ROWS(nombres[]),1))-ROW(OFFSET(nombres[],0,0,1,1))+1,ROW(OFFSET(nombres[],ROWS(nombres[])-1,0,1,1))+1),$O1491:$O1510),10),"")</f>
        <v/>
      </c>
    </row>
    <row r="1492" spans="15:872" x14ac:dyDescent="0.25">
      <c r="O1492" s="42">
        <v>2</v>
      </c>
      <c r="P1492" s="42">
        <f ca="1"/>
        <v>2570</v>
      </c>
      <c r="Q1492" s="42" t="str">
        <f ca="1"/>
        <v/>
      </c>
      <c r="R1492" s="42" t="str">
        <f ca="1"/>
        <v/>
      </c>
      <c r="S1492" s="42">
        <f ca="1"/>
        <v>2952</v>
      </c>
      <c r="T1492" s="42" t="str">
        <f ca="1"/>
        <v/>
      </c>
      <c r="U1492" s="42">
        <f ca="1"/>
        <v>377</v>
      </c>
      <c r="V1492" s="42" t="str">
        <f ca="1"/>
        <v/>
      </c>
      <c r="W1492" s="42">
        <f ca="1"/>
        <v>364</v>
      </c>
      <c r="X1492" s="42">
        <f ca="1"/>
        <v>377</v>
      </c>
      <c r="Y1492" s="42" t="str">
        <f ca="1"/>
        <v/>
      </c>
      <c r="Z1492" s="42" t="str">
        <f ca="1"/>
        <v/>
      </c>
      <c r="AA1492" s="42">
        <f ca="1"/>
        <v>627</v>
      </c>
      <c r="AB1492" s="42">
        <f ca="1"/>
        <v>3393</v>
      </c>
      <c r="AC1492" s="42">
        <f ca="1"/>
        <v>823</v>
      </c>
      <c r="AD1492" s="42">
        <f ca="1"/>
        <v>1220</v>
      </c>
      <c r="AE1492" s="42">
        <f ca="1"/>
        <v>1480</v>
      </c>
      <c r="AF1492" s="42">
        <f ca="1"/>
        <v>610</v>
      </c>
      <c r="AG1492" s="42" t="str">
        <f ca="1"/>
        <v/>
      </c>
      <c r="AH1492" s="42">
        <f ca="1"/>
        <v>974</v>
      </c>
      <c r="AI1492" s="42" t="str">
        <f ca="1"/>
        <v/>
      </c>
      <c r="AJ1492" s="42">
        <f ca="1"/>
        <v>974</v>
      </c>
      <c r="AK1492" s="42">
        <f ca="1"/>
        <v>823</v>
      </c>
      <c r="AL1492" s="42">
        <f ca="1"/>
        <v>823</v>
      </c>
      <c r="AM1492" s="42">
        <f ca="1"/>
        <v>823</v>
      </c>
      <c r="AN1492" s="42">
        <f ca="1"/>
        <v>823</v>
      </c>
      <c r="AO1492" s="42" t="str">
        <f ca="1"/>
        <v/>
      </c>
      <c r="AP1492" s="42">
        <f ca="1"/>
        <v>610</v>
      </c>
      <c r="AQ1492" s="42" t="str">
        <f ca="1"/>
        <v/>
      </c>
      <c r="AR1492" s="42" t="str">
        <f ca="1"/>
        <v/>
      </c>
      <c r="AS1492" s="42" t="str">
        <f ca="1"/>
        <v/>
      </c>
      <c r="AT1492" s="42" t="str">
        <f ca="1"/>
        <v/>
      </c>
      <c r="AU1492" s="42">
        <f ca="1"/>
        <v>823</v>
      </c>
      <c r="AV1492" s="42" t="str">
        <f ca="1"/>
        <v/>
      </c>
      <c r="AW1492" s="42">
        <f ca="1"/>
        <v>1646</v>
      </c>
      <c r="AX1492" s="42" t="str">
        <f ca="1"/>
        <v/>
      </c>
      <c r="AY1492" s="42">
        <f ca="1"/>
        <v>1646</v>
      </c>
      <c r="AZ1492" s="42" t="str">
        <f ca="1"/>
        <v/>
      </c>
      <c r="BA1492" s="42">
        <f ca="1"/>
        <v>364</v>
      </c>
      <c r="BB1492" s="42">
        <f ca="1"/>
        <v>1646</v>
      </c>
      <c r="BC1492" s="42" t="str">
        <f ca="1"/>
        <v/>
      </c>
      <c r="BD1492" s="42" t="str">
        <f ca="1"/>
        <v/>
      </c>
      <c r="BE1492" s="42" t="str">
        <f ca="1"/>
        <v/>
      </c>
      <c r="BF1492" s="42">
        <f ca="1"/>
        <v>740</v>
      </c>
      <c r="BG1492" s="42">
        <f ca="1"/>
        <v>740</v>
      </c>
      <c r="BH1492" s="42" t="str">
        <f ca="1"/>
        <v/>
      </c>
      <c r="BI1492" s="42" t="str">
        <f ca="1"/>
        <v/>
      </c>
      <c r="BJ1492" s="42">
        <f ca="1"/>
        <v>1646</v>
      </c>
      <c r="BK1492" s="42">
        <f ca="1"/>
        <v>1646</v>
      </c>
      <c r="BL1492" s="42" t="str">
        <f ca="1"/>
        <v/>
      </c>
      <c r="BM1492" s="42" t="str">
        <f ca="1"/>
        <v/>
      </c>
      <c r="BN1492" s="42" t="str">
        <f ca="1"/>
        <v/>
      </c>
      <c r="BO1492" s="42">
        <f ca="1"/>
        <v>7160</v>
      </c>
      <c r="BP1492" s="42">
        <f ca="1"/>
        <v>736</v>
      </c>
      <c r="BQ1492" s="42" t="str">
        <f ca="1"/>
        <v/>
      </c>
      <c r="BR1492" s="42" t="str">
        <f ca="1"/>
        <v/>
      </c>
      <c r="BS1492" s="42">
        <f ca="1"/>
        <v>1459</v>
      </c>
      <c r="BT1492" s="42">
        <f ca="1"/>
        <v>500</v>
      </c>
      <c r="BU1492" s="42">
        <f ca="1"/>
        <v>14060</v>
      </c>
      <c r="BV1492" s="42" t="str">
        <f ca="1"/>
        <v/>
      </c>
      <c r="BW1492" s="42" t="str">
        <f ca="1"/>
        <v/>
      </c>
      <c r="BX1492" s="42" t="str">
        <f ca="1"/>
        <v/>
      </c>
      <c r="BY1492" s="42" t="str">
        <f ca="1"/>
        <v/>
      </c>
      <c r="BZ1492" s="42" t="str">
        <f ca="1"/>
        <v/>
      </c>
      <c r="CA1492" s="42" t="str">
        <f ca="1"/>
        <v/>
      </c>
      <c r="CB1492" s="42">
        <f ca="1"/>
        <v>823</v>
      </c>
      <c r="CC1492" s="42" t="str">
        <f ca="1"/>
        <v/>
      </c>
      <c r="CD1492" s="42" t="str">
        <f ca="1"/>
        <v/>
      </c>
      <c r="CE1492" s="42" t="str">
        <f ca="1"/>
        <v/>
      </c>
      <c r="CF1492" s="42" t="str">
        <f ca="1"/>
        <v/>
      </c>
      <c r="CG1492" s="42" t="str">
        <f ca="1"/>
        <v/>
      </c>
      <c r="CH1492" s="42" t="str">
        <f ca="1"/>
        <v/>
      </c>
      <c r="CI1492" s="42">
        <f ca="1"/>
        <v>823</v>
      </c>
      <c r="CJ1492" s="42" t="str">
        <f ca="1"/>
        <v/>
      </c>
      <c r="CK1492" s="42">
        <f ca="1"/>
        <v>14120</v>
      </c>
      <c r="CL1492" s="42">
        <f ca="1"/>
        <v>823</v>
      </c>
      <c r="CM1492" s="42" t="str">
        <f ca="1"/>
        <v/>
      </c>
      <c r="CN1492" s="42" t="str">
        <f ca="1"/>
        <v/>
      </c>
      <c r="CO1492" s="42" t="str">
        <f ca="1"/>
        <v/>
      </c>
      <c r="CP1492" s="42" t="str">
        <f ca="1"/>
        <v/>
      </c>
      <c r="CQ1492" s="42" t="str">
        <f ca="1"/>
        <v/>
      </c>
      <c r="CR1492" s="42" t="str">
        <f ca="1"/>
        <v/>
      </c>
      <c r="CS1492" s="42">
        <f ca="1"/>
        <v>610</v>
      </c>
      <c r="CT1492" s="42">
        <f ca="1"/>
        <v>690</v>
      </c>
      <c r="CU1492" s="42">
        <f ca="1"/>
        <v>1646</v>
      </c>
      <c r="CV1492" s="42">
        <f ca="1"/>
        <v>1380</v>
      </c>
      <c r="CW1492" s="42">
        <f ca="1"/>
        <v>823</v>
      </c>
      <c r="CX1492" s="42" t="str">
        <f ca="1"/>
        <v/>
      </c>
      <c r="CY1492" s="42" t="str">
        <f ca="1"/>
        <v/>
      </c>
      <c r="CZ1492" s="42" t="str">
        <f ca="1"/>
        <v/>
      </c>
      <c r="DA1492" s="42">
        <f ca="1"/>
        <v>823</v>
      </c>
      <c r="DB1492" s="42" t="str">
        <f ca="1"/>
        <v/>
      </c>
      <c r="DC1492" s="42">
        <f ca="1"/>
        <v>3900</v>
      </c>
      <c r="DD1492" s="42">
        <f ca="1"/>
        <v>820</v>
      </c>
      <c r="DE1492" s="42" t="str">
        <f ca="1"/>
        <v/>
      </c>
      <c r="DF1492" s="42" t="str">
        <f ca="1"/>
        <v/>
      </c>
      <c r="DG1492" s="42" t="str">
        <f ca="1"/>
        <v/>
      </c>
      <c r="DH1492" s="42">
        <f ca="1"/>
        <v>823</v>
      </c>
      <c r="DI1492" s="42">
        <f ca="1"/>
        <v>823</v>
      </c>
      <c r="DJ1492" s="42">
        <f ca="1"/>
        <v>823</v>
      </c>
      <c r="DK1492" s="42" t="str">
        <f ca="1"/>
        <v/>
      </c>
      <c r="DL1492" s="42">
        <f ca="1"/>
        <v>823</v>
      </c>
      <c r="DM1492" s="42" t="str">
        <f ca="1"/>
        <v/>
      </c>
      <c r="DN1492" s="42">
        <f ca="1"/>
        <v>823</v>
      </c>
      <c r="DO1492" s="42">
        <f ca="1"/>
        <v>14320</v>
      </c>
      <c r="DP1492" s="42" t="str">
        <f ca="1"/>
        <v/>
      </c>
      <c r="DQ1492" s="42">
        <f ca="1"/>
        <v>823</v>
      </c>
      <c r="DR1492" s="42" t="str">
        <f ca="1"/>
        <v/>
      </c>
      <c r="DS1492" s="42">
        <f ca="1"/>
        <v>823</v>
      </c>
      <c r="DT1492" s="42" t="str">
        <f ca="1"/>
        <v/>
      </c>
      <c r="DU1492" s="42" t="str">
        <f ca="1"/>
        <v/>
      </c>
      <c r="DV1492" s="42" t="str">
        <f ca="1"/>
        <v/>
      </c>
      <c r="DW1492" s="42">
        <f ca="1"/>
        <v>1646</v>
      </c>
      <c r="DX1492" s="42" t="str">
        <f ca="1"/>
        <v/>
      </c>
      <c r="DY1492" s="42">
        <f ca="1"/>
        <v>823</v>
      </c>
      <c r="DZ1492" s="42" t="str">
        <f ca="1"/>
        <v/>
      </c>
      <c r="EA1492" s="42">
        <f ca="1"/>
        <v>823</v>
      </c>
      <c r="EB1492" s="42">
        <f ca="1"/>
        <v>1426</v>
      </c>
      <c r="EC1492" s="42">
        <f ca="1"/>
        <v>823</v>
      </c>
      <c r="ED1492" s="42">
        <f ca="1"/>
        <v>823</v>
      </c>
      <c r="EE1492" s="42">
        <f ca="1"/>
        <v>823</v>
      </c>
      <c r="EF1492" s="42" t="str">
        <f ca="1"/>
        <v/>
      </c>
      <c r="EG1492" s="42" t="str">
        <f ca="1"/>
        <v/>
      </c>
      <c r="EH1492" s="42">
        <f ca="1"/>
        <v>2650</v>
      </c>
      <c r="EI1492" s="42" t="str">
        <f ca="1"/>
        <v/>
      </c>
      <c r="EJ1492" s="42" t="str">
        <f ca="1"/>
        <v/>
      </c>
      <c r="EK1492" s="42">
        <f ca="1"/>
        <v>1450</v>
      </c>
      <c r="EL1492" s="42">
        <f ca="1"/>
        <v>823</v>
      </c>
      <c r="EM1492" s="42">
        <f ca="1"/>
        <v>974</v>
      </c>
      <c r="EN1492" s="42" t="str">
        <f ca="1"/>
        <v/>
      </c>
      <c r="EO1492" s="42">
        <f ca="1"/>
        <v>610</v>
      </c>
      <c r="EP1492" s="42">
        <f ca="1"/>
        <v>14260</v>
      </c>
      <c r="EQ1492" s="42">
        <f ca="1"/>
        <v>740</v>
      </c>
      <c r="ER1492" s="42">
        <f ca="1"/>
        <v>364</v>
      </c>
      <c r="ES1492" s="42" t="str">
        <f ca="1"/>
        <v/>
      </c>
      <c r="ET1492" s="42" t="str">
        <f ca="1"/>
        <v/>
      </c>
      <c r="EU1492" s="42">
        <f ca="1"/>
        <v>823</v>
      </c>
      <c r="EV1492" s="42" t="str">
        <f ca="1"/>
        <v/>
      </c>
      <c r="EW1492" s="42" t="str">
        <f ca="1"/>
        <v/>
      </c>
      <c r="EX1492" s="42">
        <f ca="1"/>
        <v>1752</v>
      </c>
      <c r="EY1492" s="42" t="str">
        <f ca="1"/>
        <v/>
      </c>
      <c r="EZ1492" s="42" t="str">
        <f ca="1"/>
        <v/>
      </c>
      <c r="FA1492" s="42">
        <f ca="1"/>
        <v>736</v>
      </c>
      <c r="FB1492" s="42" t="str">
        <f ca="1"/>
        <v/>
      </c>
      <c r="FC1492" s="42">
        <f ca="1"/>
        <v>823</v>
      </c>
      <c r="FD1492" s="42" t="str">
        <f ca="1"/>
        <v/>
      </c>
      <c r="FE1492" s="42">
        <f ca="1"/>
        <v>500</v>
      </c>
      <c r="FF1492" s="42">
        <f ca="1"/>
        <v>823</v>
      </c>
      <c r="FG1492" s="42" t="str">
        <f ca="1"/>
        <v/>
      </c>
      <c r="FH1492" s="42" t="str">
        <f ca="1"/>
        <v/>
      </c>
      <c r="FI1492" s="42">
        <f ca="1"/>
        <v>590</v>
      </c>
      <c r="FJ1492" s="42">
        <f ca="1"/>
        <v>736</v>
      </c>
      <c r="FK1492" s="42">
        <f ca="1"/>
        <v>-5600</v>
      </c>
      <c r="FL1492" s="42">
        <f ca="1"/>
        <v>716</v>
      </c>
      <c r="FM1492" s="42" t="str">
        <f ca="1"/>
        <v/>
      </c>
      <c r="FN1492" s="42" t="str">
        <f ca="1"/>
        <v/>
      </c>
      <c r="FO1492" s="42">
        <f ca="1"/>
        <v>736</v>
      </c>
      <c r="FP1492" s="42">
        <f ca="1"/>
        <v>823</v>
      </c>
      <c r="FQ1492" s="42" t="str">
        <f ca="1"/>
        <v/>
      </c>
      <c r="FR1492" s="42" t="str">
        <f ca="1"/>
        <v/>
      </c>
      <c r="FS1492" s="42">
        <f ca="1"/>
        <v>1459</v>
      </c>
      <c r="FT1492" s="42" t="str">
        <f ca="1"/>
        <v/>
      </c>
      <c r="FU1492" s="42" t="str">
        <f ca="1"/>
        <v/>
      </c>
      <c r="FV1492" s="42" t="str">
        <f ca="1"/>
        <v/>
      </c>
      <c r="FW1492" s="42" t="str">
        <f ca="1"/>
        <v/>
      </c>
      <c r="FX1492" s="42">
        <f ca="1"/>
        <v>823</v>
      </c>
      <c r="FY1492" s="42" t="str">
        <f ca="1"/>
        <v/>
      </c>
      <c r="FZ1492" s="42">
        <f ca="1"/>
        <v>823</v>
      </c>
      <c r="GA1492" s="42">
        <f ca="1"/>
        <v>610</v>
      </c>
      <c r="GB1492" s="42" t="str">
        <f ca="1"/>
        <v/>
      </c>
      <c r="GC1492" s="42">
        <f ca="1"/>
        <v>823</v>
      </c>
      <c r="GD1492" s="42">
        <f ca="1"/>
        <v>823</v>
      </c>
      <c r="GE1492" s="42" t="str">
        <f ca="1"/>
        <v/>
      </c>
      <c r="GF1492" s="42">
        <f ca="1"/>
        <v>716</v>
      </c>
      <c r="GG1492" s="42">
        <f ca="1"/>
        <v>1646</v>
      </c>
      <c r="GH1492" s="42">
        <f ca="1"/>
        <v>690</v>
      </c>
      <c r="GI1492" s="42">
        <f ca="1"/>
        <v>1432</v>
      </c>
      <c r="GJ1492" s="42">
        <f ca="1"/>
        <v>7280</v>
      </c>
      <c r="GK1492" s="42" t="str">
        <f ca="1"/>
        <v/>
      </c>
      <c r="GL1492" s="42">
        <f ca="1"/>
        <v>740</v>
      </c>
      <c r="GM1492" s="42" t="str">
        <f ca="1"/>
        <v/>
      </c>
      <c r="GN1492" s="42" t="str">
        <f ca="1"/>
        <v/>
      </c>
      <c r="GO1492" s="42" t="str">
        <f ca="1"/>
        <v/>
      </c>
      <c r="GP1492" s="42" t="str">
        <f ca="1"/>
        <v/>
      </c>
      <c r="GQ1492" s="42" t="str">
        <f ca="1"/>
        <v/>
      </c>
      <c r="GR1492" s="42">
        <f ca="1"/>
        <v>1646</v>
      </c>
      <c r="GS1492" s="42">
        <f ca="1"/>
        <v>716</v>
      </c>
      <c r="GT1492" s="42">
        <f ca="1"/>
        <v>1646</v>
      </c>
      <c r="GU1492" s="42">
        <f ca="1"/>
        <v>2676</v>
      </c>
      <c r="GV1492" s="42">
        <f ca="1"/>
        <v>736</v>
      </c>
      <c r="GW1492" s="42">
        <f ca="1"/>
        <v>823</v>
      </c>
      <c r="GX1492" s="42" t="str">
        <f ca="1"/>
        <v/>
      </c>
      <c r="GY1492" s="42">
        <f ca="1"/>
        <v>100</v>
      </c>
      <c r="GZ1492" s="42" t="str">
        <f ca="1"/>
        <v/>
      </c>
      <c r="HA1492" s="42" t="str">
        <f ca="1"/>
        <v/>
      </c>
      <c r="HB1492" s="42" t="str">
        <f ca="1"/>
        <v/>
      </c>
      <c r="HC1492" s="42" t="str">
        <f ca="1"/>
        <v/>
      </c>
      <c r="HD1492" s="42">
        <f ca="1"/>
        <v>823</v>
      </c>
      <c r="HE1492" s="42">
        <f ca="1"/>
        <v>1646</v>
      </c>
      <c r="HF1492" s="42" t="str">
        <f ca="1"/>
        <v/>
      </c>
      <c r="HG1492" s="42">
        <f ca="1"/>
        <v>823</v>
      </c>
      <c r="HH1492" s="42" t="str">
        <f ca="1"/>
        <v/>
      </c>
      <c r="HI1492" s="42">
        <f ca="1"/>
        <v>2000</v>
      </c>
      <c r="HJ1492" s="42">
        <f ca="1"/>
        <v>1646</v>
      </c>
      <c r="HK1492" s="42">
        <f ca="1"/>
        <v>1646</v>
      </c>
      <c r="HL1492" s="42" t="str">
        <f ca="1"/>
        <v/>
      </c>
      <c r="HM1492" s="42">
        <f ca="1"/>
        <v>823</v>
      </c>
      <c r="HN1492" s="42" t="str">
        <f ca="1"/>
        <v/>
      </c>
      <c r="HO1492" s="42">
        <f ca="1"/>
        <v>823</v>
      </c>
      <c r="HP1492" s="42">
        <f ca="1"/>
        <v>823</v>
      </c>
      <c r="HQ1492" s="42">
        <f ca="1"/>
        <v>1646</v>
      </c>
      <c r="HR1492" s="42" t="str">
        <f ca="1"/>
        <v/>
      </c>
      <c r="HS1492" s="42">
        <f ca="1"/>
        <v>823</v>
      </c>
      <c r="HT1492" s="42">
        <f ca="1"/>
        <v>1646</v>
      </c>
      <c r="HU1492" s="42" t="str">
        <f ca="1"/>
        <v/>
      </c>
      <c r="HV1492" s="42" t="str">
        <f ca="1"/>
        <v/>
      </c>
      <c r="HW1492" s="42" t="str">
        <f ca="1"/>
        <v/>
      </c>
      <c r="HX1492" s="42" t="str">
        <f ca="1"/>
        <v/>
      </c>
      <c r="HY1492" s="42" t="str">
        <f ca="1"/>
        <v/>
      </c>
      <c r="HZ1492" s="42" t="str">
        <f ca="1"/>
        <v/>
      </c>
      <c r="IA1492" s="42">
        <f ca="1"/>
        <v>736</v>
      </c>
      <c r="IB1492" s="42">
        <f ca="1"/>
        <v>823</v>
      </c>
      <c r="IC1492" s="42">
        <f ca="1"/>
        <v>823</v>
      </c>
      <c r="ID1492" s="42">
        <f ca="1"/>
        <v>1423</v>
      </c>
      <c r="IE1492" s="42">
        <f ca="1"/>
        <v>823</v>
      </c>
      <c r="IF1492" s="42" t="str">
        <f ca="1"/>
        <v/>
      </c>
      <c r="IG1492" s="42">
        <f ca="1"/>
        <v>7160</v>
      </c>
      <c r="IH1492" s="42" t="str">
        <f ca="1"/>
        <v/>
      </c>
      <c r="II1492" s="42">
        <f ca="1"/>
        <v>3640</v>
      </c>
      <c r="IJ1492" s="42">
        <f ca="1"/>
        <v>1476</v>
      </c>
      <c r="IK1492" s="42" t="str">
        <f ca="1"/>
        <v/>
      </c>
      <c r="IL1492" s="42">
        <f ca="1"/>
        <v>1372</v>
      </c>
      <c r="IM1492" s="42" t="str">
        <f ca="1"/>
        <v/>
      </c>
      <c r="IN1492" s="42" t="str">
        <f ca="1"/>
        <v/>
      </c>
      <c r="IO1492" s="42" t="str">
        <f ca="1"/>
        <v/>
      </c>
      <c r="IP1492" s="42" t="str">
        <f ca="1"/>
        <v/>
      </c>
      <c r="IQ1492" s="42" t="str">
        <f ca="1"/>
        <v/>
      </c>
      <c r="IR1492" s="42" t="str">
        <f ca="1"/>
        <v/>
      </c>
      <c r="IS1492" s="42" t="str">
        <f ca="1"/>
        <v/>
      </c>
      <c r="IT1492" s="42">
        <f ca="1"/>
        <v>736</v>
      </c>
      <c r="IU1492" s="42" t="str">
        <f ca="1"/>
        <v/>
      </c>
      <c r="IV1492" s="42" t="str">
        <f ca="1"/>
        <v/>
      </c>
      <c r="IW1492" s="42" t="str">
        <f ca="1"/>
        <v/>
      </c>
      <c r="IX1492" s="42" t="str">
        <f ca="1"/>
        <v/>
      </c>
      <c r="IY1492" s="42" t="str">
        <f ca="1"/>
        <v/>
      </c>
      <c r="IZ1492" s="42">
        <f ca="1"/>
        <v>1406</v>
      </c>
      <c r="JA1492" s="42" t="str">
        <f ca="1"/>
        <v/>
      </c>
      <c r="JB1492" s="42">
        <f ca="1"/>
        <v>823</v>
      </c>
      <c r="JC1492" s="42" t="str">
        <f ca="1"/>
        <v/>
      </c>
      <c r="JD1492" s="42" t="str">
        <f ca="1"/>
        <v/>
      </c>
      <c r="JE1492" s="42" t="str">
        <f ca="1"/>
        <v/>
      </c>
      <c r="JF1492" s="42" t="str">
        <f ca="1"/>
        <v/>
      </c>
      <c r="JG1492" s="42">
        <f ca="1"/>
        <v>716</v>
      </c>
      <c r="JH1492" s="42">
        <f ca="1"/>
        <v>690</v>
      </c>
      <c r="JI1492" s="42" t="str">
        <f ca="1"/>
        <v/>
      </c>
      <c r="JJ1492" s="42" t="str">
        <f ca="1"/>
        <v/>
      </c>
      <c r="JK1492" s="42" t="str">
        <f ca="1"/>
        <v/>
      </c>
      <c r="JL1492" s="42" t="str">
        <f ca="1"/>
        <v/>
      </c>
      <c r="JM1492" s="42" t="str">
        <f ca="1"/>
        <v/>
      </c>
      <c r="JN1492" s="42">
        <f ca="1"/>
        <v>823</v>
      </c>
      <c r="JO1492" s="42" t="str">
        <f ca="1"/>
        <v/>
      </c>
      <c r="JP1492" s="42">
        <f ca="1"/>
        <v>823</v>
      </c>
      <c r="JQ1492" s="42">
        <f ca="1"/>
        <v>1400</v>
      </c>
      <c r="JR1492" s="42" t="str">
        <f ca="1"/>
        <v/>
      </c>
      <c r="JS1492" s="42">
        <f ca="1"/>
        <v>823</v>
      </c>
      <c r="JT1492" s="42" t="str">
        <f ca="1"/>
        <v/>
      </c>
      <c r="JU1492" s="42" t="str">
        <f ca="1"/>
        <v/>
      </c>
      <c r="JV1492" s="42">
        <f ca="1"/>
        <v>1646</v>
      </c>
      <c r="JW1492" s="42" t="str">
        <f ca="1"/>
        <v/>
      </c>
      <c r="JX1492" s="42" t="str">
        <f ca="1"/>
        <v/>
      </c>
      <c r="JY1492" s="42">
        <f ca="1"/>
        <v>716</v>
      </c>
      <c r="JZ1492" s="42">
        <f ca="1"/>
        <v>823</v>
      </c>
      <c r="KA1492" s="42" t="str">
        <f ca="1"/>
        <v/>
      </c>
      <c r="KB1492" s="42">
        <f ca="1"/>
        <v>823</v>
      </c>
      <c r="KC1492" s="42">
        <f ca="1"/>
        <v>4900</v>
      </c>
      <c r="KD1492" s="42" t="str">
        <f ca="1"/>
        <v/>
      </c>
      <c r="KE1492" s="42">
        <f ca="1"/>
        <v>823</v>
      </c>
      <c r="KF1492" s="42">
        <f ca="1"/>
        <v>823</v>
      </c>
      <c r="KG1492" s="42" t="str">
        <f ca="1"/>
        <v/>
      </c>
      <c r="KH1492" s="42">
        <f ca="1"/>
        <v>686</v>
      </c>
      <c r="KI1492" s="42">
        <f ca="1"/>
        <v>736</v>
      </c>
      <c r="KJ1492" s="42">
        <f ca="1"/>
        <v>1662</v>
      </c>
      <c r="KK1492" s="42">
        <f ca="1"/>
        <v>740</v>
      </c>
      <c r="KL1492" s="42" t="str">
        <f ca="1"/>
        <v/>
      </c>
      <c r="KM1492" s="42" t="str">
        <f ca="1"/>
        <v/>
      </c>
      <c r="KN1492" s="42">
        <f ca="1"/>
        <v>1646</v>
      </c>
      <c r="KO1492" s="42" t="str">
        <f ca="1"/>
        <v/>
      </c>
      <c r="KP1492" s="42">
        <f ca="1"/>
        <v>1472</v>
      </c>
      <c r="KQ1492" s="42" t="str">
        <f ca="1"/>
        <v/>
      </c>
      <c r="KR1492" s="42">
        <f ca="1"/>
        <v>728</v>
      </c>
      <c r="KS1492" s="42" t="str">
        <f ca="1"/>
        <v/>
      </c>
      <c r="KT1492" s="42">
        <f ca="1"/>
        <v>1092</v>
      </c>
      <c r="KU1492" s="42">
        <f ca="1"/>
        <v>823</v>
      </c>
      <c r="KV1492" s="42">
        <f ca="1"/>
        <v>823</v>
      </c>
      <c r="KW1492" s="42">
        <f ca="1"/>
        <v>823</v>
      </c>
      <c r="KX1492" s="42">
        <f ca="1"/>
        <v>823</v>
      </c>
      <c r="KY1492" s="42">
        <f ca="1"/>
        <v>823</v>
      </c>
      <c r="KZ1492" s="42">
        <f ca="1"/>
        <v>1152</v>
      </c>
      <c r="LA1492" s="42" t="str">
        <f ca="1"/>
        <v/>
      </c>
      <c r="LB1492" s="42">
        <f ca="1"/>
        <v>736</v>
      </c>
      <c r="LC1492" s="42" t="str">
        <f ca="1"/>
        <v/>
      </c>
      <c r="LD1492" s="42" t="str">
        <f ca="1"/>
        <v/>
      </c>
      <c r="LE1492" s="42">
        <f ca="1"/>
        <v>736</v>
      </c>
      <c r="LF1492" s="42" t="str">
        <f ca="1"/>
        <v/>
      </c>
      <c r="LG1492" s="42">
        <f ca="1"/>
        <v>1126</v>
      </c>
      <c r="LH1492" s="42">
        <f ca="1"/>
        <v>823</v>
      </c>
      <c r="LI1492" s="42">
        <f ca="1"/>
        <v>1646</v>
      </c>
      <c r="LJ1492" s="42" t="str">
        <f ca="1"/>
        <v/>
      </c>
      <c r="LK1492" s="42">
        <f ca="1"/>
        <v>823</v>
      </c>
      <c r="LL1492" s="42" t="str">
        <f ca="1"/>
        <v/>
      </c>
      <c r="LM1492" s="42">
        <f ca="1"/>
        <v>740</v>
      </c>
      <c r="LN1492" s="42">
        <f ca="1"/>
        <v>1646</v>
      </c>
      <c r="LO1492" s="42">
        <f ca="1"/>
        <v>823</v>
      </c>
      <c r="LP1492" s="42" t="str">
        <f ca="1"/>
        <v/>
      </c>
      <c r="LQ1492" s="42">
        <f ca="1"/>
        <v>1646</v>
      </c>
      <c r="LR1492" s="42" t="str">
        <f ca="1"/>
        <v/>
      </c>
      <c r="LS1492" s="42">
        <f ca="1"/>
        <v>1646</v>
      </c>
      <c r="LT1492" s="42" t="str">
        <f ca="1"/>
        <v/>
      </c>
      <c r="LU1492" s="42">
        <f ca="1"/>
        <v>716</v>
      </c>
      <c r="LV1492" s="42" t="str">
        <f ca="1"/>
        <v/>
      </c>
      <c r="LW1492" s="42" t="str">
        <f ca="1"/>
        <v/>
      </c>
      <c r="LX1492" s="42">
        <f ca="1"/>
        <v>1476</v>
      </c>
      <c r="LY1492" s="42" t="str">
        <f ca="1"/>
        <v/>
      </c>
      <c r="LZ1492" s="42" t="str">
        <f ca="1"/>
        <v/>
      </c>
      <c r="MA1492" s="42" t="str">
        <f ca="1"/>
        <v/>
      </c>
      <c r="MB1492" s="42" t="str">
        <f ca="1"/>
        <v/>
      </c>
      <c r="MC1492" s="42" t="str">
        <f ca="1"/>
        <v/>
      </c>
      <c r="MD1492" s="42" t="str">
        <f ca="1"/>
        <v/>
      </c>
      <c r="ME1492" s="42" t="str">
        <f ca="1"/>
        <v/>
      </c>
      <c r="MF1492" s="42" t="str">
        <f ca="1"/>
        <v/>
      </c>
      <c r="MG1492" s="42" t="str">
        <f ca="1"/>
        <v/>
      </c>
      <c r="MH1492" s="42" t="str">
        <f ca="1"/>
        <v/>
      </c>
      <c r="MI1492" s="42" t="str">
        <f ca="1"/>
        <v/>
      </c>
      <c r="MJ1492" s="42" t="str">
        <f ca="1"/>
        <v/>
      </c>
      <c r="MK1492" s="42" t="str">
        <f ca="1"/>
        <v/>
      </c>
      <c r="ML1492" s="42" t="str">
        <f ca="1"/>
        <v/>
      </c>
      <c r="MM1492" s="42" t="str">
        <f ca="1"/>
        <v/>
      </c>
      <c r="MN1492" s="42" t="str">
        <f ca="1"/>
        <v/>
      </c>
      <c r="MO1492" s="42" t="str">
        <f ca="1"/>
        <v/>
      </c>
      <c r="MP1492" s="42" t="str">
        <f ca="1"/>
        <v/>
      </c>
      <c r="MQ1492" s="42" t="str">
        <f ca="1"/>
        <v/>
      </c>
      <c r="MR1492" s="42" t="str">
        <f ca="1"/>
        <v/>
      </c>
      <c r="MS1492" s="42" t="str">
        <f ca="1"/>
        <v/>
      </c>
      <c r="MT1492" s="42" t="str">
        <f ca="1"/>
        <v/>
      </c>
      <c r="MU1492" s="42" t="str">
        <f ca="1"/>
        <v/>
      </c>
      <c r="MV1492" s="42" t="str">
        <f ca="1"/>
        <v/>
      </c>
      <c r="MW1492" s="42" t="str">
        <f ca="1"/>
        <v/>
      </c>
      <c r="MX1492" s="42" t="str">
        <f ca="1"/>
        <v/>
      </c>
      <c r="MY1492" s="42" t="str">
        <f ca="1"/>
        <v/>
      </c>
      <c r="MZ1492" s="42" t="str">
        <f ca="1"/>
        <v/>
      </c>
      <c r="NA1492" s="42" t="str">
        <f ca="1"/>
        <v/>
      </c>
      <c r="NB1492" s="42" t="str">
        <f ca="1"/>
        <v/>
      </c>
      <c r="NC1492" s="42" t="str">
        <f ca="1"/>
        <v/>
      </c>
      <c r="ND1492" s="42" t="str">
        <f ca="1"/>
        <v/>
      </c>
      <c r="NE1492" s="42" t="str">
        <f ca="1"/>
        <v/>
      </c>
      <c r="NF1492" s="42" t="str">
        <f ca="1"/>
        <v/>
      </c>
      <c r="NG1492" s="42" t="str">
        <f ca="1"/>
        <v/>
      </c>
      <c r="NH1492" s="42" t="str">
        <f ca="1"/>
        <v/>
      </c>
      <c r="NI1492" s="42" t="str">
        <f ca="1"/>
        <v/>
      </c>
      <c r="NJ1492" s="42" t="str">
        <f ca="1"/>
        <v/>
      </c>
      <c r="NK1492" s="42" t="str">
        <f ca="1"/>
        <v/>
      </c>
      <c r="NL1492" s="42" t="str">
        <f ca="1"/>
        <v/>
      </c>
      <c r="NM1492" s="42" t="str">
        <f ca="1"/>
        <v/>
      </c>
      <c r="NN1492" s="42" t="str">
        <f ca="1"/>
        <v/>
      </c>
      <c r="NO1492" s="42" t="str">
        <f ca="1"/>
        <v/>
      </c>
      <c r="NP1492" s="42" t="str">
        <f ca="1"/>
        <v/>
      </c>
      <c r="NQ1492" s="42" t="str">
        <f ca="1"/>
        <v/>
      </c>
      <c r="NR1492" s="42" t="str">
        <f ca="1"/>
        <v/>
      </c>
      <c r="NS1492" s="42" t="str">
        <f ca="1"/>
        <v/>
      </c>
      <c r="NT1492" s="42" t="str">
        <f ca="1"/>
        <v/>
      </c>
      <c r="NU1492" s="42" t="str">
        <f ca="1"/>
        <v/>
      </c>
      <c r="NV1492" s="42" t="str">
        <f ca="1"/>
        <v/>
      </c>
      <c r="NW1492" s="42" t="str">
        <f ca="1"/>
        <v/>
      </c>
      <c r="NX1492" s="42" t="str">
        <f ca="1"/>
        <v/>
      </c>
      <c r="NY1492" s="42" t="str">
        <f ca="1"/>
        <v/>
      </c>
      <c r="NZ1492" s="42" t="str">
        <f ca="1"/>
        <v/>
      </c>
      <c r="OA1492" s="42" t="str">
        <f ca="1"/>
        <v/>
      </c>
      <c r="OB1492" s="42" t="str">
        <f ca="1"/>
        <v/>
      </c>
      <c r="OC1492" s="42" t="str">
        <f ca="1"/>
        <v/>
      </c>
      <c r="OD1492" s="42" t="str">
        <f ca="1"/>
        <v/>
      </c>
      <c r="OE1492" s="42" t="str">
        <f ca="1"/>
        <v/>
      </c>
      <c r="OF1492" s="42" t="str">
        <f ca="1"/>
        <v/>
      </c>
      <c r="OG1492" s="42" t="str">
        <f ca="1"/>
        <v/>
      </c>
      <c r="OH1492" s="42" t="str">
        <f ca="1"/>
        <v/>
      </c>
      <c r="OI1492" s="42" t="str">
        <f ca="1"/>
        <v/>
      </c>
      <c r="OJ1492" s="42" t="str">
        <f ca="1"/>
        <v/>
      </c>
      <c r="OK1492" s="42" t="str">
        <f ca="1"/>
        <v/>
      </c>
      <c r="OL1492" s="42" t="str">
        <f ca="1"/>
        <v/>
      </c>
      <c r="OM1492" s="42" t="str">
        <f ca="1"/>
        <v/>
      </c>
      <c r="ON1492" s="42" t="str">
        <f ca="1"/>
        <v/>
      </c>
      <c r="OO1492" s="42" t="str">
        <f ca="1"/>
        <v/>
      </c>
      <c r="OP1492" s="42" t="str">
        <f ca="1"/>
        <v/>
      </c>
      <c r="OQ1492" s="42" t="str">
        <f ca="1"/>
        <v/>
      </c>
      <c r="OR1492" s="42" t="str">
        <f ca="1"/>
        <v/>
      </c>
      <c r="OS1492" s="42" t="str">
        <f ca="1"/>
        <v/>
      </c>
      <c r="OT1492" s="42" t="str">
        <f ca="1"/>
        <v/>
      </c>
      <c r="OU1492" s="42" t="str">
        <f ca="1"/>
        <v/>
      </c>
      <c r="OV1492" s="42" t="str">
        <f ca="1"/>
        <v/>
      </c>
      <c r="OW1492" s="42" t="str">
        <f ca="1"/>
        <v/>
      </c>
      <c r="OX1492" s="42" t="str">
        <f ca="1"/>
        <v/>
      </c>
      <c r="OY1492" s="42" t="str">
        <f ca="1"/>
        <v/>
      </c>
      <c r="OZ1492" s="42" t="str">
        <f ca="1"/>
        <v/>
      </c>
      <c r="PA1492" s="42" t="str">
        <f ca="1"/>
        <v/>
      </c>
      <c r="PB1492" s="42" t="str">
        <f ca="1"/>
        <v/>
      </c>
      <c r="PC1492" s="42" t="str">
        <f ca="1"/>
        <v/>
      </c>
      <c r="PD1492" s="42" t="str">
        <f ca="1"/>
        <v/>
      </c>
      <c r="PE1492" s="42" t="str">
        <f ca="1"/>
        <v/>
      </c>
      <c r="PF1492" s="42" t="str">
        <f ca="1"/>
        <v/>
      </c>
      <c r="PG1492" s="42" t="str">
        <f ca="1"/>
        <v/>
      </c>
      <c r="PH1492" s="42" t="str">
        <f ca="1"/>
        <v/>
      </c>
      <c r="PI1492" s="42" t="str">
        <f ca="1"/>
        <v/>
      </c>
      <c r="PJ1492" s="42" t="str">
        <f ca="1"/>
        <v/>
      </c>
      <c r="PK1492" s="42" t="str">
        <f ca="1"/>
        <v/>
      </c>
      <c r="PL1492" s="42" t="str">
        <f ca="1"/>
        <v/>
      </c>
      <c r="PM1492" s="42" t="str">
        <f ca="1"/>
        <v/>
      </c>
      <c r="PN1492" s="42" t="str">
        <f ca="1"/>
        <v/>
      </c>
      <c r="PO1492" s="42" t="str">
        <f ca="1"/>
        <v/>
      </c>
      <c r="PP1492" s="42" t="str">
        <f ca="1"/>
        <v/>
      </c>
      <c r="PQ1492" s="42" t="str">
        <f ca="1"/>
        <v/>
      </c>
      <c r="PR1492" s="42" t="str">
        <f ca="1"/>
        <v/>
      </c>
      <c r="PS1492" s="42" t="str">
        <f ca="1"/>
        <v/>
      </c>
      <c r="PT1492" s="42" t="str">
        <f ca="1"/>
        <v/>
      </c>
      <c r="PU1492" s="42" t="str">
        <f ca="1"/>
        <v/>
      </c>
      <c r="PV1492" s="42" t="str">
        <f ca="1"/>
        <v/>
      </c>
      <c r="PW1492" s="42" t="str">
        <f ca="1"/>
        <v/>
      </c>
      <c r="PX1492" s="42" t="str">
        <f ca="1"/>
        <v/>
      </c>
      <c r="PY1492" s="42" t="str">
        <f ca="1"/>
        <v/>
      </c>
      <c r="PZ1492" s="42" t="str">
        <f ca="1"/>
        <v/>
      </c>
      <c r="QA1492" s="42" t="str">
        <f ca="1"/>
        <v/>
      </c>
      <c r="QB1492" s="42" t="str">
        <f ca="1"/>
        <v/>
      </c>
      <c r="QC1492" s="42" t="str">
        <f ca="1"/>
        <v/>
      </c>
      <c r="QD1492" s="42" t="str">
        <f ca="1"/>
        <v/>
      </c>
      <c r="QE1492" s="42" t="str">
        <f ca="1"/>
        <v/>
      </c>
      <c r="QF1492" s="42" t="str">
        <f ca="1"/>
        <v/>
      </c>
      <c r="QG1492" s="42" t="str">
        <f ca="1"/>
        <v/>
      </c>
      <c r="QH1492" s="42" t="str">
        <f ca="1"/>
        <v/>
      </c>
      <c r="QI1492" s="42" t="str">
        <f ca="1"/>
        <v/>
      </c>
      <c r="QJ1492" s="42" t="str">
        <f ca="1"/>
        <v/>
      </c>
      <c r="QK1492" s="42" t="str">
        <f ca="1"/>
        <v/>
      </c>
      <c r="QL1492" s="42" t="str">
        <f ca="1"/>
        <v/>
      </c>
      <c r="QM1492" s="42" t="str">
        <f ca="1"/>
        <v/>
      </c>
      <c r="QN1492" s="42" t="str">
        <f ca="1"/>
        <v/>
      </c>
      <c r="QO1492" s="42" t="str">
        <f ca="1"/>
        <v/>
      </c>
      <c r="QP1492" s="42" t="str">
        <f ca="1"/>
        <v/>
      </c>
      <c r="QQ1492" s="42" t="str">
        <f ca="1"/>
        <v/>
      </c>
      <c r="QR1492" s="42" t="str">
        <f ca="1"/>
        <v/>
      </c>
      <c r="QS1492" s="42" t="str">
        <f ca="1"/>
        <v/>
      </c>
      <c r="QT1492" s="42" t="str">
        <f ca="1"/>
        <v/>
      </c>
      <c r="QU1492" s="42" t="str">
        <f ca="1"/>
        <v/>
      </c>
      <c r="QV1492" s="42" t="str">
        <f ca="1"/>
        <v/>
      </c>
      <c r="QW1492" s="42" t="str">
        <f ca="1"/>
        <v/>
      </c>
      <c r="QX1492" s="42" t="str">
        <f ca="1"/>
        <v/>
      </c>
      <c r="QY1492" s="42" t="str">
        <f ca="1"/>
        <v/>
      </c>
      <c r="QZ1492" s="42" t="str">
        <f ca="1"/>
        <v/>
      </c>
      <c r="RA1492" s="42" t="str">
        <f ca="1"/>
        <v/>
      </c>
      <c r="RB1492" s="42" t="str">
        <f ca="1"/>
        <v/>
      </c>
      <c r="RC1492" s="42" t="str">
        <f ca="1"/>
        <v/>
      </c>
      <c r="RD1492" s="42" t="str">
        <f ca="1"/>
        <v/>
      </c>
      <c r="RE1492" s="42" t="str">
        <f ca="1"/>
        <v/>
      </c>
      <c r="RF1492" s="42" t="str">
        <f ca="1"/>
        <v/>
      </c>
      <c r="RG1492" s="42" t="str">
        <f ca="1"/>
        <v/>
      </c>
      <c r="RH1492" s="42" t="str">
        <f ca="1"/>
        <v/>
      </c>
      <c r="RI1492" s="42" t="str">
        <f ca="1"/>
        <v/>
      </c>
      <c r="RJ1492" s="42" t="str">
        <f ca="1"/>
        <v/>
      </c>
      <c r="RK1492" s="42" t="str">
        <f ca="1"/>
        <v/>
      </c>
      <c r="RL1492" s="42" t="str">
        <f ca="1"/>
        <v/>
      </c>
      <c r="RM1492" s="42" t="str">
        <f ca="1"/>
        <v/>
      </c>
      <c r="RN1492" s="42" t="str">
        <f ca="1"/>
        <v/>
      </c>
      <c r="RO1492" s="42" t="str">
        <f ca="1"/>
        <v/>
      </c>
      <c r="RP1492" s="42" t="str">
        <f ca="1"/>
        <v/>
      </c>
      <c r="RQ1492" s="42" t="str">
        <f ca="1"/>
        <v/>
      </c>
      <c r="RR1492" s="42" t="str">
        <f ca="1"/>
        <v/>
      </c>
      <c r="RS1492" s="42" t="str">
        <f ca="1"/>
        <v/>
      </c>
      <c r="RT1492" s="42" t="str">
        <f ca="1"/>
        <v/>
      </c>
      <c r="RU1492" s="42" t="str">
        <f ca="1"/>
        <v/>
      </c>
      <c r="RV1492" s="42" t="str">
        <f ca="1"/>
        <v/>
      </c>
      <c r="RW1492" s="42" t="str">
        <f ca="1"/>
        <v/>
      </c>
      <c r="RX1492" s="42" t="str">
        <f ca="1"/>
        <v/>
      </c>
      <c r="RY1492" s="42" t="str">
        <f ca="1"/>
        <v/>
      </c>
      <c r="RZ1492" s="42" t="str">
        <f ca="1"/>
        <v/>
      </c>
      <c r="SA1492" s="42" t="str">
        <f ca="1"/>
        <v/>
      </c>
      <c r="SB1492" s="42" t="str">
        <f ca="1"/>
        <v/>
      </c>
      <c r="SC1492" s="42" t="str">
        <f ca="1"/>
        <v/>
      </c>
      <c r="SD1492" s="42" t="str">
        <f ca="1"/>
        <v/>
      </c>
      <c r="SE1492" s="42" t="str">
        <f ca="1"/>
        <v/>
      </c>
      <c r="SF1492" s="42" t="str">
        <f ca="1"/>
        <v/>
      </c>
      <c r="SG1492" s="42" t="str">
        <f ca="1"/>
        <v/>
      </c>
      <c r="SH1492" s="42" t="str">
        <f ca="1"/>
        <v/>
      </c>
      <c r="SI1492" s="42" t="str">
        <f ca="1"/>
        <v/>
      </c>
      <c r="SJ1492" s="42" t="str">
        <f ca="1"/>
        <v/>
      </c>
      <c r="SK1492" s="42" t="str">
        <f ca="1"/>
        <v/>
      </c>
      <c r="SL1492" s="42" t="str">
        <f ca="1"/>
        <v/>
      </c>
      <c r="SM1492" s="42" t="str">
        <f ca="1"/>
        <v/>
      </c>
      <c r="SN1492" s="42" t="str">
        <f ca="1"/>
        <v/>
      </c>
      <c r="SO1492" s="42" t="str">
        <f ca="1"/>
        <v/>
      </c>
      <c r="SP1492" s="42" t="str">
        <f ca="1"/>
        <v/>
      </c>
      <c r="SQ1492" s="42" t="str">
        <f ca="1"/>
        <v/>
      </c>
      <c r="SR1492" s="42" t="str">
        <f ca="1"/>
        <v/>
      </c>
      <c r="SS1492" s="42" t="str">
        <f ca="1"/>
        <v/>
      </c>
      <c r="ST1492" s="42" t="str">
        <f ca="1"/>
        <v/>
      </c>
      <c r="SU1492" s="42" t="str">
        <f ca="1"/>
        <v/>
      </c>
      <c r="SV1492" s="42" t="str">
        <f ca="1"/>
        <v/>
      </c>
      <c r="SW1492" s="42" t="str">
        <f ca="1"/>
        <v/>
      </c>
      <c r="SX1492" s="42" t="str">
        <f ca="1"/>
        <v/>
      </c>
      <c r="SY1492" s="42" t="str">
        <f ca="1"/>
        <v/>
      </c>
      <c r="SZ1492" s="42" t="str">
        <f ca="1"/>
        <v/>
      </c>
      <c r="TA1492" s="42" t="str">
        <f ca="1"/>
        <v/>
      </c>
      <c r="TB1492" s="42" t="str">
        <f ca="1"/>
        <v/>
      </c>
      <c r="TC1492" s="42" t="str">
        <f ca="1"/>
        <v/>
      </c>
      <c r="TD1492" s="42" t="str">
        <f ca="1"/>
        <v/>
      </c>
      <c r="TE1492" s="42" t="str">
        <f ca="1"/>
        <v/>
      </c>
      <c r="TF1492" s="42" t="str">
        <f ca="1"/>
        <v/>
      </c>
      <c r="TG1492" s="42" t="str">
        <f ca="1"/>
        <v/>
      </c>
      <c r="TH1492" s="42" t="str">
        <f ca="1"/>
        <v/>
      </c>
      <c r="TI1492" s="42" t="str">
        <f ca="1"/>
        <v/>
      </c>
      <c r="TJ1492" s="42" t="str">
        <f ca="1"/>
        <v/>
      </c>
      <c r="TK1492" s="42" t="str">
        <f ca="1"/>
        <v/>
      </c>
      <c r="TL1492" s="42" t="str">
        <f ca="1"/>
        <v/>
      </c>
      <c r="TM1492" s="42" t="str">
        <f ca="1"/>
        <v/>
      </c>
      <c r="TN1492" s="42" t="str">
        <f ca="1"/>
        <v/>
      </c>
      <c r="TO1492" s="42" t="str">
        <f ca="1"/>
        <v/>
      </c>
      <c r="TP1492" s="42" t="str">
        <f ca="1"/>
        <v/>
      </c>
      <c r="TQ1492" s="42" t="str">
        <f ca="1"/>
        <v/>
      </c>
      <c r="TR1492" s="42" t="str">
        <f ca="1"/>
        <v/>
      </c>
      <c r="TS1492" s="42" t="str">
        <f ca="1"/>
        <v/>
      </c>
      <c r="TT1492" s="42" t="str">
        <f ca="1"/>
        <v/>
      </c>
      <c r="TU1492" s="42" t="str">
        <f ca="1"/>
        <v/>
      </c>
      <c r="TV1492" s="42" t="str">
        <f ca="1"/>
        <v/>
      </c>
      <c r="TW1492" s="42" t="str">
        <f ca="1"/>
        <v/>
      </c>
      <c r="TX1492" s="42" t="str">
        <f ca="1"/>
        <v/>
      </c>
      <c r="TY1492" s="42" t="str">
        <f ca="1"/>
        <v/>
      </c>
      <c r="TZ1492" s="42" t="str">
        <f ca="1"/>
        <v/>
      </c>
      <c r="UA1492" s="42" t="str">
        <f ca="1"/>
        <v/>
      </c>
      <c r="UB1492" s="42" t="str">
        <f ca="1"/>
        <v/>
      </c>
      <c r="UC1492" s="42" t="str">
        <f ca="1"/>
        <v/>
      </c>
      <c r="UD1492" s="42" t="str">
        <f ca="1"/>
        <v/>
      </c>
      <c r="UE1492" s="42" t="str">
        <f ca="1"/>
        <v/>
      </c>
      <c r="UF1492" s="42" t="str">
        <f ca="1"/>
        <v/>
      </c>
      <c r="UG1492" s="42" t="str">
        <f ca="1"/>
        <v/>
      </c>
      <c r="UH1492" s="42" t="str">
        <f ca="1"/>
        <v/>
      </c>
      <c r="UI1492" s="42" t="str">
        <f ca="1"/>
        <v/>
      </c>
      <c r="UJ1492" s="42" t="str">
        <f ca="1"/>
        <v/>
      </c>
      <c r="UK1492" s="42" t="str">
        <f ca="1"/>
        <v/>
      </c>
      <c r="UL1492" s="42" t="str">
        <f ca="1"/>
        <v/>
      </c>
      <c r="UM1492" s="42" t="str">
        <f ca="1"/>
        <v/>
      </c>
      <c r="UN1492" s="42" t="str">
        <f ca="1"/>
        <v/>
      </c>
      <c r="UO1492" s="42" t="str">
        <f ca="1"/>
        <v/>
      </c>
      <c r="UP1492" s="42" t="str">
        <f ca="1"/>
        <v/>
      </c>
      <c r="UQ1492" s="42" t="str">
        <f ca="1"/>
        <v/>
      </c>
      <c r="UR1492" s="42" t="str">
        <f ca="1"/>
        <v/>
      </c>
      <c r="US1492" s="42" t="str">
        <f ca="1"/>
        <v/>
      </c>
      <c r="UT1492" s="42" t="str">
        <f ca="1"/>
        <v/>
      </c>
      <c r="UU1492" s="42" t="str">
        <f ca="1"/>
        <v/>
      </c>
      <c r="UV1492" s="42" t="str">
        <f ca="1"/>
        <v/>
      </c>
      <c r="UW1492" s="42" t="str">
        <f ca="1"/>
        <v/>
      </c>
      <c r="UX1492" s="42" t="str">
        <f ca="1"/>
        <v/>
      </c>
      <c r="UY1492" s="42" t="str">
        <f ca="1"/>
        <v/>
      </c>
      <c r="UZ1492" s="42" t="str">
        <f ca="1"/>
        <v/>
      </c>
      <c r="VA1492" s="42" t="str">
        <f ca="1"/>
        <v/>
      </c>
      <c r="VB1492" s="42" t="str">
        <f ca="1"/>
        <v/>
      </c>
      <c r="VC1492" s="42" t="str">
        <f ca="1"/>
        <v/>
      </c>
      <c r="VD1492" s="42" t="str">
        <f ca="1"/>
        <v/>
      </c>
      <c r="VE1492" s="42" t="str">
        <f ca="1"/>
        <v/>
      </c>
      <c r="VF1492" s="42" t="str">
        <f ca="1"/>
        <v/>
      </c>
      <c r="VG1492" s="42" t="str">
        <f ca="1"/>
        <v/>
      </c>
      <c r="VH1492" s="42" t="str">
        <f ca="1"/>
        <v/>
      </c>
      <c r="VI1492" s="42" t="str">
        <f ca="1"/>
        <v/>
      </c>
      <c r="VJ1492" s="42" t="str">
        <f ca="1"/>
        <v/>
      </c>
      <c r="VK1492" s="42" t="str">
        <f ca="1"/>
        <v/>
      </c>
      <c r="VL1492" s="42" t="str">
        <f ca="1"/>
        <v/>
      </c>
      <c r="VM1492" s="42" t="str">
        <f ca="1"/>
        <v/>
      </c>
      <c r="VN1492" s="42" t="str">
        <f ca="1"/>
        <v/>
      </c>
      <c r="VO1492" s="42" t="str">
        <f ca="1"/>
        <v/>
      </c>
      <c r="VP1492" s="42" t="str">
        <f ca="1"/>
        <v/>
      </c>
      <c r="VQ1492" s="42" t="str">
        <f ca="1"/>
        <v/>
      </c>
      <c r="VR1492" s="42" t="str">
        <f ca="1"/>
        <v/>
      </c>
      <c r="VS1492" s="42" t="str">
        <f ca="1"/>
        <v/>
      </c>
      <c r="VT1492" s="42" t="str">
        <f ca="1"/>
        <v/>
      </c>
      <c r="VU1492" s="42" t="str">
        <f ca="1"/>
        <v/>
      </c>
      <c r="VV1492" s="42" t="str">
        <f ca="1"/>
        <v/>
      </c>
      <c r="VW1492" s="42" t="str">
        <f ca="1"/>
        <v/>
      </c>
      <c r="VX1492" s="42" t="str">
        <f ca="1"/>
        <v/>
      </c>
      <c r="VY1492" s="42" t="str">
        <f ca="1"/>
        <v/>
      </c>
      <c r="VZ1492" s="42" t="str">
        <f ca="1"/>
        <v/>
      </c>
      <c r="WA1492" s="42" t="str">
        <f ca="1"/>
        <v/>
      </c>
      <c r="WB1492" s="42" t="str">
        <f ca="1"/>
        <v/>
      </c>
      <c r="WC1492" s="42" t="str">
        <f ca="1"/>
        <v/>
      </c>
      <c r="WD1492" s="42" t="str">
        <f ca="1"/>
        <v/>
      </c>
      <c r="WE1492" s="42" t="str">
        <f ca="1"/>
        <v/>
      </c>
      <c r="WF1492" s="42" t="str">
        <f ca="1"/>
        <v/>
      </c>
      <c r="WG1492" s="42" t="str">
        <f ca="1"/>
        <v/>
      </c>
      <c r="WH1492" s="42" t="str">
        <f ca="1"/>
        <v/>
      </c>
      <c r="WI1492" s="42" t="str">
        <f ca="1"/>
        <v/>
      </c>
      <c r="WJ1492" s="42" t="str">
        <f ca="1"/>
        <v/>
      </c>
      <c r="WK1492" s="42" t="str">
        <f ca="1"/>
        <v/>
      </c>
      <c r="WL1492" s="42" t="str">
        <f ca="1"/>
        <v/>
      </c>
      <c r="WM1492" s="42" t="str">
        <f ca="1"/>
        <v/>
      </c>
      <c r="WN1492" s="42" t="str">
        <f ca="1"/>
        <v/>
      </c>
      <c r="WO1492" s="42" t="str">
        <f ca="1"/>
        <v/>
      </c>
      <c r="WP1492" s="42" t="str">
        <f ca="1"/>
        <v/>
      </c>
      <c r="WQ1492" s="42" t="str">
        <f ca="1"/>
        <v/>
      </c>
      <c r="WR1492" s="42" t="str">
        <f ca="1"/>
        <v/>
      </c>
      <c r="WS1492" s="42" t="str">
        <f ca="1"/>
        <v/>
      </c>
      <c r="WT1492" s="42" t="str">
        <f ca="1"/>
        <v/>
      </c>
      <c r="WU1492" s="42" t="str">
        <f ca="1"/>
        <v/>
      </c>
      <c r="WV1492" s="42" t="str">
        <f ca="1"/>
        <v/>
      </c>
      <c r="WW1492" s="42" t="str">
        <f ca="1"/>
        <v/>
      </c>
      <c r="WX1492" s="42" t="str">
        <f ca="1"/>
        <v/>
      </c>
      <c r="WY1492" s="42" t="str">
        <f ca="1"/>
        <v/>
      </c>
      <c r="WZ1492" s="42" t="str">
        <f ca="1"/>
        <v/>
      </c>
      <c r="XA1492" s="42" t="str">
        <f ca="1"/>
        <v/>
      </c>
      <c r="XB1492" s="42" t="str">
        <f ca="1"/>
        <v/>
      </c>
      <c r="XC1492" s="42" t="str">
        <f ca="1"/>
        <v/>
      </c>
      <c r="XD1492" s="42" t="str">
        <f ca="1"/>
        <v/>
      </c>
      <c r="XE1492" s="42" t="str">
        <f ca="1"/>
        <v/>
      </c>
      <c r="XF1492" s="42" t="str">
        <f ca="1"/>
        <v/>
      </c>
      <c r="XG1492" s="42" t="str">
        <f ca="1"/>
        <v/>
      </c>
      <c r="XH1492" s="42" t="str">
        <f ca="1"/>
        <v/>
      </c>
      <c r="XI1492" s="42" t="str">
        <f ca="1"/>
        <v/>
      </c>
      <c r="XJ1492" s="42" t="str">
        <f ca="1"/>
        <v/>
      </c>
      <c r="XK1492" s="42" t="str">
        <f ca="1"/>
        <v/>
      </c>
      <c r="XL1492" s="42" t="str">
        <f ca="1"/>
        <v/>
      </c>
      <c r="XM1492" s="42" t="str">
        <f ca="1"/>
        <v/>
      </c>
      <c r="XN1492" s="42" t="str">
        <f ca="1"/>
        <v/>
      </c>
      <c r="XO1492" s="42" t="str">
        <f ca="1"/>
        <v/>
      </c>
      <c r="XP1492" s="42" t="str">
        <f ca="1"/>
        <v/>
      </c>
      <c r="XQ1492" s="42" t="str">
        <f ca="1"/>
        <v/>
      </c>
      <c r="XR1492" s="42" t="str">
        <f ca="1"/>
        <v/>
      </c>
      <c r="XS1492" s="42" t="str">
        <f ca="1"/>
        <v/>
      </c>
      <c r="XT1492" s="42" t="str">
        <f ca="1"/>
        <v/>
      </c>
      <c r="XU1492" s="42" t="str">
        <f ca="1"/>
        <v/>
      </c>
      <c r="XV1492" s="42" t="str">
        <f ca="1"/>
        <v/>
      </c>
      <c r="XW1492" s="42" t="str">
        <f ca="1"/>
        <v/>
      </c>
      <c r="XX1492" s="42" t="str">
        <f ca="1"/>
        <v/>
      </c>
      <c r="XY1492" s="42" t="str">
        <f ca="1"/>
        <v/>
      </c>
      <c r="XZ1492" s="42" t="str">
        <f ca="1"/>
        <v/>
      </c>
      <c r="YA1492" s="42" t="str">
        <f ca="1"/>
        <v/>
      </c>
      <c r="YB1492" s="42" t="str">
        <f ca="1"/>
        <v/>
      </c>
      <c r="YC1492" s="42" t="str">
        <f ca="1"/>
        <v/>
      </c>
      <c r="YD1492" s="42" t="str">
        <f ca="1"/>
        <v/>
      </c>
      <c r="YE1492" s="42" t="str">
        <f ca="1"/>
        <v/>
      </c>
      <c r="YF1492" s="42" t="str">
        <f ca="1"/>
        <v/>
      </c>
      <c r="YG1492" s="42" t="str">
        <f ca="1"/>
        <v/>
      </c>
      <c r="YH1492" s="42" t="str">
        <f ca="1"/>
        <v/>
      </c>
      <c r="YI1492" s="42" t="str">
        <f ca="1"/>
        <v/>
      </c>
      <c r="YJ1492" s="42" t="str">
        <f ca="1"/>
        <v/>
      </c>
      <c r="YK1492" s="42" t="str">
        <f ca="1"/>
        <v/>
      </c>
      <c r="YL1492" s="42" t="str">
        <f ca="1"/>
        <v/>
      </c>
      <c r="YM1492" s="42" t="str">
        <f ca="1"/>
        <v/>
      </c>
      <c r="YN1492" s="42" t="str">
        <f ca="1"/>
        <v/>
      </c>
      <c r="YO1492" s="42" t="str">
        <f ca="1"/>
        <v/>
      </c>
      <c r="YP1492" s="42" t="str">
        <f ca="1"/>
        <v/>
      </c>
      <c r="YQ1492" s="42" t="str">
        <f ca="1"/>
        <v/>
      </c>
      <c r="YR1492" s="42" t="str">
        <f ca="1"/>
        <v/>
      </c>
      <c r="YS1492" s="42" t="str">
        <f ca="1"/>
        <v/>
      </c>
      <c r="YT1492" s="42" t="str">
        <f ca="1"/>
        <v/>
      </c>
      <c r="YU1492" s="42" t="str">
        <f ca="1"/>
        <v/>
      </c>
      <c r="YV1492" s="42" t="str">
        <f ca="1"/>
        <v/>
      </c>
      <c r="YW1492" s="42" t="str">
        <f ca="1"/>
        <v/>
      </c>
      <c r="YX1492" s="42" t="str">
        <f ca="1"/>
        <v/>
      </c>
      <c r="YY1492" s="42" t="str">
        <f ca="1"/>
        <v/>
      </c>
      <c r="YZ1492" s="42" t="str">
        <f ca="1"/>
        <v/>
      </c>
      <c r="ZA1492" s="42" t="str">
        <f ca="1"/>
        <v/>
      </c>
      <c r="ZB1492" s="42" t="str">
        <f ca="1"/>
        <v/>
      </c>
      <c r="ZC1492" s="42" t="str">
        <f ca="1"/>
        <v/>
      </c>
      <c r="ZD1492" s="42" t="str">
        <f ca="1"/>
        <v/>
      </c>
      <c r="ZE1492" s="42" t="str">
        <f ca="1"/>
        <v/>
      </c>
      <c r="ZF1492" s="42" t="str">
        <f ca="1"/>
        <v/>
      </c>
      <c r="ZG1492" s="42" t="str">
        <f ca="1"/>
        <v/>
      </c>
      <c r="ZH1492" s="42" t="str">
        <f ca="1"/>
        <v/>
      </c>
      <c r="ZI1492" s="42" t="str">
        <f ca="1"/>
        <v/>
      </c>
      <c r="ZJ1492" s="42" t="str">
        <f ca="1"/>
        <v/>
      </c>
      <c r="ZK1492" s="42" t="str">
        <f ca="1"/>
        <v/>
      </c>
      <c r="ZL1492" s="42" t="str">
        <f ca="1"/>
        <v/>
      </c>
      <c r="ZM1492" s="42" t="str">
        <f ca="1"/>
        <v/>
      </c>
      <c r="ZN1492" s="42" t="str">
        <f ca="1"/>
        <v/>
      </c>
      <c r="ZO1492" s="42" t="str">
        <f ca="1"/>
        <v/>
      </c>
      <c r="ZP1492" s="42" t="str">
        <f ca="1"/>
        <v/>
      </c>
      <c r="ZQ1492" s="42" t="str">
        <f ca="1"/>
        <v/>
      </c>
      <c r="ZR1492" s="42" t="str">
        <f ca="1"/>
        <v/>
      </c>
      <c r="ZS1492" s="42" t="str">
        <f ca="1"/>
        <v/>
      </c>
      <c r="ZT1492" s="42" t="str">
        <f ca="1"/>
        <v/>
      </c>
      <c r="ZU1492" s="42" t="str">
        <f ca="1"/>
        <v/>
      </c>
      <c r="ZV1492" s="42" t="str">
        <f ca="1"/>
        <v/>
      </c>
      <c r="ZW1492" s="42" t="str">
        <f ca="1"/>
        <v/>
      </c>
      <c r="ZX1492" s="42" t="str">
        <f ca="1"/>
        <v/>
      </c>
      <c r="ZY1492" s="42" t="str">
        <f ca="1"/>
        <v/>
      </c>
      <c r="ZZ1492" s="42" t="str">
        <f ca="1"/>
        <v/>
      </c>
      <c r="AAA1492" s="42" t="str">
        <f ca="1"/>
        <v/>
      </c>
      <c r="AAB1492" s="42" t="str">
        <f ca="1"/>
        <v/>
      </c>
      <c r="AAC1492" s="42" t="str">
        <f ca="1"/>
        <v/>
      </c>
      <c r="AAD1492" s="42" t="str">
        <f ca="1"/>
        <v/>
      </c>
      <c r="AAE1492" s="42" t="str">
        <f ca="1"/>
        <v/>
      </c>
      <c r="AAF1492" s="42" t="str">
        <f ca="1"/>
        <v/>
      </c>
      <c r="AAG1492" s="42" t="str">
        <f ca="1"/>
        <v/>
      </c>
      <c r="AAH1492" s="42" t="str">
        <f ca="1"/>
        <v/>
      </c>
      <c r="AAI1492" s="42" t="str">
        <f ca="1"/>
        <v/>
      </c>
      <c r="AAJ1492" s="42" t="str">
        <f ca="1"/>
        <v/>
      </c>
      <c r="AAK1492" s="42" t="str">
        <f ca="1"/>
        <v/>
      </c>
      <c r="AAL1492" s="42" t="str">
        <f ca="1"/>
        <v/>
      </c>
      <c r="AAM1492" s="42" t="str">
        <f ca="1"/>
        <v/>
      </c>
      <c r="AAN1492" s="42" t="str">
        <f ca="1"/>
        <v/>
      </c>
      <c r="AAO1492" s="42" t="str">
        <f ca="1"/>
        <v/>
      </c>
      <c r="AAP1492" s="42" t="str">
        <f ca="1"/>
        <v/>
      </c>
      <c r="AAQ1492" s="42" t="str">
        <f ca="1"/>
        <v/>
      </c>
      <c r="AAR1492" s="42" t="str">
        <f ca="1"/>
        <v/>
      </c>
      <c r="AAS1492" s="42" t="str">
        <f ca="1"/>
        <v/>
      </c>
      <c r="AAT1492" s="42" t="str">
        <f ca="1"/>
        <v/>
      </c>
      <c r="AAU1492" s="42" t="str">
        <f ca="1"/>
        <v/>
      </c>
      <c r="AAV1492" s="42" t="str">
        <f ca="1"/>
        <v/>
      </c>
      <c r="AAW1492" s="42" t="str">
        <f ca="1"/>
        <v/>
      </c>
      <c r="AAX1492" s="42" t="str">
        <f ca="1"/>
        <v/>
      </c>
      <c r="AAY1492" s="42" t="str">
        <f ca="1"/>
        <v/>
      </c>
      <c r="AAZ1492" s="42" t="str">
        <f ca="1"/>
        <v/>
      </c>
      <c r="ABA1492" s="42" t="str">
        <f ca="1"/>
        <v/>
      </c>
      <c r="ABB1492" s="42" t="str">
        <f ca="1"/>
        <v/>
      </c>
      <c r="ABC1492" s="42" t="str">
        <f ca="1"/>
        <v/>
      </c>
      <c r="ABD1492" s="42" t="str">
        <f ca="1"/>
        <v/>
      </c>
      <c r="ABE1492" s="42" t="str">
        <f ca="1"/>
        <v/>
      </c>
      <c r="ABF1492" s="42" t="str">
        <f ca="1"/>
        <v/>
      </c>
      <c r="ABG1492" s="42" t="str">
        <f ca="1"/>
        <v/>
      </c>
      <c r="ABH1492" s="42" t="str">
        <f ca="1"/>
        <v/>
      </c>
      <c r="ABI1492" s="42" t="str">
        <f ca="1"/>
        <v/>
      </c>
      <c r="ABJ1492" s="42" t="str">
        <f ca="1"/>
        <v/>
      </c>
      <c r="ABK1492" s="42" t="str">
        <f ca="1"/>
        <v/>
      </c>
      <c r="ABL1492" s="42" t="str">
        <f ca="1"/>
        <v/>
      </c>
      <c r="ABM1492" s="42" t="str">
        <f ca="1"/>
        <v/>
      </c>
      <c r="ABN1492" s="42" t="str">
        <f ca="1"/>
        <v/>
      </c>
      <c r="ABO1492" s="42" t="str">
        <f ca="1"/>
        <v/>
      </c>
      <c r="ABP1492" s="42" t="str">
        <f ca="1"/>
        <v/>
      </c>
      <c r="ABQ1492" s="42" t="str">
        <f ca="1"/>
        <v/>
      </c>
      <c r="ABR1492" s="42" t="str">
        <f ca="1"/>
        <v/>
      </c>
      <c r="ABS1492" s="42" t="str">
        <f ca="1"/>
        <v/>
      </c>
      <c r="ABT1492" s="42" t="str">
        <f ca="1"/>
        <v/>
      </c>
      <c r="ABU1492" s="42" t="str">
        <f ca="1"/>
        <v/>
      </c>
      <c r="ABV1492" s="42" t="str">
        <f ca="1"/>
        <v/>
      </c>
      <c r="ABW1492" s="42" t="str">
        <f ca="1"/>
        <v/>
      </c>
      <c r="ABX1492" s="42" t="str">
        <f ca="1"/>
        <v/>
      </c>
      <c r="ABY1492" s="42" t="str">
        <f ca="1"/>
        <v/>
      </c>
      <c r="ABZ1492" s="42" t="str">
        <f ca="1"/>
        <v/>
      </c>
      <c r="ACA1492" s="42" t="str">
        <f ca="1"/>
        <v/>
      </c>
      <c r="ACB1492" s="42" t="str">
        <f ca="1"/>
        <v/>
      </c>
      <c r="ACC1492" s="42" t="str">
        <f ca="1"/>
        <v/>
      </c>
      <c r="ACD1492" s="42" t="str">
        <f ca="1"/>
        <v/>
      </c>
      <c r="ACE1492" s="42" t="str">
        <f ca="1"/>
        <v/>
      </c>
      <c r="ACF1492" s="42" t="str">
        <f ca="1"/>
        <v/>
      </c>
      <c r="ACG1492" s="42" t="str">
        <f ca="1"/>
        <v/>
      </c>
      <c r="ACH1492" s="42" t="str">
        <f ca="1"/>
        <v/>
      </c>
      <c r="ACI1492" s="42" t="str">
        <f ca="1"/>
        <v/>
      </c>
      <c r="ACJ1492" s="42" t="str">
        <f ca="1"/>
        <v/>
      </c>
      <c r="ACK1492" s="42" t="str">
        <f ca="1"/>
        <v/>
      </c>
      <c r="ACL1492" s="42" t="str">
        <f ca="1"/>
        <v/>
      </c>
      <c r="ACM1492" s="42" t="str">
        <f ca="1"/>
        <v/>
      </c>
      <c r="ACN1492" s="42" t="str">
        <f ca="1"/>
        <v/>
      </c>
      <c r="ACO1492" s="42" t="str">
        <f ca="1"/>
        <v/>
      </c>
      <c r="ACP1492" s="42" t="str">
        <f ca="1"/>
        <v/>
      </c>
      <c r="ACQ1492" s="42" t="str">
        <f ca="1"/>
        <v/>
      </c>
      <c r="ACR1492" s="42" t="str">
        <f ca="1"/>
        <v/>
      </c>
      <c r="ACS1492" s="42" t="str">
        <f ca="1"/>
        <v/>
      </c>
      <c r="ACT1492" s="42" t="str">
        <f ca="1"/>
        <v/>
      </c>
      <c r="ACU1492" s="42" t="str">
        <f ca="1"/>
        <v/>
      </c>
      <c r="ACV1492" s="42" t="str">
        <f ca="1"/>
        <v/>
      </c>
      <c r="ACW1492" s="42" t="str">
        <f ca="1"/>
        <v/>
      </c>
      <c r="ACX1492" s="42" t="str">
        <f ca="1"/>
        <v/>
      </c>
      <c r="ACY1492" s="42" t="str">
        <f ca="1"/>
        <v/>
      </c>
      <c r="ACZ1492" s="42" t="str">
        <f ca="1"/>
        <v/>
      </c>
      <c r="ADA1492" s="42" t="str">
        <f ca="1"/>
        <v/>
      </c>
      <c r="ADB1492" s="42" t="str">
        <f ca="1"/>
        <v/>
      </c>
      <c r="ADC1492" s="42" t="str">
        <f ca="1"/>
        <v/>
      </c>
      <c r="ADD1492" s="42" t="str">
        <f ca="1"/>
        <v/>
      </c>
      <c r="ADE1492" s="42" t="str">
        <f ca="1"/>
        <v/>
      </c>
      <c r="ADF1492" s="42" t="str">
        <f ca="1"/>
        <v/>
      </c>
      <c r="ADG1492" s="42" t="str">
        <f ca="1"/>
        <v/>
      </c>
      <c r="ADH1492" s="42" t="str">
        <f ca="1"/>
        <v/>
      </c>
      <c r="ADI1492" s="42" t="str">
        <f ca="1"/>
        <v/>
      </c>
      <c r="ADJ1492" s="42" t="str">
        <f ca="1"/>
        <v/>
      </c>
      <c r="ADK1492" s="42" t="str">
        <f ca="1"/>
        <v/>
      </c>
      <c r="ADL1492" s="42" t="str">
        <f ca="1"/>
        <v/>
      </c>
      <c r="ADM1492" s="42" t="str">
        <f ca="1"/>
        <v/>
      </c>
      <c r="ADN1492" s="42" t="str">
        <f ca="1"/>
        <v/>
      </c>
      <c r="ADO1492" s="42" t="str">
        <f ca="1"/>
        <v/>
      </c>
      <c r="ADP1492" s="42" t="str">
        <f ca="1"/>
        <v/>
      </c>
      <c r="ADQ1492" s="42" t="str">
        <f ca="1"/>
        <v/>
      </c>
      <c r="ADR1492" s="42" t="str">
        <f ca="1"/>
        <v/>
      </c>
      <c r="ADS1492" s="42" t="str">
        <f ca="1"/>
        <v/>
      </c>
      <c r="ADT1492" s="42" t="str">
        <f ca="1"/>
        <v/>
      </c>
      <c r="ADU1492" s="42" t="str">
        <f ca="1"/>
        <v/>
      </c>
      <c r="ADV1492" s="42" t="str">
        <f ca="1"/>
        <v/>
      </c>
      <c r="ADW1492" s="42" t="str">
        <f ca="1"/>
        <v/>
      </c>
      <c r="ADX1492" s="42" t="str">
        <f ca="1"/>
        <v/>
      </c>
      <c r="ADY1492" s="42" t="str">
        <f ca="1"/>
        <v/>
      </c>
      <c r="ADZ1492" s="42" t="str">
        <f ca="1"/>
        <v/>
      </c>
      <c r="AEA1492" s="42" t="str">
        <f ca="1"/>
        <v/>
      </c>
      <c r="AEB1492" s="42" t="str">
        <f ca="1"/>
        <v/>
      </c>
      <c r="AEC1492" s="42" t="str">
        <f ca="1"/>
        <v/>
      </c>
      <c r="AED1492" s="42" t="str">
        <f ca="1"/>
        <v/>
      </c>
      <c r="AEE1492" s="42" t="str">
        <f ca="1"/>
        <v/>
      </c>
      <c r="AEF1492" s="42" t="str">
        <f ca="1"/>
        <v/>
      </c>
      <c r="AEG1492" s="42" t="str">
        <f ca="1"/>
        <v/>
      </c>
      <c r="AEH1492" s="42" t="str">
        <f ca="1"/>
        <v/>
      </c>
      <c r="AEI1492" s="42" t="str">
        <f ca="1"/>
        <v/>
      </c>
      <c r="AEJ1492" s="42" t="str">
        <f ca="1"/>
        <v/>
      </c>
      <c r="AEK1492" s="42" t="str">
        <f ca="1"/>
        <v/>
      </c>
      <c r="AEL1492" s="42" t="str">
        <f ca="1"/>
        <v/>
      </c>
      <c r="AEM1492" s="42" t="str">
        <f ca="1"/>
        <v/>
      </c>
      <c r="AEN1492" s="42" t="str">
        <f ca="1"/>
        <v/>
      </c>
      <c r="AEO1492" s="42" t="str">
        <f ca="1"/>
        <v/>
      </c>
      <c r="AEP1492" s="42" t="str">
        <f ca="1"/>
        <v/>
      </c>
      <c r="AEQ1492" s="42" t="str">
        <f ca="1"/>
        <v/>
      </c>
      <c r="AER1492" s="42" t="str">
        <f ca="1"/>
        <v/>
      </c>
      <c r="AES1492" s="42" t="str">
        <f ca="1"/>
        <v/>
      </c>
      <c r="AET1492" s="42" t="str">
        <f ca="1"/>
        <v/>
      </c>
      <c r="AEU1492" s="42" t="str">
        <f ca="1"/>
        <v/>
      </c>
      <c r="AEV1492" s="42" t="str">
        <f ca="1"/>
        <v/>
      </c>
      <c r="AEW1492" s="42" t="str">
        <f ca="1"/>
        <v/>
      </c>
      <c r="AEX1492" s="42" t="str">
        <f ca="1"/>
        <v/>
      </c>
      <c r="AEY1492" s="42" t="str">
        <f ca="1"/>
        <v/>
      </c>
      <c r="AEZ1492" s="42" t="str">
        <f ca="1"/>
        <v/>
      </c>
      <c r="AFA1492" s="42" t="str">
        <f ca="1"/>
        <v/>
      </c>
      <c r="AFB1492" s="42" t="str">
        <f ca="1"/>
        <v/>
      </c>
      <c r="AFC1492" s="42" t="str">
        <f ca="1"/>
        <v/>
      </c>
      <c r="AFD1492" s="42" t="str">
        <f ca="1"/>
        <v/>
      </c>
      <c r="AFE1492" s="42" t="str">
        <f ca="1"/>
        <v/>
      </c>
      <c r="AFF1492" s="42" t="str">
        <f ca="1"/>
        <v/>
      </c>
      <c r="AFG1492" s="42" t="str">
        <f ca="1"/>
        <v/>
      </c>
      <c r="AFH1492" s="42" t="str">
        <f ca="1"/>
        <v/>
      </c>
      <c r="AFI1492" s="42" t="str">
        <f ca="1"/>
        <v/>
      </c>
      <c r="AFJ1492" s="42" t="str">
        <f ca="1"/>
        <v/>
      </c>
      <c r="AFK1492" s="42" t="str">
        <f ca="1"/>
        <v/>
      </c>
      <c r="AFL1492" s="42" t="str">
        <f ca="1"/>
        <v/>
      </c>
      <c r="AFM1492" s="42" t="str">
        <f ca="1"/>
        <v/>
      </c>
      <c r="AFN1492" s="42" t="str">
        <f ca="1"/>
        <v/>
      </c>
      <c r="AFO1492" s="42" t="str">
        <f ca="1"/>
        <v/>
      </c>
      <c r="AFP1492" s="42" t="str">
        <f ca="1"/>
        <v/>
      </c>
      <c r="AFQ1492" s="42" t="str">
        <f ca="1"/>
        <v/>
      </c>
      <c r="AFR1492" s="42" t="str">
        <f ca="1"/>
        <v/>
      </c>
      <c r="AFS1492" s="42" t="str">
        <f ca="1"/>
        <v/>
      </c>
      <c r="AFT1492" s="42" t="str">
        <f ca="1"/>
        <v/>
      </c>
      <c r="AFU1492" s="42" t="str">
        <f ca="1"/>
        <v/>
      </c>
      <c r="AFV1492" s="42" t="str">
        <f ca="1"/>
        <v/>
      </c>
      <c r="AFW1492" s="42" t="str">
        <f ca="1"/>
        <v/>
      </c>
      <c r="AFX1492" s="42" t="str">
        <f ca="1"/>
        <v/>
      </c>
      <c r="AFY1492" s="42" t="str">
        <f ca="1"/>
        <v/>
      </c>
      <c r="AFZ1492" s="42" t="str">
        <f ca="1"/>
        <v/>
      </c>
      <c r="AGA1492" s="42" t="str">
        <f ca="1"/>
        <v/>
      </c>
      <c r="AGB1492" s="42" t="str">
        <f ca="1"/>
        <v/>
      </c>
      <c r="AGC1492" s="42" t="str">
        <f ca="1"/>
        <v/>
      </c>
      <c r="AGD1492" s="42" t="str">
        <f ca="1"/>
        <v/>
      </c>
      <c r="AGE1492" s="42" t="str">
        <f ca="1"/>
        <v/>
      </c>
      <c r="AGF1492" s="42" t="str">
        <f ca="1"/>
        <v/>
      </c>
      <c r="AGG1492" s="42" t="str">
        <f ca="1"/>
        <v/>
      </c>
      <c r="AGH1492" s="42" t="str">
        <f ca="1"/>
        <v/>
      </c>
      <c r="AGI1492" s="42" t="str">
        <f ca="1"/>
        <v/>
      </c>
      <c r="AGJ1492" s="42" t="str">
        <f ca="1"/>
        <v/>
      </c>
      <c r="AGK1492" s="42" t="str">
        <f ca="1"/>
        <v/>
      </c>
      <c r="AGL1492" s="42" t="str">
        <f ca="1"/>
        <v/>
      </c>
      <c r="AGM1492" s="42" t="str">
        <f ca="1"/>
        <v/>
      </c>
      <c r="AGN1492" s="42" t="str">
        <f ca="1"/>
        <v/>
      </c>
    </row>
    <row r="1493" spans="15:872" x14ac:dyDescent="0.25">
      <c r="O1493" s="42">
        <v>3</v>
      </c>
      <c r="P1493" s="42">
        <f ca="1"/>
        <v>8230</v>
      </c>
      <c r="Q1493" s="42" t="str">
        <f ca="1"/>
        <v/>
      </c>
      <c r="R1493" s="42" t="str">
        <f ca="1"/>
        <v/>
      </c>
      <c r="S1493" s="42" t="str">
        <f ca="1"/>
        <v/>
      </c>
      <c r="T1493" s="42" t="str">
        <f ca="1"/>
        <v/>
      </c>
      <c r="U1493" s="42">
        <f ca="1"/>
        <v>823</v>
      </c>
      <c r="V1493" s="42" t="str">
        <f ca="1"/>
        <v/>
      </c>
      <c r="W1493" s="42">
        <f ca="1"/>
        <v>823</v>
      </c>
      <c r="X1493" s="42">
        <f ca="1"/>
        <v>823</v>
      </c>
      <c r="Y1493" s="42" t="str">
        <f ca="1"/>
        <v/>
      </c>
      <c r="Z1493" s="42" t="str">
        <f ca="1"/>
        <v/>
      </c>
      <c r="AA1493" s="42">
        <f ca="1"/>
        <v>823</v>
      </c>
      <c r="AB1493" s="42">
        <f ca="1"/>
        <v>377</v>
      </c>
      <c r="AC1493" s="42">
        <f ca="1"/>
        <v>1187</v>
      </c>
      <c r="AD1493" s="42">
        <f ca="1"/>
        <v>1480</v>
      </c>
      <c r="AE1493" s="42" t="str">
        <f ca="1"/>
        <v/>
      </c>
      <c r="AF1493" s="42">
        <f ca="1"/>
        <v>690</v>
      </c>
      <c r="AG1493" s="42" t="str">
        <f ca="1"/>
        <v/>
      </c>
      <c r="AH1493" s="42" t="str">
        <f ca="1"/>
        <v/>
      </c>
      <c r="AI1493" s="42" t="str">
        <f ca="1"/>
        <v/>
      </c>
      <c r="AJ1493" s="42">
        <f ca="1"/>
        <v>1646</v>
      </c>
      <c r="AK1493" s="42">
        <f ca="1"/>
        <v>1200</v>
      </c>
      <c r="AL1493" s="42">
        <f ca="1"/>
        <v>1200</v>
      </c>
      <c r="AM1493" s="42">
        <f ca="1"/>
        <v>1200</v>
      </c>
      <c r="AN1493" s="42">
        <f ca="1"/>
        <v>1433</v>
      </c>
      <c r="AO1493" s="42" t="str">
        <f ca="1"/>
        <v/>
      </c>
      <c r="AP1493" s="42">
        <f ca="1"/>
        <v>823</v>
      </c>
      <c r="AQ1493" s="42" t="str">
        <f ca="1"/>
        <v/>
      </c>
      <c r="AR1493" s="42" t="str">
        <f ca="1"/>
        <v/>
      </c>
      <c r="AS1493" s="42" t="str">
        <f ca="1"/>
        <v/>
      </c>
      <c r="AT1493" s="42" t="str">
        <f ca="1"/>
        <v/>
      </c>
      <c r="AU1493" s="42">
        <f ca="1"/>
        <v>364</v>
      </c>
      <c r="AV1493" s="42" t="str">
        <f ca="1"/>
        <v/>
      </c>
      <c r="AW1493" s="42">
        <f ca="1"/>
        <v>3460</v>
      </c>
      <c r="AX1493" s="42" t="str">
        <f ca="1"/>
        <v/>
      </c>
      <c r="AY1493" s="42">
        <f ca="1"/>
        <v>377</v>
      </c>
      <c r="AZ1493" s="42" t="str">
        <f ca="1"/>
        <v/>
      </c>
      <c r="BA1493" s="42">
        <f ca="1"/>
        <v>716</v>
      </c>
      <c r="BB1493" s="42">
        <f ca="1"/>
        <v>1321</v>
      </c>
      <c r="BC1493" s="42" t="str">
        <f ca="1"/>
        <v/>
      </c>
      <c r="BD1493" s="42" t="str">
        <f ca="1"/>
        <v/>
      </c>
      <c r="BE1493" s="42" t="str">
        <f ca="1"/>
        <v/>
      </c>
      <c r="BF1493" s="42">
        <f ca="1"/>
        <v>1350</v>
      </c>
      <c r="BG1493" s="42">
        <f ca="1"/>
        <v>610</v>
      </c>
      <c r="BH1493" s="42" t="str">
        <f ca="1"/>
        <v/>
      </c>
      <c r="BI1493" s="42" t="str">
        <f ca="1"/>
        <v/>
      </c>
      <c r="BJ1493" s="42">
        <f ca="1"/>
        <v>2374</v>
      </c>
      <c r="BK1493" s="42">
        <f ca="1"/>
        <v>2620</v>
      </c>
      <c r="BL1493" s="42" t="str">
        <f ca="1"/>
        <v/>
      </c>
      <c r="BM1493" s="42" t="str">
        <f ca="1"/>
        <v/>
      </c>
      <c r="BN1493" s="42" t="str">
        <f ca="1"/>
        <v/>
      </c>
      <c r="BO1493" s="42">
        <f ca="1"/>
        <v>1200</v>
      </c>
      <c r="BP1493" s="42">
        <f ca="1"/>
        <v>364</v>
      </c>
      <c r="BQ1493" s="42" t="str">
        <f ca="1"/>
        <v/>
      </c>
      <c r="BR1493" s="42" t="str">
        <f ca="1"/>
        <v/>
      </c>
      <c r="BS1493" s="42">
        <f ca="1"/>
        <v>2187</v>
      </c>
      <c r="BT1493" s="42">
        <f ca="1"/>
        <v>500</v>
      </c>
      <c r="BU1493" s="42" t="str">
        <f ca="1"/>
        <v/>
      </c>
      <c r="BV1493" s="42" t="str">
        <f ca="1"/>
        <v/>
      </c>
      <c r="BW1493" s="42" t="str">
        <f ca="1"/>
        <v/>
      </c>
      <c r="BX1493" s="42" t="str">
        <f ca="1"/>
        <v/>
      </c>
      <c r="BY1493" s="42" t="str">
        <f ca="1"/>
        <v/>
      </c>
      <c r="BZ1493" s="42" t="str">
        <f ca="1"/>
        <v/>
      </c>
      <c r="CA1493" s="42" t="str">
        <f ca="1"/>
        <v/>
      </c>
      <c r="CB1493" s="42">
        <f ca="1"/>
        <v>627</v>
      </c>
      <c r="CC1493" s="42" t="str">
        <f ca="1"/>
        <v/>
      </c>
      <c r="CD1493" s="42" t="str">
        <f ca="1"/>
        <v/>
      </c>
      <c r="CE1493" s="42" t="str">
        <f ca="1"/>
        <v/>
      </c>
      <c r="CF1493" s="42" t="str">
        <f ca="1"/>
        <v/>
      </c>
      <c r="CG1493" s="42" t="str">
        <f ca="1"/>
        <v/>
      </c>
      <c r="CH1493" s="42" t="str">
        <f ca="1"/>
        <v/>
      </c>
      <c r="CI1493" s="42">
        <f ca="1"/>
        <v>1433</v>
      </c>
      <c r="CJ1493" s="42" t="str">
        <f ca="1"/>
        <v/>
      </c>
      <c r="CK1493" s="42">
        <f ca="1"/>
        <v>2140</v>
      </c>
      <c r="CL1493" s="42">
        <f ca="1"/>
        <v>1187</v>
      </c>
      <c r="CM1493" s="42" t="str">
        <f ca="1"/>
        <v/>
      </c>
      <c r="CN1493" s="42" t="str">
        <f ca="1"/>
        <v/>
      </c>
      <c r="CO1493" s="42" t="str">
        <f ca="1"/>
        <v/>
      </c>
      <c r="CP1493" s="42" t="str">
        <f ca="1"/>
        <v/>
      </c>
      <c r="CQ1493" s="42" t="str">
        <f ca="1"/>
        <v/>
      </c>
      <c r="CR1493" s="42" t="str">
        <f ca="1"/>
        <v/>
      </c>
      <c r="CS1493" s="42">
        <f ca="1"/>
        <v>823</v>
      </c>
      <c r="CT1493" s="42" t="str">
        <f ca="1"/>
        <v/>
      </c>
      <c r="CU1493" s="42">
        <f ca="1"/>
        <v>3250</v>
      </c>
      <c r="CV1493" s="42" t="str">
        <f ca="1"/>
        <v/>
      </c>
      <c r="CW1493" s="42">
        <f ca="1"/>
        <v>1187</v>
      </c>
      <c r="CX1493" s="42" t="str">
        <f ca="1"/>
        <v/>
      </c>
      <c r="CY1493" s="42" t="str">
        <f ca="1"/>
        <v/>
      </c>
      <c r="CZ1493" s="42" t="str">
        <f ca="1"/>
        <v/>
      </c>
      <c r="DA1493" s="42">
        <f ca="1"/>
        <v>1200</v>
      </c>
      <c r="DB1493" s="42" t="str">
        <f ca="1"/>
        <v/>
      </c>
      <c r="DC1493" s="42" t="str">
        <f ca="1"/>
        <v/>
      </c>
      <c r="DD1493" s="42">
        <f ca="1"/>
        <v>1180</v>
      </c>
      <c r="DE1493" s="42" t="str">
        <f ca="1"/>
        <v/>
      </c>
      <c r="DF1493" s="42" t="str">
        <f ca="1"/>
        <v/>
      </c>
      <c r="DG1493" s="42" t="str">
        <f ca="1"/>
        <v/>
      </c>
      <c r="DH1493" s="42">
        <f ca="1"/>
        <v>40</v>
      </c>
      <c r="DI1493" s="42" t="str">
        <f ca="1"/>
        <v/>
      </c>
      <c r="DJ1493" s="42" t="str">
        <f ca="1"/>
        <v/>
      </c>
      <c r="DK1493" s="42" t="str">
        <f ca="1"/>
        <v/>
      </c>
      <c r="DL1493" s="42">
        <f ca="1"/>
        <v>1433</v>
      </c>
      <c r="DM1493" s="42" t="str">
        <f ca="1"/>
        <v/>
      </c>
      <c r="DN1493" s="42" t="str">
        <f ca="1"/>
        <v/>
      </c>
      <c r="DO1493" s="42" t="str">
        <f ca="1"/>
        <v/>
      </c>
      <c r="DP1493" s="42" t="str">
        <f ca="1"/>
        <v/>
      </c>
      <c r="DQ1493" s="42">
        <f ca="1"/>
        <v>1187</v>
      </c>
      <c r="DR1493" s="42" t="str">
        <f ca="1"/>
        <v/>
      </c>
      <c r="DS1493" s="42">
        <f ca="1"/>
        <v>377</v>
      </c>
      <c r="DT1493" s="42" t="str">
        <f ca="1"/>
        <v/>
      </c>
      <c r="DU1493" s="42" t="str">
        <f ca="1"/>
        <v/>
      </c>
      <c r="DV1493" s="42" t="str">
        <f ca="1"/>
        <v/>
      </c>
      <c r="DW1493" s="42" t="str">
        <f ca="1"/>
        <v/>
      </c>
      <c r="DX1493" s="42" t="str">
        <f ca="1"/>
        <v/>
      </c>
      <c r="DY1493" s="42" t="str">
        <f ca="1"/>
        <v/>
      </c>
      <c r="DZ1493" s="42" t="str">
        <f ca="1"/>
        <v/>
      </c>
      <c r="EA1493" s="42">
        <f ca="1"/>
        <v>1450</v>
      </c>
      <c r="EB1493" s="42">
        <f ca="1"/>
        <v>2400</v>
      </c>
      <c r="EC1493" s="42">
        <f ca="1"/>
        <v>1200</v>
      </c>
      <c r="ED1493" s="42">
        <f ca="1"/>
        <v>1187</v>
      </c>
      <c r="EE1493" s="42" t="str">
        <f ca="1"/>
        <v/>
      </c>
      <c r="EF1493" s="42" t="str">
        <f ca="1"/>
        <v/>
      </c>
      <c r="EG1493" s="42" t="str">
        <f ca="1"/>
        <v/>
      </c>
      <c r="EH1493" s="42" t="str">
        <f ca="1"/>
        <v/>
      </c>
      <c r="EI1493" s="42" t="str">
        <f ca="1"/>
        <v/>
      </c>
      <c r="EJ1493" s="42" t="str">
        <f ca="1"/>
        <v/>
      </c>
      <c r="EK1493" s="42" t="str">
        <f ca="1"/>
        <v/>
      </c>
      <c r="EL1493" s="42">
        <f ca="1"/>
        <v>1433</v>
      </c>
      <c r="EM1493" s="42">
        <f ca="1"/>
        <v>1226</v>
      </c>
      <c r="EN1493" s="42" t="str">
        <f ca="1"/>
        <v/>
      </c>
      <c r="EO1493" s="42">
        <f ca="1"/>
        <v>1300</v>
      </c>
      <c r="EP1493" s="42" t="str">
        <f ca="1"/>
        <v/>
      </c>
      <c r="EQ1493" s="42">
        <f ca="1"/>
        <v>610</v>
      </c>
      <c r="ER1493" s="42">
        <f ca="1"/>
        <v>716</v>
      </c>
      <c r="ES1493" s="42" t="str">
        <f ca="1"/>
        <v/>
      </c>
      <c r="ET1493" s="42" t="str">
        <f ca="1"/>
        <v/>
      </c>
      <c r="EU1493" s="42" t="str">
        <f ca="1"/>
        <v/>
      </c>
      <c r="EV1493" s="42" t="str">
        <f ca="1"/>
        <v/>
      </c>
      <c r="EW1493" s="42" t="str">
        <f ca="1"/>
        <v/>
      </c>
      <c r="EX1493" s="42">
        <f ca="1"/>
        <v>3582</v>
      </c>
      <c r="EY1493" s="42" t="str">
        <f ca="1"/>
        <v/>
      </c>
      <c r="EZ1493" s="42" t="str">
        <f ca="1"/>
        <v/>
      </c>
      <c r="FA1493" s="42">
        <f ca="1"/>
        <v>364</v>
      </c>
      <c r="FB1493" s="42" t="str">
        <f ca="1"/>
        <v/>
      </c>
      <c r="FC1493" s="42">
        <f ca="1"/>
        <v>377</v>
      </c>
      <c r="FD1493" s="42" t="str">
        <f ca="1"/>
        <v/>
      </c>
      <c r="FE1493" s="42">
        <f ca="1"/>
        <v>500</v>
      </c>
      <c r="FF1493" s="42">
        <f ca="1"/>
        <v>1187</v>
      </c>
      <c r="FG1493" s="42" t="str">
        <f ca="1"/>
        <v/>
      </c>
      <c r="FH1493" s="42" t="str">
        <f ca="1"/>
        <v/>
      </c>
      <c r="FI1493" s="42">
        <f ca="1"/>
        <v>590</v>
      </c>
      <c r="FJ1493" s="42">
        <f ca="1"/>
        <v>364</v>
      </c>
      <c r="FK1493" s="42">
        <f ca="1"/>
        <v>5600</v>
      </c>
      <c r="FL1493" s="42">
        <f ca="1"/>
        <v>364</v>
      </c>
      <c r="FM1493" s="42" t="str">
        <f ca="1"/>
        <v/>
      </c>
      <c r="FN1493" s="42" t="str">
        <f ca="1"/>
        <v/>
      </c>
      <c r="FO1493" s="42">
        <f ca="1"/>
        <v>1080</v>
      </c>
      <c r="FP1493" s="42">
        <f ca="1"/>
        <v>1450</v>
      </c>
      <c r="FQ1493" s="42" t="str">
        <f ca="1"/>
        <v/>
      </c>
      <c r="FR1493" s="42" t="str">
        <f ca="1"/>
        <v/>
      </c>
      <c r="FS1493" s="42">
        <f ca="1"/>
        <v>728</v>
      </c>
      <c r="FT1493" s="42" t="str">
        <f ca="1"/>
        <v/>
      </c>
      <c r="FU1493" s="42" t="str">
        <f ca="1"/>
        <v/>
      </c>
      <c r="FV1493" s="42" t="str">
        <f ca="1"/>
        <v/>
      </c>
      <c r="FW1493" s="42" t="str">
        <f ca="1"/>
        <v/>
      </c>
      <c r="FX1493" s="42">
        <f ca="1"/>
        <v>610</v>
      </c>
      <c r="FY1493" s="42" t="str">
        <f ca="1"/>
        <v/>
      </c>
      <c r="FZ1493" s="42">
        <f ca="1"/>
        <v>823</v>
      </c>
      <c r="GA1493" s="42" t="str">
        <f ca="1"/>
        <v/>
      </c>
      <c r="GB1493" s="42" t="str">
        <f ca="1"/>
        <v/>
      </c>
      <c r="GC1493" s="42">
        <f ca="1"/>
        <v>364</v>
      </c>
      <c r="GD1493" s="42">
        <f ca="1"/>
        <v>1200</v>
      </c>
      <c r="GE1493" s="42" t="str">
        <f ca="1"/>
        <v/>
      </c>
      <c r="GF1493" s="42">
        <f ca="1"/>
        <v>364</v>
      </c>
      <c r="GG1493" s="42">
        <f ca="1"/>
        <v>974</v>
      </c>
      <c r="GH1493" s="42" t="str">
        <f ca="1"/>
        <v/>
      </c>
      <c r="GI1493" s="42">
        <f ca="1"/>
        <v>728</v>
      </c>
      <c r="GJ1493" s="42" t="str">
        <f ca="1"/>
        <v/>
      </c>
      <c r="GK1493" s="42" t="str">
        <f ca="1"/>
        <v/>
      </c>
      <c r="GL1493" s="42">
        <f ca="1"/>
        <v>1350</v>
      </c>
      <c r="GM1493" s="42" t="str">
        <f ca="1"/>
        <v/>
      </c>
      <c r="GN1493" s="42" t="str">
        <f ca="1"/>
        <v/>
      </c>
      <c r="GO1493" s="42" t="str">
        <f ca="1"/>
        <v/>
      </c>
      <c r="GP1493" s="42" t="str">
        <f ca="1"/>
        <v/>
      </c>
      <c r="GQ1493" s="42" t="str">
        <f ca="1"/>
        <v/>
      </c>
      <c r="GR1493" s="42">
        <f ca="1"/>
        <v>2374</v>
      </c>
      <c r="GS1493" s="42">
        <f ca="1"/>
        <v>364</v>
      </c>
      <c r="GT1493" s="42">
        <f ca="1"/>
        <v>2620</v>
      </c>
      <c r="GU1493" s="42">
        <f ca="1"/>
        <v>2800</v>
      </c>
      <c r="GV1493" s="42">
        <f ca="1"/>
        <v>364</v>
      </c>
      <c r="GW1493" s="42">
        <f ca="1"/>
        <v>120</v>
      </c>
      <c r="GX1493" s="42" t="str">
        <f ca="1"/>
        <v/>
      </c>
      <c r="GY1493" s="42" t="str">
        <f ca="1"/>
        <v/>
      </c>
      <c r="GZ1493" s="42" t="str">
        <f ca="1"/>
        <v/>
      </c>
      <c r="HA1493" s="42" t="str">
        <f ca="1"/>
        <v/>
      </c>
      <c r="HB1493" s="42" t="str">
        <f ca="1"/>
        <v/>
      </c>
      <c r="HC1493" s="42" t="str">
        <f ca="1"/>
        <v/>
      </c>
      <c r="HD1493" s="42">
        <f ca="1"/>
        <v>610</v>
      </c>
      <c r="HE1493" s="42" t="str">
        <f ca="1"/>
        <v/>
      </c>
      <c r="HF1493" s="42" t="str">
        <f ca="1"/>
        <v/>
      </c>
      <c r="HG1493" s="42">
        <f ca="1"/>
        <v>1433</v>
      </c>
      <c r="HH1493" s="42" t="str">
        <f ca="1"/>
        <v/>
      </c>
      <c r="HI1493" s="42">
        <f ca="1"/>
        <v>1180</v>
      </c>
      <c r="HJ1493" s="42" t="str">
        <f ca="1"/>
        <v/>
      </c>
      <c r="HK1493" s="42">
        <f ca="1"/>
        <v>2866</v>
      </c>
      <c r="HL1493" s="42" t="str">
        <f ca="1"/>
        <v/>
      </c>
      <c r="HM1493" s="42">
        <f ca="1"/>
        <v>610</v>
      </c>
      <c r="HN1493" s="42" t="str">
        <f ca="1"/>
        <v/>
      </c>
      <c r="HO1493" s="42">
        <f ca="1"/>
        <v>1450</v>
      </c>
      <c r="HP1493" s="42">
        <f ca="1"/>
        <v>364</v>
      </c>
      <c r="HQ1493" s="42">
        <f ca="1"/>
        <v>2374</v>
      </c>
      <c r="HR1493" s="42" t="str">
        <f ca="1"/>
        <v/>
      </c>
      <c r="HS1493" s="42">
        <f ca="1"/>
        <v>1200</v>
      </c>
      <c r="HT1493" s="42" t="str">
        <f ca="1"/>
        <v/>
      </c>
      <c r="HU1493" s="42" t="str">
        <f ca="1"/>
        <v/>
      </c>
      <c r="HV1493" s="42" t="str">
        <f ca="1"/>
        <v/>
      </c>
      <c r="HW1493" s="42" t="str">
        <f ca="1"/>
        <v/>
      </c>
      <c r="HX1493" s="42" t="str">
        <f ca="1"/>
        <v/>
      </c>
      <c r="HY1493" s="42" t="str">
        <f ca="1"/>
        <v/>
      </c>
      <c r="HZ1493" s="42" t="str">
        <f ca="1"/>
        <v/>
      </c>
      <c r="IA1493" s="42">
        <f ca="1"/>
        <v>1100</v>
      </c>
      <c r="IB1493" s="42">
        <f ca="1"/>
        <v>610</v>
      </c>
      <c r="IC1493" s="42">
        <f ca="1"/>
        <v>1200</v>
      </c>
      <c r="ID1493" s="42" t="str">
        <f ca="1"/>
        <v/>
      </c>
      <c r="IE1493" s="42">
        <f ca="1"/>
        <v>610</v>
      </c>
      <c r="IF1493" s="42" t="str">
        <f ca="1"/>
        <v/>
      </c>
      <c r="IG1493" s="42">
        <f ca="1"/>
        <v>1080</v>
      </c>
      <c r="IH1493" s="42" t="str">
        <f ca="1"/>
        <v/>
      </c>
      <c r="II1493" s="42" t="str">
        <f ca="1"/>
        <v/>
      </c>
      <c r="IJ1493" s="42">
        <f ca="1"/>
        <v>974</v>
      </c>
      <c r="IK1493" s="42" t="str">
        <f ca="1"/>
        <v/>
      </c>
      <c r="IL1493" s="42">
        <f ca="1"/>
        <v>2100</v>
      </c>
      <c r="IM1493" s="42" t="str">
        <f ca="1"/>
        <v/>
      </c>
      <c r="IN1493" s="42" t="str">
        <f ca="1"/>
        <v/>
      </c>
      <c r="IO1493" s="42" t="str">
        <f ca="1"/>
        <v/>
      </c>
      <c r="IP1493" s="42" t="str">
        <f ca="1"/>
        <v/>
      </c>
      <c r="IQ1493" s="42" t="str">
        <f ca="1"/>
        <v/>
      </c>
      <c r="IR1493" s="42" t="str">
        <f ca="1"/>
        <v/>
      </c>
      <c r="IS1493" s="42" t="str">
        <f ca="1"/>
        <v/>
      </c>
      <c r="IT1493" s="42">
        <f ca="1"/>
        <v>364</v>
      </c>
      <c r="IU1493" s="42" t="str">
        <f ca="1"/>
        <v/>
      </c>
      <c r="IV1493" s="42" t="str">
        <f ca="1"/>
        <v/>
      </c>
      <c r="IW1493" s="42" t="str">
        <f ca="1"/>
        <v/>
      </c>
      <c r="IX1493" s="42" t="str">
        <f ca="1"/>
        <v/>
      </c>
      <c r="IY1493" s="42" t="str">
        <f ca="1"/>
        <v/>
      </c>
      <c r="IZ1493" s="42">
        <f ca="1"/>
        <v>974</v>
      </c>
      <c r="JA1493" s="42" t="str">
        <f ca="1"/>
        <v/>
      </c>
      <c r="JB1493" s="42">
        <f ca="1"/>
        <v>364</v>
      </c>
      <c r="JC1493" s="42" t="str">
        <f ca="1"/>
        <v/>
      </c>
      <c r="JD1493" s="42" t="str">
        <f ca="1"/>
        <v/>
      </c>
      <c r="JE1493" s="42" t="str">
        <f ca="1"/>
        <v/>
      </c>
      <c r="JF1493" s="42" t="str">
        <f ca="1"/>
        <v/>
      </c>
      <c r="JG1493" s="42">
        <f ca="1"/>
        <v>1080</v>
      </c>
      <c r="JH1493" s="42">
        <f ca="1"/>
        <v>610</v>
      </c>
      <c r="JI1493" s="42" t="str">
        <f ca="1"/>
        <v/>
      </c>
      <c r="JJ1493" s="42" t="str">
        <f ca="1"/>
        <v/>
      </c>
      <c r="JK1493" s="42" t="str">
        <f ca="1"/>
        <v/>
      </c>
      <c r="JL1493" s="42" t="str">
        <f ca="1"/>
        <v/>
      </c>
      <c r="JM1493" s="42" t="str">
        <f ca="1"/>
        <v/>
      </c>
      <c r="JN1493" s="42">
        <f ca="1"/>
        <v>1187</v>
      </c>
      <c r="JO1493" s="42" t="str">
        <f ca="1"/>
        <v/>
      </c>
      <c r="JP1493" s="42">
        <f ca="1"/>
        <v>1187</v>
      </c>
      <c r="JQ1493" s="42">
        <f ca="1"/>
        <v>1220</v>
      </c>
      <c r="JR1493" s="42" t="str">
        <f ca="1"/>
        <v/>
      </c>
      <c r="JS1493" s="42">
        <f ca="1"/>
        <v>377</v>
      </c>
      <c r="JT1493" s="42" t="str">
        <f ca="1"/>
        <v/>
      </c>
      <c r="JU1493" s="42" t="str">
        <f ca="1"/>
        <v/>
      </c>
      <c r="JV1493" s="42" t="str">
        <f ca="1"/>
        <v/>
      </c>
      <c r="JW1493" s="42" t="str">
        <f ca="1"/>
        <v/>
      </c>
      <c r="JX1493" s="42" t="str">
        <f ca="1"/>
        <v/>
      </c>
      <c r="JY1493" s="42">
        <f ca="1"/>
        <v>364</v>
      </c>
      <c r="JZ1493" s="42">
        <f ca="1"/>
        <v>1433</v>
      </c>
      <c r="KA1493" s="42" t="str">
        <f ca="1"/>
        <v/>
      </c>
      <c r="KB1493" s="42">
        <f ca="1"/>
        <v>1450</v>
      </c>
      <c r="KC1493" s="42">
        <f ca="1"/>
        <v>1250</v>
      </c>
      <c r="KD1493" s="42" t="str">
        <f ca="1"/>
        <v/>
      </c>
      <c r="KE1493" s="42">
        <f ca="1"/>
        <v>1200</v>
      </c>
      <c r="KF1493" s="42">
        <f ca="1"/>
        <v>364</v>
      </c>
      <c r="KG1493" s="42" t="str">
        <f ca="1"/>
        <v/>
      </c>
      <c r="KH1493" s="42" t="str">
        <f ca="1"/>
        <v/>
      </c>
      <c r="KI1493" s="42">
        <f ca="1"/>
        <v>364</v>
      </c>
      <c r="KJ1493" s="42" t="str">
        <f ca="1"/>
        <v/>
      </c>
      <c r="KK1493" s="42">
        <f ca="1"/>
        <v>1350</v>
      </c>
      <c r="KL1493" s="42" t="str">
        <f ca="1"/>
        <v/>
      </c>
      <c r="KM1493" s="42" t="str">
        <f ca="1"/>
        <v/>
      </c>
      <c r="KN1493" s="42" t="str">
        <f ca="1"/>
        <v/>
      </c>
      <c r="KO1493" s="42" t="str">
        <f ca="1"/>
        <v/>
      </c>
      <c r="KP1493" s="42">
        <f ca="1"/>
        <v>728</v>
      </c>
      <c r="KQ1493" s="42" t="str">
        <f ca="1"/>
        <v/>
      </c>
      <c r="KR1493" s="42">
        <f ca="1"/>
        <v>728</v>
      </c>
      <c r="KS1493" s="42" t="str">
        <f ca="1"/>
        <v/>
      </c>
      <c r="KT1493" s="42">
        <f ca="1"/>
        <v>1908</v>
      </c>
      <c r="KU1493" s="42">
        <f ca="1"/>
        <v>1187</v>
      </c>
      <c r="KV1493" s="42">
        <f ca="1"/>
        <v>823</v>
      </c>
      <c r="KW1493" s="42">
        <f ca="1"/>
        <v>377</v>
      </c>
      <c r="KX1493" s="42">
        <f ca="1"/>
        <v>377</v>
      </c>
      <c r="KY1493" s="42">
        <f ca="1"/>
        <v>1450</v>
      </c>
      <c r="KZ1493" s="42">
        <f ca="1"/>
        <v>1080</v>
      </c>
      <c r="LA1493" s="42" t="str">
        <f ca="1"/>
        <v/>
      </c>
      <c r="LB1493" s="42">
        <f ca="1"/>
        <v>364</v>
      </c>
      <c r="LC1493" s="42" t="str">
        <f ca="1"/>
        <v/>
      </c>
      <c r="LD1493" s="42" t="str">
        <f ca="1"/>
        <v/>
      </c>
      <c r="LE1493" s="42">
        <f ca="1"/>
        <v>364</v>
      </c>
      <c r="LF1493" s="42" t="str">
        <f ca="1"/>
        <v/>
      </c>
      <c r="LG1493" s="42" t="str">
        <f ca="1"/>
        <v/>
      </c>
      <c r="LH1493" s="42">
        <f ca="1"/>
        <v>1433</v>
      </c>
      <c r="LI1493" s="42">
        <f ca="1"/>
        <v>728</v>
      </c>
      <c r="LJ1493" s="42" t="str">
        <f ca="1"/>
        <v/>
      </c>
      <c r="LK1493" s="42" t="str">
        <f ca="1"/>
        <v/>
      </c>
      <c r="LL1493" s="42" t="str">
        <f ca="1"/>
        <v/>
      </c>
      <c r="LM1493" s="42">
        <f ca="1"/>
        <v>1350</v>
      </c>
      <c r="LN1493" s="42">
        <f ca="1"/>
        <v>2620</v>
      </c>
      <c r="LO1493" s="42">
        <f ca="1"/>
        <v>1187</v>
      </c>
      <c r="LP1493" s="42" t="str">
        <f ca="1"/>
        <v/>
      </c>
      <c r="LQ1493" s="42">
        <f ca="1"/>
        <v>728</v>
      </c>
      <c r="LR1493" s="42" t="str">
        <f ca="1"/>
        <v/>
      </c>
      <c r="LS1493" s="42">
        <f ca="1"/>
        <v>728</v>
      </c>
      <c r="LT1493" s="42" t="str">
        <f ca="1"/>
        <v/>
      </c>
      <c r="LU1493" s="42">
        <f ca="1"/>
        <v>108</v>
      </c>
      <c r="LV1493" s="42" t="str">
        <f ca="1"/>
        <v/>
      </c>
      <c r="LW1493" s="42" t="str">
        <f ca="1"/>
        <v/>
      </c>
      <c r="LX1493" s="42">
        <f ca="1"/>
        <v>2450</v>
      </c>
      <c r="LY1493" s="42" t="str">
        <f ca="1"/>
        <v/>
      </c>
      <c r="LZ1493" s="42" t="str">
        <f ca="1"/>
        <v/>
      </c>
      <c r="MA1493" s="42" t="str">
        <f ca="1"/>
        <v/>
      </c>
      <c r="MB1493" s="42" t="str">
        <f ca="1"/>
        <v/>
      </c>
      <c r="MC1493" s="42" t="str">
        <f ca="1"/>
        <v/>
      </c>
      <c r="MD1493" s="42" t="str">
        <f ca="1"/>
        <v/>
      </c>
      <c r="ME1493" s="42" t="str">
        <f ca="1"/>
        <v/>
      </c>
      <c r="MF1493" s="42" t="str">
        <f ca="1"/>
        <v/>
      </c>
      <c r="MG1493" s="42" t="str">
        <f ca="1"/>
        <v/>
      </c>
      <c r="MH1493" s="42" t="str">
        <f ca="1"/>
        <v/>
      </c>
      <c r="MI1493" s="42" t="str">
        <f ca="1"/>
        <v/>
      </c>
      <c r="MJ1493" s="42" t="str">
        <f ca="1"/>
        <v/>
      </c>
      <c r="MK1493" s="42" t="str">
        <f ca="1"/>
        <v/>
      </c>
      <c r="ML1493" s="42" t="str">
        <f ca="1"/>
        <v/>
      </c>
      <c r="MM1493" s="42" t="str">
        <f ca="1"/>
        <v/>
      </c>
      <c r="MN1493" s="42" t="str">
        <f ca="1"/>
        <v/>
      </c>
      <c r="MO1493" s="42" t="str">
        <f ca="1"/>
        <v/>
      </c>
      <c r="MP1493" s="42" t="str">
        <f ca="1"/>
        <v/>
      </c>
      <c r="MQ1493" s="42" t="str">
        <f ca="1"/>
        <v/>
      </c>
      <c r="MR1493" s="42" t="str">
        <f ca="1"/>
        <v/>
      </c>
      <c r="MS1493" s="42" t="str">
        <f ca="1"/>
        <v/>
      </c>
      <c r="MT1493" s="42" t="str">
        <f ca="1"/>
        <v/>
      </c>
      <c r="MU1493" s="42" t="str">
        <f ca="1"/>
        <v/>
      </c>
      <c r="MV1493" s="42" t="str">
        <f ca="1"/>
        <v/>
      </c>
      <c r="MW1493" s="42" t="str">
        <f ca="1"/>
        <v/>
      </c>
      <c r="MX1493" s="42" t="str">
        <f ca="1"/>
        <v/>
      </c>
      <c r="MY1493" s="42" t="str">
        <f ca="1"/>
        <v/>
      </c>
      <c r="MZ1493" s="42" t="str">
        <f ca="1"/>
        <v/>
      </c>
      <c r="NA1493" s="42" t="str">
        <f ca="1"/>
        <v/>
      </c>
      <c r="NB1493" s="42" t="str">
        <f ca="1"/>
        <v/>
      </c>
      <c r="NC1493" s="42" t="str">
        <f ca="1"/>
        <v/>
      </c>
      <c r="ND1493" s="42" t="str">
        <f ca="1"/>
        <v/>
      </c>
      <c r="NE1493" s="42" t="str">
        <f ca="1"/>
        <v/>
      </c>
      <c r="NF1493" s="42" t="str">
        <f ca="1"/>
        <v/>
      </c>
      <c r="NG1493" s="42" t="str">
        <f ca="1"/>
        <v/>
      </c>
      <c r="NH1493" s="42" t="str">
        <f ca="1"/>
        <v/>
      </c>
      <c r="NI1493" s="42" t="str">
        <f ca="1"/>
        <v/>
      </c>
      <c r="NJ1493" s="42" t="str">
        <f ca="1"/>
        <v/>
      </c>
      <c r="NK1493" s="42" t="str">
        <f ca="1"/>
        <v/>
      </c>
      <c r="NL1493" s="42" t="str">
        <f ca="1"/>
        <v/>
      </c>
      <c r="NM1493" s="42" t="str">
        <f ca="1"/>
        <v/>
      </c>
      <c r="NN1493" s="42" t="str">
        <f ca="1"/>
        <v/>
      </c>
      <c r="NO1493" s="42" t="str">
        <f ca="1"/>
        <v/>
      </c>
      <c r="NP1493" s="42" t="str">
        <f ca="1"/>
        <v/>
      </c>
      <c r="NQ1493" s="42" t="str">
        <f ca="1"/>
        <v/>
      </c>
      <c r="NR1493" s="42" t="str">
        <f ca="1"/>
        <v/>
      </c>
      <c r="NS1493" s="42" t="str">
        <f ca="1"/>
        <v/>
      </c>
      <c r="NT1493" s="42" t="str">
        <f ca="1"/>
        <v/>
      </c>
      <c r="NU1493" s="42" t="str">
        <f ca="1"/>
        <v/>
      </c>
      <c r="NV1493" s="42" t="str">
        <f ca="1"/>
        <v/>
      </c>
      <c r="NW1493" s="42" t="str">
        <f ca="1"/>
        <v/>
      </c>
      <c r="NX1493" s="42" t="str">
        <f ca="1"/>
        <v/>
      </c>
      <c r="NY1493" s="42" t="str">
        <f ca="1"/>
        <v/>
      </c>
      <c r="NZ1493" s="42" t="str">
        <f ca="1"/>
        <v/>
      </c>
      <c r="OA1493" s="42" t="str">
        <f ca="1"/>
        <v/>
      </c>
      <c r="OB1493" s="42" t="str">
        <f ca="1"/>
        <v/>
      </c>
      <c r="OC1493" s="42" t="str">
        <f ca="1"/>
        <v/>
      </c>
      <c r="OD1493" s="42" t="str">
        <f ca="1"/>
        <v/>
      </c>
      <c r="OE1493" s="42" t="str">
        <f ca="1"/>
        <v/>
      </c>
      <c r="OF1493" s="42" t="str">
        <f ca="1"/>
        <v/>
      </c>
      <c r="OG1493" s="42" t="str">
        <f ca="1"/>
        <v/>
      </c>
      <c r="OH1493" s="42" t="str">
        <f ca="1"/>
        <v/>
      </c>
      <c r="OI1493" s="42" t="str">
        <f ca="1"/>
        <v/>
      </c>
      <c r="OJ1493" s="42" t="str">
        <f ca="1"/>
        <v/>
      </c>
      <c r="OK1493" s="42" t="str">
        <f ca="1"/>
        <v/>
      </c>
      <c r="OL1493" s="42" t="str">
        <f ca="1"/>
        <v/>
      </c>
      <c r="OM1493" s="42" t="str">
        <f ca="1"/>
        <v/>
      </c>
      <c r="ON1493" s="42" t="str">
        <f ca="1"/>
        <v/>
      </c>
      <c r="OO1493" s="42" t="str">
        <f ca="1"/>
        <v/>
      </c>
      <c r="OP1493" s="42" t="str">
        <f ca="1"/>
        <v/>
      </c>
      <c r="OQ1493" s="42" t="str">
        <f ca="1"/>
        <v/>
      </c>
      <c r="OR1493" s="42" t="str">
        <f ca="1"/>
        <v/>
      </c>
      <c r="OS1493" s="42" t="str">
        <f ca="1"/>
        <v/>
      </c>
      <c r="OT1493" s="42" t="str">
        <f ca="1"/>
        <v/>
      </c>
      <c r="OU1493" s="42" t="str">
        <f ca="1"/>
        <v/>
      </c>
      <c r="OV1493" s="42" t="str">
        <f ca="1"/>
        <v/>
      </c>
      <c r="OW1493" s="42" t="str">
        <f ca="1"/>
        <v/>
      </c>
      <c r="OX1493" s="42" t="str">
        <f ca="1"/>
        <v/>
      </c>
      <c r="OY1493" s="42" t="str">
        <f ca="1"/>
        <v/>
      </c>
      <c r="OZ1493" s="42" t="str">
        <f ca="1"/>
        <v/>
      </c>
      <c r="PA1493" s="42" t="str">
        <f ca="1"/>
        <v/>
      </c>
      <c r="PB1493" s="42" t="str">
        <f ca="1"/>
        <v/>
      </c>
      <c r="PC1493" s="42" t="str">
        <f ca="1"/>
        <v/>
      </c>
      <c r="PD1493" s="42" t="str">
        <f ca="1"/>
        <v/>
      </c>
      <c r="PE1493" s="42" t="str">
        <f ca="1"/>
        <v/>
      </c>
      <c r="PF1493" s="42" t="str">
        <f ca="1"/>
        <v/>
      </c>
      <c r="PG1493" s="42" t="str">
        <f ca="1"/>
        <v/>
      </c>
      <c r="PH1493" s="42" t="str">
        <f ca="1"/>
        <v/>
      </c>
      <c r="PI1493" s="42" t="str">
        <f ca="1"/>
        <v/>
      </c>
      <c r="PJ1493" s="42" t="str">
        <f ca="1"/>
        <v/>
      </c>
      <c r="PK1493" s="42" t="str">
        <f ca="1"/>
        <v/>
      </c>
      <c r="PL1493" s="42" t="str">
        <f ca="1"/>
        <v/>
      </c>
      <c r="PM1493" s="42" t="str">
        <f ca="1"/>
        <v/>
      </c>
      <c r="PN1493" s="42" t="str">
        <f ca="1"/>
        <v/>
      </c>
      <c r="PO1493" s="42" t="str">
        <f ca="1"/>
        <v/>
      </c>
      <c r="PP1493" s="42" t="str">
        <f ca="1"/>
        <v/>
      </c>
      <c r="PQ1493" s="42" t="str">
        <f ca="1"/>
        <v/>
      </c>
      <c r="PR1493" s="42" t="str">
        <f ca="1"/>
        <v/>
      </c>
      <c r="PS1493" s="42" t="str">
        <f ca="1"/>
        <v/>
      </c>
      <c r="PT1493" s="42" t="str">
        <f ca="1"/>
        <v/>
      </c>
      <c r="PU1493" s="42" t="str">
        <f ca="1"/>
        <v/>
      </c>
      <c r="PV1493" s="42" t="str">
        <f ca="1"/>
        <v/>
      </c>
      <c r="PW1493" s="42" t="str">
        <f ca="1"/>
        <v/>
      </c>
      <c r="PX1493" s="42" t="str">
        <f ca="1"/>
        <v/>
      </c>
      <c r="PY1493" s="42" t="str">
        <f ca="1"/>
        <v/>
      </c>
      <c r="PZ1493" s="42" t="str">
        <f ca="1"/>
        <v/>
      </c>
      <c r="QA1493" s="42" t="str">
        <f ca="1"/>
        <v/>
      </c>
      <c r="QB1493" s="42" t="str">
        <f ca="1"/>
        <v/>
      </c>
      <c r="QC1493" s="42" t="str">
        <f ca="1"/>
        <v/>
      </c>
      <c r="QD1493" s="42" t="str">
        <f ca="1"/>
        <v/>
      </c>
      <c r="QE1493" s="42" t="str">
        <f ca="1"/>
        <v/>
      </c>
      <c r="QF1493" s="42" t="str">
        <f ca="1"/>
        <v/>
      </c>
      <c r="QG1493" s="42" t="str">
        <f ca="1"/>
        <v/>
      </c>
      <c r="QH1493" s="42" t="str">
        <f ca="1"/>
        <v/>
      </c>
      <c r="QI1493" s="42" t="str">
        <f ca="1"/>
        <v/>
      </c>
      <c r="QJ1493" s="42" t="str">
        <f ca="1"/>
        <v/>
      </c>
      <c r="QK1493" s="42" t="str">
        <f ca="1"/>
        <v/>
      </c>
      <c r="QL1493" s="42" t="str">
        <f ca="1"/>
        <v/>
      </c>
      <c r="QM1493" s="42" t="str">
        <f ca="1"/>
        <v/>
      </c>
      <c r="QN1493" s="42" t="str">
        <f ca="1"/>
        <v/>
      </c>
      <c r="QO1493" s="42" t="str">
        <f ca="1"/>
        <v/>
      </c>
      <c r="QP1493" s="42" t="str">
        <f ca="1"/>
        <v/>
      </c>
      <c r="QQ1493" s="42" t="str">
        <f ca="1"/>
        <v/>
      </c>
      <c r="QR1493" s="42" t="str">
        <f ca="1"/>
        <v/>
      </c>
      <c r="QS1493" s="42" t="str">
        <f ca="1"/>
        <v/>
      </c>
      <c r="QT1493" s="42" t="str">
        <f ca="1"/>
        <v/>
      </c>
      <c r="QU1493" s="42" t="str">
        <f ca="1"/>
        <v/>
      </c>
      <c r="QV1493" s="42" t="str">
        <f ca="1"/>
        <v/>
      </c>
      <c r="QW1493" s="42" t="str">
        <f ca="1"/>
        <v/>
      </c>
      <c r="QX1493" s="42" t="str">
        <f ca="1"/>
        <v/>
      </c>
      <c r="QY1493" s="42" t="str">
        <f ca="1"/>
        <v/>
      </c>
      <c r="QZ1493" s="42" t="str">
        <f ca="1"/>
        <v/>
      </c>
      <c r="RA1493" s="42" t="str">
        <f ca="1"/>
        <v/>
      </c>
      <c r="RB1493" s="42" t="str">
        <f ca="1"/>
        <v/>
      </c>
      <c r="RC1493" s="42" t="str">
        <f ca="1"/>
        <v/>
      </c>
      <c r="RD1493" s="42" t="str">
        <f ca="1"/>
        <v/>
      </c>
      <c r="RE1493" s="42" t="str">
        <f ca="1"/>
        <v/>
      </c>
      <c r="RF1493" s="42" t="str">
        <f ca="1"/>
        <v/>
      </c>
      <c r="RG1493" s="42" t="str">
        <f ca="1"/>
        <v/>
      </c>
      <c r="RH1493" s="42" t="str">
        <f ca="1"/>
        <v/>
      </c>
      <c r="RI1493" s="42" t="str">
        <f ca="1"/>
        <v/>
      </c>
      <c r="RJ1493" s="42" t="str">
        <f ca="1"/>
        <v/>
      </c>
      <c r="RK1493" s="42" t="str">
        <f ca="1"/>
        <v/>
      </c>
      <c r="RL1493" s="42" t="str">
        <f ca="1"/>
        <v/>
      </c>
      <c r="RM1493" s="42" t="str">
        <f ca="1"/>
        <v/>
      </c>
      <c r="RN1493" s="42" t="str">
        <f ca="1"/>
        <v/>
      </c>
      <c r="RO1493" s="42" t="str">
        <f ca="1"/>
        <v/>
      </c>
      <c r="RP1493" s="42" t="str">
        <f ca="1"/>
        <v/>
      </c>
      <c r="RQ1493" s="42" t="str">
        <f ca="1"/>
        <v/>
      </c>
      <c r="RR1493" s="42" t="str">
        <f ca="1"/>
        <v/>
      </c>
      <c r="RS1493" s="42" t="str">
        <f ca="1"/>
        <v/>
      </c>
      <c r="RT1493" s="42" t="str">
        <f ca="1"/>
        <v/>
      </c>
      <c r="RU1493" s="42" t="str">
        <f ca="1"/>
        <v/>
      </c>
      <c r="RV1493" s="42" t="str">
        <f ca="1"/>
        <v/>
      </c>
      <c r="RW1493" s="42" t="str">
        <f ca="1"/>
        <v/>
      </c>
      <c r="RX1493" s="42" t="str">
        <f ca="1"/>
        <v/>
      </c>
      <c r="RY1493" s="42" t="str">
        <f ca="1"/>
        <v/>
      </c>
      <c r="RZ1493" s="42" t="str">
        <f ca="1"/>
        <v/>
      </c>
      <c r="SA1493" s="42" t="str">
        <f ca="1"/>
        <v/>
      </c>
      <c r="SB1493" s="42" t="str">
        <f ca="1"/>
        <v/>
      </c>
      <c r="SC1493" s="42" t="str">
        <f ca="1"/>
        <v/>
      </c>
      <c r="SD1493" s="42" t="str">
        <f ca="1"/>
        <v/>
      </c>
      <c r="SE1493" s="42" t="str">
        <f ca="1"/>
        <v/>
      </c>
      <c r="SF1493" s="42" t="str">
        <f ca="1"/>
        <v/>
      </c>
      <c r="SG1493" s="42" t="str">
        <f ca="1"/>
        <v/>
      </c>
      <c r="SH1493" s="42" t="str">
        <f ca="1"/>
        <v/>
      </c>
      <c r="SI1493" s="42" t="str">
        <f ca="1"/>
        <v/>
      </c>
      <c r="SJ1493" s="42" t="str">
        <f ca="1"/>
        <v/>
      </c>
      <c r="SK1493" s="42" t="str">
        <f ca="1"/>
        <v/>
      </c>
      <c r="SL1493" s="42" t="str">
        <f ca="1"/>
        <v/>
      </c>
      <c r="SM1493" s="42" t="str">
        <f ca="1"/>
        <v/>
      </c>
      <c r="SN1493" s="42" t="str">
        <f ca="1"/>
        <v/>
      </c>
      <c r="SO1493" s="42" t="str">
        <f ca="1"/>
        <v/>
      </c>
      <c r="SP1493" s="42" t="str">
        <f ca="1"/>
        <v/>
      </c>
      <c r="SQ1493" s="42" t="str">
        <f ca="1"/>
        <v/>
      </c>
      <c r="SR1493" s="42" t="str">
        <f ca="1"/>
        <v/>
      </c>
      <c r="SS1493" s="42" t="str">
        <f ca="1"/>
        <v/>
      </c>
      <c r="ST1493" s="42" t="str">
        <f ca="1"/>
        <v/>
      </c>
      <c r="SU1493" s="42" t="str">
        <f ca="1"/>
        <v/>
      </c>
      <c r="SV1493" s="42" t="str">
        <f ca="1"/>
        <v/>
      </c>
      <c r="SW1493" s="42" t="str">
        <f ca="1"/>
        <v/>
      </c>
      <c r="SX1493" s="42" t="str">
        <f ca="1"/>
        <v/>
      </c>
      <c r="SY1493" s="42" t="str">
        <f ca="1"/>
        <v/>
      </c>
      <c r="SZ1493" s="42" t="str">
        <f ca="1"/>
        <v/>
      </c>
      <c r="TA1493" s="42" t="str">
        <f ca="1"/>
        <v/>
      </c>
      <c r="TB1493" s="42" t="str">
        <f ca="1"/>
        <v/>
      </c>
      <c r="TC1493" s="42" t="str">
        <f ca="1"/>
        <v/>
      </c>
      <c r="TD1493" s="42" t="str">
        <f ca="1"/>
        <v/>
      </c>
      <c r="TE1493" s="42" t="str">
        <f ca="1"/>
        <v/>
      </c>
      <c r="TF1493" s="42" t="str">
        <f ca="1"/>
        <v/>
      </c>
      <c r="TG1493" s="42" t="str">
        <f ca="1"/>
        <v/>
      </c>
      <c r="TH1493" s="42" t="str">
        <f ca="1"/>
        <v/>
      </c>
      <c r="TI1493" s="42" t="str">
        <f ca="1"/>
        <v/>
      </c>
      <c r="TJ1493" s="42" t="str">
        <f ca="1"/>
        <v/>
      </c>
      <c r="TK1493" s="42" t="str">
        <f ca="1"/>
        <v/>
      </c>
      <c r="TL1493" s="42" t="str">
        <f ca="1"/>
        <v/>
      </c>
      <c r="TM1493" s="42" t="str">
        <f ca="1"/>
        <v/>
      </c>
      <c r="TN1493" s="42" t="str">
        <f ca="1"/>
        <v/>
      </c>
      <c r="TO1493" s="42" t="str">
        <f ca="1"/>
        <v/>
      </c>
      <c r="TP1493" s="42" t="str">
        <f ca="1"/>
        <v/>
      </c>
      <c r="TQ1493" s="42" t="str">
        <f ca="1"/>
        <v/>
      </c>
      <c r="TR1493" s="42" t="str">
        <f ca="1"/>
        <v/>
      </c>
      <c r="TS1493" s="42" t="str">
        <f ca="1"/>
        <v/>
      </c>
      <c r="TT1493" s="42" t="str">
        <f ca="1"/>
        <v/>
      </c>
      <c r="TU1493" s="42" t="str">
        <f ca="1"/>
        <v/>
      </c>
      <c r="TV1493" s="42" t="str">
        <f ca="1"/>
        <v/>
      </c>
      <c r="TW1493" s="42" t="str">
        <f ca="1"/>
        <v/>
      </c>
      <c r="TX1493" s="42" t="str">
        <f ca="1"/>
        <v/>
      </c>
      <c r="TY1493" s="42" t="str">
        <f ca="1"/>
        <v/>
      </c>
      <c r="TZ1493" s="42" t="str">
        <f ca="1"/>
        <v/>
      </c>
      <c r="UA1493" s="42" t="str">
        <f ca="1"/>
        <v/>
      </c>
      <c r="UB1493" s="42" t="str">
        <f ca="1"/>
        <v/>
      </c>
      <c r="UC1493" s="42" t="str">
        <f ca="1"/>
        <v/>
      </c>
      <c r="UD1493" s="42" t="str">
        <f ca="1"/>
        <v/>
      </c>
      <c r="UE1493" s="42" t="str">
        <f ca="1"/>
        <v/>
      </c>
      <c r="UF1493" s="42" t="str">
        <f ca="1"/>
        <v/>
      </c>
      <c r="UG1493" s="42" t="str">
        <f ca="1"/>
        <v/>
      </c>
      <c r="UH1493" s="42" t="str">
        <f ca="1"/>
        <v/>
      </c>
      <c r="UI1493" s="42" t="str">
        <f ca="1"/>
        <v/>
      </c>
      <c r="UJ1493" s="42" t="str">
        <f ca="1"/>
        <v/>
      </c>
      <c r="UK1493" s="42" t="str">
        <f ca="1"/>
        <v/>
      </c>
      <c r="UL1493" s="42" t="str">
        <f ca="1"/>
        <v/>
      </c>
      <c r="UM1493" s="42" t="str">
        <f ca="1"/>
        <v/>
      </c>
      <c r="UN1493" s="42" t="str">
        <f ca="1"/>
        <v/>
      </c>
      <c r="UO1493" s="42" t="str">
        <f ca="1"/>
        <v/>
      </c>
      <c r="UP1493" s="42" t="str">
        <f ca="1"/>
        <v/>
      </c>
      <c r="UQ1493" s="42" t="str">
        <f ca="1"/>
        <v/>
      </c>
      <c r="UR1493" s="42" t="str">
        <f ca="1"/>
        <v/>
      </c>
      <c r="US1493" s="42" t="str">
        <f ca="1"/>
        <v/>
      </c>
      <c r="UT1493" s="42" t="str">
        <f ca="1"/>
        <v/>
      </c>
      <c r="UU1493" s="42" t="str">
        <f ca="1"/>
        <v/>
      </c>
      <c r="UV1493" s="42" t="str">
        <f ca="1"/>
        <v/>
      </c>
      <c r="UW1493" s="42" t="str">
        <f ca="1"/>
        <v/>
      </c>
      <c r="UX1493" s="42" t="str">
        <f ca="1"/>
        <v/>
      </c>
      <c r="UY1493" s="42" t="str">
        <f ca="1"/>
        <v/>
      </c>
      <c r="UZ1493" s="42" t="str">
        <f ca="1"/>
        <v/>
      </c>
      <c r="VA1493" s="42" t="str">
        <f ca="1"/>
        <v/>
      </c>
      <c r="VB1493" s="42" t="str">
        <f ca="1"/>
        <v/>
      </c>
      <c r="VC1493" s="42" t="str">
        <f ca="1"/>
        <v/>
      </c>
      <c r="VD1493" s="42" t="str">
        <f ca="1"/>
        <v/>
      </c>
      <c r="VE1493" s="42" t="str">
        <f ca="1"/>
        <v/>
      </c>
      <c r="VF1493" s="42" t="str">
        <f ca="1"/>
        <v/>
      </c>
      <c r="VG1493" s="42" t="str">
        <f ca="1"/>
        <v/>
      </c>
      <c r="VH1493" s="42" t="str">
        <f ca="1"/>
        <v/>
      </c>
      <c r="VI1493" s="42" t="str">
        <f ca="1"/>
        <v/>
      </c>
      <c r="VJ1493" s="42" t="str">
        <f ca="1"/>
        <v/>
      </c>
      <c r="VK1493" s="42" t="str">
        <f ca="1"/>
        <v/>
      </c>
      <c r="VL1493" s="42" t="str">
        <f ca="1"/>
        <v/>
      </c>
      <c r="VM1493" s="42" t="str">
        <f ca="1"/>
        <v/>
      </c>
      <c r="VN1493" s="42" t="str">
        <f ca="1"/>
        <v/>
      </c>
      <c r="VO1493" s="42" t="str">
        <f ca="1"/>
        <v/>
      </c>
      <c r="VP1493" s="42" t="str">
        <f ca="1"/>
        <v/>
      </c>
      <c r="VQ1493" s="42" t="str">
        <f ca="1"/>
        <v/>
      </c>
      <c r="VR1493" s="42" t="str">
        <f ca="1"/>
        <v/>
      </c>
      <c r="VS1493" s="42" t="str">
        <f ca="1"/>
        <v/>
      </c>
      <c r="VT1493" s="42" t="str">
        <f ca="1"/>
        <v/>
      </c>
      <c r="VU1493" s="42" t="str">
        <f ca="1"/>
        <v/>
      </c>
      <c r="VV1493" s="42" t="str">
        <f ca="1"/>
        <v/>
      </c>
      <c r="VW1493" s="42" t="str">
        <f ca="1"/>
        <v/>
      </c>
      <c r="VX1493" s="42" t="str">
        <f ca="1"/>
        <v/>
      </c>
      <c r="VY1493" s="42" t="str">
        <f ca="1"/>
        <v/>
      </c>
      <c r="VZ1493" s="42" t="str">
        <f ca="1"/>
        <v/>
      </c>
      <c r="WA1493" s="42" t="str">
        <f ca="1"/>
        <v/>
      </c>
      <c r="WB1493" s="42" t="str">
        <f ca="1"/>
        <v/>
      </c>
      <c r="WC1493" s="42" t="str">
        <f ca="1"/>
        <v/>
      </c>
      <c r="WD1493" s="42" t="str">
        <f ca="1"/>
        <v/>
      </c>
      <c r="WE1493" s="42" t="str">
        <f ca="1"/>
        <v/>
      </c>
      <c r="WF1493" s="42" t="str">
        <f ca="1"/>
        <v/>
      </c>
      <c r="WG1493" s="42" t="str">
        <f ca="1"/>
        <v/>
      </c>
      <c r="WH1493" s="42" t="str">
        <f ca="1"/>
        <v/>
      </c>
      <c r="WI1493" s="42" t="str">
        <f ca="1"/>
        <v/>
      </c>
      <c r="WJ1493" s="42" t="str">
        <f ca="1"/>
        <v/>
      </c>
      <c r="WK1493" s="42" t="str">
        <f ca="1"/>
        <v/>
      </c>
      <c r="WL1493" s="42" t="str">
        <f ca="1"/>
        <v/>
      </c>
      <c r="WM1493" s="42" t="str">
        <f ca="1"/>
        <v/>
      </c>
      <c r="WN1493" s="42" t="str">
        <f ca="1"/>
        <v/>
      </c>
      <c r="WO1493" s="42" t="str">
        <f ca="1"/>
        <v/>
      </c>
      <c r="WP1493" s="42" t="str">
        <f ca="1"/>
        <v/>
      </c>
      <c r="WQ1493" s="42" t="str">
        <f ca="1"/>
        <v/>
      </c>
      <c r="WR1493" s="42" t="str">
        <f ca="1"/>
        <v/>
      </c>
      <c r="WS1493" s="42" t="str">
        <f ca="1"/>
        <v/>
      </c>
      <c r="WT1493" s="42" t="str">
        <f ca="1"/>
        <v/>
      </c>
      <c r="WU1493" s="42" t="str">
        <f ca="1"/>
        <v/>
      </c>
      <c r="WV1493" s="42" t="str">
        <f ca="1"/>
        <v/>
      </c>
      <c r="WW1493" s="42" t="str">
        <f ca="1"/>
        <v/>
      </c>
      <c r="WX1493" s="42" t="str">
        <f ca="1"/>
        <v/>
      </c>
      <c r="WY1493" s="42" t="str">
        <f ca="1"/>
        <v/>
      </c>
      <c r="WZ1493" s="42" t="str">
        <f ca="1"/>
        <v/>
      </c>
      <c r="XA1493" s="42" t="str">
        <f ca="1"/>
        <v/>
      </c>
      <c r="XB1493" s="42" t="str">
        <f ca="1"/>
        <v/>
      </c>
      <c r="XC1493" s="42" t="str">
        <f ca="1"/>
        <v/>
      </c>
      <c r="XD1493" s="42" t="str">
        <f ca="1"/>
        <v/>
      </c>
      <c r="XE1493" s="42" t="str">
        <f ca="1"/>
        <v/>
      </c>
      <c r="XF1493" s="42" t="str">
        <f ca="1"/>
        <v/>
      </c>
      <c r="XG1493" s="42" t="str">
        <f ca="1"/>
        <v/>
      </c>
      <c r="XH1493" s="42" t="str">
        <f ca="1"/>
        <v/>
      </c>
      <c r="XI1493" s="42" t="str">
        <f ca="1"/>
        <v/>
      </c>
      <c r="XJ1493" s="42" t="str">
        <f ca="1"/>
        <v/>
      </c>
      <c r="XK1493" s="42" t="str">
        <f ca="1"/>
        <v/>
      </c>
      <c r="XL1493" s="42" t="str">
        <f ca="1"/>
        <v/>
      </c>
      <c r="XM1493" s="42" t="str">
        <f ca="1"/>
        <v/>
      </c>
      <c r="XN1493" s="42" t="str">
        <f ca="1"/>
        <v/>
      </c>
      <c r="XO1493" s="42" t="str">
        <f ca="1"/>
        <v/>
      </c>
      <c r="XP1493" s="42" t="str">
        <f ca="1"/>
        <v/>
      </c>
      <c r="XQ1493" s="42" t="str">
        <f ca="1"/>
        <v/>
      </c>
      <c r="XR1493" s="42" t="str">
        <f ca="1"/>
        <v/>
      </c>
      <c r="XS1493" s="42" t="str">
        <f ca="1"/>
        <v/>
      </c>
      <c r="XT1493" s="42" t="str">
        <f ca="1"/>
        <v/>
      </c>
      <c r="XU1493" s="42" t="str">
        <f ca="1"/>
        <v/>
      </c>
      <c r="XV1493" s="42" t="str">
        <f ca="1"/>
        <v/>
      </c>
      <c r="XW1493" s="42" t="str">
        <f ca="1"/>
        <v/>
      </c>
      <c r="XX1493" s="42" t="str">
        <f ca="1"/>
        <v/>
      </c>
      <c r="XY1493" s="42" t="str">
        <f ca="1"/>
        <v/>
      </c>
      <c r="XZ1493" s="42" t="str">
        <f ca="1"/>
        <v/>
      </c>
      <c r="YA1493" s="42" t="str">
        <f ca="1"/>
        <v/>
      </c>
      <c r="YB1493" s="42" t="str">
        <f ca="1"/>
        <v/>
      </c>
      <c r="YC1493" s="42" t="str">
        <f ca="1"/>
        <v/>
      </c>
      <c r="YD1493" s="42" t="str">
        <f ca="1"/>
        <v/>
      </c>
      <c r="YE1493" s="42" t="str">
        <f ca="1"/>
        <v/>
      </c>
      <c r="YF1493" s="42" t="str">
        <f ca="1"/>
        <v/>
      </c>
      <c r="YG1493" s="42" t="str">
        <f ca="1"/>
        <v/>
      </c>
      <c r="YH1493" s="42" t="str">
        <f ca="1"/>
        <v/>
      </c>
      <c r="YI1493" s="42" t="str">
        <f ca="1"/>
        <v/>
      </c>
      <c r="YJ1493" s="42" t="str">
        <f ca="1"/>
        <v/>
      </c>
      <c r="YK1493" s="42" t="str">
        <f ca="1"/>
        <v/>
      </c>
      <c r="YL1493" s="42" t="str">
        <f ca="1"/>
        <v/>
      </c>
      <c r="YM1493" s="42" t="str">
        <f ca="1"/>
        <v/>
      </c>
      <c r="YN1493" s="42" t="str">
        <f ca="1"/>
        <v/>
      </c>
      <c r="YO1493" s="42" t="str">
        <f ca="1"/>
        <v/>
      </c>
      <c r="YP1493" s="42" t="str">
        <f ca="1"/>
        <v/>
      </c>
      <c r="YQ1493" s="42" t="str">
        <f ca="1"/>
        <v/>
      </c>
      <c r="YR1493" s="42" t="str">
        <f ca="1"/>
        <v/>
      </c>
      <c r="YS1493" s="42" t="str">
        <f ca="1"/>
        <v/>
      </c>
      <c r="YT1493" s="42" t="str">
        <f ca="1"/>
        <v/>
      </c>
      <c r="YU1493" s="42" t="str">
        <f ca="1"/>
        <v/>
      </c>
      <c r="YV1493" s="42" t="str">
        <f ca="1"/>
        <v/>
      </c>
      <c r="YW1493" s="42" t="str">
        <f ca="1"/>
        <v/>
      </c>
      <c r="YX1493" s="42" t="str">
        <f ca="1"/>
        <v/>
      </c>
      <c r="YY1493" s="42" t="str">
        <f ca="1"/>
        <v/>
      </c>
      <c r="YZ1493" s="42" t="str">
        <f ca="1"/>
        <v/>
      </c>
      <c r="ZA1493" s="42" t="str">
        <f ca="1"/>
        <v/>
      </c>
      <c r="ZB1493" s="42" t="str">
        <f ca="1"/>
        <v/>
      </c>
      <c r="ZC1493" s="42" t="str">
        <f ca="1"/>
        <v/>
      </c>
      <c r="ZD1493" s="42" t="str">
        <f ca="1"/>
        <v/>
      </c>
      <c r="ZE1493" s="42" t="str">
        <f ca="1"/>
        <v/>
      </c>
      <c r="ZF1493" s="42" t="str">
        <f ca="1"/>
        <v/>
      </c>
      <c r="ZG1493" s="42" t="str">
        <f ca="1"/>
        <v/>
      </c>
      <c r="ZH1493" s="42" t="str">
        <f ca="1"/>
        <v/>
      </c>
      <c r="ZI1493" s="42" t="str">
        <f ca="1"/>
        <v/>
      </c>
      <c r="ZJ1493" s="42" t="str">
        <f ca="1"/>
        <v/>
      </c>
      <c r="ZK1493" s="42" t="str">
        <f ca="1"/>
        <v/>
      </c>
      <c r="ZL1493" s="42" t="str">
        <f ca="1"/>
        <v/>
      </c>
      <c r="ZM1493" s="42" t="str">
        <f ca="1"/>
        <v/>
      </c>
      <c r="ZN1493" s="42" t="str">
        <f ca="1"/>
        <v/>
      </c>
      <c r="ZO1493" s="42" t="str">
        <f ca="1"/>
        <v/>
      </c>
      <c r="ZP1493" s="42" t="str">
        <f ca="1"/>
        <v/>
      </c>
      <c r="ZQ1493" s="42" t="str">
        <f ca="1"/>
        <v/>
      </c>
      <c r="ZR1493" s="42" t="str">
        <f ca="1"/>
        <v/>
      </c>
      <c r="ZS1493" s="42" t="str">
        <f ca="1"/>
        <v/>
      </c>
      <c r="ZT1493" s="42" t="str">
        <f ca="1"/>
        <v/>
      </c>
      <c r="ZU1493" s="42" t="str">
        <f ca="1"/>
        <v/>
      </c>
      <c r="ZV1493" s="42" t="str">
        <f ca="1"/>
        <v/>
      </c>
      <c r="ZW1493" s="42" t="str">
        <f ca="1"/>
        <v/>
      </c>
      <c r="ZX1493" s="42" t="str">
        <f ca="1"/>
        <v/>
      </c>
      <c r="ZY1493" s="42" t="str">
        <f ca="1"/>
        <v/>
      </c>
      <c r="ZZ1493" s="42" t="str">
        <f ca="1"/>
        <v/>
      </c>
      <c r="AAA1493" s="42" t="str">
        <f ca="1"/>
        <v/>
      </c>
      <c r="AAB1493" s="42" t="str">
        <f ca="1"/>
        <v/>
      </c>
      <c r="AAC1493" s="42" t="str">
        <f ca="1"/>
        <v/>
      </c>
      <c r="AAD1493" s="42" t="str">
        <f ca="1"/>
        <v/>
      </c>
      <c r="AAE1493" s="42" t="str">
        <f ca="1"/>
        <v/>
      </c>
      <c r="AAF1493" s="42" t="str">
        <f ca="1"/>
        <v/>
      </c>
      <c r="AAG1493" s="42" t="str">
        <f ca="1"/>
        <v/>
      </c>
      <c r="AAH1493" s="42" t="str">
        <f ca="1"/>
        <v/>
      </c>
      <c r="AAI1493" s="42" t="str">
        <f ca="1"/>
        <v/>
      </c>
      <c r="AAJ1493" s="42" t="str">
        <f ca="1"/>
        <v/>
      </c>
      <c r="AAK1493" s="42" t="str">
        <f ca="1"/>
        <v/>
      </c>
      <c r="AAL1493" s="42" t="str">
        <f ca="1"/>
        <v/>
      </c>
      <c r="AAM1493" s="42" t="str">
        <f ca="1"/>
        <v/>
      </c>
      <c r="AAN1493" s="42" t="str">
        <f ca="1"/>
        <v/>
      </c>
      <c r="AAO1493" s="42" t="str">
        <f ca="1"/>
        <v/>
      </c>
      <c r="AAP1493" s="42" t="str">
        <f ca="1"/>
        <v/>
      </c>
      <c r="AAQ1493" s="42" t="str">
        <f ca="1"/>
        <v/>
      </c>
      <c r="AAR1493" s="42" t="str">
        <f ca="1"/>
        <v/>
      </c>
      <c r="AAS1493" s="42" t="str">
        <f ca="1"/>
        <v/>
      </c>
      <c r="AAT1493" s="42" t="str">
        <f ca="1"/>
        <v/>
      </c>
      <c r="AAU1493" s="42" t="str">
        <f ca="1"/>
        <v/>
      </c>
      <c r="AAV1493" s="42" t="str">
        <f ca="1"/>
        <v/>
      </c>
      <c r="AAW1493" s="42" t="str">
        <f ca="1"/>
        <v/>
      </c>
      <c r="AAX1493" s="42" t="str">
        <f ca="1"/>
        <v/>
      </c>
      <c r="AAY1493" s="42" t="str">
        <f ca="1"/>
        <v/>
      </c>
      <c r="AAZ1493" s="42" t="str">
        <f ca="1"/>
        <v/>
      </c>
      <c r="ABA1493" s="42" t="str">
        <f ca="1"/>
        <v/>
      </c>
      <c r="ABB1493" s="42" t="str">
        <f ca="1"/>
        <v/>
      </c>
      <c r="ABC1493" s="42" t="str">
        <f ca="1"/>
        <v/>
      </c>
      <c r="ABD1493" s="42" t="str">
        <f ca="1"/>
        <v/>
      </c>
      <c r="ABE1493" s="42" t="str">
        <f ca="1"/>
        <v/>
      </c>
      <c r="ABF1493" s="42" t="str">
        <f ca="1"/>
        <v/>
      </c>
      <c r="ABG1493" s="42" t="str">
        <f ca="1"/>
        <v/>
      </c>
      <c r="ABH1493" s="42" t="str">
        <f ca="1"/>
        <v/>
      </c>
      <c r="ABI1493" s="42" t="str">
        <f ca="1"/>
        <v/>
      </c>
      <c r="ABJ1493" s="42" t="str">
        <f ca="1"/>
        <v/>
      </c>
      <c r="ABK1493" s="42" t="str">
        <f ca="1"/>
        <v/>
      </c>
      <c r="ABL1493" s="42" t="str">
        <f ca="1"/>
        <v/>
      </c>
      <c r="ABM1493" s="42" t="str">
        <f ca="1"/>
        <v/>
      </c>
      <c r="ABN1493" s="42" t="str">
        <f ca="1"/>
        <v/>
      </c>
      <c r="ABO1493" s="42" t="str">
        <f ca="1"/>
        <v/>
      </c>
      <c r="ABP1493" s="42" t="str">
        <f ca="1"/>
        <v/>
      </c>
      <c r="ABQ1493" s="42" t="str">
        <f ca="1"/>
        <v/>
      </c>
      <c r="ABR1493" s="42" t="str">
        <f ca="1"/>
        <v/>
      </c>
      <c r="ABS1493" s="42" t="str">
        <f ca="1"/>
        <v/>
      </c>
      <c r="ABT1493" s="42" t="str">
        <f ca="1"/>
        <v/>
      </c>
      <c r="ABU1493" s="42" t="str">
        <f ca="1"/>
        <v/>
      </c>
      <c r="ABV1493" s="42" t="str">
        <f ca="1"/>
        <v/>
      </c>
      <c r="ABW1493" s="42" t="str">
        <f ca="1"/>
        <v/>
      </c>
      <c r="ABX1493" s="42" t="str">
        <f ca="1"/>
        <v/>
      </c>
      <c r="ABY1493" s="42" t="str">
        <f ca="1"/>
        <v/>
      </c>
      <c r="ABZ1493" s="42" t="str">
        <f ca="1"/>
        <v/>
      </c>
      <c r="ACA1493" s="42" t="str">
        <f ca="1"/>
        <v/>
      </c>
      <c r="ACB1493" s="42" t="str">
        <f ca="1"/>
        <v/>
      </c>
      <c r="ACC1493" s="42" t="str">
        <f ca="1"/>
        <v/>
      </c>
      <c r="ACD1493" s="42" t="str">
        <f ca="1"/>
        <v/>
      </c>
      <c r="ACE1493" s="42" t="str">
        <f ca="1"/>
        <v/>
      </c>
      <c r="ACF1493" s="42" t="str">
        <f ca="1"/>
        <v/>
      </c>
      <c r="ACG1493" s="42" t="str">
        <f ca="1"/>
        <v/>
      </c>
      <c r="ACH1493" s="42" t="str">
        <f ca="1"/>
        <v/>
      </c>
      <c r="ACI1493" s="42" t="str">
        <f ca="1"/>
        <v/>
      </c>
      <c r="ACJ1493" s="42" t="str">
        <f ca="1"/>
        <v/>
      </c>
      <c r="ACK1493" s="42" t="str">
        <f ca="1"/>
        <v/>
      </c>
      <c r="ACL1493" s="42" t="str">
        <f ca="1"/>
        <v/>
      </c>
      <c r="ACM1493" s="42" t="str">
        <f ca="1"/>
        <v/>
      </c>
      <c r="ACN1493" s="42" t="str">
        <f ca="1"/>
        <v/>
      </c>
      <c r="ACO1493" s="42" t="str">
        <f ca="1"/>
        <v/>
      </c>
      <c r="ACP1493" s="42" t="str">
        <f ca="1"/>
        <v/>
      </c>
      <c r="ACQ1493" s="42" t="str">
        <f ca="1"/>
        <v/>
      </c>
      <c r="ACR1493" s="42" t="str">
        <f ca="1"/>
        <v/>
      </c>
      <c r="ACS1493" s="42" t="str">
        <f ca="1"/>
        <v/>
      </c>
      <c r="ACT1493" s="42" t="str">
        <f ca="1"/>
        <v/>
      </c>
      <c r="ACU1493" s="42" t="str">
        <f ca="1"/>
        <v/>
      </c>
      <c r="ACV1493" s="42" t="str">
        <f ca="1"/>
        <v/>
      </c>
      <c r="ACW1493" s="42" t="str">
        <f ca="1"/>
        <v/>
      </c>
      <c r="ACX1493" s="42" t="str">
        <f ca="1"/>
        <v/>
      </c>
      <c r="ACY1493" s="42" t="str">
        <f ca="1"/>
        <v/>
      </c>
      <c r="ACZ1493" s="42" t="str">
        <f ca="1"/>
        <v/>
      </c>
      <c r="ADA1493" s="42" t="str">
        <f ca="1"/>
        <v/>
      </c>
      <c r="ADB1493" s="42" t="str">
        <f ca="1"/>
        <v/>
      </c>
      <c r="ADC1493" s="42" t="str">
        <f ca="1"/>
        <v/>
      </c>
      <c r="ADD1493" s="42" t="str">
        <f ca="1"/>
        <v/>
      </c>
      <c r="ADE1493" s="42" t="str">
        <f ca="1"/>
        <v/>
      </c>
      <c r="ADF1493" s="42" t="str">
        <f ca="1"/>
        <v/>
      </c>
      <c r="ADG1493" s="42" t="str">
        <f ca="1"/>
        <v/>
      </c>
      <c r="ADH1493" s="42" t="str">
        <f ca="1"/>
        <v/>
      </c>
      <c r="ADI1493" s="42" t="str">
        <f ca="1"/>
        <v/>
      </c>
      <c r="ADJ1493" s="42" t="str">
        <f ca="1"/>
        <v/>
      </c>
      <c r="ADK1493" s="42" t="str">
        <f ca="1"/>
        <v/>
      </c>
      <c r="ADL1493" s="42" t="str">
        <f ca="1"/>
        <v/>
      </c>
      <c r="ADM1493" s="42" t="str">
        <f ca="1"/>
        <v/>
      </c>
      <c r="ADN1493" s="42" t="str">
        <f ca="1"/>
        <v/>
      </c>
      <c r="ADO1493" s="42" t="str">
        <f ca="1"/>
        <v/>
      </c>
      <c r="ADP1493" s="42" t="str">
        <f ca="1"/>
        <v/>
      </c>
      <c r="ADQ1493" s="42" t="str">
        <f ca="1"/>
        <v/>
      </c>
      <c r="ADR1493" s="42" t="str">
        <f ca="1"/>
        <v/>
      </c>
      <c r="ADS1493" s="42" t="str">
        <f ca="1"/>
        <v/>
      </c>
      <c r="ADT1493" s="42" t="str">
        <f ca="1"/>
        <v/>
      </c>
      <c r="ADU1493" s="42" t="str">
        <f ca="1"/>
        <v/>
      </c>
      <c r="ADV1493" s="42" t="str">
        <f ca="1"/>
        <v/>
      </c>
      <c r="ADW1493" s="42" t="str">
        <f ca="1"/>
        <v/>
      </c>
      <c r="ADX1493" s="42" t="str">
        <f ca="1"/>
        <v/>
      </c>
      <c r="ADY1493" s="42" t="str">
        <f ca="1"/>
        <v/>
      </c>
      <c r="ADZ1493" s="42" t="str">
        <f ca="1"/>
        <v/>
      </c>
      <c r="AEA1493" s="42" t="str">
        <f ca="1"/>
        <v/>
      </c>
      <c r="AEB1493" s="42" t="str">
        <f ca="1"/>
        <v/>
      </c>
      <c r="AEC1493" s="42" t="str">
        <f ca="1"/>
        <v/>
      </c>
      <c r="AED1493" s="42" t="str">
        <f ca="1"/>
        <v/>
      </c>
      <c r="AEE1493" s="42" t="str">
        <f ca="1"/>
        <v/>
      </c>
      <c r="AEF1493" s="42" t="str">
        <f ca="1"/>
        <v/>
      </c>
      <c r="AEG1493" s="42" t="str">
        <f ca="1"/>
        <v/>
      </c>
      <c r="AEH1493" s="42" t="str">
        <f ca="1"/>
        <v/>
      </c>
      <c r="AEI1493" s="42" t="str">
        <f ca="1"/>
        <v/>
      </c>
      <c r="AEJ1493" s="42" t="str">
        <f ca="1"/>
        <v/>
      </c>
      <c r="AEK1493" s="42" t="str">
        <f ca="1"/>
        <v/>
      </c>
      <c r="AEL1493" s="42" t="str">
        <f ca="1"/>
        <v/>
      </c>
      <c r="AEM1493" s="42" t="str">
        <f ca="1"/>
        <v/>
      </c>
      <c r="AEN1493" s="42" t="str">
        <f ca="1"/>
        <v/>
      </c>
      <c r="AEO1493" s="42" t="str">
        <f ca="1"/>
        <v/>
      </c>
      <c r="AEP1493" s="42" t="str">
        <f ca="1"/>
        <v/>
      </c>
      <c r="AEQ1493" s="42" t="str">
        <f ca="1"/>
        <v/>
      </c>
      <c r="AER1493" s="42" t="str">
        <f ca="1"/>
        <v/>
      </c>
      <c r="AES1493" s="42" t="str">
        <f ca="1"/>
        <v/>
      </c>
      <c r="AET1493" s="42" t="str">
        <f ca="1"/>
        <v/>
      </c>
      <c r="AEU1493" s="42" t="str">
        <f ca="1"/>
        <v/>
      </c>
      <c r="AEV1493" s="42" t="str">
        <f ca="1"/>
        <v/>
      </c>
      <c r="AEW1493" s="42" t="str">
        <f ca="1"/>
        <v/>
      </c>
      <c r="AEX1493" s="42" t="str">
        <f ca="1"/>
        <v/>
      </c>
      <c r="AEY1493" s="42" t="str">
        <f ca="1"/>
        <v/>
      </c>
      <c r="AEZ1493" s="42" t="str">
        <f ca="1"/>
        <v/>
      </c>
      <c r="AFA1493" s="42" t="str">
        <f ca="1"/>
        <v/>
      </c>
      <c r="AFB1493" s="42" t="str">
        <f ca="1"/>
        <v/>
      </c>
      <c r="AFC1493" s="42" t="str">
        <f ca="1"/>
        <v/>
      </c>
      <c r="AFD1493" s="42" t="str">
        <f ca="1"/>
        <v/>
      </c>
      <c r="AFE1493" s="42" t="str">
        <f ca="1"/>
        <v/>
      </c>
      <c r="AFF1493" s="42" t="str">
        <f ca="1"/>
        <v/>
      </c>
      <c r="AFG1493" s="42" t="str">
        <f ca="1"/>
        <v/>
      </c>
      <c r="AFH1493" s="42" t="str">
        <f ca="1"/>
        <v/>
      </c>
      <c r="AFI1493" s="42" t="str">
        <f ca="1"/>
        <v/>
      </c>
      <c r="AFJ1493" s="42" t="str">
        <f ca="1"/>
        <v/>
      </c>
      <c r="AFK1493" s="42" t="str">
        <f ca="1"/>
        <v/>
      </c>
      <c r="AFL1493" s="42" t="str">
        <f ca="1"/>
        <v/>
      </c>
      <c r="AFM1493" s="42" t="str">
        <f ca="1"/>
        <v/>
      </c>
      <c r="AFN1493" s="42" t="str">
        <f ca="1"/>
        <v/>
      </c>
      <c r="AFO1493" s="42" t="str">
        <f ca="1"/>
        <v/>
      </c>
      <c r="AFP1493" s="42" t="str">
        <f ca="1"/>
        <v/>
      </c>
      <c r="AFQ1493" s="42" t="str">
        <f ca="1"/>
        <v/>
      </c>
      <c r="AFR1493" s="42" t="str">
        <f ca="1"/>
        <v/>
      </c>
      <c r="AFS1493" s="42" t="str">
        <f ca="1"/>
        <v/>
      </c>
      <c r="AFT1493" s="42" t="str">
        <f ca="1"/>
        <v/>
      </c>
      <c r="AFU1493" s="42" t="str">
        <f ca="1"/>
        <v/>
      </c>
      <c r="AFV1493" s="42" t="str">
        <f ca="1"/>
        <v/>
      </c>
      <c r="AFW1493" s="42" t="str">
        <f ca="1"/>
        <v/>
      </c>
      <c r="AFX1493" s="42" t="str">
        <f ca="1"/>
        <v/>
      </c>
      <c r="AFY1493" s="42" t="str">
        <f ca="1"/>
        <v/>
      </c>
      <c r="AFZ1493" s="42" t="str">
        <f ca="1"/>
        <v/>
      </c>
      <c r="AGA1493" s="42" t="str">
        <f ca="1"/>
        <v/>
      </c>
      <c r="AGB1493" s="42" t="str">
        <f ca="1"/>
        <v/>
      </c>
      <c r="AGC1493" s="42" t="str">
        <f ca="1"/>
        <v/>
      </c>
      <c r="AGD1493" s="42" t="str">
        <f ca="1"/>
        <v/>
      </c>
      <c r="AGE1493" s="42" t="str">
        <f ca="1"/>
        <v/>
      </c>
      <c r="AGF1493" s="42" t="str">
        <f ca="1"/>
        <v/>
      </c>
      <c r="AGG1493" s="42" t="str">
        <f ca="1"/>
        <v/>
      </c>
      <c r="AGH1493" s="42" t="str">
        <f ca="1"/>
        <v/>
      </c>
      <c r="AGI1493" s="42" t="str">
        <f ca="1"/>
        <v/>
      </c>
      <c r="AGJ1493" s="42" t="str">
        <f ca="1"/>
        <v/>
      </c>
      <c r="AGK1493" s="42" t="str">
        <f ca="1"/>
        <v/>
      </c>
      <c r="AGL1493" s="42" t="str">
        <f ca="1"/>
        <v/>
      </c>
      <c r="AGM1493" s="42" t="str">
        <f ca="1"/>
        <v/>
      </c>
      <c r="AGN1493" s="42" t="str">
        <f ca="1"/>
        <v/>
      </c>
    </row>
    <row r="1494" spans="15:872" x14ac:dyDescent="0.25">
      <c r="O1494" s="42">
        <v>4</v>
      </c>
      <c r="P1494" s="42" t="str">
        <f ca="1"/>
        <v/>
      </c>
      <c r="Q1494" s="42" t="str">
        <f ca="1"/>
        <v/>
      </c>
      <c r="R1494" s="42" t="str">
        <f ca="1"/>
        <v/>
      </c>
      <c r="S1494" s="42" t="str">
        <f ca="1"/>
        <v/>
      </c>
      <c r="T1494" s="42" t="str">
        <f ca="1"/>
        <v/>
      </c>
      <c r="U1494" s="42" t="str">
        <f ca="1"/>
        <v/>
      </c>
      <c r="V1494" s="42" t="str">
        <f ca="1"/>
        <v/>
      </c>
      <c r="W1494" s="42" t="str">
        <f ca="1"/>
        <v/>
      </c>
      <c r="X1494" s="42" t="str">
        <f ca="1"/>
        <v/>
      </c>
      <c r="Y1494" s="42" t="str">
        <f ca="1"/>
        <v/>
      </c>
      <c r="Z1494" s="42" t="str">
        <f ca="1"/>
        <v/>
      </c>
      <c r="AA1494" s="42" t="str">
        <f ca="1"/>
        <v/>
      </c>
      <c r="AB1494" s="42">
        <f ca="1"/>
        <v>823</v>
      </c>
      <c r="AC1494" s="42">
        <f ca="1"/>
        <v>364</v>
      </c>
      <c r="AD1494" s="42">
        <f ca="1"/>
        <v>2700</v>
      </c>
      <c r="AE1494" s="42" t="str">
        <f ca="1"/>
        <v/>
      </c>
      <c r="AF1494" s="42" t="str">
        <f ca="1"/>
        <v/>
      </c>
      <c r="AG1494" s="42" t="str">
        <f ca="1"/>
        <v/>
      </c>
      <c r="AH1494" s="42" t="str">
        <f ca="1"/>
        <v/>
      </c>
      <c r="AI1494" s="42" t="str">
        <f ca="1"/>
        <v/>
      </c>
      <c r="AJ1494" s="42">
        <f ca="1"/>
        <v>1646</v>
      </c>
      <c r="AK1494" s="42">
        <f ca="1"/>
        <v>364</v>
      </c>
      <c r="AL1494" s="42">
        <f ca="1"/>
        <v>377</v>
      </c>
      <c r="AM1494" s="42">
        <f ca="1"/>
        <v>377</v>
      </c>
      <c r="AN1494" s="42">
        <f ca="1"/>
        <v>610</v>
      </c>
      <c r="AO1494" s="42" t="str">
        <f ca="1"/>
        <v/>
      </c>
      <c r="AP1494" s="42">
        <f ca="1"/>
        <v>1433</v>
      </c>
      <c r="AQ1494" s="42" t="str">
        <f ca="1"/>
        <v/>
      </c>
      <c r="AR1494" s="42" t="str">
        <f ca="1"/>
        <v/>
      </c>
      <c r="AS1494" s="42" t="str">
        <f ca="1"/>
        <v/>
      </c>
      <c r="AT1494" s="42" t="str">
        <f ca="1"/>
        <v/>
      </c>
      <c r="AU1494" s="42">
        <f ca="1"/>
        <v>823</v>
      </c>
      <c r="AV1494" s="42" t="str">
        <f ca="1"/>
        <v/>
      </c>
      <c r="AW1494" s="42" t="str">
        <f ca="1"/>
        <v/>
      </c>
      <c r="AX1494" s="42" t="str">
        <f ca="1"/>
        <v/>
      </c>
      <c r="AY1494" s="42">
        <f ca="1"/>
        <v>823</v>
      </c>
      <c r="AZ1494" s="42" t="str">
        <f ca="1"/>
        <v/>
      </c>
      <c r="BA1494" s="42">
        <f ca="1"/>
        <v>360</v>
      </c>
      <c r="BB1494" s="42">
        <f ca="1"/>
        <v>1646</v>
      </c>
      <c r="BC1494" s="42" t="str">
        <f ca="1"/>
        <v/>
      </c>
      <c r="BD1494" s="42" t="str">
        <f ca="1"/>
        <v/>
      </c>
      <c r="BE1494" s="42" t="str">
        <f ca="1"/>
        <v/>
      </c>
      <c r="BF1494" s="42" t="str">
        <f ca="1"/>
        <v/>
      </c>
      <c r="BG1494" s="42">
        <f ca="1"/>
        <v>740</v>
      </c>
      <c r="BH1494" s="42" t="str">
        <f ca="1"/>
        <v/>
      </c>
      <c r="BI1494" s="42" t="str">
        <f ca="1"/>
        <v/>
      </c>
      <c r="BJ1494" s="42" t="str">
        <f ca="1"/>
        <v/>
      </c>
      <c r="BK1494" s="42" t="str">
        <f ca="1"/>
        <v/>
      </c>
      <c r="BL1494" s="42" t="str">
        <f ca="1"/>
        <v/>
      </c>
      <c r="BM1494" s="42" t="str">
        <f ca="1"/>
        <v/>
      </c>
      <c r="BN1494" s="42" t="str">
        <f ca="1"/>
        <v/>
      </c>
      <c r="BO1494" s="42" t="str">
        <f ca="1"/>
        <v/>
      </c>
      <c r="BP1494" s="42">
        <f ca="1"/>
        <v>736</v>
      </c>
      <c r="BQ1494" s="42" t="str">
        <f ca="1"/>
        <v/>
      </c>
      <c r="BR1494" s="42" t="str">
        <f ca="1"/>
        <v/>
      </c>
      <c r="BS1494" s="42" t="str">
        <f ca="1"/>
        <v/>
      </c>
      <c r="BT1494" s="42">
        <f ca="1"/>
        <v>1000</v>
      </c>
      <c r="BU1494" s="42" t="str">
        <f ca="1"/>
        <v/>
      </c>
      <c r="BV1494" s="42" t="str">
        <f ca="1"/>
        <v/>
      </c>
      <c r="BW1494" s="42" t="str">
        <f ca="1"/>
        <v/>
      </c>
      <c r="BX1494" s="42" t="str">
        <f ca="1"/>
        <v/>
      </c>
      <c r="BY1494" s="42" t="str">
        <f ca="1"/>
        <v/>
      </c>
      <c r="BZ1494" s="42" t="str">
        <f ca="1"/>
        <v/>
      </c>
      <c r="CA1494" s="42" t="str">
        <f ca="1"/>
        <v/>
      </c>
      <c r="CB1494" s="42">
        <f ca="1"/>
        <v>823</v>
      </c>
      <c r="CC1494" s="42" t="str">
        <f ca="1"/>
        <v/>
      </c>
      <c r="CD1494" s="42" t="str">
        <f ca="1"/>
        <v/>
      </c>
      <c r="CE1494" s="42" t="str">
        <f ca="1"/>
        <v/>
      </c>
      <c r="CF1494" s="42" t="str">
        <f ca="1"/>
        <v/>
      </c>
      <c r="CG1494" s="42" t="str">
        <f ca="1"/>
        <v/>
      </c>
      <c r="CH1494" s="42" t="str">
        <f ca="1"/>
        <v/>
      </c>
      <c r="CI1494" s="42" t="str">
        <f ca="1"/>
        <v/>
      </c>
      <c r="CJ1494" s="42" t="str">
        <f ca="1"/>
        <v/>
      </c>
      <c r="CK1494" s="42" t="str">
        <f ca="1"/>
        <v/>
      </c>
      <c r="CL1494" s="42" t="str">
        <f ca="1"/>
        <v/>
      </c>
      <c r="CM1494" s="42" t="str">
        <f ca="1"/>
        <v/>
      </c>
      <c r="CN1494" s="42" t="str">
        <f ca="1"/>
        <v/>
      </c>
      <c r="CO1494" s="42" t="str">
        <f ca="1"/>
        <v/>
      </c>
      <c r="CP1494" s="42" t="str">
        <f ca="1"/>
        <v/>
      </c>
      <c r="CQ1494" s="42" t="str">
        <f ca="1"/>
        <v/>
      </c>
      <c r="CR1494" s="42" t="str">
        <f ca="1"/>
        <v/>
      </c>
      <c r="CS1494" s="42" t="str">
        <f ca="1"/>
        <v/>
      </c>
      <c r="CT1494" s="42" t="str">
        <f ca="1"/>
        <v/>
      </c>
      <c r="CU1494" s="42" t="str">
        <f ca="1"/>
        <v/>
      </c>
      <c r="CV1494" s="42" t="str">
        <f ca="1"/>
        <v/>
      </c>
      <c r="CW1494" s="42" t="str">
        <f ca="1"/>
        <v/>
      </c>
      <c r="CX1494" s="42" t="str">
        <f ca="1"/>
        <v/>
      </c>
      <c r="CY1494" s="42" t="str">
        <f ca="1"/>
        <v/>
      </c>
      <c r="CZ1494" s="42" t="str">
        <f ca="1"/>
        <v/>
      </c>
      <c r="DA1494" s="42" t="str">
        <f ca="1"/>
        <v/>
      </c>
      <c r="DB1494" s="42" t="str">
        <f ca="1"/>
        <v/>
      </c>
      <c r="DC1494" s="42" t="str">
        <f ca="1"/>
        <v/>
      </c>
      <c r="DD1494" s="42" t="str">
        <f ca="1"/>
        <v/>
      </c>
      <c r="DE1494" s="42" t="str">
        <f ca="1"/>
        <v/>
      </c>
      <c r="DF1494" s="42" t="str">
        <f ca="1"/>
        <v/>
      </c>
      <c r="DG1494" s="42" t="str">
        <f ca="1"/>
        <v/>
      </c>
      <c r="DH1494" s="42">
        <f ca="1"/>
        <v>1433</v>
      </c>
      <c r="DI1494" s="42" t="str">
        <f ca="1"/>
        <v/>
      </c>
      <c r="DJ1494" s="42" t="str">
        <f ca="1"/>
        <v/>
      </c>
      <c r="DK1494" s="42" t="str">
        <f ca="1"/>
        <v/>
      </c>
      <c r="DL1494" s="42" t="str">
        <f ca="1"/>
        <v/>
      </c>
      <c r="DM1494" s="42" t="str">
        <f ca="1"/>
        <v/>
      </c>
      <c r="DN1494" s="42" t="str">
        <f ca="1"/>
        <v/>
      </c>
      <c r="DO1494" s="42" t="str">
        <f ca="1"/>
        <v/>
      </c>
      <c r="DP1494" s="42" t="str">
        <f ca="1"/>
        <v/>
      </c>
      <c r="DQ1494" s="42" t="str">
        <f ca="1"/>
        <v/>
      </c>
      <c r="DR1494" s="42" t="str">
        <f ca="1"/>
        <v/>
      </c>
      <c r="DS1494" s="42">
        <f ca="1"/>
        <v>823</v>
      </c>
      <c r="DT1494" s="42" t="str">
        <f ca="1"/>
        <v/>
      </c>
      <c r="DU1494" s="42" t="str">
        <f ca="1"/>
        <v/>
      </c>
      <c r="DV1494" s="42" t="str">
        <f ca="1"/>
        <v/>
      </c>
      <c r="DW1494" s="42" t="str">
        <f ca="1"/>
        <v/>
      </c>
      <c r="DX1494" s="42" t="str">
        <f ca="1"/>
        <v/>
      </c>
      <c r="DY1494" s="42" t="str">
        <f ca="1"/>
        <v/>
      </c>
      <c r="DZ1494" s="42" t="str">
        <f ca="1"/>
        <v/>
      </c>
      <c r="EA1494" s="42" t="str">
        <f ca="1"/>
        <v/>
      </c>
      <c r="EB1494" s="42" t="str">
        <f ca="1"/>
        <v/>
      </c>
      <c r="EC1494" s="42" t="str">
        <f ca="1"/>
        <v/>
      </c>
      <c r="ED1494" s="42">
        <f ca="1"/>
        <v>364</v>
      </c>
      <c r="EE1494" s="42" t="str">
        <f ca="1"/>
        <v/>
      </c>
      <c r="EF1494" s="42" t="str">
        <f ca="1"/>
        <v/>
      </c>
      <c r="EG1494" s="42" t="str">
        <f ca="1"/>
        <v/>
      </c>
      <c r="EH1494" s="42" t="str">
        <f ca="1"/>
        <v/>
      </c>
      <c r="EI1494" s="42" t="str">
        <f ca="1"/>
        <v/>
      </c>
      <c r="EJ1494" s="42" t="str">
        <f ca="1"/>
        <v/>
      </c>
      <c r="EK1494" s="42" t="str">
        <f ca="1"/>
        <v/>
      </c>
      <c r="EL1494" s="42" t="str">
        <f ca="1"/>
        <v/>
      </c>
      <c r="EM1494" s="42" t="str">
        <f ca="1"/>
        <v/>
      </c>
      <c r="EN1494" s="42" t="str">
        <f ca="1"/>
        <v/>
      </c>
      <c r="EO1494" s="42" t="str">
        <f ca="1"/>
        <v/>
      </c>
      <c r="EP1494" s="42" t="str">
        <f ca="1"/>
        <v/>
      </c>
      <c r="EQ1494" s="42">
        <f ca="1"/>
        <v>740</v>
      </c>
      <c r="ER1494" s="42" t="str">
        <f ca="1"/>
        <v/>
      </c>
      <c r="ES1494" s="42" t="str">
        <f ca="1"/>
        <v/>
      </c>
      <c r="ET1494" s="42" t="str">
        <f ca="1"/>
        <v/>
      </c>
      <c r="EU1494" s="42" t="str">
        <f ca="1"/>
        <v/>
      </c>
      <c r="EV1494" s="42" t="str">
        <f ca="1"/>
        <v/>
      </c>
      <c r="EW1494" s="42" t="str">
        <f ca="1"/>
        <v/>
      </c>
      <c r="EX1494" s="42" t="str">
        <f ca="1"/>
        <v/>
      </c>
      <c r="EY1494" s="42" t="str">
        <f ca="1"/>
        <v/>
      </c>
      <c r="EZ1494" s="42" t="str">
        <f ca="1"/>
        <v/>
      </c>
      <c r="FA1494" s="42">
        <f ca="1"/>
        <v>736</v>
      </c>
      <c r="FB1494" s="42" t="str">
        <f ca="1"/>
        <v/>
      </c>
      <c r="FC1494" s="42">
        <f ca="1"/>
        <v>823</v>
      </c>
      <c r="FD1494" s="42" t="str">
        <f ca="1"/>
        <v/>
      </c>
      <c r="FE1494" s="42">
        <f ca="1"/>
        <v>500</v>
      </c>
      <c r="FF1494" s="42" t="str">
        <f ca="1"/>
        <v/>
      </c>
      <c r="FG1494" s="42" t="str">
        <f ca="1"/>
        <v/>
      </c>
      <c r="FH1494" s="42" t="str">
        <f ca="1"/>
        <v/>
      </c>
      <c r="FI1494" s="42">
        <f ca="1"/>
        <v>610</v>
      </c>
      <c r="FJ1494" s="42">
        <f ca="1"/>
        <v>736</v>
      </c>
      <c r="FK1494" s="42">
        <f ca="1"/>
        <v>3640</v>
      </c>
      <c r="FL1494" s="42">
        <f ca="1"/>
        <v>716</v>
      </c>
      <c r="FM1494" s="42" t="str">
        <f ca="1"/>
        <v/>
      </c>
      <c r="FN1494" s="42" t="str">
        <f ca="1"/>
        <v/>
      </c>
      <c r="FO1494" s="42" t="str">
        <f ca="1"/>
        <v/>
      </c>
      <c r="FP1494" s="42" t="str">
        <f ca="1"/>
        <v/>
      </c>
      <c r="FQ1494" s="42" t="str">
        <f ca="1"/>
        <v/>
      </c>
      <c r="FR1494" s="42" t="str">
        <f ca="1"/>
        <v/>
      </c>
      <c r="FS1494" s="42">
        <f ca="1"/>
        <v>1459</v>
      </c>
      <c r="FT1494" s="42" t="str">
        <f ca="1"/>
        <v/>
      </c>
      <c r="FU1494" s="42" t="str">
        <f ca="1"/>
        <v/>
      </c>
      <c r="FV1494" s="42" t="str">
        <f ca="1"/>
        <v/>
      </c>
      <c r="FW1494" s="42" t="str">
        <f ca="1"/>
        <v/>
      </c>
      <c r="FX1494" s="42">
        <f ca="1"/>
        <v>823</v>
      </c>
      <c r="FY1494" s="42" t="str">
        <f ca="1"/>
        <v/>
      </c>
      <c r="FZ1494" s="42">
        <f ca="1"/>
        <v>610</v>
      </c>
      <c r="GA1494" s="42" t="str">
        <f ca="1"/>
        <v/>
      </c>
      <c r="GB1494" s="42" t="str">
        <f ca="1"/>
        <v/>
      </c>
      <c r="GC1494" s="42">
        <f ca="1"/>
        <v>823</v>
      </c>
      <c r="GD1494" s="42" t="str">
        <f ca="1"/>
        <v/>
      </c>
      <c r="GE1494" s="42" t="str">
        <f ca="1"/>
        <v/>
      </c>
      <c r="GF1494" s="42">
        <f ca="1"/>
        <v>716</v>
      </c>
      <c r="GG1494" s="42">
        <f ca="1"/>
        <v>1646</v>
      </c>
      <c r="GH1494" s="42" t="str">
        <f ca="1"/>
        <v/>
      </c>
      <c r="GI1494" s="42">
        <f ca="1"/>
        <v>1432</v>
      </c>
      <c r="GJ1494" s="42" t="str">
        <f ca="1"/>
        <v/>
      </c>
      <c r="GK1494" s="42" t="str">
        <f ca="1"/>
        <v/>
      </c>
      <c r="GL1494" s="42" t="str">
        <f ca="1"/>
        <v/>
      </c>
      <c r="GM1494" s="42" t="str">
        <f ca="1"/>
        <v/>
      </c>
      <c r="GN1494" s="42" t="str">
        <f ca="1"/>
        <v/>
      </c>
      <c r="GO1494" s="42" t="str">
        <f ca="1"/>
        <v/>
      </c>
      <c r="GP1494" s="42" t="str">
        <f ca="1"/>
        <v/>
      </c>
      <c r="GQ1494" s="42" t="str">
        <f ca="1"/>
        <v/>
      </c>
      <c r="GR1494" s="42" t="str">
        <f ca="1"/>
        <v/>
      </c>
      <c r="GS1494" s="42">
        <f ca="1"/>
        <v>716</v>
      </c>
      <c r="GT1494" s="42" t="str">
        <f ca="1"/>
        <v/>
      </c>
      <c r="GU1494" s="42" t="str">
        <f ca="1"/>
        <v/>
      </c>
      <c r="GV1494" s="42">
        <f ca="1"/>
        <v>736</v>
      </c>
      <c r="GW1494" s="42">
        <f ca="1"/>
        <v>120</v>
      </c>
      <c r="GX1494" s="42" t="str">
        <f ca="1"/>
        <v/>
      </c>
      <c r="GY1494" s="42" t="str">
        <f ca="1"/>
        <v/>
      </c>
      <c r="GZ1494" s="42" t="str">
        <f ca="1"/>
        <v/>
      </c>
      <c r="HA1494" s="42" t="str">
        <f ca="1"/>
        <v/>
      </c>
      <c r="HB1494" s="42" t="str">
        <f ca="1"/>
        <v/>
      </c>
      <c r="HC1494" s="42" t="str">
        <f ca="1"/>
        <v/>
      </c>
      <c r="HD1494" s="42">
        <f ca="1"/>
        <v>823</v>
      </c>
      <c r="HE1494" s="42" t="str">
        <f ca="1"/>
        <v/>
      </c>
      <c r="HF1494" s="42" t="str">
        <f ca="1"/>
        <v/>
      </c>
      <c r="HG1494" s="42" t="str">
        <f ca="1"/>
        <v/>
      </c>
      <c r="HH1494" s="42" t="str">
        <f ca="1"/>
        <v/>
      </c>
      <c r="HI1494" s="42" t="str">
        <f ca="1"/>
        <v/>
      </c>
      <c r="HJ1494" s="42" t="str">
        <f ca="1"/>
        <v/>
      </c>
      <c r="HK1494" s="42" t="str">
        <f ca="1"/>
        <v/>
      </c>
      <c r="HL1494" s="42" t="str">
        <f ca="1"/>
        <v/>
      </c>
      <c r="HM1494" s="42">
        <f ca="1"/>
        <v>823</v>
      </c>
      <c r="HN1494" s="42" t="str">
        <f ca="1"/>
        <v/>
      </c>
      <c r="HO1494" s="42" t="str">
        <f ca="1"/>
        <v/>
      </c>
      <c r="HP1494" s="42">
        <f ca="1"/>
        <v>823</v>
      </c>
      <c r="HQ1494" s="42" t="str">
        <f ca="1"/>
        <v/>
      </c>
      <c r="HR1494" s="42" t="str">
        <f ca="1"/>
        <v/>
      </c>
      <c r="HS1494" s="42" t="str">
        <f ca="1"/>
        <v/>
      </c>
      <c r="HT1494" s="42" t="str">
        <f ca="1"/>
        <v/>
      </c>
      <c r="HU1494" s="42" t="str">
        <f ca="1"/>
        <v/>
      </c>
      <c r="HV1494" s="42" t="str">
        <f ca="1"/>
        <v/>
      </c>
      <c r="HW1494" s="42" t="str">
        <f ca="1"/>
        <v/>
      </c>
      <c r="HX1494" s="42" t="str">
        <f ca="1"/>
        <v/>
      </c>
      <c r="HY1494" s="42" t="str">
        <f ca="1"/>
        <v/>
      </c>
      <c r="HZ1494" s="42" t="str">
        <f ca="1"/>
        <v/>
      </c>
      <c r="IA1494" s="42" t="str">
        <f ca="1"/>
        <v/>
      </c>
      <c r="IB1494" s="42">
        <f ca="1"/>
        <v>823</v>
      </c>
      <c r="IC1494" s="42" t="str">
        <f ca="1"/>
        <v/>
      </c>
      <c r="ID1494" s="42" t="str">
        <f ca="1"/>
        <v/>
      </c>
      <c r="IE1494" s="42">
        <f ca="1"/>
        <v>823</v>
      </c>
      <c r="IF1494" s="42" t="str">
        <f ca="1"/>
        <v/>
      </c>
      <c r="IG1494" s="42" t="str">
        <f ca="1"/>
        <v/>
      </c>
      <c r="IH1494" s="42" t="str">
        <f ca="1"/>
        <v/>
      </c>
      <c r="II1494" s="42" t="str">
        <f ca="1"/>
        <v/>
      </c>
      <c r="IJ1494" s="42">
        <f ca="1"/>
        <v>1476</v>
      </c>
      <c r="IK1494" s="42" t="str">
        <f ca="1"/>
        <v/>
      </c>
      <c r="IL1494" s="42" t="str">
        <f ca="1"/>
        <v/>
      </c>
      <c r="IM1494" s="42" t="str">
        <f ca="1"/>
        <v/>
      </c>
      <c r="IN1494" s="42" t="str">
        <f ca="1"/>
        <v/>
      </c>
      <c r="IO1494" s="42" t="str">
        <f ca="1"/>
        <v/>
      </c>
      <c r="IP1494" s="42" t="str">
        <f ca="1"/>
        <v/>
      </c>
      <c r="IQ1494" s="42" t="str">
        <f ca="1"/>
        <v/>
      </c>
      <c r="IR1494" s="42" t="str">
        <f ca="1"/>
        <v/>
      </c>
      <c r="IS1494" s="42" t="str">
        <f ca="1"/>
        <v/>
      </c>
      <c r="IT1494" s="42">
        <f ca="1"/>
        <v>736</v>
      </c>
      <c r="IU1494" s="42" t="str">
        <f ca="1"/>
        <v/>
      </c>
      <c r="IV1494" s="42" t="str">
        <f ca="1"/>
        <v/>
      </c>
      <c r="IW1494" s="42" t="str">
        <f ca="1"/>
        <v/>
      </c>
      <c r="IX1494" s="42" t="str">
        <f ca="1"/>
        <v/>
      </c>
      <c r="IY1494" s="42" t="str">
        <f ca="1"/>
        <v/>
      </c>
      <c r="IZ1494" s="42">
        <f ca="1"/>
        <v>1406</v>
      </c>
      <c r="JA1494" s="42" t="str">
        <f ca="1"/>
        <v/>
      </c>
      <c r="JB1494" s="42">
        <f ca="1"/>
        <v>823</v>
      </c>
      <c r="JC1494" s="42" t="str">
        <f ca="1"/>
        <v/>
      </c>
      <c r="JD1494" s="42" t="str">
        <f ca="1"/>
        <v/>
      </c>
      <c r="JE1494" s="42" t="str">
        <f ca="1"/>
        <v/>
      </c>
      <c r="JF1494" s="42" t="str">
        <f ca="1"/>
        <v/>
      </c>
      <c r="JG1494" s="42" t="str">
        <f ca="1"/>
        <v/>
      </c>
      <c r="JH1494" s="42">
        <f ca="1"/>
        <v>1300</v>
      </c>
      <c r="JI1494" s="42" t="str">
        <f ca="1"/>
        <v/>
      </c>
      <c r="JJ1494" s="42" t="str">
        <f ca="1"/>
        <v/>
      </c>
      <c r="JK1494" s="42" t="str">
        <f ca="1"/>
        <v/>
      </c>
      <c r="JL1494" s="42" t="str">
        <f ca="1"/>
        <v/>
      </c>
      <c r="JM1494" s="42" t="str">
        <f ca="1"/>
        <v/>
      </c>
      <c r="JN1494" s="42" t="str">
        <f ca="1"/>
        <v/>
      </c>
      <c r="JO1494" s="42" t="str">
        <f ca="1"/>
        <v/>
      </c>
      <c r="JP1494" s="42" t="str">
        <f ca="1"/>
        <v/>
      </c>
      <c r="JQ1494" s="42">
        <f ca="1"/>
        <v>1400</v>
      </c>
      <c r="JR1494" s="42" t="str">
        <f ca="1"/>
        <v/>
      </c>
      <c r="JS1494" s="42">
        <f ca="1"/>
        <v>823</v>
      </c>
      <c r="JT1494" s="42" t="str">
        <f ca="1"/>
        <v/>
      </c>
      <c r="JU1494" s="42" t="str">
        <f ca="1"/>
        <v/>
      </c>
      <c r="JV1494" s="42" t="str">
        <f ca="1"/>
        <v/>
      </c>
      <c r="JW1494" s="42" t="str">
        <f ca="1"/>
        <v/>
      </c>
      <c r="JX1494" s="42" t="str">
        <f ca="1"/>
        <v/>
      </c>
      <c r="JY1494" s="42">
        <f ca="1"/>
        <v>716</v>
      </c>
      <c r="JZ1494" s="42" t="str">
        <f ca="1"/>
        <v/>
      </c>
      <c r="KA1494" s="42" t="str">
        <f ca="1"/>
        <v/>
      </c>
      <c r="KB1494" s="42" t="str">
        <f ca="1"/>
        <v/>
      </c>
      <c r="KC1494" s="42" t="str">
        <f ca="1"/>
        <v/>
      </c>
      <c r="KD1494" s="42" t="str">
        <f ca="1"/>
        <v/>
      </c>
      <c r="KE1494" s="42" t="str">
        <f ca="1"/>
        <v/>
      </c>
      <c r="KF1494" s="42">
        <f ca="1"/>
        <v>823</v>
      </c>
      <c r="KG1494" s="42" t="str">
        <f ca="1"/>
        <v/>
      </c>
      <c r="KH1494" s="42" t="str">
        <f ca="1"/>
        <v/>
      </c>
      <c r="KI1494" s="42">
        <f ca="1"/>
        <v>736</v>
      </c>
      <c r="KJ1494" s="42" t="str">
        <f ca="1"/>
        <v/>
      </c>
      <c r="KK1494" s="42" t="str">
        <f ca="1"/>
        <v/>
      </c>
      <c r="KL1494" s="42" t="str">
        <f ca="1"/>
        <v/>
      </c>
      <c r="KM1494" s="42" t="str">
        <f ca="1"/>
        <v/>
      </c>
      <c r="KN1494" s="42" t="str">
        <f ca="1"/>
        <v/>
      </c>
      <c r="KO1494" s="42" t="str">
        <f ca="1"/>
        <v/>
      </c>
      <c r="KP1494" s="42">
        <f ca="1"/>
        <v>1472</v>
      </c>
      <c r="KQ1494" s="42" t="str">
        <f ca="1"/>
        <v/>
      </c>
      <c r="KR1494" s="42">
        <f ca="1"/>
        <v>1646</v>
      </c>
      <c r="KS1494" s="42" t="str">
        <f ca="1"/>
        <v/>
      </c>
      <c r="KT1494" s="42">
        <f ca="1"/>
        <v>1092</v>
      </c>
      <c r="KU1494" s="42" t="str">
        <f ca="1"/>
        <v/>
      </c>
      <c r="KV1494" s="42">
        <f ca="1"/>
        <v>364</v>
      </c>
      <c r="KW1494" s="42">
        <f ca="1"/>
        <v>823</v>
      </c>
      <c r="KX1494" s="42">
        <f ca="1"/>
        <v>823</v>
      </c>
      <c r="KY1494" s="42" t="str">
        <f ca="1"/>
        <v/>
      </c>
      <c r="KZ1494" s="42" t="str">
        <f ca="1"/>
        <v/>
      </c>
      <c r="LA1494" s="42" t="str">
        <f ca="1"/>
        <v/>
      </c>
      <c r="LB1494" s="42">
        <f ca="1"/>
        <v>736</v>
      </c>
      <c r="LC1494" s="42" t="str">
        <f ca="1"/>
        <v/>
      </c>
      <c r="LD1494" s="42" t="str">
        <f ca="1"/>
        <v/>
      </c>
      <c r="LE1494" s="42">
        <f ca="1"/>
        <v>736</v>
      </c>
      <c r="LF1494" s="42" t="str">
        <f ca="1"/>
        <v/>
      </c>
      <c r="LG1494" s="42" t="str">
        <f ca="1"/>
        <v/>
      </c>
      <c r="LH1494" s="42" t="str">
        <f ca="1"/>
        <v/>
      </c>
      <c r="LI1494" s="42">
        <f ca="1"/>
        <v>1646</v>
      </c>
      <c r="LJ1494" s="42" t="str">
        <f ca="1"/>
        <v/>
      </c>
      <c r="LK1494" s="42" t="str">
        <f ca="1"/>
        <v/>
      </c>
      <c r="LL1494" s="42" t="str">
        <f ca="1"/>
        <v/>
      </c>
      <c r="LM1494" s="42" t="str">
        <f ca="1"/>
        <v/>
      </c>
      <c r="LN1494" s="42" t="str">
        <f ca="1"/>
        <v/>
      </c>
      <c r="LO1494" s="42" t="str">
        <f ca="1"/>
        <v/>
      </c>
      <c r="LP1494" s="42" t="str">
        <f ca="1"/>
        <v/>
      </c>
      <c r="LQ1494" s="42">
        <f ca="1"/>
        <v>1646</v>
      </c>
      <c r="LR1494" s="42" t="str">
        <f ca="1"/>
        <v/>
      </c>
      <c r="LS1494" s="42">
        <f ca="1"/>
        <v>1646</v>
      </c>
      <c r="LT1494" s="42" t="str">
        <f ca="1"/>
        <v/>
      </c>
      <c r="LU1494" s="42" t="str">
        <f ca="1"/>
        <v/>
      </c>
      <c r="LV1494" s="42" t="str">
        <f ca="1"/>
        <v/>
      </c>
      <c r="LW1494" s="42" t="str">
        <f ca="1"/>
        <v/>
      </c>
      <c r="LX1494" s="42" t="str">
        <f ca="1"/>
        <v/>
      </c>
      <c r="LY1494" s="42" t="str">
        <f ca="1"/>
        <v/>
      </c>
      <c r="LZ1494" s="42" t="str">
        <f ca="1"/>
        <v/>
      </c>
      <c r="MA1494" s="42" t="str">
        <f ca="1"/>
        <v/>
      </c>
      <c r="MB1494" s="42" t="str">
        <f ca="1"/>
        <v/>
      </c>
      <c r="MC1494" s="42" t="str">
        <f ca="1"/>
        <v/>
      </c>
      <c r="MD1494" s="42" t="str">
        <f ca="1"/>
        <v/>
      </c>
      <c r="ME1494" s="42" t="str">
        <f ca="1"/>
        <v/>
      </c>
      <c r="MF1494" s="42" t="str">
        <f ca="1"/>
        <v/>
      </c>
      <c r="MG1494" s="42" t="str">
        <f ca="1"/>
        <v/>
      </c>
      <c r="MH1494" s="42" t="str">
        <f ca="1"/>
        <v/>
      </c>
      <c r="MI1494" s="42" t="str">
        <f ca="1"/>
        <v/>
      </c>
      <c r="MJ1494" s="42" t="str">
        <f ca="1"/>
        <v/>
      </c>
      <c r="MK1494" s="42" t="str">
        <f ca="1"/>
        <v/>
      </c>
      <c r="ML1494" s="42" t="str">
        <f ca="1"/>
        <v/>
      </c>
      <c r="MM1494" s="42" t="str">
        <f ca="1"/>
        <v/>
      </c>
      <c r="MN1494" s="42" t="str">
        <f ca="1"/>
        <v/>
      </c>
      <c r="MO1494" s="42" t="str">
        <f ca="1"/>
        <v/>
      </c>
      <c r="MP1494" s="42" t="str">
        <f ca="1"/>
        <v/>
      </c>
      <c r="MQ1494" s="42" t="str">
        <f ca="1"/>
        <v/>
      </c>
      <c r="MR1494" s="42" t="str">
        <f ca="1"/>
        <v/>
      </c>
      <c r="MS1494" s="42" t="str">
        <f ca="1"/>
        <v/>
      </c>
      <c r="MT1494" s="42" t="str">
        <f ca="1"/>
        <v/>
      </c>
      <c r="MU1494" s="42" t="str">
        <f ca="1"/>
        <v/>
      </c>
      <c r="MV1494" s="42" t="str">
        <f ca="1"/>
        <v/>
      </c>
      <c r="MW1494" s="42" t="str">
        <f ca="1"/>
        <v/>
      </c>
      <c r="MX1494" s="42" t="str">
        <f ca="1"/>
        <v/>
      </c>
      <c r="MY1494" s="42" t="str">
        <f ca="1"/>
        <v/>
      </c>
      <c r="MZ1494" s="42" t="str">
        <f ca="1"/>
        <v/>
      </c>
      <c r="NA1494" s="42" t="str">
        <f ca="1"/>
        <v/>
      </c>
      <c r="NB1494" s="42" t="str">
        <f ca="1"/>
        <v/>
      </c>
      <c r="NC1494" s="42" t="str">
        <f ca="1"/>
        <v/>
      </c>
      <c r="ND1494" s="42" t="str">
        <f ca="1"/>
        <v/>
      </c>
      <c r="NE1494" s="42" t="str">
        <f ca="1"/>
        <v/>
      </c>
      <c r="NF1494" s="42" t="str">
        <f ca="1"/>
        <v/>
      </c>
      <c r="NG1494" s="42" t="str">
        <f ca="1"/>
        <v/>
      </c>
      <c r="NH1494" s="42" t="str">
        <f ca="1"/>
        <v/>
      </c>
      <c r="NI1494" s="42" t="str">
        <f ca="1"/>
        <v/>
      </c>
      <c r="NJ1494" s="42" t="str">
        <f ca="1"/>
        <v/>
      </c>
      <c r="NK1494" s="42" t="str">
        <f ca="1"/>
        <v/>
      </c>
      <c r="NL1494" s="42" t="str">
        <f ca="1"/>
        <v/>
      </c>
      <c r="NM1494" s="42" t="str">
        <f ca="1"/>
        <v/>
      </c>
      <c r="NN1494" s="42" t="str">
        <f ca="1"/>
        <v/>
      </c>
      <c r="NO1494" s="42" t="str">
        <f ca="1"/>
        <v/>
      </c>
      <c r="NP1494" s="42" t="str">
        <f ca="1"/>
        <v/>
      </c>
      <c r="NQ1494" s="42" t="str">
        <f ca="1"/>
        <v/>
      </c>
      <c r="NR1494" s="42" t="str">
        <f ca="1"/>
        <v/>
      </c>
      <c r="NS1494" s="42" t="str">
        <f ca="1"/>
        <v/>
      </c>
      <c r="NT1494" s="42" t="str">
        <f ca="1"/>
        <v/>
      </c>
      <c r="NU1494" s="42" t="str">
        <f ca="1"/>
        <v/>
      </c>
      <c r="NV1494" s="42" t="str">
        <f ca="1"/>
        <v/>
      </c>
      <c r="NW1494" s="42" t="str">
        <f ca="1"/>
        <v/>
      </c>
      <c r="NX1494" s="42" t="str">
        <f ca="1"/>
        <v/>
      </c>
      <c r="NY1494" s="42" t="str">
        <f ca="1"/>
        <v/>
      </c>
      <c r="NZ1494" s="42" t="str">
        <f ca="1"/>
        <v/>
      </c>
      <c r="OA1494" s="42" t="str">
        <f ca="1"/>
        <v/>
      </c>
      <c r="OB1494" s="42" t="str">
        <f ca="1"/>
        <v/>
      </c>
      <c r="OC1494" s="42" t="str">
        <f ca="1"/>
        <v/>
      </c>
      <c r="OD1494" s="42" t="str">
        <f ca="1"/>
        <v/>
      </c>
      <c r="OE1494" s="42" t="str">
        <f ca="1"/>
        <v/>
      </c>
      <c r="OF1494" s="42" t="str">
        <f ca="1"/>
        <v/>
      </c>
      <c r="OG1494" s="42" t="str">
        <f ca="1"/>
        <v/>
      </c>
      <c r="OH1494" s="42" t="str">
        <f ca="1"/>
        <v/>
      </c>
      <c r="OI1494" s="42" t="str">
        <f ca="1"/>
        <v/>
      </c>
      <c r="OJ1494" s="42" t="str">
        <f ca="1"/>
        <v/>
      </c>
      <c r="OK1494" s="42" t="str">
        <f ca="1"/>
        <v/>
      </c>
      <c r="OL1494" s="42" t="str">
        <f ca="1"/>
        <v/>
      </c>
      <c r="OM1494" s="42" t="str">
        <f ca="1"/>
        <v/>
      </c>
      <c r="ON1494" s="42" t="str">
        <f ca="1"/>
        <v/>
      </c>
      <c r="OO1494" s="42" t="str">
        <f ca="1"/>
        <v/>
      </c>
      <c r="OP1494" s="42" t="str">
        <f ca="1"/>
        <v/>
      </c>
      <c r="OQ1494" s="42" t="str">
        <f ca="1"/>
        <v/>
      </c>
      <c r="OR1494" s="42" t="str">
        <f ca="1"/>
        <v/>
      </c>
      <c r="OS1494" s="42" t="str">
        <f ca="1"/>
        <v/>
      </c>
      <c r="OT1494" s="42" t="str">
        <f ca="1"/>
        <v/>
      </c>
      <c r="OU1494" s="42" t="str">
        <f ca="1"/>
        <v/>
      </c>
      <c r="OV1494" s="42" t="str">
        <f ca="1"/>
        <v/>
      </c>
      <c r="OW1494" s="42" t="str">
        <f ca="1"/>
        <v/>
      </c>
      <c r="OX1494" s="42" t="str">
        <f ca="1"/>
        <v/>
      </c>
      <c r="OY1494" s="42" t="str">
        <f ca="1"/>
        <v/>
      </c>
      <c r="OZ1494" s="42" t="str">
        <f ca="1"/>
        <v/>
      </c>
      <c r="PA1494" s="42" t="str">
        <f ca="1"/>
        <v/>
      </c>
      <c r="PB1494" s="42" t="str">
        <f ca="1"/>
        <v/>
      </c>
      <c r="PC1494" s="42" t="str">
        <f ca="1"/>
        <v/>
      </c>
      <c r="PD1494" s="42" t="str">
        <f ca="1"/>
        <v/>
      </c>
      <c r="PE1494" s="42" t="str">
        <f ca="1"/>
        <v/>
      </c>
      <c r="PF1494" s="42" t="str">
        <f ca="1"/>
        <v/>
      </c>
      <c r="PG1494" s="42" t="str">
        <f ca="1"/>
        <v/>
      </c>
      <c r="PH1494" s="42" t="str">
        <f ca="1"/>
        <v/>
      </c>
      <c r="PI1494" s="42" t="str">
        <f ca="1"/>
        <v/>
      </c>
      <c r="PJ1494" s="42" t="str">
        <f ca="1"/>
        <v/>
      </c>
      <c r="PK1494" s="42" t="str">
        <f ca="1"/>
        <v/>
      </c>
      <c r="PL1494" s="42" t="str">
        <f ca="1"/>
        <v/>
      </c>
      <c r="PM1494" s="42" t="str">
        <f ca="1"/>
        <v/>
      </c>
      <c r="PN1494" s="42" t="str">
        <f ca="1"/>
        <v/>
      </c>
      <c r="PO1494" s="42" t="str">
        <f ca="1"/>
        <v/>
      </c>
      <c r="PP1494" s="42" t="str">
        <f ca="1"/>
        <v/>
      </c>
      <c r="PQ1494" s="42" t="str">
        <f ca="1"/>
        <v/>
      </c>
      <c r="PR1494" s="42" t="str">
        <f ca="1"/>
        <v/>
      </c>
      <c r="PS1494" s="42" t="str">
        <f ca="1"/>
        <v/>
      </c>
      <c r="PT1494" s="42" t="str">
        <f ca="1"/>
        <v/>
      </c>
      <c r="PU1494" s="42" t="str">
        <f ca="1"/>
        <v/>
      </c>
      <c r="PV1494" s="42" t="str">
        <f ca="1"/>
        <v/>
      </c>
      <c r="PW1494" s="42" t="str">
        <f ca="1"/>
        <v/>
      </c>
      <c r="PX1494" s="42" t="str">
        <f ca="1"/>
        <v/>
      </c>
      <c r="PY1494" s="42" t="str">
        <f ca="1"/>
        <v/>
      </c>
      <c r="PZ1494" s="42" t="str">
        <f ca="1"/>
        <v/>
      </c>
      <c r="QA1494" s="42" t="str">
        <f ca="1"/>
        <v/>
      </c>
      <c r="QB1494" s="42" t="str">
        <f ca="1"/>
        <v/>
      </c>
      <c r="QC1494" s="42" t="str">
        <f ca="1"/>
        <v/>
      </c>
      <c r="QD1494" s="42" t="str">
        <f ca="1"/>
        <v/>
      </c>
      <c r="QE1494" s="42" t="str">
        <f ca="1"/>
        <v/>
      </c>
      <c r="QF1494" s="42" t="str">
        <f ca="1"/>
        <v/>
      </c>
      <c r="QG1494" s="42" t="str">
        <f ca="1"/>
        <v/>
      </c>
      <c r="QH1494" s="42" t="str">
        <f ca="1"/>
        <v/>
      </c>
      <c r="QI1494" s="42" t="str">
        <f ca="1"/>
        <v/>
      </c>
      <c r="QJ1494" s="42" t="str">
        <f ca="1"/>
        <v/>
      </c>
      <c r="QK1494" s="42" t="str">
        <f ca="1"/>
        <v/>
      </c>
      <c r="QL1494" s="42" t="str">
        <f ca="1"/>
        <v/>
      </c>
      <c r="QM1494" s="42" t="str">
        <f ca="1"/>
        <v/>
      </c>
      <c r="QN1494" s="42" t="str">
        <f ca="1"/>
        <v/>
      </c>
      <c r="QO1494" s="42" t="str">
        <f ca="1"/>
        <v/>
      </c>
      <c r="QP1494" s="42" t="str">
        <f ca="1"/>
        <v/>
      </c>
      <c r="QQ1494" s="42" t="str">
        <f ca="1"/>
        <v/>
      </c>
      <c r="QR1494" s="42" t="str">
        <f ca="1"/>
        <v/>
      </c>
      <c r="QS1494" s="42" t="str">
        <f ca="1"/>
        <v/>
      </c>
      <c r="QT1494" s="42" t="str">
        <f ca="1"/>
        <v/>
      </c>
      <c r="QU1494" s="42" t="str">
        <f ca="1"/>
        <v/>
      </c>
      <c r="QV1494" s="42" t="str">
        <f ca="1"/>
        <v/>
      </c>
      <c r="QW1494" s="42" t="str">
        <f ca="1"/>
        <v/>
      </c>
      <c r="QX1494" s="42" t="str">
        <f ca="1"/>
        <v/>
      </c>
      <c r="QY1494" s="42" t="str">
        <f ca="1"/>
        <v/>
      </c>
      <c r="QZ1494" s="42" t="str">
        <f ca="1"/>
        <v/>
      </c>
      <c r="RA1494" s="42" t="str">
        <f ca="1"/>
        <v/>
      </c>
      <c r="RB1494" s="42" t="str">
        <f ca="1"/>
        <v/>
      </c>
      <c r="RC1494" s="42" t="str">
        <f ca="1"/>
        <v/>
      </c>
      <c r="RD1494" s="42" t="str">
        <f ca="1"/>
        <v/>
      </c>
      <c r="RE1494" s="42" t="str">
        <f ca="1"/>
        <v/>
      </c>
      <c r="RF1494" s="42" t="str">
        <f ca="1"/>
        <v/>
      </c>
      <c r="RG1494" s="42" t="str">
        <f ca="1"/>
        <v/>
      </c>
      <c r="RH1494" s="42" t="str">
        <f ca="1"/>
        <v/>
      </c>
      <c r="RI1494" s="42" t="str">
        <f ca="1"/>
        <v/>
      </c>
      <c r="RJ1494" s="42" t="str">
        <f ca="1"/>
        <v/>
      </c>
      <c r="RK1494" s="42" t="str">
        <f ca="1"/>
        <v/>
      </c>
      <c r="RL1494" s="42" t="str">
        <f ca="1"/>
        <v/>
      </c>
      <c r="RM1494" s="42" t="str">
        <f ca="1"/>
        <v/>
      </c>
      <c r="RN1494" s="42" t="str">
        <f ca="1"/>
        <v/>
      </c>
      <c r="RO1494" s="42" t="str">
        <f ca="1"/>
        <v/>
      </c>
      <c r="RP1494" s="42" t="str">
        <f ca="1"/>
        <v/>
      </c>
      <c r="RQ1494" s="42" t="str">
        <f ca="1"/>
        <v/>
      </c>
      <c r="RR1494" s="42" t="str">
        <f ca="1"/>
        <v/>
      </c>
      <c r="RS1494" s="42" t="str">
        <f ca="1"/>
        <v/>
      </c>
      <c r="RT1494" s="42" t="str">
        <f ca="1"/>
        <v/>
      </c>
      <c r="RU1494" s="42" t="str">
        <f ca="1"/>
        <v/>
      </c>
      <c r="RV1494" s="42" t="str">
        <f ca="1"/>
        <v/>
      </c>
      <c r="RW1494" s="42" t="str">
        <f ca="1"/>
        <v/>
      </c>
      <c r="RX1494" s="42" t="str">
        <f ca="1"/>
        <v/>
      </c>
      <c r="RY1494" s="42" t="str">
        <f ca="1"/>
        <v/>
      </c>
      <c r="RZ1494" s="42" t="str">
        <f ca="1"/>
        <v/>
      </c>
      <c r="SA1494" s="42" t="str">
        <f ca="1"/>
        <v/>
      </c>
      <c r="SB1494" s="42" t="str">
        <f ca="1"/>
        <v/>
      </c>
      <c r="SC1494" s="42" t="str">
        <f ca="1"/>
        <v/>
      </c>
      <c r="SD1494" s="42" t="str">
        <f ca="1"/>
        <v/>
      </c>
      <c r="SE1494" s="42" t="str">
        <f ca="1"/>
        <v/>
      </c>
      <c r="SF1494" s="42" t="str">
        <f ca="1"/>
        <v/>
      </c>
      <c r="SG1494" s="42" t="str">
        <f ca="1"/>
        <v/>
      </c>
      <c r="SH1494" s="42" t="str">
        <f ca="1"/>
        <v/>
      </c>
      <c r="SI1494" s="42" t="str">
        <f ca="1"/>
        <v/>
      </c>
      <c r="SJ1494" s="42" t="str">
        <f ca="1"/>
        <v/>
      </c>
      <c r="SK1494" s="42" t="str">
        <f ca="1"/>
        <v/>
      </c>
      <c r="SL1494" s="42" t="str">
        <f ca="1"/>
        <v/>
      </c>
      <c r="SM1494" s="42" t="str">
        <f ca="1"/>
        <v/>
      </c>
      <c r="SN1494" s="42" t="str">
        <f ca="1"/>
        <v/>
      </c>
      <c r="SO1494" s="42" t="str">
        <f ca="1"/>
        <v/>
      </c>
      <c r="SP1494" s="42" t="str">
        <f ca="1"/>
        <v/>
      </c>
      <c r="SQ1494" s="42" t="str">
        <f ca="1"/>
        <v/>
      </c>
      <c r="SR1494" s="42" t="str">
        <f ca="1"/>
        <v/>
      </c>
      <c r="SS1494" s="42" t="str">
        <f ca="1"/>
        <v/>
      </c>
      <c r="ST1494" s="42" t="str">
        <f ca="1"/>
        <v/>
      </c>
      <c r="SU1494" s="42" t="str">
        <f ca="1"/>
        <v/>
      </c>
      <c r="SV1494" s="42" t="str">
        <f ca="1"/>
        <v/>
      </c>
      <c r="SW1494" s="42" t="str">
        <f ca="1"/>
        <v/>
      </c>
      <c r="SX1494" s="42" t="str">
        <f ca="1"/>
        <v/>
      </c>
      <c r="SY1494" s="42" t="str">
        <f ca="1"/>
        <v/>
      </c>
      <c r="SZ1494" s="42" t="str">
        <f ca="1"/>
        <v/>
      </c>
      <c r="TA1494" s="42" t="str">
        <f ca="1"/>
        <v/>
      </c>
      <c r="TB1494" s="42" t="str">
        <f ca="1"/>
        <v/>
      </c>
      <c r="TC1494" s="42" t="str">
        <f ca="1"/>
        <v/>
      </c>
      <c r="TD1494" s="42" t="str">
        <f ca="1"/>
        <v/>
      </c>
      <c r="TE1494" s="42" t="str">
        <f ca="1"/>
        <v/>
      </c>
      <c r="TF1494" s="42" t="str">
        <f ca="1"/>
        <v/>
      </c>
      <c r="TG1494" s="42" t="str">
        <f ca="1"/>
        <v/>
      </c>
      <c r="TH1494" s="42" t="str">
        <f ca="1"/>
        <v/>
      </c>
      <c r="TI1494" s="42" t="str">
        <f ca="1"/>
        <v/>
      </c>
      <c r="TJ1494" s="42" t="str">
        <f ca="1"/>
        <v/>
      </c>
      <c r="TK1494" s="42" t="str">
        <f ca="1"/>
        <v/>
      </c>
      <c r="TL1494" s="42" t="str">
        <f ca="1"/>
        <v/>
      </c>
      <c r="TM1494" s="42" t="str">
        <f ca="1"/>
        <v/>
      </c>
      <c r="TN1494" s="42" t="str">
        <f ca="1"/>
        <v/>
      </c>
      <c r="TO1494" s="42" t="str">
        <f ca="1"/>
        <v/>
      </c>
      <c r="TP1494" s="42" t="str">
        <f ca="1"/>
        <v/>
      </c>
      <c r="TQ1494" s="42" t="str">
        <f ca="1"/>
        <v/>
      </c>
      <c r="TR1494" s="42" t="str">
        <f ca="1"/>
        <v/>
      </c>
      <c r="TS1494" s="42" t="str">
        <f ca="1"/>
        <v/>
      </c>
      <c r="TT1494" s="42" t="str">
        <f ca="1"/>
        <v/>
      </c>
      <c r="TU1494" s="42" t="str">
        <f ca="1"/>
        <v/>
      </c>
      <c r="TV1494" s="42" t="str">
        <f ca="1"/>
        <v/>
      </c>
      <c r="TW1494" s="42" t="str">
        <f ca="1"/>
        <v/>
      </c>
      <c r="TX1494" s="42" t="str">
        <f ca="1"/>
        <v/>
      </c>
      <c r="TY1494" s="42" t="str">
        <f ca="1"/>
        <v/>
      </c>
      <c r="TZ1494" s="42" t="str">
        <f ca="1"/>
        <v/>
      </c>
      <c r="UA1494" s="42" t="str">
        <f ca="1"/>
        <v/>
      </c>
      <c r="UB1494" s="42" t="str">
        <f ca="1"/>
        <v/>
      </c>
      <c r="UC1494" s="42" t="str">
        <f ca="1"/>
        <v/>
      </c>
      <c r="UD1494" s="42" t="str">
        <f ca="1"/>
        <v/>
      </c>
      <c r="UE1494" s="42" t="str">
        <f ca="1"/>
        <v/>
      </c>
      <c r="UF1494" s="42" t="str">
        <f ca="1"/>
        <v/>
      </c>
      <c r="UG1494" s="42" t="str">
        <f ca="1"/>
        <v/>
      </c>
      <c r="UH1494" s="42" t="str">
        <f ca="1"/>
        <v/>
      </c>
      <c r="UI1494" s="42" t="str">
        <f ca="1"/>
        <v/>
      </c>
      <c r="UJ1494" s="42" t="str">
        <f ca="1"/>
        <v/>
      </c>
      <c r="UK1494" s="42" t="str">
        <f ca="1"/>
        <v/>
      </c>
      <c r="UL1494" s="42" t="str">
        <f ca="1"/>
        <v/>
      </c>
      <c r="UM1494" s="42" t="str">
        <f ca="1"/>
        <v/>
      </c>
      <c r="UN1494" s="42" t="str">
        <f ca="1"/>
        <v/>
      </c>
      <c r="UO1494" s="42" t="str">
        <f ca="1"/>
        <v/>
      </c>
      <c r="UP1494" s="42" t="str">
        <f ca="1"/>
        <v/>
      </c>
      <c r="UQ1494" s="42" t="str">
        <f ca="1"/>
        <v/>
      </c>
      <c r="UR1494" s="42" t="str">
        <f ca="1"/>
        <v/>
      </c>
      <c r="US1494" s="42" t="str">
        <f ca="1"/>
        <v/>
      </c>
      <c r="UT1494" s="42" t="str">
        <f ca="1"/>
        <v/>
      </c>
      <c r="UU1494" s="42" t="str">
        <f ca="1"/>
        <v/>
      </c>
      <c r="UV1494" s="42" t="str">
        <f ca="1"/>
        <v/>
      </c>
      <c r="UW1494" s="42" t="str">
        <f ca="1"/>
        <v/>
      </c>
      <c r="UX1494" s="42" t="str">
        <f ca="1"/>
        <v/>
      </c>
      <c r="UY1494" s="42" t="str">
        <f ca="1"/>
        <v/>
      </c>
      <c r="UZ1494" s="42" t="str">
        <f ca="1"/>
        <v/>
      </c>
      <c r="VA1494" s="42" t="str">
        <f ca="1"/>
        <v/>
      </c>
      <c r="VB1494" s="42" t="str">
        <f ca="1"/>
        <v/>
      </c>
      <c r="VC1494" s="42" t="str">
        <f ca="1"/>
        <v/>
      </c>
      <c r="VD1494" s="42" t="str">
        <f ca="1"/>
        <v/>
      </c>
      <c r="VE1494" s="42" t="str">
        <f ca="1"/>
        <v/>
      </c>
      <c r="VF1494" s="42" t="str">
        <f ca="1"/>
        <v/>
      </c>
      <c r="VG1494" s="42" t="str">
        <f ca="1"/>
        <v/>
      </c>
      <c r="VH1494" s="42" t="str">
        <f ca="1"/>
        <v/>
      </c>
      <c r="VI1494" s="42" t="str">
        <f ca="1"/>
        <v/>
      </c>
      <c r="VJ1494" s="42" t="str">
        <f ca="1"/>
        <v/>
      </c>
      <c r="VK1494" s="42" t="str">
        <f ca="1"/>
        <v/>
      </c>
      <c r="VL1494" s="42" t="str">
        <f ca="1"/>
        <v/>
      </c>
      <c r="VM1494" s="42" t="str">
        <f ca="1"/>
        <v/>
      </c>
      <c r="VN1494" s="42" t="str">
        <f ca="1"/>
        <v/>
      </c>
      <c r="VO1494" s="42" t="str">
        <f ca="1"/>
        <v/>
      </c>
      <c r="VP1494" s="42" t="str">
        <f ca="1"/>
        <v/>
      </c>
      <c r="VQ1494" s="42" t="str">
        <f ca="1"/>
        <v/>
      </c>
      <c r="VR1494" s="42" t="str">
        <f ca="1"/>
        <v/>
      </c>
      <c r="VS1494" s="42" t="str">
        <f ca="1"/>
        <v/>
      </c>
      <c r="VT1494" s="42" t="str">
        <f ca="1"/>
        <v/>
      </c>
      <c r="VU1494" s="42" t="str">
        <f ca="1"/>
        <v/>
      </c>
      <c r="VV1494" s="42" t="str">
        <f ca="1"/>
        <v/>
      </c>
      <c r="VW1494" s="42" t="str">
        <f ca="1"/>
        <v/>
      </c>
      <c r="VX1494" s="42" t="str">
        <f ca="1"/>
        <v/>
      </c>
      <c r="VY1494" s="42" t="str">
        <f ca="1"/>
        <v/>
      </c>
      <c r="VZ1494" s="42" t="str">
        <f ca="1"/>
        <v/>
      </c>
      <c r="WA1494" s="42" t="str">
        <f ca="1"/>
        <v/>
      </c>
      <c r="WB1494" s="42" t="str">
        <f ca="1"/>
        <v/>
      </c>
      <c r="WC1494" s="42" t="str">
        <f ca="1"/>
        <v/>
      </c>
      <c r="WD1494" s="42" t="str">
        <f ca="1"/>
        <v/>
      </c>
      <c r="WE1494" s="42" t="str">
        <f ca="1"/>
        <v/>
      </c>
      <c r="WF1494" s="42" t="str">
        <f ca="1"/>
        <v/>
      </c>
      <c r="WG1494" s="42" t="str">
        <f ca="1"/>
        <v/>
      </c>
      <c r="WH1494" s="42" t="str">
        <f ca="1"/>
        <v/>
      </c>
      <c r="WI1494" s="42" t="str">
        <f ca="1"/>
        <v/>
      </c>
      <c r="WJ1494" s="42" t="str">
        <f ca="1"/>
        <v/>
      </c>
      <c r="WK1494" s="42" t="str">
        <f ca="1"/>
        <v/>
      </c>
      <c r="WL1494" s="42" t="str">
        <f ca="1"/>
        <v/>
      </c>
      <c r="WM1494" s="42" t="str">
        <f ca="1"/>
        <v/>
      </c>
      <c r="WN1494" s="42" t="str">
        <f ca="1"/>
        <v/>
      </c>
      <c r="WO1494" s="42" t="str">
        <f ca="1"/>
        <v/>
      </c>
      <c r="WP1494" s="42" t="str">
        <f ca="1"/>
        <v/>
      </c>
      <c r="WQ1494" s="42" t="str">
        <f ca="1"/>
        <v/>
      </c>
      <c r="WR1494" s="42" t="str">
        <f ca="1"/>
        <v/>
      </c>
      <c r="WS1494" s="42" t="str">
        <f ca="1"/>
        <v/>
      </c>
      <c r="WT1494" s="42" t="str">
        <f ca="1"/>
        <v/>
      </c>
      <c r="WU1494" s="42" t="str">
        <f ca="1"/>
        <v/>
      </c>
      <c r="WV1494" s="42" t="str">
        <f ca="1"/>
        <v/>
      </c>
      <c r="WW1494" s="42" t="str">
        <f ca="1"/>
        <v/>
      </c>
      <c r="WX1494" s="42" t="str">
        <f ca="1"/>
        <v/>
      </c>
      <c r="WY1494" s="42" t="str">
        <f ca="1"/>
        <v/>
      </c>
      <c r="WZ1494" s="42" t="str">
        <f ca="1"/>
        <v/>
      </c>
      <c r="XA1494" s="42" t="str">
        <f ca="1"/>
        <v/>
      </c>
      <c r="XB1494" s="42" t="str">
        <f ca="1"/>
        <v/>
      </c>
      <c r="XC1494" s="42" t="str">
        <f ca="1"/>
        <v/>
      </c>
      <c r="XD1494" s="42" t="str">
        <f ca="1"/>
        <v/>
      </c>
      <c r="XE1494" s="42" t="str">
        <f ca="1"/>
        <v/>
      </c>
      <c r="XF1494" s="42" t="str">
        <f ca="1"/>
        <v/>
      </c>
      <c r="XG1494" s="42" t="str">
        <f ca="1"/>
        <v/>
      </c>
      <c r="XH1494" s="42" t="str">
        <f ca="1"/>
        <v/>
      </c>
      <c r="XI1494" s="42" t="str">
        <f ca="1"/>
        <v/>
      </c>
      <c r="XJ1494" s="42" t="str">
        <f ca="1"/>
        <v/>
      </c>
      <c r="XK1494" s="42" t="str">
        <f ca="1"/>
        <v/>
      </c>
      <c r="XL1494" s="42" t="str">
        <f ca="1"/>
        <v/>
      </c>
      <c r="XM1494" s="42" t="str">
        <f ca="1"/>
        <v/>
      </c>
      <c r="XN1494" s="42" t="str">
        <f ca="1"/>
        <v/>
      </c>
      <c r="XO1494" s="42" t="str">
        <f ca="1"/>
        <v/>
      </c>
      <c r="XP1494" s="42" t="str">
        <f ca="1"/>
        <v/>
      </c>
      <c r="XQ1494" s="42" t="str">
        <f ca="1"/>
        <v/>
      </c>
      <c r="XR1494" s="42" t="str">
        <f ca="1"/>
        <v/>
      </c>
      <c r="XS1494" s="42" t="str">
        <f ca="1"/>
        <v/>
      </c>
      <c r="XT1494" s="42" t="str">
        <f ca="1"/>
        <v/>
      </c>
      <c r="XU1494" s="42" t="str">
        <f ca="1"/>
        <v/>
      </c>
      <c r="XV1494" s="42" t="str">
        <f ca="1"/>
        <v/>
      </c>
      <c r="XW1494" s="42" t="str">
        <f ca="1"/>
        <v/>
      </c>
      <c r="XX1494" s="42" t="str">
        <f ca="1"/>
        <v/>
      </c>
      <c r="XY1494" s="42" t="str">
        <f ca="1"/>
        <v/>
      </c>
      <c r="XZ1494" s="42" t="str">
        <f ca="1"/>
        <v/>
      </c>
      <c r="YA1494" s="42" t="str">
        <f ca="1"/>
        <v/>
      </c>
      <c r="YB1494" s="42" t="str">
        <f ca="1"/>
        <v/>
      </c>
      <c r="YC1494" s="42" t="str">
        <f ca="1"/>
        <v/>
      </c>
      <c r="YD1494" s="42" t="str">
        <f ca="1"/>
        <v/>
      </c>
      <c r="YE1494" s="42" t="str">
        <f ca="1"/>
        <v/>
      </c>
      <c r="YF1494" s="42" t="str">
        <f ca="1"/>
        <v/>
      </c>
      <c r="YG1494" s="42" t="str">
        <f ca="1"/>
        <v/>
      </c>
      <c r="YH1494" s="42" t="str">
        <f ca="1"/>
        <v/>
      </c>
      <c r="YI1494" s="42" t="str">
        <f ca="1"/>
        <v/>
      </c>
      <c r="YJ1494" s="42" t="str">
        <f ca="1"/>
        <v/>
      </c>
      <c r="YK1494" s="42" t="str">
        <f ca="1"/>
        <v/>
      </c>
      <c r="YL1494" s="42" t="str">
        <f ca="1"/>
        <v/>
      </c>
      <c r="YM1494" s="42" t="str">
        <f ca="1"/>
        <v/>
      </c>
      <c r="YN1494" s="42" t="str">
        <f ca="1"/>
        <v/>
      </c>
      <c r="YO1494" s="42" t="str">
        <f ca="1"/>
        <v/>
      </c>
      <c r="YP1494" s="42" t="str">
        <f ca="1"/>
        <v/>
      </c>
      <c r="YQ1494" s="42" t="str">
        <f ca="1"/>
        <v/>
      </c>
      <c r="YR1494" s="42" t="str">
        <f ca="1"/>
        <v/>
      </c>
      <c r="YS1494" s="42" t="str">
        <f ca="1"/>
        <v/>
      </c>
      <c r="YT1494" s="42" t="str">
        <f ca="1"/>
        <v/>
      </c>
      <c r="YU1494" s="42" t="str">
        <f ca="1"/>
        <v/>
      </c>
      <c r="YV1494" s="42" t="str">
        <f ca="1"/>
        <v/>
      </c>
      <c r="YW1494" s="42" t="str">
        <f ca="1"/>
        <v/>
      </c>
      <c r="YX1494" s="42" t="str">
        <f ca="1"/>
        <v/>
      </c>
      <c r="YY1494" s="42" t="str">
        <f ca="1"/>
        <v/>
      </c>
      <c r="YZ1494" s="42" t="str">
        <f ca="1"/>
        <v/>
      </c>
      <c r="ZA1494" s="42" t="str">
        <f ca="1"/>
        <v/>
      </c>
      <c r="ZB1494" s="42" t="str">
        <f ca="1"/>
        <v/>
      </c>
      <c r="ZC1494" s="42" t="str">
        <f ca="1"/>
        <v/>
      </c>
      <c r="ZD1494" s="42" t="str">
        <f ca="1"/>
        <v/>
      </c>
      <c r="ZE1494" s="42" t="str">
        <f ca="1"/>
        <v/>
      </c>
      <c r="ZF1494" s="42" t="str">
        <f ca="1"/>
        <v/>
      </c>
      <c r="ZG1494" s="42" t="str">
        <f ca="1"/>
        <v/>
      </c>
      <c r="ZH1494" s="42" t="str">
        <f ca="1"/>
        <v/>
      </c>
      <c r="ZI1494" s="42" t="str">
        <f ca="1"/>
        <v/>
      </c>
      <c r="ZJ1494" s="42" t="str">
        <f ca="1"/>
        <v/>
      </c>
      <c r="ZK1494" s="42" t="str">
        <f ca="1"/>
        <v/>
      </c>
      <c r="ZL1494" s="42" t="str">
        <f ca="1"/>
        <v/>
      </c>
      <c r="ZM1494" s="42" t="str">
        <f ca="1"/>
        <v/>
      </c>
      <c r="ZN1494" s="42" t="str">
        <f ca="1"/>
        <v/>
      </c>
      <c r="ZO1494" s="42" t="str">
        <f ca="1"/>
        <v/>
      </c>
      <c r="ZP1494" s="42" t="str">
        <f ca="1"/>
        <v/>
      </c>
      <c r="ZQ1494" s="42" t="str">
        <f ca="1"/>
        <v/>
      </c>
      <c r="ZR1494" s="42" t="str">
        <f ca="1"/>
        <v/>
      </c>
      <c r="ZS1494" s="42" t="str">
        <f ca="1"/>
        <v/>
      </c>
      <c r="ZT1494" s="42" t="str">
        <f ca="1"/>
        <v/>
      </c>
      <c r="ZU1494" s="42" t="str">
        <f ca="1"/>
        <v/>
      </c>
      <c r="ZV1494" s="42" t="str">
        <f ca="1"/>
        <v/>
      </c>
      <c r="ZW1494" s="42" t="str">
        <f ca="1"/>
        <v/>
      </c>
      <c r="ZX1494" s="42" t="str">
        <f ca="1"/>
        <v/>
      </c>
      <c r="ZY1494" s="42" t="str">
        <f ca="1"/>
        <v/>
      </c>
      <c r="ZZ1494" s="42" t="str">
        <f ca="1"/>
        <v/>
      </c>
      <c r="AAA1494" s="42" t="str">
        <f ca="1"/>
        <v/>
      </c>
      <c r="AAB1494" s="42" t="str">
        <f ca="1"/>
        <v/>
      </c>
      <c r="AAC1494" s="42" t="str">
        <f ca="1"/>
        <v/>
      </c>
      <c r="AAD1494" s="42" t="str">
        <f ca="1"/>
        <v/>
      </c>
      <c r="AAE1494" s="42" t="str">
        <f ca="1"/>
        <v/>
      </c>
      <c r="AAF1494" s="42" t="str">
        <f ca="1"/>
        <v/>
      </c>
      <c r="AAG1494" s="42" t="str">
        <f ca="1"/>
        <v/>
      </c>
      <c r="AAH1494" s="42" t="str">
        <f ca="1"/>
        <v/>
      </c>
      <c r="AAI1494" s="42" t="str">
        <f ca="1"/>
        <v/>
      </c>
      <c r="AAJ1494" s="42" t="str">
        <f ca="1"/>
        <v/>
      </c>
      <c r="AAK1494" s="42" t="str">
        <f ca="1"/>
        <v/>
      </c>
      <c r="AAL1494" s="42" t="str">
        <f ca="1"/>
        <v/>
      </c>
      <c r="AAM1494" s="42" t="str">
        <f ca="1"/>
        <v/>
      </c>
      <c r="AAN1494" s="42" t="str">
        <f ca="1"/>
        <v/>
      </c>
      <c r="AAO1494" s="42" t="str">
        <f ca="1"/>
        <v/>
      </c>
      <c r="AAP1494" s="42" t="str">
        <f ca="1"/>
        <v/>
      </c>
      <c r="AAQ1494" s="42" t="str">
        <f ca="1"/>
        <v/>
      </c>
      <c r="AAR1494" s="42" t="str">
        <f ca="1"/>
        <v/>
      </c>
      <c r="AAS1494" s="42" t="str">
        <f ca="1"/>
        <v/>
      </c>
      <c r="AAT1494" s="42" t="str">
        <f ca="1"/>
        <v/>
      </c>
      <c r="AAU1494" s="42" t="str">
        <f ca="1"/>
        <v/>
      </c>
      <c r="AAV1494" s="42" t="str">
        <f ca="1"/>
        <v/>
      </c>
      <c r="AAW1494" s="42" t="str">
        <f ca="1"/>
        <v/>
      </c>
      <c r="AAX1494" s="42" t="str">
        <f ca="1"/>
        <v/>
      </c>
      <c r="AAY1494" s="42" t="str">
        <f ca="1"/>
        <v/>
      </c>
      <c r="AAZ1494" s="42" t="str">
        <f ca="1"/>
        <v/>
      </c>
      <c r="ABA1494" s="42" t="str">
        <f ca="1"/>
        <v/>
      </c>
      <c r="ABB1494" s="42" t="str">
        <f ca="1"/>
        <v/>
      </c>
      <c r="ABC1494" s="42" t="str">
        <f ca="1"/>
        <v/>
      </c>
      <c r="ABD1494" s="42" t="str">
        <f ca="1"/>
        <v/>
      </c>
      <c r="ABE1494" s="42" t="str">
        <f ca="1"/>
        <v/>
      </c>
      <c r="ABF1494" s="42" t="str">
        <f ca="1"/>
        <v/>
      </c>
      <c r="ABG1494" s="42" t="str">
        <f ca="1"/>
        <v/>
      </c>
      <c r="ABH1494" s="42" t="str">
        <f ca="1"/>
        <v/>
      </c>
      <c r="ABI1494" s="42" t="str">
        <f ca="1"/>
        <v/>
      </c>
      <c r="ABJ1494" s="42" t="str">
        <f ca="1"/>
        <v/>
      </c>
      <c r="ABK1494" s="42" t="str">
        <f ca="1"/>
        <v/>
      </c>
      <c r="ABL1494" s="42" t="str">
        <f ca="1"/>
        <v/>
      </c>
      <c r="ABM1494" s="42" t="str">
        <f ca="1"/>
        <v/>
      </c>
      <c r="ABN1494" s="42" t="str">
        <f ca="1"/>
        <v/>
      </c>
      <c r="ABO1494" s="42" t="str">
        <f ca="1"/>
        <v/>
      </c>
      <c r="ABP1494" s="42" t="str">
        <f ca="1"/>
        <v/>
      </c>
      <c r="ABQ1494" s="42" t="str">
        <f ca="1"/>
        <v/>
      </c>
      <c r="ABR1494" s="42" t="str">
        <f ca="1"/>
        <v/>
      </c>
      <c r="ABS1494" s="42" t="str">
        <f ca="1"/>
        <v/>
      </c>
      <c r="ABT1494" s="42" t="str">
        <f ca="1"/>
        <v/>
      </c>
      <c r="ABU1494" s="42" t="str">
        <f ca="1"/>
        <v/>
      </c>
      <c r="ABV1494" s="42" t="str">
        <f ca="1"/>
        <v/>
      </c>
      <c r="ABW1494" s="42" t="str">
        <f ca="1"/>
        <v/>
      </c>
      <c r="ABX1494" s="42" t="str">
        <f ca="1"/>
        <v/>
      </c>
      <c r="ABY1494" s="42" t="str">
        <f ca="1"/>
        <v/>
      </c>
      <c r="ABZ1494" s="42" t="str">
        <f ca="1"/>
        <v/>
      </c>
      <c r="ACA1494" s="42" t="str">
        <f ca="1"/>
        <v/>
      </c>
      <c r="ACB1494" s="42" t="str">
        <f ca="1"/>
        <v/>
      </c>
      <c r="ACC1494" s="42" t="str">
        <f ca="1"/>
        <v/>
      </c>
      <c r="ACD1494" s="42" t="str">
        <f ca="1"/>
        <v/>
      </c>
      <c r="ACE1494" s="42" t="str">
        <f ca="1"/>
        <v/>
      </c>
      <c r="ACF1494" s="42" t="str">
        <f ca="1"/>
        <v/>
      </c>
      <c r="ACG1494" s="42" t="str">
        <f ca="1"/>
        <v/>
      </c>
      <c r="ACH1494" s="42" t="str">
        <f ca="1"/>
        <v/>
      </c>
      <c r="ACI1494" s="42" t="str">
        <f ca="1"/>
        <v/>
      </c>
      <c r="ACJ1494" s="42" t="str">
        <f ca="1"/>
        <v/>
      </c>
      <c r="ACK1494" s="42" t="str">
        <f ca="1"/>
        <v/>
      </c>
      <c r="ACL1494" s="42" t="str">
        <f ca="1"/>
        <v/>
      </c>
      <c r="ACM1494" s="42" t="str">
        <f ca="1"/>
        <v/>
      </c>
      <c r="ACN1494" s="42" t="str">
        <f ca="1"/>
        <v/>
      </c>
      <c r="ACO1494" s="42" t="str">
        <f ca="1"/>
        <v/>
      </c>
      <c r="ACP1494" s="42" t="str">
        <f ca="1"/>
        <v/>
      </c>
      <c r="ACQ1494" s="42" t="str">
        <f ca="1"/>
        <v/>
      </c>
      <c r="ACR1494" s="42" t="str">
        <f ca="1"/>
        <v/>
      </c>
      <c r="ACS1494" s="42" t="str">
        <f ca="1"/>
        <v/>
      </c>
      <c r="ACT1494" s="42" t="str">
        <f ca="1"/>
        <v/>
      </c>
      <c r="ACU1494" s="42" t="str">
        <f ca="1"/>
        <v/>
      </c>
      <c r="ACV1494" s="42" t="str">
        <f ca="1"/>
        <v/>
      </c>
      <c r="ACW1494" s="42" t="str">
        <f ca="1"/>
        <v/>
      </c>
      <c r="ACX1494" s="42" t="str">
        <f ca="1"/>
        <v/>
      </c>
      <c r="ACY1494" s="42" t="str">
        <f ca="1"/>
        <v/>
      </c>
      <c r="ACZ1494" s="42" t="str">
        <f ca="1"/>
        <v/>
      </c>
      <c r="ADA1494" s="42" t="str">
        <f ca="1"/>
        <v/>
      </c>
      <c r="ADB1494" s="42" t="str">
        <f ca="1"/>
        <v/>
      </c>
      <c r="ADC1494" s="42" t="str">
        <f ca="1"/>
        <v/>
      </c>
      <c r="ADD1494" s="42" t="str">
        <f ca="1"/>
        <v/>
      </c>
      <c r="ADE1494" s="42" t="str">
        <f ca="1"/>
        <v/>
      </c>
      <c r="ADF1494" s="42" t="str">
        <f ca="1"/>
        <v/>
      </c>
      <c r="ADG1494" s="42" t="str">
        <f ca="1"/>
        <v/>
      </c>
      <c r="ADH1494" s="42" t="str">
        <f ca="1"/>
        <v/>
      </c>
      <c r="ADI1494" s="42" t="str">
        <f ca="1"/>
        <v/>
      </c>
      <c r="ADJ1494" s="42" t="str">
        <f ca="1"/>
        <v/>
      </c>
      <c r="ADK1494" s="42" t="str">
        <f ca="1"/>
        <v/>
      </c>
      <c r="ADL1494" s="42" t="str">
        <f ca="1"/>
        <v/>
      </c>
      <c r="ADM1494" s="42" t="str">
        <f ca="1"/>
        <v/>
      </c>
      <c r="ADN1494" s="42" t="str">
        <f ca="1"/>
        <v/>
      </c>
      <c r="ADO1494" s="42" t="str">
        <f ca="1"/>
        <v/>
      </c>
      <c r="ADP1494" s="42" t="str">
        <f ca="1"/>
        <v/>
      </c>
      <c r="ADQ1494" s="42" t="str">
        <f ca="1"/>
        <v/>
      </c>
      <c r="ADR1494" s="42" t="str">
        <f ca="1"/>
        <v/>
      </c>
      <c r="ADS1494" s="42" t="str">
        <f ca="1"/>
        <v/>
      </c>
      <c r="ADT1494" s="42" t="str">
        <f ca="1"/>
        <v/>
      </c>
      <c r="ADU1494" s="42" t="str">
        <f ca="1"/>
        <v/>
      </c>
      <c r="ADV1494" s="42" t="str">
        <f ca="1"/>
        <v/>
      </c>
      <c r="ADW1494" s="42" t="str">
        <f ca="1"/>
        <v/>
      </c>
      <c r="ADX1494" s="42" t="str">
        <f ca="1"/>
        <v/>
      </c>
      <c r="ADY1494" s="42" t="str">
        <f ca="1"/>
        <v/>
      </c>
      <c r="ADZ1494" s="42" t="str">
        <f ca="1"/>
        <v/>
      </c>
      <c r="AEA1494" s="42" t="str">
        <f ca="1"/>
        <v/>
      </c>
      <c r="AEB1494" s="42" t="str">
        <f ca="1"/>
        <v/>
      </c>
      <c r="AEC1494" s="42" t="str">
        <f ca="1"/>
        <v/>
      </c>
      <c r="AED1494" s="42" t="str">
        <f ca="1"/>
        <v/>
      </c>
      <c r="AEE1494" s="42" t="str">
        <f ca="1"/>
        <v/>
      </c>
      <c r="AEF1494" s="42" t="str">
        <f ca="1"/>
        <v/>
      </c>
      <c r="AEG1494" s="42" t="str">
        <f ca="1"/>
        <v/>
      </c>
      <c r="AEH1494" s="42" t="str">
        <f ca="1"/>
        <v/>
      </c>
      <c r="AEI1494" s="42" t="str">
        <f ca="1"/>
        <v/>
      </c>
      <c r="AEJ1494" s="42" t="str">
        <f ca="1"/>
        <v/>
      </c>
      <c r="AEK1494" s="42" t="str">
        <f ca="1"/>
        <v/>
      </c>
      <c r="AEL1494" s="42" t="str">
        <f ca="1"/>
        <v/>
      </c>
      <c r="AEM1494" s="42" t="str">
        <f ca="1"/>
        <v/>
      </c>
      <c r="AEN1494" s="42" t="str">
        <f ca="1"/>
        <v/>
      </c>
      <c r="AEO1494" s="42" t="str">
        <f ca="1"/>
        <v/>
      </c>
      <c r="AEP1494" s="42" t="str">
        <f ca="1"/>
        <v/>
      </c>
      <c r="AEQ1494" s="42" t="str">
        <f ca="1"/>
        <v/>
      </c>
      <c r="AER1494" s="42" t="str">
        <f ca="1"/>
        <v/>
      </c>
      <c r="AES1494" s="42" t="str">
        <f ca="1"/>
        <v/>
      </c>
      <c r="AET1494" s="42" t="str">
        <f ca="1"/>
        <v/>
      </c>
      <c r="AEU1494" s="42" t="str">
        <f ca="1"/>
        <v/>
      </c>
      <c r="AEV1494" s="42" t="str">
        <f ca="1"/>
        <v/>
      </c>
      <c r="AEW1494" s="42" t="str">
        <f ca="1"/>
        <v/>
      </c>
      <c r="AEX1494" s="42" t="str">
        <f ca="1"/>
        <v/>
      </c>
      <c r="AEY1494" s="42" t="str">
        <f ca="1"/>
        <v/>
      </c>
      <c r="AEZ1494" s="42" t="str">
        <f ca="1"/>
        <v/>
      </c>
      <c r="AFA1494" s="42" t="str">
        <f ca="1"/>
        <v/>
      </c>
      <c r="AFB1494" s="42" t="str">
        <f ca="1"/>
        <v/>
      </c>
      <c r="AFC1494" s="42" t="str">
        <f ca="1"/>
        <v/>
      </c>
      <c r="AFD1494" s="42" t="str">
        <f ca="1"/>
        <v/>
      </c>
      <c r="AFE1494" s="42" t="str">
        <f ca="1"/>
        <v/>
      </c>
      <c r="AFF1494" s="42" t="str">
        <f ca="1"/>
        <v/>
      </c>
      <c r="AFG1494" s="42" t="str">
        <f ca="1"/>
        <v/>
      </c>
      <c r="AFH1494" s="42" t="str">
        <f ca="1"/>
        <v/>
      </c>
      <c r="AFI1494" s="42" t="str">
        <f ca="1"/>
        <v/>
      </c>
      <c r="AFJ1494" s="42" t="str">
        <f ca="1"/>
        <v/>
      </c>
      <c r="AFK1494" s="42" t="str">
        <f ca="1"/>
        <v/>
      </c>
      <c r="AFL1494" s="42" t="str">
        <f ca="1"/>
        <v/>
      </c>
      <c r="AFM1494" s="42" t="str">
        <f ca="1"/>
        <v/>
      </c>
      <c r="AFN1494" s="42" t="str">
        <f ca="1"/>
        <v/>
      </c>
      <c r="AFO1494" s="42" t="str">
        <f ca="1"/>
        <v/>
      </c>
      <c r="AFP1494" s="42" t="str">
        <f ca="1"/>
        <v/>
      </c>
      <c r="AFQ1494" s="42" t="str">
        <f ca="1"/>
        <v/>
      </c>
      <c r="AFR1494" s="42" t="str">
        <f ca="1"/>
        <v/>
      </c>
      <c r="AFS1494" s="42" t="str">
        <f ca="1"/>
        <v/>
      </c>
      <c r="AFT1494" s="42" t="str">
        <f ca="1"/>
        <v/>
      </c>
      <c r="AFU1494" s="42" t="str">
        <f ca="1"/>
        <v/>
      </c>
      <c r="AFV1494" s="42" t="str">
        <f ca="1"/>
        <v/>
      </c>
      <c r="AFW1494" s="42" t="str">
        <f ca="1"/>
        <v/>
      </c>
      <c r="AFX1494" s="42" t="str">
        <f ca="1"/>
        <v/>
      </c>
      <c r="AFY1494" s="42" t="str">
        <f ca="1"/>
        <v/>
      </c>
      <c r="AFZ1494" s="42" t="str">
        <f ca="1"/>
        <v/>
      </c>
      <c r="AGA1494" s="42" t="str">
        <f ca="1"/>
        <v/>
      </c>
      <c r="AGB1494" s="42" t="str">
        <f ca="1"/>
        <v/>
      </c>
      <c r="AGC1494" s="42" t="str">
        <f ca="1"/>
        <v/>
      </c>
      <c r="AGD1494" s="42" t="str">
        <f ca="1"/>
        <v/>
      </c>
      <c r="AGE1494" s="42" t="str">
        <f ca="1"/>
        <v/>
      </c>
      <c r="AGF1494" s="42" t="str">
        <f ca="1"/>
        <v/>
      </c>
      <c r="AGG1494" s="42" t="str">
        <f ca="1"/>
        <v/>
      </c>
      <c r="AGH1494" s="42" t="str">
        <f ca="1"/>
        <v/>
      </c>
      <c r="AGI1494" s="42" t="str">
        <f ca="1"/>
        <v/>
      </c>
      <c r="AGJ1494" s="42" t="str">
        <f ca="1"/>
        <v/>
      </c>
      <c r="AGK1494" s="42" t="str">
        <f ca="1"/>
        <v/>
      </c>
      <c r="AGL1494" s="42" t="str">
        <f ca="1"/>
        <v/>
      </c>
      <c r="AGM1494" s="42" t="str">
        <f ca="1"/>
        <v/>
      </c>
      <c r="AGN1494" s="42" t="str">
        <f ca="1"/>
        <v/>
      </c>
    </row>
    <row r="1495" spans="15:872" x14ac:dyDescent="0.25">
      <c r="O1495" s="42">
        <v>5</v>
      </c>
      <c r="P1495" s="42" t="str">
        <f ca="1"/>
        <v/>
      </c>
      <c r="Q1495" s="42" t="str">
        <f ca="1"/>
        <v/>
      </c>
      <c r="R1495" s="42" t="str">
        <f ca="1"/>
        <v/>
      </c>
      <c r="S1495" s="42" t="str">
        <f ca="1"/>
        <v/>
      </c>
      <c r="T1495" s="42" t="str">
        <f ca="1"/>
        <v/>
      </c>
      <c r="U1495" s="42" t="str">
        <f ca="1"/>
        <v/>
      </c>
      <c r="V1495" s="42" t="str">
        <f ca="1"/>
        <v/>
      </c>
      <c r="W1495" s="42" t="str">
        <f ca="1"/>
        <v/>
      </c>
      <c r="X1495" s="42" t="str">
        <f ca="1"/>
        <v/>
      </c>
      <c r="Y1495" s="42" t="str">
        <f ca="1"/>
        <v/>
      </c>
      <c r="Z1495" s="42" t="str">
        <f ca="1"/>
        <v/>
      </c>
      <c r="AA1495" s="42" t="str">
        <f ca="1"/>
        <v/>
      </c>
      <c r="AB1495" s="42">
        <f ca="1"/>
        <v>1200</v>
      </c>
      <c r="AC1495" s="42">
        <f ca="1"/>
        <v>823</v>
      </c>
      <c r="AD1495" s="42" t="str">
        <f ca="1"/>
        <v/>
      </c>
      <c r="AE1495" s="42" t="str">
        <f ca="1"/>
        <v/>
      </c>
      <c r="AF1495" s="42" t="str">
        <f ca="1"/>
        <v/>
      </c>
      <c r="AG1495" s="42" t="str">
        <f ca="1"/>
        <v/>
      </c>
      <c r="AH1495" s="42" t="str">
        <f ca="1"/>
        <v/>
      </c>
      <c r="AI1495" s="42" t="str">
        <f ca="1"/>
        <v/>
      </c>
      <c r="AJ1495" s="42">
        <f ca="1"/>
        <v>2620</v>
      </c>
      <c r="AK1495" s="42">
        <f ca="1"/>
        <v>827</v>
      </c>
      <c r="AL1495" s="42">
        <f ca="1"/>
        <v>823</v>
      </c>
      <c r="AM1495" s="42">
        <f ca="1"/>
        <v>823</v>
      </c>
      <c r="AN1495" s="42">
        <f ca="1"/>
        <v>823</v>
      </c>
      <c r="AO1495" s="42" t="str">
        <f ca="1"/>
        <v/>
      </c>
      <c r="AP1495" s="42" t="str">
        <f ca="1"/>
        <v/>
      </c>
      <c r="AQ1495" s="42" t="str">
        <f ca="1"/>
        <v/>
      </c>
      <c r="AR1495" s="42" t="str">
        <f ca="1"/>
        <v/>
      </c>
      <c r="AS1495" s="42" t="str">
        <f ca="1"/>
        <v/>
      </c>
      <c r="AT1495" s="42" t="str">
        <f ca="1"/>
        <v/>
      </c>
      <c r="AU1495" s="42">
        <f ca="1"/>
        <v>1187</v>
      </c>
      <c r="AV1495" s="42" t="str">
        <f ca="1"/>
        <v/>
      </c>
      <c r="AW1495" s="42" t="str">
        <f ca="1"/>
        <v/>
      </c>
      <c r="AX1495" s="42" t="str">
        <f ca="1"/>
        <v/>
      </c>
      <c r="AY1495" s="42">
        <f ca="1"/>
        <v>1530</v>
      </c>
      <c r="AZ1495" s="42" t="str">
        <f ca="1"/>
        <v/>
      </c>
      <c r="BA1495" s="42">
        <f ca="1"/>
        <v>716</v>
      </c>
      <c r="BB1495" s="42" t="str">
        <f ca="1"/>
        <v/>
      </c>
      <c r="BC1495" s="42" t="str">
        <f ca="1"/>
        <v/>
      </c>
      <c r="BD1495" s="42" t="str">
        <f ca="1"/>
        <v/>
      </c>
      <c r="BE1495" s="42" t="str">
        <f ca="1"/>
        <v/>
      </c>
      <c r="BF1495" s="42" t="str">
        <f ca="1"/>
        <v/>
      </c>
      <c r="BG1495" s="42">
        <f ca="1"/>
        <v>1350</v>
      </c>
      <c r="BH1495" s="42" t="str">
        <f ca="1"/>
        <v/>
      </c>
      <c r="BI1495" s="42" t="str">
        <f ca="1"/>
        <v/>
      </c>
      <c r="BJ1495" s="42" t="str">
        <f ca="1"/>
        <v/>
      </c>
      <c r="BK1495" s="42" t="str">
        <f ca="1"/>
        <v/>
      </c>
      <c r="BL1495" s="42" t="str">
        <f ca="1"/>
        <v/>
      </c>
      <c r="BM1495" s="42" t="str">
        <f ca="1"/>
        <v/>
      </c>
      <c r="BN1495" s="42" t="str">
        <f ca="1"/>
        <v/>
      </c>
      <c r="BO1495" s="42" t="str">
        <f ca="1"/>
        <v/>
      </c>
      <c r="BP1495" s="42">
        <f ca="1"/>
        <v>1100</v>
      </c>
      <c r="BQ1495" s="42" t="str">
        <f ca="1"/>
        <v/>
      </c>
      <c r="BR1495" s="42" t="str">
        <f ca="1"/>
        <v/>
      </c>
      <c r="BS1495" s="42" t="str">
        <f ca="1"/>
        <v/>
      </c>
      <c r="BT1495" s="42">
        <f ca="1"/>
        <v>500</v>
      </c>
      <c r="BU1495" s="42" t="str">
        <f ca="1"/>
        <v/>
      </c>
      <c r="BV1495" s="42" t="str">
        <f ca="1"/>
        <v/>
      </c>
      <c r="BW1495" s="42" t="str">
        <f ca="1"/>
        <v/>
      </c>
      <c r="BX1495" s="42" t="str">
        <f ca="1"/>
        <v/>
      </c>
      <c r="BY1495" s="42" t="str">
        <f ca="1"/>
        <v/>
      </c>
      <c r="BZ1495" s="42" t="str">
        <f ca="1"/>
        <v/>
      </c>
      <c r="CA1495" s="42" t="str">
        <f ca="1"/>
        <v/>
      </c>
      <c r="CB1495" s="42">
        <f ca="1"/>
        <v>1450</v>
      </c>
      <c r="CC1495" s="42" t="str">
        <f ca="1"/>
        <v/>
      </c>
      <c r="CD1495" s="42" t="str">
        <f ca="1"/>
        <v/>
      </c>
      <c r="CE1495" s="42" t="str">
        <f ca="1"/>
        <v/>
      </c>
      <c r="CF1495" s="42" t="str">
        <f ca="1"/>
        <v/>
      </c>
      <c r="CG1495" s="42" t="str">
        <f ca="1"/>
        <v/>
      </c>
      <c r="CH1495" s="42" t="str">
        <f ca="1"/>
        <v/>
      </c>
      <c r="CI1495" s="42" t="str">
        <f ca="1"/>
        <v/>
      </c>
      <c r="CJ1495" s="42" t="str">
        <f ca="1"/>
        <v/>
      </c>
      <c r="CK1495" s="42" t="str">
        <f ca="1"/>
        <v/>
      </c>
      <c r="CL1495" s="42" t="str">
        <f ca="1"/>
        <v/>
      </c>
      <c r="CM1495" s="42" t="str">
        <f ca="1"/>
        <v/>
      </c>
      <c r="CN1495" s="42" t="str">
        <f ca="1"/>
        <v/>
      </c>
      <c r="CO1495" s="42" t="str">
        <f ca="1"/>
        <v/>
      </c>
      <c r="CP1495" s="42" t="str">
        <f ca="1"/>
        <v/>
      </c>
      <c r="CQ1495" s="42" t="str">
        <f ca="1"/>
        <v/>
      </c>
      <c r="CR1495" s="42" t="str">
        <f ca="1"/>
        <v/>
      </c>
      <c r="CS1495" s="42" t="str">
        <f ca="1"/>
        <v/>
      </c>
      <c r="CT1495" s="42" t="str">
        <f ca="1"/>
        <v/>
      </c>
      <c r="CU1495" s="42" t="str">
        <f ca="1"/>
        <v/>
      </c>
      <c r="CV1495" s="42" t="str">
        <f ca="1"/>
        <v/>
      </c>
      <c r="CW1495" s="42" t="str">
        <f ca="1"/>
        <v/>
      </c>
      <c r="CX1495" s="42" t="str">
        <f ca="1"/>
        <v/>
      </c>
      <c r="CY1495" s="42" t="str">
        <f ca="1"/>
        <v/>
      </c>
      <c r="CZ1495" s="42" t="str">
        <f ca="1"/>
        <v/>
      </c>
      <c r="DA1495" s="42" t="str">
        <f ca="1"/>
        <v/>
      </c>
      <c r="DB1495" s="42" t="str">
        <f ca="1"/>
        <v/>
      </c>
      <c r="DC1495" s="42" t="str">
        <f ca="1"/>
        <v/>
      </c>
      <c r="DD1495" s="42" t="str">
        <f ca="1"/>
        <v/>
      </c>
      <c r="DE1495" s="42" t="str">
        <f ca="1"/>
        <v/>
      </c>
      <c r="DF1495" s="42" t="str">
        <f ca="1"/>
        <v/>
      </c>
      <c r="DG1495" s="42" t="str">
        <f ca="1"/>
        <v/>
      </c>
      <c r="DH1495" s="42" t="str">
        <f ca="1"/>
        <v/>
      </c>
      <c r="DI1495" s="42" t="str">
        <f ca="1"/>
        <v/>
      </c>
      <c r="DJ1495" s="42" t="str">
        <f ca="1"/>
        <v/>
      </c>
      <c r="DK1495" s="42" t="str">
        <f ca="1"/>
        <v/>
      </c>
      <c r="DL1495" s="42" t="str">
        <f ca="1"/>
        <v/>
      </c>
      <c r="DM1495" s="42" t="str">
        <f ca="1"/>
        <v/>
      </c>
      <c r="DN1495" s="42" t="str">
        <f ca="1"/>
        <v/>
      </c>
      <c r="DO1495" s="42" t="str">
        <f ca="1"/>
        <v/>
      </c>
      <c r="DP1495" s="42" t="str">
        <f ca="1"/>
        <v/>
      </c>
      <c r="DQ1495" s="42" t="str">
        <f ca="1"/>
        <v/>
      </c>
      <c r="DR1495" s="42" t="str">
        <f ca="1"/>
        <v/>
      </c>
      <c r="DS1495" s="42">
        <f ca="1"/>
        <v>1200</v>
      </c>
      <c r="DT1495" s="42" t="str">
        <f ca="1"/>
        <v/>
      </c>
      <c r="DU1495" s="42" t="str">
        <f ca="1"/>
        <v/>
      </c>
      <c r="DV1495" s="42" t="str">
        <f ca="1"/>
        <v/>
      </c>
      <c r="DW1495" s="42" t="str">
        <f ca="1"/>
        <v/>
      </c>
      <c r="DX1495" s="42" t="str">
        <f ca="1"/>
        <v/>
      </c>
      <c r="DY1495" s="42" t="str">
        <f ca="1"/>
        <v/>
      </c>
      <c r="DZ1495" s="42" t="str">
        <f ca="1"/>
        <v/>
      </c>
      <c r="EA1495" s="42" t="str">
        <f ca="1"/>
        <v/>
      </c>
      <c r="EB1495" s="42" t="str">
        <f ca="1"/>
        <v/>
      </c>
      <c r="EC1495" s="42" t="str">
        <f ca="1"/>
        <v/>
      </c>
      <c r="ED1495" s="42">
        <f ca="1"/>
        <v>823</v>
      </c>
      <c r="EE1495" s="42" t="str">
        <f ca="1"/>
        <v/>
      </c>
      <c r="EF1495" s="42" t="str">
        <f ca="1"/>
        <v/>
      </c>
      <c r="EG1495" s="42" t="str">
        <f ca="1"/>
        <v/>
      </c>
      <c r="EH1495" s="42" t="str">
        <f ca="1"/>
        <v/>
      </c>
      <c r="EI1495" s="42" t="str">
        <f ca="1"/>
        <v/>
      </c>
      <c r="EJ1495" s="42" t="str">
        <f ca="1"/>
        <v/>
      </c>
      <c r="EK1495" s="42" t="str">
        <f ca="1"/>
        <v/>
      </c>
      <c r="EL1495" s="42" t="str">
        <f ca="1"/>
        <v/>
      </c>
      <c r="EM1495" s="42" t="str">
        <f ca="1"/>
        <v/>
      </c>
      <c r="EN1495" s="42" t="str">
        <f ca="1"/>
        <v/>
      </c>
      <c r="EO1495" s="42" t="str">
        <f ca="1"/>
        <v/>
      </c>
      <c r="EP1495" s="42" t="str">
        <f ca="1"/>
        <v/>
      </c>
      <c r="EQ1495" s="42">
        <f ca="1"/>
        <v>1350</v>
      </c>
      <c r="ER1495" s="42" t="str">
        <f ca="1"/>
        <v/>
      </c>
      <c r="ES1495" s="42" t="str">
        <f ca="1"/>
        <v/>
      </c>
      <c r="ET1495" s="42" t="str">
        <f ca="1"/>
        <v/>
      </c>
      <c r="EU1495" s="42" t="str">
        <f ca="1"/>
        <v/>
      </c>
      <c r="EV1495" s="42" t="str">
        <f ca="1"/>
        <v/>
      </c>
      <c r="EW1495" s="42" t="str">
        <f ca="1"/>
        <v/>
      </c>
      <c r="EX1495" s="42" t="str">
        <f ca="1"/>
        <v/>
      </c>
      <c r="EY1495" s="42" t="str">
        <f ca="1"/>
        <v/>
      </c>
      <c r="EZ1495" s="42" t="str">
        <f ca="1"/>
        <v/>
      </c>
      <c r="FA1495" s="42">
        <f ca="1"/>
        <v>364</v>
      </c>
      <c r="FB1495" s="42" t="str">
        <f ca="1"/>
        <v/>
      </c>
      <c r="FC1495" s="42">
        <f ca="1"/>
        <v>377</v>
      </c>
      <c r="FD1495" s="42" t="str">
        <f ca="1"/>
        <v/>
      </c>
      <c r="FE1495" s="42">
        <f ca="1"/>
        <v>1000</v>
      </c>
      <c r="FF1495" s="42" t="str">
        <f ca="1"/>
        <v/>
      </c>
      <c r="FG1495" s="42" t="str">
        <f ca="1"/>
        <v/>
      </c>
      <c r="FH1495" s="42" t="str">
        <f ca="1"/>
        <v/>
      </c>
      <c r="FI1495" s="42">
        <f ca="1"/>
        <v>590</v>
      </c>
      <c r="FJ1495" s="42">
        <f ca="1"/>
        <v>1187</v>
      </c>
      <c r="FK1495" s="42">
        <f ca="1"/>
        <v>8230</v>
      </c>
      <c r="FL1495" s="42">
        <f ca="1"/>
        <v>1080</v>
      </c>
      <c r="FM1495" s="42" t="str">
        <f ca="1"/>
        <v/>
      </c>
      <c r="FN1495" s="42" t="str">
        <f ca="1"/>
        <v/>
      </c>
      <c r="FO1495" s="42" t="str">
        <f ca="1"/>
        <v/>
      </c>
      <c r="FP1495" s="42" t="str">
        <f ca="1"/>
        <v/>
      </c>
      <c r="FQ1495" s="42" t="str">
        <f ca="1"/>
        <v/>
      </c>
      <c r="FR1495" s="42" t="str">
        <f ca="1"/>
        <v/>
      </c>
      <c r="FS1495" s="42" t="str">
        <f ca="1"/>
        <v/>
      </c>
      <c r="FT1495" s="42" t="str">
        <f ca="1"/>
        <v/>
      </c>
      <c r="FU1495" s="42" t="str">
        <f ca="1"/>
        <v/>
      </c>
      <c r="FV1495" s="42" t="str">
        <f ca="1"/>
        <v/>
      </c>
      <c r="FW1495" s="42" t="str">
        <f ca="1"/>
        <v/>
      </c>
      <c r="FX1495" s="42" t="str">
        <f ca="1"/>
        <v/>
      </c>
      <c r="FY1495" s="42" t="str">
        <f ca="1"/>
        <v/>
      </c>
      <c r="FZ1495" s="42" t="str">
        <f ca="1"/>
        <v/>
      </c>
      <c r="GA1495" s="42" t="str">
        <f ca="1"/>
        <v/>
      </c>
      <c r="GB1495" s="42" t="str">
        <f ca="1"/>
        <v/>
      </c>
      <c r="GC1495" s="42">
        <f ca="1"/>
        <v>364</v>
      </c>
      <c r="GD1495" s="42" t="str">
        <f ca="1"/>
        <v/>
      </c>
      <c r="GE1495" s="42" t="str">
        <f ca="1"/>
        <v/>
      </c>
      <c r="GF1495" s="42">
        <f ca="1"/>
        <v>364</v>
      </c>
      <c r="GG1495" s="42">
        <f ca="1"/>
        <v>974</v>
      </c>
      <c r="GH1495" s="42" t="str">
        <f ca="1"/>
        <v/>
      </c>
      <c r="GI1495" s="42">
        <f ca="1"/>
        <v>2160</v>
      </c>
      <c r="GJ1495" s="42" t="str">
        <f ca="1"/>
        <v/>
      </c>
      <c r="GK1495" s="42" t="str">
        <f ca="1"/>
        <v/>
      </c>
      <c r="GL1495" s="42" t="str">
        <f ca="1"/>
        <v/>
      </c>
      <c r="GM1495" s="42" t="str">
        <f ca="1"/>
        <v/>
      </c>
      <c r="GN1495" s="42" t="str">
        <f ca="1"/>
        <v/>
      </c>
      <c r="GO1495" s="42" t="str">
        <f ca="1"/>
        <v/>
      </c>
      <c r="GP1495" s="42" t="str">
        <f ca="1"/>
        <v/>
      </c>
      <c r="GQ1495" s="42" t="str">
        <f ca="1"/>
        <v/>
      </c>
      <c r="GR1495" s="42" t="str">
        <f ca="1"/>
        <v/>
      </c>
      <c r="GS1495" s="42">
        <f ca="1"/>
        <v>1080</v>
      </c>
      <c r="GT1495" s="42" t="str">
        <f ca="1"/>
        <v/>
      </c>
      <c r="GU1495" s="42" t="str">
        <f ca="1"/>
        <v/>
      </c>
      <c r="GV1495" s="42">
        <f ca="1"/>
        <v>1187</v>
      </c>
      <c r="GW1495" s="42" t="str">
        <f ca="1"/>
        <v/>
      </c>
      <c r="GX1495" s="42" t="str">
        <f ca="1"/>
        <v/>
      </c>
      <c r="GY1495" s="42" t="str">
        <f ca="1"/>
        <v/>
      </c>
      <c r="GZ1495" s="42" t="str">
        <f ca="1"/>
        <v/>
      </c>
      <c r="HA1495" s="42" t="str">
        <f ca="1"/>
        <v/>
      </c>
      <c r="HB1495" s="42" t="str">
        <f ca="1"/>
        <v/>
      </c>
      <c r="HC1495" s="42" t="str">
        <f ca="1"/>
        <v/>
      </c>
      <c r="HD1495" s="42">
        <f ca="1"/>
        <v>1433</v>
      </c>
      <c r="HE1495" s="42" t="str">
        <f ca="1"/>
        <v/>
      </c>
      <c r="HF1495" s="42" t="str">
        <f ca="1"/>
        <v/>
      </c>
      <c r="HG1495" s="42" t="str">
        <f ca="1"/>
        <v/>
      </c>
      <c r="HH1495" s="42" t="str">
        <f ca="1"/>
        <v/>
      </c>
      <c r="HI1495" s="42" t="str">
        <f ca="1"/>
        <v/>
      </c>
      <c r="HJ1495" s="42" t="str">
        <f ca="1"/>
        <v/>
      </c>
      <c r="HK1495" s="42" t="str">
        <f ca="1"/>
        <v/>
      </c>
      <c r="HL1495" s="42" t="str">
        <f ca="1"/>
        <v/>
      </c>
      <c r="HM1495" s="42">
        <f ca="1"/>
        <v>1433</v>
      </c>
      <c r="HN1495" s="42" t="str">
        <f ca="1"/>
        <v/>
      </c>
      <c r="HO1495" s="42" t="str">
        <f ca="1"/>
        <v/>
      </c>
      <c r="HP1495" s="42">
        <f ca="1"/>
        <v>1187</v>
      </c>
      <c r="HQ1495" s="42" t="str">
        <f ca="1"/>
        <v/>
      </c>
      <c r="HR1495" s="42" t="str">
        <f ca="1"/>
        <v/>
      </c>
      <c r="HS1495" s="42" t="str">
        <f ca="1"/>
        <v/>
      </c>
      <c r="HT1495" s="42" t="str">
        <f ca="1"/>
        <v/>
      </c>
      <c r="HU1495" s="42" t="str">
        <f ca="1"/>
        <v/>
      </c>
      <c r="HV1495" s="42" t="str">
        <f ca="1"/>
        <v/>
      </c>
      <c r="HW1495" s="42" t="str">
        <f ca="1"/>
        <v/>
      </c>
      <c r="HX1495" s="42" t="str">
        <f ca="1"/>
        <v/>
      </c>
      <c r="HY1495" s="42" t="str">
        <f ca="1"/>
        <v/>
      </c>
      <c r="HZ1495" s="42" t="str">
        <f ca="1"/>
        <v/>
      </c>
      <c r="IA1495" s="42" t="str">
        <f ca="1"/>
        <v/>
      </c>
      <c r="IB1495" s="42">
        <f ca="1"/>
        <v>1433</v>
      </c>
      <c r="IC1495" s="42" t="str">
        <f ca="1"/>
        <v/>
      </c>
      <c r="ID1495" s="42" t="str">
        <f ca="1"/>
        <v/>
      </c>
      <c r="IE1495" s="42" t="str">
        <f ca="1"/>
        <v/>
      </c>
      <c r="IF1495" s="42" t="str">
        <f ca="1"/>
        <v/>
      </c>
      <c r="IG1495" s="42" t="str">
        <f ca="1"/>
        <v/>
      </c>
      <c r="IH1495" s="42" t="str">
        <f ca="1"/>
        <v/>
      </c>
      <c r="II1495" s="42" t="str">
        <f ca="1"/>
        <v/>
      </c>
      <c r="IJ1495" s="42">
        <f ca="1"/>
        <v>2450</v>
      </c>
      <c r="IK1495" s="42" t="str">
        <f ca="1"/>
        <v/>
      </c>
      <c r="IL1495" s="42" t="str">
        <f ca="1"/>
        <v/>
      </c>
      <c r="IM1495" s="42" t="str">
        <f ca="1"/>
        <v/>
      </c>
      <c r="IN1495" s="42" t="str">
        <f ca="1"/>
        <v/>
      </c>
      <c r="IO1495" s="42" t="str">
        <f ca="1"/>
        <v/>
      </c>
      <c r="IP1495" s="42" t="str">
        <f ca="1"/>
        <v/>
      </c>
      <c r="IQ1495" s="42" t="str">
        <f ca="1"/>
        <v/>
      </c>
      <c r="IR1495" s="42" t="str">
        <f ca="1"/>
        <v/>
      </c>
      <c r="IS1495" s="42" t="str">
        <f ca="1"/>
        <v/>
      </c>
      <c r="IT1495" s="42">
        <f ca="1"/>
        <v>1100</v>
      </c>
      <c r="IU1495" s="42" t="str">
        <f ca="1"/>
        <v/>
      </c>
      <c r="IV1495" s="42" t="str">
        <f ca="1"/>
        <v/>
      </c>
      <c r="IW1495" s="42" t="str">
        <f ca="1"/>
        <v/>
      </c>
      <c r="IX1495" s="42" t="str">
        <f ca="1"/>
        <v/>
      </c>
      <c r="IY1495" s="42" t="str">
        <f ca="1"/>
        <v/>
      </c>
      <c r="IZ1495" s="42">
        <f ca="1"/>
        <v>2380</v>
      </c>
      <c r="JA1495" s="42" t="str">
        <f ca="1"/>
        <v/>
      </c>
      <c r="JB1495" s="42">
        <f ca="1"/>
        <v>1200</v>
      </c>
      <c r="JC1495" s="42" t="str">
        <f ca="1"/>
        <v/>
      </c>
      <c r="JD1495" s="42" t="str">
        <f ca="1"/>
        <v/>
      </c>
      <c r="JE1495" s="42" t="str">
        <f ca="1"/>
        <v/>
      </c>
      <c r="JF1495" s="42" t="str">
        <f ca="1"/>
        <v/>
      </c>
      <c r="JG1495" s="42" t="str">
        <f ca="1"/>
        <v/>
      </c>
      <c r="JH1495" s="42" t="str">
        <f ca="1"/>
        <v/>
      </c>
      <c r="JI1495" s="42" t="str">
        <f ca="1"/>
        <v/>
      </c>
      <c r="JJ1495" s="42" t="str">
        <f ca="1"/>
        <v/>
      </c>
      <c r="JK1495" s="42" t="str">
        <f ca="1"/>
        <v/>
      </c>
      <c r="JL1495" s="42" t="str">
        <f ca="1"/>
        <v/>
      </c>
      <c r="JM1495" s="42" t="str">
        <f ca="1"/>
        <v/>
      </c>
      <c r="JN1495" s="42" t="str">
        <f ca="1"/>
        <v/>
      </c>
      <c r="JO1495" s="42" t="str">
        <f ca="1"/>
        <v/>
      </c>
      <c r="JP1495" s="42" t="str">
        <f ca="1"/>
        <v/>
      </c>
      <c r="JQ1495" s="42">
        <f ca="1"/>
        <v>2620</v>
      </c>
      <c r="JR1495" s="42" t="str">
        <f ca="1"/>
        <v/>
      </c>
      <c r="JS1495" s="42">
        <f ca="1"/>
        <v>1180</v>
      </c>
      <c r="JT1495" s="42" t="str">
        <f ca="1"/>
        <v/>
      </c>
      <c r="JU1495" s="42" t="str">
        <f ca="1"/>
        <v/>
      </c>
      <c r="JV1495" s="42" t="str">
        <f ca="1"/>
        <v/>
      </c>
      <c r="JW1495" s="42" t="str">
        <f ca="1"/>
        <v/>
      </c>
      <c r="JX1495" s="42" t="str">
        <f ca="1"/>
        <v/>
      </c>
      <c r="JY1495" s="42">
        <f ca="1"/>
        <v>364</v>
      </c>
      <c r="JZ1495" s="42" t="str">
        <f ca="1"/>
        <v/>
      </c>
      <c r="KA1495" s="42" t="str">
        <f ca="1"/>
        <v/>
      </c>
      <c r="KB1495" s="42" t="str">
        <f ca="1"/>
        <v/>
      </c>
      <c r="KC1495" s="42" t="str">
        <f ca="1"/>
        <v/>
      </c>
      <c r="KD1495" s="42" t="str">
        <f ca="1"/>
        <v/>
      </c>
      <c r="KE1495" s="42" t="str">
        <f ca="1"/>
        <v/>
      </c>
      <c r="KF1495" s="42">
        <f ca="1"/>
        <v>1187</v>
      </c>
      <c r="KG1495" s="42" t="str">
        <f ca="1"/>
        <v/>
      </c>
      <c r="KH1495" s="42" t="str">
        <f ca="1"/>
        <v/>
      </c>
      <c r="KI1495" s="42" t="str">
        <f ca="1"/>
        <v/>
      </c>
      <c r="KJ1495" s="42" t="str">
        <f ca="1"/>
        <v/>
      </c>
      <c r="KK1495" s="42" t="str">
        <f ca="1"/>
        <v/>
      </c>
      <c r="KL1495" s="42" t="str">
        <f ca="1"/>
        <v/>
      </c>
      <c r="KM1495" s="42" t="str">
        <f ca="1"/>
        <v/>
      </c>
      <c r="KN1495" s="42" t="str">
        <f ca="1"/>
        <v/>
      </c>
      <c r="KO1495" s="42" t="str">
        <f ca="1"/>
        <v/>
      </c>
      <c r="KP1495" s="42" t="str">
        <f ca="1"/>
        <v/>
      </c>
      <c r="KQ1495" s="42" t="str">
        <f ca="1"/>
        <v/>
      </c>
      <c r="KR1495" s="42">
        <f ca="1"/>
        <v>2374</v>
      </c>
      <c r="KS1495" s="42" t="str">
        <f ca="1"/>
        <v/>
      </c>
      <c r="KT1495" s="42">
        <f ca="1"/>
        <v>3000</v>
      </c>
      <c r="KU1495" s="42" t="str">
        <f ca="1"/>
        <v/>
      </c>
      <c r="KV1495" s="42" t="str">
        <f ca="1"/>
        <v/>
      </c>
      <c r="KW1495" s="42">
        <f ca="1"/>
        <v>1200</v>
      </c>
      <c r="KX1495" s="42">
        <f ca="1"/>
        <v>1200</v>
      </c>
      <c r="KY1495" s="42" t="str">
        <f ca="1"/>
        <v/>
      </c>
      <c r="KZ1495" s="42" t="str">
        <f ca="1"/>
        <v/>
      </c>
      <c r="LA1495" s="42" t="str">
        <f ca="1"/>
        <v/>
      </c>
      <c r="LB1495" s="42">
        <f ca="1"/>
        <v>364</v>
      </c>
      <c r="LC1495" s="42" t="str">
        <f ca="1"/>
        <v/>
      </c>
      <c r="LD1495" s="42" t="str">
        <f ca="1"/>
        <v/>
      </c>
      <c r="LE1495" s="42">
        <f ca="1"/>
        <v>364</v>
      </c>
      <c r="LF1495" s="42" t="str">
        <f ca="1"/>
        <v/>
      </c>
      <c r="LG1495" s="42" t="str">
        <f ca="1"/>
        <v/>
      </c>
      <c r="LH1495" s="42" t="str">
        <f ca="1"/>
        <v/>
      </c>
      <c r="LI1495" s="42" t="str">
        <f ca="1"/>
        <v/>
      </c>
      <c r="LJ1495" s="42" t="str">
        <f ca="1"/>
        <v/>
      </c>
      <c r="LK1495" s="42" t="str">
        <f ca="1"/>
        <v/>
      </c>
      <c r="LL1495" s="42" t="str">
        <f ca="1"/>
        <v/>
      </c>
      <c r="LM1495" s="42" t="str">
        <f ca="1"/>
        <v/>
      </c>
      <c r="LN1495" s="42" t="str">
        <f ca="1"/>
        <v/>
      </c>
      <c r="LO1495" s="42" t="str">
        <f ca="1"/>
        <v/>
      </c>
      <c r="LP1495" s="42" t="str">
        <f ca="1"/>
        <v/>
      </c>
      <c r="LQ1495" s="42" t="str">
        <f ca="1"/>
        <v/>
      </c>
      <c r="LR1495" s="42" t="str">
        <f ca="1"/>
        <v/>
      </c>
      <c r="LS1495" s="42">
        <f ca="1"/>
        <v>2374</v>
      </c>
      <c r="LT1495" s="42" t="str">
        <f ca="1"/>
        <v/>
      </c>
      <c r="LU1495" s="42" t="str">
        <f ca="1"/>
        <v/>
      </c>
      <c r="LV1495" s="42" t="str">
        <f ca="1"/>
        <v/>
      </c>
      <c r="LW1495" s="42" t="str">
        <f ca="1"/>
        <v/>
      </c>
      <c r="LX1495" s="42" t="str">
        <f ca="1"/>
        <v/>
      </c>
      <c r="LY1495" s="42" t="str">
        <f ca="1"/>
        <v/>
      </c>
      <c r="LZ1495" s="42" t="str">
        <f ca="1"/>
        <v/>
      </c>
      <c r="MA1495" s="42" t="str">
        <f ca="1"/>
        <v/>
      </c>
      <c r="MB1495" s="42" t="str">
        <f ca="1"/>
        <v/>
      </c>
      <c r="MC1495" s="42" t="str">
        <f ca="1"/>
        <v/>
      </c>
      <c r="MD1495" s="42" t="str">
        <f ca="1"/>
        <v/>
      </c>
      <c r="ME1495" s="42" t="str">
        <f ca="1"/>
        <v/>
      </c>
      <c r="MF1495" s="42" t="str">
        <f ca="1"/>
        <v/>
      </c>
      <c r="MG1495" s="42" t="str">
        <f ca="1"/>
        <v/>
      </c>
      <c r="MH1495" s="42" t="str">
        <f ca="1"/>
        <v/>
      </c>
      <c r="MI1495" s="42" t="str">
        <f ca="1"/>
        <v/>
      </c>
      <c r="MJ1495" s="42" t="str">
        <f ca="1"/>
        <v/>
      </c>
      <c r="MK1495" s="42" t="str">
        <f ca="1"/>
        <v/>
      </c>
      <c r="ML1495" s="42" t="str">
        <f ca="1"/>
        <v/>
      </c>
      <c r="MM1495" s="42" t="str">
        <f ca="1"/>
        <v/>
      </c>
      <c r="MN1495" s="42" t="str">
        <f ca="1"/>
        <v/>
      </c>
      <c r="MO1495" s="42" t="str">
        <f ca="1"/>
        <v/>
      </c>
      <c r="MP1495" s="42" t="str">
        <f ca="1"/>
        <v/>
      </c>
      <c r="MQ1495" s="42" t="str">
        <f ca="1"/>
        <v/>
      </c>
      <c r="MR1495" s="42" t="str">
        <f ca="1"/>
        <v/>
      </c>
      <c r="MS1495" s="42" t="str">
        <f ca="1"/>
        <v/>
      </c>
      <c r="MT1495" s="42" t="str">
        <f ca="1"/>
        <v/>
      </c>
      <c r="MU1495" s="42" t="str">
        <f ca="1"/>
        <v/>
      </c>
      <c r="MV1495" s="42" t="str">
        <f ca="1"/>
        <v/>
      </c>
      <c r="MW1495" s="42" t="str">
        <f ca="1"/>
        <v/>
      </c>
      <c r="MX1495" s="42" t="str">
        <f ca="1"/>
        <v/>
      </c>
      <c r="MY1495" s="42" t="str">
        <f ca="1"/>
        <v/>
      </c>
      <c r="MZ1495" s="42" t="str">
        <f ca="1"/>
        <v/>
      </c>
      <c r="NA1495" s="42" t="str">
        <f ca="1"/>
        <v/>
      </c>
      <c r="NB1495" s="42" t="str">
        <f ca="1"/>
        <v/>
      </c>
      <c r="NC1495" s="42" t="str">
        <f ca="1"/>
        <v/>
      </c>
      <c r="ND1495" s="42" t="str">
        <f ca="1"/>
        <v/>
      </c>
      <c r="NE1495" s="42" t="str">
        <f ca="1"/>
        <v/>
      </c>
      <c r="NF1495" s="42" t="str">
        <f ca="1"/>
        <v/>
      </c>
      <c r="NG1495" s="42" t="str">
        <f ca="1"/>
        <v/>
      </c>
      <c r="NH1495" s="42" t="str">
        <f ca="1"/>
        <v/>
      </c>
      <c r="NI1495" s="42" t="str">
        <f ca="1"/>
        <v/>
      </c>
      <c r="NJ1495" s="42" t="str">
        <f ca="1"/>
        <v/>
      </c>
      <c r="NK1495" s="42" t="str">
        <f ca="1"/>
        <v/>
      </c>
      <c r="NL1495" s="42" t="str">
        <f ca="1"/>
        <v/>
      </c>
      <c r="NM1495" s="42" t="str">
        <f ca="1"/>
        <v/>
      </c>
      <c r="NN1495" s="42" t="str">
        <f ca="1"/>
        <v/>
      </c>
      <c r="NO1495" s="42" t="str">
        <f ca="1"/>
        <v/>
      </c>
      <c r="NP1495" s="42" t="str">
        <f ca="1"/>
        <v/>
      </c>
      <c r="NQ1495" s="42" t="str">
        <f ca="1"/>
        <v/>
      </c>
      <c r="NR1495" s="42" t="str">
        <f ca="1"/>
        <v/>
      </c>
      <c r="NS1495" s="42" t="str">
        <f ca="1"/>
        <v/>
      </c>
      <c r="NT1495" s="42" t="str">
        <f ca="1"/>
        <v/>
      </c>
      <c r="NU1495" s="42" t="str">
        <f ca="1"/>
        <v/>
      </c>
      <c r="NV1495" s="42" t="str">
        <f ca="1"/>
        <v/>
      </c>
      <c r="NW1495" s="42" t="str">
        <f ca="1"/>
        <v/>
      </c>
      <c r="NX1495" s="42" t="str">
        <f ca="1"/>
        <v/>
      </c>
      <c r="NY1495" s="42" t="str">
        <f ca="1"/>
        <v/>
      </c>
      <c r="NZ1495" s="42" t="str">
        <f ca="1"/>
        <v/>
      </c>
      <c r="OA1495" s="42" t="str">
        <f ca="1"/>
        <v/>
      </c>
      <c r="OB1495" s="42" t="str">
        <f ca="1"/>
        <v/>
      </c>
      <c r="OC1495" s="42" t="str">
        <f ca="1"/>
        <v/>
      </c>
      <c r="OD1495" s="42" t="str">
        <f ca="1"/>
        <v/>
      </c>
      <c r="OE1495" s="42" t="str">
        <f ca="1"/>
        <v/>
      </c>
      <c r="OF1495" s="42" t="str">
        <f ca="1"/>
        <v/>
      </c>
      <c r="OG1495" s="42" t="str">
        <f ca="1"/>
        <v/>
      </c>
      <c r="OH1495" s="42" t="str">
        <f ca="1"/>
        <v/>
      </c>
      <c r="OI1495" s="42" t="str">
        <f ca="1"/>
        <v/>
      </c>
      <c r="OJ1495" s="42" t="str">
        <f ca="1"/>
        <v/>
      </c>
      <c r="OK1495" s="42" t="str">
        <f ca="1"/>
        <v/>
      </c>
      <c r="OL1495" s="42" t="str">
        <f ca="1"/>
        <v/>
      </c>
      <c r="OM1495" s="42" t="str">
        <f ca="1"/>
        <v/>
      </c>
      <c r="ON1495" s="42" t="str">
        <f ca="1"/>
        <v/>
      </c>
      <c r="OO1495" s="42" t="str">
        <f ca="1"/>
        <v/>
      </c>
      <c r="OP1495" s="42" t="str">
        <f ca="1"/>
        <v/>
      </c>
      <c r="OQ1495" s="42" t="str">
        <f ca="1"/>
        <v/>
      </c>
      <c r="OR1495" s="42" t="str">
        <f ca="1"/>
        <v/>
      </c>
      <c r="OS1495" s="42" t="str">
        <f ca="1"/>
        <v/>
      </c>
      <c r="OT1495" s="42" t="str">
        <f ca="1"/>
        <v/>
      </c>
      <c r="OU1495" s="42" t="str">
        <f ca="1"/>
        <v/>
      </c>
      <c r="OV1495" s="42" t="str">
        <f ca="1"/>
        <v/>
      </c>
      <c r="OW1495" s="42" t="str">
        <f ca="1"/>
        <v/>
      </c>
      <c r="OX1495" s="42" t="str">
        <f ca="1"/>
        <v/>
      </c>
      <c r="OY1495" s="42" t="str">
        <f ca="1"/>
        <v/>
      </c>
      <c r="OZ1495" s="42" t="str">
        <f ca="1"/>
        <v/>
      </c>
      <c r="PA1495" s="42" t="str">
        <f ca="1"/>
        <v/>
      </c>
      <c r="PB1495" s="42" t="str">
        <f ca="1"/>
        <v/>
      </c>
      <c r="PC1495" s="42" t="str">
        <f ca="1"/>
        <v/>
      </c>
      <c r="PD1495" s="42" t="str">
        <f ca="1"/>
        <v/>
      </c>
      <c r="PE1495" s="42" t="str">
        <f ca="1"/>
        <v/>
      </c>
      <c r="PF1495" s="42" t="str">
        <f ca="1"/>
        <v/>
      </c>
      <c r="PG1495" s="42" t="str">
        <f ca="1"/>
        <v/>
      </c>
      <c r="PH1495" s="42" t="str">
        <f ca="1"/>
        <v/>
      </c>
      <c r="PI1495" s="42" t="str">
        <f ca="1"/>
        <v/>
      </c>
      <c r="PJ1495" s="42" t="str">
        <f ca="1"/>
        <v/>
      </c>
      <c r="PK1495" s="42" t="str">
        <f ca="1"/>
        <v/>
      </c>
      <c r="PL1495" s="42" t="str">
        <f ca="1"/>
        <v/>
      </c>
      <c r="PM1495" s="42" t="str">
        <f ca="1"/>
        <v/>
      </c>
      <c r="PN1495" s="42" t="str">
        <f ca="1"/>
        <v/>
      </c>
      <c r="PO1495" s="42" t="str">
        <f ca="1"/>
        <v/>
      </c>
      <c r="PP1495" s="42" t="str">
        <f ca="1"/>
        <v/>
      </c>
      <c r="PQ1495" s="42" t="str">
        <f ca="1"/>
        <v/>
      </c>
      <c r="PR1495" s="42" t="str">
        <f ca="1"/>
        <v/>
      </c>
      <c r="PS1495" s="42" t="str">
        <f ca="1"/>
        <v/>
      </c>
      <c r="PT1495" s="42" t="str">
        <f ca="1"/>
        <v/>
      </c>
      <c r="PU1495" s="42" t="str">
        <f ca="1"/>
        <v/>
      </c>
      <c r="PV1495" s="42" t="str">
        <f ca="1"/>
        <v/>
      </c>
      <c r="PW1495" s="42" t="str">
        <f ca="1"/>
        <v/>
      </c>
      <c r="PX1495" s="42" t="str">
        <f ca="1"/>
        <v/>
      </c>
      <c r="PY1495" s="42" t="str">
        <f ca="1"/>
        <v/>
      </c>
      <c r="PZ1495" s="42" t="str">
        <f ca="1"/>
        <v/>
      </c>
      <c r="QA1495" s="42" t="str">
        <f ca="1"/>
        <v/>
      </c>
      <c r="QB1495" s="42" t="str">
        <f ca="1"/>
        <v/>
      </c>
      <c r="QC1495" s="42" t="str">
        <f ca="1"/>
        <v/>
      </c>
      <c r="QD1495" s="42" t="str">
        <f ca="1"/>
        <v/>
      </c>
      <c r="QE1495" s="42" t="str">
        <f ca="1"/>
        <v/>
      </c>
      <c r="QF1495" s="42" t="str">
        <f ca="1"/>
        <v/>
      </c>
      <c r="QG1495" s="42" t="str">
        <f ca="1"/>
        <v/>
      </c>
      <c r="QH1495" s="42" t="str">
        <f ca="1"/>
        <v/>
      </c>
      <c r="QI1495" s="42" t="str">
        <f ca="1"/>
        <v/>
      </c>
      <c r="QJ1495" s="42" t="str">
        <f ca="1"/>
        <v/>
      </c>
      <c r="QK1495" s="42" t="str">
        <f ca="1"/>
        <v/>
      </c>
      <c r="QL1495" s="42" t="str">
        <f ca="1"/>
        <v/>
      </c>
      <c r="QM1495" s="42" t="str">
        <f ca="1"/>
        <v/>
      </c>
      <c r="QN1495" s="42" t="str">
        <f ca="1"/>
        <v/>
      </c>
      <c r="QO1495" s="42" t="str">
        <f ca="1"/>
        <v/>
      </c>
      <c r="QP1495" s="42" t="str">
        <f ca="1"/>
        <v/>
      </c>
      <c r="QQ1495" s="42" t="str">
        <f ca="1"/>
        <v/>
      </c>
      <c r="QR1495" s="42" t="str">
        <f ca="1"/>
        <v/>
      </c>
      <c r="QS1495" s="42" t="str">
        <f ca="1"/>
        <v/>
      </c>
      <c r="QT1495" s="42" t="str">
        <f ca="1"/>
        <v/>
      </c>
      <c r="QU1495" s="42" t="str">
        <f ca="1"/>
        <v/>
      </c>
      <c r="QV1495" s="42" t="str">
        <f ca="1"/>
        <v/>
      </c>
      <c r="QW1495" s="42" t="str">
        <f ca="1"/>
        <v/>
      </c>
      <c r="QX1495" s="42" t="str">
        <f ca="1"/>
        <v/>
      </c>
      <c r="QY1495" s="42" t="str">
        <f ca="1"/>
        <v/>
      </c>
      <c r="QZ1495" s="42" t="str">
        <f ca="1"/>
        <v/>
      </c>
      <c r="RA1495" s="42" t="str">
        <f ca="1"/>
        <v/>
      </c>
      <c r="RB1495" s="42" t="str">
        <f ca="1"/>
        <v/>
      </c>
      <c r="RC1495" s="42" t="str">
        <f ca="1"/>
        <v/>
      </c>
      <c r="RD1495" s="42" t="str">
        <f ca="1"/>
        <v/>
      </c>
      <c r="RE1495" s="42" t="str">
        <f ca="1"/>
        <v/>
      </c>
      <c r="RF1495" s="42" t="str">
        <f ca="1"/>
        <v/>
      </c>
      <c r="RG1495" s="42" t="str">
        <f ca="1"/>
        <v/>
      </c>
      <c r="RH1495" s="42" t="str">
        <f ca="1"/>
        <v/>
      </c>
      <c r="RI1495" s="42" t="str">
        <f ca="1"/>
        <v/>
      </c>
      <c r="RJ1495" s="42" t="str">
        <f ca="1"/>
        <v/>
      </c>
      <c r="RK1495" s="42" t="str">
        <f ca="1"/>
        <v/>
      </c>
      <c r="RL1495" s="42" t="str">
        <f ca="1"/>
        <v/>
      </c>
      <c r="RM1495" s="42" t="str">
        <f ca="1"/>
        <v/>
      </c>
      <c r="RN1495" s="42" t="str">
        <f ca="1"/>
        <v/>
      </c>
      <c r="RO1495" s="42" t="str">
        <f ca="1"/>
        <v/>
      </c>
      <c r="RP1495" s="42" t="str">
        <f ca="1"/>
        <v/>
      </c>
      <c r="RQ1495" s="42" t="str">
        <f ca="1"/>
        <v/>
      </c>
      <c r="RR1495" s="42" t="str">
        <f ca="1"/>
        <v/>
      </c>
      <c r="RS1495" s="42" t="str">
        <f ca="1"/>
        <v/>
      </c>
      <c r="RT1495" s="42" t="str">
        <f ca="1"/>
        <v/>
      </c>
      <c r="RU1495" s="42" t="str">
        <f ca="1"/>
        <v/>
      </c>
      <c r="RV1495" s="42" t="str">
        <f ca="1"/>
        <v/>
      </c>
      <c r="RW1495" s="42" t="str">
        <f ca="1"/>
        <v/>
      </c>
      <c r="RX1495" s="42" t="str">
        <f ca="1"/>
        <v/>
      </c>
      <c r="RY1495" s="42" t="str">
        <f ca="1"/>
        <v/>
      </c>
      <c r="RZ1495" s="42" t="str">
        <f ca="1"/>
        <v/>
      </c>
      <c r="SA1495" s="42" t="str">
        <f ca="1"/>
        <v/>
      </c>
      <c r="SB1495" s="42" t="str">
        <f ca="1"/>
        <v/>
      </c>
      <c r="SC1495" s="42" t="str">
        <f ca="1"/>
        <v/>
      </c>
      <c r="SD1495" s="42" t="str">
        <f ca="1"/>
        <v/>
      </c>
      <c r="SE1495" s="42" t="str">
        <f ca="1"/>
        <v/>
      </c>
      <c r="SF1495" s="42" t="str">
        <f ca="1"/>
        <v/>
      </c>
      <c r="SG1495" s="42" t="str">
        <f ca="1"/>
        <v/>
      </c>
      <c r="SH1495" s="42" t="str">
        <f ca="1"/>
        <v/>
      </c>
      <c r="SI1495" s="42" t="str">
        <f ca="1"/>
        <v/>
      </c>
      <c r="SJ1495" s="42" t="str">
        <f ca="1"/>
        <v/>
      </c>
      <c r="SK1495" s="42" t="str">
        <f ca="1"/>
        <v/>
      </c>
      <c r="SL1495" s="42" t="str">
        <f ca="1"/>
        <v/>
      </c>
      <c r="SM1495" s="42" t="str">
        <f ca="1"/>
        <v/>
      </c>
      <c r="SN1495" s="42" t="str">
        <f ca="1"/>
        <v/>
      </c>
      <c r="SO1495" s="42" t="str">
        <f ca="1"/>
        <v/>
      </c>
      <c r="SP1495" s="42" t="str">
        <f ca="1"/>
        <v/>
      </c>
      <c r="SQ1495" s="42" t="str">
        <f ca="1"/>
        <v/>
      </c>
      <c r="SR1495" s="42" t="str">
        <f ca="1"/>
        <v/>
      </c>
      <c r="SS1495" s="42" t="str">
        <f ca="1"/>
        <v/>
      </c>
      <c r="ST1495" s="42" t="str">
        <f ca="1"/>
        <v/>
      </c>
      <c r="SU1495" s="42" t="str">
        <f ca="1"/>
        <v/>
      </c>
      <c r="SV1495" s="42" t="str">
        <f ca="1"/>
        <v/>
      </c>
      <c r="SW1495" s="42" t="str">
        <f ca="1"/>
        <v/>
      </c>
      <c r="SX1495" s="42" t="str">
        <f ca="1"/>
        <v/>
      </c>
      <c r="SY1495" s="42" t="str">
        <f ca="1"/>
        <v/>
      </c>
      <c r="SZ1495" s="42" t="str">
        <f ca="1"/>
        <v/>
      </c>
      <c r="TA1495" s="42" t="str">
        <f ca="1"/>
        <v/>
      </c>
      <c r="TB1495" s="42" t="str">
        <f ca="1"/>
        <v/>
      </c>
      <c r="TC1495" s="42" t="str">
        <f ca="1"/>
        <v/>
      </c>
      <c r="TD1495" s="42" t="str">
        <f ca="1"/>
        <v/>
      </c>
      <c r="TE1495" s="42" t="str">
        <f ca="1"/>
        <v/>
      </c>
      <c r="TF1495" s="42" t="str">
        <f ca="1"/>
        <v/>
      </c>
      <c r="TG1495" s="42" t="str">
        <f ca="1"/>
        <v/>
      </c>
      <c r="TH1495" s="42" t="str">
        <f ca="1"/>
        <v/>
      </c>
      <c r="TI1495" s="42" t="str">
        <f ca="1"/>
        <v/>
      </c>
      <c r="TJ1495" s="42" t="str">
        <f ca="1"/>
        <v/>
      </c>
      <c r="TK1495" s="42" t="str">
        <f ca="1"/>
        <v/>
      </c>
      <c r="TL1495" s="42" t="str">
        <f ca="1"/>
        <v/>
      </c>
      <c r="TM1495" s="42" t="str">
        <f ca="1"/>
        <v/>
      </c>
      <c r="TN1495" s="42" t="str">
        <f ca="1"/>
        <v/>
      </c>
      <c r="TO1495" s="42" t="str">
        <f ca="1"/>
        <v/>
      </c>
      <c r="TP1495" s="42" t="str">
        <f ca="1"/>
        <v/>
      </c>
      <c r="TQ1495" s="42" t="str">
        <f ca="1"/>
        <v/>
      </c>
      <c r="TR1495" s="42" t="str">
        <f ca="1"/>
        <v/>
      </c>
      <c r="TS1495" s="42" t="str">
        <f ca="1"/>
        <v/>
      </c>
      <c r="TT1495" s="42" t="str">
        <f ca="1"/>
        <v/>
      </c>
      <c r="TU1495" s="42" t="str">
        <f ca="1"/>
        <v/>
      </c>
      <c r="TV1495" s="42" t="str">
        <f ca="1"/>
        <v/>
      </c>
      <c r="TW1495" s="42" t="str">
        <f ca="1"/>
        <v/>
      </c>
      <c r="TX1495" s="42" t="str">
        <f ca="1"/>
        <v/>
      </c>
      <c r="TY1495" s="42" t="str">
        <f ca="1"/>
        <v/>
      </c>
      <c r="TZ1495" s="42" t="str">
        <f ca="1"/>
        <v/>
      </c>
      <c r="UA1495" s="42" t="str">
        <f ca="1"/>
        <v/>
      </c>
      <c r="UB1495" s="42" t="str">
        <f ca="1"/>
        <v/>
      </c>
      <c r="UC1495" s="42" t="str">
        <f ca="1"/>
        <v/>
      </c>
      <c r="UD1495" s="42" t="str">
        <f ca="1"/>
        <v/>
      </c>
      <c r="UE1495" s="42" t="str">
        <f ca="1"/>
        <v/>
      </c>
      <c r="UF1495" s="42" t="str">
        <f ca="1"/>
        <v/>
      </c>
      <c r="UG1495" s="42" t="str">
        <f ca="1"/>
        <v/>
      </c>
      <c r="UH1495" s="42" t="str">
        <f ca="1"/>
        <v/>
      </c>
      <c r="UI1495" s="42" t="str">
        <f ca="1"/>
        <v/>
      </c>
      <c r="UJ1495" s="42" t="str">
        <f ca="1"/>
        <v/>
      </c>
      <c r="UK1495" s="42" t="str">
        <f ca="1"/>
        <v/>
      </c>
      <c r="UL1495" s="42" t="str">
        <f ca="1"/>
        <v/>
      </c>
      <c r="UM1495" s="42" t="str">
        <f ca="1"/>
        <v/>
      </c>
      <c r="UN1495" s="42" t="str">
        <f ca="1"/>
        <v/>
      </c>
      <c r="UO1495" s="42" t="str">
        <f ca="1"/>
        <v/>
      </c>
      <c r="UP1495" s="42" t="str">
        <f ca="1"/>
        <v/>
      </c>
      <c r="UQ1495" s="42" t="str">
        <f ca="1"/>
        <v/>
      </c>
      <c r="UR1495" s="42" t="str">
        <f ca="1"/>
        <v/>
      </c>
      <c r="US1495" s="42" t="str">
        <f ca="1"/>
        <v/>
      </c>
      <c r="UT1495" s="42" t="str">
        <f ca="1"/>
        <v/>
      </c>
      <c r="UU1495" s="42" t="str">
        <f ca="1"/>
        <v/>
      </c>
      <c r="UV1495" s="42" t="str">
        <f ca="1"/>
        <v/>
      </c>
      <c r="UW1495" s="42" t="str">
        <f ca="1"/>
        <v/>
      </c>
      <c r="UX1495" s="42" t="str">
        <f ca="1"/>
        <v/>
      </c>
      <c r="UY1495" s="42" t="str">
        <f ca="1"/>
        <v/>
      </c>
      <c r="UZ1495" s="42" t="str">
        <f ca="1"/>
        <v/>
      </c>
      <c r="VA1495" s="42" t="str">
        <f ca="1"/>
        <v/>
      </c>
      <c r="VB1495" s="42" t="str">
        <f ca="1"/>
        <v/>
      </c>
      <c r="VC1495" s="42" t="str">
        <f ca="1"/>
        <v/>
      </c>
      <c r="VD1495" s="42" t="str">
        <f ca="1"/>
        <v/>
      </c>
      <c r="VE1495" s="42" t="str">
        <f ca="1"/>
        <v/>
      </c>
      <c r="VF1495" s="42" t="str">
        <f ca="1"/>
        <v/>
      </c>
      <c r="VG1495" s="42" t="str">
        <f ca="1"/>
        <v/>
      </c>
      <c r="VH1495" s="42" t="str">
        <f ca="1"/>
        <v/>
      </c>
      <c r="VI1495" s="42" t="str">
        <f ca="1"/>
        <v/>
      </c>
      <c r="VJ1495" s="42" t="str">
        <f ca="1"/>
        <v/>
      </c>
      <c r="VK1495" s="42" t="str">
        <f ca="1"/>
        <v/>
      </c>
      <c r="VL1495" s="42" t="str">
        <f ca="1"/>
        <v/>
      </c>
      <c r="VM1495" s="42" t="str">
        <f ca="1"/>
        <v/>
      </c>
      <c r="VN1495" s="42" t="str">
        <f ca="1"/>
        <v/>
      </c>
      <c r="VO1495" s="42" t="str">
        <f ca="1"/>
        <v/>
      </c>
      <c r="VP1495" s="42" t="str">
        <f ca="1"/>
        <v/>
      </c>
      <c r="VQ1495" s="42" t="str">
        <f ca="1"/>
        <v/>
      </c>
      <c r="VR1495" s="42" t="str">
        <f ca="1"/>
        <v/>
      </c>
      <c r="VS1495" s="42" t="str">
        <f ca="1"/>
        <v/>
      </c>
      <c r="VT1495" s="42" t="str">
        <f ca="1"/>
        <v/>
      </c>
      <c r="VU1495" s="42" t="str">
        <f ca="1"/>
        <v/>
      </c>
      <c r="VV1495" s="42" t="str">
        <f ca="1"/>
        <v/>
      </c>
      <c r="VW1495" s="42" t="str">
        <f ca="1"/>
        <v/>
      </c>
      <c r="VX1495" s="42" t="str">
        <f ca="1"/>
        <v/>
      </c>
      <c r="VY1495" s="42" t="str">
        <f ca="1"/>
        <v/>
      </c>
      <c r="VZ1495" s="42" t="str">
        <f ca="1"/>
        <v/>
      </c>
      <c r="WA1495" s="42" t="str">
        <f ca="1"/>
        <v/>
      </c>
      <c r="WB1495" s="42" t="str">
        <f ca="1"/>
        <v/>
      </c>
      <c r="WC1495" s="42" t="str">
        <f ca="1"/>
        <v/>
      </c>
      <c r="WD1495" s="42" t="str">
        <f ca="1"/>
        <v/>
      </c>
      <c r="WE1495" s="42" t="str">
        <f ca="1"/>
        <v/>
      </c>
      <c r="WF1495" s="42" t="str">
        <f ca="1"/>
        <v/>
      </c>
      <c r="WG1495" s="42" t="str">
        <f ca="1"/>
        <v/>
      </c>
      <c r="WH1495" s="42" t="str">
        <f ca="1"/>
        <v/>
      </c>
      <c r="WI1495" s="42" t="str">
        <f ca="1"/>
        <v/>
      </c>
      <c r="WJ1495" s="42" t="str">
        <f ca="1"/>
        <v/>
      </c>
      <c r="WK1495" s="42" t="str">
        <f ca="1"/>
        <v/>
      </c>
      <c r="WL1495" s="42" t="str">
        <f ca="1"/>
        <v/>
      </c>
      <c r="WM1495" s="42" t="str">
        <f ca="1"/>
        <v/>
      </c>
      <c r="WN1495" s="42" t="str">
        <f ca="1"/>
        <v/>
      </c>
      <c r="WO1495" s="42" t="str">
        <f ca="1"/>
        <v/>
      </c>
      <c r="WP1495" s="42" t="str">
        <f ca="1"/>
        <v/>
      </c>
      <c r="WQ1495" s="42" t="str">
        <f ca="1"/>
        <v/>
      </c>
      <c r="WR1495" s="42" t="str">
        <f ca="1"/>
        <v/>
      </c>
      <c r="WS1495" s="42" t="str">
        <f ca="1"/>
        <v/>
      </c>
      <c r="WT1495" s="42" t="str">
        <f ca="1"/>
        <v/>
      </c>
      <c r="WU1495" s="42" t="str">
        <f ca="1"/>
        <v/>
      </c>
      <c r="WV1495" s="42" t="str">
        <f ca="1"/>
        <v/>
      </c>
      <c r="WW1495" s="42" t="str">
        <f ca="1"/>
        <v/>
      </c>
      <c r="WX1495" s="42" t="str">
        <f ca="1"/>
        <v/>
      </c>
      <c r="WY1495" s="42" t="str">
        <f ca="1"/>
        <v/>
      </c>
      <c r="WZ1495" s="42" t="str">
        <f ca="1"/>
        <v/>
      </c>
      <c r="XA1495" s="42" t="str">
        <f ca="1"/>
        <v/>
      </c>
      <c r="XB1495" s="42" t="str">
        <f ca="1"/>
        <v/>
      </c>
      <c r="XC1495" s="42" t="str">
        <f ca="1"/>
        <v/>
      </c>
      <c r="XD1495" s="42" t="str">
        <f ca="1"/>
        <v/>
      </c>
      <c r="XE1495" s="42" t="str">
        <f ca="1"/>
        <v/>
      </c>
      <c r="XF1495" s="42" t="str">
        <f ca="1"/>
        <v/>
      </c>
      <c r="XG1495" s="42" t="str">
        <f ca="1"/>
        <v/>
      </c>
      <c r="XH1495" s="42" t="str">
        <f ca="1"/>
        <v/>
      </c>
      <c r="XI1495" s="42" t="str">
        <f ca="1"/>
        <v/>
      </c>
      <c r="XJ1495" s="42" t="str">
        <f ca="1"/>
        <v/>
      </c>
      <c r="XK1495" s="42" t="str">
        <f ca="1"/>
        <v/>
      </c>
      <c r="XL1495" s="42" t="str">
        <f ca="1"/>
        <v/>
      </c>
      <c r="XM1495" s="42" t="str">
        <f ca="1"/>
        <v/>
      </c>
      <c r="XN1495" s="42" t="str">
        <f ca="1"/>
        <v/>
      </c>
      <c r="XO1495" s="42" t="str">
        <f ca="1"/>
        <v/>
      </c>
      <c r="XP1495" s="42" t="str">
        <f ca="1"/>
        <v/>
      </c>
      <c r="XQ1495" s="42" t="str">
        <f ca="1"/>
        <v/>
      </c>
      <c r="XR1495" s="42" t="str">
        <f ca="1"/>
        <v/>
      </c>
      <c r="XS1495" s="42" t="str">
        <f ca="1"/>
        <v/>
      </c>
      <c r="XT1495" s="42" t="str">
        <f ca="1"/>
        <v/>
      </c>
      <c r="XU1495" s="42" t="str">
        <f ca="1"/>
        <v/>
      </c>
      <c r="XV1495" s="42" t="str">
        <f ca="1"/>
        <v/>
      </c>
      <c r="XW1495" s="42" t="str">
        <f ca="1"/>
        <v/>
      </c>
      <c r="XX1495" s="42" t="str">
        <f ca="1"/>
        <v/>
      </c>
      <c r="XY1495" s="42" t="str">
        <f ca="1"/>
        <v/>
      </c>
      <c r="XZ1495" s="42" t="str">
        <f ca="1"/>
        <v/>
      </c>
      <c r="YA1495" s="42" t="str">
        <f ca="1"/>
        <v/>
      </c>
      <c r="YB1495" s="42" t="str">
        <f ca="1"/>
        <v/>
      </c>
      <c r="YC1495" s="42" t="str">
        <f ca="1"/>
        <v/>
      </c>
      <c r="YD1495" s="42" t="str">
        <f ca="1"/>
        <v/>
      </c>
      <c r="YE1495" s="42" t="str">
        <f ca="1"/>
        <v/>
      </c>
      <c r="YF1495" s="42" t="str">
        <f ca="1"/>
        <v/>
      </c>
      <c r="YG1495" s="42" t="str">
        <f ca="1"/>
        <v/>
      </c>
      <c r="YH1495" s="42" t="str">
        <f ca="1"/>
        <v/>
      </c>
      <c r="YI1495" s="42" t="str">
        <f ca="1"/>
        <v/>
      </c>
      <c r="YJ1495" s="42" t="str">
        <f ca="1"/>
        <v/>
      </c>
      <c r="YK1495" s="42" t="str">
        <f ca="1"/>
        <v/>
      </c>
      <c r="YL1495" s="42" t="str">
        <f ca="1"/>
        <v/>
      </c>
      <c r="YM1495" s="42" t="str">
        <f ca="1"/>
        <v/>
      </c>
      <c r="YN1495" s="42" t="str">
        <f ca="1"/>
        <v/>
      </c>
      <c r="YO1495" s="42" t="str">
        <f ca="1"/>
        <v/>
      </c>
      <c r="YP1495" s="42" t="str">
        <f ca="1"/>
        <v/>
      </c>
      <c r="YQ1495" s="42" t="str">
        <f ca="1"/>
        <v/>
      </c>
      <c r="YR1495" s="42" t="str">
        <f ca="1"/>
        <v/>
      </c>
      <c r="YS1495" s="42" t="str">
        <f ca="1"/>
        <v/>
      </c>
      <c r="YT1495" s="42" t="str">
        <f ca="1"/>
        <v/>
      </c>
      <c r="YU1495" s="42" t="str">
        <f ca="1"/>
        <v/>
      </c>
      <c r="YV1495" s="42" t="str">
        <f ca="1"/>
        <v/>
      </c>
      <c r="YW1495" s="42" t="str">
        <f ca="1"/>
        <v/>
      </c>
      <c r="YX1495" s="42" t="str">
        <f ca="1"/>
        <v/>
      </c>
      <c r="YY1495" s="42" t="str">
        <f ca="1"/>
        <v/>
      </c>
      <c r="YZ1495" s="42" t="str">
        <f ca="1"/>
        <v/>
      </c>
      <c r="ZA1495" s="42" t="str">
        <f ca="1"/>
        <v/>
      </c>
      <c r="ZB1495" s="42" t="str">
        <f ca="1"/>
        <v/>
      </c>
      <c r="ZC1495" s="42" t="str">
        <f ca="1"/>
        <v/>
      </c>
      <c r="ZD1495" s="42" t="str">
        <f ca="1"/>
        <v/>
      </c>
      <c r="ZE1495" s="42" t="str">
        <f ca="1"/>
        <v/>
      </c>
      <c r="ZF1495" s="42" t="str">
        <f ca="1"/>
        <v/>
      </c>
      <c r="ZG1495" s="42" t="str">
        <f ca="1"/>
        <v/>
      </c>
      <c r="ZH1495" s="42" t="str">
        <f ca="1"/>
        <v/>
      </c>
      <c r="ZI1495" s="42" t="str">
        <f ca="1"/>
        <v/>
      </c>
      <c r="ZJ1495" s="42" t="str">
        <f ca="1"/>
        <v/>
      </c>
      <c r="ZK1495" s="42" t="str">
        <f ca="1"/>
        <v/>
      </c>
      <c r="ZL1495" s="42" t="str">
        <f ca="1"/>
        <v/>
      </c>
      <c r="ZM1495" s="42" t="str">
        <f ca="1"/>
        <v/>
      </c>
      <c r="ZN1495" s="42" t="str">
        <f ca="1"/>
        <v/>
      </c>
      <c r="ZO1495" s="42" t="str">
        <f ca="1"/>
        <v/>
      </c>
      <c r="ZP1495" s="42" t="str">
        <f ca="1"/>
        <v/>
      </c>
      <c r="ZQ1495" s="42" t="str">
        <f ca="1"/>
        <v/>
      </c>
      <c r="ZR1495" s="42" t="str">
        <f ca="1"/>
        <v/>
      </c>
      <c r="ZS1495" s="42" t="str">
        <f ca="1"/>
        <v/>
      </c>
      <c r="ZT1495" s="42" t="str">
        <f ca="1"/>
        <v/>
      </c>
      <c r="ZU1495" s="42" t="str">
        <f ca="1"/>
        <v/>
      </c>
      <c r="ZV1495" s="42" t="str">
        <f ca="1"/>
        <v/>
      </c>
      <c r="ZW1495" s="42" t="str">
        <f ca="1"/>
        <v/>
      </c>
      <c r="ZX1495" s="42" t="str">
        <f ca="1"/>
        <v/>
      </c>
      <c r="ZY1495" s="42" t="str">
        <f ca="1"/>
        <v/>
      </c>
      <c r="ZZ1495" s="42" t="str">
        <f ca="1"/>
        <v/>
      </c>
      <c r="AAA1495" s="42" t="str">
        <f ca="1"/>
        <v/>
      </c>
      <c r="AAB1495" s="42" t="str">
        <f ca="1"/>
        <v/>
      </c>
      <c r="AAC1495" s="42" t="str">
        <f ca="1"/>
        <v/>
      </c>
      <c r="AAD1495" s="42" t="str">
        <f ca="1"/>
        <v/>
      </c>
      <c r="AAE1495" s="42" t="str">
        <f ca="1"/>
        <v/>
      </c>
      <c r="AAF1495" s="42" t="str">
        <f ca="1"/>
        <v/>
      </c>
      <c r="AAG1495" s="42" t="str">
        <f ca="1"/>
        <v/>
      </c>
      <c r="AAH1495" s="42" t="str">
        <f ca="1"/>
        <v/>
      </c>
      <c r="AAI1495" s="42" t="str">
        <f ca="1"/>
        <v/>
      </c>
      <c r="AAJ1495" s="42" t="str">
        <f ca="1"/>
        <v/>
      </c>
      <c r="AAK1495" s="42" t="str">
        <f ca="1"/>
        <v/>
      </c>
      <c r="AAL1495" s="42" t="str">
        <f ca="1"/>
        <v/>
      </c>
      <c r="AAM1495" s="42" t="str">
        <f ca="1"/>
        <v/>
      </c>
      <c r="AAN1495" s="42" t="str">
        <f ca="1"/>
        <v/>
      </c>
      <c r="AAO1495" s="42" t="str">
        <f ca="1"/>
        <v/>
      </c>
      <c r="AAP1495" s="42" t="str">
        <f ca="1"/>
        <v/>
      </c>
      <c r="AAQ1495" s="42" t="str">
        <f ca="1"/>
        <v/>
      </c>
      <c r="AAR1495" s="42" t="str">
        <f ca="1"/>
        <v/>
      </c>
      <c r="AAS1495" s="42" t="str">
        <f ca="1"/>
        <v/>
      </c>
      <c r="AAT1495" s="42" t="str">
        <f ca="1"/>
        <v/>
      </c>
      <c r="AAU1495" s="42" t="str">
        <f ca="1"/>
        <v/>
      </c>
      <c r="AAV1495" s="42" t="str">
        <f ca="1"/>
        <v/>
      </c>
      <c r="AAW1495" s="42" t="str">
        <f ca="1"/>
        <v/>
      </c>
      <c r="AAX1495" s="42" t="str">
        <f ca="1"/>
        <v/>
      </c>
      <c r="AAY1495" s="42" t="str">
        <f ca="1"/>
        <v/>
      </c>
      <c r="AAZ1495" s="42" t="str">
        <f ca="1"/>
        <v/>
      </c>
      <c r="ABA1495" s="42" t="str">
        <f ca="1"/>
        <v/>
      </c>
      <c r="ABB1495" s="42" t="str">
        <f ca="1"/>
        <v/>
      </c>
      <c r="ABC1495" s="42" t="str">
        <f ca="1"/>
        <v/>
      </c>
      <c r="ABD1495" s="42" t="str">
        <f ca="1"/>
        <v/>
      </c>
      <c r="ABE1495" s="42" t="str">
        <f ca="1"/>
        <v/>
      </c>
      <c r="ABF1495" s="42" t="str">
        <f ca="1"/>
        <v/>
      </c>
      <c r="ABG1495" s="42" t="str">
        <f ca="1"/>
        <v/>
      </c>
      <c r="ABH1495" s="42" t="str">
        <f ca="1"/>
        <v/>
      </c>
      <c r="ABI1495" s="42" t="str">
        <f ca="1"/>
        <v/>
      </c>
      <c r="ABJ1495" s="42" t="str">
        <f ca="1"/>
        <v/>
      </c>
      <c r="ABK1495" s="42" t="str">
        <f ca="1"/>
        <v/>
      </c>
      <c r="ABL1495" s="42" t="str">
        <f ca="1"/>
        <v/>
      </c>
      <c r="ABM1495" s="42" t="str">
        <f ca="1"/>
        <v/>
      </c>
      <c r="ABN1495" s="42" t="str">
        <f ca="1"/>
        <v/>
      </c>
      <c r="ABO1495" s="42" t="str">
        <f ca="1"/>
        <v/>
      </c>
      <c r="ABP1495" s="42" t="str">
        <f ca="1"/>
        <v/>
      </c>
      <c r="ABQ1495" s="42" t="str">
        <f ca="1"/>
        <v/>
      </c>
      <c r="ABR1495" s="42" t="str">
        <f ca="1"/>
        <v/>
      </c>
      <c r="ABS1495" s="42" t="str">
        <f ca="1"/>
        <v/>
      </c>
      <c r="ABT1495" s="42" t="str">
        <f ca="1"/>
        <v/>
      </c>
      <c r="ABU1495" s="42" t="str">
        <f ca="1"/>
        <v/>
      </c>
      <c r="ABV1495" s="42" t="str">
        <f ca="1"/>
        <v/>
      </c>
      <c r="ABW1495" s="42" t="str">
        <f ca="1"/>
        <v/>
      </c>
      <c r="ABX1495" s="42" t="str">
        <f ca="1"/>
        <v/>
      </c>
      <c r="ABY1495" s="42" t="str">
        <f ca="1"/>
        <v/>
      </c>
      <c r="ABZ1495" s="42" t="str">
        <f ca="1"/>
        <v/>
      </c>
      <c r="ACA1495" s="42" t="str">
        <f ca="1"/>
        <v/>
      </c>
      <c r="ACB1495" s="42" t="str">
        <f ca="1"/>
        <v/>
      </c>
      <c r="ACC1495" s="42" t="str">
        <f ca="1"/>
        <v/>
      </c>
      <c r="ACD1495" s="42" t="str">
        <f ca="1"/>
        <v/>
      </c>
      <c r="ACE1495" s="42" t="str">
        <f ca="1"/>
        <v/>
      </c>
      <c r="ACF1495" s="42" t="str">
        <f ca="1"/>
        <v/>
      </c>
      <c r="ACG1495" s="42" t="str">
        <f ca="1"/>
        <v/>
      </c>
      <c r="ACH1495" s="42" t="str">
        <f ca="1"/>
        <v/>
      </c>
      <c r="ACI1495" s="42" t="str">
        <f ca="1"/>
        <v/>
      </c>
      <c r="ACJ1495" s="42" t="str">
        <f ca="1"/>
        <v/>
      </c>
      <c r="ACK1495" s="42" t="str">
        <f ca="1"/>
        <v/>
      </c>
      <c r="ACL1495" s="42" t="str">
        <f ca="1"/>
        <v/>
      </c>
      <c r="ACM1495" s="42" t="str">
        <f ca="1"/>
        <v/>
      </c>
      <c r="ACN1495" s="42" t="str">
        <f ca="1"/>
        <v/>
      </c>
      <c r="ACO1495" s="42" t="str">
        <f ca="1"/>
        <v/>
      </c>
      <c r="ACP1495" s="42" t="str">
        <f ca="1"/>
        <v/>
      </c>
      <c r="ACQ1495" s="42" t="str">
        <f ca="1"/>
        <v/>
      </c>
      <c r="ACR1495" s="42" t="str">
        <f ca="1"/>
        <v/>
      </c>
      <c r="ACS1495" s="42" t="str">
        <f ca="1"/>
        <v/>
      </c>
      <c r="ACT1495" s="42" t="str">
        <f ca="1"/>
        <v/>
      </c>
      <c r="ACU1495" s="42" t="str">
        <f ca="1"/>
        <v/>
      </c>
      <c r="ACV1495" s="42" t="str">
        <f ca="1"/>
        <v/>
      </c>
      <c r="ACW1495" s="42" t="str">
        <f ca="1"/>
        <v/>
      </c>
      <c r="ACX1495" s="42" t="str">
        <f ca="1"/>
        <v/>
      </c>
      <c r="ACY1495" s="42" t="str">
        <f ca="1"/>
        <v/>
      </c>
      <c r="ACZ1495" s="42" t="str">
        <f ca="1"/>
        <v/>
      </c>
      <c r="ADA1495" s="42" t="str">
        <f ca="1"/>
        <v/>
      </c>
      <c r="ADB1495" s="42" t="str">
        <f ca="1"/>
        <v/>
      </c>
      <c r="ADC1495" s="42" t="str">
        <f ca="1"/>
        <v/>
      </c>
      <c r="ADD1495" s="42" t="str">
        <f ca="1"/>
        <v/>
      </c>
      <c r="ADE1495" s="42" t="str">
        <f ca="1"/>
        <v/>
      </c>
      <c r="ADF1495" s="42" t="str">
        <f ca="1"/>
        <v/>
      </c>
      <c r="ADG1495" s="42" t="str">
        <f ca="1"/>
        <v/>
      </c>
      <c r="ADH1495" s="42" t="str">
        <f ca="1"/>
        <v/>
      </c>
      <c r="ADI1495" s="42" t="str">
        <f ca="1"/>
        <v/>
      </c>
      <c r="ADJ1495" s="42" t="str">
        <f ca="1"/>
        <v/>
      </c>
      <c r="ADK1495" s="42" t="str">
        <f ca="1"/>
        <v/>
      </c>
      <c r="ADL1495" s="42" t="str">
        <f ca="1"/>
        <v/>
      </c>
      <c r="ADM1495" s="42" t="str">
        <f ca="1"/>
        <v/>
      </c>
      <c r="ADN1495" s="42" t="str">
        <f ca="1"/>
        <v/>
      </c>
      <c r="ADO1495" s="42" t="str">
        <f ca="1"/>
        <v/>
      </c>
      <c r="ADP1495" s="42" t="str">
        <f ca="1"/>
        <v/>
      </c>
      <c r="ADQ1495" s="42" t="str">
        <f ca="1"/>
        <v/>
      </c>
      <c r="ADR1495" s="42" t="str">
        <f ca="1"/>
        <v/>
      </c>
      <c r="ADS1495" s="42" t="str">
        <f ca="1"/>
        <v/>
      </c>
      <c r="ADT1495" s="42" t="str">
        <f ca="1"/>
        <v/>
      </c>
      <c r="ADU1495" s="42" t="str">
        <f ca="1"/>
        <v/>
      </c>
      <c r="ADV1495" s="42" t="str">
        <f ca="1"/>
        <v/>
      </c>
      <c r="ADW1495" s="42" t="str">
        <f ca="1"/>
        <v/>
      </c>
      <c r="ADX1495" s="42" t="str">
        <f ca="1"/>
        <v/>
      </c>
      <c r="ADY1495" s="42" t="str">
        <f ca="1"/>
        <v/>
      </c>
      <c r="ADZ1495" s="42" t="str">
        <f ca="1"/>
        <v/>
      </c>
      <c r="AEA1495" s="42" t="str">
        <f ca="1"/>
        <v/>
      </c>
      <c r="AEB1495" s="42" t="str">
        <f ca="1"/>
        <v/>
      </c>
      <c r="AEC1495" s="42" t="str">
        <f ca="1"/>
        <v/>
      </c>
      <c r="AED1495" s="42" t="str">
        <f ca="1"/>
        <v/>
      </c>
      <c r="AEE1495" s="42" t="str">
        <f ca="1"/>
        <v/>
      </c>
      <c r="AEF1495" s="42" t="str">
        <f ca="1"/>
        <v/>
      </c>
      <c r="AEG1495" s="42" t="str">
        <f ca="1"/>
        <v/>
      </c>
      <c r="AEH1495" s="42" t="str">
        <f ca="1"/>
        <v/>
      </c>
      <c r="AEI1495" s="42" t="str">
        <f ca="1"/>
        <v/>
      </c>
      <c r="AEJ1495" s="42" t="str">
        <f ca="1"/>
        <v/>
      </c>
      <c r="AEK1495" s="42" t="str">
        <f ca="1"/>
        <v/>
      </c>
      <c r="AEL1495" s="42" t="str">
        <f ca="1"/>
        <v/>
      </c>
      <c r="AEM1495" s="42" t="str">
        <f ca="1"/>
        <v/>
      </c>
      <c r="AEN1495" s="42" t="str">
        <f ca="1"/>
        <v/>
      </c>
      <c r="AEO1495" s="42" t="str">
        <f ca="1"/>
        <v/>
      </c>
      <c r="AEP1495" s="42" t="str">
        <f ca="1"/>
        <v/>
      </c>
      <c r="AEQ1495" s="42" t="str">
        <f ca="1"/>
        <v/>
      </c>
      <c r="AER1495" s="42" t="str">
        <f ca="1"/>
        <v/>
      </c>
      <c r="AES1495" s="42" t="str">
        <f ca="1"/>
        <v/>
      </c>
      <c r="AET1495" s="42" t="str">
        <f ca="1"/>
        <v/>
      </c>
      <c r="AEU1495" s="42" t="str">
        <f ca="1"/>
        <v/>
      </c>
      <c r="AEV1495" s="42" t="str">
        <f ca="1"/>
        <v/>
      </c>
      <c r="AEW1495" s="42" t="str">
        <f ca="1"/>
        <v/>
      </c>
      <c r="AEX1495" s="42" t="str">
        <f ca="1"/>
        <v/>
      </c>
      <c r="AEY1495" s="42" t="str">
        <f ca="1"/>
        <v/>
      </c>
      <c r="AEZ1495" s="42" t="str">
        <f ca="1"/>
        <v/>
      </c>
      <c r="AFA1495" s="42" t="str">
        <f ca="1"/>
        <v/>
      </c>
      <c r="AFB1495" s="42" t="str">
        <f ca="1"/>
        <v/>
      </c>
      <c r="AFC1495" s="42" t="str">
        <f ca="1"/>
        <v/>
      </c>
      <c r="AFD1495" s="42" t="str">
        <f ca="1"/>
        <v/>
      </c>
      <c r="AFE1495" s="42" t="str">
        <f ca="1"/>
        <v/>
      </c>
      <c r="AFF1495" s="42" t="str">
        <f ca="1"/>
        <v/>
      </c>
      <c r="AFG1495" s="42" t="str">
        <f ca="1"/>
        <v/>
      </c>
      <c r="AFH1495" s="42" t="str">
        <f ca="1"/>
        <v/>
      </c>
      <c r="AFI1495" s="42" t="str">
        <f ca="1"/>
        <v/>
      </c>
      <c r="AFJ1495" s="42" t="str">
        <f ca="1"/>
        <v/>
      </c>
      <c r="AFK1495" s="42" t="str">
        <f ca="1"/>
        <v/>
      </c>
      <c r="AFL1495" s="42" t="str">
        <f ca="1"/>
        <v/>
      </c>
      <c r="AFM1495" s="42" t="str">
        <f ca="1"/>
        <v/>
      </c>
      <c r="AFN1495" s="42" t="str">
        <f ca="1"/>
        <v/>
      </c>
      <c r="AFO1495" s="42" t="str">
        <f ca="1"/>
        <v/>
      </c>
      <c r="AFP1495" s="42" t="str">
        <f ca="1"/>
        <v/>
      </c>
      <c r="AFQ1495" s="42" t="str">
        <f ca="1"/>
        <v/>
      </c>
      <c r="AFR1495" s="42" t="str">
        <f ca="1"/>
        <v/>
      </c>
      <c r="AFS1495" s="42" t="str">
        <f ca="1"/>
        <v/>
      </c>
      <c r="AFT1495" s="42" t="str">
        <f ca="1"/>
        <v/>
      </c>
      <c r="AFU1495" s="42" t="str">
        <f ca="1"/>
        <v/>
      </c>
      <c r="AFV1495" s="42" t="str">
        <f ca="1"/>
        <v/>
      </c>
      <c r="AFW1495" s="42" t="str">
        <f ca="1"/>
        <v/>
      </c>
      <c r="AFX1495" s="42" t="str">
        <f ca="1"/>
        <v/>
      </c>
      <c r="AFY1495" s="42" t="str">
        <f ca="1"/>
        <v/>
      </c>
      <c r="AFZ1495" s="42" t="str">
        <f ca="1"/>
        <v/>
      </c>
      <c r="AGA1495" s="42" t="str">
        <f ca="1"/>
        <v/>
      </c>
      <c r="AGB1495" s="42" t="str">
        <f ca="1"/>
        <v/>
      </c>
      <c r="AGC1495" s="42" t="str">
        <f ca="1"/>
        <v/>
      </c>
      <c r="AGD1495" s="42" t="str">
        <f ca="1"/>
        <v/>
      </c>
      <c r="AGE1495" s="42" t="str">
        <f ca="1"/>
        <v/>
      </c>
      <c r="AGF1495" s="42" t="str">
        <f ca="1"/>
        <v/>
      </c>
      <c r="AGG1495" s="42" t="str">
        <f ca="1"/>
        <v/>
      </c>
      <c r="AGH1495" s="42" t="str">
        <f ca="1"/>
        <v/>
      </c>
      <c r="AGI1495" s="42" t="str">
        <f ca="1"/>
        <v/>
      </c>
      <c r="AGJ1495" s="42" t="str">
        <f ca="1"/>
        <v/>
      </c>
      <c r="AGK1495" s="42" t="str">
        <f ca="1"/>
        <v/>
      </c>
      <c r="AGL1495" s="42" t="str">
        <f ca="1"/>
        <v/>
      </c>
      <c r="AGM1495" s="42" t="str">
        <f ca="1"/>
        <v/>
      </c>
      <c r="AGN1495" s="42" t="str">
        <f ca="1"/>
        <v/>
      </c>
    </row>
    <row r="1496" spans="15:872" x14ac:dyDescent="0.25">
      <c r="O1496" s="42">
        <v>6</v>
      </c>
      <c r="P1496" s="42" t="str">
        <f ca="1"/>
        <v/>
      </c>
      <c r="Q1496" s="42" t="str">
        <f ca="1"/>
        <v/>
      </c>
      <c r="R1496" s="42" t="str">
        <f ca="1"/>
        <v/>
      </c>
      <c r="S1496" s="42" t="str">
        <f ca="1"/>
        <v/>
      </c>
      <c r="T1496" s="42" t="str">
        <f ca="1"/>
        <v/>
      </c>
      <c r="U1496" s="42" t="str">
        <f ca="1"/>
        <v/>
      </c>
      <c r="V1496" s="42" t="str">
        <f ca="1"/>
        <v/>
      </c>
      <c r="W1496" s="42" t="str">
        <f ca="1"/>
        <v/>
      </c>
      <c r="X1496" s="42" t="str">
        <f ca="1"/>
        <v/>
      </c>
      <c r="Y1496" s="42" t="str">
        <f ca="1"/>
        <v/>
      </c>
      <c r="Z1496" s="42" t="str">
        <f ca="1"/>
        <v/>
      </c>
      <c r="AA1496" s="42" t="str">
        <f ca="1"/>
        <v/>
      </c>
      <c r="AB1496" s="42" t="str">
        <f ca="1"/>
        <v/>
      </c>
      <c r="AC1496" s="42" t="str">
        <f ca="1"/>
        <v/>
      </c>
      <c r="AD1496" s="42" t="str">
        <f ca="1"/>
        <v/>
      </c>
      <c r="AE1496" s="42" t="str">
        <f ca="1"/>
        <v/>
      </c>
      <c r="AF1496" s="42" t="str">
        <f ca="1"/>
        <v/>
      </c>
      <c r="AG1496" s="42" t="str">
        <f ca="1"/>
        <v/>
      </c>
      <c r="AH1496" s="42" t="str">
        <f ca="1"/>
        <v/>
      </c>
      <c r="AI1496" s="42" t="str">
        <f ca="1"/>
        <v/>
      </c>
      <c r="AJ1496" s="42">
        <f ca="1"/>
        <v>974</v>
      </c>
      <c r="AK1496" s="42" t="str">
        <f ca="1"/>
        <v/>
      </c>
      <c r="AL1496" s="42" t="str">
        <f ca="1"/>
        <v/>
      </c>
      <c r="AM1496" s="42" t="str">
        <f ca="1"/>
        <v/>
      </c>
      <c r="AN1496" s="42" t="str">
        <f ca="1"/>
        <v/>
      </c>
      <c r="AO1496" s="42" t="str">
        <f ca="1"/>
        <v/>
      </c>
      <c r="AP1496" s="42" t="str">
        <f ca="1"/>
        <v/>
      </c>
      <c r="AQ1496" s="42" t="str">
        <f ca="1"/>
        <v/>
      </c>
      <c r="AR1496" s="42" t="str">
        <f ca="1"/>
        <v/>
      </c>
      <c r="AS1496" s="42" t="str">
        <f ca="1"/>
        <v/>
      </c>
      <c r="AT1496" s="42" t="str">
        <f ca="1"/>
        <v/>
      </c>
      <c r="AU1496" s="42" t="str">
        <f ca="1"/>
        <v/>
      </c>
      <c r="AV1496" s="42" t="str">
        <f ca="1"/>
        <v/>
      </c>
      <c r="AW1496" s="42" t="str">
        <f ca="1"/>
        <v/>
      </c>
      <c r="AX1496" s="42" t="str">
        <f ca="1"/>
        <v/>
      </c>
      <c r="AY1496" s="42">
        <f ca="1"/>
        <v>1200</v>
      </c>
      <c r="AZ1496" s="42" t="str">
        <f ca="1"/>
        <v/>
      </c>
      <c r="BA1496" s="42">
        <f ca="1"/>
        <v>364</v>
      </c>
      <c r="BB1496" s="42" t="str">
        <f ca="1"/>
        <v/>
      </c>
      <c r="BC1496" s="42" t="str">
        <f ca="1"/>
        <v/>
      </c>
      <c r="BD1496" s="42" t="str">
        <f ca="1"/>
        <v/>
      </c>
      <c r="BE1496" s="42" t="str">
        <f ca="1"/>
        <v/>
      </c>
      <c r="BF1496" s="42" t="str">
        <f ca="1"/>
        <v/>
      </c>
      <c r="BG1496" s="42" t="str">
        <f ca="1"/>
        <v/>
      </c>
      <c r="BH1496" s="42" t="str">
        <f ca="1"/>
        <v/>
      </c>
      <c r="BI1496" s="42" t="str">
        <f ca="1"/>
        <v/>
      </c>
      <c r="BJ1496" s="42" t="str">
        <f ca="1"/>
        <v/>
      </c>
      <c r="BK1496" s="42" t="str">
        <f ca="1"/>
        <v/>
      </c>
      <c r="BL1496" s="42" t="str">
        <f ca="1"/>
        <v/>
      </c>
      <c r="BM1496" s="42" t="str">
        <f ca="1"/>
        <v/>
      </c>
      <c r="BN1496" s="42" t="str">
        <f ca="1"/>
        <v/>
      </c>
      <c r="BO1496" s="42" t="str">
        <f ca="1"/>
        <v/>
      </c>
      <c r="BP1496" s="42" t="str">
        <f ca="1"/>
        <v/>
      </c>
      <c r="BQ1496" s="42" t="str">
        <f ca="1"/>
        <v/>
      </c>
      <c r="BR1496" s="42" t="str">
        <f ca="1"/>
        <v/>
      </c>
      <c r="BS1496" s="42" t="str">
        <f ca="1"/>
        <v/>
      </c>
      <c r="BT1496" s="42">
        <f ca="1"/>
        <v>500</v>
      </c>
      <c r="BU1496" s="42" t="str">
        <f ca="1"/>
        <v/>
      </c>
      <c r="BV1496" s="42" t="str">
        <f ca="1"/>
        <v/>
      </c>
      <c r="BW1496" s="42" t="str">
        <f ca="1"/>
        <v/>
      </c>
      <c r="BX1496" s="42" t="str">
        <f ca="1"/>
        <v/>
      </c>
      <c r="BY1496" s="42" t="str">
        <f ca="1"/>
        <v/>
      </c>
      <c r="BZ1496" s="42" t="str">
        <f ca="1"/>
        <v/>
      </c>
      <c r="CA1496" s="42" t="str">
        <f ca="1"/>
        <v/>
      </c>
      <c r="CB1496" s="42" t="str">
        <f ca="1"/>
        <v/>
      </c>
      <c r="CC1496" s="42" t="str">
        <f ca="1"/>
        <v/>
      </c>
      <c r="CD1496" s="42" t="str">
        <f ca="1"/>
        <v/>
      </c>
      <c r="CE1496" s="42" t="str">
        <f ca="1"/>
        <v/>
      </c>
      <c r="CF1496" s="42" t="str">
        <f ca="1"/>
        <v/>
      </c>
      <c r="CG1496" s="42" t="str">
        <f ca="1"/>
        <v/>
      </c>
      <c r="CH1496" s="42" t="str">
        <f ca="1"/>
        <v/>
      </c>
      <c r="CI1496" s="42" t="str">
        <f ca="1"/>
        <v/>
      </c>
      <c r="CJ1496" s="42" t="str">
        <f ca="1"/>
        <v/>
      </c>
      <c r="CK1496" s="42" t="str">
        <f ca="1"/>
        <v/>
      </c>
      <c r="CL1496" s="42" t="str">
        <f ca="1"/>
        <v/>
      </c>
      <c r="CM1496" s="42" t="str">
        <f ca="1"/>
        <v/>
      </c>
      <c r="CN1496" s="42" t="str">
        <f ca="1"/>
        <v/>
      </c>
      <c r="CO1496" s="42" t="str">
        <f ca="1"/>
        <v/>
      </c>
      <c r="CP1496" s="42" t="str">
        <f ca="1"/>
        <v/>
      </c>
      <c r="CQ1496" s="42" t="str">
        <f ca="1"/>
        <v/>
      </c>
      <c r="CR1496" s="42" t="str">
        <f ca="1"/>
        <v/>
      </c>
      <c r="CS1496" s="42" t="str">
        <f ca="1"/>
        <v/>
      </c>
      <c r="CT1496" s="42" t="str">
        <f ca="1"/>
        <v/>
      </c>
      <c r="CU1496" s="42" t="str">
        <f ca="1"/>
        <v/>
      </c>
      <c r="CV1496" s="42" t="str">
        <f ca="1"/>
        <v/>
      </c>
      <c r="CW1496" s="42" t="str">
        <f ca="1"/>
        <v/>
      </c>
      <c r="CX1496" s="42" t="str">
        <f ca="1"/>
        <v/>
      </c>
      <c r="CY1496" s="42" t="str">
        <f ca="1"/>
        <v/>
      </c>
      <c r="CZ1496" s="42" t="str">
        <f ca="1"/>
        <v/>
      </c>
      <c r="DA1496" s="42" t="str">
        <f ca="1"/>
        <v/>
      </c>
      <c r="DB1496" s="42" t="str">
        <f ca="1"/>
        <v/>
      </c>
      <c r="DC1496" s="42" t="str">
        <f ca="1"/>
        <v/>
      </c>
      <c r="DD1496" s="42" t="str">
        <f ca="1"/>
        <v/>
      </c>
      <c r="DE1496" s="42" t="str">
        <f ca="1"/>
        <v/>
      </c>
      <c r="DF1496" s="42" t="str">
        <f ca="1"/>
        <v/>
      </c>
      <c r="DG1496" s="42" t="str">
        <f ca="1"/>
        <v/>
      </c>
      <c r="DH1496" s="42" t="str">
        <f ca="1"/>
        <v/>
      </c>
      <c r="DI1496" s="42" t="str">
        <f ca="1"/>
        <v/>
      </c>
      <c r="DJ1496" s="42" t="str">
        <f ca="1"/>
        <v/>
      </c>
      <c r="DK1496" s="42" t="str">
        <f ca="1"/>
        <v/>
      </c>
      <c r="DL1496" s="42" t="str">
        <f ca="1"/>
        <v/>
      </c>
      <c r="DM1496" s="42" t="str">
        <f ca="1"/>
        <v/>
      </c>
      <c r="DN1496" s="42" t="str">
        <f ca="1"/>
        <v/>
      </c>
      <c r="DO1496" s="42" t="str">
        <f ca="1"/>
        <v/>
      </c>
      <c r="DP1496" s="42" t="str">
        <f ca="1"/>
        <v/>
      </c>
      <c r="DQ1496" s="42" t="str">
        <f ca="1"/>
        <v/>
      </c>
      <c r="DR1496" s="42" t="str">
        <f ca="1"/>
        <v/>
      </c>
      <c r="DS1496" s="42" t="str">
        <f ca="1"/>
        <v/>
      </c>
      <c r="DT1496" s="42" t="str">
        <f ca="1"/>
        <v/>
      </c>
      <c r="DU1496" s="42" t="str">
        <f ca="1"/>
        <v/>
      </c>
      <c r="DV1496" s="42" t="str">
        <f ca="1"/>
        <v/>
      </c>
      <c r="DW1496" s="42" t="str">
        <f ca="1"/>
        <v/>
      </c>
      <c r="DX1496" s="42" t="str">
        <f ca="1"/>
        <v/>
      </c>
      <c r="DY1496" s="42" t="str">
        <f ca="1"/>
        <v/>
      </c>
      <c r="DZ1496" s="42" t="str">
        <f ca="1"/>
        <v/>
      </c>
      <c r="EA1496" s="42" t="str">
        <f ca="1"/>
        <v/>
      </c>
      <c r="EB1496" s="42" t="str">
        <f ca="1"/>
        <v/>
      </c>
      <c r="EC1496" s="42" t="str">
        <f ca="1"/>
        <v/>
      </c>
      <c r="ED1496" s="42" t="str">
        <f ca="1"/>
        <v/>
      </c>
      <c r="EE1496" s="42" t="str">
        <f ca="1"/>
        <v/>
      </c>
      <c r="EF1496" s="42" t="str">
        <f ca="1"/>
        <v/>
      </c>
      <c r="EG1496" s="42" t="str">
        <f ca="1"/>
        <v/>
      </c>
      <c r="EH1496" s="42" t="str">
        <f ca="1"/>
        <v/>
      </c>
      <c r="EI1496" s="42" t="str">
        <f ca="1"/>
        <v/>
      </c>
      <c r="EJ1496" s="42" t="str">
        <f ca="1"/>
        <v/>
      </c>
      <c r="EK1496" s="42" t="str">
        <f ca="1"/>
        <v/>
      </c>
      <c r="EL1496" s="42" t="str">
        <f ca="1"/>
        <v/>
      </c>
      <c r="EM1496" s="42" t="str">
        <f ca="1"/>
        <v/>
      </c>
      <c r="EN1496" s="42" t="str">
        <f ca="1"/>
        <v/>
      </c>
      <c r="EO1496" s="42" t="str">
        <f ca="1"/>
        <v/>
      </c>
      <c r="EP1496" s="42" t="str">
        <f ca="1"/>
        <v/>
      </c>
      <c r="EQ1496" s="42" t="str">
        <f ca="1"/>
        <v/>
      </c>
      <c r="ER1496" s="42" t="str">
        <f ca="1"/>
        <v/>
      </c>
      <c r="ES1496" s="42" t="str">
        <f ca="1"/>
        <v/>
      </c>
      <c r="ET1496" s="42" t="str">
        <f ca="1"/>
        <v/>
      </c>
      <c r="EU1496" s="42" t="str">
        <f ca="1"/>
        <v/>
      </c>
      <c r="EV1496" s="42" t="str">
        <f ca="1"/>
        <v/>
      </c>
      <c r="EW1496" s="42" t="str">
        <f ca="1"/>
        <v/>
      </c>
      <c r="EX1496" s="42" t="str">
        <f ca="1"/>
        <v/>
      </c>
      <c r="EY1496" s="42" t="str">
        <f ca="1"/>
        <v/>
      </c>
      <c r="EZ1496" s="42" t="str">
        <f ca="1"/>
        <v/>
      </c>
      <c r="FA1496" s="42">
        <f ca="1"/>
        <v>736</v>
      </c>
      <c r="FB1496" s="42" t="str">
        <f ca="1"/>
        <v/>
      </c>
      <c r="FC1496" s="42">
        <f ca="1"/>
        <v>823</v>
      </c>
      <c r="FD1496" s="42" t="str">
        <f ca="1"/>
        <v/>
      </c>
      <c r="FE1496" s="42" t="str">
        <f ca="1"/>
        <v/>
      </c>
      <c r="FF1496" s="42" t="str">
        <f ca="1"/>
        <v/>
      </c>
      <c r="FG1496" s="42" t="str">
        <f ca="1"/>
        <v/>
      </c>
      <c r="FH1496" s="42" t="str">
        <f ca="1"/>
        <v/>
      </c>
      <c r="FI1496" s="42">
        <f ca="1"/>
        <v>610</v>
      </c>
      <c r="FJ1496" s="42" t="str">
        <f ca="1"/>
        <v/>
      </c>
      <c r="FK1496" s="42" t="str">
        <f ca="1"/>
        <v/>
      </c>
      <c r="FL1496" s="42" t="str">
        <f ca="1"/>
        <v/>
      </c>
      <c r="FM1496" s="42" t="str">
        <f ca="1"/>
        <v/>
      </c>
      <c r="FN1496" s="42" t="str">
        <f ca="1"/>
        <v/>
      </c>
      <c r="FO1496" s="42" t="str">
        <f ca="1"/>
        <v/>
      </c>
      <c r="FP1496" s="42" t="str">
        <f ca="1"/>
        <v/>
      </c>
      <c r="FQ1496" s="42" t="str">
        <f ca="1"/>
        <v/>
      </c>
      <c r="FR1496" s="42" t="str">
        <f ca="1"/>
        <v/>
      </c>
      <c r="FS1496" s="42" t="str">
        <f ca="1"/>
        <v/>
      </c>
      <c r="FT1496" s="42" t="str">
        <f ca="1"/>
        <v/>
      </c>
      <c r="FU1496" s="42" t="str">
        <f ca="1"/>
        <v/>
      </c>
      <c r="FV1496" s="42" t="str">
        <f ca="1"/>
        <v/>
      </c>
      <c r="FW1496" s="42" t="str">
        <f ca="1"/>
        <v/>
      </c>
      <c r="FX1496" s="42" t="str">
        <f ca="1"/>
        <v/>
      </c>
      <c r="FY1496" s="42" t="str">
        <f ca="1"/>
        <v/>
      </c>
      <c r="FZ1496" s="42" t="str">
        <f ca="1"/>
        <v/>
      </c>
      <c r="GA1496" s="42" t="str">
        <f ca="1"/>
        <v/>
      </c>
      <c r="GB1496" s="42" t="str">
        <f ca="1"/>
        <v/>
      </c>
      <c r="GC1496" s="42">
        <f ca="1"/>
        <v>823</v>
      </c>
      <c r="GD1496" s="42" t="str">
        <f ca="1"/>
        <v/>
      </c>
      <c r="GE1496" s="42" t="str">
        <f ca="1"/>
        <v/>
      </c>
      <c r="GF1496" s="42">
        <f ca="1"/>
        <v>716</v>
      </c>
      <c r="GG1496" s="42">
        <f ca="1"/>
        <v>1646</v>
      </c>
      <c r="GH1496" s="42" t="str">
        <f ca="1"/>
        <v/>
      </c>
      <c r="GI1496" s="42" t="str">
        <f ca="1"/>
        <v/>
      </c>
      <c r="GJ1496" s="42" t="str">
        <f ca="1"/>
        <v/>
      </c>
      <c r="GK1496" s="42" t="str">
        <f ca="1"/>
        <v/>
      </c>
      <c r="GL1496" s="42" t="str">
        <f ca="1"/>
        <v/>
      </c>
      <c r="GM1496" s="42" t="str">
        <f ca="1"/>
        <v/>
      </c>
      <c r="GN1496" s="42" t="str">
        <f ca="1"/>
        <v/>
      </c>
      <c r="GO1496" s="42" t="str">
        <f ca="1"/>
        <v/>
      </c>
      <c r="GP1496" s="42" t="str">
        <f ca="1"/>
        <v/>
      </c>
      <c r="GQ1496" s="42" t="str">
        <f ca="1"/>
        <v/>
      </c>
      <c r="GR1496" s="42" t="str">
        <f ca="1"/>
        <v/>
      </c>
      <c r="GS1496" s="42" t="str">
        <f ca="1"/>
        <v/>
      </c>
      <c r="GT1496" s="42" t="str">
        <f ca="1"/>
        <v/>
      </c>
      <c r="GU1496" s="42" t="str">
        <f ca="1"/>
        <v/>
      </c>
      <c r="GV1496" s="42" t="str">
        <f ca="1"/>
        <v/>
      </c>
      <c r="GW1496" s="42" t="str">
        <f ca="1"/>
        <v/>
      </c>
      <c r="GX1496" s="42" t="str">
        <f ca="1"/>
        <v/>
      </c>
      <c r="GY1496" s="42" t="str">
        <f ca="1"/>
        <v/>
      </c>
      <c r="GZ1496" s="42" t="str">
        <f ca="1"/>
        <v/>
      </c>
      <c r="HA1496" s="42" t="str">
        <f ca="1"/>
        <v/>
      </c>
      <c r="HB1496" s="42" t="str">
        <f ca="1"/>
        <v/>
      </c>
      <c r="HC1496" s="42" t="str">
        <f ca="1"/>
        <v/>
      </c>
      <c r="HD1496" s="42" t="str">
        <f ca="1"/>
        <v/>
      </c>
      <c r="HE1496" s="42" t="str">
        <f ca="1"/>
        <v/>
      </c>
      <c r="HF1496" s="42" t="str">
        <f ca="1"/>
        <v/>
      </c>
      <c r="HG1496" s="42" t="str">
        <f ca="1"/>
        <v/>
      </c>
      <c r="HH1496" s="42" t="str">
        <f ca="1"/>
        <v/>
      </c>
      <c r="HI1496" s="42" t="str">
        <f ca="1"/>
        <v/>
      </c>
      <c r="HJ1496" s="42" t="str">
        <f ca="1"/>
        <v/>
      </c>
      <c r="HK1496" s="42" t="str">
        <f ca="1"/>
        <v/>
      </c>
      <c r="HL1496" s="42" t="str">
        <f ca="1"/>
        <v/>
      </c>
      <c r="HM1496" s="42" t="str">
        <f ca="1"/>
        <v/>
      </c>
      <c r="HN1496" s="42" t="str">
        <f ca="1"/>
        <v/>
      </c>
      <c r="HO1496" s="42" t="str">
        <f ca="1"/>
        <v/>
      </c>
      <c r="HP1496" s="42" t="str">
        <f ca="1"/>
        <v/>
      </c>
      <c r="HQ1496" s="42" t="str">
        <f ca="1"/>
        <v/>
      </c>
      <c r="HR1496" s="42" t="str">
        <f ca="1"/>
        <v/>
      </c>
      <c r="HS1496" s="42" t="str">
        <f ca="1"/>
        <v/>
      </c>
      <c r="HT1496" s="42" t="str">
        <f ca="1"/>
        <v/>
      </c>
      <c r="HU1496" s="42" t="str">
        <f ca="1"/>
        <v/>
      </c>
      <c r="HV1496" s="42" t="str">
        <f ca="1"/>
        <v/>
      </c>
      <c r="HW1496" s="42" t="str">
        <f ca="1"/>
        <v/>
      </c>
      <c r="HX1496" s="42" t="str">
        <f ca="1"/>
        <v/>
      </c>
      <c r="HY1496" s="42" t="str">
        <f ca="1"/>
        <v/>
      </c>
      <c r="HZ1496" s="42" t="str">
        <f ca="1"/>
        <v/>
      </c>
      <c r="IA1496" s="42" t="str">
        <f ca="1"/>
        <v/>
      </c>
      <c r="IB1496" s="42" t="str">
        <f ca="1"/>
        <v/>
      </c>
      <c r="IC1496" s="42" t="str">
        <f ca="1"/>
        <v/>
      </c>
      <c r="ID1496" s="42" t="str">
        <f ca="1"/>
        <v/>
      </c>
      <c r="IE1496" s="42" t="str">
        <f ca="1"/>
        <v/>
      </c>
      <c r="IF1496" s="42" t="str">
        <f ca="1"/>
        <v/>
      </c>
      <c r="IG1496" s="42" t="str">
        <f ca="1"/>
        <v/>
      </c>
      <c r="IH1496" s="42" t="str">
        <f ca="1"/>
        <v/>
      </c>
      <c r="II1496" s="42" t="str">
        <f ca="1"/>
        <v/>
      </c>
      <c r="IJ1496" s="42" t="str">
        <f ca="1"/>
        <v/>
      </c>
      <c r="IK1496" s="42" t="str">
        <f ca="1"/>
        <v/>
      </c>
      <c r="IL1496" s="42" t="str">
        <f ca="1"/>
        <v/>
      </c>
      <c r="IM1496" s="42" t="str">
        <f ca="1"/>
        <v/>
      </c>
      <c r="IN1496" s="42" t="str">
        <f ca="1"/>
        <v/>
      </c>
      <c r="IO1496" s="42" t="str">
        <f ca="1"/>
        <v/>
      </c>
      <c r="IP1496" s="42" t="str">
        <f ca="1"/>
        <v/>
      </c>
      <c r="IQ1496" s="42" t="str">
        <f ca="1"/>
        <v/>
      </c>
      <c r="IR1496" s="42" t="str">
        <f ca="1"/>
        <v/>
      </c>
      <c r="IS1496" s="42" t="str">
        <f ca="1"/>
        <v/>
      </c>
      <c r="IT1496" s="42" t="str">
        <f ca="1"/>
        <v/>
      </c>
      <c r="IU1496" s="42" t="str">
        <f ca="1"/>
        <v/>
      </c>
      <c r="IV1496" s="42" t="str">
        <f ca="1"/>
        <v/>
      </c>
      <c r="IW1496" s="42" t="str">
        <f ca="1"/>
        <v/>
      </c>
      <c r="IX1496" s="42" t="str">
        <f ca="1"/>
        <v/>
      </c>
      <c r="IY1496" s="42" t="str">
        <f ca="1"/>
        <v/>
      </c>
      <c r="IZ1496" s="42" t="str">
        <f ca="1"/>
        <v/>
      </c>
      <c r="JA1496" s="42" t="str">
        <f ca="1"/>
        <v/>
      </c>
      <c r="JB1496" s="42" t="str">
        <f ca="1"/>
        <v/>
      </c>
      <c r="JC1496" s="42" t="str">
        <f ca="1"/>
        <v/>
      </c>
      <c r="JD1496" s="42" t="str">
        <f ca="1"/>
        <v/>
      </c>
      <c r="JE1496" s="42" t="str">
        <f ca="1"/>
        <v/>
      </c>
      <c r="JF1496" s="42" t="str">
        <f ca="1"/>
        <v/>
      </c>
      <c r="JG1496" s="42" t="str">
        <f ca="1"/>
        <v/>
      </c>
      <c r="JH1496" s="42" t="str">
        <f ca="1"/>
        <v/>
      </c>
      <c r="JI1496" s="42" t="str">
        <f ca="1"/>
        <v/>
      </c>
      <c r="JJ1496" s="42" t="str">
        <f ca="1"/>
        <v/>
      </c>
      <c r="JK1496" s="42" t="str">
        <f ca="1"/>
        <v/>
      </c>
      <c r="JL1496" s="42" t="str">
        <f ca="1"/>
        <v/>
      </c>
      <c r="JM1496" s="42" t="str">
        <f ca="1"/>
        <v/>
      </c>
      <c r="JN1496" s="42" t="str">
        <f ca="1"/>
        <v/>
      </c>
      <c r="JO1496" s="42" t="str">
        <f ca="1"/>
        <v/>
      </c>
      <c r="JP1496" s="42" t="str">
        <f ca="1"/>
        <v/>
      </c>
      <c r="JQ1496" s="42" t="str">
        <f ca="1"/>
        <v/>
      </c>
      <c r="JR1496" s="42" t="str">
        <f ca="1"/>
        <v/>
      </c>
      <c r="JS1496" s="42" t="str">
        <f ca="1"/>
        <v/>
      </c>
      <c r="JT1496" s="42" t="str">
        <f ca="1"/>
        <v/>
      </c>
      <c r="JU1496" s="42" t="str">
        <f ca="1"/>
        <v/>
      </c>
      <c r="JV1496" s="42" t="str">
        <f ca="1"/>
        <v/>
      </c>
      <c r="JW1496" s="42" t="str">
        <f ca="1"/>
        <v/>
      </c>
      <c r="JX1496" s="42" t="str">
        <f ca="1"/>
        <v/>
      </c>
      <c r="JY1496" s="42">
        <f ca="1"/>
        <v>716</v>
      </c>
      <c r="JZ1496" s="42" t="str">
        <f ca="1"/>
        <v/>
      </c>
      <c r="KA1496" s="42" t="str">
        <f ca="1"/>
        <v/>
      </c>
      <c r="KB1496" s="42" t="str">
        <f ca="1"/>
        <v/>
      </c>
      <c r="KC1496" s="42" t="str">
        <f ca="1"/>
        <v/>
      </c>
      <c r="KD1496" s="42" t="str">
        <f ca="1"/>
        <v/>
      </c>
      <c r="KE1496" s="42" t="str">
        <f ca="1"/>
        <v/>
      </c>
      <c r="KF1496" s="42" t="str">
        <f ca="1"/>
        <v/>
      </c>
      <c r="KG1496" s="42" t="str">
        <f ca="1"/>
        <v/>
      </c>
      <c r="KH1496" s="42" t="str">
        <f ca="1"/>
        <v/>
      </c>
      <c r="KI1496" s="42" t="str">
        <f ca="1"/>
        <v/>
      </c>
      <c r="KJ1496" s="42" t="str">
        <f ca="1"/>
        <v/>
      </c>
      <c r="KK1496" s="42" t="str">
        <f ca="1"/>
        <v/>
      </c>
      <c r="KL1496" s="42" t="str">
        <f ca="1"/>
        <v/>
      </c>
      <c r="KM1496" s="42" t="str">
        <f ca="1"/>
        <v/>
      </c>
      <c r="KN1496" s="42" t="str">
        <f ca="1"/>
        <v/>
      </c>
      <c r="KO1496" s="42" t="str">
        <f ca="1"/>
        <v/>
      </c>
      <c r="KP1496" s="42" t="str">
        <f ca="1"/>
        <v/>
      </c>
      <c r="KQ1496" s="42" t="str">
        <f ca="1"/>
        <v/>
      </c>
      <c r="KR1496" s="42" t="str">
        <f ca="1"/>
        <v/>
      </c>
      <c r="KS1496" s="42" t="str">
        <f ca="1"/>
        <v/>
      </c>
      <c r="KT1496" s="42" t="str">
        <f ca="1"/>
        <v/>
      </c>
      <c r="KU1496" s="42" t="str">
        <f ca="1"/>
        <v/>
      </c>
      <c r="KV1496" s="42" t="str">
        <f ca="1"/>
        <v/>
      </c>
      <c r="KW1496" s="42" t="str">
        <f ca="1"/>
        <v/>
      </c>
      <c r="KX1496" s="42" t="str">
        <f ca="1"/>
        <v/>
      </c>
      <c r="KY1496" s="42" t="str">
        <f ca="1"/>
        <v/>
      </c>
      <c r="KZ1496" s="42" t="str">
        <f ca="1"/>
        <v/>
      </c>
      <c r="LA1496" s="42" t="str">
        <f ca="1"/>
        <v/>
      </c>
      <c r="LB1496" s="42">
        <f ca="1"/>
        <v>736</v>
      </c>
      <c r="LC1496" s="42" t="str">
        <f ca="1"/>
        <v/>
      </c>
      <c r="LD1496" s="42" t="str">
        <f ca="1"/>
        <v/>
      </c>
      <c r="LE1496" s="42">
        <f ca="1"/>
        <v>736</v>
      </c>
      <c r="LF1496" s="42" t="str">
        <f ca="1"/>
        <v/>
      </c>
      <c r="LG1496" s="42" t="str">
        <f ca="1"/>
        <v/>
      </c>
      <c r="LH1496" s="42" t="str">
        <f ca="1"/>
        <v/>
      </c>
      <c r="LI1496" s="42" t="str">
        <f ca="1"/>
        <v/>
      </c>
      <c r="LJ1496" s="42" t="str">
        <f ca="1"/>
        <v/>
      </c>
      <c r="LK1496" s="42" t="str">
        <f ca="1"/>
        <v/>
      </c>
      <c r="LL1496" s="42" t="str">
        <f ca="1"/>
        <v/>
      </c>
      <c r="LM1496" s="42" t="str">
        <f ca="1"/>
        <v/>
      </c>
      <c r="LN1496" s="42" t="str">
        <f ca="1"/>
        <v/>
      </c>
      <c r="LO1496" s="42" t="str">
        <f ca="1"/>
        <v/>
      </c>
      <c r="LP1496" s="42" t="str">
        <f ca="1"/>
        <v/>
      </c>
      <c r="LQ1496" s="42" t="str">
        <f ca="1"/>
        <v/>
      </c>
      <c r="LR1496" s="42" t="str">
        <f ca="1"/>
        <v/>
      </c>
      <c r="LS1496" s="42" t="str">
        <f ca="1"/>
        <v/>
      </c>
      <c r="LT1496" s="42" t="str">
        <f ca="1"/>
        <v/>
      </c>
      <c r="LU1496" s="42" t="str">
        <f ca="1"/>
        <v/>
      </c>
      <c r="LV1496" s="42" t="str">
        <f ca="1"/>
        <v/>
      </c>
      <c r="LW1496" s="42" t="str">
        <f ca="1"/>
        <v/>
      </c>
      <c r="LX1496" s="42" t="str">
        <f ca="1"/>
        <v/>
      </c>
      <c r="LY1496" s="42" t="str">
        <f ca="1"/>
        <v/>
      </c>
      <c r="LZ1496" s="42" t="str">
        <f ca="1"/>
        <v/>
      </c>
      <c r="MA1496" s="42" t="str">
        <f ca="1"/>
        <v/>
      </c>
      <c r="MB1496" s="42" t="str">
        <f ca="1"/>
        <v/>
      </c>
      <c r="MC1496" s="42" t="str">
        <f ca="1"/>
        <v/>
      </c>
      <c r="MD1496" s="42" t="str">
        <f ca="1"/>
        <v/>
      </c>
      <c r="ME1496" s="42" t="str">
        <f ca="1"/>
        <v/>
      </c>
      <c r="MF1496" s="42" t="str">
        <f ca="1"/>
        <v/>
      </c>
      <c r="MG1496" s="42" t="str">
        <f ca="1"/>
        <v/>
      </c>
      <c r="MH1496" s="42" t="str">
        <f ca="1"/>
        <v/>
      </c>
      <c r="MI1496" s="42" t="str">
        <f ca="1"/>
        <v/>
      </c>
      <c r="MJ1496" s="42" t="str">
        <f ca="1"/>
        <v/>
      </c>
      <c r="MK1496" s="42" t="str">
        <f ca="1"/>
        <v/>
      </c>
      <c r="ML1496" s="42" t="str">
        <f ca="1"/>
        <v/>
      </c>
      <c r="MM1496" s="42" t="str">
        <f ca="1"/>
        <v/>
      </c>
      <c r="MN1496" s="42" t="str">
        <f ca="1"/>
        <v/>
      </c>
      <c r="MO1496" s="42" t="str">
        <f ca="1"/>
        <v/>
      </c>
      <c r="MP1496" s="42" t="str">
        <f ca="1"/>
        <v/>
      </c>
      <c r="MQ1496" s="42" t="str">
        <f ca="1"/>
        <v/>
      </c>
      <c r="MR1496" s="42" t="str">
        <f ca="1"/>
        <v/>
      </c>
      <c r="MS1496" s="42" t="str">
        <f ca="1"/>
        <v/>
      </c>
      <c r="MT1496" s="42" t="str">
        <f ca="1"/>
        <v/>
      </c>
      <c r="MU1496" s="42" t="str">
        <f ca="1"/>
        <v/>
      </c>
      <c r="MV1496" s="42" t="str">
        <f ca="1"/>
        <v/>
      </c>
      <c r="MW1496" s="42" t="str">
        <f ca="1"/>
        <v/>
      </c>
      <c r="MX1496" s="42" t="str">
        <f ca="1"/>
        <v/>
      </c>
      <c r="MY1496" s="42" t="str">
        <f ca="1"/>
        <v/>
      </c>
      <c r="MZ1496" s="42" t="str">
        <f ca="1"/>
        <v/>
      </c>
      <c r="NA1496" s="42" t="str">
        <f ca="1"/>
        <v/>
      </c>
      <c r="NB1496" s="42" t="str">
        <f ca="1"/>
        <v/>
      </c>
      <c r="NC1496" s="42" t="str">
        <f ca="1"/>
        <v/>
      </c>
      <c r="ND1496" s="42" t="str">
        <f ca="1"/>
        <v/>
      </c>
      <c r="NE1496" s="42" t="str">
        <f ca="1"/>
        <v/>
      </c>
      <c r="NF1496" s="42" t="str">
        <f ca="1"/>
        <v/>
      </c>
      <c r="NG1496" s="42" t="str">
        <f ca="1"/>
        <v/>
      </c>
      <c r="NH1496" s="42" t="str">
        <f ca="1"/>
        <v/>
      </c>
      <c r="NI1496" s="42" t="str">
        <f ca="1"/>
        <v/>
      </c>
      <c r="NJ1496" s="42" t="str">
        <f ca="1"/>
        <v/>
      </c>
      <c r="NK1496" s="42" t="str">
        <f ca="1"/>
        <v/>
      </c>
      <c r="NL1496" s="42" t="str">
        <f ca="1"/>
        <v/>
      </c>
      <c r="NM1496" s="42" t="str">
        <f ca="1"/>
        <v/>
      </c>
      <c r="NN1496" s="42" t="str">
        <f ca="1"/>
        <v/>
      </c>
      <c r="NO1496" s="42" t="str">
        <f ca="1"/>
        <v/>
      </c>
      <c r="NP1496" s="42" t="str">
        <f ca="1"/>
        <v/>
      </c>
      <c r="NQ1496" s="42" t="str">
        <f ca="1"/>
        <v/>
      </c>
      <c r="NR1496" s="42" t="str">
        <f ca="1"/>
        <v/>
      </c>
      <c r="NS1496" s="42" t="str">
        <f ca="1"/>
        <v/>
      </c>
      <c r="NT1496" s="42" t="str">
        <f ca="1"/>
        <v/>
      </c>
      <c r="NU1496" s="42" t="str">
        <f ca="1"/>
        <v/>
      </c>
      <c r="NV1496" s="42" t="str">
        <f ca="1"/>
        <v/>
      </c>
      <c r="NW1496" s="42" t="str">
        <f ca="1"/>
        <v/>
      </c>
      <c r="NX1496" s="42" t="str">
        <f ca="1"/>
        <v/>
      </c>
      <c r="NY1496" s="42" t="str">
        <f ca="1"/>
        <v/>
      </c>
      <c r="NZ1496" s="42" t="str">
        <f ca="1"/>
        <v/>
      </c>
      <c r="OA1496" s="42" t="str">
        <f ca="1"/>
        <v/>
      </c>
      <c r="OB1496" s="42" t="str">
        <f ca="1"/>
        <v/>
      </c>
      <c r="OC1496" s="42" t="str">
        <f ca="1"/>
        <v/>
      </c>
      <c r="OD1496" s="42" t="str">
        <f ca="1"/>
        <v/>
      </c>
      <c r="OE1496" s="42" t="str">
        <f ca="1"/>
        <v/>
      </c>
      <c r="OF1496" s="42" t="str">
        <f ca="1"/>
        <v/>
      </c>
      <c r="OG1496" s="42" t="str">
        <f ca="1"/>
        <v/>
      </c>
      <c r="OH1496" s="42" t="str">
        <f ca="1"/>
        <v/>
      </c>
      <c r="OI1496" s="42" t="str">
        <f ca="1"/>
        <v/>
      </c>
      <c r="OJ1496" s="42" t="str">
        <f ca="1"/>
        <v/>
      </c>
      <c r="OK1496" s="42" t="str">
        <f ca="1"/>
        <v/>
      </c>
      <c r="OL1496" s="42" t="str">
        <f ca="1"/>
        <v/>
      </c>
      <c r="OM1496" s="42" t="str">
        <f ca="1"/>
        <v/>
      </c>
      <c r="ON1496" s="42" t="str">
        <f ca="1"/>
        <v/>
      </c>
      <c r="OO1496" s="42" t="str">
        <f ca="1"/>
        <v/>
      </c>
      <c r="OP1496" s="42" t="str">
        <f ca="1"/>
        <v/>
      </c>
      <c r="OQ1496" s="42" t="str">
        <f ca="1"/>
        <v/>
      </c>
      <c r="OR1496" s="42" t="str">
        <f ca="1"/>
        <v/>
      </c>
      <c r="OS1496" s="42" t="str">
        <f ca="1"/>
        <v/>
      </c>
      <c r="OT1496" s="42" t="str">
        <f ca="1"/>
        <v/>
      </c>
      <c r="OU1496" s="42" t="str">
        <f ca="1"/>
        <v/>
      </c>
      <c r="OV1496" s="42" t="str">
        <f ca="1"/>
        <v/>
      </c>
      <c r="OW1496" s="42" t="str">
        <f ca="1"/>
        <v/>
      </c>
      <c r="OX1496" s="42" t="str">
        <f ca="1"/>
        <v/>
      </c>
      <c r="OY1496" s="42" t="str">
        <f ca="1"/>
        <v/>
      </c>
      <c r="OZ1496" s="42" t="str">
        <f ca="1"/>
        <v/>
      </c>
      <c r="PA1496" s="42" t="str">
        <f ca="1"/>
        <v/>
      </c>
      <c r="PB1496" s="42" t="str">
        <f ca="1"/>
        <v/>
      </c>
      <c r="PC1496" s="42" t="str">
        <f ca="1"/>
        <v/>
      </c>
      <c r="PD1496" s="42" t="str">
        <f ca="1"/>
        <v/>
      </c>
      <c r="PE1496" s="42" t="str">
        <f ca="1"/>
        <v/>
      </c>
      <c r="PF1496" s="42" t="str">
        <f ca="1"/>
        <v/>
      </c>
      <c r="PG1496" s="42" t="str">
        <f ca="1"/>
        <v/>
      </c>
      <c r="PH1496" s="42" t="str">
        <f ca="1"/>
        <v/>
      </c>
      <c r="PI1496" s="42" t="str">
        <f ca="1"/>
        <v/>
      </c>
      <c r="PJ1496" s="42" t="str">
        <f ca="1"/>
        <v/>
      </c>
      <c r="PK1496" s="42" t="str">
        <f ca="1"/>
        <v/>
      </c>
      <c r="PL1496" s="42" t="str">
        <f ca="1"/>
        <v/>
      </c>
      <c r="PM1496" s="42" t="str">
        <f ca="1"/>
        <v/>
      </c>
      <c r="PN1496" s="42" t="str">
        <f ca="1"/>
        <v/>
      </c>
      <c r="PO1496" s="42" t="str">
        <f ca="1"/>
        <v/>
      </c>
      <c r="PP1496" s="42" t="str">
        <f ca="1"/>
        <v/>
      </c>
      <c r="PQ1496" s="42" t="str">
        <f ca="1"/>
        <v/>
      </c>
      <c r="PR1496" s="42" t="str">
        <f ca="1"/>
        <v/>
      </c>
      <c r="PS1496" s="42" t="str">
        <f ca="1"/>
        <v/>
      </c>
      <c r="PT1496" s="42" t="str">
        <f ca="1"/>
        <v/>
      </c>
      <c r="PU1496" s="42" t="str">
        <f ca="1"/>
        <v/>
      </c>
      <c r="PV1496" s="42" t="str">
        <f ca="1"/>
        <v/>
      </c>
      <c r="PW1496" s="42" t="str">
        <f ca="1"/>
        <v/>
      </c>
      <c r="PX1496" s="42" t="str">
        <f ca="1"/>
        <v/>
      </c>
      <c r="PY1496" s="42" t="str">
        <f ca="1"/>
        <v/>
      </c>
      <c r="PZ1496" s="42" t="str">
        <f ca="1"/>
        <v/>
      </c>
      <c r="QA1496" s="42" t="str">
        <f ca="1"/>
        <v/>
      </c>
      <c r="QB1496" s="42" t="str">
        <f ca="1"/>
        <v/>
      </c>
      <c r="QC1496" s="42" t="str">
        <f ca="1"/>
        <v/>
      </c>
      <c r="QD1496" s="42" t="str">
        <f ca="1"/>
        <v/>
      </c>
      <c r="QE1496" s="42" t="str">
        <f ca="1"/>
        <v/>
      </c>
      <c r="QF1496" s="42" t="str">
        <f ca="1"/>
        <v/>
      </c>
      <c r="QG1496" s="42" t="str">
        <f ca="1"/>
        <v/>
      </c>
      <c r="QH1496" s="42" t="str">
        <f ca="1"/>
        <v/>
      </c>
      <c r="QI1496" s="42" t="str">
        <f ca="1"/>
        <v/>
      </c>
      <c r="QJ1496" s="42" t="str">
        <f ca="1"/>
        <v/>
      </c>
      <c r="QK1496" s="42" t="str">
        <f ca="1"/>
        <v/>
      </c>
      <c r="QL1496" s="42" t="str">
        <f ca="1"/>
        <v/>
      </c>
      <c r="QM1496" s="42" t="str">
        <f ca="1"/>
        <v/>
      </c>
      <c r="QN1496" s="42" t="str">
        <f ca="1"/>
        <v/>
      </c>
      <c r="QO1496" s="42" t="str">
        <f ca="1"/>
        <v/>
      </c>
      <c r="QP1496" s="42" t="str">
        <f ca="1"/>
        <v/>
      </c>
      <c r="QQ1496" s="42" t="str">
        <f ca="1"/>
        <v/>
      </c>
      <c r="QR1496" s="42" t="str">
        <f ca="1"/>
        <v/>
      </c>
      <c r="QS1496" s="42" t="str">
        <f ca="1"/>
        <v/>
      </c>
      <c r="QT1496" s="42" t="str">
        <f ca="1"/>
        <v/>
      </c>
      <c r="QU1496" s="42" t="str">
        <f ca="1"/>
        <v/>
      </c>
      <c r="QV1496" s="42" t="str">
        <f ca="1"/>
        <v/>
      </c>
      <c r="QW1496" s="42" t="str">
        <f ca="1"/>
        <v/>
      </c>
      <c r="QX1496" s="42" t="str">
        <f ca="1"/>
        <v/>
      </c>
      <c r="QY1496" s="42" t="str">
        <f ca="1"/>
        <v/>
      </c>
      <c r="QZ1496" s="42" t="str">
        <f ca="1"/>
        <v/>
      </c>
      <c r="RA1496" s="42" t="str">
        <f ca="1"/>
        <v/>
      </c>
      <c r="RB1496" s="42" t="str">
        <f ca="1"/>
        <v/>
      </c>
      <c r="RC1496" s="42" t="str">
        <f ca="1"/>
        <v/>
      </c>
      <c r="RD1496" s="42" t="str">
        <f ca="1"/>
        <v/>
      </c>
      <c r="RE1496" s="42" t="str">
        <f ca="1"/>
        <v/>
      </c>
      <c r="RF1496" s="42" t="str">
        <f ca="1"/>
        <v/>
      </c>
      <c r="RG1496" s="42" t="str">
        <f ca="1"/>
        <v/>
      </c>
      <c r="RH1496" s="42" t="str">
        <f ca="1"/>
        <v/>
      </c>
      <c r="RI1496" s="42" t="str">
        <f ca="1"/>
        <v/>
      </c>
      <c r="RJ1496" s="42" t="str">
        <f ca="1"/>
        <v/>
      </c>
      <c r="RK1496" s="42" t="str">
        <f ca="1"/>
        <v/>
      </c>
      <c r="RL1496" s="42" t="str">
        <f ca="1"/>
        <v/>
      </c>
      <c r="RM1496" s="42" t="str">
        <f ca="1"/>
        <v/>
      </c>
      <c r="RN1496" s="42" t="str">
        <f ca="1"/>
        <v/>
      </c>
      <c r="RO1496" s="42" t="str">
        <f ca="1"/>
        <v/>
      </c>
      <c r="RP1496" s="42" t="str">
        <f ca="1"/>
        <v/>
      </c>
      <c r="RQ1496" s="42" t="str">
        <f ca="1"/>
        <v/>
      </c>
      <c r="RR1496" s="42" t="str">
        <f ca="1"/>
        <v/>
      </c>
      <c r="RS1496" s="42" t="str">
        <f ca="1"/>
        <v/>
      </c>
      <c r="RT1496" s="42" t="str">
        <f ca="1"/>
        <v/>
      </c>
      <c r="RU1496" s="42" t="str">
        <f ca="1"/>
        <v/>
      </c>
      <c r="RV1496" s="42" t="str">
        <f ca="1"/>
        <v/>
      </c>
      <c r="RW1496" s="42" t="str">
        <f ca="1"/>
        <v/>
      </c>
      <c r="RX1496" s="42" t="str">
        <f ca="1"/>
        <v/>
      </c>
      <c r="RY1496" s="42" t="str">
        <f ca="1"/>
        <v/>
      </c>
      <c r="RZ1496" s="42" t="str">
        <f ca="1"/>
        <v/>
      </c>
      <c r="SA1496" s="42" t="str">
        <f ca="1"/>
        <v/>
      </c>
      <c r="SB1496" s="42" t="str">
        <f ca="1"/>
        <v/>
      </c>
      <c r="SC1496" s="42" t="str">
        <f ca="1"/>
        <v/>
      </c>
      <c r="SD1496" s="42" t="str">
        <f ca="1"/>
        <v/>
      </c>
      <c r="SE1496" s="42" t="str">
        <f ca="1"/>
        <v/>
      </c>
      <c r="SF1496" s="42" t="str">
        <f ca="1"/>
        <v/>
      </c>
      <c r="SG1496" s="42" t="str">
        <f ca="1"/>
        <v/>
      </c>
      <c r="SH1496" s="42" t="str">
        <f ca="1"/>
        <v/>
      </c>
      <c r="SI1496" s="42" t="str">
        <f ca="1"/>
        <v/>
      </c>
      <c r="SJ1496" s="42" t="str">
        <f ca="1"/>
        <v/>
      </c>
      <c r="SK1496" s="42" t="str">
        <f ca="1"/>
        <v/>
      </c>
      <c r="SL1496" s="42" t="str">
        <f ca="1"/>
        <v/>
      </c>
      <c r="SM1496" s="42" t="str">
        <f ca="1"/>
        <v/>
      </c>
      <c r="SN1496" s="42" t="str">
        <f ca="1"/>
        <v/>
      </c>
      <c r="SO1496" s="42" t="str">
        <f ca="1"/>
        <v/>
      </c>
      <c r="SP1496" s="42" t="str">
        <f ca="1"/>
        <v/>
      </c>
      <c r="SQ1496" s="42" t="str">
        <f ca="1"/>
        <v/>
      </c>
      <c r="SR1496" s="42" t="str">
        <f ca="1"/>
        <v/>
      </c>
      <c r="SS1496" s="42" t="str">
        <f ca="1"/>
        <v/>
      </c>
      <c r="ST1496" s="42" t="str">
        <f ca="1"/>
        <v/>
      </c>
      <c r="SU1496" s="42" t="str">
        <f ca="1"/>
        <v/>
      </c>
      <c r="SV1496" s="42" t="str">
        <f ca="1"/>
        <v/>
      </c>
      <c r="SW1496" s="42" t="str">
        <f ca="1"/>
        <v/>
      </c>
      <c r="SX1496" s="42" t="str">
        <f ca="1"/>
        <v/>
      </c>
      <c r="SY1496" s="42" t="str">
        <f ca="1"/>
        <v/>
      </c>
      <c r="SZ1496" s="42" t="str">
        <f ca="1"/>
        <v/>
      </c>
      <c r="TA1496" s="42" t="str">
        <f ca="1"/>
        <v/>
      </c>
      <c r="TB1496" s="42" t="str">
        <f ca="1"/>
        <v/>
      </c>
      <c r="TC1496" s="42" t="str">
        <f ca="1"/>
        <v/>
      </c>
      <c r="TD1496" s="42" t="str">
        <f ca="1"/>
        <v/>
      </c>
      <c r="TE1496" s="42" t="str">
        <f ca="1"/>
        <v/>
      </c>
      <c r="TF1496" s="42" t="str">
        <f ca="1"/>
        <v/>
      </c>
      <c r="TG1496" s="42" t="str">
        <f ca="1"/>
        <v/>
      </c>
      <c r="TH1496" s="42" t="str">
        <f ca="1"/>
        <v/>
      </c>
      <c r="TI1496" s="42" t="str">
        <f ca="1"/>
        <v/>
      </c>
      <c r="TJ1496" s="42" t="str">
        <f ca="1"/>
        <v/>
      </c>
      <c r="TK1496" s="42" t="str">
        <f ca="1"/>
        <v/>
      </c>
      <c r="TL1496" s="42" t="str">
        <f ca="1"/>
        <v/>
      </c>
      <c r="TM1496" s="42" t="str">
        <f ca="1"/>
        <v/>
      </c>
      <c r="TN1496" s="42" t="str">
        <f ca="1"/>
        <v/>
      </c>
      <c r="TO1496" s="42" t="str">
        <f ca="1"/>
        <v/>
      </c>
      <c r="TP1496" s="42" t="str">
        <f ca="1"/>
        <v/>
      </c>
      <c r="TQ1496" s="42" t="str">
        <f ca="1"/>
        <v/>
      </c>
      <c r="TR1496" s="42" t="str">
        <f ca="1"/>
        <v/>
      </c>
      <c r="TS1496" s="42" t="str">
        <f ca="1"/>
        <v/>
      </c>
      <c r="TT1496" s="42" t="str">
        <f ca="1"/>
        <v/>
      </c>
      <c r="TU1496" s="42" t="str">
        <f ca="1"/>
        <v/>
      </c>
      <c r="TV1496" s="42" t="str">
        <f ca="1"/>
        <v/>
      </c>
      <c r="TW1496" s="42" t="str">
        <f ca="1"/>
        <v/>
      </c>
      <c r="TX1496" s="42" t="str">
        <f ca="1"/>
        <v/>
      </c>
      <c r="TY1496" s="42" t="str">
        <f ca="1"/>
        <v/>
      </c>
      <c r="TZ1496" s="42" t="str">
        <f ca="1"/>
        <v/>
      </c>
      <c r="UA1496" s="42" t="str">
        <f ca="1"/>
        <v/>
      </c>
      <c r="UB1496" s="42" t="str">
        <f ca="1"/>
        <v/>
      </c>
      <c r="UC1496" s="42" t="str">
        <f ca="1"/>
        <v/>
      </c>
      <c r="UD1496" s="42" t="str">
        <f ca="1"/>
        <v/>
      </c>
      <c r="UE1496" s="42" t="str">
        <f ca="1"/>
        <v/>
      </c>
      <c r="UF1496" s="42" t="str">
        <f ca="1"/>
        <v/>
      </c>
      <c r="UG1496" s="42" t="str">
        <f ca="1"/>
        <v/>
      </c>
      <c r="UH1496" s="42" t="str">
        <f ca="1"/>
        <v/>
      </c>
      <c r="UI1496" s="42" t="str">
        <f ca="1"/>
        <v/>
      </c>
      <c r="UJ1496" s="42" t="str">
        <f ca="1"/>
        <v/>
      </c>
      <c r="UK1496" s="42" t="str">
        <f ca="1"/>
        <v/>
      </c>
      <c r="UL1496" s="42" t="str">
        <f ca="1"/>
        <v/>
      </c>
      <c r="UM1496" s="42" t="str">
        <f ca="1"/>
        <v/>
      </c>
      <c r="UN1496" s="42" t="str">
        <f ca="1"/>
        <v/>
      </c>
      <c r="UO1496" s="42" t="str">
        <f ca="1"/>
        <v/>
      </c>
      <c r="UP1496" s="42" t="str">
        <f ca="1"/>
        <v/>
      </c>
      <c r="UQ1496" s="42" t="str">
        <f ca="1"/>
        <v/>
      </c>
      <c r="UR1496" s="42" t="str">
        <f ca="1"/>
        <v/>
      </c>
      <c r="US1496" s="42" t="str">
        <f ca="1"/>
        <v/>
      </c>
      <c r="UT1496" s="42" t="str">
        <f ca="1"/>
        <v/>
      </c>
      <c r="UU1496" s="42" t="str">
        <f ca="1"/>
        <v/>
      </c>
      <c r="UV1496" s="42" t="str">
        <f ca="1"/>
        <v/>
      </c>
      <c r="UW1496" s="42" t="str">
        <f ca="1"/>
        <v/>
      </c>
      <c r="UX1496" s="42" t="str">
        <f ca="1"/>
        <v/>
      </c>
      <c r="UY1496" s="42" t="str">
        <f ca="1"/>
        <v/>
      </c>
      <c r="UZ1496" s="42" t="str">
        <f ca="1"/>
        <v/>
      </c>
      <c r="VA1496" s="42" t="str">
        <f ca="1"/>
        <v/>
      </c>
      <c r="VB1496" s="42" t="str">
        <f ca="1"/>
        <v/>
      </c>
      <c r="VC1496" s="42" t="str">
        <f ca="1"/>
        <v/>
      </c>
      <c r="VD1496" s="42" t="str">
        <f ca="1"/>
        <v/>
      </c>
      <c r="VE1496" s="42" t="str">
        <f ca="1"/>
        <v/>
      </c>
      <c r="VF1496" s="42" t="str">
        <f ca="1"/>
        <v/>
      </c>
      <c r="VG1496" s="42" t="str">
        <f ca="1"/>
        <v/>
      </c>
      <c r="VH1496" s="42" t="str">
        <f ca="1"/>
        <v/>
      </c>
      <c r="VI1496" s="42" t="str">
        <f ca="1"/>
        <v/>
      </c>
      <c r="VJ1496" s="42" t="str">
        <f ca="1"/>
        <v/>
      </c>
      <c r="VK1496" s="42" t="str">
        <f ca="1"/>
        <v/>
      </c>
      <c r="VL1496" s="42" t="str">
        <f ca="1"/>
        <v/>
      </c>
      <c r="VM1496" s="42" t="str">
        <f ca="1"/>
        <v/>
      </c>
      <c r="VN1496" s="42" t="str">
        <f ca="1"/>
        <v/>
      </c>
      <c r="VO1496" s="42" t="str">
        <f ca="1"/>
        <v/>
      </c>
      <c r="VP1496" s="42" t="str">
        <f ca="1"/>
        <v/>
      </c>
      <c r="VQ1496" s="42" t="str">
        <f ca="1"/>
        <v/>
      </c>
      <c r="VR1496" s="42" t="str">
        <f ca="1"/>
        <v/>
      </c>
      <c r="VS1496" s="42" t="str">
        <f ca="1"/>
        <v/>
      </c>
      <c r="VT1496" s="42" t="str">
        <f ca="1"/>
        <v/>
      </c>
      <c r="VU1496" s="42" t="str">
        <f ca="1"/>
        <v/>
      </c>
      <c r="VV1496" s="42" t="str">
        <f ca="1"/>
        <v/>
      </c>
      <c r="VW1496" s="42" t="str">
        <f ca="1"/>
        <v/>
      </c>
      <c r="VX1496" s="42" t="str">
        <f ca="1"/>
        <v/>
      </c>
      <c r="VY1496" s="42" t="str">
        <f ca="1"/>
        <v/>
      </c>
      <c r="VZ1496" s="42" t="str">
        <f ca="1"/>
        <v/>
      </c>
      <c r="WA1496" s="42" t="str">
        <f ca="1"/>
        <v/>
      </c>
      <c r="WB1496" s="42" t="str">
        <f ca="1"/>
        <v/>
      </c>
      <c r="WC1496" s="42" t="str">
        <f ca="1"/>
        <v/>
      </c>
      <c r="WD1496" s="42" t="str">
        <f ca="1"/>
        <v/>
      </c>
      <c r="WE1496" s="42" t="str">
        <f ca="1"/>
        <v/>
      </c>
      <c r="WF1496" s="42" t="str">
        <f ca="1"/>
        <v/>
      </c>
      <c r="WG1496" s="42" t="str">
        <f ca="1"/>
        <v/>
      </c>
      <c r="WH1496" s="42" t="str">
        <f ca="1"/>
        <v/>
      </c>
      <c r="WI1496" s="42" t="str">
        <f ca="1"/>
        <v/>
      </c>
      <c r="WJ1496" s="42" t="str">
        <f ca="1"/>
        <v/>
      </c>
      <c r="WK1496" s="42" t="str">
        <f ca="1"/>
        <v/>
      </c>
      <c r="WL1496" s="42" t="str">
        <f ca="1"/>
        <v/>
      </c>
      <c r="WM1496" s="42" t="str">
        <f ca="1"/>
        <v/>
      </c>
      <c r="WN1496" s="42" t="str">
        <f ca="1"/>
        <v/>
      </c>
      <c r="WO1496" s="42" t="str">
        <f ca="1"/>
        <v/>
      </c>
      <c r="WP1496" s="42" t="str">
        <f ca="1"/>
        <v/>
      </c>
      <c r="WQ1496" s="42" t="str">
        <f ca="1"/>
        <v/>
      </c>
      <c r="WR1496" s="42" t="str">
        <f ca="1"/>
        <v/>
      </c>
      <c r="WS1496" s="42" t="str">
        <f ca="1"/>
        <v/>
      </c>
      <c r="WT1496" s="42" t="str">
        <f ca="1"/>
        <v/>
      </c>
      <c r="WU1496" s="42" t="str">
        <f ca="1"/>
        <v/>
      </c>
      <c r="WV1496" s="42" t="str">
        <f ca="1"/>
        <v/>
      </c>
      <c r="WW1496" s="42" t="str">
        <f ca="1"/>
        <v/>
      </c>
      <c r="WX1496" s="42" t="str">
        <f ca="1"/>
        <v/>
      </c>
      <c r="WY1496" s="42" t="str">
        <f ca="1"/>
        <v/>
      </c>
      <c r="WZ1496" s="42" t="str">
        <f ca="1"/>
        <v/>
      </c>
      <c r="XA1496" s="42" t="str">
        <f ca="1"/>
        <v/>
      </c>
      <c r="XB1496" s="42" t="str">
        <f ca="1"/>
        <v/>
      </c>
      <c r="XC1496" s="42" t="str">
        <f ca="1"/>
        <v/>
      </c>
      <c r="XD1496" s="42" t="str">
        <f ca="1"/>
        <v/>
      </c>
      <c r="XE1496" s="42" t="str">
        <f ca="1"/>
        <v/>
      </c>
      <c r="XF1496" s="42" t="str">
        <f ca="1"/>
        <v/>
      </c>
      <c r="XG1496" s="42" t="str">
        <f ca="1"/>
        <v/>
      </c>
      <c r="XH1496" s="42" t="str">
        <f ca="1"/>
        <v/>
      </c>
      <c r="XI1496" s="42" t="str">
        <f ca="1"/>
        <v/>
      </c>
      <c r="XJ1496" s="42" t="str">
        <f ca="1"/>
        <v/>
      </c>
      <c r="XK1496" s="42" t="str">
        <f ca="1"/>
        <v/>
      </c>
      <c r="XL1496" s="42" t="str">
        <f ca="1"/>
        <v/>
      </c>
      <c r="XM1496" s="42" t="str">
        <f ca="1"/>
        <v/>
      </c>
      <c r="XN1496" s="42" t="str">
        <f ca="1"/>
        <v/>
      </c>
      <c r="XO1496" s="42" t="str">
        <f ca="1"/>
        <v/>
      </c>
      <c r="XP1496" s="42" t="str">
        <f ca="1"/>
        <v/>
      </c>
      <c r="XQ1496" s="42" t="str">
        <f ca="1"/>
        <v/>
      </c>
      <c r="XR1496" s="42" t="str">
        <f ca="1"/>
        <v/>
      </c>
      <c r="XS1496" s="42" t="str">
        <f ca="1"/>
        <v/>
      </c>
      <c r="XT1496" s="42" t="str">
        <f ca="1"/>
        <v/>
      </c>
      <c r="XU1496" s="42" t="str">
        <f ca="1"/>
        <v/>
      </c>
      <c r="XV1496" s="42" t="str">
        <f ca="1"/>
        <v/>
      </c>
      <c r="XW1496" s="42" t="str">
        <f ca="1"/>
        <v/>
      </c>
      <c r="XX1496" s="42" t="str">
        <f ca="1"/>
        <v/>
      </c>
      <c r="XY1496" s="42" t="str">
        <f ca="1"/>
        <v/>
      </c>
      <c r="XZ1496" s="42" t="str">
        <f ca="1"/>
        <v/>
      </c>
      <c r="YA1496" s="42" t="str">
        <f ca="1"/>
        <v/>
      </c>
      <c r="YB1496" s="42" t="str">
        <f ca="1"/>
        <v/>
      </c>
      <c r="YC1496" s="42" t="str">
        <f ca="1"/>
        <v/>
      </c>
      <c r="YD1496" s="42" t="str">
        <f ca="1"/>
        <v/>
      </c>
      <c r="YE1496" s="42" t="str">
        <f ca="1"/>
        <v/>
      </c>
      <c r="YF1496" s="42" t="str">
        <f ca="1"/>
        <v/>
      </c>
      <c r="YG1496" s="42" t="str">
        <f ca="1"/>
        <v/>
      </c>
      <c r="YH1496" s="42" t="str">
        <f ca="1"/>
        <v/>
      </c>
      <c r="YI1496" s="42" t="str">
        <f ca="1"/>
        <v/>
      </c>
      <c r="YJ1496" s="42" t="str">
        <f ca="1"/>
        <v/>
      </c>
      <c r="YK1496" s="42" t="str">
        <f ca="1"/>
        <v/>
      </c>
      <c r="YL1496" s="42" t="str">
        <f ca="1"/>
        <v/>
      </c>
      <c r="YM1496" s="42" t="str">
        <f ca="1"/>
        <v/>
      </c>
      <c r="YN1496" s="42" t="str">
        <f ca="1"/>
        <v/>
      </c>
      <c r="YO1496" s="42" t="str">
        <f ca="1"/>
        <v/>
      </c>
      <c r="YP1496" s="42" t="str">
        <f ca="1"/>
        <v/>
      </c>
      <c r="YQ1496" s="42" t="str">
        <f ca="1"/>
        <v/>
      </c>
      <c r="YR1496" s="42" t="str">
        <f ca="1"/>
        <v/>
      </c>
      <c r="YS1496" s="42" t="str">
        <f ca="1"/>
        <v/>
      </c>
      <c r="YT1496" s="42" t="str">
        <f ca="1"/>
        <v/>
      </c>
      <c r="YU1496" s="42" t="str">
        <f ca="1"/>
        <v/>
      </c>
      <c r="YV1496" s="42" t="str">
        <f ca="1"/>
        <v/>
      </c>
      <c r="YW1496" s="42" t="str">
        <f ca="1"/>
        <v/>
      </c>
      <c r="YX1496" s="42" t="str">
        <f ca="1"/>
        <v/>
      </c>
      <c r="YY1496" s="42" t="str">
        <f ca="1"/>
        <v/>
      </c>
      <c r="YZ1496" s="42" t="str">
        <f ca="1"/>
        <v/>
      </c>
      <c r="ZA1496" s="42" t="str">
        <f ca="1"/>
        <v/>
      </c>
      <c r="ZB1496" s="42" t="str">
        <f ca="1"/>
        <v/>
      </c>
      <c r="ZC1496" s="42" t="str">
        <f ca="1"/>
        <v/>
      </c>
      <c r="ZD1496" s="42" t="str">
        <f ca="1"/>
        <v/>
      </c>
      <c r="ZE1496" s="42" t="str">
        <f ca="1"/>
        <v/>
      </c>
      <c r="ZF1496" s="42" t="str">
        <f ca="1"/>
        <v/>
      </c>
      <c r="ZG1496" s="42" t="str">
        <f ca="1"/>
        <v/>
      </c>
      <c r="ZH1496" s="42" t="str">
        <f ca="1"/>
        <v/>
      </c>
      <c r="ZI1496" s="42" t="str">
        <f ca="1"/>
        <v/>
      </c>
      <c r="ZJ1496" s="42" t="str">
        <f ca="1"/>
        <v/>
      </c>
      <c r="ZK1496" s="42" t="str">
        <f ca="1"/>
        <v/>
      </c>
      <c r="ZL1496" s="42" t="str">
        <f ca="1"/>
        <v/>
      </c>
      <c r="ZM1496" s="42" t="str">
        <f ca="1"/>
        <v/>
      </c>
      <c r="ZN1496" s="42" t="str">
        <f ca="1"/>
        <v/>
      </c>
      <c r="ZO1496" s="42" t="str">
        <f ca="1"/>
        <v/>
      </c>
      <c r="ZP1496" s="42" t="str">
        <f ca="1"/>
        <v/>
      </c>
      <c r="ZQ1496" s="42" t="str">
        <f ca="1"/>
        <v/>
      </c>
      <c r="ZR1496" s="42" t="str">
        <f ca="1"/>
        <v/>
      </c>
      <c r="ZS1496" s="42" t="str">
        <f ca="1"/>
        <v/>
      </c>
      <c r="ZT1496" s="42" t="str">
        <f ca="1"/>
        <v/>
      </c>
      <c r="ZU1496" s="42" t="str">
        <f ca="1"/>
        <v/>
      </c>
      <c r="ZV1496" s="42" t="str">
        <f ca="1"/>
        <v/>
      </c>
      <c r="ZW1496" s="42" t="str">
        <f ca="1"/>
        <v/>
      </c>
      <c r="ZX1496" s="42" t="str">
        <f ca="1"/>
        <v/>
      </c>
      <c r="ZY1496" s="42" t="str">
        <f ca="1"/>
        <v/>
      </c>
      <c r="ZZ1496" s="42" t="str">
        <f ca="1"/>
        <v/>
      </c>
      <c r="AAA1496" s="42" t="str">
        <f ca="1"/>
        <v/>
      </c>
      <c r="AAB1496" s="42" t="str">
        <f ca="1"/>
        <v/>
      </c>
      <c r="AAC1496" s="42" t="str">
        <f ca="1"/>
        <v/>
      </c>
      <c r="AAD1496" s="42" t="str">
        <f ca="1"/>
        <v/>
      </c>
      <c r="AAE1496" s="42" t="str">
        <f ca="1"/>
        <v/>
      </c>
      <c r="AAF1496" s="42" t="str">
        <f ca="1"/>
        <v/>
      </c>
      <c r="AAG1496" s="42" t="str">
        <f ca="1"/>
        <v/>
      </c>
      <c r="AAH1496" s="42" t="str">
        <f ca="1"/>
        <v/>
      </c>
      <c r="AAI1496" s="42" t="str">
        <f ca="1"/>
        <v/>
      </c>
      <c r="AAJ1496" s="42" t="str">
        <f ca="1"/>
        <v/>
      </c>
      <c r="AAK1496" s="42" t="str">
        <f ca="1"/>
        <v/>
      </c>
      <c r="AAL1496" s="42" t="str">
        <f ca="1"/>
        <v/>
      </c>
      <c r="AAM1496" s="42" t="str">
        <f ca="1"/>
        <v/>
      </c>
      <c r="AAN1496" s="42" t="str">
        <f ca="1"/>
        <v/>
      </c>
      <c r="AAO1496" s="42" t="str">
        <f ca="1"/>
        <v/>
      </c>
      <c r="AAP1496" s="42" t="str">
        <f ca="1"/>
        <v/>
      </c>
      <c r="AAQ1496" s="42" t="str">
        <f ca="1"/>
        <v/>
      </c>
      <c r="AAR1496" s="42" t="str">
        <f ca="1"/>
        <v/>
      </c>
      <c r="AAS1496" s="42" t="str">
        <f ca="1"/>
        <v/>
      </c>
      <c r="AAT1496" s="42" t="str">
        <f ca="1"/>
        <v/>
      </c>
      <c r="AAU1496" s="42" t="str">
        <f ca="1"/>
        <v/>
      </c>
      <c r="AAV1496" s="42" t="str">
        <f ca="1"/>
        <v/>
      </c>
      <c r="AAW1496" s="42" t="str">
        <f ca="1"/>
        <v/>
      </c>
      <c r="AAX1496" s="42" t="str">
        <f ca="1"/>
        <v/>
      </c>
      <c r="AAY1496" s="42" t="str">
        <f ca="1"/>
        <v/>
      </c>
      <c r="AAZ1496" s="42" t="str">
        <f ca="1"/>
        <v/>
      </c>
      <c r="ABA1496" s="42" t="str">
        <f ca="1"/>
        <v/>
      </c>
      <c r="ABB1496" s="42" t="str">
        <f ca="1"/>
        <v/>
      </c>
      <c r="ABC1496" s="42" t="str">
        <f ca="1"/>
        <v/>
      </c>
      <c r="ABD1496" s="42" t="str">
        <f ca="1"/>
        <v/>
      </c>
      <c r="ABE1496" s="42" t="str">
        <f ca="1"/>
        <v/>
      </c>
      <c r="ABF1496" s="42" t="str">
        <f ca="1"/>
        <v/>
      </c>
      <c r="ABG1496" s="42" t="str">
        <f ca="1"/>
        <v/>
      </c>
      <c r="ABH1496" s="42" t="str">
        <f ca="1"/>
        <v/>
      </c>
      <c r="ABI1496" s="42" t="str">
        <f ca="1"/>
        <v/>
      </c>
      <c r="ABJ1496" s="42" t="str">
        <f ca="1"/>
        <v/>
      </c>
      <c r="ABK1496" s="42" t="str">
        <f ca="1"/>
        <v/>
      </c>
      <c r="ABL1496" s="42" t="str">
        <f ca="1"/>
        <v/>
      </c>
      <c r="ABM1496" s="42" t="str">
        <f ca="1"/>
        <v/>
      </c>
      <c r="ABN1496" s="42" t="str">
        <f ca="1"/>
        <v/>
      </c>
      <c r="ABO1496" s="42" t="str">
        <f ca="1"/>
        <v/>
      </c>
      <c r="ABP1496" s="42" t="str">
        <f ca="1"/>
        <v/>
      </c>
      <c r="ABQ1496" s="42" t="str">
        <f ca="1"/>
        <v/>
      </c>
      <c r="ABR1496" s="42" t="str">
        <f ca="1"/>
        <v/>
      </c>
      <c r="ABS1496" s="42" t="str">
        <f ca="1"/>
        <v/>
      </c>
      <c r="ABT1496" s="42" t="str">
        <f ca="1"/>
        <v/>
      </c>
      <c r="ABU1496" s="42" t="str">
        <f ca="1"/>
        <v/>
      </c>
      <c r="ABV1496" s="42" t="str">
        <f ca="1"/>
        <v/>
      </c>
      <c r="ABW1496" s="42" t="str">
        <f ca="1"/>
        <v/>
      </c>
      <c r="ABX1496" s="42" t="str">
        <f ca="1"/>
        <v/>
      </c>
      <c r="ABY1496" s="42" t="str">
        <f ca="1"/>
        <v/>
      </c>
      <c r="ABZ1496" s="42" t="str">
        <f ca="1"/>
        <v/>
      </c>
      <c r="ACA1496" s="42" t="str">
        <f ca="1"/>
        <v/>
      </c>
      <c r="ACB1496" s="42" t="str">
        <f ca="1"/>
        <v/>
      </c>
      <c r="ACC1496" s="42" t="str">
        <f ca="1"/>
        <v/>
      </c>
      <c r="ACD1496" s="42" t="str">
        <f ca="1"/>
        <v/>
      </c>
      <c r="ACE1496" s="42" t="str">
        <f ca="1"/>
        <v/>
      </c>
      <c r="ACF1496" s="42" t="str">
        <f ca="1"/>
        <v/>
      </c>
      <c r="ACG1496" s="42" t="str">
        <f ca="1"/>
        <v/>
      </c>
      <c r="ACH1496" s="42" t="str">
        <f ca="1"/>
        <v/>
      </c>
      <c r="ACI1496" s="42" t="str">
        <f ca="1"/>
        <v/>
      </c>
      <c r="ACJ1496" s="42" t="str">
        <f ca="1"/>
        <v/>
      </c>
      <c r="ACK1496" s="42" t="str">
        <f ca="1"/>
        <v/>
      </c>
      <c r="ACL1496" s="42" t="str">
        <f ca="1"/>
        <v/>
      </c>
      <c r="ACM1496" s="42" t="str">
        <f ca="1"/>
        <v/>
      </c>
      <c r="ACN1496" s="42" t="str">
        <f ca="1"/>
        <v/>
      </c>
      <c r="ACO1496" s="42" t="str">
        <f ca="1"/>
        <v/>
      </c>
      <c r="ACP1496" s="42" t="str">
        <f ca="1"/>
        <v/>
      </c>
      <c r="ACQ1496" s="42" t="str">
        <f ca="1"/>
        <v/>
      </c>
      <c r="ACR1496" s="42" t="str">
        <f ca="1"/>
        <v/>
      </c>
      <c r="ACS1496" s="42" t="str">
        <f ca="1"/>
        <v/>
      </c>
      <c r="ACT1496" s="42" t="str">
        <f ca="1"/>
        <v/>
      </c>
      <c r="ACU1496" s="42" t="str">
        <f ca="1"/>
        <v/>
      </c>
      <c r="ACV1496" s="42" t="str">
        <f ca="1"/>
        <v/>
      </c>
      <c r="ACW1496" s="42" t="str">
        <f ca="1"/>
        <v/>
      </c>
      <c r="ACX1496" s="42" t="str">
        <f ca="1"/>
        <v/>
      </c>
      <c r="ACY1496" s="42" t="str">
        <f ca="1"/>
        <v/>
      </c>
      <c r="ACZ1496" s="42" t="str">
        <f ca="1"/>
        <v/>
      </c>
      <c r="ADA1496" s="42" t="str">
        <f ca="1"/>
        <v/>
      </c>
      <c r="ADB1496" s="42" t="str">
        <f ca="1"/>
        <v/>
      </c>
      <c r="ADC1496" s="42" t="str">
        <f ca="1"/>
        <v/>
      </c>
      <c r="ADD1496" s="42" t="str">
        <f ca="1"/>
        <v/>
      </c>
      <c r="ADE1496" s="42" t="str">
        <f ca="1"/>
        <v/>
      </c>
      <c r="ADF1496" s="42" t="str">
        <f ca="1"/>
        <v/>
      </c>
      <c r="ADG1496" s="42" t="str">
        <f ca="1"/>
        <v/>
      </c>
      <c r="ADH1496" s="42" t="str">
        <f ca="1"/>
        <v/>
      </c>
      <c r="ADI1496" s="42" t="str">
        <f ca="1"/>
        <v/>
      </c>
      <c r="ADJ1496" s="42" t="str">
        <f ca="1"/>
        <v/>
      </c>
      <c r="ADK1496" s="42" t="str">
        <f ca="1"/>
        <v/>
      </c>
      <c r="ADL1496" s="42" t="str">
        <f ca="1"/>
        <v/>
      </c>
      <c r="ADM1496" s="42" t="str">
        <f ca="1"/>
        <v/>
      </c>
      <c r="ADN1496" s="42" t="str">
        <f ca="1"/>
        <v/>
      </c>
      <c r="ADO1496" s="42" t="str">
        <f ca="1"/>
        <v/>
      </c>
      <c r="ADP1496" s="42" t="str">
        <f ca="1"/>
        <v/>
      </c>
      <c r="ADQ1496" s="42" t="str">
        <f ca="1"/>
        <v/>
      </c>
      <c r="ADR1496" s="42" t="str">
        <f ca="1"/>
        <v/>
      </c>
      <c r="ADS1496" s="42" t="str">
        <f ca="1"/>
        <v/>
      </c>
      <c r="ADT1496" s="42" t="str">
        <f ca="1"/>
        <v/>
      </c>
      <c r="ADU1496" s="42" t="str">
        <f ca="1"/>
        <v/>
      </c>
      <c r="ADV1496" s="42" t="str">
        <f ca="1"/>
        <v/>
      </c>
      <c r="ADW1496" s="42" t="str">
        <f ca="1"/>
        <v/>
      </c>
      <c r="ADX1496" s="42" t="str">
        <f ca="1"/>
        <v/>
      </c>
      <c r="ADY1496" s="42" t="str">
        <f ca="1"/>
        <v/>
      </c>
      <c r="ADZ1496" s="42" t="str">
        <f ca="1"/>
        <v/>
      </c>
      <c r="AEA1496" s="42" t="str">
        <f ca="1"/>
        <v/>
      </c>
      <c r="AEB1496" s="42" t="str">
        <f ca="1"/>
        <v/>
      </c>
      <c r="AEC1496" s="42" t="str">
        <f ca="1"/>
        <v/>
      </c>
      <c r="AED1496" s="42" t="str">
        <f ca="1"/>
        <v/>
      </c>
      <c r="AEE1496" s="42" t="str">
        <f ca="1"/>
        <v/>
      </c>
      <c r="AEF1496" s="42" t="str">
        <f ca="1"/>
        <v/>
      </c>
      <c r="AEG1496" s="42" t="str">
        <f ca="1"/>
        <v/>
      </c>
      <c r="AEH1496" s="42" t="str">
        <f ca="1"/>
        <v/>
      </c>
      <c r="AEI1496" s="42" t="str">
        <f ca="1"/>
        <v/>
      </c>
      <c r="AEJ1496" s="42" t="str">
        <f ca="1"/>
        <v/>
      </c>
      <c r="AEK1496" s="42" t="str">
        <f ca="1"/>
        <v/>
      </c>
      <c r="AEL1496" s="42" t="str">
        <f ca="1"/>
        <v/>
      </c>
      <c r="AEM1496" s="42" t="str">
        <f ca="1"/>
        <v/>
      </c>
      <c r="AEN1496" s="42" t="str">
        <f ca="1"/>
        <v/>
      </c>
      <c r="AEO1496" s="42" t="str">
        <f ca="1"/>
        <v/>
      </c>
      <c r="AEP1496" s="42" t="str">
        <f ca="1"/>
        <v/>
      </c>
      <c r="AEQ1496" s="42" t="str">
        <f ca="1"/>
        <v/>
      </c>
      <c r="AER1496" s="42" t="str">
        <f ca="1"/>
        <v/>
      </c>
      <c r="AES1496" s="42" t="str">
        <f ca="1"/>
        <v/>
      </c>
      <c r="AET1496" s="42" t="str">
        <f ca="1"/>
        <v/>
      </c>
      <c r="AEU1496" s="42" t="str">
        <f ca="1"/>
        <v/>
      </c>
      <c r="AEV1496" s="42" t="str">
        <f ca="1"/>
        <v/>
      </c>
      <c r="AEW1496" s="42" t="str">
        <f ca="1"/>
        <v/>
      </c>
      <c r="AEX1496" s="42" t="str">
        <f ca="1"/>
        <v/>
      </c>
      <c r="AEY1496" s="42" t="str">
        <f ca="1"/>
        <v/>
      </c>
      <c r="AEZ1496" s="42" t="str">
        <f ca="1"/>
        <v/>
      </c>
      <c r="AFA1496" s="42" t="str">
        <f ca="1"/>
        <v/>
      </c>
      <c r="AFB1496" s="42" t="str">
        <f ca="1"/>
        <v/>
      </c>
      <c r="AFC1496" s="42" t="str">
        <f ca="1"/>
        <v/>
      </c>
      <c r="AFD1496" s="42" t="str">
        <f ca="1"/>
        <v/>
      </c>
      <c r="AFE1496" s="42" t="str">
        <f ca="1"/>
        <v/>
      </c>
      <c r="AFF1496" s="42" t="str">
        <f ca="1"/>
        <v/>
      </c>
      <c r="AFG1496" s="42" t="str">
        <f ca="1"/>
        <v/>
      </c>
      <c r="AFH1496" s="42" t="str">
        <f ca="1"/>
        <v/>
      </c>
      <c r="AFI1496" s="42" t="str">
        <f ca="1"/>
        <v/>
      </c>
      <c r="AFJ1496" s="42" t="str">
        <f ca="1"/>
        <v/>
      </c>
      <c r="AFK1496" s="42" t="str">
        <f ca="1"/>
        <v/>
      </c>
      <c r="AFL1496" s="42" t="str">
        <f ca="1"/>
        <v/>
      </c>
      <c r="AFM1496" s="42" t="str">
        <f ca="1"/>
        <v/>
      </c>
      <c r="AFN1496" s="42" t="str">
        <f ca="1"/>
        <v/>
      </c>
      <c r="AFO1496" s="42" t="str">
        <f ca="1"/>
        <v/>
      </c>
      <c r="AFP1496" s="42" t="str">
        <f ca="1"/>
        <v/>
      </c>
      <c r="AFQ1496" s="42" t="str">
        <f ca="1"/>
        <v/>
      </c>
      <c r="AFR1496" s="42" t="str">
        <f ca="1"/>
        <v/>
      </c>
      <c r="AFS1496" s="42" t="str">
        <f ca="1"/>
        <v/>
      </c>
      <c r="AFT1496" s="42" t="str">
        <f ca="1"/>
        <v/>
      </c>
      <c r="AFU1496" s="42" t="str">
        <f ca="1"/>
        <v/>
      </c>
      <c r="AFV1496" s="42" t="str">
        <f ca="1"/>
        <v/>
      </c>
      <c r="AFW1496" s="42" t="str">
        <f ca="1"/>
        <v/>
      </c>
      <c r="AFX1496" s="42" t="str">
        <f ca="1"/>
        <v/>
      </c>
      <c r="AFY1496" s="42" t="str">
        <f ca="1"/>
        <v/>
      </c>
      <c r="AFZ1496" s="42" t="str">
        <f ca="1"/>
        <v/>
      </c>
      <c r="AGA1496" s="42" t="str">
        <f ca="1"/>
        <v/>
      </c>
      <c r="AGB1496" s="42" t="str">
        <f ca="1"/>
        <v/>
      </c>
      <c r="AGC1496" s="42" t="str">
        <f ca="1"/>
        <v/>
      </c>
      <c r="AGD1496" s="42" t="str">
        <f ca="1"/>
        <v/>
      </c>
      <c r="AGE1496" s="42" t="str">
        <f ca="1"/>
        <v/>
      </c>
      <c r="AGF1496" s="42" t="str">
        <f ca="1"/>
        <v/>
      </c>
      <c r="AGG1496" s="42" t="str">
        <f ca="1"/>
        <v/>
      </c>
      <c r="AGH1496" s="42" t="str">
        <f ca="1"/>
        <v/>
      </c>
      <c r="AGI1496" s="42" t="str">
        <f ca="1"/>
        <v/>
      </c>
      <c r="AGJ1496" s="42" t="str">
        <f ca="1"/>
        <v/>
      </c>
      <c r="AGK1496" s="42" t="str">
        <f ca="1"/>
        <v/>
      </c>
      <c r="AGL1496" s="42" t="str">
        <f ca="1"/>
        <v/>
      </c>
      <c r="AGM1496" s="42" t="str">
        <f ca="1"/>
        <v/>
      </c>
      <c r="AGN1496" s="42" t="str">
        <f ca="1"/>
        <v/>
      </c>
    </row>
    <row r="1497" spans="15:872" x14ac:dyDescent="0.25">
      <c r="O1497" s="42">
        <v>7</v>
      </c>
      <c r="P1497" s="42" t="str">
        <f ca="1"/>
        <v/>
      </c>
      <c r="Q1497" s="42" t="str">
        <f ca="1"/>
        <v/>
      </c>
      <c r="R1497" s="42" t="str">
        <f ca="1"/>
        <v/>
      </c>
      <c r="S1497" s="42" t="str">
        <f ca="1"/>
        <v/>
      </c>
      <c r="T1497" s="42" t="str">
        <f ca="1"/>
        <v/>
      </c>
      <c r="U1497" s="42" t="str">
        <f ca="1"/>
        <v/>
      </c>
      <c r="V1497" s="42" t="str">
        <f ca="1"/>
        <v/>
      </c>
      <c r="W1497" s="42" t="str">
        <f ca="1"/>
        <v/>
      </c>
      <c r="X1497" s="42" t="str">
        <f ca="1"/>
        <v/>
      </c>
      <c r="Y1497" s="42" t="str">
        <f ca="1"/>
        <v/>
      </c>
      <c r="Z1497" s="42" t="str">
        <f ca="1"/>
        <v/>
      </c>
      <c r="AA1497" s="42" t="str">
        <f ca="1"/>
        <v/>
      </c>
      <c r="AB1497" s="42" t="str">
        <f ca="1"/>
        <v/>
      </c>
      <c r="AC1497" s="42" t="str">
        <f ca="1"/>
        <v/>
      </c>
      <c r="AD1497" s="42" t="str">
        <f ca="1"/>
        <v/>
      </c>
      <c r="AE1497" s="42" t="str">
        <f ca="1"/>
        <v/>
      </c>
      <c r="AF1497" s="42" t="str">
        <f ca="1"/>
        <v/>
      </c>
      <c r="AG1497" s="42" t="str">
        <f ca="1"/>
        <v/>
      </c>
      <c r="AH1497" s="42" t="str">
        <f ca="1"/>
        <v/>
      </c>
      <c r="AI1497" s="42" t="str">
        <f ca="1"/>
        <v/>
      </c>
      <c r="AJ1497" s="42">
        <f ca="1"/>
        <v>1646</v>
      </c>
      <c r="AK1497" s="42" t="str">
        <f ca="1"/>
        <v/>
      </c>
      <c r="AL1497" s="42" t="str">
        <f ca="1"/>
        <v/>
      </c>
      <c r="AM1497" s="42" t="str">
        <f ca="1"/>
        <v/>
      </c>
      <c r="AN1497" s="42" t="str">
        <f ca="1"/>
        <v/>
      </c>
      <c r="AO1497" s="42" t="str">
        <f ca="1"/>
        <v/>
      </c>
      <c r="AP1497" s="42" t="str">
        <f ca="1"/>
        <v/>
      </c>
      <c r="AQ1497" s="42" t="str">
        <f ca="1"/>
        <v/>
      </c>
      <c r="AR1497" s="42" t="str">
        <f ca="1"/>
        <v/>
      </c>
      <c r="AS1497" s="42" t="str">
        <f ca="1"/>
        <v/>
      </c>
      <c r="AT1497" s="42" t="str">
        <f ca="1"/>
        <v/>
      </c>
      <c r="AU1497" s="42" t="str">
        <f ca="1"/>
        <v/>
      </c>
      <c r="AV1497" s="42" t="str">
        <f ca="1"/>
        <v/>
      </c>
      <c r="AW1497" s="42" t="str">
        <f ca="1"/>
        <v/>
      </c>
      <c r="AX1497" s="42" t="str">
        <f ca="1"/>
        <v/>
      </c>
      <c r="AY1497" s="42" t="str">
        <f ca="1"/>
        <v/>
      </c>
      <c r="AZ1497" s="42" t="str">
        <f ca="1"/>
        <v/>
      </c>
      <c r="BA1497" s="42" t="str">
        <f ca="1"/>
        <v/>
      </c>
      <c r="BB1497" s="42" t="str">
        <f ca="1"/>
        <v/>
      </c>
      <c r="BC1497" s="42" t="str">
        <f ca="1"/>
        <v/>
      </c>
      <c r="BD1497" s="42" t="str">
        <f ca="1"/>
        <v/>
      </c>
      <c r="BE1497" s="42" t="str">
        <f ca="1"/>
        <v/>
      </c>
      <c r="BF1497" s="42" t="str">
        <f ca="1"/>
        <v/>
      </c>
      <c r="BG1497" s="42" t="str">
        <f ca="1"/>
        <v/>
      </c>
      <c r="BH1497" s="42" t="str">
        <f ca="1"/>
        <v/>
      </c>
      <c r="BI1497" s="42" t="str">
        <f ca="1"/>
        <v/>
      </c>
      <c r="BJ1497" s="42" t="str">
        <f ca="1"/>
        <v/>
      </c>
      <c r="BK1497" s="42" t="str">
        <f ca="1"/>
        <v/>
      </c>
      <c r="BL1497" s="42" t="str">
        <f ca="1"/>
        <v/>
      </c>
      <c r="BM1497" s="42" t="str">
        <f ca="1"/>
        <v/>
      </c>
      <c r="BN1497" s="42" t="str">
        <f ca="1"/>
        <v/>
      </c>
      <c r="BO1497" s="42" t="str">
        <f ca="1"/>
        <v/>
      </c>
      <c r="BP1497" s="42" t="str">
        <f ca="1"/>
        <v/>
      </c>
      <c r="BQ1497" s="42" t="str">
        <f ca="1"/>
        <v/>
      </c>
      <c r="BR1497" s="42" t="str">
        <f ca="1"/>
        <v/>
      </c>
      <c r="BS1497" s="42" t="str">
        <f ca="1"/>
        <v/>
      </c>
      <c r="BT1497" s="42" t="str">
        <f ca="1"/>
        <v/>
      </c>
      <c r="BU1497" s="42" t="str">
        <f ca="1"/>
        <v/>
      </c>
      <c r="BV1497" s="42" t="str">
        <f ca="1"/>
        <v/>
      </c>
      <c r="BW1497" s="42" t="str">
        <f ca="1"/>
        <v/>
      </c>
      <c r="BX1497" s="42" t="str">
        <f ca="1"/>
        <v/>
      </c>
      <c r="BY1497" s="42" t="str">
        <f ca="1"/>
        <v/>
      </c>
      <c r="BZ1497" s="42" t="str">
        <f ca="1"/>
        <v/>
      </c>
      <c r="CA1497" s="42" t="str">
        <f ca="1"/>
        <v/>
      </c>
      <c r="CB1497" s="42" t="str">
        <f ca="1"/>
        <v/>
      </c>
      <c r="CC1497" s="42" t="str">
        <f ca="1"/>
        <v/>
      </c>
      <c r="CD1497" s="42" t="str">
        <f ca="1"/>
        <v/>
      </c>
      <c r="CE1497" s="42" t="str">
        <f ca="1"/>
        <v/>
      </c>
      <c r="CF1497" s="42" t="str">
        <f ca="1"/>
        <v/>
      </c>
      <c r="CG1497" s="42" t="str">
        <f ca="1"/>
        <v/>
      </c>
      <c r="CH1497" s="42" t="str">
        <f ca="1"/>
        <v/>
      </c>
      <c r="CI1497" s="42" t="str">
        <f ca="1"/>
        <v/>
      </c>
      <c r="CJ1497" s="42" t="str">
        <f ca="1"/>
        <v/>
      </c>
      <c r="CK1497" s="42" t="str">
        <f ca="1"/>
        <v/>
      </c>
      <c r="CL1497" s="42" t="str">
        <f ca="1"/>
        <v/>
      </c>
      <c r="CM1497" s="42" t="str">
        <f ca="1"/>
        <v/>
      </c>
      <c r="CN1497" s="42" t="str">
        <f ca="1"/>
        <v/>
      </c>
      <c r="CO1497" s="42" t="str">
        <f ca="1"/>
        <v/>
      </c>
      <c r="CP1497" s="42" t="str">
        <f ca="1"/>
        <v/>
      </c>
      <c r="CQ1497" s="42" t="str">
        <f ca="1"/>
        <v/>
      </c>
      <c r="CR1497" s="42" t="str">
        <f ca="1"/>
        <v/>
      </c>
      <c r="CS1497" s="42" t="str">
        <f ca="1"/>
        <v/>
      </c>
      <c r="CT1497" s="42" t="str">
        <f ca="1"/>
        <v/>
      </c>
      <c r="CU1497" s="42" t="str">
        <f ca="1"/>
        <v/>
      </c>
      <c r="CV1497" s="42" t="str">
        <f ca="1"/>
        <v/>
      </c>
      <c r="CW1497" s="42" t="str">
        <f ca="1"/>
        <v/>
      </c>
      <c r="CX1497" s="42" t="str">
        <f ca="1"/>
        <v/>
      </c>
      <c r="CY1497" s="42" t="str">
        <f ca="1"/>
        <v/>
      </c>
      <c r="CZ1497" s="42" t="str">
        <f ca="1"/>
        <v/>
      </c>
      <c r="DA1497" s="42" t="str">
        <f ca="1"/>
        <v/>
      </c>
      <c r="DB1497" s="42" t="str">
        <f ca="1"/>
        <v/>
      </c>
      <c r="DC1497" s="42" t="str">
        <f ca="1"/>
        <v/>
      </c>
      <c r="DD1497" s="42" t="str">
        <f ca="1"/>
        <v/>
      </c>
      <c r="DE1497" s="42" t="str">
        <f ca="1"/>
        <v/>
      </c>
      <c r="DF1497" s="42" t="str">
        <f ca="1"/>
        <v/>
      </c>
      <c r="DG1497" s="42" t="str">
        <f ca="1"/>
        <v/>
      </c>
      <c r="DH1497" s="42" t="str">
        <f ca="1"/>
        <v/>
      </c>
      <c r="DI1497" s="42" t="str">
        <f ca="1"/>
        <v/>
      </c>
      <c r="DJ1497" s="42" t="str">
        <f ca="1"/>
        <v/>
      </c>
      <c r="DK1497" s="42" t="str">
        <f ca="1"/>
        <v/>
      </c>
      <c r="DL1497" s="42" t="str">
        <f ca="1"/>
        <v/>
      </c>
      <c r="DM1497" s="42" t="str">
        <f ca="1"/>
        <v/>
      </c>
      <c r="DN1497" s="42" t="str">
        <f ca="1"/>
        <v/>
      </c>
      <c r="DO1497" s="42" t="str">
        <f ca="1"/>
        <v/>
      </c>
      <c r="DP1497" s="42" t="str">
        <f ca="1"/>
        <v/>
      </c>
      <c r="DQ1497" s="42" t="str">
        <f ca="1"/>
        <v/>
      </c>
      <c r="DR1497" s="42" t="str">
        <f ca="1"/>
        <v/>
      </c>
      <c r="DS1497" s="42" t="str">
        <f ca="1"/>
        <v/>
      </c>
      <c r="DT1497" s="42" t="str">
        <f ca="1"/>
        <v/>
      </c>
      <c r="DU1497" s="42" t="str">
        <f ca="1"/>
        <v/>
      </c>
      <c r="DV1497" s="42" t="str">
        <f ca="1"/>
        <v/>
      </c>
      <c r="DW1497" s="42" t="str">
        <f ca="1"/>
        <v/>
      </c>
      <c r="DX1497" s="42" t="str">
        <f ca="1"/>
        <v/>
      </c>
      <c r="DY1497" s="42" t="str">
        <f ca="1"/>
        <v/>
      </c>
      <c r="DZ1497" s="42" t="str">
        <f ca="1"/>
        <v/>
      </c>
      <c r="EA1497" s="42" t="str">
        <f ca="1"/>
        <v/>
      </c>
      <c r="EB1497" s="42" t="str">
        <f ca="1"/>
        <v/>
      </c>
      <c r="EC1497" s="42" t="str">
        <f ca="1"/>
        <v/>
      </c>
      <c r="ED1497" s="42" t="str">
        <f ca="1"/>
        <v/>
      </c>
      <c r="EE1497" s="42" t="str">
        <f ca="1"/>
        <v/>
      </c>
      <c r="EF1497" s="42" t="str">
        <f ca="1"/>
        <v/>
      </c>
      <c r="EG1497" s="42" t="str">
        <f ca="1"/>
        <v/>
      </c>
      <c r="EH1497" s="42" t="str">
        <f ca="1"/>
        <v/>
      </c>
      <c r="EI1497" s="42" t="str">
        <f ca="1"/>
        <v/>
      </c>
      <c r="EJ1497" s="42" t="str">
        <f ca="1"/>
        <v/>
      </c>
      <c r="EK1497" s="42" t="str">
        <f ca="1"/>
        <v/>
      </c>
      <c r="EL1497" s="42" t="str">
        <f ca="1"/>
        <v/>
      </c>
      <c r="EM1497" s="42" t="str">
        <f ca="1"/>
        <v/>
      </c>
      <c r="EN1497" s="42" t="str">
        <f ca="1"/>
        <v/>
      </c>
      <c r="EO1497" s="42" t="str">
        <f ca="1"/>
        <v/>
      </c>
      <c r="EP1497" s="42" t="str">
        <f ca="1"/>
        <v/>
      </c>
      <c r="EQ1497" s="42" t="str">
        <f ca="1"/>
        <v/>
      </c>
      <c r="ER1497" s="42" t="str">
        <f ca="1"/>
        <v/>
      </c>
      <c r="ES1497" s="42" t="str">
        <f ca="1"/>
        <v/>
      </c>
      <c r="ET1497" s="42" t="str">
        <f ca="1"/>
        <v/>
      </c>
      <c r="EU1497" s="42" t="str">
        <f ca="1"/>
        <v/>
      </c>
      <c r="EV1497" s="42" t="str">
        <f ca="1"/>
        <v/>
      </c>
      <c r="EW1497" s="42" t="str">
        <f ca="1"/>
        <v/>
      </c>
      <c r="EX1497" s="42" t="str">
        <f ca="1"/>
        <v/>
      </c>
      <c r="EY1497" s="42" t="str">
        <f ca="1"/>
        <v/>
      </c>
      <c r="EZ1497" s="42" t="str">
        <f ca="1"/>
        <v/>
      </c>
      <c r="FA1497" s="42" t="str">
        <f ca="1"/>
        <v/>
      </c>
      <c r="FB1497" s="42" t="str">
        <f ca="1"/>
        <v/>
      </c>
      <c r="FC1497" s="42">
        <f ca="1"/>
        <v>1200</v>
      </c>
      <c r="FD1497" s="42" t="str">
        <f ca="1"/>
        <v/>
      </c>
      <c r="FE1497" s="42" t="str">
        <f ca="1"/>
        <v/>
      </c>
      <c r="FF1497" s="42" t="str">
        <f ca="1"/>
        <v/>
      </c>
      <c r="FG1497" s="42" t="str">
        <f ca="1"/>
        <v/>
      </c>
      <c r="FH1497" s="42" t="str">
        <f ca="1"/>
        <v/>
      </c>
      <c r="FI1497" s="42" t="str">
        <f ca="1"/>
        <v/>
      </c>
      <c r="FJ1497" s="42" t="str">
        <f ca="1"/>
        <v/>
      </c>
      <c r="FK1497" s="42" t="str">
        <f ca="1"/>
        <v/>
      </c>
      <c r="FL1497" s="42" t="str">
        <f ca="1"/>
        <v/>
      </c>
      <c r="FM1497" s="42" t="str">
        <f ca="1"/>
        <v/>
      </c>
      <c r="FN1497" s="42" t="str">
        <f ca="1"/>
        <v/>
      </c>
      <c r="FO1497" s="42" t="str">
        <f ca="1"/>
        <v/>
      </c>
      <c r="FP1497" s="42" t="str">
        <f ca="1"/>
        <v/>
      </c>
      <c r="FQ1497" s="42" t="str">
        <f ca="1"/>
        <v/>
      </c>
      <c r="FR1497" s="42" t="str">
        <f ca="1"/>
        <v/>
      </c>
      <c r="FS1497" s="42" t="str">
        <f ca="1"/>
        <v/>
      </c>
      <c r="FT1497" s="42" t="str">
        <f ca="1"/>
        <v/>
      </c>
      <c r="FU1497" s="42" t="str">
        <f ca="1"/>
        <v/>
      </c>
      <c r="FV1497" s="42" t="str">
        <f ca="1"/>
        <v/>
      </c>
      <c r="FW1497" s="42" t="str">
        <f ca="1"/>
        <v/>
      </c>
      <c r="FX1497" s="42" t="str">
        <f ca="1"/>
        <v/>
      </c>
      <c r="FY1497" s="42" t="str">
        <f ca="1"/>
        <v/>
      </c>
      <c r="FZ1497" s="42" t="str">
        <f ca="1"/>
        <v/>
      </c>
      <c r="GA1497" s="42" t="str">
        <f ca="1"/>
        <v/>
      </c>
      <c r="GB1497" s="42" t="str">
        <f ca="1"/>
        <v/>
      </c>
      <c r="GC1497" s="42">
        <f ca="1"/>
        <v>1187</v>
      </c>
      <c r="GD1497" s="42" t="str">
        <f ca="1"/>
        <v/>
      </c>
      <c r="GE1497" s="42" t="str">
        <f ca="1"/>
        <v/>
      </c>
      <c r="GF1497" s="42" t="str">
        <f ca="1"/>
        <v/>
      </c>
      <c r="GG1497" s="42">
        <f ca="1"/>
        <v>2620</v>
      </c>
      <c r="GH1497" s="42" t="str">
        <f ca="1"/>
        <v/>
      </c>
      <c r="GI1497" s="42" t="str">
        <f ca="1"/>
        <v/>
      </c>
      <c r="GJ1497" s="42" t="str">
        <f ca="1"/>
        <v/>
      </c>
      <c r="GK1497" s="42" t="str">
        <f ca="1"/>
        <v/>
      </c>
      <c r="GL1497" s="42" t="str">
        <f ca="1"/>
        <v/>
      </c>
      <c r="GM1497" s="42" t="str">
        <f ca="1"/>
        <v/>
      </c>
      <c r="GN1497" s="42" t="str">
        <f ca="1"/>
        <v/>
      </c>
      <c r="GO1497" s="42" t="str">
        <f ca="1"/>
        <v/>
      </c>
      <c r="GP1497" s="42" t="str">
        <f ca="1"/>
        <v/>
      </c>
      <c r="GQ1497" s="42" t="str">
        <f ca="1"/>
        <v/>
      </c>
      <c r="GR1497" s="42" t="str">
        <f ca="1"/>
        <v/>
      </c>
      <c r="GS1497" s="42" t="str">
        <f ca="1"/>
        <v/>
      </c>
      <c r="GT1497" s="42" t="str">
        <f ca="1"/>
        <v/>
      </c>
      <c r="GU1497" s="42" t="str">
        <f ca="1"/>
        <v/>
      </c>
      <c r="GV1497" s="42" t="str">
        <f ca="1"/>
        <v/>
      </c>
      <c r="GW1497" s="42" t="str">
        <f ca="1"/>
        <v/>
      </c>
      <c r="GX1497" s="42" t="str">
        <f ca="1"/>
        <v/>
      </c>
      <c r="GY1497" s="42" t="str">
        <f ca="1"/>
        <v/>
      </c>
      <c r="GZ1497" s="42" t="str">
        <f ca="1"/>
        <v/>
      </c>
      <c r="HA1497" s="42" t="str">
        <f ca="1"/>
        <v/>
      </c>
      <c r="HB1497" s="42" t="str">
        <f ca="1"/>
        <v/>
      </c>
      <c r="HC1497" s="42" t="str">
        <f ca="1"/>
        <v/>
      </c>
      <c r="HD1497" s="42" t="str">
        <f ca="1"/>
        <v/>
      </c>
      <c r="HE1497" s="42" t="str">
        <f ca="1"/>
        <v/>
      </c>
      <c r="HF1497" s="42" t="str">
        <f ca="1"/>
        <v/>
      </c>
      <c r="HG1497" s="42" t="str">
        <f ca="1"/>
        <v/>
      </c>
      <c r="HH1497" s="42" t="str">
        <f ca="1"/>
        <v/>
      </c>
      <c r="HI1497" s="42" t="str">
        <f ca="1"/>
        <v/>
      </c>
      <c r="HJ1497" s="42" t="str">
        <f ca="1"/>
        <v/>
      </c>
      <c r="HK1497" s="42" t="str">
        <f ca="1"/>
        <v/>
      </c>
      <c r="HL1497" s="42" t="str">
        <f ca="1"/>
        <v/>
      </c>
      <c r="HM1497" s="42" t="str">
        <f ca="1"/>
        <v/>
      </c>
      <c r="HN1497" s="42" t="str">
        <f ca="1"/>
        <v/>
      </c>
      <c r="HO1497" s="42" t="str">
        <f ca="1"/>
        <v/>
      </c>
      <c r="HP1497" s="42" t="str">
        <f ca="1"/>
        <v/>
      </c>
      <c r="HQ1497" s="42" t="str">
        <f ca="1"/>
        <v/>
      </c>
      <c r="HR1497" s="42" t="str">
        <f ca="1"/>
        <v/>
      </c>
      <c r="HS1497" s="42" t="str">
        <f ca="1"/>
        <v/>
      </c>
      <c r="HT1497" s="42" t="str">
        <f ca="1"/>
        <v/>
      </c>
      <c r="HU1497" s="42" t="str">
        <f ca="1"/>
        <v/>
      </c>
      <c r="HV1497" s="42" t="str">
        <f ca="1"/>
        <v/>
      </c>
      <c r="HW1497" s="42" t="str">
        <f ca="1"/>
        <v/>
      </c>
      <c r="HX1497" s="42" t="str">
        <f ca="1"/>
        <v/>
      </c>
      <c r="HY1497" s="42" t="str">
        <f ca="1"/>
        <v/>
      </c>
      <c r="HZ1497" s="42" t="str">
        <f ca="1"/>
        <v/>
      </c>
      <c r="IA1497" s="42" t="str">
        <f ca="1"/>
        <v/>
      </c>
      <c r="IB1497" s="42" t="str">
        <f ca="1"/>
        <v/>
      </c>
      <c r="IC1497" s="42" t="str">
        <f ca="1"/>
        <v/>
      </c>
      <c r="ID1497" s="42" t="str">
        <f ca="1"/>
        <v/>
      </c>
      <c r="IE1497" s="42" t="str">
        <f ca="1"/>
        <v/>
      </c>
      <c r="IF1497" s="42" t="str">
        <f ca="1"/>
        <v/>
      </c>
      <c r="IG1497" s="42" t="str">
        <f ca="1"/>
        <v/>
      </c>
      <c r="IH1497" s="42" t="str">
        <f ca="1"/>
        <v/>
      </c>
      <c r="II1497" s="42" t="str">
        <f ca="1"/>
        <v/>
      </c>
      <c r="IJ1497" s="42" t="str">
        <f ca="1"/>
        <v/>
      </c>
      <c r="IK1497" s="42" t="str">
        <f ca="1"/>
        <v/>
      </c>
      <c r="IL1497" s="42" t="str">
        <f ca="1"/>
        <v/>
      </c>
      <c r="IM1497" s="42" t="str">
        <f ca="1"/>
        <v/>
      </c>
      <c r="IN1497" s="42" t="str">
        <f ca="1"/>
        <v/>
      </c>
      <c r="IO1497" s="42" t="str">
        <f ca="1"/>
        <v/>
      </c>
      <c r="IP1497" s="42" t="str">
        <f ca="1"/>
        <v/>
      </c>
      <c r="IQ1497" s="42" t="str">
        <f ca="1"/>
        <v/>
      </c>
      <c r="IR1497" s="42" t="str">
        <f ca="1"/>
        <v/>
      </c>
      <c r="IS1497" s="42" t="str">
        <f ca="1"/>
        <v/>
      </c>
      <c r="IT1497" s="42" t="str">
        <f ca="1"/>
        <v/>
      </c>
      <c r="IU1497" s="42" t="str">
        <f ca="1"/>
        <v/>
      </c>
      <c r="IV1497" s="42" t="str">
        <f ca="1"/>
        <v/>
      </c>
      <c r="IW1497" s="42" t="str">
        <f ca="1"/>
        <v/>
      </c>
      <c r="IX1497" s="42" t="str">
        <f ca="1"/>
        <v/>
      </c>
      <c r="IY1497" s="42" t="str">
        <f ca="1"/>
        <v/>
      </c>
      <c r="IZ1497" s="42" t="str">
        <f ca="1"/>
        <v/>
      </c>
      <c r="JA1497" s="42" t="str">
        <f ca="1"/>
        <v/>
      </c>
      <c r="JB1497" s="42" t="str">
        <f ca="1"/>
        <v/>
      </c>
      <c r="JC1497" s="42" t="str">
        <f ca="1"/>
        <v/>
      </c>
      <c r="JD1497" s="42" t="str">
        <f ca="1"/>
        <v/>
      </c>
      <c r="JE1497" s="42" t="str">
        <f ca="1"/>
        <v/>
      </c>
      <c r="JF1497" s="42" t="str">
        <f ca="1"/>
        <v/>
      </c>
      <c r="JG1497" s="42" t="str">
        <f ca="1"/>
        <v/>
      </c>
      <c r="JH1497" s="42" t="str">
        <f ca="1"/>
        <v/>
      </c>
      <c r="JI1497" s="42" t="str">
        <f ca="1"/>
        <v/>
      </c>
      <c r="JJ1497" s="42" t="str">
        <f ca="1"/>
        <v/>
      </c>
      <c r="JK1497" s="42" t="str">
        <f ca="1"/>
        <v/>
      </c>
      <c r="JL1497" s="42" t="str">
        <f ca="1"/>
        <v/>
      </c>
      <c r="JM1497" s="42" t="str">
        <f ca="1"/>
        <v/>
      </c>
      <c r="JN1497" s="42" t="str">
        <f ca="1"/>
        <v/>
      </c>
      <c r="JO1497" s="42" t="str">
        <f ca="1"/>
        <v/>
      </c>
      <c r="JP1497" s="42" t="str">
        <f ca="1"/>
        <v/>
      </c>
      <c r="JQ1497" s="42" t="str">
        <f ca="1"/>
        <v/>
      </c>
      <c r="JR1497" s="42" t="str">
        <f ca="1"/>
        <v/>
      </c>
      <c r="JS1497" s="42" t="str">
        <f ca="1"/>
        <v/>
      </c>
      <c r="JT1497" s="42" t="str">
        <f ca="1"/>
        <v/>
      </c>
      <c r="JU1497" s="42" t="str">
        <f ca="1"/>
        <v/>
      </c>
      <c r="JV1497" s="42" t="str">
        <f ca="1"/>
        <v/>
      </c>
      <c r="JW1497" s="42" t="str">
        <f ca="1"/>
        <v/>
      </c>
      <c r="JX1497" s="42" t="str">
        <f ca="1"/>
        <v/>
      </c>
      <c r="JY1497" s="42">
        <f ca="1"/>
        <v>1080</v>
      </c>
      <c r="JZ1497" s="42" t="str">
        <f ca="1"/>
        <v/>
      </c>
      <c r="KA1497" s="42" t="str">
        <f ca="1"/>
        <v/>
      </c>
      <c r="KB1497" s="42" t="str">
        <f ca="1"/>
        <v/>
      </c>
      <c r="KC1497" s="42" t="str">
        <f ca="1"/>
        <v/>
      </c>
      <c r="KD1497" s="42" t="str">
        <f ca="1"/>
        <v/>
      </c>
      <c r="KE1497" s="42" t="str">
        <f ca="1"/>
        <v/>
      </c>
      <c r="KF1497" s="42" t="str">
        <f ca="1"/>
        <v/>
      </c>
      <c r="KG1497" s="42" t="str">
        <f ca="1"/>
        <v/>
      </c>
      <c r="KH1497" s="42" t="str">
        <f ca="1"/>
        <v/>
      </c>
      <c r="KI1497" s="42" t="str">
        <f ca="1"/>
        <v/>
      </c>
      <c r="KJ1497" s="42" t="str">
        <f ca="1"/>
        <v/>
      </c>
      <c r="KK1497" s="42" t="str">
        <f ca="1"/>
        <v/>
      </c>
      <c r="KL1497" s="42" t="str">
        <f ca="1"/>
        <v/>
      </c>
      <c r="KM1497" s="42" t="str">
        <f ca="1"/>
        <v/>
      </c>
      <c r="KN1497" s="42" t="str">
        <f ca="1"/>
        <v/>
      </c>
      <c r="KO1497" s="42" t="str">
        <f ca="1"/>
        <v/>
      </c>
      <c r="KP1497" s="42" t="str">
        <f ca="1"/>
        <v/>
      </c>
      <c r="KQ1497" s="42" t="str">
        <f ca="1"/>
        <v/>
      </c>
      <c r="KR1497" s="42" t="str">
        <f ca="1"/>
        <v/>
      </c>
      <c r="KS1497" s="42" t="str">
        <f ca="1"/>
        <v/>
      </c>
      <c r="KT1497" s="42" t="str">
        <f ca="1"/>
        <v/>
      </c>
      <c r="KU1497" s="42" t="str">
        <f ca="1"/>
        <v/>
      </c>
      <c r="KV1497" s="42" t="str">
        <f ca="1"/>
        <v/>
      </c>
      <c r="KW1497" s="42" t="str">
        <f ca="1"/>
        <v/>
      </c>
      <c r="KX1497" s="42" t="str">
        <f ca="1"/>
        <v/>
      </c>
      <c r="KY1497" s="42" t="str">
        <f ca="1"/>
        <v/>
      </c>
      <c r="KZ1497" s="42" t="str">
        <f ca="1"/>
        <v/>
      </c>
      <c r="LA1497" s="42" t="str">
        <f ca="1"/>
        <v/>
      </c>
      <c r="LB1497" s="42">
        <f ca="1"/>
        <v>1100</v>
      </c>
      <c r="LC1497" s="42" t="str">
        <f ca="1"/>
        <v/>
      </c>
      <c r="LD1497" s="42" t="str">
        <f ca="1"/>
        <v/>
      </c>
      <c r="LE1497" s="42">
        <f ca="1"/>
        <v>1187</v>
      </c>
      <c r="LF1497" s="42" t="str">
        <f ca="1"/>
        <v/>
      </c>
      <c r="LG1497" s="42" t="str">
        <f ca="1"/>
        <v/>
      </c>
      <c r="LH1497" s="42" t="str">
        <f ca="1"/>
        <v/>
      </c>
      <c r="LI1497" s="42" t="str">
        <f ca="1"/>
        <v/>
      </c>
      <c r="LJ1497" s="42" t="str">
        <f ca="1"/>
        <v/>
      </c>
      <c r="LK1497" s="42" t="str">
        <f ca="1"/>
        <v/>
      </c>
      <c r="LL1497" s="42" t="str">
        <f ca="1"/>
        <v/>
      </c>
      <c r="LM1497" s="42" t="str">
        <f ca="1"/>
        <v/>
      </c>
      <c r="LN1497" s="42" t="str">
        <f ca="1"/>
        <v/>
      </c>
      <c r="LO1497" s="42" t="str">
        <f ca="1"/>
        <v/>
      </c>
      <c r="LP1497" s="42" t="str">
        <f ca="1"/>
        <v/>
      </c>
      <c r="LQ1497" s="42" t="str">
        <f ca="1"/>
        <v/>
      </c>
      <c r="LR1497" s="42" t="str">
        <f ca="1"/>
        <v/>
      </c>
      <c r="LS1497" s="42" t="str">
        <f ca="1"/>
        <v/>
      </c>
      <c r="LT1497" s="42" t="str">
        <f ca="1"/>
        <v/>
      </c>
      <c r="LU1497" s="42" t="str">
        <f ca="1"/>
        <v/>
      </c>
      <c r="LV1497" s="42" t="str">
        <f ca="1"/>
        <v/>
      </c>
      <c r="LW1497" s="42" t="str">
        <f ca="1"/>
        <v/>
      </c>
      <c r="LX1497" s="42" t="str">
        <f ca="1"/>
        <v/>
      </c>
      <c r="LY1497" s="42" t="str">
        <f ca="1"/>
        <v/>
      </c>
      <c r="LZ1497" s="42" t="str">
        <f ca="1"/>
        <v/>
      </c>
      <c r="MA1497" s="42" t="str">
        <f ca="1"/>
        <v/>
      </c>
      <c r="MB1497" s="42" t="str">
        <f ca="1"/>
        <v/>
      </c>
      <c r="MC1497" s="42" t="str">
        <f ca="1"/>
        <v/>
      </c>
      <c r="MD1497" s="42" t="str">
        <f ca="1"/>
        <v/>
      </c>
      <c r="ME1497" s="42" t="str">
        <f ca="1"/>
        <v/>
      </c>
      <c r="MF1497" s="42" t="str">
        <f ca="1"/>
        <v/>
      </c>
      <c r="MG1497" s="42" t="str">
        <f ca="1"/>
        <v/>
      </c>
      <c r="MH1497" s="42" t="str">
        <f ca="1"/>
        <v/>
      </c>
      <c r="MI1497" s="42" t="str">
        <f ca="1"/>
        <v/>
      </c>
      <c r="MJ1497" s="42" t="str">
        <f ca="1"/>
        <v/>
      </c>
      <c r="MK1497" s="42" t="str">
        <f ca="1"/>
        <v/>
      </c>
      <c r="ML1497" s="42" t="str">
        <f ca="1"/>
        <v/>
      </c>
      <c r="MM1497" s="42" t="str">
        <f ca="1"/>
        <v/>
      </c>
      <c r="MN1497" s="42" t="str">
        <f ca="1"/>
        <v/>
      </c>
      <c r="MO1497" s="42" t="str">
        <f ca="1"/>
        <v/>
      </c>
      <c r="MP1497" s="42" t="str">
        <f ca="1"/>
        <v/>
      </c>
      <c r="MQ1497" s="42" t="str">
        <f ca="1"/>
        <v/>
      </c>
      <c r="MR1497" s="42" t="str">
        <f ca="1"/>
        <v/>
      </c>
      <c r="MS1497" s="42" t="str">
        <f ca="1"/>
        <v/>
      </c>
      <c r="MT1497" s="42" t="str">
        <f ca="1"/>
        <v/>
      </c>
      <c r="MU1497" s="42" t="str">
        <f ca="1"/>
        <v/>
      </c>
      <c r="MV1497" s="42" t="str">
        <f ca="1"/>
        <v/>
      </c>
      <c r="MW1497" s="42" t="str">
        <f ca="1"/>
        <v/>
      </c>
      <c r="MX1497" s="42" t="str">
        <f ca="1"/>
        <v/>
      </c>
      <c r="MY1497" s="42" t="str">
        <f ca="1"/>
        <v/>
      </c>
      <c r="MZ1497" s="42" t="str">
        <f ca="1"/>
        <v/>
      </c>
      <c r="NA1497" s="42" t="str">
        <f ca="1"/>
        <v/>
      </c>
      <c r="NB1497" s="42" t="str">
        <f ca="1"/>
        <v/>
      </c>
      <c r="NC1497" s="42" t="str">
        <f ca="1"/>
        <v/>
      </c>
      <c r="ND1497" s="42" t="str">
        <f ca="1"/>
        <v/>
      </c>
      <c r="NE1497" s="42" t="str">
        <f ca="1"/>
        <v/>
      </c>
      <c r="NF1497" s="42" t="str">
        <f ca="1"/>
        <v/>
      </c>
      <c r="NG1497" s="42" t="str">
        <f ca="1"/>
        <v/>
      </c>
      <c r="NH1497" s="42" t="str">
        <f ca="1"/>
        <v/>
      </c>
      <c r="NI1497" s="42" t="str">
        <f ca="1"/>
        <v/>
      </c>
      <c r="NJ1497" s="42" t="str">
        <f ca="1"/>
        <v/>
      </c>
      <c r="NK1497" s="42" t="str">
        <f ca="1"/>
        <v/>
      </c>
      <c r="NL1497" s="42" t="str">
        <f ca="1"/>
        <v/>
      </c>
      <c r="NM1497" s="42" t="str">
        <f ca="1"/>
        <v/>
      </c>
      <c r="NN1497" s="42" t="str">
        <f ca="1"/>
        <v/>
      </c>
      <c r="NO1497" s="42" t="str">
        <f ca="1"/>
        <v/>
      </c>
      <c r="NP1497" s="42" t="str">
        <f ca="1"/>
        <v/>
      </c>
      <c r="NQ1497" s="42" t="str">
        <f ca="1"/>
        <v/>
      </c>
      <c r="NR1497" s="42" t="str">
        <f ca="1"/>
        <v/>
      </c>
      <c r="NS1497" s="42" t="str">
        <f ca="1"/>
        <v/>
      </c>
      <c r="NT1497" s="42" t="str">
        <f ca="1"/>
        <v/>
      </c>
      <c r="NU1497" s="42" t="str">
        <f ca="1"/>
        <v/>
      </c>
      <c r="NV1497" s="42" t="str">
        <f ca="1"/>
        <v/>
      </c>
      <c r="NW1497" s="42" t="str">
        <f ca="1"/>
        <v/>
      </c>
      <c r="NX1497" s="42" t="str">
        <f ca="1"/>
        <v/>
      </c>
      <c r="NY1497" s="42" t="str">
        <f ca="1"/>
        <v/>
      </c>
      <c r="NZ1497" s="42" t="str">
        <f ca="1"/>
        <v/>
      </c>
      <c r="OA1497" s="42" t="str">
        <f ca="1"/>
        <v/>
      </c>
      <c r="OB1497" s="42" t="str">
        <f ca="1"/>
        <v/>
      </c>
      <c r="OC1497" s="42" t="str">
        <f ca="1"/>
        <v/>
      </c>
      <c r="OD1497" s="42" t="str">
        <f ca="1"/>
        <v/>
      </c>
      <c r="OE1497" s="42" t="str">
        <f ca="1"/>
        <v/>
      </c>
      <c r="OF1497" s="42" t="str">
        <f ca="1"/>
        <v/>
      </c>
      <c r="OG1497" s="42" t="str">
        <f ca="1"/>
        <v/>
      </c>
      <c r="OH1497" s="42" t="str">
        <f ca="1"/>
        <v/>
      </c>
      <c r="OI1497" s="42" t="str">
        <f ca="1"/>
        <v/>
      </c>
      <c r="OJ1497" s="42" t="str">
        <f ca="1"/>
        <v/>
      </c>
      <c r="OK1497" s="42" t="str">
        <f ca="1"/>
        <v/>
      </c>
      <c r="OL1497" s="42" t="str">
        <f ca="1"/>
        <v/>
      </c>
      <c r="OM1497" s="42" t="str">
        <f ca="1"/>
        <v/>
      </c>
      <c r="ON1497" s="42" t="str">
        <f ca="1"/>
        <v/>
      </c>
      <c r="OO1497" s="42" t="str">
        <f ca="1"/>
        <v/>
      </c>
      <c r="OP1497" s="42" t="str">
        <f ca="1"/>
        <v/>
      </c>
      <c r="OQ1497" s="42" t="str">
        <f ca="1"/>
        <v/>
      </c>
      <c r="OR1497" s="42" t="str">
        <f ca="1"/>
        <v/>
      </c>
      <c r="OS1497" s="42" t="str">
        <f ca="1"/>
        <v/>
      </c>
      <c r="OT1497" s="42" t="str">
        <f ca="1"/>
        <v/>
      </c>
      <c r="OU1497" s="42" t="str">
        <f ca="1"/>
        <v/>
      </c>
      <c r="OV1497" s="42" t="str">
        <f ca="1"/>
        <v/>
      </c>
      <c r="OW1497" s="42" t="str">
        <f ca="1"/>
        <v/>
      </c>
      <c r="OX1497" s="42" t="str">
        <f ca="1"/>
        <v/>
      </c>
      <c r="OY1497" s="42" t="str">
        <f ca="1"/>
        <v/>
      </c>
      <c r="OZ1497" s="42" t="str">
        <f ca="1"/>
        <v/>
      </c>
      <c r="PA1497" s="42" t="str">
        <f ca="1"/>
        <v/>
      </c>
      <c r="PB1497" s="42" t="str">
        <f ca="1"/>
        <v/>
      </c>
      <c r="PC1497" s="42" t="str">
        <f ca="1"/>
        <v/>
      </c>
      <c r="PD1497" s="42" t="str">
        <f ca="1"/>
        <v/>
      </c>
      <c r="PE1497" s="42" t="str">
        <f ca="1"/>
        <v/>
      </c>
      <c r="PF1497" s="42" t="str">
        <f ca="1"/>
        <v/>
      </c>
      <c r="PG1497" s="42" t="str">
        <f ca="1"/>
        <v/>
      </c>
      <c r="PH1497" s="42" t="str">
        <f ca="1"/>
        <v/>
      </c>
      <c r="PI1497" s="42" t="str">
        <f ca="1"/>
        <v/>
      </c>
      <c r="PJ1497" s="42" t="str">
        <f ca="1"/>
        <v/>
      </c>
      <c r="PK1497" s="42" t="str">
        <f ca="1"/>
        <v/>
      </c>
      <c r="PL1497" s="42" t="str">
        <f ca="1"/>
        <v/>
      </c>
      <c r="PM1497" s="42" t="str">
        <f ca="1"/>
        <v/>
      </c>
      <c r="PN1497" s="42" t="str">
        <f ca="1"/>
        <v/>
      </c>
      <c r="PO1497" s="42" t="str">
        <f ca="1"/>
        <v/>
      </c>
      <c r="PP1497" s="42" t="str">
        <f ca="1"/>
        <v/>
      </c>
      <c r="PQ1497" s="42" t="str">
        <f ca="1"/>
        <v/>
      </c>
      <c r="PR1497" s="42" t="str">
        <f ca="1"/>
        <v/>
      </c>
      <c r="PS1497" s="42" t="str">
        <f ca="1"/>
        <v/>
      </c>
      <c r="PT1497" s="42" t="str">
        <f ca="1"/>
        <v/>
      </c>
      <c r="PU1497" s="42" t="str">
        <f ca="1"/>
        <v/>
      </c>
      <c r="PV1497" s="42" t="str">
        <f ca="1"/>
        <v/>
      </c>
      <c r="PW1497" s="42" t="str">
        <f ca="1"/>
        <v/>
      </c>
      <c r="PX1497" s="42" t="str">
        <f ca="1"/>
        <v/>
      </c>
      <c r="PY1497" s="42" t="str">
        <f ca="1"/>
        <v/>
      </c>
      <c r="PZ1497" s="42" t="str">
        <f ca="1"/>
        <v/>
      </c>
      <c r="QA1497" s="42" t="str">
        <f ca="1"/>
        <v/>
      </c>
      <c r="QB1497" s="42" t="str">
        <f ca="1"/>
        <v/>
      </c>
      <c r="QC1497" s="42" t="str">
        <f ca="1"/>
        <v/>
      </c>
      <c r="QD1497" s="42" t="str">
        <f ca="1"/>
        <v/>
      </c>
      <c r="QE1497" s="42" t="str">
        <f ca="1"/>
        <v/>
      </c>
      <c r="QF1497" s="42" t="str">
        <f ca="1"/>
        <v/>
      </c>
      <c r="QG1497" s="42" t="str">
        <f ca="1"/>
        <v/>
      </c>
      <c r="QH1497" s="42" t="str">
        <f ca="1"/>
        <v/>
      </c>
      <c r="QI1497" s="42" t="str">
        <f ca="1"/>
        <v/>
      </c>
      <c r="QJ1497" s="42" t="str">
        <f ca="1"/>
        <v/>
      </c>
      <c r="QK1497" s="42" t="str">
        <f ca="1"/>
        <v/>
      </c>
      <c r="QL1497" s="42" t="str">
        <f ca="1"/>
        <v/>
      </c>
      <c r="QM1497" s="42" t="str">
        <f ca="1"/>
        <v/>
      </c>
      <c r="QN1497" s="42" t="str">
        <f ca="1"/>
        <v/>
      </c>
      <c r="QO1497" s="42" t="str">
        <f ca="1"/>
        <v/>
      </c>
      <c r="QP1497" s="42" t="str">
        <f ca="1"/>
        <v/>
      </c>
      <c r="QQ1497" s="42" t="str">
        <f ca="1"/>
        <v/>
      </c>
      <c r="QR1497" s="42" t="str">
        <f ca="1"/>
        <v/>
      </c>
      <c r="QS1497" s="42" t="str">
        <f ca="1"/>
        <v/>
      </c>
      <c r="QT1497" s="42" t="str">
        <f ca="1"/>
        <v/>
      </c>
      <c r="QU1497" s="42" t="str">
        <f ca="1"/>
        <v/>
      </c>
      <c r="QV1497" s="42" t="str">
        <f ca="1"/>
        <v/>
      </c>
      <c r="QW1497" s="42" t="str">
        <f ca="1"/>
        <v/>
      </c>
      <c r="QX1497" s="42" t="str">
        <f ca="1"/>
        <v/>
      </c>
      <c r="QY1497" s="42" t="str">
        <f ca="1"/>
        <v/>
      </c>
      <c r="QZ1497" s="42" t="str">
        <f ca="1"/>
        <v/>
      </c>
      <c r="RA1497" s="42" t="str">
        <f ca="1"/>
        <v/>
      </c>
      <c r="RB1497" s="42" t="str">
        <f ca="1"/>
        <v/>
      </c>
      <c r="RC1497" s="42" t="str">
        <f ca="1"/>
        <v/>
      </c>
      <c r="RD1497" s="42" t="str">
        <f ca="1"/>
        <v/>
      </c>
      <c r="RE1497" s="42" t="str">
        <f ca="1"/>
        <v/>
      </c>
      <c r="RF1497" s="42" t="str">
        <f ca="1"/>
        <v/>
      </c>
      <c r="RG1497" s="42" t="str">
        <f ca="1"/>
        <v/>
      </c>
      <c r="RH1497" s="42" t="str">
        <f ca="1"/>
        <v/>
      </c>
      <c r="RI1497" s="42" t="str">
        <f ca="1"/>
        <v/>
      </c>
      <c r="RJ1497" s="42" t="str">
        <f ca="1"/>
        <v/>
      </c>
      <c r="RK1497" s="42" t="str">
        <f ca="1"/>
        <v/>
      </c>
      <c r="RL1497" s="42" t="str">
        <f ca="1"/>
        <v/>
      </c>
      <c r="RM1497" s="42" t="str">
        <f ca="1"/>
        <v/>
      </c>
      <c r="RN1497" s="42" t="str">
        <f ca="1"/>
        <v/>
      </c>
      <c r="RO1497" s="42" t="str">
        <f ca="1"/>
        <v/>
      </c>
      <c r="RP1497" s="42" t="str">
        <f ca="1"/>
        <v/>
      </c>
      <c r="RQ1497" s="42" t="str">
        <f ca="1"/>
        <v/>
      </c>
      <c r="RR1497" s="42" t="str">
        <f ca="1"/>
        <v/>
      </c>
      <c r="RS1497" s="42" t="str">
        <f ca="1"/>
        <v/>
      </c>
      <c r="RT1497" s="42" t="str">
        <f ca="1"/>
        <v/>
      </c>
      <c r="RU1497" s="42" t="str">
        <f ca="1"/>
        <v/>
      </c>
      <c r="RV1497" s="42" t="str">
        <f ca="1"/>
        <v/>
      </c>
      <c r="RW1497" s="42" t="str">
        <f ca="1"/>
        <v/>
      </c>
      <c r="RX1497" s="42" t="str">
        <f ca="1"/>
        <v/>
      </c>
      <c r="RY1497" s="42" t="str">
        <f ca="1"/>
        <v/>
      </c>
      <c r="RZ1497" s="42" t="str">
        <f ca="1"/>
        <v/>
      </c>
      <c r="SA1497" s="42" t="str">
        <f ca="1"/>
        <v/>
      </c>
      <c r="SB1497" s="42" t="str">
        <f ca="1"/>
        <v/>
      </c>
      <c r="SC1497" s="42" t="str">
        <f ca="1"/>
        <v/>
      </c>
      <c r="SD1497" s="42" t="str">
        <f ca="1"/>
        <v/>
      </c>
      <c r="SE1497" s="42" t="str">
        <f ca="1"/>
        <v/>
      </c>
      <c r="SF1497" s="42" t="str">
        <f ca="1"/>
        <v/>
      </c>
      <c r="SG1497" s="42" t="str">
        <f ca="1"/>
        <v/>
      </c>
      <c r="SH1497" s="42" t="str">
        <f ca="1"/>
        <v/>
      </c>
      <c r="SI1497" s="42" t="str">
        <f ca="1"/>
        <v/>
      </c>
      <c r="SJ1497" s="42" t="str">
        <f ca="1"/>
        <v/>
      </c>
      <c r="SK1497" s="42" t="str">
        <f ca="1"/>
        <v/>
      </c>
      <c r="SL1497" s="42" t="str">
        <f ca="1"/>
        <v/>
      </c>
      <c r="SM1497" s="42" t="str">
        <f ca="1"/>
        <v/>
      </c>
      <c r="SN1497" s="42" t="str">
        <f ca="1"/>
        <v/>
      </c>
      <c r="SO1497" s="42" t="str">
        <f ca="1"/>
        <v/>
      </c>
      <c r="SP1497" s="42" t="str">
        <f ca="1"/>
        <v/>
      </c>
      <c r="SQ1497" s="42" t="str">
        <f ca="1"/>
        <v/>
      </c>
      <c r="SR1497" s="42" t="str">
        <f ca="1"/>
        <v/>
      </c>
      <c r="SS1497" s="42" t="str">
        <f ca="1"/>
        <v/>
      </c>
      <c r="ST1497" s="42" t="str">
        <f ca="1"/>
        <v/>
      </c>
      <c r="SU1497" s="42" t="str">
        <f ca="1"/>
        <v/>
      </c>
      <c r="SV1497" s="42" t="str">
        <f ca="1"/>
        <v/>
      </c>
      <c r="SW1497" s="42" t="str">
        <f ca="1"/>
        <v/>
      </c>
      <c r="SX1497" s="42" t="str">
        <f ca="1"/>
        <v/>
      </c>
      <c r="SY1497" s="42" t="str">
        <f ca="1"/>
        <v/>
      </c>
      <c r="SZ1497" s="42" t="str">
        <f ca="1"/>
        <v/>
      </c>
      <c r="TA1497" s="42" t="str">
        <f ca="1"/>
        <v/>
      </c>
      <c r="TB1497" s="42" t="str">
        <f ca="1"/>
        <v/>
      </c>
      <c r="TC1497" s="42" t="str">
        <f ca="1"/>
        <v/>
      </c>
      <c r="TD1497" s="42" t="str">
        <f ca="1"/>
        <v/>
      </c>
      <c r="TE1497" s="42" t="str">
        <f ca="1"/>
        <v/>
      </c>
      <c r="TF1497" s="42" t="str">
        <f ca="1"/>
        <v/>
      </c>
      <c r="TG1497" s="42" t="str">
        <f ca="1"/>
        <v/>
      </c>
      <c r="TH1497" s="42" t="str">
        <f ca="1"/>
        <v/>
      </c>
      <c r="TI1497" s="42" t="str">
        <f ca="1"/>
        <v/>
      </c>
      <c r="TJ1497" s="42" t="str">
        <f ca="1"/>
        <v/>
      </c>
      <c r="TK1497" s="42" t="str">
        <f ca="1"/>
        <v/>
      </c>
      <c r="TL1497" s="42" t="str">
        <f ca="1"/>
        <v/>
      </c>
      <c r="TM1497" s="42" t="str">
        <f ca="1"/>
        <v/>
      </c>
      <c r="TN1497" s="42" t="str">
        <f ca="1"/>
        <v/>
      </c>
      <c r="TO1497" s="42" t="str">
        <f ca="1"/>
        <v/>
      </c>
      <c r="TP1497" s="42" t="str">
        <f ca="1"/>
        <v/>
      </c>
      <c r="TQ1497" s="42" t="str">
        <f ca="1"/>
        <v/>
      </c>
      <c r="TR1497" s="42" t="str">
        <f ca="1"/>
        <v/>
      </c>
      <c r="TS1497" s="42" t="str">
        <f ca="1"/>
        <v/>
      </c>
      <c r="TT1497" s="42" t="str">
        <f ca="1"/>
        <v/>
      </c>
      <c r="TU1497" s="42" t="str">
        <f ca="1"/>
        <v/>
      </c>
      <c r="TV1497" s="42" t="str">
        <f ca="1"/>
        <v/>
      </c>
      <c r="TW1497" s="42" t="str">
        <f ca="1"/>
        <v/>
      </c>
      <c r="TX1497" s="42" t="str">
        <f ca="1"/>
        <v/>
      </c>
      <c r="TY1497" s="42" t="str">
        <f ca="1"/>
        <v/>
      </c>
      <c r="TZ1497" s="42" t="str">
        <f ca="1"/>
        <v/>
      </c>
      <c r="UA1497" s="42" t="str">
        <f ca="1"/>
        <v/>
      </c>
      <c r="UB1497" s="42" t="str">
        <f ca="1"/>
        <v/>
      </c>
      <c r="UC1497" s="42" t="str">
        <f ca="1"/>
        <v/>
      </c>
      <c r="UD1497" s="42" t="str">
        <f ca="1"/>
        <v/>
      </c>
      <c r="UE1497" s="42" t="str">
        <f ca="1"/>
        <v/>
      </c>
      <c r="UF1497" s="42" t="str">
        <f ca="1"/>
        <v/>
      </c>
      <c r="UG1497" s="42" t="str">
        <f ca="1"/>
        <v/>
      </c>
      <c r="UH1497" s="42" t="str">
        <f ca="1"/>
        <v/>
      </c>
      <c r="UI1497" s="42" t="str">
        <f ca="1"/>
        <v/>
      </c>
      <c r="UJ1497" s="42" t="str">
        <f ca="1"/>
        <v/>
      </c>
      <c r="UK1497" s="42" t="str">
        <f ca="1"/>
        <v/>
      </c>
      <c r="UL1497" s="42" t="str">
        <f ca="1"/>
        <v/>
      </c>
      <c r="UM1497" s="42" t="str">
        <f ca="1"/>
        <v/>
      </c>
      <c r="UN1497" s="42" t="str">
        <f ca="1"/>
        <v/>
      </c>
      <c r="UO1497" s="42" t="str">
        <f ca="1"/>
        <v/>
      </c>
      <c r="UP1497" s="42" t="str">
        <f ca="1"/>
        <v/>
      </c>
      <c r="UQ1497" s="42" t="str">
        <f ca="1"/>
        <v/>
      </c>
      <c r="UR1497" s="42" t="str">
        <f ca="1"/>
        <v/>
      </c>
      <c r="US1497" s="42" t="str">
        <f ca="1"/>
        <v/>
      </c>
      <c r="UT1497" s="42" t="str">
        <f ca="1"/>
        <v/>
      </c>
      <c r="UU1497" s="42" t="str">
        <f ca="1"/>
        <v/>
      </c>
      <c r="UV1497" s="42" t="str">
        <f ca="1"/>
        <v/>
      </c>
      <c r="UW1497" s="42" t="str">
        <f ca="1"/>
        <v/>
      </c>
      <c r="UX1497" s="42" t="str">
        <f ca="1"/>
        <v/>
      </c>
      <c r="UY1497" s="42" t="str">
        <f ca="1"/>
        <v/>
      </c>
      <c r="UZ1497" s="42" t="str">
        <f ca="1"/>
        <v/>
      </c>
      <c r="VA1497" s="42" t="str">
        <f ca="1"/>
        <v/>
      </c>
      <c r="VB1497" s="42" t="str">
        <f ca="1"/>
        <v/>
      </c>
      <c r="VC1497" s="42" t="str">
        <f ca="1"/>
        <v/>
      </c>
      <c r="VD1497" s="42" t="str">
        <f ca="1"/>
        <v/>
      </c>
      <c r="VE1497" s="42" t="str">
        <f ca="1"/>
        <v/>
      </c>
      <c r="VF1497" s="42" t="str">
        <f ca="1"/>
        <v/>
      </c>
      <c r="VG1497" s="42" t="str">
        <f ca="1"/>
        <v/>
      </c>
      <c r="VH1497" s="42" t="str">
        <f ca="1"/>
        <v/>
      </c>
      <c r="VI1497" s="42" t="str">
        <f ca="1"/>
        <v/>
      </c>
      <c r="VJ1497" s="42" t="str">
        <f ca="1"/>
        <v/>
      </c>
      <c r="VK1497" s="42" t="str">
        <f ca="1"/>
        <v/>
      </c>
      <c r="VL1497" s="42" t="str">
        <f ca="1"/>
        <v/>
      </c>
      <c r="VM1497" s="42" t="str">
        <f ca="1"/>
        <v/>
      </c>
      <c r="VN1497" s="42" t="str">
        <f ca="1"/>
        <v/>
      </c>
      <c r="VO1497" s="42" t="str">
        <f ca="1"/>
        <v/>
      </c>
      <c r="VP1497" s="42" t="str">
        <f ca="1"/>
        <v/>
      </c>
      <c r="VQ1497" s="42" t="str">
        <f ca="1"/>
        <v/>
      </c>
      <c r="VR1497" s="42" t="str">
        <f ca="1"/>
        <v/>
      </c>
      <c r="VS1497" s="42" t="str">
        <f ca="1"/>
        <v/>
      </c>
      <c r="VT1497" s="42" t="str">
        <f ca="1"/>
        <v/>
      </c>
      <c r="VU1497" s="42" t="str">
        <f ca="1"/>
        <v/>
      </c>
      <c r="VV1497" s="42" t="str">
        <f ca="1"/>
        <v/>
      </c>
      <c r="VW1497" s="42" t="str">
        <f ca="1"/>
        <v/>
      </c>
      <c r="VX1497" s="42" t="str">
        <f ca="1"/>
        <v/>
      </c>
      <c r="VY1497" s="42" t="str">
        <f ca="1"/>
        <v/>
      </c>
      <c r="VZ1497" s="42" t="str">
        <f ca="1"/>
        <v/>
      </c>
      <c r="WA1497" s="42" t="str">
        <f ca="1"/>
        <v/>
      </c>
      <c r="WB1497" s="42" t="str">
        <f ca="1"/>
        <v/>
      </c>
      <c r="WC1497" s="42" t="str">
        <f ca="1"/>
        <v/>
      </c>
      <c r="WD1497" s="42" t="str">
        <f ca="1"/>
        <v/>
      </c>
      <c r="WE1497" s="42" t="str">
        <f ca="1"/>
        <v/>
      </c>
      <c r="WF1497" s="42" t="str">
        <f ca="1"/>
        <v/>
      </c>
      <c r="WG1497" s="42" t="str">
        <f ca="1"/>
        <v/>
      </c>
      <c r="WH1497" s="42" t="str">
        <f ca="1"/>
        <v/>
      </c>
      <c r="WI1497" s="42" t="str">
        <f ca="1"/>
        <v/>
      </c>
      <c r="WJ1497" s="42" t="str">
        <f ca="1"/>
        <v/>
      </c>
      <c r="WK1497" s="42" t="str">
        <f ca="1"/>
        <v/>
      </c>
      <c r="WL1497" s="42" t="str">
        <f ca="1"/>
        <v/>
      </c>
      <c r="WM1497" s="42" t="str">
        <f ca="1"/>
        <v/>
      </c>
      <c r="WN1497" s="42" t="str">
        <f ca="1"/>
        <v/>
      </c>
      <c r="WO1497" s="42" t="str">
        <f ca="1"/>
        <v/>
      </c>
      <c r="WP1497" s="42" t="str">
        <f ca="1"/>
        <v/>
      </c>
      <c r="WQ1497" s="42" t="str">
        <f ca="1"/>
        <v/>
      </c>
      <c r="WR1497" s="42" t="str">
        <f ca="1"/>
        <v/>
      </c>
      <c r="WS1497" s="42" t="str">
        <f ca="1"/>
        <v/>
      </c>
      <c r="WT1497" s="42" t="str">
        <f ca="1"/>
        <v/>
      </c>
      <c r="WU1497" s="42" t="str">
        <f ca="1"/>
        <v/>
      </c>
      <c r="WV1497" s="42" t="str">
        <f ca="1"/>
        <v/>
      </c>
      <c r="WW1497" s="42" t="str">
        <f ca="1"/>
        <v/>
      </c>
      <c r="WX1497" s="42" t="str">
        <f ca="1"/>
        <v/>
      </c>
      <c r="WY1497" s="42" t="str">
        <f ca="1"/>
        <v/>
      </c>
      <c r="WZ1497" s="42" t="str">
        <f ca="1"/>
        <v/>
      </c>
      <c r="XA1497" s="42" t="str">
        <f ca="1"/>
        <v/>
      </c>
      <c r="XB1497" s="42" t="str">
        <f ca="1"/>
        <v/>
      </c>
      <c r="XC1497" s="42" t="str">
        <f ca="1"/>
        <v/>
      </c>
      <c r="XD1497" s="42" t="str">
        <f ca="1"/>
        <v/>
      </c>
      <c r="XE1497" s="42" t="str">
        <f ca="1"/>
        <v/>
      </c>
      <c r="XF1497" s="42" t="str">
        <f ca="1"/>
        <v/>
      </c>
      <c r="XG1497" s="42" t="str">
        <f ca="1"/>
        <v/>
      </c>
      <c r="XH1497" s="42" t="str">
        <f ca="1"/>
        <v/>
      </c>
      <c r="XI1497" s="42" t="str">
        <f ca="1"/>
        <v/>
      </c>
      <c r="XJ1497" s="42" t="str">
        <f ca="1"/>
        <v/>
      </c>
      <c r="XK1497" s="42" t="str">
        <f ca="1"/>
        <v/>
      </c>
      <c r="XL1497" s="42" t="str">
        <f ca="1"/>
        <v/>
      </c>
      <c r="XM1497" s="42" t="str">
        <f ca="1"/>
        <v/>
      </c>
      <c r="XN1497" s="42" t="str">
        <f ca="1"/>
        <v/>
      </c>
      <c r="XO1497" s="42" t="str">
        <f ca="1"/>
        <v/>
      </c>
      <c r="XP1497" s="42" t="str">
        <f ca="1"/>
        <v/>
      </c>
      <c r="XQ1497" s="42" t="str">
        <f ca="1"/>
        <v/>
      </c>
      <c r="XR1497" s="42" t="str">
        <f ca="1"/>
        <v/>
      </c>
      <c r="XS1497" s="42" t="str">
        <f ca="1"/>
        <v/>
      </c>
      <c r="XT1497" s="42" t="str">
        <f ca="1"/>
        <v/>
      </c>
      <c r="XU1497" s="42" t="str">
        <f ca="1"/>
        <v/>
      </c>
      <c r="XV1497" s="42" t="str">
        <f ca="1"/>
        <v/>
      </c>
      <c r="XW1497" s="42" t="str">
        <f ca="1"/>
        <v/>
      </c>
      <c r="XX1497" s="42" t="str">
        <f ca="1"/>
        <v/>
      </c>
      <c r="XY1497" s="42" t="str">
        <f ca="1"/>
        <v/>
      </c>
      <c r="XZ1497" s="42" t="str">
        <f ca="1"/>
        <v/>
      </c>
      <c r="YA1497" s="42" t="str">
        <f ca="1"/>
        <v/>
      </c>
      <c r="YB1497" s="42" t="str">
        <f ca="1"/>
        <v/>
      </c>
      <c r="YC1497" s="42" t="str">
        <f ca="1"/>
        <v/>
      </c>
      <c r="YD1497" s="42" t="str">
        <f ca="1"/>
        <v/>
      </c>
      <c r="YE1497" s="42" t="str">
        <f ca="1"/>
        <v/>
      </c>
      <c r="YF1497" s="42" t="str">
        <f ca="1"/>
        <v/>
      </c>
      <c r="YG1497" s="42" t="str">
        <f ca="1"/>
        <v/>
      </c>
      <c r="YH1497" s="42" t="str">
        <f ca="1"/>
        <v/>
      </c>
      <c r="YI1497" s="42" t="str">
        <f ca="1"/>
        <v/>
      </c>
      <c r="YJ1497" s="42" t="str">
        <f ca="1"/>
        <v/>
      </c>
      <c r="YK1497" s="42" t="str">
        <f ca="1"/>
        <v/>
      </c>
      <c r="YL1497" s="42" t="str">
        <f ca="1"/>
        <v/>
      </c>
      <c r="YM1497" s="42" t="str">
        <f ca="1"/>
        <v/>
      </c>
      <c r="YN1497" s="42" t="str">
        <f ca="1"/>
        <v/>
      </c>
      <c r="YO1497" s="42" t="str">
        <f ca="1"/>
        <v/>
      </c>
      <c r="YP1497" s="42" t="str">
        <f ca="1"/>
        <v/>
      </c>
      <c r="YQ1497" s="42" t="str">
        <f ca="1"/>
        <v/>
      </c>
      <c r="YR1497" s="42" t="str">
        <f ca="1"/>
        <v/>
      </c>
      <c r="YS1497" s="42" t="str">
        <f ca="1"/>
        <v/>
      </c>
      <c r="YT1497" s="42" t="str">
        <f ca="1"/>
        <v/>
      </c>
      <c r="YU1497" s="42" t="str">
        <f ca="1"/>
        <v/>
      </c>
      <c r="YV1497" s="42" t="str">
        <f ca="1"/>
        <v/>
      </c>
      <c r="YW1497" s="42" t="str">
        <f ca="1"/>
        <v/>
      </c>
      <c r="YX1497" s="42" t="str">
        <f ca="1"/>
        <v/>
      </c>
      <c r="YY1497" s="42" t="str">
        <f ca="1"/>
        <v/>
      </c>
      <c r="YZ1497" s="42" t="str">
        <f ca="1"/>
        <v/>
      </c>
      <c r="ZA1497" s="42" t="str">
        <f ca="1"/>
        <v/>
      </c>
      <c r="ZB1497" s="42" t="str">
        <f ca="1"/>
        <v/>
      </c>
      <c r="ZC1497" s="42" t="str">
        <f ca="1"/>
        <v/>
      </c>
      <c r="ZD1497" s="42" t="str">
        <f ca="1"/>
        <v/>
      </c>
      <c r="ZE1497" s="42" t="str">
        <f ca="1"/>
        <v/>
      </c>
      <c r="ZF1497" s="42" t="str">
        <f ca="1"/>
        <v/>
      </c>
      <c r="ZG1497" s="42" t="str">
        <f ca="1"/>
        <v/>
      </c>
      <c r="ZH1497" s="42" t="str">
        <f ca="1"/>
        <v/>
      </c>
      <c r="ZI1497" s="42" t="str">
        <f ca="1"/>
        <v/>
      </c>
      <c r="ZJ1497" s="42" t="str">
        <f ca="1"/>
        <v/>
      </c>
      <c r="ZK1497" s="42" t="str">
        <f ca="1"/>
        <v/>
      </c>
      <c r="ZL1497" s="42" t="str">
        <f ca="1"/>
        <v/>
      </c>
      <c r="ZM1497" s="42" t="str">
        <f ca="1"/>
        <v/>
      </c>
      <c r="ZN1497" s="42" t="str">
        <f ca="1"/>
        <v/>
      </c>
      <c r="ZO1497" s="42" t="str">
        <f ca="1"/>
        <v/>
      </c>
      <c r="ZP1497" s="42" t="str">
        <f ca="1"/>
        <v/>
      </c>
      <c r="ZQ1497" s="42" t="str">
        <f ca="1"/>
        <v/>
      </c>
      <c r="ZR1497" s="42" t="str">
        <f ca="1"/>
        <v/>
      </c>
      <c r="ZS1497" s="42" t="str">
        <f ca="1"/>
        <v/>
      </c>
      <c r="ZT1497" s="42" t="str">
        <f ca="1"/>
        <v/>
      </c>
      <c r="ZU1497" s="42" t="str">
        <f ca="1"/>
        <v/>
      </c>
      <c r="ZV1497" s="42" t="str">
        <f ca="1"/>
        <v/>
      </c>
      <c r="ZW1497" s="42" t="str">
        <f ca="1"/>
        <v/>
      </c>
      <c r="ZX1497" s="42" t="str">
        <f ca="1"/>
        <v/>
      </c>
      <c r="ZY1497" s="42" t="str">
        <f ca="1"/>
        <v/>
      </c>
      <c r="ZZ1497" s="42" t="str">
        <f ca="1"/>
        <v/>
      </c>
      <c r="AAA1497" s="42" t="str">
        <f ca="1"/>
        <v/>
      </c>
      <c r="AAB1497" s="42" t="str">
        <f ca="1"/>
        <v/>
      </c>
      <c r="AAC1497" s="42" t="str">
        <f ca="1"/>
        <v/>
      </c>
      <c r="AAD1497" s="42" t="str">
        <f ca="1"/>
        <v/>
      </c>
      <c r="AAE1497" s="42" t="str">
        <f ca="1"/>
        <v/>
      </c>
      <c r="AAF1497" s="42" t="str">
        <f ca="1"/>
        <v/>
      </c>
      <c r="AAG1497" s="42" t="str">
        <f ca="1"/>
        <v/>
      </c>
      <c r="AAH1497" s="42" t="str">
        <f ca="1"/>
        <v/>
      </c>
      <c r="AAI1497" s="42" t="str">
        <f ca="1"/>
        <v/>
      </c>
      <c r="AAJ1497" s="42" t="str">
        <f ca="1"/>
        <v/>
      </c>
      <c r="AAK1497" s="42" t="str">
        <f ca="1"/>
        <v/>
      </c>
      <c r="AAL1497" s="42" t="str">
        <f ca="1"/>
        <v/>
      </c>
      <c r="AAM1497" s="42" t="str">
        <f ca="1"/>
        <v/>
      </c>
      <c r="AAN1497" s="42" t="str">
        <f ca="1"/>
        <v/>
      </c>
      <c r="AAO1497" s="42" t="str">
        <f ca="1"/>
        <v/>
      </c>
      <c r="AAP1497" s="42" t="str">
        <f ca="1"/>
        <v/>
      </c>
      <c r="AAQ1497" s="42" t="str">
        <f ca="1"/>
        <v/>
      </c>
      <c r="AAR1497" s="42" t="str">
        <f ca="1"/>
        <v/>
      </c>
      <c r="AAS1497" s="42" t="str">
        <f ca="1"/>
        <v/>
      </c>
      <c r="AAT1497" s="42" t="str">
        <f ca="1"/>
        <v/>
      </c>
      <c r="AAU1497" s="42" t="str">
        <f ca="1"/>
        <v/>
      </c>
      <c r="AAV1497" s="42" t="str">
        <f ca="1"/>
        <v/>
      </c>
      <c r="AAW1497" s="42" t="str">
        <f ca="1"/>
        <v/>
      </c>
      <c r="AAX1497" s="42" t="str">
        <f ca="1"/>
        <v/>
      </c>
      <c r="AAY1497" s="42" t="str">
        <f ca="1"/>
        <v/>
      </c>
      <c r="AAZ1497" s="42" t="str">
        <f ca="1"/>
        <v/>
      </c>
      <c r="ABA1497" s="42" t="str">
        <f ca="1"/>
        <v/>
      </c>
      <c r="ABB1497" s="42" t="str">
        <f ca="1"/>
        <v/>
      </c>
      <c r="ABC1497" s="42" t="str">
        <f ca="1"/>
        <v/>
      </c>
      <c r="ABD1497" s="42" t="str">
        <f ca="1"/>
        <v/>
      </c>
      <c r="ABE1497" s="42" t="str">
        <f ca="1"/>
        <v/>
      </c>
      <c r="ABF1497" s="42" t="str">
        <f ca="1"/>
        <v/>
      </c>
      <c r="ABG1497" s="42" t="str">
        <f ca="1"/>
        <v/>
      </c>
      <c r="ABH1497" s="42" t="str">
        <f ca="1"/>
        <v/>
      </c>
      <c r="ABI1497" s="42" t="str">
        <f ca="1"/>
        <v/>
      </c>
      <c r="ABJ1497" s="42" t="str">
        <f ca="1"/>
        <v/>
      </c>
      <c r="ABK1497" s="42" t="str">
        <f ca="1"/>
        <v/>
      </c>
      <c r="ABL1497" s="42" t="str">
        <f ca="1"/>
        <v/>
      </c>
      <c r="ABM1497" s="42" t="str">
        <f ca="1"/>
        <v/>
      </c>
      <c r="ABN1497" s="42" t="str">
        <f ca="1"/>
        <v/>
      </c>
      <c r="ABO1497" s="42" t="str">
        <f ca="1"/>
        <v/>
      </c>
      <c r="ABP1497" s="42" t="str">
        <f ca="1"/>
        <v/>
      </c>
      <c r="ABQ1497" s="42" t="str">
        <f ca="1"/>
        <v/>
      </c>
      <c r="ABR1497" s="42" t="str">
        <f ca="1"/>
        <v/>
      </c>
      <c r="ABS1497" s="42" t="str">
        <f ca="1"/>
        <v/>
      </c>
      <c r="ABT1497" s="42" t="str">
        <f ca="1"/>
        <v/>
      </c>
      <c r="ABU1497" s="42" t="str">
        <f ca="1"/>
        <v/>
      </c>
      <c r="ABV1497" s="42" t="str">
        <f ca="1"/>
        <v/>
      </c>
      <c r="ABW1497" s="42" t="str">
        <f ca="1"/>
        <v/>
      </c>
      <c r="ABX1497" s="42" t="str">
        <f ca="1"/>
        <v/>
      </c>
      <c r="ABY1497" s="42" t="str">
        <f ca="1"/>
        <v/>
      </c>
      <c r="ABZ1497" s="42" t="str">
        <f ca="1"/>
        <v/>
      </c>
      <c r="ACA1497" s="42" t="str">
        <f ca="1"/>
        <v/>
      </c>
      <c r="ACB1497" s="42" t="str">
        <f ca="1"/>
        <v/>
      </c>
      <c r="ACC1497" s="42" t="str">
        <f ca="1"/>
        <v/>
      </c>
      <c r="ACD1497" s="42" t="str">
        <f ca="1"/>
        <v/>
      </c>
      <c r="ACE1497" s="42" t="str">
        <f ca="1"/>
        <v/>
      </c>
      <c r="ACF1497" s="42" t="str">
        <f ca="1"/>
        <v/>
      </c>
      <c r="ACG1497" s="42" t="str">
        <f ca="1"/>
        <v/>
      </c>
      <c r="ACH1497" s="42" t="str">
        <f ca="1"/>
        <v/>
      </c>
      <c r="ACI1497" s="42" t="str">
        <f ca="1"/>
        <v/>
      </c>
      <c r="ACJ1497" s="42" t="str">
        <f ca="1"/>
        <v/>
      </c>
      <c r="ACK1497" s="42" t="str">
        <f ca="1"/>
        <v/>
      </c>
      <c r="ACL1497" s="42" t="str">
        <f ca="1"/>
        <v/>
      </c>
      <c r="ACM1497" s="42" t="str">
        <f ca="1"/>
        <v/>
      </c>
      <c r="ACN1497" s="42" t="str">
        <f ca="1"/>
        <v/>
      </c>
      <c r="ACO1497" s="42" t="str">
        <f ca="1"/>
        <v/>
      </c>
      <c r="ACP1497" s="42" t="str">
        <f ca="1"/>
        <v/>
      </c>
      <c r="ACQ1497" s="42" t="str">
        <f ca="1"/>
        <v/>
      </c>
      <c r="ACR1497" s="42" t="str">
        <f ca="1"/>
        <v/>
      </c>
      <c r="ACS1497" s="42" t="str">
        <f ca="1"/>
        <v/>
      </c>
      <c r="ACT1497" s="42" t="str">
        <f ca="1"/>
        <v/>
      </c>
      <c r="ACU1497" s="42" t="str">
        <f ca="1"/>
        <v/>
      </c>
      <c r="ACV1497" s="42" t="str">
        <f ca="1"/>
        <v/>
      </c>
      <c r="ACW1497" s="42" t="str">
        <f ca="1"/>
        <v/>
      </c>
      <c r="ACX1497" s="42" t="str">
        <f ca="1"/>
        <v/>
      </c>
      <c r="ACY1497" s="42" t="str">
        <f ca="1"/>
        <v/>
      </c>
      <c r="ACZ1497" s="42" t="str">
        <f ca="1"/>
        <v/>
      </c>
      <c r="ADA1497" s="42" t="str">
        <f ca="1"/>
        <v/>
      </c>
      <c r="ADB1497" s="42" t="str">
        <f ca="1"/>
        <v/>
      </c>
      <c r="ADC1497" s="42" t="str">
        <f ca="1"/>
        <v/>
      </c>
      <c r="ADD1497" s="42" t="str">
        <f ca="1"/>
        <v/>
      </c>
      <c r="ADE1497" s="42" t="str">
        <f ca="1"/>
        <v/>
      </c>
      <c r="ADF1497" s="42" t="str">
        <f ca="1"/>
        <v/>
      </c>
      <c r="ADG1497" s="42" t="str">
        <f ca="1"/>
        <v/>
      </c>
      <c r="ADH1497" s="42" t="str">
        <f ca="1"/>
        <v/>
      </c>
      <c r="ADI1497" s="42" t="str">
        <f ca="1"/>
        <v/>
      </c>
      <c r="ADJ1497" s="42" t="str">
        <f ca="1"/>
        <v/>
      </c>
      <c r="ADK1497" s="42" t="str">
        <f ca="1"/>
        <v/>
      </c>
      <c r="ADL1497" s="42" t="str">
        <f ca="1"/>
        <v/>
      </c>
      <c r="ADM1497" s="42" t="str">
        <f ca="1"/>
        <v/>
      </c>
      <c r="ADN1497" s="42" t="str">
        <f ca="1"/>
        <v/>
      </c>
      <c r="ADO1497" s="42" t="str">
        <f ca="1"/>
        <v/>
      </c>
      <c r="ADP1497" s="42" t="str">
        <f ca="1"/>
        <v/>
      </c>
      <c r="ADQ1497" s="42" t="str">
        <f ca="1"/>
        <v/>
      </c>
      <c r="ADR1497" s="42" t="str">
        <f ca="1"/>
        <v/>
      </c>
      <c r="ADS1497" s="42" t="str">
        <f ca="1"/>
        <v/>
      </c>
      <c r="ADT1497" s="42" t="str">
        <f ca="1"/>
        <v/>
      </c>
      <c r="ADU1497" s="42" t="str">
        <f ca="1"/>
        <v/>
      </c>
      <c r="ADV1497" s="42" t="str">
        <f ca="1"/>
        <v/>
      </c>
      <c r="ADW1497" s="42" t="str">
        <f ca="1"/>
        <v/>
      </c>
      <c r="ADX1497" s="42" t="str">
        <f ca="1"/>
        <v/>
      </c>
      <c r="ADY1497" s="42" t="str">
        <f ca="1"/>
        <v/>
      </c>
      <c r="ADZ1497" s="42" t="str">
        <f ca="1"/>
        <v/>
      </c>
      <c r="AEA1497" s="42" t="str">
        <f ca="1"/>
        <v/>
      </c>
      <c r="AEB1497" s="42" t="str">
        <f ca="1"/>
        <v/>
      </c>
      <c r="AEC1497" s="42" t="str">
        <f ca="1"/>
        <v/>
      </c>
      <c r="AED1497" s="42" t="str">
        <f ca="1"/>
        <v/>
      </c>
      <c r="AEE1497" s="42" t="str">
        <f ca="1"/>
        <v/>
      </c>
      <c r="AEF1497" s="42" t="str">
        <f ca="1"/>
        <v/>
      </c>
      <c r="AEG1497" s="42" t="str">
        <f ca="1"/>
        <v/>
      </c>
      <c r="AEH1497" s="42" t="str">
        <f ca="1"/>
        <v/>
      </c>
      <c r="AEI1497" s="42" t="str">
        <f ca="1"/>
        <v/>
      </c>
      <c r="AEJ1497" s="42" t="str">
        <f ca="1"/>
        <v/>
      </c>
      <c r="AEK1497" s="42" t="str">
        <f ca="1"/>
        <v/>
      </c>
      <c r="AEL1497" s="42" t="str">
        <f ca="1"/>
        <v/>
      </c>
      <c r="AEM1497" s="42" t="str">
        <f ca="1"/>
        <v/>
      </c>
      <c r="AEN1497" s="42" t="str">
        <f ca="1"/>
        <v/>
      </c>
      <c r="AEO1497" s="42" t="str">
        <f ca="1"/>
        <v/>
      </c>
      <c r="AEP1497" s="42" t="str">
        <f ca="1"/>
        <v/>
      </c>
      <c r="AEQ1497" s="42" t="str">
        <f ca="1"/>
        <v/>
      </c>
      <c r="AER1497" s="42" t="str">
        <f ca="1"/>
        <v/>
      </c>
      <c r="AES1497" s="42" t="str">
        <f ca="1"/>
        <v/>
      </c>
      <c r="AET1497" s="42" t="str">
        <f ca="1"/>
        <v/>
      </c>
      <c r="AEU1497" s="42" t="str">
        <f ca="1"/>
        <v/>
      </c>
      <c r="AEV1497" s="42" t="str">
        <f ca="1"/>
        <v/>
      </c>
      <c r="AEW1497" s="42" t="str">
        <f ca="1"/>
        <v/>
      </c>
      <c r="AEX1497" s="42" t="str">
        <f ca="1"/>
        <v/>
      </c>
      <c r="AEY1497" s="42" t="str">
        <f ca="1"/>
        <v/>
      </c>
      <c r="AEZ1497" s="42" t="str">
        <f ca="1"/>
        <v/>
      </c>
      <c r="AFA1497" s="42" t="str">
        <f ca="1"/>
        <v/>
      </c>
      <c r="AFB1497" s="42" t="str">
        <f ca="1"/>
        <v/>
      </c>
      <c r="AFC1497" s="42" t="str">
        <f ca="1"/>
        <v/>
      </c>
      <c r="AFD1497" s="42" t="str">
        <f ca="1"/>
        <v/>
      </c>
      <c r="AFE1497" s="42" t="str">
        <f ca="1"/>
        <v/>
      </c>
      <c r="AFF1497" s="42" t="str">
        <f ca="1"/>
        <v/>
      </c>
      <c r="AFG1497" s="42" t="str">
        <f ca="1"/>
        <v/>
      </c>
      <c r="AFH1497" s="42" t="str">
        <f ca="1"/>
        <v/>
      </c>
      <c r="AFI1497" s="42" t="str">
        <f ca="1"/>
        <v/>
      </c>
      <c r="AFJ1497" s="42" t="str">
        <f ca="1"/>
        <v/>
      </c>
      <c r="AFK1497" s="42" t="str">
        <f ca="1"/>
        <v/>
      </c>
      <c r="AFL1497" s="42" t="str">
        <f ca="1"/>
        <v/>
      </c>
      <c r="AFM1497" s="42" t="str">
        <f ca="1"/>
        <v/>
      </c>
      <c r="AFN1497" s="42" t="str">
        <f ca="1"/>
        <v/>
      </c>
      <c r="AFO1497" s="42" t="str">
        <f ca="1"/>
        <v/>
      </c>
      <c r="AFP1497" s="42" t="str">
        <f ca="1"/>
        <v/>
      </c>
      <c r="AFQ1497" s="42" t="str">
        <f ca="1"/>
        <v/>
      </c>
      <c r="AFR1497" s="42" t="str">
        <f ca="1"/>
        <v/>
      </c>
      <c r="AFS1497" s="42" t="str">
        <f ca="1"/>
        <v/>
      </c>
      <c r="AFT1497" s="42" t="str">
        <f ca="1"/>
        <v/>
      </c>
      <c r="AFU1497" s="42" t="str">
        <f ca="1"/>
        <v/>
      </c>
      <c r="AFV1497" s="42" t="str">
        <f ca="1"/>
        <v/>
      </c>
      <c r="AFW1497" s="42" t="str">
        <f ca="1"/>
        <v/>
      </c>
      <c r="AFX1497" s="42" t="str">
        <f ca="1"/>
        <v/>
      </c>
      <c r="AFY1497" s="42" t="str">
        <f ca="1"/>
        <v/>
      </c>
      <c r="AFZ1497" s="42" t="str">
        <f ca="1"/>
        <v/>
      </c>
      <c r="AGA1497" s="42" t="str">
        <f ca="1"/>
        <v/>
      </c>
      <c r="AGB1497" s="42" t="str">
        <f ca="1"/>
        <v/>
      </c>
      <c r="AGC1497" s="42" t="str">
        <f ca="1"/>
        <v/>
      </c>
      <c r="AGD1497" s="42" t="str">
        <f ca="1"/>
        <v/>
      </c>
      <c r="AGE1497" s="42" t="str">
        <f ca="1"/>
        <v/>
      </c>
      <c r="AGF1497" s="42" t="str">
        <f ca="1"/>
        <v/>
      </c>
      <c r="AGG1497" s="42" t="str">
        <f ca="1"/>
        <v/>
      </c>
      <c r="AGH1497" s="42" t="str">
        <f ca="1"/>
        <v/>
      </c>
      <c r="AGI1497" s="42" t="str">
        <f ca="1"/>
        <v/>
      </c>
      <c r="AGJ1497" s="42" t="str">
        <f ca="1"/>
        <v/>
      </c>
      <c r="AGK1497" s="42" t="str">
        <f ca="1"/>
        <v/>
      </c>
      <c r="AGL1497" s="42" t="str">
        <f ca="1"/>
        <v/>
      </c>
      <c r="AGM1497" s="42" t="str">
        <f ca="1"/>
        <v/>
      </c>
      <c r="AGN1497" s="42" t="str">
        <f ca="1"/>
        <v/>
      </c>
    </row>
    <row r="1498" spans="15:872" x14ac:dyDescent="0.25">
      <c r="O1498" s="42">
        <v>8</v>
      </c>
      <c r="P1498" s="42" t="str">
        <f ca="1"/>
        <v/>
      </c>
      <c r="Q1498" s="42" t="str">
        <f ca="1"/>
        <v/>
      </c>
      <c r="R1498" s="42" t="str">
        <f ca="1"/>
        <v/>
      </c>
      <c r="S1498" s="42" t="str">
        <f ca="1"/>
        <v/>
      </c>
      <c r="T1498" s="42" t="str">
        <f ca="1"/>
        <v/>
      </c>
      <c r="U1498" s="42" t="str">
        <f ca="1"/>
        <v/>
      </c>
      <c r="V1498" s="42" t="str">
        <f ca="1"/>
        <v/>
      </c>
      <c r="W1498" s="42" t="str">
        <f ca="1"/>
        <v/>
      </c>
      <c r="X1498" s="42" t="str">
        <f ca="1"/>
        <v/>
      </c>
      <c r="Y1498" s="42" t="str">
        <f ca="1"/>
        <v/>
      </c>
      <c r="Z1498" s="42" t="str">
        <f ca="1"/>
        <v/>
      </c>
      <c r="AA1498" s="42" t="str">
        <f ca="1"/>
        <v/>
      </c>
      <c r="AB1498" s="42" t="str">
        <f ca="1"/>
        <v/>
      </c>
      <c r="AC1498" s="42" t="str">
        <f ca="1"/>
        <v/>
      </c>
      <c r="AD1498" s="42" t="str">
        <f ca="1"/>
        <v/>
      </c>
      <c r="AE1498" s="42" t="str">
        <f ca="1"/>
        <v/>
      </c>
      <c r="AF1498" s="42" t="str">
        <f ca="1"/>
        <v/>
      </c>
      <c r="AG1498" s="42" t="str">
        <f ca="1"/>
        <v/>
      </c>
      <c r="AH1498" s="42" t="str">
        <f ca="1"/>
        <v/>
      </c>
      <c r="AI1498" s="42" t="str">
        <f ca="1"/>
        <v/>
      </c>
      <c r="AJ1498" s="42" t="str">
        <f ca="1"/>
        <v/>
      </c>
      <c r="AK1498" s="42" t="str">
        <f ca="1"/>
        <v/>
      </c>
      <c r="AL1498" s="42" t="str">
        <f ca="1"/>
        <v/>
      </c>
      <c r="AM1498" s="42" t="str">
        <f ca="1"/>
        <v/>
      </c>
      <c r="AN1498" s="42" t="str">
        <f ca="1"/>
        <v/>
      </c>
      <c r="AO1498" s="42" t="str">
        <f ca="1"/>
        <v/>
      </c>
      <c r="AP1498" s="42" t="str">
        <f ca="1"/>
        <v/>
      </c>
      <c r="AQ1498" s="42" t="str">
        <f ca="1"/>
        <v/>
      </c>
      <c r="AR1498" s="42" t="str">
        <f ca="1"/>
        <v/>
      </c>
      <c r="AS1498" s="42" t="str">
        <f ca="1"/>
        <v/>
      </c>
      <c r="AT1498" s="42" t="str">
        <f ca="1"/>
        <v/>
      </c>
      <c r="AU1498" s="42" t="str">
        <f ca="1"/>
        <v/>
      </c>
      <c r="AV1498" s="42" t="str">
        <f ca="1"/>
        <v/>
      </c>
      <c r="AW1498" s="42" t="str">
        <f ca="1"/>
        <v/>
      </c>
      <c r="AX1498" s="42" t="str">
        <f ca="1"/>
        <v/>
      </c>
      <c r="AY1498" s="42" t="str">
        <f ca="1"/>
        <v/>
      </c>
      <c r="AZ1498" s="42" t="str">
        <f ca="1"/>
        <v/>
      </c>
      <c r="BA1498" s="42" t="str">
        <f ca="1"/>
        <v/>
      </c>
      <c r="BB1498" s="42" t="str">
        <f ca="1"/>
        <v/>
      </c>
      <c r="BC1498" s="42" t="str">
        <f ca="1"/>
        <v/>
      </c>
      <c r="BD1498" s="42" t="str">
        <f ca="1"/>
        <v/>
      </c>
      <c r="BE1498" s="42" t="str">
        <f ca="1"/>
        <v/>
      </c>
      <c r="BF1498" s="42" t="str">
        <f ca="1"/>
        <v/>
      </c>
      <c r="BG1498" s="42" t="str">
        <f ca="1"/>
        <v/>
      </c>
      <c r="BH1498" s="42" t="str">
        <f ca="1"/>
        <v/>
      </c>
      <c r="BI1498" s="42" t="str">
        <f ca="1"/>
        <v/>
      </c>
      <c r="BJ1498" s="42" t="str">
        <f ca="1"/>
        <v/>
      </c>
      <c r="BK1498" s="42" t="str">
        <f ca="1"/>
        <v/>
      </c>
      <c r="BL1498" s="42" t="str">
        <f ca="1"/>
        <v/>
      </c>
      <c r="BM1498" s="42" t="str">
        <f ca="1"/>
        <v/>
      </c>
      <c r="BN1498" s="42" t="str">
        <f ca="1"/>
        <v/>
      </c>
      <c r="BO1498" s="42" t="str">
        <f ca="1"/>
        <v/>
      </c>
      <c r="BP1498" s="42" t="str">
        <f ca="1"/>
        <v/>
      </c>
      <c r="BQ1498" s="42" t="str">
        <f ca="1"/>
        <v/>
      </c>
      <c r="BR1498" s="42" t="str">
        <f ca="1"/>
        <v/>
      </c>
      <c r="BS1498" s="42" t="str">
        <f ca="1"/>
        <v/>
      </c>
      <c r="BT1498" s="42" t="str">
        <f ca="1"/>
        <v/>
      </c>
      <c r="BU1498" s="42" t="str">
        <f ca="1"/>
        <v/>
      </c>
      <c r="BV1498" s="42" t="str">
        <f ca="1"/>
        <v/>
      </c>
      <c r="BW1498" s="42" t="str">
        <f ca="1"/>
        <v/>
      </c>
      <c r="BX1498" s="42" t="str">
        <f ca="1"/>
        <v/>
      </c>
      <c r="BY1498" s="42" t="str">
        <f ca="1"/>
        <v/>
      </c>
      <c r="BZ1498" s="42" t="str">
        <f ca="1"/>
        <v/>
      </c>
      <c r="CA1498" s="42" t="str">
        <f ca="1"/>
        <v/>
      </c>
      <c r="CB1498" s="42" t="str">
        <f ca="1"/>
        <v/>
      </c>
      <c r="CC1498" s="42" t="str">
        <f ca="1"/>
        <v/>
      </c>
      <c r="CD1498" s="42" t="str">
        <f ca="1"/>
        <v/>
      </c>
      <c r="CE1498" s="42" t="str">
        <f ca="1"/>
        <v/>
      </c>
      <c r="CF1498" s="42" t="str">
        <f ca="1"/>
        <v/>
      </c>
      <c r="CG1498" s="42" t="str">
        <f ca="1"/>
        <v/>
      </c>
      <c r="CH1498" s="42" t="str">
        <f ca="1"/>
        <v/>
      </c>
      <c r="CI1498" s="42" t="str">
        <f ca="1"/>
        <v/>
      </c>
      <c r="CJ1498" s="42" t="str">
        <f ca="1"/>
        <v/>
      </c>
      <c r="CK1498" s="42" t="str">
        <f ca="1"/>
        <v/>
      </c>
      <c r="CL1498" s="42" t="str">
        <f ca="1"/>
        <v/>
      </c>
      <c r="CM1498" s="42" t="str">
        <f ca="1"/>
        <v/>
      </c>
      <c r="CN1498" s="42" t="str">
        <f ca="1"/>
        <v/>
      </c>
      <c r="CO1498" s="42" t="str">
        <f ca="1"/>
        <v/>
      </c>
      <c r="CP1498" s="42" t="str">
        <f ca="1"/>
        <v/>
      </c>
      <c r="CQ1498" s="42" t="str">
        <f ca="1"/>
        <v/>
      </c>
      <c r="CR1498" s="42" t="str">
        <f ca="1"/>
        <v/>
      </c>
      <c r="CS1498" s="42" t="str">
        <f ca="1"/>
        <v/>
      </c>
      <c r="CT1498" s="42" t="str">
        <f ca="1"/>
        <v/>
      </c>
      <c r="CU1498" s="42" t="str">
        <f ca="1"/>
        <v/>
      </c>
      <c r="CV1498" s="42" t="str">
        <f ca="1"/>
        <v/>
      </c>
      <c r="CW1498" s="42" t="str">
        <f ca="1"/>
        <v/>
      </c>
      <c r="CX1498" s="42" t="str">
        <f ca="1"/>
        <v/>
      </c>
      <c r="CY1498" s="42" t="str">
        <f ca="1"/>
        <v/>
      </c>
      <c r="CZ1498" s="42" t="str">
        <f ca="1"/>
        <v/>
      </c>
      <c r="DA1498" s="42" t="str">
        <f ca="1"/>
        <v/>
      </c>
      <c r="DB1498" s="42" t="str">
        <f ca="1"/>
        <v/>
      </c>
      <c r="DC1498" s="42" t="str">
        <f ca="1"/>
        <v/>
      </c>
      <c r="DD1498" s="42" t="str">
        <f ca="1"/>
        <v/>
      </c>
      <c r="DE1498" s="42" t="str">
        <f ca="1"/>
        <v/>
      </c>
      <c r="DF1498" s="42" t="str">
        <f ca="1"/>
        <v/>
      </c>
      <c r="DG1498" s="42" t="str">
        <f ca="1"/>
        <v/>
      </c>
      <c r="DH1498" s="42" t="str">
        <f ca="1"/>
        <v/>
      </c>
      <c r="DI1498" s="42" t="str">
        <f ca="1"/>
        <v/>
      </c>
      <c r="DJ1498" s="42" t="str">
        <f ca="1"/>
        <v/>
      </c>
      <c r="DK1498" s="42" t="str">
        <f ca="1"/>
        <v/>
      </c>
      <c r="DL1498" s="42" t="str">
        <f ca="1"/>
        <v/>
      </c>
      <c r="DM1498" s="42" t="str">
        <f ca="1"/>
        <v/>
      </c>
      <c r="DN1498" s="42" t="str">
        <f ca="1"/>
        <v/>
      </c>
      <c r="DO1498" s="42" t="str">
        <f ca="1"/>
        <v/>
      </c>
      <c r="DP1498" s="42" t="str">
        <f ca="1"/>
        <v/>
      </c>
      <c r="DQ1498" s="42" t="str">
        <f ca="1"/>
        <v/>
      </c>
      <c r="DR1498" s="42" t="str">
        <f ca="1"/>
        <v/>
      </c>
      <c r="DS1498" s="42" t="str">
        <f ca="1"/>
        <v/>
      </c>
      <c r="DT1498" s="42" t="str">
        <f ca="1"/>
        <v/>
      </c>
      <c r="DU1498" s="42" t="str">
        <f ca="1"/>
        <v/>
      </c>
      <c r="DV1498" s="42" t="str">
        <f ca="1"/>
        <v/>
      </c>
      <c r="DW1498" s="42" t="str">
        <f ca="1"/>
        <v/>
      </c>
      <c r="DX1498" s="42" t="str">
        <f ca="1"/>
        <v/>
      </c>
      <c r="DY1498" s="42" t="str">
        <f ca="1"/>
        <v/>
      </c>
      <c r="DZ1498" s="42" t="str">
        <f ca="1"/>
        <v/>
      </c>
      <c r="EA1498" s="42" t="str">
        <f ca="1"/>
        <v/>
      </c>
      <c r="EB1498" s="42" t="str">
        <f ca="1"/>
        <v/>
      </c>
      <c r="EC1498" s="42" t="str">
        <f ca="1"/>
        <v/>
      </c>
      <c r="ED1498" s="42" t="str">
        <f ca="1"/>
        <v/>
      </c>
      <c r="EE1498" s="42" t="str">
        <f ca="1"/>
        <v/>
      </c>
      <c r="EF1498" s="42" t="str">
        <f ca="1"/>
        <v/>
      </c>
      <c r="EG1498" s="42" t="str">
        <f ca="1"/>
        <v/>
      </c>
      <c r="EH1498" s="42" t="str">
        <f ca="1"/>
        <v/>
      </c>
      <c r="EI1498" s="42" t="str">
        <f ca="1"/>
        <v/>
      </c>
      <c r="EJ1498" s="42" t="str">
        <f ca="1"/>
        <v/>
      </c>
      <c r="EK1498" s="42" t="str">
        <f ca="1"/>
        <v/>
      </c>
      <c r="EL1498" s="42" t="str">
        <f ca="1"/>
        <v/>
      </c>
      <c r="EM1498" s="42" t="str">
        <f ca="1"/>
        <v/>
      </c>
      <c r="EN1498" s="42" t="str">
        <f ca="1"/>
        <v/>
      </c>
      <c r="EO1498" s="42" t="str">
        <f ca="1"/>
        <v/>
      </c>
      <c r="EP1498" s="42" t="str">
        <f ca="1"/>
        <v/>
      </c>
      <c r="EQ1498" s="42" t="str">
        <f ca="1"/>
        <v/>
      </c>
      <c r="ER1498" s="42" t="str">
        <f ca="1"/>
        <v/>
      </c>
      <c r="ES1498" s="42" t="str">
        <f ca="1"/>
        <v/>
      </c>
      <c r="ET1498" s="42" t="str">
        <f ca="1"/>
        <v/>
      </c>
      <c r="EU1498" s="42" t="str">
        <f ca="1"/>
        <v/>
      </c>
      <c r="EV1498" s="42" t="str">
        <f ca="1"/>
        <v/>
      </c>
      <c r="EW1498" s="42" t="str">
        <f ca="1"/>
        <v/>
      </c>
      <c r="EX1498" s="42" t="str">
        <f ca="1"/>
        <v/>
      </c>
      <c r="EY1498" s="42" t="str">
        <f ca="1"/>
        <v/>
      </c>
      <c r="EZ1498" s="42" t="str">
        <f ca="1"/>
        <v/>
      </c>
      <c r="FA1498" s="42" t="str">
        <f ca="1"/>
        <v/>
      </c>
      <c r="FB1498" s="42" t="str">
        <f ca="1"/>
        <v/>
      </c>
      <c r="FC1498" s="42" t="str">
        <f ca="1"/>
        <v/>
      </c>
      <c r="FD1498" s="42" t="str">
        <f ca="1"/>
        <v/>
      </c>
      <c r="FE1498" s="42" t="str">
        <f ca="1"/>
        <v/>
      </c>
      <c r="FF1498" s="42" t="str">
        <f ca="1"/>
        <v/>
      </c>
      <c r="FG1498" s="42" t="str">
        <f ca="1"/>
        <v/>
      </c>
      <c r="FH1498" s="42" t="str">
        <f ca="1"/>
        <v/>
      </c>
      <c r="FI1498" s="42" t="str">
        <f ca="1"/>
        <v/>
      </c>
      <c r="FJ1498" s="42" t="str">
        <f ca="1"/>
        <v/>
      </c>
      <c r="FK1498" s="42" t="str">
        <f ca="1"/>
        <v/>
      </c>
      <c r="FL1498" s="42" t="str">
        <f ca="1"/>
        <v/>
      </c>
      <c r="FM1498" s="42" t="str">
        <f ca="1"/>
        <v/>
      </c>
      <c r="FN1498" s="42" t="str">
        <f ca="1"/>
        <v/>
      </c>
      <c r="FO1498" s="42" t="str">
        <f ca="1"/>
        <v/>
      </c>
      <c r="FP1498" s="42" t="str">
        <f ca="1"/>
        <v/>
      </c>
      <c r="FQ1498" s="42" t="str">
        <f ca="1"/>
        <v/>
      </c>
      <c r="FR1498" s="42" t="str">
        <f ca="1"/>
        <v/>
      </c>
      <c r="FS1498" s="42" t="str">
        <f ca="1"/>
        <v/>
      </c>
      <c r="FT1498" s="42" t="str">
        <f ca="1"/>
        <v/>
      </c>
      <c r="FU1498" s="42" t="str">
        <f ca="1"/>
        <v/>
      </c>
      <c r="FV1498" s="42" t="str">
        <f ca="1"/>
        <v/>
      </c>
      <c r="FW1498" s="42" t="str">
        <f ca="1"/>
        <v/>
      </c>
      <c r="FX1498" s="42" t="str">
        <f ca="1"/>
        <v/>
      </c>
      <c r="FY1498" s="42" t="str">
        <f ca="1"/>
        <v/>
      </c>
      <c r="FZ1498" s="42" t="str">
        <f ca="1"/>
        <v/>
      </c>
      <c r="GA1498" s="42" t="str">
        <f ca="1"/>
        <v/>
      </c>
      <c r="GB1498" s="42" t="str">
        <f ca="1"/>
        <v/>
      </c>
      <c r="GC1498" s="42" t="str">
        <f ca="1"/>
        <v/>
      </c>
      <c r="GD1498" s="42" t="str">
        <f ca="1"/>
        <v/>
      </c>
      <c r="GE1498" s="42" t="str">
        <f ca="1"/>
        <v/>
      </c>
      <c r="GF1498" s="42" t="str">
        <f ca="1"/>
        <v/>
      </c>
      <c r="GG1498" s="42" t="str">
        <f ca="1"/>
        <v/>
      </c>
      <c r="GH1498" s="42" t="str">
        <f ca="1"/>
        <v/>
      </c>
      <c r="GI1498" s="42" t="str">
        <f ca="1"/>
        <v/>
      </c>
      <c r="GJ1498" s="42" t="str">
        <f ca="1"/>
        <v/>
      </c>
      <c r="GK1498" s="42" t="str">
        <f ca="1"/>
        <v/>
      </c>
      <c r="GL1498" s="42" t="str">
        <f ca="1"/>
        <v/>
      </c>
      <c r="GM1498" s="42" t="str">
        <f ca="1"/>
        <v/>
      </c>
      <c r="GN1498" s="42" t="str">
        <f ca="1"/>
        <v/>
      </c>
      <c r="GO1498" s="42" t="str">
        <f ca="1"/>
        <v/>
      </c>
      <c r="GP1498" s="42" t="str">
        <f ca="1"/>
        <v/>
      </c>
      <c r="GQ1498" s="42" t="str">
        <f ca="1"/>
        <v/>
      </c>
      <c r="GR1498" s="42" t="str">
        <f ca="1"/>
        <v/>
      </c>
      <c r="GS1498" s="42" t="str">
        <f ca="1"/>
        <v/>
      </c>
      <c r="GT1498" s="42" t="str">
        <f ca="1"/>
        <v/>
      </c>
      <c r="GU1498" s="42" t="str">
        <f ca="1"/>
        <v/>
      </c>
      <c r="GV1498" s="42" t="str">
        <f ca="1"/>
        <v/>
      </c>
      <c r="GW1498" s="42" t="str">
        <f ca="1"/>
        <v/>
      </c>
      <c r="GX1498" s="42" t="str">
        <f ca="1"/>
        <v/>
      </c>
      <c r="GY1498" s="42" t="str">
        <f ca="1"/>
        <v/>
      </c>
      <c r="GZ1498" s="42" t="str">
        <f ca="1"/>
        <v/>
      </c>
      <c r="HA1498" s="42" t="str">
        <f ca="1"/>
        <v/>
      </c>
      <c r="HB1498" s="42" t="str">
        <f ca="1"/>
        <v/>
      </c>
      <c r="HC1498" s="42" t="str">
        <f ca="1"/>
        <v/>
      </c>
      <c r="HD1498" s="42" t="str">
        <f ca="1"/>
        <v/>
      </c>
      <c r="HE1498" s="42" t="str">
        <f ca="1"/>
        <v/>
      </c>
      <c r="HF1498" s="42" t="str">
        <f ca="1"/>
        <v/>
      </c>
      <c r="HG1498" s="42" t="str">
        <f ca="1"/>
        <v/>
      </c>
      <c r="HH1498" s="42" t="str">
        <f ca="1"/>
        <v/>
      </c>
      <c r="HI1498" s="42" t="str">
        <f ca="1"/>
        <v/>
      </c>
      <c r="HJ1498" s="42" t="str">
        <f ca="1"/>
        <v/>
      </c>
      <c r="HK1498" s="42" t="str">
        <f ca="1"/>
        <v/>
      </c>
      <c r="HL1498" s="42" t="str">
        <f ca="1"/>
        <v/>
      </c>
      <c r="HM1498" s="42" t="str">
        <f ca="1"/>
        <v/>
      </c>
      <c r="HN1498" s="42" t="str">
        <f ca="1"/>
        <v/>
      </c>
      <c r="HO1498" s="42" t="str">
        <f ca="1"/>
        <v/>
      </c>
      <c r="HP1498" s="42" t="str">
        <f ca="1"/>
        <v/>
      </c>
      <c r="HQ1498" s="42" t="str">
        <f ca="1"/>
        <v/>
      </c>
      <c r="HR1498" s="42" t="str">
        <f ca="1"/>
        <v/>
      </c>
      <c r="HS1498" s="42" t="str">
        <f ca="1"/>
        <v/>
      </c>
      <c r="HT1498" s="42" t="str">
        <f ca="1"/>
        <v/>
      </c>
      <c r="HU1498" s="42" t="str">
        <f ca="1"/>
        <v/>
      </c>
      <c r="HV1498" s="42" t="str">
        <f ca="1"/>
        <v/>
      </c>
      <c r="HW1498" s="42" t="str">
        <f ca="1"/>
        <v/>
      </c>
      <c r="HX1498" s="42" t="str">
        <f ca="1"/>
        <v/>
      </c>
      <c r="HY1498" s="42" t="str">
        <f ca="1"/>
        <v/>
      </c>
      <c r="HZ1498" s="42" t="str">
        <f ca="1"/>
        <v/>
      </c>
      <c r="IA1498" s="42" t="str">
        <f ca="1"/>
        <v/>
      </c>
      <c r="IB1498" s="42" t="str">
        <f ca="1"/>
        <v/>
      </c>
      <c r="IC1498" s="42" t="str">
        <f ca="1"/>
        <v/>
      </c>
      <c r="ID1498" s="42" t="str">
        <f ca="1"/>
        <v/>
      </c>
      <c r="IE1498" s="42" t="str">
        <f ca="1"/>
        <v/>
      </c>
      <c r="IF1498" s="42" t="str">
        <f ca="1"/>
        <v/>
      </c>
      <c r="IG1498" s="42" t="str">
        <f ca="1"/>
        <v/>
      </c>
      <c r="IH1498" s="42" t="str">
        <f ca="1"/>
        <v/>
      </c>
      <c r="II1498" s="42" t="str">
        <f ca="1"/>
        <v/>
      </c>
      <c r="IJ1498" s="42" t="str">
        <f ca="1"/>
        <v/>
      </c>
      <c r="IK1498" s="42" t="str">
        <f ca="1"/>
        <v/>
      </c>
      <c r="IL1498" s="42" t="str">
        <f ca="1"/>
        <v/>
      </c>
      <c r="IM1498" s="42" t="str">
        <f ca="1"/>
        <v/>
      </c>
      <c r="IN1498" s="42" t="str">
        <f ca="1"/>
        <v/>
      </c>
      <c r="IO1498" s="42" t="str">
        <f ca="1"/>
        <v/>
      </c>
      <c r="IP1498" s="42" t="str">
        <f ca="1"/>
        <v/>
      </c>
      <c r="IQ1498" s="42" t="str">
        <f ca="1"/>
        <v/>
      </c>
      <c r="IR1498" s="42" t="str">
        <f ca="1"/>
        <v/>
      </c>
      <c r="IS1498" s="42" t="str">
        <f ca="1"/>
        <v/>
      </c>
      <c r="IT1498" s="42" t="str">
        <f ca="1"/>
        <v/>
      </c>
      <c r="IU1498" s="42" t="str">
        <f ca="1"/>
        <v/>
      </c>
      <c r="IV1498" s="42" t="str">
        <f ca="1"/>
        <v/>
      </c>
      <c r="IW1498" s="42" t="str">
        <f ca="1"/>
        <v/>
      </c>
      <c r="IX1498" s="42" t="str">
        <f ca="1"/>
        <v/>
      </c>
      <c r="IY1498" s="42" t="str">
        <f ca="1"/>
        <v/>
      </c>
      <c r="IZ1498" s="42" t="str">
        <f ca="1"/>
        <v/>
      </c>
      <c r="JA1498" s="42" t="str">
        <f ca="1"/>
        <v/>
      </c>
      <c r="JB1498" s="42" t="str">
        <f ca="1"/>
        <v/>
      </c>
      <c r="JC1498" s="42" t="str">
        <f ca="1"/>
        <v/>
      </c>
      <c r="JD1498" s="42" t="str">
        <f ca="1"/>
        <v/>
      </c>
      <c r="JE1498" s="42" t="str">
        <f ca="1"/>
        <v/>
      </c>
      <c r="JF1498" s="42" t="str">
        <f ca="1"/>
        <v/>
      </c>
      <c r="JG1498" s="42" t="str">
        <f ca="1"/>
        <v/>
      </c>
      <c r="JH1498" s="42" t="str">
        <f ca="1"/>
        <v/>
      </c>
      <c r="JI1498" s="42" t="str">
        <f ca="1"/>
        <v/>
      </c>
      <c r="JJ1498" s="42" t="str">
        <f ca="1"/>
        <v/>
      </c>
      <c r="JK1498" s="42" t="str">
        <f ca="1"/>
        <v/>
      </c>
      <c r="JL1498" s="42" t="str">
        <f ca="1"/>
        <v/>
      </c>
      <c r="JM1498" s="42" t="str">
        <f ca="1"/>
        <v/>
      </c>
      <c r="JN1498" s="42" t="str">
        <f ca="1"/>
        <v/>
      </c>
      <c r="JO1498" s="42" t="str">
        <f ca="1"/>
        <v/>
      </c>
      <c r="JP1498" s="42" t="str">
        <f ca="1"/>
        <v/>
      </c>
      <c r="JQ1498" s="42" t="str">
        <f ca="1"/>
        <v/>
      </c>
      <c r="JR1498" s="42" t="str">
        <f ca="1"/>
        <v/>
      </c>
      <c r="JS1498" s="42" t="str">
        <f ca="1"/>
        <v/>
      </c>
      <c r="JT1498" s="42" t="str">
        <f ca="1"/>
        <v/>
      </c>
      <c r="JU1498" s="42" t="str">
        <f ca="1"/>
        <v/>
      </c>
      <c r="JV1498" s="42" t="str">
        <f ca="1"/>
        <v/>
      </c>
      <c r="JW1498" s="42" t="str">
        <f ca="1"/>
        <v/>
      </c>
      <c r="JX1498" s="42" t="str">
        <f ca="1"/>
        <v/>
      </c>
      <c r="JY1498" s="42" t="str">
        <f ca="1"/>
        <v/>
      </c>
      <c r="JZ1498" s="42" t="str">
        <f ca="1"/>
        <v/>
      </c>
      <c r="KA1498" s="42" t="str">
        <f ca="1"/>
        <v/>
      </c>
      <c r="KB1498" s="42" t="str">
        <f ca="1"/>
        <v/>
      </c>
      <c r="KC1498" s="42" t="str">
        <f ca="1"/>
        <v/>
      </c>
      <c r="KD1498" s="42" t="str">
        <f ca="1"/>
        <v/>
      </c>
      <c r="KE1498" s="42" t="str">
        <f ca="1"/>
        <v/>
      </c>
      <c r="KF1498" s="42" t="str">
        <f ca="1"/>
        <v/>
      </c>
      <c r="KG1498" s="42" t="str">
        <f ca="1"/>
        <v/>
      </c>
      <c r="KH1498" s="42" t="str">
        <f ca="1"/>
        <v/>
      </c>
      <c r="KI1498" s="42" t="str">
        <f ca="1"/>
        <v/>
      </c>
      <c r="KJ1498" s="42" t="str">
        <f ca="1"/>
        <v/>
      </c>
      <c r="KK1498" s="42" t="str">
        <f ca="1"/>
        <v/>
      </c>
      <c r="KL1498" s="42" t="str">
        <f ca="1"/>
        <v/>
      </c>
      <c r="KM1498" s="42" t="str">
        <f ca="1"/>
        <v/>
      </c>
      <c r="KN1498" s="42" t="str">
        <f ca="1"/>
        <v/>
      </c>
      <c r="KO1498" s="42" t="str">
        <f ca="1"/>
        <v/>
      </c>
      <c r="KP1498" s="42" t="str">
        <f ca="1"/>
        <v/>
      </c>
      <c r="KQ1498" s="42" t="str">
        <f ca="1"/>
        <v/>
      </c>
      <c r="KR1498" s="42" t="str">
        <f ca="1"/>
        <v/>
      </c>
      <c r="KS1498" s="42" t="str">
        <f ca="1"/>
        <v/>
      </c>
      <c r="KT1498" s="42" t="str">
        <f ca="1"/>
        <v/>
      </c>
      <c r="KU1498" s="42" t="str">
        <f ca="1"/>
        <v/>
      </c>
      <c r="KV1498" s="42" t="str">
        <f ca="1"/>
        <v/>
      </c>
      <c r="KW1498" s="42" t="str">
        <f ca="1"/>
        <v/>
      </c>
      <c r="KX1498" s="42" t="str">
        <f ca="1"/>
        <v/>
      </c>
      <c r="KY1498" s="42" t="str">
        <f ca="1"/>
        <v/>
      </c>
      <c r="KZ1498" s="42" t="str">
        <f ca="1"/>
        <v/>
      </c>
      <c r="LA1498" s="42" t="str">
        <f ca="1"/>
        <v/>
      </c>
      <c r="LB1498" s="42" t="str">
        <f ca="1"/>
        <v/>
      </c>
      <c r="LC1498" s="42" t="str">
        <f ca="1"/>
        <v/>
      </c>
      <c r="LD1498" s="42" t="str">
        <f ca="1"/>
        <v/>
      </c>
      <c r="LE1498" s="42" t="str">
        <f ca="1"/>
        <v/>
      </c>
      <c r="LF1498" s="42" t="str">
        <f ca="1"/>
        <v/>
      </c>
      <c r="LG1498" s="42" t="str">
        <f ca="1"/>
        <v/>
      </c>
      <c r="LH1498" s="42" t="str">
        <f ca="1"/>
        <v/>
      </c>
      <c r="LI1498" s="42" t="str">
        <f ca="1"/>
        <v/>
      </c>
      <c r="LJ1498" s="42" t="str">
        <f ca="1"/>
        <v/>
      </c>
      <c r="LK1498" s="42" t="str">
        <f ca="1"/>
        <v/>
      </c>
      <c r="LL1498" s="42" t="str">
        <f ca="1"/>
        <v/>
      </c>
      <c r="LM1498" s="42" t="str">
        <f ca="1"/>
        <v/>
      </c>
      <c r="LN1498" s="42" t="str">
        <f ca="1"/>
        <v/>
      </c>
      <c r="LO1498" s="42" t="str">
        <f ca="1"/>
        <v/>
      </c>
      <c r="LP1498" s="42" t="str">
        <f ca="1"/>
        <v/>
      </c>
      <c r="LQ1498" s="42" t="str">
        <f ca="1"/>
        <v/>
      </c>
      <c r="LR1498" s="42" t="str">
        <f ca="1"/>
        <v/>
      </c>
      <c r="LS1498" s="42" t="str">
        <f ca="1"/>
        <v/>
      </c>
      <c r="LT1498" s="42" t="str">
        <f ca="1"/>
        <v/>
      </c>
      <c r="LU1498" s="42" t="str">
        <f ca="1"/>
        <v/>
      </c>
      <c r="LV1498" s="42" t="str">
        <f ca="1"/>
        <v/>
      </c>
      <c r="LW1498" s="42" t="str">
        <f ca="1"/>
        <v/>
      </c>
      <c r="LX1498" s="42" t="str">
        <f ca="1"/>
        <v/>
      </c>
      <c r="LY1498" s="42" t="str">
        <f ca="1"/>
        <v/>
      </c>
      <c r="LZ1498" s="42" t="str">
        <f ca="1"/>
        <v/>
      </c>
      <c r="MA1498" s="42" t="str">
        <f ca="1"/>
        <v/>
      </c>
      <c r="MB1498" s="42" t="str">
        <f ca="1"/>
        <v/>
      </c>
      <c r="MC1498" s="42" t="str">
        <f ca="1"/>
        <v/>
      </c>
      <c r="MD1498" s="42" t="str">
        <f ca="1"/>
        <v/>
      </c>
      <c r="ME1498" s="42" t="str">
        <f ca="1"/>
        <v/>
      </c>
      <c r="MF1498" s="42" t="str">
        <f ca="1"/>
        <v/>
      </c>
      <c r="MG1498" s="42" t="str">
        <f ca="1"/>
        <v/>
      </c>
      <c r="MH1498" s="42" t="str">
        <f ca="1"/>
        <v/>
      </c>
      <c r="MI1498" s="42" t="str">
        <f ca="1"/>
        <v/>
      </c>
      <c r="MJ1498" s="42" t="str">
        <f ca="1"/>
        <v/>
      </c>
      <c r="MK1498" s="42" t="str">
        <f ca="1"/>
        <v/>
      </c>
      <c r="ML1498" s="42" t="str">
        <f ca="1"/>
        <v/>
      </c>
      <c r="MM1498" s="42" t="str">
        <f ca="1"/>
        <v/>
      </c>
      <c r="MN1498" s="42" t="str">
        <f ca="1"/>
        <v/>
      </c>
      <c r="MO1498" s="42" t="str">
        <f ca="1"/>
        <v/>
      </c>
      <c r="MP1498" s="42" t="str">
        <f ca="1"/>
        <v/>
      </c>
      <c r="MQ1498" s="42" t="str">
        <f ca="1"/>
        <v/>
      </c>
      <c r="MR1498" s="42" t="str">
        <f ca="1"/>
        <v/>
      </c>
      <c r="MS1498" s="42" t="str">
        <f ca="1"/>
        <v/>
      </c>
      <c r="MT1498" s="42" t="str">
        <f ca="1"/>
        <v/>
      </c>
      <c r="MU1498" s="42" t="str">
        <f ca="1"/>
        <v/>
      </c>
      <c r="MV1498" s="42" t="str">
        <f ca="1"/>
        <v/>
      </c>
      <c r="MW1498" s="42" t="str">
        <f ca="1"/>
        <v/>
      </c>
      <c r="MX1498" s="42" t="str">
        <f ca="1"/>
        <v/>
      </c>
      <c r="MY1498" s="42" t="str">
        <f ca="1"/>
        <v/>
      </c>
      <c r="MZ1498" s="42" t="str">
        <f ca="1"/>
        <v/>
      </c>
      <c r="NA1498" s="42" t="str">
        <f ca="1"/>
        <v/>
      </c>
      <c r="NB1498" s="42" t="str">
        <f ca="1"/>
        <v/>
      </c>
      <c r="NC1498" s="42" t="str">
        <f ca="1"/>
        <v/>
      </c>
      <c r="ND1498" s="42" t="str">
        <f ca="1"/>
        <v/>
      </c>
      <c r="NE1498" s="42" t="str">
        <f ca="1"/>
        <v/>
      </c>
      <c r="NF1498" s="42" t="str">
        <f ca="1"/>
        <v/>
      </c>
      <c r="NG1498" s="42" t="str">
        <f ca="1"/>
        <v/>
      </c>
      <c r="NH1498" s="42" t="str">
        <f ca="1"/>
        <v/>
      </c>
      <c r="NI1498" s="42" t="str">
        <f ca="1"/>
        <v/>
      </c>
      <c r="NJ1498" s="42" t="str">
        <f ca="1"/>
        <v/>
      </c>
      <c r="NK1498" s="42" t="str">
        <f ca="1"/>
        <v/>
      </c>
      <c r="NL1498" s="42" t="str">
        <f ca="1"/>
        <v/>
      </c>
      <c r="NM1498" s="42" t="str">
        <f ca="1"/>
        <v/>
      </c>
      <c r="NN1498" s="42" t="str">
        <f ca="1"/>
        <v/>
      </c>
      <c r="NO1498" s="42" t="str">
        <f ca="1"/>
        <v/>
      </c>
      <c r="NP1498" s="42" t="str">
        <f ca="1"/>
        <v/>
      </c>
      <c r="NQ1498" s="42" t="str">
        <f ca="1"/>
        <v/>
      </c>
      <c r="NR1498" s="42" t="str">
        <f ca="1"/>
        <v/>
      </c>
      <c r="NS1498" s="42" t="str">
        <f ca="1"/>
        <v/>
      </c>
      <c r="NT1498" s="42" t="str">
        <f ca="1"/>
        <v/>
      </c>
      <c r="NU1498" s="42" t="str">
        <f ca="1"/>
        <v/>
      </c>
      <c r="NV1498" s="42" t="str">
        <f ca="1"/>
        <v/>
      </c>
      <c r="NW1498" s="42" t="str">
        <f ca="1"/>
        <v/>
      </c>
      <c r="NX1498" s="42" t="str">
        <f ca="1"/>
        <v/>
      </c>
      <c r="NY1498" s="42" t="str">
        <f ca="1"/>
        <v/>
      </c>
      <c r="NZ1498" s="42" t="str">
        <f ca="1"/>
        <v/>
      </c>
      <c r="OA1498" s="42" t="str">
        <f ca="1"/>
        <v/>
      </c>
      <c r="OB1498" s="42" t="str">
        <f ca="1"/>
        <v/>
      </c>
      <c r="OC1498" s="42" t="str">
        <f ca="1"/>
        <v/>
      </c>
      <c r="OD1498" s="42" t="str">
        <f ca="1"/>
        <v/>
      </c>
      <c r="OE1498" s="42" t="str">
        <f ca="1"/>
        <v/>
      </c>
      <c r="OF1498" s="42" t="str">
        <f ca="1"/>
        <v/>
      </c>
      <c r="OG1498" s="42" t="str">
        <f ca="1"/>
        <v/>
      </c>
      <c r="OH1498" s="42" t="str">
        <f ca="1"/>
        <v/>
      </c>
      <c r="OI1498" s="42" t="str">
        <f ca="1"/>
        <v/>
      </c>
      <c r="OJ1498" s="42" t="str">
        <f ca="1"/>
        <v/>
      </c>
      <c r="OK1498" s="42" t="str">
        <f ca="1"/>
        <v/>
      </c>
      <c r="OL1498" s="42" t="str">
        <f ca="1"/>
        <v/>
      </c>
      <c r="OM1498" s="42" t="str">
        <f ca="1"/>
        <v/>
      </c>
      <c r="ON1498" s="42" t="str">
        <f ca="1"/>
        <v/>
      </c>
      <c r="OO1498" s="42" t="str">
        <f ca="1"/>
        <v/>
      </c>
      <c r="OP1498" s="42" t="str">
        <f ca="1"/>
        <v/>
      </c>
      <c r="OQ1498" s="42" t="str">
        <f ca="1"/>
        <v/>
      </c>
      <c r="OR1498" s="42" t="str">
        <f ca="1"/>
        <v/>
      </c>
      <c r="OS1498" s="42" t="str">
        <f ca="1"/>
        <v/>
      </c>
      <c r="OT1498" s="42" t="str">
        <f ca="1"/>
        <v/>
      </c>
      <c r="OU1498" s="42" t="str">
        <f ca="1"/>
        <v/>
      </c>
      <c r="OV1498" s="42" t="str">
        <f ca="1"/>
        <v/>
      </c>
      <c r="OW1498" s="42" t="str">
        <f ca="1"/>
        <v/>
      </c>
      <c r="OX1498" s="42" t="str">
        <f ca="1"/>
        <v/>
      </c>
      <c r="OY1498" s="42" t="str">
        <f ca="1"/>
        <v/>
      </c>
      <c r="OZ1498" s="42" t="str">
        <f ca="1"/>
        <v/>
      </c>
      <c r="PA1498" s="42" t="str">
        <f ca="1"/>
        <v/>
      </c>
      <c r="PB1498" s="42" t="str">
        <f ca="1"/>
        <v/>
      </c>
      <c r="PC1498" s="42" t="str">
        <f ca="1"/>
        <v/>
      </c>
      <c r="PD1498" s="42" t="str">
        <f ca="1"/>
        <v/>
      </c>
      <c r="PE1498" s="42" t="str">
        <f ca="1"/>
        <v/>
      </c>
      <c r="PF1498" s="42" t="str">
        <f ca="1"/>
        <v/>
      </c>
      <c r="PG1498" s="42" t="str">
        <f ca="1"/>
        <v/>
      </c>
      <c r="PH1498" s="42" t="str">
        <f ca="1"/>
        <v/>
      </c>
      <c r="PI1498" s="42" t="str">
        <f ca="1"/>
        <v/>
      </c>
      <c r="PJ1498" s="42" t="str">
        <f ca="1"/>
        <v/>
      </c>
      <c r="PK1498" s="42" t="str">
        <f ca="1"/>
        <v/>
      </c>
      <c r="PL1498" s="42" t="str">
        <f ca="1"/>
        <v/>
      </c>
      <c r="PM1498" s="42" t="str">
        <f ca="1"/>
        <v/>
      </c>
      <c r="PN1498" s="42" t="str">
        <f ca="1"/>
        <v/>
      </c>
      <c r="PO1498" s="42" t="str">
        <f ca="1"/>
        <v/>
      </c>
      <c r="PP1498" s="42" t="str">
        <f ca="1"/>
        <v/>
      </c>
      <c r="PQ1498" s="42" t="str">
        <f ca="1"/>
        <v/>
      </c>
      <c r="PR1498" s="42" t="str">
        <f ca="1"/>
        <v/>
      </c>
      <c r="PS1498" s="42" t="str">
        <f ca="1"/>
        <v/>
      </c>
      <c r="PT1498" s="42" t="str">
        <f ca="1"/>
        <v/>
      </c>
      <c r="PU1498" s="42" t="str">
        <f ca="1"/>
        <v/>
      </c>
      <c r="PV1498" s="42" t="str">
        <f ca="1"/>
        <v/>
      </c>
      <c r="PW1498" s="42" t="str">
        <f ca="1"/>
        <v/>
      </c>
      <c r="PX1498" s="42" t="str">
        <f ca="1"/>
        <v/>
      </c>
      <c r="PY1498" s="42" t="str">
        <f ca="1"/>
        <v/>
      </c>
      <c r="PZ1498" s="42" t="str">
        <f ca="1"/>
        <v/>
      </c>
      <c r="QA1498" s="42" t="str">
        <f ca="1"/>
        <v/>
      </c>
      <c r="QB1498" s="42" t="str">
        <f ca="1"/>
        <v/>
      </c>
      <c r="QC1498" s="42" t="str">
        <f ca="1"/>
        <v/>
      </c>
      <c r="QD1498" s="42" t="str">
        <f ca="1"/>
        <v/>
      </c>
      <c r="QE1498" s="42" t="str">
        <f ca="1"/>
        <v/>
      </c>
      <c r="QF1498" s="42" t="str">
        <f ca="1"/>
        <v/>
      </c>
      <c r="QG1498" s="42" t="str">
        <f ca="1"/>
        <v/>
      </c>
      <c r="QH1498" s="42" t="str">
        <f ca="1"/>
        <v/>
      </c>
      <c r="QI1498" s="42" t="str">
        <f ca="1"/>
        <v/>
      </c>
      <c r="QJ1498" s="42" t="str">
        <f ca="1"/>
        <v/>
      </c>
      <c r="QK1498" s="42" t="str">
        <f ca="1"/>
        <v/>
      </c>
      <c r="QL1498" s="42" t="str">
        <f ca="1"/>
        <v/>
      </c>
      <c r="QM1498" s="42" t="str">
        <f ca="1"/>
        <v/>
      </c>
      <c r="QN1498" s="42" t="str">
        <f ca="1"/>
        <v/>
      </c>
      <c r="QO1498" s="42" t="str">
        <f ca="1"/>
        <v/>
      </c>
      <c r="QP1498" s="42" t="str">
        <f ca="1"/>
        <v/>
      </c>
      <c r="QQ1498" s="42" t="str">
        <f ca="1"/>
        <v/>
      </c>
      <c r="QR1498" s="42" t="str">
        <f ca="1"/>
        <v/>
      </c>
      <c r="QS1498" s="42" t="str">
        <f ca="1"/>
        <v/>
      </c>
      <c r="QT1498" s="42" t="str">
        <f ca="1"/>
        <v/>
      </c>
      <c r="QU1498" s="42" t="str">
        <f ca="1"/>
        <v/>
      </c>
      <c r="QV1498" s="42" t="str">
        <f ca="1"/>
        <v/>
      </c>
      <c r="QW1498" s="42" t="str">
        <f ca="1"/>
        <v/>
      </c>
      <c r="QX1498" s="42" t="str">
        <f ca="1"/>
        <v/>
      </c>
      <c r="QY1498" s="42" t="str">
        <f ca="1"/>
        <v/>
      </c>
      <c r="QZ1498" s="42" t="str">
        <f ca="1"/>
        <v/>
      </c>
      <c r="RA1498" s="42" t="str">
        <f ca="1"/>
        <v/>
      </c>
      <c r="RB1498" s="42" t="str">
        <f ca="1"/>
        <v/>
      </c>
      <c r="RC1498" s="42" t="str">
        <f ca="1"/>
        <v/>
      </c>
      <c r="RD1498" s="42" t="str">
        <f ca="1"/>
        <v/>
      </c>
      <c r="RE1498" s="42" t="str">
        <f ca="1"/>
        <v/>
      </c>
      <c r="RF1498" s="42" t="str">
        <f ca="1"/>
        <v/>
      </c>
      <c r="RG1498" s="42" t="str">
        <f ca="1"/>
        <v/>
      </c>
      <c r="RH1498" s="42" t="str">
        <f ca="1"/>
        <v/>
      </c>
      <c r="RI1498" s="42" t="str">
        <f ca="1"/>
        <v/>
      </c>
      <c r="RJ1498" s="42" t="str">
        <f ca="1"/>
        <v/>
      </c>
      <c r="RK1498" s="42" t="str">
        <f ca="1"/>
        <v/>
      </c>
      <c r="RL1498" s="42" t="str">
        <f ca="1"/>
        <v/>
      </c>
      <c r="RM1498" s="42" t="str">
        <f ca="1"/>
        <v/>
      </c>
      <c r="RN1498" s="42" t="str">
        <f ca="1"/>
        <v/>
      </c>
      <c r="RO1498" s="42" t="str">
        <f ca="1"/>
        <v/>
      </c>
      <c r="RP1498" s="42" t="str">
        <f ca="1"/>
        <v/>
      </c>
      <c r="RQ1498" s="42" t="str">
        <f ca="1"/>
        <v/>
      </c>
      <c r="RR1498" s="42" t="str">
        <f ca="1"/>
        <v/>
      </c>
      <c r="RS1498" s="42" t="str">
        <f ca="1"/>
        <v/>
      </c>
      <c r="RT1498" s="42" t="str">
        <f ca="1"/>
        <v/>
      </c>
      <c r="RU1498" s="42" t="str">
        <f ca="1"/>
        <v/>
      </c>
      <c r="RV1498" s="42" t="str">
        <f ca="1"/>
        <v/>
      </c>
      <c r="RW1498" s="42" t="str">
        <f ca="1"/>
        <v/>
      </c>
      <c r="RX1498" s="42" t="str">
        <f ca="1"/>
        <v/>
      </c>
      <c r="RY1498" s="42" t="str">
        <f ca="1"/>
        <v/>
      </c>
      <c r="RZ1498" s="42" t="str">
        <f ca="1"/>
        <v/>
      </c>
      <c r="SA1498" s="42" t="str">
        <f ca="1"/>
        <v/>
      </c>
      <c r="SB1498" s="42" t="str">
        <f ca="1"/>
        <v/>
      </c>
      <c r="SC1498" s="42" t="str">
        <f ca="1"/>
        <v/>
      </c>
      <c r="SD1498" s="42" t="str">
        <f ca="1"/>
        <v/>
      </c>
      <c r="SE1498" s="42" t="str">
        <f ca="1"/>
        <v/>
      </c>
      <c r="SF1498" s="42" t="str">
        <f ca="1"/>
        <v/>
      </c>
      <c r="SG1498" s="42" t="str">
        <f ca="1"/>
        <v/>
      </c>
      <c r="SH1498" s="42" t="str">
        <f ca="1"/>
        <v/>
      </c>
      <c r="SI1498" s="42" t="str">
        <f ca="1"/>
        <v/>
      </c>
      <c r="SJ1498" s="42" t="str">
        <f ca="1"/>
        <v/>
      </c>
      <c r="SK1498" s="42" t="str">
        <f ca="1"/>
        <v/>
      </c>
      <c r="SL1498" s="42" t="str">
        <f ca="1"/>
        <v/>
      </c>
      <c r="SM1498" s="42" t="str">
        <f ca="1"/>
        <v/>
      </c>
      <c r="SN1498" s="42" t="str">
        <f ca="1"/>
        <v/>
      </c>
      <c r="SO1498" s="42" t="str">
        <f ca="1"/>
        <v/>
      </c>
      <c r="SP1498" s="42" t="str">
        <f ca="1"/>
        <v/>
      </c>
      <c r="SQ1498" s="42" t="str">
        <f ca="1"/>
        <v/>
      </c>
      <c r="SR1498" s="42" t="str">
        <f ca="1"/>
        <v/>
      </c>
      <c r="SS1498" s="42" t="str">
        <f ca="1"/>
        <v/>
      </c>
      <c r="ST1498" s="42" t="str">
        <f ca="1"/>
        <v/>
      </c>
      <c r="SU1498" s="42" t="str">
        <f ca="1"/>
        <v/>
      </c>
      <c r="SV1498" s="42" t="str">
        <f ca="1"/>
        <v/>
      </c>
      <c r="SW1498" s="42" t="str">
        <f ca="1"/>
        <v/>
      </c>
      <c r="SX1498" s="42" t="str">
        <f ca="1"/>
        <v/>
      </c>
      <c r="SY1498" s="42" t="str">
        <f ca="1"/>
        <v/>
      </c>
      <c r="SZ1498" s="42" t="str">
        <f ca="1"/>
        <v/>
      </c>
      <c r="TA1498" s="42" t="str">
        <f ca="1"/>
        <v/>
      </c>
      <c r="TB1498" s="42" t="str">
        <f ca="1"/>
        <v/>
      </c>
      <c r="TC1498" s="42" t="str">
        <f ca="1"/>
        <v/>
      </c>
      <c r="TD1498" s="42" t="str">
        <f ca="1"/>
        <v/>
      </c>
      <c r="TE1498" s="42" t="str">
        <f ca="1"/>
        <v/>
      </c>
      <c r="TF1498" s="42" t="str">
        <f ca="1"/>
        <v/>
      </c>
      <c r="TG1498" s="42" t="str">
        <f ca="1"/>
        <v/>
      </c>
      <c r="TH1498" s="42" t="str">
        <f ca="1"/>
        <v/>
      </c>
      <c r="TI1498" s="42" t="str">
        <f ca="1"/>
        <v/>
      </c>
      <c r="TJ1498" s="42" t="str">
        <f ca="1"/>
        <v/>
      </c>
      <c r="TK1498" s="42" t="str">
        <f ca="1"/>
        <v/>
      </c>
      <c r="TL1498" s="42" t="str">
        <f ca="1"/>
        <v/>
      </c>
      <c r="TM1498" s="42" t="str">
        <f ca="1"/>
        <v/>
      </c>
      <c r="TN1498" s="42" t="str">
        <f ca="1"/>
        <v/>
      </c>
      <c r="TO1498" s="42" t="str">
        <f ca="1"/>
        <v/>
      </c>
      <c r="TP1498" s="42" t="str">
        <f ca="1"/>
        <v/>
      </c>
      <c r="TQ1498" s="42" t="str">
        <f ca="1"/>
        <v/>
      </c>
      <c r="TR1498" s="42" t="str">
        <f ca="1"/>
        <v/>
      </c>
      <c r="TS1498" s="42" t="str">
        <f ca="1"/>
        <v/>
      </c>
      <c r="TT1498" s="42" t="str">
        <f ca="1"/>
        <v/>
      </c>
      <c r="TU1498" s="42" t="str">
        <f ca="1"/>
        <v/>
      </c>
      <c r="TV1498" s="42" t="str">
        <f ca="1"/>
        <v/>
      </c>
      <c r="TW1498" s="42" t="str">
        <f ca="1"/>
        <v/>
      </c>
      <c r="TX1498" s="42" t="str">
        <f ca="1"/>
        <v/>
      </c>
      <c r="TY1498" s="42" t="str">
        <f ca="1"/>
        <v/>
      </c>
      <c r="TZ1498" s="42" t="str">
        <f ca="1"/>
        <v/>
      </c>
      <c r="UA1498" s="42" t="str">
        <f ca="1"/>
        <v/>
      </c>
      <c r="UB1498" s="42" t="str">
        <f ca="1"/>
        <v/>
      </c>
      <c r="UC1498" s="42" t="str">
        <f ca="1"/>
        <v/>
      </c>
      <c r="UD1498" s="42" t="str">
        <f ca="1"/>
        <v/>
      </c>
      <c r="UE1498" s="42" t="str">
        <f ca="1"/>
        <v/>
      </c>
      <c r="UF1498" s="42" t="str">
        <f ca="1"/>
        <v/>
      </c>
      <c r="UG1498" s="42" t="str">
        <f ca="1"/>
        <v/>
      </c>
      <c r="UH1498" s="42" t="str">
        <f ca="1"/>
        <v/>
      </c>
      <c r="UI1498" s="42" t="str">
        <f ca="1"/>
        <v/>
      </c>
      <c r="UJ1498" s="42" t="str">
        <f ca="1"/>
        <v/>
      </c>
      <c r="UK1498" s="42" t="str">
        <f ca="1"/>
        <v/>
      </c>
      <c r="UL1498" s="42" t="str">
        <f ca="1"/>
        <v/>
      </c>
      <c r="UM1498" s="42" t="str">
        <f ca="1"/>
        <v/>
      </c>
      <c r="UN1498" s="42" t="str">
        <f ca="1"/>
        <v/>
      </c>
      <c r="UO1498" s="42" t="str">
        <f ca="1"/>
        <v/>
      </c>
      <c r="UP1498" s="42" t="str">
        <f ca="1"/>
        <v/>
      </c>
      <c r="UQ1498" s="42" t="str">
        <f ca="1"/>
        <v/>
      </c>
      <c r="UR1498" s="42" t="str">
        <f ca="1"/>
        <v/>
      </c>
      <c r="US1498" s="42" t="str">
        <f ca="1"/>
        <v/>
      </c>
      <c r="UT1498" s="42" t="str">
        <f ca="1"/>
        <v/>
      </c>
      <c r="UU1498" s="42" t="str">
        <f ca="1"/>
        <v/>
      </c>
      <c r="UV1498" s="42" t="str">
        <f ca="1"/>
        <v/>
      </c>
      <c r="UW1498" s="42" t="str">
        <f ca="1"/>
        <v/>
      </c>
      <c r="UX1498" s="42" t="str">
        <f ca="1"/>
        <v/>
      </c>
      <c r="UY1498" s="42" t="str">
        <f ca="1"/>
        <v/>
      </c>
      <c r="UZ1498" s="42" t="str">
        <f ca="1"/>
        <v/>
      </c>
      <c r="VA1498" s="42" t="str">
        <f ca="1"/>
        <v/>
      </c>
      <c r="VB1498" s="42" t="str">
        <f ca="1"/>
        <v/>
      </c>
      <c r="VC1498" s="42" t="str">
        <f ca="1"/>
        <v/>
      </c>
      <c r="VD1498" s="42" t="str">
        <f ca="1"/>
        <v/>
      </c>
      <c r="VE1498" s="42" t="str">
        <f ca="1"/>
        <v/>
      </c>
      <c r="VF1498" s="42" t="str">
        <f ca="1"/>
        <v/>
      </c>
      <c r="VG1498" s="42" t="str">
        <f ca="1"/>
        <v/>
      </c>
      <c r="VH1498" s="42" t="str">
        <f ca="1"/>
        <v/>
      </c>
      <c r="VI1498" s="42" t="str">
        <f ca="1"/>
        <v/>
      </c>
      <c r="VJ1498" s="42" t="str">
        <f ca="1"/>
        <v/>
      </c>
      <c r="VK1498" s="42" t="str">
        <f ca="1"/>
        <v/>
      </c>
      <c r="VL1498" s="42" t="str">
        <f ca="1"/>
        <v/>
      </c>
      <c r="VM1498" s="42" t="str">
        <f ca="1"/>
        <v/>
      </c>
      <c r="VN1498" s="42" t="str">
        <f ca="1"/>
        <v/>
      </c>
      <c r="VO1498" s="42" t="str">
        <f ca="1"/>
        <v/>
      </c>
      <c r="VP1498" s="42" t="str">
        <f ca="1"/>
        <v/>
      </c>
      <c r="VQ1498" s="42" t="str">
        <f ca="1"/>
        <v/>
      </c>
      <c r="VR1498" s="42" t="str">
        <f ca="1"/>
        <v/>
      </c>
      <c r="VS1498" s="42" t="str">
        <f ca="1"/>
        <v/>
      </c>
      <c r="VT1498" s="42" t="str">
        <f ca="1"/>
        <v/>
      </c>
      <c r="VU1498" s="42" t="str">
        <f ca="1"/>
        <v/>
      </c>
      <c r="VV1498" s="42" t="str">
        <f ca="1"/>
        <v/>
      </c>
      <c r="VW1498" s="42" t="str">
        <f ca="1"/>
        <v/>
      </c>
      <c r="VX1498" s="42" t="str">
        <f ca="1"/>
        <v/>
      </c>
      <c r="VY1498" s="42" t="str">
        <f ca="1"/>
        <v/>
      </c>
      <c r="VZ1498" s="42" t="str">
        <f ca="1"/>
        <v/>
      </c>
      <c r="WA1498" s="42" t="str">
        <f ca="1"/>
        <v/>
      </c>
      <c r="WB1498" s="42" t="str">
        <f ca="1"/>
        <v/>
      </c>
      <c r="WC1498" s="42" t="str">
        <f ca="1"/>
        <v/>
      </c>
      <c r="WD1498" s="42" t="str">
        <f ca="1"/>
        <v/>
      </c>
      <c r="WE1498" s="42" t="str">
        <f ca="1"/>
        <v/>
      </c>
      <c r="WF1498" s="42" t="str">
        <f ca="1"/>
        <v/>
      </c>
      <c r="WG1498" s="42" t="str">
        <f ca="1"/>
        <v/>
      </c>
      <c r="WH1498" s="42" t="str">
        <f ca="1"/>
        <v/>
      </c>
      <c r="WI1498" s="42" t="str">
        <f ca="1"/>
        <v/>
      </c>
      <c r="WJ1498" s="42" t="str">
        <f ca="1"/>
        <v/>
      </c>
      <c r="WK1498" s="42" t="str">
        <f ca="1"/>
        <v/>
      </c>
      <c r="WL1498" s="42" t="str">
        <f ca="1"/>
        <v/>
      </c>
      <c r="WM1498" s="42" t="str">
        <f ca="1"/>
        <v/>
      </c>
      <c r="WN1498" s="42" t="str">
        <f ca="1"/>
        <v/>
      </c>
      <c r="WO1498" s="42" t="str">
        <f ca="1"/>
        <v/>
      </c>
      <c r="WP1498" s="42" t="str">
        <f ca="1"/>
        <v/>
      </c>
      <c r="WQ1498" s="42" t="str">
        <f ca="1"/>
        <v/>
      </c>
      <c r="WR1498" s="42" t="str">
        <f ca="1"/>
        <v/>
      </c>
      <c r="WS1498" s="42" t="str">
        <f ca="1"/>
        <v/>
      </c>
      <c r="WT1498" s="42" t="str">
        <f ca="1"/>
        <v/>
      </c>
      <c r="WU1498" s="42" t="str">
        <f ca="1"/>
        <v/>
      </c>
      <c r="WV1498" s="42" t="str">
        <f ca="1"/>
        <v/>
      </c>
      <c r="WW1498" s="42" t="str">
        <f ca="1"/>
        <v/>
      </c>
      <c r="WX1498" s="42" t="str">
        <f ca="1"/>
        <v/>
      </c>
      <c r="WY1498" s="42" t="str">
        <f ca="1"/>
        <v/>
      </c>
      <c r="WZ1498" s="42" t="str">
        <f ca="1"/>
        <v/>
      </c>
      <c r="XA1498" s="42" t="str">
        <f ca="1"/>
        <v/>
      </c>
      <c r="XB1498" s="42" t="str">
        <f ca="1"/>
        <v/>
      </c>
      <c r="XC1498" s="42" t="str">
        <f ca="1"/>
        <v/>
      </c>
      <c r="XD1498" s="42" t="str">
        <f ca="1"/>
        <v/>
      </c>
      <c r="XE1498" s="42" t="str">
        <f ca="1"/>
        <v/>
      </c>
      <c r="XF1498" s="42" t="str">
        <f ca="1"/>
        <v/>
      </c>
      <c r="XG1498" s="42" t="str">
        <f ca="1"/>
        <v/>
      </c>
      <c r="XH1498" s="42" t="str">
        <f ca="1"/>
        <v/>
      </c>
      <c r="XI1498" s="42" t="str">
        <f ca="1"/>
        <v/>
      </c>
      <c r="XJ1498" s="42" t="str">
        <f ca="1"/>
        <v/>
      </c>
      <c r="XK1498" s="42" t="str">
        <f ca="1"/>
        <v/>
      </c>
      <c r="XL1498" s="42" t="str">
        <f ca="1"/>
        <v/>
      </c>
      <c r="XM1498" s="42" t="str">
        <f ca="1"/>
        <v/>
      </c>
      <c r="XN1498" s="42" t="str">
        <f ca="1"/>
        <v/>
      </c>
      <c r="XO1498" s="42" t="str">
        <f ca="1"/>
        <v/>
      </c>
      <c r="XP1498" s="42" t="str">
        <f ca="1"/>
        <v/>
      </c>
      <c r="XQ1498" s="42" t="str">
        <f ca="1"/>
        <v/>
      </c>
      <c r="XR1498" s="42" t="str">
        <f ca="1"/>
        <v/>
      </c>
      <c r="XS1498" s="42" t="str">
        <f ca="1"/>
        <v/>
      </c>
      <c r="XT1498" s="42" t="str">
        <f ca="1"/>
        <v/>
      </c>
      <c r="XU1498" s="42" t="str">
        <f ca="1"/>
        <v/>
      </c>
      <c r="XV1498" s="42" t="str">
        <f ca="1"/>
        <v/>
      </c>
      <c r="XW1498" s="42" t="str">
        <f ca="1"/>
        <v/>
      </c>
      <c r="XX1498" s="42" t="str">
        <f ca="1"/>
        <v/>
      </c>
      <c r="XY1498" s="42" t="str">
        <f ca="1"/>
        <v/>
      </c>
      <c r="XZ1498" s="42" t="str">
        <f ca="1"/>
        <v/>
      </c>
      <c r="YA1498" s="42" t="str">
        <f ca="1"/>
        <v/>
      </c>
      <c r="YB1498" s="42" t="str">
        <f ca="1"/>
        <v/>
      </c>
      <c r="YC1498" s="42" t="str">
        <f ca="1"/>
        <v/>
      </c>
      <c r="YD1498" s="42" t="str">
        <f ca="1"/>
        <v/>
      </c>
      <c r="YE1498" s="42" t="str">
        <f ca="1"/>
        <v/>
      </c>
      <c r="YF1498" s="42" t="str">
        <f ca="1"/>
        <v/>
      </c>
      <c r="YG1498" s="42" t="str">
        <f ca="1"/>
        <v/>
      </c>
      <c r="YH1498" s="42" t="str">
        <f ca="1"/>
        <v/>
      </c>
      <c r="YI1498" s="42" t="str">
        <f ca="1"/>
        <v/>
      </c>
      <c r="YJ1498" s="42" t="str">
        <f ca="1"/>
        <v/>
      </c>
      <c r="YK1498" s="42" t="str">
        <f ca="1"/>
        <v/>
      </c>
      <c r="YL1498" s="42" t="str">
        <f ca="1"/>
        <v/>
      </c>
      <c r="YM1498" s="42" t="str">
        <f ca="1"/>
        <v/>
      </c>
      <c r="YN1498" s="42" t="str">
        <f ca="1"/>
        <v/>
      </c>
      <c r="YO1498" s="42" t="str">
        <f ca="1"/>
        <v/>
      </c>
      <c r="YP1498" s="42" t="str">
        <f ca="1"/>
        <v/>
      </c>
      <c r="YQ1498" s="42" t="str">
        <f ca="1"/>
        <v/>
      </c>
      <c r="YR1498" s="42" t="str">
        <f ca="1"/>
        <v/>
      </c>
      <c r="YS1498" s="42" t="str">
        <f ca="1"/>
        <v/>
      </c>
      <c r="YT1498" s="42" t="str">
        <f ca="1"/>
        <v/>
      </c>
      <c r="YU1498" s="42" t="str">
        <f ca="1"/>
        <v/>
      </c>
      <c r="YV1498" s="42" t="str">
        <f ca="1"/>
        <v/>
      </c>
      <c r="YW1498" s="42" t="str">
        <f ca="1"/>
        <v/>
      </c>
      <c r="YX1498" s="42" t="str">
        <f ca="1"/>
        <v/>
      </c>
      <c r="YY1498" s="42" t="str">
        <f ca="1"/>
        <v/>
      </c>
      <c r="YZ1498" s="42" t="str">
        <f ca="1"/>
        <v/>
      </c>
      <c r="ZA1498" s="42" t="str">
        <f ca="1"/>
        <v/>
      </c>
      <c r="ZB1498" s="42" t="str">
        <f ca="1"/>
        <v/>
      </c>
      <c r="ZC1498" s="42" t="str">
        <f ca="1"/>
        <v/>
      </c>
      <c r="ZD1498" s="42" t="str">
        <f ca="1"/>
        <v/>
      </c>
      <c r="ZE1498" s="42" t="str">
        <f ca="1"/>
        <v/>
      </c>
      <c r="ZF1498" s="42" t="str">
        <f ca="1"/>
        <v/>
      </c>
      <c r="ZG1498" s="42" t="str">
        <f ca="1"/>
        <v/>
      </c>
      <c r="ZH1498" s="42" t="str">
        <f ca="1"/>
        <v/>
      </c>
      <c r="ZI1498" s="42" t="str">
        <f ca="1"/>
        <v/>
      </c>
      <c r="ZJ1498" s="42" t="str">
        <f ca="1"/>
        <v/>
      </c>
      <c r="ZK1498" s="42" t="str">
        <f ca="1"/>
        <v/>
      </c>
      <c r="ZL1498" s="42" t="str">
        <f ca="1"/>
        <v/>
      </c>
      <c r="ZM1498" s="42" t="str">
        <f ca="1"/>
        <v/>
      </c>
      <c r="ZN1498" s="42" t="str">
        <f ca="1"/>
        <v/>
      </c>
      <c r="ZO1498" s="42" t="str">
        <f ca="1"/>
        <v/>
      </c>
      <c r="ZP1498" s="42" t="str">
        <f ca="1"/>
        <v/>
      </c>
      <c r="ZQ1498" s="42" t="str">
        <f ca="1"/>
        <v/>
      </c>
      <c r="ZR1498" s="42" t="str">
        <f ca="1"/>
        <v/>
      </c>
      <c r="ZS1498" s="42" t="str">
        <f ca="1"/>
        <v/>
      </c>
      <c r="ZT1498" s="42" t="str">
        <f ca="1"/>
        <v/>
      </c>
      <c r="ZU1498" s="42" t="str">
        <f ca="1"/>
        <v/>
      </c>
      <c r="ZV1498" s="42" t="str">
        <f ca="1"/>
        <v/>
      </c>
      <c r="ZW1498" s="42" t="str">
        <f ca="1"/>
        <v/>
      </c>
      <c r="ZX1498" s="42" t="str">
        <f ca="1"/>
        <v/>
      </c>
      <c r="ZY1498" s="42" t="str">
        <f ca="1"/>
        <v/>
      </c>
      <c r="ZZ1498" s="42" t="str">
        <f ca="1"/>
        <v/>
      </c>
      <c r="AAA1498" s="42" t="str">
        <f ca="1"/>
        <v/>
      </c>
      <c r="AAB1498" s="42" t="str">
        <f ca="1"/>
        <v/>
      </c>
      <c r="AAC1498" s="42" t="str">
        <f ca="1"/>
        <v/>
      </c>
      <c r="AAD1498" s="42" t="str">
        <f ca="1"/>
        <v/>
      </c>
      <c r="AAE1498" s="42" t="str">
        <f ca="1"/>
        <v/>
      </c>
      <c r="AAF1498" s="42" t="str">
        <f ca="1"/>
        <v/>
      </c>
      <c r="AAG1498" s="42" t="str">
        <f ca="1"/>
        <v/>
      </c>
      <c r="AAH1498" s="42" t="str">
        <f ca="1"/>
        <v/>
      </c>
      <c r="AAI1498" s="42" t="str">
        <f ca="1"/>
        <v/>
      </c>
      <c r="AAJ1498" s="42" t="str">
        <f ca="1"/>
        <v/>
      </c>
      <c r="AAK1498" s="42" t="str">
        <f ca="1"/>
        <v/>
      </c>
      <c r="AAL1498" s="42" t="str">
        <f ca="1"/>
        <v/>
      </c>
      <c r="AAM1498" s="42" t="str">
        <f ca="1"/>
        <v/>
      </c>
      <c r="AAN1498" s="42" t="str">
        <f ca="1"/>
        <v/>
      </c>
      <c r="AAO1498" s="42" t="str">
        <f ca="1"/>
        <v/>
      </c>
      <c r="AAP1498" s="42" t="str">
        <f ca="1"/>
        <v/>
      </c>
      <c r="AAQ1498" s="42" t="str">
        <f ca="1"/>
        <v/>
      </c>
      <c r="AAR1498" s="42" t="str">
        <f ca="1"/>
        <v/>
      </c>
      <c r="AAS1498" s="42" t="str">
        <f ca="1"/>
        <v/>
      </c>
      <c r="AAT1498" s="42" t="str">
        <f ca="1"/>
        <v/>
      </c>
      <c r="AAU1498" s="42" t="str">
        <f ca="1"/>
        <v/>
      </c>
      <c r="AAV1498" s="42" t="str">
        <f ca="1"/>
        <v/>
      </c>
      <c r="AAW1498" s="42" t="str">
        <f ca="1"/>
        <v/>
      </c>
      <c r="AAX1498" s="42" t="str">
        <f ca="1"/>
        <v/>
      </c>
      <c r="AAY1498" s="42" t="str">
        <f ca="1"/>
        <v/>
      </c>
      <c r="AAZ1498" s="42" t="str">
        <f ca="1"/>
        <v/>
      </c>
      <c r="ABA1498" s="42" t="str">
        <f ca="1"/>
        <v/>
      </c>
      <c r="ABB1498" s="42" t="str">
        <f ca="1"/>
        <v/>
      </c>
      <c r="ABC1498" s="42" t="str">
        <f ca="1"/>
        <v/>
      </c>
      <c r="ABD1498" s="42" t="str">
        <f ca="1"/>
        <v/>
      </c>
      <c r="ABE1498" s="42" t="str">
        <f ca="1"/>
        <v/>
      </c>
      <c r="ABF1498" s="42" t="str">
        <f ca="1"/>
        <v/>
      </c>
      <c r="ABG1498" s="42" t="str">
        <f ca="1"/>
        <v/>
      </c>
      <c r="ABH1498" s="42" t="str">
        <f ca="1"/>
        <v/>
      </c>
      <c r="ABI1498" s="42" t="str">
        <f ca="1"/>
        <v/>
      </c>
      <c r="ABJ1498" s="42" t="str">
        <f ca="1"/>
        <v/>
      </c>
      <c r="ABK1498" s="42" t="str">
        <f ca="1"/>
        <v/>
      </c>
      <c r="ABL1498" s="42" t="str">
        <f ca="1"/>
        <v/>
      </c>
      <c r="ABM1498" s="42" t="str">
        <f ca="1"/>
        <v/>
      </c>
      <c r="ABN1498" s="42" t="str">
        <f ca="1"/>
        <v/>
      </c>
      <c r="ABO1498" s="42" t="str">
        <f ca="1"/>
        <v/>
      </c>
      <c r="ABP1498" s="42" t="str">
        <f ca="1"/>
        <v/>
      </c>
      <c r="ABQ1498" s="42" t="str">
        <f ca="1"/>
        <v/>
      </c>
      <c r="ABR1498" s="42" t="str">
        <f ca="1"/>
        <v/>
      </c>
      <c r="ABS1498" s="42" t="str">
        <f ca="1"/>
        <v/>
      </c>
      <c r="ABT1498" s="42" t="str">
        <f ca="1"/>
        <v/>
      </c>
      <c r="ABU1498" s="42" t="str">
        <f ca="1"/>
        <v/>
      </c>
      <c r="ABV1498" s="42" t="str">
        <f ca="1"/>
        <v/>
      </c>
      <c r="ABW1498" s="42" t="str">
        <f ca="1"/>
        <v/>
      </c>
      <c r="ABX1498" s="42" t="str">
        <f ca="1"/>
        <v/>
      </c>
      <c r="ABY1498" s="42" t="str">
        <f ca="1"/>
        <v/>
      </c>
      <c r="ABZ1498" s="42" t="str">
        <f ca="1"/>
        <v/>
      </c>
      <c r="ACA1498" s="42" t="str">
        <f ca="1"/>
        <v/>
      </c>
      <c r="ACB1498" s="42" t="str">
        <f ca="1"/>
        <v/>
      </c>
      <c r="ACC1498" s="42" t="str">
        <f ca="1"/>
        <v/>
      </c>
      <c r="ACD1498" s="42" t="str">
        <f ca="1"/>
        <v/>
      </c>
      <c r="ACE1498" s="42" t="str">
        <f ca="1"/>
        <v/>
      </c>
      <c r="ACF1498" s="42" t="str">
        <f ca="1"/>
        <v/>
      </c>
      <c r="ACG1498" s="42" t="str">
        <f ca="1"/>
        <v/>
      </c>
      <c r="ACH1498" s="42" t="str">
        <f ca="1"/>
        <v/>
      </c>
      <c r="ACI1498" s="42" t="str">
        <f ca="1"/>
        <v/>
      </c>
      <c r="ACJ1498" s="42" t="str">
        <f ca="1"/>
        <v/>
      </c>
      <c r="ACK1498" s="42" t="str">
        <f ca="1"/>
        <v/>
      </c>
      <c r="ACL1498" s="42" t="str">
        <f ca="1"/>
        <v/>
      </c>
      <c r="ACM1498" s="42" t="str">
        <f ca="1"/>
        <v/>
      </c>
      <c r="ACN1498" s="42" t="str">
        <f ca="1"/>
        <v/>
      </c>
      <c r="ACO1498" s="42" t="str">
        <f ca="1"/>
        <v/>
      </c>
      <c r="ACP1498" s="42" t="str">
        <f ca="1"/>
        <v/>
      </c>
      <c r="ACQ1498" s="42" t="str">
        <f ca="1"/>
        <v/>
      </c>
      <c r="ACR1498" s="42" t="str">
        <f ca="1"/>
        <v/>
      </c>
      <c r="ACS1498" s="42" t="str">
        <f ca="1"/>
        <v/>
      </c>
      <c r="ACT1498" s="42" t="str">
        <f ca="1"/>
        <v/>
      </c>
      <c r="ACU1498" s="42" t="str">
        <f ca="1"/>
        <v/>
      </c>
      <c r="ACV1498" s="42" t="str">
        <f ca="1"/>
        <v/>
      </c>
      <c r="ACW1498" s="42" t="str">
        <f ca="1"/>
        <v/>
      </c>
      <c r="ACX1498" s="42" t="str">
        <f ca="1"/>
        <v/>
      </c>
      <c r="ACY1498" s="42" t="str">
        <f ca="1"/>
        <v/>
      </c>
      <c r="ACZ1498" s="42" t="str">
        <f ca="1"/>
        <v/>
      </c>
      <c r="ADA1498" s="42" t="str">
        <f ca="1"/>
        <v/>
      </c>
      <c r="ADB1498" s="42" t="str">
        <f ca="1"/>
        <v/>
      </c>
      <c r="ADC1498" s="42" t="str">
        <f ca="1"/>
        <v/>
      </c>
      <c r="ADD1498" s="42" t="str">
        <f ca="1"/>
        <v/>
      </c>
      <c r="ADE1498" s="42" t="str">
        <f ca="1"/>
        <v/>
      </c>
      <c r="ADF1498" s="42" t="str">
        <f ca="1"/>
        <v/>
      </c>
      <c r="ADG1498" s="42" t="str">
        <f ca="1"/>
        <v/>
      </c>
      <c r="ADH1498" s="42" t="str">
        <f ca="1"/>
        <v/>
      </c>
      <c r="ADI1498" s="42" t="str">
        <f ca="1"/>
        <v/>
      </c>
      <c r="ADJ1498" s="42" t="str">
        <f ca="1"/>
        <v/>
      </c>
      <c r="ADK1498" s="42" t="str">
        <f ca="1"/>
        <v/>
      </c>
      <c r="ADL1498" s="42" t="str">
        <f ca="1"/>
        <v/>
      </c>
      <c r="ADM1498" s="42" t="str">
        <f ca="1"/>
        <v/>
      </c>
      <c r="ADN1498" s="42" t="str">
        <f ca="1"/>
        <v/>
      </c>
      <c r="ADO1498" s="42" t="str">
        <f ca="1"/>
        <v/>
      </c>
      <c r="ADP1498" s="42" t="str">
        <f ca="1"/>
        <v/>
      </c>
      <c r="ADQ1498" s="42" t="str">
        <f ca="1"/>
        <v/>
      </c>
      <c r="ADR1498" s="42" t="str">
        <f ca="1"/>
        <v/>
      </c>
      <c r="ADS1498" s="42" t="str">
        <f ca="1"/>
        <v/>
      </c>
      <c r="ADT1498" s="42" t="str">
        <f ca="1"/>
        <v/>
      </c>
      <c r="ADU1498" s="42" t="str">
        <f ca="1"/>
        <v/>
      </c>
      <c r="ADV1498" s="42" t="str">
        <f ca="1"/>
        <v/>
      </c>
      <c r="ADW1498" s="42" t="str">
        <f ca="1"/>
        <v/>
      </c>
      <c r="ADX1498" s="42" t="str">
        <f ca="1"/>
        <v/>
      </c>
      <c r="ADY1498" s="42" t="str">
        <f ca="1"/>
        <v/>
      </c>
      <c r="ADZ1498" s="42" t="str">
        <f ca="1"/>
        <v/>
      </c>
      <c r="AEA1498" s="42" t="str">
        <f ca="1"/>
        <v/>
      </c>
      <c r="AEB1498" s="42" t="str">
        <f ca="1"/>
        <v/>
      </c>
      <c r="AEC1498" s="42" t="str">
        <f ca="1"/>
        <v/>
      </c>
      <c r="AED1498" s="42" t="str">
        <f ca="1"/>
        <v/>
      </c>
      <c r="AEE1498" s="42" t="str">
        <f ca="1"/>
        <v/>
      </c>
      <c r="AEF1498" s="42" t="str">
        <f ca="1"/>
        <v/>
      </c>
      <c r="AEG1498" s="42" t="str">
        <f ca="1"/>
        <v/>
      </c>
      <c r="AEH1498" s="42" t="str">
        <f ca="1"/>
        <v/>
      </c>
      <c r="AEI1498" s="42" t="str">
        <f ca="1"/>
        <v/>
      </c>
      <c r="AEJ1498" s="42" t="str">
        <f ca="1"/>
        <v/>
      </c>
      <c r="AEK1498" s="42" t="str">
        <f ca="1"/>
        <v/>
      </c>
      <c r="AEL1498" s="42" t="str">
        <f ca="1"/>
        <v/>
      </c>
      <c r="AEM1498" s="42" t="str">
        <f ca="1"/>
        <v/>
      </c>
      <c r="AEN1498" s="42" t="str">
        <f ca="1"/>
        <v/>
      </c>
      <c r="AEO1498" s="42" t="str">
        <f ca="1"/>
        <v/>
      </c>
      <c r="AEP1498" s="42" t="str">
        <f ca="1"/>
        <v/>
      </c>
      <c r="AEQ1498" s="42" t="str">
        <f ca="1"/>
        <v/>
      </c>
      <c r="AER1498" s="42" t="str">
        <f ca="1"/>
        <v/>
      </c>
      <c r="AES1498" s="42" t="str">
        <f ca="1"/>
        <v/>
      </c>
      <c r="AET1498" s="42" t="str">
        <f ca="1"/>
        <v/>
      </c>
      <c r="AEU1498" s="42" t="str">
        <f ca="1"/>
        <v/>
      </c>
      <c r="AEV1498" s="42" t="str">
        <f ca="1"/>
        <v/>
      </c>
      <c r="AEW1498" s="42" t="str">
        <f ca="1"/>
        <v/>
      </c>
      <c r="AEX1498" s="42" t="str">
        <f ca="1"/>
        <v/>
      </c>
      <c r="AEY1498" s="42" t="str">
        <f ca="1"/>
        <v/>
      </c>
      <c r="AEZ1498" s="42" t="str">
        <f ca="1"/>
        <v/>
      </c>
      <c r="AFA1498" s="42" t="str">
        <f ca="1"/>
        <v/>
      </c>
      <c r="AFB1498" s="42" t="str">
        <f ca="1"/>
        <v/>
      </c>
      <c r="AFC1498" s="42" t="str">
        <f ca="1"/>
        <v/>
      </c>
      <c r="AFD1498" s="42" t="str">
        <f ca="1"/>
        <v/>
      </c>
      <c r="AFE1498" s="42" t="str">
        <f ca="1"/>
        <v/>
      </c>
      <c r="AFF1498" s="42" t="str">
        <f ca="1"/>
        <v/>
      </c>
      <c r="AFG1498" s="42" t="str">
        <f ca="1"/>
        <v/>
      </c>
      <c r="AFH1498" s="42" t="str">
        <f ca="1"/>
        <v/>
      </c>
      <c r="AFI1498" s="42" t="str">
        <f ca="1"/>
        <v/>
      </c>
      <c r="AFJ1498" s="42" t="str">
        <f ca="1"/>
        <v/>
      </c>
      <c r="AFK1498" s="42" t="str">
        <f ca="1"/>
        <v/>
      </c>
      <c r="AFL1498" s="42" t="str">
        <f ca="1"/>
        <v/>
      </c>
      <c r="AFM1498" s="42" t="str">
        <f ca="1"/>
        <v/>
      </c>
      <c r="AFN1498" s="42" t="str">
        <f ca="1"/>
        <v/>
      </c>
      <c r="AFO1498" s="42" t="str">
        <f ca="1"/>
        <v/>
      </c>
      <c r="AFP1498" s="42" t="str">
        <f ca="1"/>
        <v/>
      </c>
      <c r="AFQ1498" s="42" t="str">
        <f ca="1"/>
        <v/>
      </c>
      <c r="AFR1498" s="42" t="str">
        <f ca="1"/>
        <v/>
      </c>
      <c r="AFS1498" s="42" t="str">
        <f ca="1"/>
        <v/>
      </c>
      <c r="AFT1498" s="42" t="str">
        <f ca="1"/>
        <v/>
      </c>
      <c r="AFU1498" s="42" t="str">
        <f ca="1"/>
        <v/>
      </c>
      <c r="AFV1498" s="42" t="str">
        <f ca="1"/>
        <v/>
      </c>
      <c r="AFW1498" s="42" t="str">
        <f ca="1"/>
        <v/>
      </c>
      <c r="AFX1498" s="42" t="str">
        <f ca="1"/>
        <v/>
      </c>
      <c r="AFY1498" s="42" t="str">
        <f ca="1"/>
        <v/>
      </c>
      <c r="AFZ1498" s="42" t="str">
        <f ca="1"/>
        <v/>
      </c>
      <c r="AGA1498" s="42" t="str">
        <f ca="1"/>
        <v/>
      </c>
      <c r="AGB1498" s="42" t="str">
        <f ca="1"/>
        <v/>
      </c>
      <c r="AGC1498" s="42" t="str">
        <f ca="1"/>
        <v/>
      </c>
      <c r="AGD1498" s="42" t="str">
        <f ca="1"/>
        <v/>
      </c>
      <c r="AGE1498" s="42" t="str">
        <f ca="1"/>
        <v/>
      </c>
      <c r="AGF1498" s="42" t="str">
        <f ca="1"/>
        <v/>
      </c>
      <c r="AGG1498" s="42" t="str">
        <f ca="1"/>
        <v/>
      </c>
      <c r="AGH1498" s="42" t="str">
        <f ca="1"/>
        <v/>
      </c>
      <c r="AGI1498" s="42" t="str">
        <f ca="1"/>
        <v/>
      </c>
      <c r="AGJ1498" s="42" t="str">
        <f ca="1"/>
        <v/>
      </c>
      <c r="AGK1498" s="42" t="str">
        <f ca="1"/>
        <v/>
      </c>
      <c r="AGL1498" s="42" t="str">
        <f ca="1"/>
        <v/>
      </c>
      <c r="AGM1498" s="42" t="str">
        <f ca="1"/>
        <v/>
      </c>
      <c r="AGN1498" s="42" t="str">
        <f ca="1"/>
        <v/>
      </c>
    </row>
    <row r="1499" spans="15:872" x14ac:dyDescent="0.25">
      <c r="O1499" s="42">
        <v>9</v>
      </c>
      <c r="P1499" s="42" t="str">
        <f ca="1"/>
        <v/>
      </c>
      <c r="Q1499" s="42" t="str">
        <f ca="1"/>
        <v/>
      </c>
      <c r="R1499" s="42" t="str">
        <f ca="1"/>
        <v/>
      </c>
      <c r="S1499" s="42" t="str">
        <f ca="1"/>
        <v/>
      </c>
      <c r="T1499" s="42" t="str">
        <f ca="1"/>
        <v/>
      </c>
      <c r="U1499" s="42" t="str">
        <f ca="1"/>
        <v/>
      </c>
      <c r="V1499" s="42" t="str">
        <f ca="1"/>
        <v/>
      </c>
      <c r="W1499" s="42" t="str">
        <f ca="1"/>
        <v/>
      </c>
      <c r="X1499" s="42" t="str">
        <f ca="1"/>
        <v/>
      </c>
      <c r="Y1499" s="42" t="str">
        <f ca="1"/>
        <v/>
      </c>
      <c r="Z1499" s="42" t="str">
        <f ca="1"/>
        <v/>
      </c>
      <c r="AA1499" s="42" t="str">
        <f ca="1"/>
        <v/>
      </c>
      <c r="AB1499" s="42" t="str">
        <f ca="1"/>
        <v/>
      </c>
      <c r="AC1499" s="42" t="str">
        <f ca="1"/>
        <v/>
      </c>
      <c r="AD1499" s="42" t="str">
        <f ca="1"/>
        <v/>
      </c>
      <c r="AE1499" s="42" t="str">
        <f ca="1"/>
        <v/>
      </c>
      <c r="AF1499" s="42" t="str">
        <f ca="1"/>
        <v/>
      </c>
      <c r="AG1499" s="42" t="str">
        <f ca="1"/>
        <v/>
      </c>
      <c r="AH1499" s="42" t="str">
        <f ca="1"/>
        <v/>
      </c>
      <c r="AI1499" s="42" t="str">
        <f ca="1"/>
        <v/>
      </c>
      <c r="AJ1499" s="42" t="str">
        <f ca="1"/>
        <v/>
      </c>
      <c r="AK1499" s="42" t="str">
        <f ca="1"/>
        <v/>
      </c>
      <c r="AL1499" s="42" t="str">
        <f ca="1"/>
        <v/>
      </c>
      <c r="AM1499" s="42" t="str">
        <f ca="1"/>
        <v/>
      </c>
      <c r="AN1499" s="42" t="str">
        <f ca="1"/>
        <v/>
      </c>
      <c r="AO1499" s="42" t="str">
        <f ca="1"/>
        <v/>
      </c>
      <c r="AP1499" s="42" t="str">
        <f ca="1"/>
        <v/>
      </c>
      <c r="AQ1499" s="42" t="str">
        <f ca="1"/>
        <v/>
      </c>
      <c r="AR1499" s="42" t="str">
        <f ca="1"/>
        <v/>
      </c>
      <c r="AS1499" s="42" t="str">
        <f ca="1"/>
        <v/>
      </c>
      <c r="AT1499" s="42" t="str">
        <f ca="1"/>
        <v/>
      </c>
      <c r="AU1499" s="42" t="str">
        <f ca="1"/>
        <v/>
      </c>
      <c r="AV1499" s="42" t="str">
        <f ca="1"/>
        <v/>
      </c>
      <c r="AW1499" s="42" t="str">
        <f ca="1"/>
        <v/>
      </c>
      <c r="AX1499" s="42" t="str">
        <f ca="1"/>
        <v/>
      </c>
      <c r="AY1499" s="42" t="str">
        <f ca="1"/>
        <v/>
      </c>
      <c r="AZ1499" s="42" t="str">
        <f ca="1"/>
        <v/>
      </c>
      <c r="BA1499" s="42" t="str">
        <f ca="1"/>
        <v/>
      </c>
      <c r="BB1499" s="42" t="str">
        <f ca="1"/>
        <v/>
      </c>
      <c r="BC1499" s="42" t="str">
        <f ca="1"/>
        <v/>
      </c>
      <c r="BD1499" s="42" t="str">
        <f ca="1"/>
        <v/>
      </c>
      <c r="BE1499" s="42" t="str">
        <f ca="1"/>
        <v/>
      </c>
      <c r="BF1499" s="42" t="str">
        <f ca="1"/>
        <v/>
      </c>
      <c r="BG1499" s="42" t="str">
        <f ca="1"/>
        <v/>
      </c>
      <c r="BH1499" s="42" t="str">
        <f ca="1"/>
        <v/>
      </c>
      <c r="BI1499" s="42" t="str">
        <f ca="1"/>
        <v/>
      </c>
      <c r="BJ1499" s="42" t="str">
        <f ca="1"/>
        <v/>
      </c>
      <c r="BK1499" s="42" t="str">
        <f ca="1"/>
        <v/>
      </c>
      <c r="BL1499" s="42" t="str">
        <f ca="1"/>
        <v/>
      </c>
      <c r="BM1499" s="42" t="str">
        <f ca="1"/>
        <v/>
      </c>
      <c r="BN1499" s="42" t="str">
        <f ca="1"/>
        <v/>
      </c>
      <c r="BO1499" s="42" t="str">
        <f ca="1"/>
        <v/>
      </c>
      <c r="BP1499" s="42" t="str">
        <f ca="1"/>
        <v/>
      </c>
      <c r="BQ1499" s="42" t="str">
        <f ca="1"/>
        <v/>
      </c>
      <c r="BR1499" s="42" t="str">
        <f ca="1"/>
        <v/>
      </c>
      <c r="BS1499" s="42" t="str">
        <f ca="1"/>
        <v/>
      </c>
      <c r="BT1499" s="42" t="str">
        <f ca="1"/>
        <v/>
      </c>
      <c r="BU1499" s="42" t="str">
        <f ca="1"/>
        <v/>
      </c>
      <c r="BV1499" s="42" t="str">
        <f ca="1"/>
        <v/>
      </c>
      <c r="BW1499" s="42" t="str">
        <f ca="1"/>
        <v/>
      </c>
      <c r="BX1499" s="42" t="str">
        <f ca="1"/>
        <v/>
      </c>
      <c r="BY1499" s="42" t="str">
        <f ca="1"/>
        <v/>
      </c>
      <c r="BZ1499" s="42" t="str">
        <f ca="1"/>
        <v/>
      </c>
      <c r="CA1499" s="42" t="str">
        <f ca="1"/>
        <v/>
      </c>
      <c r="CB1499" s="42" t="str">
        <f ca="1"/>
        <v/>
      </c>
      <c r="CC1499" s="42" t="str">
        <f ca="1"/>
        <v/>
      </c>
      <c r="CD1499" s="42" t="str">
        <f ca="1"/>
        <v/>
      </c>
      <c r="CE1499" s="42" t="str">
        <f ca="1"/>
        <v/>
      </c>
      <c r="CF1499" s="42" t="str">
        <f ca="1"/>
        <v/>
      </c>
      <c r="CG1499" s="42" t="str">
        <f ca="1"/>
        <v/>
      </c>
      <c r="CH1499" s="42" t="str">
        <f ca="1"/>
        <v/>
      </c>
      <c r="CI1499" s="42" t="str">
        <f ca="1"/>
        <v/>
      </c>
      <c r="CJ1499" s="42" t="str">
        <f ca="1"/>
        <v/>
      </c>
      <c r="CK1499" s="42" t="str">
        <f ca="1"/>
        <v/>
      </c>
      <c r="CL1499" s="42" t="str">
        <f ca="1"/>
        <v/>
      </c>
      <c r="CM1499" s="42" t="str">
        <f ca="1"/>
        <v/>
      </c>
      <c r="CN1499" s="42" t="str">
        <f ca="1"/>
        <v/>
      </c>
      <c r="CO1499" s="42" t="str">
        <f ca="1"/>
        <v/>
      </c>
      <c r="CP1499" s="42" t="str">
        <f ca="1"/>
        <v/>
      </c>
      <c r="CQ1499" s="42" t="str">
        <f ca="1"/>
        <v/>
      </c>
      <c r="CR1499" s="42" t="str">
        <f ca="1"/>
        <v/>
      </c>
      <c r="CS1499" s="42" t="str">
        <f ca="1"/>
        <v/>
      </c>
      <c r="CT1499" s="42" t="str">
        <f ca="1"/>
        <v/>
      </c>
      <c r="CU1499" s="42" t="str">
        <f ca="1"/>
        <v/>
      </c>
      <c r="CV1499" s="42" t="str">
        <f ca="1"/>
        <v/>
      </c>
      <c r="CW1499" s="42" t="str">
        <f ca="1"/>
        <v/>
      </c>
      <c r="CX1499" s="42" t="str">
        <f ca="1"/>
        <v/>
      </c>
      <c r="CY1499" s="42" t="str">
        <f ca="1"/>
        <v/>
      </c>
      <c r="CZ1499" s="42" t="str">
        <f ca="1"/>
        <v/>
      </c>
      <c r="DA1499" s="42" t="str">
        <f ca="1"/>
        <v/>
      </c>
      <c r="DB1499" s="42" t="str">
        <f ca="1"/>
        <v/>
      </c>
      <c r="DC1499" s="42" t="str">
        <f ca="1"/>
        <v/>
      </c>
      <c r="DD1499" s="42" t="str">
        <f ca="1"/>
        <v/>
      </c>
      <c r="DE1499" s="42" t="str">
        <f ca="1"/>
        <v/>
      </c>
      <c r="DF1499" s="42" t="str">
        <f ca="1"/>
        <v/>
      </c>
      <c r="DG1499" s="42" t="str">
        <f ca="1"/>
        <v/>
      </c>
      <c r="DH1499" s="42" t="str">
        <f ca="1"/>
        <v/>
      </c>
      <c r="DI1499" s="42" t="str">
        <f ca="1"/>
        <v/>
      </c>
      <c r="DJ1499" s="42" t="str">
        <f ca="1"/>
        <v/>
      </c>
      <c r="DK1499" s="42" t="str">
        <f ca="1"/>
        <v/>
      </c>
      <c r="DL1499" s="42" t="str">
        <f ca="1"/>
        <v/>
      </c>
      <c r="DM1499" s="42" t="str">
        <f ca="1"/>
        <v/>
      </c>
      <c r="DN1499" s="42" t="str">
        <f ca="1"/>
        <v/>
      </c>
      <c r="DO1499" s="42" t="str">
        <f ca="1"/>
        <v/>
      </c>
      <c r="DP1499" s="42" t="str">
        <f ca="1"/>
        <v/>
      </c>
      <c r="DQ1499" s="42" t="str">
        <f ca="1"/>
        <v/>
      </c>
      <c r="DR1499" s="42" t="str">
        <f ca="1"/>
        <v/>
      </c>
      <c r="DS1499" s="42" t="str">
        <f ca="1"/>
        <v/>
      </c>
      <c r="DT1499" s="42" t="str">
        <f ca="1"/>
        <v/>
      </c>
      <c r="DU1499" s="42" t="str">
        <f ca="1"/>
        <v/>
      </c>
      <c r="DV1499" s="42" t="str">
        <f ca="1"/>
        <v/>
      </c>
      <c r="DW1499" s="42" t="str">
        <f ca="1"/>
        <v/>
      </c>
      <c r="DX1499" s="42" t="str">
        <f ca="1"/>
        <v/>
      </c>
      <c r="DY1499" s="42" t="str">
        <f ca="1"/>
        <v/>
      </c>
      <c r="DZ1499" s="42" t="str">
        <f ca="1"/>
        <v/>
      </c>
      <c r="EA1499" s="42" t="str">
        <f ca="1"/>
        <v/>
      </c>
      <c r="EB1499" s="42" t="str">
        <f ca="1"/>
        <v/>
      </c>
      <c r="EC1499" s="42" t="str">
        <f ca="1"/>
        <v/>
      </c>
      <c r="ED1499" s="42" t="str">
        <f ca="1"/>
        <v/>
      </c>
      <c r="EE1499" s="42" t="str">
        <f ca="1"/>
        <v/>
      </c>
      <c r="EF1499" s="42" t="str">
        <f ca="1"/>
        <v/>
      </c>
      <c r="EG1499" s="42" t="str">
        <f ca="1"/>
        <v/>
      </c>
      <c r="EH1499" s="42" t="str">
        <f ca="1"/>
        <v/>
      </c>
      <c r="EI1499" s="42" t="str">
        <f ca="1"/>
        <v/>
      </c>
      <c r="EJ1499" s="42" t="str">
        <f ca="1"/>
        <v/>
      </c>
      <c r="EK1499" s="42" t="str">
        <f ca="1"/>
        <v/>
      </c>
      <c r="EL1499" s="42" t="str">
        <f ca="1"/>
        <v/>
      </c>
      <c r="EM1499" s="42" t="str">
        <f ca="1"/>
        <v/>
      </c>
      <c r="EN1499" s="42" t="str">
        <f ca="1"/>
        <v/>
      </c>
      <c r="EO1499" s="42" t="str">
        <f ca="1"/>
        <v/>
      </c>
      <c r="EP1499" s="42" t="str">
        <f ca="1"/>
        <v/>
      </c>
      <c r="EQ1499" s="42" t="str">
        <f ca="1"/>
        <v/>
      </c>
      <c r="ER1499" s="42" t="str">
        <f ca="1"/>
        <v/>
      </c>
      <c r="ES1499" s="42" t="str">
        <f ca="1"/>
        <v/>
      </c>
      <c r="ET1499" s="42" t="str">
        <f ca="1"/>
        <v/>
      </c>
      <c r="EU1499" s="42" t="str">
        <f ca="1"/>
        <v/>
      </c>
      <c r="EV1499" s="42" t="str">
        <f ca="1"/>
        <v/>
      </c>
      <c r="EW1499" s="42" t="str">
        <f ca="1"/>
        <v/>
      </c>
      <c r="EX1499" s="42" t="str">
        <f ca="1"/>
        <v/>
      </c>
      <c r="EY1499" s="42" t="str">
        <f ca="1"/>
        <v/>
      </c>
      <c r="EZ1499" s="42" t="str">
        <f ca="1"/>
        <v/>
      </c>
      <c r="FA1499" s="42" t="str">
        <f ca="1"/>
        <v/>
      </c>
      <c r="FB1499" s="42" t="str">
        <f ca="1"/>
        <v/>
      </c>
      <c r="FC1499" s="42" t="str">
        <f ca="1"/>
        <v/>
      </c>
      <c r="FD1499" s="42" t="str">
        <f ca="1"/>
        <v/>
      </c>
      <c r="FE1499" s="42" t="str">
        <f ca="1"/>
        <v/>
      </c>
      <c r="FF1499" s="42" t="str">
        <f ca="1"/>
        <v/>
      </c>
      <c r="FG1499" s="42" t="str">
        <f ca="1"/>
        <v/>
      </c>
      <c r="FH1499" s="42" t="str">
        <f ca="1"/>
        <v/>
      </c>
      <c r="FI1499" s="42" t="str">
        <f ca="1"/>
        <v/>
      </c>
      <c r="FJ1499" s="42" t="str">
        <f ca="1"/>
        <v/>
      </c>
      <c r="FK1499" s="42" t="str">
        <f ca="1"/>
        <v/>
      </c>
      <c r="FL1499" s="42" t="str">
        <f ca="1"/>
        <v/>
      </c>
      <c r="FM1499" s="42" t="str">
        <f ca="1"/>
        <v/>
      </c>
      <c r="FN1499" s="42" t="str">
        <f ca="1"/>
        <v/>
      </c>
      <c r="FO1499" s="42" t="str">
        <f ca="1"/>
        <v/>
      </c>
      <c r="FP1499" s="42" t="str">
        <f ca="1"/>
        <v/>
      </c>
      <c r="FQ1499" s="42" t="str">
        <f ca="1"/>
        <v/>
      </c>
      <c r="FR1499" s="42" t="str">
        <f ca="1"/>
        <v/>
      </c>
      <c r="FS1499" s="42" t="str">
        <f ca="1"/>
        <v/>
      </c>
      <c r="FT1499" s="42" t="str">
        <f ca="1"/>
        <v/>
      </c>
      <c r="FU1499" s="42" t="str">
        <f ca="1"/>
        <v/>
      </c>
      <c r="FV1499" s="42" t="str">
        <f ca="1"/>
        <v/>
      </c>
      <c r="FW1499" s="42" t="str">
        <f ca="1"/>
        <v/>
      </c>
      <c r="FX1499" s="42" t="str">
        <f ca="1"/>
        <v/>
      </c>
      <c r="FY1499" s="42" t="str">
        <f ca="1"/>
        <v/>
      </c>
      <c r="FZ1499" s="42" t="str">
        <f ca="1"/>
        <v/>
      </c>
      <c r="GA1499" s="42" t="str">
        <f ca="1"/>
        <v/>
      </c>
      <c r="GB1499" s="42" t="str">
        <f ca="1"/>
        <v/>
      </c>
      <c r="GC1499" s="42" t="str">
        <f ca="1"/>
        <v/>
      </c>
      <c r="GD1499" s="42" t="str">
        <f ca="1"/>
        <v/>
      </c>
      <c r="GE1499" s="42" t="str">
        <f ca="1"/>
        <v/>
      </c>
      <c r="GF1499" s="42" t="str">
        <f ca="1"/>
        <v/>
      </c>
      <c r="GG1499" s="42" t="str">
        <f ca="1"/>
        <v/>
      </c>
      <c r="GH1499" s="42" t="str">
        <f ca="1"/>
        <v/>
      </c>
      <c r="GI1499" s="42" t="str">
        <f ca="1"/>
        <v/>
      </c>
      <c r="GJ1499" s="42" t="str">
        <f ca="1"/>
        <v/>
      </c>
      <c r="GK1499" s="42" t="str">
        <f ca="1"/>
        <v/>
      </c>
      <c r="GL1499" s="42" t="str">
        <f ca="1"/>
        <v/>
      </c>
      <c r="GM1499" s="42" t="str">
        <f ca="1"/>
        <v/>
      </c>
      <c r="GN1499" s="42" t="str">
        <f ca="1"/>
        <v/>
      </c>
      <c r="GO1499" s="42" t="str">
        <f ca="1"/>
        <v/>
      </c>
      <c r="GP1499" s="42" t="str">
        <f ca="1"/>
        <v/>
      </c>
      <c r="GQ1499" s="42" t="str">
        <f ca="1"/>
        <v/>
      </c>
      <c r="GR1499" s="42" t="str">
        <f ca="1"/>
        <v/>
      </c>
      <c r="GS1499" s="42" t="str">
        <f ca="1"/>
        <v/>
      </c>
      <c r="GT1499" s="42" t="str">
        <f ca="1"/>
        <v/>
      </c>
      <c r="GU1499" s="42" t="str">
        <f ca="1"/>
        <v/>
      </c>
      <c r="GV1499" s="42" t="str">
        <f ca="1"/>
        <v/>
      </c>
      <c r="GW1499" s="42" t="str">
        <f ca="1"/>
        <v/>
      </c>
      <c r="GX1499" s="42" t="str">
        <f ca="1"/>
        <v/>
      </c>
      <c r="GY1499" s="42" t="str">
        <f ca="1"/>
        <v/>
      </c>
      <c r="GZ1499" s="42" t="str">
        <f ca="1"/>
        <v/>
      </c>
      <c r="HA1499" s="42" t="str">
        <f ca="1"/>
        <v/>
      </c>
      <c r="HB1499" s="42" t="str">
        <f ca="1"/>
        <v/>
      </c>
      <c r="HC1499" s="42" t="str">
        <f ca="1"/>
        <v/>
      </c>
      <c r="HD1499" s="42" t="str">
        <f ca="1"/>
        <v/>
      </c>
      <c r="HE1499" s="42" t="str">
        <f ca="1"/>
        <v/>
      </c>
      <c r="HF1499" s="42" t="str">
        <f ca="1"/>
        <v/>
      </c>
      <c r="HG1499" s="42" t="str">
        <f ca="1"/>
        <v/>
      </c>
      <c r="HH1499" s="42" t="str">
        <f ca="1"/>
        <v/>
      </c>
      <c r="HI1499" s="42" t="str">
        <f ca="1"/>
        <v/>
      </c>
      <c r="HJ1499" s="42" t="str">
        <f ca="1"/>
        <v/>
      </c>
      <c r="HK1499" s="42" t="str">
        <f ca="1"/>
        <v/>
      </c>
      <c r="HL1499" s="42" t="str">
        <f ca="1"/>
        <v/>
      </c>
      <c r="HM1499" s="42" t="str">
        <f ca="1"/>
        <v/>
      </c>
      <c r="HN1499" s="42" t="str">
        <f ca="1"/>
        <v/>
      </c>
      <c r="HO1499" s="42" t="str">
        <f ca="1"/>
        <v/>
      </c>
      <c r="HP1499" s="42" t="str">
        <f ca="1"/>
        <v/>
      </c>
      <c r="HQ1499" s="42" t="str">
        <f ca="1"/>
        <v/>
      </c>
      <c r="HR1499" s="42" t="str">
        <f ca="1"/>
        <v/>
      </c>
      <c r="HS1499" s="42" t="str">
        <f ca="1"/>
        <v/>
      </c>
      <c r="HT1499" s="42" t="str">
        <f ca="1"/>
        <v/>
      </c>
      <c r="HU1499" s="42" t="str">
        <f ca="1"/>
        <v/>
      </c>
      <c r="HV1499" s="42" t="str">
        <f ca="1"/>
        <v/>
      </c>
      <c r="HW1499" s="42" t="str">
        <f ca="1"/>
        <v/>
      </c>
      <c r="HX1499" s="42" t="str">
        <f ca="1"/>
        <v/>
      </c>
      <c r="HY1499" s="42" t="str">
        <f ca="1"/>
        <v/>
      </c>
      <c r="HZ1499" s="42" t="str">
        <f ca="1"/>
        <v/>
      </c>
      <c r="IA1499" s="42" t="str">
        <f ca="1"/>
        <v/>
      </c>
      <c r="IB1499" s="42" t="str">
        <f ca="1"/>
        <v/>
      </c>
      <c r="IC1499" s="42" t="str">
        <f ca="1"/>
        <v/>
      </c>
      <c r="ID1499" s="42" t="str">
        <f ca="1"/>
        <v/>
      </c>
      <c r="IE1499" s="42" t="str">
        <f ca="1"/>
        <v/>
      </c>
      <c r="IF1499" s="42" t="str">
        <f ca="1"/>
        <v/>
      </c>
      <c r="IG1499" s="42" t="str">
        <f ca="1"/>
        <v/>
      </c>
      <c r="IH1499" s="42" t="str">
        <f ca="1"/>
        <v/>
      </c>
      <c r="II1499" s="42" t="str">
        <f ca="1"/>
        <v/>
      </c>
      <c r="IJ1499" s="42" t="str">
        <f ca="1"/>
        <v/>
      </c>
      <c r="IK1499" s="42" t="str">
        <f ca="1"/>
        <v/>
      </c>
      <c r="IL1499" s="42" t="str">
        <f ca="1"/>
        <v/>
      </c>
      <c r="IM1499" s="42" t="str">
        <f ca="1"/>
        <v/>
      </c>
      <c r="IN1499" s="42" t="str">
        <f ca="1"/>
        <v/>
      </c>
      <c r="IO1499" s="42" t="str">
        <f ca="1"/>
        <v/>
      </c>
      <c r="IP1499" s="42" t="str">
        <f ca="1"/>
        <v/>
      </c>
      <c r="IQ1499" s="42" t="str">
        <f ca="1"/>
        <v/>
      </c>
      <c r="IR1499" s="42" t="str">
        <f ca="1"/>
        <v/>
      </c>
      <c r="IS1499" s="42" t="str">
        <f ca="1"/>
        <v/>
      </c>
      <c r="IT1499" s="42" t="str">
        <f ca="1"/>
        <v/>
      </c>
      <c r="IU1499" s="42" t="str">
        <f ca="1"/>
        <v/>
      </c>
      <c r="IV1499" s="42" t="str">
        <f ca="1"/>
        <v/>
      </c>
      <c r="IW1499" s="42" t="str">
        <f ca="1"/>
        <v/>
      </c>
      <c r="IX1499" s="42" t="str">
        <f ca="1"/>
        <v/>
      </c>
      <c r="IY1499" s="42" t="str">
        <f ca="1"/>
        <v/>
      </c>
      <c r="IZ1499" s="42" t="str">
        <f ca="1"/>
        <v/>
      </c>
      <c r="JA1499" s="42" t="str">
        <f ca="1"/>
        <v/>
      </c>
      <c r="JB1499" s="42" t="str">
        <f ca="1"/>
        <v/>
      </c>
      <c r="JC1499" s="42" t="str">
        <f ca="1"/>
        <v/>
      </c>
      <c r="JD1499" s="42" t="str">
        <f ca="1"/>
        <v/>
      </c>
      <c r="JE1499" s="42" t="str">
        <f ca="1"/>
        <v/>
      </c>
      <c r="JF1499" s="42" t="str">
        <f ca="1"/>
        <v/>
      </c>
      <c r="JG1499" s="42" t="str">
        <f ca="1"/>
        <v/>
      </c>
      <c r="JH1499" s="42" t="str">
        <f ca="1"/>
        <v/>
      </c>
      <c r="JI1499" s="42" t="str">
        <f ca="1"/>
        <v/>
      </c>
      <c r="JJ1499" s="42" t="str">
        <f ca="1"/>
        <v/>
      </c>
      <c r="JK1499" s="42" t="str">
        <f ca="1"/>
        <v/>
      </c>
      <c r="JL1499" s="42" t="str">
        <f ca="1"/>
        <v/>
      </c>
      <c r="JM1499" s="42" t="str">
        <f ca="1"/>
        <v/>
      </c>
      <c r="JN1499" s="42" t="str">
        <f ca="1"/>
        <v/>
      </c>
      <c r="JO1499" s="42" t="str">
        <f ca="1"/>
        <v/>
      </c>
      <c r="JP1499" s="42" t="str">
        <f ca="1"/>
        <v/>
      </c>
      <c r="JQ1499" s="42" t="str">
        <f ca="1"/>
        <v/>
      </c>
      <c r="JR1499" s="42" t="str">
        <f ca="1"/>
        <v/>
      </c>
      <c r="JS1499" s="42" t="str">
        <f ca="1"/>
        <v/>
      </c>
      <c r="JT1499" s="42" t="str">
        <f ca="1"/>
        <v/>
      </c>
      <c r="JU1499" s="42" t="str">
        <f ca="1"/>
        <v/>
      </c>
      <c r="JV1499" s="42" t="str">
        <f ca="1"/>
        <v/>
      </c>
      <c r="JW1499" s="42" t="str">
        <f ca="1"/>
        <v/>
      </c>
      <c r="JX1499" s="42" t="str">
        <f ca="1"/>
        <v/>
      </c>
      <c r="JY1499" s="42" t="str">
        <f ca="1"/>
        <v/>
      </c>
      <c r="JZ1499" s="42" t="str">
        <f ca="1"/>
        <v/>
      </c>
      <c r="KA1499" s="42" t="str">
        <f ca="1"/>
        <v/>
      </c>
      <c r="KB1499" s="42" t="str">
        <f ca="1"/>
        <v/>
      </c>
      <c r="KC1499" s="42" t="str">
        <f ca="1"/>
        <v/>
      </c>
      <c r="KD1499" s="42" t="str">
        <f ca="1"/>
        <v/>
      </c>
      <c r="KE1499" s="42" t="str">
        <f ca="1"/>
        <v/>
      </c>
      <c r="KF1499" s="42" t="str">
        <f ca="1"/>
        <v/>
      </c>
      <c r="KG1499" s="42" t="str">
        <f ca="1"/>
        <v/>
      </c>
      <c r="KH1499" s="42" t="str">
        <f ca="1"/>
        <v/>
      </c>
      <c r="KI1499" s="42" t="str">
        <f ca="1"/>
        <v/>
      </c>
      <c r="KJ1499" s="42" t="str">
        <f ca="1"/>
        <v/>
      </c>
      <c r="KK1499" s="42" t="str">
        <f ca="1"/>
        <v/>
      </c>
      <c r="KL1499" s="42" t="str">
        <f ca="1"/>
        <v/>
      </c>
      <c r="KM1499" s="42" t="str">
        <f ca="1"/>
        <v/>
      </c>
      <c r="KN1499" s="42" t="str">
        <f ca="1"/>
        <v/>
      </c>
      <c r="KO1499" s="42" t="str">
        <f ca="1"/>
        <v/>
      </c>
      <c r="KP1499" s="42" t="str">
        <f ca="1"/>
        <v/>
      </c>
      <c r="KQ1499" s="42" t="str">
        <f ca="1"/>
        <v/>
      </c>
      <c r="KR1499" s="42" t="str">
        <f ca="1"/>
        <v/>
      </c>
      <c r="KS1499" s="42" t="str">
        <f ca="1"/>
        <v/>
      </c>
      <c r="KT1499" s="42" t="str">
        <f ca="1"/>
        <v/>
      </c>
      <c r="KU1499" s="42" t="str">
        <f ca="1"/>
        <v/>
      </c>
      <c r="KV1499" s="42" t="str">
        <f ca="1"/>
        <v/>
      </c>
      <c r="KW1499" s="42" t="str">
        <f ca="1"/>
        <v/>
      </c>
      <c r="KX1499" s="42" t="str">
        <f ca="1"/>
        <v/>
      </c>
      <c r="KY1499" s="42" t="str">
        <f ca="1"/>
        <v/>
      </c>
      <c r="KZ1499" s="42" t="str">
        <f ca="1"/>
        <v/>
      </c>
      <c r="LA1499" s="42" t="str">
        <f ca="1"/>
        <v/>
      </c>
      <c r="LB1499" s="42" t="str">
        <f ca="1"/>
        <v/>
      </c>
      <c r="LC1499" s="42" t="str">
        <f ca="1"/>
        <v/>
      </c>
      <c r="LD1499" s="42" t="str">
        <f ca="1"/>
        <v/>
      </c>
      <c r="LE1499" s="42" t="str">
        <f ca="1"/>
        <v/>
      </c>
      <c r="LF1499" s="42" t="str">
        <f ca="1"/>
        <v/>
      </c>
      <c r="LG1499" s="42" t="str">
        <f ca="1"/>
        <v/>
      </c>
      <c r="LH1499" s="42" t="str">
        <f ca="1"/>
        <v/>
      </c>
      <c r="LI1499" s="42" t="str">
        <f ca="1"/>
        <v/>
      </c>
      <c r="LJ1499" s="42" t="str">
        <f ca="1"/>
        <v/>
      </c>
      <c r="LK1499" s="42" t="str">
        <f ca="1"/>
        <v/>
      </c>
      <c r="LL1499" s="42" t="str">
        <f ca="1"/>
        <v/>
      </c>
      <c r="LM1499" s="42" t="str">
        <f ca="1"/>
        <v/>
      </c>
      <c r="LN1499" s="42" t="str">
        <f ca="1"/>
        <v/>
      </c>
      <c r="LO1499" s="42" t="str">
        <f ca="1"/>
        <v/>
      </c>
      <c r="LP1499" s="42" t="str">
        <f ca="1"/>
        <v/>
      </c>
      <c r="LQ1499" s="42" t="str">
        <f ca="1"/>
        <v/>
      </c>
      <c r="LR1499" s="42" t="str">
        <f ca="1"/>
        <v/>
      </c>
      <c r="LS1499" s="42" t="str">
        <f ca="1"/>
        <v/>
      </c>
      <c r="LT1499" s="42" t="str">
        <f ca="1"/>
        <v/>
      </c>
      <c r="LU1499" s="42" t="str">
        <f ca="1"/>
        <v/>
      </c>
      <c r="LV1499" s="42" t="str">
        <f ca="1"/>
        <v/>
      </c>
      <c r="LW1499" s="42" t="str">
        <f ca="1"/>
        <v/>
      </c>
      <c r="LX1499" s="42" t="str">
        <f ca="1"/>
        <v/>
      </c>
      <c r="LY1499" s="42" t="str">
        <f ca="1"/>
        <v/>
      </c>
      <c r="LZ1499" s="42" t="str">
        <f ca="1"/>
        <v/>
      </c>
      <c r="MA1499" s="42" t="str">
        <f ca="1"/>
        <v/>
      </c>
      <c r="MB1499" s="42" t="str">
        <f ca="1"/>
        <v/>
      </c>
      <c r="MC1499" s="42" t="str">
        <f ca="1"/>
        <v/>
      </c>
      <c r="MD1499" s="42" t="str">
        <f ca="1"/>
        <v/>
      </c>
      <c r="ME1499" s="42" t="str">
        <f ca="1"/>
        <v/>
      </c>
      <c r="MF1499" s="42" t="str">
        <f ca="1"/>
        <v/>
      </c>
      <c r="MG1499" s="42" t="str">
        <f ca="1"/>
        <v/>
      </c>
      <c r="MH1499" s="42" t="str">
        <f ca="1"/>
        <v/>
      </c>
      <c r="MI1499" s="42" t="str">
        <f ca="1"/>
        <v/>
      </c>
      <c r="MJ1499" s="42" t="str">
        <f ca="1"/>
        <v/>
      </c>
      <c r="MK1499" s="42" t="str">
        <f ca="1"/>
        <v/>
      </c>
      <c r="ML1499" s="42" t="str">
        <f ca="1"/>
        <v/>
      </c>
      <c r="MM1499" s="42" t="str">
        <f ca="1"/>
        <v/>
      </c>
      <c r="MN1499" s="42" t="str">
        <f ca="1"/>
        <v/>
      </c>
      <c r="MO1499" s="42" t="str">
        <f ca="1"/>
        <v/>
      </c>
      <c r="MP1499" s="42" t="str">
        <f ca="1"/>
        <v/>
      </c>
      <c r="MQ1499" s="42" t="str">
        <f ca="1"/>
        <v/>
      </c>
      <c r="MR1499" s="42" t="str">
        <f ca="1"/>
        <v/>
      </c>
      <c r="MS1499" s="42" t="str">
        <f ca="1"/>
        <v/>
      </c>
      <c r="MT1499" s="42" t="str">
        <f ca="1"/>
        <v/>
      </c>
      <c r="MU1499" s="42" t="str">
        <f ca="1"/>
        <v/>
      </c>
      <c r="MV1499" s="42" t="str">
        <f ca="1"/>
        <v/>
      </c>
      <c r="MW1499" s="42" t="str">
        <f ca="1"/>
        <v/>
      </c>
      <c r="MX1499" s="42" t="str">
        <f ca="1"/>
        <v/>
      </c>
      <c r="MY1499" s="42" t="str">
        <f ca="1"/>
        <v/>
      </c>
      <c r="MZ1499" s="42" t="str">
        <f ca="1"/>
        <v/>
      </c>
      <c r="NA1499" s="42" t="str">
        <f ca="1"/>
        <v/>
      </c>
      <c r="NB1499" s="42" t="str">
        <f ca="1"/>
        <v/>
      </c>
      <c r="NC1499" s="42" t="str">
        <f ca="1"/>
        <v/>
      </c>
      <c r="ND1499" s="42" t="str">
        <f ca="1"/>
        <v/>
      </c>
      <c r="NE1499" s="42" t="str">
        <f ca="1"/>
        <v/>
      </c>
      <c r="NF1499" s="42" t="str">
        <f ca="1"/>
        <v/>
      </c>
      <c r="NG1499" s="42" t="str">
        <f ca="1"/>
        <v/>
      </c>
      <c r="NH1499" s="42" t="str">
        <f ca="1"/>
        <v/>
      </c>
      <c r="NI1499" s="42" t="str">
        <f ca="1"/>
        <v/>
      </c>
      <c r="NJ1499" s="42" t="str">
        <f ca="1"/>
        <v/>
      </c>
      <c r="NK1499" s="42" t="str">
        <f ca="1"/>
        <v/>
      </c>
      <c r="NL1499" s="42" t="str">
        <f ca="1"/>
        <v/>
      </c>
      <c r="NM1499" s="42" t="str">
        <f ca="1"/>
        <v/>
      </c>
      <c r="NN1499" s="42" t="str">
        <f ca="1"/>
        <v/>
      </c>
      <c r="NO1499" s="42" t="str">
        <f ca="1"/>
        <v/>
      </c>
      <c r="NP1499" s="42" t="str">
        <f ca="1"/>
        <v/>
      </c>
      <c r="NQ1499" s="42" t="str">
        <f ca="1"/>
        <v/>
      </c>
      <c r="NR1499" s="42" t="str">
        <f ca="1"/>
        <v/>
      </c>
      <c r="NS1499" s="42" t="str">
        <f ca="1"/>
        <v/>
      </c>
      <c r="NT1499" s="42" t="str">
        <f ca="1"/>
        <v/>
      </c>
      <c r="NU1499" s="42" t="str">
        <f ca="1"/>
        <v/>
      </c>
      <c r="NV1499" s="42" t="str">
        <f ca="1"/>
        <v/>
      </c>
      <c r="NW1499" s="42" t="str">
        <f ca="1"/>
        <v/>
      </c>
      <c r="NX1499" s="42" t="str">
        <f ca="1"/>
        <v/>
      </c>
      <c r="NY1499" s="42" t="str">
        <f ca="1"/>
        <v/>
      </c>
      <c r="NZ1499" s="42" t="str">
        <f ca="1"/>
        <v/>
      </c>
      <c r="OA1499" s="42" t="str">
        <f ca="1"/>
        <v/>
      </c>
      <c r="OB1499" s="42" t="str">
        <f ca="1"/>
        <v/>
      </c>
      <c r="OC1499" s="42" t="str">
        <f ca="1"/>
        <v/>
      </c>
      <c r="OD1499" s="42" t="str">
        <f ca="1"/>
        <v/>
      </c>
      <c r="OE1499" s="42" t="str">
        <f ca="1"/>
        <v/>
      </c>
      <c r="OF1499" s="42" t="str">
        <f ca="1"/>
        <v/>
      </c>
      <c r="OG1499" s="42" t="str">
        <f ca="1"/>
        <v/>
      </c>
      <c r="OH1499" s="42" t="str">
        <f ca="1"/>
        <v/>
      </c>
      <c r="OI1499" s="42" t="str">
        <f ca="1"/>
        <v/>
      </c>
      <c r="OJ1499" s="42" t="str">
        <f ca="1"/>
        <v/>
      </c>
      <c r="OK1499" s="42" t="str">
        <f ca="1"/>
        <v/>
      </c>
      <c r="OL1499" s="42" t="str">
        <f ca="1"/>
        <v/>
      </c>
      <c r="OM1499" s="42" t="str">
        <f ca="1"/>
        <v/>
      </c>
      <c r="ON1499" s="42" t="str">
        <f ca="1"/>
        <v/>
      </c>
      <c r="OO1499" s="42" t="str">
        <f ca="1"/>
        <v/>
      </c>
      <c r="OP1499" s="42" t="str">
        <f ca="1"/>
        <v/>
      </c>
      <c r="OQ1499" s="42" t="str">
        <f ca="1"/>
        <v/>
      </c>
      <c r="OR1499" s="42" t="str">
        <f ca="1"/>
        <v/>
      </c>
      <c r="OS1499" s="42" t="str">
        <f ca="1"/>
        <v/>
      </c>
      <c r="OT1499" s="42" t="str">
        <f ca="1"/>
        <v/>
      </c>
      <c r="OU1499" s="42" t="str">
        <f ca="1"/>
        <v/>
      </c>
      <c r="OV1499" s="42" t="str">
        <f ca="1"/>
        <v/>
      </c>
      <c r="OW1499" s="42" t="str">
        <f ca="1"/>
        <v/>
      </c>
      <c r="OX1499" s="42" t="str">
        <f ca="1"/>
        <v/>
      </c>
      <c r="OY1499" s="42" t="str">
        <f ca="1"/>
        <v/>
      </c>
      <c r="OZ1499" s="42" t="str">
        <f ca="1"/>
        <v/>
      </c>
      <c r="PA1499" s="42" t="str">
        <f ca="1"/>
        <v/>
      </c>
      <c r="PB1499" s="42" t="str">
        <f ca="1"/>
        <v/>
      </c>
      <c r="PC1499" s="42" t="str">
        <f ca="1"/>
        <v/>
      </c>
      <c r="PD1499" s="42" t="str">
        <f ca="1"/>
        <v/>
      </c>
      <c r="PE1499" s="42" t="str">
        <f ca="1"/>
        <v/>
      </c>
      <c r="PF1499" s="42" t="str">
        <f ca="1"/>
        <v/>
      </c>
      <c r="PG1499" s="42" t="str">
        <f ca="1"/>
        <v/>
      </c>
      <c r="PH1499" s="42" t="str">
        <f ca="1"/>
        <v/>
      </c>
      <c r="PI1499" s="42" t="str">
        <f ca="1"/>
        <v/>
      </c>
      <c r="PJ1499" s="42" t="str">
        <f ca="1"/>
        <v/>
      </c>
      <c r="PK1499" s="42" t="str">
        <f ca="1"/>
        <v/>
      </c>
      <c r="PL1499" s="42" t="str">
        <f ca="1"/>
        <v/>
      </c>
      <c r="PM1499" s="42" t="str">
        <f ca="1"/>
        <v/>
      </c>
      <c r="PN1499" s="42" t="str">
        <f ca="1"/>
        <v/>
      </c>
      <c r="PO1499" s="42" t="str">
        <f ca="1"/>
        <v/>
      </c>
      <c r="PP1499" s="42" t="str">
        <f ca="1"/>
        <v/>
      </c>
      <c r="PQ1499" s="42" t="str">
        <f ca="1"/>
        <v/>
      </c>
      <c r="PR1499" s="42" t="str">
        <f ca="1"/>
        <v/>
      </c>
      <c r="PS1499" s="42" t="str">
        <f ca="1"/>
        <v/>
      </c>
      <c r="PT1499" s="42" t="str">
        <f ca="1"/>
        <v/>
      </c>
      <c r="PU1499" s="42" t="str">
        <f ca="1"/>
        <v/>
      </c>
      <c r="PV1499" s="42" t="str">
        <f ca="1"/>
        <v/>
      </c>
      <c r="PW1499" s="42" t="str">
        <f ca="1"/>
        <v/>
      </c>
      <c r="PX1499" s="42" t="str">
        <f ca="1"/>
        <v/>
      </c>
      <c r="PY1499" s="42" t="str">
        <f ca="1"/>
        <v/>
      </c>
      <c r="PZ1499" s="42" t="str">
        <f ca="1"/>
        <v/>
      </c>
      <c r="QA1499" s="42" t="str">
        <f ca="1"/>
        <v/>
      </c>
      <c r="QB1499" s="42" t="str">
        <f ca="1"/>
        <v/>
      </c>
      <c r="QC1499" s="42" t="str">
        <f ca="1"/>
        <v/>
      </c>
      <c r="QD1499" s="42" t="str">
        <f ca="1"/>
        <v/>
      </c>
      <c r="QE1499" s="42" t="str">
        <f ca="1"/>
        <v/>
      </c>
      <c r="QF1499" s="42" t="str">
        <f ca="1"/>
        <v/>
      </c>
      <c r="QG1499" s="42" t="str">
        <f ca="1"/>
        <v/>
      </c>
      <c r="QH1499" s="42" t="str">
        <f ca="1"/>
        <v/>
      </c>
      <c r="QI1499" s="42" t="str">
        <f ca="1"/>
        <v/>
      </c>
      <c r="QJ1499" s="42" t="str">
        <f ca="1"/>
        <v/>
      </c>
      <c r="QK1499" s="42" t="str">
        <f ca="1"/>
        <v/>
      </c>
      <c r="QL1499" s="42" t="str">
        <f ca="1"/>
        <v/>
      </c>
      <c r="QM1499" s="42" t="str">
        <f ca="1"/>
        <v/>
      </c>
      <c r="QN1499" s="42" t="str">
        <f ca="1"/>
        <v/>
      </c>
      <c r="QO1499" s="42" t="str">
        <f ca="1"/>
        <v/>
      </c>
      <c r="QP1499" s="42" t="str">
        <f ca="1"/>
        <v/>
      </c>
      <c r="QQ1499" s="42" t="str">
        <f ca="1"/>
        <v/>
      </c>
      <c r="QR1499" s="42" t="str">
        <f ca="1"/>
        <v/>
      </c>
      <c r="QS1499" s="42" t="str">
        <f ca="1"/>
        <v/>
      </c>
      <c r="QT1499" s="42" t="str">
        <f ca="1"/>
        <v/>
      </c>
      <c r="QU1499" s="42" t="str">
        <f ca="1"/>
        <v/>
      </c>
      <c r="QV1499" s="42" t="str">
        <f ca="1"/>
        <v/>
      </c>
      <c r="QW1499" s="42" t="str">
        <f ca="1"/>
        <v/>
      </c>
      <c r="QX1499" s="42" t="str">
        <f ca="1"/>
        <v/>
      </c>
      <c r="QY1499" s="42" t="str">
        <f ca="1"/>
        <v/>
      </c>
      <c r="QZ1499" s="42" t="str">
        <f ca="1"/>
        <v/>
      </c>
      <c r="RA1499" s="42" t="str">
        <f ca="1"/>
        <v/>
      </c>
      <c r="RB1499" s="42" t="str">
        <f ca="1"/>
        <v/>
      </c>
      <c r="RC1499" s="42" t="str">
        <f ca="1"/>
        <v/>
      </c>
      <c r="RD1499" s="42" t="str">
        <f ca="1"/>
        <v/>
      </c>
      <c r="RE1499" s="42" t="str">
        <f ca="1"/>
        <v/>
      </c>
      <c r="RF1499" s="42" t="str">
        <f ca="1"/>
        <v/>
      </c>
      <c r="RG1499" s="42" t="str">
        <f ca="1"/>
        <v/>
      </c>
      <c r="RH1499" s="42" t="str">
        <f ca="1"/>
        <v/>
      </c>
      <c r="RI1499" s="42" t="str">
        <f ca="1"/>
        <v/>
      </c>
      <c r="RJ1499" s="42" t="str">
        <f ca="1"/>
        <v/>
      </c>
      <c r="RK1499" s="42" t="str">
        <f ca="1"/>
        <v/>
      </c>
      <c r="RL1499" s="42" t="str">
        <f ca="1"/>
        <v/>
      </c>
      <c r="RM1499" s="42" t="str">
        <f ca="1"/>
        <v/>
      </c>
      <c r="RN1499" s="42" t="str">
        <f ca="1"/>
        <v/>
      </c>
      <c r="RO1499" s="42" t="str">
        <f ca="1"/>
        <v/>
      </c>
      <c r="RP1499" s="42" t="str">
        <f ca="1"/>
        <v/>
      </c>
      <c r="RQ1499" s="42" t="str">
        <f ca="1"/>
        <v/>
      </c>
      <c r="RR1499" s="42" t="str">
        <f ca="1"/>
        <v/>
      </c>
      <c r="RS1499" s="42" t="str">
        <f ca="1"/>
        <v/>
      </c>
      <c r="RT1499" s="42" t="str">
        <f ca="1"/>
        <v/>
      </c>
      <c r="RU1499" s="42" t="str">
        <f ca="1"/>
        <v/>
      </c>
      <c r="RV1499" s="42" t="str">
        <f ca="1"/>
        <v/>
      </c>
      <c r="RW1499" s="42" t="str">
        <f ca="1"/>
        <v/>
      </c>
      <c r="RX1499" s="42" t="str">
        <f ca="1"/>
        <v/>
      </c>
      <c r="RY1499" s="42" t="str">
        <f ca="1"/>
        <v/>
      </c>
      <c r="RZ1499" s="42" t="str">
        <f ca="1"/>
        <v/>
      </c>
      <c r="SA1499" s="42" t="str">
        <f ca="1"/>
        <v/>
      </c>
      <c r="SB1499" s="42" t="str">
        <f ca="1"/>
        <v/>
      </c>
      <c r="SC1499" s="42" t="str">
        <f ca="1"/>
        <v/>
      </c>
      <c r="SD1499" s="42" t="str">
        <f ca="1"/>
        <v/>
      </c>
      <c r="SE1499" s="42" t="str">
        <f ca="1"/>
        <v/>
      </c>
      <c r="SF1499" s="42" t="str">
        <f ca="1"/>
        <v/>
      </c>
      <c r="SG1499" s="42" t="str">
        <f ca="1"/>
        <v/>
      </c>
      <c r="SH1499" s="42" t="str">
        <f ca="1"/>
        <v/>
      </c>
      <c r="SI1499" s="42" t="str">
        <f ca="1"/>
        <v/>
      </c>
      <c r="SJ1499" s="42" t="str">
        <f ca="1"/>
        <v/>
      </c>
      <c r="SK1499" s="42" t="str">
        <f ca="1"/>
        <v/>
      </c>
      <c r="SL1499" s="42" t="str">
        <f ca="1"/>
        <v/>
      </c>
      <c r="SM1499" s="42" t="str">
        <f ca="1"/>
        <v/>
      </c>
      <c r="SN1499" s="42" t="str">
        <f ca="1"/>
        <v/>
      </c>
      <c r="SO1499" s="42" t="str">
        <f ca="1"/>
        <v/>
      </c>
      <c r="SP1499" s="42" t="str">
        <f ca="1"/>
        <v/>
      </c>
      <c r="SQ1499" s="42" t="str">
        <f ca="1"/>
        <v/>
      </c>
      <c r="SR1499" s="42" t="str">
        <f ca="1"/>
        <v/>
      </c>
      <c r="SS1499" s="42" t="str">
        <f ca="1"/>
        <v/>
      </c>
      <c r="ST1499" s="42" t="str">
        <f ca="1"/>
        <v/>
      </c>
      <c r="SU1499" s="42" t="str">
        <f ca="1"/>
        <v/>
      </c>
      <c r="SV1499" s="42" t="str">
        <f ca="1"/>
        <v/>
      </c>
      <c r="SW1499" s="42" t="str">
        <f ca="1"/>
        <v/>
      </c>
      <c r="SX1499" s="42" t="str">
        <f ca="1"/>
        <v/>
      </c>
      <c r="SY1499" s="42" t="str">
        <f ca="1"/>
        <v/>
      </c>
      <c r="SZ1499" s="42" t="str">
        <f ca="1"/>
        <v/>
      </c>
      <c r="TA1499" s="42" t="str">
        <f ca="1"/>
        <v/>
      </c>
      <c r="TB1499" s="42" t="str">
        <f ca="1"/>
        <v/>
      </c>
      <c r="TC1499" s="42" t="str">
        <f ca="1"/>
        <v/>
      </c>
      <c r="TD1499" s="42" t="str">
        <f ca="1"/>
        <v/>
      </c>
      <c r="TE1499" s="42" t="str">
        <f ca="1"/>
        <v/>
      </c>
      <c r="TF1499" s="42" t="str">
        <f ca="1"/>
        <v/>
      </c>
      <c r="TG1499" s="42" t="str">
        <f ca="1"/>
        <v/>
      </c>
      <c r="TH1499" s="42" t="str">
        <f ca="1"/>
        <v/>
      </c>
      <c r="TI1499" s="42" t="str">
        <f ca="1"/>
        <v/>
      </c>
      <c r="TJ1499" s="42" t="str">
        <f ca="1"/>
        <v/>
      </c>
      <c r="TK1499" s="42" t="str">
        <f ca="1"/>
        <v/>
      </c>
      <c r="TL1499" s="42" t="str">
        <f ca="1"/>
        <v/>
      </c>
      <c r="TM1499" s="42" t="str">
        <f ca="1"/>
        <v/>
      </c>
      <c r="TN1499" s="42" t="str">
        <f ca="1"/>
        <v/>
      </c>
      <c r="TO1499" s="42" t="str">
        <f ca="1"/>
        <v/>
      </c>
      <c r="TP1499" s="42" t="str">
        <f ca="1"/>
        <v/>
      </c>
      <c r="TQ1499" s="42" t="str">
        <f ca="1"/>
        <v/>
      </c>
      <c r="TR1499" s="42" t="str">
        <f ca="1"/>
        <v/>
      </c>
      <c r="TS1499" s="42" t="str">
        <f ca="1"/>
        <v/>
      </c>
      <c r="TT1499" s="42" t="str">
        <f ca="1"/>
        <v/>
      </c>
      <c r="TU1499" s="42" t="str">
        <f ca="1"/>
        <v/>
      </c>
      <c r="TV1499" s="42" t="str">
        <f ca="1"/>
        <v/>
      </c>
      <c r="TW1499" s="42" t="str">
        <f ca="1"/>
        <v/>
      </c>
      <c r="TX1499" s="42" t="str">
        <f ca="1"/>
        <v/>
      </c>
      <c r="TY1499" s="42" t="str">
        <f ca="1"/>
        <v/>
      </c>
      <c r="TZ1499" s="42" t="str">
        <f ca="1"/>
        <v/>
      </c>
      <c r="UA1499" s="42" t="str">
        <f ca="1"/>
        <v/>
      </c>
      <c r="UB1499" s="42" t="str">
        <f ca="1"/>
        <v/>
      </c>
      <c r="UC1499" s="42" t="str">
        <f ca="1"/>
        <v/>
      </c>
      <c r="UD1499" s="42" t="str">
        <f ca="1"/>
        <v/>
      </c>
      <c r="UE1499" s="42" t="str">
        <f ca="1"/>
        <v/>
      </c>
      <c r="UF1499" s="42" t="str">
        <f ca="1"/>
        <v/>
      </c>
      <c r="UG1499" s="42" t="str">
        <f ca="1"/>
        <v/>
      </c>
      <c r="UH1499" s="42" t="str">
        <f ca="1"/>
        <v/>
      </c>
      <c r="UI1499" s="42" t="str">
        <f ca="1"/>
        <v/>
      </c>
      <c r="UJ1499" s="42" t="str">
        <f ca="1"/>
        <v/>
      </c>
      <c r="UK1499" s="42" t="str">
        <f ca="1"/>
        <v/>
      </c>
      <c r="UL1499" s="42" t="str">
        <f ca="1"/>
        <v/>
      </c>
      <c r="UM1499" s="42" t="str">
        <f ca="1"/>
        <v/>
      </c>
      <c r="UN1499" s="42" t="str">
        <f ca="1"/>
        <v/>
      </c>
      <c r="UO1499" s="42" t="str">
        <f ca="1"/>
        <v/>
      </c>
      <c r="UP1499" s="42" t="str">
        <f ca="1"/>
        <v/>
      </c>
      <c r="UQ1499" s="42" t="str">
        <f ca="1"/>
        <v/>
      </c>
      <c r="UR1499" s="42" t="str">
        <f ca="1"/>
        <v/>
      </c>
      <c r="US1499" s="42" t="str">
        <f ca="1"/>
        <v/>
      </c>
      <c r="UT1499" s="42" t="str">
        <f ca="1"/>
        <v/>
      </c>
      <c r="UU1499" s="42" t="str">
        <f ca="1"/>
        <v/>
      </c>
      <c r="UV1499" s="42" t="str">
        <f ca="1"/>
        <v/>
      </c>
      <c r="UW1499" s="42" t="str">
        <f ca="1"/>
        <v/>
      </c>
      <c r="UX1499" s="42" t="str">
        <f ca="1"/>
        <v/>
      </c>
      <c r="UY1499" s="42" t="str">
        <f ca="1"/>
        <v/>
      </c>
      <c r="UZ1499" s="42" t="str">
        <f ca="1"/>
        <v/>
      </c>
      <c r="VA1499" s="42" t="str">
        <f ca="1"/>
        <v/>
      </c>
      <c r="VB1499" s="42" t="str">
        <f ca="1"/>
        <v/>
      </c>
      <c r="VC1499" s="42" t="str">
        <f ca="1"/>
        <v/>
      </c>
      <c r="VD1499" s="42" t="str">
        <f ca="1"/>
        <v/>
      </c>
      <c r="VE1499" s="42" t="str">
        <f ca="1"/>
        <v/>
      </c>
      <c r="VF1499" s="42" t="str">
        <f ca="1"/>
        <v/>
      </c>
      <c r="VG1499" s="42" t="str">
        <f ca="1"/>
        <v/>
      </c>
      <c r="VH1499" s="42" t="str">
        <f ca="1"/>
        <v/>
      </c>
      <c r="VI1499" s="42" t="str">
        <f ca="1"/>
        <v/>
      </c>
      <c r="VJ1499" s="42" t="str">
        <f ca="1"/>
        <v/>
      </c>
      <c r="VK1499" s="42" t="str">
        <f ca="1"/>
        <v/>
      </c>
      <c r="VL1499" s="42" t="str">
        <f ca="1"/>
        <v/>
      </c>
      <c r="VM1499" s="42" t="str">
        <f ca="1"/>
        <v/>
      </c>
      <c r="VN1499" s="42" t="str">
        <f ca="1"/>
        <v/>
      </c>
      <c r="VO1499" s="42" t="str">
        <f ca="1"/>
        <v/>
      </c>
      <c r="VP1499" s="42" t="str">
        <f ca="1"/>
        <v/>
      </c>
      <c r="VQ1499" s="42" t="str">
        <f ca="1"/>
        <v/>
      </c>
      <c r="VR1499" s="42" t="str">
        <f ca="1"/>
        <v/>
      </c>
      <c r="VS1499" s="42" t="str">
        <f ca="1"/>
        <v/>
      </c>
      <c r="VT1499" s="42" t="str">
        <f ca="1"/>
        <v/>
      </c>
      <c r="VU1499" s="42" t="str">
        <f ca="1"/>
        <v/>
      </c>
      <c r="VV1499" s="42" t="str">
        <f ca="1"/>
        <v/>
      </c>
      <c r="VW1499" s="42" t="str">
        <f ca="1"/>
        <v/>
      </c>
      <c r="VX1499" s="42" t="str">
        <f ca="1"/>
        <v/>
      </c>
      <c r="VY1499" s="42" t="str">
        <f ca="1"/>
        <v/>
      </c>
      <c r="VZ1499" s="42" t="str">
        <f ca="1"/>
        <v/>
      </c>
      <c r="WA1499" s="42" t="str">
        <f ca="1"/>
        <v/>
      </c>
      <c r="WB1499" s="42" t="str">
        <f ca="1"/>
        <v/>
      </c>
      <c r="WC1499" s="42" t="str">
        <f ca="1"/>
        <v/>
      </c>
      <c r="WD1499" s="42" t="str">
        <f ca="1"/>
        <v/>
      </c>
      <c r="WE1499" s="42" t="str">
        <f ca="1"/>
        <v/>
      </c>
      <c r="WF1499" s="42" t="str">
        <f ca="1"/>
        <v/>
      </c>
      <c r="WG1499" s="42" t="str">
        <f ca="1"/>
        <v/>
      </c>
      <c r="WH1499" s="42" t="str">
        <f ca="1"/>
        <v/>
      </c>
      <c r="WI1499" s="42" t="str">
        <f ca="1"/>
        <v/>
      </c>
      <c r="WJ1499" s="42" t="str">
        <f ca="1"/>
        <v/>
      </c>
      <c r="WK1499" s="42" t="str">
        <f ca="1"/>
        <v/>
      </c>
      <c r="WL1499" s="42" t="str">
        <f ca="1"/>
        <v/>
      </c>
      <c r="WM1499" s="42" t="str">
        <f ca="1"/>
        <v/>
      </c>
      <c r="WN1499" s="42" t="str">
        <f ca="1"/>
        <v/>
      </c>
      <c r="WO1499" s="42" t="str">
        <f ca="1"/>
        <v/>
      </c>
      <c r="WP1499" s="42" t="str">
        <f ca="1"/>
        <v/>
      </c>
      <c r="WQ1499" s="42" t="str">
        <f ca="1"/>
        <v/>
      </c>
      <c r="WR1499" s="42" t="str">
        <f ca="1"/>
        <v/>
      </c>
      <c r="WS1499" s="42" t="str">
        <f ca="1"/>
        <v/>
      </c>
      <c r="WT1499" s="42" t="str">
        <f ca="1"/>
        <v/>
      </c>
      <c r="WU1499" s="42" t="str">
        <f ca="1"/>
        <v/>
      </c>
      <c r="WV1499" s="42" t="str">
        <f ca="1"/>
        <v/>
      </c>
      <c r="WW1499" s="42" t="str">
        <f ca="1"/>
        <v/>
      </c>
      <c r="WX1499" s="42" t="str">
        <f ca="1"/>
        <v/>
      </c>
      <c r="WY1499" s="42" t="str">
        <f ca="1"/>
        <v/>
      </c>
      <c r="WZ1499" s="42" t="str">
        <f ca="1"/>
        <v/>
      </c>
      <c r="XA1499" s="42" t="str">
        <f ca="1"/>
        <v/>
      </c>
      <c r="XB1499" s="42" t="str">
        <f ca="1"/>
        <v/>
      </c>
      <c r="XC1499" s="42" t="str">
        <f ca="1"/>
        <v/>
      </c>
      <c r="XD1499" s="42" t="str">
        <f ca="1"/>
        <v/>
      </c>
      <c r="XE1499" s="42" t="str">
        <f ca="1"/>
        <v/>
      </c>
      <c r="XF1499" s="42" t="str">
        <f ca="1"/>
        <v/>
      </c>
      <c r="XG1499" s="42" t="str">
        <f ca="1"/>
        <v/>
      </c>
      <c r="XH1499" s="42" t="str">
        <f ca="1"/>
        <v/>
      </c>
      <c r="XI1499" s="42" t="str">
        <f ca="1"/>
        <v/>
      </c>
      <c r="XJ1499" s="42" t="str">
        <f ca="1"/>
        <v/>
      </c>
      <c r="XK1499" s="42" t="str">
        <f ca="1"/>
        <v/>
      </c>
      <c r="XL1499" s="42" t="str">
        <f ca="1"/>
        <v/>
      </c>
      <c r="XM1499" s="42" t="str">
        <f ca="1"/>
        <v/>
      </c>
      <c r="XN1499" s="42" t="str">
        <f ca="1"/>
        <v/>
      </c>
      <c r="XO1499" s="42" t="str">
        <f ca="1"/>
        <v/>
      </c>
      <c r="XP1499" s="42" t="str">
        <f ca="1"/>
        <v/>
      </c>
      <c r="XQ1499" s="42" t="str">
        <f ca="1"/>
        <v/>
      </c>
      <c r="XR1499" s="42" t="str">
        <f ca="1"/>
        <v/>
      </c>
      <c r="XS1499" s="42" t="str">
        <f ca="1"/>
        <v/>
      </c>
      <c r="XT1499" s="42" t="str">
        <f ca="1"/>
        <v/>
      </c>
      <c r="XU1499" s="42" t="str">
        <f ca="1"/>
        <v/>
      </c>
      <c r="XV1499" s="42" t="str">
        <f ca="1"/>
        <v/>
      </c>
      <c r="XW1499" s="42" t="str">
        <f ca="1"/>
        <v/>
      </c>
      <c r="XX1499" s="42" t="str">
        <f ca="1"/>
        <v/>
      </c>
      <c r="XY1499" s="42" t="str">
        <f ca="1"/>
        <v/>
      </c>
      <c r="XZ1499" s="42" t="str">
        <f ca="1"/>
        <v/>
      </c>
      <c r="YA1499" s="42" t="str">
        <f ca="1"/>
        <v/>
      </c>
      <c r="YB1499" s="42" t="str">
        <f ca="1"/>
        <v/>
      </c>
      <c r="YC1499" s="42" t="str">
        <f ca="1"/>
        <v/>
      </c>
      <c r="YD1499" s="42" t="str">
        <f ca="1"/>
        <v/>
      </c>
      <c r="YE1499" s="42" t="str">
        <f ca="1"/>
        <v/>
      </c>
      <c r="YF1499" s="42" t="str">
        <f ca="1"/>
        <v/>
      </c>
      <c r="YG1499" s="42" t="str">
        <f ca="1"/>
        <v/>
      </c>
      <c r="YH1499" s="42" t="str">
        <f ca="1"/>
        <v/>
      </c>
      <c r="YI1499" s="42" t="str">
        <f ca="1"/>
        <v/>
      </c>
      <c r="YJ1499" s="42" t="str">
        <f ca="1"/>
        <v/>
      </c>
      <c r="YK1499" s="42" t="str">
        <f ca="1"/>
        <v/>
      </c>
      <c r="YL1499" s="42" t="str">
        <f ca="1"/>
        <v/>
      </c>
      <c r="YM1499" s="42" t="str">
        <f ca="1"/>
        <v/>
      </c>
      <c r="YN1499" s="42" t="str">
        <f ca="1"/>
        <v/>
      </c>
      <c r="YO1499" s="42" t="str">
        <f ca="1"/>
        <v/>
      </c>
      <c r="YP1499" s="42" t="str">
        <f ca="1"/>
        <v/>
      </c>
      <c r="YQ1499" s="42" t="str">
        <f ca="1"/>
        <v/>
      </c>
      <c r="YR1499" s="42" t="str">
        <f ca="1"/>
        <v/>
      </c>
      <c r="YS1499" s="42" t="str">
        <f ca="1"/>
        <v/>
      </c>
      <c r="YT1499" s="42" t="str">
        <f ca="1"/>
        <v/>
      </c>
      <c r="YU1499" s="42" t="str">
        <f ca="1"/>
        <v/>
      </c>
      <c r="YV1499" s="42" t="str">
        <f ca="1"/>
        <v/>
      </c>
      <c r="YW1499" s="42" t="str">
        <f ca="1"/>
        <v/>
      </c>
      <c r="YX1499" s="42" t="str">
        <f ca="1"/>
        <v/>
      </c>
      <c r="YY1499" s="42" t="str">
        <f ca="1"/>
        <v/>
      </c>
      <c r="YZ1499" s="42" t="str">
        <f ca="1"/>
        <v/>
      </c>
      <c r="ZA1499" s="42" t="str">
        <f ca="1"/>
        <v/>
      </c>
      <c r="ZB1499" s="42" t="str">
        <f ca="1"/>
        <v/>
      </c>
      <c r="ZC1499" s="42" t="str">
        <f ca="1"/>
        <v/>
      </c>
      <c r="ZD1499" s="42" t="str">
        <f ca="1"/>
        <v/>
      </c>
      <c r="ZE1499" s="42" t="str">
        <f ca="1"/>
        <v/>
      </c>
      <c r="ZF1499" s="42" t="str">
        <f ca="1"/>
        <v/>
      </c>
      <c r="ZG1499" s="42" t="str">
        <f ca="1"/>
        <v/>
      </c>
      <c r="ZH1499" s="42" t="str">
        <f ca="1"/>
        <v/>
      </c>
      <c r="ZI1499" s="42" t="str">
        <f ca="1"/>
        <v/>
      </c>
      <c r="ZJ1499" s="42" t="str">
        <f ca="1"/>
        <v/>
      </c>
      <c r="ZK1499" s="42" t="str">
        <f ca="1"/>
        <v/>
      </c>
      <c r="ZL1499" s="42" t="str">
        <f ca="1"/>
        <v/>
      </c>
      <c r="ZM1499" s="42" t="str">
        <f ca="1"/>
        <v/>
      </c>
      <c r="ZN1499" s="42" t="str">
        <f ca="1"/>
        <v/>
      </c>
      <c r="ZO1499" s="42" t="str">
        <f ca="1"/>
        <v/>
      </c>
      <c r="ZP1499" s="42" t="str">
        <f ca="1"/>
        <v/>
      </c>
      <c r="ZQ1499" s="42" t="str">
        <f ca="1"/>
        <v/>
      </c>
      <c r="ZR1499" s="42" t="str">
        <f ca="1"/>
        <v/>
      </c>
      <c r="ZS1499" s="42" t="str">
        <f ca="1"/>
        <v/>
      </c>
      <c r="ZT1499" s="42" t="str">
        <f ca="1"/>
        <v/>
      </c>
      <c r="ZU1499" s="42" t="str">
        <f ca="1"/>
        <v/>
      </c>
      <c r="ZV1499" s="42" t="str">
        <f ca="1"/>
        <v/>
      </c>
      <c r="ZW1499" s="42" t="str">
        <f ca="1"/>
        <v/>
      </c>
      <c r="ZX1499" s="42" t="str">
        <f ca="1"/>
        <v/>
      </c>
      <c r="ZY1499" s="42" t="str">
        <f ca="1"/>
        <v/>
      </c>
      <c r="ZZ1499" s="42" t="str">
        <f ca="1"/>
        <v/>
      </c>
      <c r="AAA1499" s="42" t="str">
        <f ca="1"/>
        <v/>
      </c>
      <c r="AAB1499" s="42" t="str">
        <f ca="1"/>
        <v/>
      </c>
      <c r="AAC1499" s="42" t="str">
        <f ca="1"/>
        <v/>
      </c>
      <c r="AAD1499" s="42" t="str">
        <f ca="1"/>
        <v/>
      </c>
      <c r="AAE1499" s="42" t="str">
        <f ca="1"/>
        <v/>
      </c>
      <c r="AAF1499" s="42" t="str">
        <f ca="1"/>
        <v/>
      </c>
      <c r="AAG1499" s="42" t="str">
        <f ca="1"/>
        <v/>
      </c>
      <c r="AAH1499" s="42" t="str">
        <f ca="1"/>
        <v/>
      </c>
      <c r="AAI1499" s="42" t="str">
        <f ca="1"/>
        <v/>
      </c>
      <c r="AAJ1499" s="42" t="str">
        <f ca="1"/>
        <v/>
      </c>
      <c r="AAK1499" s="42" t="str">
        <f ca="1"/>
        <v/>
      </c>
      <c r="AAL1499" s="42" t="str">
        <f ca="1"/>
        <v/>
      </c>
      <c r="AAM1499" s="42" t="str">
        <f ca="1"/>
        <v/>
      </c>
      <c r="AAN1499" s="42" t="str">
        <f ca="1"/>
        <v/>
      </c>
      <c r="AAO1499" s="42" t="str">
        <f ca="1"/>
        <v/>
      </c>
      <c r="AAP1499" s="42" t="str">
        <f ca="1"/>
        <v/>
      </c>
      <c r="AAQ1499" s="42" t="str">
        <f ca="1"/>
        <v/>
      </c>
      <c r="AAR1499" s="42" t="str">
        <f ca="1"/>
        <v/>
      </c>
      <c r="AAS1499" s="42" t="str">
        <f ca="1"/>
        <v/>
      </c>
      <c r="AAT1499" s="42" t="str">
        <f ca="1"/>
        <v/>
      </c>
      <c r="AAU1499" s="42" t="str">
        <f ca="1"/>
        <v/>
      </c>
      <c r="AAV1499" s="42" t="str">
        <f ca="1"/>
        <v/>
      </c>
      <c r="AAW1499" s="42" t="str">
        <f ca="1"/>
        <v/>
      </c>
      <c r="AAX1499" s="42" t="str">
        <f ca="1"/>
        <v/>
      </c>
      <c r="AAY1499" s="42" t="str">
        <f ca="1"/>
        <v/>
      </c>
      <c r="AAZ1499" s="42" t="str">
        <f ca="1"/>
        <v/>
      </c>
      <c r="ABA1499" s="42" t="str">
        <f ca="1"/>
        <v/>
      </c>
      <c r="ABB1499" s="42" t="str">
        <f ca="1"/>
        <v/>
      </c>
      <c r="ABC1499" s="42" t="str">
        <f ca="1"/>
        <v/>
      </c>
      <c r="ABD1499" s="42" t="str">
        <f ca="1"/>
        <v/>
      </c>
      <c r="ABE1499" s="42" t="str">
        <f ca="1"/>
        <v/>
      </c>
      <c r="ABF1499" s="42" t="str">
        <f ca="1"/>
        <v/>
      </c>
      <c r="ABG1499" s="42" t="str">
        <f ca="1"/>
        <v/>
      </c>
      <c r="ABH1499" s="42" t="str">
        <f ca="1"/>
        <v/>
      </c>
      <c r="ABI1499" s="42" t="str">
        <f ca="1"/>
        <v/>
      </c>
      <c r="ABJ1499" s="42" t="str">
        <f ca="1"/>
        <v/>
      </c>
      <c r="ABK1499" s="42" t="str">
        <f ca="1"/>
        <v/>
      </c>
      <c r="ABL1499" s="42" t="str">
        <f ca="1"/>
        <v/>
      </c>
      <c r="ABM1499" s="42" t="str">
        <f ca="1"/>
        <v/>
      </c>
      <c r="ABN1499" s="42" t="str">
        <f ca="1"/>
        <v/>
      </c>
      <c r="ABO1499" s="42" t="str">
        <f ca="1"/>
        <v/>
      </c>
      <c r="ABP1499" s="42" t="str">
        <f ca="1"/>
        <v/>
      </c>
      <c r="ABQ1499" s="42" t="str">
        <f ca="1"/>
        <v/>
      </c>
      <c r="ABR1499" s="42" t="str">
        <f ca="1"/>
        <v/>
      </c>
      <c r="ABS1499" s="42" t="str">
        <f ca="1"/>
        <v/>
      </c>
      <c r="ABT1499" s="42" t="str">
        <f ca="1"/>
        <v/>
      </c>
      <c r="ABU1499" s="42" t="str">
        <f ca="1"/>
        <v/>
      </c>
      <c r="ABV1499" s="42" t="str">
        <f ca="1"/>
        <v/>
      </c>
      <c r="ABW1499" s="42" t="str">
        <f ca="1"/>
        <v/>
      </c>
      <c r="ABX1499" s="42" t="str">
        <f ca="1"/>
        <v/>
      </c>
      <c r="ABY1499" s="42" t="str">
        <f ca="1"/>
        <v/>
      </c>
      <c r="ABZ1499" s="42" t="str">
        <f ca="1"/>
        <v/>
      </c>
      <c r="ACA1499" s="42" t="str">
        <f ca="1"/>
        <v/>
      </c>
      <c r="ACB1499" s="42" t="str">
        <f ca="1"/>
        <v/>
      </c>
      <c r="ACC1499" s="42" t="str">
        <f ca="1"/>
        <v/>
      </c>
      <c r="ACD1499" s="42" t="str">
        <f ca="1"/>
        <v/>
      </c>
      <c r="ACE1499" s="42" t="str">
        <f ca="1"/>
        <v/>
      </c>
      <c r="ACF1499" s="42" t="str">
        <f ca="1"/>
        <v/>
      </c>
      <c r="ACG1499" s="42" t="str">
        <f ca="1"/>
        <v/>
      </c>
      <c r="ACH1499" s="42" t="str">
        <f ca="1"/>
        <v/>
      </c>
      <c r="ACI1499" s="42" t="str">
        <f ca="1"/>
        <v/>
      </c>
      <c r="ACJ1499" s="42" t="str">
        <f ca="1"/>
        <v/>
      </c>
      <c r="ACK1499" s="42" t="str">
        <f ca="1"/>
        <v/>
      </c>
      <c r="ACL1499" s="42" t="str">
        <f ca="1"/>
        <v/>
      </c>
      <c r="ACM1499" s="42" t="str">
        <f ca="1"/>
        <v/>
      </c>
      <c r="ACN1499" s="42" t="str">
        <f ca="1"/>
        <v/>
      </c>
      <c r="ACO1499" s="42" t="str">
        <f ca="1"/>
        <v/>
      </c>
      <c r="ACP1499" s="42" t="str">
        <f ca="1"/>
        <v/>
      </c>
      <c r="ACQ1499" s="42" t="str">
        <f ca="1"/>
        <v/>
      </c>
      <c r="ACR1499" s="42" t="str">
        <f ca="1"/>
        <v/>
      </c>
      <c r="ACS1499" s="42" t="str">
        <f ca="1"/>
        <v/>
      </c>
      <c r="ACT1499" s="42" t="str">
        <f ca="1"/>
        <v/>
      </c>
      <c r="ACU1499" s="42" t="str">
        <f ca="1"/>
        <v/>
      </c>
      <c r="ACV1499" s="42" t="str">
        <f ca="1"/>
        <v/>
      </c>
      <c r="ACW1499" s="42" t="str">
        <f ca="1"/>
        <v/>
      </c>
      <c r="ACX1499" s="42" t="str">
        <f ca="1"/>
        <v/>
      </c>
      <c r="ACY1499" s="42" t="str">
        <f ca="1"/>
        <v/>
      </c>
      <c r="ACZ1499" s="42" t="str">
        <f ca="1"/>
        <v/>
      </c>
      <c r="ADA1499" s="42" t="str">
        <f ca="1"/>
        <v/>
      </c>
      <c r="ADB1499" s="42" t="str">
        <f ca="1"/>
        <v/>
      </c>
      <c r="ADC1499" s="42" t="str">
        <f ca="1"/>
        <v/>
      </c>
      <c r="ADD1499" s="42" t="str">
        <f ca="1"/>
        <v/>
      </c>
      <c r="ADE1499" s="42" t="str">
        <f ca="1"/>
        <v/>
      </c>
      <c r="ADF1499" s="42" t="str">
        <f ca="1"/>
        <v/>
      </c>
      <c r="ADG1499" s="42" t="str">
        <f ca="1"/>
        <v/>
      </c>
      <c r="ADH1499" s="42" t="str">
        <f ca="1"/>
        <v/>
      </c>
      <c r="ADI1499" s="42" t="str">
        <f ca="1"/>
        <v/>
      </c>
      <c r="ADJ1499" s="42" t="str">
        <f ca="1"/>
        <v/>
      </c>
      <c r="ADK1499" s="42" t="str">
        <f ca="1"/>
        <v/>
      </c>
      <c r="ADL1499" s="42" t="str">
        <f ca="1"/>
        <v/>
      </c>
      <c r="ADM1499" s="42" t="str">
        <f ca="1"/>
        <v/>
      </c>
      <c r="ADN1499" s="42" t="str">
        <f ca="1"/>
        <v/>
      </c>
      <c r="ADO1499" s="42" t="str">
        <f ca="1"/>
        <v/>
      </c>
      <c r="ADP1499" s="42" t="str">
        <f ca="1"/>
        <v/>
      </c>
      <c r="ADQ1499" s="42" t="str">
        <f ca="1"/>
        <v/>
      </c>
      <c r="ADR1499" s="42" t="str">
        <f ca="1"/>
        <v/>
      </c>
      <c r="ADS1499" s="42" t="str">
        <f ca="1"/>
        <v/>
      </c>
      <c r="ADT1499" s="42" t="str">
        <f ca="1"/>
        <v/>
      </c>
      <c r="ADU1499" s="42" t="str">
        <f ca="1"/>
        <v/>
      </c>
      <c r="ADV1499" s="42" t="str">
        <f ca="1"/>
        <v/>
      </c>
      <c r="ADW1499" s="42" t="str">
        <f ca="1"/>
        <v/>
      </c>
      <c r="ADX1499" s="42" t="str">
        <f ca="1"/>
        <v/>
      </c>
      <c r="ADY1499" s="42" t="str">
        <f ca="1"/>
        <v/>
      </c>
      <c r="ADZ1499" s="42" t="str">
        <f ca="1"/>
        <v/>
      </c>
      <c r="AEA1499" s="42" t="str">
        <f ca="1"/>
        <v/>
      </c>
      <c r="AEB1499" s="42" t="str">
        <f ca="1"/>
        <v/>
      </c>
      <c r="AEC1499" s="42" t="str">
        <f ca="1"/>
        <v/>
      </c>
      <c r="AED1499" s="42" t="str">
        <f ca="1"/>
        <v/>
      </c>
      <c r="AEE1499" s="42" t="str">
        <f ca="1"/>
        <v/>
      </c>
      <c r="AEF1499" s="42" t="str">
        <f ca="1"/>
        <v/>
      </c>
      <c r="AEG1499" s="42" t="str">
        <f ca="1"/>
        <v/>
      </c>
      <c r="AEH1499" s="42" t="str">
        <f ca="1"/>
        <v/>
      </c>
      <c r="AEI1499" s="42" t="str">
        <f ca="1"/>
        <v/>
      </c>
      <c r="AEJ1499" s="42" t="str">
        <f ca="1"/>
        <v/>
      </c>
      <c r="AEK1499" s="42" t="str">
        <f ca="1"/>
        <v/>
      </c>
      <c r="AEL1499" s="42" t="str">
        <f ca="1"/>
        <v/>
      </c>
      <c r="AEM1499" s="42" t="str">
        <f ca="1"/>
        <v/>
      </c>
      <c r="AEN1499" s="42" t="str">
        <f ca="1"/>
        <v/>
      </c>
      <c r="AEO1499" s="42" t="str">
        <f ca="1"/>
        <v/>
      </c>
      <c r="AEP1499" s="42" t="str">
        <f ca="1"/>
        <v/>
      </c>
      <c r="AEQ1499" s="42" t="str">
        <f ca="1"/>
        <v/>
      </c>
      <c r="AER1499" s="42" t="str">
        <f ca="1"/>
        <v/>
      </c>
      <c r="AES1499" s="42" t="str">
        <f ca="1"/>
        <v/>
      </c>
      <c r="AET1499" s="42" t="str">
        <f ca="1"/>
        <v/>
      </c>
      <c r="AEU1499" s="42" t="str">
        <f ca="1"/>
        <v/>
      </c>
      <c r="AEV1499" s="42" t="str">
        <f ca="1"/>
        <v/>
      </c>
      <c r="AEW1499" s="42" t="str">
        <f ca="1"/>
        <v/>
      </c>
      <c r="AEX1499" s="42" t="str">
        <f ca="1"/>
        <v/>
      </c>
      <c r="AEY1499" s="42" t="str">
        <f ca="1"/>
        <v/>
      </c>
      <c r="AEZ1499" s="42" t="str">
        <f ca="1"/>
        <v/>
      </c>
      <c r="AFA1499" s="42" t="str">
        <f ca="1"/>
        <v/>
      </c>
      <c r="AFB1499" s="42" t="str">
        <f ca="1"/>
        <v/>
      </c>
      <c r="AFC1499" s="42" t="str">
        <f ca="1"/>
        <v/>
      </c>
      <c r="AFD1499" s="42" t="str">
        <f ca="1"/>
        <v/>
      </c>
      <c r="AFE1499" s="42" t="str">
        <f ca="1"/>
        <v/>
      </c>
      <c r="AFF1499" s="42" t="str">
        <f ca="1"/>
        <v/>
      </c>
      <c r="AFG1499" s="42" t="str">
        <f ca="1"/>
        <v/>
      </c>
      <c r="AFH1499" s="42" t="str">
        <f ca="1"/>
        <v/>
      </c>
      <c r="AFI1499" s="42" t="str">
        <f ca="1"/>
        <v/>
      </c>
      <c r="AFJ1499" s="42" t="str">
        <f ca="1"/>
        <v/>
      </c>
      <c r="AFK1499" s="42" t="str">
        <f ca="1"/>
        <v/>
      </c>
      <c r="AFL1499" s="42" t="str">
        <f ca="1"/>
        <v/>
      </c>
      <c r="AFM1499" s="42" t="str">
        <f ca="1"/>
        <v/>
      </c>
      <c r="AFN1499" s="42" t="str">
        <f ca="1"/>
        <v/>
      </c>
      <c r="AFO1499" s="42" t="str">
        <f ca="1"/>
        <v/>
      </c>
      <c r="AFP1499" s="42" t="str">
        <f ca="1"/>
        <v/>
      </c>
      <c r="AFQ1499" s="42" t="str">
        <f ca="1"/>
        <v/>
      </c>
      <c r="AFR1499" s="42" t="str">
        <f ca="1"/>
        <v/>
      </c>
      <c r="AFS1499" s="42" t="str">
        <f ca="1"/>
        <v/>
      </c>
      <c r="AFT1499" s="42" t="str">
        <f ca="1"/>
        <v/>
      </c>
      <c r="AFU1499" s="42" t="str">
        <f ca="1"/>
        <v/>
      </c>
      <c r="AFV1499" s="42" t="str">
        <f ca="1"/>
        <v/>
      </c>
      <c r="AFW1499" s="42" t="str">
        <f ca="1"/>
        <v/>
      </c>
      <c r="AFX1499" s="42" t="str">
        <f ca="1"/>
        <v/>
      </c>
      <c r="AFY1499" s="42" t="str">
        <f ca="1"/>
        <v/>
      </c>
      <c r="AFZ1499" s="42" t="str">
        <f ca="1"/>
        <v/>
      </c>
      <c r="AGA1499" s="42" t="str">
        <f ca="1"/>
        <v/>
      </c>
      <c r="AGB1499" s="42" t="str">
        <f ca="1"/>
        <v/>
      </c>
      <c r="AGC1499" s="42" t="str">
        <f ca="1"/>
        <v/>
      </c>
      <c r="AGD1499" s="42" t="str">
        <f ca="1"/>
        <v/>
      </c>
      <c r="AGE1499" s="42" t="str">
        <f ca="1"/>
        <v/>
      </c>
      <c r="AGF1499" s="42" t="str">
        <f ca="1"/>
        <v/>
      </c>
      <c r="AGG1499" s="42" t="str">
        <f ca="1"/>
        <v/>
      </c>
      <c r="AGH1499" s="42" t="str">
        <f ca="1"/>
        <v/>
      </c>
      <c r="AGI1499" s="42" t="str">
        <f ca="1"/>
        <v/>
      </c>
      <c r="AGJ1499" s="42" t="str">
        <f ca="1"/>
        <v/>
      </c>
      <c r="AGK1499" s="42" t="str">
        <f ca="1"/>
        <v/>
      </c>
      <c r="AGL1499" s="42" t="str">
        <f ca="1"/>
        <v/>
      </c>
      <c r="AGM1499" s="42" t="str">
        <f ca="1"/>
        <v/>
      </c>
      <c r="AGN1499" s="42" t="str">
        <f ca="1"/>
        <v/>
      </c>
    </row>
    <row r="1500" spans="15:872" x14ac:dyDescent="0.25">
      <c r="O1500" s="42">
        <v>10</v>
      </c>
      <c r="P1500" s="42" t="str">
        <f ca="1"/>
        <v/>
      </c>
      <c r="Q1500" s="42" t="str">
        <f ca="1"/>
        <v/>
      </c>
      <c r="R1500" s="42" t="str">
        <f ca="1"/>
        <v/>
      </c>
      <c r="S1500" s="42" t="str">
        <f ca="1"/>
        <v/>
      </c>
      <c r="T1500" s="42" t="str">
        <f ca="1"/>
        <v/>
      </c>
      <c r="U1500" s="42" t="str">
        <f ca="1"/>
        <v/>
      </c>
      <c r="V1500" s="42" t="str">
        <f ca="1"/>
        <v/>
      </c>
      <c r="W1500" s="42" t="str">
        <f ca="1"/>
        <v/>
      </c>
      <c r="X1500" s="42" t="str">
        <f ca="1"/>
        <v/>
      </c>
      <c r="Y1500" s="42" t="str">
        <f ca="1"/>
        <v/>
      </c>
      <c r="Z1500" s="42" t="str">
        <f ca="1"/>
        <v/>
      </c>
      <c r="AA1500" s="42" t="str">
        <f ca="1"/>
        <v/>
      </c>
      <c r="AB1500" s="42" t="str">
        <f ca="1"/>
        <v/>
      </c>
      <c r="AC1500" s="42" t="str">
        <f ca="1"/>
        <v/>
      </c>
      <c r="AD1500" s="42" t="str">
        <f ca="1"/>
        <v/>
      </c>
      <c r="AE1500" s="42" t="str">
        <f ca="1"/>
        <v/>
      </c>
      <c r="AF1500" s="42" t="str">
        <f ca="1"/>
        <v/>
      </c>
      <c r="AG1500" s="42" t="str">
        <f ca="1"/>
        <v/>
      </c>
      <c r="AH1500" s="42" t="str">
        <f ca="1"/>
        <v/>
      </c>
      <c r="AI1500" s="42" t="str">
        <f ca="1"/>
        <v/>
      </c>
      <c r="AJ1500" s="42" t="str">
        <f ca="1"/>
        <v/>
      </c>
      <c r="AK1500" s="42" t="str">
        <f ca="1"/>
        <v/>
      </c>
      <c r="AL1500" s="42" t="str">
        <f ca="1"/>
        <v/>
      </c>
      <c r="AM1500" s="42" t="str">
        <f ca="1"/>
        <v/>
      </c>
      <c r="AN1500" s="42" t="str">
        <f ca="1"/>
        <v/>
      </c>
      <c r="AO1500" s="42" t="str">
        <f ca="1"/>
        <v/>
      </c>
      <c r="AP1500" s="42" t="str">
        <f ca="1"/>
        <v/>
      </c>
      <c r="AQ1500" s="42" t="str">
        <f ca="1"/>
        <v/>
      </c>
      <c r="AR1500" s="42" t="str">
        <f ca="1"/>
        <v/>
      </c>
      <c r="AS1500" s="42" t="str">
        <f ca="1"/>
        <v/>
      </c>
      <c r="AT1500" s="42" t="str">
        <f ca="1"/>
        <v/>
      </c>
      <c r="AU1500" s="42" t="str">
        <f ca="1"/>
        <v/>
      </c>
      <c r="AV1500" s="42" t="str">
        <f ca="1"/>
        <v/>
      </c>
      <c r="AW1500" s="42" t="str">
        <f ca="1"/>
        <v/>
      </c>
      <c r="AX1500" s="42" t="str">
        <f ca="1"/>
        <v/>
      </c>
      <c r="AY1500" s="42" t="str">
        <f ca="1"/>
        <v/>
      </c>
      <c r="AZ1500" s="42" t="str">
        <f ca="1"/>
        <v/>
      </c>
      <c r="BA1500" s="42" t="str">
        <f ca="1"/>
        <v/>
      </c>
      <c r="BB1500" s="42" t="str">
        <f ca="1"/>
        <v/>
      </c>
      <c r="BC1500" s="42" t="str">
        <f ca="1"/>
        <v/>
      </c>
      <c r="BD1500" s="42" t="str">
        <f ca="1"/>
        <v/>
      </c>
      <c r="BE1500" s="42" t="str">
        <f ca="1"/>
        <v/>
      </c>
      <c r="BF1500" s="42" t="str">
        <f ca="1"/>
        <v/>
      </c>
      <c r="BG1500" s="42" t="str">
        <f ca="1"/>
        <v/>
      </c>
      <c r="BH1500" s="42" t="str">
        <f ca="1"/>
        <v/>
      </c>
      <c r="BI1500" s="42" t="str">
        <f ca="1"/>
        <v/>
      </c>
      <c r="BJ1500" s="42" t="str">
        <f ca="1"/>
        <v/>
      </c>
      <c r="BK1500" s="42" t="str">
        <f ca="1"/>
        <v/>
      </c>
      <c r="BL1500" s="42" t="str">
        <f ca="1"/>
        <v/>
      </c>
      <c r="BM1500" s="42" t="str">
        <f ca="1"/>
        <v/>
      </c>
      <c r="BN1500" s="42" t="str">
        <f ca="1"/>
        <v/>
      </c>
      <c r="BO1500" s="42" t="str">
        <f ca="1"/>
        <v/>
      </c>
      <c r="BP1500" s="42" t="str">
        <f ca="1"/>
        <v/>
      </c>
      <c r="BQ1500" s="42" t="str">
        <f ca="1"/>
        <v/>
      </c>
      <c r="BR1500" s="42" t="str">
        <f ca="1"/>
        <v/>
      </c>
      <c r="BS1500" s="42" t="str">
        <f ca="1"/>
        <v/>
      </c>
      <c r="BT1500" s="42" t="str">
        <f ca="1"/>
        <v/>
      </c>
      <c r="BU1500" s="42" t="str">
        <f ca="1"/>
        <v/>
      </c>
      <c r="BV1500" s="42" t="str">
        <f ca="1"/>
        <v/>
      </c>
      <c r="BW1500" s="42" t="str">
        <f ca="1"/>
        <v/>
      </c>
      <c r="BX1500" s="42" t="str">
        <f ca="1"/>
        <v/>
      </c>
      <c r="BY1500" s="42" t="str">
        <f ca="1"/>
        <v/>
      </c>
      <c r="BZ1500" s="42" t="str">
        <f ca="1"/>
        <v/>
      </c>
      <c r="CA1500" s="42" t="str">
        <f ca="1"/>
        <v/>
      </c>
      <c r="CB1500" s="42" t="str">
        <f ca="1"/>
        <v/>
      </c>
      <c r="CC1500" s="42" t="str">
        <f ca="1"/>
        <v/>
      </c>
      <c r="CD1500" s="42" t="str">
        <f ca="1"/>
        <v/>
      </c>
      <c r="CE1500" s="42" t="str">
        <f ca="1"/>
        <v/>
      </c>
      <c r="CF1500" s="42" t="str">
        <f ca="1"/>
        <v/>
      </c>
      <c r="CG1500" s="42" t="str">
        <f ca="1"/>
        <v/>
      </c>
      <c r="CH1500" s="42" t="str">
        <f ca="1"/>
        <v/>
      </c>
      <c r="CI1500" s="42" t="str">
        <f ca="1"/>
        <v/>
      </c>
      <c r="CJ1500" s="42" t="str">
        <f ca="1"/>
        <v/>
      </c>
      <c r="CK1500" s="42" t="str">
        <f ca="1"/>
        <v/>
      </c>
      <c r="CL1500" s="42" t="str">
        <f ca="1"/>
        <v/>
      </c>
      <c r="CM1500" s="42" t="str">
        <f ca="1"/>
        <v/>
      </c>
      <c r="CN1500" s="42" t="str">
        <f ca="1"/>
        <v/>
      </c>
      <c r="CO1500" s="42" t="str">
        <f ca="1"/>
        <v/>
      </c>
      <c r="CP1500" s="42" t="str">
        <f ca="1"/>
        <v/>
      </c>
      <c r="CQ1500" s="42" t="str">
        <f ca="1"/>
        <v/>
      </c>
      <c r="CR1500" s="42" t="str">
        <f ca="1"/>
        <v/>
      </c>
      <c r="CS1500" s="42" t="str">
        <f ca="1"/>
        <v/>
      </c>
      <c r="CT1500" s="42" t="str">
        <f ca="1"/>
        <v/>
      </c>
      <c r="CU1500" s="42" t="str">
        <f ca="1"/>
        <v/>
      </c>
      <c r="CV1500" s="42" t="str">
        <f ca="1"/>
        <v/>
      </c>
      <c r="CW1500" s="42" t="str">
        <f ca="1"/>
        <v/>
      </c>
      <c r="CX1500" s="42" t="str">
        <f ca="1"/>
        <v/>
      </c>
      <c r="CY1500" s="42" t="str">
        <f ca="1"/>
        <v/>
      </c>
      <c r="CZ1500" s="42" t="str">
        <f ca="1"/>
        <v/>
      </c>
      <c r="DA1500" s="42" t="str">
        <f ca="1"/>
        <v/>
      </c>
      <c r="DB1500" s="42" t="str">
        <f ca="1"/>
        <v/>
      </c>
      <c r="DC1500" s="42" t="str">
        <f ca="1"/>
        <v/>
      </c>
      <c r="DD1500" s="42" t="str">
        <f ca="1"/>
        <v/>
      </c>
      <c r="DE1500" s="42" t="str">
        <f ca="1"/>
        <v/>
      </c>
      <c r="DF1500" s="42" t="str">
        <f ca="1"/>
        <v/>
      </c>
      <c r="DG1500" s="42" t="str">
        <f ca="1"/>
        <v/>
      </c>
      <c r="DH1500" s="42" t="str">
        <f ca="1"/>
        <v/>
      </c>
      <c r="DI1500" s="42" t="str">
        <f ca="1"/>
        <v/>
      </c>
      <c r="DJ1500" s="42" t="str">
        <f ca="1"/>
        <v/>
      </c>
      <c r="DK1500" s="42" t="str">
        <f ca="1"/>
        <v/>
      </c>
      <c r="DL1500" s="42" t="str">
        <f ca="1"/>
        <v/>
      </c>
      <c r="DM1500" s="42" t="str">
        <f ca="1"/>
        <v/>
      </c>
      <c r="DN1500" s="42" t="str">
        <f ca="1"/>
        <v/>
      </c>
      <c r="DO1500" s="42" t="str">
        <f ca="1"/>
        <v/>
      </c>
      <c r="DP1500" s="42" t="str">
        <f ca="1"/>
        <v/>
      </c>
      <c r="DQ1500" s="42" t="str">
        <f ca="1"/>
        <v/>
      </c>
      <c r="DR1500" s="42" t="str">
        <f ca="1"/>
        <v/>
      </c>
      <c r="DS1500" s="42" t="str">
        <f ca="1"/>
        <v/>
      </c>
      <c r="DT1500" s="42" t="str">
        <f ca="1"/>
        <v/>
      </c>
      <c r="DU1500" s="42" t="str">
        <f ca="1"/>
        <v/>
      </c>
      <c r="DV1500" s="42" t="str">
        <f ca="1"/>
        <v/>
      </c>
      <c r="DW1500" s="42" t="str">
        <f ca="1"/>
        <v/>
      </c>
      <c r="DX1500" s="42" t="str">
        <f ca="1"/>
        <v/>
      </c>
      <c r="DY1500" s="42" t="str">
        <f ca="1"/>
        <v/>
      </c>
      <c r="DZ1500" s="42" t="str">
        <f ca="1"/>
        <v/>
      </c>
      <c r="EA1500" s="42" t="str">
        <f ca="1"/>
        <v/>
      </c>
      <c r="EB1500" s="42" t="str">
        <f ca="1"/>
        <v/>
      </c>
      <c r="EC1500" s="42" t="str">
        <f ca="1"/>
        <v/>
      </c>
      <c r="ED1500" s="42" t="str">
        <f ca="1"/>
        <v/>
      </c>
      <c r="EE1500" s="42" t="str">
        <f ca="1"/>
        <v/>
      </c>
      <c r="EF1500" s="42" t="str">
        <f ca="1"/>
        <v/>
      </c>
      <c r="EG1500" s="42" t="str">
        <f ca="1"/>
        <v/>
      </c>
      <c r="EH1500" s="42" t="str">
        <f ca="1"/>
        <v/>
      </c>
      <c r="EI1500" s="42" t="str">
        <f ca="1"/>
        <v/>
      </c>
      <c r="EJ1500" s="42" t="str">
        <f ca="1"/>
        <v/>
      </c>
      <c r="EK1500" s="42" t="str">
        <f ca="1"/>
        <v/>
      </c>
      <c r="EL1500" s="42" t="str">
        <f ca="1"/>
        <v/>
      </c>
      <c r="EM1500" s="42" t="str">
        <f ca="1"/>
        <v/>
      </c>
      <c r="EN1500" s="42" t="str">
        <f ca="1"/>
        <v/>
      </c>
      <c r="EO1500" s="42" t="str">
        <f ca="1"/>
        <v/>
      </c>
      <c r="EP1500" s="42" t="str">
        <f ca="1"/>
        <v/>
      </c>
      <c r="EQ1500" s="42" t="str">
        <f ca="1"/>
        <v/>
      </c>
      <c r="ER1500" s="42" t="str">
        <f ca="1"/>
        <v/>
      </c>
      <c r="ES1500" s="42" t="str">
        <f ca="1"/>
        <v/>
      </c>
      <c r="ET1500" s="42" t="str">
        <f ca="1"/>
        <v/>
      </c>
      <c r="EU1500" s="42" t="str">
        <f ca="1"/>
        <v/>
      </c>
      <c r="EV1500" s="42" t="str">
        <f ca="1"/>
        <v/>
      </c>
      <c r="EW1500" s="42" t="str">
        <f ca="1"/>
        <v/>
      </c>
      <c r="EX1500" s="42" t="str">
        <f ca="1"/>
        <v/>
      </c>
      <c r="EY1500" s="42" t="str">
        <f ca="1"/>
        <v/>
      </c>
      <c r="EZ1500" s="42" t="str">
        <f ca="1"/>
        <v/>
      </c>
      <c r="FA1500" s="42" t="str">
        <f ca="1"/>
        <v/>
      </c>
      <c r="FB1500" s="42" t="str">
        <f ca="1"/>
        <v/>
      </c>
      <c r="FC1500" s="42" t="str">
        <f ca="1"/>
        <v/>
      </c>
      <c r="FD1500" s="42" t="str">
        <f ca="1"/>
        <v/>
      </c>
      <c r="FE1500" s="42" t="str">
        <f ca="1"/>
        <v/>
      </c>
      <c r="FF1500" s="42" t="str">
        <f ca="1"/>
        <v/>
      </c>
      <c r="FG1500" s="42" t="str">
        <f ca="1"/>
        <v/>
      </c>
      <c r="FH1500" s="42" t="str">
        <f ca="1"/>
        <v/>
      </c>
      <c r="FI1500" s="42" t="str">
        <f ca="1"/>
        <v/>
      </c>
      <c r="FJ1500" s="42" t="str">
        <f ca="1"/>
        <v/>
      </c>
      <c r="FK1500" s="42" t="str">
        <f ca="1"/>
        <v/>
      </c>
      <c r="FL1500" s="42" t="str">
        <f ca="1"/>
        <v/>
      </c>
      <c r="FM1500" s="42" t="str">
        <f ca="1"/>
        <v/>
      </c>
      <c r="FN1500" s="42" t="str">
        <f ca="1"/>
        <v/>
      </c>
      <c r="FO1500" s="42" t="str">
        <f ca="1"/>
        <v/>
      </c>
      <c r="FP1500" s="42" t="str">
        <f ca="1"/>
        <v/>
      </c>
      <c r="FQ1500" s="42" t="str">
        <f ca="1"/>
        <v/>
      </c>
      <c r="FR1500" s="42" t="str">
        <f ca="1"/>
        <v/>
      </c>
      <c r="FS1500" s="42" t="str">
        <f ca="1"/>
        <v/>
      </c>
      <c r="FT1500" s="42" t="str">
        <f ca="1"/>
        <v/>
      </c>
      <c r="FU1500" s="42" t="str">
        <f ca="1"/>
        <v/>
      </c>
      <c r="FV1500" s="42" t="str">
        <f ca="1"/>
        <v/>
      </c>
      <c r="FW1500" s="42" t="str">
        <f ca="1"/>
        <v/>
      </c>
      <c r="FX1500" s="42" t="str">
        <f ca="1"/>
        <v/>
      </c>
      <c r="FY1500" s="42" t="str">
        <f ca="1"/>
        <v/>
      </c>
      <c r="FZ1500" s="42" t="str">
        <f ca="1"/>
        <v/>
      </c>
      <c r="GA1500" s="42" t="str">
        <f ca="1"/>
        <v/>
      </c>
      <c r="GB1500" s="42" t="str">
        <f ca="1"/>
        <v/>
      </c>
      <c r="GC1500" s="42" t="str">
        <f ca="1"/>
        <v/>
      </c>
      <c r="GD1500" s="42" t="str">
        <f ca="1"/>
        <v/>
      </c>
      <c r="GE1500" s="42" t="str">
        <f ca="1"/>
        <v/>
      </c>
      <c r="GF1500" s="42" t="str">
        <f ca="1"/>
        <v/>
      </c>
      <c r="GG1500" s="42" t="str">
        <f ca="1"/>
        <v/>
      </c>
      <c r="GH1500" s="42" t="str">
        <f ca="1"/>
        <v/>
      </c>
      <c r="GI1500" s="42" t="str">
        <f ca="1"/>
        <v/>
      </c>
      <c r="GJ1500" s="42" t="str">
        <f ca="1"/>
        <v/>
      </c>
      <c r="GK1500" s="42" t="str">
        <f ca="1"/>
        <v/>
      </c>
      <c r="GL1500" s="42" t="str">
        <f ca="1"/>
        <v/>
      </c>
      <c r="GM1500" s="42" t="str">
        <f ca="1"/>
        <v/>
      </c>
      <c r="GN1500" s="42" t="str">
        <f ca="1"/>
        <v/>
      </c>
      <c r="GO1500" s="42" t="str">
        <f ca="1"/>
        <v/>
      </c>
      <c r="GP1500" s="42" t="str">
        <f ca="1"/>
        <v/>
      </c>
      <c r="GQ1500" s="42" t="str">
        <f ca="1"/>
        <v/>
      </c>
      <c r="GR1500" s="42" t="str">
        <f ca="1"/>
        <v/>
      </c>
      <c r="GS1500" s="42" t="str">
        <f ca="1"/>
        <v/>
      </c>
      <c r="GT1500" s="42" t="str">
        <f ca="1"/>
        <v/>
      </c>
      <c r="GU1500" s="42" t="str">
        <f ca="1"/>
        <v/>
      </c>
      <c r="GV1500" s="42" t="str">
        <f ca="1"/>
        <v/>
      </c>
      <c r="GW1500" s="42" t="str">
        <f ca="1"/>
        <v/>
      </c>
      <c r="GX1500" s="42" t="str">
        <f ca="1"/>
        <v/>
      </c>
      <c r="GY1500" s="42" t="str">
        <f ca="1"/>
        <v/>
      </c>
      <c r="GZ1500" s="42" t="str">
        <f ca="1"/>
        <v/>
      </c>
      <c r="HA1500" s="42" t="str">
        <f ca="1"/>
        <v/>
      </c>
      <c r="HB1500" s="42" t="str">
        <f ca="1"/>
        <v/>
      </c>
      <c r="HC1500" s="42" t="str">
        <f ca="1"/>
        <v/>
      </c>
      <c r="HD1500" s="42" t="str">
        <f ca="1"/>
        <v/>
      </c>
      <c r="HE1500" s="42" t="str">
        <f ca="1"/>
        <v/>
      </c>
      <c r="HF1500" s="42" t="str">
        <f ca="1"/>
        <v/>
      </c>
      <c r="HG1500" s="42" t="str">
        <f ca="1"/>
        <v/>
      </c>
      <c r="HH1500" s="42" t="str">
        <f ca="1"/>
        <v/>
      </c>
      <c r="HI1500" s="42" t="str">
        <f ca="1"/>
        <v/>
      </c>
      <c r="HJ1500" s="42" t="str">
        <f ca="1"/>
        <v/>
      </c>
      <c r="HK1500" s="42" t="str">
        <f ca="1"/>
        <v/>
      </c>
      <c r="HL1500" s="42" t="str">
        <f ca="1"/>
        <v/>
      </c>
      <c r="HM1500" s="42" t="str">
        <f ca="1"/>
        <v/>
      </c>
      <c r="HN1500" s="42" t="str">
        <f ca="1"/>
        <v/>
      </c>
      <c r="HO1500" s="42" t="str">
        <f ca="1"/>
        <v/>
      </c>
      <c r="HP1500" s="42" t="str">
        <f ca="1"/>
        <v/>
      </c>
      <c r="HQ1500" s="42" t="str">
        <f ca="1"/>
        <v/>
      </c>
      <c r="HR1500" s="42" t="str">
        <f ca="1"/>
        <v/>
      </c>
      <c r="HS1500" s="42" t="str">
        <f ca="1"/>
        <v/>
      </c>
      <c r="HT1500" s="42" t="str">
        <f ca="1"/>
        <v/>
      </c>
      <c r="HU1500" s="42" t="str">
        <f ca="1"/>
        <v/>
      </c>
      <c r="HV1500" s="42" t="str">
        <f ca="1"/>
        <v/>
      </c>
      <c r="HW1500" s="42" t="str">
        <f ca="1"/>
        <v/>
      </c>
      <c r="HX1500" s="42" t="str">
        <f ca="1"/>
        <v/>
      </c>
      <c r="HY1500" s="42" t="str">
        <f ca="1"/>
        <v/>
      </c>
      <c r="HZ1500" s="42" t="str">
        <f ca="1"/>
        <v/>
      </c>
      <c r="IA1500" s="42" t="str">
        <f ca="1"/>
        <v/>
      </c>
      <c r="IB1500" s="42" t="str">
        <f ca="1"/>
        <v/>
      </c>
      <c r="IC1500" s="42" t="str">
        <f ca="1"/>
        <v/>
      </c>
      <c r="ID1500" s="42" t="str">
        <f ca="1"/>
        <v/>
      </c>
      <c r="IE1500" s="42" t="str">
        <f ca="1"/>
        <v/>
      </c>
      <c r="IF1500" s="42" t="str">
        <f ca="1"/>
        <v/>
      </c>
      <c r="IG1500" s="42" t="str">
        <f ca="1"/>
        <v/>
      </c>
      <c r="IH1500" s="42" t="str">
        <f ca="1"/>
        <v/>
      </c>
      <c r="II1500" s="42" t="str">
        <f ca="1"/>
        <v/>
      </c>
      <c r="IJ1500" s="42" t="str">
        <f ca="1"/>
        <v/>
      </c>
      <c r="IK1500" s="42" t="str">
        <f ca="1"/>
        <v/>
      </c>
      <c r="IL1500" s="42" t="str">
        <f ca="1"/>
        <v/>
      </c>
      <c r="IM1500" s="42" t="str">
        <f ca="1"/>
        <v/>
      </c>
      <c r="IN1500" s="42" t="str">
        <f ca="1"/>
        <v/>
      </c>
      <c r="IO1500" s="42" t="str">
        <f ca="1"/>
        <v/>
      </c>
      <c r="IP1500" s="42" t="str">
        <f ca="1"/>
        <v/>
      </c>
      <c r="IQ1500" s="42" t="str">
        <f ca="1"/>
        <v/>
      </c>
      <c r="IR1500" s="42" t="str">
        <f ca="1"/>
        <v/>
      </c>
      <c r="IS1500" s="42" t="str">
        <f ca="1"/>
        <v/>
      </c>
      <c r="IT1500" s="42" t="str">
        <f ca="1"/>
        <v/>
      </c>
      <c r="IU1500" s="42" t="str">
        <f ca="1"/>
        <v/>
      </c>
      <c r="IV1500" s="42" t="str">
        <f ca="1"/>
        <v/>
      </c>
      <c r="IW1500" s="42" t="str">
        <f ca="1"/>
        <v/>
      </c>
      <c r="IX1500" s="42" t="str">
        <f ca="1"/>
        <v/>
      </c>
      <c r="IY1500" s="42" t="str">
        <f ca="1"/>
        <v/>
      </c>
      <c r="IZ1500" s="42" t="str">
        <f ca="1"/>
        <v/>
      </c>
      <c r="JA1500" s="42" t="str">
        <f ca="1"/>
        <v/>
      </c>
      <c r="JB1500" s="42" t="str">
        <f ca="1"/>
        <v/>
      </c>
      <c r="JC1500" s="42" t="str">
        <f ca="1"/>
        <v/>
      </c>
      <c r="JD1500" s="42" t="str">
        <f ca="1"/>
        <v/>
      </c>
      <c r="JE1500" s="42" t="str">
        <f ca="1"/>
        <v/>
      </c>
      <c r="JF1500" s="42" t="str">
        <f ca="1"/>
        <v/>
      </c>
      <c r="JG1500" s="42" t="str">
        <f ca="1"/>
        <v/>
      </c>
      <c r="JH1500" s="42" t="str">
        <f ca="1"/>
        <v/>
      </c>
      <c r="JI1500" s="42" t="str">
        <f ca="1"/>
        <v/>
      </c>
      <c r="JJ1500" s="42" t="str">
        <f ca="1"/>
        <v/>
      </c>
      <c r="JK1500" s="42" t="str">
        <f ca="1"/>
        <v/>
      </c>
      <c r="JL1500" s="42" t="str">
        <f ca="1"/>
        <v/>
      </c>
      <c r="JM1500" s="42" t="str">
        <f ca="1"/>
        <v/>
      </c>
      <c r="JN1500" s="42" t="str">
        <f ca="1"/>
        <v/>
      </c>
      <c r="JO1500" s="42" t="str">
        <f ca="1"/>
        <v/>
      </c>
      <c r="JP1500" s="42" t="str">
        <f ca="1"/>
        <v/>
      </c>
      <c r="JQ1500" s="42" t="str">
        <f ca="1"/>
        <v/>
      </c>
      <c r="JR1500" s="42" t="str">
        <f ca="1"/>
        <v/>
      </c>
      <c r="JS1500" s="42" t="str">
        <f ca="1"/>
        <v/>
      </c>
      <c r="JT1500" s="42" t="str">
        <f ca="1"/>
        <v/>
      </c>
      <c r="JU1500" s="42" t="str">
        <f ca="1"/>
        <v/>
      </c>
      <c r="JV1500" s="42" t="str">
        <f ca="1"/>
        <v/>
      </c>
      <c r="JW1500" s="42" t="str">
        <f ca="1"/>
        <v/>
      </c>
      <c r="JX1500" s="42" t="str">
        <f ca="1"/>
        <v/>
      </c>
      <c r="JY1500" s="42" t="str">
        <f ca="1"/>
        <v/>
      </c>
      <c r="JZ1500" s="42" t="str">
        <f ca="1"/>
        <v/>
      </c>
      <c r="KA1500" s="42" t="str">
        <f ca="1"/>
        <v/>
      </c>
      <c r="KB1500" s="42" t="str">
        <f ca="1"/>
        <v/>
      </c>
      <c r="KC1500" s="42" t="str">
        <f ca="1"/>
        <v/>
      </c>
      <c r="KD1500" s="42" t="str">
        <f ca="1"/>
        <v/>
      </c>
      <c r="KE1500" s="42" t="str">
        <f ca="1"/>
        <v/>
      </c>
      <c r="KF1500" s="42" t="str">
        <f ca="1"/>
        <v/>
      </c>
      <c r="KG1500" s="42" t="str">
        <f ca="1"/>
        <v/>
      </c>
      <c r="KH1500" s="42" t="str">
        <f ca="1"/>
        <v/>
      </c>
      <c r="KI1500" s="42" t="str">
        <f ca="1"/>
        <v/>
      </c>
      <c r="KJ1500" s="42" t="str">
        <f ca="1"/>
        <v/>
      </c>
      <c r="KK1500" s="42" t="str">
        <f ca="1"/>
        <v/>
      </c>
      <c r="KL1500" s="42" t="str">
        <f ca="1"/>
        <v/>
      </c>
      <c r="KM1500" s="42" t="str">
        <f ca="1"/>
        <v/>
      </c>
      <c r="KN1500" s="42" t="str">
        <f ca="1"/>
        <v/>
      </c>
      <c r="KO1500" s="42" t="str">
        <f ca="1"/>
        <v/>
      </c>
      <c r="KP1500" s="42" t="str">
        <f ca="1"/>
        <v/>
      </c>
      <c r="KQ1500" s="42" t="str">
        <f ca="1"/>
        <v/>
      </c>
      <c r="KR1500" s="42" t="str">
        <f ca="1"/>
        <v/>
      </c>
      <c r="KS1500" s="42" t="str">
        <f ca="1"/>
        <v/>
      </c>
      <c r="KT1500" s="42" t="str">
        <f ca="1"/>
        <v/>
      </c>
      <c r="KU1500" s="42" t="str">
        <f ca="1"/>
        <v/>
      </c>
      <c r="KV1500" s="42" t="str">
        <f ca="1"/>
        <v/>
      </c>
      <c r="KW1500" s="42" t="str">
        <f ca="1"/>
        <v/>
      </c>
      <c r="KX1500" s="42" t="str">
        <f ca="1"/>
        <v/>
      </c>
      <c r="KY1500" s="42" t="str">
        <f ca="1"/>
        <v/>
      </c>
      <c r="KZ1500" s="42" t="str">
        <f ca="1"/>
        <v/>
      </c>
      <c r="LA1500" s="42" t="str">
        <f ca="1"/>
        <v/>
      </c>
      <c r="LB1500" s="42" t="str">
        <f ca="1"/>
        <v/>
      </c>
      <c r="LC1500" s="42" t="str">
        <f ca="1"/>
        <v/>
      </c>
      <c r="LD1500" s="42" t="str">
        <f ca="1"/>
        <v/>
      </c>
      <c r="LE1500" s="42" t="str">
        <f ca="1"/>
        <v/>
      </c>
      <c r="LF1500" s="42" t="str">
        <f ca="1"/>
        <v/>
      </c>
      <c r="LG1500" s="42" t="str">
        <f ca="1"/>
        <v/>
      </c>
      <c r="LH1500" s="42" t="str">
        <f ca="1"/>
        <v/>
      </c>
      <c r="LI1500" s="42" t="str">
        <f ca="1"/>
        <v/>
      </c>
      <c r="LJ1500" s="42" t="str">
        <f ca="1"/>
        <v/>
      </c>
      <c r="LK1500" s="42" t="str">
        <f ca="1"/>
        <v/>
      </c>
      <c r="LL1500" s="42" t="str">
        <f ca="1"/>
        <v/>
      </c>
      <c r="LM1500" s="42" t="str">
        <f ca="1"/>
        <v/>
      </c>
      <c r="LN1500" s="42" t="str">
        <f ca="1"/>
        <v/>
      </c>
      <c r="LO1500" s="42" t="str">
        <f ca="1"/>
        <v/>
      </c>
      <c r="LP1500" s="42" t="str">
        <f ca="1"/>
        <v/>
      </c>
      <c r="LQ1500" s="42" t="str">
        <f ca="1"/>
        <v/>
      </c>
      <c r="LR1500" s="42" t="str">
        <f ca="1"/>
        <v/>
      </c>
      <c r="LS1500" s="42" t="str">
        <f ca="1"/>
        <v/>
      </c>
      <c r="LT1500" s="42" t="str">
        <f ca="1"/>
        <v/>
      </c>
      <c r="LU1500" s="42" t="str">
        <f ca="1"/>
        <v/>
      </c>
      <c r="LV1500" s="42" t="str">
        <f ca="1"/>
        <v/>
      </c>
      <c r="LW1500" s="42" t="str">
        <f ca="1"/>
        <v/>
      </c>
      <c r="LX1500" s="42" t="str">
        <f ca="1"/>
        <v/>
      </c>
      <c r="LY1500" s="42" t="str">
        <f ca="1"/>
        <v/>
      </c>
      <c r="LZ1500" s="42" t="str">
        <f ca="1"/>
        <v/>
      </c>
      <c r="MA1500" s="42" t="str">
        <f ca="1"/>
        <v/>
      </c>
      <c r="MB1500" s="42" t="str">
        <f ca="1"/>
        <v/>
      </c>
      <c r="MC1500" s="42" t="str">
        <f ca="1"/>
        <v/>
      </c>
      <c r="MD1500" s="42" t="str">
        <f ca="1"/>
        <v/>
      </c>
      <c r="ME1500" s="42" t="str">
        <f ca="1"/>
        <v/>
      </c>
      <c r="MF1500" s="42" t="str">
        <f ca="1"/>
        <v/>
      </c>
      <c r="MG1500" s="42" t="str">
        <f ca="1"/>
        <v/>
      </c>
      <c r="MH1500" s="42" t="str">
        <f ca="1"/>
        <v/>
      </c>
      <c r="MI1500" s="42" t="str">
        <f ca="1"/>
        <v/>
      </c>
      <c r="MJ1500" s="42" t="str">
        <f ca="1"/>
        <v/>
      </c>
      <c r="MK1500" s="42" t="str">
        <f ca="1"/>
        <v/>
      </c>
      <c r="ML1500" s="42" t="str">
        <f ca="1"/>
        <v/>
      </c>
      <c r="MM1500" s="42" t="str">
        <f ca="1"/>
        <v/>
      </c>
      <c r="MN1500" s="42" t="str">
        <f ca="1"/>
        <v/>
      </c>
      <c r="MO1500" s="42" t="str">
        <f ca="1"/>
        <v/>
      </c>
      <c r="MP1500" s="42" t="str">
        <f ca="1"/>
        <v/>
      </c>
      <c r="MQ1500" s="42" t="str">
        <f ca="1"/>
        <v/>
      </c>
      <c r="MR1500" s="42" t="str">
        <f ca="1"/>
        <v/>
      </c>
      <c r="MS1500" s="42" t="str">
        <f ca="1"/>
        <v/>
      </c>
      <c r="MT1500" s="42" t="str">
        <f ca="1"/>
        <v/>
      </c>
      <c r="MU1500" s="42" t="str">
        <f ca="1"/>
        <v/>
      </c>
      <c r="MV1500" s="42" t="str">
        <f ca="1"/>
        <v/>
      </c>
      <c r="MW1500" s="42" t="str">
        <f ca="1"/>
        <v/>
      </c>
      <c r="MX1500" s="42" t="str">
        <f ca="1"/>
        <v/>
      </c>
      <c r="MY1500" s="42" t="str">
        <f ca="1"/>
        <v/>
      </c>
      <c r="MZ1500" s="42" t="str">
        <f ca="1"/>
        <v/>
      </c>
      <c r="NA1500" s="42" t="str">
        <f ca="1"/>
        <v/>
      </c>
      <c r="NB1500" s="42" t="str">
        <f ca="1"/>
        <v/>
      </c>
      <c r="NC1500" s="42" t="str">
        <f ca="1"/>
        <v/>
      </c>
      <c r="ND1500" s="42" t="str">
        <f ca="1"/>
        <v/>
      </c>
      <c r="NE1500" s="42" t="str">
        <f ca="1"/>
        <v/>
      </c>
      <c r="NF1500" s="42" t="str">
        <f ca="1"/>
        <v/>
      </c>
      <c r="NG1500" s="42" t="str">
        <f ca="1"/>
        <v/>
      </c>
      <c r="NH1500" s="42" t="str">
        <f ca="1"/>
        <v/>
      </c>
      <c r="NI1500" s="42" t="str">
        <f ca="1"/>
        <v/>
      </c>
      <c r="NJ1500" s="42" t="str">
        <f ca="1"/>
        <v/>
      </c>
      <c r="NK1500" s="42" t="str">
        <f ca="1"/>
        <v/>
      </c>
      <c r="NL1500" s="42" t="str">
        <f ca="1"/>
        <v/>
      </c>
      <c r="NM1500" s="42" t="str">
        <f ca="1"/>
        <v/>
      </c>
      <c r="NN1500" s="42" t="str">
        <f ca="1"/>
        <v/>
      </c>
      <c r="NO1500" s="42" t="str">
        <f ca="1"/>
        <v/>
      </c>
      <c r="NP1500" s="42" t="str">
        <f ca="1"/>
        <v/>
      </c>
      <c r="NQ1500" s="42" t="str">
        <f ca="1"/>
        <v/>
      </c>
      <c r="NR1500" s="42" t="str">
        <f ca="1"/>
        <v/>
      </c>
      <c r="NS1500" s="42" t="str">
        <f ca="1"/>
        <v/>
      </c>
      <c r="NT1500" s="42" t="str">
        <f ca="1"/>
        <v/>
      </c>
      <c r="NU1500" s="42" t="str">
        <f ca="1"/>
        <v/>
      </c>
      <c r="NV1500" s="42" t="str">
        <f ca="1"/>
        <v/>
      </c>
      <c r="NW1500" s="42" t="str">
        <f ca="1"/>
        <v/>
      </c>
      <c r="NX1500" s="42" t="str">
        <f ca="1"/>
        <v/>
      </c>
      <c r="NY1500" s="42" t="str">
        <f ca="1"/>
        <v/>
      </c>
      <c r="NZ1500" s="42" t="str">
        <f ca="1"/>
        <v/>
      </c>
      <c r="OA1500" s="42" t="str">
        <f ca="1"/>
        <v/>
      </c>
      <c r="OB1500" s="42" t="str">
        <f ca="1"/>
        <v/>
      </c>
      <c r="OC1500" s="42" t="str">
        <f ca="1"/>
        <v/>
      </c>
      <c r="OD1500" s="42" t="str">
        <f ca="1"/>
        <v/>
      </c>
      <c r="OE1500" s="42" t="str">
        <f ca="1"/>
        <v/>
      </c>
      <c r="OF1500" s="42" t="str">
        <f ca="1"/>
        <v/>
      </c>
      <c r="OG1500" s="42" t="str">
        <f ca="1"/>
        <v/>
      </c>
      <c r="OH1500" s="42" t="str">
        <f ca="1"/>
        <v/>
      </c>
      <c r="OI1500" s="42" t="str">
        <f ca="1"/>
        <v/>
      </c>
      <c r="OJ1500" s="42" t="str">
        <f ca="1"/>
        <v/>
      </c>
      <c r="OK1500" s="42" t="str">
        <f ca="1"/>
        <v/>
      </c>
      <c r="OL1500" s="42" t="str">
        <f ca="1"/>
        <v/>
      </c>
      <c r="OM1500" s="42" t="str">
        <f ca="1"/>
        <v/>
      </c>
      <c r="ON1500" s="42" t="str">
        <f ca="1"/>
        <v/>
      </c>
      <c r="OO1500" s="42" t="str">
        <f ca="1"/>
        <v/>
      </c>
      <c r="OP1500" s="42" t="str">
        <f ca="1"/>
        <v/>
      </c>
      <c r="OQ1500" s="42" t="str">
        <f ca="1"/>
        <v/>
      </c>
      <c r="OR1500" s="42" t="str">
        <f ca="1"/>
        <v/>
      </c>
      <c r="OS1500" s="42" t="str">
        <f ca="1"/>
        <v/>
      </c>
      <c r="OT1500" s="42" t="str">
        <f ca="1"/>
        <v/>
      </c>
      <c r="OU1500" s="42" t="str">
        <f ca="1"/>
        <v/>
      </c>
      <c r="OV1500" s="42" t="str">
        <f ca="1"/>
        <v/>
      </c>
      <c r="OW1500" s="42" t="str">
        <f ca="1"/>
        <v/>
      </c>
      <c r="OX1500" s="42" t="str">
        <f ca="1"/>
        <v/>
      </c>
      <c r="OY1500" s="42" t="str">
        <f ca="1"/>
        <v/>
      </c>
      <c r="OZ1500" s="42" t="str">
        <f ca="1"/>
        <v/>
      </c>
      <c r="PA1500" s="42" t="str">
        <f ca="1"/>
        <v/>
      </c>
      <c r="PB1500" s="42" t="str">
        <f ca="1"/>
        <v/>
      </c>
      <c r="PC1500" s="42" t="str">
        <f ca="1"/>
        <v/>
      </c>
      <c r="PD1500" s="42" t="str">
        <f ca="1"/>
        <v/>
      </c>
      <c r="PE1500" s="42" t="str">
        <f ca="1"/>
        <v/>
      </c>
      <c r="PF1500" s="42" t="str">
        <f ca="1"/>
        <v/>
      </c>
      <c r="PG1500" s="42" t="str">
        <f ca="1"/>
        <v/>
      </c>
      <c r="PH1500" s="42" t="str">
        <f ca="1"/>
        <v/>
      </c>
      <c r="PI1500" s="42" t="str">
        <f ca="1"/>
        <v/>
      </c>
      <c r="PJ1500" s="42" t="str">
        <f ca="1"/>
        <v/>
      </c>
      <c r="PK1500" s="42" t="str">
        <f ca="1"/>
        <v/>
      </c>
      <c r="PL1500" s="42" t="str">
        <f ca="1"/>
        <v/>
      </c>
      <c r="PM1500" s="42" t="str">
        <f ca="1"/>
        <v/>
      </c>
      <c r="PN1500" s="42" t="str">
        <f ca="1"/>
        <v/>
      </c>
      <c r="PO1500" s="42" t="str">
        <f ca="1"/>
        <v/>
      </c>
      <c r="PP1500" s="42" t="str">
        <f ca="1"/>
        <v/>
      </c>
      <c r="PQ1500" s="42" t="str">
        <f ca="1"/>
        <v/>
      </c>
      <c r="PR1500" s="42" t="str">
        <f ca="1"/>
        <v/>
      </c>
      <c r="PS1500" s="42" t="str">
        <f ca="1"/>
        <v/>
      </c>
      <c r="PT1500" s="42" t="str">
        <f ca="1"/>
        <v/>
      </c>
      <c r="PU1500" s="42" t="str">
        <f ca="1"/>
        <v/>
      </c>
      <c r="PV1500" s="42" t="str">
        <f ca="1"/>
        <v/>
      </c>
      <c r="PW1500" s="42" t="str">
        <f ca="1"/>
        <v/>
      </c>
      <c r="PX1500" s="42" t="str">
        <f ca="1"/>
        <v/>
      </c>
      <c r="PY1500" s="42" t="str">
        <f ca="1"/>
        <v/>
      </c>
      <c r="PZ1500" s="42" t="str">
        <f ca="1"/>
        <v/>
      </c>
      <c r="QA1500" s="42" t="str">
        <f ca="1"/>
        <v/>
      </c>
      <c r="QB1500" s="42" t="str">
        <f ca="1"/>
        <v/>
      </c>
      <c r="QC1500" s="42" t="str">
        <f ca="1"/>
        <v/>
      </c>
      <c r="QD1500" s="42" t="str">
        <f ca="1"/>
        <v/>
      </c>
      <c r="QE1500" s="42" t="str">
        <f ca="1"/>
        <v/>
      </c>
      <c r="QF1500" s="42" t="str">
        <f ca="1"/>
        <v/>
      </c>
      <c r="QG1500" s="42" t="str">
        <f ca="1"/>
        <v/>
      </c>
      <c r="QH1500" s="42" t="str">
        <f ca="1"/>
        <v/>
      </c>
      <c r="QI1500" s="42" t="str">
        <f ca="1"/>
        <v/>
      </c>
      <c r="QJ1500" s="42" t="str">
        <f ca="1"/>
        <v/>
      </c>
      <c r="QK1500" s="42" t="str">
        <f ca="1"/>
        <v/>
      </c>
      <c r="QL1500" s="42" t="str">
        <f ca="1"/>
        <v/>
      </c>
      <c r="QM1500" s="42" t="str">
        <f ca="1"/>
        <v/>
      </c>
      <c r="QN1500" s="42" t="str">
        <f ca="1"/>
        <v/>
      </c>
      <c r="QO1500" s="42" t="str">
        <f ca="1"/>
        <v/>
      </c>
      <c r="QP1500" s="42" t="str">
        <f ca="1"/>
        <v/>
      </c>
      <c r="QQ1500" s="42" t="str">
        <f ca="1"/>
        <v/>
      </c>
      <c r="QR1500" s="42" t="str">
        <f ca="1"/>
        <v/>
      </c>
      <c r="QS1500" s="42" t="str">
        <f ca="1"/>
        <v/>
      </c>
      <c r="QT1500" s="42" t="str">
        <f ca="1"/>
        <v/>
      </c>
      <c r="QU1500" s="42" t="str">
        <f ca="1"/>
        <v/>
      </c>
      <c r="QV1500" s="42" t="str">
        <f ca="1"/>
        <v/>
      </c>
      <c r="QW1500" s="42" t="str">
        <f ca="1"/>
        <v/>
      </c>
      <c r="QX1500" s="42" t="str">
        <f ca="1"/>
        <v/>
      </c>
      <c r="QY1500" s="42" t="str">
        <f ca="1"/>
        <v/>
      </c>
      <c r="QZ1500" s="42" t="str">
        <f ca="1"/>
        <v/>
      </c>
      <c r="RA1500" s="42" t="str">
        <f ca="1"/>
        <v/>
      </c>
      <c r="RB1500" s="42" t="str">
        <f ca="1"/>
        <v/>
      </c>
      <c r="RC1500" s="42" t="str">
        <f ca="1"/>
        <v/>
      </c>
      <c r="RD1500" s="42" t="str">
        <f ca="1"/>
        <v/>
      </c>
      <c r="RE1500" s="42" t="str">
        <f ca="1"/>
        <v/>
      </c>
      <c r="RF1500" s="42" t="str">
        <f ca="1"/>
        <v/>
      </c>
      <c r="RG1500" s="42" t="str">
        <f ca="1"/>
        <v/>
      </c>
      <c r="RH1500" s="42" t="str">
        <f ca="1"/>
        <v/>
      </c>
      <c r="RI1500" s="42" t="str">
        <f ca="1"/>
        <v/>
      </c>
      <c r="RJ1500" s="42" t="str">
        <f ca="1"/>
        <v/>
      </c>
      <c r="RK1500" s="42" t="str">
        <f ca="1"/>
        <v/>
      </c>
      <c r="RL1500" s="42" t="str">
        <f ca="1"/>
        <v/>
      </c>
      <c r="RM1500" s="42" t="str">
        <f ca="1"/>
        <v/>
      </c>
      <c r="RN1500" s="42" t="str">
        <f ca="1"/>
        <v/>
      </c>
      <c r="RO1500" s="42" t="str">
        <f ca="1"/>
        <v/>
      </c>
      <c r="RP1500" s="42" t="str">
        <f ca="1"/>
        <v/>
      </c>
      <c r="RQ1500" s="42" t="str">
        <f ca="1"/>
        <v/>
      </c>
      <c r="RR1500" s="42" t="str">
        <f ca="1"/>
        <v/>
      </c>
      <c r="RS1500" s="42" t="str">
        <f ca="1"/>
        <v/>
      </c>
      <c r="RT1500" s="42" t="str">
        <f ca="1"/>
        <v/>
      </c>
      <c r="RU1500" s="42" t="str">
        <f ca="1"/>
        <v/>
      </c>
      <c r="RV1500" s="42" t="str">
        <f ca="1"/>
        <v/>
      </c>
      <c r="RW1500" s="42" t="str">
        <f ca="1"/>
        <v/>
      </c>
      <c r="RX1500" s="42" t="str">
        <f ca="1"/>
        <v/>
      </c>
      <c r="RY1500" s="42" t="str">
        <f ca="1"/>
        <v/>
      </c>
      <c r="RZ1500" s="42" t="str">
        <f ca="1"/>
        <v/>
      </c>
      <c r="SA1500" s="42" t="str">
        <f ca="1"/>
        <v/>
      </c>
      <c r="SB1500" s="42" t="str">
        <f ca="1"/>
        <v/>
      </c>
      <c r="SC1500" s="42" t="str">
        <f ca="1"/>
        <v/>
      </c>
      <c r="SD1500" s="42" t="str">
        <f ca="1"/>
        <v/>
      </c>
      <c r="SE1500" s="42" t="str">
        <f ca="1"/>
        <v/>
      </c>
      <c r="SF1500" s="42" t="str">
        <f ca="1"/>
        <v/>
      </c>
      <c r="SG1500" s="42" t="str">
        <f ca="1"/>
        <v/>
      </c>
      <c r="SH1500" s="42" t="str">
        <f ca="1"/>
        <v/>
      </c>
      <c r="SI1500" s="42" t="str">
        <f ca="1"/>
        <v/>
      </c>
      <c r="SJ1500" s="42" t="str">
        <f ca="1"/>
        <v/>
      </c>
      <c r="SK1500" s="42" t="str">
        <f ca="1"/>
        <v/>
      </c>
      <c r="SL1500" s="42" t="str">
        <f ca="1"/>
        <v/>
      </c>
      <c r="SM1500" s="42" t="str">
        <f ca="1"/>
        <v/>
      </c>
      <c r="SN1500" s="42" t="str">
        <f ca="1"/>
        <v/>
      </c>
      <c r="SO1500" s="42" t="str">
        <f ca="1"/>
        <v/>
      </c>
      <c r="SP1500" s="42" t="str">
        <f ca="1"/>
        <v/>
      </c>
      <c r="SQ1500" s="42" t="str">
        <f ca="1"/>
        <v/>
      </c>
      <c r="SR1500" s="42" t="str">
        <f ca="1"/>
        <v/>
      </c>
      <c r="SS1500" s="42" t="str">
        <f ca="1"/>
        <v/>
      </c>
      <c r="ST1500" s="42" t="str">
        <f ca="1"/>
        <v/>
      </c>
      <c r="SU1500" s="42" t="str">
        <f ca="1"/>
        <v/>
      </c>
      <c r="SV1500" s="42" t="str">
        <f ca="1"/>
        <v/>
      </c>
      <c r="SW1500" s="42" t="str">
        <f ca="1"/>
        <v/>
      </c>
      <c r="SX1500" s="42" t="str">
        <f ca="1"/>
        <v/>
      </c>
      <c r="SY1500" s="42" t="str">
        <f ca="1"/>
        <v/>
      </c>
      <c r="SZ1500" s="42" t="str">
        <f ca="1"/>
        <v/>
      </c>
      <c r="TA1500" s="42" t="str">
        <f ca="1"/>
        <v/>
      </c>
      <c r="TB1500" s="42" t="str">
        <f ca="1"/>
        <v/>
      </c>
      <c r="TC1500" s="42" t="str">
        <f ca="1"/>
        <v/>
      </c>
      <c r="TD1500" s="42" t="str">
        <f ca="1"/>
        <v/>
      </c>
      <c r="TE1500" s="42" t="str">
        <f ca="1"/>
        <v/>
      </c>
      <c r="TF1500" s="42" t="str">
        <f ca="1"/>
        <v/>
      </c>
      <c r="TG1500" s="42" t="str">
        <f ca="1"/>
        <v/>
      </c>
      <c r="TH1500" s="42" t="str">
        <f ca="1"/>
        <v/>
      </c>
      <c r="TI1500" s="42" t="str">
        <f ca="1"/>
        <v/>
      </c>
      <c r="TJ1500" s="42" t="str">
        <f ca="1"/>
        <v/>
      </c>
      <c r="TK1500" s="42" t="str">
        <f ca="1"/>
        <v/>
      </c>
      <c r="TL1500" s="42" t="str">
        <f ca="1"/>
        <v/>
      </c>
      <c r="TM1500" s="42" t="str">
        <f ca="1"/>
        <v/>
      </c>
      <c r="TN1500" s="42" t="str">
        <f ca="1"/>
        <v/>
      </c>
      <c r="TO1500" s="42" t="str">
        <f ca="1"/>
        <v/>
      </c>
      <c r="TP1500" s="42" t="str">
        <f ca="1"/>
        <v/>
      </c>
      <c r="TQ1500" s="42" t="str">
        <f ca="1"/>
        <v/>
      </c>
      <c r="TR1500" s="42" t="str">
        <f ca="1"/>
        <v/>
      </c>
      <c r="TS1500" s="42" t="str">
        <f ca="1"/>
        <v/>
      </c>
      <c r="TT1500" s="42" t="str">
        <f ca="1"/>
        <v/>
      </c>
      <c r="TU1500" s="42" t="str">
        <f ca="1"/>
        <v/>
      </c>
      <c r="TV1500" s="42" t="str">
        <f ca="1"/>
        <v/>
      </c>
      <c r="TW1500" s="42" t="str">
        <f ca="1"/>
        <v/>
      </c>
      <c r="TX1500" s="42" t="str">
        <f ca="1"/>
        <v/>
      </c>
      <c r="TY1500" s="42" t="str">
        <f ca="1"/>
        <v/>
      </c>
      <c r="TZ1500" s="42" t="str">
        <f ca="1"/>
        <v/>
      </c>
      <c r="UA1500" s="42" t="str">
        <f ca="1"/>
        <v/>
      </c>
      <c r="UB1500" s="42" t="str">
        <f ca="1"/>
        <v/>
      </c>
      <c r="UC1500" s="42" t="str">
        <f ca="1"/>
        <v/>
      </c>
      <c r="UD1500" s="42" t="str">
        <f ca="1"/>
        <v/>
      </c>
      <c r="UE1500" s="42" t="str">
        <f ca="1"/>
        <v/>
      </c>
      <c r="UF1500" s="42" t="str">
        <f ca="1"/>
        <v/>
      </c>
      <c r="UG1500" s="42" t="str">
        <f ca="1"/>
        <v/>
      </c>
      <c r="UH1500" s="42" t="str">
        <f ca="1"/>
        <v/>
      </c>
      <c r="UI1500" s="42" t="str">
        <f ca="1"/>
        <v/>
      </c>
      <c r="UJ1500" s="42" t="str">
        <f ca="1"/>
        <v/>
      </c>
      <c r="UK1500" s="42" t="str">
        <f ca="1"/>
        <v/>
      </c>
      <c r="UL1500" s="42" t="str">
        <f ca="1"/>
        <v/>
      </c>
      <c r="UM1500" s="42" t="str">
        <f ca="1"/>
        <v/>
      </c>
      <c r="UN1500" s="42" t="str">
        <f ca="1"/>
        <v/>
      </c>
      <c r="UO1500" s="42" t="str">
        <f ca="1"/>
        <v/>
      </c>
      <c r="UP1500" s="42" t="str">
        <f ca="1"/>
        <v/>
      </c>
      <c r="UQ1500" s="42" t="str">
        <f ca="1"/>
        <v/>
      </c>
      <c r="UR1500" s="42" t="str">
        <f ca="1"/>
        <v/>
      </c>
      <c r="US1500" s="42" t="str">
        <f ca="1"/>
        <v/>
      </c>
      <c r="UT1500" s="42" t="str">
        <f ca="1"/>
        <v/>
      </c>
      <c r="UU1500" s="42" t="str">
        <f ca="1"/>
        <v/>
      </c>
      <c r="UV1500" s="42" t="str">
        <f ca="1"/>
        <v/>
      </c>
      <c r="UW1500" s="42" t="str">
        <f ca="1"/>
        <v/>
      </c>
      <c r="UX1500" s="42" t="str">
        <f ca="1"/>
        <v/>
      </c>
      <c r="UY1500" s="42" t="str">
        <f ca="1"/>
        <v/>
      </c>
      <c r="UZ1500" s="42" t="str">
        <f ca="1"/>
        <v/>
      </c>
      <c r="VA1500" s="42" t="str">
        <f ca="1"/>
        <v/>
      </c>
      <c r="VB1500" s="42" t="str">
        <f ca="1"/>
        <v/>
      </c>
      <c r="VC1500" s="42" t="str">
        <f ca="1"/>
        <v/>
      </c>
      <c r="VD1500" s="42" t="str">
        <f ca="1"/>
        <v/>
      </c>
      <c r="VE1500" s="42" t="str">
        <f ca="1"/>
        <v/>
      </c>
      <c r="VF1500" s="42" t="str">
        <f ca="1"/>
        <v/>
      </c>
      <c r="VG1500" s="42" t="str">
        <f ca="1"/>
        <v/>
      </c>
      <c r="VH1500" s="42" t="str">
        <f ca="1"/>
        <v/>
      </c>
      <c r="VI1500" s="42" t="str">
        <f ca="1"/>
        <v/>
      </c>
      <c r="VJ1500" s="42" t="str">
        <f ca="1"/>
        <v/>
      </c>
      <c r="VK1500" s="42" t="str">
        <f ca="1"/>
        <v/>
      </c>
      <c r="VL1500" s="42" t="str">
        <f ca="1"/>
        <v/>
      </c>
      <c r="VM1500" s="42" t="str">
        <f ca="1"/>
        <v/>
      </c>
      <c r="VN1500" s="42" t="str">
        <f ca="1"/>
        <v/>
      </c>
      <c r="VO1500" s="42" t="str">
        <f ca="1"/>
        <v/>
      </c>
      <c r="VP1500" s="42" t="str">
        <f ca="1"/>
        <v/>
      </c>
      <c r="VQ1500" s="42" t="str">
        <f ca="1"/>
        <v/>
      </c>
      <c r="VR1500" s="42" t="str">
        <f ca="1"/>
        <v/>
      </c>
      <c r="VS1500" s="42" t="str">
        <f ca="1"/>
        <v/>
      </c>
      <c r="VT1500" s="42" t="str">
        <f ca="1"/>
        <v/>
      </c>
      <c r="VU1500" s="42" t="str">
        <f ca="1"/>
        <v/>
      </c>
      <c r="VV1500" s="42" t="str">
        <f ca="1"/>
        <v/>
      </c>
      <c r="VW1500" s="42" t="str">
        <f ca="1"/>
        <v/>
      </c>
      <c r="VX1500" s="42" t="str">
        <f ca="1"/>
        <v/>
      </c>
      <c r="VY1500" s="42" t="str">
        <f ca="1"/>
        <v/>
      </c>
      <c r="VZ1500" s="42" t="str">
        <f ca="1"/>
        <v/>
      </c>
      <c r="WA1500" s="42" t="str">
        <f ca="1"/>
        <v/>
      </c>
      <c r="WB1500" s="42" t="str">
        <f ca="1"/>
        <v/>
      </c>
      <c r="WC1500" s="42" t="str">
        <f ca="1"/>
        <v/>
      </c>
      <c r="WD1500" s="42" t="str">
        <f ca="1"/>
        <v/>
      </c>
      <c r="WE1500" s="42" t="str">
        <f ca="1"/>
        <v/>
      </c>
      <c r="WF1500" s="42" t="str">
        <f ca="1"/>
        <v/>
      </c>
      <c r="WG1500" s="42" t="str">
        <f ca="1"/>
        <v/>
      </c>
      <c r="WH1500" s="42" t="str">
        <f ca="1"/>
        <v/>
      </c>
      <c r="WI1500" s="42" t="str">
        <f ca="1"/>
        <v/>
      </c>
      <c r="WJ1500" s="42" t="str">
        <f ca="1"/>
        <v/>
      </c>
      <c r="WK1500" s="42" t="str">
        <f ca="1"/>
        <v/>
      </c>
      <c r="WL1500" s="42" t="str">
        <f ca="1"/>
        <v/>
      </c>
      <c r="WM1500" s="42" t="str">
        <f ca="1"/>
        <v/>
      </c>
      <c r="WN1500" s="42" t="str">
        <f ca="1"/>
        <v/>
      </c>
      <c r="WO1500" s="42" t="str">
        <f ca="1"/>
        <v/>
      </c>
      <c r="WP1500" s="42" t="str">
        <f ca="1"/>
        <v/>
      </c>
      <c r="WQ1500" s="42" t="str">
        <f ca="1"/>
        <v/>
      </c>
      <c r="WR1500" s="42" t="str">
        <f ca="1"/>
        <v/>
      </c>
      <c r="WS1500" s="42" t="str">
        <f ca="1"/>
        <v/>
      </c>
      <c r="WT1500" s="42" t="str">
        <f ca="1"/>
        <v/>
      </c>
      <c r="WU1500" s="42" t="str">
        <f ca="1"/>
        <v/>
      </c>
      <c r="WV1500" s="42" t="str">
        <f ca="1"/>
        <v/>
      </c>
      <c r="WW1500" s="42" t="str">
        <f ca="1"/>
        <v/>
      </c>
      <c r="WX1500" s="42" t="str">
        <f ca="1"/>
        <v/>
      </c>
      <c r="WY1500" s="42" t="str">
        <f ca="1"/>
        <v/>
      </c>
      <c r="WZ1500" s="42" t="str">
        <f ca="1"/>
        <v/>
      </c>
      <c r="XA1500" s="42" t="str">
        <f ca="1"/>
        <v/>
      </c>
      <c r="XB1500" s="42" t="str">
        <f ca="1"/>
        <v/>
      </c>
      <c r="XC1500" s="42" t="str">
        <f ca="1"/>
        <v/>
      </c>
      <c r="XD1500" s="42" t="str">
        <f ca="1"/>
        <v/>
      </c>
      <c r="XE1500" s="42" t="str">
        <f ca="1"/>
        <v/>
      </c>
      <c r="XF1500" s="42" t="str">
        <f ca="1"/>
        <v/>
      </c>
      <c r="XG1500" s="42" t="str">
        <f ca="1"/>
        <v/>
      </c>
      <c r="XH1500" s="42" t="str">
        <f ca="1"/>
        <v/>
      </c>
      <c r="XI1500" s="42" t="str">
        <f ca="1"/>
        <v/>
      </c>
      <c r="XJ1500" s="42" t="str">
        <f ca="1"/>
        <v/>
      </c>
      <c r="XK1500" s="42" t="str">
        <f ca="1"/>
        <v/>
      </c>
      <c r="XL1500" s="42" t="str">
        <f ca="1"/>
        <v/>
      </c>
      <c r="XM1500" s="42" t="str">
        <f ca="1"/>
        <v/>
      </c>
      <c r="XN1500" s="42" t="str">
        <f ca="1"/>
        <v/>
      </c>
      <c r="XO1500" s="42" t="str">
        <f ca="1"/>
        <v/>
      </c>
      <c r="XP1500" s="42" t="str">
        <f ca="1"/>
        <v/>
      </c>
      <c r="XQ1500" s="42" t="str">
        <f ca="1"/>
        <v/>
      </c>
      <c r="XR1500" s="42" t="str">
        <f ca="1"/>
        <v/>
      </c>
      <c r="XS1500" s="42" t="str">
        <f ca="1"/>
        <v/>
      </c>
      <c r="XT1500" s="42" t="str">
        <f ca="1"/>
        <v/>
      </c>
      <c r="XU1500" s="42" t="str">
        <f ca="1"/>
        <v/>
      </c>
      <c r="XV1500" s="42" t="str">
        <f ca="1"/>
        <v/>
      </c>
      <c r="XW1500" s="42" t="str">
        <f ca="1"/>
        <v/>
      </c>
      <c r="XX1500" s="42" t="str">
        <f ca="1"/>
        <v/>
      </c>
      <c r="XY1500" s="42" t="str">
        <f ca="1"/>
        <v/>
      </c>
      <c r="XZ1500" s="42" t="str">
        <f ca="1"/>
        <v/>
      </c>
      <c r="YA1500" s="42" t="str">
        <f ca="1"/>
        <v/>
      </c>
      <c r="YB1500" s="42" t="str">
        <f ca="1"/>
        <v/>
      </c>
      <c r="YC1500" s="42" t="str">
        <f ca="1"/>
        <v/>
      </c>
      <c r="YD1500" s="42" t="str">
        <f ca="1"/>
        <v/>
      </c>
      <c r="YE1500" s="42" t="str">
        <f ca="1"/>
        <v/>
      </c>
      <c r="YF1500" s="42" t="str">
        <f ca="1"/>
        <v/>
      </c>
      <c r="YG1500" s="42" t="str">
        <f ca="1"/>
        <v/>
      </c>
      <c r="YH1500" s="42" t="str">
        <f ca="1"/>
        <v/>
      </c>
      <c r="YI1500" s="42" t="str">
        <f ca="1"/>
        <v/>
      </c>
      <c r="YJ1500" s="42" t="str">
        <f ca="1"/>
        <v/>
      </c>
      <c r="YK1500" s="42" t="str">
        <f ca="1"/>
        <v/>
      </c>
      <c r="YL1500" s="42" t="str">
        <f ca="1"/>
        <v/>
      </c>
      <c r="YM1500" s="42" t="str">
        <f ca="1"/>
        <v/>
      </c>
      <c r="YN1500" s="42" t="str">
        <f ca="1"/>
        <v/>
      </c>
      <c r="YO1500" s="42" t="str">
        <f ca="1"/>
        <v/>
      </c>
      <c r="YP1500" s="42" t="str">
        <f ca="1"/>
        <v/>
      </c>
      <c r="YQ1500" s="42" t="str">
        <f ca="1"/>
        <v/>
      </c>
      <c r="YR1500" s="42" t="str">
        <f ca="1"/>
        <v/>
      </c>
      <c r="YS1500" s="42" t="str">
        <f ca="1"/>
        <v/>
      </c>
      <c r="YT1500" s="42" t="str">
        <f ca="1"/>
        <v/>
      </c>
      <c r="YU1500" s="42" t="str">
        <f ca="1"/>
        <v/>
      </c>
      <c r="YV1500" s="42" t="str">
        <f ca="1"/>
        <v/>
      </c>
      <c r="YW1500" s="42" t="str">
        <f ca="1"/>
        <v/>
      </c>
      <c r="YX1500" s="42" t="str">
        <f ca="1"/>
        <v/>
      </c>
      <c r="YY1500" s="42" t="str">
        <f ca="1"/>
        <v/>
      </c>
      <c r="YZ1500" s="42" t="str">
        <f ca="1"/>
        <v/>
      </c>
      <c r="ZA1500" s="42" t="str">
        <f ca="1"/>
        <v/>
      </c>
      <c r="ZB1500" s="42" t="str">
        <f ca="1"/>
        <v/>
      </c>
      <c r="ZC1500" s="42" t="str">
        <f ca="1"/>
        <v/>
      </c>
      <c r="ZD1500" s="42" t="str">
        <f ca="1"/>
        <v/>
      </c>
      <c r="ZE1500" s="42" t="str">
        <f ca="1"/>
        <v/>
      </c>
      <c r="ZF1500" s="42" t="str">
        <f ca="1"/>
        <v/>
      </c>
      <c r="ZG1500" s="42" t="str">
        <f ca="1"/>
        <v/>
      </c>
      <c r="ZH1500" s="42" t="str">
        <f ca="1"/>
        <v/>
      </c>
      <c r="ZI1500" s="42" t="str">
        <f ca="1"/>
        <v/>
      </c>
      <c r="ZJ1500" s="42" t="str">
        <f ca="1"/>
        <v/>
      </c>
      <c r="ZK1500" s="42" t="str">
        <f ca="1"/>
        <v/>
      </c>
      <c r="ZL1500" s="42" t="str">
        <f ca="1"/>
        <v/>
      </c>
      <c r="ZM1500" s="42" t="str">
        <f ca="1"/>
        <v/>
      </c>
      <c r="ZN1500" s="42" t="str">
        <f ca="1"/>
        <v/>
      </c>
      <c r="ZO1500" s="42" t="str">
        <f ca="1"/>
        <v/>
      </c>
      <c r="ZP1500" s="42" t="str">
        <f ca="1"/>
        <v/>
      </c>
      <c r="ZQ1500" s="42" t="str">
        <f ca="1"/>
        <v/>
      </c>
      <c r="ZR1500" s="42" t="str">
        <f ca="1"/>
        <v/>
      </c>
      <c r="ZS1500" s="42" t="str">
        <f ca="1"/>
        <v/>
      </c>
      <c r="ZT1500" s="42" t="str">
        <f ca="1"/>
        <v/>
      </c>
      <c r="ZU1500" s="42" t="str">
        <f ca="1"/>
        <v/>
      </c>
      <c r="ZV1500" s="42" t="str">
        <f ca="1"/>
        <v/>
      </c>
      <c r="ZW1500" s="42" t="str">
        <f ca="1"/>
        <v/>
      </c>
      <c r="ZX1500" s="42" t="str">
        <f ca="1"/>
        <v/>
      </c>
      <c r="ZY1500" s="42" t="str">
        <f ca="1"/>
        <v/>
      </c>
      <c r="ZZ1500" s="42" t="str">
        <f ca="1"/>
        <v/>
      </c>
      <c r="AAA1500" s="42" t="str">
        <f ca="1"/>
        <v/>
      </c>
      <c r="AAB1500" s="42" t="str">
        <f ca="1"/>
        <v/>
      </c>
      <c r="AAC1500" s="42" t="str">
        <f ca="1"/>
        <v/>
      </c>
      <c r="AAD1500" s="42" t="str">
        <f ca="1"/>
        <v/>
      </c>
      <c r="AAE1500" s="42" t="str">
        <f ca="1"/>
        <v/>
      </c>
      <c r="AAF1500" s="42" t="str">
        <f ca="1"/>
        <v/>
      </c>
      <c r="AAG1500" s="42" t="str">
        <f ca="1"/>
        <v/>
      </c>
      <c r="AAH1500" s="42" t="str">
        <f ca="1"/>
        <v/>
      </c>
      <c r="AAI1500" s="42" t="str">
        <f ca="1"/>
        <v/>
      </c>
      <c r="AAJ1500" s="42" t="str">
        <f ca="1"/>
        <v/>
      </c>
      <c r="AAK1500" s="42" t="str">
        <f ca="1"/>
        <v/>
      </c>
      <c r="AAL1500" s="42" t="str">
        <f ca="1"/>
        <v/>
      </c>
      <c r="AAM1500" s="42" t="str">
        <f ca="1"/>
        <v/>
      </c>
      <c r="AAN1500" s="42" t="str">
        <f ca="1"/>
        <v/>
      </c>
      <c r="AAO1500" s="42" t="str">
        <f ca="1"/>
        <v/>
      </c>
      <c r="AAP1500" s="42" t="str">
        <f ca="1"/>
        <v/>
      </c>
      <c r="AAQ1500" s="42" t="str">
        <f ca="1"/>
        <v/>
      </c>
      <c r="AAR1500" s="42" t="str">
        <f ca="1"/>
        <v/>
      </c>
      <c r="AAS1500" s="42" t="str">
        <f ca="1"/>
        <v/>
      </c>
      <c r="AAT1500" s="42" t="str">
        <f ca="1"/>
        <v/>
      </c>
      <c r="AAU1500" s="42" t="str">
        <f ca="1"/>
        <v/>
      </c>
      <c r="AAV1500" s="42" t="str">
        <f ca="1"/>
        <v/>
      </c>
      <c r="AAW1500" s="42" t="str">
        <f ca="1"/>
        <v/>
      </c>
      <c r="AAX1500" s="42" t="str">
        <f ca="1"/>
        <v/>
      </c>
      <c r="AAY1500" s="42" t="str">
        <f ca="1"/>
        <v/>
      </c>
      <c r="AAZ1500" s="42" t="str">
        <f ca="1"/>
        <v/>
      </c>
      <c r="ABA1500" s="42" t="str">
        <f ca="1"/>
        <v/>
      </c>
      <c r="ABB1500" s="42" t="str">
        <f ca="1"/>
        <v/>
      </c>
      <c r="ABC1500" s="42" t="str">
        <f ca="1"/>
        <v/>
      </c>
      <c r="ABD1500" s="42" t="str">
        <f ca="1"/>
        <v/>
      </c>
      <c r="ABE1500" s="42" t="str">
        <f ca="1"/>
        <v/>
      </c>
      <c r="ABF1500" s="42" t="str">
        <f ca="1"/>
        <v/>
      </c>
      <c r="ABG1500" s="42" t="str">
        <f ca="1"/>
        <v/>
      </c>
      <c r="ABH1500" s="42" t="str">
        <f ca="1"/>
        <v/>
      </c>
      <c r="ABI1500" s="42" t="str">
        <f ca="1"/>
        <v/>
      </c>
      <c r="ABJ1500" s="42" t="str">
        <f ca="1"/>
        <v/>
      </c>
      <c r="ABK1500" s="42" t="str">
        <f ca="1"/>
        <v/>
      </c>
      <c r="ABL1500" s="42" t="str">
        <f ca="1"/>
        <v/>
      </c>
      <c r="ABM1500" s="42" t="str">
        <f ca="1"/>
        <v/>
      </c>
      <c r="ABN1500" s="42" t="str">
        <f ca="1"/>
        <v/>
      </c>
      <c r="ABO1500" s="42" t="str">
        <f ca="1"/>
        <v/>
      </c>
      <c r="ABP1500" s="42" t="str">
        <f ca="1"/>
        <v/>
      </c>
      <c r="ABQ1500" s="42" t="str">
        <f ca="1"/>
        <v/>
      </c>
      <c r="ABR1500" s="42" t="str">
        <f ca="1"/>
        <v/>
      </c>
      <c r="ABS1500" s="42" t="str">
        <f ca="1"/>
        <v/>
      </c>
      <c r="ABT1500" s="42" t="str">
        <f ca="1"/>
        <v/>
      </c>
      <c r="ABU1500" s="42" t="str">
        <f ca="1"/>
        <v/>
      </c>
      <c r="ABV1500" s="42" t="str">
        <f ca="1"/>
        <v/>
      </c>
      <c r="ABW1500" s="42" t="str">
        <f ca="1"/>
        <v/>
      </c>
      <c r="ABX1500" s="42" t="str">
        <f ca="1"/>
        <v/>
      </c>
      <c r="ABY1500" s="42" t="str">
        <f ca="1"/>
        <v/>
      </c>
      <c r="ABZ1500" s="42" t="str">
        <f ca="1"/>
        <v/>
      </c>
      <c r="ACA1500" s="42" t="str">
        <f ca="1"/>
        <v/>
      </c>
      <c r="ACB1500" s="42" t="str">
        <f ca="1"/>
        <v/>
      </c>
      <c r="ACC1500" s="42" t="str">
        <f ca="1"/>
        <v/>
      </c>
      <c r="ACD1500" s="42" t="str">
        <f ca="1"/>
        <v/>
      </c>
      <c r="ACE1500" s="42" t="str">
        <f ca="1"/>
        <v/>
      </c>
      <c r="ACF1500" s="42" t="str">
        <f ca="1"/>
        <v/>
      </c>
      <c r="ACG1500" s="42" t="str">
        <f ca="1"/>
        <v/>
      </c>
      <c r="ACH1500" s="42" t="str">
        <f ca="1"/>
        <v/>
      </c>
      <c r="ACI1500" s="42" t="str">
        <f ca="1"/>
        <v/>
      </c>
      <c r="ACJ1500" s="42" t="str">
        <f ca="1"/>
        <v/>
      </c>
      <c r="ACK1500" s="42" t="str">
        <f ca="1"/>
        <v/>
      </c>
      <c r="ACL1500" s="42" t="str">
        <f ca="1"/>
        <v/>
      </c>
      <c r="ACM1500" s="42" t="str">
        <f ca="1"/>
        <v/>
      </c>
      <c r="ACN1500" s="42" t="str">
        <f ca="1"/>
        <v/>
      </c>
      <c r="ACO1500" s="42" t="str">
        <f ca="1"/>
        <v/>
      </c>
      <c r="ACP1500" s="42" t="str">
        <f ca="1"/>
        <v/>
      </c>
      <c r="ACQ1500" s="42" t="str">
        <f ca="1"/>
        <v/>
      </c>
      <c r="ACR1500" s="42" t="str">
        <f ca="1"/>
        <v/>
      </c>
      <c r="ACS1500" s="42" t="str">
        <f ca="1"/>
        <v/>
      </c>
      <c r="ACT1500" s="42" t="str">
        <f ca="1"/>
        <v/>
      </c>
      <c r="ACU1500" s="42" t="str">
        <f ca="1"/>
        <v/>
      </c>
      <c r="ACV1500" s="42" t="str">
        <f ca="1"/>
        <v/>
      </c>
      <c r="ACW1500" s="42" t="str">
        <f ca="1"/>
        <v/>
      </c>
      <c r="ACX1500" s="42" t="str">
        <f ca="1"/>
        <v/>
      </c>
      <c r="ACY1500" s="42" t="str">
        <f ca="1"/>
        <v/>
      </c>
      <c r="ACZ1500" s="42" t="str">
        <f ca="1"/>
        <v/>
      </c>
      <c r="ADA1500" s="42" t="str">
        <f ca="1"/>
        <v/>
      </c>
      <c r="ADB1500" s="42" t="str">
        <f ca="1"/>
        <v/>
      </c>
      <c r="ADC1500" s="42" t="str">
        <f ca="1"/>
        <v/>
      </c>
      <c r="ADD1500" s="42" t="str">
        <f ca="1"/>
        <v/>
      </c>
      <c r="ADE1500" s="42" t="str">
        <f ca="1"/>
        <v/>
      </c>
      <c r="ADF1500" s="42" t="str">
        <f ca="1"/>
        <v/>
      </c>
      <c r="ADG1500" s="42" t="str">
        <f ca="1"/>
        <v/>
      </c>
      <c r="ADH1500" s="42" t="str">
        <f ca="1"/>
        <v/>
      </c>
      <c r="ADI1500" s="42" t="str">
        <f ca="1"/>
        <v/>
      </c>
      <c r="ADJ1500" s="42" t="str">
        <f ca="1"/>
        <v/>
      </c>
      <c r="ADK1500" s="42" t="str">
        <f ca="1"/>
        <v/>
      </c>
      <c r="ADL1500" s="42" t="str">
        <f ca="1"/>
        <v/>
      </c>
      <c r="ADM1500" s="42" t="str">
        <f ca="1"/>
        <v/>
      </c>
      <c r="ADN1500" s="42" t="str">
        <f ca="1"/>
        <v/>
      </c>
      <c r="ADO1500" s="42" t="str">
        <f ca="1"/>
        <v/>
      </c>
      <c r="ADP1500" s="42" t="str">
        <f ca="1"/>
        <v/>
      </c>
      <c r="ADQ1500" s="42" t="str">
        <f ca="1"/>
        <v/>
      </c>
      <c r="ADR1500" s="42" t="str">
        <f ca="1"/>
        <v/>
      </c>
      <c r="ADS1500" s="42" t="str">
        <f ca="1"/>
        <v/>
      </c>
      <c r="ADT1500" s="42" t="str">
        <f ca="1"/>
        <v/>
      </c>
      <c r="ADU1500" s="42" t="str">
        <f ca="1"/>
        <v/>
      </c>
      <c r="ADV1500" s="42" t="str">
        <f ca="1"/>
        <v/>
      </c>
      <c r="ADW1500" s="42" t="str">
        <f ca="1"/>
        <v/>
      </c>
      <c r="ADX1500" s="42" t="str">
        <f ca="1"/>
        <v/>
      </c>
      <c r="ADY1500" s="42" t="str">
        <f ca="1"/>
        <v/>
      </c>
      <c r="ADZ1500" s="42" t="str">
        <f ca="1"/>
        <v/>
      </c>
      <c r="AEA1500" s="42" t="str">
        <f ca="1"/>
        <v/>
      </c>
      <c r="AEB1500" s="42" t="str">
        <f ca="1"/>
        <v/>
      </c>
      <c r="AEC1500" s="42" t="str">
        <f ca="1"/>
        <v/>
      </c>
      <c r="AED1500" s="42" t="str">
        <f ca="1"/>
        <v/>
      </c>
      <c r="AEE1500" s="42" t="str">
        <f ca="1"/>
        <v/>
      </c>
      <c r="AEF1500" s="42" t="str">
        <f ca="1"/>
        <v/>
      </c>
      <c r="AEG1500" s="42" t="str">
        <f ca="1"/>
        <v/>
      </c>
      <c r="AEH1500" s="42" t="str">
        <f ca="1"/>
        <v/>
      </c>
      <c r="AEI1500" s="42" t="str">
        <f ca="1"/>
        <v/>
      </c>
      <c r="AEJ1500" s="42" t="str">
        <f ca="1"/>
        <v/>
      </c>
      <c r="AEK1500" s="42" t="str">
        <f ca="1"/>
        <v/>
      </c>
      <c r="AEL1500" s="42" t="str">
        <f ca="1"/>
        <v/>
      </c>
      <c r="AEM1500" s="42" t="str">
        <f ca="1"/>
        <v/>
      </c>
      <c r="AEN1500" s="42" t="str">
        <f ca="1"/>
        <v/>
      </c>
      <c r="AEO1500" s="42" t="str">
        <f ca="1"/>
        <v/>
      </c>
      <c r="AEP1500" s="42" t="str">
        <f ca="1"/>
        <v/>
      </c>
      <c r="AEQ1500" s="42" t="str">
        <f ca="1"/>
        <v/>
      </c>
      <c r="AER1500" s="42" t="str">
        <f ca="1"/>
        <v/>
      </c>
      <c r="AES1500" s="42" t="str">
        <f ca="1"/>
        <v/>
      </c>
      <c r="AET1500" s="42" t="str">
        <f ca="1"/>
        <v/>
      </c>
      <c r="AEU1500" s="42" t="str">
        <f ca="1"/>
        <v/>
      </c>
      <c r="AEV1500" s="42" t="str">
        <f ca="1"/>
        <v/>
      </c>
      <c r="AEW1500" s="42" t="str">
        <f ca="1"/>
        <v/>
      </c>
      <c r="AEX1500" s="42" t="str">
        <f ca="1"/>
        <v/>
      </c>
      <c r="AEY1500" s="42" t="str">
        <f ca="1"/>
        <v/>
      </c>
      <c r="AEZ1500" s="42" t="str">
        <f ca="1"/>
        <v/>
      </c>
      <c r="AFA1500" s="42" t="str">
        <f ca="1"/>
        <v/>
      </c>
      <c r="AFB1500" s="42" t="str">
        <f ca="1"/>
        <v/>
      </c>
      <c r="AFC1500" s="42" t="str">
        <f ca="1"/>
        <v/>
      </c>
      <c r="AFD1500" s="42" t="str">
        <f ca="1"/>
        <v/>
      </c>
      <c r="AFE1500" s="42" t="str">
        <f ca="1"/>
        <v/>
      </c>
      <c r="AFF1500" s="42" t="str">
        <f ca="1"/>
        <v/>
      </c>
      <c r="AFG1500" s="42" t="str">
        <f ca="1"/>
        <v/>
      </c>
      <c r="AFH1500" s="42" t="str">
        <f ca="1"/>
        <v/>
      </c>
      <c r="AFI1500" s="42" t="str">
        <f ca="1"/>
        <v/>
      </c>
      <c r="AFJ1500" s="42" t="str">
        <f ca="1"/>
        <v/>
      </c>
      <c r="AFK1500" s="42" t="str">
        <f ca="1"/>
        <v/>
      </c>
      <c r="AFL1500" s="42" t="str">
        <f ca="1"/>
        <v/>
      </c>
      <c r="AFM1500" s="42" t="str">
        <f ca="1"/>
        <v/>
      </c>
      <c r="AFN1500" s="42" t="str">
        <f ca="1"/>
        <v/>
      </c>
      <c r="AFO1500" s="42" t="str">
        <f ca="1"/>
        <v/>
      </c>
      <c r="AFP1500" s="42" t="str">
        <f ca="1"/>
        <v/>
      </c>
      <c r="AFQ1500" s="42" t="str">
        <f ca="1"/>
        <v/>
      </c>
      <c r="AFR1500" s="42" t="str">
        <f ca="1"/>
        <v/>
      </c>
      <c r="AFS1500" s="42" t="str">
        <f ca="1"/>
        <v/>
      </c>
      <c r="AFT1500" s="42" t="str">
        <f ca="1"/>
        <v/>
      </c>
      <c r="AFU1500" s="42" t="str">
        <f ca="1"/>
        <v/>
      </c>
      <c r="AFV1500" s="42" t="str">
        <f ca="1"/>
        <v/>
      </c>
      <c r="AFW1500" s="42" t="str">
        <f ca="1"/>
        <v/>
      </c>
      <c r="AFX1500" s="42" t="str">
        <f ca="1"/>
        <v/>
      </c>
      <c r="AFY1500" s="42" t="str">
        <f ca="1"/>
        <v/>
      </c>
      <c r="AFZ1500" s="42" t="str">
        <f ca="1"/>
        <v/>
      </c>
      <c r="AGA1500" s="42" t="str">
        <f ca="1"/>
        <v/>
      </c>
      <c r="AGB1500" s="42" t="str">
        <f ca="1"/>
        <v/>
      </c>
      <c r="AGC1500" s="42" t="str">
        <f ca="1"/>
        <v/>
      </c>
      <c r="AGD1500" s="42" t="str">
        <f ca="1"/>
        <v/>
      </c>
      <c r="AGE1500" s="42" t="str">
        <f ca="1"/>
        <v/>
      </c>
      <c r="AGF1500" s="42" t="str">
        <f ca="1"/>
        <v/>
      </c>
      <c r="AGG1500" s="42" t="str">
        <f ca="1"/>
        <v/>
      </c>
      <c r="AGH1500" s="42" t="str">
        <f ca="1"/>
        <v/>
      </c>
      <c r="AGI1500" s="42" t="str">
        <f ca="1"/>
        <v/>
      </c>
      <c r="AGJ1500" s="42" t="str">
        <f ca="1"/>
        <v/>
      </c>
      <c r="AGK1500" s="42" t="str">
        <f ca="1"/>
        <v/>
      </c>
      <c r="AGL1500" s="42" t="str">
        <f ca="1"/>
        <v/>
      </c>
      <c r="AGM1500" s="42" t="str">
        <f ca="1"/>
        <v/>
      </c>
      <c r="AGN1500" s="42" t="str">
        <f ca="1"/>
        <v/>
      </c>
    </row>
    <row r="1501" spans="15:872" x14ac:dyDescent="0.25">
      <c r="O1501" s="42">
        <v>11</v>
      </c>
      <c r="P1501" s="42" t="str">
        <f ca="1"/>
        <v/>
      </c>
      <c r="Q1501" s="42" t="str">
        <f ca="1"/>
        <v/>
      </c>
      <c r="R1501" s="42" t="str">
        <f ca="1"/>
        <v/>
      </c>
      <c r="S1501" s="42" t="str">
        <f ca="1"/>
        <v/>
      </c>
      <c r="T1501" s="42" t="str">
        <f ca="1"/>
        <v/>
      </c>
      <c r="U1501" s="42" t="str">
        <f ca="1"/>
        <v/>
      </c>
      <c r="V1501" s="42" t="str">
        <f ca="1"/>
        <v/>
      </c>
      <c r="W1501" s="42" t="str">
        <f ca="1"/>
        <v/>
      </c>
      <c r="X1501" s="42" t="str">
        <f ca="1"/>
        <v/>
      </c>
      <c r="Y1501" s="42" t="str">
        <f ca="1"/>
        <v/>
      </c>
      <c r="Z1501" s="42" t="str">
        <f ca="1"/>
        <v/>
      </c>
      <c r="AA1501" s="42" t="str">
        <f ca="1"/>
        <v/>
      </c>
      <c r="AB1501" s="42" t="str">
        <f ca="1"/>
        <v/>
      </c>
      <c r="AC1501" s="42" t="str">
        <f ca="1"/>
        <v/>
      </c>
      <c r="AD1501" s="42" t="str">
        <f ca="1"/>
        <v/>
      </c>
      <c r="AE1501" s="42" t="str">
        <f ca="1"/>
        <v/>
      </c>
      <c r="AF1501" s="42" t="str">
        <f ca="1"/>
        <v/>
      </c>
      <c r="AG1501" s="42" t="str">
        <f ca="1"/>
        <v/>
      </c>
      <c r="AH1501" s="42" t="str">
        <f ca="1"/>
        <v/>
      </c>
      <c r="AI1501" s="42" t="str">
        <f ca="1"/>
        <v/>
      </c>
      <c r="AJ1501" s="42" t="str">
        <f ca="1"/>
        <v/>
      </c>
      <c r="AK1501" s="42" t="str">
        <f ca="1"/>
        <v/>
      </c>
      <c r="AL1501" s="42" t="str">
        <f ca="1"/>
        <v/>
      </c>
      <c r="AM1501" s="42" t="str">
        <f ca="1"/>
        <v/>
      </c>
      <c r="AN1501" s="42" t="str">
        <f ca="1"/>
        <v/>
      </c>
      <c r="AO1501" s="42" t="str">
        <f ca="1"/>
        <v/>
      </c>
      <c r="AP1501" s="42" t="str">
        <f ca="1"/>
        <v/>
      </c>
      <c r="AQ1501" s="42" t="str">
        <f ca="1"/>
        <v/>
      </c>
      <c r="AR1501" s="42" t="str">
        <f ca="1"/>
        <v/>
      </c>
      <c r="AS1501" s="42" t="str">
        <f ca="1"/>
        <v/>
      </c>
      <c r="AT1501" s="42" t="str">
        <f ca="1"/>
        <v/>
      </c>
      <c r="AU1501" s="42" t="str">
        <f ca="1"/>
        <v/>
      </c>
      <c r="AV1501" s="42" t="str">
        <f ca="1"/>
        <v/>
      </c>
      <c r="AW1501" s="42" t="str">
        <f ca="1"/>
        <v/>
      </c>
      <c r="AX1501" s="42" t="str">
        <f ca="1"/>
        <v/>
      </c>
      <c r="AY1501" s="42" t="str">
        <f ca="1"/>
        <v/>
      </c>
      <c r="AZ1501" s="42" t="str">
        <f ca="1"/>
        <v/>
      </c>
      <c r="BA1501" s="42" t="str">
        <f ca="1"/>
        <v/>
      </c>
      <c r="BB1501" s="42" t="str">
        <f ca="1"/>
        <v/>
      </c>
      <c r="BC1501" s="42" t="str">
        <f ca="1"/>
        <v/>
      </c>
      <c r="BD1501" s="42" t="str">
        <f ca="1"/>
        <v/>
      </c>
      <c r="BE1501" s="42" t="str">
        <f ca="1"/>
        <v/>
      </c>
      <c r="BF1501" s="42" t="str">
        <f ca="1"/>
        <v/>
      </c>
      <c r="BG1501" s="42" t="str">
        <f ca="1"/>
        <v/>
      </c>
      <c r="BH1501" s="42" t="str">
        <f ca="1"/>
        <v/>
      </c>
      <c r="BI1501" s="42" t="str">
        <f ca="1"/>
        <v/>
      </c>
      <c r="BJ1501" s="42" t="str">
        <f ca="1"/>
        <v/>
      </c>
      <c r="BK1501" s="42" t="str">
        <f ca="1"/>
        <v/>
      </c>
      <c r="BL1501" s="42" t="str">
        <f ca="1"/>
        <v/>
      </c>
      <c r="BM1501" s="42" t="str">
        <f ca="1"/>
        <v/>
      </c>
      <c r="BN1501" s="42" t="str">
        <f ca="1"/>
        <v/>
      </c>
      <c r="BO1501" s="42" t="str">
        <f ca="1"/>
        <v/>
      </c>
      <c r="BP1501" s="42" t="str">
        <f ca="1"/>
        <v/>
      </c>
      <c r="BQ1501" s="42" t="str">
        <f ca="1"/>
        <v/>
      </c>
      <c r="BR1501" s="42" t="str">
        <f ca="1"/>
        <v/>
      </c>
      <c r="BS1501" s="42" t="str">
        <f ca="1"/>
        <v/>
      </c>
      <c r="BT1501" s="42" t="str">
        <f ca="1"/>
        <v/>
      </c>
      <c r="BU1501" s="42" t="str">
        <f ca="1"/>
        <v/>
      </c>
      <c r="BV1501" s="42" t="str">
        <f ca="1"/>
        <v/>
      </c>
      <c r="BW1501" s="42" t="str">
        <f ca="1"/>
        <v/>
      </c>
      <c r="BX1501" s="42" t="str">
        <f ca="1"/>
        <v/>
      </c>
      <c r="BY1501" s="42" t="str">
        <f ca="1"/>
        <v/>
      </c>
      <c r="BZ1501" s="42" t="str">
        <f ca="1"/>
        <v/>
      </c>
      <c r="CA1501" s="42" t="str">
        <f ca="1"/>
        <v/>
      </c>
      <c r="CB1501" s="42" t="str">
        <f ca="1"/>
        <v/>
      </c>
      <c r="CC1501" s="42" t="str">
        <f ca="1"/>
        <v/>
      </c>
      <c r="CD1501" s="42" t="str">
        <f ca="1"/>
        <v/>
      </c>
      <c r="CE1501" s="42" t="str">
        <f ca="1"/>
        <v/>
      </c>
      <c r="CF1501" s="42" t="str">
        <f ca="1"/>
        <v/>
      </c>
      <c r="CG1501" s="42" t="str">
        <f ca="1"/>
        <v/>
      </c>
      <c r="CH1501" s="42" t="str">
        <f ca="1"/>
        <v/>
      </c>
      <c r="CI1501" s="42" t="str">
        <f ca="1"/>
        <v/>
      </c>
      <c r="CJ1501" s="42" t="str">
        <f ca="1"/>
        <v/>
      </c>
      <c r="CK1501" s="42" t="str">
        <f ca="1"/>
        <v/>
      </c>
      <c r="CL1501" s="42" t="str">
        <f ca="1"/>
        <v/>
      </c>
      <c r="CM1501" s="42" t="str">
        <f ca="1"/>
        <v/>
      </c>
      <c r="CN1501" s="42" t="str">
        <f ca="1"/>
        <v/>
      </c>
      <c r="CO1501" s="42" t="str">
        <f ca="1"/>
        <v/>
      </c>
      <c r="CP1501" s="42" t="str">
        <f ca="1"/>
        <v/>
      </c>
      <c r="CQ1501" s="42" t="str">
        <f ca="1"/>
        <v/>
      </c>
      <c r="CR1501" s="42" t="str">
        <f ca="1"/>
        <v/>
      </c>
      <c r="CS1501" s="42" t="str">
        <f ca="1"/>
        <v/>
      </c>
      <c r="CT1501" s="42" t="str">
        <f ca="1"/>
        <v/>
      </c>
      <c r="CU1501" s="42" t="str">
        <f ca="1"/>
        <v/>
      </c>
      <c r="CV1501" s="42" t="str">
        <f ca="1"/>
        <v/>
      </c>
      <c r="CW1501" s="42" t="str">
        <f ca="1"/>
        <v/>
      </c>
      <c r="CX1501" s="42" t="str">
        <f ca="1"/>
        <v/>
      </c>
      <c r="CY1501" s="42" t="str">
        <f ca="1"/>
        <v/>
      </c>
      <c r="CZ1501" s="42" t="str">
        <f ca="1"/>
        <v/>
      </c>
      <c r="DA1501" s="42" t="str">
        <f ca="1"/>
        <v/>
      </c>
      <c r="DB1501" s="42" t="str">
        <f ca="1"/>
        <v/>
      </c>
      <c r="DC1501" s="42" t="str">
        <f ca="1"/>
        <v/>
      </c>
      <c r="DD1501" s="42" t="str">
        <f ca="1"/>
        <v/>
      </c>
      <c r="DE1501" s="42" t="str">
        <f ca="1"/>
        <v/>
      </c>
      <c r="DF1501" s="42" t="str">
        <f ca="1"/>
        <v/>
      </c>
      <c r="DG1501" s="42" t="str">
        <f ca="1"/>
        <v/>
      </c>
      <c r="DH1501" s="42" t="str">
        <f ca="1"/>
        <v/>
      </c>
      <c r="DI1501" s="42" t="str">
        <f ca="1"/>
        <v/>
      </c>
      <c r="DJ1501" s="42" t="str">
        <f ca="1"/>
        <v/>
      </c>
      <c r="DK1501" s="42" t="str">
        <f ca="1"/>
        <v/>
      </c>
      <c r="DL1501" s="42" t="str">
        <f ca="1"/>
        <v/>
      </c>
      <c r="DM1501" s="42" t="str">
        <f ca="1"/>
        <v/>
      </c>
      <c r="DN1501" s="42" t="str">
        <f ca="1"/>
        <v/>
      </c>
      <c r="DO1501" s="42" t="str">
        <f ca="1"/>
        <v/>
      </c>
      <c r="DP1501" s="42" t="str">
        <f ca="1"/>
        <v/>
      </c>
      <c r="DQ1501" s="42" t="str">
        <f ca="1"/>
        <v/>
      </c>
      <c r="DR1501" s="42" t="str">
        <f ca="1"/>
        <v/>
      </c>
      <c r="DS1501" s="42" t="str">
        <f ca="1"/>
        <v/>
      </c>
      <c r="DT1501" s="42" t="str">
        <f ca="1"/>
        <v/>
      </c>
      <c r="DU1501" s="42" t="str">
        <f ca="1"/>
        <v/>
      </c>
      <c r="DV1501" s="42" t="str">
        <f ca="1"/>
        <v/>
      </c>
      <c r="DW1501" s="42" t="str">
        <f ca="1"/>
        <v/>
      </c>
      <c r="DX1501" s="42" t="str">
        <f ca="1"/>
        <v/>
      </c>
      <c r="DY1501" s="42" t="str">
        <f ca="1"/>
        <v/>
      </c>
      <c r="DZ1501" s="42" t="str">
        <f ca="1"/>
        <v/>
      </c>
      <c r="EA1501" s="42" t="str">
        <f ca="1"/>
        <v/>
      </c>
      <c r="EB1501" s="42" t="str">
        <f ca="1"/>
        <v/>
      </c>
      <c r="EC1501" s="42" t="str">
        <f ca="1"/>
        <v/>
      </c>
      <c r="ED1501" s="42" t="str">
        <f ca="1"/>
        <v/>
      </c>
      <c r="EE1501" s="42" t="str">
        <f ca="1"/>
        <v/>
      </c>
      <c r="EF1501" s="42" t="str">
        <f ca="1"/>
        <v/>
      </c>
      <c r="EG1501" s="42" t="str">
        <f ca="1"/>
        <v/>
      </c>
      <c r="EH1501" s="42" t="str">
        <f ca="1"/>
        <v/>
      </c>
      <c r="EI1501" s="42" t="str">
        <f ca="1"/>
        <v/>
      </c>
      <c r="EJ1501" s="42" t="str">
        <f ca="1"/>
        <v/>
      </c>
      <c r="EK1501" s="42" t="str">
        <f ca="1"/>
        <v/>
      </c>
      <c r="EL1501" s="42" t="str">
        <f ca="1"/>
        <v/>
      </c>
      <c r="EM1501" s="42" t="str">
        <f ca="1"/>
        <v/>
      </c>
      <c r="EN1501" s="42" t="str">
        <f ca="1"/>
        <v/>
      </c>
      <c r="EO1501" s="42" t="str">
        <f ca="1"/>
        <v/>
      </c>
      <c r="EP1501" s="42" t="str">
        <f ca="1"/>
        <v/>
      </c>
      <c r="EQ1501" s="42" t="str">
        <f ca="1"/>
        <v/>
      </c>
      <c r="ER1501" s="42" t="str">
        <f ca="1"/>
        <v/>
      </c>
      <c r="ES1501" s="42" t="str">
        <f ca="1"/>
        <v/>
      </c>
      <c r="ET1501" s="42" t="str">
        <f ca="1"/>
        <v/>
      </c>
      <c r="EU1501" s="42" t="str">
        <f ca="1"/>
        <v/>
      </c>
      <c r="EV1501" s="42" t="str">
        <f ca="1"/>
        <v/>
      </c>
      <c r="EW1501" s="42" t="str">
        <f ca="1"/>
        <v/>
      </c>
      <c r="EX1501" s="42" t="str">
        <f ca="1"/>
        <v/>
      </c>
      <c r="EY1501" s="42" t="str">
        <f ca="1"/>
        <v/>
      </c>
      <c r="EZ1501" s="42" t="str">
        <f ca="1"/>
        <v/>
      </c>
      <c r="FA1501" s="42" t="str">
        <f ca="1"/>
        <v/>
      </c>
      <c r="FB1501" s="42" t="str">
        <f ca="1"/>
        <v/>
      </c>
      <c r="FC1501" s="42" t="str">
        <f ca="1"/>
        <v/>
      </c>
      <c r="FD1501" s="42" t="str">
        <f ca="1"/>
        <v/>
      </c>
      <c r="FE1501" s="42" t="str">
        <f ca="1"/>
        <v/>
      </c>
      <c r="FF1501" s="42" t="str">
        <f ca="1"/>
        <v/>
      </c>
      <c r="FG1501" s="42" t="str">
        <f ca="1"/>
        <v/>
      </c>
      <c r="FH1501" s="42" t="str">
        <f ca="1"/>
        <v/>
      </c>
      <c r="FI1501" s="42" t="str">
        <f ca="1"/>
        <v/>
      </c>
      <c r="FJ1501" s="42" t="str">
        <f ca="1"/>
        <v/>
      </c>
      <c r="FK1501" s="42" t="str">
        <f ca="1"/>
        <v/>
      </c>
      <c r="FL1501" s="42" t="str">
        <f ca="1"/>
        <v/>
      </c>
      <c r="FM1501" s="42" t="str">
        <f ca="1"/>
        <v/>
      </c>
      <c r="FN1501" s="42" t="str">
        <f ca="1"/>
        <v/>
      </c>
      <c r="FO1501" s="42" t="str">
        <f ca="1"/>
        <v/>
      </c>
      <c r="FP1501" s="42" t="str">
        <f ca="1"/>
        <v/>
      </c>
      <c r="FQ1501" s="42" t="str">
        <f ca="1"/>
        <v/>
      </c>
      <c r="FR1501" s="42" t="str">
        <f ca="1"/>
        <v/>
      </c>
      <c r="FS1501" s="42" t="str">
        <f ca="1"/>
        <v/>
      </c>
      <c r="FT1501" s="42" t="str">
        <f ca="1"/>
        <v/>
      </c>
      <c r="FU1501" s="42" t="str">
        <f ca="1"/>
        <v/>
      </c>
      <c r="FV1501" s="42" t="str">
        <f ca="1"/>
        <v/>
      </c>
      <c r="FW1501" s="42" t="str">
        <f ca="1"/>
        <v/>
      </c>
      <c r="FX1501" s="42" t="str">
        <f ca="1"/>
        <v/>
      </c>
      <c r="FY1501" s="42" t="str">
        <f ca="1"/>
        <v/>
      </c>
      <c r="FZ1501" s="42" t="str">
        <f ca="1"/>
        <v/>
      </c>
      <c r="GA1501" s="42" t="str">
        <f ca="1"/>
        <v/>
      </c>
      <c r="GB1501" s="42" t="str">
        <f ca="1"/>
        <v/>
      </c>
      <c r="GC1501" s="42" t="str">
        <f ca="1"/>
        <v/>
      </c>
      <c r="GD1501" s="42" t="str">
        <f ca="1"/>
        <v/>
      </c>
      <c r="GE1501" s="42" t="str">
        <f ca="1"/>
        <v/>
      </c>
      <c r="GF1501" s="42" t="str">
        <f ca="1"/>
        <v/>
      </c>
      <c r="GG1501" s="42" t="str">
        <f ca="1"/>
        <v/>
      </c>
      <c r="GH1501" s="42" t="str">
        <f ca="1"/>
        <v/>
      </c>
      <c r="GI1501" s="42" t="str">
        <f ca="1"/>
        <v/>
      </c>
      <c r="GJ1501" s="42" t="str">
        <f ca="1"/>
        <v/>
      </c>
      <c r="GK1501" s="42" t="str">
        <f ca="1"/>
        <v/>
      </c>
      <c r="GL1501" s="42" t="str">
        <f ca="1"/>
        <v/>
      </c>
      <c r="GM1501" s="42" t="str">
        <f ca="1"/>
        <v/>
      </c>
      <c r="GN1501" s="42" t="str">
        <f ca="1"/>
        <v/>
      </c>
      <c r="GO1501" s="42" t="str">
        <f ca="1"/>
        <v/>
      </c>
      <c r="GP1501" s="42" t="str">
        <f ca="1"/>
        <v/>
      </c>
      <c r="GQ1501" s="42" t="str">
        <f ca="1"/>
        <v/>
      </c>
      <c r="GR1501" s="42" t="str">
        <f ca="1"/>
        <v/>
      </c>
      <c r="GS1501" s="42" t="str">
        <f ca="1"/>
        <v/>
      </c>
      <c r="GT1501" s="42" t="str">
        <f ca="1"/>
        <v/>
      </c>
      <c r="GU1501" s="42" t="str">
        <f ca="1"/>
        <v/>
      </c>
      <c r="GV1501" s="42" t="str">
        <f ca="1"/>
        <v/>
      </c>
      <c r="GW1501" s="42" t="str">
        <f ca="1"/>
        <v/>
      </c>
      <c r="GX1501" s="42" t="str">
        <f ca="1"/>
        <v/>
      </c>
      <c r="GY1501" s="42" t="str">
        <f ca="1"/>
        <v/>
      </c>
      <c r="GZ1501" s="42" t="str">
        <f ca="1"/>
        <v/>
      </c>
      <c r="HA1501" s="42" t="str">
        <f ca="1"/>
        <v/>
      </c>
      <c r="HB1501" s="42" t="str">
        <f ca="1"/>
        <v/>
      </c>
      <c r="HC1501" s="42" t="str">
        <f ca="1"/>
        <v/>
      </c>
      <c r="HD1501" s="42" t="str">
        <f ca="1"/>
        <v/>
      </c>
      <c r="HE1501" s="42" t="str">
        <f ca="1"/>
        <v/>
      </c>
      <c r="HF1501" s="42" t="str">
        <f ca="1"/>
        <v/>
      </c>
      <c r="HG1501" s="42" t="str">
        <f ca="1"/>
        <v/>
      </c>
      <c r="HH1501" s="42" t="str">
        <f ca="1"/>
        <v/>
      </c>
      <c r="HI1501" s="42" t="str">
        <f ca="1"/>
        <v/>
      </c>
      <c r="HJ1501" s="42" t="str">
        <f ca="1"/>
        <v/>
      </c>
      <c r="HK1501" s="42" t="str">
        <f ca="1"/>
        <v/>
      </c>
      <c r="HL1501" s="42" t="str">
        <f ca="1"/>
        <v/>
      </c>
      <c r="HM1501" s="42" t="str">
        <f ca="1"/>
        <v/>
      </c>
      <c r="HN1501" s="42" t="str">
        <f ca="1"/>
        <v/>
      </c>
      <c r="HO1501" s="42" t="str">
        <f ca="1"/>
        <v/>
      </c>
      <c r="HP1501" s="42" t="str">
        <f ca="1"/>
        <v/>
      </c>
      <c r="HQ1501" s="42" t="str">
        <f ca="1"/>
        <v/>
      </c>
      <c r="HR1501" s="42" t="str">
        <f ca="1"/>
        <v/>
      </c>
      <c r="HS1501" s="42" t="str">
        <f ca="1"/>
        <v/>
      </c>
      <c r="HT1501" s="42" t="str">
        <f ca="1"/>
        <v/>
      </c>
      <c r="HU1501" s="42" t="str">
        <f ca="1"/>
        <v/>
      </c>
      <c r="HV1501" s="42" t="str">
        <f ca="1"/>
        <v/>
      </c>
      <c r="HW1501" s="42" t="str">
        <f ca="1"/>
        <v/>
      </c>
      <c r="HX1501" s="42" t="str">
        <f ca="1"/>
        <v/>
      </c>
      <c r="HY1501" s="42" t="str">
        <f ca="1"/>
        <v/>
      </c>
      <c r="HZ1501" s="42" t="str">
        <f ca="1"/>
        <v/>
      </c>
      <c r="IA1501" s="42" t="str">
        <f ca="1"/>
        <v/>
      </c>
      <c r="IB1501" s="42" t="str">
        <f ca="1"/>
        <v/>
      </c>
      <c r="IC1501" s="42" t="str">
        <f ca="1"/>
        <v/>
      </c>
      <c r="ID1501" s="42" t="str">
        <f ca="1"/>
        <v/>
      </c>
      <c r="IE1501" s="42" t="str">
        <f ca="1"/>
        <v/>
      </c>
      <c r="IF1501" s="42" t="str">
        <f ca="1"/>
        <v/>
      </c>
      <c r="IG1501" s="42" t="str">
        <f ca="1"/>
        <v/>
      </c>
      <c r="IH1501" s="42" t="str">
        <f ca="1"/>
        <v/>
      </c>
      <c r="II1501" s="42" t="str">
        <f ca="1"/>
        <v/>
      </c>
      <c r="IJ1501" s="42" t="str">
        <f ca="1"/>
        <v/>
      </c>
      <c r="IK1501" s="42" t="str">
        <f ca="1"/>
        <v/>
      </c>
      <c r="IL1501" s="42" t="str">
        <f ca="1"/>
        <v/>
      </c>
      <c r="IM1501" s="42" t="str">
        <f ca="1"/>
        <v/>
      </c>
      <c r="IN1501" s="42" t="str">
        <f ca="1"/>
        <v/>
      </c>
      <c r="IO1501" s="42" t="str">
        <f ca="1"/>
        <v/>
      </c>
      <c r="IP1501" s="42" t="str">
        <f ca="1"/>
        <v/>
      </c>
      <c r="IQ1501" s="42" t="str">
        <f ca="1"/>
        <v/>
      </c>
      <c r="IR1501" s="42" t="str">
        <f ca="1"/>
        <v/>
      </c>
      <c r="IS1501" s="42" t="str">
        <f ca="1"/>
        <v/>
      </c>
      <c r="IT1501" s="42" t="str">
        <f ca="1"/>
        <v/>
      </c>
      <c r="IU1501" s="42" t="str">
        <f ca="1"/>
        <v/>
      </c>
      <c r="IV1501" s="42" t="str">
        <f ca="1"/>
        <v/>
      </c>
      <c r="IW1501" s="42" t="str">
        <f ca="1"/>
        <v/>
      </c>
      <c r="IX1501" s="42" t="str">
        <f ca="1"/>
        <v/>
      </c>
      <c r="IY1501" s="42" t="str">
        <f ca="1"/>
        <v/>
      </c>
      <c r="IZ1501" s="42" t="str">
        <f ca="1"/>
        <v/>
      </c>
      <c r="JA1501" s="42" t="str">
        <f ca="1"/>
        <v/>
      </c>
      <c r="JB1501" s="42" t="str">
        <f ca="1"/>
        <v/>
      </c>
      <c r="JC1501" s="42" t="str">
        <f ca="1"/>
        <v/>
      </c>
      <c r="JD1501" s="42" t="str">
        <f ca="1"/>
        <v/>
      </c>
      <c r="JE1501" s="42" t="str">
        <f ca="1"/>
        <v/>
      </c>
      <c r="JF1501" s="42" t="str">
        <f ca="1"/>
        <v/>
      </c>
      <c r="JG1501" s="42" t="str">
        <f ca="1"/>
        <v/>
      </c>
      <c r="JH1501" s="42" t="str">
        <f ca="1"/>
        <v/>
      </c>
      <c r="JI1501" s="42" t="str">
        <f ca="1"/>
        <v/>
      </c>
      <c r="JJ1501" s="42" t="str">
        <f ca="1"/>
        <v/>
      </c>
      <c r="JK1501" s="42" t="str">
        <f ca="1"/>
        <v/>
      </c>
      <c r="JL1501" s="42" t="str">
        <f ca="1"/>
        <v/>
      </c>
      <c r="JM1501" s="42" t="str">
        <f ca="1"/>
        <v/>
      </c>
      <c r="JN1501" s="42" t="str">
        <f ca="1"/>
        <v/>
      </c>
      <c r="JO1501" s="42" t="str">
        <f ca="1"/>
        <v/>
      </c>
      <c r="JP1501" s="42" t="str">
        <f ca="1"/>
        <v/>
      </c>
      <c r="JQ1501" s="42" t="str">
        <f ca="1"/>
        <v/>
      </c>
      <c r="JR1501" s="42" t="str">
        <f ca="1"/>
        <v/>
      </c>
      <c r="JS1501" s="42" t="str">
        <f ca="1"/>
        <v/>
      </c>
      <c r="JT1501" s="42" t="str">
        <f ca="1"/>
        <v/>
      </c>
      <c r="JU1501" s="42" t="str">
        <f ca="1"/>
        <v/>
      </c>
      <c r="JV1501" s="42" t="str">
        <f ca="1"/>
        <v/>
      </c>
      <c r="JW1501" s="42" t="str">
        <f ca="1"/>
        <v/>
      </c>
      <c r="JX1501" s="42" t="str">
        <f ca="1"/>
        <v/>
      </c>
      <c r="JY1501" s="42" t="str">
        <f ca="1"/>
        <v/>
      </c>
      <c r="JZ1501" s="42" t="str">
        <f ca="1"/>
        <v/>
      </c>
      <c r="KA1501" s="42" t="str">
        <f ca="1"/>
        <v/>
      </c>
      <c r="KB1501" s="42" t="str">
        <f ca="1"/>
        <v/>
      </c>
      <c r="KC1501" s="42" t="str">
        <f ca="1"/>
        <v/>
      </c>
      <c r="KD1501" s="42" t="str">
        <f ca="1"/>
        <v/>
      </c>
      <c r="KE1501" s="42" t="str">
        <f ca="1"/>
        <v/>
      </c>
      <c r="KF1501" s="42" t="str">
        <f ca="1"/>
        <v/>
      </c>
      <c r="KG1501" s="42" t="str">
        <f ca="1"/>
        <v/>
      </c>
      <c r="KH1501" s="42" t="str">
        <f ca="1"/>
        <v/>
      </c>
      <c r="KI1501" s="42" t="str">
        <f ca="1"/>
        <v/>
      </c>
      <c r="KJ1501" s="42" t="str">
        <f ca="1"/>
        <v/>
      </c>
      <c r="KK1501" s="42" t="str">
        <f ca="1"/>
        <v/>
      </c>
      <c r="KL1501" s="42" t="str">
        <f ca="1"/>
        <v/>
      </c>
      <c r="KM1501" s="42" t="str">
        <f ca="1"/>
        <v/>
      </c>
      <c r="KN1501" s="42" t="str">
        <f ca="1"/>
        <v/>
      </c>
      <c r="KO1501" s="42" t="str">
        <f ca="1"/>
        <v/>
      </c>
      <c r="KP1501" s="42" t="str">
        <f ca="1"/>
        <v/>
      </c>
      <c r="KQ1501" s="42" t="str">
        <f ca="1"/>
        <v/>
      </c>
      <c r="KR1501" s="42" t="str">
        <f ca="1"/>
        <v/>
      </c>
      <c r="KS1501" s="42" t="str">
        <f ca="1"/>
        <v/>
      </c>
      <c r="KT1501" s="42" t="str">
        <f ca="1"/>
        <v/>
      </c>
      <c r="KU1501" s="42" t="str">
        <f ca="1"/>
        <v/>
      </c>
      <c r="KV1501" s="42" t="str">
        <f ca="1"/>
        <v/>
      </c>
      <c r="KW1501" s="42" t="str">
        <f ca="1"/>
        <v/>
      </c>
      <c r="KX1501" s="42" t="str">
        <f ca="1"/>
        <v/>
      </c>
      <c r="KY1501" s="42" t="str">
        <f ca="1"/>
        <v/>
      </c>
      <c r="KZ1501" s="42" t="str">
        <f ca="1"/>
        <v/>
      </c>
      <c r="LA1501" s="42" t="str">
        <f ca="1"/>
        <v/>
      </c>
      <c r="LB1501" s="42" t="str">
        <f ca="1"/>
        <v/>
      </c>
      <c r="LC1501" s="42" t="str">
        <f ca="1"/>
        <v/>
      </c>
      <c r="LD1501" s="42" t="str">
        <f ca="1"/>
        <v/>
      </c>
      <c r="LE1501" s="42" t="str">
        <f ca="1"/>
        <v/>
      </c>
      <c r="LF1501" s="42" t="str">
        <f ca="1"/>
        <v/>
      </c>
      <c r="LG1501" s="42" t="str">
        <f ca="1"/>
        <v/>
      </c>
      <c r="LH1501" s="42" t="str">
        <f ca="1"/>
        <v/>
      </c>
      <c r="LI1501" s="42" t="str">
        <f ca="1"/>
        <v/>
      </c>
      <c r="LJ1501" s="42" t="str">
        <f ca="1"/>
        <v/>
      </c>
      <c r="LK1501" s="42" t="str">
        <f ca="1"/>
        <v/>
      </c>
      <c r="LL1501" s="42" t="str">
        <f ca="1"/>
        <v/>
      </c>
      <c r="LM1501" s="42" t="str">
        <f ca="1"/>
        <v/>
      </c>
      <c r="LN1501" s="42" t="str">
        <f ca="1"/>
        <v/>
      </c>
      <c r="LO1501" s="42" t="str">
        <f ca="1"/>
        <v/>
      </c>
      <c r="LP1501" s="42" t="str">
        <f ca="1"/>
        <v/>
      </c>
      <c r="LQ1501" s="42" t="str">
        <f ca="1"/>
        <v/>
      </c>
      <c r="LR1501" s="42" t="str">
        <f ca="1"/>
        <v/>
      </c>
      <c r="LS1501" s="42" t="str">
        <f ca="1"/>
        <v/>
      </c>
      <c r="LT1501" s="42" t="str">
        <f ca="1"/>
        <v/>
      </c>
      <c r="LU1501" s="42" t="str">
        <f ca="1"/>
        <v/>
      </c>
      <c r="LV1501" s="42" t="str">
        <f ca="1"/>
        <v/>
      </c>
      <c r="LW1501" s="42" t="str">
        <f ca="1"/>
        <v/>
      </c>
      <c r="LX1501" s="42" t="str">
        <f ca="1"/>
        <v/>
      </c>
      <c r="LY1501" s="42" t="str">
        <f ca="1"/>
        <v/>
      </c>
      <c r="LZ1501" s="42" t="str">
        <f ca="1"/>
        <v/>
      </c>
      <c r="MA1501" s="42" t="str">
        <f ca="1"/>
        <v/>
      </c>
      <c r="MB1501" s="42" t="str">
        <f ca="1"/>
        <v/>
      </c>
      <c r="MC1501" s="42" t="str">
        <f ca="1"/>
        <v/>
      </c>
      <c r="MD1501" s="42" t="str">
        <f ca="1"/>
        <v/>
      </c>
      <c r="ME1501" s="42" t="str">
        <f ca="1"/>
        <v/>
      </c>
      <c r="MF1501" s="42" t="str">
        <f ca="1"/>
        <v/>
      </c>
      <c r="MG1501" s="42" t="str">
        <f ca="1"/>
        <v/>
      </c>
      <c r="MH1501" s="42" t="str">
        <f ca="1"/>
        <v/>
      </c>
      <c r="MI1501" s="42" t="str">
        <f ca="1"/>
        <v/>
      </c>
      <c r="MJ1501" s="42" t="str">
        <f ca="1"/>
        <v/>
      </c>
      <c r="MK1501" s="42" t="str">
        <f ca="1"/>
        <v/>
      </c>
      <c r="ML1501" s="42" t="str">
        <f ca="1"/>
        <v/>
      </c>
      <c r="MM1501" s="42" t="str">
        <f ca="1"/>
        <v/>
      </c>
      <c r="MN1501" s="42" t="str">
        <f ca="1"/>
        <v/>
      </c>
      <c r="MO1501" s="42" t="str">
        <f ca="1"/>
        <v/>
      </c>
      <c r="MP1501" s="42" t="str">
        <f ca="1"/>
        <v/>
      </c>
      <c r="MQ1501" s="42" t="str">
        <f ca="1"/>
        <v/>
      </c>
      <c r="MR1501" s="42" t="str">
        <f ca="1"/>
        <v/>
      </c>
      <c r="MS1501" s="42" t="str">
        <f ca="1"/>
        <v/>
      </c>
      <c r="MT1501" s="42" t="str">
        <f ca="1"/>
        <v/>
      </c>
      <c r="MU1501" s="42" t="str">
        <f ca="1"/>
        <v/>
      </c>
      <c r="MV1501" s="42" t="str">
        <f ca="1"/>
        <v/>
      </c>
      <c r="MW1501" s="42" t="str">
        <f ca="1"/>
        <v/>
      </c>
      <c r="MX1501" s="42" t="str">
        <f ca="1"/>
        <v/>
      </c>
      <c r="MY1501" s="42" t="str">
        <f ca="1"/>
        <v/>
      </c>
      <c r="MZ1501" s="42" t="str">
        <f ca="1"/>
        <v/>
      </c>
      <c r="NA1501" s="42" t="str">
        <f ca="1"/>
        <v/>
      </c>
      <c r="NB1501" s="42" t="str">
        <f ca="1"/>
        <v/>
      </c>
      <c r="NC1501" s="42" t="str">
        <f ca="1"/>
        <v/>
      </c>
      <c r="ND1501" s="42" t="str">
        <f ca="1"/>
        <v/>
      </c>
      <c r="NE1501" s="42" t="str">
        <f ca="1"/>
        <v/>
      </c>
      <c r="NF1501" s="42" t="str">
        <f ca="1"/>
        <v/>
      </c>
      <c r="NG1501" s="42" t="str">
        <f ca="1"/>
        <v/>
      </c>
      <c r="NH1501" s="42" t="str">
        <f ca="1"/>
        <v/>
      </c>
      <c r="NI1501" s="42" t="str">
        <f ca="1"/>
        <v/>
      </c>
      <c r="NJ1501" s="42" t="str">
        <f ca="1"/>
        <v/>
      </c>
      <c r="NK1501" s="42" t="str">
        <f ca="1"/>
        <v/>
      </c>
      <c r="NL1501" s="42" t="str">
        <f ca="1"/>
        <v/>
      </c>
      <c r="NM1501" s="42" t="str">
        <f ca="1"/>
        <v/>
      </c>
      <c r="NN1501" s="42" t="str">
        <f ca="1"/>
        <v/>
      </c>
      <c r="NO1501" s="42" t="str">
        <f ca="1"/>
        <v/>
      </c>
      <c r="NP1501" s="42" t="str">
        <f ca="1"/>
        <v/>
      </c>
      <c r="NQ1501" s="42" t="str">
        <f ca="1"/>
        <v/>
      </c>
      <c r="NR1501" s="42" t="str">
        <f ca="1"/>
        <v/>
      </c>
      <c r="NS1501" s="42" t="str">
        <f ca="1"/>
        <v/>
      </c>
      <c r="NT1501" s="42" t="str">
        <f ca="1"/>
        <v/>
      </c>
      <c r="NU1501" s="42" t="str">
        <f ca="1"/>
        <v/>
      </c>
      <c r="NV1501" s="42" t="str">
        <f ca="1"/>
        <v/>
      </c>
      <c r="NW1501" s="42" t="str">
        <f ca="1"/>
        <v/>
      </c>
      <c r="NX1501" s="42" t="str">
        <f ca="1"/>
        <v/>
      </c>
      <c r="NY1501" s="42" t="str">
        <f ca="1"/>
        <v/>
      </c>
      <c r="NZ1501" s="42" t="str">
        <f ca="1"/>
        <v/>
      </c>
      <c r="OA1501" s="42" t="str">
        <f ca="1"/>
        <v/>
      </c>
      <c r="OB1501" s="42" t="str">
        <f ca="1"/>
        <v/>
      </c>
      <c r="OC1501" s="42" t="str">
        <f ca="1"/>
        <v/>
      </c>
      <c r="OD1501" s="42" t="str">
        <f ca="1"/>
        <v/>
      </c>
      <c r="OE1501" s="42" t="str">
        <f ca="1"/>
        <v/>
      </c>
      <c r="OF1501" s="42" t="str">
        <f ca="1"/>
        <v/>
      </c>
      <c r="OG1501" s="42" t="str">
        <f ca="1"/>
        <v/>
      </c>
      <c r="OH1501" s="42" t="str">
        <f ca="1"/>
        <v/>
      </c>
      <c r="OI1501" s="42" t="str">
        <f ca="1"/>
        <v/>
      </c>
      <c r="OJ1501" s="42" t="str">
        <f ca="1"/>
        <v/>
      </c>
      <c r="OK1501" s="42" t="str">
        <f ca="1"/>
        <v/>
      </c>
      <c r="OL1501" s="42" t="str">
        <f ca="1"/>
        <v/>
      </c>
      <c r="OM1501" s="42" t="str">
        <f ca="1"/>
        <v/>
      </c>
      <c r="ON1501" s="42" t="str">
        <f ca="1"/>
        <v/>
      </c>
      <c r="OO1501" s="42" t="str">
        <f ca="1"/>
        <v/>
      </c>
      <c r="OP1501" s="42" t="str">
        <f ca="1"/>
        <v/>
      </c>
      <c r="OQ1501" s="42" t="str">
        <f ca="1"/>
        <v/>
      </c>
      <c r="OR1501" s="42" t="str">
        <f ca="1"/>
        <v/>
      </c>
      <c r="OS1501" s="42" t="str">
        <f ca="1"/>
        <v/>
      </c>
      <c r="OT1501" s="42" t="str">
        <f ca="1"/>
        <v/>
      </c>
      <c r="OU1501" s="42" t="str">
        <f ca="1"/>
        <v/>
      </c>
      <c r="OV1501" s="42" t="str">
        <f ca="1"/>
        <v/>
      </c>
      <c r="OW1501" s="42" t="str">
        <f ca="1"/>
        <v/>
      </c>
      <c r="OX1501" s="42" t="str">
        <f ca="1"/>
        <v/>
      </c>
      <c r="OY1501" s="42" t="str">
        <f ca="1"/>
        <v/>
      </c>
      <c r="OZ1501" s="42" t="str">
        <f ca="1"/>
        <v/>
      </c>
      <c r="PA1501" s="42" t="str">
        <f ca="1"/>
        <v/>
      </c>
      <c r="PB1501" s="42" t="str">
        <f ca="1"/>
        <v/>
      </c>
      <c r="PC1501" s="42" t="str">
        <f ca="1"/>
        <v/>
      </c>
      <c r="PD1501" s="42" t="str">
        <f ca="1"/>
        <v/>
      </c>
      <c r="PE1501" s="42" t="str">
        <f ca="1"/>
        <v/>
      </c>
      <c r="PF1501" s="42" t="str">
        <f ca="1"/>
        <v/>
      </c>
      <c r="PG1501" s="42" t="str">
        <f ca="1"/>
        <v/>
      </c>
      <c r="PH1501" s="42" t="str">
        <f ca="1"/>
        <v/>
      </c>
      <c r="PI1501" s="42" t="str">
        <f ca="1"/>
        <v/>
      </c>
      <c r="PJ1501" s="42" t="str">
        <f ca="1"/>
        <v/>
      </c>
      <c r="PK1501" s="42" t="str">
        <f ca="1"/>
        <v/>
      </c>
      <c r="PL1501" s="42" t="str">
        <f ca="1"/>
        <v/>
      </c>
      <c r="PM1501" s="42" t="str">
        <f ca="1"/>
        <v/>
      </c>
      <c r="PN1501" s="42" t="str">
        <f ca="1"/>
        <v/>
      </c>
      <c r="PO1501" s="42" t="str">
        <f ca="1"/>
        <v/>
      </c>
      <c r="PP1501" s="42" t="str">
        <f ca="1"/>
        <v/>
      </c>
      <c r="PQ1501" s="42" t="str">
        <f ca="1"/>
        <v/>
      </c>
      <c r="PR1501" s="42" t="str">
        <f ca="1"/>
        <v/>
      </c>
      <c r="PS1501" s="42" t="str">
        <f ca="1"/>
        <v/>
      </c>
      <c r="PT1501" s="42" t="str">
        <f ca="1"/>
        <v/>
      </c>
      <c r="PU1501" s="42" t="str">
        <f ca="1"/>
        <v/>
      </c>
      <c r="PV1501" s="42" t="str">
        <f ca="1"/>
        <v/>
      </c>
      <c r="PW1501" s="42" t="str">
        <f ca="1"/>
        <v/>
      </c>
      <c r="PX1501" s="42" t="str">
        <f ca="1"/>
        <v/>
      </c>
      <c r="PY1501" s="42" t="str">
        <f ca="1"/>
        <v/>
      </c>
      <c r="PZ1501" s="42" t="str">
        <f ca="1"/>
        <v/>
      </c>
      <c r="QA1501" s="42" t="str">
        <f ca="1"/>
        <v/>
      </c>
      <c r="QB1501" s="42" t="str">
        <f ca="1"/>
        <v/>
      </c>
      <c r="QC1501" s="42" t="str">
        <f ca="1"/>
        <v/>
      </c>
      <c r="QD1501" s="42" t="str">
        <f ca="1"/>
        <v/>
      </c>
      <c r="QE1501" s="42" t="str">
        <f ca="1"/>
        <v/>
      </c>
      <c r="QF1501" s="42" t="str">
        <f ca="1"/>
        <v/>
      </c>
      <c r="QG1501" s="42" t="str">
        <f ca="1"/>
        <v/>
      </c>
      <c r="QH1501" s="42" t="str">
        <f ca="1"/>
        <v/>
      </c>
      <c r="QI1501" s="42" t="str">
        <f ca="1"/>
        <v/>
      </c>
      <c r="QJ1501" s="42" t="str">
        <f ca="1"/>
        <v/>
      </c>
      <c r="QK1501" s="42" t="str">
        <f ca="1"/>
        <v/>
      </c>
      <c r="QL1501" s="42" t="str">
        <f ca="1"/>
        <v/>
      </c>
      <c r="QM1501" s="42" t="str">
        <f ca="1"/>
        <v/>
      </c>
      <c r="QN1501" s="42" t="str">
        <f ca="1"/>
        <v/>
      </c>
      <c r="QO1501" s="42" t="str">
        <f ca="1"/>
        <v/>
      </c>
      <c r="QP1501" s="42" t="str">
        <f ca="1"/>
        <v/>
      </c>
      <c r="QQ1501" s="42" t="str">
        <f ca="1"/>
        <v/>
      </c>
      <c r="QR1501" s="42" t="str">
        <f ca="1"/>
        <v/>
      </c>
      <c r="QS1501" s="42" t="str">
        <f ca="1"/>
        <v/>
      </c>
      <c r="QT1501" s="42" t="str">
        <f ca="1"/>
        <v/>
      </c>
      <c r="QU1501" s="42" t="str">
        <f ca="1"/>
        <v/>
      </c>
      <c r="QV1501" s="42" t="str">
        <f ca="1"/>
        <v/>
      </c>
      <c r="QW1501" s="42" t="str">
        <f ca="1"/>
        <v/>
      </c>
      <c r="QX1501" s="42" t="str">
        <f ca="1"/>
        <v/>
      </c>
      <c r="QY1501" s="42" t="str">
        <f ca="1"/>
        <v/>
      </c>
      <c r="QZ1501" s="42" t="str">
        <f ca="1"/>
        <v/>
      </c>
      <c r="RA1501" s="42" t="str">
        <f ca="1"/>
        <v/>
      </c>
      <c r="RB1501" s="42" t="str">
        <f ca="1"/>
        <v/>
      </c>
      <c r="RC1501" s="42" t="str">
        <f ca="1"/>
        <v/>
      </c>
      <c r="RD1501" s="42" t="str">
        <f ca="1"/>
        <v/>
      </c>
      <c r="RE1501" s="42" t="str">
        <f ca="1"/>
        <v/>
      </c>
      <c r="RF1501" s="42" t="str">
        <f ca="1"/>
        <v/>
      </c>
      <c r="RG1501" s="42" t="str">
        <f ca="1"/>
        <v/>
      </c>
      <c r="RH1501" s="42" t="str">
        <f ca="1"/>
        <v/>
      </c>
      <c r="RI1501" s="42" t="str">
        <f ca="1"/>
        <v/>
      </c>
      <c r="RJ1501" s="42" t="str">
        <f ca="1"/>
        <v/>
      </c>
      <c r="RK1501" s="42" t="str">
        <f ca="1"/>
        <v/>
      </c>
      <c r="RL1501" s="42" t="str">
        <f ca="1"/>
        <v/>
      </c>
      <c r="RM1501" s="42" t="str">
        <f ca="1"/>
        <v/>
      </c>
      <c r="RN1501" s="42" t="str">
        <f ca="1"/>
        <v/>
      </c>
      <c r="RO1501" s="42" t="str">
        <f ca="1"/>
        <v/>
      </c>
      <c r="RP1501" s="42" t="str">
        <f ca="1"/>
        <v/>
      </c>
      <c r="RQ1501" s="42" t="str">
        <f ca="1"/>
        <v/>
      </c>
      <c r="RR1501" s="42" t="str">
        <f ca="1"/>
        <v/>
      </c>
      <c r="RS1501" s="42" t="str">
        <f ca="1"/>
        <v/>
      </c>
      <c r="RT1501" s="42" t="str">
        <f ca="1"/>
        <v/>
      </c>
      <c r="RU1501" s="42" t="str">
        <f ca="1"/>
        <v/>
      </c>
      <c r="RV1501" s="42" t="str">
        <f ca="1"/>
        <v/>
      </c>
      <c r="RW1501" s="42" t="str">
        <f ca="1"/>
        <v/>
      </c>
      <c r="RX1501" s="42" t="str">
        <f ca="1"/>
        <v/>
      </c>
      <c r="RY1501" s="42" t="str">
        <f ca="1"/>
        <v/>
      </c>
      <c r="RZ1501" s="42" t="str">
        <f ca="1"/>
        <v/>
      </c>
      <c r="SA1501" s="42" t="str">
        <f ca="1"/>
        <v/>
      </c>
      <c r="SB1501" s="42" t="str">
        <f ca="1"/>
        <v/>
      </c>
      <c r="SC1501" s="42" t="str">
        <f ca="1"/>
        <v/>
      </c>
      <c r="SD1501" s="42" t="str">
        <f ca="1"/>
        <v/>
      </c>
      <c r="SE1501" s="42" t="str">
        <f ca="1"/>
        <v/>
      </c>
      <c r="SF1501" s="42" t="str">
        <f ca="1"/>
        <v/>
      </c>
      <c r="SG1501" s="42" t="str">
        <f ca="1"/>
        <v/>
      </c>
      <c r="SH1501" s="42" t="str">
        <f ca="1"/>
        <v/>
      </c>
      <c r="SI1501" s="42" t="str">
        <f ca="1"/>
        <v/>
      </c>
      <c r="SJ1501" s="42" t="str">
        <f ca="1"/>
        <v/>
      </c>
      <c r="SK1501" s="42" t="str">
        <f ca="1"/>
        <v/>
      </c>
      <c r="SL1501" s="42" t="str">
        <f ca="1"/>
        <v/>
      </c>
      <c r="SM1501" s="42" t="str">
        <f ca="1"/>
        <v/>
      </c>
      <c r="SN1501" s="42" t="str">
        <f ca="1"/>
        <v/>
      </c>
      <c r="SO1501" s="42" t="str">
        <f ca="1"/>
        <v/>
      </c>
      <c r="SP1501" s="42" t="str">
        <f ca="1"/>
        <v/>
      </c>
      <c r="SQ1501" s="42" t="str">
        <f ca="1"/>
        <v/>
      </c>
      <c r="SR1501" s="42" t="str">
        <f ca="1"/>
        <v/>
      </c>
      <c r="SS1501" s="42" t="str">
        <f ca="1"/>
        <v/>
      </c>
      <c r="ST1501" s="42" t="str">
        <f ca="1"/>
        <v/>
      </c>
      <c r="SU1501" s="42" t="str">
        <f ca="1"/>
        <v/>
      </c>
      <c r="SV1501" s="42" t="str">
        <f ca="1"/>
        <v/>
      </c>
      <c r="SW1501" s="42" t="str">
        <f ca="1"/>
        <v/>
      </c>
      <c r="SX1501" s="42" t="str">
        <f ca="1"/>
        <v/>
      </c>
      <c r="SY1501" s="42" t="str">
        <f ca="1"/>
        <v/>
      </c>
      <c r="SZ1501" s="42" t="str">
        <f ca="1"/>
        <v/>
      </c>
      <c r="TA1501" s="42" t="str">
        <f ca="1"/>
        <v/>
      </c>
      <c r="TB1501" s="42" t="str">
        <f ca="1"/>
        <v/>
      </c>
      <c r="TC1501" s="42" t="str">
        <f ca="1"/>
        <v/>
      </c>
      <c r="TD1501" s="42" t="str">
        <f ca="1"/>
        <v/>
      </c>
      <c r="TE1501" s="42" t="str">
        <f ca="1"/>
        <v/>
      </c>
      <c r="TF1501" s="42" t="str">
        <f ca="1"/>
        <v/>
      </c>
      <c r="TG1501" s="42" t="str">
        <f ca="1"/>
        <v/>
      </c>
      <c r="TH1501" s="42" t="str">
        <f ca="1"/>
        <v/>
      </c>
      <c r="TI1501" s="42" t="str">
        <f ca="1"/>
        <v/>
      </c>
      <c r="TJ1501" s="42" t="str">
        <f ca="1"/>
        <v/>
      </c>
      <c r="TK1501" s="42" t="str">
        <f ca="1"/>
        <v/>
      </c>
      <c r="TL1501" s="42" t="str">
        <f ca="1"/>
        <v/>
      </c>
      <c r="TM1501" s="42" t="str">
        <f ca="1"/>
        <v/>
      </c>
      <c r="TN1501" s="42" t="str">
        <f ca="1"/>
        <v/>
      </c>
      <c r="TO1501" s="42" t="str">
        <f ca="1"/>
        <v/>
      </c>
      <c r="TP1501" s="42" t="str">
        <f ca="1"/>
        <v/>
      </c>
      <c r="TQ1501" s="42" t="str">
        <f ca="1"/>
        <v/>
      </c>
      <c r="TR1501" s="42" t="str">
        <f ca="1"/>
        <v/>
      </c>
      <c r="TS1501" s="42" t="str">
        <f ca="1"/>
        <v/>
      </c>
      <c r="TT1501" s="42" t="str">
        <f ca="1"/>
        <v/>
      </c>
      <c r="TU1501" s="42" t="str">
        <f ca="1"/>
        <v/>
      </c>
      <c r="TV1501" s="42" t="str">
        <f ca="1"/>
        <v/>
      </c>
      <c r="TW1501" s="42" t="str">
        <f ca="1"/>
        <v/>
      </c>
      <c r="TX1501" s="42" t="str">
        <f ca="1"/>
        <v/>
      </c>
      <c r="TY1501" s="42" t="str">
        <f ca="1"/>
        <v/>
      </c>
      <c r="TZ1501" s="42" t="str">
        <f ca="1"/>
        <v/>
      </c>
      <c r="UA1501" s="42" t="str">
        <f ca="1"/>
        <v/>
      </c>
      <c r="UB1501" s="42" t="str">
        <f ca="1"/>
        <v/>
      </c>
      <c r="UC1501" s="42" t="str">
        <f ca="1"/>
        <v/>
      </c>
      <c r="UD1501" s="42" t="str">
        <f ca="1"/>
        <v/>
      </c>
      <c r="UE1501" s="42" t="str">
        <f ca="1"/>
        <v/>
      </c>
      <c r="UF1501" s="42" t="str">
        <f ca="1"/>
        <v/>
      </c>
      <c r="UG1501" s="42" t="str">
        <f ca="1"/>
        <v/>
      </c>
      <c r="UH1501" s="42" t="str">
        <f ca="1"/>
        <v/>
      </c>
      <c r="UI1501" s="42" t="str">
        <f ca="1"/>
        <v/>
      </c>
      <c r="UJ1501" s="42" t="str">
        <f ca="1"/>
        <v/>
      </c>
      <c r="UK1501" s="42" t="str">
        <f ca="1"/>
        <v/>
      </c>
      <c r="UL1501" s="42" t="str">
        <f ca="1"/>
        <v/>
      </c>
      <c r="UM1501" s="42" t="str">
        <f ca="1"/>
        <v/>
      </c>
      <c r="UN1501" s="42" t="str">
        <f ca="1"/>
        <v/>
      </c>
      <c r="UO1501" s="42" t="str">
        <f ca="1"/>
        <v/>
      </c>
      <c r="UP1501" s="42" t="str">
        <f ca="1"/>
        <v/>
      </c>
      <c r="UQ1501" s="42" t="str">
        <f ca="1"/>
        <v/>
      </c>
      <c r="UR1501" s="42" t="str">
        <f ca="1"/>
        <v/>
      </c>
      <c r="US1501" s="42" t="str">
        <f ca="1"/>
        <v/>
      </c>
      <c r="UT1501" s="42" t="str">
        <f ca="1"/>
        <v/>
      </c>
      <c r="UU1501" s="42" t="str">
        <f ca="1"/>
        <v/>
      </c>
      <c r="UV1501" s="42" t="str">
        <f ca="1"/>
        <v/>
      </c>
      <c r="UW1501" s="42" t="str">
        <f ca="1"/>
        <v/>
      </c>
      <c r="UX1501" s="42" t="str">
        <f ca="1"/>
        <v/>
      </c>
      <c r="UY1501" s="42" t="str">
        <f ca="1"/>
        <v/>
      </c>
      <c r="UZ1501" s="42" t="str">
        <f ca="1"/>
        <v/>
      </c>
      <c r="VA1501" s="42" t="str">
        <f ca="1"/>
        <v/>
      </c>
      <c r="VB1501" s="42" t="str">
        <f ca="1"/>
        <v/>
      </c>
      <c r="VC1501" s="42" t="str">
        <f ca="1"/>
        <v/>
      </c>
      <c r="VD1501" s="42" t="str">
        <f ca="1"/>
        <v/>
      </c>
      <c r="VE1501" s="42" t="str">
        <f ca="1"/>
        <v/>
      </c>
      <c r="VF1501" s="42" t="str">
        <f ca="1"/>
        <v/>
      </c>
      <c r="VG1501" s="42" t="str">
        <f ca="1"/>
        <v/>
      </c>
      <c r="VH1501" s="42" t="str">
        <f ca="1"/>
        <v/>
      </c>
      <c r="VI1501" s="42" t="str">
        <f ca="1"/>
        <v/>
      </c>
      <c r="VJ1501" s="42" t="str">
        <f ca="1"/>
        <v/>
      </c>
      <c r="VK1501" s="42" t="str">
        <f ca="1"/>
        <v/>
      </c>
      <c r="VL1501" s="42" t="str">
        <f ca="1"/>
        <v/>
      </c>
      <c r="VM1501" s="42" t="str">
        <f ca="1"/>
        <v/>
      </c>
      <c r="VN1501" s="42" t="str">
        <f ca="1"/>
        <v/>
      </c>
      <c r="VO1501" s="42" t="str">
        <f ca="1"/>
        <v/>
      </c>
      <c r="VP1501" s="42" t="str">
        <f ca="1"/>
        <v/>
      </c>
      <c r="VQ1501" s="42" t="str">
        <f ca="1"/>
        <v/>
      </c>
      <c r="VR1501" s="42" t="str">
        <f ca="1"/>
        <v/>
      </c>
      <c r="VS1501" s="42" t="str">
        <f ca="1"/>
        <v/>
      </c>
      <c r="VT1501" s="42" t="str">
        <f ca="1"/>
        <v/>
      </c>
      <c r="VU1501" s="42" t="str">
        <f ca="1"/>
        <v/>
      </c>
      <c r="VV1501" s="42" t="str">
        <f ca="1"/>
        <v/>
      </c>
      <c r="VW1501" s="42" t="str">
        <f ca="1"/>
        <v/>
      </c>
      <c r="VX1501" s="42" t="str">
        <f ca="1"/>
        <v/>
      </c>
      <c r="VY1501" s="42" t="str">
        <f ca="1"/>
        <v/>
      </c>
      <c r="VZ1501" s="42" t="str">
        <f ca="1"/>
        <v/>
      </c>
      <c r="WA1501" s="42" t="str">
        <f ca="1"/>
        <v/>
      </c>
      <c r="WB1501" s="42" t="str">
        <f ca="1"/>
        <v/>
      </c>
      <c r="WC1501" s="42" t="str">
        <f ca="1"/>
        <v/>
      </c>
      <c r="WD1501" s="42" t="str">
        <f ca="1"/>
        <v/>
      </c>
      <c r="WE1501" s="42" t="str">
        <f ca="1"/>
        <v/>
      </c>
      <c r="WF1501" s="42" t="str">
        <f ca="1"/>
        <v/>
      </c>
      <c r="WG1501" s="42" t="str">
        <f ca="1"/>
        <v/>
      </c>
      <c r="WH1501" s="42" t="str">
        <f ca="1"/>
        <v/>
      </c>
      <c r="WI1501" s="42" t="str">
        <f ca="1"/>
        <v/>
      </c>
      <c r="WJ1501" s="42" t="str">
        <f ca="1"/>
        <v/>
      </c>
      <c r="WK1501" s="42" t="str">
        <f ca="1"/>
        <v/>
      </c>
      <c r="WL1501" s="42" t="str">
        <f ca="1"/>
        <v/>
      </c>
      <c r="WM1501" s="42" t="str">
        <f ca="1"/>
        <v/>
      </c>
      <c r="WN1501" s="42" t="str">
        <f ca="1"/>
        <v/>
      </c>
      <c r="WO1501" s="42" t="str">
        <f ca="1"/>
        <v/>
      </c>
      <c r="WP1501" s="42" t="str">
        <f ca="1"/>
        <v/>
      </c>
      <c r="WQ1501" s="42" t="str">
        <f ca="1"/>
        <v/>
      </c>
      <c r="WR1501" s="42" t="str">
        <f ca="1"/>
        <v/>
      </c>
      <c r="WS1501" s="42" t="str">
        <f ca="1"/>
        <v/>
      </c>
      <c r="WT1501" s="42" t="str">
        <f ca="1"/>
        <v/>
      </c>
      <c r="WU1501" s="42" t="str">
        <f ca="1"/>
        <v/>
      </c>
      <c r="WV1501" s="42" t="str">
        <f ca="1"/>
        <v/>
      </c>
      <c r="WW1501" s="42" t="str">
        <f ca="1"/>
        <v/>
      </c>
      <c r="WX1501" s="42" t="str">
        <f ca="1"/>
        <v/>
      </c>
      <c r="WY1501" s="42" t="str">
        <f ca="1"/>
        <v/>
      </c>
      <c r="WZ1501" s="42" t="str">
        <f ca="1"/>
        <v/>
      </c>
      <c r="XA1501" s="42" t="str">
        <f ca="1"/>
        <v/>
      </c>
      <c r="XB1501" s="42" t="str">
        <f ca="1"/>
        <v/>
      </c>
      <c r="XC1501" s="42" t="str">
        <f ca="1"/>
        <v/>
      </c>
      <c r="XD1501" s="42" t="str">
        <f ca="1"/>
        <v/>
      </c>
      <c r="XE1501" s="42" t="str">
        <f ca="1"/>
        <v/>
      </c>
      <c r="XF1501" s="42" t="str">
        <f ca="1"/>
        <v/>
      </c>
      <c r="XG1501" s="42" t="str">
        <f ca="1"/>
        <v/>
      </c>
      <c r="XH1501" s="42" t="str">
        <f ca="1"/>
        <v/>
      </c>
      <c r="XI1501" s="42" t="str">
        <f ca="1"/>
        <v/>
      </c>
      <c r="XJ1501" s="42" t="str">
        <f ca="1"/>
        <v/>
      </c>
      <c r="XK1501" s="42" t="str">
        <f ca="1"/>
        <v/>
      </c>
      <c r="XL1501" s="42" t="str">
        <f ca="1"/>
        <v/>
      </c>
      <c r="XM1501" s="42" t="str">
        <f ca="1"/>
        <v/>
      </c>
      <c r="XN1501" s="42" t="str">
        <f ca="1"/>
        <v/>
      </c>
      <c r="XO1501" s="42" t="str">
        <f ca="1"/>
        <v/>
      </c>
      <c r="XP1501" s="42" t="str">
        <f ca="1"/>
        <v/>
      </c>
      <c r="XQ1501" s="42" t="str">
        <f ca="1"/>
        <v/>
      </c>
      <c r="XR1501" s="42" t="str">
        <f ca="1"/>
        <v/>
      </c>
      <c r="XS1501" s="42" t="str">
        <f ca="1"/>
        <v/>
      </c>
      <c r="XT1501" s="42" t="str">
        <f ca="1"/>
        <v/>
      </c>
      <c r="XU1501" s="42" t="str">
        <f ca="1"/>
        <v/>
      </c>
      <c r="XV1501" s="42" t="str">
        <f ca="1"/>
        <v/>
      </c>
      <c r="XW1501" s="42" t="str">
        <f ca="1"/>
        <v/>
      </c>
      <c r="XX1501" s="42" t="str">
        <f ca="1"/>
        <v/>
      </c>
      <c r="XY1501" s="42" t="str">
        <f ca="1"/>
        <v/>
      </c>
      <c r="XZ1501" s="42" t="str">
        <f ca="1"/>
        <v/>
      </c>
      <c r="YA1501" s="42" t="str">
        <f ca="1"/>
        <v/>
      </c>
      <c r="YB1501" s="42" t="str">
        <f ca="1"/>
        <v/>
      </c>
      <c r="YC1501" s="42" t="str">
        <f ca="1"/>
        <v/>
      </c>
      <c r="YD1501" s="42" t="str">
        <f ca="1"/>
        <v/>
      </c>
      <c r="YE1501" s="42" t="str">
        <f ca="1"/>
        <v/>
      </c>
      <c r="YF1501" s="42" t="str">
        <f ca="1"/>
        <v/>
      </c>
      <c r="YG1501" s="42" t="str">
        <f ca="1"/>
        <v/>
      </c>
      <c r="YH1501" s="42" t="str">
        <f ca="1"/>
        <v/>
      </c>
      <c r="YI1501" s="42" t="str">
        <f ca="1"/>
        <v/>
      </c>
      <c r="YJ1501" s="42" t="str">
        <f ca="1"/>
        <v/>
      </c>
      <c r="YK1501" s="42" t="str">
        <f ca="1"/>
        <v/>
      </c>
      <c r="YL1501" s="42" t="str">
        <f ca="1"/>
        <v/>
      </c>
      <c r="YM1501" s="42" t="str">
        <f ca="1"/>
        <v/>
      </c>
      <c r="YN1501" s="42" t="str">
        <f ca="1"/>
        <v/>
      </c>
      <c r="YO1501" s="42" t="str">
        <f ca="1"/>
        <v/>
      </c>
      <c r="YP1501" s="42" t="str">
        <f ca="1"/>
        <v/>
      </c>
      <c r="YQ1501" s="42" t="str">
        <f ca="1"/>
        <v/>
      </c>
      <c r="YR1501" s="42" t="str">
        <f ca="1"/>
        <v/>
      </c>
      <c r="YS1501" s="42" t="str">
        <f ca="1"/>
        <v/>
      </c>
      <c r="YT1501" s="42" t="str">
        <f ca="1"/>
        <v/>
      </c>
      <c r="YU1501" s="42" t="str">
        <f ca="1"/>
        <v/>
      </c>
      <c r="YV1501" s="42" t="str">
        <f ca="1"/>
        <v/>
      </c>
      <c r="YW1501" s="42" t="str">
        <f ca="1"/>
        <v/>
      </c>
      <c r="YX1501" s="42" t="str">
        <f ca="1"/>
        <v/>
      </c>
      <c r="YY1501" s="42" t="str">
        <f ca="1"/>
        <v/>
      </c>
      <c r="YZ1501" s="42" t="str">
        <f ca="1"/>
        <v/>
      </c>
      <c r="ZA1501" s="42" t="str">
        <f ca="1"/>
        <v/>
      </c>
      <c r="ZB1501" s="42" t="str">
        <f ca="1"/>
        <v/>
      </c>
      <c r="ZC1501" s="42" t="str">
        <f ca="1"/>
        <v/>
      </c>
      <c r="ZD1501" s="42" t="str">
        <f ca="1"/>
        <v/>
      </c>
      <c r="ZE1501" s="42" t="str">
        <f ca="1"/>
        <v/>
      </c>
      <c r="ZF1501" s="42" t="str">
        <f ca="1"/>
        <v/>
      </c>
      <c r="ZG1501" s="42" t="str">
        <f ca="1"/>
        <v/>
      </c>
      <c r="ZH1501" s="42" t="str">
        <f ca="1"/>
        <v/>
      </c>
      <c r="ZI1501" s="42" t="str">
        <f ca="1"/>
        <v/>
      </c>
      <c r="ZJ1501" s="42" t="str">
        <f ca="1"/>
        <v/>
      </c>
      <c r="ZK1501" s="42" t="str">
        <f ca="1"/>
        <v/>
      </c>
      <c r="ZL1501" s="42" t="str">
        <f ca="1"/>
        <v/>
      </c>
      <c r="ZM1501" s="42" t="str">
        <f ca="1"/>
        <v/>
      </c>
      <c r="ZN1501" s="42" t="str">
        <f ca="1"/>
        <v/>
      </c>
      <c r="ZO1501" s="42" t="str">
        <f ca="1"/>
        <v/>
      </c>
      <c r="ZP1501" s="42" t="str">
        <f ca="1"/>
        <v/>
      </c>
      <c r="ZQ1501" s="42" t="str">
        <f ca="1"/>
        <v/>
      </c>
      <c r="ZR1501" s="42" t="str">
        <f ca="1"/>
        <v/>
      </c>
      <c r="ZS1501" s="42" t="str">
        <f ca="1"/>
        <v/>
      </c>
      <c r="ZT1501" s="42" t="str">
        <f ca="1"/>
        <v/>
      </c>
      <c r="ZU1501" s="42" t="str">
        <f ca="1"/>
        <v/>
      </c>
      <c r="ZV1501" s="42" t="str">
        <f ca="1"/>
        <v/>
      </c>
      <c r="ZW1501" s="42" t="str">
        <f ca="1"/>
        <v/>
      </c>
      <c r="ZX1501" s="42" t="str">
        <f ca="1"/>
        <v/>
      </c>
      <c r="ZY1501" s="42" t="str">
        <f ca="1"/>
        <v/>
      </c>
      <c r="ZZ1501" s="42" t="str">
        <f ca="1"/>
        <v/>
      </c>
      <c r="AAA1501" s="42" t="str">
        <f ca="1"/>
        <v/>
      </c>
      <c r="AAB1501" s="42" t="str">
        <f ca="1"/>
        <v/>
      </c>
      <c r="AAC1501" s="42" t="str">
        <f ca="1"/>
        <v/>
      </c>
      <c r="AAD1501" s="42" t="str">
        <f ca="1"/>
        <v/>
      </c>
      <c r="AAE1501" s="42" t="str">
        <f ca="1"/>
        <v/>
      </c>
      <c r="AAF1501" s="42" t="str">
        <f ca="1"/>
        <v/>
      </c>
      <c r="AAG1501" s="42" t="str">
        <f ca="1"/>
        <v/>
      </c>
      <c r="AAH1501" s="42" t="str">
        <f ca="1"/>
        <v/>
      </c>
      <c r="AAI1501" s="42" t="str">
        <f ca="1"/>
        <v/>
      </c>
      <c r="AAJ1501" s="42" t="str">
        <f ca="1"/>
        <v/>
      </c>
      <c r="AAK1501" s="42" t="str">
        <f ca="1"/>
        <v/>
      </c>
      <c r="AAL1501" s="42" t="str">
        <f ca="1"/>
        <v/>
      </c>
      <c r="AAM1501" s="42" t="str">
        <f ca="1"/>
        <v/>
      </c>
      <c r="AAN1501" s="42" t="str">
        <f ca="1"/>
        <v/>
      </c>
      <c r="AAO1501" s="42" t="str">
        <f ca="1"/>
        <v/>
      </c>
      <c r="AAP1501" s="42" t="str">
        <f ca="1"/>
        <v/>
      </c>
      <c r="AAQ1501" s="42" t="str">
        <f ca="1"/>
        <v/>
      </c>
      <c r="AAR1501" s="42" t="str">
        <f ca="1"/>
        <v/>
      </c>
      <c r="AAS1501" s="42" t="str">
        <f ca="1"/>
        <v/>
      </c>
      <c r="AAT1501" s="42" t="str">
        <f ca="1"/>
        <v/>
      </c>
      <c r="AAU1501" s="42" t="str">
        <f ca="1"/>
        <v/>
      </c>
      <c r="AAV1501" s="42" t="str">
        <f ca="1"/>
        <v/>
      </c>
      <c r="AAW1501" s="42" t="str">
        <f ca="1"/>
        <v/>
      </c>
      <c r="AAX1501" s="42" t="str">
        <f ca="1"/>
        <v/>
      </c>
      <c r="AAY1501" s="42" t="str">
        <f ca="1"/>
        <v/>
      </c>
      <c r="AAZ1501" s="42" t="str">
        <f ca="1"/>
        <v/>
      </c>
      <c r="ABA1501" s="42" t="str">
        <f ca="1"/>
        <v/>
      </c>
      <c r="ABB1501" s="42" t="str">
        <f ca="1"/>
        <v/>
      </c>
      <c r="ABC1501" s="42" t="str">
        <f ca="1"/>
        <v/>
      </c>
      <c r="ABD1501" s="42" t="str">
        <f ca="1"/>
        <v/>
      </c>
      <c r="ABE1501" s="42" t="str">
        <f ca="1"/>
        <v/>
      </c>
      <c r="ABF1501" s="42" t="str">
        <f ca="1"/>
        <v/>
      </c>
      <c r="ABG1501" s="42" t="str">
        <f ca="1"/>
        <v/>
      </c>
      <c r="ABH1501" s="42" t="str">
        <f ca="1"/>
        <v/>
      </c>
      <c r="ABI1501" s="42" t="str">
        <f ca="1"/>
        <v/>
      </c>
      <c r="ABJ1501" s="42" t="str">
        <f ca="1"/>
        <v/>
      </c>
      <c r="ABK1501" s="42" t="str">
        <f ca="1"/>
        <v/>
      </c>
      <c r="ABL1501" s="42" t="str">
        <f ca="1"/>
        <v/>
      </c>
      <c r="ABM1501" s="42" t="str">
        <f ca="1"/>
        <v/>
      </c>
      <c r="ABN1501" s="42" t="str">
        <f ca="1"/>
        <v/>
      </c>
      <c r="ABO1501" s="42" t="str">
        <f ca="1"/>
        <v/>
      </c>
      <c r="ABP1501" s="42" t="str">
        <f ca="1"/>
        <v/>
      </c>
      <c r="ABQ1501" s="42" t="str">
        <f ca="1"/>
        <v/>
      </c>
      <c r="ABR1501" s="42" t="str">
        <f ca="1"/>
        <v/>
      </c>
      <c r="ABS1501" s="42" t="str">
        <f ca="1"/>
        <v/>
      </c>
      <c r="ABT1501" s="42" t="str">
        <f ca="1"/>
        <v/>
      </c>
      <c r="ABU1501" s="42" t="str">
        <f ca="1"/>
        <v/>
      </c>
      <c r="ABV1501" s="42" t="str">
        <f ca="1"/>
        <v/>
      </c>
      <c r="ABW1501" s="42" t="str">
        <f ca="1"/>
        <v/>
      </c>
      <c r="ABX1501" s="42" t="str">
        <f ca="1"/>
        <v/>
      </c>
      <c r="ABY1501" s="42" t="str">
        <f ca="1"/>
        <v/>
      </c>
      <c r="ABZ1501" s="42" t="str">
        <f ca="1"/>
        <v/>
      </c>
      <c r="ACA1501" s="42" t="str">
        <f ca="1"/>
        <v/>
      </c>
      <c r="ACB1501" s="42" t="str">
        <f ca="1"/>
        <v/>
      </c>
      <c r="ACC1501" s="42" t="str">
        <f ca="1"/>
        <v/>
      </c>
      <c r="ACD1501" s="42" t="str">
        <f ca="1"/>
        <v/>
      </c>
      <c r="ACE1501" s="42" t="str">
        <f ca="1"/>
        <v/>
      </c>
      <c r="ACF1501" s="42" t="str">
        <f ca="1"/>
        <v/>
      </c>
      <c r="ACG1501" s="42" t="str">
        <f ca="1"/>
        <v/>
      </c>
      <c r="ACH1501" s="42" t="str">
        <f ca="1"/>
        <v/>
      </c>
      <c r="ACI1501" s="42" t="str">
        <f ca="1"/>
        <v/>
      </c>
      <c r="ACJ1501" s="42" t="str">
        <f ca="1"/>
        <v/>
      </c>
      <c r="ACK1501" s="42" t="str">
        <f ca="1"/>
        <v/>
      </c>
      <c r="ACL1501" s="42" t="str">
        <f ca="1"/>
        <v/>
      </c>
      <c r="ACM1501" s="42" t="str">
        <f ca="1"/>
        <v/>
      </c>
      <c r="ACN1501" s="42" t="str">
        <f ca="1"/>
        <v/>
      </c>
      <c r="ACO1501" s="42" t="str">
        <f ca="1"/>
        <v/>
      </c>
      <c r="ACP1501" s="42" t="str">
        <f ca="1"/>
        <v/>
      </c>
      <c r="ACQ1501" s="42" t="str">
        <f ca="1"/>
        <v/>
      </c>
      <c r="ACR1501" s="42" t="str">
        <f ca="1"/>
        <v/>
      </c>
      <c r="ACS1501" s="42" t="str">
        <f ca="1"/>
        <v/>
      </c>
      <c r="ACT1501" s="42" t="str">
        <f ca="1"/>
        <v/>
      </c>
      <c r="ACU1501" s="42" t="str">
        <f ca="1"/>
        <v/>
      </c>
      <c r="ACV1501" s="42" t="str">
        <f ca="1"/>
        <v/>
      </c>
      <c r="ACW1501" s="42" t="str">
        <f ca="1"/>
        <v/>
      </c>
      <c r="ACX1501" s="42" t="str">
        <f ca="1"/>
        <v/>
      </c>
      <c r="ACY1501" s="42" t="str">
        <f ca="1"/>
        <v/>
      </c>
      <c r="ACZ1501" s="42" t="str">
        <f ca="1"/>
        <v/>
      </c>
      <c r="ADA1501" s="42" t="str">
        <f ca="1"/>
        <v/>
      </c>
      <c r="ADB1501" s="42" t="str">
        <f ca="1"/>
        <v/>
      </c>
      <c r="ADC1501" s="42" t="str">
        <f ca="1"/>
        <v/>
      </c>
      <c r="ADD1501" s="42" t="str">
        <f ca="1"/>
        <v/>
      </c>
      <c r="ADE1501" s="42" t="str">
        <f ca="1"/>
        <v/>
      </c>
      <c r="ADF1501" s="42" t="str">
        <f ca="1"/>
        <v/>
      </c>
      <c r="ADG1501" s="42" t="str">
        <f ca="1"/>
        <v/>
      </c>
      <c r="ADH1501" s="42" t="str">
        <f ca="1"/>
        <v/>
      </c>
      <c r="ADI1501" s="42" t="str">
        <f ca="1"/>
        <v/>
      </c>
      <c r="ADJ1501" s="42" t="str">
        <f ca="1"/>
        <v/>
      </c>
      <c r="ADK1501" s="42" t="str">
        <f ca="1"/>
        <v/>
      </c>
      <c r="ADL1501" s="42" t="str">
        <f ca="1"/>
        <v/>
      </c>
      <c r="ADM1501" s="42" t="str">
        <f ca="1"/>
        <v/>
      </c>
      <c r="ADN1501" s="42" t="str">
        <f ca="1"/>
        <v/>
      </c>
      <c r="ADO1501" s="42" t="str">
        <f ca="1"/>
        <v/>
      </c>
      <c r="ADP1501" s="42" t="str">
        <f ca="1"/>
        <v/>
      </c>
      <c r="ADQ1501" s="42" t="str">
        <f ca="1"/>
        <v/>
      </c>
      <c r="ADR1501" s="42" t="str">
        <f ca="1"/>
        <v/>
      </c>
      <c r="ADS1501" s="42" t="str">
        <f ca="1"/>
        <v/>
      </c>
      <c r="ADT1501" s="42" t="str">
        <f ca="1"/>
        <v/>
      </c>
      <c r="ADU1501" s="42" t="str">
        <f ca="1"/>
        <v/>
      </c>
      <c r="ADV1501" s="42" t="str">
        <f ca="1"/>
        <v/>
      </c>
      <c r="ADW1501" s="42" t="str">
        <f ca="1"/>
        <v/>
      </c>
      <c r="ADX1501" s="42" t="str">
        <f ca="1"/>
        <v/>
      </c>
      <c r="ADY1501" s="42" t="str">
        <f ca="1"/>
        <v/>
      </c>
      <c r="ADZ1501" s="42" t="str">
        <f ca="1"/>
        <v/>
      </c>
      <c r="AEA1501" s="42" t="str">
        <f ca="1"/>
        <v/>
      </c>
      <c r="AEB1501" s="42" t="str">
        <f ca="1"/>
        <v/>
      </c>
      <c r="AEC1501" s="42" t="str">
        <f ca="1"/>
        <v/>
      </c>
      <c r="AED1501" s="42" t="str">
        <f ca="1"/>
        <v/>
      </c>
      <c r="AEE1501" s="42" t="str">
        <f ca="1"/>
        <v/>
      </c>
      <c r="AEF1501" s="42" t="str">
        <f ca="1"/>
        <v/>
      </c>
      <c r="AEG1501" s="42" t="str">
        <f ca="1"/>
        <v/>
      </c>
      <c r="AEH1501" s="42" t="str">
        <f ca="1"/>
        <v/>
      </c>
      <c r="AEI1501" s="42" t="str">
        <f ca="1"/>
        <v/>
      </c>
      <c r="AEJ1501" s="42" t="str">
        <f ca="1"/>
        <v/>
      </c>
      <c r="AEK1501" s="42" t="str">
        <f ca="1"/>
        <v/>
      </c>
      <c r="AEL1501" s="42" t="str">
        <f ca="1"/>
        <v/>
      </c>
      <c r="AEM1501" s="42" t="str">
        <f ca="1"/>
        <v/>
      </c>
      <c r="AEN1501" s="42" t="str">
        <f ca="1"/>
        <v/>
      </c>
      <c r="AEO1501" s="42" t="str">
        <f ca="1"/>
        <v/>
      </c>
      <c r="AEP1501" s="42" t="str">
        <f ca="1"/>
        <v/>
      </c>
      <c r="AEQ1501" s="42" t="str">
        <f ca="1"/>
        <v/>
      </c>
      <c r="AER1501" s="42" t="str">
        <f ca="1"/>
        <v/>
      </c>
      <c r="AES1501" s="42" t="str">
        <f ca="1"/>
        <v/>
      </c>
      <c r="AET1501" s="42" t="str">
        <f ca="1"/>
        <v/>
      </c>
      <c r="AEU1501" s="42" t="str">
        <f ca="1"/>
        <v/>
      </c>
      <c r="AEV1501" s="42" t="str">
        <f ca="1"/>
        <v/>
      </c>
      <c r="AEW1501" s="42" t="str">
        <f ca="1"/>
        <v/>
      </c>
      <c r="AEX1501" s="42" t="str">
        <f ca="1"/>
        <v/>
      </c>
      <c r="AEY1501" s="42" t="str">
        <f ca="1"/>
        <v/>
      </c>
      <c r="AEZ1501" s="42" t="str">
        <f ca="1"/>
        <v/>
      </c>
      <c r="AFA1501" s="42" t="str">
        <f ca="1"/>
        <v/>
      </c>
      <c r="AFB1501" s="42" t="str">
        <f ca="1"/>
        <v/>
      </c>
      <c r="AFC1501" s="42" t="str">
        <f ca="1"/>
        <v/>
      </c>
      <c r="AFD1501" s="42" t="str">
        <f ca="1"/>
        <v/>
      </c>
      <c r="AFE1501" s="42" t="str">
        <f ca="1"/>
        <v/>
      </c>
      <c r="AFF1501" s="42" t="str">
        <f ca="1"/>
        <v/>
      </c>
      <c r="AFG1501" s="42" t="str">
        <f ca="1"/>
        <v/>
      </c>
      <c r="AFH1501" s="42" t="str">
        <f ca="1"/>
        <v/>
      </c>
      <c r="AFI1501" s="42" t="str">
        <f ca="1"/>
        <v/>
      </c>
      <c r="AFJ1501" s="42" t="str">
        <f ca="1"/>
        <v/>
      </c>
      <c r="AFK1501" s="42" t="str">
        <f ca="1"/>
        <v/>
      </c>
      <c r="AFL1501" s="42" t="str">
        <f ca="1"/>
        <v/>
      </c>
      <c r="AFM1501" s="42" t="str">
        <f ca="1"/>
        <v/>
      </c>
      <c r="AFN1501" s="42" t="str">
        <f ca="1"/>
        <v/>
      </c>
      <c r="AFO1501" s="42" t="str">
        <f ca="1"/>
        <v/>
      </c>
      <c r="AFP1501" s="42" t="str">
        <f ca="1"/>
        <v/>
      </c>
      <c r="AFQ1501" s="42" t="str">
        <f ca="1"/>
        <v/>
      </c>
      <c r="AFR1501" s="42" t="str">
        <f ca="1"/>
        <v/>
      </c>
      <c r="AFS1501" s="42" t="str">
        <f ca="1"/>
        <v/>
      </c>
      <c r="AFT1501" s="42" t="str">
        <f ca="1"/>
        <v/>
      </c>
      <c r="AFU1501" s="42" t="str">
        <f ca="1"/>
        <v/>
      </c>
      <c r="AFV1501" s="42" t="str">
        <f ca="1"/>
        <v/>
      </c>
      <c r="AFW1501" s="42" t="str">
        <f ca="1"/>
        <v/>
      </c>
      <c r="AFX1501" s="42" t="str">
        <f ca="1"/>
        <v/>
      </c>
      <c r="AFY1501" s="42" t="str">
        <f ca="1"/>
        <v/>
      </c>
      <c r="AFZ1501" s="42" t="str">
        <f ca="1"/>
        <v/>
      </c>
      <c r="AGA1501" s="42" t="str">
        <f ca="1"/>
        <v/>
      </c>
      <c r="AGB1501" s="42" t="str">
        <f ca="1"/>
        <v/>
      </c>
      <c r="AGC1501" s="42" t="str">
        <f ca="1"/>
        <v/>
      </c>
      <c r="AGD1501" s="42" t="str">
        <f ca="1"/>
        <v/>
      </c>
      <c r="AGE1501" s="42" t="str">
        <f ca="1"/>
        <v/>
      </c>
      <c r="AGF1501" s="42" t="str">
        <f ca="1"/>
        <v/>
      </c>
      <c r="AGG1501" s="42" t="str">
        <f ca="1"/>
        <v/>
      </c>
      <c r="AGH1501" s="42" t="str">
        <f ca="1"/>
        <v/>
      </c>
      <c r="AGI1501" s="42" t="str">
        <f ca="1"/>
        <v/>
      </c>
      <c r="AGJ1501" s="42" t="str">
        <f ca="1"/>
        <v/>
      </c>
      <c r="AGK1501" s="42" t="str">
        <f ca="1"/>
        <v/>
      </c>
      <c r="AGL1501" s="42" t="str">
        <f ca="1"/>
        <v/>
      </c>
      <c r="AGM1501" s="42" t="str">
        <f ca="1"/>
        <v/>
      </c>
      <c r="AGN1501" s="42" t="str">
        <f ca="1"/>
        <v/>
      </c>
    </row>
    <row r="1502" spans="15:872" x14ac:dyDescent="0.25">
      <c r="O1502" s="42">
        <v>12</v>
      </c>
      <c r="P1502" s="42" t="str">
        <f ca="1"/>
        <v/>
      </c>
      <c r="Q1502" s="42" t="str">
        <f ca="1"/>
        <v/>
      </c>
      <c r="R1502" s="42" t="str">
        <f ca="1"/>
        <v/>
      </c>
      <c r="S1502" s="42" t="str">
        <f ca="1"/>
        <v/>
      </c>
      <c r="T1502" s="42" t="str">
        <f ca="1"/>
        <v/>
      </c>
      <c r="U1502" s="42" t="str">
        <f ca="1"/>
        <v/>
      </c>
      <c r="V1502" s="42" t="str">
        <f ca="1"/>
        <v/>
      </c>
      <c r="W1502" s="42" t="str">
        <f ca="1"/>
        <v/>
      </c>
      <c r="X1502" s="42" t="str">
        <f ca="1"/>
        <v/>
      </c>
      <c r="Y1502" s="42" t="str">
        <f ca="1"/>
        <v/>
      </c>
      <c r="Z1502" s="42" t="str">
        <f ca="1"/>
        <v/>
      </c>
      <c r="AA1502" s="42" t="str">
        <f ca="1"/>
        <v/>
      </c>
      <c r="AB1502" s="42" t="str">
        <f ca="1"/>
        <v/>
      </c>
      <c r="AC1502" s="42" t="str">
        <f ca="1"/>
        <v/>
      </c>
      <c r="AD1502" s="42" t="str">
        <f ca="1"/>
        <v/>
      </c>
      <c r="AE1502" s="42" t="str">
        <f ca="1"/>
        <v/>
      </c>
      <c r="AF1502" s="42" t="str">
        <f ca="1"/>
        <v/>
      </c>
      <c r="AG1502" s="42" t="str">
        <f ca="1"/>
        <v/>
      </c>
      <c r="AH1502" s="42" t="str">
        <f ca="1"/>
        <v/>
      </c>
      <c r="AI1502" s="42" t="str">
        <f ca="1"/>
        <v/>
      </c>
      <c r="AJ1502" s="42" t="str">
        <f ca="1"/>
        <v/>
      </c>
      <c r="AK1502" s="42" t="str">
        <f ca="1"/>
        <v/>
      </c>
      <c r="AL1502" s="42" t="str">
        <f ca="1"/>
        <v/>
      </c>
      <c r="AM1502" s="42" t="str">
        <f ca="1"/>
        <v/>
      </c>
      <c r="AN1502" s="42" t="str">
        <f ca="1"/>
        <v/>
      </c>
      <c r="AO1502" s="42" t="str">
        <f ca="1"/>
        <v/>
      </c>
      <c r="AP1502" s="42" t="str">
        <f ca="1"/>
        <v/>
      </c>
      <c r="AQ1502" s="42" t="str">
        <f ca="1"/>
        <v/>
      </c>
      <c r="AR1502" s="42" t="str">
        <f ca="1"/>
        <v/>
      </c>
      <c r="AS1502" s="42" t="str">
        <f ca="1"/>
        <v/>
      </c>
      <c r="AT1502" s="42" t="str">
        <f ca="1"/>
        <v/>
      </c>
      <c r="AU1502" s="42" t="str">
        <f ca="1"/>
        <v/>
      </c>
      <c r="AV1502" s="42" t="str">
        <f ca="1"/>
        <v/>
      </c>
      <c r="AW1502" s="42" t="str">
        <f ca="1"/>
        <v/>
      </c>
      <c r="AX1502" s="42" t="str">
        <f ca="1"/>
        <v/>
      </c>
      <c r="AY1502" s="42" t="str">
        <f ca="1"/>
        <v/>
      </c>
      <c r="AZ1502" s="42" t="str">
        <f ca="1"/>
        <v/>
      </c>
      <c r="BA1502" s="42" t="str">
        <f ca="1"/>
        <v/>
      </c>
      <c r="BB1502" s="42" t="str">
        <f ca="1"/>
        <v/>
      </c>
      <c r="BC1502" s="42" t="str">
        <f ca="1"/>
        <v/>
      </c>
      <c r="BD1502" s="42" t="str">
        <f ca="1"/>
        <v/>
      </c>
      <c r="BE1502" s="42" t="str">
        <f ca="1"/>
        <v/>
      </c>
      <c r="BF1502" s="42" t="str">
        <f ca="1"/>
        <v/>
      </c>
      <c r="BG1502" s="42" t="str">
        <f ca="1"/>
        <v/>
      </c>
      <c r="BH1502" s="42" t="str">
        <f ca="1"/>
        <v/>
      </c>
      <c r="BI1502" s="42" t="str">
        <f ca="1"/>
        <v/>
      </c>
      <c r="BJ1502" s="42" t="str">
        <f ca="1"/>
        <v/>
      </c>
      <c r="BK1502" s="42" t="str">
        <f ca="1"/>
        <v/>
      </c>
      <c r="BL1502" s="42" t="str">
        <f ca="1"/>
        <v/>
      </c>
      <c r="BM1502" s="42" t="str">
        <f ca="1"/>
        <v/>
      </c>
      <c r="BN1502" s="42" t="str">
        <f ca="1"/>
        <v/>
      </c>
      <c r="BO1502" s="42" t="str">
        <f ca="1"/>
        <v/>
      </c>
      <c r="BP1502" s="42" t="str">
        <f ca="1"/>
        <v/>
      </c>
      <c r="BQ1502" s="42" t="str">
        <f ca="1"/>
        <v/>
      </c>
      <c r="BR1502" s="42" t="str">
        <f ca="1"/>
        <v/>
      </c>
      <c r="BS1502" s="42" t="str">
        <f ca="1"/>
        <v/>
      </c>
      <c r="BT1502" s="42" t="str">
        <f ca="1"/>
        <v/>
      </c>
      <c r="BU1502" s="42" t="str">
        <f ca="1"/>
        <v/>
      </c>
      <c r="BV1502" s="42" t="str">
        <f ca="1"/>
        <v/>
      </c>
      <c r="BW1502" s="42" t="str">
        <f ca="1"/>
        <v/>
      </c>
      <c r="BX1502" s="42" t="str">
        <f ca="1"/>
        <v/>
      </c>
      <c r="BY1502" s="42" t="str">
        <f ca="1"/>
        <v/>
      </c>
      <c r="BZ1502" s="42" t="str">
        <f ca="1"/>
        <v/>
      </c>
      <c r="CA1502" s="42" t="str">
        <f ca="1"/>
        <v/>
      </c>
      <c r="CB1502" s="42" t="str">
        <f ca="1"/>
        <v/>
      </c>
      <c r="CC1502" s="42" t="str">
        <f ca="1"/>
        <v/>
      </c>
      <c r="CD1502" s="42" t="str">
        <f ca="1"/>
        <v/>
      </c>
      <c r="CE1502" s="42" t="str">
        <f ca="1"/>
        <v/>
      </c>
      <c r="CF1502" s="42" t="str">
        <f ca="1"/>
        <v/>
      </c>
      <c r="CG1502" s="42" t="str">
        <f ca="1"/>
        <v/>
      </c>
      <c r="CH1502" s="42" t="str">
        <f ca="1"/>
        <v/>
      </c>
      <c r="CI1502" s="42" t="str">
        <f ca="1"/>
        <v/>
      </c>
      <c r="CJ1502" s="42" t="str">
        <f ca="1"/>
        <v/>
      </c>
      <c r="CK1502" s="42" t="str">
        <f ca="1"/>
        <v/>
      </c>
      <c r="CL1502" s="42" t="str">
        <f ca="1"/>
        <v/>
      </c>
      <c r="CM1502" s="42" t="str">
        <f ca="1"/>
        <v/>
      </c>
      <c r="CN1502" s="42" t="str">
        <f ca="1"/>
        <v/>
      </c>
      <c r="CO1502" s="42" t="str">
        <f ca="1"/>
        <v/>
      </c>
      <c r="CP1502" s="42" t="str">
        <f ca="1"/>
        <v/>
      </c>
      <c r="CQ1502" s="42" t="str">
        <f ca="1"/>
        <v/>
      </c>
      <c r="CR1502" s="42" t="str">
        <f ca="1"/>
        <v/>
      </c>
      <c r="CS1502" s="42" t="str">
        <f ca="1"/>
        <v/>
      </c>
      <c r="CT1502" s="42" t="str">
        <f ca="1"/>
        <v/>
      </c>
      <c r="CU1502" s="42" t="str">
        <f ca="1"/>
        <v/>
      </c>
      <c r="CV1502" s="42" t="str">
        <f ca="1"/>
        <v/>
      </c>
      <c r="CW1502" s="42" t="str">
        <f ca="1"/>
        <v/>
      </c>
      <c r="CX1502" s="42" t="str">
        <f ca="1"/>
        <v/>
      </c>
      <c r="CY1502" s="42" t="str">
        <f ca="1"/>
        <v/>
      </c>
      <c r="CZ1502" s="42" t="str">
        <f ca="1"/>
        <v/>
      </c>
      <c r="DA1502" s="42" t="str">
        <f ca="1"/>
        <v/>
      </c>
      <c r="DB1502" s="42" t="str">
        <f ca="1"/>
        <v/>
      </c>
      <c r="DC1502" s="42" t="str">
        <f ca="1"/>
        <v/>
      </c>
      <c r="DD1502" s="42" t="str">
        <f ca="1"/>
        <v/>
      </c>
      <c r="DE1502" s="42" t="str">
        <f ca="1"/>
        <v/>
      </c>
      <c r="DF1502" s="42" t="str">
        <f ca="1"/>
        <v/>
      </c>
      <c r="DG1502" s="42" t="str">
        <f ca="1"/>
        <v/>
      </c>
      <c r="DH1502" s="42" t="str">
        <f ca="1"/>
        <v/>
      </c>
      <c r="DI1502" s="42" t="str">
        <f ca="1"/>
        <v/>
      </c>
      <c r="DJ1502" s="42" t="str">
        <f ca="1"/>
        <v/>
      </c>
      <c r="DK1502" s="42" t="str">
        <f ca="1"/>
        <v/>
      </c>
      <c r="DL1502" s="42" t="str">
        <f ca="1"/>
        <v/>
      </c>
      <c r="DM1502" s="42" t="str">
        <f ca="1"/>
        <v/>
      </c>
      <c r="DN1502" s="42" t="str">
        <f ca="1"/>
        <v/>
      </c>
      <c r="DO1502" s="42" t="str">
        <f ca="1"/>
        <v/>
      </c>
      <c r="DP1502" s="42" t="str">
        <f ca="1"/>
        <v/>
      </c>
      <c r="DQ1502" s="42" t="str">
        <f ca="1"/>
        <v/>
      </c>
      <c r="DR1502" s="42" t="str">
        <f ca="1"/>
        <v/>
      </c>
      <c r="DS1502" s="42" t="str">
        <f ca="1"/>
        <v/>
      </c>
      <c r="DT1502" s="42" t="str">
        <f ca="1"/>
        <v/>
      </c>
      <c r="DU1502" s="42" t="str">
        <f ca="1"/>
        <v/>
      </c>
      <c r="DV1502" s="42" t="str">
        <f ca="1"/>
        <v/>
      </c>
      <c r="DW1502" s="42" t="str">
        <f ca="1"/>
        <v/>
      </c>
      <c r="DX1502" s="42" t="str">
        <f ca="1"/>
        <v/>
      </c>
      <c r="DY1502" s="42" t="str">
        <f ca="1"/>
        <v/>
      </c>
      <c r="DZ1502" s="42" t="str">
        <f ca="1"/>
        <v/>
      </c>
      <c r="EA1502" s="42" t="str">
        <f ca="1"/>
        <v/>
      </c>
      <c r="EB1502" s="42" t="str">
        <f ca="1"/>
        <v/>
      </c>
      <c r="EC1502" s="42" t="str">
        <f ca="1"/>
        <v/>
      </c>
      <c r="ED1502" s="42" t="str">
        <f ca="1"/>
        <v/>
      </c>
      <c r="EE1502" s="42" t="str">
        <f ca="1"/>
        <v/>
      </c>
      <c r="EF1502" s="42" t="str">
        <f ca="1"/>
        <v/>
      </c>
      <c r="EG1502" s="42" t="str">
        <f ca="1"/>
        <v/>
      </c>
      <c r="EH1502" s="42" t="str">
        <f ca="1"/>
        <v/>
      </c>
      <c r="EI1502" s="42" t="str">
        <f ca="1"/>
        <v/>
      </c>
      <c r="EJ1502" s="42" t="str">
        <f ca="1"/>
        <v/>
      </c>
      <c r="EK1502" s="42" t="str">
        <f ca="1"/>
        <v/>
      </c>
      <c r="EL1502" s="42" t="str">
        <f ca="1"/>
        <v/>
      </c>
      <c r="EM1502" s="42" t="str">
        <f ca="1"/>
        <v/>
      </c>
      <c r="EN1502" s="42" t="str">
        <f ca="1"/>
        <v/>
      </c>
      <c r="EO1502" s="42" t="str">
        <f ca="1"/>
        <v/>
      </c>
      <c r="EP1502" s="42" t="str">
        <f ca="1"/>
        <v/>
      </c>
      <c r="EQ1502" s="42" t="str">
        <f ca="1"/>
        <v/>
      </c>
      <c r="ER1502" s="42" t="str">
        <f ca="1"/>
        <v/>
      </c>
      <c r="ES1502" s="42" t="str">
        <f ca="1"/>
        <v/>
      </c>
      <c r="ET1502" s="42" t="str">
        <f ca="1"/>
        <v/>
      </c>
      <c r="EU1502" s="42" t="str">
        <f ca="1"/>
        <v/>
      </c>
      <c r="EV1502" s="42" t="str">
        <f ca="1"/>
        <v/>
      </c>
      <c r="EW1502" s="42" t="str">
        <f ca="1"/>
        <v/>
      </c>
      <c r="EX1502" s="42" t="str">
        <f ca="1"/>
        <v/>
      </c>
      <c r="EY1502" s="42" t="str">
        <f ca="1"/>
        <v/>
      </c>
      <c r="EZ1502" s="42" t="str">
        <f ca="1"/>
        <v/>
      </c>
      <c r="FA1502" s="42" t="str">
        <f ca="1"/>
        <v/>
      </c>
      <c r="FB1502" s="42" t="str">
        <f ca="1"/>
        <v/>
      </c>
      <c r="FC1502" s="42" t="str">
        <f ca="1"/>
        <v/>
      </c>
      <c r="FD1502" s="42" t="str">
        <f ca="1"/>
        <v/>
      </c>
      <c r="FE1502" s="42" t="str">
        <f ca="1"/>
        <v/>
      </c>
      <c r="FF1502" s="42" t="str">
        <f ca="1"/>
        <v/>
      </c>
      <c r="FG1502" s="42" t="str">
        <f ca="1"/>
        <v/>
      </c>
      <c r="FH1502" s="42" t="str">
        <f ca="1"/>
        <v/>
      </c>
      <c r="FI1502" s="42" t="str">
        <f ca="1"/>
        <v/>
      </c>
      <c r="FJ1502" s="42" t="str">
        <f ca="1"/>
        <v/>
      </c>
      <c r="FK1502" s="42" t="str">
        <f ca="1"/>
        <v/>
      </c>
      <c r="FL1502" s="42" t="str">
        <f ca="1"/>
        <v/>
      </c>
      <c r="FM1502" s="42" t="str">
        <f ca="1"/>
        <v/>
      </c>
      <c r="FN1502" s="42" t="str">
        <f ca="1"/>
        <v/>
      </c>
      <c r="FO1502" s="42" t="str">
        <f ca="1"/>
        <v/>
      </c>
      <c r="FP1502" s="42" t="str">
        <f ca="1"/>
        <v/>
      </c>
      <c r="FQ1502" s="42" t="str">
        <f ca="1"/>
        <v/>
      </c>
      <c r="FR1502" s="42" t="str">
        <f ca="1"/>
        <v/>
      </c>
      <c r="FS1502" s="42" t="str">
        <f ca="1"/>
        <v/>
      </c>
      <c r="FT1502" s="42" t="str">
        <f ca="1"/>
        <v/>
      </c>
      <c r="FU1502" s="42" t="str">
        <f ca="1"/>
        <v/>
      </c>
      <c r="FV1502" s="42" t="str">
        <f ca="1"/>
        <v/>
      </c>
      <c r="FW1502" s="42" t="str">
        <f ca="1"/>
        <v/>
      </c>
      <c r="FX1502" s="42" t="str">
        <f ca="1"/>
        <v/>
      </c>
      <c r="FY1502" s="42" t="str">
        <f ca="1"/>
        <v/>
      </c>
      <c r="FZ1502" s="42" t="str">
        <f ca="1"/>
        <v/>
      </c>
      <c r="GA1502" s="42" t="str">
        <f ca="1"/>
        <v/>
      </c>
      <c r="GB1502" s="42" t="str">
        <f ca="1"/>
        <v/>
      </c>
      <c r="GC1502" s="42" t="str">
        <f ca="1"/>
        <v/>
      </c>
      <c r="GD1502" s="42" t="str">
        <f ca="1"/>
        <v/>
      </c>
      <c r="GE1502" s="42" t="str">
        <f ca="1"/>
        <v/>
      </c>
      <c r="GF1502" s="42" t="str">
        <f ca="1"/>
        <v/>
      </c>
      <c r="GG1502" s="42" t="str">
        <f ca="1"/>
        <v/>
      </c>
      <c r="GH1502" s="42" t="str">
        <f ca="1"/>
        <v/>
      </c>
      <c r="GI1502" s="42" t="str">
        <f ca="1"/>
        <v/>
      </c>
      <c r="GJ1502" s="42" t="str">
        <f ca="1"/>
        <v/>
      </c>
      <c r="GK1502" s="42" t="str">
        <f ca="1"/>
        <v/>
      </c>
      <c r="GL1502" s="42" t="str">
        <f ca="1"/>
        <v/>
      </c>
      <c r="GM1502" s="42" t="str">
        <f ca="1"/>
        <v/>
      </c>
      <c r="GN1502" s="42" t="str">
        <f ca="1"/>
        <v/>
      </c>
      <c r="GO1502" s="42" t="str">
        <f ca="1"/>
        <v/>
      </c>
      <c r="GP1502" s="42" t="str">
        <f ca="1"/>
        <v/>
      </c>
      <c r="GQ1502" s="42" t="str">
        <f ca="1"/>
        <v/>
      </c>
      <c r="GR1502" s="42" t="str">
        <f ca="1"/>
        <v/>
      </c>
      <c r="GS1502" s="42" t="str">
        <f ca="1"/>
        <v/>
      </c>
      <c r="GT1502" s="42" t="str">
        <f ca="1"/>
        <v/>
      </c>
      <c r="GU1502" s="42" t="str">
        <f ca="1"/>
        <v/>
      </c>
      <c r="GV1502" s="42" t="str">
        <f ca="1"/>
        <v/>
      </c>
      <c r="GW1502" s="42" t="str">
        <f ca="1"/>
        <v/>
      </c>
      <c r="GX1502" s="42" t="str">
        <f ca="1"/>
        <v/>
      </c>
      <c r="GY1502" s="42" t="str">
        <f ca="1"/>
        <v/>
      </c>
      <c r="GZ1502" s="42" t="str">
        <f ca="1"/>
        <v/>
      </c>
      <c r="HA1502" s="42" t="str">
        <f ca="1"/>
        <v/>
      </c>
      <c r="HB1502" s="42" t="str">
        <f ca="1"/>
        <v/>
      </c>
      <c r="HC1502" s="42" t="str">
        <f ca="1"/>
        <v/>
      </c>
      <c r="HD1502" s="42" t="str">
        <f ca="1"/>
        <v/>
      </c>
      <c r="HE1502" s="42" t="str">
        <f ca="1"/>
        <v/>
      </c>
      <c r="HF1502" s="42" t="str">
        <f ca="1"/>
        <v/>
      </c>
      <c r="HG1502" s="42" t="str">
        <f ca="1"/>
        <v/>
      </c>
      <c r="HH1502" s="42" t="str">
        <f ca="1"/>
        <v/>
      </c>
      <c r="HI1502" s="42" t="str">
        <f ca="1"/>
        <v/>
      </c>
      <c r="HJ1502" s="42" t="str">
        <f ca="1"/>
        <v/>
      </c>
      <c r="HK1502" s="42" t="str">
        <f ca="1"/>
        <v/>
      </c>
      <c r="HL1502" s="42" t="str">
        <f ca="1"/>
        <v/>
      </c>
      <c r="HM1502" s="42" t="str">
        <f ca="1"/>
        <v/>
      </c>
      <c r="HN1502" s="42" t="str">
        <f ca="1"/>
        <v/>
      </c>
      <c r="HO1502" s="42" t="str">
        <f ca="1"/>
        <v/>
      </c>
      <c r="HP1502" s="42" t="str">
        <f ca="1"/>
        <v/>
      </c>
      <c r="HQ1502" s="42" t="str">
        <f ca="1"/>
        <v/>
      </c>
      <c r="HR1502" s="42" t="str">
        <f ca="1"/>
        <v/>
      </c>
      <c r="HS1502" s="42" t="str">
        <f ca="1"/>
        <v/>
      </c>
      <c r="HT1502" s="42" t="str">
        <f ca="1"/>
        <v/>
      </c>
      <c r="HU1502" s="42" t="str">
        <f ca="1"/>
        <v/>
      </c>
      <c r="HV1502" s="42" t="str">
        <f ca="1"/>
        <v/>
      </c>
      <c r="HW1502" s="42" t="str">
        <f ca="1"/>
        <v/>
      </c>
      <c r="HX1502" s="42" t="str">
        <f ca="1"/>
        <v/>
      </c>
      <c r="HY1502" s="42" t="str">
        <f ca="1"/>
        <v/>
      </c>
      <c r="HZ1502" s="42" t="str">
        <f ca="1"/>
        <v/>
      </c>
      <c r="IA1502" s="42" t="str">
        <f ca="1"/>
        <v/>
      </c>
      <c r="IB1502" s="42" t="str">
        <f ca="1"/>
        <v/>
      </c>
      <c r="IC1502" s="42" t="str">
        <f ca="1"/>
        <v/>
      </c>
      <c r="ID1502" s="42" t="str">
        <f ca="1"/>
        <v/>
      </c>
      <c r="IE1502" s="42" t="str">
        <f ca="1"/>
        <v/>
      </c>
      <c r="IF1502" s="42" t="str">
        <f ca="1"/>
        <v/>
      </c>
      <c r="IG1502" s="42" t="str">
        <f ca="1"/>
        <v/>
      </c>
      <c r="IH1502" s="42" t="str">
        <f ca="1"/>
        <v/>
      </c>
      <c r="II1502" s="42" t="str">
        <f ca="1"/>
        <v/>
      </c>
      <c r="IJ1502" s="42" t="str">
        <f ca="1"/>
        <v/>
      </c>
      <c r="IK1502" s="42" t="str">
        <f ca="1"/>
        <v/>
      </c>
      <c r="IL1502" s="42" t="str">
        <f ca="1"/>
        <v/>
      </c>
      <c r="IM1502" s="42" t="str">
        <f ca="1"/>
        <v/>
      </c>
      <c r="IN1502" s="42" t="str">
        <f ca="1"/>
        <v/>
      </c>
      <c r="IO1502" s="42" t="str">
        <f ca="1"/>
        <v/>
      </c>
      <c r="IP1502" s="42" t="str">
        <f ca="1"/>
        <v/>
      </c>
      <c r="IQ1502" s="42" t="str">
        <f ca="1"/>
        <v/>
      </c>
      <c r="IR1502" s="42" t="str">
        <f ca="1"/>
        <v/>
      </c>
      <c r="IS1502" s="42" t="str">
        <f ca="1"/>
        <v/>
      </c>
      <c r="IT1502" s="42" t="str">
        <f ca="1"/>
        <v/>
      </c>
      <c r="IU1502" s="42" t="str">
        <f ca="1"/>
        <v/>
      </c>
      <c r="IV1502" s="42" t="str">
        <f ca="1"/>
        <v/>
      </c>
      <c r="IW1502" s="42" t="str">
        <f ca="1"/>
        <v/>
      </c>
      <c r="IX1502" s="42" t="str">
        <f ca="1"/>
        <v/>
      </c>
      <c r="IY1502" s="42" t="str">
        <f ca="1"/>
        <v/>
      </c>
      <c r="IZ1502" s="42" t="str">
        <f ca="1"/>
        <v/>
      </c>
      <c r="JA1502" s="42" t="str">
        <f ca="1"/>
        <v/>
      </c>
      <c r="JB1502" s="42" t="str">
        <f ca="1"/>
        <v/>
      </c>
      <c r="JC1502" s="42" t="str">
        <f ca="1"/>
        <v/>
      </c>
      <c r="JD1502" s="42" t="str">
        <f ca="1"/>
        <v/>
      </c>
      <c r="JE1502" s="42" t="str">
        <f ca="1"/>
        <v/>
      </c>
      <c r="JF1502" s="42" t="str">
        <f ca="1"/>
        <v/>
      </c>
      <c r="JG1502" s="42" t="str">
        <f ca="1"/>
        <v/>
      </c>
      <c r="JH1502" s="42" t="str">
        <f ca="1"/>
        <v/>
      </c>
      <c r="JI1502" s="42" t="str">
        <f ca="1"/>
        <v/>
      </c>
      <c r="JJ1502" s="42" t="str">
        <f ca="1"/>
        <v/>
      </c>
      <c r="JK1502" s="42" t="str">
        <f ca="1"/>
        <v/>
      </c>
      <c r="JL1502" s="42" t="str">
        <f ca="1"/>
        <v/>
      </c>
      <c r="JM1502" s="42" t="str">
        <f ca="1"/>
        <v/>
      </c>
      <c r="JN1502" s="42" t="str">
        <f ca="1"/>
        <v/>
      </c>
      <c r="JO1502" s="42" t="str">
        <f ca="1"/>
        <v/>
      </c>
      <c r="JP1502" s="42" t="str">
        <f ca="1"/>
        <v/>
      </c>
      <c r="JQ1502" s="42" t="str">
        <f ca="1"/>
        <v/>
      </c>
      <c r="JR1502" s="42" t="str">
        <f ca="1"/>
        <v/>
      </c>
      <c r="JS1502" s="42" t="str">
        <f ca="1"/>
        <v/>
      </c>
      <c r="JT1502" s="42" t="str">
        <f ca="1"/>
        <v/>
      </c>
      <c r="JU1502" s="42" t="str">
        <f ca="1"/>
        <v/>
      </c>
      <c r="JV1502" s="42" t="str">
        <f ca="1"/>
        <v/>
      </c>
      <c r="JW1502" s="42" t="str">
        <f ca="1"/>
        <v/>
      </c>
      <c r="JX1502" s="42" t="str">
        <f ca="1"/>
        <v/>
      </c>
      <c r="JY1502" s="42" t="str">
        <f ca="1"/>
        <v/>
      </c>
      <c r="JZ1502" s="42" t="str">
        <f ca="1"/>
        <v/>
      </c>
      <c r="KA1502" s="42" t="str">
        <f ca="1"/>
        <v/>
      </c>
      <c r="KB1502" s="42" t="str">
        <f ca="1"/>
        <v/>
      </c>
      <c r="KC1502" s="42" t="str">
        <f ca="1"/>
        <v/>
      </c>
      <c r="KD1502" s="42" t="str">
        <f ca="1"/>
        <v/>
      </c>
      <c r="KE1502" s="42" t="str">
        <f ca="1"/>
        <v/>
      </c>
      <c r="KF1502" s="42" t="str">
        <f ca="1"/>
        <v/>
      </c>
      <c r="KG1502" s="42" t="str">
        <f ca="1"/>
        <v/>
      </c>
      <c r="KH1502" s="42" t="str">
        <f ca="1"/>
        <v/>
      </c>
      <c r="KI1502" s="42" t="str">
        <f ca="1"/>
        <v/>
      </c>
      <c r="KJ1502" s="42" t="str">
        <f ca="1"/>
        <v/>
      </c>
      <c r="KK1502" s="42" t="str">
        <f ca="1"/>
        <v/>
      </c>
      <c r="KL1502" s="42" t="str">
        <f ca="1"/>
        <v/>
      </c>
      <c r="KM1502" s="42" t="str">
        <f ca="1"/>
        <v/>
      </c>
      <c r="KN1502" s="42" t="str">
        <f ca="1"/>
        <v/>
      </c>
      <c r="KO1502" s="42" t="str">
        <f ca="1"/>
        <v/>
      </c>
      <c r="KP1502" s="42" t="str">
        <f ca="1"/>
        <v/>
      </c>
      <c r="KQ1502" s="42" t="str">
        <f ca="1"/>
        <v/>
      </c>
      <c r="KR1502" s="42" t="str">
        <f ca="1"/>
        <v/>
      </c>
      <c r="KS1502" s="42" t="str">
        <f ca="1"/>
        <v/>
      </c>
      <c r="KT1502" s="42" t="str">
        <f ca="1"/>
        <v/>
      </c>
      <c r="KU1502" s="42" t="str">
        <f ca="1"/>
        <v/>
      </c>
      <c r="KV1502" s="42" t="str">
        <f ca="1"/>
        <v/>
      </c>
      <c r="KW1502" s="42" t="str">
        <f ca="1"/>
        <v/>
      </c>
      <c r="KX1502" s="42" t="str">
        <f ca="1"/>
        <v/>
      </c>
      <c r="KY1502" s="42" t="str">
        <f ca="1"/>
        <v/>
      </c>
      <c r="KZ1502" s="42" t="str">
        <f ca="1"/>
        <v/>
      </c>
      <c r="LA1502" s="42" t="str">
        <f ca="1"/>
        <v/>
      </c>
      <c r="LB1502" s="42" t="str">
        <f ca="1"/>
        <v/>
      </c>
      <c r="LC1502" s="42" t="str">
        <f ca="1"/>
        <v/>
      </c>
      <c r="LD1502" s="42" t="str">
        <f ca="1"/>
        <v/>
      </c>
      <c r="LE1502" s="42" t="str">
        <f ca="1"/>
        <v/>
      </c>
      <c r="LF1502" s="42" t="str">
        <f ca="1"/>
        <v/>
      </c>
      <c r="LG1502" s="42" t="str">
        <f ca="1"/>
        <v/>
      </c>
      <c r="LH1502" s="42" t="str">
        <f ca="1"/>
        <v/>
      </c>
      <c r="LI1502" s="42" t="str">
        <f ca="1"/>
        <v/>
      </c>
      <c r="LJ1502" s="42" t="str">
        <f ca="1"/>
        <v/>
      </c>
      <c r="LK1502" s="42" t="str">
        <f ca="1"/>
        <v/>
      </c>
      <c r="LL1502" s="42" t="str">
        <f ca="1"/>
        <v/>
      </c>
      <c r="LM1502" s="42" t="str">
        <f ca="1"/>
        <v/>
      </c>
      <c r="LN1502" s="42" t="str">
        <f ca="1"/>
        <v/>
      </c>
      <c r="LO1502" s="42" t="str">
        <f ca="1"/>
        <v/>
      </c>
      <c r="LP1502" s="42" t="str">
        <f ca="1"/>
        <v/>
      </c>
      <c r="LQ1502" s="42" t="str">
        <f ca="1"/>
        <v/>
      </c>
      <c r="LR1502" s="42" t="str">
        <f ca="1"/>
        <v/>
      </c>
      <c r="LS1502" s="42" t="str">
        <f ca="1"/>
        <v/>
      </c>
      <c r="LT1502" s="42" t="str">
        <f ca="1"/>
        <v/>
      </c>
      <c r="LU1502" s="42" t="str">
        <f ca="1"/>
        <v/>
      </c>
      <c r="LV1502" s="42" t="str">
        <f ca="1"/>
        <v/>
      </c>
      <c r="LW1502" s="42" t="str">
        <f ca="1"/>
        <v/>
      </c>
      <c r="LX1502" s="42" t="str">
        <f ca="1"/>
        <v/>
      </c>
      <c r="LY1502" s="42" t="str">
        <f ca="1"/>
        <v/>
      </c>
      <c r="LZ1502" s="42" t="str">
        <f ca="1"/>
        <v/>
      </c>
      <c r="MA1502" s="42" t="str">
        <f ca="1"/>
        <v/>
      </c>
      <c r="MB1502" s="42" t="str">
        <f ca="1"/>
        <v/>
      </c>
      <c r="MC1502" s="42" t="str">
        <f ca="1"/>
        <v/>
      </c>
      <c r="MD1502" s="42" t="str">
        <f ca="1"/>
        <v/>
      </c>
      <c r="ME1502" s="42" t="str">
        <f ca="1"/>
        <v/>
      </c>
      <c r="MF1502" s="42" t="str">
        <f ca="1"/>
        <v/>
      </c>
      <c r="MG1502" s="42" t="str">
        <f ca="1"/>
        <v/>
      </c>
      <c r="MH1502" s="42" t="str">
        <f ca="1"/>
        <v/>
      </c>
      <c r="MI1502" s="42" t="str">
        <f ca="1"/>
        <v/>
      </c>
      <c r="MJ1502" s="42" t="str">
        <f ca="1"/>
        <v/>
      </c>
      <c r="MK1502" s="42" t="str">
        <f ca="1"/>
        <v/>
      </c>
      <c r="ML1502" s="42" t="str">
        <f ca="1"/>
        <v/>
      </c>
      <c r="MM1502" s="42" t="str">
        <f ca="1"/>
        <v/>
      </c>
      <c r="MN1502" s="42" t="str">
        <f ca="1"/>
        <v/>
      </c>
      <c r="MO1502" s="42" t="str">
        <f ca="1"/>
        <v/>
      </c>
      <c r="MP1502" s="42" t="str">
        <f ca="1"/>
        <v/>
      </c>
      <c r="MQ1502" s="42" t="str">
        <f ca="1"/>
        <v/>
      </c>
      <c r="MR1502" s="42" t="str">
        <f ca="1"/>
        <v/>
      </c>
      <c r="MS1502" s="42" t="str">
        <f ca="1"/>
        <v/>
      </c>
      <c r="MT1502" s="42" t="str">
        <f ca="1"/>
        <v/>
      </c>
      <c r="MU1502" s="42" t="str">
        <f ca="1"/>
        <v/>
      </c>
      <c r="MV1502" s="42" t="str">
        <f ca="1"/>
        <v/>
      </c>
      <c r="MW1502" s="42" t="str">
        <f ca="1"/>
        <v/>
      </c>
      <c r="MX1502" s="42" t="str">
        <f ca="1"/>
        <v/>
      </c>
      <c r="MY1502" s="42" t="str">
        <f ca="1"/>
        <v/>
      </c>
      <c r="MZ1502" s="42" t="str">
        <f ca="1"/>
        <v/>
      </c>
      <c r="NA1502" s="42" t="str">
        <f ca="1"/>
        <v/>
      </c>
      <c r="NB1502" s="42" t="str">
        <f ca="1"/>
        <v/>
      </c>
      <c r="NC1502" s="42" t="str">
        <f ca="1"/>
        <v/>
      </c>
      <c r="ND1502" s="42" t="str">
        <f ca="1"/>
        <v/>
      </c>
      <c r="NE1502" s="42" t="str">
        <f ca="1"/>
        <v/>
      </c>
      <c r="NF1502" s="42" t="str">
        <f ca="1"/>
        <v/>
      </c>
      <c r="NG1502" s="42" t="str">
        <f ca="1"/>
        <v/>
      </c>
      <c r="NH1502" s="42" t="str">
        <f ca="1"/>
        <v/>
      </c>
      <c r="NI1502" s="42" t="str">
        <f ca="1"/>
        <v/>
      </c>
      <c r="NJ1502" s="42" t="str">
        <f ca="1"/>
        <v/>
      </c>
      <c r="NK1502" s="42" t="str">
        <f ca="1"/>
        <v/>
      </c>
      <c r="NL1502" s="42" t="str">
        <f ca="1"/>
        <v/>
      </c>
      <c r="NM1502" s="42" t="str">
        <f ca="1"/>
        <v/>
      </c>
      <c r="NN1502" s="42" t="str">
        <f ca="1"/>
        <v/>
      </c>
      <c r="NO1502" s="42" t="str">
        <f ca="1"/>
        <v/>
      </c>
      <c r="NP1502" s="42" t="str">
        <f ca="1"/>
        <v/>
      </c>
      <c r="NQ1502" s="42" t="str">
        <f ca="1"/>
        <v/>
      </c>
      <c r="NR1502" s="42" t="str">
        <f ca="1"/>
        <v/>
      </c>
      <c r="NS1502" s="42" t="str">
        <f ca="1"/>
        <v/>
      </c>
      <c r="NT1502" s="42" t="str">
        <f ca="1"/>
        <v/>
      </c>
      <c r="NU1502" s="42" t="str">
        <f ca="1"/>
        <v/>
      </c>
      <c r="NV1502" s="42" t="str">
        <f ca="1"/>
        <v/>
      </c>
      <c r="NW1502" s="42" t="str">
        <f ca="1"/>
        <v/>
      </c>
      <c r="NX1502" s="42" t="str">
        <f ca="1"/>
        <v/>
      </c>
      <c r="NY1502" s="42" t="str">
        <f ca="1"/>
        <v/>
      </c>
      <c r="NZ1502" s="42" t="str">
        <f ca="1"/>
        <v/>
      </c>
      <c r="OA1502" s="42" t="str">
        <f ca="1"/>
        <v/>
      </c>
      <c r="OB1502" s="42" t="str">
        <f ca="1"/>
        <v/>
      </c>
      <c r="OC1502" s="42" t="str">
        <f ca="1"/>
        <v/>
      </c>
      <c r="OD1502" s="42" t="str">
        <f ca="1"/>
        <v/>
      </c>
      <c r="OE1502" s="42" t="str">
        <f ca="1"/>
        <v/>
      </c>
      <c r="OF1502" s="42" t="str">
        <f ca="1"/>
        <v/>
      </c>
      <c r="OG1502" s="42" t="str">
        <f ca="1"/>
        <v/>
      </c>
      <c r="OH1502" s="42" t="str">
        <f ca="1"/>
        <v/>
      </c>
      <c r="OI1502" s="42" t="str">
        <f ca="1"/>
        <v/>
      </c>
      <c r="OJ1502" s="42" t="str">
        <f ca="1"/>
        <v/>
      </c>
      <c r="OK1502" s="42" t="str">
        <f ca="1"/>
        <v/>
      </c>
      <c r="OL1502" s="42" t="str">
        <f ca="1"/>
        <v/>
      </c>
      <c r="OM1502" s="42" t="str">
        <f ca="1"/>
        <v/>
      </c>
      <c r="ON1502" s="42" t="str">
        <f ca="1"/>
        <v/>
      </c>
      <c r="OO1502" s="42" t="str">
        <f ca="1"/>
        <v/>
      </c>
      <c r="OP1502" s="42" t="str">
        <f ca="1"/>
        <v/>
      </c>
      <c r="OQ1502" s="42" t="str">
        <f ca="1"/>
        <v/>
      </c>
      <c r="OR1502" s="42" t="str">
        <f ca="1"/>
        <v/>
      </c>
      <c r="OS1502" s="42" t="str">
        <f ca="1"/>
        <v/>
      </c>
      <c r="OT1502" s="42" t="str">
        <f ca="1"/>
        <v/>
      </c>
      <c r="OU1502" s="42" t="str">
        <f ca="1"/>
        <v/>
      </c>
      <c r="OV1502" s="42" t="str">
        <f ca="1"/>
        <v/>
      </c>
      <c r="OW1502" s="42" t="str">
        <f ca="1"/>
        <v/>
      </c>
      <c r="OX1502" s="42" t="str">
        <f ca="1"/>
        <v/>
      </c>
      <c r="OY1502" s="42" t="str">
        <f ca="1"/>
        <v/>
      </c>
      <c r="OZ1502" s="42" t="str">
        <f ca="1"/>
        <v/>
      </c>
      <c r="PA1502" s="42" t="str">
        <f ca="1"/>
        <v/>
      </c>
      <c r="PB1502" s="42" t="str">
        <f ca="1"/>
        <v/>
      </c>
      <c r="PC1502" s="42" t="str">
        <f ca="1"/>
        <v/>
      </c>
      <c r="PD1502" s="42" t="str">
        <f ca="1"/>
        <v/>
      </c>
      <c r="PE1502" s="42" t="str">
        <f ca="1"/>
        <v/>
      </c>
      <c r="PF1502" s="42" t="str">
        <f ca="1"/>
        <v/>
      </c>
      <c r="PG1502" s="42" t="str">
        <f ca="1"/>
        <v/>
      </c>
      <c r="PH1502" s="42" t="str">
        <f ca="1"/>
        <v/>
      </c>
      <c r="PI1502" s="42" t="str">
        <f ca="1"/>
        <v/>
      </c>
      <c r="PJ1502" s="42" t="str">
        <f ca="1"/>
        <v/>
      </c>
      <c r="PK1502" s="42" t="str">
        <f ca="1"/>
        <v/>
      </c>
      <c r="PL1502" s="42" t="str">
        <f ca="1"/>
        <v/>
      </c>
      <c r="PM1502" s="42" t="str">
        <f ca="1"/>
        <v/>
      </c>
      <c r="PN1502" s="42" t="str">
        <f ca="1"/>
        <v/>
      </c>
      <c r="PO1502" s="42" t="str">
        <f ca="1"/>
        <v/>
      </c>
      <c r="PP1502" s="42" t="str">
        <f ca="1"/>
        <v/>
      </c>
      <c r="PQ1502" s="42" t="str">
        <f ca="1"/>
        <v/>
      </c>
      <c r="PR1502" s="42" t="str">
        <f ca="1"/>
        <v/>
      </c>
      <c r="PS1502" s="42" t="str">
        <f ca="1"/>
        <v/>
      </c>
      <c r="PT1502" s="42" t="str">
        <f ca="1"/>
        <v/>
      </c>
      <c r="PU1502" s="42" t="str">
        <f ca="1"/>
        <v/>
      </c>
      <c r="PV1502" s="42" t="str">
        <f ca="1"/>
        <v/>
      </c>
      <c r="PW1502" s="42" t="str">
        <f ca="1"/>
        <v/>
      </c>
      <c r="PX1502" s="42" t="str">
        <f ca="1"/>
        <v/>
      </c>
      <c r="PY1502" s="42" t="str">
        <f ca="1"/>
        <v/>
      </c>
      <c r="PZ1502" s="42" t="str">
        <f ca="1"/>
        <v/>
      </c>
      <c r="QA1502" s="42" t="str">
        <f ca="1"/>
        <v/>
      </c>
      <c r="QB1502" s="42" t="str">
        <f ca="1"/>
        <v/>
      </c>
      <c r="QC1502" s="42" t="str">
        <f ca="1"/>
        <v/>
      </c>
      <c r="QD1502" s="42" t="str">
        <f ca="1"/>
        <v/>
      </c>
      <c r="QE1502" s="42" t="str">
        <f ca="1"/>
        <v/>
      </c>
      <c r="QF1502" s="42" t="str">
        <f ca="1"/>
        <v/>
      </c>
      <c r="QG1502" s="42" t="str">
        <f ca="1"/>
        <v/>
      </c>
      <c r="QH1502" s="42" t="str">
        <f ca="1"/>
        <v/>
      </c>
      <c r="QI1502" s="42" t="str">
        <f ca="1"/>
        <v/>
      </c>
      <c r="QJ1502" s="42" t="str">
        <f ca="1"/>
        <v/>
      </c>
      <c r="QK1502" s="42" t="str">
        <f ca="1"/>
        <v/>
      </c>
      <c r="QL1502" s="42" t="str">
        <f ca="1"/>
        <v/>
      </c>
      <c r="QM1502" s="42" t="str">
        <f ca="1"/>
        <v/>
      </c>
      <c r="QN1502" s="42" t="str">
        <f ca="1"/>
        <v/>
      </c>
      <c r="QO1502" s="42" t="str">
        <f ca="1"/>
        <v/>
      </c>
      <c r="QP1502" s="42" t="str">
        <f ca="1"/>
        <v/>
      </c>
      <c r="QQ1502" s="42" t="str">
        <f ca="1"/>
        <v/>
      </c>
      <c r="QR1502" s="42" t="str">
        <f ca="1"/>
        <v/>
      </c>
      <c r="QS1502" s="42" t="str">
        <f ca="1"/>
        <v/>
      </c>
      <c r="QT1502" s="42" t="str">
        <f ca="1"/>
        <v/>
      </c>
      <c r="QU1502" s="42" t="str">
        <f ca="1"/>
        <v/>
      </c>
      <c r="QV1502" s="42" t="str">
        <f ca="1"/>
        <v/>
      </c>
      <c r="QW1502" s="42" t="str">
        <f ca="1"/>
        <v/>
      </c>
      <c r="QX1502" s="42" t="str">
        <f ca="1"/>
        <v/>
      </c>
      <c r="QY1502" s="42" t="str">
        <f ca="1"/>
        <v/>
      </c>
      <c r="QZ1502" s="42" t="str">
        <f ca="1"/>
        <v/>
      </c>
      <c r="RA1502" s="42" t="str">
        <f ca="1"/>
        <v/>
      </c>
      <c r="RB1502" s="42" t="str">
        <f ca="1"/>
        <v/>
      </c>
      <c r="RC1502" s="42" t="str">
        <f ca="1"/>
        <v/>
      </c>
      <c r="RD1502" s="42" t="str">
        <f ca="1"/>
        <v/>
      </c>
      <c r="RE1502" s="42" t="str">
        <f ca="1"/>
        <v/>
      </c>
      <c r="RF1502" s="42" t="str">
        <f ca="1"/>
        <v/>
      </c>
      <c r="RG1502" s="42" t="str">
        <f ca="1"/>
        <v/>
      </c>
      <c r="RH1502" s="42" t="str">
        <f ca="1"/>
        <v/>
      </c>
      <c r="RI1502" s="42" t="str">
        <f ca="1"/>
        <v/>
      </c>
      <c r="RJ1502" s="42" t="str">
        <f ca="1"/>
        <v/>
      </c>
      <c r="RK1502" s="42" t="str">
        <f ca="1"/>
        <v/>
      </c>
      <c r="RL1502" s="42" t="str">
        <f ca="1"/>
        <v/>
      </c>
      <c r="RM1502" s="42" t="str">
        <f ca="1"/>
        <v/>
      </c>
      <c r="RN1502" s="42" t="str">
        <f ca="1"/>
        <v/>
      </c>
      <c r="RO1502" s="42" t="str">
        <f ca="1"/>
        <v/>
      </c>
      <c r="RP1502" s="42" t="str">
        <f ca="1"/>
        <v/>
      </c>
      <c r="RQ1502" s="42" t="str">
        <f ca="1"/>
        <v/>
      </c>
      <c r="RR1502" s="42" t="str">
        <f ca="1"/>
        <v/>
      </c>
      <c r="RS1502" s="42" t="str">
        <f ca="1"/>
        <v/>
      </c>
      <c r="RT1502" s="42" t="str">
        <f ca="1"/>
        <v/>
      </c>
      <c r="RU1502" s="42" t="str">
        <f ca="1"/>
        <v/>
      </c>
      <c r="RV1502" s="42" t="str">
        <f ca="1"/>
        <v/>
      </c>
      <c r="RW1502" s="42" t="str">
        <f ca="1"/>
        <v/>
      </c>
      <c r="RX1502" s="42" t="str">
        <f ca="1"/>
        <v/>
      </c>
      <c r="RY1502" s="42" t="str">
        <f ca="1"/>
        <v/>
      </c>
      <c r="RZ1502" s="42" t="str">
        <f ca="1"/>
        <v/>
      </c>
      <c r="SA1502" s="42" t="str">
        <f ca="1"/>
        <v/>
      </c>
      <c r="SB1502" s="42" t="str">
        <f ca="1"/>
        <v/>
      </c>
      <c r="SC1502" s="42" t="str">
        <f ca="1"/>
        <v/>
      </c>
      <c r="SD1502" s="42" t="str">
        <f ca="1"/>
        <v/>
      </c>
      <c r="SE1502" s="42" t="str">
        <f ca="1"/>
        <v/>
      </c>
      <c r="SF1502" s="42" t="str">
        <f ca="1"/>
        <v/>
      </c>
      <c r="SG1502" s="42" t="str">
        <f ca="1"/>
        <v/>
      </c>
      <c r="SH1502" s="42" t="str">
        <f ca="1"/>
        <v/>
      </c>
      <c r="SI1502" s="42" t="str">
        <f ca="1"/>
        <v/>
      </c>
      <c r="SJ1502" s="42" t="str">
        <f ca="1"/>
        <v/>
      </c>
      <c r="SK1502" s="42" t="str">
        <f ca="1"/>
        <v/>
      </c>
      <c r="SL1502" s="42" t="str">
        <f ca="1"/>
        <v/>
      </c>
      <c r="SM1502" s="42" t="str">
        <f ca="1"/>
        <v/>
      </c>
      <c r="SN1502" s="42" t="str">
        <f ca="1"/>
        <v/>
      </c>
      <c r="SO1502" s="42" t="str">
        <f ca="1"/>
        <v/>
      </c>
      <c r="SP1502" s="42" t="str">
        <f ca="1"/>
        <v/>
      </c>
      <c r="SQ1502" s="42" t="str">
        <f ca="1"/>
        <v/>
      </c>
      <c r="SR1502" s="42" t="str">
        <f ca="1"/>
        <v/>
      </c>
      <c r="SS1502" s="42" t="str">
        <f ca="1"/>
        <v/>
      </c>
      <c r="ST1502" s="42" t="str">
        <f ca="1"/>
        <v/>
      </c>
      <c r="SU1502" s="42" t="str">
        <f ca="1"/>
        <v/>
      </c>
      <c r="SV1502" s="42" t="str">
        <f ca="1"/>
        <v/>
      </c>
      <c r="SW1502" s="42" t="str">
        <f ca="1"/>
        <v/>
      </c>
      <c r="SX1502" s="42" t="str">
        <f ca="1"/>
        <v/>
      </c>
      <c r="SY1502" s="42" t="str">
        <f ca="1"/>
        <v/>
      </c>
      <c r="SZ1502" s="42" t="str">
        <f ca="1"/>
        <v/>
      </c>
      <c r="TA1502" s="42" t="str">
        <f ca="1"/>
        <v/>
      </c>
      <c r="TB1502" s="42" t="str">
        <f ca="1"/>
        <v/>
      </c>
      <c r="TC1502" s="42" t="str">
        <f ca="1"/>
        <v/>
      </c>
      <c r="TD1502" s="42" t="str">
        <f ca="1"/>
        <v/>
      </c>
      <c r="TE1502" s="42" t="str">
        <f ca="1"/>
        <v/>
      </c>
      <c r="TF1502" s="42" t="str">
        <f ca="1"/>
        <v/>
      </c>
      <c r="TG1502" s="42" t="str">
        <f ca="1"/>
        <v/>
      </c>
      <c r="TH1502" s="42" t="str">
        <f ca="1"/>
        <v/>
      </c>
      <c r="TI1502" s="42" t="str">
        <f ca="1"/>
        <v/>
      </c>
      <c r="TJ1502" s="42" t="str">
        <f ca="1"/>
        <v/>
      </c>
      <c r="TK1502" s="42" t="str">
        <f ca="1"/>
        <v/>
      </c>
      <c r="TL1502" s="42" t="str">
        <f ca="1"/>
        <v/>
      </c>
      <c r="TM1502" s="42" t="str">
        <f ca="1"/>
        <v/>
      </c>
      <c r="TN1502" s="42" t="str">
        <f ca="1"/>
        <v/>
      </c>
      <c r="TO1502" s="42" t="str">
        <f ca="1"/>
        <v/>
      </c>
      <c r="TP1502" s="42" t="str">
        <f ca="1"/>
        <v/>
      </c>
      <c r="TQ1502" s="42" t="str">
        <f ca="1"/>
        <v/>
      </c>
      <c r="TR1502" s="42" t="str">
        <f ca="1"/>
        <v/>
      </c>
      <c r="TS1502" s="42" t="str">
        <f ca="1"/>
        <v/>
      </c>
      <c r="TT1502" s="42" t="str">
        <f ca="1"/>
        <v/>
      </c>
      <c r="TU1502" s="42" t="str">
        <f ca="1"/>
        <v/>
      </c>
      <c r="TV1502" s="42" t="str">
        <f ca="1"/>
        <v/>
      </c>
      <c r="TW1502" s="42" t="str">
        <f ca="1"/>
        <v/>
      </c>
      <c r="TX1502" s="42" t="str">
        <f ca="1"/>
        <v/>
      </c>
      <c r="TY1502" s="42" t="str">
        <f ca="1"/>
        <v/>
      </c>
      <c r="TZ1502" s="42" t="str">
        <f ca="1"/>
        <v/>
      </c>
      <c r="UA1502" s="42" t="str">
        <f ca="1"/>
        <v/>
      </c>
      <c r="UB1502" s="42" t="str">
        <f ca="1"/>
        <v/>
      </c>
      <c r="UC1502" s="42" t="str">
        <f ca="1"/>
        <v/>
      </c>
      <c r="UD1502" s="42" t="str">
        <f ca="1"/>
        <v/>
      </c>
      <c r="UE1502" s="42" t="str">
        <f ca="1"/>
        <v/>
      </c>
      <c r="UF1502" s="42" t="str">
        <f ca="1"/>
        <v/>
      </c>
      <c r="UG1502" s="42" t="str">
        <f ca="1"/>
        <v/>
      </c>
      <c r="UH1502" s="42" t="str">
        <f ca="1"/>
        <v/>
      </c>
      <c r="UI1502" s="42" t="str">
        <f ca="1"/>
        <v/>
      </c>
      <c r="UJ1502" s="42" t="str">
        <f ca="1"/>
        <v/>
      </c>
      <c r="UK1502" s="42" t="str">
        <f ca="1"/>
        <v/>
      </c>
      <c r="UL1502" s="42" t="str">
        <f ca="1"/>
        <v/>
      </c>
      <c r="UM1502" s="42" t="str">
        <f ca="1"/>
        <v/>
      </c>
      <c r="UN1502" s="42" t="str">
        <f ca="1"/>
        <v/>
      </c>
      <c r="UO1502" s="42" t="str">
        <f ca="1"/>
        <v/>
      </c>
      <c r="UP1502" s="42" t="str">
        <f ca="1"/>
        <v/>
      </c>
      <c r="UQ1502" s="42" t="str">
        <f ca="1"/>
        <v/>
      </c>
      <c r="UR1502" s="42" t="str">
        <f ca="1"/>
        <v/>
      </c>
      <c r="US1502" s="42" t="str">
        <f ca="1"/>
        <v/>
      </c>
      <c r="UT1502" s="42" t="str">
        <f ca="1"/>
        <v/>
      </c>
      <c r="UU1502" s="42" t="str">
        <f ca="1"/>
        <v/>
      </c>
      <c r="UV1502" s="42" t="str">
        <f ca="1"/>
        <v/>
      </c>
      <c r="UW1502" s="42" t="str">
        <f ca="1"/>
        <v/>
      </c>
      <c r="UX1502" s="42" t="str">
        <f ca="1"/>
        <v/>
      </c>
      <c r="UY1502" s="42" t="str">
        <f ca="1"/>
        <v/>
      </c>
      <c r="UZ1502" s="42" t="str">
        <f ca="1"/>
        <v/>
      </c>
      <c r="VA1502" s="42" t="str">
        <f ca="1"/>
        <v/>
      </c>
      <c r="VB1502" s="42" t="str">
        <f ca="1"/>
        <v/>
      </c>
      <c r="VC1502" s="42" t="str">
        <f ca="1"/>
        <v/>
      </c>
      <c r="VD1502" s="42" t="str">
        <f ca="1"/>
        <v/>
      </c>
      <c r="VE1502" s="42" t="str">
        <f ca="1"/>
        <v/>
      </c>
      <c r="VF1502" s="42" t="str">
        <f ca="1"/>
        <v/>
      </c>
      <c r="VG1502" s="42" t="str">
        <f ca="1"/>
        <v/>
      </c>
      <c r="VH1502" s="42" t="str">
        <f ca="1"/>
        <v/>
      </c>
      <c r="VI1502" s="42" t="str">
        <f ca="1"/>
        <v/>
      </c>
      <c r="VJ1502" s="42" t="str">
        <f ca="1"/>
        <v/>
      </c>
      <c r="VK1502" s="42" t="str">
        <f ca="1"/>
        <v/>
      </c>
      <c r="VL1502" s="42" t="str">
        <f ca="1"/>
        <v/>
      </c>
      <c r="VM1502" s="42" t="str">
        <f ca="1"/>
        <v/>
      </c>
      <c r="VN1502" s="42" t="str">
        <f ca="1"/>
        <v/>
      </c>
      <c r="VO1502" s="42" t="str">
        <f ca="1"/>
        <v/>
      </c>
      <c r="VP1502" s="42" t="str">
        <f ca="1"/>
        <v/>
      </c>
      <c r="VQ1502" s="42" t="str">
        <f ca="1"/>
        <v/>
      </c>
      <c r="VR1502" s="42" t="str">
        <f ca="1"/>
        <v/>
      </c>
      <c r="VS1502" s="42" t="str">
        <f ca="1"/>
        <v/>
      </c>
      <c r="VT1502" s="42" t="str">
        <f ca="1"/>
        <v/>
      </c>
      <c r="VU1502" s="42" t="str">
        <f ca="1"/>
        <v/>
      </c>
      <c r="VV1502" s="42" t="str">
        <f ca="1"/>
        <v/>
      </c>
      <c r="VW1502" s="42" t="str">
        <f ca="1"/>
        <v/>
      </c>
      <c r="VX1502" s="42" t="str">
        <f ca="1"/>
        <v/>
      </c>
      <c r="VY1502" s="42" t="str">
        <f ca="1"/>
        <v/>
      </c>
      <c r="VZ1502" s="42" t="str">
        <f ca="1"/>
        <v/>
      </c>
      <c r="WA1502" s="42" t="str">
        <f ca="1"/>
        <v/>
      </c>
      <c r="WB1502" s="42" t="str">
        <f ca="1"/>
        <v/>
      </c>
      <c r="WC1502" s="42" t="str">
        <f ca="1"/>
        <v/>
      </c>
      <c r="WD1502" s="42" t="str">
        <f ca="1"/>
        <v/>
      </c>
      <c r="WE1502" s="42" t="str">
        <f ca="1"/>
        <v/>
      </c>
      <c r="WF1502" s="42" t="str">
        <f ca="1"/>
        <v/>
      </c>
      <c r="WG1502" s="42" t="str">
        <f ca="1"/>
        <v/>
      </c>
      <c r="WH1502" s="42" t="str">
        <f ca="1"/>
        <v/>
      </c>
      <c r="WI1502" s="42" t="str">
        <f ca="1"/>
        <v/>
      </c>
      <c r="WJ1502" s="42" t="str">
        <f ca="1"/>
        <v/>
      </c>
      <c r="WK1502" s="42" t="str">
        <f ca="1"/>
        <v/>
      </c>
      <c r="WL1502" s="42" t="str">
        <f ca="1"/>
        <v/>
      </c>
      <c r="WM1502" s="42" t="str">
        <f ca="1"/>
        <v/>
      </c>
      <c r="WN1502" s="42" t="str">
        <f ca="1"/>
        <v/>
      </c>
      <c r="WO1502" s="42" t="str">
        <f ca="1"/>
        <v/>
      </c>
      <c r="WP1502" s="42" t="str">
        <f ca="1"/>
        <v/>
      </c>
      <c r="WQ1502" s="42" t="str">
        <f ca="1"/>
        <v/>
      </c>
      <c r="WR1502" s="42" t="str">
        <f ca="1"/>
        <v/>
      </c>
      <c r="WS1502" s="42" t="str">
        <f ca="1"/>
        <v/>
      </c>
      <c r="WT1502" s="42" t="str">
        <f ca="1"/>
        <v/>
      </c>
      <c r="WU1502" s="42" t="str">
        <f ca="1"/>
        <v/>
      </c>
      <c r="WV1502" s="42" t="str">
        <f ca="1"/>
        <v/>
      </c>
      <c r="WW1502" s="42" t="str">
        <f ca="1"/>
        <v/>
      </c>
      <c r="WX1502" s="42" t="str">
        <f ca="1"/>
        <v/>
      </c>
      <c r="WY1502" s="42" t="str">
        <f ca="1"/>
        <v/>
      </c>
      <c r="WZ1502" s="42" t="str">
        <f ca="1"/>
        <v/>
      </c>
      <c r="XA1502" s="42" t="str">
        <f ca="1"/>
        <v/>
      </c>
      <c r="XB1502" s="42" t="str">
        <f ca="1"/>
        <v/>
      </c>
      <c r="XC1502" s="42" t="str">
        <f ca="1"/>
        <v/>
      </c>
      <c r="XD1502" s="42" t="str">
        <f ca="1"/>
        <v/>
      </c>
      <c r="XE1502" s="42" t="str">
        <f ca="1"/>
        <v/>
      </c>
      <c r="XF1502" s="42" t="str">
        <f ca="1"/>
        <v/>
      </c>
      <c r="XG1502" s="42" t="str">
        <f ca="1"/>
        <v/>
      </c>
      <c r="XH1502" s="42" t="str">
        <f ca="1"/>
        <v/>
      </c>
      <c r="XI1502" s="42" t="str">
        <f ca="1"/>
        <v/>
      </c>
      <c r="XJ1502" s="42" t="str">
        <f ca="1"/>
        <v/>
      </c>
      <c r="XK1502" s="42" t="str">
        <f ca="1"/>
        <v/>
      </c>
      <c r="XL1502" s="42" t="str">
        <f ca="1"/>
        <v/>
      </c>
      <c r="XM1502" s="42" t="str">
        <f ca="1"/>
        <v/>
      </c>
      <c r="XN1502" s="42" t="str">
        <f ca="1"/>
        <v/>
      </c>
      <c r="XO1502" s="42" t="str">
        <f ca="1"/>
        <v/>
      </c>
      <c r="XP1502" s="42" t="str">
        <f ca="1"/>
        <v/>
      </c>
      <c r="XQ1502" s="42" t="str">
        <f ca="1"/>
        <v/>
      </c>
      <c r="XR1502" s="42" t="str">
        <f ca="1"/>
        <v/>
      </c>
      <c r="XS1502" s="42" t="str">
        <f ca="1"/>
        <v/>
      </c>
      <c r="XT1502" s="42" t="str">
        <f ca="1"/>
        <v/>
      </c>
      <c r="XU1502" s="42" t="str">
        <f ca="1"/>
        <v/>
      </c>
      <c r="XV1502" s="42" t="str">
        <f ca="1"/>
        <v/>
      </c>
      <c r="XW1502" s="42" t="str">
        <f ca="1"/>
        <v/>
      </c>
      <c r="XX1502" s="42" t="str">
        <f ca="1"/>
        <v/>
      </c>
      <c r="XY1502" s="42" t="str">
        <f ca="1"/>
        <v/>
      </c>
      <c r="XZ1502" s="42" t="str">
        <f ca="1"/>
        <v/>
      </c>
      <c r="YA1502" s="42" t="str">
        <f ca="1"/>
        <v/>
      </c>
      <c r="YB1502" s="42" t="str">
        <f ca="1"/>
        <v/>
      </c>
      <c r="YC1502" s="42" t="str">
        <f ca="1"/>
        <v/>
      </c>
      <c r="YD1502" s="42" t="str">
        <f ca="1"/>
        <v/>
      </c>
      <c r="YE1502" s="42" t="str">
        <f ca="1"/>
        <v/>
      </c>
      <c r="YF1502" s="42" t="str">
        <f ca="1"/>
        <v/>
      </c>
      <c r="YG1502" s="42" t="str">
        <f ca="1"/>
        <v/>
      </c>
      <c r="YH1502" s="42" t="str">
        <f ca="1"/>
        <v/>
      </c>
      <c r="YI1502" s="42" t="str">
        <f ca="1"/>
        <v/>
      </c>
      <c r="YJ1502" s="42" t="str">
        <f ca="1"/>
        <v/>
      </c>
      <c r="YK1502" s="42" t="str">
        <f ca="1"/>
        <v/>
      </c>
      <c r="YL1502" s="42" t="str">
        <f ca="1"/>
        <v/>
      </c>
      <c r="YM1502" s="42" t="str">
        <f ca="1"/>
        <v/>
      </c>
      <c r="YN1502" s="42" t="str">
        <f ca="1"/>
        <v/>
      </c>
      <c r="YO1502" s="42" t="str">
        <f ca="1"/>
        <v/>
      </c>
      <c r="YP1502" s="42" t="str">
        <f ca="1"/>
        <v/>
      </c>
      <c r="YQ1502" s="42" t="str">
        <f ca="1"/>
        <v/>
      </c>
      <c r="YR1502" s="42" t="str">
        <f ca="1"/>
        <v/>
      </c>
      <c r="YS1502" s="42" t="str">
        <f ca="1"/>
        <v/>
      </c>
      <c r="YT1502" s="42" t="str">
        <f ca="1"/>
        <v/>
      </c>
      <c r="YU1502" s="42" t="str">
        <f ca="1"/>
        <v/>
      </c>
      <c r="YV1502" s="42" t="str">
        <f ca="1"/>
        <v/>
      </c>
      <c r="YW1502" s="42" t="str">
        <f ca="1"/>
        <v/>
      </c>
      <c r="YX1502" s="42" t="str">
        <f ca="1"/>
        <v/>
      </c>
      <c r="YY1502" s="42" t="str">
        <f ca="1"/>
        <v/>
      </c>
      <c r="YZ1502" s="42" t="str">
        <f ca="1"/>
        <v/>
      </c>
      <c r="ZA1502" s="42" t="str">
        <f ca="1"/>
        <v/>
      </c>
      <c r="ZB1502" s="42" t="str">
        <f ca="1"/>
        <v/>
      </c>
      <c r="ZC1502" s="42" t="str">
        <f ca="1"/>
        <v/>
      </c>
      <c r="ZD1502" s="42" t="str">
        <f ca="1"/>
        <v/>
      </c>
      <c r="ZE1502" s="42" t="str">
        <f ca="1"/>
        <v/>
      </c>
      <c r="ZF1502" s="42" t="str">
        <f ca="1"/>
        <v/>
      </c>
      <c r="ZG1502" s="42" t="str">
        <f ca="1"/>
        <v/>
      </c>
      <c r="ZH1502" s="42" t="str">
        <f ca="1"/>
        <v/>
      </c>
      <c r="ZI1502" s="42" t="str">
        <f ca="1"/>
        <v/>
      </c>
      <c r="ZJ1502" s="42" t="str">
        <f ca="1"/>
        <v/>
      </c>
      <c r="ZK1502" s="42" t="str">
        <f ca="1"/>
        <v/>
      </c>
      <c r="ZL1502" s="42" t="str">
        <f ca="1"/>
        <v/>
      </c>
      <c r="ZM1502" s="42" t="str">
        <f ca="1"/>
        <v/>
      </c>
      <c r="ZN1502" s="42" t="str">
        <f ca="1"/>
        <v/>
      </c>
      <c r="ZO1502" s="42" t="str">
        <f ca="1"/>
        <v/>
      </c>
      <c r="ZP1502" s="42" t="str">
        <f ca="1"/>
        <v/>
      </c>
      <c r="ZQ1502" s="42" t="str">
        <f ca="1"/>
        <v/>
      </c>
      <c r="ZR1502" s="42" t="str">
        <f ca="1"/>
        <v/>
      </c>
      <c r="ZS1502" s="42" t="str">
        <f ca="1"/>
        <v/>
      </c>
      <c r="ZT1502" s="42" t="str">
        <f ca="1"/>
        <v/>
      </c>
      <c r="ZU1502" s="42" t="str">
        <f ca="1"/>
        <v/>
      </c>
      <c r="ZV1502" s="42" t="str">
        <f ca="1"/>
        <v/>
      </c>
      <c r="ZW1502" s="42" t="str">
        <f ca="1"/>
        <v/>
      </c>
      <c r="ZX1502" s="42" t="str">
        <f ca="1"/>
        <v/>
      </c>
      <c r="ZY1502" s="42" t="str">
        <f ca="1"/>
        <v/>
      </c>
      <c r="ZZ1502" s="42" t="str">
        <f ca="1"/>
        <v/>
      </c>
      <c r="AAA1502" s="42" t="str">
        <f ca="1"/>
        <v/>
      </c>
      <c r="AAB1502" s="42" t="str">
        <f ca="1"/>
        <v/>
      </c>
      <c r="AAC1502" s="42" t="str">
        <f ca="1"/>
        <v/>
      </c>
      <c r="AAD1502" s="42" t="str">
        <f ca="1"/>
        <v/>
      </c>
      <c r="AAE1502" s="42" t="str">
        <f ca="1"/>
        <v/>
      </c>
      <c r="AAF1502" s="42" t="str">
        <f ca="1"/>
        <v/>
      </c>
      <c r="AAG1502" s="42" t="str">
        <f ca="1"/>
        <v/>
      </c>
      <c r="AAH1502" s="42" t="str">
        <f ca="1"/>
        <v/>
      </c>
      <c r="AAI1502" s="42" t="str">
        <f ca="1"/>
        <v/>
      </c>
      <c r="AAJ1502" s="42" t="str">
        <f ca="1"/>
        <v/>
      </c>
      <c r="AAK1502" s="42" t="str">
        <f ca="1"/>
        <v/>
      </c>
      <c r="AAL1502" s="42" t="str">
        <f ca="1"/>
        <v/>
      </c>
      <c r="AAM1502" s="42" t="str">
        <f ca="1"/>
        <v/>
      </c>
      <c r="AAN1502" s="42" t="str">
        <f ca="1"/>
        <v/>
      </c>
      <c r="AAO1502" s="42" t="str">
        <f ca="1"/>
        <v/>
      </c>
      <c r="AAP1502" s="42" t="str">
        <f ca="1"/>
        <v/>
      </c>
      <c r="AAQ1502" s="42" t="str">
        <f ca="1"/>
        <v/>
      </c>
      <c r="AAR1502" s="42" t="str">
        <f ca="1"/>
        <v/>
      </c>
      <c r="AAS1502" s="42" t="str">
        <f ca="1"/>
        <v/>
      </c>
      <c r="AAT1502" s="42" t="str">
        <f ca="1"/>
        <v/>
      </c>
      <c r="AAU1502" s="42" t="str">
        <f ca="1"/>
        <v/>
      </c>
      <c r="AAV1502" s="42" t="str">
        <f ca="1"/>
        <v/>
      </c>
      <c r="AAW1502" s="42" t="str">
        <f ca="1"/>
        <v/>
      </c>
      <c r="AAX1502" s="42" t="str">
        <f ca="1"/>
        <v/>
      </c>
      <c r="AAY1502" s="42" t="str">
        <f ca="1"/>
        <v/>
      </c>
      <c r="AAZ1502" s="42" t="str">
        <f ca="1"/>
        <v/>
      </c>
      <c r="ABA1502" s="42" t="str">
        <f ca="1"/>
        <v/>
      </c>
      <c r="ABB1502" s="42" t="str">
        <f ca="1"/>
        <v/>
      </c>
      <c r="ABC1502" s="42" t="str">
        <f ca="1"/>
        <v/>
      </c>
      <c r="ABD1502" s="42" t="str">
        <f ca="1"/>
        <v/>
      </c>
      <c r="ABE1502" s="42" t="str">
        <f ca="1"/>
        <v/>
      </c>
      <c r="ABF1502" s="42" t="str">
        <f ca="1"/>
        <v/>
      </c>
      <c r="ABG1502" s="42" t="str">
        <f ca="1"/>
        <v/>
      </c>
      <c r="ABH1502" s="42" t="str">
        <f ca="1"/>
        <v/>
      </c>
      <c r="ABI1502" s="42" t="str">
        <f ca="1"/>
        <v/>
      </c>
      <c r="ABJ1502" s="42" t="str">
        <f ca="1"/>
        <v/>
      </c>
      <c r="ABK1502" s="42" t="str">
        <f ca="1"/>
        <v/>
      </c>
      <c r="ABL1502" s="42" t="str">
        <f ca="1"/>
        <v/>
      </c>
      <c r="ABM1502" s="42" t="str">
        <f ca="1"/>
        <v/>
      </c>
      <c r="ABN1502" s="42" t="str">
        <f ca="1"/>
        <v/>
      </c>
      <c r="ABO1502" s="42" t="str">
        <f ca="1"/>
        <v/>
      </c>
      <c r="ABP1502" s="42" t="str">
        <f ca="1"/>
        <v/>
      </c>
      <c r="ABQ1502" s="42" t="str">
        <f ca="1"/>
        <v/>
      </c>
      <c r="ABR1502" s="42" t="str">
        <f ca="1"/>
        <v/>
      </c>
      <c r="ABS1502" s="42" t="str">
        <f ca="1"/>
        <v/>
      </c>
      <c r="ABT1502" s="42" t="str">
        <f ca="1"/>
        <v/>
      </c>
      <c r="ABU1502" s="42" t="str">
        <f ca="1"/>
        <v/>
      </c>
      <c r="ABV1502" s="42" t="str">
        <f ca="1"/>
        <v/>
      </c>
      <c r="ABW1502" s="42" t="str">
        <f ca="1"/>
        <v/>
      </c>
      <c r="ABX1502" s="42" t="str">
        <f ca="1"/>
        <v/>
      </c>
      <c r="ABY1502" s="42" t="str">
        <f ca="1"/>
        <v/>
      </c>
      <c r="ABZ1502" s="42" t="str">
        <f ca="1"/>
        <v/>
      </c>
      <c r="ACA1502" s="42" t="str">
        <f ca="1"/>
        <v/>
      </c>
      <c r="ACB1502" s="42" t="str">
        <f ca="1"/>
        <v/>
      </c>
      <c r="ACC1502" s="42" t="str">
        <f ca="1"/>
        <v/>
      </c>
      <c r="ACD1502" s="42" t="str">
        <f ca="1"/>
        <v/>
      </c>
      <c r="ACE1502" s="42" t="str">
        <f ca="1"/>
        <v/>
      </c>
      <c r="ACF1502" s="42" t="str">
        <f ca="1"/>
        <v/>
      </c>
      <c r="ACG1502" s="42" t="str">
        <f ca="1"/>
        <v/>
      </c>
      <c r="ACH1502" s="42" t="str">
        <f ca="1"/>
        <v/>
      </c>
      <c r="ACI1502" s="42" t="str">
        <f ca="1"/>
        <v/>
      </c>
      <c r="ACJ1502" s="42" t="str">
        <f ca="1"/>
        <v/>
      </c>
      <c r="ACK1502" s="42" t="str">
        <f ca="1"/>
        <v/>
      </c>
      <c r="ACL1502" s="42" t="str">
        <f ca="1"/>
        <v/>
      </c>
      <c r="ACM1502" s="42" t="str">
        <f ca="1"/>
        <v/>
      </c>
      <c r="ACN1502" s="42" t="str">
        <f ca="1"/>
        <v/>
      </c>
      <c r="ACO1502" s="42" t="str">
        <f ca="1"/>
        <v/>
      </c>
      <c r="ACP1502" s="42" t="str">
        <f ca="1"/>
        <v/>
      </c>
      <c r="ACQ1502" s="42" t="str">
        <f ca="1"/>
        <v/>
      </c>
      <c r="ACR1502" s="42" t="str">
        <f ca="1"/>
        <v/>
      </c>
      <c r="ACS1502" s="42" t="str">
        <f ca="1"/>
        <v/>
      </c>
      <c r="ACT1502" s="42" t="str">
        <f ca="1"/>
        <v/>
      </c>
      <c r="ACU1502" s="42" t="str">
        <f ca="1"/>
        <v/>
      </c>
      <c r="ACV1502" s="42" t="str">
        <f ca="1"/>
        <v/>
      </c>
      <c r="ACW1502" s="42" t="str">
        <f ca="1"/>
        <v/>
      </c>
      <c r="ACX1502" s="42" t="str">
        <f ca="1"/>
        <v/>
      </c>
      <c r="ACY1502" s="42" t="str">
        <f ca="1"/>
        <v/>
      </c>
      <c r="ACZ1502" s="42" t="str">
        <f ca="1"/>
        <v/>
      </c>
      <c r="ADA1502" s="42" t="str">
        <f ca="1"/>
        <v/>
      </c>
      <c r="ADB1502" s="42" t="str">
        <f ca="1"/>
        <v/>
      </c>
      <c r="ADC1502" s="42" t="str">
        <f ca="1"/>
        <v/>
      </c>
      <c r="ADD1502" s="42" t="str">
        <f ca="1"/>
        <v/>
      </c>
      <c r="ADE1502" s="42" t="str">
        <f ca="1"/>
        <v/>
      </c>
      <c r="ADF1502" s="42" t="str">
        <f ca="1"/>
        <v/>
      </c>
      <c r="ADG1502" s="42" t="str">
        <f ca="1"/>
        <v/>
      </c>
      <c r="ADH1502" s="42" t="str">
        <f ca="1"/>
        <v/>
      </c>
      <c r="ADI1502" s="42" t="str">
        <f ca="1"/>
        <v/>
      </c>
      <c r="ADJ1502" s="42" t="str">
        <f ca="1"/>
        <v/>
      </c>
      <c r="ADK1502" s="42" t="str">
        <f ca="1"/>
        <v/>
      </c>
      <c r="ADL1502" s="42" t="str">
        <f ca="1"/>
        <v/>
      </c>
      <c r="ADM1502" s="42" t="str">
        <f ca="1"/>
        <v/>
      </c>
      <c r="ADN1502" s="42" t="str">
        <f ca="1"/>
        <v/>
      </c>
      <c r="ADO1502" s="42" t="str">
        <f ca="1"/>
        <v/>
      </c>
      <c r="ADP1502" s="42" t="str">
        <f ca="1"/>
        <v/>
      </c>
      <c r="ADQ1502" s="42" t="str">
        <f ca="1"/>
        <v/>
      </c>
      <c r="ADR1502" s="42" t="str">
        <f ca="1"/>
        <v/>
      </c>
      <c r="ADS1502" s="42" t="str">
        <f ca="1"/>
        <v/>
      </c>
      <c r="ADT1502" s="42" t="str">
        <f ca="1"/>
        <v/>
      </c>
      <c r="ADU1502" s="42" t="str">
        <f ca="1"/>
        <v/>
      </c>
      <c r="ADV1502" s="42" t="str">
        <f ca="1"/>
        <v/>
      </c>
      <c r="ADW1502" s="42" t="str">
        <f ca="1"/>
        <v/>
      </c>
      <c r="ADX1502" s="42" t="str">
        <f ca="1"/>
        <v/>
      </c>
      <c r="ADY1502" s="42" t="str">
        <f ca="1"/>
        <v/>
      </c>
      <c r="ADZ1502" s="42" t="str">
        <f ca="1"/>
        <v/>
      </c>
      <c r="AEA1502" s="42" t="str">
        <f ca="1"/>
        <v/>
      </c>
      <c r="AEB1502" s="42" t="str">
        <f ca="1"/>
        <v/>
      </c>
      <c r="AEC1502" s="42" t="str">
        <f ca="1"/>
        <v/>
      </c>
      <c r="AED1502" s="42" t="str">
        <f ca="1"/>
        <v/>
      </c>
      <c r="AEE1502" s="42" t="str">
        <f ca="1"/>
        <v/>
      </c>
      <c r="AEF1502" s="42" t="str">
        <f ca="1"/>
        <v/>
      </c>
      <c r="AEG1502" s="42" t="str">
        <f ca="1"/>
        <v/>
      </c>
      <c r="AEH1502" s="42" t="str">
        <f ca="1"/>
        <v/>
      </c>
      <c r="AEI1502" s="42" t="str">
        <f ca="1"/>
        <v/>
      </c>
      <c r="AEJ1502" s="42" t="str">
        <f ca="1"/>
        <v/>
      </c>
      <c r="AEK1502" s="42" t="str">
        <f ca="1"/>
        <v/>
      </c>
      <c r="AEL1502" s="42" t="str">
        <f ca="1"/>
        <v/>
      </c>
      <c r="AEM1502" s="42" t="str">
        <f ca="1"/>
        <v/>
      </c>
      <c r="AEN1502" s="42" t="str">
        <f ca="1"/>
        <v/>
      </c>
      <c r="AEO1502" s="42" t="str">
        <f ca="1"/>
        <v/>
      </c>
      <c r="AEP1502" s="42" t="str">
        <f ca="1"/>
        <v/>
      </c>
      <c r="AEQ1502" s="42" t="str">
        <f ca="1"/>
        <v/>
      </c>
      <c r="AER1502" s="42" t="str">
        <f ca="1"/>
        <v/>
      </c>
      <c r="AES1502" s="42" t="str">
        <f ca="1"/>
        <v/>
      </c>
      <c r="AET1502" s="42" t="str">
        <f ca="1"/>
        <v/>
      </c>
      <c r="AEU1502" s="42" t="str">
        <f ca="1"/>
        <v/>
      </c>
      <c r="AEV1502" s="42" t="str">
        <f ca="1"/>
        <v/>
      </c>
      <c r="AEW1502" s="42" t="str">
        <f ca="1"/>
        <v/>
      </c>
      <c r="AEX1502" s="42" t="str">
        <f ca="1"/>
        <v/>
      </c>
      <c r="AEY1502" s="42" t="str">
        <f ca="1"/>
        <v/>
      </c>
      <c r="AEZ1502" s="42" t="str">
        <f ca="1"/>
        <v/>
      </c>
      <c r="AFA1502" s="42" t="str">
        <f ca="1"/>
        <v/>
      </c>
      <c r="AFB1502" s="42" t="str">
        <f ca="1"/>
        <v/>
      </c>
      <c r="AFC1502" s="42" t="str">
        <f ca="1"/>
        <v/>
      </c>
      <c r="AFD1502" s="42" t="str">
        <f ca="1"/>
        <v/>
      </c>
      <c r="AFE1502" s="42" t="str">
        <f ca="1"/>
        <v/>
      </c>
      <c r="AFF1502" s="42" t="str">
        <f ca="1"/>
        <v/>
      </c>
      <c r="AFG1502" s="42" t="str">
        <f ca="1"/>
        <v/>
      </c>
      <c r="AFH1502" s="42" t="str">
        <f ca="1"/>
        <v/>
      </c>
      <c r="AFI1502" s="42" t="str">
        <f ca="1"/>
        <v/>
      </c>
      <c r="AFJ1502" s="42" t="str">
        <f ca="1"/>
        <v/>
      </c>
      <c r="AFK1502" s="42" t="str">
        <f ca="1"/>
        <v/>
      </c>
      <c r="AFL1502" s="42" t="str">
        <f ca="1"/>
        <v/>
      </c>
      <c r="AFM1502" s="42" t="str">
        <f ca="1"/>
        <v/>
      </c>
      <c r="AFN1502" s="42" t="str">
        <f ca="1"/>
        <v/>
      </c>
      <c r="AFO1502" s="42" t="str">
        <f ca="1"/>
        <v/>
      </c>
      <c r="AFP1502" s="42" t="str">
        <f ca="1"/>
        <v/>
      </c>
      <c r="AFQ1502" s="42" t="str">
        <f ca="1"/>
        <v/>
      </c>
      <c r="AFR1502" s="42" t="str">
        <f ca="1"/>
        <v/>
      </c>
      <c r="AFS1502" s="42" t="str">
        <f ca="1"/>
        <v/>
      </c>
      <c r="AFT1502" s="42" t="str">
        <f ca="1"/>
        <v/>
      </c>
      <c r="AFU1502" s="42" t="str">
        <f ca="1"/>
        <v/>
      </c>
      <c r="AFV1502" s="42" t="str">
        <f ca="1"/>
        <v/>
      </c>
      <c r="AFW1502" s="42" t="str">
        <f ca="1"/>
        <v/>
      </c>
      <c r="AFX1502" s="42" t="str">
        <f ca="1"/>
        <v/>
      </c>
      <c r="AFY1502" s="42" t="str">
        <f ca="1"/>
        <v/>
      </c>
      <c r="AFZ1502" s="42" t="str">
        <f ca="1"/>
        <v/>
      </c>
      <c r="AGA1502" s="42" t="str">
        <f ca="1"/>
        <v/>
      </c>
      <c r="AGB1502" s="42" t="str">
        <f ca="1"/>
        <v/>
      </c>
      <c r="AGC1502" s="42" t="str">
        <f ca="1"/>
        <v/>
      </c>
      <c r="AGD1502" s="42" t="str">
        <f ca="1"/>
        <v/>
      </c>
      <c r="AGE1502" s="42" t="str">
        <f ca="1"/>
        <v/>
      </c>
      <c r="AGF1502" s="42" t="str">
        <f ca="1"/>
        <v/>
      </c>
      <c r="AGG1502" s="42" t="str">
        <f ca="1"/>
        <v/>
      </c>
      <c r="AGH1502" s="42" t="str">
        <f ca="1"/>
        <v/>
      </c>
      <c r="AGI1502" s="42" t="str">
        <f ca="1"/>
        <v/>
      </c>
      <c r="AGJ1502" s="42" t="str">
        <f ca="1"/>
        <v/>
      </c>
      <c r="AGK1502" s="42" t="str">
        <f ca="1"/>
        <v/>
      </c>
      <c r="AGL1502" s="42" t="str">
        <f ca="1"/>
        <v/>
      </c>
      <c r="AGM1502" s="42" t="str">
        <f ca="1"/>
        <v/>
      </c>
      <c r="AGN1502" s="42" t="str">
        <f ca="1"/>
        <v/>
      </c>
    </row>
    <row r="1503" spans="15:872" x14ac:dyDescent="0.25">
      <c r="O1503" s="42">
        <v>13</v>
      </c>
      <c r="P1503" s="42" t="str">
        <f ca="1"/>
        <v/>
      </c>
      <c r="Q1503" s="42" t="str">
        <f ca="1"/>
        <v/>
      </c>
      <c r="R1503" s="42" t="str">
        <f ca="1"/>
        <v/>
      </c>
      <c r="S1503" s="42" t="str">
        <f ca="1"/>
        <v/>
      </c>
      <c r="T1503" s="42" t="str">
        <f ca="1"/>
        <v/>
      </c>
      <c r="U1503" s="42" t="str">
        <f ca="1"/>
        <v/>
      </c>
      <c r="V1503" s="42" t="str">
        <f ca="1"/>
        <v/>
      </c>
      <c r="W1503" s="42" t="str">
        <f ca="1"/>
        <v/>
      </c>
      <c r="X1503" s="42" t="str">
        <f ca="1"/>
        <v/>
      </c>
      <c r="Y1503" s="42" t="str">
        <f ca="1"/>
        <v/>
      </c>
      <c r="Z1503" s="42" t="str">
        <f ca="1"/>
        <v/>
      </c>
      <c r="AA1503" s="42" t="str">
        <f ca="1"/>
        <v/>
      </c>
      <c r="AB1503" s="42" t="str">
        <f ca="1"/>
        <v/>
      </c>
      <c r="AC1503" s="42" t="str">
        <f ca="1"/>
        <v/>
      </c>
      <c r="AD1503" s="42" t="str">
        <f ca="1"/>
        <v/>
      </c>
      <c r="AE1503" s="42" t="str">
        <f ca="1"/>
        <v/>
      </c>
      <c r="AF1503" s="42" t="str">
        <f ca="1"/>
        <v/>
      </c>
      <c r="AG1503" s="42" t="str">
        <f ca="1"/>
        <v/>
      </c>
      <c r="AH1503" s="42" t="str">
        <f ca="1"/>
        <v/>
      </c>
      <c r="AI1503" s="42" t="str">
        <f ca="1"/>
        <v/>
      </c>
      <c r="AJ1503" s="42" t="str">
        <f ca="1"/>
        <v/>
      </c>
      <c r="AK1503" s="42" t="str">
        <f ca="1"/>
        <v/>
      </c>
      <c r="AL1503" s="42" t="str">
        <f ca="1"/>
        <v/>
      </c>
      <c r="AM1503" s="42" t="str">
        <f ca="1"/>
        <v/>
      </c>
      <c r="AN1503" s="42" t="str">
        <f ca="1"/>
        <v/>
      </c>
      <c r="AO1503" s="42" t="str">
        <f ca="1"/>
        <v/>
      </c>
      <c r="AP1503" s="42" t="str">
        <f ca="1"/>
        <v/>
      </c>
      <c r="AQ1503" s="42" t="str">
        <f ca="1"/>
        <v/>
      </c>
      <c r="AR1503" s="42" t="str">
        <f ca="1"/>
        <v/>
      </c>
      <c r="AS1503" s="42" t="str">
        <f ca="1"/>
        <v/>
      </c>
      <c r="AT1503" s="42" t="str">
        <f ca="1"/>
        <v/>
      </c>
      <c r="AU1503" s="42" t="str">
        <f ca="1"/>
        <v/>
      </c>
      <c r="AV1503" s="42" t="str">
        <f ca="1"/>
        <v/>
      </c>
      <c r="AW1503" s="42" t="str">
        <f ca="1"/>
        <v/>
      </c>
      <c r="AX1503" s="42" t="str">
        <f ca="1"/>
        <v/>
      </c>
      <c r="AY1503" s="42" t="str">
        <f ca="1"/>
        <v/>
      </c>
      <c r="AZ1503" s="42" t="str">
        <f ca="1"/>
        <v/>
      </c>
      <c r="BA1503" s="42" t="str">
        <f ca="1"/>
        <v/>
      </c>
      <c r="BB1503" s="42" t="str">
        <f ca="1"/>
        <v/>
      </c>
      <c r="BC1503" s="42" t="str">
        <f ca="1"/>
        <v/>
      </c>
      <c r="BD1503" s="42" t="str">
        <f ca="1"/>
        <v/>
      </c>
      <c r="BE1503" s="42" t="str">
        <f ca="1"/>
        <v/>
      </c>
      <c r="BF1503" s="42" t="str">
        <f ca="1"/>
        <v/>
      </c>
      <c r="BG1503" s="42" t="str">
        <f ca="1"/>
        <v/>
      </c>
      <c r="BH1503" s="42" t="str">
        <f ca="1"/>
        <v/>
      </c>
      <c r="BI1503" s="42" t="str">
        <f ca="1"/>
        <v/>
      </c>
      <c r="BJ1503" s="42" t="str">
        <f ca="1"/>
        <v/>
      </c>
      <c r="BK1503" s="42" t="str">
        <f ca="1"/>
        <v/>
      </c>
      <c r="BL1503" s="42" t="str">
        <f ca="1"/>
        <v/>
      </c>
      <c r="BM1503" s="42" t="str">
        <f ca="1"/>
        <v/>
      </c>
      <c r="BN1503" s="42" t="str">
        <f ca="1"/>
        <v/>
      </c>
      <c r="BO1503" s="42" t="str">
        <f ca="1"/>
        <v/>
      </c>
      <c r="BP1503" s="42" t="str">
        <f ca="1"/>
        <v/>
      </c>
      <c r="BQ1503" s="42" t="str">
        <f ca="1"/>
        <v/>
      </c>
      <c r="BR1503" s="42" t="str">
        <f ca="1"/>
        <v/>
      </c>
      <c r="BS1503" s="42" t="str">
        <f ca="1"/>
        <v/>
      </c>
      <c r="BT1503" s="42" t="str">
        <f ca="1"/>
        <v/>
      </c>
      <c r="BU1503" s="42" t="str">
        <f ca="1"/>
        <v/>
      </c>
      <c r="BV1503" s="42" t="str">
        <f ca="1"/>
        <v/>
      </c>
      <c r="BW1503" s="42" t="str">
        <f ca="1"/>
        <v/>
      </c>
      <c r="BX1503" s="42" t="str">
        <f ca="1"/>
        <v/>
      </c>
      <c r="BY1503" s="42" t="str">
        <f ca="1"/>
        <v/>
      </c>
      <c r="BZ1503" s="42" t="str">
        <f ca="1"/>
        <v/>
      </c>
      <c r="CA1503" s="42" t="str">
        <f ca="1"/>
        <v/>
      </c>
      <c r="CB1503" s="42" t="str">
        <f ca="1"/>
        <v/>
      </c>
      <c r="CC1503" s="42" t="str">
        <f ca="1"/>
        <v/>
      </c>
      <c r="CD1503" s="42" t="str">
        <f ca="1"/>
        <v/>
      </c>
      <c r="CE1503" s="42" t="str">
        <f ca="1"/>
        <v/>
      </c>
      <c r="CF1503" s="42" t="str">
        <f ca="1"/>
        <v/>
      </c>
      <c r="CG1503" s="42" t="str">
        <f ca="1"/>
        <v/>
      </c>
      <c r="CH1503" s="42" t="str">
        <f ca="1"/>
        <v/>
      </c>
      <c r="CI1503" s="42" t="str">
        <f ca="1"/>
        <v/>
      </c>
      <c r="CJ1503" s="42" t="str">
        <f ca="1"/>
        <v/>
      </c>
      <c r="CK1503" s="42" t="str">
        <f ca="1"/>
        <v/>
      </c>
      <c r="CL1503" s="42" t="str">
        <f ca="1"/>
        <v/>
      </c>
      <c r="CM1503" s="42" t="str">
        <f ca="1"/>
        <v/>
      </c>
      <c r="CN1503" s="42" t="str">
        <f ca="1"/>
        <v/>
      </c>
      <c r="CO1503" s="42" t="str">
        <f ca="1"/>
        <v/>
      </c>
      <c r="CP1503" s="42" t="str">
        <f ca="1"/>
        <v/>
      </c>
      <c r="CQ1503" s="42" t="str">
        <f ca="1"/>
        <v/>
      </c>
      <c r="CR1503" s="42" t="str">
        <f ca="1"/>
        <v/>
      </c>
      <c r="CS1503" s="42" t="str">
        <f ca="1"/>
        <v/>
      </c>
      <c r="CT1503" s="42" t="str">
        <f ca="1"/>
        <v/>
      </c>
      <c r="CU1503" s="42" t="str">
        <f ca="1"/>
        <v/>
      </c>
      <c r="CV1503" s="42" t="str">
        <f ca="1"/>
        <v/>
      </c>
      <c r="CW1503" s="42" t="str">
        <f ca="1"/>
        <v/>
      </c>
      <c r="CX1503" s="42" t="str">
        <f ca="1"/>
        <v/>
      </c>
      <c r="CY1503" s="42" t="str">
        <f ca="1"/>
        <v/>
      </c>
      <c r="CZ1503" s="42" t="str">
        <f ca="1"/>
        <v/>
      </c>
      <c r="DA1503" s="42" t="str">
        <f ca="1"/>
        <v/>
      </c>
      <c r="DB1503" s="42" t="str">
        <f ca="1"/>
        <v/>
      </c>
      <c r="DC1503" s="42" t="str">
        <f ca="1"/>
        <v/>
      </c>
      <c r="DD1503" s="42" t="str">
        <f ca="1"/>
        <v/>
      </c>
      <c r="DE1503" s="42" t="str">
        <f ca="1"/>
        <v/>
      </c>
      <c r="DF1503" s="42" t="str">
        <f ca="1"/>
        <v/>
      </c>
      <c r="DG1503" s="42" t="str">
        <f ca="1"/>
        <v/>
      </c>
      <c r="DH1503" s="42" t="str">
        <f ca="1"/>
        <v/>
      </c>
      <c r="DI1503" s="42" t="str">
        <f ca="1"/>
        <v/>
      </c>
      <c r="DJ1503" s="42" t="str">
        <f ca="1"/>
        <v/>
      </c>
      <c r="DK1503" s="42" t="str">
        <f ca="1"/>
        <v/>
      </c>
      <c r="DL1503" s="42" t="str">
        <f ca="1"/>
        <v/>
      </c>
      <c r="DM1503" s="42" t="str">
        <f ca="1"/>
        <v/>
      </c>
      <c r="DN1503" s="42" t="str">
        <f ca="1"/>
        <v/>
      </c>
      <c r="DO1503" s="42" t="str">
        <f ca="1"/>
        <v/>
      </c>
      <c r="DP1503" s="42" t="str">
        <f ca="1"/>
        <v/>
      </c>
      <c r="DQ1503" s="42" t="str">
        <f ca="1"/>
        <v/>
      </c>
      <c r="DR1503" s="42" t="str">
        <f ca="1"/>
        <v/>
      </c>
      <c r="DS1503" s="42" t="str">
        <f ca="1"/>
        <v/>
      </c>
      <c r="DT1503" s="42" t="str">
        <f ca="1"/>
        <v/>
      </c>
      <c r="DU1503" s="42" t="str">
        <f ca="1"/>
        <v/>
      </c>
      <c r="DV1503" s="42" t="str">
        <f ca="1"/>
        <v/>
      </c>
      <c r="DW1503" s="42" t="str">
        <f ca="1"/>
        <v/>
      </c>
      <c r="DX1503" s="42" t="str">
        <f ca="1"/>
        <v/>
      </c>
      <c r="DY1503" s="42" t="str">
        <f ca="1"/>
        <v/>
      </c>
      <c r="DZ1503" s="42" t="str">
        <f ca="1"/>
        <v/>
      </c>
      <c r="EA1503" s="42" t="str">
        <f ca="1"/>
        <v/>
      </c>
      <c r="EB1503" s="42" t="str">
        <f ca="1"/>
        <v/>
      </c>
      <c r="EC1503" s="42" t="str">
        <f ca="1"/>
        <v/>
      </c>
      <c r="ED1503" s="42" t="str">
        <f ca="1"/>
        <v/>
      </c>
      <c r="EE1503" s="42" t="str">
        <f ca="1"/>
        <v/>
      </c>
      <c r="EF1503" s="42" t="str">
        <f ca="1"/>
        <v/>
      </c>
      <c r="EG1503" s="42" t="str">
        <f ca="1"/>
        <v/>
      </c>
      <c r="EH1503" s="42" t="str">
        <f ca="1"/>
        <v/>
      </c>
      <c r="EI1503" s="42" t="str">
        <f ca="1"/>
        <v/>
      </c>
      <c r="EJ1503" s="42" t="str">
        <f ca="1"/>
        <v/>
      </c>
      <c r="EK1503" s="42" t="str">
        <f ca="1"/>
        <v/>
      </c>
      <c r="EL1503" s="42" t="str">
        <f ca="1"/>
        <v/>
      </c>
      <c r="EM1503" s="42" t="str">
        <f ca="1"/>
        <v/>
      </c>
      <c r="EN1503" s="42" t="str">
        <f ca="1"/>
        <v/>
      </c>
      <c r="EO1503" s="42" t="str">
        <f ca="1"/>
        <v/>
      </c>
      <c r="EP1503" s="42" t="str">
        <f ca="1"/>
        <v/>
      </c>
      <c r="EQ1503" s="42" t="str">
        <f ca="1"/>
        <v/>
      </c>
      <c r="ER1503" s="42" t="str">
        <f ca="1"/>
        <v/>
      </c>
      <c r="ES1503" s="42" t="str">
        <f ca="1"/>
        <v/>
      </c>
      <c r="ET1503" s="42" t="str">
        <f ca="1"/>
        <v/>
      </c>
      <c r="EU1503" s="42" t="str">
        <f ca="1"/>
        <v/>
      </c>
      <c r="EV1503" s="42" t="str">
        <f ca="1"/>
        <v/>
      </c>
      <c r="EW1503" s="42" t="str">
        <f ca="1"/>
        <v/>
      </c>
      <c r="EX1503" s="42" t="str">
        <f ca="1"/>
        <v/>
      </c>
      <c r="EY1503" s="42" t="str">
        <f ca="1"/>
        <v/>
      </c>
      <c r="EZ1503" s="42" t="str">
        <f ca="1"/>
        <v/>
      </c>
      <c r="FA1503" s="42" t="str">
        <f ca="1"/>
        <v/>
      </c>
      <c r="FB1503" s="42" t="str">
        <f ca="1"/>
        <v/>
      </c>
      <c r="FC1503" s="42" t="str">
        <f ca="1"/>
        <v/>
      </c>
      <c r="FD1503" s="42" t="str">
        <f ca="1"/>
        <v/>
      </c>
      <c r="FE1503" s="42" t="str">
        <f ca="1"/>
        <v/>
      </c>
      <c r="FF1503" s="42" t="str">
        <f ca="1"/>
        <v/>
      </c>
      <c r="FG1503" s="42" t="str">
        <f ca="1"/>
        <v/>
      </c>
      <c r="FH1503" s="42" t="str">
        <f ca="1"/>
        <v/>
      </c>
      <c r="FI1503" s="42" t="str">
        <f ca="1"/>
        <v/>
      </c>
      <c r="FJ1503" s="42" t="str">
        <f ca="1"/>
        <v/>
      </c>
      <c r="FK1503" s="42" t="str">
        <f ca="1"/>
        <v/>
      </c>
      <c r="FL1503" s="42" t="str">
        <f ca="1"/>
        <v/>
      </c>
      <c r="FM1503" s="42" t="str">
        <f ca="1"/>
        <v/>
      </c>
      <c r="FN1503" s="42" t="str">
        <f ca="1"/>
        <v/>
      </c>
      <c r="FO1503" s="42" t="str">
        <f ca="1"/>
        <v/>
      </c>
      <c r="FP1503" s="42" t="str">
        <f ca="1"/>
        <v/>
      </c>
      <c r="FQ1503" s="42" t="str">
        <f ca="1"/>
        <v/>
      </c>
      <c r="FR1503" s="42" t="str">
        <f ca="1"/>
        <v/>
      </c>
      <c r="FS1503" s="42" t="str">
        <f ca="1"/>
        <v/>
      </c>
      <c r="FT1503" s="42" t="str">
        <f ca="1"/>
        <v/>
      </c>
      <c r="FU1503" s="42" t="str">
        <f ca="1"/>
        <v/>
      </c>
      <c r="FV1503" s="42" t="str">
        <f ca="1"/>
        <v/>
      </c>
      <c r="FW1503" s="42" t="str">
        <f ca="1"/>
        <v/>
      </c>
      <c r="FX1503" s="42" t="str">
        <f ca="1"/>
        <v/>
      </c>
      <c r="FY1503" s="42" t="str">
        <f ca="1"/>
        <v/>
      </c>
      <c r="FZ1503" s="42" t="str">
        <f ca="1"/>
        <v/>
      </c>
      <c r="GA1503" s="42" t="str">
        <f ca="1"/>
        <v/>
      </c>
      <c r="GB1503" s="42" t="str">
        <f ca="1"/>
        <v/>
      </c>
      <c r="GC1503" s="42" t="str">
        <f ca="1"/>
        <v/>
      </c>
      <c r="GD1503" s="42" t="str">
        <f ca="1"/>
        <v/>
      </c>
      <c r="GE1503" s="42" t="str">
        <f ca="1"/>
        <v/>
      </c>
      <c r="GF1503" s="42" t="str">
        <f ca="1"/>
        <v/>
      </c>
      <c r="GG1503" s="42" t="str">
        <f ca="1"/>
        <v/>
      </c>
      <c r="GH1503" s="42" t="str">
        <f ca="1"/>
        <v/>
      </c>
      <c r="GI1503" s="42" t="str">
        <f ca="1"/>
        <v/>
      </c>
      <c r="GJ1503" s="42" t="str">
        <f ca="1"/>
        <v/>
      </c>
      <c r="GK1503" s="42" t="str">
        <f ca="1"/>
        <v/>
      </c>
      <c r="GL1503" s="42" t="str">
        <f ca="1"/>
        <v/>
      </c>
      <c r="GM1503" s="42" t="str">
        <f ca="1"/>
        <v/>
      </c>
      <c r="GN1503" s="42" t="str">
        <f ca="1"/>
        <v/>
      </c>
      <c r="GO1503" s="42" t="str">
        <f ca="1"/>
        <v/>
      </c>
      <c r="GP1503" s="42" t="str">
        <f ca="1"/>
        <v/>
      </c>
      <c r="GQ1503" s="42" t="str">
        <f ca="1"/>
        <v/>
      </c>
      <c r="GR1503" s="42" t="str">
        <f ca="1"/>
        <v/>
      </c>
      <c r="GS1503" s="42" t="str">
        <f ca="1"/>
        <v/>
      </c>
      <c r="GT1503" s="42" t="str">
        <f ca="1"/>
        <v/>
      </c>
      <c r="GU1503" s="42" t="str">
        <f ca="1"/>
        <v/>
      </c>
      <c r="GV1503" s="42" t="str">
        <f ca="1"/>
        <v/>
      </c>
      <c r="GW1503" s="42" t="str">
        <f ca="1"/>
        <v/>
      </c>
      <c r="GX1503" s="42" t="str">
        <f ca="1"/>
        <v/>
      </c>
      <c r="GY1503" s="42" t="str">
        <f ca="1"/>
        <v/>
      </c>
      <c r="GZ1503" s="42" t="str">
        <f ca="1"/>
        <v/>
      </c>
      <c r="HA1503" s="42" t="str">
        <f ca="1"/>
        <v/>
      </c>
      <c r="HB1503" s="42" t="str">
        <f ca="1"/>
        <v/>
      </c>
      <c r="HC1503" s="42" t="str">
        <f ca="1"/>
        <v/>
      </c>
      <c r="HD1503" s="42" t="str">
        <f ca="1"/>
        <v/>
      </c>
      <c r="HE1503" s="42" t="str">
        <f ca="1"/>
        <v/>
      </c>
      <c r="HF1503" s="42" t="str">
        <f ca="1"/>
        <v/>
      </c>
      <c r="HG1503" s="42" t="str">
        <f ca="1"/>
        <v/>
      </c>
      <c r="HH1503" s="42" t="str">
        <f ca="1"/>
        <v/>
      </c>
      <c r="HI1503" s="42" t="str">
        <f ca="1"/>
        <v/>
      </c>
      <c r="HJ1503" s="42" t="str">
        <f ca="1"/>
        <v/>
      </c>
      <c r="HK1503" s="42" t="str">
        <f ca="1"/>
        <v/>
      </c>
      <c r="HL1503" s="42" t="str">
        <f ca="1"/>
        <v/>
      </c>
      <c r="HM1503" s="42" t="str">
        <f ca="1"/>
        <v/>
      </c>
      <c r="HN1503" s="42" t="str">
        <f ca="1"/>
        <v/>
      </c>
      <c r="HO1503" s="42" t="str">
        <f ca="1"/>
        <v/>
      </c>
      <c r="HP1503" s="42" t="str">
        <f ca="1"/>
        <v/>
      </c>
      <c r="HQ1503" s="42" t="str">
        <f ca="1"/>
        <v/>
      </c>
      <c r="HR1503" s="42" t="str">
        <f ca="1"/>
        <v/>
      </c>
      <c r="HS1503" s="42" t="str">
        <f ca="1"/>
        <v/>
      </c>
      <c r="HT1503" s="42" t="str">
        <f ca="1"/>
        <v/>
      </c>
      <c r="HU1503" s="42" t="str">
        <f ca="1"/>
        <v/>
      </c>
      <c r="HV1503" s="42" t="str">
        <f ca="1"/>
        <v/>
      </c>
      <c r="HW1503" s="42" t="str">
        <f ca="1"/>
        <v/>
      </c>
      <c r="HX1503" s="42" t="str">
        <f ca="1"/>
        <v/>
      </c>
      <c r="HY1503" s="42" t="str">
        <f ca="1"/>
        <v/>
      </c>
      <c r="HZ1503" s="42" t="str">
        <f ca="1"/>
        <v/>
      </c>
      <c r="IA1503" s="42" t="str">
        <f ca="1"/>
        <v/>
      </c>
      <c r="IB1503" s="42" t="str">
        <f ca="1"/>
        <v/>
      </c>
      <c r="IC1503" s="42" t="str">
        <f ca="1"/>
        <v/>
      </c>
      <c r="ID1503" s="42" t="str">
        <f ca="1"/>
        <v/>
      </c>
      <c r="IE1503" s="42" t="str">
        <f ca="1"/>
        <v/>
      </c>
      <c r="IF1503" s="42" t="str">
        <f ca="1"/>
        <v/>
      </c>
      <c r="IG1503" s="42" t="str">
        <f ca="1"/>
        <v/>
      </c>
      <c r="IH1503" s="42" t="str">
        <f ca="1"/>
        <v/>
      </c>
      <c r="II1503" s="42" t="str">
        <f ca="1"/>
        <v/>
      </c>
      <c r="IJ1503" s="42" t="str">
        <f ca="1"/>
        <v/>
      </c>
      <c r="IK1503" s="42" t="str">
        <f ca="1"/>
        <v/>
      </c>
      <c r="IL1503" s="42" t="str">
        <f ca="1"/>
        <v/>
      </c>
      <c r="IM1503" s="42" t="str">
        <f ca="1"/>
        <v/>
      </c>
      <c r="IN1503" s="42" t="str">
        <f ca="1"/>
        <v/>
      </c>
      <c r="IO1503" s="42" t="str">
        <f ca="1"/>
        <v/>
      </c>
      <c r="IP1503" s="42" t="str">
        <f ca="1"/>
        <v/>
      </c>
      <c r="IQ1503" s="42" t="str">
        <f ca="1"/>
        <v/>
      </c>
      <c r="IR1503" s="42" t="str">
        <f ca="1"/>
        <v/>
      </c>
      <c r="IS1503" s="42" t="str">
        <f ca="1"/>
        <v/>
      </c>
      <c r="IT1503" s="42" t="str">
        <f ca="1"/>
        <v/>
      </c>
      <c r="IU1503" s="42" t="str">
        <f ca="1"/>
        <v/>
      </c>
      <c r="IV1503" s="42" t="str">
        <f ca="1"/>
        <v/>
      </c>
      <c r="IW1503" s="42" t="str">
        <f ca="1"/>
        <v/>
      </c>
      <c r="IX1503" s="42" t="str">
        <f ca="1"/>
        <v/>
      </c>
      <c r="IY1503" s="42" t="str">
        <f ca="1"/>
        <v/>
      </c>
      <c r="IZ1503" s="42" t="str">
        <f ca="1"/>
        <v/>
      </c>
      <c r="JA1503" s="42" t="str">
        <f ca="1"/>
        <v/>
      </c>
      <c r="JB1503" s="42" t="str">
        <f ca="1"/>
        <v/>
      </c>
      <c r="JC1503" s="42" t="str">
        <f ca="1"/>
        <v/>
      </c>
      <c r="JD1503" s="42" t="str">
        <f ca="1"/>
        <v/>
      </c>
      <c r="JE1503" s="42" t="str">
        <f ca="1"/>
        <v/>
      </c>
      <c r="JF1503" s="42" t="str">
        <f ca="1"/>
        <v/>
      </c>
      <c r="JG1503" s="42" t="str">
        <f ca="1"/>
        <v/>
      </c>
      <c r="JH1503" s="42" t="str">
        <f ca="1"/>
        <v/>
      </c>
      <c r="JI1503" s="42" t="str">
        <f ca="1"/>
        <v/>
      </c>
      <c r="JJ1503" s="42" t="str">
        <f ca="1"/>
        <v/>
      </c>
      <c r="JK1503" s="42" t="str">
        <f ca="1"/>
        <v/>
      </c>
      <c r="JL1503" s="42" t="str">
        <f ca="1"/>
        <v/>
      </c>
      <c r="JM1503" s="42" t="str">
        <f ca="1"/>
        <v/>
      </c>
      <c r="JN1503" s="42" t="str">
        <f ca="1"/>
        <v/>
      </c>
      <c r="JO1503" s="42" t="str">
        <f ca="1"/>
        <v/>
      </c>
      <c r="JP1503" s="42" t="str">
        <f ca="1"/>
        <v/>
      </c>
      <c r="JQ1503" s="42" t="str">
        <f ca="1"/>
        <v/>
      </c>
      <c r="JR1503" s="42" t="str">
        <f ca="1"/>
        <v/>
      </c>
      <c r="JS1503" s="42" t="str">
        <f ca="1"/>
        <v/>
      </c>
      <c r="JT1503" s="42" t="str">
        <f ca="1"/>
        <v/>
      </c>
      <c r="JU1503" s="42" t="str">
        <f ca="1"/>
        <v/>
      </c>
      <c r="JV1503" s="42" t="str">
        <f ca="1"/>
        <v/>
      </c>
      <c r="JW1503" s="42" t="str">
        <f ca="1"/>
        <v/>
      </c>
      <c r="JX1503" s="42" t="str">
        <f ca="1"/>
        <v/>
      </c>
      <c r="JY1503" s="42" t="str">
        <f ca="1"/>
        <v/>
      </c>
      <c r="JZ1503" s="42" t="str">
        <f ca="1"/>
        <v/>
      </c>
      <c r="KA1503" s="42" t="str">
        <f ca="1"/>
        <v/>
      </c>
      <c r="KB1503" s="42" t="str">
        <f ca="1"/>
        <v/>
      </c>
      <c r="KC1503" s="42" t="str">
        <f ca="1"/>
        <v/>
      </c>
      <c r="KD1503" s="42" t="str">
        <f ca="1"/>
        <v/>
      </c>
      <c r="KE1503" s="42" t="str">
        <f ca="1"/>
        <v/>
      </c>
      <c r="KF1503" s="42" t="str">
        <f ca="1"/>
        <v/>
      </c>
      <c r="KG1503" s="42" t="str">
        <f ca="1"/>
        <v/>
      </c>
      <c r="KH1503" s="42" t="str">
        <f ca="1"/>
        <v/>
      </c>
      <c r="KI1503" s="42" t="str">
        <f ca="1"/>
        <v/>
      </c>
      <c r="KJ1503" s="42" t="str">
        <f ca="1"/>
        <v/>
      </c>
      <c r="KK1503" s="42" t="str">
        <f ca="1"/>
        <v/>
      </c>
      <c r="KL1503" s="42" t="str">
        <f ca="1"/>
        <v/>
      </c>
      <c r="KM1503" s="42" t="str">
        <f ca="1"/>
        <v/>
      </c>
      <c r="KN1503" s="42" t="str">
        <f ca="1"/>
        <v/>
      </c>
      <c r="KO1503" s="42" t="str">
        <f ca="1"/>
        <v/>
      </c>
      <c r="KP1503" s="42" t="str">
        <f ca="1"/>
        <v/>
      </c>
      <c r="KQ1503" s="42" t="str">
        <f ca="1"/>
        <v/>
      </c>
      <c r="KR1503" s="42" t="str">
        <f ca="1"/>
        <v/>
      </c>
      <c r="KS1503" s="42" t="str">
        <f ca="1"/>
        <v/>
      </c>
      <c r="KT1503" s="42" t="str">
        <f ca="1"/>
        <v/>
      </c>
      <c r="KU1503" s="42" t="str">
        <f ca="1"/>
        <v/>
      </c>
      <c r="KV1503" s="42" t="str">
        <f ca="1"/>
        <v/>
      </c>
      <c r="KW1503" s="42" t="str">
        <f ca="1"/>
        <v/>
      </c>
      <c r="KX1503" s="42" t="str">
        <f ca="1"/>
        <v/>
      </c>
      <c r="KY1503" s="42" t="str">
        <f ca="1"/>
        <v/>
      </c>
      <c r="KZ1503" s="42" t="str">
        <f ca="1"/>
        <v/>
      </c>
      <c r="LA1503" s="42" t="str">
        <f ca="1"/>
        <v/>
      </c>
      <c r="LB1503" s="42" t="str">
        <f ca="1"/>
        <v/>
      </c>
      <c r="LC1503" s="42" t="str">
        <f ca="1"/>
        <v/>
      </c>
      <c r="LD1503" s="42" t="str">
        <f ca="1"/>
        <v/>
      </c>
      <c r="LE1503" s="42" t="str">
        <f ca="1"/>
        <v/>
      </c>
      <c r="LF1503" s="42" t="str">
        <f ca="1"/>
        <v/>
      </c>
      <c r="LG1503" s="42" t="str">
        <f ca="1"/>
        <v/>
      </c>
      <c r="LH1503" s="42" t="str">
        <f ca="1"/>
        <v/>
      </c>
      <c r="LI1503" s="42" t="str">
        <f ca="1"/>
        <v/>
      </c>
      <c r="LJ1503" s="42" t="str">
        <f ca="1"/>
        <v/>
      </c>
      <c r="LK1503" s="42" t="str">
        <f ca="1"/>
        <v/>
      </c>
      <c r="LL1503" s="42" t="str">
        <f ca="1"/>
        <v/>
      </c>
      <c r="LM1503" s="42" t="str">
        <f ca="1"/>
        <v/>
      </c>
      <c r="LN1503" s="42" t="str">
        <f ca="1"/>
        <v/>
      </c>
      <c r="LO1503" s="42" t="str">
        <f ca="1"/>
        <v/>
      </c>
      <c r="LP1503" s="42" t="str">
        <f ca="1"/>
        <v/>
      </c>
      <c r="LQ1503" s="42" t="str">
        <f ca="1"/>
        <v/>
      </c>
      <c r="LR1503" s="42" t="str">
        <f ca="1"/>
        <v/>
      </c>
      <c r="LS1503" s="42" t="str">
        <f ca="1"/>
        <v/>
      </c>
      <c r="LT1503" s="42" t="str">
        <f ca="1"/>
        <v/>
      </c>
      <c r="LU1503" s="42" t="str">
        <f ca="1"/>
        <v/>
      </c>
      <c r="LV1503" s="42" t="str">
        <f ca="1"/>
        <v/>
      </c>
      <c r="LW1503" s="42" t="str">
        <f ca="1"/>
        <v/>
      </c>
      <c r="LX1503" s="42" t="str">
        <f ca="1"/>
        <v/>
      </c>
      <c r="LY1503" s="42" t="str">
        <f ca="1"/>
        <v/>
      </c>
      <c r="LZ1503" s="42" t="str">
        <f ca="1"/>
        <v/>
      </c>
      <c r="MA1503" s="42" t="str">
        <f ca="1"/>
        <v/>
      </c>
      <c r="MB1503" s="42" t="str">
        <f ca="1"/>
        <v/>
      </c>
      <c r="MC1503" s="42" t="str">
        <f ca="1"/>
        <v/>
      </c>
      <c r="MD1503" s="42" t="str">
        <f ca="1"/>
        <v/>
      </c>
      <c r="ME1503" s="42" t="str">
        <f ca="1"/>
        <v/>
      </c>
      <c r="MF1503" s="42" t="str">
        <f ca="1"/>
        <v/>
      </c>
      <c r="MG1503" s="42" t="str">
        <f ca="1"/>
        <v/>
      </c>
      <c r="MH1503" s="42" t="str">
        <f ca="1"/>
        <v/>
      </c>
      <c r="MI1503" s="42" t="str">
        <f ca="1"/>
        <v/>
      </c>
      <c r="MJ1503" s="42" t="str">
        <f ca="1"/>
        <v/>
      </c>
      <c r="MK1503" s="42" t="str">
        <f ca="1"/>
        <v/>
      </c>
      <c r="ML1503" s="42" t="str">
        <f ca="1"/>
        <v/>
      </c>
      <c r="MM1503" s="42" t="str">
        <f ca="1"/>
        <v/>
      </c>
      <c r="MN1503" s="42" t="str">
        <f ca="1"/>
        <v/>
      </c>
      <c r="MO1503" s="42" t="str">
        <f ca="1"/>
        <v/>
      </c>
      <c r="MP1503" s="42" t="str">
        <f ca="1"/>
        <v/>
      </c>
      <c r="MQ1503" s="42" t="str">
        <f ca="1"/>
        <v/>
      </c>
      <c r="MR1503" s="42" t="str">
        <f ca="1"/>
        <v/>
      </c>
      <c r="MS1503" s="42" t="str">
        <f ca="1"/>
        <v/>
      </c>
      <c r="MT1503" s="42" t="str">
        <f ca="1"/>
        <v/>
      </c>
      <c r="MU1503" s="42" t="str">
        <f ca="1"/>
        <v/>
      </c>
      <c r="MV1503" s="42" t="str">
        <f ca="1"/>
        <v/>
      </c>
      <c r="MW1503" s="42" t="str">
        <f ca="1"/>
        <v/>
      </c>
      <c r="MX1503" s="42" t="str">
        <f ca="1"/>
        <v/>
      </c>
      <c r="MY1503" s="42" t="str">
        <f ca="1"/>
        <v/>
      </c>
      <c r="MZ1503" s="42" t="str">
        <f ca="1"/>
        <v/>
      </c>
      <c r="NA1503" s="42" t="str">
        <f ca="1"/>
        <v/>
      </c>
      <c r="NB1503" s="42" t="str">
        <f ca="1"/>
        <v/>
      </c>
      <c r="NC1503" s="42" t="str">
        <f ca="1"/>
        <v/>
      </c>
      <c r="ND1503" s="42" t="str">
        <f ca="1"/>
        <v/>
      </c>
      <c r="NE1503" s="42" t="str">
        <f ca="1"/>
        <v/>
      </c>
      <c r="NF1503" s="42" t="str">
        <f ca="1"/>
        <v/>
      </c>
      <c r="NG1503" s="42" t="str">
        <f ca="1"/>
        <v/>
      </c>
      <c r="NH1503" s="42" t="str">
        <f ca="1"/>
        <v/>
      </c>
      <c r="NI1503" s="42" t="str">
        <f ca="1"/>
        <v/>
      </c>
      <c r="NJ1503" s="42" t="str">
        <f ca="1"/>
        <v/>
      </c>
      <c r="NK1503" s="42" t="str">
        <f ca="1"/>
        <v/>
      </c>
      <c r="NL1503" s="42" t="str">
        <f ca="1"/>
        <v/>
      </c>
      <c r="NM1503" s="42" t="str">
        <f ca="1"/>
        <v/>
      </c>
      <c r="NN1503" s="42" t="str">
        <f ca="1"/>
        <v/>
      </c>
      <c r="NO1503" s="42" t="str">
        <f ca="1"/>
        <v/>
      </c>
      <c r="NP1503" s="42" t="str">
        <f ca="1"/>
        <v/>
      </c>
      <c r="NQ1503" s="42" t="str">
        <f ca="1"/>
        <v/>
      </c>
      <c r="NR1503" s="42" t="str">
        <f ca="1"/>
        <v/>
      </c>
      <c r="NS1503" s="42" t="str">
        <f ca="1"/>
        <v/>
      </c>
      <c r="NT1503" s="42" t="str">
        <f ca="1"/>
        <v/>
      </c>
      <c r="NU1503" s="42" t="str">
        <f ca="1"/>
        <v/>
      </c>
      <c r="NV1503" s="42" t="str">
        <f ca="1"/>
        <v/>
      </c>
      <c r="NW1503" s="42" t="str">
        <f ca="1"/>
        <v/>
      </c>
      <c r="NX1503" s="42" t="str">
        <f ca="1"/>
        <v/>
      </c>
      <c r="NY1503" s="42" t="str">
        <f ca="1"/>
        <v/>
      </c>
      <c r="NZ1503" s="42" t="str">
        <f ca="1"/>
        <v/>
      </c>
      <c r="OA1503" s="42" t="str">
        <f ca="1"/>
        <v/>
      </c>
      <c r="OB1503" s="42" t="str">
        <f ca="1"/>
        <v/>
      </c>
      <c r="OC1503" s="42" t="str">
        <f ca="1"/>
        <v/>
      </c>
      <c r="OD1503" s="42" t="str">
        <f ca="1"/>
        <v/>
      </c>
      <c r="OE1503" s="42" t="str">
        <f ca="1"/>
        <v/>
      </c>
      <c r="OF1503" s="42" t="str">
        <f ca="1"/>
        <v/>
      </c>
      <c r="OG1503" s="42" t="str">
        <f ca="1"/>
        <v/>
      </c>
      <c r="OH1503" s="42" t="str">
        <f ca="1"/>
        <v/>
      </c>
      <c r="OI1503" s="42" t="str">
        <f ca="1"/>
        <v/>
      </c>
      <c r="OJ1503" s="42" t="str">
        <f ca="1"/>
        <v/>
      </c>
      <c r="OK1503" s="42" t="str">
        <f ca="1"/>
        <v/>
      </c>
      <c r="OL1503" s="42" t="str">
        <f ca="1"/>
        <v/>
      </c>
      <c r="OM1503" s="42" t="str">
        <f ca="1"/>
        <v/>
      </c>
      <c r="ON1503" s="42" t="str">
        <f ca="1"/>
        <v/>
      </c>
      <c r="OO1503" s="42" t="str">
        <f ca="1"/>
        <v/>
      </c>
      <c r="OP1503" s="42" t="str">
        <f ca="1"/>
        <v/>
      </c>
      <c r="OQ1503" s="42" t="str">
        <f ca="1"/>
        <v/>
      </c>
      <c r="OR1503" s="42" t="str">
        <f ca="1"/>
        <v/>
      </c>
      <c r="OS1503" s="42" t="str">
        <f ca="1"/>
        <v/>
      </c>
      <c r="OT1503" s="42" t="str">
        <f ca="1"/>
        <v/>
      </c>
      <c r="OU1503" s="42" t="str">
        <f ca="1"/>
        <v/>
      </c>
      <c r="OV1503" s="42" t="str">
        <f ca="1"/>
        <v/>
      </c>
      <c r="OW1503" s="42" t="str">
        <f ca="1"/>
        <v/>
      </c>
      <c r="OX1503" s="42" t="str">
        <f ca="1"/>
        <v/>
      </c>
      <c r="OY1503" s="42" t="str">
        <f ca="1"/>
        <v/>
      </c>
      <c r="OZ1503" s="42" t="str">
        <f ca="1"/>
        <v/>
      </c>
      <c r="PA1503" s="42" t="str">
        <f ca="1"/>
        <v/>
      </c>
      <c r="PB1503" s="42" t="str">
        <f ca="1"/>
        <v/>
      </c>
      <c r="PC1503" s="42" t="str">
        <f ca="1"/>
        <v/>
      </c>
      <c r="PD1503" s="42" t="str">
        <f ca="1"/>
        <v/>
      </c>
      <c r="PE1503" s="42" t="str">
        <f ca="1"/>
        <v/>
      </c>
      <c r="PF1503" s="42" t="str">
        <f ca="1"/>
        <v/>
      </c>
      <c r="PG1503" s="42" t="str">
        <f ca="1"/>
        <v/>
      </c>
      <c r="PH1503" s="42" t="str">
        <f ca="1"/>
        <v/>
      </c>
      <c r="PI1503" s="42" t="str">
        <f ca="1"/>
        <v/>
      </c>
      <c r="PJ1503" s="42" t="str">
        <f ca="1"/>
        <v/>
      </c>
      <c r="PK1503" s="42" t="str">
        <f ca="1"/>
        <v/>
      </c>
      <c r="PL1503" s="42" t="str">
        <f ca="1"/>
        <v/>
      </c>
      <c r="PM1503" s="42" t="str">
        <f ca="1"/>
        <v/>
      </c>
      <c r="PN1503" s="42" t="str">
        <f ca="1"/>
        <v/>
      </c>
      <c r="PO1503" s="42" t="str">
        <f ca="1"/>
        <v/>
      </c>
      <c r="PP1503" s="42" t="str">
        <f ca="1"/>
        <v/>
      </c>
      <c r="PQ1503" s="42" t="str">
        <f ca="1"/>
        <v/>
      </c>
      <c r="PR1503" s="42" t="str">
        <f ca="1"/>
        <v/>
      </c>
      <c r="PS1503" s="42" t="str">
        <f ca="1"/>
        <v/>
      </c>
      <c r="PT1503" s="42" t="str">
        <f ca="1"/>
        <v/>
      </c>
      <c r="PU1503" s="42" t="str">
        <f ca="1"/>
        <v/>
      </c>
      <c r="PV1503" s="42" t="str">
        <f ca="1"/>
        <v/>
      </c>
      <c r="PW1503" s="42" t="str">
        <f ca="1"/>
        <v/>
      </c>
      <c r="PX1503" s="42" t="str">
        <f ca="1"/>
        <v/>
      </c>
      <c r="PY1503" s="42" t="str">
        <f ca="1"/>
        <v/>
      </c>
      <c r="PZ1503" s="42" t="str">
        <f ca="1"/>
        <v/>
      </c>
      <c r="QA1503" s="42" t="str">
        <f ca="1"/>
        <v/>
      </c>
      <c r="QB1503" s="42" t="str">
        <f ca="1"/>
        <v/>
      </c>
      <c r="QC1503" s="42" t="str">
        <f ca="1"/>
        <v/>
      </c>
      <c r="QD1503" s="42" t="str">
        <f ca="1"/>
        <v/>
      </c>
      <c r="QE1503" s="42" t="str">
        <f ca="1"/>
        <v/>
      </c>
      <c r="QF1503" s="42" t="str">
        <f ca="1"/>
        <v/>
      </c>
      <c r="QG1503" s="42" t="str">
        <f ca="1"/>
        <v/>
      </c>
      <c r="QH1503" s="42" t="str">
        <f ca="1"/>
        <v/>
      </c>
      <c r="QI1503" s="42" t="str">
        <f ca="1"/>
        <v/>
      </c>
      <c r="QJ1503" s="42" t="str">
        <f ca="1"/>
        <v/>
      </c>
      <c r="QK1503" s="42" t="str">
        <f ca="1"/>
        <v/>
      </c>
      <c r="QL1503" s="42" t="str">
        <f ca="1"/>
        <v/>
      </c>
      <c r="QM1503" s="42" t="str">
        <f ca="1"/>
        <v/>
      </c>
      <c r="QN1503" s="42" t="str">
        <f ca="1"/>
        <v/>
      </c>
      <c r="QO1503" s="42" t="str">
        <f ca="1"/>
        <v/>
      </c>
      <c r="QP1503" s="42" t="str">
        <f ca="1"/>
        <v/>
      </c>
      <c r="QQ1503" s="42" t="str">
        <f ca="1"/>
        <v/>
      </c>
      <c r="QR1503" s="42" t="str">
        <f ca="1"/>
        <v/>
      </c>
      <c r="QS1503" s="42" t="str">
        <f ca="1"/>
        <v/>
      </c>
      <c r="QT1503" s="42" t="str">
        <f ca="1"/>
        <v/>
      </c>
      <c r="QU1503" s="42" t="str">
        <f ca="1"/>
        <v/>
      </c>
      <c r="QV1503" s="42" t="str">
        <f ca="1"/>
        <v/>
      </c>
      <c r="QW1503" s="42" t="str">
        <f ca="1"/>
        <v/>
      </c>
      <c r="QX1503" s="42" t="str">
        <f ca="1"/>
        <v/>
      </c>
      <c r="QY1503" s="42" t="str">
        <f ca="1"/>
        <v/>
      </c>
      <c r="QZ1503" s="42" t="str">
        <f ca="1"/>
        <v/>
      </c>
      <c r="RA1503" s="42" t="str">
        <f ca="1"/>
        <v/>
      </c>
      <c r="RB1503" s="42" t="str">
        <f ca="1"/>
        <v/>
      </c>
      <c r="RC1503" s="42" t="str">
        <f ca="1"/>
        <v/>
      </c>
      <c r="RD1503" s="42" t="str">
        <f ca="1"/>
        <v/>
      </c>
      <c r="RE1503" s="42" t="str">
        <f ca="1"/>
        <v/>
      </c>
      <c r="RF1503" s="42" t="str">
        <f ca="1"/>
        <v/>
      </c>
      <c r="RG1503" s="42" t="str">
        <f ca="1"/>
        <v/>
      </c>
      <c r="RH1503" s="42" t="str">
        <f ca="1"/>
        <v/>
      </c>
      <c r="RI1503" s="42" t="str">
        <f ca="1"/>
        <v/>
      </c>
      <c r="RJ1503" s="42" t="str">
        <f ca="1"/>
        <v/>
      </c>
      <c r="RK1503" s="42" t="str">
        <f ca="1"/>
        <v/>
      </c>
      <c r="RL1503" s="42" t="str">
        <f ca="1"/>
        <v/>
      </c>
      <c r="RM1503" s="42" t="str">
        <f ca="1"/>
        <v/>
      </c>
      <c r="RN1503" s="42" t="str">
        <f ca="1"/>
        <v/>
      </c>
      <c r="RO1503" s="42" t="str">
        <f ca="1"/>
        <v/>
      </c>
      <c r="RP1503" s="42" t="str">
        <f ca="1"/>
        <v/>
      </c>
      <c r="RQ1503" s="42" t="str">
        <f ca="1"/>
        <v/>
      </c>
      <c r="RR1503" s="42" t="str">
        <f ca="1"/>
        <v/>
      </c>
      <c r="RS1503" s="42" t="str">
        <f ca="1"/>
        <v/>
      </c>
      <c r="RT1503" s="42" t="str">
        <f ca="1"/>
        <v/>
      </c>
      <c r="RU1503" s="42" t="str">
        <f ca="1"/>
        <v/>
      </c>
      <c r="RV1503" s="42" t="str">
        <f ca="1"/>
        <v/>
      </c>
      <c r="RW1503" s="42" t="str">
        <f ca="1"/>
        <v/>
      </c>
      <c r="RX1503" s="42" t="str">
        <f ca="1"/>
        <v/>
      </c>
      <c r="RY1503" s="42" t="str">
        <f ca="1"/>
        <v/>
      </c>
      <c r="RZ1503" s="42" t="str">
        <f ca="1"/>
        <v/>
      </c>
      <c r="SA1503" s="42" t="str">
        <f ca="1"/>
        <v/>
      </c>
      <c r="SB1503" s="42" t="str">
        <f ca="1"/>
        <v/>
      </c>
      <c r="SC1503" s="42" t="str">
        <f ca="1"/>
        <v/>
      </c>
      <c r="SD1503" s="42" t="str">
        <f ca="1"/>
        <v/>
      </c>
      <c r="SE1503" s="42" t="str">
        <f ca="1"/>
        <v/>
      </c>
      <c r="SF1503" s="42" t="str">
        <f ca="1"/>
        <v/>
      </c>
      <c r="SG1503" s="42" t="str">
        <f ca="1"/>
        <v/>
      </c>
      <c r="SH1503" s="42" t="str">
        <f ca="1"/>
        <v/>
      </c>
      <c r="SI1503" s="42" t="str">
        <f ca="1"/>
        <v/>
      </c>
      <c r="SJ1503" s="42" t="str">
        <f ca="1"/>
        <v/>
      </c>
      <c r="SK1503" s="42" t="str">
        <f ca="1"/>
        <v/>
      </c>
      <c r="SL1503" s="42" t="str">
        <f ca="1"/>
        <v/>
      </c>
      <c r="SM1503" s="42" t="str">
        <f ca="1"/>
        <v/>
      </c>
      <c r="SN1503" s="42" t="str">
        <f ca="1"/>
        <v/>
      </c>
      <c r="SO1503" s="42" t="str">
        <f ca="1"/>
        <v/>
      </c>
      <c r="SP1503" s="42" t="str">
        <f ca="1"/>
        <v/>
      </c>
      <c r="SQ1503" s="42" t="str">
        <f ca="1"/>
        <v/>
      </c>
      <c r="SR1503" s="42" t="str">
        <f ca="1"/>
        <v/>
      </c>
      <c r="SS1503" s="42" t="str">
        <f ca="1"/>
        <v/>
      </c>
      <c r="ST1503" s="42" t="str">
        <f ca="1"/>
        <v/>
      </c>
      <c r="SU1503" s="42" t="str">
        <f ca="1"/>
        <v/>
      </c>
      <c r="SV1503" s="42" t="str">
        <f ca="1"/>
        <v/>
      </c>
      <c r="SW1503" s="42" t="str">
        <f ca="1"/>
        <v/>
      </c>
      <c r="SX1503" s="42" t="str">
        <f ca="1"/>
        <v/>
      </c>
      <c r="SY1503" s="42" t="str">
        <f ca="1"/>
        <v/>
      </c>
      <c r="SZ1503" s="42" t="str">
        <f ca="1"/>
        <v/>
      </c>
      <c r="TA1503" s="42" t="str">
        <f ca="1"/>
        <v/>
      </c>
      <c r="TB1503" s="42" t="str">
        <f ca="1"/>
        <v/>
      </c>
      <c r="TC1503" s="42" t="str">
        <f ca="1"/>
        <v/>
      </c>
      <c r="TD1503" s="42" t="str">
        <f ca="1"/>
        <v/>
      </c>
      <c r="TE1503" s="42" t="str">
        <f ca="1"/>
        <v/>
      </c>
      <c r="TF1503" s="42" t="str">
        <f ca="1"/>
        <v/>
      </c>
      <c r="TG1503" s="42" t="str">
        <f ca="1"/>
        <v/>
      </c>
      <c r="TH1503" s="42" t="str">
        <f ca="1"/>
        <v/>
      </c>
      <c r="TI1503" s="42" t="str">
        <f ca="1"/>
        <v/>
      </c>
      <c r="TJ1503" s="42" t="str">
        <f ca="1"/>
        <v/>
      </c>
      <c r="TK1503" s="42" t="str">
        <f ca="1"/>
        <v/>
      </c>
      <c r="TL1503" s="42" t="str">
        <f ca="1"/>
        <v/>
      </c>
      <c r="TM1503" s="42" t="str">
        <f ca="1"/>
        <v/>
      </c>
      <c r="TN1503" s="42" t="str">
        <f ca="1"/>
        <v/>
      </c>
      <c r="TO1503" s="42" t="str">
        <f ca="1"/>
        <v/>
      </c>
      <c r="TP1503" s="42" t="str">
        <f ca="1"/>
        <v/>
      </c>
      <c r="TQ1503" s="42" t="str">
        <f ca="1"/>
        <v/>
      </c>
      <c r="TR1503" s="42" t="str">
        <f ca="1"/>
        <v/>
      </c>
      <c r="TS1503" s="42" t="str">
        <f ca="1"/>
        <v/>
      </c>
      <c r="TT1503" s="42" t="str">
        <f ca="1"/>
        <v/>
      </c>
      <c r="TU1503" s="42" t="str">
        <f ca="1"/>
        <v/>
      </c>
      <c r="TV1503" s="42" t="str">
        <f ca="1"/>
        <v/>
      </c>
      <c r="TW1503" s="42" t="str">
        <f ca="1"/>
        <v/>
      </c>
      <c r="TX1503" s="42" t="str">
        <f ca="1"/>
        <v/>
      </c>
      <c r="TY1503" s="42" t="str">
        <f ca="1"/>
        <v/>
      </c>
      <c r="TZ1503" s="42" t="str">
        <f ca="1"/>
        <v/>
      </c>
      <c r="UA1503" s="42" t="str">
        <f ca="1"/>
        <v/>
      </c>
      <c r="UB1503" s="42" t="str">
        <f ca="1"/>
        <v/>
      </c>
      <c r="UC1503" s="42" t="str">
        <f ca="1"/>
        <v/>
      </c>
      <c r="UD1503" s="42" t="str">
        <f ca="1"/>
        <v/>
      </c>
      <c r="UE1503" s="42" t="str">
        <f ca="1"/>
        <v/>
      </c>
      <c r="UF1503" s="42" t="str">
        <f ca="1"/>
        <v/>
      </c>
      <c r="UG1503" s="42" t="str">
        <f ca="1"/>
        <v/>
      </c>
      <c r="UH1503" s="42" t="str">
        <f ca="1"/>
        <v/>
      </c>
      <c r="UI1503" s="42" t="str">
        <f ca="1"/>
        <v/>
      </c>
      <c r="UJ1503" s="42" t="str">
        <f ca="1"/>
        <v/>
      </c>
      <c r="UK1503" s="42" t="str">
        <f ca="1"/>
        <v/>
      </c>
      <c r="UL1503" s="42" t="str">
        <f ca="1"/>
        <v/>
      </c>
      <c r="UM1503" s="42" t="str">
        <f ca="1"/>
        <v/>
      </c>
      <c r="UN1503" s="42" t="str">
        <f ca="1"/>
        <v/>
      </c>
      <c r="UO1503" s="42" t="str">
        <f ca="1"/>
        <v/>
      </c>
      <c r="UP1503" s="42" t="str">
        <f ca="1"/>
        <v/>
      </c>
      <c r="UQ1503" s="42" t="str">
        <f ca="1"/>
        <v/>
      </c>
      <c r="UR1503" s="42" t="str">
        <f ca="1"/>
        <v/>
      </c>
      <c r="US1503" s="42" t="str">
        <f ca="1"/>
        <v/>
      </c>
      <c r="UT1503" s="42" t="str">
        <f ca="1"/>
        <v/>
      </c>
      <c r="UU1503" s="42" t="str">
        <f ca="1"/>
        <v/>
      </c>
      <c r="UV1503" s="42" t="str">
        <f ca="1"/>
        <v/>
      </c>
      <c r="UW1503" s="42" t="str">
        <f ca="1"/>
        <v/>
      </c>
      <c r="UX1503" s="42" t="str">
        <f ca="1"/>
        <v/>
      </c>
      <c r="UY1503" s="42" t="str">
        <f ca="1"/>
        <v/>
      </c>
      <c r="UZ1503" s="42" t="str">
        <f ca="1"/>
        <v/>
      </c>
      <c r="VA1503" s="42" t="str">
        <f ca="1"/>
        <v/>
      </c>
      <c r="VB1503" s="42" t="str">
        <f ca="1"/>
        <v/>
      </c>
      <c r="VC1503" s="42" t="str">
        <f ca="1"/>
        <v/>
      </c>
      <c r="VD1503" s="42" t="str">
        <f ca="1"/>
        <v/>
      </c>
      <c r="VE1503" s="42" t="str">
        <f ca="1"/>
        <v/>
      </c>
      <c r="VF1503" s="42" t="str">
        <f ca="1"/>
        <v/>
      </c>
      <c r="VG1503" s="42" t="str">
        <f ca="1"/>
        <v/>
      </c>
      <c r="VH1503" s="42" t="str">
        <f ca="1"/>
        <v/>
      </c>
      <c r="VI1503" s="42" t="str">
        <f ca="1"/>
        <v/>
      </c>
      <c r="VJ1503" s="42" t="str">
        <f ca="1"/>
        <v/>
      </c>
      <c r="VK1503" s="42" t="str">
        <f ca="1"/>
        <v/>
      </c>
      <c r="VL1503" s="42" t="str">
        <f ca="1"/>
        <v/>
      </c>
      <c r="VM1503" s="42" t="str">
        <f ca="1"/>
        <v/>
      </c>
      <c r="VN1503" s="42" t="str">
        <f ca="1"/>
        <v/>
      </c>
      <c r="VO1503" s="42" t="str">
        <f ca="1"/>
        <v/>
      </c>
      <c r="VP1503" s="42" t="str">
        <f ca="1"/>
        <v/>
      </c>
      <c r="VQ1503" s="42" t="str">
        <f ca="1"/>
        <v/>
      </c>
      <c r="VR1503" s="42" t="str">
        <f ca="1"/>
        <v/>
      </c>
      <c r="VS1503" s="42" t="str">
        <f ca="1"/>
        <v/>
      </c>
      <c r="VT1503" s="42" t="str">
        <f ca="1"/>
        <v/>
      </c>
      <c r="VU1503" s="42" t="str">
        <f ca="1"/>
        <v/>
      </c>
      <c r="VV1503" s="42" t="str">
        <f ca="1"/>
        <v/>
      </c>
      <c r="VW1503" s="42" t="str">
        <f ca="1"/>
        <v/>
      </c>
      <c r="VX1503" s="42" t="str">
        <f ca="1"/>
        <v/>
      </c>
      <c r="VY1503" s="42" t="str">
        <f ca="1"/>
        <v/>
      </c>
      <c r="VZ1503" s="42" t="str">
        <f ca="1"/>
        <v/>
      </c>
      <c r="WA1503" s="42" t="str">
        <f ca="1"/>
        <v/>
      </c>
      <c r="WB1503" s="42" t="str">
        <f ca="1"/>
        <v/>
      </c>
      <c r="WC1503" s="42" t="str">
        <f ca="1"/>
        <v/>
      </c>
      <c r="WD1503" s="42" t="str">
        <f ca="1"/>
        <v/>
      </c>
      <c r="WE1503" s="42" t="str">
        <f ca="1"/>
        <v/>
      </c>
      <c r="WF1503" s="42" t="str">
        <f ca="1"/>
        <v/>
      </c>
      <c r="WG1503" s="42" t="str">
        <f ca="1"/>
        <v/>
      </c>
      <c r="WH1503" s="42" t="str">
        <f ca="1"/>
        <v/>
      </c>
      <c r="WI1503" s="42" t="str">
        <f ca="1"/>
        <v/>
      </c>
      <c r="WJ1503" s="42" t="str">
        <f ca="1"/>
        <v/>
      </c>
      <c r="WK1503" s="42" t="str">
        <f ca="1"/>
        <v/>
      </c>
      <c r="WL1503" s="42" t="str">
        <f ca="1"/>
        <v/>
      </c>
      <c r="WM1503" s="42" t="str">
        <f ca="1"/>
        <v/>
      </c>
      <c r="WN1503" s="42" t="str">
        <f ca="1"/>
        <v/>
      </c>
      <c r="WO1503" s="42" t="str">
        <f ca="1"/>
        <v/>
      </c>
      <c r="WP1503" s="42" t="str">
        <f ca="1"/>
        <v/>
      </c>
      <c r="WQ1503" s="42" t="str">
        <f ca="1"/>
        <v/>
      </c>
      <c r="WR1503" s="42" t="str">
        <f ca="1"/>
        <v/>
      </c>
      <c r="WS1503" s="42" t="str">
        <f ca="1"/>
        <v/>
      </c>
      <c r="WT1503" s="42" t="str">
        <f ca="1"/>
        <v/>
      </c>
      <c r="WU1503" s="42" t="str">
        <f ca="1"/>
        <v/>
      </c>
      <c r="WV1503" s="42" t="str">
        <f ca="1"/>
        <v/>
      </c>
      <c r="WW1503" s="42" t="str">
        <f ca="1"/>
        <v/>
      </c>
      <c r="WX1503" s="42" t="str">
        <f ca="1"/>
        <v/>
      </c>
      <c r="WY1503" s="42" t="str">
        <f ca="1"/>
        <v/>
      </c>
      <c r="WZ1503" s="42" t="str">
        <f ca="1"/>
        <v/>
      </c>
      <c r="XA1503" s="42" t="str">
        <f ca="1"/>
        <v/>
      </c>
      <c r="XB1503" s="42" t="str">
        <f ca="1"/>
        <v/>
      </c>
      <c r="XC1503" s="42" t="str">
        <f ca="1"/>
        <v/>
      </c>
      <c r="XD1503" s="42" t="str">
        <f ca="1"/>
        <v/>
      </c>
      <c r="XE1503" s="42" t="str">
        <f ca="1"/>
        <v/>
      </c>
      <c r="XF1503" s="42" t="str">
        <f ca="1"/>
        <v/>
      </c>
      <c r="XG1503" s="42" t="str">
        <f ca="1"/>
        <v/>
      </c>
      <c r="XH1503" s="42" t="str">
        <f ca="1"/>
        <v/>
      </c>
      <c r="XI1503" s="42" t="str">
        <f ca="1"/>
        <v/>
      </c>
      <c r="XJ1503" s="42" t="str">
        <f ca="1"/>
        <v/>
      </c>
      <c r="XK1503" s="42" t="str">
        <f ca="1"/>
        <v/>
      </c>
      <c r="XL1503" s="42" t="str">
        <f ca="1"/>
        <v/>
      </c>
      <c r="XM1503" s="42" t="str">
        <f ca="1"/>
        <v/>
      </c>
      <c r="XN1503" s="42" t="str">
        <f ca="1"/>
        <v/>
      </c>
      <c r="XO1503" s="42" t="str">
        <f ca="1"/>
        <v/>
      </c>
      <c r="XP1503" s="42" t="str">
        <f ca="1"/>
        <v/>
      </c>
      <c r="XQ1503" s="42" t="str">
        <f ca="1"/>
        <v/>
      </c>
      <c r="XR1503" s="42" t="str">
        <f ca="1"/>
        <v/>
      </c>
      <c r="XS1503" s="42" t="str">
        <f ca="1"/>
        <v/>
      </c>
      <c r="XT1503" s="42" t="str">
        <f ca="1"/>
        <v/>
      </c>
      <c r="XU1503" s="42" t="str">
        <f ca="1"/>
        <v/>
      </c>
      <c r="XV1503" s="42" t="str">
        <f ca="1"/>
        <v/>
      </c>
      <c r="XW1503" s="42" t="str">
        <f ca="1"/>
        <v/>
      </c>
      <c r="XX1503" s="42" t="str">
        <f ca="1"/>
        <v/>
      </c>
      <c r="XY1503" s="42" t="str">
        <f ca="1"/>
        <v/>
      </c>
      <c r="XZ1503" s="42" t="str">
        <f ca="1"/>
        <v/>
      </c>
      <c r="YA1503" s="42" t="str">
        <f ca="1"/>
        <v/>
      </c>
      <c r="YB1503" s="42" t="str">
        <f ca="1"/>
        <v/>
      </c>
      <c r="YC1503" s="42" t="str">
        <f ca="1"/>
        <v/>
      </c>
      <c r="YD1503" s="42" t="str">
        <f ca="1"/>
        <v/>
      </c>
      <c r="YE1503" s="42" t="str">
        <f ca="1"/>
        <v/>
      </c>
      <c r="YF1503" s="42" t="str">
        <f ca="1"/>
        <v/>
      </c>
      <c r="YG1503" s="42" t="str">
        <f ca="1"/>
        <v/>
      </c>
      <c r="YH1503" s="42" t="str">
        <f ca="1"/>
        <v/>
      </c>
      <c r="YI1503" s="42" t="str">
        <f ca="1"/>
        <v/>
      </c>
      <c r="YJ1503" s="42" t="str">
        <f ca="1"/>
        <v/>
      </c>
      <c r="YK1503" s="42" t="str">
        <f ca="1"/>
        <v/>
      </c>
      <c r="YL1503" s="42" t="str">
        <f ca="1"/>
        <v/>
      </c>
      <c r="YM1503" s="42" t="str">
        <f ca="1"/>
        <v/>
      </c>
      <c r="YN1503" s="42" t="str">
        <f ca="1"/>
        <v/>
      </c>
      <c r="YO1503" s="42" t="str">
        <f ca="1"/>
        <v/>
      </c>
      <c r="YP1503" s="42" t="str">
        <f ca="1"/>
        <v/>
      </c>
      <c r="YQ1503" s="42" t="str">
        <f ca="1"/>
        <v/>
      </c>
      <c r="YR1503" s="42" t="str">
        <f ca="1"/>
        <v/>
      </c>
      <c r="YS1503" s="42" t="str">
        <f ca="1"/>
        <v/>
      </c>
      <c r="YT1503" s="42" t="str">
        <f ca="1"/>
        <v/>
      </c>
      <c r="YU1503" s="42" t="str">
        <f ca="1"/>
        <v/>
      </c>
      <c r="YV1503" s="42" t="str">
        <f ca="1"/>
        <v/>
      </c>
      <c r="YW1503" s="42" t="str">
        <f ca="1"/>
        <v/>
      </c>
      <c r="YX1503" s="42" t="str">
        <f ca="1"/>
        <v/>
      </c>
      <c r="YY1503" s="42" t="str">
        <f ca="1"/>
        <v/>
      </c>
      <c r="YZ1503" s="42" t="str">
        <f ca="1"/>
        <v/>
      </c>
      <c r="ZA1503" s="42" t="str">
        <f ca="1"/>
        <v/>
      </c>
      <c r="ZB1503" s="42" t="str">
        <f ca="1"/>
        <v/>
      </c>
      <c r="ZC1503" s="42" t="str">
        <f ca="1"/>
        <v/>
      </c>
      <c r="ZD1503" s="42" t="str">
        <f ca="1"/>
        <v/>
      </c>
      <c r="ZE1503" s="42" t="str">
        <f ca="1"/>
        <v/>
      </c>
      <c r="ZF1503" s="42" t="str">
        <f ca="1"/>
        <v/>
      </c>
      <c r="ZG1503" s="42" t="str">
        <f ca="1"/>
        <v/>
      </c>
      <c r="ZH1503" s="42" t="str">
        <f ca="1"/>
        <v/>
      </c>
      <c r="ZI1503" s="42" t="str">
        <f ca="1"/>
        <v/>
      </c>
      <c r="ZJ1503" s="42" t="str">
        <f ca="1"/>
        <v/>
      </c>
      <c r="ZK1503" s="42" t="str">
        <f ca="1"/>
        <v/>
      </c>
      <c r="ZL1503" s="42" t="str">
        <f ca="1"/>
        <v/>
      </c>
      <c r="ZM1503" s="42" t="str">
        <f ca="1"/>
        <v/>
      </c>
      <c r="ZN1503" s="42" t="str">
        <f ca="1"/>
        <v/>
      </c>
      <c r="ZO1503" s="42" t="str">
        <f ca="1"/>
        <v/>
      </c>
      <c r="ZP1503" s="42" t="str">
        <f ca="1"/>
        <v/>
      </c>
      <c r="ZQ1503" s="42" t="str">
        <f ca="1"/>
        <v/>
      </c>
      <c r="ZR1503" s="42" t="str">
        <f ca="1"/>
        <v/>
      </c>
      <c r="ZS1503" s="42" t="str">
        <f ca="1"/>
        <v/>
      </c>
      <c r="ZT1503" s="42" t="str">
        <f ca="1"/>
        <v/>
      </c>
      <c r="ZU1503" s="42" t="str">
        <f ca="1"/>
        <v/>
      </c>
      <c r="ZV1503" s="42" t="str">
        <f ca="1"/>
        <v/>
      </c>
      <c r="ZW1503" s="42" t="str">
        <f ca="1"/>
        <v/>
      </c>
      <c r="ZX1503" s="42" t="str">
        <f ca="1"/>
        <v/>
      </c>
      <c r="ZY1503" s="42" t="str">
        <f ca="1"/>
        <v/>
      </c>
      <c r="ZZ1503" s="42" t="str">
        <f ca="1"/>
        <v/>
      </c>
      <c r="AAA1503" s="42" t="str">
        <f ca="1"/>
        <v/>
      </c>
      <c r="AAB1503" s="42" t="str">
        <f ca="1"/>
        <v/>
      </c>
      <c r="AAC1503" s="42" t="str">
        <f ca="1"/>
        <v/>
      </c>
      <c r="AAD1503" s="42" t="str">
        <f ca="1"/>
        <v/>
      </c>
      <c r="AAE1503" s="42" t="str">
        <f ca="1"/>
        <v/>
      </c>
      <c r="AAF1503" s="42" t="str">
        <f ca="1"/>
        <v/>
      </c>
      <c r="AAG1503" s="42" t="str">
        <f ca="1"/>
        <v/>
      </c>
      <c r="AAH1503" s="42" t="str">
        <f ca="1"/>
        <v/>
      </c>
      <c r="AAI1503" s="42" t="str">
        <f ca="1"/>
        <v/>
      </c>
      <c r="AAJ1503" s="42" t="str">
        <f ca="1"/>
        <v/>
      </c>
      <c r="AAK1503" s="42" t="str">
        <f ca="1"/>
        <v/>
      </c>
      <c r="AAL1503" s="42" t="str">
        <f ca="1"/>
        <v/>
      </c>
      <c r="AAM1503" s="42" t="str">
        <f ca="1"/>
        <v/>
      </c>
      <c r="AAN1503" s="42" t="str">
        <f ca="1"/>
        <v/>
      </c>
      <c r="AAO1503" s="42" t="str">
        <f ca="1"/>
        <v/>
      </c>
      <c r="AAP1503" s="42" t="str">
        <f ca="1"/>
        <v/>
      </c>
      <c r="AAQ1503" s="42" t="str">
        <f ca="1"/>
        <v/>
      </c>
      <c r="AAR1503" s="42" t="str">
        <f ca="1"/>
        <v/>
      </c>
      <c r="AAS1503" s="42" t="str">
        <f ca="1"/>
        <v/>
      </c>
      <c r="AAT1503" s="42" t="str">
        <f ca="1"/>
        <v/>
      </c>
      <c r="AAU1503" s="42" t="str">
        <f ca="1"/>
        <v/>
      </c>
      <c r="AAV1503" s="42" t="str">
        <f ca="1"/>
        <v/>
      </c>
      <c r="AAW1503" s="42" t="str">
        <f ca="1"/>
        <v/>
      </c>
      <c r="AAX1503" s="42" t="str">
        <f ca="1"/>
        <v/>
      </c>
      <c r="AAY1503" s="42" t="str">
        <f ca="1"/>
        <v/>
      </c>
      <c r="AAZ1503" s="42" t="str">
        <f ca="1"/>
        <v/>
      </c>
      <c r="ABA1503" s="42" t="str">
        <f ca="1"/>
        <v/>
      </c>
      <c r="ABB1503" s="42" t="str">
        <f ca="1"/>
        <v/>
      </c>
      <c r="ABC1503" s="42" t="str">
        <f ca="1"/>
        <v/>
      </c>
      <c r="ABD1503" s="42" t="str">
        <f ca="1"/>
        <v/>
      </c>
      <c r="ABE1503" s="42" t="str">
        <f ca="1"/>
        <v/>
      </c>
      <c r="ABF1503" s="42" t="str">
        <f ca="1"/>
        <v/>
      </c>
      <c r="ABG1503" s="42" t="str">
        <f ca="1"/>
        <v/>
      </c>
      <c r="ABH1503" s="42" t="str">
        <f ca="1"/>
        <v/>
      </c>
      <c r="ABI1503" s="42" t="str">
        <f ca="1"/>
        <v/>
      </c>
      <c r="ABJ1503" s="42" t="str">
        <f ca="1"/>
        <v/>
      </c>
      <c r="ABK1503" s="42" t="str">
        <f ca="1"/>
        <v/>
      </c>
      <c r="ABL1503" s="42" t="str">
        <f ca="1"/>
        <v/>
      </c>
      <c r="ABM1503" s="42" t="str">
        <f ca="1"/>
        <v/>
      </c>
      <c r="ABN1503" s="42" t="str">
        <f ca="1"/>
        <v/>
      </c>
      <c r="ABO1503" s="42" t="str">
        <f ca="1"/>
        <v/>
      </c>
      <c r="ABP1503" s="42" t="str">
        <f ca="1"/>
        <v/>
      </c>
      <c r="ABQ1503" s="42" t="str">
        <f ca="1"/>
        <v/>
      </c>
      <c r="ABR1503" s="42" t="str">
        <f ca="1"/>
        <v/>
      </c>
      <c r="ABS1503" s="42" t="str">
        <f ca="1"/>
        <v/>
      </c>
      <c r="ABT1503" s="42" t="str">
        <f ca="1"/>
        <v/>
      </c>
      <c r="ABU1503" s="42" t="str">
        <f ca="1"/>
        <v/>
      </c>
      <c r="ABV1503" s="42" t="str">
        <f ca="1"/>
        <v/>
      </c>
      <c r="ABW1503" s="42" t="str">
        <f ca="1"/>
        <v/>
      </c>
      <c r="ABX1503" s="42" t="str">
        <f ca="1"/>
        <v/>
      </c>
      <c r="ABY1503" s="42" t="str">
        <f ca="1"/>
        <v/>
      </c>
      <c r="ABZ1503" s="42" t="str">
        <f ca="1"/>
        <v/>
      </c>
      <c r="ACA1503" s="42" t="str">
        <f ca="1"/>
        <v/>
      </c>
      <c r="ACB1503" s="42" t="str">
        <f ca="1"/>
        <v/>
      </c>
      <c r="ACC1503" s="42" t="str">
        <f ca="1"/>
        <v/>
      </c>
      <c r="ACD1503" s="42" t="str">
        <f ca="1"/>
        <v/>
      </c>
      <c r="ACE1503" s="42" t="str">
        <f ca="1"/>
        <v/>
      </c>
      <c r="ACF1503" s="42" t="str">
        <f ca="1"/>
        <v/>
      </c>
      <c r="ACG1503" s="42" t="str">
        <f ca="1"/>
        <v/>
      </c>
      <c r="ACH1503" s="42" t="str">
        <f ca="1"/>
        <v/>
      </c>
      <c r="ACI1503" s="42" t="str">
        <f ca="1"/>
        <v/>
      </c>
      <c r="ACJ1503" s="42" t="str">
        <f ca="1"/>
        <v/>
      </c>
      <c r="ACK1503" s="42" t="str">
        <f ca="1"/>
        <v/>
      </c>
      <c r="ACL1503" s="42" t="str">
        <f ca="1"/>
        <v/>
      </c>
      <c r="ACM1503" s="42" t="str">
        <f ca="1"/>
        <v/>
      </c>
      <c r="ACN1503" s="42" t="str">
        <f ca="1"/>
        <v/>
      </c>
      <c r="ACO1503" s="42" t="str">
        <f ca="1"/>
        <v/>
      </c>
      <c r="ACP1503" s="42" t="str">
        <f ca="1"/>
        <v/>
      </c>
      <c r="ACQ1503" s="42" t="str">
        <f ca="1"/>
        <v/>
      </c>
      <c r="ACR1503" s="42" t="str">
        <f ca="1"/>
        <v/>
      </c>
      <c r="ACS1503" s="42" t="str">
        <f ca="1"/>
        <v/>
      </c>
      <c r="ACT1503" s="42" t="str">
        <f ca="1"/>
        <v/>
      </c>
      <c r="ACU1503" s="42" t="str">
        <f ca="1"/>
        <v/>
      </c>
      <c r="ACV1503" s="42" t="str">
        <f ca="1"/>
        <v/>
      </c>
      <c r="ACW1503" s="42" t="str">
        <f ca="1"/>
        <v/>
      </c>
      <c r="ACX1503" s="42" t="str">
        <f ca="1"/>
        <v/>
      </c>
      <c r="ACY1503" s="42" t="str">
        <f ca="1"/>
        <v/>
      </c>
      <c r="ACZ1503" s="42" t="str">
        <f ca="1"/>
        <v/>
      </c>
      <c r="ADA1503" s="42" t="str">
        <f ca="1"/>
        <v/>
      </c>
      <c r="ADB1503" s="42" t="str">
        <f ca="1"/>
        <v/>
      </c>
      <c r="ADC1503" s="42" t="str">
        <f ca="1"/>
        <v/>
      </c>
      <c r="ADD1503" s="42" t="str">
        <f ca="1"/>
        <v/>
      </c>
      <c r="ADE1503" s="42" t="str">
        <f ca="1"/>
        <v/>
      </c>
      <c r="ADF1503" s="42" t="str">
        <f ca="1"/>
        <v/>
      </c>
      <c r="ADG1503" s="42" t="str">
        <f ca="1"/>
        <v/>
      </c>
      <c r="ADH1503" s="42" t="str">
        <f ca="1"/>
        <v/>
      </c>
      <c r="ADI1503" s="42" t="str">
        <f ca="1"/>
        <v/>
      </c>
      <c r="ADJ1503" s="42" t="str">
        <f ca="1"/>
        <v/>
      </c>
      <c r="ADK1503" s="42" t="str">
        <f ca="1"/>
        <v/>
      </c>
      <c r="ADL1503" s="42" t="str">
        <f ca="1"/>
        <v/>
      </c>
      <c r="ADM1503" s="42" t="str">
        <f ca="1"/>
        <v/>
      </c>
      <c r="ADN1503" s="42" t="str">
        <f ca="1"/>
        <v/>
      </c>
      <c r="ADO1503" s="42" t="str">
        <f ca="1"/>
        <v/>
      </c>
      <c r="ADP1503" s="42" t="str">
        <f ca="1"/>
        <v/>
      </c>
      <c r="ADQ1503" s="42" t="str">
        <f ca="1"/>
        <v/>
      </c>
      <c r="ADR1503" s="42" t="str">
        <f ca="1"/>
        <v/>
      </c>
      <c r="ADS1503" s="42" t="str">
        <f ca="1"/>
        <v/>
      </c>
      <c r="ADT1503" s="42" t="str">
        <f ca="1"/>
        <v/>
      </c>
      <c r="ADU1503" s="42" t="str">
        <f ca="1"/>
        <v/>
      </c>
      <c r="ADV1503" s="42" t="str">
        <f ca="1"/>
        <v/>
      </c>
      <c r="ADW1503" s="42" t="str">
        <f ca="1"/>
        <v/>
      </c>
      <c r="ADX1503" s="42" t="str">
        <f ca="1"/>
        <v/>
      </c>
      <c r="ADY1503" s="42" t="str">
        <f ca="1"/>
        <v/>
      </c>
      <c r="ADZ1503" s="42" t="str">
        <f ca="1"/>
        <v/>
      </c>
      <c r="AEA1503" s="42" t="str">
        <f ca="1"/>
        <v/>
      </c>
      <c r="AEB1503" s="42" t="str">
        <f ca="1"/>
        <v/>
      </c>
      <c r="AEC1503" s="42" t="str">
        <f ca="1"/>
        <v/>
      </c>
      <c r="AED1503" s="42" t="str">
        <f ca="1"/>
        <v/>
      </c>
      <c r="AEE1503" s="42" t="str">
        <f ca="1"/>
        <v/>
      </c>
      <c r="AEF1503" s="42" t="str">
        <f ca="1"/>
        <v/>
      </c>
      <c r="AEG1503" s="42" t="str">
        <f ca="1"/>
        <v/>
      </c>
      <c r="AEH1503" s="42" t="str">
        <f ca="1"/>
        <v/>
      </c>
      <c r="AEI1503" s="42" t="str">
        <f ca="1"/>
        <v/>
      </c>
      <c r="AEJ1503" s="42" t="str">
        <f ca="1"/>
        <v/>
      </c>
      <c r="AEK1503" s="42" t="str">
        <f ca="1"/>
        <v/>
      </c>
      <c r="AEL1503" s="42" t="str">
        <f ca="1"/>
        <v/>
      </c>
      <c r="AEM1503" s="42" t="str">
        <f ca="1"/>
        <v/>
      </c>
      <c r="AEN1503" s="42" t="str">
        <f ca="1"/>
        <v/>
      </c>
      <c r="AEO1503" s="42" t="str">
        <f ca="1"/>
        <v/>
      </c>
      <c r="AEP1503" s="42" t="str">
        <f ca="1"/>
        <v/>
      </c>
      <c r="AEQ1503" s="42" t="str">
        <f ca="1"/>
        <v/>
      </c>
      <c r="AER1503" s="42" t="str">
        <f ca="1"/>
        <v/>
      </c>
      <c r="AES1503" s="42" t="str">
        <f ca="1"/>
        <v/>
      </c>
      <c r="AET1503" s="42" t="str">
        <f ca="1"/>
        <v/>
      </c>
      <c r="AEU1503" s="42" t="str">
        <f ca="1"/>
        <v/>
      </c>
      <c r="AEV1503" s="42" t="str">
        <f ca="1"/>
        <v/>
      </c>
      <c r="AEW1503" s="42" t="str">
        <f ca="1"/>
        <v/>
      </c>
      <c r="AEX1503" s="42" t="str">
        <f ca="1"/>
        <v/>
      </c>
      <c r="AEY1503" s="42" t="str">
        <f ca="1"/>
        <v/>
      </c>
      <c r="AEZ1503" s="42" t="str">
        <f ca="1"/>
        <v/>
      </c>
      <c r="AFA1503" s="42" t="str">
        <f ca="1"/>
        <v/>
      </c>
      <c r="AFB1503" s="42" t="str">
        <f ca="1"/>
        <v/>
      </c>
      <c r="AFC1503" s="42" t="str">
        <f ca="1"/>
        <v/>
      </c>
      <c r="AFD1503" s="42" t="str">
        <f ca="1"/>
        <v/>
      </c>
      <c r="AFE1503" s="42" t="str">
        <f ca="1"/>
        <v/>
      </c>
      <c r="AFF1503" s="42" t="str">
        <f ca="1"/>
        <v/>
      </c>
      <c r="AFG1503" s="42" t="str">
        <f ca="1"/>
        <v/>
      </c>
      <c r="AFH1503" s="42" t="str">
        <f ca="1"/>
        <v/>
      </c>
      <c r="AFI1503" s="42" t="str">
        <f ca="1"/>
        <v/>
      </c>
      <c r="AFJ1503" s="42" t="str">
        <f ca="1"/>
        <v/>
      </c>
      <c r="AFK1503" s="42" t="str">
        <f ca="1"/>
        <v/>
      </c>
      <c r="AFL1503" s="42" t="str">
        <f ca="1"/>
        <v/>
      </c>
      <c r="AFM1503" s="42" t="str">
        <f ca="1"/>
        <v/>
      </c>
      <c r="AFN1503" s="42" t="str">
        <f ca="1"/>
        <v/>
      </c>
      <c r="AFO1503" s="42" t="str">
        <f ca="1"/>
        <v/>
      </c>
      <c r="AFP1503" s="42" t="str">
        <f ca="1"/>
        <v/>
      </c>
      <c r="AFQ1503" s="42" t="str">
        <f ca="1"/>
        <v/>
      </c>
      <c r="AFR1503" s="42" t="str">
        <f ca="1"/>
        <v/>
      </c>
      <c r="AFS1503" s="42" t="str">
        <f ca="1"/>
        <v/>
      </c>
      <c r="AFT1503" s="42" t="str">
        <f ca="1"/>
        <v/>
      </c>
      <c r="AFU1503" s="42" t="str">
        <f ca="1"/>
        <v/>
      </c>
      <c r="AFV1503" s="42" t="str">
        <f ca="1"/>
        <v/>
      </c>
      <c r="AFW1503" s="42" t="str">
        <f ca="1"/>
        <v/>
      </c>
      <c r="AFX1503" s="42" t="str">
        <f ca="1"/>
        <v/>
      </c>
      <c r="AFY1503" s="42" t="str">
        <f ca="1"/>
        <v/>
      </c>
      <c r="AFZ1503" s="42" t="str">
        <f ca="1"/>
        <v/>
      </c>
      <c r="AGA1503" s="42" t="str">
        <f ca="1"/>
        <v/>
      </c>
      <c r="AGB1503" s="42" t="str">
        <f ca="1"/>
        <v/>
      </c>
      <c r="AGC1503" s="42" t="str">
        <f ca="1"/>
        <v/>
      </c>
      <c r="AGD1503" s="42" t="str">
        <f ca="1"/>
        <v/>
      </c>
      <c r="AGE1503" s="42" t="str">
        <f ca="1"/>
        <v/>
      </c>
      <c r="AGF1503" s="42" t="str">
        <f ca="1"/>
        <v/>
      </c>
      <c r="AGG1503" s="42" t="str">
        <f ca="1"/>
        <v/>
      </c>
      <c r="AGH1503" s="42" t="str">
        <f ca="1"/>
        <v/>
      </c>
      <c r="AGI1503" s="42" t="str">
        <f ca="1"/>
        <v/>
      </c>
      <c r="AGJ1503" s="42" t="str">
        <f ca="1"/>
        <v/>
      </c>
      <c r="AGK1503" s="42" t="str">
        <f ca="1"/>
        <v/>
      </c>
      <c r="AGL1503" s="42" t="str">
        <f ca="1"/>
        <v/>
      </c>
      <c r="AGM1503" s="42" t="str">
        <f ca="1"/>
        <v/>
      </c>
      <c r="AGN1503" s="42" t="str">
        <f ca="1"/>
        <v/>
      </c>
    </row>
    <row r="1504" spans="15:872" x14ac:dyDescent="0.25">
      <c r="O1504" s="42">
        <v>14</v>
      </c>
      <c r="P1504" s="42" t="str">
        <f ca="1"/>
        <v/>
      </c>
      <c r="Q1504" s="42" t="str">
        <f ca="1"/>
        <v/>
      </c>
      <c r="R1504" s="42" t="str">
        <f ca="1"/>
        <v/>
      </c>
      <c r="S1504" s="42" t="str">
        <f ca="1"/>
        <v/>
      </c>
      <c r="T1504" s="42" t="str">
        <f ca="1"/>
        <v/>
      </c>
      <c r="U1504" s="42" t="str">
        <f ca="1"/>
        <v/>
      </c>
      <c r="V1504" s="42" t="str">
        <f ca="1"/>
        <v/>
      </c>
      <c r="W1504" s="42" t="str">
        <f ca="1"/>
        <v/>
      </c>
      <c r="X1504" s="42" t="str">
        <f ca="1"/>
        <v/>
      </c>
      <c r="Y1504" s="42" t="str">
        <f ca="1"/>
        <v/>
      </c>
      <c r="Z1504" s="42" t="str">
        <f ca="1"/>
        <v/>
      </c>
      <c r="AA1504" s="42" t="str">
        <f ca="1"/>
        <v/>
      </c>
      <c r="AB1504" s="42" t="str">
        <f ca="1"/>
        <v/>
      </c>
      <c r="AC1504" s="42" t="str">
        <f ca="1"/>
        <v/>
      </c>
      <c r="AD1504" s="42" t="str">
        <f ca="1"/>
        <v/>
      </c>
      <c r="AE1504" s="42" t="str">
        <f ca="1"/>
        <v/>
      </c>
      <c r="AF1504" s="42" t="str">
        <f ca="1"/>
        <v/>
      </c>
      <c r="AG1504" s="42" t="str">
        <f ca="1"/>
        <v/>
      </c>
      <c r="AH1504" s="42" t="str">
        <f ca="1"/>
        <v/>
      </c>
      <c r="AI1504" s="42" t="str">
        <f ca="1"/>
        <v/>
      </c>
      <c r="AJ1504" s="42" t="str">
        <f ca="1"/>
        <v/>
      </c>
      <c r="AK1504" s="42" t="str">
        <f ca="1"/>
        <v/>
      </c>
      <c r="AL1504" s="42" t="str">
        <f ca="1"/>
        <v/>
      </c>
      <c r="AM1504" s="42" t="str">
        <f ca="1"/>
        <v/>
      </c>
      <c r="AN1504" s="42" t="str">
        <f ca="1"/>
        <v/>
      </c>
      <c r="AO1504" s="42" t="str">
        <f ca="1"/>
        <v/>
      </c>
      <c r="AP1504" s="42" t="str">
        <f ca="1"/>
        <v/>
      </c>
      <c r="AQ1504" s="42" t="str">
        <f ca="1"/>
        <v/>
      </c>
      <c r="AR1504" s="42" t="str">
        <f ca="1"/>
        <v/>
      </c>
      <c r="AS1504" s="42" t="str">
        <f ca="1"/>
        <v/>
      </c>
      <c r="AT1504" s="42" t="str">
        <f ca="1"/>
        <v/>
      </c>
      <c r="AU1504" s="42" t="str">
        <f ca="1"/>
        <v/>
      </c>
      <c r="AV1504" s="42" t="str">
        <f ca="1"/>
        <v/>
      </c>
      <c r="AW1504" s="42" t="str">
        <f ca="1"/>
        <v/>
      </c>
      <c r="AX1504" s="42" t="str">
        <f ca="1"/>
        <v/>
      </c>
      <c r="AY1504" s="42" t="str">
        <f ca="1"/>
        <v/>
      </c>
      <c r="AZ1504" s="42" t="str">
        <f ca="1"/>
        <v/>
      </c>
      <c r="BA1504" s="42" t="str">
        <f ca="1"/>
        <v/>
      </c>
      <c r="BB1504" s="42" t="str">
        <f ca="1"/>
        <v/>
      </c>
      <c r="BC1504" s="42" t="str">
        <f ca="1"/>
        <v/>
      </c>
      <c r="BD1504" s="42" t="str">
        <f ca="1"/>
        <v/>
      </c>
      <c r="BE1504" s="42" t="str">
        <f ca="1"/>
        <v/>
      </c>
      <c r="BF1504" s="42" t="str">
        <f ca="1"/>
        <v/>
      </c>
      <c r="BG1504" s="42" t="str">
        <f ca="1"/>
        <v/>
      </c>
      <c r="BH1504" s="42" t="str">
        <f ca="1"/>
        <v/>
      </c>
      <c r="BI1504" s="42" t="str">
        <f ca="1"/>
        <v/>
      </c>
      <c r="BJ1504" s="42" t="str">
        <f ca="1"/>
        <v/>
      </c>
      <c r="BK1504" s="42" t="str">
        <f ca="1"/>
        <v/>
      </c>
      <c r="BL1504" s="42" t="str">
        <f ca="1"/>
        <v/>
      </c>
      <c r="BM1504" s="42" t="str">
        <f ca="1"/>
        <v/>
      </c>
      <c r="BN1504" s="42" t="str">
        <f ca="1"/>
        <v/>
      </c>
      <c r="BO1504" s="42" t="str">
        <f ca="1"/>
        <v/>
      </c>
      <c r="BP1504" s="42" t="str">
        <f ca="1"/>
        <v/>
      </c>
      <c r="BQ1504" s="42" t="str">
        <f ca="1"/>
        <v/>
      </c>
      <c r="BR1504" s="42" t="str">
        <f ca="1"/>
        <v/>
      </c>
      <c r="BS1504" s="42" t="str">
        <f ca="1"/>
        <v/>
      </c>
      <c r="BT1504" s="42" t="str">
        <f ca="1"/>
        <v/>
      </c>
      <c r="BU1504" s="42" t="str">
        <f ca="1"/>
        <v/>
      </c>
      <c r="BV1504" s="42" t="str">
        <f ca="1"/>
        <v/>
      </c>
      <c r="BW1504" s="42" t="str">
        <f ca="1"/>
        <v/>
      </c>
      <c r="BX1504" s="42" t="str">
        <f ca="1"/>
        <v/>
      </c>
      <c r="BY1504" s="42" t="str">
        <f ca="1"/>
        <v/>
      </c>
      <c r="BZ1504" s="42" t="str">
        <f ca="1"/>
        <v/>
      </c>
      <c r="CA1504" s="42" t="str">
        <f ca="1"/>
        <v/>
      </c>
      <c r="CB1504" s="42" t="str">
        <f ca="1"/>
        <v/>
      </c>
      <c r="CC1504" s="42" t="str">
        <f ca="1"/>
        <v/>
      </c>
      <c r="CD1504" s="42" t="str">
        <f ca="1"/>
        <v/>
      </c>
      <c r="CE1504" s="42" t="str">
        <f ca="1"/>
        <v/>
      </c>
      <c r="CF1504" s="42" t="str">
        <f ca="1"/>
        <v/>
      </c>
      <c r="CG1504" s="42" t="str">
        <f ca="1"/>
        <v/>
      </c>
      <c r="CH1504" s="42" t="str">
        <f ca="1"/>
        <v/>
      </c>
      <c r="CI1504" s="42" t="str">
        <f ca="1"/>
        <v/>
      </c>
      <c r="CJ1504" s="42" t="str">
        <f ca="1"/>
        <v/>
      </c>
      <c r="CK1504" s="42" t="str">
        <f ca="1"/>
        <v/>
      </c>
      <c r="CL1504" s="42" t="str">
        <f ca="1"/>
        <v/>
      </c>
      <c r="CM1504" s="42" t="str">
        <f ca="1"/>
        <v/>
      </c>
      <c r="CN1504" s="42" t="str">
        <f ca="1"/>
        <v/>
      </c>
      <c r="CO1504" s="42" t="str">
        <f ca="1"/>
        <v/>
      </c>
      <c r="CP1504" s="42" t="str">
        <f ca="1"/>
        <v/>
      </c>
      <c r="CQ1504" s="42" t="str">
        <f ca="1"/>
        <v/>
      </c>
      <c r="CR1504" s="42" t="str">
        <f ca="1"/>
        <v/>
      </c>
      <c r="CS1504" s="42" t="str">
        <f ca="1"/>
        <v/>
      </c>
      <c r="CT1504" s="42" t="str">
        <f ca="1"/>
        <v/>
      </c>
      <c r="CU1504" s="42" t="str">
        <f ca="1"/>
        <v/>
      </c>
      <c r="CV1504" s="42" t="str">
        <f ca="1"/>
        <v/>
      </c>
      <c r="CW1504" s="42" t="str">
        <f ca="1"/>
        <v/>
      </c>
      <c r="CX1504" s="42" t="str">
        <f ca="1"/>
        <v/>
      </c>
      <c r="CY1504" s="42" t="str">
        <f ca="1"/>
        <v/>
      </c>
      <c r="CZ1504" s="42" t="str">
        <f ca="1"/>
        <v/>
      </c>
      <c r="DA1504" s="42" t="str">
        <f ca="1"/>
        <v/>
      </c>
      <c r="DB1504" s="42" t="str">
        <f ca="1"/>
        <v/>
      </c>
      <c r="DC1504" s="42" t="str">
        <f ca="1"/>
        <v/>
      </c>
      <c r="DD1504" s="42" t="str">
        <f ca="1"/>
        <v/>
      </c>
      <c r="DE1504" s="42" t="str">
        <f ca="1"/>
        <v/>
      </c>
      <c r="DF1504" s="42" t="str">
        <f ca="1"/>
        <v/>
      </c>
      <c r="DG1504" s="42" t="str">
        <f ca="1"/>
        <v/>
      </c>
      <c r="DH1504" s="42" t="str">
        <f ca="1"/>
        <v/>
      </c>
      <c r="DI1504" s="42" t="str">
        <f ca="1"/>
        <v/>
      </c>
      <c r="DJ1504" s="42" t="str">
        <f ca="1"/>
        <v/>
      </c>
      <c r="DK1504" s="42" t="str">
        <f ca="1"/>
        <v/>
      </c>
      <c r="DL1504" s="42" t="str">
        <f ca="1"/>
        <v/>
      </c>
      <c r="DM1504" s="42" t="str">
        <f ca="1"/>
        <v/>
      </c>
      <c r="DN1504" s="42" t="str">
        <f ca="1"/>
        <v/>
      </c>
      <c r="DO1504" s="42" t="str">
        <f ca="1"/>
        <v/>
      </c>
      <c r="DP1504" s="42" t="str">
        <f ca="1"/>
        <v/>
      </c>
      <c r="DQ1504" s="42" t="str">
        <f ca="1"/>
        <v/>
      </c>
      <c r="DR1504" s="42" t="str">
        <f ca="1"/>
        <v/>
      </c>
      <c r="DS1504" s="42" t="str">
        <f ca="1"/>
        <v/>
      </c>
      <c r="DT1504" s="42" t="str">
        <f ca="1"/>
        <v/>
      </c>
      <c r="DU1504" s="42" t="str">
        <f ca="1"/>
        <v/>
      </c>
      <c r="DV1504" s="42" t="str">
        <f ca="1"/>
        <v/>
      </c>
      <c r="DW1504" s="42" t="str">
        <f ca="1"/>
        <v/>
      </c>
      <c r="DX1504" s="42" t="str">
        <f ca="1"/>
        <v/>
      </c>
      <c r="DY1504" s="42" t="str">
        <f ca="1"/>
        <v/>
      </c>
      <c r="DZ1504" s="42" t="str">
        <f ca="1"/>
        <v/>
      </c>
      <c r="EA1504" s="42" t="str">
        <f ca="1"/>
        <v/>
      </c>
      <c r="EB1504" s="42" t="str">
        <f ca="1"/>
        <v/>
      </c>
      <c r="EC1504" s="42" t="str">
        <f ca="1"/>
        <v/>
      </c>
      <c r="ED1504" s="42" t="str">
        <f ca="1"/>
        <v/>
      </c>
      <c r="EE1504" s="42" t="str">
        <f ca="1"/>
        <v/>
      </c>
      <c r="EF1504" s="42" t="str">
        <f ca="1"/>
        <v/>
      </c>
      <c r="EG1504" s="42" t="str">
        <f ca="1"/>
        <v/>
      </c>
      <c r="EH1504" s="42" t="str">
        <f ca="1"/>
        <v/>
      </c>
      <c r="EI1504" s="42" t="str">
        <f ca="1"/>
        <v/>
      </c>
      <c r="EJ1504" s="42" t="str">
        <f ca="1"/>
        <v/>
      </c>
      <c r="EK1504" s="42" t="str">
        <f ca="1"/>
        <v/>
      </c>
      <c r="EL1504" s="42" t="str">
        <f ca="1"/>
        <v/>
      </c>
      <c r="EM1504" s="42" t="str">
        <f ca="1"/>
        <v/>
      </c>
      <c r="EN1504" s="42" t="str">
        <f ca="1"/>
        <v/>
      </c>
      <c r="EO1504" s="42" t="str">
        <f ca="1"/>
        <v/>
      </c>
      <c r="EP1504" s="42" t="str">
        <f ca="1"/>
        <v/>
      </c>
      <c r="EQ1504" s="42" t="str">
        <f ca="1"/>
        <v/>
      </c>
      <c r="ER1504" s="42" t="str">
        <f ca="1"/>
        <v/>
      </c>
      <c r="ES1504" s="42" t="str">
        <f ca="1"/>
        <v/>
      </c>
      <c r="ET1504" s="42" t="str">
        <f ca="1"/>
        <v/>
      </c>
      <c r="EU1504" s="42" t="str">
        <f ca="1"/>
        <v/>
      </c>
      <c r="EV1504" s="42" t="str">
        <f ca="1"/>
        <v/>
      </c>
      <c r="EW1504" s="42" t="str">
        <f ca="1"/>
        <v/>
      </c>
      <c r="EX1504" s="42" t="str">
        <f ca="1"/>
        <v/>
      </c>
      <c r="EY1504" s="42" t="str">
        <f ca="1"/>
        <v/>
      </c>
      <c r="EZ1504" s="42" t="str">
        <f ca="1"/>
        <v/>
      </c>
      <c r="FA1504" s="42" t="str">
        <f ca="1"/>
        <v/>
      </c>
      <c r="FB1504" s="42" t="str">
        <f ca="1"/>
        <v/>
      </c>
      <c r="FC1504" s="42" t="str">
        <f ca="1"/>
        <v/>
      </c>
      <c r="FD1504" s="42" t="str">
        <f ca="1"/>
        <v/>
      </c>
      <c r="FE1504" s="42" t="str">
        <f ca="1"/>
        <v/>
      </c>
      <c r="FF1504" s="42" t="str">
        <f ca="1"/>
        <v/>
      </c>
      <c r="FG1504" s="42" t="str">
        <f ca="1"/>
        <v/>
      </c>
      <c r="FH1504" s="42" t="str">
        <f ca="1"/>
        <v/>
      </c>
      <c r="FI1504" s="42" t="str">
        <f ca="1"/>
        <v/>
      </c>
      <c r="FJ1504" s="42" t="str">
        <f ca="1"/>
        <v/>
      </c>
      <c r="FK1504" s="42" t="str">
        <f ca="1"/>
        <v/>
      </c>
      <c r="FL1504" s="42" t="str">
        <f ca="1"/>
        <v/>
      </c>
      <c r="FM1504" s="42" t="str">
        <f ca="1"/>
        <v/>
      </c>
      <c r="FN1504" s="42" t="str">
        <f ca="1"/>
        <v/>
      </c>
      <c r="FO1504" s="42" t="str">
        <f ca="1"/>
        <v/>
      </c>
      <c r="FP1504" s="42" t="str">
        <f ca="1"/>
        <v/>
      </c>
      <c r="FQ1504" s="42" t="str">
        <f ca="1"/>
        <v/>
      </c>
      <c r="FR1504" s="42" t="str">
        <f ca="1"/>
        <v/>
      </c>
      <c r="FS1504" s="42" t="str">
        <f ca="1"/>
        <v/>
      </c>
      <c r="FT1504" s="42" t="str">
        <f ca="1"/>
        <v/>
      </c>
      <c r="FU1504" s="42" t="str">
        <f ca="1"/>
        <v/>
      </c>
      <c r="FV1504" s="42" t="str">
        <f ca="1"/>
        <v/>
      </c>
      <c r="FW1504" s="42" t="str">
        <f ca="1"/>
        <v/>
      </c>
      <c r="FX1504" s="42" t="str">
        <f ca="1"/>
        <v/>
      </c>
      <c r="FY1504" s="42" t="str">
        <f ca="1"/>
        <v/>
      </c>
      <c r="FZ1504" s="42" t="str">
        <f ca="1"/>
        <v/>
      </c>
      <c r="GA1504" s="42" t="str">
        <f ca="1"/>
        <v/>
      </c>
      <c r="GB1504" s="42" t="str">
        <f ca="1"/>
        <v/>
      </c>
      <c r="GC1504" s="42" t="str">
        <f ca="1"/>
        <v/>
      </c>
      <c r="GD1504" s="42" t="str">
        <f ca="1"/>
        <v/>
      </c>
      <c r="GE1504" s="42" t="str">
        <f ca="1"/>
        <v/>
      </c>
      <c r="GF1504" s="42" t="str">
        <f ca="1"/>
        <v/>
      </c>
      <c r="GG1504" s="42" t="str">
        <f ca="1"/>
        <v/>
      </c>
      <c r="GH1504" s="42" t="str">
        <f ca="1"/>
        <v/>
      </c>
      <c r="GI1504" s="42" t="str">
        <f ca="1"/>
        <v/>
      </c>
      <c r="GJ1504" s="42" t="str">
        <f ca="1"/>
        <v/>
      </c>
      <c r="GK1504" s="42" t="str">
        <f ca="1"/>
        <v/>
      </c>
      <c r="GL1504" s="42" t="str">
        <f ca="1"/>
        <v/>
      </c>
      <c r="GM1504" s="42" t="str">
        <f ca="1"/>
        <v/>
      </c>
      <c r="GN1504" s="42" t="str">
        <f ca="1"/>
        <v/>
      </c>
      <c r="GO1504" s="42" t="str">
        <f ca="1"/>
        <v/>
      </c>
      <c r="GP1504" s="42" t="str">
        <f ca="1"/>
        <v/>
      </c>
      <c r="GQ1504" s="42" t="str">
        <f ca="1"/>
        <v/>
      </c>
      <c r="GR1504" s="42" t="str">
        <f ca="1"/>
        <v/>
      </c>
      <c r="GS1504" s="42" t="str">
        <f ca="1"/>
        <v/>
      </c>
      <c r="GT1504" s="42" t="str">
        <f ca="1"/>
        <v/>
      </c>
      <c r="GU1504" s="42" t="str">
        <f ca="1"/>
        <v/>
      </c>
      <c r="GV1504" s="42" t="str">
        <f ca="1"/>
        <v/>
      </c>
      <c r="GW1504" s="42" t="str">
        <f ca="1"/>
        <v/>
      </c>
      <c r="GX1504" s="42" t="str">
        <f ca="1"/>
        <v/>
      </c>
      <c r="GY1504" s="42" t="str">
        <f ca="1"/>
        <v/>
      </c>
      <c r="GZ1504" s="42" t="str">
        <f ca="1"/>
        <v/>
      </c>
      <c r="HA1504" s="42" t="str">
        <f ca="1"/>
        <v/>
      </c>
      <c r="HB1504" s="42" t="str">
        <f ca="1"/>
        <v/>
      </c>
      <c r="HC1504" s="42" t="str">
        <f ca="1"/>
        <v/>
      </c>
      <c r="HD1504" s="42" t="str">
        <f ca="1"/>
        <v/>
      </c>
      <c r="HE1504" s="42" t="str">
        <f ca="1"/>
        <v/>
      </c>
      <c r="HF1504" s="42" t="str">
        <f ca="1"/>
        <v/>
      </c>
      <c r="HG1504" s="42" t="str">
        <f ca="1"/>
        <v/>
      </c>
      <c r="HH1504" s="42" t="str">
        <f ca="1"/>
        <v/>
      </c>
      <c r="HI1504" s="42" t="str">
        <f ca="1"/>
        <v/>
      </c>
      <c r="HJ1504" s="42" t="str">
        <f ca="1"/>
        <v/>
      </c>
      <c r="HK1504" s="42" t="str">
        <f ca="1"/>
        <v/>
      </c>
      <c r="HL1504" s="42" t="str">
        <f ca="1"/>
        <v/>
      </c>
      <c r="HM1504" s="42" t="str">
        <f ca="1"/>
        <v/>
      </c>
      <c r="HN1504" s="42" t="str">
        <f ca="1"/>
        <v/>
      </c>
      <c r="HO1504" s="42" t="str">
        <f ca="1"/>
        <v/>
      </c>
      <c r="HP1504" s="42" t="str">
        <f ca="1"/>
        <v/>
      </c>
      <c r="HQ1504" s="42" t="str">
        <f ca="1"/>
        <v/>
      </c>
      <c r="HR1504" s="42" t="str">
        <f ca="1"/>
        <v/>
      </c>
      <c r="HS1504" s="42" t="str">
        <f ca="1"/>
        <v/>
      </c>
      <c r="HT1504" s="42" t="str">
        <f ca="1"/>
        <v/>
      </c>
      <c r="HU1504" s="42" t="str">
        <f ca="1"/>
        <v/>
      </c>
      <c r="HV1504" s="42" t="str">
        <f ca="1"/>
        <v/>
      </c>
      <c r="HW1504" s="42" t="str">
        <f ca="1"/>
        <v/>
      </c>
      <c r="HX1504" s="42" t="str">
        <f ca="1"/>
        <v/>
      </c>
      <c r="HY1504" s="42" t="str">
        <f ca="1"/>
        <v/>
      </c>
      <c r="HZ1504" s="42" t="str">
        <f ca="1"/>
        <v/>
      </c>
      <c r="IA1504" s="42" t="str">
        <f ca="1"/>
        <v/>
      </c>
      <c r="IB1504" s="42" t="str">
        <f ca="1"/>
        <v/>
      </c>
      <c r="IC1504" s="42" t="str">
        <f ca="1"/>
        <v/>
      </c>
      <c r="ID1504" s="42" t="str">
        <f ca="1"/>
        <v/>
      </c>
      <c r="IE1504" s="42" t="str">
        <f ca="1"/>
        <v/>
      </c>
      <c r="IF1504" s="42" t="str">
        <f ca="1"/>
        <v/>
      </c>
      <c r="IG1504" s="42" t="str">
        <f ca="1"/>
        <v/>
      </c>
      <c r="IH1504" s="42" t="str">
        <f ca="1"/>
        <v/>
      </c>
      <c r="II1504" s="42" t="str">
        <f ca="1"/>
        <v/>
      </c>
      <c r="IJ1504" s="42" t="str">
        <f ca="1"/>
        <v/>
      </c>
      <c r="IK1504" s="42" t="str">
        <f ca="1"/>
        <v/>
      </c>
      <c r="IL1504" s="42" t="str">
        <f ca="1"/>
        <v/>
      </c>
      <c r="IM1504" s="42" t="str">
        <f ca="1"/>
        <v/>
      </c>
      <c r="IN1504" s="42" t="str">
        <f ca="1"/>
        <v/>
      </c>
      <c r="IO1504" s="42" t="str">
        <f ca="1"/>
        <v/>
      </c>
      <c r="IP1504" s="42" t="str">
        <f ca="1"/>
        <v/>
      </c>
      <c r="IQ1504" s="42" t="str">
        <f ca="1"/>
        <v/>
      </c>
      <c r="IR1504" s="42" t="str">
        <f ca="1"/>
        <v/>
      </c>
      <c r="IS1504" s="42" t="str">
        <f ca="1"/>
        <v/>
      </c>
      <c r="IT1504" s="42" t="str">
        <f ca="1"/>
        <v/>
      </c>
      <c r="IU1504" s="42" t="str">
        <f ca="1"/>
        <v/>
      </c>
      <c r="IV1504" s="42" t="str">
        <f ca="1"/>
        <v/>
      </c>
      <c r="IW1504" s="42" t="str">
        <f ca="1"/>
        <v/>
      </c>
      <c r="IX1504" s="42" t="str">
        <f ca="1"/>
        <v/>
      </c>
      <c r="IY1504" s="42" t="str">
        <f ca="1"/>
        <v/>
      </c>
      <c r="IZ1504" s="42" t="str">
        <f ca="1"/>
        <v/>
      </c>
      <c r="JA1504" s="42" t="str">
        <f ca="1"/>
        <v/>
      </c>
      <c r="JB1504" s="42" t="str">
        <f ca="1"/>
        <v/>
      </c>
      <c r="JC1504" s="42" t="str">
        <f ca="1"/>
        <v/>
      </c>
      <c r="JD1504" s="42" t="str">
        <f ca="1"/>
        <v/>
      </c>
      <c r="JE1504" s="42" t="str">
        <f ca="1"/>
        <v/>
      </c>
      <c r="JF1504" s="42" t="str">
        <f ca="1"/>
        <v/>
      </c>
      <c r="JG1504" s="42" t="str">
        <f ca="1"/>
        <v/>
      </c>
      <c r="JH1504" s="42" t="str">
        <f ca="1"/>
        <v/>
      </c>
      <c r="JI1504" s="42" t="str">
        <f ca="1"/>
        <v/>
      </c>
      <c r="JJ1504" s="42" t="str">
        <f ca="1"/>
        <v/>
      </c>
      <c r="JK1504" s="42" t="str">
        <f ca="1"/>
        <v/>
      </c>
      <c r="JL1504" s="42" t="str">
        <f ca="1"/>
        <v/>
      </c>
      <c r="JM1504" s="42" t="str">
        <f ca="1"/>
        <v/>
      </c>
      <c r="JN1504" s="42" t="str">
        <f ca="1"/>
        <v/>
      </c>
      <c r="JO1504" s="42" t="str">
        <f ca="1"/>
        <v/>
      </c>
      <c r="JP1504" s="42" t="str">
        <f ca="1"/>
        <v/>
      </c>
      <c r="JQ1504" s="42" t="str">
        <f ca="1"/>
        <v/>
      </c>
      <c r="JR1504" s="42" t="str">
        <f ca="1"/>
        <v/>
      </c>
      <c r="JS1504" s="42" t="str">
        <f ca="1"/>
        <v/>
      </c>
      <c r="JT1504" s="42" t="str">
        <f ca="1"/>
        <v/>
      </c>
      <c r="JU1504" s="42" t="str">
        <f ca="1"/>
        <v/>
      </c>
      <c r="JV1504" s="42" t="str">
        <f ca="1"/>
        <v/>
      </c>
      <c r="JW1504" s="42" t="str">
        <f ca="1"/>
        <v/>
      </c>
      <c r="JX1504" s="42" t="str">
        <f ca="1"/>
        <v/>
      </c>
      <c r="JY1504" s="42" t="str">
        <f ca="1"/>
        <v/>
      </c>
      <c r="JZ1504" s="42" t="str">
        <f ca="1"/>
        <v/>
      </c>
      <c r="KA1504" s="42" t="str">
        <f ca="1"/>
        <v/>
      </c>
      <c r="KB1504" s="42" t="str">
        <f ca="1"/>
        <v/>
      </c>
      <c r="KC1504" s="42" t="str">
        <f ca="1"/>
        <v/>
      </c>
      <c r="KD1504" s="42" t="str">
        <f ca="1"/>
        <v/>
      </c>
      <c r="KE1504" s="42" t="str">
        <f ca="1"/>
        <v/>
      </c>
      <c r="KF1504" s="42" t="str">
        <f ca="1"/>
        <v/>
      </c>
      <c r="KG1504" s="42" t="str">
        <f ca="1"/>
        <v/>
      </c>
      <c r="KH1504" s="42" t="str">
        <f ca="1"/>
        <v/>
      </c>
      <c r="KI1504" s="42" t="str">
        <f ca="1"/>
        <v/>
      </c>
      <c r="KJ1504" s="42" t="str">
        <f ca="1"/>
        <v/>
      </c>
      <c r="KK1504" s="42" t="str">
        <f ca="1"/>
        <v/>
      </c>
      <c r="KL1504" s="42" t="str">
        <f ca="1"/>
        <v/>
      </c>
      <c r="KM1504" s="42" t="str">
        <f ca="1"/>
        <v/>
      </c>
      <c r="KN1504" s="42" t="str">
        <f ca="1"/>
        <v/>
      </c>
      <c r="KO1504" s="42" t="str">
        <f ca="1"/>
        <v/>
      </c>
      <c r="KP1504" s="42" t="str">
        <f ca="1"/>
        <v/>
      </c>
      <c r="KQ1504" s="42" t="str">
        <f ca="1"/>
        <v/>
      </c>
      <c r="KR1504" s="42" t="str">
        <f ca="1"/>
        <v/>
      </c>
      <c r="KS1504" s="42" t="str">
        <f ca="1"/>
        <v/>
      </c>
      <c r="KT1504" s="42" t="str">
        <f ca="1"/>
        <v/>
      </c>
      <c r="KU1504" s="42" t="str">
        <f ca="1"/>
        <v/>
      </c>
      <c r="KV1504" s="42" t="str">
        <f ca="1"/>
        <v/>
      </c>
      <c r="KW1504" s="42" t="str">
        <f ca="1"/>
        <v/>
      </c>
      <c r="KX1504" s="42" t="str">
        <f ca="1"/>
        <v/>
      </c>
      <c r="KY1504" s="42" t="str">
        <f ca="1"/>
        <v/>
      </c>
      <c r="KZ1504" s="42" t="str">
        <f ca="1"/>
        <v/>
      </c>
      <c r="LA1504" s="42" t="str">
        <f ca="1"/>
        <v/>
      </c>
      <c r="LB1504" s="42" t="str">
        <f ca="1"/>
        <v/>
      </c>
      <c r="LC1504" s="42" t="str">
        <f ca="1"/>
        <v/>
      </c>
      <c r="LD1504" s="42" t="str">
        <f ca="1"/>
        <v/>
      </c>
      <c r="LE1504" s="42" t="str">
        <f ca="1"/>
        <v/>
      </c>
      <c r="LF1504" s="42" t="str">
        <f ca="1"/>
        <v/>
      </c>
      <c r="LG1504" s="42" t="str">
        <f ca="1"/>
        <v/>
      </c>
      <c r="LH1504" s="42" t="str">
        <f ca="1"/>
        <v/>
      </c>
      <c r="LI1504" s="42" t="str">
        <f ca="1"/>
        <v/>
      </c>
      <c r="LJ1504" s="42" t="str">
        <f ca="1"/>
        <v/>
      </c>
      <c r="LK1504" s="42" t="str">
        <f ca="1"/>
        <v/>
      </c>
      <c r="LL1504" s="42" t="str">
        <f ca="1"/>
        <v/>
      </c>
      <c r="LM1504" s="42" t="str">
        <f ca="1"/>
        <v/>
      </c>
      <c r="LN1504" s="42" t="str">
        <f ca="1"/>
        <v/>
      </c>
      <c r="LO1504" s="42" t="str">
        <f ca="1"/>
        <v/>
      </c>
      <c r="LP1504" s="42" t="str">
        <f ca="1"/>
        <v/>
      </c>
      <c r="LQ1504" s="42" t="str">
        <f ca="1"/>
        <v/>
      </c>
      <c r="LR1504" s="42" t="str">
        <f ca="1"/>
        <v/>
      </c>
      <c r="LS1504" s="42" t="str">
        <f ca="1"/>
        <v/>
      </c>
      <c r="LT1504" s="42" t="str">
        <f ca="1"/>
        <v/>
      </c>
      <c r="LU1504" s="42" t="str">
        <f ca="1"/>
        <v/>
      </c>
      <c r="LV1504" s="42" t="str">
        <f ca="1"/>
        <v/>
      </c>
      <c r="LW1504" s="42" t="str">
        <f ca="1"/>
        <v/>
      </c>
      <c r="LX1504" s="42" t="str">
        <f ca="1"/>
        <v/>
      </c>
      <c r="LY1504" s="42" t="str">
        <f ca="1"/>
        <v/>
      </c>
      <c r="LZ1504" s="42" t="str">
        <f ca="1"/>
        <v/>
      </c>
      <c r="MA1504" s="42" t="str">
        <f ca="1"/>
        <v/>
      </c>
      <c r="MB1504" s="42" t="str">
        <f ca="1"/>
        <v/>
      </c>
      <c r="MC1504" s="42" t="str">
        <f ca="1"/>
        <v/>
      </c>
      <c r="MD1504" s="42" t="str">
        <f ca="1"/>
        <v/>
      </c>
      <c r="ME1504" s="42" t="str">
        <f ca="1"/>
        <v/>
      </c>
      <c r="MF1504" s="42" t="str">
        <f ca="1"/>
        <v/>
      </c>
      <c r="MG1504" s="42" t="str">
        <f ca="1"/>
        <v/>
      </c>
      <c r="MH1504" s="42" t="str">
        <f ca="1"/>
        <v/>
      </c>
      <c r="MI1504" s="42" t="str">
        <f ca="1"/>
        <v/>
      </c>
      <c r="MJ1504" s="42" t="str">
        <f ca="1"/>
        <v/>
      </c>
      <c r="MK1504" s="42" t="str">
        <f ca="1"/>
        <v/>
      </c>
      <c r="ML1504" s="42" t="str">
        <f ca="1"/>
        <v/>
      </c>
      <c r="MM1504" s="42" t="str">
        <f ca="1"/>
        <v/>
      </c>
      <c r="MN1504" s="42" t="str">
        <f ca="1"/>
        <v/>
      </c>
      <c r="MO1504" s="42" t="str">
        <f ca="1"/>
        <v/>
      </c>
      <c r="MP1504" s="42" t="str">
        <f ca="1"/>
        <v/>
      </c>
      <c r="MQ1504" s="42" t="str">
        <f ca="1"/>
        <v/>
      </c>
      <c r="MR1504" s="42" t="str">
        <f ca="1"/>
        <v/>
      </c>
      <c r="MS1504" s="42" t="str">
        <f ca="1"/>
        <v/>
      </c>
      <c r="MT1504" s="42" t="str">
        <f ca="1"/>
        <v/>
      </c>
      <c r="MU1504" s="42" t="str">
        <f ca="1"/>
        <v/>
      </c>
      <c r="MV1504" s="42" t="str">
        <f ca="1"/>
        <v/>
      </c>
      <c r="MW1504" s="42" t="str">
        <f ca="1"/>
        <v/>
      </c>
      <c r="MX1504" s="42" t="str">
        <f ca="1"/>
        <v/>
      </c>
      <c r="MY1504" s="42" t="str">
        <f ca="1"/>
        <v/>
      </c>
      <c r="MZ1504" s="42" t="str">
        <f ca="1"/>
        <v/>
      </c>
      <c r="NA1504" s="42" t="str">
        <f ca="1"/>
        <v/>
      </c>
      <c r="NB1504" s="42" t="str">
        <f ca="1"/>
        <v/>
      </c>
      <c r="NC1504" s="42" t="str">
        <f ca="1"/>
        <v/>
      </c>
      <c r="ND1504" s="42" t="str">
        <f ca="1"/>
        <v/>
      </c>
      <c r="NE1504" s="42" t="str">
        <f ca="1"/>
        <v/>
      </c>
      <c r="NF1504" s="42" t="str">
        <f ca="1"/>
        <v/>
      </c>
      <c r="NG1504" s="42" t="str">
        <f ca="1"/>
        <v/>
      </c>
      <c r="NH1504" s="42" t="str">
        <f ca="1"/>
        <v/>
      </c>
      <c r="NI1504" s="42" t="str">
        <f ca="1"/>
        <v/>
      </c>
      <c r="NJ1504" s="42" t="str">
        <f ca="1"/>
        <v/>
      </c>
      <c r="NK1504" s="42" t="str">
        <f ca="1"/>
        <v/>
      </c>
      <c r="NL1504" s="42" t="str">
        <f ca="1"/>
        <v/>
      </c>
      <c r="NM1504" s="42" t="str">
        <f ca="1"/>
        <v/>
      </c>
      <c r="NN1504" s="42" t="str">
        <f ca="1"/>
        <v/>
      </c>
      <c r="NO1504" s="42" t="str">
        <f ca="1"/>
        <v/>
      </c>
      <c r="NP1504" s="42" t="str">
        <f ca="1"/>
        <v/>
      </c>
      <c r="NQ1504" s="42" t="str">
        <f ca="1"/>
        <v/>
      </c>
      <c r="NR1504" s="42" t="str">
        <f ca="1"/>
        <v/>
      </c>
      <c r="NS1504" s="42" t="str">
        <f ca="1"/>
        <v/>
      </c>
      <c r="NT1504" s="42" t="str">
        <f ca="1"/>
        <v/>
      </c>
      <c r="NU1504" s="42" t="str">
        <f ca="1"/>
        <v/>
      </c>
      <c r="NV1504" s="42" t="str">
        <f ca="1"/>
        <v/>
      </c>
      <c r="NW1504" s="42" t="str">
        <f ca="1"/>
        <v/>
      </c>
      <c r="NX1504" s="42" t="str">
        <f ca="1"/>
        <v/>
      </c>
      <c r="NY1504" s="42" t="str">
        <f ca="1"/>
        <v/>
      </c>
      <c r="NZ1504" s="42" t="str">
        <f ca="1"/>
        <v/>
      </c>
      <c r="OA1504" s="42" t="str">
        <f ca="1"/>
        <v/>
      </c>
      <c r="OB1504" s="42" t="str">
        <f ca="1"/>
        <v/>
      </c>
      <c r="OC1504" s="42" t="str">
        <f ca="1"/>
        <v/>
      </c>
      <c r="OD1504" s="42" t="str">
        <f ca="1"/>
        <v/>
      </c>
      <c r="OE1504" s="42" t="str">
        <f ca="1"/>
        <v/>
      </c>
      <c r="OF1504" s="42" t="str">
        <f ca="1"/>
        <v/>
      </c>
      <c r="OG1504" s="42" t="str">
        <f ca="1"/>
        <v/>
      </c>
      <c r="OH1504" s="42" t="str">
        <f ca="1"/>
        <v/>
      </c>
      <c r="OI1504" s="42" t="str">
        <f ca="1"/>
        <v/>
      </c>
      <c r="OJ1504" s="42" t="str">
        <f ca="1"/>
        <v/>
      </c>
      <c r="OK1504" s="42" t="str">
        <f ca="1"/>
        <v/>
      </c>
      <c r="OL1504" s="42" t="str">
        <f ca="1"/>
        <v/>
      </c>
      <c r="OM1504" s="42" t="str">
        <f ca="1"/>
        <v/>
      </c>
      <c r="ON1504" s="42" t="str">
        <f ca="1"/>
        <v/>
      </c>
      <c r="OO1504" s="42" t="str">
        <f ca="1"/>
        <v/>
      </c>
      <c r="OP1504" s="42" t="str">
        <f ca="1"/>
        <v/>
      </c>
      <c r="OQ1504" s="42" t="str">
        <f ca="1"/>
        <v/>
      </c>
      <c r="OR1504" s="42" t="str">
        <f ca="1"/>
        <v/>
      </c>
      <c r="OS1504" s="42" t="str">
        <f ca="1"/>
        <v/>
      </c>
      <c r="OT1504" s="42" t="str">
        <f ca="1"/>
        <v/>
      </c>
      <c r="OU1504" s="42" t="str">
        <f ca="1"/>
        <v/>
      </c>
      <c r="OV1504" s="42" t="str">
        <f ca="1"/>
        <v/>
      </c>
      <c r="OW1504" s="42" t="str">
        <f ca="1"/>
        <v/>
      </c>
      <c r="OX1504" s="42" t="str">
        <f ca="1"/>
        <v/>
      </c>
      <c r="OY1504" s="42" t="str">
        <f ca="1"/>
        <v/>
      </c>
      <c r="OZ1504" s="42" t="str">
        <f ca="1"/>
        <v/>
      </c>
      <c r="PA1504" s="42" t="str">
        <f ca="1"/>
        <v/>
      </c>
      <c r="PB1504" s="42" t="str">
        <f ca="1"/>
        <v/>
      </c>
      <c r="PC1504" s="42" t="str">
        <f ca="1"/>
        <v/>
      </c>
      <c r="PD1504" s="42" t="str">
        <f ca="1"/>
        <v/>
      </c>
      <c r="PE1504" s="42" t="str">
        <f ca="1"/>
        <v/>
      </c>
      <c r="PF1504" s="42" t="str">
        <f ca="1"/>
        <v/>
      </c>
      <c r="PG1504" s="42" t="str">
        <f ca="1"/>
        <v/>
      </c>
      <c r="PH1504" s="42" t="str">
        <f ca="1"/>
        <v/>
      </c>
      <c r="PI1504" s="42" t="str">
        <f ca="1"/>
        <v/>
      </c>
      <c r="PJ1504" s="42" t="str">
        <f ca="1"/>
        <v/>
      </c>
      <c r="PK1504" s="42" t="str">
        <f ca="1"/>
        <v/>
      </c>
      <c r="PL1504" s="42" t="str">
        <f ca="1"/>
        <v/>
      </c>
      <c r="PM1504" s="42" t="str">
        <f ca="1"/>
        <v/>
      </c>
      <c r="PN1504" s="42" t="str">
        <f ca="1"/>
        <v/>
      </c>
      <c r="PO1504" s="42" t="str">
        <f ca="1"/>
        <v/>
      </c>
      <c r="PP1504" s="42" t="str">
        <f ca="1"/>
        <v/>
      </c>
      <c r="PQ1504" s="42" t="str">
        <f ca="1"/>
        <v/>
      </c>
      <c r="PR1504" s="42" t="str">
        <f ca="1"/>
        <v/>
      </c>
      <c r="PS1504" s="42" t="str">
        <f ca="1"/>
        <v/>
      </c>
      <c r="PT1504" s="42" t="str">
        <f ca="1"/>
        <v/>
      </c>
      <c r="PU1504" s="42" t="str">
        <f ca="1"/>
        <v/>
      </c>
      <c r="PV1504" s="42" t="str">
        <f ca="1"/>
        <v/>
      </c>
      <c r="PW1504" s="42" t="str">
        <f ca="1"/>
        <v/>
      </c>
      <c r="PX1504" s="42" t="str">
        <f ca="1"/>
        <v/>
      </c>
      <c r="PY1504" s="42" t="str">
        <f ca="1"/>
        <v/>
      </c>
      <c r="PZ1504" s="42" t="str">
        <f ca="1"/>
        <v/>
      </c>
      <c r="QA1504" s="42" t="str">
        <f ca="1"/>
        <v/>
      </c>
      <c r="QB1504" s="42" t="str">
        <f ca="1"/>
        <v/>
      </c>
      <c r="QC1504" s="42" t="str">
        <f ca="1"/>
        <v/>
      </c>
      <c r="QD1504" s="42" t="str">
        <f ca="1"/>
        <v/>
      </c>
      <c r="QE1504" s="42" t="str">
        <f ca="1"/>
        <v/>
      </c>
      <c r="QF1504" s="42" t="str">
        <f ca="1"/>
        <v/>
      </c>
      <c r="QG1504" s="42" t="str">
        <f ca="1"/>
        <v/>
      </c>
      <c r="QH1504" s="42" t="str">
        <f ca="1"/>
        <v/>
      </c>
      <c r="QI1504" s="42" t="str">
        <f ca="1"/>
        <v/>
      </c>
      <c r="QJ1504" s="42" t="str">
        <f ca="1"/>
        <v/>
      </c>
      <c r="QK1504" s="42" t="str">
        <f ca="1"/>
        <v/>
      </c>
      <c r="QL1504" s="42" t="str">
        <f ca="1"/>
        <v/>
      </c>
      <c r="QM1504" s="42" t="str">
        <f ca="1"/>
        <v/>
      </c>
      <c r="QN1504" s="42" t="str">
        <f ca="1"/>
        <v/>
      </c>
      <c r="QO1504" s="42" t="str">
        <f ca="1"/>
        <v/>
      </c>
      <c r="QP1504" s="42" t="str">
        <f ca="1"/>
        <v/>
      </c>
      <c r="QQ1504" s="42" t="str">
        <f ca="1"/>
        <v/>
      </c>
      <c r="QR1504" s="42" t="str">
        <f ca="1"/>
        <v/>
      </c>
      <c r="QS1504" s="42" t="str">
        <f ca="1"/>
        <v/>
      </c>
      <c r="QT1504" s="42" t="str">
        <f ca="1"/>
        <v/>
      </c>
      <c r="QU1504" s="42" t="str">
        <f ca="1"/>
        <v/>
      </c>
      <c r="QV1504" s="42" t="str">
        <f ca="1"/>
        <v/>
      </c>
      <c r="QW1504" s="42" t="str">
        <f ca="1"/>
        <v/>
      </c>
      <c r="QX1504" s="42" t="str">
        <f ca="1"/>
        <v/>
      </c>
      <c r="QY1504" s="42" t="str">
        <f ca="1"/>
        <v/>
      </c>
      <c r="QZ1504" s="42" t="str">
        <f ca="1"/>
        <v/>
      </c>
      <c r="RA1504" s="42" t="str">
        <f ca="1"/>
        <v/>
      </c>
      <c r="RB1504" s="42" t="str">
        <f ca="1"/>
        <v/>
      </c>
      <c r="RC1504" s="42" t="str">
        <f ca="1"/>
        <v/>
      </c>
      <c r="RD1504" s="42" t="str">
        <f ca="1"/>
        <v/>
      </c>
      <c r="RE1504" s="42" t="str">
        <f ca="1"/>
        <v/>
      </c>
      <c r="RF1504" s="42" t="str">
        <f ca="1"/>
        <v/>
      </c>
      <c r="RG1504" s="42" t="str">
        <f ca="1"/>
        <v/>
      </c>
      <c r="RH1504" s="42" t="str">
        <f ca="1"/>
        <v/>
      </c>
      <c r="RI1504" s="42" t="str">
        <f ca="1"/>
        <v/>
      </c>
      <c r="RJ1504" s="42" t="str">
        <f ca="1"/>
        <v/>
      </c>
      <c r="RK1504" s="42" t="str">
        <f ca="1"/>
        <v/>
      </c>
      <c r="RL1504" s="42" t="str">
        <f ca="1"/>
        <v/>
      </c>
      <c r="RM1504" s="42" t="str">
        <f ca="1"/>
        <v/>
      </c>
      <c r="RN1504" s="42" t="str">
        <f ca="1"/>
        <v/>
      </c>
      <c r="RO1504" s="42" t="str">
        <f ca="1"/>
        <v/>
      </c>
      <c r="RP1504" s="42" t="str">
        <f ca="1"/>
        <v/>
      </c>
      <c r="RQ1504" s="42" t="str">
        <f ca="1"/>
        <v/>
      </c>
      <c r="RR1504" s="42" t="str">
        <f ca="1"/>
        <v/>
      </c>
      <c r="RS1504" s="42" t="str">
        <f ca="1"/>
        <v/>
      </c>
      <c r="RT1504" s="42" t="str">
        <f ca="1"/>
        <v/>
      </c>
      <c r="RU1504" s="42" t="str">
        <f ca="1"/>
        <v/>
      </c>
      <c r="RV1504" s="42" t="str">
        <f ca="1"/>
        <v/>
      </c>
      <c r="RW1504" s="42" t="str">
        <f ca="1"/>
        <v/>
      </c>
      <c r="RX1504" s="42" t="str">
        <f ca="1"/>
        <v/>
      </c>
      <c r="RY1504" s="42" t="str">
        <f ca="1"/>
        <v/>
      </c>
      <c r="RZ1504" s="42" t="str">
        <f ca="1"/>
        <v/>
      </c>
      <c r="SA1504" s="42" t="str">
        <f ca="1"/>
        <v/>
      </c>
      <c r="SB1504" s="42" t="str">
        <f ca="1"/>
        <v/>
      </c>
      <c r="SC1504" s="42" t="str">
        <f ca="1"/>
        <v/>
      </c>
      <c r="SD1504" s="42" t="str">
        <f ca="1"/>
        <v/>
      </c>
      <c r="SE1504" s="42" t="str">
        <f ca="1"/>
        <v/>
      </c>
      <c r="SF1504" s="42" t="str">
        <f ca="1"/>
        <v/>
      </c>
      <c r="SG1504" s="42" t="str">
        <f ca="1"/>
        <v/>
      </c>
      <c r="SH1504" s="42" t="str">
        <f ca="1"/>
        <v/>
      </c>
      <c r="SI1504" s="42" t="str">
        <f ca="1"/>
        <v/>
      </c>
      <c r="SJ1504" s="42" t="str">
        <f ca="1"/>
        <v/>
      </c>
      <c r="SK1504" s="42" t="str">
        <f ca="1"/>
        <v/>
      </c>
      <c r="SL1504" s="42" t="str">
        <f ca="1"/>
        <v/>
      </c>
      <c r="SM1504" s="42" t="str">
        <f ca="1"/>
        <v/>
      </c>
      <c r="SN1504" s="42" t="str">
        <f ca="1"/>
        <v/>
      </c>
      <c r="SO1504" s="42" t="str">
        <f ca="1"/>
        <v/>
      </c>
      <c r="SP1504" s="42" t="str">
        <f ca="1"/>
        <v/>
      </c>
      <c r="SQ1504" s="42" t="str">
        <f ca="1"/>
        <v/>
      </c>
      <c r="SR1504" s="42" t="str">
        <f ca="1"/>
        <v/>
      </c>
      <c r="SS1504" s="42" t="str">
        <f ca="1"/>
        <v/>
      </c>
      <c r="ST1504" s="42" t="str">
        <f ca="1"/>
        <v/>
      </c>
      <c r="SU1504" s="42" t="str">
        <f ca="1"/>
        <v/>
      </c>
      <c r="SV1504" s="42" t="str">
        <f ca="1"/>
        <v/>
      </c>
      <c r="SW1504" s="42" t="str">
        <f ca="1"/>
        <v/>
      </c>
      <c r="SX1504" s="42" t="str">
        <f ca="1"/>
        <v/>
      </c>
      <c r="SY1504" s="42" t="str">
        <f ca="1"/>
        <v/>
      </c>
      <c r="SZ1504" s="42" t="str">
        <f ca="1"/>
        <v/>
      </c>
      <c r="TA1504" s="42" t="str">
        <f ca="1"/>
        <v/>
      </c>
      <c r="TB1504" s="42" t="str">
        <f ca="1"/>
        <v/>
      </c>
      <c r="TC1504" s="42" t="str">
        <f ca="1"/>
        <v/>
      </c>
      <c r="TD1504" s="42" t="str">
        <f ca="1"/>
        <v/>
      </c>
      <c r="TE1504" s="42" t="str">
        <f ca="1"/>
        <v/>
      </c>
      <c r="TF1504" s="42" t="str">
        <f ca="1"/>
        <v/>
      </c>
      <c r="TG1504" s="42" t="str">
        <f ca="1"/>
        <v/>
      </c>
      <c r="TH1504" s="42" t="str">
        <f ca="1"/>
        <v/>
      </c>
      <c r="TI1504" s="42" t="str">
        <f ca="1"/>
        <v/>
      </c>
      <c r="TJ1504" s="42" t="str">
        <f ca="1"/>
        <v/>
      </c>
      <c r="TK1504" s="42" t="str">
        <f ca="1"/>
        <v/>
      </c>
      <c r="TL1504" s="42" t="str">
        <f ca="1"/>
        <v/>
      </c>
      <c r="TM1504" s="42" t="str">
        <f ca="1"/>
        <v/>
      </c>
      <c r="TN1504" s="42" t="str">
        <f ca="1"/>
        <v/>
      </c>
      <c r="TO1504" s="42" t="str">
        <f ca="1"/>
        <v/>
      </c>
      <c r="TP1504" s="42" t="str">
        <f ca="1"/>
        <v/>
      </c>
      <c r="TQ1504" s="42" t="str">
        <f ca="1"/>
        <v/>
      </c>
      <c r="TR1504" s="42" t="str">
        <f ca="1"/>
        <v/>
      </c>
      <c r="TS1504" s="42" t="str">
        <f ca="1"/>
        <v/>
      </c>
      <c r="TT1504" s="42" t="str">
        <f ca="1"/>
        <v/>
      </c>
      <c r="TU1504" s="42" t="str">
        <f ca="1"/>
        <v/>
      </c>
      <c r="TV1504" s="42" t="str">
        <f ca="1"/>
        <v/>
      </c>
      <c r="TW1504" s="42" t="str">
        <f ca="1"/>
        <v/>
      </c>
      <c r="TX1504" s="42" t="str">
        <f ca="1"/>
        <v/>
      </c>
      <c r="TY1504" s="42" t="str">
        <f ca="1"/>
        <v/>
      </c>
      <c r="TZ1504" s="42" t="str">
        <f ca="1"/>
        <v/>
      </c>
      <c r="UA1504" s="42" t="str">
        <f ca="1"/>
        <v/>
      </c>
      <c r="UB1504" s="42" t="str">
        <f ca="1"/>
        <v/>
      </c>
      <c r="UC1504" s="42" t="str">
        <f ca="1"/>
        <v/>
      </c>
      <c r="UD1504" s="42" t="str">
        <f ca="1"/>
        <v/>
      </c>
      <c r="UE1504" s="42" t="str">
        <f ca="1"/>
        <v/>
      </c>
      <c r="UF1504" s="42" t="str">
        <f ca="1"/>
        <v/>
      </c>
      <c r="UG1504" s="42" t="str">
        <f ca="1"/>
        <v/>
      </c>
      <c r="UH1504" s="42" t="str">
        <f ca="1"/>
        <v/>
      </c>
      <c r="UI1504" s="42" t="str">
        <f ca="1"/>
        <v/>
      </c>
      <c r="UJ1504" s="42" t="str">
        <f ca="1"/>
        <v/>
      </c>
      <c r="UK1504" s="42" t="str">
        <f ca="1"/>
        <v/>
      </c>
      <c r="UL1504" s="42" t="str">
        <f ca="1"/>
        <v/>
      </c>
      <c r="UM1504" s="42" t="str">
        <f ca="1"/>
        <v/>
      </c>
      <c r="UN1504" s="42" t="str">
        <f ca="1"/>
        <v/>
      </c>
      <c r="UO1504" s="42" t="str">
        <f ca="1"/>
        <v/>
      </c>
      <c r="UP1504" s="42" t="str">
        <f ca="1"/>
        <v/>
      </c>
      <c r="UQ1504" s="42" t="str">
        <f ca="1"/>
        <v/>
      </c>
      <c r="UR1504" s="42" t="str">
        <f ca="1"/>
        <v/>
      </c>
      <c r="US1504" s="42" t="str">
        <f ca="1"/>
        <v/>
      </c>
      <c r="UT1504" s="42" t="str">
        <f ca="1"/>
        <v/>
      </c>
      <c r="UU1504" s="42" t="str">
        <f ca="1"/>
        <v/>
      </c>
      <c r="UV1504" s="42" t="str">
        <f ca="1"/>
        <v/>
      </c>
      <c r="UW1504" s="42" t="str">
        <f ca="1"/>
        <v/>
      </c>
      <c r="UX1504" s="42" t="str">
        <f ca="1"/>
        <v/>
      </c>
      <c r="UY1504" s="42" t="str">
        <f ca="1"/>
        <v/>
      </c>
      <c r="UZ1504" s="42" t="str">
        <f ca="1"/>
        <v/>
      </c>
      <c r="VA1504" s="42" t="str">
        <f ca="1"/>
        <v/>
      </c>
      <c r="VB1504" s="42" t="str">
        <f ca="1"/>
        <v/>
      </c>
      <c r="VC1504" s="42" t="str">
        <f ca="1"/>
        <v/>
      </c>
      <c r="VD1504" s="42" t="str">
        <f ca="1"/>
        <v/>
      </c>
      <c r="VE1504" s="42" t="str">
        <f ca="1"/>
        <v/>
      </c>
      <c r="VF1504" s="42" t="str">
        <f ca="1"/>
        <v/>
      </c>
      <c r="VG1504" s="42" t="str">
        <f ca="1"/>
        <v/>
      </c>
      <c r="VH1504" s="42" t="str">
        <f ca="1"/>
        <v/>
      </c>
      <c r="VI1504" s="42" t="str">
        <f ca="1"/>
        <v/>
      </c>
      <c r="VJ1504" s="42" t="str">
        <f ca="1"/>
        <v/>
      </c>
      <c r="VK1504" s="42" t="str">
        <f ca="1"/>
        <v/>
      </c>
      <c r="VL1504" s="42" t="str">
        <f ca="1"/>
        <v/>
      </c>
      <c r="VM1504" s="42" t="str">
        <f ca="1"/>
        <v/>
      </c>
      <c r="VN1504" s="42" t="str">
        <f ca="1"/>
        <v/>
      </c>
      <c r="VO1504" s="42" t="str">
        <f ca="1"/>
        <v/>
      </c>
      <c r="VP1504" s="42" t="str">
        <f ca="1"/>
        <v/>
      </c>
      <c r="VQ1504" s="42" t="str">
        <f ca="1"/>
        <v/>
      </c>
      <c r="VR1504" s="42" t="str">
        <f ca="1"/>
        <v/>
      </c>
      <c r="VS1504" s="42" t="str">
        <f ca="1"/>
        <v/>
      </c>
      <c r="VT1504" s="42" t="str">
        <f ca="1"/>
        <v/>
      </c>
      <c r="VU1504" s="42" t="str">
        <f ca="1"/>
        <v/>
      </c>
      <c r="VV1504" s="42" t="str">
        <f ca="1"/>
        <v/>
      </c>
      <c r="VW1504" s="42" t="str">
        <f ca="1"/>
        <v/>
      </c>
      <c r="VX1504" s="42" t="str">
        <f ca="1"/>
        <v/>
      </c>
      <c r="VY1504" s="42" t="str">
        <f ca="1"/>
        <v/>
      </c>
      <c r="VZ1504" s="42" t="str">
        <f ca="1"/>
        <v/>
      </c>
      <c r="WA1504" s="42" t="str">
        <f ca="1"/>
        <v/>
      </c>
      <c r="WB1504" s="42" t="str">
        <f ca="1"/>
        <v/>
      </c>
      <c r="WC1504" s="42" t="str">
        <f ca="1"/>
        <v/>
      </c>
      <c r="WD1504" s="42" t="str">
        <f ca="1"/>
        <v/>
      </c>
      <c r="WE1504" s="42" t="str">
        <f ca="1"/>
        <v/>
      </c>
      <c r="WF1504" s="42" t="str">
        <f ca="1"/>
        <v/>
      </c>
      <c r="WG1504" s="42" t="str">
        <f ca="1"/>
        <v/>
      </c>
      <c r="WH1504" s="42" t="str">
        <f ca="1"/>
        <v/>
      </c>
      <c r="WI1504" s="42" t="str">
        <f ca="1"/>
        <v/>
      </c>
      <c r="WJ1504" s="42" t="str">
        <f ca="1"/>
        <v/>
      </c>
      <c r="WK1504" s="42" t="str">
        <f ca="1"/>
        <v/>
      </c>
      <c r="WL1504" s="42" t="str">
        <f ca="1"/>
        <v/>
      </c>
      <c r="WM1504" s="42" t="str">
        <f ca="1"/>
        <v/>
      </c>
      <c r="WN1504" s="42" t="str">
        <f ca="1"/>
        <v/>
      </c>
      <c r="WO1504" s="42" t="str">
        <f ca="1"/>
        <v/>
      </c>
      <c r="WP1504" s="42" t="str">
        <f ca="1"/>
        <v/>
      </c>
      <c r="WQ1504" s="42" t="str">
        <f ca="1"/>
        <v/>
      </c>
      <c r="WR1504" s="42" t="str">
        <f ca="1"/>
        <v/>
      </c>
      <c r="WS1504" s="42" t="str">
        <f ca="1"/>
        <v/>
      </c>
      <c r="WT1504" s="42" t="str">
        <f ca="1"/>
        <v/>
      </c>
      <c r="WU1504" s="42" t="str">
        <f ca="1"/>
        <v/>
      </c>
      <c r="WV1504" s="42" t="str">
        <f ca="1"/>
        <v/>
      </c>
      <c r="WW1504" s="42" t="str">
        <f ca="1"/>
        <v/>
      </c>
      <c r="WX1504" s="42" t="str">
        <f ca="1"/>
        <v/>
      </c>
      <c r="WY1504" s="42" t="str">
        <f ca="1"/>
        <v/>
      </c>
      <c r="WZ1504" s="42" t="str">
        <f ca="1"/>
        <v/>
      </c>
      <c r="XA1504" s="42" t="str">
        <f ca="1"/>
        <v/>
      </c>
      <c r="XB1504" s="42" t="str">
        <f ca="1"/>
        <v/>
      </c>
      <c r="XC1504" s="42" t="str">
        <f ca="1"/>
        <v/>
      </c>
      <c r="XD1504" s="42" t="str">
        <f ca="1"/>
        <v/>
      </c>
      <c r="XE1504" s="42" t="str">
        <f ca="1"/>
        <v/>
      </c>
      <c r="XF1504" s="42" t="str">
        <f ca="1"/>
        <v/>
      </c>
      <c r="XG1504" s="42" t="str">
        <f ca="1"/>
        <v/>
      </c>
      <c r="XH1504" s="42" t="str">
        <f ca="1"/>
        <v/>
      </c>
      <c r="XI1504" s="42" t="str">
        <f ca="1"/>
        <v/>
      </c>
      <c r="XJ1504" s="42" t="str">
        <f ca="1"/>
        <v/>
      </c>
      <c r="XK1504" s="42" t="str">
        <f ca="1"/>
        <v/>
      </c>
      <c r="XL1504" s="42" t="str">
        <f ca="1"/>
        <v/>
      </c>
      <c r="XM1504" s="42" t="str">
        <f ca="1"/>
        <v/>
      </c>
      <c r="XN1504" s="42" t="str">
        <f ca="1"/>
        <v/>
      </c>
      <c r="XO1504" s="42" t="str">
        <f ca="1"/>
        <v/>
      </c>
      <c r="XP1504" s="42" t="str">
        <f ca="1"/>
        <v/>
      </c>
      <c r="XQ1504" s="42" t="str">
        <f ca="1"/>
        <v/>
      </c>
      <c r="XR1504" s="42" t="str">
        <f ca="1"/>
        <v/>
      </c>
      <c r="XS1504" s="42" t="str">
        <f ca="1"/>
        <v/>
      </c>
      <c r="XT1504" s="42" t="str">
        <f ca="1"/>
        <v/>
      </c>
      <c r="XU1504" s="42" t="str">
        <f ca="1"/>
        <v/>
      </c>
      <c r="XV1504" s="42" t="str">
        <f ca="1"/>
        <v/>
      </c>
      <c r="XW1504" s="42" t="str">
        <f ca="1"/>
        <v/>
      </c>
      <c r="XX1504" s="42" t="str">
        <f ca="1"/>
        <v/>
      </c>
      <c r="XY1504" s="42" t="str">
        <f ca="1"/>
        <v/>
      </c>
      <c r="XZ1504" s="42" t="str">
        <f ca="1"/>
        <v/>
      </c>
      <c r="YA1504" s="42" t="str">
        <f ca="1"/>
        <v/>
      </c>
      <c r="YB1504" s="42" t="str">
        <f ca="1"/>
        <v/>
      </c>
      <c r="YC1504" s="42" t="str">
        <f ca="1"/>
        <v/>
      </c>
      <c r="YD1504" s="42" t="str">
        <f ca="1"/>
        <v/>
      </c>
      <c r="YE1504" s="42" t="str">
        <f ca="1"/>
        <v/>
      </c>
      <c r="YF1504" s="42" t="str">
        <f ca="1"/>
        <v/>
      </c>
      <c r="YG1504" s="42" t="str">
        <f ca="1"/>
        <v/>
      </c>
      <c r="YH1504" s="42" t="str">
        <f ca="1"/>
        <v/>
      </c>
      <c r="YI1504" s="42" t="str">
        <f ca="1"/>
        <v/>
      </c>
      <c r="YJ1504" s="42" t="str">
        <f ca="1"/>
        <v/>
      </c>
      <c r="YK1504" s="42" t="str">
        <f ca="1"/>
        <v/>
      </c>
      <c r="YL1504" s="42" t="str">
        <f ca="1"/>
        <v/>
      </c>
      <c r="YM1504" s="42" t="str">
        <f ca="1"/>
        <v/>
      </c>
      <c r="YN1504" s="42" t="str">
        <f ca="1"/>
        <v/>
      </c>
      <c r="YO1504" s="42" t="str">
        <f ca="1"/>
        <v/>
      </c>
      <c r="YP1504" s="42" t="str">
        <f ca="1"/>
        <v/>
      </c>
      <c r="YQ1504" s="42" t="str">
        <f ca="1"/>
        <v/>
      </c>
      <c r="YR1504" s="42" t="str">
        <f ca="1"/>
        <v/>
      </c>
      <c r="YS1504" s="42" t="str">
        <f ca="1"/>
        <v/>
      </c>
      <c r="YT1504" s="42" t="str">
        <f ca="1"/>
        <v/>
      </c>
      <c r="YU1504" s="42" t="str">
        <f ca="1"/>
        <v/>
      </c>
      <c r="YV1504" s="42" t="str">
        <f ca="1"/>
        <v/>
      </c>
      <c r="YW1504" s="42" t="str">
        <f ca="1"/>
        <v/>
      </c>
      <c r="YX1504" s="42" t="str">
        <f ca="1"/>
        <v/>
      </c>
      <c r="YY1504" s="42" t="str">
        <f ca="1"/>
        <v/>
      </c>
      <c r="YZ1504" s="42" t="str">
        <f ca="1"/>
        <v/>
      </c>
      <c r="ZA1504" s="42" t="str">
        <f ca="1"/>
        <v/>
      </c>
      <c r="ZB1504" s="42" t="str">
        <f ca="1"/>
        <v/>
      </c>
      <c r="ZC1504" s="42" t="str">
        <f ca="1"/>
        <v/>
      </c>
      <c r="ZD1504" s="42" t="str">
        <f ca="1"/>
        <v/>
      </c>
      <c r="ZE1504" s="42" t="str">
        <f ca="1"/>
        <v/>
      </c>
      <c r="ZF1504" s="42" t="str">
        <f ca="1"/>
        <v/>
      </c>
      <c r="ZG1504" s="42" t="str">
        <f ca="1"/>
        <v/>
      </c>
      <c r="ZH1504" s="42" t="str">
        <f ca="1"/>
        <v/>
      </c>
      <c r="ZI1504" s="42" t="str">
        <f ca="1"/>
        <v/>
      </c>
      <c r="ZJ1504" s="42" t="str">
        <f ca="1"/>
        <v/>
      </c>
      <c r="ZK1504" s="42" t="str">
        <f ca="1"/>
        <v/>
      </c>
      <c r="ZL1504" s="42" t="str">
        <f ca="1"/>
        <v/>
      </c>
      <c r="ZM1504" s="42" t="str">
        <f ca="1"/>
        <v/>
      </c>
      <c r="ZN1504" s="42" t="str">
        <f ca="1"/>
        <v/>
      </c>
      <c r="ZO1504" s="42" t="str">
        <f ca="1"/>
        <v/>
      </c>
      <c r="ZP1504" s="42" t="str">
        <f ca="1"/>
        <v/>
      </c>
      <c r="ZQ1504" s="42" t="str">
        <f ca="1"/>
        <v/>
      </c>
      <c r="ZR1504" s="42" t="str">
        <f ca="1"/>
        <v/>
      </c>
      <c r="ZS1504" s="42" t="str">
        <f ca="1"/>
        <v/>
      </c>
      <c r="ZT1504" s="42" t="str">
        <f ca="1"/>
        <v/>
      </c>
      <c r="ZU1504" s="42" t="str">
        <f ca="1"/>
        <v/>
      </c>
      <c r="ZV1504" s="42" t="str">
        <f ca="1"/>
        <v/>
      </c>
      <c r="ZW1504" s="42" t="str">
        <f ca="1"/>
        <v/>
      </c>
      <c r="ZX1504" s="42" t="str">
        <f ca="1"/>
        <v/>
      </c>
      <c r="ZY1504" s="42" t="str">
        <f ca="1"/>
        <v/>
      </c>
      <c r="ZZ1504" s="42" t="str">
        <f ca="1"/>
        <v/>
      </c>
      <c r="AAA1504" s="42" t="str">
        <f ca="1"/>
        <v/>
      </c>
      <c r="AAB1504" s="42" t="str">
        <f ca="1"/>
        <v/>
      </c>
      <c r="AAC1504" s="42" t="str">
        <f ca="1"/>
        <v/>
      </c>
      <c r="AAD1504" s="42" t="str">
        <f ca="1"/>
        <v/>
      </c>
      <c r="AAE1504" s="42" t="str">
        <f ca="1"/>
        <v/>
      </c>
      <c r="AAF1504" s="42" t="str">
        <f ca="1"/>
        <v/>
      </c>
      <c r="AAG1504" s="42" t="str">
        <f ca="1"/>
        <v/>
      </c>
      <c r="AAH1504" s="42" t="str">
        <f ca="1"/>
        <v/>
      </c>
      <c r="AAI1504" s="42" t="str">
        <f ca="1"/>
        <v/>
      </c>
      <c r="AAJ1504" s="42" t="str">
        <f ca="1"/>
        <v/>
      </c>
      <c r="AAK1504" s="42" t="str">
        <f ca="1"/>
        <v/>
      </c>
      <c r="AAL1504" s="42" t="str">
        <f ca="1"/>
        <v/>
      </c>
      <c r="AAM1504" s="42" t="str">
        <f ca="1"/>
        <v/>
      </c>
      <c r="AAN1504" s="42" t="str">
        <f ca="1"/>
        <v/>
      </c>
      <c r="AAO1504" s="42" t="str">
        <f ca="1"/>
        <v/>
      </c>
      <c r="AAP1504" s="42" t="str">
        <f ca="1"/>
        <v/>
      </c>
      <c r="AAQ1504" s="42" t="str">
        <f ca="1"/>
        <v/>
      </c>
      <c r="AAR1504" s="42" t="str">
        <f ca="1"/>
        <v/>
      </c>
      <c r="AAS1504" s="42" t="str">
        <f ca="1"/>
        <v/>
      </c>
      <c r="AAT1504" s="42" t="str">
        <f ca="1"/>
        <v/>
      </c>
      <c r="AAU1504" s="42" t="str">
        <f ca="1"/>
        <v/>
      </c>
      <c r="AAV1504" s="42" t="str">
        <f ca="1"/>
        <v/>
      </c>
      <c r="AAW1504" s="42" t="str">
        <f ca="1"/>
        <v/>
      </c>
      <c r="AAX1504" s="42" t="str">
        <f ca="1"/>
        <v/>
      </c>
      <c r="AAY1504" s="42" t="str">
        <f ca="1"/>
        <v/>
      </c>
      <c r="AAZ1504" s="42" t="str">
        <f ca="1"/>
        <v/>
      </c>
      <c r="ABA1504" s="42" t="str">
        <f ca="1"/>
        <v/>
      </c>
      <c r="ABB1504" s="42" t="str">
        <f ca="1"/>
        <v/>
      </c>
      <c r="ABC1504" s="42" t="str">
        <f ca="1"/>
        <v/>
      </c>
      <c r="ABD1504" s="42" t="str">
        <f ca="1"/>
        <v/>
      </c>
      <c r="ABE1504" s="42" t="str">
        <f ca="1"/>
        <v/>
      </c>
      <c r="ABF1504" s="42" t="str">
        <f ca="1"/>
        <v/>
      </c>
      <c r="ABG1504" s="42" t="str">
        <f ca="1"/>
        <v/>
      </c>
      <c r="ABH1504" s="42" t="str">
        <f ca="1"/>
        <v/>
      </c>
      <c r="ABI1504" s="42" t="str">
        <f ca="1"/>
        <v/>
      </c>
      <c r="ABJ1504" s="42" t="str">
        <f ca="1"/>
        <v/>
      </c>
      <c r="ABK1504" s="42" t="str">
        <f ca="1"/>
        <v/>
      </c>
      <c r="ABL1504" s="42" t="str">
        <f ca="1"/>
        <v/>
      </c>
      <c r="ABM1504" s="42" t="str">
        <f ca="1"/>
        <v/>
      </c>
      <c r="ABN1504" s="42" t="str">
        <f ca="1"/>
        <v/>
      </c>
      <c r="ABO1504" s="42" t="str">
        <f ca="1"/>
        <v/>
      </c>
      <c r="ABP1504" s="42" t="str">
        <f ca="1"/>
        <v/>
      </c>
      <c r="ABQ1504" s="42" t="str">
        <f ca="1"/>
        <v/>
      </c>
      <c r="ABR1504" s="42" t="str">
        <f ca="1"/>
        <v/>
      </c>
      <c r="ABS1504" s="42" t="str">
        <f ca="1"/>
        <v/>
      </c>
      <c r="ABT1504" s="42" t="str">
        <f ca="1"/>
        <v/>
      </c>
      <c r="ABU1504" s="42" t="str">
        <f ca="1"/>
        <v/>
      </c>
      <c r="ABV1504" s="42" t="str">
        <f ca="1"/>
        <v/>
      </c>
      <c r="ABW1504" s="42" t="str">
        <f ca="1"/>
        <v/>
      </c>
      <c r="ABX1504" s="42" t="str">
        <f ca="1"/>
        <v/>
      </c>
      <c r="ABY1504" s="42" t="str">
        <f ca="1"/>
        <v/>
      </c>
      <c r="ABZ1504" s="42" t="str">
        <f ca="1"/>
        <v/>
      </c>
      <c r="ACA1504" s="42" t="str">
        <f ca="1"/>
        <v/>
      </c>
      <c r="ACB1504" s="42" t="str">
        <f ca="1"/>
        <v/>
      </c>
      <c r="ACC1504" s="42" t="str">
        <f ca="1"/>
        <v/>
      </c>
      <c r="ACD1504" s="42" t="str">
        <f ca="1"/>
        <v/>
      </c>
      <c r="ACE1504" s="42" t="str">
        <f ca="1"/>
        <v/>
      </c>
      <c r="ACF1504" s="42" t="str">
        <f ca="1"/>
        <v/>
      </c>
      <c r="ACG1504" s="42" t="str">
        <f ca="1"/>
        <v/>
      </c>
      <c r="ACH1504" s="42" t="str">
        <f ca="1"/>
        <v/>
      </c>
      <c r="ACI1504" s="42" t="str">
        <f ca="1"/>
        <v/>
      </c>
      <c r="ACJ1504" s="42" t="str">
        <f ca="1"/>
        <v/>
      </c>
      <c r="ACK1504" s="42" t="str">
        <f ca="1"/>
        <v/>
      </c>
      <c r="ACL1504" s="42" t="str">
        <f ca="1"/>
        <v/>
      </c>
      <c r="ACM1504" s="42" t="str">
        <f ca="1"/>
        <v/>
      </c>
      <c r="ACN1504" s="42" t="str">
        <f ca="1"/>
        <v/>
      </c>
      <c r="ACO1504" s="42" t="str">
        <f ca="1"/>
        <v/>
      </c>
      <c r="ACP1504" s="42" t="str">
        <f ca="1"/>
        <v/>
      </c>
      <c r="ACQ1504" s="42" t="str">
        <f ca="1"/>
        <v/>
      </c>
      <c r="ACR1504" s="42" t="str">
        <f ca="1"/>
        <v/>
      </c>
      <c r="ACS1504" s="42" t="str">
        <f ca="1"/>
        <v/>
      </c>
      <c r="ACT1504" s="42" t="str">
        <f ca="1"/>
        <v/>
      </c>
      <c r="ACU1504" s="42" t="str">
        <f ca="1"/>
        <v/>
      </c>
      <c r="ACV1504" s="42" t="str">
        <f ca="1"/>
        <v/>
      </c>
      <c r="ACW1504" s="42" t="str">
        <f ca="1"/>
        <v/>
      </c>
      <c r="ACX1504" s="42" t="str">
        <f ca="1"/>
        <v/>
      </c>
      <c r="ACY1504" s="42" t="str">
        <f ca="1"/>
        <v/>
      </c>
      <c r="ACZ1504" s="42" t="str">
        <f ca="1"/>
        <v/>
      </c>
      <c r="ADA1504" s="42" t="str">
        <f ca="1"/>
        <v/>
      </c>
      <c r="ADB1504" s="42" t="str">
        <f ca="1"/>
        <v/>
      </c>
      <c r="ADC1504" s="42" t="str">
        <f ca="1"/>
        <v/>
      </c>
      <c r="ADD1504" s="42" t="str">
        <f ca="1"/>
        <v/>
      </c>
      <c r="ADE1504" s="42" t="str">
        <f ca="1"/>
        <v/>
      </c>
      <c r="ADF1504" s="42" t="str">
        <f ca="1"/>
        <v/>
      </c>
      <c r="ADG1504" s="42" t="str">
        <f ca="1"/>
        <v/>
      </c>
      <c r="ADH1504" s="42" t="str">
        <f ca="1"/>
        <v/>
      </c>
      <c r="ADI1504" s="42" t="str">
        <f ca="1"/>
        <v/>
      </c>
      <c r="ADJ1504" s="42" t="str">
        <f ca="1"/>
        <v/>
      </c>
      <c r="ADK1504" s="42" t="str">
        <f ca="1"/>
        <v/>
      </c>
      <c r="ADL1504" s="42" t="str">
        <f ca="1"/>
        <v/>
      </c>
      <c r="ADM1504" s="42" t="str">
        <f ca="1"/>
        <v/>
      </c>
      <c r="ADN1504" s="42" t="str">
        <f ca="1"/>
        <v/>
      </c>
      <c r="ADO1504" s="42" t="str">
        <f ca="1"/>
        <v/>
      </c>
      <c r="ADP1504" s="42" t="str">
        <f ca="1"/>
        <v/>
      </c>
      <c r="ADQ1504" s="42" t="str">
        <f ca="1"/>
        <v/>
      </c>
      <c r="ADR1504" s="42" t="str">
        <f ca="1"/>
        <v/>
      </c>
      <c r="ADS1504" s="42" t="str">
        <f ca="1"/>
        <v/>
      </c>
      <c r="ADT1504" s="42" t="str">
        <f ca="1"/>
        <v/>
      </c>
      <c r="ADU1504" s="42" t="str">
        <f ca="1"/>
        <v/>
      </c>
      <c r="ADV1504" s="42" t="str">
        <f ca="1"/>
        <v/>
      </c>
      <c r="ADW1504" s="42" t="str">
        <f ca="1"/>
        <v/>
      </c>
      <c r="ADX1504" s="42" t="str">
        <f ca="1"/>
        <v/>
      </c>
      <c r="ADY1504" s="42" t="str">
        <f ca="1"/>
        <v/>
      </c>
      <c r="ADZ1504" s="42" t="str">
        <f ca="1"/>
        <v/>
      </c>
      <c r="AEA1504" s="42" t="str">
        <f ca="1"/>
        <v/>
      </c>
      <c r="AEB1504" s="42" t="str">
        <f ca="1"/>
        <v/>
      </c>
      <c r="AEC1504" s="42" t="str">
        <f ca="1"/>
        <v/>
      </c>
      <c r="AED1504" s="42" t="str">
        <f ca="1"/>
        <v/>
      </c>
      <c r="AEE1504" s="42" t="str">
        <f ca="1"/>
        <v/>
      </c>
      <c r="AEF1504" s="42" t="str">
        <f ca="1"/>
        <v/>
      </c>
      <c r="AEG1504" s="42" t="str">
        <f ca="1"/>
        <v/>
      </c>
      <c r="AEH1504" s="42" t="str">
        <f ca="1"/>
        <v/>
      </c>
      <c r="AEI1504" s="42" t="str">
        <f ca="1"/>
        <v/>
      </c>
      <c r="AEJ1504" s="42" t="str">
        <f ca="1"/>
        <v/>
      </c>
      <c r="AEK1504" s="42" t="str">
        <f ca="1"/>
        <v/>
      </c>
      <c r="AEL1504" s="42" t="str">
        <f ca="1"/>
        <v/>
      </c>
      <c r="AEM1504" s="42" t="str">
        <f ca="1"/>
        <v/>
      </c>
      <c r="AEN1504" s="42" t="str">
        <f ca="1"/>
        <v/>
      </c>
      <c r="AEO1504" s="42" t="str">
        <f ca="1"/>
        <v/>
      </c>
      <c r="AEP1504" s="42" t="str">
        <f ca="1"/>
        <v/>
      </c>
      <c r="AEQ1504" s="42" t="str">
        <f ca="1"/>
        <v/>
      </c>
      <c r="AER1504" s="42" t="str">
        <f ca="1"/>
        <v/>
      </c>
      <c r="AES1504" s="42" t="str">
        <f ca="1"/>
        <v/>
      </c>
      <c r="AET1504" s="42" t="str">
        <f ca="1"/>
        <v/>
      </c>
      <c r="AEU1504" s="42" t="str">
        <f ca="1"/>
        <v/>
      </c>
      <c r="AEV1504" s="42" t="str">
        <f ca="1"/>
        <v/>
      </c>
      <c r="AEW1504" s="42" t="str">
        <f ca="1"/>
        <v/>
      </c>
      <c r="AEX1504" s="42" t="str">
        <f ca="1"/>
        <v/>
      </c>
      <c r="AEY1504" s="42" t="str">
        <f ca="1"/>
        <v/>
      </c>
      <c r="AEZ1504" s="42" t="str">
        <f ca="1"/>
        <v/>
      </c>
      <c r="AFA1504" s="42" t="str">
        <f ca="1"/>
        <v/>
      </c>
      <c r="AFB1504" s="42" t="str">
        <f ca="1"/>
        <v/>
      </c>
      <c r="AFC1504" s="42" t="str">
        <f ca="1"/>
        <v/>
      </c>
      <c r="AFD1504" s="42" t="str">
        <f ca="1"/>
        <v/>
      </c>
      <c r="AFE1504" s="42" t="str">
        <f ca="1"/>
        <v/>
      </c>
      <c r="AFF1504" s="42" t="str">
        <f ca="1"/>
        <v/>
      </c>
      <c r="AFG1504" s="42" t="str">
        <f ca="1"/>
        <v/>
      </c>
      <c r="AFH1504" s="42" t="str">
        <f ca="1"/>
        <v/>
      </c>
      <c r="AFI1504" s="42" t="str">
        <f ca="1"/>
        <v/>
      </c>
      <c r="AFJ1504" s="42" t="str">
        <f ca="1"/>
        <v/>
      </c>
      <c r="AFK1504" s="42" t="str">
        <f ca="1"/>
        <v/>
      </c>
      <c r="AFL1504" s="42" t="str">
        <f ca="1"/>
        <v/>
      </c>
      <c r="AFM1504" s="42" t="str">
        <f ca="1"/>
        <v/>
      </c>
      <c r="AFN1504" s="42" t="str">
        <f ca="1"/>
        <v/>
      </c>
      <c r="AFO1504" s="42" t="str">
        <f ca="1"/>
        <v/>
      </c>
      <c r="AFP1504" s="42" t="str">
        <f ca="1"/>
        <v/>
      </c>
      <c r="AFQ1504" s="42" t="str">
        <f ca="1"/>
        <v/>
      </c>
      <c r="AFR1504" s="42" t="str">
        <f ca="1"/>
        <v/>
      </c>
      <c r="AFS1504" s="42" t="str">
        <f ca="1"/>
        <v/>
      </c>
      <c r="AFT1504" s="42" t="str">
        <f ca="1"/>
        <v/>
      </c>
      <c r="AFU1504" s="42" t="str">
        <f ca="1"/>
        <v/>
      </c>
      <c r="AFV1504" s="42" t="str">
        <f ca="1"/>
        <v/>
      </c>
      <c r="AFW1504" s="42" t="str">
        <f ca="1"/>
        <v/>
      </c>
      <c r="AFX1504" s="42" t="str">
        <f ca="1"/>
        <v/>
      </c>
      <c r="AFY1504" s="42" t="str">
        <f ca="1"/>
        <v/>
      </c>
      <c r="AFZ1504" s="42" t="str">
        <f ca="1"/>
        <v/>
      </c>
      <c r="AGA1504" s="42" t="str">
        <f ca="1"/>
        <v/>
      </c>
      <c r="AGB1504" s="42" t="str">
        <f ca="1"/>
        <v/>
      </c>
      <c r="AGC1504" s="42" t="str">
        <f ca="1"/>
        <v/>
      </c>
      <c r="AGD1504" s="42" t="str">
        <f ca="1"/>
        <v/>
      </c>
      <c r="AGE1504" s="42" t="str">
        <f ca="1"/>
        <v/>
      </c>
      <c r="AGF1504" s="42" t="str">
        <f ca="1"/>
        <v/>
      </c>
      <c r="AGG1504" s="42" t="str">
        <f ca="1"/>
        <v/>
      </c>
      <c r="AGH1504" s="42" t="str">
        <f ca="1"/>
        <v/>
      </c>
      <c r="AGI1504" s="42" t="str">
        <f ca="1"/>
        <v/>
      </c>
      <c r="AGJ1504" s="42" t="str">
        <f ca="1"/>
        <v/>
      </c>
      <c r="AGK1504" s="42" t="str">
        <f ca="1"/>
        <v/>
      </c>
      <c r="AGL1504" s="42" t="str">
        <f ca="1"/>
        <v/>
      </c>
      <c r="AGM1504" s="42" t="str">
        <f ca="1"/>
        <v/>
      </c>
      <c r="AGN1504" s="42" t="str">
        <f ca="1"/>
        <v/>
      </c>
    </row>
    <row r="1505" spans="15:872" x14ac:dyDescent="0.25">
      <c r="O1505" s="42">
        <v>15</v>
      </c>
      <c r="P1505" s="42" t="str">
        <f ca="1"/>
        <v/>
      </c>
      <c r="Q1505" s="42" t="str">
        <f ca="1"/>
        <v/>
      </c>
      <c r="R1505" s="42" t="str">
        <f ca="1"/>
        <v/>
      </c>
      <c r="S1505" s="42" t="str">
        <f ca="1"/>
        <v/>
      </c>
      <c r="T1505" s="42" t="str">
        <f ca="1"/>
        <v/>
      </c>
      <c r="U1505" s="42" t="str">
        <f ca="1"/>
        <v/>
      </c>
      <c r="V1505" s="42" t="str">
        <f ca="1"/>
        <v/>
      </c>
      <c r="W1505" s="42" t="str">
        <f ca="1"/>
        <v/>
      </c>
      <c r="X1505" s="42" t="str">
        <f ca="1"/>
        <v/>
      </c>
      <c r="Y1505" s="42" t="str">
        <f ca="1"/>
        <v/>
      </c>
      <c r="Z1505" s="42" t="str">
        <f ca="1"/>
        <v/>
      </c>
      <c r="AA1505" s="42" t="str">
        <f ca="1"/>
        <v/>
      </c>
      <c r="AB1505" s="42" t="str">
        <f ca="1"/>
        <v/>
      </c>
      <c r="AC1505" s="42" t="str">
        <f ca="1"/>
        <v/>
      </c>
      <c r="AD1505" s="42" t="str">
        <f ca="1"/>
        <v/>
      </c>
      <c r="AE1505" s="42" t="str">
        <f ca="1"/>
        <v/>
      </c>
      <c r="AF1505" s="42" t="str">
        <f ca="1"/>
        <v/>
      </c>
      <c r="AG1505" s="42" t="str">
        <f ca="1"/>
        <v/>
      </c>
      <c r="AH1505" s="42" t="str">
        <f ca="1"/>
        <v/>
      </c>
      <c r="AI1505" s="42" t="str">
        <f ca="1"/>
        <v/>
      </c>
      <c r="AJ1505" s="42" t="str">
        <f ca="1"/>
        <v/>
      </c>
      <c r="AK1505" s="42" t="str">
        <f ca="1"/>
        <v/>
      </c>
      <c r="AL1505" s="42" t="str">
        <f ca="1"/>
        <v/>
      </c>
      <c r="AM1505" s="42" t="str">
        <f ca="1"/>
        <v/>
      </c>
      <c r="AN1505" s="42" t="str">
        <f ca="1"/>
        <v/>
      </c>
      <c r="AO1505" s="42" t="str">
        <f ca="1"/>
        <v/>
      </c>
      <c r="AP1505" s="42" t="str">
        <f ca="1"/>
        <v/>
      </c>
      <c r="AQ1505" s="42" t="str">
        <f ca="1"/>
        <v/>
      </c>
      <c r="AR1505" s="42" t="str">
        <f ca="1"/>
        <v/>
      </c>
      <c r="AS1505" s="42" t="str">
        <f ca="1"/>
        <v/>
      </c>
      <c r="AT1505" s="42" t="str">
        <f ca="1"/>
        <v/>
      </c>
      <c r="AU1505" s="42" t="str">
        <f ca="1"/>
        <v/>
      </c>
      <c r="AV1505" s="42" t="str">
        <f ca="1"/>
        <v/>
      </c>
      <c r="AW1505" s="42" t="str">
        <f ca="1"/>
        <v/>
      </c>
      <c r="AX1505" s="42" t="str">
        <f ca="1"/>
        <v/>
      </c>
      <c r="AY1505" s="42" t="str">
        <f ca="1"/>
        <v/>
      </c>
      <c r="AZ1505" s="42" t="str">
        <f ca="1"/>
        <v/>
      </c>
      <c r="BA1505" s="42" t="str">
        <f ca="1"/>
        <v/>
      </c>
      <c r="BB1505" s="42" t="str">
        <f ca="1"/>
        <v/>
      </c>
      <c r="BC1505" s="42" t="str">
        <f ca="1"/>
        <v/>
      </c>
      <c r="BD1505" s="42" t="str">
        <f ca="1"/>
        <v/>
      </c>
      <c r="BE1505" s="42" t="str">
        <f ca="1"/>
        <v/>
      </c>
      <c r="BF1505" s="42" t="str">
        <f ca="1"/>
        <v/>
      </c>
      <c r="BG1505" s="42" t="str">
        <f ca="1"/>
        <v/>
      </c>
      <c r="BH1505" s="42" t="str">
        <f ca="1"/>
        <v/>
      </c>
      <c r="BI1505" s="42" t="str">
        <f ca="1"/>
        <v/>
      </c>
      <c r="BJ1505" s="42" t="str">
        <f ca="1"/>
        <v/>
      </c>
      <c r="BK1505" s="42" t="str">
        <f ca="1"/>
        <v/>
      </c>
      <c r="BL1505" s="42" t="str">
        <f ca="1"/>
        <v/>
      </c>
      <c r="BM1505" s="42" t="str">
        <f ca="1"/>
        <v/>
      </c>
      <c r="BN1505" s="42" t="str">
        <f ca="1"/>
        <v/>
      </c>
      <c r="BO1505" s="42" t="str">
        <f ca="1"/>
        <v/>
      </c>
      <c r="BP1505" s="42" t="str">
        <f ca="1"/>
        <v/>
      </c>
      <c r="BQ1505" s="42" t="str">
        <f ca="1"/>
        <v/>
      </c>
      <c r="BR1505" s="42" t="str">
        <f ca="1"/>
        <v/>
      </c>
      <c r="BS1505" s="42" t="str">
        <f ca="1"/>
        <v/>
      </c>
      <c r="BT1505" s="42" t="str">
        <f ca="1"/>
        <v/>
      </c>
      <c r="BU1505" s="42" t="str">
        <f ca="1"/>
        <v/>
      </c>
      <c r="BV1505" s="42" t="str">
        <f ca="1"/>
        <v/>
      </c>
      <c r="BW1505" s="42" t="str">
        <f ca="1"/>
        <v/>
      </c>
      <c r="BX1505" s="42" t="str">
        <f ca="1"/>
        <v/>
      </c>
      <c r="BY1505" s="42" t="str">
        <f ca="1"/>
        <v/>
      </c>
      <c r="BZ1505" s="42" t="str">
        <f ca="1"/>
        <v/>
      </c>
      <c r="CA1505" s="42" t="str">
        <f ca="1"/>
        <v/>
      </c>
      <c r="CB1505" s="42" t="str">
        <f ca="1"/>
        <v/>
      </c>
      <c r="CC1505" s="42" t="str">
        <f ca="1"/>
        <v/>
      </c>
      <c r="CD1505" s="42" t="str">
        <f ca="1"/>
        <v/>
      </c>
      <c r="CE1505" s="42" t="str">
        <f ca="1"/>
        <v/>
      </c>
      <c r="CF1505" s="42" t="str">
        <f ca="1"/>
        <v/>
      </c>
      <c r="CG1505" s="42" t="str">
        <f ca="1"/>
        <v/>
      </c>
      <c r="CH1505" s="42" t="str">
        <f ca="1"/>
        <v/>
      </c>
      <c r="CI1505" s="42" t="str">
        <f ca="1"/>
        <v/>
      </c>
      <c r="CJ1505" s="42" t="str">
        <f ca="1"/>
        <v/>
      </c>
      <c r="CK1505" s="42" t="str">
        <f ca="1"/>
        <v/>
      </c>
      <c r="CL1505" s="42" t="str">
        <f ca="1"/>
        <v/>
      </c>
      <c r="CM1505" s="42" t="str">
        <f ca="1"/>
        <v/>
      </c>
      <c r="CN1505" s="42" t="str">
        <f ca="1"/>
        <v/>
      </c>
      <c r="CO1505" s="42" t="str">
        <f ca="1"/>
        <v/>
      </c>
      <c r="CP1505" s="42" t="str">
        <f ca="1"/>
        <v/>
      </c>
      <c r="CQ1505" s="42" t="str">
        <f ca="1"/>
        <v/>
      </c>
      <c r="CR1505" s="42" t="str">
        <f ca="1"/>
        <v/>
      </c>
      <c r="CS1505" s="42" t="str">
        <f ca="1"/>
        <v/>
      </c>
      <c r="CT1505" s="42" t="str">
        <f ca="1"/>
        <v/>
      </c>
      <c r="CU1505" s="42" t="str">
        <f ca="1"/>
        <v/>
      </c>
      <c r="CV1505" s="42" t="str">
        <f ca="1"/>
        <v/>
      </c>
      <c r="CW1505" s="42" t="str">
        <f ca="1"/>
        <v/>
      </c>
      <c r="CX1505" s="42" t="str">
        <f ca="1"/>
        <v/>
      </c>
      <c r="CY1505" s="42" t="str">
        <f ca="1"/>
        <v/>
      </c>
      <c r="CZ1505" s="42" t="str">
        <f ca="1"/>
        <v/>
      </c>
      <c r="DA1505" s="42" t="str">
        <f ca="1"/>
        <v/>
      </c>
      <c r="DB1505" s="42" t="str">
        <f ca="1"/>
        <v/>
      </c>
      <c r="DC1505" s="42" t="str">
        <f ca="1"/>
        <v/>
      </c>
      <c r="DD1505" s="42" t="str">
        <f ca="1"/>
        <v/>
      </c>
      <c r="DE1505" s="42" t="str">
        <f ca="1"/>
        <v/>
      </c>
      <c r="DF1505" s="42" t="str">
        <f ca="1"/>
        <v/>
      </c>
      <c r="DG1505" s="42" t="str">
        <f ca="1"/>
        <v/>
      </c>
      <c r="DH1505" s="42" t="str">
        <f ca="1"/>
        <v/>
      </c>
      <c r="DI1505" s="42" t="str">
        <f ca="1"/>
        <v/>
      </c>
      <c r="DJ1505" s="42" t="str">
        <f ca="1"/>
        <v/>
      </c>
      <c r="DK1505" s="42" t="str">
        <f ca="1"/>
        <v/>
      </c>
      <c r="DL1505" s="42" t="str">
        <f ca="1"/>
        <v/>
      </c>
      <c r="DM1505" s="42" t="str">
        <f ca="1"/>
        <v/>
      </c>
      <c r="DN1505" s="42" t="str">
        <f ca="1"/>
        <v/>
      </c>
      <c r="DO1505" s="42" t="str">
        <f ca="1"/>
        <v/>
      </c>
      <c r="DP1505" s="42" t="str">
        <f ca="1"/>
        <v/>
      </c>
      <c r="DQ1505" s="42" t="str">
        <f ca="1"/>
        <v/>
      </c>
      <c r="DR1505" s="42" t="str">
        <f ca="1"/>
        <v/>
      </c>
      <c r="DS1505" s="42" t="str">
        <f ca="1"/>
        <v/>
      </c>
      <c r="DT1505" s="42" t="str">
        <f ca="1"/>
        <v/>
      </c>
      <c r="DU1505" s="42" t="str">
        <f ca="1"/>
        <v/>
      </c>
      <c r="DV1505" s="42" t="str">
        <f ca="1"/>
        <v/>
      </c>
      <c r="DW1505" s="42" t="str">
        <f ca="1"/>
        <v/>
      </c>
      <c r="DX1505" s="42" t="str">
        <f ca="1"/>
        <v/>
      </c>
      <c r="DY1505" s="42" t="str">
        <f ca="1"/>
        <v/>
      </c>
      <c r="DZ1505" s="42" t="str">
        <f ca="1"/>
        <v/>
      </c>
      <c r="EA1505" s="42" t="str">
        <f ca="1"/>
        <v/>
      </c>
      <c r="EB1505" s="42" t="str">
        <f ca="1"/>
        <v/>
      </c>
      <c r="EC1505" s="42" t="str">
        <f ca="1"/>
        <v/>
      </c>
      <c r="ED1505" s="42" t="str">
        <f ca="1"/>
        <v/>
      </c>
      <c r="EE1505" s="42" t="str">
        <f ca="1"/>
        <v/>
      </c>
      <c r="EF1505" s="42" t="str">
        <f ca="1"/>
        <v/>
      </c>
      <c r="EG1505" s="42" t="str">
        <f ca="1"/>
        <v/>
      </c>
      <c r="EH1505" s="42" t="str">
        <f ca="1"/>
        <v/>
      </c>
      <c r="EI1505" s="42" t="str">
        <f ca="1"/>
        <v/>
      </c>
      <c r="EJ1505" s="42" t="str">
        <f ca="1"/>
        <v/>
      </c>
      <c r="EK1505" s="42" t="str">
        <f ca="1"/>
        <v/>
      </c>
      <c r="EL1505" s="42" t="str">
        <f ca="1"/>
        <v/>
      </c>
      <c r="EM1505" s="42" t="str">
        <f ca="1"/>
        <v/>
      </c>
      <c r="EN1505" s="42" t="str">
        <f ca="1"/>
        <v/>
      </c>
      <c r="EO1505" s="42" t="str">
        <f ca="1"/>
        <v/>
      </c>
      <c r="EP1505" s="42" t="str">
        <f ca="1"/>
        <v/>
      </c>
      <c r="EQ1505" s="42" t="str">
        <f ca="1"/>
        <v/>
      </c>
      <c r="ER1505" s="42" t="str">
        <f ca="1"/>
        <v/>
      </c>
      <c r="ES1505" s="42" t="str">
        <f ca="1"/>
        <v/>
      </c>
      <c r="ET1505" s="42" t="str">
        <f ca="1"/>
        <v/>
      </c>
      <c r="EU1505" s="42" t="str">
        <f ca="1"/>
        <v/>
      </c>
      <c r="EV1505" s="42" t="str">
        <f ca="1"/>
        <v/>
      </c>
      <c r="EW1505" s="42" t="str">
        <f ca="1"/>
        <v/>
      </c>
      <c r="EX1505" s="42" t="str">
        <f ca="1"/>
        <v/>
      </c>
      <c r="EY1505" s="42" t="str">
        <f ca="1"/>
        <v/>
      </c>
      <c r="EZ1505" s="42" t="str">
        <f ca="1"/>
        <v/>
      </c>
      <c r="FA1505" s="42" t="str">
        <f ca="1"/>
        <v/>
      </c>
      <c r="FB1505" s="42" t="str">
        <f ca="1"/>
        <v/>
      </c>
      <c r="FC1505" s="42" t="str">
        <f ca="1"/>
        <v/>
      </c>
      <c r="FD1505" s="42" t="str">
        <f ca="1"/>
        <v/>
      </c>
      <c r="FE1505" s="42" t="str">
        <f ca="1"/>
        <v/>
      </c>
      <c r="FF1505" s="42" t="str">
        <f ca="1"/>
        <v/>
      </c>
      <c r="FG1505" s="42" t="str">
        <f ca="1"/>
        <v/>
      </c>
      <c r="FH1505" s="42" t="str">
        <f ca="1"/>
        <v/>
      </c>
      <c r="FI1505" s="42" t="str">
        <f ca="1"/>
        <v/>
      </c>
      <c r="FJ1505" s="42" t="str">
        <f ca="1"/>
        <v/>
      </c>
      <c r="FK1505" s="42" t="str">
        <f ca="1"/>
        <v/>
      </c>
      <c r="FL1505" s="42" t="str">
        <f ca="1"/>
        <v/>
      </c>
      <c r="FM1505" s="42" t="str">
        <f ca="1"/>
        <v/>
      </c>
      <c r="FN1505" s="42" t="str">
        <f ca="1"/>
        <v/>
      </c>
      <c r="FO1505" s="42" t="str">
        <f ca="1"/>
        <v/>
      </c>
      <c r="FP1505" s="42" t="str">
        <f ca="1"/>
        <v/>
      </c>
      <c r="FQ1505" s="42" t="str">
        <f ca="1"/>
        <v/>
      </c>
      <c r="FR1505" s="42" t="str">
        <f ca="1"/>
        <v/>
      </c>
      <c r="FS1505" s="42" t="str">
        <f ca="1"/>
        <v/>
      </c>
      <c r="FT1505" s="42" t="str">
        <f ca="1"/>
        <v/>
      </c>
      <c r="FU1505" s="42" t="str">
        <f ca="1"/>
        <v/>
      </c>
      <c r="FV1505" s="42" t="str">
        <f ca="1"/>
        <v/>
      </c>
      <c r="FW1505" s="42" t="str">
        <f ca="1"/>
        <v/>
      </c>
      <c r="FX1505" s="42" t="str">
        <f ca="1"/>
        <v/>
      </c>
      <c r="FY1505" s="42" t="str">
        <f ca="1"/>
        <v/>
      </c>
      <c r="FZ1505" s="42" t="str">
        <f ca="1"/>
        <v/>
      </c>
      <c r="GA1505" s="42" t="str">
        <f ca="1"/>
        <v/>
      </c>
      <c r="GB1505" s="42" t="str">
        <f ca="1"/>
        <v/>
      </c>
      <c r="GC1505" s="42" t="str">
        <f ca="1"/>
        <v/>
      </c>
      <c r="GD1505" s="42" t="str">
        <f ca="1"/>
        <v/>
      </c>
      <c r="GE1505" s="42" t="str">
        <f ca="1"/>
        <v/>
      </c>
      <c r="GF1505" s="42" t="str">
        <f ca="1"/>
        <v/>
      </c>
      <c r="GG1505" s="42" t="str">
        <f ca="1"/>
        <v/>
      </c>
      <c r="GH1505" s="42" t="str">
        <f ca="1"/>
        <v/>
      </c>
      <c r="GI1505" s="42" t="str">
        <f ca="1"/>
        <v/>
      </c>
      <c r="GJ1505" s="42" t="str">
        <f ca="1"/>
        <v/>
      </c>
      <c r="GK1505" s="42" t="str">
        <f ca="1"/>
        <v/>
      </c>
      <c r="GL1505" s="42" t="str">
        <f ca="1"/>
        <v/>
      </c>
      <c r="GM1505" s="42" t="str">
        <f ca="1"/>
        <v/>
      </c>
      <c r="GN1505" s="42" t="str">
        <f ca="1"/>
        <v/>
      </c>
      <c r="GO1505" s="42" t="str">
        <f ca="1"/>
        <v/>
      </c>
      <c r="GP1505" s="42" t="str">
        <f ca="1"/>
        <v/>
      </c>
      <c r="GQ1505" s="42" t="str">
        <f ca="1"/>
        <v/>
      </c>
      <c r="GR1505" s="42" t="str">
        <f ca="1"/>
        <v/>
      </c>
      <c r="GS1505" s="42" t="str">
        <f ca="1"/>
        <v/>
      </c>
      <c r="GT1505" s="42" t="str">
        <f ca="1"/>
        <v/>
      </c>
      <c r="GU1505" s="42" t="str">
        <f ca="1"/>
        <v/>
      </c>
      <c r="GV1505" s="42" t="str">
        <f ca="1"/>
        <v/>
      </c>
      <c r="GW1505" s="42" t="str">
        <f ca="1"/>
        <v/>
      </c>
      <c r="GX1505" s="42" t="str">
        <f ca="1"/>
        <v/>
      </c>
      <c r="GY1505" s="42" t="str">
        <f ca="1"/>
        <v/>
      </c>
      <c r="GZ1505" s="42" t="str">
        <f ca="1"/>
        <v/>
      </c>
      <c r="HA1505" s="42" t="str">
        <f ca="1"/>
        <v/>
      </c>
      <c r="HB1505" s="42" t="str">
        <f ca="1"/>
        <v/>
      </c>
      <c r="HC1505" s="42" t="str">
        <f ca="1"/>
        <v/>
      </c>
      <c r="HD1505" s="42" t="str">
        <f ca="1"/>
        <v/>
      </c>
      <c r="HE1505" s="42" t="str">
        <f ca="1"/>
        <v/>
      </c>
      <c r="HF1505" s="42" t="str">
        <f ca="1"/>
        <v/>
      </c>
      <c r="HG1505" s="42" t="str">
        <f ca="1"/>
        <v/>
      </c>
      <c r="HH1505" s="42" t="str">
        <f ca="1"/>
        <v/>
      </c>
      <c r="HI1505" s="42" t="str">
        <f ca="1"/>
        <v/>
      </c>
      <c r="HJ1505" s="42" t="str">
        <f ca="1"/>
        <v/>
      </c>
      <c r="HK1505" s="42" t="str">
        <f ca="1"/>
        <v/>
      </c>
      <c r="HL1505" s="42" t="str">
        <f ca="1"/>
        <v/>
      </c>
      <c r="HM1505" s="42" t="str">
        <f ca="1"/>
        <v/>
      </c>
      <c r="HN1505" s="42" t="str">
        <f ca="1"/>
        <v/>
      </c>
      <c r="HO1505" s="42" t="str">
        <f ca="1"/>
        <v/>
      </c>
      <c r="HP1505" s="42" t="str">
        <f ca="1"/>
        <v/>
      </c>
      <c r="HQ1505" s="42" t="str">
        <f ca="1"/>
        <v/>
      </c>
      <c r="HR1505" s="42" t="str">
        <f ca="1"/>
        <v/>
      </c>
      <c r="HS1505" s="42" t="str">
        <f ca="1"/>
        <v/>
      </c>
      <c r="HT1505" s="42" t="str">
        <f ca="1"/>
        <v/>
      </c>
      <c r="HU1505" s="42" t="str">
        <f ca="1"/>
        <v/>
      </c>
      <c r="HV1505" s="42" t="str">
        <f ca="1"/>
        <v/>
      </c>
      <c r="HW1505" s="42" t="str">
        <f ca="1"/>
        <v/>
      </c>
      <c r="HX1505" s="42" t="str">
        <f ca="1"/>
        <v/>
      </c>
      <c r="HY1505" s="42" t="str">
        <f ca="1"/>
        <v/>
      </c>
      <c r="HZ1505" s="42" t="str">
        <f ca="1"/>
        <v/>
      </c>
      <c r="IA1505" s="42" t="str">
        <f ca="1"/>
        <v/>
      </c>
      <c r="IB1505" s="42" t="str">
        <f ca="1"/>
        <v/>
      </c>
      <c r="IC1505" s="42" t="str">
        <f ca="1"/>
        <v/>
      </c>
      <c r="ID1505" s="42" t="str">
        <f ca="1"/>
        <v/>
      </c>
      <c r="IE1505" s="42" t="str">
        <f ca="1"/>
        <v/>
      </c>
      <c r="IF1505" s="42" t="str">
        <f ca="1"/>
        <v/>
      </c>
      <c r="IG1505" s="42" t="str">
        <f ca="1"/>
        <v/>
      </c>
      <c r="IH1505" s="42" t="str">
        <f ca="1"/>
        <v/>
      </c>
      <c r="II1505" s="42" t="str">
        <f ca="1"/>
        <v/>
      </c>
      <c r="IJ1505" s="42" t="str">
        <f ca="1"/>
        <v/>
      </c>
      <c r="IK1505" s="42" t="str">
        <f ca="1"/>
        <v/>
      </c>
      <c r="IL1505" s="42" t="str">
        <f ca="1"/>
        <v/>
      </c>
      <c r="IM1505" s="42" t="str">
        <f ca="1"/>
        <v/>
      </c>
      <c r="IN1505" s="42" t="str">
        <f ca="1"/>
        <v/>
      </c>
      <c r="IO1505" s="42" t="str">
        <f ca="1"/>
        <v/>
      </c>
      <c r="IP1505" s="42" t="str">
        <f ca="1"/>
        <v/>
      </c>
      <c r="IQ1505" s="42" t="str">
        <f ca="1"/>
        <v/>
      </c>
      <c r="IR1505" s="42" t="str">
        <f ca="1"/>
        <v/>
      </c>
      <c r="IS1505" s="42" t="str">
        <f ca="1"/>
        <v/>
      </c>
      <c r="IT1505" s="42" t="str">
        <f ca="1"/>
        <v/>
      </c>
      <c r="IU1505" s="42" t="str">
        <f ca="1"/>
        <v/>
      </c>
      <c r="IV1505" s="42" t="str">
        <f ca="1"/>
        <v/>
      </c>
      <c r="IW1505" s="42" t="str">
        <f ca="1"/>
        <v/>
      </c>
      <c r="IX1505" s="42" t="str">
        <f ca="1"/>
        <v/>
      </c>
      <c r="IY1505" s="42" t="str">
        <f ca="1"/>
        <v/>
      </c>
      <c r="IZ1505" s="42" t="str">
        <f ca="1"/>
        <v/>
      </c>
      <c r="JA1505" s="42" t="str">
        <f ca="1"/>
        <v/>
      </c>
      <c r="JB1505" s="42" t="str">
        <f ca="1"/>
        <v/>
      </c>
      <c r="JC1505" s="42" t="str">
        <f ca="1"/>
        <v/>
      </c>
      <c r="JD1505" s="42" t="str">
        <f ca="1"/>
        <v/>
      </c>
      <c r="JE1505" s="42" t="str">
        <f ca="1"/>
        <v/>
      </c>
      <c r="JF1505" s="42" t="str">
        <f ca="1"/>
        <v/>
      </c>
      <c r="JG1505" s="42" t="str">
        <f ca="1"/>
        <v/>
      </c>
      <c r="JH1505" s="42" t="str">
        <f ca="1"/>
        <v/>
      </c>
      <c r="JI1505" s="42" t="str">
        <f ca="1"/>
        <v/>
      </c>
      <c r="JJ1505" s="42" t="str">
        <f ca="1"/>
        <v/>
      </c>
      <c r="JK1505" s="42" t="str">
        <f ca="1"/>
        <v/>
      </c>
      <c r="JL1505" s="42" t="str">
        <f ca="1"/>
        <v/>
      </c>
      <c r="JM1505" s="42" t="str">
        <f ca="1"/>
        <v/>
      </c>
      <c r="JN1505" s="42" t="str">
        <f ca="1"/>
        <v/>
      </c>
      <c r="JO1505" s="42" t="str">
        <f ca="1"/>
        <v/>
      </c>
      <c r="JP1505" s="42" t="str">
        <f ca="1"/>
        <v/>
      </c>
      <c r="JQ1505" s="42" t="str">
        <f ca="1"/>
        <v/>
      </c>
      <c r="JR1505" s="42" t="str">
        <f ca="1"/>
        <v/>
      </c>
      <c r="JS1505" s="42" t="str">
        <f ca="1"/>
        <v/>
      </c>
      <c r="JT1505" s="42" t="str">
        <f ca="1"/>
        <v/>
      </c>
      <c r="JU1505" s="42" t="str">
        <f ca="1"/>
        <v/>
      </c>
      <c r="JV1505" s="42" t="str">
        <f ca="1"/>
        <v/>
      </c>
      <c r="JW1505" s="42" t="str">
        <f ca="1"/>
        <v/>
      </c>
      <c r="JX1505" s="42" t="str">
        <f ca="1"/>
        <v/>
      </c>
      <c r="JY1505" s="42" t="str">
        <f ca="1"/>
        <v/>
      </c>
      <c r="JZ1505" s="42" t="str">
        <f ca="1"/>
        <v/>
      </c>
      <c r="KA1505" s="42" t="str">
        <f ca="1"/>
        <v/>
      </c>
      <c r="KB1505" s="42" t="str">
        <f ca="1"/>
        <v/>
      </c>
      <c r="KC1505" s="42" t="str">
        <f ca="1"/>
        <v/>
      </c>
      <c r="KD1505" s="42" t="str">
        <f ca="1"/>
        <v/>
      </c>
      <c r="KE1505" s="42" t="str">
        <f ca="1"/>
        <v/>
      </c>
      <c r="KF1505" s="42" t="str">
        <f ca="1"/>
        <v/>
      </c>
      <c r="KG1505" s="42" t="str">
        <f ca="1"/>
        <v/>
      </c>
      <c r="KH1505" s="42" t="str">
        <f ca="1"/>
        <v/>
      </c>
      <c r="KI1505" s="42" t="str">
        <f ca="1"/>
        <v/>
      </c>
      <c r="KJ1505" s="42" t="str">
        <f ca="1"/>
        <v/>
      </c>
      <c r="KK1505" s="42" t="str">
        <f ca="1"/>
        <v/>
      </c>
      <c r="KL1505" s="42" t="str">
        <f ca="1"/>
        <v/>
      </c>
      <c r="KM1505" s="42" t="str">
        <f ca="1"/>
        <v/>
      </c>
      <c r="KN1505" s="42" t="str">
        <f ca="1"/>
        <v/>
      </c>
      <c r="KO1505" s="42" t="str">
        <f ca="1"/>
        <v/>
      </c>
      <c r="KP1505" s="42" t="str">
        <f ca="1"/>
        <v/>
      </c>
      <c r="KQ1505" s="42" t="str">
        <f ca="1"/>
        <v/>
      </c>
      <c r="KR1505" s="42" t="str">
        <f ca="1"/>
        <v/>
      </c>
      <c r="KS1505" s="42" t="str">
        <f ca="1"/>
        <v/>
      </c>
      <c r="KT1505" s="42" t="str">
        <f ca="1"/>
        <v/>
      </c>
      <c r="KU1505" s="42" t="str">
        <f ca="1"/>
        <v/>
      </c>
      <c r="KV1505" s="42" t="str">
        <f ca="1"/>
        <v/>
      </c>
      <c r="KW1505" s="42" t="str">
        <f ca="1"/>
        <v/>
      </c>
      <c r="KX1505" s="42" t="str">
        <f ca="1"/>
        <v/>
      </c>
      <c r="KY1505" s="42" t="str">
        <f ca="1"/>
        <v/>
      </c>
      <c r="KZ1505" s="42" t="str">
        <f ca="1"/>
        <v/>
      </c>
      <c r="LA1505" s="42" t="str">
        <f ca="1"/>
        <v/>
      </c>
      <c r="LB1505" s="42" t="str">
        <f ca="1"/>
        <v/>
      </c>
      <c r="LC1505" s="42" t="str">
        <f ca="1"/>
        <v/>
      </c>
      <c r="LD1505" s="42" t="str">
        <f ca="1"/>
        <v/>
      </c>
      <c r="LE1505" s="42" t="str">
        <f ca="1"/>
        <v/>
      </c>
      <c r="LF1505" s="42" t="str">
        <f ca="1"/>
        <v/>
      </c>
      <c r="LG1505" s="42" t="str">
        <f ca="1"/>
        <v/>
      </c>
      <c r="LH1505" s="42" t="str">
        <f ca="1"/>
        <v/>
      </c>
      <c r="LI1505" s="42" t="str">
        <f ca="1"/>
        <v/>
      </c>
      <c r="LJ1505" s="42" t="str">
        <f ca="1"/>
        <v/>
      </c>
      <c r="LK1505" s="42" t="str">
        <f ca="1"/>
        <v/>
      </c>
      <c r="LL1505" s="42" t="str">
        <f ca="1"/>
        <v/>
      </c>
      <c r="LM1505" s="42" t="str">
        <f ca="1"/>
        <v/>
      </c>
      <c r="LN1505" s="42" t="str">
        <f ca="1"/>
        <v/>
      </c>
      <c r="LO1505" s="42" t="str">
        <f ca="1"/>
        <v/>
      </c>
      <c r="LP1505" s="42" t="str">
        <f ca="1"/>
        <v/>
      </c>
      <c r="LQ1505" s="42" t="str">
        <f ca="1"/>
        <v/>
      </c>
      <c r="LR1505" s="42" t="str">
        <f ca="1"/>
        <v/>
      </c>
      <c r="LS1505" s="42" t="str">
        <f ca="1"/>
        <v/>
      </c>
      <c r="LT1505" s="42" t="str">
        <f ca="1"/>
        <v/>
      </c>
      <c r="LU1505" s="42" t="str">
        <f ca="1"/>
        <v/>
      </c>
      <c r="LV1505" s="42" t="str">
        <f ca="1"/>
        <v/>
      </c>
      <c r="LW1505" s="42" t="str">
        <f ca="1"/>
        <v/>
      </c>
      <c r="LX1505" s="42" t="str">
        <f ca="1"/>
        <v/>
      </c>
      <c r="LY1505" s="42" t="str">
        <f ca="1"/>
        <v/>
      </c>
      <c r="LZ1505" s="42" t="str">
        <f ca="1"/>
        <v/>
      </c>
      <c r="MA1505" s="42" t="str">
        <f ca="1"/>
        <v/>
      </c>
      <c r="MB1505" s="42" t="str">
        <f ca="1"/>
        <v/>
      </c>
      <c r="MC1505" s="42" t="str">
        <f ca="1"/>
        <v/>
      </c>
      <c r="MD1505" s="42" t="str">
        <f ca="1"/>
        <v/>
      </c>
      <c r="ME1505" s="42" t="str">
        <f ca="1"/>
        <v/>
      </c>
      <c r="MF1505" s="42" t="str">
        <f ca="1"/>
        <v/>
      </c>
      <c r="MG1505" s="42" t="str">
        <f ca="1"/>
        <v/>
      </c>
      <c r="MH1505" s="42" t="str">
        <f ca="1"/>
        <v/>
      </c>
      <c r="MI1505" s="42" t="str">
        <f ca="1"/>
        <v/>
      </c>
      <c r="MJ1505" s="42" t="str">
        <f ca="1"/>
        <v/>
      </c>
      <c r="MK1505" s="42" t="str">
        <f ca="1"/>
        <v/>
      </c>
      <c r="ML1505" s="42" t="str">
        <f ca="1"/>
        <v/>
      </c>
      <c r="MM1505" s="42" t="str">
        <f ca="1"/>
        <v/>
      </c>
      <c r="MN1505" s="42" t="str">
        <f ca="1"/>
        <v/>
      </c>
      <c r="MO1505" s="42" t="str">
        <f ca="1"/>
        <v/>
      </c>
      <c r="MP1505" s="42" t="str">
        <f ca="1"/>
        <v/>
      </c>
      <c r="MQ1505" s="42" t="str">
        <f ca="1"/>
        <v/>
      </c>
      <c r="MR1505" s="42" t="str">
        <f ca="1"/>
        <v/>
      </c>
      <c r="MS1505" s="42" t="str">
        <f ca="1"/>
        <v/>
      </c>
      <c r="MT1505" s="42" t="str">
        <f ca="1"/>
        <v/>
      </c>
      <c r="MU1505" s="42" t="str">
        <f ca="1"/>
        <v/>
      </c>
      <c r="MV1505" s="42" t="str">
        <f ca="1"/>
        <v/>
      </c>
      <c r="MW1505" s="42" t="str">
        <f ca="1"/>
        <v/>
      </c>
      <c r="MX1505" s="42" t="str">
        <f ca="1"/>
        <v/>
      </c>
      <c r="MY1505" s="42" t="str">
        <f ca="1"/>
        <v/>
      </c>
      <c r="MZ1505" s="42" t="str">
        <f ca="1"/>
        <v/>
      </c>
      <c r="NA1505" s="42" t="str">
        <f ca="1"/>
        <v/>
      </c>
      <c r="NB1505" s="42" t="str">
        <f ca="1"/>
        <v/>
      </c>
      <c r="NC1505" s="42" t="str">
        <f ca="1"/>
        <v/>
      </c>
      <c r="ND1505" s="42" t="str">
        <f ca="1"/>
        <v/>
      </c>
      <c r="NE1505" s="42" t="str">
        <f ca="1"/>
        <v/>
      </c>
      <c r="NF1505" s="42" t="str">
        <f ca="1"/>
        <v/>
      </c>
      <c r="NG1505" s="42" t="str">
        <f ca="1"/>
        <v/>
      </c>
      <c r="NH1505" s="42" t="str">
        <f ca="1"/>
        <v/>
      </c>
      <c r="NI1505" s="42" t="str">
        <f ca="1"/>
        <v/>
      </c>
      <c r="NJ1505" s="42" t="str">
        <f ca="1"/>
        <v/>
      </c>
      <c r="NK1505" s="42" t="str">
        <f ca="1"/>
        <v/>
      </c>
      <c r="NL1505" s="42" t="str">
        <f ca="1"/>
        <v/>
      </c>
      <c r="NM1505" s="42" t="str">
        <f ca="1"/>
        <v/>
      </c>
      <c r="NN1505" s="42" t="str">
        <f ca="1"/>
        <v/>
      </c>
      <c r="NO1505" s="42" t="str">
        <f ca="1"/>
        <v/>
      </c>
      <c r="NP1505" s="42" t="str">
        <f ca="1"/>
        <v/>
      </c>
      <c r="NQ1505" s="42" t="str">
        <f ca="1"/>
        <v/>
      </c>
      <c r="NR1505" s="42" t="str">
        <f ca="1"/>
        <v/>
      </c>
      <c r="NS1505" s="42" t="str">
        <f ca="1"/>
        <v/>
      </c>
      <c r="NT1505" s="42" t="str">
        <f ca="1"/>
        <v/>
      </c>
      <c r="NU1505" s="42" t="str">
        <f ca="1"/>
        <v/>
      </c>
      <c r="NV1505" s="42" t="str">
        <f ca="1"/>
        <v/>
      </c>
      <c r="NW1505" s="42" t="str">
        <f ca="1"/>
        <v/>
      </c>
      <c r="NX1505" s="42" t="str">
        <f ca="1"/>
        <v/>
      </c>
      <c r="NY1505" s="42" t="str">
        <f ca="1"/>
        <v/>
      </c>
      <c r="NZ1505" s="42" t="str">
        <f ca="1"/>
        <v/>
      </c>
      <c r="OA1505" s="42" t="str">
        <f ca="1"/>
        <v/>
      </c>
      <c r="OB1505" s="42" t="str">
        <f ca="1"/>
        <v/>
      </c>
      <c r="OC1505" s="42" t="str">
        <f ca="1"/>
        <v/>
      </c>
      <c r="OD1505" s="42" t="str">
        <f ca="1"/>
        <v/>
      </c>
      <c r="OE1505" s="42" t="str">
        <f ca="1"/>
        <v/>
      </c>
      <c r="OF1505" s="42" t="str">
        <f ca="1"/>
        <v/>
      </c>
      <c r="OG1505" s="42" t="str">
        <f ca="1"/>
        <v/>
      </c>
      <c r="OH1505" s="42" t="str">
        <f ca="1"/>
        <v/>
      </c>
      <c r="OI1505" s="42" t="str">
        <f ca="1"/>
        <v/>
      </c>
      <c r="OJ1505" s="42" t="str">
        <f ca="1"/>
        <v/>
      </c>
      <c r="OK1505" s="42" t="str">
        <f ca="1"/>
        <v/>
      </c>
      <c r="OL1505" s="42" t="str">
        <f ca="1"/>
        <v/>
      </c>
      <c r="OM1505" s="42" t="str">
        <f ca="1"/>
        <v/>
      </c>
      <c r="ON1505" s="42" t="str">
        <f ca="1"/>
        <v/>
      </c>
      <c r="OO1505" s="42" t="str">
        <f ca="1"/>
        <v/>
      </c>
      <c r="OP1505" s="42" t="str">
        <f ca="1"/>
        <v/>
      </c>
      <c r="OQ1505" s="42" t="str">
        <f ca="1"/>
        <v/>
      </c>
      <c r="OR1505" s="42" t="str">
        <f ca="1"/>
        <v/>
      </c>
      <c r="OS1505" s="42" t="str">
        <f ca="1"/>
        <v/>
      </c>
      <c r="OT1505" s="42" t="str">
        <f ca="1"/>
        <v/>
      </c>
      <c r="OU1505" s="42" t="str">
        <f ca="1"/>
        <v/>
      </c>
      <c r="OV1505" s="42" t="str">
        <f ca="1"/>
        <v/>
      </c>
      <c r="OW1505" s="42" t="str">
        <f ca="1"/>
        <v/>
      </c>
      <c r="OX1505" s="42" t="str">
        <f ca="1"/>
        <v/>
      </c>
      <c r="OY1505" s="42" t="str">
        <f ca="1"/>
        <v/>
      </c>
      <c r="OZ1505" s="42" t="str">
        <f ca="1"/>
        <v/>
      </c>
      <c r="PA1505" s="42" t="str">
        <f ca="1"/>
        <v/>
      </c>
      <c r="PB1505" s="42" t="str">
        <f ca="1"/>
        <v/>
      </c>
      <c r="PC1505" s="42" t="str">
        <f ca="1"/>
        <v/>
      </c>
      <c r="PD1505" s="42" t="str">
        <f ca="1"/>
        <v/>
      </c>
      <c r="PE1505" s="42" t="str">
        <f ca="1"/>
        <v/>
      </c>
      <c r="PF1505" s="42" t="str">
        <f ca="1"/>
        <v/>
      </c>
      <c r="PG1505" s="42" t="str">
        <f ca="1"/>
        <v/>
      </c>
      <c r="PH1505" s="42" t="str">
        <f ca="1"/>
        <v/>
      </c>
      <c r="PI1505" s="42" t="str">
        <f ca="1"/>
        <v/>
      </c>
      <c r="PJ1505" s="42" t="str">
        <f ca="1"/>
        <v/>
      </c>
      <c r="PK1505" s="42" t="str">
        <f ca="1"/>
        <v/>
      </c>
      <c r="PL1505" s="42" t="str">
        <f ca="1"/>
        <v/>
      </c>
      <c r="PM1505" s="42" t="str">
        <f ca="1"/>
        <v/>
      </c>
      <c r="PN1505" s="42" t="str">
        <f ca="1"/>
        <v/>
      </c>
      <c r="PO1505" s="42" t="str">
        <f ca="1"/>
        <v/>
      </c>
      <c r="PP1505" s="42" t="str">
        <f ca="1"/>
        <v/>
      </c>
      <c r="PQ1505" s="42" t="str">
        <f ca="1"/>
        <v/>
      </c>
      <c r="PR1505" s="42" t="str">
        <f ca="1"/>
        <v/>
      </c>
      <c r="PS1505" s="42" t="str">
        <f ca="1"/>
        <v/>
      </c>
      <c r="PT1505" s="42" t="str">
        <f ca="1"/>
        <v/>
      </c>
      <c r="PU1505" s="42" t="str">
        <f ca="1"/>
        <v/>
      </c>
      <c r="PV1505" s="42" t="str">
        <f ca="1"/>
        <v/>
      </c>
      <c r="PW1505" s="42" t="str">
        <f ca="1"/>
        <v/>
      </c>
      <c r="PX1505" s="42" t="str">
        <f ca="1"/>
        <v/>
      </c>
      <c r="PY1505" s="42" t="str">
        <f ca="1"/>
        <v/>
      </c>
      <c r="PZ1505" s="42" t="str">
        <f ca="1"/>
        <v/>
      </c>
      <c r="QA1505" s="42" t="str">
        <f ca="1"/>
        <v/>
      </c>
      <c r="QB1505" s="42" t="str">
        <f ca="1"/>
        <v/>
      </c>
      <c r="QC1505" s="42" t="str">
        <f ca="1"/>
        <v/>
      </c>
      <c r="QD1505" s="42" t="str">
        <f ca="1"/>
        <v/>
      </c>
      <c r="QE1505" s="42" t="str">
        <f ca="1"/>
        <v/>
      </c>
      <c r="QF1505" s="42" t="str">
        <f ca="1"/>
        <v/>
      </c>
      <c r="QG1505" s="42" t="str">
        <f ca="1"/>
        <v/>
      </c>
      <c r="QH1505" s="42" t="str">
        <f ca="1"/>
        <v/>
      </c>
      <c r="QI1505" s="42" t="str">
        <f ca="1"/>
        <v/>
      </c>
      <c r="QJ1505" s="42" t="str">
        <f ca="1"/>
        <v/>
      </c>
      <c r="QK1505" s="42" t="str">
        <f ca="1"/>
        <v/>
      </c>
      <c r="QL1505" s="42" t="str">
        <f ca="1"/>
        <v/>
      </c>
      <c r="QM1505" s="42" t="str">
        <f ca="1"/>
        <v/>
      </c>
      <c r="QN1505" s="42" t="str">
        <f ca="1"/>
        <v/>
      </c>
      <c r="QO1505" s="42" t="str">
        <f ca="1"/>
        <v/>
      </c>
      <c r="QP1505" s="42" t="str">
        <f ca="1"/>
        <v/>
      </c>
      <c r="QQ1505" s="42" t="str">
        <f ca="1"/>
        <v/>
      </c>
      <c r="QR1505" s="42" t="str">
        <f ca="1"/>
        <v/>
      </c>
      <c r="QS1505" s="42" t="str">
        <f ca="1"/>
        <v/>
      </c>
      <c r="QT1505" s="42" t="str">
        <f ca="1"/>
        <v/>
      </c>
      <c r="QU1505" s="42" t="str">
        <f ca="1"/>
        <v/>
      </c>
      <c r="QV1505" s="42" t="str">
        <f ca="1"/>
        <v/>
      </c>
      <c r="QW1505" s="42" t="str">
        <f ca="1"/>
        <v/>
      </c>
      <c r="QX1505" s="42" t="str">
        <f ca="1"/>
        <v/>
      </c>
      <c r="QY1505" s="42" t="str">
        <f ca="1"/>
        <v/>
      </c>
      <c r="QZ1505" s="42" t="str">
        <f ca="1"/>
        <v/>
      </c>
      <c r="RA1505" s="42" t="str">
        <f ca="1"/>
        <v/>
      </c>
      <c r="RB1505" s="42" t="str">
        <f ca="1"/>
        <v/>
      </c>
      <c r="RC1505" s="42" t="str">
        <f ca="1"/>
        <v/>
      </c>
      <c r="RD1505" s="42" t="str">
        <f ca="1"/>
        <v/>
      </c>
      <c r="RE1505" s="42" t="str">
        <f ca="1"/>
        <v/>
      </c>
      <c r="RF1505" s="42" t="str">
        <f ca="1"/>
        <v/>
      </c>
      <c r="RG1505" s="42" t="str">
        <f ca="1"/>
        <v/>
      </c>
      <c r="RH1505" s="42" t="str">
        <f ca="1"/>
        <v/>
      </c>
      <c r="RI1505" s="42" t="str">
        <f ca="1"/>
        <v/>
      </c>
      <c r="RJ1505" s="42" t="str">
        <f ca="1"/>
        <v/>
      </c>
      <c r="RK1505" s="42" t="str">
        <f ca="1"/>
        <v/>
      </c>
      <c r="RL1505" s="42" t="str">
        <f ca="1"/>
        <v/>
      </c>
      <c r="RM1505" s="42" t="str">
        <f ca="1"/>
        <v/>
      </c>
      <c r="RN1505" s="42" t="str">
        <f ca="1"/>
        <v/>
      </c>
      <c r="RO1505" s="42" t="str">
        <f ca="1"/>
        <v/>
      </c>
      <c r="RP1505" s="42" t="str">
        <f ca="1"/>
        <v/>
      </c>
      <c r="RQ1505" s="42" t="str">
        <f ca="1"/>
        <v/>
      </c>
      <c r="RR1505" s="42" t="str">
        <f ca="1"/>
        <v/>
      </c>
      <c r="RS1505" s="42" t="str">
        <f ca="1"/>
        <v/>
      </c>
      <c r="RT1505" s="42" t="str">
        <f ca="1"/>
        <v/>
      </c>
      <c r="RU1505" s="42" t="str">
        <f ca="1"/>
        <v/>
      </c>
      <c r="RV1505" s="42" t="str">
        <f ca="1"/>
        <v/>
      </c>
      <c r="RW1505" s="42" t="str">
        <f ca="1"/>
        <v/>
      </c>
      <c r="RX1505" s="42" t="str">
        <f ca="1"/>
        <v/>
      </c>
      <c r="RY1505" s="42" t="str">
        <f ca="1"/>
        <v/>
      </c>
      <c r="RZ1505" s="42" t="str">
        <f ca="1"/>
        <v/>
      </c>
      <c r="SA1505" s="42" t="str">
        <f ca="1"/>
        <v/>
      </c>
      <c r="SB1505" s="42" t="str">
        <f ca="1"/>
        <v/>
      </c>
      <c r="SC1505" s="42" t="str">
        <f ca="1"/>
        <v/>
      </c>
      <c r="SD1505" s="42" t="str">
        <f ca="1"/>
        <v/>
      </c>
      <c r="SE1505" s="42" t="str">
        <f ca="1"/>
        <v/>
      </c>
      <c r="SF1505" s="42" t="str">
        <f ca="1"/>
        <v/>
      </c>
      <c r="SG1505" s="42" t="str">
        <f ca="1"/>
        <v/>
      </c>
      <c r="SH1505" s="42" t="str">
        <f ca="1"/>
        <v/>
      </c>
      <c r="SI1505" s="42" t="str">
        <f ca="1"/>
        <v/>
      </c>
      <c r="SJ1505" s="42" t="str">
        <f ca="1"/>
        <v/>
      </c>
      <c r="SK1505" s="42" t="str">
        <f ca="1"/>
        <v/>
      </c>
      <c r="SL1505" s="42" t="str">
        <f ca="1"/>
        <v/>
      </c>
      <c r="SM1505" s="42" t="str">
        <f ca="1"/>
        <v/>
      </c>
      <c r="SN1505" s="42" t="str">
        <f ca="1"/>
        <v/>
      </c>
      <c r="SO1505" s="42" t="str">
        <f ca="1"/>
        <v/>
      </c>
      <c r="SP1505" s="42" t="str">
        <f ca="1"/>
        <v/>
      </c>
      <c r="SQ1505" s="42" t="str">
        <f ca="1"/>
        <v/>
      </c>
      <c r="SR1505" s="42" t="str">
        <f ca="1"/>
        <v/>
      </c>
      <c r="SS1505" s="42" t="str">
        <f ca="1"/>
        <v/>
      </c>
      <c r="ST1505" s="42" t="str">
        <f ca="1"/>
        <v/>
      </c>
      <c r="SU1505" s="42" t="str">
        <f ca="1"/>
        <v/>
      </c>
      <c r="SV1505" s="42" t="str">
        <f ca="1"/>
        <v/>
      </c>
      <c r="SW1505" s="42" t="str">
        <f ca="1"/>
        <v/>
      </c>
      <c r="SX1505" s="42" t="str">
        <f ca="1"/>
        <v/>
      </c>
      <c r="SY1505" s="42" t="str">
        <f ca="1"/>
        <v/>
      </c>
      <c r="SZ1505" s="42" t="str">
        <f ca="1"/>
        <v/>
      </c>
      <c r="TA1505" s="42" t="str">
        <f ca="1"/>
        <v/>
      </c>
      <c r="TB1505" s="42" t="str">
        <f ca="1"/>
        <v/>
      </c>
      <c r="TC1505" s="42" t="str">
        <f ca="1"/>
        <v/>
      </c>
      <c r="TD1505" s="42" t="str">
        <f ca="1"/>
        <v/>
      </c>
      <c r="TE1505" s="42" t="str">
        <f ca="1"/>
        <v/>
      </c>
      <c r="TF1505" s="42" t="str">
        <f ca="1"/>
        <v/>
      </c>
      <c r="TG1505" s="42" t="str">
        <f ca="1"/>
        <v/>
      </c>
      <c r="TH1505" s="42" t="str">
        <f ca="1"/>
        <v/>
      </c>
      <c r="TI1505" s="42" t="str">
        <f ca="1"/>
        <v/>
      </c>
      <c r="TJ1505" s="42" t="str">
        <f ca="1"/>
        <v/>
      </c>
      <c r="TK1505" s="42" t="str">
        <f ca="1"/>
        <v/>
      </c>
      <c r="TL1505" s="42" t="str">
        <f ca="1"/>
        <v/>
      </c>
      <c r="TM1505" s="42" t="str">
        <f ca="1"/>
        <v/>
      </c>
      <c r="TN1505" s="42" t="str">
        <f ca="1"/>
        <v/>
      </c>
      <c r="TO1505" s="42" t="str">
        <f ca="1"/>
        <v/>
      </c>
      <c r="TP1505" s="42" t="str">
        <f ca="1"/>
        <v/>
      </c>
      <c r="TQ1505" s="42" t="str">
        <f ca="1"/>
        <v/>
      </c>
      <c r="TR1505" s="42" t="str">
        <f ca="1"/>
        <v/>
      </c>
      <c r="TS1505" s="42" t="str">
        <f ca="1"/>
        <v/>
      </c>
      <c r="TT1505" s="42" t="str">
        <f ca="1"/>
        <v/>
      </c>
      <c r="TU1505" s="42" t="str">
        <f ca="1"/>
        <v/>
      </c>
      <c r="TV1505" s="42" t="str">
        <f ca="1"/>
        <v/>
      </c>
      <c r="TW1505" s="42" t="str">
        <f ca="1"/>
        <v/>
      </c>
      <c r="TX1505" s="42" t="str">
        <f ca="1"/>
        <v/>
      </c>
      <c r="TY1505" s="42" t="str">
        <f ca="1"/>
        <v/>
      </c>
      <c r="TZ1505" s="42" t="str">
        <f ca="1"/>
        <v/>
      </c>
      <c r="UA1505" s="42" t="str">
        <f ca="1"/>
        <v/>
      </c>
      <c r="UB1505" s="42" t="str">
        <f ca="1"/>
        <v/>
      </c>
      <c r="UC1505" s="42" t="str">
        <f ca="1"/>
        <v/>
      </c>
      <c r="UD1505" s="42" t="str">
        <f ca="1"/>
        <v/>
      </c>
      <c r="UE1505" s="42" t="str">
        <f ca="1"/>
        <v/>
      </c>
      <c r="UF1505" s="42" t="str">
        <f ca="1"/>
        <v/>
      </c>
      <c r="UG1505" s="42" t="str">
        <f ca="1"/>
        <v/>
      </c>
      <c r="UH1505" s="42" t="str">
        <f ca="1"/>
        <v/>
      </c>
      <c r="UI1505" s="42" t="str">
        <f ca="1"/>
        <v/>
      </c>
      <c r="UJ1505" s="42" t="str">
        <f ca="1"/>
        <v/>
      </c>
      <c r="UK1505" s="42" t="str">
        <f ca="1"/>
        <v/>
      </c>
      <c r="UL1505" s="42" t="str">
        <f ca="1"/>
        <v/>
      </c>
      <c r="UM1505" s="42" t="str">
        <f ca="1"/>
        <v/>
      </c>
      <c r="UN1505" s="42" t="str">
        <f ca="1"/>
        <v/>
      </c>
      <c r="UO1505" s="42" t="str">
        <f ca="1"/>
        <v/>
      </c>
      <c r="UP1505" s="42" t="str">
        <f ca="1"/>
        <v/>
      </c>
      <c r="UQ1505" s="42" t="str">
        <f ca="1"/>
        <v/>
      </c>
      <c r="UR1505" s="42" t="str">
        <f ca="1"/>
        <v/>
      </c>
      <c r="US1505" s="42" t="str">
        <f ca="1"/>
        <v/>
      </c>
      <c r="UT1505" s="42" t="str">
        <f ca="1"/>
        <v/>
      </c>
      <c r="UU1505" s="42" t="str">
        <f ca="1"/>
        <v/>
      </c>
      <c r="UV1505" s="42" t="str">
        <f ca="1"/>
        <v/>
      </c>
      <c r="UW1505" s="42" t="str">
        <f ca="1"/>
        <v/>
      </c>
      <c r="UX1505" s="42" t="str">
        <f ca="1"/>
        <v/>
      </c>
      <c r="UY1505" s="42" t="str">
        <f ca="1"/>
        <v/>
      </c>
      <c r="UZ1505" s="42" t="str">
        <f ca="1"/>
        <v/>
      </c>
      <c r="VA1505" s="42" t="str">
        <f ca="1"/>
        <v/>
      </c>
      <c r="VB1505" s="42" t="str">
        <f ca="1"/>
        <v/>
      </c>
      <c r="VC1505" s="42" t="str">
        <f ca="1"/>
        <v/>
      </c>
      <c r="VD1505" s="42" t="str">
        <f ca="1"/>
        <v/>
      </c>
      <c r="VE1505" s="42" t="str">
        <f ca="1"/>
        <v/>
      </c>
      <c r="VF1505" s="42" t="str">
        <f ca="1"/>
        <v/>
      </c>
      <c r="VG1505" s="42" t="str">
        <f ca="1"/>
        <v/>
      </c>
      <c r="VH1505" s="42" t="str">
        <f ca="1"/>
        <v/>
      </c>
      <c r="VI1505" s="42" t="str">
        <f ca="1"/>
        <v/>
      </c>
      <c r="VJ1505" s="42" t="str">
        <f ca="1"/>
        <v/>
      </c>
      <c r="VK1505" s="42" t="str">
        <f ca="1"/>
        <v/>
      </c>
      <c r="VL1505" s="42" t="str">
        <f ca="1"/>
        <v/>
      </c>
      <c r="VM1505" s="42" t="str">
        <f ca="1"/>
        <v/>
      </c>
      <c r="VN1505" s="42" t="str">
        <f ca="1"/>
        <v/>
      </c>
      <c r="VO1505" s="42" t="str">
        <f ca="1"/>
        <v/>
      </c>
      <c r="VP1505" s="42" t="str">
        <f ca="1"/>
        <v/>
      </c>
      <c r="VQ1505" s="42" t="str">
        <f ca="1"/>
        <v/>
      </c>
      <c r="VR1505" s="42" t="str">
        <f ca="1"/>
        <v/>
      </c>
      <c r="VS1505" s="42" t="str">
        <f ca="1"/>
        <v/>
      </c>
      <c r="VT1505" s="42" t="str">
        <f ca="1"/>
        <v/>
      </c>
      <c r="VU1505" s="42" t="str">
        <f ca="1"/>
        <v/>
      </c>
      <c r="VV1505" s="42" t="str">
        <f ca="1"/>
        <v/>
      </c>
      <c r="VW1505" s="42" t="str">
        <f ca="1"/>
        <v/>
      </c>
      <c r="VX1505" s="42" t="str">
        <f ca="1"/>
        <v/>
      </c>
      <c r="VY1505" s="42" t="str">
        <f ca="1"/>
        <v/>
      </c>
      <c r="VZ1505" s="42" t="str">
        <f ca="1"/>
        <v/>
      </c>
      <c r="WA1505" s="42" t="str">
        <f ca="1"/>
        <v/>
      </c>
      <c r="WB1505" s="42" t="str">
        <f ca="1"/>
        <v/>
      </c>
      <c r="WC1505" s="42" t="str">
        <f ca="1"/>
        <v/>
      </c>
      <c r="WD1505" s="42" t="str">
        <f ca="1"/>
        <v/>
      </c>
      <c r="WE1505" s="42" t="str">
        <f ca="1"/>
        <v/>
      </c>
      <c r="WF1505" s="42" t="str">
        <f ca="1"/>
        <v/>
      </c>
      <c r="WG1505" s="42" t="str">
        <f ca="1"/>
        <v/>
      </c>
      <c r="WH1505" s="42" t="str">
        <f ca="1"/>
        <v/>
      </c>
      <c r="WI1505" s="42" t="str">
        <f ca="1"/>
        <v/>
      </c>
      <c r="WJ1505" s="42" t="str">
        <f ca="1"/>
        <v/>
      </c>
      <c r="WK1505" s="42" t="str">
        <f ca="1"/>
        <v/>
      </c>
      <c r="WL1505" s="42" t="str">
        <f ca="1"/>
        <v/>
      </c>
      <c r="WM1505" s="42" t="str">
        <f ca="1"/>
        <v/>
      </c>
      <c r="WN1505" s="42" t="str">
        <f ca="1"/>
        <v/>
      </c>
      <c r="WO1505" s="42" t="str">
        <f ca="1"/>
        <v/>
      </c>
      <c r="WP1505" s="42" t="str">
        <f ca="1"/>
        <v/>
      </c>
      <c r="WQ1505" s="42" t="str">
        <f ca="1"/>
        <v/>
      </c>
      <c r="WR1505" s="42" t="str">
        <f ca="1"/>
        <v/>
      </c>
      <c r="WS1505" s="42" t="str">
        <f ca="1"/>
        <v/>
      </c>
      <c r="WT1505" s="42" t="str">
        <f ca="1"/>
        <v/>
      </c>
      <c r="WU1505" s="42" t="str">
        <f ca="1"/>
        <v/>
      </c>
      <c r="WV1505" s="42" t="str">
        <f ca="1"/>
        <v/>
      </c>
      <c r="WW1505" s="42" t="str">
        <f ca="1"/>
        <v/>
      </c>
      <c r="WX1505" s="42" t="str">
        <f ca="1"/>
        <v/>
      </c>
      <c r="WY1505" s="42" t="str">
        <f ca="1"/>
        <v/>
      </c>
      <c r="WZ1505" s="42" t="str">
        <f ca="1"/>
        <v/>
      </c>
      <c r="XA1505" s="42" t="str">
        <f ca="1"/>
        <v/>
      </c>
      <c r="XB1505" s="42" t="str">
        <f ca="1"/>
        <v/>
      </c>
      <c r="XC1505" s="42" t="str">
        <f ca="1"/>
        <v/>
      </c>
      <c r="XD1505" s="42" t="str">
        <f ca="1"/>
        <v/>
      </c>
      <c r="XE1505" s="42" t="str">
        <f ca="1"/>
        <v/>
      </c>
      <c r="XF1505" s="42" t="str">
        <f ca="1"/>
        <v/>
      </c>
      <c r="XG1505" s="42" t="str">
        <f ca="1"/>
        <v/>
      </c>
      <c r="XH1505" s="42" t="str">
        <f ca="1"/>
        <v/>
      </c>
      <c r="XI1505" s="42" t="str">
        <f ca="1"/>
        <v/>
      </c>
      <c r="XJ1505" s="42" t="str">
        <f ca="1"/>
        <v/>
      </c>
      <c r="XK1505" s="42" t="str">
        <f ca="1"/>
        <v/>
      </c>
      <c r="XL1505" s="42" t="str">
        <f ca="1"/>
        <v/>
      </c>
      <c r="XM1505" s="42" t="str">
        <f ca="1"/>
        <v/>
      </c>
      <c r="XN1505" s="42" t="str">
        <f ca="1"/>
        <v/>
      </c>
      <c r="XO1505" s="42" t="str">
        <f ca="1"/>
        <v/>
      </c>
      <c r="XP1505" s="42" t="str">
        <f ca="1"/>
        <v/>
      </c>
      <c r="XQ1505" s="42" t="str">
        <f ca="1"/>
        <v/>
      </c>
      <c r="XR1505" s="42" t="str">
        <f ca="1"/>
        <v/>
      </c>
      <c r="XS1505" s="42" t="str">
        <f ca="1"/>
        <v/>
      </c>
      <c r="XT1505" s="42" t="str">
        <f ca="1"/>
        <v/>
      </c>
      <c r="XU1505" s="42" t="str">
        <f ca="1"/>
        <v/>
      </c>
      <c r="XV1505" s="42" t="str">
        <f ca="1"/>
        <v/>
      </c>
      <c r="XW1505" s="42" t="str">
        <f ca="1"/>
        <v/>
      </c>
      <c r="XX1505" s="42" t="str">
        <f ca="1"/>
        <v/>
      </c>
      <c r="XY1505" s="42" t="str">
        <f ca="1"/>
        <v/>
      </c>
      <c r="XZ1505" s="42" t="str">
        <f ca="1"/>
        <v/>
      </c>
      <c r="YA1505" s="42" t="str">
        <f ca="1"/>
        <v/>
      </c>
      <c r="YB1505" s="42" t="str">
        <f ca="1"/>
        <v/>
      </c>
      <c r="YC1505" s="42" t="str">
        <f ca="1"/>
        <v/>
      </c>
      <c r="YD1505" s="42" t="str">
        <f ca="1"/>
        <v/>
      </c>
      <c r="YE1505" s="42" t="str">
        <f ca="1"/>
        <v/>
      </c>
      <c r="YF1505" s="42" t="str">
        <f ca="1"/>
        <v/>
      </c>
      <c r="YG1505" s="42" t="str">
        <f ca="1"/>
        <v/>
      </c>
      <c r="YH1505" s="42" t="str">
        <f ca="1"/>
        <v/>
      </c>
      <c r="YI1505" s="42" t="str">
        <f ca="1"/>
        <v/>
      </c>
      <c r="YJ1505" s="42" t="str">
        <f ca="1"/>
        <v/>
      </c>
      <c r="YK1505" s="42" t="str">
        <f ca="1"/>
        <v/>
      </c>
      <c r="YL1505" s="42" t="str">
        <f ca="1"/>
        <v/>
      </c>
      <c r="YM1505" s="42" t="str">
        <f ca="1"/>
        <v/>
      </c>
      <c r="YN1505" s="42" t="str">
        <f ca="1"/>
        <v/>
      </c>
      <c r="YO1505" s="42" t="str">
        <f ca="1"/>
        <v/>
      </c>
      <c r="YP1505" s="42" t="str">
        <f ca="1"/>
        <v/>
      </c>
      <c r="YQ1505" s="42" t="str">
        <f ca="1"/>
        <v/>
      </c>
      <c r="YR1505" s="42" t="str">
        <f ca="1"/>
        <v/>
      </c>
      <c r="YS1505" s="42" t="str">
        <f ca="1"/>
        <v/>
      </c>
      <c r="YT1505" s="42" t="str">
        <f ca="1"/>
        <v/>
      </c>
      <c r="YU1505" s="42" t="str">
        <f ca="1"/>
        <v/>
      </c>
      <c r="YV1505" s="42" t="str">
        <f ca="1"/>
        <v/>
      </c>
      <c r="YW1505" s="42" t="str">
        <f ca="1"/>
        <v/>
      </c>
      <c r="YX1505" s="42" t="str">
        <f ca="1"/>
        <v/>
      </c>
      <c r="YY1505" s="42" t="str">
        <f ca="1"/>
        <v/>
      </c>
      <c r="YZ1505" s="42" t="str">
        <f ca="1"/>
        <v/>
      </c>
      <c r="ZA1505" s="42" t="str">
        <f ca="1"/>
        <v/>
      </c>
      <c r="ZB1505" s="42" t="str">
        <f ca="1"/>
        <v/>
      </c>
      <c r="ZC1505" s="42" t="str">
        <f ca="1"/>
        <v/>
      </c>
      <c r="ZD1505" s="42" t="str">
        <f ca="1"/>
        <v/>
      </c>
      <c r="ZE1505" s="42" t="str">
        <f ca="1"/>
        <v/>
      </c>
      <c r="ZF1505" s="42" t="str">
        <f ca="1"/>
        <v/>
      </c>
      <c r="ZG1505" s="42" t="str">
        <f ca="1"/>
        <v/>
      </c>
      <c r="ZH1505" s="42" t="str">
        <f ca="1"/>
        <v/>
      </c>
      <c r="ZI1505" s="42" t="str">
        <f ca="1"/>
        <v/>
      </c>
      <c r="ZJ1505" s="42" t="str">
        <f ca="1"/>
        <v/>
      </c>
      <c r="ZK1505" s="42" t="str">
        <f ca="1"/>
        <v/>
      </c>
      <c r="ZL1505" s="42" t="str">
        <f ca="1"/>
        <v/>
      </c>
      <c r="ZM1505" s="42" t="str">
        <f ca="1"/>
        <v/>
      </c>
      <c r="ZN1505" s="42" t="str">
        <f ca="1"/>
        <v/>
      </c>
      <c r="ZO1505" s="42" t="str">
        <f ca="1"/>
        <v/>
      </c>
      <c r="ZP1505" s="42" t="str">
        <f ca="1"/>
        <v/>
      </c>
      <c r="ZQ1505" s="42" t="str">
        <f ca="1"/>
        <v/>
      </c>
      <c r="ZR1505" s="42" t="str">
        <f ca="1"/>
        <v/>
      </c>
      <c r="ZS1505" s="42" t="str">
        <f ca="1"/>
        <v/>
      </c>
      <c r="ZT1505" s="42" t="str">
        <f ca="1"/>
        <v/>
      </c>
      <c r="ZU1505" s="42" t="str">
        <f ca="1"/>
        <v/>
      </c>
      <c r="ZV1505" s="42" t="str">
        <f ca="1"/>
        <v/>
      </c>
      <c r="ZW1505" s="42" t="str">
        <f ca="1"/>
        <v/>
      </c>
      <c r="ZX1505" s="42" t="str">
        <f ca="1"/>
        <v/>
      </c>
      <c r="ZY1505" s="42" t="str">
        <f ca="1"/>
        <v/>
      </c>
      <c r="ZZ1505" s="42" t="str">
        <f ca="1"/>
        <v/>
      </c>
      <c r="AAA1505" s="42" t="str">
        <f ca="1"/>
        <v/>
      </c>
      <c r="AAB1505" s="42" t="str">
        <f ca="1"/>
        <v/>
      </c>
      <c r="AAC1505" s="42" t="str">
        <f ca="1"/>
        <v/>
      </c>
      <c r="AAD1505" s="42" t="str">
        <f ca="1"/>
        <v/>
      </c>
      <c r="AAE1505" s="42" t="str">
        <f ca="1"/>
        <v/>
      </c>
      <c r="AAF1505" s="42" t="str">
        <f ca="1"/>
        <v/>
      </c>
      <c r="AAG1505" s="42" t="str">
        <f ca="1"/>
        <v/>
      </c>
      <c r="AAH1505" s="42" t="str">
        <f ca="1"/>
        <v/>
      </c>
      <c r="AAI1505" s="42" t="str">
        <f ca="1"/>
        <v/>
      </c>
      <c r="AAJ1505" s="42" t="str">
        <f ca="1"/>
        <v/>
      </c>
      <c r="AAK1505" s="42" t="str">
        <f ca="1"/>
        <v/>
      </c>
      <c r="AAL1505" s="42" t="str">
        <f ca="1"/>
        <v/>
      </c>
      <c r="AAM1505" s="42" t="str">
        <f ca="1"/>
        <v/>
      </c>
      <c r="AAN1505" s="42" t="str">
        <f ca="1"/>
        <v/>
      </c>
      <c r="AAO1505" s="42" t="str">
        <f ca="1"/>
        <v/>
      </c>
      <c r="AAP1505" s="42" t="str">
        <f ca="1"/>
        <v/>
      </c>
      <c r="AAQ1505" s="42" t="str">
        <f ca="1"/>
        <v/>
      </c>
      <c r="AAR1505" s="42" t="str">
        <f ca="1"/>
        <v/>
      </c>
      <c r="AAS1505" s="42" t="str">
        <f ca="1"/>
        <v/>
      </c>
      <c r="AAT1505" s="42" t="str">
        <f ca="1"/>
        <v/>
      </c>
      <c r="AAU1505" s="42" t="str">
        <f ca="1"/>
        <v/>
      </c>
      <c r="AAV1505" s="42" t="str">
        <f ca="1"/>
        <v/>
      </c>
      <c r="AAW1505" s="42" t="str">
        <f ca="1"/>
        <v/>
      </c>
      <c r="AAX1505" s="42" t="str">
        <f ca="1"/>
        <v/>
      </c>
      <c r="AAY1505" s="42" t="str">
        <f ca="1"/>
        <v/>
      </c>
      <c r="AAZ1505" s="42" t="str">
        <f ca="1"/>
        <v/>
      </c>
      <c r="ABA1505" s="42" t="str">
        <f ca="1"/>
        <v/>
      </c>
      <c r="ABB1505" s="42" t="str">
        <f ca="1"/>
        <v/>
      </c>
      <c r="ABC1505" s="42" t="str">
        <f ca="1"/>
        <v/>
      </c>
      <c r="ABD1505" s="42" t="str">
        <f ca="1"/>
        <v/>
      </c>
      <c r="ABE1505" s="42" t="str">
        <f ca="1"/>
        <v/>
      </c>
      <c r="ABF1505" s="42" t="str">
        <f ca="1"/>
        <v/>
      </c>
      <c r="ABG1505" s="42" t="str">
        <f ca="1"/>
        <v/>
      </c>
      <c r="ABH1505" s="42" t="str">
        <f ca="1"/>
        <v/>
      </c>
      <c r="ABI1505" s="42" t="str">
        <f ca="1"/>
        <v/>
      </c>
      <c r="ABJ1505" s="42" t="str">
        <f ca="1"/>
        <v/>
      </c>
      <c r="ABK1505" s="42" t="str">
        <f ca="1"/>
        <v/>
      </c>
      <c r="ABL1505" s="42" t="str">
        <f ca="1"/>
        <v/>
      </c>
      <c r="ABM1505" s="42" t="str">
        <f ca="1"/>
        <v/>
      </c>
      <c r="ABN1505" s="42" t="str">
        <f ca="1"/>
        <v/>
      </c>
      <c r="ABO1505" s="42" t="str">
        <f ca="1"/>
        <v/>
      </c>
      <c r="ABP1505" s="42" t="str">
        <f ca="1"/>
        <v/>
      </c>
      <c r="ABQ1505" s="42" t="str">
        <f ca="1"/>
        <v/>
      </c>
      <c r="ABR1505" s="42" t="str">
        <f ca="1"/>
        <v/>
      </c>
      <c r="ABS1505" s="42" t="str">
        <f ca="1"/>
        <v/>
      </c>
      <c r="ABT1505" s="42" t="str">
        <f ca="1"/>
        <v/>
      </c>
      <c r="ABU1505" s="42" t="str">
        <f ca="1"/>
        <v/>
      </c>
      <c r="ABV1505" s="42" t="str">
        <f ca="1"/>
        <v/>
      </c>
      <c r="ABW1505" s="42" t="str">
        <f ca="1"/>
        <v/>
      </c>
      <c r="ABX1505" s="42" t="str">
        <f ca="1"/>
        <v/>
      </c>
      <c r="ABY1505" s="42" t="str">
        <f ca="1"/>
        <v/>
      </c>
      <c r="ABZ1505" s="42" t="str">
        <f ca="1"/>
        <v/>
      </c>
      <c r="ACA1505" s="42" t="str">
        <f ca="1"/>
        <v/>
      </c>
      <c r="ACB1505" s="42" t="str">
        <f ca="1"/>
        <v/>
      </c>
      <c r="ACC1505" s="42" t="str">
        <f ca="1"/>
        <v/>
      </c>
      <c r="ACD1505" s="42" t="str">
        <f ca="1"/>
        <v/>
      </c>
      <c r="ACE1505" s="42" t="str">
        <f ca="1"/>
        <v/>
      </c>
      <c r="ACF1505" s="42" t="str">
        <f ca="1"/>
        <v/>
      </c>
      <c r="ACG1505" s="42" t="str">
        <f ca="1"/>
        <v/>
      </c>
      <c r="ACH1505" s="42" t="str">
        <f ca="1"/>
        <v/>
      </c>
      <c r="ACI1505" s="42" t="str">
        <f ca="1"/>
        <v/>
      </c>
      <c r="ACJ1505" s="42" t="str">
        <f ca="1"/>
        <v/>
      </c>
      <c r="ACK1505" s="42" t="str">
        <f ca="1"/>
        <v/>
      </c>
      <c r="ACL1505" s="42" t="str">
        <f ca="1"/>
        <v/>
      </c>
      <c r="ACM1505" s="42" t="str">
        <f ca="1"/>
        <v/>
      </c>
      <c r="ACN1505" s="42" t="str">
        <f ca="1"/>
        <v/>
      </c>
      <c r="ACO1505" s="42" t="str">
        <f ca="1"/>
        <v/>
      </c>
      <c r="ACP1505" s="42" t="str">
        <f ca="1"/>
        <v/>
      </c>
      <c r="ACQ1505" s="42" t="str">
        <f ca="1"/>
        <v/>
      </c>
      <c r="ACR1505" s="42" t="str">
        <f ca="1"/>
        <v/>
      </c>
      <c r="ACS1505" s="42" t="str">
        <f ca="1"/>
        <v/>
      </c>
      <c r="ACT1505" s="42" t="str">
        <f ca="1"/>
        <v/>
      </c>
      <c r="ACU1505" s="42" t="str">
        <f ca="1"/>
        <v/>
      </c>
      <c r="ACV1505" s="42" t="str">
        <f ca="1"/>
        <v/>
      </c>
      <c r="ACW1505" s="42" t="str">
        <f ca="1"/>
        <v/>
      </c>
      <c r="ACX1505" s="42" t="str">
        <f ca="1"/>
        <v/>
      </c>
      <c r="ACY1505" s="42" t="str">
        <f ca="1"/>
        <v/>
      </c>
      <c r="ACZ1505" s="42" t="str">
        <f ca="1"/>
        <v/>
      </c>
      <c r="ADA1505" s="42" t="str">
        <f ca="1"/>
        <v/>
      </c>
      <c r="ADB1505" s="42" t="str">
        <f ca="1"/>
        <v/>
      </c>
      <c r="ADC1505" s="42" t="str">
        <f ca="1"/>
        <v/>
      </c>
      <c r="ADD1505" s="42" t="str">
        <f ca="1"/>
        <v/>
      </c>
      <c r="ADE1505" s="42" t="str">
        <f ca="1"/>
        <v/>
      </c>
      <c r="ADF1505" s="42" t="str">
        <f ca="1"/>
        <v/>
      </c>
      <c r="ADG1505" s="42" t="str">
        <f ca="1"/>
        <v/>
      </c>
      <c r="ADH1505" s="42" t="str">
        <f ca="1"/>
        <v/>
      </c>
      <c r="ADI1505" s="42" t="str">
        <f ca="1"/>
        <v/>
      </c>
      <c r="ADJ1505" s="42" t="str">
        <f ca="1"/>
        <v/>
      </c>
      <c r="ADK1505" s="42" t="str">
        <f ca="1"/>
        <v/>
      </c>
      <c r="ADL1505" s="42" t="str">
        <f ca="1"/>
        <v/>
      </c>
      <c r="ADM1505" s="42" t="str">
        <f ca="1"/>
        <v/>
      </c>
      <c r="ADN1505" s="42" t="str">
        <f ca="1"/>
        <v/>
      </c>
      <c r="ADO1505" s="42" t="str">
        <f ca="1"/>
        <v/>
      </c>
      <c r="ADP1505" s="42" t="str">
        <f ca="1"/>
        <v/>
      </c>
      <c r="ADQ1505" s="42" t="str">
        <f ca="1"/>
        <v/>
      </c>
      <c r="ADR1505" s="42" t="str">
        <f ca="1"/>
        <v/>
      </c>
      <c r="ADS1505" s="42" t="str">
        <f ca="1"/>
        <v/>
      </c>
      <c r="ADT1505" s="42" t="str">
        <f ca="1"/>
        <v/>
      </c>
      <c r="ADU1505" s="42" t="str">
        <f ca="1"/>
        <v/>
      </c>
      <c r="ADV1505" s="42" t="str">
        <f ca="1"/>
        <v/>
      </c>
      <c r="ADW1505" s="42" t="str">
        <f ca="1"/>
        <v/>
      </c>
      <c r="ADX1505" s="42" t="str">
        <f ca="1"/>
        <v/>
      </c>
      <c r="ADY1505" s="42" t="str">
        <f ca="1"/>
        <v/>
      </c>
      <c r="ADZ1505" s="42" t="str">
        <f ca="1"/>
        <v/>
      </c>
      <c r="AEA1505" s="42" t="str">
        <f ca="1"/>
        <v/>
      </c>
      <c r="AEB1505" s="42" t="str">
        <f ca="1"/>
        <v/>
      </c>
      <c r="AEC1505" s="42" t="str">
        <f ca="1"/>
        <v/>
      </c>
      <c r="AED1505" s="42" t="str">
        <f ca="1"/>
        <v/>
      </c>
      <c r="AEE1505" s="42" t="str">
        <f ca="1"/>
        <v/>
      </c>
      <c r="AEF1505" s="42" t="str">
        <f ca="1"/>
        <v/>
      </c>
      <c r="AEG1505" s="42" t="str">
        <f ca="1"/>
        <v/>
      </c>
      <c r="AEH1505" s="42" t="str">
        <f ca="1"/>
        <v/>
      </c>
      <c r="AEI1505" s="42" t="str">
        <f ca="1"/>
        <v/>
      </c>
      <c r="AEJ1505" s="42" t="str">
        <f ca="1"/>
        <v/>
      </c>
      <c r="AEK1505" s="42" t="str">
        <f ca="1"/>
        <v/>
      </c>
      <c r="AEL1505" s="42" t="str">
        <f ca="1"/>
        <v/>
      </c>
      <c r="AEM1505" s="42" t="str">
        <f ca="1"/>
        <v/>
      </c>
      <c r="AEN1505" s="42" t="str">
        <f ca="1"/>
        <v/>
      </c>
      <c r="AEO1505" s="42" t="str">
        <f ca="1"/>
        <v/>
      </c>
      <c r="AEP1505" s="42" t="str">
        <f ca="1"/>
        <v/>
      </c>
      <c r="AEQ1505" s="42" t="str">
        <f ca="1"/>
        <v/>
      </c>
      <c r="AER1505" s="42" t="str">
        <f ca="1"/>
        <v/>
      </c>
      <c r="AES1505" s="42" t="str">
        <f ca="1"/>
        <v/>
      </c>
      <c r="AET1505" s="42" t="str">
        <f ca="1"/>
        <v/>
      </c>
      <c r="AEU1505" s="42" t="str">
        <f ca="1"/>
        <v/>
      </c>
      <c r="AEV1505" s="42" t="str">
        <f ca="1"/>
        <v/>
      </c>
      <c r="AEW1505" s="42" t="str">
        <f ca="1"/>
        <v/>
      </c>
      <c r="AEX1505" s="42" t="str">
        <f ca="1"/>
        <v/>
      </c>
      <c r="AEY1505" s="42" t="str">
        <f ca="1"/>
        <v/>
      </c>
      <c r="AEZ1505" s="42" t="str">
        <f ca="1"/>
        <v/>
      </c>
      <c r="AFA1505" s="42" t="str">
        <f ca="1"/>
        <v/>
      </c>
      <c r="AFB1505" s="42" t="str">
        <f ca="1"/>
        <v/>
      </c>
      <c r="AFC1505" s="42" t="str">
        <f ca="1"/>
        <v/>
      </c>
      <c r="AFD1505" s="42" t="str">
        <f ca="1"/>
        <v/>
      </c>
      <c r="AFE1505" s="42" t="str">
        <f ca="1"/>
        <v/>
      </c>
      <c r="AFF1505" s="42" t="str">
        <f ca="1"/>
        <v/>
      </c>
      <c r="AFG1505" s="42" t="str">
        <f ca="1"/>
        <v/>
      </c>
      <c r="AFH1505" s="42" t="str">
        <f ca="1"/>
        <v/>
      </c>
      <c r="AFI1505" s="42" t="str">
        <f ca="1"/>
        <v/>
      </c>
      <c r="AFJ1505" s="42" t="str">
        <f ca="1"/>
        <v/>
      </c>
      <c r="AFK1505" s="42" t="str">
        <f ca="1"/>
        <v/>
      </c>
      <c r="AFL1505" s="42" t="str">
        <f ca="1"/>
        <v/>
      </c>
      <c r="AFM1505" s="42" t="str">
        <f ca="1"/>
        <v/>
      </c>
      <c r="AFN1505" s="42" t="str">
        <f ca="1"/>
        <v/>
      </c>
      <c r="AFO1505" s="42" t="str">
        <f ca="1"/>
        <v/>
      </c>
      <c r="AFP1505" s="42" t="str">
        <f ca="1"/>
        <v/>
      </c>
      <c r="AFQ1505" s="42" t="str">
        <f ca="1"/>
        <v/>
      </c>
      <c r="AFR1505" s="42" t="str">
        <f ca="1"/>
        <v/>
      </c>
      <c r="AFS1505" s="42" t="str">
        <f ca="1"/>
        <v/>
      </c>
      <c r="AFT1505" s="42" t="str">
        <f ca="1"/>
        <v/>
      </c>
      <c r="AFU1505" s="42" t="str">
        <f ca="1"/>
        <v/>
      </c>
      <c r="AFV1505" s="42" t="str">
        <f ca="1"/>
        <v/>
      </c>
      <c r="AFW1505" s="42" t="str">
        <f ca="1"/>
        <v/>
      </c>
      <c r="AFX1505" s="42" t="str">
        <f ca="1"/>
        <v/>
      </c>
      <c r="AFY1505" s="42" t="str">
        <f ca="1"/>
        <v/>
      </c>
      <c r="AFZ1505" s="42" t="str">
        <f ca="1"/>
        <v/>
      </c>
      <c r="AGA1505" s="42" t="str">
        <f ca="1"/>
        <v/>
      </c>
      <c r="AGB1505" s="42" t="str">
        <f ca="1"/>
        <v/>
      </c>
      <c r="AGC1505" s="42" t="str">
        <f ca="1"/>
        <v/>
      </c>
      <c r="AGD1505" s="42" t="str">
        <f ca="1"/>
        <v/>
      </c>
      <c r="AGE1505" s="42" t="str">
        <f ca="1"/>
        <v/>
      </c>
      <c r="AGF1505" s="42" t="str">
        <f ca="1"/>
        <v/>
      </c>
      <c r="AGG1505" s="42" t="str">
        <f ca="1"/>
        <v/>
      </c>
      <c r="AGH1505" s="42" t="str">
        <f ca="1"/>
        <v/>
      </c>
      <c r="AGI1505" s="42" t="str">
        <f ca="1"/>
        <v/>
      </c>
      <c r="AGJ1505" s="42" t="str">
        <f ca="1"/>
        <v/>
      </c>
      <c r="AGK1505" s="42" t="str">
        <f ca="1"/>
        <v/>
      </c>
      <c r="AGL1505" s="42" t="str">
        <f ca="1"/>
        <v/>
      </c>
      <c r="AGM1505" s="42" t="str">
        <f ca="1"/>
        <v/>
      </c>
      <c r="AGN1505" s="42" t="str">
        <f ca="1"/>
        <v/>
      </c>
    </row>
    <row r="1506" spans="15:872" x14ac:dyDescent="0.25">
      <c r="O1506" s="42">
        <v>16</v>
      </c>
      <c r="P1506" s="42" t="str">
        <f ca="1"/>
        <v/>
      </c>
      <c r="Q1506" s="42" t="str">
        <f ca="1"/>
        <v/>
      </c>
      <c r="R1506" s="42" t="str">
        <f ca="1"/>
        <v/>
      </c>
      <c r="S1506" s="42" t="str">
        <f ca="1"/>
        <v/>
      </c>
      <c r="T1506" s="42" t="str">
        <f ca="1"/>
        <v/>
      </c>
      <c r="U1506" s="42" t="str">
        <f ca="1"/>
        <v/>
      </c>
      <c r="V1506" s="42" t="str">
        <f ca="1"/>
        <v/>
      </c>
      <c r="W1506" s="42" t="str">
        <f ca="1"/>
        <v/>
      </c>
      <c r="X1506" s="42" t="str">
        <f ca="1"/>
        <v/>
      </c>
      <c r="Y1506" s="42" t="str">
        <f ca="1"/>
        <v/>
      </c>
      <c r="Z1506" s="42" t="str">
        <f ca="1"/>
        <v/>
      </c>
      <c r="AA1506" s="42" t="str">
        <f ca="1"/>
        <v/>
      </c>
      <c r="AB1506" s="42" t="str">
        <f ca="1"/>
        <v/>
      </c>
      <c r="AC1506" s="42" t="str">
        <f ca="1"/>
        <v/>
      </c>
      <c r="AD1506" s="42" t="str">
        <f ca="1"/>
        <v/>
      </c>
      <c r="AE1506" s="42" t="str">
        <f ca="1"/>
        <v/>
      </c>
      <c r="AF1506" s="42" t="str">
        <f ca="1"/>
        <v/>
      </c>
      <c r="AG1506" s="42" t="str">
        <f ca="1"/>
        <v/>
      </c>
      <c r="AH1506" s="42" t="str">
        <f ca="1"/>
        <v/>
      </c>
      <c r="AI1506" s="42" t="str">
        <f ca="1"/>
        <v/>
      </c>
      <c r="AJ1506" s="42" t="str">
        <f ca="1"/>
        <v/>
      </c>
      <c r="AK1506" s="42" t="str">
        <f ca="1"/>
        <v/>
      </c>
      <c r="AL1506" s="42" t="str">
        <f ca="1"/>
        <v/>
      </c>
      <c r="AM1506" s="42" t="str">
        <f ca="1"/>
        <v/>
      </c>
      <c r="AN1506" s="42" t="str">
        <f ca="1"/>
        <v/>
      </c>
      <c r="AO1506" s="42" t="str">
        <f ca="1"/>
        <v/>
      </c>
      <c r="AP1506" s="42" t="str">
        <f ca="1"/>
        <v/>
      </c>
      <c r="AQ1506" s="42" t="str">
        <f ca="1"/>
        <v/>
      </c>
      <c r="AR1506" s="42" t="str">
        <f ca="1"/>
        <v/>
      </c>
      <c r="AS1506" s="42" t="str">
        <f ca="1"/>
        <v/>
      </c>
      <c r="AT1506" s="42" t="str">
        <f ca="1"/>
        <v/>
      </c>
      <c r="AU1506" s="42" t="str">
        <f ca="1"/>
        <v/>
      </c>
      <c r="AV1506" s="42" t="str">
        <f ca="1"/>
        <v/>
      </c>
      <c r="AW1506" s="42" t="str">
        <f ca="1"/>
        <v/>
      </c>
      <c r="AX1506" s="42" t="str">
        <f ca="1"/>
        <v/>
      </c>
      <c r="AY1506" s="42" t="str">
        <f ca="1"/>
        <v/>
      </c>
      <c r="AZ1506" s="42" t="str">
        <f ca="1"/>
        <v/>
      </c>
      <c r="BA1506" s="42" t="str">
        <f ca="1"/>
        <v/>
      </c>
      <c r="BB1506" s="42" t="str">
        <f ca="1"/>
        <v/>
      </c>
      <c r="BC1506" s="42" t="str">
        <f ca="1"/>
        <v/>
      </c>
      <c r="BD1506" s="42" t="str">
        <f ca="1"/>
        <v/>
      </c>
      <c r="BE1506" s="42" t="str">
        <f ca="1"/>
        <v/>
      </c>
      <c r="BF1506" s="42" t="str">
        <f ca="1"/>
        <v/>
      </c>
      <c r="BG1506" s="42" t="str">
        <f ca="1"/>
        <v/>
      </c>
      <c r="BH1506" s="42" t="str">
        <f ca="1"/>
        <v/>
      </c>
      <c r="BI1506" s="42" t="str">
        <f ca="1"/>
        <v/>
      </c>
      <c r="BJ1506" s="42" t="str">
        <f ca="1"/>
        <v/>
      </c>
      <c r="BK1506" s="42" t="str">
        <f ca="1"/>
        <v/>
      </c>
      <c r="BL1506" s="42" t="str">
        <f ca="1"/>
        <v/>
      </c>
      <c r="BM1506" s="42" t="str">
        <f ca="1"/>
        <v/>
      </c>
      <c r="BN1506" s="42" t="str">
        <f ca="1"/>
        <v/>
      </c>
      <c r="BO1506" s="42" t="str">
        <f ca="1"/>
        <v/>
      </c>
      <c r="BP1506" s="42" t="str">
        <f ca="1"/>
        <v/>
      </c>
      <c r="BQ1506" s="42" t="str">
        <f ca="1"/>
        <v/>
      </c>
      <c r="BR1506" s="42" t="str">
        <f ca="1"/>
        <v/>
      </c>
      <c r="BS1506" s="42" t="str">
        <f ca="1"/>
        <v/>
      </c>
      <c r="BT1506" s="42" t="str">
        <f ca="1"/>
        <v/>
      </c>
      <c r="BU1506" s="42" t="str">
        <f ca="1"/>
        <v/>
      </c>
      <c r="BV1506" s="42" t="str">
        <f ca="1"/>
        <v/>
      </c>
      <c r="BW1506" s="42" t="str">
        <f ca="1"/>
        <v/>
      </c>
      <c r="BX1506" s="42" t="str">
        <f ca="1"/>
        <v/>
      </c>
      <c r="BY1506" s="42" t="str">
        <f ca="1"/>
        <v/>
      </c>
      <c r="BZ1506" s="42" t="str">
        <f ca="1"/>
        <v/>
      </c>
      <c r="CA1506" s="42" t="str">
        <f ca="1"/>
        <v/>
      </c>
      <c r="CB1506" s="42" t="str">
        <f ca="1"/>
        <v/>
      </c>
      <c r="CC1506" s="42" t="str">
        <f ca="1"/>
        <v/>
      </c>
      <c r="CD1506" s="42" t="str">
        <f ca="1"/>
        <v/>
      </c>
      <c r="CE1506" s="42" t="str">
        <f ca="1"/>
        <v/>
      </c>
      <c r="CF1506" s="42" t="str">
        <f ca="1"/>
        <v/>
      </c>
      <c r="CG1506" s="42" t="str">
        <f ca="1"/>
        <v/>
      </c>
      <c r="CH1506" s="42" t="str">
        <f ca="1"/>
        <v/>
      </c>
      <c r="CI1506" s="42" t="str">
        <f ca="1"/>
        <v/>
      </c>
      <c r="CJ1506" s="42" t="str">
        <f ca="1"/>
        <v/>
      </c>
      <c r="CK1506" s="42" t="str">
        <f ca="1"/>
        <v/>
      </c>
      <c r="CL1506" s="42" t="str">
        <f ca="1"/>
        <v/>
      </c>
      <c r="CM1506" s="42" t="str">
        <f ca="1"/>
        <v/>
      </c>
      <c r="CN1506" s="42" t="str">
        <f ca="1"/>
        <v/>
      </c>
      <c r="CO1506" s="42" t="str">
        <f ca="1"/>
        <v/>
      </c>
      <c r="CP1506" s="42" t="str">
        <f ca="1"/>
        <v/>
      </c>
      <c r="CQ1506" s="42" t="str">
        <f ca="1"/>
        <v/>
      </c>
      <c r="CR1506" s="42" t="str">
        <f ca="1"/>
        <v/>
      </c>
      <c r="CS1506" s="42" t="str">
        <f ca="1"/>
        <v/>
      </c>
      <c r="CT1506" s="42" t="str">
        <f ca="1"/>
        <v/>
      </c>
      <c r="CU1506" s="42" t="str">
        <f ca="1"/>
        <v/>
      </c>
      <c r="CV1506" s="42" t="str">
        <f ca="1"/>
        <v/>
      </c>
      <c r="CW1506" s="42" t="str">
        <f ca="1"/>
        <v/>
      </c>
      <c r="CX1506" s="42" t="str">
        <f ca="1"/>
        <v/>
      </c>
      <c r="CY1506" s="42" t="str">
        <f ca="1"/>
        <v/>
      </c>
      <c r="CZ1506" s="42" t="str">
        <f ca="1"/>
        <v/>
      </c>
      <c r="DA1506" s="42" t="str">
        <f ca="1"/>
        <v/>
      </c>
      <c r="DB1506" s="42" t="str">
        <f ca="1"/>
        <v/>
      </c>
      <c r="DC1506" s="42" t="str">
        <f ca="1"/>
        <v/>
      </c>
      <c r="DD1506" s="42" t="str">
        <f ca="1"/>
        <v/>
      </c>
      <c r="DE1506" s="42" t="str">
        <f ca="1"/>
        <v/>
      </c>
      <c r="DF1506" s="42" t="str">
        <f ca="1"/>
        <v/>
      </c>
      <c r="DG1506" s="42" t="str">
        <f ca="1"/>
        <v/>
      </c>
      <c r="DH1506" s="42" t="str">
        <f ca="1"/>
        <v/>
      </c>
      <c r="DI1506" s="42" t="str">
        <f ca="1"/>
        <v/>
      </c>
      <c r="DJ1506" s="42" t="str">
        <f ca="1"/>
        <v/>
      </c>
      <c r="DK1506" s="42" t="str">
        <f ca="1"/>
        <v/>
      </c>
      <c r="DL1506" s="42" t="str">
        <f ca="1"/>
        <v/>
      </c>
      <c r="DM1506" s="42" t="str">
        <f ca="1"/>
        <v/>
      </c>
      <c r="DN1506" s="42" t="str">
        <f ca="1"/>
        <v/>
      </c>
      <c r="DO1506" s="42" t="str">
        <f ca="1"/>
        <v/>
      </c>
      <c r="DP1506" s="42" t="str">
        <f ca="1"/>
        <v/>
      </c>
      <c r="DQ1506" s="42" t="str">
        <f ca="1"/>
        <v/>
      </c>
      <c r="DR1506" s="42" t="str">
        <f ca="1"/>
        <v/>
      </c>
      <c r="DS1506" s="42" t="str">
        <f ca="1"/>
        <v/>
      </c>
      <c r="DT1506" s="42" t="str">
        <f ca="1"/>
        <v/>
      </c>
      <c r="DU1506" s="42" t="str">
        <f ca="1"/>
        <v/>
      </c>
      <c r="DV1506" s="42" t="str">
        <f ca="1"/>
        <v/>
      </c>
      <c r="DW1506" s="42" t="str">
        <f ca="1"/>
        <v/>
      </c>
      <c r="DX1506" s="42" t="str">
        <f ca="1"/>
        <v/>
      </c>
      <c r="DY1506" s="42" t="str">
        <f ca="1"/>
        <v/>
      </c>
      <c r="DZ1506" s="42" t="str">
        <f ca="1"/>
        <v/>
      </c>
      <c r="EA1506" s="42" t="str">
        <f ca="1"/>
        <v/>
      </c>
      <c r="EB1506" s="42" t="str">
        <f ca="1"/>
        <v/>
      </c>
      <c r="EC1506" s="42" t="str">
        <f ca="1"/>
        <v/>
      </c>
      <c r="ED1506" s="42" t="str">
        <f ca="1"/>
        <v/>
      </c>
      <c r="EE1506" s="42" t="str">
        <f ca="1"/>
        <v/>
      </c>
      <c r="EF1506" s="42" t="str">
        <f ca="1"/>
        <v/>
      </c>
      <c r="EG1506" s="42" t="str">
        <f ca="1"/>
        <v/>
      </c>
      <c r="EH1506" s="42" t="str">
        <f ca="1"/>
        <v/>
      </c>
      <c r="EI1506" s="42" t="str">
        <f ca="1"/>
        <v/>
      </c>
      <c r="EJ1506" s="42" t="str">
        <f ca="1"/>
        <v/>
      </c>
      <c r="EK1506" s="42" t="str">
        <f ca="1"/>
        <v/>
      </c>
      <c r="EL1506" s="42" t="str">
        <f ca="1"/>
        <v/>
      </c>
      <c r="EM1506" s="42" t="str">
        <f ca="1"/>
        <v/>
      </c>
      <c r="EN1506" s="42" t="str">
        <f ca="1"/>
        <v/>
      </c>
      <c r="EO1506" s="42" t="str">
        <f ca="1"/>
        <v/>
      </c>
      <c r="EP1506" s="42" t="str">
        <f ca="1"/>
        <v/>
      </c>
      <c r="EQ1506" s="42" t="str">
        <f ca="1"/>
        <v/>
      </c>
      <c r="ER1506" s="42" t="str">
        <f ca="1"/>
        <v/>
      </c>
      <c r="ES1506" s="42" t="str">
        <f ca="1"/>
        <v/>
      </c>
      <c r="ET1506" s="42" t="str">
        <f ca="1"/>
        <v/>
      </c>
      <c r="EU1506" s="42" t="str">
        <f ca="1"/>
        <v/>
      </c>
      <c r="EV1506" s="42" t="str">
        <f ca="1"/>
        <v/>
      </c>
      <c r="EW1506" s="42" t="str">
        <f ca="1"/>
        <v/>
      </c>
      <c r="EX1506" s="42" t="str">
        <f ca="1"/>
        <v/>
      </c>
      <c r="EY1506" s="42" t="str">
        <f ca="1"/>
        <v/>
      </c>
      <c r="EZ1506" s="42" t="str">
        <f ca="1"/>
        <v/>
      </c>
      <c r="FA1506" s="42" t="str">
        <f ca="1"/>
        <v/>
      </c>
      <c r="FB1506" s="42" t="str">
        <f ca="1"/>
        <v/>
      </c>
      <c r="FC1506" s="42" t="str">
        <f ca="1"/>
        <v/>
      </c>
      <c r="FD1506" s="42" t="str">
        <f ca="1"/>
        <v/>
      </c>
      <c r="FE1506" s="42" t="str">
        <f ca="1"/>
        <v/>
      </c>
      <c r="FF1506" s="42" t="str">
        <f ca="1"/>
        <v/>
      </c>
      <c r="FG1506" s="42" t="str">
        <f ca="1"/>
        <v/>
      </c>
      <c r="FH1506" s="42" t="str">
        <f ca="1"/>
        <v/>
      </c>
      <c r="FI1506" s="42" t="str">
        <f ca="1"/>
        <v/>
      </c>
      <c r="FJ1506" s="42" t="str">
        <f ca="1"/>
        <v/>
      </c>
      <c r="FK1506" s="42" t="str">
        <f ca="1"/>
        <v/>
      </c>
      <c r="FL1506" s="42" t="str">
        <f ca="1"/>
        <v/>
      </c>
      <c r="FM1506" s="42" t="str">
        <f ca="1"/>
        <v/>
      </c>
      <c r="FN1506" s="42" t="str">
        <f ca="1"/>
        <v/>
      </c>
      <c r="FO1506" s="42" t="str">
        <f ca="1"/>
        <v/>
      </c>
      <c r="FP1506" s="42" t="str">
        <f ca="1"/>
        <v/>
      </c>
      <c r="FQ1506" s="42" t="str">
        <f ca="1"/>
        <v/>
      </c>
      <c r="FR1506" s="42" t="str">
        <f ca="1"/>
        <v/>
      </c>
      <c r="FS1506" s="42" t="str">
        <f ca="1"/>
        <v/>
      </c>
      <c r="FT1506" s="42" t="str">
        <f ca="1"/>
        <v/>
      </c>
      <c r="FU1506" s="42" t="str">
        <f ca="1"/>
        <v/>
      </c>
      <c r="FV1506" s="42" t="str">
        <f ca="1"/>
        <v/>
      </c>
      <c r="FW1506" s="42" t="str">
        <f ca="1"/>
        <v/>
      </c>
      <c r="FX1506" s="42" t="str">
        <f ca="1"/>
        <v/>
      </c>
      <c r="FY1506" s="42" t="str">
        <f ca="1"/>
        <v/>
      </c>
      <c r="FZ1506" s="42" t="str">
        <f ca="1"/>
        <v/>
      </c>
      <c r="GA1506" s="42" t="str">
        <f ca="1"/>
        <v/>
      </c>
      <c r="GB1506" s="42" t="str">
        <f ca="1"/>
        <v/>
      </c>
      <c r="GC1506" s="42" t="str">
        <f ca="1"/>
        <v/>
      </c>
      <c r="GD1506" s="42" t="str">
        <f ca="1"/>
        <v/>
      </c>
      <c r="GE1506" s="42" t="str">
        <f ca="1"/>
        <v/>
      </c>
      <c r="GF1506" s="42" t="str">
        <f ca="1"/>
        <v/>
      </c>
      <c r="GG1506" s="42" t="str">
        <f ca="1"/>
        <v/>
      </c>
      <c r="GH1506" s="42" t="str">
        <f ca="1"/>
        <v/>
      </c>
      <c r="GI1506" s="42" t="str">
        <f ca="1"/>
        <v/>
      </c>
      <c r="GJ1506" s="42" t="str">
        <f ca="1"/>
        <v/>
      </c>
      <c r="GK1506" s="42" t="str">
        <f ca="1"/>
        <v/>
      </c>
      <c r="GL1506" s="42" t="str">
        <f ca="1"/>
        <v/>
      </c>
      <c r="GM1506" s="42" t="str">
        <f ca="1"/>
        <v/>
      </c>
      <c r="GN1506" s="42" t="str">
        <f ca="1"/>
        <v/>
      </c>
      <c r="GO1506" s="42" t="str">
        <f ca="1"/>
        <v/>
      </c>
      <c r="GP1506" s="42" t="str">
        <f ca="1"/>
        <v/>
      </c>
      <c r="GQ1506" s="42" t="str">
        <f ca="1"/>
        <v/>
      </c>
      <c r="GR1506" s="42" t="str">
        <f ca="1"/>
        <v/>
      </c>
      <c r="GS1506" s="42" t="str">
        <f ca="1"/>
        <v/>
      </c>
      <c r="GT1506" s="42" t="str">
        <f ca="1"/>
        <v/>
      </c>
      <c r="GU1506" s="42" t="str">
        <f ca="1"/>
        <v/>
      </c>
      <c r="GV1506" s="42" t="str">
        <f ca="1"/>
        <v/>
      </c>
      <c r="GW1506" s="42" t="str">
        <f ca="1"/>
        <v/>
      </c>
      <c r="GX1506" s="42" t="str">
        <f ca="1"/>
        <v/>
      </c>
      <c r="GY1506" s="42" t="str">
        <f ca="1"/>
        <v/>
      </c>
      <c r="GZ1506" s="42" t="str">
        <f ca="1"/>
        <v/>
      </c>
      <c r="HA1506" s="42" t="str">
        <f ca="1"/>
        <v/>
      </c>
      <c r="HB1506" s="42" t="str">
        <f ca="1"/>
        <v/>
      </c>
      <c r="HC1506" s="42" t="str">
        <f ca="1"/>
        <v/>
      </c>
      <c r="HD1506" s="42" t="str">
        <f ca="1"/>
        <v/>
      </c>
      <c r="HE1506" s="42" t="str">
        <f ca="1"/>
        <v/>
      </c>
      <c r="HF1506" s="42" t="str">
        <f ca="1"/>
        <v/>
      </c>
      <c r="HG1506" s="42" t="str">
        <f ca="1"/>
        <v/>
      </c>
      <c r="HH1506" s="42" t="str">
        <f ca="1"/>
        <v/>
      </c>
      <c r="HI1506" s="42" t="str">
        <f ca="1"/>
        <v/>
      </c>
      <c r="HJ1506" s="42" t="str">
        <f ca="1"/>
        <v/>
      </c>
      <c r="HK1506" s="42" t="str">
        <f ca="1"/>
        <v/>
      </c>
      <c r="HL1506" s="42" t="str">
        <f ca="1"/>
        <v/>
      </c>
      <c r="HM1506" s="42" t="str">
        <f ca="1"/>
        <v/>
      </c>
      <c r="HN1506" s="42" t="str">
        <f ca="1"/>
        <v/>
      </c>
      <c r="HO1506" s="42" t="str">
        <f ca="1"/>
        <v/>
      </c>
      <c r="HP1506" s="42" t="str">
        <f ca="1"/>
        <v/>
      </c>
      <c r="HQ1506" s="42" t="str">
        <f ca="1"/>
        <v/>
      </c>
      <c r="HR1506" s="42" t="str">
        <f ca="1"/>
        <v/>
      </c>
      <c r="HS1506" s="42" t="str">
        <f ca="1"/>
        <v/>
      </c>
      <c r="HT1506" s="42" t="str">
        <f ca="1"/>
        <v/>
      </c>
      <c r="HU1506" s="42" t="str">
        <f ca="1"/>
        <v/>
      </c>
      <c r="HV1506" s="42" t="str">
        <f ca="1"/>
        <v/>
      </c>
      <c r="HW1506" s="42" t="str">
        <f ca="1"/>
        <v/>
      </c>
      <c r="HX1506" s="42" t="str">
        <f ca="1"/>
        <v/>
      </c>
      <c r="HY1506" s="42" t="str">
        <f ca="1"/>
        <v/>
      </c>
      <c r="HZ1506" s="42" t="str">
        <f ca="1"/>
        <v/>
      </c>
      <c r="IA1506" s="42" t="str">
        <f ca="1"/>
        <v/>
      </c>
      <c r="IB1506" s="42" t="str">
        <f ca="1"/>
        <v/>
      </c>
      <c r="IC1506" s="42" t="str">
        <f ca="1"/>
        <v/>
      </c>
      <c r="ID1506" s="42" t="str">
        <f ca="1"/>
        <v/>
      </c>
      <c r="IE1506" s="42" t="str">
        <f ca="1"/>
        <v/>
      </c>
      <c r="IF1506" s="42" t="str">
        <f ca="1"/>
        <v/>
      </c>
      <c r="IG1506" s="42" t="str">
        <f ca="1"/>
        <v/>
      </c>
      <c r="IH1506" s="42" t="str">
        <f ca="1"/>
        <v/>
      </c>
      <c r="II1506" s="42" t="str">
        <f ca="1"/>
        <v/>
      </c>
      <c r="IJ1506" s="42" t="str">
        <f ca="1"/>
        <v/>
      </c>
      <c r="IK1506" s="42" t="str">
        <f ca="1"/>
        <v/>
      </c>
      <c r="IL1506" s="42" t="str">
        <f ca="1"/>
        <v/>
      </c>
      <c r="IM1506" s="42" t="str">
        <f ca="1"/>
        <v/>
      </c>
      <c r="IN1506" s="42" t="str">
        <f ca="1"/>
        <v/>
      </c>
      <c r="IO1506" s="42" t="str">
        <f ca="1"/>
        <v/>
      </c>
      <c r="IP1506" s="42" t="str">
        <f ca="1"/>
        <v/>
      </c>
      <c r="IQ1506" s="42" t="str">
        <f ca="1"/>
        <v/>
      </c>
      <c r="IR1506" s="42" t="str">
        <f ca="1"/>
        <v/>
      </c>
      <c r="IS1506" s="42" t="str">
        <f ca="1"/>
        <v/>
      </c>
      <c r="IT1506" s="42" t="str">
        <f ca="1"/>
        <v/>
      </c>
      <c r="IU1506" s="42" t="str">
        <f ca="1"/>
        <v/>
      </c>
      <c r="IV1506" s="42" t="str">
        <f ca="1"/>
        <v/>
      </c>
      <c r="IW1506" s="42" t="str">
        <f ca="1"/>
        <v/>
      </c>
      <c r="IX1506" s="42" t="str">
        <f ca="1"/>
        <v/>
      </c>
      <c r="IY1506" s="42" t="str">
        <f ca="1"/>
        <v/>
      </c>
      <c r="IZ1506" s="42" t="str">
        <f ca="1"/>
        <v/>
      </c>
      <c r="JA1506" s="42" t="str">
        <f ca="1"/>
        <v/>
      </c>
      <c r="JB1506" s="42" t="str">
        <f ca="1"/>
        <v/>
      </c>
      <c r="JC1506" s="42" t="str">
        <f ca="1"/>
        <v/>
      </c>
      <c r="JD1506" s="42" t="str">
        <f ca="1"/>
        <v/>
      </c>
      <c r="JE1506" s="42" t="str">
        <f ca="1"/>
        <v/>
      </c>
      <c r="JF1506" s="42" t="str">
        <f ca="1"/>
        <v/>
      </c>
      <c r="JG1506" s="42" t="str">
        <f ca="1"/>
        <v/>
      </c>
      <c r="JH1506" s="42" t="str">
        <f ca="1"/>
        <v/>
      </c>
      <c r="JI1506" s="42" t="str">
        <f ca="1"/>
        <v/>
      </c>
      <c r="JJ1506" s="42" t="str">
        <f ca="1"/>
        <v/>
      </c>
      <c r="JK1506" s="42" t="str">
        <f ca="1"/>
        <v/>
      </c>
      <c r="JL1506" s="42" t="str">
        <f ca="1"/>
        <v/>
      </c>
      <c r="JM1506" s="42" t="str">
        <f ca="1"/>
        <v/>
      </c>
      <c r="JN1506" s="42" t="str">
        <f ca="1"/>
        <v/>
      </c>
      <c r="JO1506" s="42" t="str">
        <f ca="1"/>
        <v/>
      </c>
      <c r="JP1506" s="42" t="str">
        <f ca="1"/>
        <v/>
      </c>
      <c r="JQ1506" s="42" t="str">
        <f ca="1"/>
        <v/>
      </c>
      <c r="JR1506" s="42" t="str">
        <f ca="1"/>
        <v/>
      </c>
      <c r="JS1506" s="42" t="str">
        <f ca="1"/>
        <v/>
      </c>
      <c r="JT1506" s="42" t="str">
        <f ca="1"/>
        <v/>
      </c>
      <c r="JU1506" s="42" t="str">
        <f ca="1"/>
        <v/>
      </c>
      <c r="JV1506" s="42" t="str">
        <f ca="1"/>
        <v/>
      </c>
      <c r="JW1506" s="42" t="str">
        <f ca="1"/>
        <v/>
      </c>
      <c r="JX1506" s="42" t="str">
        <f ca="1"/>
        <v/>
      </c>
      <c r="JY1506" s="42" t="str">
        <f ca="1"/>
        <v/>
      </c>
      <c r="JZ1506" s="42" t="str">
        <f ca="1"/>
        <v/>
      </c>
      <c r="KA1506" s="42" t="str">
        <f ca="1"/>
        <v/>
      </c>
      <c r="KB1506" s="42" t="str">
        <f ca="1"/>
        <v/>
      </c>
      <c r="KC1506" s="42" t="str">
        <f ca="1"/>
        <v/>
      </c>
      <c r="KD1506" s="42" t="str">
        <f ca="1"/>
        <v/>
      </c>
      <c r="KE1506" s="42" t="str">
        <f ca="1"/>
        <v/>
      </c>
      <c r="KF1506" s="42" t="str">
        <f ca="1"/>
        <v/>
      </c>
      <c r="KG1506" s="42" t="str">
        <f ca="1"/>
        <v/>
      </c>
      <c r="KH1506" s="42" t="str">
        <f ca="1"/>
        <v/>
      </c>
      <c r="KI1506" s="42" t="str">
        <f ca="1"/>
        <v/>
      </c>
      <c r="KJ1506" s="42" t="str">
        <f ca="1"/>
        <v/>
      </c>
      <c r="KK1506" s="42" t="str">
        <f ca="1"/>
        <v/>
      </c>
      <c r="KL1506" s="42" t="str">
        <f ca="1"/>
        <v/>
      </c>
      <c r="KM1506" s="42" t="str">
        <f ca="1"/>
        <v/>
      </c>
      <c r="KN1506" s="42" t="str">
        <f ca="1"/>
        <v/>
      </c>
      <c r="KO1506" s="42" t="str">
        <f ca="1"/>
        <v/>
      </c>
      <c r="KP1506" s="42" t="str">
        <f ca="1"/>
        <v/>
      </c>
      <c r="KQ1506" s="42" t="str">
        <f ca="1"/>
        <v/>
      </c>
      <c r="KR1506" s="42" t="str">
        <f ca="1"/>
        <v/>
      </c>
      <c r="KS1506" s="42" t="str">
        <f ca="1"/>
        <v/>
      </c>
      <c r="KT1506" s="42" t="str">
        <f ca="1"/>
        <v/>
      </c>
      <c r="KU1506" s="42" t="str">
        <f ca="1"/>
        <v/>
      </c>
      <c r="KV1506" s="42" t="str">
        <f ca="1"/>
        <v/>
      </c>
      <c r="KW1506" s="42" t="str">
        <f ca="1"/>
        <v/>
      </c>
      <c r="KX1506" s="42" t="str">
        <f ca="1"/>
        <v/>
      </c>
      <c r="KY1506" s="42" t="str">
        <f ca="1"/>
        <v/>
      </c>
      <c r="KZ1506" s="42" t="str">
        <f ca="1"/>
        <v/>
      </c>
      <c r="LA1506" s="42" t="str">
        <f ca="1"/>
        <v/>
      </c>
      <c r="LB1506" s="42" t="str">
        <f ca="1"/>
        <v/>
      </c>
      <c r="LC1506" s="42" t="str">
        <f ca="1"/>
        <v/>
      </c>
      <c r="LD1506" s="42" t="str">
        <f ca="1"/>
        <v/>
      </c>
      <c r="LE1506" s="42" t="str">
        <f ca="1"/>
        <v/>
      </c>
      <c r="LF1506" s="42" t="str">
        <f ca="1"/>
        <v/>
      </c>
      <c r="LG1506" s="42" t="str">
        <f ca="1"/>
        <v/>
      </c>
      <c r="LH1506" s="42" t="str">
        <f ca="1"/>
        <v/>
      </c>
      <c r="LI1506" s="42" t="str">
        <f ca="1"/>
        <v/>
      </c>
      <c r="LJ1506" s="42" t="str">
        <f ca="1"/>
        <v/>
      </c>
      <c r="LK1506" s="42" t="str">
        <f ca="1"/>
        <v/>
      </c>
      <c r="LL1506" s="42" t="str">
        <f ca="1"/>
        <v/>
      </c>
      <c r="LM1506" s="42" t="str">
        <f ca="1"/>
        <v/>
      </c>
      <c r="LN1506" s="42" t="str">
        <f ca="1"/>
        <v/>
      </c>
      <c r="LO1506" s="42" t="str">
        <f ca="1"/>
        <v/>
      </c>
      <c r="LP1506" s="42" t="str">
        <f ca="1"/>
        <v/>
      </c>
      <c r="LQ1506" s="42" t="str">
        <f ca="1"/>
        <v/>
      </c>
      <c r="LR1506" s="42" t="str">
        <f ca="1"/>
        <v/>
      </c>
      <c r="LS1506" s="42" t="str">
        <f ca="1"/>
        <v/>
      </c>
      <c r="LT1506" s="42" t="str">
        <f ca="1"/>
        <v/>
      </c>
      <c r="LU1506" s="42" t="str">
        <f ca="1"/>
        <v/>
      </c>
      <c r="LV1506" s="42" t="str">
        <f ca="1"/>
        <v/>
      </c>
      <c r="LW1506" s="42" t="str">
        <f ca="1"/>
        <v/>
      </c>
      <c r="LX1506" s="42" t="str">
        <f ca="1"/>
        <v/>
      </c>
      <c r="LY1506" s="42" t="str">
        <f ca="1"/>
        <v/>
      </c>
      <c r="LZ1506" s="42" t="str">
        <f ca="1"/>
        <v/>
      </c>
      <c r="MA1506" s="42" t="str">
        <f ca="1"/>
        <v/>
      </c>
      <c r="MB1506" s="42" t="str">
        <f ca="1"/>
        <v/>
      </c>
      <c r="MC1506" s="42" t="str">
        <f ca="1"/>
        <v/>
      </c>
      <c r="MD1506" s="42" t="str">
        <f ca="1"/>
        <v/>
      </c>
      <c r="ME1506" s="42" t="str">
        <f ca="1"/>
        <v/>
      </c>
      <c r="MF1506" s="42" t="str">
        <f ca="1"/>
        <v/>
      </c>
      <c r="MG1506" s="42" t="str">
        <f ca="1"/>
        <v/>
      </c>
      <c r="MH1506" s="42" t="str">
        <f ca="1"/>
        <v/>
      </c>
      <c r="MI1506" s="42" t="str">
        <f ca="1"/>
        <v/>
      </c>
      <c r="MJ1506" s="42" t="str">
        <f ca="1"/>
        <v/>
      </c>
      <c r="MK1506" s="42" t="str">
        <f ca="1"/>
        <v/>
      </c>
      <c r="ML1506" s="42" t="str">
        <f ca="1"/>
        <v/>
      </c>
      <c r="MM1506" s="42" t="str">
        <f ca="1"/>
        <v/>
      </c>
      <c r="MN1506" s="42" t="str">
        <f ca="1"/>
        <v/>
      </c>
      <c r="MO1506" s="42" t="str">
        <f ca="1"/>
        <v/>
      </c>
      <c r="MP1506" s="42" t="str">
        <f ca="1"/>
        <v/>
      </c>
      <c r="MQ1506" s="42" t="str">
        <f ca="1"/>
        <v/>
      </c>
      <c r="MR1506" s="42" t="str">
        <f ca="1"/>
        <v/>
      </c>
      <c r="MS1506" s="42" t="str">
        <f ca="1"/>
        <v/>
      </c>
      <c r="MT1506" s="42" t="str">
        <f ca="1"/>
        <v/>
      </c>
      <c r="MU1506" s="42" t="str">
        <f ca="1"/>
        <v/>
      </c>
      <c r="MV1506" s="42" t="str">
        <f ca="1"/>
        <v/>
      </c>
      <c r="MW1506" s="42" t="str">
        <f ca="1"/>
        <v/>
      </c>
      <c r="MX1506" s="42" t="str">
        <f ca="1"/>
        <v/>
      </c>
      <c r="MY1506" s="42" t="str">
        <f ca="1"/>
        <v/>
      </c>
      <c r="MZ1506" s="42" t="str">
        <f ca="1"/>
        <v/>
      </c>
      <c r="NA1506" s="42" t="str">
        <f ca="1"/>
        <v/>
      </c>
      <c r="NB1506" s="42" t="str">
        <f ca="1"/>
        <v/>
      </c>
      <c r="NC1506" s="42" t="str">
        <f ca="1"/>
        <v/>
      </c>
      <c r="ND1506" s="42" t="str">
        <f ca="1"/>
        <v/>
      </c>
      <c r="NE1506" s="42" t="str">
        <f ca="1"/>
        <v/>
      </c>
      <c r="NF1506" s="42" t="str">
        <f ca="1"/>
        <v/>
      </c>
      <c r="NG1506" s="42" t="str">
        <f ca="1"/>
        <v/>
      </c>
      <c r="NH1506" s="42" t="str">
        <f ca="1"/>
        <v/>
      </c>
      <c r="NI1506" s="42" t="str">
        <f ca="1"/>
        <v/>
      </c>
      <c r="NJ1506" s="42" t="str">
        <f ca="1"/>
        <v/>
      </c>
      <c r="NK1506" s="42" t="str">
        <f ca="1"/>
        <v/>
      </c>
      <c r="NL1506" s="42" t="str">
        <f ca="1"/>
        <v/>
      </c>
      <c r="NM1506" s="42" t="str">
        <f ca="1"/>
        <v/>
      </c>
      <c r="NN1506" s="42" t="str">
        <f ca="1"/>
        <v/>
      </c>
      <c r="NO1506" s="42" t="str">
        <f ca="1"/>
        <v/>
      </c>
      <c r="NP1506" s="42" t="str">
        <f ca="1"/>
        <v/>
      </c>
      <c r="NQ1506" s="42" t="str">
        <f ca="1"/>
        <v/>
      </c>
      <c r="NR1506" s="42" t="str">
        <f ca="1"/>
        <v/>
      </c>
      <c r="NS1506" s="42" t="str">
        <f ca="1"/>
        <v/>
      </c>
      <c r="NT1506" s="42" t="str">
        <f ca="1"/>
        <v/>
      </c>
      <c r="NU1506" s="42" t="str">
        <f ca="1"/>
        <v/>
      </c>
      <c r="NV1506" s="42" t="str">
        <f ca="1"/>
        <v/>
      </c>
      <c r="NW1506" s="42" t="str">
        <f ca="1"/>
        <v/>
      </c>
      <c r="NX1506" s="42" t="str">
        <f ca="1"/>
        <v/>
      </c>
      <c r="NY1506" s="42" t="str">
        <f ca="1"/>
        <v/>
      </c>
      <c r="NZ1506" s="42" t="str">
        <f ca="1"/>
        <v/>
      </c>
      <c r="OA1506" s="42" t="str">
        <f ca="1"/>
        <v/>
      </c>
      <c r="OB1506" s="42" t="str">
        <f ca="1"/>
        <v/>
      </c>
      <c r="OC1506" s="42" t="str">
        <f ca="1"/>
        <v/>
      </c>
      <c r="OD1506" s="42" t="str">
        <f ca="1"/>
        <v/>
      </c>
      <c r="OE1506" s="42" t="str">
        <f ca="1"/>
        <v/>
      </c>
      <c r="OF1506" s="42" t="str">
        <f ca="1"/>
        <v/>
      </c>
      <c r="OG1506" s="42" t="str">
        <f ca="1"/>
        <v/>
      </c>
      <c r="OH1506" s="42" t="str">
        <f ca="1"/>
        <v/>
      </c>
      <c r="OI1506" s="42" t="str">
        <f ca="1"/>
        <v/>
      </c>
      <c r="OJ1506" s="42" t="str">
        <f ca="1"/>
        <v/>
      </c>
      <c r="OK1506" s="42" t="str">
        <f ca="1"/>
        <v/>
      </c>
      <c r="OL1506" s="42" t="str">
        <f ca="1"/>
        <v/>
      </c>
      <c r="OM1506" s="42" t="str">
        <f ca="1"/>
        <v/>
      </c>
      <c r="ON1506" s="42" t="str">
        <f ca="1"/>
        <v/>
      </c>
      <c r="OO1506" s="42" t="str">
        <f ca="1"/>
        <v/>
      </c>
      <c r="OP1506" s="42" t="str">
        <f ca="1"/>
        <v/>
      </c>
      <c r="OQ1506" s="42" t="str">
        <f ca="1"/>
        <v/>
      </c>
      <c r="OR1506" s="42" t="str">
        <f ca="1"/>
        <v/>
      </c>
      <c r="OS1506" s="42" t="str">
        <f ca="1"/>
        <v/>
      </c>
      <c r="OT1506" s="42" t="str">
        <f ca="1"/>
        <v/>
      </c>
      <c r="OU1506" s="42" t="str">
        <f ca="1"/>
        <v/>
      </c>
      <c r="OV1506" s="42" t="str">
        <f ca="1"/>
        <v/>
      </c>
      <c r="OW1506" s="42" t="str">
        <f ca="1"/>
        <v/>
      </c>
      <c r="OX1506" s="42" t="str">
        <f ca="1"/>
        <v/>
      </c>
      <c r="OY1506" s="42" t="str">
        <f ca="1"/>
        <v/>
      </c>
      <c r="OZ1506" s="42" t="str">
        <f ca="1"/>
        <v/>
      </c>
      <c r="PA1506" s="42" t="str">
        <f ca="1"/>
        <v/>
      </c>
      <c r="PB1506" s="42" t="str">
        <f ca="1"/>
        <v/>
      </c>
      <c r="PC1506" s="42" t="str">
        <f ca="1"/>
        <v/>
      </c>
      <c r="PD1506" s="42" t="str">
        <f ca="1"/>
        <v/>
      </c>
      <c r="PE1506" s="42" t="str">
        <f ca="1"/>
        <v/>
      </c>
      <c r="PF1506" s="42" t="str">
        <f ca="1"/>
        <v/>
      </c>
      <c r="PG1506" s="42" t="str">
        <f ca="1"/>
        <v/>
      </c>
      <c r="PH1506" s="42" t="str">
        <f ca="1"/>
        <v/>
      </c>
      <c r="PI1506" s="42" t="str">
        <f ca="1"/>
        <v/>
      </c>
      <c r="PJ1506" s="42" t="str">
        <f ca="1"/>
        <v/>
      </c>
      <c r="PK1506" s="42" t="str">
        <f ca="1"/>
        <v/>
      </c>
      <c r="PL1506" s="42" t="str">
        <f ca="1"/>
        <v/>
      </c>
      <c r="PM1506" s="42" t="str">
        <f ca="1"/>
        <v/>
      </c>
      <c r="PN1506" s="42" t="str">
        <f ca="1"/>
        <v/>
      </c>
      <c r="PO1506" s="42" t="str">
        <f ca="1"/>
        <v/>
      </c>
      <c r="PP1506" s="42" t="str">
        <f ca="1"/>
        <v/>
      </c>
      <c r="PQ1506" s="42" t="str">
        <f ca="1"/>
        <v/>
      </c>
      <c r="PR1506" s="42" t="str">
        <f ca="1"/>
        <v/>
      </c>
      <c r="PS1506" s="42" t="str">
        <f ca="1"/>
        <v/>
      </c>
      <c r="PT1506" s="42" t="str">
        <f ca="1"/>
        <v/>
      </c>
      <c r="PU1506" s="42" t="str">
        <f ca="1"/>
        <v/>
      </c>
      <c r="PV1506" s="42" t="str">
        <f ca="1"/>
        <v/>
      </c>
      <c r="PW1506" s="42" t="str">
        <f ca="1"/>
        <v/>
      </c>
      <c r="PX1506" s="42" t="str">
        <f ca="1"/>
        <v/>
      </c>
      <c r="PY1506" s="42" t="str">
        <f ca="1"/>
        <v/>
      </c>
      <c r="PZ1506" s="42" t="str">
        <f ca="1"/>
        <v/>
      </c>
      <c r="QA1506" s="42" t="str">
        <f ca="1"/>
        <v/>
      </c>
      <c r="QB1506" s="42" t="str">
        <f ca="1"/>
        <v/>
      </c>
      <c r="QC1506" s="42" t="str">
        <f ca="1"/>
        <v/>
      </c>
      <c r="QD1506" s="42" t="str">
        <f ca="1"/>
        <v/>
      </c>
      <c r="QE1506" s="42" t="str">
        <f ca="1"/>
        <v/>
      </c>
      <c r="QF1506" s="42" t="str">
        <f ca="1"/>
        <v/>
      </c>
      <c r="QG1506" s="42" t="str">
        <f ca="1"/>
        <v/>
      </c>
      <c r="QH1506" s="42" t="str">
        <f ca="1"/>
        <v/>
      </c>
      <c r="QI1506" s="42" t="str">
        <f ca="1"/>
        <v/>
      </c>
      <c r="QJ1506" s="42" t="str">
        <f ca="1"/>
        <v/>
      </c>
      <c r="QK1506" s="42" t="str">
        <f ca="1"/>
        <v/>
      </c>
      <c r="QL1506" s="42" t="str">
        <f ca="1"/>
        <v/>
      </c>
      <c r="QM1506" s="42" t="str">
        <f ca="1"/>
        <v/>
      </c>
      <c r="QN1506" s="42" t="str">
        <f ca="1"/>
        <v/>
      </c>
      <c r="QO1506" s="42" t="str">
        <f ca="1"/>
        <v/>
      </c>
      <c r="QP1506" s="42" t="str">
        <f ca="1"/>
        <v/>
      </c>
      <c r="QQ1506" s="42" t="str">
        <f ca="1"/>
        <v/>
      </c>
      <c r="QR1506" s="42" t="str">
        <f ca="1"/>
        <v/>
      </c>
      <c r="QS1506" s="42" t="str">
        <f ca="1"/>
        <v/>
      </c>
      <c r="QT1506" s="42" t="str">
        <f ca="1"/>
        <v/>
      </c>
      <c r="QU1506" s="42" t="str">
        <f ca="1"/>
        <v/>
      </c>
      <c r="QV1506" s="42" t="str">
        <f ca="1"/>
        <v/>
      </c>
      <c r="QW1506" s="42" t="str">
        <f ca="1"/>
        <v/>
      </c>
      <c r="QX1506" s="42" t="str">
        <f ca="1"/>
        <v/>
      </c>
      <c r="QY1506" s="42" t="str">
        <f ca="1"/>
        <v/>
      </c>
      <c r="QZ1506" s="42" t="str">
        <f ca="1"/>
        <v/>
      </c>
      <c r="RA1506" s="42" t="str">
        <f ca="1"/>
        <v/>
      </c>
      <c r="RB1506" s="42" t="str">
        <f ca="1"/>
        <v/>
      </c>
      <c r="RC1506" s="42" t="str">
        <f ca="1"/>
        <v/>
      </c>
      <c r="RD1506" s="42" t="str">
        <f ca="1"/>
        <v/>
      </c>
      <c r="RE1506" s="42" t="str">
        <f ca="1"/>
        <v/>
      </c>
      <c r="RF1506" s="42" t="str">
        <f ca="1"/>
        <v/>
      </c>
      <c r="RG1506" s="42" t="str">
        <f ca="1"/>
        <v/>
      </c>
      <c r="RH1506" s="42" t="str">
        <f ca="1"/>
        <v/>
      </c>
      <c r="RI1506" s="42" t="str">
        <f ca="1"/>
        <v/>
      </c>
      <c r="RJ1506" s="42" t="str">
        <f ca="1"/>
        <v/>
      </c>
      <c r="RK1506" s="42" t="str">
        <f ca="1"/>
        <v/>
      </c>
      <c r="RL1506" s="42" t="str">
        <f ca="1"/>
        <v/>
      </c>
      <c r="RM1506" s="42" t="str">
        <f ca="1"/>
        <v/>
      </c>
      <c r="RN1506" s="42" t="str">
        <f ca="1"/>
        <v/>
      </c>
      <c r="RO1506" s="42" t="str">
        <f ca="1"/>
        <v/>
      </c>
      <c r="RP1506" s="42" t="str">
        <f ca="1"/>
        <v/>
      </c>
      <c r="RQ1506" s="42" t="str">
        <f ca="1"/>
        <v/>
      </c>
      <c r="RR1506" s="42" t="str">
        <f ca="1"/>
        <v/>
      </c>
      <c r="RS1506" s="42" t="str">
        <f ca="1"/>
        <v/>
      </c>
      <c r="RT1506" s="42" t="str">
        <f ca="1"/>
        <v/>
      </c>
      <c r="RU1506" s="42" t="str">
        <f ca="1"/>
        <v/>
      </c>
      <c r="RV1506" s="42" t="str">
        <f ca="1"/>
        <v/>
      </c>
      <c r="RW1506" s="42" t="str">
        <f ca="1"/>
        <v/>
      </c>
      <c r="RX1506" s="42" t="str">
        <f ca="1"/>
        <v/>
      </c>
      <c r="RY1506" s="42" t="str">
        <f ca="1"/>
        <v/>
      </c>
      <c r="RZ1506" s="42" t="str">
        <f ca="1"/>
        <v/>
      </c>
      <c r="SA1506" s="42" t="str">
        <f ca="1"/>
        <v/>
      </c>
      <c r="SB1506" s="42" t="str">
        <f ca="1"/>
        <v/>
      </c>
      <c r="SC1506" s="42" t="str">
        <f ca="1"/>
        <v/>
      </c>
      <c r="SD1506" s="42" t="str">
        <f ca="1"/>
        <v/>
      </c>
      <c r="SE1506" s="42" t="str">
        <f ca="1"/>
        <v/>
      </c>
      <c r="SF1506" s="42" t="str">
        <f ca="1"/>
        <v/>
      </c>
      <c r="SG1506" s="42" t="str">
        <f ca="1"/>
        <v/>
      </c>
      <c r="SH1506" s="42" t="str">
        <f ca="1"/>
        <v/>
      </c>
      <c r="SI1506" s="42" t="str">
        <f ca="1"/>
        <v/>
      </c>
      <c r="SJ1506" s="42" t="str">
        <f ca="1"/>
        <v/>
      </c>
      <c r="SK1506" s="42" t="str">
        <f ca="1"/>
        <v/>
      </c>
      <c r="SL1506" s="42" t="str">
        <f ca="1"/>
        <v/>
      </c>
      <c r="SM1506" s="42" t="str">
        <f ca="1"/>
        <v/>
      </c>
      <c r="SN1506" s="42" t="str">
        <f ca="1"/>
        <v/>
      </c>
      <c r="SO1506" s="42" t="str">
        <f ca="1"/>
        <v/>
      </c>
      <c r="SP1506" s="42" t="str">
        <f ca="1"/>
        <v/>
      </c>
      <c r="SQ1506" s="42" t="str">
        <f ca="1"/>
        <v/>
      </c>
      <c r="SR1506" s="42" t="str">
        <f ca="1"/>
        <v/>
      </c>
      <c r="SS1506" s="42" t="str">
        <f ca="1"/>
        <v/>
      </c>
      <c r="ST1506" s="42" t="str">
        <f ca="1"/>
        <v/>
      </c>
      <c r="SU1506" s="42" t="str">
        <f ca="1"/>
        <v/>
      </c>
      <c r="SV1506" s="42" t="str">
        <f ca="1"/>
        <v/>
      </c>
      <c r="SW1506" s="42" t="str">
        <f ca="1"/>
        <v/>
      </c>
      <c r="SX1506" s="42" t="str">
        <f ca="1"/>
        <v/>
      </c>
      <c r="SY1506" s="42" t="str">
        <f ca="1"/>
        <v/>
      </c>
      <c r="SZ1506" s="42" t="str">
        <f ca="1"/>
        <v/>
      </c>
      <c r="TA1506" s="42" t="str">
        <f ca="1"/>
        <v/>
      </c>
      <c r="TB1506" s="42" t="str">
        <f ca="1"/>
        <v/>
      </c>
      <c r="TC1506" s="42" t="str">
        <f ca="1"/>
        <v/>
      </c>
      <c r="TD1506" s="42" t="str">
        <f ca="1"/>
        <v/>
      </c>
      <c r="TE1506" s="42" t="str">
        <f ca="1"/>
        <v/>
      </c>
      <c r="TF1506" s="42" t="str">
        <f ca="1"/>
        <v/>
      </c>
      <c r="TG1506" s="42" t="str">
        <f ca="1"/>
        <v/>
      </c>
      <c r="TH1506" s="42" t="str">
        <f ca="1"/>
        <v/>
      </c>
      <c r="TI1506" s="42" t="str">
        <f ca="1"/>
        <v/>
      </c>
      <c r="TJ1506" s="42" t="str">
        <f ca="1"/>
        <v/>
      </c>
      <c r="TK1506" s="42" t="str">
        <f ca="1"/>
        <v/>
      </c>
      <c r="TL1506" s="42" t="str">
        <f ca="1"/>
        <v/>
      </c>
      <c r="TM1506" s="42" t="str">
        <f ca="1"/>
        <v/>
      </c>
      <c r="TN1506" s="42" t="str">
        <f ca="1"/>
        <v/>
      </c>
      <c r="TO1506" s="42" t="str">
        <f ca="1"/>
        <v/>
      </c>
      <c r="TP1506" s="42" t="str">
        <f ca="1"/>
        <v/>
      </c>
      <c r="TQ1506" s="42" t="str">
        <f ca="1"/>
        <v/>
      </c>
      <c r="TR1506" s="42" t="str">
        <f ca="1"/>
        <v/>
      </c>
      <c r="TS1506" s="42" t="str">
        <f ca="1"/>
        <v/>
      </c>
      <c r="TT1506" s="42" t="str">
        <f ca="1"/>
        <v/>
      </c>
      <c r="TU1506" s="42" t="str">
        <f ca="1"/>
        <v/>
      </c>
      <c r="TV1506" s="42" t="str">
        <f ca="1"/>
        <v/>
      </c>
      <c r="TW1506" s="42" t="str">
        <f ca="1"/>
        <v/>
      </c>
      <c r="TX1506" s="42" t="str">
        <f ca="1"/>
        <v/>
      </c>
      <c r="TY1506" s="42" t="str">
        <f ca="1"/>
        <v/>
      </c>
      <c r="TZ1506" s="42" t="str">
        <f ca="1"/>
        <v/>
      </c>
      <c r="UA1506" s="42" t="str">
        <f ca="1"/>
        <v/>
      </c>
      <c r="UB1506" s="42" t="str">
        <f ca="1"/>
        <v/>
      </c>
      <c r="UC1506" s="42" t="str">
        <f ca="1"/>
        <v/>
      </c>
      <c r="UD1506" s="42" t="str">
        <f ca="1"/>
        <v/>
      </c>
      <c r="UE1506" s="42" t="str">
        <f ca="1"/>
        <v/>
      </c>
      <c r="UF1506" s="42" t="str">
        <f ca="1"/>
        <v/>
      </c>
      <c r="UG1506" s="42" t="str">
        <f ca="1"/>
        <v/>
      </c>
      <c r="UH1506" s="42" t="str">
        <f ca="1"/>
        <v/>
      </c>
      <c r="UI1506" s="42" t="str">
        <f ca="1"/>
        <v/>
      </c>
      <c r="UJ1506" s="42" t="str">
        <f ca="1"/>
        <v/>
      </c>
      <c r="UK1506" s="42" t="str">
        <f ca="1"/>
        <v/>
      </c>
      <c r="UL1506" s="42" t="str">
        <f ca="1"/>
        <v/>
      </c>
      <c r="UM1506" s="42" t="str">
        <f ca="1"/>
        <v/>
      </c>
      <c r="UN1506" s="42" t="str">
        <f ca="1"/>
        <v/>
      </c>
      <c r="UO1506" s="42" t="str">
        <f ca="1"/>
        <v/>
      </c>
      <c r="UP1506" s="42" t="str">
        <f ca="1"/>
        <v/>
      </c>
      <c r="UQ1506" s="42" t="str">
        <f ca="1"/>
        <v/>
      </c>
      <c r="UR1506" s="42" t="str">
        <f ca="1"/>
        <v/>
      </c>
      <c r="US1506" s="42" t="str">
        <f ca="1"/>
        <v/>
      </c>
      <c r="UT1506" s="42" t="str">
        <f ca="1"/>
        <v/>
      </c>
      <c r="UU1506" s="42" t="str">
        <f ca="1"/>
        <v/>
      </c>
      <c r="UV1506" s="42" t="str">
        <f ca="1"/>
        <v/>
      </c>
      <c r="UW1506" s="42" t="str">
        <f ca="1"/>
        <v/>
      </c>
      <c r="UX1506" s="42" t="str">
        <f ca="1"/>
        <v/>
      </c>
      <c r="UY1506" s="42" t="str">
        <f ca="1"/>
        <v/>
      </c>
      <c r="UZ1506" s="42" t="str">
        <f ca="1"/>
        <v/>
      </c>
      <c r="VA1506" s="42" t="str">
        <f ca="1"/>
        <v/>
      </c>
      <c r="VB1506" s="42" t="str">
        <f ca="1"/>
        <v/>
      </c>
      <c r="VC1506" s="42" t="str">
        <f ca="1"/>
        <v/>
      </c>
      <c r="VD1506" s="42" t="str">
        <f ca="1"/>
        <v/>
      </c>
      <c r="VE1506" s="42" t="str">
        <f ca="1"/>
        <v/>
      </c>
      <c r="VF1506" s="42" t="str">
        <f ca="1"/>
        <v/>
      </c>
      <c r="VG1506" s="42" t="str">
        <f ca="1"/>
        <v/>
      </c>
      <c r="VH1506" s="42" t="str">
        <f ca="1"/>
        <v/>
      </c>
      <c r="VI1506" s="42" t="str">
        <f ca="1"/>
        <v/>
      </c>
      <c r="VJ1506" s="42" t="str">
        <f ca="1"/>
        <v/>
      </c>
      <c r="VK1506" s="42" t="str">
        <f ca="1"/>
        <v/>
      </c>
      <c r="VL1506" s="42" t="str">
        <f ca="1"/>
        <v/>
      </c>
      <c r="VM1506" s="42" t="str">
        <f ca="1"/>
        <v/>
      </c>
      <c r="VN1506" s="42" t="str">
        <f ca="1"/>
        <v/>
      </c>
      <c r="VO1506" s="42" t="str">
        <f ca="1"/>
        <v/>
      </c>
      <c r="VP1506" s="42" t="str">
        <f ca="1"/>
        <v/>
      </c>
      <c r="VQ1506" s="42" t="str">
        <f ca="1"/>
        <v/>
      </c>
      <c r="VR1506" s="42" t="str">
        <f ca="1"/>
        <v/>
      </c>
      <c r="VS1506" s="42" t="str">
        <f ca="1"/>
        <v/>
      </c>
      <c r="VT1506" s="42" t="str">
        <f ca="1"/>
        <v/>
      </c>
      <c r="VU1506" s="42" t="str">
        <f ca="1"/>
        <v/>
      </c>
      <c r="VV1506" s="42" t="str">
        <f ca="1"/>
        <v/>
      </c>
      <c r="VW1506" s="42" t="str">
        <f ca="1"/>
        <v/>
      </c>
      <c r="VX1506" s="42" t="str">
        <f ca="1"/>
        <v/>
      </c>
      <c r="VY1506" s="42" t="str">
        <f ca="1"/>
        <v/>
      </c>
      <c r="VZ1506" s="42" t="str">
        <f ca="1"/>
        <v/>
      </c>
      <c r="WA1506" s="42" t="str">
        <f ca="1"/>
        <v/>
      </c>
      <c r="WB1506" s="42" t="str">
        <f ca="1"/>
        <v/>
      </c>
      <c r="WC1506" s="42" t="str">
        <f ca="1"/>
        <v/>
      </c>
      <c r="WD1506" s="42" t="str">
        <f ca="1"/>
        <v/>
      </c>
      <c r="WE1506" s="42" t="str">
        <f ca="1"/>
        <v/>
      </c>
      <c r="WF1506" s="42" t="str">
        <f ca="1"/>
        <v/>
      </c>
      <c r="WG1506" s="42" t="str">
        <f ca="1"/>
        <v/>
      </c>
      <c r="WH1506" s="42" t="str">
        <f ca="1"/>
        <v/>
      </c>
      <c r="WI1506" s="42" t="str">
        <f ca="1"/>
        <v/>
      </c>
      <c r="WJ1506" s="42" t="str">
        <f ca="1"/>
        <v/>
      </c>
      <c r="WK1506" s="42" t="str">
        <f ca="1"/>
        <v/>
      </c>
      <c r="WL1506" s="42" t="str">
        <f ca="1"/>
        <v/>
      </c>
      <c r="WM1506" s="42" t="str">
        <f ca="1"/>
        <v/>
      </c>
      <c r="WN1506" s="42" t="str">
        <f ca="1"/>
        <v/>
      </c>
      <c r="WO1506" s="42" t="str">
        <f ca="1"/>
        <v/>
      </c>
      <c r="WP1506" s="42" t="str">
        <f ca="1"/>
        <v/>
      </c>
      <c r="WQ1506" s="42" t="str">
        <f ca="1"/>
        <v/>
      </c>
      <c r="WR1506" s="42" t="str">
        <f ca="1"/>
        <v/>
      </c>
      <c r="WS1506" s="42" t="str">
        <f ca="1"/>
        <v/>
      </c>
      <c r="WT1506" s="42" t="str">
        <f ca="1"/>
        <v/>
      </c>
      <c r="WU1506" s="42" t="str">
        <f ca="1"/>
        <v/>
      </c>
      <c r="WV1506" s="42" t="str">
        <f ca="1"/>
        <v/>
      </c>
      <c r="WW1506" s="42" t="str">
        <f ca="1"/>
        <v/>
      </c>
      <c r="WX1506" s="42" t="str">
        <f ca="1"/>
        <v/>
      </c>
      <c r="WY1506" s="42" t="str">
        <f ca="1"/>
        <v/>
      </c>
      <c r="WZ1506" s="42" t="str">
        <f ca="1"/>
        <v/>
      </c>
      <c r="XA1506" s="42" t="str">
        <f ca="1"/>
        <v/>
      </c>
      <c r="XB1506" s="42" t="str">
        <f ca="1"/>
        <v/>
      </c>
      <c r="XC1506" s="42" t="str">
        <f ca="1"/>
        <v/>
      </c>
      <c r="XD1506" s="42" t="str">
        <f ca="1"/>
        <v/>
      </c>
      <c r="XE1506" s="42" t="str">
        <f ca="1"/>
        <v/>
      </c>
      <c r="XF1506" s="42" t="str">
        <f ca="1"/>
        <v/>
      </c>
      <c r="XG1506" s="42" t="str">
        <f ca="1"/>
        <v/>
      </c>
      <c r="XH1506" s="42" t="str">
        <f ca="1"/>
        <v/>
      </c>
      <c r="XI1506" s="42" t="str">
        <f ca="1"/>
        <v/>
      </c>
      <c r="XJ1506" s="42" t="str">
        <f ca="1"/>
        <v/>
      </c>
      <c r="XK1506" s="42" t="str">
        <f ca="1"/>
        <v/>
      </c>
      <c r="XL1506" s="42" t="str">
        <f ca="1"/>
        <v/>
      </c>
      <c r="XM1506" s="42" t="str">
        <f ca="1"/>
        <v/>
      </c>
      <c r="XN1506" s="42" t="str">
        <f ca="1"/>
        <v/>
      </c>
      <c r="XO1506" s="42" t="str">
        <f ca="1"/>
        <v/>
      </c>
      <c r="XP1506" s="42" t="str">
        <f ca="1"/>
        <v/>
      </c>
      <c r="XQ1506" s="42" t="str">
        <f ca="1"/>
        <v/>
      </c>
      <c r="XR1506" s="42" t="str">
        <f ca="1"/>
        <v/>
      </c>
      <c r="XS1506" s="42" t="str">
        <f ca="1"/>
        <v/>
      </c>
      <c r="XT1506" s="42" t="str">
        <f ca="1"/>
        <v/>
      </c>
      <c r="XU1506" s="42" t="str">
        <f ca="1"/>
        <v/>
      </c>
      <c r="XV1506" s="42" t="str">
        <f ca="1"/>
        <v/>
      </c>
      <c r="XW1506" s="42" t="str">
        <f ca="1"/>
        <v/>
      </c>
      <c r="XX1506" s="42" t="str">
        <f ca="1"/>
        <v/>
      </c>
      <c r="XY1506" s="42" t="str">
        <f ca="1"/>
        <v/>
      </c>
      <c r="XZ1506" s="42" t="str">
        <f ca="1"/>
        <v/>
      </c>
      <c r="YA1506" s="42" t="str">
        <f ca="1"/>
        <v/>
      </c>
      <c r="YB1506" s="42" t="str">
        <f ca="1"/>
        <v/>
      </c>
      <c r="YC1506" s="42" t="str">
        <f ca="1"/>
        <v/>
      </c>
      <c r="YD1506" s="42" t="str">
        <f ca="1"/>
        <v/>
      </c>
      <c r="YE1506" s="42" t="str">
        <f ca="1"/>
        <v/>
      </c>
      <c r="YF1506" s="42" t="str">
        <f ca="1"/>
        <v/>
      </c>
      <c r="YG1506" s="42" t="str">
        <f ca="1"/>
        <v/>
      </c>
      <c r="YH1506" s="42" t="str">
        <f ca="1"/>
        <v/>
      </c>
      <c r="YI1506" s="42" t="str">
        <f ca="1"/>
        <v/>
      </c>
      <c r="YJ1506" s="42" t="str">
        <f ca="1"/>
        <v/>
      </c>
      <c r="YK1506" s="42" t="str">
        <f ca="1"/>
        <v/>
      </c>
      <c r="YL1506" s="42" t="str">
        <f ca="1"/>
        <v/>
      </c>
      <c r="YM1506" s="42" t="str">
        <f ca="1"/>
        <v/>
      </c>
      <c r="YN1506" s="42" t="str">
        <f ca="1"/>
        <v/>
      </c>
      <c r="YO1506" s="42" t="str">
        <f ca="1"/>
        <v/>
      </c>
      <c r="YP1506" s="42" t="str">
        <f ca="1"/>
        <v/>
      </c>
      <c r="YQ1506" s="42" t="str">
        <f ca="1"/>
        <v/>
      </c>
      <c r="YR1506" s="42" t="str">
        <f ca="1"/>
        <v/>
      </c>
      <c r="YS1506" s="42" t="str">
        <f ca="1"/>
        <v/>
      </c>
      <c r="YT1506" s="42" t="str">
        <f ca="1"/>
        <v/>
      </c>
      <c r="YU1506" s="42" t="str">
        <f ca="1"/>
        <v/>
      </c>
      <c r="YV1506" s="42" t="str">
        <f ca="1"/>
        <v/>
      </c>
      <c r="YW1506" s="42" t="str">
        <f ca="1"/>
        <v/>
      </c>
      <c r="YX1506" s="42" t="str">
        <f ca="1"/>
        <v/>
      </c>
      <c r="YY1506" s="42" t="str">
        <f ca="1"/>
        <v/>
      </c>
      <c r="YZ1506" s="42" t="str">
        <f ca="1"/>
        <v/>
      </c>
      <c r="ZA1506" s="42" t="str">
        <f ca="1"/>
        <v/>
      </c>
      <c r="ZB1506" s="42" t="str">
        <f ca="1"/>
        <v/>
      </c>
      <c r="ZC1506" s="42" t="str">
        <f ca="1"/>
        <v/>
      </c>
      <c r="ZD1506" s="42" t="str">
        <f ca="1"/>
        <v/>
      </c>
      <c r="ZE1506" s="42" t="str">
        <f ca="1"/>
        <v/>
      </c>
      <c r="ZF1506" s="42" t="str">
        <f ca="1"/>
        <v/>
      </c>
      <c r="ZG1506" s="42" t="str">
        <f ca="1"/>
        <v/>
      </c>
      <c r="ZH1506" s="42" t="str">
        <f ca="1"/>
        <v/>
      </c>
      <c r="ZI1506" s="42" t="str">
        <f ca="1"/>
        <v/>
      </c>
      <c r="ZJ1506" s="42" t="str">
        <f ca="1"/>
        <v/>
      </c>
      <c r="ZK1506" s="42" t="str">
        <f ca="1"/>
        <v/>
      </c>
      <c r="ZL1506" s="42" t="str">
        <f ca="1"/>
        <v/>
      </c>
      <c r="ZM1506" s="42" t="str">
        <f ca="1"/>
        <v/>
      </c>
      <c r="ZN1506" s="42" t="str">
        <f ca="1"/>
        <v/>
      </c>
      <c r="ZO1506" s="42" t="str">
        <f ca="1"/>
        <v/>
      </c>
      <c r="ZP1506" s="42" t="str">
        <f ca="1"/>
        <v/>
      </c>
      <c r="ZQ1506" s="42" t="str">
        <f ca="1"/>
        <v/>
      </c>
      <c r="ZR1506" s="42" t="str">
        <f ca="1"/>
        <v/>
      </c>
      <c r="ZS1506" s="42" t="str">
        <f ca="1"/>
        <v/>
      </c>
      <c r="ZT1506" s="42" t="str">
        <f ca="1"/>
        <v/>
      </c>
      <c r="ZU1506" s="42" t="str">
        <f ca="1"/>
        <v/>
      </c>
      <c r="ZV1506" s="42" t="str">
        <f ca="1"/>
        <v/>
      </c>
      <c r="ZW1506" s="42" t="str">
        <f ca="1"/>
        <v/>
      </c>
      <c r="ZX1506" s="42" t="str">
        <f ca="1"/>
        <v/>
      </c>
      <c r="ZY1506" s="42" t="str">
        <f ca="1"/>
        <v/>
      </c>
      <c r="ZZ1506" s="42" t="str">
        <f ca="1"/>
        <v/>
      </c>
      <c r="AAA1506" s="42" t="str">
        <f ca="1"/>
        <v/>
      </c>
      <c r="AAB1506" s="42" t="str">
        <f ca="1"/>
        <v/>
      </c>
      <c r="AAC1506" s="42" t="str">
        <f ca="1"/>
        <v/>
      </c>
      <c r="AAD1506" s="42" t="str">
        <f ca="1"/>
        <v/>
      </c>
      <c r="AAE1506" s="42" t="str">
        <f ca="1"/>
        <v/>
      </c>
      <c r="AAF1506" s="42" t="str">
        <f ca="1"/>
        <v/>
      </c>
      <c r="AAG1506" s="42" t="str">
        <f ca="1"/>
        <v/>
      </c>
      <c r="AAH1506" s="42" t="str">
        <f ca="1"/>
        <v/>
      </c>
      <c r="AAI1506" s="42" t="str">
        <f ca="1"/>
        <v/>
      </c>
      <c r="AAJ1506" s="42" t="str">
        <f ca="1"/>
        <v/>
      </c>
      <c r="AAK1506" s="42" t="str">
        <f ca="1"/>
        <v/>
      </c>
      <c r="AAL1506" s="42" t="str">
        <f ca="1"/>
        <v/>
      </c>
      <c r="AAM1506" s="42" t="str">
        <f ca="1"/>
        <v/>
      </c>
      <c r="AAN1506" s="42" t="str">
        <f ca="1"/>
        <v/>
      </c>
      <c r="AAO1506" s="42" t="str">
        <f ca="1"/>
        <v/>
      </c>
      <c r="AAP1506" s="42" t="str">
        <f ca="1"/>
        <v/>
      </c>
      <c r="AAQ1506" s="42" t="str">
        <f ca="1"/>
        <v/>
      </c>
      <c r="AAR1506" s="42" t="str">
        <f ca="1"/>
        <v/>
      </c>
      <c r="AAS1506" s="42" t="str">
        <f ca="1"/>
        <v/>
      </c>
      <c r="AAT1506" s="42" t="str">
        <f ca="1"/>
        <v/>
      </c>
      <c r="AAU1506" s="42" t="str">
        <f ca="1"/>
        <v/>
      </c>
      <c r="AAV1506" s="42" t="str">
        <f ca="1"/>
        <v/>
      </c>
      <c r="AAW1506" s="42" t="str">
        <f ca="1"/>
        <v/>
      </c>
      <c r="AAX1506" s="42" t="str">
        <f ca="1"/>
        <v/>
      </c>
      <c r="AAY1506" s="42" t="str">
        <f ca="1"/>
        <v/>
      </c>
      <c r="AAZ1506" s="42" t="str">
        <f ca="1"/>
        <v/>
      </c>
      <c r="ABA1506" s="42" t="str">
        <f ca="1"/>
        <v/>
      </c>
      <c r="ABB1506" s="42" t="str">
        <f ca="1"/>
        <v/>
      </c>
      <c r="ABC1506" s="42" t="str">
        <f ca="1"/>
        <v/>
      </c>
      <c r="ABD1506" s="42" t="str">
        <f ca="1"/>
        <v/>
      </c>
      <c r="ABE1506" s="42" t="str">
        <f ca="1"/>
        <v/>
      </c>
      <c r="ABF1506" s="42" t="str">
        <f ca="1"/>
        <v/>
      </c>
      <c r="ABG1506" s="42" t="str">
        <f ca="1"/>
        <v/>
      </c>
      <c r="ABH1506" s="42" t="str">
        <f ca="1"/>
        <v/>
      </c>
      <c r="ABI1506" s="42" t="str">
        <f ca="1"/>
        <v/>
      </c>
      <c r="ABJ1506" s="42" t="str">
        <f ca="1"/>
        <v/>
      </c>
      <c r="ABK1506" s="42" t="str">
        <f ca="1"/>
        <v/>
      </c>
      <c r="ABL1506" s="42" t="str">
        <f ca="1"/>
        <v/>
      </c>
      <c r="ABM1506" s="42" t="str">
        <f ca="1"/>
        <v/>
      </c>
      <c r="ABN1506" s="42" t="str">
        <f ca="1"/>
        <v/>
      </c>
      <c r="ABO1506" s="42" t="str">
        <f ca="1"/>
        <v/>
      </c>
      <c r="ABP1506" s="42" t="str">
        <f ca="1"/>
        <v/>
      </c>
      <c r="ABQ1506" s="42" t="str">
        <f ca="1"/>
        <v/>
      </c>
      <c r="ABR1506" s="42" t="str">
        <f ca="1"/>
        <v/>
      </c>
      <c r="ABS1506" s="42" t="str">
        <f ca="1"/>
        <v/>
      </c>
      <c r="ABT1506" s="42" t="str">
        <f ca="1"/>
        <v/>
      </c>
      <c r="ABU1506" s="42" t="str">
        <f ca="1"/>
        <v/>
      </c>
      <c r="ABV1506" s="42" t="str">
        <f ca="1"/>
        <v/>
      </c>
      <c r="ABW1506" s="42" t="str">
        <f ca="1"/>
        <v/>
      </c>
      <c r="ABX1506" s="42" t="str">
        <f ca="1"/>
        <v/>
      </c>
      <c r="ABY1506" s="42" t="str">
        <f ca="1"/>
        <v/>
      </c>
      <c r="ABZ1506" s="42" t="str">
        <f ca="1"/>
        <v/>
      </c>
      <c r="ACA1506" s="42" t="str">
        <f ca="1"/>
        <v/>
      </c>
      <c r="ACB1506" s="42" t="str">
        <f ca="1"/>
        <v/>
      </c>
      <c r="ACC1506" s="42" t="str">
        <f ca="1"/>
        <v/>
      </c>
      <c r="ACD1506" s="42" t="str">
        <f ca="1"/>
        <v/>
      </c>
      <c r="ACE1506" s="42" t="str">
        <f ca="1"/>
        <v/>
      </c>
      <c r="ACF1506" s="42" t="str">
        <f ca="1"/>
        <v/>
      </c>
      <c r="ACG1506" s="42" t="str">
        <f ca="1"/>
        <v/>
      </c>
      <c r="ACH1506" s="42" t="str">
        <f ca="1"/>
        <v/>
      </c>
      <c r="ACI1506" s="42" t="str">
        <f ca="1"/>
        <v/>
      </c>
      <c r="ACJ1506" s="42" t="str">
        <f ca="1"/>
        <v/>
      </c>
      <c r="ACK1506" s="42" t="str">
        <f ca="1"/>
        <v/>
      </c>
      <c r="ACL1506" s="42" t="str">
        <f ca="1"/>
        <v/>
      </c>
      <c r="ACM1506" s="42" t="str">
        <f ca="1"/>
        <v/>
      </c>
      <c r="ACN1506" s="42" t="str">
        <f ca="1"/>
        <v/>
      </c>
      <c r="ACO1506" s="42" t="str">
        <f ca="1"/>
        <v/>
      </c>
      <c r="ACP1506" s="42" t="str">
        <f ca="1"/>
        <v/>
      </c>
      <c r="ACQ1506" s="42" t="str">
        <f ca="1"/>
        <v/>
      </c>
      <c r="ACR1506" s="42" t="str">
        <f ca="1"/>
        <v/>
      </c>
      <c r="ACS1506" s="42" t="str">
        <f ca="1"/>
        <v/>
      </c>
      <c r="ACT1506" s="42" t="str">
        <f ca="1"/>
        <v/>
      </c>
      <c r="ACU1506" s="42" t="str">
        <f ca="1"/>
        <v/>
      </c>
      <c r="ACV1506" s="42" t="str">
        <f ca="1"/>
        <v/>
      </c>
      <c r="ACW1506" s="42" t="str">
        <f ca="1"/>
        <v/>
      </c>
      <c r="ACX1506" s="42" t="str">
        <f ca="1"/>
        <v/>
      </c>
      <c r="ACY1506" s="42" t="str">
        <f ca="1"/>
        <v/>
      </c>
      <c r="ACZ1506" s="42" t="str">
        <f ca="1"/>
        <v/>
      </c>
      <c r="ADA1506" s="42" t="str">
        <f ca="1"/>
        <v/>
      </c>
      <c r="ADB1506" s="42" t="str">
        <f ca="1"/>
        <v/>
      </c>
      <c r="ADC1506" s="42" t="str">
        <f ca="1"/>
        <v/>
      </c>
      <c r="ADD1506" s="42" t="str">
        <f ca="1"/>
        <v/>
      </c>
      <c r="ADE1506" s="42" t="str">
        <f ca="1"/>
        <v/>
      </c>
      <c r="ADF1506" s="42" t="str">
        <f ca="1"/>
        <v/>
      </c>
      <c r="ADG1506" s="42" t="str">
        <f ca="1"/>
        <v/>
      </c>
      <c r="ADH1506" s="42" t="str">
        <f ca="1"/>
        <v/>
      </c>
      <c r="ADI1506" s="42" t="str">
        <f ca="1"/>
        <v/>
      </c>
      <c r="ADJ1506" s="42" t="str">
        <f ca="1"/>
        <v/>
      </c>
      <c r="ADK1506" s="42" t="str">
        <f ca="1"/>
        <v/>
      </c>
      <c r="ADL1506" s="42" t="str">
        <f ca="1"/>
        <v/>
      </c>
      <c r="ADM1506" s="42" t="str">
        <f ca="1"/>
        <v/>
      </c>
      <c r="ADN1506" s="42" t="str">
        <f ca="1"/>
        <v/>
      </c>
      <c r="ADO1506" s="42" t="str">
        <f ca="1"/>
        <v/>
      </c>
      <c r="ADP1506" s="42" t="str">
        <f ca="1"/>
        <v/>
      </c>
      <c r="ADQ1506" s="42" t="str">
        <f ca="1"/>
        <v/>
      </c>
      <c r="ADR1506" s="42" t="str">
        <f ca="1"/>
        <v/>
      </c>
      <c r="ADS1506" s="42" t="str">
        <f ca="1"/>
        <v/>
      </c>
      <c r="ADT1506" s="42" t="str">
        <f ca="1"/>
        <v/>
      </c>
      <c r="ADU1506" s="42" t="str">
        <f ca="1"/>
        <v/>
      </c>
      <c r="ADV1506" s="42" t="str">
        <f ca="1"/>
        <v/>
      </c>
      <c r="ADW1506" s="42" t="str">
        <f ca="1"/>
        <v/>
      </c>
      <c r="ADX1506" s="42" t="str">
        <f ca="1"/>
        <v/>
      </c>
      <c r="ADY1506" s="42" t="str">
        <f ca="1"/>
        <v/>
      </c>
      <c r="ADZ1506" s="42" t="str">
        <f ca="1"/>
        <v/>
      </c>
      <c r="AEA1506" s="42" t="str">
        <f ca="1"/>
        <v/>
      </c>
      <c r="AEB1506" s="42" t="str">
        <f ca="1"/>
        <v/>
      </c>
      <c r="AEC1506" s="42" t="str">
        <f ca="1"/>
        <v/>
      </c>
      <c r="AED1506" s="42" t="str">
        <f ca="1"/>
        <v/>
      </c>
      <c r="AEE1506" s="42" t="str">
        <f ca="1"/>
        <v/>
      </c>
      <c r="AEF1506" s="42" t="str">
        <f ca="1"/>
        <v/>
      </c>
      <c r="AEG1506" s="42" t="str">
        <f ca="1"/>
        <v/>
      </c>
      <c r="AEH1506" s="42" t="str">
        <f ca="1"/>
        <v/>
      </c>
      <c r="AEI1506" s="42" t="str">
        <f ca="1"/>
        <v/>
      </c>
      <c r="AEJ1506" s="42" t="str">
        <f ca="1"/>
        <v/>
      </c>
      <c r="AEK1506" s="42" t="str">
        <f ca="1"/>
        <v/>
      </c>
      <c r="AEL1506" s="42" t="str">
        <f ca="1"/>
        <v/>
      </c>
      <c r="AEM1506" s="42" t="str">
        <f ca="1"/>
        <v/>
      </c>
      <c r="AEN1506" s="42" t="str">
        <f ca="1"/>
        <v/>
      </c>
      <c r="AEO1506" s="42" t="str">
        <f ca="1"/>
        <v/>
      </c>
      <c r="AEP1506" s="42" t="str">
        <f ca="1"/>
        <v/>
      </c>
      <c r="AEQ1506" s="42" t="str">
        <f ca="1"/>
        <v/>
      </c>
      <c r="AER1506" s="42" t="str">
        <f ca="1"/>
        <v/>
      </c>
      <c r="AES1506" s="42" t="str">
        <f ca="1"/>
        <v/>
      </c>
      <c r="AET1506" s="42" t="str">
        <f ca="1"/>
        <v/>
      </c>
      <c r="AEU1506" s="42" t="str">
        <f ca="1"/>
        <v/>
      </c>
      <c r="AEV1506" s="42" t="str">
        <f ca="1"/>
        <v/>
      </c>
      <c r="AEW1506" s="42" t="str">
        <f ca="1"/>
        <v/>
      </c>
      <c r="AEX1506" s="42" t="str">
        <f ca="1"/>
        <v/>
      </c>
      <c r="AEY1506" s="42" t="str">
        <f ca="1"/>
        <v/>
      </c>
      <c r="AEZ1506" s="42" t="str">
        <f ca="1"/>
        <v/>
      </c>
      <c r="AFA1506" s="42" t="str">
        <f ca="1"/>
        <v/>
      </c>
      <c r="AFB1506" s="42" t="str">
        <f ca="1"/>
        <v/>
      </c>
      <c r="AFC1506" s="42" t="str">
        <f ca="1"/>
        <v/>
      </c>
      <c r="AFD1506" s="42" t="str">
        <f ca="1"/>
        <v/>
      </c>
      <c r="AFE1506" s="42" t="str">
        <f ca="1"/>
        <v/>
      </c>
      <c r="AFF1506" s="42" t="str">
        <f ca="1"/>
        <v/>
      </c>
      <c r="AFG1506" s="42" t="str">
        <f ca="1"/>
        <v/>
      </c>
      <c r="AFH1506" s="42" t="str">
        <f ca="1"/>
        <v/>
      </c>
      <c r="AFI1506" s="42" t="str">
        <f ca="1"/>
        <v/>
      </c>
      <c r="AFJ1506" s="42" t="str">
        <f ca="1"/>
        <v/>
      </c>
      <c r="AFK1506" s="42" t="str">
        <f ca="1"/>
        <v/>
      </c>
      <c r="AFL1506" s="42" t="str">
        <f ca="1"/>
        <v/>
      </c>
      <c r="AFM1506" s="42" t="str">
        <f ca="1"/>
        <v/>
      </c>
      <c r="AFN1506" s="42" t="str">
        <f ca="1"/>
        <v/>
      </c>
      <c r="AFO1506" s="42" t="str">
        <f ca="1"/>
        <v/>
      </c>
      <c r="AFP1506" s="42" t="str">
        <f ca="1"/>
        <v/>
      </c>
      <c r="AFQ1506" s="42" t="str">
        <f ca="1"/>
        <v/>
      </c>
      <c r="AFR1506" s="42" t="str">
        <f ca="1"/>
        <v/>
      </c>
      <c r="AFS1506" s="42" t="str">
        <f ca="1"/>
        <v/>
      </c>
      <c r="AFT1506" s="42" t="str">
        <f ca="1"/>
        <v/>
      </c>
      <c r="AFU1506" s="42" t="str">
        <f ca="1"/>
        <v/>
      </c>
      <c r="AFV1506" s="42" t="str">
        <f ca="1"/>
        <v/>
      </c>
      <c r="AFW1506" s="42" t="str">
        <f ca="1"/>
        <v/>
      </c>
      <c r="AFX1506" s="42" t="str">
        <f ca="1"/>
        <v/>
      </c>
      <c r="AFY1506" s="42" t="str">
        <f ca="1"/>
        <v/>
      </c>
      <c r="AFZ1506" s="42" t="str">
        <f ca="1"/>
        <v/>
      </c>
      <c r="AGA1506" s="42" t="str">
        <f ca="1"/>
        <v/>
      </c>
      <c r="AGB1506" s="42" t="str">
        <f ca="1"/>
        <v/>
      </c>
      <c r="AGC1506" s="42" t="str">
        <f ca="1"/>
        <v/>
      </c>
      <c r="AGD1506" s="42" t="str">
        <f ca="1"/>
        <v/>
      </c>
      <c r="AGE1506" s="42" t="str">
        <f ca="1"/>
        <v/>
      </c>
      <c r="AGF1506" s="42" t="str">
        <f ca="1"/>
        <v/>
      </c>
      <c r="AGG1506" s="42" t="str">
        <f ca="1"/>
        <v/>
      </c>
      <c r="AGH1506" s="42" t="str">
        <f ca="1"/>
        <v/>
      </c>
      <c r="AGI1506" s="42" t="str">
        <f ca="1"/>
        <v/>
      </c>
      <c r="AGJ1506" s="42" t="str">
        <f ca="1"/>
        <v/>
      </c>
      <c r="AGK1506" s="42" t="str">
        <f ca="1"/>
        <v/>
      </c>
      <c r="AGL1506" s="42" t="str">
        <f ca="1"/>
        <v/>
      </c>
      <c r="AGM1506" s="42" t="str">
        <f ca="1"/>
        <v/>
      </c>
      <c r="AGN1506" s="42" t="str">
        <f ca="1"/>
        <v/>
      </c>
    </row>
    <row r="1507" spans="15:872" x14ac:dyDescent="0.25">
      <c r="O1507" s="42">
        <v>17</v>
      </c>
      <c r="P1507" s="42" t="str">
        <f ca="1"/>
        <v/>
      </c>
      <c r="Q1507" s="42" t="str">
        <f ca="1"/>
        <v/>
      </c>
      <c r="R1507" s="42" t="str">
        <f ca="1"/>
        <v/>
      </c>
      <c r="S1507" s="42" t="str">
        <f ca="1"/>
        <v/>
      </c>
      <c r="T1507" s="42" t="str">
        <f ca="1"/>
        <v/>
      </c>
      <c r="U1507" s="42" t="str">
        <f ca="1"/>
        <v/>
      </c>
      <c r="V1507" s="42" t="str">
        <f ca="1"/>
        <v/>
      </c>
      <c r="W1507" s="42" t="str">
        <f ca="1"/>
        <v/>
      </c>
      <c r="X1507" s="42" t="str">
        <f ca="1"/>
        <v/>
      </c>
      <c r="Y1507" s="42" t="str">
        <f ca="1"/>
        <v/>
      </c>
      <c r="Z1507" s="42" t="str">
        <f ca="1"/>
        <v/>
      </c>
      <c r="AA1507" s="42" t="str">
        <f ca="1"/>
        <v/>
      </c>
      <c r="AB1507" s="42" t="str">
        <f ca="1"/>
        <v/>
      </c>
      <c r="AC1507" s="42" t="str">
        <f ca="1"/>
        <v/>
      </c>
      <c r="AD1507" s="42" t="str">
        <f ca="1"/>
        <v/>
      </c>
      <c r="AE1507" s="42" t="str">
        <f ca="1"/>
        <v/>
      </c>
      <c r="AF1507" s="42" t="str">
        <f ca="1"/>
        <v/>
      </c>
      <c r="AG1507" s="42" t="str">
        <f ca="1"/>
        <v/>
      </c>
      <c r="AH1507" s="42" t="str">
        <f ca="1"/>
        <v/>
      </c>
      <c r="AI1507" s="42" t="str">
        <f ca="1"/>
        <v/>
      </c>
      <c r="AJ1507" s="42" t="str">
        <f ca="1"/>
        <v/>
      </c>
      <c r="AK1507" s="42" t="str">
        <f ca="1"/>
        <v/>
      </c>
      <c r="AL1507" s="42" t="str">
        <f ca="1"/>
        <v/>
      </c>
      <c r="AM1507" s="42" t="str">
        <f ca="1"/>
        <v/>
      </c>
      <c r="AN1507" s="42" t="str">
        <f ca="1"/>
        <v/>
      </c>
      <c r="AO1507" s="42" t="str">
        <f ca="1"/>
        <v/>
      </c>
      <c r="AP1507" s="42" t="str">
        <f ca="1"/>
        <v/>
      </c>
      <c r="AQ1507" s="42" t="str">
        <f ca="1"/>
        <v/>
      </c>
      <c r="AR1507" s="42" t="str">
        <f ca="1"/>
        <v/>
      </c>
      <c r="AS1507" s="42" t="str">
        <f ca="1"/>
        <v/>
      </c>
      <c r="AT1507" s="42" t="str">
        <f ca="1"/>
        <v/>
      </c>
      <c r="AU1507" s="42" t="str">
        <f ca="1"/>
        <v/>
      </c>
      <c r="AV1507" s="42" t="str">
        <f ca="1"/>
        <v/>
      </c>
      <c r="AW1507" s="42" t="str">
        <f ca="1"/>
        <v/>
      </c>
      <c r="AX1507" s="42" t="str">
        <f ca="1"/>
        <v/>
      </c>
      <c r="AY1507" s="42" t="str">
        <f ca="1"/>
        <v/>
      </c>
      <c r="AZ1507" s="42" t="str">
        <f ca="1"/>
        <v/>
      </c>
      <c r="BA1507" s="42" t="str">
        <f ca="1"/>
        <v/>
      </c>
      <c r="BB1507" s="42" t="str">
        <f ca="1"/>
        <v/>
      </c>
      <c r="BC1507" s="42" t="str">
        <f ca="1"/>
        <v/>
      </c>
      <c r="BD1507" s="42" t="str">
        <f ca="1"/>
        <v/>
      </c>
      <c r="BE1507" s="42" t="str">
        <f ca="1"/>
        <v/>
      </c>
      <c r="BF1507" s="42" t="str">
        <f ca="1"/>
        <v/>
      </c>
      <c r="BG1507" s="42" t="str">
        <f ca="1"/>
        <v/>
      </c>
      <c r="BH1507" s="42" t="str">
        <f ca="1"/>
        <v/>
      </c>
      <c r="BI1507" s="42" t="str">
        <f ca="1"/>
        <v/>
      </c>
      <c r="BJ1507" s="42" t="str">
        <f ca="1"/>
        <v/>
      </c>
      <c r="BK1507" s="42" t="str">
        <f ca="1"/>
        <v/>
      </c>
      <c r="BL1507" s="42" t="str">
        <f ca="1"/>
        <v/>
      </c>
      <c r="BM1507" s="42" t="str">
        <f ca="1"/>
        <v/>
      </c>
      <c r="BN1507" s="42" t="str">
        <f ca="1"/>
        <v/>
      </c>
      <c r="BO1507" s="42" t="str">
        <f ca="1"/>
        <v/>
      </c>
      <c r="BP1507" s="42" t="str">
        <f ca="1"/>
        <v/>
      </c>
      <c r="BQ1507" s="42" t="str">
        <f ca="1"/>
        <v/>
      </c>
      <c r="BR1507" s="42" t="str">
        <f ca="1"/>
        <v/>
      </c>
      <c r="BS1507" s="42" t="str">
        <f ca="1"/>
        <v/>
      </c>
      <c r="BT1507" s="42" t="str">
        <f ca="1"/>
        <v/>
      </c>
      <c r="BU1507" s="42" t="str">
        <f ca="1"/>
        <v/>
      </c>
      <c r="BV1507" s="42" t="str">
        <f ca="1"/>
        <v/>
      </c>
      <c r="BW1507" s="42" t="str">
        <f ca="1"/>
        <v/>
      </c>
      <c r="BX1507" s="42" t="str">
        <f ca="1"/>
        <v/>
      </c>
      <c r="BY1507" s="42" t="str">
        <f ca="1"/>
        <v/>
      </c>
      <c r="BZ1507" s="42" t="str">
        <f ca="1"/>
        <v/>
      </c>
      <c r="CA1507" s="42" t="str">
        <f ca="1"/>
        <v/>
      </c>
      <c r="CB1507" s="42" t="str">
        <f ca="1"/>
        <v/>
      </c>
      <c r="CC1507" s="42" t="str">
        <f ca="1"/>
        <v/>
      </c>
      <c r="CD1507" s="42" t="str">
        <f ca="1"/>
        <v/>
      </c>
      <c r="CE1507" s="42" t="str">
        <f ca="1"/>
        <v/>
      </c>
      <c r="CF1507" s="42" t="str">
        <f ca="1"/>
        <v/>
      </c>
      <c r="CG1507" s="42" t="str">
        <f ca="1"/>
        <v/>
      </c>
      <c r="CH1507" s="42" t="str">
        <f ca="1"/>
        <v/>
      </c>
      <c r="CI1507" s="42" t="str">
        <f ca="1"/>
        <v/>
      </c>
      <c r="CJ1507" s="42" t="str">
        <f ca="1"/>
        <v/>
      </c>
      <c r="CK1507" s="42" t="str">
        <f ca="1"/>
        <v/>
      </c>
      <c r="CL1507" s="42" t="str">
        <f ca="1"/>
        <v/>
      </c>
      <c r="CM1507" s="42" t="str">
        <f ca="1"/>
        <v/>
      </c>
      <c r="CN1507" s="42" t="str">
        <f ca="1"/>
        <v/>
      </c>
      <c r="CO1507" s="42" t="str">
        <f ca="1"/>
        <v/>
      </c>
      <c r="CP1507" s="42" t="str">
        <f ca="1"/>
        <v/>
      </c>
      <c r="CQ1507" s="42" t="str">
        <f ca="1"/>
        <v/>
      </c>
      <c r="CR1507" s="42" t="str">
        <f ca="1"/>
        <v/>
      </c>
      <c r="CS1507" s="42" t="str">
        <f ca="1"/>
        <v/>
      </c>
      <c r="CT1507" s="42" t="str">
        <f ca="1"/>
        <v/>
      </c>
      <c r="CU1507" s="42" t="str">
        <f ca="1"/>
        <v/>
      </c>
      <c r="CV1507" s="42" t="str">
        <f ca="1"/>
        <v/>
      </c>
      <c r="CW1507" s="42" t="str">
        <f ca="1"/>
        <v/>
      </c>
      <c r="CX1507" s="42" t="str">
        <f ca="1"/>
        <v/>
      </c>
      <c r="CY1507" s="42" t="str">
        <f ca="1"/>
        <v/>
      </c>
      <c r="CZ1507" s="42" t="str">
        <f ca="1"/>
        <v/>
      </c>
      <c r="DA1507" s="42" t="str">
        <f ca="1"/>
        <v/>
      </c>
      <c r="DB1507" s="42" t="str">
        <f ca="1"/>
        <v/>
      </c>
      <c r="DC1507" s="42" t="str">
        <f ca="1"/>
        <v/>
      </c>
      <c r="DD1507" s="42" t="str">
        <f ca="1"/>
        <v/>
      </c>
      <c r="DE1507" s="42" t="str">
        <f ca="1"/>
        <v/>
      </c>
      <c r="DF1507" s="42" t="str">
        <f ca="1"/>
        <v/>
      </c>
      <c r="DG1507" s="42" t="str">
        <f ca="1"/>
        <v/>
      </c>
      <c r="DH1507" s="42" t="str">
        <f ca="1"/>
        <v/>
      </c>
      <c r="DI1507" s="42" t="str">
        <f ca="1"/>
        <v/>
      </c>
      <c r="DJ1507" s="42" t="str">
        <f ca="1"/>
        <v/>
      </c>
      <c r="DK1507" s="42" t="str">
        <f ca="1"/>
        <v/>
      </c>
      <c r="DL1507" s="42" t="str">
        <f ca="1"/>
        <v/>
      </c>
      <c r="DM1507" s="42" t="str">
        <f ca="1"/>
        <v/>
      </c>
      <c r="DN1507" s="42" t="str">
        <f ca="1"/>
        <v/>
      </c>
      <c r="DO1507" s="42" t="str">
        <f ca="1"/>
        <v/>
      </c>
      <c r="DP1507" s="42" t="str">
        <f ca="1"/>
        <v/>
      </c>
      <c r="DQ1507" s="42" t="str">
        <f ca="1"/>
        <v/>
      </c>
      <c r="DR1507" s="42" t="str">
        <f ca="1"/>
        <v/>
      </c>
      <c r="DS1507" s="42" t="str">
        <f ca="1"/>
        <v/>
      </c>
      <c r="DT1507" s="42" t="str">
        <f ca="1"/>
        <v/>
      </c>
      <c r="DU1507" s="42" t="str">
        <f ca="1"/>
        <v/>
      </c>
      <c r="DV1507" s="42" t="str">
        <f ca="1"/>
        <v/>
      </c>
      <c r="DW1507" s="42" t="str">
        <f ca="1"/>
        <v/>
      </c>
      <c r="DX1507" s="42" t="str">
        <f ca="1"/>
        <v/>
      </c>
      <c r="DY1507" s="42" t="str">
        <f ca="1"/>
        <v/>
      </c>
      <c r="DZ1507" s="42" t="str">
        <f ca="1"/>
        <v/>
      </c>
      <c r="EA1507" s="42" t="str">
        <f ca="1"/>
        <v/>
      </c>
      <c r="EB1507" s="42" t="str">
        <f ca="1"/>
        <v/>
      </c>
      <c r="EC1507" s="42" t="str">
        <f ca="1"/>
        <v/>
      </c>
      <c r="ED1507" s="42" t="str">
        <f ca="1"/>
        <v/>
      </c>
      <c r="EE1507" s="42" t="str">
        <f ca="1"/>
        <v/>
      </c>
      <c r="EF1507" s="42" t="str">
        <f ca="1"/>
        <v/>
      </c>
      <c r="EG1507" s="42" t="str">
        <f ca="1"/>
        <v/>
      </c>
      <c r="EH1507" s="42" t="str">
        <f ca="1"/>
        <v/>
      </c>
      <c r="EI1507" s="42" t="str">
        <f ca="1"/>
        <v/>
      </c>
      <c r="EJ1507" s="42" t="str">
        <f ca="1"/>
        <v/>
      </c>
      <c r="EK1507" s="42" t="str">
        <f ca="1"/>
        <v/>
      </c>
      <c r="EL1507" s="42" t="str">
        <f ca="1"/>
        <v/>
      </c>
      <c r="EM1507" s="42" t="str">
        <f ca="1"/>
        <v/>
      </c>
      <c r="EN1507" s="42" t="str">
        <f ca="1"/>
        <v/>
      </c>
      <c r="EO1507" s="42" t="str">
        <f ca="1"/>
        <v/>
      </c>
      <c r="EP1507" s="42" t="str">
        <f ca="1"/>
        <v/>
      </c>
      <c r="EQ1507" s="42" t="str">
        <f ca="1"/>
        <v/>
      </c>
      <c r="ER1507" s="42" t="str">
        <f ca="1"/>
        <v/>
      </c>
      <c r="ES1507" s="42" t="str">
        <f ca="1"/>
        <v/>
      </c>
      <c r="ET1507" s="42" t="str">
        <f ca="1"/>
        <v/>
      </c>
      <c r="EU1507" s="42" t="str">
        <f ca="1"/>
        <v/>
      </c>
      <c r="EV1507" s="42" t="str">
        <f ca="1"/>
        <v/>
      </c>
      <c r="EW1507" s="42" t="str">
        <f ca="1"/>
        <v/>
      </c>
      <c r="EX1507" s="42" t="str">
        <f ca="1"/>
        <v/>
      </c>
      <c r="EY1507" s="42" t="str">
        <f ca="1"/>
        <v/>
      </c>
      <c r="EZ1507" s="42" t="str">
        <f ca="1"/>
        <v/>
      </c>
      <c r="FA1507" s="42" t="str">
        <f ca="1"/>
        <v/>
      </c>
      <c r="FB1507" s="42" t="str">
        <f ca="1"/>
        <v/>
      </c>
      <c r="FC1507" s="42" t="str">
        <f ca="1"/>
        <v/>
      </c>
      <c r="FD1507" s="42" t="str">
        <f ca="1"/>
        <v/>
      </c>
      <c r="FE1507" s="42" t="str">
        <f ca="1"/>
        <v/>
      </c>
      <c r="FF1507" s="42" t="str">
        <f ca="1"/>
        <v/>
      </c>
      <c r="FG1507" s="42" t="str">
        <f ca="1"/>
        <v/>
      </c>
      <c r="FH1507" s="42" t="str">
        <f ca="1"/>
        <v/>
      </c>
      <c r="FI1507" s="42" t="str">
        <f ca="1"/>
        <v/>
      </c>
      <c r="FJ1507" s="42" t="str">
        <f ca="1"/>
        <v/>
      </c>
      <c r="FK1507" s="42" t="str">
        <f ca="1"/>
        <v/>
      </c>
      <c r="FL1507" s="42" t="str">
        <f ca="1"/>
        <v/>
      </c>
      <c r="FM1507" s="42" t="str">
        <f ca="1"/>
        <v/>
      </c>
      <c r="FN1507" s="42" t="str">
        <f ca="1"/>
        <v/>
      </c>
      <c r="FO1507" s="42" t="str">
        <f ca="1"/>
        <v/>
      </c>
      <c r="FP1507" s="42" t="str">
        <f ca="1"/>
        <v/>
      </c>
      <c r="FQ1507" s="42" t="str">
        <f ca="1"/>
        <v/>
      </c>
      <c r="FR1507" s="42" t="str">
        <f ca="1"/>
        <v/>
      </c>
      <c r="FS1507" s="42" t="str">
        <f ca="1"/>
        <v/>
      </c>
      <c r="FT1507" s="42" t="str">
        <f ca="1"/>
        <v/>
      </c>
      <c r="FU1507" s="42" t="str">
        <f ca="1"/>
        <v/>
      </c>
      <c r="FV1507" s="42" t="str">
        <f ca="1"/>
        <v/>
      </c>
      <c r="FW1507" s="42" t="str">
        <f ca="1"/>
        <v/>
      </c>
      <c r="FX1507" s="42" t="str">
        <f ca="1"/>
        <v/>
      </c>
      <c r="FY1507" s="42" t="str">
        <f ca="1"/>
        <v/>
      </c>
      <c r="FZ1507" s="42" t="str">
        <f ca="1"/>
        <v/>
      </c>
      <c r="GA1507" s="42" t="str">
        <f ca="1"/>
        <v/>
      </c>
      <c r="GB1507" s="42" t="str">
        <f ca="1"/>
        <v/>
      </c>
      <c r="GC1507" s="42" t="str">
        <f ca="1"/>
        <v/>
      </c>
      <c r="GD1507" s="42" t="str">
        <f ca="1"/>
        <v/>
      </c>
      <c r="GE1507" s="42" t="str">
        <f ca="1"/>
        <v/>
      </c>
      <c r="GF1507" s="42" t="str">
        <f ca="1"/>
        <v/>
      </c>
      <c r="GG1507" s="42" t="str">
        <f ca="1"/>
        <v/>
      </c>
      <c r="GH1507" s="42" t="str">
        <f ca="1"/>
        <v/>
      </c>
      <c r="GI1507" s="42" t="str">
        <f ca="1"/>
        <v/>
      </c>
      <c r="GJ1507" s="42" t="str">
        <f ca="1"/>
        <v/>
      </c>
      <c r="GK1507" s="42" t="str">
        <f ca="1"/>
        <v/>
      </c>
      <c r="GL1507" s="42" t="str">
        <f ca="1"/>
        <v/>
      </c>
      <c r="GM1507" s="42" t="str">
        <f ca="1"/>
        <v/>
      </c>
      <c r="GN1507" s="42" t="str">
        <f ca="1"/>
        <v/>
      </c>
      <c r="GO1507" s="42" t="str">
        <f ca="1"/>
        <v/>
      </c>
      <c r="GP1507" s="42" t="str">
        <f ca="1"/>
        <v/>
      </c>
      <c r="GQ1507" s="42" t="str">
        <f ca="1"/>
        <v/>
      </c>
      <c r="GR1507" s="42" t="str">
        <f ca="1"/>
        <v/>
      </c>
      <c r="GS1507" s="42" t="str">
        <f ca="1"/>
        <v/>
      </c>
      <c r="GT1507" s="42" t="str">
        <f ca="1"/>
        <v/>
      </c>
      <c r="GU1507" s="42" t="str">
        <f ca="1"/>
        <v/>
      </c>
      <c r="GV1507" s="42" t="str">
        <f ca="1"/>
        <v/>
      </c>
      <c r="GW1507" s="42" t="str">
        <f ca="1"/>
        <v/>
      </c>
      <c r="GX1507" s="42" t="str">
        <f ca="1"/>
        <v/>
      </c>
      <c r="GY1507" s="42" t="str">
        <f ca="1"/>
        <v/>
      </c>
      <c r="GZ1507" s="42" t="str">
        <f ca="1"/>
        <v/>
      </c>
      <c r="HA1507" s="42" t="str">
        <f ca="1"/>
        <v/>
      </c>
      <c r="HB1507" s="42" t="str">
        <f ca="1"/>
        <v/>
      </c>
      <c r="HC1507" s="42" t="str">
        <f ca="1"/>
        <v/>
      </c>
      <c r="HD1507" s="42" t="str">
        <f ca="1"/>
        <v/>
      </c>
      <c r="HE1507" s="42" t="str">
        <f ca="1"/>
        <v/>
      </c>
      <c r="HF1507" s="42" t="str">
        <f ca="1"/>
        <v/>
      </c>
      <c r="HG1507" s="42" t="str">
        <f ca="1"/>
        <v/>
      </c>
      <c r="HH1507" s="42" t="str">
        <f ca="1"/>
        <v/>
      </c>
      <c r="HI1507" s="42" t="str">
        <f ca="1"/>
        <v/>
      </c>
      <c r="HJ1507" s="42" t="str">
        <f ca="1"/>
        <v/>
      </c>
      <c r="HK1507" s="42" t="str">
        <f ca="1"/>
        <v/>
      </c>
      <c r="HL1507" s="42" t="str">
        <f ca="1"/>
        <v/>
      </c>
      <c r="HM1507" s="42" t="str">
        <f ca="1"/>
        <v/>
      </c>
      <c r="HN1507" s="42" t="str">
        <f ca="1"/>
        <v/>
      </c>
      <c r="HO1507" s="42" t="str">
        <f ca="1"/>
        <v/>
      </c>
      <c r="HP1507" s="42" t="str">
        <f ca="1"/>
        <v/>
      </c>
      <c r="HQ1507" s="42" t="str">
        <f ca="1"/>
        <v/>
      </c>
      <c r="HR1507" s="42" t="str">
        <f ca="1"/>
        <v/>
      </c>
      <c r="HS1507" s="42" t="str">
        <f ca="1"/>
        <v/>
      </c>
      <c r="HT1507" s="42" t="str">
        <f ca="1"/>
        <v/>
      </c>
      <c r="HU1507" s="42" t="str">
        <f ca="1"/>
        <v/>
      </c>
      <c r="HV1507" s="42" t="str">
        <f ca="1"/>
        <v/>
      </c>
      <c r="HW1507" s="42" t="str">
        <f ca="1"/>
        <v/>
      </c>
      <c r="HX1507" s="42" t="str">
        <f ca="1"/>
        <v/>
      </c>
      <c r="HY1507" s="42" t="str">
        <f ca="1"/>
        <v/>
      </c>
      <c r="HZ1507" s="42" t="str">
        <f ca="1"/>
        <v/>
      </c>
      <c r="IA1507" s="42" t="str">
        <f ca="1"/>
        <v/>
      </c>
      <c r="IB1507" s="42" t="str">
        <f ca="1"/>
        <v/>
      </c>
      <c r="IC1507" s="42" t="str">
        <f ca="1"/>
        <v/>
      </c>
      <c r="ID1507" s="42" t="str">
        <f ca="1"/>
        <v/>
      </c>
      <c r="IE1507" s="42" t="str">
        <f ca="1"/>
        <v/>
      </c>
      <c r="IF1507" s="42" t="str">
        <f ca="1"/>
        <v/>
      </c>
      <c r="IG1507" s="42" t="str">
        <f ca="1"/>
        <v/>
      </c>
      <c r="IH1507" s="42" t="str">
        <f ca="1"/>
        <v/>
      </c>
      <c r="II1507" s="42" t="str">
        <f ca="1"/>
        <v/>
      </c>
      <c r="IJ1507" s="42" t="str">
        <f ca="1"/>
        <v/>
      </c>
      <c r="IK1507" s="42" t="str">
        <f ca="1"/>
        <v/>
      </c>
      <c r="IL1507" s="42" t="str">
        <f ca="1"/>
        <v/>
      </c>
      <c r="IM1507" s="42" t="str">
        <f ca="1"/>
        <v/>
      </c>
      <c r="IN1507" s="42" t="str">
        <f ca="1"/>
        <v/>
      </c>
      <c r="IO1507" s="42" t="str">
        <f ca="1"/>
        <v/>
      </c>
      <c r="IP1507" s="42" t="str">
        <f ca="1"/>
        <v/>
      </c>
      <c r="IQ1507" s="42" t="str">
        <f ca="1"/>
        <v/>
      </c>
      <c r="IR1507" s="42" t="str">
        <f ca="1"/>
        <v/>
      </c>
      <c r="IS1507" s="42" t="str">
        <f ca="1"/>
        <v/>
      </c>
      <c r="IT1507" s="42" t="str">
        <f ca="1"/>
        <v/>
      </c>
      <c r="IU1507" s="42" t="str">
        <f ca="1"/>
        <v/>
      </c>
      <c r="IV1507" s="42" t="str">
        <f ca="1"/>
        <v/>
      </c>
      <c r="IW1507" s="42" t="str">
        <f ca="1"/>
        <v/>
      </c>
      <c r="IX1507" s="42" t="str">
        <f ca="1"/>
        <v/>
      </c>
      <c r="IY1507" s="42" t="str">
        <f ca="1"/>
        <v/>
      </c>
      <c r="IZ1507" s="42" t="str">
        <f ca="1"/>
        <v/>
      </c>
      <c r="JA1507" s="42" t="str">
        <f ca="1"/>
        <v/>
      </c>
      <c r="JB1507" s="42" t="str">
        <f ca="1"/>
        <v/>
      </c>
      <c r="JC1507" s="42" t="str">
        <f ca="1"/>
        <v/>
      </c>
      <c r="JD1507" s="42" t="str">
        <f ca="1"/>
        <v/>
      </c>
      <c r="JE1507" s="42" t="str">
        <f ca="1"/>
        <v/>
      </c>
      <c r="JF1507" s="42" t="str">
        <f ca="1"/>
        <v/>
      </c>
      <c r="JG1507" s="42" t="str">
        <f ca="1"/>
        <v/>
      </c>
      <c r="JH1507" s="42" t="str">
        <f ca="1"/>
        <v/>
      </c>
      <c r="JI1507" s="42" t="str">
        <f ca="1"/>
        <v/>
      </c>
      <c r="JJ1507" s="42" t="str">
        <f ca="1"/>
        <v/>
      </c>
      <c r="JK1507" s="42" t="str">
        <f ca="1"/>
        <v/>
      </c>
      <c r="JL1507" s="42" t="str">
        <f ca="1"/>
        <v/>
      </c>
      <c r="JM1507" s="42" t="str">
        <f ca="1"/>
        <v/>
      </c>
      <c r="JN1507" s="42" t="str">
        <f ca="1"/>
        <v/>
      </c>
      <c r="JO1507" s="42" t="str">
        <f ca="1"/>
        <v/>
      </c>
      <c r="JP1507" s="42" t="str">
        <f ca="1"/>
        <v/>
      </c>
      <c r="JQ1507" s="42" t="str">
        <f ca="1"/>
        <v/>
      </c>
      <c r="JR1507" s="42" t="str">
        <f ca="1"/>
        <v/>
      </c>
      <c r="JS1507" s="42" t="str">
        <f ca="1"/>
        <v/>
      </c>
      <c r="JT1507" s="42" t="str">
        <f ca="1"/>
        <v/>
      </c>
      <c r="JU1507" s="42" t="str">
        <f ca="1"/>
        <v/>
      </c>
      <c r="JV1507" s="42" t="str">
        <f ca="1"/>
        <v/>
      </c>
      <c r="JW1507" s="42" t="str">
        <f ca="1"/>
        <v/>
      </c>
      <c r="JX1507" s="42" t="str">
        <f ca="1"/>
        <v/>
      </c>
      <c r="JY1507" s="42" t="str">
        <f ca="1"/>
        <v/>
      </c>
      <c r="JZ1507" s="42" t="str">
        <f ca="1"/>
        <v/>
      </c>
      <c r="KA1507" s="42" t="str">
        <f ca="1"/>
        <v/>
      </c>
      <c r="KB1507" s="42" t="str">
        <f ca="1"/>
        <v/>
      </c>
      <c r="KC1507" s="42" t="str">
        <f ca="1"/>
        <v/>
      </c>
      <c r="KD1507" s="42" t="str">
        <f ca="1"/>
        <v/>
      </c>
      <c r="KE1507" s="42" t="str">
        <f ca="1"/>
        <v/>
      </c>
      <c r="KF1507" s="42" t="str">
        <f ca="1"/>
        <v/>
      </c>
      <c r="KG1507" s="42" t="str">
        <f ca="1"/>
        <v/>
      </c>
      <c r="KH1507" s="42" t="str">
        <f ca="1"/>
        <v/>
      </c>
      <c r="KI1507" s="42" t="str">
        <f ca="1"/>
        <v/>
      </c>
      <c r="KJ1507" s="42" t="str">
        <f ca="1"/>
        <v/>
      </c>
      <c r="KK1507" s="42" t="str">
        <f ca="1"/>
        <v/>
      </c>
      <c r="KL1507" s="42" t="str">
        <f ca="1"/>
        <v/>
      </c>
      <c r="KM1507" s="42" t="str">
        <f ca="1"/>
        <v/>
      </c>
      <c r="KN1507" s="42" t="str">
        <f ca="1"/>
        <v/>
      </c>
      <c r="KO1507" s="42" t="str">
        <f ca="1"/>
        <v/>
      </c>
      <c r="KP1507" s="42" t="str">
        <f ca="1"/>
        <v/>
      </c>
      <c r="KQ1507" s="42" t="str">
        <f ca="1"/>
        <v/>
      </c>
      <c r="KR1507" s="42" t="str">
        <f ca="1"/>
        <v/>
      </c>
      <c r="KS1507" s="42" t="str">
        <f ca="1"/>
        <v/>
      </c>
      <c r="KT1507" s="42" t="str">
        <f ca="1"/>
        <v/>
      </c>
      <c r="KU1507" s="42" t="str">
        <f ca="1"/>
        <v/>
      </c>
      <c r="KV1507" s="42" t="str">
        <f ca="1"/>
        <v/>
      </c>
      <c r="KW1507" s="42" t="str">
        <f ca="1"/>
        <v/>
      </c>
      <c r="KX1507" s="42" t="str">
        <f ca="1"/>
        <v/>
      </c>
      <c r="KY1507" s="42" t="str">
        <f ca="1"/>
        <v/>
      </c>
      <c r="KZ1507" s="42" t="str">
        <f ca="1"/>
        <v/>
      </c>
      <c r="LA1507" s="42" t="str">
        <f ca="1"/>
        <v/>
      </c>
      <c r="LB1507" s="42" t="str">
        <f ca="1"/>
        <v/>
      </c>
      <c r="LC1507" s="42" t="str">
        <f ca="1"/>
        <v/>
      </c>
      <c r="LD1507" s="42" t="str">
        <f ca="1"/>
        <v/>
      </c>
      <c r="LE1507" s="42" t="str">
        <f ca="1"/>
        <v/>
      </c>
      <c r="LF1507" s="42" t="str">
        <f ca="1"/>
        <v/>
      </c>
      <c r="LG1507" s="42" t="str">
        <f ca="1"/>
        <v/>
      </c>
      <c r="LH1507" s="42" t="str">
        <f ca="1"/>
        <v/>
      </c>
      <c r="LI1507" s="42" t="str">
        <f ca="1"/>
        <v/>
      </c>
      <c r="LJ1507" s="42" t="str">
        <f ca="1"/>
        <v/>
      </c>
      <c r="LK1507" s="42" t="str">
        <f ca="1"/>
        <v/>
      </c>
      <c r="LL1507" s="42" t="str">
        <f ca="1"/>
        <v/>
      </c>
      <c r="LM1507" s="42" t="str">
        <f ca="1"/>
        <v/>
      </c>
      <c r="LN1507" s="42" t="str">
        <f ca="1"/>
        <v/>
      </c>
      <c r="LO1507" s="42" t="str">
        <f ca="1"/>
        <v/>
      </c>
      <c r="LP1507" s="42" t="str">
        <f ca="1"/>
        <v/>
      </c>
      <c r="LQ1507" s="42" t="str">
        <f ca="1"/>
        <v/>
      </c>
      <c r="LR1507" s="42" t="str">
        <f ca="1"/>
        <v/>
      </c>
      <c r="LS1507" s="42" t="str">
        <f ca="1"/>
        <v/>
      </c>
      <c r="LT1507" s="42" t="str">
        <f ca="1"/>
        <v/>
      </c>
      <c r="LU1507" s="42" t="str">
        <f ca="1"/>
        <v/>
      </c>
      <c r="LV1507" s="42" t="str">
        <f ca="1"/>
        <v/>
      </c>
      <c r="LW1507" s="42" t="str">
        <f ca="1"/>
        <v/>
      </c>
      <c r="LX1507" s="42" t="str">
        <f ca="1"/>
        <v/>
      </c>
      <c r="LY1507" s="42" t="str">
        <f ca="1"/>
        <v/>
      </c>
      <c r="LZ1507" s="42" t="str">
        <f ca="1"/>
        <v/>
      </c>
      <c r="MA1507" s="42" t="str">
        <f ca="1"/>
        <v/>
      </c>
      <c r="MB1507" s="42" t="str">
        <f ca="1"/>
        <v/>
      </c>
      <c r="MC1507" s="42" t="str">
        <f ca="1"/>
        <v/>
      </c>
      <c r="MD1507" s="42" t="str">
        <f ca="1"/>
        <v/>
      </c>
      <c r="ME1507" s="42" t="str">
        <f ca="1"/>
        <v/>
      </c>
      <c r="MF1507" s="42" t="str">
        <f ca="1"/>
        <v/>
      </c>
      <c r="MG1507" s="42" t="str">
        <f ca="1"/>
        <v/>
      </c>
      <c r="MH1507" s="42" t="str">
        <f ca="1"/>
        <v/>
      </c>
      <c r="MI1507" s="42" t="str">
        <f ca="1"/>
        <v/>
      </c>
      <c r="MJ1507" s="42" t="str">
        <f ca="1"/>
        <v/>
      </c>
      <c r="MK1507" s="42" t="str">
        <f ca="1"/>
        <v/>
      </c>
      <c r="ML1507" s="42" t="str">
        <f ca="1"/>
        <v/>
      </c>
      <c r="MM1507" s="42" t="str">
        <f ca="1"/>
        <v/>
      </c>
      <c r="MN1507" s="42" t="str">
        <f ca="1"/>
        <v/>
      </c>
      <c r="MO1507" s="42" t="str">
        <f ca="1"/>
        <v/>
      </c>
      <c r="MP1507" s="42" t="str">
        <f ca="1"/>
        <v/>
      </c>
      <c r="MQ1507" s="42" t="str">
        <f ca="1"/>
        <v/>
      </c>
      <c r="MR1507" s="42" t="str">
        <f ca="1"/>
        <v/>
      </c>
      <c r="MS1507" s="42" t="str">
        <f ca="1"/>
        <v/>
      </c>
      <c r="MT1507" s="42" t="str">
        <f ca="1"/>
        <v/>
      </c>
      <c r="MU1507" s="42" t="str">
        <f ca="1"/>
        <v/>
      </c>
      <c r="MV1507" s="42" t="str">
        <f ca="1"/>
        <v/>
      </c>
      <c r="MW1507" s="42" t="str">
        <f ca="1"/>
        <v/>
      </c>
      <c r="MX1507" s="42" t="str">
        <f ca="1"/>
        <v/>
      </c>
      <c r="MY1507" s="42" t="str">
        <f ca="1"/>
        <v/>
      </c>
      <c r="MZ1507" s="42" t="str">
        <f ca="1"/>
        <v/>
      </c>
      <c r="NA1507" s="42" t="str">
        <f ca="1"/>
        <v/>
      </c>
      <c r="NB1507" s="42" t="str">
        <f ca="1"/>
        <v/>
      </c>
      <c r="NC1507" s="42" t="str">
        <f ca="1"/>
        <v/>
      </c>
      <c r="ND1507" s="42" t="str">
        <f ca="1"/>
        <v/>
      </c>
      <c r="NE1507" s="42" t="str">
        <f ca="1"/>
        <v/>
      </c>
      <c r="NF1507" s="42" t="str">
        <f ca="1"/>
        <v/>
      </c>
      <c r="NG1507" s="42" t="str">
        <f ca="1"/>
        <v/>
      </c>
      <c r="NH1507" s="42" t="str">
        <f ca="1"/>
        <v/>
      </c>
      <c r="NI1507" s="42" t="str">
        <f ca="1"/>
        <v/>
      </c>
      <c r="NJ1507" s="42" t="str">
        <f ca="1"/>
        <v/>
      </c>
      <c r="NK1507" s="42" t="str">
        <f ca="1"/>
        <v/>
      </c>
      <c r="NL1507" s="42" t="str">
        <f ca="1"/>
        <v/>
      </c>
      <c r="NM1507" s="42" t="str">
        <f ca="1"/>
        <v/>
      </c>
      <c r="NN1507" s="42" t="str">
        <f ca="1"/>
        <v/>
      </c>
      <c r="NO1507" s="42" t="str">
        <f ca="1"/>
        <v/>
      </c>
      <c r="NP1507" s="42" t="str">
        <f ca="1"/>
        <v/>
      </c>
      <c r="NQ1507" s="42" t="str">
        <f ca="1"/>
        <v/>
      </c>
      <c r="NR1507" s="42" t="str">
        <f ca="1"/>
        <v/>
      </c>
      <c r="NS1507" s="42" t="str">
        <f ca="1"/>
        <v/>
      </c>
      <c r="NT1507" s="42" t="str">
        <f ca="1"/>
        <v/>
      </c>
      <c r="NU1507" s="42" t="str">
        <f ca="1"/>
        <v/>
      </c>
      <c r="NV1507" s="42" t="str">
        <f ca="1"/>
        <v/>
      </c>
      <c r="NW1507" s="42" t="str">
        <f ca="1"/>
        <v/>
      </c>
      <c r="NX1507" s="42" t="str">
        <f ca="1"/>
        <v/>
      </c>
      <c r="NY1507" s="42" t="str">
        <f ca="1"/>
        <v/>
      </c>
      <c r="NZ1507" s="42" t="str">
        <f ca="1"/>
        <v/>
      </c>
      <c r="OA1507" s="42" t="str">
        <f ca="1"/>
        <v/>
      </c>
      <c r="OB1507" s="42" t="str">
        <f ca="1"/>
        <v/>
      </c>
      <c r="OC1507" s="42" t="str">
        <f ca="1"/>
        <v/>
      </c>
      <c r="OD1507" s="42" t="str">
        <f ca="1"/>
        <v/>
      </c>
      <c r="OE1507" s="42" t="str">
        <f ca="1"/>
        <v/>
      </c>
      <c r="OF1507" s="42" t="str">
        <f ca="1"/>
        <v/>
      </c>
      <c r="OG1507" s="42" t="str">
        <f ca="1"/>
        <v/>
      </c>
      <c r="OH1507" s="42" t="str">
        <f ca="1"/>
        <v/>
      </c>
      <c r="OI1507" s="42" t="str">
        <f ca="1"/>
        <v/>
      </c>
      <c r="OJ1507" s="42" t="str">
        <f ca="1"/>
        <v/>
      </c>
      <c r="OK1507" s="42" t="str">
        <f ca="1"/>
        <v/>
      </c>
      <c r="OL1507" s="42" t="str">
        <f ca="1"/>
        <v/>
      </c>
      <c r="OM1507" s="42" t="str">
        <f ca="1"/>
        <v/>
      </c>
      <c r="ON1507" s="42" t="str">
        <f ca="1"/>
        <v/>
      </c>
      <c r="OO1507" s="42" t="str">
        <f ca="1"/>
        <v/>
      </c>
      <c r="OP1507" s="42" t="str">
        <f ca="1"/>
        <v/>
      </c>
      <c r="OQ1507" s="42" t="str">
        <f ca="1"/>
        <v/>
      </c>
      <c r="OR1507" s="42" t="str">
        <f ca="1"/>
        <v/>
      </c>
      <c r="OS1507" s="42" t="str">
        <f ca="1"/>
        <v/>
      </c>
      <c r="OT1507" s="42" t="str">
        <f ca="1"/>
        <v/>
      </c>
      <c r="OU1507" s="42" t="str">
        <f ca="1"/>
        <v/>
      </c>
      <c r="OV1507" s="42" t="str">
        <f ca="1"/>
        <v/>
      </c>
      <c r="OW1507" s="42" t="str">
        <f ca="1"/>
        <v/>
      </c>
      <c r="OX1507" s="42" t="str">
        <f ca="1"/>
        <v/>
      </c>
      <c r="OY1507" s="42" t="str">
        <f ca="1"/>
        <v/>
      </c>
      <c r="OZ1507" s="42" t="str">
        <f ca="1"/>
        <v/>
      </c>
      <c r="PA1507" s="42" t="str">
        <f ca="1"/>
        <v/>
      </c>
      <c r="PB1507" s="42" t="str">
        <f ca="1"/>
        <v/>
      </c>
      <c r="PC1507" s="42" t="str">
        <f ca="1"/>
        <v/>
      </c>
      <c r="PD1507" s="42" t="str">
        <f ca="1"/>
        <v/>
      </c>
      <c r="PE1507" s="42" t="str">
        <f ca="1"/>
        <v/>
      </c>
      <c r="PF1507" s="42" t="str">
        <f ca="1"/>
        <v/>
      </c>
      <c r="PG1507" s="42" t="str">
        <f ca="1"/>
        <v/>
      </c>
      <c r="PH1507" s="42" t="str">
        <f ca="1"/>
        <v/>
      </c>
      <c r="PI1507" s="42" t="str">
        <f ca="1"/>
        <v/>
      </c>
      <c r="PJ1507" s="42" t="str">
        <f ca="1"/>
        <v/>
      </c>
      <c r="PK1507" s="42" t="str">
        <f ca="1"/>
        <v/>
      </c>
      <c r="PL1507" s="42" t="str">
        <f ca="1"/>
        <v/>
      </c>
      <c r="PM1507" s="42" t="str">
        <f ca="1"/>
        <v/>
      </c>
      <c r="PN1507" s="42" t="str">
        <f ca="1"/>
        <v/>
      </c>
      <c r="PO1507" s="42" t="str">
        <f ca="1"/>
        <v/>
      </c>
      <c r="PP1507" s="42" t="str">
        <f ca="1"/>
        <v/>
      </c>
      <c r="PQ1507" s="42" t="str">
        <f ca="1"/>
        <v/>
      </c>
      <c r="PR1507" s="42" t="str">
        <f ca="1"/>
        <v/>
      </c>
      <c r="PS1507" s="42" t="str">
        <f ca="1"/>
        <v/>
      </c>
      <c r="PT1507" s="42" t="str">
        <f ca="1"/>
        <v/>
      </c>
      <c r="PU1507" s="42" t="str">
        <f ca="1"/>
        <v/>
      </c>
      <c r="PV1507" s="42" t="str">
        <f ca="1"/>
        <v/>
      </c>
      <c r="PW1507" s="42" t="str">
        <f ca="1"/>
        <v/>
      </c>
      <c r="PX1507" s="42" t="str">
        <f ca="1"/>
        <v/>
      </c>
      <c r="PY1507" s="42" t="str">
        <f ca="1"/>
        <v/>
      </c>
      <c r="PZ1507" s="42" t="str">
        <f ca="1"/>
        <v/>
      </c>
      <c r="QA1507" s="42" t="str">
        <f ca="1"/>
        <v/>
      </c>
      <c r="QB1507" s="42" t="str">
        <f ca="1"/>
        <v/>
      </c>
      <c r="QC1507" s="42" t="str">
        <f ca="1"/>
        <v/>
      </c>
      <c r="QD1507" s="42" t="str">
        <f ca="1"/>
        <v/>
      </c>
      <c r="QE1507" s="42" t="str">
        <f ca="1"/>
        <v/>
      </c>
      <c r="QF1507" s="42" t="str">
        <f ca="1"/>
        <v/>
      </c>
      <c r="QG1507" s="42" t="str">
        <f ca="1"/>
        <v/>
      </c>
      <c r="QH1507" s="42" t="str">
        <f ca="1"/>
        <v/>
      </c>
      <c r="QI1507" s="42" t="str">
        <f ca="1"/>
        <v/>
      </c>
      <c r="QJ1507" s="42" t="str">
        <f ca="1"/>
        <v/>
      </c>
      <c r="QK1507" s="42" t="str">
        <f ca="1"/>
        <v/>
      </c>
      <c r="QL1507" s="42" t="str">
        <f ca="1"/>
        <v/>
      </c>
      <c r="QM1507" s="42" t="str">
        <f ca="1"/>
        <v/>
      </c>
      <c r="QN1507" s="42" t="str">
        <f ca="1"/>
        <v/>
      </c>
      <c r="QO1507" s="42" t="str">
        <f ca="1"/>
        <v/>
      </c>
      <c r="QP1507" s="42" t="str">
        <f ca="1"/>
        <v/>
      </c>
      <c r="QQ1507" s="42" t="str">
        <f ca="1"/>
        <v/>
      </c>
      <c r="QR1507" s="42" t="str">
        <f ca="1"/>
        <v/>
      </c>
      <c r="QS1507" s="42" t="str">
        <f ca="1"/>
        <v/>
      </c>
      <c r="QT1507" s="42" t="str">
        <f ca="1"/>
        <v/>
      </c>
      <c r="QU1507" s="42" t="str">
        <f ca="1"/>
        <v/>
      </c>
      <c r="QV1507" s="42" t="str">
        <f ca="1"/>
        <v/>
      </c>
      <c r="QW1507" s="42" t="str">
        <f ca="1"/>
        <v/>
      </c>
      <c r="QX1507" s="42" t="str">
        <f ca="1"/>
        <v/>
      </c>
      <c r="QY1507" s="42" t="str">
        <f ca="1"/>
        <v/>
      </c>
      <c r="QZ1507" s="42" t="str">
        <f ca="1"/>
        <v/>
      </c>
      <c r="RA1507" s="42" t="str">
        <f ca="1"/>
        <v/>
      </c>
      <c r="RB1507" s="42" t="str">
        <f ca="1"/>
        <v/>
      </c>
      <c r="RC1507" s="42" t="str">
        <f ca="1"/>
        <v/>
      </c>
      <c r="RD1507" s="42" t="str">
        <f ca="1"/>
        <v/>
      </c>
      <c r="RE1507" s="42" t="str">
        <f ca="1"/>
        <v/>
      </c>
      <c r="RF1507" s="42" t="str">
        <f ca="1"/>
        <v/>
      </c>
      <c r="RG1507" s="42" t="str">
        <f ca="1"/>
        <v/>
      </c>
      <c r="RH1507" s="42" t="str">
        <f ca="1"/>
        <v/>
      </c>
      <c r="RI1507" s="42" t="str">
        <f ca="1"/>
        <v/>
      </c>
      <c r="RJ1507" s="42" t="str">
        <f ca="1"/>
        <v/>
      </c>
      <c r="RK1507" s="42" t="str">
        <f ca="1"/>
        <v/>
      </c>
      <c r="RL1507" s="42" t="str">
        <f ca="1"/>
        <v/>
      </c>
      <c r="RM1507" s="42" t="str">
        <f ca="1"/>
        <v/>
      </c>
      <c r="RN1507" s="42" t="str">
        <f ca="1"/>
        <v/>
      </c>
      <c r="RO1507" s="42" t="str">
        <f ca="1"/>
        <v/>
      </c>
      <c r="RP1507" s="42" t="str">
        <f ca="1"/>
        <v/>
      </c>
      <c r="RQ1507" s="42" t="str">
        <f ca="1"/>
        <v/>
      </c>
      <c r="RR1507" s="42" t="str">
        <f ca="1"/>
        <v/>
      </c>
      <c r="RS1507" s="42" t="str">
        <f ca="1"/>
        <v/>
      </c>
      <c r="RT1507" s="42" t="str">
        <f ca="1"/>
        <v/>
      </c>
      <c r="RU1507" s="42" t="str">
        <f ca="1"/>
        <v/>
      </c>
      <c r="RV1507" s="42" t="str">
        <f ca="1"/>
        <v/>
      </c>
      <c r="RW1507" s="42" t="str">
        <f ca="1"/>
        <v/>
      </c>
      <c r="RX1507" s="42" t="str">
        <f ca="1"/>
        <v/>
      </c>
      <c r="RY1507" s="42" t="str">
        <f ca="1"/>
        <v/>
      </c>
      <c r="RZ1507" s="42" t="str">
        <f ca="1"/>
        <v/>
      </c>
      <c r="SA1507" s="42" t="str">
        <f ca="1"/>
        <v/>
      </c>
      <c r="SB1507" s="42" t="str">
        <f ca="1"/>
        <v/>
      </c>
      <c r="SC1507" s="42" t="str">
        <f ca="1"/>
        <v/>
      </c>
      <c r="SD1507" s="42" t="str">
        <f ca="1"/>
        <v/>
      </c>
      <c r="SE1507" s="42" t="str">
        <f ca="1"/>
        <v/>
      </c>
      <c r="SF1507" s="42" t="str">
        <f ca="1"/>
        <v/>
      </c>
      <c r="SG1507" s="42" t="str">
        <f ca="1"/>
        <v/>
      </c>
      <c r="SH1507" s="42" t="str">
        <f ca="1"/>
        <v/>
      </c>
      <c r="SI1507" s="42" t="str">
        <f ca="1"/>
        <v/>
      </c>
      <c r="SJ1507" s="42" t="str">
        <f ca="1"/>
        <v/>
      </c>
      <c r="SK1507" s="42" t="str">
        <f ca="1"/>
        <v/>
      </c>
      <c r="SL1507" s="42" t="str">
        <f ca="1"/>
        <v/>
      </c>
      <c r="SM1507" s="42" t="str">
        <f ca="1"/>
        <v/>
      </c>
      <c r="SN1507" s="42" t="str">
        <f ca="1"/>
        <v/>
      </c>
      <c r="SO1507" s="42" t="str">
        <f ca="1"/>
        <v/>
      </c>
      <c r="SP1507" s="42" t="str">
        <f ca="1"/>
        <v/>
      </c>
      <c r="SQ1507" s="42" t="str">
        <f ca="1"/>
        <v/>
      </c>
      <c r="SR1507" s="42" t="str">
        <f ca="1"/>
        <v/>
      </c>
      <c r="SS1507" s="42" t="str">
        <f ca="1"/>
        <v/>
      </c>
      <c r="ST1507" s="42" t="str">
        <f ca="1"/>
        <v/>
      </c>
      <c r="SU1507" s="42" t="str">
        <f ca="1"/>
        <v/>
      </c>
      <c r="SV1507" s="42" t="str">
        <f ca="1"/>
        <v/>
      </c>
      <c r="SW1507" s="42" t="str">
        <f ca="1"/>
        <v/>
      </c>
      <c r="SX1507" s="42" t="str">
        <f ca="1"/>
        <v/>
      </c>
      <c r="SY1507" s="42" t="str">
        <f ca="1"/>
        <v/>
      </c>
      <c r="SZ1507" s="42" t="str">
        <f ca="1"/>
        <v/>
      </c>
      <c r="TA1507" s="42" t="str">
        <f ca="1"/>
        <v/>
      </c>
      <c r="TB1507" s="42" t="str">
        <f ca="1"/>
        <v/>
      </c>
      <c r="TC1507" s="42" t="str">
        <f ca="1"/>
        <v/>
      </c>
      <c r="TD1507" s="42" t="str">
        <f ca="1"/>
        <v/>
      </c>
      <c r="TE1507" s="42" t="str">
        <f ca="1"/>
        <v/>
      </c>
      <c r="TF1507" s="42" t="str">
        <f ca="1"/>
        <v/>
      </c>
      <c r="TG1507" s="42" t="str">
        <f ca="1"/>
        <v/>
      </c>
      <c r="TH1507" s="42" t="str">
        <f ca="1"/>
        <v/>
      </c>
      <c r="TI1507" s="42" t="str">
        <f ca="1"/>
        <v/>
      </c>
      <c r="TJ1507" s="42" t="str">
        <f ca="1"/>
        <v/>
      </c>
      <c r="TK1507" s="42" t="str">
        <f ca="1"/>
        <v/>
      </c>
      <c r="TL1507" s="42" t="str">
        <f ca="1"/>
        <v/>
      </c>
      <c r="TM1507" s="42" t="str">
        <f ca="1"/>
        <v/>
      </c>
      <c r="TN1507" s="42" t="str">
        <f ca="1"/>
        <v/>
      </c>
      <c r="TO1507" s="42" t="str">
        <f ca="1"/>
        <v/>
      </c>
      <c r="TP1507" s="42" t="str">
        <f ca="1"/>
        <v/>
      </c>
      <c r="TQ1507" s="42" t="str">
        <f ca="1"/>
        <v/>
      </c>
      <c r="TR1507" s="42" t="str">
        <f ca="1"/>
        <v/>
      </c>
      <c r="TS1507" s="42" t="str">
        <f ca="1"/>
        <v/>
      </c>
      <c r="TT1507" s="42" t="str">
        <f ca="1"/>
        <v/>
      </c>
      <c r="TU1507" s="42" t="str">
        <f ca="1"/>
        <v/>
      </c>
      <c r="TV1507" s="42" t="str">
        <f ca="1"/>
        <v/>
      </c>
      <c r="TW1507" s="42" t="str">
        <f ca="1"/>
        <v/>
      </c>
      <c r="TX1507" s="42" t="str">
        <f ca="1"/>
        <v/>
      </c>
      <c r="TY1507" s="42" t="str">
        <f ca="1"/>
        <v/>
      </c>
      <c r="TZ1507" s="42" t="str">
        <f ca="1"/>
        <v/>
      </c>
      <c r="UA1507" s="42" t="str">
        <f ca="1"/>
        <v/>
      </c>
      <c r="UB1507" s="42" t="str">
        <f ca="1"/>
        <v/>
      </c>
      <c r="UC1507" s="42" t="str">
        <f ca="1"/>
        <v/>
      </c>
      <c r="UD1507" s="42" t="str">
        <f ca="1"/>
        <v/>
      </c>
      <c r="UE1507" s="42" t="str">
        <f ca="1"/>
        <v/>
      </c>
      <c r="UF1507" s="42" t="str">
        <f ca="1"/>
        <v/>
      </c>
      <c r="UG1507" s="42" t="str">
        <f ca="1"/>
        <v/>
      </c>
      <c r="UH1507" s="42" t="str">
        <f ca="1"/>
        <v/>
      </c>
      <c r="UI1507" s="42" t="str">
        <f ca="1"/>
        <v/>
      </c>
      <c r="UJ1507" s="42" t="str">
        <f ca="1"/>
        <v/>
      </c>
      <c r="UK1507" s="42" t="str">
        <f ca="1"/>
        <v/>
      </c>
      <c r="UL1507" s="42" t="str">
        <f ca="1"/>
        <v/>
      </c>
      <c r="UM1507" s="42" t="str">
        <f ca="1"/>
        <v/>
      </c>
      <c r="UN1507" s="42" t="str">
        <f ca="1"/>
        <v/>
      </c>
      <c r="UO1507" s="42" t="str">
        <f ca="1"/>
        <v/>
      </c>
      <c r="UP1507" s="42" t="str">
        <f ca="1"/>
        <v/>
      </c>
      <c r="UQ1507" s="42" t="str">
        <f ca="1"/>
        <v/>
      </c>
      <c r="UR1507" s="42" t="str">
        <f ca="1"/>
        <v/>
      </c>
      <c r="US1507" s="42" t="str">
        <f ca="1"/>
        <v/>
      </c>
      <c r="UT1507" s="42" t="str">
        <f ca="1"/>
        <v/>
      </c>
      <c r="UU1507" s="42" t="str">
        <f ca="1"/>
        <v/>
      </c>
      <c r="UV1507" s="42" t="str">
        <f ca="1"/>
        <v/>
      </c>
      <c r="UW1507" s="42" t="str">
        <f ca="1"/>
        <v/>
      </c>
      <c r="UX1507" s="42" t="str">
        <f ca="1"/>
        <v/>
      </c>
      <c r="UY1507" s="42" t="str">
        <f ca="1"/>
        <v/>
      </c>
      <c r="UZ1507" s="42" t="str">
        <f ca="1"/>
        <v/>
      </c>
      <c r="VA1507" s="42" t="str">
        <f ca="1"/>
        <v/>
      </c>
      <c r="VB1507" s="42" t="str">
        <f ca="1"/>
        <v/>
      </c>
      <c r="VC1507" s="42" t="str">
        <f ca="1"/>
        <v/>
      </c>
      <c r="VD1507" s="42" t="str">
        <f ca="1"/>
        <v/>
      </c>
      <c r="VE1507" s="42" t="str">
        <f ca="1"/>
        <v/>
      </c>
      <c r="VF1507" s="42" t="str">
        <f ca="1"/>
        <v/>
      </c>
      <c r="VG1507" s="42" t="str">
        <f ca="1"/>
        <v/>
      </c>
      <c r="VH1507" s="42" t="str">
        <f ca="1"/>
        <v/>
      </c>
      <c r="VI1507" s="42" t="str">
        <f ca="1"/>
        <v/>
      </c>
      <c r="VJ1507" s="42" t="str">
        <f ca="1"/>
        <v/>
      </c>
      <c r="VK1507" s="42" t="str">
        <f ca="1"/>
        <v/>
      </c>
      <c r="VL1507" s="42" t="str">
        <f ca="1"/>
        <v/>
      </c>
      <c r="VM1507" s="42" t="str">
        <f ca="1"/>
        <v/>
      </c>
      <c r="VN1507" s="42" t="str">
        <f ca="1"/>
        <v/>
      </c>
      <c r="VO1507" s="42" t="str">
        <f ca="1"/>
        <v/>
      </c>
      <c r="VP1507" s="42" t="str">
        <f ca="1"/>
        <v/>
      </c>
      <c r="VQ1507" s="42" t="str">
        <f ca="1"/>
        <v/>
      </c>
      <c r="VR1507" s="42" t="str">
        <f ca="1"/>
        <v/>
      </c>
      <c r="VS1507" s="42" t="str">
        <f ca="1"/>
        <v/>
      </c>
      <c r="VT1507" s="42" t="str">
        <f ca="1"/>
        <v/>
      </c>
      <c r="VU1507" s="42" t="str">
        <f ca="1"/>
        <v/>
      </c>
      <c r="VV1507" s="42" t="str">
        <f ca="1"/>
        <v/>
      </c>
      <c r="VW1507" s="42" t="str">
        <f ca="1"/>
        <v/>
      </c>
      <c r="VX1507" s="42" t="str">
        <f ca="1"/>
        <v/>
      </c>
      <c r="VY1507" s="42" t="str">
        <f ca="1"/>
        <v/>
      </c>
      <c r="VZ1507" s="42" t="str">
        <f ca="1"/>
        <v/>
      </c>
      <c r="WA1507" s="42" t="str">
        <f ca="1"/>
        <v/>
      </c>
      <c r="WB1507" s="42" t="str">
        <f ca="1"/>
        <v/>
      </c>
      <c r="WC1507" s="42" t="str">
        <f ca="1"/>
        <v/>
      </c>
      <c r="WD1507" s="42" t="str">
        <f ca="1"/>
        <v/>
      </c>
      <c r="WE1507" s="42" t="str">
        <f ca="1"/>
        <v/>
      </c>
      <c r="WF1507" s="42" t="str">
        <f ca="1"/>
        <v/>
      </c>
      <c r="WG1507" s="42" t="str">
        <f ca="1"/>
        <v/>
      </c>
      <c r="WH1507" s="42" t="str">
        <f ca="1"/>
        <v/>
      </c>
      <c r="WI1507" s="42" t="str">
        <f ca="1"/>
        <v/>
      </c>
      <c r="WJ1507" s="42" t="str">
        <f ca="1"/>
        <v/>
      </c>
      <c r="WK1507" s="42" t="str">
        <f ca="1"/>
        <v/>
      </c>
      <c r="WL1507" s="42" t="str">
        <f ca="1"/>
        <v/>
      </c>
      <c r="WM1507" s="42" t="str">
        <f ca="1"/>
        <v/>
      </c>
      <c r="WN1507" s="42" t="str">
        <f ca="1"/>
        <v/>
      </c>
      <c r="WO1507" s="42" t="str">
        <f ca="1"/>
        <v/>
      </c>
      <c r="WP1507" s="42" t="str">
        <f ca="1"/>
        <v/>
      </c>
      <c r="WQ1507" s="42" t="str">
        <f ca="1"/>
        <v/>
      </c>
      <c r="WR1507" s="42" t="str">
        <f ca="1"/>
        <v/>
      </c>
      <c r="WS1507" s="42" t="str">
        <f ca="1"/>
        <v/>
      </c>
      <c r="WT1507" s="42" t="str">
        <f ca="1"/>
        <v/>
      </c>
      <c r="WU1507" s="42" t="str">
        <f ca="1"/>
        <v/>
      </c>
      <c r="WV1507" s="42" t="str">
        <f ca="1"/>
        <v/>
      </c>
      <c r="WW1507" s="42" t="str">
        <f ca="1"/>
        <v/>
      </c>
      <c r="WX1507" s="42" t="str">
        <f ca="1"/>
        <v/>
      </c>
      <c r="WY1507" s="42" t="str">
        <f ca="1"/>
        <v/>
      </c>
      <c r="WZ1507" s="42" t="str">
        <f ca="1"/>
        <v/>
      </c>
      <c r="XA1507" s="42" t="str">
        <f ca="1"/>
        <v/>
      </c>
      <c r="XB1507" s="42" t="str">
        <f ca="1"/>
        <v/>
      </c>
      <c r="XC1507" s="42" t="str">
        <f ca="1"/>
        <v/>
      </c>
      <c r="XD1507" s="42" t="str">
        <f ca="1"/>
        <v/>
      </c>
      <c r="XE1507" s="42" t="str">
        <f ca="1"/>
        <v/>
      </c>
      <c r="XF1507" s="42" t="str">
        <f ca="1"/>
        <v/>
      </c>
      <c r="XG1507" s="42" t="str">
        <f ca="1"/>
        <v/>
      </c>
      <c r="XH1507" s="42" t="str">
        <f ca="1"/>
        <v/>
      </c>
      <c r="XI1507" s="42" t="str">
        <f ca="1"/>
        <v/>
      </c>
      <c r="XJ1507" s="42" t="str">
        <f ca="1"/>
        <v/>
      </c>
      <c r="XK1507" s="42" t="str">
        <f ca="1"/>
        <v/>
      </c>
      <c r="XL1507" s="42" t="str">
        <f ca="1"/>
        <v/>
      </c>
      <c r="XM1507" s="42" t="str">
        <f ca="1"/>
        <v/>
      </c>
      <c r="XN1507" s="42" t="str">
        <f ca="1"/>
        <v/>
      </c>
      <c r="XO1507" s="42" t="str">
        <f ca="1"/>
        <v/>
      </c>
      <c r="XP1507" s="42" t="str">
        <f ca="1"/>
        <v/>
      </c>
      <c r="XQ1507" s="42" t="str">
        <f ca="1"/>
        <v/>
      </c>
      <c r="XR1507" s="42" t="str">
        <f ca="1"/>
        <v/>
      </c>
      <c r="XS1507" s="42" t="str">
        <f ca="1"/>
        <v/>
      </c>
      <c r="XT1507" s="42" t="str">
        <f ca="1"/>
        <v/>
      </c>
      <c r="XU1507" s="42" t="str">
        <f ca="1"/>
        <v/>
      </c>
      <c r="XV1507" s="42" t="str">
        <f ca="1"/>
        <v/>
      </c>
      <c r="XW1507" s="42" t="str">
        <f ca="1"/>
        <v/>
      </c>
      <c r="XX1507" s="42" t="str">
        <f ca="1"/>
        <v/>
      </c>
      <c r="XY1507" s="42" t="str">
        <f ca="1"/>
        <v/>
      </c>
      <c r="XZ1507" s="42" t="str">
        <f ca="1"/>
        <v/>
      </c>
      <c r="YA1507" s="42" t="str">
        <f ca="1"/>
        <v/>
      </c>
      <c r="YB1507" s="42" t="str">
        <f ca="1"/>
        <v/>
      </c>
      <c r="YC1507" s="42" t="str">
        <f ca="1"/>
        <v/>
      </c>
      <c r="YD1507" s="42" t="str">
        <f ca="1"/>
        <v/>
      </c>
      <c r="YE1507" s="42" t="str">
        <f ca="1"/>
        <v/>
      </c>
      <c r="YF1507" s="42" t="str">
        <f ca="1"/>
        <v/>
      </c>
      <c r="YG1507" s="42" t="str">
        <f ca="1"/>
        <v/>
      </c>
      <c r="YH1507" s="42" t="str">
        <f ca="1"/>
        <v/>
      </c>
      <c r="YI1507" s="42" t="str">
        <f ca="1"/>
        <v/>
      </c>
      <c r="YJ1507" s="42" t="str">
        <f ca="1"/>
        <v/>
      </c>
      <c r="YK1507" s="42" t="str">
        <f ca="1"/>
        <v/>
      </c>
      <c r="YL1507" s="42" t="str">
        <f ca="1"/>
        <v/>
      </c>
      <c r="YM1507" s="42" t="str">
        <f ca="1"/>
        <v/>
      </c>
      <c r="YN1507" s="42" t="str">
        <f ca="1"/>
        <v/>
      </c>
      <c r="YO1507" s="42" t="str">
        <f ca="1"/>
        <v/>
      </c>
      <c r="YP1507" s="42" t="str">
        <f ca="1"/>
        <v/>
      </c>
      <c r="YQ1507" s="42" t="str">
        <f ca="1"/>
        <v/>
      </c>
      <c r="YR1507" s="42" t="str">
        <f ca="1"/>
        <v/>
      </c>
      <c r="YS1507" s="42" t="str">
        <f ca="1"/>
        <v/>
      </c>
      <c r="YT1507" s="42" t="str">
        <f ca="1"/>
        <v/>
      </c>
      <c r="YU1507" s="42" t="str">
        <f ca="1"/>
        <v/>
      </c>
      <c r="YV1507" s="42" t="str">
        <f ca="1"/>
        <v/>
      </c>
      <c r="YW1507" s="42" t="str">
        <f ca="1"/>
        <v/>
      </c>
      <c r="YX1507" s="42" t="str">
        <f ca="1"/>
        <v/>
      </c>
      <c r="YY1507" s="42" t="str">
        <f ca="1"/>
        <v/>
      </c>
      <c r="YZ1507" s="42" t="str">
        <f ca="1"/>
        <v/>
      </c>
      <c r="ZA1507" s="42" t="str">
        <f ca="1"/>
        <v/>
      </c>
      <c r="ZB1507" s="42" t="str">
        <f ca="1"/>
        <v/>
      </c>
      <c r="ZC1507" s="42" t="str">
        <f ca="1"/>
        <v/>
      </c>
      <c r="ZD1507" s="42" t="str">
        <f ca="1"/>
        <v/>
      </c>
      <c r="ZE1507" s="42" t="str">
        <f ca="1"/>
        <v/>
      </c>
      <c r="ZF1507" s="42" t="str">
        <f ca="1"/>
        <v/>
      </c>
      <c r="ZG1507" s="42" t="str">
        <f ca="1"/>
        <v/>
      </c>
      <c r="ZH1507" s="42" t="str">
        <f ca="1"/>
        <v/>
      </c>
      <c r="ZI1507" s="42" t="str">
        <f ca="1"/>
        <v/>
      </c>
      <c r="ZJ1507" s="42" t="str">
        <f ca="1"/>
        <v/>
      </c>
      <c r="ZK1507" s="42" t="str">
        <f ca="1"/>
        <v/>
      </c>
      <c r="ZL1507" s="42" t="str">
        <f ca="1"/>
        <v/>
      </c>
      <c r="ZM1507" s="42" t="str">
        <f ca="1"/>
        <v/>
      </c>
      <c r="ZN1507" s="42" t="str">
        <f ca="1"/>
        <v/>
      </c>
      <c r="ZO1507" s="42" t="str">
        <f ca="1"/>
        <v/>
      </c>
      <c r="ZP1507" s="42" t="str">
        <f ca="1"/>
        <v/>
      </c>
      <c r="ZQ1507" s="42" t="str">
        <f ca="1"/>
        <v/>
      </c>
      <c r="ZR1507" s="42" t="str">
        <f ca="1"/>
        <v/>
      </c>
      <c r="ZS1507" s="42" t="str">
        <f ca="1"/>
        <v/>
      </c>
      <c r="ZT1507" s="42" t="str">
        <f ca="1"/>
        <v/>
      </c>
      <c r="ZU1507" s="42" t="str">
        <f ca="1"/>
        <v/>
      </c>
      <c r="ZV1507" s="42" t="str">
        <f ca="1"/>
        <v/>
      </c>
      <c r="ZW1507" s="42" t="str">
        <f ca="1"/>
        <v/>
      </c>
      <c r="ZX1507" s="42" t="str">
        <f ca="1"/>
        <v/>
      </c>
      <c r="ZY1507" s="42" t="str">
        <f ca="1"/>
        <v/>
      </c>
      <c r="ZZ1507" s="42" t="str">
        <f ca="1"/>
        <v/>
      </c>
      <c r="AAA1507" s="42" t="str">
        <f ca="1"/>
        <v/>
      </c>
      <c r="AAB1507" s="42" t="str">
        <f ca="1"/>
        <v/>
      </c>
      <c r="AAC1507" s="42" t="str">
        <f ca="1"/>
        <v/>
      </c>
      <c r="AAD1507" s="42" t="str">
        <f ca="1"/>
        <v/>
      </c>
      <c r="AAE1507" s="42" t="str">
        <f ca="1"/>
        <v/>
      </c>
      <c r="AAF1507" s="42" t="str">
        <f ca="1"/>
        <v/>
      </c>
      <c r="AAG1507" s="42" t="str">
        <f ca="1"/>
        <v/>
      </c>
      <c r="AAH1507" s="42" t="str">
        <f ca="1"/>
        <v/>
      </c>
      <c r="AAI1507" s="42" t="str">
        <f ca="1"/>
        <v/>
      </c>
      <c r="AAJ1507" s="42" t="str">
        <f ca="1"/>
        <v/>
      </c>
      <c r="AAK1507" s="42" t="str">
        <f ca="1"/>
        <v/>
      </c>
      <c r="AAL1507" s="42" t="str">
        <f ca="1"/>
        <v/>
      </c>
      <c r="AAM1507" s="42" t="str">
        <f ca="1"/>
        <v/>
      </c>
      <c r="AAN1507" s="42" t="str">
        <f ca="1"/>
        <v/>
      </c>
      <c r="AAO1507" s="42" t="str">
        <f ca="1"/>
        <v/>
      </c>
      <c r="AAP1507" s="42" t="str">
        <f ca="1"/>
        <v/>
      </c>
      <c r="AAQ1507" s="42" t="str">
        <f ca="1"/>
        <v/>
      </c>
      <c r="AAR1507" s="42" t="str">
        <f ca="1"/>
        <v/>
      </c>
      <c r="AAS1507" s="42" t="str">
        <f ca="1"/>
        <v/>
      </c>
      <c r="AAT1507" s="42" t="str">
        <f ca="1"/>
        <v/>
      </c>
      <c r="AAU1507" s="42" t="str">
        <f ca="1"/>
        <v/>
      </c>
      <c r="AAV1507" s="42" t="str">
        <f ca="1"/>
        <v/>
      </c>
      <c r="AAW1507" s="42" t="str">
        <f ca="1"/>
        <v/>
      </c>
      <c r="AAX1507" s="42" t="str">
        <f ca="1"/>
        <v/>
      </c>
      <c r="AAY1507" s="42" t="str">
        <f ca="1"/>
        <v/>
      </c>
      <c r="AAZ1507" s="42" t="str">
        <f ca="1"/>
        <v/>
      </c>
      <c r="ABA1507" s="42" t="str">
        <f ca="1"/>
        <v/>
      </c>
      <c r="ABB1507" s="42" t="str">
        <f ca="1"/>
        <v/>
      </c>
      <c r="ABC1507" s="42" t="str">
        <f ca="1"/>
        <v/>
      </c>
      <c r="ABD1507" s="42" t="str">
        <f ca="1"/>
        <v/>
      </c>
      <c r="ABE1507" s="42" t="str">
        <f ca="1"/>
        <v/>
      </c>
      <c r="ABF1507" s="42" t="str">
        <f ca="1"/>
        <v/>
      </c>
      <c r="ABG1507" s="42" t="str">
        <f ca="1"/>
        <v/>
      </c>
      <c r="ABH1507" s="42" t="str">
        <f ca="1"/>
        <v/>
      </c>
      <c r="ABI1507" s="42" t="str">
        <f ca="1"/>
        <v/>
      </c>
      <c r="ABJ1507" s="42" t="str">
        <f ca="1"/>
        <v/>
      </c>
      <c r="ABK1507" s="42" t="str">
        <f ca="1"/>
        <v/>
      </c>
      <c r="ABL1507" s="42" t="str">
        <f ca="1"/>
        <v/>
      </c>
      <c r="ABM1507" s="42" t="str">
        <f ca="1"/>
        <v/>
      </c>
      <c r="ABN1507" s="42" t="str">
        <f ca="1"/>
        <v/>
      </c>
      <c r="ABO1507" s="42" t="str">
        <f ca="1"/>
        <v/>
      </c>
      <c r="ABP1507" s="42" t="str">
        <f ca="1"/>
        <v/>
      </c>
      <c r="ABQ1507" s="42" t="str">
        <f ca="1"/>
        <v/>
      </c>
      <c r="ABR1507" s="42" t="str">
        <f ca="1"/>
        <v/>
      </c>
      <c r="ABS1507" s="42" t="str">
        <f ca="1"/>
        <v/>
      </c>
      <c r="ABT1507" s="42" t="str">
        <f ca="1"/>
        <v/>
      </c>
      <c r="ABU1507" s="42" t="str">
        <f ca="1"/>
        <v/>
      </c>
      <c r="ABV1507" s="42" t="str">
        <f ca="1"/>
        <v/>
      </c>
      <c r="ABW1507" s="42" t="str">
        <f ca="1"/>
        <v/>
      </c>
      <c r="ABX1507" s="42" t="str">
        <f ca="1"/>
        <v/>
      </c>
      <c r="ABY1507" s="42" t="str">
        <f ca="1"/>
        <v/>
      </c>
      <c r="ABZ1507" s="42" t="str">
        <f ca="1"/>
        <v/>
      </c>
      <c r="ACA1507" s="42" t="str">
        <f ca="1"/>
        <v/>
      </c>
      <c r="ACB1507" s="42" t="str">
        <f ca="1"/>
        <v/>
      </c>
      <c r="ACC1507" s="42" t="str">
        <f ca="1"/>
        <v/>
      </c>
      <c r="ACD1507" s="42" t="str">
        <f ca="1"/>
        <v/>
      </c>
      <c r="ACE1507" s="42" t="str">
        <f ca="1"/>
        <v/>
      </c>
      <c r="ACF1507" s="42" t="str">
        <f ca="1"/>
        <v/>
      </c>
      <c r="ACG1507" s="42" t="str">
        <f ca="1"/>
        <v/>
      </c>
      <c r="ACH1507" s="42" t="str">
        <f ca="1"/>
        <v/>
      </c>
      <c r="ACI1507" s="42" t="str">
        <f ca="1"/>
        <v/>
      </c>
      <c r="ACJ1507" s="42" t="str">
        <f ca="1"/>
        <v/>
      </c>
      <c r="ACK1507" s="42" t="str">
        <f ca="1"/>
        <v/>
      </c>
      <c r="ACL1507" s="42" t="str">
        <f ca="1"/>
        <v/>
      </c>
      <c r="ACM1507" s="42" t="str">
        <f ca="1"/>
        <v/>
      </c>
      <c r="ACN1507" s="42" t="str">
        <f ca="1"/>
        <v/>
      </c>
      <c r="ACO1507" s="42" t="str">
        <f ca="1"/>
        <v/>
      </c>
      <c r="ACP1507" s="42" t="str">
        <f ca="1"/>
        <v/>
      </c>
      <c r="ACQ1507" s="42" t="str">
        <f ca="1"/>
        <v/>
      </c>
      <c r="ACR1507" s="42" t="str">
        <f ca="1"/>
        <v/>
      </c>
      <c r="ACS1507" s="42" t="str">
        <f ca="1"/>
        <v/>
      </c>
      <c r="ACT1507" s="42" t="str">
        <f ca="1"/>
        <v/>
      </c>
      <c r="ACU1507" s="42" t="str">
        <f ca="1"/>
        <v/>
      </c>
      <c r="ACV1507" s="42" t="str">
        <f ca="1"/>
        <v/>
      </c>
      <c r="ACW1507" s="42" t="str">
        <f ca="1"/>
        <v/>
      </c>
      <c r="ACX1507" s="42" t="str">
        <f ca="1"/>
        <v/>
      </c>
      <c r="ACY1507" s="42" t="str">
        <f ca="1"/>
        <v/>
      </c>
      <c r="ACZ1507" s="42" t="str">
        <f ca="1"/>
        <v/>
      </c>
      <c r="ADA1507" s="42" t="str">
        <f ca="1"/>
        <v/>
      </c>
      <c r="ADB1507" s="42" t="str">
        <f ca="1"/>
        <v/>
      </c>
      <c r="ADC1507" s="42" t="str">
        <f ca="1"/>
        <v/>
      </c>
      <c r="ADD1507" s="42" t="str">
        <f ca="1"/>
        <v/>
      </c>
      <c r="ADE1507" s="42" t="str">
        <f ca="1"/>
        <v/>
      </c>
      <c r="ADF1507" s="42" t="str">
        <f ca="1"/>
        <v/>
      </c>
      <c r="ADG1507" s="42" t="str">
        <f ca="1"/>
        <v/>
      </c>
      <c r="ADH1507" s="42" t="str">
        <f ca="1"/>
        <v/>
      </c>
      <c r="ADI1507" s="42" t="str">
        <f ca="1"/>
        <v/>
      </c>
      <c r="ADJ1507" s="42" t="str">
        <f ca="1"/>
        <v/>
      </c>
      <c r="ADK1507" s="42" t="str">
        <f ca="1"/>
        <v/>
      </c>
      <c r="ADL1507" s="42" t="str">
        <f ca="1"/>
        <v/>
      </c>
      <c r="ADM1507" s="42" t="str">
        <f ca="1"/>
        <v/>
      </c>
      <c r="ADN1507" s="42" t="str">
        <f ca="1"/>
        <v/>
      </c>
      <c r="ADO1507" s="42" t="str">
        <f ca="1"/>
        <v/>
      </c>
      <c r="ADP1507" s="42" t="str">
        <f ca="1"/>
        <v/>
      </c>
      <c r="ADQ1507" s="42" t="str">
        <f ca="1"/>
        <v/>
      </c>
      <c r="ADR1507" s="42" t="str">
        <f ca="1"/>
        <v/>
      </c>
      <c r="ADS1507" s="42" t="str">
        <f ca="1"/>
        <v/>
      </c>
      <c r="ADT1507" s="42" t="str">
        <f ca="1"/>
        <v/>
      </c>
      <c r="ADU1507" s="42" t="str">
        <f ca="1"/>
        <v/>
      </c>
      <c r="ADV1507" s="42" t="str">
        <f ca="1"/>
        <v/>
      </c>
      <c r="ADW1507" s="42" t="str">
        <f ca="1"/>
        <v/>
      </c>
      <c r="ADX1507" s="42" t="str">
        <f ca="1"/>
        <v/>
      </c>
      <c r="ADY1507" s="42" t="str">
        <f ca="1"/>
        <v/>
      </c>
      <c r="ADZ1507" s="42" t="str">
        <f ca="1"/>
        <v/>
      </c>
      <c r="AEA1507" s="42" t="str">
        <f ca="1"/>
        <v/>
      </c>
      <c r="AEB1507" s="42" t="str">
        <f ca="1"/>
        <v/>
      </c>
      <c r="AEC1507" s="42" t="str">
        <f ca="1"/>
        <v/>
      </c>
      <c r="AED1507" s="42" t="str">
        <f ca="1"/>
        <v/>
      </c>
      <c r="AEE1507" s="42" t="str">
        <f ca="1"/>
        <v/>
      </c>
      <c r="AEF1507" s="42" t="str">
        <f ca="1"/>
        <v/>
      </c>
      <c r="AEG1507" s="42" t="str">
        <f ca="1"/>
        <v/>
      </c>
      <c r="AEH1507" s="42" t="str">
        <f ca="1"/>
        <v/>
      </c>
      <c r="AEI1507" s="42" t="str">
        <f ca="1"/>
        <v/>
      </c>
      <c r="AEJ1507" s="42" t="str">
        <f ca="1"/>
        <v/>
      </c>
      <c r="AEK1507" s="42" t="str">
        <f ca="1"/>
        <v/>
      </c>
      <c r="AEL1507" s="42" t="str">
        <f ca="1"/>
        <v/>
      </c>
      <c r="AEM1507" s="42" t="str">
        <f ca="1"/>
        <v/>
      </c>
      <c r="AEN1507" s="42" t="str">
        <f ca="1"/>
        <v/>
      </c>
      <c r="AEO1507" s="42" t="str">
        <f ca="1"/>
        <v/>
      </c>
      <c r="AEP1507" s="42" t="str">
        <f ca="1"/>
        <v/>
      </c>
      <c r="AEQ1507" s="42" t="str">
        <f ca="1"/>
        <v/>
      </c>
      <c r="AER1507" s="42" t="str">
        <f ca="1"/>
        <v/>
      </c>
      <c r="AES1507" s="42" t="str">
        <f ca="1"/>
        <v/>
      </c>
      <c r="AET1507" s="42" t="str">
        <f ca="1"/>
        <v/>
      </c>
      <c r="AEU1507" s="42" t="str">
        <f ca="1"/>
        <v/>
      </c>
      <c r="AEV1507" s="42" t="str">
        <f ca="1"/>
        <v/>
      </c>
      <c r="AEW1507" s="42" t="str">
        <f ca="1"/>
        <v/>
      </c>
      <c r="AEX1507" s="42" t="str">
        <f ca="1"/>
        <v/>
      </c>
      <c r="AEY1507" s="42" t="str">
        <f ca="1"/>
        <v/>
      </c>
      <c r="AEZ1507" s="42" t="str">
        <f ca="1"/>
        <v/>
      </c>
      <c r="AFA1507" s="42" t="str">
        <f ca="1"/>
        <v/>
      </c>
      <c r="AFB1507" s="42" t="str">
        <f ca="1"/>
        <v/>
      </c>
      <c r="AFC1507" s="42" t="str">
        <f ca="1"/>
        <v/>
      </c>
      <c r="AFD1507" s="42" t="str">
        <f ca="1"/>
        <v/>
      </c>
      <c r="AFE1507" s="42" t="str">
        <f ca="1"/>
        <v/>
      </c>
      <c r="AFF1507" s="42" t="str">
        <f ca="1"/>
        <v/>
      </c>
      <c r="AFG1507" s="42" t="str">
        <f ca="1"/>
        <v/>
      </c>
      <c r="AFH1507" s="42" t="str">
        <f ca="1"/>
        <v/>
      </c>
      <c r="AFI1507" s="42" t="str">
        <f ca="1"/>
        <v/>
      </c>
      <c r="AFJ1507" s="42" t="str">
        <f ca="1"/>
        <v/>
      </c>
      <c r="AFK1507" s="42" t="str">
        <f ca="1"/>
        <v/>
      </c>
      <c r="AFL1507" s="42" t="str">
        <f ca="1"/>
        <v/>
      </c>
      <c r="AFM1507" s="42" t="str">
        <f ca="1"/>
        <v/>
      </c>
      <c r="AFN1507" s="42" t="str">
        <f ca="1"/>
        <v/>
      </c>
      <c r="AFO1507" s="42" t="str">
        <f ca="1"/>
        <v/>
      </c>
      <c r="AFP1507" s="42" t="str">
        <f ca="1"/>
        <v/>
      </c>
      <c r="AFQ1507" s="42" t="str">
        <f ca="1"/>
        <v/>
      </c>
      <c r="AFR1507" s="42" t="str">
        <f ca="1"/>
        <v/>
      </c>
      <c r="AFS1507" s="42" t="str">
        <f ca="1"/>
        <v/>
      </c>
      <c r="AFT1507" s="42" t="str">
        <f ca="1"/>
        <v/>
      </c>
      <c r="AFU1507" s="42" t="str">
        <f ca="1"/>
        <v/>
      </c>
      <c r="AFV1507" s="42" t="str">
        <f ca="1"/>
        <v/>
      </c>
      <c r="AFW1507" s="42" t="str">
        <f ca="1"/>
        <v/>
      </c>
      <c r="AFX1507" s="42" t="str">
        <f ca="1"/>
        <v/>
      </c>
      <c r="AFY1507" s="42" t="str">
        <f ca="1"/>
        <v/>
      </c>
      <c r="AFZ1507" s="42" t="str">
        <f ca="1"/>
        <v/>
      </c>
      <c r="AGA1507" s="42" t="str">
        <f ca="1"/>
        <v/>
      </c>
      <c r="AGB1507" s="42" t="str">
        <f ca="1"/>
        <v/>
      </c>
      <c r="AGC1507" s="42" t="str">
        <f ca="1"/>
        <v/>
      </c>
      <c r="AGD1507" s="42" t="str">
        <f ca="1"/>
        <v/>
      </c>
      <c r="AGE1507" s="42" t="str">
        <f ca="1"/>
        <v/>
      </c>
      <c r="AGF1507" s="42" t="str">
        <f ca="1"/>
        <v/>
      </c>
      <c r="AGG1507" s="42" t="str">
        <f ca="1"/>
        <v/>
      </c>
      <c r="AGH1507" s="42" t="str">
        <f ca="1"/>
        <v/>
      </c>
      <c r="AGI1507" s="42" t="str">
        <f ca="1"/>
        <v/>
      </c>
      <c r="AGJ1507" s="42" t="str">
        <f ca="1"/>
        <v/>
      </c>
      <c r="AGK1507" s="42" t="str">
        <f ca="1"/>
        <v/>
      </c>
      <c r="AGL1507" s="42" t="str">
        <f ca="1"/>
        <v/>
      </c>
      <c r="AGM1507" s="42" t="str">
        <f ca="1"/>
        <v/>
      </c>
      <c r="AGN1507" s="42" t="str">
        <f ca="1"/>
        <v/>
      </c>
    </row>
    <row r="1508" spans="15:872" x14ac:dyDescent="0.25">
      <c r="O1508" s="42">
        <v>18</v>
      </c>
      <c r="P1508" s="42" t="str">
        <f ca="1"/>
        <v/>
      </c>
      <c r="Q1508" s="42" t="str">
        <f ca="1"/>
        <v/>
      </c>
      <c r="R1508" s="42" t="str">
        <f ca="1"/>
        <v/>
      </c>
      <c r="S1508" s="42" t="str">
        <f ca="1"/>
        <v/>
      </c>
      <c r="T1508" s="42" t="str">
        <f ca="1"/>
        <v/>
      </c>
      <c r="U1508" s="42" t="str">
        <f ca="1"/>
        <v/>
      </c>
      <c r="V1508" s="42" t="str">
        <f ca="1"/>
        <v/>
      </c>
      <c r="W1508" s="42" t="str">
        <f ca="1"/>
        <v/>
      </c>
      <c r="X1508" s="42" t="str">
        <f ca="1"/>
        <v/>
      </c>
      <c r="Y1508" s="42" t="str">
        <f ca="1"/>
        <v/>
      </c>
      <c r="Z1508" s="42" t="str">
        <f ca="1"/>
        <v/>
      </c>
      <c r="AA1508" s="42" t="str">
        <f ca="1"/>
        <v/>
      </c>
      <c r="AB1508" s="42" t="str">
        <f ca="1"/>
        <v/>
      </c>
      <c r="AC1508" s="42" t="str">
        <f ca="1"/>
        <v/>
      </c>
      <c r="AD1508" s="42" t="str">
        <f ca="1"/>
        <v/>
      </c>
      <c r="AE1508" s="42" t="str">
        <f ca="1"/>
        <v/>
      </c>
      <c r="AF1508" s="42" t="str">
        <f ca="1"/>
        <v/>
      </c>
      <c r="AG1508" s="42" t="str">
        <f ca="1"/>
        <v/>
      </c>
      <c r="AH1508" s="42" t="str">
        <f ca="1"/>
        <v/>
      </c>
      <c r="AI1508" s="42" t="str">
        <f ca="1"/>
        <v/>
      </c>
      <c r="AJ1508" s="42" t="str">
        <f ca="1"/>
        <v/>
      </c>
      <c r="AK1508" s="42" t="str">
        <f ca="1"/>
        <v/>
      </c>
      <c r="AL1508" s="42" t="str">
        <f ca="1"/>
        <v/>
      </c>
      <c r="AM1508" s="42" t="str">
        <f ca="1"/>
        <v/>
      </c>
      <c r="AN1508" s="42" t="str">
        <f ca="1"/>
        <v/>
      </c>
      <c r="AO1508" s="42" t="str">
        <f ca="1"/>
        <v/>
      </c>
      <c r="AP1508" s="42" t="str">
        <f ca="1"/>
        <v/>
      </c>
      <c r="AQ1508" s="42" t="str">
        <f ca="1"/>
        <v/>
      </c>
      <c r="AR1508" s="42" t="str">
        <f ca="1"/>
        <v/>
      </c>
      <c r="AS1508" s="42" t="str">
        <f ca="1"/>
        <v/>
      </c>
      <c r="AT1508" s="42" t="str">
        <f ca="1"/>
        <v/>
      </c>
      <c r="AU1508" s="42" t="str">
        <f ca="1"/>
        <v/>
      </c>
      <c r="AV1508" s="42" t="str">
        <f ca="1"/>
        <v/>
      </c>
      <c r="AW1508" s="42" t="str">
        <f ca="1"/>
        <v/>
      </c>
      <c r="AX1508" s="42" t="str">
        <f ca="1"/>
        <v/>
      </c>
      <c r="AY1508" s="42" t="str">
        <f ca="1"/>
        <v/>
      </c>
      <c r="AZ1508" s="42" t="str">
        <f ca="1"/>
        <v/>
      </c>
      <c r="BA1508" s="42" t="str">
        <f ca="1"/>
        <v/>
      </c>
      <c r="BB1508" s="42" t="str">
        <f ca="1"/>
        <v/>
      </c>
      <c r="BC1508" s="42" t="str">
        <f ca="1"/>
        <v/>
      </c>
      <c r="BD1508" s="42" t="str">
        <f ca="1"/>
        <v/>
      </c>
      <c r="BE1508" s="42" t="str">
        <f ca="1"/>
        <v/>
      </c>
      <c r="BF1508" s="42" t="str">
        <f ca="1"/>
        <v/>
      </c>
      <c r="BG1508" s="42" t="str">
        <f ca="1"/>
        <v/>
      </c>
      <c r="BH1508" s="42" t="str">
        <f ca="1"/>
        <v/>
      </c>
      <c r="BI1508" s="42" t="str">
        <f ca="1"/>
        <v/>
      </c>
      <c r="BJ1508" s="42" t="str">
        <f ca="1"/>
        <v/>
      </c>
      <c r="BK1508" s="42" t="str">
        <f ca="1"/>
        <v/>
      </c>
      <c r="BL1508" s="42" t="str">
        <f ca="1"/>
        <v/>
      </c>
      <c r="BM1508" s="42" t="str">
        <f ca="1"/>
        <v/>
      </c>
      <c r="BN1508" s="42" t="str">
        <f ca="1"/>
        <v/>
      </c>
      <c r="BO1508" s="42" t="str">
        <f ca="1"/>
        <v/>
      </c>
      <c r="BP1508" s="42" t="str">
        <f ca="1"/>
        <v/>
      </c>
      <c r="BQ1508" s="42" t="str">
        <f ca="1"/>
        <v/>
      </c>
      <c r="BR1508" s="42" t="str">
        <f ca="1"/>
        <v/>
      </c>
      <c r="BS1508" s="42" t="str">
        <f ca="1"/>
        <v/>
      </c>
      <c r="BT1508" s="42" t="str">
        <f ca="1"/>
        <v/>
      </c>
      <c r="BU1508" s="42" t="str">
        <f ca="1"/>
        <v/>
      </c>
      <c r="BV1508" s="42" t="str">
        <f ca="1"/>
        <v/>
      </c>
      <c r="BW1508" s="42" t="str">
        <f ca="1"/>
        <v/>
      </c>
      <c r="BX1508" s="42" t="str">
        <f ca="1"/>
        <v/>
      </c>
      <c r="BY1508" s="42" t="str">
        <f ca="1"/>
        <v/>
      </c>
      <c r="BZ1508" s="42" t="str">
        <f ca="1"/>
        <v/>
      </c>
      <c r="CA1508" s="42" t="str">
        <f ca="1"/>
        <v/>
      </c>
      <c r="CB1508" s="42" t="str">
        <f ca="1"/>
        <v/>
      </c>
      <c r="CC1508" s="42" t="str">
        <f ca="1"/>
        <v/>
      </c>
      <c r="CD1508" s="42" t="str">
        <f ca="1"/>
        <v/>
      </c>
      <c r="CE1508" s="42" t="str">
        <f ca="1"/>
        <v/>
      </c>
      <c r="CF1508" s="42" t="str">
        <f ca="1"/>
        <v/>
      </c>
      <c r="CG1508" s="42" t="str">
        <f ca="1"/>
        <v/>
      </c>
      <c r="CH1508" s="42" t="str">
        <f ca="1"/>
        <v/>
      </c>
      <c r="CI1508" s="42" t="str">
        <f ca="1"/>
        <v/>
      </c>
      <c r="CJ1508" s="42" t="str">
        <f ca="1"/>
        <v/>
      </c>
      <c r="CK1508" s="42" t="str">
        <f ca="1"/>
        <v/>
      </c>
      <c r="CL1508" s="42" t="str">
        <f ca="1"/>
        <v/>
      </c>
      <c r="CM1508" s="42" t="str">
        <f ca="1"/>
        <v/>
      </c>
      <c r="CN1508" s="42" t="str">
        <f ca="1"/>
        <v/>
      </c>
      <c r="CO1508" s="42" t="str">
        <f ca="1"/>
        <v/>
      </c>
      <c r="CP1508" s="42" t="str">
        <f ca="1"/>
        <v/>
      </c>
      <c r="CQ1508" s="42" t="str">
        <f ca="1"/>
        <v/>
      </c>
      <c r="CR1508" s="42" t="str">
        <f ca="1"/>
        <v/>
      </c>
      <c r="CS1508" s="42" t="str">
        <f ca="1"/>
        <v/>
      </c>
      <c r="CT1508" s="42" t="str">
        <f ca="1"/>
        <v/>
      </c>
      <c r="CU1508" s="42" t="str">
        <f ca="1"/>
        <v/>
      </c>
      <c r="CV1508" s="42" t="str">
        <f ca="1"/>
        <v/>
      </c>
      <c r="CW1508" s="42" t="str">
        <f ca="1"/>
        <v/>
      </c>
      <c r="CX1508" s="42" t="str">
        <f ca="1"/>
        <v/>
      </c>
      <c r="CY1508" s="42" t="str">
        <f ca="1"/>
        <v/>
      </c>
      <c r="CZ1508" s="42" t="str">
        <f ca="1"/>
        <v/>
      </c>
      <c r="DA1508" s="42" t="str">
        <f ca="1"/>
        <v/>
      </c>
      <c r="DB1508" s="42" t="str">
        <f ca="1"/>
        <v/>
      </c>
      <c r="DC1508" s="42" t="str">
        <f ca="1"/>
        <v/>
      </c>
      <c r="DD1508" s="42" t="str">
        <f ca="1"/>
        <v/>
      </c>
      <c r="DE1508" s="42" t="str">
        <f ca="1"/>
        <v/>
      </c>
      <c r="DF1508" s="42" t="str">
        <f ca="1"/>
        <v/>
      </c>
      <c r="DG1508" s="42" t="str">
        <f ca="1"/>
        <v/>
      </c>
      <c r="DH1508" s="42" t="str">
        <f ca="1"/>
        <v/>
      </c>
      <c r="DI1508" s="42" t="str">
        <f ca="1"/>
        <v/>
      </c>
      <c r="DJ1508" s="42" t="str">
        <f ca="1"/>
        <v/>
      </c>
      <c r="DK1508" s="42" t="str">
        <f ca="1"/>
        <v/>
      </c>
      <c r="DL1508" s="42" t="str">
        <f ca="1"/>
        <v/>
      </c>
      <c r="DM1508" s="42" t="str">
        <f ca="1"/>
        <v/>
      </c>
      <c r="DN1508" s="42" t="str">
        <f ca="1"/>
        <v/>
      </c>
      <c r="DO1508" s="42" t="str">
        <f ca="1"/>
        <v/>
      </c>
      <c r="DP1508" s="42" t="str">
        <f ca="1"/>
        <v/>
      </c>
      <c r="DQ1508" s="42" t="str">
        <f ca="1"/>
        <v/>
      </c>
      <c r="DR1508" s="42" t="str">
        <f ca="1"/>
        <v/>
      </c>
      <c r="DS1508" s="42" t="str">
        <f ca="1"/>
        <v/>
      </c>
      <c r="DT1508" s="42" t="str">
        <f ca="1"/>
        <v/>
      </c>
      <c r="DU1508" s="42" t="str">
        <f ca="1"/>
        <v/>
      </c>
      <c r="DV1508" s="42" t="str">
        <f ca="1"/>
        <v/>
      </c>
      <c r="DW1508" s="42" t="str">
        <f ca="1"/>
        <v/>
      </c>
      <c r="DX1508" s="42" t="str">
        <f ca="1"/>
        <v/>
      </c>
      <c r="DY1508" s="42" t="str">
        <f ca="1"/>
        <v/>
      </c>
      <c r="DZ1508" s="42" t="str">
        <f ca="1"/>
        <v/>
      </c>
      <c r="EA1508" s="42" t="str">
        <f ca="1"/>
        <v/>
      </c>
      <c r="EB1508" s="42" t="str">
        <f ca="1"/>
        <v/>
      </c>
      <c r="EC1508" s="42" t="str">
        <f ca="1"/>
        <v/>
      </c>
      <c r="ED1508" s="42" t="str">
        <f ca="1"/>
        <v/>
      </c>
      <c r="EE1508" s="42" t="str">
        <f ca="1"/>
        <v/>
      </c>
      <c r="EF1508" s="42" t="str">
        <f ca="1"/>
        <v/>
      </c>
      <c r="EG1508" s="42" t="str">
        <f ca="1"/>
        <v/>
      </c>
      <c r="EH1508" s="42" t="str">
        <f ca="1"/>
        <v/>
      </c>
      <c r="EI1508" s="42" t="str">
        <f ca="1"/>
        <v/>
      </c>
      <c r="EJ1508" s="42" t="str">
        <f ca="1"/>
        <v/>
      </c>
      <c r="EK1508" s="42" t="str">
        <f ca="1"/>
        <v/>
      </c>
      <c r="EL1508" s="42" t="str">
        <f ca="1"/>
        <v/>
      </c>
      <c r="EM1508" s="42" t="str">
        <f ca="1"/>
        <v/>
      </c>
      <c r="EN1508" s="42" t="str">
        <f ca="1"/>
        <v/>
      </c>
      <c r="EO1508" s="42" t="str">
        <f ca="1"/>
        <v/>
      </c>
      <c r="EP1508" s="42" t="str">
        <f ca="1"/>
        <v/>
      </c>
      <c r="EQ1508" s="42" t="str">
        <f ca="1"/>
        <v/>
      </c>
      <c r="ER1508" s="42" t="str">
        <f ca="1"/>
        <v/>
      </c>
      <c r="ES1508" s="42" t="str">
        <f ca="1"/>
        <v/>
      </c>
      <c r="ET1508" s="42" t="str">
        <f ca="1"/>
        <v/>
      </c>
      <c r="EU1508" s="42" t="str">
        <f ca="1"/>
        <v/>
      </c>
      <c r="EV1508" s="42" t="str">
        <f ca="1"/>
        <v/>
      </c>
      <c r="EW1508" s="42" t="str">
        <f ca="1"/>
        <v/>
      </c>
      <c r="EX1508" s="42" t="str">
        <f ca="1"/>
        <v/>
      </c>
      <c r="EY1508" s="42" t="str">
        <f ca="1"/>
        <v/>
      </c>
      <c r="EZ1508" s="42" t="str">
        <f ca="1"/>
        <v/>
      </c>
      <c r="FA1508" s="42" t="str">
        <f ca="1"/>
        <v/>
      </c>
      <c r="FB1508" s="42" t="str">
        <f ca="1"/>
        <v/>
      </c>
      <c r="FC1508" s="42" t="str">
        <f ca="1"/>
        <v/>
      </c>
      <c r="FD1508" s="42" t="str">
        <f ca="1"/>
        <v/>
      </c>
      <c r="FE1508" s="42" t="str">
        <f ca="1"/>
        <v/>
      </c>
      <c r="FF1508" s="42" t="str">
        <f ca="1"/>
        <v/>
      </c>
      <c r="FG1508" s="42" t="str">
        <f ca="1"/>
        <v/>
      </c>
      <c r="FH1508" s="42" t="str">
        <f ca="1"/>
        <v/>
      </c>
      <c r="FI1508" s="42" t="str">
        <f ca="1"/>
        <v/>
      </c>
      <c r="FJ1508" s="42" t="str">
        <f ca="1"/>
        <v/>
      </c>
      <c r="FK1508" s="42" t="str">
        <f ca="1"/>
        <v/>
      </c>
      <c r="FL1508" s="42" t="str">
        <f ca="1"/>
        <v/>
      </c>
      <c r="FM1508" s="42" t="str">
        <f ca="1"/>
        <v/>
      </c>
      <c r="FN1508" s="42" t="str">
        <f ca="1"/>
        <v/>
      </c>
      <c r="FO1508" s="42" t="str">
        <f ca="1"/>
        <v/>
      </c>
      <c r="FP1508" s="42" t="str">
        <f ca="1"/>
        <v/>
      </c>
      <c r="FQ1508" s="42" t="str">
        <f ca="1"/>
        <v/>
      </c>
      <c r="FR1508" s="42" t="str">
        <f ca="1"/>
        <v/>
      </c>
      <c r="FS1508" s="42" t="str">
        <f ca="1"/>
        <v/>
      </c>
      <c r="FT1508" s="42" t="str">
        <f ca="1"/>
        <v/>
      </c>
      <c r="FU1508" s="42" t="str">
        <f ca="1"/>
        <v/>
      </c>
      <c r="FV1508" s="42" t="str">
        <f ca="1"/>
        <v/>
      </c>
      <c r="FW1508" s="42" t="str">
        <f ca="1"/>
        <v/>
      </c>
      <c r="FX1508" s="42" t="str">
        <f ca="1"/>
        <v/>
      </c>
      <c r="FY1508" s="42" t="str">
        <f ca="1"/>
        <v/>
      </c>
      <c r="FZ1508" s="42" t="str">
        <f ca="1"/>
        <v/>
      </c>
      <c r="GA1508" s="42" t="str">
        <f ca="1"/>
        <v/>
      </c>
      <c r="GB1508" s="42" t="str">
        <f ca="1"/>
        <v/>
      </c>
      <c r="GC1508" s="42" t="str">
        <f ca="1"/>
        <v/>
      </c>
      <c r="GD1508" s="42" t="str">
        <f ca="1"/>
        <v/>
      </c>
      <c r="GE1508" s="42" t="str">
        <f ca="1"/>
        <v/>
      </c>
      <c r="GF1508" s="42" t="str">
        <f ca="1"/>
        <v/>
      </c>
      <c r="GG1508" s="42" t="str">
        <f ca="1"/>
        <v/>
      </c>
      <c r="GH1508" s="42" t="str">
        <f ca="1"/>
        <v/>
      </c>
      <c r="GI1508" s="42" t="str">
        <f ca="1"/>
        <v/>
      </c>
      <c r="GJ1508" s="42" t="str">
        <f ca="1"/>
        <v/>
      </c>
      <c r="GK1508" s="42" t="str">
        <f ca="1"/>
        <v/>
      </c>
      <c r="GL1508" s="42" t="str">
        <f ca="1"/>
        <v/>
      </c>
      <c r="GM1508" s="42" t="str">
        <f ca="1"/>
        <v/>
      </c>
      <c r="GN1508" s="42" t="str">
        <f ca="1"/>
        <v/>
      </c>
      <c r="GO1508" s="42" t="str">
        <f ca="1"/>
        <v/>
      </c>
      <c r="GP1508" s="42" t="str">
        <f ca="1"/>
        <v/>
      </c>
      <c r="GQ1508" s="42" t="str">
        <f ca="1"/>
        <v/>
      </c>
      <c r="GR1508" s="42" t="str">
        <f ca="1"/>
        <v/>
      </c>
      <c r="GS1508" s="42" t="str">
        <f ca="1"/>
        <v/>
      </c>
      <c r="GT1508" s="42" t="str">
        <f ca="1"/>
        <v/>
      </c>
      <c r="GU1508" s="42" t="str">
        <f ca="1"/>
        <v/>
      </c>
      <c r="GV1508" s="42" t="str">
        <f ca="1"/>
        <v/>
      </c>
      <c r="GW1508" s="42" t="str">
        <f ca="1"/>
        <v/>
      </c>
      <c r="GX1508" s="42" t="str">
        <f ca="1"/>
        <v/>
      </c>
      <c r="GY1508" s="42" t="str">
        <f ca="1"/>
        <v/>
      </c>
      <c r="GZ1508" s="42" t="str">
        <f ca="1"/>
        <v/>
      </c>
      <c r="HA1508" s="42" t="str">
        <f ca="1"/>
        <v/>
      </c>
      <c r="HB1508" s="42" t="str">
        <f ca="1"/>
        <v/>
      </c>
      <c r="HC1508" s="42" t="str">
        <f ca="1"/>
        <v/>
      </c>
      <c r="HD1508" s="42" t="str">
        <f ca="1"/>
        <v/>
      </c>
      <c r="HE1508" s="42" t="str">
        <f ca="1"/>
        <v/>
      </c>
      <c r="HF1508" s="42" t="str">
        <f ca="1"/>
        <v/>
      </c>
      <c r="HG1508" s="42" t="str">
        <f ca="1"/>
        <v/>
      </c>
      <c r="HH1508" s="42" t="str">
        <f ca="1"/>
        <v/>
      </c>
      <c r="HI1508" s="42" t="str">
        <f ca="1"/>
        <v/>
      </c>
      <c r="HJ1508" s="42" t="str">
        <f ca="1"/>
        <v/>
      </c>
      <c r="HK1508" s="42" t="str">
        <f ca="1"/>
        <v/>
      </c>
      <c r="HL1508" s="42" t="str">
        <f ca="1"/>
        <v/>
      </c>
      <c r="HM1508" s="42" t="str">
        <f ca="1"/>
        <v/>
      </c>
      <c r="HN1508" s="42" t="str">
        <f ca="1"/>
        <v/>
      </c>
      <c r="HO1508" s="42" t="str">
        <f ca="1"/>
        <v/>
      </c>
      <c r="HP1508" s="42" t="str">
        <f ca="1"/>
        <v/>
      </c>
      <c r="HQ1508" s="42" t="str">
        <f ca="1"/>
        <v/>
      </c>
      <c r="HR1508" s="42" t="str">
        <f ca="1"/>
        <v/>
      </c>
      <c r="HS1508" s="42" t="str">
        <f ca="1"/>
        <v/>
      </c>
      <c r="HT1508" s="42" t="str">
        <f ca="1"/>
        <v/>
      </c>
      <c r="HU1508" s="42" t="str">
        <f ca="1"/>
        <v/>
      </c>
      <c r="HV1508" s="42" t="str">
        <f ca="1"/>
        <v/>
      </c>
      <c r="HW1508" s="42" t="str">
        <f ca="1"/>
        <v/>
      </c>
      <c r="HX1508" s="42" t="str">
        <f ca="1"/>
        <v/>
      </c>
      <c r="HY1508" s="42" t="str">
        <f ca="1"/>
        <v/>
      </c>
      <c r="HZ1508" s="42" t="str">
        <f ca="1"/>
        <v/>
      </c>
      <c r="IA1508" s="42" t="str">
        <f ca="1"/>
        <v/>
      </c>
      <c r="IB1508" s="42" t="str">
        <f ca="1"/>
        <v/>
      </c>
      <c r="IC1508" s="42" t="str">
        <f ca="1"/>
        <v/>
      </c>
      <c r="ID1508" s="42" t="str">
        <f ca="1"/>
        <v/>
      </c>
      <c r="IE1508" s="42" t="str">
        <f ca="1"/>
        <v/>
      </c>
      <c r="IF1508" s="42" t="str">
        <f ca="1"/>
        <v/>
      </c>
      <c r="IG1508" s="42" t="str">
        <f ca="1"/>
        <v/>
      </c>
      <c r="IH1508" s="42" t="str">
        <f ca="1"/>
        <v/>
      </c>
      <c r="II1508" s="42" t="str">
        <f ca="1"/>
        <v/>
      </c>
      <c r="IJ1508" s="42" t="str">
        <f ca="1"/>
        <v/>
      </c>
      <c r="IK1508" s="42" t="str">
        <f ca="1"/>
        <v/>
      </c>
      <c r="IL1508" s="42" t="str">
        <f ca="1"/>
        <v/>
      </c>
      <c r="IM1508" s="42" t="str">
        <f ca="1"/>
        <v/>
      </c>
      <c r="IN1508" s="42" t="str">
        <f ca="1"/>
        <v/>
      </c>
      <c r="IO1508" s="42" t="str">
        <f ca="1"/>
        <v/>
      </c>
      <c r="IP1508" s="42" t="str">
        <f ca="1"/>
        <v/>
      </c>
      <c r="IQ1508" s="42" t="str">
        <f ca="1"/>
        <v/>
      </c>
      <c r="IR1508" s="42" t="str">
        <f ca="1"/>
        <v/>
      </c>
      <c r="IS1508" s="42" t="str">
        <f ca="1"/>
        <v/>
      </c>
      <c r="IT1508" s="42" t="str">
        <f ca="1"/>
        <v/>
      </c>
      <c r="IU1508" s="42" t="str">
        <f ca="1"/>
        <v/>
      </c>
      <c r="IV1508" s="42" t="str">
        <f ca="1"/>
        <v/>
      </c>
      <c r="IW1508" s="42" t="str">
        <f ca="1"/>
        <v/>
      </c>
      <c r="IX1508" s="42" t="str">
        <f ca="1"/>
        <v/>
      </c>
      <c r="IY1508" s="42" t="str">
        <f ca="1"/>
        <v/>
      </c>
      <c r="IZ1508" s="42" t="str">
        <f ca="1"/>
        <v/>
      </c>
      <c r="JA1508" s="42" t="str">
        <f ca="1"/>
        <v/>
      </c>
      <c r="JB1508" s="42" t="str">
        <f ca="1"/>
        <v/>
      </c>
      <c r="JC1508" s="42" t="str">
        <f ca="1"/>
        <v/>
      </c>
      <c r="JD1508" s="42" t="str">
        <f ca="1"/>
        <v/>
      </c>
      <c r="JE1508" s="42" t="str">
        <f ca="1"/>
        <v/>
      </c>
      <c r="JF1508" s="42" t="str">
        <f ca="1"/>
        <v/>
      </c>
      <c r="JG1508" s="42" t="str">
        <f ca="1"/>
        <v/>
      </c>
      <c r="JH1508" s="42" t="str">
        <f ca="1"/>
        <v/>
      </c>
      <c r="JI1508" s="42" t="str">
        <f ca="1"/>
        <v/>
      </c>
      <c r="JJ1508" s="42" t="str">
        <f ca="1"/>
        <v/>
      </c>
      <c r="JK1508" s="42" t="str">
        <f ca="1"/>
        <v/>
      </c>
      <c r="JL1508" s="42" t="str">
        <f ca="1"/>
        <v/>
      </c>
      <c r="JM1508" s="42" t="str">
        <f ca="1"/>
        <v/>
      </c>
      <c r="JN1508" s="42" t="str">
        <f ca="1"/>
        <v/>
      </c>
      <c r="JO1508" s="42" t="str">
        <f ca="1"/>
        <v/>
      </c>
      <c r="JP1508" s="42" t="str">
        <f ca="1"/>
        <v/>
      </c>
      <c r="JQ1508" s="42" t="str">
        <f ca="1"/>
        <v/>
      </c>
      <c r="JR1508" s="42" t="str">
        <f ca="1"/>
        <v/>
      </c>
      <c r="JS1508" s="42" t="str">
        <f ca="1"/>
        <v/>
      </c>
      <c r="JT1508" s="42" t="str">
        <f ca="1"/>
        <v/>
      </c>
      <c r="JU1508" s="42" t="str">
        <f ca="1"/>
        <v/>
      </c>
      <c r="JV1508" s="42" t="str">
        <f ca="1"/>
        <v/>
      </c>
      <c r="JW1508" s="42" t="str">
        <f ca="1"/>
        <v/>
      </c>
      <c r="JX1508" s="42" t="str">
        <f ca="1"/>
        <v/>
      </c>
      <c r="JY1508" s="42" t="str">
        <f ca="1"/>
        <v/>
      </c>
      <c r="JZ1508" s="42" t="str">
        <f ca="1"/>
        <v/>
      </c>
      <c r="KA1508" s="42" t="str">
        <f ca="1"/>
        <v/>
      </c>
      <c r="KB1508" s="42" t="str">
        <f ca="1"/>
        <v/>
      </c>
      <c r="KC1508" s="42" t="str">
        <f ca="1"/>
        <v/>
      </c>
      <c r="KD1508" s="42" t="str">
        <f ca="1"/>
        <v/>
      </c>
      <c r="KE1508" s="42" t="str">
        <f ca="1"/>
        <v/>
      </c>
      <c r="KF1508" s="42" t="str">
        <f ca="1"/>
        <v/>
      </c>
      <c r="KG1508" s="42" t="str">
        <f ca="1"/>
        <v/>
      </c>
      <c r="KH1508" s="42" t="str">
        <f ca="1"/>
        <v/>
      </c>
      <c r="KI1508" s="42" t="str">
        <f ca="1"/>
        <v/>
      </c>
      <c r="KJ1508" s="42" t="str">
        <f ca="1"/>
        <v/>
      </c>
      <c r="KK1508" s="42" t="str">
        <f ca="1"/>
        <v/>
      </c>
      <c r="KL1508" s="42" t="str">
        <f ca="1"/>
        <v/>
      </c>
      <c r="KM1508" s="42" t="str">
        <f ca="1"/>
        <v/>
      </c>
      <c r="KN1508" s="42" t="str">
        <f ca="1"/>
        <v/>
      </c>
      <c r="KO1508" s="42" t="str">
        <f ca="1"/>
        <v/>
      </c>
      <c r="KP1508" s="42" t="str">
        <f ca="1"/>
        <v/>
      </c>
      <c r="KQ1508" s="42" t="str">
        <f ca="1"/>
        <v/>
      </c>
      <c r="KR1508" s="42" t="str">
        <f ca="1"/>
        <v/>
      </c>
      <c r="KS1508" s="42" t="str">
        <f ca="1"/>
        <v/>
      </c>
      <c r="KT1508" s="42" t="str">
        <f ca="1"/>
        <v/>
      </c>
      <c r="KU1508" s="42" t="str">
        <f ca="1"/>
        <v/>
      </c>
      <c r="KV1508" s="42" t="str">
        <f ca="1"/>
        <v/>
      </c>
      <c r="KW1508" s="42" t="str">
        <f ca="1"/>
        <v/>
      </c>
      <c r="KX1508" s="42" t="str">
        <f ca="1"/>
        <v/>
      </c>
      <c r="KY1508" s="42" t="str">
        <f ca="1"/>
        <v/>
      </c>
      <c r="KZ1508" s="42" t="str">
        <f ca="1"/>
        <v/>
      </c>
      <c r="LA1508" s="42" t="str">
        <f ca="1"/>
        <v/>
      </c>
      <c r="LB1508" s="42" t="str">
        <f ca="1"/>
        <v/>
      </c>
      <c r="LC1508" s="42" t="str">
        <f ca="1"/>
        <v/>
      </c>
      <c r="LD1508" s="42" t="str">
        <f ca="1"/>
        <v/>
      </c>
      <c r="LE1508" s="42" t="str">
        <f ca="1"/>
        <v/>
      </c>
      <c r="LF1508" s="42" t="str">
        <f ca="1"/>
        <v/>
      </c>
      <c r="LG1508" s="42" t="str">
        <f ca="1"/>
        <v/>
      </c>
      <c r="LH1508" s="42" t="str">
        <f ca="1"/>
        <v/>
      </c>
      <c r="LI1508" s="42" t="str">
        <f ca="1"/>
        <v/>
      </c>
      <c r="LJ1508" s="42" t="str">
        <f ca="1"/>
        <v/>
      </c>
      <c r="LK1508" s="42" t="str">
        <f ca="1"/>
        <v/>
      </c>
      <c r="LL1508" s="42" t="str">
        <f ca="1"/>
        <v/>
      </c>
      <c r="LM1508" s="42" t="str">
        <f ca="1"/>
        <v/>
      </c>
      <c r="LN1508" s="42" t="str">
        <f ca="1"/>
        <v/>
      </c>
      <c r="LO1508" s="42" t="str">
        <f ca="1"/>
        <v/>
      </c>
      <c r="LP1508" s="42" t="str">
        <f ca="1"/>
        <v/>
      </c>
      <c r="LQ1508" s="42" t="str">
        <f ca="1"/>
        <v/>
      </c>
      <c r="LR1508" s="42" t="str">
        <f ca="1"/>
        <v/>
      </c>
      <c r="LS1508" s="42" t="str">
        <f ca="1"/>
        <v/>
      </c>
      <c r="LT1508" s="42" t="str">
        <f ca="1"/>
        <v/>
      </c>
      <c r="LU1508" s="42" t="str">
        <f ca="1"/>
        <v/>
      </c>
      <c r="LV1508" s="42" t="str">
        <f ca="1"/>
        <v/>
      </c>
      <c r="LW1508" s="42" t="str">
        <f ca="1"/>
        <v/>
      </c>
      <c r="LX1508" s="42" t="str">
        <f ca="1"/>
        <v/>
      </c>
      <c r="LY1508" s="42" t="str">
        <f ca="1"/>
        <v/>
      </c>
      <c r="LZ1508" s="42" t="str">
        <f ca="1"/>
        <v/>
      </c>
      <c r="MA1508" s="42" t="str">
        <f ca="1"/>
        <v/>
      </c>
      <c r="MB1508" s="42" t="str">
        <f ca="1"/>
        <v/>
      </c>
      <c r="MC1508" s="42" t="str">
        <f ca="1"/>
        <v/>
      </c>
      <c r="MD1508" s="42" t="str">
        <f ca="1"/>
        <v/>
      </c>
      <c r="ME1508" s="42" t="str">
        <f ca="1"/>
        <v/>
      </c>
      <c r="MF1508" s="42" t="str">
        <f ca="1"/>
        <v/>
      </c>
      <c r="MG1508" s="42" t="str">
        <f ca="1"/>
        <v/>
      </c>
      <c r="MH1508" s="42" t="str">
        <f ca="1"/>
        <v/>
      </c>
      <c r="MI1508" s="42" t="str">
        <f ca="1"/>
        <v/>
      </c>
      <c r="MJ1508" s="42" t="str">
        <f ca="1"/>
        <v/>
      </c>
      <c r="MK1508" s="42" t="str">
        <f ca="1"/>
        <v/>
      </c>
      <c r="ML1508" s="42" t="str">
        <f ca="1"/>
        <v/>
      </c>
      <c r="MM1508" s="42" t="str">
        <f ca="1"/>
        <v/>
      </c>
      <c r="MN1508" s="42" t="str">
        <f ca="1"/>
        <v/>
      </c>
      <c r="MO1508" s="42" t="str">
        <f ca="1"/>
        <v/>
      </c>
      <c r="MP1508" s="42" t="str">
        <f ca="1"/>
        <v/>
      </c>
      <c r="MQ1508" s="42" t="str">
        <f ca="1"/>
        <v/>
      </c>
      <c r="MR1508" s="42" t="str">
        <f ca="1"/>
        <v/>
      </c>
      <c r="MS1508" s="42" t="str">
        <f ca="1"/>
        <v/>
      </c>
      <c r="MT1508" s="42" t="str">
        <f ca="1"/>
        <v/>
      </c>
      <c r="MU1508" s="42" t="str">
        <f ca="1"/>
        <v/>
      </c>
      <c r="MV1508" s="42" t="str">
        <f ca="1"/>
        <v/>
      </c>
      <c r="MW1508" s="42" t="str">
        <f ca="1"/>
        <v/>
      </c>
      <c r="MX1508" s="42" t="str">
        <f ca="1"/>
        <v/>
      </c>
      <c r="MY1508" s="42" t="str">
        <f ca="1"/>
        <v/>
      </c>
      <c r="MZ1508" s="42" t="str">
        <f ca="1"/>
        <v/>
      </c>
      <c r="NA1508" s="42" t="str">
        <f ca="1"/>
        <v/>
      </c>
      <c r="NB1508" s="42" t="str">
        <f ca="1"/>
        <v/>
      </c>
      <c r="NC1508" s="42" t="str">
        <f ca="1"/>
        <v/>
      </c>
      <c r="ND1508" s="42" t="str">
        <f ca="1"/>
        <v/>
      </c>
      <c r="NE1508" s="42" t="str">
        <f ca="1"/>
        <v/>
      </c>
      <c r="NF1508" s="42" t="str">
        <f ca="1"/>
        <v/>
      </c>
      <c r="NG1508" s="42" t="str">
        <f ca="1"/>
        <v/>
      </c>
      <c r="NH1508" s="42" t="str">
        <f ca="1"/>
        <v/>
      </c>
      <c r="NI1508" s="42" t="str">
        <f ca="1"/>
        <v/>
      </c>
      <c r="NJ1508" s="42" t="str">
        <f ca="1"/>
        <v/>
      </c>
      <c r="NK1508" s="42" t="str">
        <f ca="1"/>
        <v/>
      </c>
      <c r="NL1508" s="42" t="str">
        <f ca="1"/>
        <v/>
      </c>
      <c r="NM1508" s="42" t="str">
        <f ca="1"/>
        <v/>
      </c>
      <c r="NN1508" s="42" t="str">
        <f ca="1"/>
        <v/>
      </c>
      <c r="NO1508" s="42" t="str">
        <f ca="1"/>
        <v/>
      </c>
      <c r="NP1508" s="42" t="str">
        <f ca="1"/>
        <v/>
      </c>
      <c r="NQ1508" s="42" t="str">
        <f ca="1"/>
        <v/>
      </c>
      <c r="NR1508" s="42" t="str">
        <f ca="1"/>
        <v/>
      </c>
      <c r="NS1508" s="42" t="str">
        <f ca="1"/>
        <v/>
      </c>
      <c r="NT1508" s="42" t="str">
        <f ca="1"/>
        <v/>
      </c>
      <c r="NU1508" s="42" t="str">
        <f ca="1"/>
        <v/>
      </c>
      <c r="NV1508" s="42" t="str">
        <f ca="1"/>
        <v/>
      </c>
      <c r="NW1508" s="42" t="str">
        <f ca="1"/>
        <v/>
      </c>
      <c r="NX1508" s="42" t="str">
        <f ca="1"/>
        <v/>
      </c>
      <c r="NY1508" s="42" t="str">
        <f ca="1"/>
        <v/>
      </c>
      <c r="NZ1508" s="42" t="str">
        <f ca="1"/>
        <v/>
      </c>
      <c r="OA1508" s="42" t="str">
        <f ca="1"/>
        <v/>
      </c>
      <c r="OB1508" s="42" t="str">
        <f ca="1"/>
        <v/>
      </c>
      <c r="OC1508" s="42" t="str">
        <f ca="1"/>
        <v/>
      </c>
      <c r="OD1508" s="42" t="str">
        <f ca="1"/>
        <v/>
      </c>
      <c r="OE1508" s="42" t="str">
        <f ca="1"/>
        <v/>
      </c>
      <c r="OF1508" s="42" t="str">
        <f ca="1"/>
        <v/>
      </c>
      <c r="OG1508" s="42" t="str">
        <f ca="1"/>
        <v/>
      </c>
      <c r="OH1508" s="42" t="str">
        <f ca="1"/>
        <v/>
      </c>
      <c r="OI1508" s="42" t="str">
        <f ca="1"/>
        <v/>
      </c>
      <c r="OJ1508" s="42" t="str">
        <f ca="1"/>
        <v/>
      </c>
      <c r="OK1508" s="42" t="str">
        <f ca="1"/>
        <v/>
      </c>
      <c r="OL1508" s="42" t="str">
        <f ca="1"/>
        <v/>
      </c>
      <c r="OM1508" s="42" t="str">
        <f ca="1"/>
        <v/>
      </c>
      <c r="ON1508" s="42" t="str">
        <f ca="1"/>
        <v/>
      </c>
      <c r="OO1508" s="42" t="str">
        <f ca="1"/>
        <v/>
      </c>
      <c r="OP1508" s="42" t="str">
        <f ca="1"/>
        <v/>
      </c>
      <c r="OQ1508" s="42" t="str">
        <f ca="1"/>
        <v/>
      </c>
      <c r="OR1508" s="42" t="str">
        <f ca="1"/>
        <v/>
      </c>
      <c r="OS1508" s="42" t="str">
        <f ca="1"/>
        <v/>
      </c>
      <c r="OT1508" s="42" t="str">
        <f ca="1"/>
        <v/>
      </c>
      <c r="OU1508" s="42" t="str">
        <f ca="1"/>
        <v/>
      </c>
      <c r="OV1508" s="42" t="str">
        <f ca="1"/>
        <v/>
      </c>
      <c r="OW1508" s="42" t="str">
        <f ca="1"/>
        <v/>
      </c>
      <c r="OX1508" s="42" t="str">
        <f ca="1"/>
        <v/>
      </c>
      <c r="OY1508" s="42" t="str">
        <f ca="1"/>
        <v/>
      </c>
      <c r="OZ1508" s="42" t="str">
        <f ca="1"/>
        <v/>
      </c>
      <c r="PA1508" s="42" t="str">
        <f ca="1"/>
        <v/>
      </c>
      <c r="PB1508" s="42" t="str">
        <f ca="1"/>
        <v/>
      </c>
      <c r="PC1508" s="42" t="str">
        <f ca="1"/>
        <v/>
      </c>
      <c r="PD1508" s="42" t="str">
        <f ca="1"/>
        <v/>
      </c>
      <c r="PE1508" s="42" t="str">
        <f ca="1"/>
        <v/>
      </c>
      <c r="PF1508" s="42" t="str">
        <f ca="1"/>
        <v/>
      </c>
      <c r="PG1508" s="42" t="str">
        <f ca="1"/>
        <v/>
      </c>
      <c r="PH1508" s="42" t="str">
        <f ca="1"/>
        <v/>
      </c>
      <c r="PI1508" s="42" t="str">
        <f ca="1"/>
        <v/>
      </c>
      <c r="PJ1508" s="42" t="str">
        <f ca="1"/>
        <v/>
      </c>
      <c r="PK1508" s="42" t="str">
        <f ca="1"/>
        <v/>
      </c>
      <c r="PL1508" s="42" t="str">
        <f ca="1"/>
        <v/>
      </c>
      <c r="PM1508" s="42" t="str">
        <f ca="1"/>
        <v/>
      </c>
      <c r="PN1508" s="42" t="str">
        <f ca="1"/>
        <v/>
      </c>
      <c r="PO1508" s="42" t="str">
        <f ca="1"/>
        <v/>
      </c>
      <c r="PP1508" s="42" t="str">
        <f ca="1"/>
        <v/>
      </c>
      <c r="PQ1508" s="42" t="str">
        <f ca="1"/>
        <v/>
      </c>
      <c r="PR1508" s="42" t="str">
        <f ca="1"/>
        <v/>
      </c>
      <c r="PS1508" s="42" t="str">
        <f ca="1"/>
        <v/>
      </c>
      <c r="PT1508" s="42" t="str">
        <f ca="1"/>
        <v/>
      </c>
      <c r="PU1508" s="42" t="str">
        <f ca="1"/>
        <v/>
      </c>
      <c r="PV1508" s="42" t="str">
        <f ca="1"/>
        <v/>
      </c>
      <c r="PW1508" s="42" t="str">
        <f ca="1"/>
        <v/>
      </c>
      <c r="PX1508" s="42" t="str">
        <f ca="1"/>
        <v/>
      </c>
      <c r="PY1508" s="42" t="str">
        <f ca="1"/>
        <v/>
      </c>
      <c r="PZ1508" s="42" t="str">
        <f ca="1"/>
        <v/>
      </c>
      <c r="QA1508" s="42" t="str">
        <f ca="1"/>
        <v/>
      </c>
      <c r="QB1508" s="42" t="str">
        <f ca="1"/>
        <v/>
      </c>
      <c r="QC1508" s="42" t="str">
        <f ca="1"/>
        <v/>
      </c>
      <c r="QD1508" s="42" t="str">
        <f ca="1"/>
        <v/>
      </c>
      <c r="QE1508" s="42" t="str">
        <f ca="1"/>
        <v/>
      </c>
      <c r="QF1508" s="42" t="str">
        <f ca="1"/>
        <v/>
      </c>
      <c r="QG1508" s="42" t="str">
        <f ca="1"/>
        <v/>
      </c>
      <c r="QH1508" s="42" t="str">
        <f ca="1"/>
        <v/>
      </c>
      <c r="QI1508" s="42" t="str">
        <f ca="1"/>
        <v/>
      </c>
      <c r="QJ1508" s="42" t="str">
        <f ca="1"/>
        <v/>
      </c>
      <c r="QK1508" s="42" t="str">
        <f ca="1"/>
        <v/>
      </c>
      <c r="QL1508" s="42" t="str">
        <f ca="1"/>
        <v/>
      </c>
      <c r="QM1508" s="42" t="str">
        <f ca="1"/>
        <v/>
      </c>
      <c r="QN1508" s="42" t="str">
        <f ca="1"/>
        <v/>
      </c>
      <c r="QO1508" s="42" t="str">
        <f ca="1"/>
        <v/>
      </c>
      <c r="QP1508" s="42" t="str">
        <f ca="1"/>
        <v/>
      </c>
      <c r="QQ1508" s="42" t="str">
        <f ca="1"/>
        <v/>
      </c>
      <c r="QR1508" s="42" t="str">
        <f ca="1"/>
        <v/>
      </c>
      <c r="QS1508" s="42" t="str">
        <f ca="1"/>
        <v/>
      </c>
      <c r="QT1508" s="42" t="str">
        <f ca="1"/>
        <v/>
      </c>
      <c r="QU1508" s="42" t="str">
        <f ca="1"/>
        <v/>
      </c>
      <c r="QV1508" s="42" t="str">
        <f ca="1"/>
        <v/>
      </c>
      <c r="QW1508" s="42" t="str">
        <f ca="1"/>
        <v/>
      </c>
      <c r="QX1508" s="42" t="str">
        <f ca="1"/>
        <v/>
      </c>
      <c r="QY1508" s="42" t="str">
        <f ca="1"/>
        <v/>
      </c>
      <c r="QZ1508" s="42" t="str">
        <f ca="1"/>
        <v/>
      </c>
      <c r="RA1508" s="42" t="str">
        <f ca="1"/>
        <v/>
      </c>
      <c r="RB1508" s="42" t="str">
        <f ca="1"/>
        <v/>
      </c>
      <c r="RC1508" s="42" t="str">
        <f ca="1"/>
        <v/>
      </c>
      <c r="RD1508" s="42" t="str">
        <f ca="1"/>
        <v/>
      </c>
      <c r="RE1508" s="42" t="str">
        <f ca="1"/>
        <v/>
      </c>
      <c r="RF1508" s="42" t="str">
        <f ca="1"/>
        <v/>
      </c>
      <c r="RG1508" s="42" t="str">
        <f ca="1"/>
        <v/>
      </c>
      <c r="RH1508" s="42" t="str">
        <f ca="1"/>
        <v/>
      </c>
      <c r="RI1508" s="42" t="str">
        <f ca="1"/>
        <v/>
      </c>
      <c r="RJ1508" s="42" t="str">
        <f ca="1"/>
        <v/>
      </c>
      <c r="RK1508" s="42" t="str">
        <f ca="1"/>
        <v/>
      </c>
      <c r="RL1508" s="42" t="str">
        <f ca="1"/>
        <v/>
      </c>
      <c r="RM1508" s="42" t="str">
        <f ca="1"/>
        <v/>
      </c>
      <c r="RN1508" s="42" t="str">
        <f ca="1"/>
        <v/>
      </c>
      <c r="RO1508" s="42" t="str">
        <f ca="1"/>
        <v/>
      </c>
      <c r="RP1508" s="42" t="str">
        <f ca="1"/>
        <v/>
      </c>
      <c r="RQ1508" s="42" t="str">
        <f ca="1"/>
        <v/>
      </c>
      <c r="RR1508" s="42" t="str">
        <f ca="1"/>
        <v/>
      </c>
      <c r="RS1508" s="42" t="str">
        <f ca="1"/>
        <v/>
      </c>
      <c r="RT1508" s="42" t="str">
        <f ca="1"/>
        <v/>
      </c>
      <c r="RU1508" s="42" t="str">
        <f ca="1"/>
        <v/>
      </c>
      <c r="RV1508" s="42" t="str">
        <f ca="1"/>
        <v/>
      </c>
      <c r="RW1508" s="42" t="str">
        <f ca="1"/>
        <v/>
      </c>
      <c r="RX1508" s="42" t="str">
        <f ca="1"/>
        <v/>
      </c>
      <c r="RY1508" s="42" t="str">
        <f ca="1"/>
        <v/>
      </c>
      <c r="RZ1508" s="42" t="str">
        <f ca="1"/>
        <v/>
      </c>
      <c r="SA1508" s="42" t="str">
        <f ca="1"/>
        <v/>
      </c>
      <c r="SB1508" s="42" t="str">
        <f ca="1"/>
        <v/>
      </c>
      <c r="SC1508" s="42" t="str">
        <f ca="1"/>
        <v/>
      </c>
      <c r="SD1508" s="42" t="str">
        <f ca="1"/>
        <v/>
      </c>
      <c r="SE1508" s="42" t="str">
        <f ca="1"/>
        <v/>
      </c>
      <c r="SF1508" s="42" t="str">
        <f ca="1"/>
        <v/>
      </c>
      <c r="SG1508" s="42" t="str">
        <f ca="1"/>
        <v/>
      </c>
      <c r="SH1508" s="42" t="str">
        <f ca="1"/>
        <v/>
      </c>
      <c r="SI1508" s="42" t="str">
        <f ca="1"/>
        <v/>
      </c>
      <c r="SJ1508" s="42" t="str">
        <f ca="1"/>
        <v/>
      </c>
      <c r="SK1508" s="42" t="str">
        <f ca="1"/>
        <v/>
      </c>
      <c r="SL1508" s="42" t="str">
        <f ca="1"/>
        <v/>
      </c>
      <c r="SM1508" s="42" t="str">
        <f ca="1"/>
        <v/>
      </c>
      <c r="SN1508" s="42" t="str">
        <f ca="1"/>
        <v/>
      </c>
      <c r="SO1508" s="42" t="str">
        <f ca="1"/>
        <v/>
      </c>
      <c r="SP1508" s="42" t="str">
        <f ca="1"/>
        <v/>
      </c>
      <c r="SQ1508" s="42" t="str">
        <f ca="1"/>
        <v/>
      </c>
      <c r="SR1508" s="42" t="str">
        <f ca="1"/>
        <v/>
      </c>
      <c r="SS1508" s="42" t="str">
        <f ca="1"/>
        <v/>
      </c>
      <c r="ST1508" s="42" t="str">
        <f ca="1"/>
        <v/>
      </c>
      <c r="SU1508" s="42" t="str">
        <f ca="1"/>
        <v/>
      </c>
      <c r="SV1508" s="42" t="str">
        <f ca="1"/>
        <v/>
      </c>
      <c r="SW1508" s="42" t="str">
        <f ca="1"/>
        <v/>
      </c>
      <c r="SX1508" s="42" t="str">
        <f ca="1"/>
        <v/>
      </c>
      <c r="SY1508" s="42" t="str">
        <f ca="1"/>
        <v/>
      </c>
      <c r="SZ1508" s="42" t="str">
        <f ca="1"/>
        <v/>
      </c>
      <c r="TA1508" s="42" t="str">
        <f ca="1"/>
        <v/>
      </c>
      <c r="TB1508" s="42" t="str">
        <f ca="1"/>
        <v/>
      </c>
      <c r="TC1508" s="42" t="str">
        <f ca="1"/>
        <v/>
      </c>
      <c r="TD1508" s="42" t="str">
        <f ca="1"/>
        <v/>
      </c>
      <c r="TE1508" s="42" t="str">
        <f ca="1"/>
        <v/>
      </c>
      <c r="TF1508" s="42" t="str">
        <f ca="1"/>
        <v/>
      </c>
      <c r="TG1508" s="42" t="str">
        <f ca="1"/>
        <v/>
      </c>
      <c r="TH1508" s="42" t="str">
        <f ca="1"/>
        <v/>
      </c>
      <c r="TI1508" s="42" t="str">
        <f ca="1"/>
        <v/>
      </c>
      <c r="TJ1508" s="42" t="str">
        <f ca="1"/>
        <v/>
      </c>
      <c r="TK1508" s="42" t="str">
        <f ca="1"/>
        <v/>
      </c>
      <c r="TL1508" s="42" t="str">
        <f ca="1"/>
        <v/>
      </c>
      <c r="TM1508" s="42" t="str">
        <f ca="1"/>
        <v/>
      </c>
      <c r="TN1508" s="42" t="str">
        <f ca="1"/>
        <v/>
      </c>
      <c r="TO1508" s="42" t="str">
        <f ca="1"/>
        <v/>
      </c>
      <c r="TP1508" s="42" t="str">
        <f ca="1"/>
        <v/>
      </c>
      <c r="TQ1508" s="42" t="str">
        <f ca="1"/>
        <v/>
      </c>
      <c r="TR1508" s="42" t="str">
        <f ca="1"/>
        <v/>
      </c>
      <c r="TS1508" s="42" t="str">
        <f ca="1"/>
        <v/>
      </c>
      <c r="TT1508" s="42" t="str">
        <f ca="1"/>
        <v/>
      </c>
      <c r="TU1508" s="42" t="str">
        <f ca="1"/>
        <v/>
      </c>
      <c r="TV1508" s="42" t="str">
        <f ca="1"/>
        <v/>
      </c>
      <c r="TW1508" s="42" t="str">
        <f ca="1"/>
        <v/>
      </c>
      <c r="TX1508" s="42" t="str">
        <f ca="1"/>
        <v/>
      </c>
      <c r="TY1508" s="42" t="str">
        <f ca="1"/>
        <v/>
      </c>
      <c r="TZ1508" s="42" t="str">
        <f ca="1"/>
        <v/>
      </c>
      <c r="UA1508" s="42" t="str">
        <f ca="1"/>
        <v/>
      </c>
      <c r="UB1508" s="42" t="str">
        <f ca="1"/>
        <v/>
      </c>
      <c r="UC1508" s="42" t="str">
        <f ca="1"/>
        <v/>
      </c>
      <c r="UD1508" s="42" t="str">
        <f ca="1"/>
        <v/>
      </c>
      <c r="UE1508" s="42" t="str">
        <f ca="1"/>
        <v/>
      </c>
      <c r="UF1508" s="42" t="str">
        <f ca="1"/>
        <v/>
      </c>
      <c r="UG1508" s="42" t="str">
        <f ca="1"/>
        <v/>
      </c>
      <c r="UH1508" s="42" t="str">
        <f ca="1"/>
        <v/>
      </c>
      <c r="UI1508" s="42" t="str">
        <f ca="1"/>
        <v/>
      </c>
      <c r="UJ1508" s="42" t="str">
        <f ca="1"/>
        <v/>
      </c>
      <c r="UK1508" s="42" t="str">
        <f ca="1"/>
        <v/>
      </c>
      <c r="UL1508" s="42" t="str">
        <f ca="1"/>
        <v/>
      </c>
      <c r="UM1508" s="42" t="str">
        <f ca="1"/>
        <v/>
      </c>
      <c r="UN1508" s="42" t="str">
        <f ca="1"/>
        <v/>
      </c>
      <c r="UO1508" s="42" t="str">
        <f ca="1"/>
        <v/>
      </c>
      <c r="UP1508" s="42" t="str">
        <f ca="1"/>
        <v/>
      </c>
      <c r="UQ1508" s="42" t="str">
        <f ca="1"/>
        <v/>
      </c>
      <c r="UR1508" s="42" t="str">
        <f ca="1"/>
        <v/>
      </c>
      <c r="US1508" s="42" t="str">
        <f ca="1"/>
        <v/>
      </c>
      <c r="UT1508" s="42" t="str">
        <f ca="1"/>
        <v/>
      </c>
      <c r="UU1508" s="42" t="str">
        <f ca="1"/>
        <v/>
      </c>
      <c r="UV1508" s="42" t="str">
        <f ca="1"/>
        <v/>
      </c>
      <c r="UW1508" s="42" t="str">
        <f ca="1"/>
        <v/>
      </c>
      <c r="UX1508" s="42" t="str">
        <f ca="1"/>
        <v/>
      </c>
      <c r="UY1508" s="42" t="str">
        <f ca="1"/>
        <v/>
      </c>
      <c r="UZ1508" s="42" t="str">
        <f ca="1"/>
        <v/>
      </c>
      <c r="VA1508" s="42" t="str">
        <f ca="1"/>
        <v/>
      </c>
      <c r="VB1508" s="42" t="str">
        <f ca="1"/>
        <v/>
      </c>
      <c r="VC1508" s="42" t="str">
        <f ca="1"/>
        <v/>
      </c>
      <c r="VD1508" s="42" t="str">
        <f ca="1"/>
        <v/>
      </c>
      <c r="VE1508" s="42" t="str">
        <f ca="1"/>
        <v/>
      </c>
      <c r="VF1508" s="42" t="str">
        <f ca="1"/>
        <v/>
      </c>
      <c r="VG1508" s="42" t="str">
        <f ca="1"/>
        <v/>
      </c>
      <c r="VH1508" s="42" t="str">
        <f ca="1"/>
        <v/>
      </c>
      <c r="VI1508" s="42" t="str">
        <f ca="1"/>
        <v/>
      </c>
      <c r="VJ1508" s="42" t="str">
        <f ca="1"/>
        <v/>
      </c>
      <c r="VK1508" s="42" t="str">
        <f ca="1"/>
        <v/>
      </c>
      <c r="VL1508" s="42" t="str">
        <f ca="1"/>
        <v/>
      </c>
      <c r="VM1508" s="42" t="str">
        <f ca="1"/>
        <v/>
      </c>
      <c r="VN1508" s="42" t="str">
        <f ca="1"/>
        <v/>
      </c>
      <c r="VO1508" s="42" t="str">
        <f ca="1"/>
        <v/>
      </c>
      <c r="VP1508" s="42" t="str">
        <f ca="1"/>
        <v/>
      </c>
      <c r="VQ1508" s="42" t="str">
        <f ca="1"/>
        <v/>
      </c>
      <c r="VR1508" s="42" t="str">
        <f ca="1"/>
        <v/>
      </c>
      <c r="VS1508" s="42" t="str">
        <f ca="1"/>
        <v/>
      </c>
      <c r="VT1508" s="42" t="str">
        <f ca="1"/>
        <v/>
      </c>
      <c r="VU1508" s="42" t="str">
        <f ca="1"/>
        <v/>
      </c>
      <c r="VV1508" s="42" t="str">
        <f ca="1"/>
        <v/>
      </c>
      <c r="VW1508" s="42" t="str">
        <f ca="1"/>
        <v/>
      </c>
      <c r="VX1508" s="42" t="str">
        <f ca="1"/>
        <v/>
      </c>
      <c r="VY1508" s="42" t="str">
        <f ca="1"/>
        <v/>
      </c>
      <c r="VZ1508" s="42" t="str">
        <f ca="1"/>
        <v/>
      </c>
      <c r="WA1508" s="42" t="str">
        <f ca="1"/>
        <v/>
      </c>
      <c r="WB1508" s="42" t="str">
        <f ca="1"/>
        <v/>
      </c>
      <c r="WC1508" s="42" t="str">
        <f ca="1"/>
        <v/>
      </c>
      <c r="WD1508" s="42" t="str">
        <f ca="1"/>
        <v/>
      </c>
      <c r="WE1508" s="42" t="str">
        <f ca="1"/>
        <v/>
      </c>
      <c r="WF1508" s="42" t="str">
        <f ca="1"/>
        <v/>
      </c>
      <c r="WG1508" s="42" t="str">
        <f ca="1"/>
        <v/>
      </c>
      <c r="WH1508" s="42" t="str">
        <f ca="1"/>
        <v/>
      </c>
      <c r="WI1508" s="42" t="str">
        <f ca="1"/>
        <v/>
      </c>
      <c r="WJ1508" s="42" t="str">
        <f ca="1"/>
        <v/>
      </c>
      <c r="WK1508" s="42" t="str">
        <f ca="1"/>
        <v/>
      </c>
      <c r="WL1508" s="42" t="str">
        <f ca="1"/>
        <v/>
      </c>
      <c r="WM1508" s="42" t="str">
        <f ca="1"/>
        <v/>
      </c>
      <c r="WN1508" s="42" t="str">
        <f ca="1"/>
        <v/>
      </c>
      <c r="WO1508" s="42" t="str">
        <f ca="1"/>
        <v/>
      </c>
      <c r="WP1508" s="42" t="str">
        <f ca="1"/>
        <v/>
      </c>
      <c r="WQ1508" s="42" t="str">
        <f ca="1"/>
        <v/>
      </c>
      <c r="WR1508" s="42" t="str">
        <f ca="1"/>
        <v/>
      </c>
      <c r="WS1508" s="42" t="str">
        <f ca="1"/>
        <v/>
      </c>
      <c r="WT1508" s="42" t="str">
        <f ca="1"/>
        <v/>
      </c>
      <c r="WU1508" s="42" t="str">
        <f ca="1"/>
        <v/>
      </c>
      <c r="WV1508" s="42" t="str">
        <f ca="1"/>
        <v/>
      </c>
      <c r="WW1508" s="42" t="str">
        <f ca="1"/>
        <v/>
      </c>
      <c r="WX1508" s="42" t="str">
        <f ca="1"/>
        <v/>
      </c>
      <c r="WY1508" s="42" t="str">
        <f ca="1"/>
        <v/>
      </c>
      <c r="WZ1508" s="42" t="str">
        <f ca="1"/>
        <v/>
      </c>
      <c r="XA1508" s="42" t="str">
        <f ca="1"/>
        <v/>
      </c>
      <c r="XB1508" s="42" t="str">
        <f ca="1"/>
        <v/>
      </c>
      <c r="XC1508" s="42" t="str">
        <f ca="1"/>
        <v/>
      </c>
      <c r="XD1508" s="42" t="str">
        <f ca="1"/>
        <v/>
      </c>
      <c r="XE1508" s="42" t="str">
        <f ca="1"/>
        <v/>
      </c>
      <c r="XF1508" s="42" t="str">
        <f ca="1"/>
        <v/>
      </c>
      <c r="XG1508" s="42" t="str">
        <f ca="1"/>
        <v/>
      </c>
      <c r="XH1508" s="42" t="str">
        <f ca="1"/>
        <v/>
      </c>
      <c r="XI1508" s="42" t="str">
        <f ca="1"/>
        <v/>
      </c>
      <c r="XJ1508" s="42" t="str">
        <f ca="1"/>
        <v/>
      </c>
      <c r="XK1508" s="42" t="str">
        <f ca="1"/>
        <v/>
      </c>
      <c r="XL1508" s="42" t="str">
        <f ca="1"/>
        <v/>
      </c>
      <c r="XM1508" s="42" t="str">
        <f ca="1"/>
        <v/>
      </c>
      <c r="XN1508" s="42" t="str">
        <f ca="1"/>
        <v/>
      </c>
      <c r="XO1508" s="42" t="str">
        <f ca="1"/>
        <v/>
      </c>
      <c r="XP1508" s="42" t="str">
        <f ca="1"/>
        <v/>
      </c>
      <c r="XQ1508" s="42" t="str">
        <f ca="1"/>
        <v/>
      </c>
      <c r="XR1508" s="42" t="str">
        <f ca="1"/>
        <v/>
      </c>
      <c r="XS1508" s="42" t="str">
        <f ca="1"/>
        <v/>
      </c>
      <c r="XT1508" s="42" t="str">
        <f ca="1"/>
        <v/>
      </c>
      <c r="XU1508" s="42" t="str">
        <f ca="1"/>
        <v/>
      </c>
      <c r="XV1508" s="42" t="str">
        <f ca="1"/>
        <v/>
      </c>
      <c r="XW1508" s="42" t="str">
        <f ca="1"/>
        <v/>
      </c>
      <c r="XX1508" s="42" t="str">
        <f ca="1"/>
        <v/>
      </c>
      <c r="XY1508" s="42" t="str">
        <f ca="1"/>
        <v/>
      </c>
      <c r="XZ1508" s="42" t="str">
        <f ca="1"/>
        <v/>
      </c>
      <c r="YA1508" s="42" t="str">
        <f ca="1"/>
        <v/>
      </c>
      <c r="YB1508" s="42" t="str">
        <f ca="1"/>
        <v/>
      </c>
      <c r="YC1508" s="42" t="str">
        <f ca="1"/>
        <v/>
      </c>
      <c r="YD1508" s="42" t="str">
        <f ca="1"/>
        <v/>
      </c>
      <c r="YE1508" s="42" t="str">
        <f ca="1"/>
        <v/>
      </c>
      <c r="YF1508" s="42" t="str">
        <f ca="1"/>
        <v/>
      </c>
      <c r="YG1508" s="42" t="str">
        <f ca="1"/>
        <v/>
      </c>
      <c r="YH1508" s="42" t="str">
        <f ca="1"/>
        <v/>
      </c>
      <c r="YI1508" s="42" t="str">
        <f ca="1"/>
        <v/>
      </c>
      <c r="YJ1508" s="42" t="str">
        <f ca="1"/>
        <v/>
      </c>
      <c r="YK1508" s="42" t="str">
        <f ca="1"/>
        <v/>
      </c>
      <c r="YL1508" s="42" t="str">
        <f ca="1"/>
        <v/>
      </c>
      <c r="YM1508" s="42" t="str">
        <f ca="1"/>
        <v/>
      </c>
      <c r="YN1508" s="42" t="str">
        <f ca="1"/>
        <v/>
      </c>
      <c r="YO1508" s="42" t="str">
        <f ca="1"/>
        <v/>
      </c>
      <c r="YP1508" s="42" t="str">
        <f ca="1"/>
        <v/>
      </c>
      <c r="YQ1508" s="42" t="str">
        <f ca="1"/>
        <v/>
      </c>
      <c r="YR1508" s="42" t="str">
        <f ca="1"/>
        <v/>
      </c>
      <c r="YS1508" s="42" t="str">
        <f ca="1"/>
        <v/>
      </c>
      <c r="YT1508" s="42" t="str">
        <f ca="1"/>
        <v/>
      </c>
      <c r="YU1508" s="42" t="str">
        <f ca="1"/>
        <v/>
      </c>
      <c r="YV1508" s="42" t="str">
        <f ca="1"/>
        <v/>
      </c>
      <c r="YW1508" s="42" t="str">
        <f ca="1"/>
        <v/>
      </c>
      <c r="YX1508" s="42" t="str">
        <f ca="1"/>
        <v/>
      </c>
      <c r="YY1508" s="42" t="str">
        <f ca="1"/>
        <v/>
      </c>
      <c r="YZ1508" s="42" t="str">
        <f ca="1"/>
        <v/>
      </c>
      <c r="ZA1508" s="42" t="str">
        <f ca="1"/>
        <v/>
      </c>
      <c r="ZB1508" s="42" t="str">
        <f ca="1"/>
        <v/>
      </c>
      <c r="ZC1508" s="42" t="str">
        <f ca="1"/>
        <v/>
      </c>
      <c r="ZD1508" s="42" t="str">
        <f ca="1"/>
        <v/>
      </c>
      <c r="ZE1508" s="42" t="str">
        <f ca="1"/>
        <v/>
      </c>
      <c r="ZF1508" s="42" t="str">
        <f ca="1"/>
        <v/>
      </c>
      <c r="ZG1508" s="42" t="str">
        <f ca="1"/>
        <v/>
      </c>
      <c r="ZH1508" s="42" t="str">
        <f ca="1"/>
        <v/>
      </c>
      <c r="ZI1508" s="42" t="str">
        <f ca="1"/>
        <v/>
      </c>
      <c r="ZJ1508" s="42" t="str">
        <f ca="1"/>
        <v/>
      </c>
      <c r="ZK1508" s="42" t="str">
        <f ca="1"/>
        <v/>
      </c>
      <c r="ZL1508" s="42" t="str">
        <f ca="1"/>
        <v/>
      </c>
      <c r="ZM1508" s="42" t="str">
        <f ca="1"/>
        <v/>
      </c>
      <c r="ZN1508" s="42" t="str">
        <f ca="1"/>
        <v/>
      </c>
      <c r="ZO1508" s="42" t="str">
        <f ca="1"/>
        <v/>
      </c>
      <c r="ZP1508" s="42" t="str">
        <f ca="1"/>
        <v/>
      </c>
      <c r="ZQ1508" s="42" t="str">
        <f ca="1"/>
        <v/>
      </c>
      <c r="ZR1508" s="42" t="str">
        <f ca="1"/>
        <v/>
      </c>
      <c r="ZS1508" s="42" t="str">
        <f ca="1"/>
        <v/>
      </c>
      <c r="ZT1508" s="42" t="str">
        <f ca="1"/>
        <v/>
      </c>
      <c r="ZU1508" s="42" t="str">
        <f ca="1"/>
        <v/>
      </c>
      <c r="ZV1508" s="42" t="str">
        <f ca="1"/>
        <v/>
      </c>
      <c r="ZW1508" s="42" t="str">
        <f ca="1"/>
        <v/>
      </c>
      <c r="ZX1508" s="42" t="str">
        <f ca="1"/>
        <v/>
      </c>
      <c r="ZY1508" s="42" t="str">
        <f ca="1"/>
        <v/>
      </c>
      <c r="ZZ1508" s="42" t="str">
        <f ca="1"/>
        <v/>
      </c>
      <c r="AAA1508" s="42" t="str">
        <f ca="1"/>
        <v/>
      </c>
      <c r="AAB1508" s="42" t="str">
        <f ca="1"/>
        <v/>
      </c>
      <c r="AAC1508" s="42" t="str">
        <f ca="1"/>
        <v/>
      </c>
      <c r="AAD1508" s="42" t="str">
        <f ca="1"/>
        <v/>
      </c>
      <c r="AAE1508" s="42" t="str">
        <f ca="1"/>
        <v/>
      </c>
      <c r="AAF1508" s="42" t="str">
        <f ca="1"/>
        <v/>
      </c>
      <c r="AAG1508" s="42" t="str">
        <f ca="1"/>
        <v/>
      </c>
      <c r="AAH1508" s="42" t="str">
        <f ca="1"/>
        <v/>
      </c>
      <c r="AAI1508" s="42" t="str">
        <f ca="1"/>
        <v/>
      </c>
      <c r="AAJ1508" s="42" t="str">
        <f ca="1"/>
        <v/>
      </c>
      <c r="AAK1508" s="42" t="str">
        <f ca="1"/>
        <v/>
      </c>
      <c r="AAL1508" s="42" t="str">
        <f ca="1"/>
        <v/>
      </c>
      <c r="AAM1508" s="42" t="str">
        <f ca="1"/>
        <v/>
      </c>
      <c r="AAN1508" s="42" t="str">
        <f ca="1"/>
        <v/>
      </c>
      <c r="AAO1508" s="42" t="str">
        <f ca="1"/>
        <v/>
      </c>
      <c r="AAP1508" s="42" t="str">
        <f ca="1"/>
        <v/>
      </c>
      <c r="AAQ1508" s="42" t="str">
        <f ca="1"/>
        <v/>
      </c>
      <c r="AAR1508" s="42" t="str">
        <f ca="1"/>
        <v/>
      </c>
      <c r="AAS1508" s="42" t="str">
        <f ca="1"/>
        <v/>
      </c>
      <c r="AAT1508" s="42" t="str">
        <f ca="1"/>
        <v/>
      </c>
      <c r="AAU1508" s="42" t="str">
        <f ca="1"/>
        <v/>
      </c>
      <c r="AAV1508" s="42" t="str">
        <f ca="1"/>
        <v/>
      </c>
      <c r="AAW1508" s="42" t="str">
        <f ca="1"/>
        <v/>
      </c>
      <c r="AAX1508" s="42" t="str">
        <f ca="1"/>
        <v/>
      </c>
      <c r="AAY1508" s="42" t="str">
        <f ca="1"/>
        <v/>
      </c>
      <c r="AAZ1508" s="42" t="str">
        <f ca="1"/>
        <v/>
      </c>
      <c r="ABA1508" s="42" t="str">
        <f ca="1"/>
        <v/>
      </c>
      <c r="ABB1508" s="42" t="str">
        <f ca="1"/>
        <v/>
      </c>
      <c r="ABC1508" s="42" t="str">
        <f ca="1"/>
        <v/>
      </c>
      <c r="ABD1508" s="42" t="str">
        <f ca="1"/>
        <v/>
      </c>
      <c r="ABE1508" s="42" t="str">
        <f ca="1"/>
        <v/>
      </c>
      <c r="ABF1508" s="42" t="str">
        <f ca="1"/>
        <v/>
      </c>
      <c r="ABG1508" s="42" t="str">
        <f ca="1"/>
        <v/>
      </c>
      <c r="ABH1508" s="42" t="str">
        <f ca="1"/>
        <v/>
      </c>
      <c r="ABI1508" s="42" t="str">
        <f ca="1"/>
        <v/>
      </c>
      <c r="ABJ1508" s="42" t="str">
        <f ca="1"/>
        <v/>
      </c>
      <c r="ABK1508" s="42" t="str">
        <f ca="1"/>
        <v/>
      </c>
      <c r="ABL1508" s="42" t="str">
        <f ca="1"/>
        <v/>
      </c>
      <c r="ABM1508" s="42" t="str">
        <f ca="1"/>
        <v/>
      </c>
      <c r="ABN1508" s="42" t="str">
        <f ca="1"/>
        <v/>
      </c>
      <c r="ABO1508" s="42" t="str">
        <f ca="1"/>
        <v/>
      </c>
      <c r="ABP1508" s="42" t="str">
        <f ca="1"/>
        <v/>
      </c>
      <c r="ABQ1508" s="42" t="str">
        <f ca="1"/>
        <v/>
      </c>
      <c r="ABR1508" s="42" t="str">
        <f ca="1"/>
        <v/>
      </c>
      <c r="ABS1508" s="42" t="str">
        <f ca="1"/>
        <v/>
      </c>
      <c r="ABT1508" s="42" t="str">
        <f ca="1"/>
        <v/>
      </c>
      <c r="ABU1508" s="42" t="str">
        <f ca="1"/>
        <v/>
      </c>
      <c r="ABV1508" s="42" t="str">
        <f ca="1"/>
        <v/>
      </c>
      <c r="ABW1508" s="42" t="str">
        <f ca="1"/>
        <v/>
      </c>
      <c r="ABX1508" s="42" t="str">
        <f ca="1"/>
        <v/>
      </c>
      <c r="ABY1508" s="42" t="str">
        <f ca="1"/>
        <v/>
      </c>
      <c r="ABZ1508" s="42" t="str">
        <f ca="1"/>
        <v/>
      </c>
      <c r="ACA1508" s="42" t="str">
        <f ca="1"/>
        <v/>
      </c>
      <c r="ACB1508" s="42" t="str">
        <f ca="1"/>
        <v/>
      </c>
      <c r="ACC1508" s="42" t="str">
        <f ca="1"/>
        <v/>
      </c>
      <c r="ACD1508" s="42" t="str">
        <f ca="1"/>
        <v/>
      </c>
      <c r="ACE1508" s="42" t="str">
        <f ca="1"/>
        <v/>
      </c>
      <c r="ACF1508" s="42" t="str">
        <f ca="1"/>
        <v/>
      </c>
      <c r="ACG1508" s="42" t="str">
        <f ca="1"/>
        <v/>
      </c>
      <c r="ACH1508" s="42" t="str">
        <f ca="1"/>
        <v/>
      </c>
      <c r="ACI1508" s="42" t="str">
        <f ca="1"/>
        <v/>
      </c>
      <c r="ACJ1508" s="42" t="str">
        <f ca="1"/>
        <v/>
      </c>
      <c r="ACK1508" s="42" t="str">
        <f ca="1"/>
        <v/>
      </c>
      <c r="ACL1508" s="42" t="str">
        <f ca="1"/>
        <v/>
      </c>
      <c r="ACM1508" s="42" t="str">
        <f ca="1"/>
        <v/>
      </c>
      <c r="ACN1508" s="42" t="str">
        <f ca="1"/>
        <v/>
      </c>
      <c r="ACO1508" s="42" t="str">
        <f ca="1"/>
        <v/>
      </c>
      <c r="ACP1508" s="42" t="str">
        <f ca="1"/>
        <v/>
      </c>
      <c r="ACQ1508" s="42" t="str">
        <f ca="1"/>
        <v/>
      </c>
      <c r="ACR1508" s="42" t="str">
        <f ca="1"/>
        <v/>
      </c>
      <c r="ACS1508" s="42" t="str">
        <f ca="1"/>
        <v/>
      </c>
      <c r="ACT1508" s="42" t="str">
        <f ca="1"/>
        <v/>
      </c>
      <c r="ACU1508" s="42" t="str">
        <f ca="1"/>
        <v/>
      </c>
      <c r="ACV1508" s="42" t="str">
        <f ca="1"/>
        <v/>
      </c>
      <c r="ACW1508" s="42" t="str">
        <f ca="1"/>
        <v/>
      </c>
      <c r="ACX1508" s="42" t="str">
        <f ca="1"/>
        <v/>
      </c>
      <c r="ACY1508" s="42" t="str">
        <f ca="1"/>
        <v/>
      </c>
      <c r="ACZ1508" s="42" t="str">
        <f ca="1"/>
        <v/>
      </c>
      <c r="ADA1508" s="42" t="str">
        <f ca="1"/>
        <v/>
      </c>
      <c r="ADB1508" s="42" t="str">
        <f ca="1"/>
        <v/>
      </c>
      <c r="ADC1508" s="42" t="str">
        <f ca="1"/>
        <v/>
      </c>
      <c r="ADD1508" s="42" t="str">
        <f ca="1"/>
        <v/>
      </c>
      <c r="ADE1508" s="42" t="str">
        <f ca="1"/>
        <v/>
      </c>
      <c r="ADF1508" s="42" t="str">
        <f ca="1"/>
        <v/>
      </c>
      <c r="ADG1508" s="42" t="str">
        <f ca="1"/>
        <v/>
      </c>
      <c r="ADH1508" s="42" t="str">
        <f ca="1"/>
        <v/>
      </c>
      <c r="ADI1508" s="42" t="str">
        <f ca="1"/>
        <v/>
      </c>
      <c r="ADJ1508" s="42" t="str">
        <f ca="1"/>
        <v/>
      </c>
      <c r="ADK1508" s="42" t="str">
        <f ca="1"/>
        <v/>
      </c>
      <c r="ADL1508" s="42" t="str">
        <f ca="1"/>
        <v/>
      </c>
      <c r="ADM1508" s="42" t="str">
        <f ca="1"/>
        <v/>
      </c>
      <c r="ADN1508" s="42" t="str">
        <f ca="1"/>
        <v/>
      </c>
      <c r="ADO1508" s="42" t="str">
        <f ca="1"/>
        <v/>
      </c>
      <c r="ADP1508" s="42" t="str">
        <f ca="1"/>
        <v/>
      </c>
      <c r="ADQ1508" s="42" t="str">
        <f ca="1"/>
        <v/>
      </c>
      <c r="ADR1508" s="42" t="str">
        <f ca="1"/>
        <v/>
      </c>
      <c r="ADS1508" s="42" t="str">
        <f ca="1"/>
        <v/>
      </c>
      <c r="ADT1508" s="42" t="str">
        <f ca="1"/>
        <v/>
      </c>
      <c r="ADU1508" s="42" t="str">
        <f ca="1"/>
        <v/>
      </c>
      <c r="ADV1508" s="42" t="str">
        <f ca="1"/>
        <v/>
      </c>
      <c r="ADW1508" s="42" t="str">
        <f ca="1"/>
        <v/>
      </c>
      <c r="ADX1508" s="42" t="str">
        <f ca="1"/>
        <v/>
      </c>
      <c r="ADY1508" s="42" t="str">
        <f ca="1"/>
        <v/>
      </c>
      <c r="ADZ1508" s="42" t="str">
        <f ca="1"/>
        <v/>
      </c>
      <c r="AEA1508" s="42" t="str">
        <f ca="1"/>
        <v/>
      </c>
      <c r="AEB1508" s="42" t="str">
        <f ca="1"/>
        <v/>
      </c>
      <c r="AEC1508" s="42" t="str">
        <f ca="1"/>
        <v/>
      </c>
      <c r="AED1508" s="42" t="str">
        <f ca="1"/>
        <v/>
      </c>
      <c r="AEE1508" s="42" t="str">
        <f ca="1"/>
        <v/>
      </c>
      <c r="AEF1508" s="42" t="str">
        <f ca="1"/>
        <v/>
      </c>
      <c r="AEG1508" s="42" t="str">
        <f ca="1"/>
        <v/>
      </c>
      <c r="AEH1508" s="42" t="str">
        <f ca="1"/>
        <v/>
      </c>
      <c r="AEI1508" s="42" t="str">
        <f ca="1"/>
        <v/>
      </c>
      <c r="AEJ1508" s="42" t="str">
        <f ca="1"/>
        <v/>
      </c>
      <c r="AEK1508" s="42" t="str">
        <f ca="1"/>
        <v/>
      </c>
      <c r="AEL1508" s="42" t="str">
        <f ca="1"/>
        <v/>
      </c>
      <c r="AEM1508" s="42" t="str">
        <f ca="1"/>
        <v/>
      </c>
      <c r="AEN1508" s="42" t="str">
        <f ca="1"/>
        <v/>
      </c>
      <c r="AEO1508" s="42" t="str">
        <f ca="1"/>
        <v/>
      </c>
      <c r="AEP1508" s="42" t="str">
        <f ca="1"/>
        <v/>
      </c>
      <c r="AEQ1508" s="42" t="str">
        <f ca="1"/>
        <v/>
      </c>
      <c r="AER1508" s="42" t="str">
        <f ca="1"/>
        <v/>
      </c>
      <c r="AES1508" s="42" t="str">
        <f ca="1"/>
        <v/>
      </c>
      <c r="AET1508" s="42" t="str">
        <f ca="1"/>
        <v/>
      </c>
      <c r="AEU1508" s="42" t="str">
        <f ca="1"/>
        <v/>
      </c>
      <c r="AEV1508" s="42" t="str">
        <f ca="1"/>
        <v/>
      </c>
      <c r="AEW1508" s="42" t="str">
        <f ca="1"/>
        <v/>
      </c>
      <c r="AEX1508" s="42" t="str">
        <f ca="1"/>
        <v/>
      </c>
      <c r="AEY1508" s="42" t="str">
        <f ca="1"/>
        <v/>
      </c>
      <c r="AEZ1508" s="42" t="str">
        <f ca="1"/>
        <v/>
      </c>
      <c r="AFA1508" s="42" t="str">
        <f ca="1"/>
        <v/>
      </c>
      <c r="AFB1508" s="42" t="str">
        <f ca="1"/>
        <v/>
      </c>
      <c r="AFC1508" s="42" t="str">
        <f ca="1"/>
        <v/>
      </c>
      <c r="AFD1508" s="42" t="str">
        <f ca="1"/>
        <v/>
      </c>
      <c r="AFE1508" s="42" t="str">
        <f ca="1"/>
        <v/>
      </c>
      <c r="AFF1508" s="42" t="str">
        <f ca="1"/>
        <v/>
      </c>
      <c r="AFG1508" s="42" t="str">
        <f ca="1"/>
        <v/>
      </c>
      <c r="AFH1508" s="42" t="str">
        <f ca="1"/>
        <v/>
      </c>
      <c r="AFI1508" s="42" t="str">
        <f ca="1"/>
        <v/>
      </c>
      <c r="AFJ1508" s="42" t="str">
        <f ca="1"/>
        <v/>
      </c>
      <c r="AFK1508" s="42" t="str">
        <f ca="1"/>
        <v/>
      </c>
      <c r="AFL1508" s="42" t="str">
        <f ca="1"/>
        <v/>
      </c>
      <c r="AFM1508" s="42" t="str">
        <f ca="1"/>
        <v/>
      </c>
      <c r="AFN1508" s="42" t="str">
        <f ca="1"/>
        <v/>
      </c>
      <c r="AFO1508" s="42" t="str">
        <f ca="1"/>
        <v/>
      </c>
      <c r="AFP1508" s="42" t="str">
        <f ca="1"/>
        <v/>
      </c>
      <c r="AFQ1508" s="42" t="str">
        <f ca="1"/>
        <v/>
      </c>
      <c r="AFR1508" s="42" t="str">
        <f ca="1"/>
        <v/>
      </c>
      <c r="AFS1508" s="42" t="str">
        <f ca="1"/>
        <v/>
      </c>
      <c r="AFT1508" s="42" t="str">
        <f ca="1"/>
        <v/>
      </c>
      <c r="AFU1508" s="42" t="str">
        <f ca="1"/>
        <v/>
      </c>
      <c r="AFV1508" s="42" t="str">
        <f ca="1"/>
        <v/>
      </c>
      <c r="AFW1508" s="42" t="str">
        <f ca="1"/>
        <v/>
      </c>
      <c r="AFX1508" s="42" t="str">
        <f ca="1"/>
        <v/>
      </c>
      <c r="AFY1508" s="42" t="str">
        <f ca="1"/>
        <v/>
      </c>
      <c r="AFZ1508" s="42" t="str">
        <f ca="1"/>
        <v/>
      </c>
      <c r="AGA1508" s="42" t="str">
        <f ca="1"/>
        <v/>
      </c>
      <c r="AGB1508" s="42" t="str">
        <f ca="1"/>
        <v/>
      </c>
      <c r="AGC1508" s="42" t="str">
        <f ca="1"/>
        <v/>
      </c>
      <c r="AGD1508" s="42" t="str">
        <f ca="1"/>
        <v/>
      </c>
      <c r="AGE1508" s="42" t="str">
        <f ca="1"/>
        <v/>
      </c>
      <c r="AGF1508" s="42" t="str">
        <f ca="1"/>
        <v/>
      </c>
      <c r="AGG1508" s="42" t="str">
        <f ca="1"/>
        <v/>
      </c>
      <c r="AGH1508" s="42" t="str">
        <f ca="1"/>
        <v/>
      </c>
      <c r="AGI1508" s="42" t="str">
        <f ca="1"/>
        <v/>
      </c>
      <c r="AGJ1508" s="42" t="str">
        <f ca="1"/>
        <v/>
      </c>
      <c r="AGK1508" s="42" t="str">
        <f ca="1"/>
        <v/>
      </c>
      <c r="AGL1508" s="42" t="str">
        <f ca="1"/>
        <v/>
      </c>
      <c r="AGM1508" s="42" t="str">
        <f ca="1"/>
        <v/>
      </c>
      <c r="AGN1508" s="42" t="str">
        <f ca="1"/>
        <v/>
      </c>
    </row>
    <row r="1509" spans="15:872" x14ac:dyDescent="0.25">
      <c r="O1509" s="42">
        <v>19</v>
      </c>
      <c r="P1509" s="42" t="str">
        <f ca="1"/>
        <v/>
      </c>
      <c r="Q1509" s="42" t="str">
        <f ca="1"/>
        <v/>
      </c>
      <c r="R1509" s="42" t="str">
        <f ca="1"/>
        <v/>
      </c>
      <c r="S1509" s="42" t="str">
        <f ca="1"/>
        <v/>
      </c>
      <c r="T1509" s="42" t="str">
        <f ca="1"/>
        <v/>
      </c>
      <c r="U1509" s="42" t="str">
        <f ca="1"/>
        <v/>
      </c>
      <c r="V1509" s="42" t="str">
        <f ca="1"/>
        <v/>
      </c>
      <c r="W1509" s="42" t="str">
        <f ca="1"/>
        <v/>
      </c>
      <c r="X1509" s="42" t="str">
        <f ca="1"/>
        <v/>
      </c>
      <c r="Y1509" s="42" t="str">
        <f ca="1"/>
        <v/>
      </c>
      <c r="Z1509" s="42" t="str">
        <f ca="1"/>
        <v/>
      </c>
      <c r="AA1509" s="42" t="str">
        <f ca="1"/>
        <v/>
      </c>
      <c r="AB1509" s="42" t="str">
        <f ca="1"/>
        <v/>
      </c>
      <c r="AC1509" s="42" t="str">
        <f ca="1"/>
        <v/>
      </c>
      <c r="AD1509" s="42" t="str">
        <f ca="1"/>
        <v/>
      </c>
      <c r="AE1509" s="42" t="str">
        <f ca="1"/>
        <v/>
      </c>
      <c r="AF1509" s="42" t="str">
        <f ca="1"/>
        <v/>
      </c>
      <c r="AG1509" s="42" t="str">
        <f ca="1"/>
        <v/>
      </c>
      <c r="AH1509" s="42" t="str">
        <f ca="1"/>
        <v/>
      </c>
      <c r="AI1509" s="42" t="str">
        <f ca="1"/>
        <v/>
      </c>
      <c r="AJ1509" s="42" t="str">
        <f ca="1"/>
        <v/>
      </c>
      <c r="AK1509" s="42" t="str">
        <f ca="1"/>
        <v/>
      </c>
      <c r="AL1509" s="42" t="str">
        <f ca="1"/>
        <v/>
      </c>
      <c r="AM1509" s="42" t="str">
        <f ca="1"/>
        <v/>
      </c>
      <c r="AN1509" s="42" t="str">
        <f ca="1"/>
        <v/>
      </c>
      <c r="AO1509" s="42" t="str">
        <f ca="1"/>
        <v/>
      </c>
      <c r="AP1509" s="42" t="str">
        <f ca="1"/>
        <v/>
      </c>
      <c r="AQ1509" s="42" t="str">
        <f ca="1"/>
        <v/>
      </c>
      <c r="AR1509" s="42" t="str">
        <f ca="1"/>
        <v/>
      </c>
      <c r="AS1509" s="42" t="str">
        <f ca="1"/>
        <v/>
      </c>
      <c r="AT1509" s="42" t="str">
        <f ca="1"/>
        <v/>
      </c>
      <c r="AU1509" s="42" t="str">
        <f ca="1"/>
        <v/>
      </c>
      <c r="AV1509" s="42" t="str">
        <f ca="1"/>
        <v/>
      </c>
      <c r="AW1509" s="42" t="str">
        <f ca="1"/>
        <v/>
      </c>
      <c r="AX1509" s="42" t="str">
        <f ca="1"/>
        <v/>
      </c>
      <c r="AY1509" s="42" t="str">
        <f ca="1"/>
        <v/>
      </c>
      <c r="AZ1509" s="42" t="str">
        <f ca="1"/>
        <v/>
      </c>
      <c r="BA1509" s="42" t="str">
        <f ca="1"/>
        <v/>
      </c>
      <c r="BB1509" s="42" t="str">
        <f ca="1"/>
        <v/>
      </c>
      <c r="BC1509" s="42" t="str">
        <f ca="1"/>
        <v/>
      </c>
      <c r="BD1509" s="42" t="str">
        <f ca="1"/>
        <v/>
      </c>
      <c r="BE1509" s="42" t="str">
        <f ca="1"/>
        <v/>
      </c>
      <c r="BF1509" s="42" t="str">
        <f ca="1"/>
        <v/>
      </c>
      <c r="BG1509" s="42" t="str">
        <f ca="1"/>
        <v/>
      </c>
      <c r="BH1509" s="42" t="str">
        <f ca="1"/>
        <v/>
      </c>
      <c r="BI1509" s="42" t="str">
        <f ca="1"/>
        <v/>
      </c>
      <c r="BJ1509" s="42" t="str">
        <f ca="1"/>
        <v/>
      </c>
      <c r="BK1509" s="42" t="str">
        <f ca="1"/>
        <v/>
      </c>
      <c r="BL1509" s="42" t="str">
        <f ca="1"/>
        <v/>
      </c>
      <c r="BM1509" s="42" t="str">
        <f ca="1"/>
        <v/>
      </c>
      <c r="BN1509" s="42" t="str">
        <f ca="1"/>
        <v/>
      </c>
      <c r="BO1509" s="42" t="str">
        <f ca="1"/>
        <v/>
      </c>
      <c r="BP1509" s="42" t="str">
        <f ca="1"/>
        <v/>
      </c>
      <c r="BQ1509" s="42" t="str">
        <f ca="1"/>
        <v/>
      </c>
      <c r="BR1509" s="42" t="str">
        <f ca="1"/>
        <v/>
      </c>
      <c r="BS1509" s="42" t="str">
        <f ca="1"/>
        <v/>
      </c>
      <c r="BT1509" s="42" t="str">
        <f ca="1"/>
        <v/>
      </c>
      <c r="BU1509" s="42" t="str">
        <f ca="1"/>
        <v/>
      </c>
      <c r="BV1509" s="42" t="str">
        <f ca="1"/>
        <v/>
      </c>
      <c r="BW1509" s="42" t="str">
        <f ca="1"/>
        <v/>
      </c>
      <c r="BX1509" s="42" t="str">
        <f ca="1"/>
        <v/>
      </c>
      <c r="BY1509" s="42" t="str">
        <f ca="1"/>
        <v/>
      </c>
      <c r="BZ1509" s="42" t="str">
        <f ca="1"/>
        <v/>
      </c>
      <c r="CA1509" s="42" t="str">
        <f ca="1"/>
        <v/>
      </c>
      <c r="CB1509" s="42" t="str">
        <f ca="1"/>
        <v/>
      </c>
      <c r="CC1509" s="42" t="str">
        <f ca="1"/>
        <v/>
      </c>
      <c r="CD1509" s="42" t="str">
        <f ca="1"/>
        <v/>
      </c>
      <c r="CE1509" s="42" t="str">
        <f ca="1"/>
        <v/>
      </c>
      <c r="CF1509" s="42" t="str">
        <f ca="1"/>
        <v/>
      </c>
      <c r="CG1509" s="42" t="str">
        <f ca="1"/>
        <v/>
      </c>
      <c r="CH1509" s="42" t="str">
        <f ca="1"/>
        <v/>
      </c>
      <c r="CI1509" s="42" t="str">
        <f ca="1"/>
        <v/>
      </c>
      <c r="CJ1509" s="42" t="str">
        <f ca="1"/>
        <v/>
      </c>
      <c r="CK1509" s="42" t="str">
        <f ca="1"/>
        <v/>
      </c>
      <c r="CL1509" s="42" t="str">
        <f ca="1"/>
        <v/>
      </c>
      <c r="CM1509" s="42" t="str">
        <f ca="1"/>
        <v/>
      </c>
      <c r="CN1509" s="42" t="str">
        <f ca="1"/>
        <v/>
      </c>
      <c r="CO1509" s="42" t="str">
        <f ca="1"/>
        <v/>
      </c>
      <c r="CP1509" s="42" t="str">
        <f ca="1"/>
        <v/>
      </c>
      <c r="CQ1509" s="42" t="str">
        <f ca="1"/>
        <v/>
      </c>
      <c r="CR1509" s="42" t="str">
        <f ca="1"/>
        <v/>
      </c>
      <c r="CS1509" s="42" t="str">
        <f ca="1"/>
        <v/>
      </c>
      <c r="CT1509" s="42" t="str">
        <f ca="1"/>
        <v/>
      </c>
      <c r="CU1509" s="42" t="str">
        <f ca="1"/>
        <v/>
      </c>
      <c r="CV1509" s="42" t="str">
        <f ca="1"/>
        <v/>
      </c>
      <c r="CW1509" s="42" t="str">
        <f ca="1"/>
        <v/>
      </c>
      <c r="CX1509" s="42" t="str">
        <f ca="1"/>
        <v/>
      </c>
      <c r="CY1509" s="42" t="str">
        <f ca="1"/>
        <v/>
      </c>
      <c r="CZ1509" s="42" t="str">
        <f ca="1"/>
        <v/>
      </c>
      <c r="DA1509" s="42" t="str">
        <f ca="1"/>
        <v/>
      </c>
      <c r="DB1509" s="42" t="str">
        <f ca="1"/>
        <v/>
      </c>
      <c r="DC1509" s="42" t="str">
        <f ca="1"/>
        <v/>
      </c>
      <c r="DD1509" s="42" t="str">
        <f ca="1"/>
        <v/>
      </c>
      <c r="DE1509" s="42" t="str">
        <f ca="1"/>
        <v/>
      </c>
      <c r="DF1509" s="42" t="str">
        <f ca="1"/>
        <v/>
      </c>
      <c r="DG1509" s="42" t="str">
        <f ca="1"/>
        <v/>
      </c>
      <c r="DH1509" s="42" t="str">
        <f ca="1"/>
        <v/>
      </c>
      <c r="DI1509" s="42" t="str">
        <f ca="1"/>
        <v/>
      </c>
      <c r="DJ1509" s="42" t="str">
        <f ca="1"/>
        <v/>
      </c>
      <c r="DK1509" s="42" t="str">
        <f ca="1"/>
        <v/>
      </c>
      <c r="DL1509" s="42" t="str">
        <f ca="1"/>
        <v/>
      </c>
      <c r="DM1509" s="42" t="str">
        <f ca="1"/>
        <v/>
      </c>
      <c r="DN1509" s="42" t="str">
        <f ca="1"/>
        <v/>
      </c>
      <c r="DO1509" s="42" t="str">
        <f ca="1"/>
        <v/>
      </c>
      <c r="DP1509" s="42" t="str">
        <f ca="1"/>
        <v/>
      </c>
      <c r="DQ1509" s="42" t="str">
        <f ca="1"/>
        <v/>
      </c>
      <c r="DR1509" s="42" t="str">
        <f ca="1"/>
        <v/>
      </c>
      <c r="DS1509" s="42" t="str">
        <f ca="1"/>
        <v/>
      </c>
      <c r="DT1509" s="42" t="str">
        <f ca="1"/>
        <v/>
      </c>
      <c r="DU1509" s="42" t="str">
        <f ca="1"/>
        <v/>
      </c>
      <c r="DV1509" s="42" t="str">
        <f ca="1"/>
        <v/>
      </c>
      <c r="DW1509" s="42" t="str">
        <f ca="1"/>
        <v/>
      </c>
      <c r="DX1509" s="42" t="str">
        <f ca="1"/>
        <v/>
      </c>
      <c r="DY1509" s="42" t="str">
        <f ca="1"/>
        <v/>
      </c>
      <c r="DZ1509" s="42" t="str">
        <f ca="1"/>
        <v/>
      </c>
      <c r="EA1509" s="42" t="str">
        <f ca="1"/>
        <v/>
      </c>
      <c r="EB1509" s="42" t="str">
        <f ca="1"/>
        <v/>
      </c>
      <c r="EC1509" s="42" t="str">
        <f ca="1"/>
        <v/>
      </c>
      <c r="ED1509" s="42" t="str">
        <f ca="1"/>
        <v/>
      </c>
      <c r="EE1509" s="42" t="str">
        <f ca="1"/>
        <v/>
      </c>
      <c r="EF1509" s="42" t="str">
        <f ca="1"/>
        <v/>
      </c>
      <c r="EG1509" s="42" t="str">
        <f ca="1"/>
        <v/>
      </c>
      <c r="EH1509" s="42" t="str">
        <f ca="1"/>
        <v/>
      </c>
      <c r="EI1509" s="42" t="str">
        <f ca="1"/>
        <v/>
      </c>
      <c r="EJ1509" s="42" t="str">
        <f ca="1"/>
        <v/>
      </c>
      <c r="EK1509" s="42" t="str">
        <f ca="1"/>
        <v/>
      </c>
      <c r="EL1509" s="42" t="str">
        <f ca="1"/>
        <v/>
      </c>
      <c r="EM1509" s="42" t="str">
        <f ca="1"/>
        <v/>
      </c>
      <c r="EN1509" s="42" t="str">
        <f ca="1"/>
        <v/>
      </c>
      <c r="EO1509" s="42" t="str">
        <f ca="1"/>
        <v/>
      </c>
      <c r="EP1509" s="42" t="str">
        <f ca="1"/>
        <v/>
      </c>
      <c r="EQ1509" s="42" t="str">
        <f ca="1"/>
        <v/>
      </c>
      <c r="ER1509" s="42" t="str">
        <f ca="1"/>
        <v/>
      </c>
      <c r="ES1509" s="42" t="str">
        <f ca="1"/>
        <v/>
      </c>
      <c r="ET1509" s="42" t="str">
        <f ca="1"/>
        <v/>
      </c>
      <c r="EU1509" s="42" t="str">
        <f ca="1"/>
        <v/>
      </c>
      <c r="EV1509" s="42" t="str">
        <f ca="1"/>
        <v/>
      </c>
      <c r="EW1509" s="42" t="str">
        <f ca="1"/>
        <v/>
      </c>
      <c r="EX1509" s="42" t="str">
        <f ca="1"/>
        <v/>
      </c>
      <c r="EY1509" s="42" t="str">
        <f ca="1"/>
        <v/>
      </c>
      <c r="EZ1509" s="42" t="str">
        <f ca="1"/>
        <v/>
      </c>
      <c r="FA1509" s="42" t="str">
        <f ca="1"/>
        <v/>
      </c>
      <c r="FB1509" s="42" t="str">
        <f ca="1"/>
        <v/>
      </c>
      <c r="FC1509" s="42" t="str">
        <f ca="1"/>
        <v/>
      </c>
      <c r="FD1509" s="42" t="str">
        <f ca="1"/>
        <v/>
      </c>
      <c r="FE1509" s="42" t="str">
        <f ca="1"/>
        <v/>
      </c>
      <c r="FF1509" s="42" t="str">
        <f ca="1"/>
        <v/>
      </c>
      <c r="FG1509" s="42" t="str">
        <f ca="1"/>
        <v/>
      </c>
      <c r="FH1509" s="42" t="str">
        <f ca="1"/>
        <v/>
      </c>
      <c r="FI1509" s="42" t="str">
        <f ca="1"/>
        <v/>
      </c>
      <c r="FJ1509" s="42" t="str">
        <f ca="1"/>
        <v/>
      </c>
      <c r="FK1509" s="42" t="str">
        <f ca="1"/>
        <v/>
      </c>
      <c r="FL1509" s="42" t="str">
        <f ca="1"/>
        <v/>
      </c>
      <c r="FM1509" s="42" t="str">
        <f ca="1"/>
        <v/>
      </c>
      <c r="FN1509" s="42" t="str">
        <f ca="1"/>
        <v/>
      </c>
      <c r="FO1509" s="42" t="str">
        <f ca="1"/>
        <v/>
      </c>
      <c r="FP1509" s="42" t="str">
        <f ca="1"/>
        <v/>
      </c>
      <c r="FQ1509" s="42" t="str">
        <f ca="1"/>
        <v/>
      </c>
      <c r="FR1509" s="42" t="str">
        <f ca="1"/>
        <v/>
      </c>
      <c r="FS1509" s="42" t="str">
        <f ca="1"/>
        <v/>
      </c>
      <c r="FT1509" s="42" t="str">
        <f ca="1"/>
        <v/>
      </c>
      <c r="FU1509" s="42" t="str">
        <f ca="1"/>
        <v/>
      </c>
      <c r="FV1509" s="42" t="str">
        <f ca="1"/>
        <v/>
      </c>
      <c r="FW1509" s="42" t="str">
        <f ca="1"/>
        <v/>
      </c>
      <c r="FX1509" s="42" t="str">
        <f ca="1"/>
        <v/>
      </c>
      <c r="FY1509" s="42" t="str">
        <f ca="1"/>
        <v/>
      </c>
      <c r="FZ1509" s="42" t="str">
        <f ca="1"/>
        <v/>
      </c>
      <c r="GA1509" s="42" t="str">
        <f ca="1"/>
        <v/>
      </c>
      <c r="GB1509" s="42" t="str">
        <f ca="1"/>
        <v/>
      </c>
      <c r="GC1509" s="42" t="str">
        <f ca="1"/>
        <v/>
      </c>
      <c r="GD1509" s="42" t="str">
        <f ca="1"/>
        <v/>
      </c>
      <c r="GE1509" s="42" t="str">
        <f ca="1"/>
        <v/>
      </c>
      <c r="GF1509" s="42" t="str">
        <f ca="1"/>
        <v/>
      </c>
      <c r="GG1509" s="42" t="str">
        <f ca="1"/>
        <v/>
      </c>
      <c r="GH1509" s="42" t="str">
        <f ca="1"/>
        <v/>
      </c>
      <c r="GI1509" s="42" t="str">
        <f ca="1"/>
        <v/>
      </c>
      <c r="GJ1509" s="42" t="str">
        <f ca="1"/>
        <v/>
      </c>
      <c r="GK1509" s="42" t="str">
        <f ca="1"/>
        <v/>
      </c>
      <c r="GL1509" s="42" t="str">
        <f ca="1"/>
        <v/>
      </c>
      <c r="GM1509" s="42" t="str">
        <f ca="1"/>
        <v/>
      </c>
      <c r="GN1509" s="42" t="str">
        <f ca="1"/>
        <v/>
      </c>
      <c r="GO1509" s="42" t="str">
        <f ca="1"/>
        <v/>
      </c>
      <c r="GP1509" s="42" t="str">
        <f ca="1"/>
        <v/>
      </c>
      <c r="GQ1509" s="42" t="str">
        <f ca="1"/>
        <v/>
      </c>
      <c r="GR1509" s="42" t="str">
        <f ca="1"/>
        <v/>
      </c>
      <c r="GS1509" s="42" t="str">
        <f ca="1"/>
        <v/>
      </c>
      <c r="GT1509" s="42" t="str">
        <f ca="1"/>
        <v/>
      </c>
      <c r="GU1509" s="42" t="str">
        <f ca="1"/>
        <v/>
      </c>
      <c r="GV1509" s="42" t="str">
        <f ca="1"/>
        <v/>
      </c>
      <c r="GW1509" s="42" t="str">
        <f ca="1"/>
        <v/>
      </c>
      <c r="GX1509" s="42" t="str">
        <f ca="1"/>
        <v/>
      </c>
      <c r="GY1509" s="42" t="str">
        <f ca="1"/>
        <v/>
      </c>
      <c r="GZ1509" s="42" t="str">
        <f ca="1"/>
        <v/>
      </c>
      <c r="HA1509" s="42" t="str">
        <f ca="1"/>
        <v/>
      </c>
      <c r="HB1509" s="42" t="str">
        <f ca="1"/>
        <v/>
      </c>
      <c r="HC1509" s="42" t="str">
        <f ca="1"/>
        <v/>
      </c>
      <c r="HD1509" s="42" t="str">
        <f ca="1"/>
        <v/>
      </c>
      <c r="HE1509" s="42" t="str">
        <f ca="1"/>
        <v/>
      </c>
      <c r="HF1509" s="42" t="str">
        <f ca="1"/>
        <v/>
      </c>
      <c r="HG1509" s="42" t="str">
        <f ca="1"/>
        <v/>
      </c>
      <c r="HH1509" s="42" t="str">
        <f ca="1"/>
        <v/>
      </c>
      <c r="HI1509" s="42" t="str">
        <f ca="1"/>
        <v/>
      </c>
      <c r="HJ1509" s="42" t="str">
        <f ca="1"/>
        <v/>
      </c>
      <c r="HK1509" s="42" t="str">
        <f ca="1"/>
        <v/>
      </c>
      <c r="HL1509" s="42" t="str">
        <f ca="1"/>
        <v/>
      </c>
      <c r="HM1509" s="42" t="str">
        <f ca="1"/>
        <v/>
      </c>
      <c r="HN1509" s="42" t="str">
        <f ca="1"/>
        <v/>
      </c>
      <c r="HO1509" s="42" t="str">
        <f ca="1"/>
        <v/>
      </c>
      <c r="HP1509" s="42" t="str">
        <f ca="1"/>
        <v/>
      </c>
      <c r="HQ1509" s="42" t="str">
        <f ca="1"/>
        <v/>
      </c>
      <c r="HR1509" s="42" t="str">
        <f ca="1"/>
        <v/>
      </c>
      <c r="HS1509" s="42" t="str">
        <f ca="1"/>
        <v/>
      </c>
      <c r="HT1509" s="42" t="str">
        <f ca="1"/>
        <v/>
      </c>
      <c r="HU1509" s="42" t="str">
        <f ca="1"/>
        <v/>
      </c>
      <c r="HV1509" s="42" t="str">
        <f ca="1"/>
        <v/>
      </c>
      <c r="HW1509" s="42" t="str">
        <f ca="1"/>
        <v/>
      </c>
      <c r="HX1509" s="42" t="str">
        <f ca="1"/>
        <v/>
      </c>
      <c r="HY1509" s="42" t="str">
        <f ca="1"/>
        <v/>
      </c>
      <c r="HZ1509" s="42" t="str">
        <f ca="1"/>
        <v/>
      </c>
      <c r="IA1509" s="42" t="str">
        <f ca="1"/>
        <v/>
      </c>
      <c r="IB1509" s="42" t="str">
        <f ca="1"/>
        <v/>
      </c>
      <c r="IC1509" s="42" t="str">
        <f ca="1"/>
        <v/>
      </c>
      <c r="ID1509" s="42" t="str">
        <f ca="1"/>
        <v/>
      </c>
      <c r="IE1509" s="42" t="str">
        <f ca="1"/>
        <v/>
      </c>
      <c r="IF1509" s="42" t="str">
        <f ca="1"/>
        <v/>
      </c>
      <c r="IG1509" s="42" t="str">
        <f ca="1"/>
        <v/>
      </c>
      <c r="IH1509" s="42" t="str">
        <f ca="1"/>
        <v/>
      </c>
      <c r="II1509" s="42" t="str">
        <f ca="1"/>
        <v/>
      </c>
      <c r="IJ1509" s="42" t="str">
        <f ca="1"/>
        <v/>
      </c>
      <c r="IK1509" s="42" t="str">
        <f ca="1"/>
        <v/>
      </c>
      <c r="IL1509" s="42" t="str">
        <f ca="1"/>
        <v/>
      </c>
      <c r="IM1509" s="42" t="str">
        <f ca="1"/>
        <v/>
      </c>
      <c r="IN1509" s="42" t="str">
        <f ca="1"/>
        <v/>
      </c>
      <c r="IO1509" s="42" t="str">
        <f ca="1"/>
        <v/>
      </c>
      <c r="IP1509" s="42" t="str">
        <f ca="1"/>
        <v/>
      </c>
      <c r="IQ1509" s="42" t="str">
        <f ca="1"/>
        <v/>
      </c>
      <c r="IR1509" s="42" t="str">
        <f ca="1"/>
        <v/>
      </c>
      <c r="IS1509" s="42" t="str">
        <f ca="1"/>
        <v/>
      </c>
      <c r="IT1509" s="42" t="str">
        <f ca="1"/>
        <v/>
      </c>
      <c r="IU1509" s="42" t="str">
        <f ca="1"/>
        <v/>
      </c>
      <c r="IV1509" s="42" t="str">
        <f ca="1"/>
        <v/>
      </c>
      <c r="IW1509" s="42" t="str">
        <f ca="1"/>
        <v/>
      </c>
      <c r="IX1509" s="42" t="str">
        <f ca="1"/>
        <v/>
      </c>
      <c r="IY1509" s="42" t="str">
        <f ca="1"/>
        <v/>
      </c>
      <c r="IZ1509" s="42" t="str">
        <f ca="1"/>
        <v/>
      </c>
      <c r="JA1509" s="42" t="str">
        <f ca="1"/>
        <v/>
      </c>
      <c r="JB1509" s="42" t="str">
        <f ca="1"/>
        <v/>
      </c>
      <c r="JC1509" s="42" t="str">
        <f ca="1"/>
        <v/>
      </c>
      <c r="JD1509" s="42" t="str">
        <f ca="1"/>
        <v/>
      </c>
      <c r="JE1509" s="42" t="str">
        <f ca="1"/>
        <v/>
      </c>
      <c r="JF1509" s="42" t="str">
        <f ca="1"/>
        <v/>
      </c>
      <c r="JG1509" s="42" t="str">
        <f ca="1"/>
        <v/>
      </c>
      <c r="JH1509" s="42" t="str">
        <f ca="1"/>
        <v/>
      </c>
      <c r="JI1509" s="42" t="str">
        <f ca="1"/>
        <v/>
      </c>
      <c r="JJ1509" s="42" t="str">
        <f ca="1"/>
        <v/>
      </c>
      <c r="JK1509" s="42" t="str">
        <f ca="1"/>
        <v/>
      </c>
      <c r="JL1509" s="42" t="str">
        <f ca="1"/>
        <v/>
      </c>
      <c r="JM1509" s="42" t="str">
        <f ca="1"/>
        <v/>
      </c>
      <c r="JN1509" s="42" t="str">
        <f ca="1"/>
        <v/>
      </c>
      <c r="JO1509" s="42" t="str">
        <f ca="1"/>
        <v/>
      </c>
      <c r="JP1509" s="42" t="str">
        <f ca="1"/>
        <v/>
      </c>
      <c r="JQ1509" s="42" t="str">
        <f ca="1"/>
        <v/>
      </c>
      <c r="JR1509" s="42" t="str">
        <f ca="1"/>
        <v/>
      </c>
      <c r="JS1509" s="42" t="str">
        <f ca="1"/>
        <v/>
      </c>
      <c r="JT1509" s="42" t="str">
        <f ca="1"/>
        <v/>
      </c>
      <c r="JU1509" s="42" t="str">
        <f ca="1"/>
        <v/>
      </c>
      <c r="JV1509" s="42" t="str">
        <f ca="1"/>
        <v/>
      </c>
      <c r="JW1509" s="42" t="str">
        <f ca="1"/>
        <v/>
      </c>
      <c r="JX1509" s="42" t="str">
        <f ca="1"/>
        <v/>
      </c>
      <c r="JY1509" s="42" t="str">
        <f ca="1"/>
        <v/>
      </c>
      <c r="JZ1509" s="42" t="str">
        <f ca="1"/>
        <v/>
      </c>
      <c r="KA1509" s="42" t="str">
        <f ca="1"/>
        <v/>
      </c>
      <c r="KB1509" s="42" t="str">
        <f ca="1"/>
        <v/>
      </c>
      <c r="KC1509" s="42" t="str">
        <f ca="1"/>
        <v/>
      </c>
      <c r="KD1509" s="42" t="str">
        <f ca="1"/>
        <v/>
      </c>
      <c r="KE1509" s="42" t="str">
        <f ca="1"/>
        <v/>
      </c>
      <c r="KF1509" s="42" t="str">
        <f ca="1"/>
        <v/>
      </c>
      <c r="KG1509" s="42" t="str">
        <f ca="1"/>
        <v/>
      </c>
      <c r="KH1509" s="42" t="str">
        <f ca="1"/>
        <v/>
      </c>
      <c r="KI1509" s="42" t="str">
        <f ca="1"/>
        <v/>
      </c>
      <c r="KJ1509" s="42" t="str">
        <f ca="1"/>
        <v/>
      </c>
      <c r="KK1509" s="42" t="str">
        <f ca="1"/>
        <v/>
      </c>
      <c r="KL1509" s="42" t="str">
        <f ca="1"/>
        <v/>
      </c>
      <c r="KM1509" s="42" t="str">
        <f ca="1"/>
        <v/>
      </c>
      <c r="KN1509" s="42" t="str">
        <f ca="1"/>
        <v/>
      </c>
      <c r="KO1509" s="42" t="str">
        <f ca="1"/>
        <v/>
      </c>
      <c r="KP1509" s="42" t="str">
        <f ca="1"/>
        <v/>
      </c>
      <c r="KQ1509" s="42" t="str">
        <f ca="1"/>
        <v/>
      </c>
      <c r="KR1509" s="42" t="str">
        <f ca="1"/>
        <v/>
      </c>
      <c r="KS1509" s="42" t="str">
        <f ca="1"/>
        <v/>
      </c>
      <c r="KT1509" s="42" t="str">
        <f ca="1"/>
        <v/>
      </c>
      <c r="KU1509" s="42" t="str">
        <f ca="1"/>
        <v/>
      </c>
      <c r="KV1509" s="42" t="str">
        <f ca="1"/>
        <v/>
      </c>
      <c r="KW1509" s="42" t="str">
        <f ca="1"/>
        <v/>
      </c>
      <c r="KX1509" s="42" t="str">
        <f ca="1"/>
        <v/>
      </c>
      <c r="KY1509" s="42" t="str">
        <f ca="1"/>
        <v/>
      </c>
      <c r="KZ1509" s="42" t="str">
        <f ca="1"/>
        <v/>
      </c>
      <c r="LA1509" s="42" t="str">
        <f ca="1"/>
        <v/>
      </c>
      <c r="LB1509" s="42" t="str">
        <f ca="1"/>
        <v/>
      </c>
      <c r="LC1509" s="42" t="str">
        <f ca="1"/>
        <v/>
      </c>
      <c r="LD1509" s="42" t="str">
        <f ca="1"/>
        <v/>
      </c>
      <c r="LE1509" s="42" t="str">
        <f ca="1"/>
        <v/>
      </c>
      <c r="LF1509" s="42" t="str">
        <f ca="1"/>
        <v/>
      </c>
      <c r="LG1509" s="42" t="str">
        <f ca="1"/>
        <v/>
      </c>
      <c r="LH1509" s="42" t="str">
        <f ca="1"/>
        <v/>
      </c>
      <c r="LI1509" s="42" t="str">
        <f ca="1"/>
        <v/>
      </c>
      <c r="LJ1509" s="42" t="str">
        <f ca="1"/>
        <v/>
      </c>
      <c r="LK1509" s="42" t="str">
        <f ca="1"/>
        <v/>
      </c>
      <c r="LL1509" s="42" t="str">
        <f ca="1"/>
        <v/>
      </c>
      <c r="LM1509" s="42" t="str">
        <f ca="1"/>
        <v/>
      </c>
      <c r="LN1509" s="42" t="str">
        <f ca="1"/>
        <v/>
      </c>
      <c r="LO1509" s="42" t="str">
        <f ca="1"/>
        <v/>
      </c>
      <c r="LP1509" s="42" t="str">
        <f ca="1"/>
        <v/>
      </c>
      <c r="LQ1509" s="42" t="str">
        <f ca="1"/>
        <v/>
      </c>
      <c r="LR1509" s="42" t="str">
        <f ca="1"/>
        <v/>
      </c>
      <c r="LS1509" s="42" t="str">
        <f ca="1"/>
        <v/>
      </c>
      <c r="LT1509" s="42" t="str">
        <f ca="1"/>
        <v/>
      </c>
      <c r="LU1509" s="42" t="str">
        <f ca="1"/>
        <v/>
      </c>
      <c r="LV1509" s="42" t="str">
        <f ca="1"/>
        <v/>
      </c>
      <c r="LW1509" s="42" t="str">
        <f ca="1"/>
        <v/>
      </c>
      <c r="LX1509" s="42" t="str">
        <f ca="1"/>
        <v/>
      </c>
      <c r="LY1509" s="42" t="str">
        <f ca="1"/>
        <v/>
      </c>
      <c r="LZ1509" s="42" t="str">
        <f ca="1"/>
        <v/>
      </c>
      <c r="MA1509" s="42" t="str">
        <f ca="1"/>
        <v/>
      </c>
      <c r="MB1509" s="42" t="str">
        <f ca="1"/>
        <v/>
      </c>
      <c r="MC1509" s="42" t="str">
        <f ca="1"/>
        <v/>
      </c>
      <c r="MD1509" s="42" t="str">
        <f ca="1"/>
        <v/>
      </c>
      <c r="ME1509" s="42" t="str">
        <f ca="1"/>
        <v/>
      </c>
      <c r="MF1509" s="42" t="str">
        <f ca="1"/>
        <v/>
      </c>
      <c r="MG1509" s="42" t="str">
        <f ca="1"/>
        <v/>
      </c>
      <c r="MH1509" s="42" t="str">
        <f ca="1"/>
        <v/>
      </c>
      <c r="MI1509" s="42" t="str">
        <f ca="1"/>
        <v/>
      </c>
      <c r="MJ1509" s="42" t="str">
        <f ca="1"/>
        <v/>
      </c>
      <c r="MK1509" s="42" t="str">
        <f ca="1"/>
        <v/>
      </c>
      <c r="ML1509" s="42" t="str">
        <f ca="1"/>
        <v/>
      </c>
      <c r="MM1509" s="42" t="str">
        <f ca="1"/>
        <v/>
      </c>
      <c r="MN1509" s="42" t="str">
        <f ca="1"/>
        <v/>
      </c>
      <c r="MO1509" s="42" t="str">
        <f ca="1"/>
        <v/>
      </c>
      <c r="MP1509" s="42" t="str">
        <f ca="1"/>
        <v/>
      </c>
      <c r="MQ1509" s="42" t="str">
        <f ca="1"/>
        <v/>
      </c>
      <c r="MR1509" s="42" t="str">
        <f ca="1"/>
        <v/>
      </c>
      <c r="MS1509" s="42" t="str">
        <f ca="1"/>
        <v/>
      </c>
      <c r="MT1509" s="42" t="str">
        <f ca="1"/>
        <v/>
      </c>
      <c r="MU1509" s="42" t="str">
        <f ca="1"/>
        <v/>
      </c>
      <c r="MV1509" s="42" t="str">
        <f ca="1"/>
        <v/>
      </c>
      <c r="MW1509" s="42" t="str">
        <f ca="1"/>
        <v/>
      </c>
      <c r="MX1509" s="42" t="str">
        <f ca="1"/>
        <v/>
      </c>
      <c r="MY1509" s="42" t="str">
        <f ca="1"/>
        <v/>
      </c>
      <c r="MZ1509" s="42" t="str">
        <f ca="1"/>
        <v/>
      </c>
      <c r="NA1509" s="42" t="str">
        <f ca="1"/>
        <v/>
      </c>
      <c r="NB1509" s="42" t="str">
        <f ca="1"/>
        <v/>
      </c>
      <c r="NC1509" s="42" t="str">
        <f ca="1"/>
        <v/>
      </c>
      <c r="ND1509" s="42" t="str">
        <f ca="1"/>
        <v/>
      </c>
      <c r="NE1509" s="42" t="str">
        <f ca="1"/>
        <v/>
      </c>
      <c r="NF1509" s="42" t="str">
        <f ca="1"/>
        <v/>
      </c>
      <c r="NG1509" s="42" t="str">
        <f ca="1"/>
        <v/>
      </c>
      <c r="NH1509" s="42" t="str">
        <f ca="1"/>
        <v/>
      </c>
      <c r="NI1509" s="42" t="str">
        <f ca="1"/>
        <v/>
      </c>
      <c r="NJ1509" s="42" t="str">
        <f ca="1"/>
        <v/>
      </c>
      <c r="NK1509" s="42" t="str">
        <f ca="1"/>
        <v/>
      </c>
      <c r="NL1509" s="42" t="str">
        <f ca="1"/>
        <v/>
      </c>
      <c r="NM1509" s="42" t="str">
        <f ca="1"/>
        <v/>
      </c>
      <c r="NN1509" s="42" t="str">
        <f ca="1"/>
        <v/>
      </c>
      <c r="NO1509" s="42" t="str">
        <f ca="1"/>
        <v/>
      </c>
      <c r="NP1509" s="42" t="str">
        <f ca="1"/>
        <v/>
      </c>
      <c r="NQ1509" s="42" t="str">
        <f ca="1"/>
        <v/>
      </c>
      <c r="NR1509" s="42" t="str">
        <f ca="1"/>
        <v/>
      </c>
      <c r="NS1509" s="42" t="str">
        <f ca="1"/>
        <v/>
      </c>
      <c r="NT1509" s="42" t="str">
        <f ca="1"/>
        <v/>
      </c>
      <c r="NU1509" s="42" t="str">
        <f ca="1"/>
        <v/>
      </c>
      <c r="NV1509" s="42" t="str">
        <f ca="1"/>
        <v/>
      </c>
      <c r="NW1509" s="42" t="str">
        <f ca="1"/>
        <v/>
      </c>
      <c r="NX1509" s="42" t="str">
        <f ca="1"/>
        <v/>
      </c>
      <c r="NY1509" s="42" t="str">
        <f ca="1"/>
        <v/>
      </c>
      <c r="NZ1509" s="42" t="str">
        <f ca="1"/>
        <v/>
      </c>
      <c r="OA1509" s="42" t="str">
        <f ca="1"/>
        <v/>
      </c>
      <c r="OB1509" s="42" t="str">
        <f ca="1"/>
        <v/>
      </c>
      <c r="OC1509" s="42" t="str">
        <f ca="1"/>
        <v/>
      </c>
      <c r="OD1509" s="42" t="str">
        <f ca="1"/>
        <v/>
      </c>
      <c r="OE1509" s="42" t="str">
        <f ca="1"/>
        <v/>
      </c>
      <c r="OF1509" s="42" t="str">
        <f ca="1"/>
        <v/>
      </c>
      <c r="OG1509" s="42" t="str">
        <f ca="1"/>
        <v/>
      </c>
      <c r="OH1509" s="42" t="str">
        <f ca="1"/>
        <v/>
      </c>
      <c r="OI1509" s="42" t="str">
        <f ca="1"/>
        <v/>
      </c>
      <c r="OJ1509" s="42" t="str">
        <f ca="1"/>
        <v/>
      </c>
      <c r="OK1509" s="42" t="str">
        <f ca="1"/>
        <v/>
      </c>
      <c r="OL1509" s="42" t="str">
        <f ca="1"/>
        <v/>
      </c>
      <c r="OM1509" s="42" t="str">
        <f ca="1"/>
        <v/>
      </c>
      <c r="ON1509" s="42" t="str">
        <f ca="1"/>
        <v/>
      </c>
      <c r="OO1509" s="42" t="str">
        <f ca="1"/>
        <v/>
      </c>
      <c r="OP1509" s="42" t="str">
        <f ca="1"/>
        <v/>
      </c>
      <c r="OQ1509" s="42" t="str">
        <f ca="1"/>
        <v/>
      </c>
      <c r="OR1509" s="42" t="str">
        <f ca="1"/>
        <v/>
      </c>
      <c r="OS1509" s="42" t="str">
        <f ca="1"/>
        <v/>
      </c>
      <c r="OT1509" s="42" t="str">
        <f ca="1"/>
        <v/>
      </c>
      <c r="OU1509" s="42" t="str">
        <f ca="1"/>
        <v/>
      </c>
      <c r="OV1509" s="42" t="str">
        <f ca="1"/>
        <v/>
      </c>
      <c r="OW1509" s="42" t="str">
        <f ca="1"/>
        <v/>
      </c>
      <c r="OX1509" s="42" t="str">
        <f ca="1"/>
        <v/>
      </c>
      <c r="OY1509" s="42" t="str">
        <f ca="1"/>
        <v/>
      </c>
      <c r="OZ1509" s="42" t="str">
        <f ca="1"/>
        <v/>
      </c>
      <c r="PA1509" s="42" t="str">
        <f ca="1"/>
        <v/>
      </c>
      <c r="PB1509" s="42" t="str">
        <f ca="1"/>
        <v/>
      </c>
      <c r="PC1509" s="42" t="str">
        <f ca="1"/>
        <v/>
      </c>
      <c r="PD1509" s="42" t="str">
        <f ca="1"/>
        <v/>
      </c>
      <c r="PE1509" s="42" t="str">
        <f ca="1"/>
        <v/>
      </c>
      <c r="PF1509" s="42" t="str">
        <f ca="1"/>
        <v/>
      </c>
      <c r="PG1509" s="42" t="str">
        <f ca="1"/>
        <v/>
      </c>
      <c r="PH1509" s="42" t="str">
        <f ca="1"/>
        <v/>
      </c>
      <c r="PI1509" s="42" t="str">
        <f ca="1"/>
        <v/>
      </c>
      <c r="PJ1509" s="42" t="str">
        <f ca="1"/>
        <v/>
      </c>
      <c r="PK1509" s="42" t="str">
        <f ca="1"/>
        <v/>
      </c>
      <c r="PL1509" s="42" t="str">
        <f ca="1"/>
        <v/>
      </c>
      <c r="PM1509" s="42" t="str">
        <f ca="1"/>
        <v/>
      </c>
      <c r="PN1509" s="42" t="str">
        <f ca="1"/>
        <v/>
      </c>
      <c r="PO1509" s="42" t="str">
        <f ca="1"/>
        <v/>
      </c>
      <c r="PP1509" s="42" t="str">
        <f ca="1"/>
        <v/>
      </c>
      <c r="PQ1509" s="42" t="str">
        <f ca="1"/>
        <v/>
      </c>
      <c r="PR1509" s="42" t="str">
        <f ca="1"/>
        <v/>
      </c>
      <c r="PS1509" s="42" t="str">
        <f ca="1"/>
        <v/>
      </c>
      <c r="PT1509" s="42" t="str">
        <f ca="1"/>
        <v/>
      </c>
      <c r="PU1509" s="42" t="str">
        <f ca="1"/>
        <v/>
      </c>
      <c r="PV1509" s="42" t="str">
        <f ca="1"/>
        <v/>
      </c>
      <c r="PW1509" s="42" t="str">
        <f ca="1"/>
        <v/>
      </c>
      <c r="PX1509" s="42" t="str">
        <f ca="1"/>
        <v/>
      </c>
      <c r="PY1509" s="42" t="str">
        <f ca="1"/>
        <v/>
      </c>
      <c r="PZ1509" s="42" t="str">
        <f ca="1"/>
        <v/>
      </c>
      <c r="QA1509" s="42" t="str">
        <f ca="1"/>
        <v/>
      </c>
      <c r="QB1509" s="42" t="str">
        <f ca="1"/>
        <v/>
      </c>
      <c r="QC1509" s="42" t="str">
        <f ca="1"/>
        <v/>
      </c>
      <c r="QD1509" s="42" t="str">
        <f ca="1"/>
        <v/>
      </c>
      <c r="QE1509" s="42" t="str">
        <f ca="1"/>
        <v/>
      </c>
      <c r="QF1509" s="42" t="str">
        <f ca="1"/>
        <v/>
      </c>
      <c r="QG1509" s="42" t="str">
        <f ca="1"/>
        <v/>
      </c>
      <c r="QH1509" s="42" t="str">
        <f ca="1"/>
        <v/>
      </c>
      <c r="QI1509" s="42" t="str">
        <f ca="1"/>
        <v/>
      </c>
      <c r="QJ1509" s="42" t="str">
        <f ca="1"/>
        <v/>
      </c>
      <c r="QK1509" s="42" t="str">
        <f ca="1"/>
        <v/>
      </c>
      <c r="QL1509" s="42" t="str">
        <f ca="1"/>
        <v/>
      </c>
      <c r="QM1509" s="42" t="str">
        <f ca="1"/>
        <v/>
      </c>
      <c r="QN1509" s="42" t="str">
        <f ca="1"/>
        <v/>
      </c>
      <c r="QO1509" s="42" t="str">
        <f ca="1"/>
        <v/>
      </c>
      <c r="QP1509" s="42" t="str">
        <f ca="1"/>
        <v/>
      </c>
      <c r="QQ1509" s="42" t="str">
        <f ca="1"/>
        <v/>
      </c>
      <c r="QR1509" s="42" t="str">
        <f ca="1"/>
        <v/>
      </c>
      <c r="QS1509" s="42" t="str">
        <f ca="1"/>
        <v/>
      </c>
      <c r="QT1509" s="42" t="str">
        <f ca="1"/>
        <v/>
      </c>
      <c r="QU1509" s="42" t="str">
        <f ca="1"/>
        <v/>
      </c>
      <c r="QV1509" s="42" t="str">
        <f ca="1"/>
        <v/>
      </c>
      <c r="QW1509" s="42" t="str">
        <f ca="1"/>
        <v/>
      </c>
      <c r="QX1509" s="42" t="str">
        <f ca="1"/>
        <v/>
      </c>
      <c r="QY1509" s="42" t="str">
        <f ca="1"/>
        <v/>
      </c>
      <c r="QZ1509" s="42" t="str">
        <f ca="1"/>
        <v/>
      </c>
      <c r="RA1509" s="42" t="str">
        <f ca="1"/>
        <v/>
      </c>
      <c r="RB1509" s="42" t="str">
        <f ca="1"/>
        <v/>
      </c>
      <c r="RC1509" s="42" t="str">
        <f ca="1"/>
        <v/>
      </c>
      <c r="RD1509" s="42" t="str">
        <f ca="1"/>
        <v/>
      </c>
      <c r="RE1509" s="42" t="str">
        <f ca="1"/>
        <v/>
      </c>
      <c r="RF1509" s="42" t="str">
        <f ca="1"/>
        <v/>
      </c>
      <c r="RG1509" s="42" t="str">
        <f ca="1"/>
        <v/>
      </c>
      <c r="RH1509" s="42" t="str">
        <f ca="1"/>
        <v/>
      </c>
      <c r="RI1509" s="42" t="str">
        <f ca="1"/>
        <v/>
      </c>
      <c r="RJ1509" s="42" t="str">
        <f ca="1"/>
        <v/>
      </c>
      <c r="RK1509" s="42" t="str">
        <f ca="1"/>
        <v/>
      </c>
      <c r="RL1509" s="42" t="str">
        <f ca="1"/>
        <v/>
      </c>
      <c r="RM1509" s="42" t="str">
        <f ca="1"/>
        <v/>
      </c>
      <c r="RN1509" s="42" t="str">
        <f ca="1"/>
        <v/>
      </c>
      <c r="RO1509" s="42" t="str">
        <f ca="1"/>
        <v/>
      </c>
      <c r="RP1509" s="42" t="str">
        <f ca="1"/>
        <v/>
      </c>
      <c r="RQ1509" s="42" t="str">
        <f ca="1"/>
        <v/>
      </c>
      <c r="RR1509" s="42" t="str">
        <f ca="1"/>
        <v/>
      </c>
      <c r="RS1509" s="42" t="str">
        <f ca="1"/>
        <v/>
      </c>
      <c r="RT1509" s="42" t="str">
        <f ca="1"/>
        <v/>
      </c>
      <c r="RU1509" s="42" t="str">
        <f ca="1"/>
        <v/>
      </c>
      <c r="RV1509" s="42" t="str">
        <f ca="1"/>
        <v/>
      </c>
      <c r="RW1509" s="42" t="str">
        <f ca="1"/>
        <v/>
      </c>
      <c r="RX1509" s="42" t="str">
        <f ca="1"/>
        <v/>
      </c>
      <c r="RY1509" s="42" t="str">
        <f ca="1"/>
        <v/>
      </c>
      <c r="RZ1509" s="42" t="str">
        <f ca="1"/>
        <v/>
      </c>
      <c r="SA1509" s="42" t="str">
        <f ca="1"/>
        <v/>
      </c>
      <c r="SB1509" s="42" t="str">
        <f ca="1"/>
        <v/>
      </c>
      <c r="SC1509" s="42" t="str">
        <f ca="1"/>
        <v/>
      </c>
      <c r="SD1509" s="42" t="str">
        <f ca="1"/>
        <v/>
      </c>
      <c r="SE1509" s="42" t="str">
        <f ca="1"/>
        <v/>
      </c>
      <c r="SF1509" s="42" t="str">
        <f ca="1"/>
        <v/>
      </c>
      <c r="SG1509" s="42" t="str">
        <f ca="1"/>
        <v/>
      </c>
      <c r="SH1509" s="42" t="str">
        <f ca="1"/>
        <v/>
      </c>
      <c r="SI1509" s="42" t="str">
        <f ca="1"/>
        <v/>
      </c>
      <c r="SJ1509" s="42" t="str">
        <f ca="1"/>
        <v/>
      </c>
      <c r="SK1509" s="42" t="str">
        <f ca="1"/>
        <v/>
      </c>
      <c r="SL1509" s="42" t="str">
        <f ca="1"/>
        <v/>
      </c>
      <c r="SM1509" s="42" t="str">
        <f ca="1"/>
        <v/>
      </c>
      <c r="SN1509" s="42" t="str">
        <f ca="1"/>
        <v/>
      </c>
      <c r="SO1509" s="42" t="str">
        <f ca="1"/>
        <v/>
      </c>
      <c r="SP1509" s="42" t="str">
        <f ca="1"/>
        <v/>
      </c>
      <c r="SQ1509" s="42" t="str">
        <f ca="1"/>
        <v/>
      </c>
      <c r="SR1509" s="42" t="str">
        <f ca="1"/>
        <v/>
      </c>
      <c r="SS1509" s="42" t="str">
        <f ca="1"/>
        <v/>
      </c>
      <c r="ST1509" s="42" t="str">
        <f ca="1"/>
        <v/>
      </c>
      <c r="SU1509" s="42" t="str">
        <f ca="1"/>
        <v/>
      </c>
      <c r="SV1509" s="42" t="str">
        <f ca="1"/>
        <v/>
      </c>
      <c r="SW1509" s="42" t="str">
        <f ca="1"/>
        <v/>
      </c>
      <c r="SX1509" s="42" t="str">
        <f ca="1"/>
        <v/>
      </c>
      <c r="SY1509" s="42" t="str">
        <f ca="1"/>
        <v/>
      </c>
      <c r="SZ1509" s="42" t="str">
        <f ca="1"/>
        <v/>
      </c>
      <c r="TA1509" s="42" t="str">
        <f ca="1"/>
        <v/>
      </c>
      <c r="TB1509" s="42" t="str">
        <f ca="1"/>
        <v/>
      </c>
      <c r="TC1509" s="42" t="str">
        <f ca="1"/>
        <v/>
      </c>
      <c r="TD1509" s="42" t="str">
        <f ca="1"/>
        <v/>
      </c>
      <c r="TE1509" s="42" t="str">
        <f ca="1"/>
        <v/>
      </c>
      <c r="TF1509" s="42" t="str">
        <f ca="1"/>
        <v/>
      </c>
      <c r="TG1509" s="42" t="str">
        <f ca="1"/>
        <v/>
      </c>
      <c r="TH1509" s="42" t="str">
        <f ca="1"/>
        <v/>
      </c>
      <c r="TI1509" s="42" t="str">
        <f ca="1"/>
        <v/>
      </c>
      <c r="TJ1509" s="42" t="str">
        <f ca="1"/>
        <v/>
      </c>
      <c r="TK1509" s="42" t="str">
        <f ca="1"/>
        <v/>
      </c>
      <c r="TL1509" s="42" t="str">
        <f ca="1"/>
        <v/>
      </c>
      <c r="TM1509" s="42" t="str">
        <f ca="1"/>
        <v/>
      </c>
      <c r="TN1509" s="42" t="str">
        <f ca="1"/>
        <v/>
      </c>
      <c r="TO1509" s="42" t="str">
        <f ca="1"/>
        <v/>
      </c>
      <c r="TP1509" s="42" t="str">
        <f ca="1"/>
        <v/>
      </c>
      <c r="TQ1509" s="42" t="str">
        <f ca="1"/>
        <v/>
      </c>
      <c r="TR1509" s="42" t="str">
        <f ca="1"/>
        <v/>
      </c>
      <c r="TS1509" s="42" t="str">
        <f ca="1"/>
        <v/>
      </c>
      <c r="TT1509" s="42" t="str">
        <f ca="1"/>
        <v/>
      </c>
      <c r="TU1509" s="42" t="str">
        <f ca="1"/>
        <v/>
      </c>
      <c r="TV1509" s="42" t="str">
        <f ca="1"/>
        <v/>
      </c>
      <c r="TW1509" s="42" t="str">
        <f ca="1"/>
        <v/>
      </c>
      <c r="TX1509" s="42" t="str">
        <f ca="1"/>
        <v/>
      </c>
      <c r="TY1509" s="42" t="str">
        <f ca="1"/>
        <v/>
      </c>
      <c r="TZ1509" s="42" t="str">
        <f ca="1"/>
        <v/>
      </c>
      <c r="UA1509" s="42" t="str">
        <f ca="1"/>
        <v/>
      </c>
      <c r="UB1509" s="42" t="str">
        <f ca="1"/>
        <v/>
      </c>
      <c r="UC1509" s="42" t="str">
        <f ca="1"/>
        <v/>
      </c>
      <c r="UD1509" s="42" t="str">
        <f ca="1"/>
        <v/>
      </c>
      <c r="UE1509" s="42" t="str">
        <f ca="1"/>
        <v/>
      </c>
      <c r="UF1509" s="42" t="str">
        <f ca="1"/>
        <v/>
      </c>
      <c r="UG1509" s="42" t="str">
        <f ca="1"/>
        <v/>
      </c>
      <c r="UH1509" s="42" t="str">
        <f ca="1"/>
        <v/>
      </c>
      <c r="UI1509" s="42" t="str">
        <f ca="1"/>
        <v/>
      </c>
      <c r="UJ1509" s="42" t="str">
        <f ca="1"/>
        <v/>
      </c>
      <c r="UK1509" s="42" t="str">
        <f ca="1"/>
        <v/>
      </c>
      <c r="UL1509" s="42" t="str">
        <f ca="1"/>
        <v/>
      </c>
      <c r="UM1509" s="42" t="str">
        <f ca="1"/>
        <v/>
      </c>
      <c r="UN1509" s="42" t="str">
        <f ca="1"/>
        <v/>
      </c>
      <c r="UO1509" s="42" t="str">
        <f ca="1"/>
        <v/>
      </c>
      <c r="UP1509" s="42" t="str">
        <f ca="1"/>
        <v/>
      </c>
      <c r="UQ1509" s="42" t="str">
        <f ca="1"/>
        <v/>
      </c>
      <c r="UR1509" s="42" t="str">
        <f ca="1"/>
        <v/>
      </c>
      <c r="US1509" s="42" t="str">
        <f ca="1"/>
        <v/>
      </c>
      <c r="UT1509" s="42" t="str">
        <f ca="1"/>
        <v/>
      </c>
      <c r="UU1509" s="42" t="str">
        <f ca="1"/>
        <v/>
      </c>
      <c r="UV1509" s="42" t="str">
        <f ca="1"/>
        <v/>
      </c>
      <c r="UW1509" s="42" t="str">
        <f ca="1"/>
        <v/>
      </c>
      <c r="UX1509" s="42" t="str">
        <f ca="1"/>
        <v/>
      </c>
      <c r="UY1509" s="42" t="str">
        <f ca="1"/>
        <v/>
      </c>
      <c r="UZ1509" s="42" t="str">
        <f ca="1"/>
        <v/>
      </c>
      <c r="VA1509" s="42" t="str">
        <f ca="1"/>
        <v/>
      </c>
      <c r="VB1509" s="42" t="str">
        <f ca="1"/>
        <v/>
      </c>
      <c r="VC1509" s="42" t="str">
        <f ca="1"/>
        <v/>
      </c>
      <c r="VD1509" s="42" t="str">
        <f ca="1"/>
        <v/>
      </c>
      <c r="VE1509" s="42" t="str">
        <f ca="1"/>
        <v/>
      </c>
      <c r="VF1509" s="42" t="str">
        <f ca="1"/>
        <v/>
      </c>
      <c r="VG1509" s="42" t="str">
        <f ca="1"/>
        <v/>
      </c>
      <c r="VH1509" s="42" t="str">
        <f ca="1"/>
        <v/>
      </c>
      <c r="VI1509" s="42" t="str">
        <f ca="1"/>
        <v/>
      </c>
      <c r="VJ1509" s="42" t="str">
        <f ca="1"/>
        <v/>
      </c>
      <c r="VK1509" s="42" t="str">
        <f ca="1"/>
        <v/>
      </c>
      <c r="VL1509" s="42" t="str">
        <f ca="1"/>
        <v/>
      </c>
      <c r="VM1509" s="42" t="str">
        <f ca="1"/>
        <v/>
      </c>
      <c r="VN1509" s="42" t="str">
        <f ca="1"/>
        <v/>
      </c>
      <c r="VO1509" s="42" t="str">
        <f ca="1"/>
        <v/>
      </c>
      <c r="VP1509" s="42" t="str">
        <f ca="1"/>
        <v/>
      </c>
      <c r="VQ1509" s="42" t="str">
        <f ca="1"/>
        <v/>
      </c>
      <c r="VR1509" s="42" t="str">
        <f ca="1"/>
        <v/>
      </c>
      <c r="VS1509" s="42" t="str">
        <f ca="1"/>
        <v/>
      </c>
      <c r="VT1509" s="42" t="str">
        <f ca="1"/>
        <v/>
      </c>
      <c r="VU1509" s="42" t="str">
        <f ca="1"/>
        <v/>
      </c>
      <c r="VV1509" s="42" t="str">
        <f ca="1"/>
        <v/>
      </c>
      <c r="VW1509" s="42" t="str">
        <f ca="1"/>
        <v/>
      </c>
      <c r="VX1509" s="42" t="str">
        <f ca="1"/>
        <v/>
      </c>
      <c r="VY1509" s="42" t="str">
        <f ca="1"/>
        <v/>
      </c>
      <c r="VZ1509" s="42" t="str">
        <f ca="1"/>
        <v/>
      </c>
      <c r="WA1509" s="42" t="str">
        <f ca="1"/>
        <v/>
      </c>
      <c r="WB1509" s="42" t="str">
        <f ca="1"/>
        <v/>
      </c>
      <c r="WC1509" s="42" t="str">
        <f ca="1"/>
        <v/>
      </c>
      <c r="WD1509" s="42" t="str">
        <f ca="1"/>
        <v/>
      </c>
      <c r="WE1509" s="42" t="str">
        <f ca="1"/>
        <v/>
      </c>
      <c r="WF1509" s="42" t="str">
        <f ca="1"/>
        <v/>
      </c>
      <c r="WG1509" s="42" t="str">
        <f ca="1"/>
        <v/>
      </c>
      <c r="WH1509" s="42" t="str">
        <f ca="1"/>
        <v/>
      </c>
      <c r="WI1509" s="42" t="str">
        <f ca="1"/>
        <v/>
      </c>
      <c r="WJ1509" s="42" t="str">
        <f ca="1"/>
        <v/>
      </c>
      <c r="WK1509" s="42" t="str">
        <f ca="1"/>
        <v/>
      </c>
      <c r="WL1509" s="42" t="str">
        <f ca="1"/>
        <v/>
      </c>
      <c r="WM1509" s="42" t="str">
        <f ca="1"/>
        <v/>
      </c>
      <c r="WN1509" s="42" t="str">
        <f ca="1"/>
        <v/>
      </c>
      <c r="WO1509" s="42" t="str">
        <f ca="1"/>
        <v/>
      </c>
      <c r="WP1509" s="42" t="str">
        <f ca="1"/>
        <v/>
      </c>
      <c r="WQ1509" s="42" t="str">
        <f ca="1"/>
        <v/>
      </c>
      <c r="WR1509" s="42" t="str">
        <f ca="1"/>
        <v/>
      </c>
      <c r="WS1509" s="42" t="str">
        <f ca="1"/>
        <v/>
      </c>
      <c r="WT1509" s="42" t="str">
        <f ca="1"/>
        <v/>
      </c>
      <c r="WU1509" s="42" t="str">
        <f ca="1"/>
        <v/>
      </c>
      <c r="WV1509" s="42" t="str">
        <f ca="1"/>
        <v/>
      </c>
      <c r="WW1509" s="42" t="str">
        <f ca="1"/>
        <v/>
      </c>
      <c r="WX1509" s="42" t="str">
        <f ca="1"/>
        <v/>
      </c>
      <c r="WY1509" s="42" t="str">
        <f ca="1"/>
        <v/>
      </c>
      <c r="WZ1509" s="42" t="str">
        <f ca="1"/>
        <v/>
      </c>
      <c r="XA1509" s="42" t="str">
        <f ca="1"/>
        <v/>
      </c>
      <c r="XB1509" s="42" t="str">
        <f ca="1"/>
        <v/>
      </c>
      <c r="XC1509" s="42" t="str">
        <f ca="1"/>
        <v/>
      </c>
      <c r="XD1509" s="42" t="str">
        <f ca="1"/>
        <v/>
      </c>
      <c r="XE1509" s="42" t="str">
        <f ca="1"/>
        <v/>
      </c>
      <c r="XF1509" s="42" t="str">
        <f ca="1"/>
        <v/>
      </c>
      <c r="XG1509" s="42" t="str">
        <f ca="1"/>
        <v/>
      </c>
      <c r="XH1509" s="42" t="str">
        <f ca="1"/>
        <v/>
      </c>
      <c r="XI1509" s="42" t="str">
        <f ca="1"/>
        <v/>
      </c>
      <c r="XJ1509" s="42" t="str">
        <f ca="1"/>
        <v/>
      </c>
      <c r="XK1509" s="42" t="str">
        <f ca="1"/>
        <v/>
      </c>
      <c r="XL1509" s="42" t="str">
        <f ca="1"/>
        <v/>
      </c>
      <c r="XM1509" s="42" t="str">
        <f ca="1"/>
        <v/>
      </c>
      <c r="XN1509" s="42" t="str">
        <f ca="1"/>
        <v/>
      </c>
      <c r="XO1509" s="42" t="str">
        <f ca="1"/>
        <v/>
      </c>
      <c r="XP1509" s="42" t="str">
        <f ca="1"/>
        <v/>
      </c>
      <c r="XQ1509" s="42" t="str">
        <f ca="1"/>
        <v/>
      </c>
      <c r="XR1509" s="42" t="str">
        <f ca="1"/>
        <v/>
      </c>
      <c r="XS1509" s="42" t="str">
        <f ca="1"/>
        <v/>
      </c>
      <c r="XT1509" s="42" t="str">
        <f ca="1"/>
        <v/>
      </c>
      <c r="XU1509" s="42" t="str">
        <f ca="1"/>
        <v/>
      </c>
      <c r="XV1509" s="42" t="str">
        <f ca="1"/>
        <v/>
      </c>
      <c r="XW1509" s="42" t="str">
        <f ca="1"/>
        <v/>
      </c>
      <c r="XX1509" s="42" t="str">
        <f ca="1"/>
        <v/>
      </c>
      <c r="XY1509" s="42" t="str">
        <f ca="1"/>
        <v/>
      </c>
      <c r="XZ1509" s="42" t="str">
        <f ca="1"/>
        <v/>
      </c>
      <c r="YA1509" s="42" t="str">
        <f ca="1"/>
        <v/>
      </c>
      <c r="YB1509" s="42" t="str">
        <f ca="1"/>
        <v/>
      </c>
      <c r="YC1509" s="42" t="str">
        <f ca="1"/>
        <v/>
      </c>
      <c r="YD1509" s="42" t="str">
        <f ca="1"/>
        <v/>
      </c>
      <c r="YE1509" s="42" t="str">
        <f ca="1"/>
        <v/>
      </c>
      <c r="YF1509" s="42" t="str">
        <f ca="1"/>
        <v/>
      </c>
      <c r="YG1509" s="42" t="str">
        <f ca="1"/>
        <v/>
      </c>
      <c r="YH1509" s="42" t="str">
        <f ca="1"/>
        <v/>
      </c>
      <c r="YI1509" s="42" t="str">
        <f ca="1"/>
        <v/>
      </c>
      <c r="YJ1509" s="42" t="str">
        <f ca="1"/>
        <v/>
      </c>
      <c r="YK1509" s="42" t="str">
        <f ca="1"/>
        <v/>
      </c>
      <c r="YL1509" s="42" t="str">
        <f ca="1"/>
        <v/>
      </c>
      <c r="YM1509" s="42" t="str">
        <f ca="1"/>
        <v/>
      </c>
      <c r="YN1509" s="42" t="str">
        <f ca="1"/>
        <v/>
      </c>
      <c r="YO1509" s="42" t="str">
        <f ca="1"/>
        <v/>
      </c>
      <c r="YP1509" s="42" t="str">
        <f ca="1"/>
        <v/>
      </c>
      <c r="YQ1509" s="42" t="str">
        <f ca="1"/>
        <v/>
      </c>
      <c r="YR1509" s="42" t="str">
        <f ca="1"/>
        <v/>
      </c>
      <c r="YS1509" s="42" t="str">
        <f ca="1"/>
        <v/>
      </c>
      <c r="YT1509" s="42" t="str">
        <f ca="1"/>
        <v/>
      </c>
      <c r="YU1509" s="42" t="str">
        <f ca="1"/>
        <v/>
      </c>
      <c r="YV1509" s="42" t="str">
        <f ca="1"/>
        <v/>
      </c>
      <c r="YW1509" s="42" t="str">
        <f ca="1"/>
        <v/>
      </c>
      <c r="YX1509" s="42" t="str">
        <f ca="1"/>
        <v/>
      </c>
      <c r="YY1509" s="42" t="str">
        <f ca="1"/>
        <v/>
      </c>
      <c r="YZ1509" s="42" t="str">
        <f ca="1"/>
        <v/>
      </c>
      <c r="ZA1509" s="42" t="str">
        <f ca="1"/>
        <v/>
      </c>
      <c r="ZB1509" s="42" t="str">
        <f ca="1"/>
        <v/>
      </c>
      <c r="ZC1509" s="42" t="str">
        <f ca="1"/>
        <v/>
      </c>
      <c r="ZD1509" s="42" t="str">
        <f ca="1"/>
        <v/>
      </c>
      <c r="ZE1509" s="42" t="str">
        <f ca="1"/>
        <v/>
      </c>
      <c r="ZF1509" s="42" t="str">
        <f ca="1"/>
        <v/>
      </c>
      <c r="ZG1509" s="42" t="str">
        <f ca="1"/>
        <v/>
      </c>
      <c r="ZH1509" s="42" t="str">
        <f ca="1"/>
        <v/>
      </c>
      <c r="ZI1509" s="42" t="str">
        <f ca="1"/>
        <v/>
      </c>
      <c r="ZJ1509" s="42" t="str">
        <f ca="1"/>
        <v/>
      </c>
      <c r="ZK1509" s="42" t="str">
        <f ca="1"/>
        <v/>
      </c>
      <c r="ZL1509" s="42" t="str">
        <f ca="1"/>
        <v/>
      </c>
      <c r="ZM1509" s="42" t="str">
        <f ca="1"/>
        <v/>
      </c>
      <c r="ZN1509" s="42" t="str">
        <f ca="1"/>
        <v/>
      </c>
      <c r="ZO1509" s="42" t="str">
        <f ca="1"/>
        <v/>
      </c>
      <c r="ZP1509" s="42" t="str">
        <f ca="1"/>
        <v/>
      </c>
      <c r="ZQ1509" s="42" t="str">
        <f ca="1"/>
        <v/>
      </c>
      <c r="ZR1509" s="42" t="str">
        <f ca="1"/>
        <v/>
      </c>
      <c r="ZS1509" s="42" t="str">
        <f ca="1"/>
        <v/>
      </c>
      <c r="ZT1509" s="42" t="str">
        <f ca="1"/>
        <v/>
      </c>
      <c r="ZU1509" s="42" t="str">
        <f ca="1"/>
        <v/>
      </c>
      <c r="ZV1509" s="42" t="str">
        <f ca="1"/>
        <v/>
      </c>
      <c r="ZW1509" s="42" t="str">
        <f ca="1"/>
        <v/>
      </c>
      <c r="ZX1509" s="42" t="str">
        <f ca="1"/>
        <v/>
      </c>
      <c r="ZY1509" s="42" t="str">
        <f ca="1"/>
        <v/>
      </c>
      <c r="ZZ1509" s="42" t="str">
        <f ca="1"/>
        <v/>
      </c>
      <c r="AAA1509" s="42" t="str">
        <f ca="1"/>
        <v/>
      </c>
      <c r="AAB1509" s="42" t="str">
        <f ca="1"/>
        <v/>
      </c>
      <c r="AAC1509" s="42" t="str">
        <f ca="1"/>
        <v/>
      </c>
      <c r="AAD1509" s="42" t="str">
        <f ca="1"/>
        <v/>
      </c>
      <c r="AAE1509" s="42" t="str">
        <f ca="1"/>
        <v/>
      </c>
      <c r="AAF1509" s="42" t="str">
        <f ca="1"/>
        <v/>
      </c>
      <c r="AAG1509" s="42" t="str">
        <f ca="1"/>
        <v/>
      </c>
      <c r="AAH1509" s="42" t="str">
        <f ca="1"/>
        <v/>
      </c>
      <c r="AAI1509" s="42" t="str">
        <f ca="1"/>
        <v/>
      </c>
      <c r="AAJ1509" s="42" t="str">
        <f ca="1"/>
        <v/>
      </c>
      <c r="AAK1509" s="42" t="str">
        <f ca="1"/>
        <v/>
      </c>
      <c r="AAL1509" s="42" t="str">
        <f ca="1"/>
        <v/>
      </c>
      <c r="AAM1509" s="42" t="str">
        <f ca="1"/>
        <v/>
      </c>
      <c r="AAN1509" s="42" t="str">
        <f ca="1"/>
        <v/>
      </c>
      <c r="AAO1509" s="42" t="str">
        <f ca="1"/>
        <v/>
      </c>
      <c r="AAP1509" s="42" t="str">
        <f ca="1"/>
        <v/>
      </c>
      <c r="AAQ1509" s="42" t="str">
        <f ca="1"/>
        <v/>
      </c>
      <c r="AAR1509" s="42" t="str">
        <f ca="1"/>
        <v/>
      </c>
      <c r="AAS1509" s="42" t="str">
        <f ca="1"/>
        <v/>
      </c>
      <c r="AAT1509" s="42" t="str">
        <f ca="1"/>
        <v/>
      </c>
      <c r="AAU1509" s="42" t="str">
        <f ca="1"/>
        <v/>
      </c>
      <c r="AAV1509" s="42" t="str">
        <f ca="1"/>
        <v/>
      </c>
      <c r="AAW1509" s="42" t="str">
        <f ca="1"/>
        <v/>
      </c>
      <c r="AAX1509" s="42" t="str">
        <f ca="1"/>
        <v/>
      </c>
      <c r="AAY1509" s="42" t="str">
        <f ca="1"/>
        <v/>
      </c>
      <c r="AAZ1509" s="42" t="str">
        <f ca="1"/>
        <v/>
      </c>
      <c r="ABA1509" s="42" t="str">
        <f ca="1"/>
        <v/>
      </c>
      <c r="ABB1509" s="42" t="str">
        <f ca="1"/>
        <v/>
      </c>
      <c r="ABC1509" s="42" t="str">
        <f ca="1"/>
        <v/>
      </c>
      <c r="ABD1509" s="42" t="str">
        <f ca="1"/>
        <v/>
      </c>
      <c r="ABE1509" s="42" t="str">
        <f ca="1"/>
        <v/>
      </c>
      <c r="ABF1509" s="42" t="str">
        <f ca="1"/>
        <v/>
      </c>
      <c r="ABG1509" s="42" t="str">
        <f ca="1"/>
        <v/>
      </c>
      <c r="ABH1509" s="42" t="str">
        <f ca="1"/>
        <v/>
      </c>
      <c r="ABI1509" s="42" t="str">
        <f ca="1"/>
        <v/>
      </c>
      <c r="ABJ1509" s="42" t="str">
        <f ca="1"/>
        <v/>
      </c>
      <c r="ABK1509" s="42" t="str">
        <f ca="1"/>
        <v/>
      </c>
      <c r="ABL1509" s="42" t="str">
        <f ca="1"/>
        <v/>
      </c>
      <c r="ABM1509" s="42" t="str">
        <f ca="1"/>
        <v/>
      </c>
      <c r="ABN1509" s="42" t="str">
        <f ca="1"/>
        <v/>
      </c>
      <c r="ABO1509" s="42" t="str">
        <f ca="1"/>
        <v/>
      </c>
      <c r="ABP1509" s="42" t="str">
        <f ca="1"/>
        <v/>
      </c>
      <c r="ABQ1509" s="42" t="str">
        <f ca="1"/>
        <v/>
      </c>
      <c r="ABR1509" s="42" t="str">
        <f ca="1"/>
        <v/>
      </c>
      <c r="ABS1509" s="42" t="str">
        <f ca="1"/>
        <v/>
      </c>
      <c r="ABT1509" s="42" t="str">
        <f ca="1"/>
        <v/>
      </c>
      <c r="ABU1509" s="42" t="str">
        <f ca="1"/>
        <v/>
      </c>
      <c r="ABV1509" s="42" t="str">
        <f ca="1"/>
        <v/>
      </c>
      <c r="ABW1509" s="42" t="str">
        <f ca="1"/>
        <v/>
      </c>
      <c r="ABX1509" s="42" t="str">
        <f ca="1"/>
        <v/>
      </c>
      <c r="ABY1509" s="42" t="str">
        <f ca="1"/>
        <v/>
      </c>
      <c r="ABZ1509" s="42" t="str">
        <f ca="1"/>
        <v/>
      </c>
      <c r="ACA1509" s="42" t="str">
        <f ca="1"/>
        <v/>
      </c>
      <c r="ACB1509" s="42" t="str">
        <f ca="1"/>
        <v/>
      </c>
      <c r="ACC1509" s="42" t="str">
        <f ca="1"/>
        <v/>
      </c>
      <c r="ACD1509" s="42" t="str">
        <f ca="1"/>
        <v/>
      </c>
      <c r="ACE1509" s="42" t="str">
        <f ca="1"/>
        <v/>
      </c>
      <c r="ACF1509" s="42" t="str">
        <f ca="1"/>
        <v/>
      </c>
      <c r="ACG1509" s="42" t="str">
        <f ca="1"/>
        <v/>
      </c>
      <c r="ACH1509" s="42" t="str">
        <f ca="1"/>
        <v/>
      </c>
      <c r="ACI1509" s="42" t="str">
        <f ca="1"/>
        <v/>
      </c>
      <c r="ACJ1509" s="42" t="str">
        <f ca="1"/>
        <v/>
      </c>
      <c r="ACK1509" s="42" t="str">
        <f ca="1"/>
        <v/>
      </c>
      <c r="ACL1509" s="42" t="str">
        <f ca="1"/>
        <v/>
      </c>
      <c r="ACM1509" s="42" t="str">
        <f ca="1"/>
        <v/>
      </c>
      <c r="ACN1509" s="42" t="str">
        <f ca="1"/>
        <v/>
      </c>
      <c r="ACO1509" s="42" t="str">
        <f ca="1"/>
        <v/>
      </c>
      <c r="ACP1509" s="42" t="str">
        <f ca="1"/>
        <v/>
      </c>
      <c r="ACQ1509" s="42" t="str">
        <f ca="1"/>
        <v/>
      </c>
      <c r="ACR1509" s="42" t="str">
        <f ca="1"/>
        <v/>
      </c>
      <c r="ACS1509" s="42" t="str">
        <f ca="1"/>
        <v/>
      </c>
      <c r="ACT1509" s="42" t="str">
        <f ca="1"/>
        <v/>
      </c>
      <c r="ACU1509" s="42" t="str">
        <f ca="1"/>
        <v/>
      </c>
      <c r="ACV1509" s="42" t="str">
        <f ca="1"/>
        <v/>
      </c>
      <c r="ACW1509" s="42" t="str">
        <f ca="1"/>
        <v/>
      </c>
      <c r="ACX1509" s="42" t="str">
        <f ca="1"/>
        <v/>
      </c>
      <c r="ACY1509" s="42" t="str">
        <f ca="1"/>
        <v/>
      </c>
      <c r="ACZ1509" s="42" t="str">
        <f ca="1"/>
        <v/>
      </c>
      <c r="ADA1509" s="42" t="str">
        <f ca="1"/>
        <v/>
      </c>
      <c r="ADB1509" s="42" t="str">
        <f ca="1"/>
        <v/>
      </c>
      <c r="ADC1509" s="42" t="str">
        <f ca="1"/>
        <v/>
      </c>
      <c r="ADD1509" s="42" t="str">
        <f ca="1"/>
        <v/>
      </c>
      <c r="ADE1509" s="42" t="str">
        <f ca="1"/>
        <v/>
      </c>
      <c r="ADF1509" s="42" t="str">
        <f ca="1"/>
        <v/>
      </c>
      <c r="ADG1509" s="42" t="str">
        <f ca="1"/>
        <v/>
      </c>
      <c r="ADH1509" s="42" t="str">
        <f ca="1"/>
        <v/>
      </c>
      <c r="ADI1509" s="42" t="str">
        <f ca="1"/>
        <v/>
      </c>
      <c r="ADJ1509" s="42" t="str">
        <f ca="1"/>
        <v/>
      </c>
      <c r="ADK1509" s="42" t="str">
        <f ca="1"/>
        <v/>
      </c>
      <c r="ADL1509" s="42" t="str">
        <f ca="1"/>
        <v/>
      </c>
      <c r="ADM1509" s="42" t="str">
        <f ca="1"/>
        <v/>
      </c>
      <c r="ADN1509" s="42" t="str">
        <f ca="1"/>
        <v/>
      </c>
      <c r="ADO1509" s="42" t="str">
        <f ca="1"/>
        <v/>
      </c>
      <c r="ADP1509" s="42" t="str">
        <f ca="1"/>
        <v/>
      </c>
      <c r="ADQ1509" s="42" t="str">
        <f ca="1"/>
        <v/>
      </c>
      <c r="ADR1509" s="42" t="str">
        <f ca="1"/>
        <v/>
      </c>
      <c r="ADS1509" s="42" t="str">
        <f ca="1"/>
        <v/>
      </c>
      <c r="ADT1509" s="42" t="str">
        <f ca="1"/>
        <v/>
      </c>
      <c r="ADU1509" s="42" t="str">
        <f ca="1"/>
        <v/>
      </c>
      <c r="ADV1509" s="42" t="str">
        <f ca="1"/>
        <v/>
      </c>
      <c r="ADW1509" s="42" t="str">
        <f ca="1"/>
        <v/>
      </c>
      <c r="ADX1509" s="42" t="str">
        <f ca="1"/>
        <v/>
      </c>
      <c r="ADY1509" s="42" t="str">
        <f ca="1"/>
        <v/>
      </c>
      <c r="ADZ1509" s="42" t="str">
        <f ca="1"/>
        <v/>
      </c>
      <c r="AEA1509" s="42" t="str">
        <f ca="1"/>
        <v/>
      </c>
      <c r="AEB1509" s="42" t="str">
        <f ca="1"/>
        <v/>
      </c>
      <c r="AEC1509" s="42" t="str">
        <f ca="1"/>
        <v/>
      </c>
      <c r="AED1509" s="42" t="str">
        <f ca="1"/>
        <v/>
      </c>
      <c r="AEE1509" s="42" t="str">
        <f ca="1"/>
        <v/>
      </c>
      <c r="AEF1509" s="42" t="str">
        <f ca="1"/>
        <v/>
      </c>
      <c r="AEG1509" s="42" t="str">
        <f ca="1"/>
        <v/>
      </c>
      <c r="AEH1509" s="42" t="str">
        <f ca="1"/>
        <v/>
      </c>
      <c r="AEI1509" s="42" t="str">
        <f ca="1"/>
        <v/>
      </c>
      <c r="AEJ1509" s="42" t="str">
        <f ca="1"/>
        <v/>
      </c>
      <c r="AEK1509" s="42" t="str">
        <f ca="1"/>
        <v/>
      </c>
      <c r="AEL1509" s="42" t="str">
        <f ca="1"/>
        <v/>
      </c>
      <c r="AEM1509" s="42" t="str">
        <f ca="1"/>
        <v/>
      </c>
      <c r="AEN1509" s="42" t="str">
        <f ca="1"/>
        <v/>
      </c>
      <c r="AEO1509" s="42" t="str">
        <f ca="1"/>
        <v/>
      </c>
      <c r="AEP1509" s="42" t="str">
        <f ca="1"/>
        <v/>
      </c>
      <c r="AEQ1509" s="42" t="str">
        <f ca="1"/>
        <v/>
      </c>
      <c r="AER1509" s="42" t="str">
        <f ca="1"/>
        <v/>
      </c>
      <c r="AES1509" s="42" t="str">
        <f ca="1"/>
        <v/>
      </c>
      <c r="AET1509" s="42" t="str">
        <f ca="1"/>
        <v/>
      </c>
      <c r="AEU1509" s="42" t="str">
        <f ca="1"/>
        <v/>
      </c>
      <c r="AEV1509" s="42" t="str">
        <f ca="1"/>
        <v/>
      </c>
      <c r="AEW1509" s="42" t="str">
        <f ca="1"/>
        <v/>
      </c>
      <c r="AEX1509" s="42" t="str">
        <f ca="1"/>
        <v/>
      </c>
      <c r="AEY1509" s="42" t="str">
        <f ca="1"/>
        <v/>
      </c>
      <c r="AEZ1509" s="42" t="str">
        <f ca="1"/>
        <v/>
      </c>
      <c r="AFA1509" s="42" t="str">
        <f ca="1"/>
        <v/>
      </c>
      <c r="AFB1509" s="42" t="str">
        <f ca="1"/>
        <v/>
      </c>
      <c r="AFC1509" s="42" t="str">
        <f ca="1"/>
        <v/>
      </c>
      <c r="AFD1509" s="42" t="str">
        <f ca="1"/>
        <v/>
      </c>
      <c r="AFE1509" s="42" t="str">
        <f ca="1"/>
        <v/>
      </c>
      <c r="AFF1509" s="42" t="str">
        <f ca="1"/>
        <v/>
      </c>
      <c r="AFG1509" s="42" t="str">
        <f ca="1"/>
        <v/>
      </c>
      <c r="AFH1509" s="42" t="str">
        <f ca="1"/>
        <v/>
      </c>
      <c r="AFI1509" s="42" t="str">
        <f ca="1"/>
        <v/>
      </c>
      <c r="AFJ1509" s="42" t="str">
        <f ca="1"/>
        <v/>
      </c>
      <c r="AFK1509" s="42" t="str">
        <f ca="1"/>
        <v/>
      </c>
      <c r="AFL1509" s="42" t="str">
        <f ca="1"/>
        <v/>
      </c>
      <c r="AFM1509" s="42" t="str">
        <f ca="1"/>
        <v/>
      </c>
      <c r="AFN1509" s="42" t="str">
        <f ca="1"/>
        <v/>
      </c>
      <c r="AFO1509" s="42" t="str">
        <f ca="1"/>
        <v/>
      </c>
      <c r="AFP1509" s="42" t="str">
        <f ca="1"/>
        <v/>
      </c>
      <c r="AFQ1509" s="42" t="str">
        <f ca="1"/>
        <v/>
      </c>
      <c r="AFR1509" s="42" t="str">
        <f ca="1"/>
        <v/>
      </c>
      <c r="AFS1509" s="42" t="str">
        <f ca="1"/>
        <v/>
      </c>
      <c r="AFT1509" s="42" t="str">
        <f ca="1"/>
        <v/>
      </c>
      <c r="AFU1509" s="42" t="str">
        <f ca="1"/>
        <v/>
      </c>
      <c r="AFV1509" s="42" t="str">
        <f ca="1"/>
        <v/>
      </c>
      <c r="AFW1509" s="42" t="str">
        <f ca="1"/>
        <v/>
      </c>
      <c r="AFX1509" s="42" t="str">
        <f ca="1"/>
        <v/>
      </c>
      <c r="AFY1509" s="42" t="str">
        <f ca="1"/>
        <v/>
      </c>
      <c r="AFZ1509" s="42" t="str">
        <f ca="1"/>
        <v/>
      </c>
      <c r="AGA1509" s="42" t="str">
        <f ca="1"/>
        <v/>
      </c>
      <c r="AGB1509" s="42" t="str">
        <f ca="1"/>
        <v/>
      </c>
      <c r="AGC1509" s="42" t="str">
        <f ca="1"/>
        <v/>
      </c>
      <c r="AGD1509" s="42" t="str">
        <f ca="1"/>
        <v/>
      </c>
      <c r="AGE1509" s="42" t="str">
        <f ca="1"/>
        <v/>
      </c>
      <c r="AGF1509" s="42" t="str">
        <f ca="1"/>
        <v/>
      </c>
      <c r="AGG1509" s="42" t="str">
        <f ca="1"/>
        <v/>
      </c>
      <c r="AGH1509" s="42" t="str">
        <f ca="1"/>
        <v/>
      </c>
      <c r="AGI1509" s="42" t="str">
        <f ca="1"/>
        <v/>
      </c>
      <c r="AGJ1509" s="42" t="str">
        <f ca="1"/>
        <v/>
      </c>
      <c r="AGK1509" s="42" t="str">
        <f ca="1"/>
        <v/>
      </c>
      <c r="AGL1509" s="42" t="str">
        <f ca="1"/>
        <v/>
      </c>
      <c r="AGM1509" s="42" t="str">
        <f ca="1"/>
        <v/>
      </c>
      <c r="AGN1509" s="42" t="str">
        <f ca="1"/>
        <v/>
      </c>
    </row>
    <row r="1510" spans="15:872" x14ac:dyDescent="0.25">
      <c r="O1510" s="42">
        <v>20</v>
      </c>
      <c r="P1510" s="42" t="str">
        <f ca="1"/>
        <v/>
      </c>
      <c r="Q1510" s="42" t="str">
        <f ca="1"/>
        <v/>
      </c>
      <c r="R1510" s="42" t="str">
        <f ca="1"/>
        <v/>
      </c>
      <c r="S1510" s="42" t="str">
        <f ca="1"/>
        <v/>
      </c>
      <c r="T1510" s="42" t="str">
        <f ca="1"/>
        <v/>
      </c>
      <c r="U1510" s="42" t="str">
        <f ca="1"/>
        <v/>
      </c>
      <c r="V1510" s="42" t="str">
        <f ca="1"/>
        <v/>
      </c>
      <c r="W1510" s="42" t="str">
        <f ca="1"/>
        <v/>
      </c>
      <c r="X1510" s="42" t="str">
        <f ca="1"/>
        <v/>
      </c>
      <c r="Y1510" s="42" t="str">
        <f ca="1"/>
        <v/>
      </c>
      <c r="Z1510" s="42" t="str">
        <f ca="1"/>
        <v/>
      </c>
      <c r="AA1510" s="42" t="str">
        <f ca="1"/>
        <v/>
      </c>
      <c r="AB1510" s="42" t="str">
        <f ca="1"/>
        <v/>
      </c>
      <c r="AC1510" s="42" t="str">
        <f ca="1"/>
        <v/>
      </c>
      <c r="AD1510" s="42" t="str">
        <f ca="1"/>
        <v/>
      </c>
      <c r="AE1510" s="42" t="str">
        <f ca="1"/>
        <v/>
      </c>
      <c r="AF1510" s="42" t="str">
        <f ca="1"/>
        <v/>
      </c>
      <c r="AG1510" s="42" t="str">
        <f ca="1"/>
        <v/>
      </c>
      <c r="AH1510" s="42" t="str">
        <f ca="1"/>
        <v/>
      </c>
      <c r="AI1510" s="42" t="str">
        <f ca="1"/>
        <v/>
      </c>
      <c r="AJ1510" s="42" t="str">
        <f ca="1"/>
        <v/>
      </c>
      <c r="AK1510" s="42" t="str">
        <f ca="1"/>
        <v/>
      </c>
      <c r="AL1510" s="42" t="str">
        <f ca="1"/>
        <v/>
      </c>
      <c r="AM1510" s="42" t="str">
        <f ca="1"/>
        <v/>
      </c>
      <c r="AN1510" s="42" t="str">
        <f ca="1"/>
        <v/>
      </c>
      <c r="AO1510" s="42" t="str">
        <f ca="1"/>
        <v/>
      </c>
      <c r="AP1510" s="42" t="str">
        <f ca="1"/>
        <v/>
      </c>
      <c r="AQ1510" s="42" t="str">
        <f ca="1"/>
        <v/>
      </c>
      <c r="AR1510" s="42" t="str">
        <f ca="1"/>
        <v/>
      </c>
      <c r="AS1510" s="42" t="str">
        <f ca="1"/>
        <v/>
      </c>
      <c r="AT1510" s="42" t="str">
        <f ca="1"/>
        <v/>
      </c>
      <c r="AU1510" s="42" t="str">
        <f ca="1"/>
        <v/>
      </c>
      <c r="AV1510" s="42" t="str">
        <f ca="1"/>
        <v/>
      </c>
      <c r="AW1510" s="42" t="str">
        <f ca="1"/>
        <v/>
      </c>
      <c r="AX1510" s="42" t="str">
        <f ca="1"/>
        <v/>
      </c>
      <c r="AY1510" s="42" t="str">
        <f ca="1"/>
        <v/>
      </c>
      <c r="AZ1510" s="42" t="str">
        <f ca="1"/>
        <v/>
      </c>
      <c r="BA1510" s="42" t="str">
        <f ca="1"/>
        <v/>
      </c>
      <c r="BB1510" s="42" t="str">
        <f ca="1"/>
        <v/>
      </c>
      <c r="BC1510" s="42" t="str">
        <f ca="1"/>
        <v/>
      </c>
      <c r="BD1510" s="42" t="str">
        <f ca="1"/>
        <v/>
      </c>
      <c r="BE1510" s="42" t="str">
        <f ca="1"/>
        <v/>
      </c>
      <c r="BF1510" s="42" t="str">
        <f ca="1"/>
        <v/>
      </c>
      <c r="BG1510" s="42" t="str">
        <f ca="1"/>
        <v/>
      </c>
      <c r="BH1510" s="42" t="str">
        <f ca="1"/>
        <v/>
      </c>
      <c r="BI1510" s="42" t="str">
        <f ca="1"/>
        <v/>
      </c>
      <c r="BJ1510" s="42" t="str">
        <f ca="1"/>
        <v/>
      </c>
      <c r="BK1510" s="42" t="str">
        <f ca="1"/>
        <v/>
      </c>
      <c r="BL1510" s="42" t="str">
        <f ca="1"/>
        <v/>
      </c>
      <c r="BM1510" s="42" t="str">
        <f ca="1"/>
        <v/>
      </c>
      <c r="BN1510" s="42" t="str">
        <f ca="1"/>
        <v/>
      </c>
      <c r="BO1510" s="42" t="str">
        <f ca="1"/>
        <v/>
      </c>
      <c r="BP1510" s="42" t="str">
        <f ca="1"/>
        <v/>
      </c>
      <c r="BQ1510" s="42" t="str">
        <f ca="1"/>
        <v/>
      </c>
      <c r="BR1510" s="42" t="str">
        <f ca="1"/>
        <v/>
      </c>
      <c r="BS1510" s="42" t="str">
        <f ca="1"/>
        <v/>
      </c>
      <c r="BT1510" s="42" t="str">
        <f ca="1"/>
        <v/>
      </c>
      <c r="BU1510" s="42" t="str">
        <f ca="1"/>
        <v/>
      </c>
      <c r="BV1510" s="42" t="str">
        <f ca="1"/>
        <v/>
      </c>
      <c r="BW1510" s="42" t="str">
        <f ca="1"/>
        <v/>
      </c>
      <c r="BX1510" s="42" t="str">
        <f ca="1"/>
        <v/>
      </c>
      <c r="BY1510" s="42" t="str">
        <f ca="1"/>
        <v/>
      </c>
      <c r="BZ1510" s="42" t="str">
        <f ca="1"/>
        <v/>
      </c>
      <c r="CA1510" s="42" t="str">
        <f ca="1"/>
        <v/>
      </c>
      <c r="CB1510" s="42" t="str">
        <f ca="1"/>
        <v/>
      </c>
      <c r="CC1510" s="42" t="str">
        <f ca="1"/>
        <v/>
      </c>
      <c r="CD1510" s="42" t="str">
        <f ca="1"/>
        <v/>
      </c>
      <c r="CE1510" s="42" t="str">
        <f ca="1"/>
        <v/>
      </c>
      <c r="CF1510" s="42" t="str">
        <f ca="1"/>
        <v/>
      </c>
      <c r="CG1510" s="42" t="str">
        <f ca="1"/>
        <v/>
      </c>
      <c r="CH1510" s="42" t="str">
        <f ca="1"/>
        <v/>
      </c>
      <c r="CI1510" s="42" t="str">
        <f ca="1"/>
        <v/>
      </c>
      <c r="CJ1510" s="42" t="str">
        <f ca="1"/>
        <v/>
      </c>
      <c r="CK1510" s="42" t="str">
        <f ca="1"/>
        <v/>
      </c>
      <c r="CL1510" s="42" t="str">
        <f ca="1"/>
        <v/>
      </c>
      <c r="CM1510" s="42" t="str">
        <f ca="1"/>
        <v/>
      </c>
      <c r="CN1510" s="42" t="str">
        <f ca="1"/>
        <v/>
      </c>
      <c r="CO1510" s="42" t="str">
        <f ca="1"/>
        <v/>
      </c>
      <c r="CP1510" s="42" t="str">
        <f ca="1"/>
        <v/>
      </c>
      <c r="CQ1510" s="42" t="str">
        <f ca="1"/>
        <v/>
      </c>
      <c r="CR1510" s="42" t="str">
        <f ca="1"/>
        <v/>
      </c>
      <c r="CS1510" s="42" t="str">
        <f ca="1"/>
        <v/>
      </c>
      <c r="CT1510" s="42" t="str">
        <f ca="1"/>
        <v/>
      </c>
      <c r="CU1510" s="42" t="str">
        <f ca="1"/>
        <v/>
      </c>
      <c r="CV1510" s="42" t="str">
        <f ca="1"/>
        <v/>
      </c>
      <c r="CW1510" s="42" t="str">
        <f ca="1"/>
        <v/>
      </c>
      <c r="CX1510" s="42" t="str">
        <f ca="1"/>
        <v/>
      </c>
      <c r="CY1510" s="42" t="str">
        <f ca="1"/>
        <v/>
      </c>
      <c r="CZ1510" s="42" t="str">
        <f ca="1"/>
        <v/>
      </c>
      <c r="DA1510" s="42" t="str">
        <f ca="1"/>
        <v/>
      </c>
      <c r="DB1510" s="42" t="str">
        <f ca="1"/>
        <v/>
      </c>
      <c r="DC1510" s="42" t="str">
        <f ca="1"/>
        <v/>
      </c>
      <c r="DD1510" s="42" t="str">
        <f ca="1"/>
        <v/>
      </c>
      <c r="DE1510" s="42" t="str">
        <f ca="1"/>
        <v/>
      </c>
      <c r="DF1510" s="42" t="str">
        <f ca="1"/>
        <v/>
      </c>
      <c r="DG1510" s="42" t="str">
        <f ca="1"/>
        <v/>
      </c>
      <c r="DH1510" s="42" t="str">
        <f ca="1"/>
        <v/>
      </c>
      <c r="DI1510" s="42" t="str">
        <f ca="1"/>
        <v/>
      </c>
      <c r="DJ1510" s="42" t="str">
        <f ca="1"/>
        <v/>
      </c>
      <c r="DK1510" s="42" t="str">
        <f ca="1"/>
        <v/>
      </c>
      <c r="DL1510" s="42" t="str">
        <f ca="1"/>
        <v/>
      </c>
      <c r="DM1510" s="42" t="str">
        <f ca="1"/>
        <v/>
      </c>
      <c r="DN1510" s="42" t="str">
        <f ca="1"/>
        <v/>
      </c>
      <c r="DO1510" s="42" t="str">
        <f ca="1"/>
        <v/>
      </c>
      <c r="DP1510" s="42" t="str">
        <f ca="1"/>
        <v/>
      </c>
      <c r="DQ1510" s="42" t="str">
        <f ca="1"/>
        <v/>
      </c>
      <c r="DR1510" s="42" t="str">
        <f ca="1"/>
        <v/>
      </c>
      <c r="DS1510" s="42" t="str">
        <f ca="1"/>
        <v/>
      </c>
      <c r="DT1510" s="42" t="str">
        <f ca="1"/>
        <v/>
      </c>
      <c r="DU1510" s="42" t="str">
        <f ca="1"/>
        <v/>
      </c>
      <c r="DV1510" s="42" t="str">
        <f ca="1"/>
        <v/>
      </c>
      <c r="DW1510" s="42" t="str">
        <f ca="1"/>
        <v/>
      </c>
      <c r="DX1510" s="42" t="str">
        <f ca="1"/>
        <v/>
      </c>
      <c r="DY1510" s="42" t="str">
        <f ca="1"/>
        <v/>
      </c>
      <c r="DZ1510" s="42" t="str">
        <f ca="1"/>
        <v/>
      </c>
      <c r="EA1510" s="42" t="str">
        <f ca="1"/>
        <v/>
      </c>
      <c r="EB1510" s="42" t="str">
        <f ca="1"/>
        <v/>
      </c>
      <c r="EC1510" s="42" t="str">
        <f ca="1"/>
        <v/>
      </c>
      <c r="ED1510" s="42" t="str">
        <f ca="1"/>
        <v/>
      </c>
      <c r="EE1510" s="42" t="str">
        <f ca="1"/>
        <v/>
      </c>
      <c r="EF1510" s="42" t="str">
        <f ca="1"/>
        <v/>
      </c>
      <c r="EG1510" s="42" t="str">
        <f ca="1"/>
        <v/>
      </c>
      <c r="EH1510" s="42" t="str">
        <f ca="1"/>
        <v/>
      </c>
      <c r="EI1510" s="42" t="str">
        <f ca="1"/>
        <v/>
      </c>
      <c r="EJ1510" s="42" t="str">
        <f ca="1"/>
        <v/>
      </c>
      <c r="EK1510" s="42" t="str">
        <f ca="1"/>
        <v/>
      </c>
      <c r="EL1510" s="42" t="str">
        <f ca="1"/>
        <v/>
      </c>
      <c r="EM1510" s="42" t="str">
        <f ca="1"/>
        <v/>
      </c>
      <c r="EN1510" s="42" t="str">
        <f ca="1"/>
        <v/>
      </c>
      <c r="EO1510" s="42" t="str">
        <f ca="1"/>
        <v/>
      </c>
      <c r="EP1510" s="42" t="str">
        <f ca="1"/>
        <v/>
      </c>
      <c r="EQ1510" s="42" t="str">
        <f ca="1"/>
        <v/>
      </c>
      <c r="ER1510" s="42" t="str">
        <f ca="1"/>
        <v/>
      </c>
      <c r="ES1510" s="42" t="str">
        <f ca="1"/>
        <v/>
      </c>
      <c r="ET1510" s="42" t="str">
        <f ca="1"/>
        <v/>
      </c>
      <c r="EU1510" s="42" t="str">
        <f ca="1"/>
        <v/>
      </c>
      <c r="EV1510" s="42" t="str">
        <f ca="1"/>
        <v/>
      </c>
      <c r="EW1510" s="42" t="str">
        <f ca="1"/>
        <v/>
      </c>
      <c r="EX1510" s="42" t="str">
        <f ca="1"/>
        <v/>
      </c>
      <c r="EY1510" s="42" t="str">
        <f ca="1"/>
        <v/>
      </c>
      <c r="EZ1510" s="42" t="str">
        <f ca="1"/>
        <v/>
      </c>
      <c r="FA1510" s="42" t="str">
        <f ca="1"/>
        <v/>
      </c>
      <c r="FB1510" s="42" t="str">
        <f ca="1"/>
        <v/>
      </c>
      <c r="FC1510" s="42" t="str">
        <f ca="1"/>
        <v/>
      </c>
      <c r="FD1510" s="42" t="str">
        <f ca="1"/>
        <v/>
      </c>
      <c r="FE1510" s="42" t="str">
        <f ca="1"/>
        <v/>
      </c>
      <c r="FF1510" s="42" t="str">
        <f ca="1"/>
        <v/>
      </c>
      <c r="FG1510" s="42" t="str">
        <f ca="1"/>
        <v/>
      </c>
      <c r="FH1510" s="42" t="str">
        <f ca="1"/>
        <v/>
      </c>
      <c r="FI1510" s="42" t="str">
        <f ca="1"/>
        <v/>
      </c>
      <c r="FJ1510" s="42" t="str">
        <f ca="1"/>
        <v/>
      </c>
      <c r="FK1510" s="42" t="str">
        <f ca="1"/>
        <v/>
      </c>
      <c r="FL1510" s="42" t="str">
        <f ca="1"/>
        <v/>
      </c>
      <c r="FM1510" s="42" t="str">
        <f ca="1"/>
        <v/>
      </c>
      <c r="FN1510" s="42" t="str">
        <f ca="1"/>
        <v/>
      </c>
      <c r="FO1510" s="42" t="str">
        <f ca="1"/>
        <v/>
      </c>
      <c r="FP1510" s="42" t="str">
        <f ca="1"/>
        <v/>
      </c>
      <c r="FQ1510" s="42" t="str">
        <f ca="1"/>
        <v/>
      </c>
      <c r="FR1510" s="42" t="str">
        <f ca="1"/>
        <v/>
      </c>
      <c r="FS1510" s="42" t="str">
        <f ca="1"/>
        <v/>
      </c>
      <c r="FT1510" s="42" t="str">
        <f ca="1"/>
        <v/>
      </c>
      <c r="FU1510" s="42" t="str">
        <f ca="1"/>
        <v/>
      </c>
      <c r="FV1510" s="42" t="str">
        <f ca="1"/>
        <v/>
      </c>
      <c r="FW1510" s="42" t="str">
        <f ca="1"/>
        <v/>
      </c>
      <c r="FX1510" s="42" t="str">
        <f ca="1"/>
        <v/>
      </c>
      <c r="FY1510" s="42" t="str">
        <f ca="1"/>
        <v/>
      </c>
      <c r="FZ1510" s="42" t="str">
        <f ca="1"/>
        <v/>
      </c>
      <c r="GA1510" s="42" t="str">
        <f ca="1"/>
        <v/>
      </c>
      <c r="GB1510" s="42" t="str">
        <f ca="1"/>
        <v/>
      </c>
      <c r="GC1510" s="42" t="str">
        <f ca="1"/>
        <v/>
      </c>
      <c r="GD1510" s="42" t="str">
        <f ca="1"/>
        <v/>
      </c>
      <c r="GE1510" s="42" t="str">
        <f ca="1"/>
        <v/>
      </c>
      <c r="GF1510" s="42" t="str">
        <f ca="1"/>
        <v/>
      </c>
      <c r="GG1510" s="42" t="str">
        <f ca="1"/>
        <v/>
      </c>
      <c r="GH1510" s="42" t="str">
        <f ca="1"/>
        <v/>
      </c>
      <c r="GI1510" s="42" t="str">
        <f ca="1"/>
        <v/>
      </c>
      <c r="GJ1510" s="42" t="str">
        <f ca="1"/>
        <v/>
      </c>
      <c r="GK1510" s="42" t="str">
        <f ca="1"/>
        <v/>
      </c>
      <c r="GL1510" s="42" t="str">
        <f ca="1"/>
        <v/>
      </c>
      <c r="GM1510" s="42" t="str">
        <f ca="1"/>
        <v/>
      </c>
      <c r="GN1510" s="42" t="str">
        <f ca="1"/>
        <v/>
      </c>
      <c r="GO1510" s="42" t="str">
        <f ca="1"/>
        <v/>
      </c>
      <c r="GP1510" s="42" t="str">
        <f ca="1"/>
        <v/>
      </c>
      <c r="GQ1510" s="42" t="str">
        <f ca="1"/>
        <v/>
      </c>
      <c r="GR1510" s="42" t="str">
        <f ca="1"/>
        <v/>
      </c>
      <c r="GS1510" s="42" t="str">
        <f ca="1"/>
        <v/>
      </c>
      <c r="GT1510" s="42" t="str">
        <f ca="1"/>
        <v/>
      </c>
      <c r="GU1510" s="42" t="str">
        <f ca="1"/>
        <v/>
      </c>
      <c r="GV1510" s="42" t="str">
        <f ca="1"/>
        <v/>
      </c>
      <c r="GW1510" s="42" t="str">
        <f ca="1"/>
        <v/>
      </c>
      <c r="GX1510" s="42" t="str">
        <f ca="1"/>
        <v/>
      </c>
      <c r="GY1510" s="42" t="str">
        <f ca="1"/>
        <v/>
      </c>
      <c r="GZ1510" s="42" t="str">
        <f ca="1"/>
        <v/>
      </c>
      <c r="HA1510" s="42" t="str">
        <f ca="1"/>
        <v/>
      </c>
      <c r="HB1510" s="42" t="str">
        <f ca="1"/>
        <v/>
      </c>
      <c r="HC1510" s="42" t="str">
        <f ca="1"/>
        <v/>
      </c>
      <c r="HD1510" s="42" t="str">
        <f ca="1"/>
        <v/>
      </c>
      <c r="HE1510" s="42" t="str">
        <f ca="1"/>
        <v/>
      </c>
      <c r="HF1510" s="42" t="str">
        <f ca="1"/>
        <v/>
      </c>
      <c r="HG1510" s="42" t="str">
        <f ca="1"/>
        <v/>
      </c>
      <c r="HH1510" s="42" t="str">
        <f ca="1"/>
        <v/>
      </c>
      <c r="HI1510" s="42" t="str">
        <f ca="1"/>
        <v/>
      </c>
      <c r="HJ1510" s="42" t="str">
        <f ca="1"/>
        <v/>
      </c>
      <c r="HK1510" s="42" t="str">
        <f ca="1"/>
        <v/>
      </c>
      <c r="HL1510" s="42" t="str">
        <f ca="1"/>
        <v/>
      </c>
      <c r="HM1510" s="42" t="str">
        <f ca="1"/>
        <v/>
      </c>
      <c r="HN1510" s="42" t="str">
        <f ca="1"/>
        <v/>
      </c>
      <c r="HO1510" s="42" t="str">
        <f ca="1"/>
        <v/>
      </c>
      <c r="HP1510" s="42" t="str">
        <f ca="1"/>
        <v/>
      </c>
      <c r="HQ1510" s="42" t="str">
        <f ca="1"/>
        <v/>
      </c>
      <c r="HR1510" s="42" t="str">
        <f ca="1"/>
        <v/>
      </c>
      <c r="HS1510" s="42" t="str">
        <f ca="1"/>
        <v/>
      </c>
      <c r="HT1510" s="42" t="str">
        <f ca="1"/>
        <v/>
      </c>
      <c r="HU1510" s="42" t="str">
        <f ca="1"/>
        <v/>
      </c>
      <c r="HV1510" s="42" t="str">
        <f ca="1"/>
        <v/>
      </c>
      <c r="HW1510" s="42" t="str">
        <f ca="1"/>
        <v/>
      </c>
      <c r="HX1510" s="42" t="str">
        <f ca="1"/>
        <v/>
      </c>
      <c r="HY1510" s="42" t="str">
        <f ca="1"/>
        <v/>
      </c>
      <c r="HZ1510" s="42" t="str">
        <f ca="1"/>
        <v/>
      </c>
      <c r="IA1510" s="42" t="str">
        <f ca="1"/>
        <v/>
      </c>
      <c r="IB1510" s="42" t="str">
        <f ca="1"/>
        <v/>
      </c>
      <c r="IC1510" s="42" t="str">
        <f ca="1"/>
        <v/>
      </c>
      <c r="ID1510" s="42" t="str">
        <f ca="1"/>
        <v/>
      </c>
      <c r="IE1510" s="42" t="str">
        <f ca="1"/>
        <v/>
      </c>
      <c r="IF1510" s="42" t="str">
        <f ca="1"/>
        <v/>
      </c>
      <c r="IG1510" s="42" t="str">
        <f ca="1"/>
        <v/>
      </c>
      <c r="IH1510" s="42" t="str">
        <f ca="1"/>
        <v/>
      </c>
      <c r="II1510" s="42" t="str">
        <f ca="1"/>
        <v/>
      </c>
      <c r="IJ1510" s="42" t="str">
        <f ca="1"/>
        <v/>
      </c>
      <c r="IK1510" s="42" t="str">
        <f ca="1"/>
        <v/>
      </c>
      <c r="IL1510" s="42" t="str">
        <f ca="1"/>
        <v/>
      </c>
      <c r="IM1510" s="42" t="str">
        <f ca="1"/>
        <v/>
      </c>
      <c r="IN1510" s="42" t="str">
        <f ca="1"/>
        <v/>
      </c>
      <c r="IO1510" s="42" t="str">
        <f ca="1"/>
        <v/>
      </c>
      <c r="IP1510" s="42" t="str">
        <f ca="1"/>
        <v/>
      </c>
      <c r="IQ1510" s="42" t="str">
        <f ca="1"/>
        <v/>
      </c>
      <c r="IR1510" s="42" t="str">
        <f ca="1"/>
        <v/>
      </c>
      <c r="IS1510" s="42" t="str">
        <f ca="1"/>
        <v/>
      </c>
      <c r="IT1510" s="42" t="str">
        <f ca="1"/>
        <v/>
      </c>
      <c r="IU1510" s="42" t="str">
        <f ca="1"/>
        <v/>
      </c>
      <c r="IV1510" s="42" t="str">
        <f ca="1"/>
        <v/>
      </c>
      <c r="IW1510" s="42" t="str">
        <f ca="1"/>
        <v/>
      </c>
      <c r="IX1510" s="42" t="str">
        <f ca="1"/>
        <v/>
      </c>
      <c r="IY1510" s="42" t="str">
        <f ca="1"/>
        <v/>
      </c>
      <c r="IZ1510" s="42" t="str">
        <f ca="1"/>
        <v/>
      </c>
      <c r="JA1510" s="42" t="str">
        <f ca="1"/>
        <v/>
      </c>
      <c r="JB1510" s="42" t="str">
        <f ca="1"/>
        <v/>
      </c>
      <c r="JC1510" s="42" t="str">
        <f ca="1"/>
        <v/>
      </c>
      <c r="JD1510" s="42" t="str">
        <f ca="1"/>
        <v/>
      </c>
      <c r="JE1510" s="42" t="str">
        <f ca="1"/>
        <v/>
      </c>
      <c r="JF1510" s="42" t="str">
        <f ca="1"/>
        <v/>
      </c>
      <c r="JG1510" s="42" t="str">
        <f ca="1"/>
        <v/>
      </c>
      <c r="JH1510" s="42" t="str">
        <f ca="1"/>
        <v/>
      </c>
      <c r="JI1510" s="42" t="str">
        <f ca="1"/>
        <v/>
      </c>
      <c r="JJ1510" s="42" t="str">
        <f ca="1"/>
        <v/>
      </c>
      <c r="JK1510" s="42" t="str">
        <f ca="1"/>
        <v/>
      </c>
      <c r="JL1510" s="42" t="str">
        <f ca="1"/>
        <v/>
      </c>
      <c r="JM1510" s="42" t="str">
        <f ca="1"/>
        <v/>
      </c>
      <c r="JN1510" s="42" t="str">
        <f ca="1"/>
        <v/>
      </c>
      <c r="JO1510" s="42" t="str">
        <f ca="1"/>
        <v/>
      </c>
      <c r="JP1510" s="42" t="str">
        <f ca="1"/>
        <v/>
      </c>
      <c r="JQ1510" s="42" t="str">
        <f ca="1"/>
        <v/>
      </c>
      <c r="JR1510" s="42" t="str">
        <f ca="1"/>
        <v/>
      </c>
      <c r="JS1510" s="42" t="str">
        <f ca="1"/>
        <v/>
      </c>
      <c r="JT1510" s="42" t="str">
        <f ca="1"/>
        <v/>
      </c>
      <c r="JU1510" s="42" t="str">
        <f ca="1"/>
        <v/>
      </c>
      <c r="JV1510" s="42" t="str">
        <f ca="1"/>
        <v/>
      </c>
      <c r="JW1510" s="42" t="str">
        <f ca="1"/>
        <v/>
      </c>
      <c r="JX1510" s="42" t="str">
        <f ca="1"/>
        <v/>
      </c>
      <c r="JY1510" s="42" t="str">
        <f ca="1"/>
        <v/>
      </c>
      <c r="JZ1510" s="42" t="str">
        <f ca="1"/>
        <v/>
      </c>
      <c r="KA1510" s="42" t="str">
        <f ca="1"/>
        <v/>
      </c>
      <c r="KB1510" s="42" t="str">
        <f ca="1"/>
        <v/>
      </c>
      <c r="KC1510" s="42" t="str">
        <f ca="1"/>
        <v/>
      </c>
      <c r="KD1510" s="42" t="str">
        <f ca="1"/>
        <v/>
      </c>
      <c r="KE1510" s="42" t="str">
        <f ca="1"/>
        <v/>
      </c>
      <c r="KF1510" s="42" t="str">
        <f ca="1"/>
        <v/>
      </c>
      <c r="KG1510" s="42" t="str">
        <f ca="1"/>
        <v/>
      </c>
      <c r="KH1510" s="42" t="str">
        <f ca="1"/>
        <v/>
      </c>
      <c r="KI1510" s="42" t="str">
        <f ca="1"/>
        <v/>
      </c>
      <c r="KJ1510" s="42" t="str">
        <f ca="1"/>
        <v/>
      </c>
      <c r="KK1510" s="42" t="str">
        <f ca="1"/>
        <v/>
      </c>
      <c r="KL1510" s="42" t="str">
        <f ca="1"/>
        <v/>
      </c>
      <c r="KM1510" s="42" t="str">
        <f ca="1"/>
        <v/>
      </c>
      <c r="KN1510" s="42" t="str">
        <f ca="1"/>
        <v/>
      </c>
      <c r="KO1510" s="42" t="str">
        <f ca="1"/>
        <v/>
      </c>
      <c r="KP1510" s="42" t="str">
        <f ca="1"/>
        <v/>
      </c>
      <c r="KQ1510" s="42" t="str">
        <f ca="1"/>
        <v/>
      </c>
      <c r="KR1510" s="42" t="str">
        <f ca="1"/>
        <v/>
      </c>
      <c r="KS1510" s="42" t="str">
        <f ca="1"/>
        <v/>
      </c>
      <c r="KT1510" s="42" t="str">
        <f ca="1"/>
        <v/>
      </c>
      <c r="KU1510" s="42" t="str">
        <f ca="1"/>
        <v/>
      </c>
      <c r="KV1510" s="42" t="str">
        <f ca="1"/>
        <v/>
      </c>
      <c r="KW1510" s="42" t="str">
        <f ca="1"/>
        <v/>
      </c>
      <c r="KX1510" s="42" t="str">
        <f ca="1"/>
        <v/>
      </c>
      <c r="KY1510" s="42" t="str">
        <f ca="1"/>
        <v/>
      </c>
      <c r="KZ1510" s="42" t="str">
        <f ca="1"/>
        <v/>
      </c>
      <c r="LA1510" s="42" t="str">
        <f ca="1"/>
        <v/>
      </c>
      <c r="LB1510" s="42" t="str">
        <f ca="1"/>
        <v/>
      </c>
      <c r="LC1510" s="42" t="str">
        <f ca="1"/>
        <v/>
      </c>
      <c r="LD1510" s="42" t="str">
        <f ca="1"/>
        <v/>
      </c>
      <c r="LE1510" s="42" t="str">
        <f ca="1"/>
        <v/>
      </c>
      <c r="LF1510" s="42" t="str">
        <f ca="1"/>
        <v/>
      </c>
      <c r="LG1510" s="42" t="str">
        <f ca="1"/>
        <v/>
      </c>
      <c r="LH1510" s="42" t="str">
        <f ca="1"/>
        <v/>
      </c>
      <c r="LI1510" s="42" t="str">
        <f ca="1"/>
        <v/>
      </c>
      <c r="LJ1510" s="42" t="str">
        <f ca="1"/>
        <v/>
      </c>
      <c r="LK1510" s="42" t="str">
        <f ca="1"/>
        <v/>
      </c>
      <c r="LL1510" s="42" t="str">
        <f ca="1"/>
        <v/>
      </c>
      <c r="LM1510" s="42" t="str">
        <f ca="1"/>
        <v/>
      </c>
      <c r="LN1510" s="42" t="str">
        <f ca="1"/>
        <v/>
      </c>
      <c r="LO1510" s="42" t="str">
        <f ca="1"/>
        <v/>
      </c>
      <c r="LP1510" s="42" t="str">
        <f ca="1"/>
        <v/>
      </c>
      <c r="LQ1510" s="42" t="str">
        <f ca="1"/>
        <v/>
      </c>
      <c r="LR1510" s="42" t="str">
        <f ca="1"/>
        <v/>
      </c>
      <c r="LS1510" s="42" t="str">
        <f ca="1"/>
        <v/>
      </c>
      <c r="LT1510" s="42" t="str">
        <f ca="1"/>
        <v/>
      </c>
      <c r="LU1510" s="42" t="str">
        <f ca="1"/>
        <v/>
      </c>
      <c r="LV1510" s="42" t="str">
        <f ca="1"/>
        <v/>
      </c>
      <c r="LW1510" s="42" t="str">
        <f ca="1"/>
        <v/>
      </c>
      <c r="LX1510" s="42" t="str">
        <f ca="1"/>
        <v/>
      </c>
      <c r="LY1510" s="42" t="str">
        <f ca="1"/>
        <v/>
      </c>
      <c r="LZ1510" s="42" t="str">
        <f ca="1"/>
        <v/>
      </c>
      <c r="MA1510" s="42" t="str">
        <f ca="1"/>
        <v/>
      </c>
      <c r="MB1510" s="42" t="str">
        <f ca="1"/>
        <v/>
      </c>
      <c r="MC1510" s="42" t="str">
        <f ca="1"/>
        <v/>
      </c>
      <c r="MD1510" s="42" t="str">
        <f ca="1"/>
        <v/>
      </c>
      <c r="ME1510" s="42" t="str">
        <f ca="1"/>
        <v/>
      </c>
      <c r="MF1510" s="42" t="str">
        <f ca="1"/>
        <v/>
      </c>
      <c r="MG1510" s="42" t="str">
        <f ca="1"/>
        <v/>
      </c>
      <c r="MH1510" s="42" t="str">
        <f ca="1"/>
        <v/>
      </c>
      <c r="MI1510" s="42" t="str">
        <f ca="1"/>
        <v/>
      </c>
      <c r="MJ1510" s="42" t="str">
        <f ca="1"/>
        <v/>
      </c>
      <c r="MK1510" s="42" t="str">
        <f ca="1"/>
        <v/>
      </c>
      <c r="ML1510" s="42" t="str">
        <f ca="1"/>
        <v/>
      </c>
      <c r="MM1510" s="42" t="str">
        <f ca="1"/>
        <v/>
      </c>
      <c r="MN1510" s="42" t="str">
        <f ca="1"/>
        <v/>
      </c>
      <c r="MO1510" s="42" t="str">
        <f ca="1"/>
        <v/>
      </c>
      <c r="MP1510" s="42" t="str">
        <f ca="1"/>
        <v/>
      </c>
      <c r="MQ1510" s="42" t="str">
        <f ca="1"/>
        <v/>
      </c>
      <c r="MR1510" s="42" t="str">
        <f ca="1"/>
        <v/>
      </c>
      <c r="MS1510" s="42" t="str">
        <f ca="1"/>
        <v/>
      </c>
      <c r="MT1510" s="42" t="str">
        <f ca="1"/>
        <v/>
      </c>
      <c r="MU1510" s="42" t="str">
        <f ca="1"/>
        <v/>
      </c>
      <c r="MV1510" s="42" t="str">
        <f ca="1"/>
        <v/>
      </c>
      <c r="MW1510" s="42" t="str">
        <f ca="1"/>
        <v/>
      </c>
      <c r="MX1510" s="42" t="str">
        <f ca="1"/>
        <v/>
      </c>
      <c r="MY1510" s="42" t="str">
        <f ca="1"/>
        <v/>
      </c>
      <c r="MZ1510" s="42" t="str">
        <f ca="1"/>
        <v/>
      </c>
      <c r="NA1510" s="42" t="str">
        <f ca="1"/>
        <v/>
      </c>
      <c r="NB1510" s="42" t="str">
        <f ca="1"/>
        <v/>
      </c>
      <c r="NC1510" s="42" t="str">
        <f ca="1"/>
        <v/>
      </c>
      <c r="ND1510" s="42" t="str">
        <f ca="1"/>
        <v/>
      </c>
      <c r="NE1510" s="42" t="str">
        <f ca="1"/>
        <v/>
      </c>
      <c r="NF1510" s="42" t="str">
        <f ca="1"/>
        <v/>
      </c>
      <c r="NG1510" s="42" t="str">
        <f ca="1"/>
        <v/>
      </c>
      <c r="NH1510" s="42" t="str">
        <f ca="1"/>
        <v/>
      </c>
      <c r="NI1510" s="42" t="str">
        <f ca="1"/>
        <v/>
      </c>
      <c r="NJ1510" s="42" t="str">
        <f ca="1"/>
        <v/>
      </c>
      <c r="NK1510" s="42" t="str">
        <f ca="1"/>
        <v/>
      </c>
      <c r="NL1510" s="42" t="str">
        <f ca="1"/>
        <v/>
      </c>
      <c r="NM1510" s="42" t="str">
        <f ca="1"/>
        <v/>
      </c>
      <c r="NN1510" s="42" t="str">
        <f ca="1"/>
        <v/>
      </c>
      <c r="NO1510" s="42" t="str">
        <f ca="1"/>
        <v/>
      </c>
      <c r="NP1510" s="42" t="str">
        <f ca="1"/>
        <v/>
      </c>
      <c r="NQ1510" s="42" t="str">
        <f ca="1"/>
        <v/>
      </c>
      <c r="NR1510" s="42" t="str">
        <f ca="1"/>
        <v/>
      </c>
      <c r="NS1510" s="42" t="str">
        <f ca="1"/>
        <v/>
      </c>
      <c r="NT1510" s="42" t="str">
        <f ca="1"/>
        <v/>
      </c>
      <c r="NU1510" s="42" t="str">
        <f ca="1"/>
        <v/>
      </c>
      <c r="NV1510" s="42" t="str">
        <f ca="1"/>
        <v/>
      </c>
      <c r="NW1510" s="42" t="str">
        <f ca="1"/>
        <v/>
      </c>
      <c r="NX1510" s="42" t="str">
        <f ca="1"/>
        <v/>
      </c>
      <c r="NY1510" s="42" t="str">
        <f ca="1"/>
        <v/>
      </c>
      <c r="NZ1510" s="42" t="str">
        <f ca="1"/>
        <v/>
      </c>
      <c r="OA1510" s="42" t="str">
        <f ca="1"/>
        <v/>
      </c>
      <c r="OB1510" s="42" t="str">
        <f ca="1"/>
        <v/>
      </c>
      <c r="OC1510" s="42" t="str">
        <f ca="1"/>
        <v/>
      </c>
      <c r="OD1510" s="42" t="str">
        <f ca="1"/>
        <v/>
      </c>
      <c r="OE1510" s="42" t="str">
        <f ca="1"/>
        <v/>
      </c>
      <c r="OF1510" s="42" t="str">
        <f ca="1"/>
        <v/>
      </c>
      <c r="OG1510" s="42" t="str">
        <f ca="1"/>
        <v/>
      </c>
      <c r="OH1510" s="42" t="str">
        <f ca="1"/>
        <v/>
      </c>
      <c r="OI1510" s="42" t="str">
        <f ca="1"/>
        <v/>
      </c>
      <c r="OJ1510" s="42" t="str">
        <f ca="1"/>
        <v/>
      </c>
      <c r="OK1510" s="42" t="str">
        <f ca="1"/>
        <v/>
      </c>
      <c r="OL1510" s="42" t="str">
        <f ca="1"/>
        <v/>
      </c>
      <c r="OM1510" s="42" t="str">
        <f ca="1"/>
        <v/>
      </c>
      <c r="ON1510" s="42" t="str">
        <f ca="1"/>
        <v/>
      </c>
      <c r="OO1510" s="42" t="str">
        <f ca="1"/>
        <v/>
      </c>
      <c r="OP1510" s="42" t="str">
        <f ca="1"/>
        <v/>
      </c>
      <c r="OQ1510" s="42" t="str">
        <f ca="1"/>
        <v/>
      </c>
      <c r="OR1510" s="42" t="str">
        <f ca="1"/>
        <v/>
      </c>
      <c r="OS1510" s="42" t="str">
        <f ca="1"/>
        <v/>
      </c>
      <c r="OT1510" s="42" t="str">
        <f ca="1"/>
        <v/>
      </c>
      <c r="OU1510" s="42" t="str">
        <f ca="1"/>
        <v/>
      </c>
      <c r="OV1510" s="42" t="str">
        <f ca="1"/>
        <v/>
      </c>
      <c r="OW1510" s="42" t="str">
        <f ca="1"/>
        <v/>
      </c>
      <c r="OX1510" s="42" t="str">
        <f ca="1"/>
        <v/>
      </c>
      <c r="OY1510" s="42" t="str">
        <f ca="1"/>
        <v/>
      </c>
      <c r="OZ1510" s="42" t="str">
        <f ca="1"/>
        <v/>
      </c>
      <c r="PA1510" s="42" t="str">
        <f ca="1"/>
        <v/>
      </c>
      <c r="PB1510" s="42" t="str">
        <f ca="1"/>
        <v/>
      </c>
      <c r="PC1510" s="42" t="str">
        <f ca="1"/>
        <v/>
      </c>
      <c r="PD1510" s="42" t="str">
        <f ca="1"/>
        <v/>
      </c>
      <c r="PE1510" s="42" t="str">
        <f ca="1"/>
        <v/>
      </c>
      <c r="PF1510" s="42" t="str">
        <f ca="1"/>
        <v/>
      </c>
      <c r="PG1510" s="42" t="str">
        <f ca="1"/>
        <v/>
      </c>
      <c r="PH1510" s="42" t="str">
        <f ca="1"/>
        <v/>
      </c>
      <c r="PI1510" s="42" t="str">
        <f ca="1"/>
        <v/>
      </c>
      <c r="PJ1510" s="42" t="str">
        <f ca="1"/>
        <v/>
      </c>
      <c r="PK1510" s="42" t="str">
        <f ca="1"/>
        <v/>
      </c>
      <c r="PL1510" s="42" t="str">
        <f ca="1"/>
        <v/>
      </c>
      <c r="PM1510" s="42" t="str">
        <f ca="1"/>
        <v/>
      </c>
      <c r="PN1510" s="42" t="str">
        <f ca="1"/>
        <v/>
      </c>
      <c r="PO1510" s="42" t="str">
        <f ca="1"/>
        <v/>
      </c>
      <c r="PP1510" s="42" t="str">
        <f ca="1"/>
        <v/>
      </c>
      <c r="PQ1510" s="42" t="str">
        <f ca="1"/>
        <v/>
      </c>
      <c r="PR1510" s="42" t="str">
        <f ca="1"/>
        <v/>
      </c>
      <c r="PS1510" s="42" t="str">
        <f ca="1"/>
        <v/>
      </c>
      <c r="PT1510" s="42" t="str">
        <f ca="1"/>
        <v/>
      </c>
      <c r="PU1510" s="42" t="str">
        <f ca="1"/>
        <v/>
      </c>
      <c r="PV1510" s="42" t="str">
        <f ca="1"/>
        <v/>
      </c>
      <c r="PW1510" s="42" t="str">
        <f ca="1"/>
        <v/>
      </c>
      <c r="PX1510" s="42" t="str">
        <f ca="1"/>
        <v/>
      </c>
      <c r="PY1510" s="42" t="str">
        <f ca="1"/>
        <v/>
      </c>
      <c r="PZ1510" s="42" t="str">
        <f ca="1"/>
        <v/>
      </c>
      <c r="QA1510" s="42" t="str">
        <f ca="1"/>
        <v/>
      </c>
      <c r="QB1510" s="42" t="str">
        <f ca="1"/>
        <v/>
      </c>
      <c r="QC1510" s="42" t="str">
        <f ca="1"/>
        <v/>
      </c>
      <c r="QD1510" s="42" t="str">
        <f ca="1"/>
        <v/>
      </c>
      <c r="QE1510" s="42" t="str">
        <f ca="1"/>
        <v/>
      </c>
      <c r="QF1510" s="42" t="str">
        <f ca="1"/>
        <v/>
      </c>
      <c r="QG1510" s="42" t="str">
        <f ca="1"/>
        <v/>
      </c>
      <c r="QH1510" s="42" t="str">
        <f ca="1"/>
        <v/>
      </c>
      <c r="QI1510" s="42" t="str">
        <f ca="1"/>
        <v/>
      </c>
      <c r="QJ1510" s="42" t="str">
        <f ca="1"/>
        <v/>
      </c>
      <c r="QK1510" s="42" t="str">
        <f ca="1"/>
        <v/>
      </c>
      <c r="QL1510" s="42" t="str">
        <f ca="1"/>
        <v/>
      </c>
      <c r="QM1510" s="42" t="str">
        <f ca="1"/>
        <v/>
      </c>
      <c r="QN1510" s="42" t="str">
        <f ca="1"/>
        <v/>
      </c>
      <c r="QO1510" s="42" t="str">
        <f ca="1"/>
        <v/>
      </c>
      <c r="QP1510" s="42" t="str">
        <f ca="1"/>
        <v/>
      </c>
      <c r="QQ1510" s="42" t="str">
        <f ca="1"/>
        <v/>
      </c>
      <c r="QR1510" s="42" t="str">
        <f ca="1"/>
        <v/>
      </c>
      <c r="QS1510" s="42" t="str">
        <f ca="1"/>
        <v/>
      </c>
      <c r="QT1510" s="42" t="str">
        <f ca="1"/>
        <v/>
      </c>
      <c r="QU1510" s="42" t="str">
        <f ca="1"/>
        <v/>
      </c>
      <c r="QV1510" s="42" t="str">
        <f ca="1"/>
        <v/>
      </c>
      <c r="QW1510" s="42" t="str">
        <f ca="1"/>
        <v/>
      </c>
      <c r="QX1510" s="42" t="str">
        <f ca="1"/>
        <v/>
      </c>
      <c r="QY1510" s="42" t="str">
        <f ca="1"/>
        <v/>
      </c>
      <c r="QZ1510" s="42" t="str">
        <f ca="1"/>
        <v/>
      </c>
      <c r="RA1510" s="42" t="str">
        <f ca="1"/>
        <v/>
      </c>
      <c r="RB1510" s="42" t="str">
        <f ca="1"/>
        <v/>
      </c>
      <c r="RC1510" s="42" t="str">
        <f ca="1"/>
        <v/>
      </c>
      <c r="RD1510" s="42" t="str">
        <f ca="1"/>
        <v/>
      </c>
      <c r="RE1510" s="42" t="str">
        <f ca="1"/>
        <v/>
      </c>
      <c r="RF1510" s="42" t="str">
        <f ca="1"/>
        <v/>
      </c>
      <c r="RG1510" s="42" t="str">
        <f ca="1"/>
        <v/>
      </c>
      <c r="RH1510" s="42" t="str">
        <f ca="1"/>
        <v/>
      </c>
      <c r="RI1510" s="42" t="str">
        <f ca="1"/>
        <v/>
      </c>
      <c r="RJ1510" s="42" t="str">
        <f ca="1"/>
        <v/>
      </c>
      <c r="RK1510" s="42" t="str">
        <f ca="1"/>
        <v/>
      </c>
      <c r="RL1510" s="42" t="str">
        <f ca="1"/>
        <v/>
      </c>
      <c r="RM1510" s="42" t="str">
        <f ca="1"/>
        <v/>
      </c>
      <c r="RN1510" s="42" t="str">
        <f ca="1"/>
        <v/>
      </c>
      <c r="RO1510" s="42" t="str">
        <f ca="1"/>
        <v/>
      </c>
      <c r="RP1510" s="42" t="str">
        <f ca="1"/>
        <v/>
      </c>
      <c r="RQ1510" s="42" t="str">
        <f ca="1"/>
        <v/>
      </c>
      <c r="RR1510" s="42" t="str">
        <f ca="1"/>
        <v/>
      </c>
      <c r="RS1510" s="42" t="str">
        <f ca="1"/>
        <v/>
      </c>
      <c r="RT1510" s="42" t="str">
        <f ca="1"/>
        <v/>
      </c>
      <c r="RU1510" s="42" t="str">
        <f ca="1"/>
        <v/>
      </c>
      <c r="RV1510" s="42" t="str">
        <f ca="1"/>
        <v/>
      </c>
      <c r="RW1510" s="42" t="str">
        <f ca="1"/>
        <v/>
      </c>
      <c r="RX1510" s="42" t="str">
        <f ca="1"/>
        <v/>
      </c>
      <c r="RY1510" s="42" t="str">
        <f ca="1"/>
        <v/>
      </c>
      <c r="RZ1510" s="42" t="str">
        <f ca="1"/>
        <v/>
      </c>
      <c r="SA1510" s="42" t="str">
        <f ca="1"/>
        <v/>
      </c>
      <c r="SB1510" s="42" t="str">
        <f ca="1"/>
        <v/>
      </c>
      <c r="SC1510" s="42" t="str">
        <f ca="1"/>
        <v/>
      </c>
      <c r="SD1510" s="42" t="str">
        <f ca="1"/>
        <v/>
      </c>
      <c r="SE1510" s="42" t="str">
        <f ca="1"/>
        <v/>
      </c>
      <c r="SF1510" s="42" t="str">
        <f ca="1"/>
        <v/>
      </c>
      <c r="SG1510" s="42" t="str">
        <f ca="1"/>
        <v/>
      </c>
      <c r="SH1510" s="42" t="str">
        <f ca="1"/>
        <v/>
      </c>
      <c r="SI1510" s="42" t="str">
        <f ca="1"/>
        <v/>
      </c>
      <c r="SJ1510" s="42" t="str">
        <f ca="1"/>
        <v/>
      </c>
      <c r="SK1510" s="42" t="str">
        <f ca="1"/>
        <v/>
      </c>
      <c r="SL1510" s="42" t="str">
        <f ca="1"/>
        <v/>
      </c>
      <c r="SM1510" s="42" t="str">
        <f ca="1"/>
        <v/>
      </c>
      <c r="SN1510" s="42" t="str">
        <f ca="1"/>
        <v/>
      </c>
      <c r="SO1510" s="42" t="str">
        <f ca="1"/>
        <v/>
      </c>
      <c r="SP1510" s="42" t="str">
        <f ca="1"/>
        <v/>
      </c>
      <c r="SQ1510" s="42" t="str">
        <f ca="1"/>
        <v/>
      </c>
      <c r="SR1510" s="42" t="str">
        <f ca="1"/>
        <v/>
      </c>
      <c r="SS1510" s="42" t="str">
        <f ca="1"/>
        <v/>
      </c>
      <c r="ST1510" s="42" t="str">
        <f ca="1"/>
        <v/>
      </c>
      <c r="SU1510" s="42" t="str">
        <f ca="1"/>
        <v/>
      </c>
      <c r="SV1510" s="42" t="str">
        <f ca="1"/>
        <v/>
      </c>
      <c r="SW1510" s="42" t="str">
        <f ca="1"/>
        <v/>
      </c>
      <c r="SX1510" s="42" t="str">
        <f ca="1"/>
        <v/>
      </c>
      <c r="SY1510" s="42" t="str">
        <f ca="1"/>
        <v/>
      </c>
      <c r="SZ1510" s="42" t="str">
        <f ca="1"/>
        <v/>
      </c>
      <c r="TA1510" s="42" t="str">
        <f ca="1"/>
        <v/>
      </c>
      <c r="TB1510" s="42" t="str">
        <f ca="1"/>
        <v/>
      </c>
      <c r="TC1510" s="42" t="str">
        <f ca="1"/>
        <v/>
      </c>
      <c r="TD1510" s="42" t="str">
        <f ca="1"/>
        <v/>
      </c>
      <c r="TE1510" s="42" t="str">
        <f ca="1"/>
        <v/>
      </c>
      <c r="TF1510" s="42" t="str">
        <f ca="1"/>
        <v/>
      </c>
      <c r="TG1510" s="42" t="str">
        <f ca="1"/>
        <v/>
      </c>
      <c r="TH1510" s="42" t="str">
        <f ca="1"/>
        <v/>
      </c>
      <c r="TI1510" s="42" t="str">
        <f ca="1"/>
        <v/>
      </c>
      <c r="TJ1510" s="42" t="str">
        <f ca="1"/>
        <v/>
      </c>
      <c r="TK1510" s="42" t="str">
        <f ca="1"/>
        <v/>
      </c>
      <c r="TL1510" s="42" t="str">
        <f ca="1"/>
        <v/>
      </c>
      <c r="TM1510" s="42" t="str">
        <f ca="1"/>
        <v/>
      </c>
      <c r="TN1510" s="42" t="str">
        <f ca="1"/>
        <v/>
      </c>
      <c r="TO1510" s="42" t="str">
        <f ca="1"/>
        <v/>
      </c>
      <c r="TP1510" s="42" t="str">
        <f ca="1"/>
        <v/>
      </c>
      <c r="TQ1510" s="42" t="str">
        <f ca="1"/>
        <v/>
      </c>
      <c r="TR1510" s="42" t="str">
        <f ca="1"/>
        <v/>
      </c>
      <c r="TS1510" s="42" t="str">
        <f ca="1"/>
        <v/>
      </c>
      <c r="TT1510" s="42" t="str">
        <f ca="1"/>
        <v/>
      </c>
      <c r="TU1510" s="42" t="str">
        <f ca="1"/>
        <v/>
      </c>
      <c r="TV1510" s="42" t="str">
        <f ca="1"/>
        <v/>
      </c>
      <c r="TW1510" s="42" t="str">
        <f ca="1"/>
        <v/>
      </c>
      <c r="TX1510" s="42" t="str">
        <f ca="1"/>
        <v/>
      </c>
      <c r="TY1510" s="42" t="str">
        <f ca="1"/>
        <v/>
      </c>
      <c r="TZ1510" s="42" t="str">
        <f ca="1"/>
        <v/>
      </c>
      <c r="UA1510" s="42" t="str">
        <f ca="1"/>
        <v/>
      </c>
      <c r="UB1510" s="42" t="str">
        <f ca="1"/>
        <v/>
      </c>
      <c r="UC1510" s="42" t="str">
        <f ca="1"/>
        <v/>
      </c>
      <c r="UD1510" s="42" t="str">
        <f ca="1"/>
        <v/>
      </c>
      <c r="UE1510" s="42" t="str">
        <f ca="1"/>
        <v/>
      </c>
      <c r="UF1510" s="42" t="str">
        <f ca="1"/>
        <v/>
      </c>
      <c r="UG1510" s="42" t="str">
        <f ca="1"/>
        <v/>
      </c>
      <c r="UH1510" s="42" t="str">
        <f ca="1"/>
        <v/>
      </c>
      <c r="UI1510" s="42" t="str">
        <f ca="1"/>
        <v/>
      </c>
      <c r="UJ1510" s="42" t="str">
        <f ca="1"/>
        <v/>
      </c>
      <c r="UK1510" s="42" t="str">
        <f ca="1"/>
        <v/>
      </c>
      <c r="UL1510" s="42" t="str">
        <f ca="1"/>
        <v/>
      </c>
      <c r="UM1510" s="42" t="str">
        <f ca="1"/>
        <v/>
      </c>
      <c r="UN1510" s="42" t="str">
        <f ca="1"/>
        <v/>
      </c>
      <c r="UO1510" s="42" t="str">
        <f ca="1"/>
        <v/>
      </c>
      <c r="UP1510" s="42" t="str">
        <f ca="1"/>
        <v/>
      </c>
      <c r="UQ1510" s="42" t="str">
        <f ca="1"/>
        <v/>
      </c>
      <c r="UR1510" s="42" t="str">
        <f ca="1"/>
        <v/>
      </c>
      <c r="US1510" s="42" t="str">
        <f ca="1"/>
        <v/>
      </c>
      <c r="UT1510" s="42" t="str">
        <f ca="1"/>
        <v/>
      </c>
      <c r="UU1510" s="42" t="str">
        <f ca="1"/>
        <v/>
      </c>
      <c r="UV1510" s="42" t="str">
        <f ca="1"/>
        <v/>
      </c>
      <c r="UW1510" s="42" t="str">
        <f ca="1"/>
        <v/>
      </c>
      <c r="UX1510" s="42" t="str">
        <f ca="1"/>
        <v/>
      </c>
      <c r="UY1510" s="42" t="str">
        <f ca="1"/>
        <v/>
      </c>
      <c r="UZ1510" s="42" t="str">
        <f ca="1"/>
        <v/>
      </c>
      <c r="VA1510" s="42" t="str">
        <f ca="1"/>
        <v/>
      </c>
      <c r="VB1510" s="42" t="str">
        <f ca="1"/>
        <v/>
      </c>
      <c r="VC1510" s="42" t="str">
        <f ca="1"/>
        <v/>
      </c>
      <c r="VD1510" s="42" t="str">
        <f ca="1"/>
        <v/>
      </c>
      <c r="VE1510" s="42" t="str">
        <f ca="1"/>
        <v/>
      </c>
      <c r="VF1510" s="42" t="str">
        <f ca="1"/>
        <v/>
      </c>
      <c r="VG1510" s="42" t="str">
        <f ca="1"/>
        <v/>
      </c>
      <c r="VH1510" s="42" t="str">
        <f ca="1"/>
        <v/>
      </c>
      <c r="VI1510" s="42" t="str">
        <f ca="1"/>
        <v/>
      </c>
      <c r="VJ1510" s="42" t="str">
        <f ca="1"/>
        <v/>
      </c>
      <c r="VK1510" s="42" t="str">
        <f ca="1"/>
        <v/>
      </c>
      <c r="VL1510" s="42" t="str">
        <f ca="1"/>
        <v/>
      </c>
      <c r="VM1510" s="42" t="str">
        <f ca="1"/>
        <v/>
      </c>
      <c r="VN1510" s="42" t="str">
        <f ca="1"/>
        <v/>
      </c>
      <c r="VO1510" s="42" t="str">
        <f ca="1"/>
        <v/>
      </c>
      <c r="VP1510" s="42" t="str">
        <f ca="1"/>
        <v/>
      </c>
      <c r="VQ1510" s="42" t="str">
        <f ca="1"/>
        <v/>
      </c>
      <c r="VR1510" s="42" t="str">
        <f ca="1"/>
        <v/>
      </c>
      <c r="VS1510" s="42" t="str">
        <f ca="1"/>
        <v/>
      </c>
      <c r="VT1510" s="42" t="str">
        <f ca="1"/>
        <v/>
      </c>
      <c r="VU1510" s="42" t="str">
        <f ca="1"/>
        <v/>
      </c>
      <c r="VV1510" s="42" t="str">
        <f ca="1"/>
        <v/>
      </c>
      <c r="VW1510" s="42" t="str">
        <f ca="1"/>
        <v/>
      </c>
      <c r="VX1510" s="42" t="str">
        <f ca="1"/>
        <v/>
      </c>
      <c r="VY1510" s="42" t="str">
        <f ca="1"/>
        <v/>
      </c>
      <c r="VZ1510" s="42" t="str">
        <f ca="1"/>
        <v/>
      </c>
      <c r="WA1510" s="42" t="str">
        <f ca="1"/>
        <v/>
      </c>
      <c r="WB1510" s="42" t="str">
        <f ca="1"/>
        <v/>
      </c>
      <c r="WC1510" s="42" t="str">
        <f ca="1"/>
        <v/>
      </c>
      <c r="WD1510" s="42" t="str">
        <f ca="1"/>
        <v/>
      </c>
      <c r="WE1510" s="42" t="str">
        <f ca="1"/>
        <v/>
      </c>
      <c r="WF1510" s="42" t="str">
        <f ca="1"/>
        <v/>
      </c>
      <c r="WG1510" s="42" t="str">
        <f ca="1"/>
        <v/>
      </c>
      <c r="WH1510" s="42" t="str">
        <f ca="1"/>
        <v/>
      </c>
      <c r="WI1510" s="42" t="str">
        <f ca="1"/>
        <v/>
      </c>
      <c r="WJ1510" s="42" t="str">
        <f ca="1"/>
        <v/>
      </c>
      <c r="WK1510" s="42" t="str">
        <f ca="1"/>
        <v/>
      </c>
      <c r="WL1510" s="42" t="str">
        <f ca="1"/>
        <v/>
      </c>
      <c r="WM1510" s="42" t="str">
        <f ca="1"/>
        <v/>
      </c>
      <c r="WN1510" s="42" t="str">
        <f ca="1"/>
        <v/>
      </c>
      <c r="WO1510" s="42" t="str">
        <f ca="1"/>
        <v/>
      </c>
      <c r="WP1510" s="42" t="str">
        <f ca="1"/>
        <v/>
      </c>
      <c r="WQ1510" s="42" t="str">
        <f ca="1"/>
        <v/>
      </c>
      <c r="WR1510" s="42" t="str">
        <f ca="1"/>
        <v/>
      </c>
      <c r="WS1510" s="42" t="str">
        <f ca="1"/>
        <v/>
      </c>
      <c r="WT1510" s="42" t="str">
        <f ca="1"/>
        <v/>
      </c>
      <c r="WU1510" s="42" t="str">
        <f ca="1"/>
        <v/>
      </c>
      <c r="WV1510" s="42" t="str">
        <f ca="1"/>
        <v/>
      </c>
      <c r="WW1510" s="42" t="str">
        <f ca="1"/>
        <v/>
      </c>
      <c r="WX1510" s="42" t="str">
        <f ca="1"/>
        <v/>
      </c>
      <c r="WY1510" s="42" t="str">
        <f ca="1"/>
        <v/>
      </c>
      <c r="WZ1510" s="42" t="str">
        <f ca="1"/>
        <v/>
      </c>
      <c r="XA1510" s="42" t="str">
        <f ca="1"/>
        <v/>
      </c>
      <c r="XB1510" s="42" t="str">
        <f ca="1"/>
        <v/>
      </c>
      <c r="XC1510" s="42" t="str">
        <f ca="1"/>
        <v/>
      </c>
      <c r="XD1510" s="42" t="str">
        <f ca="1"/>
        <v/>
      </c>
      <c r="XE1510" s="42" t="str">
        <f ca="1"/>
        <v/>
      </c>
      <c r="XF1510" s="42" t="str">
        <f ca="1"/>
        <v/>
      </c>
      <c r="XG1510" s="42" t="str">
        <f ca="1"/>
        <v/>
      </c>
      <c r="XH1510" s="42" t="str">
        <f ca="1"/>
        <v/>
      </c>
      <c r="XI1510" s="42" t="str">
        <f ca="1"/>
        <v/>
      </c>
      <c r="XJ1510" s="42" t="str">
        <f ca="1"/>
        <v/>
      </c>
      <c r="XK1510" s="42" t="str">
        <f ca="1"/>
        <v/>
      </c>
      <c r="XL1510" s="42" t="str">
        <f ca="1"/>
        <v/>
      </c>
      <c r="XM1510" s="42" t="str">
        <f ca="1"/>
        <v/>
      </c>
      <c r="XN1510" s="42" t="str">
        <f ca="1"/>
        <v/>
      </c>
      <c r="XO1510" s="42" t="str">
        <f ca="1"/>
        <v/>
      </c>
      <c r="XP1510" s="42" t="str">
        <f ca="1"/>
        <v/>
      </c>
      <c r="XQ1510" s="42" t="str">
        <f ca="1"/>
        <v/>
      </c>
      <c r="XR1510" s="42" t="str">
        <f ca="1"/>
        <v/>
      </c>
      <c r="XS1510" s="42" t="str">
        <f ca="1"/>
        <v/>
      </c>
      <c r="XT1510" s="42" t="str">
        <f ca="1"/>
        <v/>
      </c>
      <c r="XU1510" s="42" t="str">
        <f ca="1"/>
        <v/>
      </c>
      <c r="XV1510" s="42" t="str">
        <f ca="1"/>
        <v/>
      </c>
      <c r="XW1510" s="42" t="str">
        <f ca="1"/>
        <v/>
      </c>
      <c r="XX1510" s="42" t="str">
        <f ca="1"/>
        <v/>
      </c>
      <c r="XY1510" s="42" t="str">
        <f ca="1"/>
        <v/>
      </c>
      <c r="XZ1510" s="42" t="str">
        <f ca="1"/>
        <v/>
      </c>
      <c r="YA1510" s="42" t="str">
        <f ca="1"/>
        <v/>
      </c>
      <c r="YB1510" s="42" t="str">
        <f ca="1"/>
        <v/>
      </c>
      <c r="YC1510" s="42" t="str">
        <f ca="1"/>
        <v/>
      </c>
      <c r="YD1510" s="42" t="str">
        <f ca="1"/>
        <v/>
      </c>
      <c r="YE1510" s="42" t="str">
        <f ca="1"/>
        <v/>
      </c>
      <c r="YF1510" s="42" t="str">
        <f ca="1"/>
        <v/>
      </c>
      <c r="YG1510" s="42" t="str">
        <f ca="1"/>
        <v/>
      </c>
      <c r="YH1510" s="42" t="str">
        <f ca="1"/>
        <v/>
      </c>
      <c r="YI1510" s="42" t="str">
        <f ca="1"/>
        <v/>
      </c>
      <c r="YJ1510" s="42" t="str">
        <f ca="1"/>
        <v/>
      </c>
      <c r="YK1510" s="42" t="str">
        <f ca="1"/>
        <v/>
      </c>
      <c r="YL1510" s="42" t="str">
        <f ca="1"/>
        <v/>
      </c>
      <c r="YM1510" s="42" t="str">
        <f ca="1"/>
        <v/>
      </c>
      <c r="YN1510" s="42" t="str">
        <f ca="1"/>
        <v/>
      </c>
      <c r="YO1510" s="42" t="str">
        <f ca="1"/>
        <v/>
      </c>
      <c r="YP1510" s="42" t="str">
        <f ca="1"/>
        <v/>
      </c>
      <c r="YQ1510" s="42" t="str">
        <f ca="1"/>
        <v/>
      </c>
      <c r="YR1510" s="42" t="str">
        <f ca="1"/>
        <v/>
      </c>
      <c r="YS1510" s="42" t="str">
        <f ca="1"/>
        <v/>
      </c>
      <c r="YT1510" s="42" t="str">
        <f ca="1"/>
        <v/>
      </c>
      <c r="YU1510" s="42" t="str">
        <f ca="1"/>
        <v/>
      </c>
      <c r="YV1510" s="42" t="str">
        <f ca="1"/>
        <v/>
      </c>
      <c r="YW1510" s="42" t="str">
        <f ca="1"/>
        <v/>
      </c>
      <c r="YX1510" s="42" t="str">
        <f ca="1"/>
        <v/>
      </c>
      <c r="YY1510" s="42" t="str">
        <f ca="1"/>
        <v/>
      </c>
      <c r="YZ1510" s="42" t="str">
        <f ca="1"/>
        <v/>
      </c>
      <c r="ZA1510" s="42" t="str">
        <f ca="1"/>
        <v/>
      </c>
      <c r="ZB1510" s="42" t="str">
        <f ca="1"/>
        <v/>
      </c>
      <c r="ZC1510" s="42" t="str">
        <f ca="1"/>
        <v/>
      </c>
      <c r="ZD1510" s="42" t="str">
        <f ca="1"/>
        <v/>
      </c>
      <c r="ZE1510" s="42" t="str">
        <f ca="1"/>
        <v/>
      </c>
      <c r="ZF1510" s="42" t="str">
        <f ca="1"/>
        <v/>
      </c>
      <c r="ZG1510" s="42" t="str">
        <f ca="1"/>
        <v/>
      </c>
      <c r="ZH1510" s="42" t="str">
        <f ca="1"/>
        <v/>
      </c>
      <c r="ZI1510" s="42" t="str">
        <f ca="1"/>
        <v/>
      </c>
      <c r="ZJ1510" s="42" t="str">
        <f ca="1"/>
        <v/>
      </c>
      <c r="ZK1510" s="42" t="str">
        <f ca="1"/>
        <v/>
      </c>
      <c r="ZL1510" s="42" t="str">
        <f ca="1"/>
        <v/>
      </c>
      <c r="ZM1510" s="42" t="str">
        <f ca="1"/>
        <v/>
      </c>
      <c r="ZN1510" s="42" t="str">
        <f ca="1"/>
        <v/>
      </c>
      <c r="ZO1510" s="42" t="str">
        <f ca="1"/>
        <v/>
      </c>
      <c r="ZP1510" s="42" t="str">
        <f ca="1"/>
        <v/>
      </c>
      <c r="ZQ1510" s="42" t="str">
        <f ca="1"/>
        <v/>
      </c>
      <c r="ZR1510" s="42" t="str">
        <f ca="1"/>
        <v/>
      </c>
      <c r="ZS1510" s="42" t="str">
        <f ca="1"/>
        <v/>
      </c>
      <c r="ZT1510" s="42" t="str">
        <f ca="1"/>
        <v/>
      </c>
      <c r="ZU1510" s="42" t="str">
        <f ca="1"/>
        <v/>
      </c>
      <c r="ZV1510" s="42" t="str">
        <f ca="1"/>
        <v/>
      </c>
      <c r="ZW1510" s="42" t="str">
        <f ca="1"/>
        <v/>
      </c>
      <c r="ZX1510" s="42" t="str">
        <f ca="1"/>
        <v/>
      </c>
      <c r="ZY1510" s="42" t="str">
        <f ca="1"/>
        <v/>
      </c>
      <c r="ZZ1510" s="42" t="str">
        <f ca="1"/>
        <v/>
      </c>
      <c r="AAA1510" s="42" t="str">
        <f ca="1"/>
        <v/>
      </c>
      <c r="AAB1510" s="42" t="str">
        <f ca="1"/>
        <v/>
      </c>
      <c r="AAC1510" s="42" t="str">
        <f ca="1"/>
        <v/>
      </c>
      <c r="AAD1510" s="42" t="str">
        <f ca="1"/>
        <v/>
      </c>
      <c r="AAE1510" s="42" t="str">
        <f ca="1"/>
        <v/>
      </c>
      <c r="AAF1510" s="42" t="str">
        <f ca="1"/>
        <v/>
      </c>
      <c r="AAG1510" s="42" t="str">
        <f ca="1"/>
        <v/>
      </c>
      <c r="AAH1510" s="42" t="str">
        <f ca="1"/>
        <v/>
      </c>
      <c r="AAI1510" s="42" t="str">
        <f ca="1"/>
        <v/>
      </c>
      <c r="AAJ1510" s="42" t="str">
        <f ca="1"/>
        <v/>
      </c>
      <c r="AAK1510" s="42" t="str">
        <f ca="1"/>
        <v/>
      </c>
      <c r="AAL1510" s="42" t="str">
        <f ca="1"/>
        <v/>
      </c>
      <c r="AAM1510" s="42" t="str">
        <f ca="1"/>
        <v/>
      </c>
      <c r="AAN1510" s="42" t="str">
        <f ca="1"/>
        <v/>
      </c>
      <c r="AAO1510" s="42" t="str">
        <f ca="1"/>
        <v/>
      </c>
      <c r="AAP1510" s="42" t="str">
        <f ca="1"/>
        <v/>
      </c>
      <c r="AAQ1510" s="42" t="str">
        <f ca="1"/>
        <v/>
      </c>
      <c r="AAR1510" s="42" t="str">
        <f ca="1"/>
        <v/>
      </c>
      <c r="AAS1510" s="42" t="str">
        <f ca="1"/>
        <v/>
      </c>
      <c r="AAT1510" s="42" t="str">
        <f ca="1"/>
        <v/>
      </c>
      <c r="AAU1510" s="42" t="str">
        <f ca="1"/>
        <v/>
      </c>
      <c r="AAV1510" s="42" t="str">
        <f ca="1"/>
        <v/>
      </c>
      <c r="AAW1510" s="42" t="str">
        <f ca="1"/>
        <v/>
      </c>
      <c r="AAX1510" s="42" t="str">
        <f ca="1"/>
        <v/>
      </c>
      <c r="AAY1510" s="42" t="str">
        <f ca="1"/>
        <v/>
      </c>
      <c r="AAZ1510" s="42" t="str">
        <f ca="1"/>
        <v/>
      </c>
      <c r="ABA1510" s="42" t="str">
        <f ca="1"/>
        <v/>
      </c>
      <c r="ABB1510" s="42" t="str">
        <f ca="1"/>
        <v/>
      </c>
      <c r="ABC1510" s="42" t="str">
        <f ca="1"/>
        <v/>
      </c>
      <c r="ABD1510" s="42" t="str">
        <f ca="1"/>
        <v/>
      </c>
      <c r="ABE1510" s="42" t="str">
        <f ca="1"/>
        <v/>
      </c>
      <c r="ABF1510" s="42" t="str">
        <f ca="1"/>
        <v/>
      </c>
      <c r="ABG1510" s="42" t="str">
        <f ca="1"/>
        <v/>
      </c>
      <c r="ABH1510" s="42" t="str">
        <f ca="1"/>
        <v/>
      </c>
      <c r="ABI1510" s="42" t="str">
        <f ca="1"/>
        <v/>
      </c>
      <c r="ABJ1510" s="42" t="str">
        <f ca="1"/>
        <v/>
      </c>
      <c r="ABK1510" s="42" t="str">
        <f ca="1"/>
        <v/>
      </c>
      <c r="ABL1510" s="42" t="str">
        <f ca="1"/>
        <v/>
      </c>
      <c r="ABM1510" s="42" t="str">
        <f ca="1"/>
        <v/>
      </c>
      <c r="ABN1510" s="42" t="str">
        <f ca="1"/>
        <v/>
      </c>
      <c r="ABO1510" s="42" t="str">
        <f ca="1"/>
        <v/>
      </c>
      <c r="ABP1510" s="42" t="str">
        <f ca="1"/>
        <v/>
      </c>
      <c r="ABQ1510" s="42" t="str">
        <f ca="1"/>
        <v/>
      </c>
      <c r="ABR1510" s="42" t="str">
        <f ca="1"/>
        <v/>
      </c>
      <c r="ABS1510" s="42" t="str">
        <f ca="1"/>
        <v/>
      </c>
      <c r="ABT1510" s="42" t="str">
        <f ca="1"/>
        <v/>
      </c>
      <c r="ABU1510" s="42" t="str">
        <f ca="1"/>
        <v/>
      </c>
      <c r="ABV1510" s="42" t="str">
        <f ca="1"/>
        <v/>
      </c>
      <c r="ABW1510" s="42" t="str">
        <f ca="1"/>
        <v/>
      </c>
      <c r="ABX1510" s="42" t="str">
        <f ca="1"/>
        <v/>
      </c>
      <c r="ABY1510" s="42" t="str">
        <f ca="1"/>
        <v/>
      </c>
      <c r="ABZ1510" s="42" t="str">
        <f ca="1"/>
        <v/>
      </c>
      <c r="ACA1510" s="42" t="str">
        <f ca="1"/>
        <v/>
      </c>
      <c r="ACB1510" s="42" t="str">
        <f ca="1"/>
        <v/>
      </c>
      <c r="ACC1510" s="42" t="str">
        <f ca="1"/>
        <v/>
      </c>
      <c r="ACD1510" s="42" t="str">
        <f ca="1"/>
        <v/>
      </c>
      <c r="ACE1510" s="42" t="str">
        <f ca="1"/>
        <v/>
      </c>
      <c r="ACF1510" s="42" t="str">
        <f ca="1"/>
        <v/>
      </c>
      <c r="ACG1510" s="42" t="str">
        <f ca="1"/>
        <v/>
      </c>
      <c r="ACH1510" s="42" t="str">
        <f ca="1"/>
        <v/>
      </c>
      <c r="ACI1510" s="42" t="str">
        <f ca="1"/>
        <v/>
      </c>
      <c r="ACJ1510" s="42" t="str">
        <f ca="1"/>
        <v/>
      </c>
      <c r="ACK1510" s="42" t="str">
        <f ca="1"/>
        <v/>
      </c>
      <c r="ACL1510" s="42" t="str">
        <f ca="1"/>
        <v/>
      </c>
      <c r="ACM1510" s="42" t="str">
        <f ca="1"/>
        <v/>
      </c>
      <c r="ACN1510" s="42" t="str">
        <f ca="1"/>
        <v/>
      </c>
      <c r="ACO1510" s="42" t="str">
        <f ca="1"/>
        <v/>
      </c>
      <c r="ACP1510" s="42" t="str">
        <f ca="1"/>
        <v/>
      </c>
      <c r="ACQ1510" s="42" t="str">
        <f ca="1"/>
        <v/>
      </c>
      <c r="ACR1510" s="42" t="str">
        <f ca="1"/>
        <v/>
      </c>
      <c r="ACS1510" s="42" t="str">
        <f ca="1"/>
        <v/>
      </c>
      <c r="ACT1510" s="42" t="str">
        <f ca="1"/>
        <v/>
      </c>
      <c r="ACU1510" s="42" t="str">
        <f ca="1"/>
        <v/>
      </c>
      <c r="ACV1510" s="42" t="str">
        <f ca="1"/>
        <v/>
      </c>
      <c r="ACW1510" s="42" t="str">
        <f ca="1"/>
        <v/>
      </c>
      <c r="ACX1510" s="42" t="str">
        <f ca="1"/>
        <v/>
      </c>
      <c r="ACY1510" s="42" t="str">
        <f ca="1"/>
        <v/>
      </c>
      <c r="ACZ1510" s="42" t="str">
        <f ca="1"/>
        <v/>
      </c>
      <c r="ADA1510" s="42" t="str">
        <f ca="1"/>
        <v/>
      </c>
      <c r="ADB1510" s="42" t="str">
        <f ca="1"/>
        <v/>
      </c>
      <c r="ADC1510" s="42" t="str">
        <f ca="1"/>
        <v/>
      </c>
      <c r="ADD1510" s="42" t="str">
        <f ca="1"/>
        <v/>
      </c>
      <c r="ADE1510" s="42" t="str">
        <f ca="1"/>
        <v/>
      </c>
      <c r="ADF1510" s="42" t="str">
        <f ca="1"/>
        <v/>
      </c>
      <c r="ADG1510" s="42" t="str">
        <f ca="1"/>
        <v/>
      </c>
      <c r="ADH1510" s="42" t="str">
        <f ca="1"/>
        <v/>
      </c>
      <c r="ADI1510" s="42" t="str">
        <f ca="1"/>
        <v/>
      </c>
      <c r="ADJ1510" s="42" t="str">
        <f ca="1"/>
        <v/>
      </c>
      <c r="ADK1510" s="42" t="str">
        <f ca="1"/>
        <v/>
      </c>
      <c r="ADL1510" s="42" t="str">
        <f ca="1"/>
        <v/>
      </c>
      <c r="ADM1510" s="42" t="str">
        <f ca="1"/>
        <v/>
      </c>
      <c r="ADN1510" s="42" t="str">
        <f ca="1"/>
        <v/>
      </c>
      <c r="ADO1510" s="42" t="str">
        <f ca="1"/>
        <v/>
      </c>
      <c r="ADP1510" s="42" t="str">
        <f ca="1"/>
        <v/>
      </c>
      <c r="ADQ1510" s="42" t="str">
        <f ca="1"/>
        <v/>
      </c>
      <c r="ADR1510" s="42" t="str">
        <f ca="1"/>
        <v/>
      </c>
      <c r="ADS1510" s="42" t="str">
        <f ca="1"/>
        <v/>
      </c>
      <c r="ADT1510" s="42" t="str">
        <f ca="1"/>
        <v/>
      </c>
      <c r="ADU1510" s="42" t="str">
        <f ca="1"/>
        <v/>
      </c>
      <c r="ADV1510" s="42" t="str">
        <f ca="1"/>
        <v/>
      </c>
      <c r="ADW1510" s="42" t="str">
        <f ca="1"/>
        <v/>
      </c>
      <c r="ADX1510" s="42" t="str">
        <f ca="1"/>
        <v/>
      </c>
      <c r="ADY1510" s="42" t="str">
        <f ca="1"/>
        <v/>
      </c>
      <c r="ADZ1510" s="42" t="str">
        <f ca="1"/>
        <v/>
      </c>
      <c r="AEA1510" s="42" t="str">
        <f ca="1"/>
        <v/>
      </c>
      <c r="AEB1510" s="42" t="str">
        <f ca="1"/>
        <v/>
      </c>
      <c r="AEC1510" s="42" t="str">
        <f ca="1"/>
        <v/>
      </c>
      <c r="AED1510" s="42" t="str">
        <f ca="1"/>
        <v/>
      </c>
      <c r="AEE1510" s="42" t="str">
        <f ca="1"/>
        <v/>
      </c>
      <c r="AEF1510" s="42" t="str">
        <f ca="1"/>
        <v/>
      </c>
      <c r="AEG1510" s="42" t="str">
        <f ca="1"/>
        <v/>
      </c>
      <c r="AEH1510" s="42" t="str">
        <f ca="1"/>
        <v/>
      </c>
      <c r="AEI1510" s="42" t="str">
        <f ca="1"/>
        <v/>
      </c>
      <c r="AEJ1510" s="42" t="str">
        <f ca="1"/>
        <v/>
      </c>
      <c r="AEK1510" s="42" t="str">
        <f ca="1"/>
        <v/>
      </c>
      <c r="AEL1510" s="42" t="str">
        <f ca="1"/>
        <v/>
      </c>
      <c r="AEM1510" s="42" t="str">
        <f ca="1"/>
        <v/>
      </c>
      <c r="AEN1510" s="42" t="str">
        <f ca="1"/>
        <v/>
      </c>
      <c r="AEO1510" s="42" t="str">
        <f ca="1"/>
        <v/>
      </c>
      <c r="AEP1510" s="42" t="str">
        <f ca="1"/>
        <v/>
      </c>
      <c r="AEQ1510" s="42" t="str">
        <f ca="1"/>
        <v/>
      </c>
      <c r="AER1510" s="42" t="str">
        <f ca="1"/>
        <v/>
      </c>
      <c r="AES1510" s="42" t="str">
        <f ca="1"/>
        <v/>
      </c>
      <c r="AET1510" s="42" t="str">
        <f ca="1"/>
        <v/>
      </c>
      <c r="AEU1510" s="42" t="str">
        <f ca="1"/>
        <v/>
      </c>
      <c r="AEV1510" s="42" t="str">
        <f ca="1"/>
        <v/>
      </c>
      <c r="AEW1510" s="42" t="str">
        <f ca="1"/>
        <v/>
      </c>
      <c r="AEX1510" s="42" t="str">
        <f ca="1"/>
        <v/>
      </c>
      <c r="AEY1510" s="42" t="str">
        <f ca="1"/>
        <v/>
      </c>
      <c r="AEZ1510" s="42" t="str">
        <f ca="1"/>
        <v/>
      </c>
      <c r="AFA1510" s="42" t="str">
        <f ca="1"/>
        <v/>
      </c>
      <c r="AFB1510" s="42" t="str">
        <f ca="1"/>
        <v/>
      </c>
      <c r="AFC1510" s="42" t="str">
        <f ca="1"/>
        <v/>
      </c>
      <c r="AFD1510" s="42" t="str">
        <f ca="1"/>
        <v/>
      </c>
      <c r="AFE1510" s="42" t="str">
        <f ca="1"/>
        <v/>
      </c>
      <c r="AFF1510" s="42" t="str">
        <f ca="1"/>
        <v/>
      </c>
      <c r="AFG1510" s="42" t="str">
        <f ca="1"/>
        <v/>
      </c>
      <c r="AFH1510" s="42" t="str">
        <f ca="1"/>
        <v/>
      </c>
      <c r="AFI1510" s="42" t="str">
        <f ca="1"/>
        <v/>
      </c>
      <c r="AFJ1510" s="42" t="str">
        <f ca="1"/>
        <v/>
      </c>
      <c r="AFK1510" s="42" t="str">
        <f ca="1"/>
        <v/>
      </c>
      <c r="AFL1510" s="42" t="str">
        <f ca="1"/>
        <v/>
      </c>
      <c r="AFM1510" s="42" t="str">
        <f ca="1"/>
        <v/>
      </c>
      <c r="AFN1510" s="42" t="str">
        <f ca="1"/>
        <v/>
      </c>
      <c r="AFO1510" s="42" t="str">
        <f ca="1"/>
        <v/>
      </c>
      <c r="AFP1510" s="42" t="str">
        <f ca="1"/>
        <v/>
      </c>
      <c r="AFQ1510" s="42" t="str">
        <f ca="1"/>
        <v/>
      </c>
      <c r="AFR1510" s="42" t="str">
        <f ca="1"/>
        <v/>
      </c>
      <c r="AFS1510" s="42" t="str">
        <f ca="1"/>
        <v/>
      </c>
      <c r="AFT1510" s="42" t="str">
        <f ca="1"/>
        <v/>
      </c>
      <c r="AFU1510" s="42" t="str">
        <f ca="1"/>
        <v/>
      </c>
      <c r="AFV1510" s="42" t="str">
        <f ca="1"/>
        <v/>
      </c>
      <c r="AFW1510" s="42" t="str">
        <f ca="1"/>
        <v/>
      </c>
      <c r="AFX1510" s="42" t="str">
        <f ca="1"/>
        <v/>
      </c>
      <c r="AFY1510" s="42" t="str">
        <f ca="1"/>
        <v/>
      </c>
      <c r="AFZ1510" s="42" t="str">
        <f ca="1"/>
        <v/>
      </c>
      <c r="AGA1510" s="42" t="str">
        <f ca="1"/>
        <v/>
      </c>
      <c r="AGB1510" s="42" t="str">
        <f ca="1"/>
        <v/>
      </c>
      <c r="AGC1510" s="42" t="str">
        <f ca="1"/>
        <v/>
      </c>
      <c r="AGD1510" s="42" t="str">
        <f ca="1"/>
        <v/>
      </c>
      <c r="AGE1510" s="42" t="str">
        <f ca="1"/>
        <v/>
      </c>
      <c r="AGF1510" s="42" t="str">
        <f ca="1"/>
        <v/>
      </c>
      <c r="AGG1510" s="42" t="str">
        <f ca="1"/>
        <v/>
      </c>
      <c r="AGH1510" s="42" t="str">
        <f ca="1"/>
        <v/>
      </c>
      <c r="AGI1510" s="42" t="str">
        <f ca="1"/>
        <v/>
      </c>
      <c r="AGJ1510" s="42" t="str">
        <f ca="1"/>
        <v/>
      </c>
      <c r="AGK1510" s="42" t="str">
        <f ca="1"/>
        <v/>
      </c>
      <c r="AGL1510" s="42" t="str">
        <f ca="1"/>
        <v/>
      </c>
      <c r="AGM1510" s="42" t="str">
        <f ca="1"/>
        <v/>
      </c>
      <c r="AGN1510" s="42" t="str">
        <f ca="1"/>
        <v/>
      </c>
    </row>
    <row r="1513" spans="15:872" x14ac:dyDescent="0.25">
      <c r="P1513" s="42">
        <f>+P1490</f>
        <v>2024001</v>
      </c>
      <c r="Q1513" s="42">
        <f t="shared" ref="Q1513:CB1513" si="2">+Q1490</f>
        <v>2024002</v>
      </c>
      <c r="R1513" s="42">
        <f t="shared" si="2"/>
        <v>2024003</v>
      </c>
      <c r="S1513" s="42">
        <f t="shared" si="2"/>
        <v>2024004</v>
      </c>
      <c r="T1513" s="42">
        <f t="shared" si="2"/>
        <v>2024005</v>
      </c>
      <c r="U1513" s="42">
        <f t="shared" si="2"/>
        <v>2024006</v>
      </c>
      <c r="V1513" s="42">
        <f t="shared" si="2"/>
        <v>2024007</v>
      </c>
      <c r="W1513" s="42">
        <f t="shared" si="2"/>
        <v>2024008</v>
      </c>
      <c r="X1513" s="42">
        <f t="shared" si="2"/>
        <v>2024009</v>
      </c>
      <c r="Y1513" s="42">
        <f t="shared" si="2"/>
        <v>2024318</v>
      </c>
      <c r="Z1513" s="42">
        <f t="shared" si="2"/>
        <v>2024010</v>
      </c>
      <c r="AA1513" s="42">
        <f t="shared" si="2"/>
        <v>2024011</v>
      </c>
      <c r="AB1513" s="42">
        <f t="shared" si="2"/>
        <v>2024012</v>
      </c>
      <c r="AC1513" s="42">
        <f t="shared" si="2"/>
        <v>2024013</v>
      </c>
      <c r="AD1513" s="42">
        <f t="shared" si="2"/>
        <v>2024014</v>
      </c>
      <c r="AE1513" s="42">
        <f t="shared" si="2"/>
        <v>2024015</v>
      </c>
      <c r="AF1513" s="42">
        <f t="shared" si="2"/>
        <v>2024016</v>
      </c>
      <c r="AG1513" s="42">
        <f t="shared" si="2"/>
        <v>2024017</v>
      </c>
      <c r="AH1513" s="42">
        <f t="shared" si="2"/>
        <v>2024018</v>
      </c>
      <c r="AI1513" s="42">
        <f t="shared" si="2"/>
        <v>2024019</v>
      </c>
      <c r="AJ1513" s="42">
        <f t="shared" si="2"/>
        <v>2024020</v>
      </c>
      <c r="AK1513" s="42">
        <f t="shared" si="2"/>
        <v>2024021</v>
      </c>
      <c r="AL1513" s="42">
        <f t="shared" si="2"/>
        <v>2024022</v>
      </c>
      <c r="AM1513" s="42">
        <f t="shared" si="2"/>
        <v>2024023</v>
      </c>
      <c r="AN1513" s="42">
        <f t="shared" si="2"/>
        <v>2024024</v>
      </c>
      <c r="AO1513" s="42">
        <f t="shared" si="2"/>
        <v>2024025</v>
      </c>
      <c r="AP1513" s="42">
        <f t="shared" si="2"/>
        <v>2024026</v>
      </c>
      <c r="AQ1513" s="42">
        <f t="shared" si="2"/>
        <v>2024027</v>
      </c>
      <c r="AR1513" s="42">
        <f t="shared" si="2"/>
        <v>2024028</v>
      </c>
      <c r="AS1513" s="42">
        <f t="shared" si="2"/>
        <v>2024029</v>
      </c>
      <c r="AT1513" s="42">
        <f t="shared" si="2"/>
        <v>2024030</v>
      </c>
      <c r="AU1513" s="42">
        <f t="shared" si="2"/>
        <v>2024031</v>
      </c>
      <c r="AV1513" s="42">
        <f t="shared" si="2"/>
        <v>2024032</v>
      </c>
      <c r="AW1513" s="42">
        <f t="shared" si="2"/>
        <v>2024033</v>
      </c>
      <c r="AX1513" s="42">
        <f t="shared" si="2"/>
        <v>2024034</v>
      </c>
      <c r="AY1513" s="42">
        <f t="shared" si="2"/>
        <v>2024035</v>
      </c>
      <c r="AZ1513" s="42">
        <f t="shared" si="2"/>
        <v>2024036</v>
      </c>
      <c r="BA1513" s="42">
        <f t="shared" si="2"/>
        <v>2024037</v>
      </c>
      <c r="BB1513" s="42">
        <f t="shared" si="2"/>
        <v>2024038</v>
      </c>
      <c r="BC1513" s="42">
        <f t="shared" si="2"/>
        <v>2024039</v>
      </c>
      <c r="BD1513" s="42">
        <f t="shared" si="2"/>
        <v>2024040</v>
      </c>
      <c r="BE1513" s="42">
        <f t="shared" si="2"/>
        <v>2024041</v>
      </c>
      <c r="BF1513" s="42">
        <f t="shared" si="2"/>
        <v>2024042</v>
      </c>
      <c r="BG1513" s="42">
        <f t="shared" si="2"/>
        <v>2024043</v>
      </c>
      <c r="BH1513" s="42">
        <f t="shared" si="2"/>
        <v>2024044</v>
      </c>
      <c r="BI1513" s="42">
        <f t="shared" si="2"/>
        <v>2024045</v>
      </c>
      <c r="BJ1513" s="42">
        <f t="shared" si="2"/>
        <v>2024046</v>
      </c>
      <c r="BK1513" s="42">
        <f t="shared" si="2"/>
        <v>2024047</v>
      </c>
      <c r="BL1513" s="42">
        <f t="shared" si="2"/>
        <v>2024048</v>
      </c>
      <c r="BM1513" s="42">
        <f t="shared" si="2"/>
        <v>2024317</v>
      </c>
      <c r="BN1513" s="42">
        <f t="shared" si="2"/>
        <v>2024049</v>
      </c>
      <c r="BO1513" s="42">
        <f t="shared" si="2"/>
        <v>2024050</v>
      </c>
      <c r="BP1513" s="42">
        <f t="shared" si="2"/>
        <v>2024051</v>
      </c>
      <c r="BQ1513" s="42">
        <f t="shared" si="2"/>
        <v>2024052</v>
      </c>
      <c r="BR1513" s="42">
        <f t="shared" si="2"/>
        <v>2024053</v>
      </c>
      <c r="BS1513" s="42">
        <f t="shared" si="2"/>
        <v>2024054</v>
      </c>
      <c r="BT1513" s="42">
        <f t="shared" si="2"/>
        <v>2024055</v>
      </c>
      <c r="BU1513" s="42">
        <f t="shared" si="2"/>
        <v>2024056</v>
      </c>
      <c r="BV1513" s="42">
        <f t="shared" si="2"/>
        <v>2024057</v>
      </c>
      <c r="BW1513" s="42">
        <f t="shared" si="2"/>
        <v>2024058</v>
      </c>
      <c r="BX1513" s="42">
        <f t="shared" si="2"/>
        <v>2024059</v>
      </c>
      <c r="BY1513" s="42">
        <f t="shared" si="2"/>
        <v>2024060</v>
      </c>
      <c r="BZ1513" s="42">
        <f t="shared" si="2"/>
        <v>2024061</v>
      </c>
      <c r="CA1513" s="42">
        <f t="shared" si="2"/>
        <v>2024062</v>
      </c>
      <c r="CB1513" s="42">
        <f t="shared" si="2"/>
        <v>2024063</v>
      </c>
      <c r="CC1513" s="42">
        <f t="shared" ref="CC1513:EN1513" si="3">+CC1490</f>
        <v>2024320</v>
      </c>
      <c r="CD1513" s="42">
        <f t="shared" si="3"/>
        <v>2024064</v>
      </c>
      <c r="CE1513" s="42">
        <f t="shared" si="3"/>
        <v>2024065</v>
      </c>
      <c r="CF1513" s="42">
        <f t="shared" si="3"/>
        <v>2024316</v>
      </c>
      <c r="CG1513" s="42">
        <f t="shared" si="3"/>
        <v>2024066</v>
      </c>
      <c r="CH1513" s="42">
        <f t="shared" si="3"/>
        <v>2024067</v>
      </c>
      <c r="CI1513" s="42">
        <f t="shared" si="3"/>
        <v>2024068</v>
      </c>
      <c r="CJ1513" s="42">
        <f t="shared" si="3"/>
        <v>2024069</v>
      </c>
      <c r="CK1513" s="42">
        <f t="shared" si="3"/>
        <v>2024070</v>
      </c>
      <c r="CL1513" s="42">
        <f t="shared" si="3"/>
        <v>2024071</v>
      </c>
      <c r="CM1513" s="42">
        <f t="shared" si="3"/>
        <v>2024072</v>
      </c>
      <c r="CN1513" s="42">
        <f t="shared" si="3"/>
        <v>2024073</v>
      </c>
      <c r="CO1513" s="42">
        <f t="shared" si="3"/>
        <v>2024074</v>
      </c>
      <c r="CP1513" s="42">
        <f t="shared" si="3"/>
        <v>2024075</v>
      </c>
      <c r="CQ1513" s="42">
        <f t="shared" si="3"/>
        <v>2024076</v>
      </c>
      <c r="CR1513" s="42">
        <f t="shared" si="3"/>
        <v>2024077</v>
      </c>
      <c r="CS1513" s="42">
        <f t="shared" si="3"/>
        <v>2024078</v>
      </c>
      <c r="CT1513" s="42">
        <f t="shared" si="3"/>
        <v>2024079</v>
      </c>
      <c r="CU1513" s="42">
        <f t="shared" si="3"/>
        <v>2024080</v>
      </c>
      <c r="CV1513" s="42">
        <f t="shared" si="3"/>
        <v>2024081</v>
      </c>
      <c r="CW1513" s="42">
        <f t="shared" si="3"/>
        <v>2024082</v>
      </c>
      <c r="CX1513" s="42">
        <f t="shared" si="3"/>
        <v>2024083</v>
      </c>
      <c r="CY1513" s="42">
        <f t="shared" si="3"/>
        <v>2024084</v>
      </c>
      <c r="CZ1513" s="42">
        <f t="shared" si="3"/>
        <v>2024085</v>
      </c>
      <c r="DA1513" s="42">
        <f t="shared" si="3"/>
        <v>2024086</v>
      </c>
      <c r="DB1513" s="42">
        <f t="shared" si="3"/>
        <v>2024087</v>
      </c>
      <c r="DC1513" s="42">
        <f t="shared" si="3"/>
        <v>2024088</v>
      </c>
      <c r="DD1513" s="42">
        <f t="shared" si="3"/>
        <v>2024089</v>
      </c>
      <c r="DE1513" s="42">
        <f t="shared" si="3"/>
        <v>2024090</v>
      </c>
      <c r="DF1513" s="42">
        <f t="shared" si="3"/>
        <v>2024091</v>
      </c>
      <c r="DG1513" s="42">
        <f t="shared" si="3"/>
        <v>2024092</v>
      </c>
      <c r="DH1513" s="42">
        <f t="shared" si="3"/>
        <v>2024093</v>
      </c>
      <c r="DI1513" s="42">
        <f t="shared" si="3"/>
        <v>2024094</v>
      </c>
      <c r="DJ1513" s="42">
        <f t="shared" si="3"/>
        <v>2024095</v>
      </c>
      <c r="DK1513" s="42">
        <f t="shared" si="3"/>
        <v>2024096</v>
      </c>
      <c r="DL1513" s="42">
        <f t="shared" si="3"/>
        <v>2024097</v>
      </c>
      <c r="DM1513" s="42">
        <f t="shared" si="3"/>
        <v>2024098</v>
      </c>
      <c r="DN1513" s="42">
        <f t="shared" si="3"/>
        <v>2024099</v>
      </c>
      <c r="DO1513" s="42">
        <f t="shared" si="3"/>
        <v>2024100</v>
      </c>
      <c r="DP1513" s="42">
        <f t="shared" si="3"/>
        <v>2024101</v>
      </c>
      <c r="DQ1513" s="42">
        <f t="shared" si="3"/>
        <v>2024102</v>
      </c>
      <c r="DR1513" s="42">
        <f t="shared" si="3"/>
        <v>2024103</v>
      </c>
      <c r="DS1513" s="42">
        <f t="shared" si="3"/>
        <v>2024104</v>
      </c>
      <c r="DT1513" s="42">
        <f t="shared" si="3"/>
        <v>2024105</v>
      </c>
      <c r="DU1513" s="42">
        <f t="shared" si="3"/>
        <v>2024106</v>
      </c>
      <c r="DV1513" s="42">
        <f t="shared" si="3"/>
        <v>2024107</v>
      </c>
      <c r="DW1513" s="42">
        <f t="shared" si="3"/>
        <v>2024108</v>
      </c>
      <c r="DX1513" s="42">
        <f t="shared" si="3"/>
        <v>2024109</v>
      </c>
      <c r="DY1513" s="42">
        <f t="shared" si="3"/>
        <v>2024110</v>
      </c>
      <c r="DZ1513" s="42">
        <f t="shared" si="3"/>
        <v>2024111</v>
      </c>
      <c r="EA1513" s="42">
        <f t="shared" si="3"/>
        <v>2024112</v>
      </c>
      <c r="EB1513" s="42">
        <f t="shared" si="3"/>
        <v>2024113</v>
      </c>
      <c r="EC1513" s="42">
        <f t="shared" si="3"/>
        <v>2024114</v>
      </c>
      <c r="ED1513" s="42">
        <f t="shared" si="3"/>
        <v>2024115</v>
      </c>
      <c r="EE1513" s="42">
        <f t="shared" si="3"/>
        <v>2024116</v>
      </c>
      <c r="EF1513" s="42">
        <f t="shared" si="3"/>
        <v>2024117</v>
      </c>
      <c r="EG1513" s="42">
        <f t="shared" si="3"/>
        <v>2024118</v>
      </c>
      <c r="EH1513" s="42">
        <f t="shared" si="3"/>
        <v>2024119</v>
      </c>
      <c r="EI1513" s="42">
        <f t="shared" si="3"/>
        <v>2024120</v>
      </c>
      <c r="EJ1513" s="42">
        <f t="shared" si="3"/>
        <v>2024121</v>
      </c>
      <c r="EK1513" s="42">
        <f t="shared" si="3"/>
        <v>2024122</v>
      </c>
      <c r="EL1513" s="42">
        <f t="shared" si="3"/>
        <v>2024123</v>
      </c>
      <c r="EM1513" s="42">
        <f t="shared" si="3"/>
        <v>2024124</v>
      </c>
      <c r="EN1513" s="42">
        <f t="shared" si="3"/>
        <v>2024125</v>
      </c>
      <c r="EO1513" s="42">
        <f t="shared" ref="EO1513:GZ1513" si="4">+EO1490</f>
        <v>2024126</v>
      </c>
      <c r="EP1513" s="42">
        <f t="shared" si="4"/>
        <v>2024127</v>
      </c>
      <c r="EQ1513" s="42">
        <f t="shared" si="4"/>
        <v>2024128</v>
      </c>
      <c r="ER1513" s="42">
        <f t="shared" si="4"/>
        <v>2024129</v>
      </c>
      <c r="ES1513" s="42">
        <f t="shared" si="4"/>
        <v>2024130</v>
      </c>
      <c r="ET1513" s="42">
        <f t="shared" si="4"/>
        <v>2024131</v>
      </c>
      <c r="EU1513" s="42">
        <f t="shared" si="4"/>
        <v>2024132</v>
      </c>
      <c r="EV1513" s="42">
        <f t="shared" si="4"/>
        <v>2024133</v>
      </c>
      <c r="EW1513" s="42">
        <f t="shared" si="4"/>
        <v>2024134</v>
      </c>
      <c r="EX1513" s="42">
        <f t="shared" si="4"/>
        <v>2024135</v>
      </c>
      <c r="EY1513" s="42">
        <f t="shared" si="4"/>
        <v>2024136</v>
      </c>
      <c r="EZ1513" s="42">
        <f t="shared" si="4"/>
        <v>2024315</v>
      </c>
      <c r="FA1513" s="42">
        <f t="shared" si="4"/>
        <v>2024137</v>
      </c>
      <c r="FB1513" s="42">
        <f t="shared" si="4"/>
        <v>2024138</v>
      </c>
      <c r="FC1513" s="42">
        <f t="shared" si="4"/>
        <v>2024139</v>
      </c>
      <c r="FD1513" s="42">
        <f t="shared" si="4"/>
        <v>2024140</v>
      </c>
      <c r="FE1513" s="42">
        <f t="shared" si="4"/>
        <v>2024141</v>
      </c>
      <c r="FF1513" s="42">
        <f t="shared" si="4"/>
        <v>2024142</v>
      </c>
      <c r="FG1513" s="42">
        <f t="shared" si="4"/>
        <v>2024143</v>
      </c>
      <c r="FH1513" s="42">
        <f t="shared" si="4"/>
        <v>2024144</v>
      </c>
      <c r="FI1513" s="42">
        <f t="shared" si="4"/>
        <v>2024145</v>
      </c>
      <c r="FJ1513" s="42">
        <f t="shared" si="4"/>
        <v>2024146</v>
      </c>
      <c r="FK1513" s="42">
        <f t="shared" si="4"/>
        <v>2024147</v>
      </c>
      <c r="FL1513" s="42">
        <f t="shared" si="4"/>
        <v>2024148</v>
      </c>
      <c r="FM1513" s="42">
        <f t="shared" si="4"/>
        <v>2024149</v>
      </c>
      <c r="FN1513" s="42">
        <f t="shared" si="4"/>
        <v>2024150</v>
      </c>
      <c r="FO1513" s="42">
        <f t="shared" si="4"/>
        <v>2024151</v>
      </c>
      <c r="FP1513" s="42">
        <f t="shared" si="4"/>
        <v>2024323</v>
      </c>
      <c r="FQ1513" s="42">
        <f t="shared" si="4"/>
        <v>2024152</v>
      </c>
      <c r="FR1513" s="42">
        <f t="shared" si="4"/>
        <v>2024153</v>
      </c>
      <c r="FS1513" s="42">
        <f t="shared" si="4"/>
        <v>2024154</v>
      </c>
      <c r="FT1513" s="42">
        <f t="shared" si="4"/>
        <v>2024164</v>
      </c>
      <c r="FU1513" s="42">
        <f t="shared" si="4"/>
        <v>2024155</v>
      </c>
      <c r="FV1513" s="42">
        <f t="shared" si="4"/>
        <v>2024156</v>
      </c>
      <c r="FW1513" s="42">
        <f t="shared" si="4"/>
        <v>2024157</v>
      </c>
      <c r="FX1513" s="42">
        <f t="shared" si="4"/>
        <v>2024158</v>
      </c>
      <c r="FY1513" s="42">
        <f t="shared" si="4"/>
        <v>2024159</v>
      </c>
      <c r="FZ1513" s="42">
        <f t="shared" si="4"/>
        <v>2024160</v>
      </c>
      <c r="GA1513" s="42">
        <f t="shared" si="4"/>
        <v>2024161</v>
      </c>
      <c r="GB1513" s="42">
        <f t="shared" si="4"/>
        <v>2024162</v>
      </c>
      <c r="GC1513" s="42">
        <f t="shared" si="4"/>
        <v>2024163</v>
      </c>
      <c r="GD1513" s="42">
        <f t="shared" si="4"/>
        <v>2024165</v>
      </c>
      <c r="GE1513" s="42">
        <f t="shared" si="4"/>
        <v>2024166</v>
      </c>
      <c r="GF1513" s="42">
        <f t="shared" si="4"/>
        <v>2024167</v>
      </c>
      <c r="GG1513" s="42">
        <f t="shared" si="4"/>
        <v>2024168</v>
      </c>
      <c r="GH1513" s="42">
        <f t="shared" si="4"/>
        <v>2024169</v>
      </c>
      <c r="GI1513" s="42">
        <f t="shared" si="4"/>
        <v>2024170</v>
      </c>
      <c r="GJ1513" s="42">
        <f t="shared" si="4"/>
        <v>2024171</v>
      </c>
      <c r="GK1513" s="42">
        <f t="shared" si="4"/>
        <v>2024172</v>
      </c>
      <c r="GL1513" s="42">
        <f t="shared" si="4"/>
        <v>2024173</v>
      </c>
      <c r="GM1513" s="42">
        <f t="shared" si="4"/>
        <v>2024174</v>
      </c>
      <c r="GN1513" s="42">
        <f t="shared" si="4"/>
        <v>2024175</v>
      </c>
      <c r="GO1513" s="42">
        <f t="shared" si="4"/>
        <v>2024176</v>
      </c>
      <c r="GP1513" s="42">
        <f t="shared" si="4"/>
        <v>2024177</v>
      </c>
      <c r="GQ1513" s="42">
        <f t="shared" si="4"/>
        <v>2024178</v>
      </c>
      <c r="GR1513" s="42">
        <f t="shared" si="4"/>
        <v>2024179</v>
      </c>
      <c r="GS1513" s="42">
        <f t="shared" si="4"/>
        <v>2024180</v>
      </c>
      <c r="GT1513" s="42">
        <f t="shared" si="4"/>
        <v>2024181</v>
      </c>
      <c r="GU1513" s="42">
        <f t="shared" si="4"/>
        <v>2024182</v>
      </c>
      <c r="GV1513" s="42">
        <f t="shared" si="4"/>
        <v>2024183</v>
      </c>
      <c r="GW1513" s="42">
        <f t="shared" si="4"/>
        <v>2024314</v>
      </c>
      <c r="GX1513" s="42">
        <f t="shared" si="4"/>
        <v>2024184</v>
      </c>
      <c r="GY1513" s="42">
        <f t="shared" si="4"/>
        <v>2024185</v>
      </c>
      <c r="GZ1513" s="42">
        <f t="shared" si="4"/>
        <v>2024186</v>
      </c>
      <c r="HA1513" s="42">
        <f t="shared" ref="HA1513:JL1513" si="5">+HA1490</f>
        <v>2024187</v>
      </c>
      <c r="HB1513" s="42">
        <f t="shared" si="5"/>
        <v>2024188</v>
      </c>
      <c r="HC1513" s="42">
        <f t="shared" si="5"/>
        <v>2024189</v>
      </c>
      <c r="HD1513" s="42">
        <f t="shared" si="5"/>
        <v>2024190</v>
      </c>
      <c r="HE1513" s="42">
        <f t="shared" si="5"/>
        <v>2024191</v>
      </c>
      <c r="HF1513" s="42">
        <f t="shared" si="5"/>
        <v>2024192</v>
      </c>
      <c r="HG1513" s="42">
        <f t="shared" si="5"/>
        <v>2024193</v>
      </c>
      <c r="HH1513" s="42">
        <f t="shared" si="5"/>
        <v>2024194</v>
      </c>
      <c r="HI1513" s="42">
        <f t="shared" si="5"/>
        <v>2024195</v>
      </c>
      <c r="HJ1513" s="42">
        <f t="shared" si="5"/>
        <v>2024196</v>
      </c>
      <c r="HK1513" s="42">
        <f t="shared" si="5"/>
        <v>2024197</v>
      </c>
      <c r="HL1513" s="42">
        <f t="shared" si="5"/>
        <v>2024198</v>
      </c>
      <c r="HM1513" s="42">
        <f t="shared" si="5"/>
        <v>2024199</v>
      </c>
      <c r="HN1513" s="42">
        <f t="shared" si="5"/>
        <v>2024200</v>
      </c>
      <c r="HO1513" s="42">
        <f t="shared" si="5"/>
        <v>2024201</v>
      </c>
      <c r="HP1513" s="42">
        <f t="shared" si="5"/>
        <v>2024202</v>
      </c>
      <c r="HQ1513" s="42">
        <f t="shared" si="5"/>
        <v>2024203</v>
      </c>
      <c r="HR1513" s="42">
        <f t="shared" si="5"/>
        <v>2024204</v>
      </c>
      <c r="HS1513" s="42">
        <f t="shared" si="5"/>
        <v>2024205</v>
      </c>
      <c r="HT1513" s="42">
        <f t="shared" si="5"/>
        <v>2024206</v>
      </c>
      <c r="HU1513" s="42">
        <f t="shared" si="5"/>
        <v>2024207</v>
      </c>
      <c r="HV1513" s="42">
        <f t="shared" si="5"/>
        <v>2024208</v>
      </c>
      <c r="HW1513" s="42">
        <f t="shared" si="5"/>
        <v>2024209</v>
      </c>
      <c r="HX1513" s="42">
        <f t="shared" si="5"/>
        <v>2024210</v>
      </c>
      <c r="HY1513" s="42">
        <f t="shared" si="5"/>
        <v>2024211</v>
      </c>
      <c r="HZ1513" s="42">
        <f t="shared" si="5"/>
        <v>2024212</v>
      </c>
      <c r="IA1513" s="42">
        <f t="shared" si="5"/>
        <v>2024213</v>
      </c>
      <c r="IB1513" s="42">
        <f t="shared" si="5"/>
        <v>2024214</v>
      </c>
      <c r="IC1513" s="42">
        <f t="shared" si="5"/>
        <v>2024215</v>
      </c>
      <c r="ID1513" s="42">
        <f t="shared" si="5"/>
        <v>2024216</v>
      </c>
      <c r="IE1513" s="42">
        <f t="shared" si="5"/>
        <v>2024217</v>
      </c>
      <c r="IF1513" s="42">
        <f t="shared" si="5"/>
        <v>2024218</v>
      </c>
      <c r="IG1513" s="42">
        <f t="shared" si="5"/>
        <v>2024219</v>
      </c>
      <c r="IH1513" s="42">
        <f t="shared" si="5"/>
        <v>2024321</v>
      </c>
      <c r="II1513" s="42">
        <f t="shared" si="5"/>
        <v>2024220</v>
      </c>
      <c r="IJ1513" s="42">
        <f t="shared" si="5"/>
        <v>2024221</v>
      </c>
      <c r="IK1513" s="42">
        <f t="shared" si="5"/>
        <v>2024222</v>
      </c>
      <c r="IL1513" s="42">
        <f t="shared" si="5"/>
        <v>2024223</v>
      </c>
      <c r="IM1513" s="42">
        <f t="shared" si="5"/>
        <v>2024224</v>
      </c>
      <c r="IN1513" s="42">
        <f t="shared" si="5"/>
        <v>2024319</v>
      </c>
      <c r="IO1513" s="42">
        <f t="shared" si="5"/>
        <v>2024225</v>
      </c>
      <c r="IP1513" s="42">
        <f t="shared" si="5"/>
        <v>2024226</v>
      </c>
      <c r="IQ1513" s="42">
        <f t="shared" si="5"/>
        <v>2024227</v>
      </c>
      <c r="IR1513" s="42">
        <f t="shared" si="5"/>
        <v>2024228</v>
      </c>
      <c r="IS1513" s="42">
        <f t="shared" si="5"/>
        <v>2024229</v>
      </c>
      <c r="IT1513" s="42">
        <f t="shared" si="5"/>
        <v>2024230</v>
      </c>
      <c r="IU1513" s="42">
        <f t="shared" si="5"/>
        <v>2024231</v>
      </c>
      <c r="IV1513" s="42">
        <f t="shared" si="5"/>
        <v>2024232</v>
      </c>
      <c r="IW1513" s="42">
        <f t="shared" si="5"/>
        <v>2024233</v>
      </c>
      <c r="IX1513" s="42">
        <f t="shared" si="5"/>
        <v>2024234</v>
      </c>
      <c r="IY1513" s="42">
        <f t="shared" si="5"/>
        <v>2024235</v>
      </c>
      <c r="IZ1513" s="42">
        <f t="shared" si="5"/>
        <v>2024236</v>
      </c>
      <c r="JA1513" s="42">
        <f t="shared" si="5"/>
        <v>2024237</v>
      </c>
      <c r="JB1513" s="42">
        <f t="shared" si="5"/>
        <v>2024238</v>
      </c>
      <c r="JC1513" s="42">
        <f t="shared" si="5"/>
        <v>2024239</v>
      </c>
      <c r="JD1513" s="42">
        <f t="shared" si="5"/>
        <v>2024240</v>
      </c>
      <c r="JE1513" s="42">
        <f t="shared" si="5"/>
        <v>2024241</v>
      </c>
      <c r="JF1513" s="42">
        <f t="shared" si="5"/>
        <v>2024242</v>
      </c>
      <c r="JG1513" s="42">
        <f t="shared" si="5"/>
        <v>2024243</v>
      </c>
      <c r="JH1513" s="42">
        <f t="shared" si="5"/>
        <v>2024244</v>
      </c>
      <c r="JI1513" s="42">
        <f t="shared" si="5"/>
        <v>2024245</v>
      </c>
      <c r="JJ1513" s="42">
        <f t="shared" si="5"/>
        <v>2024246</v>
      </c>
      <c r="JK1513" s="42">
        <f t="shared" si="5"/>
        <v>2024247</v>
      </c>
      <c r="JL1513" s="42">
        <f t="shared" si="5"/>
        <v>2024248</v>
      </c>
      <c r="JM1513" s="42">
        <f t="shared" ref="JM1513:LX1513" si="6">+JM1490</f>
        <v>2024249</v>
      </c>
      <c r="JN1513" s="42">
        <f t="shared" si="6"/>
        <v>2024250</v>
      </c>
      <c r="JO1513" s="42">
        <f t="shared" si="6"/>
        <v>2024251</v>
      </c>
      <c r="JP1513" s="42">
        <f t="shared" si="6"/>
        <v>2024252</v>
      </c>
      <c r="JQ1513" s="42">
        <f t="shared" si="6"/>
        <v>2024253</v>
      </c>
      <c r="JR1513" s="42">
        <f t="shared" si="6"/>
        <v>2024254</v>
      </c>
      <c r="JS1513" s="42">
        <f t="shared" si="6"/>
        <v>2024255</v>
      </c>
      <c r="JT1513" s="42">
        <f t="shared" si="6"/>
        <v>2024256</v>
      </c>
      <c r="JU1513" s="42">
        <f t="shared" si="6"/>
        <v>2024257</v>
      </c>
      <c r="JV1513" s="42">
        <f t="shared" si="6"/>
        <v>2024258</v>
      </c>
      <c r="JW1513" s="42">
        <f t="shared" si="6"/>
        <v>2024259</v>
      </c>
      <c r="JX1513" s="42">
        <f t="shared" si="6"/>
        <v>2024260</v>
      </c>
      <c r="JY1513" s="42">
        <f t="shared" si="6"/>
        <v>2024261</v>
      </c>
      <c r="JZ1513" s="42">
        <f t="shared" si="6"/>
        <v>2024262</v>
      </c>
      <c r="KA1513" s="42">
        <f t="shared" si="6"/>
        <v>2024263</v>
      </c>
      <c r="KB1513" s="42">
        <f t="shared" si="6"/>
        <v>2024264</v>
      </c>
      <c r="KC1513" s="42">
        <f t="shared" si="6"/>
        <v>2024265</v>
      </c>
      <c r="KD1513" s="42">
        <f t="shared" si="6"/>
        <v>2024266</v>
      </c>
      <c r="KE1513" s="42">
        <f t="shared" si="6"/>
        <v>2024267</v>
      </c>
      <c r="KF1513" s="42">
        <f t="shared" si="6"/>
        <v>2024268</v>
      </c>
      <c r="KG1513" s="42">
        <f t="shared" si="6"/>
        <v>2024269</v>
      </c>
      <c r="KH1513" s="42">
        <f t="shared" si="6"/>
        <v>2024270</v>
      </c>
      <c r="KI1513" s="42">
        <f t="shared" si="6"/>
        <v>2024271</v>
      </c>
      <c r="KJ1513" s="42">
        <f t="shared" si="6"/>
        <v>2024272</v>
      </c>
      <c r="KK1513" s="42">
        <f t="shared" si="6"/>
        <v>2024273</v>
      </c>
      <c r="KL1513" s="42">
        <f t="shared" si="6"/>
        <v>2024274</v>
      </c>
      <c r="KM1513" s="42">
        <f t="shared" si="6"/>
        <v>2024275</v>
      </c>
      <c r="KN1513" s="42">
        <f t="shared" si="6"/>
        <v>2024276</v>
      </c>
      <c r="KO1513" s="42">
        <f t="shared" si="6"/>
        <v>2024277</v>
      </c>
      <c r="KP1513" s="42">
        <f t="shared" si="6"/>
        <v>2024278</v>
      </c>
      <c r="KQ1513" s="42">
        <f t="shared" si="6"/>
        <v>2024279</v>
      </c>
      <c r="KR1513" s="42">
        <f t="shared" si="6"/>
        <v>2024280</v>
      </c>
      <c r="KS1513" s="42">
        <f t="shared" si="6"/>
        <v>2024281</v>
      </c>
      <c r="KT1513" s="42">
        <f t="shared" si="6"/>
        <v>2024282</v>
      </c>
      <c r="KU1513" s="42">
        <f t="shared" si="6"/>
        <v>2024283</v>
      </c>
      <c r="KV1513" s="42">
        <f t="shared" si="6"/>
        <v>2024284</v>
      </c>
      <c r="KW1513" s="42">
        <f t="shared" si="6"/>
        <v>2024285</v>
      </c>
      <c r="KX1513" s="42">
        <f t="shared" si="6"/>
        <v>2024286</v>
      </c>
      <c r="KY1513" s="42">
        <f t="shared" si="6"/>
        <v>2024287</v>
      </c>
      <c r="KZ1513" s="42">
        <f t="shared" si="6"/>
        <v>2024288</v>
      </c>
      <c r="LA1513" s="42">
        <f t="shared" si="6"/>
        <v>2024289</v>
      </c>
      <c r="LB1513" s="42">
        <f t="shared" si="6"/>
        <v>2024290</v>
      </c>
      <c r="LC1513" s="42">
        <f t="shared" si="6"/>
        <v>2024291</v>
      </c>
      <c r="LD1513" s="42">
        <f t="shared" si="6"/>
        <v>2024292</v>
      </c>
      <c r="LE1513" s="42">
        <f t="shared" si="6"/>
        <v>2024293</v>
      </c>
      <c r="LF1513" s="42">
        <f t="shared" si="6"/>
        <v>2024294</v>
      </c>
      <c r="LG1513" s="42">
        <f t="shared" si="6"/>
        <v>2024295</v>
      </c>
      <c r="LH1513" s="42">
        <f t="shared" si="6"/>
        <v>2024296</v>
      </c>
      <c r="LI1513" s="42">
        <f t="shared" si="6"/>
        <v>2024297</v>
      </c>
      <c r="LJ1513" s="42">
        <f t="shared" si="6"/>
        <v>2024298</v>
      </c>
      <c r="LK1513" s="42">
        <f t="shared" si="6"/>
        <v>2024322</v>
      </c>
      <c r="LL1513" s="42">
        <f t="shared" si="6"/>
        <v>2024299</v>
      </c>
      <c r="LM1513" s="42">
        <f t="shared" si="6"/>
        <v>2024300</v>
      </c>
      <c r="LN1513" s="42">
        <f t="shared" si="6"/>
        <v>2024301</v>
      </c>
      <c r="LO1513" s="42">
        <f t="shared" si="6"/>
        <v>2024302</v>
      </c>
      <c r="LP1513" s="42">
        <f t="shared" si="6"/>
        <v>2024303</v>
      </c>
      <c r="LQ1513" s="42">
        <f t="shared" si="6"/>
        <v>2024304</v>
      </c>
      <c r="LR1513" s="42">
        <f t="shared" si="6"/>
        <v>2024305</v>
      </c>
      <c r="LS1513" s="42">
        <f t="shared" si="6"/>
        <v>2024306</v>
      </c>
      <c r="LT1513" s="42">
        <f t="shared" si="6"/>
        <v>2024307</v>
      </c>
      <c r="LU1513" s="42">
        <f t="shared" si="6"/>
        <v>2024308</v>
      </c>
      <c r="LV1513" s="42">
        <f t="shared" si="6"/>
        <v>2024309</v>
      </c>
      <c r="LW1513" s="42">
        <f t="shared" si="6"/>
        <v>2024310</v>
      </c>
      <c r="LX1513" s="42">
        <f t="shared" si="6"/>
        <v>2024311</v>
      </c>
      <c r="LY1513" s="42">
        <f t="shared" ref="LY1513:OJ1513" si="7">+LY1490</f>
        <v>2024312</v>
      </c>
      <c r="LZ1513" s="42">
        <f t="shared" si="7"/>
        <v>2024313</v>
      </c>
      <c r="MA1513" s="42">
        <f t="shared" si="7"/>
        <v>2024324</v>
      </c>
      <c r="MB1513" s="42">
        <f t="shared" si="7"/>
        <v>2024325</v>
      </c>
      <c r="MC1513" s="42">
        <f t="shared" si="7"/>
        <v>2024326</v>
      </c>
      <c r="MD1513" s="42">
        <f t="shared" si="7"/>
        <v>2024327</v>
      </c>
      <c r="ME1513" s="42">
        <f t="shared" si="7"/>
        <v>2024328</v>
      </c>
      <c r="MF1513" s="42">
        <f t="shared" si="7"/>
        <v>2024329</v>
      </c>
      <c r="MG1513" s="42">
        <f t="shared" si="7"/>
        <v>2024330</v>
      </c>
      <c r="MH1513" s="42">
        <f t="shared" si="7"/>
        <v>2024331</v>
      </c>
      <c r="MI1513" s="42">
        <f t="shared" si="7"/>
        <v>2024339</v>
      </c>
      <c r="MJ1513" s="42">
        <f t="shared" si="7"/>
        <v>2024340</v>
      </c>
      <c r="MK1513" s="42">
        <f t="shared" si="7"/>
        <v>2024341</v>
      </c>
      <c r="ML1513" s="42">
        <f t="shared" si="7"/>
        <v>2024342</v>
      </c>
      <c r="MM1513" s="42">
        <f t="shared" si="7"/>
        <v>2024343</v>
      </c>
      <c r="MN1513" s="42">
        <f t="shared" si="7"/>
        <v>2024344</v>
      </c>
      <c r="MO1513" s="42">
        <f t="shared" si="7"/>
        <v>2024345</v>
      </c>
      <c r="MP1513" s="42">
        <f t="shared" si="7"/>
        <v>2024346</v>
      </c>
      <c r="MQ1513" s="42">
        <f t="shared" si="7"/>
        <v>2024347</v>
      </c>
      <c r="MR1513" s="42">
        <f t="shared" si="7"/>
        <v>2024348</v>
      </c>
      <c r="MS1513" s="42">
        <f t="shared" si="7"/>
        <v>2024349</v>
      </c>
      <c r="MT1513" s="42">
        <f t="shared" si="7"/>
        <v>2024350</v>
      </c>
      <c r="MU1513" s="42">
        <f t="shared" si="7"/>
        <v>2024351</v>
      </c>
      <c r="MV1513" s="42">
        <f t="shared" si="7"/>
        <v>2024352</v>
      </c>
      <c r="MW1513" s="42">
        <f t="shared" si="7"/>
        <v>2024353</v>
      </c>
      <c r="MX1513" s="42">
        <f t="shared" si="7"/>
        <v>2024354</v>
      </c>
      <c r="MY1513" s="42">
        <f t="shared" si="7"/>
        <v>2024355</v>
      </c>
      <c r="MZ1513" s="42">
        <f t="shared" si="7"/>
        <v>2024356</v>
      </c>
      <c r="NA1513" s="42">
        <f t="shared" si="7"/>
        <v>2024357</v>
      </c>
      <c r="NB1513" s="42">
        <f t="shared" si="7"/>
        <v>2024358</v>
      </c>
      <c r="NC1513" s="42">
        <f t="shared" si="7"/>
        <v>2024359</v>
      </c>
      <c r="ND1513" s="42">
        <f t="shared" si="7"/>
        <v>2024360</v>
      </c>
      <c r="NE1513" s="42">
        <f t="shared" si="7"/>
        <v>2024361</v>
      </c>
      <c r="NF1513" s="42">
        <f t="shared" si="7"/>
        <v>2024362</v>
      </c>
      <c r="NG1513" s="42">
        <f t="shared" si="7"/>
        <v>2024363</v>
      </c>
      <c r="NH1513" s="42">
        <f t="shared" si="7"/>
        <v>2024364</v>
      </c>
      <c r="NI1513" s="42">
        <f t="shared" si="7"/>
        <v>2024365</v>
      </c>
      <c r="NJ1513" s="42">
        <f t="shared" si="7"/>
        <v>2024366</v>
      </c>
      <c r="NK1513" s="42">
        <f t="shared" si="7"/>
        <v>2024367</v>
      </c>
      <c r="NL1513" s="42">
        <f t="shared" si="7"/>
        <v>2024368</v>
      </c>
      <c r="NM1513" s="42">
        <f t="shared" si="7"/>
        <v>2024369</v>
      </c>
      <c r="NN1513" s="42">
        <f t="shared" si="7"/>
        <v>2024370</v>
      </c>
      <c r="NO1513" s="42">
        <f t="shared" si="7"/>
        <v>2024371</v>
      </c>
      <c r="NP1513" s="42">
        <f t="shared" si="7"/>
        <v>2024372</v>
      </c>
      <c r="NQ1513" s="42">
        <f t="shared" si="7"/>
        <v>2024373</v>
      </c>
      <c r="NR1513" s="42">
        <f t="shared" si="7"/>
        <v>2024374</v>
      </c>
      <c r="NS1513" s="42">
        <f t="shared" si="7"/>
        <v>2024375</v>
      </c>
      <c r="NT1513" s="42">
        <f t="shared" si="7"/>
        <v>2024376</v>
      </c>
      <c r="NU1513" s="42">
        <f t="shared" si="7"/>
        <v>2024377</v>
      </c>
      <c r="NV1513" s="42">
        <f t="shared" si="7"/>
        <v>2024378</v>
      </c>
      <c r="NW1513" s="42">
        <f t="shared" si="7"/>
        <v>2024379</v>
      </c>
      <c r="NX1513" s="42">
        <f t="shared" si="7"/>
        <v>2024380</v>
      </c>
      <c r="NY1513" s="42">
        <f t="shared" si="7"/>
        <v>2024381</v>
      </c>
      <c r="NZ1513" s="42">
        <f t="shared" si="7"/>
        <v>2024382</v>
      </c>
      <c r="OA1513" s="42">
        <f t="shared" si="7"/>
        <v>2024383</v>
      </c>
      <c r="OB1513" s="42">
        <f t="shared" si="7"/>
        <v>2024384</v>
      </c>
      <c r="OC1513" s="42">
        <f t="shared" si="7"/>
        <v>2024385</v>
      </c>
      <c r="OD1513" s="42">
        <f t="shared" si="7"/>
        <v>2024386</v>
      </c>
      <c r="OE1513" s="42">
        <f t="shared" si="7"/>
        <v>2024387</v>
      </c>
      <c r="OF1513" s="42">
        <f t="shared" si="7"/>
        <v>2024388</v>
      </c>
      <c r="OG1513" s="42">
        <f t="shared" si="7"/>
        <v>2024389</v>
      </c>
      <c r="OH1513" s="42">
        <f t="shared" si="7"/>
        <v>2024390</v>
      </c>
      <c r="OI1513" s="42">
        <f t="shared" si="7"/>
        <v>2024391</v>
      </c>
      <c r="OJ1513" s="42">
        <f t="shared" si="7"/>
        <v>2024392</v>
      </c>
      <c r="OK1513" s="42">
        <f t="shared" ref="OK1513:QV1513" si="8">+OK1490</f>
        <v>2024393</v>
      </c>
      <c r="OL1513" s="42">
        <f t="shared" si="8"/>
        <v>2024394</v>
      </c>
      <c r="OM1513" s="42">
        <f t="shared" si="8"/>
        <v>2024395</v>
      </c>
      <c r="ON1513" s="42">
        <f t="shared" si="8"/>
        <v>2024396</v>
      </c>
      <c r="OO1513" s="42">
        <f t="shared" si="8"/>
        <v>2024397</v>
      </c>
      <c r="OP1513" s="42">
        <f t="shared" si="8"/>
        <v>2024398</v>
      </c>
      <c r="OQ1513" s="42">
        <f t="shared" si="8"/>
        <v>2024399</v>
      </c>
      <c r="OR1513" s="42">
        <f t="shared" si="8"/>
        <v>2024400</v>
      </c>
      <c r="OS1513" s="42">
        <f t="shared" si="8"/>
        <v>2024401</v>
      </c>
      <c r="OT1513" s="42">
        <f t="shared" si="8"/>
        <v>2024402</v>
      </c>
      <c r="OU1513" s="42">
        <f t="shared" si="8"/>
        <v>2024403</v>
      </c>
      <c r="OV1513" s="42">
        <f t="shared" si="8"/>
        <v>2024404</v>
      </c>
      <c r="OW1513" s="42">
        <f t="shared" si="8"/>
        <v>2024405</v>
      </c>
      <c r="OX1513" s="42">
        <f t="shared" si="8"/>
        <v>2024406</v>
      </c>
      <c r="OY1513" s="42">
        <f t="shared" si="8"/>
        <v>2024407</v>
      </c>
      <c r="OZ1513" s="42">
        <f t="shared" si="8"/>
        <v>2024408</v>
      </c>
      <c r="PA1513" s="42">
        <f t="shared" si="8"/>
        <v>2024409</v>
      </c>
      <c r="PB1513" s="42">
        <f t="shared" si="8"/>
        <v>2024410</v>
      </c>
      <c r="PC1513" s="42">
        <f t="shared" si="8"/>
        <v>2024411</v>
      </c>
      <c r="PD1513" s="42">
        <f t="shared" si="8"/>
        <v>2024412</v>
      </c>
      <c r="PE1513" s="42">
        <f t="shared" si="8"/>
        <v>2024413</v>
      </c>
      <c r="PF1513" s="42">
        <f t="shared" si="8"/>
        <v>2024414</v>
      </c>
      <c r="PG1513" s="42">
        <f t="shared" si="8"/>
        <v>2024415</v>
      </c>
      <c r="PH1513" s="42">
        <f t="shared" si="8"/>
        <v>2024416</v>
      </c>
      <c r="PI1513" s="42">
        <f t="shared" si="8"/>
        <v>2024417</v>
      </c>
      <c r="PJ1513" s="42">
        <f t="shared" si="8"/>
        <v>2024418</v>
      </c>
      <c r="PK1513" s="42">
        <f t="shared" si="8"/>
        <v>2024419</v>
      </c>
      <c r="PL1513" s="42">
        <f t="shared" si="8"/>
        <v>2024420</v>
      </c>
      <c r="PM1513" s="42">
        <f t="shared" si="8"/>
        <v>2024421</v>
      </c>
      <c r="PN1513" s="42">
        <f t="shared" si="8"/>
        <v>2024422</v>
      </c>
      <c r="PO1513" s="42">
        <f t="shared" si="8"/>
        <v>2024423</v>
      </c>
      <c r="PP1513" s="42">
        <f t="shared" si="8"/>
        <v>2024424</v>
      </c>
      <c r="PQ1513" s="42">
        <f t="shared" si="8"/>
        <v>2024425</v>
      </c>
      <c r="PR1513" s="42">
        <f t="shared" si="8"/>
        <v>2024426</v>
      </c>
      <c r="PS1513" s="42">
        <f t="shared" si="8"/>
        <v>2024427</v>
      </c>
      <c r="PT1513" s="42">
        <f t="shared" si="8"/>
        <v>2024428</v>
      </c>
      <c r="PU1513" s="42">
        <f t="shared" si="8"/>
        <v>2024429</v>
      </c>
      <c r="PV1513" s="42">
        <f t="shared" si="8"/>
        <v>2024430</v>
      </c>
      <c r="PW1513" s="42">
        <f t="shared" si="8"/>
        <v>2024431</v>
      </c>
      <c r="PX1513" s="42">
        <f t="shared" si="8"/>
        <v>2024432</v>
      </c>
      <c r="PY1513" s="42">
        <f t="shared" si="8"/>
        <v>2024433</v>
      </c>
      <c r="PZ1513" s="42">
        <f t="shared" si="8"/>
        <v>2024434</v>
      </c>
      <c r="QA1513" s="42">
        <f t="shared" si="8"/>
        <v>2024435</v>
      </c>
      <c r="QB1513" s="42">
        <f t="shared" si="8"/>
        <v>2024436</v>
      </c>
      <c r="QC1513" s="42">
        <f t="shared" si="8"/>
        <v>2024437</v>
      </c>
      <c r="QD1513" s="42">
        <f t="shared" si="8"/>
        <v>2024438</v>
      </c>
      <c r="QE1513" s="42">
        <f t="shared" si="8"/>
        <v>2024439</v>
      </c>
      <c r="QF1513" s="42">
        <f t="shared" si="8"/>
        <v>2024440</v>
      </c>
      <c r="QG1513" s="42">
        <f t="shared" si="8"/>
        <v>2024441</v>
      </c>
      <c r="QH1513" s="42">
        <f t="shared" si="8"/>
        <v>2024442</v>
      </c>
      <c r="QI1513" s="42">
        <f t="shared" si="8"/>
        <v>2024443</v>
      </c>
      <c r="QJ1513" s="42">
        <f t="shared" si="8"/>
        <v>2024444</v>
      </c>
      <c r="QK1513" s="42">
        <f t="shared" si="8"/>
        <v>2024445</v>
      </c>
      <c r="QL1513" s="42">
        <f t="shared" si="8"/>
        <v>2024446</v>
      </c>
      <c r="QM1513" s="42">
        <f t="shared" si="8"/>
        <v>2024447</v>
      </c>
      <c r="QN1513" s="42">
        <f t="shared" si="8"/>
        <v>2024448</v>
      </c>
      <c r="QO1513" s="42">
        <f t="shared" si="8"/>
        <v>2024449</v>
      </c>
      <c r="QP1513" s="42">
        <f t="shared" si="8"/>
        <v>2024450</v>
      </c>
      <c r="QQ1513" s="42">
        <f t="shared" si="8"/>
        <v>2024451</v>
      </c>
      <c r="QR1513" s="42">
        <f t="shared" si="8"/>
        <v>2024452</v>
      </c>
      <c r="QS1513" s="42">
        <f t="shared" si="8"/>
        <v>2024453</v>
      </c>
      <c r="QT1513" s="42">
        <f t="shared" si="8"/>
        <v>2024454</v>
      </c>
      <c r="QU1513" s="42">
        <f t="shared" si="8"/>
        <v>2024455</v>
      </c>
      <c r="QV1513" s="42">
        <f t="shared" si="8"/>
        <v>2024456</v>
      </c>
      <c r="QW1513" s="42">
        <f t="shared" ref="QW1513:TH1513" si="9">+QW1490</f>
        <v>2024457</v>
      </c>
      <c r="QX1513" s="42">
        <f t="shared" si="9"/>
        <v>2024458</v>
      </c>
      <c r="QY1513" s="42">
        <f t="shared" si="9"/>
        <v>2024459</v>
      </c>
      <c r="QZ1513" s="42">
        <f t="shared" si="9"/>
        <v>2024460</v>
      </c>
      <c r="RA1513" s="42">
        <f t="shared" si="9"/>
        <v>2024461</v>
      </c>
      <c r="RB1513" s="42">
        <f t="shared" si="9"/>
        <v>2024462</v>
      </c>
      <c r="RC1513" s="42">
        <f t="shared" si="9"/>
        <v>2024463</v>
      </c>
      <c r="RD1513" s="42">
        <f t="shared" si="9"/>
        <v>2024464</v>
      </c>
      <c r="RE1513" s="42">
        <f t="shared" si="9"/>
        <v>2024465</v>
      </c>
      <c r="RF1513" s="42">
        <f t="shared" si="9"/>
        <v>2024466</v>
      </c>
      <c r="RG1513" s="42">
        <f t="shared" si="9"/>
        <v>2024467</v>
      </c>
      <c r="RH1513" s="42">
        <f t="shared" si="9"/>
        <v>2024468</v>
      </c>
      <c r="RI1513" s="42">
        <f t="shared" si="9"/>
        <v>2024469</v>
      </c>
      <c r="RJ1513" s="42">
        <f t="shared" si="9"/>
        <v>2024470</v>
      </c>
      <c r="RK1513" s="42">
        <f t="shared" si="9"/>
        <v>2024471</v>
      </c>
      <c r="RL1513" s="42">
        <f t="shared" si="9"/>
        <v>2024472</v>
      </c>
      <c r="RM1513" s="42">
        <f t="shared" si="9"/>
        <v>2024473</v>
      </c>
      <c r="RN1513" s="42">
        <f t="shared" si="9"/>
        <v>2024474</v>
      </c>
      <c r="RO1513" s="42">
        <f t="shared" si="9"/>
        <v>2024475</v>
      </c>
      <c r="RP1513" s="42">
        <f t="shared" si="9"/>
        <v>2024476</v>
      </c>
      <c r="RQ1513" s="42">
        <f t="shared" si="9"/>
        <v>2024477</v>
      </c>
      <c r="RR1513" s="42">
        <f t="shared" si="9"/>
        <v>2024478</v>
      </c>
      <c r="RS1513" s="42">
        <f t="shared" si="9"/>
        <v>2024479</v>
      </c>
      <c r="RT1513" s="42">
        <f t="shared" si="9"/>
        <v>2024480</v>
      </c>
      <c r="RU1513" s="42">
        <f t="shared" si="9"/>
        <v>2024481</v>
      </c>
      <c r="RV1513" s="42">
        <f t="shared" si="9"/>
        <v>2024482</v>
      </c>
      <c r="RW1513" s="42">
        <f t="shared" si="9"/>
        <v>2024483</v>
      </c>
      <c r="RX1513" s="42">
        <f t="shared" si="9"/>
        <v>2024484</v>
      </c>
      <c r="RY1513" s="42">
        <f t="shared" si="9"/>
        <v>2024485</v>
      </c>
      <c r="RZ1513" s="42">
        <f t="shared" si="9"/>
        <v>2024486</v>
      </c>
      <c r="SA1513" s="42">
        <f t="shared" si="9"/>
        <v>2024487</v>
      </c>
      <c r="SB1513" s="42">
        <f t="shared" si="9"/>
        <v>2024488</v>
      </c>
      <c r="SC1513" s="42">
        <f t="shared" si="9"/>
        <v>2024489</v>
      </c>
      <c r="SD1513" s="42">
        <f t="shared" si="9"/>
        <v>2024490</v>
      </c>
      <c r="SE1513" s="42">
        <f t="shared" si="9"/>
        <v>2024491</v>
      </c>
      <c r="SF1513" s="42">
        <f t="shared" si="9"/>
        <v>2024492</v>
      </c>
      <c r="SG1513" s="42">
        <f t="shared" si="9"/>
        <v>2024493</v>
      </c>
      <c r="SH1513" s="42">
        <f t="shared" si="9"/>
        <v>2024494</v>
      </c>
      <c r="SI1513" s="42">
        <f t="shared" si="9"/>
        <v>2024495</v>
      </c>
      <c r="SJ1513" s="42">
        <f t="shared" si="9"/>
        <v>2024496</v>
      </c>
      <c r="SK1513" s="42">
        <f t="shared" si="9"/>
        <v>2024497</v>
      </c>
      <c r="SL1513" s="42">
        <f t="shared" si="9"/>
        <v>2024498</v>
      </c>
      <c r="SM1513" s="42">
        <f t="shared" si="9"/>
        <v>2024499</v>
      </c>
      <c r="SN1513" s="42">
        <f t="shared" si="9"/>
        <v>2024500</v>
      </c>
      <c r="SO1513" s="42">
        <f t="shared" si="9"/>
        <v>2024501</v>
      </c>
      <c r="SP1513" s="42">
        <f t="shared" si="9"/>
        <v>2024502</v>
      </c>
      <c r="SQ1513" s="42">
        <f t="shared" si="9"/>
        <v>2024503</v>
      </c>
      <c r="SR1513" s="42">
        <f t="shared" si="9"/>
        <v>2024504</v>
      </c>
      <c r="SS1513" s="42">
        <f t="shared" si="9"/>
        <v>2024505</v>
      </c>
      <c r="ST1513" s="42">
        <f t="shared" si="9"/>
        <v>2024506</v>
      </c>
      <c r="SU1513" s="42">
        <f t="shared" si="9"/>
        <v>2024507</v>
      </c>
      <c r="SV1513" s="42">
        <f t="shared" si="9"/>
        <v>2024508</v>
      </c>
      <c r="SW1513" s="42">
        <f t="shared" si="9"/>
        <v>2024509</v>
      </c>
      <c r="SX1513" s="42">
        <f t="shared" si="9"/>
        <v>2024510</v>
      </c>
      <c r="SY1513" s="42">
        <f t="shared" si="9"/>
        <v>2024511</v>
      </c>
      <c r="SZ1513" s="42">
        <f t="shared" si="9"/>
        <v>2024512</v>
      </c>
      <c r="TA1513" s="42">
        <f t="shared" si="9"/>
        <v>2024513</v>
      </c>
      <c r="TB1513" s="42">
        <f t="shared" si="9"/>
        <v>2024514</v>
      </c>
      <c r="TC1513" s="42">
        <f t="shared" si="9"/>
        <v>2024515</v>
      </c>
      <c r="TD1513" s="42">
        <f t="shared" si="9"/>
        <v>2024516</v>
      </c>
      <c r="TE1513" s="42">
        <f t="shared" si="9"/>
        <v>2024517</v>
      </c>
      <c r="TF1513" s="42">
        <f t="shared" si="9"/>
        <v>2024518</v>
      </c>
      <c r="TG1513" s="42">
        <f t="shared" si="9"/>
        <v>2024519</v>
      </c>
      <c r="TH1513" s="42">
        <f t="shared" si="9"/>
        <v>2024520</v>
      </c>
      <c r="TI1513" s="42">
        <f t="shared" ref="TI1513:VT1513" si="10">+TI1490</f>
        <v>2024521</v>
      </c>
      <c r="TJ1513" s="42">
        <f t="shared" si="10"/>
        <v>2024522</v>
      </c>
      <c r="TK1513" s="42">
        <f t="shared" si="10"/>
        <v>2024523</v>
      </c>
      <c r="TL1513" s="42">
        <f t="shared" si="10"/>
        <v>2024524</v>
      </c>
      <c r="TM1513" s="42">
        <f t="shared" si="10"/>
        <v>2024525</v>
      </c>
      <c r="TN1513" s="42">
        <f t="shared" si="10"/>
        <v>2024526</v>
      </c>
      <c r="TO1513" s="42">
        <f t="shared" si="10"/>
        <v>2024527</v>
      </c>
      <c r="TP1513" s="42">
        <f t="shared" si="10"/>
        <v>2024528</v>
      </c>
      <c r="TQ1513" s="42">
        <f t="shared" si="10"/>
        <v>2024529</v>
      </c>
      <c r="TR1513" s="42">
        <f t="shared" si="10"/>
        <v>2024530</v>
      </c>
      <c r="TS1513" s="42">
        <f t="shared" si="10"/>
        <v>2024531</v>
      </c>
      <c r="TT1513" s="42">
        <f t="shared" si="10"/>
        <v>2024532</v>
      </c>
      <c r="TU1513" s="42">
        <f t="shared" si="10"/>
        <v>2024533</v>
      </c>
      <c r="TV1513" s="42">
        <f t="shared" si="10"/>
        <v>2024534</v>
      </c>
      <c r="TW1513" s="42">
        <f t="shared" si="10"/>
        <v>2024535</v>
      </c>
      <c r="TX1513" s="42">
        <f t="shared" si="10"/>
        <v>2024536</v>
      </c>
      <c r="TY1513" s="42">
        <f t="shared" si="10"/>
        <v>2024537</v>
      </c>
      <c r="TZ1513" s="42">
        <f t="shared" si="10"/>
        <v>2024538</v>
      </c>
      <c r="UA1513" s="42">
        <f t="shared" si="10"/>
        <v>2024539</v>
      </c>
      <c r="UB1513" s="42">
        <f t="shared" si="10"/>
        <v>2024540</v>
      </c>
      <c r="UC1513" s="42">
        <f t="shared" si="10"/>
        <v>2024541</v>
      </c>
      <c r="UD1513" s="42">
        <f t="shared" si="10"/>
        <v>2024542</v>
      </c>
      <c r="UE1513" s="42">
        <f t="shared" si="10"/>
        <v>2024543</v>
      </c>
      <c r="UF1513" s="42">
        <f t="shared" si="10"/>
        <v>2024544</v>
      </c>
      <c r="UG1513" s="42">
        <f t="shared" si="10"/>
        <v>2024545</v>
      </c>
      <c r="UH1513" s="42">
        <f t="shared" si="10"/>
        <v>2024546</v>
      </c>
      <c r="UI1513" s="42">
        <f t="shared" si="10"/>
        <v>2024547</v>
      </c>
      <c r="UJ1513" s="42">
        <f t="shared" si="10"/>
        <v>2024548</v>
      </c>
      <c r="UK1513" s="42">
        <f t="shared" si="10"/>
        <v>2024549</v>
      </c>
      <c r="UL1513" s="42">
        <f t="shared" si="10"/>
        <v>2024550</v>
      </c>
      <c r="UM1513" s="42">
        <f t="shared" si="10"/>
        <v>2024551</v>
      </c>
      <c r="UN1513" s="42">
        <f t="shared" si="10"/>
        <v>2024552</v>
      </c>
      <c r="UO1513" s="42">
        <f t="shared" si="10"/>
        <v>2024553</v>
      </c>
      <c r="UP1513" s="42">
        <f t="shared" si="10"/>
        <v>2024554</v>
      </c>
      <c r="UQ1513" s="42">
        <f t="shared" si="10"/>
        <v>2024555</v>
      </c>
      <c r="UR1513" s="42">
        <f t="shared" si="10"/>
        <v>2024556</v>
      </c>
      <c r="US1513" s="42">
        <f t="shared" si="10"/>
        <v>2024557</v>
      </c>
      <c r="UT1513" s="42">
        <f t="shared" si="10"/>
        <v>2024558</v>
      </c>
      <c r="UU1513" s="42">
        <f t="shared" si="10"/>
        <v>2024559</v>
      </c>
      <c r="UV1513" s="42">
        <f t="shared" si="10"/>
        <v>2024560</v>
      </c>
      <c r="UW1513" s="42">
        <f t="shared" si="10"/>
        <v>2024561</v>
      </c>
      <c r="UX1513" s="42">
        <f t="shared" si="10"/>
        <v>2024562</v>
      </c>
      <c r="UY1513" s="42">
        <f t="shared" si="10"/>
        <v>2024563</v>
      </c>
      <c r="UZ1513" s="42">
        <f t="shared" si="10"/>
        <v>2024564</v>
      </c>
      <c r="VA1513" s="42">
        <f t="shared" si="10"/>
        <v>2024565</v>
      </c>
      <c r="VB1513" s="42">
        <f t="shared" si="10"/>
        <v>2024566</v>
      </c>
      <c r="VC1513" s="42">
        <f t="shared" si="10"/>
        <v>2024567</v>
      </c>
      <c r="VD1513" s="42">
        <f t="shared" si="10"/>
        <v>2024568</v>
      </c>
      <c r="VE1513" s="42">
        <f t="shared" si="10"/>
        <v>2024569</v>
      </c>
      <c r="VF1513" s="42">
        <f t="shared" si="10"/>
        <v>2024570</v>
      </c>
      <c r="VG1513" s="42">
        <f t="shared" si="10"/>
        <v>2024571</v>
      </c>
      <c r="VH1513" s="42">
        <f t="shared" si="10"/>
        <v>2024572</v>
      </c>
      <c r="VI1513" s="42">
        <f t="shared" si="10"/>
        <v>2024573</v>
      </c>
      <c r="VJ1513" s="42">
        <f t="shared" si="10"/>
        <v>2024574</v>
      </c>
      <c r="VK1513" s="42">
        <f t="shared" si="10"/>
        <v>2024575</v>
      </c>
      <c r="VL1513" s="42">
        <f t="shared" si="10"/>
        <v>2024576</v>
      </c>
      <c r="VM1513" s="42">
        <f t="shared" si="10"/>
        <v>2024577</v>
      </c>
      <c r="VN1513" s="42">
        <f t="shared" si="10"/>
        <v>2024578</v>
      </c>
      <c r="VO1513" s="42">
        <f t="shared" si="10"/>
        <v>2024579</v>
      </c>
      <c r="VP1513" s="42">
        <f t="shared" si="10"/>
        <v>2024847</v>
      </c>
      <c r="VQ1513" s="42">
        <f t="shared" si="10"/>
        <v>2024848</v>
      </c>
      <c r="VR1513" s="42">
        <f t="shared" si="10"/>
        <v>2024849</v>
      </c>
      <c r="VS1513" s="42">
        <f t="shared" si="10"/>
        <v>2024850</v>
      </c>
      <c r="VT1513" s="42">
        <f t="shared" si="10"/>
        <v>2024851</v>
      </c>
      <c r="VU1513" s="42">
        <f t="shared" ref="VU1513:YF1513" si="11">+VU1490</f>
        <v>2024852</v>
      </c>
      <c r="VV1513" s="42">
        <f t="shared" si="11"/>
        <v>2024853</v>
      </c>
      <c r="VW1513" s="42">
        <f t="shared" si="11"/>
        <v>2024854</v>
      </c>
      <c r="VX1513" s="42">
        <f t="shared" si="11"/>
        <v>2024855</v>
      </c>
      <c r="VY1513" s="42">
        <f t="shared" si="11"/>
        <v>2024856</v>
      </c>
      <c r="VZ1513" s="42">
        <f t="shared" si="11"/>
        <v>2024857</v>
      </c>
      <c r="WA1513" s="42" t="e">
        <f t="shared" si="11"/>
        <v>#N/A</v>
      </c>
      <c r="WB1513" s="42" t="e">
        <f t="shared" si="11"/>
        <v>#N/A</v>
      </c>
      <c r="WC1513" s="42" t="e">
        <f t="shared" si="11"/>
        <v>#N/A</v>
      </c>
      <c r="WD1513" s="42" t="e">
        <f t="shared" si="11"/>
        <v>#N/A</v>
      </c>
      <c r="WE1513" s="42" t="e">
        <f t="shared" si="11"/>
        <v>#N/A</v>
      </c>
      <c r="WF1513" s="42" t="e">
        <f t="shared" si="11"/>
        <v>#N/A</v>
      </c>
      <c r="WG1513" s="42" t="e">
        <f t="shared" si="11"/>
        <v>#N/A</v>
      </c>
      <c r="WH1513" s="42" t="e">
        <f t="shared" si="11"/>
        <v>#N/A</v>
      </c>
      <c r="WI1513" s="42" t="e">
        <f t="shared" si="11"/>
        <v>#N/A</v>
      </c>
      <c r="WJ1513" s="42" t="e">
        <f t="shared" si="11"/>
        <v>#N/A</v>
      </c>
      <c r="WK1513" s="42" t="e">
        <f t="shared" si="11"/>
        <v>#N/A</v>
      </c>
      <c r="WL1513" s="42" t="e">
        <f t="shared" si="11"/>
        <v>#N/A</v>
      </c>
      <c r="WM1513" s="42" t="e">
        <f t="shared" si="11"/>
        <v>#N/A</v>
      </c>
      <c r="WN1513" s="42" t="e">
        <f t="shared" si="11"/>
        <v>#N/A</v>
      </c>
      <c r="WO1513" s="42" t="e">
        <f t="shared" si="11"/>
        <v>#N/A</v>
      </c>
      <c r="WP1513" s="42" t="e">
        <f t="shared" si="11"/>
        <v>#N/A</v>
      </c>
      <c r="WQ1513" s="42" t="e">
        <f t="shared" si="11"/>
        <v>#N/A</v>
      </c>
      <c r="WR1513" s="42" t="e">
        <f t="shared" si="11"/>
        <v>#N/A</v>
      </c>
      <c r="WS1513" s="42" t="e">
        <f t="shared" si="11"/>
        <v>#N/A</v>
      </c>
      <c r="WT1513" s="42" t="e">
        <f t="shared" si="11"/>
        <v>#N/A</v>
      </c>
      <c r="WU1513" s="42" t="e">
        <f t="shared" si="11"/>
        <v>#N/A</v>
      </c>
      <c r="WV1513" s="42" t="e">
        <f t="shared" si="11"/>
        <v>#N/A</v>
      </c>
      <c r="WW1513" s="42" t="e">
        <f t="shared" si="11"/>
        <v>#N/A</v>
      </c>
      <c r="WX1513" s="42" t="e">
        <f t="shared" si="11"/>
        <v>#N/A</v>
      </c>
      <c r="WY1513" s="42" t="e">
        <f t="shared" si="11"/>
        <v>#N/A</v>
      </c>
      <c r="WZ1513" s="42" t="e">
        <f t="shared" si="11"/>
        <v>#N/A</v>
      </c>
      <c r="XA1513" s="42" t="e">
        <f t="shared" si="11"/>
        <v>#N/A</v>
      </c>
      <c r="XB1513" s="42" t="e">
        <f t="shared" si="11"/>
        <v>#N/A</v>
      </c>
      <c r="XC1513" s="42" t="e">
        <f t="shared" si="11"/>
        <v>#N/A</v>
      </c>
      <c r="XD1513" s="42" t="e">
        <f t="shared" si="11"/>
        <v>#N/A</v>
      </c>
      <c r="XE1513" s="42" t="e">
        <f t="shared" si="11"/>
        <v>#N/A</v>
      </c>
      <c r="XF1513" s="42" t="e">
        <f t="shared" si="11"/>
        <v>#N/A</v>
      </c>
      <c r="XG1513" s="42" t="e">
        <f t="shared" si="11"/>
        <v>#N/A</v>
      </c>
      <c r="XH1513" s="42" t="e">
        <f t="shared" si="11"/>
        <v>#N/A</v>
      </c>
      <c r="XI1513" s="42" t="e">
        <f t="shared" si="11"/>
        <v>#N/A</v>
      </c>
      <c r="XJ1513" s="42" t="e">
        <f t="shared" si="11"/>
        <v>#N/A</v>
      </c>
      <c r="XK1513" s="42" t="e">
        <f t="shared" si="11"/>
        <v>#N/A</v>
      </c>
      <c r="XL1513" s="42" t="e">
        <f t="shared" si="11"/>
        <v>#N/A</v>
      </c>
      <c r="XM1513" s="42" t="e">
        <f t="shared" si="11"/>
        <v>#N/A</v>
      </c>
      <c r="XN1513" s="42" t="e">
        <f t="shared" si="11"/>
        <v>#N/A</v>
      </c>
      <c r="XO1513" s="42" t="e">
        <f t="shared" si="11"/>
        <v>#N/A</v>
      </c>
      <c r="XP1513" s="42" t="e">
        <f t="shared" si="11"/>
        <v>#N/A</v>
      </c>
      <c r="XQ1513" s="42" t="e">
        <f t="shared" si="11"/>
        <v>#N/A</v>
      </c>
      <c r="XR1513" s="42" t="e">
        <f t="shared" si="11"/>
        <v>#N/A</v>
      </c>
      <c r="XS1513" s="42" t="e">
        <f t="shared" si="11"/>
        <v>#N/A</v>
      </c>
      <c r="XT1513" s="42" t="e">
        <f t="shared" si="11"/>
        <v>#N/A</v>
      </c>
      <c r="XU1513" s="42" t="e">
        <f t="shared" si="11"/>
        <v>#N/A</v>
      </c>
      <c r="XV1513" s="42" t="e">
        <f t="shared" si="11"/>
        <v>#N/A</v>
      </c>
      <c r="XW1513" s="42" t="e">
        <f t="shared" si="11"/>
        <v>#N/A</v>
      </c>
      <c r="XX1513" s="42" t="e">
        <f t="shared" si="11"/>
        <v>#N/A</v>
      </c>
      <c r="XY1513" s="42" t="e">
        <f t="shared" si="11"/>
        <v>#N/A</v>
      </c>
      <c r="XZ1513" s="42" t="e">
        <f t="shared" si="11"/>
        <v>#N/A</v>
      </c>
      <c r="YA1513" s="42" t="e">
        <f t="shared" si="11"/>
        <v>#N/A</v>
      </c>
      <c r="YB1513" s="42" t="e">
        <f t="shared" si="11"/>
        <v>#N/A</v>
      </c>
      <c r="YC1513" s="42" t="e">
        <f t="shared" si="11"/>
        <v>#N/A</v>
      </c>
      <c r="YD1513" s="42" t="e">
        <f t="shared" si="11"/>
        <v>#N/A</v>
      </c>
      <c r="YE1513" s="42" t="e">
        <f t="shared" si="11"/>
        <v>#N/A</v>
      </c>
      <c r="YF1513" s="42" t="e">
        <f t="shared" si="11"/>
        <v>#N/A</v>
      </c>
      <c r="YG1513" s="42" t="e">
        <f t="shared" ref="YG1513:AAR1513" si="12">+YG1490</f>
        <v>#N/A</v>
      </c>
      <c r="YH1513" s="42" t="e">
        <f t="shared" si="12"/>
        <v>#N/A</v>
      </c>
      <c r="YI1513" s="42" t="e">
        <f t="shared" si="12"/>
        <v>#N/A</v>
      </c>
      <c r="YJ1513" s="42" t="e">
        <f t="shared" si="12"/>
        <v>#N/A</v>
      </c>
      <c r="YK1513" s="42" t="e">
        <f t="shared" si="12"/>
        <v>#N/A</v>
      </c>
      <c r="YL1513" s="42" t="e">
        <f t="shared" si="12"/>
        <v>#N/A</v>
      </c>
      <c r="YM1513" s="42" t="e">
        <f t="shared" si="12"/>
        <v>#N/A</v>
      </c>
      <c r="YN1513" s="42" t="e">
        <f t="shared" si="12"/>
        <v>#N/A</v>
      </c>
      <c r="YO1513" s="42" t="e">
        <f t="shared" si="12"/>
        <v>#N/A</v>
      </c>
      <c r="YP1513" s="42" t="e">
        <f t="shared" si="12"/>
        <v>#N/A</v>
      </c>
      <c r="YQ1513" s="42" t="e">
        <f t="shared" si="12"/>
        <v>#N/A</v>
      </c>
      <c r="YR1513" s="42" t="e">
        <f t="shared" si="12"/>
        <v>#N/A</v>
      </c>
      <c r="YS1513" s="42" t="e">
        <f t="shared" si="12"/>
        <v>#N/A</v>
      </c>
      <c r="YT1513" s="42" t="e">
        <f t="shared" si="12"/>
        <v>#N/A</v>
      </c>
      <c r="YU1513" s="42" t="e">
        <f t="shared" si="12"/>
        <v>#N/A</v>
      </c>
      <c r="YV1513" s="42" t="e">
        <f t="shared" si="12"/>
        <v>#N/A</v>
      </c>
      <c r="YW1513" s="42" t="e">
        <f t="shared" si="12"/>
        <v>#N/A</v>
      </c>
      <c r="YX1513" s="42" t="e">
        <f t="shared" si="12"/>
        <v>#N/A</v>
      </c>
      <c r="YY1513" s="42" t="e">
        <f t="shared" si="12"/>
        <v>#N/A</v>
      </c>
      <c r="YZ1513" s="42" t="e">
        <f t="shared" si="12"/>
        <v>#N/A</v>
      </c>
      <c r="ZA1513" s="42" t="e">
        <f t="shared" si="12"/>
        <v>#N/A</v>
      </c>
      <c r="ZB1513" s="42" t="e">
        <f t="shared" si="12"/>
        <v>#N/A</v>
      </c>
      <c r="ZC1513" s="42" t="e">
        <f t="shared" si="12"/>
        <v>#N/A</v>
      </c>
      <c r="ZD1513" s="42" t="e">
        <f t="shared" si="12"/>
        <v>#N/A</v>
      </c>
      <c r="ZE1513" s="42" t="e">
        <f t="shared" si="12"/>
        <v>#N/A</v>
      </c>
      <c r="ZF1513" s="42" t="e">
        <f t="shared" si="12"/>
        <v>#N/A</v>
      </c>
      <c r="ZG1513" s="42" t="e">
        <f t="shared" si="12"/>
        <v>#N/A</v>
      </c>
      <c r="ZH1513" s="42" t="e">
        <f t="shared" si="12"/>
        <v>#N/A</v>
      </c>
      <c r="ZI1513" s="42" t="e">
        <f t="shared" si="12"/>
        <v>#N/A</v>
      </c>
      <c r="ZJ1513" s="42" t="e">
        <f t="shared" si="12"/>
        <v>#N/A</v>
      </c>
      <c r="ZK1513" s="42" t="e">
        <f t="shared" si="12"/>
        <v>#N/A</v>
      </c>
      <c r="ZL1513" s="42" t="e">
        <f t="shared" si="12"/>
        <v>#N/A</v>
      </c>
      <c r="ZM1513" s="42" t="e">
        <f t="shared" si="12"/>
        <v>#N/A</v>
      </c>
      <c r="ZN1513" s="42" t="e">
        <f t="shared" si="12"/>
        <v>#N/A</v>
      </c>
      <c r="ZO1513" s="42" t="e">
        <f t="shared" si="12"/>
        <v>#N/A</v>
      </c>
      <c r="ZP1513" s="42" t="e">
        <f t="shared" si="12"/>
        <v>#N/A</v>
      </c>
      <c r="ZQ1513" s="42" t="e">
        <f t="shared" si="12"/>
        <v>#N/A</v>
      </c>
      <c r="ZR1513" s="42" t="e">
        <f t="shared" si="12"/>
        <v>#N/A</v>
      </c>
      <c r="ZS1513" s="42" t="e">
        <f t="shared" si="12"/>
        <v>#N/A</v>
      </c>
      <c r="ZT1513" s="42" t="e">
        <f t="shared" si="12"/>
        <v>#N/A</v>
      </c>
      <c r="ZU1513" s="42" t="e">
        <f t="shared" si="12"/>
        <v>#N/A</v>
      </c>
      <c r="ZV1513" s="42" t="e">
        <f t="shared" si="12"/>
        <v>#N/A</v>
      </c>
      <c r="ZW1513" s="42" t="e">
        <f t="shared" si="12"/>
        <v>#N/A</v>
      </c>
      <c r="ZX1513" s="42" t="e">
        <f t="shared" si="12"/>
        <v>#N/A</v>
      </c>
      <c r="ZY1513" s="42" t="e">
        <f t="shared" si="12"/>
        <v>#N/A</v>
      </c>
      <c r="ZZ1513" s="42" t="e">
        <f t="shared" si="12"/>
        <v>#N/A</v>
      </c>
      <c r="AAA1513" s="42" t="e">
        <f t="shared" si="12"/>
        <v>#N/A</v>
      </c>
      <c r="AAB1513" s="42" t="e">
        <f t="shared" si="12"/>
        <v>#N/A</v>
      </c>
      <c r="AAC1513" s="42" t="e">
        <f t="shared" si="12"/>
        <v>#N/A</v>
      </c>
      <c r="AAD1513" s="42" t="e">
        <f t="shared" si="12"/>
        <v>#N/A</v>
      </c>
      <c r="AAE1513" s="42" t="e">
        <f t="shared" si="12"/>
        <v>#N/A</v>
      </c>
      <c r="AAF1513" s="42" t="e">
        <f t="shared" si="12"/>
        <v>#N/A</v>
      </c>
      <c r="AAG1513" s="42" t="e">
        <f t="shared" si="12"/>
        <v>#N/A</v>
      </c>
      <c r="AAH1513" s="42" t="e">
        <f t="shared" si="12"/>
        <v>#N/A</v>
      </c>
      <c r="AAI1513" s="42" t="e">
        <f t="shared" si="12"/>
        <v>#N/A</v>
      </c>
      <c r="AAJ1513" s="42" t="e">
        <f t="shared" si="12"/>
        <v>#N/A</v>
      </c>
      <c r="AAK1513" s="42" t="e">
        <f t="shared" si="12"/>
        <v>#N/A</v>
      </c>
      <c r="AAL1513" s="42" t="e">
        <f t="shared" si="12"/>
        <v>#N/A</v>
      </c>
      <c r="AAM1513" s="42" t="e">
        <f t="shared" si="12"/>
        <v>#N/A</v>
      </c>
      <c r="AAN1513" s="42" t="e">
        <f t="shared" si="12"/>
        <v>#N/A</v>
      </c>
      <c r="AAO1513" s="42" t="e">
        <f t="shared" si="12"/>
        <v>#N/A</v>
      </c>
      <c r="AAP1513" s="42" t="e">
        <f t="shared" si="12"/>
        <v>#N/A</v>
      </c>
      <c r="AAQ1513" s="42" t="e">
        <f t="shared" si="12"/>
        <v>#N/A</v>
      </c>
      <c r="AAR1513" s="42" t="e">
        <f t="shared" si="12"/>
        <v>#N/A</v>
      </c>
      <c r="AAS1513" s="42" t="e">
        <f t="shared" ref="AAS1513:ADD1513" si="13">+AAS1490</f>
        <v>#N/A</v>
      </c>
      <c r="AAT1513" s="42" t="e">
        <f t="shared" si="13"/>
        <v>#N/A</v>
      </c>
      <c r="AAU1513" s="42" t="e">
        <f t="shared" si="13"/>
        <v>#N/A</v>
      </c>
      <c r="AAV1513" s="42" t="e">
        <f t="shared" si="13"/>
        <v>#N/A</v>
      </c>
      <c r="AAW1513" s="42" t="e">
        <f t="shared" si="13"/>
        <v>#N/A</v>
      </c>
      <c r="AAX1513" s="42" t="e">
        <f t="shared" si="13"/>
        <v>#N/A</v>
      </c>
      <c r="AAY1513" s="42" t="e">
        <f t="shared" si="13"/>
        <v>#N/A</v>
      </c>
      <c r="AAZ1513" s="42" t="e">
        <f t="shared" si="13"/>
        <v>#N/A</v>
      </c>
      <c r="ABA1513" s="42" t="e">
        <f t="shared" si="13"/>
        <v>#N/A</v>
      </c>
      <c r="ABB1513" s="42" t="e">
        <f t="shared" si="13"/>
        <v>#N/A</v>
      </c>
      <c r="ABC1513" s="42" t="e">
        <f t="shared" si="13"/>
        <v>#N/A</v>
      </c>
      <c r="ABD1513" s="42" t="e">
        <f t="shared" si="13"/>
        <v>#N/A</v>
      </c>
      <c r="ABE1513" s="42" t="e">
        <f t="shared" si="13"/>
        <v>#N/A</v>
      </c>
      <c r="ABF1513" s="42" t="e">
        <f t="shared" si="13"/>
        <v>#N/A</v>
      </c>
      <c r="ABG1513" s="42" t="e">
        <f t="shared" si="13"/>
        <v>#N/A</v>
      </c>
      <c r="ABH1513" s="42" t="e">
        <f t="shared" si="13"/>
        <v>#N/A</v>
      </c>
      <c r="ABI1513" s="42" t="e">
        <f t="shared" si="13"/>
        <v>#N/A</v>
      </c>
      <c r="ABJ1513" s="42" t="e">
        <f t="shared" si="13"/>
        <v>#N/A</v>
      </c>
      <c r="ABK1513" s="42" t="e">
        <f t="shared" si="13"/>
        <v>#N/A</v>
      </c>
      <c r="ABL1513" s="42" t="e">
        <f t="shared" si="13"/>
        <v>#N/A</v>
      </c>
      <c r="ABM1513" s="42" t="e">
        <f t="shared" si="13"/>
        <v>#N/A</v>
      </c>
      <c r="ABN1513" s="42" t="e">
        <f t="shared" si="13"/>
        <v>#N/A</v>
      </c>
      <c r="ABO1513" s="42" t="e">
        <f t="shared" si="13"/>
        <v>#N/A</v>
      </c>
      <c r="ABP1513" s="42" t="e">
        <f t="shared" si="13"/>
        <v>#N/A</v>
      </c>
      <c r="ABQ1513" s="42" t="e">
        <f t="shared" si="13"/>
        <v>#N/A</v>
      </c>
      <c r="ABR1513" s="42" t="e">
        <f t="shared" si="13"/>
        <v>#N/A</v>
      </c>
      <c r="ABS1513" s="42" t="e">
        <f t="shared" si="13"/>
        <v>#N/A</v>
      </c>
      <c r="ABT1513" s="42" t="e">
        <f t="shared" si="13"/>
        <v>#N/A</v>
      </c>
      <c r="ABU1513" s="42" t="e">
        <f t="shared" si="13"/>
        <v>#N/A</v>
      </c>
      <c r="ABV1513" s="42" t="e">
        <f t="shared" si="13"/>
        <v>#N/A</v>
      </c>
      <c r="ABW1513" s="42" t="e">
        <f t="shared" si="13"/>
        <v>#N/A</v>
      </c>
      <c r="ABX1513" s="42" t="e">
        <f t="shared" si="13"/>
        <v>#N/A</v>
      </c>
      <c r="ABY1513" s="42" t="e">
        <f t="shared" si="13"/>
        <v>#N/A</v>
      </c>
      <c r="ABZ1513" s="42" t="e">
        <f t="shared" si="13"/>
        <v>#N/A</v>
      </c>
      <c r="ACA1513" s="42" t="e">
        <f t="shared" si="13"/>
        <v>#N/A</v>
      </c>
      <c r="ACB1513" s="42" t="e">
        <f t="shared" si="13"/>
        <v>#N/A</v>
      </c>
      <c r="ACC1513" s="42" t="e">
        <f t="shared" si="13"/>
        <v>#N/A</v>
      </c>
      <c r="ACD1513" s="42" t="e">
        <f t="shared" si="13"/>
        <v>#N/A</v>
      </c>
      <c r="ACE1513" s="42" t="e">
        <f t="shared" si="13"/>
        <v>#N/A</v>
      </c>
      <c r="ACF1513" s="42" t="e">
        <f t="shared" si="13"/>
        <v>#N/A</v>
      </c>
      <c r="ACG1513" s="42" t="e">
        <f t="shared" si="13"/>
        <v>#N/A</v>
      </c>
      <c r="ACH1513" s="42" t="e">
        <f t="shared" si="13"/>
        <v>#N/A</v>
      </c>
      <c r="ACI1513" s="42" t="e">
        <f t="shared" si="13"/>
        <v>#N/A</v>
      </c>
      <c r="ACJ1513" s="42" t="e">
        <f t="shared" si="13"/>
        <v>#N/A</v>
      </c>
      <c r="ACK1513" s="42" t="e">
        <f t="shared" si="13"/>
        <v>#N/A</v>
      </c>
      <c r="ACL1513" s="42" t="e">
        <f t="shared" si="13"/>
        <v>#N/A</v>
      </c>
      <c r="ACM1513" s="42" t="e">
        <f t="shared" si="13"/>
        <v>#N/A</v>
      </c>
      <c r="ACN1513" s="42" t="e">
        <f t="shared" si="13"/>
        <v>#N/A</v>
      </c>
      <c r="ACO1513" s="42" t="e">
        <f t="shared" si="13"/>
        <v>#N/A</v>
      </c>
      <c r="ACP1513" s="42" t="e">
        <f t="shared" si="13"/>
        <v>#N/A</v>
      </c>
      <c r="ACQ1513" s="42" t="e">
        <f t="shared" si="13"/>
        <v>#N/A</v>
      </c>
      <c r="ACR1513" s="42" t="e">
        <f t="shared" si="13"/>
        <v>#N/A</v>
      </c>
      <c r="ACS1513" s="42" t="e">
        <f t="shared" si="13"/>
        <v>#N/A</v>
      </c>
      <c r="ACT1513" s="42" t="e">
        <f t="shared" si="13"/>
        <v>#N/A</v>
      </c>
      <c r="ACU1513" s="42" t="e">
        <f t="shared" si="13"/>
        <v>#N/A</v>
      </c>
      <c r="ACV1513" s="42" t="e">
        <f t="shared" si="13"/>
        <v>#N/A</v>
      </c>
      <c r="ACW1513" s="42" t="e">
        <f t="shared" si="13"/>
        <v>#N/A</v>
      </c>
      <c r="ACX1513" s="42" t="e">
        <f t="shared" si="13"/>
        <v>#N/A</v>
      </c>
      <c r="ACY1513" s="42" t="e">
        <f t="shared" si="13"/>
        <v>#N/A</v>
      </c>
      <c r="ACZ1513" s="42" t="e">
        <f t="shared" si="13"/>
        <v>#N/A</v>
      </c>
      <c r="ADA1513" s="42" t="e">
        <f t="shared" si="13"/>
        <v>#N/A</v>
      </c>
      <c r="ADB1513" s="42" t="e">
        <f t="shared" si="13"/>
        <v>#N/A</v>
      </c>
      <c r="ADC1513" s="42" t="e">
        <f t="shared" si="13"/>
        <v>#N/A</v>
      </c>
      <c r="ADD1513" s="42" t="e">
        <f t="shared" si="13"/>
        <v>#N/A</v>
      </c>
      <c r="ADE1513" s="42" t="e">
        <f t="shared" ref="ADE1513:AFP1513" si="14">+ADE1490</f>
        <v>#N/A</v>
      </c>
      <c r="ADF1513" s="42" t="e">
        <f t="shared" si="14"/>
        <v>#N/A</v>
      </c>
      <c r="ADG1513" s="42" t="e">
        <f t="shared" si="14"/>
        <v>#N/A</v>
      </c>
      <c r="ADH1513" s="42" t="e">
        <f t="shared" si="14"/>
        <v>#N/A</v>
      </c>
      <c r="ADI1513" s="42" t="e">
        <f t="shared" si="14"/>
        <v>#N/A</v>
      </c>
      <c r="ADJ1513" s="42" t="e">
        <f t="shared" si="14"/>
        <v>#N/A</v>
      </c>
      <c r="ADK1513" s="42" t="e">
        <f t="shared" si="14"/>
        <v>#N/A</v>
      </c>
      <c r="ADL1513" s="42" t="e">
        <f t="shared" si="14"/>
        <v>#N/A</v>
      </c>
      <c r="ADM1513" s="42" t="e">
        <f t="shared" si="14"/>
        <v>#N/A</v>
      </c>
      <c r="ADN1513" s="42" t="e">
        <f t="shared" si="14"/>
        <v>#N/A</v>
      </c>
      <c r="ADO1513" s="42" t="e">
        <f t="shared" si="14"/>
        <v>#N/A</v>
      </c>
      <c r="ADP1513" s="42" t="e">
        <f t="shared" si="14"/>
        <v>#N/A</v>
      </c>
      <c r="ADQ1513" s="42" t="e">
        <f t="shared" si="14"/>
        <v>#N/A</v>
      </c>
      <c r="ADR1513" s="42" t="e">
        <f t="shared" si="14"/>
        <v>#N/A</v>
      </c>
      <c r="ADS1513" s="42" t="e">
        <f t="shared" si="14"/>
        <v>#N/A</v>
      </c>
      <c r="ADT1513" s="42" t="e">
        <f t="shared" si="14"/>
        <v>#N/A</v>
      </c>
      <c r="ADU1513" s="42" t="e">
        <f t="shared" si="14"/>
        <v>#N/A</v>
      </c>
      <c r="ADV1513" s="42" t="e">
        <f t="shared" si="14"/>
        <v>#N/A</v>
      </c>
      <c r="ADW1513" s="42" t="e">
        <f t="shared" si="14"/>
        <v>#N/A</v>
      </c>
      <c r="ADX1513" s="42" t="e">
        <f t="shared" si="14"/>
        <v>#N/A</v>
      </c>
      <c r="ADY1513" s="42" t="e">
        <f t="shared" si="14"/>
        <v>#N/A</v>
      </c>
      <c r="ADZ1513" s="42" t="e">
        <f t="shared" si="14"/>
        <v>#N/A</v>
      </c>
      <c r="AEA1513" s="42" t="e">
        <f t="shared" si="14"/>
        <v>#N/A</v>
      </c>
      <c r="AEB1513" s="42" t="e">
        <f t="shared" si="14"/>
        <v>#N/A</v>
      </c>
      <c r="AEC1513" s="42" t="e">
        <f t="shared" si="14"/>
        <v>#N/A</v>
      </c>
      <c r="AED1513" s="42" t="e">
        <f t="shared" si="14"/>
        <v>#N/A</v>
      </c>
      <c r="AEE1513" s="42" t="e">
        <f t="shared" si="14"/>
        <v>#N/A</v>
      </c>
      <c r="AEF1513" s="42" t="e">
        <f t="shared" si="14"/>
        <v>#N/A</v>
      </c>
      <c r="AEG1513" s="42" t="e">
        <f t="shared" si="14"/>
        <v>#N/A</v>
      </c>
      <c r="AEH1513" s="42" t="e">
        <f t="shared" si="14"/>
        <v>#N/A</v>
      </c>
      <c r="AEI1513" s="42" t="e">
        <f t="shared" si="14"/>
        <v>#N/A</v>
      </c>
      <c r="AEJ1513" s="42" t="e">
        <f t="shared" si="14"/>
        <v>#N/A</v>
      </c>
      <c r="AEK1513" s="42" t="e">
        <f t="shared" si="14"/>
        <v>#N/A</v>
      </c>
      <c r="AEL1513" s="42" t="e">
        <f t="shared" si="14"/>
        <v>#N/A</v>
      </c>
      <c r="AEM1513" s="42" t="e">
        <f t="shared" si="14"/>
        <v>#N/A</v>
      </c>
      <c r="AEN1513" s="42" t="e">
        <f t="shared" si="14"/>
        <v>#N/A</v>
      </c>
      <c r="AEO1513" s="42" t="e">
        <f t="shared" si="14"/>
        <v>#N/A</v>
      </c>
      <c r="AEP1513" s="42" t="e">
        <f t="shared" si="14"/>
        <v>#N/A</v>
      </c>
      <c r="AEQ1513" s="42" t="e">
        <f t="shared" si="14"/>
        <v>#N/A</v>
      </c>
      <c r="AER1513" s="42" t="e">
        <f t="shared" si="14"/>
        <v>#N/A</v>
      </c>
      <c r="AES1513" s="42" t="e">
        <f t="shared" si="14"/>
        <v>#N/A</v>
      </c>
      <c r="AET1513" s="42" t="e">
        <f t="shared" si="14"/>
        <v>#N/A</v>
      </c>
      <c r="AEU1513" s="42" t="e">
        <f t="shared" si="14"/>
        <v>#N/A</v>
      </c>
      <c r="AEV1513" s="42" t="e">
        <f t="shared" si="14"/>
        <v>#N/A</v>
      </c>
      <c r="AEW1513" s="42" t="e">
        <f t="shared" si="14"/>
        <v>#N/A</v>
      </c>
      <c r="AEX1513" s="42" t="e">
        <f t="shared" si="14"/>
        <v>#N/A</v>
      </c>
      <c r="AEY1513" s="42" t="e">
        <f t="shared" si="14"/>
        <v>#N/A</v>
      </c>
      <c r="AEZ1513" s="42" t="e">
        <f t="shared" si="14"/>
        <v>#N/A</v>
      </c>
      <c r="AFA1513" s="42" t="e">
        <f t="shared" si="14"/>
        <v>#N/A</v>
      </c>
      <c r="AFB1513" s="42" t="e">
        <f t="shared" si="14"/>
        <v>#N/A</v>
      </c>
      <c r="AFC1513" s="42" t="e">
        <f t="shared" si="14"/>
        <v>#N/A</v>
      </c>
      <c r="AFD1513" s="42" t="e">
        <f t="shared" si="14"/>
        <v>#N/A</v>
      </c>
      <c r="AFE1513" s="42" t="e">
        <f t="shared" si="14"/>
        <v>#N/A</v>
      </c>
      <c r="AFF1513" s="42" t="e">
        <f t="shared" si="14"/>
        <v>#N/A</v>
      </c>
      <c r="AFG1513" s="42" t="e">
        <f t="shared" si="14"/>
        <v>#N/A</v>
      </c>
      <c r="AFH1513" s="42" t="e">
        <f t="shared" si="14"/>
        <v>#N/A</v>
      </c>
      <c r="AFI1513" s="42" t="e">
        <f t="shared" si="14"/>
        <v>#N/A</v>
      </c>
      <c r="AFJ1513" s="42" t="e">
        <f t="shared" si="14"/>
        <v>#N/A</v>
      </c>
      <c r="AFK1513" s="42" t="e">
        <f t="shared" si="14"/>
        <v>#N/A</v>
      </c>
      <c r="AFL1513" s="42" t="e">
        <f t="shared" si="14"/>
        <v>#N/A</v>
      </c>
      <c r="AFM1513" s="42" t="e">
        <f t="shared" si="14"/>
        <v>#N/A</v>
      </c>
      <c r="AFN1513" s="42" t="e">
        <f t="shared" si="14"/>
        <v>#N/A</v>
      </c>
      <c r="AFO1513" s="42" t="e">
        <f t="shared" si="14"/>
        <v>#N/A</v>
      </c>
      <c r="AFP1513" s="42" t="e">
        <f t="shared" si="14"/>
        <v>#N/A</v>
      </c>
      <c r="AFQ1513" s="42" t="e">
        <f t="shared" ref="AFQ1513:AGN1513" si="15">+AFQ1490</f>
        <v>#N/A</v>
      </c>
      <c r="AFR1513" s="42" t="e">
        <f t="shared" si="15"/>
        <v>#N/A</v>
      </c>
      <c r="AFS1513" s="42" t="e">
        <f t="shared" si="15"/>
        <v>#N/A</v>
      </c>
      <c r="AFT1513" s="42" t="e">
        <f t="shared" si="15"/>
        <v>#N/A</v>
      </c>
      <c r="AFU1513" s="42" t="e">
        <f t="shared" si="15"/>
        <v>#N/A</v>
      </c>
      <c r="AFV1513" s="42" t="e">
        <f t="shared" si="15"/>
        <v>#N/A</v>
      </c>
      <c r="AFW1513" s="42" t="e">
        <f t="shared" si="15"/>
        <v>#N/A</v>
      </c>
      <c r="AFX1513" s="42" t="e">
        <f t="shared" si="15"/>
        <v>#N/A</v>
      </c>
      <c r="AFY1513" s="42" t="e">
        <f t="shared" si="15"/>
        <v>#N/A</v>
      </c>
      <c r="AFZ1513" s="42" t="e">
        <f t="shared" si="15"/>
        <v>#N/A</v>
      </c>
      <c r="AGA1513" s="42" t="e">
        <f t="shared" si="15"/>
        <v>#N/A</v>
      </c>
      <c r="AGB1513" s="42" t="e">
        <f t="shared" si="15"/>
        <v>#N/A</v>
      </c>
      <c r="AGC1513" s="42" t="e">
        <f t="shared" si="15"/>
        <v>#N/A</v>
      </c>
      <c r="AGD1513" s="42" t="e">
        <f t="shared" si="15"/>
        <v>#N/A</v>
      </c>
      <c r="AGE1513" s="42" t="e">
        <f t="shared" si="15"/>
        <v>#N/A</v>
      </c>
      <c r="AGF1513" s="42" t="e">
        <f t="shared" si="15"/>
        <v>#N/A</v>
      </c>
      <c r="AGG1513" s="42" t="e">
        <f t="shared" si="15"/>
        <v>#N/A</v>
      </c>
      <c r="AGH1513" s="42" t="e">
        <f t="shared" si="15"/>
        <v>#N/A</v>
      </c>
      <c r="AGI1513" s="42" t="e">
        <f t="shared" si="15"/>
        <v>#N/A</v>
      </c>
      <c r="AGJ1513" s="42" t="e">
        <f t="shared" si="15"/>
        <v>#N/A</v>
      </c>
      <c r="AGK1513" s="42" t="e">
        <f t="shared" si="15"/>
        <v>#N/A</v>
      </c>
      <c r="AGL1513" s="42" t="e">
        <f t="shared" si="15"/>
        <v>#N/A</v>
      </c>
      <c r="AGM1513" s="42" t="e">
        <f t="shared" si="15"/>
        <v>#N/A</v>
      </c>
      <c r="AGN1513" s="42" t="e">
        <f t="shared" si="15"/>
        <v>#N/A</v>
      </c>
    </row>
    <row r="1514" spans="15:872" x14ac:dyDescent="0.25">
      <c r="O1514" s="42">
        <v>1</v>
      </c>
      <c r="P1514" s="42" t="str">
        <f t="array" aca="1" ref="P1514:P1533" ca="1">IFERROR(INDEX(nombres[],SMALL(IF(OFFSET(nombres[],0,0,ROWS(nombres[]),1)=P$1490,ROW(OFFSET(nombres[],0,0,ROWS(nombres[]),1))-ROW(OFFSET(nombres[],0,0,1,1))+1,ROW(OFFSET(nombres[],ROWS(nombres[])-1,0,1,1))+1),$O1514:$O1533),11),"")</f>
        <v>S/F</v>
      </c>
      <c r="Q1514" s="42" t="str">
        <f t="array" aca="1" ref="Q1514:Q1533" ca="1">IFERROR(INDEX(nombres[],SMALL(IF(OFFSET(nombres[],0,0,ROWS(nombres[]),1)=Q$1490,ROW(OFFSET(nombres[],0,0,ROWS(nombres[]),1))-ROW(OFFSET(nombres[],0,0,1,1))+1,ROW(OFFSET(nombres[],ROWS(nombres[])-1,0,1,1))+1),$O1514:$O1533),11),"")</f>
        <v/>
      </c>
      <c r="R1514" s="42" t="str">
        <f t="array" aca="1" ref="R1514:R1533" ca="1">IFERROR(INDEX(nombres[],SMALL(IF(OFFSET(nombres[],0,0,ROWS(nombres[]),1)=R$1490,ROW(OFFSET(nombres[],0,0,ROWS(nombres[]),1))-ROW(OFFSET(nombres[],0,0,1,1))+1,ROW(OFFSET(nombres[],ROWS(nombres[])-1,0,1,1))+1),$O1514:$O1533),11),"")</f>
        <v>S/F</v>
      </c>
      <c r="S1514" s="42" t="str">
        <f t="array" aca="1" ref="S1514:S1533" ca="1">IFERROR(INDEX(nombres[],SMALL(IF(OFFSET(nombres[],0,0,ROWS(nombres[]),1)=S$1490,ROW(OFFSET(nombres[],0,0,ROWS(nombres[]),1))-ROW(OFFSET(nombres[],0,0,1,1))+1,ROW(OFFSET(nombres[],ROWS(nombres[])-1,0,1,1))+1),$O1514:$O1533),11),"")</f>
        <v>S/F</v>
      </c>
      <c r="T1514" s="42" t="str">
        <f t="array" aca="1" ref="T1514:T1533" ca="1">IFERROR(INDEX(nombres[],SMALL(IF(OFFSET(nombres[],0,0,ROWS(nombres[]),1)=T$1490,ROW(OFFSET(nombres[],0,0,ROWS(nombres[]),1))-ROW(OFFSET(nombres[],0,0,1,1))+1,ROW(OFFSET(nombres[],ROWS(nombres[])-1,0,1,1))+1),$O1514:$O1533),11),"")</f>
        <v>S/F</v>
      </c>
      <c r="U1514" s="42" t="str">
        <f t="array" aca="1" ref="U1514:U1533" ca="1">IFERROR(INDEX(nombres[],SMALL(IF(OFFSET(nombres[],0,0,ROWS(nombres[]),1)=U$1490,ROW(OFFSET(nombres[],0,0,ROWS(nombres[]),1))-ROW(OFFSET(nombres[],0,0,1,1))+1,ROW(OFFSET(nombres[],ROWS(nombres[])-1,0,1,1))+1),$O1514:$O1533),11),"")</f>
        <v>S/F</v>
      </c>
      <c r="V1514" s="42" t="str">
        <f t="array" aca="1" ref="V1514:V1533" ca="1">IFERROR(INDEX(nombres[],SMALL(IF(OFFSET(nombres[],0,0,ROWS(nombres[]),1)=V$1490,ROW(OFFSET(nombres[],0,0,ROWS(nombres[]),1))-ROW(OFFSET(nombres[],0,0,1,1))+1,ROW(OFFSET(nombres[],ROWS(nombres[])-1,0,1,1))+1),$O1514:$O1533),11),"")</f>
        <v>S/F</v>
      </c>
      <c r="W1514" s="42" t="str">
        <f t="array" aca="1" ref="W1514:W1533" ca="1">IFERROR(INDEX(nombres[],SMALL(IF(OFFSET(nombres[],0,0,ROWS(nombres[]),1)=W$1490,ROW(OFFSET(nombres[],0,0,ROWS(nombres[]),1))-ROW(OFFSET(nombres[],0,0,1,1))+1,ROW(OFFSET(nombres[],ROWS(nombres[])-1,0,1,1))+1),$O1514:$O1533),11),"")</f>
        <v>S/F</v>
      </c>
      <c r="X1514" s="42" t="str">
        <f t="array" aca="1" ref="X1514:X1533" ca="1">IFERROR(INDEX(nombres[],SMALL(IF(OFFSET(nombres[],0,0,ROWS(nombres[]),1)=X$1490,ROW(OFFSET(nombres[],0,0,ROWS(nombres[]),1))-ROW(OFFSET(nombres[],0,0,1,1))+1,ROW(OFFSET(nombres[],ROWS(nombres[])-1,0,1,1))+1),$O1514:$O1533),11),"")</f>
        <v>S/F</v>
      </c>
      <c r="Y1514" s="42" t="str">
        <f t="array" aca="1" ref="Y1514:Y1533" ca="1">IFERROR(INDEX(nombres[],SMALL(IF(OFFSET(nombres[],0,0,ROWS(nombres[]),1)=Y$1490,ROW(OFFSET(nombres[],0,0,ROWS(nombres[]),1))-ROW(OFFSET(nombres[],0,0,1,1))+1,ROW(OFFSET(nombres[],ROWS(nombres[])-1,0,1,1))+1),$O1514:$O1533),11),"")</f>
        <v>S/F</v>
      </c>
      <c r="Z1514" s="42" t="str">
        <f t="array" aca="1" ref="Z1514:Z1533" ca="1">IFERROR(INDEX(nombres[],SMALL(IF(OFFSET(nombres[],0,0,ROWS(nombres[]),1)=Z$1490,ROW(OFFSET(nombres[],0,0,ROWS(nombres[]),1))-ROW(OFFSET(nombres[],0,0,1,1))+1,ROW(OFFSET(nombres[],ROWS(nombres[])-1,0,1,1))+1),$O1514:$O1533),11),"")</f>
        <v>S/F</v>
      </c>
      <c r="AA1514" s="42" t="str">
        <f t="array" aca="1" ref="AA1514:AA1533" ca="1">IFERROR(INDEX(nombres[],SMALL(IF(OFFSET(nombres[],0,0,ROWS(nombres[]),1)=AA$1490,ROW(OFFSET(nombres[],0,0,ROWS(nombres[]),1))-ROW(OFFSET(nombres[],0,0,1,1))+1,ROW(OFFSET(nombres[],ROWS(nombres[])-1,0,1,1))+1),$O1514:$O1533),11),"")</f>
        <v>S/F</v>
      </c>
      <c r="AB1514" s="42" t="str">
        <f t="array" aca="1" ref="AB1514:AB1533" ca="1">IFERROR(INDEX(nombres[],SMALL(IF(OFFSET(nombres[],0,0,ROWS(nombres[]),1)=AB$1490,ROW(OFFSET(nombres[],0,0,ROWS(nombres[]),1))-ROW(OFFSET(nombres[],0,0,1,1))+1,ROW(OFFSET(nombres[],ROWS(nombres[])-1,0,1,1))+1),$O1514:$O1533),11),"")</f>
        <v>73-81</v>
      </c>
      <c r="AC1514" s="42">
        <f t="array" aca="1" ref="AC1514:AC1533" ca="1">IFERROR(INDEX(nombres[],SMALL(IF(OFFSET(nombres[],0,0,ROWS(nombres[]),1)=AC$1490,ROW(OFFSET(nombres[],0,0,ROWS(nombres[]),1))-ROW(OFFSET(nombres[],0,0,1,1))+1,ROW(OFFSET(nombres[],ROWS(nombres[])-1,0,1,1))+1),$O1514:$O1533),11),"")</f>
        <v>67</v>
      </c>
      <c r="AD1514" s="42" t="str">
        <f t="array" aca="1" ref="AD1514:AD1533" ca="1">IFERROR(INDEX(nombres[],SMALL(IF(OFFSET(nombres[],0,0,ROWS(nombres[]),1)=AD$1490,ROW(OFFSET(nombres[],0,0,ROWS(nombres[]),1))-ROW(OFFSET(nombres[],0,0,1,1))+1,ROW(OFFSET(nombres[],ROWS(nombres[])-1,0,1,1))+1),$O1514:$O1533),11),"")</f>
        <v>S/F</v>
      </c>
      <c r="AE1514" s="42">
        <f t="array" aca="1" ref="AE1514:AE1533" ca="1">IFERROR(INDEX(nombres[],SMALL(IF(OFFSET(nombres[],0,0,ROWS(nombres[]),1)=AE$1490,ROW(OFFSET(nombres[],0,0,ROWS(nombres[]),1))-ROW(OFFSET(nombres[],0,0,1,1))+1,ROW(OFFSET(nombres[],ROWS(nombres[])-1,0,1,1))+1),$O1514:$O1533),11),"")</f>
        <v>0</v>
      </c>
      <c r="AF1514" s="42" t="str">
        <f t="array" aca="1" ref="AF1514:AF1533" ca="1">IFERROR(INDEX(nombres[],SMALL(IF(OFFSET(nombres[],0,0,ROWS(nombres[]),1)=AF$1490,ROW(OFFSET(nombres[],0,0,ROWS(nombres[]),1))-ROW(OFFSET(nombres[],0,0,1,1))+1,ROW(OFFSET(nombres[],ROWS(nombres[])-1,0,1,1))+1),$O1514:$O1533),11),"")</f>
        <v>S/F</v>
      </c>
      <c r="AG1514" s="42" t="str">
        <f t="array" aca="1" ref="AG1514:AG1533" ca="1">IFERROR(INDEX(nombres[],SMALL(IF(OFFSET(nombres[],0,0,ROWS(nombres[]),1)=AG$1490,ROW(OFFSET(nombres[],0,0,ROWS(nombres[]),1))-ROW(OFFSET(nombres[],0,0,1,1))+1,ROW(OFFSET(nombres[],ROWS(nombres[])-1,0,1,1))+1),$O1514:$O1533),11),"")</f>
        <v/>
      </c>
      <c r="AH1514" s="42" t="str">
        <f t="array" aca="1" ref="AH1514:AH1533" ca="1">IFERROR(INDEX(nombres[],SMALL(IF(OFFSET(nombres[],0,0,ROWS(nombres[]),1)=AH$1490,ROW(OFFSET(nombres[],0,0,ROWS(nombres[]),1))-ROW(OFFSET(nombres[],0,0,1,1))+1,ROW(OFFSET(nombres[],ROWS(nombres[])-1,0,1,1))+1),$O1514:$O1533),11),"")</f>
        <v>S/F</v>
      </c>
      <c r="AI1514" s="42" t="str">
        <f t="array" aca="1" ref="AI1514:AI1533" ca="1">IFERROR(INDEX(nombres[],SMALL(IF(OFFSET(nombres[],0,0,ROWS(nombres[]),1)=AI$1490,ROW(OFFSET(nombres[],0,0,ROWS(nombres[]),1))-ROW(OFFSET(nombres[],0,0,1,1))+1,ROW(OFFSET(nombres[],ROWS(nombres[])-1,0,1,1))+1),$O1514:$O1533),11),"")</f>
        <v/>
      </c>
      <c r="AJ1514" s="42" t="str">
        <f t="array" aca="1" ref="AJ1514:AJ1533" ca="1">IFERROR(INDEX(nombres[],SMALL(IF(OFFSET(nombres[],0,0,ROWS(nombres[]),1)=AJ$1490,ROW(OFFSET(nombres[],0,0,ROWS(nombres[]),1))-ROW(OFFSET(nombres[],0,0,1,1))+1,ROW(OFFSET(nombres[],ROWS(nombres[])-1,0,1,1))+1),$O1514:$O1533),11),"")</f>
        <v>54-55</v>
      </c>
      <c r="AK1514" s="42">
        <f t="array" aca="1" ref="AK1514:AK1533" ca="1">IFERROR(INDEX(nombres[],SMALL(IF(OFFSET(nombres[],0,0,ROWS(nombres[]),1)=AK$1490,ROW(OFFSET(nombres[],0,0,ROWS(nombres[]),1))-ROW(OFFSET(nombres[],0,0,1,1))+1,ROW(OFFSET(nombres[],ROWS(nombres[])-1,0,1,1))+1),$O1514:$O1533),11),"")</f>
        <v>0</v>
      </c>
      <c r="AL1514" s="42">
        <f t="array" aca="1" ref="AL1514:AL1533" ca="1">IFERROR(INDEX(nombres[],SMALL(IF(OFFSET(nombres[],0,0,ROWS(nombres[]),1)=AL$1490,ROW(OFFSET(nombres[],0,0,ROWS(nombres[]),1))-ROW(OFFSET(nombres[],0,0,1,1))+1,ROW(OFFSET(nombres[],ROWS(nombres[])-1,0,1,1))+1),$O1514:$O1533),11),"")</f>
        <v>125</v>
      </c>
      <c r="AM1514" s="42">
        <f t="array" aca="1" ref="AM1514:AM1533" ca="1">IFERROR(INDEX(nombres[],SMALL(IF(OFFSET(nombres[],0,0,ROWS(nombres[]),1)=AM$1490,ROW(OFFSET(nombres[],0,0,ROWS(nombres[]),1))-ROW(OFFSET(nombres[],0,0,1,1))+1,ROW(OFFSET(nombres[],ROWS(nombres[])-1,0,1,1))+1),$O1514:$O1533),11),"")</f>
        <v>96</v>
      </c>
      <c r="AN1514" s="42">
        <f t="array" aca="1" ref="AN1514:AN1533" ca="1">IFERROR(INDEX(nombres[],SMALL(IF(OFFSET(nombres[],0,0,ROWS(nombres[]),1)=AN$1490,ROW(OFFSET(nombres[],0,0,ROWS(nombres[]),1))-ROW(OFFSET(nombres[],0,0,1,1))+1,ROW(OFFSET(nombres[],ROWS(nombres[])-1,0,1,1))+1),$O1514:$O1533),11),"")</f>
        <v>40</v>
      </c>
      <c r="AO1514" s="42" t="str">
        <f t="array" aca="1" ref="AO1514:AO1533" ca="1">IFERROR(INDEX(nombres[],SMALL(IF(OFFSET(nombres[],0,0,ROWS(nombres[]),1)=AO$1490,ROW(OFFSET(nombres[],0,0,ROWS(nombres[]),1))-ROW(OFFSET(nombres[],0,0,1,1))+1,ROW(OFFSET(nombres[],ROWS(nombres[])-1,0,1,1))+1),$O1514:$O1533),11),"")</f>
        <v>REP</v>
      </c>
      <c r="AP1514" s="42">
        <f t="array" aca="1" ref="AP1514:AP1533" ca="1">IFERROR(INDEX(nombres[],SMALL(IF(OFFSET(nombres[],0,0,ROWS(nombres[]),1)=AP$1490,ROW(OFFSET(nombres[],0,0,ROWS(nombres[]),1))-ROW(OFFSET(nombres[],0,0,1,1))+1,ROW(OFFSET(nombres[],ROWS(nombres[])-1,0,1,1))+1),$O1514:$O1533),11),"")</f>
        <v>59</v>
      </c>
      <c r="AQ1514" s="42" t="str">
        <f t="array" aca="1" ref="AQ1514:AQ1533" ca="1">IFERROR(INDEX(nombres[],SMALL(IF(OFFSET(nombres[],0,0,ROWS(nombres[]),1)=AQ$1490,ROW(OFFSET(nombres[],0,0,ROWS(nombres[]),1))-ROW(OFFSET(nombres[],0,0,1,1))+1,ROW(OFFSET(nombres[],ROWS(nombres[])-1,0,1,1))+1),$O1514:$O1533),11),"")</f>
        <v/>
      </c>
      <c r="AR1514" s="42" t="str">
        <f t="array" aca="1" ref="AR1514:AR1533" ca="1">IFERROR(INDEX(nombres[],SMALL(IF(OFFSET(nombres[],0,0,ROWS(nombres[]),1)=AR$1490,ROW(OFFSET(nombres[],0,0,ROWS(nombres[]),1))-ROW(OFFSET(nombres[],0,0,1,1))+1,ROW(OFFSET(nombres[],ROWS(nombres[])-1,0,1,1))+1),$O1514:$O1533),11),"")</f>
        <v>REP</v>
      </c>
      <c r="AS1514" s="42" t="str">
        <f t="array" aca="1" ref="AS1514:AS1533" ca="1">IFERROR(INDEX(nombres[],SMALL(IF(OFFSET(nombres[],0,0,ROWS(nombres[]),1)=AS$1490,ROW(OFFSET(nombres[],0,0,ROWS(nombres[]),1))-ROW(OFFSET(nombres[],0,0,1,1))+1,ROW(OFFSET(nombres[],ROWS(nombres[])-1,0,1,1))+1),$O1514:$O1533),11),"")</f>
        <v>S/F</v>
      </c>
      <c r="AT1514" s="42" t="str">
        <f t="array" aca="1" ref="AT1514:AT1533" ca="1">IFERROR(INDEX(nombres[],SMALL(IF(OFFSET(nombres[],0,0,ROWS(nombres[]),1)=AT$1490,ROW(OFFSET(nombres[],0,0,ROWS(nombres[]),1))-ROW(OFFSET(nombres[],0,0,1,1))+1,ROW(OFFSET(nombres[],ROWS(nombres[])-1,0,1,1))+1),$O1514:$O1533),11),"")</f>
        <v/>
      </c>
      <c r="AU1514" s="42">
        <f t="array" aca="1" ref="AU1514:AU1533" ca="1">IFERROR(INDEX(nombres[],SMALL(IF(OFFSET(nombres[],0,0,ROWS(nombres[]),1)=AU$1490,ROW(OFFSET(nombres[],0,0,ROWS(nombres[]),1))-ROW(OFFSET(nombres[],0,0,1,1))+1,ROW(OFFSET(nombres[],ROWS(nombres[])-1,0,1,1))+1),$O1514:$O1533),11),"")</f>
        <v>42</v>
      </c>
      <c r="AV1514" s="42" t="str">
        <f t="array" aca="1" ref="AV1514:AV1533" ca="1">IFERROR(INDEX(nombres[],SMALL(IF(OFFSET(nombres[],0,0,ROWS(nombres[]),1)=AV$1490,ROW(OFFSET(nombres[],0,0,ROWS(nombres[]),1))-ROW(OFFSET(nombres[],0,0,1,1))+1,ROW(OFFSET(nombres[],ROWS(nombres[])-1,0,1,1))+1),$O1514:$O1533),11),"")</f>
        <v>REP</v>
      </c>
      <c r="AW1514" s="42">
        <f t="array" aca="1" ref="AW1514:AW1533" ca="1">IFERROR(INDEX(nombres[],SMALL(IF(OFFSET(nombres[],0,0,ROWS(nombres[]),1)=AW$1490,ROW(OFFSET(nombres[],0,0,ROWS(nombres[]),1))-ROW(OFFSET(nombres[],0,0,1,1))+1,ROW(OFFSET(nombres[],ROWS(nombres[])-1,0,1,1))+1),$O1514:$O1533),11),"")</f>
        <v>28</v>
      </c>
      <c r="AX1514" s="42" t="str">
        <f t="array" aca="1" ref="AX1514:AX1533" ca="1">IFERROR(INDEX(nombres[],SMALL(IF(OFFSET(nombres[],0,0,ROWS(nombres[]),1)=AX$1490,ROW(OFFSET(nombres[],0,0,ROWS(nombres[]),1))-ROW(OFFSET(nombres[],0,0,1,1))+1,ROW(OFFSET(nombres[],ROWS(nombres[])-1,0,1,1))+1),$O1514:$O1533),11),"")</f>
        <v>REP</v>
      </c>
      <c r="AY1514" s="42">
        <f t="array" aca="1" ref="AY1514:AY1533" ca="1">IFERROR(INDEX(nombres[],SMALL(IF(OFFSET(nombres[],0,0,ROWS(nombres[]),1)=AY$1490,ROW(OFFSET(nombres[],0,0,ROWS(nombres[]),1))-ROW(OFFSET(nombres[],0,0,1,1))+1,ROW(OFFSET(nombres[],ROWS(nombres[])-1,0,1,1))+1),$O1514:$O1533),11),"")</f>
        <v>117</v>
      </c>
      <c r="AZ1514" s="42" t="str">
        <f t="array" aca="1" ref="AZ1514:AZ1533" ca="1">IFERROR(INDEX(nombres[],SMALL(IF(OFFSET(nombres[],0,0,ROWS(nombres[]),1)=AZ$1490,ROW(OFFSET(nombres[],0,0,ROWS(nombres[]),1))-ROW(OFFSET(nombres[],0,0,1,1))+1,ROW(OFFSET(nombres[],ROWS(nombres[])-1,0,1,1))+1),$O1514:$O1533),11),"")</f>
        <v>REP</v>
      </c>
      <c r="BA1514" s="42" t="str">
        <f t="array" aca="1" ref="BA1514:BA1533" ca="1">IFERROR(INDEX(nombres[],SMALL(IF(OFFSET(nombres[],0,0,ROWS(nombres[]),1)=BA$1490,ROW(OFFSET(nombres[],0,0,ROWS(nombres[]),1))-ROW(OFFSET(nombres[],0,0,1,1))+1,ROW(OFFSET(nombres[],ROWS(nombres[])-1,0,1,1))+1),$O1514:$O1533),11),"")</f>
        <v>REP</v>
      </c>
      <c r="BB1514" s="42">
        <f t="array" aca="1" ref="BB1514:BB1533" ca="1">IFERROR(INDEX(nombres[],SMALL(IF(OFFSET(nombres[],0,0,ROWS(nombres[]),1)=BB$1490,ROW(OFFSET(nombres[],0,0,ROWS(nombres[]),1))-ROW(OFFSET(nombres[],0,0,1,1))+1,ROW(OFFSET(nombres[],ROWS(nombres[])-1,0,1,1))+1),$O1514:$O1533),11),"")</f>
        <v>0</v>
      </c>
      <c r="BC1514" s="42" t="str">
        <f t="array" aca="1" ref="BC1514:BC1533" ca="1">IFERROR(INDEX(nombres[],SMALL(IF(OFFSET(nombres[],0,0,ROWS(nombres[]),1)=BC$1490,ROW(OFFSET(nombres[],0,0,ROWS(nombres[]),1))-ROW(OFFSET(nombres[],0,0,1,1))+1,ROW(OFFSET(nombres[],ROWS(nombres[])-1,0,1,1))+1),$O1514:$O1533),11),"")</f>
        <v>S/F</v>
      </c>
      <c r="BD1514" s="42" t="str">
        <f t="array" aca="1" ref="BD1514:BD1533" ca="1">IFERROR(INDEX(nombres[],SMALL(IF(OFFSET(nombres[],0,0,ROWS(nombres[]),1)=BD$1490,ROW(OFFSET(nombres[],0,0,ROWS(nombres[]),1))-ROW(OFFSET(nombres[],0,0,1,1))+1,ROW(OFFSET(nombres[],ROWS(nombres[])-1,0,1,1))+1),$O1514:$O1533),11),"")</f>
        <v/>
      </c>
      <c r="BE1514" s="42" t="str">
        <f t="array" aca="1" ref="BE1514:BE1533" ca="1">IFERROR(INDEX(nombres[],SMALL(IF(OFFSET(nombres[],0,0,ROWS(nombres[]),1)=BE$1490,ROW(OFFSET(nombres[],0,0,ROWS(nombres[]),1))-ROW(OFFSET(nombres[],0,0,1,1))+1,ROW(OFFSET(nombres[],ROWS(nombres[])-1,0,1,1))+1),$O1514:$O1533),11),"")</f>
        <v/>
      </c>
      <c r="BF1514" s="42" t="str">
        <f t="array" aca="1" ref="BF1514:BF1533" ca="1">IFERROR(INDEX(nombres[],SMALL(IF(OFFSET(nombres[],0,0,ROWS(nombres[]),1)=BF$1490,ROW(OFFSET(nombres[],0,0,ROWS(nombres[]),1))-ROW(OFFSET(nombres[],0,0,1,1))+1,ROW(OFFSET(nombres[],ROWS(nombres[])-1,0,1,1))+1),$O1514:$O1533),11),"")</f>
        <v>S/F</v>
      </c>
      <c r="BG1514" s="42" t="str">
        <f t="array" aca="1" ref="BG1514:BG1533" ca="1">IFERROR(INDEX(nombres[],SMALL(IF(OFFSET(nombres[],0,0,ROWS(nombres[]),1)=BG$1490,ROW(OFFSET(nombres[],0,0,ROWS(nombres[]),1))-ROW(OFFSET(nombres[],0,0,1,1))+1,ROW(OFFSET(nombres[],ROWS(nombres[])-1,0,1,1))+1),$O1514:$O1533),11),"")</f>
        <v>S/F</v>
      </c>
      <c r="BH1514" s="42" t="str">
        <f t="array" aca="1" ref="BH1514:BH1533" ca="1">IFERROR(INDEX(nombres[],SMALL(IF(OFFSET(nombres[],0,0,ROWS(nombres[]),1)=BH$1490,ROW(OFFSET(nombres[],0,0,ROWS(nombres[]),1))-ROW(OFFSET(nombres[],0,0,1,1))+1,ROW(OFFSET(nombres[],ROWS(nombres[])-1,0,1,1))+1),$O1514:$O1533),11),"")</f>
        <v>REP</v>
      </c>
      <c r="BI1514" s="42" t="str">
        <f t="array" aca="1" ref="BI1514:BI1533" ca="1">IFERROR(INDEX(nombres[],SMALL(IF(OFFSET(nombres[],0,0,ROWS(nombres[]),1)=BI$1490,ROW(OFFSET(nombres[],0,0,ROWS(nombres[]),1))-ROW(OFFSET(nombres[],0,0,1,1))+1,ROW(OFFSET(nombres[],ROWS(nombres[])-1,0,1,1))+1),$O1514:$O1533),11),"")</f>
        <v>REP</v>
      </c>
      <c r="BJ1514" s="42">
        <f t="array" aca="1" ref="BJ1514:BJ1533" ca="1">IFERROR(INDEX(nombres[],SMALL(IF(OFFSET(nombres[],0,0,ROWS(nombres[]),1)=BJ$1490,ROW(OFFSET(nombres[],0,0,ROWS(nombres[]),1))-ROW(OFFSET(nombres[],0,0,1,1))+1,ROW(OFFSET(nombres[],ROWS(nombres[])-1,0,1,1))+1),$O1514:$O1533),11),"")</f>
        <v>24</v>
      </c>
      <c r="BK1514" s="42">
        <f t="array" aca="1" ref="BK1514:BK1533" ca="1">IFERROR(INDEX(nombres[],SMALL(IF(OFFSET(nombres[],0,0,ROWS(nombres[]),1)=BK$1490,ROW(OFFSET(nombres[],0,0,ROWS(nombres[]),1))-ROW(OFFSET(nombres[],0,0,1,1))+1,ROW(OFFSET(nombres[],ROWS(nombres[])-1,0,1,1))+1),$O1514:$O1533),11),"")</f>
        <v>0</v>
      </c>
      <c r="BL1514" s="42" t="str">
        <f t="array" aca="1" ref="BL1514:BL1533" ca="1">IFERROR(INDEX(nombres[],SMALL(IF(OFFSET(nombres[],0,0,ROWS(nombres[]),1)=BL$1490,ROW(OFFSET(nombres[],0,0,ROWS(nombres[]),1))-ROW(OFFSET(nombres[],0,0,1,1))+1,ROW(OFFSET(nombres[],ROWS(nombres[])-1,0,1,1))+1),$O1514:$O1533),11),"")</f>
        <v/>
      </c>
      <c r="BM1514" s="42" t="str">
        <f t="array" aca="1" ref="BM1514:BM1533" ca="1">IFERROR(INDEX(nombres[],SMALL(IF(OFFSET(nombres[],0,0,ROWS(nombres[]),1)=BM$1490,ROW(OFFSET(nombres[],0,0,ROWS(nombres[]),1))-ROW(OFFSET(nombres[],0,0,1,1))+1,ROW(OFFSET(nombres[],ROWS(nombres[])-1,0,1,1))+1),$O1514:$O1533),11),"")</f>
        <v>REP</v>
      </c>
      <c r="BN1514" s="42" t="str">
        <f t="array" aca="1" ref="BN1514:BN1533" ca="1">IFERROR(INDEX(nombres[],SMALL(IF(OFFSET(nombres[],0,0,ROWS(nombres[]),1)=BN$1490,ROW(OFFSET(nombres[],0,0,ROWS(nombres[]),1))-ROW(OFFSET(nombres[],0,0,1,1))+1,ROW(OFFSET(nombres[],ROWS(nombres[])-1,0,1,1))+1),$O1514:$O1533),11),"")</f>
        <v>REP</v>
      </c>
      <c r="BO1514" s="42" t="str">
        <f t="array" aca="1" ref="BO1514:BO1533" ca="1">IFERROR(INDEX(nombres[],SMALL(IF(OFFSET(nombres[],0,0,ROWS(nombres[]),1)=BO$1490,ROW(OFFSET(nombres[],0,0,ROWS(nombres[]),1))-ROW(OFFSET(nombres[],0,0,1,1))+1,ROW(OFFSET(nombres[],ROWS(nombres[])-1,0,1,1))+1),$O1514:$O1533),11),"")</f>
        <v>S/F</v>
      </c>
      <c r="BP1514" s="42" t="str">
        <f t="array" aca="1" ref="BP1514:BP1533" ca="1">IFERROR(INDEX(nombres[],SMALL(IF(OFFSET(nombres[],0,0,ROWS(nombres[]),1)=BP$1490,ROW(OFFSET(nombres[],0,0,ROWS(nombres[]),1))-ROW(OFFSET(nombres[],0,0,1,1))+1,ROW(OFFSET(nombres[],ROWS(nombres[])-1,0,1,1))+1),$O1514:$O1533),11),"")</f>
        <v>S/F</v>
      </c>
      <c r="BQ1514" s="42" t="str">
        <f t="array" aca="1" ref="BQ1514:BQ1533" ca="1">IFERROR(INDEX(nombres[],SMALL(IF(OFFSET(nombres[],0,0,ROWS(nombres[]),1)=BQ$1490,ROW(OFFSET(nombres[],0,0,ROWS(nombres[]),1))-ROW(OFFSET(nombres[],0,0,1,1))+1,ROW(OFFSET(nombres[],ROWS(nombres[])-1,0,1,1))+1),$O1514:$O1533),11),"")</f>
        <v>REP</v>
      </c>
      <c r="BR1514" s="42" t="str">
        <f t="array" aca="1" ref="BR1514:BR1533" ca="1">IFERROR(INDEX(nombres[],SMALL(IF(OFFSET(nombres[],0,0,ROWS(nombres[]),1)=BR$1490,ROW(OFFSET(nombres[],0,0,ROWS(nombres[]),1))-ROW(OFFSET(nombres[],0,0,1,1))+1,ROW(OFFSET(nombres[],ROWS(nombres[])-1,0,1,1))+1),$O1514:$O1533),11),"")</f>
        <v/>
      </c>
      <c r="BS1514" s="42" t="str">
        <f t="array" aca="1" ref="BS1514:BS1533" ca="1">IFERROR(INDEX(nombres[],SMALL(IF(OFFSET(nombres[],0,0,ROWS(nombres[]),1)=BS$1490,ROW(OFFSET(nombres[],0,0,ROWS(nombres[]),1))-ROW(OFFSET(nombres[],0,0,1,1))+1,ROW(OFFSET(nombres[],ROWS(nombres[])-1,0,1,1))+1),$O1514:$O1533),11),"")</f>
        <v>S/F</v>
      </c>
      <c r="BT1514" s="42">
        <f t="array" aca="1" ref="BT1514:BT1533" ca="1">IFERROR(INDEX(nombres[],SMALL(IF(OFFSET(nombres[],0,0,ROWS(nombres[]),1)=BT$1490,ROW(OFFSET(nombres[],0,0,ROWS(nombres[]),1))-ROW(OFFSET(nombres[],0,0,1,1))+1,ROW(OFFSET(nombres[],ROWS(nombres[])-1,0,1,1))+1),$O1514:$O1533),11),"")</f>
        <v>88</v>
      </c>
      <c r="BU1514" s="42" t="str">
        <f t="array" aca="1" ref="BU1514:BU1533" ca="1">IFERROR(INDEX(nombres[],SMALL(IF(OFFSET(nombres[],0,0,ROWS(nombres[]),1)=BU$1490,ROW(OFFSET(nombres[],0,0,ROWS(nombres[]),1))-ROW(OFFSET(nombres[],0,0,1,1))+1,ROW(OFFSET(nombres[],ROWS(nombres[])-1,0,1,1))+1),$O1514:$O1533),11),"")</f>
        <v>S/F</v>
      </c>
      <c r="BV1514" s="42" t="str">
        <f t="array" aca="1" ref="BV1514:BV1533" ca="1">IFERROR(INDEX(nombres[],SMALL(IF(OFFSET(nombres[],0,0,ROWS(nombres[]),1)=BV$1490,ROW(OFFSET(nombres[],0,0,ROWS(nombres[]),1))-ROW(OFFSET(nombres[],0,0,1,1))+1,ROW(OFFSET(nombres[],ROWS(nombres[])-1,0,1,1))+1),$O1514:$O1533),11),"")</f>
        <v>REP</v>
      </c>
      <c r="BW1514" s="42" t="str">
        <f t="array" aca="1" ref="BW1514:BW1533" ca="1">IFERROR(INDEX(nombres[],SMALL(IF(OFFSET(nombres[],0,0,ROWS(nombres[]),1)=BW$1490,ROW(OFFSET(nombres[],0,0,ROWS(nombres[]),1))-ROW(OFFSET(nombres[],0,0,1,1))+1,ROW(OFFSET(nombres[],ROWS(nombres[])-1,0,1,1))+1),$O1514:$O1533),11),"")</f>
        <v>REP</v>
      </c>
      <c r="BX1514" s="42" t="str">
        <f t="array" aca="1" ref="BX1514:BX1533" ca="1">IFERROR(INDEX(nombres[],SMALL(IF(OFFSET(nombres[],0,0,ROWS(nombres[]),1)=BX$1490,ROW(OFFSET(nombres[],0,0,ROWS(nombres[]),1))-ROW(OFFSET(nombres[],0,0,1,1))+1,ROW(OFFSET(nombres[],ROWS(nombres[])-1,0,1,1))+1),$O1514:$O1533),11),"")</f>
        <v/>
      </c>
      <c r="BY1514" s="42" t="str">
        <f t="array" aca="1" ref="BY1514:BY1533" ca="1">IFERROR(INDEX(nombres[],SMALL(IF(OFFSET(nombres[],0,0,ROWS(nombres[]),1)=BY$1490,ROW(OFFSET(nombres[],0,0,ROWS(nombres[]),1))-ROW(OFFSET(nombres[],0,0,1,1))+1,ROW(OFFSET(nombres[],ROWS(nombres[])-1,0,1,1))+1),$O1514:$O1533),11),"")</f>
        <v>REP</v>
      </c>
      <c r="BZ1514" s="42" t="str">
        <f t="array" aca="1" ref="BZ1514:BZ1533" ca="1">IFERROR(INDEX(nombres[],SMALL(IF(OFFSET(nombres[],0,0,ROWS(nombres[]),1)=BZ$1490,ROW(OFFSET(nombres[],0,0,ROWS(nombres[]),1))-ROW(OFFSET(nombres[],0,0,1,1))+1,ROW(OFFSET(nombres[],ROWS(nombres[])-1,0,1,1))+1),$O1514:$O1533),11),"")</f>
        <v/>
      </c>
      <c r="CA1514" s="42" t="str">
        <f t="array" aca="1" ref="CA1514:CA1533" ca="1">IFERROR(INDEX(nombres[],SMALL(IF(OFFSET(nombres[],0,0,ROWS(nombres[]),1)=CA$1490,ROW(OFFSET(nombres[],0,0,ROWS(nombres[]),1))-ROW(OFFSET(nombres[],0,0,1,1))+1,ROW(OFFSET(nombres[],ROWS(nombres[])-1,0,1,1))+1),$O1514:$O1533),11),"")</f>
        <v>S/F</v>
      </c>
      <c r="CB1514" s="42">
        <f t="array" aca="1" ref="CB1514:CB1533" ca="1">IFERROR(INDEX(nombres[],SMALL(IF(OFFSET(nombres[],0,0,ROWS(nombres[]),1)=CB$1490,ROW(OFFSET(nombres[],0,0,ROWS(nombres[]),1))-ROW(OFFSET(nombres[],0,0,1,1))+1,ROW(OFFSET(nombres[],ROWS(nombres[])-1,0,1,1))+1),$O1514:$O1533),11),"")</f>
        <v>2</v>
      </c>
      <c r="CC1514" s="42" t="str">
        <f t="array" aca="1" ref="CC1514:CC1533" ca="1">IFERROR(INDEX(nombres[],SMALL(IF(OFFSET(nombres[],0,0,ROWS(nombres[]),1)=CC$1490,ROW(OFFSET(nombres[],0,0,ROWS(nombres[]),1))-ROW(OFFSET(nombres[],0,0,1,1))+1,ROW(OFFSET(nombres[],ROWS(nombres[])-1,0,1,1))+1),$O1514:$O1533),11),"")</f>
        <v/>
      </c>
      <c r="CD1514" s="42" t="str">
        <f t="array" aca="1" ref="CD1514:CD1533" ca="1">IFERROR(INDEX(nombres[],SMALL(IF(OFFSET(nombres[],0,0,ROWS(nombres[]),1)=CD$1490,ROW(OFFSET(nombres[],0,0,ROWS(nombres[]),1))-ROW(OFFSET(nombres[],0,0,1,1))+1,ROW(OFFSET(nombres[],ROWS(nombres[])-1,0,1,1))+1),$O1514:$O1533),11),"")</f>
        <v/>
      </c>
      <c r="CE1514" s="42" t="str">
        <f t="array" aca="1" ref="CE1514:CE1533" ca="1">IFERROR(INDEX(nombres[],SMALL(IF(OFFSET(nombres[],0,0,ROWS(nombres[]),1)=CE$1490,ROW(OFFSET(nombres[],0,0,ROWS(nombres[]),1))-ROW(OFFSET(nombres[],0,0,1,1))+1,ROW(OFFSET(nombres[],ROWS(nombres[])-1,0,1,1))+1),$O1514:$O1533),11),"")</f>
        <v>REP</v>
      </c>
      <c r="CF1514" s="42" t="str">
        <f t="array" aca="1" ref="CF1514:CF1533" ca="1">IFERROR(INDEX(nombres[],SMALL(IF(OFFSET(nombres[],0,0,ROWS(nombres[]),1)=CF$1490,ROW(OFFSET(nombres[],0,0,ROWS(nombres[]),1))-ROW(OFFSET(nombres[],0,0,1,1))+1,ROW(OFFSET(nombres[],ROWS(nombres[])-1,0,1,1))+1),$O1514:$O1533),11),"")</f>
        <v>REP</v>
      </c>
      <c r="CG1514" s="42" t="str">
        <f t="array" aca="1" ref="CG1514:CG1533" ca="1">IFERROR(INDEX(nombres[],SMALL(IF(OFFSET(nombres[],0,0,ROWS(nombres[]),1)=CG$1490,ROW(OFFSET(nombres[],0,0,ROWS(nombres[]),1))-ROW(OFFSET(nombres[],0,0,1,1))+1,ROW(OFFSET(nombres[],ROWS(nombres[])-1,0,1,1))+1),$O1514:$O1533),11),"")</f>
        <v/>
      </c>
      <c r="CH1514" s="42" t="str">
        <f t="array" aca="1" ref="CH1514:CH1533" ca="1">IFERROR(INDEX(nombres[],SMALL(IF(OFFSET(nombres[],0,0,ROWS(nombres[]),1)=CH$1490,ROW(OFFSET(nombres[],0,0,ROWS(nombres[]),1))-ROW(OFFSET(nombres[],0,0,1,1))+1,ROW(OFFSET(nombres[],ROWS(nombres[])-1,0,1,1))+1),$O1514:$O1533),11),"")</f>
        <v>REP</v>
      </c>
      <c r="CI1514" s="42">
        <f t="array" aca="1" ref="CI1514:CI1533" ca="1">IFERROR(INDEX(nombres[],SMALL(IF(OFFSET(nombres[],0,0,ROWS(nombres[]),1)=CI$1490,ROW(OFFSET(nombres[],0,0,ROWS(nombres[]),1))-ROW(OFFSET(nombres[],0,0,1,1))+1,ROW(OFFSET(nombres[],ROWS(nombres[])-1,0,1,1))+1),$O1514:$O1533),11),"")</f>
        <v>47</v>
      </c>
      <c r="CJ1514" s="42" t="str">
        <f t="array" aca="1" ref="CJ1514:CJ1533" ca="1">IFERROR(INDEX(nombres[],SMALL(IF(OFFSET(nombres[],0,0,ROWS(nombres[]),1)=CJ$1490,ROW(OFFSET(nombres[],0,0,ROWS(nombres[]),1))-ROW(OFFSET(nombres[],0,0,1,1))+1,ROW(OFFSET(nombres[],ROWS(nombres[])-1,0,1,1))+1),$O1514:$O1533),11),"")</f>
        <v/>
      </c>
      <c r="CK1514" s="42" t="str">
        <f t="array" aca="1" ref="CK1514:CK1533" ca="1">IFERROR(INDEX(nombres[],SMALL(IF(OFFSET(nombres[],0,0,ROWS(nombres[]),1)=CK$1490,ROW(OFFSET(nombres[],0,0,ROWS(nombres[]),1))-ROW(OFFSET(nombres[],0,0,1,1))+1,ROW(OFFSET(nombres[],ROWS(nombres[])-1,0,1,1))+1),$O1514:$O1533),11),"")</f>
        <v>S/F</v>
      </c>
      <c r="CL1514" s="42">
        <f t="array" aca="1" ref="CL1514:CL1533" ca="1">IFERROR(INDEX(nombres[],SMALL(IF(OFFSET(nombres[],0,0,ROWS(nombres[]),1)=CL$1490,ROW(OFFSET(nombres[],0,0,ROWS(nombres[]),1))-ROW(OFFSET(nombres[],0,0,1,1))+1,ROW(OFFSET(nombres[],ROWS(nombres[])-1,0,1,1))+1),$O1514:$O1533),11),"")</f>
        <v>6</v>
      </c>
      <c r="CM1514" s="42" t="str">
        <f t="array" aca="1" ref="CM1514:CM1533" ca="1">IFERROR(INDEX(nombres[],SMALL(IF(OFFSET(nombres[],0,0,ROWS(nombres[]),1)=CM$1490,ROW(OFFSET(nombres[],0,0,ROWS(nombres[]),1))-ROW(OFFSET(nombres[],0,0,1,1))+1,ROW(OFFSET(nombres[],ROWS(nombres[])-1,0,1,1))+1),$O1514:$O1533),11),"")</f>
        <v/>
      </c>
      <c r="CN1514" s="42" t="str">
        <f t="array" aca="1" ref="CN1514:CN1533" ca="1">IFERROR(INDEX(nombres[],SMALL(IF(OFFSET(nombres[],0,0,ROWS(nombres[]),1)=CN$1490,ROW(OFFSET(nombres[],0,0,ROWS(nombres[]),1))-ROW(OFFSET(nombres[],0,0,1,1))+1,ROW(OFFSET(nombres[],ROWS(nombres[])-1,0,1,1))+1),$O1514:$O1533),11),"")</f>
        <v/>
      </c>
      <c r="CO1514" s="42" t="str">
        <f t="array" aca="1" ref="CO1514:CO1533" ca="1">IFERROR(INDEX(nombres[],SMALL(IF(OFFSET(nombres[],0,0,ROWS(nombres[]),1)=CO$1490,ROW(OFFSET(nombres[],0,0,ROWS(nombres[]),1))-ROW(OFFSET(nombres[],0,0,1,1))+1,ROW(OFFSET(nombres[],ROWS(nombres[])-1,0,1,1))+1),$O1514:$O1533),11),"")</f>
        <v/>
      </c>
      <c r="CP1514" s="42" t="str">
        <f t="array" aca="1" ref="CP1514:CP1533" ca="1">IFERROR(INDEX(nombres[],SMALL(IF(OFFSET(nombres[],0,0,ROWS(nombres[]),1)=CP$1490,ROW(OFFSET(nombres[],0,0,ROWS(nombres[]),1))-ROW(OFFSET(nombres[],0,0,1,1))+1,ROW(OFFSET(nombres[],ROWS(nombres[])-1,0,1,1))+1),$O1514:$O1533),11),"")</f>
        <v>REP</v>
      </c>
      <c r="CQ1514" s="42" t="str">
        <f t="array" aca="1" ref="CQ1514:CQ1533" ca="1">IFERROR(INDEX(nombres[],SMALL(IF(OFFSET(nombres[],0,0,ROWS(nombres[]),1)=CQ$1490,ROW(OFFSET(nombres[],0,0,ROWS(nombres[]),1))-ROW(OFFSET(nombres[],0,0,1,1))+1,ROW(OFFSET(nombres[],ROWS(nombres[])-1,0,1,1))+1),$O1514:$O1533),11),"")</f>
        <v/>
      </c>
      <c r="CR1514" s="42" t="str">
        <f t="array" aca="1" ref="CR1514:CR1533" ca="1">IFERROR(INDEX(nombres[],SMALL(IF(OFFSET(nombres[],0,0,ROWS(nombres[]),1)=CR$1490,ROW(OFFSET(nombres[],0,0,ROWS(nombres[]),1))-ROW(OFFSET(nombres[],0,0,1,1))+1,ROW(OFFSET(nombres[],ROWS(nombres[])-1,0,1,1))+1),$O1514:$O1533),11),"")</f>
        <v/>
      </c>
      <c r="CS1514" s="42" t="str">
        <f t="array" aca="1" ref="CS1514:CS1533" ca="1">IFERROR(INDEX(nombres[],SMALL(IF(OFFSET(nombres[],0,0,ROWS(nombres[]),1)=CS$1490,ROW(OFFSET(nombres[],0,0,ROWS(nombres[]),1))-ROW(OFFSET(nombres[],0,0,1,1))+1,ROW(OFFSET(nombres[],ROWS(nombres[])-1,0,1,1))+1),$O1514:$O1533),11),"")</f>
        <v>S/F</v>
      </c>
      <c r="CT1514" s="42" t="str">
        <f t="array" aca="1" ref="CT1514:CT1533" ca="1">IFERROR(INDEX(nombres[],SMALL(IF(OFFSET(nombres[],0,0,ROWS(nombres[]),1)=CT$1490,ROW(OFFSET(nombres[],0,0,ROWS(nombres[]),1))-ROW(OFFSET(nombres[],0,0,1,1))+1,ROW(OFFSET(nombres[],ROWS(nombres[])-1,0,1,1))+1),$O1514:$O1533),11),"")</f>
        <v>S/F</v>
      </c>
      <c r="CU1514" s="42">
        <f t="array" aca="1" ref="CU1514:CU1533" ca="1">IFERROR(INDEX(nombres[],SMALL(IF(OFFSET(nombres[],0,0,ROWS(nombres[]),1)=CU$1490,ROW(OFFSET(nombres[],0,0,ROWS(nombres[]),1))-ROW(OFFSET(nombres[],0,0,1,1))+1,ROW(OFFSET(nombres[],ROWS(nombres[])-1,0,1,1))+1),$O1514:$O1533),11),"")</f>
        <v>15</v>
      </c>
      <c r="CV1514" s="42" t="str">
        <f t="array" aca="1" ref="CV1514:CV1533" ca="1">IFERROR(INDEX(nombres[],SMALL(IF(OFFSET(nombres[],0,0,ROWS(nombres[]),1)=CV$1490,ROW(OFFSET(nombres[],0,0,ROWS(nombres[]),1))-ROW(OFFSET(nombres[],0,0,1,1))+1,ROW(OFFSET(nombres[],ROWS(nombres[])-1,0,1,1))+1),$O1514:$O1533),11),"")</f>
        <v>S/F</v>
      </c>
      <c r="CW1514" s="42">
        <f t="array" aca="1" ref="CW1514:CW1533" ca="1">IFERROR(INDEX(nombres[],SMALL(IF(OFFSET(nombres[],0,0,ROWS(nombres[]),1)=CW$1490,ROW(OFFSET(nombres[],0,0,ROWS(nombres[]),1))-ROW(OFFSET(nombres[],0,0,1,1))+1,ROW(OFFSET(nombres[],ROWS(nombres[])-1,0,1,1))+1),$O1514:$O1533),11),"")</f>
        <v>27</v>
      </c>
      <c r="CX1514" s="42" t="str">
        <f t="array" aca="1" ref="CX1514:CX1533" ca="1">IFERROR(INDEX(nombres[],SMALL(IF(OFFSET(nombres[],0,0,ROWS(nombres[]),1)=CX$1490,ROW(OFFSET(nombres[],0,0,ROWS(nombres[]),1))-ROW(OFFSET(nombres[],0,0,1,1))+1,ROW(OFFSET(nombres[],ROWS(nombres[])-1,0,1,1))+1),$O1514:$O1533),11),"")</f>
        <v/>
      </c>
      <c r="CY1514" s="42" t="str">
        <f t="array" aca="1" ref="CY1514:CY1533" ca="1">IFERROR(INDEX(nombres[],SMALL(IF(OFFSET(nombres[],0,0,ROWS(nombres[]),1)=CY$1490,ROW(OFFSET(nombres[],0,0,ROWS(nombres[]),1))-ROW(OFFSET(nombres[],0,0,1,1))+1,ROW(OFFSET(nombres[],ROWS(nombres[])-1,0,1,1))+1),$O1514:$O1533),11),"")</f>
        <v>REP.</v>
      </c>
      <c r="CZ1514" s="42" t="str">
        <f t="array" aca="1" ref="CZ1514:CZ1533" ca="1">IFERROR(INDEX(nombres[],SMALL(IF(OFFSET(nombres[],0,0,ROWS(nombres[]),1)=CZ$1490,ROW(OFFSET(nombres[],0,0,ROWS(nombres[]),1))-ROW(OFFSET(nombres[],0,0,1,1))+1,ROW(OFFSET(nombres[],ROWS(nombres[])-1,0,1,1))+1),$O1514:$O1533),11),"")</f>
        <v>REP.</v>
      </c>
      <c r="DA1514" s="42">
        <f t="array" aca="1" ref="DA1514:DA1533" ca="1">IFERROR(INDEX(nombres[],SMALL(IF(OFFSET(nombres[],0,0,ROWS(nombres[]),1)=DA$1490,ROW(OFFSET(nombres[],0,0,ROWS(nombres[]),1))-ROW(OFFSET(nombres[],0,0,1,1))+1,ROW(OFFSET(nombres[],ROWS(nombres[])-1,0,1,1))+1),$O1514:$O1533),11),"")</f>
        <v>89</v>
      </c>
      <c r="DB1514" s="42" t="str">
        <f t="array" aca="1" ref="DB1514:DB1533" ca="1">IFERROR(INDEX(nombres[],SMALL(IF(OFFSET(nombres[],0,0,ROWS(nombres[]),1)=DB$1490,ROW(OFFSET(nombres[],0,0,ROWS(nombres[]),1))-ROW(OFFSET(nombres[],0,0,1,1))+1,ROW(OFFSET(nombres[],ROWS(nombres[])-1,0,1,1))+1),$O1514:$O1533),11),"")</f>
        <v/>
      </c>
      <c r="DC1514" s="42" t="str">
        <f t="array" aca="1" ref="DC1514:DC1533" ca="1">IFERROR(INDEX(nombres[],SMALL(IF(OFFSET(nombres[],0,0,ROWS(nombres[]),1)=DC$1490,ROW(OFFSET(nombres[],0,0,ROWS(nombres[]),1))-ROW(OFFSET(nombres[],0,0,1,1))+1,ROW(OFFSET(nombres[],ROWS(nombres[])-1,0,1,1))+1),$O1514:$O1533),11),"")</f>
        <v>S/F</v>
      </c>
      <c r="DD1514" s="42">
        <f t="array" aca="1" ref="DD1514:DD1533" ca="1">IFERROR(INDEX(nombres[],SMALL(IF(OFFSET(nombres[],0,0,ROWS(nombres[]),1)=DD$1490,ROW(OFFSET(nombres[],0,0,ROWS(nombres[]),1))-ROW(OFFSET(nombres[],0,0,1,1))+1,ROW(OFFSET(nombres[],ROWS(nombres[])-1,0,1,1))+1),$O1514:$O1533),11),"")</f>
        <v>0</v>
      </c>
      <c r="DE1514" s="42" t="str">
        <f t="array" aca="1" ref="DE1514:DE1533" ca="1">IFERROR(INDEX(nombres[],SMALL(IF(OFFSET(nombres[],0,0,ROWS(nombres[]),1)=DE$1490,ROW(OFFSET(nombres[],0,0,ROWS(nombres[]),1))-ROW(OFFSET(nombres[],0,0,1,1))+1,ROW(OFFSET(nombres[],ROWS(nombres[])-1,0,1,1))+1),$O1514:$O1533),11),"")</f>
        <v>REP.</v>
      </c>
      <c r="DF1514" s="42" t="str">
        <f t="array" aca="1" ref="DF1514:DF1533" ca="1">IFERROR(INDEX(nombres[],SMALL(IF(OFFSET(nombres[],0,0,ROWS(nombres[]),1)=DF$1490,ROW(OFFSET(nombres[],0,0,ROWS(nombres[]),1))-ROW(OFFSET(nombres[],0,0,1,1))+1,ROW(OFFSET(nombres[],ROWS(nombres[])-1,0,1,1))+1),$O1514:$O1533),11),"")</f>
        <v>S/F</v>
      </c>
      <c r="DG1514" s="42" t="str">
        <f t="array" aca="1" ref="DG1514:DG1533" ca="1">IFERROR(INDEX(nombres[],SMALL(IF(OFFSET(nombres[],0,0,ROWS(nombres[]),1)=DG$1490,ROW(OFFSET(nombres[],0,0,ROWS(nombres[]),1))-ROW(OFFSET(nombres[],0,0,1,1))+1,ROW(OFFSET(nombres[],ROWS(nombres[])-1,0,1,1))+1),$O1514:$O1533),11),"")</f>
        <v>S/F</v>
      </c>
      <c r="DH1514" s="42">
        <f t="array" aca="1" ref="DH1514:DH1533" ca="1">IFERROR(INDEX(nombres[],SMALL(IF(OFFSET(nombres[],0,0,ROWS(nombres[]),1)=DH$1490,ROW(OFFSET(nombres[],0,0,ROWS(nombres[]),1))-ROW(OFFSET(nombres[],0,0,1,1))+1,ROW(OFFSET(nombres[],ROWS(nombres[])-1,0,1,1))+1),$O1514:$O1533),11),"")</f>
        <v>46</v>
      </c>
      <c r="DI1514" s="42" t="str">
        <f t="array" aca="1" ref="DI1514:DI1533" ca="1">IFERROR(INDEX(nombres[],SMALL(IF(OFFSET(nombres[],0,0,ROWS(nombres[]),1)=DI$1490,ROW(OFFSET(nombres[],0,0,ROWS(nombres[]),1))-ROW(OFFSET(nombres[],0,0,1,1))+1,ROW(OFFSET(nombres[],ROWS(nombres[])-1,0,1,1))+1),$O1514:$O1533),11),"")</f>
        <v>S/F</v>
      </c>
      <c r="DJ1514" s="42" t="str">
        <f t="array" aca="1" ref="DJ1514:DJ1533" ca="1">IFERROR(INDEX(nombres[],SMALL(IF(OFFSET(nombres[],0,0,ROWS(nombres[]),1)=DJ$1490,ROW(OFFSET(nombres[],0,0,ROWS(nombres[]),1))-ROW(OFFSET(nombres[],0,0,1,1))+1,ROW(OFFSET(nombres[],ROWS(nombres[])-1,0,1,1))+1),$O1514:$O1533),11),"")</f>
        <v>S/F</v>
      </c>
      <c r="DK1514" s="42">
        <f t="array" aca="1" ref="DK1514:DK1533" ca="1">IFERROR(INDEX(nombres[],SMALL(IF(OFFSET(nombres[],0,0,ROWS(nombres[]),1)=DK$1490,ROW(OFFSET(nombres[],0,0,ROWS(nombres[]),1))-ROW(OFFSET(nombres[],0,0,1,1))+1,ROW(OFFSET(nombres[],ROWS(nombres[])-1,0,1,1))+1),$O1514:$O1533),11),"")</f>
        <v>0</v>
      </c>
      <c r="DL1514" s="42" t="str">
        <f t="array" aca="1" ref="DL1514:DL1533" ca="1">IFERROR(INDEX(nombres[],SMALL(IF(OFFSET(nombres[],0,0,ROWS(nombres[]),1)=DL$1490,ROW(OFFSET(nombres[],0,0,ROWS(nombres[]),1))-ROW(OFFSET(nombres[],0,0,1,1))+1,ROW(OFFSET(nombres[],ROWS(nombres[])-1,0,1,1))+1),$O1514:$O1533),11),"")</f>
        <v>S/F</v>
      </c>
      <c r="DM1514" s="42" t="str">
        <f t="array" aca="1" ref="DM1514:DM1533" ca="1">IFERROR(INDEX(nombres[],SMALL(IF(OFFSET(nombres[],0,0,ROWS(nombres[]),1)=DM$1490,ROW(OFFSET(nombres[],0,0,ROWS(nombres[]),1))-ROW(OFFSET(nombres[],0,0,1,1))+1,ROW(OFFSET(nombres[],ROWS(nombres[])-1,0,1,1))+1),$O1514:$O1533),11),"")</f>
        <v/>
      </c>
      <c r="DN1514" s="42">
        <f t="array" aca="1" ref="DN1514:DN1533" ca="1">IFERROR(INDEX(nombres[],SMALL(IF(OFFSET(nombres[],0,0,ROWS(nombres[]),1)=DN$1490,ROW(OFFSET(nombres[],0,0,ROWS(nombres[]),1))-ROW(OFFSET(nombres[],0,0,1,1))+1,ROW(OFFSET(nombres[],ROWS(nombres[])-1,0,1,1))+1),$O1514:$O1533),11),"")</f>
        <v>183</v>
      </c>
      <c r="DO1514" s="42" t="str">
        <f t="array" aca="1" ref="DO1514:DO1533" ca="1">IFERROR(INDEX(nombres[],SMALL(IF(OFFSET(nombres[],0,0,ROWS(nombres[]),1)=DO$1490,ROW(OFFSET(nombres[],0,0,ROWS(nombres[]),1))-ROW(OFFSET(nombres[],0,0,1,1))+1,ROW(OFFSET(nombres[],ROWS(nombres[])-1,0,1,1))+1),$O1514:$O1533),11),"")</f>
        <v>S/F</v>
      </c>
      <c r="DP1514" s="42" t="str">
        <f t="array" aca="1" ref="DP1514:DP1533" ca="1">IFERROR(INDEX(nombres[],SMALL(IF(OFFSET(nombres[],0,0,ROWS(nombres[]),1)=DP$1490,ROW(OFFSET(nombres[],0,0,ROWS(nombres[]),1))-ROW(OFFSET(nombres[],0,0,1,1))+1,ROW(OFFSET(nombres[],ROWS(nombres[])-1,0,1,1))+1),$O1514:$O1533),11),"")</f>
        <v/>
      </c>
      <c r="DQ1514" s="42">
        <f t="array" aca="1" ref="DQ1514:DQ1533" ca="1">IFERROR(INDEX(nombres[],SMALL(IF(OFFSET(nombres[],0,0,ROWS(nombres[]),1)=DQ$1490,ROW(OFFSET(nombres[],0,0,ROWS(nombres[]),1))-ROW(OFFSET(nombres[],0,0,1,1))+1,ROW(OFFSET(nombres[],ROWS(nombres[])-1,0,1,1))+1),$O1514:$O1533),11),"")</f>
        <v>36</v>
      </c>
      <c r="DR1514" s="42" t="str">
        <f t="array" aca="1" ref="DR1514:DR1533" ca="1">IFERROR(INDEX(nombres[],SMALL(IF(OFFSET(nombres[],0,0,ROWS(nombres[]),1)=DR$1490,ROW(OFFSET(nombres[],0,0,ROWS(nombres[]),1))-ROW(OFFSET(nombres[],0,0,1,1))+1,ROW(OFFSET(nombres[],ROWS(nombres[])-1,0,1,1))+1),$O1514:$O1533),11),"")</f>
        <v>REP</v>
      </c>
      <c r="DS1514" s="42">
        <f t="array" aca="1" ref="DS1514:DS1533" ca="1">IFERROR(INDEX(nombres[],SMALL(IF(OFFSET(nombres[],0,0,ROWS(nombres[]),1)=DS$1490,ROW(OFFSET(nombres[],0,0,ROWS(nombres[]),1))-ROW(OFFSET(nombres[],0,0,1,1))+1,ROW(OFFSET(nombres[],ROWS(nombres[])-1,0,1,1))+1),$O1514:$O1533),11),"")</f>
        <v>123</v>
      </c>
      <c r="DT1514" s="42" t="str">
        <f t="array" aca="1" ref="DT1514:DT1533" ca="1">IFERROR(INDEX(nombres[],SMALL(IF(OFFSET(nombres[],0,0,ROWS(nombres[]),1)=DT$1490,ROW(OFFSET(nombres[],0,0,ROWS(nombres[]),1))-ROW(OFFSET(nombres[],0,0,1,1))+1,ROW(OFFSET(nombres[],ROWS(nombres[])-1,0,1,1))+1),$O1514:$O1533),11),"")</f>
        <v/>
      </c>
      <c r="DU1514" s="42" t="str">
        <f t="array" aca="1" ref="DU1514:DU1533" ca="1">IFERROR(INDEX(nombres[],SMALL(IF(OFFSET(nombres[],0,0,ROWS(nombres[]),1)=DU$1490,ROW(OFFSET(nombres[],0,0,ROWS(nombres[]),1))-ROW(OFFSET(nombres[],0,0,1,1))+1,ROW(OFFSET(nombres[],ROWS(nombres[])-1,0,1,1))+1),$O1514:$O1533),11),"")</f>
        <v/>
      </c>
      <c r="DV1514" s="42" t="str">
        <f t="array" aca="1" ref="DV1514:DV1533" ca="1">IFERROR(INDEX(nombres[],SMALL(IF(OFFSET(nombres[],0,0,ROWS(nombres[]),1)=DV$1490,ROW(OFFSET(nombres[],0,0,ROWS(nombres[]),1))-ROW(OFFSET(nombres[],0,0,1,1))+1,ROW(OFFSET(nombres[],ROWS(nombres[])-1,0,1,1))+1),$O1514:$O1533),11),"")</f>
        <v/>
      </c>
      <c r="DW1514" s="42">
        <f t="array" aca="1" ref="DW1514:DW1533" ca="1">IFERROR(INDEX(nombres[],SMALL(IF(OFFSET(nombres[],0,0,ROWS(nombres[]),1)=DW$1490,ROW(OFFSET(nombres[],0,0,ROWS(nombres[]),1))-ROW(OFFSET(nombres[],0,0,1,1))+1,ROW(OFFSET(nombres[],ROWS(nombres[])-1,0,1,1))+1),$O1514:$O1533),11),"")</f>
        <v>169</v>
      </c>
      <c r="DX1514" s="42" t="str">
        <f t="array" aca="1" ref="DX1514:DX1533" ca="1">IFERROR(INDEX(nombres[],SMALL(IF(OFFSET(nombres[],0,0,ROWS(nombres[]),1)=DX$1490,ROW(OFFSET(nombres[],0,0,ROWS(nombres[]),1))-ROW(OFFSET(nombres[],0,0,1,1))+1,ROW(OFFSET(nombres[],ROWS(nombres[])-1,0,1,1))+1),$O1514:$O1533),11),"")</f>
        <v/>
      </c>
      <c r="DY1514" s="42">
        <f t="array" aca="1" ref="DY1514:DY1533" ca="1">IFERROR(INDEX(nombres[],SMALL(IF(OFFSET(nombres[],0,0,ROWS(nombres[]),1)=DY$1490,ROW(OFFSET(nombres[],0,0,ROWS(nombres[]),1))-ROW(OFFSET(nombres[],0,0,1,1))+1,ROW(OFFSET(nombres[],ROWS(nombres[])-1,0,1,1))+1),$O1514:$O1533),11),"")</f>
        <v>18</v>
      </c>
      <c r="DZ1514" s="42" t="str">
        <f t="array" aca="1" ref="DZ1514:DZ1533" ca="1">IFERROR(INDEX(nombres[],SMALL(IF(OFFSET(nombres[],0,0,ROWS(nombres[]),1)=DZ$1490,ROW(OFFSET(nombres[],0,0,ROWS(nombres[]),1))-ROW(OFFSET(nombres[],0,0,1,1))+1,ROW(OFFSET(nombres[],ROWS(nombres[])-1,0,1,1))+1),$O1514:$O1533),11),"")</f>
        <v>REP</v>
      </c>
      <c r="EA1514" s="42">
        <f t="array" aca="1" ref="EA1514:EA1533" ca="1">IFERROR(INDEX(nombres[],SMALL(IF(OFFSET(nombres[],0,0,ROWS(nombres[]),1)=EA$1490,ROW(OFFSET(nombres[],0,0,ROWS(nombres[]),1))-ROW(OFFSET(nombres[],0,0,1,1))+1,ROW(OFFSET(nombres[],ROWS(nombres[])-1,0,1,1))+1),$O1514:$O1533),11),"")</f>
        <v>0</v>
      </c>
      <c r="EB1514" s="42" t="str">
        <f t="array" aca="1" ref="EB1514:EB1533" ca="1">IFERROR(INDEX(nombres[],SMALL(IF(OFFSET(nombres[],0,0,ROWS(nombres[]),1)=EB$1490,ROW(OFFSET(nombres[],0,0,ROWS(nombres[]),1))-ROW(OFFSET(nombres[],0,0,1,1))+1,ROW(OFFSET(nombres[],ROWS(nombres[])-1,0,1,1))+1),$O1514:$O1533),11),"")</f>
        <v>S/F</v>
      </c>
      <c r="EC1514" s="42">
        <f t="array" aca="1" ref="EC1514:EC1533" ca="1">IFERROR(INDEX(nombres[],SMALL(IF(OFFSET(nombres[],0,0,ROWS(nombres[]),1)=EC$1490,ROW(OFFSET(nombres[],0,0,ROWS(nombres[]),1))-ROW(OFFSET(nombres[],0,0,1,1))+1,ROW(OFFSET(nombres[],ROWS(nombres[])-1,0,1,1))+1),$O1514:$O1533),11),"")</f>
        <v>182</v>
      </c>
      <c r="ED1514" s="42">
        <f t="array" aca="1" ref="ED1514:ED1533" ca="1">IFERROR(INDEX(nombres[],SMALL(IF(OFFSET(nombres[],0,0,ROWS(nombres[]),1)=ED$1490,ROW(OFFSET(nombres[],0,0,ROWS(nombres[]),1))-ROW(OFFSET(nombres[],0,0,1,1))+1,ROW(OFFSET(nombres[],ROWS(nombres[])-1,0,1,1))+1),$O1514:$O1533),11),"")</f>
        <v>110</v>
      </c>
      <c r="EE1514" s="42">
        <f t="array" aca="1" ref="EE1514:EE1533" ca="1">IFERROR(INDEX(nombres[],SMALL(IF(OFFSET(nombres[],0,0,ROWS(nombres[]),1)=EE$1490,ROW(OFFSET(nombres[],0,0,ROWS(nombres[]),1))-ROW(OFFSET(nombres[],0,0,1,1))+1,ROW(OFFSET(nombres[],ROWS(nombres[])-1,0,1,1))+1),$O1514:$O1533),11),"")</f>
        <v>66</v>
      </c>
      <c r="EF1514" s="42" t="str">
        <f t="array" aca="1" ref="EF1514:EF1533" ca="1">IFERROR(INDEX(nombres[],SMALL(IF(OFFSET(nombres[],0,0,ROWS(nombres[]),1)=EF$1490,ROW(OFFSET(nombres[],0,0,ROWS(nombres[]),1))-ROW(OFFSET(nombres[],0,0,1,1))+1,ROW(OFFSET(nombres[],ROWS(nombres[])-1,0,1,1))+1),$O1514:$O1533),11),"")</f>
        <v>REP</v>
      </c>
      <c r="EG1514" s="42" t="str">
        <f t="array" aca="1" ref="EG1514:EG1533" ca="1">IFERROR(INDEX(nombres[],SMALL(IF(OFFSET(nombres[],0,0,ROWS(nombres[]),1)=EG$1490,ROW(OFFSET(nombres[],0,0,ROWS(nombres[]),1))-ROW(OFFSET(nombres[],0,0,1,1))+1,ROW(OFFSET(nombres[],ROWS(nombres[])-1,0,1,1))+1),$O1514:$O1533),11),"")</f>
        <v/>
      </c>
      <c r="EH1514" s="42">
        <f t="array" aca="1" ref="EH1514:EH1533" ca="1">IFERROR(INDEX(nombres[],SMALL(IF(OFFSET(nombres[],0,0,ROWS(nombres[]),1)=EH$1490,ROW(OFFSET(nombres[],0,0,ROWS(nombres[]),1))-ROW(OFFSET(nombres[],0,0,1,1))+1,ROW(OFFSET(nombres[],ROWS(nombres[])-1,0,1,1))+1),$O1514:$O1533),11),"")</f>
        <v>54</v>
      </c>
      <c r="EI1514" s="42" t="str">
        <f t="array" aca="1" ref="EI1514:EI1533" ca="1">IFERROR(INDEX(nombres[],SMALL(IF(OFFSET(nombres[],0,0,ROWS(nombres[]),1)=EI$1490,ROW(OFFSET(nombres[],0,0,ROWS(nombres[]),1))-ROW(OFFSET(nombres[],0,0,1,1))+1,ROW(OFFSET(nombres[],ROWS(nombres[])-1,0,1,1))+1),$O1514:$O1533),11),"")</f>
        <v/>
      </c>
      <c r="EJ1514" s="42" t="str">
        <f t="array" aca="1" ref="EJ1514:EJ1533" ca="1">IFERROR(INDEX(nombres[],SMALL(IF(OFFSET(nombres[],0,0,ROWS(nombres[]),1)=EJ$1490,ROW(OFFSET(nombres[],0,0,ROWS(nombres[]),1))-ROW(OFFSET(nombres[],0,0,1,1))+1,ROW(OFFSET(nombres[],ROWS(nombres[])-1,0,1,1))+1),$O1514:$O1533),11),"")</f>
        <v>REP</v>
      </c>
      <c r="EK1514" s="42" t="str">
        <f t="array" aca="1" ref="EK1514:EK1533" ca="1">IFERROR(INDEX(nombres[],SMALL(IF(OFFSET(nombres[],0,0,ROWS(nombres[]),1)=EK$1490,ROW(OFFSET(nombres[],0,0,ROWS(nombres[]),1))-ROW(OFFSET(nombres[],0,0,1,1))+1,ROW(OFFSET(nombres[],ROWS(nombres[])-1,0,1,1))+1),$O1514:$O1533),11),"")</f>
        <v>REP</v>
      </c>
      <c r="EL1514" s="42">
        <f t="array" aca="1" ref="EL1514:EL1533" ca="1">IFERROR(INDEX(nombres[],SMALL(IF(OFFSET(nombres[],0,0,ROWS(nombres[]),1)=EL$1490,ROW(OFFSET(nombres[],0,0,ROWS(nombres[]),1))-ROW(OFFSET(nombres[],0,0,1,1))+1,ROW(OFFSET(nombres[],ROWS(nombres[])-1,0,1,1))+1),$O1514:$O1533),11),"")</f>
        <v>120</v>
      </c>
      <c r="EM1514" s="42" t="str">
        <f t="array" aca="1" ref="EM1514:EM1533" ca="1">IFERROR(INDEX(nombres[],SMALL(IF(OFFSET(nombres[],0,0,ROWS(nombres[]),1)=EM$1490,ROW(OFFSET(nombres[],0,0,ROWS(nombres[]),1))-ROW(OFFSET(nombres[],0,0,1,1))+1,ROW(OFFSET(nombres[],ROWS(nombres[])-1,0,1,1))+1),$O1514:$O1533),11),"")</f>
        <v>S/F</v>
      </c>
      <c r="EN1514" s="42" t="str">
        <f t="array" aca="1" ref="EN1514:EN1533" ca="1">IFERROR(INDEX(nombres[],SMALL(IF(OFFSET(nombres[],0,0,ROWS(nombres[]),1)=EN$1490,ROW(OFFSET(nombres[],0,0,ROWS(nombres[]),1))-ROW(OFFSET(nombres[],0,0,1,1))+1,ROW(OFFSET(nombres[],ROWS(nombres[])-1,0,1,1))+1),$O1514:$O1533),11),"")</f>
        <v/>
      </c>
      <c r="EO1514" s="42">
        <f t="array" aca="1" ref="EO1514:EO1533" ca="1">IFERROR(INDEX(nombres[],SMALL(IF(OFFSET(nombres[],0,0,ROWS(nombres[]),1)=EO$1490,ROW(OFFSET(nombres[],0,0,ROWS(nombres[]),1))-ROW(OFFSET(nombres[],0,0,1,1))+1,ROW(OFFSET(nombres[],ROWS(nombres[])-1,0,1,1))+1),$O1514:$O1533),11),"")</f>
        <v>69</v>
      </c>
      <c r="EP1514" s="42" t="str">
        <f t="array" aca="1" ref="EP1514:EP1533" ca="1">IFERROR(INDEX(nombres[],SMALL(IF(OFFSET(nombres[],0,0,ROWS(nombres[]),1)=EP$1490,ROW(OFFSET(nombres[],0,0,ROWS(nombres[]),1))-ROW(OFFSET(nombres[],0,0,1,1))+1,ROW(OFFSET(nombres[],ROWS(nombres[])-1,0,1,1))+1),$O1514:$O1533),11),"")</f>
        <v>S/F</v>
      </c>
      <c r="EQ1514" s="42" t="str">
        <f t="array" aca="1" ref="EQ1514:EQ1533" ca="1">IFERROR(INDEX(nombres[],SMALL(IF(OFFSET(nombres[],0,0,ROWS(nombres[]),1)=EQ$1490,ROW(OFFSET(nombres[],0,0,ROWS(nombres[]),1))-ROW(OFFSET(nombres[],0,0,1,1))+1,ROW(OFFSET(nombres[],ROWS(nombres[])-1,0,1,1))+1),$O1514:$O1533),11),"")</f>
        <v>S/F</v>
      </c>
      <c r="ER1514" s="42" t="str">
        <f t="array" aca="1" ref="ER1514:ER1533" ca="1">IFERROR(INDEX(nombres[],SMALL(IF(OFFSET(nombres[],0,0,ROWS(nombres[]),1)=ER$1490,ROW(OFFSET(nombres[],0,0,ROWS(nombres[]),1))-ROW(OFFSET(nombres[],0,0,1,1))+1,ROW(OFFSET(nombres[],ROWS(nombres[])-1,0,1,1))+1),$O1514:$O1533),11),"")</f>
        <v>REP</v>
      </c>
      <c r="ES1514" s="42" t="str">
        <f t="array" aca="1" ref="ES1514:ES1533" ca="1">IFERROR(INDEX(nombres[],SMALL(IF(OFFSET(nombres[],0,0,ROWS(nombres[]),1)=ES$1490,ROW(OFFSET(nombres[],0,0,ROWS(nombres[]),1))-ROW(OFFSET(nombres[],0,0,1,1))+1,ROW(OFFSET(nombres[],ROWS(nombres[])-1,0,1,1))+1),$O1514:$O1533),11),"")</f>
        <v>REP</v>
      </c>
      <c r="ET1514" s="42" t="str">
        <f t="array" aca="1" ref="ET1514:ET1533" ca="1">IFERROR(INDEX(nombres[],SMALL(IF(OFFSET(nombres[],0,0,ROWS(nombres[]),1)=ET$1490,ROW(OFFSET(nombres[],0,0,ROWS(nombres[]),1))-ROW(OFFSET(nombres[],0,0,1,1))+1,ROW(OFFSET(nombres[],ROWS(nombres[])-1,0,1,1))+1),$O1514:$O1533),11),"")</f>
        <v>S/F</v>
      </c>
      <c r="EU1514" s="42">
        <f t="array" aca="1" ref="EU1514:EU1533" ca="1">IFERROR(INDEX(nombres[],SMALL(IF(OFFSET(nombres[],0,0,ROWS(nombres[]),1)=EU$1490,ROW(OFFSET(nombres[],0,0,ROWS(nombres[]),1))-ROW(OFFSET(nombres[],0,0,1,1))+1,ROW(OFFSET(nombres[],ROWS(nombres[])-1,0,1,1))+1),$O1514:$O1533),11),"")</f>
        <v>0</v>
      </c>
      <c r="EV1514" s="42" t="str">
        <f t="array" aca="1" ref="EV1514:EV1533" ca="1">IFERROR(INDEX(nombres[],SMALL(IF(OFFSET(nombres[],0,0,ROWS(nombres[]),1)=EV$1490,ROW(OFFSET(nombres[],0,0,ROWS(nombres[]),1))-ROW(OFFSET(nombres[],0,0,1,1))+1,ROW(OFFSET(nombres[],ROWS(nombres[])-1,0,1,1))+1),$O1514:$O1533),11),"")</f>
        <v/>
      </c>
      <c r="EW1514" s="42" t="str">
        <f t="array" aca="1" ref="EW1514:EW1533" ca="1">IFERROR(INDEX(nombres[],SMALL(IF(OFFSET(nombres[],0,0,ROWS(nombres[]),1)=EW$1490,ROW(OFFSET(nombres[],0,0,ROWS(nombres[]),1))-ROW(OFFSET(nombres[],0,0,1,1))+1,ROW(OFFSET(nombres[],ROWS(nombres[])-1,0,1,1))+1),$O1514:$O1533),11),"")</f>
        <v/>
      </c>
      <c r="EX1514" s="42">
        <f t="array" aca="1" ref="EX1514:EX1533" ca="1">IFERROR(INDEX(nombres[],SMALL(IF(OFFSET(nombres[],0,0,ROWS(nombres[]),1)=EX$1490,ROW(OFFSET(nombres[],0,0,ROWS(nombres[]),1))-ROW(OFFSET(nombres[],0,0,1,1))+1,ROW(OFFSET(nombres[],ROWS(nombres[])-1,0,1,1))+1),$O1514:$O1533),11),"")</f>
        <v>76</v>
      </c>
      <c r="EY1514" s="42" t="str">
        <f t="array" aca="1" ref="EY1514:EY1533" ca="1">IFERROR(INDEX(nombres[],SMALL(IF(OFFSET(nombres[],0,0,ROWS(nombres[]),1)=EY$1490,ROW(OFFSET(nombres[],0,0,ROWS(nombres[]),1))-ROW(OFFSET(nombres[],0,0,1,1))+1,ROW(OFFSET(nombres[],ROWS(nombres[])-1,0,1,1))+1),$O1514:$O1533),11),"")</f>
        <v/>
      </c>
      <c r="EZ1514" s="42" t="str">
        <f t="array" aca="1" ref="EZ1514:EZ1533" ca="1">IFERROR(INDEX(nombres[],SMALL(IF(OFFSET(nombres[],0,0,ROWS(nombres[]),1)=EZ$1490,ROW(OFFSET(nombres[],0,0,ROWS(nombres[]),1))-ROW(OFFSET(nombres[],0,0,1,1))+1,ROW(OFFSET(nombres[],ROWS(nombres[])-1,0,1,1))+1),$O1514:$O1533),11),"")</f>
        <v>REP</v>
      </c>
      <c r="FA1514" s="42" t="str">
        <f t="array" aca="1" ref="FA1514:FA1533" ca="1">IFERROR(INDEX(nombres[],SMALL(IF(OFFSET(nombres[],0,0,ROWS(nombres[]),1)=FA$1490,ROW(OFFSET(nombres[],0,0,ROWS(nombres[]),1))-ROW(OFFSET(nombres[],0,0,1,1))+1,ROW(OFFSET(nombres[],ROWS(nombres[])-1,0,1,1))+1),$O1514:$O1533),11),"")</f>
        <v>S/F</v>
      </c>
      <c r="FB1514" s="42" t="str">
        <f t="array" aca="1" ref="FB1514:FB1533" ca="1">IFERROR(INDEX(nombres[],SMALL(IF(OFFSET(nombres[],0,0,ROWS(nombres[]),1)=FB$1490,ROW(OFFSET(nombres[],0,0,ROWS(nombres[]),1))-ROW(OFFSET(nombres[],0,0,1,1))+1,ROW(OFFSET(nombres[],ROWS(nombres[])-1,0,1,1))+1),$O1514:$O1533),11),"")</f>
        <v/>
      </c>
      <c r="FC1514" s="42">
        <f t="array" aca="1" ref="FC1514:FC1533" ca="1">IFERROR(INDEX(nombres[],SMALL(IF(OFFSET(nombres[],0,0,ROWS(nombres[]),1)=FC$1490,ROW(OFFSET(nombres[],0,0,ROWS(nombres[]),1))-ROW(OFFSET(nombres[],0,0,1,1))+1,ROW(OFFSET(nombres[],ROWS(nombres[])-1,0,1,1))+1),$O1514:$O1533),11),"")</f>
        <v>39</v>
      </c>
      <c r="FD1514" s="42" t="str">
        <f t="array" aca="1" ref="FD1514:FD1533" ca="1">IFERROR(INDEX(nombres[],SMALL(IF(OFFSET(nombres[],0,0,ROWS(nombres[]),1)=FD$1490,ROW(OFFSET(nombres[],0,0,ROWS(nombres[]),1))-ROW(OFFSET(nombres[],0,0,1,1))+1,ROW(OFFSET(nombres[],ROWS(nombres[])-1,0,1,1))+1),$O1514:$O1533),11),"")</f>
        <v/>
      </c>
      <c r="FE1514" s="42">
        <f t="array" aca="1" ref="FE1514:FE1533" ca="1">IFERROR(INDEX(nombres[],SMALL(IF(OFFSET(nombres[],0,0,ROWS(nombres[]),1)=FE$1490,ROW(OFFSET(nombres[],0,0,ROWS(nombres[]),1))-ROW(OFFSET(nombres[],0,0,1,1))+1,ROW(OFFSET(nombres[],ROWS(nombres[])-1,0,1,1))+1),$O1514:$O1533),11),"")</f>
        <v>4</v>
      </c>
      <c r="FF1514" s="42">
        <f t="array" aca="1" ref="FF1514:FF1533" ca="1">IFERROR(INDEX(nombres[],SMALL(IF(OFFSET(nombres[],0,0,ROWS(nombres[]),1)=FF$1490,ROW(OFFSET(nombres[],0,0,ROWS(nombres[]),1))-ROW(OFFSET(nombres[],0,0,1,1))+1,ROW(OFFSET(nombres[],ROWS(nombres[])-1,0,1,1))+1),$O1514:$O1533),11),"")</f>
        <v>173</v>
      </c>
      <c r="FG1514" s="42" t="str">
        <f t="array" aca="1" ref="FG1514:FG1533" ca="1">IFERROR(INDEX(nombres[],SMALL(IF(OFFSET(nombres[],0,0,ROWS(nombres[]),1)=FG$1490,ROW(OFFSET(nombres[],0,0,ROWS(nombres[]),1))-ROW(OFFSET(nombres[],0,0,1,1))+1,ROW(OFFSET(nombres[],ROWS(nombres[])-1,0,1,1))+1),$O1514:$O1533),11),"")</f>
        <v/>
      </c>
      <c r="FH1514" s="42" t="str">
        <f t="array" aca="1" ref="FH1514:FH1533" ca="1">IFERROR(INDEX(nombres[],SMALL(IF(OFFSET(nombres[],0,0,ROWS(nombres[]),1)=FH$1490,ROW(OFFSET(nombres[],0,0,ROWS(nombres[]),1))-ROW(OFFSET(nombres[],0,0,1,1))+1,ROW(OFFSET(nombres[],ROWS(nombres[])-1,0,1,1))+1),$O1514:$O1533),11),"")</f>
        <v>REP</v>
      </c>
      <c r="FI1514" s="42" t="str">
        <f t="array" aca="1" ref="FI1514:FI1533" ca="1">IFERROR(INDEX(nombres[],SMALL(IF(OFFSET(nombres[],0,0,ROWS(nombres[]),1)=FI$1490,ROW(OFFSET(nombres[],0,0,ROWS(nombres[]),1))-ROW(OFFSET(nombres[],0,0,1,1))+1,ROW(OFFSET(nombres[],ROWS(nombres[])-1,0,1,1))+1),$O1514:$O1533),11),"")</f>
        <v>S/F</v>
      </c>
      <c r="FJ1514" s="42" t="str">
        <f t="array" aca="1" ref="FJ1514:FJ1533" ca="1">IFERROR(INDEX(nombres[],SMALL(IF(OFFSET(nombres[],0,0,ROWS(nombres[]),1)=FJ$1490,ROW(OFFSET(nombres[],0,0,ROWS(nombres[]),1))-ROW(OFFSET(nombres[],0,0,1,1))+1,ROW(OFFSET(nombres[],ROWS(nombres[])-1,0,1,1))+1),$O1514:$O1533),11),"")</f>
        <v>S/F</v>
      </c>
      <c r="FK1514" s="42" t="str">
        <f t="array" aca="1" ref="FK1514:FK1533" ca="1">IFERROR(INDEX(nombres[],SMALL(IF(OFFSET(nombres[],0,0,ROWS(nombres[]),1)=FK$1490,ROW(OFFSET(nombres[],0,0,ROWS(nombres[]),1))-ROW(OFFSET(nombres[],0,0,1,1))+1,ROW(OFFSET(nombres[],ROWS(nombres[])-1,0,1,1))+1),$O1514:$O1533),11),"")</f>
        <v>REP</v>
      </c>
      <c r="FL1514" s="42" t="str">
        <f t="array" aca="1" ref="FL1514:FL1533" ca="1">IFERROR(INDEX(nombres[],SMALL(IF(OFFSET(nombres[],0,0,ROWS(nombres[]),1)=FL$1490,ROW(OFFSET(nombres[],0,0,ROWS(nombres[]),1))-ROW(OFFSET(nombres[],0,0,1,1))+1,ROW(OFFSET(nombres[],ROWS(nombres[])-1,0,1,1))+1),$O1514:$O1533),11),"")</f>
        <v>S/F</v>
      </c>
      <c r="FM1514" s="42" t="str">
        <f t="array" aca="1" ref="FM1514:FM1533" ca="1">IFERROR(INDEX(nombres[],SMALL(IF(OFFSET(nombres[],0,0,ROWS(nombres[]),1)=FM$1490,ROW(OFFSET(nombres[],0,0,ROWS(nombres[]),1))-ROW(OFFSET(nombres[],0,0,1,1))+1,ROW(OFFSET(nombres[],ROWS(nombres[])-1,0,1,1))+1),$O1514:$O1533),11),"")</f>
        <v/>
      </c>
      <c r="FN1514" s="42" t="str">
        <f t="array" aca="1" ref="FN1514:FN1533" ca="1">IFERROR(INDEX(nombres[],SMALL(IF(OFFSET(nombres[],0,0,ROWS(nombres[]),1)=FN$1490,ROW(OFFSET(nombres[],0,0,ROWS(nombres[]),1))-ROW(OFFSET(nombres[],0,0,1,1))+1,ROW(OFFSET(nombres[],ROWS(nombres[])-1,0,1,1))+1),$O1514:$O1533),11),"")</f>
        <v/>
      </c>
      <c r="FO1514" s="42" t="str">
        <f t="array" aca="1" ref="FO1514:FO1533" ca="1">IFERROR(INDEX(nombres[],SMALL(IF(OFFSET(nombres[],0,0,ROWS(nombres[]),1)=FO$1490,ROW(OFFSET(nombres[],0,0,ROWS(nombres[]),1))-ROW(OFFSET(nombres[],0,0,1,1))+1,ROW(OFFSET(nombres[],ROWS(nombres[])-1,0,1,1))+1),$O1514:$O1533),11),"")</f>
        <v>S/F</v>
      </c>
      <c r="FP1514" s="42">
        <f t="array" aca="1" ref="FP1514:FP1533" ca="1">IFERROR(INDEX(nombres[],SMALL(IF(OFFSET(nombres[],0,0,ROWS(nombres[]),1)=FP$1490,ROW(OFFSET(nombres[],0,0,ROWS(nombres[]),1))-ROW(OFFSET(nombres[],0,0,1,1))+1,ROW(OFFSET(nombres[],ROWS(nombres[])-1,0,1,1))+1),$O1514:$O1533),11),"")</f>
        <v>0</v>
      </c>
      <c r="FQ1514" s="42" t="str">
        <f t="array" aca="1" ref="FQ1514:FQ1533" ca="1">IFERROR(INDEX(nombres[],SMALL(IF(OFFSET(nombres[],0,0,ROWS(nombres[]),1)=FQ$1490,ROW(OFFSET(nombres[],0,0,ROWS(nombres[]),1))-ROW(OFFSET(nombres[],0,0,1,1))+1,ROW(OFFSET(nombres[],ROWS(nombres[])-1,0,1,1))+1),$O1514:$O1533),11),"")</f>
        <v>REP</v>
      </c>
      <c r="FR1514" s="42" t="str">
        <f t="array" aca="1" ref="FR1514:FR1533" ca="1">IFERROR(INDEX(nombres[],SMALL(IF(OFFSET(nombres[],0,0,ROWS(nombres[]),1)=FR$1490,ROW(OFFSET(nombres[],0,0,ROWS(nombres[]),1))-ROW(OFFSET(nombres[],0,0,1,1))+1,ROW(OFFSET(nombres[],ROWS(nombres[])-1,0,1,1))+1),$O1514:$O1533),11),"")</f>
        <v/>
      </c>
      <c r="FS1514" s="42">
        <f t="array" aca="1" ref="FS1514:FS1533" ca="1">IFERROR(INDEX(nombres[],SMALL(IF(OFFSET(nombres[],0,0,ROWS(nombres[]),1)=FS$1490,ROW(OFFSET(nombres[],0,0,ROWS(nombres[]),1))-ROW(OFFSET(nombres[],0,0,1,1))+1,ROW(OFFSET(nombres[],ROWS(nombres[])-1,0,1,1))+1),$O1514:$O1533),11),"")</f>
        <v>90</v>
      </c>
      <c r="FT1514" s="42" t="str">
        <f t="array" aca="1" ref="FT1514:FT1533" ca="1">IFERROR(INDEX(nombres[],SMALL(IF(OFFSET(nombres[],0,0,ROWS(nombres[]),1)=FT$1490,ROW(OFFSET(nombres[],0,0,ROWS(nombres[]),1))-ROW(OFFSET(nombres[],0,0,1,1))+1,ROW(OFFSET(nombres[],ROWS(nombres[])-1,0,1,1))+1),$O1514:$O1533),11),"")</f>
        <v/>
      </c>
      <c r="FU1514" s="42" t="str">
        <f t="array" aca="1" ref="FU1514:FU1533" ca="1">IFERROR(INDEX(nombres[],SMALL(IF(OFFSET(nombres[],0,0,ROWS(nombres[]),1)=FU$1490,ROW(OFFSET(nombres[],0,0,ROWS(nombres[]),1))-ROW(OFFSET(nombres[],0,0,1,1))+1,ROW(OFFSET(nombres[],ROWS(nombres[])-1,0,1,1))+1),$O1514:$O1533),11),"")</f>
        <v>REP</v>
      </c>
      <c r="FV1514" s="42" t="str">
        <f t="array" aca="1" ref="FV1514:FV1533" ca="1">IFERROR(INDEX(nombres[],SMALL(IF(OFFSET(nombres[],0,0,ROWS(nombres[]),1)=FV$1490,ROW(OFFSET(nombres[],0,0,ROWS(nombres[]),1))-ROW(OFFSET(nombres[],0,0,1,1))+1,ROW(OFFSET(nombres[],ROWS(nombres[])-1,0,1,1))+1),$O1514:$O1533),11),"")</f>
        <v>REP</v>
      </c>
      <c r="FW1514" s="42" t="str">
        <f t="array" aca="1" ref="FW1514:FW1533" ca="1">IFERROR(INDEX(nombres[],SMALL(IF(OFFSET(nombres[],0,0,ROWS(nombres[]),1)=FW$1490,ROW(OFFSET(nombres[],0,0,ROWS(nombres[]),1))-ROW(OFFSET(nombres[],0,0,1,1))+1,ROW(OFFSET(nombres[],ROWS(nombres[])-1,0,1,1))+1),$O1514:$O1533),11),"")</f>
        <v/>
      </c>
      <c r="FX1514" s="42">
        <f t="array" aca="1" ref="FX1514:FX1533" ca="1">IFERROR(INDEX(nombres[],SMALL(IF(OFFSET(nombres[],0,0,ROWS(nombres[]),1)=FX$1490,ROW(OFFSET(nombres[],0,0,ROWS(nombres[]),1))-ROW(OFFSET(nombres[],0,0,1,1))+1,ROW(OFFSET(nombres[],ROWS(nombres[])-1,0,1,1))+1),$O1514:$O1533),11),"")</f>
        <v>119</v>
      </c>
      <c r="FY1514" s="42" t="str">
        <f t="array" aca="1" ref="FY1514:FY1533" ca="1">IFERROR(INDEX(nombres[],SMALL(IF(OFFSET(nombres[],0,0,ROWS(nombres[]),1)=FY$1490,ROW(OFFSET(nombres[],0,0,ROWS(nombres[]),1))-ROW(OFFSET(nombres[],0,0,1,1))+1,ROW(OFFSET(nombres[],ROWS(nombres[])-1,0,1,1))+1),$O1514:$O1533),11),"")</f>
        <v/>
      </c>
      <c r="FZ1514" s="42">
        <f t="array" aca="1" ref="FZ1514:FZ1533" ca="1">IFERROR(INDEX(nombres[],SMALL(IF(OFFSET(nombres[],0,0,ROWS(nombres[]),1)=FZ$1490,ROW(OFFSET(nombres[],0,0,ROWS(nombres[]),1))-ROW(OFFSET(nombres[],0,0,1,1))+1,ROW(OFFSET(nombres[],ROWS(nombres[])-1,0,1,1))+1),$O1514:$O1533),11),"")</f>
        <v>78</v>
      </c>
      <c r="GA1514" s="42" t="str">
        <f t="array" aca="1" ref="GA1514:GA1533" ca="1">IFERROR(INDEX(nombres[],SMALL(IF(OFFSET(nombres[],0,0,ROWS(nombres[]),1)=GA$1490,ROW(OFFSET(nombres[],0,0,ROWS(nombres[]),1))-ROW(OFFSET(nombres[],0,0,1,1))+1,ROW(OFFSET(nombres[],ROWS(nombres[])-1,0,1,1))+1),$O1514:$O1533),11),"")</f>
        <v>S/F</v>
      </c>
      <c r="GB1514" s="42" t="str">
        <f t="array" aca="1" ref="GB1514:GB1533" ca="1">IFERROR(INDEX(nombres[],SMALL(IF(OFFSET(nombres[],0,0,ROWS(nombres[]),1)=GB$1490,ROW(OFFSET(nombres[],0,0,ROWS(nombres[]),1))-ROW(OFFSET(nombres[],0,0,1,1))+1,ROW(OFFSET(nombres[],ROWS(nombres[])-1,0,1,1))+1),$O1514:$O1533),11),"")</f>
        <v/>
      </c>
      <c r="GC1514" s="42">
        <f t="array" aca="1" ref="GC1514:GC1533" ca="1">IFERROR(INDEX(nombres[],SMALL(IF(OFFSET(nombres[],0,0,ROWS(nombres[]),1)=GC$1490,ROW(OFFSET(nombres[],0,0,ROWS(nombres[]),1))-ROW(OFFSET(nombres[],0,0,1,1))+1,ROW(OFFSET(nombres[],ROWS(nombres[])-1,0,1,1))+1),$O1514:$O1533),11),"")</f>
        <v>124</v>
      </c>
      <c r="GD1514" s="42">
        <f t="array" aca="1" ref="GD1514:GD1533" ca="1">IFERROR(INDEX(nombres[],SMALL(IF(OFFSET(nombres[],0,0,ROWS(nombres[]),1)=GD$1490,ROW(OFFSET(nombres[],0,0,ROWS(nombres[]),1))-ROW(OFFSET(nombres[],0,0,1,1))+1,ROW(OFFSET(nombres[],ROWS(nombres[])-1,0,1,1))+1),$O1514:$O1533),11),"")</f>
        <v>21</v>
      </c>
      <c r="GE1514" s="42" t="str">
        <f t="array" aca="1" ref="GE1514:GE1533" ca="1">IFERROR(INDEX(nombres[],SMALL(IF(OFFSET(nombres[],0,0,ROWS(nombres[]),1)=GE$1490,ROW(OFFSET(nombres[],0,0,ROWS(nombres[]),1))-ROW(OFFSET(nombres[],0,0,1,1))+1,ROW(OFFSET(nombres[],ROWS(nombres[])-1,0,1,1))+1),$O1514:$O1533),11),"")</f>
        <v>REP</v>
      </c>
      <c r="GF1514" s="42">
        <f t="array" aca="1" ref="GF1514:GF1533" ca="1">IFERROR(INDEX(nombres[],SMALL(IF(OFFSET(nombres[],0,0,ROWS(nombres[]),1)=GF$1490,ROW(OFFSET(nombres[],0,0,ROWS(nombres[]),1))-ROW(OFFSET(nombres[],0,0,1,1))+1,ROW(OFFSET(nombres[],ROWS(nombres[])-1,0,1,1))+1),$O1514:$O1533),11),"")</f>
        <v>0</v>
      </c>
      <c r="GG1514" s="42">
        <f t="array" aca="1" ref="GG1514:GG1533" ca="1">IFERROR(INDEX(nombres[],SMALL(IF(OFFSET(nombres[],0,0,ROWS(nombres[]),1)=GG$1490,ROW(OFFSET(nombres[],0,0,ROWS(nombres[]),1))-ROW(OFFSET(nombres[],0,0,1,1))+1,ROW(OFFSET(nombres[],ROWS(nombres[])-1,0,1,1))+1),$O1514:$O1533),11),"")</f>
        <v>0</v>
      </c>
      <c r="GH1514" s="42" t="str">
        <f t="array" aca="1" ref="GH1514:GH1533" ca="1">IFERROR(INDEX(nombres[],SMALL(IF(OFFSET(nombres[],0,0,ROWS(nombres[]),1)=GH$1490,ROW(OFFSET(nombres[],0,0,ROWS(nombres[]),1))-ROW(OFFSET(nombres[],0,0,1,1))+1,ROW(OFFSET(nombres[],ROWS(nombres[])-1,0,1,1))+1),$O1514:$O1533),11),"")</f>
        <v>S/F</v>
      </c>
      <c r="GI1514" s="42" t="str">
        <f t="array" aca="1" ref="GI1514:GI1533" ca="1">IFERROR(INDEX(nombres[],SMALL(IF(OFFSET(nombres[],0,0,ROWS(nombres[]),1)=GI$1490,ROW(OFFSET(nombres[],0,0,ROWS(nombres[]),1))-ROW(OFFSET(nombres[],0,0,1,1))+1,ROW(OFFSET(nombres[],ROWS(nombres[])-1,0,1,1))+1),$O1514:$O1533),11),"")</f>
        <v>S/F</v>
      </c>
      <c r="GJ1514" s="42" t="str">
        <f t="array" aca="1" ref="GJ1514:GJ1533" ca="1">IFERROR(INDEX(nombres[],SMALL(IF(OFFSET(nombres[],0,0,ROWS(nombres[]),1)=GJ$1490,ROW(OFFSET(nombres[],0,0,ROWS(nombres[]),1))-ROW(OFFSET(nombres[],0,0,1,1))+1,ROW(OFFSET(nombres[],ROWS(nombres[])-1,0,1,1))+1),$O1514:$O1533),11),"")</f>
        <v>S/F</v>
      </c>
      <c r="GK1514" s="42" t="str">
        <f t="array" aca="1" ref="GK1514:GK1533" ca="1">IFERROR(INDEX(nombres[],SMALL(IF(OFFSET(nombres[],0,0,ROWS(nombres[]),1)=GK$1490,ROW(OFFSET(nombres[],0,0,ROWS(nombres[]),1))-ROW(OFFSET(nombres[],0,0,1,1))+1,ROW(OFFSET(nombres[],ROWS(nombres[])-1,0,1,1))+1),$O1514:$O1533),11),"")</f>
        <v/>
      </c>
      <c r="GL1514" s="42" t="str">
        <f t="array" aca="1" ref="GL1514:GL1533" ca="1">IFERROR(INDEX(nombres[],SMALL(IF(OFFSET(nombres[],0,0,ROWS(nombres[]),1)=GL$1490,ROW(OFFSET(nombres[],0,0,ROWS(nombres[]),1))-ROW(OFFSET(nombres[],0,0,1,1))+1,ROW(OFFSET(nombres[],ROWS(nombres[])-1,0,1,1))+1),$O1514:$O1533),11),"")</f>
        <v>S/F</v>
      </c>
      <c r="GM1514" s="42" t="str">
        <f t="array" aca="1" ref="GM1514:GM1533" ca="1">IFERROR(INDEX(nombres[],SMALL(IF(OFFSET(nombres[],0,0,ROWS(nombres[]),1)=GM$1490,ROW(OFFSET(nombres[],0,0,ROWS(nombres[]),1))-ROW(OFFSET(nombres[],0,0,1,1))+1,ROW(OFFSET(nombres[],ROWS(nombres[])-1,0,1,1))+1),$O1514:$O1533),11),"")</f>
        <v/>
      </c>
      <c r="GN1514" s="42" t="str">
        <f t="array" aca="1" ref="GN1514:GN1533" ca="1">IFERROR(INDEX(nombres[],SMALL(IF(OFFSET(nombres[],0,0,ROWS(nombres[]),1)=GN$1490,ROW(OFFSET(nombres[],0,0,ROWS(nombres[]),1))-ROW(OFFSET(nombres[],0,0,1,1))+1,ROW(OFFSET(nombres[],ROWS(nombres[])-1,0,1,1))+1),$O1514:$O1533),11),"")</f>
        <v>REP</v>
      </c>
      <c r="GO1514" s="42" t="str">
        <f t="array" aca="1" ref="GO1514:GO1533" ca="1">IFERROR(INDEX(nombres[],SMALL(IF(OFFSET(nombres[],0,0,ROWS(nombres[]),1)=GO$1490,ROW(OFFSET(nombres[],0,0,ROWS(nombres[]),1))-ROW(OFFSET(nombres[],0,0,1,1))+1,ROW(OFFSET(nombres[],ROWS(nombres[])-1,0,1,1))+1),$O1514:$O1533),11),"")</f>
        <v/>
      </c>
      <c r="GP1514" s="42" t="str">
        <f t="array" aca="1" ref="GP1514:GP1533" ca="1">IFERROR(INDEX(nombres[],SMALL(IF(OFFSET(nombres[],0,0,ROWS(nombres[]),1)=GP$1490,ROW(OFFSET(nombres[],0,0,ROWS(nombres[]),1))-ROW(OFFSET(nombres[],0,0,1,1))+1,ROW(OFFSET(nombres[],ROWS(nombres[])-1,0,1,1))+1),$O1514:$O1533),11),"")</f>
        <v/>
      </c>
      <c r="GQ1514" s="42" t="str">
        <f t="array" aca="1" ref="GQ1514:GQ1533" ca="1">IFERROR(INDEX(nombres[],SMALL(IF(OFFSET(nombres[],0,0,ROWS(nombres[]),1)=GQ$1490,ROW(OFFSET(nombres[],0,0,ROWS(nombres[]),1))-ROW(OFFSET(nombres[],0,0,1,1))+1,ROW(OFFSET(nombres[],ROWS(nombres[])-1,0,1,1))+1),$O1514:$O1533),11),"")</f>
        <v>S/F</v>
      </c>
      <c r="GR1514" s="42">
        <f t="array" aca="1" ref="GR1514:GR1533" ca="1">IFERROR(INDEX(nombres[],SMALL(IF(OFFSET(nombres[],0,0,ROWS(nombres[]),1)=GR$1490,ROW(OFFSET(nombres[],0,0,ROWS(nombres[]),1))-ROW(OFFSET(nombres[],0,0,1,1))+1,ROW(OFFSET(nombres[],ROWS(nombres[])-1,0,1,1))+1),$O1514:$O1533),11),"")</f>
        <v>61</v>
      </c>
      <c r="GS1514" s="42" t="str">
        <f t="array" aca="1" ref="GS1514:GS1533" ca="1">IFERROR(INDEX(nombres[],SMALL(IF(OFFSET(nombres[],0,0,ROWS(nombres[]),1)=GS$1490,ROW(OFFSET(nombres[],0,0,ROWS(nombres[]),1))-ROW(OFFSET(nombres[],0,0,1,1))+1,ROW(OFFSET(nombres[],ROWS(nombres[])-1,0,1,1))+1),$O1514:$O1533),11),"")</f>
        <v>S/F</v>
      </c>
      <c r="GT1514" s="42">
        <f t="array" aca="1" ref="GT1514:GT1533" ca="1">IFERROR(INDEX(nombres[],SMALL(IF(OFFSET(nombres[],0,0,ROWS(nombres[]),1)=GT$1490,ROW(OFFSET(nombres[],0,0,ROWS(nombres[]),1))-ROW(OFFSET(nombres[],0,0,1,1))+1,ROW(OFFSET(nombres[],ROWS(nombres[])-1,0,1,1))+1),$O1514:$O1533),11),"")</f>
        <v>77</v>
      </c>
      <c r="GU1514" s="42" t="str">
        <f t="array" aca="1" ref="GU1514:GU1533" ca="1">IFERROR(INDEX(nombres[],SMALL(IF(OFFSET(nombres[],0,0,ROWS(nombres[]),1)=GU$1490,ROW(OFFSET(nombres[],0,0,ROWS(nombres[]),1))-ROW(OFFSET(nombres[],0,0,1,1))+1,ROW(OFFSET(nombres[],ROWS(nombres[])-1,0,1,1))+1),$O1514:$O1533),11),"")</f>
        <v>S/F</v>
      </c>
      <c r="GV1514" s="42" t="str">
        <f t="array" aca="1" ref="GV1514:GV1533" ca="1">IFERROR(INDEX(nombres[],SMALL(IF(OFFSET(nombres[],0,0,ROWS(nombres[]),1)=GV$1490,ROW(OFFSET(nombres[],0,0,ROWS(nombres[]),1))-ROW(OFFSET(nombres[],0,0,1,1))+1,ROW(OFFSET(nombres[],ROWS(nombres[])-1,0,1,1))+1),$O1514:$O1533),11),"")</f>
        <v>S/F</v>
      </c>
      <c r="GW1514" s="42">
        <f t="array" aca="1" ref="GW1514:GW1533" ca="1">IFERROR(INDEX(nombres[],SMALL(IF(OFFSET(nombres[],0,0,ROWS(nombres[]),1)=GW$1490,ROW(OFFSET(nombres[],0,0,ROWS(nombres[]),1))-ROW(OFFSET(nombres[],0,0,1,1))+1,ROW(OFFSET(nombres[],ROWS(nombres[])-1,0,1,1))+1),$O1514:$O1533),11),"")</f>
        <v>94</v>
      </c>
      <c r="GX1514" s="42" t="str">
        <f t="array" aca="1" ref="GX1514:GX1533" ca="1">IFERROR(INDEX(nombres[],SMALL(IF(OFFSET(nombres[],0,0,ROWS(nombres[]),1)=GX$1490,ROW(OFFSET(nombres[],0,0,ROWS(nombres[]),1))-ROW(OFFSET(nombres[],0,0,1,1))+1,ROW(OFFSET(nombres[],ROWS(nombres[])-1,0,1,1))+1),$O1514:$O1533),11),"")</f>
        <v/>
      </c>
      <c r="GY1514" s="42" t="str">
        <f t="array" aca="1" ref="GY1514:GY1533" ca="1">IFERROR(INDEX(nombres[],SMALL(IF(OFFSET(nombres[],0,0,ROWS(nombres[]),1)=GY$1490,ROW(OFFSET(nombres[],0,0,ROWS(nombres[]),1))-ROW(OFFSET(nombres[],0,0,1,1))+1,ROW(OFFSET(nombres[],ROWS(nombres[])-1,0,1,1))+1),$O1514:$O1533),11),"")</f>
        <v>S/F</v>
      </c>
      <c r="GZ1514" s="42" t="str">
        <f t="array" aca="1" ref="GZ1514:GZ1533" ca="1">IFERROR(INDEX(nombres[],SMALL(IF(OFFSET(nombres[],0,0,ROWS(nombres[]),1)=GZ$1490,ROW(OFFSET(nombres[],0,0,ROWS(nombres[]),1))-ROW(OFFSET(nombres[],0,0,1,1))+1,ROW(OFFSET(nombres[],ROWS(nombres[])-1,0,1,1))+1),$O1514:$O1533),11),"")</f>
        <v/>
      </c>
      <c r="HA1514" s="42" t="str">
        <f t="array" aca="1" ref="HA1514:HA1533" ca="1">IFERROR(INDEX(nombres[],SMALL(IF(OFFSET(nombres[],0,0,ROWS(nombres[]),1)=HA$1490,ROW(OFFSET(nombres[],0,0,ROWS(nombres[]),1))-ROW(OFFSET(nombres[],0,0,1,1))+1,ROW(OFFSET(nombres[],ROWS(nombres[])-1,0,1,1))+1),$O1514:$O1533),11),"")</f>
        <v>REP</v>
      </c>
      <c r="HB1514" s="42" t="str">
        <f t="array" aca="1" ref="HB1514:HB1533" ca="1">IFERROR(INDEX(nombres[],SMALL(IF(OFFSET(nombres[],0,0,ROWS(nombres[]),1)=HB$1490,ROW(OFFSET(nombres[],0,0,ROWS(nombres[]),1))-ROW(OFFSET(nombres[],0,0,1,1))+1,ROW(OFFSET(nombres[],ROWS(nombres[])-1,0,1,1))+1),$O1514:$O1533),11),"")</f>
        <v>REP</v>
      </c>
      <c r="HC1514" s="42" t="str">
        <f t="array" aca="1" ref="HC1514:HC1533" ca="1">IFERROR(INDEX(nombres[],SMALL(IF(OFFSET(nombres[],0,0,ROWS(nombres[]),1)=HC$1490,ROW(OFFSET(nombres[],0,0,ROWS(nombres[]),1))-ROW(OFFSET(nombres[],0,0,1,1))+1,ROW(OFFSET(nombres[],ROWS(nombres[])-1,0,1,1))+1),$O1514:$O1533),11),"")</f>
        <v/>
      </c>
      <c r="HD1514" s="42">
        <f t="array" aca="1" ref="HD1514:HD1533" ca="1">IFERROR(INDEX(nombres[],SMALL(IF(OFFSET(nombres[],0,0,ROWS(nombres[]),1)=HD$1490,ROW(OFFSET(nombres[],0,0,ROWS(nombres[]),1))-ROW(OFFSET(nombres[],0,0,1,1))+1,ROW(OFFSET(nombres[],ROWS(nombres[])-1,0,1,1))+1),$O1514:$O1533),11),"")</f>
        <v>60</v>
      </c>
      <c r="HE1514" s="42">
        <f t="array" aca="1" ref="HE1514:HE1533" ca="1">IFERROR(INDEX(nombres[],SMALL(IF(OFFSET(nombres[],0,0,ROWS(nombres[]),1)=HE$1490,ROW(OFFSET(nombres[],0,0,ROWS(nombres[]),1))-ROW(OFFSET(nombres[],0,0,1,1))+1,ROW(OFFSET(nombres[],ROWS(nombres[])-1,0,1,1))+1),$O1514:$O1533),11),"")</f>
        <v>70</v>
      </c>
      <c r="HF1514" s="42" t="str">
        <f t="array" aca="1" ref="HF1514:HF1533" ca="1">IFERROR(INDEX(nombres[],SMALL(IF(OFFSET(nombres[],0,0,ROWS(nombres[]),1)=HF$1490,ROW(OFFSET(nombres[],0,0,ROWS(nombres[]),1))-ROW(OFFSET(nombres[],0,0,1,1))+1,ROW(OFFSET(nombres[],ROWS(nombres[])-1,0,1,1))+1),$O1514:$O1533),11),"")</f>
        <v>REP</v>
      </c>
      <c r="HG1514" s="42">
        <f t="array" aca="1" ref="HG1514:HG1533" ca="1">IFERROR(INDEX(nombres[],SMALL(IF(OFFSET(nombres[],0,0,ROWS(nombres[]),1)=HG$1490,ROW(OFFSET(nombres[],0,0,ROWS(nombres[]),1))-ROW(OFFSET(nombres[],0,0,1,1))+1,ROW(OFFSET(nombres[],ROWS(nombres[])-1,0,1,1))+1),$O1514:$O1533),11),"")</f>
        <v>116</v>
      </c>
      <c r="HH1514" s="42" t="str">
        <f t="array" aca="1" ref="HH1514:HH1533" ca="1">IFERROR(INDEX(nombres[],SMALL(IF(OFFSET(nombres[],0,0,ROWS(nombres[]),1)=HH$1490,ROW(OFFSET(nombres[],0,0,ROWS(nombres[]),1))-ROW(OFFSET(nombres[],0,0,1,1))+1,ROW(OFFSET(nombres[],ROWS(nombres[])-1,0,1,1))+1),$O1514:$O1533),11),"")</f>
        <v>REP</v>
      </c>
      <c r="HI1514" s="42" t="str">
        <f t="array" aca="1" ref="HI1514:HI1533" ca="1">IFERROR(INDEX(nombres[],SMALL(IF(OFFSET(nombres[],0,0,ROWS(nombres[]),1)=HI$1490,ROW(OFFSET(nombres[],0,0,ROWS(nombres[]),1))-ROW(OFFSET(nombres[],0,0,1,1))+1,ROW(OFFSET(nombres[],ROWS(nombres[])-1,0,1,1))+1),$O1514:$O1533),11),"")</f>
        <v>S/F</v>
      </c>
      <c r="HJ1514" s="42">
        <f t="array" aca="1" ref="HJ1514:HJ1533" ca="1">IFERROR(INDEX(nombres[],SMALL(IF(OFFSET(nombres[],0,0,ROWS(nombres[]),1)=HJ$1490,ROW(OFFSET(nombres[],0,0,ROWS(nombres[]),1))-ROW(OFFSET(nombres[],0,0,1,1))+1,ROW(OFFSET(nombres[],ROWS(nombres[])-1,0,1,1))+1),$O1514:$O1533),11),"")</f>
        <v>0</v>
      </c>
      <c r="HK1514" s="42">
        <f t="array" aca="1" ref="HK1514:HK1533" ca="1">IFERROR(INDEX(nombres[],SMALL(IF(OFFSET(nombres[],0,0,ROWS(nombres[]),1)=HK$1490,ROW(OFFSET(nombres[],0,0,ROWS(nombres[]),1))-ROW(OFFSET(nombres[],0,0,1,1))+1,ROW(OFFSET(nombres[],ROWS(nombres[])-1,0,1,1))+1),$O1514:$O1533),11),"")</f>
        <v>34</v>
      </c>
      <c r="HL1514" s="42" t="str">
        <f t="array" aca="1" ref="HL1514:HL1533" ca="1">IFERROR(INDEX(nombres[],SMALL(IF(OFFSET(nombres[],0,0,ROWS(nombres[]),1)=HL$1490,ROW(OFFSET(nombres[],0,0,ROWS(nombres[]),1))-ROW(OFFSET(nombres[],0,0,1,1))+1,ROW(OFFSET(nombres[],ROWS(nombres[])-1,0,1,1))+1),$O1514:$O1533),11),"")</f>
        <v>REP</v>
      </c>
      <c r="HM1514" s="42">
        <f t="array" aca="1" ref="HM1514:HM1533" ca="1">IFERROR(INDEX(nombres[],SMALL(IF(OFFSET(nombres[],0,0,ROWS(nombres[]),1)=HM$1490,ROW(OFFSET(nombres[],0,0,ROWS(nombres[]),1))-ROW(OFFSET(nombres[],0,0,1,1))+1,ROW(OFFSET(nombres[],ROWS(nombres[])-1,0,1,1))+1),$O1514:$O1533),11),"")</f>
        <v>93</v>
      </c>
      <c r="HN1514" s="42" t="str">
        <f t="array" aca="1" ref="HN1514:HN1533" ca="1">IFERROR(INDEX(nombres[],SMALL(IF(OFFSET(nombres[],0,0,ROWS(nombres[]),1)=HN$1490,ROW(OFFSET(nombres[],0,0,ROWS(nombres[]),1))-ROW(OFFSET(nombres[],0,0,1,1))+1,ROW(OFFSET(nombres[],ROWS(nombres[])-1,0,1,1))+1),$O1514:$O1533),11),"")</f>
        <v/>
      </c>
      <c r="HO1514" s="42">
        <f t="array" aca="1" ref="HO1514:HO1533" ca="1">IFERROR(INDEX(nombres[],SMALL(IF(OFFSET(nombres[],0,0,ROWS(nombres[]),1)=HO$1490,ROW(OFFSET(nombres[],0,0,ROWS(nombres[]),1))-ROW(OFFSET(nombres[],0,0,1,1))+1,ROW(OFFSET(nombres[],ROWS(nombres[])-1,0,1,1))+1),$O1514:$O1533),11),"")</f>
        <v>0</v>
      </c>
      <c r="HP1514" s="42">
        <f t="array" aca="1" ref="HP1514:HP1533" ca="1">IFERROR(INDEX(nombres[],SMALL(IF(OFFSET(nombres[],0,0,ROWS(nombres[]),1)=HP$1490,ROW(OFFSET(nombres[],0,0,ROWS(nombres[]),1))-ROW(OFFSET(nombres[],0,0,1,1))+1,ROW(OFFSET(nombres[],ROWS(nombres[])-1,0,1,1))+1),$O1514:$O1533),11),"")</f>
        <v>107</v>
      </c>
      <c r="HQ1514" s="42">
        <f t="array" aca="1" ref="HQ1514:HQ1533" ca="1">IFERROR(INDEX(nombres[],SMALL(IF(OFFSET(nombres[],0,0,ROWS(nombres[]),1)=HQ$1490,ROW(OFFSET(nombres[],0,0,ROWS(nombres[]),1))-ROW(OFFSET(nombres[],0,0,1,1))+1,ROW(OFFSET(nombres[],ROWS(nombres[])-1,0,1,1))+1),$O1514:$O1533),11),"")</f>
        <v>71</v>
      </c>
      <c r="HR1514" s="42" t="str">
        <f t="array" aca="1" ref="HR1514:HR1533" ca="1">IFERROR(INDEX(nombres[],SMALL(IF(OFFSET(nombres[],0,0,ROWS(nombres[]),1)=HR$1490,ROW(OFFSET(nombres[],0,0,ROWS(nombres[]),1))-ROW(OFFSET(nombres[],0,0,1,1))+1,ROW(OFFSET(nombres[],ROWS(nombres[])-1,0,1,1))+1),$O1514:$O1533),11),"")</f>
        <v/>
      </c>
      <c r="HS1514" s="42">
        <f t="array" aca="1" ref="HS1514:HS1533" ca="1">IFERROR(INDEX(nombres[],SMALL(IF(OFFSET(nombres[],0,0,ROWS(nombres[]),1)=HS$1490,ROW(OFFSET(nombres[],0,0,ROWS(nombres[]),1))-ROW(OFFSET(nombres[],0,0,1,1))+1,ROW(OFFSET(nombres[],ROWS(nombres[])-1,0,1,1))+1),$O1514:$O1533),11),"")</f>
        <v>0</v>
      </c>
      <c r="HT1514" s="42" t="str">
        <f t="array" aca="1" ref="HT1514:HT1533" ca="1">IFERROR(INDEX(nombres[],SMALL(IF(OFFSET(nombres[],0,0,ROWS(nombres[]),1)=HT$1490,ROW(OFFSET(nombres[],0,0,ROWS(nombres[]),1))-ROW(OFFSET(nombres[],0,0,1,1))+1,ROW(OFFSET(nombres[],ROWS(nombres[])-1,0,1,1))+1),$O1514:$O1533),11),"")</f>
        <v>S/F</v>
      </c>
      <c r="HU1514" s="42" t="str">
        <f t="array" aca="1" ref="HU1514:HU1533" ca="1">IFERROR(INDEX(nombres[],SMALL(IF(OFFSET(nombres[],0,0,ROWS(nombres[]),1)=HU$1490,ROW(OFFSET(nombres[],0,0,ROWS(nombres[]),1))-ROW(OFFSET(nombres[],0,0,1,1))+1,ROW(OFFSET(nombres[],ROWS(nombres[])-1,0,1,1))+1),$O1514:$O1533),11),"")</f>
        <v/>
      </c>
      <c r="HV1514" s="42" t="str">
        <f t="array" aca="1" ref="HV1514:HV1533" ca="1">IFERROR(INDEX(nombres[],SMALL(IF(OFFSET(nombres[],0,0,ROWS(nombres[]),1)=HV$1490,ROW(OFFSET(nombres[],0,0,ROWS(nombres[]),1))-ROW(OFFSET(nombres[],0,0,1,1))+1,ROW(OFFSET(nombres[],ROWS(nombres[])-1,0,1,1))+1),$O1514:$O1533),11),"")</f>
        <v>REP</v>
      </c>
      <c r="HW1514" s="42" t="str">
        <f t="array" aca="1" ref="HW1514:HW1533" ca="1">IFERROR(INDEX(nombres[],SMALL(IF(OFFSET(nombres[],0,0,ROWS(nombres[]),1)=HW$1490,ROW(OFFSET(nombres[],0,0,ROWS(nombres[]),1))-ROW(OFFSET(nombres[],0,0,1,1))+1,ROW(OFFSET(nombres[],ROWS(nombres[])-1,0,1,1))+1),$O1514:$O1533),11),"")</f>
        <v/>
      </c>
      <c r="HX1514" s="42" t="str">
        <f t="array" aca="1" ref="HX1514:HX1533" ca="1">IFERROR(INDEX(nombres[],SMALL(IF(OFFSET(nombres[],0,0,ROWS(nombres[]),1)=HX$1490,ROW(OFFSET(nombres[],0,0,ROWS(nombres[]),1))-ROW(OFFSET(nombres[],0,0,1,1))+1,ROW(OFFSET(nombres[],ROWS(nombres[])-1,0,1,1))+1),$O1514:$O1533),11),"")</f>
        <v/>
      </c>
      <c r="HY1514" s="42" t="str">
        <f t="array" aca="1" ref="HY1514:HY1533" ca="1">IFERROR(INDEX(nombres[],SMALL(IF(OFFSET(nombres[],0,0,ROWS(nombres[]),1)=HY$1490,ROW(OFFSET(nombres[],0,0,ROWS(nombres[]),1))-ROW(OFFSET(nombres[],0,0,1,1))+1,ROW(OFFSET(nombres[],ROWS(nombres[])-1,0,1,1))+1),$O1514:$O1533),11),"")</f>
        <v>REP</v>
      </c>
      <c r="HZ1514" s="42" t="str">
        <f t="array" aca="1" ref="HZ1514:HZ1533" ca="1">IFERROR(INDEX(nombres[],SMALL(IF(OFFSET(nombres[],0,0,ROWS(nombres[]),1)=HZ$1490,ROW(OFFSET(nombres[],0,0,ROWS(nombres[]),1))-ROW(OFFSET(nombres[],0,0,1,1))+1,ROW(OFFSET(nombres[],ROWS(nombres[])-1,0,1,1))+1),$O1514:$O1533),11),"")</f>
        <v/>
      </c>
      <c r="IA1514" s="42" t="str">
        <f t="array" aca="1" ref="IA1514:IA1533" ca="1">IFERROR(INDEX(nombres[],SMALL(IF(OFFSET(nombres[],0,0,ROWS(nombres[]),1)=IA$1490,ROW(OFFSET(nombres[],0,0,ROWS(nombres[]),1))-ROW(OFFSET(nombres[],0,0,1,1))+1,ROW(OFFSET(nombres[],ROWS(nombres[])-1,0,1,1))+1),$O1514:$O1533),11),"")</f>
        <v>S/F</v>
      </c>
      <c r="IB1514" s="42">
        <f t="array" aca="1" ref="IB1514:IB1533" ca="1">IFERROR(INDEX(nombres[],SMALL(IF(OFFSET(nombres[],0,0,ROWS(nombres[]),1)=IB$1490,ROW(OFFSET(nombres[],0,0,ROWS(nombres[]),1))-ROW(OFFSET(nombres[],0,0,1,1))+1,ROW(OFFSET(nombres[],ROWS(nombres[])-1,0,1,1))+1),$O1514:$O1533),11),"")</f>
        <v>0</v>
      </c>
      <c r="IC1514" s="42">
        <f t="array" aca="1" ref="IC1514:IC1533" ca="1">IFERROR(INDEX(nombres[],SMALL(IF(OFFSET(nombres[],0,0,ROWS(nombres[]),1)=IC$1490,ROW(OFFSET(nombres[],0,0,ROWS(nombres[]),1))-ROW(OFFSET(nombres[],0,0,1,1))+1,ROW(OFFSET(nombres[],ROWS(nombres[])-1,0,1,1))+1),$O1514:$O1533),11),"")</f>
        <v>0</v>
      </c>
      <c r="ID1514" s="42" t="str">
        <f t="array" aca="1" ref="ID1514:ID1533" ca="1">IFERROR(INDEX(nombres[],SMALL(IF(OFFSET(nombres[],0,0,ROWS(nombres[]),1)=ID$1490,ROW(OFFSET(nombres[],0,0,ROWS(nombres[]),1))-ROW(OFFSET(nombres[],0,0,1,1))+1,ROW(OFFSET(nombres[],ROWS(nombres[])-1,0,1,1))+1),$O1514:$O1533),11),"")</f>
        <v>S/F</v>
      </c>
      <c r="IE1514" s="42">
        <f t="array" aca="1" ref="IE1514:IE1533" ca="1">IFERROR(INDEX(nombres[],SMALL(IF(OFFSET(nombres[],0,0,ROWS(nombres[]),1)=IE$1490,ROW(OFFSET(nombres[],0,0,ROWS(nombres[]),1))-ROW(OFFSET(nombres[],0,0,1,1))+1,ROW(OFFSET(nombres[],ROWS(nombres[])-1,0,1,1))+1),$O1514:$O1533),11),"")</f>
        <v>105</v>
      </c>
      <c r="IF1514" s="42" t="str">
        <f t="array" aca="1" ref="IF1514:IF1533" ca="1">IFERROR(INDEX(nombres[],SMALL(IF(OFFSET(nombres[],0,0,ROWS(nombres[]),1)=IF$1490,ROW(OFFSET(nombres[],0,0,ROWS(nombres[]),1))-ROW(OFFSET(nombres[],0,0,1,1))+1,ROW(OFFSET(nombres[],ROWS(nombres[])-1,0,1,1))+1),$O1514:$O1533),11),"")</f>
        <v>REP</v>
      </c>
      <c r="IG1514" s="42" t="str">
        <f t="array" aca="1" ref="IG1514:IG1533" ca="1">IFERROR(INDEX(nombres[],SMALL(IF(OFFSET(nombres[],0,0,ROWS(nombres[]),1)=IG$1490,ROW(OFFSET(nombres[],0,0,ROWS(nombres[]),1))-ROW(OFFSET(nombres[],0,0,1,1))+1,ROW(OFFSET(nombres[],ROWS(nombres[])-1,0,1,1))+1),$O1514:$O1533),11),"")</f>
        <v>S/F</v>
      </c>
      <c r="IH1514" s="42" t="str">
        <f t="array" aca="1" ref="IH1514:IH1533" ca="1">IFERROR(INDEX(nombres[],SMALL(IF(OFFSET(nombres[],0,0,ROWS(nombres[]),1)=IH$1490,ROW(OFFSET(nombres[],0,0,ROWS(nombres[]),1))-ROW(OFFSET(nombres[],0,0,1,1))+1,ROW(OFFSET(nombres[],ROWS(nombres[])-1,0,1,1))+1),$O1514:$O1533),11),"")</f>
        <v/>
      </c>
      <c r="II1514" s="42" t="str">
        <f t="array" aca="1" ref="II1514:II1533" ca="1">IFERROR(INDEX(nombres[],SMALL(IF(OFFSET(nombres[],0,0,ROWS(nombres[]),1)=II$1490,ROW(OFFSET(nombres[],0,0,ROWS(nombres[]),1))-ROW(OFFSET(nombres[],0,0,1,1))+1,ROW(OFFSET(nombres[],ROWS(nombres[])-1,0,1,1))+1),$O1514:$O1533),11),"")</f>
        <v>S/F</v>
      </c>
      <c r="IJ1514" s="42" t="str">
        <f t="array" aca="1" ref="IJ1514:IJ1533" ca="1">IFERROR(INDEX(nombres[],SMALL(IF(OFFSET(nombres[],0,0,ROWS(nombres[]),1)=IJ$1490,ROW(OFFSET(nombres[],0,0,ROWS(nombres[]),1))-ROW(OFFSET(nombres[],0,0,1,1))+1,ROW(OFFSET(nombres[],ROWS(nombres[])-1,0,1,1))+1),$O1514:$O1533),11),"")</f>
        <v>S/F</v>
      </c>
      <c r="IK1514" s="42" t="str">
        <f t="array" aca="1" ref="IK1514:IK1533" ca="1">IFERROR(INDEX(nombres[],SMALL(IF(OFFSET(nombres[],0,0,ROWS(nombres[]),1)=IK$1490,ROW(OFFSET(nombres[],0,0,ROWS(nombres[]),1))-ROW(OFFSET(nombres[],0,0,1,1))+1,ROW(OFFSET(nombres[],ROWS(nombres[])-1,0,1,1))+1),$O1514:$O1533),11),"")</f>
        <v/>
      </c>
      <c r="IL1514" s="42" t="str">
        <f t="array" aca="1" ref="IL1514:IL1533" ca="1">IFERROR(INDEX(nombres[],SMALL(IF(OFFSET(nombres[],0,0,ROWS(nombres[]),1)=IL$1490,ROW(OFFSET(nombres[],0,0,ROWS(nombres[]),1))-ROW(OFFSET(nombres[],0,0,1,1))+1,ROW(OFFSET(nombres[],ROWS(nombres[])-1,0,1,1))+1),$O1514:$O1533),11),"")</f>
        <v>S/F</v>
      </c>
      <c r="IM1514" s="42" t="str">
        <f t="array" aca="1" ref="IM1514:IM1533" ca="1">IFERROR(INDEX(nombres[],SMALL(IF(OFFSET(nombres[],0,0,ROWS(nombres[]),1)=IM$1490,ROW(OFFSET(nombres[],0,0,ROWS(nombres[]),1))-ROW(OFFSET(nombres[],0,0,1,1))+1,ROW(OFFSET(nombres[],ROWS(nombres[])-1,0,1,1))+1),$O1514:$O1533),11),"")</f>
        <v/>
      </c>
      <c r="IN1514" s="42" t="str">
        <f t="array" aca="1" ref="IN1514:IN1533" ca="1">IFERROR(INDEX(nombres[],SMALL(IF(OFFSET(nombres[],0,0,ROWS(nombres[]),1)=IN$1490,ROW(OFFSET(nombres[],0,0,ROWS(nombres[]),1))-ROW(OFFSET(nombres[],0,0,1,1))+1,ROW(OFFSET(nombres[],ROWS(nombres[])-1,0,1,1))+1),$O1514:$O1533),11),"")</f>
        <v>REP</v>
      </c>
      <c r="IO1514" s="42" t="str">
        <f t="array" aca="1" ref="IO1514:IO1533" ca="1">IFERROR(INDEX(nombres[],SMALL(IF(OFFSET(nombres[],0,0,ROWS(nombres[]),1)=IO$1490,ROW(OFFSET(nombres[],0,0,ROWS(nombres[]),1))-ROW(OFFSET(nombres[],0,0,1,1))+1,ROW(OFFSET(nombres[],ROWS(nombres[])-1,0,1,1))+1),$O1514:$O1533),11),"")</f>
        <v/>
      </c>
      <c r="IP1514" s="42" t="str">
        <f t="array" aca="1" ref="IP1514:IP1533" ca="1">IFERROR(INDEX(nombres[],SMALL(IF(OFFSET(nombres[],0,0,ROWS(nombres[]),1)=IP$1490,ROW(OFFSET(nombres[],0,0,ROWS(nombres[]),1))-ROW(OFFSET(nombres[],0,0,1,1))+1,ROW(OFFSET(nombres[],ROWS(nombres[])-1,0,1,1))+1),$O1514:$O1533),11),"")</f>
        <v>REP</v>
      </c>
      <c r="IQ1514" s="42" t="str">
        <f t="array" aca="1" ref="IQ1514:IQ1533" ca="1">IFERROR(INDEX(nombres[],SMALL(IF(OFFSET(nombres[],0,0,ROWS(nombres[]),1)=IQ$1490,ROW(OFFSET(nombres[],0,0,ROWS(nombres[]),1))-ROW(OFFSET(nombres[],0,0,1,1))+1,ROW(OFFSET(nombres[],ROWS(nombres[])-1,0,1,1))+1),$O1514:$O1533),11),"")</f>
        <v>S/F</v>
      </c>
      <c r="IR1514" s="42" t="str">
        <f t="array" aca="1" ref="IR1514:IR1533" ca="1">IFERROR(INDEX(nombres[],SMALL(IF(OFFSET(nombres[],0,0,ROWS(nombres[]),1)=IR$1490,ROW(OFFSET(nombres[],0,0,ROWS(nombres[]),1))-ROW(OFFSET(nombres[],0,0,1,1))+1,ROW(OFFSET(nombres[],ROWS(nombres[])-1,0,1,1))+1),$O1514:$O1533),11),"")</f>
        <v/>
      </c>
      <c r="IS1514" s="42" t="str">
        <f t="array" aca="1" ref="IS1514:IS1533" ca="1">IFERROR(INDEX(nombres[],SMALL(IF(OFFSET(nombres[],0,0,ROWS(nombres[]),1)=IS$1490,ROW(OFFSET(nombres[],0,0,ROWS(nombres[]),1))-ROW(OFFSET(nombres[],0,0,1,1))+1,ROW(OFFSET(nombres[],ROWS(nombres[])-1,0,1,1))+1),$O1514:$O1533),11),"")</f>
        <v>REP</v>
      </c>
      <c r="IT1514" s="42" t="str">
        <f t="array" aca="1" ref="IT1514:IT1533" ca="1">IFERROR(INDEX(nombres[],SMALL(IF(OFFSET(nombres[],0,0,ROWS(nombres[]),1)=IT$1490,ROW(OFFSET(nombres[],0,0,ROWS(nombres[]),1))-ROW(OFFSET(nombres[],0,0,1,1))+1,ROW(OFFSET(nombres[],ROWS(nombres[])-1,0,1,1))+1),$O1514:$O1533),11),"")</f>
        <v>S/F</v>
      </c>
      <c r="IU1514" s="42" t="str">
        <f t="array" aca="1" ref="IU1514:IU1533" ca="1">IFERROR(INDEX(nombres[],SMALL(IF(OFFSET(nombres[],0,0,ROWS(nombres[]),1)=IU$1490,ROW(OFFSET(nombres[],0,0,ROWS(nombres[]),1))-ROW(OFFSET(nombres[],0,0,1,1))+1,ROW(OFFSET(nombres[],ROWS(nombres[])-1,0,1,1))+1),$O1514:$O1533),11),"")</f>
        <v>REP</v>
      </c>
      <c r="IV1514" s="42" t="str">
        <f t="array" aca="1" ref="IV1514:IV1533" ca="1">IFERROR(INDEX(nombres[],SMALL(IF(OFFSET(nombres[],0,0,ROWS(nombres[]),1)=IV$1490,ROW(OFFSET(nombres[],0,0,ROWS(nombres[]),1))-ROW(OFFSET(nombres[],0,0,1,1))+1,ROW(OFFSET(nombres[],ROWS(nombres[])-1,0,1,1))+1),$O1514:$O1533),11),"")</f>
        <v>REP</v>
      </c>
      <c r="IW1514" s="42" t="str">
        <f t="array" aca="1" ref="IW1514:IW1533" ca="1">IFERROR(INDEX(nombres[],SMALL(IF(OFFSET(nombres[],0,0,ROWS(nombres[]),1)=IW$1490,ROW(OFFSET(nombres[],0,0,ROWS(nombres[]),1))-ROW(OFFSET(nombres[],0,0,1,1))+1,ROW(OFFSET(nombres[],ROWS(nombres[])-1,0,1,1))+1),$O1514:$O1533),11),"")</f>
        <v>REP</v>
      </c>
      <c r="IX1514" s="42" t="str">
        <f t="array" aca="1" ref="IX1514:IX1533" ca="1">IFERROR(INDEX(nombres[],SMALL(IF(OFFSET(nombres[],0,0,ROWS(nombres[]),1)=IX$1490,ROW(OFFSET(nombres[],0,0,ROWS(nombres[]),1))-ROW(OFFSET(nombres[],0,0,1,1))+1,ROW(OFFSET(nombres[],ROWS(nombres[])-1,0,1,1))+1),$O1514:$O1533),11),"")</f>
        <v/>
      </c>
      <c r="IY1514" s="42" t="str">
        <f t="array" aca="1" ref="IY1514:IY1533" ca="1">IFERROR(INDEX(nombres[],SMALL(IF(OFFSET(nombres[],0,0,ROWS(nombres[]),1)=IY$1490,ROW(OFFSET(nombres[],0,0,ROWS(nombres[]),1))-ROW(OFFSET(nombres[],0,0,1,1))+1,ROW(OFFSET(nombres[],ROWS(nombres[])-1,0,1,1))+1),$O1514:$O1533),11),"")</f>
        <v/>
      </c>
      <c r="IZ1514" s="42" t="str">
        <f t="array" aca="1" ref="IZ1514:IZ1533" ca="1">IFERROR(INDEX(nombres[],SMALL(IF(OFFSET(nombres[],0,0,ROWS(nombres[]),1)=IZ$1490,ROW(OFFSET(nombres[],0,0,ROWS(nombres[]),1))-ROW(OFFSET(nombres[],0,0,1,1))+1,ROW(OFFSET(nombres[],ROWS(nombres[])-1,0,1,1))+1),$O1514:$O1533),11),"")</f>
        <v>S/F</v>
      </c>
      <c r="JA1514" s="42" t="str">
        <f t="array" aca="1" ref="JA1514:JA1533" ca="1">IFERROR(INDEX(nombres[],SMALL(IF(OFFSET(nombres[],0,0,ROWS(nombres[]),1)=JA$1490,ROW(OFFSET(nombres[],0,0,ROWS(nombres[]),1))-ROW(OFFSET(nombres[],0,0,1,1))+1,ROW(OFFSET(nombres[],ROWS(nombres[])-1,0,1,1))+1),$O1514:$O1533),11),"")</f>
        <v>REP</v>
      </c>
      <c r="JB1514" s="42">
        <f t="array" aca="1" ref="JB1514:JB1533" ca="1">IFERROR(INDEX(nombres[],SMALL(IF(OFFSET(nombres[],0,0,ROWS(nombres[]),1)=JB$1490,ROW(OFFSET(nombres[],0,0,ROWS(nombres[]),1))-ROW(OFFSET(nombres[],0,0,1,1))+1,ROW(OFFSET(nombres[],ROWS(nombres[])-1,0,1,1))+1),$O1514:$O1533),11),"")</f>
        <v>45</v>
      </c>
      <c r="JC1514" s="42" t="str">
        <f t="array" aca="1" ref="JC1514:JC1533" ca="1">IFERROR(INDEX(nombres[],SMALL(IF(OFFSET(nombres[],0,0,ROWS(nombres[]),1)=JC$1490,ROW(OFFSET(nombres[],0,0,ROWS(nombres[]),1))-ROW(OFFSET(nombres[],0,0,1,1))+1,ROW(OFFSET(nombres[],ROWS(nombres[])-1,0,1,1))+1),$O1514:$O1533),11),"")</f>
        <v>REP</v>
      </c>
      <c r="JD1514" s="42" t="str">
        <f t="array" aca="1" ref="JD1514:JD1533" ca="1">IFERROR(INDEX(nombres[],SMALL(IF(OFFSET(nombres[],0,0,ROWS(nombres[]),1)=JD$1490,ROW(OFFSET(nombres[],0,0,ROWS(nombres[]),1))-ROW(OFFSET(nombres[],0,0,1,1))+1,ROW(OFFSET(nombres[],ROWS(nombres[])-1,0,1,1))+1),$O1514:$O1533),11),"")</f>
        <v/>
      </c>
      <c r="JE1514" s="42" t="str">
        <f t="array" aca="1" ref="JE1514:JE1533" ca="1">IFERROR(INDEX(nombres[],SMALL(IF(OFFSET(nombres[],0,0,ROWS(nombres[]),1)=JE$1490,ROW(OFFSET(nombres[],0,0,ROWS(nombres[]),1))-ROW(OFFSET(nombres[],0,0,1,1))+1,ROW(OFFSET(nombres[],ROWS(nombres[])-1,0,1,1))+1),$O1514:$O1533),11),"")</f>
        <v/>
      </c>
      <c r="JF1514" s="42" t="str">
        <f t="array" aca="1" ref="JF1514:JF1533" ca="1">IFERROR(INDEX(nombres[],SMALL(IF(OFFSET(nombres[],0,0,ROWS(nombres[]),1)=JF$1490,ROW(OFFSET(nombres[],0,0,ROWS(nombres[]),1))-ROW(OFFSET(nombres[],0,0,1,1))+1,ROW(OFFSET(nombres[],ROWS(nombres[])-1,0,1,1))+1),$O1514:$O1533),11),"")</f>
        <v>REP</v>
      </c>
      <c r="JG1514" s="42" t="str">
        <f t="array" aca="1" ref="JG1514:JG1533" ca="1">IFERROR(INDEX(nombres[],SMALL(IF(OFFSET(nombres[],0,0,ROWS(nombres[]),1)=JG$1490,ROW(OFFSET(nombres[],0,0,ROWS(nombres[]),1))-ROW(OFFSET(nombres[],0,0,1,1))+1,ROW(OFFSET(nombres[],ROWS(nombres[])-1,0,1,1))+1),$O1514:$O1533),11),"")</f>
        <v>S/F</v>
      </c>
      <c r="JH1514" s="42">
        <f t="array" aca="1" ref="JH1514:JH1533" ca="1">IFERROR(INDEX(nombres[],SMALL(IF(OFFSET(nombres[],0,0,ROWS(nombres[]),1)=JH$1490,ROW(OFFSET(nombres[],0,0,ROWS(nombres[]),1))-ROW(OFFSET(nombres[],0,0,1,1))+1,ROW(OFFSET(nombres[],ROWS(nombres[])-1,0,1,1))+1),$O1514:$O1533),11),"")</f>
        <v>0</v>
      </c>
      <c r="JI1514" s="42" t="str">
        <f t="array" aca="1" ref="JI1514:JI1533" ca="1">IFERROR(INDEX(nombres[],SMALL(IF(OFFSET(nombres[],0,0,ROWS(nombres[]),1)=JI$1490,ROW(OFFSET(nombres[],0,0,ROWS(nombres[]),1))-ROW(OFFSET(nombres[],0,0,1,1))+1,ROW(OFFSET(nombres[],ROWS(nombres[])-1,0,1,1))+1),$O1514:$O1533),11),"")</f>
        <v/>
      </c>
      <c r="JJ1514" s="42" t="str">
        <f t="array" aca="1" ref="JJ1514:JJ1533" ca="1">IFERROR(INDEX(nombres[],SMALL(IF(OFFSET(nombres[],0,0,ROWS(nombres[]),1)=JJ$1490,ROW(OFFSET(nombres[],0,0,ROWS(nombres[]),1))-ROW(OFFSET(nombres[],0,0,1,1))+1,ROW(OFFSET(nombres[],ROWS(nombres[])-1,0,1,1))+1),$O1514:$O1533),11),"")</f>
        <v>REP</v>
      </c>
      <c r="JK1514" s="42" t="str">
        <f t="array" aca="1" ref="JK1514:JK1533" ca="1">IFERROR(INDEX(nombres[],SMALL(IF(OFFSET(nombres[],0,0,ROWS(nombres[]),1)=JK$1490,ROW(OFFSET(nombres[],0,0,ROWS(nombres[]),1))-ROW(OFFSET(nombres[],0,0,1,1))+1,ROW(OFFSET(nombres[],ROWS(nombres[])-1,0,1,1))+1),$O1514:$O1533),11),"")</f>
        <v>REP</v>
      </c>
      <c r="JL1514" s="42" t="str">
        <f t="array" aca="1" ref="JL1514:JL1533" ca="1">IFERROR(INDEX(nombres[],SMALL(IF(OFFSET(nombres[],0,0,ROWS(nombres[]),1)=JL$1490,ROW(OFFSET(nombres[],0,0,ROWS(nombres[]),1))-ROW(OFFSET(nombres[],0,0,1,1))+1,ROW(OFFSET(nombres[],ROWS(nombres[])-1,0,1,1))+1),$O1514:$O1533),11),"")</f>
        <v/>
      </c>
      <c r="JM1514" s="42" t="str">
        <f t="array" aca="1" ref="JM1514:JM1533" ca="1">IFERROR(INDEX(nombres[],SMALL(IF(OFFSET(nombres[],0,0,ROWS(nombres[]),1)=JM$1490,ROW(OFFSET(nombres[],0,0,ROWS(nombres[]),1))-ROW(OFFSET(nombres[],0,0,1,1))+1,ROW(OFFSET(nombres[],ROWS(nombres[])-1,0,1,1))+1),$O1514:$O1533),11),"")</f>
        <v/>
      </c>
      <c r="JN1514" s="42">
        <f t="array" aca="1" ref="JN1514:JN1533" ca="1">IFERROR(INDEX(nombres[],SMALL(IF(OFFSET(nombres[],0,0,ROWS(nombres[]),1)=JN$1490,ROW(OFFSET(nombres[],0,0,ROWS(nombres[]),1))-ROW(OFFSET(nombres[],0,0,1,1))+1,ROW(OFFSET(nombres[],ROWS(nombres[])-1,0,1,1))+1),$O1514:$O1533),11),"")</f>
        <v>65</v>
      </c>
      <c r="JO1514" s="42" t="str">
        <f t="array" aca="1" ref="JO1514:JO1533" ca="1">IFERROR(INDEX(nombres[],SMALL(IF(OFFSET(nombres[],0,0,ROWS(nombres[]),1)=JO$1490,ROW(OFFSET(nombres[],0,0,ROWS(nombres[]),1))-ROW(OFFSET(nombres[],0,0,1,1))+1,ROW(OFFSET(nombres[],ROWS(nombres[])-1,0,1,1))+1),$O1514:$O1533),11),"")</f>
        <v>REP</v>
      </c>
      <c r="JP1514" s="42">
        <f t="array" aca="1" ref="JP1514:JP1533" ca="1">IFERROR(INDEX(nombres[],SMALL(IF(OFFSET(nombres[],0,0,ROWS(nombres[]),1)=JP$1490,ROW(OFFSET(nombres[],0,0,ROWS(nombres[]),1))-ROW(OFFSET(nombres[],0,0,1,1))+1,ROW(OFFSET(nombres[],ROWS(nombres[])-1,0,1,1))+1),$O1514:$O1533),11),"")</f>
        <v>26</v>
      </c>
      <c r="JQ1514" s="42" t="str">
        <f t="array" aca="1" ref="JQ1514:JQ1533" ca="1">IFERROR(INDEX(nombres[],SMALL(IF(OFFSET(nombres[],0,0,ROWS(nombres[]),1)=JQ$1490,ROW(OFFSET(nombres[],0,0,ROWS(nombres[]),1))-ROW(OFFSET(nombres[],0,0,1,1))+1,ROW(OFFSET(nombres[],ROWS(nombres[])-1,0,1,1))+1),$O1514:$O1533),11),"")</f>
        <v>S/F</v>
      </c>
      <c r="JR1514" s="42" t="str">
        <f t="array" aca="1" ref="JR1514:JR1533" ca="1">IFERROR(INDEX(nombres[],SMALL(IF(OFFSET(nombres[],0,0,ROWS(nombres[]),1)=JR$1490,ROW(OFFSET(nombres[],0,0,ROWS(nombres[]),1))-ROW(OFFSET(nombres[],0,0,1,1))+1,ROW(OFFSET(nombres[],ROWS(nombres[])-1,0,1,1))+1),$O1514:$O1533),11),"")</f>
        <v>REP</v>
      </c>
      <c r="JS1514" s="42">
        <f t="array" aca="1" ref="JS1514:JS1533" ca="1">IFERROR(INDEX(nombres[],SMALL(IF(OFFSET(nombres[],0,0,ROWS(nombres[]),1)=JS$1490,ROW(OFFSET(nombres[],0,0,ROWS(nombres[]),1))-ROW(OFFSET(nombres[],0,0,1,1))+1,ROW(OFFSET(nombres[],ROWS(nombres[])-1,0,1,1))+1),$O1514:$O1533),11),"")</f>
        <v>63</v>
      </c>
      <c r="JT1514" s="42" t="str">
        <f t="array" aca="1" ref="JT1514:JT1533" ca="1">IFERROR(INDEX(nombres[],SMALL(IF(OFFSET(nombres[],0,0,ROWS(nombres[]),1)=JT$1490,ROW(OFFSET(nombres[],0,0,ROWS(nombres[]),1))-ROW(OFFSET(nombres[],0,0,1,1))+1,ROW(OFFSET(nombres[],ROWS(nombres[])-1,0,1,1))+1),$O1514:$O1533),11),"")</f>
        <v/>
      </c>
      <c r="JU1514" s="42" t="str">
        <f t="array" aca="1" ref="JU1514:JU1533" ca="1">IFERROR(INDEX(nombres[],SMALL(IF(OFFSET(nombres[],0,0,ROWS(nombres[]),1)=JU$1490,ROW(OFFSET(nombres[],0,0,ROWS(nombres[]),1))-ROW(OFFSET(nombres[],0,0,1,1))+1,ROW(OFFSET(nombres[],ROWS(nombres[])-1,0,1,1))+1),$O1514:$O1533),11),"")</f>
        <v>REP</v>
      </c>
      <c r="JV1514" s="42">
        <f t="array" aca="1" ref="JV1514:JV1533" ca="1">IFERROR(INDEX(nombres[],SMALL(IF(OFFSET(nombres[],0,0,ROWS(nombres[]),1)=JV$1490,ROW(OFFSET(nombres[],0,0,ROWS(nombres[]),1))-ROW(OFFSET(nombres[],0,0,1,1))+1,ROW(OFFSET(nombres[],ROWS(nombres[])-1,0,1,1))+1),$O1514:$O1533),11),"")</f>
        <v>188</v>
      </c>
      <c r="JW1514" s="42" t="str">
        <f t="array" aca="1" ref="JW1514:JW1533" ca="1">IFERROR(INDEX(nombres[],SMALL(IF(OFFSET(nombres[],0,0,ROWS(nombres[]),1)=JW$1490,ROW(OFFSET(nombres[],0,0,ROWS(nombres[]),1))-ROW(OFFSET(nombres[],0,0,1,1))+1,ROW(OFFSET(nombres[],ROWS(nombres[])-1,0,1,1))+1),$O1514:$O1533),11),"")</f>
        <v>REP</v>
      </c>
      <c r="JX1514" s="42" t="str">
        <f t="array" aca="1" ref="JX1514:JX1533" ca="1">IFERROR(INDEX(nombres[],SMALL(IF(OFFSET(nombres[],0,0,ROWS(nombres[]),1)=JX$1490,ROW(OFFSET(nombres[],0,0,ROWS(nombres[]),1))-ROW(OFFSET(nombres[],0,0,1,1))+1,ROW(OFFSET(nombres[],ROWS(nombres[])-1,0,1,1))+1),$O1514:$O1533),11),"")</f>
        <v/>
      </c>
      <c r="JY1514" s="42" t="str">
        <f t="array" aca="1" ref="JY1514:JY1533" ca="1">IFERROR(INDEX(nombres[],SMALL(IF(OFFSET(nombres[],0,0,ROWS(nombres[]),1)=JY$1490,ROW(OFFSET(nombres[],0,0,ROWS(nombres[]),1))-ROW(OFFSET(nombres[],0,0,1,1))+1,ROW(OFFSET(nombres[],ROWS(nombres[])-1,0,1,1))+1),$O1514:$O1533),11),"")</f>
        <v>S/F</v>
      </c>
      <c r="JZ1514" s="42">
        <f t="array" aca="1" ref="JZ1514:JZ1533" ca="1">IFERROR(INDEX(nombres[],SMALL(IF(OFFSET(nombres[],0,0,ROWS(nombres[]),1)=JZ$1490,ROW(OFFSET(nombres[],0,0,ROWS(nombres[]),1))-ROW(OFFSET(nombres[],0,0,1,1))+1,ROW(OFFSET(nombres[],ROWS(nombres[])-1,0,1,1))+1),$O1514:$O1533),11),"")</f>
        <v>30</v>
      </c>
      <c r="KA1514" s="42" t="str">
        <f t="array" aca="1" ref="KA1514:KA1533" ca="1">IFERROR(INDEX(nombres[],SMALL(IF(OFFSET(nombres[],0,0,ROWS(nombres[]),1)=KA$1490,ROW(OFFSET(nombres[],0,0,ROWS(nombres[]),1))-ROW(OFFSET(nombres[],0,0,1,1))+1,ROW(OFFSET(nombres[],ROWS(nombres[])-1,0,1,1))+1),$O1514:$O1533),11),"")</f>
        <v>REP</v>
      </c>
      <c r="KB1514" s="42">
        <f t="array" aca="1" ref="KB1514:KB1533" ca="1">IFERROR(INDEX(nombres[],SMALL(IF(OFFSET(nombres[],0,0,ROWS(nombres[]),1)=KB$1490,ROW(OFFSET(nombres[],0,0,ROWS(nombres[]),1))-ROW(OFFSET(nombres[],0,0,1,1))+1,ROW(OFFSET(nombres[],ROWS(nombres[])-1,0,1,1))+1),$O1514:$O1533),11),"")</f>
        <v>0</v>
      </c>
      <c r="KC1514" s="42" t="str">
        <f t="array" aca="1" ref="KC1514:KC1533" ca="1">IFERROR(INDEX(nombres[],SMALL(IF(OFFSET(nombres[],0,0,ROWS(nombres[]),1)=KC$1490,ROW(OFFSET(nombres[],0,0,ROWS(nombres[]),1))-ROW(OFFSET(nombres[],0,0,1,1))+1,ROW(OFFSET(nombres[],ROWS(nombres[])-1,0,1,1))+1),$O1514:$O1533),11),"")</f>
        <v>S/F</v>
      </c>
      <c r="KD1514" s="42" t="str">
        <f t="array" aca="1" ref="KD1514:KD1533" ca="1">IFERROR(INDEX(nombres[],SMALL(IF(OFFSET(nombres[],0,0,ROWS(nombres[]),1)=KD$1490,ROW(OFFSET(nombres[],0,0,ROWS(nombres[]),1))-ROW(OFFSET(nombres[],0,0,1,1))+1,ROW(OFFSET(nombres[],ROWS(nombres[])-1,0,1,1))+1),$O1514:$O1533),11),"")</f>
        <v/>
      </c>
      <c r="KE1514" s="42">
        <f t="array" aca="1" ref="KE1514:KE1533" ca="1">IFERROR(INDEX(nombres[],SMALL(IF(OFFSET(nombres[],0,0,ROWS(nombres[]),1)=KE$1490,ROW(OFFSET(nombres[],0,0,ROWS(nombres[]),1))-ROW(OFFSET(nombres[],0,0,1,1))+1,ROW(OFFSET(nombres[],ROWS(nombres[])-1,0,1,1))+1),$O1514:$O1533),11),"")</f>
        <v>0</v>
      </c>
      <c r="KF1514" s="42">
        <f t="array" aca="1" ref="KF1514:KF1533" ca="1">IFERROR(INDEX(nombres[],SMALL(IF(OFFSET(nombres[],0,0,ROWS(nombres[]),1)=KF$1490,ROW(OFFSET(nombres[],0,0,ROWS(nombres[]),1))-ROW(OFFSET(nombres[],0,0,1,1))+1,ROW(OFFSET(nombres[],ROWS(nombres[])-1,0,1,1))+1),$O1514:$O1533),11),"")</f>
        <v>92</v>
      </c>
      <c r="KG1514" s="42" t="str">
        <f t="array" aca="1" ref="KG1514:KG1533" ca="1">IFERROR(INDEX(nombres[],SMALL(IF(OFFSET(nombres[],0,0,ROWS(nombres[]),1)=KG$1490,ROW(OFFSET(nombres[],0,0,ROWS(nombres[]),1))-ROW(OFFSET(nombres[],0,0,1,1))+1,ROW(OFFSET(nombres[],ROWS(nombres[])-1,0,1,1))+1),$O1514:$O1533),11),"")</f>
        <v>S/F</v>
      </c>
      <c r="KH1514" s="42" t="str">
        <f t="array" aca="1" ref="KH1514:KH1533" ca="1">IFERROR(INDEX(nombres[],SMALL(IF(OFFSET(nombres[],0,0,ROWS(nombres[]),1)=KH$1490,ROW(OFFSET(nombres[],0,0,ROWS(nombres[]),1))-ROW(OFFSET(nombres[],0,0,1,1))+1,ROW(OFFSET(nombres[],ROWS(nombres[])-1,0,1,1))+1),$O1514:$O1533),11),"")</f>
        <v>S/F</v>
      </c>
      <c r="KI1514" s="42" t="str">
        <f t="array" aca="1" ref="KI1514:KI1533" ca="1">IFERROR(INDEX(nombres[],SMALL(IF(OFFSET(nombres[],0,0,ROWS(nombres[]),1)=KI$1490,ROW(OFFSET(nombres[],0,0,ROWS(nombres[]),1))-ROW(OFFSET(nombres[],0,0,1,1))+1,ROW(OFFSET(nombres[],ROWS(nombres[])-1,0,1,1))+1),$O1514:$O1533),11),"")</f>
        <v>S/F</v>
      </c>
      <c r="KJ1514" s="42" t="str">
        <f t="array" aca="1" ref="KJ1514:KJ1533" ca="1">IFERROR(INDEX(nombres[],SMALL(IF(OFFSET(nombres[],0,0,ROWS(nombres[]),1)=KJ$1490,ROW(OFFSET(nombres[],0,0,ROWS(nombres[]),1))-ROW(OFFSET(nombres[],0,0,1,1))+1,ROW(OFFSET(nombres[],ROWS(nombres[])-1,0,1,1))+1),$O1514:$O1533),11),"")</f>
        <v>S/F</v>
      </c>
      <c r="KK1514" s="42" t="str">
        <f t="array" aca="1" ref="KK1514:KK1533" ca="1">IFERROR(INDEX(nombres[],SMALL(IF(OFFSET(nombres[],0,0,ROWS(nombres[]),1)=KK$1490,ROW(OFFSET(nombres[],0,0,ROWS(nombres[]),1))-ROW(OFFSET(nombres[],0,0,1,1))+1,ROW(OFFSET(nombres[],ROWS(nombres[])-1,0,1,1))+1),$O1514:$O1533),11),"")</f>
        <v>S/F</v>
      </c>
      <c r="KL1514" s="42" t="str">
        <f t="array" aca="1" ref="KL1514:KL1533" ca="1">IFERROR(INDEX(nombres[],SMALL(IF(OFFSET(nombres[],0,0,ROWS(nombres[]),1)=KL$1490,ROW(OFFSET(nombres[],0,0,ROWS(nombres[]),1))-ROW(OFFSET(nombres[],0,0,1,1))+1,ROW(OFFSET(nombres[],ROWS(nombres[])-1,0,1,1))+1),$O1514:$O1533),11),"")</f>
        <v/>
      </c>
      <c r="KM1514" s="42" t="str">
        <f t="array" aca="1" ref="KM1514:KM1533" ca="1">IFERROR(INDEX(nombres[],SMALL(IF(OFFSET(nombres[],0,0,ROWS(nombres[]),1)=KM$1490,ROW(OFFSET(nombres[],0,0,ROWS(nombres[]),1))-ROW(OFFSET(nombres[],0,0,1,1))+1,ROW(OFFSET(nombres[],ROWS(nombres[])-1,0,1,1))+1),$O1514:$O1533),11),"")</f>
        <v/>
      </c>
      <c r="KN1514" s="42">
        <f t="array" aca="1" ref="KN1514:KN1533" ca="1">IFERROR(INDEX(nombres[],SMALL(IF(OFFSET(nombres[],0,0,ROWS(nombres[]),1)=KN$1490,ROW(OFFSET(nombres[],0,0,ROWS(nombres[]),1))-ROW(OFFSET(nombres[],0,0,1,1))+1,ROW(OFFSET(nombres[],ROWS(nombres[])-1,0,1,1))+1),$O1514:$O1533),11),"")</f>
        <v>104</v>
      </c>
      <c r="KO1514" s="42" t="str">
        <f t="array" aca="1" ref="KO1514:KO1533" ca="1">IFERROR(INDEX(nombres[],SMALL(IF(OFFSET(nombres[],0,0,ROWS(nombres[]),1)=KO$1490,ROW(OFFSET(nombres[],0,0,ROWS(nombres[]),1))-ROW(OFFSET(nombres[],0,0,1,1))+1,ROW(OFFSET(nombres[],ROWS(nombres[])-1,0,1,1))+1),$O1514:$O1533),11),"")</f>
        <v>S/F</v>
      </c>
      <c r="KP1514" s="42" t="str">
        <f t="array" aca="1" ref="KP1514:KP1533" ca="1">IFERROR(INDEX(nombres[],SMALL(IF(OFFSET(nombres[],0,0,ROWS(nombres[]),1)=KP$1490,ROW(OFFSET(nombres[],0,0,ROWS(nombres[]),1))-ROW(OFFSET(nombres[],0,0,1,1))+1,ROW(OFFSET(nombres[],ROWS(nombres[])-1,0,1,1))+1),$O1514:$O1533),11),"")</f>
        <v>S/F</v>
      </c>
      <c r="KQ1514" s="42" t="str">
        <f t="array" aca="1" ref="KQ1514:KQ1533" ca="1">IFERROR(INDEX(nombres[],SMALL(IF(OFFSET(nombres[],0,0,ROWS(nombres[]),1)=KQ$1490,ROW(OFFSET(nombres[],0,0,ROWS(nombres[]),1))-ROW(OFFSET(nombres[],0,0,1,1))+1,ROW(OFFSET(nombres[],ROWS(nombres[])-1,0,1,1))+1),$O1514:$O1533),11),"")</f>
        <v>REP</v>
      </c>
      <c r="KR1514" s="42">
        <f t="array" aca="1" ref="KR1514:KR1533" ca="1">IFERROR(INDEX(nombres[],SMALL(IF(OFFSET(nombres[],0,0,ROWS(nombres[]),1)=KR$1490,ROW(OFFSET(nombres[],0,0,ROWS(nombres[]),1))-ROW(OFFSET(nombres[],0,0,1,1))+1,ROW(OFFSET(nombres[],ROWS(nombres[])-1,0,1,1))+1),$O1514:$O1533),11),"")</f>
        <v>0</v>
      </c>
      <c r="KS1514" s="42" t="str">
        <f t="array" aca="1" ref="KS1514:KS1533" ca="1">IFERROR(INDEX(nombres[],SMALL(IF(OFFSET(nombres[],0,0,ROWS(nombres[]),1)=KS$1490,ROW(OFFSET(nombres[],0,0,ROWS(nombres[]),1))-ROW(OFFSET(nombres[],0,0,1,1))+1,ROW(OFFSET(nombres[],ROWS(nombres[])-1,0,1,1))+1),$O1514:$O1533),11),"")</f>
        <v/>
      </c>
      <c r="KT1514" s="42">
        <f t="array" aca="1" ref="KT1514:KT1533" ca="1">IFERROR(INDEX(nombres[],SMALL(IF(OFFSET(nombres[],0,0,ROWS(nombres[]),1)=KT$1490,ROW(OFFSET(nombres[],0,0,ROWS(nombres[]),1))-ROW(OFFSET(nombres[],0,0,1,1))+1,ROW(OFFSET(nombres[],ROWS(nombres[])-1,0,1,1))+1),$O1514:$O1533),11),"")</f>
        <v>75</v>
      </c>
      <c r="KU1514" s="42">
        <f t="array" aca="1" ref="KU1514:KU1533" ca="1">IFERROR(INDEX(nombres[],SMALL(IF(OFFSET(nombres[],0,0,ROWS(nombres[]),1)=KU$1490,ROW(OFFSET(nombres[],0,0,ROWS(nombres[]),1))-ROW(OFFSET(nombres[],0,0,1,1))+1,ROW(OFFSET(nombres[],ROWS(nombres[])-1,0,1,1))+1),$O1514:$O1533),11),"")</f>
        <v>43</v>
      </c>
      <c r="KV1514" s="42">
        <f t="array" aca="1" ref="KV1514:KV1533" ca="1">IFERROR(INDEX(nombres[],SMALL(IF(OFFSET(nombres[],0,0,ROWS(nombres[]),1)=KV$1490,ROW(OFFSET(nombres[],0,0,ROWS(nombres[]),1))-ROW(OFFSET(nombres[],0,0,1,1))+1,ROW(OFFSET(nombres[],ROWS(nombres[])-1,0,1,1))+1),$O1514:$O1533),11),"")</f>
        <v>114</v>
      </c>
      <c r="KW1514" s="42">
        <f t="array" aca="1" ref="KW1514:KW1533" ca="1">IFERROR(INDEX(nombres[],SMALL(IF(OFFSET(nombres[],0,0,ROWS(nombres[]),1)=KW$1490,ROW(OFFSET(nombres[],0,0,ROWS(nombres[]),1))-ROW(OFFSET(nombres[],0,0,1,1))+1,ROW(OFFSET(nombres[],ROWS(nombres[])-1,0,1,1))+1),$O1514:$O1533),11),"")</f>
        <v>108</v>
      </c>
      <c r="KX1514" s="42">
        <f t="array" aca="1" ref="KX1514:KX1533" ca="1">IFERROR(INDEX(nombres[],SMALL(IF(OFFSET(nombres[],0,0,ROWS(nombres[]),1)=KX$1490,ROW(OFFSET(nombres[],0,0,ROWS(nombres[]),1))-ROW(OFFSET(nombres[],0,0,1,1))+1,ROW(OFFSET(nombres[],ROWS(nombres[])-1,0,1,1))+1),$O1514:$O1533),11),"")</f>
        <v>115</v>
      </c>
      <c r="KY1514" s="42">
        <f t="array" aca="1" ref="KY1514:KY1533" ca="1">IFERROR(INDEX(nombres[],SMALL(IF(OFFSET(nombres[],0,0,ROWS(nombres[]),1)=KY$1490,ROW(OFFSET(nombres[],0,0,ROWS(nombres[]),1))-ROW(OFFSET(nombres[],0,0,1,1))+1,ROW(OFFSET(nombres[],ROWS(nombres[])-1,0,1,1))+1),$O1514:$O1533),11),"")</f>
        <v>0</v>
      </c>
      <c r="KZ1514" s="42" t="str">
        <f t="array" aca="1" ref="KZ1514:KZ1533" ca="1">IFERROR(INDEX(nombres[],SMALL(IF(OFFSET(nombres[],0,0,ROWS(nombres[]),1)=KZ$1490,ROW(OFFSET(nombres[],0,0,ROWS(nombres[]),1))-ROW(OFFSET(nombres[],0,0,1,1))+1,ROW(OFFSET(nombres[],ROWS(nombres[])-1,0,1,1))+1),$O1514:$O1533),11),"")</f>
        <v>S/F</v>
      </c>
      <c r="LA1514" s="42" t="str">
        <f t="array" aca="1" ref="LA1514:LA1533" ca="1">IFERROR(INDEX(nombres[],SMALL(IF(OFFSET(nombres[],0,0,ROWS(nombres[]),1)=LA$1490,ROW(OFFSET(nombres[],0,0,ROWS(nombres[]),1))-ROW(OFFSET(nombres[],0,0,1,1))+1,ROW(OFFSET(nombres[],ROWS(nombres[])-1,0,1,1))+1),$O1514:$O1533),11),"")</f>
        <v/>
      </c>
      <c r="LB1514" s="42" t="str">
        <f t="array" aca="1" ref="LB1514:LB1533" ca="1">IFERROR(INDEX(nombres[],SMALL(IF(OFFSET(nombres[],0,0,ROWS(nombres[]),1)=LB$1490,ROW(OFFSET(nombres[],0,0,ROWS(nombres[]),1))-ROW(OFFSET(nombres[],0,0,1,1))+1,ROW(OFFSET(nombres[],ROWS(nombres[])-1,0,1,1))+1),$O1514:$O1533),11),"")</f>
        <v>S/F</v>
      </c>
      <c r="LC1514" s="42" t="str">
        <f t="array" aca="1" ref="LC1514:LC1533" ca="1">IFERROR(INDEX(nombres[],SMALL(IF(OFFSET(nombres[],0,0,ROWS(nombres[]),1)=LC$1490,ROW(OFFSET(nombres[],0,0,ROWS(nombres[]),1))-ROW(OFFSET(nombres[],0,0,1,1))+1,ROW(OFFSET(nombres[],ROWS(nombres[])-1,0,1,1))+1),$O1514:$O1533),11),"")</f>
        <v/>
      </c>
      <c r="LD1514" s="42" t="str">
        <f t="array" aca="1" ref="LD1514:LD1533" ca="1">IFERROR(INDEX(nombres[],SMALL(IF(OFFSET(nombres[],0,0,ROWS(nombres[]),1)=LD$1490,ROW(OFFSET(nombres[],0,0,ROWS(nombres[]),1))-ROW(OFFSET(nombres[],0,0,1,1))+1,ROW(OFFSET(nombres[],ROWS(nombres[])-1,0,1,1))+1),$O1514:$O1533),11),"")</f>
        <v/>
      </c>
      <c r="LE1514" s="42" t="str">
        <f t="array" aca="1" ref="LE1514:LE1533" ca="1">IFERROR(INDEX(nombres[],SMALL(IF(OFFSET(nombres[],0,0,ROWS(nombres[]),1)=LE$1490,ROW(OFFSET(nombres[],0,0,ROWS(nombres[]),1))-ROW(OFFSET(nombres[],0,0,1,1))+1,ROW(OFFSET(nombres[],ROWS(nombres[])-1,0,1,1))+1),$O1514:$O1533),11),"")</f>
        <v>S/F</v>
      </c>
      <c r="LF1514" s="42" t="str">
        <f t="array" aca="1" ref="LF1514:LF1533" ca="1">IFERROR(INDEX(nombres[],SMALL(IF(OFFSET(nombres[],0,0,ROWS(nombres[]),1)=LF$1490,ROW(OFFSET(nombres[],0,0,ROWS(nombres[]),1))-ROW(OFFSET(nombres[],0,0,1,1))+1,ROW(OFFSET(nombres[],ROWS(nombres[])-1,0,1,1))+1),$O1514:$O1533),11),"")</f>
        <v>REP</v>
      </c>
      <c r="LG1514" s="42" t="str">
        <f t="array" aca="1" ref="LG1514:LG1533" ca="1">IFERROR(INDEX(nombres[],SMALL(IF(OFFSET(nombres[],0,0,ROWS(nombres[]),1)=LG$1490,ROW(OFFSET(nombres[],0,0,ROWS(nombres[]),1))-ROW(OFFSET(nombres[],0,0,1,1))+1,ROW(OFFSET(nombres[],ROWS(nombres[])-1,0,1,1))+1),$O1514:$O1533),11),"")</f>
        <v>S/F</v>
      </c>
      <c r="LH1514" s="42">
        <f t="array" aca="1" ref="LH1514:LH1533" ca="1">IFERROR(INDEX(nombres[],SMALL(IF(OFFSET(nombres[],0,0,ROWS(nombres[]),1)=LH$1490,ROW(OFFSET(nombres[],0,0,ROWS(nombres[]),1))-ROW(OFFSET(nombres[],0,0,1,1))+1,ROW(OFFSET(nombres[],ROWS(nombres[])-1,0,1,1))+1),$O1514:$O1533),11),"")</f>
        <v>0</v>
      </c>
      <c r="LI1514" s="42">
        <f t="array" aca="1" ref="LI1514:LI1533" ca="1">IFERROR(INDEX(nombres[],SMALL(IF(OFFSET(nombres[],0,0,ROWS(nombres[]),1)=LI$1490,ROW(OFFSET(nombres[],0,0,ROWS(nombres[]),1))-ROW(OFFSET(nombres[],0,0,1,1))+1,ROW(OFFSET(nombres[],ROWS(nombres[])-1,0,1,1))+1),$O1514:$O1533),11),"")</f>
        <v>0</v>
      </c>
      <c r="LJ1514" s="42" t="str">
        <f t="array" aca="1" ref="LJ1514:LJ1533" ca="1">IFERROR(INDEX(nombres[],SMALL(IF(OFFSET(nombres[],0,0,ROWS(nombres[]),1)=LJ$1490,ROW(OFFSET(nombres[],0,0,ROWS(nombres[]),1))-ROW(OFFSET(nombres[],0,0,1,1))+1,ROW(OFFSET(nombres[],ROWS(nombres[])-1,0,1,1))+1),$O1514:$O1533),11),"")</f>
        <v>REP</v>
      </c>
      <c r="LK1514" s="42">
        <f t="array" aca="1" ref="LK1514:LK1533" ca="1">IFERROR(INDEX(nombres[],SMALL(IF(OFFSET(nombres[],0,0,ROWS(nombres[]),1)=LK$1490,ROW(OFFSET(nombres[],0,0,ROWS(nombres[]),1))-ROW(OFFSET(nombres[],0,0,1,1))+1,ROW(OFFSET(nombres[],ROWS(nombres[])-1,0,1,1))+1),$O1514:$O1533),11),"")</f>
        <v>0</v>
      </c>
      <c r="LL1514" s="42" t="str">
        <f t="array" aca="1" ref="LL1514:LL1533" ca="1">IFERROR(INDEX(nombres[],SMALL(IF(OFFSET(nombres[],0,0,ROWS(nombres[]),1)=LL$1490,ROW(OFFSET(nombres[],0,0,ROWS(nombres[]),1))-ROW(OFFSET(nombres[],0,0,1,1))+1,ROW(OFFSET(nombres[],ROWS(nombres[])-1,0,1,1))+1),$O1514:$O1533),11),"")</f>
        <v/>
      </c>
      <c r="LM1514" s="42">
        <f t="array" aca="1" ref="LM1514:LM1533" ca="1">IFERROR(INDEX(nombres[],SMALL(IF(OFFSET(nombres[],0,0,ROWS(nombres[]),1)=LM$1490,ROW(OFFSET(nombres[],0,0,ROWS(nombres[]),1))-ROW(OFFSET(nombres[],0,0,1,1))+1,ROW(OFFSET(nombres[],ROWS(nombres[])-1,0,1,1))+1),$O1514:$O1533),11),"")</f>
        <v>0</v>
      </c>
      <c r="LN1514" s="42">
        <f t="array" aca="1" ref="LN1514:LN1533" ca="1">IFERROR(INDEX(nombres[],SMALL(IF(OFFSET(nombres[],0,0,ROWS(nombres[]),1)=LN$1490,ROW(OFFSET(nombres[],0,0,ROWS(nombres[]),1))-ROW(OFFSET(nombres[],0,0,1,1))+1,ROW(OFFSET(nombres[],ROWS(nombres[])-1,0,1,1))+1),$O1514:$O1533),11),"")</f>
        <v>21</v>
      </c>
      <c r="LO1514" s="42">
        <f t="array" aca="1" ref="LO1514:LO1533" ca="1">IFERROR(INDEX(nombres[],SMALL(IF(OFFSET(nombres[],0,0,ROWS(nombres[]),1)=LO$1490,ROW(OFFSET(nombres[],0,0,ROWS(nombres[]),1))-ROW(OFFSET(nombres[],0,0,1,1))+1,ROW(OFFSET(nombres[],ROWS(nombres[])-1,0,1,1))+1),$O1514:$O1533),11),"")</f>
        <v>95</v>
      </c>
      <c r="LP1514" s="42" t="str">
        <f t="array" aca="1" ref="LP1514:LP1533" ca="1">IFERROR(INDEX(nombres[],SMALL(IF(OFFSET(nombres[],0,0,ROWS(nombres[]),1)=LP$1490,ROW(OFFSET(nombres[],0,0,ROWS(nombres[]),1))-ROW(OFFSET(nombres[],0,0,1,1))+1,ROW(OFFSET(nombres[],ROWS(nombres[])-1,0,1,1))+1),$O1514:$O1533),11),"")</f>
        <v>REP</v>
      </c>
      <c r="LQ1514" s="42">
        <f t="array" aca="1" ref="LQ1514:LQ1533" ca="1">IFERROR(INDEX(nombres[],SMALL(IF(OFFSET(nombres[],0,0,ROWS(nombres[]),1)=LQ$1490,ROW(OFFSET(nombres[],0,0,ROWS(nombres[]),1))-ROW(OFFSET(nombres[],0,0,1,1))+1,ROW(OFFSET(nombres[],ROWS(nombres[])-1,0,1,1))+1),$O1514:$O1533),11),"")</f>
        <v>101</v>
      </c>
      <c r="LR1514" s="42" t="str">
        <f t="array" aca="1" ref="LR1514:LR1533" ca="1">IFERROR(INDEX(nombres[],SMALL(IF(OFFSET(nombres[],0,0,ROWS(nombres[]),1)=LR$1490,ROW(OFFSET(nombres[],0,0,ROWS(nombres[]),1))-ROW(OFFSET(nombres[],0,0,1,1))+1,ROW(OFFSET(nombres[],ROWS(nombres[])-1,0,1,1))+1),$O1514:$O1533),11),"")</f>
        <v>REP</v>
      </c>
      <c r="LS1514" s="42">
        <f t="array" aca="1" ref="LS1514:LS1533" ca="1">IFERROR(INDEX(nombres[],SMALL(IF(OFFSET(nombres[],0,0,ROWS(nombres[]),1)=LS$1490,ROW(OFFSET(nombres[],0,0,ROWS(nombres[]),1))-ROW(OFFSET(nombres[],0,0,1,1))+1,ROW(OFFSET(nombres[],ROWS(nombres[])-1,0,1,1))+1),$O1514:$O1533),11),"")</f>
        <v>0</v>
      </c>
      <c r="LT1514" s="42" t="str">
        <f t="array" aca="1" ref="LT1514:LT1533" ca="1">IFERROR(INDEX(nombres[],SMALL(IF(OFFSET(nombres[],0,0,ROWS(nombres[]),1)=LT$1490,ROW(OFFSET(nombres[],0,0,ROWS(nombres[]),1))-ROW(OFFSET(nombres[],0,0,1,1))+1,ROW(OFFSET(nombres[],ROWS(nombres[])-1,0,1,1))+1),$O1514:$O1533),11),"")</f>
        <v>REP</v>
      </c>
      <c r="LU1514" s="42" t="str">
        <f t="array" aca="1" ref="LU1514:LU1533" ca="1">IFERROR(INDEX(nombres[],SMALL(IF(OFFSET(nombres[],0,0,ROWS(nombres[]),1)=LU$1490,ROW(OFFSET(nombres[],0,0,ROWS(nombres[]),1))-ROW(OFFSET(nombres[],0,0,1,1))+1,ROW(OFFSET(nombres[],ROWS(nombres[])-1,0,1,1))+1),$O1514:$O1533),11),"")</f>
        <v>S/F</v>
      </c>
      <c r="LV1514" s="42" t="str">
        <f t="array" aca="1" ref="LV1514:LV1533" ca="1">IFERROR(INDEX(nombres[],SMALL(IF(OFFSET(nombres[],0,0,ROWS(nombres[]),1)=LV$1490,ROW(OFFSET(nombres[],0,0,ROWS(nombres[]),1))-ROW(OFFSET(nombres[],0,0,1,1))+1,ROW(OFFSET(nombres[],ROWS(nombres[])-1,0,1,1))+1),$O1514:$O1533),11),"")</f>
        <v/>
      </c>
      <c r="LW1514" s="42" t="str">
        <f t="array" aca="1" ref="LW1514:LW1533" ca="1">IFERROR(INDEX(nombres[],SMALL(IF(OFFSET(nombres[],0,0,ROWS(nombres[]),1)=LW$1490,ROW(OFFSET(nombres[],0,0,ROWS(nombres[]),1))-ROW(OFFSET(nombres[],0,0,1,1))+1,ROW(OFFSET(nombres[],ROWS(nombres[])-1,0,1,1))+1),$O1514:$O1533),11),"")</f>
        <v>REP</v>
      </c>
      <c r="LX1514" s="42" t="str">
        <f t="array" aca="1" ref="LX1514:LX1533" ca="1">IFERROR(INDEX(nombres[],SMALL(IF(OFFSET(nombres[],0,0,ROWS(nombres[]),1)=LX$1490,ROW(OFFSET(nombres[],0,0,ROWS(nombres[]),1))-ROW(OFFSET(nombres[],0,0,1,1))+1,ROW(OFFSET(nombres[],ROWS(nombres[])-1,0,1,1))+1),$O1514:$O1533),11),"")</f>
        <v>S/F</v>
      </c>
      <c r="LY1514" s="42" t="str">
        <f t="array" aca="1" ref="LY1514:LY1533" ca="1">IFERROR(INDEX(nombres[],SMALL(IF(OFFSET(nombres[],0,0,ROWS(nombres[]),1)=LY$1490,ROW(OFFSET(nombres[],0,0,ROWS(nombres[]),1))-ROW(OFFSET(nombres[],0,0,1,1))+1,ROW(OFFSET(nombres[],ROWS(nombres[])-1,0,1,1))+1),$O1514:$O1533),11),"")</f>
        <v/>
      </c>
      <c r="LZ1514" s="42" t="str">
        <f t="array" aca="1" ref="LZ1514:LZ1533" ca="1">IFERROR(INDEX(nombres[],SMALL(IF(OFFSET(nombres[],0,0,ROWS(nombres[]),1)=LZ$1490,ROW(OFFSET(nombres[],0,0,ROWS(nombres[]),1))-ROW(OFFSET(nombres[],0,0,1,1))+1,ROW(OFFSET(nombres[],ROWS(nombres[])-1,0,1,1))+1),$O1514:$O1533),11),"")</f>
        <v>S/F</v>
      </c>
      <c r="MA1514" s="42" t="str">
        <f t="array" aca="1" ref="MA1514:MA1533" ca="1">IFERROR(INDEX(nombres[],SMALL(IF(OFFSET(nombres[],0,0,ROWS(nombres[]),1)=MA$1490,ROW(OFFSET(nombres[],0,0,ROWS(nombres[]),1))-ROW(OFFSET(nombres[],0,0,1,1))+1,ROW(OFFSET(nombres[],ROWS(nombres[])-1,0,1,1))+1),$O1514:$O1533),11),"")</f>
        <v/>
      </c>
      <c r="MB1514" s="42" t="str">
        <f t="array" aca="1" ref="MB1514:MB1533" ca="1">IFERROR(INDEX(nombres[],SMALL(IF(OFFSET(nombres[],0,0,ROWS(nombres[]),1)=MB$1490,ROW(OFFSET(nombres[],0,0,ROWS(nombres[]),1))-ROW(OFFSET(nombres[],0,0,1,1))+1,ROW(OFFSET(nombres[],ROWS(nombres[])-1,0,1,1))+1),$O1514:$O1533),11),"")</f>
        <v/>
      </c>
      <c r="MC1514" s="42" t="str">
        <f t="array" aca="1" ref="MC1514:MC1533" ca="1">IFERROR(INDEX(nombres[],SMALL(IF(OFFSET(nombres[],0,0,ROWS(nombres[]),1)=MC$1490,ROW(OFFSET(nombres[],0,0,ROWS(nombres[]),1))-ROW(OFFSET(nombres[],0,0,1,1))+1,ROW(OFFSET(nombres[],ROWS(nombres[])-1,0,1,1))+1),$O1514:$O1533),11),"")</f>
        <v/>
      </c>
      <c r="MD1514" s="42" t="str">
        <f t="array" aca="1" ref="MD1514:MD1533" ca="1">IFERROR(INDEX(nombres[],SMALL(IF(OFFSET(nombres[],0,0,ROWS(nombres[]),1)=MD$1490,ROW(OFFSET(nombres[],0,0,ROWS(nombres[]),1))-ROW(OFFSET(nombres[],0,0,1,1))+1,ROW(OFFSET(nombres[],ROWS(nombres[])-1,0,1,1))+1),$O1514:$O1533),11),"")</f>
        <v/>
      </c>
      <c r="ME1514" s="42" t="str">
        <f t="array" aca="1" ref="ME1514:ME1533" ca="1">IFERROR(INDEX(nombres[],SMALL(IF(OFFSET(nombres[],0,0,ROWS(nombres[]),1)=ME$1490,ROW(OFFSET(nombres[],0,0,ROWS(nombres[]),1))-ROW(OFFSET(nombres[],0,0,1,1))+1,ROW(OFFSET(nombres[],ROWS(nombres[])-1,0,1,1))+1),$O1514:$O1533),11),"")</f>
        <v/>
      </c>
      <c r="MF1514" s="42" t="str">
        <f t="array" aca="1" ref="MF1514:MF1533" ca="1">IFERROR(INDEX(nombres[],SMALL(IF(OFFSET(nombres[],0,0,ROWS(nombres[]),1)=MF$1490,ROW(OFFSET(nombres[],0,0,ROWS(nombres[]),1))-ROW(OFFSET(nombres[],0,0,1,1))+1,ROW(OFFSET(nombres[],ROWS(nombres[])-1,0,1,1))+1),$O1514:$O1533),11),"")</f>
        <v/>
      </c>
      <c r="MG1514" s="42" t="str">
        <f t="array" aca="1" ref="MG1514:MG1533" ca="1">IFERROR(INDEX(nombres[],SMALL(IF(OFFSET(nombres[],0,0,ROWS(nombres[]),1)=MG$1490,ROW(OFFSET(nombres[],0,0,ROWS(nombres[]),1))-ROW(OFFSET(nombres[],0,0,1,1))+1,ROW(OFFSET(nombres[],ROWS(nombres[])-1,0,1,1))+1),$O1514:$O1533),11),"")</f>
        <v/>
      </c>
      <c r="MH1514" s="42" t="str">
        <f t="array" aca="1" ref="MH1514:MH1533" ca="1">IFERROR(INDEX(nombres[],SMALL(IF(OFFSET(nombres[],0,0,ROWS(nombres[]),1)=MH$1490,ROW(OFFSET(nombres[],0,0,ROWS(nombres[]),1))-ROW(OFFSET(nombres[],0,0,1,1))+1,ROW(OFFSET(nombres[],ROWS(nombres[])-1,0,1,1))+1),$O1514:$O1533),11),"")</f>
        <v/>
      </c>
      <c r="MI1514" s="42" t="str">
        <f t="array" aca="1" ref="MI1514:MI1533" ca="1">IFERROR(INDEX(nombres[],SMALL(IF(OFFSET(nombres[],0,0,ROWS(nombres[]),1)=MI$1490,ROW(OFFSET(nombres[],0,0,ROWS(nombres[]),1))-ROW(OFFSET(nombres[],0,0,1,1))+1,ROW(OFFSET(nombres[],ROWS(nombres[])-1,0,1,1))+1),$O1514:$O1533),11),"")</f>
        <v/>
      </c>
      <c r="MJ1514" s="42" t="str">
        <f t="array" aca="1" ref="MJ1514:MJ1533" ca="1">IFERROR(INDEX(nombres[],SMALL(IF(OFFSET(nombres[],0,0,ROWS(nombres[]),1)=MJ$1490,ROW(OFFSET(nombres[],0,0,ROWS(nombres[]),1))-ROW(OFFSET(nombres[],0,0,1,1))+1,ROW(OFFSET(nombres[],ROWS(nombres[])-1,0,1,1))+1),$O1514:$O1533),11),"")</f>
        <v/>
      </c>
      <c r="MK1514" s="42" t="str">
        <f t="array" aca="1" ref="MK1514:MK1533" ca="1">IFERROR(INDEX(nombres[],SMALL(IF(OFFSET(nombres[],0,0,ROWS(nombres[]),1)=MK$1490,ROW(OFFSET(nombres[],0,0,ROWS(nombres[]),1))-ROW(OFFSET(nombres[],0,0,1,1))+1,ROW(OFFSET(nombres[],ROWS(nombres[])-1,0,1,1))+1),$O1514:$O1533),11),"")</f>
        <v/>
      </c>
      <c r="ML1514" s="42" t="str">
        <f t="array" aca="1" ref="ML1514:ML1533" ca="1">IFERROR(INDEX(nombres[],SMALL(IF(OFFSET(nombres[],0,0,ROWS(nombres[]),1)=ML$1490,ROW(OFFSET(nombres[],0,0,ROWS(nombres[]),1))-ROW(OFFSET(nombres[],0,0,1,1))+1,ROW(OFFSET(nombres[],ROWS(nombres[])-1,0,1,1))+1),$O1514:$O1533),11),"")</f>
        <v/>
      </c>
      <c r="MM1514" s="42" t="str">
        <f t="array" aca="1" ref="MM1514:MM1533" ca="1">IFERROR(INDEX(nombres[],SMALL(IF(OFFSET(nombres[],0,0,ROWS(nombres[]),1)=MM$1490,ROW(OFFSET(nombres[],0,0,ROWS(nombres[]),1))-ROW(OFFSET(nombres[],0,0,1,1))+1,ROW(OFFSET(nombres[],ROWS(nombres[])-1,0,1,1))+1),$O1514:$O1533),11),"")</f>
        <v/>
      </c>
      <c r="MN1514" s="42" t="str">
        <f t="array" aca="1" ref="MN1514:MN1533" ca="1">IFERROR(INDEX(nombres[],SMALL(IF(OFFSET(nombres[],0,0,ROWS(nombres[]),1)=MN$1490,ROW(OFFSET(nombres[],0,0,ROWS(nombres[]),1))-ROW(OFFSET(nombres[],0,0,1,1))+1,ROW(OFFSET(nombres[],ROWS(nombres[])-1,0,1,1))+1),$O1514:$O1533),11),"")</f>
        <v/>
      </c>
      <c r="MO1514" s="42" t="str">
        <f t="array" aca="1" ref="MO1514:MO1533" ca="1">IFERROR(INDEX(nombres[],SMALL(IF(OFFSET(nombres[],0,0,ROWS(nombres[]),1)=MO$1490,ROW(OFFSET(nombres[],0,0,ROWS(nombres[]),1))-ROW(OFFSET(nombres[],0,0,1,1))+1,ROW(OFFSET(nombres[],ROWS(nombres[])-1,0,1,1))+1),$O1514:$O1533),11),"")</f>
        <v/>
      </c>
      <c r="MP1514" s="42" t="str">
        <f t="array" aca="1" ref="MP1514:MP1533" ca="1">IFERROR(INDEX(nombres[],SMALL(IF(OFFSET(nombres[],0,0,ROWS(nombres[]),1)=MP$1490,ROW(OFFSET(nombres[],0,0,ROWS(nombres[]),1))-ROW(OFFSET(nombres[],0,0,1,1))+1,ROW(OFFSET(nombres[],ROWS(nombres[])-1,0,1,1))+1),$O1514:$O1533),11),"")</f>
        <v/>
      </c>
      <c r="MQ1514" s="42" t="str">
        <f t="array" aca="1" ref="MQ1514:MQ1533" ca="1">IFERROR(INDEX(nombres[],SMALL(IF(OFFSET(nombres[],0,0,ROWS(nombres[]),1)=MQ$1490,ROW(OFFSET(nombres[],0,0,ROWS(nombres[]),1))-ROW(OFFSET(nombres[],0,0,1,1))+1,ROW(OFFSET(nombres[],ROWS(nombres[])-1,0,1,1))+1),$O1514:$O1533),11),"")</f>
        <v/>
      </c>
      <c r="MR1514" s="42" t="str">
        <f t="array" aca="1" ref="MR1514:MR1533" ca="1">IFERROR(INDEX(nombres[],SMALL(IF(OFFSET(nombres[],0,0,ROWS(nombres[]),1)=MR$1490,ROW(OFFSET(nombres[],0,0,ROWS(nombres[]),1))-ROW(OFFSET(nombres[],0,0,1,1))+1,ROW(OFFSET(nombres[],ROWS(nombres[])-1,0,1,1))+1),$O1514:$O1533),11),"")</f>
        <v/>
      </c>
      <c r="MS1514" s="42" t="str">
        <f t="array" aca="1" ref="MS1514:MS1533" ca="1">IFERROR(INDEX(nombres[],SMALL(IF(OFFSET(nombres[],0,0,ROWS(nombres[]),1)=MS$1490,ROW(OFFSET(nombres[],0,0,ROWS(nombres[]),1))-ROW(OFFSET(nombres[],0,0,1,1))+1,ROW(OFFSET(nombres[],ROWS(nombres[])-1,0,1,1))+1),$O1514:$O1533),11),"")</f>
        <v/>
      </c>
      <c r="MT1514" s="42" t="str">
        <f t="array" aca="1" ref="MT1514:MT1533" ca="1">IFERROR(INDEX(nombres[],SMALL(IF(OFFSET(nombres[],0,0,ROWS(nombres[]),1)=MT$1490,ROW(OFFSET(nombres[],0,0,ROWS(nombres[]),1))-ROW(OFFSET(nombres[],0,0,1,1))+1,ROW(OFFSET(nombres[],ROWS(nombres[])-1,0,1,1))+1),$O1514:$O1533),11),"")</f>
        <v/>
      </c>
      <c r="MU1514" s="42" t="str">
        <f t="array" aca="1" ref="MU1514:MU1533" ca="1">IFERROR(INDEX(nombres[],SMALL(IF(OFFSET(nombres[],0,0,ROWS(nombres[]),1)=MU$1490,ROW(OFFSET(nombres[],0,0,ROWS(nombres[]),1))-ROW(OFFSET(nombres[],0,0,1,1))+1,ROW(OFFSET(nombres[],ROWS(nombres[])-1,0,1,1))+1),$O1514:$O1533),11),"")</f>
        <v/>
      </c>
      <c r="MV1514" s="42" t="str">
        <f t="array" aca="1" ref="MV1514:MV1533" ca="1">IFERROR(INDEX(nombres[],SMALL(IF(OFFSET(nombres[],0,0,ROWS(nombres[]),1)=MV$1490,ROW(OFFSET(nombres[],0,0,ROWS(nombres[]),1))-ROW(OFFSET(nombres[],0,0,1,1))+1,ROW(OFFSET(nombres[],ROWS(nombres[])-1,0,1,1))+1),$O1514:$O1533),11),"")</f>
        <v/>
      </c>
      <c r="MW1514" s="42" t="str">
        <f t="array" aca="1" ref="MW1514:MW1533" ca="1">IFERROR(INDEX(nombres[],SMALL(IF(OFFSET(nombres[],0,0,ROWS(nombres[]),1)=MW$1490,ROW(OFFSET(nombres[],0,0,ROWS(nombres[]),1))-ROW(OFFSET(nombres[],0,0,1,1))+1,ROW(OFFSET(nombres[],ROWS(nombres[])-1,0,1,1))+1),$O1514:$O1533),11),"")</f>
        <v/>
      </c>
      <c r="MX1514" s="42" t="str">
        <f t="array" aca="1" ref="MX1514:MX1533" ca="1">IFERROR(INDEX(nombres[],SMALL(IF(OFFSET(nombres[],0,0,ROWS(nombres[]),1)=MX$1490,ROW(OFFSET(nombres[],0,0,ROWS(nombres[]),1))-ROW(OFFSET(nombres[],0,0,1,1))+1,ROW(OFFSET(nombres[],ROWS(nombres[])-1,0,1,1))+1),$O1514:$O1533),11),"")</f>
        <v/>
      </c>
      <c r="MY1514" s="42" t="str">
        <f t="array" aca="1" ref="MY1514:MY1533" ca="1">IFERROR(INDEX(nombres[],SMALL(IF(OFFSET(nombres[],0,0,ROWS(nombres[]),1)=MY$1490,ROW(OFFSET(nombres[],0,0,ROWS(nombres[]),1))-ROW(OFFSET(nombres[],0,0,1,1))+1,ROW(OFFSET(nombres[],ROWS(nombres[])-1,0,1,1))+1),$O1514:$O1533),11),"")</f>
        <v/>
      </c>
      <c r="MZ1514" s="42" t="str">
        <f t="array" aca="1" ref="MZ1514:MZ1533" ca="1">IFERROR(INDEX(nombres[],SMALL(IF(OFFSET(nombres[],0,0,ROWS(nombres[]),1)=MZ$1490,ROW(OFFSET(nombres[],0,0,ROWS(nombres[]),1))-ROW(OFFSET(nombres[],0,0,1,1))+1,ROW(OFFSET(nombres[],ROWS(nombres[])-1,0,1,1))+1),$O1514:$O1533),11),"")</f>
        <v/>
      </c>
      <c r="NA1514" s="42" t="str">
        <f t="array" aca="1" ref="NA1514:NA1533" ca="1">IFERROR(INDEX(nombres[],SMALL(IF(OFFSET(nombres[],0,0,ROWS(nombres[]),1)=NA$1490,ROW(OFFSET(nombres[],0,0,ROWS(nombres[]),1))-ROW(OFFSET(nombres[],0,0,1,1))+1,ROW(OFFSET(nombres[],ROWS(nombres[])-1,0,1,1))+1),$O1514:$O1533),11),"")</f>
        <v/>
      </c>
      <c r="NB1514" s="42" t="str">
        <f t="array" aca="1" ref="NB1514:NB1533" ca="1">IFERROR(INDEX(nombres[],SMALL(IF(OFFSET(nombres[],0,0,ROWS(nombres[]),1)=NB$1490,ROW(OFFSET(nombres[],0,0,ROWS(nombres[]),1))-ROW(OFFSET(nombres[],0,0,1,1))+1,ROW(OFFSET(nombres[],ROWS(nombres[])-1,0,1,1))+1),$O1514:$O1533),11),"")</f>
        <v/>
      </c>
      <c r="NC1514" s="42" t="str">
        <f t="array" aca="1" ref="NC1514:NC1533" ca="1">IFERROR(INDEX(nombres[],SMALL(IF(OFFSET(nombres[],0,0,ROWS(nombres[]),1)=NC$1490,ROW(OFFSET(nombres[],0,0,ROWS(nombres[]),1))-ROW(OFFSET(nombres[],0,0,1,1))+1,ROW(OFFSET(nombres[],ROWS(nombres[])-1,0,1,1))+1),$O1514:$O1533),11),"")</f>
        <v/>
      </c>
      <c r="ND1514" s="42" t="str">
        <f t="array" aca="1" ref="ND1514:ND1533" ca="1">IFERROR(INDEX(nombres[],SMALL(IF(OFFSET(nombres[],0,0,ROWS(nombres[]),1)=ND$1490,ROW(OFFSET(nombres[],0,0,ROWS(nombres[]),1))-ROW(OFFSET(nombres[],0,0,1,1))+1,ROW(OFFSET(nombres[],ROWS(nombres[])-1,0,1,1))+1),$O1514:$O1533),11),"")</f>
        <v/>
      </c>
      <c r="NE1514" s="42" t="str">
        <f t="array" aca="1" ref="NE1514:NE1533" ca="1">IFERROR(INDEX(nombres[],SMALL(IF(OFFSET(nombres[],0,0,ROWS(nombres[]),1)=NE$1490,ROW(OFFSET(nombres[],0,0,ROWS(nombres[]),1))-ROW(OFFSET(nombres[],0,0,1,1))+1,ROW(OFFSET(nombres[],ROWS(nombres[])-1,0,1,1))+1),$O1514:$O1533),11),"")</f>
        <v/>
      </c>
      <c r="NF1514" s="42" t="str">
        <f t="array" aca="1" ref="NF1514:NF1533" ca="1">IFERROR(INDEX(nombres[],SMALL(IF(OFFSET(nombres[],0,0,ROWS(nombres[]),1)=NF$1490,ROW(OFFSET(nombres[],0,0,ROWS(nombres[]),1))-ROW(OFFSET(nombres[],0,0,1,1))+1,ROW(OFFSET(nombres[],ROWS(nombres[])-1,0,1,1))+1),$O1514:$O1533),11),"")</f>
        <v/>
      </c>
      <c r="NG1514" s="42" t="str">
        <f t="array" aca="1" ref="NG1514:NG1533" ca="1">IFERROR(INDEX(nombres[],SMALL(IF(OFFSET(nombres[],0,0,ROWS(nombres[]),1)=NG$1490,ROW(OFFSET(nombres[],0,0,ROWS(nombres[]),1))-ROW(OFFSET(nombres[],0,0,1,1))+1,ROW(OFFSET(nombres[],ROWS(nombres[])-1,0,1,1))+1),$O1514:$O1533),11),"")</f>
        <v/>
      </c>
      <c r="NH1514" s="42" t="str">
        <f t="array" aca="1" ref="NH1514:NH1533" ca="1">IFERROR(INDEX(nombres[],SMALL(IF(OFFSET(nombres[],0,0,ROWS(nombres[]),1)=NH$1490,ROW(OFFSET(nombres[],0,0,ROWS(nombres[]),1))-ROW(OFFSET(nombres[],0,0,1,1))+1,ROW(OFFSET(nombres[],ROWS(nombres[])-1,0,1,1))+1),$O1514:$O1533),11),"")</f>
        <v/>
      </c>
      <c r="NI1514" s="42" t="str">
        <f t="array" aca="1" ref="NI1514:NI1533" ca="1">IFERROR(INDEX(nombres[],SMALL(IF(OFFSET(nombres[],0,0,ROWS(nombres[]),1)=NI$1490,ROW(OFFSET(nombres[],0,0,ROWS(nombres[]),1))-ROW(OFFSET(nombres[],0,0,1,1))+1,ROW(OFFSET(nombres[],ROWS(nombres[])-1,0,1,1))+1),$O1514:$O1533),11),"")</f>
        <v/>
      </c>
      <c r="NJ1514" s="42" t="str">
        <f t="array" aca="1" ref="NJ1514:NJ1533" ca="1">IFERROR(INDEX(nombres[],SMALL(IF(OFFSET(nombres[],0,0,ROWS(nombres[]),1)=NJ$1490,ROW(OFFSET(nombres[],0,0,ROWS(nombres[]),1))-ROW(OFFSET(nombres[],0,0,1,1))+1,ROW(OFFSET(nombres[],ROWS(nombres[])-1,0,1,1))+1),$O1514:$O1533),11),"")</f>
        <v/>
      </c>
      <c r="NK1514" s="42" t="str">
        <f t="array" aca="1" ref="NK1514:NK1533" ca="1">IFERROR(INDEX(nombres[],SMALL(IF(OFFSET(nombres[],0,0,ROWS(nombres[]),1)=NK$1490,ROW(OFFSET(nombres[],0,0,ROWS(nombres[]),1))-ROW(OFFSET(nombres[],0,0,1,1))+1,ROW(OFFSET(nombres[],ROWS(nombres[])-1,0,1,1))+1),$O1514:$O1533),11),"")</f>
        <v/>
      </c>
      <c r="NL1514" s="42" t="str">
        <f t="array" aca="1" ref="NL1514:NL1533" ca="1">IFERROR(INDEX(nombres[],SMALL(IF(OFFSET(nombres[],0,0,ROWS(nombres[]),1)=NL$1490,ROW(OFFSET(nombres[],0,0,ROWS(nombres[]),1))-ROW(OFFSET(nombres[],0,0,1,1))+1,ROW(OFFSET(nombres[],ROWS(nombres[])-1,0,1,1))+1),$O1514:$O1533),11),"")</f>
        <v/>
      </c>
      <c r="NM1514" s="42" t="str">
        <f t="array" aca="1" ref="NM1514:NM1533" ca="1">IFERROR(INDEX(nombres[],SMALL(IF(OFFSET(nombres[],0,0,ROWS(nombres[]),1)=NM$1490,ROW(OFFSET(nombres[],0,0,ROWS(nombres[]),1))-ROW(OFFSET(nombres[],0,0,1,1))+1,ROW(OFFSET(nombres[],ROWS(nombres[])-1,0,1,1))+1),$O1514:$O1533),11),"")</f>
        <v/>
      </c>
      <c r="NN1514" s="42" t="str">
        <f t="array" aca="1" ref="NN1514:NN1533" ca="1">IFERROR(INDEX(nombres[],SMALL(IF(OFFSET(nombres[],0,0,ROWS(nombres[]),1)=NN$1490,ROW(OFFSET(nombres[],0,0,ROWS(nombres[]),1))-ROW(OFFSET(nombres[],0,0,1,1))+1,ROW(OFFSET(nombres[],ROWS(nombres[])-1,0,1,1))+1),$O1514:$O1533),11),"")</f>
        <v/>
      </c>
      <c r="NO1514" s="42" t="str">
        <f t="array" aca="1" ref="NO1514:NO1533" ca="1">IFERROR(INDEX(nombres[],SMALL(IF(OFFSET(nombres[],0,0,ROWS(nombres[]),1)=NO$1490,ROW(OFFSET(nombres[],0,0,ROWS(nombres[]),1))-ROW(OFFSET(nombres[],0,0,1,1))+1,ROW(OFFSET(nombres[],ROWS(nombres[])-1,0,1,1))+1),$O1514:$O1533),11),"")</f>
        <v/>
      </c>
      <c r="NP1514" s="42" t="str">
        <f t="array" aca="1" ref="NP1514:NP1533" ca="1">IFERROR(INDEX(nombres[],SMALL(IF(OFFSET(nombres[],0,0,ROWS(nombres[]),1)=NP$1490,ROW(OFFSET(nombres[],0,0,ROWS(nombres[]),1))-ROW(OFFSET(nombres[],0,0,1,1))+1,ROW(OFFSET(nombres[],ROWS(nombres[])-1,0,1,1))+1),$O1514:$O1533),11),"")</f>
        <v/>
      </c>
      <c r="NQ1514" s="42" t="str">
        <f t="array" aca="1" ref="NQ1514:NQ1533" ca="1">IFERROR(INDEX(nombres[],SMALL(IF(OFFSET(nombres[],0,0,ROWS(nombres[]),1)=NQ$1490,ROW(OFFSET(nombres[],0,0,ROWS(nombres[]),1))-ROW(OFFSET(nombres[],0,0,1,1))+1,ROW(OFFSET(nombres[],ROWS(nombres[])-1,0,1,1))+1),$O1514:$O1533),11),"")</f>
        <v/>
      </c>
      <c r="NR1514" s="42" t="str">
        <f t="array" aca="1" ref="NR1514:NR1533" ca="1">IFERROR(INDEX(nombres[],SMALL(IF(OFFSET(nombres[],0,0,ROWS(nombres[]),1)=NR$1490,ROW(OFFSET(nombres[],0,0,ROWS(nombres[]),1))-ROW(OFFSET(nombres[],0,0,1,1))+1,ROW(OFFSET(nombres[],ROWS(nombres[])-1,0,1,1))+1),$O1514:$O1533),11),"")</f>
        <v/>
      </c>
      <c r="NS1514" s="42" t="str">
        <f t="array" aca="1" ref="NS1514:NS1533" ca="1">IFERROR(INDEX(nombres[],SMALL(IF(OFFSET(nombres[],0,0,ROWS(nombres[]),1)=NS$1490,ROW(OFFSET(nombres[],0,0,ROWS(nombres[]),1))-ROW(OFFSET(nombres[],0,0,1,1))+1,ROW(OFFSET(nombres[],ROWS(nombres[])-1,0,1,1))+1),$O1514:$O1533),11),"")</f>
        <v/>
      </c>
      <c r="NT1514" s="42" t="str">
        <f t="array" aca="1" ref="NT1514:NT1533" ca="1">IFERROR(INDEX(nombres[],SMALL(IF(OFFSET(nombres[],0,0,ROWS(nombres[]),1)=NT$1490,ROW(OFFSET(nombres[],0,0,ROWS(nombres[]),1))-ROW(OFFSET(nombres[],0,0,1,1))+1,ROW(OFFSET(nombres[],ROWS(nombres[])-1,0,1,1))+1),$O1514:$O1533),11),"")</f>
        <v/>
      </c>
      <c r="NU1514" s="42" t="str">
        <f t="array" aca="1" ref="NU1514:NU1533" ca="1">IFERROR(INDEX(nombres[],SMALL(IF(OFFSET(nombres[],0,0,ROWS(nombres[]),1)=NU$1490,ROW(OFFSET(nombres[],0,0,ROWS(nombres[]),1))-ROW(OFFSET(nombres[],0,0,1,1))+1,ROW(OFFSET(nombres[],ROWS(nombres[])-1,0,1,1))+1),$O1514:$O1533),11),"")</f>
        <v/>
      </c>
      <c r="NV1514" s="42" t="str">
        <f t="array" aca="1" ref="NV1514:NV1533" ca="1">IFERROR(INDEX(nombres[],SMALL(IF(OFFSET(nombres[],0,0,ROWS(nombres[]),1)=NV$1490,ROW(OFFSET(nombres[],0,0,ROWS(nombres[]),1))-ROW(OFFSET(nombres[],0,0,1,1))+1,ROW(OFFSET(nombres[],ROWS(nombres[])-1,0,1,1))+1),$O1514:$O1533),11),"")</f>
        <v/>
      </c>
      <c r="NW1514" s="42" t="str">
        <f t="array" aca="1" ref="NW1514:NW1533" ca="1">IFERROR(INDEX(nombres[],SMALL(IF(OFFSET(nombres[],0,0,ROWS(nombres[]),1)=NW$1490,ROW(OFFSET(nombres[],0,0,ROWS(nombres[]),1))-ROW(OFFSET(nombres[],0,0,1,1))+1,ROW(OFFSET(nombres[],ROWS(nombres[])-1,0,1,1))+1),$O1514:$O1533),11),"")</f>
        <v/>
      </c>
      <c r="NX1514" s="42" t="str">
        <f t="array" aca="1" ref="NX1514:NX1533" ca="1">IFERROR(INDEX(nombres[],SMALL(IF(OFFSET(nombres[],0,0,ROWS(nombres[]),1)=NX$1490,ROW(OFFSET(nombres[],0,0,ROWS(nombres[]),1))-ROW(OFFSET(nombres[],0,0,1,1))+1,ROW(OFFSET(nombres[],ROWS(nombres[])-1,0,1,1))+1),$O1514:$O1533),11),"")</f>
        <v/>
      </c>
      <c r="NY1514" s="42" t="str">
        <f t="array" aca="1" ref="NY1514:NY1533" ca="1">IFERROR(INDEX(nombres[],SMALL(IF(OFFSET(nombres[],0,0,ROWS(nombres[]),1)=NY$1490,ROW(OFFSET(nombres[],0,0,ROWS(nombres[]),1))-ROW(OFFSET(nombres[],0,0,1,1))+1,ROW(OFFSET(nombres[],ROWS(nombres[])-1,0,1,1))+1),$O1514:$O1533),11),"")</f>
        <v/>
      </c>
      <c r="NZ1514" s="42" t="str">
        <f t="array" aca="1" ref="NZ1514:NZ1533" ca="1">IFERROR(INDEX(nombres[],SMALL(IF(OFFSET(nombres[],0,0,ROWS(nombres[]),1)=NZ$1490,ROW(OFFSET(nombres[],0,0,ROWS(nombres[]),1))-ROW(OFFSET(nombres[],0,0,1,1))+1,ROW(OFFSET(nombres[],ROWS(nombres[])-1,0,1,1))+1),$O1514:$O1533),11),"")</f>
        <v/>
      </c>
      <c r="OA1514" s="42" t="str">
        <f t="array" aca="1" ref="OA1514:OA1533" ca="1">IFERROR(INDEX(nombres[],SMALL(IF(OFFSET(nombres[],0,0,ROWS(nombres[]),1)=OA$1490,ROW(OFFSET(nombres[],0,0,ROWS(nombres[]),1))-ROW(OFFSET(nombres[],0,0,1,1))+1,ROW(OFFSET(nombres[],ROWS(nombres[])-1,0,1,1))+1),$O1514:$O1533),11),"")</f>
        <v/>
      </c>
      <c r="OB1514" s="42" t="str">
        <f t="array" aca="1" ref="OB1514:OB1533" ca="1">IFERROR(INDEX(nombres[],SMALL(IF(OFFSET(nombres[],0,0,ROWS(nombres[]),1)=OB$1490,ROW(OFFSET(nombres[],0,0,ROWS(nombres[]),1))-ROW(OFFSET(nombres[],0,0,1,1))+1,ROW(OFFSET(nombres[],ROWS(nombres[])-1,0,1,1))+1),$O1514:$O1533),11),"")</f>
        <v/>
      </c>
      <c r="OC1514" s="42" t="str">
        <f t="array" aca="1" ref="OC1514:OC1533" ca="1">IFERROR(INDEX(nombres[],SMALL(IF(OFFSET(nombres[],0,0,ROWS(nombres[]),1)=OC$1490,ROW(OFFSET(nombres[],0,0,ROWS(nombres[]),1))-ROW(OFFSET(nombres[],0,0,1,1))+1,ROW(OFFSET(nombres[],ROWS(nombres[])-1,0,1,1))+1),$O1514:$O1533),11),"")</f>
        <v/>
      </c>
      <c r="OD1514" s="42" t="str">
        <f t="array" aca="1" ref="OD1514:OD1533" ca="1">IFERROR(INDEX(nombres[],SMALL(IF(OFFSET(nombres[],0,0,ROWS(nombres[]),1)=OD$1490,ROW(OFFSET(nombres[],0,0,ROWS(nombres[]),1))-ROW(OFFSET(nombres[],0,0,1,1))+1,ROW(OFFSET(nombres[],ROWS(nombres[])-1,0,1,1))+1),$O1514:$O1533),11),"")</f>
        <v/>
      </c>
      <c r="OE1514" s="42" t="str">
        <f t="array" aca="1" ref="OE1514:OE1533" ca="1">IFERROR(INDEX(nombres[],SMALL(IF(OFFSET(nombres[],0,0,ROWS(nombres[]),1)=OE$1490,ROW(OFFSET(nombres[],0,0,ROWS(nombres[]),1))-ROW(OFFSET(nombres[],0,0,1,1))+1,ROW(OFFSET(nombres[],ROWS(nombres[])-1,0,1,1))+1),$O1514:$O1533),11),"")</f>
        <v/>
      </c>
      <c r="OF1514" s="42" t="str">
        <f t="array" aca="1" ref="OF1514:OF1533" ca="1">IFERROR(INDEX(nombres[],SMALL(IF(OFFSET(nombres[],0,0,ROWS(nombres[]),1)=OF$1490,ROW(OFFSET(nombres[],0,0,ROWS(nombres[]),1))-ROW(OFFSET(nombres[],0,0,1,1))+1,ROW(OFFSET(nombres[],ROWS(nombres[])-1,0,1,1))+1),$O1514:$O1533),11),"")</f>
        <v/>
      </c>
      <c r="OG1514" s="42" t="str">
        <f t="array" aca="1" ref="OG1514:OG1533" ca="1">IFERROR(INDEX(nombres[],SMALL(IF(OFFSET(nombres[],0,0,ROWS(nombres[]),1)=OG$1490,ROW(OFFSET(nombres[],0,0,ROWS(nombres[]),1))-ROW(OFFSET(nombres[],0,0,1,1))+1,ROW(OFFSET(nombres[],ROWS(nombres[])-1,0,1,1))+1),$O1514:$O1533),11),"")</f>
        <v/>
      </c>
      <c r="OH1514" s="42" t="str">
        <f t="array" aca="1" ref="OH1514:OH1533" ca="1">IFERROR(INDEX(nombres[],SMALL(IF(OFFSET(nombres[],0,0,ROWS(nombres[]),1)=OH$1490,ROW(OFFSET(nombres[],0,0,ROWS(nombres[]),1))-ROW(OFFSET(nombres[],0,0,1,1))+1,ROW(OFFSET(nombres[],ROWS(nombres[])-1,0,1,1))+1),$O1514:$O1533),11),"")</f>
        <v/>
      </c>
      <c r="OI1514" s="42" t="str">
        <f t="array" aca="1" ref="OI1514:OI1533" ca="1">IFERROR(INDEX(nombres[],SMALL(IF(OFFSET(nombres[],0,0,ROWS(nombres[]),1)=OI$1490,ROW(OFFSET(nombres[],0,0,ROWS(nombres[]),1))-ROW(OFFSET(nombres[],0,0,1,1))+1,ROW(OFFSET(nombres[],ROWS(nombres[])-1,0,1,1))+1),$O1514:$O1533),11),"")</f>
        <v/>
      </c>
      <c r="OJ1514" s="42" t="str">
        <f t="array" aca="1" ref="OJ1514:OJ1533" ca="1">IFERROR(INDEX(nombres[],SMALL(IF(OFFSET(nombres[],0,0,ROWS(nombres[]),1)=OJ$1490,ROW(OFFSET(nombres[],0,0,ROWS(nombres[]),1))-ROW(OFFSET(nombres[],0,0,1,1))+1,ROW(OFFSET(nombres[],ROWS(nombres[])-1,0,1,1))+1),$O1514:$O1533),11),"")</f>
        <v/>
      </c>
      <c r="OK1514" s="42" t="str">
        <f t="array" aca="1" ref="OK1514:OK1533" ca="1">IFERROR(INDEX(nombres[],SMALL(IF(OFFSET(nombres[],0,0,ROWS(nombres[]),1)=OK$1490,ROW(OFFSET(nombres[],0,0,ROWS(nombres[]),1))-ROW(OFFSET(nombres[],0,0,1,1))+1,ROW(OFFSET(nombres[],ROWS(nombres[])-1,0,1,1))+1),$O1514:$O1533),11),"")</f>
        <v/>
      </c>
      <c r="OL1514" s="42" t="str">
        <f t="array" aca="1" ref="OL1514:OL1533" ca="1">IFERROR(INDEX(nombres[],SMALL(IF(OFFSET(nombres[],0,0,ROWS(nombres[]),1)=OL$1490,ROW(OFFSET(nombres[],0,0,ROWS(nombres[]),1))-ROW(OFFSET(nombres[],0,0,1,1))+1,ROW(OFFSET(nombres[],ROWS(nombres[])-1,0,1,1))+1),$O1514:$O1533),11),"")</f>
        <v/>
      </c>
      <c r="OM1514" s="42" t="str">
        <f t="array" aca="1" ref="OM1514:OM1533" ca="1">IFERROR(INDEX(nombres[],SMALL(IF(OFFSET(nombres[],0,0,ROWS(nombres[]),1)=OM$1490,ROW(OFFSET(nombres[],0,0,ROWS(nombres[]),1))-ROW(OFFSET(nombres[],0,0,1,1))+1,ROW(OFFSET(nombres[],ROWS(nombres[])-1,0,1,1))+1),$O1514:$O1533),11),"")</f>
        <v/>
      </c>
      <c r="ON1514" s="42" t="str">
        <f t="array" aca="1" ref="ON1514:ON1533" ca="1">IFERROR(INDEX(nombres[],SMALL(IF(OFFSET(nombres[],0,0,ROWS(nombres[]),1)=ON$1490,ROW(OFFSET(nombres[],0,0,ROWS(nombres[]),1))-ROW(OFFSET(nombres[],0,0,1,1))+1,ROW(OFFSET(nombres[],ROWS(nombres[])-1,0,1,1))+1),$O1514:$O1533),11),"")</f>
        <v/>
      </c>
      <c r="OO1514" s="42" t="str">
        <f t="array" aca="1" ref="OO1514:OO1533" ca="1">IFERROR(INDEX(nombres[],SMALL(IF(OFFSET(nombres[],0,0,ROWS(nombres[]),1)=OO$1490,ROW(OFFSET(nombres[],0,0,ROWS(nombres[]),1))-ROW(OFFSET(nombres[],0,0,1,1))+1,ROW(OFFSET(nombres[],ROWS(nombres[])-1,0,1,1))+1),$O1514:$O1533),11),"")</f>
        <v/>
      </c>
      <c r="OP1514" s="42" t="str">
        <f t="array" aca="1" ref="OP1514:OP1533" ca="1">IFERROR(INDEX(nombres[],SMALL(IF(OFFSET(nombres[],0,0,ROWS(nombres[]),1)=OP$1490,ROW(OFFSET(nombres[],0,0,ROWS(nombres[]),1))-ROW(OFFSET(nombres[],0,0,1,1))+1,ROW(OFFSET(nombres[],ROWS(nombres[])-1,0,1,1))+1),$O1514:$O1533),11),"")</f>
        <v/>
      </c>
      <c r="OQ1514" s="42" t="str">
        <f t="array" aca="1" ref="OQ1514:OQ1533" ca="1">IFERROR(INDEX(nombres[],SMALL(IF(OFFSET(nombres[],0,0,ROWS(nombres[]),1)=OQ$1490,ROW(OFFSET(nombres[],0,0,ROWS(nombres[]),1))-ROW(OFFSET(nombres[],0,0,1,1))+1,ROW(OFFSET(nombres[],ROWS(nombres[])-1,0,1,1))+1),$O1514:$O1533),11),"")</f>
        <v/>
      </c>
      <c r="OR1514" s="42" t="str">
        <f t="array" aca="1" ref="OR1514:OR1533" ca="1">IFERROR(INDEX(nombres[],SMALL(IF(OFFSET(nombres[],0,0,ROWS(nombres[]),1)=OR$1490,ROW(OFFSET(nombres[],0,0,ROWS(nombres[]),1))-ROW(OFFSET(nombres[],0,0,1,1))+1,ROW(OFFSET(nombres[],ROWS(nombres[])-1,0,1,1))+1),$O1514:$O1533),11),"")</f>
        <v/>
      </c>
      <c r="OS1514" s="42" t="str">
        <f t="array" aca="1" ref="OS1514:OS1533" ca="1">IFERROR(INDEX(nombres[],SMALL(IF(OFFSET(nombres[],0,0,ROWS(nombres[]),1)=OS$1490,ROW(OFFSET(nombres[],0,0,ROWS(nombres[]),1))-ROW(OFFSET(nombres[],0,0,1,1))+1,ROW(OFFSET(nombres[],ROWS(nombres[])-1,0,1,1))+1),$O1514:$O1533),11),"")</f>
        <v/>
      </c>
      <c r="OT1514" s="42" t="str">
        <f t="array" aca="1" ref="OT1514:OT1533" ca="1">IFERROR(INDEX(nombres[],SMALL(IF(OFFSET(nombres[],0,0,ROWS(nombres[]),1)=OT$1490,ROW(OFFSET(nombres[],0,0,ROWS(nombres[]),1))-ROW(OFFSET(nombres[],0,0,1,1))+1,ROW(OFFSET(nombres[],ROWS(nombres[])-1,0,1,1))+1),$O1514:$O1533),11),"")</f>
        <v/>
      </c>
      <c r="OU1514" s="42" t="str">
        <f t="array" aca="1" ref="OU1514:OU1533" ca="1">IFERROR(INDEX(nombres[],SMALL(IF(OFFSET(nombres[],0,0,ROWS(nombres[]),1)=OU$1490,ROW(OFFSET(nombres[],0,0,ROWS(nombres[]),1))-ROW(OFFSET(nombres[],0,0,1,1))+1,ROW(OFFSET(nombres[],ROWS(nombres[])-1,0,1,1))+1),$O1514:$O1533),11),"")</f>
        <v/>
      </c>
      <c r="OV1514" s="42" t="str">
        <f t="array" aca="1" ref="OV1514:OV1533" ca="1">IFERROR(INDEX(nombres[],SMALL(IF(OFFSET(nombres[],0,0,ROWS(nombres[]),1)=OV$1490,ROW(OFFSET(nombres[],0,0,ROWS(nombres[]),1))-ROW(OFFSET(nombres[],0,0,1,1))+1,ROW(OFFSET(nombres[],ROWS(nombres[])-1,0,1,1))+1),$O1514:$O1533),11),"")</f>
        <v/>
      </c>
      <c r="OW1514" s="42" t="str">
        <f t="array" aca="1" ref="OW1514:OW1533" ca="1">IFERROR(INDEX(nombres[],SMALL(IF(OFFSET(nombres[],0,0,ROWS(nombres[]),1)=OW$1490,ROW(OFFSET(nombres[],0,0,ROWS(nombres[]),1))-ROW(OFFSET(nombres[],0,0,1,1))+1,ROW(OFFSET(nombres[],ROWS(nombres[])-1,0,1,1))+1),$O1514:$O1533),11),"")</f>
        <v/>
      </c>
      <c r="OX1514" s="42" t="str">
        <f t="array" aca="1" ref="OX1514:OX1533" ca="1">IFERROR(INDEX(nombres[],SMALL(IF(OFFSET(nombres[],0,0,ROWS(nombres[]),1)=OX$1490,ROW(OFFSET(nombres[],0,0,ROWS(nombres[]),1))-ROW(OFFSET(nombres[],0,0,1,1))+1,ROW(OFFSET(nombres[],ROWS(nombres[])-1,0,1,1))+1),$O1514:$O1533),11),"")</f>
        <v/>
      </c>
      <c r="OY1514" s="42" t="str">
        <f t="array" aca="1" ref="OY1514:OY1533" ca="1">IFERROR(INDEX(nombres[],SMALL(IF(OFFSET(nombres[],0,0,ROWS(nombres[]),1)=OY$1490,ROW(OFFSET(nombres[],0,0,ROWS(nombres[]),1))-ROW(OFFSET(nombres[],0,0,1,1))+1,ROW(OFFSET(nombres[],ROWS(nombres[])-1,0,1,1))+1),$O1514:$O1533),11),"")</f>
        <v/>
      </c>
      <c r="OZ1514" s="42" t="str">
        <f t="array" aca="1" ref="OZ1514:OZ1533" ca="1">IFERROR(INDEX(nombres[],SMALL(IF(OFFSET(nombres[],0,0,ROWS(nombres[]),1)=OZ$1490,ROW(OFFSET(nombres[],0,0,ROWS(nombres[]),1))-ROW(OFFSET(nombres[],0,0,1,1))+1,ROW(OFFSET(nombres[],ROWS(nombres[])-1,0,1,1))+1),$O1514:$O1533),11),"")</f>
        <v/>
      </c>
      <c r="PA1514" s="42" t="str">
        <f t="array" aca="1" ref="PA1514:PA1533" ca="1">IFERROR(INDEX(nombres[],SMALL(IF(OFFSET(nombres[],0,0,ROWS(nombres[]),1)=PA$1490,ROW(OFFSET(nombres[],0,0,ROWS(nombres[]),1))-ROW(OFFSET(nombres[],0,0,1,1))+1,ROW(OFFSET(nombres[],ROWS(nombres[])-1,0,1,1))+1),$O1514:$O1533),11),"")</f>
        <v/>
      </c>
      <c r="PB1514" s="42" t="str">
        <f t="array" aca="1" ref="PB1514:PB1533" ca="1">IFERROR(INDEX(nombres[],SMALL(IF(OFFSET(nombres[],0,0,ROWS(nombres[]),1)=PB$1490,ROW(OFFSET(nombres[],0,0,ROWS(nombres[]),1))-ROW(OFFSET(nombres[],0,0,1,1))+1,ROW(OFFSET(nombres[],ROWS(nombres[])-1,0,1,1))+1),$O1514:$O1533),11),"")</f>
        <v/>
      </c>
      <c r="PC1514" s="42" t="str">
        <f t="array" aca="1" ref="PC1514:PC1533" ca="1">IFERROR(INDEX(nombres[],SMALL(IF(OFFSET(nombres[],0,0,ROWS(nombres[]),1)=PC$1490,ROW(OFFSET(nombres[],0,0,ROWS(nombres[]),1))-ROW(OFFSET(nombres[],0,0,1,1))+1,ROW(OFFSET(nombres[],ROWS(nombres[])-1,0,1,1))+1),$O1514:$O1533),11),"")</f>
        <v/>
      </c>
      <c r="PD1514" s="42" t="str">
        <f t="array" aca="1" ref="PD1514:PD1533" ca="1">IFERROR(INDEX(nombres[],SMALL(IF(OFFSET(nombres[],0,0,ROWS(nombres[]),1)=PD$1490,ROW(OFFSET(nombres[],0,0,ROWS(nombres[]),1))-ROW(OFFSET(nombres[],0,0,1,1))+1,ROW(OFFSET(nombres[],ROWS(nombres[])-1,0,1,1))+1),$O1514:$O1533),11),"")</f>
        <v/>
      </c>
      <c r="PE1514" s="42" t="str">
        <f t="array" aca="1" ref="PE1514:PE1533" ca="1">IFERROR(INDEX(nombres[],SMALL(IF(OFFSET(nombres[],0,0,ROWS(nombres[]),1)=PE$1490,ROW(OFFSET(nombres[],0,0,ROWS(nombres[]),1))-ROW(OFFSET(nombres[],0,0,1,1))+1,ROW(OFFSET(nombres[],ROWS(nombres[])-1,0,1,1))+1),$O1514:$O1533),11),"")</f>
        <v/>
      </c>
      <c r="PF1514" s="42" t="str">
        <f t="array" aca="1" ref="PF1514:PF1533" ca="1">IFERROR(INDEX(nombres[],SMALL(IF(OFFSET(nombres[],0,0,ROWS(nombres[]),1)=PF$1490,ROW(OFFSET(nombres[],0,0,ROWS(nombres[]),1))-ROW(OFFSET(nombres[],0,0,1,1))+1,ROW(OFFSET(nombres[],ROWS(nombres[])-1,0,1,1))+1),$O1514:$O1533),11),"")</f>
        <v/>
      </c>
      <c r="PG1514" s="42" t="str">
        <f t="array" aca="1" ref="PG1514:PG1533" ca="1">IFERROR(INDEX(nombres[],SMALL(IF(OFFSET(nombres[],0,0,ROWS(nombres[]),1)=PG$1490,ROW(OFFSET(nombres[],0,0,ROWS(nombres[]),1))-ROW(OFFSET(nombres[],0,0,1,1))+1,ROW(OFFSET(nombres[],ROWS(nombres[])-1,0,1,1))+1),$O1514:$O1533),11),"")</f>
        <v/>
      </c>
      <c r="PH1514" s="42" t="str">
        <f t="array" aca="1" ref="PH1514:PH1533" ca="1">IFERROR(INDEX(nombres[],SMALL(IF(OFFSET(nombres[],0,0,ROWS(nombres[]),1)=PH$1490,ROW(OFFSET(nombres[],0,0,ROWS(nombres[]),1))-ROW(OFFSET(nombres[],0,0,1,1))+1,ROW(OFFSET(nombres[],ROWS(nombres[])-1,0,1,1))+1),$O1514:$O1533),11),"")</f>
        <v/>
      </c>
      <c r="PI1514" s="42" t="str">
        <f t="array" aca="1" ref="PI1514:PI1533" ca="1">IFERROR(INDEX(nombres[],SMALL(IF(OFFSET(nombres[],0,0,ROWS(nombres[]),1)=PI$1490,ROW(OFFSET(nombres[],0,0,ROWS(nombres[]),1))-ROW(OFFSET(nombres[],0,0,1,1))+1,ROW(OFFSET(nombres[],ROWS(nombres[])-1,0,1,1))+1),$O1514:$O1533),11),"")</f>
        <v/>
      </c>
      <c r="PJ1514" s="42" t="str">
        <f t="array" aca="1" ref="PJ1514:PJ1533" ca="1">IFERROR(INDEX(nombres[],SMALL(IF(OFFSET(nombres[],0,0,ROWS(nombres[]),1)=PJ$1490,ROW(OFFSET(nombres[],0,0,ROWS(nombres[]),1))-ROW(OFFSET(nombres[],0,0,1,1))+1,ROW(OFFSET(nombres[],ROWS(nombres[])-1,0,1,1))+1),$O1514:$O1533),11),"")</f>
        <v/>
      </c>
      <c r="PK1514" s="42" t="str">
        <f t="array" aca="1" ref="PK1514:PK1533" ca="1">IFERROR(INDEX(nombres[],SMALL(IF(OFFSET(nombres[],0,0,ROWS(nombres[]),1)=PK$1490,ROW(OFFSET(nombres[],0,0,ROWS(nombres[]),1))-ROW(OFFSET(nombres[],0,0,1,1))+1,ROW(OFFSET(nombres[],ROWS(nombres[])-1,0,1,1))+1),$O1514:$O1533),11),"")</f>
        <v/>
      </c>
      <c r="PL1514" s="42" t="str">
        <f t="array" aca="1" ref="PL1514:PL1533" ca="1">IFERROR(INDEX(nombres[],SMALL(IF(OFFSET(nombres[],0,0,ROWS(nombres[]),1)=PL$1490,ROW(OFFSET(nombres[],0,0,ROWS(nombres[]),1))-ROW(OFFSET(nombres[],0,0,1,1))+1,ROW(OFFSET(nombres[],ROWS(nombres[])-1,0,1,1))+1),$O1514:$O1533),11),"")</f>
        <v/>
      </c>
      <c r="PM1514" s="42" t="str">
        <f t="array" aca="1" ref="PM1514:PM1533" ca="1">IFERROR(INDEX(nombres[],SMALL(IF(OFFSET(nombres[],0,0,ROWS(nombres[]),1)=PM$1490,ROW(OFFSET(nombres[],0,0,ROWS(nombres[]),1))-ROW(OFFSET(nombres[],0,0,1,1))+1,ROW(OFFSET(nombres[],ROWS(nombres[])-1,0,1,1))+1),$O1514:$O1533),11),"")</f>
        <v/>
      </c>
      <c r="PN1514" s="42" t="str">
        <f t="array" aca="1" ref="PN1514:PN1533" ca="1">IFERROR(INDEX(nombres[],SMALL(IF(OFFSET(nombres[],0,0,ROWS(nombres[]),1)=PN$1490,ROW(OFFSET(nombres[],0,0,ROWS(nombres[]),1))-ROW(OFFSET(nombres[],0,0,1,1))+1,ROW(OFFSET(nombres[],ROWS(nombres[])-1,0,1,1))+1),$O1514:$O1533),11),"")</f>
        <v/>
      </c>
      <c r="PO1514" s="42" t="str">
        <f t="array" aca="1" ref="PO1514:PO1533" ca="1">IFERROR(INDEX(nombres[],SMALL(IF(OFFSET(nombres[],0,0,ROWS(nombres[]),1)=PO$1490,ROW(OFFSET(nombres[],0,0,ROWS(nombres[]),1))-ROW(OFFSET(nombres[],0,0,1,1))+1,ROW(OFFSET(nombres[],ROWS(nombres[])-1,0,1,1))+1),$O1514:$O1533),11),"")</f>
        <v/>
      </c>
      <c r="PP1514" s="42" t="str">
        <f t="array" aca="1" ref="PP1514:PP1533" ca="1">IFERROR(INDEX(nombres[],SMALL(IF(OFFSET(nombres[],0,0,ROWS(nombres[]),1)=PP$1490,ROW(OFFSET(nombres[],0,0,ROWS(nombres[]),1))-ROW(OFFSET(nombres[],0,0,1,1))+1,ROW(OFFSET(nombres[],ROWS(nombres[])-1,0,1,1))+1),$O1514:$O1533),11),"")</f>
        <v/>
      </c>
      <c r="PQ1514" s="42" t="str">
        <f t="array" aca="1" ref="PQ1514:PQ1533" ca="1">IFERROR(INDEX(nombres[],SMALL(IF(OFFSET(nombres[],0,0,ROWS(nombres[]),1)=PQ$1490,ROW(OFFSET(nombres[],0,0,ROWS(nombres[]),1))-ROW(OFFSET(nombres[],0,0,1,1))+1,ROW(OFFSET(nombres[],ROWS(nombres[])-1,0,1,1))+1),$O1514:$O1533),11),"")</f>
        <v/>
      </c>
      <c r="PR1514" s="42" t="str">
        <f t="array" aca="1" ref="PR1514:PR1533" ca="1">IFERROR(INDEX(nombres[],SMALL(IF(OFFSET(nombres[],0,0,ROWS(nombres[]),1)=PR$1490,ROW(OFFSET(nombres[],0,0,ROWS(nombres[]),1))-ROW(OFFSET(nombres[],0,0,1,1))+1,ROW(OFFSET(nombres[],ROWS(nombres[])-1,0,1,1))+1),$O1514:$O1533),11),"")</f>
        <v/>
      </c>
      <c r="PS1514" s="42" t="str">
        <f t="array" aca="1" ref="PS1514:PS1533" ca="1">IFERROR(INDEX(nombres[],SMALL(IF(OFFSET(nombres[],0,0,ROWS(nombres[]),1)=PS$1490,ROW(OFFSET(nombres[],0,0,ROWS(nombres[]),1))-ROW(OFFSET(nombres[],0,0,1,1))+1,ROW(OFFSET(nombres[],ROWS(nombres[])-1,0,1,1))+1),$O1514:$O1533),11),"")</f>
        <v/>
      </c>
      <c r="PT1514" s="42" t="str">
        <f t="array" aca="1" ref="PT1514:PT1533" ca="1">IFERROR(INDEX(nombres[],SMALL(IF(OFFSET(nombres[],0,0,ROWS(nombres[]),1)=PT$1490,ROW(OFFSET(nombres[],0,0,ROWS(nombres[]),1))-ROW(OFFSET(nombres[],0,0,1,1))+1,ROW(OFFSET(nombres[],ROWS(nombres[])-1,0,1,1))+1),$O1514:$O1533),11),"")</f>
        <v/>
      </c>
      <c r="PU1514" s="42" t="str">
        <f t="array" aca="1" ref="PU1514:PU1533" ca="1">IFERROR(INDEX(nombres[],SMALL(IF(OFFSET(nombres[],0,0,ROWS(nombres[]),1)=PU$1490,ROW(OFFSET(nombres[],0,0,ROWS(nombres[]),1))-ROW(OFFSET(nombres[],0,0,1,1))+1,ROW(OFFSET(nombres[],ROWS(nombres[])-1,0,1,1))+1),$O1514:$O1533),11),"")</f>
        <v/>
      </c>
      <c r="PV1514" s="42" t="str">
        <f t="array" aca="1" ref="PV1514:PV1533" ca="1">IFERROR(INDEX(nombres[],SMALL(IF(OFFSET(nombres[],0,0,ROWS(nombres[]),1)=PV$1490,ROW(OFFSET(nombres[],0,0,ROWS(nombres[]),1))-ROW(OFFSET(nombres[],0,0,1,1))+1,ROW(OFFSET(nombres[],ROWS(nombres[])-1,0,1,1))+1),$O1514:$O1533),11),"")</f>
        <v/>
      </c>
      <c r="PW1514" s="42" t="str">
        <f t="array" aca="1" ref="PW1514:PW1533" ca="1">IFERROR(INDEX(nombres[],SMALL(IF(OFFSET(nombres[],0,0,ROWS(nombres[]),1)=PW$1490,ROW(OFFSET(nombres[],0,0,ROWS(nombres[]),1))-ROW(OFFSET(nombres[],0,0,1,1))+1,ROW(OFFSET(nombres[],ROWS(nombres[])-1,0,1,1))+1),$O1514:$O1533),11),"")</f>
        <v/>
      </c>
      <c r="PX1514" s="42" t="str">
        <f t="array" aca="1" ref="PX1514:PX1533" ca="1">IFERROR(INDEX(nombres[],SMALL(IF(OFFSET(nombres[],0,0,ROWS(nombres[]),1)=PX$1490,ROW(OFFSET(nombres[],0,0,ROWS(nombres[]),1))-ROW(OFFSET(nombres[],0,0,1,1))+1,ROW(OFFSET(nombres[],ROWS(nombres[])-1,0,1,1))+1),$O1514:$O1533),11),"")</f>
        <v/>
      </c>
      <c r="PY1514" s="42" t="str">
        <f t="array" aca="1" ref="PY1514:PY1533" ca="1">IFERROR(INDEX(nombres[],SMALL(IF(OFFSET(nombres[],0,0,ROWS(nombres[]),1)=PY$1490,ROW(OFFSET(nombres[],0,0,ROWS(nombres[]),1))-ROW(OFFSET(nombres[],0,0,1,1))+1,ROW(OFFSET(nombres[],ROWS(nombres[])-1,0,1,1))+1),$O1514:$O1533),11),"")</f>
        <v/>
      </c>
      <c r="PZ1514" s="42" t="str">
        <f t="array" aca="1" ref="PZ1514:PZ1533" ca="1">IFERROR(INDEX(nombres[],SMALL(IF(OFFSET(nombres[],0,0,ROWS(nombres[]),1)=PZ$1490,ROW(OFFSET(nombres[],0,0,ROWS(nombres[]),1))-ROW(OFFSET(nombres[],0,0,1,1))+1,ROW(OFFSET(nombres[],ROWS(nombres[])-1,0,1,1))+1),$O1514:$O1533),11),"")</f>
        <v/>
      </c>
      <c r="QA1514" s="42" t="str">
        <f t="array" aca="1" ref="QA1514:QA1533" ca="1">IFERROR(INDEX(nombres[],SMALL(IF(OFFSET(nombres[],0,0,ROWS(nombres[]),1)=QA$1490,ROW(OFFSET(nombres[],0,0,ROWS(nombres[]),1))-ROW(OFFSET(nombres[],0,0,1,1))+1,ROW(OFFSET(nombres[],ROWS(nombres[])-1,0,1,1))+1),$O1514:$O1533),11),"")</f>
        <v/>
      </c>
      <c r="QB1514" s="42" t="str">
        <f t="array" aca="1" ref="QB1514:QB1533" ca="1">IFERROR(INDEX(nombres[],SMALL(IF(OFFSET(nombres[],0,0,ROWS(nombres[]),1)=QB$1490,ROW(OFFSET(nombres[],0,0,ROWS(nombres[]),1))-ROW(OFFSET(nombres[],0,0,1,1))+1,ROW(OFFSET(nombres[],ROWS(nombres[])-1,0,1,1))+1),$O1514:$O1533),11),"")</f>
        <v/>
      </c>
      <c r="QC1514" s="42" t="str">
        <f t="array" aca="1" ref="QC1514:QC1533" ca="1">IFERROR(INDEX(nombres[],SMALL(IF(OFFSET(nombres[],0,0,ROWS(nombres[]),1)=QC$1490,ROW(OFFSET(nombres[],0,0,ROWS(nombres[]),1))-ROW(OFFSET(nombres[],0,0,1,1))+1,ROW(OFFSET(nombres[],ROWS(nombres[])-1,0,1,1))+1),$O1514:$O1533),11),"")</f>
        <v/>
      </c>
      <c r="QD1514" s="42" t="str">
        <f t="array" aca="1" ref="QD1514:QD1533" ca="1">IFERROR(INDEX(nombres[],SMALL(IF(OFFSET(nombres[],0,0,ROWS(nombres[]),1)=QD$1490,ROW(OFFSET(nombres[],0,0,ROWS(nombres[]),1))-ROW(OFFSET(nombres[],0,0,1,1))+1,ROW(OFFSET(nombres[],ROWS(nombres[])-1,0,1,1))+1),$O1514:$O1533),11),"")</f>
        <v/>
      </c>
      <c r="QE1514" s="42" t="str">
        <f t="array" aca="1" ref="QE1514:QE1533" ca="1">IFERROR(INDEX(nombres[],SMALL(IF(OFFSET(nombres[],0,0,ROWS(nombres[]),1)=QE$1490,ROW(OFFSET(nombres[],0,0,ROWS(nombres[]),1))-ROW(OFFSET(nombres[],0,0,1,1))+1,ROW(OFFSET(nombres[],ROWS(nombres[])-1,0,1,1))+1),$O1514:$O1533),11),"")</f>
        <v/>
      </c>
      <c r="QF1514" s="42" t="str">
        <f t="array" aca="1" ref="QF1514:QF1533" ca="1">IFERROR(INDEX(nombres[],SMALL(IF(OFFSET(nombres[],0,0,ROWS(nombres[]),1)=QF$1490,ROW(OFFSET(nombres[],0,0,ROWS(nombres[]),1))-ROW(OFFSET(nombres[],0,0,1,1))+1,ROW(OFFSET(nombres[],ROWS(nombres[])-1,0,1,1))+1),$O1514:$O1533),11),"")</f>
        <v/>
      </c>
      <c r="QG1514" s="42" t="str">
        <f t="array" aca="1" ref="QG1514:QG1533" ca="1">IFERROR(INDEX(nombres[],SMALL(IF(OFFSET(nombres[],0,0,ROWS(nombres[]),1)=QG$1490,ROW(OFFSET(nombres[],0,0,ROWS(nombres[]),1))-ROW(OFFSET(nombres[],0,0,1,1))+1,ROW(OFFSET(nombres[],ROWS(nombres[])-1,0,1,1))+1),$O1514:$O1533),11),"")</f>
        <v/>
      </c>
      <c r="QH1514" s="42" t="str">
        <f t="array" aca="1" ref="QH1514:QH1533" ca="1">IFERROR(INDEX(nombres[],SMALL(IF(OFFSET(nombres[],0,0,ROWS(nombres[]),1)=QH$1490,ROW(OFFSET(nombres[],0,0,ROWS(nombres[]),1))-ROW(OFFSET(nombres[],0,0,1,1))+1,ROW(OFFSET(nombres[],ROWS(nombres[])-1,0,1,1))+1),$O1514:$O1533),11),"")</f>
        <v/>
      </c>
      <c r="QI1514" s="42" t="str">
        <f t="array" aca="1" ref="QI1514:QI1533" ca="1">IFERROR(INDEX(nombres[],SMALL(IF(OFFSET(nombres[],0,0,ROWS(nombres[]),1)=QI$1490,ROW(OFFSET(nombres[],0,0,ROWS(nombres[]),1))-ROW(OFFSET(nombres[],0,0,1,1))+1,ROW(OFFSET(nombres[],ROWS(nombres[])-1,0,1,1))+1),$O1514:$O1533),11),"")</f>
        <v/>
      </c>
      <c r="QJ1514" s="42" t="str">
        <f t="array" aca="1" ref="QJ1514:QJ1533" ca="1">IFERROR(INDEX(nombres[],SMALL(IF(OFFSET(nombres[],0,0,ROWS(nombres[]),1)=QJ$1490,ROW(OFFSET(nombres[],0,0,ROWS(nombres[]),1))-ROW(OFFSET(nombres[],0,0,1,1))+1,ROW(OFFSET(nombres[],ROWS(nombres[])-1,0,1,1))+1),$O1514:$O1533),11),"")</f>
        <v/>
      </c>
      <c r="QK1514" s="42" t="str">
        <f t="array" aca="1" ref="QK1514:QK1533" ca="1">IFERROR(INDEX(nombres[],SMALL(IF(OFFSET(nombres[],0,0,ROWS(nombres[]),1)=QK$1490,ROW(OFFSET(nombres[],0,0,ROWS(nombres[]),1))-ROW(OFFSET(nombres[],0,0,1,1))+1,ROW(OFFSET(nombres[],ROWS(nombres[])-1,0,1,1))+1),$O1514:$O1533),11),"")</f>
        <v/>
      </c>
      <c r="QL1514" s="42" t="str">
        <f t="array" aca="1" ref="QL1514:QL1533" ca="1">IFERROR(INDEX(nombres[],SMALL(IF(OFFSET(nombres[],0,0,ROWS(nombres[]),1)=QL$1490,ROW(OFFSET(nombres[],0,0,ROWS(nombres[]),1))-ROW(OFFSET(nombres[],0,0,1,1))+1,ROW(OFFSET(nombres[],ROWS(nombres[])-1,0,1,1))+1),$O1514:$O1533),11),"")</f>
        <v/>
      </c>
      <c r="QM1514" s="42" t="str">
        <f t="array" aca="1" ref="QM1514:QM1533" ca="1">IFERROR(INDEX(nombres[],SMALL(IF(OFFSET(nombres[],0,0,ROWS(nombres[]),1)=QM$1490,ROW(OFFSET(nombres[],0,0,ROWS(nombres[]),1))-ROW(OFFSET(nombres[],0,0,1,1))+1,ROW(OFFSET(nombres[],ROWS(nombres[])-1,0,1,1))+1),$O1514:$O1533),11),"")</f>
        <v/>
      </c>
      <c r="QN1514" s="42" t="str">
        <f t="array" aca="1" ref="QN1514:QN1533" ca="1">IFERROR(INDEX(nombres[],SMALL(IF(OFFSET(nombres[],0,0,ROWS(nombres[]),1)=QN$1490,ROW(OFFSET(nombres[],0,0,ROWS(nombres[]),1))-ROW(OFFSET(nombres[],0,0,1,1))+1,ROW(OFFSET(nombres[],ROWS(nombres[])-1,0,1,1))+1),$O1514:$O1533),11),"")</f>
        <v/>
      </c>
      <c r="QO1514" s="42" t="str">
        <f t="array" aca="1" ref="QO1514:QO1533" ca="1">IFERROR(INDEX(nombres[],SMALL(IF(OFFSET(nombres[],0,0,ROWS(nombres[]),1)=QO$1490,ROW(OFFSET(nombres[],0,0,ROWS(nombres[]),1))-ROW(OFFSET(nombres[],0,0,1,1))+1,ROW(OFFSET(nombres[],ROWS(nombres[])-1,0,1,1))+1),$O1514:$O1533),11),"")</f>
        <v/>
      </c>
      <c r="QP1514" s="42" t="str">
        <f t="array" aca="1" ref="QP1514:QP1533" ca="1">IFERROR(INDEX(nombres[],SMALL(IF(OFFSET(nombres[],0,0,ROWS(nombres[]),1)=QP$1490,ROW(OFFSET(nombres[],0,0,ROWS(nombres[]),1))-ROW(OFFSET(nombres[],0,0,1,1))+1,ROW(OFFSET(nombres[],ROWS(nombres[])-1,0,1,1))+1),$O1514:$O1533),11),"")</f>
        <v/>
      </c>
      <c r="QQ1514" s="42" t="str">
        <f t="array" aca="1" ref="QQ1514:QQ1533" ca="1">IFERROR(INDEX(nombres[],SMALL(IF(OFFSET(nombres[],0,0,ROWS(nombres[]),1)=QQ$1490,ROW(OFFSET(nombres[],0,0,ROWS(nombres[]),1))-ROW(OFFSET(nombres[],0,0,1,1))+1,ROW(OFFSET(nombres[],ROWS(nombres[])-1,0,1,1))+1),$O1514:$O1533),11),"")</f>
        <v/>
      </c>
      <c r="QR1514" s="42" t="str">
        <f t="array" aca="1" ref="QR1514:QR1533" ca="1">IFERROR(INDEX(nombres[],SMALL(IF(OFFSET(nombres[],0,0,ROWS(nombres[]),1)=QR$1490,ROW(OFFSET(nombres[],0,0,ROWS(nombres[]),1))-ROW(OFFSET(nombres[],0,0,1,1))+1,ROW(OFFSET(nombres[],ROWS(nombres[])-1,0,1,1))+1),$O1514:$O1533),11),"")</f>
        <v/>
      </c>
      <c r="QS1514" s="42" t="str">
        <f t="array" aca="1" ref="QS1514:QS1533" ca="1">IFERROR(INDEX(nombres[],SMALL(IF(OFFSET(nombres[],0,0,ROWS(nombres[]),1)=QS$1490,ROW(OFFSET(nombres[],0,0,ROWS(nombres[]),1))-ROW(OFFSET(nombres[],0,0,1,1))+1,ROW(OFFSET(nombres[],ROWS(nombres[])-1,0,1,1))+1),$O1514:$O1533),11),"")</f>
        <v/>
      </c>
      <c r="QT1514" s="42" t="str">
        <f t="array" aca="1" ref="QT1514:QT1533" ca="1">IFERROR(INDEX(nombres[],SMALL(IF(OFFSET(nombres[],0,0,ROWS(nombres[]),1)=QT$1490,ROW(OFFSET(nombres[],0,0,ROWS(nombres[]),1))-ROW(OFFSET(nombres[],0,0,1,1))+1,ROW(OFFSET(nombres[],ROWS(nombres[])-1,0,1,1))+1),$O1514:$O1533),11),"")</f>
        <v/>
      </c>
      <c r="QU1514" s="42" t="str">
        <f t="array" aca="1" ref="QU1514:QU1533" ca="1">IFERROR(INDEX(nombres[],SMALL(IF(OFFSET(nombres[],0,0,ROWS(nombres[]),1)=QU$1490,ROW(OFFSET(nombres[],0,0,ROWS(nombres[]),1))-ROW(OFFSET(nombres[],0,0,1,1))+1,ROW(OFFSET(nombres[],ROWS(nombres[])-1,0,1,1))+1),$O1514:$O1533),11),"")</f>
        <v/>
      </c>
      <c r="QV1514" s="42" t="str">
        <f t="array" aca="1" ref="QV1514:QV1533" ca="1">IFERROR(INDEX(nombres[],SMALL(IF(OFFSET(nombres[],0,0,ROWS(nombres[]),1)=QV$1490,ROW(OFFSET(nombres[],0,0,ROWS(nombres[]),1))-ROW(OFFSET(nombres[],0,0,1,1))+1,ROW(OFFSET(nombres[],ROWS(nombres[])-1,0,1,1))+1),$O1514:$O1533),11),"")</f>
        <v/>
      </c>
      <c r="QW1514" s="42" t="str">
        <f t="array" aca="1" ref="QW1514:QW1533" ca="1">IFERROR(INDEX(nombres[],SMALL(IF(OFFSET(nombres[],0,0,ROWS(nombres[]),1)=QW$1490,ROW(OFFSET(nombres[],0,0,ROWS(nombres[]),1))-ROW(OFFSET(nombres[],0,0,1,1))+1,ROW(OFFSET(nombres[],ROWS(nombres[])-1,0,1,1))+1),$O1514:$O1533),11),"")</f>
        <v/>
      </c>
      <c r="QX1514" s="42" t="str">
        <f t="array" aca="1" ref="QX1514:QX1533" ca="1">IFERROR(INDEX(nombres[],SMALL(IF(OFFSET(nombres[],0,0,ROWS(nombres[]),1)=QX$1490,ROW(OFFSET(nombres[],0,0,ROWS(nombres[]),1))-ROW(OFFSET(nombres[],0,0,1,1))+1,ROW(OFFSET(nombres[],ROWS(nombres[])-1,0,1,1))+1),$O1514:$O1533),11),"")</f>
        <v/>
      </c>
      <c r="QY1514" s="42" t="str">
        <f t="array" aca="1" ref="QY1514:QY1533" ca="1">IFERROR(INDEX(nombres[],SMALL(IF(OFFSET(nombres[],0,0,ROWS(nombres[]),1)=QY$1490,ROW(OFFSET(nombres[],0,0,ROWS(nombres[]),1))-ROW(OFFSET(nombres[],0,0,1,1))+1,ROW(OFFSET(nombres[],ROWS(nombres[])-1,0,1,1))+1),$O1514:$O1533),11),"")</f>
        <v/>
      </c>
      <c r="QZ1514" s="42" t="str">
        <f t="array" aca="1" ref="QZ1514:QZ1533" ca="1">IFERROR(INDEX(nombres[],SMALL(IF(OFFSET(nombres[],0,0,ROWS(nombres[]),1)=QZ$1490,ROW(OFFSET(nombres[],0,0,ROWS(nombres[]),1))-ROW(OFFSET(nombres[],0,0,1,1))+1,ROW(OFFSET(nombres[],ROWS(nombres[])-1,0,1,1))+1),$O1514:$O1533),11),"")</f>
        <v/>
      </c>
      <c r="RA1514" s="42" t="str">
        <f t="array" aca="1" ref="RA1514:RA1533" ca="1">IFERROR(INDEX(nombres[],SMALL(IF(OFFSET(nombres[],0,0,ROWS(nombres[]),1)=RA$1490,ROW(OFFSET(nombres[],0,0,ROWS(nombres[]),1))-ROW(OFFSET(nombres[],0,0,1,1))+1,ROW(OFFSET(nombres[],ROWS(nombres[])-1,0,1,1))+1),$O1514:$O1533),11),"")</f>
        <v/>
      </c>
      <c r="RB1514" s="42" t="str">
        <f t="array" aca="1" ref="RB1514:RB1533" ca="1">IFERROR(INDEX(nombres[],SMALL(IF(OFFSET(nombres[],0,0,ROWS(nombres[]),1)=RB$1490,ROW(OFFSET(nombres[],0,0,ROWS(nombres[]),1))-ROW(OFFSET(nombres[],0,0,1,1))+1,ROW(OFFSET(nombres[],ROWS(nombres[])-1,0,1,1))+1),$O1514:$O1533),11),"")</f>
        <v/>
      </c>
      <c r="RC1514" s="42" t="str">
        <f t="array" aca="1" ref="RC1514:RC1533" ca="1">IFERROR(INDEX(nombres[],SMALL(IF(OFFSET(nombres[],0,0,ROWS(nombres[]),1)=RC$1490,ROW(OFFSET(nombres[],0,0,ROWS(nombres[]),1))-ROW(OFFSET(nombres[],0,0,1,1))+1,ROW(OFFSET(nombres[],ROWS(nombres[])-1,0,1,1))+1),$O1514:$O1533),11),"")</f>
        <v/>
      </c>
      <c r="RD1514" s="42" t="str">
        <f t="array" aca="1" ref="RD1514:RD1533" ca="1">IFERROR(INDEX(nombres[],SMALL(IF(OFFSET(nombres[],0,0,ROWS(nombres[]),1)=RD$1490,ROW(OFFSET(nombres[],0,0,ROWS(nombres[]),1))-ROW(OFFSET(nombres[],0,0,1,1))+1,ROW(OFFSET(nombres[],ROWS(nombres[])-1,0,1,1))+1),$O1514:$O1533),11),"")</f>
        <v/>
      </c>
      <c r="RE1514" s="42" t="str">
        <f t="array" aca="1" ref="RE1514:RE1533" ca="1">IFERROR(INDEX(nombres[],SMALL(IF(OFFSET(nombres[],0,0,ROWS(nombres[]),1)=RE$1490,ROW(OFFSET(nombres[],0,0,ROWS(nombres[]),1))-ROW(OFFSET(nombres[],0,0,1,1))+1,ROW(OFFSET(nombres[],ROWS(nombres[])-1,0,1,1))+1),$O1514:$O1533),11),"")</f>
        <v/>
      </c>
      <c r="RF1514" s="42" t="str">
        <f t="array" aca="1" ref="RF1514:RF1533" ca="1">IFERROR(INDEX(nombres[],SMALL(IF(OFFSET(nombres[],0,0,ROWS(nombres[]),1)=RF$1490,ROW(OFFSET(nombres[],0,0,ROWS(nombres[]),1))-ROW(OFFSET(nombres[],0,0,1,1))+1,ROW(OFFSET(nombres[],ROWS(nombres[])-1,0,1,1))+1),$O1514:$O1533),11),"")</f>
        <v/>
      </c>
      <c r="RG1514" s="42" t="str">
        <f t="array" aca="1" ref="RG1514:RG1533" ca="1">IFERROR(INDEX(nombres[],SMALL(IF(OFFSET(nombres[],0,0,ROWS(nombres[]),1)=RG$1490,ROW(OFFSET(nombres[],0,0,ROWS(nombres[]),1))-ROW(OFFSET(nombres[],0,0,1,1))+1,ROW(OFFSET(nombres[],ROWS(nombres[])-1,0,1,1))+1),$O1514:$O1533),11),"")</f>
        <v/>
      </c>
      <c r="RH1514" s="42" t="str">
        <f t="array" aca="1" ref="RH1514:RH1533" ca="1">IFERROR(INDEX(nombres[],SMALL(IF(OFFSET(nombres[],0,0,ROWS(nombres[]),1)=RH$1490,ROW(OFFSET(nombres[],0,0,ROWS(nombres[]),1))-ROW(OFFSET(nombres[],0,0,1,1))+1,ROW(OFFSET(nombres[],ROWS(nombres[])-1,0,1,1))+1),$O1514:$O1533),11),"")</f>
        <v/>
      </c>
      <c r="RI1514" s="42" t="str">
        <f t="array" aca="1" ref="RI1514:RI1533" ca="1">IFERROR(INDEX(nombres[],SMALL(IF(OFFSET(nombres[],0,0,ROWS(nombres[]),1)=RI$1490,ROW(OFFSET(nombres[],0,0,ROWS(nombres[]),1))-ROW(OFFSET(nombres[],0,0,1,1))+1,ROW(OFFSET(nombres[],ROWS(nombres[])-1,0,1,1))+1),$O1514:$O1533),11),"")</f>
        <v/>
      </c>
      <c r="RJ1514" s="42" t="str">
        <f t="array" aca="1" ref="RJ1514:RJ1533" ca="1">IFERROR(INDEX(nombres[],SMALL(IF(OFFSET(nombres[],0,0,ROWS(nombres[]),1)=RJ$1490,ROW(OFFSET(nombres[],0,0,ROWS(nombres[]),1))-ROW(OFFSET(nombres[],0,0,1,1))+1,ROW(OFFSET(nombres[],ROWS(nombres[])-1,0,1,1))+1),$O1514:$O1533),11),"")</f>
        <v/>
      </c>
      <c r="RK1514" s="42" t="str">
        <f t="array" aca="1" ref="RK1514:RK1533" ca="1">IFERROR(INDEX(nombres[],SMALL(IF(OFFSET(nombres[],0,0,ROWS(nombres[]),1)=RK$1490,ROW(OFFSET(nombres[],0,0,ROWS(nombres[]),1))-ROW(OFFSET(nombres[],0,0,1,1))+1,ROW(OFFSET(nombres[],ROWS(nombres[])-1,0,1,1))+1),$O1514:$O1533),11),"")</f>
        <v/>
      </c>
      <c r="RL1514" s="42" t="str">
        <f t="array" aca="1" ref="RL1514:RL1533" ca="1">IFERROR(INDEX(nombres[],SMALL(IF(OFFSET(nombres[],0,0,ROWS(nombres[]),1)=RL$1490,ROW(OFFSET(nombres[],0,0,ROWS(nombres[]),1))-ROW(OFFSET(nombres[],0,0,1,1))+1,ROW(OFFSET(nombres[],ROWS(nombres[])-1,0,1,1))+1),$O1514:$O1533),11),"")</f>
        <v/>
      </c>
      <c r="RM1514" s="42" t="str">
        <f t="array" aca="1" ref="RM1514:RM1533" ca="1">IFERROR(INDEX(nombres[],SMALL(IF(OFFSET(nombres[],0,0,ROWS(nombres[]),1)=RM$1490,ROW(OFFSET(nombres[],0,0,ROWS(nombres[]),1))-ROW(OFFSET(nombres[],0,0,1,1))+1,ROW(OFFSET(nombres[],ROWS(nombres[])-1,0,1,1))+1),$O1514:$O1533),11),"")</f>
        <v/>
      </c>
      <c r="RN1514" s="42" t="str">
        <f t="array" aca="1" ref="RN1514:RN1533" ca="1">IFERROR(INDEX(nombres[],SMALL(IF(OFFSET(nombres[],0,0,ROWS(nombres[]),1)=RN$1490,ROW(OFFSET(nombres[],0,0,ROWS(nombres[]),1))-ROW(OFFSET(nombres[],0,0,1,1))+1,ROW(OFFSET(nombres[],ROWS(nombres[])-1,0,1,1))+1),$O1514:$O1533),11),"")</f>
        <v/>
      </c>
      <c r="RO1514" s="42" t="str">
        <f t="array" aca="1" ref="RO1514:RO1533" ca="1">IFERROR(INDEX(nombres[],SMALL(IF(OFFSET(nombres[],0,0,ROWS(nombres[]),1)=RO$1490,ROW(OFFSET(nombres[],0,0,ROWS(nombres[]),1))-ROW(OFFSET(nombres[],0,0,1,1))+1,ROW(OFFSET(nombres[],ROWS(nombres[])-1,0,1,1))+1),$O1514:$O1533),11),"")</f>
        <v/>
      </c>
      <c r="RP1514" s="42" t="str">
        <f t="array" aca="1" ref="RP1514:RP1533" ca="1">IFERROR(INDEX(nombres[],SMALL(IF(OFFSET(nombres[],0,0,ROWS(nombres[]),1)=RP$1490,ROW(OFFSET(nombres[],0,0,ROWS(nombres[]),1))-ROW(OFFSET(nombres[],0,0,1,1))+1,ROW(OFFSET(nombres[],ROWS(nombres[])-1,0,1,1))+1),$O1514:$O1533),11),"")</f>
        <v/>
      </c>
      <c r="RQ1514" s="42" t="str">
        <f t="array" aca="1" ref="RQ1514:RQ1533" ca="1">IFERROR(INDEX(nombres[],SMALL(IF(OFFSET(nombres[],0,0,ROWS(nombres[]),1)=RQ$1490,ROW(OFFSET(nombres[],0,0,ROWS(nombres[]),1))-ROW(OFFSET(nombres[],0,0,1,1))+1,ROW(OFFSET(nombres[],ROWS(nombres[])-1,0,1,1))+1),$O1514:$O1533),11),"")</f>
        <v/>
      </c>
      <c r="RR1514" s="42" t="str">
        <f t="array" aca="1" ref="RR1514:RR1533" ca="1">IFERROR(INDEX(nombres[],SMALL(IF(OFFSET(nombres[],0,0,ROWS(nombres[]),1)=RR$1490,ROW(OFFSET(nombres[],0,0,ROWS(nombres[]),1))-ROW(OFFSET(nombres[],0,0,1,1))+1,ROW(OFFSET(nombres[],ROWS(nombres[])-1,0,1,1))+1),$O1514:$O1533),11),"")</f>
        <v/>
      </c>
      <c r="RS1514" s="42" t="str">
        <f t="array" aca="1" ref="RS1514:RS1533" ca="1">IFERROR(INDEX(nombres[],SMALL(IF(OFFSET(nombres[],0,0,ROWS(nombres[]),1)=RS$1490,ROW(OFFSET(nombres[],0,0,ROWS(nombres[]),1))-ROW(OFFSET(nombres[],0,0,1,1))+1,ROW(OFFSET(nombres[],ROWS(nombres[])-1,0,1,1))+1),$O1514:$O1533),11),"")</f>
        <v/>
      </c>
      <c r="RT1514" s="42" t="str">
        <f t="array" aca="1" ref="RT1514:RT1533" ca="1">IFERROR(INDEX(nombres[],SMALL(IF(OFFSET(nombres[],0,0,ROWS(nombres[]),1)=RT$1490,ROW(OFFSET(nombres[],0,0,ROWS(nombres[]),1))-ROW(OFFSET(nombres[],0,0,1,1))+1,ROW(OFFSET(nombres[],ROWS(nombres[])-1,0,1,1))+1),$O1514:$O1533),11),"")</f>
        <v/>
      </c>
      <c r="RU1514" s="42" t="str">
        <f t="array" aca="1" ref="RU1514:RU1533" ca="1">IFERROR(INDEX(nombres[],SMALL(IF(OFFSET(nombres[],0,0,ROWS(nombres[]),1)=RU$1490,ROW(OFFSET(nombres[],0,0,ROWS(nombres[]),1))-ROW(OFFSET(nombres[],0,0,1,1))+1,ROW(OFFSET(nombres[],ROWS(nombres[])-1,0,1,1))+1),$O1514:$O1533),11),"")</f>
        <v/>
      </c>
      <c r="RV1514" s="42" t="str">
        <f t="array" aca="1" ref="RV1514:RV1533" ca="1">IFERROR(INDEX(nombres[],SMALL(IF(OFFSET(nombres[],0,0,ROWS(nombres[]),1)=RV$1490,ROW(OFFSET(nombres[],0,0,ROWS(nombres[]),1))-ROW(OFFSET(nombres[],0,0,1,1))+1,ROW(OFFSET(nombres[],ROWS(nombres[])-1,0,1,1))+1),$O1514:$O1533),11),"")</f>
        <v/>
      </c>
      <c r="RW1514" s="42" t="str">
        <f t="array" aca="1" ref="RW1514:RW1533" ca="1">IFERROR(INDEX(nombres[],SMALL(IF(OFFSET(nombres[],0,0,ROWS(nombres[]),1)=RW$1490,ROW(OFFSET(nombres[],0,0,ROWS(nombres[]),1))-ROW(OFFSET(nombres[],0,0,1,1))+1,ROW(OFFSET(nombres[],ROWS(nombres[])-1,0,1,1))+1),$O1514:$O1533),11),"")</f>
        <v/>
      </c>
      <c r="RX1514" s="42" t="str">
        <f t="array" aca="1" ref="RX1514:RX1533" ca="1">IFERROR(INDEX(nombres[],SMALL(IF(OFFSET(nombres[],0,0,ROWS(nombres[]),1)=RX$1490,ROW(OFFSET(nombres[],0,0,ROWS(nombres[]),1))-ROW(OFFSET(nombres[],0,0,1,1))+1,ROW(OFFSET(nombres[],ROWS(nombres[])-1,0,1,1))+1),$O1514:$O1533),11),"")</f>
        <v/>
      </c>
      <c r="RY1514" s="42" t="str">
        <f t="array" aca="1" ref="RY1514:RY1533" ca="1">IFERROR(INDEX(nombres[],SMALL(IF(OFFSET(nombres[],0,0,ROWS(nombres[]),1)=RY$1490,ROW(OFFSET(nombres[],0,0,ROWS(nombres[]),1))-ROW(OFFSET(nombres[],0,0,1,1))+1,ROW(OFFSET(nombres[],ROWS(nombres[])-1,0,1,1))+1),$O1514:$O1533),11),"")</f>
        <v/>
      </c>
      <c r="RZ1514" s="42" t="str">
        <f t="array" aca="1" ref="RZ1514:RZ1533" ca="1">IFERROR(INDEX(nombres[],SMALL(IF(OFFSET(nombres[],0,0,ROWS(nombres[]),1)=RZ$1490,ROW(OFFSET(nombres[],0,0,ROWS(nombres[]),1))-ROW(OFFSET(nombres[],0,0,1,1))+1,ROW(OFFSET(nombres[],ROWS(nombres[])-1,0,1,1))+1),$O1514:$O1533),11),"")</f>
        <v/>
      </c>
      <c r="SA1514" s="42" t="str">
        <f t="array" aca="1" ref="SA1514:SA1533" ca="1">IFERROR(INDEX(nombres[],SMALL(IF(OFFSET(nombres[],0,0,ROWS(nombres[]),1)=SA$1490,ROW(OFFSET(nombres[],0,0,ROWS(nombres[]),1))-ROW(OFFSET(nombres[],0,0,1,1))+1,ROW(OFFSET(nombres[],ROWS(nombres[])-1,0,1,1))+1),$O1514:$O1533),11),"")</f>
        <v/>
      </c>
      <c r="SB1514" s="42" t="str">
        <f t="array" aca="1" ref="SB1514:SB1533" ca="1">IFERROR(INDEX(nombres[],SMALL(IF(OFFSET(nombres[],0,0,ROWS(nombres[]),1)=SB$1490,ROW(OFFSET(nombres[],0,0,ROWS(nombres[]),1))-ROW(OFFSET(nombres[],0,0,1,1))+1,ROW(OFFSET(nombres[],ROWS(nombres[])-1,0,1,1))+1),$O1514:$O1533),11),"")</f>
        <v/>
      </c>
      <c r="SC1514" s="42" t="str">
        <f t="array" aca="1" ref="SC1514:SC1533" ca="1">IFERROR(INDEX(nombres[],SMALL(IF(OFFSET(nombres[],0,0,ROWS(nombres[]),1)=SC$1490,ROW(OFFSET(nombres[],0,0,ROWS(nombres[]),1))-ROW(OFFSET(nombres[],0,0,1,1))+1,ROW(OFFSET(nombres[],ROWS(nombres[])-1,0,1,1))+1),$O1514:$O1533),11),"")</f>
        <v/>
      </c>
      <c r="SD1514" s="42" t="str">
        <f t="array" aca="1" ref="SD1514:SD1533" ca="1">IFERROR(INDEX(nombres[],SMALL(IF(OFFSET(nombres[],0,0,ROWS(nombres[]),1)=SD$1490,ROW(OFFSET(nombres[],0,0,ROWS(nombres[]),1))-ROW(OFFSET(nombres[],0,0,1,1))+1,ROW(OFFSET(nombres[],ROWS(nombres[])-1,0,1,1))+1),$O1514:$O1533),11),"")</f>
        <v/>
      </c>
      <c r="SE1514" s="42" t="str">
        <f t="array" aca="1" ref="SE1514:SE1533" ca="1">IFERROR(INDEX(nombres[],SMALL(IF(OFFSET(nombres[],0,0,ROWS(nombres[]),1)=SE$1490,ROW(OFFSET(nombres[],0,0,ROWS(nombres[]),1))-ROW(OFFSET(nombres[],0,0,1,1))+1,ROW(OFFSET(nombres[],ROWS(nombres[])-1,0,1,1))+1),$O1514:$O1533),11),"")</f>
        <v/>
      </c>
      <c r="SF1514" s="42" t="str">
        <f t="array" aca="1" ref="SF1514:SF1533" ca="1">IFERROR(INDEX(nombres[],SMALL(IF(OFFSET(nombres[],0,0,ROWS(nombres[]),1)=SF$1490,ROW(OFFSET(nombres[],0,0,ROWS(nombres[]),1))-ROW(OFFSET(nombres[],0,0,1,1))+1,ROW(OFFSET(nombres[],ROWS(nombres[])-1,0,1,1))+1),$O1514:$O1533),11),"")</f>
        <v/>
      </c>
      <c r="SG1514" s="42" t="str">
        <f t="array" aca="1" ref="SG1514:SG1533" ca="1">IFERROR(INDEX(nombres[],SMALL(IF(OFFSET(nombres[],0,0,ROWS(nombres[]),1)=SG$1490,ROW(OFFSET(nombres[],0,0,ROWS(nombres[]),1))-ROW(OFFSET(nombres[],0,0,1,1))+1,ROW(OFFSET(nombres[],ROWS(nombres[])-1,0,1,1))+1),$O1514:$O1533),11),"")</f>
        <v/>
      </c>
      <c r="SH1514" s="42" t="str">
        <f t="array" aca="1" ref="SH1514:SH1533" ca="1">IFERROR(INDEX(nombres[],SMALL(IF(OFFSET(nombres[],0,0,ROWS(nombres[]),1)=SH$1490,ROW(OFFSET(nombres[],0,0,ROWS(nombres[]),1))-ROW(OFFSET(nombres[],0,0,1,1))+1,ROW(OFFSET(nombres[],ROWS(nombres[])-1,0,1,1))+1),$O1514:$O1533),11),"")</f>
        <v/>
      </c>
      <c r="SI1514" s="42" t="str">
        <f t="array" aca="1" ref="SI1514:SI1533" ca="1">IFERROR(INDEX(nombres[],SMALL(IF(OFFSET(nombres[],0,0,ROWS(nombres[]),1)=SI$1490,ROW(OFFSET(nombres[],0,0,ROWS(nombres[]),1))-ROW(OFFSET(nombres[],0,0,1,1))+1,ROW(OFFSET(nombres[],ROWS(nombres[])-1,0,1,1))+1),$O1514:$O1533),11),"")</f>
        <v/>
      </c>
      <c r="SJ1514" s="42" t="str">
        <f t="array" aca="1" ref="SJ1514:SJ1533" ca="1">IFERROR(INDEX(nombres[],SMALL(IF(OFFSET(nombres[],0,0,ROWS(nombres[]),1)=SJ$1490,ROW(OFFSET(nombres[],0,0,ROWS(nombres[]),1))-ROW(OFFSET(nombres[],0,0,1,1))+1,ROW(OFFSET(nombres[],ROWS(nombres[])-1,0,1,1))+1),$O1514:$O1533),11),"")</f>
        <v/>
      </c>
      <c r="SK1514" s="42" t="str">
        <f t="array" aca="1" ref="SK1514:SK1533" ca="1">IFERROR(INDEX(nombres[],SMALL(IF(OFFSET(nombres[],0,0,ROWS(nombres[]),1)=SK$1490,ROW(OFFSET(nombres[],0,0,ROWS(nombres[]),1))-ROW(OFFSET(nombres[],0,0,1,1))+1,ROW(OFFSET(nombres[],ROWS(nombres[])-1,0,1,1))+1),$O1514:$O1533),11),"")</f>
        <v/>
      </c>
      <c r="SL1514" s="42" t="str">
        <f t="array" aca="1" ref="SL1514:SL1533" ca="1">IFERROR(INDEX(nombres[],SMALL(IF(OFFSET(nombres[],0,0,ROWS(nombres[]),1)=SL$1490,ROW(OFFSET(nombres[],0,0,ROWS(nombres[]),1))-ROW(OFFSET(nombres[],0,0,1,1))+1,ROW(OFFSET(nombres[],ROWS(nombres[])-1,0,1,1))+1),$O1514:$O1533),11),"")</f>
        <v/>
      </c>
      <c r="SM1514" s="42" t="str">
        <f t="array" aca="1" ref="SM1514:SM1533" ca="1">IFERROR(INDEX(nombres[],SMALL(IF(OFFSET(nombres[],0,0,ROWS(nombres[]),1)=SM$1490,ROW(OFFSET(nombres[],0,0,ROWS(nombres[]),1))-ROW(OFFSET(nombres[],0,0,1,1))+1,ROW(OFFSET(nombres[],ROWS(nombres[])-1,0,1,1))+1),$O1514:$O1533),11),"")</f>
        <v/>
      </c>
      <c r="SN1514" s="42" t="str">
        <f t="array" aca="1" ref="SN1514:SN1533" ca="1">IFERROR(INDEX(nombres[],SMALL(IF(OFFSET(nombres[],0,0,ROWS(nombres[]),1)=SN$1490,ROW(OFFSET(nombres[],0,0,ROWS(nombres[]),1))-ROW(OFFSET(nombres[],0,0,1,1))+1,ROW(OFFSET(nombres[],ROWS(nombres[])-1,0,1,1))+1),$O1514:$O1533),11),"")</f>
        <v/>
      </c>
      <c r="SO1514" s="42" t="str">
        <f t="array" aca="1" ref="SO1514:SO1533" ca="1">IFERROR(INDEX(nombres[],SMALL(IF(OFFSET(nombres[],0,0,ROWS(nombres[]),1)=SO$1490,ROW(OFFSET(nombres[],0,0,ROWS(nombres[]),1))-ROW(OFFSET(nombres[],0,0,1,1))+1,ROW(OFFSET(nombres[],ROWS(nombres[])-1,0,1,1))+1),$O1514:$O1533),11),"")</f>
        <v/>
      </c>
      <c r="SP1514" s="42" t="str">
        <f t="array" aca="1" ref="SP1514:SP1533" ca="1">IFERROR(INDEX(nombres[],SMALL(IF(OFFSET(nombres[],0,0,ROWS(nombres[]),1)=SP$1490,ROW(OFFSET(nombres[],0,0,ROWS(nombres[]),1))-ROW(OFFSET(nombres[],0,0,1,1))+1,ROW(OFFSET(nombres[],ROWS(nombres[])-1,0,1,1))+1),$O1514:$O1533),11),"")</f>
        <v/>
      </c>
      <c r="SQ1514" s="42" t="str">
        <f t="array" aca="1" ref="SQ1514:SQ1533" ca="1">IFERROR(INDEX(nombres[],SMALL(IF(OFFSET(nombres[],0,0,ROWS(nombres[]),1)=SQ$1490,ROW(OFFSET(nombres[],0,0,ROWS(nombres[]),1))-ROW(OFFSET(nombres[],0,0,1,1))+1,ROW(OFFSET(nombres[],ROWS(nombres[])-1,0,1,1))+1),$O1514:$O1533),11),"")</f>
        <v/>
      </c>
      <c r="SR1514" s="42" t="str">
        <f t="array" aca="1" ref="SR1514:SR1533" ca="1">IFERROR(INDEX(nombres[],SMALL(IF(OFFSET(nombres[],0,0,ROWS(nombres[]),1)=SR$1490,ROW(OFFSET(nombres[],0,0,ROWS(nombres[]),1))-ROW(OFFSET(nombres[],0,0,1,1))+1,ROW(OFFSET(nombres[],ROWS(nombres[])-1,0,1,1))+1),$O1514:$O1533),11),"")</f>
        <v/>
      </c>
      <c r="SS1514" s="42" t="str">
        <f t="array" aca="1" ref="SS1514:SS1533" ca="1">IFERROR(INDEX(nombres[],SMALL(IF(OFFSET(nombres[],0,0,ROWS(nombres[]),1)=SS$1490,ROW(OFFSET(nombres[],0,0,ROWS(nombres[]),1))-ROW(OFFSET(nombres[],0,0,1,1))+1,ROW(OFFSET(nombres[],ROWS(nombres[])-1,0,1,1))+1),$O1514:$O1533),11),"")</f>
        <v/>
      </c>
      <c r="ST1514" s="42" t="str">
        <f t="array" aca="1" ref="ST1514:ST1533" ca="1">IFERROR(INDEX(nombres[],SMALL(IF(OFFSET(nombres[],0,0,ROWS(nombres[]),1)=ST$1490,ROW(OFFSET(nombres[],0,0,ROWS(nombres[]),1))-ROW(OFFSET(nombres[],0,0,1,1))+1,ROW(OFFSET(nombres[],ROWS(nombres[])-1,0,1,1))+1),$O1514:$O1533),11),"")</f>
        <v/>
      </c>
      <c r="SU1514" s="42" t="str">
        <f t="array" aca="1" ref="SU1514:SU1533" ca="1">IFERROR(INDEX(nombres[],SMALL(IF(OFFSET(nombres[],0,0,ROWS(nombres[]),1)=SU$1490,ROW(OFFSET(nombres[],0,0,ROWS(nombres[]),1))-ROW(OFFSET(nombres[],0,0,1,1))+1,ROW(OFFSET(nombres[],ROWS(nombres[])-1,0,1,1))+1),$O1514:$O1533),11),"")</f>
        <v/>
      </c>
      <c r="SV1514" s="42" t="str">
        <f t="array" aca="1" ref="SV1514:SV1533" ca="1">IFERROR(INDEX(nombres[],SMALL(IF(OFFSET(nombres[],0,0,ROWS(nombres[]),1)=SV$1490,ROW(OFFSET(nombres[],0,0,ROWS(nombres[]),1))-ROW(OFFSET(nombres[],0,0,1,1))+1,ROW(OFFSET(nombres[],ROWS(nombres[])-1,0,1,1))+1),$O1514:$O1533),11),"")</f>
        <v/>
      </c>
      <c r="SW1514" s="42" t="str">
        <f t="array" aca="1" ref="SW1514:SW1533" ca="1">IFERROR(INDEX(nombres[],SMALL(IF(OFFSET(nombres[],0,0,ROWS(nombres[]),1)=SW$1490,ROW(OFFSET(nombres[],0,0,ROWS(nombres[]),1))-ROW(OFFSET(nombres[],0,0,1,1))+1,ROW(OFFSET(nombres[],ROWS(nombres[])-1,0,1,1))+1),$O1514:$O1533),11),"")</f>
        <v/>
      </c>
      <c r="SX1514" s="42" t="str">
        <f t="array" aca="1" ref="SX1514:SX1533" ca="1">IFERROR(INDEX(nombres[],SMALL(IF(OFFSET(nombres[],0,0,ROWS(nombres[]),1)=SX$1490,ROW(OFFSET(nombres[],0,0,ROWS(nombres[]),1))-ROW(OFFSET(nombres[],0,0,1,1))+1,ROW(OFFSET(nombres[],ROWS(nombres[])-1,0,1,1))+1),$O1514:$O1533),11),"")</f>
        <v/>
      </c>
      <c r="SY1514" s="42" t="str">
        <f t="array" aca="1" ref="SY1514:SY1533" ca="1">IFERROR(INDEX(nombres[],SMALL(IF(OFFSET(nombres[],0,0,ROWS(nombres[]),1)=SY$1490,ROW(OFFSET(nombres[],0,0,ROWS(nombres[]),1))-ROW(OFFSET(nombres[],0,0,1,1))+1,ROW(OFFSET(nombres[],ROWS(nombres[])-1,0,1,1))+1),$O1514:$O1533),11),"")</f>
        <v/>
      </c>
      <c r="SZ1514" s="42" t="str">
        <f t="array" aca="1" ref="SZ1514:SZ1533" ca="1">IFERROR(INDEX(nombres[],SMALL(IF(OFFSET(nombres[],0,0,ROWS(nombres[]),1)=SZ$1490,ROW(OFFSET(nombres[],0,0,ROWS(nombres[]),1))-ROW(OFFSET(nombres[],0,0,1,1))+1,ROW(OFFSET(nombres[],ROWS(nombres[])-1,0,1,1))+1),$O1514:$O1533),11),"")</f>
        <v/>
      </c>
      <c r="TA1514" s="42" t="str">
        <f t="array" aca="1" ref="TA1514:TA1533" ca="1">IFERROR(INDEX(nombres[],SMALL(IF(OFFSET(nombres[],0,0,ROWS(nombres[]),1)=TA$1490,ROW(OFFSET(nombres[],0,0,ROWS(nombres[]),1))-ROW(OFFSET(nombres[],0,0,1,1))+1,ROW(OFFSET(nombres[],ROWS(nombres[])-1,0,1,1))+1),$O1514:$O1533),11),"")</f>
        <v/>
      </c>
      <c r="TB1514" s="42" t="str">
        <f t="array" aca="1" ref="TB1514:TB1533" ca="1">IFERROR(INDEX(nombres[],SMALL(IF(OFFSET(nombres[],0,0,ROWS(nombres[]),1)=TB$1490,ROW(OFFSET(nombres[],0,0,ROWS(nombres[]),1))-ROW(OFFSET(nombres[],0,0,1,1))+1,ROW(OFFSET(nombres[],ROWS(nombres[])-1,0,1,1))+1),$O1514:$O1533),11),"")</f>
        <v/>
      </c>
      <c r="TC1514" s="42" t="str">
        <f t="array" aca="1" ref="TC1514:TC1533" ca="1">IFERROR(INDEX(nombres[],SMALL(IF(OFFSET(nombres[],0,0,ROWS(nombres[]),1)=TC$1490,ROW(OFFSET(nombres[],0,0,ROWS(nombres[]),1))-ROW(OFFSET(nombres[],0,0,1,1))+1,ROW(OFFSET(nombres[],ROWS(nombres[])-1,0,1,1))+1),$O1514:$O1533),11),"")</f>
        <v/>
      </c>
      <c r="TD1514" s="42" t="str">
        <f t="array" aca="1" ref="TD1514:TD1533" ca="1">IFERROR(INDEX(nombres[],SMALL(IF(OFFSET(nombres[],0,0,ROWS(nombres[]),1)=TD$1490,ROW(OFFSET(nombres[],0,0,ROWS(nombres[]),1))-ROW(OFFSET(nombres[],0,0,1,1))+1,ROW(OFFSET(nombres[],ROWS(nombres[])-1,0,1,1))+1),$O1514:$O1533),11),"")</f>
        <v/>
      </c>
      <c r="TE1514" s="42" t="str">
        <f t="array" aca="1" ref="TE1514:TE1533" ca="1">IFERROR(INDEX(nombres[],SMALL(IF(OFFSET(nombres[],0,0,ROWS(nombres[]),1)=TE$1490,ROW(OFFSET(nombres[],0,0,ROWS(nombres[]),1))-ROW(OFFSET(nombres[],0,0,1,1))+1,ROW(OFFSET(nombres[],ROWS(nombres[])-1,0,1,1))+1),$O1514:$O1533),11),"")</f>
        <v/>
      </c>
      <c r="TF1514" s="42" t="str">
        <f t="array" aca="1" ref="TF1514:TF1533" ca="1">IFERROR(INDEX(nombres[],SMALL(IF(OFFSET(nombres[],0,0,ROWS(nombres[]),1)=TF$1490,ROW(OFFSET(nombres[],0,0,ROWS(nombres[]),1))-ROW(OFFSET(nombres[],0,0,1,1))+1,ROW(OFFSET(nombres[],ROWS(nombres[])-1,0,1,1))+1),$O1514:$O1533),11),"")</f>
        <v/>
      </c>
      <c r="TG1514" s="42" t="str">
        <f t="array" aca="1" ref="TG1514:TG1533" ca="1">IFERROR(INDEX(nombres[],SMALL(IF(OFFSET(nombres[],0,0,ROWS(nombres[]),1)=TG$1490,ROW(OFFSET(nombres[],0,0,ROWS(nombres[]),1))-ROW(OFFSET(nombres[],0,0,1,1))+1,ROW(OFFSET(nombres[],ROWS(nombres[])-1,0,1,1))+1),$O1514:$O1533),11),"")</f>
        <v/>
      </c>
      <c r="TH1514" s="42" t="str">
        <f t="array" aca="1" ref="TH1514:TH1533" ca="1">IFERROR(INDEX(nombres[],SMALL(IF(OFFSET(nombres[],0,0,ROWS(nombres[]),1)=TH$1490,ROW(OFFSET(nombres[],0,0,ROWS(nombres[]),1))-ROW(OFFSET(nombres[],0,0,1,1))+1,ROW(OFFSET(nombres[],ROWS(nombres[])-1,0,1,1))+1),$O1514:$O1533),11),"")</f>
        <v/>
      </c>
      <c r="TI1514" s="42" t="str">
        <f t="array" aca="1" ref="TI1514:TI1533" ca="1">IFERROR(INDEX(nombres[],SMALL(IF(OFFSET(nombres[],0,0,ROWS(nombres[]),1)=TI$1490,ROW(OFFSET(nombres[],0,0,ROWS(nombres[]),1))-ROW(OFFSET(nombres[],0,0,1,1))+1,ROW(OFFSET(nombres[],ROWS(nombres[])-1,0,1,1))+1),$O1514:$O1533),11),"")</f>
        <v/>
      </c>
      <c r="TJ1514" s="42" t="str">
        <f t="array" aca="1" ref="TJ1514:TJ1533" ca="1">IFERROR(INDEX(nombres[],SMALL(IF(OFFSET(nombres[],0,0,ROWS(nombres[]),1)=TJ$1490,ROW(OFFSET(nombres[],0,0,ROWS(nombres[]),1))-ROW(OFFSET(nombres[],0,0,1,1))+1,ROW(OFFSET(nombres[],ROWS(nombres[])-1,0,1,1))+1),$O1514:$O1533),11),"")</f>
        <v/>
      </c>
      <c r="TK1514" s="42" t="str">
        <f t="array" aca="1" ref="TK1514:TK1533" ca="1">IFERROR(INDEX(nombres[],SMALL(IF(OFFSET(nombres[],0,0,ROWS(nombres[]),1)=TK$1490,ROW(OFFSET(nombres[],0,0,ROWS(nombres[]),1))-ROW(OFFSET(nombres[],0,0,1,1))+1,ROW(OFFSET(nombres[],ROWS(nombres[])-1,0,1,1))+1),$O1514:$O1533),11),"")</f>
        <v/>
      </c>
      <c r="TL1514" s="42" t="str">
        <f t="array" aca="1" ref="TL1514:TL1533" ca="1">IFERROR(INDEX(nombres[],SMALL(IF(OFFSET(nombres[],0,0,ROWS(nombres[]),1)=TL$1490,ROW(OFFSET(nombres[],0,0,ROWS(nombres[]),1))-ROW(OFFSET(nombres[],0,0,1,1))+1,ROW(OFFSET(nombres[],ROWS(nombres[])-1,0,1,1))+1),$O1514:$O1533),11),"")</f>
        <v/>
      </c>
      <c r="TM1514" s="42" t="str">
        <f t="array" aca="1" ref="TM1514:TM1533" ca="1">IFERROR(INDEX(nombres[],SMALL(IF(OFFSET(nombres[],0,0,ROWS(nombres[]),1)=TM$1490,ROW(OFFSET(nombres[],0,0,ROWS(nombres[]),1))-ROW(OFFSET(nombres[],0,0,1,1))+1,ROW(OFFSET(nombres[],ROWS(nombres[])-1,0,1,1))+1),$O1514:$O1533),11),"")</f>
        <v/>
      </c>
      <c r="TN1514" s="42" t="str">
        <f t="array" aca="1" ref="TN1514:TN1533" ca="1">IFERROR(INDEX(nombres[],SMALL(IF(OFFSET(nombres[],0,0,ROWS(nombres[]),1)=TN$1490,ROW(OFFSET(nombres[],0,0,ROWS(nombres[]),1))-ROW(OFFSET(nombres[],0,0,1,1))+1,ROW(OFFSET(nombres[],ROWS(nombres[])-1,0,1,1))+1),$O1514:$O1533),11),"")</f>
        <v/>
      </c>
      <c r="TO1514" s="42" t="str">
        <f t="array" aca="1" ref="TO1514:TO1533" ca="1">IFERROR(INDEX(nombres[],SMALL(IF(OFFSET(nombres[],0,0,ROWS(nombres[]),1)=TO$1490,ROW(OFFSET(nombres[],0,0,ROWS(nombres[]),1))-ROW(OFFSET(nombres[],0,0,1,1))+1,ROW(OFFSET(nombres[],ROWS(nombres[])-1,0,1,1))+1),$O1514:$O1533),11),"")</f>
        <v/>
      </c>
      <c r="TP1514" s="42" t="str">
        <f t="array" aca="1" ref="TP1514:TP1533" ca="1">IFERROR(INDEX(nombres[],SMALL(IF(OFFSET(nombres[],0,0,ROWS(nombres[]),1)=TP$1490,ROW(OFFSET(nombres[],0,0,ROWS(nombres[]),1))-ROW(OFFSET(nombres[],0,0,1,1))+1,ROW(OFFSET(nombres[],ROWS(nombres[])-1,0,1,1))+1),$O1514:$O1533),11),"")</f>
        <v/>
      </c>
      <c r="TQ1514" s="42" t="str">
        <f t="array" aca="1" ref="TQ1514:TQ1533" ca="1">IFERROR(INDEX(nombres[],SMALL(IF(OFFSET(nombres[],0,0,ROWS(nombres[]),1)=TQ$1490,ROW(OFFSET(nombres[],0,0,ROWS(nombres[]),1))-ROW(OFFSET(nombres[],0,0,1,1))+1,ROW(OFFSET(nombres[],ROWS(nombres[])-1,0,1,1))+1),$O1514:$O1533),11),"")</f>
        <v/>
      </c>
      <c r="TR1514" s="42" t="str">
        <f t="array" aca="1" ref="TR1514:TR1533" ca="1">IFERROR(INDEX(nombres[],SMALL(IF(OFFSET(nombres[],0,0,ROWS(nombres[]),1)=TR$1490,ROW(OFFSET(nombres[],0,0,ROWS(nombres[]),1))-ROW(OFFSET(nombres[],0,0,1,1))+1,ROW(OFFSET(nombres[],ROWS(nombres[])-1,0,1,1))+1),$O1514:$O1533),11),"")</f>
        <v/>
      </c>
      <c r="TS1514" s="42" t="str">
        <f t="array" aca="1" ref="TS1514:TS1533" ca="1">IFERROR(INDEX(nombres[],SMALL(IF(OFFSET(nombres[],0,0,ROWS(nombres[]),1)=TS$1490,ROW(OFFSET(nombres[],0,0,ROWS(nombres[]),1))-ROW(OFFSET(nombres[],0,0,1,1))+1,ROW(OFFSET(nombres[],ROWS(nombres[])-1,0,1,1))+1),$O1514:$O1533),11),"")</f>
        <v/>
      </c>
      <c r="TT1514" s="42" t="str">
        <f t="array" aca="1" ref="TT1514:TT1533" ca="1">IFERROR(INDEX(nombres[],SMALL(IF(OFFSET(nombres[],0,0,ROWS(nombres[]),1)=TT$1490,ROW(OFFSET(nombres[],0,0,ROWS(nombres[]),1))-ROW(OFFSET(nombres[],0,0,1,1))+1,ROW(OFFSET(nombres[],ROWS(nombres[])-1,0,1,1))+1),$O1514:$O1533),11),"")</f>
        <v/>
      </c>
      <c r="TU1514" s="42" t="str">
        <f t="array" aca="1" ref="TU1514:TU1533" ca="1">IFERROR(INDEX(nombres[],SMALL(IF(OFFSET(nombres[],0,0,ROWS(nombres[]),1)=TU$1490,ROW(OFFSET(nombres[],0,0,ROWS(nombres[]),1))-ROW(OFFSET(nombres[],0,0,1,1))+1,ROW(OFFSET(nombres[],ROWS(nombres[])-1,0,1,1))+1),$O1514:$O1533),11),"")</f>
        <v/>
      </c>
      <c r="TV1514" s="42" t="str">
        <f t="array" aca="1" ref="TV1514:TV1533" ca="1">IFERROR(INDEX(nombres[],SMALL(IF(OFFSET(nombres[],0,0,ROWS(nombres[]),1)=TV$1490,ROW(OFFSET(nombres[],0,0,ROWS(nombres[]),1))-ROW(OFFSET(nombres[],0,0,1,1))+1,ROW(OFFSET(nombres[],ROWS(nombres[])-1,0,1,1))+1),$O1514:$O1533),11),"")</f>
        <v/>
      </c>
      <c r="TW1514" s="42" t="str">
        <f t="array" aca="1" ref="TW1514:TW1533" ca="1">IFERROR(INDEX(nombres[],SMALL(IF(OFFSET(nombres[],0,0,ROWS(nombres[]),1)=TW$1490,ROW(OFFSET(nombres[],0,0,ROWS(nombres[]),1))-ROW(OFFSET(nombres[],0,0,1,1))+1,ROW(OFFSET(nombres[],ROWS(nombres[])-1,0,1,1))+1),$O1514:$O1533),11),"")</f>
        <v/>
      </c>
      <c r="TX1514" s="42" t="str">
        <f t="array" aca="1" ref="TX1514:TX1533" ca="1">IFERROR(INDEX(nombres[],SMALL(IF(OFFSET(nombres[],0,0,ROWS(nombres[]),1)=TX$1490,ROW(OFFSET(nombres[],0,0,ROWS(nombres[]),1))-ROW(OFFSET(nombres[],0,0,1,1))+1,ROW(OFFSET(nombres[],ROWS(nombres[])-1,0,1,1))+1),$O1514:$O1533),11),"")</f>
        <v/>
      </c>
      <c r="TY1514" s="42" t="str">
        <f t="array" aca="1" ref="TY1514:TY1533" ca="1">IFERROR(INDEX(nombres[],SMALL(IF(OFFSET(nombres[],0,0,ROWS(nombres[]),1)=TY$1490,ROW(OFFSET(nombres[],0,0,ROWS(nombres[]),1))-ROW(OFFSET(nombres[],0,0,1,1))+1,ROW(OFFSET(nombres[],ROWS(nombres[])-1,0,1,1))+1),$O1514:$O1533),11),"")</f>
        <v/>
      </c>
      <c r="TZ1514" s="42" t="str">
        <f t="array" aca="1" ref="TZ1514:TZ1533" ca="1">IFERROR(INDEX(nombres[],SMALL(IF(OFFSET(nombres[],0,0,ROWS(nombres[]),1)=TZ$1490,ROW(OFFSET(nombres[],0,0,ROWS(nombres[]),1))-ROW(OFFSET(nombres[],0,0,1,1))+1,ROW(OFFSET(nombres[],ROWS(nombres[])-1,0,1,1))+1),$O1514:$O1533),11),"")</f>
        <v/>
      </c>
      <c r="UA1514" s="42" t="str">
        <f t="array" aca="1" ref="UA1514:UA1533" ca="1">IFERROR(INDEX(nombres[],SMALL(IF(OFFSET(nombres[],0,0,ROWS(nombres[]),1)=UA$1490,ROW(OFFSET(nombres[],0,0,ROWS(nombres[]),1))-ROW(OFFSET(nombres[],0,0,1,1))+1,ROW(OFFSET(nombres[],ROWS(nombres[])-1,0,1,1))+1),$O1514:$O1533),11),"")</f>
        <v/>
      </c>
      <c r="UB1514" s="42" t="str">
        <f t="array" aca="1" ref="UB1514:UB1533" ca="1">IFERROR(INDEX(nombres[],SMALL(IF(OFFSET(nombres[],0,0,ROWS(nombres[]),1)=UB$1490,ROW(OFFSET(nombres[],0,0,ROWS(nombres[]),1))-ROW(OFFSET(nombres[],0,0,1,1))+1,ROW(OFFSET(nombres[],ROWS(nombres[])-1,0,1,1))+1),$O1514:$O1533),11),"")</f>
        <v/>
      </c>
      <c r="UC1514" s="42" t="str">
        <f t="array" aca="1" ref="UC1514:UC1533" ca="1">IFERROR(INDEX(nombres[],SMALL(IF(OFFSET(nombres[],0,0,ROWS(nombres[]),1)=UC$1490,ROW(OFFSET(nombres[],0,0,ROWS(nombres[]),1))-ROW(OFFSET(nombres[],0,0,1,1))+1,ROW(OFFSET(nombres[],ROWS(nombres[])-1,0,1,1))+1),$O1514:$O1533),11),"")</f>
        <v/>
      </c>
      <c r="UD1514" s="42" t="str">
        <f t="array" aca="1" ref="UD1514:UD1533" ca="1">IFERROR(INDEX(nombres[],SMALL(IF(OFFSET(nombres[],0,0,ROWS(nombres[]),1)=UD$1490,ROW(OFFSET(nombres[],0,0,ROWS(nombres[]),1))-ROW(OFFSET(nombres[],0,0,1,1))+1,ROW(OFFSET(nombres[],ROWS(nombres[])-1,0,1,1))+1),$O1514:$O1533),11),"")</f>
        <v/>
      </c>
      <c r="UE1514" s="42" t="str">
        <f t="array" aca="1" ref="UE1514:UE1533" ca="1">IFERROR(INDEX(nombres[],SMALL(IF(OFFSET(nombres[],0,0,ROWS(nombres[]),1)=UE$1490,ROW(OFFSET(nombres[],0,0,ROWS(nombres[]),1))-ROW(OFFSET(nombres[],0,0,1,1))+1,ROW(OFFSET(nombres[],ROWS(nombres[])-1,0,1,1))+1),$O1514:$O1533),11),"")</f>
        <v/>
      </c>
      <c r="UF1514" s="42" t="str">
        <f t="array" aca="1" ref="UF1514:UF1533" ca="1">IFERROR(INDEX(nombres[],SMALL(IF(OFFSET(nombres[],0,0,ROWS(nombres[]),1)=UF$1490,ROW(OFFSET(nombres[],0,0,ROWS(nombres[]),1))-ROW(OFFSET(nombres[],0,0,1,1))+1,ROW(OFFSET(nombres[],ROWS(nombres[])-1,0,1,1))+1),$O1514:$O1533),11),"")</f>
        <v/>
      </c>
      <c r="UG1514" s="42" t="str">
        <f t="array" aca="1" ref="UG1514:UG1533" ca="1">IFERROR(INDEX(nombres[],SMALL(IF(OFFSET(nombres[],0,0,ROWS(nombres[]),1)=UG$1490,ROW(OFFSET(nombres[],0,0,ROWS(nombres[]),1))-ROW(OFFSET(nombres[],0,0,1,1))+1,ROW(OFFSET(nombres[],ROWS(nombres[])-1,0,1,1))+1),$O1514:$O1533),11),"")</f>
        <v/>
      </c>
      <c r="UH1514" s="42" t="str">
        <f t="array" aca="1" ref="UH1514:UH1533" ca="1">IFERROR(INDEX(nombres[],SMALL(IF(OFFSET(nombres[],0,0,ROWS(nombres[]),1)=UH$1490,ROW(OFFSET(nombres[],0,0,ROWS(nombres[]),1))-ROW(OFFSET(nombres[],0,0,1,1))+1,ROW(OFFSET(nombres[],ROWS(nombres[])-1,0,1,1))+1),$O1514:$O1533),11),"")</f>
        <v/>
      </c>
      <c r="UI1514" s="42" t="str">
        <f t="array" aca="1" ref="UI1514:UI1533" ca="1">IFERROR(INDEX(nombres[],SMALL(IF(OFFSET(nombres[],0,0,ROWS(nombres[]),1)=UI$1490,ROW(OFFSET(nombres[],0,0,ROWS(nombres[]),1))-ROW(OFFSET(nombres[],0,0,1,1))+1,ROW(OFFSET(nombres[],ROWS(nombres[])-1,0,1,1))+1),$O1514:$O1533),11),"")</f>
        <v/>
      </c>
      <c r="UJ1514" s="42" t="str">
        <f t="array" aca="1" ref="UJ1514:UJ1533" ca="1">IFERROR(INDEX(nombres[],SMALL(IF(OFFSET(nombres[],0,0,ROWS(nombres[]),1)=UJ$1490,ROW(OFFSET(nombres[],0,0,ROWS(nombres[]),1))-ROW(OFFSET(nombres[],0,0,1,1))+1,ROW(OFFSET(nombres[],ROWS(nombres[])-1,0,1,1))+1),$O1514:$O1533),11),"")</f>
        <v/>
      </c>
      <c r="UK1514" s="42" t="str">
        <f t="array" aca="1" ref="UK1514:UK1533" ca="1">IFERROR(INDEX(nombres[],SMALL(IF(OFFSET(nombres[],0,0,ROWS(nombres[]),1)=UK$1490,ROW(OFFSET(nombres[],0,0,ROWS(nombres[]),1))-ROW(OFFSET(nombres[],0,0,1,1))+1,ROW(OFFSET(nombres[],ROWS(nombres[])-1,0,1,1))+1),$O1514:$O1533),11),"")</f>
        <v/>
      </c>
      <c r="UL1514" s="42" t="str">
        <f t="array" aca="1" ref="UL1514:UL1533" ca="1">IFERROR(INDEX(nombres[],SMALL(IF(OFFSET(nombres[],0,0,ROWS(nombres[]),1)=UL$1490,ROW(OFFSET(nombres[],0,0,ROWS(nombres[]),1))-ROW(OFFSET(nombres[],0,0,1,1))+1,ROW(OFFSET(nombres[],ROWS(nombres[])-1,0,1,1))+1),$O1514:$O1533),11),"")</f>
        <v/>
      </c>
      <c r="UM1514" s="42" t="str">
        <f t="array" aca="1" ref="UM1514:UM1533" ca="1">IFERROR(INDEX(nombres[],SMALL(IF(OFFSET(nombres[],0,0,ROWS(nombres[]),1)=UM$1490,ROW(OFFSET(nombres[],0,0,ROWS(nombres[]),1))-ROW(OFFSET(nombres[],0,0,1,1))+1,ROW(OFFSET(nombres[],ROWS(nombres[])-1,0,1,1))+1),$O1514:$O1533),11),"")</f>
        <v/>
      </c>
      <c r="UN1514" s="42" t="str">
        <f t="array" aca="1" ref="UN1514:UN1533" ca="1">IFERROR(INDEX(nombres[],SMALL(IF(OFFSET(nombres[],0,0,ROWS(nombres[]),1)=UN$1490,ROW(OFFSET(nombres[],0,0,ROWS(nombres[]),1))-ROW(OFFSET(nombres[],0,0,1,1))+1,ROW(OFFSET(nombres[],ROWS(nombres[])-1,0,1,1))+1),$O1514:$O1533),11),"")</f>
        <v/>
      </c>
      <c r="UO1514" s="42" t="str">
        <f t="array" aca="1" ref="UO1514:UO1533" ca="1">IFERROR(INDEX(nombres[],SMALL(IF(OFFSET(nombres[],0,0,ROWS(nombres[]),1)=UO$1490,ROW(OFFSET(nombres[],0,0,ROWS(nombres[]),1))-ROW(OFFSET(nombres[],0,0,1,1))+1,ROW(OFFSET(nombres[],ROWS(nombres[])-1,0,1,1))+1),$O1514:$O1533),11),"")</f>
        <v/>
      </c>
      <c r="UP1514" s="42" t="str">
        <f t="array" aca="1" ref="UP1514:UP1533" ca="1">IFERROR(INDEX(nombres[],SMALL(IF(OFFSET(nombres[],0,0,ROWS(nombres[]),1)=UP$1490,ROW(OFFSET(nombres[],0,0,ROWS(nombres[]),1))-ROW(OFFSET(nombres[],0,0,1,1))+1,ROW(OFFSET(nombres[],ROWS(nombres[])-1,0,1,1))+1),$O1514:$O1533),11),"")</f>
        <v/>
      </c>
      <c r="UQ1514" s="42" t="str">
        <f t="array" aca="1" ref="UQ1514:UQ1533" ca="1">IFERROR(INDEX(nombres[],SMALL(IF(OFFSET(nombres[],0,0,ROWS(nombres[]),1)=UQ$1490,ROW(OFFSET(nombres[],0,0,ROWS(nombres[]),1))-ROW(OFFSET(nombres[],0,0,1,1))+1,ROW(OFFSET(nombres[],ROWS(nombres[])-1,0,1,1))+1),$O1514:$O1533),11),"")</f>
        <v/>
      </c>
      <c r="UR1514" s="42" t="str">
        <f t="array" aca="1" ref="UR1514:UR1533" ca="1">IFERROR(INDEX(nombres[],SMALL(IF(OFFSET(nombres[],0,0,ROWS(nombres[]),1)=UR$1490,ROW(OFFSET(nombres[],0,0,ROWS(nombres[]),1))-ROW(OFFSET(nombres[],0,0,1,1))+1,ROW(OFFSET(nombres[],ROWS(nombres[])-1,0,1,1))+1),$O1514:$O1533),11),"")</f>
        <v/>
      </c>
      <c r="US1514" s="42" t="str">
        <f t="array" aca="1" ref="US1514:US1533" ca="1">IFERROR(INDEX(nombres[],SMALL(IF(OFFSET(nombres[],0,0,ROWS(nombres[]),1)=US$1490,ROW(OFFSET(nombres[],0,0,ROWS(nombres[]),1))-ROW(OFFSET(nombres[],0,0,1,1))+1,ROW(OFFSET(nombres[],ROWS(nombres[])-1,0,1,1))+1),$O1514:$O1533),11),"")</f>
        <v/>
      </c>
      <c r="UT1514" s="42" t="str">
        <f t="array" aca="1" ref="UT1514:UT1533" ca="1">IFERROR(INDEX(nombres[],SMALL(IF(OFFSET(nombres[],0,0,ROWS(nombres[]),1)=UT$1490,ROW(OFFSET(nombres[],0,0,ROWS(nombres[]),1))-ROW(OFFSET(nombres[],0,0,1,1))+1,ROW(OFFSET(nombres[],ROWS(nombres[])-1,0,1,1))+1),$O1514:$O1533),11),"")</f>
        <v/>
      </c>
      <c r="UU1514" s="42" t="str">
        <f t="array" aca="1" ref="UU1514:UU1533" ca="1">IFERROR(INDEX(nombres[],SMALL(IF(OFFSET(nombres[],0,0,ROWS(nombres[]),1)=UU$1490,ROW(OFFSET(nombres[],0,0,ROWS(nombres[]),1))-ROW(OFFSET(nombres[],0,0,1,1))+1,ROW(OFFSET(nombres[],ROWS(nombres[])-1,0,1,1))+1),$O1514:$O1533),11),"")</f>
        <v/>
      </c>
      <c r="UV1514" s="42" t="str">
        <f t="array" aca="1" ref="UV1514:UV1533" ca="1">IFERROR(INDEX(nombres[],SMALL(IF(OFFSET(nombres[],0,0,ROWS(nombres[]),1)=UV$1490,ROW(OFFSET(nombres[],0,0,ROWS(nombres[]),1))-ROW(OFFSET(nombres[],0,0,1,1))+1,ROW(OFFSET(nombres[],ROWS(nombres[])-1,0,1,1))+1),$O1514:$O1533),11),"")</f>
        <v/>
      </c>
      <c r="UW1514" s="42" t="str">
        <f t="array" aca="1" ref="UW1514:UW1533" ca="1">IFERROR(INDEX(nombres[],SMALL(IF(OFFSET(nombres[],0,0,ROWS(nombres[]),1)=UW$1490,ROW(OFFSET(nombres[],0,0,ROWS(nombres[]),1))-ROW(OFFSET(nombres[],0,0,1,1))+1,ROW(OFFSET(nombres[],ROWS(nombres[])-1,0,1,1))+1),$O1514:$O1533),11),"")</f>
        <v/>
      </c>
      <c r="UX1514" s="42" t="str">
        <f t="array" aca="1" ref="UX1514:UX1533" ca="1">IFERROR(INDEX(nombres[],SMALL(IF(OFFSET(nombres[],0,0,ROWS(nombres[]),1)=UX$1490,ROW(OFFSET(nombres[],0,0,ROWS(nombres[]),1))-ROW(OFFSET(nombres[],0,0,1,1))+1,ROW(OFFSET(nombres[],ROWS(nombres[])-1,0,1,1))+1),$O1514:$O1533),11),"")</f>
        <v/>
      </c>
      <c r="UY1514" s="42" t="str">
        <f t="array" aca="1" ref="UY1514:UY1533" ca="1">IFERROR(INDEX(nombres[],SMALL(IF(OFFSET(nombres[],0,0,ROWS(nombres[]),1)=UY$1490,ROW(OFFSET(nombres[],0,0,ROWS(nombres[]),1))-ROW(OFFSET(nombres[],0,0,1,1))+1,ROW(OFFSET(nombres[],ROWS(nombres[])-1,0,1,1))+1),$O1514:$O1533),11),"")</f>
        <v/>
      </c>
      <c r="UZ1514" s="42" t="str">
        <f t="array" aca="1" ref="UZ1514:UZ1533" ca="1">IFERROR(INDEX(nombres[],SMALL(IF(OFFSET(nombres[],0,0,ROWS(nombres[]),1)=UZ$1490,ROW(OFFSET(nombres[],0,0,ROWS(nombres[]),1))-ROW(OFFSET(nombres[],0,0,1,1))+1,ROW(OFFSET(nombres[],ROWS(nombres[])-1,0,1,1))+1),$O1514:$O1533),11),"")</f>
        <v/>
      </c>
      <c r="VA1514" s="42" t="str">
        <f t="array" aca="1" ref="VA1514:VA1533" ca="1">IFERROR(INDEX(nombres[],SMALL(IF(OFFSET(nombres[],0,0,ROWS(nombres[]),1)=VA$1490,ROW(OFFSET(nombres[],0,0,ROWS(nombres[]),1))-ROW(OFFSET(nombres[],0,0,1,1))+1,ROW(OFFSET(nombres[],ROWS(nombres[])-1,0,1,1))+1),$O1514:$O1533),11),"")</f>
        <v/>
      </c>
      <c r="VB1514" s="42" t="str">
        <f t="array" aca="1" ref="VB1514:VB1533" ca="1">IFERROR(INDEX(nombres[],SMALL(IF(OFFSET(nombres[],0,0,ROWS(nombres[]),1)=VB$1490,ROW(OFFSET(nombres[],0,0,ROWS(nombres[]),1))-ROW(OFFSET(nombres[],0,0,1,1))+1,ROW(OFFSET(nombres[],ROWS(nombres[])-1,0,1,1))+1),$O1514:$O1533),11),"")</f>
        <v/>
      </c>
      <c r="VC1514" s="42" t="str">
        <f t="array" aca="1" ref="VC1514:VC1533" ca="1">IFERROR(INDEX(nombres[],SMALL(IF(OFFSET(nombres[],0,0,ROWS(nombres[]),1)=VC$1490,ROW(OFFSET(nombres[],0,0,ROWS(nombres[]),1))-ROW(OFFSET(nombres[],0,0,1,1))+1,ROW(OFFSET(nombres[],ROWS(nombres[])-1,0,1,1))+1),$O1514:$O1533),11),"")</f>
        <v/>
      </c>
      <c r="VD1514" s="42" t="str">
        <f t="array" aca="1" ref="VD1514:VD1533" ca="1">IFERROR(INDEX(nombres[],SMALL(IF(OFFSET(nombres[],0,0,ROWS(nombres[]),1)=VD$1490,ROW(OFFSET(nombres[],0,0,ROWS(nombres[]),1))-ROW(OFFSET(nombres[],0,0,1,1))+1,ROW(OFFSET(nombres[],ROWS(nombres[])-1,0,1,1))+1),$O1514:$O1533),11),"")</f>
        <v/>
      </c>
      <c r="VE1514" s="42" t="str">
        <f t="array" aca="1" ref="VE1514:VE1533" ca="1">IFERROR(INDEX(nombres[],SMALL(IF(OFFSET(nombres[],0,0,ROWS(nombres[]),1)=VE$1490,ROW(OFFSET(nombres[],0,0,ROWS(nombres[]),1))-ROW(OFFSET(nombres[],0,0,1,1))+1,ROW(OFFSET(nombres[],ROWS(nombres[])-1,0,1,1))+1),$O1514:$O1533),11),"")</f>
        <v/>
      </c>
      <c r="VF1514" s="42" t="str">
        <f t="array" aca="1" ref="VF1514:VF1533" ca="1">IFERROR(INDEX(nombres[],SMALL(IF(OFFSET(nombres[],0,0,ROWS(nombres[]),1)=VF$1490,ROW(OFFSET(nombres[],0,0,ROWS(nombres[]),1))-ROW(OFFSET(nombres[],0,0,1,1))+1,ROW(OFFSET(nombres[],ROWS(nombres[])-1,0,1,1))+1),$O1514:$O1533),11),"")</f>
        <v/>
      </c>
      <c r="VG1514" s="42" t="str">
        <f t="array" aca="1" ref="VG1514:VG1533" ca="1">IFERROR(INDEX(nombres[],SMALL(IF(OFFSET(nombres[],0,0,ROWS(nombres[]),1)=VG$1490,ROW(OFFSET(nombres[],0,0,ROWS(nombres[]),1))-ROW(OFFSET(nombres[],0,0,1,1))+1,ROW(OFFSET(nombres[],ROWS(nombres[])-1,0,1,1))+1),$O1514:$O1533),11),"")</f>
        <v/>
      </c>
      <c r="VH1514" s="42" t="str">
        <f t="array" aca="1" ref="VH1514:VH1533" ca="1">IFERROR(INDEX(nombres[],SMALL(IF(OFFSET(nombres[],0,0,ROWS(nombres[]),1)=VH$1490,ROW(OFFSET(nombres[],0,0,ROWS(nombres[]),1))-ROW(OFFSET(nombres[],0,0,1,1))+1,ROW(OFFSET(nombres[],ROWS(nombres[])-1,0,1,1))+1),$O1514:$O1533),11),"")</f>
        <v/>
      </c>
      <c r="VI1514" s="42" t="str">
        <f t="array" aca="1" ref="VI1514:VI1533" ca="1">IFERROR(INDEX(nombres[],SMALL(IF(OFFSET(nombres[],0,0,ROWS(nombres[]),1)=VI$1490,ROW(OFFSET(nombres[],0,0,ROWS(nombres[]),1))-ROW(OFFSET(nombres[],0,0,1,1))+1,ROW(OFFSET(nombres[],ROWS(nombres[])-1,0,1,1))+1),$O1514:$O1533),11),"")</f>
        <v/>
      </c>
      <c r="VJ1514" s="42" t="str">
        <f t="array" aca="1" ref="VJ1514:VJ1533" ca="1">IFERROR(INDEX(nombres[],SMALL(IF(OFFSET(nombres[],0,0,ROWS(nombres[]),1)=VJ$1490,ROW(OFFSET(nombres[],0,0,ROWS(nombres[]),1))-ROW(OFFSET(nombres[],0,0,1,1))+1,ROW(OFFSET(nombres[],ROWS(nombres[])-1,0,1,1))+1),$O1514:$O1533),11),"")</f>
        <v/>
      </c>
      <c r="VK1514" s="42" t="str">
        <f t="array" aca="1" ref="VK1514:VK1533" ca="1">IFERROR(INDEX(nombres[],SMALL(IF(OFFSET(nombres[],0,0,ROWS(nombres[]),1)=VK$1490,ROW(OFFSET(nombres[],0,0,ROWS(nombres[]),1))-ROW(OFFSET(nombres[],0,0,1,1))+1,ROW(OFFSET(nombres[],ROWS(nombres[])-1,0,1,1))+1),$O1514:$O1533),11),"")</f>
        <v/>
      </c>
      <c r="VL1514" s="42" t="str">
        <f t="array" aca="1" ref="VL1514:VL1533" ca="1">IFERROR(INDEX(nombres[],SMALL(IF(OFFSET(nombres[],0,0,ROWS(nombres[]),1)=VL$1490,ROW(OFFSET(nombres[],0,0,ROWS(nombres[]),1))-ROW(OFFSET(nombres[],0,0,1,1))+1,ROW(OFFSET(nombres[],ROWS(nombres[])-1,0,1,1))+1),$O1514:$O1533),11),"")</f>
        <v/>
      </c>
      <c r="VM1514" s="42" t="str">
        <f t="array" aca="1" ref="VM1514:VM1533" ca="1">IFERROR(INDEX(nombres[],SMALL(IF(OFFSET(nombres[],0,0,ROWS(nombres[]),1)=VM$1490,ROW(OFFSET(nombres[],0,0,ROWS(nombres[]),1))-ROW(OFFSET(nombres[],0,0,1,1))+1,ROW(OFFSET(nombres[],ROWS(nombres[])-1,0,1,1))+1),$O1514:$O1533),11),"")</f>
        <v/>
      </c>
      <c r="VN1514" s="42" t="str">
        <f t="array" aca="1" ref="VN1514:VN1533" ca="1">IFERROR(INDEX(nombres[],SMALL(IF(OFFSET(nombres[],0,0,ROWS(nombres[]),1)=VN$1490,ROW(OFFSET(nombres[],0,0,ROWS(nombres[]),1))-ROW(OFFSET(nombres[],0,0,1,1))+1,ROW(OFFSET(nombres[],ROWS(nombres[])-1,0,1,1))+1),$O1514:$O1533),11),"")</f>
        <v/>
      </c>
      <c r="VO1514" s="42" t="str">
        <f t="array" aca="1" ref="VO1514:VO1533" ca="1">IFERROR(INDEX(nombres[],SMALL(IF(OFFSET(nombres[],0,0,ROWS(nombres[]),1)=VO$1490,ROW(OFFSET(nombres[],0,0,ROWS(nombres[]),1))-ROW(OFFSET(nombres[],0,0,1,1))+1,ROW(OFFSET(nombres[],ROWS(nombres[])-1,0,1,1))+1),$O1514:$O1533),11),"")</f>
        <v/>
      </c>
      <c r="VP1514" s="42" t="str">
        <f t="array" aca="1" ref="VP1514:VP1533" ca="1">IFERROR(INDEX(nombres[],SMALL(IF(OFFSET(nombres[],0,0,ROWS(nombres[]),1)=VP$1490,ROW(OFFSET(nombres[],0,0,ROWS(nombres[]),1))-ROW(OFFSET(nombres[],0,0,1,1))+1,ROW(OFFSET(nombres[],ROWS(nombres[])-1,0,1,1))+1),$O1514:$O1533),11),"")</f>
        <v/>
      </c>
      <c r="VQ1514" s="42" t="str">
        <f t="array" aca="1" ref="VQ1514:VQ1533" ca="1">IFERROR(INDEX(nombres[],SMALL(IF(OFFSET(nombres[],0,0,ROWS(nombres[]),1)=VQ$1490,ROW(OFFSET(nombres[],0,0,ROWS(nombres[]),1))-ROW(OFFSET(nombres[],0,0,1,1))+1,ROW(OFFSET(nombres[],ROWS(nombres[])-1,0,1,1))+1),$O1514:$O1533),11),"")</f>
        <v/>
      </c>
      <c r="VR1514" s="42" t="str">
        <f t="array" aca="1" ref="VR1514:VR1533" ca="1">IFERROR(INDEX(nombres[],SMALL(IF(OFFSET(nombres[],0,0,ROWS(nombres[]),1)=VR$1490,ROW(OFFSET(nombres[],0,0,ROWS(nombres[]),1))-ROW(OFFSET(nombres[],0,0,1,1))+1,ROW(OFFSET(nombres[],ROWS(nombres[])-1,0,1,1))+1),$O1514:$O1533),11),"")</f>
        <v/>
      </c>
      <c r="VS1514" s="42" t="str">
        <f t="array" aca="1" ref="VS1514:VS1533" ca="1">IFERROR(INDEX(nombres[],SMALL(IF(OFFSET(nombres[],0,0,ROWS(nombres[]),1)=VS$1490,ROW(OFFSET(nombres[],0,0,ROWS(nombres[]),1))-ROW(OFFSET(nombres[],0,0,1,1))+1,ROW(OFFSET(nombres[],ROWS(nombres[])-1,0,1,1))+1),$O1514:$O1533),11),"")</f>
        <v/>
      </c>
      <c r="VT1514" s="42" t="str">
        <f t="array" aca="1" ref="VT1514:VT1533" ca="1">IFERROR(INDEX(nombres[],SMALL(IF(OFFSET(nombres[],0,0,ROWS(nombres[]),1)=VT$1490,ROW(OFFSET(nombres[],0,0,ROWS(nombres[]),1))-ROW(OFFSET(nombres[],0,0,1,1))+1,ROW(OFFSET(nombres[],ROWS(nombres[])-1,0,1,1))+1),$O1514:$O1533),11),"")</f>
        <v/>
      </c>
      <c r="VU1514" s="42" t="str">
        <f t="array" aca="1" ref="VU1514:VU1533" ca="1">IFERROR(INDEX(nombres[],SMALL(IF(OFFSET(nombres[],0,0,ROWS(nombres[]),1)=VU$1490,ROW(OFFSET(nombres[],0,0,ROWS(nombres[]),1))-ROW(OFFSET(nombres[],0,0,1,1))+1,ROW(OFFSET(nombres[],ROWS(nombres[])-1,0,1,1))+1),$O1514:$O1533),11),"")</f>
        <v/>
      </c>
      <c r="VV1514" s="42" t="str">
        <f t="array" aca="1" ref="VV1514:VV1533" ca="1">IFERROR(INDEX(nombres[],SMALL(IF(OFFSET(nombres[],0,0,ROWS(nombres[]),1)=VV$1490,ROW(OFFSET(nombres[],0,0,ROWS(nombres[]),1))-ROW(OFFSET(nombres[],0,0,1,1))+1,ROW(OFFSET(nombres[],ROWS(nombres[])-1,0,1,1))+1),$O1514:$O1533),11),"")</f>
        <v/>
      </c>
      <c r="VW1514" s="42" t="str">
        <f t="array" aca="1" ref="VW1514:VW1533" ca="1">IFERROR(INDEX(nombres[],SMALL(IF(OFFSET(nombres[],0,0,ROWS(nombres[]),1)=VW$1490,ROW(OFFSET(nombres[],0,0,ROWS(nombres[]),1))-ROW(OFFSET(nombres[],0,0,1,1))+1,ROW(OFFSET(nombres[],ROWS(nombres[])-1,0,1,1))+1),$O1514:$O1533),11),"")</f>
        <v/>
      </c>
      <c r="VX1514" s="42" t="str">
        <f t="array" aca="1" ref="VX1514:VX1533" ca="1">IFERROR(INDEX(nombres[],SMALL(IF(OFFSET(nombres[],0,0,ROWS(nombres[]),1)=VX$1490,ROW(OFFSET(nombres[],0,0,ROWS(nombres[]),1))-ROW(OFFSET(nombres[],0,0,1,1))+1,ROW(OFFSET(nombres[],ROWS(nombres[])-1,0,1,1))+1),$O1514:$O1533),11),"")</f>
        <v/>
      </c>
      <c r="VY1514" s="42" t="str">
        <f t="array" aca="1" ref="VY1514:VY1533" ca="1">IFERROR(INDEX(nombres[],SMALL(IF(OFFSET(nombres[],0,0,ROWS(nombres[]),1)=VY$1490,ROW(OFFSET(nombres[],0,0,ROWS(nombres[]),1))-ROW(OFFSET(nombres[],0,0,1,1))+1,ROW(OFFSET(nombres[],ROWS(nombres[])-1,0,1,1))+1),$O1514:$O1533),11),"")</f>
        <v/>
      </c>
      <c r="VZ1514" s="42" t="str">
        <f t="array" aca="1" ref="VZ1514:VZ1533" ca="1">IFERROR(INDEX(nombres[],SMALL(IF(OFFSET(nombres[],0,0,ROWS(nombres[]),1)=VZ$1490,ROW(OFFSET(nombres[],0,0,ROWS(nombres[]),1))-ROW(OFFSET(nombres[],0,0,1,1))+1,ROW(OFFSET(nombres[],ROWS(nombres[])-1,0,1,1))+1),$O1514:$O1533),11),"")</f>
        <v/>
      </c>
      <c r="WA1514" s="42" t="str">
        <f t="array" aca="1" ref="WA1514:WA1533" ca="1">IFERROR(INDEX(nombres[],SMALL(IF(OFFSET(nombres[],0,0,ROWS(nombres[]),1)=WA$1490,ROW(OFFSET(nombres[],0,0,ROWS(nombres[]),1))-ROW(OFFSET(nombres[],0,0,1,1))+1,ROW(OFFSET(nombres[],ROWS(nombres[])-1,0,1,1))+1),$O1514:$O1533),11),"")</f>
        <v/>
      </c>
      <c r="WB1514" s="42" t="str">
        <f t="array" aca="1" ref="WB1514:WB1533" ca="1">IFERROR(INDEX(nombres[],SMALL(IF(OFFSET(nombres[],0,0,ROWS(nombres[]),1)=WB$1490,ROW(OFFSET(nombres[],0,0,ROWS(nombres[]),1))-ROW(OFFSET(nombres[],0,0,1,1))+1,ROW(OFFSET(nombres[],ROWS(nombres[])-1,0,1,1))+1),$O1514:$O1533),11),"")</f>
        <v/>
      </c>
      <c r="WC1514" s="42" t="str">
        <f t="array" aca="1" ref="WC1514:WC1533" ca="1">IFERROR(INDEX(nombres[],SMALL(IF(OFFSET(nombres[],0,0,ROWS(nombres[]),1)=WC$1490,ROW(OFFSET(nombres[],0,0,ROWS(nombres[]),1))-ROW(OFFSET(nombres[],0,0,1,1))+1,ROW(OFFSET(nombres[],ROWS(nombres[])-1,0,1,1))+1),$O1514:$O1533),11),"")</f>
        <v/>
      </c>
      <c r="WD1514" s="42" t="str">
        <f t="array" aca="1" ref="WD1514:WD1533" ca="1">IFERROR(INDEX(nombres[],SMALL(IF(OFFSET(nombres[],0,0,ROWS(nombres[]),1)=WD$1490,ROW(OFFSET(nombres[],0,0,ROWS(nombres[]),1))-ROW(OFFSET(nombres[],0,0,1,1))+1,ROW(OFFSET(nombres[],ROWS(nombres[])-1,0,1,1))+1),$O1514:$O1533),11),"")</f>
        <v/>
      </c>
      <c r="WE1514" s="42" t="str">
        <f t="array" aca="1" ref="WE1514:WE1533" ca="1">IFERROR(INDEX(nombres[],SMALL(IF(OFFSET(nombres[],0,0,ROWS(nombres[]),1)=WE$1490,ROW(OFFSET(nombres[],0,0,ROWS(nombres[]),1))-ROW(OFFSET(nombres[],0,0,1,1))+1,ROW(OFFSET(nombres[],ROWS(nombres[])-1,0,1,1))+1),$O1514:$O1533),11),"")</f>
        <v/>
      </c>
      <c r="WF1514" s="42" t="str">
        <f t="array" aca="1" ref="WF1514:WF1533" ca="1">IFERROR(INDEX(nombres[],SMALL(IF(OFFSET(nombres[],0,0,ROWS(nombres[]),1)=WF$1490,ROW(OFFSET(nombres[],0,0,ROWS(nombres[]),1))-ROW(OFFSET(nombres[],0,0,1,1))+1,ROW(OFFSET(nombres[],ROWS(nombres[])-1,0,1,1))+1),$O1514:$O1533),11),"")</f>
        <v/>
      </c>
      <c r="WG1514" s="42" t="str">
        <f t="array" aca="1" ref="WG1514:WG1533" ca="1">IFERROR(INDEX(nombres[],SMALL(IF(OFFSET(nombres[],0,0,ROWS(nombres[]),1)=WG$1490,ROW(OFFSET(nombres[],0,0,ROWS(nombres[]),1))-ROW(OFFSET(nombres[],0,0,1,1))+1,ROW(OFFSET(nombres[],ROWS(nombres[])-1,0,1,1))+1),$O1514:$O1533),11),"")</f>
        <v/>
      </c>
      <c r="WH1514" s="42" t="str">
        <f t="array" aca="1" ref="WH1514:WH1533" ca="1">IFERROR(INDEX(nombres[],SMALL(IF(OFFSET(nombres[],0,0,ROWS(nombres[]),1)=WH$1490,ROW(OFFSET(nombres[],0,0,ROWS(nombres[]),1))-ROW(OFFSET(nombres[],0,0,1,1))+1,ROW(OFFSET(nombres[],ROWS(nombres[])-1,0,1,1))+1),$O1514:$O1533),11),"")</f>
        <v/>
      </c>
      <c r="WI1514" s="42" t="str">
        <f t="array" aca="1" ref="WI1514:WI1533" ca="1">IFERROR(INDEX(nombres[],SMALL(IF(OFFSET(nombres[],0,0,ROWS(nombres[]),1)=WI$1490,ROW(OFFSET(nombres[],0,0,ROWS(nombres[]),1))-ROW(OFFSET(nombres[],0,0,1,1))+1,ROW(OFFSET(nombres[],ROWS(nombres[])-1,0,1,1))+1),$O1514:$O1533),11),"")</f>
        <v/>
      </c>
      <c r="WJ1514" s="42" t="str">
        <f t="array" aca="1" ref="WJ1514:WJ1533" ca="1">IFERROR(INDEX(nombres[],SMALL(IF(OFFSET(nombres[],0,0,ROWS(nombres[]),1)=WJ$1490,ROW(OFFSET(nombres[],0,0,ROWS(nombres[]),1))-ROW(OFFSET(nombres[],0,0,1,1))+1,ROW(OFFSET(nombres[],ROWS(nombres[])-1,0,1,1))+1),$O1514:$O1533),11),"")</f>
        <v/>
      </c>
      <c r="WK1514" s="42" t="str">
        <f t="array" aca="1" ref="WK1514:WK1533" ca="1">IFERROR(INDEX(nombres[],SMALL(IF(OFFSET(nombres[],0,0,ROWS(nombres[]),1)=WK$1490,ROW(OFFSET(nombres[],0,0,ROWS(nombres[]),1))-ROW(OFFSET(nombres[],0,0,1,1))+1,ROW(OFFSET(nombres[],ROWS(nombres[])-1,0,1,1))+1),$O1514:$O1533),11),"")</f>
        <v/>
      </c>
      <c r="WL1514" s="42" t="str">
        <f t="array" aca="1" ref="WL1514:WL1533" ca="1">IFERROR(INDEX(nombres[],SMALL(IF(OFFSET(nombres[],0,0,ROWS(nombres[]),1)=WL$1490,ROW(OFFSET(nombres[],0,0,ROWS(nombres[]),1))-ROW(OFFSET(nombres[],0,0,1,1))+1,ROW(OFFSET(nombres[],ROWS(nombres[])-1,0,1,1))+1),$O1514:$O1533),11),"")</f>
        <v/>
      </c>
      <c r="WM1514" s="42" t="str">
        <f t="array" aca="1" ref="WM1514:WM1533" ca="1">IFERROR(INDEX(nombres[],SMALL(IF(OFFSET(nombres[],0,0,ROWS(nombres[]),1)=WM$1490,ROW(OFFSET(nombres[],0,0,ROWS(nombres[]),1))-ROW(OFFSET(nombres[],0,0,1,1))+1,ROW(OFFSET(nombres[],ROWS(nombres[])-1,0,1,1))+1),$O1514:$O1533),11),"")</f>
        <v/>
      </c>
      <c r="WN1514" s="42" t="str">
        <f t="array" aca="1" ref="WN1514:WN1533" ca="1">IFERROR(INDEX(nombres[],SMALL(IF(OFFSET(nombres[],0,0,ROWS(nombres[]),1)=WN$1490,ROW(OFFSET(nombres[],0,0,ROWS(nombres[]),1))-ROW(OFFSET(nombres[],0,0,1,1))+1,ROW(OFFSET(nombres[],ROWS(nombres[])-1,0,1,1))+1),$O1514:$O1533),11),"")</f>
        <v/>
      </c>
      <c r="WO1514" s="42" t="str">
        <f t="array" aca="1" ref="WO1514:WO1533" ca="1">IFERROR(INDEX(nombres[],SMALL(IF(OFFSET(nombres[],0,0,ROWS(nombres[]),1)=WO$1490,ROW(OFFSET(nombres[],0,0,ROWS(nombres[]),1))-ROW(OFFSET(nombres[],0,0,1,1))+1,ROW(OFFSET(nombres[],ROWS(nombres[])-1,0,1,1))+1),$O1514:$O1533),11),"")</f>
        <v/>
      </c>
      <c r="WP1514" s="42" t="str">
        <f t="array" aca="1" ref="WP1514:WP1533" ca="1">IFERROR(INDEX(nombres[],SMALL(IF(OFFSET(nombres[],0,0,ROWS(nombres[]),1)=WP$1490,ROW(OFFSET(nombres[],0,0,ROWS(nombres[]),1))-ROW(OFFSET(nombres[],0,0,1,1))+1,ROW(OFFSET(nombres[],ROWS(nombres[])-1,0,1,1))+1),$O1514:$O1533),11),"")</f>
        <v/>
      </c>
      <c r="WQ1514" s="42" t="str">
        <f t="array" aca="1" ref="WQ1514:WQ1533" ca="1">IFERROR(INDEX(nombres[],SMALL(IF(OFFSET(nombres[],0,0,ROWS(nombres[]),1)=WQ$1490,ROW(OFFSET(nombres[],0,0,ROWS(nombres[]),1))-ROW(OFFSET(nombres[],0,0,1,1))+1,ROW(OFFSET(nombres[],ROWS(nombres[])-1,0,1,1))+1),$O1514:$O1533),11),"")</f>
        <v/>
      </c>
      <c r="WR1514" s="42" t="str">
        <f t="array" aca="1" ref="WR1514:WR1533" ca="1">IFERROR(INDEX(nombres[],SMALL(IF(OFFSET(nombres[],0,0,ROWS(nombres[]),1)=WR$1490,ROW(OFFSET(nombres[],0,0,ROWS(nombres[]),1))-ROW(OFFSET(nombres[],0,0,1,1))+1,ROW(OFFSET(nombres[],ROWS(nombres[])-1,0,1,1))+1),$O1514:$O1533),11),"")</f>
        <v/>
      </c>
      <c r="WS1514" s="42" t="str">
        <f t="array" aca="1" ref="WS1514:WS1533" ca="1">IFERROR(INDEX(nombres[],SMALL(IF(OFFSET(nombres[],0,0,ROWS(nombres[]),1)=WS$1490,ROW(OFFSET(nombres[],0,0,ROWS(nombres[]),1))-ROW(OFFSET(nombres[],0,0,1,1))+1,ROW(OFFSET(nombres[],ROWS(nombres[])-1,0,1,1))+1),$O1514:$O1533),11),"")</f>
        <v/>
      </c>
      <c r="WT1514" s="42" t="str">
        <f t="array" aca="1" ref="WT1514:WT1533" ca="1">IFERROR(INDEX(nombres[],SMALL(IF(OFFSET(nombres[],0,0,ROWS(nombres[]),1)=WT$1490,ROW(OFFSET(nombres[],0,0,ROWS(nombres[]),1))-ROW(OFFSET(nombres[],0,0,1,1))+1,ROW(OFFSET(nombres[],ROWS(nombres[])-1,0,1,1))+1),$O1514:$O1533),11),"")</f>
        <v/>
      </c>
      <c r="WU1514" s="42" t="str">
        <f t="array" aca="1" ref="WU1514:WU1533" ca="1">IFERROR(INDEX(nombres[],SMALL(IF(OFFSET(nombres[],0,0,ROWS(nombres[]),1)=WU$1490,ROW(OFFSET(nombres[],0,0,ROWS(nombres[]),1))-ROW(OFFSET(nombres[],0,0,1,1))+1,ROW(OFFSET(nombres[],ROWS(nombres[])-1,0,1,1))+1),$O1514:$O1533),11),"")</f>
        <v/>
      </c>
      <c r="WV1514" s="42" t="str">
        <f t="array" aca="1" ref="WV1514:WV1533" ca="1">IFERROR(INDEX(nombres[],SMALL(IF(OFFSET(nombres[],0,0,ROWS(nombres[]),1)=WV$1490,ROW(OFFSET(nombres[],0,0,ROWS(nombres[]),1))-ROW(OFFSET(nombres[],0,0,1,1))+1,ROW(OFFSET(nombres[],ROWS(nombres[])-1,0,1,1))+1),$O1514:$O1533),11),"")</f>
        <v/>
      </c>
      <c r="WW1514" s="42" t="str">
        <f t="array" aca="1" ref="WW1514:WW1533" ca="1">IFERROR(INDEX(nombres[],SMALL(IF(OFFSET(nombres[],0,0,ROWS(nombres[]),1)=WW$1490,ROW(OFFSET(nombres[],0,0,ROWS(nombres[]),1))-ROW(OFFSET(nombres[],0,0,1,1))+1,ROW(OFFSET(nombres[],ROWS(nombres[])-1,0,1,1))+1),$O1514:$O1533),11),"")</f>
        <v/>
      </c>
      <c r="WX1514" s="42" t="str">
        <f t="array" aca="1" ref="WX1514:WX1533" ca="1">IFERROR(INDEX(nombres[],SMALL(IF(OFFSET(nombres[],0,0,ROWS(nombres[]),1)=WX$1490,ROW(OFFSET(nombres[],0,0,ROWS(nombres[]),1))-ROW(OFFSET(nombres[],0,0,1,1))+1,ROW(OFFSET(nombres[],ROWS(nombres[])-1,0,1,1))+1),$O1514:$O1533),11),"")</f>
        <v/>
      </c>
      <c r="WY1514" s="42" t="str">
        <f t="array" aca="1" ref="WY1514:WY1533" ca="1">IFERROR(INDEX(nombres[],SMALL(IF(OFFSET(nombres[],0,0,ROWS(nombres[]),1)=WY$1490,ROW(OFFSET(nombres[],0,0,ROWS(nombres[]),1))-ROW(OFFSET(nombres[],0,0,1,1))+1,ROW(OFFSET(nombres[],ROWS(nombres[])-1,0,1,1))+1),$O1514:$O1533),11),"")</f>
        <v/>
      </c>
      <c r="WZ1514" s="42" t="str">
        <f t="array" aca="1" ref="WZ1514:WZ1533" ca="1">IFERROR(INDEX(nombres[],SMALL(IF(OFFSET(nombres[],0,0,ROWS(nombres[]),1)=WZ$1490,ROW(OFFSET(nombres[],0,0,ROWS(nombres[]),1))-ROW(OFFSET(nombres[],0,0,1,1))+1,ROW(OFFSET(nombres[],ROWS(nombres[])-1,0,1,1))+1),$O1514:$O1533),11),"")</f>
        <v/>
      </c>
      <c r="XA1514" s="42" t="str">
        <f t="array" aca="1" ref="XA1514:XA1533" ca="1">IFERROR(INDEX(nombres[],SMALL(IF(OFFSET(nombres[],0,0,ROWS(nombres[]),1)=XA$1490,ROW(OFFSET(nombres[],0,0,ROWS(nombres[]),1))-ROW(OFFSET(nombres[],0,0,1,1))+1,ROW(OFFSET(nombres[],ROWS(nombres[])-1,0,1,1))+1),$O1514:$O1533),11),"")</f>
        <v/>
      </c>
      <c r="XB1514" s="42" t="str">
        <f t="array" aca="1" ref="XB1514:XB1533" ca="1">IFERROR(INDEX(nombres[],SMALL(IF(OFFSET(nombres[],0,0,ROWS(nombres[]),1)=XB$1490,ROW(OFFSET(nombres[],0,0,ROWS(nombres[]),1))-ROW(OFFSET(nombres[],0,0,1,1))+1,ROW(OFFSET(nombres[],ROWS(nombres[])-1,0,1,1))+1),$O1514:$O1533),11),"")</f>
        <v/>
      </c>
      <c r="XC1514" s="42" t="str">
        <f t="array" aca="1" ref="XC1514:XC1533" ca="1">IFERROR(INDEX(nombres[],SMALL(IF(OFFSET(nombres[],0,0,ROWS(nombres[]),1)=XC$1490,ROW(OFFSET(nombres[],0,0,ROWS(nombres[]),1))-ROW(OFFSET(nombres[],0,0,1,1))+1,ROW(OFFSET(nombres[],ROWS(nombres[])-1,0,1,1))+1),$O1514:$O1533),11),"")</f>
        <v/>
      </c>
      <c r="XD1514" s="42" t="str">
        <f t="array" aca="1" ref="XD1514:XD1533" ca="1">IFERROR(INDEX(nombres[],SMALL(IF(OFFSET(nombres[],0,0,ROWS(nombres[]),1)=XD$1490,ROW(OFFSET(nombres[],0,0,ROWS(nombres[]),1))-ROW(OFFSET(nombres[],0,0,1,1))+1,ROW(OFFSET(nombres[],ROWS(nombres[])-1,0,1,1))+1),$O1514:$O1533),11),"")</f>
        <v/>
      </c>
      <c r="XE1514" s="42" t="str">
        <f t="array" aca="1" ref="XE1514:XE1533" ca="1">IFERROR(INDEX(nombres[],SMALL(IF(OFFSET(nombres[],0,0,ROWS(nombres[]),1)=XE$1490,ROW(OFFSET(nombres[],0,0,ROWS(nombres[]),1))-ROW(OFFSET(nombres[],0,0,1,1))+1,ROW(OFFSET(nombres[],ROWS(nombres[])-1,0,1,1))+1),$O1514:$O1533),11),"")</f>
        <v/>
      </c>
      <c r="XF1514" s="42" t="str">
        <f t="array" aca="1" ref="XF1514:XF1533" ca="1">IFERROR(INDEX(nombres[],SMALL(IF(OFFSET(nombres[],0,0,ROWS(nombres[]),1)=XF$1490,ROW(OFFSET(nombres[],0,0,ROWS(nombres[]),1))-ROW(OFFSET(nombres[],0,0,1,1))+1,ROW(OFFSET(nombres[],ROWS(nombres[])-1,0,1,1))+1),$O1514:$O1533),11),"")</f>
        <v/>
      </c>
      <c r="XG1514" s="42" t="str">
        <f t="array" aca="1" ref="XG1514:XG1533" ca="1">IFERROR(INDEX(nombres[],SMALL(IF(OFFSET(nombres[],0,0,ROWS(nombres[]),1)=XG$1490,ROW(OFFSET(nombres[],0,0,ROWS(nombres[]),1))-ROW(OFFSET(nombres[],0,0,1,1))+1,ROW(OFFSET(nombres[],ROWS(nombres[])-1,0,1,1))+1),$O1514:$O1533),11),"")</f>
        <v/>
      </c>
      <c r="XH1514" s="42" t="str">
        <f t="array" aca="1" ref="XH1514:XH1533" ca="1">IFERROR(INDEX(nombres[],SMALL(IF(OFFSET(nombres[],0,0,ROWS(nombres[]),1)=XH$1490,ROW(OFFSET(nombres[],0,0,ROWS(nombres[]),1))-ROW(OFFSET(nombres[],0,0,1,1))+1,ROW(OFFSET(nombres[],ROWS(nombres[])-1,0,1,1))+1),$O1514:$O1533),11),"")</f>
        <v/>
      </c>
      <c r="XI1514" s="42" t="str">
        <f t="array" aca="1" ref="XI1514:XI1533" ca="1">IFERROR(INDEX(nombres[],SMALL(IF(OFFSET(nombres[],0,0,ROWS(nombres[]),1)=XI$1490,ROW(OFFSET(nombres[],0,0,ROWS(nombres[]),1))-ROW(OFFSET(nombres[],0,0,1,1))+1,ROW(OFFSET(nombres[],ROWS(nombres[])-1,0,1,1))+1),$O1514:$O1533),11),"")</f>
        <v/>
      </c>
      <c r="XJ1514" s="42" t="str">
        <f t="array" aca="1" ref="XJ1514:XJ1533" ca="1">IFERROR(INDEX(nombres[],SMALL(IF(OFFSET(nombres[],0,0,ROWS(nombres[]),1)=XJ$1490,ROW(OFFSET(nombres[],0,0,ROWS(nombres[]),1))-ROW(OFFSET(nombres[],0,0,1,1))+1,ROW(OFFSET(nombres[],ROWS(nombres[])-1,0,1,1))+1),$O1514:$O1533),11),"")</f>
        <v/>
      </c>
      <c r="XK1514" s="42" t="str">
        <f t="array" aca="1" ref="XK1514:XK1533" ca="1">IFERROR(INDEX(nombres[],SMALL(IF(OFFSET(nombres[],0,0,ROWS(nombres[]),1)=XK$1490,ROW(OFFSET(nombres[],0,0,ROWS(nombres[]),1))-ROW(OFFSET(nombres[],0,0,1,1))+1,ROW(OFFSET(nombres[],ROWS(nombres[])-1,0,1,1))+1),$O1514:$O1533),11),"")</f>
        <v/>
      </c>
      <c r="XL1514" s="42" t="str">
        <f t="array" aca="1" ref="XL1514:XL1533" ca="1">IFERROR(INDEX(nombres[],SMALL(IF(OFFSET(nombres[],0,0,ROWS(nombres[]),1)=XL$1490,ROW(OFFSET(nombres[],0,0,ROWS(nombres[]),1))-ROW(OFFSET(nombres[],0,0,1,1))+1,ROW(OFFSET(nombres[],ROWS(nombres[])-1,0,1,1))+1),$O1514:$O1533),11),"")</f>
        <v/>
      </c>
      <c r="XM1514" s="42" t="str">
        <f t="array" aca="1" ref="XM1514:XM1533" ca="1">IFERROR(INDEX(nombres[],SMALL(IF(OFFSET(nombres[],0,0,ROWS(nombres[]),1)=XM$1490,ROW(OFFSET(nombres[],0,0,ROWS(nombres[]),1))-ROW(OFFSET(nombres[],0,0,1,1))+1,ROW(OFFSET(nombres[],ROWS(nombres[])-1,0,1,1))+1),$O1514:$O1533),11),"")</f>
        <v/>
      </c>
      <c r="XN1514" s="42" t="str">
        <f t="array" aca="1" ref="XN1514:XN1533" ca="1">IFERROR(INDEX(nombres[],SMALL(IF(OFFSET(nombres[],0,0,ROWS(nombres[]),1)=XN$1490,ROW(OFFSET(nombres[],0,0,ROWS(nombres[]),1))-ROW(OFFSET(nombres[],0,0,1,1))+1,ROW(OFFSET(nombres[],ROWS(nombres[])-1,0,1,1))+1),$O1514:$O1533),11),"")</f>
        <v/>
      </c>
      <c r="XO1514" s="42" t="str">
        <f t="array" aca="1" ref="XO1514:XO1533" ca="1">IFERROR(INDEX(nombres[],SMALL(IF(OFFSET(nombres[],0,0,ROWS(nombres[]),1)=XO$1490,ROW(OFFSET(nombres[],0,0,ROWS(nombres[]),1))-ROW(OFFSET(nombres[],0,0,1,1))+1,ROW(OFFSET(nombres[],ROWS(nombres[])-1,0,1,1))+1),$O1514:$O1533),11),"")</f>
        <v/>
      </c>
      <c r="XP1514" s="42" t="str">
        <f t="array" aca="1" ref="XP1514:XP1533" ca="1">IFERROR(INDEX(nombres[],SMALL(IF(OFFSET(nombres[],0,0,ROWS(nombres[]),1)=XP$1490,ROW(OFFSET(nombres[],0,0,ROWS(nombres[]),1))-ROW(OFFSET(nombres[],0,0,1,1))+1,ROW(OFFSET(nombres[],ROWS(nombres[])-1,0,1,1))+1),$O1514:$O1533),11),"")</f>
        <v/>
      </c>
      <c r="XQ1514" s="42" t="str">
        <f t="array" aca="1" ref="XQ1514:XQ1533" ca="1">IFERROR(INDEX(nombres[],SMALL(IF(OFFSET(nombres[],0,0,ROWS(nombres[]),1)=XQ$1490,ROW(OFFSET(nombres[],0,0,ROWS(nombres[]),1))-ROW(OFFSET(nombres[],0,0,1,1))+1,ROW(OFFSET(nombres[],ROWS(nombres[])-1,0,1,1))+1),$O1514:$O1533),11),"")</f>
        <v/>
      </c>
      <c r="XR1514" s="42" t="str">
        <f t="array" aca="1" ref="XR1514:XR1533" ca="1">IFERROR(INDEX(nombres[],SMALL(IF(OFFSET(nombres[],0,0,ROWS(nombres[]),1)=XR$1490,ROW(OFFSET(nombres[],0,0,ROWS(nombres[]),1))-ROW(OFFSET(nombres[],0,0,1,1))+1,ROW(OFFSET(nombres[],ROWS(nombres[])-1,0,1,1))+1),$O1514:$O1533),11),"")</f>
        <v/>
      </c>
      <c r="XS1514" s="42" t="str">
        <f t="array" aca="1" ref="XS1514:XS1533" ca="1">IFERROR(INDEX(nombres[],SMALL(IF(OFFSET(nombres[],0,0,ROWS(nombres[]),1)=XS$1490,ROW(OFFSET(nombres[],0,0,ROWS(nombres[]),1))-ROW(OFFSET(nombres[],0,0,1,1))+1,ROW(OFFSET(nombres[],ROWS(nombres[])-1,0,1,1))+1),$O1514:$O1533),11),"")</f>
        <v/>
      </c>
      <c r="XT1514" s="42" t="str">
        <f t="array" aca="1" ref="XT1514:XT1533" ca="1">IFERROR(INDEX(nombres[],SMALL(IF(OFFSET(nombres[],0,0,ROWS(nombres[]),1)=XT$1490,ROW(OFFSET(nombres[],0,0,ROWS(nombres[]),1))-ROW(OFFSET(nombres[],0,0,1,1))+1,ROW(OFFSET(nombres[],ROWS(nombres[])-1,0,1,1))+1),$O1514:$O1533),11),"")</f>
        <v/>
      </c>
      <c r="XU1514" s="42" t="str">
        <f t="array" aca="1" ref="XU1514:XU1533" ca="1">IFERROR(INDEX(nombres[],SMALL(IF(OFFSET(nombres[],0,0,ROWS(nombres[]),1)=XU$1490,ROW(OFFSET(nombres[],0,0,ROWS(nombres[]),1))-ROW(OFFSET(nombres[],0,0,1,1))+1,ROW(OFFSET(nombres[],ROWS(nombres[])-1,0,1,1))+1),$O1514:$O1533),11),"")</f>
        <v/>
      </c>
      <c r="XV1514" s="42" t="str">
        <f t="array" aca="1" ref="XV1514:XV1533" ca="1">IFERROR(INDEX(nombres[],SMALL(IF(OFFSET(nombres[],0,0,ROWS(nombres[]),1)=XV$1490,ROW(OFFSET(nombres[],0,0,ROWS(nombres[]),1))-ROW(OFFSET(nombres[],0,0,1,1))+1,ROW(OFFSET(nombres[],ROWS(nombres[])-1,0,1,1))+1),$O1514:$O1533),11),"")</f>
        <v/>
      </c>
      <c r="XW1514" s="42" t="str">
        <f t="array" aca="1" ref="XW1514:XW1533" ca="1">IFERROR(INDEX(nombres[],SMALL(IF(OFFSET(nombres[],0,0,ROWS(nombres[]),1)=XW$1490,ROW(OFFSET(nombres[],0,0,ROWS(nombres[]),1))-ROW(OFFSET(nombres[],0,0,1,1))+1,ROW(OFFSET(nombres[],ROWS(nombres[])-1,0,1,1))+1),$O1514:$O1533),11),"")</f>
        <v/>
      </c>
      <c r="XX1514" s="42" t="str">
        <f t="array" aca="1" ref="XX1514:XX1533" ca="1">IFERROR(INDEX(nombres[],SMALL(IF(OFFSET(nombres[],0,0,ROWS(nombres[]),1)=XX$1490,ROW(OFFSET(nombres[],0,0,ROWS(nombres[]),1))-ROW(OFFSET(nombres[],0,0,1,1))+1,ROW(OFFSET(nombres[],ROWS(nombres[])-1,0,1,1))+1),$O1514:$O1533),11),"")</f>
        <v/>
      </c>
      <c r="XY1514" s="42" t="str">
        <f t="array" aca="1" ref="XY1514:XY1533" ca="1">IFERROR(INDEX(nombres[],SMALL(IF(OFFSET(nombres[],0,0,ROWS(nombres[]),1)=XY$1490,ROW(OFFSET(nombres[],0,0,ROWS(nombres[]),1))-ROW(OFFSET(nombres[],0,0,1,1))+1,ROW(OFFSET(nombres[],ROWS(nombres[])-1,0,1,1))+1),$O1514:$O1533),11),"")</f>
        <v/>
      </c>
      <c r="XZ1514" s="42" t="str">
        <f t="array" aca="1" ref="XZ1514:XZ1533" ca="1">IFERROR(INDEX(nombres[],SMALL(IF(OFFSET(nombres[],0,0,ROWS(nombres[]),1)=XZ$1490,ROW(OFFSET(nombres[],0,0,ROWS(nombres[]),1))-ROW(OFFSET(nombres[],0,0,1,1))+1,ROW(OFFSET(nombres[],ROWS(nombres[])-1,0,1,1))+1),$O1514:$O1533),11),"")</f>
        <v/>
      </c>
      <c r="YA1514" s="42" t="str">
        <f t="array" aca="1" ref="YA1514:YA1533" ca="1">IFERROR(INDEX(nombres[],SMALL(IF(OFFSET(nombres[],0,0,ROWS(nombres[]),1)=YA$1490,ROW(OFFSET(nombres[],0,0,ROWS(nombres[]),1))-ROW(OFFSET(nombres[],0,0,1,1))+1,ROW(OFFSET(nombres[],ROWS(nombres[])-1,0,1,1))+1),$O1514:$O1533),11),"")</f>
        <v/>
      </c>
      <c r="YB1514" s="42" t="str">
        <f t="array" aca="1" ref="YB1514:YB1533" ca="1">IFERROR(INDEX(nombres[],SMALL(IF(OFFSET(nombres[],0,0,ROWS(nombres[]),1)=YB$1490,ROW(OFFSET(nombres[],0,0,ROWS(nombres[]),1))-ROW(OFFSET(nombres[],0,0,1,1))+1,ROW(OFFSET(nombres[],ROWS(nombres[])-1,0,1,1))+1),$O1514:$O1533),11),"")</f>
        <v/>
      </c>
      <c r="YC1514" s="42" t="str">
        <f t="array" aca="1" ref="YC1514:YC1533" ca="1">IFERROR(INDEX(nombres[],SMALL(IF(OFFSET(nombres[],0,0,ROWS(nombres[]),1)=YC$1490,ROW(OFFSET(nombres[],0,0,ROWS(nombres[]),1))-ROW(OFFSET(nombres[],0,0,1,1))+1,ROW(OFFSET(nombres[],ROWS(nombres[])-1,0,1,1))+1),$O1514:$O1533),11),"")</f>
        <v/>
      </c>
      <c r="YD1514" s="42" t="str">
        <f t="array" aca="1" ref="YD1514:YD1533" ca="1">IFERROR(INDEX(nombres[],SMALL(IF(OFFSET(nombres[],0,0,ROWS(nombres[]),1)=YD$1490,ROW(OFFSET(nombres[],0,0,ROWS(nombres[]),1))-ROW(OFFSET(nombres[],0,0,1,1))+1,ROW(OFFSET(nombres[],ROWS(nombres[])-1,0,1,1))+1),$O1514:$O1533),11),"")</f>
        <v/>
      </c>
      <c r="YE1514" s="42" t="str">
        <f t="array" aca="1" ref="YE1514:YE1533" ca="1">IFERROR(INDEX(nombres[],SMALL(IF(OFFSET(nombres[],0,0,ROWS(nombres[]),1)=YE$1490,ROW(OFFSET(nombres[],0,0,ROWS(nombres[]),1))-ROW(OFFSET(nombres[],0,0,1,1))+1,ROW(OFFSET(nombres[],ROWS(nombres[])-1,0,1,1))+1),$O1514:$O1533),11),"")</f>
        <v/>
      </c>
      <c r="YF1514" s="42" t="str">
        <f t="array" aca="1" ref="YF1514:YF1533" ca="1">IFERROR(INDEX(nombres[],SMALL(IF(OFFSET(nombres[],0,0,ROWS(nombres[]),1)=YF$1490,ROW(OFFSET(nombres[],0,0,ROWS(nombres[]),1))-ROW(OFFSET(nombres[],0,0,1,1))+1,ROW(OFFSET(nombres[],ROWS(nombres[])-1,0,1,1))+1),$O1514:$O1533),11),"")</f>
        <v/>
      </c>
      <c r="YG1514" s="42" t="str">
        <f t="array" aca="1" ref="YG1514:YG1533" ca="1">IFERROR(INDEX(nombres[],SMALL(IF(OFFSET(nombres[],0,0,ROWS(nombres[]),1)=YG$1490,ROW(OFFSET(nombres[],0,0,ROWS(nombres[]),1))-ROW(OFFSET(nombres[],0,0,1,1))+1,ROW(OFFSET(nombres[],ROWS(nombres[])-1,0,1,1))+1),$O1514:$O1533),11),"")</f>
        <v/>
      </c>
      <c r="YH1514" s="42" t="str">
        <f t="array" aca="1" ref="YH1514:YH1533" ca="1">IFERROR(INDEX(nombres[],SMALL(IF(OFFSET(nombres[],0,0,ROWS(nombres[]),1)=YH$1490,ROW(OFFSET(nombres[],0,0,ROWS(nombres[]),1))-ROW(OFFSET(nombres[],0,0,1,1))+1,ROW(OFFSET(nombres[],ROWS(nombres[])-1,0,1,1))+1),$O1514:$O1533),11),"")</f>
        <v/>
      </c>
      <c r="YI1514" s="42" t="str">
        <f t="array" aca="1" ref="YI1514:YI1533" ca="1">IFERROR(INDEX(nombres[],SMALL(IF(OFFSET(nombres[],0,0,ROWS(nombres[]),1)=YI$1490,ROW(OFFSET(nombres[],0,0,ROWS(nombres[]),1))-ROW(OFFSET(nombres[],0,0,1,1))+1,ROW(OFFSET(nombres[],ROWS(nombres[])-1,0,1,1))+1),$O1514:$O1533),11),"")</f>
        <v/>
      </c>
      <c r="YJ1514" s="42" t="str">
        <f t="array" aca="1" ref="YJ1514:YJ1533" ca="1">IFERROR(INDEX(nombres[],SMALL(IF(OFFSET(nombres[],0,0,ROWS(nombres[]),1)=YJ$1490,ROW(OFFSET(nombres[],0,0,ROWS(nombres[]),1))-ROW(OFFSET(nombres[],0,0,1,1))+1,ROW(OFFSET(nombres[],ROWS(nombres[])-1,0,1,1))+1),$O1514:$O1533),11),"")</f>
        <v/>
      </c>
      <c r="YK1514" s="42" t="str">
        <f t="array" aca="1" ref="YK1514:YK1533" ca="1">IFERROR(INDEX(nombres[],SMALL(IF(OFFSET(nombres[],0,0,ROWS(nombres[]),1)=YK$1490,ROW(OFFSET(nombres[],0,0,ROWS(nombres[]),1))-ROW(OFFSET(nombres[],0,0,1,1))+1,ROW(OFFSET(nombres[],ROWS(nombres[])-1,0,1,1))+1),$O1514:$O1533),11),"")</f>
        <v/>
      </c>
      <c r="YL1514" s="42" t="str">
        <f t="array" aca="1" ref="YL1514:YL1533" ca="1">IFERROR(INDEX(nombres[],SMALL(IF(OFFSET(nombres[],0,0,ROWS(nombres[]),1)=YL$1490,ROW(OFFSET(nombres[],0,0,ROWS(nombres[]),1))-ROW(OFFSET(nombres[],0,0,1,1))+1,ROW(OFFSET(nombres[],ROWS(nombres[])-1,0,1,1))+1),$O1514:$O1533),11),"")</f>
        <v/>
      </c>
      <c r="YM1514" s="42" t="str">
        <f t="array" aca="1" ref="YM1514:YM1533" ca="1">IFERROR(INDEX(nombres[],SMALL(IF(OFFSET(nombres[],0,0,ROWS(nombres[]),1)=YM$1490,ROW(OFFSET(nombres[],0,0,ROWS(nombres[]),1))-ROW(OFFSET(nombres[],0,0,1,1))+1,ROW(OFFSET(nombres[],ROWS(nombres[])-1,0,1,1))+1),$O1514:$O1533),11),"")</f>
        <v/>
      </c>
      <c r="YN1514" s="42" t="str">
        <f t="array" aca="1" ref="YN1514:YN1533" ca="1">IFERROR(INDEX(nombres[],SMALL(IF(OFFSET(nombres[],0,0,ROWS(nombres[]),1)=YN$1490,ROW(OFFSET(nombres[],0,0,ROWS(nombres[]),1))-ROW(OFFSET(nombres[],0,0,1,1))+1,ROW(OFFSET(nombres[],ROWS(nombres[])-1,0,1,1))+1),$O1514:$O1533),11),"")</f>
        <v/>
      </c>
      <c r="YO1514" s="42" t="str">
        <f t="array" aca="1" ref="YO1514:YO1533" ca="1">IFERROR(INDEX(nombres[],SMALL(IF(OFFSET(nombres[],0,0,ROWS(nombres[]),1)=YO$1490,ROW(OFFSET(nombres[],0,0,ROWS(nombres[]),1))-ROW(OFFSET(nombres[],0,0,1,1))+1,ROW(OFFSET(nombres[],ROWS(nombres[])-1,0,1,1))+1),$O1514:$O1533),11),"")</f>
        <v/>
      </c>
      <c r="YP1514" s="42" t="str">
        <f t="array" aca="1" ref="YP1514:YP1533" ca="1">IFERROR(INDEX(nombres[],SMALL(IF(OFFSET(nombres[],0,0,ROWS(nombres[]),1)=YP$1490,ROW(OFFSET(nombres[],0,0,ROWS(nombres[]),1))-ROW(OFFSET(nombres[],0,0,1,1))+1,ROW(OFFSET(nombres[],ROWS(nombres[])-1,0,1,1))+1),$O1514:$O1533),11),"")</f>
        <v/>
      </c>
      <c r="YQ1514" s="42" t="str">
        <f t="array" aca="1" ref="YQ1514:YQ1533" ca="1">IFERROR(INDEX(nombres[],SMALL(IF(OFFSET(nombres[],0,0,ROWS(nombres[]),1)=YQ$1490,ROW(OFFSET(nombres[],0,0,ROWS(nombres[]),1))-ROW(OFFSET(nombres[],0,0,1,1))+1,ROW(OFFSET(nombres[],ROWS(nombres[])-1,0,1,1))+1),$O1514:$O1533),11),"")</f>
        <v/>
      </c>
      <c r="YR1514" s="42" t="str">
        <f t="array" aca="1" ref="YR1514:YR1533" ca="1">IFERROR(INDEX(nombres[],SMALL(IF(OFFSET(nombres[],0,0,ROWS(nombres[]),1)=YR$1490,ROW(OFFSET(nombres[],0,0,ROWS(nombres[]),1))-ROW(OFFSET(nombres[],0,0,1,1))+1,ROW(OFFSET(nombres[],ROWS(nombres[])-1,0,1,1))+1),$O1514:$O1533),11),"")</f>
        <v/>
      </c>
      <c r="YS1514" s="42" t="str">
        <f t="array" aca="1" ref="YS1514:YS1533" ca="1">IFERROR(INDEX(nombres[],SMALL(IF(OFFSET(nombres[],0,0,ROWS(nombres[]),1)=YS$1490,ROW(OFFSET(nombres[],0,0,ROWS(nombres[]),1))-ROW(OFFSET(nombres[],0,0,1,1))+1,ROW(OFFSET(nombres[],ROWS(nombres[])-1,0,1,1))+1),$O1514:$O1533),11),"")</f>
        <v/>
      </c>
      <c r="YT1514" s="42" t="str">
        <f t="array" aca="1" ref="YT1514:YT1533" ca="1">IFERROR(INDEX(nombres[],SMALL(IF(OFFSET(nombres[],0,0,ROWS(nombres[]),1)=YT$1490,ROW(OFFSET(nombres[],0,0,ROWS(nombres[]),1))-ROW(OFFSET(nombres[],0,0,1,1))+1,ROW(OFFSET(nombres[],ROWS(nombres[])-1,0,1,1))+1),$O1514:$O1533),11),"")</f>
        <v/>
      </c>
      <c r="YU1514" s="42" t="str">
        <f t="array" aca="1" ref="YU1514:YU1533" ca="1">IFERROR(INDEX(nombres[],SMALL(IF(OFFSET(nombres[],0,0,ROWS(nombres[]),1)=YU$1490,ROW(OFFSET(nombres[],0,0,ROWS(nombres[]),1))-ROW(OFFSET(nombres[],0,0,1,1))+1,ROW(OFFSET(nombres[],ROWS(nombres[])-1,0,1,1))+1),$O1514:$O1533),11),"")</f>
        <v/>
      </c>
      <c r="YV1514" s="42" t="str">
        <f t="array" aca="1" ref="YV1514:YV1533" ca="1">IFERROR(INDEX(nombres[],SMALL(IF(OFFSET(nombres[],0,0,ROWS(nombres[]),1)=YV$1490,ROW(OFFSET(nombres[],0,0,ROWS(nombres[]),1))-ROW(OFFSET(nombres[],0,0,1,1))+1,ROW(OFFSET(nombres[],ROWS(nombres[])-1,0,1,1))+1),$O1514:$O1533),11),"")</f>
        <v/>
      </c>
      <c r="YW1514" s="42" t="str">
        <f t="array" aca="1" ref="YW1514:YW1533" ca="1">IFERROR(INDEX(nombres[],SMALL(IF(OFFSET(nombres[],0,0,ROWS(nombres[]),1)=YW$1490,ROW(OFFSET(nombres[],0,0,ROWS(nombres[]),1))-ROW(OFFSET(nombres[],0,0,1,1))+1,ROW(OFFSET(nombres[],ROWS(nombres[])-1,0,1,1))+1),$O1514:$O1533),11),"")</f>
        <v/>
      </c>
      <c r="YX1514" s="42" t="str">
        <f t="array" aca="1" ref="YX1514:YX1533" ca="1">IFERROR(INDEX(nombres[],SMALL(IF(OFFSET(nombres[],0,0,ROWS(nombres[]),1)=YX$1490,ROW(OFFSET(nombres[],0,0,ROWS(nombres[]),1))-ROW(OFFSET(nombres[],0,0,1,1))+1,ROW(OFFSET(nombres[],ROWS(nombres[])-1,0,1,1))+1),$O1514:$O1533),11),"")</f>
        <v/>
      </c>
      <c r="YY1514" s="42" t="str">
        <f t="array" aca="1" ref="YY1514:YY1533" ca="1">IFERROR(INDEX(nombres[],SMALL(IF(OFFSET(nombres[],0,0,ROWS(nombres[]),1)=YY$1490,ROW(OFFSET(nombres[],0,0,ROWS(nombres[]),1))-ROW(OFFSET(nombres[],0,0,1,1))+1,ROW(OFFSET(nombres[],ROWS(nombres[])-1,0,1,1))+1),$O1514:$O1533),11),"")</f>
        <v/>
      </c>
      <c r="YZ1514" s="42" t="str">
        <f t="array" aca="1" ref="YZ1514:YZ1533" ca="1">IFERROR(INDEX(nombres[],SMALL(IF(OFFSET(nombres[],0,0,ROWS(nombres[]),1)=YZ$1490,ROW(OFFSET(nombres[],0,0,ROWS(nombres[]),1))-ROW(OFFSET(nombres[],0,0,1,1))+1,ROW(OFFSET(nombres[],ROWS(nombres[])-1,0,1,1))+1),$O1514:$O1533),11),"")</f>
        <v/>
      </c>
      <c r="ZA1514" s="42" t="str">
        <f t="array" aca="1" ref="ZA1514:ZA1533" ca="1">IFERROR(INDEX(nombres[],SMALL(IF(OFFSET(nombres[],0,0,ROWS(nombres[]),1)=ZA$1490,ROW(OFFSET(nombres[],0,0,ROWS(nombres[]),1))-ROW(OFFSET(nombres[],0,0,1,1))+1,ROW(OFFSET(nombres[],ROWS(nombres[])-1,0,1,1))+1),$O1514:$O1533),11),"")</f>
        <v/>
      </c>
      <c r="ZB1514" s="42" t="str">
        <f t="array" aca="1" ref="ZB1514:ZB1533" ca="1">IFERROR(INDEX(nombres[],SMALL(IF(OFFSET(nombres[],0,0,ROWS(nombres[]),1)=ZB$1490,ROW(OFFSET(nombres[],0,0,ROWS(nombres[]),1))-ROW(OFFSET(nombres[],0,0,1,1))+1,ROW(OFFSET(nombres[],ROWS(nombres[])-1,0,1,1))+1),$O1514:$O1533),11),"")</f>
        <v/>
      </c>
      <c r="ZC1514" s="42" t="str">
        <f t="array" aca="1" ref="ZC1514:ZC1533" ca="1">IFERROR(INDEX(nombres[],SMALL(IF(OFFSET(nombres[],0,0,ROWS(nombres[]),1)=ZC$1490,ROW(OFFSET(nombres[],0,0,ROWS(nombres[]),1))-ROW(OFFSET(nombres[],0,0,1,1))+1,ROW(OFFSET(nombres[],ROWS(nombres[])-1,0,1,1))+1),$O1514:$O1533),11),"")</f>
        <v/>
      </c>
      <c r="ZD1514" s="42" t="str">
        <f t="array" aca="1" ref="ZD1514:ZD1533" ca="1">IFERROR(INDEX(nombres[],SMALL(IF(OFFSET(nombres[],0,0,ROWS(nombres[]),1)=ZD$1490,ROW(OFFSET(nombres[],0,0,ROWS(nombres[]),1))-ROW(OFFSET(nombres[],0,0,1,1))+1,ROW(OFFSET(nombres[],ROWS(nombres[])-1,0,1,1))+1),$O1514:$O1533),11),"")</f>
        <v/>
      </c>
      <c r="ZE1514" s="42" t="str">
        <f t="array" aca="1" ref="ZE1514:ZE1533" ca="1">IFERROR(INDEX(nombres[],SMALL(IF(OFFSET(nombres[],0,0,ROWS(nombres[]),1)=ZE$1490,ROW(OFFSET(nombres[],0,0,ROWS(nombres[]),1))-ROW(OFFSET(nombres[],0,0,1,1))+1,ROW(OFFSET(nombres[],ROWS(nombres[])-1,0,1,1))+1),$O1514:$O1533),11),"")</f>
        <v/>
      </c>
      <c r="ZF1514" s="42" t="str">
        <f t="array" aca="1" ref="ZF1514:ZF1533" ca="1">IFERROR(INDEX(nombres[],SMALL(IF(OFFSET(nombres[],0,0,ROWS(nombres[]),1)=ZF$1490,ROW(OFFSET(nombres[],0,0,ROWS(nombres[]),1))-ROW(OFFSET(nombres[],0,0,1,1))+1,ROW(OFFSET(nombres[],ROWS(nombres[])-1,0,1,1))+1),$O1514:$O1533),11),"")</f>
        <v/>
      </c>
      <c r="ZG1514" s="42" t="str">
        <f t="array" aca="1" ref="ZG1514:ZG1533" ca="1">IFERROR(INDEX(nombres[],SMALL(IF(OFFSET(nombres[],0,0,ROWS(nombres[]),1)=ZG$1490,ROW(OFFSET(nombres[],0,0,ROWS(nombres[]),1))-ROW(OFFSET(nombres[],0,0,1,1))+1,ROW(OFFSET(nombres[],ROWS(nombres[])-1,0,1,1))+1),$O1514:$O1533),11),"")</f>
        <v/>
      </c>
      <c r="ZH1514" s="42" t="str">
        <f t="array" aca="1" ref="ZH1514:ZH1533" ca="1">IFERROR(INDEX(nombres[],SMALL(IF(OFFSET(nombres[],0,0,ROWS(nombres[]),1)=ZH$1490,ROW(OFFSET(nombres[],0,0,ROWS(nombres[]),1))-ROW(OFFSET(nombres[],0,0,1,1))+1,ROW(OFFSET(nombres[],ROWS(nombres[])-1,0,1,1))+1),$O1514:$O1533),11),"")</f>
        <v/>
      </c>
      <c r="ZI1514" s="42" t="str">
        <f t="array" aca="1" ref="ZI1514:ZI1533" ca="1">IFERROR(INDEX(nombres[],SMALL(IF(OFFSET(nombres[],0,0,ROWS(nombres[]),1)=ZI$1490,ROW(OFFSET(nombres[],0,0,ROWS(nombres[]),1))-ROW(OFFSET(nombres[],0,0,1,1))+1,ROW(OFFSET(nombres[],ROWS(nombres[])-1,0,1,1))+1),$O1514:$O1533),11),"")</f>
        <v/>
      </c>
      <c r="ZJ1514" s="42" t="str">
        <f t="array" aca="1" ref="ZJ1514:ZJ1533" ca="1">IFERROR(INDEX(nombres[],SMALL(IF(OFFSET(nombres[],0,0,ROWS(nombres[]),1)=ZJ$1490,ROW(OFFSET(nombres[],0,0,ROWS(nombres[]),1))-ROW(OFFSET(nombres[],0,0,1,1))+1,ROW(OFFSET(nombres[],ROWS(nombres[])-1,0,1,1))+1),$O1514:$O1533),11),"")</f>
        <v/>
      </c>
      <c r="ZK1514" s="42" t="str">
        <f t="array" aca="1" ref="ZK1514:ZK1533" ca="1">IFERROR(INDEX(nombres[],SMALL(IF(OFFSET(nombres[],0,0,ROWS(nombres[]),1)=ZK$1490,ROW(OFFSET(nombres[],0,0,ROWS(nombres[]),1))-ROW(OFFSET(nombres[],0,0,1,1))+1,ROW(OFFSET(nombres[],ROWS(nombres[])-1,0,1,1))+1),$O1514:$O1533),11),"")</f>
        <v/>
      </c>
      <c r="ZL1514" s="42" t="str">
        <f t="array" aca="1" ref="ZL1514:ZL1533" ca="1">IFERROR(INDEX(nombres[],SMALL(IF(OFFSET(nombres[],0,0,ROWS(nombres[]),1)=ZL$1490,ROW(OFFSET(nombres[],0,0,ROWS(nombres[]),1))-ROW(OFFSET(nombres[],0,0,1,1))+1,ROW(OFFSET(nombres[],ROWS(nombres[])-1,0,1,1))+1),$O1514:$O1533),11),"")</f>
        <v/>
      </c>
      <c r="ZM1514" s="42" t="str">
        <f t="array" aca="1" ref="ZM1514:ZM1533" ca="1">IFERROR(INDEX(nombres[],SMALL(IF(OFFSET(nombres[],0,0,ROWS(nombres[]),1)=ZM$1490,ROW(OFFSET(nombres[],0,0,ROWS(nombres[]),1))-ROW(OFFSET(nombres[],0,0,1,1))+1,ROW(OFFSET(nombres[],ROWS(nombres[])-1,0,1,1))+1),$O1514:$O1533),11),"")</f>
        <v/>
      </c>
      <c r="ZN1514" s="42" t="str">
        <f t="array" aca="1" ref="ZN1514:ZN1533" ca="1">IFERROR(INDEX(nombres[],SMALL(IF(OFFSET(nombres[],0,0,ROWS(nombres[]),1)=ZN$1490,ROW(OFFSET(nombres[],0,0,ROWS(nombres[]),1))-ROW(OFFSET(nombres[],0,0,1,1))+1,ROW(OFFSET(nombres[],ROWS(nombres[])-1,0,1,1))+1),$O1514:$O1533),11),"")</f>
        <v/>
      </c>
      <c r="ZO1514" s="42" t="str">
        <f t="array" aca="1" ref="ZO1514:ZO1533" ca="1">IFERROR(INDEX(nombres[],SMALL(IF(OFFSET(nombres[],0,0,ROWS(nombres[]),1)=ZO$1490,ROW(OFFSET(nombres[],0,0,ROWS(nombres[]),1))-ROW(OFFSET(nombres[],0,0,1,1))+1,ROW(OFFSET(nombres[],ROWS(nombres[])-1,0,1,1))+1),$O1514:$O1533),11),"")</f>
        <v/>
      </c>
      <c r="ZP1514" s="42" t="str">
        <f t="array" aca="1" ref="ZP1514:ZP1533" ca="1">IFERROR(INDEX(nombres[],SMALL(IF(OFFSET(nombres[],0,0,ROWS(nombres[]),1)=ZP$1490,ROW(OFFSET(nombres[],0,0,ROWS(nombres[]),1))-ROW(OFFSET(nombres[],0,0,1,1))+1,ROW(OFFSET(nombres[],ROWS(nombres[])-1,0,1,1))+1),$O1514:$O1533),11),"")</f>
        <v/>
      </c>
      <c r="ZQ1514" s="42" t="str">
        <f t="array" aca="1" ref="ZQ1514:ZQ1533" ca="1">IFERROR(INDEX(nombres[],SMALL(IF(OFFSET(nombres[],0,0,ROWS(nombres[]),1)=ZQ$1490,ROW(OFFSET(nombres[],0,0,ROWS(nombres[]),1))-ROW(OFFSET(nombres[],0,0,1,1))+1,ROW(OFFSET(nombres[],ROWS(nombres[])-1,0,1,1))+1),$O1514:$O1533),11),"")</f>
        <v/>
      </c>
      <c r="ZR1514" s="42" t="str">
        <f t="array" aca="1" ref="ZR1514:ZR1533" ca="1">IFERROR(INDEX(nombres[],SMALL(IF(OFFSET(nombres[],0,0,ROWS(nombres[]),1)=ZR$1490,ROW(OFFSET(nombres[],0,0,ROWS(nombres[]),1))-ROW(OFFSET(nombres[],0,0,1,1))+1,ROW(OFFSET(nombres[],ROWS(nombres[])-1,0,1,1))+1),$O1514:$O1533),11),"")</f>
        <v/>
      </c>
      <c r="ZS1514" s="42" t="str">
        <f t="array" aca="1" ref="ZS1514:ZS1533" ca="1">IFERROR(INDEX(nombres[],SMALL(IF(OFFSET(nombres[],0,0,ROWS(nombres[]),1)=ZS$1490,ROW(OFFSET(nombres[],0,0,ROWS(nombres[]),1))-ROW(OFFSET(nombres[],0,0,1,1))+1,ROW(OFFSET(nombres[],ROWS(nombres[])-1,0,1,1))+1),$O1514:$O1533),11),"")</f>
        <v/>
      </c>
      <c r="ZT1514" s="42" t="str">
        <f t="array" aca="1" ref="ZT1514:ZT1533" ca="1">IFERROR(INDEX(nombres[],SMALL(IF(OFFSET(nombres[],0,0,ROWS(nombres[]),1)=ZT$1490,ROW(OFFSET(nombres[],0,0,ROWS(nombres[]),1))-ROW(OFFSET(nombres[],0,0,1,1))+1,ROW(OFFSET(nombres[],ROWS(nombres[])-1,0,1,1))+1),$O1514:$O1533),11),"")</f>
        <v/>
      </c>
      <c r="ZU1514" s="42" t="str">
        <f t="array" aca="1" ref="ZU1514:ZU1533" ca="1">IFERROR(INDEX(nombres[],SMALL(IF(OFFSET(nombres[],0,0,ROWS(nombres[]),1)=ZU$1490,ROW(OFFSET(nombres[],0,0,ROWS(nombres[]),1))-ROW(OFFSET(nombres[],0,0,1,1))+1,ROW(OFFSET(nombres[],ROWS(nombres[])-1,0,1,1))+1),$O1514:$O1533),11),"")</f>
        <v/>
      </c>
      <c r="ZV1514" s="42" t="str">
        <f t="array" aca="1" ref="ZV1514:ZV1533" ca="1">IFERROR(INDEX(nombres[],SMALL(IF(OFFSET(nombres[],0,0,ROWS(nombres[]),1)=ZV$1490,ROW(OFFSET(nombres[],0,0,ROWS(nombres[]),1))-ROW(OFFSET(nombres[],0,0,1,1))+1,ROW(OFFSET(nombres[],ROWS(nombres[])-1,0,1,1))+1),$O1514:$O1533),11),"")</f>
        <v/>
      </c>
      <c r="ZW1514" s="42" t="str">
        <f t="array" aca="1" ref="ZW1514:ZW1533" ca="1">IFERROR(INDEX(nombres[],SMALL(IF(OFFSET(nombres[],0,0,ROWS(nombres[]),1)=ZW$1490,ROW(OFFSET(nombres[],0,0,ROWS(nombres[]),1))-ROW(OFFSET(nombres[],0,0,1,1))+1,ROW(OFFSET(nombres[],ROWS(nombres[])-1,0,1,1))+1),$O1514:$O1533),11),"")</f>
        <v/>
      </c>
      <c r="ZX1514" s="42" t="str">
        <f t="array" aca="1" ref="ZX1514:ZX1533" ca="1">IFERROR(INDEX(nombres[],SMALL(IF(OFFSET(nombres[],0,0,ROWS(nombres[]),1)=ZX$1490,ROW(OFFSET(nombres[],0,0,ROWS(nombres[]),1))-ROW(OFFSET(nombres[],0,0,1,1))+1,ROW(OFFSET(nombres[],ROWS(nombres[])-1,0,1,1))+1),$O1514:$O1533),11),"")</f>
        <v/>
      </c>
      <c r="ZY1514" s="42" t="str">
        <f t="array" aca="1" ref="ZY1514:ZY1533" ca="1">IFERROR(INDEX(nombres[],SMALL(IF(OFFSET(nombres[],0,0,ROWS(nombres[]),1)=ZY$1490,ROW(OFFSET(nombres[],0,0,ROWS(nombres[]),1))-ROW(OFFSET(nombres[],0,0,1,1))+1,ROW(OFFSET(nombres[],ROWS(nombres[])-1,0,1,1))+1),$O1514:$O1533),11),"")</f>
        <v/>
      </c>
      <c r="ZZ1514" s="42" t="str">
        <f t="array" aca="1" ref="ZZ1514:ZZ1533" ca="1">IFERROR(INDEX(nombres[],SMALL(IF(OFFSET(nombres[],0,0,ROWS(nombres[]),1)=ZZ$1490,ROW(OFFSET(nombres[],0,0,ROWS(nombres[]),1))-ROW(OFFSET(nombres[],0,0,1,1))+1,ROW(OFFSET(nombres[],ROWS(nombres[])-1,0,1,1))+1),$O1514:$O1533),11),"")</f>
        <v/>
      </c>
      <c r="AAA1514" s="42" t="str">
        <f t="array" aca="1" ref="AAA1514:AAA1533" ca="1">IFERROR(INDEX(nombres[],SMALL(IF(OFFSET(nombres[],0,0,ROWS(nombres[]),1)=AAA$1490,ROW(OFFSET(nombres[],0,0,ROWS(nombres[]),1))-ROW(OFFSET(nombres[],0,0,1,1))+1,ROW(OFFSET(nombres[],ROWS(nombres[])-1,0,1,1))+1),$O1514:$O1533),11),"")</f>
        <v/>
      </c>
      <c r="AAB1514" s="42" t="str">
        <f t="array" aca="1" ref="AAB1514:AAB1533" ca="1">IFERROR(INDEX(nombres[],SMALL(IF(OFFSET(nombres[],0,0,ROWS(nombres[]),1)=AAB$1490,ROW(OFFSET(nombres[],0,0,ROWS(nombres[]),1))-ROW(OFFSET(nombres[],0,0,1,1))+1,ROW(OFFSET(nombres[],ROWS(nombres[])-1,0,1,1))+1),$O1514:$O1533),11),"")</f>
        <v/>
      </c>
      <c r="AAC1514" s="42" t="str">
        <f t="array" aca="1" ref="AAC1514:AAC1533" ca="1">IFERROR(INDEX(nombres[],SMALL(IF(OFFSET(nombres[],0,0,ROWS(nombres[]),1)=AAC$1490,ROW(OFFSET(nombres[],0,0,ROWS(nombres[]),1))-ROW(OFFSET(nombres[],0,0,1,1))+1,ROW(OFFSET(nombres[],ROWS(nombres[])-1,0,1,1))+1),$O1514:$O1533),11),"")</f>
        <v/>
      </c>
      <c r="AAD1514" s="42" t="str">
        <f t="array" aca="1" ref="AAD1514:AAD1533" ca="1">IFERROR(INDEX(nombres[],SMALL(IF(OFFSET(nombres[],0,0,ROWS(nombres[]),1)=AAD$1490,ROW(OFFSET(nombres[],0,0,ROWS(nombres[]),1))-ROW(OFFSET(nombres[],0,0,1,1))+1,ROW(OFFSET(nombres[],ROWS(nombres[])-1,0,1,1))+1),$O1514:$O1533),11),"")</f>
        <v/>
      </c>
      <c r="AAE1514" s="42" t="str">
        <f t="array" aca="1" ref="AAE1514:AAE1533" ca="1">IFERROR(INDEX(nombres[],SMALL(IF(OFFSET(nombres[],0,0,ROWS(nombres[]),1)=AAE$1490,ROW(OFFSET(nombres[],0,0,ROWS(nombres[]),1))-ROW(OFFSET(nombres[],0,0,1,1))+1,ROW(OFFSET(nombres[],ROWS(nombres[])-1,0,1,1))+1),$O1514:$O1533),11),"")</f>
        <v/>
      </c>
      <c r="AAF1514" s="42" t="str">
        <f t="array" aca="1" ref="AAF1514:AAF1533" ca="1">IFERROR(INDEX(nombres[],SMALL(IF(OFFSET(nombres[],0,0,ROWS(nombres[]),1)=AAF$1490,ROW(OFFSET(nombres[],0,0,ROWS(nombres[]),1))-ROW(OFFSET(nombres[],0,0,1,1))+1,ROW(OFFSET(nombres[],ROWS(nombres[])-1,0,1,1))+1),$O1514:$O1533),11),"")</f>
        <v/>
      </c>
      <c r="AAG1514" s="42" t="str">
        <f t="array" aca="1" ref="AAG1514:AAG1533" ca="1">IFERROR(INDEX(nombres[],SMALL(IF(OFFSET(nombres[],0,0,ROWS(nombres[]),1)=AAG$1490,ROW(OFFSET(nombres[],0,0,ROWS(nombres[]),1))-ROW(OFFSET(nombres[],0,0,1,1))+1,ROW(OFFSET(nombres[],ROWS(nombres[])-1,0,1,1))+1),$O1514:$O1533),11),"")</f>
        <v/>
      </c>
      <c r="AAH1514" s="42" t="str">
        <f t="array" aca="1" ref="AAH1514:AAH1533" ca="1">IFERROR(INDEX(nombres[],SMALL(IF(OFFSET(nombres[],0,0,ROWS(nombres[]),1)=AAH$1490,ROW(OFFSET(nombres[],0,0,ROWS(nombres[]),1))-ROW(OFFSET(nombres[],0,0,1,1))+1,ROW(OFFSET(nombres[],ROWS(nombres[])-1,0,1,1))+1),$O1514:$O1533),11),"")</f>
        <v/>
      </c>
      <c r="AAI1514" s="42" t="str">
        <f t="array" aca="1" ref="AAI1514:AAI1533" ca="1">IFERROR(INDEX(nombres[],SMALL(IF(OFFSET(nombres[],0,0,ROWS(nombres[]),1)=AAI$1490,ROW(OFFSET(nombres[],0,0,ROWS(nombres[]),1))-ROW(OFFSET(nombres[],0,0,1,1))+1,ROW(OFFSET(nombres[],ROWS(nombres[])-1,0,1,1))+1),$O1514:$O1533),11),"")</f>
        <v/>
      </c>
      <c r="AAJ1514" s="42" t="str">
        <f t="array" aca="1" ref="AAJ1514:AAJ1533" ca="1">IFERROR(INDEX(nombres[],SMALL(IF(OFFSET(nombres[],0,0,ROWS(nombres[]),1)=AAJ$1490,ROW(OFFSET(nombres[],0,0,ROWS(nombres[]),1))-ROW(OFFSET(nombres[],0,0,1,1))+1,ROW(OFFSET(nombres[],ROWS(nombres[])-1,0,1,1))+1),$O1514:$O1533),11),"")</f>
        <v/>
      </c>
      <c r="AAK1514" s="42" t="str">
        <f t="array" aca="1" ref="AAK1514:AAK1533" ca="1">IFERROR(INDEX(nombres[],SMALL(IF(OFFSET(nombres[],0,0,ROWS(nombres[]),1)=AAK$1490,ROW(OFFSET(nombres[],0,0,ROWS(nombres[]),1))-ROW(OFFSET(nombres[],0,0,1,1))+1,ROW(OFFSET(nombres[],ROWS(nombres[])-1,0,1,1))+1),$O1514:$O1533),11),"")</f>
        <v/>
      </c>
      <c r="AAL1514" s="42" t="str">
        <f t="array" aca="1" ref="AAL1514:AAL1533" ca="1">IFERROR(INDEX(nombres[],SMALL(IF(OFFSET(nombres[],0,0,ROWS(nombres[]),1)=AAL$1490,ROW(OFFSET(nombres[],0,0,ROWS(nombres[]),1))-ROW(OFFSET(nombres[],0,0,1,1))+1,ROW(OFFSET(nombres[],ROWS(nombres[])-1,0,1,1))+1),$O1514:$O1533),11),"")</f>
        <v/>
      </c>
      <c r="AAM1514" s="42" t="str">
        <f t="array" aca="1" ref="AAM1514:AAM1533" ca="1">IFERROR(INDEX(nombres[],SMALL(IF(OFFSET(nombres[],0,0,ROWS(nombres[]),1)=AAM$1490,ROW(OFFSET(nombres[],0,0,ROWS(nombres[]),1))-ROW(OFFSET(nombres[],0,0,1,1))+1,ROW(OFFSET(nombres[],ROWS(nombres[])-1,0,1,1))+1),$O1514:$O1533),11),"")</f>
        <v/>
      </c>
      <c r="AAN1514" s="42" t="str">
        <f t="array" aca="1" ref="AAN1514:AAN1533" ca="1">IFERROR(INDEX(nombres[],SMALL(IF(OFFSET(nombres[],0,0,ROWS(nombres[]),1)=AAN$1490,ROW(OFFSET(nombres[],0,0,ROWS(nombres[]),1))-ROW(OFFSET(nombres[],0,0,1,1))+1,ROW(OFFSET(nombres[],ROWS(nombres[])-1,0,1,1))+1),$O1514:$O1533),11),"")</f>
        <v/>
      </c>
      <c r="AAO1514" s="42" t="str">
        <f t="array" aca="1" ref="AAO1514:AAO1533" ca="1">IFERROR(INDEX(nombres[],SMALL(IF(OFFSET(nombres[],0,0,ROWS(nombres[]),1)=AAO$1490,ROW(OFFSET(nombres[],0,0,ROWS(nombres[]),1))-ROW(OFFSET(nombres[],0,0,1,1))+1,ROW(OFFSET(nombres[],ROWS(nombres[])-1,0,1,1))+1),$O1514:$O1533),11),"")</f>
        <v/>
      </c>
      <c r="AAP1514" s="42" t="str">
        <f t="array" aca="1" ref="AAP1514:AAP1533" ca="1">IFERROR(INDEX(nombres[],SMALL(IF(OFFSET(nombres[],0,0,ROWS(nombres[]),1)=AAP$1490,ROW(OFFSET(nombres[],0,0,ROWS(nombres[]),1))-ROW(OFFSET(nombres[],0,0,1,1))+1,ROW(OFFSET(nombres[],ROWS(nombres[])-1,0,1,1))+1),$O1514:$O1533),11),"")</f>
        <v/>
      </c>
      <c r="AAQ1514" s="42" t="str">
        <f t="array" aca="1" ref="AAQ1514:AAQ1533" ca="1">IFERROR(INDEX(nombres[],SMALL(IF(OFFSET(nombres[],0,0,ROWS(nombres[]),1)=AAQ$1490,ROW(OFFSET(nombres[],0,0,ROWS(nombres[]),1))-ROW(OFFSET(nombres[],0,0,1,1))+1,ROW(OFFSET(nombres[],ROWS(nombres[])-1,0,1,1))+1),$O1514:$O1533),11),"")</f>
        <v/>
      </c>
      <c r="AAR1514" s="42" t="str">
        <f t="array" aca="1" ref="AAR1514:AAR1533" ca="1">IFERROR(INDEX(nombres[],SMALL(IF(OFFSET(nombres[],0,0,ROWS(nombres[]),1)=AAR$1490,ROW(OFFSET(nombres[],0,0,ROWS(nombres[]),1))-ROW(OFFSET(nombres[],0,0,1,1))+1,ROW(OFFSET(nombres[],ROWS(nombres[])-1,0,1,1))+1),$O1514:$O1533),11),"")</f>
        <v/>
      </c>
      <c r="AAS1514" s="42" t="str">
        <f t="array" aca="1" ref="AAS1514:AAS1533" ca="1">IFERROR(INDEX(nombres[],SMALL(IF(OFFSET(nombres[],0,0,ROWS(nombres[]),1)=AAS$1490,ROW(OFFSET(nombres[],0,0,ROWS(nombres[]),1))-ROW(OFFSET(nombres[],0,0,1,1))+1,ROW(OFFSET(nombres[],ROWS(nombres[])-1,0,1,1))+1),$O1514:$O1533),11),"")</f>
        <v/>
      </c>
      <c r="AAT1514" s="42" t="str">
        <f t="array" aca="1" ref="AAT1514:AAT1533" ca="1">IFERROR(INDEX(nombres[],SMALL(IF(OFFSET(nombres[],0,0,ROWS(nombres[]),1)=AAT$1490,ROW(OFFSET(nombres[],0,0,ROWS(nombres[]),1))-ROW(OFFSET(nombres[],0,0,1,1))+1,ROW(OFFSET(nombres[],ROWS(nombres[])-1,0,1,1))+1),$O1514:$O1533),11),"")</f>
        <v/>
      </c>
      <c r="AAU1514" s="42" t="str">
        <f t="array" aca="1" ref="AAU1514:AAU1533" ca="1">IFERROR(INDEX(nombres[],SMALL(IF(OFFSET(nombres[],0,0,ROWS(nombres[]),1)=AAU$1490,ROW(OFFSET(nombres[],0,0,ROWS(nombres[]),1))-ROW(OFFSET(nombres[],0,0,1,1))+1,ROW(OFFSET(nombres[],ROWS(nombres[])-1,0,1,1))+1),$O1514:$O1533),11),"")</f>
        <v/>
      </c>
      <c r="AAV1514" s="42" t="str">
        <f t="array" aca="1" ref="AAV1514:AAV1533" ca="1">IFERROR(INDEX(nombres[],SMALL(IF(OFFSET(nombres[],0,0,ROWS(nombres[]),1)=AAV$1490,ROW(OFFSET(nombres[],0,0,ROWS(nombres[]),1))-ROW(OFFSET(nombres[],0,0,1,1))+1,ROW(OFFSET(nombres[],ROWS(nombres[])-1,0,1,1))+1),$O1514:$O1533),11),"")</f>
        <v/>
      </c>
      <c r="AAW1514" s="42" t="str">
        <f t="array" aca="1" ref="AAW1514:AAW1533" ca="1">IFERROR(INDEX(nombres[],SMALL(IF(OFFSET(nombres[],0,0,ROWS(nombres[]),1)=AAW$1490,ROW(OFFSET(nombres[],0,0,ROWS(nombres[]),1))-ROW(OFFSET(nombres[],0,0,1,1))+1,ROW(OFFSET(nombres[],ROWS(nombres[])-1,0,1,1))+1),$O1514:$O1533),11),"")</f>
        <v/>
      </c>
      <c r="AAX1514" s="42" t="str">
        <f t="array" aca="1" ref="AAX1514:AAX1533" ca="1">IFERROR(INDEX(nombres[],SMALL(IF(OFFSET(nombres[],0,0,ROWS(nombres[]),1)=AAX$1490,ROW(OFFSET(nombres[],0,0,ROWS(nombres[]),1))-ROW(OFFSET(nombres[],0,0,1,1))+1,ROW(OFFSET(nombres[],ROWS(nombres[])-1,0,1,1))+1),$O1514:$O1533),11),"")</f>
        <v/>
      </c>
      <c r="AAY1514" s="42" t="str">
        <f t="array" aca="1" ref="AAY1514:AAY1533" ca="1">IFERROR(INDEX(nombres[],SMALL(IF(OFFSET(nombres[],0,0,ROWS(nombres[]),1)=AAY$1490,ROW(OFFSET(nombres[],0,0,ROWS(nombres[]),1))-ROW(OFFSET(nombres[],0,0,1,1))+1,ROW(OFFSET(nombres[],ROWS(nombres[])-1,0,1,1))+1),$O1514:$O1533),11),"")</f>
        <v/>
      </c>
      <c r="AAZ1514" s="42" t="str">
        <f t="array" aca="1" ref="AAZ1514:AAZ1533" ca="1">IFERROR(INDEX(nombres[],SMALL(IF(OFFSET(nombres[],0,0,ROWS(nombres[]),1)=AAZ$1490,ROW(OFFSET(nombres[],0,0,ROWS(nombres[]),1))-ROW(OFFSET(nombres[],0,0,1,1))+1,ROW(OFFSET(nombres[],ROWS(nombres[])-1,0,1,1))+1),$O1514:$O1533),11),"")</f>
        <v/>
      </c>
      <c r="ABA1514" s="42" t="str">
        <f t="array" aca="1" ref="ABA1514:ABA1533" ca="1">IFERROR(INDEX(nombres[],SMALL(IF(OFFSET(nombres[],0,0,ROWS(nombres[]),1)=ABA$1490,ROW(OFFSET(nombres[],0,0,ROWS(nombres[]),1))-ROW(OFFSET(nombres[],0,0,1,1))+1,ROW(OFFSET(nombres[],ROWS(nombres[])-1,0,1,1))+1),$O1514:$O1533),11),"")</f>
        <v/>
      </c>
      <c r="ABB1514" s="42" t="str">
        <f t="array" aca="1" ref="ABB1514:ABB1533" ca="1">IFERROR(INDEX(nombres[],SMALL(IF(OFFSET(nombres[],0,0,ROWS(nombres[]),1)=ABB$1490,ROW(OFFSET(nombres[],0,0,ROWS(nombres[]),1))-ROW(OFFSET(nombres[],0,0,1,1))+1,ROW(OFFSET(nombres[],ROWS(nombres[])-1,0,1,1))+1),$O1514:$O1533),11),"")</f>
        <v/>
      </c>
      <c r="ABC1514" s="42" t="str">
        <f t="array" aca="1" ref="ABC1514:ABC1533" ca="1">IFERROR(INDEX(nombres[],SMALL(IF(OFFSET(nombres[],0,0,ROWS(nombres[]),1)=ABC$1490,ROW(OFFSET(nombres[],0,0,ROWS(nombres[]),1))-ROW(OFFSET(nombres[],0,0,1,1))+1,ROW(OFFSET(nombres[],ROWS(nombres[])-1,0,1,1))+1),$O1514:$O1533),11),"")</f>
        <v/>
      </c>
      <c r="ABD1514" s="42" t="str">
        <f t="array" aca="1" ref="ABD1514:ABD1533" ca="1">IFERROR(INDEX(nombres[],SMALL(IF(OFFSET(nombres[],0,0,ROWS(nombres[]),1)=ABD$1490,ROW(OFFSET(nombres[],0,0,ROWS(nombres[]),1))-ROW(OFFSET(nombres[],0,0,1,1))+1,ROW(OFFSET(nombres[],ROWS(nombres[])-1,0,1,1))+1),$O1514:$O1533),11),"")</f>
        <v/>
      </c>
      <c r="ABE1514" s="42" t="str">
        <f t="array" aca="1" ref="ABE1514:ABE1533" ca="1">IFERROR(INDEX(nombres[],SMALL(IF(OFFSET(nombres[],0,0,ROWS(nombres[]),1)=ABE$1490,ROW(OFFSET(nombres[],0,0,ROWS(nombres[]),1))-ROW(OFFSET(nombres[],0,0,1,1))+1,ROW(OFFSET(nombres[],ROWS(nombres[])-1,0,1,1))+1),$O1514:$O1533),11),"")</f>
        <v/>
      </c>
      <c r="ABF1514" s="42" t="str">
        <f t="array" aca="1" ref="ABF1514:ABF1533" ca="1">IFERROR(INDEX(nombres[],SMALL(IF(OFFSET(nombres[],0,0,ROWS(nombres[]),1)=ABF$1490,ROW(OFFSET(nombres[],0,0,ROWS(nombres[]),1))-ROW(OFFSET(nombres[],0,0,1,1))+1,ROW(OFFSET(nombres[],ROWS(nombres[])-1,0,1,1))+1),$O1514:$O1533),11),"")</f>
        <v/>
      </c>
      <c r="ABG1514" s="42" t="str">
        <f t="array" aca="1" ref="ABG1514:ABG1533" ca="1">IFERROR(INDEX(nombres[],SMALL(IF(OFFSET(nombres[],0,0,ROWS(nombres[]),1)=ABG$1490,ROW(OFFSET(nombres[],0,0,ROWS(nombres[]),1))-ROW(OFFSET(nombres[],0,0,1,1))+1,ROW(OFFSET(nombres[],ROWS(nombres[])-1,0,1,1))+1),$O1514:$O1533),11),"")</f>
        <v/>
      </c>
      <c r="ABH1514" s="42" t="str">
        <f t="array" aca="1" ref="ABH1514:ABH1533" ca="1">IFERROR(INDEX(nombres[],SMALL(IF(OFFSET(nombres[],0,0,ROWS(nombres[]),1)=ABH$1490,ROW(OFFSET(nombres[],0,0,ROWS(nombres[]),1))-ROW(OFFSET(nombres[],0,0,1,1))+1,ROW(OFFSET(nombres[],ROWS(nombres[])-1,0,1,1))+1),$O1514:$O1533),11),"")</f>
        <v/>
      </c>
      <c r="ABI1514" s="42" t="str">
        <f t="array" aca="1" ref="ABI1514:ABI1533" ca="1">IFERROR(INDEX(nombres[],SMALL(IF(OFFSET(nombres[],0,0,ROWS(nombres[]),1)=ABI$1490,ROW(OFFSET(nombres[],0,0,ROWS(nombres[]),1))-ROW(OFFSET(nombres[],0,0,1,1))+1,ROW(OFFSET(nombres[],ROWS(nombres[])-1,0,1,1))+1),$O1514:$O1533),11),"")</f>
        <v/>
      </c>
      <c r="ABJ1514" s="42" t="str">
        <f t="array" aca="1" ref="ABJ1514:ABJ1533" ca="1">IFERROR(INDEX(nombres[],SMALL(IF(OFFSET(nombres[],0,0,ROWS(nombres[]),1)=ABJ$1490,ROW(OFFSET(nombres[],0,0,ROWS(nombres[]),1))-ROW(OFFSET(nombres[],0,0,1,1))+1,ROW(OFFSET(nombres[],ROWS(nombres[])-1,0,1,1))+1),$O1514:$O1533),11),"")</f>
        <v/>
      </c>
      <c r="ABK1514" s="42" t="str">
        <f t="array" aca="1" ref="ABK1514:ABK1533" ca="1">IFERROR(INDEX(nombres[],SMALL(IF(OFFSET(nombres[],0,0,ROWS(nombres[]),1)=ABK$1490,ROW(OFFSET(nombres[],0,0,ROWS(nombres[]),1))-ROW(OFFSET(nombres[],0,0,1,1))+1,ROW(OFFSET(nombres[],ROWS(nombres[])-1,0,1,1))+1),$O1514:$O1533),11),"")</f>
        <v/>
      </c>
      <c r="ABL1514" s="42" t="str">
        <f t="array" aca="1" ref="ABL1514:ABL1533" ca="1">IFERROR(INDEX(nombres[],SMALL(IF(OFFSET(nombres[],0,0,ROWS(nombres[]),1)=ABL$1490,ROW(OFFSET(nombres[],0,0,ROWS(nombres[]),1))-ROW(OFFSET(nombres[],0,0,1,1))+1,ROW(OFFSET(nombres[],ROWS(nombres[])-1,0,1,1))+1),$O1514:$O1533),11),"")</f>
        <v/>
      </c>
      <c r="ABM1514" s="42" t="str">
        <f t="array" aca="1" ref="ABM1514:ABM1533" ca="1">IFERROR(INDEX(nombres[],SMALL(IF(OFFSET(nombres[],0,0,ROWS(nombres[]),1)=ABM$1490,ROW(OFFSET(nombres[],0,0,ROWS(nombres[]),1))-ROW(OFFSET(nombres[],0,0,1,1))+1,ROW(OFFSET(nombres[],ROWS(nombres[])-1,0,1,1))+1),$O1514:$O1533),11),"")</f>
        <v/>
      </c>
      <c r="ABN1514" s="42" t="str">
        <f t="array" aca="1" ref="ABN1514:ABN1533" ca="1">IFERROR(INDEX(nombres[],SMALL(IF(OFFSET(nombres[],0,0,ROWS(nombres[]),1)=ABN$1490,ROW(OFFSET(nombres[],0,0,ROWS(nombres[]),1))-ROW(OFFSET(nombres[],0,0,1,1))+1,ROW(OFFSET(nombres[],ROWS(nombres[])-1,0,1,1))+1),$O1514:$O1533),11),"")</f>
        <v/>
      </c>
      <c r="ABO1514" s="42" t="str">
        <f t="array" aca="1" ref="ABO1514:ABO1533" ca="1">IFERROR(INDEX(nombres[],SMALL(IF(OFFSET(nombres[],0,0,ROWS(nombres[]),1)=ABO$1490,ROW(OFFSET(nombres[],0,0,ROWS(nombres[]),1))-ROW(OFFSET(nombres[],0,0,1,1))+1,ROW(OFFSET(nombres[],ROWS(nombres[])-1,0,1,1))+1),$O1514:$O1533),11),"")</f>
        <v/>
      </c>
      <c r="ABP1514" s="42" t="str">
        <f t="array" aca="1" ref="ABP1514:ABP1533" ca="1">IFERROR(INDEX(nombres[],SMALL(IF(OFFSET(nombres[],0,0,ROWS(nombres[]),1)=ABP$1490,ROW(OFFSET(nombres[],0,0,ROWS(nombres[]),1))-ROW(OFFSET(nombres[],0,0,1,1))+1,ROW(OFFSET(nombres[],ROWS(nombres[])-1,0,1,1))+1),$O1514:$O1533),11),"")</f>
        <v/>
      </c>
      <c r="ABQ1514" s="42" t="str">
        <f t="array" aca="1" ref="ABQ1514:ABQ1533" ca="1">IFERROR(INDEX(nombres[],SMALL(IF(OFFSET(nombres[],0,0,ROWS(nombres[]),1)=ABQ$1490,ROW(OFFSET(nombres[],0,0,ROWS(nombres[]),1))-ROW(OFFSET(nombres[],0,0,1,1))+1,ROW(OFFSET(nombres[],ROWS(nombres[])-1,0,1,1))+1),$O1514:$O1533),11),"")</f>
        <v/>
      </c>
      <c r="ABR1514" s="42" t="str">
        <f t="array" aca="1" ref="ABR1514:ABR1533" ca="1">IFERROR(INDEX(nombres[],SMALL(IF(OFFSET(nombres[],0,0,ROWS(nombres[]),1)=ABR$1490,ROW(OFFSET(nombres[],0,0,ROWS(nombres[]),1))-ROW(OFFSET(nombres[],0,0,1,1))+1,ROW(OFFSET(nombres[],ROWS(nombres[])-1,0,1,1))+1),$O1514:$O1533),11),"")</f>
        <v/>
      </c>
      <c r="ABS1514" s="42" t="str">
        <f t="array" aca="1" ref="ABS1514:ABS1533" ca="1">IFERROR(INDEX(nombres[],SMALL(IF(OFFSET(nombres[],0,0,ROWS(nombres[]),1)=ABS$1490,ROW(OFFSET(nombres[],0,0,ROWS(nombres[]),1))-ROW(OFFSET(nombres[],0,0,1,1))+1,ROW(OFFSET(nombres[],ROWS(nombres[])-1,0,1,1))+1),$O1514:$O1533),11),"")</f>
        <v/>
      </c>
      <c r="ABT1514" s="42" t="str">
        <f t="array" aca="1" ref="ABT1514:ABT1533" ca="1">IFERROR(INDEX(nombres[],SMALL(IF(OFFSET(nombres[],0,0,ROWS(nombres[]),1)=ABT$1490,ROW(OFFSET(nombres[],0,0,ROWS(nombres[]),1))-ROW(OFFSET(nombres[],0,0,1,1))+1,ROW(OFFSET(nombres[],ROWS(nombres[])-1,0,1,1))+1),$O1514:$O1533),11),"")</f>
        <v/>
      </c>
      <c r="ABU1514" s="42" t="str">
        <f t="array" aca="1" ref="ABU1514:ABU1533" ca="1">IFERROR(INDEX(nombres[],SMALL(IF(OFFSET(nombres[],0,0,ROWS(nombres[]),1)=ABU$1490,ROW(OFFSET(nombres[],0,0,ROWS(nombres[]),1))-ROW(OFFSET(nombres[],0,0,1,1))+1,ROW(OFFSET(nombres[],ROWS(nombres[])-1,0,1,1))+1),$O1514:$O1533),11),"")</f>
        <v/>
      </c>
      <c r="ABV1514" s="42" t="str">
        <f t="array" aca="1" ref="ABV1514:ABV1533" ca="1">IFERROR(INDEX(nombres[],SMALL(IF(OFFSET(nombres[],0,0,ROWS(nombres[]),1)=ABV$1490,ROW(OFFSET(nombres[],0,0,ROWS(nombres[]),1))-ROW(OFFSET(nombres[],0,0,1,1))+1,ROW(OFFSET(nombres[],ROWS(nombres[])-1,0,1,1))+1),$O1514:$O1533),11),"")</f>
        <v/>
      </c>
      <c r="ABW1514" s="42" t="str">
        <f t="array" aca="1" ref="ABW1514:ABW1533" ca="1">IFERROR(INDEX(nombres[],SMALL(IF(OFFSET(nombres[],0,0,ROWS(nombres[]),1)=ABW$1490,ROW(OFFSET(nombres[],0,0,ROWS(nombres[]),1))-ROW(OFFSET(nombres[],0,0,1,1))+1,ROW(OFFSET(nombres[],ROWS(nombres[])-1,0,1,1))+1),$O1514:$O1533),11),"")</f>
        <v/>
      </c>
      <c r="ABX1514" s="42" t="str">
        <f t="array" aca="1" ref="ABX1514:ABX1533" ca="1">IFERROR(INDEX(nombres[],SMALL(IF(OFFSET(nombres[],0,0,ROWS(nombres[]),1)=ABX$1490,ROW(OFFSET(nombres[],0,0,ROWS(nombres[]),1))-ROW(OFFSET(nombres[],0,0,1,1))+1,ROW(OFFSET(nombres[],ROWS(nombres[])-1,0,1,1))+1),$O1514:$O1533),11),"")</f>
        <v/>
      </c>
      <c r="ABY1514" s="42" t="str">
        <f t="array" aca="1" ref="ABY1514:ABY1533" ca="1">IFERROR(INDEX(nombres[],SMALL(IF(OFFSET(nombres[],0,0,ROWS(nombres[]),1)=ABY$1490,ROW(OFFSET(nombres[],0,0,ROWS(nombres[]),1))-ROW(OFFSET(nombres[],0,0,1,1))+1,ROW(OFFSET(nombres[],ROWS(nombres[])-1,0,1,1))+1),$O1514:$O1533),11),"")</f>
        <v/>
      </c>
      <c r="ABZ1514" s="42" t="str">
        <f t="array" aca="1" ref="ABZ1514:ABZ1533" ca="1">IFERROR(INDEX(nombres[],SMALL(IF(OFFSET(nombres[],0,0,ROWS(nombres[]),1)=ABZ$1490,ROW(OFFSET(nombres[],0,0,ROWS(nombres[]),1))-ROW(OFFSET(nombres[],0,0,1,1))+1,ROW(OFFSET(nombres[],ROWS(nombres[])-1,0,1,1))+1),$O1514:$O1533),11),"")</f>
        <v/>
      </c>
      <c r="ACA1514" s="42" t="str">
        <f t="array" aca="1" ref="ACA1514:ACA1533" ca="1">IFERROR(INDEX(nombres[],SMALL(IF(OFFSET(nombres[],0,0,ROWS(nombres[]),1)=ACA$1490,ROW(OFFSET(nombres[],0,0,ROWS(nombres[]),1))-ROW(OFFSET(nombres[],0,0,1,1))+1,ROW(OFFSET(nombres[],ROWS(nombres[])-1,0,1,1))+1),$O1514:$O1533),11),"")</f>
        <v/>
      </c>
      <c r="ACB1514" s="42" t="str">
        <f t="array" aca="1" ref="ACB1514:ACB1533" ca="1">IFERROR(INDEX(nombres[],SMALL(IF(OFFSET(nombres[],0,0,ROWS(nombres[]),1)=ACB$1490,ROW(OFFSET(nombres[],0,0,ROWS(nombres[]),1))-ROW(OFFSET(nombres[],0,0,1,1))+1,ROW(OFFSET(nombres[],ROWS(nombres[])-1,0,1,1))+1),$O1514:$O1533),11),"")</f>
        <v/>
      </c>
      <c r="ACC1514" s="42" t="str">
        <f t="array" aca="1" ref="ACC1514:ACC1533" ca="1">IFERROR(INDEX(nombres[],SMALL(IF(OFFSET(nombres[],0,0,ROWS(nombres[]),1)=ACC$1490,ROW(OFFSET(nombres[],0,0,ROWS(nombres[]),1))-ROW(OFFSET(nombres[],0,0,1,1))+1,ROW(OFFSET(nombres[],ROWS(nombres[])-1,0,1,1))+1),$O1514:$O1533),11),"")</f>
        <v/>
      </c>
      <c r="ACD1514" s="42" t="str">
        <f t="array" aca="1" ref="ACD1514:ACD1533" ca="1">IFERROR(INDEX(nombres[],SMALL(IF(OFFSET(nombres[],0,0,ROWS(nombres[]),1)=ACD$1490,ROW(OFFSET(nombres[],0,0,ROWS(nombres[]),1))-ROW(OFFSET(nombres[],0,0,1,1))+1,ROW(OFFSET(nombres[],ROWS(nombres[])-1,0,1,1))+1),$O1514:$O1533),11),"")</f>
        <v/>
      </c>
      <c r="ACE1514" s="42" t="str">
        <f t="array" aca="1" ref="ACE1514:ACE1533" ca="1">IFERROR(INDEX(nombres[],SMALL(IF(OFFSET(nombres[],0,0,ROWS(nombres[]),1)=ACE$1490,ROW(OFFSET(nombres[],0,0,ROWS(nombres[]),1))-ROW(OFFSET(nombres[],0,0,1,1))+1,ROW(OFFSET(nombres[],ROWS(nombres[])-1,0,1,1))+1),$O1514:$O1533),11),"")</f>
        <v/>
      </c>
      <c r="ACF1514" s="42" t="str">
        <f t="array" aca="1" ref="ACF1514:ACF1533" ca="1">IFERROR(INDEX(nombres[],SMALL(IF(OFFSET(nombres[],0,0,ROWS(nombres[]),1)=ACF$1490,ROW(OFFSET(nombres[],0,0,ROWS(nombres[]),1))-ROW(OFFSET(nombres[],0,0,1,1))+1,ROW(OFFSET(nombres[],ROWS(nombres[])-1,0,1,1))+1),$O1514:$O1533),11),"")</f>
        <v/>
      </c>
      <c r="ACG1514" s="42" t="str">
        <f t="array" aca="1" ref="ACG1514:ACG1533" ca="1">IFERROR(INDEX(nombres[],SMALL(IF(OFFSET(nombres[],0,0,ROWS(nombres[]),1)=ACG$1490,ROW(OFFSET(nombres[],0,0,ROWS(nombres[]),1))-ROW(OFFSET(nombres[],0,0,1,1))+1,ROW(OFFSET(nombres[],ROWS(nombres[])-1,0,1,1))+1),$O1514:$O1533),11),"")</f>
        <v/>
      </c>
      <c r="ACH1514" s="42" t="str">
        <f t="array" aca="1" ref="ACH1514:ACH1533" ca="1">IFERROR(INDEX(nombres[],SMALL(IF(OFFSET(nombres[],0,0,ROWS(nombres[]),1)=ACH$1490,ROW(OFFSET(nombres[],0,0,ROWS(nombres[]),1))-ROW(OFFSET(nombres[],0,0,1,1))+1,ROW(OFFSET(nombres[],ROWS(nombres[])-1,0,1,1))+1),$O1514:$O1533),11),"")</f>
        <v/>
      </c>
      <c r="ACI1514" s="42" t="str">
        <f t="array" aca="1" ref="ACI1514:ACI1533" ca="1">IFERROR(INDEX(nombres[],SMALL(IF(OFFSET(nombres[],0,0,ROWS(nombres[]),1)=ACI$1490,ROW(OFFSET(nombres[],0,0,ROWS(nombres[]),1))-ROW(OFFSET(nombres[],0,0,1,1))+1,ROW(OFFSET(nombres[],ROWS(nombres[])-1,0,1,1))+1),$O1514:$O1533),11),"")</f>
        <v/>
      </c>
      <c r="ACJ1514" s="42" t="str">
        <f t="array" aca="1" ref="ACJ1514:ACJ1533" ca="1">IFERROR(INDEX(nombres[],SMALL(IF(OFFSET(nombres[],0,0,ROWS(nombres[]),1)=ACJ$1490,ROW(OFFSET(nombres[],0,0,ROWS(nombres[]),1))-ROW(OFFSET(nombres[],0,0,1,1))+1,ROW(OFFSET(nombres[],ROWS(nombres[])-1,0,1,1))+1),$O1514:$O1533),11),"")</f>
        <v/>
      </c>
      <c r="ACK1514" s="42" t="str">
        <f t="array" aca="1" ref="ACK1514:ACK1533" ca="1">IFERROR(INDEX(nombres[],SMALL(IF(OFFSET(nombres[],0,0,ROWS(nombres[]),1)=ACK$1490,ROW(OFFSET(nombres[],0,0,ROWS(nombres[]),1))-ROW(OFFSET(nombres[],0,0,1,1))+1,ROW(OFFSET(nombres[],ROWS(nombres[])-1,0,1,1))+1),$O1514:$O1533),11),"")</f>
        <v/>
      </c>
      <c r="ACL1514" s="42" t="str">
        <f t="array" aca="1" ref="ACL1514:ACL1533" ca="1">IFERROR(INDEX(nombres[],SMALL(IF(OFFSET(nombres[],0,0,ROWS(nombres[]),1)=ACL$1490,ROW(OFFSET(nombres[],0,0,ROWS(nombres[]),1))-ROW(OFFSET(nombres[],0,0,1,1))+1,ROW(OFFSET(nombres[],ROWS(nombres[])-1,0,1,1))+1),$O1514:$O1533),11),"")</f>
        <v/>
      </c>
      <c r="ACM1514" s="42" t="str">
        <f t="array" aca="1" ref="ACM1514:ACM1533" ca="1">IFERROR(INDEX(nombres[],SMALL(IF(OFFSET(nombres[],0,0,ROWS(nombres[]),1)=ACM$1490,ROW(OFFSET(nombres[],0,0,ROWS(nombres[]),1))-ROW(OFFSET(nombres[],0,0,1,1))+1,ROW(OFFSET(nombres[],ROWS(nombres[])-1,0,1,1))+1),$O1514:$O1533),11),"")</f>
        <v/>
      </c>
      <c r="ACN1514" s="42" t="str">
        <f t="array" aca="1" ref="ACN1514:ACN1533" ca="1">IFERROR(INDEX(nombres[],SMALL(IF(OFFSET(nombres[],0,0,ROWS(nombres[]),1)=ACN$1490,ROW(OFFSET(nombres[],0,0,ROWS(nombres[]),1))-ROW(OFFSET(nombres[],0,0,1,1))+1,ROW(OFFSET(nombres[],ROWS(nombres[])-1,0,1,1))+1),$O1514:$O1533),11),"")</f>
        <v/>
      </c>
      <c r="ACO1514" s="42" t="str">
        <f t="array" aca="1" ref="ACO1514:ACO1533" ca="1">IFERROR(INDEX(nombres[],SMALL(IF(OFFSET(nombres[],0,0,ROWS(nombres[]),1)=ACO$1490,ROW(OFFSET(nombres[],0,0,ROWS(nombres[]),1))-ROW(OFFSET(nombres[],0,0,1,1))+1,ROW(OFFSET(nombres[],ROWS(nombres[])-1,0,1,1))+1),$O1514:$O1533),11),"")</f>
        <v/>
      </c>
      <c r="ACP1514" s="42" t="str">
        <f t="array" aca="1" ref="ACP1514:ACP1533" ca="1">IFERROR(INDEX(nombres[],SMALL(IF(OFFSET(nombres[],0,0,ROWS(nombres[]),1)=ACP$1490,ROW(OFFSET(nombres[],0,0,ROWS(nombres[]),1))-ROW(OFFSET(nombres[],0,0,1,1))+1,ROW(OFFSET(nombres[],ROWS(nombres[])-1,0,1,1))+1),$O1514:$O1533),11),"")</f>
        <v/>
      </c>
      <c r="ACQ1514" s="42" t="str">
        <f t="array" aca="1" ref="ACQ1514:ACQ1533" ca="1">IFERROR(INDEX(nombres[],SMALL(IF(OFFSET(nombres[],0,0,ROWS(nombres[]),1)=ACQ$1490,ROW(OFFSET(nombres[],0,0,ROWS(nombres[]),1))-ROW(OFFSET(nombres[],0,0,1,1))+1,ROW(OFFSET(nombres[],ROWS(nombres[])-1,0,1,1))+1),$O1514:$O1533),11),"")</f>
        <v/>
      </c>
      <c r="ACR1514" s="42" t="str">
        <f t="array" aca="1" ref="ACR1514:ACR1533" ca="1">IFERROR(INDEX(nombres[],SMALL(IF(OFFSET(nombres[],0,0,ROWS(nombres[]),1)=ACR$1490,ROW(OFFSET(nombres[],0,0,ROWS(nombres[]),1))-ROW(OFFSET(nombres[],0,0,1,1))+1,ROW(OFFSET(nombres[],ROWS(nombres[])-1,0,1,1))+1),$O1514:$O1533),11),"")</f>
        <v/>
      </c>
      <c r="ACS1514" s="42" t="str">
        <f t="array" aca="1" ref="ACS1514:ACS1533" ca="1">IFERROR(INDEX(nombres[],SMALL(IF(OFFSET(nombres[],0,0,ROWS(nombres[]),1)=ACS$1490,ROW(OFFSET(nombres[],0,0,ROWS(nombres[]),1))-ROW(OFFSET(nombres[],0,0,1,1))+1,ROW(OFFSET(nombres[],ROWS(nombres[])-1,0,1,1))+1),$O1514:$O1533),11),"")</f>
        <v/>
      </c>
      <c r="ACT1514" s="42" t="str">
        <f t="array" aca="1" ref="ACT1514:ACT1533" ca="1">IFERROR(INDEX(nombres[],SMALL(IF(OFFSET(nombres[],0,0,ROWS(nombres[]),1)=ACT$1490,ROW(OFFSET(nombres[],0,0,ROWS(nombres[]),1))-ROW(OFFSET(nombres[],0,0,1,1))+1,ROW(OFFSET(nombres[],ROWS(nombres[])-1,0,1,1))+1),$O1514:$O1533),11),"")</f>
        <v/>
      </c>
      <c r="ACU1514" s="42" t="str">
        <f t="array" aca="1" ref="ACU1514:ACU1533" ca="1">IFERROR(INDEX(nombres[],SMALL(IF(OFFSET(nombres[],0,0,ROWS(nombres[]),1)=ACU$1490,ROW(OFFSET(nombres[],0,0,ROWS(nombres[]),1))-ROW(OFFSET(nombres[],0,0,1,1))+1,ROW(OFFSET(nombres[],ROWS(nombres[])-1,0,1,1))+1),$O1514:$O1533),11),"")</f>
        <v/>
      </c>
      <c r="ACV1514" s="42" t="str">
        <f t="array" aca="1" ref="ACV1514:ACV1533" ca="1">IFERROR(INDEX(nombres[],SMALL(IF(OFFSET(nombres[],0,0,ROWS(nombres[]),1)=ACV$1490,ROW(OFFSET(nombres[],0,0,ROWS(nombres[]),1))-ROW(OFFSET(nombres[],0,0,1,1))+1,ROW(OFFSET(nombres[],ROWS(nombres[])-1,0,1,1))+1),$O1514:$O1533),11),"")</f>
        <v/>
      </c>
      <c r="ACW1514" s="42" t="str">
        <f t="array" aca="1" ref="ACW1514:ACW1533" ca="1">IFERROR(INDEX(nombres[],SMALL(IF(OFFSET(nombres[],0,0,ROWS(nombres[]),1)=ACW$1490,ROW(OFFSET(nombres[],0,0,ROWS(nombres[]),1))-ROW(OFFSET(nombres[],0,0,1,1))+1,ROW(OFFSET(nombres[],ROWS(nombres[])-1,0,1,1))+1),$O1514:$O1533),11),"")</f>
        <v/>
      </c>
      <c r="ACX1514" s="42" t="str">
        <f t="array" aca="1" ref="ACX1514:ACX1533" ca="1">IFERROR(INDEX(nombres[],SMALL(IF(OFFSET(nombres[],0,0,ROWS(nombres[]),1)=ACX$1490,ROW(OFFSET(nombres[],0,0,ROWS(nombres[]),1))-ROW(OFFSET(nombres[],0,0,1,1))+1,ROW(OFFSET(nombres[],ROWS(nombres[])-1,0,1,1))+1),$O1514:$O1533),11),"")</f>
        <v/>
      </c>
      <c r="ACY1514" s="42" t="str">
        <f t="array" aca="1" ref="ACY1514:ACY1533" ca="1">IFERROR(INDEX(nombres[],SMALL(IF(OFFSET(nombres[],0,0,ROWS(nombres[]),1)=ACY$1490,ROW(OFFSET(nombres[],0,0,ROWS(nombres[]),1))-ROW(OFFSET(nombres[],0,0,1,1))+1,ROW(OFFSET(nombres[],ROWS(nombres[])-1,0,1,1))+1),$O1514:$O1533),11),"")</f>
        <v/>
      </c>
      <c r="ACZ1514" s="42" t="str">
        <f t="array" aca="1" ref="ACZ1514:ACZ1533" ca="1">IFERROR(INDEX(nombres[],SMALL(IF(OFFSET(nombres[],0,0,ROWS(nombres[]),1)=ACZ$1490,ROW(OFFSET(nombres[],0,0,ROWS(nombres[]),1))-ROW(OFFSET(nombres[],0,0,1,1))+1,ROW(OFFSET(nombres[],ROWS(nombres[])-1,0,1,1))+1),$O1514:$O1533),11),"")</f>
        <v/>
      </c>
      <c r="ADA1514" s="42" t="str">
        <f t="array" aca="1" ref="ADA1514:ADA1533" ca="1">IFERROR(INDEX(nombres[],SMALL(IF(OFFSET(nombres[],0,0,ROWS(nombres[]),1)=ADA$1490,ROW(OFFSET(nombres[],0,0,ROWS(nombres[]),1))-ROW(OFFSET(nombres[],0,0,1,1))+1,ROW(OFFSET(nombres[],ROWS(nombres[])-1,0,1,1))+1),$O1514:$O1533),11),"")</f>
        <v/>
      </c>
      <c r="ADB1514" s="42" t="str">
        <f t="array" aca="1" ref="ADB1514:ADB1533" ca="1">IFERROR(INDEX(nombres[],SMALL(IF(OFFSET(nombres[],0,0,ROWS(nombres[]),1)=ADB$1490,ROW(OFFSET(nombres[],0,0,ROWS(nombres[]),1))-ROW(OFFSET(nombres[],0,0,1,1))+1,ROW(OFFSET(nombres[],ROWS(nombres[])-1,0,1,1))+1),$O1514:$O1533),11),"")</f>
        <v/>
      </c>
      <c r="ADC1514" s="42" t="str">
        <f t="array" aca="1" ref="ADC1514:ADC1533" ca="1">IFERROR(INDEX(nombres[],SMALL(IF(OFFSET(nombres[],0,0,ROWS(nombres[]),1)=ADC$1490,ROW(OFFSET(nombres[],0,0,ROWS(nombres[]),1))-ROW(OFFSET(nombres[],0,0,1,1))+1,ROW(OFFSET(nombres[],ROWS(nombres[])-1,0,1,1))+1),$O1514:$O1533),11),"")</f>
        <v/>
      </c>
      <c r="ADD1514" s="42" t="str">
        <f t="array" aca="1" ref="ADD1514:ADD1533" ca="1">IFERROR(INDEX(nombres[],SMALL(IF(OFFSET(nombres[],0,0,ROWS(nombres[]),1)=ADD$1490,ROW(OFFSET(nombres[],0,0,ROWS(nombres[]),1))-ROW(OFFSET(nombres[],0,0,1,1))+1,ROW(OFFSET(nombres[],ROWS(nombres[])-1,0,1,1))+1),$O1514:$O1533),11),"")</f>
        <v/>
      </c>
      <c r="ADE1514" s="42" t="str">
        <f t="array" aca="1" ref="ADE1514:ADE1533" ca="1">IFERROR(INDEX(nombres[],SMALL(IF(OFFSET(nombres[],0,0,ROWS(nombres[]),1)=ADE$1490,ROW(OFFSET(nombres[],0,0,ROWS(nombres[]),1))-ROW(OFFSET(nombres[],0,0,1,1))+1,ROW(OFFSET(nombres[],ROWS(nombres[])-1,0,1,1))+1),$O1514:$O1533),11),"")</f>
        <v/>
      </c>
      <c r="ADF1514" s="42" t="str">
        <f t="array" aca="1" ref="ADF1514:ADF1533" ca="1">IFERROR(INDEX(nombres[],SMALL(IF(OFFSET(nombres[],0,0,ROWS(nombres[]),1)=ADF$1490,ROW(OFFSET(nombres[],0,0,ROWS(nombres[]),1))-ROW(OFFSET(nombres[],0,0,1,1))+1,ROW(OFFSET(nombres[],ROWS(nombres[])-1,0,1,1))+1),$O1514:$O1533),11),"")</f>
        <v/>
      </c>
      <c r="ADG1514" s="42" t="str">
        <f t="array" aca="1" ref="ADG1514:ADG1533" ca="1">IFERROR(INDEX(nombres[],SMALL(IF(OFFSET(nombres[],0,0,ROWS(nombres[]),1)=ADG$1490,ROW(OFFSET(nombres[],0,0,ROWS(nombres[]),1))-ROW(OFFSET(nombres[],0,0,1,1))+1,ROW(OFFSET(nombres[],ROWS(nombres[])-1,0,1,1))+1),$O1514:$O1533),11),"")</f>
        <v/>
      </c>
      <c r="ADH1514" s="42" t="str">
        <f t="array" aca="1" ref="ADH1514:ADH1533" ca="1">IFERROR(INDEX(nombres[],SMALL(IF(OFFSET(nombres[],0,0,ROWS(nombres[]),1)=ADH$1490,ROW(OFFSET(nombres[],0,0,ROWS(nombres[]),1))-ROW(OFFSET(nombres[],0,0,1,1))+1,ROW(OFFSET(nombres[],ROWS(nombres[])-1,0,1,1))+1),$O1514:$O1533),11),"")</f>
        <v/>
      </c>
      <c r="ADI1514" s="42" t="str">
        <f t="array" aca="1" ref="ADI1514:ADI1533" ca="1">IFERROR(INDEX(nombres[],SMALL(IF(OFFSET(nombres[],0,0,ROWS(nombres[]),1)=ADI$1490,ROW(OFFSET(nombres[],0,0,ROWS(nombres[]),1))-ROW(OFFSET(nombres[],0,0,1,1))+1,ROW(OFFSET(nombres[],ROWS(nombres[])-1,0,1,1))+1),$O1514:$O1533),11),"")</f>
        <v/>
      </c>
      <c r="ADJ1514" s="42" t="str">
        <f t="array" aca="1" ref="ADJ1514:ADJ1533" ca="1">IFERROR(INDEX(nombres[],SMALL(IF(OFFSET(nombres[],0,0,ROWS(nombres[]),1)=ADJ$1490,ROW(OFFSET(nombres[],0,0,ROWS(nombres[]),1))-ROW(OFFSET(nombres[],0,0,1,1))+1,ROW(OFFSET(nombres[],ROWS(nombres[])-1,0,1,1))+1),$O1514:$O1533),11),"")</f>
        <v/>
      </c>
      <c r="ADK1514" s="42" t="str">
        <f t="array" aca="1" ref="ADK1514:ADK1533" ca="1">IFERROR(INDEX(nombres[],SMALL(IF(OFFSET(nombres[],0,0,ROWS(nombres[]),1)=ADK$1490,ROW(OFFSET(nombres[],0,0,ROWS(nombres[]),1))-ROW(OFFSET(nombres[],0,0,1,1))+1,ROW(OFFSET(nombres[],ROWS(nombres[])-1,0,1,1))+1),$O1514:$O1533),11),"")</f>
        <v/>
      </c>
      <c r="ADL1514" s="42" t="str">
        <f t="array" aca="1" ref="ADL1514:ADL1533" ca="1">IFERROR(INDEX(nombres[],SMALL(IF(OFFSET(nombres[],0,0,ROWS(nombres[]),1)=ADL$1490,ROW(OFFSET(nombres[],0,0,ROWS(nombres[]),1))-ROW(OFFSET(nombres[],0,0,1,1))+1,ROW(OFFSET(nombres[],ROWS(nombres[])-1,0,1,1))+1),$O1514:$O1533),11),"")</f>
        <v/>
      </c>
      <c r="ADM1514" s="42" t="str">
        <f t="array" aca="1" ref="ADM1514:ADM1533" ca="1">IFERROR(INDEX(nombres[],SMALL(IF(OFFSET(nombres[],0,0,ROWS(nombres[]),1)=ADM$1490,ROW(OFFSET(nombres[],0,0,ROWS(nombres[]),1))-ROW(OFFSET(nombres[],0,0,1,1))+1,ROW(OFFSET(nombres[],ROWS(nombres[])-1,0,1,1))+1),$O1514:$O1533),11),"")</f>
        <v/>
      </c>
      <c r="ADN1514" s="42" t="str">
        <f t="array" aca="1" ref="ADN1514:ADN1533" ca="1">IFERROR(INDEX(nombres[],SMALL(IF(OFFSET(nombres[],0,0,ROWS(nombres[]),1)=ADN$1490,ROW(OFFSET(nombres[],0,0,ROWS(nombres[]),1))-ROW(OFFSET(nombres[],0,0,1,1))+1,ROW(OFFSET(nombres[],ROWS(nombres[])-1,0,1,1))+1),$O1514:$O1533),11),"")</f>
        <v/>
      </c>
      <c r="ADO1514" s="42" t="str">
        <f t="array" aca="1" ref="ADO1514:ADO1533" ca="1">IFERROR(INDEX(nombres[],SMALL(IF(OFFSET(nombres[],0,0,ROWS(nombres[]),1)=ADO$1490,ROW(OFFSET(nombres[],0,0,ROWS(nombres[]),1))-ROW(OFFSET(nombres[],0,0,1,1))+1,ROW(OFFSET(nombres[],ROWS(nombres[])-1,0,1,1))+1),$O1514:$O1533),11),"")</f>
        <v/>
      </c>
      <c r="ADP1514" s="42" t="str">
        <f t="array" aca="1" ref="ADP1514:ADP1533" ca="1">IFERROR(INDEX(nombres[],SMALL(IF(OFFSET(nombres[],0,0,ROWS(nombres[]),1)=ADP$1490,ROW(OFFSET(nombres[],0,0,ROWS(nombres[]),1))-ROW(OFFSET(nombres[],0,0,1,1))+1,ROW(OFFSET(nombres[],ROWS(nombres[])-1,0,1,1))+1),$O1514:$O1533),11),"")</f>
        <v/>
      </c>
      <c r="ADQ1514" s="42" t="str">
        <f t="array" aca="1" ref="ADQ1514:ADQ1533" ca="1">IFERROR(INDEX(nombres[],SMALL(IF(OFFSET(nombres[],0,0,ROWS(nombres[]),1)=ADQ$1490,ROW(OFFSET(nombres[],0,0,ROWS(nombres[]),1))-ROW(OFFSET(nombres[],0,0,1,1))+1,ROW(OFFSET(nombres[],ROWS(nombres[])-1,0,1,1))+1),$O1514:$O1533),11),"")</f>
        <v/>
      </c>
      <c r="ADR1514" s="42" t="str">
        <f t="array" aca="1" ref="ADR1514:ADR1533" ca="1">IFERROR(INDEX(nombres[],SMALL(IF(OFFSET(nombres[],0,0,ROWS(nombres[]),1)=ADR$1490,ROW(OFFSET(nombres[],0,0,ROWS(nombres[]),1))-ROW(OFFSET(nombres[],0,0,1,1))+1,ROW(OFFSET(nombres[],ROWS(nombres[])-1,0,1,1))+1),$O1514:$O1533),11),"")</f>
        <v/>
      </c>
      <c r="ADS1514" s="42" t="str">
        <f t="array" aca="1" ref="ADS1514:ADS1533" ca="1">IFERROR(INDEX(nombres[],SMALL(IF(OFFSET(nombres[],0,0,ROWS(nombres[]),1)=ADS$1490,ROW(OFFSET(nombres[],0,0,ROWS(nombres[]),1))-ROW(OFFSET(nombres[],0,0,1,1))+1,ROW(OFFSET(nombres[],ROWS(nombres[])-1,0,1,1))+1),$O1514:$O1533),11),"")</f>
        <v/>
      </c>
      <c r="ADT1514" s="42" t="str">
        <f t="array" aca="1" ref="ADT1514:ADT1533" ca="1">IFERROR(INDEX(nombres[],SMALL(IF(OFFSET(nombres[],0,0,ROWS(nombres[]),1)=ADT$1490,ROW(OFFSET(nombres[],0,0,ROWS(nombres[]),1))-ROW(OFFSET(nombres[],0,0,1,1))+1,ROW(OFFSET(nombres[],ROWS(nombres[])-1,0,1,1))+1),$O1514:$O1533),11),"")</f>
        <v/>
      </c>
      <c r="ADU1514" s="42" t="str">
        <f t="array" aca="1" ref="ADU1514:ADU1533" ca="1">IFERROR(INDEX(nombres[],SMALL(IF(OFFSET(nombres[],0,0,ROWS(nombres[]),1)=ADU$1490,ROW(OFFSET(nombres[],0,0,ROWS(nombres[]),1))-ROW(OFFSET(nombres[],0,0,1,1))+1,ROW(OFFSET(nombres[],ROWS(nombres[])-1,0,1,1))+1),$O1514:$O1533),11),"")</f>
        <v/>
      </c>
      <c r="ADV1514" s="42" t="str">
        <f t="array" aca="1" ref="ADV1514:ADV1533" ca="1">IFERROR(INDEX(nombres[],SMALL(IF(OFFSET(nombres[],0,0,ROWS(nombres[]),1)=ADV$1490,ROW(OFFSET(nombres[],0,0,ROWS(nombres[]),1))-ROW(OFFSET(nombres[],0,0,1,1))+1,ROW(OFFSET(nombres[],ROWS(nombres[])-1,0,1,1))+1),$O1514:$O1533),11),"")</f>
        <v/>
      </c>
      <c r="ADW1514" s="42" t="str">
        <f t="array" aca="1" ref="ADW1514:ADW1533" ca="1">IFERROR(INDEX(nombres[],SMALL(IF(OFFSET(nombres[],0,0,ROWS(nombres[]),1)=ADW$1490,ROW(OFFSET(nombres[],0,0,ROWS(nombres[]),1))-ROW(OFFSET(nombres[],0,0,1,1))+1,ROW(OFFSET(nombres[],ROWS(nombres[])-1,0,1,1))+1),$O1514:$O1533),11),"")</f>
        <v/>
      </c>
      <c r="ADX1514" s="42" t="str">
        <f t="array" aca="1" ref="ADX1514:ADX1533" ca="1">IFERROR(INDEX(nombres[],SMALL(IF(OFFSET(nombres[],0,0,ROWS(nombres[]),1)=ADX$1490,ROW(OFFSET(nombres[],0,0,ROWS(nombres[]),1))-ROW(OFFSET(nombres[],0,0,1,1))+1,ROW(OFFSET(nombres[],ROWS(nombres[])-1,0,1,1))+1),$O1514:$O1533),11),"")</f>
        <v/>
      </c>
      <c r="ADY1514" s="42" t="str">
        <f t="array" aca="1" ref="ADY1514:ADY1533" ca="1">IFERROR(INDEX(nombres[],SMALL(IF(OFFSET(nombres[],0,0,ROWS(nombres[]),1)=ADY$1490,ROW(OFFSET(nombres[],0,0,ROWS(nombres[]),1))-ROW(OFFSET(nombres[],0,0,1,1))+1,ROW(OFFSET(nombres[],ROWS(nombres[])-1,0,1,1))+1),$O1514:$O1533),11),"")</f>
        <v/>
      </c>
      <c r="ADZ1514" s="42" t="str">
        <f t="array" aca="1" ref="ADZ1514:ADZ1533" ca="1">IFERROR(INDEX(nombres[],SMALL(IF(OFFSET(nombres[],0,0,ROWS(nombres[]),1)=ADZ$1490,ROW(OFFSET(nombres[],0,0,ROWS(nombres[]),1))-ROW(OFFSET(nombres[],0,0,1,1))+1,ROW(OFFSET(nombres[],ROWS(nombres[])-1,0,1,1))+1),$O1514:$O1533),11),"")</f>
        <v/>
      </c>
      <c r="AEA1514" s="42" t="str">
        <f t="array" aca="1" ref="AEA1514:AEA1533" ca="1">IFERROR(INDEX(nombres[],SMALL(IF(OFFSET(nombres[],0,0,ROWS(nombres[]),1)=AEA$1490,ROW(OFFSET(nombres[],0,0,ROWS(nombres[]),1))-ROW(OFFSET(nombres[],0,0,1,1))+1,ROW(OFFSET(nombres[],ROWS(nombres[])-1,0,1,1))+1),$O1514:$O1533),11),"")</f>
        <v/>
      </c>
      <c r="AEB1514" s="42" t="str">
        <f t="array" aca="1" ref="AEB1514:AEB1533" ca="1">IFERROR(INDEX(nombres[],SMALL(IF(OFFSET(nombres[],0,0,ROWS(nombres[]),1)=AEB$1490,ROW(OFFSET(nombres[],0,0,ROWS(nombres[]),1))-ROW(OFFSET(nombres[],0,0,1,1))+1,ROW(OFFSET(nombres[],ROWS(nombres[])-1,0,1,1))+1),$O1514:$O1533),11),"")</f>
        <v/>
      </c>
      <c r="AEC1514" s="42" t="str">
        <f t="array" aca="1" ref="AEC1514:AEC1533" ca="1">IFERROR(INDEX(nombres[],SMALL(IF(OFFSET(nombres[],0,0,ROWS(nombres[]),1)=AEC$1490,ROW(OFFSET(nombres[],0,0,ROWS(nombres[]),1))-ROW(OFFSET(nombres[],0,0,1,1))+1,ROW(OFFSET(nombres[],ROWS(nombres[])-1,0,1,1))+1),$O1514:$O1533),11),"")</f>
        <v/>
      </c>
      <c r="AED1514" s="42" t="str">
        <f t="array" aca="1" ref="AED1514:AED1533" ca="1">IFERROR(INDEX(nombres[],SMALL(IF(OFFSET(nombres[],0,0,ROWS(nombres[]),1)=AED$1490,ROW(OFFSET(nombres[],0,0,ROWS(nombres[]),1))-ROW(OFFSET(nombres[],0,0,1,1))+1,ROW(OFFSET(nombres[],ROWS(nombres[])-1,0,1,1))+1),$O1514:$O1533),11),"")</f>
        <v/>
      </c>
      <c r="AEE1514" s="42" t="str">
        <f t="array" aca="1" ref="AEE1514:AEE1533" ca="1">IFERROR(INDEX(nombres[],SMALL(IF(OFFSET(nombres[],0,0,ROWS(nombres[]),1)=AEE$1490,ROW(OFFSET(nombres[],0,0,ROWS(nombres[]),1))-ROW(OFFSET(nombres[],0,0,1,1))+1,ROW(OFFSET(nombres[],ROWS(nombres[])-1,0,1,1))+1),$O1514:$O1533),11),"")</f>
        <v/>
      </c>
      <c r="AEF1514" s="42" t="str">
        <f t="array" aca="1" ref="AEF1514:AEF1533" ca="1">IFERROR(INDEX(nombres[],SMALL(IF(OFFSET(nombres[],0,0,ROWS(nombres[]),1)=AEF$1490,ROW(OFFSET(nombres[],0,0,ROWS(nombres[]),1))-ROW(OFFSET(nombres[],0,0,1,1))+1,ROW(OFFSET(nombres[],ROWS(nombres[])-1,0,1,1))+1),$O1514:$O1533),11),"")</f>
        <v/>
      </c>
      <c r="AEG1514" s="42" t="str">
        <f t="array" aca="1" ref="AEG1514:AEG1533" ca="1">IFERROR(INDEX(nombres[],SMALL(IF(OFFSET(nombres[],0,0,ROWS(nombres[]),1)=AEG$1490,ROW(OFFSET(nombres[],0,0,ROWS(nombres[]),1))-ROW(OFFSET(nombres[],0,0,1,1))+1,ROW(OFFSET(nombres[],ROWS(nombres[])-1,0,1,1))+1),$O1514:$O1533),11),"")</f>
        <v/>
      </c>
      <c r="AEH1514" s="42" t="str">
        <f t="array" aca="1" ref="AEH1514:AEH1533" ca="1">IFERROR(INDEX(nombres[],SMALL(IF(OFFSET(nombres[],0,0,ROWS(nombres[]),1)=AEH$1490,ROW(OFFSET(nombres[],0,0,ROWS(nombres[]),1))-ROW(OFFSET(nombres[],0,0,1,1))+1,ROW(OFFSET(nombres[],ROWS(nombres[])-1,0,1,1))+1),$O1514:$O1533),11),"")</f>
        <v/>
      </c>
      <c r="AEI1514" s="42" t="str">
        <f t="array" aca="1" ref="AEI1514:AEI1533" ca="1">IFERROR(INDEX(nombres[],SMALL(IF(OFFSET(nombres[],0,0,ROWS(nombres[]),1)=AEI$1490,ROW(OFFSET(nombres[],0,0,ROWS(nombres[]),1))-ROW(OFFSET(nombres[],0,0,1,1))+1,ROW(OFFSET(nombres[],ROWS(nombres[])-1,0,1,1))+1),$O1514:$O1533),11),"")</f>
        <v/>
      </c>
      <c r="AEJ1514" s="42" t="str">
        <f t="array" aca="1" ref="AEJ1514:AEJ1533" ca="1">IFERROR(INDEX(nombres[],SMALL(IF(OFFSET(nombres[],0,0,ROWS(nombres[]),1)=AEJ$1490,ROW(OFFSET(nombres[],0,0,ROWS(nombres[]),1))-ROW(OFFSET(nombres[],0,0,1,1))+1,ROW(OFFSET(nombres[],ROWS(nombres[])-1,0,1,1))+1),$O1514:$O1533),11),"")</f>
        <v/>
      </c>
      <c r="AEK1514" s="42" t="str">
        <f t="array" aca="1" ref="AEK1514:AEK1533" ca="1">IFERROR(INDEX(nombres[],SMALL(IF(OFFSET(nombres[],0,0,ROWS(nombres[]),1)=AEK$1490,ROW(OFFSET(nombres[],0,0,ROWS(nombres[]),1))-ROW(OFFSET(nombres[],0,0,1,1))+1,ROW(OFFSET(nombres[],ROWS(nombres[])-1,0,1,1))+1),$O1514:$O1533),11),"")</f>
        <v/>
      </c>
      <c r="AEL1514" s="42" t="str">
        <f t="array" aca="1" ref="AEL1514:AEL1533" ca="1">IFERROR(INDEX(nombres[],SMALL(IF(OFFSET(nombres[],0,0,ROWS(nombres[]),1)=AEL$1490,ROW(OFFSET(nombres[],0,0,ROWS(nombres[]),1))-ROW(OFFSET(nombres[],0,0,1,1))+1,ROW(OFFSET(nombres[],ROWS(nombres[])-1,0,1,1))+1),$O1514:$O1533),11),"")</f>
        <v/>
      </c>
      <c r="AEM1514" s="42" t="str">
        <f t="array" aca="1" ref="AEM1514:AEM1533" ca="1">IFERROR(INDEX(nombres[],SMALL(IF(OFFSET(nombres[],0,0,ROWS(nombres[]),1)=AEM$1490,ROW(OFFSET(nombres[],0,0,ROWS(nombres[]),1))-ROW(OFFSET(nombres[],0,0,1,1))+1,ROW(OFFSET(nombres[],ROWS(nombres[])-1,0,1,1))+1),$O1514:$O1533),11),"")</f>
        <v/>
      </c>
      <c r="AEN1514" s="42" t="str">
        <f t="array" aca="1" ref="AEN1514:AEN1533" ca="1">IFERROR(INDEX(nombres[],SMALL(IF(OFFSET(nombres[],0,0,ROWS(nombres[]),1)=AEN$1490,ROW(OFFSET(nombres[],0,0,ROWS(nombres[]),1))-ROW(OFFSET(nombres[],0,0,1,1))+1,ROW(OFFSET(nombres[],ROWS(nombres[])-1,0,1,1))+1),$O1514:$O1533),11),"")</f>
        <v/>
      </c>
      <c r="AEO1514" s="42" t="str">
        <f t="array" aca="1" ref="AEO1514:AEO1533" ca="1">IFERROR(INDEX(nombres[],SMALL(IF(OFFSET(nombres[],0,0,ROWS(nombres[]),1)=AEO$1490,ROW(OFFSET(nombres[],0,0,ROWS(nombres[]),1))-ROW(OFFSET(nombres[],0,0,1,1))+1,ROW(OFFSET(nombres[],ROWS(nombres[])-1,0,1,1))+1),$O1514:$O1533),11),"")</f>
        <v/>
      </c>
      <c r="AEP1514" s="42" t="str">
        <f t="array" aca="1" ref="AEP1514:AEP1533" ca="1">IFERROR(INDEX(nombres[],SMALL(IF(OFFSET(nombres[],0,0,ROWS(nombres[]),1)=AEP$1490,ROW(OFFSET(nombres[],0,0,ROWS(nombres[]),1))-ROW(OFFSET(nombres[],0,0,1,1))+1,ROW(OFFSET(nombres[],ROWS(nombres[])-1,0,1,1))+1),$O1514:$O1533),11),"")</f>
        <v/>
      </c>
      <c r="AEQ1514" s="42" t="str">
        <f t="array" aca="1" ref="AEQ1514:AEQ1533" ca="1">IFERROR(INDEX(nombres[],SMALL(IF(OFFSET(nombres[],0,0,ROWS(nombres[]),1)=AEQ$1490,ROW(OFFSET(nombres[],0,0,ROWS(nombres[]),1))-ROW(OFFSET(nombres[],0,0,1,1))+1,ROW(OFFSET(nombres[],ROWS(nombres[])-1,0,1,1))+1),$O1514:$O1533),11),"")</f>
        <v/>
      </c>
      <c r="AER1514" s="42" t="str">
        <f t="array" aca="1" ref="AER1514:AER1533" ca="1">IFERROR(INDEX(nombres[],SMALL(IF(OFFSET(nombres[],0,0,ROWS(nombres[]),1)=AER$1490,ROW(OFFSET(nombres[],0,0,ROWS(nombres[]),1))-ROW(OFFSET(nombres[],0,0,1,1))+1,ROW(OFFSET(nombres[],ROWS(nombres[])-1,0,1,1))+1),$O1514:$O1533),11),"")</f>
        <v/>
      </c>
      <c r="AES1514" s="42" t="str">
        <f t="array" aca="1" ref="AES1514:AES1533" ca="1">IFERROR(INDEX(nombres[],SMALL(IF(OFFSET(nombres[],0,0,ROWS(nombres[]),1)=AES$1490,ROW(OFFSET(nombres[],0,0,ROWS(nombres[]),1))-ROW(OFFSET(nombres[],0,0,1,1))+1,ROW(OFFSET(nombres[],ROWS(nombres[])-1,0,1,1))+1),$O1514:$O1533),11),"")</f>
        <v/>
      </c>
      <c r="AET1514" s="42" t="str">
        <f t="array" aca="1" ref="AET1514:AET1533" ca="1">IFERROR(INDEX(nombres[],SMALL(IF(OFFSET(nombres[],0,0,ROWS(nombres[]),1)=AET$1490,ROW(OFFSET(nombres[],0,0,ROWS(nombres[]),1))-ROW(OFFSET(nombres[],0,0,1,1))+1,ROW(OFFSET(nombres[],ROWS(nombres[])-1,0,1,1))+1),$O1514:$O1533),11),"")</f>
        <v/>
      </c>
      <c r="AEU1514" s="42" t="str">
        <f t="array" aca="1" ref="AEU1514:AEU1533" ca="1">IFERROR(INDEX(nombres[],SMALL(IF(OFFSET(nombres[],0,0,ROWS(nombres[]),1)=AEU$1490,ROW(OFFSET(nombres[],0,0,ROWS(nombres[]),1))-ROW(OFFSET(nombres[],0,0,1,1))+1,ROW(OFFSET(nombres[],ROWS(nombres[])-1,0,1,1))+1),$O1514:$O1533),11),"")</f>
        <v/>
      </c>
      <c r="AEV1514" s="42" t="str">
        <f t="array" aca="1" ref="AEV1514:AEV1533" ca="1">IFERROR(INDEX(nombres[],SMALL(IF(OFFSET(nombres[],0,0,ROWS(nombres[]),1)=AEV$1490,ROW(OFFSET(nombres[],0,0,ROWS(nombres[]),1))-ROW(OFFSET(nombres[],0,0,1,1))+1,ROW(OFFSET(nombres[],ROWS(nombres[])-1,0,1,1))+1),$O1514:$O1533),11),"")</f>
        <v/>
      </c>
      <c r="AEW1514" s="42" t="str">
        <f t="array" aca="1" ref="AEW1514:AEW1533" ca="1">IFERROR(INDEX(nombres[],SMALL(IF(OFFSET(nombres[],0,0,ROWS(nombres[]),1)=AEW$1490,ROW(OFFSET(nombres[],0,0,ROWS(nombres[]),1))-ROW(OFFSET(nombres[],0,0,1,1))+1,ROW(OFFSET(nombres[],ROWS(nombres[])-1,0,1,1))+1),$O1514:$O1533),11),"")</f>
        <v/>
      </c>
      <c r="AEX1514" s="42" t="str">
        <f t="array" aca="1" ref="AEX1514:AEX1533" ca="1">IFERROR(INDEX(nombres[],SMALL(IF(OFFSET(nombres[],0,0,ROWS(nombres[]),1)=AEX$1490,ROW(OFFSET(nombres[],0,0,ROWS(nombres[]),1))-ROW(OFFSET(nombres[],0,0,1,1))+1,ROW(OFFSET(nombres[],ROWS(nombres[])-1,0,1,1))+1),$O1514:$O1533),11),"")</f>
        <v/>
      </c>
      <c r="AEY1514" s="42" t="str">
        <f t="array" aca="1" ref="AEY1514:AEY1533" ca="1">IFERROR(INDEX(nombres[],SMALL(IF(OFFSET(nombres[],0,0,ROWS(nombres[]),1)=AEY$1490,ROW(OFFSET(nombres[],0,0,ROWS(nombres[]),1))-ROW(OFFSET(nombres[],0,0,1,1))+1,ROW(OFFSET(nombres[],ROWS(nombres[])-1,0,1,1))+1),$O1514:$O1533),11),"")</f>
        <v/>
      </c>
      <c r="AEZ1514" s="42" t="str">
        <f t="array" aca="1" ref="AEZ1514:AEZ1533" ca="1">IFERROR(INDEX(nombres[],SMALL(IF(OFFSET(nombres[],0,0,ROWS(nombres[]),1)=AEZ$1490,ROW(OFFSET(nombres[],0,0,ROWS(nombres[]),1))-ROW(OFFSET(nombres[],0,0,1,1))+1,ROW(OFFSET(nombres[],ROWS(nombres[])-1,0,1,1))+1),$O1514:$O1533),11),"")</f>
        <v/>
      </c>
      <c r="AFA1514" s="42" t="str">
        <f t="array" aca="1" ref="AFA1514:AFA1533" ca="1">IFERROR(INDEX(nombres[],SMALL(IF(OFFSET(nombres[],0,0,ROWS(nombres[]),1)=AFA$1490,ROW(OFFSET(nombres[],0,0,ROWS(nombres[]),1))-ROW(OFFSET(nombres[],0,0,1,1))+1,ROW(OFFSET(nombres[],ROWS(nombres[])-1,0,1,1))+1),$O1514:$O1533),11),"")</f>
        <v/>
      </c>
      <c r="AFB1514" s="42" t="str">
        <f t="array" aca="1" ref="AFB1514:AFB1533" ca="1">IFERROR(INDEX(nombres[],SMALL(IF(OFFSET(nombres[],0,0,ROWS(nombres[]),1)=AFB$1490,ROW(OFFSET(nombres[],0,0,ROWS(nombres[]),1))-ROW(OFFSET(nombres[],0,0,1,1))+1,ROW(OFFSET(nombres[],ROWS(nombres[])-1,0,1,1))+1),$O1514:$O1533),11),"")</f>
        <v/>
      </c>
      <c r="AFC1514" s="42" t="str">
        <f t="array" aca="1" ref="AFC1514:AFC1533" ca="1">IFERROR(INDEX(nombres[],SMALL(IF(OFFSET(nombres[],0,0,ROWS(nombres[]),1)=AFC$1490,ROW(OFFSET(nombres[],0,0,ROWS(nombres[]),1))-ROW(OFFSET(nombres[],0,0,1,1))+1,ROW(OFFSET(nombres[],ROWS(nombres[])-1,0,1,1))+1),$O1514:$O1533),11),"")</f>
        <v/>
      </c>
      <c r="AFD1514" s="42" t="str">
        <f t="array" aca="1" ref="AFD1514:AFD1533" ca="1">IFERROR(INDEX(nombres[],SMALL(IF(OFFSET(nombres[],0,0,ROWS(nombres[]),1)=AFD$1490,ROW(OFFSET(nombres[],0,0,ROWS(nombres[]),1))-ROW(OFFSET(nombres[],0,0,1,1))+1,ROW(OFFSET(nombres[],ROWS(nombres[])-1,0,1,1))+1),$O1514:$O1533),11),"")</f>
        <v/>
      </c>
      <c r="AFE1514" s="42" t="str">
        <f t="array" aca="1" ref="AFE1514:AFE1533" ca="1">IFERROR(INDEX(nombres[],SMALL(IF(OFFSET(nombres[],0,0,ROWS(nombres[]),1)=AFE$1490,ROW(OFFSET(nombres[],0,0,ROWS(nombres[]),1))-ROW(OFFSET(nombres[],0,0,1,1))+1,ROW(OFFSET(nombres[],ROWS(nombres[])-1,0,1,1))+1),$O1514:$O1533),11),"")</f>
        <v/>
      </c>
      <c r="AFF1514" s="42" t="str">
        <f t="array" aca="1" ref="AFF1514:AFF1533" ca="1">IFERROR(INDEX(nombres[],SMALL(IF(OFFSET(nombres[],0,0,ROWS(nombres[]),1)=AFF$1490,ROW(OFFSET(nombres[],0,0,ROWS(nombres[]),1))-ROW(OFFSET(nombres[],0,0,1,1))+1,ROW(OFFSET(nombres[],ROWS(nombres[])-1,0,1,1))+1),$O1514:$O1533),11),"")</f>
        <v/>
      </c>
      <c r="AFG1514" s="42" t="str">
        <f t="array" aca="1" ref="AFG1514:AFG1533" ca="1">IFERROR(INDEX(nombres[],SMALL(IF(OFFSET(nombres[],0,0,ROWS(nombres[]),1)=AFG$1490,ROW(OFFSET(nombres[],0,0,ROWS(nombres[]),1))-ROW(OFFSET(nombres[],0,0,1,1))+1,ROW(OFFSET(nombres[],ROWS(nombres[])-1,0,1,1))+1),$O1514:$O1533),11),"")</f>
        <v/>
      </c>
      <c r="AFH1514" s="42" t="str">
        <f t="array" aca="1" ref="AFH1514:AFH1533" ca="1">IFERROR(INDEX(nombres[],SMALL(IF(OFFSET(nombres[],0,0,ROWS(nombres[]),1)=AFH$1490,ROW(OFFSET(nombres[],0,0,ROWS(nombres[]),1))-ROW(OFFSET(nombres[],0,0,1,1))+1,ROW(OFFSET(nombres[],ROWS(nombres[])-1,0,1,1))+1),$O1514:$O1533),11),"")</f>
        <v/>
      </c>
      <c r="AFI1514" s="42" t="str">
        <f t="array" aca="1" ref="AFI1514:AFI1533" ca="1">IFERROR(INDEX(nombres[],SMALL(IF(OFFSET(nombres[],0,0,ROWS(nombres[]),1)=AFI$1490,ROW(OFFSET(nombres[],0,0,ROWS(nombres[]),1))-ROW(OFFSET(nombres[],0,0,1,1))+1,ROW(OFFSET(nombres[],ROWS(nombres[])-1,0,1,1))+1),$O1514:$O1533),11),"")</f>
        <v/>
      </c>
      <c r="AFJ1514" s="42" t="str">
        <f t="array" aca="1" ref="AFJ1514:AFJ1533" ca="1">IFERROR(INDEX(nombres[],SMALL(IF(OFFSET(nombres[],0,0,ROWS(nombres[]),1)=AFJ$1490,ROW(OFFSET(nombres[],0,0,ROWS(nombres[]),1))-ROW(OFFSET(nombres[],0,0,1,1))+1,ROW(OFFSET(nombres[],ROWS(nombres[])-1,0,1,1))+1),$O1514:$O1533),11),"")</f>
        <v/>
      </c>
      <c r="AFK1514" s="42" t="str">
        <f t="array" aca="1" ref="AFK1514:AFK1533" ca="1">IFERROR(INDEX(nombres[],SMALL(IF(OFFSET(nombres[],0,0,ROWS(nombres[]),1)=AFK$1490,ROW(OFFSET(nombres[],0,0,ROWS(nombres[]),1))-ROW(OFFSET(nombres[],0,0,1,1))+1,ROW(OFFSET(nombres[],ROWS(nombres[])-1,0,1,1))+1),$O1514:$O1533),11),"")</f>
        <v/>
      </c>
      <c r="AFL1514" s="42" t="str">
        <f t="array" aca="1" ref="AFL1514:AFL1533" ca="1">IFERROR(INDEX(nombres[],SMALL(IF(OFFSET(nombres[],0,0,ROWS(nombres[]),1)=AFL$1490,ROW(OFFSET(nombres[],0,0,ROWS(nombres[]),1))-ROW(OFFSET(nombres[],0,0,1,1))+1,ROW(OFFSET(nombres[],ROWS(nombres[])-1,0,1,1))+1),$O1514:$O1533),11),"")</f>
        <v/>
      </c>
      <c r="AFM1514" s="42" t="str">
        <f t="array" aca="1" ref="AFM1514:AFM1533" ca="1">IFERROR(INDEX(nombres[],SMALL(IF(OFFSET(nombres[],0,0,ROWS(nombres[]),1)=AFM$1490,ROW(OFFSET(nombres[],0,0,ROWS(nombres[]),1))-ROW(OFFSET(nombres[],0,0,1,1))+1,ROW(OFFSET(nombres[],ROWS(nombres[])-1,0,1,1))+1),$O1514:$O1533),11),"")</f>
        <v/>
      </c>
      <c r="AFN1514" s="42" t="str">
        <f t="array" aca="1" ref="AFN1514:AFN1533" ca="1">IFERROR(INDEX(nombres[],SMALL(IF(OFFSET(nombres[],0,0,ROWS(nombres[]),1)=AFN$1490,ROW(OFFSET(nombres[],0,0,ROWS(nombres[]),1))-ROW(OFFSET(nombres[],0,0,1,1))+1,ROW(OFFSET(nombres[],ROWS(nombres[])-1,0,1,1))+1),$O1514:$O1533),11),"")</f>
        <v/>
      </c>
      <c r="AFO1514" s="42" t="str">
        <f t="array" aca="1" ref="AFO1514:AFO1533" ca="1">IFERROR(INDEX(nombres[],SMALL(IF(OFFSET(nombres[],0,0,ROWS(nombres[]),1)=AFO$1490,ROW(OFFSET(nombres[],0,0,ROWS(nombres[]),1))-ROW(OFFSET(nombres[],0,0,1,1))+1,ROW(OFFSET(nombres[],ROWS(nombres[])-1,0,1,1))+1),$O1514:$O1533),11),"")</f>
        <v/>
      </c>
      <c r="AFP1514" s="42" t="str">
        <f t="array" aca="1" ref="AFP1514:AFP1533" ca="1">IFERROR(INDEX(nombres[],SMALL(IF(OFFSET(nombres[],0,0,ROWS(nombres[]),1)=AFP$1490,ROW(OFFSET(nombres[],0,0,ROWS(nombres[]),1))-ROW(OFFSET(nombres[],0,0,1,1))+1,ROW(OFFSET(nombres[],ROWS(nombres[])-1,0,1,1))+1),$O1514:$O1533),11),"")</f>
        <v/>
      </c>
      <c r="AFQ1514" s="42" t="str">
        <f t="array" aca="1" ref="AFQ1514:AFQ1533" ca="1">IFERROR(INDEX(nombres[],SMALL(IF(OFFSET(nombres[],0,0,ROWS(nombres[]),1)=AFQ$1490,ROW(OFFSET(nombres[],0,0,ROWS(nombres[]),1))-ROW(OFFSET(nombres[],0,0,1,1))+1,ROW(OFFSET(nombres[],ROWS(nombres[])-1,0,1,1))+1),$O1514:$O1533),11),"")</f>
        <v/>
      </c>
      <c r="AFR1514" s="42" t="str">
        <f t="array" aca="1" ref="AFR1514:AFR1533" ca="1">IFERROR(INDEX(nombres[],SMALL(IF(OFFSET(nombres[],0,0,ROWS(nombres[]),1)=AFR$1490,ROW(OFFSET(nombres[],0,0,ROWS(nombres[]),1))-ROW(OFFSET(nombres[],0,0,1,1))+1,ROW(OFFSET(nombres[],ROWS(nombres[])-1,0,1,1))+1),$O1514:$O1533),11),"")</f>
        <v/>
      </c>
      <c r="AFS1514" s="42" t="str">
        <f t="array" aca="1" ref="AFS1514:AFS1533" ca="1">IFERROR(INDEX(nombres[],SMALL(IF(OFFSET(nombres[],0,0,ROWS(nombres[]),1)=AFS$1490,ROW(OFFSET(nombres[],0,0,ROWS(nombres[]),1))-ROW(OFFSET(nombres[],0,0,1,1))+1,ROW(OFFSET(nombres[],ROWS(nombres[])-1,0,1,1))+1),$O1514:$O1533),11),"")</f>
        <v/>
      </c>
      <c r="AFT1514" s="42" t="str">
        <f t="array" aca="1" ref="AFT1514:AFT1533" ca="1">IFERROR(INDEX(nombres[],SMALL(IF(OFFSET(nombres[],0,0,ROWS(nombres[]),1)=AFT$1490,ROW(OFFSET(nombres[],0,0,ROWS(nombres[]),1))-ROW(OFFSET(nombres[],0,0,1,1))+1,ROW(OFFSET(nombres[],ROWS(nombres[])-1,0,1,1))+1),$O1514:$O1533),11),"")</f>
        <v/>
      </c>
      <c r="AFU1514" s="42" t="str">
        <f t="array" aca="1" ref="AFU1514:AFU1533" ca="1">IFERROR(INDEX(nombres[],SMALL(IF(OFFSET(nombres[],0,0,ROWS(nombres[]),1)=AFU$1490,ROW(OFFSET(nombres[],0,0,ROWS(nombres[]),1))-ROW(OFFSET(nombres[],0,0,1,1))+1,ROW(OFFSET(nombres[],ROWS(nombres[])-1,0,1,1))+1),$O1514:$O1533),11),"")</f>
        <v/>
      </c>
      <c r="AFV1514" s="42" t="str">
        <f t="array" aca="1" ref="AFV1514:AFV1533" ca="1">IFERROR(INDEX(nombres[],SMALL(IF(OFFSET(nombres[],0,0,ROWS(nombres[]),1)=AFV$1490,ROW(OFFSET(nombres[],0,0,ROWS(nombres[]),1))-ROW(OFFSET(nombres[],0,0,1,1))+1,ROW(OFFSET(nombres[],ROWS(nombres[])-1,0,1,1))+1),$O1514:$O1533),11),"")</f>
        <v/>
      </c>
      <c r="AFW1514" s="42" t="str">
        <f t="array" aca="1" ref="AFW1514:AFW1533" ca="1">IFERROR(INDEX(nombres[],SMALL(IF(OFFSET(nombres[],0,0,ROWS(nombres[]),1)=AFW$1490,ROW(OFFSET(nombres[],0,0,ROWS(nombres[]),1))-ROW(OFFSET(nombres[],0,0,1,1))+1,ROW(OFFSET(nombres[],ROWS(nombres[])-1,0,1,1))+1),$O1514:$O1533),11),"")</f>
        <v/>
      </c>
      <c r="AFX1514" s="42" t="str">
        <f t="array" aca="1" ref="AFX1514:AFX1533" ca="1">IFERROR(INDEX(nombres[],SMALL(IF(OFFSET(nombres[],0,0,ROWS(nombres[]),1)=AFX$1490,ROW(OFFSET(nombres[],0,0,ROWS(nombres[]),1))-ROW(OFFSET(nombres[],0,0,1,1))+1,ROW(OFFSET(nombres[],ROWS(nombres[])-1,0,1,1))+1),$O1514:$O1533),11),"")</f>
        <v/>
      </c>
      <c r="AFY1514" s="42" t="str">
        <f t="array" aca="1" ref="AFY1514:AFY1533" ca="1">IFERROR(INDEX(nombres[],SMALL(IF(OFFSET(nombres[],0,0,ROWS(nombres[]),1)=AFY$1490,ROW(OFFSET(nombres[],0,0,ROWS(nombres[]),1))-ROW(OFFSET(nombres[],0,0,1,1))+1,ROW(OFFSET(nombres[],ROWS(nombres[])-1,0,1,1))+1),$O1514:$O1533),11),"")</f>
        <v/>
      </c>
      <c r="AFZ1514" s="42" t="str">
        <f t="array" aca="1" ref="AFZ1514:AFZ1533" ca="1">IFERROR(INDEX(nombres[],SMALL(IF(OFFSET(nombres[],0,0,ROWS(nombres[]),1)=AFZ$1490,ROW(OFFSET(nombres[],0,0,ROWS(nombres[]),1))-ROW(OFFSET(nombres[],0,0,1,1))+1,ROW(OFFSET(nombres[],ROWS(nombres[])-1,0,1,1))+1),$O1514:$O1533),11),"")</f>
        <v/>
      </c>
      <c r="AGA1514" s="42" t="str">
        <f t="array" aca="1" ref="AGA1514:AGA1533" ca="1">IFERROR(INDEX(nombres[],SMALL(IF(OFFSET(nombres[],0,0,ROWS(nombres[]),1)=AGA$1490,ROW(OFFSET(nombres[],0,0,ROWS(nombres[]),1))-ROW(OFFSET(nombres[],0,0,1,1))+1,ROW(OFFSET(nombres[],ROWS(nombres[])-1,0,1,1))+1),$O1514:$O1533),11),"")</f>
        <v/>
      </c>
      <c r="AGB1514" s="42" t="str">
        <f t="array" aca="1" ref="AGB1514:AGB1533" ca="1">IFERROR(INDEX(nombres[],SMALL(IF(OFFSET(nombres[],0,0,ROWS(nombres[]),1)=AGB$1490,ROW(OFFSET(nombres[],0,0,ROWS(nombres[]),1))-ROW(OFFSET(nombres[],0,0,1,1))+1,ROW(OFFSET(nombres[],ROWS(nombres[])-1,0,1,1))+1),$O1514:$O1533),11),"")</f>
        <v/>
      </c>
      <c r="AGC1514" s="42" t="str">
        <f t="array" aca="1" ref="AGC1514:AGC1533" ca="1">IFERROR(INDEX(nombres[],SMALL(IF(OFFSET(nombres[],0,0,ROWS(nombres[]),1)=AGC$1490,ROW(OFFSET(nombres[],0,0,ROWS(nombres[]),1))-ROW(OFFSET(nombres[],0,0,1,1))+1,ROW(OFFSET(nombres[],ROWS(nombres[])-1,0,1,1))+1),$O1514:$O1533),11),"")</f>
        <v/>
      </c>
      <c r="AGD1514" s="42" t="str">
        <f t="array" aca="1" ref="AGD1514:AGD1533" ca="1">IFERROR(INDEX(nombres[],SMALL(IF(OFFSET(nombres[],0,0,ROWS(nombres[]),1)=AGD$1490,ROW(OFFSET(nombres[],0,0,ROWS(nombres[]),1))-ROW(OFFSET(nombres[],0,0,1,1))+1,ROW(OFFSET(nombres[],ROWS(nombres[])-1,0,1,1))+1),$O1514:$O1533),11),"")</f>
        <v/>
      </c>
      <c r="AGE1514" s="42" t="str">
        <f t="array" aca="1" ref="AGE1514:AGE1533" ca="1">IFERROR(INDEX(nombres[],SMALL(IF(OFFSET(nombres[],0,0,ROWS(nombres[]),1)=AGE$1490,ROW(OFFSET(nombres[],0,0,ROWS(nombres[]),1))-ROW(OFFSET(nombres[],0,0,1,1))+1,ROW(OFFSET(nombres[],ROWS(nombres[])-1,0,1,1))+1),$O1514:$O1533),11),"")</f>
        <v/>
      </c>
      <c r="AGF1514" s="42" t="str">
        <f t="array" aca="1" ref="AGF1514:AGF1533" ca="1">IFERROR(INDEX(nombres[],SMALL(IF(OFFSET(nombres[],0,0,ROWS(nombres[]),1)=AGF$1490,ROW(OFFSET(nombres[],0,0,ROWS(nombres[]),1))-ROW(OFFSET(nombres[],0,0,1,1))+1,ROW(OFFSET(nombres[],ROWS(nombres[])-1,0,1,1))+1),$O1514:$O1533),11),"")</f>
        <v/>
      </c>
      <c r="AGG1514" s="42" t="str">
        <f t="array" aca="1" ref="AGG1514:AGG1533" ca="1">IFERROR(INDEX(nombres[],SMALL(IF(OFFSET(nombres[],0,0,ROWS(nombres[]),1)=AGG$1490,ROW(OFFSET(nombres[],0,0,ROWS(nombres[]),1))-ROW(OFFSET(nombres[],0,0,1,1))+1,ROW(OFFSET(nombres[],ROWS(nombres[])-1,0,1,1))+1),$O1514:$O1533),11),"")</f>
        <v/>
      </c>
      <c r="AGH1514" s="42" t="str">
        <f t="array" aca="1" ref="AGH1514:AGH1533" ca="1">IFERROR(INDEX(nombres[],SMALL(IF(OFFSET(nombres[],0,0,ROWS(nombres[]),1)=AGH$1490,ROW(OFFSET(nombres[],0,0,ROWS(nombres[]),1))-ROW(OFFSET(nombres[],0,0,1,1))+1,ROW(OFFSET(nombres[],ROWS(nombres[])-1,0,1,1))+1),$O1514:$O1533),11),"")</f>
        <v/>
      </c>
      <c r="AGI1514" s="42" t="str">
        <f t="array" aca="1" ref="AGI1514:AGI1533" ca="1">IFERROR(INDEX(nombres[],SMALL(IF(OFFSET(nombres[],0,0,ROWS(nombres[]),1)=AGI$1490,ROW(OFFSET(nombres[],0,0,ROWS(nombres[]),1))-ROW(OFFSET(nombres[],0,0,1,1))+1,ROW(OFFSET(nombres[],ROWS(nombres[])-1,0,1,1))+1),$O1514:$O1533),11),"")</f>
        <v/>
      </c>
      <c r="AGJ1514" s="42" t="str">
        <f t="array" aca="1" ref="AGJ1514:AGJ1533" ca="1">IFERROR(INDEX(nombres[],SMALL(IF(OFFSET(nombres[],0,0,ROWS(nombres[]),1)=AGJ$1490,ROW(OFFSET(nombres[],0,0,ROWS(nombres[]),1))-ROW(OFFSET(nombres[],0,0,1,1))+1,ROW(OFFSET(nombres[],ROWS(nombres[])-1,0,1,1))+1),$O1514:$O1533),11),"")</f>
        <v/>
      </c>
      <c r="AGK1514" s="42" t="str">
        <f t="array" aca="1" ref="AGK1514:AGK1533" ca="1">IFERROR(INDEX(nombres[],SMALL(IF(OFFSET(nombres[],0,0,ROWS(nombres[]),1)=AGK$1490,ROW(OFFSET(nombres[],0,0,ROWS(nombres[]),1))-ROW(OFFSET(nombres[],0,0,1,1))+1,ROW(OFFSET(nombres[],ROWS(nombres[])-1,0,1,1))+1),$O1514:$O1533),11),"")</f>
        <v/>
      </c>
      <c r="AGL1514" s="42" t="str">
        <f t="array" aca="1" ref="AGL1514:AGL1533" ca="1">IFERROR(INDEX(nombres[],SMALL(IF(OFFSET(nombres[],0,0,ROWS(nombres[]),1)=AGL$1490,ROW(OFFSET(nombres[],0,0,ROWS(nombres[]),1))-ROW(OFFSET(nombres[],0,0,1,1))+1,ROW(OFFSET(nombres[],ROWS(nombres[])-1,0,1,1))+1),$O1514:$O1533),11),"")</f>
        <v/>
      </c>
      <c r="AGM1514" s="42" t="str">
        <f t="array" aca="1" ref="AGM1514:AGM1533" ca="1">IFERROR(INDEX(nombres[],SMALL(IF(OFFSET(nombres[],0,0,ROWS(nombres[]),1)=AGM$1490,ROW(OFFSET(nombres[],0,0,ROWS(nombres[]),1))-ROW(OFFSET(nombres[],0,0,1,1))+1,ROW(OFFSET(nombres[],ROWS(nombres[])-1,0,1,1))+1),$O1514:$O1533),11),"")</f>
        <v/>
      </c>
      <c r="AGN1514" s="42" t="str">
        <f t="array" aca="1" ref="AGN1514:AGN1533" ca="1">IFERROR(INDEX(nombres[],SMALL(IF(OFFSET(nombres[],0,0,ROWS(nombres[]),1)=AGN$1490,ROW(OFFSET(nombres[],0,0,ROWS(nombres[]),1))-ROW(OFFSET(nombres[],0,0,1,1))+1,ROW(OFFSET(nombres[],ROWS(nombres[])-1,0,1,1))+1),$O1514:$O1533),11),"")</f>
        <v/>
      </c>
    </row>
    <row r="1515" spans="15:872" x14ac:dyDescent="0.25">
      <c r="O1515" s="42">
        <v>2</v>
      </c>
      <c r="P1515" s="42" t="str">
        <f ca="1"/>
        <v>S/F</v>
      </c>
      <c r="Q1515" s="42" t="str">
        <f ca="1"/>
        <v/>
      </c>
      <c r="R1515" s="42" t="str">
        <f ca="1"/>
        <v/>
      </c>
      <c r="S1515" s="42" t="str">
        <f ca="1"/>
        <v>S/F</v>
      </c>
      <c r="T1515" s="42" t="str">
        <f ca="1"/>
        <v/>
      </c>
      <c r="U1515" s="42">
        <f ca="1"/>
        <v>184</v>
      </c>
      <c r="V1515" s="42" t="str">
        <f ca="1"/>
        <v/>
      </c>
      <c r="W1515" s="42">
        <f ca="1"/>
        <v>20</v>
      </c>
      <c r="X1515" s="42">
        <f ca="1"/>
        <v>171</v>
      </c>
      <c r="Y1515" s="42" t="str">
        <f ca="1"/>
        <v/>
      </c>
      <c r="Z1515" s="42" t="str">
        <f ca="1"/>
        <v/>
      </c>
      <c r="AA1515" s="42">
        <f ca="1"/>
        <v>25</v>
      </c>
      <c r="AB1515" s="42" t="str">
        <f ca="1"/>
        <v>79-87</v>
      </c>
      <c r="AC1515" s="42">
        <f ca="1"/>
        <v>61</v>
      </c>
      <c r="AD1515" s="42" t="str">
        <f ca="1"/>
        <v>S/F</v>
      </c>
      <c r="AE1515" s="42">
        <f ca="1"/>
        <v>0</v>
      </c>
      <c r="AF1515" s="42" t="str">
        <f ca="1"/>
        <v>S/F</v>
      </c>
      <c r="AG1515" s="42" t="str">
        <f ca="1"/>
        <v/>
      </c>
      <c r="AH1515" s="42" t="str">
        <f ca="1"/>
        <v>S/F</v>
      </c>
      <c r="AI1515" s="42" t="str">
        <f ca="1"/>
        <v/>
      </c>
      <c r="AJ1515" s="42" t="str">
        <f ca="1"/>
        <v>52-53</v>
      </c>
      <c r="AK1515" s="42">
        <f ca="1"/>
        <v>0</v>
      </c>
      <c r="AL1515" s="42">
        <f ca="1"/>
        <v>120</v>
      </c>
      <c r="AM1515" s="42">
        <f ca="1"/>
        <v>90</v>
      </c>
      <c r="AN1515" s="42">
        <f ca="1"/>
        <v>36</v>
      </c>
      <c r="AO1515" s="42" t="str">
        <f ca="1"/>
        <v/>
      </c>
      <c r="AP1515" s="42">
        <f ca="1"/>
        <v>48</v>
      </c>
      <c r="AQ1515" s="42" t="str">
        <f ca="1"/>
        <v/>
      </c>
      <c r="AR1515" s="42" t="str">
        <f ca="1"/>
        <v/>
      </c>
      <c r="AS1515" s="42" t="str">
        <f ca="1"/>
        <v/>
      </c>
      <c r="AT1515" s="42" t="str">
        <f ca="1"/>
        <v/>
      </c>
      <c r="AU1515" s="42">
        <f ca="1"/>
        <v>38</v>
      </c>
      <c r="AV1515" s="42" t="str">
        <f ca="1"/>
        <v/>
      </c>
      <c r="AW1515" s="42">
        <f ca="1"/>
        <v>25</v>
      </c>
      <c r="AX1515" s="42" t="str">
        <f ca="1"/>
        <v/>
      </c>
      <c r="AY1515" s="42">
        <f ca="1"/>
        <v>112</v>
      </c>
      <c r="AZ1515" s="42" t="str">
        <f ca="1"/>
        <v/>
      </c>
      <c r="BA1515" s="42" t="str">
        <f ca="1"/>
        <v>S/F</v>
      </c>
      <c r="BB1515" s="42">
        <f ca="1"/>
        <v>0</v>
      </c>
      <c r="BC1515" s="42" t="str">
        <f ca="1"/>
        <v/>
      </c>
      <c r="BD1515" s="42" t="str">
        <f ca="1"/>
        <v/>
      </c>
      <c r="BE1515" s="42" t="str">
        <f ca="1"/>
        <v/>
      </c>
      <c r="BF1515" s="42" t="str">
        <f ca="1"/>
        <v>S/F</v>
      </c>
      <c r="BG1515" s="42" t="str">
        <f ca="1"/>
        <v>S/F</v>
      </c>
      <c r="BH1515" s="42" t="str">
        <f ca="1"/>
        <v/>
      </c>
      <c r="BI1515" s="42" t="str">
        <f ca="1"/>
        <v/>
      </c>
      <c r="BJ1515" s="42">
        <f ca="1"/>
        <v>21</v>
      </c>
      <c r="BK1515" s="42">
        <f ca="1"/>
        <v>0</v>
      </c>
      <c r="BL1515" s="42" t="str">
        <f ca="1"/>
        <v/>
      </c>
      <c r="BM1515" s="42" t="str">
        <f ca="1"/>
        <v/>
      </c>
      <c r="BN1515" s="42" t="str">
        <f ca="1"/>
        <v/>
      </c>
      <c r="BO1515" s="42" t="str">
        <f ca="1"/>
        <v>S/F</v>
      </c>
      <c r="BP1515" s="42" t="str">
        <f ca="1"/>
        <v>S/F</v>
      </c>
      <c r="BQ1515" s="42" t="str">
        <f ca="1"/>
        <v/>
      </c>
      <c r="BR1515" s="42" t="str">
        <f ca="1"/>
        <v/>
      </c>
      <c r="BS1515" s="42" t="str">
        <f ca="1"/>
        <v>S/F</v>
      </c>
      <c r="BT1515" s="42">
        <f ca="1"/>
        <v>163</v>
      </c>
      <c r="BU1515" s="42" t="str">
        <f ca="1"/>
        <v>S/F</v>
      </c>
      <c r="BV1515" s="42" t="str">
        <f ca="1"/>
        <v/>
      </c>
      <c r="BW1515" s="42" t="str">
        <f ca="1"/>
        <v/>
      </c>
      <c r="BX1515" s="42" t="str">
        <f ca="1"/>
        <v/>
      </c>
      <c r="BY1515" s="42" t="str">
        <f ca="1"/>
        <v/>
      </c>
      <c r="BZ1515" s="42" t="str">
        <f ca="1"/>
        <v/>
      </c>
      <c r="CA1515" s="42" t="str">
        <f ca="1"/>
        <v/>
      </c>
      <c r="CB1515" s="42">
        <f ca="1"/>
        <v>2</v>
      </c>
      <c r="CC1515" s="42" t="str">
        <f ca="1"/>
        <v/>
      </c>
      <c r="CD1515" s="42" t="str">
        <f ca="1"/>
        <v/>
      </c>
      <c r="CE1515" s="42" t="str">
        <f ca="1"/>
        <v/>
      </c>
      <c r="CF1515" s="42" t="str">
        <f ca="1"/>
        <v/>
      </c>
      <c r="CG1515" s="42" t="str">
        <f ca="1"/>
        <v/>
      </c>
      <c r="CH1515" s="42" t="str">
        <f ca="1"/>
        <v/>
      </c>
      <c r="CI1515" s="42">
        <f ca="1"/>
        <v>43</v>
      </c>
      <c r="CJ1515" s="42" t="str">
        <f ca="1"/>
        <v/>
      </c>
      <c r="CK1515" s="42" t="str">
        <f ca="1"/>
        <v>S/F</v>
      </c>
      <c r="CL1515" s="42">
        <f ca="1"/>
        <v>4</v>
      </c>
      <c r="CM1515" s="42" t="str">
        <f ca="1"/>
        <v/>
      </c>
      <c r="CN1515" s="42" t="str">
        <f ca="1"/>
        <v/>
      </c>
      <c r="CO1515" s="42" t="str">
        <f ca="1"/>
        <v/>
      </c>
      <c r="CP1515" s="42" t="str">
        <f ca="1"/>
        <v/>
      </c>
      <c r="CQ1515" s="42" t="str">
        <f ca="1"/>
        <v/>
      </c>
      <c r="CR1515" s="42" t="str">
        <f ca="1"/>
        <v/>
      </c>
      <c r="CS1515" s="42">
        <f ca="1"/>
        <v>35</v>
      </c>
      <c r="CT1515" s="42" t="str">
        <f ca="1"/>
        <v>S/F</v>
      </c>
      <c r="CU1515" s="42">
        <f ca="1"/>
        <v>12</v>
      </c>
      <c r="CV1515" s="42" t="str">
        <f ca="1"/>
        <v>S/F</v>
      </c>
      <c r="CW1515" s="42">
        <f ca="1"/>
        <v>24</v>
      </c>
      <c r="CX1515" s="42" t="str">
        <f ca="1"/>
        <v/>
      </c>
      <c r="CY1515" s="42" t="str">
        <f ca="1"/>
        <v/>
      </c>
      <c r="CZ1515" s="42" t="str">
        <f ca="1"/>
        <v/>
      </c>
      <c r="DA1515" s="42">
        <f ca="1"/>
        <v>82</v>
      </c>
      <c r="DB1515" s="42" t="str">
        <f ca="1"/>
        <v/>
      </c>
      <c r="DC1515" s="42" t="str">
        <f ca="1"/>
        <v>S/F</v>
      </c>
      <c r="DD1515" s="42">
        <f ca="1"/>
        <v>0</v>
      </c>
      <c r="DE1515" s="42" t="str">
        <f ca="1"/>
        <v/>
      </c>
      <c r="DF1515" s="42" t="str">
        <f ca="1"/>
        <v/>
      </c>
      <c r="DG1515" s="42" t="str">
        <f ca="1"/>
        <v/>
      </c>
      <c r="DH1515" s="42">
        <f ca="1"/>
        <v>42</v>
      </c>
      <c r="DI1515" s="42" t="str">
        <f ca="1"/>
        <v>S/F</v>
      </c>
      <c r="DJ1515" s="42" t="str">
        <f ca="1"/>
        <v>S/F</v>
      </c>
      <c r="DK1515" s="42" t="str">
        <f ca="1"/>
        <v/>
      </c>
      <c r="DL1515" s="42" t="str">
        <f ca="1"/>
        <v>S/F</v>
      </c>
      <c r="DM1515" s="42" t="str">
        <f ca="1"/>
        <v/>
      </c>
      <c r="DN1515" s="42">
        <f ca="1"/>
        <v>181</v>
      </c>
      <c r="DO1515" s="42" t="str">
        <f ca="1"/>
        <v>S/F</v>
      </c>
      <c r="DP1515" s="42" t="str">
        <f ca="1"/>
        <v/>
      </c>
      <c r="DQ1515" s="42">
        <f ca="1"/>
        <v>32</v>
      </c>
      <c r="DR1515" s="42" t="str">
        <f ca="1"/>
        <v/>
      </c>
      <c r="DS1515" s="42">
        <f ca="1"/>
        <v>118</v>
      </c>
      <c r="DT1515" s="42" t="str">
        <f ca="1"/>
        <v/>
      </c>
      <c r="DU1515" s="42" t="str">
        <f ca="1"/>
        <v/>
      </c>
      <c r="DV1515" s="42" t="str">
        <f ca="1"/>
        <v/>
      </c>
      <c r="DW1515" s="42">
        <f ca="1"/>
        <v>169</v>
      </c>
      <c r="DX1515" s="42" t="str">
        <f ca="1"/>
        <v/>
      </c>
      <c r="DY1515" s="42">
        <f ca="1"/>
        <v>15</v>
      </c>
      <c r="DZ1515" s="42" t="str">
        <f ca="1"/>
        <v/>
      </c>
      <c r="EA1515" s="42">
        <f ca="1"/>
        <v>0</v>
      </c>
      <c r="EB1515" s="42" t="str">
        <f ca="1"/>
        <v>S/F</v>
      </c>
      <c r="EC1515" s="42">
        <f ca="1"/>
        <v>180</v>
      </c>
      <c r="ED1515" s="42">
        <f ca="1"/>
        <v>104</v>
      </c>
      <c r="EE1515" s="42">
        <f ca="1"/>
        <v>60</v>
      </c>
      <c r="EF1515" s="42" t="str">
        <f ca="1"/>
        <v/>
      </c>
      <c r="EG1515" s="42" t="str">
        <f ca="1"/>
        <v/>
      </c>
      <c r="EH1515" s="42" t="str">
        <f ca="1"/>
        <v>REP</v>
      </c>
      <c r="EI1515" s="42" t="str">
        <f ca="1"/>
        <v/>
      </c>
      <c r="EJ1515" s="42" t="str">
        <f ca="1"/>
        <v/>
      </c>
      <c r="EK1515" s="42" t="str">
        <f ca="1"/>
        <v>REP</v>
      </c>
      <c r="EL1515" s="42">
        <f ca="1"/>
        <v>115</v>
      </c>
      <c r="EM1515" s="42" t="str">
        <f ca="1"/>
        <v>S/F</v>
      </c>
      <c r="EN1515" s="42" t="str">
        <f ca="1"/>
        <v/>
      </c>
      <c r="EO1515" s="42">
        <f ca="1"/>
        <v>63</v>
      </c>
      <c r="EP1515" s="42" t="str">
        <f ca="1"/>
        <v>S/F</v>
      </c>
      <c r="EQ1515" s="42" t="str">
        <f ca="1"/>
        <v>S/F</v>
      </c>
      <c r="ER1515" s="42" t="str">
        <f ca="1"/>
        <v>S/F</v>
      </c>
      <c r="ES1515" s="42" t="str">
        <f ca="1"/>
        <v/>
      </c>
      <c r="ET1515" s="42" t="str">
        <f ca="1"/>
        <v/>
      </c>
      <c r="EU1515" s="42">
        <f ca="1"/>
        <v>0</v>
      </c>
      <c r="EV1515" s="42" t="str">
        <f ca="1"/>
        <v/>
      </c>
      <c r="EW1515" s="42" t="str">
        <f ca="1"/>
        <v/>
      </c>
      <c r="EX1515" s="42">
        <f ca="1"/>
        <v>70</v>
      </c>
      <c r="EY1515" s="42" t="str">
        <f ca="1"/>
        <v/>
      </c>
      <c r="EZ1515" s="42" t="str">
        <f ca="1"/>
        <v/>
      </c>
      <c r="FA1515" s="42" t="str">
        <f ca="1"/>
        <v>S/F</v>
      </c>
      <c r="FB1515" s="42" t="str">
        <f ca="1"/>
        <v/>
      </c>
      <c r="FC1515" s="42">
        <f ca="1"/>
        <v>35</v>
      </c>
      <c r="FD1515" s="42" t="str">
        <f ca="1"/>
        <v/>
      </c>
      <c r="FE1515" s="42">
        <f ca="1"/>
        <v>4</v>
      </c>
      <c r="FF1515" s="42">
        <f ca="1"/>
        <v>173</v>
      </c>
      <c r="FG1515" s="42" t="str">
        <f ca="1"/>
        <v/>
      </c>
      <c r="FH1515" s="42" t="str">
        <f ca="1"/>
        <v/>
      </c>
      <c r="FI1515" s="42" t="str">
        <f ca="1"/>
        <v>S/F</v>
      </c>
      <c r="FJ1515" s="42" t="str">
        <f ca="1"/>
        <v>S/F</v>
      </c>
      <c r="FK1515" s="42" t="str">
        <f ca="1"/>
        <v>REP</v>
      </c>
      <c r="FL1515" s="42" t="str">
        <f ca="1"/>
        <v>S/F</v>
      </c>
      <c r="FM1515" s="42" t="str">
        <f ca="1"/>
        <v/>
      </c>
      <c r="FN1515" s="42" t="str">
        <f ca="1"/>
        <v/>
      </c>
      <c r="FO1515" s="42" t="str">
        <f ca="1"/>
        <v>S/F</v>
      </c>
      <c r="FP1515" s="42">
        <f ca="1"/>
        <v>0</v>
      </c>
      <c r="FQ1515" s="42" t="str">
        <f ca="1"/>
        <v/>
      </c>
      <c r="FR1515" s="42" t="str">
        <f ca="1"/>
        <v/>
      </c>
      <c r="FS1515" s="42">
        <f ca="1"/>
        <v>83</v>
      </c>
      <c r="FT1515" s="42" t="str">
        <f ca="1"/>
        <v/>
      </c>
      <c r="FU1515" s="42" t="str">
        <f ca="1"/>
        <v/>
      </c>
      <c r="FV1515" s="42" t="str">
        <f ca="1"/>
        <v/>
      </c>
      <c r="FW1515" s="42" t="str">
        <f ca="1"/>
        <v/>
      </c>
      <c r="FX1515" s="42">
        <f ca="1"/>
        <v>114</v>
      </c>
      <c r="FY1515" s="42" t="str">
        <f ca="1"/>
        <v/>
      </c>
      <c r="FZ1515" s="42">
        <f ca="1"/>
        <v>72</v>
      </c>
      <c r="GA1515" s="42" t="str">
        <f ca="1"/>
        <v>S/F</v>
      </c>
      <c r="GB1515" s="42" t="str">
        <f ca="1"/>
        <v/>
      </c>
      <c r="GC1515" s="42">
        <f ca="1"/>
        <v>119</v>
      </c>
      <c r="GD1515" s="42">
        <f ca="1"/>
        <v>20</v>
      </c>
      <c r="GE1515" s="42" t="str">
        <f ca="1"/>
        <v/>
      </c>
      <c r="GF1515" s="42">
        <f ca="1"/>
        <v>0</v>
      </c>
      <c r="GG1515" s="42">
        <f ca="1"/>
        <v>0</v>
      </c>
      <c r="GH1515" s="42" t="str">
        <f ca="1"/>
        <v>S/F</v>
      </c>
      <c r="GI1515" s="42" t="str">
        <f ca="1"/>
        <v>S/F</v>
      </c>
      <c r="GJ1515" s="42" t="str">
        <f ca="1"/>
        <v>S/F</v>
      </c>
      <c r="GK1515" s="42" t="str">
        <f ca="1"/>
        <v/>
      </c>
      <c r="GL1515" s="42" t="str">
        <f ca="1"/>
        <v>S/F</v>
      </c>
      <c r="GM1515" s="42" t="str">
        <f ca="1"/>
        <v/>
      </c>
      <c r="GN1515" s="42" t="str">
        <f ca="1"/>
        <v/>
      </c>
      <c r="GO1515" s="42" t="str">
        <f ca="1"/>
        <v/>
      </c>
      <c r="GP1515" s="42" t="str">
        <f ca="1"/>
        <v/>
      </c>
      <c r="GQ1515" s="42" t="str">
        <f ca="1"/>
        <v/>
      </c>
      <c r="GR1515" s="42">
        <f ca="1"/>
        <v>56</v>
      </c>
      <c r="GS1515" s="42" t="str">
        <f ca="1"/>
        <v>S/F</v>
      </c>
      <c r="GT1515" s="42">
        <f ca="1"/>
        <v>71</v>
      </c>
      <c r="GU1515" s="42" t="str">
        <f ca="1"/>
        <v>S/F</v>
      </c>
      <c r="GV1515" s="42" t="str">
        <f ca="1"/>
        <v>S/F</v>
      </c>
      <c r="GW1515" s="42">
        <f ca="1"/>
        <v>88</v>
      </c>
      <c r="GX1515" s="42" t="str">
        <f ca="1"/>
        <v/>
      </c>
      <c r="GY1515" s="42" t="str">
        <f ca="1"/>
        <v>S/F</v>
      </c>
      <c r="GZ1515" s="42" t="str">
        <f ca="1"/>
        <v/>
      </c>
      <c r="HA1515" s="42" t="str">
        <f ca="1"/>
        <v/>
      </c>
      <c r="HB1515" s="42" t="str">
        <f ca="1"/>
        <v/>
      </c>
      <c r="HC1515" s="42" t="str">
        <f ca="1"/>
        <v/>
      </c>
      <c r="HD1515" s="42">
        <f ca="1"/>
        <v>55</v>
      </c>
      <c r="HE1515" s="42">
        <f ca="1"/>
        <v>64</v>
      </c>
      <c r="HF1515" s="42" t="str">
        <f ca="1"/>
        <v/>
      </c>
      <c r="HG1515" s="42">
        <f ca="1"/>
        <v>111</v>
      </c>
      <c r="HH1515" s="42" t="str">
        <f ca="1"/>
        <v/>
      </c>
      <c r="HI1515" s="42" t="str">
        <f ca="1"/>
        <v>REP</v>
      </c>
      <c r="HJ1515" s="42">
        <f ca="1"/>
        <v>0</v>
      </c>
      <c r="HK1515" s="42">
        <f ca="1"/>
        <v>30</v>
      </c>
      <c r="HL1515" s="42" t="str">
        <f ca="1"/>
        <v/>
      </c>
      <c r="HM1515" s="42">
        <f ca="1"/>
        <v>86</v>
      </c>
      <c r="HN1515" s="42" t="str">
        <f ca="1"/>
        <v/>
      </c>
      <c r="HO1515" s="42">
        <f ca="1"/>
        <v>0</v>
      </c>
      <c r="HP1515" s="42">
        <f ca="1"/>
        <v>100</v>
      </c>
      <c r="HQ1515" s="42">
        <f ca="1"/>
        <v>65</v>
      </c>
      <c r="HR1515" s="42" t="str">
        <f ca="1"/>
        <v/>
      </c>
      <c r="HS1515" s="42">
        <f ca="1"/>
        <v>0</v>
      </c>
      <c r="HT1515" s="42" t="str">
        <f ca="1"/>
        <v>S/F</v>
      </c>
      <c r="HU1515" s="42" t="str">
        <f ca="1"/>
        <v/>
      </c>
      <c r="HV1515" s="42" t="str">
        <f ca="1"/>
        <v/>
      </c>
      <c r="HW1515" s="42" t="str">
        <f ca="1"/>
        <v/>
      </c>
      <c r="HX1515" s="42" t="str">
        <f ca="1"/>
        <v/>
      </c>
      <c r="HY1515" s="42" t="str">
        <f ca="1"/>
        <v/>
      </c>
      <c r="HZ1515" s="42" t="str">
        <f ca="1"/>
        <v/>
      </c>
      <c r="IA1515" s="42" t="str">
        <f ca="1"/>
        <v>S/F</v>
      </c>
      <c r="IB1515" s="42">
        <f ca="1"/>
        <v>0</v>
      </c>
      <c r="IC1515" s="42">
        <f ca="1"/>
        <v>0</v>
      </c>
      <c r="ID1515" s="42" t="str">
        <f ca="1"/>
        <v>S/F</v>
      </c>
      <c r="IE1515" s="42">
        <f ca="1"/>
        <v>98</v>
      </c>
      <c r="IF1515" s="42" t="str">
        <f ca="1"/>
        <v/>
      </c>
      <c r="IG1515" s="42" t="str">
        <f ca="1"/>
        <v>S/F</v>
      </c>
      <c r="IH1515" s="42" t="str">
        <f ca="1"/>
        <v/>
      </c>
      <c r="II1515" s="42" t="str">
        <f ca="1"/>
        <v>S/F</v>
      </c>
      <c r="IJ1515" s="42" t="str">
        <f ca="1"/>
        <v>S/F</v>
      </c>
      <c r="IK1515" s="42" t="str">
        <f ca="1"/>
        <v/>
      </c>
      <c r="IL1515" s="42" t="str">
        <f ca="1"/>
        <v>S/F</v>
      </c>
      <c r="IM1515" s="42" t="str">
        <f ca="1"/>
        <v/>
      </c>
      <c r="IN1515" s="42" t="str">
        <f ca="1"/>
        <v/>
      </c>
      <c r="IO1515" s="42" t="str">
        <f ca="1"/>
        <v/>
      </c>
      <c r="IP1515" s="42" t="str">
        <f ca="1"/>
        <v/>
      </c>
      <c r="IQ1515" s="42" t="str">
        <f ca="1"/>
        <v/>
      </c>
      <c r="IR1515" s="42" t="str">
        <f ca="1"/>
        <v/>
      </c>
      <c r="IS1515" s="42" t="str">
        <f ca="1"/>
        <v/>
      </c>
      <c r="IT1515" s="42" t="str">
        <f ca="1"/>
        <v>S/F</v>
      </c>
      <c r="IU1515" s="42" t="str">
        <f ca="1"/>
        <v/>
      </c>
      <c r="IV1515" s="42" t="str">
        <f ca="1"/>
        <v/>
      </c>
      <c r="IW1515" s="42" t="str">
        <f ca="1"/>
        <v/>
      </c>
      <c r="IX1515" s="42" t="str">
        <f ca="1"/>
        <v/>
      </c>
      <c r="IY1515" s="42" t="str">
        <f ca="1"/>
        <v/>
      </c>
      <c r="IZ1515" s="42" t="str">
        <f ca="1"/>
        <v>S/F</v>
      </c>
      <c r="JA1515" s="42" t="str">
        <f ca="1"/>
        <v/>
      </c>
      <c r="JB1515" s="42">
        <f ca="1"/>
        <v>41</v>
      </c>
      <c r="JC1515" s="42" t="str">
        <f ca="1"/>
        <v/>
      </c>
      <c r="JD1515" s="42" t="str">
        <f ca="1"/>
        <v/>
      </c>
      <c r="JE1515" s="42" t="str">
        <f ca="1"/>
        <v/>
      </c>
      <c r="JF1515" s="42" t="str">
        <f ca="1"/>
        <v/>
      </c>
      <c r="JG1515" s="42" t="str">
        <f ca="1"/>
        <v>S/F</v>
      </c>
      <c r="JH1515" s="42">
        <f ca="1"/>
        <v>0</v>
      </c>
      <c r="JI1515" s="42" t="str">
        <f ca="1"/>
        <v/>
      </c>
      <c r="JJ1515" s="42" t="str">
        <f ca="1"/>
        <v/>
      </c>
      <c r="JK1515" s="42" t="str">
        <f ca="1"/>
        <v/>
      </c>
      <c r="JL1515" s="42" t="str">
        <f ca="1"/>
        <v/>
      </c>
      <c r="JM1515" s="42" t="str">
        <f ca="1"/>
        <v/>
      </c>
      <c r="JN1515" s="42">
        <f ca="1"/>
        <v>59</v>
      </c>
      <c r="JO1515" s="42" t="str">
        <f ca="1"/>
        <v/>
      </c>
      <c r="JP1515" s="42">
        <f ca="1"/>
        <v>23</v>
      </c>
      <c r="JQ1515" s="42" t="str">
        <f ca="1"/>
        <v>S/F</v>
      </c>
      <c r="JR1515" s="42" t="str">
        <f ca="1"/>
        <v/>
      </c>
      <c r="JS1515" s="42">
        <f ca="1"/>
        <v>56</v>
      </c>
      <c r="JT1515" s="42" t="str">
        <f ca="1"/>
        <v/>
      </c>
      <c r="JU1515" s="42" t="str">
        <f ca="1"/>
        <v/>
      </c>
      <c r="JV1515" s="42">
        <f ca="1"/>
        <v>186</v>
      </c>
      <c r="JW1515" s="42" t="str">
        <f ca="1"/>
        <v/>
      </c>
      <c r="JX1515" s="42" t="str">
        <f ca="1"/>
        <v/>
      </c>
      <c r="JY1515" s="42" t="str">
        <f ca="1"/>
        <v>S/F</v>
      </c>
      <c r="JZ1515" s="42">
        <f ca="1"/>
        <v>26</v>
      </c>
      <c r="KA1515" s="42" t="str">
        <f ca="1"/>
        <v/>
      </c>
      <c r="KB1515" s="42">
        <f ca="1"/>
        <v>0</v>
      </c>
      <c r="KC1515" s="42" t="str">
        <f ca="1"/>
        <v>S/F</v>
      </c>
      <c r="KD1515" s="42" t="str">
        <f ca="1"/>
        <v/>
      </c>
      <c r="KE1515" s="42">
        <f ca="1"/>
        <v>0</v>
      </c>
      <c r="KF1515" s="42">
        <f ca="1"/>
        <v>85</v>
      </c>
      <c r="KG1515" s="42" t="str">
        <f ca="1"/>
        <v/>
      </c>
      <c r="KH1515" s="42" t="str">
        <f ca="1"/>
        <v>S/F</v>
      </c>
      <c r="KI1515" s="42" t="str">
        <f ca="1"/>
        <v>S/F</v>
      </c>
      <c r="KJ1515" s="42" t="str">
        <f ca="1"/>
        <v>S/F</v>
      </c>
      <c r="KK1515" s="42" t="str">
        <f ca="1"/>
        <v>S/F</v>
      </c>
      <c r="KL1515" s="42" t="str">
        <f ca="1"/>
        <v/>
      </c>
      <c r="KM1515" s="42" t="str">
        <f ca="1"/>
        <v/>
      </c>
      <c r="KN1515" s="42">
        <f ca="1"/>
        <v>103</v>
      </c>
      <c r="KO1515" s="42" t="str">
        <f ca="1"/>
        <v/>
      </c>
      <c r="KP1515" s="42" t="str">
        <f ca="1"/>
        <v>S/F</v>
      </c>
      <c r="KQ1515" s="42" t="str">
        <f ca="1"/>
        <v/>
      </c>
      <c r="KR1515" s="42">
        <f ca="1"/>
        <v>123</v>
      </c>
      <c r="KS1515" s="42" t="str">
        <f ca="1"/>
        <v/>
      </c>
      <c r="KT1515" s="42">
        <f ca="1"/>
        <v>6</v>
      </c>
      <c r="KU1515" s="42">
        <f ca="1"/>
        <v>39</v>
      </c>
      <c r="KV1515" s="42">
        <f ca="1"/>
        <v>109</v>
      </c>
      <c r="KW1515" s="42">
        <f ca="1"/>
        <v>101</v>
      </c>
      <c r="KX1515" s="42">
        <f ca="1"/>
        <v>110</v>
      </c>
      <c r="KY1515" s="42">
        <f ca="1"/>
        <v>0</v>
      </c>
      <c r="KZ1515" s="42" t="str">
        <f ca="1"/>
        <v>S/F</v>
      </c>
      <c r="LA1515" s="42" t="str">
        <f ca="1"/>
        <v/>
      </c>
      <c r="LB1515" s="42" t="str">
        <f ca="1"/>
        <v>S/F</v>
      </c>
      <c r="LC1515" s="42" t="str">
        <f ca="1"/>
        <v/>
      </c>
      <c r="LD1515" s="42" t="str">
        <f ca="1"/>
        <v/>
      </c>
      <c r="LE1515" s="42" t="str">
        <f ca="1"/>
        <v>S/F</v>
      </c>
      <c r="LF1515" s="42" t="str">
        <f ca="1"/>
        <v/>
      </c>
      <c r="LG1515" s="42" t="str">
        <f ca="1"/>
        <v>S/F</v>
      </c>
      <c r="LH1515" s="42">
        <f ca="1"/>
        <v>0</v>
      </c>
      <c r="LI1515" s="42">
        <f ca="1"/>
        <v>0</v>
      </c>
      <c r="LJ1515" s="42" t="str">
        <f ca="1"/>
        <v/>
      </c>
      <c r="LK1515" s="42">
        <f ca="1"/>
        <v>0</v>
      </c>
      <c r="LL1515" s="42" t="str">
        <f ca="1"/>
        <v/>
      </c>
      <c r="LM1515" s="42">
        <f ca="1"/>
        <v>0</v>
      </c>
      <c r="LN1515" s="42">
        <f ca="1"/>
        <v>19</v>
      </c>
      <c r="LO1515" s="42">
        <f ca="1"/>
        <v>89</v>
      </c>
      <c r="LP1515" s="42" t="str">
        <f ca="1"/>
        <v/>
      </c>
      <c r="LQ1515" s="42">
        <f ca="1"/>
        <v>92</v>
      </c>
      <c r="LR1515" s="42" t="str">
        <f ca="1"/>
        <v/>
      </c>
      <c r="LS1515" s="42">
        <f ca="1"/>
        <v>0</v>
      </c>
      <c r="LT1515" s="42" t="str">
        <f ca="1"/>
        <v/>
      </c>
      <c r="LU1515" s="42" t="str">
        <f ca="1"/>
        <v>S/F</v>
      </c>
      <c r="LV1515" s="42" t="str">
        <f ca="1"/>
        <v/>
      </c>
      <c r="LW1515" s="42" t="str">
        <f ca="1"/>
        <v/>
      </c>
      <c r="LX1515" s="42" t="str">
        <f ca="1"/>
        <v>S/F</v>
      </c>
      <c r="LY1515" s="42" t="str">
        <f ca="1"/>
        <v/>
      </c>
      <c r="LZ1515" s="42" t="str">
        <f ca="1"/>
        <v/>
      </c>
      <c r="MA1515" s="42" t="str">
        <f ca="1"/>
        <v/>
      </c>
      <c r="MB1515" s="42" t="str">
        <f ca="1"/>
        <v/>
      </c>
      <c r="MC1515" s="42" t="str">
        <f ca="1"/>
        <v/>
      </c>
      <c r="MD1515" s="42" t="str">
        <f ca="1"/>
        <v/>
      </c>
      <c r="ME1515" s="42" t="str">
        <f ca="1"/>
        <v/>
      </c>
      <c r="MF1515" s="42" t="str">
        <f ca="1"/>
        <v/>
      </c>
      <c r="MG1515" s="42" t="str">
        <f ca="1"/>
        <v/>
      </c>
      <c r="MH1515" s="42" t="str">
        <f ca="1"/>
        <v/>
      </c>
      <c r="MI1515" s="42" t="str">
        <f ca="1"/>
        <v/>
      </c>
      <c r="MJ1515" s="42" t="str">
        <f ca="1"/>
        <v/>
      </c>
      <c r="MK1515" s="42" t="str">
        <f ca="1"/>
        <v/>
      </c>
      <c r="ML1515" s="42" t="str">
        <f ca="1"/>
        <v/>
      </c>
      <c r="MM1515" s="42" t="str">
        <f ca="1"/>
        <v/>
      </c>
      <c r="MN1515" s="42" t="str">
        <f ca="1"/>
        <v/>
      </c>
      <c r="MO1515" s="42" t="str">
        <f ca="1"/>
        <v/>
      </c>
      <c r="MP1515" s="42" t="str">
        <f ca="1"/>
        <v/>
      </c>
      <c r="MQ1515" s="42" t="str">
        <f ca="1"/>
        <v/>
      </c>
      <c r="MR1515" s="42" t="str">
        <f ca="1"/>
        <v/>
      </c>
      <c r="MS1515" s="42" t="str">
        <f ca="1"/>
        <v/>
      </c>
      <c r="MT1515" s="42" t="str">
        <f ca="1"/>
        <v/>
      </c>
      <c r="MU1515" s="42" t="str">
        <f ca="1"/>
        <v/>
      </c>
      <c r="MV1515" s="42" t="str">
        <f ca="1"/>
        <v/>
      </c>
      <c r="MW1515" s="42" t="str">
        <f ca="1"/>
        <v/>
      </c>
      <c r="MX1515" s="42" t="str">
        <f ca="1"/>
        <v/>
      </c>
      <c r="MY1515" s="42" t="str">
        <f ca="1"/>
        <v/>
      </c>
      <c r="MZ1515" s="42" t="str">
        <f ca="1"/>
        <v/>
      </c>
      <c r="NA1515" s="42" t="str">
        <f ca="1"/>
        <v/>
      </c>
      <c r="NB1515" s="42" t="str">
        <f ca="1"/>
        <v/>
      </c>
      <c r="NC1515" s="42" t="str">
        <f ca="1"/>
        <v/>
      </c>
      <c r="ND1515" s="42" t="str">
        <f ca="1"/>
        <v/>
      </c>
      <c r="NE1515" s="42" t="str">
        <f ca="1"/>
        <v/>
      </c>
      <c r="NF1515" s="42" t="str">
        <f ca="1"/>
        <v/>
      </c>
      <c r="NG1515" s="42" t="str">
        <f ca="1"/>
        <v/>
      </c>
      <c r="NH1515" s="42" t="str">
        <f ca="1"/>
        <v/>
      </c>
      <c r="NI1515" s="42" t="str">
        <f ca="1"/>
        <v/>
      </c>
      <c r="NJ1515" s="42" t="str">
        <f ca="1"/>
        <v/>
      </c>
      <c r="NK1515" s="42" t="str">
        <f ca="1"/>
        <v/>
      </c>
      <c r="NL1515" s="42" t="str">
        <f ca="1"/>
        <v/>
      </c>
      <c r="NM1515" s="42" t="str">
        <f ca="1"/>
        <v/>
      </c>
      <c r="NN1515" s="42" t="str">
        <f ca="1"/>
        <v/>
      </c>
      <c r="NO1515" s="42" t="str">
        <f ca="1"/>
        <v/>
      </c>
      <c r="NP1515" s="42" t="str">
        <f ca="1"/>
        <v/>
      </c>
      <c r="NQ1515" s="42" t="str">
        <f ca="1"/>
        <v/>
      </c>
      <c r="NR1515" s="42" t="str">
        <f ca="1"/>
        <v/>
      </c>
      <c r="NS1515" s="42" t="str">
        <f ca="1"/>
        <v/>
      </c>
      <c r="NT1515" s="42" t="str">
        <f ca="1"/>
        <v/>
      </c>
      <c r="NU1515" s="42" t="str">
        <f ca="1"/>
        <v/>
      </c>
      <c r="NV1515" s="42" t="str">
        <f ca="1"/>
        <v/>
      </c>
      <c r="NW1515" s="42" t="str">
        <f ca="1"/>
        <v/>
      </c>
      <c r="NX1515" s="42" t="str">
        <f ca="1"/>
        <v/>
      </c>
      <c r="NY1515" s="42" t="str">
        <f ca="1"/>
        <v/>
      </c>
      <c r="NZ1515" s="42" t="str">
        <f ca="1"/>
        <v/>
      </c>
      <c r="OA1515" s="42" t="str">
        <f ca="1"/>
        <v/>
      </c>
      <c r="OB1515" s="42" t="str">
        <f ca="1"/>
        <v/>
      </c>
      <c r="OC1515" s="42" t="str">
        <f ca="1"/>
        <v/>
      </c>
      <c r="OD1515" s="42" t="str">
        <f ca="1"/>
        <v/>
      </c>
      <c r="OE1515" s="42" t="str">
        <f ca="1"/>
        <v/>
      </c>
      <c r="OF1515" s="42" t="str">
        <f ca="1"/>
        <v/>
      </c>
      <c r="OG1515" s="42" t="str">
        <f ca="1"/>
        <v/>
      </c>
      <c r="OH1515" s="42" t="str">
        <f ca="1"/>
        <v/>
      </c>
      <c r="OI1515" s="42" t="str">
        <f ca="1"/>
        <v/>
      </c>
      <c r="OJ1515" s="42" t="str">
        <f ca="1"/>
        <v/>
      </c>
      <c r="OK1515" s="42" t="str">
        <f ca="1"/>
        <v/>
      </c>
      <c r="OL1515" s="42" t="str">
        <f ca="1"/>
        <v/>
      </c>
      <c r="OM1515" s="42" t="str">
        <f ca="1"/>
        <v/>
      </c>
      <c r="ON1515" s="42" t="str">
        <f ca="1"/>
        <v/>
      </c>
      <c r="OO1515" s="42" t="str">
        <f ca="1"/>
        <v/>
      </c>
      <c r="OP1515" s="42" t="str">
        <f ca="1"/>
        <v/>
      </c>
      <c r="OQ1515" s="42" t="str">
        <f ca="1"/>
        <v/>
      </c>
      <c r="OR1515" s="42" t="str">
        <f ca="1"/>
        <v/>
      </c>
      <c r="OS1515" s="42" t="str">
        <f ca="1"/>
        <v/>
      </c>
      <c r="OT1515" s="42" t="str">
        <f ca="1"/>
        <v/>
      </c>
      <c r="OU1515" s="42" t="str">
        <f ca="1"/>
        <v/>
      </c>
      <c r="OV1515" s="42" t="str">
        <f ca="1"/>
        <v/>
      </c>
      <c r="OW1515" s="42" t="str">
        <f ca="1"/>
        <v/>
      </c>
      <c r="OX1515" s="42" t="str">
        <f ca="1"/>
        <v/>
      </c>
      <c r="OY1515" s="42" t="str">
        <f ca="1"/>
        <v/>
      </c>
      <c r="OZ1515" s="42" t="str">
        <f ca="1"/>
        <v/>
      </c>
      <c r="PA1515" s="42" t="str">
        <f ca="1"/>
        <v/>
      </c>
      <c r="PB1515" s="42" t="str">
        <f ca="1"/>
        <v/>
      </c>
      <c r="PC1515" s="42" t="str">
        <f ca="1"/>
        <v/>
      </c>
      <c r="PD1515" s="42" t="str">
        <f ca="1"/>
        <v/>
      </c>
      <c r="PE1515" s="42" t="str">
        <f ca="1"/>
        <v/>
      </c>
      <c r="PF1515" s="42" t="str">
        <f ca="1"/>
        <v/>
      </c>
      <c r="PG1515" s="42" t="str">
        <f ca="1"/>
        <v/>
      </c>
      <c r="PH1515" s="42" t="str">
        <f ca="1"/>
        <v/>
      </c>
      <c r="PI1515" s="42" t="str">
        <f ca="1"/>
        <v/>
      </c>
      <c r="PJ1515" s="42" t="str">
        <f ca="1"/>
        <v/>
      </c>
      <c r="PK1515" s="42" t="str">
        <f ca="1"/>
        <v/>
      </c>
      <c r="PL1515" s="42" t="str">
        <f ca="1"/>
        <v/>
      </c>
      <c r="PM1515" s="42" t="str">
        <f ca="1"/>
        <v/>
      </c>
      <c r="PN1515" s="42" t="str">
        <f ca="1"/>
        <v/>
      </c>
      <c r="PO1515" s="42" t="str">
        <f ca="1"/>
        <v/>
      </c>
      <c r="PP1515" s="42" t="str">
        <f ca="1"/>
        <v/>
      </c>
      <c r="PQ1515" s="42" t="str">
        <f ca="1"/>
        <v/>
      </c>
      <c r="PR1515" s="42" t="str">
        <f ca="1"/>
        <v/>
      </c>
      <c r="PS1515" s="42" t="str">
        <f ca="1"/>
        <v/>
      </c>
      <c r="PT1515" s="42" t="str">
        <f ca="1"/>
        <v/>
      </c>
      <c r="PU1515" s="42" t="str">
        <f ca="1"/>
        <v/>
      </c>
      <c r="PV1515" s="42" t="str">
        <f ca="1"/>
        <v/>
      </c>
      <c r="PW1515" s="42" t="str">
        <f ca="1"/>
        <v/>
      </c>
      <c r="PX1515" s="42" t="str">
        <f ca="1"/>
        <v/>
      </c>
      <c r="PY1515" s="42" t="str">
        <f ca="1"/>
        <v/>
      </c>
      <c r="PZ1515" s="42" t="str">
        <f ca="1"/>
        <v/>
      </c>
      <c r="QA1515" s="42" t="str">
        <f ca="1"/>
        <v/>
      </c>
      <c r="QB1515" s="42" t="str">
        <f ca="1"/>
        <v/>
      </c>
      <c r="QC1515" s="42" t="str">
        <f ca="1"/>
        <v/>
      </c>
      <c r="QD1515" s="42" t="str">
        <f ca="1"/>
        <v/>
      </c>
      <c r="QE1515" s="42" t="str">
        <f ca="1"/>
        <v/>
      </c>
      <c r="QF1515" s="42" t="str">
        <f ca="1"/>
        <v/>
      </c>
      <c r="QG1515" s="42" t="str">
        <f ca="1"/>
        <v/>
      </c>
      <c r="QH1515" s="42" t="str">
        <f ca="1"/>
        <v/>
      </c>
      <c r="QI1515" s="42" t="str">
        <f ca="1"/>
        <v/>
      </c>
      <c r="QJ1515" s="42" t="str">
        <f ca="1"/>
        <v/>
      </c>
      <c r="QK1515" s="42" t="str">
        <f ca="1"/>
        <v/>
      </c>
      <c r="QL1515" s="42" t="str">
        <f ca="1"/>
        <v/>
      </c>
      <c r="QM1515" s="42" t="str">
        <f ca="1"/>
        <v/>
      </c>
      <c r="QN1515" s="42" t="str">
        <f ca="1"/>
        <v/>
      </c>
      <c r="QO1515" s="42" t="str">
        <f ca="1"/>
        <v/>
      </c>
      <c r="QP1515" s="42" t="str">
        <f ca="1"/>
        <v/>
      </c>
      <c r="QQ1515" s="42" t="str">
        <f ca="1"/>
        <v/>
      </c>
      <c r="QR1515" s="42" t="str">
        <f ca="1"/>
        <v/>
      </c>
      <c r="QS1515" s="42" t="str">
        <f ca="1"/>
        <v/>
      </c>
      <c r="QT1515" s="42" t="str">
        <f ca="1"/>
        <v/>
      </c>
      <c r="QU1515" s="42" t="str">
        <f ca="1"/>
        <v/>
      </c>
      <c r="QV1515" s="42" t="str">
        <f ca="1"/>
        <v/>
      </c>
      <c r="QW1515" s="42" t="str">
        <f ca="1"/>
        <v/>
      </c>
      <c r="QX1515" s="42" t="str">
        <f ca="1"/>
        <v/>
      </c>
      <c r="QY1515" s="42" t="str">
        <f ca="1"/>
        <v/>
      </c>
      <c r="QZ1515" s="42" t="str">
        <f ca="1"/>
        <v/>
      </c>
      <c r="RA1515" s="42" t="str">
        <f ca="1"/>
        <v/>
      </c>
      <c r="RB1515" s="42" t="str">
        <f ca="1"/>
        <v/>
      </c>
      <c r="RC1515" s="42" t="str">
        <f ca="1"/>
        <v/>
      </c>
      <c r="RD1515" s="42" t="str">
        <f ca="1"/>
        <v/>
      </c>
      <c r="RE1515" s="42" t="str">
        <f ca="1"/>
        <v/>
      </c>
      <c r="RF1515" s="42" t="str">
        <f ca="1"/>
        <v/>
      </c>
      <c r="RG1515" s="42" t="str">
        <f ca="1"/>
        <v/>
      </c>
      <c r="RH1515" s="42" t="str">
        <f ca="1"/>
        <v/>
      </c>
      <c r="RI1515" s="42" t="str">
        <f ca="1"/>
        <v/>
      </c>
      <c r="RJ1515" s="42" t="str">
        <f ca="1"/>
        <v/>
      </c>
      <c r="RK1515" s="42" t="str">
        <f ca="1"/>
        <v/>
      </c>
      <c r="RL1515" s="42" t="str">
        <f ca="1"/>
        <v/>
      </c>
      <c r="RM1515" s="42" t="str">
        <f ca="1"/>
        <v/>
      </c>
      <c r="RN1515" s="42" t="str">
        <f ca="1"/>
        <v/>
      </c>
      <c r="RO1515" s="42" t="str">
        <f ca="1"/>
        <v/>
      </c>
      <c r="RP1515" s="42" t="str">
        <f ca="1"/>
        <v/>
      </c>
      <c r="RQ1515" s="42" t="str">
        <f ca="1"/>
        <v/>
      </c>
      <c r="RR1515" s="42" t="str">
        <f ca="1"/>
        <v/>
      </c>
      <c r="RS1515" s="42" t="str">
        <f ca="1"/>
        <v/>
      </c>
      <c r="RT1515" s="42" t="str">
        <f ca="1"/>
        <v/>
      </c>
      <c r="RU1515" s="42" t="str">
        <f ca="1"/>
        <v/>
      </c>
      <c r="RV1515" s="42" t="str">
        <f ca="1"/>
        <v/>
      </c>
      <c r="RW1515" s="42" t="str">
        <f ca="1"/>
        <v/>
      </c>
      <c r="RX1515" s="42" t="str">
        <f ca="1"/>
        <v/>
      </c>
      <c r="RY1515" s="42" t="str">
        <f ca="1"/>
        <v/>
      </c>
      <c r="RZ1515" s="42" t="str">
        <f ca="1"/>
        <v/>
      </c>
      <c r="SA1515" s="42" t="str">
        <f ca="1"/>
        <v/>
      </c>
      <c r="SB1515" s="42" t="str">
        <f ca="1"/>
        <v/>
      </c>
      <c r="SC1515" s="42" t="str">
        <f ca="1"/>
        <v/>
      </c>
      <c r="SD1515" s="42" t="str">
        <f ca="1"/>
        <v/>
      </c>
      <c r="SE1515" s="42" t="str">
        <f ca="1"/>
        <v/>
      </c>
      <c r="SF1515" s="42" t="str">
        <f ca="1"/>
        <v/>
      </c>
      <c r="SG1515" s="42" t="str">
        <f ca="1"/>
        <v/>
      </c>
      <c r="SH1515" s="42" t="str">
        <f ca="1"/>
        <v/>
      </c>
      <c r="SI1515" s="42" t="str">
        <f ca="1"/>
        <v/>
      </c>
      <c r="SJ1515" s="42" t="str">
        <f ca="1"/>
        <v/>
      </c>
      <c r="SK1515" s="42" t="str">
        <f ca="1"/>
        <v/>
      </c>
      <c r="SL1515" s="42" t="str">
        <f ca="1"/>
        <v/>
      </c>
      <c r="SM1515" s="42" t="str">
        <f ca="1"/>
        <v/>
      </c>
      <c r="SN1515" s="42" t="str">
        <f ca="1"/>
        <v/>
      </c>
      <c r="SO1515" s="42" t="str">
        <f ca="1"/>
        <v/>
      </c>
      <c r="SP1515" s="42" t="str">
        <f ca="1"/>
        <v/>
      </c>
      <c r="SQ1515" s="42" t="str">
        <f ca="1"/>
        <v/>
      </c>
      <c r="SR1515" s="42" t="str">
        <f ca="1"/>
        <v/>
      </c>
      <c r="SS1515" s="42" t="str">
        <f ca="1"/>
        <v/>
      </c>
      <c r="ST1515" s="42" t="str">
        <f ca="1"/>
        <v/>
      </c>
      <c r="SU1515" s="42" t="str">
        <f ca="1"/>
        <v/>
      </c>
      <c r="SV1515" s="42" t="str">
        <f ca="1"/>
        <v/>
      </c>
      <c r="SW1515" s="42" t="str">
        <f ca="1"/>
        <v/>
      </c>
      <c r="SX1515" s="42" t="str">
        <f ca="1"/>
        <v/>
      </c>
      <c r="SY1515" s="42" t="str">
        <f ca="1"/>
        <v/>
      </c>
      <c r="SZ1515" s="42" t="str">
        <f ca="1"/>
        <v/>
      </c>
      <c r="TA1515" s="42" t="str">
        <f ca="1"/>
        <v/>
      </c>
      <c r="TB1515" s="42" t="str">
        <f ca="1"/>
        <v/>
      </c>
      <c r="TC1515" s="42" t="str">
        <f ca="1"/>
        <v/>
      </c>
      <c r="TD1515" s="42" t="str">
        <f ca="1"/>
        <v/>
      </c>
      <c r="TE1515" s="42" t="str">
        <f ca="1"/>
        <v/>
      </c>
      <c r="TF1515" s="42" t="str">
        <f ca="1"/>
        <v/>
      </c>
      <c r="TG1515" s="42" t="str">
        <f ca="1"/>
        <v/>
      </c>
      <c r="TH1515" s="42" t="str">
        <f ca="1"/>
        <v/>
      </c>
      <c r="TI1515" s="42" t="str">
        <f ca="1"/>
        <v/>
      </c>
      <c r="TJ1515" s="42" t="str">
        <f ca="1"/>
        <v/>
      </c>
      <c r="TK1515" s="42" t="str">
        <f ca="1"/>
        <v/>
      </c>
      <c r="TL1515" s="42" t="str">
        <f ca="1"/>
        <v/>
      </c>
      <c r="TM1515" s="42" t="str">
        <f ca="1"/>
        <v/>
      </c>
      <c r="TN1515" s="42" t="str">
        <f ca="1"/>
        <v/>
      </c>
      <c r="TO1515" s="42" t="str">
        <f ca="1"/>
        <v/>
      </c>
      <c r="TP1515" s="42" t="str">
        <f ca="1"/>
        <v/>
      </c>
      <c r="TQ1515" s="42" t="str">
        <f ca="1"/>
        <v/>
      </c>
      <c r="TR1515" s="42" t="str">
        <f ca="1"/>
        <v/>
      </c>
      <c r="TS1515" s="42" t="str">
        <f ca="1"/>
        <v/>
      </c>
      <c r="TT1515" s="42" t="str">
        <f ca="1"/>
        <v/>
      </c>
      <c r="TU1515" s="42" t="str">
        <f ca="1"/>
        <v/>
      </c>
      <c r="TV1515" s="42" t="str">
        <f ca="1"/>
        <v/>
      </c>
      <c r="TW1515" s="42" t="str">
        <f ca="1"/>
        <v/>
      </c>
      <c r="TX1515" s="42" t="str">
        <f ca="1"/>
        <v/>
      </c>
      <c r="TY1515" s="42" t="str">
        <f ca="1"/>
        <v/>
      </c>
      <c r="TZ1515" s="42" t="str">
        <f ca="1"/>
        <v/>
      </c>
      <c r="UA1515" s="42" t="str">
        <f ca="1"/>
        <v/>
      </c>
      <c r="UB1515" s="42" t="str">
        <f ca="1"/>
        <v/>
      </c>
      <c r="UC1515" s="42" t="str">
        <f ca="1"/>
        <v/>
      </c>
      <c r="UD1515" s="42" t="str">
        <f ca="1"/>
        <v/>
      </c>
      <c r="UE1515" s="42" t="str">
        <f ca="1"/>
        <v/>
      </c>
      <c r="UF1515" s="42" t="str">
        <f ca="1"/>
        <v/>
      </c>
      <c r="UG1515" s="42" t="str">
        <f ca="1"/>
        <v/>
      </c>
      <c r="UH1515" s="42" t="str">
        <f ca="1"/>
        <v/>
      </c>
      <c r="UI1515" s="42" t="str">
        <f ca="1"/>
        <v/>
      </c>
      <c r="UJ1515" s="42" t="str">
        <f ca="1"/>
        <v/>
      </c>
      <c r="UK1515" s="42" t="str">
        <f ca="1"/>
        <v/>
      </c>
      <c r="UL1515" s="42" t="str">
        <f ca="1"/>
        <v/>
      </c>
      <c r="UM1515" s="42" t="str">
        <f ca="1"/>
        <v/>
      </c>
      <c r="UN1515" s="42" t="str">
        <f ca="1"/>
        <v/>
      </c>
      <c r="UO1515" s="42" t="str">
        <f ca="1"/>
        <v/>
      </c>
      <c r="UP1515" s="42" t="str">
        <f ca="1"/>
        <v/>
      </c>
      <c r="UQ1515" s="42" t="str">
        <f ca="1"/>
        <v/>
      </c>
      <c r="UR1515" s="42" t="str">
        <f ca="1"/>
        <v/>
      </c>
      <c r="US1515" s="42" t="str">
        <f ca="1"/>
        <v/>
      </c>
      <c r="UT1515" s="42" t="str">
        <f ca="1"/>
        <v/>
      </c>
      <c r="UU1515" s="42" t="str">
        <f ca="1"/>
        <v/>
      </c>
      <c r="UV1515" s="42" t="str">
        <f ca="1"/>
        <v/>
      </c>
      <c r="UW1515" s="42" t="str">
        <f ca="1"/>
        <v/>
      </c>
      <c r="UX1515" s="42" t="str">
        <f ca="1"/>
        <v/>
      </c>
      <c r="UY1515" s="42" t="str">
        <f ca="1"/>
        <v/>
      </c>
      <c r="UZ1515" s="42" t="str">
        <f ca="1"/>
        <v/>
      </c>
      <c r="VA1515" s="42" t="str">
        <f ca="1"/>
        <v/>
      </c>
      <c r="VB1515" s="42" t="str">
        <f ca="1"/>
        <v/>
      </c>
      <c r="VC1515" s="42" t="str">
        <f ca="1"/>
        <v/>
      </c>
      <c r="VD1515" s="42" t="str">
        <f ca="1"/>
        <v/>
      </c>
      <c r="VE1515" s="42" t="str">
        <f ca="1"/>
        <v/>
      </c>
      <c r="VF1515" s="42" t="str">
        <f ca="1"/>
        <v/>
      </c>
      <c r="VG1515" s="42" t="str">
        <f ca="1"/>
        <v/>
      </c>
      <c r="VH1515" s="42" t="str">
        <f ca="1"/>
        <v/>
      </c>
      <c r="VI1515" s="42" t="str">
        <f ca="1"/>
        <v/>
      </c>
      <c r="VJ1515" s="42" t="str">
        <f ca="1"/>
        <v/>
      </c>
      <c r="VK1515" s="42" t="str">
        <f ca="1"/>
        <v/>
      </c>
      <c r="VL1515" s="42" t="str">
        <f ca="1"/>
        <v/>
      </c>
      <c r="VM1515" s="42" t="str">
        <f ca="1"/>
        <v/>
      </c>
      <c r="VN1515" s="42" t="str">
        <f ca="1"/>
        <v/>
      </c>
      <c r="VO1515" s="42" t="str">
        <f ca="1"/>
        <v/>
      </c>
      <c r="VP1515" s="42" t="str">
        <f ca="1"/>
        <v/>
      </c>
      <c r="VQ1515" s="42" t="str">
        <f ca="1"/>
        <v/>
      </c>
      <c r="VR1515" s="42" t="str">
        <f ca="1"/>
        <v/>
      </c>
      <c r="VS1515" s="42" t="str">
        <f ca="1"/>
        <v/>
      </c>
      <c r="VT1515" s="42" t="str">
        <f ca="1"/>
        <v/>
      </c>
      <c r="VU1515" s="42" t="str">
        <f ca="1"/>
        <v/>
      </c>
      <c r="VV1515" s="42" t="str">
        <f ca="1"/>
        <v/>
      </c>
      <c r="VW1515" s="42" t="str">
        <f ca="1"/>
        <v/>
      </c>
      <c r="VX1515" s="42" t="str">
        <f ca="1"/>
        <v/>
      </c>
      <c r="VY1515" s="42" t="str">
        <f ca="1"/>
        <v/>
      </c>
      <c r="VZ1515" s="42" t="str">
        <f ca="1"/>
        <v/>
      </c>
      <c r="WA1515" s="42" t="str">
        <f ca="1"/>
        <v/>
      </c>
      <c r="WB1515" s="42" t="str">
        <f ca="1"/>
        <v/>
      </c>
      <c r="WC1515" s="42" t="str">
        <f ca="1"/>
        <v/>
      </c>
      <c r="WD1515" s="42" t="str">
        <f ca="1"/>
        <v/>
      </c>
      <c r="WE1515" s="42" t="str">
        <f ca="1"/>
        <v/>
      </c>
      <c r="WF1515" s="42" t="str">
        <f ca="1"/>
        <v/>
      </c>
      <c r="WG1515" s="42" t="str">
        <f ca="1"/>
        <v/>
      </c>
      <c r="WH1515" s="42" t="str">
        <f ca="1"/>
        <v/>
      </c>
      <c r="WI1515" s="42" t="str">
        <f ca="1"/>
        <v/>
      </c>
      <c r="WJ1515" s="42" t="str">
        <f ca="1"/>
        <v/>
      </c>
      <c r="WK1515" s="42" t="str">
        <f ca="1"/>
        <v/>
      </c>
      <c r="WL1515" s="42" t="str">
        <f ca="1"/>
        <v/>
      </c>
      <c r="WM1515" s="42" t="str">
        <f ca="1"/>
        <v/>
      </c>
      <c r="WN1515" s="42" t="str">
        <f ca="1"/>
        <v/>
      </c>
      <c r="WO1515" s="42" t="str">
        <f ca="1"/>
        <v/>
      </c>
      <c r="WP1515" s="42" t="str">
        <f ca="1"/>
        <v/>
      </c>
      <c r="WQ1515" s="42" t="str">
        <f ca="1"/>
        <v/>
      </c>
      <c r="WR1515" s="42" t="str">
        <f ca="1"/>
        <v/>
      </c>
      <c r="WS1515" s="42" t="str">
        <f ca="1"/>
        <v/>
      </c>
      <c r="WT1515" s="42" t="str">
        <f ca="1"/>
        <v/>
      </c>
      <c r="WU1515" s="42" t="str">
        <f ca="1"/>
        <v/>
      </c>
      <c r="WV1515" s="42" t="str">
        <f ca="1"/>
        <v/>
      </c>
      <c r="WW1515" s="42" t="str">
        <f ca="1"/>
        <v/>
      </c>
      <c r="WX1515" s="42" t="str">
        <f ca="1"/>
        <v/>
      </c>
      <c r="WY1515" s="42" t="str">
        <f ca="1"/>
        <v/>
      </c>
      <c r="WZ1515" s="42" t="str">
        <f ca="1"/>
        <v/>
      </c>
      <c r="XA1515" s="42" t="str">
        <f ca="1"/>
        <v/>
      </c>
      <c r="XB1515" s="42" t="str">
        <f ca="1"/>
        <v/>
      </c>
      <c r="XC1515" s="42" t="str">
        <f ca="1"/>
        <v/>
      </c>
      <c r="XD1515" s="42" t="str">
        <f ca="1"/>
        <v/>
      </c>
      <c r="XE1515" s="42" t="str">
        <f ca="1"/>
        <v/>
      </c>
      <c r="XF1515" s="42" t="str">
        <f ca="1"/>
        <v/>
      </c>
      <c r="XG1515" s="42" t="str">
        <f ca="1"/>
        <v/>
      </c>
      <c r="XH1515" s="42" t="str">
        <f ca="1"/>
        <v/>
      </c>
      <c r="XI1515" s="42" t="str">
        <f ca="1"/>
        <v/>
      </c>
      <c r="XJ1515" s="42" t="str">
        <f ca="1"/>
        <v/>
      </c>
      <c r="XK1515" s="42" t="str">
        <f ca="1"/>
        <v/>
      </c>
      <c r="XL1515" s="42" t="str">
        <f ca="1"/>
        <v/>
      </c>
      <c r="XM1515" s="42" t="str">
        <f ca="1"/>
        <v/>
      </c>
      <c r="XN1515" s="42" t="str">
        <f ca="1"/>
        <v/>
      </c>
      <c r="XO1515" s="42" t="str">
        <f ca="1"/>
        <v/>
      </c>
      <c r="XP1515" s="42" t="str">
        <f ca="1"/>
        <v/>
      </c>
      <c r="XQ1515" s="42" t="str">
        <f ca="1"/>
        <v/>
      </c>
      <c r="XR1515" s="42" t="str">
        <f ca="1"/>
        <v/>
      </c>
      <c r="XS1515" s="42" t="str">
        <f ca="1"/>
        <v/>
      </c>
      <c r="XT1515" s="42" t="str">
        <f ca="1"/>
        <v/>
      </c>
      <c r="XU1515" s="42" t="str">
        <f ca="1"/>
        <v/>
      </c>
      <c r="XV1515" s="42" t="str">
        <f ca="1"/>
        <v/>
      </c>
      <c r="XW1515" s="42" t="str">
        <f ca="1"/>
        <v/>
      </c>
      <c r="XX1515" s="42" t="str">
        <f ca="1"/>
        <v/>
      </c>
      <c r="XY1515" s="42" t="str">
        <f ca="1"/>
        <v/>
      </c>
      <c r="XZ1515" s="42" t="str">
        <f ca="1"/>
        <v/>
      </c>
      <c r="YA1515" s="42" t="str">
        <f ca="1"/>
        <v/>
      </c>
      <c r="YB1515" s="42" t="str">
        <f ca="1"/>
        <v/>
      </c>
      <c r="YC1515" s="42" t="str">
        <f ca="1"/>
        <v/>
      </c>
      <c r="YD1515" s="42" t="str">
        <f ca="1"/>
        <v/>
      </c>
      <c r="YE1515" s="42" t="str">
        <f ca="1"/>
        <v/>
      </c>
      <c r="YF1515" s="42" t="str">
        <f ca="1"/>
        <v/>
      </c>
      <c r="YG1515" s="42" t="str">
        <f ca="1"/>
        <v/>
      </c>
      <c r="YH1515" s="42" t="str">
        <f ca="1"/>
        <v/>
      </c>
      <c r="YI1515" s="42" t="str">
        <f ca="1"/>
        <v/>
      </c>
      <c r="YJ1515" s="42" t="str">
        <f ca="1"/>
        <v/>
      </c>
      <c r="YK1515" s="42" t="str">
        <f ca="1"/>
        <v/>
      </c>
      <c r="YL1515" s="42" t="str">
        <f ca="1"/>
        <v/>
      </c>
      <c r="YM1515" s="42" t="str">
        <f ca="1"/>
        <v/>
      </c>
      <c r="YN1515" s="42" t="str">
        <f ca="1"/>
        <v/>
      </c>
      <c r="YO1515" s="42" t="str">
        <f ca="1"/>
        <v/>
      </c>
      <c r="YP1515" s="42" t="str">
        <f ca="1"/>
        <v/>
      </c>
      <c r="YQ1515" s="42" t="str">
        <f ca="1"/>
        <v/>
      </c>
      <c r="YR1515" s="42" t="str">
        <f ca="1"/>
        <v/>
      </c>
      <c r="YS1515" s="42" t="str">
        <f ca="1"/>
        <v/>
      </c>
      <c r="YT1515" s="42" t="str">
        <f ca="1"/>
        <v/>
      </c>
      <c r="YU1515" s="42" t="str">
        <f ca="1"/>
        <v/>
      </c>
      <c r="YV1515" s="42" t="str">
        <f ca="1"/>
        <v/>
      </c>
      <c r="YW1515" s="42" t="str">
        <f ca="1"/>
        <v/>
      </c>
      <c r="YX1515" s="42" t="str">
        <f ca="1"/>
        <v/>
      </c>
      <c r="YY1515" s="42" t="str">
        <f ca="1"/>
        <v/>
      </c>
      <c r="YZ1515" s="42" t="str">
        <f ca="1"/>
        <v/>
      </c>
      <c r="ZA1515" s="42" t="str">
        <f ca="1"/>
        <v/>
      </c>
      <c r="ZB1515" s="42" t="str">
        <f ca="1"/>
        <v/>
      </c>
      <c r="ZC1515" s="42" t="str">
        <f ca="1"/>
        <v/>
      </c>
      <c r="ZD1515" s="42" t="str">
        <f ca="1"/>
        <v/>
      </c>
      <c r="ZE1515" s="42" t="str">
        <f ca="1"/>
        <v/>
      </c>
      <c r="ZF1515" s="42" t="str">
        <f ca="1"/>
        <v/>
      </c>
      <c r="ZG1515" s="42" t="str">
        <f ca="1"/>
        <v/>
      </c>
      <c r="ZH1515" s="42" t="str">
        <f ca="1"/>
        <v/>
      </c>
      <c r="ZI1515" s="42" t="str">
        <f ca="1"/>
        <v/>
      </c>
      <c r="ZJ1515" s="42" t="str">
        <f ca="1"/>
        <v/>
      </c>
      <c r="ZK1515" s="42" t="str">
        <f ca="1"/>
        <v/>
      </c>
      <c r="ZL1515" s="42" t="str">
        <f ca="1"/>
        <v/>
      </c>
      <c r="ZM1515" s="42" t="str">
        <f ca="1"/>
        <v/>
      </c>
      <c r="ZN1515" s="42" t="str">
        <f ca="1"/>
        <v/>
      </c>
      <c r="ZO1515" s="42" t="str">
        <f ca="1"/>
        <v/>
      </c>
      <c r="ZP1515" s="42" t="str">
        <f ca="1"/>
        <v/>
      </c>
      <c r="ZQ1515" s="42" t="str">
        <f ca="1"/>
        <v/>
      </c>
      <c r="ZR1515" s="42" t="str">
        <f ca="1"/>
        <v/>
      </c>
      <c r="ZS1515" s="42" t="str">
        <f ca="1"/>
        <v/>
      </c>
      <c r="ZT1515" s="42" t="str">
        <f ca="1"/>
        <v/>
      </c>
      <c r="ZU1515" s="42" t="str">
        <f ca="1"/>
        <v/>
      </c>
      <c r="ZV1515" s="42" t="str">
        <f ca="1"/>
        <v/>
      </c>
      <c r="ZW1515" s="42" t="str">
        <f ca="1"/>
        <v/>
      </c>
      <c r="ZX1515" s="42" t="str">
        <f ca="1"/>
        <v/>
      </c>
      <c r="ZY1515" s="42" t="str">
        <f ca="1"/>
        <v/>
      </c>
      <c r="ZZ1515" s="42" t="str">
        <f ca="1"/>
        <v/>
      </c>
      <c r="AAA1515" s="42" t="str">
        <f ca="1"/>
        <v/>
      </c>
      <c r="AAB1515" s="42" t="str">
        <f ca="1"/>
        <v/>
      </c>
      <c r="AAC1515" s="42" t="str">
        <f ca="1"/>
        <v/>
      </c>
      <c r="AAD1515" s="42" t="str">
        <f ca="1"/>
        <v/>
      </c>
      <c r="AAE1515" s="42" t="str">
        <f ca="1"/>
        <v/>
      </c>
      <c r="AAF1515" s="42" t="str">
        <f ca="1"/>
        <v/>
      </c>
      <c r="AAG1515" s="42" t="str">
        <f ca="1"/>
        <v/>
      </c>
      <c r="AAH1515" s="42" t="str">
        <f ca="1"/>
        <v/>
      </c>
      <c r="AAI1515" s="42" t="str">
        <f ca="1"/>
        <v/>
      </c>
      <c r="AAJ1515" s="42" t="str">
        <f ca="1"/>
        <v/>
      </c>
      <c r="AAK1515" s="42" t="str">
        <f ca="1"/>
        <v/>
      </c>
      <c r="AAL1515" s="42" t="str">
        <f ca="1"/>
        <v/>
      </c>
      <c r="AAM1515" s="42" t="str">
        <f ca="1"/>
        <v/>
      </c>
      <c r="AAN1515" s="42" t="str">
        <f ca="1"/>
        <v/>
      </c>
      <c r="AAO1515" s="42" t="str">
        <f ca="1"/>
        <v/>
      </c>
      <c r="AAP1515" s="42" t="str">
        <f ca="1"/>
        <v/>
      </c>
      <c r="AAQ1515" s="42" t="str">
        <f ca="1"/>
        <v/>
      </c>
      <c r="AAR1515" s="42" t="str">
        <f ca="1"/>
        <v/>
      </c>
      <c r="AAS1515" s="42" t="str">
        <f ca="1"/>
        <v/>
      </c>
      <c r="AAT1515" s="42" t="str">
        <f ca="1"/>
        <v/>
      </c>
      <c r="AAU1515" s="42" t="str">
        <f ca="1"/>
        <v/>
      </c>
      <c r="AAV1515" s="42" t="str">
        <f ca="1"/>
        <v/>
      </c>
      <c r="AAW1515" s="42" t="str">
        <f ca="1"/>
        <v/>
      </c>
      <c r="AAX1515" s="42" t="str">
        <f ca="1"/>
        <v/>
      </c>
      <c r="AAY1515" s="42" t="str">
        <f ca="1"/>
        <v/>
      </c>
      <c r="AAZ1515" s="42" t="str">
        <f ca="1"/>
        <v/>
      </c>
      <c r="ABA1515" s="42" t="str">
        <f ca="1"/>
        <v/>
      </c>
      <c r="ABB1515" s="42" t="str">
        <f ca="1"/>
        <v/>
      </c>
      <c r="ABC1515" s="42" t="str">
        <f ca="1"/>
        <v/>
      </c>
      <c r="ABD1515" s="42" t="str">
        <f ca="1"/>
        <v/>
      </c>
      <c r="ABE1515" s="42" t="str">
        <f ca="1"/>
        <v/>
      </c>
      <c r="ABF1515" s="42" t="str">
        <f ca="1"/>
        <v/>
      </c>
      <c r="ABG1515" s="42" t="str">
        <f ca="1"/>
        <v/>
      </c>
      <c r="ABH1515" s="42" t="str">
        <f ca="1"/>
        <v/>
      </c>
      <c r="ABI1515" s="42" t="str">
        <f ca="1"/>
        <v/>
      </c>
      <c r="ABJ1515" s="42" t="str">
        <f ca="1"/>
        <v/>
      </c>
      <c r="ABK1515" s="42" t="str">
        <f ca="1"/>
        <v/>
      </c>
      <c r="ABL1515" s="42" t="str">
        <f ca="1"/>
        <v/>
      </c>
      <c r="ABM1515" s="42" t="str">
        <f ca="1"/>
        <v/>
      </c>
      <c r="ABN1515" s="42" t="str">
        <f ca="1"/>
        <v/>
      </c>
      <c r="ABO1515" s="42" t="str">
        <f ca="1"/>
        <v/>
      </c>
      <c r="ABP1515" s="42" t="str">
        <f ca="1"/>
        <v/>
      </c>
      <c r="ABQ1515" s="42" t="str">
        <f ca="1"/>
        <v/>
      </c>
      <c r="ABR1515" s="42" t="str">
        <f ca="1"/>
        <v/>
      </c>
      <c r="ABS1515" s="42" t="str">
        <f ca="1"/>
        <v/>
      </c>
      <c r="ABT1515" s="42" t="str">
        <f ca="1"/>
        <v/>
      </c>
      <c r="ABU1515" s="42" t="str">
        <f ca="1"/>
        <v/>
      </c>
      <c r="ABV1515" s="42" t="str">
        <f ca="1"/>
        <v/>
      </c>
      <c r="ABW1515" s="42" t="str">
        <f ca="1"/>
        <v/>
      </c>
      <c r="ABX1515" s="42" t="str">
        <f ca="1"/>
        <v/>
      </c>
      <c r="ABY1515" s="42" t="str">
        <f ca="1"/>
        <v/>
      </c>
      <c r="ABZ1515" s="42" t="str">
        <f ca="1"/>
        <v/>
      </c>
      <c r="ACA1515" s="42" t="str">
        <f ca="1"/>
        <v/>
      </c>
      <c r="ACB1515" s="42" t="str">
        <f ca="1"/>
        <v/>
      </c>
      <c r="ACC1515" s="42" t="str">
        <f ca="1"/>
        <v/>
      </c>
      <c r="ACD1515" s="42" t="str">
        <f ca="1"/>
        <v/>
      </c>
      <c r="ACE1515" s="42" t="str">
        <f ca="1"/>
        <v/>
      </c>
      <c r="ACF1515" s="42" t="str">
        <f ca="1"/>
        <v/>
      </c>
      <c r="ACG1515" s="42" t="str">
        <f ca="1"/>
        <v/>
      </c>
      <c r="ACH1515" s="42" t="str">
        <f ca="1"/>
        <v/>
      </c>
      <c r="ACI1515" s="42" t="str">
        <f ca="1"/>
        <v/>
      </c>
      <c r="ACJ1515" s="42" t="str">
        <f ca="1"/>
        <v/>
      </c>
      <c r="ACK1515" s="42" t="str">
        <f ca="1"/>
        <v/>
      </c>
      <c r="ACL1515" s="42" t="str">
        <f ca="1"/>
        <v/>
      </c>
      <c r="ACM1515" s="42" t="str">
        <f ca="1"/>
        <v/>
      </c>
      <c r="ACN1515" s="42" t="str">
        <f ca="1"/>
        <v/>
      </c>
      <c r="ACO1515" s="42" t="str">
        <f ca="1"/>
        <v/>
      </c>
      <c r="ACP1515" s="42" t="str">
        <f ca="1"/>
        <v/>
      </c>
      <c r="ACQ1515" s="42" t="str">
        <f ca="1"/>
        <v/>
      </c>
      <c r="ACR1515" s="42" t="str">
        <f ca="1"/>
        <v/>
      </c>
      <c r="ACS1515" s="42" t="str">
        <f ca="1"/>
        <v/>
      </c>
      <c r="ACT1515" s="42" t="str">
        <f ca="1"/>
        <v/>
      </c>
      <c r="ACU1515" s="42" t="str">
        <f ca="1"/>
        <v/>
      </c>
      <c r="ACV1515" s="42" t="str">
        <f ca="1"/>
        <v/>
      </c>
      <c r="ACW1515" s="42" t="str">
        <f ca="1"/>
        <v/>
      </c>
      <c r="ACX1515" s="42" t="str">
        <f ca="1"/>
        <v/>
      </c>
      <c r="ACY1515" s="42" t="str">
        <f ca="1"/>
        <v/>
      </c>
      <c r="ACZ1515" s="42" t="str">
        <f ca="1"/>
        <v/>
      </c>
      <c r="ADA1515" s="42" t="str">
        <f ca="1"/>
        <v/>
      </c>
      <c r="ADB1515" s="42" t="str">
        <f ca="1"/>
        <v/>
      </c>
      <c r="ADC1515" s="42" t="str">
        <f ca="1"/>
        <v/>
      </c>
      <c r="ADD1515" s="42" t="str">
        <f ca="1"/>
        <v/>
      </c>
      <c r="ADE1515" s="42" t="str">
        <f ca="1"/>
        <v/>
      </c>
      <c r="ADF1515" s="42" t="str">
        <f ca="1"/>
        <v/>
      </c>
      <c r="ADG1515" s="42" t="str">
        <f ca="1"/>
        <v/>
      </c>
      <c r="ADH1515" s="42" t="str">
        <f ca="1"/>
        <v/>
      </c>
      <c r="ADI1515" s="42" t="str">
        <f ca="1"/>
        <v/>
      </c>
      <c r="ADJ1515" s="42" t="str">
        <f ca="1"/>
        <v/>
      </c>
      <c r="ADK1515" s="42" t="str">
        <f ca="1"/>
        <v/>
      </c>
      <c r="ADL1515" s="42" t="str">
        <f ca="1"/>
        <v/>
      </c>
      <c r="ADM1515" s="42" t="str">
        <f ca="1"/>
        <v/>
      </c>
      <c r="ADN1515" s="42" t="str">
        <f ca="1"/>
        <v/>
      </c>
      <c r="ADO1515" s="42" t="str">
        <f ca="1"/>
        <v/>
      </c>
      <c r="ADP1515" s="42" t="str">
        <f ca="1"/>
        <v/>
      </c>
      <c r="ADQ1515" s="42" t="str">
        <f ca="1"/>
        <v/>
      </c>
      <c r="ADR1515" s="42" t="str">
        <f ca="1"/>
        <v/>
      </c>
      <c r="ADS1515" s="42" t="str">
        <f ca="1"/>
        <v/>
      </c>
      <c r="ADT1515" s="42" t="str">
        <f ca="1"/>
        <v/>
      </c>
      <c r="ADU1515" s="42" t="str">
        <f ca="1"/>
        <v/>
      </c>
      <c r="ADV1515" s="42" t="str">
        <f ca="1"/>
        <v/>
      </c>
      <c r="ADW1515" s="42" t="str">
        <f ca="1"/>
        <v/>
      </c>
      <c r="ADX1515" s="42" t="str">
        <f ca="1"/>
        <v/>
      </c>
      <c r="ADY1515" s="42" t="str">
        <f ca="1"/>
        <v/>
      </c>
      <c r="ADZ1515" s="42" t="str">
        <f ca="1"/>
        <v/>
      </c>
      <c r="AEA1515" s="42" t="str">
        <f ca="1"/>
        <v/>
      </c>
      <c r="AEB1515" s="42" t="str">
        <f ca="1"/>
        <v/>
      </c>
      <c r="AEC1515" s="42" t="str">
        <f ca="1"/>
        <v/>
      </c>
      <c r="AED1515" s="42" t="str">
        <f ca="1"/>
        <v/>
      </c>
      <c r="AEE1515" s="42" t="str">
        <f ca="1"/>
        <v/>
      </c>
      <c r="AEF1515" s="42" t="str">
        <f ca="1"/>
        <v/>
      </c>
      <c r="AEG1515" s="42" t="str">
        <f ca="1"/>
        <v/>
      </c>
      <c r="AEH1515" s="42" t="str">
        <f ca="1"/>
        <v/>
      </c>
      <c r="AEI1515" s="42" t="str">
        <f ca="1"/>
        <v/>
      </c>
      <c r="AEJ1515" s="42" t="str">
        <f ca="1"/>
        <v/>
      </c>
      <c r="AEK1515" s="42" t="str">
        <f ca="1"/>
        <v/>
      </c>
      <c r="AEL1515" s="42" t="str">
        <f ca="1"/>
        <v/>
      </c>
      <c r="AEM1515" s="42" t="str">
        <f ca="1"/>
        <v/>
      </c>
      <c r="AEN1515" s="42" t="str">
        <f ca="1"/>
        <v/>
      </c>
      <c r="AEO1515" s="42" t="str">
        <f ca="1"/>
        <v/>
      </c>
      <c r="AEP1515" s="42" t="str">
        <f ca="1"/>
        <v/>
      </c>
      <c r="AEQ1515" s="42" t="str">
        <f ca="1"/>
        <v/>
      </c>
      <c r="AER1515" s="42" t="str">
        <f ca="1"/>
        <v/>
      </c>
      <c r="AES1515" s="42" t="str">
        <f ca="1"/>
        <v/>
      </c>
      <c r="AET1515" s="42" t="str">
        <f ca="1"/>
        <v/>
      </c>
      <c r="AEU1515" s="42" t="str">
        <f ca="1"/>
        <v/>
      </c>
      <c r="AEV1515" s="42" t="str">
        <f ca="1"/>
        <v/>
      </c>
      <c r="AEW1515" s="42" t="str">
        <f ca="1"/>
        <v/>
      </c>
      <c r="AEX1515" s="42" t="str">
        <f ca="1"/>
        <v/>
      </c>
      <c r="AEY1515" s="42" t="str">
        <f ca="1"/>
        <v/>
      </c>
      <c r="AEZ1515" s="42" t="str">
        <f ca="1"/>
        <v/>
      </c>
      <c r="AFA1515" s="42" t="str">
        <f ca="1"/>
        <v/>
      </c>
      <c r="AFB1515" s="42" t="str">
        <f ca="1"/>
        <v/>
      </c>
      <c r="AFC1515" s="42" t="str">
        <f ca="1"/>
        <v/>
      </c>
      <c r="AFD1515" s="42" t="str">
        <f ca="1"/>
        <v/>
      </c>
      <c r="AFE1515" s="42" t="str">
        <f ca="1"/>
        <v/>
      </c>
      <c r="AFF1515" s="42" t="str">
        <f ca="1"/>
        <v/>
      </c>
      <c r="AFG1515" s="42" t="str">
        <f ca="1"/>
        <v/>
      </c>
      <c r="AFH1515" s="42" t="str">
        <f ca="1"/>
        <v/>
      </c>
      <c r="AFI1515" s="42" t="str">
        <f ca="1"/>
        <v/>
      </c>
      <c r="AFJ1515" s="42" t="str">
        <f ca="1"/>
        <v/>
      </c>
      <c r="AFK1515" s="42" t="str">
        <f ca="1"/>
        <v/>
      </c>
      <c r="AFL1515" s="42" t="str">
        <f ca="1"/>
        <v/>
      </c>
      <c r="AFM1515" s="42" t="str">
        <f ca="1"/>
        <v/>
      </c>
      <c r="AFN1515" s="42" t="str">
        <f ca="1"/>
        <v/>
      </c>
      <c r="AFO1515" s="42" t="str">
        <f ca="1"/>
        <v/>
      </c>
      <c r="AFP1515" s="42" t="str">
        <f ca="1"/>
        <v/>
      </c>
      <c r="AFQ1515" s="42" t="str">
        <f ca="1"/>
        <v/>
      </c>
      <c r="AFR1515" s="42" t="str">
        <f ca="1"/>
        <v/>
      </c>
      <c r="AFS1515" s="42" t="str">
        <f ca="1"/>
        <v/>
      </c>
      <c r="AFT1515" s="42" t="str">
        <f ca="1"/>
        <v/>
      </c>
      <c r="AFU1515" s="42" t="str">
        <f ca="1"/>
        <v/>
      </c>
      <c r="AFV1515" s="42" t="str">
        <f ca="1"/>
        <v/>
      </c>
      <c r="AFW1515" s="42" t="str">
        <f ca="1"/>
        <v/>
      </c>
      <c r="AFX1515" s="42" t="str">
        <f ca="1"/>
        <v/>
      </c>
      <c r="AFY1515" s="42" t="str">
        <f ca="1"/>
        <v/>
      </c>
      <c r="AFZ1515" s="42" t="str">
        <f ca="1"/>
        <v/>
      </c>
      <c r="AGA1515" s="42" t="str">
        <f ca="1"/>
        <v/>
      </c>
      <c r="AGB1515" s="42" t="str">
        <f ca="1"/>
        <v/>
      </c>
      <c r="AGC1515" s="42" t="str">
        <f ca="1"/>
        <v/>
      </c>
      <c r="AGD1515" s="42" t="str">
        <f ca="1"/>
        <v/>
      </c>
      <c r="AGE1515" s="42" t="str">
        <f ca="1"/>
        <v/>
      </c>
      <c r="AGF1515" s="42" t="str">
        <f ca="1"/>
        <v/>
      </c>
      <c r="AGG1515" s="42" t="str">
        <f ca="1"/>
        <v/>
      </c>
      <c r="AGH1515" s="42" t="str">
        <f ca="1"/>
        <v/>
      </c>
      <c r="AGI1515" s="42" t="str">
        <f ca="1"/>
        <v/>
      </c>
      <c r="AGJ1515" s="42" t="str">
        <f ca="1"/>
        <v/>
      </c>
      <c r="AGK1515" s="42" t="str">
        <f ca="1"/>
        <v/>
      </c>
      <c r="AGL1515" s="42" t="str">
        <f ca="1"/>
        <v/>
      </c>
      <c r="AGM1515" s="42" t="str">
        <f ca="1"/>
        <v/>
      </c>
      <c r="AGN1515" s="42" t="str">
        <f ca="1"/>
        <v/>
      </c>
    </row>
    <row r="1516" spans="15:872" x14ac:dyDescent="0.25">
      <c r="O1516" s="42">
        <v>3</v>
      </c>
      <c r="P1516" s="42" t="str">
        <f ca="1"/>
        <v>S/F</v>
      </c>
      <c r="Q1516" s="42" t="str">
        <f ca="1"/>
        <v/>
      </c>
      <c r="R1516" s="42" t="str">
        <f ca="1"/>
        <v/>
      </c>
      <c r="S1516" s="42" t="str">
        <f ca="1"/>
        <v/>
      </c>
      <c r="T1516" s="42" t="str">
        <f ca="1"/>
        <v/>
      </c>
      <c r="U1516" s="42">
        <f ca="1"/>
        <v>182</v>
      </c>
      <c r="V1516" s="42" t="str">
        <f ca="1"/>
        <v/>
      </c>
      <c r="W1516" s="42">
        <f ca="1"/>
        <v>17</v>
      </c>
      <c r="X1516" s="42">
        <f ca="1"/>
        <v>170</v>
      </c>
      <c r="Y1516" s="42" t="str">
        <f ca="1"/>
        <v/>
      </c>
      <c r="Z1516" s="42" t="str">
        <f ca="1"/>
        <v/>
      </c>
      <c r="AA1516" s="42">
        <f ca="1"/>
        <v>22</v>
      </c>
      <c r="AB1516" s="42">
        <f ca="1"/>
        <v>0</v>
      </c>
      <c r="AC1516" s="42" t="str">
        <f ca="1"/>
        <v>S/F</v>
      </c>
      <c r="AD1516" s="42" t="str">
        <f ca="1"/>
        <v>S/F</v>
      </c>
      <c r="AE1516" s="42" t="str">
        <f ca="1"/>
        <v/>
      </c>
      <c r="AF1516" s="42" t="str">
        <f ca="1"/>
        <v>S/F</v>
      </c>
      <c r="AG1516" s="42" t="str">
        <f ca="1"/>
        <v/>
      </c>
      <c r="AH1516" s="42" t="str">
        <f ca="1"/>
        <v/>
      </c>
      <c r="AI1516" s="42" t="str">
        <f ca="1"/>
        <v/>
      </c>
      <c r="AJ1516" s="42" t="str">
        <f ca="1"/>
        <v>49-50</v>
      </c>
      <c r="AK1516" s="42" t="str">
        <f ca="1"/>
        <v>S/F</v>
      </c>
      <c r="AL1516" s="42" t="str">
        <f ca="1"/>
        <v>S/F</v>
      </c>
      <c r="AM1516" s="42" t="str">
        <f ca="1"/>
        <v>S/F</v>
      </c>
      <c r="AN1516" s="42" t="str">
        <f ca="1"/>
        <v>S/F</v>
      </c>
      <c r="AO1516" s="42" t="str">
        <f ca="1"/>
        <v/>
      </c>
      <c r="AP1516" s="42">
        <f ca="1"/>
        <v>44</v>
      </c>
      <c r="AQ1516" s="42" t="str">
        <f ca="1"/>
        <v/>
      </c>
      <c r="AR1516" s="42" t="str">
        <f ca="1"/>
        <v/>
      </c>
      <c r="AS1516" s="42" t="str">
        <f ca="1"/>
        <v/>
      </c>
      <c r="AT1516" s="42" t="str">
        <f ca="1"/>
        <v/>
      </c>
      <c r="AU1516" s="42">
        <f ca="1"/>
        <v>0</v>
      </c>
      <c r="AV1516" s="42" t="str">
        <f ca="1"/>
        <v/>
      </c>
      <c r="AW1516" s="42" t="str">
        <f ca="1"/>
        <v>REP</v>
      </c>
      <c r="AX1516" s="42" t="str">
        <f ca="1"/>
        <v/>
      </c>
      <c r="AY1516" s="42">
        <f ca="1"/>
        <v>111</v>
      </c>
      <c r="AZ1516" s="42" t="str">
        <f ca="1"/>
        <v/>
      </c>
      <c r="BA1516" s="42" t="str">
        <f ca="1"/>
        <v>S/F</v>
      </c>
      <c r="BB1516" s="42">
        <f ca="1"/>
        <v>191</v>
      </c>
      <c r="BC1516" s="42" t="str">
        <f ca="1"/>
        <v/>
      </c>
      <c r="BD1516" s="42" t="str">
        <f ca="1"/>
        <v/>
      </c>
      <c r="BE1516" s="42" t="str">
        <f ca="1"/>
        <v/>
      </c>
      <c r="BF1516" s="42" t="str">
        <f ca="1"/>
        <v>REP</v>
      </c>
      <c r="BG1516" s="42" t="str">
        <f ca="1"/>
        <v>S/F</v>
      </c>
      <c r="BH1516" s="42" t="str">
        <f ca="1"/>
        <v/>
      </c>
      <c r="BI1516" s="42" t="str">
        <f ca="1"/>
        <v/>
      </c>
      <c r="BJ1516" s="42" t="str">
        <f ca="1"/>
        <v>REP</v>
      </c>
      <c r="BK1516" s="42" t="str">
        <f ca="1"/>
        <v>REP</v>
      </c>
      <c r="BL1516" s="42" t="str">
        <f ca="1"/>
        <v/>
      </c>
      <c r="BM1516" s="42" t="str">
        <f ca="1"/>
        <v/>
      </c>
      <c r="BN1516" s="42" t="str">
        <f ca="1"/>
        <v/>
      </c>
      <c r="BO1516" s="42" t="str">
        <f ca="1"/>
        <v>REP</v>
      </c>
      <c r="BP1516" s="42" t="str">
        <f ca="1"/>
        <v>S/F</v>
      </c>
      <c r="BQ1516" s="42" t="str">
        <f ca="1"/>
        <v/>
      </c>
      <c r="BR1516" s="42" t="str">
        <f ca="1"/>
        <v/>
      </c>
      <c r="BS1516" s="42" t="str">
        <f ca="1"/>
        <v>REP</v>
      </c>
      <c r="BT1516" s="42">
        <f ca="1"/>
        <v>163</v>
      </c>
      <c r="BU1516" s="42" t="str">
        <f ca="1"/>
        <v/>
      </c>
      <c r="BV1516" s="42" t="str">
        <f ca="1"/>
        <v/>
      </c>
      <c r="BW1516" s="42" t="str">
        <f ca="1"/>
        <v/>
      </c>
      <c r="BX1516" s="42" t="str">
        <f ca="1"/>
        <v/>
      </c>
      <c r="BY1516" s="42" t="str">
        <f ca="1"/>
        <v/>
      </c>
      <c r="BZ1516" s="42" t="str">
        <f ca="1"/>
        <v/>
      </c>
      <c r="CA1516" s="42" t="str">
        <f ca="1"/>
        <v/>
      </c>
      <c r="CB1516" s="42">
        <f ca="1"/>
        <v>1</v>
      </c>
      <c r="CC1516" s="42" t="str">
        <f ca="1"/>
        <v/>
      </c>
      <c r="CD1516" s="42" t="str">
        <f ca="1"/>
        <v/>
      </c>
      <c r="CE1516" s="42" t="str">
        <f ca="1"/>
        <v/>
      </c>
      <c r="CF1516" s="42" t="str">
        <f ca="1"/>
        <v/>
      </c>
      <c r="CG1516" s="42" t="str">
        <f ca="1"/>
        <v/>
      </c>
      <c r="CH1516" s="42" t="str">
        <f ca="1"/>
        <v/>
      </c>
      <c r="CI1516" s="42" t="str">
        <f ca="1"/>
        <v>REP</v>
      </c>
      <c r="CJ1516" s="42" t="str">
        <f ca="1"/>
        <v/>
      </c>
      <c r="CK1516" s="42" t="str">
        <f ca="1"/>
        <v>REP</v>
      </c>
      <c r="CL1516" s="42" t="str">
        <f ca="1"/>
        <v>REP</v>
      </c>
      <c r="CM1516" s="42" t="str">
        <f ca="1"/>
        <v/>
      </c>
      <c r="CN1516" s="42" t="str">
        <f ca="1"/>
        <v/>
      </c>
      <c r="CO1516" s="42" t="str">
        <f ca="1"/>
        <v/>
      </c>
      <c r="CP1516" s="42" t="str">
        <f ca="1"/>
        <v/>
      </c>
      <c r="CQ1516" s="42" t="str">
        <f ca="1"/>
        <v/>
      </c>
      <c r="CR1516" s="42" t="str">
        <f ca="1"/>
        <v/>
      </c>
      <c r="CS1516" s="42">
        <f ca="1"/>
        <v>31</v>
      </c>
      <c r="CT1516" s="42" t="str">
        <f ca="1"/>
        <v/>
      </c>
      <c r="CU1516" s="42" t="str">
        <f ca="1"/>
        <v>REP</v>
      </c>
      <c r="CV1516" s="42" t="str">
        <f ca="1"/>
        <v/>
      </c>
      <c r="CW1516" s="42" t="str">
        <f ca="1"/>
        <v>REP</v>
      </c>
      <c r="CX1516" s="42" t="str">
        <f ca="1"/>
        <v/>
      </c>
      <c r="CY1516" s="42" t="str">
        <f ca="1"/>
        <v/>
      </c>
      <c r="CZ1516" s="42" t="str">
        <f ca="1"/>
        <v/>
      </c>
      <c r="DA1516" s="42" t="str">
        <f ca="1"/>
        <v>REP</v>
      </c>
      <c r="DB1516" s="42" t="str">
        <f ca="1"/>
        <v/>
      </c>
      <c r="DC1516" s="42" t="str">
        <f ca="1"/>
        <v/>
      </c>
      <c r="DD1516" s="42" t="str">
        <f ca="1"/>
        <v>S/F</v>
      </c>
      <c r="DE1516" s="42" t="str">
        <f ca="1"/>
        <v/>
      </c>
      <c r="DF1516" s="42" t="str">
        <f ca="1"/>
        <v/>
      </c>
      <c r="DG1516" s="42" t="str">
        <f ca="1"/>
        <v/>
      </c>
      <c r="DH1516" s="42" t="str">
        <f ca="1"/>
        <v>TRA</v>
      </c>
      <c r="DI1516" s="42" t="str">
        <f ca="1"/>
        <v/>
      </c>
      <c r="DJ1516" s="42" t="str">
        <f ca="1"/>
        <v/>
      </c>
      <c r="DK1516" s="42" t="str">
        <f ca="1"/>
        <v/>
      </c>
      <c r="DL1516" s="42" t="str">
        <f ca="1"/>
        <v>REP</v>
      </c>
      <c r="DM1516" s="42" t="str">
        <f ca="1"/>
        <v/>
      </c>
      <c r="DN1516" s="42" t="str">
        <f ca="1"/>
        <v/>
      </c>
      <c r="DO1516" s="42" t="str">
        <f ca="1"/>
        <v/>
      </c>
      <c r="DP1516" s="42" t="str">
        <f ca="1"/>
        <v/>
      </c>
      <c r="DQ1516" s="42" t="str">
        <f ca="1"/>
        <v>REP</v>
      </c>
      <c r="DR1516" s="42" t="str">
        <f ca="1"/>
        <v/>
      </c>
      <c r="DS1516" s="42">
        <f ca="1"/>
        <v>190</v>
      </c>
      <c r="DT1516" s="42" t="str">
        <f ca="1"/>
        <v/>
      </c>
      <c r="DU1516" s="42" t="str">
        <f ca="1"/>
        <v/>
      </c>
      <c r="DV1516" s="42" t="str">
        <f ca="1"/>
        <v/>
      </c>
      <c r="DW1516" s="42" t="str">
        <f ca="1"/>
        <v/>
      </c>
      <c r="DX1516" s="42" t="str">
        <f ca="1"/>
        <v/>
      </c>
      <c r="DY1516" s="42" t="str">
        <f ca="1"/>
        <v/>
      </c>
      <c r="DZ1516" s="42" t="str">
        <f ca="1"/>
        <v/>
      </c>
      <c r="EA1516" s="42" t="str">
        <f ca="1"/>
        <v>REP</v>
      </c>
      <c r="EB1516" s="42" t="str">
        <f ca="1"/>
        <v>REP</v>
      </c>
      <c r="EC1516" s="42" t="str">
        <f ca="1"/>
        <v>REP</v>
      </c>
      <c r="ED1516" s="42" t="str">
        <f ca="1"/>
        <v>REP.</v>
      </c>
      <c r="EE1516" s="42" t="str">
        <f ca="1"/>
        <v/>
      </c>
      <c r="EF1516" s="42" t="str">
        <f ca="1"/>
        <v/>
      </c>
      <c r="EG1516" s="42" t="str">
        <f ca="1"/>
        <v/>
      </c>
      <c r="EH1516" s="42" t="str">
        <f ca="1"/>
        <v/>
      </c>
      <c r="EI1516" s="42" t="str">
        <f ca="1"/>
        <v/>
      </c>
      <c r="EJ1516" s="42" t="str">
        <f ca="1"/>
        <v/>
      </c>
      <c r="EK1516" s="42" t="str">
        <f ca="1"/>
        <v/>
      </c>
      <c r="EL1516" s="42" t="str">
        <f ca="1"/>
        <v>REP</v>
      </c>
      <c r="EM1516" s="42" t="str">
        <f ca="1"/>
        <v>S/F</v>
      </c>
      <c r="EN1516" s="42" t="str">
        <f ca="1"/>
        <v/>
      </c>
      <c r="EO1516" s="42" t="str">
        <f ca="1"/>
        <v>REP</v>
      </c>
      <c r="EP1516" s="42" t="str">
        <f ca="1"/>
        <v/>
      </c>
      <c r="EQ1516" s="42" t="str">
        <f ca="1"/>
        <v>S/F</v>
      </c>
      <c r="ER1516" s="42" t="str">
        <f ca="1"/>
        <v>S/F</v>
      </c>
      <c r="ES1516" s="42" t="str">
        <f ca="1"/>
        <v/>
      </c>
      <c r="ET1516" s="42" t="str">
        <f ca="1"/>
        <v/>
      </c>
      <c r="EU1516" s="42" t="str">
        <f ca="1"/>
        <v/>
      </c>
      <c r="EV1516" s="42" t="str">
        <f ca="1"/>
        <v/>
      </c>
      <c r="EW1516" s="42" t="str">
        <f ca="1"/>
        <v/>
      </c>
      <c r="EX1516" s="42" t="str">
        <f ca="1"/>
        <v>REP</v>
      </c>
      <c r="EY1516" s="42" t="str">
        <f ca="1"/>
        <v/>
      </c>
      <c r="EZ1516" s="42" t="str">
        <f ca="1"/>
        <v/>
      </c>
      <c r="FA1516" s="42" t="str">
        <f ca="1"/>
        <v>S/F</v>
      </c>
      <c r="FB1516" s="42" t="str">
        <f ca="1"/>
        <v/>
      </c>
      <c r="FC1516" s="42">
        <f ca="1"/>
        <v>39</v>
      </c>
      <c r="FD1516" s="42" t="str">
        <f ca="1"/>
        <v/>
      </c>
      <c r="FE1516" s="42">
        <f ca="1"/>
        <v>0</v>
      </c>
      <c r="FF1516" s="42" t="str">
        <f ca="1"/>
        <v>REP</v>
      </c>
      <c r="FG1516" s="42" t="str">
        <f ca="1"/>
        <v/>
      </c>
      <c r="FH1516" s="42" t="str">
        <f ca="1"/>
        <v/>
      </c>
      <c r="FI1516" s="42">
        <f ca="1"/>
        <v>0</v>
      </c>
      <c r="FJ1516" s="42" t="str">
        <f ca="1"/>
        <v>S/F</v>
      </c>
      <c r="FK1516" s="42" t="str">
        <f ca="1"/>
        <v>S/F</v>
      </c>
      <c r="FL1516" s="42" t="str">
        <f ca="1"/>
        <v>S/F</v>
      </c>
      <c r="FM1516" s="42" t="str">
        <f ca="1"/>
        <v/>
      </c>
      <c r="FN1516" s="42" t="str">
        <f ca="1"/>
        <v/>
      </c>
      <c r="FO1516" s="42" t="str">
        <f ca="1"/>
        <v>REP</v>
      </c>
      <c r="FP1516" s="42" t="str">
        <f ca="1"/>
        <v>REP</v>
      </c>
      <c r="FQ1516" s="42" t="str">
        <f ca="1"/>
        <v/>
      </c>
      <c r="FR1516" s="42" t="str">
        <f ca="1"/>
        <v/>
      </c>
      <c r="FS1516" s="42">
        <f ca="1"/>
        <v>180</v>
      </c>
      <c r="FT1516" s="42" t="str">
        <f ca="1"/>
        <v/>
      </c>
      <c r="FU1516" s="42" t="str">
        <f ca="1"/>
        <v/>
      </c>
      <c r="FV1516" s="42" t="str">
        <f ca="1"/>
        <v/>
      </c>
      <c r="FW1516" s="42" t="str">
        <f ca="1"/>
        <v/>
      </c>
      <c r="FX1516" s="42">
        <f ca="1"/>
        <v>0</v>
      </c>
      <c r="FY1516" s="42" t="str">
        <f ca="1"/>
        <v/>
      </c>
      <c r="FZ1516" s="42">
        <f ca="1"/>
        <v>11</v>
      </c>
      <c r="GA1516" s="42" t="str">
        <f ca="1"/>
        <v/>
      </c>
      <c r="GB1516" s="42" t="str">
        <f ca="1"/>
        <v/>
      </c>
      <c r="GC1516" s="42">
        <f ca="1"/>
        <v>13</v>
      </c>
      <c r="GD1516" s="42" t="str">
        <f ca="1"/>
        <v>REP</v>
      </c>
      <c r="GE1516" s="42" t="str">
        <f ca="1"/>
        <v/>
      </c>
      <c r="GF1516" s="42">
        <f ca="1"/>
        <v>0</v>
      </c>
      <c r="GG1516" s="42">
        <f ca="1"/>
        <v>0</v>
      </c>
      <c r="GH1516" s="42" t="str">
        <f ca="1"/>
        <v/>
      </c>
      <c r="GI1516" s="42" t="str">
        <f ca="1"/>
        <v>S/F</v>
      </c>
      <c r="GJ1516" s="42" t="str">
        <f ca="1"/>
        <v/>
      </c>
      <c r="GK1516" s="42" t="str">
        <f ca="1"/>
        <v/>
      </c>
      <c r="GL1516" s="42" t="str">
        <f ca="1"/>
        <v>REP</v>
      </c>
      <c r="GM1516" s="42" t="str">
        <f ca="1"/>
        <v/>
      </c>
      <c r="GN1516" s="42" t="str">
        <f ca="1"/>
        <v/>
      </c>
      <c r="GO1516" s="42" t="str">
        <f ca="1"/>
        <v/>
      </c>
      <c r="GP1516" s="42" t="str">
        <f ca="1"/>
        <v/>
      </c>
      <c r="GQ1516" s="42" t="str">
        <f ca="1"/>
        <v/>
      </c>
      <c r="GR1516" s="42" t="str">
        <f ca="1"/>
        <v>REP</v>
      </c>
      <c r="GS1516" s="42" t="str">
        <f ca="1"/>
        <v>S/F</v>
      </c>
      <c r="GT1516" s="42" t="str">
        <f ca="1"/>
        <v>REP</v>
      </c>
      <c r="GU1516" s="42" t="str">
        <f ca="1"/>
        <v>REP</v>
      </c>
      <c r="GV1516" s="42" t="str">
        <f ca="1"/>
        <v>S/F</v>
      </c>
      <c r="GW1516" s="42" t="str">
        <f ca="1"/>
        <v>REP</v>
      </c>
      <c r="GX1516" s="42" t="str">
        <f ca="1"/>
        <v/>
      </c>
      <c r="GY1516" s="42" t="str">
        <f ca="1"/>
        <v/>
      </c>
      <c r="GZ1516" s="42" t="str">
        <f ca="1"/>
        <v/>
      </c>
      <c r="HA1516" s="42" t="str">
        <f ca="1"/>
        <v/>
      </c>
      <c r="HB1516" s="42" t="str">
        <f ca="1"/>
        <v/>
      </c>
      <c r="HC1516" s="42" t="str">
        <f ca="1"/>
        <v/>
      </c>
      <c r="HD1516" s="42">
        <f ca="1"/>
        <v>165</v>
      </c>
      <c r="HE1516" s="42" t="str">
        <f ca="1"/>
        <v/>
      </c>
      <c r="HF1516" s="42" t="str">
        <f ca="1"/>
        <v/>
      </c>
      <c r="HG1516" s="42" t="str">
        <f ca="1"/>
        <v>REP</v>
      </c>
      <c r="HH1516" s="42" t="str">
        <f ca="1"/>
        <v/>
      </c>
      <c r="HI1516" s="42" t="str">
        <f ca="1"/>
        <v>S/F</v>
      </c>
      <c r="HJ1516" s="42" t="str">
        <f ca="1"/>
        <v/>
      </c>
      <c r="HK1516" s="42" t="str">
        <f ca="1"/>
        <v>REP</v>
      </c>
      <c r="HL1516" s="42" t="str">
        <f ca="1"/>
        <v/>
      </c>
      <c r="HM1516" s="42">
        <f ca="1"/>
        <v>167</v>
      </c>
      <c r="HN1516" s="42" t="str">
        <f ca="1"/>
        <v/>
      </c>
      <c r="HO1516" s="42" t="str">
        <f ca="1"/>
        <v>REP</v>
      </c>
      <c r="HP1516" s="42">
        <f ca="1"/>
        <v>168</v>
      </c>
      <c r="HQ1516" s="42" t="str">
        <f ca="1"/>
        <v>REP</v>
      </c>
      <c r="HR1516" s="42" t="str">
        <f ca="1"/>
        <v/>
      </c>
      <c r="HS1516" s="42" t="str">
        <f ca="1"/>
        <v>REP</v>
      </c>
      <c r="HT1516" s="42" t="str">
        <f ca="1"/>
        <v/>
      </c>
      <c r="HU1516" s="42" t="str">
        <f ca="1"/>
        <v/>
      </c>
      <c r="HV1516" s="42" t="str">
        <f ca="1"/>
        <v/>
      </c>
      <c r="HW1516" s="42" t="str">
        <f ca="1"/>
        <v/>
      </c>
      <c r="HX1516" s="42" t="str">
        <f ca="1"/>
        <v/>
      </c>
      <c r="HY1516" s="42" t="str">
        <f ca="1"/>
        <v/>
      </c>
      <c r="HZ1516" s="42" t="str">
        <f ca="1"/>
        <v/>
      </c>
      <c r="IA1516" s="42" t="str">
        <f ca="1"/>
        <v>REP</v>
      </c>
      <c r="IB1516" s="42">
        <f ca="1"/>
        <v>19</v>
      </c>
      <c r="IC1516" s="42" t="str">
        <f ca="1"/>
        <v>REP</v>
      </c>
      <c r="ID1516" s="42" t="str">
        <f ca="1"/>
        <v/>
      </c>
      <c r="IE1516" s="42">
        <f ca="1"/>
        <v>37</v>
      </c>
      <c r="IF1516" s="42" t="str">
        <f ca="1"/>
        <v/>
      </c>
      <c r="IG1516" s="42" t="str">
        <f ca="1"/>
        <v>REP</v>
      </c>
      <c r="IH1516" s="42" t="str">
        <f ca="1"/>
        <v/>
      </c>
      <c r="II1516" s="42" t="str">
        <f ca="1"/>
        <v/>
      </c>
      <c r="IJ1516" s="42" t="str">
        <f ca="1"/>
        <v>S/F</v>
      </c>
      <c r="IK1516" s="42" t="str">
        <f ca="1"/>
        <v/>
      </c>
      <c r="IL1516" s="42" t="str">
        <f ca="1"/>
        <v>REP</v>
      </c>
      <c r="IM1516" s="42" t="str">
        <f ca="1"/>
        <v/>
      </c>
      <c r="IN1516" s="42" t="str">
        <f ca="1"/>
        <v/>
      </c>
      <c r="IO1516" s="42" t="str">
        <f ca="1"/>
        <v/>
      </c>
      <c r="IP1516" s="42" t="str">
        <f ca="1"/>
        <v/>
      </c>
      <c r="IQ1516" s="42" t="str">
        <f ca="1"/>
        <v/>
      </c>
      <c r="IR1516" s="42" t="str">
        <f ca="1"/>
        <v/>
      </c>
      <c r="IS1516" s="42" t="str">
        <f ca="1"/>
        <v/>
      </c>
      <c r="IT1516" s="42" t="str">
        <f ca="1"/>
        <v>S/F</v>
      </c>
      <c r="IU1516" s="42" t="str">
        <f ca="1"/>
        <v/>
      </c>
      <c r="IV1516" s="42" t="str">
        <f ca="1"/>
        <v/>
      </c>
      <c r="IW1516" s="42" t="str">
        <f ca="1"/>
        <v/>
      </c>
      <c r="IX1516" s="42" t="str">
        <f ca="1"/>
        <v/>
      </c>
      <c r="IY1516" s="42" t="str">
        <f ca="1"/>
        <v/>
      </c>
      <c r="IZ1516" s="42" t="str">
        <f ca="1"/>
        <v>S/F</v>
      </c>
      <c r="JA1516" s="42" t="str">
        <f ca="1"/>
        <v/>
      </c>
      <c r="JB1516" s="42">
        <f ca="1"/>
        <v>44</v>
      </c>
      <c r="JC1516" s="42" t="str">
        <f ca="1"/>
        <v/>
      </c>
      <c r="JD1516" s="42" t="str">
        <f ca="1"/>
        <v/>
      </c>
      <c r="JE1516" s="42" t="str">
        <f ca="1"/>
        <v/>
      </c>
      <c r="JF1516" s="42" t="str">
        <f ca="1"/>
        <v/>
      </c>
      <c r="JG1516" s="42" t="str">
        <f ca="1"/>
        <v>REP</v>
      </c>
      <c r="JH1516" s="42" t="str">
        <f ca="1"/>
        <v>S/F</v>
      </c>
      <c r="JI1516" s="42" t="str">
        <f ca="1"/>
        <v/>
      </c>
      <c r="JJ1516" s="42" t="str">
        <f ca="1"/>
        <v/>
      </c>
      <c r="JK1516" s="42" t="str">
        <f ca="1"/>
        <v/>
      </c>
      <c r="JL1516" s="42" t="str">
        <f ca="1"/>
        <v/>
      </c>
      <c r="JM1516" s="42" t="str">
        <f ca="1"/>
        <v/>
      </c>
      <c r="JN1516" s="42" t="str">
        <f ca="1"/>
        <v>REP</v>
      </c>
      <c r="JO1516" s="42" t="str">
        <f ca="1"/>
        <v/>
      </c>
      <c r="JP1516" s="42" t="str">
        <f ca="1"/>
        <v>REP</v>
      </c>
      <c r="JQ1516" s="42" t="str">
        <f ca="1"/>
        <v>S/F</v>
      </c>
      <c r="JR1516" s="42" t="str">
        <f ca="1"/>
        <v/>
      </c>
      <c r="JS1516" s="42">
        <f ca="1"/>
        <v>62</v>
      </c>
      <c r="JT1516" s="42" t="str">
        <f ca="1"/>
        <v/>
      </c>
      <c r="JU1516" s="42" t="str">
        <f ca="1"/>
        <v/>
      </c>
      <c r="JV1516" s="42" t="str">
        <f ca="1"/>
        <v/>
      </c>
      <c r="JW1516" s="42" t="str">
        <f ca="1"/>
        <v/>
      </c>
      <c r="JX1516" s="42" t="str">
        <f ca="1"/>
        <v/>
      </c>
      <c r="JY1516" s="42" t="str">
        <f ca="1"/>
        <v>S/F</v>
      </c>
      <c r="JZ1516" s="42" t="str">
        <f ca="1"/>
        <v>REP</v>
      </c>
      <c r="KA1516" s="42" t="str">
        <f ca="1"/>
        <v/>
      </c>
      <c r="KB1516" s="42" t="str">
        <f ca="1"/>
        <v>REP</v>
      </c>
      <c r="KC1516" s="42" t="str">
        <f ca="1"/>
        <v>REP</v>
      </c>
      <c r="KD1516" s="42" t="str">
        <f ca="1"/>
        <v/>
      </c>
      <c r="KE1516" s="42" t="str">
        <f ca="1"/>
        <v>REP</v>
      </c>
      <c r="KF1516" s="42">
        <f ca="1"/>
        <v>91</v>
      </c>
      <c r="KG1516" s="42" t="str">
        <f ca="1"/>
        <v/>
      </c>
      <c r="KH1516" s="42" t="str">
        <f ca="1"/>
        <v/>
      </c>
      <c r="KI1516" s="42" t="str">
        <f ca="1"/>
        <v>S/F</v>
      </c>
      <c r="KJ1516" s="42" t="str">
        <f ca="1"/>
        <v/>
      </c>
      <c r="KK1516" s="42" t="str">
        <f ca="1"/>
        <v>REP</v>
      </c>
      <c r="KL1516" s="42" t="str">
        <f ca="1"/>
        <v/>
      </c>
      <c r="KM1516" s="42" t="str">
        <f ca="1"/>
        <v/>
      </c>
      <c r="KN1516" s="42" t="str">
        <f ca="1"/>
        <v/>
      </c>
      <c r="KO1516" s="42" t="str">
        <f ca="1"/>
        <v/>
      </c>
      <c r="KP1516" s="42" t="str">
        <f ca="1"/>
        <v>S/F</v>
      </c>
      <c r="KQ1516" s="42" t="str">
        <f ca="1"/>
        <v/>
      </c>
      <c r="KR1516" s="42">
        <f ca="1"/>
        <v>121</v>
      </c>
      <c r="KS1516" s="42" t="str">
        <f ca="1"/>
        <v/>
      </c>
      <c r="KT1516" s="42">
        <f ca="1"/>
        <v>0</v>
      </c>
      <c r="KU1516" s="42" t="str">
        <f ca="1"/>
        <v>REP</v>
      </c>
      <c r="KV1516" s="42">
        <f ca="1"/>
        <v>163</v>
      </c>
      <c r="KW1516" s="42">
        <f ca="1"/>
        <v>11</v>
      </c>
      <c r="KX1516" s="42">
        <f ca="1"/>
        <v>3</v>
      </c>
      <c r="KY1516" s="42" t="str">
        <f ca="1"/>
        <v>REP</v>
      </c>
      <c r="KZ1516" s="42" t="str">
        <f ca="1"/>
        <v>REP</v>
      </c>
      <c r="LA1516" s="42" t="str">
        <f ca="1"/>
        <v/>
      </c>
      <c r="LB1516" s="42" t="str">
        <f ca="1"/>
        <v>S/F</v>
      </c>
      <c r="LC1516" s="42" t="str">
        <f ca="1"/>
        <v/>
      </c>
      <c r="LD1516" s="42" t="str">
        <f ca="1"/>
        <v/>
      </c>
      <c r="LE1516" s="42" t="str">
        <f ca="1"/>
        <v>S/F</v>
      </c>
      <c r="LF1516" s="42" t="str">
        <f ca="1"/>
        <v/>
      </c>
      <c r="LG1516" s="42" t="str">
        <f ca="1"/>
        <v/>
      </c>
      <c r="LH1516" s="42" t="str">
        <f ca="1"/>
        <v>REP</v>
      </c>
      <c r="LI1516" s="42">
        <f ca="1"/>
        <v>174</v>
      </c>
      <c r="LJ1516" s="42" t="str">
        <f ca="1"/>
        <v/>
      </c>
      <c r="LK1516" s="42" t="str">
        <f ca="1"/>
        <v/>
      </c>
      <c r="LL1516" s="42" t="str">
        <f ca="1"/>
        <v/>
      </c>
      <c r="LM1516" s="42" t="str">
        <f ca="1"/>
        <v>REP</v>
      </c>
      <c r="LN1516" s="42" t="str">
        <f ca="1"/>
        <v>REP</v>
      </c>
      <c r="LO1516" s="42" t="str">
        <f ca="1"/>
        <v>REP</v>
      </c>
      <c r="LP1516" s="42" t="str">
        <f ca="1"/>
        <v/>
      </c>
      <c r="LQ1516" s="42">
        <f ca="1"/>
        <v>100</v>
      </c>
      <c r="LR1516" s="42" t="str">
        <f ca="1"/>
        <v/>
      </c>
      <c r="LS1516" s="42">
        <f ca="1"/>
        <v>10</v>
      </c>
      <c r="LT1516" s="42" t="str">
        <f ca="1"/>
        <v/>
      </c>
      <c r="LU1516" s="42" t="str">
        <f ca="1"/>
        <v>REP</v>
      </c>
      <c r="LV1516" s="42" t="str">
        <f ca="1"/>
        <v/>
      </c>
      <c r="LW1516" s="42" t="str">
        <f ca="1"/>
        <v/>
      </c>
      <c r="LX1516" s="42" t="str">
        <f ca="1"/>
        <v>REP</v>
      </c>
      <c r="LY1516" s="42" t="str">
        <f ca="1"/>
        <v/>
      </c>
      <c r="LZ1516" s="42" t="str">
        <f ca="1"/>
        <v/>
      </c>
      <c r="MA1516" s="42" t="str">
        <f ca="1"/>
        <v/>
      </c>
      <c r="MB1516" s="42" t="str">
        <f ca="1"/>
        <v/>
      </c>
      <c r="MC1516" s="42" t="str">
        <f ca="1"/>
        <v/>
      </c>
      <c r="MD1516" s="42" t="str">
        <f ca="1"/>
        <v/>
      </c>
      <c r="ME1516" s="42" t="str">
        <f ca="1"/>
        <v/>
      </c>
      <c r="MF1516" s="42" t="str">
        <f ca="1"/>
        <v/>
      </c>
      <c r="MG1516" s="42" t="str">
        <f ca="1"/>
        <v/>
      </c>
      <c r="MH1516" s="42" t="str">
        <f ca="1"/>
        <v/>
      </c>
      <c r="MI1516" s="42" t="str">
        <f ca="1"/>
        <v/>
      </c>
      <c r="MJ1516" s="42" t="str">
        <f ca="1"/>
        <v/>
      </c>
      <c r="MK1516" s="42" t="str">
        <f ca="1"/>
        <v/>
      </c>
      <c r="ML1516" s="42" t="str">
        <f ca="1"/>
        <v/>
      </c>
      <c r="MM1516" s="42" t="str">
        <f ca="1"/>
        <v/>
      </c>
      <c r="MN1516" s="42" t="str">
        <f ca="1"/>
        <v/>
      </c>
      <c r="MO1516" s="42" t="str">
        <f ca="1"/>
        <v/>
      </c>
      <c r="MP1516" s="42" t="str">
        <f ca="1"/>
        <v/>
      </c>
      <c r="MQ1516" s="42" t="str">
        <f ca="1"/>
        <v/>
      </c>
      <c r="MR1516" s="42" t="str">
        <f ca="1"/>
        <v/>
      </c>
      <c r="MS1516" s="42" t="str">
        <f ca="1"/>
        <v/>
      </c>
      <c r="MT1516" s="42" t="str">
        <f ca="1"/>
        <v/>
      </c>
      <c r="MU1516" s="42" t="str">
        <f ca="1"/>
        <v/>
      </c>
      <c r="MV1516" s="42" t="str">
        <f ca="1"/>
        <v/>
      </c>
      <c r="MW1516" s="42" t="str">
        <f ca="1"/>
        <v/>
      </c>
      <c r="MX1516" s="42" t="str">
        <f ca="1"/>
        <v/>
      </c>
      <c r="MY1516" s="42" t="str">
        <f ca="1"/>
        <v/>
      </c>
      <c r="MZ1516" s="42" t="str">
        <f ca="1"/>
        <v/>
      </c>
      <c r="NA1516" s="42" t="str">
        <f ca="1"/>
        <v/>
      </c>
      <c r="NB1516" s="42" t="str">
        <f ca="1"/>
        <v/>
      </c>
      <c r="NC1516" s="42" t="str">
        <f ca="1"/>
        <v/>
      </c>
      <c r="ND1516" s="42" t="str">
        <f ca="1"/>
        <v/>
      </c>
      <c r="NE1516" s="42" t="str">
        <f ca="1"/>
        <v/>
      </c>
      <c r="NF1516" s="42" t="str">
        <f ca="1"/>
        <v/>
      </c>
      <c r="NG1516" s="42" t="str">
        <f ca="1"/>
        <v/>
      </c>
      <c r="NH1516" s="42" t="str">
        <f ca="1"/>
        <v/>
      </c>
      <c r="NI1516" s="42" t="str">
        <f ca="1"/>
        <v/>
      </c>
      <c r="NJ1516" s="42" t="str">
        <f ca="1"/>
        <v/>
      </c>
      <c r="NK1516" s="42" t="str">
        <f ca="1"/>
        <v/>
      </c>
      <c r="NL1516" s="42" t="str">
        <f ca="1"/>
        <v/>
      </c>
      <c r="NM1516" s="42" t="str">
        <f ca="1"/>
        <v/>
      </c>
      <c r="NN1516" s="42" t="str">
        <f ca="1"/>
        <v/>
      </c>
      <c r="NO1516" s="42" t="str">
        <f ca="1"/>
        <v/>
      </c>
      <c r="NP1516" s="42" t="str">
        <f ca="1"/>
        <v/>
      </c>
      <c r="NQ1516" s="42" t="str">
        <f ca="1"/>
        <v/>
      </c>
      <c r="NR1516" s="42" t="str">
        <f ca="1"/>
        <v/>
      </c>
      <c r="NS1516" s="42" t="str">
        <f ca="1"/>
        <v/>
      </c>
      <c r="NT1516" s="42" t="str">
        <f ca="1"/>
        <v/>
      </c>
      <c r="NU1516" s="42" t="str">
        <f ca="1"/>
        <v/>
      </c>
      <c r="NV1516" s="42" t="str">
        <f ca="1"/>
        <v/>
      </c>
      <c r="NW1516" s="42" t="str">
        <f ca="1"/>
        <v/>
      </c>
      <c r="NX1516" s="42" t="str">
        <f ca="1"/>
        <v/>
      </c>
      <c r="NY1516" s="42" t="str">
        <f ca="1"/>
        <v/>
      </c>
      <c r="NZ1516" s="42" t="str">
        <f ca="1"/>
        <v/>
      </c>
      <c r="OA1516" s="42" t="str">
        <f ca="1"/>
        <v/>
      </c>
      <c r="OB1516" s="42" t="str">
        <f ca="1"/>
        <v/>
      </c>
      <c r="OC1516" s="42" t="str">
        <f ca="1"/>
        <v/>
      </c>
      <c r="OD1516" s="42" t="str">
        <f ca="1"/>
        <v/>
      </c>
      <c r="OE1516" s="42" t="str">
        <f ca="1"/>
        <v/>
      </c>
      <c r="OF1516" s="42" t="str">
        <f ca="1"/>
        <v/>
      </c>
      <c r="OG1516" s="42" t="str">
        <f ca="1"/>
        <v/>
      </c>
      <c r="OH1516" s="42" t="str">
        <f ca="1"/>
        <v/>
      </c>
      <c r="OI1516" s="42" t="str">
        <f ca="1"/>
        <v/>
      </c>
      <c r="OJ1516" s="42" t="str">
        <f ca="1"/>
        <v/>
      </c>
      <c r="OK1516" s="42" t="str">
        <f ca="1"/>
        <v/>
      </c>
      <c r="OL1516" s="42" t="str">
        <f ca="1"/>
        <v/>
      </c>
      <c r="OM1516" s="42" t="str">
        <f ca="1"/>
        <v/>
      </c>
      <c r="ON1516" s="42" t="str">
        <f ca="1"/>
        <v/>
      </c>
      <c r="OO1516" s="42" t="str">
        <f ca="1"/>
        <v/>
      </c>
      <c r="OP1516" s="42" t="str">
        <f ca="1"/>
        <v/>
      </c>
      <c r="OQ1516" s="42" t="str">
        <f ca="1"/>
        <v/>
      </c>
      <c r="OR1516" s="42" t="str">
        <f ca="1"/>
        <v/>
      </c>
      <c r="OS1516" s="42" t="str">
        <f ca="1"/>
        <v/>
      </c>
      <c r="OT1516" s="42" t="str">
        <f ca="1"/>
        <v/>
      </c>
      <c r="OU1516" s="42" t="str">
        <f ca="1"/>
        <v/>
      </c>
      <c r="OV1516" s="42" t="str">
        <f ca="1"/>
        <v/>
      </c>
      <c r="OW1516" s="42" t="str">
        <f ca="1"/>
        <v/>
      </c>
      <c r="OX1516" s="42" t="str">
        <f ca="1"/>
        <v/>
      </c>
      <c r="OY1516" s="42" t="str">
        <f ca="1"/>
        <v/>
      </c>
      <c r="OZ1516" s="42" t="str">
        <f ca="1"/>
        <v/>
      </c>
      <c r="PA1516" s="42" t="str">
        <f ca="1"/>
        <v/>
      </c>
      <c r="PB1516" s="42" t="str">
        <f ca="1"/>
        <v/>
      </c>
      <c r="PC1516" s="42" t="str">
        <f ca="1"/>
        <v/>
      </c>
      <c r="PD1516" s="42" t="str">
        <f ca="1"/>
        <v/>
      </c>
      <c r="PE1516" s="42" t="str">
        <f ca="1"/>
        <v/>
      </c>
      <c r="PF1516" s="42" t="str">
        <f ca="1"/>
        <v/>
      </c>
      <c r="PG1516" s="42" t="str">
        <f ca="1"/>
        <v/>
      </c>
      <c r="PH1516" s="42" t="str">
        <f ca="1"/>
        <v/>
      </c>
      <c r="PI1516" s="42" t="str">
        <f ca="1"/>
        <v/>
      </c>
      <c r="PJ1516" s="42" t="str">
        <f ca="1"/>
        <v/>
      </c>
      <c r="PK1516" s="42" t="str">
        <f ca="1"/>
        <v/>
      </c>
      <c r="PL1516" s="42" t="str">
        <f ca="1"/>
        <v/>
      </c>
      <c r="PM1516" s="42" t="str">
        <f ca="1"/>
        <v/>
      </c>
      <c r="PN1516" s="42" t="str">
        <f ca="1"/>
        <v/>
      </c>
      <c r="PO1516" s="42" t="str">
        <f ca="1"/>
        <v/>
      </c>
      <c r="PP1516" s="42" t="str">
        <f ca="1"/>
        <v/>
      </c>
      <c r="PQ1516" s="42" t="str">
        <f ca="1"/>
        <v/>
      </c>
      <c r="PR1516" s="42" t="str">
        <f ca="1"/>
        <v/>
      </c>
      <c r="PS1516" s="42" t="str">
        <f ca="1"/>
        <v/>
      </c>
      <c r="PT1516" s="42" t="str">
        <f ca="1"/>
        <v/>
      </c>
      <c r="PU1516" s="42" t="str">
        <f ca="1"/>
        <v/>
      </c>
      <c r="PV1516" s="42" t="str">
        <f ca="1"/>
        <v/>
      </c>
      <c r="PW1516" s="42" t="str">
        <f ca="1"/>
        <v/>
      </c>
      <c r="PX1516" s="42" t="str">
        <f ca="1"/>
        <v/>
      </c>
      <c r="PY1516" s="42" t="str">
        <f ca="1"/>
        <v/>
      </c>
      <c r="PZ1516" s="42" t="str">
        <f ca="1"/>
        <v/>
      </c>
      <c r="QA1516" s="42" t="str">
        <f ca="1"/>
        <v/>
      </c>
      <c r="QB1516" s="42" t="str">
        <f ca="1"/>
        <v/>
      </c>
      <c r="QC1516" s="42" t="str">
        <f ca="1"/>
        <v/>
      </c>
      <c r="QD1516" s="42" t="str">
        <f ca="1"/>
        <v/>
      </c>
      <c r="QE1516" s="42" t="str">
        <f ca="1"/>
        <v/>
      </c>
      <c r="QF1516" s="42" t="str">
        <f ca="1"/>
        <v/>
      </c>
      <c r="QG1516" s="42" t="str">
        <f ca="1"/>
        <v/>
      </c>
      <c r="QH1516" s="42" t="str">
        <f ca="1"/>
        <v/>
      </c>
      <c r="QI1516" s="42" t="str">
        <f ca="1"/>
        <v/>
      </c>
      <c r="QJ1516" s="42" t="str">
        <f ca="1"/>
        <v/>
      </c>
      <c r="QK1516" s="42" t="str">
        <f ca="1"/>
        <v/>
      </c>
      <c r="QL1516" s="42" t="str">
        <f ca="1"/>
        <v/>
      </c>
      <c r="QM1516" s="42" t="str">
        <f ca="1"/>
        <v/>
      </c>
      <c r="QN1516" s="42" t="str">
        <f ca="1"/>
        <v/>
      </c>
      <c r="QO1516" s="42" t="str">
        <f ca="1"/>
        <v/>
      </c>
      <c r="QP1516" s="42" t="str">
        <f ca="1"/>
        <v/>
      </c>
      <c r="QQ1516" s="42" t="str">
        <f ca="1"/>
        <v/>
      </c>
      <c r="QR1516" s="42" t="str">
        <f ca="1"/>
        <v/>
      </c>
      <c r="QS1516" s="42" t="str">
        <f ca="1"/>
        <v/>
      </c>
      <c r="QT1516" s="42" t="str">
        <f ca="1"/>
        <v/>
      </c>
      <c r="QU1516" s="42" t="str">
        <f ca="1"/>
        <v/>
      </c>
      <c r="QV1516" s="42" t="str">
        <f ca="1"/>
        <v/>
      </c>
      <c r="QW1516" s="42" t="str">
        <f ca="1"/>
        <v/>
      </c>
      <c r="QX1516" s="42" t="str">
        <f ca="1"/>
        <v/>
      </c>
      <c r="QY1516" s="42" t="str">
        <f ca="1"/>
        <v/>
      </c>
      <c r="QZ1516" s="42" t="str">
        <f ca="1"/>
        <v/>
      </c>
      <c r="RA1516" s="42" t="str">
        <f ca="1"/>
        <v/>
      </c>
      <c r="RB1516" s="42" t="str">
        <f ca="1"/>
        <v/>
      </c>
      <c r="RC1516" s="42" t="str">
        <f ca="1"/>
        <v/>
      </c>
      <c r="RD1516" s="42" t="str">
        <f ca="1"/>
        <v/>
      </c>
      <c r="RE1516" s="42" t="str">
        <f ca="1"/>
        <v/>
      </c>
      <c r="RF1516" s="42" t="str">
        <f ca="1"/>
        <v/>
      </c>
      <c r="RG1516" s="42" t="str">
        <f ca="1"/>
        <v/>
      </c>
      <c r="RH1516" s="42" t="str">
        <f ca="1"/>
        <v/>
      </c>
      <c r="RI1516" s="42" t="str">
        <f ca="1"/>
        <v/>
      </c>
      <c r="RJ1516" s="42" t="str">
        <f ca="1"/>
        <v/>
      </c>
      <c r="RK1516" s="42" t="str">
        <f ca="1"/>
        <v/>
      </c>
      <c r="RL1516" s="42" t="str">
        <f ca="1"/>
        <v/>
      </c>
      <c r="RM1516" s="42" t="str">
        <f ca="1"/>
        <v/>
      </c>
      <c r="RN1516" s="42" t="str">
        <f ca="1"/>
        <v/>
      </c>
      <c r="RO1516" s="42" t="str">
        <f ca="1"/>
        <v/>
      </c>
      <c r="RP1516" s="42" t="str">
        <f ca="1"/>
        <v/>
      </c>
      <c r="RQ1516" s="42" t="str">
        <f ca="1"/>
        <v/>
      </c>
      <c r="RR1516" s="42" t="str">
        <f ca="1"/>
        <v/>
      </c>
      <c r="RS1516" s="42" t="str">
        <f ca="1"/>
        <v/>
      </c>
      <c r="RT1516" s="42" t="str">
        <f ca="1"/>
        <v/>
      </c>
      <c r="RU1516" s="42" t="str">
        <f ca="1"/>
        <v/>
      </c>
      <c r="RV1516" s="42" t="str">
        <f ca="1"/>
        <v/>
      </c>
      <c r="RW1516" s="42" t="str">
        <f ca="1"/>
        <v/>
      </c>
      <c r="RX1516" s="42" t="str">
        <f ca="1"/>
        <v/>
      </c>
      <c r="RY1516" s="42" t="str">
        <f ca="1"/>
        <v/>
      </c>
      <c r="RZ1516" s="42" t="str">
        <f ca="1"/>
        <v/>
      </c>
      <c r="SA1516" s="42" t="str">
        <f ca="1"/>
        <v/>
      </c>
      <c r="SB1516" s="42" t="str">
        <f ca="1"/>
        <v/>
      </c>
      <c r="SC1516" s="42" t="str">
        <f ca="1"/>
        <v/>
      </c>
      <c r="SD1516" s="42" t="str">
        <f ca="1"/>
        <v/>
      </c>
      <c r="SE1516" s="42" t="str">
        <f ca="1"/>
        <v/>
      </c>
      <c r="SF1516" s="42" t="str">
        <f ca="1"/>
        <v/>
      </c>
      <c r="SG1516" s="42" t="str">
        <f ca="1"/>
        <v/>
      </c>
      <c r="SH1516" s="42" t="str">
        <f ca="1"/>
        <v/>
      </c>
      <c r="SI1516" s="42" t="str">
        <f ca="1"/>
        <v/>
      </c>
      <c r="SJ1516" s="42" t="str">
        <f ca="1"/>
        <v/>
      </c>
      <c r="SK1516" s="42" t="str">
        <f ca="1"/>
        <v/>
      </c>
      <c r="SL1516" s="42" t="str">
        <f ca="1"/>
        <v/>
      </c>
      <c r="SM1516" s="42" t="str">
        <f ca="1"/>
        <v/>
      </c>
      <c r="SN1516" s="42" t="str">
        <f ca="1"/>
        <v/>
      </c>
      <c r="SO1516" s="42" t="str">
        <f ca="1"/>
        <v/>
      </c>
      <c r="SP1516" s="42" t="str">
        <f ca="1"/>
        <v/>
      </c>
      <c r="SQ1516" s="42" t="str">
        <f ca="1"/>
        <v/>
      </c>
      <c r="SR1516" s="42" t="str">
        <f ca="1"/>
        <v/>
      </c>
      <c r="SS1516" s="42" t="str">
        <f ca="1"/>
        <v/>
      </c>
      <c r="ST1516" s="42" t="str">
        <f ca="1"/>
        <v/>
      </c>
      <c r="SU1516" s="42" t="str">
        <f ca="1"/>
        <v/>
      </c>
      <c r="SV1516" s="42" t="str">
        <f ca="1"/>
        <v/>
      </c>
      <c r="SW1516" s="42" t="str">
        <f ca="1"/>
        <v/>
      </c>
      <c r="SX1516" s="42" t="str">
        <f ca="1"/>
        <v/>
      </c>
      <c r="SY1516" s="42" t="str">
        <f ca="1"/>
        <v/>
      </c>
      <c r="SZ1516" s="42" t="str">
        <f ca="1"/>
        <v/>
      </c>
      <c r="TA1516" s="42" t="str">
        <f ca="1"/>
        <v/>
      </c>
      <c r="TB1516" s="42" t="str">
        <f ca="1"/>
        <v/>
      </c>
      <c r="TC1516" s="42" t="str">
        <f ca="1"/>
        <v/>
      </c>
      <c r="TD1516" s="42" t="str">
        <f ca="1"/>
        <v/>
      </c>
      <c r="TE1516" s="42" t="str">
        <f ca="1"/>
        <v/>
      </c>
      <c r="TF1516" s="42" t="str">
        <f ca="1"/>
        <v/>
      </c>
      <c r="TG1516" s="42" t="str">
        <f ca="1"/>
        <v/>
      </c>
      <c r="TH1516" s="42" t="str">
        <f ca="1"/>
        <v/>
      </c>
      <c r="TI1516" s="42" t="str">
        <f ca="1"/>
        <v/>
      </c>
      <c r="TJ1516" s="42" t="str">
        <f ca="1"/>
        <v/>
      </c>
      <c r="TK1516" s="42" t="str">
        <f ca="1"/>
        <v/>
      </c>
      <c r="TL1516" s="42" t="str">
        <f ca="1"/>
        <v/>
      </c>
      <c r="TM1516" s="42" t="str">
        <f ca="1"/>
        <v/>
      </c>
      <c r="TN1516" s="42" t="str">
        <f ca="1"/>
        <v/>
      </c>
      <c r="TO1516" s="42" t="str">
        <f ca="1"/>
        <v/>
      </c>
      <c r="TP1516" s="42" t="str">
        <f ca="1"/>
        <v/>
      </c>
      <c r="TQ1516" s="42" t="str">
        <f ca="1"/>
        <v/>
      </c>
      <c r="TR1516" s="42" t="str">
        <f ca="1"/>
        <v/>
      </c>
      <c r="TS1516" s="42" t="str">
        <f ca="1"/>
        <v/>
      </c>
      <c r="TT1516" s="42" t="str">
        <f ca="1"/>
        <v/>
      </c>
      <c r="TU1516" s="42" t="str">
        <f ca="1"/>
        <v/>
      </c>
      <c r="TV1516" s="42" t="str">
        <f ca="1"/>
        <v/>
      </c>
      <c r="TW1516" s="42" t="str">
        <f ca="1"/>
        <v/>
      </c>
      <c r="TX1516" s="42" t="str">
        <f ca="1"/>
        <v/>
      </c>
      <c r="TY1516" s="42" t="str">
        <f ca="1"/>
        <v/>
      </c>
      <c r="TZ1516" s="42" t="str">
        <f ca="1"/>
        <v/>
      </c>
      <c r="UA1516" s="42" t="str">
        <f ca="1"/>
        <v/>
      </c>
      <c r="UB1516" s="42" t="str">
        <f ca="1"/>
        <v/>
      </c>
      <c r="UC1516" s="42" t="str">
        <f ca="1"/>
        <v/>
      </c>
      <c r="UD1516" s="42" t="str">
        <f ca="1"/>
        <v/>
      </c>
      <c r="UE1516" s="42" t="str">
        <f ca="1"/>
        <v/>
      </c>
      <c r="UF1516" s="42" t="str">
        <f ca="1"/>
        <v/>
      </c>
      <c r="UG1516" s="42" t="str">
        <f ca="1"/>
        <v/>
      </c>
      <c r="UH1516" s="42" t="str">
        <f ca="1"/>
        <v/>
      </c>
      <c r="UI1516" s="42" t="str">
        <f ca="1"/>
        <v/>
      </c>
      <c r="UJ1516" s="42" t="str">
        <f ca="1"/>
        <v/>
      </c>
      <c r="UK1516" s="42" t="str">
        <f ca="1"/>
        <v/>
      </c>
      <c r="UL1516" s="42" t="str">
        <f ca="1"/>
        <v/>
      </c>
      <c r="UM1516" s="42" t="str">
        <f ca="1"/>
        <v/>
      </c>
      <c r="UN1516" s="42" t="str">
        <f ca="1"/>
        <v/>
      </c>
      <c r="UO1516" s="42" t="str">
        <f ca="1"/>
        <v/>
      </c>
      <c r="UP1516" s="42" t="str">
        <f ca="1"/>
        <v/>
      </c>
      <c r="UQ1516" s="42" t="str">
        <f ca="1"/>
        <v/>
      </c>
      <c r="UR1516" s="42" t="str">
        <f ca="1"/>
        <v/>
      </c>
      <c r="US1516" s="42" t="str">
        <f ca="1"/>
        <v/>
      </c>
      <c r="UT1516" s="42" t="str">
        <f ca="1"/>
        <v/>
      </c>
      <c r="UU1516" s="42" t="str">
        <f ca="1"/>
        <v/>
      </c>
      <c r="UV1516" s="42" t="str">
        <f ca="1"/>
        <v/>
      </c>
      <c r="UW1516" s="42" t="str">
        <f ca="1"/>
        <v/>
      </c>
      <c r="UX1516" s="42" t="str">
        <f ca="1"/>
        <v/>
      </c>
      <c r="UY1516" s="42" t="str">
        <f ca="1"/>
        <v/>
      </c>
      <c r="UZ1516" s="42" t="str">
        <f ca="1"/>
        <v/>
      </c>
      <c r="VA1516" s="42" t="str">
        <f ca="1"/>
        <v/>
      </c>
      <c r="VB1516" s="42" t="str">
        <f ca="1"/>
        <v/>
      </c>
      <c r="VC1516" s="42" t="str">
        <f ca="1"/>
        <v/>
      </c>
      <c r="VD1516" s="42" t="str">
        <f ca="1"/>
        <v/>
      </c>
      <c r="VE1516" s="42" t="str">
        <f ca="1"/>
        <v/>
      </c>
      <c r="VF1516" s="42" t="str">
        <f ca="1"/>
        <v/>
      </c>
      <c r="VG1516" s="42" t="str">
        <f ca="1"/>
        <v/>
      </c>
      <c r="VH1516" s="42" t="str">
        <f ca="1"/>
        <v/>
      </c>
      <c r="VI1516" s="42" t="str">
        <f ca="1"/>
        <v/>
      </c>
      <c r="VJ1516" s="42" t="str">
        <f ca="1"/>
        <v/>
      </c>
      <c r="VK1516" s="42" t="str">
        <f ca="1"/>
        <v/>
      </c>
      <c r="VL1516" s="42" t="str">
        <f ca="1"/>
        <v/>
      </c>
      <c r="VM1516" s="42" t="str">
        <f ca="1"/>
        <v/>
      </c>
      <c r="VN1516" s="42" t="str">
        <f ca="1"/>
        <v/>
      </c>
      <c r="VO1516" s="42" t="str">
        <f ca="1"/>
        <v/>
      </c>
      <c r="VP1516" s="42" t="str">
        <f ca="1"/>
        <v/>
      </c>
      <c r="VQ1516" s="42" t="str">
        <f ca="1"/>
        <v/>
      </c>
      <c r="VR1516" s="42" t="str">
        <f ca="1"/>
        <v/>
      </c>
      <c r="VS1516" s="42" t="str">
        <f ca="1"/>
        <v/>
      </c>
      <c r="VT1516" s="42" t="str">
        <f ca="1"/>
        <v/>
      </c>
      <c r="VU1516" s="42" t="str">
        <f ca="1"/>
        <v/>
      </c>
      <c r="VV1516" s="42" t="str">
        <f ca="1"/>
        <v/>
      </c>
      <c r="VW1516" s="42" t="str">
        <f ca="1"/>
        <v/>
      </c>
      <c r="VX1516" s="42" t="str">
        <f ca="1"/>
        <v/>
      </c>
      <c r="VY1516" s="42" t="str">
        <f ca="1"/>
        <v/>
      </c>
      <c r="VZ1516" s="42" t="str">
        <f ca="1"/>
        <v/>
      </c>
      <c r="WA1516" s="42" t="str">
        <f ca="1"/>
        <v/>
      </c>
      <c r="WB1516" s="42" t="str">
        <f ca="1"/>
        <v/>
      </c>
      <c r="WC1516" s="42" t="str">
        <f ca="1"/>
        <v/>
      </c>
      <c r="WD1516" s="42" t="str">
        <f ca="1"/>
        <v/>
      </c>
      <c r="WE1516" s="42" t="str">
        <f ca="1"/>
        <v/>
      </c>
      <c r="WF1516" s="42" t="str">
        <f ca="1"/>
        <v/>
      </c>
      <c r="WG1516" s="42" t="str">
        <f ca="1"/>
        <v/>
      </c>
      <c r="WH1516" s="42" t="str">
        <f ca="1"/>
        <v/>
      </c>
      <c r="WI1516" s="42" t="str">
        <f ca="1"/>
        <v/>
      </c>
      <c r="WJ1516" s="42" t="str">
        <f ca="1"/>
        <v/>
      </c>
      <c r="WK1516" s="42" t="str">
        <f ca="1"/>
        <v/>
      </c>
      <c r="WL1516" s="42" t="str">
        <f ca="1"/>
        <v/>
      </c>
      <c r="WM1516" s="42" t="str">
        <f ca="1"/>
        <v/>
      </c>
      <c r="WN1516" s="42" t="str">
        <f ca="1"/>
        <v/>
      </c>
      <c r="WO1516" s="42" t="str">
        <f ca="1"/>
        <v/>
      </c>
      <c r="WP1516" s="42" t="str">
        <f ca="1"/>
        <v/>
      </c>
      <c r="WQ1516" s="42" t="str">
        <f ca="1"/>
        <v/>
      </c>
      <c r="WR1516" s="42" t="str">
        <f ca="1"/>
        <v/>
      </c>
      <c r="WS1516" s="42" t="str">
        <f ca="1"/>
        <v/>
      </c>
      <c r="WT1516" s="42" t="str">
        <f ca="1"/>
        <v/>
      </c>
      <c r="WU1516" s="42" t="str">
        <f ca="1"/>
        <v/>
      </c>
      <c r="WV1516" s="42" t="str">
        <f ca="1"/>
        <v/>
      </c>
      <c r="WW1516" s="42" t="str">
        <f ca="1"/>
        <v/>
      </c>
      <c r="WX1516" s="42" t="str">
        <f ca="1"/>
        <v/>
      </c>
      <c r="WY1516" s="42" t="str">
        <f ca="1"/>
        <v/>
      </c>
      <c r="WZ1516" s="42" t="str">
        <f ca="1"/>
        <v/>
      </c>
      <c r="XA1516" s="42" t="str">
        <f ca="1"/>
        <v/>
      </c>
      <c r="XB1516" s="42" t="str">
        <f ca="1"/>
        <v/>
      </c>
      <c r="XC1516" s="42" t="str">
        <f ca="1"/>
        <v/>
      </c>
      <c r="XD1516" s="42" t="str">
        <f ca="1"/>
        <v/>
      </c>
      <c r="XE1516" s="42" t="str">
        <f ca="1"/>
        <v/>
      </c>
      <c r="XF1516" s="42" t="str">
        <f ca="1"/>
        <v/>
      </c>
      <c r="XG1516" s="42" t="str">
        <f ca="1"/>
        <v/>
      </c>
      <c r="XH1516" s="42" t="str">
        <f ca="1"/>
        <v/>
      </c>
      <c r="XI1516" s="42" t="str">
        <f ca="1"/>
        <v/>
      </c>
      <c r="XJ1516" s="42" t="str">
        <f ca="1"/>
        <v/>
      </c>
      <c r="XK1516" s="42" t="str">
        <f ca="1"/>
        <v/>
      </c>
      <c r="XL1516" s="42" t="str">
        <f ca="1"/>
        <v/>
      </c>
      <c r="XM1516" s="42" t="str">
        <f ca="1"/>
        <v/>
      </c>
      <c r="XN1516" s="42" t="str">
        <f ca="1"/>
        <v/>
      </c>
      <c r="XO1516" s="42" t="str">
        <f ca="1"/>
        <v/>
      </c>
      <c r="XP1516" s="42" t="str">
        <f ca="1"/>
        <v/>
      </c>
      <c r="XQ1516" s="42" t="str">
        <f ca="1"/>
        <v/>
      </c>
      <c r="XR1516" s="42" t="str">
        <f ca="1"/>
        <v/>
      </c>
      <c r="XS1516" s="42" t="str">
        <f ca="1"/>
        <v/>
      </c>
      <c r="XT1516" s="42" t="str">
        <f ca="1"/>
        <v/>
      </c>
      <c r="XU1516" s="42" t="str">
        <f ca="1"/>
        <v/>
      </c>
      <c r="XV1516" s="42" t="str">
        <f ca="1"/>
        <v/>
      </c>
      <c r="XW1516" s="42" t="str">
        <f ca="1"/>
        <v/>
      </c>
      <c r="XX1516" s="42" t="str">
        <f ca="1"/>
        <v/>
      </c>
      <c r="XY1516" s="42" t="str">
        <f ca="1"/>
        <v/>
      </c>
      <c r="XZ1516" s="42" t="str">
        <f ca="1"/>
        <v/>
      </c>
      <c r="YA1516" s="42" t="str">
        <f ca="1"/>
        <v/>
      </c>
      <c r="YB1516" s="42" t="str">
        <f ca="1"/>
        <v/>
      </c>
      <c r="YC1516" s="42" t="str">
        <f ca="1"/>
        <v/>
      </c>
      <c r="YD1516" s="42" t="str">
        <f ca="1"/>
        <v/>
      </c>
      <c r="YE1516" s="42" t="str">
        <f ca="1"/>
        <v/>
      </c>
      <c r="YF1516" s="42" t="str">
        <f ca="1"/>
        <v/>
      </c>
      <c r="YG1516" s="42" t="str">
        <f ca="1"/>
        <v/>
      </c>
      <c r="YH1516" s="42" t="str">
        <f ca="1"/>
        <v/>
      </c>
      <c r="YI1516" s="42" t="str">
        <f ca="1"/>
        <v/>
      </c>
      <c r="YJ1516" s="42" t="str">
        <f ca="1"/>
        <v/>
      </c>
      <c r="YK1516" s="42" t="str">
        <f ca="1"/>
        <v/>
      </c>
      <c r="YL1516" s="42" t="str">
        <f ca="1"/>
        <v/>
      </c>
      <c r="YM1516" s="42" t="str">
        <f ca="1"/>
        <v/>
      </c>
      <c r="YN1516" s="42" t="str">
        <f ca="1"/>
        <v/>
      </c>
      <c r="YO1516" s="42" t="str">
        <f ca="1"/>
        <v/>
      </c>
      <c r="YP1516" s="42" t="str">
        <f ca="1"/>
        <v/>
      </c>
      <c r="YQ1516" s="42" t="str">
        <f ca="1"/>
        <v/>
      </c>
      <c r="YR1516" s="42" t="str">
        <f ca="1"/>
        <v/>
      </c>
      <c r="YS1516" s="42" t="str">
        <f ca="1"/>
        <v/>
      </c>
      <c r="YT1516" s="42" t="str">
        <f ca="1"/>
        <v/>
      </c>
      <c r="YU1516" s="42" t="str">
        <f ca="1"/>
        <v/>
      </c>
      <c r="YV1516" s="42" t="str">
        <f ca="1"/>
        <v/>
      </c>
      <c r="YW1516" s="42" t="str">
        <f ca="1"/>
        <v/>
      </c>
      <c r="YX1516" s="42" t="str">
        <f ca="1"/>
        <v/>
      </c>
      <c r="YY1516" s="42" t="str">
        <f ca="1"/>
        <v/>
      </c>
      <c r="YZ1516" s="42" t="str">
        <f ca="1"/>
        <v/>
      </c>
      <c r="ZA1516" s="42" t="str">
        <f ca="1"/>
        <v/>
      </c>
      <c r="ZB1516" s="42" t="str">
        <f ca="1"/>
        <v/>
      </c>
      <c r="ZC1516" s="42" t="str">
        <f ca="1"/>
        <v/>
      </c>
      <c r="ZD1516" s="42" t="str">
        <f ca="1"/>
        <v/>
      </c>
      <c r="ZE1516" s="42" t="str">
        <f ca="1"/>
        <v/>
      </c>
      <c r="ZF1516" s="42" t="str">
        <f ca="1"/>
        <v/>
      </c>
      <c r="ZG1516" s="42" t="str">
        <f ca="1"/>
        <v/>
      </c>
      <c r="ZH1516" s="42" t="str">
        <f ca="1"/>
        <v/>
      </c>
      <c r="ZI1516" s="42" t="str">
        <f ca="1"/>
        <v/>
      </c>
      <c r="ZJ1516" s="42" t="str">
        <f ca="1"/>
        <v/>
      </c>
      <c r="ZK1516" s="42" t="str">
        <f ca="1"/>
        <v/>
      </c>
      <c r="ZL1516" s="42" t="str">
        <f ca="1"/>
        <v/>
      </c>
      <c r="ZM1516" s="42" t="str">
        <f ca="1"/>
        <v/>
      </c>
      <c r="ZN1516" s="42" t="str">
        <f ca="1"/>
        <v/>
      </c>
      <c r="ZO1516" s="42" t="str">
        <f ca="1"/>
        <v/>
      </c>
      <c r="ZP1516" s="42" t="str">
        <f ca="1"/>
        <v/>
      </c>
      <c r="ZQ1516" s="42" t="str">
        <f ca="1"/>
        <v/>
      </c>
      <c r="ZR1516" s="42" t="str">
        <f ca="1"/>
        <v/>
      </c>
      <c r="ZS1516" s="42" t="str">
        <f ca="1"/>
        <v/>
      </c>
      <c r="ZT1516" s="42" t="str">
        <f ca="1"/>
        <v/>
      </c>
      <c r="ZU1516" s="42" t="str">
        <f ca="1"/>
        <v/>
      </c>
      <c r="ZV1516" s="42" t="str">
        <f ca="1"/>
        <v/>
      </c>
      <c r="ZW1516" s="42" t="str">
        <f ca="1"/>
        <v/>
      </c>
      <c r="ZX1516" s="42" t="str">
        <f ca="1"/>
        <v/>
      </c>
      <c r="ZY1516" s="42" t="str">
        <f ca="1"/>
        <v/>
      </c>
      <c r="ZZ1516" s="42" t="str">
        <f ca="1"/>
        <v/>
      </c>
      <c r="AAA1516" s="42" t="str">
        <f ca="1"/>
        <v/>
      </c>
      <c r="AAB1516" s="42" t="str">
        <f ca="1"/>
        <v/>
      </c>
      <c r="AAC1516" s="42" t="str">
        <f ca="1"/>
        <v/>
      </c>
      <c r="AAD1516" s="42" t="str">
        <f ca="1"/>
        <v/>
      </c>
      <c r="AAE1516" s="42" t="str">
        <f ca="1"/>
        <v/>
      </c>
      <c r="AAF1516" s="42" t="str">
        <f ca="1"/>
        <v/>
      </c>
      <c r="AAG1516" s="42" t="str">
        <f ca="1"/>
        <v/>
      </c>
      <c r="AAH1516" s="42" t="str">
        <f ca="1"/>
        <v/>
      </c>
      <c r="AAI1516" s="42" t="str">
        <f ca="1"/>
        <v/>
      </c>
      <c r="AAJ1516" s="42" t="str">
        <f ca="1"/>
        <v/>
      </c>
      <c r="AAK1516" s="42" t="str">
        <f ca="1"/>
        <v/>
      </c>
      <c r="AAL1516" s="42" t="str">
        <f ca="1"/>
        <v/>
      </c>
      <c r="AAM1516" s="42" t="str">
        <f ca="1"/>
        <v/>
      </c>
      <c r="AAN1516" s="42" t="str">
        <f ca="1"/>
        <v/>
      </c>
      <c r="AAO1516" s="42" t="str">
        <f ca="1"/>
        <v/>
      </c>
      <c r="AAP1516" s="42" t="str">
        <f ca="1"/>
        <v/>
      </c>
      <c r="AAQ1516" s="42" t="str">
        <f ca="1"/>
        <v/>
      </c>
      <c r="AAR1516" s="42" t="str">
        <f ca="1"/>
        <v/>
      </c>
      <c r="AAS1516" s="42" t="str">
        <f ca="1"/>
        <v/>
      </c>
      <c r="AAT1516" s="42" t="str">
        <f ca="1"/>
        <v/>
      </c>
      <c r="AAU1516" s="42" t="str">
        <f ca="1"/>
        <v/>
      </c>
      <c r="AAV1516" s="42" t="str">
        <f ca="1"/>
        <v/>
      </c>
      <c r="AAW1516" s="42" t="str">
        <f ca="1"/>
        <v/>
      </c>
      <c r="AAX1516" s="42" t="str">
        <f ca="1"/>
        <v/>
      </c>
      <c r="AAY1516" s="42" t="str">
        <f ca="1"/>
        <v/>
      </c>
      <c r="AAZ1516" s="42" t="str">
        <f ca="1"/>
        <v/>
      </c>
      <c r="ABA1516" s="42" t="str">
        <f ca="1"/>
        <v/>
      </c>
      <c r="ABB1516" s="42" t="str">
        <f ca="1"/>
        <v/>
      </c>
      <c r="ABC1516" s="42" t="str">
        <f ca="1"/>
        <v/>
      </c>
      <c r="ABD1516" s="42" t="str">
        <f ca="1"/>
        <v/>
      </c>
      <c r="ABE1516" s="42" t="str">
        <f ca="1"/>
        <v/>
      </c>
      <c r="ABF1516" s="42" t="str">
        <f ca="1"/>
        <v/>
      </c>
      <c r="ABG1516" s="42" t="str">
        <f ca="1"/>
        <v/>
      </c>
      <c r="ABH1516" s="42" t="str">
        <f ca="1"/>
        <v/>
      </c>
      <c r="ABI1516" s="42" t="str">
        <f ca="1"/>
        <v/>
      </c>
      <c r="ABJ1516" s="42" t="str">
        <f ca="1"/>
        <v/>
      </c>
      <c r="ABK1516" s="42" t="str">
        <f ca="1"/>
        <v/>
      </c>
      <c r="ABL1516" s="42" t="str">
        <f ca="1"/>
        <v/>
      </c>
      <c r="ABM1516" s="42" t="str">
        <f ca="1"/>
        <v/>
      </c>
      <c r="ABN1516" s="42" t="str">
        <f ca="1"/>
        <v/>
      </c>
      <c r="ABO1516" s="42" t="str">
        <f ca="1"/>
        <v/>
      </c>
      <c r="ABP1516" s="42" t="str">
        <f ca="1"/>
        <v/>
      </c>
      <c r="ABQ1516" s="42" t="str">
        <f ca="1"/>
        <v/>
      </c>
      <c r="ABR1516" s="42" t="str">
        <f ca="1"/>
        <v/>
      </c>
      <c r="ABS1516" s="42" t="str">
        <f ca="1"/>
        <v/>
      </c>
      <c r="ABT1516" s="42" t="str">
        <f ca="1"/>
        <v/>
      </c>
      <c r="ABU1516" s="42" t="str">
        <f ca="1"/>
        <v/>
      </c>
      <c r="ABV1516" s="42" t="str">
        <f ca="1"/>
        <v/>
      </c>
      <c r="ABW1516" s="42" t="str">
        <f ca="1"/>
        <v/>
      </c>
      <c r="ABX1516" s="42" t="str">
        <f ca="1"/>
        <v/>
      </c>
      <c r="ABY1516" s="42" t="str">
        <f ca="1"/>
        <v/>
      </c>
      <c r="ABZ1516" s="42" t="str">
        <f ca="1"/>
        <v/>
      </c>
      <c r="ACA1516" s="42" t="str">
        <f ca="1"/>
        <v/>
      </c>
      <c r="ACB1516" s="42" t="str">
        <f ca="1"/>
        <v/>
      </c>
      <c r="ACC1516" s="42" t="str">
        <f ca="1"/>
        <v/>
      </c>
      <c r="ACD1516" s="42" t="str">
        <f ca="1"/>
        <v/>
      </c>
      <c r="ACE1516" s="42" t="str">
        <f ca="1"/>
        <v/>
      </c>
      <c r="ACF1516" s="42" t="str">
        <f ca="1"/>
        <v/>
      </c>
      <c r="ACG1516" s="42" t="str">
        <f ca="1"/>
        <v/>
      </c>
      <c r="ACH1516" s="42" t="str">
        <f ca="1"/>
        <v/>
      </c>
      <c r="ACI1516" s="42" t="str">
        <f ca="1"/>
        <v/>
      </c>
      <c r="ACJ1516" s="42" t="str">
        <f ca="1"/>
        <v/>
      </c>
      <c r="ACK1516" s="42" t="str">
        <f ca="1"/>
        <v/>
      </c>
      <c r="ACL1516" s="42" t="str">
        <f ca="1"/>
        <v/>
      </c>
      <c r="ACM1516" s="42" t="str">
        <f ca="1"/>
        <v/>
      </c>
      <c r="ACN1516" s="42" t="str">
        <f ca="1"/>
        <v/>
      </c>
      <c r="ACO1516" s="42" t="str">
        <f ca="1"/>
        <v/>
      </c>
      <c r="ACP1516" s="42" t="str">
        <f ca="1"/>
        <v/>
      </c>
      <c r="ACQ1516" s="42" t="str">
        <f ca="1"/>
        <v/>
      </c>
      <c r="ACR1516" s="42" t="str">
        <f ca="1"/>
        <v/>
      </c>
      <c r="ACS1516" s="42" t="str">
        <f ca="1"/>
        <v/>
      </c>
      <c r="ACT1516" s="42" t="str">
        <f ca="1"/>
        <v/>
      </c>
      <c r="ACU1516" s="42" t="str">
        <f ca="1"/>
        <v/>
      </c>
      <c r="ACV1516" s="42" t="str">
        <f ca="1"/>
        <v/>
      </c>
      <c r="ACW1516" s="42" t="str">
        <f ca="1"/>
        <v/>
      </c>
      <c r="ACX1516" s="42" t="str">
        <f ca="1"/>
        <v/>
      </c>
      <c r="ACY1516" s="42" t="str">
        <f ca="1"/>
        <v/>
      </c>
      <c r="ACZ1516" s="42" t="str">
        <f ca="1"/>
        <v/>
      </c>
      <c r="ADA1516" s="42" t="str">
        <f ca="1"/>
        <v/>
      </c>
      <c r="ADB1516" s="42" t="str">
        <f ca="1"/>
        <v/>
      </c>
      <c r="ADC1516" s="42" t="str">
        <f ca="1"/>
        <v/>
      </c>
      <c r="ADD1516" s="42" t="str">
        <f ca="1"/>
        <v/>
      </c>
      <c r="ADE1516" s="42" t="str">
        <f ca="1"/>
        <v/>
      </c>
      <c r="ADF1516" s="42" t="str">
        <f ca="1"/>
        <v/>
      </c>
      <c r="ADG1516" s="42" t="str">
        <f ca="1"/>
        <v/>
      </c>
      <c r="ADH1516" s="42" t="str">
        <f ca="1"/>
        <v/>
      </c>
      <c r="ADI1516" s="42" t="str">
        <f ca="1"/>
        <v/>
      </c>
      <c r="ADJ1516" s="42" t="str">
        <f ca="1"/>
        <v/>
      </c>
      <c r="ADK1516" s="42" t="str">
        <f ca="1"/>
        <v/>
      </c>
      <c r="ADL1516" s="42" t="str">
        <f ca="1"/>
        <v/>
      </c>
      <c r="ADM1516" s="42" t="str">
        <f ca="1"/>
        <v/>
      </c>
      <c r="ADN1516" s="42" t="str">
        <f ca="1"/>
        <v/>
      </c>
      <c r="ADO1516" s="42" t="str">
        <f ca="1"/>
        <v/>
      </c>
      <c r="ADP1516" s="42" t="str">
        <f ca="1"/>
        <v/>
      </c>
      <c r="ADQ1516" s="42" t="str">
        <f ca="1"/>
        <v/>
      </c>
      <c r="ADR1516" s="42" t="str">
        <f ca="1"/>
        <v/>
      </c>
      <c r="ADS1516" s="42" t="str">
        <f ca="1"/>
        <v/>
      </c>
      <c r="ADT1516" s="42" t="str">
        <f ca="1"/>
        <v/>
      </c>
      <c r="ADU1516" s="42" t="str">
        <f ca="1"/>
        <v/>
      </c>
      <c r="ADV1516" s="42" t="str">
        <f ca="1"/>
        <v/>
      </c>
      <c r="ADW1516" s="42" t="str">
        <f ca="1"/>
        <v/>
      </c>
      <c r="ADX1516" s="42" t="str">
        <f ca="1"/>
        <v/>
      </c>
      <c r="ADY1516" s="42" t="str">
        <f ca="1"/>
        <v/>
      </c>
      <c r="ADZ1516" s="42" t="str">
        <f ca="1"/>
        <v/>
      </c>
      <c r="AEA1516" s="42" t="str">
        <f ca="1"/>
        <v/>
      </c>
      <c r="AEB1516" s="42" t="str">
        <f ca="1"/>
        <v/>
      </c>
      <c r="AEC1516" s="42" t="str">
        <f ca="1"/>
        <v/>
      </c>
      <c r="AED1516" s="42" t="str">
        <f ca="1"/>
        <v/>
      </c>
      <c r="AEE1516" s="42" t="str">
        <f ca="1"/>
        <v/>
      </c>
      <c r="AEF1516" s="42" t="str">
        <f ca="1"/>
        <v/>
      </c>
      <c r="AEG1516" s="42" t="str">
        <f ca="1"/>
        <v/>
      </c>
      <c r="AEH1516" s="42" t="str">
        <f ca="1"/>
        <v/>
      </c>
      <c r="AEI1516" s="42" t="str">
        <f ca="1"/>
        <v/>
      </c>
      <c r="AEJ1516" s="42" t="str">
        <f ca="1"/>
        <v/>
      </c>
      <c r="AEK1516" s="42" t="str">
        <f ca="1"/>
        <v/>
      </c>
      <c r="AEL1516" s="42" t="str">
        <f ca="1"/>
        <v/>
      </c>
      <c r="AEM1516" s="42" t="str">
        <f ca="1"/>
        <v/>
      </c>
      <c r="AEN1516" s="42" t="str">
        <f ca="1"/>
        <v/>
      </c>
      <c r="AEO1516" s="42" t="str">
        <f ca="1"/>
        <v/>
      </c>
      <c r="AEP1516" s="42" t="str">
        <f ca="1"/>
        <v/>
      </c>
      <c r="AEQ1516" s="42" t="str">
        <f ca="1"/>
        <v/>
      </c>
      <c r="AER1516" s="42" t="str">
        <f ca="1"/>
        <v/>
      </c>
      <c r="AES1516" s="42" t="str">
        <f ca="1"/>
        <v/>
      </c>
      <c r="AET1516" s="42" t="str">
        <f ca="1"/>
        <v/>
      </c>
      <c r="AEU1516" s="42" t="str">
        <f ca="1"/>
        <v/>
      </c>
      <c r="AEV1516" s="42" t="str">
        <f ca="1"/>
        <v/>
      </c>
      <c r="AEW1516" s="42" t="str">
        <f ca="1"/>
        <v/>
      </c>
      <c r="AEX1516" s="42" t="str">
        <f ca="1"/>
        <v/>
      </c>
      <c r="AEY1516" s="42" t="str">
        <f ca="1"/>
        <v/>
      </c>
      <c r="AEZ1516" s="42" t="str">
        <f ca="1"/>
        <v/>
      </c>
      <c r="AFA1516" s="42" t="str">
        <f ca="1"/>
        <v/>
      </c>
      <c r="AFB1516" s="42" t="str">
        <f ca="1"/>
        <v/>
      </c>
      <c r="AFC1516" s="42" t="str">
        <f ca="1"/>
        <v/>
      </c>
      <c r="AFD1516" s="42" t="str">
        <f ca="1"/>
        <v/>
      </c>
      <c r="AFE1516" s="42" t="str">
        <f ca="1"/>
        <v/>
      </c>
      <c r="AFF1516" s="42" t="str">
        <f ca="1"/>
        <v/>
      </c>
      <c r="AFG1516" s="42" t="str">
        <f ca="1"/>
        <v/>
      </c>
      <c r="AFH1516" s="42" t="str">
        <f ca="1"/>
        <v/>
      </c>
      <c r="AFI1516" s="42" t="str">
        <f ca="1"/>
        <v/>
      </c>
      <c r="AFJ1516" s="42" t="str">
        <f ca="1"/>
        <v/>
      </c>
      <c r="AFK1516" s="42" t="str">
        <f ca="1"/>
        <v/>
      </c>
      <c r="AFL1516" s="42" t="str">
        <f ca="1"/>
        <v/>
      </c>
      <c r="AFM1516" s="42" t="str">
        <f ca="1"/>
        <v/>
      </c>
      <c r="AFN1516" s="42" t="str">
        <f ca="1"/>
        <v/>
      </c>
      <c r="AFO1516" s="42" t="str">
        <f ca="1"/>
        <v/>
      </c>
      <c r="AFP1516" s="42" t="str">
        <f ca="1"/>
        <v/>
      </c>
      <c r="AFQ1516" s="42" t="str">
        <f ca="1"/>
        <v/>
      </c>
      <c r="AFR1516" s="42" t="str">
        <f ca="1"/>
        <v/>
      </c>
      <c r="AFS1516" s="42" t="str">
        <f ca="1"/>
        <v/>
      </c>
      <c r="AFT1516" s="42" t="str">
        <f ca="1"/>
        <v/>
      </c>
      <c r="AFU1516" s="42" t="str">
        <f ca="1"/>
        <v/>
      </c>
      <c r="AFV1516" s="42" t="str">
        <f ca="1"/>
        <v/>
      </c>
      <c r="AFW1516" s="42" t="str">
        <f ca="1"/>
        <v/>
      </c>
      <c r="AFX1516" s="42" t="str">
        <f ca="1"/>
        <v/>
      </c>
      <c r="AFY1516" s="42" t="str">
        <f ca="1"/>
        <v/>
      </c>
      <c r="AFZ1516" s="42" t="str">
        <f ca="1"/>
        <v/>
      </c>
      <c r="AGA1516" s="42" t="str">
        <f ca="1"/>
        <v/>
      </c>
      <c r="AGB1516" s="42" t="str">
        <f ca="1"/>
        <v/>
      </c>
      <c r="AGC1516" s="42" t="str">
        <f ca="1"/>
        <v/>
      </c>
      <c r="AGD1516" s="42" t="str">
        <f ca="1"/>
        <v/>
      </c>
      <c r="AGE1516" s="42" t="str">
        <f ca="1"/>
        <v/>
      </c>
      <c r="AGF1516" s="42" t="str">
        <f ca="1"/>
        <v/>
      </c>
      <c r="AGG1516" s="42" t="str">
        <f ca="1"/>
        <v/>
      </c>
      <c r="AGH1516" s="42" t="str">
        <f ca="1"/>
        <v/>
      </c>
      <c r="AGI1516" s="42" t="str">
        <f ca="1"/>
        <v/>
      </c>
      <c r="AGJ1516" s="42" t="str">
        <f ca="1"/>
        <v/>
      </c>
      <c r="AGK1516" s="42" t="str">
        <f ca="1"/>
        <v/>
      </c>
      <c r="AGL1516" s="42" t="str">
        <f ca="1"/>
        <v/>
      </c>
      <c r="AGM1516" s="42" t="str">
        <f ca="1"/>
        <v/>
      </c>
      <c r="AGN1516" s="42" t="str">
        <f ca="1"/>
        <v/>
      </c>
    </row>
    <row r="1517" spans="15:872" x14ac:dyDescent="0.25">
      <c r="O1517" s="42">
        <v>4</v>
      </c>
      <c r="P1517" s="42" t="str">
        <f ca="1"/>
        <v/>
      </c>
      <c r="Q1517" s="42" t="str">
        <f ca="1"/>
        <v/>
      </c>
      <c r="R1517" s="42" t="str">
        <f ca="1"/>
        <v/>
      </c>
      <c r="S1517" s="42" t="str">
        <f ca="1"/>
        <v/>
      </c>
      <c r="T1517" s="42" t="str">
        <f ca="1"/>
        <v/>
      </c>
      <c r="U1517" s="42" t="str">
        <f ca="1"/>
        <v/>
      </c>
      <c r="V1517" s="42" t="str">
        <f ca="1"/>
        <v/>
      </c>
      <c r="W1517" s="42" t="str">
        <f ca="1"/>
        <v/>
      </c>
      <c r="X1517" s="42" t="str">
        <f ca="1"/>
        <v/>
      </c>
      <c r="Y1517" s="42" t="str">
        <f ca="1"/>
        <v/>
      </c>
      <c r="Z1517" s="42" t="str">
        <f ca="1"/>
        <v/>
      </c>
      <c r="AA1517" s="42" t="str">
        <f ca="1"/>
        <v/>
      </c>
      <c r="AB1517" s="42">
        <f ca="1"/>
        <v>0</v>
      </c>
      <c r="AC1517" s="42">
        <f ca="1"/>
        <v>181</v>
      </c>
      <c r="AD1517" s="42" t="str">
        <f ca="1"/>
        <v>S/F</v>
      </c>
      <c r="AE1517" s="42" t="str">
        <f ca="1"/>
        <v/>
      </c>
      <c r="AF1517" s="42" t="str">
        <f ca="1"/>
        <v/>
      </c>
      <c r="AG1517" s="42" t="str">
        <f ca="1"/>
        <v/>
      </c>
      <c r="AH1517" s="42" t="str">
        <f ca="1"/>
        <v/>
      </c>
      <c r="AI1517" s="42" t="str">
        <f ca="1"/>
        <v/>
      </c>
      <c r="AJ1517" s="42" t="str">
        <f ca="1"/>
        <v>48-51</v>
      </c>
      <c r="AK1517" s="42">
        <f ca="1"/>
        <v>0</v>
      </c>
      <c r="AL1517" s="42">
        <f ca="1"/>
        <v>11</v>
      </c>
      <c r="AM1517" s="42">
        <f ca="1"/>
        <v>0</v>
      </c>
      <c r="AN1517" s="42">
        <f ca="1"/>
        <v>170</v>
      </c>
      <c r="AO1517" s="42" t="str">
        <f ca="1"/>
        <v/>
      </c>
      <c r="AP1517" s="42" t="str">
        <f ca="1"/>
        <v>S/F</v>
      </c>
      <c r="AQ1517" s="42" t="str">
        <f ca="1"/>
        <v/>
      </c>
      <c r="AR1517" s="42" t="str">
        <f ca="1"/>
        <v/>
      </c>
      <c r="AS1517" s="42" t="str">
        <f ca="1"/>
        <v/>
      </c>
      <c r="AT1517" s="42" t="str">
        <f ca="1"/>
        <v/>
      </c>
      <c r="AU1517" s="42">
        <f ca="1"/>
        <v>0</v>
      </c>
      <c r="AV1517" s="42" t="str">
        <f ca="1"/>
        <v/>
      </c>
      <c r="AW1517" s="42" t="str">
        <f ca="1"/>
        <v/>
      </c>
      <c r="AX1517" s="42" t="str">
        <f ca="1"/>
        <v/>
      </c>
      <c r="AY1517" s="42">
        <f ca="1"/>
        <v>106</v>
      </c>
      <c r="AZ1517" s="42" t="str">
        <f ca="1"/>
        <v/>
      </c>
      <c r="BA1517" s="42" t="str">
        <f ca="1"/>
        <v>S/F</v>
      </c>
      <c r="BB1517" s="42">
        <f ca="1"/>
        <v>189</v>
      </c>
      <c r="BC1517" s="42" t="str">
        <f ca="1"/>
        <v/>
      </c>
      <c r="BD1517" s="42" t="str">
        <f ca="1"/>
        <v/>
      </c>
      <c r="BE1517" s="42" t="str">
        <f ca="1"/>
        <v/>
      </c>
      <c r="BF1517" s="42" t="str">
        <f ca="1"/>
        <v/>
      </c>
      <c r="BG1517" s="42" t="str">
        <f ca="1"/>
        <v>S/F</v>
      </c>
      <c r="BH1517" s="42" t="str">
        <f ca="1"/>
        <v/>
      </c>
      <c r="BI1517" s="42" t="str">
        <f ca="1"/>
        <v/>
      </c>
      <c r="BJ1517" s="42" t="str">
        <f ca="1"/>
        <v/>
      </c>
      <c r="BK1517" s="42" t="str">
        <f ca="1"/>
        <v/>
      </c>
      <c r="BL1517" s="42" t="str">
        <f ca="1"/>
        <v/>
      </c>
      <c r="BM1517" s="42" t="str">
        <f ca="1"/>
        <v/>
      </c>
      <c r="BN1517" s="42" t="str">
        <f ca="1"/>
        <v/>
      </c>
      <c r="BO1517" s="42" t="str">
        <f ca="1"/>
        <v/>
      </c>
      <c r="BP1517" s="42" t="str">
        <f ca="1"/>
        <v>S/F</v>
      </c>
      <c r="BQ1517" s="42" t="str">
        <f ca="1"/>
        <v/>
      </c>
      <c r="BR1517" s="42" t="str">
        <f ca="1"/>
        <v/>
      </c>
      <c r="BS1517" s="42" t="str">
        <f ca="1"/>
        <v/>
      </c>
      <c r="BT1517" s="42" t="str">
        <f ca="1"/>
        <v>REP</v>
      </c>
      <c r="BU1517" s="42" t="str">
        <f ca="1"/>
        <v/>
      </c>
      <c r="BV1517" s="42" t="str">
        <f ca="1"/>
        <v/>
      </c>
      <c r="BW1517" s="42" t="str">
        <f ca="1"/>
        <v/>
      </c>
      <c r="BX1517" s="42" t="str">
        <f ca="1"/>
        <v/>
      </c>
      <c r="BY1517" s="42" t="str">
        <f ca="1"/>
        <v/>
      </c>
      <c r="BZ1517" s="42" t="str">
        <f ca="1"/>
        <v/>
      </c>
      <c r="CA1517" s="42" t="str">
        <f ca="1"/>
        <v/>
      </c>
      <c r="CB1517" s="42">
        <f ca="1"/>
        <v>1</v>
      </c>
      <c r="CC1517" s="42" t="str">
        <f ca="1"/>
        <v/>
      </c>
      <c r="CD1517" s="42" t="str">
        <f ca="1"/>
        <v/>
      </c>
      <c r="CE1517" s="42" t="str">
        <f ca="1"/>
        <v/>
      </c>
      <c r="CF1517" s="42" t="str">
        <f ca="1"/>
        <v/>
      </c>
      <c r="CG1517" s="42" t="str">
        <f ca="1"/>
        <v/>
      </c>
      <c r="CH1517" s="42" t="str">
        <f ca="1"/>
        <v/>
      </c>
      <c r="CI1517" s="42" t="str">
        <f ca="1"/>
        <v/>
      </c>
      <c r="CJ1517" s="42" t="str">
        <f ca="1"/>
        <v/>
      </c>
      <c r="CK1517" s="42" t="str">
        <f ca="1"/>
        <v/>
      </c>
      <c r="CL1517" s="42" t="str">
        <f ca="1"/>
        <v/>
      </c>
      <c r="CM1517" s="42" t="str">
        <f ca="1"/>
        <v/>
      </c>
      <c r="CN1517" s="42" t="str">
        <f ca="1"/>
        <v/>
      </c>
      <c r="CO1517" s="42" t="str">
        <f ca="1"/>
        <v/>
      </c>
      <c r="CP1517" s="42" t="str">
        <f ca="1"/>
        <v/>
      </c>
      <c r="CQ1517" s="42" t="str">
        <f ca="1"/>
        <v/>
      </c>
      <c r="CR1517" s="42" t="str">
        <f ca="1"/>
        <v/>
      </c>
      <c r="CS1517" s="42" t="str">
        <f ca="1"/>
        <v/>
      </c>
      <c r="CT1517" s="42" t="str">
        <f ca="1"/>
        <v/>
      </c>
      <c r="CU1517" s="42" t="str">
        <f ca="1"/>
        <v/>
      </c>
      <c r="CV1517" s="42" t="str">
        <f ca="1"/>
        <v/>
      </c>
      <c r="CW1517" s="42" t="str">
        <f ca="1"/>
        <v/>
      </c>
      <c r="CX1517" s="42" t="str">
        <f ca="1"/>
        <v/>
      </c>
      <c r="CY1517" s="42" t="str">
        <f ca="1"/>
        <v/>
      </c>
      <c r="CZ1517" s="42" t="str">
        <f ca="1"/>
        <v/>
      </c>
      <c r="DA1517" s="42" t="str">
        <f ca="1"/>
        <v/>
      </c>
      <c r="DB1517" s="42" t="str">
        <f ca="1"/>
        <v/>
      </c>
      <c r="DC1517" s="42" t="str">
        <f ca="1"/>
        <v/>
      </c>
      <c r="DD1517" s="42" t="str">
        <f ca="1"/>
        <v/>
      </c>
      <c r="DE1517" s="42" t="str">
        <f ca="1"/>
        <v/>
      </c>
      <c r="DF1517" s="42" t="str">
        <f ca="1"/>
        <v/>
      </c>
      <c r="DG1517" s="42" t="str">
        <f ca="1"/>
        <v/>
      </c>
      <c r="DH1517" s="42" t="str">
        <f ca="1"/>
        <v>REP</v>
      </c>
      <c r="DI1517" s="42" t="str">
        <f ca="1"/>
        <v/>
      </c>
      <c r="DJ1517" s="42" t="str">
        <f ca="1"/>
        <v/>
      </c>
      <c r="DK1517" s="42" t="str">
        <f ca="1"/>
        <v/>
      </c>
      <c r="DL1517" s="42" t="str">
        <f ca="1"/>
        <v/>
      </c>
      <c r="DM1517" s="42" t="str">
        <f ca="1"/>
        <v/>
      </c>
      <c r="DN1517" s="42" t="str">
        <f ca="1"/>
        <v/>
      </c>
      <c r="DO1517" s="42" t="str">
        <f ca="1"/>
        <v/>
      </c>
      <c r="DP1517" s="42" t="str">
        <f ca="1"/>
        <v/>
      </c>
      <c r="DQ1517" s="42" t="str">
        <f ca="1"/>
        <v/>
      </c>
      <c r="DR1517" s="42" t="str">
        <f ca="1"/>
        <v/>
      </c>
      <c r="DS1517" s="42">
        <f ca="1"/>
        <v>188</v>
      </c>
      <c r="DT1517" s="42" t="str">
        <f ca="1"/>
        <v/>
      </c>
      <c r="DU1517" s="42" t="str">
        <f ca="1"/>
        <v/>
      </c>
      <c r="DV1517" s="42" t="str">
        <f ca="1"/>
        <v/>
      </c>
      <c r="DW1517" s="42" t="str">
        <f ca="1"/>
        <v/>
      </c>
      <c r="DX1517" s="42" t="str">
        <f ca="1"/>
        <v/>
      </c>
      <c r="DY1517" s="42" t="str">
        <f ca="1"/>
        <v/>
      </c>
      <c r="DZ1517" s="42" t="str">
        <f ca="1"/>
        <v/>
      </c>
      <c r="EA1517" s="42" t="str">
        <f ca="1"/>
        <v/>
      </c>
      <c r="EB1517" s="42" t="str">
        <f ca="1"/>
        <v/>
      </c>
      <c r="EC1517" s="42" t="str">
        <f ca="1"/>
        <v/>
      </c>
      <c r="ED1517" s="42">
        <f ca="1"/>
        <v>17</v>
      </c>
      <c r="EE1517" s="42" t="str">
        <f ca="1"/>
        <v/>
      </c>
      <c r="EF1517" s="42" t="str">
        <f ca="1"/>
        <v/>
      </c>
      <c r="EG1517" s="42" t="str">
        <f ca="1"/>
        <v/>
      </c>
      <c r="EH1517" s="42" t="str">
        <f ca="1"/>
        <v/>
      </c>
      <c r="EI1517" s="42" t="str">
        <f ca="1"/>
        <v/>
      </c>
      <c r="EJ1517" s="42" t="str">
        <f ca="1"/>
        <v/>
      </c>
      <c r="EK1517" s="42" t="str">
        <f ca="1"/>
        <v/>
      </c>
      <c r="EL1517" s="42" t="str">
        <f ca="1"/>
        <v/>
      </c>
      <c r="EM1517" s="42" t="str">
        <f ca="1"/>
        <v/>
      </c>
      <c r="EN1517" s="42" t="str">
        <f ca="1"/>
        <v/>
      </c>
      <c r="EO1517" s="42" t="str">
        <f ca="1"/>
        <v/>
      </c>
      <c r="EP1517" s="42" t="str">
        <f ca="1"/>
        <v/>
      </c>
      <c r="EQ1517" s="42" t="str">
        <f ca="1"/>
        <v>S/F</v>
      </c>
      <c r="ER1517" s="42" t="str">
        <f ca="1"/>
        <v/>
      </c>
      <c r="ES1517" s="42" t="str">
        <f ca="1"/>
        <v/>
      </c>
      <c r="ET1517" s="42" t="str">
        <f ca="1"/>
        <v/>
      </c>
      <c r="EU1517" s="42" t="str">
        <f ca="1"/>
        <v/>
      </c>
      <c r="EV1517" s="42" t="str">
        <f ca="1"/>
        <v/>
      </c>
      <c r="EW1517" s="42" t="str">
        <f ca="1"/>
        <v/>
      </c>
      <c r="EX1517" s="42" t="str">
        <f ca="1"/>
        <v/>
      </c>
      <c r="EY1517" s="42" t="str">
        <f ca="1"/>
        <v/>
      </c>
      <c r="EZ1517" s="42" t="str">
        <f ca="1"/>
        <v/>
      </c>
      <c r="FA1517" s="42" t="str">
        <f ca="1"/>
        <v>S/F</v>
      </c>
      <c r="FB1517" s="42" t="str">
        <f ca="1"/>
        <v/>
      </c>
      <c r="FC1517" s="42">
        <f ca="1"/>
        <v>34</v>
      </c>
      <c r="FD1517" s="42" t="str">
        <f ca="1"/>
        <v/>
      </c>
      <c r="FE1517" s="42">
        <f ca="1"/>
        <v>0</v>
      </c>
      <c r="FF1517" s="42" t="str">
        <f ca="1"/>
        <v/>
      </c>
      <c r="FG1517" s="42" t="str">
        <f ca="1"/>
        <v/>
      </c>
      <c r="FH1517" s="42" t="str">
        <f ca="1"/>
        <v/>
      </c>
      <c r="FI1517" s="42">
        <f ca="1"/>
        <v>0</v>
      </c>
      <c r="FJ1517" s="42" t="str">
        <f ca="1"/>
        <v>S/F</v>
      </c>
      <c r="FK1517" s="42">
        <f ca="1"/>
        <v>0</v>
      </c>
      <c r="FL1517" s="42" t="str">
        <f ca="1"/>
        <v>S/F</v>
      </c>
      <c r="FM1517" s="42" t="str">
        <f ca="1"/>
        <v/>
      </c>
      <c r="FN1517" s="42" t="str">
        <f ca="1"/>
        <v/>
      </c>
      <c r="FO1517" s="42" t="str">
        <f ca="1"/>
        <v/>
      </c>
      <c r="FP1517" s="42" t="str">
        <f ca="1"/>
        <v/>
      </c>
      <c r="FQ1517" s="42" t="str">
        <f ca="1"/>
        <v/>
      </c>
      <c r="FR1517" s="42" t="str">
        <f ca="1"/>
        <v/>
      </c>
      <c r="FS1517" s="42">
        <f ca="1"/>
        <v>178</v>
      </c>
      <c r="FT1517" s="42" t="str">
        <f ca="1"/>
        <v/>
      </c>
      <c r="FU1517" s="42" t="str">
        <f ca="1"/>
        <v/>
      </c>
      <c r="FV1517" s="42" t="str">
        <f ca="1"/>
        <v/>
      </c>
      <c r="FW1517" s="42" t="str">
        <f ca="1"/>
        <v/>
      </c>
      <c r="FX1517" s="42">
        <f ca="1"/>
        <v>0</v>
      </c>
      <c r="FY1517" s="42" t="str">
        <f ca="1"/>
        <v/>
      </c>
      <c r="FZ1517" s="42">
        <f ca="1"/>
        <v>14</v>
      </c>
      <c r="GA1517" s="42" t="str">
        <f ca="1"/>
        <v/>
      </c>
      <c r="GB1517" s="42" t="str">
        <f ca="1"/>
        <v/>
      </c>
      <c r="GC1517" s="42">
        <f ca="1"/>
        <v>10</v>
      </c>
      <c r="GD1517" s="42" t="str">
        <f ca="1"/>
        <v/>
      </c>
      <c r="GE1517" s="42" t="str">
        <f ca="1"/>
        <v/>
      </c>
      <c r="GF1517" s="42">
        <f ca="1"/>
        <v>0</v>
      </c>
      <c r="GG1517" s="42">
        <f ca="1"/>
        <v>0</v>
      </c>
      <c r="GH1517" s="42" t="str">
        <f ca="1"/>
        <v/>
      </c>
      <c r="GI1517" s="42" t="str">
        <f ca="1"/>
        <v>S/F</v>
      </c>
      <c r="GJ1517" s="42" t="str">
        <f ca="1"/>
        <v/>
      </c>
      <c r="GK1517" s="42" t="str">
        <f ca="1"/>
        <v/>
      </c>
      <c r="GL1517" s="42" t="str">
        <f ca="1"/>
        <v/>
      </c>
      <c r="GM1517" s="42" t="str">
        <f ca="1"/>
        <v/>
      </c>
      <c r="GN1517" s="42" t="str">
        <f ca="1"/>
        <v/>
      </c>
      <c r="GO1517" s="42" t="str">
        <f ca="1"/>
        <v/>
      </c>
      <c r="GP1517" s="42" t="str">
        <f ca="1"/>
        <v/>
      </c>
      <c r="GQ1517" s="42" t="str">
        <f ca="1"/>
        <v/>
      </c>
      <c r="GR1517" s="42" t="str">
        <f ca="1"/>
        <v/>
      </c>
      <c r="GS1517" s="42" t="str">
        <f ca="1"/>
        <v>S/F</v>
      </c>
      <c r="GT1517" s="42" t="str">
        <f ca="1"/>
        <v/>
      </c>
      <c r="GU1517" s="42" t="str">
        <f ca="1"/>
        <v/>
      </c>
      <c r="GV1517" s="42" t="str">
        <f ca="1"/>
        <v>S/F</v>
      </c>
      <c r="GW1517" s="42" t="str">
        <f ca="1"/>
        <v>REP</v>
      </c>
      <c r="GX1517" s="42" t="str">
        <f ca="1"/>
        <v/>
      </c>
      <c r="GY1517" s="42" t="str">
        <f ca="1"/>
        <v/>
      </c>
      <c r="GZ1517" s="42" t="str">
        <f ca="1"/>
        <v/>
      </c>
      <c r="HA1517" s="42" t="str">
        <f ca="1"/>
        <v/>
      </c>
      <c r="HB1517" s="42" t="str">
        <f ca="1"/>
        <v/>
      </c>
      <c r="HC1517" s="42" t="str">
        <f ca="1"/>
        <v/>
      </c>
      <c r="HD1517" s="42">
        <f ca="1"/>
        <v>164</v>
      </c>
      <c r="HE1517" s="42" t="str">
        <f ca="1"/>
        <v/>
      </c>
      <c r="HF1517" s="42" t="str">
        <f ca="1"/>
        <v/>
      </c>
      <c r="HG1517" s="42" t="str">
        <f ca="1"/>
        <v/>
      </c>
      <c r="HH1517" s="42" t="str">
        <f ca="1"/>
        <v/>
      </c>
      <c r="HI1517" s="42" t="str">
        <f ca="1"/>
        <v/>
      </c>
      <c r="HJ1517" s="42" t="str">
        <f ca="1"/>
        <v/>
      </c>
      <c r="HK1517" s="42" t="str">
        <f ca="1"/>
        <v/>
      </c>
      <c r="HL1517" s="42" t="str">
        <f ca="1"/>
        <v/>
      </c>
      <c r="HM1517" s="42">
        <f ca="1"/>
        <v>166</v>
      </c>
      <c r="HN1517" s="42" t="str">
        <f ca="1"/>
        <v/>
      </c>
      <c r="HO1517" s="42" t="str">
        <f ca="1"/>
        <v/>
      </c>
      <c r="HP1517" s="42">
        <f ca="1"/>
        <v>167</v>
      </c>
      <c r="HQ1517" s="42" t="str">
        <f ca="1"/>
        <v/>
      </c>
      <c r="HR1517" s="42" t="str">
        <f ca="1"/>
        <v/>
      </c>
      <c r="HS1517" s="42" t="str">
        <f ca="1"/>
        <v/>
      </c>
      <c r="HT1517" s="42" t="str">
        <f ca="1"/>
        <v/>
      </c>
      <c r="HU1517" s="42" t="str">
        <f ca="1"/>
        <v/>
      </c>
      <c r="HV1517" s="42" t="str">
        <f ca="1"/>
        <v/>
      </c>
      <c r="HW1517" s="42" t="str">
        <f ca="1"/>
        <v/>
      </c>
      <c r="HX1517" s="42" t="str">
        <f ca="1"/>
        <v/>
      </c>
      <c r="HY1517" s="42" t="str">
        <f ca="1"/>
        <v/>
      </c>
      <c r="HZ1517" s="42" t="str">
        <f ca="1"/>
        <v/>
      </c>
      <c r="IA1517" s="42" t="str">
        <f ca="1"/>
        <v/>
      </c>
      <c r="IB1517" s="42">
        <f ca="1"/>
        <v>16</v>
      </c>
      <c r="IC1517" s="42" t="str">
        <f ca="1"/>
        <v/>
      </c>
      <c r="ID1517" s="42" t="str">
        <f ca="1"/>
        <v/>
      </c>
      <c r="IE1517" s="42">
        <f ca="1"/>
        <v>33</v>
      </c>
      <c r="IF1517" s="42" t="str">
        <f ca="1"/>
        <v/>
      </c>
      <c r="IG1517" s="42" t="str">
        <f ca="1"/>
        <v/>
      </c>
      <c r="IH1517" s="42" t="str">
        <f ca="1"/>
        <v/>
      </c>
      <c r="II1517" s="42" t="str">
        <f ca="1"/>
        <v/>
      </c>
      <c r="IJ1517" s="42" t="str">
        <f ca="1"/>
        <v>S/F</v>
      </c>
      <c r="IK1517" s="42" t="str">
        <f ca="1"/>
        <v/>
      </c>
      <c r="IL1517" s="42" t="str">
        <f ca="1"/>
        <v/>
      </c>
      <c r="IM1517" s="42" t="str">
        <f ca="1"/>
        <v/>
      </c>
      <c r="IN1517" s="42" t="str">
        <f ca="1"/>
        <v/>
      </c>
      <c r="IO1517" s="42" t="str">
        <f ca="1"/>
        <v/>
      </c>
      <c r="IP1517" s="42" t="str">
        <f ca="1"/>
        <v/>
      </c>
      <c r="IQ1517" s="42" t="str">
        <f ca="1"/>
        <v/>
      </c>
      <c r="IR1517" s="42" t="str">
        <f ca="1"/>
        <v/>
      </c>
      <c r="IS1517" s="42" t="str">
        <f ca="1"/>
        <v/>
      </c>
      <c r="IT1517" s="42" t="str">
        <f ca="1"/>
        <v>S/F</v>
      </c>
      <c r="IU1517" s="42" t="str">
        <f ca="1"/>
        <v/>
      </c>
      <c r="IV1517" s="42" t="str">
        <f ca="1"/>
        <v/>
      </c>
      <c r="IW1517" s="42" t="str">
        <f ca="1"/>
        <v/>
      </c>
      <c r="IX1517" s="42" t="str">
        <f ca="1"/>
        <v/>
      </c>
      <c r="IY1517" s="42" t="str">
        <f ca="1"/>
        <v/>
      </c>
      <c r="IZ1517" s="42" t="str">
        <f ca="1"/>
        <v>S/F</v>
      </c>
      <c r="JA1517" s="42" t="str">
        <f ca="1"/>
        <v/>
      </c>
      <c r="JB1517" s="42">
        <f ca="1"/>
        <v>40</v>
      </c>
      <c r="JC1517" s="42" t="str">
        <f ca="1"/>
        <v/>
      </c>
      <c r="JD1517" s="42" t="str">
        <f ca="1"/>
        <v/>
      </c>
      <c r="JE1517" s="42" t="str">
        <f ca="1"/>
        <v/>
      </c>
      <c r="JF1517" s="42" t="str">
        <f ca="1"/>
        <v/>
      </c>
      <c r="JG1517" s="42" t="str">
        <f ca="1"/>
        <v/>
      </c>
      <c r="JH1517" s="42" t="str">
        <f ca="1"/>
        <v>S/F</v>
      </c>
      <c r="JI1517" s="42" t="str">
        <f ca="1"/>
        <v/>
      </c>
      <c r="JJ1517" s="42" t="str">
        <f ca="1"/>
        <v/>
      </c>
      <c r="JK1517" s="42" t="str">
        <f ca="1"/>
        <v/>
      </c>
      <c r="JL1517" s="42" t="str">
        <f ca="1"/>
        <v/>
      </c>
      <c r="JM1517" s="42" t="str">
        <f ca="1"/>
        <v/>
      </c>
      <c r="JN1517" s="42" t="str">
        <f ca="1"/>
        <v/>
      </c>
      <c r="JO1517" s="42" t="str">
        <f ca="1"/>
        <v/>
      </c>
      <c r="JP1517" s="42" t="str">
        <f ca="1"/>
        <v/>
      </c>
      <c r="JQ1517" s="42" t="str">
        <f ca="1"/>
        <v>S/F</v>
      </c>
      <c r="JR1517" s="42" t="str">
        <f ca="1"/>
        <v/>
      </c>
      <c r="JS1517" s="42">
        <f ca="1"/>
        <v>57</v>
      </c>
      <c r="JT1517" s="42" t="str">
        <f ca="1"/>
        <v/>
      </c>
      <c r="JU1517" s="42" t="str">
        <f ca="1"/>
        <v/>
      </c>
      <c r="JV1517" s="42" t="str">
        <f ca="1"/>
        <v/>
      </c>
      <c r="JW1517" s="42" t="str">
        <f ca="1"/>
        <v/>
      </c>
      <c r="JX1517" s="42" t="str">
        <f ca="1"/>
        <v/>
      </c>
      <c r="JY1517" s="42" t="str">
        <f ca="1"/>
        <v>S/F</v>
      </c>
      <c r="JZ1517" s="42" t="str">
        <f ca="1"/>
        <v/>
      </c>
      <c r="KA1517" s="42" t="str">
        <f ca="1"/>
        <v/>
      </c>
      <c r="KB1517" s="42" t="str">
        <f ca="1"/>
        <v/>
      </c>
      <c r="KC1517" s="42" t="str">
        <f ca="1"/>
        <v/>
      </c>
      <c r="KD1517" s="42" t="str">
        <f ca="1"/>
        <v/>
      </c>
      <c r="KE1517" s="42" t="str">
        <f ca="1"/>
        <v/>
      </c>
      <c r="KF1517" s="42">
        <f ca="1"/>
        <v>84</v>
      </c>
      <c r="KG1517" s="42" t="str">
        <f ca="1"/>
        <v/>
      </c>
      <c r="KH1517" s="42" t="str">
        <f ca="1"/>
        <v/>
      </c>
      <c r="KI1517" s="42" t="str">
        <f ca="1"/>
        <v>S/F</v>
      </c>
      <c r="KJ1517" s="42" t="str">
        <f ca="1"/>
        <v/>
      </c>
      <c r="KK1517" s="42" t="str">
        <f ca="1"/>
        <v/>
      </c>
      <c r="KL1517" s="42" t="str">
        <f ca="1"/>
        <v/>
      </c>
      <c r="KM1517" s="42" t="str">
        <f ca="1"/>
        <v/>
      </c>
      <c r="KN1517" s="42" t="str">
        <f ca="1"/>
        <v/>
      </c>
      <c r="KO1517" s="42" t="str">
        <f ca="1"/>
        <v/>
      </c>
      <c r="KP1517" s="42" t="str">
        <f ca="1"/>
        <v>S/F</v>
      </c>
      <c r="KQ1517" s="42" t="str">
        <f ca="1"/>
        <v/>
      </c>
      <c r="KR1517" s="42">
        <f ca="1"/>
        <v>116</v>
      </c>
      <c r="KS1517" s="42" t="str">
        <f ca="1"/>
        <v/>
      </c>
      <c r="KT1517" s="42">
        <f ca="1"/>
        <v>0</v>
      </c>
      <c r="KU1517" s="42" t="str">
        <f ca="1"/>
        <v/>
      </c>
      <c r="KV1517" s="42">
        <f ca="1"/>
        <v>162</v>
      </c>
      <c r="KW1517" s="42">
        <f ca="1"/>
        <v>8</v>
      </c>
      <c r="KX1517" s="42">
        <f ca="1"/>
        <v>3</v>
      </c>
      <c r="KY1517" s="42" t="str">
        <f ca="1"/>
        <v/>
      </c>
      <c r="KZ1517" s="42" t="str">
        <f ca="1"/>
        <v/>
      </c>
      <c r="LA1517" s="42" t="str">
        <f ca="1"/>
        <v/>
      </c>
      <c r="LB1517" s="42" t="str">
        <f ca="1"/>
        <v>S/F</v>
      </c>
      <c r="LC1517" s="42" t="str">
        <f ca="1"/>
        <v/>
      </c>
      <c r="LD1517" s="42" t="str">
        <f ca="1"/>
        <v/>
      </c>
      <c r="LE1517" s="42" t="str">
        <f ca="1"/>
        <v>S/F</v>
      </c>
      <c r="LF1517" s="42" t="str">
        <f ca="1"/>
        <v/>
      </c>
      <c r="LG1517" s="42" t="str">
        <f ca="1"/>
        <v/>
      </c>
      <c r="LH1517" s="42" t="str">
        <f ca="1"/>
        <v/>
      </c>
      <c r="LI1517" s="42">
        <f ca="1"/>
        <v>172</v>
      </c>
      <c r="LJ1517" s="42" t="str">
        <f ca="1"/>
        <v/>
      </c>
      <c r="LK1517" s="42" t="str">
        <f ca="1"/>
        <v/>
      </c>
      <c r="LL1517" s="42" t="str">
        <f ca="1"/>
        <v/>
      </c>
      <c r="LM1517" s="42" t="str">
        <f ca="1"/>
        <v/>
      </c>
      <c r="LN1517" s="42" t="str">
        <f ca="1"/>
        <v/>
      </c>
      <c r="LO1517" s="42" t="str">
        <f ca="1"/>
        <v/>
      </c>
      <c r="LP1517" s="42" t="str">
        <f ca="1"/>
        <v/>
      </c>
      <c r="LQ1517" s="42">
        <f ca="1"/>
        <v>91</v>
      </c>
      <c r="LR1517" s="42" t="str">
        <f ca="1"/>
        <v/>
      </c>
      <c r="LS1517" s="42">
        <f ca="1"/>
        <v>7</v>
      </c>
      <c r="LT1517" s="42" t="str">
        <f ca="1"/>
        <v/>
      </c>
      <c r="LU1517" s="42" t="str">
        <f ca="1"/>
        <v/>
      </c>
      <c r="LV1517" s="42" t="str">
        <f ca="1"/>
        <v/>
      </c>
      <c r="LW1517" s="42" t="str">
        <f ca="1"/>
        <v/>
      </c>
      <c r="LX1517" s="42" t="str">
        <f ca="1"/>
        <v/>
      </c>
      <c r="LY1517" s="42" t="str">
        <f ca="1"/>
        <v/>
      </c>
      <c r="LZ1517" s="42" t="str">
        <f ca="1"/>
        <v/>
      </c>
      <c r="MA1517" s="42" t="str">
        <f ca="1"/>
        <v/>
      </c>
      <c r="MB1517" s="42" t="str">
        <f ca="1"/>
        <v/>
      </c>
      <c r="MC1517" s="42" t="str">
        <f ca="1"/>
        <v/>
      </c>
      <c r="MD1517" s="42" t="str">
        <f ca="1"/>
        <v/>
      </c>
      <c r="ME1517" s="42" t="str">
        <f ca="1"/>
        <v/>
      </c>
      <c r="MF1517" s="42" t="str">
        <f ca="1"/>
        <v/>
      </c>
      <c r="MG1517" s="42" t="str">
        <f ca="1"/>
        <v/>
      </c>
      <c r="MH1517" s="42" t="str">
        <f ca="1"/>
        <v/>
      </c>
      <c r="MI1517" s="42" t="str">
        <f ca="1"/>
        <v/>
      </c>
      <c r="MJ1517" s="42" t="str">
        <f ca="1"/>
        <v/>
      </c>
      <c r="MK1517" s="42" t="str">
        <f ca="1"/>
        <v/>
      </c>
      <c r="ML1517" s="42" t="str">
        <f ca="1"/>
        <v/>
      </c>
      <c r="MM1517" s="42" t="str">
        <f ca="1"/>
        <v/>
      </c>
      <c r="MN1517" s="42" t="str">
        <f ca="1"/>
        <v/>
      </c>
      <c r="MO1517" s="42" t="str">
        <f ca="1"/>
        <v/>
      </c>
      <c r="MP1517" s="42" t="str">
        <f ca="1"/>
        <v/>
      </c>
      <c r="MQ1517" s="42" t="str">
        <f ca="1"/>
        <v/>
      </c>
      <c r="MR1517" s="42" t="str">
        <f ca="1"/>
        <v/>
      </c>
      <c r="MS1517" s="42" t="str">
        <f ca="1"/>
        <v/>
      </c>
      <c r="MT1517" s="42" t="str">
        <f ca="1"/>
        <v/>
      </c>
      <c r="MU1517" s="42" t="str">
        <f ca="1"/>
        <v/>
      </c>
      <c r="MV1517" s="42" t="str">
        <f ca="1"/>
        <v/>
      </c>
      <c r="MW1517" s="42" t="str">
        <f ca="1"/>
        <v/>
      </c>
      <c r="MX1517" s="42" t="str">
        <f ca="1"/>
        <v/>
      </c>
      <c r="MY1517" s="42" t="str">
        <f ca="1"/>
        <v/>
      </c>
      <c r="MZ1517" s="42" t="str">
        <f ca="1"/>
        <v/>
      </c>
      <c r="NA1517" s="42" t="str">
        <f ca="1"/>
        <v/>
      </c>
      <c r="NB1517" s="42" t="str">
        <f ca="1"/>
        <v/>
      </c>
      <c r="NC1517" s="42" t="str">
        <f ca="1"/>
        <v/>
      </c>
      <c r="ND1517" s="42" t="str">
        <f ca="1"/>
        <v/>
      </c>
      <c r="NE1517" s="42" t="str">
        <f ca="1"/>
        <v/>
      </c>
      <c r="NF1517" s="42" t="str">
        <f ca="1"/>
        <v/>
      </c>
      <c r="NG1517" s="42" t="str">
        <f ca="1"/>
        <v/>
      </c>
      <c r="NH1517" s="42" t="str">
        <f ca="1"/>
        <v/>
      </c>
      <c r="NI1517" s="42" t="str">
        <f ca="1"/>
        <v/>
      </c>
      <c r="NJ1517" s="42" t="str">
        <f ca="1"/>
        <v/>
      </c>
      <c r="NK1517" s="42" t="str">
        <f ca="1"/>
        <v/>
      </c>
      <c r="NL1517" s="42" t="str">
        <f ca="1"/>
        <v/>
      </c>
      <c r="NM1517" s="42" t="str">
        <f ca="1"/>
        <v/>
      </c>
      <c r="NN1517" s="42" t="str">
        <f ca="1"/>
        <v/>
      </c>
      <c r="NO1517" s="42" t="str">
        <f ca="1"/>
        <v/>
      </c>
      <c r="NP1517" s="42" t="str">
        <f ca="1"/>
        <v/>
      </c>
      <c r="NQ1517" s="42" t="str">
        <f ca="1"/>
        <v/>
      </c>
      <c r="NR1517" s="42" t="str">
        <f ca="1"/>
        <v/>
      </c>
      <c r="NS1517" s="42" t="str">
        <f ca="1"/>
        <v/>
      </c>
      <c r="NT1517" s="42" t="str">
        <f ca="1"/>
        <v/>
      </c>
      <c r="NU1517" s="42" t="str">
        <f ca="1"/>
        <v/>
      </c>
      <c r="NV1517" s="42" t="str">
        <f ca="1"/>
        <v/>
      </c>
      <c r="NW1517" s="42" t="str">
        <f ca="1"/>
        <v/>
      </c>
      <c r="NX1517" s="42" t="str">
        <f ca="1"/>
        <v/>
      </c>
      <c r="NY1517" s="42" t="str">
        <f ca="1"/>
        <v/>
      </c>
      <c r="NZ1517" s="42" t="str">
        <f ca="1"/>
        <v/>
      </c>
      <c r="OA1517" s="42" t="str">
        <f ca="1"/>
        <v/>
      </c>
      <c r="OB1517" s="42" t="str">
        <f ca="1"/>
        <v/>
      </c>
      <c r="OC1517" s="42" t="str">
        <f ca="1"/>
        <v/>
      </c>
      <c r="OD1517" s="42" t="str">
        <f ca="1"/>
        <v/>
      </c>
      <c r="OE1517" s="42" t="str">
        <f ca="1"/>
        <v/>
      </c>
      <c r="OF1517" s="42" t="str">
        <f ca="1"/>
        <v/>
      </c>
      <c r="OG1517" s="42" t="str">
        <f ca="1"/>
        <v/>
      </c>
      <c r="OH1517" s="42" t="str">
        <f ca="1"/>
        <v/>
      </c>
      <c r="OI1517" s="42" t="str">
        <f ca="1"/>
        <v/>
      </c>
      <c r="OJ1517" s="42" t="str">
        <f ca="1"/>
        <v/>
      </c>
      <c r="OK1517" s="42" t="str">
        <f ca="1"/>
        <v/>
      </c>
      <c r="OL1517" s="42" t="str">
        <f ca="1"/>
        <v/>
      </c>
      <c r="OM1517" s="42" t="str">
        <f ca="1"/>
        <v/>
      </c>
      <c r="ON1517" s="42" t="str">
        <f ca="1"/>
        <v/>
      </c>
      <c r="OO1517" s="42" t="str">
        <f ca="1"/>
        <v/>
      </c>
      <c r="OP1517" s="42" t="str">
        <f ca="1"/>
        <v/>
      </c>
      <c r="OQ1517" s="42" t="str">
        <f ca="1"/>
        <v/>
      </c>
      <c r="OR1517" s="42" t="str">
        <f ca="1"/>
        <v/>
      </c>
      <c r="OS1517" s="42" t="str">
        <f ca="1"/>
        <v/>
      </c>
      <c r="OT1517" s="42" t="str">
        <f ca="1"/>
        <v/>
      </c>
      <c r="OU1517" s="42" t="str">
        <f ca="1"/>
        <v/>
      </c>
      <c r="OV1517" s="42" t="str">
        <f ca="1"/>
        <v/>
      </c>
      <c r="OW1517" s="42" t="str">
        <f ca="1"/>
        <v/>
      </c>
      <c r="OX1517" s="42" t="str">
        <f ca="1"/>
        <v/>
      </c>
      <c r="OY1517" s="42" t="str">
        <f ca="1"/>
        <v/>
      </c>
      <c r="OZ1517" s="42" t="str">
        <f ca="1"/>
        <v/>
      </c>
      <c r="PA1517" s="42" t="str">
        <f ca="1"/>
        <v/>
      </c>
      <c r="PB1517" s="42" t="str">
        <f ca="1"/>
        <v/>
      </c>
      <c r="PC1517" s="42" t="str">
        <f ca="1"/>
        <v/>
      </c>
      <c r="PD1517" s="42" t="str">
        <f ca="1"/>
        <v/>
      </c>
      <c r="PE1517" s="42" t="str">
        <f ca="1"/>
        <v/>
      </c>
      <c r="PF1517" s="42" t="str">
        <f ca="1"/>
        <v/>
      </c>
      <c r="PG1517" s="42" t="str">
        <f ca="1"/>
        <v/>
      </c>
      <c r="PH1517" s="42" t="str">
        <f ca="1"/>
        <v/>
      </c>
      <c r="PI1517" s="42" t="str">
        <f ca="1"/>
        <v/>
      </c>
      <c r="PJ1517" s="42" t="str">
        <f ca="1"/>
        <v/>
      </c>
      <c r="PK1517" s="42" t="str">
        <f ca="1"/>
        <v/>
      </c>
      <c r="PL1517" s="42" t="str">
        <f ca="1"/>
        <v/>
      </c>
      <c r="PM1517" s="42" t="str">
        <f ca="1"/>
        <v/>
      </c>
      <c r="PN1517" s="42" t="str">
        <f ca="1"/>
        <v/>
      </c>
      <c r="PO1517" s="42" t="str">
        <f ca="1"/>
        <v/>
      </c>
      <c r="PP1517" s="42" t="str">
        <f ca="1"/>
        <v/>
      </c>
      <c r="PQ1517" s="42" t="str">
        <f ca="1"/>
        <v/>
      </c>
      <c r="PR1517" s="42" t="str">
        <f ca="1"/>
        <v/>
      </c>
      <c r="PS1517" s="42" t="str">
        <f ca="1"/>
        <v/>
      </c>
      <c r="PT1517" s="42" t="str">
        <f ca="1"/>
        <v/>
      </c>
      <c r="PU1517" s="42" t="str">
        <f ca="1"/>
        <v/>
      </c>
      <c r="PV1517" s="42" t="str">
        <f ca="1"/>
        <v/>
      </c>
      <c r="PW1517" s="42" t="str">
        <f ca="1"/>
        <v/>
      </c>
      <c r="PX1517" s="42" t="str">
        <f ca="1"/>
        <v/>
      </c>
      <c r="PY1517" s="42" t="str">
        <f ca="1"/>
        <v/>
      </c>
      <c r="PZ1517" s="42" t="str">
        <f ca="1"/>
        <v/>
      </c>
      <c r="QA1517" s="42" t="str">
        <f ca="1"/>
        <v/>
      </c>
      <c r="QB1517" s="42" t="str">
        <f ca="1"/>
        <v/>
      </c>
      <c r="QC1517" s="42" t="str">
        <f ca="1"/>
        <v/>
      </c>
      <c r="QD1517" s="42" t="str">
        <f ca="1"/>
        <v/>
      </c>
      <c r="QE1517" s="42" t="str">
        <f ca="1"/>
        <v/>
      </c>
      <c r="QF1517" s="42" t="str">
        <f ca="1"/>
        <v/>
      </c>
      <c r="QG1517" s="42" t="str">
        <f ca="1"/>
        <v/>
      </c>
      <c r="QH1517" s="42" t="str">
        <f ca="1"/>
        <v/>
      </c>
      <c r="QI1517" s="42" t="str">
        <f ca="1"/>
        <v/>
      </c>
      <c r="QJ1517" s="42" t="str">
        <f ca="1"/>
        <v/>
      </c>
      <c r="QK1517" s="42" t="str">
        <f ca="1"/>
        <v/>
      </c>
      <c r="QL1517" s="42" t="str">
        <f ca="1"/>
        <v/>
      </c>
      <c r="QM1517" s="42" t="str">
        <f ca="1"/>
        <v/>
      </c>
      <c r="QN1517" s="42" t="str">
        <f ca="1"/>
        <v/>
      </c>
      <c r="QO1517" s="42" t="str">
        <f ca="1"/>
        <v/>
      </c>
      <c r="QP1517" s="42" t="str">
        <f ca="1"/>
        <v/>
      </c>
      <c r="QQ1517" s="42" t="str">
        <f ca="1"/>
        <v/>
      </c>
      <c r="QR1517" s="42" t="str">
        <f ca="1"/>
        <v/>
      </c>
      <c r="QS1517" s="42" t="str">
        <f ca="1"/>
        <v/>
      </c>
      <c r="QT1517" s="42" t="str">
        <f ca="1"/>
        <v/>
      </c>
      <c r="QU1517" s="42" t="str">
        <f ca="1"/>
        <v/>
      </c>
      <c r="QV1517" s="42" t="str">
        <f ca="1"/>
        <v/>
      </c>
      <c r="QW1517" s="42" t="str">
        <f ca="1"/>
        <v/>
      </c>
      <c r="QX1517" s="42" t="str">
        <f ca="1"/>
        <v/>
      </c>
      <c r="QY1517" s="42" t="str">
        <f ca="1"/>
        <v/>
      </c>
      <c r="QZ1517" s="42" t="str">
        <f ca="1"/>
        <v/>
      </c>
      <c r="RA1517" s="42" t="str">
        <f ca="1"/>
        <v/>
      </c>
      <c r="RB1517" s="42" t="str">
        <f ca="1"/>
        <v/>
      </c>
      <c r="RC1517" s="42" t="str">
        <f ca="1"/>
        <v/>
      </c>
      <c r="RD1517" s="42" t="str">
        <f ca="1"/>
        <v/>
      </c>
      <c r="RE1517" s="42" t="str">
        <f ca="1"/>
        <v/>
      </c>
      <c r="RF1517" s="42" t="str">
        <f ca="1"/>
        <v/>
      </c>
      <c r="RG1517" s="42" t="str">
        <f ca="1"/>
        <v/>
      </c>
      <c r="RH1517" s="42" t="str">
        <f ca="1"/>
        <v/>
      </c>
      <c r="RI1517" s="42" t="str">
        <f ca="1"/>
        <v/>
      </c>
      <c r="RJ1517" s="42" t="str">
        <f ca="1"/>
        <v/>
      </c>
      <c r="RK1517" s="42" t="str">
        <f ca="1"/>
        <v/>
      </c>
      <c r="RL1517" s="42" t="str">
        <f ca="1"/>
        <v/>
      </c>
      <c r="RM1517" s="42" t="str">
        <f ca="1"/>
        <v/>
      </c>
      <c r="RN1517" s="42" t="str">
        <f ca="1"/>
        <v/>
      </c>
      <c r="RO1517" s="42" t="str">
        <f ca="1"/>
        <v/>
      </c>
      <c r="RP1517" s="42" t="str">
        <f ca="1"/>
        <v/>
      </c>
      <c r="RQ1517" s="42" t="str">
        <f ca="1"/>
        <v/>
      </c>
      <c r="RR1517" s="42" t="str">
        <f ca="1"/>
        <v/>
      </c>
      <c r="RS1517" s="42" t="str">
        <f ca="1"/>
        <v/>
      </c>
      <c r="RT1517" s="42" t="str">
        <f ca="1"/>
        <v/>
      </c>
      <c r="RU1517" s="42" t="str">
        <f ca="1"/>
        <v/>
      </c>
      <c r="RV1517" s="42" t="str">
        <f ca="1"/>
        <v/>
      </c>
      <c r="RW1517" s="42" t="str">
        <f ca="1"/>
        <v/>
      </c>
      <c r="RX1517" s="42" t="str">
        <f ca="1"/>
        <v/>
      </c>
      <c r="RY1517" s="42" t="str">
        <f ca="1"/>
        <v/>
      </c>
      <c r="RZ1517" s="42" t="str">
        <f ca="1"/>
        <v/>
      </c>
      <c r="SA1517" s="42" t="str">
        <f ca="1"/>
        <v/>
      </c>
      <c r="SB1517" s="42" t="str">
        <f ca="1"/>
        <v/>
      </c>
      <c r="SC1517" s="42" t="str">
        <f ca="1"/>
        <v/>
      </c>
      <c r="SD1517" s="42" t="str">
        <f ca="1"/>
        <v/>
      </c>
      <c r="SE1517" s="42" t="str">
        <f ca="1"/>
        <v/>
      </c>
      <c r="SF1517" s="42" t="str">
        <f ca="1"/>
        <v/>
      </c>
      <c r="SG1517" s="42" t="str">
        <f ca="1"/>
        <v/>
      </c>
      <c r="SH1517" s="42" t="str">
        <f ca="1"/>
        <v/>
      </c>
      <c r="SI1517" s="42" t="str">
        <f ca="1"/>
        <v/>
      </c>
      <c r="SJ1517" s="42" t="str">
        <f ca="1"/>
        <v/>
      </c>
      <c r="SK1517" s="42" t="str">
        <f ca="1"/>
        <v/>
      </c>
      <c r="SL1517" s="42" t="str">
        <f ca="1"/>
        <v/>
      </c>
      <c r="SM1517" s="42" t="str">
        <f ca="1"/>
        <v/>
      </c>
      <c r="SN1517" s="42" t="str">
        <f ca="1"/>
        <v/>
      </c>
      <c r="SO1517" s="42" t="str">
        <f ca="1"/>
        <v/>
      </c>
      <c r="SP1517" s="42" t="str">
        <f ca="1"/>
        <v/>
      </c>
      <c r="SQ1517" s="42" t="str">
        <f ca="1"/>
        <v/>
      </c>
      <c r="SR1517" s="42" t="str">
        <f ca="1"/>
        <v/>
      </c>
      <c r="SS1517" s="42" t="str">
        <f ca="1"/>
        <v/>
      </c>
      <c r="ST1517" s="42" t="str">
        <f ca="1"/>
        <v/>
      </c>
      <c r="SU1517" s="42" t="str">
        <f ca="1"/>
        <v/>
      </c>
      <c r="SV1517" s="42" t="str">
        <f ca="1"/>
        <v/>
      </c>
      <c r="SW1517" s="42" t="str">
        <f ca="1"/>
        <v/>
      </c>
      <c r="SX1517" s="42" t="str">
        <f ca="1"/>
        <v/>
      </c>
      <c r="SY1517" s="42" t="str">
        <f ca="1"/>
        <v/>
      </c>
      <c r="SZ1517" s="42" t="str">
        <f ca="1"/>
        <v/>
      </c>
      <c r="TA1517" s="42" t="str">
        <f ca="1"/>
        <v/>
      </c>
      <c r="TB1517" s="42" t="str">
        <f ca="1"/>
        <v/>
      </c>
      <c r="TC1517" s="42" t="str">
        <f ca="1"/>
        <v/>
      </c>
      <c r="TD1517" s="42" t="str">
        <f ca="1"/>
        <v/>
      </c>
      <c r="TE1517" s="42" t="str">
        <f ca="1"/>
        <v/>
      </c>
      <c r="TF1517" s="42" t="str">
        <f ca="1"/>
        <v/>
      </c>
      <c r="TG1517" s="42" t="str">
        <f ca="1"/>
        <v/>
      </c>
      <c r="TH1517" s="42" t="str">
        <f ca="1"/>
        <v/>
      </c>
      <c r="TI1517" s="42" t="str">
        <f ca="1"/>
        <v/>
      </c>
      <c r="TJ1517" s="42" t="str">
        <f ca="1"/>
        <v/>
      </c>
      <c r="TK1517" s="42" t="str">
        <f ca="1"/>
        <v/>
      </c>
      <c r="TL1517" s="42" t="str">
        <f ca="1"/>
        <v/>
      </c>
      <c r="TM1517" s="42" t="str">
        <f ca="1"/>
        <v/>
      </c>
      <c r="TN1517" s="42" t="str">
        <f ca="1"/>
        <v/>
      </c>
      <c r="TO1517" s="42" t="str">
        <f ca="1"/>
        <v/>
      </c>
      <c r="TP1517" s="42" t="str">
        <f ca="1"/>
        <v/>
      </c>
      <c r="TQ1517" s="42" t="str">
        <f ca="1"/>
        <v/>
      </c>
      <c r="TR1517" s="42" t="str">
        <f ca="1"/>
        <v/>
      </c>
      <c r="TS1517" s="42" t="str">
        <f ca="1"/>
        <v/>
      </c>
      <c r="TT1517" s="42" t="str">
        <f ca="1"/>
        <v/>
      </c>
      <c r="TU1517" s="42" t="str">
        <f ca="1"/>
        <v/>
      </c>
      <c r="TV1517" s="42" t="str">
        <f ca="1"/>
        <v/>
      </c>
      <c r="TW1517" s="42" t="str">
        <f ca="1"/>
        <v/>
      </c>
      <c r="TX1517" s="42" t="str">
        <f ca="1"/>
        <v/>
      </c>
      <c r="TY1517" s="42" t="str">
        <f ca="1"/>
        <v/>
      </c>
      <c r="TZ1517" s="42" t="str">
        <f ca="1"/>
        <v/>
      </c>
      <c r="UA1517" s="42" t="str">
        <f ca="1"/>
        <v/>
      </c>
      <c r="UB1517" s="42" t="str">
        <f ca="1"/>
        <v/>
      </c>
      <c r="UC1517" s="42" t="str">
        <f ca="1"/>
        <v/>
      </c>
      <c r="UD1517" s="42" t="str">
        <f ca="1"/>
        <v/>
      </c>
      <c r="UE1517" s="42" t="str">
        <f ca="1"/>
        <v/>
      </c>
      <c r="UF1517" s="42" t="str">
        <f ca="1"/>
        <v/>
      </c>
      <c r="UG1517" s="42" t="str">
        <f ca="1"/>
        <v/>
      </c>
      <c r="UH1517" s="42" t="str">
        <f ca="1"/>
        <v/>
      </c>
      <c r="UI1517" s="42" t="str">
        <f ca="1"/>
        <v/>
      </c>
      <c r="UJ1517" s="42" t="str">
        <f ca="1"/>
        <v/>
      </c>
      <c r="UK1517" s="42" t="str">
        <f ca="1"/>
        <v/>
      </c>
      <c r="UL1517" s="42" t="str">
        <f ca="1"/>
        <v/>
      </c>
      <c r="UM1517" s="42" t="str">
        <f ca="1"/>
        <v/>
      </c>
      <c r="UN1517" s="42" t="str">
        <f ca="1"/>
        <v/>
      </c>
      <c r="UO1517" s="42" t="str">
        <f ca="1"/>
        <v/>
      </c>
      <c r="UP1517" s="42" t="str">
        <f ca="1"/>
        <v/>
      </c>
      <c r="UQ1517" s="42" t="str">
        <f ca="1"/>
        <v/>
      </c>
      <c r="UR1517" s="42" t="str">
        <f ca="1"/>
        <v/>
      </c>
      <c r="US1517" s="42" t="str">
        <f ca="1"/>
        <v/>
      </c>
      <c r="UT1517" s="42" t="str">
        <f ca="1"/>
        <v/>
      </c>
      <c r="UU1517" s="42" t="str">
        <f ca="1"/>
        <v/>
      </c>
      <c r="UV1517" s="42" t="str">
        <f ca="1"/>
        <v/>
      </c>
      <c r="UW1517" s="42" t="str">
        <f ca="1"/>
        <v/>
      </c>
      <c r="UX1517" s="42" t="str">
        <f ca="1"/>
        <v/>
      </c>
      <c r="UY1517" s="42" t="str">
        <f ca="1"/>
        <v/>
      </c>
      <c r="UZ1517" s="42" t="str">
        <f ca="1"/>
        <v/>
      </c>
      <c r="VA1517" s="42" t="str">
        <f ca="1"/>
        <v/>
      </c>
      <c r="VB1517" s="42" t="str">
        <f ca="1"/>
        <v/>
      </c>
      <c r="VC1517" s="42" t="str">
        <f ca="1"/>
        <v/>
      </c>
      <c r="VD1517" s="42" t="str">
        <f ca="1"/>
        <v/>
      </c>
      <c r="VE1517" s="42" t="str">
        <f ca="1"/>
        <v/>
      </c>
      <c r="VF1517" s="42" t="str">
        <f ca="1"/>
        <v/>
      </c>
      <c r="VG1517" s="42" t="str">
        <f ca="1"/>
        <v/>
      </c>
      <c r="VH1517" s="42" t="str">
        <f ca="1"/>
        <v/>
      </c>
      <c r="VI1517" s="42" t="str">
        <f ca="1"/>
        <v/>
      </c>
      <c r="VJ1517" s="42" t="str">
        <f ca="1"/>
        <v/>
      </c>
      <c r="VK1517" s="42" t="str">
        <f ca="1"/>
        <v/>
      </c>
      <c r="VL1517" s="42" t="str">
        <f ca="1"/>
        <v/>
      </c>
      <c r="VM1517" s="42" t="str">
        <f ca="1"/>
        <v/>
      </c>
      <c r="VN1517" s="42" t="str">
        <f ca="1"/>
        <v/>
      </c>
      <c r="VO1517" s="42" t="str">
        <f ca="1"/>
        <v/>
      </c>
      <c r="VP1517" s="42" t="str">
        <f ca="1"/>
        <v/>
      </c>
      <c r="VQ1517" s="42" t="str">
        <f ca="1"/>
        <v/>
      </c>
      <c r="VR1517" s="42" t="str">
        <f ca="1"/>
        <v/>
      </c>
      <c r="VS1517" s="42" t="str">
        <f ca="1"/>
        <v/>
      </c>
      <c r="VT1517" s="42" t="str">
        <f ca="1"/>
        <v/>
      </c>
      <c r="VU1517" s="42" t="str">
        <f ca="1"/>
        <v/>
      </c>
      <c r="VV1517" s="42" t="str">
        <f ca="1"/>
        <v/>
      </c>
      <c r="VW1517" s="42" t="str">
        <f ca="1"/>
        <v/>
      </c>
      <c r="VX1517" s="42" t="str">
        <f ca="1"/>
        <v/>
      </c>
      <c r="VY1517" s="42" t="str">
        <f ca="1"/>
        <v/>
      </c>
      <c r="VZ1517" s="42" t="str">
        <f ca="1"/>
        <v/>
      </c>
      <c r="WA1517" s="42" t="str">
        <f ca="1"/>
        <v/>
      </c>
      <c r="WB1517" s="42" t="str">
        <f ca="1"/>
        <v/>
      </c>
      <c r="WC1517" s="42" t="str">
        <f ca="1"/>
        <v/>
      </c>
      <c r="WD1517" s="42" t="str">
        <f ca="1"/>
        <v/>
      </c>
      <c r="WE1517" s="42" t="str">
        <f ca="1"/>
        <v/>
      </c>
      <c r="WF1517" s="42" t="str">
        <f ca="1"/>
        <v/>
      </c>
      <c r="WG1517" s="42" t="str">
        <f ca="1"/>
        <v/>
      </c>
      <c r="WH1517" s="42" t="str">
        <f ca="1"/>
        <v/>
      </c>
      <c r="WI1517" s="42" t="str">
        <f ca="1"/>
        <v/>
      </c>
      <c r="WJ1517" s="42" t="str">
        <f ca="1"/>
        <v/>
      </c>
      <c r="WK1517" s="42" t="str">
        <f ca="1"/>
        <v/>
      </c>
      <c r="WL1517" s="42" t="str">
        <f ca="1"/>
        <v/>
      </c>
      <c r="WM1517" s="42" t="str">
        <f ca="1"/>
        <v/>
      </c>
      <c r="WN1517" s="42" t="str">
        <f ca="1"/>
        <v/>
      </c>
      <c r="WO1517" s="42" t="str">
        <f ca="1"/>
        <v/>
      </c>
      <c r="WP1517" s="42" t="str">
        <f ca="1"/>
        <v/>
      </c>
      <c r="WQ1517" s="42" t="str">
        <f ca="1"/>
        <v/>
      </c>
      <c r="WR1517" s="42" t="str">
        <f ca="1"/>
        <v/>
      </c>
      <c r="WS1517" s="42" t="str">
        <f ca="1"/>
        <v/>
      </c>
      <c r="WT1517" s="42" t="str">
        <f ca="1"/>
        <v/>
      </c>
      <c r="WU1517" s="42" t="str">
        <f ca="1"/>
        <v/>
      </c>
      <c r="WV1517" s="42" t="str">
        <f ca="1"/>
        <v/>
      </c>
      <c r="WW1517" s="42" t="str">
        <f ca="1"/>
        <v/>
      </c>
      <c r="WX1517" s="42" t="str">
        <f ca="1"/>
        <v/>
      </c>
      <c r="WY1517" s="42" t="str">
        <f ca="1"/>
        <v/>
      </c>
      <c r="WZ1517" s="42" t="str">
        <f ca="1"/>
        <v/>
      </c>
      <c r="XA1517" s="42" t="str">
        <f ca="1"/>
        <v/>
      </c>
      <c r="XB1517" s="42" t="str">
        <f ca="1"/>
        <v/>
      </c>
      <c r="XC1517" s="42" t="str">
        <f ca="1"/>
        <v/>
      </c>
      <c r="XD1517" s="42" t="str">
        <f ca="1"/>
        <v/>
      </c>
      <c r="XE1517" s="42" t="str">
        <f ca="1"/>
        <v/>
      </c>
      <c r="XF1517" s="42" t="str">
        <f ca="1"/>
        <v/>
      </c>
      <c r="XG1517" s="42" t="str">
        <f ca="1"/>
        <v/>
      </c>
      <c r="XH1517" s="42" t="str">
        <f ca="1"/>
        <v/>
      </c>
      <c r="XI1517" s="42" t="str">
        <f ca="1"/>
        <v/>
      </c>
      <c r="XJ1517" s="42" t="str">
        <f ca="1"/>
        <v/>
      </c>
      <c r="XK1517" s="42" t="str">
        <f ca="1"/>
        <v/>
      </c>
      <c r="XL1517" s="42" t="str">
        <f ca="1"/>
        <v/>
      </c>
      <c r="XM1517" s="42" t="str">
        <f ca="1"/>
        <v/>
      </c>
      <c r="XN1517" s="42" t="str">
        <f ca="1"/>
        <v/>
      </c>
      <c r="XO1517" s="42" t="str">
        <f ca="1"/>
        <v/>
      </c>
      <c r="XP1517" s="42" t="str">
        <f ca="1"/>
        <v/>
      </c>
      <c r="XQ1517" s="42" t="str">
        <f ca="1"/>
        <v/>
      </c>
      <c r="XR1517" s="42" t="str">
        <f ca="1"/>
        <v/>
      </c>
      <c r="XS1517" s="42" t="str">
        <f ca="1"/>
        <v/>
      </c>
      <c r="XT1517" s="42" t="str">
        <f ca="1"/>
        <v/>
      </c>
      <c r="XU1517" s="42" t="str">
        <f ca="1"/>
        <v/>
      </c>
      <c r="XV1517" s="42" t="str">
        <f ca="1"/>
        <v/>
      </c>
      <c r="XW1517" s="42" t="str">
        <f ca="1"/>
        <v/>
      </c>
      <c r="XX1517" s="42" t="str">
        <f ca="1"/>
        <v/>
      </c>
      <c r="XY1517" s="42" t="str">
        <f ca="1"/>
        <v/>
      </c>
      <c r="XZ1517" s="42" t="str">
        <f ca="1"/>
        <v/>
      </c>
      <c r="YA1517" s="42" t="str">
        <f ca="1"/>
        <v/>
      </c>
      <c r="YB1517" s="42" t="str">
        <f ca="1"/>
        <v/>
      </c>
      <c r="YC1517" s="42" t="str">
        <f ca="1"/>
        <v/>
      </c>
      <c r="YD1517" s="42" t="str">
        <f ca="1"/>
        <v/>
      </c>
      <c r="YE1517" s="42" t="str">
        <f ca="1"/>
        <v/>
      </c>
      <c r="YF1517" s="42" t="str">
        <f ca="1"/>
        <v/>
      </c>
      <c r="YG1517" s="42" t="str">
        <f ca="1"/>
        <v/>
      </c>
      <c r="YH1517" s="42" t="str">
        <f ca="1"/>
        <v/>
      </c>
      <c r="YI1517" s="42" t="str">
        <f ca="1"/>
        <v/>
      </c>
      <c r="YJ1517" s="42" t="str">
        <f ca="1"/>
        <v/>
      </c>
      <c r="YK1517" s="42" t="str">
        <f ca="1"/>
        <v/>
      </c>
      <c r="YL1517" s="42" t="str">
        <f ca="1"/>
        <v/>
      </c>
      <c r="YM1517" s="42" t="str">
        <f ca="1"/>
        <v/>
      </c>
      <c r="YN1517" s="42" t="str">
        <f ca="1"/>
        <v/>
      </c>
      <c r="YO1517" s="42" t="str">
        <f ca="1"/>
        <v/>
      </c>
      <c r="YP1517" s="42" t="str">
        <f ca="1"/>
        <v/>
      </c>
      <c r="YQ1517" s="42" t="str">
        <f ca="1"/>
        <v/>
      </c>
      <c r="YR1517" s="42" t="str">
        <f ca="1"/>
        <v/>
      </c>
      <c r="YS1517" s="42" t="str">
        <f ca="1"/>
        <v/>
      </c>
      <c r="YT1517" s="42" t="str">
        <f ca="1"/>
        <v/>
      </c>
      <c r="YU1517" s="42" t="str">
        <f ca="1"/>
        <v/>
      </c>
      <c r="YV1517" s="42" t="str">
        <f ca="1"/>
        <v/>
      </c>
      <c r="YW1517" s="42" t="str">
        <f ca="1"/>
        <v/>
      </c>
      <c r="YX1517" s="42" t="str">
        <f ca="1"/>
        <v/>
      </c>
      <c r="YY1517" s="42" t="str">
        <f ca="1"/>
        <v/>
      </c>
      <c r="YZ1517" s="42" t="str">
        <f ca="1"/>
        <v/>
      </c>
      <c r="ZA1517" s="42" t="str">
        <f ca="1"/>
        <v/>
      </c>
      <c r="ZB1517" s="42" t="str">
        <f ca="1"/>
        <v/>
      </c>
      <c r="ZC1517" s="42" t="str">
        <f ca="1"/>
        <v/>
      </c>
      <c r="ZD1517" s="42" t="str">
        <f ca="1"/>
        <v/>
      </c>
      <c r="ZE1517" s="42" t="str">
        <f ca="1"/>
        <v/>
      </c>
      <c r="ZF1517" s="42" t="str">
        <f ca="1"/>
        <v/>
      </c>
      <c r="ZG1517" s="42" t="str">
        <f ca="1"/>
        <v/>
      </c>
      <c r="ZH1517" s="42" t="str">
        <f ca="1"/>
        <v/>
      </c>
      <c r="ZI1517" s="42" t="str">
        <f ca="1"/>
        <v/>
      </c>
      <c r="ZJ1517" s="42" t="str">
        <f ca="1"/>
        <v/>
      </c>
      <c r="ZK1517" s="42" t="str">
        <f ca="1"/>
        <v/>
      </c>
      <c r="ZL1517" s="42" t="str">
        <f ca="1"/>
        <v/>
      </c>
      <c r="ZM1517" s="42" t="str">
        <f ca="1"/>
        <v/>
      </c>
      <c r="ZN1517" s="42" t="str">
        <f ca="1"/>
        <v/>
      </c>
      <c r="ZO1517" s="42" t="str">
        <f ca="1"/>
        <v/>
      </c>
      <c r="ZP1517" s="42" t="str">
        <f ca="1"/>
        <v/>
      </c>
      <c r="ZQ1517" s="42" t="str">
        <f ca="1"/>
        <v/>
      </c>
      <c r="ZR1517" s="42" t="str">
        <f ca="1"/>
        <v/>
      </c>
      <c r="ZS1517" s="42" t="str">
        <f ca="1"/>
        <v/>
      </c>
      <c r="ZT1517" s="42" t="str">
        <f ca="1"/>
        <v/>
      </c>
      <c r="ZU1517" s="42" t="str">
        <f ca="1"/>
        <v/>
      </c>
      <c r="ZV1517" s="42" t="str">
        <f ca="1"/>
        <v/>
      </c>
      <c r="ZW1517" s="42" t="str">
        <f ca="1"/>
        <v/>
      </c>
      <c r="ZX1517" s="42" t="str">
        <f ca="1"/>
        <v/>
      </c>
      <c r="ZY1517" s="42" t="str">
        <f ca="1"/>
        <v/>
      </c>
      <c r="ZZ1517" s="42" t="str">
        <f ca="1"/>
        <v/>
      </c>
      <c r="AAA1517" s="42" t="str">
        <f ca="1"/>
        <v/>
      </c>
      <c r="AAB1517" s="42" t="str">
        <f ca="1"/>
        <v/>
      </c>
      <c r="AAC1517" s="42" t="str">
        <f ca="1"/>
        <v/>
      </c>
      <c r="AAD1517" s="42" t="str">
        <f ca="1"/>
        <v/>
      </c>
      <c r="AAE1517" s="42" t="str">
        <f ca="1"/>
        <v/>
      </c>
      <c r="AAF1517" s="42" t="str">
        <f ca="1"/>
        <v/>
      </c>
      <c r="AAG1517" s="42" t="str">
        <f ca="1"/>
        <v/>
      </c>
      <c r="AAH1517" s="42" t="str">
        <f ca="1"/>
        <v/>
      </c>
      <c r="AAI1517" s="42" t="str">
        <f ca="1"/>
        <v/>
      </c>
      <c r="AAJ1517" s="42" t="str">
        <f ca="1"/>
        <v/>
      </c>
      <c r="AAK1517" s="42" t="str">
        <f ca="1"/>
        <v/>
      </c>
      <c r="AAL1517" s="42" t="str">
        <f ca="1"/>
        <v/>
      </c>
      <c r="AAM1517" s="42" t="str">
        <f ca="1"/>
        <v/>
      </c>
      <c r="AAN1517" s="42" t="str">
        <f ca="1"/>
        <v/>
      </c>
      <c r="AAO1517" s="42" t="str">
        <f ca="1"/>
        <v/>
      </c>
      <c r="AAP1517" s="42" t="str">
        <f ca="1"/>
        <v/>
      </c>
      <c r="AAQ1517" s="42" t="str">
        <f ca="1"/>
        <v/>
      </c>
      <c r="AAR1517" s="42" t="str">
        <f ca="1"/>
        <v/>
      </c>
      <c r="AAS1517" s="42" t="str">
        <f ca="1"/>
        <v/>
      </c>
      <c r="AAT1517" s="42" t="str">
        <f ca="1"/>
        <v/>
      </c>
      <c r="AAU1517" s="42" t="str">
        <f ca="1"/>
        <v/>
      </c>
      <c r="AAV1517" s="42" t="str">
        <f ca="1"/>
        <v/>
      </c>
      <c r="AAW1517" s="42" t="str">
        <f ca="1"/>
        <v/>
      </c>
      <c r="AAX1517" s="42" t="str">
        <f ca="1"/>
        <v/>
      </c>
      <c r="AAY1517" s="42" t="str">
        <f ca="1"/>
        <v/>
      </c>
      <c r="AAZ1517" s="42" t="str">
        <f ca="1"/>
        <v/>
      </c>
      <c r="ABA1517" s="42" t="str">
        <f ca="1"/>
        <v/>
      </c>
      <c r="ABB1517" s="42" t="str">
        <f ca="1"/>
        <v/>
      </c>
      <c r="ABC1517" s="42" t="str">
        <f ca="1"/>
        <v/>
      </c>
      <c r="ABD1517" s="42" t="str">
        <f ca="1"/>
        <v/>
      </c>
      <c r="ABE1517" s="42" t="str">
        <f ca="1"/>
        <v/>
      </c>
      <c r="ABF1517" s="42" t="str">
        <f ca="1"/>
        <v/>
      </c>
      <c r="ABG1517" s="42" t="str">
        <f ca="1"/>
        <v/>
      </c>
      <c r="ABH1517" s="42" t="str">
        <f ca="1"/>
        <v/>
      </c>
      <c r="ABI1517" s="42" t="str">
        <f ca="1"/>
        <v/>
      </c>
      <c r="ABJ1517" s="42" t="str">
        <f ca="1"/>
        <v/>
      </c>
      <c r="ABK1517" s="42" t="str">
        <f ca="1"/>
        <v/>
      </c>
      <c r="ABL1517" s="42" t="str">
        <f ca="1"/>
        <v/>
      </c>
      <c r="ABM1517" s="42" t="str">
        <f ca="1"/>
        <v/>
      </c>
      <c r="ABN1517" s="42" t="str">
        <f ca="1"/>
        <v/>
      </c>
      <c r="ABO1517" s="42" t="str">
        <f ca="1"/>
        <v/>
      </c>
      <c r="ABP1517" s="42" t="str">
        <f ca="1"/>
        <v/>
      </c>
      <c r="ABQ1517" s="42" t="str">
        <f ca="1"/>
        <v/>
      </c>
      <c r="ABR1517" s="42" t="str">
        <f ca="1"/>
        <v/>
      </c>
      <c r="ABS1517" s="42" t="str">
        <f ca="1"/>
        <v/>
      </c>
      <c r="ABT1517" s="42" t="str">
        <f ca="1"/>
        <v/>
      </c>
      <c r="ABU1517" s="42" t="str">
        <f ca="1"/>
        <v/>
      </c>
      <c r="ABV1517" s="42" t="str">
        <f ca="1"/>
        <v/>
      </c>
      <c r="ABW1517" s="42" t="str">
        <f ca="1"/>
        <v/>
      </c>
      <c r="ABX1517" s="42" t="str">
        <f ca="1"/>
        <v/>
      </c>
      <c r="ABY1517" s="42" t="str">
        <f ca="1"/>
        <v/>
      </c>
      <c r="ABZ1517" s="42" t="str">
        <f ca="1"/>
        <v/>
      </c>
      <c r="ACA1517" s="42" t="str">
        <f ca="1"/>
        <v/>
      </c>
      <c r="ACB1517" s="42" t="str">
        <f ca="1"/>
        <v/>
      </c>
      <c r="ACC1517" s="42" t="str">
        <f ca="1"/>
        <v/>
      </c>
      <c r="ACD1517" s="42" t="str">
        <f ca="1"/>
        <v/>
      </c>
      <c r="ACE1517" s="42" t="str">
        <f ca="1"/>
        <v/>
      </c>
      <c r="ACF1517" s="42" t="str">
        <f ca="1"/>
        <v/>
      </c>
      <c r="ACG1517" s="42" t="str">
        <f ca="1"/>
        <v/>
      </c>
      <c r="ACH1517" s="42" t="str">
        <f ca="1"/>
        <v/>
      </c>
      <c r="ACI1517" s="42" t="str">
        <f ca="1"/>
        <v/>
      </c>
      <c r="ACJ1517" s="42" t="str">
        <f ca="1"/>
        <v/>
      </c>
      <c r="ACK1517" s="42" t="str">
        <f ca="1"/>
        <v/>
      </c>
      <c r="ACL1517" s="42" t="str">
        <f ca="1"/>
        <v/>
      </c>
      <c r="ACM1517" s="42" t="str">
        <f ca="1"/>
        <v/>
      </c>
      <c r="ACN1517" s="42" t="str">
        <f ca="1"/>
        <v/>
      </c>
      <c r="ACO1517" s="42" t="str">
        <f ca="1"/>
        <v/>
      </c>
      <c r="ACP1517" s="42" t="str">
        <f ca="1"/>
        <v/>
      </c>
      <c r="ACQ1517" s="42" t="str">
        <f ca="1"/>
        <v/>
      </c>
      <c r="ACR1517" s="42" t="str">
        <f ca="1"/>
        <v/>
      </c>
      <c r="ACS1517" s="42" t="str">
        <f ca="1"/>
        <v/>
      </c>
      <c r="ACT1517" s="42" t="str">
        <f ca="1"/>
        <v/>
      </c>
      <c r="ACU1517" s="42" t="str">
        <f ca="1"/>
        <v/>
      </c>
      <c r="ACV1517" s="42" t="str">
        <f ca="1"/>
        <v/>
      </c>
      <c r="ACW1517" s="42" t="str">
        <f ca="1"/>
        <v/>
      </c>
      <c r="ACX1517" s="42" t="str">
        <f ca="1"/>
        <v/>
      </c>
      <c r="ACY1517" s="42" t="str">
        <f ca="1"/>
        <v/>
      </c>
      <c r="ACZ1517" s="42" t="str">
        <f ca="1"/>
        <v/>
      </c>
      <c r="ADA1517" s="42" t="str">
        <f ca="1"/>
        <v/>
      </c>
      <c r="ADB1517" s="42" t="str">
        <f ca="1"/>
        <v/>
      </c>
      <c r="ADC1517" s="42" t="str">
        <f ca="1"/>
        <v/>
      </c>
      <c r="ADD1517" s="42" t="str">
        <f ca="1"/>
        <v/>
      </c>
      <c r="ADE1517" s="42" t="str">
        <f ca="1"/>
        <v/>
      </c>
      <c r="ADF1517" s="42" t="str">
        <f ca="1"/>
        <v/>
      </c>
      <c r="ADG1517" s="42" t="str">
        <f ca="1"/>
        <v/>
      </c>
      <c r="ADH1517" s="42" t="str">
        <f ca="1"/>
        <v/>
      </c>
      <c r="ADI1517" s="42" t="str">
        <f ca="1"/>
        <v/>
      </c>
      <c r="ADJ1517" s="42" t="str">
        <f ca="1"/>
        <v/>
      </c>
      <c r="ADK1517" s="42" t="str">
        <f ca="1"/>
        <v/>
      </c>
      <c r="ADL1517" s="42" t="str">
        <f ca="1"/>
        <v/>
      </c>
      <c r="ADM1517" s="42" t="str">
        <f ca="1"/>
        <v/>
      </c>
      <c r="ADN1517" s="42" t="str">
        <f ca="1"/>
        <v/>
      </c>
      <c r="ADO1517" s="42" t="str">
        <f ca="1"/>
        <v/>
      </c>
      <c r="ADP1517" s="42" t="str">
        <f ca="1"/>
        <v/>
      </c>
      <c r="ADQ1517" s="42" t="str">
        <f ca="1"/>
        <v/>
      </c>
      <c r="ADR1517" s="42" t="str">
        <f ca="1"/>
        <v/>
      </c>
      <c r="ADS1517" s="42" t="str">
        <f ca="1"/>
        <v/>
      </c>
      <c r="ADT1517" s="42" t="str">
        <f ca="1"/>
        <v/>
      </c>
      <c r="ADU1517" s="42" t="str">
        <f ca="1"/>
        <v/>
      </c>
      <c r="ADV1517" s="42" t="str">
        <f ca="1"/>
        <v/>
      </c>
      <c r="ADW1517" s="42" t="str">
        <f ca="1"/>
        <v/>
      </c>
      <c r="ADX1517" s="42" t="str">
        <f ca="1"/>
        <v/>
      </c>
      <c r="ADY1517" s="42" t="str">
        <f ca="1"/>
        <v/>
      </c>
      <c r="ADZ1517" s="42" t="str">
        <f ca="1"/>
        <v/>
      </c>
      <c r="AEA1517" s="42" t="str">
        <f ca="1"/>
        <v/>
      </c>
      <c r="AEB1517" s="42" t="str">
        <f ca="1"/>
        <v/>
      </c>
      <c r="AEC1517" s="42" t="str">
        <f ca="1"/>
        <v/>
      </c>
      <c r="AED1517" s="42" t="str">
        <f ca="1"/>
        <v/>
      </c>
      <c r="AEE1517" s="42" t="str">
        <f ca="1"/>
        <v/>
      </c>
      <c r="AEF1517" s="42" t="str">
        <f ca="1"/>
        <v/>
      </c>
      <c r="AEG1517" s="42" t="str">
        <f ca="1"/>
        <v/>
      </c>
      <c r="AEH1517" s="42" t="str">
        <f ca="1"/>
        <v/>
      </c>
      <c r="AEI1517" s="42" t="str">
        <f ca="1"/>
        <v/>
      </c>
      <c r="AEJ1517" s="42" t="str">
        <f ca="1"/>
        <v/>
      </c>
      <c r="AEK1517" s="42" t="str">
        <f ca="1"/>
        <v/>
      </c>
      <c r="AEL1517" s="42" t="str">
        <f ca="1"/>
        <v/>
      </c>
      <c r="AEM1517" s="42" t="str">
        <f ca="1"/>
        <v/>
      </c>
      <c r="AEN1517" s="42" t="str">
        <f ca="1"/>
        <v/>
      </c>
      <c r="AEO1517" s="42" t="str">
        <f ca="1"/>
        <v/>
      </c>
      <c r="AEP1517" s="42" t="str">
        <f ca="1"/>
        <v/>
      </c>
      <c r="AEQ1517" s="42" t="str">
        <f ca="1"/>
        <v/>
      </c>
      <c r="AER1517" s="42" t="str">
        <f ca="1"/>
        <v/>
      </c>
      <c r="AES1517" s="42" t="str">
        <f ca="1"/>
        <v/>
      </c>
      <c r="AET1517" s="42" t="str">
        <f ca="1"/>
        <v/>
      </c>
      <c r="AEU1517" s="42" t="str">
        <f ca="1"/>
        <v/>
      </c>
      <c r="AEV1517" s="42" t="str">
        <f ca="1"/>
        <v/>
      </c>
      <c r="AEW1517" s="42" t="str">
        <f ca="1"/>
        <v/>
      </c>
      <c r="AEX1517" s="42" t="str">
        <f ca="1"/>
        <v/>
      </c>
      <c r="AEY1517" s="42" t="str">
        <f ca="1"/>
        <v/>
      </c>
      <c r="AEZ1517" s="42" t="str">
        <f ca="1"/>
        <v/>
      </c>
      <c r="AFA1517" s="42" t="str">
        <f ca="1"/>
        <v/>
      </c>
      <c r="AFB1517" s="42" t="str">
        <f ca="1"/>
        <v/>
      </c>
      <c r="AFC1517" s="42" t="str">
        <f ca="1"/>
        <v/>
      </c>
      <c r="AFD1517" s="42" t="str">
        <f ca="1"/>
        <v/>
      </c>
      <c r="AFE1517" s="42" t="str">
        <f ca="1"/>
        <v/>
      </c>
      <c r="AFF1517" s="42" t="str">
        <f ca="1"/>
        <v/>
      </c>
      <c r="AFG1517" s="42" t="str">
        <f ca="1"/>
        <v/>
      </c>
      <c r="AFH1517" s="42" t="str">
        <f ca="1"/>
        <v/>
      </c>
      <c r="AFI1517" s="42" t="str">
        <f ca="1"/>
        <v/>
      </c>
      <c r="AFJ1517" s="42" t="str">
        <f ca="1"/>
        <v/>
      </c>
      <c r="AFK1517" s="42" t="str">
        <f ca="1"/>
        <v/>
      </c>
      <c r="AFL1517" s="42" t="str">
        <f ca="1"/>
        <v/>
      </c>
      <c r="AFM1517" s="42" t="str">
        <f ca="1"/>
        <v/>
      </c>
      <c r="AFN1517" s="42" t="str">
        <f ca="1"/>
        <v/>
      </c>
      <c r="AFO1517" s="42" t="str">
        <f ca="1"/>
        <v/>
      </c>
      <c r="AFP1517" s="42" t="str">
        <f ca="1"/>
        <v/>
      </c>
      <c r="AFQ1517" s="42" t="str">
        <f ca="1"/>
        <v/>
      </c>
      <c r="AFR1517" s="42" t="str">
        <f ca="1"/>
        <v/>
      </c>
      <c r="AFS1517" s="42" t="str">
        <f ca="1"/>
        <v/>
      </c>
      <c r="AFT1517" s="42" t="str">
        <f ca="1"/>
        <v/>
      </c>
      <c r="AFU1517" s="42" t="str">
        <f ca="1"/>
        <v/>
      </c>
      <c r="AFV1517" s="42" t="str">
        <f ca="1"/>
        <v/>
      </c>
      <c r="AFW1517" s="42" t="str">
        <f ca="1"/>
        <v/>
      </c>
      <c r="AFX1517" s="42" t="str">
        <f ca="1"/>
        <v/>
      </c>
      <c r="AFY1517" s="42" t="str">
        <f ca="1"/>
        <v/>
      </c>
      <c r="AFZ1517" s="42" t="str">
        <f ca="1"/>
        <v/>
      </c>
      <c r="AGA1517" s="42" t="str">
        <f ca="1"/>
        <v/>
      </c>
      <c r="AGB1517" s="42" t="str">
        <f ca="1"/>
        <v/>
      </c>
      <c r="AGC1517" s="42" t="str">
        <f ca="1"/>
        <v/>
      </c>
      <c r="AGD1517" s="42" t="str">
        <f ca="1"/>
        <v/>
      </c>
      <c r="AGE1517" s="42" t="str">
        <f ca="1"/>
        <v/>
      </c>
      <c r="AGF1517" s="42" t="str">
        <f ca="1"/>
        <v/>
      </c>
      <c r="AGG1517" s="42" t="str">
        <f ca="1"/>
        <v/>
      </c>
      <c r="AGH1517" s="42" t="str">
        <f ca="1"/>
        <v/>
      </c>
      <c r="AGI1517" s="42" t="str">
        <f ca="1"/>
        <v/>
      </c>
      <c r="AGJ1517" s="42" t="str">
        <f ca="1"/>
        <v/>
      </c>
      <c r="AGK1517" s="42" t="str">
        <f ca="1"/>
        <v/>
      </c>
      <c r="AGL1517" s="42" t="str">
        <f ca="1"/>
        <v/>
      </c>
      <c r="AGM1517" s="42" t="str">
        <f ca="1"/>
        <v/>
      </c>
      <c r="AGN1517" s="42" t="str">
        <f ca="1"/>
        <v/>
      </c>
    </row>
    <row r="1518" spans="15:872" x14ac:dyDescent="0.25">
      <c r="O1518" s="42">
        <v>5</v>
      </c>
      <c r="P1518" s="42" t="str">
        <f ca="1"/>
        <v/>
      </c>
      <c r="Q1518" s="42" t="str">
        <f ca="1"/>
        <v/>
      </c>
      <c r="R1518" s="42" t="str">
        <f ca="1"/>
        <v/>
      </c>
      <c r="S1518" s="42" t="str">
        <f ca="1"/>
        <v/>
      </c>
      <c r="T1518" s="42" t="str">
        <f ca="1"/>
        <v/>
      </c>
      <c r="U1518" s="42" t="str">
        <f ca="1"/>
        <v/>
      </c>
      <c r="V1518" s="42" t="str">
        <f ca="1"/>
        <v/>
      </c>
      <c r="W1518" s="42" t="str">
        <f ca="1"/>
        <v/>
      </c>
      <c r="X1518" s="42" t="str">
        <f ca="1"/>
        <v/>
      </c>
      <c r="Y1518" s="42" t="str">
        <f ca="1"/>
        <v/>
      </c>
      <c r="Z1518" s="42" t="str">
        <f ca="1"/>
        <v/>
      </c>
      <c r="AA1518" s="42" t="str">
        <f ca="1"/>
        <v/>
      </c>
      <c r="AB1518" s="42" t="str">
        <f ca="1"/>
        <v>S/F</v>
      </c>
      <c r="AC1518" s="42">
        <f ca="1"/>
        <v>179</v>
      </c>
      <c r="AD1518" s="42" t="str">
        <f ca="1"/>
        <v/>
      </c>
      <c r="AE1518" s="42" t="str">
        <f ca="1"/>
        <v/>
      </c>
      <c r="AF1518" s="42" t="str">
        <f ca="1"/>
        <v/>
      </c>
      <c r="AG1518" s="42" t="str">
        <f ca="1"/>
        <v/>
      </c>
      <c r="AH1518" s="42" t="str">
        <f ca="1"/>
        <v/>
      </c>
      <c r="AI1518" s="42" t="str">
        <f ca="1"/>
        <v/>
      </c>
      <c r="AJ1518" s="42" t="str">
        <f ca="1"/>
        <v>S/F</v>
      </c>
      <c r="AK1518" s="42">
        <f ca="1"/>
        <v>0</v>
      </c>
      <c r="AL1518" s="42">
        <f ca="1"/>
        <v>13</v>
      </c>
      <c r="AM1518" s="42">
        <f ca="1"/>
        <v>0</v>
      </c>
      <c r="AN1518" s="42">
        <f ca="1"/>
        <v>169</v>
      </c>
      <c r="AO1518" s="42" t="str">
        <f ca="1"/>
        <v/>
      </c>
      <c r="AP1518" s="42" t="str">
        <f ca="1"/>
        <v/>
      </c>
      <c r="AQ1518" s="42" t="str">
        <f ca="1"/>
        <v/>
      </c>
      <c r="AR1518" s="42" t="str">
        <f ca="1"/>
        <v/>
      </c>
      <c r="AS1518" s="42" t="str">
        <f ca="1"/>
        <v/>
      </c>
      <c r="AT1518" s="42" t="str">
        <f ca="1"/>
        <v/>
      </c>
      <c r="AU1518" s="42" t="str">
        <f ca="1"/>
        <v>REP</v>
      </c>
      <c r="AV1518" s="42" t="str">
        <f ca="1"/>
        <v/>
      </c>
      <c r="AW1518" s="42" t="str">
        <f ca="1"/>
        <v/>
      </c>
      <c r="AX1518" s="42" t="str">
        <f ca="1"/>
        <v/>
      </c>
      <c r="AY1518" s="42" t="str">
        <f ca="1"/>
        <v>REP</v>
      </c>
      <c r="AZ1518" s="42" t="str">
        <f ca="1"/>
        <v/>
      </c>
      <c r="BA1518" s="42" t="str">
        <f ca="1"/>
        <v>S/F</v>
      </c>
      <c r="BB1518" s="42" t="str">
        <f ca="1"/>
        <v/>
      </c>
      <c r="BC1518" s="42" t="str">
        <f ca="1"/>
        <v/>
      </c>
      <c r="BD1518" s="42" t="str">
        <f ca="1"/>
        <v/>
      </c>
      <c r="BE1518" s="42" t="str">
        <f ca="1"/>
        <v/>
      </c>
      <c r="BF1518" s="42" t="str">
        <f ca="1"/>
        <v/>
      </c>
      <c r="BG1518" s="42" t="str">
        <f ca="1"/>
        <v>REP</v>
      </c>
      <c r="BH1518" s="42" t="str">
        <f ca="1"/>
        <v/>
      </c>
      <c r="BI1518" s="42" t="str">
        <f ca="1"/>
        <v/>
      </c>
      <c r="BJ1518" s="42" t="str">
        <f ca="1"/>
        <v/>
      </c>
      <c r="BK1518" s="42" t="str">
        <f ca="1"/>
        <v/>
      </c>
      <c r="BL1518" s="42" t="str">
        <f ca="1"/>
        <v/>
      </c>
      <c r="BM1518" s="42" t="str">
        <f ca="1"/>
        <v/>
      </c>
      <c r="BN1518" s="42" t="str">
        <f ca="1"/>
        <v/>
      </c>
      <c r="BO1518" s="42" t="str">
        <f ca="1"/>
        <v/>
      </c>
      <c r="BP1518" s="42" t="str">
        <f ca="1"/>
        <v>REP</v>
      </c>
      <c r="BQ1518" s="42" t="str">
        <f ca="1"/>
        <v/>
      </c>
      <c r="BR1518" s="42" t="str">
        <f ca="1"/>
        <v/>
      </c>
      <c r="BS1518" s="42" t="str">
        <f ca="1"/>
        <v/>
      </c>
      <c r="BT1518" s="42">
        <f ca="1"/>
        <v>5</v>
      </c>
      <c r="BU1518" s="42" t="str">
        <f ca="1"/>
        <v/>
      </c>
      <c r="BV1518" s="42" t="str">
        <f ca="1"/>
        <v/>
      </c>
      <c r="BW1518" s="42" t="str">
        <f ca="1"/>
        <v/>
      </c>
      <c r="BX1518" s="42" t="str">
        <f ca="1"/>
        <v/>
      </c>
      <c r="BY1518" s="42" t="str">
        <f ca="1"/>
        <v/>
      </c>
      <c r="BZ1518" s="42" t="str">
        <f ca="1"/>
        <v/>
      </c>
      <c r="CA1518" s="42" t="str">
        <f ca="1"/>
        <v/>
      </c>
      <c r="CB1518" s="42" t="str">
        <f ca="1"/>
        <v>REP</v>
      </c>
      <c r="CC1518" s="42" t="str">
        <f ca="1"/>
        <v/>
      </c>
      <c r="CD1518" s="42" t="str">
        <f ca="1"/>
        <v/>
      </c>
      <c r="CE1518" s="42" t="str">
        <f ca="1"/>
        <v/>
      </c>
      <c r="CF1518" s="42" t="str">
        <f ca="1"/>
        <v/>
      </c>
      <c r="CG1518" s="42" t="str">
        <f ca="1"/>
        <v/>
      </c>
      <c r="CH1518" s="42" t="str">
        <f ca="1"/>
        <v/>
      </c>
      <c r="CI1518" s="42" t="str">
        <f ca="1"/>
        <v/>
      </c>
      <c r="CJ1518" s="42" t="str">
        <f ca="1"/>
        <v/>
      </c>
      <c r="CK1518" s="42" t="str">
        <f ca="1"/>
        <v/>
      </c>
      <c r="CL1518" s="42" t="str">
        <f ca="1"/>
        <v/>
      </c>
      <c r="CM1518" s="42" t="str">
        <f ca="1"/>
        <v/>
      </c>
      <c r="CN1518" s="42" t="str">
        <f ca="1"/>
        <v/>
      </c>
      <c r="CO1518" s="42" t="str">
        <f ca="1"/>
        <v/>
      </c>
      <c r="CP1518" s="42" t="str">
        <f ca="1"/>
        <v/>
      </c>
      <c r="CQ1518" s="42" t="str">
        <f ca="1"/>
        <v/>
      </c>
      <c r="CR1518" s="42" t="str">
        <f ca="1"/>
        <v/>
      </c>
      <c r="CS1518" s="42" t="str">
        <f ca="1"/>
        <v/>
      </c>
      <c r="CT1518" s="42" t="str">
        <f ca="1"/>
        <v/>
      </c>
      <c r="CU1518" s="42" t="str">
        <f ca="1"/>
        <v/>
      </c>
      <c r="CV1518" s="42" t="str">
        <f ca="1"/>
        <v/>
      </c>
      <c r="CW1518" s="42" t="str">
        <f ca="1"/>
        <v/>
      </c>
      <c r="CX1518" s="42" t="str">
        <f ca="1"/>
        <v/>
      </c>
      <c r="CY1518" s="42" t="str">
        <f ca="1"/>
        <v/>
      </c>
      <c r="CZ1518" s="42" t="str">
        <f ca="1"/>
        <v/>
      </c>
      <c r="DA1518" s="42" t="str">
        <f ca="1"/>
        <v/>
      </c>
      <c r="DB1518" s="42" t="str">
        <f ca="1"/>
        <v/>
      </c>
      <c r="DC1518" s="42" t="str">
        <f ca="1"/>
        <v/>
      </c>
      <c r="DD1518" s="42" t="str">
        <f ca="1"/>
        <v/>
      </c>
      <c r="DE1518" s="42" t="str">
        <f ca="1"/>
        <v/>
      </c>
      <c r="DF1518" s="42" t="str">
        <f ca="1"/>
        <v/>
      </c>
      <c r="DG1518" s="42" t="str">
        <f ca="1"/>
        <v/>
      </c>
      <c r="DH1518" s="42" t="str">
        <f ca="1"/>
        <v/>
      </c>
      <c r="DI1518" s="42" t="str">
        <f ca="1"/>
        <v/>
      </c>
      <c r="DJ1518" s="42" t="str">
        <f ca="1"/>
        <v/>
      </c>
      <c r="DK1518" s="42" t="str">
        <f ca="1"/>
        <v/>
      </c>
      <c r="DL1518" s="42" t="str">
        <f ca="1"/>
        <v/>
      </c>
      <c r="DM1518" s="42" t="str">
        <f ca="1"/>
        <v/>
      </c>
      <c r="DN1518" s="42" t="str">
        <f ca="1"/>
        <v/>
      </c>
      <c r="DO1518" s="42" t="str">
        <f ca="1"/>
        <v/>
      </c>
      <c r="DP1518" s="42" t="str">
        <f ca="1"/>
        <v/>
      </c>
      <c r="DQ1518" s="42" t="str">
        <f ca="1"/>
        <v/>
      </c>
      <c r="DR1518" s="42" t="str">
        <f ca="1"/>
        <v/>
      </c>
      <c r="DS1518" s="42" t="str">
        <f ca="1"/>
        <v>REP</v>
      </c>
      <c r="DT1518" s="42" t="str">
        <f ca="1"/>
        <v/>
      </c>
      <c r="DU1518" s="42" t="str">
        <f ca="1"/>
        <v/>
      </c>
      <c r="DV1518" s="42" t="str">
        <f ca="1"/>
        <v/>
      </c>
      <c r="DW1518" s="42" t="str">
        <f ca="1"/>
        <v/>
      </c>
      <c r="DX1518" s="42" t="str">
        <f ca="1"/>
        <v/>
      </c>
      <c r="DY1518" s="42" t="str">
        <f ca="1"/>
        <v/>
      </c>
      <c r="DZ1518" s="42" t="str">
        <f ca="1"/>
        <v/>
      </c>
      <c r="EA1518" s="42" t="str">
        <f ca="1"/>
        <v/>
      </c>
      <c r="EB1518" s="42" t="str">
        <f ca="1"/>
        <v/>
      </c>
      <c r="EC1518" s="42" t="str">
        <f ca="1"/>
        <v/>
      </c>
      <c r="ED1518" s="42">
        <f ca="1"/>
        <v>14</v>
      </c>
      <c r="EE1518" s="42" t="str">
        <f ca="1"/>
        <v/>
      </c>
      <c r="EF1518" s="42" t="str">
        <f ca="1"/>
        <v/>
      </c>
      <c r="EG1518" s="42" t="str">
        <f ca="1"/>
        <v/>
      </c>
      <c r="EH1518" s="42" t="str">
        <f ca="1"/>
        <v/>
      </c>
      <c r="EI1518" s="42" t="str">
        <f ca="1"/>
        <v/>
      </c>
      <c r="EJ1518" s="42" t="str">
        <f ca="1"/>
        <v/>
      </c>
      <c r="EK1518" s="42" t="str">
        <f ca="1"/>
        <v/>
      </c>
      <c r="EL1518" s="42" t="str">
        <f ca="1"/>
        <v/>
      </c>
      <c r="EM1518" s="42" t="str">
        <f ca="1"/>
        <v/>
      </c>
      <c r="EN1518" s="42" t="str">
        <f ca="1"/>
        <v/>
      </c>
      <c r="EO1518" s="42" t="str">
        <f ca="1"/>
        <v/>
      </c>
      <c r="EP1518" s="42" t="str">
        <f ca="1"/>
        <v/>
      </c>
      <c r="EQ1518" s="42" t="str">
        <f ca="1"/>
        <v>REP</v>
      </c>
      <c r="ER1518" s="42" t="str">
        <f ca="1"/>
        <v/>
      </c>
      <c r="ES1518" s="42" t="str">
        <f ca="1"/>
        <v/>
      </c>
      <c r="ET1518" s="42" t="str">
        <f ca="1"/>
        <v/>
      </c>
      <c r="EU1518" s="42" t="str">
        <f ca="1"/>
        <v/>
      </c>
      <c r="EV1518" s="42" t="str">
        <f ca="1"/>
        <v/>
      </c>
      <c r="EW1518" s="42" t="str">
        <f ca="1"/>
        <v/>
      </c>
      <c r="EX1518" s="42" t="str">
        <f ca="1"/>
        <v/>
      </c>
      <c r="EY1518" s="42" t="str">
        <f ca="1"/>
        <v/>
      </c>
      <c r="EZ1518" s="42" t="str">
        <f ca="1"/>
        <v/>
      </c>
      <c r="FA1518" s="42" t="str">
        <f ca="1"/>
        <v>S/F</v>
      </c>
      <c r="FB1518" s="42" t="str">
        <f ca="1"/>
        <v/>
      </c>
      <c r="FC1518" s="42">
        <f ca="1"/>
        <v>179</v>
      </c>
      <c r="FD1518" s="42" t="str">
        <f ca="1"/>
        <v/>
      </c>
      <c r="FE1518" s="42" t="str">
        <f ca="1"/>
        <v>REP</v>
      </c>
      <c r="FF1518" s="42" t="str">
        <f ca="1"/>
        <v/>
      </c>
      <c r="FG1518" s="42" t="str">
        <f ca="1"/>
        <v/>
      </c>
      <c r="FH1518" s="42" t="str">
        <f ca="1"/>
        <v/>
      </c>
      <c r="FI1518" s="42">
        <f ca="1"/>
        <v>0</v>
      </c>
      <c r="FJ1518" s="42" t="str">
        <f ca="1"/>
        <v>REP</v>
      </c>
      <c r="FK1518" s="42">
        <f ca="1"/>
        <v>0</v>
      </c>
      <c r="FL1518" s="42" t="str">
        <f ca="1"/>
        <v>REP</v>
      </c>
      <c r="FM1518" s="42" t="str">
        <f ca="1"/>
        <v/>
      </c>
      <c r="FN1518" s="42" t="str">
        <f ca="1"/>
        <v/>
      </c>
      <c r="FO1518" s="42" t="str">
        <f ca="1"/>
        <v/>
      </c>
      <c r="FP1518" s="42" t="str">
        <f ca="1"/>
        <v/>
      </c>
      <c r="FQ1518" s="42" t="str">
        <f ca="1"/>
        <v/>
      </c>
      <c r="FR1518" s="42" t="str">
        <f ca="1"/>
        <v/>
      </c>
      <c r="FS1518" s="42" t="str">
        <f ca="1"/>
        <v/>
      </c>
      <c r="FT1518" s="42" t="str">
        <f ca="1"/>
        <v/>
      </c>
      <c r="FU1518" s="42" t="str">
        <f ca="1"/>
        <v/>
      </c>
      <c r="FV1518" s="42" t="str">
        <f ca="1"/>
        <v/>
      </c>
      <c r="FW1518" s="42" t="str">
        <f ca="1"/>
        <v/>
      </c>
      <c r="FX1518" s="42" t="str">
        <f ca="1"/>
        <v/>
      </c>
      <c r="FY1518" s="42" t="str">
        <f ca="1"/>
        <v/>
      </c>
      <c r="FZ1518" s="42" t="str">
        <f ca="1"/>
        <v/>
      </c>
      <c r="GA1518" s="42" t="str">
        <f ca="1"/>
        <v/>
      </c>
      <c r="GB1518" s="42" t="str">
        <f ca="1"/>
        <v/>
      </c>
      <c r="GC1518" s="42">
        <f ca="1"/>
        <v>12</v>
      </c>
      <c r="GD1518" s="42" t="str">
        <f ca="1"/>
        <v/>
      </c>
      <c r="GE1518" s="42" t="str">
        <f ca="1"/>
        <v/>
      </c>
      <c r="GF1518" s="42">
        <f ca="1"/>
        <v>0</v>
      </c>
      <c r="GG1518" s="42">
        <f ca="1"/>
        <v>0</v>
      </c>
      <c r="GH1518" s="42" t="str">
        <f ca="1"/>
        <v/>
      </c>
      <c r="GI1518" s="42" t="str">
        <f ca="1"/>
        <v>REP</v>
      </c>
      <c r="GJ1518" s="42" t="str">
        <f ca="1"/>
        <v/>
      </c>
      <c r="GK1518" s="42" t="str">
        <f ca="1"/>
        <v/>
      </c>
      <c r="GL1518" s="42" t="str">
        <f ca="1"/>
        <v/>
      </c>
      <c r="GM1518" s="42" t="str">
        <f ca="1"/>
        <v/>
      </c>
      <c r="GN1518" s="42" t="str">
        <f ca="1"/>
        <v/>
      </c>
      <c r="GO1518" s="42" t="str">
        <f ca="1"/>
        <v/>
      </c>
      <c r="GP1518" s="42" t="str">
        <f ca="1"/>
        <v/>
      </c>
      <c r="GQ1518" s="42" t="str">
        <f ca="1"/>
        <v/>
      </c>
      <c r="GR1518" s="42" t="str">
        <f ca="1"/>
        <v/>
      </c>
      <c r="GS1518" s="42" t="str">
        <f ca="1"/>
        <v>REP</v>
      </c>
      <c r="GT1518" s="42" t="str">
        <f ca="1"/>
        <v/>
      </c>
      <c r="GU1518" s="42" t="str">
        <f ca="1"/>
        <v/>
      </c>
      <c r="GV1518" s="42" t="str">
        <f ca="1"/>
        <v>REP</v>
      </c>
      <c r="GW1518" s="42" t="str">
        <f ca="1"/>
        <v/>
      </c>
      <c r="GX1518" s="42" t="str">
        <f ca="1"/>
        <v/>
      </c>
      <c r="GY1518" s="42" t="str">
        <f ca="1"/>
        <v/>
      </c>
      <c r="GZ1518" s="42" t="str">
        <f ca="1"/>
        <v/>
      </c>
      <c r="HA1518" s="42" t="str">
        <f ca="1"/>
        <v/>
      </c>
      <c r="HB1518" s="42" t="str">
        <f ca="1"/>
        <v/>
      </c>
      <c r="HC1518" s="42" t="str">
        <f ca="1"/>
        <v/>
      </c>
      <c r="HD1518" s="42" t="str">
        <f ca="1"/>
        <v>REP</v>
      </c>
      <c r="HE1518" s="42" t="str">
        <f ca="1"/>
        <v/>
      </c>
      <c r="HF1518" s="42" t="str">
        <f ca="1"/>
        <v/>
      </c>
      <c r="HG1518" s="42" t="str">
        <f ca="1"/>
        <v/>
      </c>
      <c r="HH1518" s="42" t="str">
        <f ca="1"/>
        <v/>
      </c>
      <c r="HI1518" s="42" t="str">
        <f ca="1"/>
        <v/>
      </c>
      <c r="HJ1518" s="42" t="str">
        <f ca="1"/>
        <v/>
      </c>
      <c r="HK1518" s="42" t="str">
        <f ca="1"/>
        <v/>
      </c>
      <c r="HL1518" s="42" t="str">
        <f ca="1"/>
        <v/>
      </c>
      <c r="HM1518" s="42" t="str">
        <f ca="1"/>
        <v>REP</v>
      </c>
      <c r="HN1518" s="42" t="str">
        <f ca="1"/>
        <v/>
      </c>
      <c r="HO1518" s="42" t="str">
        <f ca="1"/>
        <v/>
      </c>
      <c r="HP1518" s="42" t="str">
        <f ca="1"/>
        <v>REP</v>
      </c>
      <c r="HQ1518" s="42" t="str">
        <f ca="1"/>
        <v/>
      </c>
      <c r="HR1518" s="42" t="str">
        <f ca="1"/>
        <v/>
      </c>
      <c r="HS1518" s="42" t="str">
        <f ca="1"/>
        <v/>
      </c>
      <c r="HT1518" s="42" t="str">
        <f ca="1"/>
        <v/>
      </c>
      <c r="HU1518" s="42" t="str">
        <f ca="1"/>
        <v/>
      </c>
      <c r="HV1518" s="42" t="str">
        <f ca="1"/>
        <v/>
      </c>
      <c r="HW1518" s="42" t="str">
        <f ca="1"/>
        <v/>
      </c>
      <c r="HX1518" s="42" t="str">
        <f ca="1"/>
        <v/>
      </c>
      <c r="HY1518" s="42" t="str">
        <f ca="1"/>
        <v/>
      </c>
      <c r="HZ1518" s="42" t="str">
        <f ca="1"/>
        <v/>
      </c>
      <c r="IA1518" s="42" t="str">
        <f ca="1"/>
        <v/>
      </c>
      <c r="IB1518" s="42" t="str">
        <f ca="1"/>
        <v>REP</v>
      </c>
      <c r="IC1518" s="42" t="str">
        <f ca="1"/>
        <v/>
      </c>
      <c r="ID1518" s="42" t="str">
        <f ca="1"/>
        <v/>
      </c>
      <c r="IE1518" s="42" t="str">
        <f ca="1"/>
        <v/>
      </c>
      <c r="IF1518" s="42" t="str">
        <f ca="1"/>
        <v/>
      </c>
      <c r="IG1518" s="42" t="str">
        <f ca="1"/>
        <v/>
      </c>
      <c r="IH1518" s="42" t="str">
        <f ca="1"/>
        <v/>
      </c>
      <c r="II1518" s="42" t="str">
        <f ca="1"/>
        <v/>
      </c>
      <c r="IJ1518" s="42" t="str">
        <f ca="1"/>
        <v>REP</v>
      </c>
      <c r="IK1518" s="42" t="str">
        <f ca="1"/>
        <v/>
      </c>
      <c r="IL1518" s="42" t="str">
        <f ca="1"/>
        <v/>
      </c>
      <c r="IM1518" s="42" t="str">
        <f ca="1"/>
        <v/>
      </c>
      <c r="IN1518" s="42" t="str">
        <f ca="1"/>
        <v/>
      </c>
      <c r="IO1518" s="42" t="str">
        <f ca="1"/>
        <v/>
      </c>
      <c r="IP1518" s="42" t="str">
        <f ca="1"/>
        <v/>
      </c>
      <c r="IQ1518" s="42" t="str">
        <f ca="1"/>
        <v/>
      </c>
      <c r="IR1518" s="42" t="str">
        <f ca="1"/>
        <v/>
      </c>
      <c r="IS1518" s="42" t="str">
        <f ca="1"/>
        <v/>
      </c>
      <c r="IT1518" s="42" t="str">
        <f ca="1"/>
        <v>REP</v>
      </c>
      <c r="IU1518" s="42" t="str">
        <f ca="1"/>
        <v/>
      </c>
      <c r="IV1518" s="42" t="str">
        <f ca="1"/>
        <v/>
      </c>
      <c r="IW1518" s="42" t="str">
        <f ca="1"/>
        <v/>
      </c>
      <c r="IX1518" s="42" t="str">
        <f ca="1"/>
        <v/>
      </c>
      <c r="IY1518" s="42" t="str">
        <f ca="1"/>
        <v/>
      </c>
      <c r="IZ1518" s="42" t="str">
        <f ca="1"/>
        <v>REP</v>
      </c>
      <c r="JA1518" s="42" t="str">
        <f ca="1"/>
        <v/>
      </c>
      <c r="JB1518" s="42" t="str">
        <f ca="1"/>
        <v>REP</v>
      </c>
      <c r="JC1518" s="42" t="str">
        <f ca="1"/>
        <v/>
      </c>
      <c r="JD1518" s="42" t="str">
        <f ca="1"/>
        <v/>
      </c>
      <c r="JE1518" s="42" t="str">
        <f ca="1"/>
        <v/>
      </c>
      <c r="JF1518" s="42" t="str">
        <f ca="1"/>
        <v/>
      </c>
      <c r="JG1518" s="42" t="str">
        <f ca="1"/>
        <v/>
      </c>
      <c r="JH1518" s="42" t="str">
        <f ca="1"/>
        <v/>
      </c>
      <c r="JI1518" s="42" t="str">
        <f ca="1"/>
        <v/>
      </c>
      <c r="JJ1518" s="42" t="str">
        <f ca="1"/>
        <v/>
      </c>
      <c r="JK1518" s="42" t="str">
        <f ca="1"/>
        <v/>
      </c>
      <c r="JL1518" s="42" t="str">
        <f ca="1"/>
        <v/>
      </c>
      <c r="JM1518" s="42" t="str">
        <f ca="1"/>
        <v/>
      </c>
      <c r="JN1518" s="42" t="str">
        <f ca="1"/>
        <v/>
      </c>
      <c r="JO1518" s="42" t="str">
        <f ca="1"/>
        <v/>
      </c>
      <c r="JP1518" s="42" t="str">
        <f ca="1"/>
        <v/>
      </c>
      <c r="JQ1518" s="42" t="str">
        <f ca="1"/>
        <v>REP</v>
      </c>
      <c r="JR1518" s="42" t="str">
        <f ca="1"/>
        <v/>
      </c>
      <c r="JS1518" s="42" t="str">
        <f ca="1"/>
        <v>REP</v>
      </c>
      <c r="JT1518" s="42" t="str">
        <f ca="1"/>
        <v/>
      </c>
      <c r="JU1518" s="42" t="str">
        <f ca="1"/>
        <v/>
      </c>
      <c r="JV1518" s="42" t="str">
        <f ca="1"/>
        <v/>
      </c>
      <c r="JW1518" s="42" t="str">
        <f ca="1"/>
        <v/>
      </c>
      <c r="JX1518" s="42" t="str">
        <f ca="1"/>
        <v/>
      </c>
      <c r="JY1518" s="42" t="str">
        <f ca="1"/>
        <v>S/F</v>
      </c>
      <c r="JZ1518" s="42" t="str">
        <f ca="1"/>
        <v/>
      </c>
      <c r="KA1518" s="42" t="str">
        <f ca="1"/>
        <v/>
      </c>
      <c r="KB1518" s="42" t="str">
        <f ca="1"/>
        <v/>
      </c>
      <c r="KC1518" s="42" t="str">
        <f ca="1"/>
        <v/>
      </c>
      <c r="KD1518" s="42" t="str">
        <f ca="1"/>
        <v/>
      </c>
      <c r="KE1518" s="42" t="str">
        <f ca="1"/>
        <v/>
      </c>
      <c r="KF1518" s="42" t="str">
        <f ca="1"/>
        <v>REP</v>
      </c>
      <c r="KG1518" s="42" t="str">
        <f ca="1"/>
        <v/>
      </c>
      <c r="KH1518" s="42" t="str">
        <f ca="1"/>
        <v/>
      </c>
      <c r="KI1518" s="42" t="str">
        <f ca="1"/>
        <v/>
      </c>
      <c r="KJ1518" s="42" t="str">
        <f ca="1"/>
        <v/>
      </c>
      <c r="KK1518" s="42" t="str">
        <f ca="1"/>
        <v/>
      </c>
      <c r="KL1518" s="42" t="str">
        <f ca="1"/>
        <v/>
      </c>
      <c r="KM1518" s="42" t="str">
        <f ca="1"/>
        <v/>
      </c>
      <c r="KN1518" s="42" t="str">
        <f ca="1"/>
        <v/>
      </c>
      <c r="KO1518" s="42" t="str">
        <f ca="1"/>
        <v/>
      </c>
      <c r="KP1518" s="42" t="str">
        <f ca="1"/>
        <v/>
      </c>
      <c r="KQ1518" s="42" t="str">
        <f ca="1"/>
        <v/>
      </c>
      <c r="KR1518" s="42" t="str">
        <f ca="1"/>
        <v>REP</v>
      </c>
      <c r="KS1518" s="42" t="str">
        <f ca="1"/>
        <v/>
      </c>
      <c r="KT1518" s="42" t="str">
        <f ca="1"/>
        <v>REP</v>
      </c>
      <c r="KU1518" s="42" t="str">
        <f ca="1"/>
        <v/>
      </c>
      <c r="KV1518" s="42" t="str">
        <f ca="1"/>
        <v/>
      </c>
      <c r="KW1518" s="42" t="str">
        <f ca="1"/>
        <v>REP</v>
      </c>
      <c r="KX1518" s="42" t="str">
        <f ca="1"/>
        <v>REP</v>
      </c>
      <c r="KY1518" s="42" t="str">
        <f ca="1"/>
        <v/>
      </c>
      <c r="KZ1518" s="42" t="str">
        <f ca="1"/>
        <v/>
      </c>
      <c r="LA1518" s="42" t="str">
        <f ca="1"/>
        <v/>
      </c>
      <c r="LB1518" s="42" t="str">
        <f ca="1"/>
        <v>S/F</v>
      </c>
      <c r="LC1518" s="42" t="str">
        <f ca="1"/>
        <v/>
      </c>
      <c r="LD1518" s="42" t="str">
        <f ca="1"/>
        <v/>
      </c>
      <c r="LE1518" s="42" t="str">
        <f ca="1"/>
        <v>S/F</v>
      </c>
      <c r="LF1518" s="42" t="str">
        <f ca="1"/>
        <v/>
      </c>
      <c r="LG1518" s="42" t="str">
        <f ca="1"/>
        <v/>
      </c>
      <c r="LH1518" s="42" t="str">
        <f ca="1"/>
        <v/>
      </c>
      <c r="LI1518" s="42" t="str">
        <f ca="1"/>
        <v/>
      </c>
      <c r="LJ1518" s="42" t="str">
        <f ca="1"/>
        <v/>
      </c>
      <c r="LK1518" s="42" t="str">
        <f ca="1"/>
        <v/>
      </c>
      <c r="LL1518" s="42" t="str">
        <f ca="1"/>
        <v/>
      </c>
      <c r="LM1518" s="42" t="str">
        <f ca="1"/>
        <v/>
      </c>
      <c r="LN1518" s="42" t="str">
        <f ca="1"/>
        <v/>
      </c>
      <c r="LO1518" s="42" t="str">
        <f ca="1"/>
        <v/>
      </c>
      <c r="LP1518" s="42" t="str">
        <f ca="1"/>
        <v/>
      </c>
      <c r="LQ1518" s="42" t="str">
        <f ca="1"/>
        <v/>
      </c>
      <c r="LR1518" s="42" t="str">
        <f ca="1"/>
        <v/>
      </c>
      <c r="LS1518" s="42" t="str">
        <f ca="1"/>
        <v>REP</v>
      </c>
      <c r="LT1518" s="42" t="str">
        <f ca="1"/>
        <v/>
      </c>
      <c r="LU1518" s="42" t="str">
        <f ca="1"/>
        <v/>
      </c>
      <c r="LV1518" s="42" t="str">
        <f ca="1"/>
        <v/>
      </c>
      <c r="LW1518" s="42" t="str">
        <f ca="1"/>
        <v/>
      </c>
      <c r="LX1518" s="42" t="str">
        <f ca="1"/>
        <v/>
      </c>
      <c r="LY1518" s="42" t="str">
        <f ca="1"/>
        <v/>
      </c>
      <c r="LZ1518" s="42" t="str">
        <f ca="1"/>
        <v/>
      </c>
      <c r="MA1518" s="42" t="str">
        <f ca="1"/>
        <v/>
      </c>
      <c r="MB1518" s="42" t="str">
        <f ca="1"/>
        <v/>
      </c>
      <c r="MC1518" s="42" t="str">
        <f ca="1"/>
        <v/>
      </c>
      <c r="MD1518" s="42" t="str">
        <f ca="1"/>
        <v/>
      </c>
      <c r="ME1518" s="42" t="str">
        <f ca="1"/>
        <v/>
      </c>
      <c r="MF1518" s="42" t="str">
        <f ca="1"/>
        <v/>
      </c>
      <c r="MG1518" s="42" t="str">
        <f ca="1"/>
        <v/>
      </c>
      <c r="MH1518" s="42" t="str">
        <f ca="1"/>
        <v/>
      </c>
      <c r="MI1518" s="42" t="str">
        <f ca="1"/>
        <v/>
      </c>
      <c r="MJ1518" s="42" t="str">
        <f ca="1"/>
        <v/>
      </c>
      <c r="MK1518" s="42" t="str">
        <f ca="1"/>
        <v/>
      </c>
      <c r="ML1518" s="42" t="str">
        <f ca="1"/>
        <v/>
      </c>
      <c r="MM1518" s="42" t="str">
        <f ca="1"/>
        <v/>
      </c>
      <c r="MN1518" s="42" t="str">
        <f ca="1"/>
        <v/>
      </c>
      <c r="MO1518" s="42" t="str">
        <f ca="1"/>
        <v/>
      </c>
      <c r="MP1518" s="42" t="str">
        <f ca="1"/>
        <v/>
      </c>
      <c r="MQ1518" s="42" t="str">
        <f ca="1"/>
        <v/>
      </c>
      <c r="MR1518" s="42" t="str">
        <f ca="1"/>
        <v/>
      </c>
      <c r="MS1518" s="42" t="str">
        <f ca="1"/>
        <v/>
      </c>
      <c r="MT1518" s="42" t="str">
        <f ca="1"/>
        <v/>
      </c>
      <c r="MU1518" s="42" t="str">
        <f ca="1"/>
        <v/>
      </c>
      <c r="MV1518" s="42" t="str">
        <f ca="1"/>
        <v/>
      </c>
      <c r="MW1518" s="42" t="str">
        <f ca="1"/>
        <v/>
      </c>
      <c r="MX1518" s="42" t="str">
        <f ca="1"/>
        <v/>
      </c>
      <c r="MY1518" s="42" t="str">
        <f ca="1"/>
        <v/>
      </c>
      <c r="MZ1518" s="42" t="str">
        <f ca="1"/>
        <v/>
      </c>
      <c r="NA1518" s="42" t="str">
        <f ca="1"/>
        <v/>
      </c>
      <c r="NB1518" s="42" t="str">
        <f ca="1"/>
        <v/>
      </c>
      <c r="NC1518" s="42" t="str">
        <f ca="1"/>
        <v/>
      </c>
      <c r="ND1518" s="42" t="str">
        <f ca="1"/>
        <v/>
      </c>
      <c r="NE1518" s="42" t="str">
        <f ca="1"/>
        <v/>
      </c>
      <c r="NF1518" s="42" t="str">
        <f ca="1"/>
        <v/>
      </c>
      <c r="NG1518" s="42" t="str">
        <f ca="1"/>
        <v/>
      </c>
      <c r="NH1518" s="42" t="str">
        <f ca="1"/>
        <v/>
      </c>
      <c r="NI1518" s="42" t="str">
        <f ca="1"/>
        <v/>
      </c>
      <c r="NJ1518" s="42" t="str">
        <f ca="1"/>
        <v/>
      </c>
      <c r="NK1518" s="42" t="str">
        <f ca="1"/>
        <v/>
      </c>
      <c r="NL1518" s="42" t="str">
        <f ca="1"/>
        <v/>
      </c>
      <c r="NM1518" s="42" t="str">
        <f ca="1"/>
        <v/>
      </c>
      <c r="NN1518" s="42" t="str">
        <f ca="1"/>
        <v/>
      </c>
      <c r="NO1518" s="42" t="str">
        <f ca="1"/>
        <v/>
      </c>
      <c r="NP1518" s="42" t="str">
        <f ca="1"/>
        <v/>
      </c>
      <c r="NQ1518" s="42" t="str">
        <f ca="1"/>
        <v/>
      </c>
      <c r="NR1518" s="42" t="str">
        <f ca="1"/>
        <v/>
      </c>
      <c r="NS1518" s="42" t="str">
        <f ca="1"/>
        <v/>
      </c>
      <c r="NT1518" s="42" t="str">
        <f ca="1"/>
        <v/>
      </c>
      <c r="NU1518" s="42" t="str">
        <f ca="1"/>
        <v/>
      </c>
      <c r="NV1518" s="42" t="str">
        <f ca="1"/>
        <v/>
      </c>
      <c r="NW1518" s="42" t="str">
        <f ca="1"/>
        <v/>
      </c>
      <c r="NX1518" s="42" t="str">
        <f ca="1"/>
        <v/>
      </c>
      <c r="NY1518" s="42" t="str">
        <f ca="1"/>
        <v/>
      </c>
      <c r="NZ1518" s="42" t="str">
        <f ca="1"/>
        <v/>
      </c>
      <c r="OA1518" s="42" t="str">
        <f ca="1"/>
        <v/>
      </c>
      <c r="OB1518" s="42" t="str">
        <f ca="1"/>
        <v/>
      </c>
      <c r="OC1518" s="42" t="str">
        <f ca="1"/>
        <v/>
      </c>
      <c r="OD1518" s="42" t="str">
        <f ca="1"/>
        <v/>
      </c>
      <c r="OE1518" s="42" t="str">
        <f ca="1"/>
        <v/>
      </c>
      <c r="OF1518" s="42" t="str">
        <f ca="1"/>
        <v/>
      </c>
      <c r="OG1518" s="42" t="str">
        <f ca="1"/>
        <v/>
      </c>
      <c r="OH1518" s="42" t="str">
        <f ca="1"/>
        <v/>
      </c>
      <c r="OI1518" s="42" t="str">
        <f ca="1"/>
        <v/>
      </c>
      <c r="OJ1518" s="42" t="str">
        <f ca="1"/>
        <v/>
      </c>
      <c r="OK1518" s="42" t="str">
        <f ca="1"/>
        <v/>
      </c>
      <c r="OL1518" s="42" t="str">
        <f ca="1"/>
        <v/>
      </c>
      <c r="OM1518" s="42" t="str">
        <f ca="1"/>
        <v/>
      </c>
      <c r="ON1518" s="42" t="str">
        <f ca="1"/>
        <v/>
      </c>
      <c r="OO1518" s="42" t="str">
        <f ca="1"/>
        <v/>
      </c>
      <c r="OP1518" s="42" t="str">
        <f ca="1"/>
        <v/>
      </c>
      <c r="OQ1518" s="42" t="str">
        <f ca="1"/>
        <v/>
      </c>
      <c r="OR1518" s="42" t="str">
        <f ca="1"/>
        <v/>
      </c>
      <c r="OS1518" s="42" t="str">
        <f ca="1"/>
        <v/>
      </c>
      <c r="OT1518" s="42" t="str">
        <f ca="1"/>
        <v/>
      </c>
      <c r="OU1518" s="42" t="str">
        <f ca="1"/>
        <v/>
      </c>
      <c r="OV1518" s="42" t="str">
        <f ca="1"/>
        <v/>
      </c>
      <c r="OW1518" s="42" t="str">
        <f ca="1"/>
        <v/>
      </c>
      <c r="OX1518" s="42" t="str">
        <f ca="1"/>
        <v/>
      </c>
      <c r="OY1518" s="42" t="str">
        <f ca="1"/>
        <v/>
      </c>
      <c r="OZ1518" s="42" t="str">
        <f ca="1"/>
        <v/>
      </c>
      <c r="PA1518" s="42" t="str">
        <f ca="1"/>
        <v/>
      </c>
      <c r="PB1518" s="42" t="str">
        <f ca="1"/>
        <v/>
      </c>
      <c r="PC1518" s="42" t="str">
        <f ca="1"/>
        <v/>
      </c>
      <c r="PD1518" s="42" t="str">
        <f ca="1"/>
        <v/>
      </c>
      <c r="PE1518" s="42" t="str">
        <f ca="1"/>
        <v/>
      </c>
      <c r="PF1518" s="42" t="str">
        <f ca="1"/>
        <v/>
      </c>
      <c r="PG1518" s="42" t="str">
        <f ca="1"/>
        <v/>
      </c>
      <c r="PH1518" s="42" t="str">
        <f ca="1"/>
        <v/>
      </c>
      <c r="PI1518" s="42" t="str">
        <f ca="1"/>
        <v/>
      </c>
      <c r="PJ1518" s="42" t="str">
        <f ca="1"/>
        <v/>
      </c>
      <c r="PK1518" s="42" t="str">
        <f ca="1"/>
        <v/>
      </c>
      <c r="PL1518" s="42" t="str">
        <f ca="1"/>
        <v/>
      </c>
      <c r="PM1518" s="42" t="str">
        <f ca="1"/>
        <v/>
      </c>
      <c r="PN1518" s="42" t="str">
        <f ca="1"/>
        <v/>
      </c>
      <c r="PO1518" s="42" t="str">
        <f ca="1"/>
        <v/>
      </c>
      <c r="PP1518" s="42" t="str">
        <f ca="1"/>
        <v/>
      </c>
      <c r="PQ1518" s="42" t="str">
        <f ca="1"/>
        <v/>
      </c>
      <c r="PR1518" s="42" t="str">
        <f ca="1"/>
        <v/>
      </c>
      <c r="PS1518" s="42" t="str">
        <f ca="1"/>
        <v/>
      </c>
      <c r="PT1518" s="42" t="str">
        <f ca="1"/>
        <v/>
      </c>
      <c r="PU1518" s="42" t="str">
        <f ca="1"/>
        <v/>
      </c>
      <c r="PV1518" s="42" t="str">
        <f ca="1"/>
        <v/>
      </c>
      <c r="PW1518" s="42" t="str">
        <f ca="1"/>
        <v/>
      </c>
      <c r="PX1518" s="42" t="str">
        <f ca="1"/>
        <v/>
      </c>
      <c r="PY1518" s="42" t="str">
        <f ca="1"/>
        <v/>
      </c>
      <c r="PZ1518" s="42" t="str">
        <f ca="1"/>
        <v/>
      </c>
      <c r="QA1518" s="42" t="str">
        <f ca="1"/>
        <v/>
      </c>
      <c r="QB1518" s="42" t="str">
        <f ca="1"/>
        <v/>
      </c>
      <c r="QC1518" s="42" t="str">
        <f ca="1"/>
        <v/>
      </c>
      <c r="QD1518" s="42" t="str">
        <f ca="1"/>
        <v/>
      </c>
      <c r="QE1518" s="42" t="str">
        <f ca="1"/>
        <v/>
      </c>
      <c r="QF1518" s="42" t="str">
        <f ca="1"/>
        <v/>
      </c>
      <c r="QG1518" s="42" t="str">
        <f ca="1"/>
        <v/>
      </c>
      <c r="QH1518" s="42" t="str">
        <f ca="1"/>
        <v/>
      </c>
      <c r="QI1518" s="42" t="str">
        <f ca="1"/>
        <v/>
      </c>
      <c r="QJ1518" s="42" t="str">
        <f ca="1"/>
        <v/>
      </c>
      <c r="QK1518" s="42" t="str">
        <f ca="1"/>
        <v/>
      </c>
      <c r="QL1518" s="42" t="str">
        <f ca="1"/>
        <v/>
      </c>
      <c r="QM1518" s="42" t="str">
        <f ca="1"/>
        <v/>
      </c>
      <c r="QN1518" s="42" t="str">
        <f ca="1"/>
        <v/>
      </c>
      <c r="QO1518" s="42" t="str">
        <f ca="1"/>
        <v/>
      </c>
      <c r="QP1518" s="42" t="str">
        <f ca="1"/>
        <v/>
      </c>
      <c r="QQ1518" s="42" t="str">
        <f ca="1"/>
        <v/>
      </c>
      <c r="QR1518" s="42" t="str">
        <f ca="1"/>
        <v/>
      </c>
      <c r="QS1518" s="42" t="str">
        <f ca="1"/>
        <v/>
      </c>
      <c r="QT1518" s="42" t="str">
        <f ca="1"/>
        <v/>
      </c>
      <c r="QU1518" s="42" t="str">
        <f ca="1"/>
        <v/>
      </c>
      <c r="QV1518" s="42" t="str">
        <f ca="1"/>
        <v/>
      </c>
      <c r="QW1518" s="42" t="str">
        <f ca="1"/>
        <v/>
      </c>
      <c r="QX1518" s="42" t="str">
        <f ca="1"/>
        <v/>
      </c>
      <c r="QY1518" s="42" t="str">
        <f ca="1"/>
        <v/>
      </c>
      <c r="QZ1518" s="42" t="str">
        <f ca="1"/>
        <v/>
      </c>
      <c r="RA1518" s="42" t="str">
        <f ca="1"/>
        <v/>
      </c>
      <c r="RB1518" s="42" t="str">
        <f ca="1"/>
        <v/>
      </c>
      <c r="RC1518" s="42" t="str">
        <f ca="1"/>
        <v/>
      </c>
      <c r="RD1518" s="42" t="str">
        <f ca="1"/>
        <v/>
      </c>
      <c r="RE1518" s="42" t="str">
        <f ca="1"/>
        <v/>
      </c>
      <c r="RF1518" s="42" t="str">
        <f ca="1"/>
        <v/>
      </c>
      <c r="RG1518" s="42" t="str">
        <f ca="1"/>
        <v/>
      </c>
      <c r="RH1518" s="42" t="str">
        <f ca="1"/>
        <v/>
      </c>
      <c r="RI1518" s="42" t="str">
        <f ca="1"/>
        <v/>
      </c>
      <c r="RJ1518" s="42" t="str">
        <f ca="1"/>
        <v/>
      </c>
      <c r="RK1518" s="42" t="str">
        <f ca="1"/>
        <v/>
      </c>
      <c r="RL1518" s="42" t="str">
        <f ca="1"/>
        <v/>
      </c>
      <c r="RM1518" s="42" t="str">
        <f ca="1"/>
        <v/>
      </c>
      <c r="RN1518" s="42" t="str">
        <f ca="1"/>
        <v/>
      </c>
      <c r="RO1518" s="42" t="str">
        <f ca="1"/>
        <v/>
      </c>
      <c r="RP1518" s="42" t="str">
        <f ca="1"/>
        <v/>
      </c>
      <c r="RQ1518" s="42" t="str">
        <f ca="1"/>
        <v/>
      </c>
      <c r="RR1518" s="42" t="str">
        <f ca="1"/>
        <v/>
      </c>
      <c r="RS1518" s="42" t="str">
        <f ca="1"/>
        <v/>
      </c>
      <c r="RT1518" s="42" t="str">
        <f ca="1"/>
        <v/>
      </c>
      <c r="RU1518" s="42" t="str">
        <f ca="1"/>
        <v/>
      </c>
      <c r="RV1518" s="42" t="str">
        <f ca="1"/>
        <v/>
      </c>
      <c r="RW1518" s="42" t="str">
        <f ca="1"/>
        <v/>
      </c>
      <c r="RX1518" s="42" t="str">
        <f ca="1"/>
        <v/>
      </c>
      <c r="RY1518" s="42" t="str">
        <f ca="1"/>
        <v/>
      </c>
      <c r="RZ1518" s="42" t="str">
        <f ca="1"/>
        <v/>
      </c>
      <c r="SA1518" s="42" t="str">
        <f ca="1"/>
        <v/>
      </c>
      <c r="SB1518" s="42" t="str">
        <f ca="1"/>
        <v/>
      </c>
      <c r="SC1518" s="42" t="str">
        <f ca="1"/>
        <v/>
      </c>
      <c r="SD1518" s="42" t="str">
        <f ca="1"/>
        <v/>
      </c>
      <c r="SE1518" s="42" t="str">
        <f ca="1"/>
        <v/>
      </c>
      <c r="SF1518" s="42" t="str">
        <f ca="1"/>
        <v/>
      </c>
      <c r="SG1518" s="42" t="str">
        <f ca="1"/>
        <v/>
      </c>
      <c r="SH1518" s="42" t="str">
        <f ca="1"/>
        <v/>
      </c>
      <c r="SI1518" s="42" t="str">
        <f ca="1"/>
        <v/>
      </c>
      <c r="SJ1518" s="42" t="str">
        <f ca="1"/>
        <v/>
      </c>
      <c r="SK1518" s="42" t="str">
        <f ca="1"/>
        <v/>
      </c>
      <c r="SL1518" s="42" t="str">
        <f ca="1"/>
        <v/>
      </c>
      <c r="SM1518" s="42" t="str">
        <f ca="1"/>
        <v/>
      </c>
      <c r="SN1518" s="42" t="str">
        <f ca="1"/>
        <v/>
      </c>
      <c r="SO1518" s="42" t="str">
        <f ca="1"/>
        <v/>
      </c>
      <c r="SP1518" s="42" t="str">
        <f ca="1"/>
        <v/>
      </c>
      <c r="SQ1518" s="42" t="str">
        <f ca="1"/>
        <v/>
      </c>
      <c r="SR1518" s="42" t="str">
        <f ca="1"/>
        <v/>
      </c>
      <c r="SS1518" s="42" t="str">
        <f ca="1"/>
        <v/>
      </c>
      <c r="ST1518" s="42" t="str">
        <f ca="1"/>
        <v/>
      </c>
      <c r="SU1518" s="42" t="str">
        <f ca="1"/>
        <v/>
      </c>
      <c r="SV1518" s="42" t="str">
        <f ca="1"/>
        <v/>
      </c>
      <c r="SW1518" s="42" t="str">
        <f ca="1"/>
        <v/>
      </c>
      <c r="SX1518" s="42" t="str">
        <f ca="1"/>
        <v/>
      </c>
      <c r="SY1518" s="42" t="str">
        <f ca="1"/>
        <v/>
      </c>
      <c r="SZ1518" s="42" t="str">
        <f ca="1"/>
        <v/>
      </c>
      <c r="TA1518" s="42" t="str">
        <f ca="1"/>
        <v/>
      </c>
      <c r="TB1518" s="42" t="str">
        <f ca="1"/>
        <v/>
      </c>
      <c r="TC1518" s="42" t="str">
        <f ca="1"/>
        <v/>
      </c>
      <c r="TD1518" s="42" t="str">
        <f ca="1"/>
        <v/>
      </c>
      <c r="TE1518" s="42" t="str">
        <f ca="1"/>
        <v/>
      </c>
      <c r="TF1518" s="42" t="str">
        <f ca="1"/>
        <v/>
      </c>
      <c r="TG1518" s="42" t="str">
        <f ca="1"/>
        <v/>
      </c>
      <c r="TH1518" s="42" t="str">
        <f ca="1"/>
        <v/>
      </c>
      <c r="TI1518" s="42" t="str">
        <f ca="1"/>
        <v/>
      </c>
      <c r="TJ1518" s="42" t="str">
        <f ca="1"/>
        <v/>
      </c>
      <c r="TK1518" s="42" t="str">
        <f ca="1"/>
        <v/>
      </c>
      <c r="TL1518" s="42" t="str">
        <f ca="1"/>
        <v/>
      </c>
      <c r="TM1518" s="42" t="str">
        <f ca="1"/>
        <v/>
      </c>
      <c r="TN1518" s="42" t="str">
        <f ca="1"/>
        <v/>
      </c>
      <c r="TO1518" s="42" t="str">
        <f ca="1"/>
        <v/>
      </c>
      <c r="TP1518" s="42" t="str">
        <f ca="1"/>
        <v/>
      </c>
      <c r="TQ1518" s="42" t="str">
        <f ca="1"/>
        <v/>
      </c>
      <c r="TR1518" s="42" t="str">
        <f ca="1"/>
        <v/>
      </c>
      <c r="TS1518" s="42" t="str">
        <f ca="1"/>
        <v/>
      </c>
      <c r="TT1518" s="42" t="str">
        <f ca="1"/>
        <v/>
      </c>
      <c r="TU1518" s="42" t="str">
        <f ca="1"/>
        <v/>
      </c>
      <c r="TV1518" s="42" t="str">
        <f ca="1"/>
        <v/>
      </c>
      <c r="TW1518" s="42" t="str">
        <f ca="1"/>
        <v/>
      </c>
      <c r="TX1518" s="42" t="str">
        <f ca="1"/>
        <v/>
      </c>
      <c r="TY1518" s="42" t="str">
        <f ca="1"/>
        <v/>
      </c>
      <c r="TZ1518" s="42" t="str">
        <f ca="1"/>
        <v/>
      </c>
      <c r="UA1518" s="42" t="str">
        <f ca="1"/>
        <v/>
      </c>
      <c r="UB1518" s="42" t="str">
        <f ca="1"/>
        <v/>
      </c>
      <c r="UC1518" s="42" t="str">
        <f ca="1"/>
        <v/>
      </c>
      <c r="UD1518" s="42" t="str">
        <f ca="1"/>
        <v/>
      </c>
      <c r="UE1518" s="42" t="str">
        <f ca="1"/>
        <v/>
      </c>
      <c r="UF1518" s="42" t="str">
        <f ca="1"/>
        <v/>
      </c>
      <c r="UG1518" s="42" t="str">
        <f ca="1"/>
        <v/>
      </c>
      <c r="UH1518" s="42" t="str">
        <f ca="1"/>
        <v/>
      </c>
      <c r="UI1518" s="42" t="str">
        <f ca="1"/>
        <v/>
      </c>
      <c r="UJ1518" s="42" t="str">
        <f ca="1"/>
        <v/>
      </c>
      <c r="UK1518" s="42" t="str">
        <f ca="1"/>
        <v/>
      </c>
      <c r="UL1518" s="42" t="str">
        <f ca="1"/>
        <v/>
      </c>
      <c r="UM1518" s="42" t="str">
        <f ca="1"/>
        <v/>
      </c>
      <c r="UN1518" s="42" t="str">
        <f ca="1"/>
        <v/>
      </c>
      <c r="UO1518" s="42" t="str">
        <f ca="1"/>
        <v/>
      </c>
      <c r="UP1518" s="42" t="str">
        <f ca="1"/>
        <v/>
      </c>
      <c r="UQ1518" s="42" t="str">
        <f ca="1"/>
        <v/>
      </c>
      <c r="UR1518" s="42" t="str">
        <f ca="1"/>
        <v/>
      </c>
      <c r="US1518" s="42" t="str">
        <f ca="1"/>
        <v/>
      </c>
      <c r="UT1518" s="42" t="str">
        <f ca="1"/>
        <v/>
      </c>
      <c r="UU1518" s="42" t="str">
        <f ca="1"/>
        <v/>
      </c>
      <c r="UV1518" s="42" t="str">
        <f ca="1"/>
        <v/>
      </c>
      <c r="UW1518" s="42" t="str">
        <f ca="1"/>
        <v/>
      </c>
      <c r="UX1518" s="42" t="str">
        <f ca="1"/>
        <v/>
      </c>
      <c r="UY1518" s="42" t="str">
        <f ca="1"/>
        <v/>
      </c>
      <c r="UZ1518" s="42" t="str">
        <f ca="1"/>
        <v/>
      </c>
      <c r="VA1518" s="42" t="str">
        <f ca="1"/>
        <v/>
      </c>
      <c r="VB1518" s="42" t="str">
        <f ca="1"/>
        <v/>
      </c>
      <c r="VC1518" s="42" t="str">
        <f ca="1"/>
        <v/>
      </c>
      <c r="VD1518" s="42" t="str">
        <f ca="1"/>
        <v/>
      </c>
      <c r="VE1518" s="42" t="str">
        <f ca="1"/>
        <v/>
      </c>
      <c r="VF1518" s="42" t="str">
        <f ca="1"/>
        <v/>
      </c>
      <c r="VG1518" s="42" t="str">
        <f ca="1"/>
        <v/>
      </c>
      <c r="VH1518" s="42" t="str">
        <f ca="1"/>
        <v/>
      </c>
      <c r="VI1518" s="42" t="str">
        <f ca="1"/>
        <v/>
      </c>
      <c r="VJ1518" s="42" t="str">
        <f ca="1"/>
        <v/>
      </c>
      <c r="VK1518" s="42" t="str">
        <f ca="1"/>
        <v/>
      </c>
      <c r="VL1518" s="42" t="str">
        <f ca="1"/>
        <v/>
      </c>
      <c r="VM1518" s="42" t="str">
        <f ca="1"/>
        <v/>
      </c>
      <c r="VN1518" s="42" t="str">
        <f ca="1"/>
        <v/>
      </c>
      <c r="VO1518" s="42" t="str">
        <f ca="1"/>
        <v/>
      </c>
      <c r="VP1518" s="42" t="str">
        <f ca="1"/>
        <v/>
      </c>
      <c r="VQ1518" s="42" t="str">
        <f ca="1"/>
        <v/>
      </c>
      <c r="VR1518" s="42" t="str">
        <f ca="1"/>
        <v/>
      </c>
      <c r="VS1518" s="42" t="str">
        <f ca="1"/>
        <v/>
      </c>
      <c r="VT1518" s="42" t="str">
        <f ca="1"/>
        <v/>
      </c>
      <c r="VU1518" s="42" t="str">
        <f ca="1"/>
        <v/>
      </c>
      <c r="VV1518" s="42" t="str">
        <f ca="1"/>
        <v/>
      </c>
      <c r="VW1518" s="42" t="str">
        <f ca="1"/>
        <v/>
      </c>
      <c r="VX1518" s="42" t="str">
        <f ca="1"/>
        <v/>
      </c>
      <c r="VY1518" s="42" t="str">
        <f ca="1"/>
        <v/>
      </c>
      <c r="VZ1518" s="42" t="str">
        <f ca="1"/>
        <v/>
      </c>
      <c r="WA1518" s="42" t="str">
        <f ca="1"/>
        <v/>
      </c>
      <c r="WB1518" s="42" t="str">
        <f ca="1"/>
        <v/>
      </c>
      <c r="WC1518" s="42" t="str">
        <f ca="1"/>
        <v/>
      </c>
      <c r="WD1518" s="42" t="str">
        <f ca="1"/>
        <v/>
      </c>
      <c r="WE1518" s="42" t="str">
        <f ca="1"/>
        <v/>
      </c>
      <c r="WF1518" s="42" t="str">
        <f ca="1"/>
        <v/>
      </c>
      <c r="WG1518" s="42" t="str">
        <f ca="1"/>
        <v/>
      </c>
      <c r="WH1518" s="42" t="str">
        <f ca="1"/>
        <v/>
      </c>
      <c r="WI1518" s="42" t="str">
        <f ca="1"/>
        <v/>
      </c>
      <c r="WJ1518" s="42" t="str">
        <f ca="1"/>
        <v/>
      </c>
      <c r="WK1518" s="42" t="str">
        <f ca="1"/>
        <v/>
      </c>
      <c r="WL1518" s="42" t="str">
        <f ca="1"/>
        <v/>
      </c>
      <c r="WM1518" s="42" t="str">
        <f ca="1"/>
        <v/>
      </c>
      <c r="WN1518" s="42" t="str">
        <f ca="1"/>
        <v/>
      </c>
      <c r="WO1518" s="42" t="str">
        <f ca="1"/>
        <v/>
      </c>
      <c r="WP1518" s="42" t="str">
        <f ca="1"/>
        <v/>
      </c>
      <c r="WQ1518" s="42" t="str">
        <f ca="1"/>
        <v/>
      </c>
      <c r="WR1518" s="42" t="str">
        <f ca="1"/>
        <v/>
      </c>
      <c r="WS1518" s="42" t="str">
        <f ca="1"/>
        <v/>
      </c>
      <c r="WT1518" s="42" t="str">
        <f ca="1"/>
        <v/>
      </c>
      <c r="WU1518" s="42" t="str">
        <f ca="1"/>
        <v/>
      </c>
      <c r="WV1518" s="42" t="str">
        <f ca="1"/>
        <v/>
      </c>
      <c r="WW1518" s="42" t="str">
        <f ca="1"/>
        <v/>
      </c>
      <c r="WX1518" s="42" t="str">
        <f ca="1"/>
        <v/>
      </c>
      <c r="WY1518" s="42" t="str">
        <f ca="1"/>
        <v/>
      </c>
      <c r="WZ1518" s="42" t="str">
        <f ca="1"/>
        <v/>
      </c>
      <c r="XA1518" s="42" t="str">
        <f ca="1"/>
        <v/>
      </c>
      <c r="XB1518" s="42" t="str">
        <f ca="1"/>
        <v/>
      </c>
      <c r="XC1518" s="42" t="str">
        <f ca="1"/>
        <v/>
      </c>
      <c r="XD1518" s="42" t="str">
        <f ca="1"/>
        <v/>
      </c>
      <c r="XE1518" s="42" t="str">
        <f ca="1"/>
        <v/>
      </c>
      <c r="XF1518" s="42" t="str">
        <f ca="1"/>
        <v/>
      </c>
      <c r="XG1518" s="42" t="str">
        <f ca="1"/>
        <v/>
      </c>
      <c r="XH1518" s="42" t="str">
        <f ca="1"/>
        <v/>
      </c>
      <c r="XI1518" s="42" t="str">
        <f ca="1"/>
        <v/>
      </c>
      <c r="XJ1518" s="42" t="str">
        <f ca="1"/>
        <v/>
      </c>
      <c r="XK1518" s="42" t="str">
        <f ca="1"/>
        <v/>
      </c>
      <c r="XL1518" s="42" t="str">
        <f ca="1"/>
        <v/>
      </c>
      <c r="XM1518" s="42" t="str">
        <f ca="1"/>
        <v/>
      </c>
      <c r="XN1518" s="42" t="str">
        <f ca="1"/>
        <v/>
      </c>
      <c r="XO1518" s="42" t="str">
        <f ca="1"/>
        <v/>
      </c>
      <c r="XP1518" s="42" t="str">
        <f ca="1"/>
        <v/>
      </c>
      <c r="XQ1518" s="42" t="str">
        <f ca="1"/>
        <v/>
      </c>
      <c r="XR1518" s="42" t="str">
        <f ca="1"/>
        <v/>
      </c>
      <c r="XS1518" s="42" t="str">
        <f ca="1"/>
        <v/>
      </c>
      <c r="XT1518" s="42" t="str">
        <f ca="1"/>
        <v/>
      </c>
      <c r="XU1518" s="42" t="str">
        <f ca="1"/>
        <v/>
      </c>
      <c r="XV1518" s="42" t="str">
        <f ca="1"/>
        <v/>
      </c>
      <c r="XW1518" s="42" t="str">
        <f ca="1"/>
        <v/>
      </c>
      <c r="XX1518" s="42" t="str">
        <f ca="1"/>
        <v/>
      </c>
      <c r="XY1518" s="42" t="str">
        <f ca="1"/>
        <v/>
      </c>
      <c r="XZ1518" s="42" t="str">
        <f ca="1"/>
        <v/>
      </c>
      <c r="YA1518" s="42" t="str">
        <f ca="1"/>
        <v/>
      </c>
      <c r="YB1518" s="42" t="str">
        <f ca="1"/>
        <v/>
      </c>
      <c r="YC1518" s="42" t="str">
        <f ca="1"/>
        <v/>
      </c>
      <c r="YD1518" s="42" t="str">
        <f ca="1"/>
        <v/>
      </c>
      <c r="YE1518" s="42" t="str">
        <f ca="1"/>
        <v/>
      </c>
      <c r="YF1518" s="42" t="str">
        <f ca="1"/>
        <v/>
      </c>
      <c r="YG1518" s="42" t="str">
        <f ca="1"/>
        <v/>
      </c>
      <c r="YH1518" s="42" t="str">
        <f ca="1"/>
        <v/>
      </c>
      <c r="YI1518" s="42" t="str">
        <f ca="1"/>
        <v/>
      </c>
      <c r="YJ1518" s="42" t="str">
        <f ca="1"/>
        <v/>
      </c>
      <c r="YK1518" s="42" t="str">
        <f ca="1"/>
        <v/>
      </c>
      <c r="YL1518" s="42" t="str">
        <f ca="1"/>
        <v/>
      </c>
      <c r="YM1518" s="42" t="str">
        <f ca="1"/>
        <v/>
      </c>
      <c r="YN1518" s="42" t="str">
        <f ca="1"/>
        <v/>
      </c>
      <c r="YO1518" s="42" t="str">
        <f ca="1"/>
        <v/>
      </c>
      <c r="YP1518" s="42" t="str">
        <f ca="1"/>
        <v/>
      </c>
      <c r="YQ1518" s="42" t="str">
        <f ca="1"/>
        <v/>
      </c>
      <c r="YR1518" s="42" t="str">
        <f ca="1"/>
        <v/>
      </c>
      <c r="YS1518" s="42" t="str">
        <f ca="1"/>
        <v/>
      </c>
      <c r="YT1518" s="42" t="str">
        <f ca="1"/>
        <v/>
      </c>
      <c r="YU1518" s="42" t="str">
        <f ca="1"/>
        <v/>
      </c>
      <c r="YV1518" s="42" t="str">
        <f ca="1"/>
        <v/>
      </c>
      <c r="YW1518" s="42" t="str">
        <f ca="1"/>
        <v/>
      </c>
      <c r="YX1518" s="42" t="str">
        <f ca="1"/>
        <v/>
      </c>
      <c r="YY1518" s="42" t="str">
        <f ca="1"/>
        <v/>
      </c>
      <c r="YZ1518" s="42" t="str">
        <f ca="1"/>
        <v/>
      </c>
      <c r="ZA1518" s="42" t="str">
        <f ca="1"/>
        <v/>
      </c>
      <c r="ZB1518" s="42" t="str">
        <f ca="1"/>
        <v/>
      </c>
      <c r="ZC1518" s="42" t="str">
        <f ca="1"/>
        <v/>
      </c>
      <c r="ZD1518" s="42" t="str">
        <f ca="1"/>
        <v/>
      </c>
      <c r="ZE1518" s="42" t="str">
        <f ca="1"/>
        <v/>
      </c>
      <c r="ZF1518" s="42" t="str">
        <f ca="1"/>
        <v/>
      </c>
      <c r="ZG1518" s="42" t="str">
        <f ca="1"/>
        <v/>
      </c>
      <c r="ZH1518" s="42" t="str">
        <f ca="1"/>
        <v/>
      </c>
      <c r="ZI1518" s="42" t="str">
        <f ca="1"/>
        <v/>
      </c>
      <c r="ZJ1518" s="42" t="str">
        <f ca="1"/>
        <v/>
      </c>
      <c r="ZK1518" s="42" t="str">
        <f ca="1"/>
        <v/>
      </c>
      <c r="ZL1518" s="42" t="str">
        <f ca="1"/>
        <v/>
      </c>
      <c r="ZM1518" s="42" t="str">
        <f ca="1"/>
        <v/>
      </c>
      <c r="ZN1518" s="42" t="str">
        <f ca="1"/>
        <v/>
      </c>
      <c r="ZO1518" s="42" t="str">
        <f ca="1"/>
        <v/>
      </c>
      <c r="ZP1518" s="42" t="str">
        <f ca="1"/>
        <v/>
      </c>
      <c r="ZQ1518" s="42" t="str">
        <f ca="1"/>
        <v/>
      </c>
      <c r="ZR1518" s="42" t="str">
        <f ca="1"/>
        <v/>
      </c>
      <c r="ZS1518" s="42" t="str">
        <f ca="1"/>
        <v/>
      </c>
      <c r="ZT1518" s="42" t="str">
        <f ca="1"/>
        <v/>
      </c>
      <c r="ZU1518" s="42" t="str">
        <f ca="1"/>
        <v/>
      </c>
      <c r="ZV1518" s="42" t="str">
        <f ca="1"/>
        <v/>
      </c>
      <c r="ZW1518" s="42" t="str">
        <f ca="1"/>
        <v/>
      </c>
      <c r="ZX1518" s="42" t="str">
        <f ca="1"/>
        <v/>
      </c>
      <c r="ZY1518" s="42" t="str">
        <f ca="1"/>
        <v/>
      </c>
      <c r="ZZ1518" s="42" t="str">
        <f ca="1"/>
        <v/>
      </c>
      <c r="AAA1518" s="42" t="str">
        <f ca="1"/>
        <v/>
      </c>
      <c r="AAB1518" s="42" t="str">
        <f ca="1"/>
        <v/>
      </c>
      <c r="AAC1518" s="42" t="str">
        <f ca="1"/>
        <v/>
      </c>
      <c r="AAD1518" s="42" t="str">
        <f ca="1"/>
        <v/>
      </c>
      <c r="AAE1518" s="42" t="str">
        <f ca="1"/>
        <v/>
      </c>
      <c r="AAF1518" s="42" t="str">
        <f ca="1"/>
        <v/>
      </c>
      <c r="AAG1518" s="42" t="str">
        <f ca="1"/>
        <v/>
      </c>
      <c r="AAH1518" s="42" t="str">
        <f ca="1"/>
        <v/>
      </c>
      <c r="AAI1518" s="42" t="str">
        <f ca="1"/>
        <v/>
      </c>
      <c r="AAJ1518" s="42" t="str">
        <f ca="1"/>
        <v/>
      </c>
      <c r="AAK1518" s="42" t="str">
        <f ca="1"/>
        <v/>
      </c>
      <c r="AAL1518" s="42" t="str">
        <f ca="1"/>
        <v/>
      </c>
      <c r="AAM1518" s="42" t="str">
        <f ca="1"/>
        <v/>
      </c>
      <c r="AAN1518" s="42" t="str">
        <f ca="1"/>
        <v/>
      </c>
      <c r="AAO1518" s="42" t="str">
        <f ca="1"/>
        <v/>
      </c>
      <c r="AAP1518" s="42" t="str">
        <f ca="1"/>
        <v/>
      </c>
      <c r="AAQ1518" s="42" t="str">
        <f ca="1"/>
        <v/>
      </c>
      <c r="AAR1518" s="42" t="str">
        <f ca="1"/>
        <v/>
      </c>
      <c r="AAS1518" s="42" t="str">
        <f ca="1"/>
        <v/>
      </c>
      <c r="AAT1518" s="42" t="str">
        <f ca="1"/>
        <v/>
      </c>
      <c r="AAU1518" s="42" t="str">
        <f ca="1"/>
        <v/>
      </c>
      <c r="AAV1518" s="42" t="str">
        <f ca="1"/>
        <v/>
      </c>
      <c r="AAW1518" s="42" t="str">
        <f ca="1"/>
        <v/>
      </c>
      <c r="AAX1518" s="42" t="str">
        <f ca="1"/>
        <v/>
      </c>
      <c r="AAY1518" s="42" t="str">
        <f ca="1"/>
        <v/>
      </c>
      <c r="AAZ1518" s="42" t="str">
        <f ca="1"/>
        <v/>
      </c>
      <c r="ABA1518" s="42" t="str">
        <f ca="1"/>
        <v/>
      </c>
      <c r="ABB1518" s="42" t="str">
        <f ca="1"/>
        <v/>
      </c>
      <c r="ABC1518" s="42" t="str">
        <f ca="1"/>
        <v/>
      </c>
      <c r="ABD1518" s="42" t="str">
        <f ca="1"/>
        <v/>
      </c>
      <c r="ABE1518" s="42" t="str">
        <f ca="1"/>
        <v/>
      </c>
      <c r="ABF1518" s="42" t="str">
        <f ca="1"/>
        <v/>
      </c>
      <c r="ABG1518" s="42" t="str">
        <f ca="1"/>
        <v/>
      </c>
      <c r="ABH1518" s="42" t="str">
        <f ca="1"/>
        <v/>
      </c>
      <c r="ABI1518" s="42" t="str">
        <f ca="1"/>
        <v/>
      </c>
      <c r="ABJ1518" s="42" t="str">
        <f ca="1"/>
        <v/>
      </c>
      <c r="ABK1518" s="42" t="str">
        <f ca="1"/>
        <v/>
      </c>
      <c r="ABL1518" s="42" t="str">
        <f ca="1"/>
        <v/>
      </c>
      <c r="ABM1518" s="42" t="str">
        <f ca="1"/>
        <v/>
      </c>
      <c r="ABN1518" s="42" t="str">
        <f ca="1"/>
        <v/>
      </c>
      <c r="ABO1518" s="42" t="str">
        <f ca="1"/>
        <v/>
      </c>
      <c r="ABP1518" s="42" t="str">
        <f ca="1"/>
        <v/>
      </c>
      <c r="ABQ1518" s="42" t="str">
        <f ca="1"/>
        <v/>
      </c>
      <c r="ABR1518" s="42" t="str">
        <f ca="1"/>
        <v/>
      </c>
      <c r="ABS1518" s="42" t="str">
        <f ca="1"/>
        <v/>
      </c>
      <c r="ABT1518" s="42" t="str">
        <f ca="1"/>
        <v/>
      </c>
      <c r="ABU1518" s="42" t="str">
        <f ca="1"/>
        <v/>
      </c>
      <c r="ABV1518" s="42" t="str">
        <f ca="1"/>
        <v/>
      </c>
      <c r="ABW1518" s="42" t="str">
        <f ca="1"/>
        <v/>
      </c>
      <c r="ABX1518" s="42" t="str">
        <f ca="1"/>
        <v/>
      </c>
      <c r="ABY1518" s="42" t="str">
        <f ca="1"/>
        <v/>
      </c>
      <c r="ABZ1518" s="42" t="str">
        <f ca="1"/>
        <v/>
      </c>
      <c r="ACA1518" s="42" t="str">
        <f ca="1"/>
        <v/>
      </c>
      <c r="ACB1518" s="42" t="str">
        <f ca="1"/>
        <v/>
      </c>
      <c r="ACC1518" s="42" t="str">
        <f ca="1"/>
        <v/>
      </c>
      <c r="ACD1518" s="42" t="str">
        <f ca="1"/>
        <v/>
      </c>
      <c r="ACE1518" s="42" t="str">
        <f ca="1"/>
        <v/>
      </c>
      <c r="ACF1518" s="42" t="str">
        <f ca="1"/>
        <v/>
      </c>
      <c r="ACG1518" s="42" t="str">
        <f ca="1"/>
        <v/>
      </c>
      <c r="ACH1518" s="42" t="str">
        <f ca="1"/>
        <v/>
      </c>
      <c r="ACI1518" s="42" t="str">
        <f ca="1"/>
        <v/>
      </c>
      <c r="ACJ1518" s="42" t="str">
        <f ca="1"/>
        <v/>
      </c>
      <c r="ACK1518" s="42" t="str">
        <f ca="1"/>
        <v/>
      </c>
      <c r="ACL1518" s="42" t="str">
        <f ca="1"/>
        <v/>
      </c>
      <c r="ACM1518" s="42" t="str">
        <f ca="1"/>
        <v/>
      </c>
      <c r="ACN1518" s="42" t="str">
        <f ca="1"/>
        <v/>
      </c>
      <c r="ACO1518" s="42" t="str">
        <f ca="1"/>
        <v/>
      </c>
      <c r="ACP1518" s="42" t="str">
        <f ca="1"/>
        <v/>
      </c>
      <c r="ACQ1518" s="42" t="str">
        <f ca="1"/>
        <v/>
      </c>
      <c r="ACR1518" s="42" t="str">
        <f ca="1"/>
        <v/>
      </c>
      <c r="ACS1518" s="42" t="str">
        <f ca="1"/>
        <v/>
      </c>
      <c r="ACT1518" s="42" t="str">
        <f ca="1"/>
        <v/>
      </c>
      <c r="ACU1518" s="42" t="str">
        <f ca="1"/>
        <v/>
      </c>
      <c r="ACV1518" s="42" t="str">
        <f ca="1"/>
        <v/>
      </c>
      <c r="ACW1518" s="42" t="str">
        <f ca="1"/>
        <v/>
      </c>
      <c r="ACX1518" s="42" t="str">
        <f ca="1"/>
        <v/>
      </c>
      <c r="ACY1518" s="42" t="str">
        <f ca="1"/>
        <v/>
      </c>
      <c r="ACZ1518" s="42" t="str">
        <f ca="1"/>
        <v/>
      </c>
      <c r="ADA1518" s="42" t="str">
        <f ca="1"/>
        <v/>
      </c>
      <c r="ADB1518" s="42" t="str">
        <f ca="1"/>
        <v/>
      </c>
      <c r="ADC1518" s="42" t="str">
        <f ca="1"/>
        <v/>
      </c>
      <c r="ADD1518" s="42" t="str">
        <f ca="1"/>
        <v/>
      </c>
      <c r="ADE1518" s="42" t="str">
        <f ca="1"/>
        <v/>
      </c>
      <c r="ADF1518" s="42" t="str">
        <f ca="1"/>
        <v/>
      </c>
      <c r="ADG1518" s="42" t="str">
        <f ca="1"/>
        <v/>
      </c>
      <c r="ADH1518" s="42" t="str">
        <f ca="1"/>
        <v/>
      </c>
      <c r="ADI1518" s="42" t="str">
        <f ca="1"/>
        <v/>
      </c>
      <c r="ADJ1518" s="42" t="str">
        <f ca="1"/>
        <v/>
      </c>
      <c r="ADK1518" s="42" t="str">
        <f ca="1"/>
        <v/>
      </c>
      <c r="ADL1518" s="42" t="str">
        <f ca="1"/>
        <v/>
      </c>
      <c r="ADM1518" s="42" t="str">
        <f ca="1"/>
        <v/>
      </c>
      <c r="ADN1518" s="42" t="str">
        <f ca="1"/>
        <v/>
      </c>
      <c r="ADO1518" s="42" t="str">
        <f ca="1"/>
        <v/>
      </c>
      <c r="ADP1518" s="42" t="str">
        <f ca="1"/>
        <v/>
      </c>
      <c r="ADQ1518" s="42" t="str">
        <f ca="1"/>
        <v/>
      </c>
      <c r="ADR1518" s="42" t="str">
        <f ca="1"/>
        <v/>
      </c>
      <c r="ADS1518" s="42" t="str">
        <f ca="1"/>
        <v/>
      </c>
      <c r="ADT1518" s="42" t="str">
        <f ca="1"/>
        <v/>
      </c>
      <c r="ADU1518" s="42" t="str">
        <f ca="1"/>
        <v/>
      </c>
      <c r="ADV1518" s="42" t="str">
        <f ca="1"/>
        <v/>
      </c>
      <c r="ADW1518" s="42" t="str">
        <f ca="1"/>
        <v/>
      </c>
      <c r="ADX1518" s="42" t="str">
        <f ca="1"/>
        <v/>
      </c>
      <c r="ADY1518" s="42" t="str">
        <f ca="1"/>
        <v/>
      </c>
      <c r="ADZ1518" s="42" t="str">
        <f ca="1"/>
        <v/>
      </c>
      <c r="AEA1518" s="42" t="str">
        <f ca="1"/>
        <v/>
      </c>
      <c r="AEB1518" s="42" t="str">
        <f ca="1"/>
        <v/>
      </c>
      <c r="AEC1518" s="42" t="str">
        <f ca="1"/>
        <v/>
      </c>
      <c r="AED1518" s="42" t="str">
        <f ca="1"/>
        <v/>
      </c>
      <c r="AEE1518" s="42" t="str">
        <f ca="1"/>
        <v/>
      </c>
      <c r="AEF1518" s="42" t="str">
        <f ca="1"/>
        <v/>
      </c>
      <c r="AEG1518" s="42" t="str">
        <f ca="1"/>
        <v/>
      </c>
      <c r="AEH1518" s="42" t="str">
        <f ca="1"/>
        <v/>
      </c>
      <c r="AEI1518" s="42" t="str">
        <f ca="1"/>
        <v/>
      </c>
      <c r="AEJ1518" s="42" t="str">
        <f ca="1"/>
        <v/>
      </c>
      <c r="AEK1518" s="42" t="str">
        <f ca="1"/>
        <v/>
      </c>
      <c r="AEL1518" s="42" t="str">
        <f ca="1"/>
        <v/>
      </c>
      <c r="AEM1518" s="42" t="str">
        <f ca="1"/>
        <v/>
      </c>
      <c r="AEN1518" s="42" t="str">
        <f ca="1"/>
        <v/>
      </c>
      <c r="AEO1518" s="42" t="str">
        <f ca="1"/>
        <v/>
      </c>
      <c r="AEP1518" s="42" t="str">
        <f ca="1"/>
        <v/>
      </c>
      <c r="AEQ1518" s="42" t="str">
        <f ca="1"/>
        <v/>
      </c>
      <c r="AER1518" s="42" t="str">
        <f ca="1"/>
        <v/>
      </c>
      <c r="AES1518" s="42" t="str">
        <f ca="1"/>
        <v/>
      </c>
      <c r="AET1518" s="42" t="str">
        <f ca="1"/>
        <v/>
      </c>
      <c r="AEU1518" s="42" t="str">
        <f ca="1"/>
        <v/>
      </c>
      <c r="AEV1518" s="42" t="str">
        <f ca="1"/>
        <v/>
      </c>
      <c r="AEW1518" s="42" t="str">
        <f ca="1"/>
        <v/>
      </c>
      <c r="AEX1518" s="42" t="str">
        <f ca="1"/>
        <v/>
      </c>
      <c r="AEY1518" s="42" t="str">
        <f ca="1"/>
        <v/>
      </c>
      <c r="AEZ1518" s="42" t="str">
        <f ca="1"/>
        <v/>
      </c>
      <c r="AFA1518" s="42" t="str">
        <f ca="1"/>
        <v/>
      </c>
      <c r="AFB1518" s="42" t="str">
        <f ca="1"/>
        <v/>
      </c>
      <c r="AFC1518" s="42" t="str">
        <f ca="1"/>
        <v/>
      </c>
      <c r="AFD1518" s="42" t="str">
        <f ca="1"/>
        <v/>
      </c>
      <c r="AFE1518" s="42" t="str">
        <f ca="1"/>
        <v/>
      </c>
      <c r="AFF1518" s="42" t="str">
        <f ca="1"/>
        <v/>
      </c>
      <c r="AFG1518" s="42" t="str">
        <f ca="1"/>
        <v/>
      </c>
      <c r="AFH1518" s="42" t="str">
        <f ca="1"/>
        <v/>
      </c>
      <c r="AFI1518" s="42" t="str">
        <f ca="1"/>
        <v/>
      </c>
      <c r="AFJ1518" s="42" t="str">
        <f ca="1"/>
        <v/>
      </c>
      <c r="AFK1518" s="42" t="str">
        <f ca="1"/>
        <v/>
      </c>
      <c r="AFL1518" s="42" t="str">
        <f ca="1"/>
        <v/>
      </c>
      <c r="AFM1518" s="42" t="str">
        <f ca="1"/>
        <v/>
      </c>
      <c r="AFN1518" s="42" t="str">
        <f ca="1"/>
        <v/>
      </c>
      <c r="AFO1518" s="42" t="str">
        <f ca="1"/>
        <v/>
      </c>
      <c r="AFP1518" s="42" t="str">
        <f ca="1"/>
        <v/>
      </c>
      <c r="AFQ1518" s="42" t="str">
        <f ca="1"/>
        <v/>
      </c>
      <c r="AFR1518" s="42" t="str">
        <f ca="1"/>
        <v/>
      </c>
      <c r="AFS1518" s="42" t="str">
        <f ca="1"/>
        <v/>
      </c>
      <c r="AFT1518" s="42" t="str">
        <f ca="1"/>
        <v/>
      </c>
      <c r="AFU1518" s="42" t="str">
        <f ca="1"/>
        <v/>
      </c>
      <c r="AFV1518" s="42" t="str">
        <f ca="1"/>
        <v/>
      </c>
      <c r="AFW1518" s="42" t="str">
        <f ca="1"/>
        <v/>
      </c>
      <c r="AFX1518" s="42" t="str">
        <f ca="1"/>
        <v/>
      </c>
      <c r="AFY1518" s="42" t="str">
        <f ca="1"/>
        <v/>
      </c>
      <c r="AFZ1518" s="42" t="str">
        <f ca="1"/>
        <v/>
      </c>
      <c r="AGA1518" s="42" t="str">
        <f ca="1"/>
        <v/>
      </c>
      <c r="AGB1518" s="42" t="str">
        <f ca="1"/>
        <v/>
      </c>
      <c r="AGC1518" s="42" t="str">
        <f ca="1"/>
        <v/>
      </c>
      <c r="AGD1518" s="42" t="str">
        <f ca="1"/>
        <v/>
      </c>
      <c r="AGE1518" s="42" t="str">
        <f ca="1"/>
        <v/>
      </c>
      <c r="AGF1518" s="42" t="str">
        <f ca="1"/>
        <v/>
      </c>
      <c r="AGG1518" s="42" t="str">
        <f ca="1"/>
        <v/>
      </c>
      <c r="AGH1518" s="42" t="str">
        <f ca="1"/>
        <v/>
      </c>
      <c r="AGI1518" s="42" t="str">
        <f ca="1"/>
        <v/>
      </c>
      <c r="AGJ1518" s="42" t="str">
        <f ca="1"/>
        <v/>
      </c>
      <c r="AGK1518" s="42" t="str">
        <f ca="1"/>
        <v/>
      </c>
      <c r="AGL1518" s="42" t="str">
        <f ca="1"/>
        <v/>
      </c>
      <c r="AGM1518" s="42" t="str">
        <f ca="1"/>
        <v/>
      </c>
      <c r="AGN1518" s="42" t="str">
        <f ca="1"/>
        <v/>
      </c>
    </row>
    <row r="1519" spans="15:872" x14ac:dyDescent="0.25">
      <c r="O1519" s="42">
        <v>6</v>
      </c>
      <c r="P1519" s="42" t="str">
        <f ca="1"/>
        <v/>
      </c>
      <c r="Q1519" s="42" t="str">
        <f ca="1"/>
        <v/>
      </c>
      <c r="R1519" s="42" t="str">
        <f ca="1"/>
        <v/>
      </c>
      <c r="S1519" s="42" t="str">
        <f ca="1"/>
        <v/>
      </c>
      <c r="T1519" s="42" t="str">
        <f ca="1"/>
        <v/>
      </c>
      <c r="U1519" s="42" t="str">
        <f ca="1"/>
        <v/>
      </c>
      <c r="V1519" s="42" t="str">
        <f ca="1"/>
        <v/>
      </c>
      <c r="W1519" s="42" t="str">
        <f ca="1"/>
        <v/>
      </c>
      <c r="X1519" s="42" t="str">
        <f ca="1"/>
        <v/>
      </c>
      <c r="Y1519" s="42" t="str">
        <f ca="1"/>
        <v/>
      </c>
      <c r="Z1519" s="42" t="str">
        <f ca="1"/>
        <v/>
      </c>
      <c r="AA1519" s="42" t="str">
        <f ca="1"/>
        <v/>
      </c>
      <c r="AB1519" s="42" t="str">
        <f ca="1"/>
        <v/>
      </c>
      <c r="AC1519" s="42" t="str">
        <f ca="1"/>
        <v/>
      </c>
      <c r="AD1519" s="42" t="str">
        <f ca="1"/>
        <v/>
      </c>
      <c r="AE1519" s="42" t="str">
        <f ca="1"/>
        <v/>
      </c>
      <c r="AF1519" s="42" t="str">
        <f ca="1"/>
        <v/>
      </c>
      <c r="AG1519" s="42" t="str">
        <f ca="1"/>
        <v/>
      </c>
      <c r="AH1519" s="42" t="str">
        <f ca="1"/>
        <v/>
      </c>
      <c r="AI1519" s="42" t="str">
        <f ca="1"/>
        <v/>
      </c>
      <c r="AJ1519" s="42" t="str">
        <f ca="1"/>
        <v>177 - 178</v>
      </c>
      <c r="AK1519" s="42" t="str">
        <f ca="1"/>
        <v/>
      </c>
      <c r="AL1519" s="42" t="str">
        <f ca="1"/>
        <v/>
      </c>
      <c r="AM1519" s="42" t="str">
        <f ca="1"/>
        <v/>
      </c>
      <c r="AN1519" s="42" t="str">
        <f ca="1"/>
        <v/>
      </c>
      <c r="AO1519" s="42" t="str">
        <f ca="1"/>
        <v/>
      </c>
      <c r="AP1519" s="42" t="str">
        <f ca="1"/>
        <v/>
      </c>
      <c r="AQ1519" s="42" t="str">
        <f ca="1"/>
        <v/>
      </c>
      <c r="AR1519" s="42" t="str">
        <f ca="1"/>
        <v/>
      </c>
      <c r="AS1519" s="42" t="str">
        <f ca="1"/>
        <v/>
      </c>
      <c r="AT1519" s="42" t="str">
        <f ca="1"/>
        <v/>
      </c>
      <c r="AU1519" s="42" t="str">
        <f ca="1"/>
        <v/>
      </c>
      <c r="AV1519" s="42" t="str">
        <f ca="1"/>
        <v/>
      </c>
      <c r="AW1519" s="42" t="str">
        <f ca="1"/>
        <v/>
      </c>
      <c r="AX1519" s="42" t="str">
        <f ca="1"/>
        <v/>
      </c>
      <c r="AY1519" s="42" t="str">
        <f ca="1"/>
        <v>REP</v>
      </c>
      <c r="AZ1519" s="42" t="str">
        <f ca="1"/>
        <v/>
      </c>
      <c r="BA1519" s="42" t="str">
        <f ca="1"/>
        <v>S/F</v>
      </c>
      <c r="BB1519" s="42" t="str">
        <f ca="1"/>
        <v/>
      </c>
      <c r="BC1519" s="42" t="str">
        <f ca="1"/>
        <v/>
      </c>
      <c r="BD1519" s="42" t="str">
        <f ca="1"/>
        <v/>
      </c>
      <c r="BE1519" s="42" t="str">
        <f ca="1"/>
        <v/>
      </c>
      <c r="BF1519" s="42" t="str">
        <f ca="1"/>
        <v/>
      </c>
      <c r="BG1519" s="42" t="str">
        <f ca="1"/>
        <v/>
      </c>
      <c r="BH1519" s="42" t="str">
        <f ca="1"/>
        <v/>
      </c>
      <c r="BI1519" s="42" t="str">
        <f ca="1"/>
        <v/>
      </c>
      <c r="BJ1519" s="42" t="str">
        <f ca="1"/>
        <v/>
      </c>
      <c r="BK1519" s="42" t="str">
        <f ca="1"/>
        <v/>
      </c>
      <c r="BL1519" s="42" t="str">
        <f ca="1"/>
        <v/>
      </c>
      <c r="BM1519" s="42" t="str">
        <f ca="1"/>
        <v/>
      </c>
      <c r="BN1519" s="42" t="str">
        <f ca="1"/>
        <v/>
      </c>
      <c r="BO1519" s="42" t="str">
        <f ca="1"/>
        <v/>
      </c>
      <c r="BP1519" s="42" t="str">
        <f ca="1"/>
        <v/>
      </c>
      <c r="BQ1519" s="42" t="str">
        <f ca="1"/>
        <v/>
      </c>
      <c r="BR1519" s="42" t="str">
        <f ca="1"/>
        <v/>
      </c>
      <c r="BS1519" s="42" t="str">
        <f ca="1"/>
        <v/>
      </c>
      <c r="BT1519" s="42">
        <f ca="1"/>
        <v>5</v>
      </c>
      <c r="BU1519" s="42" t="str">
        <f ca="1"/>
        <v/>
      </c>
      <c r="BV1519" s="42" t="str">
        <f ca="1"/>
        <v/>
      </c>
      <c r="BW1519" s="42" t="str">
        <f ca="1"/>
        <v/>
      </c>
      <c r="BX1519" s="42" t="str">
        <f ca="1"/>
        <v/>
      </c>
      <c r="BY1519" s="42" t="str">
        <f ca="1"/>
        <v/>
      </c>
      <c r="BZ1519" s="42" t="str">
        <f ca="1"/>
        <v/>
      </c>
      <c r="CA1519" s="42" t="str">
        <f ca="1"/>
        <v/>
      </c>
      <c r="CB1519" s="42" t="str">
        <f ca="1"/>
        <v/>
      </c>
      <c r="CC1519" s="42" t="str">
        <f ca="1"/>
        <v/>
      </c>
      <c r="CD1519" s="42" t="str">
        <f ca="1"/>
        <v/>
      </c>
      <c r="CE1519" s="42" t="str">
        <f ca="1"/>
        <v/>
      </c>
      <c r="CF1519" s="42" t="str">
        <f ca="1"/>
        <v/>
      </c>
      <c r="CG1519" s="42" t="str">
        <f ca="1"/>
        <v/>
      </c>
      <c r="CH1519" s="42" t="str">
        <f ca="1"/>
        <v/>
      </c>
      <c r="CI1519" s="42" t="str">
        <f ca="1"/>
        <v/>
      </c>
      <c r="CJ1519" s="42" t="str">
        <f ca="1"/>
        <v/>
      </c>
      <c r="CK1519" s="42" t="str">
        <f ca="1"/>
        <v/>
      </c>
      <c r="CL1519" s="42" t="str">
        <f ca="1"/>
        <v/>
      </c>
      <c r="CM1519" s="42" t="str">
        <f ca="1"/>
        <v/>
      </c>
      <c r="CN1519" s="42" t="str">
        <f ca="1"/>
        <v/>
      </c>
      <c r="CO1519" s="42" t="str">
        <f ca="1"/>
        <v/>
      </c>
      <c r="CP1519" s="42" t="str">
        <f ca="1"/>
        <v/>
      </c>
      <c r="CQ1519" s="42" t="str">
        <f ca="1"/>
        <v/>
      </c>
      <c r="CR1519" s="42" t="str">
        <f ca="1"/>
        <v/>
      </c>
      <c r="CS1519" s="42" t="str">
        <f ca="1"/>
        <v/>
      </c>
      <c r="CT1519" s="42" t="str">
        <f ca="1"/>
        <v/>
      </c>
      <c r="CU1519" s="42" t="str">
        <f ca="1"/>
        <v/>
      </c>
      <c r="CV1519" s="42" t="str">
        <f ca="1"/>
        <v/>
      </c>
      <c r="CW1519" s="42" t="str">
        <f ca="1"/>
        <v/>
      </c>
      <c r="CX1519" s="42" t="str">
        <f ca="1"/>
        <v/>
      </c>
      <c r="CY1519" s="42" t="str">
        <f ca="1"/>
        <v/>
      </c>
      <c r="CZ1519" s="42" t="str">
        <f ca="1"/>
        <v/>
      </c>
      <c r="DA1519" s="42" t="str">
        <f ca="1"/>
        <v/>
      </c>
      <c r="DB1519" s="42" t="str">
        <f ca="1"/>
        <v/>
      </c>
      <c r="DC1519" s="42" t="str">
        <f ca="1"/>
        <v/>
      </c>
      <c r="DD1519" s="42" t="str">
        <f ca="1"/>
        <v/>
      </c>
      <c r="DE1519" s="42" t="str">
        <f ca="1"/>
        <v/>
      </c>
      <c r="DF1519" s="42" t="str">
        <f ca="1"/>
        <v/>
      </c>
      <c r="DG1519" s="42" t="str">
        <f ca="1"/>
        <v/>
      </c>
      <c r="DH1519" s="42" t="str">
        <f ca="1"/>
        <v/>
      </c>
      <c r="DI1519" s="42" t="str">
        <f ca="1"/>
        <v/>
      </c>
      <c r="DJ1519" s="42" t="str">
        <f ca="1"/>
        <v/>
      </c>
      <c r="DK1519" s="42" t="str">
        <f ca="1"/>
        <v/>
      </c>
      <c r="DL1519" s="42" t="str">
        <f ca="1"/>
        <v/>
      </c>
      <c r="DM1519" s="42" t="str">
        <f ca="1"/>
        <v/>
      </c>
      <c r="DN1519" s="42" t="str">
        <f ca="1"/>
        <v/>
      </c>
      <c r="DO1519" s="42" t="str">
        <f ca="1"/>
        <v/>
      </c>
      <c r="DP1519" s="42" t="str">
        <f ca="1"/>
        <v/>
      </c>
      <c r="DQ1519" s="42" t="str">
        <f ca="1"/>
        <v/>
      </c>
      <c r="DR1519" s="42" t="str">
        <f ca="1"/>
        <v/>
      </c>
      <c r="DS1519" s="42" t="str">
        <f ca="1"/>
        <v/>
      </c>
      <c r="DT1519" s="42" t="str">
        <f ca="1"/>
        <v/>
      </c>
      <c r="DU1519" s="42" t="str">
        <f ca="1"/>
        <v/>
      </c>
      <c r="DV1519" s="42" t="str">
        <f ca="1"/>
        <v/>
      </c>
      <c r="DW1519" s="42" t="str">
        <f ca="1"/>
        <v/>
      </c>
      <c r="DX1519" s="42" t="str">
        <f ca="1"/>
        <v/>
      </c>
      <c r="DY1519" s="42" t="str">
        <f ca="1"/>
        <v/>
      </c>
      <c r="DZ1519" s="42" t="str">
        <f ca="1"/>
        <v/>
      </c>
      <c r="EA1519" s="42" t="str">
        <f ca="1"/>
        <v/>
      </c>
      <c r="EB1519" s="42" t="str">
        <f ca="1"/>
        <v/>
      </c>
      <c r="EC1519" s="42" t="str">
        <f ca="1"/>
        <v/>
      </c>
      <c r="ED1519" s="42" t="str">
        <f ca="1"/>
        <v/>
      </c>
      <c r="EE1519" s="42" t="str">
        <f ca="1"/>
        <v/>
      </c>
      <c r="EF1519" s="42" t="str">
        <f ca="1"/>
        <v/>
      </c>
      <c r="EG1519" s="42" t="str">
        <f ca="1"/>
        <v/>
      </c>
      <c r="EH1519" s="42" t="str">
        <f ca="1"/>
        <v/>
      </c>
      <c r="EI1519" s="42" t="str">
        <f ca="1"/>
        <v/>
      </c>
      <c r="EJ1519" s="42" t="str">
        <f ca="1"/>
        <v/>
      </c>
      <c r="EK1519" s="42" t="str">
        <f ca="1"/>
        <v/>
      </c>
      <c r="EL1519" s="42" t="str">
        <f ca="1"/>
        <v/>
      </c>
      <c r="EM1519" s="42" t="str">
        <f ca="1"/>
        <v/>
      </c>
      <c r="EN1519" s="42" t="str">
        <f ca="1"/>
        <v/>
      </c>
      <c r="EO1519" s="42" t="str">
        <f ca="1"/>
        <v/>
      </c>
      <c r="EP1519" s="42" t="str">
        <f ca="1"/>
        <v/>
      </c>
      <c r="EQ1519" s="42" t="str">
        <f ca="1"/>
        <v/>
      </c>
      <c r="ER1519" s="42" t="str">
        <f ca="1"/>
        <v/>
      </c>
      <c r="ES1519" s="42" t="str">
        <f ca="1"/>
        <v/>
      </c>
      <c r="ET1519" s="42" t="str">
        <f ca="1"/>
        <v/>
      </c>
      <c r="EU1519" s="42" t="str">
        <f ca="1"/>
        <v/>
      </c>
      <c r="EV1519" s="42" t="str">
        <f ca="1"/>
        <v/>
      </c>
      <c r="EW1519" s="42" t="str">
        <f ca="1"/>
        <v/>
      </c>
      <c r="EX1519" s="42" t="str">
        <f ca="1"/>
        <v/>
      </c>
      <c r="EY1519" s="42" t="str">
        <f ca="1"/>
        <v/>
      </c>
      <c r="EZ1519" s="42" t="str">
        <f ca="1"/>
        <v/>
      </c>
      <c r="FA1519" s="42" t="str">
        <f ca="1"/>
        <v>S/F</v>
      </c>
      <c r="FB1519" s="42" t="str">
        <f ca="1"/>
        <v/>
      </c>
      <c r="FC1519" s="42">
        <f ca="1"/>
        <v>177</v>
      </c>
      <c r="FD1519" s="42" t="str">
        <f ca="1"/>
        <v/>
      </c>
      <c r="FE1519" s="42" t="str">
        <f ca="1"/>
        <v/>
      </c>
      <c r="FF1519" s="42" t="str">
        <f ca="1"/>
        <v/>
      </c>
      <c r="FG1519" s="42" t="str">
        <f ca="1"/>
        <v/>
      </c>
      <c r="FH1519" s="42" t="str">
        <f ca="1"/>
        <v/>
      </c>
      <c r="FI1519" s="42">
        <f ca="1"/>
        <v>0</v>
      </c>
      <c r="FJ1519" s="42" t="str">
        <f ca="1"/>
        <v/>
      </c>
      <c r="FK1519" s="42" t="str">
        <f ca="1"/>
        <v/>
      </c>
      <c r="FL1519" s="42" t="str">
        <f ca="1"/>
        <v/>
      </c>
      <c r="FM1519" s="42" t="str">
        <f ca="1"/>
        <v/>
      </c>
      <c r="FN1519" s="42" t="str">
        <f ca="1"/>
        <v/>
      </c>
      <c r="FO1519" s="42" t="str">
        <f ca="1"/>
        <v/>
      </c>
      <c r="FP1519" s="42" t="str">
        <f ca="1"/>
        <v/>
      </c>
      <c r="FQ1519" s="42" t="str">
        <f ca="1"/>
        <v/>
      </c>
      <c r="FR1519" s="42" t="str">
        <f ca="1"/>
        <v/>
      </c>
      <c r="FS1519" s="42" t="str">
        <f ca="1"/>
        <v/>
      </c>
      <c r="FT1519" s="42" t="str">
        <f ca="1"/>
        <v/>
      </c>
      <c r="FU1519" s="42" t="str">
        <f ca="1"/>
        <v/>
      </c>
      <c r="FV1519" s="42" t="str">
        <f ca="1"/>
        <v/>
      </c>
      <c r="FW1519" s="42" t="str">
        <f ca="1"/>
        <v/>
      </c>
      <c r="FX1519" s="42" t="str">
        <f ca="1"/>
        <v/>
      </c>
      <c r="FY1519" s="42" t="str">
        <f ca="1"/>
        <v/>
      </c>
      <c r="FZ1519" s="42" t="str">
        <f ca="1"/>
        <v/>
      </c>
      <c r="GA1519" s="42" t="str">
        <f ca="1"/>
        <v/>
      </c>
      <c r="GB1519" s="42" t="str">
        <f ca="1"/>
        <v/>
      </c>
      <c r="GC1519" s="42">
        <f ca="1"/>
        <v>9</v>
      </c>
      <c r="GD1519" s="42" t="str">
        <f ca="1"/>
        <v/>
      </c>
      <c r="GE1519" s="42" t="str">
        <f ca="1"/>
        <v/>
      </c>
      <c r="GF1519" s="42">
        <f ca="1"/>
        <v>0</v>
      </c>
      <c r="GG1519" s="42">
        <f ca="1"/>
        <v>0</v>
      </c>
      <c r="GH1519" s="42" t="str">
        <f ca="1"/>
        <v/>
      </c>
      <c r="GI1519" s="42" t="str">
        <f ca="1"/>
        <v/>
      </c>
      <c r="GJ1519" s="42" t="str">
        <f ca="1"/>
        <v/>
      </c>
      <c r="GK1519" s="42" t="str">
        <f ca="1"/>
        <v/>
      </c>
      <c r="GL1519" s="42" t="str">
        <f ca="1"/>
        <v/>
      </c>
      <c r="GM1519" s="42" t="str">
        <f ca="1"/>
        <v/>
      </c>
      <c r="GN1519" s="42" t="str">
        <f ca="1"/>
        <v/>
      </c>
      <c r="GO1519" s="42" t="str">
        <f ca="1"/>
        <v/>
      </c>
      <c r="GP1519" s="42" t="str">
        <f ca="1"/>
        <v/>
      </c>
      <c r="GQ1519" s="42" t="str">
        <f ca="1"/>
        <v/>
      </c>
      <c r="GR1519" s="42" t="str">
        <f ca="1"/>
        <v/>
      </c>
      <c r="GS1519" s="42" t="str">
        <f ca="1"/>
        <v/>
      </c>
      <c r="GT1519" s="42" t="str">
        <f ca="1"/>
        <v/>
      </c>
      <c r="GU1519" s="42" t="str">
        <f ca="1"/>
        <v/>
      </c>
      <c r="GV1519" s="42" t="str">
        <f ca="1"/>
        <v/>
      </c>
      <c r="GW1519" s="42" t="str">
        <f ca="1"/>
        <v/>
      </c>
      <c r="GX1519" s="42" t="str">
        <f ca="1"/>
        <v/>
      </c>
      <c r="GY1519" s="42" t="str">
        <f ca="1"/>
        <v/>
      </c>
      <c r="GZ1519" s="42" t="str">
        <f ca="1"/>
        <v/>
      </c>
      <c r="HA1519" s="42" t="str">
        <f ca="1"/>
        <v/>
      </c>
      <c r="HB1519" s="42" t="str">
        <f ca="1"/>
        <v/>
      </c>
      <c r="HC1519" s="42" t="str">
        <f ca="1"/>
        <v/>
      </c>
      <c r="HD1519" s="42" t="str">
        <f ca="1"/>
        <v/>
      </c>
      <c r="HE1519" s="42" t="str">
        <f ca="1"/>
        <v/>
      </c>
      <c r="HF1519" s="42" t="str">
        <f ca="1"/>
        <v/>
      </c>
      <c r="HG1519" s="42" t="str">
        <f ca="1"/>
        <v/>
      </c>
      <c r="HH1519" s="42" t="str">
        <f ca="1"/>
        <v/>
      </c>
      <c r="HI1519" s="42" t="str">
        <f ca="1"/>
        <v/>
      </c>
      <c r="HJ1519" s="42" t="str">
        <f ca="1"/>
        <v/>
      </c>
      <c r="HK1519" s="42" t="str">
        <f ca="1"/>
        <v/>
      </c>
      <c r="HL1519" s="42" t="str">
        <f ca="1"/>
        <v/>
      </c>
      <c r="HM1519" s="42" t="str">
        <f ca="1"/>
        <v/>
      </c>
      <c r="HN1519" s="42" t="str">
        <f ca="1"/>
        <v/>
      </c>
      <c r="HO1519" s="42" t="str">
        <f ca="1"/>
        <v/>
      </c>
      <c r="HP1519" s="42" t="str">
        <f ca="1"/>
        <v/>
      </c>
      <c r="HQ1519" s="42" t="str">
        <f ca="1"/>
        <v/>
      </c>
      <c r="HR1519" s="42" t="str">
        <f ca="1"/>
        <v/>
      </c>
      <c r="HS1519" s="42" t="str">
        <f ca="1"/>
        <v/>
      </c>
      <c r="HT1519" s="42" t="str">
        <f ca="1"/>
        <v/>
      </c>
      <c r="HU1519" s="42" t="str">
        <f ca="1"/>
        <v/>
      </c>
      <c r="HV1519" s="42" t="str">
        <f ca="1"/>
        <v/>
      </c>
      <c r="HW1519" s="42" t="str">
        <f ca="1"/>
        <v/>
      </c>
      <c r="HX1519" s="42" t="str">
        <f ca="1"/>
        <v/>
      </c>
      <c r="HY1519" s="42" t="str">
        <f ca="1"/>
        <v/>
      </c>
      <c r="HZ1519" s="42" t="str">
        <f ca="1"/>
        <v/>
      </c>
      <c r="IA1519" s="42" t="str">
        <f ca="1"/>
        <v/>
      </c>
      <c r="IB1519" s="42" t="str">
        <f ca="1"/>
        <v/>
      </c>
      <c r="IC1519" s="42" t="str">
        <f ca="1"/>
        <v/>
      </c>
      <c r="ID1519" s="42" t="str">
        <f ca="1"/>
        <v/>
      </c>
      <c r="IE1519" s="42" t="str">
        <f ca="1"/>
        <v/>
      </c>
      <c r="IF1519" s="42" t="str">
        <f ca="1"/>
        <v/>
      </c>
      <c r="IG1519" s="42" t="str">
        <f ca="1"/>
        <v/>
      </c>
      <c r="IH1519" s="42" t="str">
        <f ca="1"/>
        <v/>
      </c>
      <c r="II1519" s="42" t="str">
        <f ca="1"/>
        <v/>
      </c>
      <c r="IJ1519" s="42" t="str">
        <f ca="1"/>
        <v/>
      </c>
      <c r="IK1519" s="42" t="str">
        <f ca="1"/>
        <v/>
      </c>
      <c r="IL1519" s="42" t="str">
        <f ca="1"/>
        <v/>
      </c>
      <c r="IM1519" s="42" t="str">
        <f ca="1"/>
        <v/>
      </c>
      <c r="IN1519" s="42" t="str">
        <f ca="1"/>
        <v/>
      </c>
      <c r="IO1519" s="42" t="str">
        <f ca="1"/>
        <v/>
      </c>
      <c r="IP1519" s="42" t="str">
        <f ca="1"/>
        <v/>
      </c>
      <c r="IQ1519" s="42" t="str">
        <f ca="1"/>
        <v/>
      </c>
      <c r="IR1519" s="42" t="str">
        <f ca="1"/>
        <v/>
      </c>
      <c r="IS1519" s="42" t="str">
        <f ca="1"/>
        <v/>
      </c>
      <c r="IT1519" s="42" t="str">
        <f ca="1"/>
        <v/>
      </c>
      <c r="IU1519" s="42" t="str">
        <f ca="1"/>
        <v/>
      </c>
      <c r="IV1519" s="42" t="str">
        <f ca="1"/>
        <v/>
      </c>
      <c r="IW1519" s="42" t="str">
        <f ca="1"/>
        <v/>
      </c>
      <c r="IX1519" s="42" t="str">
        <f ca="1"/>
        <v/>
      </c>
      <c r="IY1519" s="42" t="str">
        <f ca="1"/>
        <v/>
      </c>
      <c r="IZ1519" s="42" t="str">
        <f ca="1"/>
        <v/>
      </c>
      <c r="JA1519" s="42" t="str">
        <f ca="1"/>
        <v/>
      </c>
      <c r="JB1519" s="42" t="str">
        <f ca="1"/>
        <v/>
      </c>
      <c r="JC1519" s="42" t="str">
        <f ca="1"/>
        <v/>
      </c>
      <c r="JD1519" s="42" t="str">
        <f ca="1"/>
        <v/>
      </c>
      <c r="JE1519" s="42" t="str">
        <f ca="1"/>
        <v/>
      </c>
      <c r="JF1519" s="42" t="str">
        <f ca="1"/>
        <v/>
      </c>
      <c r="JG1519" s="42" t="str">
        <f ca="1"/>
        <v/>
      </c>
      <c r="JH1519" s="42" t="str">
        <f ca="1"/>
        <v/>
      </c>
      <c r="JI1519" s="42" t="str">
        <f ca="1"/>
        <v/>
      </c>
      <c r="JJ1519" s="42" t="str">
        <f ca="1"/>
        <v/>
      </c>
      <c r="JK1519" s="42" t="str">
        <f ca="1"/>
        <v/>
      </c>
      <c r="JL1519" s="42" t="str">
        <f ca="1"/>
        <v/>
      </c>
      <c r="JM1519" s="42" t="str">
        <f ca="1"/>
        <v/>
      </c>
      <c r="JN1519" s="42" t="str">
        <f ca="1"/>
        <v/>
      </c>
      <c r="JO1519" s="42" t="str">
        <f ca="1"/>
        <v/>
      </c>
      <c r="JP1519" s="42" t="str">
        <f ca="1"/>
        <v/>
      </c>
      <c r="JQ1519" s="42" t="str">
        <f ca="1"/>
        <v/>
      </c>
      <c r="JR1519" s="42" t="str">
        <f ca="1"/>
        <v/>
      </c>
      <c r="JS1519" s="42" t="str">
        <f ca="1"/>
        <v/>
      </c>
      <c r="JT1519" s="42" t="str">
        <f ca="1"/>
        <v/>
      </c>
      <c r="JU1519" s="42" t="str">
        <f ca="1"/>
        <v/>
      </c>
      <c r="JV1519" s="42" t="str">
        <f ca="1"/>
        <v/>
      </c>
      <c r="JW1519" s="42" t="str">
        <f ca="1"/>
        <v/>
      </c>
      <c r="JX1519" s="42" t="str">
        <f ca="1"/>
        <v/>
      </c>
      <c r="JY1519" s="42" t="str">
        <f ca="1"/>
        <v>S/F</v>
      </c>
      <c r="JZ1519" s="42" t="str">
        <f ca="1"/>
        <v/>
      </c>
      <c r="KA1519" s="42" t="str">
        <f ca="1"/>
        <v/>
      </c>
      <c r="KB1519" s="42" t="str">
        <f ca="1"/>
        <v/>
      </c>
      <c r="KC1519" s="42" t="str">
        <f ca="1"/>
        <v/>
      </c>
      <c r="KD1519" s="42" t="str">
        <f ca="1"/>
        <v/>
      </c>
      <c r="KE1519" s="42" t="str">
        <f ca="1"/>
        <v/>
      </c>
      <c r="KF1519" s="42" t="str">
        <f ca="1"/>
        <v/>
      </c>
      <c r="KG1519" s="42" t="str">
        <f ca="1"/>
        <v/>
      </c>
      <c r="KH1519" s="42" t="str">
        <f ca="1"/>
        <v/>
      </c>
      <c r="KI1519" s="42" t="str">
        <f ca="1"/>
        <v/>
      </c>
      <c r="KJ1519" s="42" t="str">
        <f ca="1"/>
        <v/>
      </c>
      <c r="KK1519" s="42" t="str">
        <f ca="1"/>
        <v/>
      </c>
      <c r="KL1519" s="42" t="str">
        <f ca="1"/>
        <v/>
      </c>
      <c r="KM1519" s="42" t="str">
        <f ca="1"/>
        <v/>
      </c>
      <c r="KN1519" s="42" t="str">
        <f ca="1"/>
        <v/>
      </c>
      <c r="KO1519" s="42" t="str">
        <f ca="1"/>
        <v/>
      </c>
      <c r="KP1519" s="42" t="str">
        <f ca="1"/>
        <v/>
      </c>
      <c r="KQ1519" s="42" t="str">
        <f ca="1"/>
        <v/>
      </c>
      <c r="KR1519" s="42" t="str">
        <f ca="1"/>
        <v/>
      </c>
      <c r="KS1519" s="42" t="str">
        <f ca="1"/>
        <v/>
      </c>
      <c r="KT1519" s="42" t="str">
        <f ca="1"/>
        <v/>
      </c>
      <c r="KU1519" s="42" t="str">
        <f ca="1"/>
        <v/>
      </c>
      <c r="KV1519" s="42" t="str">
        <f ca="1"/>
        <v/>
      </c>
      <c r="KW1519" s="42" t="str">
        <f ca="1"/>
        <v/>
      </c>
      <c r="KX1519" s="42" t="str">
        <f ca="1"/>
        <v/>
      </c>
      <c r="KY1519" s="42" t="str">
        <f ca="1"/>
        <v/>
      </c>
      <c r="KZ1519" s="42" t="str">
        <f ca="1"/>
        <v/>
      </c>
      <c r="LA1519" s="42" t="str">
        <f ca="1"/>
        <v/>
      </c>
      <c r="LB1519" s="42" t="str">
        <f ca="1"/>
        <v>S/F</v>
      </c>
      <c r="LC1519" s="42" t="str">
        <f ca="1"/>
        <v/>
      </c>
      <c r="LD1519" s="42" t="str">
        <f ca="1"/>
        <v/>
      </c>
      <c r="LE1519" s="42" t="str">
        <f ca="1"/>
        <v>S/F</v>
      </c>
      <c r="LF1519" s="42" t="str">
        <f ca="1"/>
        <v/>
      </c>
      <c r="LG1519" s="42" t="str">
        <f ca="1"/>
        <v/>
      </c>
      <c r="LH1519" s="42" t="str">
        <f ca="1"/>
        <v/>
      </c>
      <c r="LI1519" s="42" t="str">
        <f ca="1"/>
        <v/>
      </c>
      <c r="LJ1519" s="42" t="str">
        <f ca="1"/>
        <v/>
      </c>
      <c r="LK1519" s="42" t="str">
        <f ca="1"/>
        <v/>
      </c>
      <c r="LL1519" s="42" t="str">
        <f ca="1"/>
        <v/>
      </c>
      <c r="LM1519" s="42" t="str">
        <f ca="1"/>
        <v/>
      </c>
      <c r="LN1519" s="42" t="str">
        <f ca="1"/>
        <v/>
      </c>
      <c r="LO1519" s="42" t="str">
        <f ca="1"/>
        <v/>
      </c>
      <c r="LP1519" s="42" t="str">
        <f ca="1"/>
        <v/>
      </c>
      <c r="LQ1519" s="42" t="str">
        <f ca="1"/>
        <v/>
      </c>
      <c r="LR1519" s="42" t="str">
        <f ca="1"/>
        <v/>
      </c>
      <c r="LS1519" s="42" t="str">
        <f ca="1"/>
        <v/>
      </c>
      <c r="LT1519" s="42" t="str">
        <f ca="1"/>
        <v/>
      </c>
      <c r="LU1519" s="42" t="str">
        <f ca="1"/>
        <v/>
      </c>
      <c r="LV1519" s="42" t="str">
        <f ca="1"/>
        <v/>
      </c>
      <c r="LW1519" s="42" t="str">
        <f ca="1"/>
        <v/>
      </c>
      <c r="LX1519" s="42" t="str">
        <f ca="1"/>
        <v/>
      </c>
      <c r="LY1519" s="42" t="str">
        <f ca="1"/>
        <v/>
      </c>
      <c r="LZ1519" s="42" t="str">
        <f ca="1"/>
        <v/>
      </c>
      <c r="MA1519" s="42" t="str">
        <f ca="1"/>
        <v/>
      </c>
      <c r="MB1519" s="42" t="str">
        <f ca="1"/>
        <v/>
      </c>
      <c r="MC1519" s="42" t="str">
        <f ca="1"/>
        <v/>
      </c>
      <c r="MD1519" s="42" t="str">
        <f ca="1"/>
        <v/>
      </c>
      <c r="ME1519" s="42" t="str">
        <f ca="1"/>
        <v/>
      </c>
      <c r="MF1519" s="42" t="str">
        <f ca="1"/>
        <v/>
      </c>
      <c r="MG1519" s="42" t="str">
        <f ca="1"/>
        <v/>
      </c>
      <c r="MH1519" s="42" t="str">
        <f ca="1"/>
        <v/>
      </c>
      <c r="MI1519" s="42" t="str">
        <f ca="1"/>
        <v/>
      </c>
      <c r="MJ1519" s="42" t="str">
        <f ca="1"/>
        <v/>
      </c>
      <c r="MK1519" s="42" t="str">
        <f ca="1"/>
        <v/>
      </c>
      <c r="ML1519" s="42" t="str">
        <f ca="1"/>
        <v/>
      </c>
      <c r="MM1519" s="42" t="str">
        <f ca="1"/>
        <v/>
      </c>
      <c r="MN1519" s="42" t="str">
        <f ca="1"/>
        <v/>
      </c>
      <c r="MO1519" s="42" t="str">
        <f ca="1"/>
        <v/>
      </c>
      <c r="MP1519" s="42" t="str">
        <f ca="1"/>
        <v/>
      </c>
      <c r="MQ1519" s="42" t="str">
        <f ca="1"/>
        <v/>
      </c>
      <c r="MR1519" s="42" t="str">
        <f ca="1"/>
        <v/>
      </c>
      <c r="MS1519" s="42" t="str">
        <f ca="1"/>
        <v/>
      </c>
      <c r="MT1519" s="42" t="str">
        <f ca="1"/>
        <v/>
      </c>
      <c r="MU1519" s="42" t="str">
        <f ca="1"/>
        <v/>
      </c>
      <c r="MV1519" s="42" t="str">
        <f ca="1"/>
        <v/>
      </c>
      <c r="MW1519" s="42" t="str">
        <f ca="1"/>
        <v/>
      </c>
      <c r="MX1519" s="42" t="str">
        <f ca="1"/>
        <v/>
      </c>
      <c r="MY1519" s="42" t="str">
        <f ca="1"/>
        <v/>
      </c>
      <c r="MZ1519" s="42" t="str">
        <f ca="1"/>
        <v/>
      </c>
      <c r="NA1519" s="42" t="str">
        <f ca="1"/>
        <v/>
      </c>
      <c r="NB1519" s="42" t="str">
        <f ca="1"/>
        <v/>
      </c>
      <c r="NC1519" s="42" t="str">
        <f ca="1"/>
        <v/>
      </c>
      <c r="ND1519" s="42" t="str">
        <f ca="1"/>
        <v/>
      </c>
      <c r="NE1519" s="42" t="str">
        <f ca="1"/>
        <v/>
      </c>
      <c r="NF1519" s="42" t="str">
        <f ca="1"/>
        <v/>
      </c>
      <c r="NG1519" s="42" t="str">
        <f ca="1"/>
        <v/>
      </c>
      <c r="NH1519" s="42" t="str">
        <f ca="1"/>
        <v/>
      </c>
      <c r="NI1519" s="42" t="str">
        <f ca="1"/>
        <v/>
      </c>
      <c r="NJ1519" s="42" t="str">
        <f ca="1"/>
        <v/>
      </c>
      <c r="NK1519" s="42" t="str">
        <f ca="1"/>
        <v/>
      </c>
      <c r="NL1519" s="42" t="str">
        <f ca="1"/>
        <v/>
      </c>
      <c r="NM1519" s="42" t="str">
        <f ca="1"/>
        <v/>
      </c>
      <c r="NN1519" s="42" t="str">
        <f ca="1"/>
        <v/>
      </c>
      <c r="NO1519" s="42" t="str">
        <f ca="1"/>
        <v/>
      </c>
      <c r="NP1519" s="42" t="str">
        <f ca="1"/>
        <v/>
      </c>
      <c r="NQ1519" s="42" t="str">
        <f ca="1"/>
        <v/>
      </c>
      <c r="NR1519" s="42" t="str">
        <f ca="1"/>
        <v/>
      </c>
      <c r="NS1519" s="42" t="str">
        <f ca="1"/>
        <v/>
      </c>
      <c r="NT1519" s="42" t="str">
        <f ca="1"/>
        <v/>
      </c>
      <c r="NU1519" s="42" t="str">
        <f ca="1"/>
        <v/>
      </c>
      <c r="NV1519" s="42" t="str">
        <f ca="1"/>
        <v/>
      </c>
      <c r="NW1519" s="42" t="str">
        <f ca="1"/>
        <v/>
      </c>
      <c r="NX1519" s="42" t="str">
        <f ca="1"/>
        <v/>
      </c>
      <c r="NY1519" s="42" t="str">
        <f ca="1"/>
        <v/>
      </c>
      <c r="NZ1519" s="42" t="str">
        <f ca="1"/>
        <v/>
      </c>
      <c r="OA1519" s="42" t="str">
        <f ca="1"/>
        <v/>
      </c>
      <c r="OB1519" s="42" t="str">
        <f ca="1"/>
        <v/>
      </c>
      <c r="OC1519" s="42" t="str">
        <f ca="1"/>
        <v/>
      </c>
      <c r="OD1519" s="42" t="str">
        <f ca="1"/>
        <v/>
      </c>
      <c r="OE1519" s="42" t="str">
        <f ca="1"/>
        <v/>
      </c>
      <c r="OF1519" s="42" t="str">
        <f ca="1"/>
        <v/>
      </c>
      <c r="OG1519" s="42" t="str">
        <f ca="1"/>
        <v/>
      </c>
      <c r="OH1519" s="42" t="str">
        <f ca="1"/>
        <v/>
      </c>
      <c r="OI1519" s="42" t="str">
        <f ca="1"/>
        <v/>
      </c>
      <c r="OJ1519" s="42" t="str">
        <f ca="1"/>
        <v/>
      </c>
      <c r="OK1519" s="42" t="str">
        <f ca="1"/>
        <v/>
      </c>
      <c r="OL1519" s="42" t="str">
        <f ca="1"/>
        <v/>
      </c>
      <c r="OM1519" s="42" t="str">
        <f ca="1"/>
        <v/>
      </c>
      <c r="ON1519" s="42" t="str">
        <f ca="1"/>
        <v/>
      </c>
      <c r="OO1519" s="42" t="str">
        <f ca="1"/>
        <v/>
      </c>
      <c r="OP1519" s="42" t="str">
        <f ca="1"/>
        <v/>
      </c>
      <c r="OQ1519" s="42" t="str">
        <f ca="1"/>
        <v/>
      </c>
      <c r="OR1519" s="42" t="str">
        <f ca="1"/>
        <v/>
      </c>
      <c r="OS1519" s="42" t="str">
        <f ca="1"/>
        <v/>
      </c>
      <c r="OT1519" s="42" t="str">
        <f ca="1"/>
        <v/>
      </c>
      <c r="OU1519" s="42" t="str">
        <f ca="1"/>
        <v/>
      </c>
      <c r="OV1519" s="42" t="str">
        <f ca="1"/>
        <v/>
      </c>
      <c r="OW1519" s="42" t="str">
        <f ca="1"/>
        <v/>
      </c>
      <c r="OX1519" s="42" t="str">
        <f ca="1"/>
        <v/>
      </c>
      <c r="OY1519" s="42" t="str">
        <f ca="1"/>
        <v/>
      </c>
      <c r="OZ1519" s="42" t="str">
        <f ca="1"/>
        <v/>
      </c>
      <c r="PA1519" s="42" t="str">
        <f ca="1"/>
        <v/>
      </c>
      <c r="PB1519" s="42" t="str">
        <f ca="1"/>
        <v/>
      </c>
      <c r="PC1519" s="42" t="str">
        <f ca="1"/>
        <v/>
      </c>
      <c r="PD1519" s="42" t="str">
        <f ca="1"/>
        <v/>
      </c>
      <c r="PE1519" s="42" t="str">
        <f ca="1"/>
        <v/>
      </c>
      <c r="PF1519" s="42" t="str">
        <f ca="1"/>
        <v/>
      </c>
      <c r="PG1519" s="42" t="str">
        <f ca="1"/>
        <v/>
      </c>
      <c r="PH1519" s="42" t="str">
        <f ca="1"/>
        <v/>
      </c>
      <c r="PI1519" s="42" t="str">
        <f ca="1"/>
        <v/>
      </c>
      <c r="PJ1519" s="42" t="str">
        <f ca="1"/>
        <v/>
      </c>
      <c r="PK1519" s="42" t="str">
        <f ca="1"/>
        <v/>
      </c>
      <c r="PL1519" s="42" t="str">
        <f ca="1"/>
        <v/>
      </c>
      <c r="PM1519" s="42" t="str">
        <f ca="1"/>
        <v/>
      </c>
      <c r="PN1519" s="42" t="str">
        <f ca="1"/>
        <v/>
      </c>
      <c r="PO1519" s="42" t="str">
        <f ca="1"/>
        <v/>
      </c>
      <c r="PP1519" s="42" t="str">
        <f ca="1"/>
        <v/>
      </c>
      <c r="PQ1519" s="42" t="str">
        <f ca="1"/>
        <v/>
      </c>
      <c r="PR1519" s="42" t="str">
        <f ca="1"/>
        <v/>
      </c>
      <c r="PS1519" s="42" t="str">
        <f ca="1"/>
        <v/>
      </c>
      <c r="PT1519" s="42" t="str">
        <f ca="1"/>
        <v/>
      </c>
      <c r="PU1519" s="42" t="str">
        <f ca="1"/>
        <v/>
      </c>
      <c r="PV1519" s="42" t="str">
        <f ca="1"/>
        <v/>
      </c>
      <c r="PW1519" s="42" t="str">
        <f ca="1"/>
        <v/>
      </c>
      <c r="PX1519" s="42" t="str">
        <f ca="1"/>
        <v/>
      </c>
      <c r="PY1519" s="42" t="str">
        <f ca="1"/>
        <v/>
      </c>
      <c r="PZ1519" s="42" t="str">
        <f ca="1"/>
        <v/>
      </c>
      <c r="QA1519" s="42" t="str">
        <f ca="1"/>
        <v/>
      </c>
      <c r="QB1519" s="42" t="str">
        <f ca="1"/>
        <v/>
      </c>
      <c r="QC1519" s="42" t="str">
        <f ca="1"/>
        <v/>
      </c>
      <c r="QD1519" s="42" t="str">
        <f ca="1"/>
        <v/>
      </c>
      <c r="QE1519" s="42" t="str">
        <f ca="1"/>
        <v/>
      </c>
      <c r="QF1519" s="42" t="str">
        <f ca="1"/>
        <v/>
      </c>
      <c r="QG1519" s="42" t="str">
        <f ca="1"/>
        <v/>
      </c>
      <c r="QH1519" s="42" t="str">
        <f ca="1"/>
        <v/>
      </c>
      <c r="QI1519" s="42" t="str">
        <f ca="1"/>
        <v/>
      </c>
      <c r="QJ1519" s="42" t="str">
        <f ca="1"/>
        <v/>
      </c>
      <c r="QK1519" s="42" t="str">
        <f ca="1"/>
        <v/>
      </c>
      <c r="QL1519" s="42" t="str">
        <f ca="1"/>
        <v/>
      </c>
      <c r="QM1519" s="42" t="str">
        <f ca="1"/>
        <v/>
      </c>
      <c r="QN1519" s="42" t="str">
        <f ca="1"/>
        <v/>
      </c>
      <c r="QO1519" s="42" t="str">
        <f ca="1"/>
        <v/>
      </c>
      <c r="QP1519" s="42" t="str">
        <f ca="1"/>
        <v/>
      </c>
      <c r="QQ1519" s="42" t="str">
        <f ca="1"/>
        <v/>
      </c>
      <c r="QR1519" s="42" t="str">
        <f ca="1"/>
        <v/>
      </c>
      <c r="QS1519" s="42" t="str">
        <f ca="1"/>
        <v/>
      </c>
      <c r="QT1519" s="42" t="str">
        <f ca="1"/>
        <v/>
      </c>
      <c r="QU1519" s="42" t="str">
        <f ca="1"/>
        <v/>
      </c>
      <c r="QV1519" s="42" t="str">
        <f ca="1"/>
        <v/>
      </c>
      <c r="QW1519" s="42" t="str">
        <f ca="1"/>
        <v/>
      </c>
      <c r="QX1519" s="42" t="str">
        <f ca="1"/>
        <v/>
      </c>
      <c r="QY1519" s="42" t="str">
        <f ca="1"/>
        <v/>
      </c>
      <c r="QZ1519" s="42" t="str">
        <f ca="1"/>
        <v/>
      </c>
      <c r="RA1519" s="42" t="str">
        <f ca="1"/>
        <v/>
      </c>
      <c r="RB1519" s="42" t="str">
        <f ca="1"/>
        <v/>
      </c>
      <c r="RC1519" s="42" t="str">
        <f ca="1"/>
        <v/>
      </c>
      <c r="RD1519" s="42" t="str">
        <f ca="1"/>
        <v/>
      </c>
      <c r="RE1519" s="42" t="str">
        <f ca="1"/>
        <v/>
      </c>
      <c r="RF1519" s="42" t="str">
        <f ca="1"/>
        <v/>
      </c>
      <c r="RG1519" s="42" t="str">
        <f ca="1"/>
        <v/>
      </c>
      <c r="RH1519" s="42" t="str">
        <f ca="1"/>
        <v/>
      </c>
      <c r="RI1519" s="42" t="str">
        <f ca="1"/>
        <v/>
      </c>
      <c r="RJ1519" s="42" t="str">
        <f ca="1"/>
        <v/>
      </c>
      <c r="RK1519" s="42" t="str">
        <f ca="1"/>
        <v/>
      </c>
      <c r="RL1519" s="42" t="str">
        <f ca="1"/>
        <v/>
      </c>
      <c r="RM1519" s="42" t="str">
        <f ca="1"/>
        <v/>
      </c>
      <c r="RN1519" s="42" t="str">
        <f ca="1"/>
        <v/>
      </c>
      <c r="RO1519" s="42" t="str">
        <f ca="1"/>
        <v/>
      </c>
      <c r="RP1519" s="42" t="str">
        <f ca="1"/>
        <v/>
      </c>
      <c r="RQ1519" s="42" t="str">
        <f ca="1"/>
        <v/>
      </c>
      <c r="RR1519" s="42" t="str">
        <f ca="1"/>
        <v/>
      </c>
      <c r="RS1519" s="42" t="str">
        <f ca="1"/>
        <v/>
      </c>
      <c r="RT1519" s="42" t="str">
        <f ca="1"/>
        <v/>
      </c>
      <c r="RU1519" s="42" t="str">
        <f ca="1"/>
        <v/>
      </c>
      <c r="RV1519" s="42" t="str">
        <f ca="1"/>
        <v/>
      </c>
      <c r="RW1519" s="42" t="str">
        <f ca="1"/>
        <v/>
      </c>
      <c r="RX1519" s="42" t="str">
        <f ca="1"/>
        <v/>
      </c>
      <c r="RY1519" s="42" t="str">
        <f ca="1"/>
        <v/>
      </c>
      <c r="RZ1519" s="42" t="str">
        <f ca="1"/>
        <v/>
      </c>
      <c r="SA1519" s="42" t="str">
        <f ca="1"/>
        <v/>
      </c>
      <c r="SB1519" s="42" t="str">
        <f ca="1"/>
        <v/>
      </c>
      <c r="SC1519" s="42" t="str">
        <f ca="1"/>
        <v/>
      </c>
      <c r="SD1519" s="42" t="str">
        <f ca="1"/>
        <v/>
      </c>
      <c r="SE1519" s="42" t="str">
        <f ca="1"/>
        <v/>
      </c>
      <c r="SF1519" s="42" t="str">
        <f ca="1"/>
        <v/>
      </c>
      <c r="SG1519" s="42" t="str">
        <f ca="1"/>
        <v/>
      </c>
      <c r="SH1519" s="42" t="str">
        <f ca="1"/>
        <v/>
      </c>
      <c r="SI1519" s="42" t="str">
        <f ca="1"/>
        <v/>
      </c>
      <c r="SJ1519" s="42" t="str">
        <f ca="1"/>
        <v/>
      </c>
      <c r="SK1519" s="42" t="str">
        <f ca="1"/>
        <v/>
      </c>
      <c r="SL1519" s="42" t="str">
        <f ca="1"/>
        <v/>
      </c>
      <c r="SM1519" s="42" t="str">
        <f ca="1"/>
        <v/>
      </c>
      <c r="SN1519" s="42" t="str">
        <f ca="1"/>
        <v/>
      </c>
      <c r="SO1519" s="42" t="str">
        <f ca="1"/>
        <v/>
      </c>
      <c r="SP1519" s="42" t="str">
        <f ca="1"/>
        <v/>
      </c>
      <c r="SQ1519" s="42" t="str">
        <f ca="1"/>
        <v/>
      </c>
      <c r="SR1519" s="42" t="str">
        <f ca="1"/>
        <v/>
      </c>
      <c r="SS1519" s="42" t="str">
        <f ca="1"/>
        <v/>
      </c>
      <c r="ST1519" s="42" t="str">
        <f ca="1"/>
        <v/>
      </c>
      <c r="SU1519" s="42" t="str">
        <f ca="1"/>
        <v/>
      </c>
      <c r="SV1519" s="42" t="str">
        <f ca="1"/>
        <v/>
      </c>
      <c r="SW1519" s="42" t="str">
        <f ca="1"/>
        <v/>
      </c>
      <c r="SX1519" s="42" t="str">
        <f ca="1"/>
        <v/>
      </c>
      <c r="SY1519" s="42" t="str">
        <f ca="1"/>
        <v/>
      </c>
      <c r="SZ1519" s="42" t="str">
        <f ca="1"/>
        <v/>
      </c>
      <c r="TA1519" s="42" t="str">
        <f ca="1"/>
        <v/>
      </c>
      <c r="TB1519" s="42" t="str">
        <f ca="1"/>
        <v/>
      </c>
      <c r="TC1519" s="42" t="str">
        <f ca="1"/>
        <v/>
      </c>
      <c r="TD1519" s="42" t="str">
        <f ca="1"/>
        <v/>
      </c>
      <c r="TE1519" s="42" t="str">
        <f ca="1"/>
        <v/>
      </c>
      <c r="TF1519" s="42" t="str">
        <f ca="1"/>
        <v/>
      </c>
      <c r="TG1519" s="42" t="str">
        <f ca="1"/>
        <v/>
      </c>
      <c r="TH1519" s="42" t="str">
        <f ca="1"/>
        <v/>
      </c>
      <c r="TI1519" s="42" t="str">
        <f ca="1"/>
        <v/>
      </c>
      <c r="TJ1519" s="42" t="str">
        <f ca="1"/>
        <v/>
      </c>
      <c r="TK1519" s="42" t="str">
        <f ca="1"/>
        <v/>
      </c>
      <c r="TL1519" s="42" t="str">
        <f ca="1"/>
        <v/>
      </c>
      <c r="TM1519" s="42" t="str">
        <f ca="1"/>
        <v/>
      </c>
      <c r="TN1519" s="42" t="str">
        <f ca="1"/>
        <v/>
      </c>
      <c r="TO1519" s="42" t="str">
        <f ca="1"/>
        <v/>
      </c>
      <c r="TP1519" s="42" t="str">
        <f ca="1"/>
        <v/>
      </c>
      <c r="TQ1519" s="42" t="str">
        <f ca="1"/>
        <v/>
      </c>
      <c r="TR1519" s="42" t="str">
        <f ca="1"/>
        <v/>
      </c>
      <c r="TS1519" s="42" t="str">
        <f ca="1"/>
        <v/>
      </c>
      <c r="TT1519" s="42" t="str">
        <f ca="1"/>
        <v/>
      </c>
      <c r="TU1519" s="42" t="str">
        <f ca="1"/>
        <v/>
      </c>
      <c r="TV1519" s="42" t="str">
        <f ca="1"/>
        <v/>
      </c>
      <c r="TW1519" s="42" t="str">
        <f ca="1"/>
        <v/>
      </c>
      <c r="TX1519" s="42" t="str">
        <f ca="1"/>
        <v/>
      </c>
      <c r="TY1519" s="42" t="str">
        <f ca="1"/>
        <v/>
      </c>
      <c r="TZ1519" s="42" t="str">
        <f ca="1"/>
        <v/>
      </c>
      <c r="UA1519" s="42" t="str">
        <f ca="1"/>
        <v/>
      </c>
      <c r="UB1519" s="42" t="str">
        <f ca="1"/>
        <v/>
      </c>
      <c r="UC1519" s="42" t="str">
        <f ca="1"/>
        <v/>
      </c>
      <c r="UD1519" s="42" t="str">
        <f ca="1"/>
        <v/>
      </c>
      <c r="UE1519" s="42" t="str">
        <f ca="1"/>
        <v/>
      </c>
      <c r="UF1519" s="42" t="str">
        <f ca="1"/>
        <v/>
      </c>
      <c r="UG1519" s="42" t="str">
        <f ca="1"/>
        <v/>
      </c>
      <c r="UH1519" s="42" t="str">
        <f ca="1"/>
        <v/>
      </c>
      <c r="UI1519" s="42" t="str">
        <f ca="1"/>
        <v/>
      </c>
      <c r="UJ1519" s="42" t="str">
        <f ca="1"/>
        <v/>
      </c>
      <c r="UK1519" s="42" t="str">
        <f ca="1"/>
        <v/>
      </c>
      <c r="UL1519" s="42" t="str">
        <f ca="1"/>
        <v/>
      </c>
      <c r="UM1519" s="42" t="str">
        <f ca="1"/>
        <v/>
      </c>
      <c r="UN1519" s="42" t="str">
        <f ca="1"/>
        <v/>
      </c>
      <c r="UO1519" s="42" t="str">
        <f ca="1"/>
        <v/>
      </c>
      <c r="UP1519" s="42" t="str">
        <f ca="1"/>
        <v/>
      </c>
      <c r="UQ1519" s="42" t="str">
        <f ca="1"/>
        <v/>
      </c>
      <c r="UR1519" s="42" t="str">
        <f ca="1"/>
        <v/>
      </c>
      <c r="US1519" s="42" t="str">
        <f ca="1"/>
        <v/>
      </c>
      <c r="UT1519" s="42" t="str">
        <f ca="1"/>
        <v/>
      </c>
      <c r="UU1519" s="42" t="str">
        <f ca="1"/>
        <v/>
      </c>
      <c r="UV1519" s="42" t="str">
        <f ca="1"/>
        <v/>
      </c>
      <c r="UW1519" s="42" t="str">
        <f ca="1"/>
        <v/>
      </c>
      <c r="UX1519" s="42" t="str">
        <f ca="1"/>
        <v/>
      </c>
      <c r="UY1519" s="42" t="str">
        <f ca="1"/>
        <v/>
      </c>
      <c r="UZ1519" s="42" t="str">
        <f ca="1"/>
        <v/>
      </c>
      <c r="VA1519" s="42" t="str">
        <f ca="1"/>
        <v/>
      </c>
      <c r="VB1519" s="42" t="str">
        <f ca="1"/>
        <v/>
      </c>
      <c r="VC1519" s="42" t="str">
        <f ca="1"/>
        <v/>
      </c>
      <c r="VD1519" s="42" t="str">
        <f ca="1"/>
        <v/>
      </c>
      <c r="VE1519" s="42" t="str">
        <f ca="1"/>
        <v/>
      </c>
      <c r="VF1519" s="42" t="str">
        <f ca="1"/>
        <v/>
      </c>
      <c r="VG1519" s="42" t="str">
        <f ca="1"/>
        <v/>
      </c>
      <c r="VH1519" s="42" t="str">
        <f ca="1"/>
        <v/>
      </c>
      <c r="VI1519" s="42" t="str">
        <f ca="1"/>
        <v/>
      </c>
      <c r="VJ1519" s="42" t="str">
        <f ca="1"/>
        <v/>
      </c>
      <c r="VK1519" s="42" t="str">
        <f ca="1"/>
        <v/>
      </c>
      <c r="VL1519" s="42" t="str">
        <f ca="1"/>
        <v/>
      </c>
      <c r="VM1519" s="42" t="str">
        <f ca="1"/>
        <v/>
      </c>
      <c r="VN1519" s="42" t="str">
        <f ca="1"/>
        <v/>
      </c>
      <c r="VO1519" s="42" t="str">
        <f ca="1"/>
        <v/>
      </c>
      <c r="VP1519" s="42" t="str">
        <f ca="1"/>
        <v/>
      </c>
      <c r="VQ1519" s="42" t="str">
        <f ca="1"/>
        <v/>
      </c>
      <c r="VR1519" s="42" t="str">
        <f ca="1"/>
        <v/>
      </c>
      <c r="VS1519" s="42" t="str">
        <f ca="1"/>
        <v/>
      </c>
      <c r="VT1519" s="42" t="str">
        <f ca="1"/>
        <v/>
      </c>
      <c r="VU1519" s="42" t="str">
        <f ca="1"/>
        <v/>
      </c>
      <c r="VV1519" s="42" t="str">
        <f ca="1"/>
        <v/>
      </c>
      <c r="VW1519" s="42" t="str">
        <f ca="1"/>
        <v/>
      </c>
      <c r="VX1519" s="42" t="str">
        <f ca="1"/>
        <v/>
      </c>
      <c r="VY1519" s="42" t="str">
        <f ca="1"/>
        <v/>
      </c>
      <c r="VZ1519" s="42" t="str">
        <f ca="1"/>
        <v/>
      </c>
      <c r="WA1519" s="42" t="str">
        <f ca="1"/>
        <v/>
      </c>
      <c r="WB1519" s="42" t="str">
        <f ca="1"/>
        <v/>
      </c>
      <c r="WC1519" s="42" t="str">
        <f ca="1"/>
        <v/>
      </c>
      <c r="WD1519" s="42" t="str">
        <f ca="1"/>
        <v/>
      </c>
      <c r="WE1519" s="42" t="str">
        <f ca="1"/>
        <v/>
      </c>
      <c r="WF1519" s="42" t="str">
        <f ca="1"/>
        <v/>
      </c>
      <c r="WG1519" s="42" t="str">
        <f ca="1"/>
        <v/>
      </c>
      <c r="WH1519" s="42" t="str">
        <f ca="1"/>
        <v/>
      </c>
      <c r="WI1519" s="42" t="str">
        <f ca="1"/>
        <v/>
      </c>
      <c r="WJ1519" s="42" t="str">
        <f ca="1"/>
        <v/>
      </c>
      <c r="WK1519" s="42" t="str">
        <f ca="1"/>
        <v/>
      </c>
      <c r="WL1519" s="42" t="str">
        <f ca="1"/>
        <v/>
      </c>
      <c r="WM1519" s="42" t="str">
        <f ca="1"/>
        <v/>
      </c>
      <c r="WN1519" s="42" t="str">
        <f ca="1"/>
        <v/>
      </c>
      <c r="WO1519" s="42" t="str">
        <f ca="1"/>
        <v/>
      </c>
      <c r="WP1519" s="42" t="str">
        <f ca="1"/>
        <v/>
      </c>
      <c r="WQ1519" s="42" t="str">
        <f ca="1"/>
        <v/>
      </c>
      <c r="WR1519" s="42" t="str">
        <f ca="1"/>
        <v/>
      </c>
      <c r="WS1519" s="42" t="str">
        <f ca="1"/>
        <v/>
      </c>
      <c r="WT1519" s="42" t="str">
        <f ca="1"/>
        <v/>
      </c>
      <c r="WU1519" s="42" t="str">
        <f ca="1"/>
        <v/>
      </c>
      <c r="WV1519" s="42" t="str">
        <f ca="1"/>
        <v/>
      </c>
      <c r="WW1519" s="42" t="str">
        <f ca="1"/>
        <v/>
      </c>
      <c r="WX1519" s="42" t="str">
        <f ca="1"/>
        <v/>
      </c>
      <c r="WY1519" s="42" t="str">
        <f ca="1"/>
        <v/>
      </c>
      <c r="WZ1519" s="42" t="str">
        <f ca="1"/>
        <v/>
      </c>
      <c r="XA1519" s="42" t="str">
        <f ca="1"/>
        <v/>
      </c>
      <c r="XB1519" s="42" t="str">
        <f ca="1"/>
        <v/>
      </c>
      <c r="XC1519" s="42" t="str">
        <f ca="1"/>
        <v/>
      </c>
      <c r="XD1519" s="42" t="str">
        <f ca="1"/>
        <v/>
      </c>
      <c r="XE1519" s="42" t="str">
        <f ca="1"/>
        <v/>
      </c>
      <c r="XF1519" s="42" t="str">
        <f ca="1"/>
        <v/>
      </c>
      <c r="XG1519" s="42" t="str">
        <f ca="1"/>
        <v/>
      </c>
      <c r="XH1519" s="42" t="str">
        <f ca="1"/>
        <v/>
      </c>
      <c r="XI1519" s="42" t="str">
        <f ca="1"/>
        <v/>
      </c>
      <c r="XJ1519" s="42" t="str">
        <f ca="1"/>
        <v/>
      </c>
      <c r="XK1519" s="42" t="str">
        <f ca="1"/>
        <v/>
      </c>
      <c r="XL1519" s="42" t="str">
        <f ca="1"/>
        <v/>
      </c>
      <c r="XM1519" s="42" t="str">
        <f ca="1"/>
        <v/>
      </c>
      <c r="XN1519" s="42" t="str">
        <f ca="1"/>
        <v/>
      </c>
      <c r="XO1519" s="42" t="str">
        <f ca="1"/>
        <v/>
      </c>
      <c r="XP1519" s="42" t="str">
        <f ca="1"/>
        <v/>
      </c>
      <c r="XQ1519" s="42" t="str">
        <f ca="1"/>
        <v/>
      </c>
      <c r="XR1519" s="42" t="str">
        <f ca="1"/>
        <v/>
      </c>
      <c r="XS1519" s="42" t="str">
        <f ca="1"/>
        <v/>
      </c>
      <c r="XT1519" s="42" t="str">
        <f ca="1"/>
        <v/>
      </c>
      <c r="XU1519" s="42" t="str">
        <f ca="1"/>
        <v/>
      </c>
      <c r="XV1519" s="42" t="str">
        <f ca="1"/>
        <v/>
      </c>
      <c r="XW1519" s="42" t="str">
        <f ca="1"/>
        <v/>
      </c>
      <c r="XX1519" s="42" t="str">
        <f ca="1"/>
        <v/>
      </c>
      <c r="XY1519" s="42" t="str">
        <f ca="1"/>
        <v/>
      </c>
      <c r="XZ1519" s="42" t="str">
        <f ca="1"/>
        <v/>
      </c>
      <c r="YA1519" s="42" t="str">
        <f ca="1"/>
        <v/>
      </c>
      <c r="YB1519" s="42" t="str">
        <f ca="1"/>
        <v/>
      </c>
      <c r="YC1519" s="42" t="str">
        <f ca="1"/>
        <v/>
      </c>
      <c r="YD1519" s="42" t="str">
        <f ca="1"/>
        <v/>
      </c>
      <c r="YE1519" s="42" t="str">
        <f ca="1"/>
        <v/>
      </c>
      <c r="YF1519" s="42" t="str">
        <f ca="1"/>
        <v/>
      </c>
      <c r="YG1519" s="42" t="str">
        <f ca="1"/>
        <v/>
      </c>
      <c r="YH1519" s="42" t="str">
        <f ca="1"/>
        <v/>
      </c>
      <c r="YI1519" s="42" t="str">
        <f ca="1"/>
        <v/>
      </c>
      <c r="YJ1519" s="42" t="str">
        <f ca="1"/>
        <v/>
      </c>
      <c r="YK1519" s="42" t="str">
        <f ca="1"/>
        <v/>
      </c>
      <c r="YL1519" s="42" t="str">
        <f ca="1"/>
        <v/>
      </c>
      <c r="YM1519" s="42" t="str">
        <f ca="1"/>
        <v/>
      </c>
      <c r="YN1519" s="42" t="str">
        <f ca="1"/>
        <v/>
      </c>
      <c r="YO1519" s="42" t="str">
        <f ca="1"/>
        <v/>
      </c>
      <c r="YP1519" s="42" t="str">
        <f ca="1"/>
        <v/>
      </c>
      <c r="YQ1519" s="42" t="str">
        <f ca="1"/>
        <v/>
      </c>
      <c r="YR1519" s="42" t="str">
        <f ca="1"/>
        <v/>
      </c>
      <c r="YS1519" s="42" t="str">
        <f ca="1"/>
        <v/>
      </c>
      <c r="YT1519" s="42" t="str">
        <f ca="1"/>
        <v/>
      </c>
      <c r="YU1519" s="42" t="str">
        <f ca="1"/>
        <v/>
      </c>
      <c r="YV1519" s="42" t="str">
        <f ca="1"/>
        <v/>
      </c>
      <c r="YW1519" s="42" t="str">
        <f ca="1"/>
        <v/>
      </c>
      <c r="YX1519" s="42" t="str">
        <f ca="1"/>
        <v/>
      </c>
      <c r="YY1519" s="42" t="str">
        <f ca="1"/>
        <v/>
      </c>
      <c r="YZ1519" s="42" t="str">
        <f ca="1"/>
        <v/>
      </c>
      <c r="ZA1519" s="42" t="str">
        <f ca="1"/>
        <v/>
      </c>
      <c r="ZB1519" s="42" t="str">
        <f ca="1"/>
        <v/>
      </c>
      <c r="ZC1519" s="42" t="str">
        <f ca="1"/>
        <v/>
      </c>
      <c r="ZD1519" s="42" t="str">
        <f ca="1"/>
        <v/>
      </c>
      <c r="ZE1519" s="42" t="str">
        <f ca="1"/>
        <v/>
      </c>
      <c r="ZF1519" s="42" t="str">
        <f ca="1"/>
        <v/>
      </c>
      <c r="ZG1519" s="42" t="str">
        <f ca="1"/>
        <v/>
      </c>
      <c r="ZH1519" s="42" t="str">
        <f ca="1"/>
        <v/>
      </c>
      <c r="ZI1519" s="42" t="str">
        <f ca="1"/>
        <v/>
      </c>
      <c r="ZJ1519" s="42" t="str">
        <f ca="1"/>
        <v/>
      </c>
      <c r="ZK1519" s="42" t="str">
        <f ca="1"/>
        <v/>
      </c>
      <c r="ZL1519" s="42" t="str">
        <f ca="1"/>
        <v/>
      </c>
      <c r="ZM1519" s="42" t="str">
        <f ca="1"/>
        <v/>
      </c>
      <c r="ZN1519" s="42" t="str">
        <f ca="1"/>
        <v/>
      </c>
      <c r="ZO1519" s="42" t="str">
        <f ca="1"/>
        <v/>
      </c>
      <c r="ZP1519" s="42" t="str">
        <f ca="1"/>
        <v/>
      </c>
      <c r="ZQ1519" s="42" t="str">
        <f ca="1"/>
        <v/>
      </c>
      <c r="ZR1519" s="42" t="str">
        <f ca="1"/>
        <v/>
      </c>
      <c r="ZS1519" s="42" t="str">
        <f ca="1"/>
        <v/>
      </c>
      <c r="ZT1519" s="42" t="str">
        <f ca="1"/>
        <v/>
      </c>
      <c r="ZU1519" s="42" t="str">
        <f ca="1"/>
        <v/>
      </c>
      <c r="ZV1519" s="42" t="str">
        <f ca="1"/>
        <v/>
      </c>
      <c r="ZW1519" s="42" t="str">
        <f ca="1"/>
        <v/>
      </c>
      <c r="ZX1519" s="42" t="str">
        <f ca="1"/>
        <v/>
      </c>
      <c r="ZY1519" s="42" t="str">
        <f ca="1"/>
        <v/>
      </c>
      <c r="ZZ1519" s="42" t="str">
        <f ca="1"/>
        <v/>
      </c>
      <c r="AAA1519" s="42" t="str">
        <f ca="1"/>
        <v/>
      </c>
      <c r="AAB1519" s="42" t="str">
        <f ca="1"/>
        <v/>
      </c>
      <c r="AAC1519" s="42" t="str">
        <f ca="1"/>
        <v/>
      </c>
      <c r="AAD1519" s="42" t="str">
        <f ca="1"/>
        <v/>
      </c>
      <c r="AAE1519" s="42" t="str">
        <f ca="1"/>
        <v/>
      </c>
      <c r="AAF1519" s="42" t="str">
        <f ca="1"/>
        <v/>
      </c>
      <c r="AAG1519" s="42" t="str">
        <f ca="1"/>
        <v/>
      </c>
      <c r="AAH1519" s="42" t="str">
        <f ca="1"/>
        <v/>
      </c>
      <c r="AAI1519" s="42" t="str">
        <f ca="1"/>
        <v/>
      </c>
      <c r="AAJ1519" s="42" t="str">
        <f ca="1"/>
        <v/>
      </c>
      <c r="AAK1519" s="42" t="str">
        <f ca="1"/>
        <v/>
      </c>
      <c r="AAL1519" s="42" t="str">
        <f ca="1"/>
        <v/>
      </c>
      <c r="AAM1519" s="42" t="str">
        <f ca="1"/>
        <v/>
      </c>
      <c r="AAN1519" s="42" t="str">
        <f ca="1"/>
        <v/>
      </c>
      <c r="AAO1519" s="42" t="str">
        <f ca="1"/>
        <v/>
      </c>
      <c r="AAP1519" s="42" t="str">
        <f ca="1"/>
        <v/>
      </c>
      <c r="AAQ1519" s="42" t="str">
        <f ca="1"/>
        <v/>
      </c>
      <c r="AAR1519" s="42" t="str">
        <f ca="1"/>
        <v/>
      </c>
      <c r="AAS1519" s="42" t="str">
        <f ca="1"/>
        <v/>
      </c>
      <c r="AAT1519" s="42" t="str">
        <f ca="1"/>
        <v/>
      </c>
      <c r="AAU1519" s="42" t="str">
        <f ca="1"/>
        <v/>
      </c>
      <c r="AAV1519" s="42" t="str">
        <f ca="1"/>
        <v/>
      </c>
      <c r="AAW1519" s="42" t="str">
        <f ca="1"/>
        <v/>
      </c>
      <c r="AAX1519" s="42" t="str">
        <f ca="1"/>
        <v/>
      </c>
      <c r="AAY1519" s="42" t="str">
        <f ca="1"/>
        <v/>
      </c>
      <c r="AAZ1519" s="42" t="str">
        <f ca="1"/>
        <v/>
      </c>
      <c r="ABA1519" s="42" t="str">
        <f ca="1"/>
        <v/>
      </c>
      <c r="ABB1519" s="42" t="str">
        <f ca="1"/>
        <v/>
      </c>
      <c r="ABC1519" s="42" t="str">
        <f ca="1"/>
        <v/>
      </c>
      <c r="ABD1519" s="42" t="str">
        <f ca="1"/>
        <v/>
      </c>
      <c r="ABE1519" s="42" t="str">
        <f ca="1"/>
        <v/>
      </c>
      <c r="ABF1519" s="42" t="str">
        <f ca="1"/>
        <v/>
      </c>
      <c r="ABG1519" s="42" t="str">
        <f ca="1"/>
        <v/>
      </c>
      <c r="ABH1519" s="42" t="str">
        <f ca="1"/>
        <v/>
      </c>
      <c r="ABI1519" s="42" t="str">
        <f ca="1"/>
        <v/>
      </c>
      <c r="ABJ1519" s="42" t="str">
        <f ca="1"/>
        <v/>
      </c>
      <c r="ABK1519" s="42" t="str">
        <f ca="1"/>
        <v/>
      </c>
      <c r="ABL1519" s="42" t="str">
        <f ca="1"/>
        <v/>
      </c>
      <c r="ABM1519" s="42" t="str">
        <f ca="1"/>
        <v/>
      </c>
      <c r="ABN1519" s="42" t="str">
        <f ca="1"/>
        <v/>
      </c>
      <c r="ABO1519" s="42" t="str">
        <f ca="1"/>
        <v/>
      </c>
      <c r="ABP1519" s="42" t="str">
        <f ca="1"/>
        <v/>
      </c>
      <c r="ABQ1519" s="42" t="str">
        <f ca="1"/>
        <v/>
      </c>
      <c r="ABR1519" s="42" t="str">
        <f ca="1"/>
        <v/>
      </c>
      <c r="ABS1519" s="42" t="str">
        <f ca="1"/>
        <v/>
      </c>
      <c r="ABT1519" s="42" t="str">
        <f ca="1"/>
        <v/>
      </c>
      <c r="ABU1519" s="42" t="str">
        <f ca="1"/>
        <v/>
      </c>
      <c r="ABV1519" s="42" t="str">
        <f ca="1"/>
        <v/>
      </c>
      <c r="ABW1519" s="42" t="str">
        <f ca="1"/>
        <v/>
      </c>
      <c r="ABX1519" s="42" t="str">
        <f ca="1"/>
        <v/>
      </c>
      <c r="ABY1519" s="42" t="str">
        <f ca="1"/>
        <v/>
      </c>
      <c r="ABZ1519" s="42" t="str">
        <f ca="1"/>
        <v/>
      </c>
      <c r="ACA1519" s="42" t="str">
        <f ca="1"/>
        <v/>
      </c>
      <c r="ACB1519" s="42" t="str">
        <f ca="1"/>
        <v/>
      </c>
      <c r="ACC1519" s="42" t="str">
        <f ca="1"/>
        <v/>
      </c>
      <c r="ACD1519" s="42" t="str">
        <f ca="1"/>
        <v/>
      </c>
      <c r="ACE1519" s="42" t="str">
        <f ca="1"/>
        <v/>
      </c>
      <c r="ACF1519" s="42" t="str">
        <f ca="1"/>
        <v/>
      </c>
      <c r="ACG1519" s="42" t="str">
        <f ca="1"/>
        <v/>
      </c>
      <c r="ACH1519" s="42" t="str">
        <f ca="1"/>
        <v/>
      </c>
      <c r="ACI1519" s="42" t="str">
        <f ca="1"/>
        <v/>
      </c>
      <c r="ACJ1519" s="42" t="str">
        <f ca="1"/>
        <v/>
      </c>
      <c r="ACK1519" s="42" t="str">
        <f ca="1"/>
        <v/>
      </c>
      <c r="ACL1519" s="42" t="str">
        <f ca="1"/>
        <v/>
      </c>
      <c r="ACM1519" s="42" t="str">
        <f ca="1"/>
        <v/>
      </c>
      <c r="ACN1519" s="42" t="str">
        <f ca="1"/>
        <v/>
      </c>
      <c r="ACO1519" s="42" t="str">
        <f ca="1"/>
        <v/>
      </c>
      <c r="ACP1519" s="42" t="str">
        <f ca="1"/>
        <v/>
      </c>
      <c r="ACQ1519" s="42" t="str">
        <f ca="1"/>
        <v/>
      </c>
      <c r="ACR1519" s="42" t="str">
        <f ca="1"/>
        <v/>
      </c>
      <c r="ACS1519" s="42" t="str">
        <f ca="1"/>
        <v/>
      </c>
      <c r="ACT1519" s="42" t="str">
        <f ca="1"/>
        <v/>
      </c>
      <c r="ACU1519" s="42" t="str">
        <f ca="1"/>
        <v/>
      </c>
      <c r="ACV1519" s="42" t="str">
        <f ca="1"/>
        <v/>
      </c>
      <c r="ACW1519" s="42" t="str">
        <f ca="1"/>
        <v/>
      </c>
      <c r="ACX1519" s="42" t="str">
        <f ca="1"/>
        <v/>
      </c>
      <c r="ACY1519" s="42" t="str">
        <f ca="1"/>
        <v/>
      </c>
      <c r="ACZ1519" s="42" t="str">
        <f ca="1"/>
        <v/>
      </c>
      <c r="ADA1519" s="42" t="str">
        <f ca="1"/>
        <v/>
      </c>
      <c r="ADB1519" s="42" t="str">
        <f ca="1"/>
        <v/>
      </c>
      <c r="ADC1519" s="42" t="str">
        <f ca="1"/>
        <v/>
      </c>
      <c r="ADD1519" s="42" t="str">
        <f ca="1"/>
        <v/>
      </c>
      <c r="ADE1519" s="42" t="str">
        <f ca="1"/>
        <v/>
      </c>
      <c r="ADF1519" s="42" t="str">
        <f ca="1"/>
        <v/>
      </c>
      <c r="ADG1519" s="42" t="str">
        <f ca="1"/>
        <v/>
      </c>
      <c r="ADH1519" s="42" t="str">
        <f ca="1"/>
        <v/>
      </c>
      <c r="ADI1519" s="42" t="str">
        <f ca="1"/>
        <v/>
      </c>
      <c r="ADJ1519" s="42" t="str">
        <f ca="1"/>
        <v/>
      </c>
      <c r="ADK1519" s="42" t="str">
        <f ca="1"/>
        <v/>
      </c>
      <c r="ADL1519" s="42" t="str">
        <f ca="1"/>
        <v/>
      </c>
      <c r="ADM1519" s="42" t="str">
        <f ca="1"/>
        <v/>
      </c>
      <c r="ADN1519" s="42" t="str">
        <f ca="1"/>
        <v/>
      </c>
      <c r="ADO1519" s="42" t="str">
        <f ca="1"/>
        <v/>
      </c>
      <c r="ADP1519" s="42" t="str">
        <f ca="1"/>
        <v/>
      </c>
      <c r="ADQ1519" s="42" t="str">
        <f ca="1"/>
        <v/>
      </c>
      <c r="ADR1519" s="42" t="str">
        <f ca="1"/>
        <v/>
      </c>
      <c r="ADS1519" s="42" t="str">
        <f ca="1"/>
        <v/>
      </c>
      <c r="ADT1519" s="42" t="str">
        <f ca="1"/>
        <v/>
      </c>
      <c r="ADU1519" s="42" t="str">
        <f ca="1"/>
        <v/>
      </c>
      <c r="ADV1519" s="42" t="str">
        <f ca="1"/>
        <v/>
      </c>
      <c r="ADW1519" s="42" t="str">
        <f ca="1"/>
        <v/>
      </c>
      <c r="ADX1519" s="42" t="str">
        <f ca="1"/>
        <v/>
      </c>
      <c r="ADY1519" s="42" t="str">
        <f ca="1"/>
        <v/>
      </c>
      <c r="ADZ1519" s="42" t="str">
        <f ca="1"/>
        <v/>
      </c>
      <c r="AEA1519" s="42" t="str">
        <f ca="1"/>
        <v/>
      </c>
      <c r="AEB1519" s="42" t="str">
        <f ca="1"/>
        <v/>
      </c>
      <c r="AEC1519" s="42" t="str">
        <f ca="1"/>
        <v/>
      </c>
      <c r="AED1519" s="42" t="str">
        <f ca="1"/>
        <v/>
      </c>
      <c r="AEE1519" s="42" t="str">
        <f ca="1"/>
        <v/>
      </c>
      <c r="AEF1519" s="42" t="str">
        <f ca="1"/>
        <v/>
      </c>
      <c r="AEG1519" s="42" t="str">
        <f ca="1"/>
        <v/>
      </c>
      <c r="AEH1519" s="42" t="str">
        <f ca="1"/>
        <v/>
      </c>
      <c r="AEI1519" s="42" t="str">
        <f ca="1"/>
        <v/>
      </c>
      <c r="AEJ1519" s="42" t="str">
        <f ca="1"/>
        <v/>
      </c>
      <c r="AEK1519" s="42" t="str">
        <f ca="1"/>
        <v/>
      </c>
      <c r="AEL1519" s="42" t="str">
        <f ca="1"/>
        <v/>
      </c>
      <c r="AEM1519" s="42" t="str">
        <f ca="1"/>
        <v/>
      </c>
      <c r="AEN1519" s="42" t="str">
        <f ca="1"/>
        <v/>
      </c>
      <c r="AEO1519" s="42" t="str">
        <f ca="1"/>
        <v/>
      </c>
      <c r="AEP1519" s="42" t="str">
        <f ca="1"/>
        <v/>
      </c>
      <c r="AEQ1519" s="42" t="str">
        <f ca="1"/>
        <v/>
      </c>
      <c r="AER1519" s="42" t="str">
        <f ca="1"/>
        <v/>
      </c>
      <c r="AES1519" s="42" t="str">
        <f ca="1"/>
        <v/>
      </c>
      <c r="AET1519" s="42" t="str">
        <f ca="1"/>
        <v/>
      </c>
      <c r="AEU1519" s="42" t="str">
        <f ca="1"/>
        <v/>
      </c>
      <c r="AEV1519" s="42" t="str">
        <f ca="1"/>
        <v/>
      </c>
      <c r="AEW1519" s="42" t="str">
        <f ca="1"/>
        <v/>
      </c>
      <c r="AEX1519" s="42" t="str">
        <f ca="1"/>
        <v/>
      </c>
      <c r="AEY1519" s="42" t="str">
        <f ca="1"/>
        <v/>
      </c>
      <c r="AEZ1519" s="42" t="str">
        <f ca="1"/>
        <v/>
      </c>
      <c r="AFA1519" s="42" t="str">
        <f ca="1"/>
        <v/>
      </c>
      <c r="AFB1519" s="42" t="str">
        <f ca="1"/>
        <v/>
      </c>
      <c r="AFC1519" s="42" t="str">
        <f ca="1"/>
        <v/>
      </c>
      <c r="AFD1519" s="42" t="str">
        <f ca="1"/>
        <v/>
      </c>
      <c r="AFE1519" s="42" t="str">
        <f ca="1"/>
        <v/>
      </c>
      <c r="AFF1519" s="42" t="str">
        <f ca="1"/>
        <v/>
      </c>
      <c r="AFG1519" s="42" t="str">
        <f ca="1"/>
        <v/>
      </c>
      <c r="AFH1519" s="42" t="str">
        <f ca="1"/>
        <v/>
      </c>
      <c r="AFI1519" s="42" t="str">
        <f ca="1"/>
        <v/>
      </c>
      <c r="AFJ1519" s="42" t="str">
        <f ca="1"/>
        <v/>
      </c>
      <c r="AFK1519" s="42" t="str">
        <f ca="1"/>
        <v/>
      </c>
      <c r="AFL1519" s="42" t="str">
        <f ca="1"/>
        <v/>
      </c>
      <c r="AFM1519" s="42" t="str">
        <f ca="1"/>
        <v/>
      </c>
      <c r="AFN1519" s="42" t="str">
        <f ca="1"/>
        <v/>
      </c>
      <c r="AFO1519" s="42" t="str">
        <f ca="1"/>
        <v/>
      </c>
      <c r="AFP1519" s="42" t="str">
        <f ca="1"/>
        <v/>
      </c>
      <c r="AFQ1519" s="42" t="str">
        <f ca="1"/>
        <v/>
      </c>
      <c r="AFR1519" s="42" t="str">
        <f ca="1"/>
        <v/>
      </c>
      <c r="AFS1519" s="42" t="str">
        <f ca="1"/>
        <v/>
      </c>
      <c r="AFT1519" s="42" t="str">
        <f ca="1"/>
        <v/>
      </c>
      <c r="AFU1519" s="42" t="str">
        <f ca="1"/>
        <v/>
      </c>
      <c r="AFV1519" s="42" t="str">
        <f ca="1"/>
        <v/>
      </c>
      <c r="AFW1519" s="42" t="str">
        <f ca="1"/>
        <v/>
      </c>
      <c r="AFX1519" s="42" t="str">
        <f ca="1"/>
        <v/>
      </c>
      <c r="AFY1519" s="42" t="str">
        <f ca="1"/>
        <v/>
      </c>
      <c r="AFZ1519" s="42" t="str">
        <f ca="1"/>
        <v/>
      </c>
      <c r="AGA1519" s="42" t="str">
        <f ca="1"/>
        <v/>
      </c>
      <c r="AGB1519" s="42" t="str">
        <f ca="1"/>
        <v/>
      </c>
      <c r="AGC1519" s="42" t="str">
        <f ca="1"/>
        <v/>
      </c>
      <c r="AGD1519" s="42" t="str">
        <f ca="1"/>
        <v/>
      </c>
      <c r="AGE1519" s="42" t="str">
        <f ca="1"/>
        <v/>
      </c>
      <c r="AGF1519" s="42" t="str">
        <f ca="1"/>
        <v/>
      </c>
      <c r="AGG1519" s="42" t="str">
        <f ca="1"/>
        <v/>
      </c>
      <c r="AGH1519" s="42" t="str">
        <f ca="1"/>
        <v/>
      </c>
      <c r="AGI1519" s="42" t="str">
        <f ca="1"/>
        <v/>
      </c>
      <c r="AGJ1519" s="42" t="str">
        <f ca="1"/>
        <v/>
      </c>
      <c r="AGK1519" s="42" t="str">
        <f ca="1"/>
        <v/>
      </c>
      <c r="AGL1519" s="42" t="str">
        <f ca="1"/>
        <v/>
      </c>
      <c r="AGM1519" s="42" t="str">
        <f ca="1"/>
        <v/>
      </c>
      <c r="AGN1519" s="42" t="str">
        <f ca="1"/>
        <v/>
      </c>
    </row>
    <row r="1520" spans="15:872" x14ac:dyDescent="0.25">
      <c r="O1520" s="42">
        <v>7</v>
      </c>
      <c r="P1520" s="42" t="str">
        <f ca="1"/>
        <v/>
      </c>
      <c r="Q1520" s="42" t="str">
        <f ca="1"/>
        <v/>
      </c>
      <c r="R1520" s="42" t="str">
        <f ca="1"/>
        <v/>
      </c>
      <c r="S1520" s="42" t="str">
        <f ca="1"/>
        <v/>
      </c>
      <c r="T1520" s="42" t="str">
        <f ca="1"/>
        <v/>
      </c>
      <c r="U1520" s="42" t="str">
        <f ca="1"/>
        <v/>
      </c>
      <c r="V1520" s="42" t="str">
        <f ca="1"/>
        <v/>
      </c>
      <c r="W1520" s="42" t="str">
        <f ca="1"/>
        <v/>
      </c>
      <c r="X1520" s="42" t="str">
        <f ca="1"/>
        <v/>
      </c>
      <c r="Y1520" s="42" t="str">
        <f ca="1"/>
        <v/>
      </c>
      <c r="Z1520" s="42" t="str">
        <f ca="1"/>
        <v/>
      </c>
      <c r="AA1520" s="42" t="str">
        <f ca="1"/>
        <v/>
      </c>
      <c r="AB1520" s="42" t="str">
        <f ca="1"/>
        <v/>
      </c>
      <c r="AC1520" s="42" t="str">
        <f ca="1"/>
        <v/>
      </c>
      <c r="AD1520" s="42" t="str">
        <f ca="1"/>
        <v/>
      </c>
      <c r="AE1520" s="42" t="str">
        <f ca="1"/>
        <v/>
      </c>
      <c r="AF1520" s="42" t="str">
        <f ca="1"/>
        <v/>
      </c>
      <c r="AG1520" s="42" t="str">
        <f ca="1"/>
        <v/>
      </c>
      <c r="AH1520" s="42" t="str">
        <f ca="1"/>
        <v/>
      </c>
      <c r="AI1520" s="42" t="str">
        <f ca="1"/>
        <v/>
      </c>
      <c r="AJ1520" s="42" t="str">
        <f ca="1"/>
        <v>175 - 176</v>
      </c>
      <c r="AK1520" s="42" t="str">
        <f ca="1"/>
        <v/>
      </c>
      <c r="AL1520" s="42" t="str">
        <f ca="1"/>
        <v/>
      </c>
      <c r="AM1520" s="42" t="str">
        <f ca="1"/>
        <v/>
      </c>
      <c r="AN1520" s="42" t="str">
        <f ca="1"/>
        <v/>
      </c>
      <c r="AO1520" s="42" t="str">
        <f ca="1"/>
        <v/>
      </c>
      <c r="AP1520" s="42" t="str">
        <f ca="1"/>
        <v/>
      </c>
      <c r="AQ1520" s="42" t="str">
        <f ca="1"/>
        <v/>
      </c>
      <c r="AR1520" s="42" t="str">
        <f ca="1"/>
        <v/>
      </c>
      <c r="AS1520" s="42" t="str">
        <f ca="1"/>
        <v/>
      </c>
      <c r="AT1520" s="42" t="str">
        <f ca="1"/>
        <v/>
      </c>
      <c r="AU1520" s="42" t="str">
        <f ca="1"/>
        <v/>
      </c>
      <c r="AV1520" s="42" t="str">
        <f ca="1"/>
        <v/>
      </c>
      <c r="AW1520" s="42" t="str">
        <f ca="1"/>
        <v/>
      </c>
      <c r="AX1520" s="42" t="str">
        <f ca="1"/>
        <v/>
      </c>
      <c r="AY1520" s="42" t="str">
        <f ca="1"/>
        <v/>
      </c>
      <c r="AZ1520" s="42" t="str">
        <f ca="1"/>
        <v/>
      </c>
      <c r="BA1520" s="42" t="str">
        <f ca="1"/>
        <v/>
      </c>
      <c r="BB1520" s="42" t="str">
        <f ca="1"/>
        <v/>
      </c>
      <c r="BC1520" s="42" t="str">
        <f ca="1"/>
        <v/>
      </c>
      <c r="BD1520" s="42" t="str">
        <f ca="1"/>
        <v/>
      </c>
      <c r="BE1520" s="42" t="str">
        <f ca="1"/>
        <v/>
      </c>
      <c r="BF1520" s="42" t="str">
        <f ca="1"/>
        <v/>
      </c>
      <c r="BG1520" s="42" t="str">
        <f ca="1"/>
        <v/>
      </c>
      <c r="BH1520" s="42" t="str">
        <f ca="1"/>
        <v/>
      </c>
      <c r="BI1520" s="42" t="str">
        <f ca="1"/>
        <v/>
      </c>
      <c r="BJ1520" s="42" t="str">
        <f ca="1"/>
        <v/>
      </c>
      <c r="BK1520" s="42" t="str">
        <f ca="1"/>
        <v/>
      </c>
      <c r="BL1520" s="42" t="str">
        <f ca="1"/>
        <v/>
      </c>
      <c r="BM1520" s="42" t="str">
        <f ca="1"/>
        <v/>
      </c>
      <c r="BN1520" s="42" t="str">
        <f ca="1"/>
        <v/>
      </c>
      <c r="BO1520" s="42" t="str">
        <f ca="1"/>
        <v/>
      </c>
      <c r="BP1520" s="42" t="str">
        <f ca="1"/>
        <v/>
      </c>
      <c r="BQ1520" s="42" t="str">
        <f ca="1"/>
        <v/>
      </c>
      <c r="BR1520" s="42" t="str">
        <f ca="1"/>
        <v/>
      </c>
      <c r="BS1520" s="42" t="str">
        <f ca="1"/>
        <v/>
      </c>
      <c r="BT1520" s="42" t="str">
        <f ca="1"/>
        <v/>
      </c>
      <c r="BU1520" s="42" t="str">
        <f ca="1"/>
        <v/>
      </c>
      <c r="BV1520" s="42" t="str">
        <f ca="1"/>
        <v/>
      </c>
      <c r="BW1520" s="42" t="str">
        <f ca="1"/>
        <v/>
      </c>
      <c r="BX1520" s="42" t="str">
        <f ca="1"/>
        <v/>
      </c>
      <c r="BY1520" s="42" t="str">
        <f ca="1"/>
        <v/>
      </c>
      <c r="BZ1520" s="42" t="str">
        <f ca="1"/>
        <v/>
      </c>
      <c r="CA1520" s="42" t="str">
        <f ca="1"/>
        <v/>
      </c>
      <c r="CB1520" s="42" t="str">
        <f ca="1"/>
        <v/>
      </c>
      <c r="CC1520" s="42" t="str">
        <f ca="1"/>
        <v/>
      </c>
      <c r="CD1520" s="42" t="str">
        <f ca="1"/>
        <v/>
      </c>
      <c r="CE1520" s="42" t="str">
        <f ca="1"/>
        <v/>
      </c>
      <c r="CF1520" s="42" t="str">
        <f ca="1"/>
        <v/>
      </c>
      <c r="CG1520" s="42" t="str">
        <f ca="1"/>
        <v/>
      </c>
      <c r="CH1520" s="42" t="str">
        <f ca="1"/>
        <v/>
      </c>
      <c r="CI1520" s="42" t="str">
        <f ca="1"/>
        <v/>
      </c>
      <c r="CJ1520" s="42" t="str">
        <f ca="1"/>
        <v/>
      </c>
      <c r="CK1520" s="42" t="str">
        <f ca="1"/>
        <v/>
      </c>
      <c r="CL1520" s="42" t="str">
        <f ca="1"/>
        <v/>
      </c>
      <c r="CM1520" s="42" t="str">
        <f ca="1"/>
        <v/>
      </c>
      <c r="CN1520" s="42" t="str">
        <f ca="1"/>
        <v/>
      </c>
      <c r="CO1520" s="42" t="str">
        <f ca="1"/>
        <v/>
      </c>
      <c r="CP1520" s="42" t="str">
        <f ca="1"/>
        <v/>
      </c>
      <c r="CQ1520" s="42" t="str">
        <f ca="1"/>
        <v/>
      </c>
      <c r="CR1520" s="42" t="str">
        <f ca="1"/>
        <v/>
      </c>
      <c r="CS1520" s="42" t="str">
        <f ca="1"/>
        <v/>
      </c>
      <c r="CT1520" s="42" t="str">
        <f ca="1"/>
        <v/>
      </c>
      <c r="CU1520" s="42" t="str">
        <f ca="1"/>
        <v/>
      </c>
      <c r="CV1520" s="42" t="str">
        <f ca="1"/>
        <v/>
      </c>
      <c r="CW1520" s="42" t="str">
        <f ca="1"/>
        <v/>
      </c>
      <c r="CX1520" s="42" t="str">
        <f ca="1"/>
        <v/>
      </c>
      <c r="CY1520" s="42" t="str">
        <f ca="1"/>
        <v/>
      </c>
      <c r="CZ1520" s="42" t="str">
        <f ca="1"/>
        <v/>
      </c>
      <c r="DA1520" s="42" t="str">
        <f ca="1"/>
        <v/>
      </c>
      <c r="DB1520" s="42" t="str">
        <f ca="1"/>
        <v/>
      </c>
      <c r="DC1520" s="42" t="str">
        <f ca="1"/>
        <v/>
      </c>
      <c r="DD1520" s="42" t="str">
        <f ca="1"/>
        <v/>
      </c>
      <c r="DE1520" s="42" t="str">
        <f ca="1"/>
        <v/>
      </c>
      <c r="DF1520" s="42" t="str">
        <f ca="1"/>
        <v/>
      </c>
      <c r="DG1520" s="42" t="str">
        <f ca="1"/>
        <v/>
      </c>
      <c r="DH1520" s="42" t="str">
        <f ca="1"/>
        <v/>
      </c>
      <c r="DI1520" s="42" t="str">
        <f ca="1"/>
        <v/>
      </c>
      <c r="DJ1520" s="42" t="str">
        <f ca="1"/>
        <v/>
      </c>
      <c r="DK1520" s="42" t="str">
        <f ca="1"/>
        <v/>
      </c>
      <c r="DL1520" s="42" t="str">
        <f ca="1"/>
        <v/>
      </c>
      <c r="DM1520" s="42" t="str">
        <f ca="1"/>
        <v/>
      </c>
      <c r="DN1520" s="42" t="str">
        <f ca="1"/>
        <v/>
      </c>
      <c r="DO1520" s="42" t="str">
        <f ca="1"/>
        <v/>
      </c>
      <c r="DP1520" s="42" t="str">
        <f ca="1"/>
        <v/>
      </c>
      <c r="DQ1520" s="42" t="str">
        <f ca="1"/>
        <v/>
      </c>
      <c r="DR1520" s="42" t="str">
        <f ca="1"/>
        <v/>
      </c>
      <c r="DS1520" s="42" t="str">
        <f ca="1"/>
        <v/>
      </c>
      <c r="DT1520" s="42" t="str">
        <f ca="1"/>
        <v/>
      </c>
      <c r="DU1520" s="42" t="str">
        <f ca="1"/>
        <v/>
      </c>
      <c r="DV1520" s="42" t="str">
        <f ca="1"/>
        <v/>
      </c>
      <c r="DW1520" s="42" t="str">
        <f ca="1"/>
        <v/>
      </c>
      <c r="DX1520" s="42" t="str">
        <f ca="1"/>
        <v/>
      </c>
      <c r="DY1520" s="42" t="str">
        <f ca="1"/>
        <v/>
      </c>
      <c r="DZ1520" s="42" t="str">
        <f ca="1"/>
        <v/>
      </c>
      <c r="EA1520" s="42" t="str">
        <f ca="1"/>
        <v/>
      </c>
      <c r="EB1520" s="42" t="str">
        <f ca="1"/>
        <v/>
      </c>
      <c r="EC1520" s="42" t="str">
        <f ca="1"/>
        <v/>
      </c>
      <c r="ED1520" s="42" t="str">
        <f ca="1"/>
        <v/>
      </c>
      <c r="EE1520" s="42" t="str">
        <f ca="1"/>
        <v/>
      </c>
      <c r="EF1520" s="42" t="str">
        <f ca="1"/>
        <v/>
      </c>
      <c r="EG1520" s="42" t="str">
        <f ca="1"/>
        <v/>
      </c>
      <c r="EH1520" s="42" t="str">
        <f ca="1"/>
        <v/>
      </c>
      <c r="EI1520" s="42" t="str">
        <f ca="1"/>
        <v/>
      </c>
      <c r="EJ1520" s="42" t="str">
        <f ca="1"/>
        <v/>
      </c>
      <c r="EK1520" s="42" t="str">
        <f ca="1"/>
        <v/>
      </c>
      <c r="EL1520" s="42" t="str">
        <f ca="1"/>
        <v/>
      </c>
      <c r="EM1520" s="42" t="str">
        <f ca="1"/>
        <v/>
      </c>
      <c r="EN1520" s="42" t="str">
        <f ca="1"/>
        <v/>
      </c>
      <c r="EO1520" s="42" t="str">
        <f ca="1"/>
        <v/>
      </c>
      <c r="EP1520" s="42" t="str">
        <f ca="1"/>
        <v/>
      </c>
      <c r="EQ1520" s="42" t="str">
        <f ca="1"/>
        <v/>
      </c>
      <c r="ER1520" s="42" t="str">
        <f ca="1"/>
        <v/>
      </c>
      <c r="ES1520" s="42" t="str">
        <f ca="1"/>
        <v/>
      </c>
      <c r="ET1520" s="42" t="str">
        <f ca="1"/>
        <v/>
      </c>
      <c r="EU1520" s="42" t="str">
        <f ca="1"/>
        <v/>
      </c>
      <c r="EV1520" s="42" t="str">
        <f ca="1"/>
        <v/>
      </c>
      <c r="EW1520" s="42" t="str">
        <f ca="1"/>
        <v/>
      </c>
      <c r="EX1520" s="42" t="str">
        <f ca="1"/>
        <v/>
      </c>
      <c r="EY1520" s="42" t="str">
        <f ca="1"/>
        <v/>
      </c>
      <c r="EZ1520" s="42" t="str">
        <f ca="1"/>
        <v/>
      </c>
      <c r="FA1520" s="42" t="str">
        <f ca="1"/>
        <v/>
      </c>
      <c r="FB1520" s="42" t="str">
        <f ca="1"/>
        <v/>
      </c>
      <c r="FC1520" s="42" t="str">
        <f ca="1"/>
        <v>REP</v>
      </c>
      <c r="FD1520" s="42" t="str">
        <f ca="1"/>
        <v/>
      </c>
      <c r="FE1520" s="42" t="str">
        <f ca="1"/>
        <v/>
      </c>
      <c r="FF1520" s="42" t="str">
        <f ca="1"/>
        <v/>
      </c>
      <c r="FG1520" s="42" t="str">
        <f ca="1"/>
        <v/>
      </c>
      <c r="FH1520" s="42" t="str">
        <f ca="1"/>
        <v/>
      </c>
      <c r="FI1520" s="42" t="str">
        <f ca="1"/>
        <v/>
      </c>
      <c r="FJ1520" s="42" t="str">
        <f ca="1"/>
        <v/>
      </c>
      <c r="FK1520" s="42" t="str">
        <f ca="1"/>
        <v/>
      </c>
      <c r="FL1520" s="42" t="str">
        <f ca="1"/>
        <v/>
      </c>
      <c r="FM1520" s="42" t="str">
        <f ca="1"/>
        <v/>
      </c>
      <c r="FN1520" s="42" t="str">
        <f ca="1"/>
        <v/>
      </c>
      <c r="FO1520" s="42" t="str">
        <f ca="1"/>
        <v/>
      </c>
      <c r="FP1520" s="42" t="str">
        <f ca="1"/>
        <v/>
      </c>
      <c r="FQ1520" s="42" t="str">
        <f ca="1"/>
        <v/>
      </c>
      <c r="FR1520" s="42" t="str">
        <f ca="1"/>
        <v/>
      </c>
      <c r="FS1520" s="42" t="str">
        <f ca="1"/>
        <v/>
      </c>
      <c r="FT1520" s="42" t="str">
        <f ca="1"/>
        <v/>
      </c>
      <c r="FU1520" s="42" t="str">
        <f ca="1"/>
        <v/>
      </c>
      <c r="FV1520" s="42" t="str">
        <f ca="1"/>
        <v/>
      </c>
      <c r="FW1520" s="42" t="str">
        <f ca="1"/>
        <v/>
      </c>
      <c r="FX1520" s="42" t="str">
        <f ca="1"/>
        <v/>
      </c>
      <c r="FY1520" s="42" t="str">
        <f ca="1"/>
        <v/>
      </c>
      <c r="FZ1520" s="42" t="str">
        <f ca="1"/>
        <v/>
      </c>
      <c r="GA1520" s="42" t="str">
        <f ca="1"/>
        <v/>
      </c>
      <c r="GB1520" s="42" t="str">
        <f ca="1"/>
        <v/>
      </c>
      <c r="GC1520" s="42" t="str">
        <f ca="1"/>
        <v>REP</v>
      </c>
      <c r="GD1520" s="42" t="str">
        <f ca="1"/>
        <v/>
      </c>
      <c r="GE1520" s="42" t="str">
        <f ca="1"/>
        <v/>
      </c>
      <c r="GF1520" s="42" t="str">
        <f ca="1"/>
        <v/>
      </c>
      <c r="GG1520" s="42" t="str">
        <f ca="1"/>
        <v>REP</v>
      </c>
      <c r="GH1520" s="42" t="str">
        <f ca="1"/>
        <v/>
      </c>
      <c r="GI1520" s="42" t="str">
        <f ca="1"/>
        <v/>
      </c>
      <c r="GJ1520" s="42" t="str">
        <f ca="1"/>
        <v/>
      </c>
      <c r="GK1520" s="42" t="str">
        <f ca="1"/>
        <v/>
      </c>
      <c r="GL1520" s="42" t="str">
        <f ca="1"/>
        <v/>
      </c>
      <c r="GM1520" s="42" t="str">
        <f ca="1"/>
        <v/>
      </c>
      <c r="GN1520" s="42" t="str">
        <f ca="1"/>
        <v/>
      </c>
      <c r="GO1520" s="42" t="str">
        <f ca="1"/>
        <v/>
      </c>
      <c r="GP1520" s="42" t="str">
        <f ca="1"/>
        <v/>
      </c>
      <c r="GQ1520" s="42" t="str">
        <f ca="1"/>
        <v/>
      </c>
      <c r="GR1520" s="42" t="str">
        <f ca="1"/>
        <v/>
      </c>
      <c r="GS1520" s="42" t="str">
        <f ca="1"/>
        <v/>
      </c>
      <c r="GT1520" s="42" t="str">
        <f ca="1"/>
        <v/>
      </c>
      <c r="GU1520" s="42" t="str">
        <f ca="1"/>
        <v/>
      </c>
      <c r="GV1520" s="42" t="str">
        <f ca="1"/>
        <v/>
      </c>
      <c r="GW1520" s="42" t="str">
        <f ca="1"/>
        <v/>
      </c>
      <c r="GX1520" s="42" t="str">
        <f ca="1"/>
        <v/>
      </c>
      <c r="GY1520" s="42" t="str">
        <f ca="1"/>
        <v/>
      </c>
      <c r="GZ1520" s="42" t="str">
        <f ca="1"/>
        <v/>
      </c>
      <c r="HA1520" s="42" t="str">
        <f ca="1"/>
        <v/>
      </c>
      <c r="HB1520" s="42" t="str">
        <f ca="1"/>
        <v/>
      </c>
      <c r="HC1520" s="42" t="str">
        <f ca="1"/>
        <v/>
      </c>
      <c r="HD1520" s="42" t="str">
        <f ca="1"/>
        <v/>
      </c>
      <c r="HE1520" s="42" t="str">
        <f ca="1"/>
        <v/>
      </c>
      <c r="HF1520" s="42" t="str">
        <f ca="1"/>
        <v/>
      </c>
      <c r="HG1520" s="42" t="str">
        <f ca="1"/>
        <v/>
      </c>
      <c r="HH1520" s="42" t="str">
        <f ca="1"/>
        <v/>
      </c>
      <c r="HI1520" s="42" t="str">
        <f ca="1"/>
        <v/>
      </c>
      <c r="HJ1520" s="42" t="str">
        <f ca="1"/>
        <v/>
      </c>
      <c r="HK1520" s="42" t="str">
        <f ca="1"/>
        <v/>
      </c>
      <c r="HL1520" s="42" t="str">
        <f ca="1"/>
        <v/>
      </c>
      <c r="HM1520" s="42" t="str">
        <f ca="1"/>
        <v/>
      </c>
      <c r="HN1520" s="42" t="str">
        <f ca="1"/>
        <v/>
      </c>
      <c r="HO1520" s="42" t="str">
        <f ca="1"/>
        <v/>
      </c>
      <c r="HP1520" s="42" t="str">
        <f ca="1"/>
        <v/>
      </c>
      <c r="HQ1520" s="42" t="str">
        <f ca="1"/>
        <v/>
      </c>
      <c r="HR1520" s="42" t="str">
        <f ca="1"/>
        <v/>
      </c>
      <c r="HS1520" s="42" t="str">
        <f ca="1"/>
        <v/>
      </c>
      <c r="HT1520" s="42" t="str">
        <f ca="1"/>
        <v/>
      </c>
      <c r="HU1520" s="42" t="str">
        <f ca="1"/>
        <v/>
      </c>
      <c r="HV1520" s="42" t="str">
        <f ca="1"/>
        <v/>
      </c>
      <c r="HW1520" s="42" t="str">
        <f ca="1"/>
        <v/>
      </c>
      <c r="HX1520" s="42" t="str">
        <f ca="1"/>
        <v/>
      </c>
      <c r="HY1520" s="42" t="str">
        <f ca="1"/>
        <v/>
      </c>
      <c r="HZ1520" s="42" t="str">
        <f ca="1"/>
        <v/>
      </c>
      <c r="IA1520" s="42" t="str">
        <f ca="1"/>
        <v/>
      </c>
      <c r="IB1520" s="42" t="str">
        <f ca="1"/>
        <v/>
      </c>
      <c r="IC1520" s="42" t="str">
        <f ca="1"/>
        <v/>
      </c>
      <c r="ID1520" s="42" t="str">
        <f ca="1"/>
        <v/>
      </c>
      <c r="IE1520" s="42" t="str">
        <f ca="1"/>
        <v/>
      </c>
      <c r="IF1520" s="42" t="str">
        <f ca="1"/>
        <v/>
      </c>
      <c r="IG1520" s="42" t="str">
        <f ca="1"/>
        <v/>
      </c>
      <c r="IH1520" s="42" t="str">
        <f ca="1"/>
        <v/>
      </c>
      <c r="II1520" s="42" t="str">
        <f ca="1"/>
        <v/>
      </c>
      <c r="IJ1520" s="42" t="str">
        <f ca="1"/>
        <v/>
      </c>
      <c r="IK1520" s="42" t="str">
        <f ca="1"/>
        <v/>
      </c>
      <c r="IL1520" s="42" t="str">
        <f ca="1"/>
        <v/>
      </c>
      <c r="IM1520" s="42" t="str">
        <f ca="1"/>
        <v/>
      </c>
      <c r="IN1520" s="42" t="str">
        <f ca="1"/>
        <v/>
      </c>
      <c r="IO1520" s="42" t="str">
        <f ca="1"/>
        <v/>
      </c>
      <c r="IP1520" s="42" t="str">
        <f ca="1"/>
        <v/>
      </c>
      <c r="IQ1520" s="42" t="str">
        <f ca="1"/>
        <v/>
      </c>
      <c r="IR1520" s="42" t="str">
        <f ca="1"/>
        <v/>
      </c>
      <c r="IS1520" s="42" t="str">
        <f ca="1"/>
        <v/>
      </c>
      <c r="IT1520" s="42" t="str">
        <f ca="1"/>
        <v/>
      </c>
      <c r="IU1520" s="42" t="str">
        <f ca="1"/>
        <v/>
      </c>
      <c r="IV1520" s="42" t="str">
        <f ca="1"/>
        <v/>
      </c>
      <c r="IW1520" s="42" t="str">
        <f ca="1"/>
        <v/>
      </c>
      <c r="IX1520" s="42" t="str">
        <f ca="1"/>
        <v/>
      </c>
      <c r="IY1520" s="42" t="str">
        <f ca="1"/>
        <v/>
      </c>
      <c r="IZ1520" s="42" t="str">
        <f ca="1"/>
        <v/>
      </c>
      <c r="JA1520" s="42" t="str">
        <f ca="1"/>
        <v/>
      </c>
      <c r="JB1520" s="42" t="str">
        <f ca="1"/>
        <v/>
      </c>
      <c r="JC1520" s="42" t="str">
        <f ca="1"/>
        <v/>
      </c>
      <c r="JD1520" s="42" t="str">
        <f ca="1"/>
        <v/>
      </c>
      <c r="JE1520" s="42" t="str">
        <f ca="1"/>
        <v/>
      </c>
      <c r="JF1520" s="42" t="str">
        <f ca="1"/>
        <v/>
      </c>
      <c r="JG1520" s="42" t="str">
        <f ca="1"/>
        <v/>
      </c>
      <c r="JH1520" s="42" t="str">
        <f ca="1"/>
        <v/>
      </c>
      <c r="JI1520" s="42" t="str">
        <f ca="1"/>
        <v/>
      </c>
      <c r="JJ1520" s="42" t="str">
        <f ca="1"/>
        <v/>
      </c>
      <c r="JK1520" s="42" t="str">
        <f ca="1"/>
        <v/>
      </c>
      <c r="JL1520" s="42" t="str">
        <f ca="1"/>
        <v/>
      </c>
      <c r="JM1520" s="42" t="str">
        <f ca="1"/>
        <v/>
      </c>
      <c r="JN1520" s="42" t="str">
        <f ca="1"/>
        <v/>
      </c>
      <c r="JO1520" s="42" t="str">
        <f ca="1"/>
        <v/>
      </c>
      <c r="JP1520" s="42" t="str">
        <f ca="1"/>
        <v/>
      </c>
      <c r="JQ1520" s="42" t="str">
        <f ca="1"/>
        <v/>
      </c>
      <c r="JR1520" s="42" t="str">
        <f ca="1"/>
        <v/>
      </c>
      <c r="JS1520" s="42" t="str">
        <f ca="1"/>
        <v/>
      </c>
      <c r="JT1520" s="42" t="str">
        <f ca="1"/>
        <v/>
      </c>
      <c r="JU1520" s="42" t="str">
        <f ca="1"/>
        <v/>
      </c>
      <c r="JV1520" s="42" t="str">
        <f ca="1"/>
        <v/>
      </c>
      <c r="JW1520" s="42" t="str">
        <f ca="1"/>
        <v/>
      </c>
      <c r="JX1520" s="42" t="str">
        <f ca="1"/>
        <v/>
      </c>
      <c r="JY1520" s="42" t="str">
        <f ca="1"/>
        <v>REP</v>
      </c>
      <c r="JZ1520" s="42" t="str">
        <f ca="1"/>
        <v/>
      </c>
      <c r="KA1520" s="42" t="str">
        <f ca="1"/>
        <v/>
      </c>
      <c r="KB1520" s="42" t="str">
        <f ca="1"/>
        <v/>
      </c>
      <c r="KC1520" s="42" t="str">
        <f ca="1"/>
        <v/>
      </c>
      <c r="KD1520" s="42" t="str">
        <f ca="1"/>
        <v/>
      </c>
      <c r="KE1520" s="42" t="str">
        <f ca="1"/>
        <v/>
      </c>
      <c r="KF1520" s="42" t="str">
        <f ca="1"/>
        <v/>
      </c>
      <c r="KG1520" s="42" t="str">
        <f ca="1"/>
        <v/>
      </c>
      <c r="KH1520" s="42" t="str">
        <f ca="1"/>
        <v/>
      </c>
      <c r="KI1520" s="42" t="str">
        <f ca="1"/>
        <v/>
      </c>
      <c r="KJ1520" s="42" t="str">
        <f ca="1"/>
        <v/>
      </c>
      <c r="KK1520" s="42" t="str">
        <f ca="1"/>
        <v/>
      </c>
      <c r="KL1520" s="42" t="str">
        <f ca="1"/>
        <v/>
      </c>
      <c r="KM1520" s="42" t="str">
        <f ca="1"/>
        <v/>
      </c>
      <c r="KN1520" s="42" t="str">
        <f ca="1"/>
        <v/>
      </c>
      <c r="KO1520" s="42" t="str">
        <f ca="1"/>
        <v/>
      </c>
      <c r="KP1520" s="42" t="str">
        <f ca="1"/>
        <v/>
      </c>
      <c r="KQ1520" s="42" t="str">
        <f ca="1"/>
        <v/>
      </c>
      <c r="KR1520" s="42" t="str">
        <f ca="1"/>
        <v/>
      </c>
      <c r="KS1520" s="42" t="str">
        <f ca="1"/>
        <v/>
      </c>
      <c r="KT1520" s="42" t="str">
        <f ca="1"/>
        <v/>
      </c>
      <c r="KU1520" s="42" t="str">
        <f ca="1"/>
        <v/>
      </c>
      <c r="KV1520" s="42" t="str">
        <f ca="1"/>
        <v/>
      </c>
      <c r="KW1520" s="42" t="str">
        <f ca="1"/>
        <v/>
      </c>
      <c r="KX1520" s="42" t="str">
        <f ca="1"/>
        <v/>
      </c>
      <c r="KY1520" s="42" t="str">
        <f ca="1"/>
        <v/>
      </c>
      <c r="KZ1520" s="42" t="str">
        <f ca="1"/>
        <v/>
      </c>
      <c r="LA1520" s="42" t="str">
        <f ca="1"/>
        <v/>
      </c>
      <c r="LB1520" s="42" t="str">
        <f ca="1"/>
        <v>REP</v>
      </c>
      <c r="LC1520" s="42" t="str">
        <f ca="1"/>
        <v/>
      </c>
      <c r="LD1520" s="42" t="str">
        <f ca="1"/>
        <v/>
      </c>
      <c r="LE1520" s="42" t="str">
        <f ca="1"/>
        <v>REP</v>
      </c>
      <c r="LF1520" s="42" t="str">
        <f ca="1"/>
        <v/>
      </c>
      <c r="LG1520" s="42" t="str">
        <f ca="1"/>
        <v/>
      </c>
      <c r="LH1520" s="42" t="str">
        <f ca="1"/>
        <v/>
      </c>
      <c r="LI1520" s="42" t="str">
        <f ca="1"/>
        <v/>
      </c>
      <c r="LJ1520" s="42" t="str">
        <f ca="1"/>
        <v/>
      </c>
      <c r="LK1520" s="42" t="str">
        <f ca="1"/>
        <v/>
      </c>
      <c r="LL1520" s="42" t="str">
        <f ca="1"/>
        <v/>
      </c>
      <c r="LM1520" s="42" t="str">
        <f ca="1"/>
        <v/>
      </c>
      <c r="LN1520" s="42" t="str">
        <f ca="1"/>
        <v/>
      </c>
      <c r="LO1520" s="42" t="str">
        <f ca="1"/>
        <v/>
      </c>
      <c r="LP1520" s="42" t="str">
        <f ca="1"/>
        <v/>
      </c>
      <c r="LQ1520" s="42" t="str">
        <f ca="1"/>
        <v/>
      </c>
      <c r="LR1520" s="42" t="str">
        <f ca="1"/>
        <v/>
      </c>
      <c r="LS1520" s="42" t="str">
        <f ca="1"/>
        <v/>
      </c>
      <c r="LT1520" s="42" t="str">
        <f ca="1"/>
        <v/>
      </c>
      <c r="LU1520" s="42" t="str">
        <f ca="1"/>
        <v/>
      </c>
      <c r="LV1520" s="42" t="str">
        <f ca="1"/>
        <v/>
      </c>
      <c r="LW1520" s="42" t="str">
        <f ca="1"/>
        <v/>
      </c>
      <c r="LX1520" s="42" t="str">
        <f ca="1"/>
        <v/>
      </c>
      <c r="LY1520" s="42" t="str">
        <f ca="1"/>
        <v/>
      </c>
      <c r="LZ1520" s="42" t="str">
        <f ca="1"/>
        <v/>
      </c>
      <c r="MA1520" s="42" t="str">
        <f ca="1"/>
        <v/>
      </c>
      <c r="MB1520" s="42" t="str">
        <f ca="1"/>
        <v/>
      </c>
      <c r="MC1520" s="42" t="str">
        <f ca="1"/>
        <v/>
      </c>
      <c r="MD1520" s="42" t="str">
        <f ca="1"/>
        <v/>
      </c>
      <c r="ME1520" s="42" t="str">
        <f ca="1"/>
        <v/>
      </c>
      <c r="MF1520" s="42" t="str">
        <f ca="1"/>
        <v/>
      </c>
      <c r="MG1520" s="42" t="str">
        <f ca="1"/>
        <v/>
      </c>
      <c r="MH1520" s="42" t="str">
        <f ca="1"/>
        <v/>
      </c>
      <c r="MI1520" s="42" t="str">
        <f ca="1"/>
        <v/>
      </c>
      <c r="MJ1520" s="42" t="str">
        <f ca="1"/>
        <v/>
      </c>
      <c r="MK1520" s="42" t="str">
        <f ca="1"/>
        <v/>
      </c>
      <c r="ML1520" s="42" t="str">
        <f ca="1"/>
        <v/>
      </c>
      <c r="MM1520" s="42" t="str">
        <f ca="1"/>
        <v/>
      </c>
      <c r="MN1520" s="42" t="str">
        <f ca="1"/>
        <v/>
      </c>
      <c r="MO1520" s="42" t="str">
        <f ca="1"/>
        <v/>
      </c>
      <c r="MP1520" s="42" t="str">
        <f ca="1"/>
        <v/>
      </c>
      <c r="MQ1520" s="42" t="str">
        <f ca="1"/>
        <v/>
      </c>
      <c r="MR1520" s="42" t="str">
        <f ca="1"/>
        <v/>
      </c>
      <c r="MS1520" s="42" t="str">
        <f ca="1"/>
        <v/>
      </c>
      <c r="MT1520" s="42" t="str">
        <f ca="1"/>
        <v/>
      </c>
      <c r="MU1520" s="42" t="str">
        <f ca="1"/>
        <v/>
      </c>
      <c r="MV1520" s="42" t="str">
        <f ca="1"/>
        <v/>
      </c>
      <c r="MW1520" s="42" t="str">
        <f ca="1"/>
        <v/>
      </c>
      <c r="MX1520" s="42" t="str">
        <f ca="1"/>
        <v/>
      </c>
      <c r="MY1520" s="42" t="str">
        <f ca="1"/>
        <v/>
      </c>
      <c r="MZ1520" s="42" t="str">
        <f ca="1"/>
        <v/>
      </c>
      <c r="NA1520" s="42" t="str">
        <f ca="1"/>
        <v/>
      </c>
      <c r="NB1520" s="42" t="str">
        <f ca="1"/>
        <v/>
      </c>
      <c r="NC1520" s="42" t="str">
        <f ca="1"/>
        <v/>
      </c>
      <c r="ND1520" s="42" t="str">
        <f ca="1"/>
        <v/>
      </c>
      <c r="NE1520" s="42" t="str">
        <f ca="1"/>
        <v/>
      </c>
      <c r="NF1520" s="42" t="str">
        <f ca="1"/>
        <v/>
      </c>
      <c r="NG1520" s="42" t="str">
        <f ca="1"/>
        <v/>
      </c>
      <c r="NH1520" s="42" t="str">
        <f ca="1"/>
        <v/>
      </c>
      <c r="NI1520" s="42" t="str">
        <f ca="1"/>
        <v/>
      </c>
      <c r="NJ1520" s="42" t="str">
        <f ca="1"/>
        <v/>
      </c>
      <c r="NK1520" s="42" t="str">
        <f ca="1"/>
        <v/>
      </c>
      <c r="NL1520" s="42" t="str">
        <f ca="1"/>
        <v/>
      </c>
      <c r="NM1520" s="42" t="str">
        <f ca="1"/>
        <v/>
      </c>
      <c r="NN1520" s="42" t="str">
        <f ca="1"/>
        <v/>
      </c>
      <c r="NO1520" s="42" t="str">
        <f ca="1"/>
        <v/>
      </c>
      <c r="NP1520" s="42" t="str">
        <f ca="1"/>
        <v/>
      </c>
      <c r="NQ1520" s="42" t="str">
        <f ca="1"/>
        <v/>
      </c>
      <c r="NR1520" s="42" t="str">
        <f ca="1"/>
        <v/>
      </c>
      <c r="NS1520" s="42" t="str">
        <f ca="1"/>
        <v/>
      </c>
      <c r="NT1520" s="42" t="str">
        <f ca="1"/>
        <v/>
      </c>
      <c r="NU1520" s="42" t="str">
        <f ca="1"/>
        <v/>
      </c>
      <c r="NV1520" s="42" t="str">
        <f ca="1"/>
        <v/>
      </c>
      <c r="NW1520" s="42" t="str">
        <f ca="1"/>
        <v/>
      </c>
      <c r="NX1520" s="42" t="str">
        <f ca="1"/>
        <v/>
      </c>
      <c r="NY1520" s="42" t="str">
        <f ca="1"/>
        <v/>
      </c>
      <c r="NZ1520" s="42" t="str">
        <f ca="1"/>
        <v/>
      </c>
      <c r="OA1520" s="42" t="str">
        <f ca="1"/>
        <v/>
      </c>
      <c r="OB1520" s="42" t="str">
        <f ca="1"/>
        <v/>
      </c>
      <c r="OC1520" s="42" t="str">
        <f ca="1"/>
        <v/>
      </c>
      <c r="OD1520" s="42" t="str">
        <f ca="1"/>
        <v/>
      </c>
      <c r="OE1520" s="42" t="str">
        <f ca="1"/>
        <v/>
      </c>
      <c r="OF1520" s="42" t="str">
        <f ca="1"/>
        <v/>
      </c>
      <c r="OG1520" s="42" t="str">
        <f ca="1"/>
        <v/>
      </c>
      <c r="OH1520" s="42" t="str">
        <f ca="1"/>
        <v/>
      </c>
      <c r="OI1520" s="42" t="str">
        <f ca="1"/>
        <v/>
      </c>
      <c r="OJ1520" s="42" t="str">
        <f ca="1"/>
        <v/>
      </c>
      <c r="OK1520" s="42" t="str">
        <f ca="1"/>
        <v/>
      </c>
      <c r="OL1520" s="42" t="str">
        <f ca="1"/>
        <v/>
      </c>
      <c r="OM1520" s="42" t="str">
        <f ca="1"/>
        <v/>
      </c>
      <c r="ON1520" s="42" t="str">
        <f ca="1"/>
        <v/>
      </c>
      <c r="OO1520" s="42" t="str">
        <f ca="1"/>
        <v/>
      </c>
      <c r="OP1520" s="42" t="str">
        <f ca="1"/>
        <v/>
      </c>
      <c r="OQ1520" s="42" t="str">
        <f ca="1"/>
        <v/>
      </c>
      <c r="OR1520" s="42" t="str">
        <f ca="1"/>
        <v/>
      </c>
      <c r="OS1520" s="42" t="str">
        <f ca="1"/>
        <v/>
      </c>
      <c r="OT1520" s="42" t="str">
        <f ca="1"/>
        <v/>
      </c>
      <c r="OU1520" s="42" t="str">
        <f ca="1"/>
        <v/>
      </c>
      <c r="OV1520" s="42" t="str">
        <f ca="1"/>
        <v/>
      </c>
      <c r="OW1520" s="42" t="str">
        <f ca="1"/>
        <v/>
      </c>
      <c r="OX1520" s="42" t="str">
        <f ca="1"/>
        <v/>
      </c>
      <c r="OY1520" s="42" t="str">
        <f ca="1"/>
        <v/>
      </c>
      <c r="OZ1520" s="42" t="str">
        <f ca="1"/>
        <v/>
      </c>
      <c r="PA1520" s="42" t="str">
        <f ca="1"/>
        <v/>
      </c>
      <c r="PB1520" s="42" t="str">
        <f ca="1"/>
        <v/>
      </c>
      <c r="PC1520" s="42" t="str">
        <f ca="1"/>
        <v/>
      </c>
      <c r="PD1520" s="42" t="str">
        <f ca="1"/>
        <v/>
      </c>
      <c r="PE1520" s="42" t="str">
        <f ca="1"/>
        <v/>
      </c>
      <c r="PF1520" s="42" t="str">
        <f ca="1"/>
        <v/>
      </c>
      <c r="PG1520" s="42" t="str">
        <f ca="1"/>
        <v/>
      </c>
      <c r="PH1520" s="42" t="str">
        <f ca="1"/>
        <v/>
      </c>
      <c r="PI1520" s="42" t="str">
        <f ca="1"/>
        <v/>
      </c>
      <c r="PJ1520" s="42" t="str">
        <f ca="1"/>
        <v/>
      </c>
      <c r="PK1520" s="42" t="str">
        <f ca="1"/>
        <v/>
      </c>
      <c r="PL1520" s="42" t="str">
        <f ca="1"/>
        <v/>
      </c>
      <c r="PM1520" s="42" t="str">
        <f ca="1"/>
        <v/>
      </c>
      <c r="PN1520" s="42" t="str">
        <f ca="1"/>
        <v/>
      </c>
      <c r="PO1520" s="42" t="str">
        <f ca="1"/>
        <v/>
      </c>
      <c r="PP1520" s="42" t="str">
        <f ca="1"/>
        <v/>
      </c>
      <c r="PQ1520" s="42" t="str">
        <f ca="1"/>
        <v/>
      </c>
      <c r="PR1520" s="42" t="str">
        <f ca="1"/>
        <v/>
      </c>
      <c r="PS1520" s="42" t="str">
        <f ca="1"/>
        <v/>
      </c>
      <c r="PT1520" s="42" t="str">
        <f ca="1"/>
        <v/>
      </c>
      <c r="PU1520" s="42" t="str">
        <f ca="1"/>
        <v/>
      </c>
      <c r="PV1520" s="42" t="str">
        <f ca="1"/>
        <v/>
      </c>
      <c r="PW1520" s="42" t="str">
        <f ca="1"/>
        <v/>
      </c>
      <c r="PX1520" s="42" t="str">
        <f ca="1"/>
        <v/>
      </c>
      <c r="PY1520" s="42" t="str">
        <f ca="1"/>
        <v/>
      </c>
      <c r="PZ1520" s="42" t="str">
        <f ca="1"/>
        <v/>
      </c>
      <c r="QA1520" s="42" t="str">
        <f ca="1"/>
        <v/>
      </c>
      <c r="QB1520" s="42" t="str">
        <f ca="1"/>
        <v/>
      </c>
      <c r="QC1520" s="42" t="str">
        <f ca="1"/>
        <v/>
      </c>
      <c r="QD1520" s="42" t="str">
        <f ca="1"/>
        <v/>
      </c>
      <c r="QE1520" s="42" t="str">
        <f ca="1"/>
        <v/>
      </c>
      <c r="QF1520" s="42" t="str">
        <f ca="1"/>
        <v/>
      </c>
      <c r="QG1520" s="42" t="str">
        <f ca="1"/>
        <v/>
      </c>
      <c r="QH1520" s="42" t="str">
        <f ca="1"/>
        <v/>
      </c>
      <c r="QI1520" s="42" t="str">
        <f ca="1"/>
        <v/>
      </c>
      <c r="QJ1520" s="42" t="str">
        <f ca="1"/>
        <v/>
      </c>
      <c r="QK1520" s="42" t="str">
        <f ca="1"/>
        <v/>
      </c>
      <c r="QL1520" s="42" t="str">
        <f ca="1"/>
        <v/>
      </c>
      <c r="QM1520" s="42" t="str">
        <f ca="1"/>
        <v/>
      </c>
      <c r="QN1520" s="42" t="str">
        <f ca="1"/>
        <v/>
      </c>
      <c r="QO1520" s="42" t="str">
        <f ca="1"/>
        <v/>
      </c>
      <c r="QP1520" s="42" t="str">
        <f ca="1"/>
        <v/>
      </c>
      <c r="QQ1520" s="42" t="str">
        <f ca="1"/>
        <v/>
      </c>
      <c r="QR1520" s="42" t="str">
        <f ca="1"/>
        <v/>
      </c>
      <c r="QS1520" s="42" t="str">
        <f ca="1"/>
        <v/>
      </c>
      <c r="QT1520" s="42" t="str">
        <f ca="1"/>
        <v/>
      </c>
      <c r="QU1520" s="42" t="str">
        <f ca="1"/>
        <v/>
      </c>
      <c r="QV1520" s="42" t="str">
        <f ca="1"/>
        <v/>
      </c>
      <c r="QW1520" s="42" t="str">
        <f ca="1"/>
        <v/>
      </c>
      <c r="QX1520" s="42" t="str">
        <f ca="1"/>
        <v/>
      </c>
      <c r="QY1520" s="42" t="str">
        <f ca="1"/>
        <v/>
      </c>
      <c r="QZ1520" s="42" t="str">
        <f ca="1"/>
        <v/>
      </c>
      <c r="RA1520" s="42" t="str">
        <f ca="1"/>
        <v/>
      </c>
      <c r="RB1520" s="42" t="str">
        <f ca="1"/>
        <v/>
      </c>
      <c r="RC1520" s="42" t="str">
        <f ca="1"/>
        <v/>
      </c>
      <c r="RD1520" s="42" t="str">
        <f ca="1"/>
        <v/>
      </c>
      <c r="RE1520" s="42" t="str">
        <f ca="1"/>
        <v/>
      </c>
      <c r="RF1520" s="42" t="str">
        <f ca="1"/>
        <v/>
      </c>
      <c r="RG1520" s="42" t="str">
        <f ca="1"/>
        <v/>
      </c>
      <c r="RH1520" s="42" t="str">
        <f ca="1"/>
        <v/>
      </c>
      <c r="RI1520" s="42" t="str">
        <f ca="1"/>
        <v/>
      </c>
      <c r="RJ1520" s="42" t="str">
        <f ca="1"/>
        <v/>
      </c>
      <c r="RK1520" s="42" t="str">
        <f ca="1"/>
        <v/>
      </c>
      <c r="RL1520" s="42" t="str">
        <f ca="1"/>
        <v/>
      </c>
      <c r="RM1520" s="42" t="str">
        <f ca="1"/>
        <v/>
      </c>
      <c r="RN1520" s="42" t="str">
        <f ca="1"/>
        <v/>
      </c>
      <c r="RO1520" s="42" t="str">
        <f ca="1"/>
        <v/>
      </c>
      <c r="RP1520" s="42" t="str">
        <f ca="1"/>
        <v/>
      </c>
      <c r="RQ1520" s="42" t="str">
        <f ca="1"/>
        <v/>
      </c>
      <c r="RR1520" s="42" t="str">
        <f ca="1"/>
        <v/>
      </c>
      <c r="RS1520" s="42" t="str">
        <f ca="1"/>
        <v/>
      </c>
      <c r="RT1520" s="42" t="str">
        <f ca="1"/>
        <v/>
      </c>
      <c r="RU1520" s="42" t="str">
        <f ca="1"/>
        <v/>
      </c>
      <c r="RV1520" s="42" t="str">
        <f ca="1"/>
        <v/>
      </c>
      <c r="RW1520" s="42" t="str">
        <f ca="1"/>
        <v/>
      </c>
      <c r="RX1520" s="42" t="str">
        <f ca="1"/>
        <v/>
      </c>
      <c r="RY1520" s="42" t="str">
        <f ca="1"/>
        <v/>
      </c>
      <c r="RZ1520" s="42" t="str">
        <f ca="1"/>
        <v/>
      </c>
      <c r="SA1520" s="42" t="str">
        <f ca="1"/>
        <v/>
      </c>
      <c r="SB1520" s="42" t="str">
        <f ca="1"/>
        <v/>
      </c>
      <c r="SC1520" s="42" t="str">
        <f ca="1"/>
        <v/>
      </c>
      <c r="SD1520" s="42" t="str">
        <f ca="1"/>
        <v/>
      </c>
      <c r="SE1520" s="42" t="str">
        <f ca="1"/>
        <v/>
      </c>
      <c r="SF1520" s="42" t="str">
        <f ca="1"/>
        <v/>
      </c>
      <c r="SG1520" s="42" t="str">
        <f ca="1"/>
        <v/>
      </c>
      <c r="SH1520" s="42" t="str">
        <f ca="1"/>
        <v/>
      </c>
      <c r="SI1520" s="42" t="str">
        <f ca="1"/>
        <v/>
      </c>
      <c r="SJ1520" s="42" t="str">
        <f ca="1"/>
        <v/>
      </c>
      <c r="SK1520" s="42" t="str">
        <f ca="1"/>
        <v/>
      </c>
      <c r="SL1520" s="42" t="str">
        <f ca="1"/>
        <v/>
      </c>
      <c r="SM1520" s="42" t="str">
        <f ca="1"/>
        <v/>
      </c>
      <c r="SN1520" s="42" t="str">
        <f ca="1"/>
        <v/>
      </c>
      <c r="SO1520" s="42" t="str">
        <f ca="1"/>
        <v/>
      </c>
      <c r="SP1520" s="42" t="str">
        <f ca="1"/>
        <v/>
      </c>
      <c r="SQ1520" s="42" t="str">
        <f ca="1"/>
        <v/>
      </c>
      <c r="SR1520" s="42" t="str">
        <f ca="1"/>
        <v/>
      </c>
      <c r="SS1520" s="42" t="str">
        <f ca="1"/>
        <v/>
      </c>
      <c r="ST1520" s="42" t="str">
        <f ca="1"/>
        <v/>
      </c>
      <c r="SU1520" s="42" t="str">
        <f ca="1"/>
        <v/>
      </c>
      <c r="SV1520" s="42" t="str">
        <f ca="1"/>
        <v/>
      </c>
      <c r="SW1520" s="42" t="str">
        <f ca="1"/>
        <v/>
      </c>
      <c r="SX1520" s="42" t="str">
        <f ca="1"/>
        <v/>
      </c>
      <c r="SY1520" s="42" t="str">
        <f ca="1"/>
        <v/>
      </c>
      <c r="SZ1520" s="42" t="str">
        <f ca="1"/>
        <v/>
      </c>
      <c r="TA1520" s="42" t="str">
        <f ca="1"/>
        <v/>
      </c>
      <c r="TB1520" s="42" t="str">
        <f ca="1"/>
        <v/>
      </c>
      <c r="TC1520" s="42" t="str">
        <f ca="1"/>
        <v/>
      </c>
      <c r="TD1520" s="42" t="str">
        <f ca="1"/>
        <v/>
      </c>
      <c r="TE1520" s="42" t="str">
        <f ca="1"/>
        <v/>
      </c>
      <c r="TF1520" s="42" t="str">
        <f ca="1"/>
        <v/>
      </c>
      <c r="TG1520" s="42" t="str">
        <f ca="1"/>
        <v/>
      </c>
      <c r="TH1520" s="42" t="str">
        <f ca="1"/>
        <v/>
      </c>
      <c r="TI1520" s="42" t="str">
        <f ca="1"/>
        <v/>
      </c>
      <c r="TJ1520" s="42" t="str">
        <f ca="1"/>
        <v/>
      </c>
      <c r="TK1520" s="42" t="str">
        <f ca="1"/>
        <v/>
      </c>
      <c r="TL1520" s="42" t="str">
        <f ca="1"/>
        <v/>
      </c>
      <c r="TM1520" s="42" t="str">
        <f ca="1"/>
        <v/>
      </c>
      <c r="TN1520" s="42" t="str">
        <f ca="1"/>
        <v/>
      </c>
      <c r="TO1520" s="42" t="str">
        <f ca="1"/>
        <v/>
      </c>
      <c r="TP1520" s="42" t="str">
        <f ca="1"/>
        <v/>
      </c>
      <c r="TQ1520" s="42" t="str">
        <f ca="1"/>
        <v/>
      </c>
      <c r="TR1520" s="42" t="str">
        <f ca="1"/>
        <v/>
      </c>
      <c r="TS1520" s="42" t="str">
        <f ca="1"/>
        <v/>
      </c>
      <c r="TT1520" s="42" t="str">
        <f ca="1"/>
        <v/>
      </c>
      <c r="TU1520" s="42" t="str">
        <f ca="1"/>
        <v/>
      </c>
      <c r="TV1520" s="42" t="str">
        <f ca="1"/>
        <v/>
      </c>
      <c r="TW1520" s="42" t="str">
        <f ca="1"/>
        <v/>
      </c>
      <c r="TX1520" s="42" t="str">
        <f ca="1"/>
        <v/>
      </c>
      <c r="TY1520" s="42" t="str">
        <f ca="1"/>
        <v/>
      </c>
      <c r="TZ1520" s="42" t="str">
        <f ca="1"/>
        <v/>
      </c>
      <c r="UA1520" s="42" t="str">
        <f ca="1"/>
        <v/>
      </c>
      <c r="UB1520" s="42" t="str">
        <f ca="1"/>
        <v/>
      </c>
      <c r="UC1520" s="42" t="str">
        <f ca="1"/>
        <v/>
      </c>
      <c r="UD1520" s="42" t="str">
        <f ca="1"/>
        <v/>
      </c>
      <c r="UE1520" s="42" t="str">
        <f ca="1"/>
        <v/>
      </c>
      <c r="UF1520" s="42" t="str">
        <f ca="1"/>
        <v/>
      </c>
      <c r="UG1520" s="42" t="str">
        <f ca="1"/>
        <v/>
      </c>
      <c r="UH1520" s="42" t="str">
        <f ca="1"/>
        <v/>
      </c>
      <c r="UI1520" s="42" t="str">
        <f ca="1"/>
        <v/>
      </c>
      <c r="UJ1520" s="42" t="str">
        <f ca="1"/>
        <v/>
      </c>
      <c r="UK1520" s="42" t="str">
        <f ca="1"/>
        <v/>
      </c>
      <c r="UL1520" s="42" t="str">
        <f ca="1"/>
        <v/>
      </c>
      <c r="UM1520" s="42" t="str">
        <f ca="1"/>
        <v/>
      </c>
      <c r="UN1520" s="42" t="str">
        <f ca="1"/>
        <v/>
      </c>
      <c r="UO1520" s="42" t="str">
        <f ca="1"/>
        <v/>
      </c>
      <c r="UP1520" s="42" t="str">
        <f ca="1"/>
        <v/>
      </c>
      <c r="UQ1520" s="42" t="str">
        <f ca="1"/>
        <v/>
      </c>
      <c r="UR1520" s="42" t="str">
        <f ca="1"/>
        <v/>
      </c>
      <c r="US1520" s="42" t="str">
        <f ca="1"/>
        <v/>
      </c>
      <c r="UT1520" s="42" t="str">
        <f ca="1"/>
        <v/>
      </c>
      <c r="UU1520" s="42" t="str">
        <f ca="1"/>
        <v/>
      </c>
      <c r="UV1520" s="42" t="str">
        <f ca="1"/>
        <v/>
      </c>
      <c r="UW1520" s="42" t="str">
        <f ca="1"/>
        <v/>
      </c>
      <c r="UX1520" s="42" t="str">
        <f ca="1"/>
        <v/>
      </c>
      <c r="UY1520" s="42" t="str">
        <f ca="1"/>
        <v/>
      </c>
      <c r="UZ1520" s="42" t="str">
        <f ca="1"/>
        <v/>
      </c>
      <c r="VA1520" s="42" t="str">
        <f ca="1"/>
        <v/>
      </c>
      <c r="VB1520" s="42" t="str">
        <f ca="1"/>
        <v/>
      </c>
      <c r="VC1520" s="42" t="str">
        <f ca="1"/>
        <v/>
      </c>
      <c r="VD1520" s="42" t="str">
        <f ca="1"/>
        <v/>
      </c>
      <c r="VE1520" s="42" t="str">
        <f ca="1"/>
        <v/>
      </c>
      <c r="VF1520" s="42" t="str">
        <f ca="1"/>
        <v/>
      </c>
      <c r="VG1520" s="42" t="str">
        <f ca="1"/>
        <v/>
      </c>
      <c r="VH1520" s="42" t="str">
        <f ca="1"/>
        <v/>
      </c>
      <c r="VI1520" s="42" t="str">
        <f ca="1"/>
        <v/>
      </c>
      <c r="VJ1520" s="42" t="str">
        <f ca="1"/>
        <v/>
      </c>
      <c r="VK1520" s="42" t="str">
        <f ca="1"/>
        <v/>
      </c>
      <c r="VL1520" s="42" t="str">
        <f ca="1"/>
        <v/>
      </c>
      <c r="VM1520" s="42" t="str">
        <f ca="1"/>
        <v/>
      </c>
      <c r="VN1520" s="42" t="str">
        <f ca="1"/>
        <v/>
      </c>
      <c r="VO1520" s="42" t="str">
        <f ca="1"/>
        <v/>
      </c>
      <c r="VP1520" s="42" t="str">
        <f ca="1"/>
        <v/>
      </c>
      <c r="VQ1520" s="42" t="str">
        <f ca="1"/>
        <v/>
      </c>
      <c r="VR1520" s="42" t="str">
        <f ca="1"/>
        <v/>
      </c>
      <c r="VS1520" s="42" t="str">
        <f ca="1"/>
        <v/>
      </c>
      <c r="VT1520" s="42" t="str">
        <f ca="1"/>
        <v/>
      </c>
      <c r="VU1520" s="42" t="str">
        <f ca="1"/>
        <v/>
      </c>
      <c r="VV1520" s="42" t="str">
        <f ca="1"/>
        <v/>
      </c>
      <c r="VW1520" s="42" t="str">
        <f ca="1"/>
        <v/>
      </c>
      <c r="VX1520" s="42" t="str">
        <f ca="1"/>
        <v/>
      </c>
      <c r="VY1520" s="42" t="str">
        <f ca="1"/>
        <v/>
      </c>
      <c r="VZ1520" s="42" t="str">
        <f ca="1"/>
        <v/>
      </c>
      <c r="WA1520" s="42" t="str">
        <f ca="1"/>
        <v/>
      </c>
      <c r="WB1520" s="42" t="str">
        <f ca="1"/>
        <v/>
      </c>
      <c r="WC1520" s="42" t="str">
        <f ca="1"/>
        <v/>
      </c>
      <c r="WD1520" s="42" t="str">
        <f ca="1"/>
        <v/>
      </c>
      <c r="WE1520" s="42" t="str">
        <f ca="1"/>
        <v/>
      </c>
      <c r="WF1520" s="42" t="str">
        <f ca="1"/>
        <v/>
      </c>
      <c r="WG1520" s="42" t="str">
        <f ca="1"/>
        <v/>
      </c>
      <c r="WH1520" s="42" t="str">
        <f ca="1"/>
        <v/>
      </c>
      <c r="WI1520" s="42" t="str">
        <f ca="1"/>
        <v/>
      </c>
      <c r="WJ1520" s="42" t="str">
        <f ca="1"/>
        <v/>
      </c>
      <c r="WK1520" s="42" t="str">
        <f ca="1"/>
        <v/>
      </c>
      <c r="WL1520" s="42" t="str">
        <f ca="1"/>
        <v/>
      </c>
      <c r="WM1520" s="42" t="str">
        <f ca="1"/>
        <v/>
      </c>
      <c r="WN1520" s="42" t="str">
        <f ca="1"/>
        <v/>
      </c>
      <c r="WO1520" s="42" t="str">
        <f ca="1"/>
        <v/>
      </c>
      <c r="WP1520" s="42" t="str">
        <f ca="1"/>
        <v/>
      </c>
      <c r="WQ1520" s="42" t="str">
        <f ca="1"/>
        <v/>
      </c>
      <c r="WR1520" s="42" t="str">
        <f ca="1"/>
        <v/>
      </c>
      <c r="WS1520" s="42" t="str">
        <f ca="1"/>
        <v/>
      </c>
      <c r="WT1520" s="42" t="str">
        <f ca="1"/>
        <v/>
      </c>
      <c r="WU1520" s="42" t="str">
        <f ca="1"/>
        <v/>
      </c>
      <c r="WV1520" s="42" t="str">
        <f ca="1"/>
        <v/>
      </c>
      <c r="WW1520" s="42" t="str">
        <f ca="1"/>
        <v/>
      </c>
      <c r="WX1520" s="42" t="str">
        <f ca="1"/>
        <v/>
      </c>
      <c r="WY1520" s="42" t="str">
        <f ca="1"/>
        <v/>
      </c>
      <c r="WZ1520" s="42" t="str">
        <f ca="1"/>
        <v/>
      </c>
      <c r="XA1520" s="42" t="str">
        <f ca="1"/>
        <v/>
      </c>
      <c r="XB1520" s="42" t="str">
        <f ca="1"/>
        <v/>
      </c>
      <c r="XC1520" s="42" t="str">
        <f ca="1"/>
        <v/>
      </c>
      <c r="XD1520" s="42" t="str">
        <f ca="1"/>
        <v/>
      </c>
      <c r="XE1520" s="42" t="str">
        <f ca="1"/>
        <v/>
      </c>
      <c r="XF1520" s="42" t="str">
        <f ca="1"/>
        <v/>
      </c>
      <c r="XG1520" s="42" t="str">
        <f ca="1"/>
        <v/>
      </c>
      <c r="XH1520" s="42" t="str">
        <f ca="1"/>
        <v/>
      </c>
      <c r="XI1520" s="42" t="str">
        <f ca="1"/>
        <v/>
      </c>
      <c r="XJ1520" s="42" t="str">
        <f ca="1"/>
        <v/>
      </c>
      <c r="XK1520" s="42" t="str">
        <f ca="1"/>
        <v/>
      </c>
      <c r="XL1520" s="42" t="str">
        <f ca="1"/>
        <v/>
      </c>
      <c r="XM1520" s="42" t="str">
        <f ca="1"/>
        <v/>
      </c>
      <c r="XN1520" s="42" t="str">
        <f ca="1"/>
        <v/>
      </c>
      <c r="XO1520" s="42" t="str">
        <f ca="1"/>
        <v/>
      </c>
      <c r="XP1520" s="42" t="str">
        <f ca="1"/>
        <v/>
      </c>
      <c r="XQ1520" s="42" t="str">
        <f ca="1"/>
        <v/>
      </c>
      <c r="XR1520" s="42" t="str">
        <f ca="1"/>
        <v/>
      </c>
      <c r="XS1520" s="42" t="str">
        <f ca="1"/>
        <v/>
      </c>
      <c r="XT1520" s="42" t="str">
        <f ca="1"/>
        <v/>
      </c>
      <c r="XU1520" s="42" t="str">
        <f ca="1"/>
        <v/>
      </c>
      <c r="XV1520" s="42" t="str">
        <f ca="1"/>
        <v/>
      </c>
      <c r="XW1520" s="42" t="str">
        <f ca="1"/>
        <v/>
      </c>
      <c r="XX1520" s="42" t="str">
        <f ca="1"/>
        <v/>
      </c>
      <c r="XY1520" s="42" t="str">
        <f ca="1"/>
        <v/>
      </c>
      <c r="XZ1520" s="42" t="str">
        <f ca="1"/>
        <v/>
      </c>
      <c r="YA1520" s="42" t="str">
        <f ca="1"/>
        <v/>
      </c>
      <c r="YB1520" s="42" t="str">
        <f ca="1"/>
        <v/>
      </c>
      <c r="YC1520" s="42" t="str">
        <f ca="1"/>
        <v/>
      </c>
      <c r="YD1520" s="42" t="str">
        <f ca="1"/>
        <v/>
      </c>
      <c r="YE1520" s="42" t="str">
        <f ca="1"/>
        <v/>
      </c>
      <c r="YF1520" s="42" t="str">
        <f ca="1"/>
        <v/>
      </c>
      <c r="YG1520" s="42" t="str">
        <f ca="1"/>
        <v/>
      </c>
      <c r="YH1520" s="42" t="str">
        <f ca="1"/>
        <v/>
      </c>
      <c r="YI1520" s="42" t="str">
        <f ca="1"/>
        <v/>
      </c>
      <c r="YJ1520" s="42" t="str">
        <f ca="1"/>
        <v/>
      </c>
      <c r="YK1520" s="42" t="str">
        <f ca="1"/>
        <v/>
      </c>
      <c r="YL1520" s="42" t="str">
        <f ca="1"/>
        <v/>
      </c>
      <c r="YM1520" s="42" t="str">
        <f ca="1"/>
        <v/>
      </c>
      <c r="YN1520" s="42" t="str">
        <f ca="1"/>
        <v/>
      </c>
      <c r="YO1520" s="42" t="str">
        <f ca="1"/>
        <v/>
      </c>
      <c r="YP1520" s="42" t="str">
        <f ca="1"/>
        <v/>
      </c>
      <c r="YQ1520" s="42" t="str">
        <f ca="1"/>
        <v/>
      </c>
      <c r="YR1520" s="42" t="str">
        <f ca="1"/>
        <v/>
      </c>
      <c r="YS1520" s="42" t="str">
        <f ca="1"/>
        <v/>
      </c>
      <c r="YT1520" s="42" t="str">
        <f ca="1"/>
        <v/>
      </c>
      <c r="YU1520" s="42" t="str">
        <f ca="1"/>
        <v/>
      </c>
      <c r="YV1520" s="42" t="str">
        <f ca="1"/>
        <v/>
      </c>
      <c r="YW1520" s="42" t="str">
        <f ca="1"/>
        <v/>
      </c>
      <c r="YX1520" s="42" t="str">
        <f ca="1"/>
        <v/>
      </c>
      <c r="YY1520" s="42" t="str">
        <f ca="1"/>
        <v/>
      </c>
      <c r="YZ1520" s="42" t="str">
        <f ca="1"/>
        <v/>
      </c>
      <c r="ZA1520" s="42" t="str">
        <f ca="1"/>
        <v/>
      </c>
      <c r="ZB1520" s="42" t="str">
        <f ca="1"/>
        <v/>
      </c>
      <c r="ZC1520" s="42" t="str">
        <f ca="1"/>
        <v/>
      </c>
      <c r="ZD1520" s="42" t="str">
        <f ca="1"/>
        <v/>
      </c>
      <c r="ZE1520" s="42" t="str">
        <f ca="1"/>
        <v/>
      </c>
      <c r="ZF1520" s="42" t="str">
        <f ca="1"/>
        <v/>
      </c>
      <c r="ZG1520" s="42" t="str">
        <f ca="1"/>
        <v/>
      </c>
      <c r="ZH1520" s="42" t="str">
        <f ca="1"/>
        <v/>
      </c>
      <c r="ZI1520" s="42" t="str">
        <f ca="1"/>
        <v/>
      </c>
      <c r="ZJ1520" s="42" t="str">
        <f ca="1"/>
        <v/>
      </c>
      <c r="ZK1520" s="42" t="str">
        <f ca="1"/>
        <v/>
      </c>
      <c r="ZL1520" s="42" t="str">
        <f ca="1"/>
        <v/>
      </c>
      <c r="ZM1520" s="42" t="str">
        <f ca="1"/>
        <v/>
      </c>
      <c r="ZN1520" s="42" t="str">
        <f ca="1"/>
        <v/>
      </c>
      <c r="ZO1520" s="42" t="str">
        <f ca="1"/>
        <v/>
      </c>
      <c r="ZP1520" s="42" t="str">
        <f ca="1"/>
        <v/>
      </c>
      <c r="ZQ1520" s="42" t="str">
        <f ca="1"/>
        <v/>
      </c>
      <c r="ZR1520" s="42" t="str">
        <f ca="1"/>
        <v/>
      </c>
      <c r="ZS1520" s="42" t="str">
        <f ca="1"/>
        <v/>
      </c>
      <c r="ZT1520" s="42" t="str">
        <f ca="1"/>
        <v/>
      </c>
      <c r="ZU1520" s="42" t="str">
        <f ca="1"/>
        <v/>
      </c>
      <c r="ZV1520" s="42" t="str">
        <f ca="1"/>
        <v/>
      </c>
      <c r="ZW1520" s="42" t="str">
        <f ca="1"/>
        <v/>
      </c>
      <c r="ZX1520" s="42" t="str">
        <f ca="1"/>
        <v/>
      </c>
      <c r="ZY1520" s="42" t="str">
        <f ca="1"/>
        <v/>
      </c>
      <c r="ZZ1520" s="42" t="str">
        <f ca="1"/>
        <v/>
      </c>
      <c r="AAA1520" s="42" t="str">
        <f ca="1"/>
        <v/>
      </c>
      <c r="AAB1520" s="42" t="str">
        <f ca="1"/>
        <v/>
      </c>
      <c r="AAC1520" s="42" t="str">
        <f ca="1"/>
        <v/>
      </c>
      <c r="AAD1520" s="42" t="str">
        <f ca="1"/>
        <v/>
      </c>
      <c r="AAE1520" s="42" t="str">
        <f ca="1"/>
        <v/>
      </c>
      <c r="AAF1520" s="42" t="str">
        <f ca="1"/>
        <v/>
      </c>
      <c r="AAG1520" s="42" t="str">
        <f ca="1"/>
        <v/>
      </c>
      <c r="AAH1520" s="42" t="str">
        <f ca="1"/>
        <v/>
      </c>
      <c r="AAI1520" s="42" t="str">
        <f ca="1"/>
        <v/>
      </c>
      <c r="AAJ1520" s="42" t="str">
        <f ca="1"/>
        <v/>
      </c>
      <c r="AAK1520" s="42" t="str">
        <f ca="1"/>
        <v/>
      </c>
      <c r="AAL1520" s="42" t="str">
        <f ca="1"/>
        <v/>
      </c>
      <c r="AAM1520" s="42" t="str">
        <f ca="1"/>
        <v/>
      </c>
      <c r="AAN1520" s="42" t="str">
        <f ca="1"/>
        <v/>
      </c>
      <c r="AAO1520" s="42" t="str">
        <f ca="1"/>
        <v/>
      </c>
      <c r="AAP1520" s="42" t="str">
        <f ca="1"/>
        <v/>
      </c>
      <c r="AAQ1520" s="42" t="str">
        <f ca="1"/>
        <v/>
      </c>
      <c r="AAR1520" s="42" t="str">
        <f ca="1"/>
        <v/>
      </c>
      <c r="AAS1520" s="42" t="str">
        <f ca="1"/>
        <v/>
      </c>
      <c r="AAT1520" s="42" t="str">
        <f ca="1"/>
        <v/>
      </c>
      <c r="AAU1520" s="42" t="str">
        <f ca="1"/>
        <v/>
      </c>
      <c r="AAV1520" s="42" t="str">
        <f ca="1"/>
        <v/>
      </c>
      <c r="AAW1520" s="42" t="str">
        <f ca="1"/>
        <v/>
      </c>
      <c r="AAX1520" s="42" t="str">
        <f ca="1"/>
        <v/>
      </c>
      <c r="AAY1520" s="42" t="str">
        <f ca="1"/>
        <v/>
      </c>
      <c r="AAZ1520" s="42" t="str">
        <f ca="1"/>
        <v/>
      </c>
      <c r="ABA1520" s="42" t="str">
        <f ca="1"/>
        <v/>
      </c>
      <c r="ABB1520" s="42" t="str">
        <f ca="1"/>
        <v/>
      </c>
      <c r="ABC1520" s="42" t="str">
        <f ca="1"/>
        <v/>
      </c>
      <c r="ABD1520" s="42" t="str">
        <f ca="1"/>
        <v/>
      </c>
      <c r="ABE1520" s="42" t="str">
        <f ca="1"/>
        <v/>
      </c>
      <c r="ABF1520" s="42" t="str">
        <f ca="1"/>
        <v/>
      </c>
      <c r="ABG1520" s="42" t="str">
        <f ca="1"/>
        <v/>
      </c>
      <c r="ABH1520" s="42" t="str">
        <f ca="1"/>
        <v/>
      </c>
      <c r="ABI1520" s="42" t="str">
        <f ca="1"/>
        <v/>
      </c>
      <c r="ABJ1520" s="42" t="str">
        <f ca="1"/>
        <v/>
      </c>
      <c r="ABK1520" s="42" t="str">
        <f ca="1"/>
        <v/>
      </c>
      <c r="ABL1520" s="42" t="str">
        <f ca="1"/>
        <v/>
      </c>
      <c r="ABM1520" s="42" t="str">
        <f ca="1"/>
        <v/>
      </c>
      <c r="ABN1520" s="42" t="str">
        <f ca="1"/>
        <v/>
      </c>
      <c r="ABO1520" s="42" t="str">
        <f ca="1"/>
        <v/>
      </c>
      <c r="ABP1520" s="42" t="str">
        <f ca="1"/>
        <v/>
      </c>
      <c r="ABQ1520" s="42" t="str">
        <f ca="1"/>
        <v/>
      </c>
      <c r="ABR1520" s="42" t="str">
        <f ca="1"/>
        <v/>
      </c>
      <c r="ABS1520" s="42" t="str">
        <f ca="1"/>
        <v/>
      </c>
      <c r="ABT1520" s="42" t="str">
        <f ca="1"/>
        <v/>
      </c>
      <c r="ABU1520" s="42" t="str">
        <f ca="1"/>
        <v/>
      </c>
      <c r="ABV1520" s="42" t="str">
        <f ca="1"/>
        <v/>
      </c>
      <c r="ABW1520" s="42" t="str">
        <f ca="1"/>
        <v/>
      </c>
      <c r="ABX1520" s="42" t="str">
        <f ca="1"/>
        <v/>
      </c>
      <c r="ABY1520" s="42" t="str">
        <f ca="1"/>
        <v/>
      </c>
      <c r="ABZ1520" s="42" t="str">
        <f ca="1"/>
        <v/>
      </c>
      <c r="ACA1520" s="42" t="str">
        <f ca="1"/>
        <v/>
      </c>
      <c r="ACB1520" s="42" t="str">
        <f ca="1"/>
        <v/>
      </c>
      <c r="ACC1520" s="42" t="str">
        <f ca="1"/>
        <v/>
      </c>
      <c r="ACD1520" s="42" t="str">
        <f ca="1"/>
        <v/>
      </c>
      <c r="ACE1520" s="42" t="str">
        <f ca="1"/>
        <v/>
      </c>
      <c r="ACF1520" s="42" t="str">
        <f ca="1"/>
        <v/>
      </c>
      <c r="ACG1520" s="42" t="str">
        <f ca="1"/>
        <v/>
      </c>
      <c r="ACH1520" s="42" t="str">
        <f ca="1"/>
        <v/>
      </c>
      <c r="ACI1520" s="42" t="str">
        <f ca="1"/>
        <v/>
      </c>
      <c r="ACJ1520" s="42" t="str">
        <f ca="1"/>
        <v/>
      </c>
      <c r="ACK1520" s="42" t="str">
        <f ca="1"/>
        <v/>
      </c>
      <c r="ACL1520" s="42" t="str">
        <f ca="1"/>
        <v/>
      </c>
      <c r="ACM1520" s="42" t="str">
        <f ca="1"/>
        <v/>
      </c>
      <c r="ACN1520" s="42" t="str">
        <f ca="1"/>
        <v/>
      </c>
      <c r="ACO1520" s="42" t="str">
        <f ca="1"/>
        <v/>
      </c>
      <c r="ACP1520" s="42" t="str">
        <f ca="1"/>
        <v/>
      </c>
      <c r="ACQ1520" s="42" t="str">
        <f ca="1"/>
        <v/>
      </c>
      <c r="ACR1520" s="42" t="str">
        <f ca="1"/>
        <v/>
      </c>
      <c r="ACS1520" s="42" t="str">
        <f ca="1"/>
        <v/>
      </c>
      <c r="ACT1520" s="42" t="str">
        <f ca="1"/>
        <v/>
      </c>
      <c r="ACU1520" s="42" t="str">
        <f ca="1"/>
        <v/>
      </c>
      <c r="ACV1520" s="42" t="str">
        <f ca="1"/>
        <v/>
      </c>
      <c r="ACW1520" s="42" t="str">
        <f ca="1"/>
        <v/>
      </c>
      <c r="ACX1520" s="42" t="str">
        <f ca="1"/>
        <v/>
      </c>
      <c r="ACY1520" s="42" t="str">
        <f ca="1"/>
        <v/>
      </c>
      <c r="ACZ1520" s="42" t="str">
        <f ca="1"/>
        <v/>
      </c>
      <c r="ADA1520" s="42" t="str">
        <f ca="1"/>
        <v/>
      </c>
      <c r="ADB1520" s="42" t="str">
        <f ca="1"/>
        <v/>
      </c>
      <c r="ADC1520" s="42" t="str">
        <f ca="1"/>
        <v/>
      </c>
      <c r="ADD1520" s="42" t="str">
        <f ca="1"/>
        <v/>
      </c>
      <c r="ADE1520" s="42" t="str">
        <f ca="1"/>
        <v/>
      </c>
      <c r="ADF1520" s="42" t="str">
        <f ca="1"/>
        <v/>
      </c>
      <c r="ADG1520" s="42" t="str">
        <f ca="1"/>
        <v/>
      </c>
      <c r="ADH1520" s="42" t="str">
        <f ca="1"/>
        <v/>
      </c>
      <c r="ADI1520" s="42" t="str">
        <f ca="1"/>
        <v/>
      </c>
      <c r="ADJ1520" s="42" t="str">
        <f ca="1"/>
        <v/>
      </c>
      <c r="ADK1520" s="42" t="str">
        <f ca="1"/>
        <v/>
      </c>
      <c r="ADL1520" s="42" t="str">
        <f ca="1"/>
        <v/>
      </c>
      <c r="ADM1520" s="42" t="str">
        <f ca="1"/>
        <v/>
      </c>
      <c r="ADN1520" s="42" t="str">
        <f ca="1"/>
        <v/>
      </c>
      <c r="ADO1520" s="42" t="str">
        <f ca="1"/>
        <v/>
      </c>
      <c r="ADP1520" s="42" t="str">
        <f ca="1"/>
        <v/>
      </c>
      <c r="ADQ1520" s="42" t="str">
        <f ca="1"/>
        <v/>
      </c>
      <c r="ADR1520" s="42" t="str">
        <f ca="1"/>
        <v/>
      </c>
      <c r="ADS1520" s="42" t="str">
        <f ca="1"/>
        <v/>
      </c>
      <c r="ADT1520" s="42" t="str">
        <f ca="1"/>
        <v/>
      </c>
      <c r="ADU1520" s="42" t="str">
        <f ca="1"/>
        <v/>
      </c>
      <c r="ADV1520" s="42" t="str">
        <f ca="1"/>
        <v/>
      </c>
      <c r="ADW1520" s="42" t="str">
        <f ca="1"/>
        <v/>
      </c>
      <c r="ADX1520" s="42" t="str">
        <f ca="1"/>
        <v/>
      </c>
      <c r="ADY1520" s="42" t="str">
        <f ca="1"/>
        <v/>
      </c>
      <c r="ADZ1520" s="42" t="str">
        <f ca="1"/>
        <v/>
      </c>
      <c r="AEA1520" s="42" t="str">
        <f ca="1"/>
        <v/>
      </c>
      <c r="AEB1520" s="42" t="str">
        <f ca="1"/>
        <v/>
      </c>
      <c r="AEC1520" s="42" t="str">
        <f ca="1"/>
        <v/>
      </c>
      <c r="AED1520" s="42" t="str">
        <f ca="1"/>
        <v/>
      </c>
      <c r="AEE1520" s="42" t="str">
        <f ca="1"/>
        <v/>
      </c>
      <c r="AEF1520" s="42" t="str">
        <f ca="1"/>
        <v/>
      </c>
      <c r="AEG1520" s="42" t="str">
        <f ca="1"/>
        <v/>
      </c>
      <c r="AEH1520" s="42" t="str">
        <f ca="1"/>
        <v/>
      </c>
      <c r="AEI1520" s="42" t="str">
        <f ca="1"/>
        <v/>
      </c>
      <c r="AEJ1520" s="42" t="str">
        <f ca="1"/>
        <v/>
      </c>
      <c r="AEK1520" s="42" t="str">
        <f ca="1"/>
        <v/>
      </c>
      <c r="AEL1520" s="42" t="str">
        <f ca="1"/>
        <v/>
      </c>
      <c r="AEM1520" s="42" t="str">
        <f ca="1"/>
        <v/>
      </c>
      <c r="AEN1520" s="42" t="str">
        <f ca="1"/>
        <v/>
      </c>
      <c r="AEO1520" s="42" t="str">
        <f ca="1"/>
        <v/>
      </c>
      <c r="AEP1520" s="42" t="str">
        <f ca="1"/>
        <v/>
      </c>
      <c r="AEQ1520" s="42" t="str">
        <f ca="1"/>
        <v/>
      </c>
      <c r="AER1520" s="42" t="str">
        <f ca="1"/>
        <v/>
      </c>
      <c r="AES1520" s="42" t="str">
        <f ca="1"/>
        <v/>
      </c>
      <c r="AET1520" s="42" t="str">
        <f ca="1"/>
        <v/>
      </c>
      <c r="AEU1520" s="42" t="str">
        <f ca="1"/>
        <v/>
      </c>
      <c r="AEV1520" s="42" t="str">
        <f ca="1"/>
        <v/>
      </c>
      <c r="AEW1520" s="42" t="str">
        <f ca="1"/>
        <v/>
      </c>
      <c r="AEX1520" s="42" t="str">
        <f ca="1"/>
        <v/>
      </c>
      <c r="AEY1520" s="42" t="str">
        <f ca="1"/>
        <v/>
      </c>
      <c r="AEZ1520" s="42" t="str">
        <f ca="1"/>
        <v/>
      </c>
      <c r="AFA1520" s="42" t="str">
        <f ca="1"/>
        <v/>
      </c>
      <c r="AFB1520" s="42" t="str">
        <f ca="1"/>
        <v/>
      </c>
      <c r="AFC1520" s="42" t="str">
        <f ca="1"/>
        <v/>
      </c>
      <c r="AFD1520" s="42" t="str">
        <f ca="1"/>
        <v/>
      </c>
      <c r="AFE1520" s="42" t="str">
        <f ca="1"/>
        <v/>
      </c>
      <c r="AFF1520" s="42" t="str">
        <f ca="1"/>
        <v/>
      </c>
      <c r="AFG1520" s="42" t="str">
        <f ca="1"/>
        <v/>
      </c>
      <c r="AFH1520" s="42" t="str">
        <f ca="1"/>
        <v/>
      </c>
      <c r="AFI1520" s="42" t="str">
        <f ca="1"/>
        <v/>
      </c>
      <c r="AFJ1520" s="42" t="str">
        <f ca="1"/>
        <v/>
      </c>
      <c r="AFK1520" s="42" t="str">
        <f ca="1"/>
        <v/>
      </c>
      <c r="AFL1520" s="42" t="str">
        <f ca="1"/>
        <v/>
      </c>
      <c r="AFM1520" s="42" t="str">
        <f ca="1"/>
        <v/>
      </c>
      <c r="AFN1520" s="42" t="str">
        <f ca="1"/>
        <v/>
      </c>
      <c r="AFO1520" s="42" t="str">
        <f ca="1"/>
        <v/>
      </c>
      <c r="AFP1520" s="42" t="str">
        <f ca="1"/>
        <v/>
      </c>
      <c r="AFQ1520" s="42" t="str">
        <f ca="1"/>
        <v/>
      </c>
      <c r="AFR1520" s="42" t="str">
        <f ca="1"/>
        <v/>
      </c>
      <c r="AFS1520" s="42" t="str">
        <f ca="1"/>
        <v/>
      </c>
      <c r="AFT1520" s="42" t="str">
        <f ca="1"/>
        <v/>
      </c>
      <c r="AFU1520" s="42" t="str">
        <f ca="1"/>
        <v/>
      </c>
      <c r="AFV1520" s="42" t="str">
        <f ca="1"/>
        <v/>
      </c>
      <c r="AFW1520" s="42" t="str">
        <f ca="1"/>
        <v/>
      </c>
      <c r="AFX1520" s="42" t="str">
        <f ca="1"/>
        <v/>
      </c>
      <c r="AFY1520" s="42" t="str">
        <f ca="1"/>
        <v/>
      </c>
      <c r="AFZ1520" s="42" t="str">
        <f ca="1"/>
        <v/>
      </c>
      <c r="AGA1520" s="42" t="str">
        <f ca="1"/>
        <v/>
      </c>
      <c r="AGB1520" s="42" t="str">
        <f ca="1"/>
        <v/>
      </c>
      <c r="AGC1520" s="42" t="str">
        <f ca="1"/>
        <v/>
      </c>
      <c r="AGD1520" s="42" t="str">
        <f ca="1"/>
        <v/>
      </c>
      <c r="AGE1520" s="42" t="str">
        <f ca="1"/>
        <v/>
      </c>
      <c r="AGF1520" s="42" t="str">
        <f ca="1"/>
        <v/>
      </c>
      <c r="AGG1520" s="42" t="str">
        <f ca="1"/>
        <v/>
      </c>
      <c r="AGH1520" s="42" t="str">
        <f ca="1"/>
        <v/>
      </c>
      <c r="AGI1520" s="42" t="str">
        <f ca="1"/>
        <v/>
      </c>
      <c r="AGJ1520" s="42" t="str">
        <f ca="1"/>
        <v/>
      </c>
      <c r="AGK1520" s="42" t="str">
        <f ca="1"/>
        <v/>
      </c>
      <c r="AGL1520" s="42" t="str">
        <f ca="1"/>
        <v/>
      </c>
      <c r="AGM1520" s="42" t="str">
        <f ca="1"/>
        <v/>
      </c>
      <c r="AGN1520" s="42" t="str">
        <f ca="1"/>
        <v/>
      </c>
    </row>
    <row r="1521" spans="15:872" x14ac:dyDescent="0.25">
      <c r="O1521" s="42">
        <v>8</v>
      </c>
      <c r="P1521" s="42" t="str">
        <f ca="1"/>
        <v/>
      </c>
      <c r="Q1521" s="42" t="str">
        <f ca="1"/>
        <v/>
      </c>
      <c r="R1521" s="42" t="str">
        <f ca="1"/>
        <v/>
      </c>
      <c r="S1521" s="42" t="str">
        <f ca="1"/>
        <v/>
      </c>
      <c r="T1521" s="42" t="str">
        <f ca="1"/>
        <v/>
      </c>
      <c r="U1521" s="42" t="str">
        <f ca="1"/>
        <v/>
      </c>
      <c r="V1521" s="42" t="str">
        <f ca="1"/>
        <v/>
      </c>
      <c r="W1521" s="42" t="str">
        <f ca="1"/>
        <v/>
      </c>
      <c r="X1521" s="42" t="str">
        <f ca="1"/>
        <v/>
      </c>
      <c r="Y1521" s="42" t="str">
        <f ca="1"/>
        <v/>
      </c>
      <c r="Z1521" s="42" t="str">
        <f ca="1"/>
        <v/>
      </c>
      <c r="AA1521" s="42" t="str">
        <f ca="1"/>
        <v/>
      </c>
      <c r="AB1521" s="42" t="str">
        <f ca="1"/>
        <v/>
      </c>
      <c r="AC1521" s="42" t="str">
        <f ca="1"/>
        <v/>
      </c>
      <c r="AD1521" s="42" t="str">
        <f ca="1"/>
        <v/>
      </c>
      <c r="AE1521" s="42" t="str">
        <f ca="1"/>
        <v/>
      </c>
      <c r="AF1521" s="42" t="str">
        <f ca="1"/>
        <v/>
      </c>
      <c r="AG1521" s="42" t="str">
        <f ca="1"/>
        <v/>
      </c>
      <c r="AH1521" s="42" t="str">
        <f ca="1"/>
        <v/>
      </c>
      <c r="AI1521" s="42" t="str">
        <f ca="1"/>
        <v/>
      </c>
      <c r="AJ1521" s="42" t="str">
        <f ca="1"/>
        <v/>
      </c>
      <c r="AK1521" s="42" t="str">
        <f ca="1"/>
        <v/>
      </c>
      <c r="AL1521" s="42" t="str">
        <f ca="1"/>
        <v/>
      </c>
      <c r="AM1521" s="42" t="str">
        <f ca="1"/>
        <v/>
      </c>
      <c r="AN1521" s="42" t="str">
        <f ca="1"/>
        <v/>
      </c>
      <c r="AO1521" s="42" t="str">
        <f ca="1"/>
        <v/>
      </c>
      <c r="AP1521" s="42" t="str">
        <f ca="1"/>
        <v/>
      </c>
      <c r="AQ1521" s="42" t="str">
        <f ca="1"/>
        <v/>
      </c>
      <c r="AR1521" s="42" t="str">
        <f ca="1"/>
        <v/>
      </c>
      <c r="AS1521" s="42" t="str">
        <f ca="1"/>
        <v/>
      </c>
      <c r="AT1521" s="42" t="str">
        <f ca="1"/>
        <v/>
      </c>
      <c r="AU1521" s="42" t="str">
        <f ca="1"/>
        <v/>
      </c>
      <c r="AV1521" s="42" t="str">
        <f ca="1"/>
        <v/>
      </c>
      <c r="AW1521" s="42" t="str">
        <f ca="1"/>
        <v/>
      </c>
      <c r="AX1521" s="42" t="str">
        <f ca="1"/>
        <v/>
      </c>
      <c r="AY1521" s="42" t="str">
        <f ca="1"/>
        <v/>
      </c>
      <c r="AZ1521" s="42" t="str">
        <f ca="1"/>
        <v/>
      </c>
      <c r="BA1521" s="42" t="str">
        <f ca="1"/>
        <v/>
      </c>
      <c r="BB1521" s="42" t="str">
        <f ca="1"/>
        <v/>
      </c>
      <c r="BC1521" s="42" t="str">
        <f ca="1"/>
        <v/>
      </c>
      <c r="BD1521" s="42" t="str">
        <f ca="1"/>
        <v/>
      </c>
      <c r="BE1521" s="42" t="str">
        <f ca="1"/>
        <v/>
      </c>
      <c r="BF1521" s="42" t="str">
        <f ca="1"/>
        <v/>
      </c>
      <c r="BG1521" s="42" t="str">
        <f ca="1"/>
        <v/>
      </c>
      <c r="BH1521" s="42" t="str">
        <f ca="1"/>
        <v/>
      </c>
      <c r="BI1521" s="42" t="str">
        <f ca="1"/>
        <v/>
      </c>
      <c r="BJ1521" s="42" t="str">
        <f ca="1"/>
        <v/>
      </c>
      <c r="BK1521" s="42" t="str">
        <f ca="1"/>
        <v/>
      </c>
      <c r="BL1521" s="42" t="str">
        <f ca="1"/>
        <v/>
      </c>
      <c r="BM1521" s="42" t="str">
        <f ca="1"/>
        <v/>
      </c>
      <c r="BN1521" s="42" t="str">
        <f ca="1"/>
        <v/>
      </c>
      <c r="BO1521" s="42" t="str">
        <f ca="1"/>
        <v/>
      </c>
      <c r="BP1521" s="42" t="str">
        <f ca="1"/>
        <v/>
      </c>
      <c r="BQ1521" s="42" t="str">
        <f ca="1"/>
        <v/>
      </c>
      <c r="BR1521" s="42" t="str">
        <f ca="1"/>
        <v/>
      </c>
      <c r="BS1521" s="42" t="str">
        <f ca="1"/>
        <v/>
      </c>
      <c r="BT1521" s="42" t="str">
        <f ca="1"/>
        <v/>
      </c>
      <c r="BU1521" s="42" t="str">
        <f ca="1"/>
        <v/>
      </c>
      <c r="BV1521" s="42" t="str">
        <f ca="1"/>
        <v/>
      </c>
      <c r="BW1521" s="42" t="str">
        <f ca="1"/>
        <v/>
      </c>
      <c r="BX1521" s="42" t="str">
        <f ca="1"/>
        <v/>
      </c>
      <c r="BY1521" s="42" t="str">
        <f ca="1"/>
        <v/>
      </c>
      <c r="BZ1521" s="42" t="str">
        <f ca="1"/>
        <v/>
      </c>
      <c r="CA1521" s="42" t="str">
        <f ca="1"/>
        <v/>
      </c>
      <c r="CB1521" s="42" t="str">
        <f ca="1"/>
        <v/>
      </c>
      <c r="CC1521" s="42" t="str">
        <f ca="1"/>
        <v/>
      </c>
      <c r="CD1521" s="42" t="str">
        <f ca="1"/>
        <v/>
      </c>
      <c r="CE1521" s="42" t="str">
        <f ca="1"/>
        <v/>
      </c>
      <c r="CF1521" s="42" t="str">
        <f ca="1"/>
        <v/>
      </c>
      <c r="CG1521" s="42" t="str">
        <f ca="1"/>
        <v/>
      </c>
      <c r="CH1521" s="42" t="str">
        <f ca="1"/>
        <v/>
      </c>
      <c r="CI1521" s="42" t="str">
        <f ca="1"/>
        <v/>
      </c>
      <c r="CJ1521" s="42" t="str">
        <f ca="1"/>
        <v/>
      </c>
      <c r="CK1521" s="42" t="str">
        <f ca="1"/>
        <v/>
      </c>
      <c r="CL1521" s="42" t="str">
        <f ca="1"/>
        <v/>
      </c>
      <c r="CM1521" s="42" t="str">
        <f ca="1"/>
        <v/>
      </c>
      <c r="CN1521" s="42" t="str">
        <f ca="1"/>
        <v/>
      </c>
      <c r="CO1521" s="42" t="str">
        <f ca="1"/>
        <v/>
      </c>
      <c r="CP1521" s="42" t="str">
        <f ca="1"/>
        <v/>
      </c>
      <c r="CQ1521" s="42" t="str">
        <f ca="1"/>
        <v/>
      </c>
      <c r="CR1521" s="42" t="str">
        <f ca="1"/>
        <v/>
      </c>
      <c r="CS1521" s="42" t="str">
        <f ca="1"/>
        <v/>
      </c>
      <c r="CT1521" s="42" t="str">
        <f ca="1"/>
        <v/>
      </c>
      <c r="CU1521" s="42" t="str">
        <f ca="1"/>
        <v/>
      </c>
      <c r="CV1521" s="42" t="str">
        <f ca="1"/>
        <v/>
      </c>
      <c r="CW1521" s="42" t="str">
        <f ca="1"/>
        <v/>
      </c>
      <c r="CX1521" s="42" t="str">
        <f ca="1"/>
        <v/>
      </c>
      <c r="CY1521" s="42" t="str">
        <f ca="1"/>
        <v/>
      </c>
      <c r="CZ1521" s="42" t="str">
        <f ca="1"/>
        <v/>
      </c>
      <c r="DA1521" s="42" t="str">
        <f ca="1"/>
        <v/>
      </c>
      <c r="DB1521" s="42" t="str">
        <f ca="1"/>
        <v/>
      </c>
      <c r="DC1521" s="42" t="str">
        <f ca="1"/>
        <v/>
      </c>
      <c r="DD1521" s="42" t="str">
        <f ca="1"/>
        <v/>
      </c>
      <c r="DE1521" s="42" t="str">
        <f ca="1"/>
        <v/>
      </c>
      <c r="DF1521" s="42" t="str">
        <f ca="1"/>
        <v/>
      </c>
      <c r="DG1521" s="42" t="str">
        <f ca="1"/>
        <v/>
      </c>
      <c r="DH1521" s="42" t="str">
        <f ca="1"/>
        <v/>
      </c>
      <c r="DI1521" s="42" t="str">
        <f ca="1"/>
        <v/>
      </c>
      <c r="DJ1521" s="42" t="str">
        <f ca="1"/>
        <v/>
      </c>
      <c r="DK1521" s="42" t="str">
        <f ca="1"/>
        <v/>
      </c>
      <c r="DL1521" s="42" t="str">
        <f ca="1"/>
        <v/>
      </c>
      <c r="DM1521" s="42" t="str">
        <f ca="1"/>
        <v/>
      </c>
      <c r="DN1521" s="42" t="str">
        <f ca="1"/>
        <v/>
      </c>
      <c r="DO1521" s="42" t="str">
        <f ca="1"/>
        <v/>
      </c>
      <c r="DP1521" s="42" t="str">
        <f ca="1"/>
        <v/>
      </c>
      <c r="DQ1521" s="42" t="str">
        <f ca="1"/>
        <v/>
      </c>
      <c r="DR1521" s="42" t="str">
        <f ca="1"/>
        <v/>
      </c>
      <c r="DS1521" s="42" t="str">
        <f ca="1"/>
        <v/>
      </c>
      <c r="DT1521" s="42" t="str">
        <f ca="1"/>
        <v/>
      </c>
      <c r="DU1521" s="42" t="str">
        <f ca="1"/>
        <v/>
      </c>
      <c r="DV1521" s="42" t="str">
        <f ca="1"/>
        <v/>
      </c>
      <c r="DW1521" s="42" t="str">
        <f ca="1"/>
        <v/>
      </c>
      <c r="DX1521" s="42" t="str">
        <f ca="1"/>
        <v/>
      </c>
      <c r="DY1521" s="42" t="str">
        <f ca="1"/>
        <v/>
      </c>
      <c r="DZ1521" s="42" t="str">
        <f ca="1"/>
        <v/>
      </c>
      <c r="EA1521" s="42" t="str">
        <f ca="1"/>
        <v/>
      </c>
      <c r="EB1521" s="42" t="str">
        <f ca="1"/>
        <v/>
      </c>
      <c r="EC1521" s="42" t="str">
        <f ca="1"/>
        <v/>
      </c>
      <c r="ED1521" s="42" t="str">
        <f ca="1"/>
        <v/>
      </c>
      <c r="EE1521" s="42" t="str">
        <f ca="1"/>
        <v/>
      </c>
      <c r="EF1521" s="42" t="str">
        <f ca="1"/>
        <v/>
      </c>
      <c r="EG1521" s="42" t="str">
        <f ca="1"/>
        <v/>
      </c>
      <c r="EH1521" s="42" t="str">
        <f ca="1"/>
        <v/>
      </c>
      <c r="EI1521" s="42" t="str">
        <f ca="1"/>
        <v/>
      </c>
      <c r="EJ1521" s="42" t="str">
        <f ca="1"/>
        <v/>
      </c>
      <c r="EK1521" s="42" t="str">
        <f ca="1"/>
        <v/>
      </c>
      <c r="EL1521" s="42" t="str">
        <f ca="1"/>
        <v/>
      </c>
      <c r="EM1521" s="42" t="str">
        <f ca="1"/>
        <v/>
      </c>
      <c r="EN1521" s="42" t="str">
        <f ca="1"/>
        <v/>
      </c>
      <c r="EO1521" s="42" t="str">
        <f ca="1"/>
        <v/>
      </c>
      <c r="EP1521" s="42" t="str">
        <f ca="1"/>
        <v/>
      </c>
      <c r="EQ1521" s="42" t="str">
        <f ca="1"/>
        <v/>
      </c>
      <c r="ER1521" s="42" t="str">
        <f ca="1"/>
        <v/>
      </c>
      <c r="ES1521" s="42" t="str">
        <f ca="1"/>
        <v/>
      </c>
      <c r="ET1521" s="42" t="str">
        <f ca="1"/>
        <v/>
      </c>
      <c r="EU1521" s="42" t="str">
        <f ca="1"/>
        <v/>
      </c>
      <c r="EV1521" s="42" t="str">
        <f ca="1"/>
        <v/>
      </c>
      <c r="EW1521" s="42" t="str">
        <f ca="1"/>
        <v/>
      </c>
      <c r="EX1521" s="42" t="str">
        <f ca="1"/>
        <v/>
      </c>
      <c r="EY1521" s="42" t="str">
        <f ca="1"/>
        <v/>
      </c>
      <c r="EZ1521" s="42" t="str">
        <f ca="1"/>
        <v/>
      </c>
      <c r="FA1521" s="42" t="str">
        <f ca="1"/>
        <v/>
      </c>
      <c r="FB1521" s="42" t="str">
        <f ca="1"/>
        <v/>
      </c>
      <c r="FC1521" s="42" t="str">
        <f ca="1"/>
        <v/>
      </c>
      <c r="FD1521" s="42" t="str">
        <f ca="1"/>
        <v/>
      </c>
      <c r="FE1521" s="42" t="str">
        <f ca="1"/>
        <v/>
      </c>
      <c r="FF1521" s="42" t="str">
        <f ca="1"/>
        <v/>
      </c>
      <c r="FG1521" s="42" t="str">
        <f ca="1"/>
        <v/>
      </c>
      <c r="FH1521" s="42" t="str">
        <f ca="1"/>
        <v/>
      </c>
      <c r="FI1521" s="42" t="str">
        <f ca="1"/>
        <v/>
      </c>
      <c r="FJ1521" s="42" t="str">
        <f ca="1"/>
        <v/>
      </c>
      <c r="FK1521" s="42" t="str">
        <f ca="1"/>
        <v/>
      </c>
      <c r="FL1521" s="42" t="str">
        <f ca="1"/>
        <v/>
      </c>
      <c r="FM1521" s="42" t="str">
        <f ca="1"/>
        <v/>
      </c>
      <c r="FN1521" s="42" t="str">
        <f ca="1"/>
        <v/>
      </c>
      <c r="FO1521" s="42" t="str">
        <f ca="1"/>
        <v/>
      </c>
      <c r="FP1521" s="42" t="str">
        <f ca="1"/>
        <v/>
      </c>
      <c r="FQ1521" s="42" t="str">
        <f ca="1"/>
        <v/>
      </c>
      <c r="FR1521" s="42" t="str">
        <f ca="1"/>
        <v/>
      </c>
      <c r="FS1521" s="42" t="str">
        <f ca="1"/>
        <v/>
      </c>
      <c r="FT1521" s="42" t="str">
        <f ca="1"/>
        <v/>
      </c>
      <c r="FU1521" s="42" t="str">
        <f ca="1"/>
        <v/>
      </c>
      <c r="FV1521" s="42" t="str">
        <f ca="1"/>
        <v/>
      </c>
      <c r="FW1521" s="42" t="str">
        <f ca="1"/>
        <v/>
      </c>
      <c r="FX1521" s="42" t="str">
        <f ca="1"/>
        <v/>
      </c>
      <c r="FY1521" s="42" t="str">
        <f ca="1"/>
        <v/>
      </c>
      <c r="FZ1521" s="42" t="str">
        <f ca="1"/>
        <v/>
      </c>
      <c r="GA1521" s="42" t="str">
        <f ca="1"/>
        <v/>
      </c>
      <c r="GB1521" s="42" t="str">
        <f ca="1"/>
        <v/>
      </c>
      <c r="GC1521" s="42" t="str">
        <f ca="1"/>
        <v/>
      </c>
      <c r="GD1521" s="42" t="str">
        <f ca="1"/>
        <v/>
      </c>
      <c r="GE1521" s="42" t="str">
        <f ca="1"/>
        <v/>
      </c>
      <c r="GF1521" s="42" t="str">
        <f ca="1"/>
        <v/>
      </c>
      <c r="GG1521" s="42" t="str">
        <f ca="1"/>
        <v/>
      </c>
      <c r="GH1521" s="42" t="str">
        <f ca="1"/>
        <v/>
      </c>
      <c r="GI1521" s="42" t="str">
        <f ca="1"/>
        <v/>
      </c>
      <c r="GJ1521" s="42" t="str">
        <f ca="1"/>
        <v/>
      </c>
      <c r="GK1521" s="42" t="str">
        <f ca="1"/>
        <v/>
      </c>
      <c r="GL1521" s="42" t="str">
        <f ca="1"/>
        <v/>
      </c>
      <c r="GM1521" s="42" t="str">
        <f ca="1"/>
        <v/>
      </c>
      <c r="GN1521" s="42" t="str">
        <f ca="1"/>
        <v/>
      </c>
      <c r="GO1521" s="42" t="str">
        <f ca="1"/>
        <v/>
      </c>
      <c r="GP1521" s="42" t="str">
        <f ca="1"/>
        <v/>
      </c>
      <c r="GQ1521" s="42" t="str">
        <f ca="1"/>
        <v/>
      </c>
      <c r="GR1521" s="42" t="str">
        <f ca="1"/>
        <v/>
      </c>
      <c r="GS1521" s="42" t="str">
        <f ca="1"/>
        <v/>
      </c>
      <c r="GT1521" s="42" t="str">
        <f ca="1"/>
        <v/>
      </c>
      <c r="GU1521" s="42" t="str">
        <f ca="1"/>
        <v/>
      </c>
      <c r="GV1521" s="42" t="str">
        <f ca="1"/>
        <v/>
      </c>
      <c r="GW1521" s="42" t="str">
        <f ca="1"/>
        <v/>
      </c>
      <c r="GX1521" s="42" t="str">
        <f ca="1"/>
        <v/>
      </c>
      <c r="GY1521" s="42" t="str">
        <f ca="1"/>
        <v/>
      </c>
      <c r="GZ1521" s="42" t="str">
        <f ca="1"/>
        <v/>
      </c>
      <c r="HA1521" s="42" t="str">
        <f ca="1"/>
        <v/>
      </c>
      <c r="HB1521" s="42" t="str">
        <f ca="1"/>
        <v/>
      </c>
      <c r="HC1521" s="42" t="str">
        <f ca="1"/>
        <v/>
      </c>
      <c r="HD1521" s="42" t="str">
        <f ca="1"/>
        <v/>
      </c>
      <c r="HE1521" s="42" t="str">
        <f ca="1"/>
        <v/>
      </c>
      <c r="HF1521" s="42" t="str">
        <f ca="1"/>
        <v/>
      </c>
      <c r="HG1521" s="42" t="str">
        <f ca="1"/>
        <v/>
      </c>
      <c r="HH1521" s="42" t="str">
        <f ca="1"/>
        <v/>
      </c>
      <c r="HI1521" s="42" t="str">
        <f ca="1"/>
        <v/>
      </c>
      <c r="HJ1521" s="42" t="str">
        <f ca="1"/>
        <v/>
      </c>
      <c r="HK1521" s="42" t="str">
        <f ca="1"/>
        <v/>
      </c>
      <c r="HL1521" s="42" t="str">
        <f ca="1"/>
        <v/>
      </c>
      <c r="HM1521" s="42" t="str">
        <f ca="1"/>
        <v/>
      </c>
      <c r="HN1521" s="42" t="str">
        <f ca="1"/>
        <v/>
      </c>
      <c r="HO1521" s="42" t="str">
        <f ca="1"/>
        <v/>
      </c>
      <c r="HP1521" s="42" t="str">
        <f ca="1"/>
        <v/>
      </c>
      <c r="HQ1521" s="42" t="str">
        <f ca="1"/>
        <v/>
      </c>
      <c r="HR1521" s="42" t="str">
        <f ca="1"/>
        <v/>
      </c>
      <c r="HS1521" s="42" t="str">
        <f ca="1"/>
        <v/>
      </c>
      <c r="HT1521" s="42" t="str">
        <f ca="1"/>
        <v/>
      </c>
      <c r="HU1521" s="42" t="str">
        <f ca="1"/>
        <v/>
      </c>
      <c r="HV1521" s="42" t="str">
        <f ca="1"/>
        <v/>
      </c>
      <c r="HW1521" s="42" t="str">
        <f ca="1"/>
        <v/>
      </c>
      <c r="HX1521" s="42" t="str">
        <f ca="1"/>
        <v/>
      </c>
      <c r="HY1521" s="42" t="str">
        <f ca="1"/>
        <v/>
      </c>
      <c r="HZ1521" s="42" t="str">
        <f ca="1"/>
        <v/>
      </c>
      <c r="IA1521" s="42" t="str">
        <f ca="1"/>
        <v/>
      </c>
      <c r="IB1521" s="42" t="str">
        <f ca="1"/>
        <v/>
      </c>
      <c r="IC1521" s="42" t="str">
        <f ca="1"/>
        <v/>
      </c>
      <c r="ID1521" s="42" t="str">
        <f ca="1"/>
        <v/>
      </c>
      <c r="IE1521" s="42" t="str">
        <f ca="1"/>
        <v/>
      </c>
      <c r="IF1521" s="42" t="str">
        <f ca="1"/>
        <v/>
      </c>
      <c r="IG1521" s="42" t="str">
        <f ca="1"/>
        <v/>
      </c>
      <c r="IH1521" s="42" t="str">
        <f ca="1"/>
        <v/>
      </c>
      <c r="II1521" s="42" t="str">
        <f ca="1"/>
        <v/>
      </c>
      <c r="IJ1521" s="42" t="str">
        <f ca="1"/>
        <v/>
      </c>
      <c r="IK1521" s="42" t="str">
        <f ca="1"/>
        <v/>
      </c>
      <c r="IL1521" s="42" t="str">
        <f ca="1"/>
        <v/>
      </c>
      <c r="IM1521" s="42" t="str">
        <f ca="1"/>
        <v/>
      </c>
      <c r="IN1521" s="42" t="str">
        <f ca="1"/>
        <v/>
      </c>
      <c r="IO1521" s="42" t="str">
        <f ca="1"/>
        <v/>
      </c>
      <c r="IP1521" s="42" t="str">
        <f ca="1"/>
        <v/>
      </c>
      <c r="IQ1521" s="42" t="str">
        <f ca="1"/>
        <v/>
      </c>
      <c r="IR1521" s="42" t="str">
        <f ca="1"/>
        <v/>
      </c>
      <c r="IS1521" s="42" t="str">
        <f ca="1"/>
        <v/>
      </c>
      <c r="IT1521" s="42" t="str">
        <f ca="1"/>
        <v/>
      </c>
      <c r="IU1521" s="42" t="str">
        <f ca="1"/>
        <v/>
      </c>
      <c r="IV1521" s="42" t="str">
        <f ca="1"/>
        <v/>
      </c>
      <c r="IW1521" s="42" t="str">
        <f ca="1"/>
        <v/>
      </c>
      <c r="IX1521" s="42" t="str">
        <f ca="1"/>
        <v/>
      </c>
      <c r="IY1521" s="42" t="str">
        <f ca="1"/>
        <v/>
      </c>
      <c r="IZ1521" s="42" t="str">
        <f ca="1"/>
        <v/>
      </c>
      <c r="JA1521" s="42" t="str">
        <f ca="1"/>
        <v/>
      </c>
      <c r="JB1521" s="42" t="str">
        <f ca="1"/>
        <v/>
      </c>
      <c r="JC1521" s="42" t="str">
        <f ca="1"/>
        <v/>
      </c>
      <c r="JD1521" s="42" t="str">
        <f ca="1"/>
        <v/>
      </c>
      <c r="JE1521" s="42" t="str">
        <f ca="1"/>
        <v/>
      </c>
      <c r="JF1521" s="42" t="str">
        <f ca="1"/>
        <v/>
      </c>
      <c r="JG1521" s="42" t="str">
        <f ca="1"/>
        <v/>
      </c>
      <c r="JH1521" s="42" t="str">
        <f ca="1"/>
        <v/>
      </c>
      <c r="JI1521" s="42" t="str">
        <f ca="1"/>
        <v/>
      </c>
      <c r="JJ1521" s="42" t="str">
        <f ca="1"/>
        <v/>
      </c>
      <c r="JK1521" s="42" t="str">
        <f ca="1"/>
        <v/>
      </c>
      <c r="JL1521" s="42" t="str">
        <f ca="1"/>
        <v/>
      </c>
      <c r="JM1521" s="42" t="str">
        <f ca="1"/>
        <v/>
      </c>
      <c r="JN1521" s="42" t="str">
        <f ca="1"/>
        <v/>
      </c>
      <c r="JO1521" s="42" t="str">
        <f ca="1"/>
        <v/>
      </c>
      <c r="JP1521" s="42" t="str">
        <f ca="1"/>
        <v/>
      </c>
      <c r="JQ1521" s="42" t="str">
        <f ca="1"/>
        <v/>
      </c>
      <c r="JR1521" s="42" t="str">
        <f ca="1"/>
        <v/>
      </c>
      <c r="JS1521" s="42" t="str">
        <f ca="1"/>
        <v/>
      </c>
      <c r="JT1521" s="42" t="str">
        <f ca="1"/>
        <v/>
      </c>
      <c r="JU1521" s="42" t="str">
        <f ca="1"/>
        <v/>
      </c>
      <c r="JV1521" s="42" t="str">
        <f ca="1"/>
        <v/>
      </c>
      <c r="JW1521" s="42" t="str">
        <f ca="1"/>
        <v/>
      </c>
      <c r="JX1521" s="42" t="str">
        <f ca="1"/>
        <v/>
      </c>
      <c r="JY1521" s="42" t="str">
        <f ca="1"/>
        <v/>
      </c>
      <c r="JZ1521" s="42" t="str">
        <f ca="1"/>
        <v/>
      </c>
      <c r="KA1521" s="42" t="str">
        <f ca="1"/>
        <v/>
      </c>
      <c r="KB1521" s="42" t="str">
        <f ca="1"/>
        <v/>
      </c>
      <c r="KC1521" s="42" t="str">
        <f ca="1"/>
        <v/>
      </c>
      <c r="KD1521" s="42" t="str">
        <f ca="1"/>
        <v/>
      </c>
      <c r="KE1521" s="42" t="str">
        <f ca="1"/>
        <v/>
      </c>
      <c r="KF1521" s="42" t="str">
        <f ca="1"/>
        <v/>
      </c>
      <c r="KG1521" s="42" t="str">
        <f ca="1"/>
        <v/>
      </c>
      <c r="KH1521" s="42" t="str">
        <f ca="1"/>
        <v/>
      </c>
      <c r="KI1521" s="42" t="str">
        <f ca="1"/>
        <v/>
      </c>
      <c r="KJ1521" s="42" t="str">
        <f ca="1"/>
        <v/>
      </c>
      <c r="KK1521" s="42" t="str">
        <f ca="1"/>
        <v/>
      </c>
      <c r="KL1521" s="42" t="str">
        <f ca="1"/>
        <v/>
      </c>
      <c r="KM1521" s="42" t="str">
        <f ca="1"/>
        <v/>
      </c>
      <c r="KN1521" s="42" t="str">
        <f ca="1"/>
        <v/>
      </c>
      <c r="KO1521" s="42" t="str">
        <f ca="1"/>
        <v/>
      </c>
      <c r="KP1521" s="42" t="str">
        <f ca="1"/>
        <v/>
      </c>
      <c r="KQ1521" s="42" t="str">
        <f ca="1"/>
        <v/>
      </c>
      <c r="KR1521" s="42" t="str">
        <f ca="1"/>
        <v/>
      </c>
      <c r="KS1521" s="42" t="str">
        <f ca="1"/>
        <v/>
      </c>
      <c r="KT1521" s="42" t="str">
        <f ca="1"/>
        <v/>
      </c>
      <c r="KU1521" s="42" t="str">
        <f ca="1"/>
        <v/>
      </c>
      <c r="KV1521" s="42" t="str">
        <f ca="1"/>
        <v/>
      </c>
      <c r="KW1521" s="42" t="str">
        <f ca="1"/>
        <v/>
      </c>
      <c r="KX1521" s="42" t="str">
        <f ca="1"/>
        <v/>
      </c>
      <c r="KY1521" s="42" t="str">
        <f ca="1"/>
        <v/>
      </c>
      <c r="KZ1521" s="42" t="str">
        <f ca="1"/>
        <v/>
      </c>
      <c r="LA1521" s="42" t="str">
        <f ca="1"/>
        <v/>
      </c>
      <c r="LB1521" s="42" t="str">
        <f ca="1"/>
        <v/>
      </c>
      <c r="LC1521" s="42" t="str">
        <f ca="1"/>
        <v/>
      </c>
      <c r="LD1521" s="42" t="str">
        <f ca="1"/>
        <v/>
      </c>
      <c r="LE1521" s="42" t="str">
        <f ca="1"/>
        <v/>
      </c>
      <c r="LF1521" s="42" t="str">
        <f ca="1"/>
        <v/>
      </c>
      <c r="LG1521" s="42" t="str">
        <f ca="1"/>
        <v/>
      </c>
      <c r="LH1521" s="42" t="str">
        <f ca="1"/>
        <v/>
      </c>
      <c r="LI1521" s="42" t="str">
        <f ca="1"/>
        <v/>
      </c>
      <c r="LJ1521" s="42" t="str">
        <f ca="1"/>
        <v/>
      </c>
      <c r="LK1521" s="42" t="str">
        <f ca="1"/>
        <v/>
      </c>
      <c r="LL1521" s="42" t="str">
        <f ca="1"/>
        <v/>
      </c>
      <c r="LM1521" s="42" t="str">
        <f ca="1"/>
        <v/>
      </c>
      <c r="LN1521" s="42" t="str">
        <f ca="1"/>
        <v/>
      </c>
      <c r="LO1521" s="42" t="str">
        <f ca="1"/>
        <v/>
      </c>
      <c r="LP1521" s="42" t="str">
        <f ca="1"/>
        <v/>
      </c>
      <c r="LQ1521" s="42" t="str">
        <f ca="1"/>
        <v/>
      </c>
      <c r="LR1521" s="42" t="str">
        <f ca="1"/>
        <v/>
      </c>
      <c r="LS1521" s="42" t="str">
        <f ca="1"/>
        <v/>
      </c>
      <c r="LT1521" s="42" t="str">
        <f ca="1"/>
        <v/>
      </c>
      <c r="LU1521" s="42" t="str">
        <f ca="1"/>
        <v/>
      </c>
      <c r="LV1521" s="42" t="str">
        <f ca="1"/>
        <v/>
      </c>
      <c r="LW1521" s="42" t="str">
        <f ca="1"/>
        <v/>
      </c>
      <c r="LX1521" s="42" t="str">
        <f ca="1"/>
        <v/>
      </c>
      <c r="LY1521" s="42" t="str">
        <f ca="1"/>
        <v/>
      </c>
      <c r="LZ1521" s="42" t="str">
        <f ca="1"/>
        <v/>
      </c>
      <c r="MA1521" s="42" t="str">
        <f ca="1"/>
        <v/>
      </c>
      <c r="MB1521" s="42" t="str">
        <f ca="1"/>
        <v/>
      </c>
      <c r="MC1521" s="42" t="str">
        <f ca="1"/>
        <v/>
      </c>
      <c r="MD1521" s="42" t="str">
        <f ca="1"/>
        <v/>
      </c>
      <c r="ME1521" s="42" t="str">
        <f ca="1"/>
        <v/>
      </c>
      <c r="MF1521" s="42" t="str">
        <f ca="1"/>
        <v/>
      </c>
      <c r="MG1521" s="42" t="str">
        <f ca="1"/>
        <v/>
      </c>
      <c r="MH1521" s="42" t="str">
        <f ca="1"/>
        <v/>
      </c>
      <c r="MI1521" s="42" t="str">
        <f ca="1"/>
        <v/>
      </c>
      <c r="MJ1521" s="42" t="str">
        <f ca="1"/>
        <v/>
      </c>
      <c r="MK1521" s="42" t="str">
        <f ca="1"/>
        <v/>
      </c>
      <c r="ML1521" s="42" t="str">
        <f ca="1"/>
        <v/>
      </c>
      <c r="MM1521" s="42" t="str">
        <f ca="1"/>
        <v/>
      </c>
      <c r="MN1521" s="42" t="str">
        <f ca="1"/>
        <v/>
      </c>
      <c r="MO1521" s="42" t="str">
        <f ca="1"/>
        <v/>
      </c>
      <c r="MP1521" s="42" t="str">
        <f ca="1"/>
        <v/>
      </c>
      <c r="MQ1521" s="42" t="str">
        <f ca="1"/>
        <v/>
      </c>
      <c r="MR1521" s="42" t="str">
        <f ca="1"/>
        <v/>
      </c>
      <c r="MS1521" s="42" t="str">
        <f ca="1"/>
        <v/>
      </c>
      <c r="MT1521" s="42" t="str">
        <f ca="1"/>
        <v/>
      </c>
      <c r="MU1521" s="42" t="str">
        <f ca="1"/>
        <v/>
      </c>
      <c r="MV1521" s="42" t="str">
        <f ca="1"/>
        <v/>
      </c>
      <c r="MW1521" s="42" t="str">
        <f ca="1"/>
        <v/>
      </c>
      <c r="MX1521" s="42" t="str">
        <f ca="1"/>
        <v/>
      </c>
      <c r="MY1521" s="42" t="str">
        <f ca="1"/>
        <v/>
      </c>
      <c r="MZ1521" s="42" t="str">
        <f ca="1"/>
        <v/>
      </c>
      <c r="NA1521" s="42" t="str">
        <f ca="1"/>
        <v/>
      </c>
      <c r="NB1521" s="42" t="str">
        <f ca="1"/>
        <v/>
      </c>
      <c r="NC1521" s="42" t="str">
        <f ca="1"/>
        <v/>
      </c>
      <c r="ND1521" s="42" t="str">
        <f ca="1"/>
        <v/>
      </c>
      <c r="NE1521" s="42" t="str">
        <f ca="1"/>
        <v/>
      </c>
      <c r="NF1521" s="42" t="str">
        <f ca="1"/>
        <v/>
      </c>
      <c r="NG1521" s="42" t="str">
        <f ca="1"/>
        <v/>
      </c>
      <c r="NH1521" s="42" t="str">
        <f ca="1"/>
        <v/>
      </c>
      <c r="NI1521" s="42" t="str">
        <f ca="1"/>
        <v/>
      </c>
      <c r="NJ1521" s="42" t="str">
        <f ca="1"/>
        <v/>
      </c>
      <c r="NK1521" s="42" t="str">
        <f ca="1"/>
        <v/>
      </c>
      <c r="NL1521" s="42" t="str">
        <f ca="1"/>
        <v/>
      </c>
      <c r="NM1521" s="42" t="str">
        <f ca="1"/>
        <v/>
      </c>
      <c r="NN1521" s="42" t="str">
        <f ca="1"/>
        <v/>
      </c>
      <c r="NO1521" s="42" t="str">
        <f ca="1"/>
        <v/>
      </c>
      <c r="NP1521" s="42" t="str">
        <f ca="1"/>
        <v/>
      </c>
      <c r="NQ1521" s="42" t="str">
        <f ca="1"/>
        <v/>
      </c>
      <c r="NR1521" s="42" t="str">
        <f ca="1"/>
        <v/>
      </c>
      <c r="NS1521" s="42" t="str">
        <f ca="1"/>
        <v/>
      </c>
      <c r="NT1521" s="42" t="str">
        <f ca="1"/>
        <v/>
      </c>
      <c r="NU1521" s="42" t="str">
        <f ca="1"/>
        <v/>
      </c>
      <c r="NV1521" s="42" t="str">
        <f ca="1"/>
        <v/>
      </c>
      <c r="NW1521" s="42" t="str">
        <f ca="1"/>
        <v/>
      </c>
      <c r="NX1521" s="42" t="str">
        <f ca="1"/>
        <v/>
      </c>
      <c r="NY1521" s="42" t="str">
        <f ca="1"/>
        <v/>
      </c>
      <c r="NZ1521" s="42" t="str">
        <f ca="1"/>
        <v/>
      </c>
      <c r="OA1521" s="42" t="str">
        <f ca="1"/>
        <v/>
      </c>
      <c r="OB1521" s="42" t="str">
        <f ca="1"/>
        <v/>
      </c>
      <c r="OC1521" s="42" t="str">
        <f ca="1"/>
        <v/>
      </c>
      <c r="OD1521" s="42" t="str">
        <f ca="1"/>
        <v/>
      </c>
      <c r="OE1521" s="42" t="str">
        <f ca="1"/>
        <v/>
      </c>
      <c r="OF1521" s="42" t="str">
        <f ca="1"/>
        <v/>
      </c>
      <c r="OG1521" s="42" t="str">
        <f ca="1"/>
        <v/>
      </c>
      <c r="OH1521" s="42" t="str">
        <f ca="1"/>
        <v/>
      </c>
      <c r="OI1521" s="42" t="str">
        <f ca="1"/>
        <v/>
      </c>
      <c r="OJ1521" s="42" t="str">
        <f ca="1"/>
        <v/>
      </c>
      <c r="OK1521" s="42" t="str">
        <f ca="1"/>
        <v/>
      </c>
      <c r="OL1521" s="42" t="str">
        <f ca="1"/>
        <v/>
      </c>
      <c r="OM1521" s="42" t="str">
        <f ca="1"/>
        <v/>
      </c>
      <c r="ON1521" s="42" t="str">
        <f ca="1"/>
        <v/>
      </c>
      <c r="OO1521" s="42" t="str">
        <f ca="1"/>
        <v/>
      </c>
      <c r="OP1521" s="42" t="str">
        <f ca="1"/>
        <v/>
      </c>
      <c r="OQ1521" s="42" t="str">
        <f ca="1"/>
        <v/>
      </c>
      <c r="OR1521" s="42" t="str">
        <f ca="1"/>
        <v/>
      </c>
      <c r="OS1521" s="42" t="str">
        <f ca="1"/>
        <v/>
      </c>
      <c r="OT1521" s="42" t="str">
        <f ca="1"/>
        <v/>
      </c>
      <c r="OU1521" s="42" t="str">
        <f ca="1"/>
        <v/>
      </c>
      <c r="OV1521" s="42" t="str">
        <f ca="1"/>
        <v/>
      </c>
      <c r="OW1521" s="42" t="str">
        <f ca="1"/>
        <v/>
      </c>
      <c r="OX1521" s="42" t="str">
        <f ca="1"/>
        <v/>
      </c>
      <c r="OY1521" s="42" t="str">
        <f ca="1"/>
        <v/>
      </c>
      <c r="OZ1521" s="42" t="str">
        <f ca="1"/>
        <v/>
      </c>
      <c r="PA1521" s="42" t="str">
        <f ca="1"/>
        <v/>
      </c>
      <c r="PB1521" s="42" t="str">
        <f ca="1"/>
        <v/>
      </c>
      <c r="PC1521" s="42" t="str">
        <f ca="1"/>
        <v/>
      </c>
      <c r="PD1521" s="42" t="str">
        <f ca="1"/>
        <v/>
      </c>
      <c r="PE1521" s="42" t="str">
        <f ca="1"/>
        <v/>
      </c>
      <c r="PF1521" s="42" t="str">
        <f ca="1"/>
        <v/>
      </c>
      <c r="PG1521" s="42" t="str">
        <f ca="1"/>
        <v/>
      </c>
      <c r="PH1521" s="42" t="str">
        <f ca="1"/>
        <v/>
      </c>
      <c r="PI1521" s="42" t="str">
        <f ca="1"/>
        <v/>
      </c>
      <c r="PJ1521" s="42" t="str">
        <f ca="1"/>
        <v/>
      </c>
      <c r="PK1521" s="42" t="str">
        <f ca="1"/>
        <v/>
      </c>
      <c r="PL1521" s="42" t="str">
        <f ca="1"/>
        <v/>
      </c>
      <c r="PM1521" s="42" t="str">
        <f ca="1"/>
        <v/>
      </c>
      <c r="PN1521" s="42" t="str">
        <f ca="1"/>
        <v/>
      </c>
      <c r="PO1521" s="42" t="str">
        <f ca="1"/>
        <v/>
      </c>
      <c r="PP1521" s="42" t="str">
        <f ca="1"/>
        <v/>
      </c>
      <c r="PQ1521" s="42" t="str">
        <f ca="1"/>
        <v/>
      </c>
      <c r="PR1521" s="42" t="str">
        <f ca="1"/>
        <v/>
      </c>
      <c r="PS1521" s="42" t="str">
        <f ca="1"/>
        <v/>
      </c>
      <c r="PT1521" s="42" t="str">
        <f ca="1"/>
        <v/>
      </c>
      <c r="PU1521" s="42" t="str">
        <f ca="1"/>
        <v/>
      </c>
      <c r="PV1521" s="42" t="str">
        <f ca="1"/>
        <v/>
      </c>
      <c r="PW1521" s="42" t="str">
        <f ca="1"/>
        <v/>
      </c>
      <c r="PX1521" s="42" t="str">
        <f ca="1"/>
        <v/>
      </c>
      <c r="PY1521" s="42" t="str">
        <f ca="1"/>
        <v/>
      </c>
      <c r="PZ1521" s="42" t="str">
        <f ca="1"/>
        <v/>
      </c>
      <c r="QA1521" s="42" t="str">
        <f ca="1"/>
        <v/>
      </c>
      <c r="QB1521" s="42" t="str">
        <f ca="1"/>
        <v/>
      </c>
      <c r="QC1521" s="42" t="str">
        <f ca="1"/>
        <v/>
      </c>
      <c r="QD1521" s="42" t="str">
        <f ca="1"/>
        <v/>
      </c>
      <c r="QE1521" s="42" t="str">
        <f ca="1"/>
        <v/>
      </c>
      <c r="QF1521" s="42" t="str">
        <f ca="1"/>
        <v/>
      </c>
      <c r="QG1521" s="42" t="str">
        <f ca="1"/>
        <v/>
      </c>
      <c r="QH1521" s="42" t="str">
        <f ca="1"/>
        <v/>
      </c>
      <c r="QI1521" s="42" t="str">
        <f ca="1"/>
        <v/>
      </c>
      <c r="QJ1521" s="42" t="str">
        <f ca="1"/>
        <v/>
      </c>
      <c r="QK1521" s="42" t="str">
        <f ca="1"/>
        <v/>
      </c>
      <c r="QL1521" s="42" t="str">
        <f ca="1"/>
        <v/>
      </c>
      <c r="QM1521" s="42" t="str">
        <f ca="1"/>
        <v/>
      </c>
      <c r="QN1521" s="42" t="str">
        <f ca="1"/>
        <v/>
      </c>
      <c r="QO1521" s="42" t="str">
        <f ca="1"/>
        <v/>
      </c>
      <c r="QP1521" s="42" t="str">
        <f ca="1"/>
        <v/>
      </c>
      <c r="QQ1521" s="42" t="str">
        <f ca="1"/>
        <v/>
      </c>
      <c r="QR1521" s="42" t="str">
        <f ca="1"/>
        <v/>
      </c>
      <c r="QS1521" s="42" t="str">
        <f ca="1"/>
        <v/>
      </c>
      <c r="QT1521" s="42" t="str">
        <f ca="1"/>
        <v/>
      </c>
      <c r="QU1521" s="42" t="str">
        <f ca="1"/>
        <v/>
      </c>
      <c r="QV1521" s="42" t="str">
        <f ca="1"/>
        <v/>
      </c>
      <c r="QW1521" s="42" t="str">
        <f ca="1"/>
        <v/>
      </c>
      <c r="QX1521" s="42" t="str">
        <f ca="1"/>
        <v/>
      </c>
      <c r="QY1521" s="42" t="str">
        <f ca="1"/>
        <v/>
      </c>
      <c r="QZ1521" s="42" t="str">
        <f ca="1"/>
        <v/>
      </c>
      <c r="RA1521" s="42" t="str">
        <f ca="1"/>
        <v/>
      </c>
      <c r="RB1521" s="42" t="str">
        <f ca="1"/>
        <v/>
      </c>
      <c r="RC1521" s="42" t="str">
        <f ca="1"/>
        <v/>
      </c>
      <c r="RD1521" s="42" t="str">
        <f ca="1"/>
        <v/>
      </c>
      <c r="RE1521" s="42" t="str">
        <f ca="1"/>
        <v/>
      </c>
      <c r="RF1521" s="42" t="str">
        <f ca="1"/>
        <v/>
      </c>
      <c r="RG1521" s="42" t="str">
        <f ca="1"/>
        <v/>
      </c>
      <c r="RH1521" s="42" t="str">
        <f ca="1"/>
        <v/>
      </c>
      <c r="RI1521" s="42" t="str">
        <f ca="1"/>
        <v/>
      </c>
      <c r="RJ1521" s="42" t="str">
        <f ca="1"/>
        <v/>
      </c>
      <c r="RK1521" s="42" t="str">
        <f ca="1"/>
        <v/>
      </c>
      <c r="RL1521" s="42" t="str">
        <f ca="1"/>
        <v/>
      </c>
      <c r="RM1521" s="42" t="str">
        <f ca="1"/>
        <v/>
      </c>
      <c r="RN1521" s="42" t="str">
        <f ca="1"/>
        <v/>
      </c>
      <c r="RO1521" s="42" t="str">
        <f ca="1"/>
        <v/>
      </c>
      <c r="RP1521" s="42" t="str">
        <f ca="1"/>
        <v/>
      </c>
      <c r="RQ1521" s="42" t="str">
        <f ca="1"/>
        <v/>
      </c>
      <c r="RR1521" s="42" t="str">
        <f ca="1"/>
        <v/>
      </c>
      <c r="RS1521" s="42" t="str">
        <f ca="1"/>
        <v/>
      </c>
      <c r="RT1521" s="42" t="str">
        <f ca="1"/>
        <v/>
      </c>
      <c r="RU1521" s="42" t="str">
        <f ca="1"/>
        <v/>
      </c>
      <c r="RV1521" s="42" t="str">
        <f ca="1"/>
        <v/>
      </c>
      <c r="RW1521" s="42" t="str">
        <f ca="1"/>
        <v/>
      </c>
      <c r="RX1521" s="42" t="str">
        <f ca="1"/>
        <v/>
      </c>
      <c r="RY1521" s="42" t="str">
        <f ca="1"/>
        <v/>
      </c>
      <c r="RZ1521" s="42" t="str">
        <f ca="1"/>
        <v/>
      </c>
      <c r="SA1521" s="42" t="str">
        <f ca="1"/>
        <v/>
      </c>
      <c r="SB1521" s="42" t="str">
        <f ca="1"/>
        <v/>
      </c>
      <c r="SC1521" s="42" t="str">
        <f ca="1"/>
        <v/>
      </c>
      <c r="SD1521" s="42" t="str">
        <f ca="1"/>
        <v/>
      </c>
      <c r="SE1521" s="42" t="str">
        <f ca="1"/>
        <v/>
      </c>
      <c r="SF1521" s="42" t="str">
        <f ca="1"/>
        <v/>
      </c>
      <c r="SG1521" s="42" t="str">
        <f ca="1"/>
        <v/>
      </c>
      <c r="SH1521" s="42" t="str">
        <f ca="1"/>
        <v/>
      </c>
      <c r="SI1521" s="42" t="str">
        <f ca="1"/>
        <v/>
      </c>
      <c r="SJ1521" s="42" t="str">
        <f ca="1"/>
        <v/>
      </c>
      <c r="SK1521" s="42" t="str">
        <f ca="1"/>
        <v/>
      </c>
      <c r="SL1521" s="42" t="str">
        <f ca="1"/>
        <v/>
      </c>
      <c r="SM1521" s="42" t="str">
        <f ca="1"/>
        <v/>
      </c>
      <c r="SN1521" s="42" t="str">
        <f ca="1"/>
        <v/>
      </c>
      <c r="SO1521" s="42" t="str">
        <f ca="1"/>
        <v/>
      </c>
      <c r="SP1521" s="42" t="str">
        <f ca="1"/>
        <v/>
      </c>
      <c r="SQ1521" s="42" t="str">
        <f ca="1"/>
        <v/>
      </c>
      <c r="SR1521" s="42" t="str">
        <f ca="1"/>
        <v/>
      </c>
      <c r="SS1521" s="42" t="str">
        <f ca="1"/>
        <v/>
      </c>
      <c r="ST1521" s="42" t="str">
        <f ca="1"/>
        <v/>
      </c>
      <c r="SU1521" s="42" t="str">
        <f ca="1"/>
        <v/>
      </c>
      <c r="SV1521" s="42" t="str">
        <f ca="1"/>
        <v/>
      </c>
      <c r="SW1521" s="42" t="str">
        <f ca="1"/>
        <v/>
      </c>
      <c r="SX1521" s="42" t="str">
        <f ca="1"/>
        <v/>
      </c>
      <c r="SY1521" s="42" t="str">
        <f ca="1"/>
        <v/>
      </c>
      <c r="SZ1521" s="42" t="str">
        <f ca="1"/>
        <v/>
      </c>
      <c r="TA1521" s="42" t="str">
        <f ca="1"/>
        <v/>
      </c>
      <c r="TB1521" s="42" t="str">
        <f ca="1"/>
        <v/>
      </c>
      <c r="TC1521" s="42" t="str">
        <f ca="1"/>
        <v/>
      </c>
      <c r="TD1521" s="42" t="str">
        <f ca="1"/>
        <v/>
      </c>
      <c r="TE1521" s="42" t="str">
        <f ca="1"/>
        <v/>
      </c>
      <c r="TF1521" s="42" t="str">
        <f ca="1"/>
        <v/>
      </c>
      <c r="TG1521" s="42" t="str">
        <f ca="1"/>
        <v/>
      </c>
      <c r="TH1521" s="42" t="str">
        <f ca="1"/>
        <v/>
      </c>
      <c r="TI1521" s="42" t="str">
        <f ca="1"/>
        <v/>
      </c>
      <c r="TJ1521" s="42" t="str">
        <f ca="1"/>
        <v/>
      </c>
      <c r="TK1521" s="42" t="str">
        <f ca="1"/>
        <v/>
      </c>
      <c r="TL1521" s="42" t="str">
        <f ca="1"/>
        <v/>
      </c>
      <c r="TM1521" s="42" t="str">
        <f ca="1"/>
        <v/>
      </c>
      <c r="TN1521" s="42" t="str">
        <f ca="1"/>
        <v/>
      </c>
      <c r="TO1521" s="42" t="str">
        <f ca="1"/>
        <v/>
      </c>
      <c r="TP1521" s="42" t="str">
        <f ca="1"/>
        <v/>
      </c>
      <c r="TQ1521" s="42" t="str">
        <f ca="1"/>
        <v/>
      </c>
      <c r="TR1521" s="42" t="str">
        <f ca="1"/>
        <v/>
      </c>
      <c r="TS1521" s="42" t="str">
        <f ca="1"/>
        <v/>
      </c>
      <c r="TT1521" s="42" t="str">
        <f ca="1"/>
        <v/>
      </c>
      <c r="TU1521" s="42" t="str">
        <f ca="1"/>
        <v/>
      </c>
      <c r="TV1521" s="42" t="str">
        <f ca="1"/>
        <v/>
      </c>
      <c r="TW1521" s="42" t="str">
        <f ca="1"/>
        <v/>
      </c>
      <c r="TX1521" s="42" t="str">
        <f ca="1"/>
        <v/>
      </c>
      <c r="TY1521" s="42" t="str">
        <f ca="1"/>
        <v/>
      </c>
      <c r="TZ1521" s="42" t="str">
        <f ca="1"/>
        <v/>
      </c>
      <c r="UA1521" s="42" t="str">
        <f ca="1"/>
        <v/>
      </c>
      <c r="UB1521" s="42" t="str">
        <f ca="1"/>
        <v/>
      </c>
      <c r="UC1521" s="42" t="str">
        <f ca="1"/>
        <v/>
      </c>
      <c r="UD1521" s="42" t="str">
        <f ca="1"/>
        <v/>
      </c>
      <c r="UE1521" s="42" t="str">
        <f ca="1"/>
        <v/>
      </c>
      <c r="UF1521" s="42" t="str">
        <f ca="1"/>
        <v/>
      </c>
      <c r="UG1521" s="42" t="str">
        <f ca="1"/>
        <v/>
      </c>
      <c r="UH1521" s="42" t="str">
        <f ca="1"/>
        <v/>
      </c>
      <c r="UI1521" s="42" t="str">
        <f ca="1"/>
        <v/>
      </c>
      <c r="UJ1521" s="42" t="str">
        <f ca="1"/>
        <v/>
      </c>
      <c r="UK1521" s="42" t="str">
        <f ca="1"/>
        <v/>
      </c>
      <c r="UL1521" s="42" t="str">
        <f ca="1"/>
        <v/>
      </c>
      <c r="UM1521" s="42" t="str">
        <f ca="1"/>
        <v/>
      </c>
      <c r="UN1521" s="42" t="str">
        <f ca="1"/>
        <v/>
      </c>
      <c r="UO1521" s="42" t="str">
        <f ca="1"/>
        <v/>
      </c>
      <c r="UP1521" s="42" t="str">
        <f ca="1"/>
        <v/>
      </c>
      <c r="UQ1521" s="42" t="str">
        <f ca="1"/>
        <v/>
      </c>
      <c r="UR1521" s="42" t="str">
        <f ca="1"/>
        <v/>
      </c>
      <c r="US1521" s="42" t="str">
        <f ca="1"/>
        <v/>
      </c>
      <c r="UT1521" s="42" t="str">
        <f ca="1"/>
        <v/>
      </c>
      <c r="UU1521" s="42" t="str">
        <f ca="1"/>
        <v/>
      </c>
      <c r="UV1521" s="42" t="str">
        <f ca="1"/>
        <v/>
      </c>
      <c r="UW1521" s="42" t="str">
        <f ca="1"/>
        <v/>
      </c>
      <c r="UX1521" s="42" t="str">
        <f ca="1"/>
        <v/>
      </c>
      <c r="UY1521" s="42" t="str">
        <f ca="1"/>
        <v/>
      </c>
      <c r="UZ1521" s="42" t="str">
        <f ca="1"/>
        <v/>
      </c>
      <c r="VA1521" s="42" t="str">
        <f ca="1"/>
        <v/>
      </c>
      <c r="VB1521" s="42" t="str">
        <f ca="1"/>
        <v/>
      </c>
      <c r="VC1521" s="42" t="str">
        <f ca="1"/>
        <v/>
      </c>
      <c r="VD1521" s="42" t="str">
        <f ca="1"/>
        <v/>
      </c>
      <c r="VE1521" s="42" t="str">
        <f ca="1"/>
        <v/>
      </c>
      <c r="VF1521" s="42" t="str">
        <f ca="1"/>
        <v/>
      </c>
      <c r="VG1521" s="42" t="str">
        <f ca="1"/>
        <v/>
      </c>
      <c r="VH1521" s="42" t="str">
        <f ca="1"/>
        <v/>
      </c>
      <c r="VI1521" s="42" t="str">
        <f ca="1"/>
        <v/>
      </c>
      <c r="VJ1521" s="42" t="str">
        <f ca="1"/>
        <v/>
      </c>
      <c r="VK1521" s="42" t="str">
        <f ca="1"/>
        <v/>
      </c>
      <c r="VL1521" s="42" t="str">
        <f ca="1"/>
        <v/>
      </c>
      <c r="VM1521" s="42" t="str">
        <f ca="1"/>
        <v/>
      </c>
      <c r="VN1521" s="42" t="str">
        <f ca="1"/>
        <v/>
      </c>
      <c r="VO1521" s="42" t="str">
        <f ca="1"/>
        <v/>
      </c>
      <c r="VP1521" s="42" t="str">
        <f ca="1"/>
        <v/>
      </c>
      <c r="VQ1521" s="42" t="str">
        <f ca="1"/>
        <v/>
      </c>
      <c r="VR1521" s="42" t="str">
        <f ca="1"/>
        <v/>
      </c>
      <c r="VS1521" s="42" t="str">
        <f ca="1"/>
        <v/>
      </c>
      <c r="VT1521" s="42" t="str">
        <f ca="1"/>
        <v/>
      </c>
      <c r="VU1521" s="42" t="str">
        <f ca="1"/>
        <v/>
      </c>
      <c r="VV1521" s="42" t="str">
        <f ca="1"/>
        <v/>
      </c>
      <c r="VW1521" s="42" t="str">
        <f ca="1"/>
        <v/>
      </c>
      <c r="VX1521" s="42" t="str">
        <f ca="1"/>
        <v/>
      </c>
      <c r="VY1521" s="42" t="str">
        <f ca="1"/>
        <v/>
      </c>
      <c r="VZ1521" s="42" t="str">
        <f ca="1"/>
        <v/>
      </c>
      <c r="WA1521" s="42" t="str">
        <f ca="1"/>
        <v/>
      </c>
      <c r="WB1521" s="42" t="str">
        <f ca="1"/>
        <v/>
      </c>
      <c r="WC1521" s="42" t="str">
        <f ca="1"/>
        <v/>
      </c>
      <c r="WD1521" s="42" t="str">
        <f ca="1"/>
        <v/>
      </c>
      <c r="WE1521" s="42" t="str">
        <f ca="1"/>
        <v/>
      </c>
      <c r="WF1521" s="42" t="str">
        <f ca="1"/>
        <v/>
      </c>
      <c r="WG1521" s="42" t="str">
        <f ca="1"/>
        <v/>
      </c>
      <c r="WH1521" s="42" t="str">
        <f ca="1"/>
        <v/>
      </c>
      <c r="WI1521" s="42" t="str">
        <f ca="1"/>
        <v/>
      </c>
      <c r="WJ1521" s="42" t="str">
        <f ca="1"/>
        <v/>
      </c>
      <c r="WK1521" s="42" t="str">
        <f ca="1"/>
        <v/>
      </c>
      <c r="WL1521" s="42" t="str">
        <f ca="1"/>
        <v/>
      </c>
      <c r="WM1521" s="42" t="str">
        <f ca="1"/>
        <v/>
      </c>
      <c r="WN1521" s="42" t="str">
        <f ca="1"/>
        <v/>
      </c>
      <c r="WO1521" s="42" t="str">
        <f ca="1"/>
        <v/>
      </c>
      <c r="WP1521" s="42" t="str">
        <f ca="1"/>
        <v/>
      </c>
      <c r="WQ1521" s="42" t="str">
        <f ca="1"/>
        <v/>
      </c>
      <c r="WR1521" s="42" t="str">
        <f ca="1"/>
        <v/>
      </c>
      <c r="WS1521" s="42" t="str">
        <f ca="1"/>
        <v/>
      </c>
      <c r="WT1521" s="42" t="str">
        <f ca="1"/>
        <v/>
      </c>
      <c r="WU1521" s="42" t="str">
        <f ca="1"/>
        <v/>
      </c>
      <c r="WV1521" s="42" t="str">
        <f ca="1"/>
        <v/>
      </c>
      <c r="WW1521" s="42" t="str">
        <f ca="1"/>
        <v/>
      </c>
      <c r="WX1521" s="42" t="str">
        <f ca="1"/>
        <v/>
      </c>
      <c r="WY1521" s="42" t="str">
        <f ca="1"/>
        <v/>
      </c>
      <c r="WZ1521" s="42" t="str">
        <f ca="1"/>
        <v/>
      </c>
      <c r="XA1521" s="42" t="str">
        <f ca="1"/>
        <v/>
      </c>
      <c r="XB1521" s="42" t="str">
        <f ca="1"/>
        <v/>
      </c>
      <c r="XC1521" s="42" t="str">
        <f ca="1"/>
        <v/>
      </c>
      <c r="XD1521" s="42" t="str">
        <f ca="1"/>
        <v/>
      </c>
      <c r="XE1521" s="42" t="str">
        <f ca="1"/>
        <v/>
      </c>
      <c r="XF1521" s="42" t="str">
        <f ca="1"/>
        <v/>
      </c>
      <c r="XG1521" s="42" t="str">
        <f ca="1"/>
        <v/>
      </c>
      <c r="XH1521" s="42" t="str">
        <f ca="1"/>
        <v/>
      </c>
      <c r="XI1521" s="42" t="str">
        <f ca="1"/>
        <v/>
      </c>
      <c r="XJ1521" s="42" t="str">
        <f ca="1"/>
        <v/>
      </c>
      <c r="XK1521" s="42" t="str">
        <f ca="1"/>
        <v/>
      </c>
      <c r="XL1521" s="42" t="str">
        <f ca="1"/>
        <v/>
      </c>
      <c r="XM1521" s="42" t="str">
        <f ca="1"/>
        <v/>
      </c>
      <c r="XN1521" s="42" t="str">
        <f ca="1"/>
        <v/>
      </c>
      <c r="XO1521" s="42" t="str">
        <f ca="1"/>
        <v/>
      </c>
      <c r="XP1521" s="42" t="str">
        <f ca="1"/>
        <v/>
      </c>
      <c r="XQ1521" s="42" t="str">
        <f ca="1"/>
        <v/>
      </c>
      <c r="XR1521" s="42" t="str">
        <f ca="1"/>
        <v/>
      </c>
      <c r="XS1521" s="42" t="str">
        <f ca="1"/>
        <v/>
      </c>
      <c r="XT1521" s="42" t="str">
        <f ca="1"/>
        <v/>
      </c>
      <c r="XU1521" s="42" t="str">
        <f ca="1"/>
        <v/>
      </c>
      <c r="XV1521" s="42" t="str">
        <f ca="1"/>
        <v/>
      </c>
      <c r="XW1521" s="42" t="str">
        <f ca="1"/>
        <v/>
      </c>
      <c r="XX1521" s="42" t="str">
        <f ca="1"/>
        <v/>
      </c>
      <c r="XY1521" s="42" t="str">
        <f ca="1"/>
        <v/>
      </c>
      <c r="XZ1521" s="42" t="str">
        <f ca="1"/>
        <v/>
      </c>
      <c r="YA1521" s="42" t="str">
        <f ca="1"/>
        <v/>
      </c>
      <c r="YB1521" s="42" t="str">
        <f ca="1"/>
        <v/>
      </c>
      <c r="YC1521" s="42" t="str">
        <f ca="1"/>
        <v/>
      </c>
      <c r="YD1521" s="42" t="str">
        <f ca="1"/>
        <v/>
      </c>
      <c r="YE1521" s="42" t="str">
        <f ca="1"/>
        <v/>
      </c>
      <c r="YF1521" s="42" t="str">
        <f ca="1"/>
        <v/>
      </c>
      <c r="YG1521" s="42" t="str">
        <f ca="1"/>
        <v/>
      </c>
      <c r="YH1521" s="42" t="str">
        <f ca="1"/>
        <v/>
      </c>
      <c r="YI1521" s="42" t="str">
        <f ca="1"/>
        <v/>
      </c>
      <c r="YJ1521" s="42" t="str">
        <f ca="1"/>
        <v/>
      </c>
      <c r="YK1521" s="42" t="str">
        <f ca="1"/>
        <v/>
      </c>
      <c r="YL1521" s="42" t="str">
        <f ca="1"/>
        <v/>
      </c>
      <c r="YM1521" s="42" t="str">
        <f ca="1"/>
        <v/>
      </c>
      <c r="YN1521" s="42" t="str">
        <f ca="1"/>
        <v/>
      </c>
      <c r="YO1521" s="42" t="str">
        <f ca="1"/>
        <v/>
      </c>
      <c r="YP1521" s="42" t="str">
        <f ca="1"/>
        <v/>
      </c>
      <c r="YQ1521" s="42" t="str">
        <f ca="1"/>
        <v/>
      </c>
      <c r="YR1521" s="42" t="str">
        <f ca="1"/>
        <v/>
      </c>
      <c r="YS1521" s="42" t="str">
        <f ca="1"/>
        <v/>
      </c>
      <c r="YT1521" s="42" t="str">
        <f ca="1"/>
        <v/>
      </c>
      <c r="YU1521" s="42" t="str">
        <f ca="1"/>
        <v/>
      </c>
      <c r="YV1521" s="42" t="str">
        <f ca="1"/>
        <v/>
      </c>
      <c r="YW1521" s="42" t="str">
        <f ca="1"/>
        <v/>
      </c>
      <c r="YX1521" s="42" t="str">
        <f ca="1"/>
        <v/>
      </c>
      <c r="YY1521" s="42" t="str">
        <f ca="1"/>
        <v/>
      </c>
      <c r="YZ1521" s="42" t="str">
        <f ca="1"/>
        <v/>
      </c>
      <c r="ZA1521" s="42" t="str">
        <f ca="1"/>
        <v/>
      </c>
      <c r="ZB1521" s="42" t="str">
        <f ca="1"/>
        <v/>
      </c>
      <c r="ZC1521" s="42" t="str">
        <f ca="1"/>
        <v/>
      </c>
      <c r="ZD1521" s="42" t="str">
        <f ca="1"/>
        <v/>
      </c>
      <c r="ZE1521" s="42" t="str">
        <f ca="1"/>
        <v/>
      </c>
      <c r="ZF1521" s="42" t="str">
        <f ca="1"/>
        <v/>
      </c>
      <c r="ZG1521" s="42" t="str">
        <f ca="1"/>
        <v/>
      </c>
      <c r="ZH1521" s="42" t="str">
        <f ca="1"/>
        <v/>
      </c>
      <c r="ZI1521" s="42" t="str">
        <f ca="1"/>
        <v/>
      </c>
      <c r="ZJ1521" s="42" t="str">
        <f ca="1"/>
        <v/>
      </c>
      <c r="ZK1521" s="42" t="str">
        <f ca="1"/>
        <v/>
      </c>
      <c r="ZL1521" s="42" t="str">
        <f ca="1"/>
        <v/>
      </c>
      <c r="ZM1521" s="42" t="str">
        <f ca="1"/>
        <v/>
      </c>
      <c r="ZN1521" s="42" t="str">
        <f ca="1"/>
        <v/>
      </c>
      <c r="ZO1521" s="42" t="str">
        <f ca="1"/>
        <v/>
      </c>
      <c r="ZP1521" s="42" t="str">
        <f ca="1"/>
        <v/>
      </c>
      <c r="ZQ1521" s="42" t="str">
        <f ca="1"/>
        <v/>
      </c>
      <c r="ZR1521" s="42" t="str">
        <f ca="1"/>
        <v/>
      </c>
      <c r="ZS1521" s="42" t="str">
        <f ca="1"/>
        <v/>
      </c>
      <c r="ZT1521" s="42" t="str">
        <f ca="1"/>
        <v/>
      </c>
      <c r="ZU1521" s="42" t="str">
        <f ca="1"/>
        <v/>
      </c>
      <c r="ZV1521" s="42" t="str">
        <f ca="1"/>
        <v/>
      </c>
      <c r="ZW1521" s="42" t="str">
        <f ca="1"/>
        <v/>
      </c>
      <c r="ZX1521" s="42" t="str">
        <f ca="1"/>
        <v/>
      </c>
      <c r="ZY1521" s="42" t="str">
        <f ca="1"/>
        <v/>
      </c>
      <c r="ZZ1521" s="42" t="str">
        <f ca="1"/>
        <v/>
      </c>
      <c r="AAA1521" s="42" t="str">
        <f ca="1"/>
        <v/>
      </c>
      <c r="AAB1521" s="42" t="str">
        <f ca="1"/>
        <v/>
      </c>
      <c r="AAC1521" s="42" t="str">
        <f ca="1"/>
        <v/>
      </c>
      <c r="AAD1521" s="42" t="str">
        <f ca="1"/>
        <v/>
      </c>
      <c r="AAE1521" s="42" t="str">
        <f ca="1"/>
        <v/>
      </c>
      <c r="AAF1521" s="42" t="str">
        <f ca="1"/>
        <v/>
      </c>
      <c r="AAG1521" s="42" t="str">
        <f ca="1"/>
        <v/>
      </c>
      <c r="AAH1521" s="42" t="str">
        <f ca="1"/>
        <v/>
      </c>
      <c r="AAI1521" s="42" t="str">
        <f ca="1"/>
        <v/>
      </c>
      <c r="AAJ1521" s="42" t="str">
        <f ca="1"/>
        <v/>
      </c>
      <c r="AAK1521" s="42" t="str">
        <f ca="1"/>
        <v/>
      </c>
      <c r="AAL1521" s="42" t="str">
        <f ca="1"/>
        <v/>
      </c>
      <c r="AAM1521" s="42" t="str">
        <f ca="1"/>
        <v/>
      </c>
      <c r="AAN1521" s="42" t="str">
        <f ca="1"/>
        <v/>
      </c>
      <c r="AAO1521" s="42" t="str">
        <f ca="1"/>
        <v/>
      </c>
      <c r="AAP1521" s="42" t="str">
        <f ca="1"/>
        <v/>
      </c>
      <c r="AAQ1521" s="42" t="str">
        <f ca="1"/>
        <v/>
      </c>
      <c r="AAR1521" s="42" t="str">
        <f ca="1"/>
        <v/>
      </c>
      <c r="AAS1521" s="42" t="str">
        <f ca="1"/>
        <v/>
      </c>
      <c r="AAT1521" s="42" t="str">
        <f ca="1"/>
        <v/>
      </c>
      <c r="AAU1521" s="42" t="str">
        <f ca="1"/>
        <v/>
      </c>
      <c r="AAV1521" s="42" t="str">
        <f ca="1"/>
        <v/>
      </c>
      <c r="AAW1521" s="42" t="str">
        <f ca="1"/>
        <v/>
      </c>
      <c r="AAX1521" s="42" t="str">
        <f ca="1"/>
        <v/>
      </c>
      <c r="AAY1521" s="42" t="str">
        <f ca="1"/>
        <v/>
      </c>
      <c r="AAZ1521" s="42" t="str">
        <f ca="1"/>
        <v/>
      </c>
      <c r="ABA1521" s="42" t="str">
        <f ca="1"/>
        <v/>
      </c>
      <c r="ABB1521" s="42" t="str">
        <f ca="1"/>
        <v/>
      </c>
      <c r="ABC1521" s="42" t="str">
        <f ca="1"/>
        <v/>
      </c>
      <c r="ABD1521" s="42" t="str">
        <f ca="1"/>
        <v/>
      </c>
      <c r="ABE1521" s="42" t="str">
        <f ca="1"/>
        <v/>
      </c>
      <c r="ABF1521" s="42" t="str">
        <f ca="1"/>
        <v/>
      </c>
      <c r="ABG1521" s="42" t="str">
        <f ca="1"/>
        <v/>
      </c>
      <c r="ABH1521" s="42" t="str">
        <f ca="1"/>
        <v/>
      </c>
      <c r="ABI1521" s="42" t="str">
        <f ca="1"/>
        <v/>
      </c>
      <c r="ABJ1521" s="42" t="str">
        <f ca="1"/>
        <v/>
      </c>
      <c r="ABK1521" s="42" t="str">
        <f ca="1"/>
        <v/>
      </c>
      <c r="ABL1521" s="42" t="str">
        <f ca="1"/>
        <v/>
      </c>
      <c r="ABM1521" s="42" t="str">
        <f ca="1"/>
        <v/>
      </c>
      <c r="ABN1521" s="42" t="str">
        <f ca="1"/>
        <v/>
      </c>
      <c r="ABO1521" s="42" t="str">
        <f ca="1"/>
        <v/>
      </c>
      <c r="ABP1521" s="42" t="str">
        <f ca="1"/>
        <v/>
      </c>
      <c r="ABQ1521" s="42" t="str">
        <f ca="1"/>
        <v/>
      </c>
      <c r="ABR1521" s="42" t="str">
        <f ca="1"/>
        <v/>
      </c>
      <c r="ABS1521" s="42" t="str">
        <f ca="1"/>
        <v/>
      </c>
      <c r="ABT1521" s="42" t="str">
        <f ca="1"/>
        <v/>
      </c>
      <c r="ABU1521" s="42" t="str">
        <f ca="1"/>
        <v/>
      </c>
      <c r="ABV1521" s="42" t="str">
        <f ca="1"/>
        <v/>
      </c>
      <c r="ABW1521" s="42" t="str">
        <f ca="1"/>
        <v/>
      </c>
      <c r="ABX1521" s="42" t="str">
        <f ca="1"/>
        <v/>
      </c>
      <c r="ABY1521" s="42" t="str">
        <f ca="1"/>
        <v/>
      </c>
      <c r="ABZ1521" s="42" t="str">
        <f ca="1"/>
        <v/>
      </c>
      <c r="ACA1521" s="42" t="str">
        <f ca="1"/>
        <v/>
      </c>
      <c r="ACB1521" s="42" t="str">
        <f ca="1"/>
        <v/>
      </c>
      <c r="ACC1521" s="42" t="str">
        <f ca="1"/>
        <v/>
      </c>
      <c r="ACD1521" s="42" t="str">
        <f ca="1"/>
        <v/>
      </c>
      <c r="ACE1521" s="42" t="str">
        <f ca="1"/>
        <v/>
      </c>
      <c r="ACF1521" s="42" t="str">
        <f ca="1"/>
        <v/>
      </c>
      <c r="ACG1521" s="42" t="str">
        <f ca="1"/>
        <v/>
      </c>
      <c r="ACH1521" s="42" t="str">
        <f ca="1"/>
        <v/>
      </c>
      <c r="ACI1521" s="42" t="str">
        <f ca="1"/>
        <v/>
      </c>
      <c r="ACJ1521" s="42" t="str">
        <f ca="1"/>
        <v/>
      </c>
      <c r="ACK1521" s="42" t="str">
        <f ca="1"/>
        <v/>
      </c>
      <c r="ACL1521" s="42" t="str">
        <f ca="1"/>
        <v/>
      </c>
      <c r="ACM1521" s="42" t="str">
        <f ca="1"/>
        <v/>
      </c>
      <c r="ACN1521" s="42" t="str">
        <f ca="1"/>
        <v/>
      </c>
      <c r="ACO1521" s="42" t="str">
        <f ca="1"/>
        <v/>
      </c>
      <c r="ACP1521" s="42" t="str">
        <f ca="1"/>
        <v/>
      </c>
      <c r="ACQ1521" s="42" t="str">
        <f ca="1"/>
        <v/>
      </c>
      <c r="ACR1521" s="42" t="str">
        <f ca="1"/>
        <v/>
      </c>
      <c r="ACS1521" s="42" t="str">
        <f ca="1"/>
        <v/>
      </c>
      <c r="ACT1521" s="42" t="str">
        <f ca="1"/>
        <v/>
      </c>
      <c r="ACU1521" s="42" t="str">
        <f ca="1"/>
        <v/>
      </c>
      <c r="ACV1521" s="42" t="str">
        <f ca="1"/>
        <v/>
      </c>
      <c r="ACW1521" s="42" t="str">
        <f ca="1"/>
        <v/>
      </c>
      <c r="ACX1521" s="42" t="str">
        <f ca="1"/>
        <v/>
      </c>
      <c r="ACY1521" s="42" t="str">
        <f ca="1"/>
        <v/>
      </c>
      <c r="ACZ1521" s="42" t="str">
        <f ca="1"/>
        <v/>
      </c>
      <c r="ADA1521" s="42" t="str">
        <f ca="1"/>
        <v/>
      </c>
      <c r="ADB1521" s="42" t="str">
        <f ca="1"/>
        <v/>
      </c>
      <c r="ADC1521" s="42" t="str">
        <f ca="1"/>
        <v/>
      </c>
      <c r="ADD1521" s="42" t="str">
        <f ca="1"/>
        <v/>
      </c>
      <c r="ADE1521" s="42" t="str">
        <f ca="1"/>
        <v/>
      </c>
      <c r="ADF1521" s="42" t="str">
        <f ca="1"/>
        <v/>
      </c>
      <c r="ADG1521" s="42" t="str">
        <f ca="1"/>
        <v/>
      </c>
      <c r="ADH1521" s="42" t="str">
        <f ca="1"/>
        <v/>
      </c>
      <c r="ADI1521" s="42" t="str">
        <f ca="1"/>
        <v/>
      </c>
      <c r="ADJ1521" s="42" t="str">
        <f ca="1"/>
        <v/>
      </c>
      <c r="ADK1521" s="42" t="str">
        <f ca="1"/>
        <v/>
      </c>
      <c r="ADL1521" s="42" t="str">
        <f ca="1"/>
        <v/>
      </c>
      <c r="ADM1521" s="42" t="str">
        <f ca="1"/>
        <v/>
      </c>
      <c r="ADN1521" s="42" t="str">
        <f ca="1"/>
        <v/>
      </c>
      <c r="ADO1521" s="42" t="str">
        <f ca="1"/>
        <v/>
      </c>
      <c r="ADP1521" s="42" t="str">
        <f ca="1"/>
        <v/>
      </c>
      <c r="ADQ1521" s="42" t="str">
        <f ca="1"/>
        <v/>
      </c>
      <c r="ADR1521" s="42" t="str">
        <f ca="1"/>
        <v/>
      </c>
      <c r="ADS1521" s="42" t="str">
        <f ca="1"/>
        <v/>
      </c>
      <c r="ADT1521" s="42" t="str">
        <f ca="1"/>
        <v/>
      </c>
      <c r="ADU1521" s="42" t="str">
        <f ca="1"/>
        <v/>
      </c>
      <c r="ADV1521" s="42" t="str">
        <f ca="1"/>
        <v/>
      </c>
      <c r="ADW1521" s="42" t="str">
        <f ca="1"/>
        <v/>
      </c>
      <c r="ADX1521" s="42" t="str">
        <f ca="1"/>
        <v/>
      </c>
      <c r="ADY1521" s="42" t="str">
        <f ca="1"/>
        <v/>
      </c>
      <c r="ADZ1521" s="42" t="str">
        <f ca="1"/>
        <v/>
      </c>
      <c r="AEA1521" s="42" t="str">
        <f ca="1"/>
        <v/>
      </c>
      <c r="AEB1521" s="42" t="str">
        <f ca="1"/>
        <v/>
      </c>
      <c r="AEC1521" s="42" t="str">
        <f ca="1"/>
        <v/>
      </c>
      <c r="AED1521" s="42" t="str">
        <f ca="1"/>
        <v/>
      </c>
      <c r="AEE1521" s="42" t="str">
        <f ca="1"/>
        <v/>
      </c>
      <c r="AEF1521" s="42" t="str">
        <f ca="1"/>
        <v/>
      </c>
      <c r="AEG1521" s="42" t="str">
        <f ca="1"/>
        <v/>
      </c>
      <c r="AEH1521" s="42" t="str">
        <f ca="1"/>
        <v/>
      </c>
      <c r="AEI1521" s="42" t="str">
        <f ca="1"/>
        <v/>
      </c>
      <c r="AEJ1521" s="42" t="str">
        <f ca="1"/>
        <v/>
      </c>
      <c r="AEK1521" s="42" t="str">
        <f ca="1"/>
        <v/>
      </c>
      <c r="AEL1521" s="42" t="str">
        <f ca="1"/>
        <v/>
      </c>
      <c r="AEM1521" s="42" t="str">
        <f ca="1"/>
        <v/>
      </c>
      <c r="AEN1521" s="42" t="str">
        <f ca="1"/>
        <v/>
      </c>
      <c r="AEO1521" s="42" t="str">
        <f ca="1"/>
        <v/>
      </c>
      <c r="AEP1521" s="42" t="str">
        <f ca="1"/>
        <v/>
      </c>
      <c r="AEQ1521" s="42" t="str">
        <f ca="1"/>
        <v/>
      </c>
      <c r="AER1521" s="42" t="str">
        <f ca="1"/>
        <v/>
      </c>
      <c r="AES1521" s="42" t="str">
        <f ca="1"/>
        <v/>
      </c>
      <c r="AET1521" s="42" t="str">
        <f ca="1"/>
        <v/>
      </c>
      <c r="AEU1521" s="42" t="str">
        <f ca="1"/>
        <v/>
      </c>
      <c r="AEV1521" s="42" t="str">
        <f ca="1"/>
        <v/>
      </c>
      <c r="AEW1521" s="42" t="str">
        <f ca="1"/>
        <v/>
      </c>
      <c r="AEX1521" s="42" t="str">
        <f ca="1"/>
        <v/>
      </c>
      <c r="AEY1521" s="42" t="str">
        <f ca="1"/>
        <v/>
      </c>
      <c r="AEZ1521" s="42" t="str">
        <f ca="1"/>
        <v/>
      </c>
      <c r="AFA1521" s="42" t="str">
        <f ca="1"/>
        <v/>
      </c>
      <c r="AFB1521" s="42" t="str">
        <f ca="1"/>
        <v/>
      </c>
      <c r="AFC1521" s="42" t="str">
        <f ca="1"/>
        <v/>
      </c>
      <c r="AFD1521" s="42" t="str">
        <f ca="1"/>
        <v/>
      </c>
      <c r="AFE1521" s="42" t="str">
        <f ca="1"/>
        <v/>
      </c>
      <c r="AFF1521" s="42" t="str">
        <f ca="1"/>
        <v/>
      </c>
      <c r="AFG1521" s="42" t="str">
        <f ca="1"/>
        <v/>
      </c>
      <c r="AFH1521" s="42" t="str">
        <f ca="1"/>
        <v/>
      </c>
      <c r="AFI1521" s="42" t="str">
        <f ca="1"/>
        <v/>
      </c>
      <c r="AFJ1521" s="42" t="str">
        <f ca="1"/>
        <v/>
      </c>
      <c r="AFK1521" s="42" t="str">
        <f ca="1"/>
        <v/>
      </c>
      <c r="AFL1521" s="42" t="str">
        <f ca="1"/>
        <v/>
      </c>
      <c r="AFM1521" s="42" t="str">
        <f ca="1"/>
        <v/>
      </c>
      <c r="AFN1521" s="42" t="str">
        <f ca="1"/>
        <v/>
      </c>
      <c r="AFO1521" s="42" t="str">
        <f ca="1"/>
        <v/>
      </c>
      <c r="AFP1521" s="42" t="str">
        <f ca="1"/>
        <v/>
      </c>
      <c r="AFQ1521" s="42" t="str">
        <f ca="1"/>
        <v/>
      </c>
      <c r="AFR1521" s="42" t="str">
        <f ca="1"/>
        <v/>
      </c>
      <c r="AFS1521" s="42" t="str">
        <f ca="1"/>
        <v/>
      </c>
      <c r="AFT1521" s="42" t="str">
        <f ca="1"/>
        <v/>
      </c>
      <c r="AFU1521" s="42" t="str">
        <f ca="1"/>
        <v/>
      </c>
      <c r="AFV1521" s="42" t="str">
        <f ca="1"/>
        <v/>
      </c>
      <c r="AFW1521" s="42" t="str">
        <f ca="1"/>
        <v/>
      </c>
      <c r="AFX1521" s="42" t="str">
        <f ca="1"/>
        <v/>
      </c>
      <c r="AFY1521" s="42" t="str">
        <f ca="1"/>
        <v/>
      </c>
      <c r="AFZ1521" s="42" t="str">
        <f ca="1"/>
        <v/>
      </c>
      <c r="AGA1521" s="42" t="str">
        <f ca="1"/>
        <v/>
      </c>
      <c r="AGB1521" s="42" t="str">
        <f ca="1"/>
        <v/>
      </c>
      <c r="AGC1521" s="42" t="str">
        <f ca="1"/>
        <v/>
      </c>
      <c r="AGD1521" s="42" t="str">
        <f ca="1"/>
        <v/>
      </c>
      <c r="AGE1521" s="42" t="str">
        <f ca="1"/>
        <v/>
      </c>
      <c r="AGF1521" s="42" t="str">
        <f ca="1"/>
        <v/>
      </c>
      <c r="AGG1521" s="42" t="str">
        <f ca="1"/>
        <v/>
      </c>
      <c r="AGH1521" s="42" t="str">
        <f ca="1"/>
        <v/>
      </c>
      <c r="AGI1521" s="42" t="str">
        <f ca="1"/>
        <v/>
      </c>
      <c r="AGJ1521" s="42" t="str">
        <f ca="1"/>
        <v/>
      </c>
      <c r="AGK1521" s="42" t="str">
        <f ca="1"/>
        <v/>
      </c>
      <c r="AGL1521" s="42" t="str">
        <f ca="1"/>
        <v/>
      </c>
      <c r="AGM1521" s="42" t="str">
        <f ca="1"/>
        <v/>
      </c>
      <c r="AGN1521" s="42" t="str">
        <f ca="1"/>
        <v/>
      </c>
    </row>
    <row r="1522" spans="15:872" x14ac:dyDescent="0.25">
      <c r="O1522" s="42">
        <v>9</v>
      </c>
      <c r="P1522" s="42" t="str">
        <f ca="1"/>
        <v/>
      </c>
      <c r="Q1522" s="42" t="str">
        <f ca="1"/>
        <v/>
      </c>
      <c r="R1522" s="42" t="str">
        <f ca="1"/>
        <v/>
      </c>
      <c r="S1522" s="42" t="str">
        <f ca="1"/>
        <v/>
      </c>
      <c r="T1522" s="42" t="str">
        <f ca="1"/>
        <v/>
      </c>
      <c r="U1522" s="42" t="str">
        <f ca="1"/>
        <v/>
      </c>
      <c r="V1522" s="42" t="str">
        <f ca="1"/>
        <v/>
      </c>
      <c r="W1522" s="42" t="str">
        <f ca="1"/>
        <v/>
      </c>
      <c r="X1522" s="42" t="str">
        <f ca="1"/>
        <v/>
      </c>
      <c r="Y1522" s="42" t="str">
        <f ca="1"/>
        <v/>
      </c>
      <c r="Z1522" s="42" t="str">
        <f ca="1"/>
        <v/>
      </c>
      <c r="AA1522" s="42" t="str">
        <f ca="1"/>
        <v/>
      </c>
      <c r="AB1522" s="42" t="str">
        <f ca="1"/>
        <v/>
      </c>
      <c r="AC1522" s="42" t="str">
        <f ca="1"/>
        <v/>
      </c>
      <c r="AD1522" s="42" t="str">
        <f ca="1"/>
        <v/>
      </c>
      <c r="AE1522" s="42" t="str">
        <f ca="1"/>
        <v/>
      </c>
      <c r="AF1522" s="42" t="str">
        <f ca="1"/>
        <v/>
      </c>
      <c r="AG1522" s="42" t="str">
        <f ca="1"/>
        <v/>
      </c>
      <c r="AH1522" s="42" t="str">
        <f ca="1"/>
        <v/>
      </c>
      <c r="AI1522" s="42" t="str">
        <f ca="1"/>
        <v/>
      </c>
      <c r="AJ1522" s="42" t="str">
        <f ca="1"/>
        <v/>
      </c>
      <c r="AK1522" s="42" t="str">
        <f ca="1"/>
        <v/>
      </c>
      <c r="AL1522" s="42" t="str">
        <f ca="1"/>
        <v/>
      </c>
      <c r="AM1522" s="42" t="str">
        <f ca="1"/>
        <v/>
      </c>
      <c r="AN1522" s="42" t="str">
        <f ca="1"/>
        <v/>
      </c>
      <c r="AO1522" s="42" t="str">
        <f ca="1"/>
        <v/>
      </c>
      <c r="AP1522" s="42" t="str">
        <f ca="1"/>
        <v/>
      </c>
      <c r="AQ1522" s="42" t="str">
        <f ca="1"/>
        <v/>
      </c>
      <c r="AR1522" s="42" t="str">
        <f ca="1"/>
        <v/>
      </c>
      <c r="AS1522" s="42" t="str">
        <f ca="1"/>
        <v/>
      </c>
      <c r="AT1522" s="42" t="str">
        <f ca="1"/>
        <v/>
      </c>
      <c r="AU1522" s="42" t="str">
        <f ca="1"/>
        <v/>
      </c>
      <c r="AV1522" s="42" t="str">
        <f ca="1"/>
        <v/>
      </c>
      <c r="AW1522" s="42" t="str">
        <f ca="1"/>
        <v/>
      </c>
      <c r="AX1522" s="42" t="str">
        <f ca="1"/>
        <v/>
      </c>
      <c r="AY1522" s="42" t="str">
        <f ca="1"/>
        <v/>
      </c>
      <c r="AZ1522" s="42" t="str">
        <f ca="1"/>
        <v/>
      </c>
      <c r="BA1522" s="42" t="str">
        <f ca="1"/>
        <v/>
      </c>
      <c r="BB1522" s="42" t="str">
        <f ca="1"/>
        <v/>
      </c>
      <c r="BC1522" s="42" t="str">
        <f ca="1"/>
        <v/>
      </c>
      <c r="BD1522" s="42" t="str">
        <f ca="1"/>
        <v/>
      </c>
      <c r="BE1522" s="42" t="str">
        <f ca="1"/>
        <v/>
      </c>
      <c r="BF1522" s="42" t="str">
        <f ca="1"/>
        <v/>
      </c>
      <c r="BG1522" s="42" t="str">
        <f ca="1"/>
        <v/>
      </c>
      <c r="BH1522" s="42" t="str">
        <f ca="1"/>
        <v/>
      </c>
      <c r="BI1522" s="42" t="str">
        <f ca="1"/>
        <v/>
      </c>
      <c r="BJ1522" s="42" t="str">
        <f ca="1"/>
        <v/>
      </c>
      <c r="BK1522" s="42" t="str">
        <f ca="1"/>
        <v/>
      </c>
      <c r="BL1522" s="42" t="str">
        <f ca="1"/>
        <v/>
      </c>
      <c r="BM1522" s="42" t="str">
        <f ca="1"/>
        <v/>
      </c>
      <c r="BN1522" s="42" t="str">
        <f ca="1"/>
        <v/>
      </c>
      <c r="BO1522" s="42" t="str">
        <f ca="1"/>
        <v/>
      </c>
      <c r="BP1522" s="42" t="str">
        <f ca="1"/>
        <v/>
      </c>
      <c r="BQ1522" s="42" t="str">
        <f ca="1"/>
        <v/>
      </c>
      <c r="BR1522" s="42" t="str">
        <f ca="1"/>
        <v/>
      </c>
      <c r="BS1522" s="42" t="str">
        <f ca="1"/>
        <v/>
      </c>
      <c r="BT1522" s="42" t="str">
        <f ca="1"/>
        <v/>
      </c>
      <c r="BU1522" s="42" t="str">
        <f ca="1"/>
        <v/>
      </c>
      <c r="BV1522" s="42" t="str">
        <f ca="1"/>
        <v/>
      </c>
      <c r="BW1522" s="42" t="str">
        <f ca="1"/>
        <v/>
      </c>
      <c r="BX1522" s="42" t="str">
        <f ca="1"/>
        <v/>
      </c>
      <c r="BY1522" s="42" t="str">
        <f ca="1"/>
        <v/>
      </c>
      <c r="BZ1522" s="42" t="str">
        <f ca="1"/>
        <v/>
      </c>
      <c r="CA1522" s="42" t="str">
        <f ca="1"/>
        <v/>
      </c>
      <c r="CB1522" s="42" t="str">
        <f ca="1"/>
        <v/>
      </c>
      <c r="CC1522" s="42" t="str">
        <f ca="1"/>
        <v/>
      </c>
      <c r="CD1522" s="42" t="str">
        <f ca="1"/>
        <v/>
      </c>
      <c r="CE1522" s="42" t="str">
        <f ca="1"/>
        <v/>
      </c>
      <c r="CF1522" s="42" t="str">
        <f ca="1"/>
        <v/>
      </c>
      <c r="CG1522" s="42" t="str">
        <f ca="1"/>
        <v/>
      </c>
      <c r="CH1522" s="42" t="str">
        <f ca="1"/>
        <v/>
      </c>
      <c r="CI1522" s="42" t="str">
        <f ca="1"/>
        <v/>
      </c>
      <c r="CJ1522" s="42" t="str">
        <f ca="1"/>
        <v/>
      </c>
      <c r="CK1522" s="42" t="str">
        <f ca="1"/>
        <v/>
      </c>
      <c r="CL1522" s="42" t="str">
        <f ca="1"/>
        <v/>
      </c>
      <c r="CM1522" s="42" t="str">
        <f ca="1"/>
        <v/>
      </c>
      <c r="CN1522" s="42" t="str">
        <f ca="1"/>
        <v/>
      </c>
      <c r="CO1522" s="42" t="str">
        <f ca="1"/>
        <v/>
      </c>
      <c r="CP1522" s="42" t="str">
        <f ca="1"/>
        <v/>
      </c>
      <c r="CQ1522" s="42" t="str">
        <f ca="1"/>
        <v/>
      </c>
      <c r="CR1522" s="42" t="str">
        <f ca="1"/>
        <v/>
      </c>
      <c r="CS1522" s="42" t="str">
        <f ca="1"/>
        <v/>
      </c>
      <c r="CT1522" s="42" t="str">
        <f ca="1"/>
        <v/>
      </c>
      <c r="CU1522" s="42" t="str">
        <f ca="1"/>
        <v/>
      </c>
      <c r="CV1522" s="42" t="str">
        <f ca="1"/>
        <v/>
      </c>
      <c r="CW1522" s="42" t="str">
        <f ca="1"/>
        <v/>
      </c>
      <c r="CX1522" s="42" t="str">
        <f ca="1"/>
        <v/>
      </c>
      <c r="CY1522" s="42" t="str">
        <f ca="1"/>
        <v/>
      </c>
      <c r="CZ1522" s="42" t="str">
        <f ca="1"/>
        <v/>
      </c>
      <c r="DA1522" s="42" t="str">
        <f ca="1"/>
        <v/>
      </c>
      <c r="DB1522" s="42" t="str">
        <f ca="1"/>
        <v/>
      </c>
      <c r="DC1522" s="42" t="str">
        <f ca="1"/>
        <v/>
      </c>
      <c r="DD1522" s="42" t="str">
        <f ca="1"/>
        <v/>
      </c>
      <c r="DE1522" s="42" t="str">
        <f ca="1"/>
        <v/>
      </c>
      <c r="DF1522" s="42" t="str">
        <f ca="1"/>
        <v/>
      </c>
      <c r="DG1522" s="42" t="str">
        <f ca="1"/>
        <v/>
      </c>
      <c r="DH1522" s="42" t="str">
        <f ca="1"/>
        <v/>
      </c>
      <c r="DI1522" s="42" t="str">
        <f ca="1"/>
        <v/>
      </c>
      <c r="DJ1522" s="42" t="str">
        <f ca="1"/>
        <v/>
      </c>
      <c r="DK1522" s="42" t="str">
        <f ca="1"/>
        <v/>
      </c>
      <c r="DL1522" s="42" t="str">
        <f ca="1"/>
        <v/>
      </c>
      <c r="DM1522" s="42" t="str">
        <f ca="1"/>
        <v/>
      </c>
      <c r="DN1522" s="42" t="str">
        <f ca="1"/>
        <v/>
      </c>
      <c r="DO1522" s="42" t="str">
        <f ca="1"/>
        <v/>
      </c>
      <c r="DP1522" s="42" t="str">
        <f ca="1"/>
        <v/>
      </c>
      <c r="DQ1522" s="42" t="str">
        <f ca="1"/>
        <v/>
      </c>
      <c r="DR1522" s="42" t="str">
        <f ca="1"/>
        <v/>
      </c>
      <c r="DS1522" s="42" t="str">
        <f ca="1"/>
        <v/>
      </c>
      <c r="DT1522" s="42" t="str">
        <f ca="1"/>
        <v/>
      </c>
      <c r="DU1522" s="42" t="str">
        <f ca="1"/>
        <v/>
      </c>
      <c r="DV1522" s="42" t="str">
        <f ca="1"/>
        <v/>
      </c>
      <c r="DW1522" s="42" t="str">
        <f ca="1"/>
        <v/>
      </c>
      <c r="DX1522" s="42" t="str">
        <f ca="1"/>
        <v/>
      </c>
      <c r="DY1522" s="42" t="str">
        <f ca="1"/>
        <v/>
      </c>
      <c r="DZ1522" s="42" t="str">
        <f ca="1"/>
        <v/>
      </c>
      <c r="EA1522" s="42" t="str">
        <f ca="1"/>
        <v/>
      </c>
      <c r="EB1522" s="42" t="str">
        <f ca="1"/>
        <v/>
      </c>
      <c r="EC1522" s="42" t="str">
        <f ca="1"/>
        <v/>
      </c>
      <c r="ED1522" s="42" t="str">
        <f ca="1"/>
        <v/>
      </c>
      <c r="EE1522" s="42" t="str">
        <f ca="1"/>
        <v/>
      </c>
      <c r="EF1522" s="42" t="str">
        <f ca="1"/>
        <v/>
      </c>
      <c r="EG1522" s="42" t="str">
        <f ca="1"/>
        <v/>
      </c>
      <c r="EH1522" s="42" t="str">
        <f ca="1"/>
        <v/>
      </c>
      <c r="EI1522" s="42" t="str">
        <f ca="1"/>
        <v/>
      </c>
      <c r="EJ1522" s="42" t="str">
        <f ca="1"/>
        <v/>
      </c>
      <c r="EK1522" s="42" t="str">
        <f ca="1"/>
        <v/>
      </c>
      <c r="EL1522" s="42" t="str">
        <f ca="1"/>
        <v/>
      </c>
      <c r="EM1522" s="42" t="str">
        <f ca="1"/>
        <v/>
      </c>
      <c r="EN1522" s="42" t="str">
        <f ca="1"/>
        <v/>
      </c>
      <c r="EO1522" s="42" t="str">
        <f ca="1"/>
        <v/>
      </c>
      <c r="EP1522" s="42" t="str">
        <f ca="1"/>
        <v/>
      </c>
      <c r="EQ1522" s="42" t="str">
        <f ca="1"/>
        <v/>
      </c>
      <c r="ER1522" s="42" t="str">
        <f ca="1"/>
        <v/>
      </c>
      <c r="ES1522" s="42" t="str">
        <f ca="1"/>
        <v/>
      </c>
      <c r="ET1522" s="42" t="str">
        <f ca="1"/>
        <v/>
      </c>
      <c r="EU1522" s="42" t="str">
        <f ca="1"/>
        <v/>
      </c>
      <c r="EV1522" s="42" t="str">
        <f ca="1"/>
        <v/>
      </c>
      <c r="EW1522" s="42" t="str">
        <f ca="1"/>
        <v/>
      </c>
      <c r="EX1522" s="42" t="str">
        <f ca="1"/>
        <v/>
      </c>
      <c r="EY1522" s="42" t="str">
        <f ca="1"/>
        <v/>
      </c>
      <c r="EZ1522" s="42" t="str">
        <f ca="1"/>
        <v/>
      </c>
      <c r="FA1522" s="42" t="str">
        <f ca="1"/>
        <v/>
      </c>
      <c r="FB1522" s="42" t="str">
        <f ca="1"/>
        <v/>
      </c>
      <c r="FC1522" s="42" t="str">
        <f ca="1"/>
        <v/>
      </c>
      <c r="FD1522" s="42" t="str">
        <f ca="1"/>
        <v/>
      </c>
      <c r="FE1522" s="42" t="str">
        <f ca="1"/>
        <v/>
      </c>
      <c r="FF1522" s="42" t="str">
        <f ca="1"/>
        <v/>
      </c>
      <c r="FG1522" s="42" t="str">
        <f ca="1"/>
        <v/>
      </c>
      <c r="FH1522" s="42" t="str">
        <f ca="1"/>
        <v/>
      </c>
      <c r="FI1522" s="42" t="str">
        <f ca="1"/>
        <v/>
      </c>
      <c r="FJ1522" s="42" t="str">
        <f ca="1"/>
        <v/>
      </c>
      <c r="FK1522" s="42" t="str">
        <f ca="1"/>
        <v/>
      </c>
      <c r="FL1522" s="42" t="str">
        <f ca="1"/>
        <v/>
      </c>
      <c r="FM1522" s="42" t="str">
        <f ca="1"/>
        <v/>
      </c>
      <c r="FN1522" s="42" t="str">
        <f ca="1"/>
        <v/>
      </c>
      <c r="FO1522" s="42" t="str">
        <f ca="1"/>
        <v/>
      </c>
      <c r="FP1522" s="42" t="str">
        <f ca="1"/>
        <v/>
      </c>
      <c r="FQ1522" s="42" t="str">
        <f ca="1"/>
        <v/>
      </c>
      <c r="FR1522" s="42" t="str">
        <f ca="1"/>
        <v/>
      </c>
      <c r="FS1522" s="42" t="str">
        <f ca="1"/>
        <v/>
      </c>
      <c r="FT1522" s="42" t="str">
        <f ca="1"/>
        <v/>
      </c>
      <c r="FU1522" s="42" t="str">
        <f ca="1"/>
        <v/>
      </c>
      <c r="FV1522" s="42" t="str">
        <f ca="1"/>
        <v/>
      </c>
      <c r="FW1522" s="42" t="str">
        <f ca="1"/>
        <v/>
      </c>
      <c r="FX1522" s="42" t="str">
        <f ca="1"/>
        <v/>
      </c>
      <c r="FY1522" s="42" t="str">
        <f ca="1"/>
        <v/>
      </c>
      <c r="FZ1522" s="42" t="str">
        <f ca="1"/>
        <v/>
      </c>
      <c r="GA1522" s="42" t="str">
        <f ca="1"/>
        <v/>
      </c>
      <c r="GB1522" s="42" t="str">
        <f ca="1"/>
        <v/>
      </c>
      <c r="GC1522" s="42" t="str">
        <f ca="1"/>
        <v/>
      </c>
      <c r="GD1522" s="42" t="str">
        <f ca="1"/>
        <v/>
      </c>
      <c r="GE1522" s="42" t="str">
        <f ca="1"/>
        <v/>
      </c>
      <c r="GF1522" s="42" t="str">
        <f ca="1"/>
        <v/>
      </c>
      <c r="GG1522" s="42" t="str">
        <f ca="1"/>
        <v/>
      </c>
      <c r="GH1522" s="42" t="str">
        <f ca="1"/>
        <v/>
      </c>
      <c r="GI1522" s="42" t="str">
        <f ca="1"/>
        <v/>
      </c>
      <c r="GJ1522" s="42" t="str">
        <f ca="1"/>
        <v/>
      </c>
      <c r="GK1522" s="42" t="str">
        <f ca="1"/>
        <v/>
      </c>
      <c r="GL1522" s="42" t="str">
        <f ca="1"/>
        <v/>
      </c>
      <c r="GM1522" s="42" t="str">
        <f ca="1"/>
        <v/>
      </c>
      <c r="GN1522" s="42" t="str">
        <f ca="1"/>
        <v/>
      </c>
      <c r="GO1522" s="42" t="str">
        <f ca="1"/>
        <v/>
      </c>
      <c r="GP1522" s="42" t="str">
        <f ca="1"/>
        <v/>
      </c>
      <c r="GQ1522" s="42" t="str">
        <f ca="1"/>
        <v/>
      </c>
      <c r="GR1522" s="42" t="str">
        <f ca="1"/>
        <v/>
      </c>
      <c r="GS1522" s="42" t="str">
        <f ca="1"/>
        <v/>
      </c>
      <c r="GT1522" s="42" t="str">
        <f ca="1"/>
        <v/>
      </c>
      <c r="GU1522" s="42" t="str">
        <f ca="1"/>
        <v/>
      </c>
      <c r="GV1522" s="42" t="str">
        <f ca="1"/>
        <v/>
      </c>
      <c r="GW1522" s="42" t="str">
        <f ca="1"/>
        <v/>
      </c>
      <c r="GX1522" s="42" t="str">
        <f ca="1"/>
        <v/>
      </c>
      <c r="GY1522" s="42" t="str">
        <f ca="1"/>
        <v/>
      </c>
      <c r="GZ1522" s="42" t="str">
        <f ca="1"/>
        <v/>
      </c>
      <c r="HA1522" s="42" t="str">
        <f ca="1"/>
        <v/>
      </c>
      <c r="HB1522" s="42" t="str">
        <f ca="1"/>
        <v/>
      </c>
      <c r="HC1522" s="42" t="str">
        <f ca="1"/>
        <v/>
      </c>
      <c r="HD1522" s="42" t="str">
        <f ca="1"/>
        <v/>
      </c>
      <c r="HE1522" s="42" t="str">
        <f ca="1"/>
        <v/>
      </c>
      <c r="HF1522" s="42" t="str">
        <f ca="1"/>
        <v/>
      </c>
      <c r="HG1522" s="42" t="str">
        <f ca="1"/>
        <v/>
      </c>
      <c r="HH1522" s="42" t="str">
        <f ca="1"/>
        <v/>
      </c>
      <c r="HI1522" s="42" t="str">
        <f ca="1"/>
        <v/>
      </c>
      <c r="HJ1522" s="42" t="str">
        <f ca="1"/>
        <v/>
      </c>
      <c r="HK1522" s="42" t="str">
        <f ca="1"/>
        <v/>
      </c>
      <c r="HL1522" s="42" t="str">
        <f ca="1"/>
        <v/>
      </c>
      <c r="HM1522" s="42" t="str">
        <f ca="1"/>
        <v/>
      </c>
      <c r="HN1522" s="42" t="str">
        <f ca="1"/>
        <v/>
      </c>
      <c r="HO1522" s="42" t="str">
        <f ca="1"/>
        <v/>
      </c>
      <c r="HP1522" s="42" t="str">
        <f ca="1"/>
        <v/>
      </c>
      <c r="HQ1522" s="42" t="str">
        <f ca="1"/>
        <v/>
      </c>
      <c r="HR1522" s="42" t="str">
        <f ca="1"/>
        <v/>
      </c>
      <c r="HS1522" s="42" t="str">
        <f ca="1"/>
        <v/>
      </c>
      <c r="HT1522" s="42" t="str">
        <f ca="1"/>
        <v/>
      </c>
      <c r="HU1522" s="42" t="str">
        <f ca="1"/>
        <v/>
      </c>
      <c r="HV1522" s="42" t="str">
        <f ca="1"/>
        <v/>
      </c>
      <c r="HW1522" s="42" t="str">
        <f ca="1"/>
        <v/>
      </c>
      <c r="HX1522" s="42" t="str">
        <f ca="1"/>
        <v/>
      </c>
      <c r="HY1522" s="42" t="str">
        <f ca="1"/>
        <v/>
      </c>
      <c r="HZ1522" s="42" t="str">
        <f ca="1"/>
        <v/>
      </c>
      <c r="IA1522" s="42" t="str">
        <f ca="1"/>
        <v/>
      </c>
      <c r="IB1522" s="42" t="str">
        <f ca="1"/>
        <v/>
      </c>
      <c r="IC1522" s="42" t="str">
        <f ca="1"/>
        <v/>
      </c>
      <c r="ID1522" s="42" t="str">
        <f ca="1"/>
        <v/>
      </c>
      <c r="IE1522" s="42" t="str">
        <f ca="1"/>
        <v/>
      </c>
      <c r="IF1522" s="42" t="str">
        <f ca="1"/>
        <v/>
      </c>
      <c r="IG1522" s="42" t="str">
        <f ca="1"/>
        <v/>
      </c>
      <c r="IH1522" s="42" t="str">
        <f ca="1"/>
        <v/>
      </c>
      <c r="II1522" s="42" t="str">
        <f ca="1"/>
        <v/>
      </c>
      <c r="IJ1522" s="42" t="str">
        <f ca="1"/>
        <v/>
      </c>
      <c r="IK1522" s="42" t="str">
        <f ca="1"/>
        <v/>
      </c>
      <c r="IL1522" s="42" t="str">
        <f ca="1"/>
        <v/>
      </c>
      <c r="IM1522" s="42" t="str">
        <f ca="1"/>
        <v/>
      </c>
      <c r="IN1522" s="42" t="str">
        <f ca="1"/>
        <v/>
      </c>
      <c r="IO1522" s="42" t="str">
        <f ca="1"/>
        <v/>
      </c>
      <c r="IP1522" s="42" t="str">
        <f ca="1"/>
        <v/>
      </c>
      <c r="IQ1522" s="42" t="str">
        <f ca="1"/>
        <v/>
      </c>
      <c r="IR1522" s="42" t="str">
        <f ca="1"/>
        <v/>
      </c>
      <c r="IS1522" s="42" t="str">
        <f ca="1"/>
        <v/>
      </c>
      <c r="IT1522" s="42" t="str">
        <f ca="1"/>
        <v/>
      </c>
      <c r="IU1522" s="42" t="str">
        <f ca="1"/>
        <v/>
      </c>
      <c r="IV1522" s="42" t="str">
        <f ca="1"/>
        <v/>
      </c>
      <c r="IW1522" s="42" t="str">
        <f ca="1"/>
        <v/>
      </c>
      <c r="IX1522" s="42" t="str">
        <f ca="1"/>
        <v/>
      </c>
      <c r="IY1522" s="42" t="str">
        <f ca="1"/>
        <v/>
      </c>
      <c r="IZ1522" s="42" t="str">
        <f ca="1"/>
        <v/>
      </c>
      <c r="JA1522" s="42" t="str">
        <f ca="1"/>
        <v/>
      </c>
      <c r="JB1522" s="42" t="str">
        <f ca="1"/>
        <v/>
      </c>
      <c r="JC1522" s="42" t="str">
        <f ca="1"/>
        <v/>
      </c>
      <c r="JD1522" s="42" t="str">
        <f ca="1"/>
        <v/>
      </c>
      <c r="JE1522" s="42" t="str">
        <f ca="1"/>
        <v/>
      </c>
      <c r="JF1522" s="42" t="str">
        <f ca="1"/>
        <v/>
      </c>
      <c r="JG1522" s="42" t="str">
        <f ca="1"/>
        <v/>
      </c>
      <c r="JH1522" s="42" t="str">
        <f ca="1"/>
        <v/>
      </c>
      <c r="JI1522" s="42" t="str">
        <f ca="1"/>
        <v/>
      </c>
      <c r="JJ1522" s="42" t="str">
        <f ca="1"/>
        <v/>
      </c>
      <c r="JK1522" s="42" t="str">
        <f ca="1"/>
        <v/>
      </c>
      <c r="JL1522" s="42" t="str">
        <f ca="1"/>
        <v/>
      </c>
      <c r="JM1522" s="42" t="str">
        <f ca="1"/>
        <v/>
      </c>
      <c r="JN1522" s="42" t="str">
        <f ca="1"/>
        <v/>
      </c>
      <c r="JO1522" s="42" t="str">
        <f ca="1"/>
        <v/>
      </c>
      <c r="JP1522" s="42" t="str">
        <f ca="1"/>
        <v/>
      </c>
      <c r="JQ1522" s="42" t="str">
        <f ca="1"/>
        <v/>
      </c>
      <c r="JR1522" s="42" t="str">
        <f ca="1"/>
        <v/>
      </c>
      <c r="JS1522" s="42" t="str">
        <f ca="1"/>
        <v/>
      </c>
      <c r="JT1522" s="42" t="str">
        <f ca="1"/>
        <v/>
      </c>
      <c r="JU1522" s="42" t="str">
        <f ca="1"/>
        <v/>
      </c>
      <c r="JV1522" s="42" t="str">
        <f ca="1"/>
        <v/>
      </c>
      <c r="JW1522" s="42" t="str">
        <f ca="1"/>
        <v/>
      </c>
      <c r="JX1522" s="42" t="str">
        <f ca="1"/>
        <v/>
      </c>
      <c r="JY1522" s="42" t="str">
        <f ca="1"/>
        <v/>
      </c>
      <c r="JZ1522" s="42" t="str">
        <f ca="1"/>
        <v/>
      </c>
      <c r="KA1522" s="42" t="str">
        <f ca="1"/>
        <v/>
      </c>
      <c r="KB1522" s="42" t="str">
        <f ca="1"/>
        <v/>
      </c>
      <c r="KC1522" s="42" t="str">
        <f ca="1"/>
        <v/>
      </c>
      <c r="KD1522" s="42" t="str">
        <f ca="1"/>
        <v/>
      </c>
      <c r="KE1522" s="42" t="str">
        <f ca="1"/>
        <v/>
      </c>
      <c r="KF1522" s="42" t="str">
        <f ca="1"/>
        <v/>
      </c>
      <c r="KG1522" s="42" t="str">
        <f ca="1"/>
        <v/>
      </c>
      <c r="KH1522" s="42" t="str">
        <f ca="1"/>
        <v/>
      </c>
      <c r="KI1522" s="42" t="str">
        <f ca="1"/>
        <v/>
      </c>
      <c r="KJ1522" s="42" t="str">
        <f ca="1"/>
        <v/>
      </c>
      <c r="KK1522" s="42" t="str">
        <f ca="1"/>
        <v/>
      </c>
      <c r="KL1522" s="42" t="str">
        <f ca="1"/>
        <v/>
      </c>
      <c r="KM1522" s="42" t="str">
        <f ca="1"/>
        <v/>
      </c>
      <c r="KN1522" s="42" t="str">
        <f ca="1"/>
        <v/>
      </c>
      <c r="KO1522" s="42" t="str">
        <f ca="1"/>
        <v/>
      </c>
      <c r="KP1522" s="42" t="str">
        <f ca="1"/>
        <v/>
      </c>
      <c r="KQ1522" s="42" t="str">
        <f ca="1"/>
        <v/>
      </c>
      <c r="KR1522" s="42" t="str">
        <f ca="1"/>
        <v/>
      </c>
      <c r="KS1522" s="42" t="str">
        <f ca="1"/>
        <v/>
      </c>
      <c r="KT1522" s="42" t="str">
        <f ca="1"/>
        <v/>
      </c>
      <c r="KU1522" s="42" t="str">
        <f ca="1"/>
        <v/>
      </c>
      <c r="KV1522" s="42" t="str">
        <f ca="1"/>
        <v/>
      </c>
      <c r="KW1522" s="42" t="str">
        <f ca="1"/>
        <v/>
      </c>
      <c r="KX1522" s="42" t="str">
        <f ca="1"/>
        <v/>
      </c>
      <c r="KY1522" s="42" t="str">
        <f ca="1"/>
        <v/>
      </c>
      <c r="KZ1522" s="42" t="str">
        <f ca="1"/>
        <v/>
      </c>
      <c r="LA1522" s="42" t="str">
        <f ca="1"/>
        <v/>
      </c>
      <c r="LB1522" s="42" t="str">
        <f ca="1"/>
        <v/>
      </c>
      <c r="LC1522" s="42" t="str">
        <f ca="1"/>
        <v/>
      </c>
      <c r="LD1522" s="42" t="str">
        <f ca="1"/>
        <v/>
      </c>
      <c r="LE1522" s="42" t="str">
        <f ca="1"/>
        <v/>
      </c>
      <c r="LF1522" s="42" t="str">
        <f ca="1"/>
        <v/>
      </c>
      <c r="LG1522" s="42" t="str">
        <f ca="1"/>
        <v/>
      </c>
      <c r="LH1522" s="42" t="str">
        <f ca="1"/>
        <v/>
      </c>
      <c r="LI1522" s="42" t="str">
        <f ca="1"/>
        <v/>
      </c>
      <c r="LJ1522" s="42" t="str">
        <f ca="1"/>
        <v/>
      </c>
      <c r="LK1522" s="42" t="str">
        <f ca="1"/>
        <v/>
      </c>
      <c r="LL1522" s="42" t="str">
        <f ca="1"/>
        <v/>
      </c>
      <c r="LM1522" s="42" t="str">
        <f ca="1"/>
        <v/>
      </c>
      <c r="LN1522" s="42" t="str">
        <f ca="1"/>
        <v/>
      </c>
      <c r="LO1522" s="42" t="str">
        <f ca="1"/>
        <v/>
      </c>
      <c r="LP1522" s="42" t="str">
        <f ca="1"/>
        <v/>
      </c>
      <c r="LQ1522" s="42" t="str">
        <f ca="1"/>
        <v/>
      </c>
      <c r="LR1522" s="42" t="str">
        <f ca="1"/>
        <v/>
      </c>
      <c r="LS1522" s="42" t="str">
        <f ca="1"/>
        <v/>
      </c>
      <c r="LT1522" s="42" t="str">
        <f ca="1"/>
        <v/>
      </c>
      <c r="LU1522" s="42" t="str">
        <f ca="1"/>
        <v/>
      </c>
      <c r="LV1522" s="42" t="str">
        <f ca="1"/>
        <v/>
      </c>
      <c r="LW1522" s="42" t="str">
        <f ca="1"/>
        <v/>
      </c>
      <c r="LX1522" s="42" t="str">
        <f ca="1"/>
        <v/>
      </c>
      <c r="LY1522" s="42" t="str">
        <f ca="1"/>
        <v/>
      </c>
      <c r="LZ1522" s="42" t="str">
        <f ca="1"/>
        <v/>
      </c>
      <c r="MA1522" s="42" t="str">
        <f ca="1"/>
        <v/>
      </c>
      <c r="MB1522" s="42" t="str">
        <f ca="1"/>
        <v/>
      </c>
      <c r="MC1522" s="42" t="str">
        <f ca="1"/>
        <v/>
      </c>
      <c r="MD1522" s="42" t="str">
        <f ca="1"/>
        <v/>
      </c>
      <c r="ME1522" s="42" t="str">
        <f ca="1"/>
        <v/>
      </c>
      <c r="MF1522" s="42" t="str">
        <f ca="1"/>
        <v/>
      </c>
      <c r="MG1522" s="42" t="str">
        <f ca="1"/>
        <v/>
      </c>
      <c r="MH1522" s="42" t="str">
        <f ca="1"/>
        <v/>
      </c>
      <c r="MI1522" s="42" t="str">
        <f ca="1"/>
        <v/>
      </c>
      <c r="MJ1522" s="42" t="str">
        <f ca="1"/>
        <v/>
      </c>
      <c r="MK1522" s="42" t="str">
        <f ca="1"/>
        <v/>
      </c>
      <c r="ML1522" s="42" t="str">
        <f ca="1"/>
        <v/>
      </c>
      <c r="MM1522" s="42" t="str">
        <f ca="1"/>
        <v/>
      </c>
      <c r="MN1522" s="42" t="str">
        <f ca="1"/>
        <v/>
      </c>
      <c r="MO1522" s="42" t="str">
        <f ca="1"/>
        <v/>
      </c>
      <c r="MP1522" s="42" t="str">
        <f ca="1"/>
        <v/>
      </c>
      <c r="MQ1522" s="42" t="str">
        <f ca="1"/>
        <v/>
      </c>
      <c r="MR1522" s="42" t="str">
        <f ca="1"/>
        <v/>
      </c>
      <c r="MS1522" s="42" t="str">
        <f ca="1"/>
        <v/>
      </c>
      <c r="MT1522" s="42" t="str">
        <f ca="1"/>
        <v/>
      </c>
      <c r="MU1522" s="42" t="str">
        <f ca="1"/>
        <v/>
      </c>
      <c r="MV1522" s="42" t="str">
        <f ca="1"/>
        <v/>
      </c>
      <c r="MW1522" s="42" t="str">
        <f ca="1"/>
        <v/>
      </c>
      <c r="MX1522" s="42" t="str">
        <f ca="1"/>
        <v/>
      </c>
      <c r="MY1522" s="42" t="str">
        <f ca="1"/>
        <v/>
      </c>
      <c r="MZ1522" s="42" t="str">
        <f ca="1"/>
        <v/>
      </c>
      <c r="NA1522" s="42" t="str">
        <f ca="1"/>
        <v/>
      </c>
      <c r="NB1522" s="42" t="str">
        <f ca="1"/>
        <v/>
      </c>
      <c r="NC1522" s="42" t="str">
        <f ca="1"/>
        <v/>
      </c>
      <c r="ND1522" s="42" t="str">
        <f ca="1"/>
        <v/>
      </c>
      <c r="NE1522" s="42" t="str">
        <f ca="1"/>
        <v/>
      </c>
      <c r="NF1522" s="42" t="str">
        <f ca="1"/>
        <v/>
      </c>
      <c r="NG1522" s="42" t="str">
        <f ca="1"/>
        <v/>
      </c>
      <c r="NH1522" s="42" t="str">
        <f ca="1"/>
        <v/>
      </c>
      <c r="NI1522" s="42" t="str">
        <f ca="1"/>
        <v/>
      </c>
      <c r="NJ1522" s="42" t="str">
        <f ca="1"/>
        <v/>
      </c>
      <c r="NK1522" s="42" t="str">
        <f ca="1"/>
        <v/>
      </c>
      <c r="NL1522" s="42" t="str">
        <f ca="1"/>
        <v/>
      </c>
      <c r="NM1522" s="42" t="str">
        <f ca="1"/>
        <v/>
      </c>
      <c r="NN1522" s="42" t="str">
        <f ca="1"/>
        <v/>
      </c>
      <c r="NO1522" s="42" t="str">
        <f ca="1"/>
        <v/>
      </c>
      <c r="NP1522" s="42" t="str">
        <f ca="1"/>
        <v/>
      </c>
      <c r="NQ1522" s="42" t="str">
        <f ca="1"/>
        <v/>
      </c>
      <c r="NR1522" s="42" t="str">
        <f ca="1"/>
        <v/>
      </c>
      <c r="NS1522" s="42" t="str">
        <f ca="1"/>
        <v/>
      </c>
      <c r="NT1522" s="42" t="str">
        <f ca="1"/>
        <v/>
      </c>
      <c r="NU1522" s="42" t="str">
        <f ca="1"/>
        <v/>
      </c>
      <c r="NV1522" s="42" t="str">
        <f ca="1"/>
        <v/>
      </c>
      <c r="NW1522" s="42" t="str">
        <f ca="1"/>
        <v/>
      </c>
      <c r="NX1522" s="42" t="str">
        <f ca="1"/>
        <v/>
      </c>
      <c r="NY1522" s="42" t="str">
        <f ca="1"/>
        <v/>
      </c>
      <c r="NZ1522" s="42" t="str">
        <f ca="1"/>
        <v/>
      </c>
      <c r="OA1522" s="42" t="str">
        <f ca="1"/>
        <v/>
      </c>
      <c r="OB1522" s="42" t="str">
        <f ca="1"/>
        <v/>
      </c>
      <c r="OC1522" s="42" t="str">
        <f ca="1"/>
        <v/>
      </c>
      <c r="OD1522" s="42" t="str">
        <f ca="1"/>
        <v/>
      </c>
      <c r="OE1522" s="42" t="str">
        <f ca="1"/>
        <v/>
      </c>
      <c r="OF1522" s="42" t="str">
        <f ca="1"/>
        <v/>
      </c>
      <c r="OG1522" s="42" t="str">
        <f ca="1"/>
        <v/>
      </c>
      <c r="OH1522" s="42" t="str">
        <f ca="1"/>
        <v/>
      </c>
      <c r="OI1522" s="42" t="str">
        <f ca="1"/>
        <v/>
      </c>
      <c r="OJ1522" s="42" t="str">
        <f ca="1"/>
        <v/>
      </c>
      <c r="OK1522" s="42" t="str">
        <f ca="1"/>
        <v/>
      </c>
      <c r="OL1522" s="42" t="str">
        <f ca="1"/>
        <v/>
      </c>
      <c r="OM1522" s="42" t="str">
        <f ca="1"/>
        <v/>
      </c>
      <c r="ON1522" s="42" t="str">
        <f ca="1"/>
        <v/>
      </c>
      <c r="OO1522" s="42" t="str">
        <f ca="1"/>
        <v/>
      </c>
      <c r="OP1522" s="42" t="str">
        <f ca="1"/>
        <v/>
      </c>
      <c r="OQ1522" s="42" t="str">
        <f ca="1"/>
        <v/>
      </c>
      <c r="OR1522" s="42" t="str">
        <f ca="1"/>
        <v/>
      </c>
      <c r="OS1522" s="42" t="str">
        <f ca="1"/>
        <v/>
      </c>
      <c r="OT1522" s="42" t="str">
        <f ca="1"/>
        <v/>
      </c>
      <c r="OU1522" s="42" t="str">
        <f ca="1"/>
        <v/>
      </c>
      <c r="OV1522" s="42" t="str">
        <f ca="1"/>
        <v/>
      </c>
      <c r="OW1522" s="42" t="str">
        <f ca="1"/>
        <v/>
      </c>
      <c r="OX1522" s="42" t="str">
        <f ca="1"/>
        <v/>
      </c>
      <c r="OY1522" s="42" t="str">
        <f ca="1"/>
        <v/>
      </c>
      <c r="OZ1522" s="42" t="str">
        <f ca="1"/>
        <v/>
      </c>
      <c r="PA1522" s="42" t="str">
        <f ca="1"/>
        <v/>
      </c>
      <c r="PB1522" s="42" t="str">
        <f ca="1"/>
        <v/>
      </c>
      <c r="PC1522" s="42" t="str">
        <f ca="1"/>
        <v/>
      </c>
      <c r="PD1522" s="42" t="str">
        <f ca="1"/>
        <v/>
      </c>
      <c r="PE1522" s="42" t="str">
        <f ca="1"/>
        <v/>
      </c>
      <c r="PF1522" s="42" t="str">
        <f ca="1"/>
        <v/>
      </c>
      <c r="PG1522" s="42" t="str">
        <f ca="1"/>
        <v/>
      </c>
      <c r="PH1522" s="42" t="str">
        <f ca="1"/>
        <v/>
      </c>
      <c r="PI1522" s="42" t="str">
        <f ca="1"/>
        <v/>
      </c>
      <c r="PJ1522" s="42" t="str">
        <f ca="1"/>
        <v/>
      </c>
      <c r="PK1522" s="42" t="str">
        <f ca="1"/>
        <v/>
      </c>
      <c r="PL1522" s="42" t="str">
        <f ca="1"/>
        <v/>
      </c>
      <c r="PM1522" s="42" t="str">
        <f ca="1"/>
        <v/>
      </c>
      <c r="PN1522" s="42" t="str">
        <f ca="1"/>
        <v/>
      </c>
      <c r="PO1522" s="42" t="str">
        <f ca="1"/>
        <v/>
      </c>
      <c r="PP1522" s="42" t="str">
        <f ca="1"/>
        <v/>
      </c>
      <c r="PQ1522" s="42" t="str">
        <f ca="1"/>
        <v/>
      </c>
      <c r="PR1522" s="42" t="str">
        <f ca="1"/>
        <v/>
      </c>
      <c r="PS1522" s="42" t="str">
        <f ca="1"/>
        <v/>
      </c>
      <c r="PT1522" s="42" t="str">
        <f ca="1"/>
        <v/>
      </c>
      <c r="PU1522" s="42" t="str">
        <f ca="1"/>
        <v/>
      </c>
      <c r="PV1522" s="42" t="str">
        <f ca="1"/>
        <v/>
      </c>
      <c r="PW1522" s="42" t="str">
        <f ca="1"/>
        <v/>
      </c>
      <c r="PX1522" s="42" t="str">
        <f ca="1"/>
        <v/>
      </c>
      <c r="PY1522" s="42" t="str">
        <f ca="1"/>
        <v/>
      </c>
      <c r="PZ1522" s="42" t="str">
        <f ca="1"/>
        <v/>
      </c>
      <c r="QA1522" s="42" t="str">
        <f ca="1"/>
        <v/>
      </c>
      <c r="QB1522" s="42" t="str">
        <f ca="1"/>
        <v/>
      </c>
      <c r="QC1522" s="42" t="str">
        <f ca="1"/>
        <v/>
      </c>
      <c r="QD1522" s="42" t="str">
        <f ca="1"/>
        <v/>
      </c>
      <c r="QE1522" s="42" t="str">
        <f ca="1"/>
        <v/>
      </c>
      <c r="QF1522" s="42" t="str">
        <f ca="1"/>
        <v/>
      </c>
      <c r="QG1522" s="42" t="str">
        <f ca="1"/>
        <v/>
      </c>
      <c r="QH1522" s="42" t="str">
        <f ca="1"/>
        <v/>
      </c>
      <c r="QI1522" s="42" t="str">
        <f ca="1"/>
        <v/>
      </c>
      <c r="QJ1522" s="42" t="str">
        <f ca="1"/>
        <v/>
      </c>
      <c r="QK1522" s="42" t="str">
        <f ca="1"/>
        <v/>
      </c>
      <c r="QL1522" s="42" t="str">
        <f ca="1"/>
        <v/>
      </c>
      <c r="QM1522" s="42" t="str">
        <f ca="1"/>
        <v/>
      </c>
      <c r="QN1522" s="42" t="str">
        <f ca="1"/>
        <v/>
      </c>
      <c r="QO1522" s="42" t="str">
        <f ca="1"/>
        <v/>
      </c>
      <c r="QP1522" s="42" t="str">
        <f ca="1"/>
        <v/>
      </c>
      <c r="QQ1522" s="42" t="str">
        <f ca="1"/>
        <v/>
      </c>
      <c r="QR1522" s="42" t="str">
        <f ca="1"/>
        <v/>
      </c>
      <c r="QS1522" s="42" t="str">
        <f ca="1"/>
        <v/>
      </c>
      <c r="QT1522" s="42" t="str">
        <f ca="1"/>
        <v/>
      </c>
      <c r="QU1522" s="42" t="str">
        <f ca="1"/>
        <v/>
      </c>
      <c r="QV1522" s="42" t="str">
        <f ca="1"/>
        <v/>
      </c>
      <c r="QW1522" s="42" t="str">
        <f ca="1"/>
        <v/>
      </c>
      <c r="QX1522" s="42" t="str">
        <f ca="1"/>
        <v/>
      </c>
      <c r="QY1522" s="42" t="str">
        <f ca="1"/>
        <v/>
      </c>
      <c r="QZ1522" s="42" t="str">
        <f ca="1"/>
        <v/>
      </c>
      <c r="RA1522" s="42" t="str">
        <f ca="1"/>
        <v/>
      </c>
      <c r="RB1522" s="42" t="str">
        <f ca="1"/>
        <v/>
      </c>
      <c r="RC1522" s="42" t="str">
        <f ca="1"/>
        <v/>
      </c>
      <c r="RD1522" s="42" t="str">
        <f ca="1"/>
        <v/>
      </c>
      <c r="RE1522" s="42" t="str">
        <f ca="1"/>
        <v/>
      </c>
      <c r="RF1522" s="42" t="str">
        <f ca="1"/>
        <v/>
      </c>
      <c r="RG1522" s="42" t="str">
        <f ca="1"/>
        <v/>
      </c>
      <c r="RH1522" s="42" t="str">
        <f ca="1"/>
        <v/>
      </c>
      <c r="RI1522" s="42" t="str">
        <f ca="1"/>
        <v/>
      </c>
      <c r="RJ1522" s="42" t="str">
        <f ca="1"/>
        <v/>
      </c>
      <c r="RK1522" s="42" t="str">
        <f ca="1"/>
        <v/>
      </c>
      <c r="RL1522" s="42" t="str">
        <f ca="1"/>
        <v/>
      </c>
      <c r="RM1522" s="42" t="str">
        <f ca="1"/>
        <v/>
      </c>
      <c r="RN1522" s="42" t="str">
        <f ca="1"/>
        <v/>
      </c>
      <c r="RO1522" s="42" t="str">
        <f ca="1"/>
        <v/>
      </c>
      <c r="RP1522" s="42" t="str">
        <f ca="1"/>
        <v/>
      </c>
      <c r="RQ1522" s="42" t="str">
        <f ca="1"/>
        <v/>
      </c>
      <c r="RR1522" s="42" t="str">
        <f ca="1"/>
        <v/>
      </c>
      <c r="RS1522" s="42" t="str">
        <f ca="1"/>
        <v/>
      </c>
      <c r="RT1522" s="42" t="str">
        <f ca="1"/>
        <v/>
      </c>
      <c r="RU1522" s="42" t="str">
        <f ca="1"/>
        <v/>
      </c>
      <c r="RV1522" s="42" t="str">
        <f ca="1"/>
        <v/>
      </c>
      <c r="RW1522" s="42" t="str">
        <f ca="1"/>
        <v/>
      </c>
      <c r="RX1522" s="42" t="str">
        <f ca="1"/>
        <v/>
      </c>
      <c r="RY1522" s="42" t="str">
        <f ca="1"/>
        <v/>
      </c>
      <c r="RZ1522" s="42" t="str">
        <f ca="1"/>
        <v/>
      </c>
      <c r="SA1522" s="42" t="str">
        <f ca="1"/>
        <v/>
      </c>
      <c r="SB1522" s="42" t="str">
        <f ca="1"/>
        <v/>
      </c>
      <c r="SC1522" s="42" t="str">
        <f ca="1"/>
        <v/>
      </c>
      <c r="SD1522" s="42" t="str">
        <f ca="1"/>
        <v/>
      </c>
      <c r="SE1522" s="42" t="str">
        <f ca="1"/>
        <v/>
      </c>
      <c r="SF1522" s="42" t="str">
        <f ca="1"/>
        <v/>
      </c>
      <c r="SG1522" s="42" t="str">
        <f ca="1"/>
        <v/>
      </c>
      <c r="SH1522" s="42" t="str">
        <f ca="1"/>
        <v/>
      </c>
      <c r="SI1522" s="42" t="str">
        <f ca="1"/>
        <v/>
      </c>
      <c r="SJ1522" s="42" t="str">
        <f ca="1"/>
        <v/>
      </c>
      <c r="SK1522" s="42" t="str">
        <f ca="1"/>
        <v/>
      </c>
      <c r="SL1522" s="42" t="str">
        <f ca="1"/>
        <v/>
      </c>
      <c r="SM1522" s="42" t="str">
        <f ca="1"/>
        <v/>
      </c>
      <c r="SN1522" s="42" t="str">
        <f ca="1"/>
        <v/>
      </c>
      <c r="SO1522" s="42" t="str">
        <f ca="1"/>
        <v/>
      </c>
      <c r="SP1522" s="42" t="str">
        <f ca="1"/>
        <v/>
      </c>
      <c r="SQ1522" s="42" t="str">
        <f ca="1"/>
        <v/>
      </c>
      <c r="SR1522" s="42" t="str">
        <f ca="1"/>
        <v/>
      </c>
      <c r="SS1522" s="42" t="str">
        <f ca="1"/>
        <v/>
      </c>
      <c r="ST1522" s="42" t="str">
        <f ca="1"/>
        <v/>
      </c>
      <c r="SU1522" s="42" t="str">
        <f ca="1"/>
        <v/>
      </c>
      <c r="SV1522" s="42" t="str">
        <f ca="1"/>
        <v/>
      </c>
      <c r="SW1522" s="42" t="str">
        <f ca="1"/>
        <v/>
      </c>
      <c r="SX1522" s="42" t="str">
        <f ca="1"/>
        <v/>
      </c>
      <c r="SY1522" s="42" t="str">
        <f ca="1"/>
        <v/>
      </c>
      <c r="SZ1522" s="42" t="str">
        <f ca="1"/>
        <v/>
      </c>
      <c r="TA1522" s="42" t="str">
        <f ca="1"/>
        <v/>
      </c>
      <c r="TB1522" s="42" t="str">
        <f ca="1"/>
        <v/>
      </c>
      <c r="TC1522" s="42" t="str">
        <f ca="1"/>
        <v/>
      </c>
      <c r="TD1522" s="42" t="str">
        <f ca="1"/>
        <v/>
      </c>
      <c r="TE1522" s="42" t="str">
        <f ca="1"/>
        <v/>
      </c>
      <c r="TF1522" s="42" t="str">
        <f ca="1"/>
        <v/>
      </c>
      <c r="TG1522" s="42" t="str">
        <f ca="1"/>
        <v/>
      </c>
      <c r="TH1522" s="42" t="str">
        <f ca="1"/>
        <v/>
      </c>
      <c r="TI1522" s="42" t="str">
        <f ca="1"/>
        <v/>
      </c>
      <c r="TJ1522" s="42" t="str">
        <f ca="1"/>
        <v/>
      </c>
      <c r="TK1522" s="42" t="str">
        <f ca="1"/>
        <v/>
      </c>
      <c r="TL1522" s="42" t="str">
        <f ca="1"/>
        <v/>
      </c>
      <c r="TM1522" s="42" t="str">
        <f ca="1"/>
        <v/>
      </c>
      <c r="TN1522" s="42" t="str">
        <f ca="1"/>
        <v/>
      </c>
      <c r="TO1522" s="42" t="str">
        <f ca="1"/>
        <v/>
      </c>
      <c r="TP1522" s="42" t="str">
        <f ca="1"/>
        <v/>
      </c>
      <c r="TQ1522" s="42" t="str">
        <f ca="1"/>
        <v/>
      </c>
      <c r="TR1522" s="42" t="str">
        <f ca="1"/>
        <v/>
      </c>
      <c r="TS1522" s="42" t="str">
        <f ca="1"/>
        <v/>
      </c>
      <c r="TT1522" s="42" t="str">
        <f ca="1"/>
        <v/>
      </c>
      <c r="TU1522" s="42" t="str">
        <f ca="1"/>
        <v/>
      </c>
      <c r="TV1522" s="42" t="str">
        <f ca="1"/>
        <v/>
      </c>
      <c r="TW1522" s="42" t="str">
        <f ca="1"/>
        <v/>
      </c>
      <c r="TX1522" s="42" t="str">
        <f ca="1"/>
        <v/>
      </c>
      <c r="TY1522" s="42" t="str">
        <f ca="1"/>
        <v/>
      </c>
      <c r="TZ1522" s="42" t="str">
        <f ca="1"/>
        <v/>
      </c>
      <c r="UA1522" s="42" t="str">
        <f ca="1"/>
        <v/>
      </c>
      <c r="UB1522" s="42" t="str">
        <f ca="1"/>
        <v/>
      </c>
      <c r="UC1522" s="42" t="str">
        <f ca="1"/>
        <v/>
      </c>
      <c r="UD1522" s="42" t="str">
        <f ca="1"/>
        <v/>
      </c>
      <c r="UE1522" s="42" t="str">
        <f ca="1"/>
        <v/>
      </c>
      <c r="UF1522" s="42" t="str">
        <f ca="1"/>
        <v/>
      </c>
      <c r="UG1522" s="42" t="str">
        <f ca="1"/>
        <v/>
      </c>
      <c r="UH1522" s="42" t="str">
        <f ca="1"/>
        <v/>
      </c>
      <c r="UI1522" s="42" t="str">
        <f ca="1"/>
        <v/>
      </c>
      <c r="UJ1522" s="42" t="str">
        <f ca="1"/>
        <v/>
      </c>
      <c r="UK1522" s="42" t="str">
        <f ca="1"/>
        <v/>
      </c>
      <c r="UL1522" s="42" t="str">
        <f ca="1"/>
        <v/>
      </c>
      <c r="UM1522" s="42" t="str">
        <f ca="1"/>
        <v/>
      </c>
      <c r="UN1522" s="42" t="str">
        <f ca="1"/>
        <v/>
      </c>
      <c r="UO1522" s="42" t="str">
        <f ca="1"/>
        <v/>
      </c>
      <c r="UP1522" s="42" t="str">
        <f ca="1"/>
        <v/>
      </c>
      <c r="UQ1522" s="42" t="str">
        <f ca="1"/>
        <v/>
      </c>
      <c r="UR1522" s="42" t="str">
        <f ca="1"/>
        <v/>
      </c>
      <c r="US1522" s="42" t="str">
        <f ca="1"/>
        <v/>
      </c>
      <c r="UT1522" s="42" t="str">
        <f ca="1"/>
        <v/>
      </c>
      <c r="UU1522" s="42" t="str">
        <f ca="1"/>
        <v/>
      </c>
      <c r="UV1522" s="42" t="str">
        <f ca="1"/>
        <v/>
      </c>
      <c r="UW1522" s="42" t="str">
        <f ca="1"/>
        <v/>
      </c>
      <c r="UX1522" s="42" t="str">
        <f ca="1"/>
        <v/>
      </c>
      <c r="UY1522" s="42" t="str">
        <f ca="1"/>
        <v/>
      </c>
      <c r="UZ1522" s="42" t="str">
        <f ca="1"/>
        <v/>
      </c>
      <c r="VA1522" s="42" t="str">
        <f ca="1"/>
        <v/>
      </c>
      <c r="VB1522" s="42" t="str">
        <f ca="1"/>
        <v/>
      </c>
      <c r="VC1522" s="42" t="str">
        <f ca="1"/>
        <v/>
      </c>
      <c r="VD1522" s="42" t="str">
        <f ca="1"/>
        <v/>
      </c>
      <c r="VE1522" s="42" t="str">
        <f ca="1"/>
        <v/>
      </c>
      <c r="VF1522" s="42" t="str">
        <f ca="1"/>
        <v/>
      </c>
      <c r="VG1522" s="42" t="str">
        <f ca="1"/>
        <v/>
      </c>
      <c r="VH1522" s="42" t="str">
        <f ca="1"/>
        <v/>
      </c>
      <c r="VI1522" s="42" t="str">
        <f ca="1"/>
        <v/>
      </c>
      <c r="VJ1522" s="42" t="str">
        <f ca="1"/>
        <v/>
      </c>
      <c r="VK1522" s="42" t="str">
        <f ca="1"/>
        <v/>
      </c>
      <c r="VL1522" s="42" t="str">
        <f ca="1"/>
        <v/>
      </c>
      <c r="VM1522" s="42" t="str">
        <f ca="1"/>
        <v/>
      </c>
      <c r="VN1522" s="42" t="str">
        <f ca="1"/>
        <v/>
      </c>
      <c r="VO1522" s="42" t="str">
        <f ca="1"/>
        <v/>
      </c>
      <c r="VP1522" s="42" t="str">
        <f ca="1"/>
        <v/>
      </c>
      <c r="VQ1522" s="42" t="str">
        <f ca="1"/>
        <v/>
      </c>
      <c r="VR1522" s="42" t="str">
        <f ca="1"/>
        <v/>
      </c>
      <c r="VS1522" s="42" t="str">
        <f ca="1"/>
        <v/>
      </c>
      <c r="VT1522" s="42" t="str">
        <f ca="1"/>
        <v/>
      </c>
      <c r="VU1522" s="42" t="str">
        <f ca="1"/>
        <v/>
      </c>
      <c r="VV1522" s="42" t="str">
        <f ca="1"/>
        <v/>
      </c>
      <c r="VW1522" s="42" t="str">
        <f ca="1"/>
        <v/>
      </c>
      <c r="VX1522" s="42" t="str">
        <f ca="1"/>
        <v/>
      </c>
      <c r="VY1522" s="42" t="str">
        <f ca="1"/>
        <v/>
      </c>
      <c r="VZ1522" s="42" t="str">
        <f ca="1"/>
        <v/>
      </c>
      <c r="WA1522" s="42" t="str">
        <f ca="1"/>
        <v/>
      </c>
      <c r="WB1522" s="42" t="str">
        <f ca="1"/>
        <v/>
      </c>
      <c r="WC1522" s="42" t="str">
        <f ca="1"/>
        <v/>
      </c>
      <c r="WD1522" s="42" t="str">
        <f ca="1"/>
        <v/>
      </c>
      <c r="WE1522" s="42" t="str">
        <f ca="1"/>
        <v/>
      </c>
      <c r="WF1522" s="42" t="str">
        <f ca="1"/>
        <v/>
      </c>
      <c r="WG1522" s="42" t="str">
        <f ca="1"/>
        <v/>
      </c>
      <c r="WH1522" s="42" t="str">
        <f ca="1"/>
        <v/>
      </c>
      <c r="WI1522" s="42" t="str">
        <f ca="1"/>
        <v/>
      </c>
      <c r="WJ1522" s="42" t="str">
        <f ca="1"/>
        <v/>
      </c>
      <c r="WK1522" s="42" t="str">
        <f ca="1"/>
        <v/>
      </c>
      <c r="WL1522" s="42" t="str">
        <f ca="1"/>
        <v/>
      </c>
      <c r="WM1522" s="42" t="str">
        <f ca="1"/>
        <v/>
      </c>
      <c r="WN1522" s="42" t="str">
        <f ca="1"/>
        <v/>
      </c>
      <c r="WO1522" s="42" t="str">
        <f ca="1"/>
        <v/>
      </c>
      <c r="WP1522" s="42" t="str">
        <f ca="1"/>
        <v/>
      </c>
      <c r="WQ1522" s="42" t="str">
        <f ca="1"/>
        <v/>
      </c>
      <c r="WR1522" s="42" t="str">
        <f ca="1"/>
        <v/>
      </c>
      <c r="WS1522" s="42" t="str">
        <f ca="1"/>
        <v/>
      </c>
      <c r="WT1522" s="42" t="str">
        <f ca="1"/>
        <v/>
      </c>
      <c r="WU1522" s="42" t="str">
        <f ca="1"/>
        <v/>
      </c>
      <c r="WV1522" s="42" t="str">
        <f ca="1"/>
        <v/>
      </c>
      <c r="WW1522" s="42" t="str">
        <f ca="1"/>
        <v/>
      </c>
      <c r="WX1522" s="42" t="str">
        <f ca="1"/>
        <v/>
      </c>
      <c r="WY1522" s="42" t="str">
        <f ca="1"/>
        <v/>
      </c>
      <c r="WZ1522" s="42" t="str">
        <f ca="1"/>
        <v/>
      </c>
      <c r="XA1522" s="42" t="str">
        <f ca="1"/>
        <v/>
      </c>
      <c r="XB1522" s="42" t="str">
        <f ca="1"/>
        <v/>
      </c>
      <c r="XC1522" s="42" t="str">
        <f ca="1"/>
        <v/>
      </c>
      <c r="XD1522" s="42" t="str">
        <f ca="1"/>
        <v/>
      </c>
      <c r="XE1522" s="42" t="str">
        <f ca="1"/>
        <v/>
      </c>
      <c r="XF1522" s="42" t="str">
        <f ca="1"/>
        <v/>
      </c>
      <c r="XG1522" s="42" t="str">
        <f ca="1"/>
        <v/>
      </c>
      <c r="XH1522" s="42" t="str">
        <f ca="1"/>
        <v/>
      </c>
      <c r="XI1522" s="42" t="str">
        <f ca="1"/>
        <v/>
      </c>
      <c r="XJ1522" s="42" t="str">
        <f ca="1"/>
        <v/>
      </c>
      <c r="XK1522" s="42" t="str">
        <f ca="1"/>
        <v/>
      </c>
      <c r="XL1522" s="42" t="str">
        <f ca="1"/>
        <v/>
      </c>
      <c r="XM1522" s="42" t="str">
        <f ca="1"/>
        <v/>
      </c>
      <c r="XN1522" s="42" t="str">
        <f ca="1"/>
        <v/>
      </c>
      <c r="XO1522" s="42" t="str">
        <f ca="1"/>
        <v/>
      </c>
      <c r="XP1522" s="42" t="str">
        <f ca="1"/>
        <v/>
      </c>
      <c r="XQ1522" s="42" t="str">
        <f ca="1"/>
        <v/>
      </c>
      <c r="XR1522" s="42" t="str">
        <f ca="1"/>
        <v/>
      </c>
      <c r="XS1522" s="42" t="str">
        <f ca="1"/>
        <v/>
      </c>
      <c r="XT1522" s="42" t="str">
        <f ca="1"/>
        <v/>
      </c>
      <c r="XU1522" s="42" t="str">
        <f ca="1"/>
        <v/>
      </c>
      <c r="XV1522" s="42" t="str">
        <f ca="1"/>
        <v/>
      </c>
      <c r="XW1522" s="42" t="str">
        <f ca="1"/>
        <v/>
      </c>
      <c r="XX1522" s="42" t="str">
        <f ca="1"/>
        <v/>
      </c>
      <c r="XY1522" s="42" t="str">
        <f ca="1"/>
        <v/>
      </c>
      <c r="XZ1522" s="42" t="str">
        <f ca="1"/>
        <v/>
      </c>
      <c r="YA1522" s="42" t="str">
        <f ca="1"/>
        <v/>
      </c>
      <c r="YB1522" s="42" t="str">
        <f ca="1"/>
        <v/>
      </c>
      <c r="YC1522" s="42" t="str">
        <f ca="1"/>
        <v/>
      </c>
      <c r="YD1522" s="42" t="str">
        <f ca="1"/>
        <v/>
      </c>
      <c r="YE1522" s="42" t="str">
        <f ca="1"/>
        <v/>
      </c>
      <c r="YF1522" s="42" t="str">
        <f ca="1"/>
        <v/>
      </c>
      <c r="YG1522" s="42" t="str">
        <f ca="1"/>
        <v/>
      </c>
      <c r="YH1522" s="42" t="str">
        <f ca="1"/>
        <v/>
      </c>
      <c r="YI1522" s="42" t="str">
        <f ca="1"/>
        <v/>
      </c>
      <c r="YJ1522" s="42" t="str">
        <f ca="1"/>
        <v/>
      </c>
      <c r="YK1522" s="42" t="str">
        <f ca="1"/>
        <v/>
      </c>
      <c r="YL1522" s="42" t="str">
        <f ca="1"/>
        <v/>
      </c>
      <c r="YM1522" s="42" t="str">
        <f ca="1"/>
        <v/>
      </c>
      <c r="YN1522" s="42" t="str">
        <f ca="1"/>
        <v/>
      </c>
      <c r="YO1522" s="42" t="str">
        <f ca="1"/>
        <v/>
      </c>
      <c r="YP1522" s="42" t="str">
        <f ca="1"/>
        <v/>
      </c>
      <c r="YQ1522" s="42" t="str">
        <f ca="1"/>
        <v/>
      </c>
      <c r="YR1522" s="42" t="str">
        <f ca="1"/>
        <v/>
      </c>
      <c r="YS1522" s="42" t="str">
        <f ca="1"/>
        <v/>
      </c>
      <c r="YT1522" s="42" t="str">
        <f ca="1"/>
        <v/>
      </c>
      <c r="YU1522" s="42" t="str">
        <f ca="1"/>
        <v/>
      </c>
      <c r="YV1522" s="42" t="str">
        <f ca="1"/>
        <v/>
      </c>
      <c r="YW1522" s="42" t="str">
        <f ca="1"/>
        <v/>
      </c>
      <c r="YX1522" s="42" t="str">
        <f ca="1"/>
        <v/>
      </c>
      <c r="YY1522" s="42" t="str">
        <f ca="1"/>
        <v/>
      </c>
      <c r="YZ1522" s="42" t="str">
        <f ca="1"/>
        <v/>
      </c>
      <c r="ZA1522" s="42" t="str">
        <f ca="1"/>
        <v/>
      </c>
      <c r="ZB1522" s="42" t="str">
        <f ca="1"/>
        <v/>
      </c>
      <c r="ZC1522" s="42" t="str">
        <f ca="1"/>
        <v/>
      </c>
      <c r="ZD1522" s="42" t="str">
        <f ca="1"/>
        <v/>
      </c>
      <c r="ZE1522" s="42" t="str">
        <f ca="1"/>
        <v/>
      </c>
      <c r="ZF1522" s="42" t="str">
        <f ca="1"/>
        <v/>
      </c>
      <c r="ZG1522" s="42" t="str">
        <f ca="1"/>
        <v/>
      </c>
      <c r="ZH1522" s="42" t="str">
        <f ca="1"/>
        <v/>
      </c>
      <c r="ZI1522" s="42" t="str">
        <f ca="1"/>
        <v/>
      </c>
      <c r="ZJ1522" s="42" t="str">
        <f ca="1"/>
        <v/>
      </c>
      <c r="ZK1522" s="42" t="str">
        <f ca="1"/>
        <v/>
      </c>
      <c r="ZL1522" s="42" t="str">
        <f ca="1"/>
        <v/>
      </c>
      <c r="ZM1522" s="42" t="str">
        <f ca="1"/>
        <v/>
      </c>
      <c r="ZN1522" s="42" t="str">
        <f ca="1"/>
        <v/>
      </c>
      <c r="ZO1522" s="42" t="str">
        <f ca="1"/>
        <v/>
      </c>
      <c r="ZP1522" s="42" t="str">
        <f ca="1"/>
        <v/>
      </c>
      <c r="ZQ1522" s="42" t="str">
        <f ca="1"/>
        <v/>
      </c>
      <c r="ZR1522" s="42" t="str">
        <f ca="1"/>
        <v/>
      </c>
      <c r="ZS1522" s="42" t="str">
        <f ca="1"/>
        <v/>
      </c>
      <c r="ZT1522" s="42" t="str">
        <f ca="1"/>
        <v/>
      </c>
      <c r="ZU1522" s="42" t="str">
        <f ca="1"/>
        <v/>
      </c>
      <c r="ZV1522" s="42" t="str">
        <f ca="1"/>
        <v/>
      </c>
      <c r="ZW1522" s="42" t="str">
        <f ca="1"/>
        <v/>
      </c>
      <c r="ZX1522" s="42" t="str">
        <f ca="1"/>
        <v/>
      </c>
      <c r="ZY1522" s="42" t="str">
        <f ca="1"/>
        <v/>
      </c>
      <c r="ZZ1522" s="42" t="str">
        <f ca="1"/>
        <v/>
      </c>
      <c r="AAA1522" s="42" t="str">
        <f ca="1"/>
        <v/>
      </c>
      <c r="AAB1522" s="42" t="str">
        <f ca="1"/>
        <v/>
      </c>
      <c r="AAC1522" s="42" t="str">
        <f ca="1"/>
        <v/>
      </c>
      <c r="AAD1522" s="42" t="str">
        <f ca="1"/>
        <v/>
      </c>
      <c r="AAE1522" s="42" t="str">
        <f ca="1"/>
        <v/>
      </c>
      <c r="AAF1522" s="42" t="str">
        <f ca="1"/>
        <v/>
      </c>
      <c r="AAG1522" s="42" t="str">
        <f ca="1"/>
        <v/>
      </c>
      <c r="AAH1522" s="42" t="str">
        <f ca="1"/>
        <v/>
      </c>
      <c r="AAI1522" s="42" t="str">
        <f ca="1"/>
        <v/>
      </c>
      <c r="AAJ1522" s="42" t="str">
        <f ca="1"/>
        <v/>
      </c>
      <c r="AAK1522" s="42" t="str">
        <f ca="1"/>
        <v/>
      </c>
      <c r="AAL1522" s="42" t="str">
        <f ca="1"/>
        <v/>
      </c>
      <c r="AAM1522" s="42" t="str">
        <f ca="1"/>
        <v/>
      </c>
      <c r="AAN1522" s="42" t="str">
        <f ca="1"/>
        <v/>
      </c>
      <c r="AAO1522" s="42" t="str">
        <f ca="1"/>
        <v/>
      </c>
      <c r="AAP1522" s="42" t="str">
        <f ca="1"/>
        <v/>
      </c>
      <c r="AAQ1522" s="42" t="str">
        <f ca="1"/>
        <v/>
      </c>
      <c r="AAR1522" s="42" t="str">
        <f ca="1"/>
        <v/>
      </c>
      <c r="AAS1522" s="42" t="str">
        <f ca="1"/>
        <v/>
      </c>
      <c r="AAT1522" s="42" t="str">
        <f ca="1"/>
        <v/>
      </c>
      <c r="AAU1522" s="42" t="str">
        <f ca="1"/>
        <v/>
      </c>
      <c r="AAV1522" s="42" t="str">
        <f ca="1"/>
        <v/>
      </c>
      <c r="AAW1522" s="42" t="str">
        <f ca="1"/>
        <v/>
      </c>
      <c r="AAX1522" s="42" t="str">
        <f ca="1"/>
        <v/>
      </c>
      <c r="AAY1522" s="42" t="str">
        <f ca="1"/>
        <v/>
      </c>
      <c r="AAZ1522" s="42" t="str">
        <f ca="1"/>
        <v/>
      </c>
      <c r="ABA1522" s="42" t="str">
        <f ca="1"/>
        <v/>
      </c>
      <c r="ABB1522" s="42" t="str">
        <f ca="1"/>
        <v/>
      </c>
      <c r="ABC1522" s="42" t="str">
        <f ca="1"/>
        <v/>
      </c>
      <c r="ABD1522" s="42" t="str">
        <f ca="1"/>
        <v/>
      </c>
      <c r="ABE1522" s="42" t="str">
        <f ca="1"/>
        <v/>
      </c>
      <c r="ABF1522" s="42" t="str">
        <f ca="1"/>
        <v/>
      </c>
      <c r="ABG1522" s="42" t="str">
        <f ca="1"/>
        <v/>
      </c>
      <c r="ABH1522" s="42" t="str">
        <f ca="1"/>
        <v/>
      </c>
      <c r="ABI1522" s="42" t="str">
        <f ca="1"/>
        <v/>
      </c>
      <c r="ABJ1522" s="42" t="str">
        <f ca="1"/>
        <v/>
      </c>
      <c r="ABK1522" s="42" t="str">
        <f ca="1"/>
        <v/>
      </c>
      <c r="ABL1522" s="42" t="str">
        <f ca="1"/>
        <v/>
      </c>
      <c r="ABM1522" s="42" t="str">
        <f ca="1"/>
        <v/>
      </c>
      <c r="ABN1522" s="42" t="str">
        <f ca="1"/>
        <v/>
      </c>
      <c r="ABO1522" s="42" t="str">
        <f ca="1"/>
        <v/>
      </c>
      <c r="ABP1522" s="42" t="str">
        <f ca="1"/>
        <v/>
      </c>
      <c r="ABQ1522" s="42" t="str">
        <f ca="1"/>
        <v/>
      </c>
      <c r="ABR1522" s="42" t="str">
        <f ca="1"/>
        <v/>
      </c>
      <c r="ABS1522" s="42" t="str">
        <f ca="1"/>
        <v/>
      </c>
      <c r="ABT1522" s="42" t="str">
        <f ca="1"/>
        <v/>
      </c>
      <c r="ABU1522" s="42" t="str">
        <f ca="1"/>
        <v/>
      </c>
      <c r="ABV1522" s="42" t="str">
        <f ca="1"/>
        <v/>
      </c>
      <c r="ABW1522" s="42" t="str">
        <f ca="1"/>
        <v/>
      </c>
      <c r="ABX1522" s="42" t="str">
        <f ca="1"/>
        <v/>
      </c>
      <c r="ABY1522" s="42" t="str">
        <f ca="1"/>
        <v/>
      </c>
      <c r="ABZ1522" s="42" t="str">
        <f ca="1"/>
        <v/>
      </c>
      <c r="ACA1522" s="42" t="str">
        <f ca="1"/>
        <v/>
      </c>
      <c r="ACB1522" s="42" t="str">
        <f ca="1"/>
        <v/>
      </c>
      <c r="ACC1522" s="42" t="str">
        <f ca="1"/>
        <v/>
      </c>
      <c r="ACD1522" s="42" t="str">
        <f ca="1"/>
        <v/>
      </c>
      <c r="ACE1522" s="42" t="str">
        <f ca="1"/>
        <v/>
      </c>
      <c r="ACF1522" s="42" t="str">
        <f ca="1"/>
        <v/>
      </c>
      <c r="ACG1522" s="42" t="str">
        <f ca="1"/>
        <v/>
      </c>
      <c r="ACH1522" s="42" t="str">
        <f ca="1"/>
        <v/>
      </c>
      <c r="ACI1522" s="42" t="str">
        <f ca="1"/>
        <v/>
      </c>
      <c r="ACJ1522" s="42" t="str">
        <f ca="1"/>
        <v/>
      </c>
      <c r="ACK1522" s="42" t="str">
        <f ca="1"/>
        <v/>
      </c>
      <c r="ACL1522" s="42" t="str">
        <f ca="1"/>
        <v/>
      </c>
      <c r="ACM1522" s="42" t="str">
        <f ca="1"/>
        <v/>
      </c>
      <c r="ACN1522" s="42" t="str">
        <f ca="1"/>
        <v/>
      </c>
      <c r="ACO1522" s="42" t="str">
        <f ca="1"/>
        <v/>
      </c>
      <c r="ACP1522" s="42" t="str">
        <f ca="1"/>
        <v/>
      </c>
      <c r="ACQ1522" s="42" t="str">
        <f ca="1"/>
        <v/>
      </c>
      <c r="ACR1522" s="42" t="str">
        <f ca="1"/>
        <v/>
      </c>
      <c r="ACS1522" s="42" t="str">
        <f ca="1"/>
        <v/>
      </c>
      <c r="ACT1522" s="42" t="str">
        <f ca="1"/>
        <v/>
      </c>
      <c r="ACU1522" s="42" t="str">
        <f ca="1"/>
        <v/>
      </c>
      <c r="ACV1522" s="42" t="str">
        <f ca="1"/>
        <v/>
      </c>
      <c r="ACW1522" s="42" t="str">
        <f ca="1"/>
        <v/>
      </c>
      <c r="ACX1522" s="42" t="str">
        <f ca="1"/>
        <v/>
      </c>
      <c r="ACY1522" s="42" t="str">
        <f ca="1"/>
        <v/>
      </c>
      <c r="ACZ1522" s="42" t="str">
        <f ca="1"/>
        <v/>
      </c>
      <c r="ADA1522" s="42" t="str">
        <f ca="1"/>
        <v/>
      </c>
      <c r="ADB1522" s="42" t="str">
        <f ca="1"/>
        <v/>
      </c>
      <c r="ADC1522" s="42" t="str">
        <f ca="1"/>
        <v/>
      </c>
      <c r="ADD1522" s="42" t="str">
        <f ca="1"/>
        <v/>
      </c>
      <c r="ADE1522" s="42" t="str">
        <f ca="1"/>
        <v/>
      </c>
      <c r="ADF1522" s="42" t="str">
        <f ca="1"/>
        <v/>
      </c>
      <c r="ADG1522" s="42" t="str">
        <f ca="1"/>
        <v/>
      </c>
      <c r="ADH1522" s="42" t="str">
        <f ca="1"/>
        <v/>
      </c>
      <c r="ADI1522" s="42" t="str">
        <f ca="1"/>
        <v/>
      </c>
      <c r="ADJ1522" s="42" t="str">
        <f ca="1"/>
        <v/>
      </c>
      <c r="ADK1522" s="42" t="str">
        <f ca="1"/>
        <v/>
      </c>
      <c r="ADL1522" s="42" t="str">
        <f ca="1"/>
        <v/>
      </c>
      <c r="ADM1522" s="42" t="str">
        <f ca="1"/>
        <v/>
      </c>
      <c r="ADN1522" s="42" t="str">
        <f ca="1"/>
        <v/>
      </c>
      <c r="ADO1522" s="42" t="str">
        <f ca="1"/>
        <v/>
      </c>
      <c r="ADP1522" s="42" t="str">
        <f ca="1"/>
        <v/>
      </c>
      <c r="ADQ1522" s="42" t="str">
        <f ca="1"/>
        <v/>
      </c>
      <c r="ADR1522" s="42" t="str">
        <f ca="1"/>
        <v/>
      </c>
      <c r="ADS1522" s="42" t="str">
        <f ca="1"/>
        <v/>
      </c>
      <c r="ADT1522" s="42" t="str">
        <f ca="1"/>
        <v/>
      </c>
      <c r="ADU1522" s="42" t="str">
        <f ca="1"/>
        <v/>
      </c>
      <c r="ADV1522" s="42" t="str">
        <f ca="1"/>
        <v/>
      </c>
      <c r="ADW1522" s="42" t="str">
        <f ca="1"/>
        <v/>
      </c>
      <c r="ADX1522" s="42" t="str">
        <f ca="1"/>
        <v/>
      </c>
      <c r="ADY1522" s="42" t="str">
        <f ca="1"/>
        <v/>
      </c>
      <c r="ADZ1522" s="42" t="str">
        <f ca="1"/>
        <v/>
      </c>
      <c r="AEA1522" s="42" t="str">
        <f ca="1"/>
        <v/>
      </c>
      <c r="AEB1522" s="42" t="str">
        <f ca="1"/>
        <v/>
      </c>
      <c r="AEC1522" s="42" t="str">
        <f ca="1"/>
        <v/>
      </c>
      <c r="AED1522" s="42" t="str">
        <f ca="1"/>
        <v/>
      </c>
      <c r="AEE1522" s="42" t="str">
        <f ca="1"/>
        <v/>
      </c>
      <c r="AEF1522" s="42" t="str">
        <f ca="1"/>
        <v/>
      </c>
      <c r="AEG1522" s="42" t="str">
        <f ca="1"/>
        <v/>
      </c>
      <c r="AEH1522" s="42" t="str">
        <f ca="1"/>
        <v/>
      </c>
      <c r="AEI1522" s="42" t="str">
        <f ca="1"/>
        <v/>
      </c>
      <c r="AEJ1522" s="42" t="str">
        <f ca="1"/>
        <v/>
      </c>
      <c r="AEK1522" s="42" t="str">
        <f ca="1"/>
        <v/>
      </c>
      <c r="AEL1522" s="42" t="str">
        <f ca="1"/>
        <v/>
      </c>
      <c r="AEM1522" s="42" t="str">
        <f ca="1"/>
        <v/>
      </c>
      <c r="AEN1522" s="42" t="str">
        <f ca="1"/>
        <v/>
      </c>
      <c r="AEO1522" s="42" t="str">
        <f ca="1"/>
        <v/>
      </c>
      <c r="AEP1522" s="42" t="str">
        <f ca="1"/>
        <v/>
      </c>
      <c r="AEQ1522" s="42" t="str">
        <f ca="1"/>
        <v/>
      </c>
      <c r="AER1522" s="42" t="str">
        <f ca="1"/>
        <v/>
      </c>
      <c r="AES1522" s="42" t="str">
        <f ca="1"/>
        <v/>
      </c>
      <c r="AET1522" s="42" t="str">
        <f ca="1"/>
        <v/>
      </c>
      <c r="AEU1522" s="42" t="str">
        <f ca="1"/>
        <v/>
      </c>
      <c r="AEV1522" s="42" t="str">
        <f ca="1"/>
        <v/>
      </c>
      <c r="AEW1522" s="42" t="str">
        <f ca="1"/>
        <v/>
      </c>
      <c r="AEX1522" s="42" t="str">
        <f ca="1"/>
        <v/>
      </c>
      <c r="AEY1522" s="42" t="str">
        <f ca="1"/>
        <v/>
      </c>
      <c r="AEZ1522" s="42" t="str">
        <f ca="1"/>
        <v/>
      </c>
      <c r="AFA1522" s="42" t="str">
        <f ca="1"/>
        <v/>
      </c>
      <c r="AFB1522" s="42" t="str">
        <f ca="1"/>
        <v/>
      </c>
      <c r="AFC1522" s="42" t="str">
        <f ca="1"/>
        <v/>
      </c>
      <c r="AFD1522" s="42" t="str">
        <f ca="1"/>
        <v/>
      </c>
      <c r="AFE1522" s="42" t="str">
        <f ca="1"/>
        <v/>
      </c>
      <c r="AFF1522" s="42" t="str">
        <f ca="1"/>
        <v/>
      </c>
      <c r="AFG1522" s="42" t="str">
        <f ca="1"/>
        <v/>
      </c>
      <c r="AFH1522" s="42" t="str">
        <f ca="1"/>
        <v/>
      </c>
      <c r="AFI1522" s="42" t="str">
        <f ca="1"/>
        <v/>
      </c>
      <c r="AFJ1522" s="42" t="str">
        <f ca="1"/>
        <v/>
      </c>
      <c r="AFK1522" s="42" t="str">
        <f ca="1"/>
        <v/>
      </c>
      <c r="AFL1522" s="42" t="str">
        <f ca="1"/>
        <v/>
      </c>
      <c r="AFM1522" s="42" t="str">
        <f ca="1"/>
        <v/>
      </c>
      <c r="AFN1522" s="42" t="str">
        <f ca="1"/>
        <v/>
      </c>
      <c r="AFO1522" s="42" t="str">
        <f ca="1"/>
        <v/>
      </c>
      <c r="AFP1522" s="42" t="str">
        <f ca="1"/>
        <v/>
      </c>
      <c r="AFQ1522" s="42" t="str">
        <f ca="1"/>
        <v/>
      </c>
      <c r="AFR1522" s="42" t="str">
        <f ca="1"/>
        <v/>
      </c>
      <c r="AFS1522" s="42" t="str">
        <f ca="1"/>
        <v/>
      </c>
      <c r="AFT1522" s="42" t="str">
        <f ca="1"/>
        <v/>
      </c>
      <c r="AFU1522" s="42" t="str">
        <f ca="1"/>
        <v/>
      </c>
      <c r="AFV1522" s="42" t="str">
        <f ca="1"/>
        <v/>
      </c>
      <c r="AFW1522" s="42" t="str">
        <f ca="1"/>
        <v/>
      </c>
      <c r="AFX1522" s="42" t="str">
        <f ca="1"/>
        <v/>
      </c>
      <c r="AFY1522" s="42" t="str">
        <f ca="1"/>
        <v/>
      </c>
      <c r="AFZ1522" s="42" t="str">
        <f ca="1"/>
        <v/>
      </c>
      <c r="AGA1522" s="42" t="str">
        <f ca="1"/>
        <v/>
      </c>
      <c r="AGB1522" s="42" t="str">
        <f ca="1"/>
        <v/>
      </c>
      <c r="AGC1522" s="42" t="str">
        <f ca="1"/>
        <v/>
      </c>
      <c r="AGD1522" s="42" t="str">
        <f ca="1"/>
        <v/>
      </c>
      <c r="AGE1522" s="42" t="str">
        <f ca="1"/>
        <v/>
      </c>
      <c r="AGF1522" s="42" t="str">
        <f ca="1"/>
        <v/>
      </c>
      <c r="AGG1522" s="42" t="str">
        <f ca="1"/>
        <v/>
      </c>
      <c r="AGH1522" s="42" t="str">
        <f ca="1"/>
        <v/>
      </c>
      <c r="AGI1522" s="42" t="str">
        <f ca="1"/>
        <v/>
      </c>
      <c r="AGJ1522" s="42" t="str">
        <f ca="1"/>
        <v/>
      </c>
      <c r="AGK1522" s="42" t="str">
        <f ca="1"/>
        <v/>
      </c>
      <c r="AGL1522" s="42" t="str">
        <f ca="1"/>
        <v/>
      </c>
      <c r="AGM1522" s="42" t="str">
        <f ca="1"/>
        <v/>
      </c>
      <c r="AGN1522" s="42" t="str">
        <f ca="1"/>
        <v/>
      </c>
    </row>
    <row r="1523" spans="15:872" x14ac:dyDescent="0.25">
      <c r="O1523" s="42">
        <v>10</v>
      </c>
      <c r="P1523" s="42" t="str">
        <f ca="1"/>
        <v/>
      </c>
      <c r="Q1523" s="42" t="str">
        <f ca="1"/>
        <v/>
      </c>
      <c r="R1523" s="42" t="str">
        <f ca="1"/>
        <v/>
      </c>
      <c r="S1523" s="42" t="str">
        <f ca="1"/>
        <v/>
      </c>
      <c r="T1523" s="42" t="str">
        <f ca="1"/>
        <v/>
      </c>
      <c r="U1523" s="42" t="str">
        <f ca="1"/>
        <v/>
      </c>
      <c r="V1523" s="42" t="str">
        <f ca="1"/>
        <v/>
      </c>
      <c r="W1523" s="42" t="str">
        <f ca="1"/>
        <v/>
      </c>
      <c r="X1523" s="42" t="str">
        <f ca="1"/>
        <v/>
      </c>
      <c r="Y1523" s="42" t="str">
        <f ca="1"/>
        <v/>
      </c>
      <c r="Z1523" s="42" t="str">
        <f ca="1"/>
        <v/>
      </c>
      <c r="AA1523" s="42" t="str">
        <f ca="1"/>
        <v/>
      </c>
      <c r="AB1523" s="42" t="str">
        <f ca="1"/>
        <v/>
      </c>
      <c r="AC1523" s="42" t="str">
        <f ca="1"/>
        <v/>
      </c>
      <c r="AD1523" s="42" t="str">
        <f ca="1"/>
        <v/>
      </c>
      <c r="AE1523" s="42" t="str">
        <f ca="1"/>
        <v/>
      </c>
      <c r="AF1523" s="42" t="str">
        <f ca="1"/>
        <v/>
      </c>
      <c r="AG1523" s="42" t="str">
        <f ca="1"/>
        <v/>
      </c>
      <c r="AH1523" s="42" t="str">
        <f ca="1"/>
        <v/>
      </c>
      <c r="AI1523" s="42" t="str">
        <f ca="1"/>
        <v/>
      </c>
      <c r="AJ1523" s="42" t="str">
        <f ca="1"/>
        <v/>
      </c>
      <c r="AK1523" s="42" t="str">
        <f ca="1"/>
        <v/>
      </c>
      <c r="AL1523" s="42" t="str">
        <f ca="1"/>
        <v/>
      </c>
      <c r="AM1523" s="42" t="str">
        <f ca="1"/>
        <v/>
      </c>
      <c r="AN1523" s="42" t="str">
        <f ca="1"/>
        <v/>
      </c>
      <c r="AO1523" s="42" t="str">
        <f ca="1"/>
        <v/>
      </c>
      <c r="AP1523" s="42" t="str">
        <f ca="1"/>
        <v/>
      </c>
      <c r="AQ1523" s="42" t="str">
        <f ca="1"/>
        <v/>
      </c>
      <c r="AR1523" s="42" t="str">
        <f ca="1"/>
        <v/>
      </c>
      <c r="AS1523" s="42" t="str">
        <f ca="1"/>
        <v/>
      </c>
      <c r="AT1523" s="42" t="str">
        <f ca="1"/>
        <v/>
      </c>
      <c r="AU1523" s="42" t="str">
        <f ca="1"/>
        <v/>
      </c>
      <c r="AV1523" s="42" t="str">
        <f ca="1"/>
        <v/>
      </c>
      <c r="AW1523" s="42" t="str">
        <f ca="1"/>
        <v/>
      </c>
      <c r="AX1523" s="42" t="str">
        <f ca="1"/>
        <v/>
      </c>
      <c r="AY1523" s="42" t="str">
        <f ca="1"/>
        <v/>
      </c>
      <c r="AZ1523" s="42" t="str">
        <f ca="1"/>
        <v/>
      </c>
      <c r="BA1523" s="42" t="str">
        <f ca="1"/>
        <v/>
      </c>
      <c r="BB1523" s="42" t="str">
        <f ca="1"/>
        <v/>
      </c>
      <c r="BC1523" s="42" t="str">
        <f ca="1"/>
        <v/>
      </c>
      <c r="BD1523" s="42" t="str">
        <f ca="1"/>
        <v/>
      </c>
      <c r="BE1523" s="42" t="str">
        <f ca="1"/>
        <v/>
      </c>
      <c r="BF1523" s="42" t="str">
        <f ca="1"/>
        <v/>
      </c>
      <c r="BG1523" s="42" t="str">
        <f ca="1"/>
        <v/>
      </c>
      <c r="BH1523" s="42" t="str">
        <f ca="1"/>
        <v/>
      </c>
      <c r="BI1523" s="42" t="str">
        <f ca="1"/>
        <v/>
      </c>
      <c r="BJ1523" s="42" t="str">
        <f ca="1"/>
        <v/>
      </c>
      <c r="BK1523" s="42" t="str">
        <f ca="1"/>
        <v/>
      </c>
      <c r="BL1523" s="42" t="str">
        <f ca="1"/>
        <v/>
      </c>
      <c r="BM1523" s="42" t="str">
        <f ca="1"/>
        <v/>
      </c>
      <c r="BN1523" s="42" t="str">
        <f ca="1"/>
        <v/>
      </c>
      <c r="BO1523" s="42" t="str">
        <f ca="1"/>
        <v/>
      </c>
      <c r="BP1523" s="42" t="str">
        <f ca="1"/>
        <v/>
      </c>
      <c r="BQ1523" s="42" t="str">
        <f ca="1"/>
        <v/>
      </c>
      <c r="BR1523" s="42" t="str">
        <f ca="1"/>
        <v/>
      </c>
      <c r="BS1523" s="42" t="str">
        <f ca="1"/>
        <v/>
      </c>
      <c r="BT1523" s="42" t="str">
        <f ca="1"/>
        <v/>
      </c>
      <c r="BU1523" s="42" t="str">
        <f ca="1"/>
        <v/>
      </c>
      <c r="BV1523" s="42" t="str">
        <f ca="1"/>
        <v/>
      </c>
      <c r="BW1523" s="42" t="str">
        <f ca="1"/>
        <v/>
      </c>
      <c r="BX1523" s="42" t="str">
        <f ca="1"/>
        <v/>
      </c>
      <c r="BY1523" s="42" t="str">
        <f ca="1"/>
        <v/>
      </c>
      <c r="BZ1523" s="42" t="str">
        <f ca="1"/>
        <v/>
      </c>
      <c r="CA1523" s="42" t="str">
        <f ca="1"/>
        <v/>
      </c>
      <c r="CB1523" s="42" t="str">
        <f ca="1"/>
        <v/>
      </c>
      <c r="CC1523" s="42" t="str">
        <f ca="1"/>
        <v/>
      </c>
      <c r="CD1523" s="42" t="str">
        <f ca="1"/>
        <v/>
      </c>
      <c r="CE1523" s="42" t="str">
        <f ca="1"/>
        <v/>
      </c>
      <c r="CF1523" s="42" t="str">
        <f ca="1"/>
        <v/>
      </c>
      <c r="CG1523" s="42" t="str">
        <f ca="1"/>
        <v/>
      </c>
      <c r="CH1523" s="42" t="str">
        <f ca="1"/>
        <v/>
      </c>
      <c r="CI1523" s="42" t="str">
        <f ca="1"/>
        <v/>
      </c>
      <c r="CJ1523" s="42" t="str">
        <f ca="1"/>
        <v/>
      </c>
      <c r="CK1523" s="42" t="str">
        <f ca="1"/>
        <v/>
      </c>
      <c r="CL1523" s="42" t="str">
        <f ca="1"/>
        <v/>
      </c>
      <c r="CM1523" s="42" t="str">
        <f ca="1"/>
        <v/>
      </c>
      <c r="CN1523" s="42" t="str">
        <f ca="1"/>
        <v/>
      </c>
      <c r="CO1523" s="42" t="str">
        <f ca="1"/>
        <v/>
      </c>
      <c r="CP1523" s="42" t="str">
        <f ca="1"/>
        <v/>
      </c>
      <c r="CQ1523" s="42" t="str">
        <f ca="1"/>
        <v/>
      </c>
      <c r="CR1523" s="42" t="str">
        <f ca="1"/>
        <v/>
      </c>
      <c r="CS1523" s="42" t="str">
        <f ca="1"/>
        <v/>
      </c>
      <c r="CT1523" s="42" t="str">
        <f ca="1"/>
        <v/>
      </c>
      <c r="CU1523" s="42" t="str">
        <f ca="1"/>
        <v/>
      </c>
      <c r="CV1523" s="42" t="str">
        <f ca="1"/>
        <v/>
      </c>
      <c r="CW1523" s="42" t="str">
        <f ca="1"/>
        <v/>
      </c>
      <c r="CX1523" s="42" t="str">
        <f ca="1"/>
        <v/>
      </c>
      <c r="CY1523" s="42" t="str">
        <f ca="1"/>
        <v/>
      </c>
      <c r="CZ1523" s="42" t="str">
        <f ca="1"/>
        <v/>
      </c>
      <c r="DA1523" s="42" t="str">
        <f ca="1"/>
        <v/>
      </c>
      <c r="DB1523" s="42" t="str">
        <f ca="1"/>
        <v/>
      </c>
      <c r="DC1523" s="42" t="str">
        <f ca="1"/>
        <v/>
      </c>
      <c r="DD1523" s="42" t="str">
        <f ca="1"/>
        <v/>
      </c>
      <c r="DE1523" s="42" t="str">
        <f ca="1"/>
        <v/>
      </c>
      <c r="DF1523" s="42" t="str">
        <f ca="1"/>
        <v/>
      </c>
      <c r="DG1523" s="42" t="str">
        <f ca="1"/>
        <v/>
      </c>
      <c r="DH1523" s="42" t="str">
        <f ca="1"/>
        <v/>
      </c>
      <c r="DI1523" s="42" t="str">
        <f ca="1"/>
        <v/>
      </c>
      <c r="DJ1523" s="42" t="str">
        <f ca="1"/>
        <v/>
      </c>
      <c r="DK1523" s="42" t="str">
        <f ca="1"/>
        <v/>
      </c>
      <c r="DL1523" s="42" t="str">
        <f ca="1"/>
        <v/>
      </c>
      <c r="DM1523" s="42" t="str">
        <f ca="1"/>
        <v/>
      </c>
      <c r="DN1523" s="42" t="str">
        <f ca="1"/>
        <v/>
      </c>
      <c r="DO1523" s="42" t="str">
        <f ca="1"/>
        <v/>
      </c>
      <c r="DP1523" s="42" t="str">
        <f ca="1"/>
        <v/>
      </c>
      <c r="DQ1523" s="42" t="str">
        <f ca="1"/>
        <v/>
      </c>
      <c r="DR1523" s="42" t="str">
        <f ca="1"/>
        <v/>
      </c>
      <c r="DS1523" s="42" t="str">
        <f ca="1"/>
        <v/>
      </c>
      <c r="DT1523" s="42" t="str">
        <f ca="1"/>
        <v/>
      </c>
      <c r="DU1523" s="42" t="str">
        <f ca="1"/>
        <v/>
      </c>
      <c r="DV1523" s="42" t="str">
        <f ca="1"/>
        <v/>
      </c>
      <c r="DW1523" s="42" t="str">
        <f ca="1"/>
        <v/>
      </c>
      <c r="DX1523" s="42" t="str">
        <f ca="1"/>
        <v/>
      </c>
      <c r="DY1523" s="42" t="str">
        <f ca="1"/>
        <v/>
      </c>
      <c r="DZ1523" s="42" t="str">
        <f ca="1"/>
        <v/>
      </c>
      <c r="EA1523" s="42" t="str">
        <f ca="1"/>
        <v/>
      </c>
      <c r="EB1523" s="42" t="str">
        <f ca="1"/>
        <v/>
      </c>
      <c r="EC1523" s="42" t="str">
        <f ca="1"/>
        <v/>
      </c>
      <c r="ED1523" s="42" t="str">
        <f ca="1"/>
        <v/>
      </c>
      <c r="EE1523" s="42" t="str">
        <f ca="1"/>
        <v/>
      </c>
      <c r="EF1523" s="42" t="str">
        <f ca="1"/>
        <v/>
      </c>
      <c r="EG1523" s="42" t="str">
        <f ca="1"/>
        <v/>
      </c>
      <c r="EH1523" s="42" t="str">
        <f ca="1"/>
        <v/>
      </c>
      <c r="EI1523" s="42" t="str">
        <f ca="1"/>
        <v/>
      </c>
      <c r="EJ1523" s="42" t="str">
        <f ca="1"/>
        <v/>
      </c>
      <c r="EK1523" s="42" t="str">
        <f ca="1"/>
        <v/>
      </c>
      <c r="EL1523" s="42" t="str">
        <f ca="1"/>
        <v/>
      </c>
      <c r="EM1523" s="42" t="str">
        <f ca="1"/>
        <v/>
      </c>
      <c r="EN1523" s="42" t="str">
        <f ca="1"/>
        <v/>
      </c>
      <c r="EO1523" s="42" t="str">
        <f ca="1"/>
        <v/>
      </c>
      <c r="EP1523" s="42" t="str">
        <f ca="1"/>
        <v/>
      </c>
      <c r="EQ1523" s="42" t="str">
        <f ca="1"/>
        <v/>
      </c>
      <c r="ER1523" s="42" t="str">
        <f ca="1"/>
        <v/>
      </c>
      <c r="ES1523" s="42" t="str">
        <f ca="1"/>
        <v/>
      </c>
      <c r="ET1523" s="42" t="str">
        <f ca="1"/>
        <v/>
      </c>
      <c r="EU1523" s="42" t="str">
        <f ca="1"/>
        <v/>
      </c>
      <c r="EV1523" s="42" t="str">
        <f ca="1"/>
        <v/>
      </c>
      <c r="EW1523" s="42" t="str">
        <f ca="1"/>
        <v/>
      </c>
      <c r="EX1523" s="42" t="str">
        <f ca="1"/>
        <v/>
      </c>
      <c r="EY1523" s="42" t="str">
        <f ca="1"/>
        <v/>
      </c>
      <c r="EZ1523" s="42" t="str">
        <f ca="1"/>
        <v/>
      </c>
      <c r="FA1523" s="42" t="str">
        <f ca="1"/>
        <v/>
      </c>
      <c r="FB1523" s="42" t="str">
        <f ca="1"/>
        <v/>
      </c>
      <c r="FC1523" s="42" t="str">
        <f ca="1"/>
        <v/>
      </c>
      <c r="FD1523" s="42" t="str">
        <f ca="1"/>
        <v/>
      </c>
      <c r="FE1523" s="42" t="str">
        <f ca="1"/>
        <v/>
      </c>
      <c r="FF1523" s="42" t="str">
        <f ca="1"/>
        <v/>
      </c>
      <c r="FG1523" s="42" t="str">
        <f ca="1"/>
        <v/>
      </c>
      <c r="FH1523" s="42" t="str">
        <f ca="1"/>
        <v/>
      </c>
      <c r="FI1523" s="42" t="str">
        <f ca="1"/>
        <v/>
      </c>
      <c r="FJ1523" s="42" t="str">
        <f ca="1"/>
        <v/>
      </c>
      <c r="FK1523" s="42" t="str">
        <f ca="1"/>
        <v/>
      </c>
      <c r="FL1523" s="42" t="str">
        <f ca="1"/>
        <v/>
      </c>
      <c r="FM1523" s="42" t="str">
        <f ca="1"/>
        <v/>
      </c>
      <c r="FN1523" s="42" t="str">
        <f ca="1"/>
        <v/>
      </c>
      <c r="FO1523" s="42" t="str">
        <f ca="1"/>
        <v/>
      </c>
      <c r="FP1523" s="42" t="str">
        <f ca="1"/>
        <v/>
      </c>
      <c r="FQ1523" s="42" t="str">
        <f ca="1"/>
        <v/>
      </c>
      <c r="FR1523" s="42" t="str">
        <f ca="1"/>
        <v/>
      </c>
      <c r="FS1523" s="42" t="str">
        <f ca="1"/>
        <v/>
      </c>
      <c r="FT1523" s="42" t="str">
        <f ca="1"/>
        <v/>
      </c>
      <c r="FU1523" s="42" t="str">
        <f ca="1"/>
        <v/>
      </c>
      <c r="FV1523" s="42" t="str">
        <f ca="1"/>
        <v/>
      </c>
      <c r="FW1523" s="42" t="str">
        <f ca="1"/>
        <v/>
      </c>
      <c r="FX1523" s="42" t="str">
        <f ca="1"/>
        <v/>
      </c>
      <c r="FY1523" s="42" t="str">
        <f ca="1"/>
        <v/>
      </c>
      <c r="FZ1523" s="42" t="str">
        <f ca="1"/>
        <v/>
      </c>
      <c r="GA1523" s="42" t="str">
        <f ca="1"/>
        <v/>
      </c>
      <c r="GB1523" s="42" t="str">
        <f ca="1"/>
        <v/>
      </c>
      <c r="GC1523" s="42" t="str">
        <f ca="1"/>
        <v/>
      </c>
      <c r="GD1523" s="42" t="str">
        <f ca="1"/>
        <v/>
      </c>
      <c r="GE1523" s="42" t="str">
        <f ca="1"/>
        <v/>
      </c>
      <c r="GF1523" s="42" t="str">
        <f ca="1"/>
        <v/>
      </c>
      <c r="GG1523" s="42" t="str">
        <f ca="1"/>
        <v/>
      </c>
      <c r="GH1523" s="42" t="str">
        <f ca="1"/>
        <v/>
      </c>
      <c r="GI1523" s="42" t="str">
        <f ca="1"/>
        <v/>
      </c>
      <c r="GJ1523" s="42" t="str">
        <f ca="1"/>
        <v/>
      </c>
      <c r="GK1523" s="42" t="str">
        <f ca="1"/>
        <v/>
      </c>
      <c r="GL1523" s="42" t="str">
        <f ca="1"/>
        <v/>
      </c>
      <c r="GM1523" s="42" t="str">
        <f ca="1"/>
        <v/>
      </c>
      <c r="GN1523" s="42" t="str">
        <f ca="1"/>
        <v/>
      </c>
      <c r="GO1523" s="42" t="str">
        <f ca="1"/>
        <v/>
      </c>
      <c r="GP1523" s="42" t="str">
        <f ca="1"/>
        <v/>
      </c>
      <c r="GQ1523" s="42" t="str">
        <f ca="1"/>
        <v/>
      </c>
      <c r="GR1523" s="42" t="str">
        <f ca="1"/>
        <v/>
      </c>
      <c r="GS1523" s="42" t="str">
        <f ca="1"/>
        <v/>
      </c>
      <c r="GT1523" s="42" t="str">
        <f ca="1"/>
        <v/>
      </c>
      <c r="GU1523" s="42" t="str">
        <f ca="1"/>
        <v/>
      </c>
      <c r="GV1523" s="42" t="str">
        <f ca="1"/>
        <v/>
      </c>
      <c r="GW1523" s="42" t="str">
        <f ca="1"/>
        <v/>
      </c>
      <c r="GX1523" s="42" t="str">
        <f ca="1"/>
        <v/>
      </c>
      <c r="GY1523" s="42" t="str">
        <f ca="1"/>
        <v/>
      </c>
      <c r="GZ1523" s="42" t="str">
        <f ca="1"/>
        <v/>
      </c>
      <c r="HA1523" s="42" t="str">
        <f ca="1"/>
        <v/>
      </c>
      <c r="HB1523" s="42" t="str">
        <f ca="1"/>
        <v/>
      </c>
      <c r="HC1523" s="42" t="str">
        <f ca="1"/>
        <v/>
      </c>
      <c r="HD1523" s="42" t="str">
        <f ca="1"/>
        <v/>
      </c>
      <c r="HE1523" s="42" t="str">
        <f ca="1"/>
        <v/>
      </c>
      <c r="HF1523" s="42" t="str">
        <f ca="1"/>
        <v/>
      </c>
      <c r="HG1523" s="42" t="str">
        <f ca="1"/>
        <v/>
      </c>
      <c r="HH1523" s="42" t="str">
        <f ca="1"/>
        <v/>
      </c>
      <c r="HI1523" s="42" t="str">
        <f ca="1"/>
        <v/>
      </c>
      <c r="HJ1523" s="42" t="str">
        <f ca="1"/>
        <v/>
      </c>
      <c r="HK1523" s="42" t="str">
        <f ca="1"/>
        <v/>
      </c>
      <c r="HL1523" s="42" t="str">
        <f ca="1"/>
        <v/>
      </c>
      <c r="HM1523" s="42" t="str">
        <f ca="1"/>
        <v/>
      </c>
      <c r="HN1523" s="42" t="str">
        <f ca="1"/>
        <v/>
      </c>
      <c r="HO1523" s="42" t="str">
        <f ca="1"/>
        <v/>
      </c>
      <c r="HP1523" s="42" t="str">
        <f ca="1"/>
        <v/>
      </c>
      <c r="HQ1523" s="42" t="str">
        <f ca="1"/>
        <v/>
      </c>
      <c r="HR1523" s="42" t="str">
        <f ca="1"/>
        <v/>
      </c>
      <c r="HS1523" s="42" t="str">
        <f ca="1"/>
        <v/>
      </c>
      <c r="HT1523" s="42" t="str">
        <f ca="1"/>
        <v/>
      </c>
      <c r="HU1523" s="42" t="str">
        <f ca="1"/>
        <v/>
      </c>
      <c r="HV1523" s="42" t="str">
        <f ca="1"/>
        <v/>
      </c>
      <c r="HW1523" s="42" t="str">
        <f ca="1"/>
        <v/>
      </c>
      <c r="HX1523" s="42" t="str">
        <f ca="1"/>
        <v/>
      </c>
      <c r="HY1523" s="42" t="str">
        <f ca="1"/>
        <v/>
      </c>
      <c r="HZ1523" s="42" t="str">
        <f ca="1"/>
        <v/>
      </c>
      <c r="IA1523" s="42" t="str">
        <f ca="1"/>
        <v/>
      </c>
      <c r="IB1523" s="42" t="str">
        <f ca="1"/>
        <v/>
      </c>
      <c r="IC1523" s="42" t="str">
        <f ca="1"/>
        <v/>
      </c>
      <c r="ID1523" s="42" t="str">
        <f ca="1"/>
        <v/>
      </c>
      <c r="IE1523" s="42" t="str">
        <f ca="1"/>
        <v/>
      </c>
      <c r="IF1523" s="42" t="str">
        <f ca="1"/>
        <v/>
      </c>
      <c r="IG1523" s="42" t="str">
        <f ca="1"/>
        <v/>
      </c>
      <c r="IH1523" s="42" t="str">
        <f ca="1"/>
        <v/>
      </c>
      <c r="II1523" s="42" t="str">
        <f ca="1"/>
        <v/>
      </c>
      <c r="IJ1523" s="42" t="str">
        <f ca="1"/>
        <v/>
      </c>
      <c r="IK1523" s="42" t="str">
        <f ca="1"/>
        <v/>
      </c>
      <c r="IL1523" s="42" t="str">
        <f ca="1"/>
        <v/>
      </c>
      <c r="IM1523" s="42" t="str">
        <f ca="1"/>
        <v/>
      </c>
      <c r="IN1523" s="42" t="str">
        <f ca="1"/>
        <v/>
      </c>
      <c r="IO1523" s="42" t="str">
        <f ca="1"/>
        <v/>
      </c>
      <c r="IP1523" s="42" t="str">
        <f ca="1"/>
        <v/>
      </c>
      <c r="IQ1523" s="42" t="str">
        <f ca="1"/>
        <v/>
      </c>
      <c r="IR1523" s="42" t="str">
        <f ca="1"/>
        <v/>
      </c>
      <c r="IS1523" s="42" t="str">
        <f ca="1"/>
        <v/>
      </c>
      <c r="IT1523" s="42" t="str">
        <f ca="1"/>
        <v/>
      </c>
      <c r="IU1523" s="42" t="str">
        <f ca="1"/>
        <v/>
      </c>
      <c r="IV1523" s="42" t="str">
        <f ca="1"/>
        <v/>
      </c>
      <c r="IW1523" s="42" t="str">
        <f ca="1"/>
        <v/>
      </c>
      <c r="IX1523" s="42" t="str">
        <f ca="1"/>
        <v/>
      </c>
      <c r="IY1523" s="42" t="str">
        <f ca="1"/>
        <v/>
      </c>
      <c r="IZ1523" s="42" t="str">
        <f ca="1"/>
        <v/>
      </c>
      <c r="JA1523" s="42" t="str">
        <f ca="1"/>
        <v/>
      </c>
      <c r="JB1523" s="42" t="str">
        <f ca="1"/>
        <v/>
      </c>
      <c r="JC1523" s="42" t="str">
        <f ca="1"/>
        <v/>
      </c>
      <c r="JD1523" s="42" t="str">
        <f ca="1"/>
        <v/>
      </c>
      <c r="JE1523" s="42" t="str">
        <f ca="1"/>
        <v/>
      </c>
      <c r="JF1523" s="42" t="str">
        <f ca="1"/>
        <v/>
      </c>
      <c r="JG1523" s="42" t="str">
        <f ca="1"/>
        <v/>
      </c>
      <c r="JH1523" s="42" t="str">
        <f ca="1"/>
        <v/>
      </c>
      <c r="JI1523" s="42" t="str">
        <f ca="1"/>
        <v/>
      </c>
      <c r="JJ1523" s="42" t="str">
        <f ca="1"/>
        <v/>
      </c>
      <c r="JK1523" s="42" t="str">
        <f ca="1"/>
        <v/>
      </c>
      <c r="JL1523" s="42" t="str">
        <f ca="1"/>
        <v/>
      </c>
      <c r="JM1523" s="42" t="str">
        <f ca="1"/>
        <v/>
      </c>
      <c r="JN1523" s="42" t="str">
        <f ca="1"/>
        <v/>
      </c>
      <c r="JO1523" s="42" t="str">
        <f ca="1"/>
        <v/>
      </c>
      <c r="JP1523" s="42" t="str">
        <f ca="1"/>
        <v/>
      </c>
      <c r="JQ1523" s="42" t="str">
        <f ca="1"/>
        <v/>
      </c>
      <c r="JR1523" s="42" t="str">
        <f ca="1"/>
        <v/>
      </c>
      <c r="JS1523" s="42" t="str">
        <f ca="1"/>
        <v/>
      </c>
      <c r="JT1523" s="42" t="str">
        <f ca="1"/>
        <v/>
      </c>
      <c r="JU1523" s="42" t="str">
        <f ca="1"/>
        <v/>
      </c>
      <c r="JV1523" s="42" t="str">
        <f ca="1"/>
        <v/>
      </c>
      <c r="JW1523" s="42" t="str">
        <f ca="1"/>
        <v/>
      </c>
      <c r="JX1523" s="42" t="str">
        <f ca="1"/>
        <v/>
      </c>
      <c r="JY1523" s="42" t="str">
        <f ca="1"/>
        <v/>
      </c>
      <c r="JZ1523" s="42" t="str">
        <f ca="1"/>
        <v/>
      </c>
      <c r="KA1523" s="42" t="str">
        <f ca="1"/>
        <v/>
      </c>
      <c r="KB1523" s="42" t="str">
        <f ca="1"/>
        <v/>
      </c>
      <c r="KC1523" s="42" t="str">
        <f ca="1"/>
        <v/>
      </c>
      <c r="KD1523" s="42" t="str">
        <f ca="1"/>
        <v/>
      </c>
      <c r="KE1523" s="42" t="str">
        <f ca="1"/>
        <v/>
      </c>
      <c r="KF1523" s="42" t="str">
        <f ca="1"/>
        <v/>
      </c>
      <c r="KG1523" s="42" t="str">
        <f ca="1"/>
        <v/>
      </c>
      <c r="KH1523" s="42" t="str">
        <f ca="1"/>
        <v/>
      </c>
      <c r="KI1523" s="42" t="str">
        <f ca="1"/>
        <v/>
      </c>
      <c r="KJ1523" s="42" t="str">
        <f ca="1"/>
        <v/>
      </c>
      <c r="KK1523" s="42" t="str">
        <f ca="1"/>
        <v/>
      </c>
      <c r="KL1523" s="42" t="str">
        <f ca="1"/>
        <v/>
      </c>
      <c r="KM1523" s="42" t="str">
        <f ca="1"/>
        <v/>
      </c>
      <c r="KN1523" s="42" t="str">
        <f ca="1"/>
        <v/>
      </c>
      <c r="KO1523" s="42" t="str">
        <f ca="1"/>
        <v/>
      </c>
      <c r="KP1523" s="42" t="str">
        <f ca="1"/>
        <v/>
      </c>
      <c r="KQ1523" s="42" t="str">
        <f ca="1"/>
        <v/>
      </c>
      <c r="KR1523" s="42" t="str">
        <f ca="1"/>
        <v/>
      </c>
      <c r="KS1523" s="42" t="str">
        <f ca="1"/>
        <v/>
      </c>
      <c r="KT1523" s="42" t="str">
        <f ca="1"/>
        <v/>
      </c>
      <c r="KU1523" s="42" t="str">
        <f ca="1"/>
        <v/>
      </c>
      <c r="KV1523" s="42" t="str">
        <f ca="1"/>
        <v/>
      </c>
      <c r="KW1523" s="42" t="str">
        <f ca="1"/>
        <v/>
      </c>
      <c r="KX1523" s="42" t="str">
        <f ca="1"/>
        <v/>
      </c>
      <c r="KY1523" s="42" t="str">
        <f ca="1"/>
        <v/>
      </c>
      <c r="KZ1523" s="42" t="str">
        <f ca="1"/>
        <v/>
      </c>
      <c r="LA1523" s="42" t="str">
        <f ca="1"/>
        <v/>
      </c>
      <c r="LB1523" s="42" t="str">
        <f ca="1"/>
        <v/>
      </c>
      <c r="LC1523" s="42" t="str">
        <f ca="1"/>
        <v/>
      </c>
      <c r="LD1523" s="42" t="str">
        <f ca="1"/>
        <v/>
      </c>
      <c r="LE1523" s="42" t="str">
        <f ca="1"/>
        <v/>
      </c>
      <c r="LF1523" s="42" t="str">
        <f ca="1"/>
        <v/>
      </c>
      <c r="LG1523" s="42" t="str">
        <f ca="1"/>
        <v/>
      </c>
      <c r="LH1523" s="42" t="str">
        <f ca="1"/>
        <v/>
      </c>
      <c r="LI1523" s="42" t="str">
        <f ca="1"/>
        <v/>
      </c>
      <c r="LJ1523" s="42" t="str">
        <f ca="1"/>
        <v/>
      </c>
      <c r="LK1523" s="42" t="str">
        <f ca="1"/>
        <v/>
      </c>
      <c r="LL1523" s="42" t="str">
        <f ca="1"/>
        <v/>
      </c>
      <c r="LM1523" s="42" t="str">
        <f ca="1"/>
        <v/>
      </c>
      <c r="LN1523" s="42" t="str">
        <f ca="1"/>
        <v/>
      </c>
      <c r="LO1523" s="42" t="str">
        <f ca="1"/>
        <v/>
      </c>
      <c r="LP1523" s="42" t="str">
        <f ca="1"/>
        <v/>
      </c>
      <c r="LQ1523" s="42" t="str">
        <f ca="1"/>
        <v/>
      </c>
      <c r="LR1523" s="42" t="str">
        <f ca="1"/>
        <v/>
      </c>
      <c r="LS1523" s="42" t="str">
        <f ca="1"/>
        <v/>
      </c>
      <c r="LT1523" s="42" t="str">
        <f ca="1"/>
        <v/>
      </c>
      <c r="LU1523" s="42" t="str">
        <f ca="1"/>
        <v/>
      </c>
      <c r="LV1523" s="42" t="str">
        <f ca="1"/>
        <v/>
      </c>
      <c r="LW1523" s="42" t="str">
        <f ca="1"/>
        <v/>
      </c>
      <c r="LX1523" s="42" t="str">
        <f ca="1"/>
        <v/>
      </c>
      <c r="LY1523" s="42" t="str">
        <f ca="1"/>
        <v/>
      </c>
      <c r="LZ1523" s="42" t="str">
        <f ca="1"/>
        <v/>
      </c>
      <c r="MA1523" s="42" t="str">
        <f ca="1"/>
        <v/>
      </c>
      <c r="MB1523" s="42" t="str">
        <f ca="1"/>
        <v/>
      </c>
      <c r="MC1523" s="42" t="str">
        <f ca="1"/>
        <v/>
      </c>
      <c r="MD1523" s="42" t="str">
        <f ca="1"/>
        <v/>
      </c>
      <c r="ME1523" s="42" t="str">
        <f ca="1"/>
        <v/>
      </c>
      <c r="MF1523" s="42" t="str">
        <f ca="1"/>
        <v/>
      </c>
      <c r="MG1523" s="42" t="str">
        <f ca="1"/>
        <v/>
      </c>
      <c r="MH1523" s="42" t="str">
        <f ca="1"/>
        <v/>
      </c>
      <c r="MI1523" s="42" t="str">
        <f ca="1"/>
        <v/>
      </c>
      <c r="MJ1523" s="42" t="str">
        <f ca="1"/>
        <v/>
      </c>
      <c r="MK1523" s="42" t="str">
        <f ca="1"/>
        <v/>
      </c>
      <c r="ML1523" s="42" t="str">
        <f ca="1"/>
        <v/>
      </c>
      <c r="MM1523" s="42" t="str">
        <f ca="1"/>
        <v/>
      </c>
      <c r="MN1523" s="42" t="str">
        <f ca="1"/>
        <v/>
      </c>
      <c r="MO1523" s="42" t="str">
        <f ca="1"/>
        <v/>
      </c>
      <c r="MP1523" s="42" t="str">
        <f ca="1"/>
        <v/>
      </c>
      <c r="MQ1523" s="42" t="str">
        <f ca="1"/>
        <v/>
      </c>
      <c r="MR1523" s="42" t="str">
        <f ca="1"/>
        <v/>
      </c>
      <c r="MS1523" s="42" t="str">
        <f ca="1"/>
        <v/>
      </c>
      <c r="MT1523" s="42" t="str">
        <f ca="1"/>
        <v/>
      </c>
      <c r="MU1523" s="42" t="str">
        <f ca="1"/>
        <v/>
      </c>
      <c r="MV1523" s="42" t="str">
        <f ca="1"/>
        <v/>
      </c>
      <c r="MW1523" s="42" t="str">
        <f ca="1"/>
        <v/>
      </c>
      <c r="MX1523" s="42" t="str">
        <f ca="1"/>
        <v/>
      </c>
      <c r="MY1523" s="42" t="str">
        <f ca="1"/>
        <v/>
      </c>
      <c r="MZ1523" s="42" t="str">
        <f ca="1"/>
        <v/>
      </c>
      <c r="NA1523" s="42" t="str">
        <f ca="1"/>
        <v/>
      </c>
      <c r="NB1523" s="42" t="str">
        <f ca="1"/>
        <v/>
      </c>
      <c r="NC1523" s="42" t="str">
        <f ca="1"/>
        <v/>
      </c>
      <c r="ND1523" s="42" t="str">
        <f ca="1"/>
        <v/>
      </c>
      <c r="NE1523" s="42" t="str">
        <f ca="1"/>
        <v/>
      </c>
      <c r="NF1523" s="42" t="str">
        <f ca="1"/>
        <v/>
      </c>
      <c r="NG1523" s="42" t="str">
        <f ca="1"/>
        <v/>
      </c>
      <c r="NH1523" s="42" t="str">
        <f ca="1"/>
        <v/>
      </c>
      <c r="NI1523" s="42" t="str">
        <f ca="1"/>
        <v/>
      </c>
      <c r="NJ1523" s="42" t="str">
        <f ca="1"/>
        <v/>
      </c>
      <c r="NK1523" s="42" t="str">
        <f ca="1"/>
        <v/>
      </c>
      <c r="NL1523" s="42" t="str">
        <f ca="1"/>
        <v/>
      </c>
      <c r="NM1523" s="42" t="str">
        <f ca="1"/>
        <v/>
      </c>
      <c r="NN1523" s="42" t="str">
        <f ca="1"/>
        <v/>
      </c>
      <c r="NO1523" s="42" t="str">
        <f ca="1"/>
        <v/>
      </c>
      <c r="NP1523" s="42" t="str">
        <f ca="1"/>
        <v/>
      </c>
      <c r="NQ1523" s="42" t="str">
        <f ca="1"/>
        <v/>
      </c>
      <c r="NR1523" s="42" t="str">
        <f ca="1"/>
        <v/>
      </c>
      <c r="NS1523" s="42" t="str">
        <f ca="1"/>
        <v/>
      </c>
      <c r="NT1523" s="42" t="str">
        <f ca="1"/>
        <v/>
      </c>
      <c r="NU1523" s="42" t="str">
        <f ca="1"/>
        <v/>
      </c>
      <c r="NV1523" s="42" t="str">
        <f ca="1"/>
        <v/>
      </c>
      <c r="NW1523" s="42" t="str">
        <f ca="1"/>
        <v/>
      </c>
      <c r="NX1523" s="42" t="str">
        <f ca="1"/>
        <v/>
      </c>
      <c r="NY1523" s="42" t="str">
        <f ca="1"/>
        <v/>
      </c>
      <c r="NZ1523" s="42" t="str">
        <f ca="1"/>
        <v/>
      </c>
      <c r="OA1523" s="42" t="str">
        <f ca="1"/>
        <v/>
      </c>
      <c r="OB1523" s="42" t="str">
        <f ca="1"/>
        <v/>
      </c>
      <c r="OC1523" s="42" t="str">
        <f ca="1"/>
        <v/>
      </c>
      <c r="OD1523" s="42" t="str">
        <f ca="1"/>
        <v/>
      </c>
      <c r="OE1523" s="42" t="str">
        <f ca="1"/>
        <v/>
      </c>
      <c r="OF1523" s="42" t="str">
        <f ca="1"/>
        <v/>
      </c>
      <c r="OG1523" s="42" t="str">
        <f ca="1"/>
        <v/>
      </c>
      <c r="OH1523" s="42" t="str">
        <f ca="1"/>
        <v/>
      </c>
      <c r="OI1523" s="42" t="str">
        <f ca="1"/>
        <v/>
      </c>
      <c r="OJ1523" s="42" t="str">
        <f ca="1"/>
        <v/>
      </c>
      <c r="OK1523" s="42" t="str">
        <f ca="1"/>
        <v/>
      </c>
      <c r="OL1523" s="42" t="str">
        <f ca="1"/>
        <v/>
      </c>
      <c r="OM1523" s="42" t="str">
        <f ca="1"/>
        <v/>
      </c>
      <c r="ON1523" s="42" t="str">
        <f ca="1"/>
        <v/>
      </c>
      <c r="OO1523" s="42" t="str">
        <f ca="1"/>
        <v/>
      </c>
      <c r="OP1523" s="42" t="str">
        <f ca="1"/>
        <v/>
      </c>
      <c r="OQ1523" s="42" t="str">
        <f ca="1"/>
        <v/>
      </c>
      <c r="OR1523" s="42" t="str">
        <f ca="1"/>
        <v/>
      </c>
      <c r="OS1523" s="42" t="str">
        <f ca="1"/>
        <v/>
      </c>
      <c r="OT1523" s="42" t="str">
        <f ca="1"/>
        <v/>
      </c>
      <c r="OU1523" s="42" t="str">
        <f ca="1"/>
        <v/>
      </c>
      <c r="OV1523" s="42" t="str">
        <f ca="1"/>
        <v/>
      </c>
      <c r="OW1523" s="42" t="str">
        <f ca="1"/>
        <v/>
      </c>
      <c r="OX1523" s="42" t="str">
        <f ca="1"/>
        <v/>
      </c>
      <c r="OY1523" s="42" t="str">
        <f ca="1"/>
        <v/>
      </c>
      <c r="OZ1523" s="42" t="str">
        <f ca="1"/>
        <v/>
      </c>
      <c r="PA1523" s="42" t="str">
        <f ca="1"/>
        <v/>
      </c>
      <c r="PB1523" s="42" t="str">
        <f ca="1"/>
        <v/>
      </c>
      <c r="PC1523" s="42" t="str">
        <f ca="1"/>
        <v/>
      </c>
      <c r="PD1523" s="42" t="str">
        <f ca="1"/>
        <v/>
      </c>
      <c r="PE1523" s="42" t="str">
        <f ca="1"/>
        <v/>
      </c>
      <c r="PF1523" s="42" t="str">
        <f ca="1"/>
        <v/>
      </c>
      <c r="PG1523" s="42" t="str">
        <f ca="1"/>
        <v/>
      </c>
      <c r="PH1523" s="42" t="str">
        <f ca="1"/>
        <v/>
      </c>
      <c r="PI1523" s="42" t="str">
        <f ca="1"/>
        <v/>
      </c>
      <c r="PJ1523" s="42" t="str">
        <f ca="1"/>
        <v/>
      </c>
      <c r="PK1523" s="42" t="str">
        <f ca="1"/>
        <v/>
      </c>
      <c r="PL1523" s="42" t="str">
        <f ca="1"/>
        <v/>
      </c>
      <c r="PM1523" s="42" t="str">
        <f ca="1"/>
        <v/>
      </c>
      <c r="PN1523" s="42" t="str">
        <f ca="1"/>
        <v/>
      </c>
      <c r="PO1523" s="42" t="str">
        <f ca="1"/>
        <v/>
      </c>
      <c r="PP1523" s="42" t="str">
        <f ca="1"/>
        <v/>
      </c>
      <c r="PQ1523" s="42" t="str">
        <f ca="1"/>
        <v/>
      </c>
      <c r="PR1523" s="42" t="str">
        <f ca="1"/>
        <v/>
      </c>
      <c r="PS1523" s="42" t="str">
        <f ca="1"/>
        <v/>
      </c>
      <c r="PT1523" s="42" t="str">
        <f ca="1"/>
        <v/>
      </c>
      <c r="PU1523" s="42" t="str">
        <f ca="1"/>
        <v/>
      </c>
      <c r="PV1523" s="42" t="str">
        <f ca="1"/>
        <v/>
      </c>
      <c r="PW1523" s="42" t="str">
        <f ca="1"/>
        <v/>
      </c>
      <c r="PX1523" s="42" t="str">
        <f ca="1"/>
        <v/>
      </c>
      <c r="PY1523" s="42" t="str">
        <f ca="1"/>
        <v/>
      </c>
      <c r="PZ1523" s="42" t="str">
        <f ca="1"/>
        <v/>
      </c>
      <c r="QA1523" s="42" t="str">
        <f ca="1"/>
        <v/>
      </c>
      <c r="QB1523" s="42" t="str">
        <f ca="1"/>
        <v/>
      </c>
      <c r="QC1523" s="42" t="str">
        <f ca="1"/>
        <v/>
      </c>
      <c r="QD1523" s="42" t="str">
        <f ca="1"/>
        <v/>
      </c>
      <c r="QE1523" s="42" t="str">
        <f ca="1"/>
        <v/>
      </c>
      <c r="QF1523" s="42" t="str">
        <f ca="1"/>
        <v/>
      </c>
      <c r="QG1523" s="42" t="str">
        <f ca="1"/>
        <v/>
      </c>
      <c r="QH1523" s="42" t="str">
        <f ca="1"/>
        <v/>
      </c>
      <c r="QI1523" s="42" t="str">
        <f ca="1"/>
        <v/>
      </c>
      <c r="QJ1523" s="42" t="str">
        <f ca="1"/>
        <v/>
      </c>
      <c r="QK1523" s="42" t="str">
        <f ca="1"/>
        <v/>
      </c>
      <c r="QL1523" s="42" t="str">
        <f ca="1"/>
        <v/>
      </c>
      <c r="QM1523" s="42" t="str">
        <f ca="1"/>
        <v/>
      </c>
      <c r="QN1523" s="42" t="str">
        <f ca="1"/>
        <v/>
      </c>
      <c r="QO1523" s="42" t="str">
        <f ca="1"/>
        <v/>
      </c>
      <c r="QP1523" s="42" t="str">
        <f ca="1"/>
        <v/>
      </c>
      <c r="QQ1523" s="42" t="str">
        <f ca="1"/>
        <v/>
      </c>
      <c r="QR1523" s="42" t="str">
        <f ca="1"/>
        <v/>
      </c>
      <c r="QS1523" s="42" t="str">
        <f ca="1"/>
        <v/>
      </c>
      <c r="QT1523" s="42" t="str">
        <f ca="1"/>
        <v/>
      </c>
      <c r="QU1523" s="42" t="str">
        <f ca="1"/>
        <v/>
      </c>
      <c r="QV1523" s="42" t="str">
        <f ca="1"/>
        <v/>
      </c>
      <c r="QW1523" s="42" t="str">
        <f ca="1"/>
        <v/>
      </c>
      <c r="QX1523" s="42" t="str">
        <f ca="1"/>
        <v/>
      </c>
      <c r="QY1523" s="42" t="str">
        <f ca="1"/>
        <v/>
      </c>
      <c r="QZ1523" s="42" t="str">
        <f ca="1"/>
        <v/>
      </c>
      <c r="RA1523" s="42" t="str">
        <f ca="1"/>
        <v/>
      </c>
      <c r="RB1523" s="42" t="str">
        <f ca="1"/>
        <v/>
      </c>
      <c r="RC1523" s="42" t="str">
        <f ca="1"/>
        <v/>
      </c>
      <c r="RD1523" s="42" t="str">
        <f ca="1"/>
        <v/>
      </c>
      <c r="RE1523" s="42" t="str">
        <f ca="1"/>
        <v/>
      </c>
      <c r="RF1523" s="42" t="str">
        <f ca="1"/>
        <v/>
      </c>
      <c r="RG1523" s="42" t="str">
        <f ca="1"/>
        <v/>
      </c>
      <c r="RH1523" s="42" t="str">
        <f ca="1"/>
        <v/>
      </c>
      <c r="RI1523" s="42" t="str">
        <f ca="1"/>
        <v/>
      </c>
      <c r="RJ1523" s="42" t="str">
        <f ca="1"/>
        <v/>
      </c>
      <c r="RK1523" s="42" t="str">
        <f ca="1"/>
        <v/>
      </c>
      <c r="RL1523" s="42" t="str">
        <f ca="1"/>
        <v/>
      </c>
      <c r="RM1523" s="42" t="str">
        <f ca="1"/>
        <v/>
      </c>
      <c r="RN1523" s="42" t="str">
        <f ca="1"/>
        <v/>
      </c>
      <c r="RO1523" s="42" t="str">
        <f ca="1"/>
        <v/>
      </c>
      <c r="RP1523" s="42" t="str">
        <f ca="1"/>
        <v/>
      </c>
      <c r="RQ1523" s="42" t="str">
        <f ca="1"/>
        <v/>
      </c>
      <c r="RR1523" s="42" t="str">
        <f ca="1"/>
        <v/>
      </c>
      <c r="RS1523" s="42" t="str">
        <f ca="1"/>
        <v/>
      </c>
      <c r="RT1523" s="42" t="str">
        <f ca="1"/>
        <v/>
      </c>
      <c r="RU1523" s="42" t="str">
        <f ca="1"/>
        <v/>
      </c>
      <c r="RV1523" s="42" t="str">
        <f ca="1"/>
        <v/>
      </c>
      <c r="RW1523" s="42" t="str">
        <f ca="1"/>
        <v/>
      </c>
      <c r="RX1523" s="42" t="str">
        <f ca="1"/>
        <v/>
      </c>
      <c r="RY1523" s="42" t="str">
        <f ca="1"/>
        <v/>
      </c>
      <c r="RZ1523" s="42" t="str">
        <f ca="1"/>
        <v/>
      </c>
      <c r="SA1523" s="42" t="str">
        <f ca="1"/>
        <v/>
      </c>
      <c r="SB1523" s="42" t="str">
        <f ca="1"/>
        <v/>
      </c>
      <c r="SC1523" s="42" t="str">
        <f ca="1"/>
        <v/>
      </c>
      <c r="SD1523" s="42" t="str">
        <f ca="1"/>
        <v/>
      </c>
      <c r="SE1523" s="42" t="str">
        <f ca="1"/>
        <v/>
      </c>
      <c r="SF1523" s="42" t="str">
        <f ca="1"/>
        <v/>
      </c>
      <c r="SG1523" s="42" t="str">
        <f ca="1"/>
        <v/>
      </c>
      <c r="SH1523" s="42" t="str">
        <f ca="1"/>
        <v/>
      </c>
      <c r="SI1523" s="42" t="str">
        <f ca="1"/>
        <v/>
      </c>
      <c r="SJ1523" s="42" t="str">
        <f ca="1"/>
        <v/>
      </c>
      <c r="SK1523" s="42" t="str">
        <f ca="1"/>
        <v/>
      </c>
      <c r="SL1523" s="42" t="str">
        <f ca="1"/>
        <v/>
      </c>
      <c r="SM1523" s="42" t="str">
        <f ca="1"/>
        <v/>
      </c>
      <c r="SN1523" s="42" t="str">
        <f ca="1"/>
        <v/>
      </c>
      <c r="SO1523" s="42" t="str">
        <f ca="1"/>
        <v/>
      </c>
      <c r="SP1523" s="42" t="str">
        <f ca="1"/>
        <v/>
      </c>
      <c r="SQ1523" s="42" t="str">
        <f ca="1"/>
        <v/>
      </c>
      <c r="SR1523" s="42" t="str">
        <f ca="1"/>
        <v/>
      </c>
      <c r="SS1523" s="42" t="str">
        <f ca="1"/>
        <v/>
      </c>
      <c r="ST1523" s="42" t="str">
        <f ca="1"/>
        <v/>
      </c>
      <c r="SU1523" s="42" t="str">
        <f ca="1"/>
        <v/>
      </c>
      <c r="SV1523" s="42" t="str">
        <f ca="1"/>
        <v/>
      </c>
      <c r="SW1523" s="42" t="str">
        <f ca="1"/>
        <v/>
      </c>
      <c r="SX1523" s="42" t="str">
        <f ca="1"/>
        <v/>
      </c>
      <c r="SY1523" s="42" t="str">
        <f ca="1"/>
        <v/>
      </c>
      <c r="SZ1523" s="42" t="str">
        <f ca="1"/>
        <v/>
      </c>
      <c r="TA1523" s="42" t="str">
        <f ca="1"/>
        <v/>
      </c>
      <c r="TB1523" s="42" t="str">
        <f ca="1"/>
        <v/>
      </c>
      <c r="TC1523" s="42" t="str">
        <f ca="1"/>
        <v/>
      </c>
      <c r="TD1523" s="42" t="str">
        <f ca="1"/>
        <v/>
      </c>
      <c r="TE1523" s="42" t="str">
        <f ca="1"/>
        <v/>
      </c>
      <c r="TF1523" s="42" t="str">
        <f ca="1"/>
        <v/>
      </c>
      <c r="TG1523" s="42" t="str">
        <f ca="1"/>
        <v/>
      </c>
      <c r="TH1523" s="42" t="str">
        <f ca="1"/>
        <v/>
      </c>
      <c r="TI1523" s="42" t="str">
        <f ca="1"/>
        <v/>
      </c>
      <c r="TJ1523" s="42" t="str">
        <f ca="1"/>
        <v/>
      </c>
      <c r="TK1523" s="42" t="str">
        <f ca="1"/>
        <v/>
      </c>
      <c r="TL1523" s="42" t="str">
        <f ca="1"/>
        <v/>
      </c>
      <c r="TM1523" s="42" t="str">
        <f ca="1"/>
        <v/>
      </c>
      <c r="TN1523" s="42" t="str">
        <f ca="1"/>
        <v/>
      </c>
      <c r="TO1523" s="42" t="str">
        <f ca="1"/>
        <v/>
      </c>
      <c r="TP1523" s="42" t="str">
        <f ca="1"/>
        <v/>
      </c>
      <c r="TQ1523" s="42" t="str">
        <f ca="1"/>
        <v/>
      </c>
      <c r="TR1523" s="42" t="str">
        <f ca="1"/>
        <v/>
      </c>
      <c r="TS1523" s="42" t="str">
        <f ca="1"/>
        <v/>
      </c>
      <c r="TT1523" s="42" t="str">
        <f ca="1"/>
        <v/>
      </c>
      <c r="TU1523" s="42" t="str">
        <f ca="1"/>
        <v/>
      </c>
      <c r="TV1523" s="42" t="str">
        <f ca="1"/>
        <v/>
      </c>
      <c r="TW1523" s="42" t="str">
        <f ca="1"/>
        <v/>
      </c>
      <c r="TX1523" s="42" t="str">
        <f ca="1"/>
        <v/>
      </c>
      <c r="TY1523" s="42" t="str">
        <f ca="1"/>
        <v/>
      </c>
      <c r="TZ1523" s="42" t="str">
        <f ca="1"/>
        <v/>
      </c>
      <c r="UA1523" s="42" t="str">
        <f ca="1"/>
        <v/>
      </c>
      <c r="UB1523" s="42" t="str">
        <f ca="1"/>
        <v/>
      </c>
      <c r="UC1523" s="42" t="str">
        <f ca="1"/>
        <v/>
      </c>
      <c r="UD1523" s="42" t="str">
        <f ca="1"/>
        <v/>
      </c>
      <c r="UE1523" s="42" t="str">
        <f ca="1"/>
        <v/>
      </c>
      <c r="UF1523" s="42" t="str">
        <f ca="1"/>
        <v/>
      </c>
      <c r="UG1523" s="42" t="str">
        <f ca="1"/>
        <v/>
      </c>
      <c r="UH1523" s="42" t="str">
        <f ca="1"/>
        <v/>
      </c>
      <c r="UI1523" s="42" t="str">
        <f ca="1"/>
        <v/>
      </c>
      <c r="UJ1523" s="42" t="str">
        <f ca="1"/>
        <v/>
      </c>
      <c r="UK1523" s="42" t="str">
        <f ca="1"/>
        <v/>
      </c>
      <c r="UL1523" s="42" t="str">
        <f ca="1"/>
        <v/>
      </c>
      <c r="UM1523" s="42" t="str">
        <f ca="1"/>
        <v/>
      </c>
      <c r="UN1523" s="42" t="str">
        <f ca="1"/>
        <v/>
      </c>
      <c r="UO1523" s="42" t="str">
        <f ca="1"/>
        <v/>
      </c>
      <c r="UP1523" s="42" t="str">
        <f ca="1"/>
        <v/>
      </c>
      <c r="UQ1523" s="42" t="str">
        <f ca="1"/>
        <v/>
      </c>
      <c r="UR1523" s="42" t="str">
        <f ca="1"/>
        <v/>
      </c>
      <c r="US1523" s="42" t="str">
        <f ca="1"/>
        <v/>
      </c>
      <c r="UT1523" s="42" t="str">
        <f ca="1"/>
        <v/>
      </c>
      <c r="UU1523" s="42" t="str">
        <f ca="1"/>
        <v/>
      </c>
      <c r="UV1523" s="42" t="str">
        <f ca="1"/>
        <v/>
      </c>
      <c r="UW1523" s="42" t="str">
        <f ca="1"/>
        <v/>
      </c>
      <c r="UX1523" s="42" t="str">
        <f ca="1"/>
        <v/>
      </c>
      <c r="UY1523" s="42" t="str">
        <f ca="1"/>
        <v/>
      </c>
      <c r="UZ1523" s="42" t="str">
        <f ca="1"/>
        <v/>
      </c>
      <c r="VA1523" s="42" t="str">
        <f ca="1"/>
        <v/>
      </c>
      <c r="VB1523" s="42" t="str">
        <f ca="1"/>
        <v/>
      </c>
      <c r="VC1523" s="42" t="str">
        <f ca="1"/>
        <v/>
      </c>
      <c r="VD1523" s="42" t="str">
        <f ca="1"/>
        <v/>
      </c>
      <c r="VE1523" s="42" t="str">
        <f ca="1"/>
        <v/>
      </c>
      <c r="VF1523" s="42" t="str">
        <f ca="1"/>
        <v/>
      </c>
      <c r="VG1523" s="42" t="str">
        <f ca="1"/>
        <v/>
      </c>
      <c r="VH1523" s="42" t="str">
        <f ca="1"/>
        <v/>
      </c>
      <c r="VI1523" s="42" t="str">
        <f ca="1"/>
        <v/>
      </c>
      <c r="VJ1523" s="42" t="str">
        <f ca="1"/>
        <v/>
      </c>
      <c r="VK1523" s="42" t="str">
        <f ca="1"/>
        <v/>
      </c>
      <c r="VL1523" s="42" t="str">
        <f ca="1"/>
        <v/>
      </c>
      <c r="VM1523" s="42" t="str">
        <f ca="1"/>
        <v/>
      </c>
      <c r="VN1523" s="42" t="str">
        <f ca="1"/>
        <v/>
      </c>
      <c r="VO1523" s="42" t="str">
        <f ca="1"/>
        <v/>
      </c>
      <c r="VP1523" s="42" t="str">
        <f ca="1"/>
        <v/>
      </c>
      <c r="VQ1523" s="42" t="str">
        <f ca="1"/>
        <v/>
      </c>
      <c r="VR1523" s="42" t="str">
        <f ca="1"/>
        <v/>
      </c>
      <c r="VS1523" s="42" t="str">
        <f ca="1"/>
        <v/>
      </c>
      <c r="VT1523" s="42" t="str">
        <f ca="1"/>
        <v/>
      </c>
      <c r="VU1523" s="42" t="str">
        <f ca="1"/>
        <v/>
      </c>
      <c r="VV1523" s="42" t="str">
        <f ca="1"/>
        <v/>
      </c>
      <c r="VW1523" s="42" t="str">
        <f ca="1"/>
        <v/>
      </c>
      <c r="VX1523" s="42" t="str">
        <f ca="1"/>
        <v/>
      </c>
      <c r="VY1523" s="42" t="str">
        <f ca="1"/>
        <v/>
      </c>
      <c r="VZ1523" s="42" t="str">
        <f ca="1"/>
        <v/>
      </c>
      <c r="WA1523" s="42" t="str">
        <f ca="1"/>
        <v/>
      </c>
      <c r="WB1523" s="42" t="str">
        <f ca="1"/>
        <v/>
      </c>
      <c r="WC1523" s="42" t="str">
        <f ca="1"/>
        <v/>
      </c>
      <c r="WD1523" s="42" t="str">
        <f ca="1"/>
        <v/>
      </c>
      <c r="WE1523" s="42" t="str">
        <f ca="1"/>
        <v/>
      </c>
      <c r="WF1523" s="42" t="str">
        <f ca="1"/>
        <v/>
      </c>
      <c r="WG1523" s="42" t="str">
        <f ca="1"/>
        <v/>
      </c>
      <c r="WH1523" s="42" t="str">
        <f ca="1"/>
        <v/>
      </c>
      <c r="WI1523" s="42" t="str">
        <f ca="1"/>
        <v/>
      </c>
      <c r="WJ1523" s="42" t="str">
        <f ca="1"/>
        <v/>
      </c>
      <c r="WK1523" s="42" t="str">
        <f ca="1"/>
        <v/>
      </c>
      <c r="WL1523" s="42" t="str">
        <f ca="1"/>
        <v/>
      </c>
      <c r="WM1523" s="42" t="str">
        <f ca="1"/>
        <v/>
      </c>
      <c r="WN1523" s="42" t="str">
        <f ca="1"/>
        <v/>
      </c>
      <c r="WO1523" s="42" t="str">
        <f ca="1"/>
        <v/>
      </c>
      <c r="WP1523" s="42" t="str">
        <f ca="1"/>
        <v/>
      </c>
      <c r="WQ1523" s="42" t="str">
        <f ca="1"/>
        <v/>
      </c>
      <c r="WR1523" s="42" t="str">
        <f ca="1"/>
        <v/>
      </c>
      <c r="WS1523" s="42" t="str">
        <f ca="1"/>
        <v/>
      </c>
      <c r="WT1523" s="42" t="str">
        <f ca="1"/>
        <v/>
      </c>
      <c r="WU1523" s="42" t="str">
        <f ca="1"/>
        <v/>
      </c>
      <c r="WV1523" s="42" t="str">
        <f ca="1"/>
        <v/>
      </c>
      <c r="WW1523" s="42" t="str">
        <f ca="1"/>
        <v/>
      </c>
      <c r="WX1523" s="42" t="str">
        <f ca="1"/>
        <v/>
      </c>
      <c r="WY1523" s="42" t="str">
        <f ca="1"/>
        <v/>
      </c>
      <c r="WZ1523" s="42" t="str">
        <f ca="1"/>
        <v/>
      </c>
      <c r="XA1523" s="42" t="str">
        <f ca="1"/>
        <v/>
      </c>
      <c r="XB1523" s="42" t="str">
        <f ca="1"/>
        <v/>
      </c>
      <c r="XC1523" s="42" t="str">
        <f ca="1"/>
        <v/>
      </c>
      <c r="XD1523" s="42" t="str">
        <f ca="1"/>
        <v/>
      </c>
      <c r="XE1523" s="42" t="str">
        <f ca="1"/>
        <v/>
      </c>
      <c r="XF1523" s="42" t="str">
        <f ca="1"/>
        <v/>
      </c>
      <c r="XG1523" s="42" t="str">
        <f ca="1"/>
        <v/>
      </c>
      <c r="XH1523" s="42" t="str">
        <f ca="1"/>
        <v/>
      </c>
      <c r="XI1523" s="42" t="str">
        <f ca="1"/>
        <v/>
      </c>
      <c r="XJ1523" s="42" t="str">
        <f ca="1"/>
        <v/>
      </c>
      <c r="XK1523" s="42" t="str">
        <f ca="1"/>
        <v/>
      </c>
      <c r="XL1523" s="42" t="str">
        <f ca="1"/>
        <v/>
      </c>
      <c r="XM1523" s="42" t="str">
        <f ca="1"/>
        <v/>
      </c>
      <c r="XN1523" s="42" t="str">
        <f ca="1"/>
        <v/>
      </c>
      <c r="XO1523" s="42" t="str">
        <f ca="1"/>
        <v/>
      </c>
      <c r="XP1523" s="42" t="str">
        <f ca="1"/>
        <v/>
      </c>
      <c r="XQ1523" s="42" t="str">
        <f ca="1"/>
        <v/>
      </c>
      <c r="XR1523" s="42" t="str">
        <f ca="1"/>
        <v/>
      </c>
      <c r="XS1523" s="42" t="str">
        <f ca="1"/>
        <v/>
      </c>
      <c r="XT1523" s="42" t="str">
        <f ca="1"/>
        <v/>
      </c>
      <c r="XU1523" s="42" t="str">
        <f ca="1"/>
        <v/>
      </c>
      <c r="XV1523" s="42" t="str">
        <f ca="1"/>
        <v/>
      </c>
      <c r="XW1523" s="42" t="str">
        <f ca="1"/>
        <v/>
      </c>
      <c r="XX1523" s="42" t="str">
        <f ca="1"/>
        <v/>
      </c>
      <c r="XY1523" s="42" t="str">
        <f ca="1"/>
        <v/>
      </c>
      <c r="XZ1523" s="42" t="str">
        <f ca="1"/>
        <v/>
      </c>
      <c r="YA1523" s="42" t="str">
        <f ca="1"/>
        <v/>
      </c>
      <c r="YB1523" s="42" t="str">
        <f ca="1"/>
        <v/>
      </c>
      <c r="YC1523" s="42" t="str">
        <f ca="1"/>
        <v/>
      </c>
      <c r="YD1523" s="42" t="str">
        <f ca="1"/>
        <v/>
      </c>
      <c r="YE1523" s="42" t="str">
        <f ca="1"/>
        <v/>
      </c>
      <c r="YF1523" s="42" t="str">
        <f ca="1"/>
        <v/>
      </c>
      <c r="YG1523" s="42" t="str">
        <f ca="1"/>
        <v/>
      </c>
      <c r="YH1523" s="42" t="str">
        <f ca="1"/>
        <v/>
      </c>
      <c r="YI1523" s="42" t="str">
        <f ca="1"/>
        <v/>
      </c>
      <c r="YJ1523" s="42" t="str">
        <f ca="1"/>
        <v/>
      </c>
      <c r="YK1523" s="42" t="str">
        <f ca="1"/>
        <v/>
      </c>
      <c r="YL1523" s="42" t="str">
        <f ca="1"/>
        <v/>
      </c>
      <c r="YM1523" s="42" t="str">
        <f ca="1"/>
        <v/>
      </c>
      <c r="YN1523" s="42" t="str">
        <f ca="1"/>
        <v/>
      </c>
      <c r="YO1523" s="42" t="str">
        <f ca="1"/>
        <v/>
      </c>
      <c r="YP1523" s="42" t="str">
        <f ca="1"/>
        <v/>
      </c>
      <c r="YQ1523" s="42" t="str">
        <f ca="1"/>
        <v/>
      </c>
      <c r="YR1523" s="42" t="str">
        <f ca="1"/>
        <v/>
      </c>
      <c r="YS1523" s="42" t="str">
        <f ca="1"/>
        <v/>
      </c>
      <c r="YT1523" s="42" t="str">
        <f ca="1"/>
        <v/>
      </c>
      <c r="YU1523" s="42" t="str">
        <f ca="1"/>
        <v/>
      </c>
      <c r="YV1523" s="42" t="str">
        <f ca="1"/>
        <v/>
      </c>
      <c r="YW1523" s="42" t="str">
        <f ca="1"/>
        <v/>
      </c>
      <c r="YX1523" s="42" t="str">
        <f ca="1"/>
        <v/>
      </c>
      <c r="YY1523" s="42" t="str">
        <f ca="1"/>
        <v/>
      </c>
      <c r="YZ1523" s="42" t="str">
        <f ca="1"/>
        <v/>
      </c>
      <c r="ZA1523" s="42" t="str">
        <f ca="1"/>
        <v/>
      </c>
      <c r="ZB1523" s="42" t="str">
        <f ca="1"/>
        <v/>
      </c>
      <c r="ZC1523" s="42" t="str">
        <f ca="1"/>
        <v/>
      </c>
      <c r="ZD1523" s="42" t="str">
        <f ca="1"/>
        <v/>
      </c>
      <c r="ZE1523" s="42" t="str">
        <f ca="1"/>
        <v/>
      </c>
      <c r="ZF1523" s="42" t="str">
        <f ca="1"/>
        <v/>
      </c>
      <c r="ZG1523" s="42" t="str">
        <f ca="1"/>
        <v/>
      </c>
      <c r="ZH1523" s="42" t="str">
        <f ca="1"/>
        <v/>
      </c>
      <c r="ZI1523" s="42" t="str">
        <f ca="1"/>
        <v/>
      </c>
      <c r="ZJ1523" s="42" t="str">
        <f ca="1"/>
        <v/>
      </c>
      <c r="ZK1523" s="42" t="str">
        <f ca="1"/>
        <v/>
      </c>
      <c r="ZL1523" s="42" t="str">
        <f ca="1"/>
        <v/>
      </c>
      <c r="ZM1523" s="42" t="str">
        <f ca="1"/>
        <v/>
      </c>
      <c r="ZN1523" s="42" t="str">
        <f ca="1"/>
        <v/>
      </c>
      <c r="ZO1523" s="42" t="str">
        <f ca="1"/>
        <v/>
      </c>
      <c r="ZP1523" s="42" t="str">
        <f ca="1"/>
        <v/>
      </c>
      <c r="ZQ1523" s="42" t="str">
        <f ca="1"/>
        <v/>
      </c>
      <c r="ZR1523" s="42" t="str">
        <f ca="1"/>
        <v/>
      </c>
      <c r="ZS1523" s="42" t="str">
        <f ca="1"/>
        <v/>
      </c>
      <c r="ZT1523" s="42" t="str">
        <f ca="1"/>
        <v/>
      </c>
      <c r="ZU1523" s="42" t="str">
        <f ca="1"/>
        <v/>
      </c>
      <c r="ZV1523" s="42" t="str">
        <f ca="1"/>
        <v/>
      </c>
      <c r="ZW1523" s="42" t="str">
        <f ca="1"/>
        <v/>
      </c>
      <c r="ZX1523" s="42" t="str">
        <f ca="1"/>
        <v/>
      </c>
      <c r="ZY1523" s="42" t="str">
        <f ca="1"/>
        <v/>
      </c>
      <c r="ZZ1523" s="42" t="str">
        <f ca="1"/>
        <v/>
      </c>
      <c r="AAA1523" s="42" t="str">
        <f ca="1"/>
        <v/>
      </c>
      <c r="AAB1523" s="42" t="str">
        <f ca="1"/>
        <v/>
      </c>
      <c r="AAC1523" s="42" t="str">
        <f ca="1"/>
        <v/>
      </c>
      <c r="AAD1523" s="42" t="str">
        <f ca="1"/>
        <v/>
      </c>
      <c r="AAE1523" s="42" t="str">
        <f ca="1"/>
        <v/>
      </c>
      <c r="AAF1523" s="42" t="str">
        <f ca="1"/>
        <v/>
      </c>
      <c r="AAG1523" s="42" t="str">
        <f ca="1"/>
        <v/>
      </c>
      <c r="AAH1523" s="42" t="str">
        <f ca="1"/>
        <v/>
      </c>
      <c r="AAI1523" s="42" t="str">
        <f ca="1"/>
        <v/>
      </c>
      <c r="AAJ1523" s="42" t="str">
        <f ca="1"/>
        <v/>
      </c>
      <c r="AAK1523" s="42" t="str">
        <f ca="1"/>
        <v/>
      </c>
      <c r="AAL1523" s="42" t="str">
        <f ca="1"/>
        <v/>
      </c>
      <c r="AAM1523" s="42" t="str">
        <f ca="1"/>
        <v/>
      </c>
      <c r="AAN1523" s="42" t="str">
        <f ca="1"/>
        <v/>
      </c>
      <c r="AAO1523" s="42" t="str">
        <f ca="1"/>
        <v/>
      </c>
      <c r="AAP1523" s="42" t="str">
        <f ca="1"/>
        <v/>
      </c>
      <c r="AAQ1523" s="42" t="str">
        <f ca="1"/>
        <v/>
      </c>
      <c r="AAR1523" s="42" t="str">
        <f ca="1"/>
        <v/>
      </c>
      <c r="AAS1523" s="42" t="str">
        <f ca="1"/>
        <v/>
      </c>
      <c r="AAT1523" s="42" t="str">
        <f ca="1"/>
        <v/>
      </c>
      <c r="AAU1523" s="42" t="str">
        <f ca="1"/>
        <v/>
      </c>
      <c r="AAV1523" s="42" t="str">
        <f ca="1"/>
        <v/>
      </c>
      <c r="AAW1523" s="42" t="str">
        <f ca="1"/>
        <v/>
      </c>
      <c r="AAX1523" s="42" t="str">
        <f ca="1"/>
        <v/>
      </c>
      <c r="AAY1523" s="42" t="str">
        <f ca="1"/>
        <v/>
      </c>
      <c r="AAZ1523" s="42" t="str">
        <f ca="1"/>
        <v/>
      </c>
      <c r="ABA1523" s="42" t="str">
        <f ca="1"/>
        <v/>
      </c>
      <c r="ABB1523" s="42" t="str">
        <f ca="1"/>
        <v/>
      </c>
      <c r="ABC1523" s="42" t="str">
        <f ca="1"/>
        <v/>
      </c>
      <c r="ABD1523" s="42" t="str">
        <f ca="1"/>
        <v/>
      </c>
      <c r="ABE1523" s="42" t="str">
        <f ca="1"/>
        <v/>
      </c>
      <c r="ABF1523" s="42" t="str">
        <f ca="1"/>
        <v/>
      </c>
      <c r="ABG1523" s="42" t="str">
        <f ca="1"/>
        <v/>
      </c>
      <c r="ABH1523" s="42" t="str">
        <f ca="1"/>
        <v/>
      </c>
      <c r="ABI1523" s="42" t="str">
        <f ca="1"/>
        <v/>
      </c>
      <c r="ABJ1523" s="42" t="str">
        <f ca="1"/>
        <v/>
      </c>
      <c r="ABK1523" s="42" t="str">
        <f ca="1"/>
        <v/>
      </c>
      <c r="ABL1523" s="42" t="str">
        <f ca="1"/>
        <v/>
      </c>
      <c r="ABM1523" s="42" t="str">
        <f ca="1"/>
        <v/>
      </c>
      <c r="ABN1523" s="42" t="str">
        <f ca="1"/>
        <v/>
      </c>
      <c r="ABO1523" s="42" t="str">
        <f ca="1"/>
        <v/>
      </c>
      <c r="ABP1523" s="42" t="str">
        <f ca="1"/>
        <v/>
      </c>
      <c r="ABQ1523" s="42" t="str">
        <f ca="1"/>
        <v/>
      </c>
      <c r="ABR1523" s="42" t="str">
        <f ca="1"/>
        <v/>
      </c>
      <c r="ABS1523" s="42" t="str">
        <f ca="1"/>
        <v/>
      </c>
      <c r="ABT1523" s="42" t="str">
        <f ca="1"/>
        <v/>
      </c>
      <c r="ABU1523" s="42" t="str">
        <f ca="1"/>
        <v/>
      </c>
      <c r="ABV1523" s="42" t="str">
        <f ca="1"/>
        <v/>
      </c>
      <c r="ABW1523" s="42" t="str">
        <f ca="1"/>
        <v/>
      </c>
      <c r="ABX1523" s="42" t="str">
        <f ca="1"/>
        <v/>
      </c>
      <c r="ABY1523" s="42" t="str">
        <f ca="1"/>
        <v/>
      </c>
      <c r="ABZ1523" s="42" t="str">
        <f ca="1"/>
        <v/>
      </c>
      <c r="ACA1523" s="42" t="str">
        <f ca="1"/>
        <v/>
      </c>
      <c r="ACB1523" s="42" t="str">
        <f ca="1"/>
        <v/>
      </c>
      <c r="ACC1523" s="42" t="str">
        <f ca="1"/>
        <v/>
      </c>
      <c r="ACD1523" s="42" t="str">
        <f ca="1"/>
        <v/>
      </c>
      <c r="ACE1523" s="42" t="str">
        <f ca="1"/>
        <v/>
      </c>
      <c r="ACF1523" s="42" t="str">
        <f ca="1"/>
        <v/>
      </c>
      <c r="ACG1523" s="42" t="str">
        <f ca="1"/>
        <v/>
      </c>
      <c r="ACH1523" s="42" t="str">
        <f ca="1"/>
        <v/>
      </c>
      <c r="ACI1523" s="42" t="str">
        <f ca="1"/>
        <v/>
      </c>
      <c r="ACJ1523" s="42" t="str">
        <f ca="1"/>
        <v/>
      </c>
      <c r="ACK1523" s="42" t="str">
        <f ca="1"/>
        <v/>
      </c>
      <c r="ACL1523" s="42" t="str">
        <f ca="1"/>
        <v/>
      </c>
      <c r="ACM1523" s="42" t="str">
        <f ca="1"/>
        <v/>
      </c>
      <c r="ACN1523" s="42" t="str">
        <f ca="1"/>
        <v/>
      </c>
      <c r="ACO1523" s="42" t="str">
        <f ca="1"/>
        <v/>
      </c>
      <c r="ACP1523" s="42" t="str">
        <f ca="1"/>
        <v/>
      </c>
      <c r="ACQ1523" s="42" t="str">
        <f ca="1"/>
        <v/>
      </c>
      <c r="ACR1523" s="42" t="str">
        <f ca="1"/>
        <v/>
      </c>
      <c r="ACS1523" s="42" t="str">
        <f ca="1"/>
        <v/>
      </c>
      <c r="ACT1523" s="42" t="str">
        <f ca="1"/>
        <v/>
      </c>
      <c r="ACU1523" s="42" t="str">
        <f ca="1"/>
        <v/>
      </c>
      <c r="ACV1523" s="42" t="str">
        <f ca="1"/>
        <v/>
      </c>
      <c r="ACW1523" s="42" t="str">
        <f ca="1"/>
        <v/>
      </c>
      <c r="ACX1523" s="42" t="str">
        <f ca="1"/>
        <v/>
      </c>
      <c r="ACY1523" s="42" t="str">
        <f ca="1"/>
        <v/>
      </c>
      <c r="ACZ1523" s="42" t="str">
        <f ca="1"/>
        <v/>
      </c>
      <c r="ADA1523" s="42" t="str">
        <f ca="1"/>
        <v/>
      </c>
      <c r="ADB1523" s="42" t="str">
        <f ca="1"/>
        <v/>
      </c>
      <c r="ADC1523" s="42" t="str">
        <f ca="1"/>
        <v/>
      </c>
      <c r="ADD1523" s="42" t="str">
        <f ca="1"/>
        <v/>
      </c>
      <c r="ADE1523" s="42" t="str">
        <f ca="1"/>
        <v/>
      </c>
      <c r="ADF1523" s="42" t="str">
        <f ca="1"/>
        <v/>
      </c>
      <c r="ADG1523" s="42" t="str">
        <f ca="1"/>
        <v/>
      </c>
      <c r="ADH1523" s="42" t="str">
        <f ca="1"/>
        <v/>
      </c>
      <c r="ADI1523" s="42" t="str">
        <f ca="1"/>
        <v/>
      </c>
      <c r="ADJ1523" s="42" t="str">
        <f ca="1"/>
        <v/>
      </c>
      <c r="ADK1523" s="42" t="str">
        <f ca="1"/>
        <v/>
      </c>
      <c r="ADL1523" s="42" t="str">
        <f ca="1"/>
        <v/>
      </c>
      <c r="ADM1523" s="42" t="str">
        <f ca="1"/>
        <v/>
      </c>
      <c r="ADN1523" s="42" t="str">
        <f ca="1"/>
        <v/>
      </c>
      <c r="ADO1523" s="42" t="str">
        <f ca="1"/>
        <v/>
      </c>
      <c r="ADP1523" s="42" t="str">
        <f ca="1"/>
        <v/>
      </c>
      <c r="ADQ1523" s="42" t="str">
        <f ca="1"/>
        <v/>
      </c>
      <c r="ADR1523" s="42" t="str">
        <f ca="1"/>
        <v/>
      </c>
      <c r="ADS1523" s="42" t="str">
        <f ca="1"/>
        <v/>
      </c>
      <c r="ADT1523" s="42" t="str">
        <f ca="1"/>
        <v/>
      </c>
      <c r="ADU1523" s="42" t="str">
        <f ca="1"/>
        <v/>
      </c>
      <c r="ADV1523" s="42" t="str">
        <f ca="1"/>
        <v/>
      </c>
      <c r="ADW1523" s="42" t="str">
        <f ca="1"/>
        <v/>
      </c>
      <c r="ADX1523" s="42" t="str">
        <f ca="1"/>
        <v/>
      </c>
      <c r="ADY1523" s="42" t="str">
        <f ca="1"/>
        <v/>
      </c>
      <c r="ADZ1523" s="42" t="str">
        <f ca="1"/>
        <v/>
      </c>
      <c r="AEA1523" s="42" t="str">
        <f ca="1"/>
        <v/>
      </c>
      <c r="AEB1523" s="42" t="str">
        <f ca="1"/>
        <v/>
      </c>
      <c r="AEC1523" s="42" t="str">
        <f ca="1"/>
        <v/>
      </c>
      <c r="AED1523" s="42" t="str">
        <f ca="1"/>
        <v/>
      </c>
      <c r="AEE1523" s="42" t="str">
        <f ca="1"/>
        <v/>
      </c>
      <c r="AEF1523" s="42" t="str">
        <f ca="1"/>
        <v/>
      </c>
      <c r="AEG1523" s="42" t="str">
        <f ca="1"/>
        <v/>
      </c>
      <c r="AEH1523" s="42" t="str">
        <f ca="1"/>
        <v/>
      </c>
      <c r="AEI1523" s="42" t="str">
        <f ca="1"/>
        <v/>
      </c>
      <c r="AEJ1523" s="42" t="str">
        <f ca="1"/>
        <v/>
      </c>
      <c r="AEK1523" s="42" t="str">
        <f ca="1"/>
        <v/>
      </c>
      <c r="AEL1523" s="42" t="str">
        <f ca="1"/>
        <v/>
      </c>
      <c r="AEM1523" s="42" t="str">
        <f ca="1"/>
        <v/>
      </c>
      <c r="AEN1523" s="42" t="str">
        <f ca="1"/>
        <v/>
      </c>
      <c r="AEO1523" s="42" t="str">
        <f ca="1"/>
        <v/>
      </c>
      <c r="AEP1523" s="42" t="str">
        <f ca="1"/>
        <v/>
      </c>
      <c r="AEQ1523" s="42" t="str">
        <f ca="1"/>
        <v/>
      </c>
      <c r="AER1523" s="42" t="str">
        <f ca="1"/>
        <v/>
      </c>
      <c r="AES1523" s="42" t="str">
        <f ca="1"/>
        <v/>
      </c>
      <c r="AET1523" s="42" t="str">
        <f ca="1"/>
        <v/>
      </c>
      <c r="AEU1523" s="42" t="str">
        <f ca="1"/>
        <v/>
      </c>
      <c r="AEV1523" s="42" t="str">
        <f ca="1"/>
        <v/>
      </c>
      <c r="AEW1523" s="42" t="str">
        <f ca="1"/>
        <v/>
      </c>
      <c r="AEX1523" s="42" t="str">
        <f ca="1"/>
        <v/>
      </c>
      <c r="AEY1523" s="42" t="str">
        <f ca="1"/>
        <v/>
      </c>
      <c r="AEZ1523" s="42" t="str">
        <f ca="1"/>
        <v/>
      </c>
      <c r="AFA1523" s="42" t="str">
        <f ca="1"/>
        <v/>
      </c>
      <c r="AFB1523" s="42" t="str">
        <f ca="1"/>
        <v/>
      </c>
      <c r="AFC1523" s="42" t="str">
        <f ca="1"/>
        <v/>
      </c>
      <c r="AFD1523" s="42" t="str">
        <f ca="1"/>
        <v/>
      </c>
      <c r="AFE1523" s="42" t="str">
        <f ca="1"/>
        <v/>
      </c>
      <c r="AFF1523" s="42" t="str">
        <f ca="1"/>
        <v/>
      </c>
      <c r="AFG1523" s="42" t="str">
        <f ca="1"/>
        <v/>
      </c>
      <c r="AFH1523" s="42" t="str">
        <f ca="1"/>
        <v/>
      </c>
      <c r="AFI1523" s="42" t="str">
        <f ca="1"/>
        <v/>
      </c>
      <c r="AFJ1523" s="42" t="str">
        <f ca="1"/>
        <v/>
      </c>
      <c r="AFK1523" s="42" t="str">
        <f ca="1"/>
        <v/>
      </c>
      <c r="AFL1523" s="42" t="str">
        <f ca="1"/>
        <v/>
      </c>
      <c r="AFM1523" s="42" t="str">
        <f ca="1"/>
        <v/>
      </c>
      <c r="AFN1523" s="42" t="str">
        <f ca="1"/>
        <v/>
      </c>
      <c r="AFO1523" s="42" t="str">
        <f ca="1"/>
        <v/>
      </c>
      <c r="AFP1523" s="42" t="str">
        <f ca="1"/>
        <v/>
      </c>
      <c r="AFQ1523" s="42" t="str">
        <f ca="1"/>
        <v/>
      </c>
      <c r="AFR1523" s="42" t="str">
        <f ca="1"/>
        <v/>
      </c>
      <c r="AFS1523" s="42" t="str">
        <f ca="1"/>
        <v/>
      </c>
      <c r="AFT1523" s="42" t="str">
        <f ca="1"/>
        <v/>
      </c>
      <c r="AFU1523" s="42" t="str">
        <f ca="1"/>
        <v/>
      </c>
      <c r="AFV1523" s="42" t="str">
        <f ca="1"/>
        <v/>
      </c>
      <c r="AFW1523" s="42" t="str">
        <f ca="1"/>
        <v/>
      </c>
      <c r="AFX1523" s="42" t="str">
        <f ca="1"/>
        <v/>
      </c>
      <c r="AFY1523" s="42" t="str">
        <f ca="1"/>
        <v/>
      </c>
      <c r="AFZ1523" s="42" t="str">
        <f ca="1"/>
        <v/>
      </c>
      <c r="AGA1523" s="42" t="str">
        <f ca="1"/>
        <v/>
      </c>
      <c r="AGB1523" s="42" t="str">
        <f ca="1"/>
        <v/>
      </c>
      <c r="AGC1523" s="42" t="str">
        <f ca="1"/>
        <v/>
      </c>
      <c r="AGD1523" s="42" t="str">
        <f ca="1"/>
        <v/>
      </c>
      <c r="AGE1523" s="42" t="str">
        <f ca="1"/>
        <v/>
      </c>
      <c r="AGF1523" s="42" t="str">
        <f ca="1"/>
        <v/>
      </c>
      <c r="AGG1523" s="42" t="str">
        <f ca="1"/>
        <v/>
      </c>
      <c r="AGH1523" s="42" t="str">
        <f ca="1"/>
        <v/>
      </c>
      <c r="AGI1523" s="42" t="str">
        <f ca="1"/>
        <v/>
      </c>
      <c r="AGJ1523" s="42" t="str">
        <f ca="1"/>
        <v/>
      </c>
      <c r="AGK1523" s="42" t="str">
        <f ca="1"/>
        <v/>
      </c>
      <c r="AGL1523" s="42" t="str">
        <f ca="1"/>
        <v/>
      </c>
      <c r="AGM1523" s="42" t="str">
        <f ca="1"/>
        <v/>
      </c>
      <c r="AGN1523" s="42" t="str">
        <f ca="1"/>
        <v/>
      </c>
    </row>
    <row r="1524" spans="15:872" x14ac:dyDescent="0.25">
      <c r="O1524" s="42">
        <v>11</v>
      </c>
      <c r="P1524" s="42" t="str">
        <f ca="1"/>
        <v/>
      </c>
      <c r="Q1524" s="42" t="str">
        <f ca="1"/>
        <v/>
      </c>
      <c r="R1524" s="42" t="str">
        <f ca="1"/>
        <v/>
      </c>
      <c r="S1524" s="42" t="str">
        <f ca="1"/>
        <v/>
      </c>
      <c r="T1524" s="42" t="str">
        <f ca="1"/>
        <v/>
      </c>
      <c r="U1524" s="42" t="str">
        <f ca="1"/>
        <v/>
      </c>
      <c r="V1524" s="42" t="str">
        <f ca="1"/>
        <v/>
      </c>
      <c r="W1524" s="42" t="str">
        <f ca="1"/>
        <v/>
      </c>
      <c r="X1524" s="42" t="str">
        <f ca="1"/>
        <v/>
      </c>
      <c r="Y1524" s="42" t="str">
        <f ca="1"/>
        <v/>
      </c>
      <c r="Z1524" s="42" t="str">
        <f ca="1"/>
        <v/>
      </c>
      <c r="AA1524" s="42" t="str">
        <f ca="1"/>
        <v/>
      </c>
      <c r="AB1524" s="42" t="str">
        <f ca="1"/>
        <v/>
      </c>
      <c r="AC1524" s="42" t="str">
        <f ca="1"/>
        <v/>
      </c>
      <c r="AD1524" s="42" t="str">
        <f ca="1"/>
        <v/>
      </c>
      <c r="AE1524" s="42" t="str">
        <f ca="1"/>
        <v/>
      </c>
      <c r="AF1524" s="42" t="str">
        <f ca="1"/>
        <v/>
      </c>
      <c r="AG1524" s="42" t="str">
        <f ca="1"/>
        <v/>
      </c>
      <c r="AH1524" s="42" t="str">
        <f ca="1"/>
        <v/>
      </c>
      <c r="AI1524" s="42" t="str">
        <f ca="1"/>
        <v/>
      </c>
      <c r="AJ1524" s="42" t="str">
        <f ca="1"/>
        <v/>
      </c>
      <c r="AK1524" s="42" t="str">
        <f ca="1"/>
        <v/>
      </c>
      <c r="AL1524" s="42" t="str">
        <f ca="1"/>
        <v/>
      </c>
      <c r="AM1524" s="42" t="str">
        <f ca="1"/>
        <v/>
      </c>
      <c r="AN1524" s="42" t="str">
        <f ca="1"/>
        <v/>
      </c>
      <c r="AO1524" s="42" t="str">
        <f ca="1"/>
        <v/>
      </c>
      <c r="AP1524" s="42" t="str">
        <f ca="1"/>
        <v/>
      </c>
      <c r="AQ1524" s="42" t="str">
        <f ca="1"/>
        <v/>
      </c>
      <c r="AR1524" s="42" t="str">
        <f ca="1"/>
        <v/>
      </c>
      <c r="AS1524" s="42" t="str">
        <f ca="1"/>
        <v/>
      </c>
      <c r="AT1524" s="42" t="str">
        <f ca="1"/>
        <v/>
      </c>
      <c r="AU1524" s="42" t="str">
        <f ca="1"/>
        <v/>
      </c>
      <c r="AV1524" s="42" t="str">
        <f ca="1"/>
        <v/>
      </c>
      <c r="AW1524" s="42" t="str">
        <f ca="1"/>
        <v/>
      </c>
      <c r="AX1524" s="42" t="str">
        <f ca="1"/>
        <v/>
      </c>
      <c r="AY1524" s="42" t="str">
        <f ca="1"/>
        <v/>
      </c>
      <c r="AZ1524" s="42" t="str">
        <f ca="1"/>
        <v/>
      </c>
      <c r="BA1524" s="42" t="str">
        <f ca="1"/>
        <v/>
      </c>
      <c r="BB1524" s="42" t="str">
        <f ca="1"/>
        <v/>
      </c>
      <c r="BC1524" s="42" t="str">
        <f ca="1"/>
        <v/>
      </c>
      <c r="BD1524" s="42" t="str">
        <f ca="1"/>
        <v/>
      </c>
      <c r="BE1524" s="42" t="str">
        <f ca="1"/>
        <v/>
      </c>
      <c r="BF1524" s="42" t="str">
        <f ca="1"/>
        <v/>
      </c>
      <c r="BG1524" s="42" t="str">
        <f ca="1"/>
        <v/>
      </c>
      <c r="BH1524" s="42" t="str">
        <f ca="1"/>
        <v/>
      </c>
      <c r="BI1524" s="42" t="str">
        <f ca="1"/>
        <v/>
      </c>
      <c r="BJ1524" s="42" t="str">
        <f ca="1"/>
        <v/>
      </c>
      <c r="BK1524" s="42" t="str">
        <f ca="1"/>
        <v/>
      </c>
      <c r="BL1524" s="42" t="str">
        <f ca="1"/>
        <v/>
      </c>
      <c r="BM1524" s="42" t="str">
        <f ca="1"/>
        <v/>
      </c>
      <c r="BN1524" s="42" t="str">
        <f ca="1"/>
        <v/>
      </c>
      <c r="BO1524" s="42" t="str">
        <f ca="1"/>
        <v/>
      </c>
      <c r="BP1524" s="42" t="str">
        <f ca="1"/>
        <v/>
      </c>
      <c r="BQ1524" s="42" t="str">
        <f ca="1"/>
        <v/>
      </c>
      <c r="BR1524" s="42" t="str">
        <f ca="1"/>
        <v/>
      </c>
      <c r="BS1524" s="42" t="str">
        <f ca="1"/>
        <v/>
      </c>
      <c r="BT1524" s="42" t="str">
        <f ca="1"/>
        <v/>
      </c>
      <c r="BU1524" s="42" t="str">
        <f ca="1"/>
        <v/>
      </c>
      <c r="BV1524" s="42" t="str">
        <f ca="1"/>
        <v/>
      </c>
      <c r="BW1524" s="42" t="str">
        <f ca="1"/>
        <v/>
      </c>
      <c r="BX1524" s="42" t="str">
        <f ca="1"/>
        <v/>
      </c>
      <c r="BY1524" s="42" t="str">
        <f ca="1"/>
        <v/>
      </c>
      <c r="BZ1524" s="42" t="str">
        <f ca="1"/>
        <v/>
      </c>
      <c r="CA1524" s="42" t="str">
        <f ca="1"/>
        <v/>
      </c>
      <c r="CB1524" s="42" t="str">
        <f ca="1"/>
        <v/>
      </c>
      <c r="CC1524" s="42" t="str">
        <f ca="1"/>
        <v/>
      </c>
      <c r="CD1524" s="42" t="str">
        <f ca="1"/>
        <v/>
      </c>
      <c r="CE1524" s="42" t="str">
        <f ca="1"/>
        <v/>
      </c>
      <c r="CF1524" s="42" t="str">
        <f ca="1"/>
        <v/>
      </c>
      <c r="CG1524" s="42" t="str">
        <f ca="1"/>
        <v/>
      </c>
      <c r="CH1524" s="42" t="str">
        <f ca="1"/>
        <v/>
      </c>
      <c r="CI1524" s="42" t="str">
        <f ca="1"/>
        <v/>
      </c>
      <c r="CJ1524" s="42" t="str">
        <f ca="1"/>
        <v/>
      </c>
      <c r="CK1524" s="42" t="str">
        <f ca="1"/>
        <v/>
      </c>
      <c r="CL1524" s="42" t="str">
        <f ca="1"/>
        <v/>
      </c>
      <c r="CM1524" s="42" t="str">
        <f ca="1"/>
        <v/>
      </c>
      <c r="CN1524" s="42" t="str">
        <f ca="1"/>
        <v/>
      </c>
      <c r="CO1524" s="42" t="str">
        <f ca="1"/>
        <v/>
      </c>
      <c r="CP1524" s="42" t="str">
        <f ca="1"/>
        <v/>
      </c>
      <c r="CQ1524" s="42" t="str">
        <f ca="1"/>
        <v/>
      </c>
      <c r="CR1524" s="42" t="str">
        <f ca="1"/>
        <v/>
      </c>
      <c r="CS1524" s="42" t="str">
        <f ca="1"/>
        <v/>
      </c>
      <c r="CT1524" s="42" t="str">
        <f ca="1"/>
        <v/>
      </c>
      <c r="CU1524" s="42" t="str">
        <f ca="1"/>
        <v/>
      </c>
      <c r="CV1524" s="42" t="str">
        <f ca="1"/>
        <v/>
      </c>
      <c r="CW1524" s="42" t="str">
        <f ca="1"/>
        <v/>
      </c>
      <c r="CX1524" s="42" t="str">
        <f ca="1"/>
        <v/>
      </c>
      <c r="CY1524" s="42" t="str">
        <f ca="1"/>
        <v/>
      </c>
      <c r="CZ1524" s="42" t="str">
        <f ca="1"/>
        <v/>
      </c>
      <c r="DA1524" s="42" t="str">
        <f ca="1"/>
        <v/>
      </c>
      <c r="DB1524" s="42" t="str">
        <f ca="1"/>
        <v/>
      </c>
      <c r="DC1524" s="42" t="str">
        <f ca="1"/>
        <v/>
      </c>
      <c r="DD1524" s="42" t="str">
        <f ca="1"/>
        <v/>
      </c>
      <c r="DE1524" s="42" t="str">
        <f ca="1"/>
        <v/>
      </c>
      <c r="DF1524" s="42" t="str">
        <f ca="1"/>
        <v/>
      </c>
      <c r="DG1524" s="42" t="str">
        <f ca="1"/>
        <v/>
      </c>
      <c r="DH1524" s="42" t="str">
        <f ca="1"/>
        <v/>
      </c>
      <c r="DI1524" s="42" t="str">
        <f ca="1"/>
        <v/>
      </c>
      <c r="DJ1524" s="42" t="str">
        <f ca="1"/>
        <v/>
      </c>
      <c r="DK1524" s="42" t="str">
        <f ca="1"/>
        <v/>
      </c>
      <c r="DL1524" s="42" t="str">
        <f ca="1"/>
        <v/>
      </c>
      <c r="DM1524" s="42" t="str">
        <f ca="1"/>
        <v/>
      </c>
      <c r="DN1524" s="42" t="str">
        <f ca="1"/>
        <v/>
      </c>
      <c r="DO1524" s="42" t="str">
        <f ca="1"/>
        <v/>
      </c>
      <c r="DP1524" s="42" t="str">
        <f ca="1"/>
        <v/>
      </c>
      <c r="DQ1524" s="42" t="str">
        <f ca="1"/>
        <v/>
      </c>
      <c r="DR1524" s="42" t="str">
        <f ca="1"/>
        <v/>
      </c>
      <c r="DS1524" s="42" t="str">
        <f ca="1"/>
        <v/>
      </c>
      <c r="DT1524" s="42" t="str">
        <f ca="1"/>
        <v/>
      </c>
      <c r="DU1524" s="42" t="str">
        <f ca="1"/>
        <v/>
      </c>
      <c r="DV1524" s="42" t="str">
        <f ca="1"/>
        <v/>
      </c>
      <c r="DW1524" s="42" t="str">
        <f ca="1"/>
        <v/>
      </c>
      <c r="DX1524" s="42" t="str">
        <f ca="1"/>
        <v/>
      </c>
      <c r="DY1524" s="42" t="str">
        <f ca="1"/>
        <v/>
      </c>
      <c r="DZ1524" s="42" t="str">
        <f ca="1"/>
        <v/>
      </c>
      <c r="EA1524" s="42" t="str">
        <f ca="1"/>
        <v/>
      </c>
      <c r="EB1524" s="42" t="str">
        <f ca="1"/>
        <v/>
      </c>
      <c r="EC1524" s="42" t="str">
        <f ca="1"/>
        <v/>
      </c>
      <c r="ED1524" s="42" t="str">
        <f ca="1"/>
        <v/>
      </c>
      <c r="EE1524" s="42" t="str">
        <f ca="1"/>
        <v/>
      </c>
      <c r="EF1524" s="42" t="str">
        <f ca="1"/>
        <v/>
      </c>
      <c r="EG1524" s="42" t="str">
        <f ca="1"/>
        <v/>
      </c>
      <c r="EH1524" s="42" t="str">
        <f ca="1"/>
        <v/>
      </c>
      <c r="EI1524" s="42" t="str">
        <f ca="1"/>
        <v/>
      </c>
      <c r="EJ1524" s="42" t="str">
        <f ca="1"/>
        <v/>
      </c>
      <c r="EK1524" s="42" t="str">
        <f ca="1"/>
        <v/>
      </c>
      <c r="EL1524" s="42" t="str">
        <f ca="1"/>
        <v/>
      </c>
      <c r="EM1524" s="42" t="str">
        <f ca="1"/>
        <v/>
      </c>
      <c r="EN1524" s="42" t="str">
        <f ca="1"/>
        <v/>
      </c>
      <c r="EO1524" s="42" t="str">
        <f ca="1"/>
        <v/>
      </c>
      <c r="EP1524" s="42" t="str">
        <f ca="1"/>
        <v/>
      </c>
      <c r="EQ1524" s="42" t="str">
        <f ca="1"/>
        <v/>
      </c>
      <c r="ER1524" s="42" t="str">
        <f ca="1"/>
        <v/>
      </c>
      <c r="ES1524" s="42" t="str">
        <f ca="1"/>
        <v/>
      </c>
      <c r="ET1524" s="42" t="str">
        <f ca="1"/>
        <v/>
      </c>
      <c r="EU1524" s="42" t="str">
        <f ca="1"/>
        <v/>
      </c>
      <c r="EV1524" s="42" t="str">
        <f ca="1"/>
        <v/>
      </c>
      <c r="EW1524" s="42" t="str">
        <f ca="1"/>
        <v/>
      </c>
      <c r="EX1524" s="42" t="str">
        <f ca="1"/>
        <v/>
      </c>
      <c r="EY1524" s="42" t="str">
        <f ca="1"/>
        <v/>
      </c>
      <c r="EZ1524" s="42" t="str">
        <f ca="1"/>
        <v/>
      </c>
      <c r="FA1524" s="42" t="str">
        <f ca="1"/>
        <v/>
      </c>
      <c r="FB1524" s="42" t="str">
        <f ca="1"/>
        <v/>
      </c>
      <c r="FC1524" s="42" t="str">
        <f ca="1"/>
        <v/>
      </c>
      <c r="FD1524" s="42" t="str">
        <f ca="1"/>
        <v/>
      </c>
      <c r="FE1524" s="42" t="str">
        <f ca="1"/>
        <v/>
      </c>
      <c r="FF1524" s="42" t="str">
        <f ca="1"/>
        <v/>
      </c>
      <c r="FG1524" s="42" t="str">
        <f ca="1"/>
        <v/>
      </c>
      <c r="FH1524" s="42" t="str">
        <f ca="1"/>
        <v/>
      </c>
      <c r="FI1524" s="42" t="str">
        <f ca="1"/>
        <v/>
      </c>
      <c r="FJ1524" s="42" t="str">
        <f ca="1"/>
        <v/>
      </c>
      <c r="FK1524" s="42" t="str">
        <f ca="1"/>
        <v/>
      </c>
      <c r="FL1524" s="42" t="str">
        <f ca="1"/>
        <v/>
      </c>
      <c r="FM1524" s="42" t="str">
        <f ca="1"/>
        <v/>
      </c>
      <c r="FN1524" s="42" t="str">
        <f ca="1"/>
        <v/>
      </c>
      <c r="FO1524" s="42" t="str">
        <f ca="1"/>
        <v/>
      </c>
      <c r="FP1524" s="42" t="str">
        <f ca="1"/>
        <v/>
      </c>
      <c r="FQ1524" s="42" t="str">
        <f ca="1"/>
        <v/>
      </c>
      <c r="FR1524" s="42" t="str">
        <f ca="1"/>
        <v/>
      </c>
      <c r="FS1524" s="42" t="str">
        <f ca="1"/>
        <v/>
      </c>
      <c r="FT1524" s="42" t="str">
        <f ca="1"/>
        <v/>
      </c>
      <c r="FU1524" s="42" t="str">
        <f ca="1"/>
        <v/>
      </c>
      <c r="FV1524" s="42" t="str">
        <f ca="1"/>
        <v/>
      </c>
      <c r="FW1524" s="42" t="str">
        <f ca="1"/>
        <v/>
      </c>
      <c r="FX1524" s="42" t="str">
        <f ca="1"/>
        <v/>
      </c>
      <c r="FY1524" s="42" t="str">
        <f ca="1"/>
        <v/>
      </c>
      <c r="FZ1524" s="42" t="str">
        <f ca="1"/>
        <v/>
      </c>
      <c r="GA1524" s="42" t="str">
        <f ca="1"/>
        <v/>
      </c>
      <c r="GB1524" s="42" t="str">
        <f ca="1"/>
        <v/>
      </c>
      <c r="GC1524" s="42" t="str">
        <f ca="1"/>
        <v/>
      </c>
      <c r="GD1524" s="42" t="str">
        <f ca="1"/>
        <v/>
      </c>
      <c r="GE1524" s="42" t="str">
        <f ca="1"/>
        <v/>
      </c>
      <c r="GF1524" s="42" t="str">
        <f ca="1"/>
        <v/>
      </c>
      <c r="GG1524" s="42" t="str">
        <f ca="1"/>
        <v/>
      </c>
      <c r="GH1524" s="42" t="str">
        <f ca="1"/>
        <v/>
      </c>
      <c r="GI1524" s="42" t="str">
        <f ca="1"/>
        <v/>
      </c>
      <c r="GJ1524" s="42" t="str">
        <f ca="1"/>
        <v/>
      </c>
      <c r="GK1524" s="42" t="str">
        <f ca="1"/>
        <v/>
      </c>
      <c r="GL1524" s="42" t="str">
        <f ca="1"/>
        <v/>
      </c>
      <c r="GM1524" s="42" t="str">
        <f ca="1"/>
        <v/>
      </c>
      <c r="GN1524" s="42" t="str">
        <f ca="1"/>
        <v/>
      </c>
      <c r="GO1524" s="42" t="str">
        <f ca="1"/>
        <v/>
      </c>
      <c r="GP1524" s="42" t="str">
        <f ca="1"/>
        <v/>
      </c>
      <c r="GQ1524" s="42" t="str">
        <f ca="1"/>
        <v/>
      </c>
      <c r="GR1524" s="42" t="str">
        <f ca="1"/>
        <v/>
      </c>
      <c r="GS1524" s="42" t="str">
        <f ca="1"/>
        <v/>
      </c>
      <c r="GT1524" s="42" t="str">
        <f ca="1"/>
        <v/>
      </c>
      <c r="GU1524" s="42" t="str">
        <f ca="1"/>
        <v/>
      </c>
      <c r="GV1524" s="42" t="str">
        <f ca="1"/>
        <v/>
      </c>
      <c r="GW1524" s="42" t="str">
        <f ca="1"/>
        <v/>
      </c>
      <c r="GX1524" s="42" t="str">
        <f ca="1"/>
        <v/>
      </c>
      <c r="GY1524" s="42" t="str">
        <f ca="1"/>
        <v/>
      </c>
      <c r="GZ1524" s="42" t="str">
        <f ca="1"/>
        <v/>
      </c>
      <c r="HA1524" s="42" t="str">
        <f ca="1"/>
        <v/>
      </c>
      <c r="HB1524" s="42" t="str">
        <f ca="1"/>
        <v/>
      </c>
      <c r="HC1524" s="42" t="str">
        <f ca="1"/>
        <v/>
      </c>
      <c r="HD1524" s="42" t="str">
        <f ca="1"/>
        <v/>
      </c>
      <c r="HE1524" s="42" t="str">
        <f ca="1"/>
        <v/>
      </c>
      <c r="HF1524" s="42" t="str">
        <f ca="1"/>
        <v/>
      </c>
      <c r="HG1524" s="42" t="str">
        <f ca="1"/>
        <v/>
      </c>
      <c r="HH1524" s="42" t="str">
        <f ca="1"/>
        <v/>
      </c>
      <c r="HI1524" s="42" t="str">
        <f ca="1"/>
        <v/>
      </c>
      <c r="HJ1524" s="42" t="str">
        <f ca="1"/>
        <v/>
      </c>
      <c r="HK1524" s="42" t="str">
        <f ca="1"/>
        <v/>
      </c>
      <c r="HL1524" s="42" t="str">
        <f ca="1"/>
        <v/>
      </c>
      <c r="HM1524" s="42" t="str">
        <f ca="1"/>
        <v/>
      </c>
      <c r="HN1524" s="42" t="str">
        <f ca="1"/>
        <v/>
      </c>
      <c r="HO1524" s="42" t="str">
        <f ca="1"/>
        <v/>
      </c>
      <c r="HP1524" s="42" t="str">
        <f ca="1"/>
        <v/>
      </c>
      <c r="HQ1524" s="42" t="str">
        <f ca="1"/>
        <v/>
      </c>
      <c r="HR1524" s="42" t="str">
        <f ca="1"/>
        <v/>
      </c>
      <c r="HS1524" s="42" t="str">
        <f ca="1"/>
        <v/>
      </c>
      <c r="HT1524" s="42" t="str">
        <f ca="1"/>
        <v/>
      </c>
      <c r="HU1524" s="42" t="str">
        <f ca="1"/>
        <v/>
      </c>
      <c r="HV1524" s="42" t="str">
        <f ca="1"/>
        <v/>
      </c>
      <c r="HW1524" s="42" t="str">
        <f ca="1"/>
        <v/>
      </c>
      <c r="HX1524" s="42" t="str">
        <f ca="1"/>
        <v/>
      </c>
      <c r="HY1524" s="42" t="str">
        <f ca="1"/>
        <v/>
      </c>
      <c r="HZ1524" s="42" t="str">
        <f ca="1"/>
        <v/>
      </c>
      <c r="IA1524" s="42" t="str">
        <f ca="1"/>
        <v/>
      </c>
      <c r="IB1524" s="42" t="str">
        <f ca="1"/>
        <v/>
      </c>
      <c r="IC1524" s="42" t="str">
        <f ca="1"/>
        <v/>
      </c>
      <c r="ID1524" s="42" t="str">
        <f ca="1"/>
        <v/>
      </c>
      <c r="IE1524" s="42" t="str">
        <f ca="1"/>
        <v/>
      </c>
      <c r="IF1524" s="42" t="str">
        <f ca="1"/>
        <v/>
      </c>
      <c r="IG1524" s="42" t="str">
        <f ca="1"/>
        <v/>
      </c>
      <c r="IH1524" s="42" t="str">
        <f ca="1"/>
        <v/>
      </c>
      <c r="II1524" s="42" t="str">
        <f ca="1"/>
        <v/>
      </c>
      <c r="IJ1524" s="42" t="str">
        <f ca="1"/>
        <v/>
      </c>
      <c r="IK1524" s="42" t="str">
        <f ca="1"/>
        <v/>
      </c>
      <c r="IL1524" s="42" t="str">
        <f ca="1"/>
        <v/>
      </c>
      <c r="IM1524" s="42" t="str">
        <f ca="1"/>
        <v/>
      </c>
      <c r="IN1524" s="42" t="str">
        <f ca="1"/>
        <v/>
      </c>
      <c r="IO1524" s="42" t="str">
        <f ca="1"/>
        <v/>
      </c>
      <c r="IP1524" s="42" t="str">
        <f ca="1"/>
        <v/>
      </c>
      <c r="IQ1524" s="42" t="str">
        <f ca="1"/>
        <v/>
      </c>
      <c r="IR1524" s="42" t="str">
        <f ca="1"/>
        <v/>
      </c>
      <c r="IS1524" s="42" t="str">
        <f ca="1"/>
        <v/>
      </c>
      <c r="IT1524" s="42" t="str">
        <f ca="1"/>
        <v/>
      </c>
      <c r="IU1524" s="42" t="str">
        <f ca="1"/>
        <v/>
      </c>
      <c r="IV1524" s="42" t="str">
        <f ca="1"/>
        <v/>
      </c>
      <c r="IW1524" s="42" t="str">
        <f ca="1"/>
        <v/>
      </c>
      <c r="IX1524" s="42" t="str">
        <f ca="1"/>
        <v/>
      </c>
      <c r="IY1524" s="42" t="str">
        <f ca="1"/>
        <v/>
      </c>
      <c r="IZ1524" s="42" t="str">
        <f ca="1"/>
        <v/>
      </c>
      <c r="JA1524" s="42" t="str">
        <f ca="1"/>
        <v/>
      </c>
      <c r="JB1524" s="42" t="str">
        <f ca="1"/>
        <v/>
      </c>
      <c r="JC1524" s="42" t="str">
        <f ca="1"/>
        <v/>
      </c>
      <c r="JD1524" s="42" t="str">
        <f ca="1"/>
        <v/>
      </c>
      <c r="JE1524" s="42" t="str">
        <f ca="1"/>
        <v/>
      </c>
      <c r="JF1524" s="42" t="str">
        <f ca="1"/>
        <v/>
      </c>
      <c r="JG1524" s="42" t="str">
        <f ca="1"/>
        <v/>
      </c>
      <c r="JH1524" s="42" t="str">
        <f ca="1"/>
        <v/>
      </c>
      <c r="JI1524" s="42" t="str">
        <f ca="1"/>
        <v/>
      </c>
      <c r="JJ1524" s="42" t="str">
        <f ca="1"/>
        <v/>
      </c>
      <c r="JK1524" s="42" t="str">
        <f ca="1"/>
        <v/>
      </c>
      <c r="JL1524" s="42" t="str">
        <f ca="1"/>
        <v/>
      </c>
      <c r="JM1524" s="42" t="str">
        <f ca="1"/>
        <v/>
      </c>
      <c r="JN1524" s="42" t="str">
        <f ca="1"/>
        <v/>
      </c>
      <c r="JO1524" s="42" t="str">
        <f ca="1"/>
        <v/>
      </c>
      <c r="JP1524" s="42" t="str">
        <f ca="1"/>
        <v/>
      </c>
      <c r="JQ1524" s="42" t="str">
        <f ca="1"/>
        <v/>
      </c>
      <c r="JR1524" s="42" t="str">
        <f ca="1"/>
        <v/>
      </c>
      <c r="JS1524" s="42" t="str">
        <f ca="1"/>
        <v/>
      </c>
      <c r="JT1524" s="42" t="str">
        <f ca="1"/>
        <v/>
      </c>
      <c r="JU1524" s="42" t="str">
        <f ca="1"/>
        <v/>
      </c>
      <c r="JV1524" s="42" t="str">
        <f ca="1"/>
        <v/>
      </c>
      <c r="JW1524" s="42" t="str">
        <f ca="1"/>
        <v/>
      </c>
      <c r="JX1524" s="42" t="str">
        <f ca="1"/>
        <v/>
      </c>
      <c r="JY1524" s="42" t="str">
        <f ca="1"/>
        <v/>
      </c>
      <c r="JZ1524" s="42" t="str">
        <f ca="1"/>
        <v/>
      </c>
      <c r="KA1524" s="42" t="str">
        <f ca="1"/>
        <v/>
      </c>
      <c r="KB1524" s="42" t="str">
        <f ca="1"/>
        <v/>
      </c>
      <c r="KC1524" s="42" t="str">
        <f ca="1"/>
        <v/>
      </c>
      <c r="KD1524" s="42" t="str">
        <f ca="1"/>
        <v/>
      </c>
      <c r="KE1524" s="42" t="str">
        <f ca="1"/>
        <v/>
      </c>
      <c r="KF1524" s="42" t="str">
        <f ca="1"/>
        <v/>
      </c>
      <c r="KG1524" s="42" t="str">
        <f ca="1"/>
        <v/>
      </c>
      <c r="KH1524" s="42" t="str">
        <f ca="1"/>
        <v/>
      </c>
      <c r="KI1524" s="42" t="str">
        <f ca="1"/>
        <v/>
      </c>
      <c r="KJ1524" s="42" t="str">
        <f ca="1"/>
        <v/>
      </c>
      <c r="KK1524" s="42" t="str">
        <f ca="1"/>
        <v/>
      </c>
      <c r="KL1524" s="42" t="str">
        <f ca="1"/>
        <v/>
      </c>
      <c r="KM1524" s="42" t="str">
        <f ca="1"/>
        <v/>
      </c>
      <c r="KN1524" s="42" t="str">
        <f ca="1"/>
        <v/>
      </c>
      <c r="KO1524" s="42" t="str">
        <f ca="1"/>
        <v/>
      </c>
      <c r="KP1524" s="42" t="str">
        <f ca="1"/>
        <v/>
      </c>
      <c r="KQ1524" s="42" t="str">
        <f ca="1"/>
        <v/>
      </c>
      <c r="KR1524" s="42" t="str">
        <f ca="1"/>
        <v/>
      </c>
      <c r="KS1524" s="42" t="str">
        <f ca="1"/>
        <v/>
      </c>
      <c r="KT1524" s="42" t="str">
        <f ca="1"/>
        <v/>
      </c>
      <c r="KU1524" s="42" t="str">
        <f ca="1"/>
        <v/>
      </c>
      <c r="KV1524" s="42" t="str">
        <f ca="1"/>
        <v/>
      </c>
      <c r="KW1524" s="42" t="str">
        <f ca="1"/>
        <v/>
      </c>
      <c r="KX1524" s="42" t="str">
        <f ca="1"/>
        <v/>
      </c>
      <c r="KY1524" s="42" t="str">
        <f ca="1"/>
        <v/>
      </c>
      <c r="KZ1524" s="42" t="str">
        <f ca="1"/>
        <v/>
      </c>
      <c r="LA1524" s="42" t="str">
        <f ca="1"/>
        <v/>
      </c>
      <c r="LB1524" s="42" t="str">
        <f ca="1"/>
        <v/>
      </c>
      <c r="LC1524" s="42" t="str">
        <f ca="1"/>
        <v/>
      </c>
      <c r="LD1524" s="42" t="str">
        <f ca="1"/>
        <v/>
      </c>
      <c r="LE1524" s="42" t="str">
        <f ca="1"/>
        <v/>
      </c>
      <c r="LF1524" s="42" t="str">
        <f ca="1"/>
        <v/>
      </c>
      <c r="LG1524" s="42" t="str">
        <f ca="1"/>
        <v/>
      </c>
      <c r="LH1524" s="42" t="str">
        <f ca="1"/>
        <v/>
      </c>
      <c r="LI1524" s="42" t="str">
        <f ca="1"/>
        <v/>
      </c>
      <c r="LJ1524" s="42" t="str">
        <f ca="1"/>
        <v/>
      </c>
      <c r="LK1524" s="42" t="str">
        <f ca="1"/>
        <v/>
      </c>
      <c r="LL1524" s="42" t="str">
        <f ca="1"/>
        <v/>
      </c>
      <c r="LM1524" s="42" t="str">
        <f ca="1"/>
        <v/>
      </c>
      <c r="LN1524" s="42" t="str">
        <f ca="1"/>
        <v/>
      </c>
      <c r="LO1524" s="42" t="str">
        <f ca="1"/>
        <v/>
      </c>
      <c r="LP1524" s="42" t="str">
        <f ca="1"/>
        <v/>
      </c>
      <c r="LQ1524" s="42" t="str">
        <f ca="1"/>
        <v/>
      </c>
      <c r="LR1524" s="42" t="str">
        <f ca="1"/>
        <v/>
      </c>
      <c r="LS1524" s="42" t="str">
        <f ca="1"/>
        <v/>
      </c>
      <c r="LT1524" s="42" t="str">
        <f ca="1"/>
        <v/>
      </c>
      <c r="LU1524" s="42" t="str">
        <f ca="1"/>
        <v/>
      </c>
      <c r="LV1524" s="42" t="str">
        <f ca="1"/>
        <v/>
      </c>
      <c r="LW1524" s="42" t="str">
        <f ca="1"/>
        <v/>
      </c>
      <c r="LX1524" s="42" t="str">
        <f ca="1"/>
        <v/>
      </c>
      <c r="LY1524" s="42" t="str">
        <f ca="1"/>
        <v/>
      </c>
      <c r="LZ1524" s="42" t="str">
        <f ca="1"/>
        <v/>
      </c>
      <c r="MA1524" s="42" t="str">
        <f ca="1"/>
        <v/>
      </c>
      <c r="MB1524" s="42" t="str">
        <f ca="1"/>
        <v/>
      </c>
      <c r="MC1524" s="42" t="str">
        <f ca="1"/>
        <v/>
      </c>
      <c r="MD1524" s="42" t="str">
        <f ca="1"/>
        <v/>
      </c>
      <c r="ME1524" s="42" t="str">
        <f ca="1"/>
        <v/>
      </c>
      <c r="MF1524" s="42" t="str">
        <f ca="1"/>
        <v/>
      </c>
      <c r="MG1524" s="42" t="str">
        <f ca="1"/>
        <v/>
      </c>
      <c r="MH1524" s="42" t="str">
        <f ca="1"/>
        <v/>
      </c>
      <c r="MI1524" s="42" t="str">
        <f ca="1"/>
        <v/>
      </c>
      <c r="MJ1524" s="42" t="str">
        <f ca="1"/>
        <v/>
      </c>
      <c r="MK1524" s="42" t="str">
        <f ca="1"/>
        <v/>
      </c>
      <c r="ML1524" s="42" t="str">
        <f ca="1"/>
        <v/>
      </c>
      <c r="MM1524" s="42" t="str">
        <f ca="1"/>
        <v/>
      </c>
      <c r="MN1524" s="42" t="str">
        <f ca="1"/>
        <v/>
      </c>
      <c r="MO1524" s="42" t="str">
        <f ca="1"/>
        <v/>
      </c>
      <c r="MP1524" s="42" t="str">
        <f ca="1"/>
        <v/>
      </c>
      <c r="MQ1524" s="42" t="str">
        <f ca="1"/>
        <v/>
      </c>
      <c r="MR1524" s="42" t="str">
        <f ca="1"/>
        <v/>
      </c>
      <c r="MS1524" s="42" t="str">
        <f ca="1"/>
        <v/>
      </c>
      <c r="MT1524" s="42" t="str">
        <f ca="1"/>
        <v/>
      </c>
      <c r="MU1524" s="42" t="str">
        <f ca="1"/>
        <v/>
      </c>
      <c r="MV1524" s="42" t="str">
        <f ca="1"/>
        <v/>
      </c>
      <c r="MW1524" s="42" t="str">
        <f ca="1"/>
        <v/>
      </c>
      <c r="MX1524" s="42" t="str">
        <f ca="1"/>
        <v/>
      </c>
      <c r="MY1524" s="42" t="str">
        <f ca="1"/>
        <v/>
      </c>
      <c r="MZ1524" s="42" t="str">
        <f ca="1"/>
        <v/>
      </c>
      <c r="NA1524" s="42" t="str">
        <f ca="1"/>
        <v/>
      </c>
      <c r="NB1524" s="42" t="str">
        <f ca="1"/>
        <v/>
      </c>
      <c r="NC1524" s="42" t="str">
        <f ca="1"/>
        <v/>
      </c>
      <c r="ND1524" s="42" t="str">
        <f ca="1"/>
        <v/>
      </c>
      <c r="NE1524" s="42" t="str">
        <f ca="1"/>
        <v/>
      </c>
      <c r="NF1524" s="42" t="str">
        <f ca="1"/>
        <v/>
      </c>
      <c r="NG1524" s="42" t="str">
        <f ca="1"/>
        <v/>
      </c>
      <c r="NH1524" s="42" t="str">
        <f ca="1"/>
        <v/>
      </c>
      <c r="NI1524" s="42" t="str">
        <f ca="1"/>
        <v/>
      </c>
      <c r="NJ1524" s="42" t="str">
        <f ca="1"/>
        <v/>
      </c>
      <c r="NK1524" s="42" t="str">
        <f ca="1"/>
        <v/>
      </c>
      <c r="NL1524" s="42" t="str">
        <f ca="1"/>
        <v/>
      </c>
      <c r="NM1524" s="42" t="str">
        <f ca="1"/>
        <v/>
      </c>
      <c r="NN1524" s="42" t="str">
        <f ca="1"/>
        <v/>
      </c>
      <c r="NO1524" s="42" t="str">
        <f ca="1"/>
        <v/>
      </c>
      <c r="NP1524" s="42" t="str">
        <f ca="1"/>
        <v/>
      </c>
      <c r="NQ1524" s="42" t="str">
        <f ca="1"/>
        <v/>
      </c>
      <c r="NR1524" s="42" t="str">
        <f ca="1"/>
        <v/>
      </c>
      <c r="NS1524" s="42" t="str">
        <f ca="1"/>
        <v/>
      </c>
      <c r="NT1524" s="42" t="str">
        <f ca="1"/>
        <v/>
      </c>
      <c r="NU1524" s="42" t="str">
        <f ca="1"/>
        <v/>
      </c>
      <c r="NV1524" s="42" t="str">
        <f ca="1"/>
        <v/>
      </c>
      <c r="NW1524" s="42" t="str">
        <f ca="1"/>
        <v/>
      </c>
      <c r="NX1524" s="42" t="str">
        <f ca="1"/>
        <v/>
      </c>
      <c r="NY1524" s="42" t="str">
        <f ca="1"/>
        <v/>
      </c>
      <c r="NZ1524" s="42" t="str">
        <f ca="1"/>
        <v/>
      </c>
      <c r="OA1524" s="42" t="str">
        <f ca="1"/>
        <v/>
      </c>
      <c r="OB1524" s="42" t="str">
        <f ca="1"/>
        <v/>
      </c>
      <c r="OC1524" s="42" t="str">
        <f ca="1"/>
        <v/>
      </c>
      <c r="OD1524" s="42" t="str">
        <f ca="1"/>
        <v/>
      </c>
      <c r="OE1524" s="42" t="str">
        <f ca="1"/>
        <v/>
      </c>
      <c r="OF1524" s="42" t="str">
        <f ca="1"/>
        <v/>
      </c>
      <c r="OG1524" s="42" t="str">
        <f ca="1"/>
        <v/>
      </c>
      <c r="OH1524" s="42" t="str">
        <f ca="1"/>
        <v/>
      </c>
      <c r="OI1524" s="42" t="str">
        <f ca="1"/>
        <v/>
      </c>
      <c r="OJ1524" s="42" t="str">
        <f ca="1"/>
        <v/>
      </c>
      <c r="OK1524" s="42" t="str">
        <f ca="1"/>
        <v/>
      </c>
      <c r="OL1524" s="42" t="str">
        <f ca="1"/>
        <v/>
      </c>
      <c r="OM1524" s="42" t="str">
        <f ca="1"/>
        <v/>
      </c>
      <c r="ON1524" s="42" t="str">
        <f ca="1"/>
        <v/>
      </c>
      <c r="OO1524" s="42" t="str">
        <f ca="1"/>
        <v/>
      </c>
      <c r="OP1524" s="42" t="str">
        <f ca="1"/>
        <v/>
      </c>
      <c r="OQ1524" s="42" t="str">
        <f ca="1"/>
        <v/>
      </c>
      <c r="OR1524" s="42" t="str">
        <f ca="1"/>
        <v/>
      </c>
      <c r="OS1524" s="42" t="str">
        <f ca="1"/>
        <v/>
      </c>
      <c r="OT1524" s="42" t="str">
        <f ca="1"/>
        <v/>
      </c>
      <c r="OU1524" s="42" t="str">
        <f ca="1"/>
        <v/>
      </c>
      <c r="OV1524" s="42" t="str">
        <f ca="1"/>
        <v/>
      </c>
      <c r="OW1524" s="42" t="str">
        <f ca="1"/>
        <v/>
      </c>
      <c r="OX1524" s="42" t="str">
        <f ca="1"/>
        <v/>
      </c>
      <c r="OY1524" s="42" t="str">
        <f ca="1"/>
        <v/>
      </c>
      <c r="OZ1524" s="42" t="str">
        <f ca="1"/>
        <v/>
      </c>
      <c r="PA1524" s="42" t="str">
        <f ca="1"/>
        <v/>
      </c>
      <c r="PB1524" s="42" t="str">
        <f ca="1"/>
        <v/>
      </c>
      <c r="PC1524" s="42" t="str">
        <f ca="1"/>
        <v/>
      </c>
      <c r="PD1524" s="42" t="str">
        <f ca="1"/>
        <v/>
      </c>
      <c r="PE1524" s="42" t="str">
        <f ca="1"/>
        <v/>
      </c>
      <c r="PF1524" s="42" t="str">
        <f ca="1"/>
        <v/>
      </c>
      <c r="PG1524" s="42" t="str">
        <f ca="1"/>
        <v/>
      </c>
      <c r="PH1524" s="42" t="str">
        <f ca="1"/>
        <v/>
      </c>
      <c r="PI1524" s="42" t="str">
        <f ca="1"/>
        <v/>
      </c>
      <c r="PJ1524" s="42" t="str">
        <f ca="1"/>
        <v/>
      </c>
      <c r="PK1524" s="42" t="str">
        <f ca="1"/>
        <v/>
      </c>
      <c r="PL1524" s="42" t="str">
        <f ca="1"/>
        <v/>
      </c>
      <c r="PM1524" s="42" t="str">
        <f ca="1"/>
        <v/>
      </c>
      <c r="PN1524" s="42" t="str">
        <f ca="1"/>
        <v/>
      </c>
      <c r="PO1524" s="42" t="str">
        <f ca="1"/>
        <v/>
      </c>
      <c r="PP1524" s="42" t="str">
        <f ca="1"/>
        <v/>
      </c>
      <c r="PQ1524" s="42" t="str">
        <f ca="1"/>
        <v/>
      </c>
      <c r="PR1524" s="42" t="str">
        <f ca="1"/>
        <v/>
      </c>
      <c r="PS1524" s="42" t="str">
        <f ca="1"/>
        <v/>
      </c>
      <c r="PT1524" s="42" t="str">
        <f ca="1"/>
        <v/>
      </c>
      <c r="PU1524" s="42" t="str">
        <f ca="1"/>
        <v/>
      </c>
      <c r="PV1524" s="42" t="str">
        <f ca="1"/>
        <v/>
      </c>
      <c r="PW1524" s="42" t="str">
        <f ca="1"/>
        <v/>
      </c>
      <c r="PX1524" s="42" t="str">
        <f ca="1"/>
        <v/>
      </c>
      <c r="PY1524" s="42" t="str">
        <f ca="1"/>
        <v/>
      </c>
      <c r="PZ1524" s="42" t="str">
        <f ca="1"/>
        <v/>
      </c>
      <c r="QA1524" s="42" t="str">
        <f ca="1"/>
        <v/>
      </c>
      <c r="QB1524" s="42" t="str">
        <f ca="1"/>
        <v/>
      </c>
      <c r="QC1524" s="42" t="str">
        <f ca="1"/>
        <v/>
      </c>
      <c r="QD1524" s="42" t="str">
        <f ca="1"/>
        <v/>
      </c>
      <c r="QE1524" s="42" t="str">
        <f ca="1"/>
        <v/>
      </c>
      <c r="QF1524" s="42" t="str">
        <f ca="1"/>
        <v/>
      </c>
      <c r="QG1524" s="42" t="str">
        <f ca="1"/>
        <v/>
      </c>
      <c r="QH1524" s="42" t="str">
        <f ca="1"/>
        <v/>
      </c>
      <c r="QI1524" s="42" t="str">
        <f ca="1"/>
        <v/>
      </c>
      <c r="QJ1524" s="42" t="str">
        <f ca="1"/>
        <v/>
      </c>
      <c r="QK1524" s="42" t="str">
        <f ca="1"/>
        <v/>
      </c>
      <c r="QL1524" s="42" t="str">
        <f ca="1"/>
        <v/>
      </c>
      <c r="QM1524" s="42" t="str">
        <f ca="1"/>
        <v/>
      </c>
      <c r="QN1524" s="42" t="str">
        <f ca="1"/>
        <v/>
      </c>
      <c r="QO1524" s="42" t="str">
        <f ca="1"/>
        <v/>
      </c>
      <c r="QP1524" s="42" t="str">
        <f ca="1"/>
        <v/>
      </c>
      <c r="QQ1524" s="42" t="str">
        <f ca="1"/>
        <v/>
      </c>
      <c r="QR1524" s="42" t="str">
        <f ca="1"/>
        <v/>
      </c>
      <c r="QS1524" s="42" t="str">
        <f ca="1"/>
        <v/>
      </c>
      <c r="QT1524" s="42" t="str">
        <f ca="1"/>
        <v/>
      </c>
      <c r="QU1524" s="42" t="str">
        <f ca="1"/>
        <v/>
      </c>
      <c r="QV1524" s="42" t="str">
        <f ca="1"/>
        <v/>
      </c>
      <c r="QW1524" s="42" t="str">
        <f ca="1"/>
        <v/>
      </c>
      <c r="QX1524" s="42" t="str">
        <f ca="1"/>
        <v/>
      </c>
      <c r="QY1524" s="42" t="str">
        <f ca="1"/>
        <v/>
      </c>
      <c r="QZ1524" s="42" t="str">
        <f ca="1"/>
        <v/>
      </c>
      <c r="RA1524" s="42" t="str">
        <f ca="1"/>
        <v/>
      </c>
      <c r="RB1524" s="42" t="str">
        <f ca="1"/>
        <v/>
      </c>
      <c r="RC1524" s="42" t="str">
        <f ca="1"/>
        <v/>
      </c>
      <c r="RD1524" s="42" t="str">
        <f ca="1"/>
        <v/>
      </c>
      <c r="RE1524" s="42" t="str">
        <f ca="1"/>
        <v/>
      </c>
      <c r="RF1524" s="42" t="str">
        <f ca="1"/>
        <v/>
      </c>
      <c r="RG1524" s="42" t="str">
        <f ca="1"/>
        <v/>
      </c>
      <c r="RH1524" s="42" t="str">
        <f ca="1"/>
        <v/>
      </c>
      <c r="RI1524" s="42" t="str">
        <f ca="1"/>
        <v/>
      </c>
      <c r="RJ1524" s="42" t="str">
        <f ca="1"/>
        <v/>
      </c>
      <c r="RK1524" s="42" t="str">
        <f ca="1"/>
        <v/>
      </c>
      <c r="RL1524" s="42" t="str">
        <f ca="1"/>
        <v/>
      </c>
      <c r="RM1524" s="42" t="str">
        <f ca="1"/>
        <v/>
      </c>
      <c r="RN1524" s="42" t="str">
        <f ca="1"/>
        <v/>
      </c>
      <c r="RO1524" s="42" t="str">
        <f ca="1"/>
        <v/>
      </c>
      <c r="RP1524" s="42" t="str">
        <f ca="1"/>
        <v/>
      </c>
      <c r="RQ1524" s="42" t="str">
        <f ca="1"/>
        <v/>
      </c>
      <c r="RR1524" s="42" t="str">
        <f ca="1"/>
        <v/>
      </c>
      <c r="RS1524" s="42" t="str">
        <f ca="1"/>
        <v/>
      </c>
      <c r="RT1524" s="42" t="str">
        <f ca="1"/>
        <v/>
      </c>
      <c r="RU1524" s="42" t="str">
        <f ca="1"/>
        <v/>
      </c>
      <c r="RV1524" s="42" t="str">
        <f ca="1"/>
        <v/>
      </c>
      <c r="RW1524" s="42" t="str">
        <f ca="1"/>
        <v/>
      </c>
      <c r="RX1524" s="42" t="str">
        <f ca="1"/>
        <v/>
      </c>
      <c r="RY1524" s="42" t="str">
        <f ca="1"/>
        <v/>
      </c>
      <c r="RZ1524" s="42" t="str">
        <f ca="1"/>
        <v/>
      </c>
      <c r="SA1524" s="42" t="str">
        <f ca="1"/>
        <v/>
      </c>
      <c r="SB1524" s="42" t="str">
        <f ca="1"/>
        <v/>
      </c>
      <c r="SC1524" s="42" t="str">
        <f ca="1"/>
        <v/>
      </c>
      <c r="SD1524" s="42" t="str">
        <f ca="1"/>
        <v/>
      </c>
      <c r="SE1524" s="42" t="str">
        <f ca="1"/>
        <v/>
      </c>
      <c r="SF1524" s="42" t="str">
        <f ca="1"/>
        <v/>
      </c>
      <c r="SG1524" s="42" t="str">
        <f ca="1"/>
        <v/>
      </c>
      <c r="SH1524" s="42" t="str">
        <f ca="1"/>
        <v/>
      </c>
      <c r="SI1524" s="42" t="str">
        <f ca="1"/>
        <v/>
      </c>
      <c r="SJ1524" s="42" t="str">
        <f ca="1"/>
        <v/>
      </c>
      <c r="SK1524" s="42" t="str">
        <f ca="1"/>
        <v/>
      </c>
      <c r="SL1524" s="42" t="str">
        <f ca="1"/>
        <v/>
      </c>
      <c r="SM1524" s="42" t="str">
        <f ca="1"/>
        <v/>
      </c>
      <c r="SN1524" s="42" t="str">
        <f ca="1"/>
        <v/>
      </c>
      <c r="SO1524" s="42" t="str">
        <f ca="1"/>
        <v/>
      </c>
      <c r="SP1524" s="42" t="str">
        <f ca="1"/>
        <v/>
      </c>
      <c r="SQ1524" s="42" t="str">
        <f ca="1"/>
        <v/>
      </c>
      <c r="SR1524" s="42" t="str">
        <f ca="1"/>
        <v/>
      </c>
      <c r="SS1524" s="42" t="str">
        <f ca="1"/>
        <v/>
      </c>
      <c r="ST1524" s="42" t="str">
        <f ca="1"/>
        <v/>
      </c>
      <c r="SU1524" s="42" t="str">
        <f ca="1"/>
        <v/>
      </c>
      <c r="SV1524" s="42" t="str">
        <f ca="1"/>
        <v/>
      </c>
      <c r="SW1524" s="42" t="str">
        <f ca="1"/>
        <v/>
      </c>
      <c r="SX1524" s="42" t="str">
        <f ca="1"/>
        <v/>
      </c>
      <c r="SY1524" s="42" t="str">
        <f ca="1"/>
        <v/>
      </c>
      <c r="SZ1524" s="42" t="str">
        <f ca="1"/>
        <v/>
      </c>
      <c r="TA1524" s="42" t="str">
        <f ca="1"/>
        <v/>
      </c>
      <c r="TB1524" s="42" t="str">
        <f ca="1"/>
        <v/>
      </c>
      <c r="TC1524" s="42" t="str">
        <f ca="1"/>
        <v/>
      </c>
      <c r="TD1524" s="42" t="str">
        <f ca="1"/>
        <v/>
      </c>
      <c r="TE1524" s="42" t="str">
        <f ca="1"/>
        <v/>
      </c>
      <c r="TF1524" s="42" t="str">
        <f ca="1"/>
        <v/>
      </c>
      <c r="TG1524" s="42" t="str">
        <f ca="1"/>
        <v/>
      </c>
      <c r="TH1524" s="42" t="str">
        <f ca="1"/>
        <v/>
      </c>
      <c r="TI1524" s="42" t="str">
        <f ca="1"/>
        <v/>
      </c>
      <c r="TJ1524" s="42" t="str">
        <f ca="1"/>
        <v/>
      </c>
      <c r="TK1524" s="42" t="str">
        <f ca="1"/>
        <v/>
      </c>
      <c r="TL1524" s="42" t="str">
        <f ca="1"/>
        <v/>
      </c>
      <c r="TM1524" s="42" t="str">
        <f ca="1"/>
        <v/>
      </c>
      <c r="TN1524" s="42" t="str">
        <f ca="1"/>
        <v/>
      </c>
      <c r="TO1524" s="42" t="str">
        <f ca="1"/>
        <v/>
      </c>
      <c r="TP1524" s="42" t="str">
        <f ca="1"/>
        <v/>
      </c>
      <c r="TQ1524" s="42" t="str">
        <f ca="1"/>
        <v/>
      </c>
      <c r="TR1524" s="42" t="str">
        <f ca="1"/>
        <v/>
      </c>
      <c r="TS1524" s="42" t="str">
        <f ca="1"/>
        <v/>
      </c>
      <c r="TT1524" s="42" t="str">
        <f ca="1"/>
        <v/>
      </c>
      <c r="TU1524" s="42" t="str">
        <f ca="1"/>
        <v/>
      </c>
      <c r="TV1524" s="42" t="str">
        <f ca="1"/>
        <v/>
      </c>
      <c r="TW1524" s="42" t="str">
        <f ca="1"/>
        <v/>
      </c>
      <c r="TX1524" s="42" t="str">
        <f ca="1"/>
        <v/>
      </c>
      <c r="TY1524" s="42" t="str">
        <f ca="1"/>
        <v/>
      </c>
      <c r="TZ1524" s="42" t="str">
        <f ca="1"/>
        <v/>
      </c>
      <c r="UA1524" s="42" t="str">
        <f ca="1"/>
        <v/>
      </c>
      <c r="UB1524" s="42" t="str">
        <f ca="1"/>
        <v/>
      </c>
      <c r="UC1524" s="42" t="str">
        <f ca="1"/>
        <v/>
      </c>
      <c r="UD1524" s="42" t="str">
        <f ca="1"/>
        <v/>
      </c>
      <c r="UE1524" s="42" t="str">
        <f ca="1"/>
        <v/>
      </c>
      <c r="UF1524" s="42" t="str">
        <f ca="1"/>
        <v/>
      </c>
      <c r="UG1524" s="42" t="str">
        <f ca="1"/>
        <v/>
      </c>
      <c r="UH1524" s="42" t="str">
        <f ca="1"/>
        <v/>
      </c>
      <c r="UI1524" s="42" t="str">
        <f ca="1"/>
        <v/>
      </c>
      <c r="UJ1524" s="42" t="str">
        <f ca="1"/>
        <v/>
      </c>
      <c r="UK1524" s="42" t="str">
        <f ca="1"/>
        <v/>
      </c>
      <c r="UL1524" s="42" t="str">
        <f ca="1"/>
        <v/>
      </c>
      <c r="UM1524" s="42" t="str">
        <f ca="1"/>
        <v/>
      </c>
      <c r="UN1524" s="42" t="str">
        <f ca="1"/>
        <v/>
      </c>
      <c r="UO1524" s="42" t="str">
        <f ca="1"/>
        <v/>
      </c>
      <c r="UP1524" s="42" t="str">
        <f ca="1"/>
        <v/>
      </c>
      <c r="UQ1524" s="42" t="str">
        <f ca="1"/>
        <v/>
      </c>
      <c r="UR1524" s="42" t="str">
        <f ca="1"/>
        <v/>
      </c>
      <c r="US1524" s="42" t="str">
        <f ca="1"/>
        <v/>
      </c>
      <c r="UT1524" s="42" t="str">
        <f ca="1"/>
        <v/>
      </c>
      <c r="UU1524" s="42" t="str">
        <f ca="1"/>
        <v/>
      </c>
      <c r="UV1524" s="42" t="str">
        <f ca="1"/>
        <v/>
      </c>
      <c r="UW1524" s="42" t="str">
        <f ca="1"/>
        <v/>
      </c>
      <c r="UX1524" s="42" t="str">
        <f ca="1"/>
        <v/>
      </c>
      <c r="UY1524" s="42" t="str">
        <f ca="1"/>
        <v/>
      </c>
      <c r="UZ1524" s="42" t="str">
        <f ca="1"/>
        <v/>
      </c>
      <c r="VA1524" s="42" t="str">
        <f ca="1"/>
        <v/>
      </c>
      <c r="VB1524" s="42" t="str">
        <f ca="1"/>
        <v/>
      </c>
      <c r="VC1524" s="42" t="str">
        <f ca="1"/>
        <v/>
      </c>
      <c r="VD1524" s="42" t="str">
        <f ca="1"/>
        <v/>
      </c>
      <c r="VE1524" s="42" t="str">
        <f ca="1"/>
        <v/>
      </c>
      <c r="VF1524" s="42" t="str">
        <f ca="1"/>
        <v/>
      </c>
      <c r="VG1524" s="42" t="str">
        <f ca="1"/>
        <v/>
      </c>
      <c r="VH1524" s="42" t="str">
        <f ca="1"/>
        <v/>
      </c>
      <c r="VI1524" s="42" t="str">
        <f ca="1"/>
        <v/>
      </c>
      <c r="VJ1524" s="42" t="str">
        <f ca="1"/>
        <v/>
      </c>
      <c r="VK1524" s="42" t="str">
        <f ca="1"/>
        <v/>
      </c>
      <c r="VL1524" s="42" t="str">
        <f ca="1"/>
        <v/>
      </c>
      <c r="VM1524" s="42" t="str">
        <f ca="1"/>
        <v/>
      </c>
      <c r="VN1524" s="42" t="str">
        <f ca="1"/>
        <v/>
      </c>
      <c r="VO1524" s="42" t="str">
        <f ca="1"/>
        <v/>
      </c>
      <c r="VP1524" s="42" t="str">
        <f ca="1"/>
        <v/>
      </c>
      <c r="VQ1524" s="42" t="str">
        <f ca="1"/>
        <v/>
      </c>
      <c r="VR1524" s="42" t="str">
        <f ca="1"/>
        <v/>
      </c>
      <c r="VS1524" s="42" t="str">
        <f ca="1"/>
        <v/>
      </c>
      <c r="VT1524" s="42" t="str">
        <f ca="1"/>
        <v/>
      </c>
      <c r="VU1524" s="42" t="str">
        <f ca="1"/>
        <v/>
      </c>
      <c r="VV1524" s="42" t="str">
        <f ca="1"/>
        <v/>
      </c>
      <c r="VW1524" s="42" t="str">
        <f ca="1"/>
        <v/>
      </c>
      <c r="VX1524" s="42" t="str">
        <f ca="1"/>
        <v/>
      </c>
      <c r="VY1524" s="42" t="str">
        <f ca="1"/>
        <v/>
      </c>
      <c r="VZ1524" s="42" t="str">
        <f ca="1"/>
        <v/>
      </c>
      <c r="WA1524" s="42" t="str">
        <f ca="1"/>
        <v/>
      </c>
      <c r="WB1524" s="42" t="str">
        <f ca="1"/>
        <v/>
      </c>
      <c r="WC1524" s="42" t="str">
        <f ca="1"/>
        <v/>
      </c>
      <c r="WD1524" s="42" t="str">
        <f ca="1"/>
        <v/>
      </c>
      <c r="WE1524" s="42" t="str">
        <f ca="1"/>
        <v/>
      </c>
      <c r="WF1524" s="42" t="str">
        <f ca="1"/>
        <v/>
      </c>
      <c r="WG1524" s="42" t="str">
        <f ca="1"/>
        <v/>
      </c>
      <c r="WH1524" s="42" t="str">
        <f ca="1"/>
        <v/>
      </c>
      <c r="WI1524" s="42" t="str">
        <f ca="1"/>
        <v/>
      </c>
      <c r="WJ1524" s="42" t="str">
        <f ca="1"/>
        <v/>
      </c>
      <c r="WK1524" s="42" t="str">
        <f ca="1"/>
        <v/>
      </c>
      <c r="WL1524" s="42" t="str">
        <f ca="1"/>
        <v/>
      </c>
      <c r="WM1524" s="42" t="str">
        <f ca="1"/>
        <v/>
      </c>
      <c r="WN1524" s="42" t="str">
        <f ca="1"/>
        <v/>
      </c>
      <c r="WO1524" s="42" t="str">
        <f ca="1"/>
        <v/>
      </c>
      <c r="WP1524" s="42" t="str">
        <f ca="1"/>
        <v/>
      </c>
      <c r="WQ1524" s="42" t="str">
        <f ca="1"/>
        <v/>
      </c>
      <c r="WR1524" s="42" t="str">
        <f ca="1"/>
        <v/>
      </c>
      <c r="WS1524" s="42" t="str">
        <f ca="1"/>
        <v/>
      </c>
      <c r="WT1524" s="42" t="str">
        <f ca="1"/>
        <v/>
      </c>
      <c r="WU1524" s="42" t="str">
        <f ca="1"/>
        <v/>
      </c>
      <c r="WV1524" s="42" t="str">
        <f ca="1"/>
        <v/>
      </c>
      <c r="WW1524" s="42" t="str">
        <f ca="1"/>
        <v/>
      </c>
      <c r="WX1524" s="42" t="str">
        <f ca="1"/>
        <v/>
      </c>
      <c r="WY1524" s="42" t="str">
        <f ca="1"/>
        <v/>
      </c>
      <c r="WZ1524" s="42" t="str">
        <f ca="1"/>
        <v/>
      </c>
      <c r="XA1524" s="42" t="str">
        <f ca="1"/>
        <v/>
      </c>
      <c r="XB1524" s="42" t="str">
        <f ca="1"/>
        <v/>
      </c>
      <c r="XC1524" s="42" t="str">
        <f ca="1"/>
        <v/>
      </c>
      <c r="XD1524" s="42" t="str">
        <f ca="1"/>
        <v/>
      </c>
      <c r="XE1524" s="42" t="str">
        <f ca="1"/>
        <v/>
      </c>
      <c r="XF1524" s="42" t="str">
        <f ca="1"/>
        <v/>
      </c>
      <c r="XG1524" s="42" t="str">
        <f ca="1"/>
        <v/>
      </c>
      <c r="XH1524" s="42" t="str">
        <f ca="1"/>
        <v/>
      </c>
      <c r="XI1524" s="42" t="str">
        <f ca="1"/>
        <v/>
      </c>
      <c r="XJ1524" s="42" t="str">
        <f ca="1"/>
        <v/>
      </c>
      <c r="XK1524" s="42" t="str">
        <f ca="1"/>
        <v/>
      </c>
      <c r="XL1524" s="42" t="str">
        <f ca="1"/>
        <v/>
      </c>
      <c r="XM1524" s="42" t="str">
        <f ca="1"/>
        <v/>
      </c>
      <c r="XN1524" s="42" t="str">
        <f ca="1"/>
        <v/>
      </c>
      <c r="XO1524" s="42" t="str">
        <f ca="1"/>
        <v/>
      </c>
      <c r="XP1524" s="42" t="str">
        <f ca="1"/>
        <v/>
      </c>
      <c r="XQ1524" s="42" t="str">
        <f ca="1"/>
        <v/>
      </c>
      <c r="XR1524" s="42" t="str">
        <f ca="1"/>
        <v/>
      </c>
      <c r="XS1524" s="42" t="str">
        <f ca="1"/>
        <v/>
      </c>
      <c r="XT1524" s="42" t="str">
        <f ca="1"/>
        <v/>
      </c>
      <c r="XU1524" s="42" t="str">
        <f ca="1"/>
        <v/>
      </c>
      <c r="XV1524" s="42" t="str">
        <f ca="1"/>
        <v/>
      </c>
      <c r="XW1524" s="42" t="str">
        <f ca="1"/>
        <v/>
      </c>
      <c r="XX1524" s="42" t="str">
        <f ca="1"/>
        <v/>
      </c>
      <c r="XY1524" s="42" t="str">
        <f ca="1"/>
        <v/>
      </c>
      <c r="XZ1524" s="42" t="str">
        <f ca="1"/>
        <v/>
      </c>
      <c r="YA1524" s="42" t="str">
        <f ca="1"/>
        <v/>
      </c>
      <c r="YB1524" s="42" t="str">
        <f ca="1"/>
        <v/>
      </c>
      <c r="YC1524" s="42" t="str">
        <f ca="1"/>
        <v/>
      </c>
      <c r="YD1524" s="42" t="str">
        <f ca="1"/>
        <v/>
      </c>
      <c r="YE1524" s="42" t="str">
        <f ca="1"/>
        <v/>
      </c>
      <c r="YF1524" s="42" t="str">
        <f ca="1"/>
        <v/>
      </c>
      <c r="YG1524" s="42" t="str">
        <f ca="1"/>
        <v/>
      </c>
      <c r="YH1524" s="42" t="str">
        <f ca="1"/>
        <v/>
      </c>
      <c r="YI1524" s="42" t="str">
        <f ca="1"/>
        <v/>
      </c>
      <c r="YJ1524" s="42" t="str">
        <f ca="1"/>
        <v/>
      </c>
      <c r="YK1524" s="42" t="str">
        <f ca="1"/>
        <v/>
      </c>
      <c r="YL1524" s="42" t="str">
        <f ca="1"/>
        <v/>
      </c>
      <c r="YM1524" s="42" t="str">
        <f ca="1"/>
        <v/>
      </c>
      <c r="YN1524" s="42" t="str">
        <f ca="1"/>
        <v/>
      </c>
      <c r="YO1524" s="42" t="str">
        <f ca="1"/>
        <v/>
      </c>
      <c r="YP1524" s="42" t="str">
        <f ca="1"/>
        <v/>
      </c>
      <c r="YQ1524" s="42" t="str">
        <f ca="1"/>
        <v/>
      </c>
      <c r="YR1524" s="42" t="str">
        <f ca="1"/>
        <v/>
      </c>
      <c r="YS1524" s="42" t="str">
        <f ca="1"/>
        <v/>
      </c>
      <c r="YT1524" s="42" t="str">
        <f ca="1"/>
        <v/>
      </c>
      <c r="YU1524" s="42" t="str">
        <f ca="1"/>
        <v/>
      </c>
      <c r="YV1524" s="42" t="str">
        <f ca="1"/>
        <v/>
      </c>
      <c r="YW1524" s="42" t="str">
        <f ca="1"/>
        <v/>
      </c>
      <c r="YX1524" s="42" t="str">
        <f ca="1"/>
        <v/>
      </c>
      <c r="YY1524" s="42" t="str">
        <f ca="1"/>
        <v/>
      </c>
      <c r="YZ1524" s="42" t="str">
        <f ca="1"/>
        <v/>
      </c>
      <c r="ZA1524" s="42" t="str">
        <f ca="1"/>
        <v/>
      </c>
      <c r="ZB1524" s="42" t="str">
        <f ca="1"/>
        <v/>
      </c>
      <c r="ZC1524" s="42" t="str">
        <f ca="1"/>
        <v/>
      </c>
      <c r="ZD1524" s="42" t="str">
        <f ca="1"/>
        <v/>
      </c>
      <c r="ZE1524" s="42" t="str">
        <f ca="1"/>
        <v/>
      </c>
      <c r="ZF1524" s="42" t="str">
        <f ca="1"/>
        <v/>
      </c>
      <c r="ZG1524" s="42" t="str">
        <f ca="1"/>
        <v/>
      </c>
      <c r="ZH1524" s="42" t="str">
        <f ca="1"/>
        <v/>
      </c>
      <c r="ZI1524" s="42" t="str">
        <f ca="1"/>
        <v/>
      </c>
      <c r="ZJ1524" s="42" t="str">
        <f ca="1"/>
        <v/>
      </c>
      <c r="ZK1524" s="42" t="str">
        <f ca="1"/>
        <v/>
      </c>
      <c r="ZL1524" s="42" t="str">
        <f ca="1"/>
        <v/>
      </c>
      <c r="ZM1524" s="42" t="str">
        <f ca="1"/>
        <v/>
      </c>
      <c r="ZN1524" s="42" t="str">
        <f ca="1"/>
        <v/>
      </c>
      <c r="ZO1524" s="42" t="str">
        <f ca="1"/>
        <v/>
      </c>
      <c r="ZP1524" s="42" t="str">
        <f ca="1"/>
        <v/>
      </c>
      <c r="ZQ1524" s="42" t="str">
        <f ca="1"/>
        <v/>
      </c>
      <c r="ZR1524" s="42" t="str">
        <f ca="1"/>
        <v/>
      </c>
      <c r="ZS1524" s="42" t="str">
        <f ca="1"/>
        <v/>
      </c>
      <c r="ZT1524" s="42" t="str">
        <f ca="1"/>
        <v/>
      </c>
      <c r="ZU1524" s="42" t="str">
        <f ca="1"/>
        <v/>
      </c>
      <c r="ZV1524" s="42" t="str">
        <f ca="1"/>
        <v/>
      </c>
      <c r="ZW1524" s="42" t="str">
        <f ca="1"/>
        <v/>
      </c>
      <c r="ZX1524" s="42" t="str">
        <f ca="1"/>
        <v/>
      </c>
      <c r="ZY1524" s="42" t="str">
        <f ca="1"/>
        <v/>
      </c>
      <c r="ZZ1524" s="42" t="str">
        <f ca="1"/>
        <v/>
      </c>
      <c r="AAA1524" s="42" t="str">
        <f ca="1"/>
        <v/>
      </c>
      <c r="AAB1524" s="42" t="str">
        <f ca="1"/>
        <v/>
      </c>
      <c r="AAC1524" s="42" t="str">
        <f ca="1"/>
        <v/>
      </c>
      <c r="AAD1524" s="42" t="str">
        <f ca="1"/>
        <v/>
      </c>
      <c r="AAE1524" s="42" t="str">
        <f ca="1"/>
        <v/>
      </c>
      <c r="AAF1524" s="42" t="str">
        <f ca="1"/>
        <v/>
      </c>
      <c r="AAG1524" s="42" t="str">
        <f ca="1"/>
        <v/>
      </c>
      <c r="AAH1524" s="42" t="str">
        <f ca="1"/>
        <v/>
      </c>
      <c r="AAI1524" s="42" t="str">
        <f ca="1"/>
        <v/>
      </c>
      <c r="AAJ1524" s="42" t="str">
        <f ca="1"/>
        <v/>
      </c>
      <c r="AAK1524" s="42" t="str">
        <f ca="1"/>
        <v/>
      </c>
      <c r="AAL1524" s="42" t="str">
        <f ca="1"/>
        <v/>
      </c>
      <c r="AAM1524" s="42" t="str">
        <f ca="1"/>
        <v/>
      </c>
      <c r="AAN1524" s="42" t="str">
        <f ca="1"/>
        <v/>
      </c>
      <c r="AAO1524" s="42" t="str">
        <f ca="1"/>
        <v/>
      </c>
      <c r="AAP1524" s="42" t="str">
        <f ca="1"/>
        <v/>
      </c>
      <c r="AAQ1524" s="42" t="str">
        <f ca="1"/>
        <v/>
      </c>
      <c r="AAR1524" s="42" t="str">
        <f ca="1"/>
        <v/>
      </c>
      <c r="AAS1524" s="42" t="str">
        <f ca="1"/>
        <v/>
      </c>
      <c r="AAT1524" s="42" t="str">
        <f ca="1"/>
        <v/>
      </c>
      <c r="AAU1524" s="42" t="str">
        <f ca="1"/>
        <v/>
      </c>
      <c r="AAV1524" s="42" t="str">
        <f ca="1"/>
        <v/>
      </c>
      <c r="AAW1524" s="42" t="str">
        <f ca="1"/>
        <v/>
      </c>
      <c r="AAX1524" s="42" t="str">
        <f ca="1"/>
        <v/>
      </c>
      <c r="AAY1524" s="42" t="str">
        <f ca="1"/>
        <v/>
      </c>
      <c r="AAZ1524" s="42" t="str">
        <f ca="1"/>
        <v/>
      </c>
      <c r="ABA1524" s="42" t="str">
        <f ca="1"/>
        <v/>
      </c>
      <c r="ABB1524" s="42" t="str">
        <f ca="1"/>
        <v/>
      </c>
      <c r="ABC1524" s="42" t="str">
        <f ca="1"/>
        <v/>
      </c>
      <c r="ABD1524" s="42" t="str">
        <f ca="1"/>
        <v/>
      </c>
      <c r="ABE1524" s="42" t="str">
        <f ca="1"/>
        <v/>
      </c>
      <c r="ABF1524" s="42" t="str">
        <f ca="1"/>
        <v/>
      </c>
      <c r="ABG1524" s="42" t="str">
        <f ca="1"/>
        <v/>
      </c>
      <c r="ABH1524" s="42" t="str">
        <f ca="1"/>
        <v/>
      </c>
      <c r="ABI1524" s="42" t="str">
        <f ca="1"/>
        <v/>
      </c>
      <c r="ABJ1524" s="42" t="str">
        <f ca="1"/>
        <v/>
      </c>
      <c r="ABK1524" s="42" t="str">
        <f ca="1"/>
        <v/>
      </c>
      <c r="ABL1524" s="42" t="str">
        <f ca="1"/>
        <v/>
      </c>
      <c r="ABM1524" s="42" t="str">
        <f ca="1"/>
        <v/>
      </c>
      <c r="ABN1524" s="42" t="str">
        <f ca="1"/>
        <v/>
      </c>
      <c r="ABO1524" s="42" t="str">
        <f ca="1"/>
        <v/>
      </c>
      <c r="ABP1524" s="42" t="str">
        <f ca="1"/>
        <v/>
      </c>
      <c r="ABQ1524" s="42" t="str">
        <f ca="1"/>
        <v/>
      </c>
      <c r="ABR1524" s="42" t="str">
        <f ca="1"/>
        <v/>
      </c>
      <c r="ABS1524" s="42" t="str">
        <f ca="1"/>
        <v/>
      </c>
      <c r="ABT1524" s="42" t="str">
        <f ca="1"/>
        <v/>
      </c>
      <c r="ABU1524" s="42" t="str">
        <f ca="1"/>
        <v/>
      </c>
      <c r="ABV1524" s="42" t="str">
        <f ca="1"/>
        <v/>
      </c>
      <c r="ABW1524" s="42" t="str">
        <f ca="1"/>
        <v/>
      </c>
      <c r="ABX1524" s="42" t="str">
        <f ca="1"/>
        <v/>
      </c>
      <c r="ABY1524" s="42" t="str">
        <f ca="1"/>
        <v/>
      </c>
      <c r="ABZ1524" s="42" t="str">
        <f ca="1"/>
        <v/>
      </c>
      <c r="ACA1524" s="42" t="str">
        <f ca="1"/>
        <v/>
      </c>
      <c r="ACB1524" s="42" t="str">
        <f ca="1"/>
        <v/>
      </c>
      <c r="ACC1524" s="42" t="str">
        <f ca="1"/>
        <v/>
      </c>
      <c r="ACD1524" s="42" t="str">
        <f ca="1"/>
        <v/>
      </c>
      <c r="ACE1524" s="42" t="str">
        <f ca="1"/>
        <v/>
      </c>
      <c r="ACF1524" s="42" t="str">
        <f ca="1"/>
        <v/>
      </c>
      <c r="ACG1524" s="42" t="str">
        <f ca="1"/>
        <v/>
      </c>
      <c r="ACH1524" s="42" t="str">
        <f ca="1"/>
        <v/>
      </c>
      <c r="ACI1524" s="42" t="str">
        <f ca="1"/>
        <v/>
      </c>
      <c r="ACJ1524" s="42" t="str">
        <f ca="1"/>
        <v/>
      </c>
      <c r="ACK1524" s="42" t="str">
        <f ca="1"/>
        <v/>
      </c>
      <c r="ACL1524" s="42" t="str">
        <f ca="1"/>
        <v/>
      </c>
      <c r="ACM1524" s="42" t="str">
        <f ca="1"/>
        <v/>
      </c>
      <c r="ACN1524" s="42" t="str">
        <f ca="1"/>
        <v/>
      </c>
      <c r="ACO1524" s="42" t="str">
        <f ca="1"/>
        <v/>
      </c>
      <c r="ACP1524" s="42" t="str">
        <f ca="1"/>
        <v/>
      </c>
      <c r="ACQ1524" s="42" t="str">
        <f ca="1"/>
        <v/>
      </c>
      <c r="ACR1524" s="42" t="str">
        <f ca="1"/>
        <v/>
      </c>
      <c r="ACS1524" s="42" t="str">
        <f ca="1"/>
        <v/>
      </c>
      <c r="ACT1524" s="42" t="str">
        <f ca="1"/>
        <v/>
      </c>
      <c r="ACU1524" s="42" t="str">
        <f ca="1"/>
        <v/>
      </c>
      <c r="ACV1524" s="42" t="str">
        <f ca="1"/>
        <v/>
      </c>
      <c r="ACW1524" s="42" t="str">
        <f ca="1"/>
        <v/>
      </c>
      <c r="ACX1524" s="42" t="str">
        <f ca="1"/>
        <v/>
      </c>
      <c r="ACY1524" s="42" t="str">
        <f ca="1"/>
        <v/>
      </c>
      <c r="ACZ1524" s="42" t="str">
        <f ca="1"/>
        <v/>
      </c>
      <c r="ADA1524" s="42" t="str">
        <f ca="1"/>
        <v/>
      </c>
      <c r="ADB1524" s="42" t="str">
        <f ca="1"/>
        <v/>
      </c>
      <c r="ADC1524" s="42" t="str">
        <f ca="1"/>
        <v/>
      </c>
      <c r="ADD1524" s="42" t="str">
        <f ca="1"/>
        <v/>
      </c>
      <c r="ADE1524" s="42" t="str">
        <f ca="1"/>
        <v/>
      </c>
      <c r="ADF1524" s="42" t="str">
        <f ca="1"/>
        <v/>
      </c>
      <c r="ADG1524" s="42" t="str">
        <f ca="1"/>
        <v/>
      </c>
      <c r="ADH1524" s="42" t="str">
        <f ca="1"/>
        <v/>
      </c>
      <c r="ADI1524" s="42" t="str">
        <f ca="1"/>
        <v/>
      </c>
      <c r="ADJ1524" s="42" t="str">
        <f ca="1"/>
        <v/>
      </c>
      <c r="ADK1524" s="42" t="str">
        <f ca="1"/>
        <v/>
      </c>
      <c r="ADL1524" s="42" t="str">
        <f ca="1"/>
        <v/>
      </c>
      <c r="ADM1524" s="42" t="str">
        <f ca="1"/>
        <v/>
      </c>
      <c r="ADN1524" s="42" t="str">
        <f ca="1"/>
        <v/>
      </c>
      <c r="ADO1524" s="42" t="str">
        <f ca="1"/>
        <v/>
      </c>
      <c r="ADP1524" s="42" t="str">
        <f ca="1"/>
        <v/>
      </c>
      <c r="ADQ1524" s="42" t="str">
        <f ca="1"/>
        <v/>
      </c>
      <c r="ADR1524" s="42" t="str">
        <f ca="1"/>
        <v/>
      </c>
      <c r="ADS1524" s="42" t="str">
        <f ca="1"/>
        <v/>
      </c>
      <c r="ADT1524" s="42" t="str">
        <f ca="1"/>
        <v/>
      </c>
      <c r="ADU1524" s="42" t="str">
        <f ca="1"/>
        <v/>
      </c>
      <c r="ADV1524" s="42" t="str">
        <f ca="1"/>
        <v/>
      </c>
      <c r="ADW1524" s="42" t="str">
        <f ca="1"/>
        <v/>
      </c>
      <c r="ADX1524" s="42" t="str">
        <f ca="1"/>
        <v/>
      </c>
      <c r="ADY1524" s="42" t="str">
        <f ca="1"/>
        <v/>
      </c>
      <c r="ADZ1524" s="42" t="str">
        <f ca="1"/>
        <v/>
      </c>
      <c r="AEA1524" s="42" t="str">
        <f ca="1"/>
        <v/>
      </c>
      <c r="AEB1524" s="42" t="str">
        <f ca="1"/>
        <v/>
      </c>
      <c r="AEC1524" s="42" t="str">
        <f ca="1"/>
        <v/>
      </c>
      <c r="AED1524" s="42" t="str">
        <f ca="1"/>
        <v/>
      </c>
      <c r="AEE1524" s="42" t="str">
        <f ca="1"/>
        <v/>
      </c>
      <c r="AEF1524" s="42" t="str">
        <f ca="1"/>
        <v/>
      </c>
      <c r="AEG1524" s="42" t="str">
        <f ca="1"/>
        <v/>
      </c>
      <c r="AEH1524" s="42" t="str">
        <f ca="1"/>
        <v/>
      </c>
      <c r="AEI1524" s="42" t="str">
        <f ca="1"/>
        <v/>
      </c>
      <c r="AEJ1524" s="42" t="str">
        <f ca="1"/>
        <v/>
      </c>
      <c r="AEK1524" s="42" t="str">
        <f ca="1"/>
        <v/>
      </c>
      <c r="AEL1524" s="42" t="str">
        <f ca="1"/>
        <v/>
      </c>
      <c r="AEM1524" s="42" t="str">
        <f ca="1"/>
        <v/>
      </c>
      <c r="AEN1524" s="42" t="str">
        <f ca="1"/>
        <v/>
      </c>
      <c r="AEO1524" s="42" t="str">
        <f ca="1"/>
        <v/>
      </c>
      <c r="AEP1524" s="42" t="str">
        <f ca="1"/>
        <v/>
      </c>
      <c r="AEQ1524" s="42" t="str">
        <f ca="1"/>
        <v/>
      </c>
      <c r="AER1524" s="42" t="str">
        <f ca="1"/>
        <v/>
      </c>
      <c r="AES1524" s="42" t="str">
        <f ca="1"/>
        <v/>
      </c>
      <c r="AET1524" s="42" t="str">
        <f ca="1"/>
        <v/>
      </c>
      <c r="AEU1524" s="42" t="str">
        <f ca="1"/>
        <v/>
      </c>
      <c r="AEV1524" s="42" t="str">
        <f ca="1"/>
        <v/>
      </c>
      <c r="AEW1524" s="42" t="str">
        <f ca="1"/>
        <v/>
      </c>
      <c r="AEX1524" s="42" t="str">
        <f ca="1"/>
        <v/>
      </c>
      <c r="AEY1524" s="42" t="str">
        <f ca="1"/>
        <v/>
      </c>
      <c r="AEZ1524" s="42" t="str">
        <f ca="1"/>
        <v/>
      </c>
      <c r="AFA1524" s="42" t="str">
        <f ca="1"/>
        <v/>
      </c>
      <c r="AFB1524" s="42" t="str">
        <f ca="1"/>
        <v/>
      </c>
      <c r="AFC1524" s="42" t="str">
        <f ca="1"/>
        <v/>
      </c>
      <c r="AFD1524" s="42" t="str">
        <f ca="1"/>
        <v/>
      </c>
      <c r="AFE1524" s="42" t="str">
        <f ca="1"/>
        <v/>
      </c>
      <c r="AFF1524" s="42" t="str">
        <f ca="1"/>
        <v/>
      </c>
      <c r="AFG1524" s="42" t="str">
        <f ca="1"/>
        <v/>
      </c>
      <c r="AFH1524" s="42" t="str">
        <f ca="1"/>
        <v/>
      </c>
      <c r="AFI1524" s="42" t="str">
        <f ca="1"/>
        <v/>
      </c>
      <c r="AFJ1524" s="42" t="str">
        <f ca="1"/>
        <v/>
      </c>
      <c r="AFK1524" s="42" t="str">
        <f ca="1"/>
        <v/>
      </c>
      <c r="AFL1524" s="42" t="str">
        <f ca="1"/>
        <v/>
      </c>
      <c r="AFM1524" s="42" t="str">
        <f ca="1"/>
        <v/>
      </c>
      <c r="AFN1524" s="42" t="str">
        <f ca="1"/>
        <v/>
      </c>
      <c r="AFO1524" s="42" t="str">
        <f ca="1"/>
        <v/>
      </c>
      <c r="AFP1524" s="42" t="str">
        <f ca="1"/>
        <v/>
      </c>
      <c r="AFQ1524" s="42" t="str">
        <f ca="1"/>
        <v/>
      </c>
      <c r="AFR1524" s="42" t="str">
        <f ca="1"/>
        <v/>
      </c>
      <c r="AFS1524" s="42" t="str">
        <f ca="1"/>
        <v/>
      </c>
      <c r="AFT1524" s="42" t="str">
        <f ca="1"/>
        <v/>
      </c>
      <c r="AFU1524" s="42" t="str">
        <f ca="1"/>
        <v/>
      </c>
      <c r="AFV1524" s="42" t="str">
        <f ca="1"/>
        <v/>
      </c>
      <c r="AFW1524" s="42" t="str">
        <f ca="1"/>
        <v/>
      </c>
      <c r="AFX1524" s="42" t="str">
        <f ca="1"/>
        <v/>
      </c>
      <c r="AFY1524" s="42" t="str">
        <f ca="1"/>
        <v/>
      </c>
      <c r="AFZ1524" s="42" t="str">
        <f ca="1"/>
        <v/>
      </c>
      <c r="AGA1524" s="42" t="str">
        <f ca="1"/>
        <v/>
      </c>
      <c r="AGB1524" s="42" t="str">
        <f ca="1"/>
        <v/>
      </c>
      <c r="AGC1524" s="42" t="str">
        <f ca="1"/>
        <v/>
      </c>
      <c r="AGD1524" s="42" t="str">
        <f ca="1"/>
        <v/>
      </c>
      <c r="AGE1524" s="42" t="str">
        <f ca="1"/>
        <v/>
      </c>
      <c r="AGF1524" s="42" t="str">
        <f ca="1"/>
        <v/>
      </c>
      <c r="AGG1524" s="42" t="str">
        <f ca="1"/>
        <v/>
      </c>
      <c r="AGH1524" s="42" t="str">
        <f ca="1"/>
        <v/>
      </c>
      <c r="AGI1524" s="42" t="str">
        <f ca="1"/>
        <v/>
      </c>
      <c r="AGJ1524" s="42" t="str">
        <f ca="1"/>
        <v/>
      </c>
      <c r="AGK1524" s="42" t="str">
        <f ca="1"/>
        <v/>
      </c>
      <c r="AGL1524" s="42" t="str">
        <f ca="1"/>
        <v/>
      </c>
      <c r="AGM1524" s="42" t="str">
        <f ca="1"/>
        <v/>
      </c>
      <c r="AGN1524" s="42" t="str">
        <f ca="1"/>
        <v/>
      </c>
    </row>
    <row r="1525" spans="15:872" x14ac:dyDescent="0.25">
      <c r="O1525" s="42">
        <v>12</v>
      </c>
      <c r="P1525" s="42" t="str">
        <f ca="1"/>
        <v/>
      </c>
      <c r="Q1525" s="42" t="str">
        <f ca="1"/>
        <v/>
      </c>
      <c r="R1525" s="42" t="str">
        <f ca="1"/>
        <v/>
      </c>
      <c r="S1525" s="42" t="str">
        <f ca="1"/>
        <v/>
      </c>
      <c r="T1525" s="42" t="str">
        <f ca="1"/>
        <v/>
      </c>
      <c r="U1525" s="42" t="str">
        <f ca="1"/>
        <v/>
      </c>
      <c r="V1525" s="42" t="str">
        <f ca="1"/>
        <v/>
      </c>
      <c r="W1525" s="42" t="str">
        <f ca="1"/>
        <v/>
      </c>
      <c r="X1525" s="42" t="str">
        <f ca="1"/>
        <v/>
      </c>
      <c r="Y1525" s="42" t="str">
        <f ca="1"/>
        <v/>
      </c>
      <c r="Z1525" s="42" t="str">
        <f ca="1"/>
        <v/>
      </c>
      <c r="AA1525" s="42" t="str">
        <f ca="1"/>
        <v/>
      </c>
      <c r="AB1525" s="42" t="str">
        <f ca="1"/>
        <v/>
      </c>
      <c r="AC1525" s="42" t="str">
        <f ca="1"/>
        <v/>
      </c>
      <c r="AD1525" s="42" t="str">
        <f ca="1"/>
        <v/>
      </c>
      <c r="AE1525" s="42" t="str">
        <f ca="1"/>
        <v/>
      </c>
      <c r="AF1525" s="42" t="str">
        <f ca="1"/>
        <v/>
      </c>
      <c r="AG1525" s="42" t="str">
        <f ca="1"/>
        <v/>
      </c>
      <c r="AH1525" s="42" t="str">
        <f ca="1"/>
        <v/>
      </c>
      <c r="AI1525" s="42" t="str">
        <f ca="1"/>
        <v/>
      </c>
      <c r="AJ1525" s="42" t="str">
        <f ca="1"/>
        <v/>
      </c>
      <c r="AK1525" s="42" t="str">
        <f ca="1"/>
        <v/>
      </c>
      <c r="AL1525" s="42" t="str">
        <f ca="1"/>
        <v/>
      </c>
      <c r="AM1525" s="42" t="str">
        <f ca="1"/>
        <v/>
      </c>
      <c r="AN1525" s="42" t="str">
        <f ca="1"/>
        <v/>
      </c>
      <c r="AO1525" s="42" t="str">
        <f ca="1"/>
        <v/>
      </c>
      <c r="AP1525" s="42" t="str">
        <f ca="1"/>
        <v/>
      </c>
      <c r="AQ1525" s="42" t="str">
        <f ca="1"/>
        <v/>
      </c>
      <c r="AR1525" s="42" t="str">
        <f ca="1"/>
        <v/>
      </c>
      <c r="AS1525" s="42" t="str">
        <f ca="1"/>
        <v/>
      </c>
      <c r="AT1525" s="42" t="str">
        <f ca="1"/>
        <v/>
      </c>
      <c r="AU1525" s="42" t="str">
        <f ca="1"/>
        <v/>
      </c>
      <c r="AV1525" s="42" t="str">
        <f ca="1"/>
        <v/>
      </c>
      <c r="AW1525" s="42" t="str">
        <f ca="1"/>
        <v/>
      </c>
      <c r="AX1525" s="42" t="str">
        <f ca="1"/>
        <v/>
      </c>
      <c r="AY1525" s="42" t="str">
        <f ca="1"/>
        <v/>
      </c>
      <c r="AZ1525" s="42" t="str">
        <f ca="1"/>
        <v/>
      </c>
      <c r="BA1525" s="42" t="str">
        <f ca="1"/>
        <v/>
      </c>
      <c r="BB1525" s="42" t="str">
        <f ca="1"/>
        <v/>
      </c>
      <c r="BC1525" s="42" t="str">
        <f ca="1"/>
        <v/>
      </c>
      <c r="BD1525" s="42" t="str">
        <f ca="1"/>
        <v/>
      </c>
      <c r="BE1525" s="42" t="str">
        <f ca="1"/>
        <v/>
      </c>
      <c r="BF1525" s="42" t="str">
        <f ca="1"/>
        <v/>
      </c>
      <c r="BG1525" s="42" t="str">
        <f ca="1"/>
        <v/>
      </c>
      <c r="BH1525" s="42" t="str">
        <f ca="1"/>
        <v/>
      </c>
      <c r="BI1525" s="42" t="str">
        <f ca="1"/>
        <v/>
      </c>
      <c r="BJ1525" s="42" t="str">
        <f ca="1"/>
        <v/>
      </c>
      <c r="BK1525" s="42" t="str">
        <f ca="1"/>
        <v/>
      </c>
      <c r="BL1525" s="42" t="str">
        <f ca="1"/>
        <v/>
      </c>
      <c r="BM1525" s="42" t="str">
        <f ca="1"/>
        <v/>
      </c>
      <c r="BN1525" s="42" t="str">
        <f ca="1"/>
        <v/>
      </c>
      <c r="BO1525" s="42" t="str">
        <f ca="1"/>
        <v/>
      </c>
      <c r="BP1525" s="42" t="str">
        <f ca="1"/>
        <v/>
      </c>
      <c r="BQ1525" s="42" t="str">
        <f ca="1"/>
        <v/>
      </c>
      <c r="BR1525" s="42" t="str">
        <f ca="1"/>
        <v/>
      </c>
      <c r="BS1525" s="42" t="str">
        <f ca="1"/>
        <v/>
      </c>
      <c r="BT1525" s="42" t="str">
        <f ca="1"/>
        <v/>
      </c>
      <c r="BU1525" s="42" t="str">
        <f ca="1"/>
        <v/>
      </c>
      <c r="BV1525" s="42" t="str">
        <f ca="1"/>
        <v/>
      </c>
      <c r="BW1525" s="42" t="str">
        <f ca="1"/>
        <v/>
      </c>
      <c r="BX1525" s="42" t="str">
        <f ca="1"/>
        <v/>
      </c>
      <c r="BY1525" s="42" t="str">
        <f ca="1"/>
        <v/>
      </c>
      <c r="BZ1525" s="42" t="str">
        <f ca="1"/>
        <v/>
      </c>
      <c r="CA1525" s="42" t="str">
        <f ca="1"/>
        <v/>
      </c>
      <c r="CB1525" s="42" t="str">
        <f ca="1"/>
        <v/>
      </c>
      <c r="CC1525" s="42" t="str">
        <f ca="1"/>
        <v/>
      </c>
      <c r="CD1525" s="42" t="str">
        <f ca="1"/>
        <v/>
      </c>
      <c r="CE1525" s="42" t="str">
        <f ca="1"/>
        <v/>
      </c>
      <c r="CF1525" s="42" t="str">
        <f ca="1"/>
        <v/>
      </c>
      <c r="CG1525" s="42" t="str">
        <f ca="1"/>
        <v/>
      </c>
      <c r="CH1525" s="42" t="str">
        <f ca="1"/>
        <v/>
      </c>
      <c r="CI1525" s="42" t="str">
        <f ca="1"/>
        <v/>
      </c>
      <c r="CJ1525" s="42" t="str">
        <f ca="1"/>
        <v/>
      </c>
      <c r="CK1525" s="42" t="str">
        <f ca="1"/>
        <v/>
      </c>
      <c r="CL1525" s="42" t="str">
        <f ca="1"/>
        <v/>
      </c>
      <c r="CM1525" s="42" t="str">
        <f ca="1"/>
        <v/>
      </c>
      <c r="CN1525" s="42" t="str">
        <f ca="1"/>
        <v/>
      </c>
      <c r="CO1525" s="42" t="str">
        <f ca="1"/>
        <v/>
      </c>
      <c r="CP1525" s="42" t="str">
        <f ca="1"/>
        <v/>
      </c>
      <c r="CQ1525" s="42" t="str">
        <f ca="1"/>
        <v/>
      </c>
      <c r="CR1525" s="42" t="str">
        <f ca="1"/>
        <v/>
      </c>
      <c r="CS1525" s="42" t="str">
        <f ca="1"/>
        <v/>
      </c>
      <c r="CT1525" s="42" t="str">
        <f ca="1"/>
        <v/>
      </c>
      <c r="CU1525" s="42" t="str">
        <f ca="1"/>
        <v/>
      </c>
      <c r="CV1525" s="42" t="str">
        <f ca="1"/>
        <v/>
      </c>
      <c r="CW1525" s="42" t="str">
        <f ca="1"/>
        <v/>
      </c>
      <c r="CX1525" s="42" t="str">
        <f ca="1"/>
        <v/>
      </c>
      <c r="CY1525" s="42" t="str">
        <f ca="1"/>
        <v/>
      </c>
      <c r="CZ1525" s="42" t="str">
        <f ca="1"/>
        <v/>
      </c>
      <c r="DA1525" s="42" t="str">
        <f ca="1"/>
        <v/>
      </c>
      <c r="DB1525" s="42" t="str">
        <f ca="1"/>
        <v/>
      </c>
      <c r="DC1525" s="42" t="str">
        <f ca="1"/>
        <v/>
      </c>
      <c r="DD1525" s="42" t="str">
        <f ca="1"/>
        <v/>
      </c>
      <c r="DE1525" s="42" t="str">
        <f ca="1"/>
        <v/>
      </c>
      <c r="DF1525" s="42" t="str">
        <f ca="1"/>
        <v/>
      </c>
      <c r="DG1525" s="42" t="str">
        <f ca="1"/>
        <v/>
      </c>
      <c r="DH1525" s="42" t="str">
        <f ca="1"/>
        <v/>
      </c>
      <c r="DI1525" s="42" t="str">
        <f ca="1"/>
        <v/>
      </c>
      <c r="DJ1525" s="42" t="str">
        <f ca="1"/>
        <v/>
      </c>
      <c r="DK1525" s="42" t="str">
        <f ca="1"/>
        <v/>
      </c>
      <c r="DL1525" s="42" t="str">
        <f ca="1"/>
        <v/>
      </c>
      <c r="DM1525" s="42" t="str">
        <f ca="1"/>
        <v/>
      </c>
      <c r="DN1525" s="42" t="str">
        <f ca="1"/>
        <v/>
      </c>
      <c r="DO1525" s="42" t="str">
        <f ca="1"/>
        <v/>
      </c>
      <c r="DP1525" s="42" t="str">
        <f ca="1"/>
        <v/>
      </c>
      <c r="DQ1525" s="42" t="str">
        <f ca="1"/>
        <v/>
      </c>
      <c r="DR1525" s="42" t="str">
        <f ca="1"/>
        <v/>
      </c>
      <c r="DS1525" s="42" t="str">
        <f ca="1"/>
        <v/>
      </c>
      <c r="DT1525" s="42" t="str">
        <f ca="1"/>
        <v/>
      </c>
      <c r="DU1525" s="42" t="str">
        <f ca="1"/>
        <v/>
      </c>
      <c r="DV1525" s="42" t="str">
        <f ca="1"/>
        <v/>
      </c>
      <c r="DW1525" s="42" t="str">
        <f ca="1"/>
        <v/>
      </c>
      <c r="DX1525" s="42" t="str">
        <f ca="1"/>
        <v/>
      </c>
      <c r="DY1525" s="42" t="str">
        <f ca="1"/>
        <v/>
      </c>
      <c r="DZ1525" s="42" t="str">
        <f ca="1"/>
        <v/>
      </c>
      <c r="EA1525" s="42" t="str">
        <f ca="1"/>
        <v/>
      </c>
      <c r="EB1525" s="42" t="str">
        <f ca="1"/>
        <v/>
      </c>
      <c r="EC1525" s="42" t="str">
        <f ca="1"/>
        <v/>
      </c>
      <c r="ED1525" s="42" t="str">
        <f ca="1"/>
        <v/>
      </c>
      <c r="EE1525" s="42" t="str">
        <f ca="1"/>
        <v/>
      </c>
      <c r="EF1525" s="42" t="str">
        <f ca="1"/>
        <v/>
      </c>
      <c r="EG1525" s="42" t="str">
        <f ca="1"/>
        <v/>
      </c>
      <c r="EH1525" s="42" t="str">
        <f ca="1"/>
        <v/>
      </c>
      <c r="EI1525" s="42" t="str">
        <f ca="1"/>
        <v/>
      </c>
      <c r="EJ1525" s="42" t="str">
        <f ca="1"/>
        <v/>
      </c>
      <c r="EK1525" s="42" t="str">
        <f ca="1"/>
        <v/>
      </c>
      <c r="EL1525" s="42" t="str">
        <f ca="1"/>
        <v/>
      </c>
      <c r="EM1525" s="42" t="str">
        <f ca="1"/>
        <v/>
      </c>
      <c r="EN1525" s="42" t="str">
        <f ca="1"/>
        <v/>
      </c>
      <c r="EO1525" s="42" t="str">
        <f ca="1"/>
        <v/>
      </c>
      <c r="EP1525" s="42" t="str">
        <f ca="1"/>
        <v/>
      </c>
      <c r="EQ1525" s="42" t="str">
        <f ca="1"/>
        <v/>
      </c>
      <c r="ER1525" s="42" t="str">
        <f ca="1"/>
        <v/>
      </c>
      <c r="ES1525" s="42" t="str">
        <f ca="1"/>
        <v/>
      </c>
      <c r="ET1525" s="42" t="str">
        <f ca="1"/>
        <v/>
      </c>
      <c r="EU1525" s="42" t="str">
        <f ca="1"/>
        <v/>
      </c>
      <c r="EV1525" s="42" t="str">
        <f ca="1"/>
        <v/>
      </c>
      <c r="EW1525" s="42" t="str">
        <f ca="1"/>
        <v/>
      </c>
      <c r="EX1525" s="42" t="str">
        <f ca="1"/>
        <v/>
      </c>
      <c r="EY1525" s="42" t="str">
        <f ca="1"/>
        <v/>
      </c>
      <c r="EZ1525" s="42" t="str">
        <f ca="1"/>
        <v/>
      </c>
      <c r="FA1525" s="42" t="str">
        <f ca="1"/>
        <v/>
      </c>
      <c r="FB1525" s="42" t="str">
        <f ca="1"/>
        <v/>
      </c>
      <c r="FC1525" s="42" t="str">
        <f ca="1"/>
        <v/>
      </c>
      <c r="FD1525" s="42" t="str">
        <f ca="1"/>
        <v/>
      </c>
      <c r="FE1525" s="42" t="str">
        <f ca="1"/>
        <v/>
      </c>
      <c r="FF1525" s="42" t="str">
        <f ca="1"/>
        <v/>
      </c>
      <c r="FG1525" s="42" t="str">
        <f ca="1"/>
        <v/>
      </c>
      <c r="FH1525" s="42" t="str">
        <f ca="1"/>
        <v/>
      </c>
      <c r="FI1525" s="42" t="str">
        <f ca="1"/>
        <v/>
      </c>
      <c r="FJ1525" s="42" t="str">
        <f ca="1"/>
        <v/>
      </c>
      <c r="FK1525" s="42" t="str">
        <f ca="1"/>
        <v/>
      </c>
      <c r="FL1525" s="42" t="str">
        <f ca="1"/>
        <v/>
      </c>
      <c r="FM1525" s="42" t="str">
        <f ca="1"/>
        <v/>
      </c>
      <c r="FN1525" s="42" t="str">
        <f ca="1"/>
        <v/>
      </c>
      <c r="FO1525" s="42" t="str">
        <f ca="1"/>
        <v/>
      </c>
      <c r="FP1525" s="42" t="str">
        <f ca="1"/>
        <v/>
      </c>
      <c r="FQ1525" s="42" t="str">
        <f ca="1"/>
        <v/>
      </c>
      <c r="FR1525" s="42" t="str">
        <f ca="1"/>
        <v/>
      </c>
      <c r="FS1525" s="42" t="str">
        <f ca="1"/>
        <v/>
      </c>
      <c r="FT1525" s="42" t="str">
        <f ca="1"/>
        <v/>
      </c>
      <c r="FU1525" s="42" t="str">
        <f ca="1"/>
        <v/>
      </c>
      <c r="FV1525" s="42" t="str">
        <f ca="1"/>
        <v/>
      </c>
      <c r="FW1525" s="42" t="str">
        <f ca="1"/>
        <v/>
      </c>
      <c r="FX1525" s="42" t="str">
        <f ca="1"/>
        <v/>
      </c>
      <c r="FY1525" s="42" t="str">
        <f ca="1"/>
        <v/>
      </c>
      <c r="FZ1525" s="42" t="str">
        <f ca="1"/>
        <v/>
      </c>
      <c r="GA1525" s="42" t="str">
        <f ca="1"/>
        <v/>
      </c>
      <c r="GB1525" s="42" t="str">
        <f ca="1"/>
        <v/>
      </c>
      <c r="GC1525" s="42" t="str">
        <f ca="1"/>
        <v/>
      </c>
      <c r="GD1525" s="42" t="str">
        <f ca="1"/>
        <v/>
      </c>
      <c r="GE1525" s="42" t="str">
        <f ca="1"/>
        <v/>
      </c>
      <c r="GF1525" s="42" t="str">
        <f ca="1"/>
        <v/>
      </c>
      <c r="GG1525" s="42" t="str">
        <f ca="1"/>
        <v/>
      </c>
      <c r="GH1525" s="42" t="str">
        <f ca="1"/>
        <v/>
      </c>
      <c r="GI1525" s="42" t="str">
        <f ca="1"/>
        <v/>
      </c>
      <c r="GJ1525" s="42" t="str">
        <f ca="1"/>
        <v/>
      </c>
      <c r="GK1525" s="42" t="str">
        <f ca="1"/>
        <v/>
      </c>
      <c r="GL1525" s="42" t="str">
        <f ca="1"/>
        <v/>
      </c>
      <c r="GM1525" s="42" t="str">
        <f ca="1"/>
        <v/>
      </c>
      <c r="GN1525" s="42" t="str">
        <f ca="1"/>
        <v/>
      </c>
      <c r="GO1525" s="42" t="str">
        <f ca="1"/>
        <v/>
      </c>
      <c r="GP1525" s="42" t="str">
        <f ca="1"/>
        <v/>
      </c>
      <c r="GQ1525" s="42" t="str">
        <f ca="1"/>
        <v/>
      </c>
      <c r="GR1525" s="42" t="str">
        <f ca="1"/>
        <v/>
      </c>
      <c r="GS1525" s="42" t="str">
        <f ca="1"/>
        <v/>
      </c>
      <c r="GT1525" s="42" t="str">
        <f ca="1"/>
        <v/>
      </c>
      <c r="GU1525" s="42" t="str">
        <f ca="1"/>
        <v/>
      </c>
      <c r="GV1525" s="42" t="str">
        <f ca="1"/>
        <v/>
      </c>
      <c r="GW1525" s="42" t="str">
        <f ca="1"/>
        <v/>
      </c>
      <c r="GX1525" s="42" t="str">
        <f ca="1"/>
        <v/>
      </c>
      <c r="GY1525" s="42" t="str">
        <f ca="1"/>
        <v/>
      </c>
      <c r="GZ1525" s="42" t="str">
        <f ca="1"/>
        <v/>
      </c>
      <c r="HA1525" s="42" t="str">
        <f ca="1"/>
        <v/>
      </c>
      <c r="HB1525" s="42" t="str">
        <f ca="1"/>
        <v/>
      </c>
      <c r="HC1525" s="42" t="str">
        <f ca="1"/>
        <v/>
      </c>
      <c r="HD1525" s="42" t="str">
        <f ca="1"/>
        <v/>
      </c>
      <c r="HE1525" s="42" t="str">
        <f ca="1"/>
        <v/>
      </c>
      <c r="HF1525" s="42" t="str">
        <f ca="1"/>
        <v/>
      </c>
      <c r="HG1525" s="42" t="str">
        <f ca="1"/>
        <v/>
      </c>
      <c r="HH1525" s="42" t="str">
        <f ca="1"/>
        <v/>
      </c>
      <c r="HI1525" s="42" t="str">
        <f ca="1"/>
        <v/>
      </c>
      <c r="HJ1525" s="42" t="str">
        <f ca="1"/>
        <v/>
      </c>
      <c r="HK1525" s="42" t="str">
        <f ca="1"/>
        <v/>
      </c>
      <c r="HL1525" s="42" t="str">
        <f ca="1"/>
        <v/>
      </c>
      <c r="HM1525" s="42" t="str">
        <f ca="1"/>
        <v/>
      </c>
      <c r="HN1525" s="42" t="str">
        <f ca="1"/>
        <v/>
      </c>
      <c r="HO1525" s="42" t="str">
        <f ca="1"/>
        <v/>
      </c>
      <c r="HP1525" s="42" t="str">
        <f ca="1"/>
        <v/>
      </c>
      <c r="HQ1525" s="42" t="str">
        <f ca="1"/>
        <v/>
      </c>
      <c r="HR1525" s="42" t="str">
        <f ca="1"/>
        <v/>
      </c>
      <c r="HS1525" s="42" t="str">
        <f ca="1"/>
        <v/>
      </c>
      <c r="HT1525" s="42" t="str">
        <f ca="1"/>
        <v/>
      </c>
      <c r="HU1525" s="42" t="str">
        <f ca="1"/>
        <v/>
      </c>
      <c r="HV1525" s="42" t="str">
        <f ca="1"/>
        <v/>
      </c>
      <c r="HW1525" s="42" t="str">
        <f ca="1"/>
        <v/>
      </c>
      <c r="HX1525" s="42" t="str">
        <f ca="1"/>
        <v/>
      </c>
      <c r="HY1525" s="42" t="str">
        <f ca="1"/>
        <v/>
      </c>
      <c r="HZ1525" s="42" t="str">
        <f ca="1"/>
        <v/>
      </c>
      <c r="IA1525" s="42" t="str">
        <f ca="1"/>
        <v/>
      </c>
      <c r="IB1525" s="42" t="str">
        <f ca="1"/>
        <v/>
      </c>
      <c r="IC1525" s="42" t="str">
        <f ca="1"/>
        <v/>
      </c>
      <c r="ID1525" s="42" t="str">
        <f ca="1"/>
        <v/>
      </c>
      <c r="IE1525" s="42" t="str">
        <f ca="1"/>
        <v/>
      </c>
      <c r="IF1525" s="42" t="str">
        <f ca="1"/>
        <v/>
      </c>
      <c r="IG1525" s="42" t="str">
        <f ca="1"/>
        <v/>
      </c>
      <c r="IH1525" s="42" t="str">
        <f ca="1"/>
        <v/>
      </c>
      <c r="II1525" s="42" t="str">
        <f ca="1"/>
        <v/>
      </c>
      <c r="IJ1525" s="42" t="str">
        <f ca="1"/>
        <v/>
      </c>
      <c r="IK1525" s="42" t="str">
        <f ca="1"/>
        <v/>
      </c>
      <c r="IL1525" s="42" t="str">
        <f ca="1"/>
        <v/>
      </c>
      <c r="IM1525" s="42" t="str">
        <f ca="1"/>
        <v/>
      </c>
      <c r="IN1525" s="42" t="str">
        <f ca="1"/>
        <v/>
      </c>
      <c r="IO1525" s="42" t="str">
        <f ca="1"/>
        <v/>
      </c>
      <c r="IP1525" s="42" t="str">
        <f ca="1"/>
        <v/>
      </c>
      <c r="IQ1525" s="42" t="str">
        <f ca="1"/>
        <v/>
      </c>
      <c r="IR1525" s="42" t="str">
        <f ca="1"/>
        <v/>
      </c>
      <c r="IS1525" s="42" t="str">
        <f ca="1"/>
        <v/>
      </c>
      <c r="IT1525" s="42" t="str">
        <f ca="1"/>
        <v/>
      </c>
      <c r="IU1525" s="42" t="str">
        <f ca="1"/>
        <v/>
      </c>
      <c r="IV1525" s="42" t="str">
        <f ca="1"/>
        <v/>
      </c>
      <c r="IW1525" s="42" t="str">
        <f ca="1"/>
        <v/>
      </c>
      <c r="IX1525" s="42" t="str">
        <f ca="1"/>
        <v/>
      </c>
      <c r="IY1525" s="42" t="str">
        <f ca="1"/>
        <v/>
      </c>
      <c r="IZ1525" s="42" t="str">
        <f ca="1"/>
        <v/>
      </c>
      <c r="JA1525" s="42" t="str">
        <f ca="1"/>
        <v/>
      </c>
      <c r="JB1525" s="42" t="str">
        <f ca="1"/>
        <v/>
      </c>
      <c r="JC1525" s="42" t="str">
        <f ca="1"/>
        <v/>
      </c>
      <c r="JD1525" s="42" t="str">
        <f ca="1"/>
        <v/>
      </c>
      <c r="JE1525" s="42" t="str">
        <f ca="1"/>
        <v/>
      </c>
      <c r="JF1525" s="42" t="str">
        <f ca="1"/>
        <v/>
      </c>
      <c r="JG1525" s="42" t="str">
        <f ca="1"/>
        <v/>
      </c>
      <c r="JH1525" s="42" t="str">
        <f ca="1"/>
        <v/>
      </c>
      <c r="JI1525" s="42" t="str">
        <f ca="1"/>
        <v/>
      </c>
      <c r="JJ1525" s="42" t="str">
        <f ca="1"/>
        <v/>
      </c>
      <c r="JK1525" s="42" t="str">
        <f ca="1"/>
        <v/>
      </c>
      <c r="JL1525" s="42" t="str">
        <f ca="1"/>
        <v/>
      </c>
      <c r="JM1525" s="42" t="str">
        <f ca="1"/>
        <v/>
      </c>
      <c r="JN1525" s="42" t="str">
        <f ca="1"/>
        <v/>
      </c>
      <c r="JO1525" s="42" t="str">
        <f ca="1"/>
        <v/>
      </c>
      <c r="JP1525" s="42" t="str">
        <f ca="1"/>
        <v/>
      </c>
      <c r="JQ1525" s="42" t="str">
        <f ca="1"/>
        <v/>
      </c>
      <c r="JR1525" s="42" t="str">
        <f ca="1"/>
        <v/>
      </c>
      <c r="JS1525" s="42" t="str">
        <f ca="1"/>
        <v/>
      </c>
      <c r="JT1525" s="42" t="str">
        <f ca="1"/>
        <v/>
      </c>
      <c r="JU1525" s="42" t="str">
        <f ca="1"/>
        <v/>
      </c>
      <c r="JV1525" s="42" t="str">
        <f ca="1"/>
        <v/>
      </c>
      <c r="JW1525" s="42" t="str">
        <f ca="1"/>
        <v/>
      </c>
      <c r="JX1525" s="42" t="str">
        <f ca="1"/>
        <v/>
      </c>
      <c r="JY1525" s="42" t="str">
        <f ca="1"/>
        <v/>
      </c>
      <c r="JZ1525" s="42" t="str">
        <f ca="1"/>
        <v/>
      </c>
      <c r="KA1525" s="42" t="str">
        <f ca="1"/>
        <v/>
      </c>
      <c r="KB1525" s="42" t="str">
        <f ca="1"/>
        <v/>
      </c>
      <c r="KC1525" s="42" t="str">
        <f ca="1"/>
        <v/>
      </c>
      <c r="KD1525" s="42" t="str">
        <f ca="1"/>
        <v/>
      </c>
      <c r="KE1525" s="42" t="str">
        <f ca="1"/>
        <v/>
      </c>
      <c r="KF1525" s="42" t="str">
        <f ca="1"/>
        <v/>
      </c>
      <c r="KG1525" s="42" t="str">
        <f ca="1"/>
        <v/>
      </c>
      <c r="KH1525" s="42" t="str">
        <f ca="1"/>
        <v/>
      </c>
      <c r="KI1525" s="42" t="str">
        <f ca="1"/>
        <v/>
      </c>
      <c r="KJ1525" s="42" t="str">
        <f ca="1"/>
        <v/>
      </c>
      <c r="KK1525" s="42" t="str">
        <f ca="1"/>
        <v/>
      </c>
      <c r="KL1525" s="42" t="str">
        <f ca="1"/>
        <v/>
      </c>
      <c r="KM1525" s="42" t="str">
        <f ca="1"/>
        <v/>
      </c>
      <c r="KN1525" s="42" t="str">
        <f ca="1"/>
        <v/>
      </c>
      <c r="KO1525" s="42" t="str">
        <f ca="1"/>
        <v/>
      </c>
      <c r="KP1525" s="42" t="str">
        <f ca="1"/>
        <v/>
      </c>
      <c r="KQ1525" s="42" t="str">
        <f ca="1"/>
        <v/>
      </c>
      <c r="KR1525" s="42" t="str">
        <f ca="1"/>
        <v/>
      </c>
      <c r="KS1525" s="42" t="str">
        <f ca="1"/>
        <v/>
      </c>
      <c r="KT1525" s="42" t="str">
        <f ca="1"/>
        <v/>
      </c>
      <c r="KU1525" s="42" t="str">
        <f ca="1"/>
        <v/>
      </c>
      <c r="KV1525" s="42" t="str">
        <f ca="1"/>
        <v/>
      </c>
      <c r="KW1525" s="42" t="str">
        <f ca="1"/>
        <v/>
      </c>
      <c r="KX1525" s="42" t="str">
        <f ca="1"/>
        <v/>
      </c>
      <c r="KY1525" s="42" t="str">
        <f ca="1"/>
        <v/>
      </c>
      <c r="KZ1525" s="42" t="str">
        <f ca="1"/>
        <v/>
      </c>
      <c r="LA1525" s="42" t="str">
        <f ca="1"/>
        <v/>
      </c>
      <c r="LB1525" s="42" t="str">
        <f ca="1"/>
        <v/>
      </c>
      <c r="LC1525" s="42" t="str">
        <f ca="1"/>
        <v/>
      </c>
      <c r="LD1525" s="42" t="str">
        <f ca="1"/>
        <v/>
      </c>
      <c r="LE1525" s="42" t="str">
        <f ca="1"/>
        <v/>
      </c>
      <c r="LF1525" s="42" t="str">
        <f ca="1"/>
        <v/>
      </c>
      <c r="LG1525" s="42" t="str">
        <f ca="1"/>
        <v/>
      </c>
      <c r="LH1525" s="42" t="str">
        <f ca="1"/>
        <v/>
      </c>
      <c r="LI1525" s="42" t="str">
        <f ca="1"/>
        <v/>
      </c>
      <c r="LJ1525" s="42" t="str">
        <f ca="1"/>
        <v/>
      </c>
      <c r="LK1525" s="42" t="str">
        <f ca="1"/>
        <v/>
      </c>
      <c r="LL1525" s="42" t="str">
        <f ca="1"/>
        <v/>
      </c>
      <c r="LM1525" s="42" t="str">
        <f ca="1"/>
        <v/>
      </c>
      <c r="LN1525" s="42" t="str">
        <f ca="1"/>
        <v/>
      </c>
      <c r="LO1525" s="42" t="str">
        <f ca="1"/>
        <v/>
      </c>
      <c r="LP1525" s="42" t="str">
        <f ca="1"/>
        <v/>
      </c>
      <c r="LQ1525" s="42" t="str">
        <f ca="1"/>
        <v/>
      </c>
      <c r="LR1525" s="42" t="str">
        <f ca="1"/>
        <v/>
      </c>
      <c r="LS1525" s="42" t="str">
        <f ca="1"/>
        <v/>
      </c>
      <c r="LT1525" s="42" t="str">
        <f ca="1"/>
        <v/>
      </c>
      <c r="LU1525" s="42" t="str">
        <f ca="1"/>
        <v/>
      </c>
      <c r="LV1525" s="42" t="str">
        <f ca="1"/>
        <v/>
      </c>
      <c r="LW1525" s="42" t="str">
        <f ca="1"/>
        <v/>
      </c>
      <c r="LX1525" s="42" t="str">
        <f ca="1"/>
        <v/>
      </c>
      <c r="LY1525" s="42" t="str">
        <f ca="1"/>
        <v/>
      </c>
      <c r="LZ1525" s="42" t="str">
        <f ca="1"/>
        <v/>
      </c>
      <c r="MA1525" s="42" t="str">
        <f ca="1"/>
        <v/>
      </c>
      <c r="MB1525" s="42" t="str">
        <f ca="1"/>
        <v/>
      </c>
      <c r="MC1525" s="42" t="str">
        <f ca="1"/>
        <v/>
      </c>
      <c r="MD1525" s="42" t="str">
        <f ca="1"/>
        <v/>
      </c>
      <c r="ME1525" s="42" t="str">
        <f ca="1"/>
        <v/>
      </c>
      <c r="MF1525" s="42" t="str">
        <f ca="1"/>
        <v/>
      </c>
      <c r="MG1525" s="42" t="str">
        <f ca="1"/>
        <v/>
      </c>
      <c r="MH1525" s="42" t="str">
        <f ca="1"/>
        <v/>
      </c>
      <c r="MI1525" s="42" t="str">
        <f ca="1"/>
        <v/>
      </c>
      <c r="MJ1525" s="42" t="str">
        <f ca="1"/>
        <v/>
      </c>
      <c r="MK1525" s="42" t="str">
        <f ca="1"/>
        <v/>
      </c>
      <c r="ML1525" s="42" t="str">
        <f ca="1"/>
        <v/>
      </c>
      <c r="MM1525" s="42" t="str">
        <f ca="1"/>
        <v/>
      </c>
      <c r="MN1525" s="42" t="str">
        <f ca="1"/>
        <v/>
      </c>
      <c r="MO1525" s="42" t="str">
        <f ca="1"/>
        <v/>
      </c>
      <c r="MP1525" s="42" t="str">
        <f ca="1"/>
        <v/>
      </c>
      <c r="MQ1525" s="42" t="str">
        <f ca="1"/>
        <v/>
      </c>
      <c r="MR1525" s="42" t="str">
        <f ca="1"/>
        <v/>
      </c>
      <c r="MS1525" s="42" t="str">
        <f ca="1"/>
        <v/>
      </c>
      <c r="MT1525" s="42" t="str">
        <f ca="1"/>
        <v/>
      </c>
      <c r="MU1525" s="42" t="str">
        <f ca="1"/>
        <v/>
      </c>
      <c r="MV1525" s="42" t="str">
        <f ca="1"/>
        <v/>
      </c>
      <c r="MW1525" s="42" t="str">
        <f ca="1"/>
        <v/>
      </c>
      <c r="MX1525" s="42" t="str">
        <f ca="1"/>
        <v/>
      </c>
      <c r="MY1525" s="42" t="str">
        <f ca="1"/>
        <v/>
      </c>
      <c r="MZ1525" s="42" t="str">
        <f ca="1"/>
        <v/>
      </c>
      <c r="NA1525" s="42" t="str">
        <f ca="1"/>
        <v/>
      </c>
      <c r="NB1525" s="42" t="str">
        <f ca="1"/>
        <v/>
      </c>
      <c r="NC1525" s="42" t="str">
        <f ca="1"/>
        <v/>
      </c>
      <c r="ND1525" s="42" t="str">
        <f ca="1"/>
        <v/>
      </c>
      <c r="NE1525" s="42" t="str">
        <f ca="1"/>
        <v/>
      </c>
      <c r="NF1525" s="42" t="str">
        <f ca="1"/>
        <v/>
      </c>
      <c r="NG1525" s="42" t="str">
        <f ca="1"/>
        <v/>
      </c>
      <c r="NH1525" s="42" t="str">
        <f ca="1"/>
        <v/>
      </c>
      <c r="NI1525" s="42" t="str">
        <f ca="1"/>
        <v/>
      </c>
      <c r="NJ1525" s="42" t="str">
        <f ca="1"/>
        <v/>
      </c>
      <c r="NK1525" s="42" t="str">
        <f ca="1"/>
        <v/>
      </c>
      <c r="NL1525" s="42" t="str">
        <f ca="1"/>
        <v/>
      </c>
      <c r="NM1525" s="42" t="str">
        <f ca="1"/>
        <v/>
      </c>
      <c r="NN1525" s="42" t="str">
        <f ca="1"/>
        <v/>
      </c>
      <c r="NO1525" s="42" t="str">
        <f ca="1"/>
        <v/>
      </c>
      <c r="NP1525" s="42" t="str">
        <f ca="1"/>
        <v/>
      </c>
      <c r="NQ1525" s="42" t="str">
        <f ca="1"/>
        <v/>
      </c>
      <c r="NR1525" s="42" t="str">
        <f ca="1"/>
        <v/>
      </c>
      <c r="NS1525" s="42" t="str">
        <f ca="1"/>
        <v/>
      </c>
      <c r="NT1525" s="42" t="str">
        <f ca="1"/>
        <v/>
      </c>
      <c r="NU1525" s="42" t="str">
        <f ca="1"/>
        <v/>
      </c>
      <c r="NV1525" s="42" t="str">
        <f ca="1"/>
        <v/>
      </c>
      <c r="NW1525" s="42" t="str">
        <f ca="1"/>
        <v/>
      </c>
      <c r="NX1525" s="42" t="str">
        <f ca="1"/>
        <v/>
      </c>
      <c r="NY1525" s="42" t="str">
        <f ca="1"/>
        <v/>
      </c>
      <c r="NZ1525" s="42" t="str">
        <f ca="1"/>
        <v/>
      </c>
      <c r="OA1525" s="42" t="str">
        <f ca="1"/>
        <v/>
      </c>
      <c r="OB1525" s="42" t="str">
        <f ca="1"/>
        <v/>
      </c>
      <c r="OC1525" s="42" t="str">
        <f ca="1"/>
        <v/>
      </c>
      <c r="OD1525" s="42" t="str">
        <f ca="1"/>
        <v/>
      </c>
      <c r="OE1525" s="42" t="str">
        <f ca="1"/>
        <v/>
      </c>
      <c r="OF1525" s="42" t="str">
        <f ca="1"/>
        <v/>
      </c>
      <c r="OG1525" s="42" t="str">
        <f ca="1"/>
        <v/>
      </c>
      <c r="OH1525" s="42" t="str">
        <f ca="1"/>
        <v/>
      </c>
      <c r="OI1525" s="42" t="str">
        <f ca="1"/>
        <v/>
      </c>
      <c r="OJ1525" s="42" t="str">
        <f ca="1"/>
        <v/>
      </c>
      <c r="OK1525" s="42" t="str">
        <f ca="1"/>
        <v/>
      </c>
      <c r="OL1525" s="42" t="str">
        <f ca="1"/>
        <v/>
      </c>
      <c r="OM1525" s="42" t="str">
        <f ca="1"/>
        <v/>
      </c>
      <c r="ON1525" s="42" t="str">
        <f ca="1"/>
        <v/>
      </c>
      <c r="OO1525" s="42" t="str">
        <f ca="1"/>
        <v/>
      </c>
      <c r="OP1525" s="42" t="str">
        <f ca="1"/>
        <v/>
      </c>
      <c r="OQ1525" s="42" t="str">
        <f ca="1"/>
        <v/>
      </c>
      <c r="OR1525" s="42" t="str">
        <f ca="1"/>
        <v/>
      </c>
      <c r="OS1525" s="42" t="str">
        <f ca="1"/>
        <v/>
      </c>
      <c r="OT1525" s="42" t="str">
        <f ca="1"/>
        <v/>
      </c>
      <c r="OU1525" s="42" t="str">
        <f ca="1"/>
        <v/>
      </c>
      <c r="OV1525" s="42" t="str">
        <f ca="1"/>
        <v/>
      </c>
      <c r="OW1525" s="42" t="str">
        <f ca="1"/>
        <v/>
      </c>
      <c r="OX1525" s="42" t="str">
        <f ca="1"/>
        <v/>
      </c>
      <c r="OY1525" s="42" t="str">
        <f ca="1"/>
        <v/>
      </c>
      <c r="OZ1525" s="42" t="str">
        <f ca="1"/>
        <v/>
      </c>
      <c r="PA1525" s="42" t="str">
        <f ca="1"/>
        <v/>
      </c>
      <c r="PB1525" s="42" t="str">
        <f ca="1"/>
        <v/>
      </c>
      <c r="PC1525" s="42" t="str">
        <f ca="1"/>
        <v/>
      </c>
      <c r="PD1525" s="42" t="str">
        <f ca="1"/>
        <v/>
      </c>
      <c r="PE1525" s="42" t="str">
        <f ca="1"/>
        <v/>
      </c>
      <c r="PF1525" s="42" t="str">
        <f ca="1"/>
        <v/>
      </c>
      <c r="PG1525" s="42" t="str">
        <f ca="1"/>
        <v/>
      </c>
      <c r="PH1525" s="42" t="str">
        <f ca="1"/>
        <v/>
      </c>
      <c r="PI1525" s="42" t="str">
        <f ca="1"/>
        <v/>
      </c>
      <c r="PJ1525" s="42" t="str">
        <f ca="1"/>
        <v/>
      </c>
      <c r="PK1525" s="42" t="str">
        <f ca="1"/>
        <v/>
      </c>
      <c r="PL1525" s="42" t="str">
        <f ca="1"/>
        <v/>
      </c>
      <c r="PM1525" s="42" t="str">
        <f ca="1"/>
        <v/>
      </c>
      <c r="PN1525" s="42" t="str">
        <f ca="1"/>
        <v/>
      </c>
      <c r="PO1525" s="42" t="str">
        <f ca="1"/>
        <v/>
      </c>
      <c r="PP1525" s="42" t="str">
        <f ca="1"/>
        <v/>
      </c>
      <c r="PQ1525" s="42" t="str">
        <f ca="1"/>
        <v/>
      </c>
      <c r="PR1525" s="42" t="str">
        <f ca="1"/>
        <v/>
      </c>
      <c r="PS1525" s="42" t="str">
        <f ca="1"/>
        <v/>
      </c>
      <c r="PT1525" s="42" t="str">
        <f ca="1"/>
        <v/>
      </c>
      <c r="PU1525" s="42" t="str">
        <f ca="1"/>
        <v/>
      </c>
      <c r="PV1525" s="42" t="str">
        <f ca="1"/>
        <v/>
      </c>
      <c r="PW1525" s="42" t="str">
        <f ca="1"/>
        <v/>
      </c>
      <c r="PX1525" s="42" t="str">
        <f ca="1"/>
        <v/>
      </c>
      <c r="PY1525" s="42" t="str">
        <f ca="1"/>
        <v/>
      </c>
      <c r="PZ1525" s="42" t="str">
        <f ca="1"/>
        <v/>
      </c>
      <c r="QA1525" s="42" t="str">
        <f ca="1"/>
        <v/>
      </c>
      <c r="QB1525" s="42" t="str">
        <f ca="1"/>
        <v/>
      </c>
      <c r="QC1525" s="42" t="str">
        <f ca="1"/>
        <v/>
      </c>
      <c r="QD1525" s="42" t="str">
        <f ca="1"/>
        <v/>
      </c>
      <c r="QE1525" s="42" t="str">
        <f ca="1"/>
        <v/>
      </c>
      <c r="QF1525" s="42" t="str">
        <f ca="1"/>
        <v/>
      </c>
      <c r="QG1525" s="42" t="str">
        <f ca="1"/>
        <v/>
      </c>
      <c r="QH1525" s="42" t="str">
        <f ca="1"/>
        <v/>
      </c>
      <c r="QI1525" s="42" t="str">
        <f ca="1"/>
        <v/>
      </c>
      <c r="QJ1525" s="42" t="str">
        <f ca="1"/>
        <v/>
      </c>
      <c r="QK1525" s="42" t="str">
        <f ca="1"/>
        <v/>
      </c>
      <c r="QL1525" s="42" t="str">
        <f ca="1"/>
        <v/>
      </c>
      <c r="QM1525" s="42" t="str">
        <f ca="1"/>
        <v/>
      </c>
      <c r="QN1525" s="42" t="str">
        <f ca="1"/>
        <v/>
      </c>
      <c r="QO1525" s="42" t="str">
        <f ca="1"/>
        <v/>
      </c>
      <c r="QP1525" s="42" t="str">
        <f ca="1"/>
        <v/>
      </c>
      <c r="QQ1525" s="42" t="str">
        <f ca="1"/>
        <v/>
      </c>
      <c r="QR1525" s="42" t="str">
        <f ca="1"/>
        <v/>
      </c>
      <c r="QS1525" s="42" t="str">
        <f ca="1"/>
        <v/>
      </c>
      <c r="QT1525" s="42" t="str">
        <f ca="1"/>
        <v/>
      </c>
      <c r="QU1525" s="42" t="str">
        <f ca="1"/>
        <v/>
      </c>
      <c r="QV1525" s="42" t="str">
        <f ca="1"/>
        <v/>
      </c>
      <c r="QW1525" s="42" t="str">
        <f ca="1"/>
        <v/>
      </c>
      <c r="QX1525" s="42" t="str">
        <f ca="1"/>
        <v/>
      </c>
      <c r="QY1525" s="42" t="str">
        <f ca="1"/>
        <v/>
      </c>
      <c r="QZ1525" s="42" t="str">
        <f ca="1"/>
        <v/>
      </c>
      <c r="RA1525" s="42" t="str">
        <f ca="1"/>
        <v/>
      </c>
      <c r="RB1525" s="42" t="str">
        <f ca="1"/>
        <v/>
      </c>
      <c r="RC1525" s="42" t="str">
        <f ca="1"/>
        <v/>
      </c>
      <c r="RD1525" s="42" t="str">
        <f ca="1"/>
        <v/>
      </c>
      <c r="RE1525" s="42" t="str">
        <f ca="1"/>
        <v/>
      </c>
      <c r="RF1525" s="42" t="str">
        <f ca="1"/>
        <v/>
      </c>
      <c r="RG1525" s="42" t="str">
        <f ca="1"/>
        <v/>
      </c>
      <c r="RH1525" s="42" t="str">
        <f ca="1"/>
        <v/>
      </c>
      <c r="RI1525" s="42" t="str">
        <f ca="1"/>
        <v/>
      </c>
      <c r="RJ1525" s="42" t="str">
        <f ca="1"/>
        <v/>
      </c>
      <c r="RK1525" s="42" t="str">
        <f ca="1"/>
        <v/>
      </c>
      <c r="RL1525" s="42" t="str">
        <f ca="1"/>
        <v/>
      </c>
      <c r="RM1525" s="42" t="str">
        <f ca="1"/>
        <v/>
      </c>
      <c r="RN1525" s="42" t="str">
        <f ca="1"/>
        <v/>
      </c>
      <c r="RO1525" s="42" t="str">
        <f ca="1"/>
        <v/>
      </c>
      <c r="RP1525" s="42" t="str">
        <f ca="1"/>
        <v/>
      </c>
      <c r="RQ1525" s="42" t="str">
        <f ca="1"/>
        <v/>
      </c>
      <c r="RR1525" s="42" t="str">
        <f ca="1"/>
        <v/>
      </c>
      <c r="RS1525" s="42" t="str">
        <f ca="1"/>
        <v/>
      </c>
      <c r="RT1525" s="42" t="str">
        <f ca="1"/>
        <v/>
      </c>
      <c r="RU1525" s="42" t="str">
        <f ca="1"/>
        <v/>
      </c>
      <c r="RV1525" s="42" t="str">
        <f ca="1"/>
        <v/>
      </c>
      <c r="RW1525" s="42" t="str">
        <f ca="1"/>
        <v/>
      </c>
      <c r="RX1525" s="42" t="str">
        <f ca="1"/>
        <v/>
      </c>
      <c r="RY1525" s="42" t="str">
        <f ca="1"/>
        <v/>
      </c>
      <c r="RZ1525" s="42" t="str">
        <f ca="1"/>
        <v/>
      </c>
      <c r="SA1525" s="42" t="str">
        <f ca="1"/>
        <v/>
      </c>
      <c r="SB1525" s="42" t="str">
        <f ca="1"/>
        <v/>
      </c>
      <c r="SC1525" s="42" t="str">
        <f ca="1"/>
        <v/>
      </c>
      <c r="SD1525" s="42" t="str">
        <f ca="1"/>
        <v/>
      </c>
      <c r="SE1525" s="42" t="str">
        <f ca="1"/>
        <v/>
      </c>
      <c r="SF1525" s="42" t="str">
        <f ca="1"/>
        <v/>
      </c>
      <c r="SG1525" s="42" t="str">
        <f ca="1"/>
        <v/>
      </c>
      <c r="SH1525" s="42" t="str">
        <f ca="1"/>
        <v/>
      </c>
      <c r="SI1525" s="42" t="str">
        <f ca="1"/>
        <v/>
      </c>
      <c r="SJ1525" s="42" t="str">
        <f ca="1"/>
        <v/>
      </c>
      <c r="SK1525" s="42" t="str">
        <f ca="1"/>
        <v/>
      </c>
      <c r="SL1525" s="42" t="str">
        <f ca="1"/>
        <v/>
      </c>
      <c r="SM1525" s="42" t="str">
        <f ca="1"/>
        <v/>
      </c>
      <c r="SN1525" s="42" t="str">
        <f ca="1"/>
        <v/>
      </c>
      <c r="SO1525" s="42" t="str">
        <f ca="1"/>
        <v/>
      </c>
      <c r="SP1525" s="42" t="str">
        <f ca="1"/>
        <v/>
      </c>
      <c r="SQ1525" s="42" t="str">
        <f ca="1"/>
        <v/>
      </c>
      <c r="SR1525" s="42" t="str">
        <f ca="1"/>
        <v/>
      </c>
      <c r="SS1525" s="42" t="str">
        <f ca="1"/>
        <v/>
      </c>
      <c r="ST1525" s="42" t="str">
        <f ca="1"/>
        <v/>
      </c>
      <c r="SU1525" s="42" t="str">
        <f ca="1"/>
        <v/>
      </c>
      <c r="SV1525" s="42" t="str">
        <f ca="1"/>
        <v/>
      </c>
      <c r="SW1525" s="42" t="str">
        <f ca="1"/>
        <v/>
      </c>
      <c r="SX1525" s="42" t="str">
        <f ca="1"/>
        <v/>
      </c>
      <c r="SY1525" s="42" t="str">
        <f ca="1"/>
        <v/>
      </c>
      <c r="SZ1525" s="42" t="str">
        <f ca="1"/>
        <v/>
      </c>
      <c r="TA1525" s="42" t="str">
        <f ca="1"/>
        <v/>
      </c>
      <c r="TB1525" s="42" t="str">
        <f ca="1"/>
        <v/>
      </c>
      <c r="TC1525" s="42" t="str">
        <f ca="1"/>
        <v/>
      </c>
      <c r="TD1525" s="42" t="str">
        <f ca="1"/>
        <v/>
      </c>
      <c r="TE1525" s="42" t="str">
        <f ca="1"/>
        <v/>
      </c>
      <c r="TF1525" s="42" t="str">
        <f ca="1"/>
        <v/>
      </c>
      <c r="TG1525" s="42" t="str">
        <f ca="1"/>
        <v/>
      </c>
      <c r="TH1525" s="42" t="str">
        <f ca="1"/>
        <v/>
      </c>
      <c r="TI1525" s="42" t="str">
        <f ca="1"/>
        <v/>
      </c>
      <c r="TJ1525" s="42" t="str">
        <f ca="1"/>
        <v/>
      </c>
      <c r="TK1525" s="42" t="str">
        <f ca="1"/>
        <v/>
      </c>
      <c r="TL1525" s="42" t="str">
        <f ca="1"/>
        <v/>
      </c>
      <c r="TM1525" s="42" t="str">
        <f ca="1"/>
        <v/>
      </c>
      <c r="TN1525" s="42" t="str">
        <f ca="1"/>
        <v/>
      </c>
      <c r="TO1525" s="42" t="str">
        <f ca="1"/>
        <v/>
      </c>
      <c r="TP1525" s="42" t="str">
        <f ca="1"/>
        <v/>
      </c>
      <c r="TQ1525" s="42" t="str">
        <f ca="1"/>
        <v/>
      </c>
      <c r="TR1525" s="42" t="str">
        <f ca="1"/>
        <v/>
      </c>
      <c r="TS1525" s="42" t="str">
        <f ca="1"/>
        <v/>
      </c>
      <c r="TT1525" s="42" t="str">
        <f ca="1"/>
        <v/>
      </c>
      <c r="TU1525" s="42" t="str">
        <f ca="1"/>
        <v/>
      </c>
      <c r="TV1525" s="42" t="str">
        <f ca="1"/>
        <v/>
      </c>
      <c r="TW1525" s="42" t="str">
        <f ca="1"/>
        <v/>
      </c>
      <c r="TX1525" s="42" t="str">
        <f ca="1"/>
        <v/>
      </c>
      <c r="TY1525" s="42" t="str">
        <f ca="1"/>
        <v/>
      </c>
      <c r="TZ1525" s="42" t="str">
        <f ca="1"/>
        <v/>
      </c>
      <c r="UA1525" s="42" t="str">
        <f ca="1"/>
        <v/>
      </c>
      <c r="UB1525" s="42" t="str">
        <f ca="1"/>
        <v/>
      </c>
      <c r="UC1525" s="42" t="str">
        <f ca="1"/>
        <v/>
      </c>
      <c r="UD1525" s="42" t="str">
        <f ca="1"/>
        <v/>
      </c>
      <c r="UE1525" s="42" t="str">
        <f ca="1"/>
        <v/>
      </c>
      <c r="UF1525" s="42" t="str">
        <f ca="1"/>
        <v/>
      </c>
      <c r="UG1525" s="42" t="str">
        <f ca="1"/>
        <v/>
      </c>
      <c r="UH1525" s="42" t="str">
        <f ca="1"/>
        <v/>
      </c>
      <c r="UI1525" s="42" t="str">
        <f ca="1"/>
        <v/>
      </c>
      <c r="UJ1525" s="42" t="str">
        <f ca="1"/>
        <v/>
      </c>
      <c r="UK1525" s="42" t="str">
        <f ca="1"/>
        <v/>
      </c>
      <c r="UL1525" s="42" t="str">
        <f ca="1"/>
        <v/>
      </c>
      <c r="UM1525" s="42" t="str">
        <f ca="1"/>
        <v/>
      </c>
      <c r="UN1525" s="42" t="str">
        <f ca="1"/>
        <v/>
      </c>
      <c r="UO1525" s="42" t="str">
        <f ca="1"/>
        <v/>
      </c>
      <c r="UP1525" s="42" t="str">
        <f ca="1"/>
        <v/>
      </c>
      <c r="UQ1525" s="42" t="str">
        <f ca="1"/>
        <v/>
      </c>
      <c r="UR1525" s="42" t="str">
        <f ca="1"/>
        <v/>
      </c>
      <c r="US1525" s="42" t="str">
        <f ca="1"/>
        <v/>
      </c>
      <c r="UT1525" s="42" t="str">
        <f ca="1"/>
        <v/>
      </c>
      <c r="UU1525" s="42" t="str">
        <f ca="1"/>
        <v/>
      </c>
      <c r="UV1525" s="42" t="str">
        <f ca="1"/>
        <v/>
      </c>
      <c r="UW1525" s="42" t="str">
        <f ca="1"/>
        <v/>
      </c>
      <c r="UX1525" s="42" t="str">
        <f ca="1"/>
        <v/>
      </c>
      <c r="UY1525" s="42" t="str">
        <f ca="1"/>
        <v/>
      </c>
      <c r="UZ1525" s="42" t="str">
        <f ca="1"/>
        <v/>
      </c>
      <c r="VA1525" s="42" t="str">
        <f ca="1"/>
        <v/>
      </c>
      <c r="VB1525" s="42" t="str">
        <f ca="1"/>
        <v/>
      </c>
      <c r="VC1525" s="42" t="str">
        <f ca="1"/>
        <v/>
      </c>
      <c r="VD1525" s="42" t="str">
        <f ca="1"/>
        <v/>
      </c>
      <c r="VE1525" s="42" t="str">
        <f ca="1"/>
        <v/>
      </c>
      <c r="VF1525" s="42" t="str">
        <f ca="1"/>
        <v/>
      </c>
      <c r="VG1525" s="42" t="str">
        <f ca="1"/>
        <v/>
      </c>
      <c r="VH1525" s="42" t="str">
        <f ca="1"/>
        <v/>
      </c>
      <c r="VI1525" s="42" t="str">
        <f ca="1"/>
        <v/>
      </c>
      <c r="VJ1525" s="42" t="str">
        <f ca="1"/>
        <v/>
      </c>
      <c r="VK1525" s="42" t="str">
        <f ca="1"/>
        <v/>
      </c>
      <c r="VL1525" s="42" t="str">
        <f ca="1"/>
        <v/>
      </c>
      <c r="VM1525" s="42" t="str">
        <f ca="1"/>
        <v/>
      </c>
      <c r="VN1525" s="42" t="str">
        <f ca="1"/>
        <v/>
      </c>
      <c r="VO1525" s="42" t="str">
        <f ca="1"/>
        <v/>
      </c>
      <c r="VP1525" s="42" t="str">
        <f ca="1"/>
        <v/>
      </c>
      <c r="VQ1525" s="42" t="str">
        <f ca="1"/>
        <v/>
      </c>
      <c r="VR1525" s="42" t="str">
        <f ca="1"/>
        <v/>
      </c>
      <c r="VS1525" s="42" t="str">
        <f ca="1"/>
        <v/>
      </c>
      <c r="VT1525" s="42" t="str">
        <f ca="1"/>
        <v/>
      </c>
      <c r="VU1525" s="42" t="str">
        <f ca="1"/>
        <v/>
      </c>
      <c r="VV1525" s="42" t="str">
        <f ca="1"/>
        <v/>
      </c>
      <c r="VW1525" s="42" t="str">
        <f ca="1"/>
        <v/>
      </c>
      <c r="VX1525" s="42" t="str">
        <f ca="1"/>
        <v/>
      </c>
      <c r="VY1525" s="42" t="str">
        <f ca="1"/>
        <v/>
      </c>
      <c r="VZ1525" s="42" t="str">
        <f ca="1"/>
        <v/>
      </c>
      <c r="WA1525" s="42" t="str">
        <f ca="1"/>
        <v/>
      </c>
      <c r="WB1525" s="42" t="str">
        <f ca="1"/>
        <v/>
      </c>
      <c r="WC1525" s="42" t="str">
        <f ca="1"/>
        <v/>
      </c>
      <c r="WD1525" s="42" t="str">
        <f ca="1"/>
        <v/>
      </c>
      <c r="WE1525" s="42" t="str">
        <f ca="1"/>
        <v/>
      </c>
      <c r="WF1525" s="42" t="str">
        <f ca="1"/>
        <v/>
      </c>
      <c r="WG1525" s="42" t="str">
        <f ca="1"/>
        <v/>
      </c>
      <c r="WH1525" s="42" t="str">
        <f ca="1"/>
        <v/>
      </c>
      <c r="WI1525" s="42" t="str">
        <f ca="1"/>
        <v/>
      </c>
      <c r="WJ1525" s="42" t="str">
        <f ca="1"/>
        <v/>
      </c>
      <c r="WK1525" s="42" t="str">
        <f ca="1"/>
        <v/>
      </c>
      <c r="WL1525" s="42" t="str">
        <f ca="1"/>
        <v/>
      </c>
      <c r="WM1525" s="42" t="str">
        <f ca="1"/>
        <v/>
      </c>
      <c r="WN1525" s="42" t="str">
        <f ca="1"/>
        <v/>
      </c>
      <c r="WO1525" s="42" t="str">
        <f ca="1"/>
        <v/>
      </c>
      <c r="WP1525" s="42" t="str">
        <f ca="1"/>
        <v/>
      </c>
      <c r="WQ1525" s="42" t="str">
        <f ca="1"/>
        <v/>
      </c>
      <c r="WR1525" s="42" t="str">
        <f ca="1"/>
        <v/>
      </c>
      <c r="WS1525" s="42" t="str">
        <f ca="1"/>
        <v/>
      </c>
      <c r="WT1525" s="42" t="str">
        <f ca="1"/>
        <v/>
      </c>
      <c r="WU1525" s="42" t="str">
        <f ca="1"/>
        <v/>
      </c>
      <c r="WV1525" s="42" t="str">
        <f ca="1"/>
        <v/>
      </c>
      <c r="WW1525" s="42" t="str">
        <f ca="1"/>
        <v/>
      </c>
      <c r="WX1525" s="42" t="str">
        <f ca="1"/>
        <v/>
      </c>
      <c r="WY1525" s="42" t="str">
        <f ca="1"/>
        <v/>
      </c>
      <c r="WZ1525" s="42" t="str">
        <f ca="1"/>
        <v/>
      </c>
      <c r="XA1525" s="42" t="str">
        <f ca="1"/>
        <v/>
      </c>
      <c r="XB1525" s="42" t="str">
        <f ca="1"/>
        <v/>
      </c>
      <c r="XC1525" s="42" t="str">
        <f ca="1"/>
        <v/>
      </c>
      <c r="XD1525" s="42" t="str">
        <f ca="1"/>
        <v/>
      </c>
      <c r="XE1525" s="42" t="str">
        <f ca="1"/>
        <v/>
      </c>
      <c r="XF1525" s="42" t="str">
        <f ca="1"/>
        <v/>
      </c>
      <c r="XG1525" s="42" t="str">
        <f ca="1"/>
        <v/>
      </c>
      <c r="XH1525" s="42" t="str">
        <f ca="1"/>
        <v/>
      </c>
      <c r="XI1525" s="42" t="str">
        <f ca="1"/>
        <v/>
      </c>
      <c r="XJ1525" s="42" t="str">
        <f ca="1"/>
        <v/>
      </c>
      <c r="XK1525" s="42" t="str">
        <f ca="1"/>
        <v/>
      </c>
      <c r="XL1525" s="42" t="str">
        <f ca="1"/>
        <v/>
      </c>
      <c r="XM1525" s="42" t="str">
        <f ca="1"/>
        <v/>
      </c>
      <c r="XN1525" s="42" t="str">
        <f ca="1"/>
        <v/>
      </c>
      <c r="XO1525" s="42" t="str">
        <f ca="1"/>
        <v/>
      </c>
      <c r="XP1525" s="42" t="str">
        <f ca="1"/>
        <v/>
      </c>
      <c r="XQ1525" s="42" t="str">
        <f ca="1"/>
        <v/>
      </c>
      <c r="XR1525" s="42" t="str">
        <f ca="1"/>
        <v/>
      </c>
      <c r="XS1525" s="42" t="str">
        <f ca="1"/>
        <v/>
      </c>
      <c r="XT1525" s="42" t="str">
        <f ca="1"/>
        <v/>
      </c>
      <c r="XU1525" s="42" t="str">
        <f ca="1"/>
        <v/>
      </c>
      <c r="XV1525" s="42" t="str">
        <f ca="1"/>
        <v/>
      </c>
      <c r="XW1525" s="42" t="str">
        <f ca="1"/>
        <v/>
      </c>
      <c r="XX1525" s="42" t="str">
        <f ca="1"/>
        <v/>
      </c>
      <c r="XY1525" s="42" t="str">
        <f ca="1"/>
        <v/>
      </c>
      <c r="XZ1525" s="42" t="str">
        <f ca="1"/>
        <v/>
      </c>
      <c r="YA1525" s="42" t="str">
        <f ca="1"/>
        <v/>
      </c>
      <c r="YB1525" s="42" t="str">
        <f ca="1"/>
        <v/>
      </c>
      <c r="YC1525" s="42" t="str">
        <f ca="1"/>
        <v/>
      </c>
      <c r="YD1525" s="42" t="str">
        <f ca="1"/>
        <v/>
      </c>
      <c r="YE1525" s="42" t="str">
        <f ca="1"/>
        <v/>
      </c>
      <c r="YF1525" s="42" t="str">
        <f ca="1"/>
        <v/>
      </c>
      <c r="YG1525" s="42" t="str">
        <f ca="1"/>
        <v/>
      </c>
      <c r="YH1525" s="42" t="str">
        <f ca="1"/>
        <v/>
      </c>
      <c r="YI1525" s="42" t="str">
        <f ca="1"/>
        <v/>
      </c>
      <c r="YJ1525" s="42" t="str">
        <f ca="1"/>
        <v/>
      </c>
      <c r="YK1525" s="42" t="str">
        <f ca="1"/>
        <v/>
      </c>
      <c r="YL1525" s="42" t="str">
        <f ca="1"/>
        <v/>
      </c>
      <c r="YM1525" s="42" t="str">
        <f ca="1"/>
        <v/>
      </c>
      <c r="YN1525" s="42" t="str">
        <f ca="1"/>
        <v/>
      </c>
      <c r="YO1525" s="42" t="str">
        <f ca="1"/>
        <v/>
      </c>
      <c r="YP1525" s="42" t="str">
        <f ca="1"/>
        <v/>
      </c>
      <c r="YQ1525" s="42" t="str">
        <f ca="1"/>
        <v/>
      </c>
      <c r="YR1525" s="42" t="str">
        <f ca="1"/>
        <v/>
      </c>
      <c r="YS1525" s="42" t="str">
        <f ca="1"/>
        <v/>
      </c>
      <c r="YT1525" s="42" t="str">
        <f ca="1"/>
        <v/>
      </c>
      <c r="YU1525" s="42" t="str">
        <f ca="1"/>
        <v/>
      </c>
      <c r="YV1525" s="42" t="str">
        <f ca="1"/>
        <v/>
      </c>
      <c r="YW1525" s="42" t="str">
        <f ca="1"/>
        <v/>
      </c>
      <c r="YX1525" s="42" t="str">
        <f ca="1"/>
        <v/>
      </c>
      <c r="YY1525" s="42" t="str">
        <f ca="1"/>
        <v/>
      </c>
      <c r="YZ1525" s="42" t="str">
        <f ca="1"/>
        <v/>
      </c>
      <c r="ZA1525" s="42" t="str">
        <f ca="1"/>
        <v/>
      </c>
      <c r="ZB1525" s="42" t="str">
        <f ca="1"/>
        <v/>
      </c>
      <c r="ZC1525" s="42" t="str">
        <f ca="1"/>
        <v/>
      </c>
      <c r="ZD1525" s="42" t="str">
        <f ca="1"/>
        <v/>
      </c>
      <c r="ZE1525" s="42" t="str">
        <f ca="1"/>
        <v/>
      </c>
      <c r="ZF1525" s="42" t="str">
        <f ca="1"/>
        <v/>
      </c>
      <c r="ZG1525" s="42" t="str">
        <f ca="1"/>
        <v/>
      </c>
      <c r="ZH1525" s="42" t="str">
        <f ca="1"/>
        <v/>
      </c>
      <c r="ZI1525" s="42" t="str">
        <f ca="1"/>
        <v/>
      </c>
      <c r="ZJ1525" s="42" t="str">
        <f ca="1"/>
        <v/>
      </c>
      <c r="ZK1525" s="42" t="str">
        <f ca="1"/>
        <v/>
      </c>
      <c r="ZL1525" s="42" t="str">
        <f ca="1"/>
        <v/>
      </c>
      <c r="ZM1525" s="42" t="str">
        <f ca="1"/>
        <v/>
      </c>
      <c r="ZN1525" s="42" t="str">
        <f ca="1"/>
        <v/>
      </c>
      <c r="ZO1525" s="42" t="str">
        <f ca="1"/>
        <v/>
      </c>
      <c r="ZP1525" s="42" t="str">
        <f ca="1"/>
        <v/>
      </c>
      <c r="ZQ1525" s="42" t="str">
        <f ca="1"/>
        <v/>
      </c>
      <c r="ZR1525" s="42" t="str">
        <f ca="1"/>
        <v/>
      </c>
      <c r="ZS1525" s="42" t="str">
        <f ca="1"/>
        <v/>
      </c>
      <c r="ZT1525" s="42" t="str">
        <f ca="1"/>
        <v/>
      </c>
      <c r="ZU1525" s="42" t="str">
        <f ca="1"/>
        <v/>
      </c>
      <c r="ZV1525" s="42" t="str">
        <f ca="1"/>
        <v/>
      </c>
      <c r="ZW1525" s="42" t="str">
        <f ca="1"/>
        <v/>
      </c>
      <c r="ZX1525" s="42" t="str">
        <f ca="1"/>
        <v/>
      </c>
      <c r="ZY1525" s="42" t="str">
        <f ca="1"/>
        <v/>
      </c>
      <c r="ZZ1525" s="42" t="str">
        <f ca="1"/>
        <v/>
      </c>
      <c r="AAA1525" s="42" t="str">
        <f ca="1"/>
        <v/>
      </c>
      <c r="AAB1525" s="42" t="str">
        <f ca="1"/>
        <v/>
      </c>
      <c r="AAC1525" s="42" t="str">
        <f ca="1"/>
        <v/>
      </c>
      <c r="AAD1525" s="42" t="str">
        <f ca="1"/>
        <v/>
      </c>
      <c r="AAE1525" s="42" t="str">
        <f ca="1"/>
        <v/>
      </c>
      <c r="AAF1525" s="42" t="str">
        <f ca="1"/>
        <v/>
      </c>
      <c r="AAG1525" s="42" t="str">
        <f ca="1"/>
        <v/>
      </c>
      <c r="AAH1525" s="42" t="str">
        <f ca="1"/>
        <v/>
      </c>
      <c r="AAI1525" s="42" t="str">
        <f ca="1"/>
        <v/>
      </c>
      <c r="AAJ1525" s="42" t="str">
        <f ca="1"/>
        <v/>
      </c>
      <c r="AAK1525" s="42" t="str">
        <f ca="1"/>
        <v/>
      </c>
      <c r="AAL1525" s="42" t="str">
        <f ca="1"/>
        <v/>
      </c>
      <c r="AAM1525" s="42" t="str">
        <f ca="1"/>
        <v/>
      </c>
      <c r="AAN1525" s="42" t="str">
        <f ca="1"/>
        <v/>
      </c>
      <c r="AAO1525" s="42" t="str">
        <f ca="1"/>
        <v/>
      </c>
      <c r="AAP1525" s="42" t="str">
        <f ca="1"/>
        <v/>
      </c>
      <c r="AAQ1525" s="42" t="str">
        <f ca="1"/>
        <v/>
      </c>
      <c r="AAR1525" s="42" t="str">
        <f ca="1"/>
        <v/>
      </c>
      <c r="AAS1525" s="42" t="str">
        <f ca="1"/>
        <v/>
      </c>
      <c r="AAT1525" s="42" t="str">
        <f ca="1"/>
        <v/>
      </c>
      <c r="AAU1525" s="42" t="str">
        <f ca="1"/>
        <v/>
      </c>
      <c r="AAV1525" s="42" t="str">
        <f ca="1"/>
        <v/>
      </c>
      <c r="AAW1525" s="42" t="str">
        <f ca="1"/>
        <v/>
      </c>
      <c r="AAX1525" s="42" t="str">
        <f ca="1"/>
        <v/>
      </c>
      <c r="AAY1525" s="42" t="str">
        <f ca="1"/>
        <v/>
      </c>
      <c r="AAZ1525" s="42" t="str">
        <f ca="1"/>
        <v/>
      </c>
      <c r="ABA1525" s="42" t="str">
        <f ca="1"/>
        <v/>
      </c>
      <c r="ABB1525" s="42" t="str">
        <f ca="1"/>
        <v/>
      </c>
      <c r="ABC1525" s="42" t="str">
        <f ca="1"/>
        <v/>
      </c>
      <c r="ABD1525" s="42" t="str">
        <f ca="1"/>
        <v/>
      </c>
      <c r="ABE1525" s="42" t="str">
        <f ca="1"/>
        <v/>
      </c>
      <c r="ABF1525" s="42" t="str">
        <f ca="1"/>
        <v/>
      </c>
      <c r="ABG1525" s="42" t="str">
        <f ca="1"/>
        <v/>
      </c>
      <c r="ABH1525" s="42" t="str">
        <f ca="1"/>
        <v/>
      </c>
      <c r="ABI1525" s="42" t="str">
        <f ca="1"/>
        <v/>
      </c>
      <c r="ABJ1525" s="42" t="str">
        <f ca="1"/>
        <v/>
      </c>
      <c r="ABK1525" s="42" t="str">
        <f ca="1"/>
        <v/>
      </c>
      <c r="ABL1525" s="42" t="str">
        <f ca="1"/>
        <v/>
      </c>
      <c r="ABM1525" s="42" t="str">
        <f ca="1"/>
        <v/>
      </c>
      <c r="ABN1525" s="42" t="str">
        <f ca="1"/>
        <v/>
      </c>
      <c r="ABO1525" s="42" t="str">
        <f ca="1"/>
        <v/>
      </c>
      <c r="ABP1525" s="42" t="str">
        <f ca="1"/>
        <v/>
      </c>
      <c r="ABQ1525" s="42" t="str">
        <f ca="1"/>
        <v/>
      </c>
      <c r="ABR1525" s="42" t="str">
        <f ca="1"/>
        <v/>
      </c>
      <c r="ABS1525" s="42" t="str">
        <f ca="1"/>
        <v/>
      </c>
      <c r="ABT1525" s="42" t="str">
        <f ca="1"/>
        <v/>
      </c>
      <c r="ABU1525" s="42" t="str">
        <f ca="1"/>
        <v/>
      </c>
      <c r="ABV1525" s="42" t="str">
        <f ca="1"/>
        <v/>
      </c>
      <c r="ABW1525" s="42" t="str">
        <f ca="1"/>
        <v/>
      </c>
      <c r="ABX1525" s="42" t="str">
        <f ca="1"/>
        <v/>
      </c>
      <c r="ABY1525" s="42" t="str">
        <f ca="1"/>
        <v/>
      </c>
      <c r="ABZ1525" s="42" t="str">
        <f ca="1"/>
        <v/>
      </c>
      <c r="ACA1525" s="42" t="str">
        <f ca="1"/>
        <v/>
      </c>
      <c r="ACB1525" s="42" t="str">
        <f ca="1"/>
        <v/>
      </c>
      <c r="ACC1525" s="42" t="str">
        <f ca="1"/>
        <v/>
      </c>
      <c r="ACD1525" s="42" t="str">
        <f ca="1"/>
        <v/>
      </c>
      <c r="ACE1525" s="42" t="str">
        <f ca="1"/>
        <v/>
      </c>
      <c r="ACF1525" s="42" t="str">
        <f ca="1"/>
        <v/>
      </c>
      <c r="ACG1525" s="42" t="str">
        <f ca="1"/>
        <v/>
      </c>
      <c r="ACH1525" s="42" t="str">
        <f ca="1"/>
        <v/>
      </c>
      <c r="ACI1525" s="42" t="str">
        <f ca="1"/>
        <v/>
      </c>
      <c r="ACJ1525" s="42" t="str">
        <f ca="1"/>
        <v/>
      </c>
      <c r="ACK1525" s="42" t="str">
        <f ca="1"/>
        <v/>
      </c>
      <c r="ACL1525" s="42" t="str">
        <f ca="1"/>
        <v/>
      </c>
      <c r="ACM1525" s="42" t="str">
        <f ca="1"/>
        <v/>
      </c>
      <c r="ACN1525" s="42" t="str">
        <f ca="1"/>
        <v/>
      </c>
      <c r="ACO1525" s="42" t="str">
        <f ca="1"/>
        <v/>
      </c>
      <c r="ACP1525" s="42" t="str">
        <f ca="1"/>
        <v/>
      </c>
      <c r="ACQ1525" s="42" t="str">
        <f ca="1"/>
        <v/>
      </c>
      <c r="ACR1525" s="42" t="str">
        <f ca="1"/>
        <v/>
      </c>
      <c r="ACS1525" s="42" t="str">
        <f ca="1"/>
        <v/>
      </c>
      <c r="ACT1525" s="42" t="str">
        <f ca="1"/>
        <v/>
      </c>
      <c r="ACU1525" s="42" t="str">
        <f ca="1"/>
        <v/>
      </c>
      <c r="ACV1525" s="42" t="str">
        <f ca="1"/>
        <v/>
      </c>
      <c r="ACW1525" s="42" t="str">
        <f ca="1"/>
        <v/>
      </c>
      <c r="ACX1525" s="42" t="str">
        <f ca="1"/>
        <v/>
      </c>
      <c r="ACY1525" s="42" t="str">
        <f ca="1"/>
        <v/>
      </c>
      <c r="ACZ1525" s="42" t="str">
        <f ca="1"/>
        <v/>
      </c>
      <c r="ADA1525" s="42" t="str">
        <f ca="1"/>
        <v/>
      </c>
      <c r="ADB1525" s="42" t="str">
        <f ca="1"/>
        <v/>
      </c>
      <c r="ADC1525" s="42" t="str">
        <f ca="1"/>
        <v/>
      </c>
      <c r="ADD1525" s="42" t="str">
        <f ca="1"/>
        <v/>
      </c>
      <c r="ADE1525" s="42" t="str">
        <f ca="1"/>
        <v/>
      </c>
      <c r="ADF1525" s="42" t="str">
        <f ca="1"/>
        <v/>
      </c>
      <c r="ADG1525" s="42" t="str">
        <f ca="1"/>
        <v/>
      </c>
      <c r="ADH1525" s="42" t="str">
        <f ca="1"/>
        <v/>
      </c>
      <c r="ADI1525" s="42" t="str">
        <f ca="1"/>
        <v/>
      </c>
      <c r="ADJ1525" s="42" t="str">
        <f ca="1"/>
        <v/>
      </c>
      <c r="ADK1525" s="42" t="str">
        <f ca="1"/>
        <v/>
      </c>
      <c r="ADL1525" s="42" t="str">
        <f ca="1"/>
        <v/>
      </c>
      <c r="ADM1525" s="42" t="str">
        <f ca="1"/>
        <v/>
      </c>
      <c r="ADN1525" s="42" t="str">
        <f ca="1"/>
        <v/>
      </c>
      <c r="ADO1525" s="42" t="str">
        <f ca="1"/>
        <v/>
      </c>
      <c r="ADP1525" s="42" t="str">
        <f ca="1"/>
        <v/>
      </c>
      <c r="ADQ1525" s="42" t="str">
        <f ca="1"/>
        <v/>
      </c>
      <c r="ADR1525" s="42" t="str">
        <f ca="1"/>
        <v/>
      </c>
      <c r="ADS1525" s="42" t="str">
        <f ca="1"/>
        <v/>
      </c>
      <c r="ADT1525" s="42" t="str">
        <f ca="1"/>
        <v/>
      </c>
      <c r="ADU1525" s="42" t="str">
        <f ca="1"/>
        <v/>
      </c>
      <c r="ADV1525" s="42" t="str">
        <f ca="1"/>
        <v/>
      </c>
      <c r="ADW1525" s="42" t="str">
        <f ca="1"/>
        <v/>
      </c>
      <c r="ADX1525" s="42" t="str">
        <f ca="1"/>
        <v/>
      </c>
      <c r="ADY1525" s="42" t="str">
        <f ca="1"/>
        <v/>
      </c>
      <c r="ADZ1525" s="42" t="str">
        <f ca="1"/>
        <v/>
      </c>
      <c r="AEA1525" s="42" t="str">
        <f ca="1"/>
        <v/>
      </c>
      <c r="AEB1525" s="42" t="str">
        <f ca="1"/>
        <v/>
      </c>
      <c r="AEC1525" s="42" t="str">
        <f ca="1"/>
        <v/>
      </c>
      <c r="AED1525" s="42" t="str">
        <f ca="1"/>
        <v/>
      </c>
      <c r="AEE1525" s="42" t="str">
        <f ca="1"/>
        <v/>
      </c>
      <c r="AEF1525" s="42" t="str">
        <f ca="1"/>
        <v/>
      </c>
      <c r="AEG1525" s="42" t="str">
        <f ca="1"/>
        <v/>
      </c>
      <c r="AEH1525" s="42" t="str">
        <f ca="1"/>
        <v/>
      </c>
      <c r="AEI1525" s="42" t="str">
        <f ca="1"/>
        <v/>
      </c>
      <c r="AEJ1525" s="42" t="str">
        <f ca="1"/>
        <v/>
      </c>
      <c r="AEK1525" s="42" t="str">
        <f ca="1"/>
        <v/>
      </c>
      <c r="AEL1525" s="42" t="str">
        <f ca="1"/>
        <v/>
      </c>
      <c r="AEM1525" s="42" t="str">
        <f ca="1"/>
        <v/>
      </c>
      <c r="AEN1525" s="42" t="str">
        <f ca="1"/>
        <v/>
      </c>
      <c r="AEO1525" s="42" t="str">
        <f ca="1"/>
        <v/>
      </c>
      <c r="AEP1525" s="42" t="str">
        <f ca="1"/>
        <v/>
      </c>
      <c r="AEQ1525" s="42" t="str">
        <f ca="1"/>
        <v/>
      </c>
      <c r="AER1525" s="42" t="str">
        <f ca="1"/>
        <v/>
      </c>
      <c r="AES1525" s="42" t="str">
        <f ca="1"/>
        <v/>
      </c>
      <c r="AET1525" s="42" t="str">
        <f ca="1"/>
        <v/>
      </c>
      <c r="AEU1525" s="42" t="str">
        <f ca="1"/>
        <v/>
      </c>
      <c r="AEV1525" s="42" t="str">
        <f ca="1"/>
        <v/>
      </c>
      <c r="AEW1525" s="42" t="str">
        <f ca="1"/>
        <v/>
      </c>
      <c r="AEX1525" s="42" t="str">
        <f ca="1"/>
        <v/>
      </c>
      <c r="AEY1525" s="42" t="str">
        <f ca="1"/>
        <v/>
      </c>
      <c r="AEZ1525" s="42" t="str">
        <f ca="1"/>
        <v/>
      </c>
      <c r="AFA1525" s="42" t="str">
        <f ca="1"/>
        <v/>
      </c>
      <c r="AFB1525" s="42" t="str">
        <f ca="1"/>
        <v/>
      </c>
      <c r="AFC1525" s="42" t="str">
        <f ca="1"/>
        <v/>
      </c>
      <c r="AFD1525" s="42" t="str">
        <f ca="1"/>
        <v/>
      </c>
      <c r="AFE1525" s="42" t="str">
        <f ca="1"/>
        <v/>
      </c>
      <c r="AFF1525" s="42" t="str">
        <f ca="1"/>
        <v/>
      </c>
      <c r="AFG1525" s="42" t="str">
        <f ca="1"/>
        <v/>
      </c>
      <c r="AFH1525" s="42" t="str">
        <f ca="1"/>
        <v/>
      </c>
      <c r="AFI1525" s="42" t="str">
        <f ca="1"/>
        <v/>
      </c>
      <c r="AFJ1525" s="42" t="str">
        <f ca="1"/>
        <v/>
      </c>
      <c r="AFK1525" s="42" t="str">
        <f ca="1"/>
        <v/>
      </c>
      <c r="AFL1525" s="42" t="str">
        <f ca="1"/>
        <v/>
      </c>
      <c r="AFM1525" s="42" t="str">
        <f ca="1"/>
        <v/>
      </c>
      <c r="AFN1525" s="42" t="str">
        <f ca="1"/>
        <v/>
      </c>
      <c r="AFO1525" s="42" t="str">
        <f ca="1"/>
        <v/>
      </c>
      <c r="AFP1525" s="42" t="str">
        <f ca="1"/>
        <v/>
      </c>
      <c r="AFQ1525" s="42" t="str">
        <f ca="1"/>
        <v/>
      </c>
      <c r="AFR1525" s="42" t="str">
        <f ca="1"/>
        <v/>
      </c>
      <c r="AFS1525" s="42" t="str">
        <f ca="1"/>
        <v/>
      </c>
      <c r="AFT1525" s="42" t="str">
        <f ca="1"/>
        <v/>
      </c>
      <c r="AFU1525" s="42" t="str">
        <f ca="1"/>
        <v/>
      </c>
      <c r="AFV1525" s="42" t="str">
        <f ca="1"/>
        <v/>
      </c>
      <c r="AFW1525" s="42" t="str">
        <f ca="1"/>
        <v/>
      </c>
      <c r="AFX1525" s="42" t="str">
        <f ca="1"/>
        <v/>
      </c>
      <c r="AFY1525" s="42" t="str">
        <f ca="1"/>
        <v/>
      </c>
      <c r="AFZ1525" s="42" t="str">
        <f ca="1"/>
        <v/>
      </c>
      <c r="AGA1525" s="42" t="str">
        <f ca="1"/>
        <v/>
      </c>
      <c r="AGB1525" s="42" t="str">
        <f ca="1"/>
        <v/>
      </c>
      <c r="AGC1525" s="42" t="str">
        <f ca="1"/>
        <v/>
      </c>
      <c r="AGD1525" s="42" t="str">
        <f ca="1"/>
        <v/>
      </c>
      <c r="AGE1525" s="42" t="str">
        <f ca="1"/>
        <v/>
      </c>
      <c r="AGF1525" s="42" t="str">
        <f ca="1"/>
        <v/>
      </c>
      <c r="AGG1525" s="42" t="str">
        <f ca="1"/>
        <v/>
      </c>
      <c r="AGH1525" s="42" t="str">
        <f ca="1"/>
        <v/>
      </c>
      <c r="AGI1525" s="42" t="str">
        <f ca="1"/>
        <v/>
      </c>
      <c r="AGJ1525" s="42" t="str">
        <f ca="1"/>
        <v/>
      </c>
      <c r="AGK1525" s="42" t="str">
        <f ca="1"/>
        <v/>
      </c>
      <c r="AGL1525" s="42" t="str">
        <f ca="1"/>
        <v/>
      </c>
      <c r="AGM1525" s="42" t="str">
        <f ca="1"/>
        <v/>
      </c>
      <c r="AGN1525" s="42" t="str">
        <f ca="1"/>
        <v/>
      </c>
    </row>
    <row r="1526" spans="15:872" x14ac:dyDescent="0.25">
      <c r="O1526" s="42">
        <v>13</v>
      </c>
      <c r="P1526" s="42" t="str">
        <f ca="1"/>
        <v/>
      </c>
      <c r="Q1526" s="42" t="str">
        <f ca="1"/>
        <v/>
      </c>
      <c r="R1526" s="42" t="str">
        <f ca="1"/>
        <v/>
      </c>
      <c r="S1526" s="42" t="str">
        <f ca="1"/>
        <v/>
      </c>
      <c r="T1526" s="42" t="str">
        <f ca="1"/>
        <v/>
      </c>
      <c r="U1526" s="42" t="str">
        <f ca="1"/>
        <v/>
      </c>
      <c r="V1526" s="42" t="str">
        <f ca="1"/>
        <v/>
      </c>
      <c r="W1526" s="42" t="str">
        <f ca="1"/>
        <v/>
      </c>
      <c r="X1526" s="42" t="str">
        <f ca="1"/>
        <v/>
      </c>
      <c r="Y1526" s="42" t="str">
        <f ca="1"/>
        <v/>
      </c>
      <c r="Z1526" s="42" t="str">
        <f ca="1"/>
        <v/>
      </c>
      <c r="AA1526" s="42" t="str">
        <f ca="1"/>
        <v/>
      </c>
      <c r="AB1526" s="42" t="str">
        <f ca="1"/>
        <v/>
      </c>
      <c r="AC1526" s="42" t="str">
        <f ca="1"/>
        <v/>
      </c>
      <c r="AD1526" s="42" t="str">
        <f ca="1"/>
        <v/>
      </c>
      <c r="AE1526" s="42" t="str">
        <f ca="1"/>
        <v/>
      </c>
      <c r="AF1526" s="42" t="str">
        <f ca="1"/>
        <v/>
      </c>
      <c r="AG1526" s="42" t="str">
        <f ca="1"/>
        <v/>
      </c>
      <c r="AH1526" s="42" t="str">
        <f ca="1"/>
        <v/>
      </c>
      <c r="AI1526" s="42" t="str">
        <f ca="1"/>
        <v/>
      </c>
      <c r="AJ1526" s="42" t="str">
        <f ca="1"/>
        <v/>
      </c>
      <c r="AK1526" s="42" t="str">
        <f ca="1"/>
        <v/>
      </c>
      <c r="AL1526" s="42" t="str">
        <f ca="1"/>
        <v/>
      </c>
      <c r="AM1526" s="42" t="str">
        <f ca="1"/>
        <v/>
      </c>
      <c r="AN1526" s="42" t="str">
        <f ca="1"/>
        <v/>
      </c>
      <c r="AO1526" s="42" t="str">
        <f ca="1"/>
        <v/>
      </c>
      <c r="AP1526" s="42" t="str">
        <f ca="1"/>
        <v/>
      </c>
      <c r="AQ1526" s="42" t="str">
        <f ca="1"/>
        <v/>
      </c>
      <c r="AR1526" s="42" t="str">
        <f ca="1"/>
        <v/>
      </c>
      <c r="AS1526" s="42" t="str">
        <f ca="1"/>
        <v/>
      </c>
      <c r="AT1526" s="42" t="str">
        <f ca="1"/>
        <v/>
      </c>
      <c r="AU1526" s="42" t="str">
        <f ca="1"/>
        <v/>
      </c>
      <c r="AV1526" s="42" t="str">
        <f ca="1"/>
        <v/>
      </c>
      <c r="AW1526" s="42" t="str">
        <f ca="1"/>
        <v/>
      </c>
      <c r="AX1526" s="42" t="str">
        <f ca="1"/>
        <v/>
      </c>
      <c r="AY1526" s="42" t="str">
        <f ca="1"/>
        <v/>
      </c>
      <c r="AZ1526" s="42" t="str">
        <f ca="1"/>
        <v/>
      </c>
      <c r="BA1526" s="42" t="str">
        <f ca="1"/>
        <v/>
      </c>
      <c r="BB1526" s="42" t="str">
        <f ca="1"/>
        <v/>
      </c>
      <c r="BC1526" s="42" t="str">
        <f ca="1"/>
        <v/>
      </c>
      <c r="BD1526" s="42" t="str">
        <f ca="1"/>
        <v/>
      </c>
      <c r="BE1526" s="42" t="str">
        <f ca="1"/>
        <v/>
      </c>
      <c r="BF1526" s="42" t="str">
        <f ca="1"/>
        <v/>
      </c>
      <c r="BG1526" s="42" t="str">
        <f ca="1"/>
        <v/>
      </c>
      <c r="BH1526" s="42" t="str">
        <f ca="1"/>
        <v/>
      </c>
      <c r="BI1526" s="42" t="str">
        <f ca="1"/>
        <v/>
      </c>
      <c r="BJ1526" s="42" t="str">
        <f ca="1"/>
        <v/>
      </c>
      <c r="BK1526" s="42" t="str">
        <f ca="1"/>
        <v/>
      </c>
      <c r="BL1526" s="42" t="str">
        <f ca="1"/>
        <v/>
      </c>
      <c r="BM1526" s="42" t="str">
        <f ca="1"/>
        <v/>
      </c>
      <c r="BN1526" s="42" t="str">
        <f ca="1"/>
        <v/>
      </c>
      <c r="BO1526" s="42" t="str">
        <f ca="1"/>
        <v/>
      </c>
      <c r="BP1526" s="42" t="str">
        <f ca="1"/>
        <v/>
      </c>
      <c r="BQ1526" s="42" t="str">
        <f ca="1"/>
        <v/>
      </c>
      <c r="BR1526" s="42" t="str">
        <f ca="1"/>
        <v/>
      </c>
      <c r="BS1526" s="42" t="str">
        <f ca="1"/>
        <v/>
      </c>
      <c r="BT1526" s="42" t="str">
        <f ca="1"/>
        <v/>
      </c>
      <c r="BU1526" s="42" t="str">
        <f ca="1"/>
        <v/>
      </c>
      <c r="BV1526" s="42" t="str">
        <f ca="1"/>
        <v/>
      </c>
      <c r="BW1526" s="42" t="str">
        <f ca="1"/>
        <v/>
      </c>
      <c r="BX1526" s="42" t="str">
        <f ca="1"/>
        <v/>
      </c>
      <c r="BY1526" s="42" t="str">
        <f ca="1"/>
        <v/>
      </c>
      <c r="BZ1526" s="42" t="str">
        <f ca="1"/>
        <v/>
      </c>
      <c r="CA1526" s="42" t="str">
        <f ca="1"/>
        <v/>
      </c>
      <c r="CB1526" s="42" t="str">
        <f ca="1"/>
        <v/>
      </c>
      <c r="CC1526" s="42" t="str">
        <f ca="1"/>
        <v/>
      </c>
      <c r="CD1526" s="42" t="str">
        <f ca="1"/>
        <v/>
      </c>
      <c r="CE1526" s="42" t="str">
        <f ca="1"/>
        <v/>
      </c>
      <c r="CF1526" s="42" t="str">
        <f ca="1"/>
        <v/>
      </c>
      <c r="CG1526" s="42" t="str">
        <f ca="1"/>
        <v/>
      </c>
      <c r="CH1526" s="42" t="str">
        <f ca="1"/>
        <v/>
      </c>
      <c r="CI1526" s="42" t="str">
        <f ca="1"/>
        <v/>
      </c>
      <c r="CJ1526" s="42" t="str">
        <f ca="1"/>
        <v/>
      </c>
      <c r="CK1526" s="42" t="str">
        <f ca="1"/>
        <v/>
      </c>
      <c r="CL1526" s="42" t="str">
        <f ca="1"/>
        <v/>
      </c>
      <c r="CM1526" s="42" t="str">
        <f ca="1"/>
        <v/>
      </c>
      <c r="CN1526" s="42" t="str">
        <f ca="1"/>
        <v/>
      </c>
      <c r="CO1526" s="42" t="str">
        <f ca="1"/>
        <v/>
      </c>
      <c r="CP1526" s="42" t="str">
        <f ca="1"/>
        <v/>
      </c>
      <c r="CQ1526" s="42" t="str">
        <f ca="1"/>
        <v/>
      </c>
      <c r="CR1526" s="42" t="str">
        <f ca="1"/>
        <v/>
      </c>
      <c r="CS1526" s="42" t="str">
        <f ca="1"/>
        <v/>
      </c>
      <c r="CT1526" s="42" t="str">
        <f ca="1"/>
        <v/>
      </c>
      <c r="CU1526" s="42" t="str">
        <f ca="1"/>
        <v/>
      </c>
      <c r="CV1526" s="42" t="str">
        <f ca="1"/>
        <v/>
      </c>
      <c r="CW1526" s="42" t="str">
        <f ca="1"/>
        <v/>
      </c>
      <c r="CX1526" s="42" t="str">
        <f ca="1"/>
        <v/>
      </c>
      <c r="CY1526" s="42" t="str">
        <f ca="1"/>
        <v/>
      </c>
      <c r="CZ1526" s="42" t="str">
        <f ca="1"/>
        <v/>
      </c>
      <c r="DA1526" s="42" t="str">
        <f ca="1"/>
        <v/>
      </c>
      <c r="DB1526" s="42" t="str">
        <f ca="1"/>
        <v/>
      </c>
      <c r="DC1526" s="42" t="str">
        <f ca="1"/>
        <v/>
      </c>
      <c r="DD1526" s="42" t="str">
        <f ca="1"/>
        <v/>
      </c>
      <c r="DE1526" s="42" t="str">
        <f ca="1"/>
        <v/>
      </c>
      <c r="DF1526" s="42" t="str">
        <f ca="1"/>
        <v/>
      </c>
      <c r="DG1526" s="42" t="str">
        <f ca="1"/>
        <v/>
      </c>
      <c r="DH1526" s="42" t="str">
        <f ca="1"/>
        <v/>
      </c>
      <c r="DI1526" s="42" t="str">
        <f ca="1"/>
        <v/>
      </c>
      <c r="DJ1526" s="42" t="str">
        <f ca="1"/>
        <v/>
      </c>
      <c r="DK1526" s="42" t="str">
        <f ca="1"/>
        <v/>
      </c>
      <c r="DL1526" s="42" t="str">
        <f ca="1"/>
        <v/>
      </c>
      <c r="DM1526" s="42" t="str">
        <f ca="1"/>
        <v/>
      </c>
      <c r="DN1526" s="42" t="str">
        <f ca="1"/>
        <v/>
      </c>
      <c r="DO1526" s="42" t="str">
        <f ca="1"/>
        <v/>
      </c>
      <c r="DP1526" s="42" t="str">
        <f ca="1"/>
        <v/>
      </c>
      <c r="DQ1526" s="42" t="str">
        <f ca="1"/>
        <v/>
      </c>
      <c r="DR1526" s="42" t="str">
        <f ca="1"/>
        <v/>
      </c>
      <c r="DS1526" s="42" t="str">
        <f ca="1"/>
        <v/>
      </c>
      <c r="DT1526" s="42" t="str">
        <f ca="1"/>
        <v/>
      </c>
      <c r="DU1526" s="42" t="str">
        <f ca="1"/>
        <v/>
      </c>
      <c r="DV1526" s="42" t="str">
        <f ca="1"/>
        <v/>
      </c>
      <c r="DW1526" s="42" t="str">
        <f ca="1"/>
        <v/>
      </c>
      <c r="DX1526" s="42" t="str">
        <f ca="1"/>
        <v/>
      </c>
      <c r="DY1526" s="42" t="str">
        <f ca="1"/>
        <v/>
      </c>
      <c r="DZ1526" s="42" t="str">
        <f ca="1"/>
        <v/>
      </c>
      <c r="EA1526" s="42" t="str">
        <f ca="1"/>
        <v/>
      </c>
      <c r="EB1526" s="42" t="str">
        <f ca="1"/>
        <v/>
      </c>
      <c r="EC1526" s="42" t="str">
        <f ca="1"/>
        <v/>
      </c>
      <c r="ED1526" s="42" t="str">
        <f ca="1"/>
        <v/>
      </c>
      <c r="EE1526" s="42" t="str">
        <f ca="1"/>
        <v/>
      </c>
      <c r="EF1526" s="42" t="str">
        <f ca="1"/>
        <v/>
      </c>
      <c r="EG1526" s="42" t="str">
        <f ca="1"/>
        <v/>
      </c>
      <c r="EH1526" s="42" t="str">
        <f ca="1"/>
        <v/>
      </c>
      <c r="EI1526" s="42" t="str">
        <f ca="1"/>
        <v/>
      </c>
      <c r="EJ1526" s="42" t="str">
        <f ca="1"/>
        <v/>
      </c>
      <c r="EK1526" s="42" t="str">
        <f ca="1"/>
        <v/>
      </c>
      <c r="EL1526" s="42" t="str">
        <f ca="1"/>
        <v/>
      </c>
      <c r="EM1526" s="42" t="str">
        <f ca="1"/>
        <v/>
      </c>
      <c r="EN1526" s="42" t="str">
        <f ca="1"/>
        <v/>
      </c>
      <c r="EO1526" s="42" t="str">
        <f ca="1"/>
        <v/>
      </c>
      <c r="EP1526" s="42" t="str">
        <f ca="1"/>
        <v/>
      </c>
      <c r="EQ1526" s="42" t="str">
        <f ca="1"/>
        <v/>
      </c>
      <c r="ER1526" s="42" t="str">
        <f ca="1"/>
        <v/>
      </c>
      <c r="ES1526" s="42" t="str">
        <f ca="1"/>
        <v/>
      </c>
      <c r="ET1526" s="42" t="str">
        <f ca="1"/>
        <v/>
      </c>
      <c r="EU1526" s="42" t="str">
        <f ca="1"/>
        <v/>
      </c>
      <c r="EV1526" s="42" t="str">
        <f ca="1"/>
        <v/>
      </c>
      <c r="EW1526" s="42" t="str">
        <f ca="1"/>
        <v/>
      </c>
      <c r="EX1526" s="42" t="str">
        <f ca="1"/>
        <v/>
      </c>
      <c r="EY1526" s="42" t="str">
        <f ca="1"/>
        <v/>
      </c>
      <c r="EZ1526" s="42" t="str">
        <f ca="1"/>
        <v/>
      </c>
      <c r="FA1526" s="42" t="str">
        <f ca="1"/>
        <v/>
      </c>
      <c r="FB1526" s="42" t="str">
        <f ca="1"/>
        <v/>
      </c>
      <c r="FC1526" s="42" t="str">
        <f ca="1"/>
        <v/>
      </c>
      <c r="FD1526" s="42" t="str">
        <f ca="1"/>
        <v/>
      </c>
      <c r="FE1526" s="42" t="str">
        <f ca="1"/>
        <v/>
      </c>
      <c r="FF1526" s="42" t="str">
        <f ca="1"/>
        <v/>
      </c>
      <c r="FG1526" s="42" t="str">
        <f ca="1"/>
        <v/>
      </c>
      <c r="FH1526" s="42" t="str">
        <f ca="1"/>
        <v/>
      </c>
      <c r="FI1526" s="42" t="str">
        <f ca="1"/>
        <v/>
      </c>
      <c r="FJ1526" s="42" t="str">
        <f ca="1"/>
        <v/>
      </c>
      <c r="FK1526" s="42" t="str">
        <f ca="1"/>
        <v/>
      </c>
      <c r="FL1526" s="42" t="str">
        <f ca="1"/>
        <v/>
      </c>
      <c r="FM1526" s="42" t="str">
        <f ca="1"/>
        <v/>
      </c>
      <c r="FN1526" s="42" t="str">
        <f ca="1"/>
        <v/>
      </c>
      <c r="FO1526" s="42" t="str">
        <f ca="1"/>
        <v/>
      </c>
      <c r="FP1526" s="42" t="str">
        <f ca="1"/>
        <v/>
      </c>
      <c r="FQ1526" s="42" t="str">
        <f ca="1"/>
        <v/>
      </c>
      <c r="FR1526" s="42" t="str">
        <f ca="1"/>
        <v/>
      </c>
      <c r="FS1526" s="42" t="str">
        <f ca="1"/>
        <v/>
      </c>
      <c r="FT1526" s="42" t="str">
        <f ca="1"/>
        <v/>
      </c>
      <c r="FU1526" s="42" t="str">
        <f ca="1"/>
        <v/>
      </c>
      <c r="FV1526" s="42" t="str">
        <f ca="1"/>
        <v/>
      </c>
      <c r="FW1526" s="42" t="str">
        <f ca="1"/>
        <v/>
      </c>
      <c r="FX1526" s="42" t="str">
        <f ca="1"/>
        <v/>
      </c>
      <c r="FY1526" s="42" t="str">
        <f ca="1"/>
        <v/>
      </c>
      <c r="FZ1526" s="42" t="str">
        <f ca="1"/>
        <v/>
      </c>
      <c r="GA1526" s="42" t="str">
        <f ca="1"/>
        <v/>
      </c>
      <c r="GB1526" s="42" t="str">
        <f ca="1"/>
        <v/>
      </c>
      <c r="GC1526" s="42" t="str">
        <f ca="1"/>
        <v/>
      </c>
      <c r="GD1526" s="42" t="str">
        <f ca="1"/>
        <v/>
      </c>
      <c r="GE1526" s="42" t="str">
        <f ca="1"/>
        <v/>
      </c>
      <c r="GF1526" s="42" t="str">
        <f ca="1"/>
        <v/>
      </c>
      <c r="GG1526" s="42" t="str">
        <f ca="1"/>
        <v/>
      </c>
      <c r="GH1526" s="42" t="str">
        <f ca="1"/>
        <v/>
      </c>
      <c r="GI1526" s="42" t="str">
        <f ca="1"/>
        <v/>
      </c>
      <c r="GJ1526" s="42" t="str">
        <f ca="1"/>
        <v/>
      </c>
      <c r="GK1526" s="42" t="str">
        <f ca="1"/>
        <v/>
      </c>
      <c r="GL1526" s="42" t="str">
        <f ca="1"/>
        <v/>
      </c>
      <c r="GM1526" s="42" t="str">
        <f ca="1"/>
        <v/>
      </c>
      <c r="GN1526" s="42" t="str">
        <f ca="1"/>
        <v/>
      </c>
      <c r="GO1526" s="42" t="str">
        <f ca="1"/>
        <v/>
      </c>
      <c r="GP1526" s="42" t="str">
        <f ca="1"/>
        <v/>
      </c>
      <c r="GQ1526" s="42" t="str">
        <f ca="1"/>
        <v/>
      </c>
      <c r="GR1526" s="42" t="str">
        <f ca="1"/>
        <v/>
      </c>
      <c r="GS1526" s="42" t="str">
        <f ca="1"/>
        <v/>
      </c>
      <c r="GT1526" s="42" t="str">
        <f ca="1"/>
        <v/>
      </c>
      <c r="GU1526" s="42" t="str">
        <f ca="1"/>
        <v/>
      </c>
      <c r="GV1526" s="42" t="str">
        <f ca="1"/>
        <v/>
      </c>
      <c r="GW1526" s="42" t="str">
        <f ca="1"/>
        <v/>
      </c>
      <c r="GX1526" s="42" t="str">
        <f ca="1"/>
        <v/>
      </c>
      <c r="GY1526" s="42" t="str">
        <f ca="1"/>
        <v/>
      </c>
      <c r="GZ1526" s="42" t="str">
        <f ca="1"/>
        <v/>
      </c>
      <c r="HA1526" s="42" t="str">
        <f ca="1"/>
        <v/>
      </c>
      <c r="HB1526" s="42" t="str">
        <f ca="1"/>
        <v/>
      </c>
      <c r="HC1526" s="42" t="str">
        <f ca="1"/>
        <v/>
      </c>
      <c r="HD1526" s="42" t="str">
        <f ca="1"/>
        <v/>
      </c>
      <c r="HE1526" s="42" t="str">
        <f ca="1"/>
        <v/>
      </c>
      <c r="HF1526" s="42" t="str">
        <f ca="1"/>
        <v/>
      </c>
      <c r="HG1526" s="42" t="str">
        <f ca="1"/>
        <v/>
      </c>
      <c r="HH1526" s="42" t="str">
        <f ca="1"/>
        <v/>
      </c>
      <c r="HI1526" s="42" t="str">
        <f ca="1"/>
        <v/>
      </c>
      <c r="HJ1526" s="42" t="str">
        <f ca="1"/>
        <v/>
      </c>
      <c r="HK1526" s="42" t="str">
        <f ca="1"/>
        <v/>
      </c>
      <c r="HL1526" s="42" t="str">
        <f ca="1"/>
        <v/>
      </c>
      <c r="HM1526" s="42" t="str">
        <f ca="1"/>
        <v/>
      </c>
      <c r="HN1526" s="42" t="str">
        <f ca="1"/>
        <v/>
      </c>
      <c r="HO1526" s="42" t="str">
        <f ca="1"/>
        <v/>
      </c>
      <c r="HP1526" s="42" t="str">
        <f ca="1"/>
        <v/>
      </c>
      <c r="HQ1526" s="42" t="str">
        <f ca="1"/>
        <v/>
      </c>
      <c r="HR1526" s="42" t="str">
        <f ca="1"/>
        <v/>
      </c>
      <c r="HS1526" s="42" t="str">
        <f ca="1"/>
        <v/>
      </c>
      <c r="HT1526" s="42" t="str">
        <f ca="1"/>
        <v/>
      </c>
      <c r="HU1526" s="42" t="str">
        <f ca="1"/>
        <v/>
      </c>
      <c r="HV1526" s="42" t="str">
        <f ca="1"/>
        <v/>
      </c>
      <c r="HW1526" s="42" t="str">
        <f ca="1"/>
        <v/>
      </c>
      <c r="HX1526" s="42" t="str">
        <f ca="1"/>
        <v/>
      </c>
      <c r="HY1526" s="42" t="str">
        <f ca="1"/>
        <v/>
      </c>
      <c r="HZ1526" s="42" t="str">
        <f ca="1"/>
        <v/>
      </c>
      <c r="IA1526" s="42" t="str">
        <f ca="1"/>
        <v/>
      </c>
      <c r="IB1526" s="42" t="str">
        <f ca="1"/>
        <v/>
      </c>
      <c r="IC1526" s="42" t="str">
        <f ca="1"/>
        <v/>
      </c>
      <c r="ID1526" s="42" t="str">
        <f ca="1"/>
        <v/>
      </c>
      <c r="IE1526" s="42" t="str">
        <f ca="1"/>
        <v/>
      </c>
      <c r="IF1526" s="42" t="str">
        <f ca="1"/>
        <v/>
      </c>
      <c r="IG1526" s="42" t="str">
        <f ca="1"/>
        <v/>
      </c>
      <c r="IH1526" s="42" t="str">
        <f ca="1"/>
        <v/>
      </c>
      <c r="II1526" s="42" t="str">
        <f ca="1"/>
        <v/>
      </c>
      <c r="IJ1526" s="42" t="str">
        <f ca="1"/>
        <v/>
      </c>
      <c r="IK1526" s="42" t="str">
        <f ca="1"/>
        <v/>
      </c>
      <c r="IL1526" s="42" t="str">
        <f ca="1"/>
        <v/>
      </c>
      <c r="IM1526" s="42" t="str">
        <f ca="1"/>
        <v/>
      </c>
      <c r="IN1526" s="42" t="str">
        <f ca="1"/>
        <v/>
      </c>
      <c r="IO1526" s="42" t="str">
        <f ca="1"/>
        <v/>
      </c>
      <c r="IP1526" s="42" t="str">
        <f ca="1"/>
        <v/>
      </c>
      <c r="IQ1526" s="42" t="str">
        <f ca="1"/>
        <v/>
      </c>
      <c r="IR1526" s="42" t="str">
        <f ca="1"/>
        <v/>
      </c>
      <c r="IS1526" s="42" t="str">
        <f ca="1"/>
        <v/>
      </c>
      <c r="IT1526" s="42" t="str">
        <f ca="1"/>
        <v/>
      </c>
      <c r="IU1526" s="42" t="str">
        <f ca="1"/>
        <v/>
      </c>
      <c r="IV1526" s="42" t="str">
        <f ca="1"/>
        <v/>
      </c>
      <c r="IW1526" s="42" t="str">
        <f ca="1"/>
        <v/>
      </c>
      <c r="IX1526" s="42" t="str">
        <f ca="1"/>
        <v/>
      </c>
      <c r="IY1526" s="42" t="str">
        <f ca="1"/>
        <v/>
      </c>
      <c r="IZ1526" s="42" t="str">
        <f ca="1"/>
        <v/>
      </c>
      <c r="JA1526" s="42" t="str">
        <f ca="1"/>
        <v/>
      </c>
      <c r="JB1526" s="42" t="str">
        <f ca="1"/>
        <v/>
      </c>
      <c r="JC1526" s="42" t="str">
        <f ca="1"/>
        <v/>
      </c>
      <c r="JD1526" s="42" t="str">
        <f ca="1"/>
        <v/>
      </c>
      <c r="JE1526" s="42" t="str">
        <f ca="1"/>
        <v/>
      </c>
      <c r="JF1526" s="42" t="str">
        <f ca="1"/>
        <v/>
      </c>
      <c r="JG1526" s="42" t="str">
        <f ca="1"/>
        <v/>
      </c>
      <c r="JH1526" s="42" t="str">
        <f ca="1"/>
        <v/>
      </c>
      <c r="JI1526" s="42" t="str">
        <f ca="1"/>
        <v/>
      </c>
      <c r="JJ1526" s="42" t="str">
        <f ca="1"/>
        <v/>
      </c>
      <c r="JK1526" s="42" t="str">
        <f ca="1"/>
        <v/>
      </c>
      <c r="JL1526" s="42" t="str">
        <f ca="1"/>
        <v/>
      </c>
      <c r="JM1526" s="42" t="str">
        <f ca="1"/>
        <v/>
      </c>
      <c r="JN1526" s="42" t="str">
        <f ca="1"/>
        <v/>
      </c>
      <c r="JO1526" s="42" t="str">
        <f ca="1"/>
        <v/>
      </c>
      <c r="JP1526" s="42" t="str">
        <f ca="1"/>
        <v/>
      </c>
      <c r="JQ1526" s="42" t="str">
        <f ca="1"/>
        <v/>
      </c>
      <c r="JR1526" s="42" t="str">
        <f ca="1"/>
        <v/>
      </c>
      <c r="JS1526" s="42" t="str">
        <f ca="1"/>
        <v/>
      </c>
      <c r="JT1526" s="42" t="str">
        <f ca="1"/>
        <v/>
      </c>
      <c r="JU1526" s="42" t="str">
        <f ca="1"/>
        <v/>
      </c>
      <c r="JV1526" s="42" t="str">
        <f ca="1"/>
        <v/>
      </c>
      <c r="JW1526" s="42" t="str">
        <f ca="1"/>
        <v/>
      </c>
      <c r="JX1526" s="42" t="str">
        <f ca="1"/>
        <v/>
      </c>
      <c r="JY1526" s="42" t="str">
        <f ca="1"/>
        <v/>
      </c>
      <c r="JZ1526" s="42" t="str">
        <f ca="1"/>
        <v/>
      </c>
      <c r="KA1526" s="42" t="str">
        <f ca="1"/>
        <v/>
      </c>
      <c r="KB1526" s="42" t="str">
        <f ca="1"/>
        <v/>
      </c>
      <c r="KC1526" s="42" t="str">
        <f ca="1"/>
        <v/>
      </c>
      <c r="KD1526" s="42" t="str">
        <f ca="1"/>
        <v/>
      </c>
      <c r="KE1526" s="42" t="str">
        <f ca="1"/>
        <v/>
      </c>
      <c r="KF1526" s="42" t="str">
        <f ca="1"/>
        <v/>
      </c>
      <c r="KG1526" s="42" t="str">
        <f ca="1"/>
        <v/>
      </c>
      <c r="KH1526" s="42" t="str">
        <f ca="1"/>
        <v/>
      </c>
      <c r="KI1526" s="42" t="str">
        <f ca="1"/>
        <v/>
      </c>
      <c r="KJ1526" s="42" t="str">
        <f ca="1"/>
        <v/>
      </c>
      <c r="KK1526" s="42" t="str">
        <f ca="1"/>
        <v/>
      </c>
      <c r="KL1526" s="42" t="str">
        <f ca="1"/>
        <v/>
      </c>
      <c r="KM1526" s="42" t="str">
        <f ca="1"/>
        <v/>
      </c>
      <c r="KN1526" s="42" t="str">
        <f ca="1"/>
        <v/>
      </c>
      <c r="KO1526" s="42" t="str">
        <f ca="1"/>
        <v/>
      </c>
      <c r="KP1526" s="42" t="str">
        <f ca="1"/>
        <v/>
      </c>
      <c r="KQ1526" s="42" t="str">
        <f ca="1"/>
        <v/>
      </c>
      <c r="KR1526" s="42" t="str">
        <f ca="1"/>
        <v/>
      </c>
      <c r="KS1526" s="42" t="str">
        <f ca="1"/>
        <v/>
      </c>
      <c r="KT1526" s="42" t="str">
        <f ca="1"/>
        <v/>
      </c>
      <c r="KU1526" s="42" t="str">
        <f ca="1"/>
        <v/>
      </c>
      <c r="KV1526" s="42" t="str">
        <f ca="1"/>
        <v/>
      </c>
      <c r="KW1526" s="42" t="str">
        <f ca="1"/>
        <v/>
      </c>
      <c r="KX1526" s="42" t="str">
        <f ca="1"/>
        <v/>
      </c>
      <c r="KY1526" s="42" t="str">
        <f ca="1"/>
        <v/>
      </c>
      <c r="KZ1526" s="42" t="str">
        <f ca="1"/>
        <v/>
      </c>
      <c r="LA1526" s="42" t="str">
        <f ca="1"/>
        <v/>
      </c>
      <c r="LB1526" s="42" t="str">
        <f ca="1"/>
        <v/>
      </c>
      <c r="LC1526" s="42" t="str">
        <f ca="1"/>
        <v/>
      </c>
      <c r="LD1526" s="42" t="str">
        <f ca="1"/>
        <v/>
      </c>
      <c r="LE1526" s="42" t="str">
        <f ca="1"/>
        <v/>
      </c>
      <c r="LF1526" s="42" t="str">
        <f ca="1"/>
        <v/>
      </c>
      <c r="LG1526" s="42" t="str">
        <f ca="1"/>
        <v/>
      </c>
      <c r="LH1526" s="42" t="str">
        <f ca="1"/>
        <v/>
      </c>
      <c r="LI1526" s="42" t="str">
        <f ca="1"/>
        <v/>
      </c>
      <c r="LJ1526" s="42" t="str">
        <f ca="1"/>
        <v/>
      </c>
      <c r="LK1526" s="42" t="str">
        <f ca="1"/>
        <v/>
      </c>
      <c r="LL1526" s="42" t="str">
        <f ca="1"/>
        <v/>
      </c>
      <c r="LM1526" s="42" t="str">
        <f ca="1"/>
        <v/>
      </c>
      <c r="LN1526" s="42" t="str">
        <f ca="1"/>
        <v/>
      </c>
      <c r="LO1526" s="42" t="str">
        <f ca="1"/>
        <v/>
      </c>
      <c r="LP1526" s="42" t="str">
        <f ca="1"/>
        <v/>
      </c>
      <c r="LQ1526" s="42" t="str">
        <f ca="1"/>
        <v/>
      </c>
      <c r="LR1526" s="42" t="str">
        <f ca="1"/>
        <v/>
      </c>
      <c r="LS1526" s="42" t="str">
        <f ca="1"/>
        <v/>
      </c>
      <c r="LT1526" s="42" t="str">
        <f ca="1"/>
        <v/>
      </c>
      <c r="LU1526" s="42" t="str">
        <f ca="1"/>
        <v/>
      </c>
      <c r="LV1526" s="42" t="str">
        <f ca="1"/>
        <v/>
      </c>
      <c r="LW1526" s="42" t="str">
        <f ca="1"/>
        <v/>
      </c>
      <c r="LX1526" s="42" t="str">
        <f ca="1"/>
        <v/>
      </c>
      <c r="LY1526" s="42" t="str">
        <f ca="1"/>
        <v/>
      </c>
      <c r="LZ1526" s="42" t="str">
        <f ca="1"/>
        <v/>
      </c>
      <c r="MA1526" s="42" t="str">
        <f ca="1"/>
        <v/>
      </c>
      <c r="MB1526" s="42" t="str">
        <f ca="1"/>
        <v/>
      </c>
      <c r="MC1526" s="42" t="str">
        <f ca="1"/>
        <v/>
      </c>
      <c r="MD1526" s="42" t="str">
        <f ca="1"/>
        <v/>
      </c>
      <c r="ME1526" s="42" t="str">
        <f ca="1"/>
        <v/>
      </c>
      <c r="MF1526" s="42" t="str">
        <f ca="1"/>
        <v/>
      </c>
      <c r="MG1526" s="42" t="str">
        <f ca="1"/>
        <v/>
      </c>
      <c r="MH1526" s="42" t="str">
        <f ca="1"/>
        <v/>
      </c>
      <c r="MI1526" s="42" t="str">
        <f ca="1"/>
        <v/>
      </c>
      <c r="MJ1526" s="42" t="str">
        <f ca="1"/>
        <v/>
      </c>
      <c r="MK1526" s="42" t="str">
        <f ca="1"/>
        <v/>
      </c>
      <c r="ML1526" s="42" t="str">
        <f ca="1"/>
        <v/>
      </c>
      <c r="MM1526" s="42" t="str">
        <f ca="1"/>
        <v/>
      </c>
      <c r="MN1526" s="42" t="str">
        <f ca="1"/>
        <v/>
      </c>
      <c r="MO1526" s="42" t="str">
        <f ca="1"/>
        <v/>
      </c>
      <c r="MP1526" s="42" t="str">
        <f ca="1"/>
        <v/>
      </c>
      <c r="MQ1526" s="42" t="str">
        <f ca="1"/>
        <v/>
      </c>
      <c r="MR1526" s="42" t="str">
        <f ca="1"/>
        <v/>
      </c>
      <c r="MS1526" s="42" t="str">
        <f ca="1"/>
        <v/>
      </c>
      <c r="MT1526" s="42" t="str">
        <f ca="1"/>
        <v/>
      </c>
      <c r="MU1526" s="42" t="str">
        <f ca="1"/>
        <v/>
      </c>
      <c r="MV1526" s="42" t="str">
        <f ca="1"/>
        <v/>
      </c>
      <c r="MW1526" s="42" t="str">
        <f ca="1"/>
        <v/>
      </c>
      <c r="MX1526" s="42" t="str">
        <f ca="1"/>
        <v/>
      </c>
      <c r="MY1526" s="42" t="str">
        <f ca="1"/>
        <v/>
      </c>
      <c r="MZ1526" s="42" t="str">
        <f ca="1"/>
        <v/>
      </c>
      <c r="NA1526" s="42" t="str">
        <f ca="1"/>
        <v/>
      </c>
      <c r="NB1526" s="42" t="str">
        <f ca="1"/>
        <v/>
      </c>
      <c r="NC1526" s="42" t="str">
        <f ca="1"/>
        <v/>
      </c>
      <c r="ND1526" s="42" t="str">
        <f ca="1"/>
        <v/>
      </c>
      <c r="NE1526" s="42" t="str">
        <f ca="1"/>
        <v/>
      </c>
      <c r="NF1526" s="42" t="str">
        <f ca="1"/>
        <v/>
      </c>
      <c r="NG1526" s="42" t="str">
        <f ca="1"/>
        <v/>
      </c>
      <c r="NH1526" s="42" t="str">
        <f ca="1"/>
        <v/>
      </c>
      <c r="NI1526" s="42" t="str">
        <f ca="1"/>
        <v/>
      </c>
      <c r="NJ1526" s="42" t="str">
        <f ca="1"/>
        <v/>
      </c>
      <c r="NK1526" s="42" t="str">
        <f ca="1"/>
        <v/>
      </c>
      <c r="NL1526" s="42" t="str">
        <f ca="1"/>
        <v/>
      </c>
      <c r="NM1526" s="42" t="str">
        <f ca="1"/>
        <v/>
      </c>
      <c r="NN1526" s="42" t="str">
        <f ca="1"/>
        <v/>
      </c>
      <c r="NO1526" s="42" t="str">
        <f ca="1"/>
        <v/>
      </c>
      <c r="NP1526" s="42" t="str">
        <f ca="1"/>
        <v/>
      </c>
      <c r="NQ1526" s="42" t="str">
        <f ca="1"/>
        <v/>
      </c>
      <c r="NR1526" s="42" t="str">
        <f ca="1"/>
        <v/>
      </c>
      <c r="NS1526" s="42" t="str">
        <f ca="1"/>
        <v/>
      </c>
      <c r="NT1526" s="42" t="str">
        <f ca="1"/>
        <v/>
      </c>
      <c r="NU1526" s="42" t="str">
        <f ca="1"/>
        <v/>
      </c>
      <c r="NV1526" s="42" t="str">
        <f ca="1"/>
        <v/>
      </c>
      <c r="NW1526" s="42" t="str">
        <f ca="1"/>
        <v/>
      </c>
      <c r="NX1526" s="42" t="str">
        <f ca="1"/>
        <v/>
      </c>
      <c r="NY1526" s="42" t="str">
        <f ca="1"/>
        <v/>
      </c>
      <c r="NZ1526" s="42" t="str">
        <f ca="1"/>
        <v/>
      </c>
      <c r="OA1526" s="42" t="str">
        <f ca="1"/>
        <v/>
      </c>
      <c r="OB1526" s="42" t="str">
        <f ca="1"/>
        <v/>
      </c>
      <c r="OC1526" s="42" t="str">
        <f ca="1"/>
        <v/>
      </c>
      <c r="OD1526" s="42" t="str">
        <f ca="1"/>
        <v/>
      </c>
      <c r="OE1526" s="42" t="str">
        <f ca="1"/>
        <v/>
      </c>
      <c r="OF1526" s="42" t="str">
        <f ca="1"/>
        <v/>
      </c>
      <c r="OG1526" s="42" t="str">
        <f ca="1"/>
        <v/>
      </c>
      <c r="OH1526" s="42" t="str">
        <f ca="1"/>
        <v/>
      </c>
      <c r="OI1526" s="42" t="str">
        <f ca="1"/>
        <v/>
      </c>
      <c r="OJ1526" s="42" t="str">
        <f ca="1"/>
        <v/>
      </c>
      <c r="OK1526" s="42" t="str">
        <f ca="1"/>
        <v/>
      </c>
      <c r="OL1526" s="42" t="str">
        <f ca="1"/>
        <v/>
      </c>
      <c r="OM1526" s="42" t="str">
        <f ca="1"/>
        <v/>
      </c>
      <c r="ON1526" s="42" t="str">
        <f ca="1"/>
        <v/>
      </c>
      <c r="OO1526" s="42" t="str">
        <f ca="1"/>
        <v/>
      </c>
      <c r="OP1526" s="42" t="str">
        <f ca="1"/>
        <v/>
      </c>
      <c r="OQ1526" s="42" t="str">
        <f ca="1"/>
        <v/>
      </c>
      <c r="OR1526" s="42" t="str">
        <f ca="1"/>
        <v/>
      </c>
      <c r="OS1526" s="42" t="str">
        <f ca="1"/>
        <v/>
      </c>
      <c r="OT1526" s="42" t="str">
        <f ca="1"/>
        <v/>
      </c>
      <c r="OU1526" s="42" t="str">
        <f ca="1"/>
        <v/>
      </c>
      <c r="OV1526" s="42" t="str">
        <f ca="1"/>
        <v/>
      </c>
      <c r="OW1526" s="42" t="str">
        <f ca="1"/>
        <v/>
      </c>
      <c r="OX1526" s="42" t="str">
        <f ca="1"/>
        <v/>
      </c>
      <c r="OY1526" s="42" t="str">
        <f ca="1"/>
        <v/>
      </c>
      <c r="OZ1526" s="42" t="str">
        <f ca="1"/>
        <v/>
      </c>
      <c r="PA1526" s="42" t="str">
        <f ca="1"/>
        <v/>
      </c>
      <c r="PB1526" s="42" t="str">
        <f ca="1"/>
        <v/>
      </c>
      <c r="PC1526" s="42" t="str">
        <f ca="1"/>
        <v/>
      </c>
      <c r="PD1526" s="42" t="str">
        <f ca="1"/>
        <v/>
      </c>
      <c r="PE1526" s="42" t="str">
        <f ca="1"/>
        <v/>
      </c>
      <c r="PF1526" s="42" t="str">
        <f ca="1"/>
        <v/>
      </c>
      <c r="PG1526" s="42" t="str">
        <f ca="1"/>
        <v/>
      </c>
      <c r="PH1526" s="42" t="str">
        <f ca="1"/>
        <v/>
      </c>
      <c r="PI1526" s="42" t="str">
        <f ca="1"/>
        <v/>
      </c>
      <c r="PJ1526" s="42" t="str">
        <f ca="1"/>
        <v/>
      </c>
      <c r="PK1526" s="42" t="str">
        <f ca="1"/>
        <v/>
      </c>
      <c r="PL1526" s="42" t="str">
        <f ca="1"/>
        <v/>
      </c>
      <c r="PM1526" s="42" t="str">
        <f ca="1"/>
        <v/>
      </c>
      <c r="PN1526" s="42" t="str">
        <f ca="1"/>
        <v/>
      </c>
      <c r="PO1526" s="42" t="str">
        <f ca="1"/>
        <v/>
      </c>
      <c r="PP1526" s="42" t="str">
        <f ca="1"/>
        <v/>
      </c>
      <c r="PQ1526" s="42" t="str">
        <f ca="1"/>
        <v/>
      </c>
      <c r="PR1526" s="42" t="str">
        <f ca="1"/>
        <v/>
      </c>
      <c r="PS1526" s="42" t="str">
        <f ca="1"/>
        <v/>
      </c>
      <c r="PT1526" s="42" t="str">
        <f ca="1"/>
        <v/>
      </c>
      <c r="PU1526" s="42" t="str">
        <f ca="1"/>
        <v/>
      </c>
      <c r="PV1526" s="42" t="str">
        <f ca="1"/>
        <v/>
      </c>
      <c r="PW1526" s="42" t="str">
        <f ca="1"/>
        <v/>
      </c>
      <c r="PX1526" s="42" t="str">
        <f ca="1"/>
        <v/>
      </c>
      <c r="PY1526" s="42" t="str">
        <f ca="1"/>
        <v/>
      </c>
      <c r="PZ1526" s="42" t="str">
        <f ca="1"/>
        <v/>
      </c>
      <c r="QA1526" s="42" t="str">
        <f ca="1"/>
        <v/>
      </c>
      <c r="QB1526" s="42" t="str">
        <f ca="1"/>
        <v/>
      </c>
      <c r="QC1526" s="42" t="str">
        <f ca="1"/>
        <v/>
      </c>
      <c r="QD1526" s="42" t="str">
        <f ca="1"/>
        <v/>
      </c>
      <c r="QE1526" s="42" t="str">
        <f ca="1"/>
        <v/>
      </c>
      <c r="QF1526" s="42" t="str">
        <f ca="1"/>
        <v/>
      </c>
      <c r="QG1526" s="42" t="str">
        <f ca="1"/>
        <v/>
      </c>
      <c r="QH1526" s="42" t="str">
        <f ca="1"/>
        <v/>
      </c>
      <c r="QI1526" s="42" t="str">
        <f ca="1"/>
        <v/>
      </c>
      <c r="QJ1526" s="42" t="str">
        <f ca="1"/>
        <v/>
      </c>
      <c r="QK1526" s="42" t="str">
        <f ca="1"/>
        <v/>
      </c>
      <c r="QL1526" s="42" t="str">
        <f ca="1"/>
        <v/>
      </c>
      <c r="QM1526" s="42" t="str">
        <f ca="1"/>
        <v/>
      </c>
      <c r="QN1526" s="42" t="str">
        <f ca="1"/>
        <v/>
      </c>
      <c r="QO1526" s="42" t="str">
        <f ca="1"/>
        <v/>
      </c>
      <c r="QP1526" s="42" t="str">
        <f ca="1"/>
        <v/>
      </c>
      <c r="QQ1526" s="42" t="str">
        <f ca="1"/>
        <v/>
      </c>
      <c r="QR1526" s="42" t="str">
        <f ca="1"/>
        <v/>
      </c>
      <c r="QS1526" s="42" t="str">
        <f ca="1"/>
        <v/>
      </c>
      <c r="QT1526" s="42" t="str">
        <f ca="1"/>
        <v/>
      </c>
      <c r="QU1526" s="42" t="str">
        <f ca="1"/>
        <v/>
      </c>
      <c r="QV1526" s="42" t="str">
        <f ca="1"/>
        <v/>
      </c>
      <c r="QW1526" s="42" t="str">
        <f ca="1"/>
        <v/>
      </c>
      <c r="QX1526" s="42" t="str">
        <f ca="1"/>
        <v/>
      </c>
      <c r="QY1526" s="42" t="str">
        <f ca="1"/>
        <v/>
      </c>
      <c r="QZ1526" s="42" t="str">
        <f ca="1"/>
        <v/>
      </c>
      <c r="RA1526" s="42" t="str">
        <f ca="1"/>
        <v/>
      </c>
      <c r="RB1526" s="42" t="str">
        <f ca="1"/>
        <v/>
      </c>
      <c r="RC1526" s="42" t="str">
        <f ca="1"/>
        <v/>
      </c>
      <c r="RD1526" s="42" t="str">
        <f ca="1"/>
        <v/>
      </c>
      <c r="RE1526" s="42" t="str">
        <f ca="1"/>
        <v/>
      </c>
      <c r="RF1526" s="42" t="str">
        <f ca="1"/>
        <v/>
      </c>
      <c r="RG1526" s="42" t="str">
        <f ca="1"/>
        <v/>
      </c>
      <c r="RH1526" s="42" t="str">
        <f ca="1"/>
        <v/>
      </c>
      <c r="RI1526" s="42" t="str">
        <f ca="1"/>
        <v/>
      </c>
      <c r="RJ1526" s="42" t="str">
        <f ca="1"/>
        <v/>
      </c>
      <c r="RK1526" s="42" t="str">
        <f ca="1"/>
        <v/>
      </c>
      <c r="RL1526" s="42" t="str">
        <f ca="1"/>
        <v/>
      </c>
      <c r="RM1526" s="42" t="str">
        <f ca="1"/>
        <v/>
      </c>
      <c r="RN1526" s="42" t="str">
        <f ca="1"/>
        <v/>
      </c>
      <c r="RO1526" s="42" t="str">
        <f ca="1"/>
        <v/>
      </c>
      <c r="RP1526" s="42" t="str">
        <f ca="1"/>
        <v/>
      </c>
      <c r="RQ1526" s="42" t="str">
        <f ca="1"/>
        <v/>
      </c>
      <c r="RR1526" s="42" t="str">
        <f ca="1"/>
        <v/>
      </c>
      <c r="RS1526" s="42" t="str">
        <f ca="1"/>
        <v/>
      </c>
      <c r="RT1526" s="42" t="str">
        <f ca="1"/>
        <v/>
      </c>
      <c r="RU1526" s="42" t="str">
        <f ca="1"/>
        <v/>
      </c>
      <c r="RV1526" s="42" t="str">
        <f ca="1"/>
        <v/>
      </c>
      <c r="RW1526" s="42" t="str">
        <f ca="1"/>
        <v/>
      </c>
      <c r="RX1526" s="42" t="str">
        <f ca="1"/>
        <v/>
      </c>
      <c r="RY1526" s="42" t="str">
        <f ca="1"/>
        <v/>
      </c>
      <c r="RZ1526" s="42" t="str">
        <f ca="1"/>
        <v/>
      </c>
      <c r="SA1526" s="42" t="str">
        <f ca="1"/>
        <v/>
      </c>
      <c r="SB1526" s="42" t="str">
        <f ca="1"/>
        <v/>
      </c>
      <c r="SC1526" s="42" t="str">
        <f ca="1"/>
        <v/>
      </c>
      <c r="SD1526" s="42" t="str">
        <f ca="1"/>
        <v/>
      </c>
      <c r="SE1526" s="42" t="str">
        <f ca="1"/>
        <v/>
      </c>
      <c r="SF1526" s="42" t="str">
        <f ca="1"/>
        <v/>
      </c>
      <c r="SG1526" s="42" t="str">
        <f ca="1"/>
        <v/>
      </c>
      <c r="SH1526" s="42" t="str">
        <f ca="1"/>
        <v/>
      </c>
      <c r="SI1526" s="42" t="str">
        <f ca="1"/>
        <v/>
      </c>
      <c r="SJ1526" s="42" t="str">
        <f ca="1"/>
        <v/>
      </c>
      <c r="SK1526" s="42" t="str">
        <f ca="1"/>
        <v/>
      </c>
      <c r="SL1526" s="42" t="str">
        <f ca="1"/>
        <v/>
      </c>
      <c r="SM1526" s="42" t="str">
        <f ca="1"/>
        <v/>
      </c>
      <c r="SN1526" s="42" t="str">
        <f ca="1"/>
        <v/>
      </c>
      <c r="SO1526" s="42" t="str">
        <f ca="1"/>
        <v/>
      </c>
      <c r="SP1526" s="42" t="str">
        <f ca="1"/>
        <v/>
      </c>
      <c r="SQ1526" s="42" t="str">
        <f ca="1"/>
        <v/>
      </c>
      <c r="SR1526" s="42" t="str">
        <f ca="1"/>
        <v/>
      </c>
      <c r="SS1526" s="42" t="str">
        <f ca="1"/>
        <v/>
      </c>
      <c r="ST1526" s="42" t="str">
        <f ca="1"/>
        <v/>
      </c>
      <c r="SU1526" s="42" t="str">
        <f ca="1"/>
        <v/>
      </c>
      <c r="SV1526" s="42" t="str">
        <f ca="1"/>
        <v/>
      </c>
      <c r="SW1526" s="42" t="str">
        <f ca="1"/>
        <v/>
      </c>
      <c r="SX1526" s="42" t="str">
        <f ca="1"/>
        <v/>
      </c>
      <c r="SY1526" s="42" t="str">
        <f ca="1"/>
        <v/>
      </c>
      <c r="SZ1526" s="42" t="str">
        <f ca="1"/>
        <v/>
      </c>
      <c r="TA1526" s="42" t="str">
        <f ca="1"/>
        <v/>
      </c>
      <c r="TB1526" s="42" t="str">
        <f ca="1"/>
        <v/>
      </c>
      <c r="TC1526" s="42" t="str">
        <f ca="1"/>
        <v/>
      </c>
      <c r="TD1526" s="42" t="str">
        <f ca="1"/>
        <v/>
      </c>
      <c r="TE1526" s="42" t="str">
        <f ca="1"/>
        <v/>
      </c>
      <c r="TF1526" s="42" t="str">
        <f ca="1"/>
        <v/>
      </c>
      <c r="TG1526" s="42" t="str">
        <f ca="1"/>
        <v/>
      </c>
      <c r="TH1526" s="42" t="str">
        <f ca="1"/>
        <v/>
      </c>
      <c r="TI1526" s="42" t="str">
        <f ca="1"/>
        <v/>
      </c>
      <c r="TJ1526" s="42" t="str">
        <f ca="1"/>
        <v/>
      </c>
      <c r="TK1526" s="42" t="str">
        <f ca="1"/>
        <v/>
      </c>
      <c r="TL1526" s="42" t="str">
        <f ca="1"/>
        <v/>
      </c>
      <c r="TM1526" s="42" t="str">
        <f ca="1"/>
        <v/>
      </c>
      <c r="TN1526" s="42" t="str">
        <f ca="1"/>
        <v/>
      </c>
      <c r="TO1526" s="42" t="str">
        <f ca="1"/>
        <v/>
      </c>
      <c r="TP1526" s="42" t="str">
        <f ca="1"/>
        <v/>
      </c>
      <c r="TQ1526" s="42" t="str">
        <f ca="1"/>
        <v/>
      </c>
      <c r="TR1526" s="42" t="str">
        <f ca="1"/>
        <v/>
      </c>
      <c r="TS1526" s="42" t="str">
        <f ca="1"/>
        <v/>
      </c>
      <c r="TT1526" s="42" t="str">
        <f ca="1"/>
        <v/>
      </c>
      <c r="TU1526" s="42" t="str">
        <f ca="1"/>
        <v/>
      </c>
      <c r="TV1526" s="42" t="str">
        <f ca="1"/>
        <v/>
      </c>
      <c r="TW1526" s="42" t="str">
        <f ca="1"/>
        <v/>
      </c>
      <c r="TX1526" s="42" t="str">
        <f ca="1"/>
        <v/>
      </c>
      <c r="TY1526" s="42" t="str">
        <f ca="1"/>
        <v/>
      </c>
      <c r="TZ1526" s="42" t="str">
        <f ca="1"/>
        <v/>
      </c>
      <c r="UA1526" s="42" t="str">
        <f ca="1"/>
        <v/>
      </c>
      <c r="UB1526" s="42" t="str">
        <f ca="1"/>
        <v/>
      </c>
      <c r="UC1526" s="42" t="str">
        <f ca="1"/>
        <v/>
      </c>
      <c r="UD1526" s="42" t="str">
        <f ca="1"/>
        <v/>
      </c>
      <c r="UE1526" s="42" t="str">
        <f ca="1"/>
        <v/>
      </c>
      <c r="UF1526" s="42" t="str">
        <f ca="1"/>
        <v/>
      </c>
      <c r="UG1526" s="42" t="str">
        <f ca="1"/>
        <v/>
      </c>
      <c r="UH1526" s="42" t="str">
        <f ca="1"/>
        <v/>
      </c>
      <c r="UI1526" s="42" t="str">
        <f ca="1"/>
        <v/>
      </c>
      <c r="UJ1526" s="42" t="str">
        <f ca="1"/>
        <v/>
      </c>
      <c r="UK1526" s="42" t="str">
        <f ca="1"/>
        <v/>
      </c>
      <c r="UL1526" s="42" t="str">
        <f ca="1"/>
        <v/>
      </c>
      <c r="UM1526" s="42" t="str">
        <f ca="1"/>
        <v/>
      </c>
      <c r="UN1526" s="42" t="str">
        <f ca="1"/>
        <v/>
      </c>
      <c r="UO1526" s="42" t="str">
        <f ca="1"/>
        <v/>
      </c>
      <c r="UP1526" s="42" t="str">
        <f ca="1"/>
        <v/>
      </c>
      <c r="UQ1526" s="42" t="str">
        <f ca="1"/>
        <v/>
      </c>
      <c r="UR1526" s="42" t="str">
        <f ca="1"/>
        <v/>
      </c>
      <c r="US1526" s="42" t="str">
        <f ca="1"/>
        <v/>
      </c>
      <c r="UT1526" s="42" t="str">
        <f ca="1"/>
        <v/>
      </c>
      <c r="UU1526" s="42" t="str">
        <f ca="1"/>
        <v/>
      </c>
      <c r="UV1526" s="42" t="str">
        <f ca="1"/>
        <v/>
      </c>
      <c r="UW1526" s="42" t="str">
        <f ca="1"/>
        <v/>
      </c>
      <c r="UX1526" s="42" t="str">
        <f ca="1"/>
        <v/>
      </c>
      <c r="UY1526" s="42" t="str">
        <f ca="1"/>
        <v/>
      </c>
      <c r="UZ1526" s="42" t="str">
        <f ca="1"/>
        <v/>
      </c>
      <c r="VA1526" s="42" t="str">
        <f ca="1"/>
        <v/>
      </c>
      <c r="VB1526" s="42" t="str">
        <f ca="1"/>
        <v/>
      </c>
      <c r="VC1526" s="42" t="str">
        <f ca="1"/>
        <v/>
      </c>
      <c r="VD1526" s="42" t="str">
        <f ca="1"/>
        <v/>
      </c>
      <c r="VE1526" s="42" t="str">
        <f ca="1"/>
        <v/>
      </c>
      <c r="VF1526" s="42" t="str">
        <f ca="1"/>
        <v/>
      </c>
      <c r="VG1526" s="42" t="str">
        <f ca="1"/>
        <v/>
      </c>
      <c r="VH1526" s="42" t="str">
        <f ca="1"/>
        <v/>
      </c>
      <c r="VI1526" s="42" t="str">
        <f ca="1"/>
        <v/>
      </c>
      <c r="VJ1526" s="42" t="str">
        <f ca="1"/>
        <v/>
      </c>
      <c r="VK1526" s="42" t="str">
        <f ca="1"/>
        <v/>
      </c>
      <c r="VL1526" s="42" t="str">
        <f ca="1"/>
        <v/>
      </c>
      <c r="VM1526" s="42" t="str">
        <f ca="1"/>
        <v/>
      </c>
      <c r="VN1526" s="42" t="str">
        <f ca="1"/>
        <v/>
      </c>
      <c r="VO1526" s="42" t="str">
        <f ca="1"/>
        <v/>
      </c>
      <c r="VP1526" s="42" t="str">
        <f ca="1"/>
        <v/>
      </c>
      <c r="VQ1526" s="42" t="str">
        <f ca="1"/>
        <v/>
      </c>
      <c r="VR1526" s="42" t="str">
        <f ca="1"/>
        <v/>
      </c>
      <c r="VS1526" s="42" t="str">
        <f ca="1"/>
        <v/>
      </c>
      <c r="VT1526" s="42" t="str">
        <f ca="1"/>
        <v/>
      </c>
      <c r="VU1526" s="42" t="str">
        <f ca="1"/>
        <v/>
      </c>
      <c r="VV1526" s="42" t="str">
        <f ca="1"/>
        <v/>
      </c>
      <c r="VW1526" s="42" t="str">
        <f ca="1"/>
        <v/>
      </c>
      <c r="VX1526" s="42" t="str">
        <f ca="1"/>
        <v/>
      </c>
      <c r="VY1526" s="42" t="str">
        <f ca="1"/>
        <v/>
      </c>
      <c r="VZ1526" s="42" t="str">
        <f ca="1"/>
        <v/>
      </c>
      <c r="WA1526" s="42" t="str">
        <f ca="1"/>
        <v/>
      </c>
      <c r="WB1526" s="42" t="str">
        <f ca="1"/>
        <v/>
      </c>
      <c r="WC1526" s="42" t="str">
        <f ca="1"/>
        <v/>
      </c>
      <c r="WD1526" s="42" t="str">
        <f ca="1"/>
        <v/>
      </c>
      <c r="WE1526" s="42" t="str">
        <f ca="1"/>
        <v/>
      </c>
      <c r="WF1526" s="42" t="str">
        <f ca="1"/>
        <v/>
      </c>
      <c r="WG1526" s="42" t="str">
        <f ca="1"/>
        <v/>
      </c>
      <c r="WH1526" s="42" t="str">
        <f ca="1"/>
        <v/>
      </c>
      <c r="WI1526" s="42" t="str">
        <f ca="1"/>
        <v/>
      </c>
      <c r="WJ1526" s="42" t="str">
        <f ca="1"/>
        <v/>
      </c>
      <c r="WK1526" s="42" t="str">
        <f ca="1"/>
        <v/>
      </c>
      <c r="WL1526" s="42" t="str">
        <f ca="1"/>
        <v/>
      </c>
      <c r="WM1526" s="42" t="str">
        <f ca="1"/>
        <v/>
      </c>
      <c r="WN1526" s="42" t="str">
        <f ca="1"/>
        <v/>
      </c>
      <c r="WO1526" s="42" t="str">
        <f ca="1"/>
        <v/>
      </c>
      <c r="WP1526" s="42" t="str">
        <f ca="1"/>
        <v/>
      </c>
      <c r="WQ1526" s="42" t="str">
        <f ca="1"/>
        <v/>
      </c>
      <c r="WR1526" s="42" t="str">
        <f ca="1"/>
        <v/>
      </c>
      <c r="WS1526" s="42" t="str">
        <f ca="1"/>
        <v/>
      </c>
      <c r="WT1526" s="42" t="str">
        <f ca="1"/>
        <v/>
      </c>
      <c r="WU1526" s="42" t="str">
        <f ca="1"/>
        <v/>
      </c>
      <c r="WV1526" s="42" t="str">
        <f ca="1"/>
        <v/>
      </c>
      <c r="WW1526" s="42" t="str">
        <f ca="1"/>
        <v/>
      </c>
      <c r="WX1526" s="42" t="str">
        <f ca="1"/>
        <v/>
      </c>
      <c r="WY1526" s="42" t="str">
        <f ca="1"/>
        <v/>
      </c>
      <c r="WZ1526" s="42" t="str">
        <f ca="1"/>
        <v/>
      </c>
      <c r="XA1526" s="42" t="str">
        <f ca="1"/>
        <v/>
      </c>
      <c r="XB1526" s="42" t="str">
        <f ca="1"/>
        <v/>
      </c>
      <c r="XC1526" s="42" t="str">
        <f ca="1"/>
        <v/>
      </c>
      <c r="XD1526" s="42" t="str">
        <f ca="1"/>
        <v/>
      </c>
      <c r="XE1526" s="42" t="str">
        <f ca="1"/>
        <v/>
      </c>
      <c r="XF1526" s="42" t="str">
        <f ca="1"/>
        <v/>
      </c>
      <c r="XG1526" s="42" t="str">
        <f ca="1"/>
        <v/>
      </c>
      <c r="XH1526" s="42" t="str">
        <f ca="1"/>
        <v/>
      </c>
      <c r="XI1526" s="42" t="str">
        <f ca="1"/>
        <v/>
      </c>
      <c r="XJ1526" s="42" t="str">
        <f ca="1"/>
        <v/>
      </c>
      <c r="XK1526" s="42" t="str">
        <f ca="1"/>
        <v/>
      </c>
      <c r="XL1526" s="42" t="str">
        <f ca="1"/>
        <v/>
      </c>
      <c r="XM1526" s="42" t="str">
        <f ca="1"/>
        <v/>
      </c>
      <c r="XN1526" s="42" t="str">
        <f ca="1"/>
        <v/>
      </c>
      <c r="XO1526" s="42" t="str">
        <f ca="1"/>
        <v/>
      </c>
      <c r="XP1526" s="42" t="str">
        <f ca="1"/>
        <v/>
      </c>
      <c r="XQ1526" s="42" t="str">
        <f ca="1"/>
        <v/>
      </c>
      <c r="XR1526" s="42" t="str">
        <f ca="1"/>
        <v/>
      </c>
      <c r="XS1526" s="42" t="str">
        <f ca="1"/>
        <v/>
      </c>
      <c r="XT1526" s="42" t="str">
        <f ca="1"/>
        <v/>
      </c>
      <c r="XU1526" s="42" t="str">
        <f ca="1"/>
        <v/>
      </c>
      <c r="XV1526" s="42" t="str">
        <f ca="1"/>
        <v/>
      </c>
      <c r="XW1526" s="42" t="str">
        <f ca="1"/>
        <v/>
      </c>
      <c r="XX1526" s="42" t="str">
        <f ca="1"/>
        <v/>
      </c>
      <c r="XY1526" s="42" t="str">
        <f ca="1"/>
        <v/>
      </c>
      <c r="XZ1526" s="42" t="str">
        <f ca="1"/>
        <v/>
      </c>
      <c r="YA1526" s="42" t="str">
        <f ca="1"/>
        <v/>
      </c>
      <c r="YB1526" s="42" t="str">
        <f ca="1"/>
        <v/>
      </c>
      <c r="YC1526" s="42" t="str">
        <f ca="1"/>
        <v/>
      </c>
      <c r="YD1526" s="42" t="str">
        <f ca="1"/>
        <v/>
      </c>
      <c r="YE1526" s="42" t="str">
        <f ca="1"/>
        <v/>
      </c>
      <c r="YF1526" s="42" t="str">
        <f ca="1"/>
        <v/>
      </c>
      <c r="YG1526" s="42" t="str">
        <f ca="1"/>
        <v/>
      </c>
      <c r="YH1526" s="42" t="str">
        <f ca="1"/>
        <v/>
      </c>
      <c r="YI1526" s="42" t="str">
        <f ca="1"/>
        <v/>
      </c>
      <c r="YJ1526" s="42" t="str">
        <f ca="1"/>
        <v/>
      </c>
      <c r="YK1526" s="42" t="str">
        <f ca="1"/>
        <v/>
      </c>
      <c r="YL1526" s="42" t="str">
        <f ca="1"/>
        <v/>
      </c>
      <c r="YM1526" s="42" t="str">
        <f ca="1"/>
        <v/>
      </c>
      <c r="YN1526" s="42" t="str">
        <f ca="1"/>
        <v/>
      </c>
      <c r="YO1526" s="42" t="str">
        <f ca="1"/>
        <v/>
      </c>
      <c r="YP1526" s="42" t="str">
        <f ca="1"/>
        <v/>
      </c>
      <c r="YQ1526" s="42" t="str">
        <f ca="1"/>
        <v/>
      </c>
      <c r="YR1526" s="42" t="str">
        <f ca="1"/>
        <v/>
      </c>
      <c r="YS1526" s="42" t="str">
        <f ca="1"/>
        <v/>
      </c>
      <c r="YT1526" s="42" t="str">
        <f ca="1"/>
        <v/>
      </c>
      <c r="YU1526" s="42" t="str">
        <f ca="1"/>
        <v/>
      </c>
      <c r="YV1526" s="42" t="str">
        <f ca="1"/>
        <v/>
      </c>
      <c r="YW1526" s="42" t="str">
        <f ca="1"/>
        <v/>
      </c>
      <c r="YX1526" s="42" t="str">
        <f ca="1"/>
        <v/>
      </c>
      <c r="YY1526" s="42" t="str">
        <f ca="1"/>
        <v/>
      </c>
      <c r="YZ1526" s="42" t="str">
        <f ca="1"/>
        <v/>
      </c>
      <c r="ZA1526" s="42" t="str">
        <f ca="1"/>
        <v/>
      </c>
      <c r="ZB1526" s="42" t="str">
        <f ca="1"/>
        <v/>
      </c>
      <c r="ZC1526" s="42" t="str">
        <f ca="1"/>
        <v/>
      </c>
      <c r="ZD1526" s="42" t="str">
        <f ca="1"/>
        <v/>
      </c>
      <c r="ZE1526" s="42" t="str">
        <f ca="1"/>
        <v/>
      </c>
      <c r="ZF1526" s="42" t="str">
        <f ca="1"/>
        <v/>
      </c>
      <c r="ZG1526" s="42" t="str">
        <f ca="1"/>
        <v/>
      </c>
      <c r="ZH1526" s="42" t="str">
        <f ca="1"/>
        <v/>
      </c>
      <c r="ZI1526" s="42" t="str">
        <f ca="1"/>
        <v/>
      </c>
      <c r="ZJ1526" s="42" t="str">
        <f ca="1"/>
        <v/>
      </c>
      <c r="ZK1526" s="42" t="str">
        <f ca="1"/>
        <v/>
      </c>
      <c r="ZL1526" s="42" t="str">
        <f ca="1"/>
        <v/>
      </c>
      <c r="ZM1526" s="42" t="str">
        <f ca="1"/>
        <v/>
      </c>
      <c r="ZN1526" s="42" t="str">
        <f ca="1"/>
        <v/>
      </c>
      <c r="ZO1526" s="42" t="str">
        <f ca="1"/>
        <v/>
      </c>
      <c r="ZP1526" s="42" t="str">
        <f ca="1"/>
        <v/>
      </c>
      <c r="ZQ1526" s="42" t="str">
        <f ca="1"/>
        <v/>
      </c>
      <c r="ZR1526" s="42" t="str">
        <f ca="1"/>
        <v/>
      </c>
      <c r="ZS1526" s="42" t="str">
        <f ca="1"/>
        <v/>
      </c>
      <c r="ZT1526" s="42" t="str">
        <f ca="1"/>
        <v/>
      </c>
      <c r="ZU1526" s="42" t="str">
        <f ca="1"/>
        <v/>
      </c>
      <c r="ZV1526" s="42" t="str">
        <f ca="1"/>
        <v/>
      </c>
      <c r="ZW1526" s="42" t="str">
        <f ca="1"/>
        <v/>
      </c>
      <c r="ZX1526" s="42" t="str">
        <f ca="1"/>
        <v/>
      </c>
      <c r="ZY1526" s="42" t="str">
        <f ca="1"/>
        <v/>
      </c>
      <c r="ZZ1526" s="42" t="str">
        <f ca="1"/>
        <v/>
      </c>
      <c r="AAA1526" s="42" t="str">
        <f ca="1"/>
        <v/>
      </c>
      <c r="AAB1526" s="42" t="str">
        <f ca="1"/>
        <v/>
      </c>
      <c r="AAC1526" s="42" t="str">
        <f ca="1"/>
        <v/>
      </c>
      <c r="AAD1526" s="42" t="str">
        <f ca="1"/>
        <v/>
      </c>
      <c r="AAE1526" s="42" t="str">
        <f ca="1"/>
        <v/>
      </c>
      <c r="AAF1526" s="42" t="str">
        <f ca="1"/>
        <v/>
      </c>
      <c r="AAG1526" s="42" t="str">
        <f ca="1"/>
        <v/>
      </c>
      <c r="AAH1526" s="42" t="str">
        <f ca="1"/>
        <v/>
      </c>
      <c r="AAI1526" s="42" t="str">
        <f ca="1"/>
        <v/>
      </c>
      <c r="AAJ1526" s="42" t="str">
        <f ca="1"/>
        <v/>
      </c>
      <c r="AAK1526" s="42" t="str">
        <f ca="1"/>
        <v/>
      </c>
      <c r="AAL1526" s="42" t="str">
        <f ca="1"/>
        <v/>
      </c>
      <c r="AAM1526" s="42" t="str">
        <f ca="1"/>
        <v/>
      </c>
      <c r="AAN1526" s="42" t="str">
        <f ca="1"/>
        <v/>
      </c>
      <c r="AAO1526" s="42" t="str">
        <f ca="1"/>
        <v/>
      </c>
      <c r="AAP1526" s="42" t="str">
        <f ca="1"/>
        <v/>
      </c>
      <c r="AAQ1526" s="42" t="str">
        <f ca="1"/>
        <v/>
      </c>
      <c r="AAR1526" s="42" t="str">
        <f ca="1"/>
        <v/>
      </c>
      <c r="AAS1526" s="42" t="str">
        <f ca="1"/>
        <v/>
      </c>
      <c r="AAT1526" s="42" t="str">
        <f ca="1"/>
        <v/>
      </c>
      <c r="AAU1526" s="42" t="str">
        <f ca="1"/>
        <v/>
      </c>
      <c r="AAV1526" s="42" t="str">
        <f ca="1"/>
        <v/>
      </c>
      <c r="AAW1526" s="42" t="str">
        <f ca="1"/>
        <v/>
      </c>
      <c r="AAX1526" s="42" t="str">
        <f ca="1"/>
        <v/>
      </c>
      <c r="AAY1526" s="42" t="str">
        <f ca="1"/>
        <v/>
      </c>
      <c r="AAZ1526" s="42" t="str">
        <f ca="1"/>
        <v/>
      </c>
      <c r="ABA1526" s="42" t="str">
        <f ca="1"/>
        <v/>
      </c>
      <c r="ABB1526" s="42" t="str">
        <f ca="1"/>
        <v/>
      </c>
      <c r="ABC1526" s="42" t="str">
        <f ca="1"/>
        <v/>
      </c>
      <c r="ABD1526" s="42" t="str">
        <f ca="1"/>
        <v/>
      </c>
      <c r="ABE1526" s="42" t="str">
        <f ca="1"/>
        <v/>
      </c>
      <c r="ABF1526" s="42" t="str">
        <f ca="1"/>
        <v/>
      </c>
      <c r="ABG1526" s="42" t="str">
        <f ca="1"/>
        <v/>
      </c>
      <c r="ABH1526" s="42" t="str">
        <f ca="1"/>
        <v/>
      </c>
      <c r="ABI1526" s="42" t="str">
        <f ca="1"/>
        <v/>
      </c>
      <c r="ABJ1526" s="42" t="str">
        <f ca="1"/>
        <v/>
      </c>
      <c r="ABK1526" s="42" t="str">
        <f ca="1"/>
        <v/>
      </c>
      <c r="ABL1526" s="42" t="str">
        <f ca="1"/>
        <v/>
      </c>
      <c r="ABM1526" s="42" t="str">
        <f ca="1"/>
        <v/>
      </c>
      <c r="ABN1526" s="42" t="str">
        <f ca="1"/>
        <v/>
      </c>
      <c r="ABO1526" s="42" t="str">
        <f ca="1"/>
        <v/>
      </c>
      <c r="ABP1526" s="42" t="str">
        <f ca="1"/>
        <v/>
      </c>
      <c r="ABQ1526" s="42" t="str">
        <f ca="1"/>
        <v/>
      </c>
      <c r="ABR1526" s="42" t="str">
        <f ca="1"/>
        <v/>
      </c>
      <c r="ABS1526" s="42" t="str">
        <f ca="1"/>
        <v/>
      </c>
      <c r="ABT1526" s="42" t="str">
        <f ca="1"/>
        <v/>
      </c>
      <c r="ABU1526" s="42" t="str">
        <f ca="1"/>
        <v/>
      </c>
      <c r="ABV1526" s="42" t="str">
        <f ca="1"/>
        <v/>
      </c>
      <c r="ABW1526" s="42" t="str">
        <f ca="1"/>
        <v/>
      </c>
      <c r="ABX1526" s="42" t="str">
        <f ca="1"/>
        <v/>
      </c>
      <c r="ABY1526" s="42" t="str">
        <f ca="1"/>
        <v/>
      </c>
      <c r="ABZ1526" s="42" t="str">
        <f ca="1"/>
        <v/>
      </c>
      <c r="ACA1526" s="42" t="str">
        <f ca="1"/>
        <v/>
      </c>
      <c r="ACB1526" s="42" t="str">
        <f ca="1"/>
        <v/>
      </c>
      <c r="ACC1526" s="42" t="str">
        <f ca="1"/>
        <v/>
      </c>
      <c r="ACD1526" s="42" t="str">
        <f ca="1"/>
        <v/>
      </c>
      <c r="ACE1526" s="42" t="str">
        <f ca="1"/>
        <v/>
      </c>
      <c r="ACF1526" s="42" t="str">
        <f ca="1"/>
        <v/>
      </c>
      <c r="ACG1526" s="42" t="str">
        <f ca="1"/>
        <v/>
      </c>
      <c r="ACH1526" s="42" t="str">
        <f ca="1"/>
        <v/>
      </c>
      <c r="ACI1526" s="42" t="str">
        <f ca="1"/>
        <v/>
      </c>
      <c r="ACJ1526" s="42" t="str">
        <f ca="1"/>
        <v/>
      </c>
      <c r="ACK1526" s="42" t="str">
        <f ca="1"/>
        <v/>
      </c>
      <c r="ACL1526" s="42" t="str">
        <f ca="1"/>
        <v/>
      </c>
      <c r="ACM1526" s="42" t="str">
        <f ca="1"/>
        <v/>
      </c>
      <c r="ACN1526" s="42" t="str">
        <f ca="1"/>
        <v/>
      </c>
      <c r="ACO1526" s="42" t="str">
        <f ca="1"/>
        <v/>
      </c>
      <c r="ACP1526" s="42" t="str">
        <f ca="1"/>
        <v/>
      </c>
      <c r="ACQ1526" s="42" t="str">
        <f ca="1"/>
        <v/>
      </c>
      <c r="ACR1526" s="42" t="str">
        <f ca="1"/>
        <v/>
      </c>
      <c r="ACS1526" s="42" t="str">
        <f ca="1"/>
        <v/>
      </c>
      <c r="ACT1526" s="42" t="str">
        <f ca="1"/>
        <v/>
      </c>
      <c r="ACU1526" s="42" t="str">
        <f ca="1"/>
        <v/>
      </c>
      <c r="ACV1526" s="42" t="str">
        <f ca="1"/>
        <v/>
      </c>
      <c r="ACW1526" s="42" t="str">
        <f ca="1"/>
        <v/>
      </c>
      <c r="ACX1526" s="42" t="str">
        <f ca="1"/>
        <v/>
      </c>
      <c r="ACY1526" s="42" t="str">
        <f ca="1"/>
        <v/>
      </c>
      <c r="ACZ1526" s="42" t="str">
        <f ca="1"/>
        <v/>
      </c>
      <c r="ADA1526" s="42" t="str">
        <f ca="1"/>
        <v/>
      </c>
      <c r="ADB1526" s="42" t="str">
        <f ca="1"/>
        <v/>
      </c>
      <c r="ADC1526" s="42" t="str">
        <f ca="1"/>
        <v/>
      </c>
      <c r="ADD1526" s="42" t="str">
        <f ca="1"/>
        <v/>
      </c>
      <c r="ADE1526" s="42" t="str">
        <f ca="1"/>
        <v/>
      </c>
      <c r="ADF1526" s="42" t="str">
        <f ca="1"/>
        <v/>
      </c>
      <c r="ADG1526" s="42" t="str">
        <f ca="1"/>
        <v/>
      </c>
      <c r="ADH1526" s="42" t="str">
        <f ca="1"/>
        <v/>
      </c>
      <c r="ADI1526" s="42" t="str">
        <f ca="1"/>
        <v/>
      </c>
      <c r="ADJ1526" s="42" t="str">
        <f ca="1"/>
        <v/>
      </c>
      <c r="ADK1526" s="42" t="str">
        <f ca="1"/>
        <v/>
      </c>
      <c r="ADL1526" s="42" t="str">
        <f ca="1"/>
        <v/>
      </c>
      <c r="ADM1526" s="42" t="str">
        <f ca="1"/>
        <v/>
      </c>
      <c r="ADN1526" s="42" t="str">
        <f ca="1"/>
        <v/>
      </c>
      <c r="ADO1526" s="42" t="str">
        <f ca="1"/>
        <v/>
      </c>
      <c r="ADP1526" s="42" t="str">
        <f ca="1"/>
        <v/>
      </c>
      <c r="ADQ1526" s="42" t="str">
        <f ca="1"/>
        <v/>
      </c>
      <c r="ADR1526" s="42" t="str">
        <f ca="1"/>
        <v/>
      </c>
      <c r="ADS1526" s="42" t="str">
        <f ca="1"/>
        <v/>
      </c>
      <c r="ADT1526" s="42" t="str">
        <f ca="1"/>
        <v/>
      </c>
      <c r="ADU1526" s="42" t="str">
        <f ca="1"/>
        <v/>
      </c>
      <c r="ADV1526" s="42" t="str">
        <f ca="1"/>
        <v/>
      </c>
      <c r="ADW1526" s="42" t="str">
        <f ca="1"/>
        <v/>
      </c>
      <c r="ADX1526" s="42" t="str">
        <f ca="1"/>
        <v/>
      </c>
      <c r="ADY1526" s="42" t="str">
        <f ca="1"/>
        <v/>
      </c>
      <c r="ADZ1526" s="42" t="str">
        <f ca="1"/>
        <v/>
      </c>
      <c r="AEA1526" s="42" t="str">
        <f ca="1"/>
        <v/>
      </c>
      <c r="AEB1526" s="42" t="str">
        <f ca="1"/>
        <v/>
      </c>
      <c r="AEC1526" s="42" t="str">
        <f ca="1"/>
        <v/>
      </c>
      <c r="AED1526" s="42" t="str">
        <f ca="1"/>
        <v/>
      </c>
      <c r="AEE1526" s="42" t="str">
        <f ca="1"/>
        <v/>
      </c>
      <c r="AEF1526" s="42" t="str">
        <f ca="1"/>
        <v/>
      </c>
      <c r="AEG1526" s="42" t="str">
        <f ca="1"/>
        <v/>
      </c>
      <c r="AEH1526" s="42" t="str">
        <f ca="1"/>
        <v/>
      </c>
      <c r="AEI1526" s="42" t="str">
        <f ca="1"/>
        <v/>
      </c>
      <c r="AEJ1526" s="42" t="str">
        <f ca="1"/>
        <v/>
      </c>
      <c r="AEK1526" s="42" t="str">
        <f ca="1"/>
        <v/>
      </c>
      <c r="AEL1526" s="42" t="str">
        <f ca="1"/>
        <v/>
      </c>
      <c r="AEM1526" s="42" t="str">
        <f ca="1"/>
        <v/>
      </c>
      <c r="AEN1526" s="42" t="str">
        <f ca="1"/>
        <v/>
      </c>
      <c r="AEO1526" s="42" t="str">
        <f ca="1"/>
        <v/>
      </c>
      <c r="AEP1526" s="42" t="str">
        <f ca="1"/>
        <v/>
      </c>
      <c r="AEQ1526" s="42" t="str">
        <f ca="1"/>
        <v/>
      </c>
      <c r="AER1526" s="42" t="str">
        <f ca="1"/>
        <v/>
      </c>
      <c r="AES1526" s="42" t="str">
        <f ca="1"/>
        <v/>
      </c>
      <c r="AET1526" s="42" t="str">
        <f ca="1"/>
        <v/>
      </c>
      <c r="AEU1526" s="42" t="str">
        <f ca="1"/>
        <v/>
      </c>
      <c r="AEV1526" s="42" t="str">
        <f ca="1"/>
        <v/>
      </c>
      <c r="AEW1526" s="42" t="str">
        <f ca="1"/>
        <v/>
      </c>
      <c r="AEX1526" s="42" t="str">
        <f ca="1"/>
        <v/>
      </c>
      <c r="AEY1526" s="42" t="str">
        <f ca="1"/>
        <v/>
      </c>
      <c r="AEZ1526" s="42" t="str">
        <f ca="1"/>
        <v/>
      </c>
      <c r="AFA1526" s="42" t="str">
        <f ca="1"/>
        <v/>
      </c>
      <c r="AFB1526" s="42" t="str">
        <f ca="1"/>
        <v/>
      </c>
      <c r="AFC1526" s="42" t="str">
        <f ca="1"/>
        <v/>
      </c>
      <c r="AFD1526" s="42" t="str">
        <f ca="1"/>
        <v/>
      </c>
      <c r="AFE1526" s="42" t="str">
        <f ca="1"/>
        <v/>
      </c>
      <c r="AFF1526" s="42" t="str">
        <f ca="1"/>
        <v/>
      </c>
      <c r="AFG1526" s="42" t="str">
        <f ca="1"/>
        <v/>
      </c>
      <c r="AFH1526" s="42" t="str">
        <f ca="1"/>
        <v/>
      </c>
      <c r="AFI1526" s="42" t="str">
        <f ca="1"/>
        <v/>
      </c>
      <c r="AFJ1526" s="42" t="str">
        <f ca="1"/>
        <v/>
      </c>
      <c r="AFK1526" s="42" t="str">
        <f ca="1"/>
        <v/>
      </c>
      <c r="AFL1526" s="42" t="str">
        <f ca="1"/>
        <v/>
      </c>
      <c r="AFM1526" s="42" t="str">
        <f ca="1"/>
        <v/>
      </c>
      <c r="AFN1526" s="42" t="str">
        <f ca="1"/>
        <v/>
      </c>
      <c r="AFO1526" s="42" t="str">
        <f ca="1"/>
        <v/>
      </c>
      <c r="AFP1526" s="42" t="str">
        <f ca="1"/>
        <v/>
      </c>
      <c r="AFQ1526" s="42" t="str">
        <f ca="1"/>
        <v/>
      </c>
      <c r="AFR1526" s="42" t="str">
        <f ca="1"/>
        <v/>
      </c>
      <c r="AFS1526" s="42" t="str">
        <f ca="1"/>
        <v/>
      </c>
      <c r="AFT1526" s="42" t="str">
        <f ca="1"/>
        <v/>
      </c>
      <c r="AFU1526" s="42" t="str">
        <f ca="1"/>
        <v/>
      </c>
      <c r="AFV1526" s="42" t="str">
        <f ca="1"/>
        <v/>
      </c>
      <c r="AFW1526" s="42" t="str">
        <f ca="1"/>
        <v/>
      </c>
      <c r="AFX1526" s="42" t="str">
        <f ca="1"/>
        <v/>
      </c>
      <c r="AFY1526" s="42" t="str">
        <f ca="1"/>
        <v/>
      </c>
      <c r="AFZ1526" s="42" t="str">
        <f ca="1"/>
        <v/>
      </c>
      <c r="AGA1526" s="42" t="str">
        <f ca="1"/>
        <v/>
      </c>
      <c r="AGB1526" s="42" t="str">
        <f ca="1"/>
        <v/>
      </c>
      <c r="AGC1526" s="42" t="str">
        <f ca="1"/>
        <v/>
      </c>
      <c r="AGD1526" s="42" t="str">
        <f ca="1"/>
        <v/>
      </c>
      <c r="AGE1526" s="42" t="str">
        <f ca="1"/>
        <v/>
      </c>
      <c r="AGF1526" s="42" t="str">
        <f ca="1"/>
        <v/>
      </c>
      <c r="AGG1526" s="42" t="str">
        <f ca="1"/>
        <v/>
      </c>
      <c r="AGH1526" s="42" t="str">
        <f ca="1"/>
        <v/>
      </c>
      <c r="AGI1526" s="42" t="str">
        <f ca="1"/>
        <v/>
      </c>
      <c r="AGJ1526" s="42" t="str">
        <f ca="1"/>
        <v/>
      </c>
      <c r="AGK1526" s="42" t="str">
        <f ca="1"/>
        <v/>
      </c>
      <c r="AGL1526" s="42" t="str">
        <f ca="1"/>
        <v/>
      </c>
      <c r="AGM1526" s="42" t="str">
        <f ca="1"/>
        <v/>
      </c>
      <c r="AGN1526" s="42" t="str">
        <f ca="1"/>
        <v/>
      </c>
    </row>
    <row r="1527" spans="15:872" x14ac:dyDescent="0.25">
      <c r="O1527" s="42">
        <v>14</v>
      </c>
      <c r="P1527" s="42" t="str">
        <f ca="1"/>
        <v/>
      </c>
      <c r="Q1527" s="42" t="str">
        <f ca="1"/>
        <v/>
      </c>
      <c r="R1527" s="42" t="str">
        <f ca="1"/>
        <v/>
      </c>
      <c r="S1527" s="42" t="str">
        <f ca="1"/>
        <v/>
      </c>
      <c r="T1527" s="42" t="str">
        <f ca="1"/>
        <v/>
      </c>
      <c r="U1527" s="42" t="str">
        <f ca="1"/>
        <v/>
      </c>
      <c r="V1527" s="42" t="str">
        <f ca="1"/>
        <v/>
      </c>
      <c r="W1527" s="42" t="str">
        <f ca="1"/>
        <v/>
      </c>
      <c r="X1527" s="42" t="str">
        <f ca="1"/>
        <v/>
      </c>
      <c r="Y1527" s="42" t="str">
        <f ca="1"/>
        <v/>
      </c>
      <c r="Z1527" s="42" t="str">
        <f ca="1"/>
        <v/>
      </c>
      <c r="AA1527" s="42" t="str">
        <f ca="1"/>
        <v/>
      </c>
      <c r="AB1527" s="42" t="str">
        <f ca="1"/>
        <v/>
      </c>
      <c r="AC1527" s="42" t="str">
        <f ca="1"/>
        <v/>
      </c>
      <c r="AD1527" s="42" t="str">
        <f ca="1"/>
        <v/>
      </c>
      <c r="AE1527" s="42" t="str">
        <f ca="1"/>
        <v/>
      </c>
      <c r="AF1527" s="42" t="str">
        <f ca="1"/>
        <v/>
      </c>
      <c r="AG1527" s="42" t="str">
        <f ca="1"/>
        <v/>
      </c>
      <c r="AH1527" s="42" t="str">
        <f ca="1"/>
        <v/>
      </c>
      <c r="AI1527" s="42" t="str">
        <f ca="1"/>
        <v/>
      </c>
      <c r="AJ1527" s="42" t="str">
        <f ca="1"/>
        <v/>
      </c>
      <c r="AK1527" s="42" t="str">
        <f ca="1"/>
        <v/>
      </c>
      <c r="AL1527" s="42" t="str">
        <f ca="1"/>
        <v/>
      </c>
      <c r="AM1527" s="42" t="str">
        <f ca="1"/>
        <v/>
      </c>
      <c r="AN1527" s="42" t="str">
        <f ca="1"/>
        <v/>
      </c>
      <c r="AO1527" s="42" t="str">
        <f ca="1"/>
        <v/>
      </c>
      <c r="AP1527" s="42" t="str">
        <f ca="1"/>
        <v/>
      </c>
      <c r="AQ1527" s="42" t="str">
        <f ca="1"/>
        <v/>
      </c>
      <c r="AR1527" s="42" t="str">
        <f ca="1"/>
        <v/>
      </c>
      <c r="AS1527" s="42" t="str">
        <f ca="1"/>
        <v/>
      </c>
      <c r="AT1527" s="42" t="str">
        <f ca="1"/>
        <v/>
      </c>
      <c r="AU1527" s="42" t="str">
        <f ca="1"/>
        <v/>
      </c>
      <c r="AV1527" s="42" t="str">
        <f ca="1"/>
        <v/>
      </c>
      <c r="AW1527" s="42" t="str">
        <f ca="1"/>
        <v/>
      </c>
      <c r="AX1527" s="42" t="str">
        <f ca="1"/>
        <v/>
      </c>
      <c r="AY1527" s="42" t="str">
        <f ca="1"/>
        <v/>
      </c>
      <c r="AZ1527" s="42" t="str">
        <f ca="1"/>
        <v/>
      </c>
      <c r="BA1527" s="42" t="str">
        <f ca="1"/>
        <v/>
      </c>
      <c r="BB1527" s="42" t="str">
        <f ca="1"/>
        <v/>
      </c>
      <c r="BC1527" s="42" t="str">
        <f ca="1"/>
        <v/>
      </c>
      <c r="BD1527" s="42" t="str">
        <f ca="1"/>
        <v/>
      </c>
      <c r="BE1527" s="42" t="str">
        <f ca="1"/>
        <v/>
      </c>
      <c r="BF1527" s="42" t="str">
        <f ca="1"/>
        <v/>
      </c>
      <c r="BG1527" s="42" t="str">
        <f ca="1"/>
        <v/>
      </c>
      <c r="BH1527" s="42" t="str">
        <f ca="1"/>
        <v/>
      </c>
      <c r="BI1527" s="42" t="str">
        <f ca="1"/>
        <v/>
      </c>
      <c r="BJ1527" s="42" t="str">
        <f ca="1"/>
        <v/>
      </c>
      <c r="BK1527" s="42" t="str">
        <f ca="1"/>
        <v/>
      </c>
      <c r="BL1527" s="42" t="str">
        <f ca="1"/>
        <v/>
      </c>
      <c r="BM1527" s="42" t="str">
        <f ca="1"/>
        <v/>
      </c>
      <c r="BN1527" s="42" t="str">
        <f ca="1"/>
        <v/>
      </c>
      <c r="BO1527" s="42" t="str">
        <f ca="1"/>
        <v/>
      </c>
      <c r="BP1527" s="42" t="str">
        <f ca="1"/>
        <v/>
      </c>
      <c r="BQ1527" s="42" t="str">
        <f ca="1"/>
        <v/>
      </c>
      <c r="BR1527" s="42" t="str">
        <f ca="1"/>
        <v/>
      </c>
      <c r="BS1527" s="42" t="str">
        <f ca="1"/>
        <v/>
      </c>
      <c r="BT1527" s="42" t="str">
        <f ca="1"/>
        <v/>
      </c>
      <c r="BU1527" s="42" t="str">
        <f ca="1"/>
        <v/>
      </c>
      <c r="BV1527" s="42" t="str">
        <f ca="1"/>
        <v/>
      </c>
      <c r="BW1527" s="42" t="str">
        <f ca="1"/>
        <v/>
      </c>
      <c r="BX1527" s="42" t="str">
        <f ca="1"/>
        <v/>
      </c>
      <c r="BY1527" s="42" t="str">
        <f ca="1"/>
        <v/>
      </c>
      <c r="BZ1527" s="42" t="str">
        <f ca="1"/>
        <v/>
      </c>
      <c r="CA1527" s="42" t="str">
        <f ca="1"/>
        <v/>
      </c>
      <c r="CB1527" s="42" t="str">
        <f ca="1"/>
        <v/>
      </c>
      <c r="CC1527" s="42" t="str">
        <f ca="1"/>
        <v/>
      </c>
      <c r="CD1527" s="42" t="str">
        <f ca="1"/>
        <v/>
      </c>
      <c r="CE1527" s="42" t="str">
        <f ca="1"/>
        <v/>
      </c>
      <c r="CF1527" s="42" t="str">
        <f ca="1"/>
        <v/>
      </c>
      <c r="CG1527" s="42" t="str">
        <f ca="1"/>
        <v/>
      </c>
      <c r="CH1527" s="42" t="str">
        <f ca="1"/>
        <v/>
      </c>
      <c r="CI1527" s="42" t="str">
        <f ca="1"/>
        <v/>
      </c>
      <c r="CJ1527" s="42" t="str">
        <f ca="1"/>
        <v/>
      </c>
      <c r="CK1527" s="42" t="str">
        <f ca="1"/>
        <v/>
      </c>
      <c r="CL1527" s="42" t="str">
        <f ca="1"/>
        <v/>
      </c>
      <c r="CM1527" s="42" t="str">
        <f ca="1"/>
        <v/>
      </c>
      <c r="CN1527" s="42" t="str">
        <f ca="1"/>
        <v/>
      </c>
      <c r="CO1527" s="42" t="str">
        <f ca="1"/>
        <v/>
      </c>
      <c r="CP1527" s="42" t="str">
        <f ca="1"/>
        <v/>
      </c>
      <c r="CQ1527" s="42" t="str">
        <f ca="1"/>
        <v/>
      </c>
      <c r="CR1527" s="42" t="str">
        <f ca="1"/>
        <v/>
      </c>
      <c r="CS1527" s="42" t="str">
        <f ca="1"/>
        <v/>
      </c>
      <c r="CT1527" s="42" t="str">
        <f ca="1"/>
        <v/>
      </c>
      <c r="CU1527" s="42" t="str">
        <f ca="1"/>
        <v/>
      </c>
      <c r="CV1527" s="42" t="str">
        <f ca="1"/>
        <v/>
      </c>
      <c r="CW1527" s="42" t="str">
        <f ca="1"/>
        <v/>
      </c>
      <c r="CX1527" s="42" t="str">
        <f ca="1"/>
        <v/>
      </c>
      <c r="CY1527" s="42" t="str">
        <f ca="1"/>
        <v/>
      </c>
      <c r="CZ1527" s="42" t="str">
        <f ca="1"/>
        <v/>
      </c>
      <c r="DA1527" s="42" t="str">
        <f ca="1"/>
        <v/>
      </c>
      <c r="DB1527" s="42" t="str">
        <f ca="1"/>
        <v/>
      </c>
      <c r="DC1527" s="42" t="str">
        <f ca="1"/>
        <v/>
      </c>
      <c r="DD1527" s="42" t="str">
        <f ca="1"/>
        <v/>
      </c>
      <c r="DE1527" s="42" t="str">
        <f ca="1"/>
        <v/>
      </c>
      <c r="DF1527" s="42" t="str">
        <f ca="1"/>
        <v/>
      </c>
      <c r="DG1527" s="42" t="str">
        <f ca="1"/>
        <v/>
      </c>
      <c r="DH1527" s="42" t="str">
        <f ca="1"/>
        <v/>
      </c>
      <c r="DI1527" s="42" t="str">
        <f ca="1"/>
        <v/>
      </c>
      <c r="DJ1527" s="42" t="str">
        <f ca="1"/>
        <v/>
      </c>
      <c r="DK1527" s="42" t="str">
        <f ca="1"/>
        <v/>
      </c>
      <c r="DL1527" s="42" t="str">
        <f ca="1"/>
        <v/>
      </c>
      <c r="DM1527" s="42" t="str">
        <f ca="1"/>
        <v/>
      </c>
      <c r="DN1527" s="42" t="str">
        <f ca="1"/>
        <v/>
      </c>
      <c r="DO1527" s="42" t="str">
        <f ca="1"/>
        <v/>
      </c>
      <c r="DP1527" s="42" t="str">
        <f ca="1"/>
        <v/>
      </c>
      <c r="DQ1527" s="42" t="str">
        <f ca="1"/>
        <v/>
      </c>
      <c r="DR1527" s="42" t="str">
        <f ca="1"/>
        <v/>
      </c>
      <c r="DS1527" s="42" t="str">
        <f ca="1"/>
        <v/>
      </c>
      <c r="DT1527" s="42" t="str">
        <f ca="1"/>
        <v/>
      </c>
      <c r="DU1527" s="42" t="str">
        <f ca="1"/>
        <v/>
      </c>
      <c r="DV1527" s="42" t="str">
        <f ca="1"/>
        <v/>
      </c>
      <c r="DW1527" s="42" t="str">
        <f ca="1"/>
        <v/>
      </c>
      <c r="DX1527" s="42" t="str">
        <f ca="1"/>
        <v/>
      </c>
      <c r="DY1527" s="42" t="str">
        <f ca="1"/>
        <v/>
      </c>
      <c r="DZ1527" s="42" t="str">
        <f ca="1"/>
        <v/>
      </c>
      <c r="EA1527" s="42" t="str">
        <f ca="1"/>
        <v/>
      </c>
      <c r="EB1527" s="42" t="str">
        <f ca="1"/>
        <v/>
      </c>
      <c r="EC1527" s="42" t="str">
        <f ca="1"/>
        <v/>
      </c>
      <c r="ED1527" s="42" t="str">
        <f ca="1"/>
        <v/>
      </c>
      <c r="EE1527" s="42" t="str">
        <f ca="1"/>
        <v/>
      </c>
      <c r="EF1527" s="42" t="str">
        <f ca="1"/>
        <v/>
      </c>
      <c r="EG1527" s="42" t="str">
        <f ca="1"/>
        <v/>
      </c>
      <c r="EH1527" s="42" t="str">
        <f ca="1"/>
        <v/>
      </c>
      <c r="EI1527" s="42" t="str">
        <f ca="1"/>
        <v/>
      </c>
      <c r="EJ1527" s="42" t="str">
        <f ca="1"/>
        <v/>
      </c>
      <c r="EK1527" s="42" t="str">
        <f ca="1"/>
        <v/>
      </c>
      <c r="EL1527" s="42" t="str">
        <f ca="1"/>
        <v/>
      </c>
      <c r="EM1527" s="42" t="str">
        <f ca="1"/>
        <v/>
      </c>
      <c r="EN1527" s="42" t="str">
        <f ca="1"/>
        <v/>
      </c>
      <c r="EO1527" s="42" t="str">
        <f ca="1"/>
        <v/>
      </c>
      <c r="EP1527" s="42" t="str">
        <f ca="1"/>
        <v/>
      </c>
      <c r="EQ1527" s="42" t="str">
        <f ca="1"/>
        <v/>
      </c>
      <c r="ER1527" s="42" t="str">
        <f ca="1"/>
        <v/>
      </c>
      <c r="ES1527" s="42" t="str">
        <f ca="1"/>
        <v/>
      </c>
      <c r="ET1527" s="42" t="str">
        <f ca="1"/>
        <v/>
      </c>
      <c r="EU1527" s="42" t="str">
        <f ca="1"/>
        <v/>
      </c>
      <c r="EV1527" s="42" t="str">
        <f ca="1"/>
        <v/>
      </c>
      <c r="EW1527" s="42" t="str">
        <f ca="1"/>
        <v/>
      </c>
      <c r="EX1527" s="42" t="str">
        <f ca="1"/>
        <v/>
      </c>
      <c r="EY1527" s="42" t="str">
        <f ca="1"/>
        <v/>
      </c>
      <c r="EZ1527" s="42" t="str">
        <f ca="1"/>
        <v/>
      </c>
      <c r="FA1527" s="42" t="str">
        <f ca="1"/>
        <v/>
      </c>
      <c r="FB1527" s="42" t="str">
        <f ca="1"/>
        <v/>
      </c>
      <c r="FC1527" s="42" t="str">
        <f ca="1"/>
        <v/>
      </c>
      <c r="FD1527" s="42" t="str">
        <f ca="1"/>
        <v/>
      </c>
      <c r="FE1527" s="42" t="str">
        <f ca="1"/>
        <v/>
      </c>
      <c r="FF1527" s="42" t="str">
        <f ca="1"/>
        <v/>
      </c>
      <c r="FG1527" s="42" t="str">
        <f ca="1"/>
        <v/>
      </c>
      <c r="FH1527" s="42" t="str">
        <f ca="1"/>
        <v/>
      </c>
      <c r="FI1527" s="42" t="str">
        <f ca="1"/>
        <v/>
      </c>
      <c r="FJ1527" s="42" t="str">
        <f ca="1"/>
        <v/>
      </c>
      <c r="FK1527" s="42" t="str">
        <f ca="1"/>
        <v/>
      </c>
      <c r="FL1527" s="42" t="str">
        <f ca="1"/>
        <v/>
      </c>
      <c r="FM1527" s="42" t="str">
        <f ca="1"/>
        <v/>
      </c>
      <c r="FN1527" s="42" t="str">
        <f ca="1"/>
        <v/>
      </c>
      <c r="FO1527" s="42" t="str">
        <f ca="1"/>
        <v/>
      </c>
      <c r="FP1527" s="42" t="str">
        <f ca="1"/>
        <v/>
      </c>
      <c r="FQ1527" s="42" t="str">
        <f ca="1"/>
        <v/>
      </c>
      <c r="FR1527" s="42" t="str">
        <f ca="1"/>
        <v/>
      </c>
      <c r="FS1527" s="42" t="str">
        <f ca="1"/>
        <v/>
      </c>
      <c r="FT1527" s="42" t="str">
        <f ca="1"/>
        <v/>
      </c>
      <c r="FU1527" s="42" t="str">
        <f ca="1"/>
        <v/>
      </c>
      <c r="FV1527" s="42" t="str">
        <f ca="1"/>
        <v/>
      </c>
      <c r="FW1527" s="42" t="str">
        <f ca="1"/>
        <v/>
      </c>
      <c r="FX1527" s="42" t="str">
        <f ca="1"/>
        <v/>
      </c>
      <c r="FY1527" s="42" t="str">
        <f ca="1"/>
        <v/>
      </c>
      <c r="FZ1527" s="42" t="str">
        <f ca="1"/>
        <v/>
      </c>
      <c r="GA1527" s="42" t="str">
        <f ca="1"/>
        <v/>
      </c>
      <c r="GB1527" s="42" t="str">
        <f ca="1"/>
        <v/>
      </c>
      <c r="GC1527" s="42" t="str">
        <f ca="1"/>
        <v/>
      </c>
      <c r="GD1527" s="42" t="str">
        <f ca="1"/>
        <v/>
      </c>
      <c r="GE1527" s="42" t="str">
        <f ca="1"/>
        <v/>
      </c>
      <c r="GF1527" s="42" t="str">
        <f ca="1"/>
        <v/>
      </c>
      <c r="GG1527" s="42" t="str">
        <f ca="1"/>
        <v/>
      </c>
      <c r="GH1527" s="42" t="str">
        <f ca="1"/>
        <v/>
      </c>
      <c r="GI1527" s="42" t="str">
        <f ca="1"/>
        <v/>
      </c>
      <c r="GJ1527" s="42" t="str">
        <f ca="1"/>
        <v/>
      </c>
      <c r="GK1527" s="42" t="str">
        <f ca="1"/>
        <v/>
      </c>
      <c r="GL1527" s="42" t="str">
        <f ca="1"/>
        <v/>
      </c>
      <c r="GM1527" s="42" t="str">
        <f ca="1"/>
        <v/>
      </c>
      <c r="GN1527" s="42" t="str">
        <f ca="1"/>
        <v/>
      </c>
      <c r="GO1527" s="42" t="str">
        <f ca="1"/>
        <v/>
      </c>
      <c r="GP1527" s="42" t="str">
        <f ca="1"/>
        <v/>
      </c>
      <c r="GQ1527" s="42" t="str">
        <f ca="1"/>
        <v/>
      </c>
      <c r="GR1527" s="42" t="str">
        <f ca="1"/>
        <v/>
      </c>
      <c r="GS1527" s="42" t="str">
        <f ca="1"/>
        <v/>
      </c>
      <c r="GT1527" s="42" t="str">
        <f ca="1"/>
        <v/>
      </c>
      <c r="GU1527" s="42" t="str">
        <f ca="1"/>
        <v/>
      </c>
      <c r="GV1527" s="42" t="str">
        <f ca="1"/>
        <v/>
      </c>
      <c r="GW1527" s="42" t="str">
        <f ca="1"/>
        <v/>
      </c>
      <c r="GX1527" s="42" t="str">
        <f ca="1"/>
        <v/>
      </c>
      <c r="GY1527" s="42" t="str">
        <f ca="1"/>
        <v/>
      </c>
      <c r="GZ1527" s="42" t="str">
        <f ca="1"/>
        <v/>
      </c>
      <c r="HA1527" s="42" t="str">
        <f ca="1"/>
        <v/>
      </c>
      <c r="HB1527" s="42" t="str">
        <f ca="1"/>
        <v/>
      </c>
      <c r="HC1527" s="42" t="str">
        <f ca="1"/>
        <v/>
      </c>
      <c r="HD1527" s="42" t="str">
        <f ca="1"/>
        <v/>
      </c>
      <c r="HE1527" s="42" t="str">
        <f ca="1"/>
        <v/>
      </c>
      <c r="HF1527" s="42" t="str">
        <f ca="1"/>
        <v/>
      </c>
      <c r="HG1527" s="42" t="str">
        <f ca="1"/>
        <v/>
      </c>
      <c r="HH1527" s="42" t="str">
        <f ca="1"/>
        <v/>
      </c>
      <c r="HI1527" s="42" t="str">
        <f ca="1"/>
        <v/>
      </c>
      <c r="HJ1527" s="42" t="str">
        <f ca="1"/>
        <v/>
      </c>
      <c r="HK1527" s="42" t="str">
        <f ca="1"/>
        <v/>
      </c>
      <c r="HL1527" s="42" t="str">
        <f ca="1"/>
        <v/>
      </c>
      <c r="HM1527" s="42" t="str">
        <f ca="1"/>
        <v/>
      </c>
      <c r="HN1527" s="42" t="str">
        <f ca="1"/>
        <v/>
      </c>
      <c r="HO1527" s="42" t="str">
        <f ca="1"/>
        <v/>
      </c>
      <c r="HP1527" s="42" t="str">
        <f ca="1"/>
        <v/>
      </c>
      <c r="HQ1527" s="42" t="str">
        <f ca="1"/>
        <v/>
      </c>
      <c r="HR1527" s="42" t="str">
        <f ca="1"/>
        <v/>
      </c>
      <c r="HS1527" s="42" t="str">
        <f ca="1"/>
        <v/>
      </c>
      <c r="HT1527" s="42" t="str">
        <f ca="1"/>
        <v/>
      </c>
      <c r="HU1527" s="42" t="str">
        <f ca="1"/>
        <v/>
      </c>
      <c r="HV1527" s="42" t="str">
        <f ca="1"/>
        <v/>
      </c>
      <c r="HW1527" s="42" t="str">
        <f ca="1"/>
        <v/>
      </c>
      <c r="HX1527" s="42" t="str">
        <f ca="1"/>
        <v/>
      </c>
      <c r="HY1527" s="42" t="str">
        <f ca="1"/>
        <v/>
      </c>
      <c r="HZ1527" s="42" t="str">
        <f ca="1"/>
        <v/>
      </c>
      <c r="IA1527" s="42" t="str">
        <f ca="1"/>
        <v/>
      </c>
      <c r="IB1527" s="42" t="str">
        <f ca="1"/>
        <v/>
      </c>
      <c r="IC1527" s="42" t="str">
        <f ca="1"/>
        <v/>
      </c>
      <c r="ID1527" s="42" t="str">
        <f ca="1"/>
        <v/>
      </c>
      <c r="IE1527" s="42" t="str">
        <f ca="1"/>
        <v/>
      </c>
      <c r="IF1527" s="42" t="str">
        <f ca="1"/>
        <v/>
      </c>
      <c r="IG1527" s="42" t="str">
        <f ca="1"/>
        <v/>
      </c>
      <c r="IH1527" s="42" t="str">
        <f ca="1"/>
        <v/>
      </c>
      <c r="II1527" s="42" t="str">
        <f ca="1"/>
        <v/>
      </c>
      <c r="IJ1527" s="42" t="str">
        <f ca="1"/>
        <v/>
      </c>
      <c r="IK1527" s="42" t="str">
        <f ca="1"/>
        <v/>
      </c>
      <c r="IL1527" s="42" t="str">
        <f ca="1"/>
        <v/>
      </c>
      <c r="IM1527" s="42" t="str">
        <f ca="1"/>
        <v/>
      </c>
      <c r="IN1527" s="42" t="str">
        <f ca="1"/>
        <v/>
      </c>
      <c r="IO1527" s="42" t="str">
        <f ca="1"/>
        <v/>
      </c>
      <c r="IP1527" s="42" t="str">
        <f ca="1"/>
        <v/>
      </c>
      <c r="IQ1527" s="42" t="str">
        <f ca="1"/>
        <v/>
      </c>
      <c r="IR1527" s="42" t="str">
        <f ca="1"/>
        <v/>
      </c>
      <c r="IS1527" s="42" t="str">
        <f ca="1"/>
        <v/>
      </c>
      <c r="IT1527" s="42" t="str">
        <f ca="1"/>
        <v/>
      </c>
      <c r="IU1527" s="42" t="str">
        <f ca="1"/>
        <v/>
      </c>
      <c r="IV1527" s="42" t="str">
        <f ca="1"/>
        <v/>
      </c>
      <c r="IW1527" s="42" t="str">
        <f ca="1"/>
        <v/>
      </c>
      <c r="IX1527" s="42" t="str">
        <f ca="1"/>
        <v/>
      </c>
      <c r="IY1527" s="42" t="str">
        <f ca="1"/>
        <v/>
      </c>
      <c r="IZ1527" s="42" t="str">
        <f ca="1"/>
        <v/>
      </c>
      <c r="JA1527" s="42" t="str">
        <f ca="1"/>
        <v/>
      </c>
      <c r="JB1527" s="42" t="str">
        <f ca="1"/>
        <v/>
      </c>
      <c r="JC1527" s="42" t="str">
        <f ca="1"/>
        <v/>
      </c>
      <c r="JD1527" s="42" t="str">
        <f ca="1"/>
        <v/>
      </c>
      <c r="JE1527" s="42" t="str">
        <f ca="1"/>
        <v/>
      </c>
      <c r="JF1527" s="42" t="str">
        <f ca="1"/>
        <v/>
      </c>
      <c r="JG1527" s="42" t="str">
        <f ca="1"/>
        <v/>
      </c>
      <c r="JH1527" s="42" t="str">
        <f ca="1"/>
        <v/>
      </c>
      <c r="JI1527" s="42" t="str">
        <f ca="1"/>
        <v/>
      </c>
      <c r="JJ1527" s="42" t="str">
        <f ca="1"/>
        <v/>
      </c>
      <c r="JK1527" s="42" t="str">
        <f ca="1"/>
        <v/>
      </c>
      <c r="JL1527" s="42" t="str">
        <f ca="1"/>
        <v/>
      </c>
      <c r="JM1527" s="42" t="str">
        <f ca="1"/>
        <v/>
      </c>
      <c r="JN1527" s="42" t="str">
        <f ca="1"/>
        <v/>
      </c>
      <c r="JO1527" s="42" t="str">
        <f ca="1"/>
        <v/>
      </c>
      <c r="JP1527" s="42" t="str">
        <f ca="1"/>
        <v/>
      </c>
      <c r="JQ1527" s="42" t="str">
        <f ca="1"/>
        <v/>
      </c>
      <c r="JR1527" s="42" t="str">
        <f ca="1"/>
        <v/>
      </c>
      <c r="JS1527" s="42" t="str">
        <f ca="1"/>
        <v/>
      </c>
      <c r="JT1527" s="42" t="str">
        <f ca="1"/>
        <v/>
      </c>
      <c r="JU1527" s="42" t="str">
        <f ca="1"/>
        <v/>
      </c>
      <c r="JV1527" s="42" t="str">
        <f ca="1"/>
        <v/>
      </c>
      <c r="JW1527" s="42" t="str">
        <f ca="1"/>
        <v/>
      </c>
      <c r="JX1527" s="42" t="str">
        <f ca="1"/>
        <v/>
      </c>
      <c r="JY1527" s="42" t="str">
        <f ca="1"/>
        <v/>
      </c>
      <c r="JZ1527" s="42" t="str">
        <f ca="1"/>
        <v/>
      </c>
      <c r="KA1527" s="42" t="str">
        <f ca="1"/>
        <v/>
      </c>
      <c r="KB1527" s="42" t="str">
        <f ca="1"/>
        <v/>
      </c>
      <c r="KC1527" s="42" t="str">
        <f ca="1"/>
        <v/>
      </c>
      <c r="KD1527" s="42" t="str">
        <f ca="1"/>
        <v/>
      </c>
      <c r="KE1527" s="42" t="str">
        <f ca="1"/>
        <v/>
      </c>
      <c r="KF1527" s="42" t="str">
        <f ca="1"/>
        <v/>
      </c>
      <c r="KG1527" s="42" t="str">
        <f ca="1"/>
        <v/>
      </c>
      <c r="KH1527" s="42" t="str">
        <f ca="1"/>
        <v/>
      </c>
      <c r="KI1527" s="42" t="str">
        <f ca="1"/>
        <v/>
      </c>
      <c r="KJ1527" s="42" t="str">
        <f ca="1"/>
        <v/>
      </c>
      <c r="KK1527" s="42" t="str">
        <f ca="1"/>
        <v/>
      </c>
      <c r="KL1527" s="42" t="str">
        <f ca="1"/>
        <v/>
      </c>
      <c r="KM1527" s="42" t="str">
        <f ca="1"/>
        <v/>
      </c>
      <c r="KN1527" s="42" t="str">
        <f ca="1"/>
        <v/>
      </c>
      <c r="KO1527" s="42" t="str">
        <f ca="1"/>
        <v/>
      </c>
      <c r="KP1527" s="42" t="str">
        <f ca="1"/>
        <v/>
      </c>
      <c r="KQ1527" s="42" t="str">
        <f ca="1"/>
        <v/>
      </c>
      <c r="KR1527" s="42" t="str">
        <f ca="1"/>
        <v/>
      </c>
      <c r="KS1527" s="42" t="str">
        <f ca="1"/>
        <v/>
      </c>
      <c r="KT1527" s="42" t="str">
        <f ca="1"/>
        <v/>
      </c>
      <c r="KU1527" s="42" t="str">
        <f ca="1"/>
        <v/>
      </c>
      <c r="KV1527" s="42" t="str">
        <f ca="1"/>
        <v/>
      </c>
      <c r="KW1527" s="42" t="str">
        <f ca="1"/>
        <v/>
      </c>
      <c r="KX1527" s="42" t="str">
        <f ca="1"/>
        <v/>
      </c>
      <c r="KY1527" s="42" t="str">
        <f ca="1"/>
        <v/>
      </c>
      <c r="KZ1527" s="42" t="str">
        <f ca="1"/>
        <v/>
      </c>
      <c r="LA1527" s="42" t="str">
        <f ca="1"/>
        <v/>
      </c>
      <c r="LB1527" s="42" t="str">
        <f ca="1"/>
        <v/>
      </c>
      <c r="LC1527" s="42" t="str">
        <f ca="1"/>
        <v/>
      </c>
      <c r="LD1527" s="42" t="str">
        <f ca="1"/>
        <v/>
      </c>
      <c r="LE1527" s="42" t="str">
        <f ca="1"/>
        <v/>
      </c>
      <c r="LF1527" s="42" t="str">
        <f ca="1"/>
        <v/>
      </c>
      <c r="LG1527" s="42" t="str">
        <f ca="1"/>
        <v/>
      </c>
      <c r="LH1527" s="42" t="str">
        <f ca="1"/>
        <v/>
      </c>
      <c r="LI1527" s="42" t="str">
        <f ca="1"/>
        <v/>
      </c>
      <c r="LJ1527" s="42" t="str">
        <f ca="1"/>
        <v/>
      </c>
      <c r="LK1527" s="42" t="str">
        <f ca="1"/>
        <v/>
      </c>
      <c r="LL1527" s="42" t="str">
        <f ca="1"/>
        <v/>
      </c>
      <c r="LM1527" s="42" t="str">
        <f ca="1"/>
        <v/>
      </c>
      <c r="LN1527" s="42" t="str">
        <f ca="1"/>
        <v/>
      </c>
      <c r="LO1527" s="42" t="str">
        <f ca="1"/>
        <v/>
      </c>
      <c r="LP1527" s="42" t="str">
        <f ca="1"/>
        <v/>
      </c>
      <c r="LQ1527" s="42" t="str">
        <f ca="1"/>
        <v/>
      </c>
      <c r="LR1527" s="42" t="str">
        <f ca="1"/>
        <v/>
      </c>
      <c r="LS1527" s="42" t="str">
        <f ca="1"/>
        <v/>
      </c>
      <c r="LT1527" s="42" t="str">
        <f ca="1"/>
        <v/>
      </c>
      <c r="LU1527" s="42" t="str">
        <f ca="1"/>
        <v/>
      </c>
      <c r="LV1527" s="42" t="str">
        <f ca="1"/>
        <v/>
      </c>
      <c r="LW1527" s="42" t="str">
        <f ca="1"/>
        <v/>
      </c>
      <c r="LX1527" s="42" t="str">
        <f ca="1"/>
        <v/>
      </c>
      <c r="LY1527" s="42" t="str">
        <f ca="1"/>
        <v/>
      </c>
      <c r="LZ1527" s="42" t="str">
        <f ca="1"/>
        <v/>
      </c>
      <c r="MA1527" s="42" t="str">
        <f ca="1"/>
        <v/>
      </c>
      <c r="MB1527" s="42" t="str">
        <f ca="1"/>
        <v/>
      </c>
      <c r="MC1527" s="42" t="str">
        <f ca="1"/>
        <v/>
      </c>
      <c r="MD1527" s="42" t="str">
        <f ca="1"/>
        <v/>
      </c>
      <c r="ME1527" s="42" t="str">
        <f ca="1"/>
        <v/>
      </c>
      <c r="MF1527" s="42" t="str">
        <f ca="1"/>
        <v/>
      </c>
      <c r="MG1527" s="42" t="str">
        <f ca="1"/>
        <v/>
      </c>
      <c r="MH1527" s="42" t="str">
        <f ca="1"/>
        <v/>
      </c>
      <c r="MI1527" s="42" t="str">
        <f ca="1"/>
        <v/>
      </c>
      <c r="MJ1527" s="42" t="str">
        <f ca="1"/>
        <v/>
      </c>
      <c r="MK1527" s="42" t="str">
        <f ca="1"/>
        <v/>
      </c>
      <c r="ML1527" s="42" t="str">
        <f ca="1"/>
        <v/>
      </c>
      <c r="MM1527" s="42" t="str">
        <f ca="1"/>
        <v/>
      </c>
      <c r="MN1527" s="42" t="str">
        <f ca="1"/>
        <v/>
      </c>
      <c r="MO1527" s="42" t="str">
        <f ca="1"/>
        <v/>
      </c>
      <c r="MP1527" s="42" t="str">
        <f ca="1"/>
        <v/>
      </c>
      <c r="MQ1527" s="42" t="str">
        <f ca="1"/>
        <v/>
      </c>
      <c r="MR1527" s="42" t="str">
        <f ca="1"/>
        <v/>
      </c>
      <c r="MS1527" s="42" t="str">
        <f ca="1"/>
        <v/>
      </c>
      <c r="MT1527" s="42" t="str">
        <f ca="1"/>
        <v/>
      </c>
      <c r="MU1527" s="42" t="str">
        <f ca="1"/>
        <v/>
      </c>
      <c r="MV1527" s="42" t="str">
        <f ca="1"/>
        <v/>
      </c>
      <c r="MW1527" s="42" t="str">
        <f ca="1"/>
        <v/>
      </c>
      <c r="MX1527" s="42" t="str">
        <f ca="1"/>
        <v/>
      </c>
      <c r="MY1527" s="42" t="str">
        <f ca="1"/>
        <v/>
      </c>
      <c r="MZ1527" s="42" t="str">
        <f ca="1"/>
        <v/>
      </c>
      <c r="NA1527" s="42" t="str">
        <f ca="1"/>
        <v/>
      </c>
      <c r="NB1527" s="42" t="str">
        <f ca="1"/>
        <v/>
      </c>
      <c r="NC1527" s="42" t="str">
        <f ca="1"/>
        <v/>
      </c>
      <c r="ND1527" s="42" t="str">
        <f ca="1"/>
        <v/>
      </c>
      <c r="NE1527" s="42" t="str">
        <f ca="1"/>
        <v/>
      </c>
      <c r="NF1527" s="42" t="str">
        <f ca="1"/>
        <v/>
      </c>
      <c r="NG1527" s="42" t="str">
        <f ca="1"/>
        <v/>
      </c>
      <c r="NH1527" s="42" t="str">
        <f ca="1"/>
        <v/>
      </c>
      <c r="NI1527" s="42" t="str">
        <f ca="1"/>
        <v/>
      </c>
      <c r="NJ1527" s="42" t="str">
        <f ca="1"/>
        <v/>
      </c>
      <c r="NK1527" s="42" t="str">
        <f ca="1"/>
        <v/>
      </c>
      <c r="NL1527" s="42" t="str">
        <f ca="1"/>
        <v/>
      </c>
      <c r="NM1527" s="42" t="str">
        <f ca="1"/>
        <v/>
      </c>
      <c r="NN1527" s="42" t="str">
        <f ca="1"/>
        <v/>
      </c>
      <c r="NO1527" s="42" t="str">
        <f ca="1"/>
        <v/>
      </c>
      <c r="NP1527" s="42" t="str">
        <f ca="1"/>
        <v/>
      </c>
      <c r="NQ1527" s="42" t="str">
        <f ca="1"/>
        <v/>
      </c>
      <c r="NR1527" s="42" t="str">
        <f ca="1"/>
        <v/>
      </c>
      <c r="NS1527" s="42" t="str">
        <f ca="1"/>
        <v/>
      </c>
      <c r="NT1527" s="42" t="str">
        <f ca="1"/>
        <v/>
      </c>
      <c r="NU1527" s="42" t="str">
        <f ca="1"/>
        <v/>
      </c>
      <c r="NV1527" s="42" t="str">
        <f ca="1"/>
        <v/>
      </c>
      <c r="NW1527" s="42" t="str">
        <f ca="1"/>
        <v/>
      </c>
      <c r="NX1527" s="42" t="str">
        <f ca="1"/>
        <v/>
      </c>
      <c r="NY1527" s="42" t="str">
        <f ca="1"/>
        <v/>
      </c>
      <c r="NZ1527" s="42" t="str">
        <f ca="1"/>
        <v/>
      </c>
      <c r="OA1527" s="42" t="str">
        <f ca="1"/>
        <v/>
      </c>
      <c r="OB1527" s="42" t="str">
        <f ca="1"/>
        <v/>
      </c>
      <c r="OC1527" s="42" t="str">
        <f ca="1"/>
        <v/>
      </c>
      <c r="OD1527" s="42" t="str">
        <f ca="1"/>
        <v/>
      </c>
      <c r="OE1527" s="42" t="str">
        <f ca="1"/>
        <v/>
      </c>
      <c r="OF1527" s="42" t="str">
        <f ca="1"/>
        <v/>
      </c>
      <c r="OG1527" s="42" t="str">
        <f ca="1"/>
        <v/>
      </c>
      <c r="OH1527" s="42" t="str">
        <f ca="1"/>
        <v/>
      </c>
      <c r="OI1527" s="42" t="str">
        <f ca="1"/>
        <v/>
      </c>
      <c r="OJ1527" s="42" t="str">
        <f ca="1"/>
        <v/>
      </c>
      <c r="OK1527" s="42" t="str">
        <f ca="1"/>
        <v/>
      </c>
      <c r="OL1527" s="42" t="str">
        <f ca="1"/>
        <v/>
      </c>
      <c r="OM1527" s="42" t="str">
        <f ca="1"/>
        <v/>
      </c>
      <c r="ON1527" s="42" t="str">
        <f ca="1"/>
        <v/>
      </c>
      <c r="OO1527" s="42" t="str">
        <f ca="1"/>
        <v/>
      </c>
      <c r="OP1527" s="42" t="str">
        <f ca="1"/>
        <v/>
      </c>
      <c r="OQ1527" s="42" t="str">
        <f ca="1"/>
        <v/>
      </c>
      <c r="OR1527" s="42" t="str">
        <f ca="1"/>
        <v/>
      </c>
      <c r="OS1527" s="42" t="str">
        <f ca="1"/>
        <v/>
      </c>
      <c r="OT1527" s="42" t="str">
        <f ca="1"/>
        <v/>
      </c>
      <c r="OU1527" s="42" t="str">
        <f ca="1"/>
        <v/>
      </c>
      <c r="OV1527" s="42" t="str">
        <f ca="1"/>
        <v/>
      </c>
      <c r="OW1527" s="42" t="str">
        <f ca="1"/>
        <v/>
      </c>
      <c r="OX1527" s="42" t="str">
        <f ca="1"/>
        <v/>
      </c>
      <c r="OY1527" s="42" t="str">
        <f ca="1"/>
        <v/>
      </c>
      <c r="OZ1527" s="42" t="str">
        <f ca="1"/>
        <v/>
      </c>
      <c r="PA1527" s="42" t="str">
        <f ca="1"/>
        <v/>
      </c>
      <c r="PB1527" s="42" t="str">
        <f ca="1"/>
        <v/>
      </c>
      <c r="PC1527" s="42" t="str">
        <f ca="1"/>
        <v/>
      </c>
      <c r="PD1527" s="42" t="str">
        <f ca="1"/>
        <v/>
      </c>
      <c r="PE1527" s="42" t="str">
        <f ca="1"/>
        <v/>
      </c>
      <c r="PF1527" s="42" t="str">
        <f ca="1"/>
        <v/>
      </c>
      <c r="PG1527" s="42" t="str">
        <f ca="1"/>
        <v/>
      </c>
      <c r="PH1527" s="42" t="str">
        <f ca="1"/>
        <v/>
      </c>
      <c r="PI1527" s="42" t="str">
        <f ca="1"/>
        <v/>
      </c>
      <c r="PJ1527" s="42" t="str">
        <f ca="1"/>
        <v/>
      </c>
      <c r="PK1527" s="42" t="str">
        <f ca="1"/>
        <v/>
      </c>
      <c r="PL1527" s="42" t="str">
        <f ca="1"/>
        <v/>
      </c>
      <c r="PM1527" s="42" t="str">
        <f ca="1"/>
        <v/>
      </c>
      <c r="PN1527" s="42" t="str">
        <f ca="1"/>
        <v/>
      </c>
      <c r="PO1527" s="42" t="str">
        <f ca="1"/>
        <v/>
      </c>
      <c r="PP1527" s="42" t="str">
        <f ca="1"/>
        <v/>
      </c>
      <c r="PQ1527" s="42" t="str">
        <f ca="1"/>
        <v/>
      </c>
      <c r="PR1527" s="42" t="str">
        <f ca="1"/>
        <v/>
      </c>
      <c r="PS1527" s="42" t="str">
        <f ca="1"/>
        <v/>
      </c>
      <c r="PT1527" s="42" t="str">
        <f ca="1"/>
        <v/>
      </c>
      <c r="PU1527" s="42" t="str">
        <f ca="1"/>
        <v/>
      </c>
      <c r="PV1527" s="42" t="str">
        <f ca="1"/>
        <v/>
      </c>
      <c r="PW1527" s="42" t="str">
        <f ca="1"/>
        <v/>
      </c>
      <c r="PX1527" s="42" t="str">
        <f ca="1"/>
        <v/>
      </c>
      <c r="PY1527" s="42" t="str">
        <f ca="1"/>
        <v/>
      </c>
      <c r="PZ1527" s="42" t="str">
        <f ca="1"/>
        <v/>
      </c>
      <c r="QA1527" s="42" t="str">
        <f ca="1"/>
        <v/>
      </c>
      <c r="QB1527" s="42" t="str">
        <f ca="1"/>
        <v/>
      </c>
      <c r="QC1527" s="42" t="str">
        <f ca="1"/>
        <v/>
      </c>
      <c r="QD1527" s="42" t="str">
        <f ca="1"/>
        <v/>
      </c>
      <c r="QE1527" s="42" t="str">
        <f ca="1"/>
        <v/>
      </c>
      <c r="QF1527" s="42" t="str">
        <f ca="1"/>
        <v/>
      </c>
      <c r="QG1527" s="42" t="str">
        <f ca="1"/>
        <v/>
      </c>
      <c r="QH1527" s="42" t="str">
        <f ca="1"/>
        <v/>
      </c>
      <c r="QI1527" s="42" t="str">
        <f ca="1"/>
        <v/>
      </c>
      <c r="QJ1527" s="42" t="str">
        <f ca="1"/>
        <v/>
      </c>
      <c r="QK1527" s="42" t="str">
        <f ca="1"/>
        <v/>
      </c>
      <c r="QL1527" s="42" t="str">
        <f ca="1"/>
        <v/>
      </c>
      <c r="QM1527" s="42" t="str">
        <f ca="1"/>
        <v/>
      </c>
      <c r="QN1527" s="42" t="str">
        <f ca="1"/>
        <v/>
      </c>
      <c r="QO1527" s="42" t="str">
        <f ca="1"/>
        <v/>
      </c>
      <c r="QP1527" s="42" t="str">
        <f ca="1"/>
        <v/>
      </c>
      <c r="QQ1527" s="42" t="str">
        <f ca="1"/>
        <v/>
      </c>
      <c r="QR1527" s="42" t="str">
        <f ca="1"/>
        <v/>
      </c>
      <c r="QS1527" s="42" t="str">
        <f ca="1"/>
        <v/>
      </c>
      <c r="QT1527" s="42" t="str">
        <f ca="1"/>
        <v/>
      </c>
      <c r="QU1527" s="42" t="str">
        <f ca="1"/>
        <v/>
      </c>
      <c r="QV1527" s="42" t="str">
        <f ca="1"/>
        <v/>
      </c>
      <c r="QW1527" s="42" t="str">
        <f ca="1"/>
        <v/>
      </c>
      <c r="QX1527" s="42" t="str">
        <f ca="1"/>
        <v/>
      </c>
      <c r="QY1527" s="42" t="str">
        <f ca="1"/>
        <v/>
      </c>
      <c r="QZ1527" s="42" t="str">
        <f ca="1"/>
        <v/>
      </c>
      <c r="RA1527" s="42" t="str">
        <f ca="1"/>
        <v/>
      </c>
      <c r="RB1527" s="42" t="str">
        <f ca="1"/>
        <v/>
      </c>
      <c r="RC1527" s="42" t="str">
        <f ca="1"/>
        <v/>
      </c>
      <c r="RD1527" s="42" t="str">
        <f ca="1"/>
        <v/>
      </c>
      <c r="RE1527" s="42" t="str">
        <f ca="1"/>
        <v/>
      </c>
      <c r="RF1527" s="42" t="str">
        <f ca="1"/>
        <v/>
      </c>
      <c r="RG1527" s="42" t="str">
        <f ca="1"/>
        <v/>
      </c>
      <c r="RH1527" s="42" t="str">
        <f ca="1"/>
        <v/>
      </c>
      <c r="RI1527" s="42" t="str">
        <f ca="1"/>
        <v/>
      </c>
      <c r="RJ1527" s="42" t="str">
        <f ca="1"/>
        <v/>
      </c>
      <c r="RK1527" s="42" t="str">
        <f ca="1"/>
        <v/>
      </c>
      <c r="RL1527" s="42" t="str">
        <f ca="1"/>
        <v/>
      </c>
      <c r="RM1527" s="42" t="str">
        <f ca="1"/>
        <v/>
      </c>
      <c r="RN1527" s="42" t="str">
        <f ca="1"/>
        <v/>
      </c>
      <c r="RO1527" s="42" t="str">
        <f ca="1"/>
        <v/>
      </c>
      <c r="RP1527" s="42" t="str">
        <f ca="1"/>
        <v/>
      </c>
      <c r="RQ1527" s="42" t="str">
        <f ca="1"/>
        <v/>
      </c>
      <c r="RR1527" s="42" t="str">
        <f ca="1"/>
        <v/>
      </c>
      <c r="RS1527" s="42" t="str">
        <f ca="1"/>
        <v/>
      </c>
      <c r="RT1527" s="42" t="str">
        <f ca="1"/>
        <v/>
      </c>
      <c r="RU1527" s="42" t="str">
        <f ca="1"/>
        <v/>
      </c>
      <c r="RV1527" s="42" t="str">
        <f ca="1"/>
        <v/>
      </c>
      <c r="RW1527" s="42" t="str">
        <f ca="1"/>
        <v/>
      </c>
      <c r="RX1527" s="42" t="str">
        <f ca="1"/>
        <v/>
      </c>
      <c r="RY1527" s="42" t="str">
        <f ca="1"/>
        <v/>
      </c>
      <c r="RZ1527" s="42" t="str">
        <f ca="1"/>
        <v/>
      </c>
      <c r="SA1527" s="42" t="str">
        <f ca="1"/>
        <v/>
      </c>
      <c r="SB1527" s="42" t="str">
        <f ca="1"/>
        <v/>
      </c>
      <c r="SC1527" s="42" t="str">
        <f ca="1"/>
        <v/>
      </c>
      <c r="SD1527" s="42" t="str">
        <f ca="1"/>
        <v/>
      </c>
      <c r="SE1527" s="42" t="str">
        <f ca="1"/>
        <v/>
      </c>
      <c r="SF1527" s="42" t="str">
        <f ca="1"/>
        <v/>
      </c>
      <c r="SG1527" s="42" t="str">
        <f ca="1"/>
        <v/>
      </c>
      <c r="SH1527" s="42" t="str">
        <f ca="1"/>
        <v/>
      </c>
      <c r="SI1527" s="42" t="str">
        <f ca="1"/>
        <v/>
      </c>
      <c r="SJ1527" s="42" t="str">
        <f ca="1"/>
        <v/>
      </c>
      <c r="SK1527" s="42" t="str">
        <f ca="1"/>
        <v/>
      </c>
      <c r="SL1527" s="42" t="str">
        <f ca="1"/>
        <v/>
      </c>
      <c r="SM1527" s="42" t="str">
        <f ca="1"/>
        <v/>
      </c>
      <c r="SN1527" s="42" t="str">
        <f ca="1"/>
        <v/>
      </c>
      <c r="SO1527" s="42" t="str">
        <f ca="1"/>
        <v/>
      </c>
      <c r="SP1527" s="42" t="str">
        <f ca="1"/>
        <v/>
      </c>
      <c r="SQ1527" s="42" t="str">
        <f ca="1"/>
        <v/>
      </c>
      <c r="SR1527" s="42" t="str">
        <f ca="1"/>
        <v/>
      </c>
      <c r="SS1527" s="42" t="str">
        <f ca="1"/>
        <v/>
      </c>
      <c r="ST1527" s="42" t="str">
        <f ca="1"/>
        <v/>
      </c>
      <c r="SU1527" s="42" t="str">
        <f ca="1"/>
        <v/>
      </c>
      <c r="SV1527" s="42" t="str">
        <f ca="1"/>
        <v/>
      </c>
      <c r="SW1527" s="42" t="str">
        <f ca="1"/>
        <v/>
      </c>
      <c r="SX1527" s="42" t="str">
        <f ca="1"/>
        <v/>
      </c>
      <c r="SY1527" s="42" t="str">
        <f ca="1"/>
        <v/>
      </c>
      <c r="SZ1527" s="42" t="str">
        <f ca="1"/>
        <v/>
      </c>
      <c r="TA1527" s="42" t="str">
        <f ca="1"/>
        <v/>
      </c>
      <c r="TB1527" s="42" t="str">
        <f ca="1"/>
        <v/>
      </c>
      <c r="TC1527" s="42" t="str">
        <f ca="1"/>
        <v/>
      </c>
      <c r="TD1527" s="42" t="str">
        <f ca="1"/>
        <v/>
      </c>
      <c r="TE1527" s="42" t="str">
        <f ca="1"/>
        <v/>
      </c>
      <c r="TF1527" s="42" t="str">
        <f ca="1"/>
        <v/>
      </c>
      <c r="TG1527" s="42" t="str">
        <f ca="1"/>
        <v/>
      </c>
      <c r="TH1527" s="42" t="str">
        <f ca="1"/>
        <v/>
      </c>
      <c r="TI1527" s="42" t="str">
        <f ca="1"/>
        <v/>
      </c>
      <c r="TJ1527" s="42" t="str">
        <f ca="1"/>
        <v/>
      </c>
      <c r="TK1527" s="42" t="str">
        <f ca="1"/>
        <v/>
      </c>
      <c r="TL1527" s="42" t="str">
        <f ca="1"/>
        <v/>
      </c>
      <c r="TM1527" s="42" t="str">
        <f ca="1"/>
        <v/>
      </c>
      <c r="TN1527" s="42" t="str">
        <f ca="1"/>
        <v/>
      </c>
      <c r="TO1527" s="42" t="str">
        <f ca="1"/>
        <v/>
      </c>
      <c r="TP1527" s="42" t="str">
        <f ca="1"/>
        <v/>
      </c>
      <c r="TQ1527" s="42" t="str">
        <f ca="1"/>
        <v/>
      </c>
      <c r="TR1527" s="42" t="str">
        <f ca="1"/>
        <v/>
      </c>
      <c r="TS1527" s="42" t="str">
        <f ca="1"/>
        <v/>
      </c>
      <c r="TT1527" s="42" t="str">
        <f ca="1"/>
        <v/>
      </c>
      <c r="TU1527" s="42" t="str">
        <f ca="1"/>
        <v/>
      </c>
      <c r="TV1527" s="42" t="str">
        <f ca="1"/>
        <v/>
      </c>
      <c r="TW1527" s="42" t="str">
        <f ca="1"/>
        <v/>
      </c>
      <c r="TX1527" s="42" t="str">
        <f ca="1"/>
        <v/>
      </c>
      <c r="TY1527" s="42" t="str">
        <f ca="1"/>
        <v/>
      </c>
      <c r="TZ1527" s="42" t="str">
        <f ca="1"/>
        <v/>
      </c>
      <c r="UA1527" s="42" t="str">
        <f ca="1"/>
        <v/>
      </c>
      <c r="UB1527" s="42" t="str">
        <f ca="1"/>
        <v/>
      </c>
      <c r="UC1527" s="42" t="str">
        <f ca="1"/>
        <v/>
      </c>
      <c r="UD1527" s="42" t="str">
        <f ca="1"/>
        <v/>
      </c>
      <c r="UE1527" s="42" t="str">
        <f ca="1"/>
        <v/>
      </c>
      <c r="UF1527" s="42" t="str">
        <f ca="1"/>
        <v/>
      </c>
      <c r="UG1527" s="42" t="str">
        <f ca="1"/>
        <v/>
      </c>
      <c r="UH1527" s="42" t="str">
        <f ca="1"/>
        <v/>
      </c>
      <c r="UI1527" s="42" t="str">
        <f ca="1"/>
        <v/>
      </c>
      <c r="UJ1527" s="42" t="str">
        <f ca="1"/>
        <v/>
      </c>
      <c r="UK1527" s="42" t="str">
        <f ca="1"/>
        <v/>
      </c>
      <c r="UL1527" s="42" t="str">
        <f ca="1"/>
        <v/>
      </c>
      <c r="UM1527" s="42" t="str">
        <f ca="1"/>
        <v/>
      </c>
      <c r="UN1527" s="42" t="str">
        <f ca="1"/>
        <v/>
      </c>
      <c r="UO1527" s="42" t="str">
        <f ca="1"/>
        <v/>
      </c>
      <c r="UP1527" s="42" t="str">
        <f ca="1"/>
        <v/>
      </c>
      <c r="UQ1527" s="42" t="str">
        <f ca="1"/>
        <v/>
      </c>
      <c r="UR1527" s="42" t="str">
        <f ca="1"/>
        <v/>
      </c>
      <c r="US1527" s="42" t="str">
        <f ca="1"/>
        <v/>
      </c>
      <c r="UT1527" s="42" t="str">
        <f ca="1"/>
        <v/>
      </c>
      <c r="UU1527" s="42" t="str">
        <f ca="1"/>
        <v/>
      </c>
      <c r="UV1527" s="42" t="str">
        <f ca="1"/>
        <v/>
      </c>
      <c r="UW1527" s="42" t="str">
        <f ca="1"/>
        <v/>
      </c>
      <c r="UX1527" s="42" t="str">
        <f ca="1"/>
        <v/>
      </c>
      <c r="UY1527" s="42" t="str">
        <f ca="1"/>
        <v/>
      </c>
      <c r="UZ1527" s="42" t="str">
        <f ca="1"/>
        <v/>
      </c>
      <c r="VA1527" s="42" t="str">
        <f ca="1"/>
        <v/>
      </c>
      <c r="VB1527" s="42" t="str">
        <f ca="1"/>
        <v/>
      </c>
      <c r="VC1527" s="42" t="str">
        <f ca="1"/>
        <v/>
      </c>
      <c r="VD1527" s="42" t="str">
        <f ca="1"/>
        <v/>
      </c>
      <c r="VE1527" s="42" t="str">
        <f ca="1"/>
        <v/>
      </c>
      <c r="VF1527" s="42" t="str">
        <f ca="1"/>
        <v/>
      </c>
      <c r="VG1527" s="42" t="str">
        <f ca="1"/>
        <v/>
      </c>
      <c r="VH1527" s="42" t="str">
        <f ca="1"/>
        <v/>
      </c>
      <c r="VI1527" s="42" t="str">
        <f ca="1"/>
        <v/>
      </c>
      <c r="VJ1527" s="42" t="str">
        <f ca="1"/>
        <v/>
      </c>
      <c r="VK1527" s="42" t="str">
        <f ca="1"/>
        <v/>
      </c>
      <c r="VL1527" s="42" t="str">
        <f ca="1"/>
        <v/>
      </c>
      <c r="VM1527" s="42" t="str">
        <f ca="1"/>
        <v/>
      </c>
      <c r="VN1527" s="42" t="str">
        <f ca="1"/>
        <v/>
      </c>
      <c r="VO1527" s="42" t="str">
        <f ca="1"/>
        <v/>
      </c>
      <c r="VP1527" s="42" t="str">
        <f ca="1"/>
        <v/>
      </c>
      <c r="VQ1527" s="42" t="str">
        <f ca="1"/>
        <v/>
      </c>
      <c r="VR1527" s="42" t="str">
        <f ca="1"/>
        <v/>
      </c>
      <c r="VS1527" s="42" t="str">
        <f ca="1"/>
        <v/>
      </c>
      <c r="VT1527" s="42" t="str">
        <f ca="1"/>
        <v/>
      </c>
      <c r="VU1527" s="42" t="str">
        <f ca="1"/>
        <v/>
      </c>
      <c r="VV1527" s="42" t="str">
        <f ca="1"/>
        <v/>
      </c>
      <c r="VW1527" s="42" t="str">
        <f ca="1"/>
        <v/>
      </c>
      <c r="VX1527" s="42" t="str">
        <f ca="1"/>
        <v/>
      </c>
      <c r="VY1527" s="42" t="str">
        <f ca="1"/>
        <v/>
      </c>
      <c r="VZ1527" s="42" t="str">
        <f ca="1"/>
        <v/>
      </c>
      <c r="WA1527" s="42" t="str">
        <f ca="1"/>
        <v/>
      </c>
      <c r="WB1527" s="42" t="str">
        <f ca="1"/>
        <v/>
      </c>
      <c r="WC1527" s="42" t="str">
        <f ca="1"/>
        <v/>
      </c>
      <c r="WD1527" s="42" t="str">
        <f ca="1"/>
        <v/>
      </c>
      <c r="WE1527" s="42" t="str">
        <f ca="1"/>
        <v/>
      </c>
      <c r="WF1527" s="42" t="str">
        <f ca="1"/>
        <v/>
      </c>
      <c r="WG1527" s="42" t="str">
        <f ca="1"/>
        <v/>
      </c>
      <c r="WH1527" s="42" t="str">
        <f ca="1"/>
        <v/>
      </c>
      <c r="WI1527" s="42" t="str">
        <f ca="1"/>
        <v/>
      </c>
      <c r="WJ1527" s="42" t="str">
        <f ca="1"/>
        <v/>
      </c>
      <c r="WK1527" s="42" t="str">
        <f ca="1"/>
        <v/>
      </c>
      <c r="WL1527" s="42" t="str">
        <f ca="1"/>
        <v/>
      </c>
      <c r="WM1527" s="42" t="str">
        <f ca="1"/>
        <v/>
      </c>
      <c r="WN1527" s="42" t="str">
        <f ca="1"/>
        <v/>
      </c>
      <c r="WO1527" s="42" t="str">
        <f ca="1"/>
        <v/>
      </c>
      <c r="WP1527" s="42" t="str">
        <f ca="1"/>
        <v/>
      </c>
      <c r="WQ1527" s="42" t="str">
        <f ca="1"/>
        <v/>
      </c>
      <c r="WR1527" s="42" t="str">
        <f ca="1"/>
        <v/>
      </c>
      <c r="WS1527" s="42" t="str">
        <f ca="1"/>
        <v/>
      </c>
      <c r="WT1527" s="42" t="str">
        <f ca="1"/>
        <v/>
      </c>
      <c r="WU1527" s="42" t="str">
        <f ca="1"/>
        <v/>
      </c>
      <c r="WV1527" s="42" t="str">
        <f ca="1"/>
        <v/>
      </c>
      <c r="WW1527" s="42" t="str">
        <f ca="1"/>
        <v/>
      </c>
      <c r="WX1527" s="42" t="str">
        <f ca="1"/>
        <v/>
      </c>
      <c r="WY1527" s="42" t="str">
        <f ca="1"/>
        <v/>
      </c>
      <c r="WZ1527" s="42" t="str">
        <f ca="1"/>
        <v/>
      </c>
      <c r="XA1527" s="42" t="str">
        <f ca="1"/>
        <v/>
      </c>
      <c r="XB1527" s="42" t="str">
        <f ca="1"/>
        <v/>
      </c>
      <c r="XC1527" s="42" t="str">
        <f ca="1"/>
        <v/>
      </c>
      <c r="XD1527" s="42" t="str">
        <f ca="1"/>
        <v/>
      </c>
      <c r="XE1527" s="42" t="str">
        <f ca="1"/>
        <v/>
      </c>
      <c r="XF1527" s="42" t="str">
        <f ca="1"/>
        <v/>
      </c>
      <c r="XG1527" s="42" t="str">
        <f ca="1"/>
        <v/>
      </c>
      <c r="XH1527" s="42" t="str">
        <f ca="1"/>
        <v/>
      </c>
      <c r="XI1527" s="42" t="str">
        <f ca="1"/>
        <v/>
      </c>
      <c r="XJ1527" s="42" t="str">
        <f ca="1"/>
        <v/>
      </c>
      <c r="XK1527" s="42" t="str">
        <f ca="1"/>
        <v/>
      </c>
      <c r="XL1527" s="42" t="str">
        <f ca="1"/>
        <v/>
      </c>
      <c r="XM1527" s="42" t="str">
        <f ca="1"/>
        <v/>
      </c>
      <c r="XN1527" s="42" t="str">
        <f ca="1"/>
        <v/>
      </c>
      <c r="XO1527" s="42" t="str">
        <f ca="1"/>
        <v/>
      </c>
      <c r="XP1527" s="42" t="str">
        <f ca="1"/>
        <v/>
      </c>
      <c r="XQ1527" s="42" t="str">
        <f ca="1"/>
        <v/>
      </c>
      <c r="XR1527" s="42" t="str">
        <f ca="1"/>
        <v/>
      </c>
      <c r="XS1527" s="42" t="str">
        <f ca="1"/>
        <v/>
      </c>
      <c r="XT1527" s="42" t="str">
        <f ca="1"/>
        <v/>
      </c>
      <c r="XU1527" s="42" t="str">
        <f ca="1"/>
        <v/>
      </c>
      <c r="XV1527" s="42" t="str">
        <f ca="1"/>
        <v/>
      </c>
      <c r="XW1527" s="42" t="str">
        <f ca="1"/>
        <v/>
      </c>
      <c r="XX1527" s="42" t="str">
        <f ca="1"/>
        <v/>
      </c>
      <c r="XY1527" s="42" t="str">
        <f ca="1"/>
        <v/>
      </c>
      <c r="XZ1527" s="42" t="str">
        <f ca="1"/>
        <v/>
      </c>
      <c r="YA1527" s="42" t="str">
        <f ca="1"/>
        <v/>
      </c>
      <c r="YB1527" s="42" t="str">
        <f ca="1"/>
        <v/>
      </c>
      <c r="YC1527" s="42" t="str">
        <f ca="1"/>
        <v/>
      </c>
      <c r="YD1527" s="42" t="str">
        <f ca="1"/>
        <v/>
      </c>
      <c r="YE1527" s="42" t="str">
        <f ca="1"/>
        <v/>
      </c>
      <c r="YF1527" s="42" t="str">
        <f ca="1"/>
        <v/>
      </c>
      <c r="YG1527" s="42" t="str">
        <f ca="1"/>
        <v/>
      </c>
      <c r="YH1527" s="42" t="str">
        <f ca="1"/>
        <v/>
      </c>
      <c r="YI1527" s="42" t="str">
        <f ca="1"/>
        <v/>
      </c>
      <c r="YJ1527" s="42" t="str">
        <f ca="1"/>
        <v/>
      </c>
      <c r="YK1527" s="42" t="str">
        <f ca="1"/>
        <v/>
      </c>
      <c r="YL1527" s="42" t="str">
        <f ca="1"/>
        <v/>
      </c>
      <c r="YM1527" s="42" t="str">
        <f ca="1"/>
        <v/>
      </c>
      <c r="YN1527" s="42" t="str">
        <f ca="1"/>
        <v/>
      </c>
      <c r="YO1527" s="42" t="str">
        <f ca="1"/>
        <v/>
      </c>
      <c r="YP1527" s="42" t="str">
        <f ca="1"/>
        <v/>
      </c>
      <c r="YQ1527" s="42" t="str">
        <f ca="1"/>
        <v/>
      </c>
      <c r="YR1527" s="42" t="str">
        <f ca="1"/>
        <v/>
      </c>
      <c r="YS1527" s="42" t="str">
        <f ca="1"/>
        <v/>
      </c>
      <c r="YT1527" s="42" t="str">
        <f ca="1"/>
        <v/>
      </c>
      <c r="YU1527" s="42" t="str">
        <f ca="1"/>
        <v/>
      </c>
      <c r="YV1527" s="42" t="str">
        <f ca="1"/>
        <v/>
      </c>
      <c r="YW1527" s="42" t="str">
        <f ca="1"/>
        <v/>
      </c>
      <c r="YX1527" s="42" t="str">
        <f ca="1"/>
        <v/>
      </c>
      <c r="YY1527" s="42" t="str">
        <f ca="1"/>
        <v/>
      </c>
      <c r="YZ1527" s="42" t="str">
        <f ca="1"/>
        <v/>
      </c>
      <c r="ZA1527" s="42" t="str">
        <f ca="1"/>
        <v/>
      </c>
      <c r="ZB1527" s="42" t="str">
        <f ca="1"/>
        <v/>
      </c>
      <c r="ZC1527" s="42" t="str">
        <f ca="1"/>
        <v/>
      </c>
      <c r="ZD1527" s="42" t="str">
        <f ca="1"/>
        <v/>
      </c>
      <c r="ZE1527" s="42" t="str">
        <f ca="1"/>
        <v/>
      </c>
      <c r="ZF1527" s="42" t="str">
        <f ca="1"/>
        <v/>
      </c>
      <c r="ZG1527" s="42" t="str">
        <f ca="1"/>
        <v/>
      </c>
      <c r="ZH1527" s="42" t="str">
        <f ca="1"/>
        <v/>
      </c>
      <c r="ZI1527" s="42" t="str">
        <f ca="1"/>
        <v/>
      </c>
      <c r="ZJ1527" s="42" t="str">
        <f ca="1"/>
        <v/>
      </c>
      <c r="ZK1527" s="42" t="str">
        <f ca="1"/>
        <v/>
      </c>
      <c r="ZL1527" s="42" t="str">
        <f ca="1"/>
        <v/>
      </c>
      <c r="ZM1527" s="42" t="str">
        <f ca="1"/>
        <v/>
      </c>
      <c r="ZN1527" s="42" t="str">
        <f ca="1"/>
        <v/>
      </c>
      <c r="ZO1527" s="42" t="str">
        <f ca="1"/>
        <v/>
      </c>
      <c r="ZP1527" s="42" t="str">
        <f ca="1"/>
        <v/>
      </c>
      <c r="ZQ1527" s="42" t="str">
        <f ca="1"/>
        <v/>
      </c>
      <c r="ZR1527" s="42" t="str">
        <f ca="1"/>
        <v/>
      </c>
      <c r="ZS1527" s="42" t="str">
        <f ca="1"/>
        <v/>
      </c>
      <c r="ZT1527" s="42" t="str">
        <f ca="1"/>
        <v/>
      </c>
      <c r="ZU1527" s="42" t="str">
        <f ca="1"/>
        <v/>
      </c>
      <c r="ZV1527" s="42" t="str">
        <f ca="1"/>
        <v/>
      </c>
      <c r="ZW1527" s="42" t="str">
        <f ca="1"/>
        <v/>
      </c>
      <c r="ZX1527" s="42" t="str">
        <f ca="1"/>
        <v/>
      </c>
      <c r="ZY1527" s="42" t="str">
        <f ca="1"/>
        <v/>
      </c>
      <c r="ZZ1527" s="42" t="str">
        <f ca="1"/>
        <v/>
      </c>
      <c r="AAA1527" s="42" t="str">
        <f ca="1"/>
        <v/>
      </c>
      <c r="AAB1527" s="42" t="str">
        <f ca="1"/>
        <v/>
      </c>
      <c r="AAC1527" s="42" t="str">
        <f ca="1"/>
        <v/>
      </c>
      <c r="AAD1527" s="42" t="str">
        <f ca="1"/>
        <v/>
      </c>
      <c r="AAE1527" s="42" t="str">
        <f ca="1"/>
        <v/>
      </c>
      <c r="AAF1527" s="42" t="str">
        <f ca="1"/>
        <v/>
      </c>
      <c r="AAG1527" s="42" t="str">
        <f ca="1"/>
        <v/>
      </c>
      <c r="AAH1527" s="42" t="str">
        <f ca="1"/>
        <v/>
      </c>
      <c r="AAI1527" s="42" t="str">
        <f ca="1"/>
        <v/>
      </c>
      <c r="AAJ1527" s="42" t="str">
        <f ca="1"/>
        <v/>
      </c>
      <c r="AAK1527" s="42" t="str">
        <f ca="1"/>
        <v/>
      </c>
      <c r="AAL1527" s="42" t="str">
        <f ca="1"/>
        <v/>
      </c>
      <c r="AAM1527" s="42" t="str">
        <f ca="1"/>
        <v/>
      </c>
      <c r="AAN1527" s="42" t="str">
        <f ca="1"/>
        <v/>
      </c>
      <c r="AAO1527" s="42" t="str">
        <f ca="1"/>
        <v/>
      </c>
      <c r="AAP1527" s="42" t="str">
        <f ca="1"/>
        <v/>
      </c>
      <c r="AAQ1527" s="42" t="str">
        <f ca="1"/>
        <v/>
      </c>
      <c r="AAR1527" s="42" t="str">
        <f ca="1"/>
        <v/>
      </c>
      <c r="AAS1527" s="42" t="str">
        <f ca="1"/>
        <v/>
      </c>
      <c r="AAT1527" s="42" t="str">
        <f ca="1"/>
        <v/>
      </c>
      <c r="AAU1527" s="42" t="str">
        <f ca="1"/>
        <v/>
      </c>
      <c r="AAV1527" s="42" t="str">
        <f ca="1"/>
        <v/>
      </c>
      <c r="AAW1527" s="42" t="str">
        <f ca="1"/>
        <v/>
      </c>
      <c r="AAX1527" s="42" t="str">
        <f ca="1"/>
        <v/>
      </c>
      <c r="AAY1527" s="42" t="str">
        <f ca="1"/>
        <v/>
      </c>
      <c r="AAZ1527" s="42" t="str">
        <f ca="1"/>
        <v/>
      </c>
      <c r="ABA1527" s="42" t="str">
        <f ca="1"/>
        <v/>
      </c>
      <c r="ABB1527" s="42" t="str">
        <f ca="1"/>
        <v/>
      </c>
      <c r="ABC1527" s="42" t="str">
        <f ca="1"/>
        <v/>
      </c>
      <c r="ABD1527" s="42" t="str">
        <f ca="1"/>
        <v/>
      </c>
      <c r="ABE1527" s="42" t="str">
        <f ca="1"/>
        <v/>
      </c>
      <c r="ABF1527" s="42" t="str">
        <f ca="1"/>
        <v/>
      </c>
      <c r="ABG1527" s="42" t="str">
        <f ca="1"/>
        <v/>
      </c>
      <c r="ABH1527" s="42" t="str">
        <f ca="1"/>
        <v/>
      </c>
      <c r="ABI1527" s="42" t="str">
        <f ca="1"/>
        <v/>
      </c>
      <c r="ABJ1527" s="42" t="str">
        <f ca="1"/>
        <v/>
      </c>
      <c r="ABK1527" s="42" t="str">
        <f ca="1"/>
        <v/>
      </c>
      <c r="ABL1527" s="42" t="str">
        <f ca="1"/>
        <v/>
      </c>
      <c r="ABM1527" s="42" t="str">
        <f ca="1"/>
        <v/>
      </c>
      <c r="ABN1527" s="42" t="str">
        <f ca="1"/>
        <v/>
      </c>
      <c r="ABO1527" s="42" t="str">
        <f ca="1"/>
        <v/>
      </c>
      <c r="ABP1527" s="42" t="str">
        <f ca="1"/>
        <v/>
      </c>
      <c r="ABQ1527" s="42" t="str">
        <f ca="1"/>
        <v/>
      </c>
      <c r="ABR1527" s="42" t="str">
        <f ca="1"/>
        <v/>
      </c>
      <c r="ABS1527" s="42" t="str">
        <f ca="1"/>
        <v/>
      </c>
      <c r="ABT1527" s="42" t="str">
        <f ca="1"/>
        <v/>
      </c>
      <c r="ABU1527" s="42" t="str">
        <f ca="1"/>
        <v/>
      </c>
      <c r="ABV1527" s="42" t="str">
        <f ca="1"/>
        <v/>
      </c>
      <c r="ABW1527" s="42" t="str">
        <f ca="1"/>
        <v/>
      </c>
      <c r="ABX1527" s="42" t="str">
        <f ca="1"/>
        <v/>
      </c>
      <c r="ABY1527" s="42" t="str">
        <f ca="1"/>
        <v/>
      </c>
      <c r="ABZ1527" s="42" t="str">
        <f ca="1"/>
        <v/>
      </c>
      <c r="ACA1527" s="42" t="str">
        <f ca="1"/>
        <v/>
      </c>
      <c r="ACB1527" s="42" t="str">
        <f ca="1"/>
        <v/>
      </c>
      <c r="ACC1527" s="42" t="str">
        <f ca="1"/>
        <v/>
      </c>
      <c r="ACD1527" s="42" t="str">
        <f ca="1"/>
        <v/>
      </c>
      <c r="ACE1527" s="42" t="str">
        <f ca="1"/>
        <v/>
      </c>
      <c r="ACF1527" s="42" t="str">
        <f ca="1"/>
        <v/>
      </c>
      <c r="ACG1527" s="42" t="str">
        <f ca="1"/>
        <v/>
      </c>
      <c r="ACH1527" s="42" t="str">
        <f ca="1"/>
        <v/>
      </c>
      <c r="ACI1527" s="42" t="str">
        <f ca="1"/>
        <v/>
      </c>
      <c r="ACJ1527" s="42" t="str">
        <f ca="1"/>
        <v/>
      </c>
      <c r="ACK1527" s="42" t="str">
        <f ca="1"/>
        <v/>
      </c>
      <c r="ACL1527" s="42" t="str">
        <f ca="1"/>
        <v/>
      </c>
      <c r="ACM1527" s="42" t="str">
        <f ca="1"/>
        <v/>
      </c>
      <c r="ACN1527" s="42" t="str">
        <f ca="1"/>
        <v/>
      </c>
      <c r="ACO1527" s="42" t="str">
        <f ca="1"/>
        <v/>
      </c>
      <c r="ACP1527" s="42" t="str">
        <f ca="1"/>
        <v/>
      </c>
      <c r="ACQ1527" s="42" t="str">
        <f ca="1"/>
        <v/>
      </c>
      <c r="ACR1527" s="42" t="str">
        <f ca="1"/>
        <v/>
      </c>
      <c r="ACS1527" s="42" t="str">
        <f ca="1"/>
        <v/>
      </c>
      <c r="ACT1527" s="42" t="str">
        <f ca="1"/>
        <v/>
      </c>
      <c r="ACU1527" s="42" t="str">
        <f ca="1"/>
        <v/>
      </c>
      <c r="ACV1527" s="42" t="str">
        <f ca="1"/>
        <v/>
      </c>
      <c r="ACW1527" s="42" t="str">
        <f ca="1"/>
        <v/>
      </c>
      <c r="ACX1527" s="42" t="str">
        <f ca="1"/>
        <v/>
      </c>
      <c r="ACY1527" s="42" t="str">
        <f ca="1"/>
        <v/>
      </c>
      <c r="ACZ1527" s="42" t="str">
        <f ca="1"/>
        <v/>
      </c>
      <c r="ADA1527" s="42" t="str">
        <f ca="1"/>
        <v/>
      </c>
      <c r="ADB1527" s="42" t="str">
        <f ca="1"/>
        <v/>
      </c>
      <c r="ADC1527" s="42" t="str">
        <f ca="1"/>
        <v/>
      </c>
      <c r="ADD1527" s="42" t="str">
        <f ca="1"/>
        <v/>
      </c>
      <c r="ADE1527" s="42" t="str">
        <f ca="1"/>
        <v/>
      </c>
      <c r="ADF1527" s="42" t="str">
        <f ca="1"/>
        <v/>
      </c>
      <c r="ADG1527" s="42" t="str">
        <f ca="1"/>
        <v/>
      </c>
      <c r="ADH1527" s="42" t="str">
        <f ca="1"/>
        <v/>
      </c>
      <c r="ADI1527" s="42" t="str">
        <f ca="1"/>
        <v/>
      </c>
      <c r="ADJ1527" s="42" t="str">
        <f ca="1"/>
        <v/>
      </c>
      <c r="ADK1527" s="42" t="str">
        <f ca="1"/>
        <v/>
      </c>
      <c r="ADL1527" s="42" t="str">
        <f ca="1"/>
        <v/>
      </c>
      <c r="ADM1527" s="42" t="str">
        <f ca="1"/>
        <v/>
      </c>
      <c r="ADN1527" s="42" t="str">
        <f ca="1"/>
        <v/>
      </c>
      <c r="ADO1527" s="42" t="str">
        <f ca="1"/>
        <v/>
      </c>
      <c r="ADP1527" s="42" t="str">
        <f ca="1"/>
        <v/>
      </c>
      <c r="ADQ1527" s="42" t="str">
        <f ca="1"/>
        <v/>
      </c>
      <c r="ADR1527" s="42" t="str">
        <f ca="1"/>
        <v/>
      </c>
      <c r="ADS1527" s="42" t="str">
        <f ca="1"/>
        <v/>
      </c>
      <c r="ADT1527" s="42" t="str">
        <f ca="1"/>
        <v/>
      </c>
      <c r="ADU1527" s="42" t="str">
        <f ca="1"/>
        <v/>
      </c>
      <c r="ADV1527" s="42" t="str">
        <f ca="1"/>
        <v/>
      </c>
      <c r="ADW1527" s="42" t="str">
        <f ca="1"/>
        <v/>
      </c>
      <c r="ADX1527" s="42" t="str">
        <f ca="1"/>
        <v/>
      </c>
      <c r="ADY1527" s="42" t="str">
        <f ca="1"/>
        <v/>
      </c>
      <c r="ADZ1527" s="42" t="str">
        <f ca="1"/>
        <v/>
      </c>
      <c r="AEA1527" s="42" t="str">
        <f ca="1"/>
        <v/>
      </c>
      <c r="AEB1527" s="42" t="str">
        <f ca="1"/>
        <v/>
      </c>
      <c r="AEC1527" s="42" t="str">
        <f ca="1"/>
        <v/>
      </c>
      <c r="AED1527" s="42" t="str">
        <f ca="1"/>
        <v/>
      </c>
      <c r="AEE1527" s="42" t="str">
        <f ca="1"/>
        <v/>
      </c>
      <c r="AEF1527" s="42" t="str">
        <f ca="1"/>
        <v/>
      </c>
      <c r="AEG1527" s="42" t="str">
        <f ca="1"/>
        <v/>
      </c>
      <c r="AEH1527" s="42" t="str">
        <f ca="1"/>
        <v/>
      </c>
      <c r="AEI1527" s="42" t="str">
        <f ca="1"/>
        <v/>
      </c>
      <c r="AEJ1527" s="42" t="str">
        <f ca="1"/>
        <v/>
      </c>
      <c r="AEK1527" s="42" t="str">
        <f ca="1"/>
        <v/>
      </c>
      <c r="AEL1527" s="42" t="str">
        <f ca="1"/>
        <v/>
      </c>
      <c r="AEM1527" s="42" t="str">
        <f ca="1"/>
        <v/>
      </c>
      <c r="AEN1527" s="42" t="str">
        <f ca="1"/>
        <v/>
      </c>
      <c r="AEO1527" s="42" t="str">
        <f ca="1"/>
        <v/>
      </c>
      <c r="AEP1527" s="42" t="str">
        <f ca="1"/>
        <v/>
      </c>
      <c r="AEQ1527" s="42" t="str">
        <f ca="1"/>
        <v/>
      </c>
      <c r="AER1527" s="42" t="str">
        <f ca="1"/>
        <v/>
      </c>
      <c r="AES1527" s="42" t="str">
        <f ca="1"/>
        <v/>
      </c>
      <c r="AET1527" s="42" t="str">
        <f ca="1"/>
        <v/>
      </c>
      <c r="AEU1527" s="42" t="str">
        <f ca="1"/>
        <v/>
      </c>
      <c r="AEV1527" s="42" t="str">
        <f ca="1"/>
        <v/>
      </c>
      <c r="AEW1527" s="42" t="str">
        <f ca="1"/>
        <v/>
      </c>
      <c r="AEX1527" s="42" t="str">
        <f ca="1"/>
        <v/>
      </c>
      <c r="AEY1527" s="42" t="str">
        <f ca="1"/>
        <v/>
      </c>
      <c r="AEZ1527" s="42" t="str">
        <f ca="1"/>
        <v/>
      </c>
      <c r="AFA1527" s="42" t="str">
        <f ca="1"/>
        <v/>
      </c>
      <c r="AFB1527" s="42" t="str">
        <f ca="1"/>
        <v/>
      </c>
      <c r="AFC1527" s="42" t="str">
        <f ca="1"/>
        <v/>
      </c>
      <c r="AFD1527" s="42" t="str">
        <f ca="1"/>
        <v/>
      </c>
      <c r="AFE1527" s="42" t="str">
        <f ca="1"/>
        <v/>
      </c>
      <c r="AFF1527" s="42" t="str">
        <f ca="1"/>
        <v/>
      </c>
      <c r="AFG1527" s="42" t="str">
        <f ca="1"/>
        <v/>
      </c>
      <c r="AFH1527" s="42" t="str">
        <f ca="1"/>
        <v/>
      </c>
      <c r="AFI1527" s="42" t="str">
        <f ca="1"/>
        <v/>
      </c>
      <c r="AFJ1527" s="42" t="str">
        <f ca="1"/>
        <v/>
      </c>
      <c r="AFK1527" s="42" t="str">
        <f ca="1"/>
        <v/>
      </c>
      <c r="AFL1527" s="42" t="str">
        <f ca="1"/>
        <v/>
      </c>
      <c r="AFM1527" s="42" t="str">
        <f ca="1"/>
        <v/>
      </c>
      <c r="AFN1527" s="42" t="str">
        <f ca="1"/>
        <v/>
      </c>
      <c r="AFO1527" s="42" t="str">
        <f ca="1"/>
        <v/>
      </c>
      <c r="AFP1527" s="42" t="str">
        <f ca="1"/>
        <v/>
      </c>
      <c r="AFQ1527" s="42" t="str">
        <f ca="1"/>
        <v/>
      </c>
      <c r="AFR1527" s="42" t="str">
        <f ca="1"/>
        <v/>
      </c>
      <c r="AFS1527" s="42" t="str">
        <f ca="1"/>
        <v/>
      </c>
      <c r="AFT1527" s="42" t="str">
        <f ca="1"/>
        <v/>
      </c>
      <c r="AFU1527" s="42" t="str">
        <f ca="1"/>
        <v/>
      </c>
      <c r="AFV1527" s="42" t="str">
        <f ca="1"/>
        <v/>
      </c>
      <c r="AFW1527" s="42" t="str">
        <f ca="1"/>
        <v/>
      </c>
      <c r="AFX1527" s="42" t="str">
        <f ca="1"/>
        <v/>
      </c>
      <c r="AFY1527" s="42" t="str">
        <f ca="1"/>
        <v/>
      </c>
      <c r="AFZ1527" s="42" t="str">
        <f ca="1"/>
        <v/>
      </c>
      <c r="AGA1527" s="42" t="str">
        <f ca="1"/>
        <v/>
      </c>
      <c r="AGB1527" s="42" t="str">
        <f ca="1"/>
        <v/>
      </c>
      <c r="AGC1527" s="42" t="str">
        <f ca="1"/>
        <v/>
      </c>
      <c r="AGD1527" s="42" t="str">
        <f ca="1"/>
        <v/>
      </c>
      <c r="AGE1527" s="42" t="str">
        <f ca="1"/>
        <v/>
      </c>
      <c r="AGF1527" s="42" t="str">
        <f ca="1"/>
        <v/>
      </c>
      <c r="AGG1527" s="42" t="str">
        <f ca="1"/>
        <v/>
      </c>
      <c r="AGH1527" s="42" t="str">
        <f ca="1"/>
        <v/>
      </c>
      <c r="AGI1527" s="42" t="str">
        <f ca="1"/>
        <v/>
      </c>
      <c r="AGJ1527" s="42" t="str">
        <f ca="1"/>
        <v/>
      </c>
      <c r="AGK1527" s="42" t="str">
        <f ca="1"/>
        <v/>
      </c>
      <c r="AGL1527" s="42" t="str">
        <f ca="1"/>
        <v/>
      </c>
      <c r="AGM1527" s="42" t="str">
        <f ca="1"/>
        <v/>
      </c>
      <c r="AGN1527" s="42" t="str">
        <f ca="1"/>
        <v/>
      </c>
    </row>
    <row r="1528" spans="15:872" x14ac:dyDescent="0.25">
      <c r="O1528" s="42">
        <v>15</v>
      </c>
      <c r="P1528" s="42" t="str">
        <f ca="1"/>
        <v/>
      </c>
      <c r="Q1528" s="42" t="str">
        <f ca="1"/>
        <v/>
      </c>
      <c r="R1528" s="42" t="str">
        <f ca="1"/>
        <v/>
      </c>
      <c r="S1528" s="42" t="str">
        <f ca="1"/>
        <v/>
      </c>
      <c r="T1528" s="42" t="str">
        <f ca="1"/>
        <v/>
      </c>
      <c r="U1528" s="42" t="str">
        <f ca="1"/>
        <v/>
      </c>
      <c r="V1528" s="42" t="str">
        <f ca="1"/>
        <v/>
      </c>
      <c r="W1528" s="42" t="str">
        <f ca="1"/>
        <v/>
      </c>
      <c r="X1528" s="42" t="str">
        <f ca="1"/>
        <v/>
      </c>
      <c r="Y1528" s="42" t="str">
        <f ca="1"/>
        <v/>
      </c>
      <c r="Z1528" s="42" t="str">
        <f ca="1"/>
        <v/>
      </c>
      <c r="AA1528" s="42" t="str">
        <f ca="1"/>
        <v/>
      </c>
      <c r="AB1528" s="42" t="str">
        <f ca="1"/>
        <v/>
      </c>
      <c r="AC1528" s="42" t="str">
        <f ca="1"/>
        <v/>
      </c>
      <c r="AD1528" s="42" t="str">
        <f ca="1"/>
        <v/>
      </c>
      <c r="AE1528" s="42" t="str">
        <f ca="1"/>
        <v/>
      </c>
      <c r="AF1528" s="42" t="str">
        <f ca="1"/>
        <v/>
      </c>
      <c r="AG1528" s="42" t="str">
        <f ca="1"/>
        <v/>
      </c>
      <c r="AH1528" s="42" t="str">
        <f ca="1"/>
        <v/>
      </c>
      <c r="AI1528" s="42" t="str">
        <f ca="1"/>
        <v/>
      </c>
      <c r="AJ1528" s="42" t="str">
        <f ca="1"/>
        <v/>
      </c>
      <c r="AK1528" s="42" t="str">
        <f ca="1"/>
        <v/>
      </c>
      <c r="AL1528" s="42" t="str">
        <f ca="1"/>
        <v/>
      </c>
      <c r="AM1528" s="42" t="str">
        <f ca="1"/>
        <v/>
      </c>
      <c r="AN1528" s="42" t="str">
        <f ca="1"/>
        <v/>
      </c>
      <c r="AO1528" s="42" t="str">
        <f ca="1"/>
        <v/>
      </c>
      <c r="AP1528" s="42" t="str">
        <f ca="1"/>
        <v/>
      </c>
      <c r="AQ1528" s="42" t="str">
        <f ca="1"/>
        <v/>
      </c>
      <c r="AR1528" s="42" t="str">
        <f ca="1"/>
        <v/>
      </c>
      <c r="AS1528" s="42" t="str">
        <f ca="1"/>
        <v/>
      </c>
      <c r="AT1528" s="42" t="str">
        <f ca="1"/>
        <v/>
      </c>
      <c r="AU1528" s="42" t="str">
        <f ca="1"/>
        <v/>
      </c>
      <c r="AV1528" s="42" t="str">
        <f ca="1"/>
        <v/>
      </c>
      <c r="AW1528" s="42" t="str">
        <f ca="1"/>
        <v/>
      </c>
      <c r="AX1528" s="42" t="str">
        <f ca="1"/>
        <v/>
      </c>
      <c r="AY1528" s="42" t="str">
        <f ca="1"/>
        <v/>
      </c>
      <c r="AZ1528" s="42" t="str">
        <f ca="1"/>
        <v/>
      </c>
      <c r="BA1528" s="42" t="str">
        <f ca="1"/>
        <v/>
      </c>
      <c r="BB1528" s="42" t="str">
        <f ca="1"/>
        <v/>
      </c>
      <c r="BC1528" s="42" t="str">
        <f ca="1"/>
        <v/>
      </c>
      <c r="BD1528" s="42" t="str">
        <f ca="1"/>
        <v/>
      </c>
      <c r="BE1528" s="42" t="str">
        <f ca="1"/>
        <v/>
      </c>
      <c r="BF1528" s="42" t="str">
        <f ca="1"/>
        <v/>
      </c>
      <c r="BG1528" s="42" t="str">
        <f ca="1"/>
        <v/>
      </c>
      <c r="BH1528" s="42" t="str">
        <f ca="1"/>
        <v/>
      </c>
      <c r="BI1528" s="42" t="str">
        <f ca="1"/>
        <v/>
      </c>
      <c r="BJ1528" s="42" t="str">
        <f ca="1"/>
        <v/>
      </c>
      <c r="BK1528" s="42" t="str">
        <f ca="1"/>
        <v/>
      </c>
      <c r="BL1528" s="42" t="str">
        <f ca="1"/>
        <v/>
      </c>
      <c r="BM1528" s="42" t="str">
        <f ca="1"/>
        <v/>
      </c>
      <c r="BN1528" s="42" t="str">
        <f ca="1"/>
        <v/>
      </c>
      <c r="BO1528" s="42" t="str">
        <f ca="1"/>
        <v/>
      </c>
      <c r="BP1528" s="42" t="str">
        <f ca="1"/>
        <v/>
      </c>
      <c r="BQ1528" s="42" t="str">
        <f ca="1"/>
        <v/>
      </c>
      <c r="BR1528" s="42" t="str">
        <f ca="1"/>
        <v/>
      </c>
      <c r="BS1528" s="42" t="str">
        <f ca="1"/>
        <v/>
      </c>
      <c r="BT1528" s="42" t="str">
        <f ca="1"/>
        <v/>
      </c>
      <c r="BU1528" s="42" t="str">
        <f ca="1"/>
        <v/>
      </c>
      <c r="BV1528" s="42" t="str">
        <f ca="1"/>
        <v/>
      </c>
      <c r="BW1528" s="42" t="str">
        <f ca="1"/>
        <v/>
      </c>
      <c r="BX1528" s="42" t="str">
        <f ca="1"/>
        <v/>
      </c>
      <c r="BY1528" s="42" t="str">
        <f ca="1"/>
        <v/>
      </c>
      <c r="BZ1528" s="42" t="str">
        <f ca="1"/>
        <v/>
      </c>
      <c r="CA1528" s="42" t="str">
        <f ca="1"/>
        <v/>
      </c>
      <c r="CB1528" s="42" t="str">
        <f ca="1"/>
        <v/>
      </c>
      <c r="CC1528" s="42" t="str">
        <f ca="1"/>
        <v/>
      </c>
      <c r="CD1528" s="42" t="str">
        <f ca="1"/>
        <v/>
      </c>
      <c r="CE1528" s="42" t="str">
        <f ca="1"/>
        <v/>
      </c>
      <c r="CF1528" s="42" t="str">
        <f ca="1"/>
        <v/>
      </c>
      <c r="CG1528" s="42" t="str">
        <f ca="1"/>
        <v/>
      </c>
      <c r="CH1528" s="42" t="str">
        <f ca="1"/>
        <v/>
      </c>
      <c r="CI1528" s="42" t="str">
        <f ca="1"/>
        <v/>
      </c>
      <c r="CJ1528" s="42" t="str">
        <f ca="1"/>
        <v/>
      </c>
      <c r="CK1528" s="42" t="str">
        <f ca="1"/>
        <v/>
      </c>
      <c r="CL1528" s="42" t="str">
        <f ca="1"/>
        <v/>
      </c>
      <c r="CM1528" s="42" t="str">
        <f ca="1"/>
        <v/>
      </c>
      <c r="CN1528" s="42" t="str">
        <f ca="1"/>
        <v/>
      </c>
      <c r="CO1528" s="42" t="str">
        <f ca="1"/>
        <v/>
      </c>
      <c r="CP1528" s="42" t="str">
        <f ca="1"/>
        <v/>
      </c>
      <c r="CQ1528" s="42" t="str">
        <f ca="1"/>
        <v/>
      </c>
      <c r="CR1528" s="42" t="str">
        <f ca="1"/>
        <v/>
      </c>
      <c r="CS1528" s="42" t="str">
        <f ca="1"/>
        <v/>
      </c>
      <c r="CT1528" s="42" t="str">
        <f ca="1"/>
        <v/>
      </c>
      <c r="CU1528" s="42" t="str">
        <f ca="1"/>
        <v/>
      </c>
      <c r="CV1528" s="42" t="str">
        <f ca="1"/>
        <v/>
      </c>
      <c r="CW1528" s="42" t="str">
        <f ca="1"/>
        <v/>
      </c>
      <c r="CX1528" s="42" t="str">
        <f ca="1"/>
        <v/>
      </c>
      <c r="CY1528" s="42" t="str">
        <f ca="1"/>
        <v/>
      </c>
      <c r="CZ1528" s="42" t="str">
        <f ca="1"/>
        <v/>
      </c>
      <c r="DA1528" s="42" t="str">
        <f ca="1"/>
        <v/>
      </c>
      <c r="DB1528" s="42" t="str">
        <f ca="1"/>
        <v/>
      </c>
      <c r="DC1528" s="42" t="str">
        <f ca="1"/>
        <v/>
      </c>
      <c r="DD1528" s="42" t="str">
        <f ca="1"/>
        <v/>
      </c>
      <c r="DE1528" s="42" t="str">
        <f ca="1"/>
        <v/>
      </c>
      <c r="DF1528" s="42" t="str">
        <f ca="1"/>
        <v/>
      </c>
      <c r="DG1528" s="42" t="str">
        <f ca="1"/>
        <v/>
      </c>
      <c r="DH1528" s="42" t="str">
        <f ca="1"/>
        <v/>
      </c>
      <c r="DI1528" s="42" t="str">
        <f ca="1"/>
        <v/>
      </c>
      <c r="DJ1528" s="42" t="str">
        <f ca="1"/>
        <v/>
      </c>
      <c r="DK1528" s="42" t="str">
        <f ca="1"/>
        <v/>
      </c>
      <c r="DL1528" s="42" t="str">
        <f ca="1"/>
        <v/>
      </c>
      <c r="DM1528" s="42" t="str">
        <f ca="1"/>
        <v/>
      </c>
      <c r="DN1528" s="42" t="str">
        <f ca="1"/>
        <v/>
      </c>
      <c r="DO1528" s="42" t="str">
        <f ca="1"/>
        <v/>
      </c>
      <c r="DP1528" s="42" t="str">
        <f ca="1"/>
        <v/>
      </c>
      <c r="DQ1528" s="42" t="str">
        <f ca="1"/>
        <v/>
      </c>
      <c r="DR1528" s="42" t="str">
        <f ca="1"/>
        <v/>
      </c>
      <c r="DS1528" s="42" t="str">
        <f ca="1"/>
        <v/>
      </c>
      <c r="DT1528" s="42" t="str">
        <f ca="1"/>
        <v/>
      </c>
      <c r="DU1528" s="42" t="str">
        <f ca="1"/>
        <v/>
      </c>
      <c r="DV1528" s="42" t="str">
        <f ca="1"/>
        <v/>
      </c>
      <c r="DW1528" s="42" t="str">
        <f ca="1"/>
        <v/>
      </c>
      <c r="DX1528" s="42" t="str">
        <f ca="1"/>
        <v/>
      </c>
      <c r="DY1528" s="42" t="str">
        <f ca="1"/>
        <v/>
      </c>
      <c r="DZ1528" s="42" t="str">
        <f ca="1"/>
        <v/>
      </c>
      <c r="EA1528" s="42" t="str">
        <f ca="1"/>
        <v/>
      </c>
      <c r="EB1528" s="42" t="str">
        <f ca="1"/>
        <v/>
      </c>
      <c r="EC1528" s="42" t="str">
        <f ca="1"/>
        <v/>
      </c>
      <c r="ED1528" s="42" t="str">
        <f ca="1"/>
        <v/>
      </c>
      <c r="EE1528" s="42" t="str">
        <f ca="1"/>
        <v/>
      </c>
      <c r="EF1528" s="42" t="str">
        <f ca="1"/>
        <v/>
      </c>
      <c r="EG1528" s="42" t="str">
        <f ca="1"/>
        <v/>
      </c>
      <c r="EH1528" s="42" t="str">
        <f ca="1"/>
        <v/>
      </c>
      <c r="EI1528" s="42" t="str">
        <f ca="1"/>
        <v/>
      </c>
      <c r="EJ1528" s="42" t="str">
        <f ca="1"/>
        <v/>
      </c>
      <c r="EK1528" s="42" t="str">
        <f ca="1"/>
        <v/>
      </c>
      <c r="EL1528" s="42" t="str">
        <f ca="1"/>
        <v/>
      </c>
      <c r="EM1528" s="42" t="str">
        <f ca="1"/>
        <v/>
      </c>
      <c r="EN1528" s="42" t="str">
        <f ca="1"/>
        <v/>
      </c>
      <c r="EO1528" s="42" t="str">
        <f ca="1"/>
        <v/>
      </c>
      <c r="EP1528" s="42" t="str">
        <f ca="1"/>
        <v/>
      </c>
      <c r="EQ1528" s="42" t="str">
        <f ca="1"/>
        <v/>
      </c>
      <c r="ER1528" s="42" t="str">
        <f ca="1"/>
        <v/>
      </c>
      <c r="ES1528" s="42" t="str">
        <f ca="1"/>
        <v/>
      </c>
      <c r="ET1528" s="42" t="str">
        <f ca="1"/>
        <v/>
      </c>
      <c r="EU1528" s="42" t="str">
        <f ca="1"/>
        <v/>
      </c>
      <c r="EV1528" s="42" t="str">
        <f ca="1"/>
        <v/>
      </c>
      <c r="EW1528" s="42" t="str">
        <f ca="1"/>
        <v/>
      </c>
      <c r="EX1528" s="42" t="str">
        <f ca="1"/>
        <v/>
      </c>
      <c r="EY1528" s="42" t="str">
        <f ca="1"/>
        <v/>
      </c>
      <c r="EZ1528" s="42" t="str">
        <f ca="1"/>
        <v/>
      </c>
      <c r="FA1528" s="42" t="str">
        <f ca="1"/>
        <v/>
      </c>
      <c r="FB1528" s="42" t="str">
        <f ca="1"/>
        <v/>
      </c>
      <c r="FC1528" s="42" t="str">
        <f ca="1"/>
        <v/>
      </c>
      <c r="FD1528" s="42" t="str">
        <f ca="1"/>
        <v/>
      </c>
      <c r="FE1528" s="42" t="str">
        <f ca="1"/>
        <v/>
      </c>
      <c r="FF1528" s="42" t="str">
        <f ca="1"/>
        <v/>
      </c>
      <c r="FG1528" s="42" t="str">
        <f ca="1"/>
        <v/>
      </c>
      <c r="FH1528" s="42" t="str">
        <f ca="1"/>
        <v/>
      </c>
      <c r="FI1528" s="42" t="str">
        <f ca="1"/>
        <v/>
      </c>
      <c r="FJ1528" s="42" t="str">
        <f ca="1"/>
        <v/>
      </c>
      <c r="FK1528" s="42" t="str">
        <f ca="1"/>
        <v/>
      </c>
      <c r="FL1528" s="42" t="str">
        <f ca="1"/>
        <v/>
      </c>
      <c r="FM1528" s="42" t="str">
        <f ca="1"/>
        <v/>
      </c>
      <c r="FN1528" s="42" t="str">
        <f ca="1"/>
        <v/>
      </c>
      <c r="FO1528" s="42" t="str">
        <f ca="1"/>
        <v/>
      </c>
      <c r="FP1528" s="42" t="str">
        <f ca="1"/>
        <v/>
      </c>
      <c r="FQ1528" s="42" t="str">
        <f ca="1"/>
        <v/>
      </c>
      <c r="FR1528" s="42" t="str">
        <f ca="1"/>
        <v/>
      </c>
      <c r="FS1528" s="42" t="str">
        <f ca="1"/>
        <v/>
      </c>
      <c r="FT1528" s="42" t="str">
        <f ca="1"/>
        <v/>
      </c>
      <c r="FU1528" s="42" t="str">
        <f ca="1"/>
        <v/>
      </c>
      <c r="FV1528" s="42" t="str">
        <f ca="1"/>
        <v/>
      </c>
      <c r="FW1528" s="42" t="str">
        <f ca="1"/>
        <v/>
      </c>
      <c r="FX1528" s="42" t="str">
        <f ca="1"/>
        <v/>
      </c>
      <c r="FY1528" s="42" t="str">
        <f ca="1"/>
        <v/>
      </c>
      <c r="FZ1528" s="42" t="str">
        <f ca="1"/>
        <v/>
      </c>
      <c r="GA1528" s="42" t="str">
        <f ca="1"/>
        <v/>
      </c>
      <c r="GB1528" s="42" t="str">
        <f ca="1"/>
        <v/>
      </c>
      <c r="GC1528" s="42" t="str">
        <f ca="1"/>
        <v/>
      </c>
      <c r="GD1528" s="42" t="str">
        <f ca="1"/>
        <v/>
      </c>
      <c r="GE1528" s="42" t="str">
        <f ca="1"/>
        <v/>
      </c>
      <c r="GF1528" s="42" t="str">
        <f ca="1"/>
        <v/>
      </c>
      <c r="GG1528" s="42" t="str">
        <f ca="1"/>
        <v/>
      </c>
      <c r="GH1528" s="42" t="str">
        <f ca="1"/>
        <v/>
      </c>
      <c r="GI1528" s="42" t="str">
        <f ca="1"/>
        <v/>
      </c>
      <c r="GJ1528" s="42" t="str">
        <f ca="1"/>
        <v/>
      </c>
      <c r="GK1528" s="42" t="str">
        <f ca="1"/>
        <v/>
      </c>
      <c r="GL1528" s="42" t="str">
        <f ca="1"/>
        <v/>
      </c>
      <c r="GM1528" s="42" t="str">
        <f ca="1"/>
        <v/>
      </c>
      <c r="GN1528" s="42" t="str">
        <f ca="1"/>
        <v/>
      </c>
      <c r="GO1528" s="42" t="str">
        <f ca="1"/>
        <v/>
      </c>
      <c r="GP1528" s="42" t="str">
        <f ca="1"/>
        <v/>
      </c>
      <c r="GQ1528" s="42" t="str">
        <f ca="1"/>
        <v/>
      </c>
      <c r="GR1528" s="42" t="str">
        <f ca="1"/>
        <v/>
      </c>
      <c r="GS1528" s="42" t="str">
        <f ca="1"/>
        <v/>
      </c>
      <c r="GT1528" s="42" t="str">
        <f ca="1"/>
        <v/>
      </c>
      <c r="GU1528" s="42" t="str">
        <f ca="1"/>
        <v/>
      </c>
      <c r="GV1528" s="42" t="str">
        <f ca="1"/>
        <v/>
      </c>
      <c r="GW1528" s="42" t="str">
        <f ca="1"/>
        <v/>
      </c>
      <c r="GX1528" s="42" t="str">
        <f ca="1"/>
        <v/>
      </c>
      <c r="GY1528" s="42" t="str">
        <f ca="1"/>
        <v/>
      </c>
      <c r="GZ1528" s="42" t="str">
        <f ca="1"/>
        <v/>
      </c>
      <c r="HA1528" s="42" t="str">
        <f ca="1"/>
        <v/>
      </c>
      <c r="HB1528" s="42" t="str">
        <f ca="1"/>
        <v/>
      </c>
      <c r="HC1528" s="42" t="str">
        <f ca="1"/>
        <v/>
      </c>
      <c r="HD1528" s="42" t="str">
        <f ca="1"/>
        <v/>
      </c>
      <c r="HE1528" s="42" t="str">
        <f ca="1"/>
        <v/>
      </c>
      <c r="HF1528" s="42" t="str">
        <f ca="1"/>
        <v/>
      </c>
      <c r="HG1528" s="42" t="str">
        <f ca="1"/>
        <v/>
      </c>
      <c r="HH1528" s="42" t="str">
        <f ca="1"/>
        <v/>
      </c>
      <c r="HI1528" s="42" t="str">
        <f ca="1"/>
        <v/>
      </c>
      <c r="HJ1528" s="42" t="str">
        <f ca="1"/>
        <v/>
      </c>
      <c r="HK1528" s="42" t="str">
        <f ca="1"/>
        <v/>
      </c>
      <c r="HL1528" s="42" t="str">
        <f ca="1"/>
        <v/>
      </c>
      <c r="HM1528" s="42" t="str">
        <f ca="1"/>
        <v/>
      </c>
      <c r="HN1528" s="42" t="str">
        <f ca="1"/>
        <v/>
      </c>
      <c r="HO1528" s="42" t="str">
        <f ca="1"/>
        <v/>
      </c>
      <c r="HP1528" s="42" t="str">
        <f ca="1"/>
        <v/>
      </c>
      <c r="HQ1528" s="42" t="str">
        <f ca="1"/>
        <v/>
      </c>
      <c r="HR1528" s="42" t="str">
        <f ca="1"/>
        <v/>
      </c>
      <c r="HS1528" s="42" t="str">
        <f ca="1"/>
        <v/>
      </c>
      <c r="HT1528" s="42" t="str">
        <f ca="1"/>
        <v/>
      </c>
      <c r="HU1528" s="42" t="str">
        <f ca="1"/>
        <v/>
      </c>
      <c r="HV1528" s="42" t="str">
        <f ca="1"/>
        <v/>
      </c>
      <c r="HW1528" s="42" t="str">
        <f ca="1"/>
        <v/>
      </c>
      <c r="HX1528" s="42" t="str">
        <f ca="1"/>
        <v/>
      </c>
      <c r="HY1528" s="42" t="str">
        <f ca="1"/>
        <v/>
      </c>
      <c r="HZ1528" s="42" t="str">
        <f ca="1"/>
        <v/>
      </c>
      <c r="IA1528" s="42" t="str">
        <f ca="1"/>
        <v/>
      </c>
      <c r="IB1528" s="42" t="str">
        <f ca="1"/>
        <v/>
      </c>
      <c r="IC1528" s="42" t="str">
        <f ca="1"/>
        <v/>
      </c>
      <c r="ID1528" s="42" t="str">
        <f ca="1"/>
        <v/>
      </c>
      <c r="IE1528" s="42" t="str">
        <f ca="1"/>
        <v/>
      </c>
      <c r="IF1528" s="42" t="str">
        <f ca="1"/>
        <v/>
      </c>
      <c r="IG1528" s="42" t="str">
        <f ca="1"/>
        <v/>
      </c>
      <c r="IH1528" s="42" t="str">
        <f ca="1"/>
        <v/>
      </c>
      <c r="II1528" s="42" t="str">
        <f ca="1"/>
        <v/>
      </c>
      <c r="IJ1528" s="42" t="str">
        <f ca="1"/>
        <v/>
      </c>
      <c r="IK1528" s="42" t="str">
        <f ca="1"/>
        <v/>
      </c>
      <c r="IL1528" s="42" t="str">
        <f ca="1"/>
        <v/>
      </c>
      <c r="IM1528" s="42" t="str">
        <f ca="1"/>
        <v/>
      </c>
      <c r="IN1528" s="42" t="str">
        <f ca="1"/>
        <v/>
      </c>
      <c r="IO1528" s="42" t="str">
        <f ca="1"/>
        <v/>
      </c>
      <c r="IP1528" s="42" t="str">
        <f ca="1"/>
        <v/>
      </c>
      <c r="IQ1528" s="42" t="str">
        <f ca="1"/>
        <v/>
      </c>
      <c r="IR1528" s="42" t="str">
        <f ca="1"/>
        <v/>
      </c>
      <c r="IS1528" s="42" t="str">
        <f ca="1"/>
        <v/>
      </c>
      <c r="IT1528" s="42" t="str">
        <f ca="1"/>
        <v/>
      </c>
      <c r="IU1528" s="42" t="str">
        <f ca="1"/>
        <v/>
      </c>
      <c r="IV1528" s="42" t="str">
        <f ca="1"/>
        <v/>
      </c>
      <c r="IW1528" s="42" t="str">
        <f ca="1"/>
        <v/>
      </c>
      <c r="IX1528" s="42" t="str">
        <f ca="1"/>
        <v/>
      </c>
      <c r="IY1528" s="42" t="str">
        <f ca="1"/>
        <v/>
      </c>
      <c r="IZ1528" s="42" t="str">
        <f ca="1"/>
        <v/>
      </c>
      <c r="JA1528" s="42" t="str">
        <f ca="1"/>
        <v/>
      </c>
      <c r="JB1528" s="42" t="str">
        <f ca="1"/>
        <v/>
      </c>
      <c r="JC1528" s="42" t="str">
        <f ca="1"/>
        <v/>
      </c>
      <c r="JD1528" s="42" t="str">
        <f ca="1"/>
        <v/>
      </c>
      <c r="JE1528" s="42" t="str">
        <f ca="1"/>
        <v/>
      </c>
      <c r="JF1528" s="42" t="str">
        <f ca="1"/>
        <v/>
      </c>
      <c r="JG1528" s="42" t="str">
        <f ca="1"/>
        <v/>
      </c>
      <c r="JH1528" s="42" t="str">
        <f ca="1"/>
        <v/>
      </c>
      <c r="JI1528" s="42" t="str">
        <f ca="1"/>
        <v/>
      </c>
      <c r="JJ1528" s="42" t="str">
        <f ca="1"/>
        <v/>
      </c>
      <c r="JK1528" s="42" t="str">
        <f ca="1"/>
        <v/>
      </c>
      <c r="JL1528" s="42" t="str">
        <f ca="1"/>
        <v/>
      </c>
      <c r="JM1528" s="42" t="str">
        <f ca="1"/>
        <v/>
      </c>
      <c r="JN1528" s="42" t="str">
        <f ca="1"/>
        <v/>
      </c>
      <c r="JO1528" s="42" t="str">
        <f ca="1"/>
        <v/>
      </c>
      <c r="JP1528" s="42" t="str">
        <f ca="1"/>
        <v/>
      </c>
      <c r="JQ1528" s="42" t="str">
        <f ca="1"/>
        <v/>
      </c>
      <c r="JR1528" s="42" t="str">
        <f ca="1"/>
        <v/>
      </c>
      <c r="JS1528" s="42" t="str">
        <f ca="1"/>
        <v/>
      </c>
      <c r="JT1528" s="42" t="str">
        <f ca="1"/>
        <v/>
      </c>
      <c r="JU1528" s="42" t="str">
        <f ca="1"/>
        <v/>
      </c>
      <c r="JV1528" s="42" t="str">
        <f ca="1"/>
        <v/>
      </c>
      <c r="JW1528" s="42" t="str">
        <f ca="1"/>
        <v/>
      </c>
      <c r="JX1528" s="42" t="str">
        <f ca="1"/>
        <v/>
      </c>
      <c r="JY1528" s="42" t="str">
        <f ca="1"/>
        <v/>
      </c>
      <c r="JZ1528" s="42" t="str">
        <f ca="1"/>
        <v/>
      </c>
      <c r="KA1528" s="42" t="str">
        <f ca="1"/>
        <v/>
      </c>
      <c r="KB1528" s="42" t="str">
        <f ca="1"/>
        <v/>
      </c>
      <c r="KC1528" s="42" t="str">
        <f ca="1"/>
        <v/>
      </c>
      <c r="KD1528" s="42" t="str">
        <f ca="1"/>
        <v/>
      </c>
      <c r="KE1528" s="42" t="str">
        <f ca="1"/>
        <v/>
      </c>
      <c r="KF1528" s="42" t="str">
        <f ca="1"/>
        <v/>
      </c>
      <c r="KG1528" s="42" t="str">
        <f ca="1"/>
        <v/>
      </c>
      <c r="KH1528" s="42" t="str">
        <f ca="1"/>
        <v/>
      </c>
      <c r="KI1528" s="42" t="str">
        <f ca="1"/>
        <v/>
      </c>
      <c r="KJ1528" s="42" t="str">
        <f ca="1"/>
        <v/>
      </c>
      <c r="KK1528" s="42" t="str">
        <f ca="1"/>
        <v/>
      </c>
      <c r="KL1528" s="42" t="str">
        <f ca="1"/>
        <v/>
      </c>
      <c r="KM1528" s="42" t="str">
        <f ca="1"/>
        <v/>
      </c>
      <c r="KN1528" s="42" t="str">
        <f ca="1"/>
        <v/>
      </c>
      <c r="KO1528" s="42" t="str">
        <f ca="1"/>
        <v/>
      </c>
      <c r="KP1528" s="42" t="str">
        <f ca="1"/>
        <v/>
      </c>
      <c r="KQ1528" s="42" t="str">
        <f ca="1"/>
        <v/>
      </c>
      <c r="KR1528" s="42" t="str">
        <f ca="1"/>
        <v/>
      </c>
      <c r="KS1528" s="42" t="str">
        <f ca="1"/>
        <v/>
      </c>
      <c r="KT1528" s="42" t="str">
        <f ca="1"/>
        <v/>
      </c>
      <c r="KU1528" s="42" t="str">
        <f ca="1"/>
        <v/>
      </c>
      <c r="KV1528" s="42" t="str">
        <f ca="1"/>
        <v/>
      </c>
      <c r="KW1528" s="42" t="str">
        <f ca="1"/>
        <v/>
      </c>
      <c r="KX1528" s="42" t="str">
        <f ca="1"/>
        <v/>
      </c>
      <c r="KY1528" s="42" t="str">
        <f ca="1"/>
        <v/>
      </c>
      <c r="KZ1528" s="42" t="str">
        <f ca="1"/>
        <v/>
      </c>
      <c r="LA1528" s="42" t="str">
        <f ca="1"/>
        <v/>
      </c>
      <c r="LB1528" s="42" t="str">
        <f ca="1"/>
        <v/>
      </c>
      <c r="LC1528" s="42" t="str">
        <f ca="1"/>
        <v/>
      </c>
      <c r="LD1528" s="42" t="str">
        <f ca="1"/>
        <v/>
      </c>
      <c r="LE1528" s="42" t="str">
        <f ca="1"/>
        <v/>
      </c>
      <c r="LF1528" s="42" t="str">
        <f ca="1"/>
        <v/>
      </c>
      <c r="LG1528" s="42" t="str">
        <f ca="1"/>
        <v/>
      </c>
      <c r="LH1528" s="42" t="str">
        <f ca="1"/>
        <v/>
      </c>
      <c r="LI1528" s="42" t="str">
        <f ca="1"/>
        <v/>
      </c>
      <c r="LJ1528" s="42" t="str">
        <f ca="1"/>
        <v/>
      </c>
      <c r="LK1528" s="42" t="str">
        <f ca="1"/>
        <v/>
      </c>
      <c r="LL1528" s="42" t="str">
        <f ca="1"/>
        <v/>
      </c>
      <c r="LM1528" s="42" t="str">
        <f ca="1"/>
        <v/>
      </c>
      <c r="LN1528" s="42" t="str">
        <f ca="1"/>
        <v/>
      </c>
      <c r="LO1528" s="42" t="str">
        <f ca="1"/>
        <v/>
      </c>
      <c r="LP1528" s="42" t="str">
        <f ca="1"/>
        <v/>
      </c>
      <c r="LQ1528" s="42" t="str">
        <f ca="1"/>
        <v/>
      </c>
      <c r="LR1528" s="42" t="str">
        <f ca="1"/>
        <v/>
      </c>
      <c r="LS1528" s="42" t="str">
        <f ca="1"/>
        <v/>
      </c>
      <c r="LT1528" s="42" t="str">
        <f ca="1"/>
        <v/>
      </c>
      <c r="LU1528" s="42" t="str">
        <f ca="1"/>
        <v/>
      </c>
      <c r="LV1528" s="42" t="str">
        <f ca="1"/>
        <v/>
      </c>
      <c r="LW1528" s="42" t="str">
        <f ca="1"/>
        <v/>
      </c>
      <c r="LX1528" s="42" t="str">
        <f ca="1"/>
        <v/>
      </c>
      <c r="LY1528" s="42" t="str">
        <f ca="1"/>
        <v/>
      </c>
      <c r="LZ1528" s="42" t="str">
        <f ca="1"/>
        <v/>
      </c>
      <c r="MA1528" s="42" t="str">
        <f ca="1"/>
        <v/>
      </c>
      <c r="MB1528" s="42" t="str">
        <f ca="1"/>
        <v/>
      </c>
      <c r="MC1528" s="42" t="str">
        <f ca="1"/>
        <v/>
      </c>
      <c r="MD1528" s="42" t="str">
        <f ca="1"/>
        <v/>
      </c>
      <c r="ME1528" s="42" t="str">
        <f ca="1"/>
        <v/>
      </c>
      <c r="MF1528" s="42" t="str">
        <f ca="1"/>
        <v/>
      </c>
      <c r="MG1528" s="42" t="str">
        <f ca="1"/>
        <v/>
      </c>
      <c r="MH1528" s="42" t="str">
        <f ca="1"/>
        <v/>
      </c>
      <c r="MI1528" s="42" t="str">
        <f ca="1"/>
        <v/>
      </c>
      <c r="MJ1528" s="42" t="str">
        <f ca="1"/>
        <v/>
      </c>
      <c r="MK1528" s="42" t="str">
        <f ca="1"/>
        <v/>
      </c>
      <c r="ML1528" s="42" t="str">
        <f ca="1"/>
        <v/>
      </c>
      <c r="MM1528" s="42" t="str">
        <f ca="1"/>
        <v/>
      </c>
      <c r="MN1528" s="42" t="str">
        <f ca="1"/>
        <v/>
      </c>
      <c r="MO1528" s="42" t="str">
        <f ca="1"/>
        <v/>
      </c>
      <c r="MP1528" s="42" t="str">
        <f ca="1"/>
        <v/>
      </c>
      <c r="MQ1528" s="42" t="str">
        <f ca="1"/>
        <v/>
      </c>
      <c r="MR1528" s="42" t="str">
        <f ca="1"/>
        <v/>
      </c>
      <c r="MS1528" s="42" t="str">
        <f ca="1"/>
        <v/>
      </c>
      <c r="MT1528" s="42" t="str">
        <f ca="1"/>
        <v/>
      </c>
      <c r="MU1528" s="42" t="str">
        <f ca="1"/>
        <v/>
      </c>
      <c r="MV1528" s="42" t="str">
        <f ca="1"/>
        <v/>
      </c>
      <c r="MW1528" s="42" t="str">
        <f ca="1"/>
        <v/>
      </c>
      <c r="MX1528" s="42" t="str">
        <f ca="1"/>
        <v/>
      </c>
      <c r="MY1528" s="42" t="str">
        <f ca="1"/>
        <v/>
      </c>
      <c r="MZ1528" s="42" t="str">
        <f ca="1"/>
        <v/>
      </c>
      <c r="NA1528" s="42" t="str">
        <f ca="1"/>
        <v/>
      </c>
      <c r="NB1528" s="42" t="str">
        <f ca="1"/>
        <v/>
      </c>
      <c r="NC1528" s="42" t="str">
        <f ca="1"/>
        <v/>
      </c>
      <c r="ND1528" s="42" t="str">
        <f ca="1"/>
        <v/>
      </c>
      <c r="NE1528" s="42" t="str">
        <f ca="1"/>
        <v/>
      </c>
      <c r="NF1528" s="42" t="str">
        <f ca="1"/>
        <v/>
      </c>
      <c r="NG1528" s="42" t="str">
        <f ca="1"/>
        <v/>
      </c>
      <c r="NH1528" s="42" t="str">
        <f ca="1"/>
        <v/>
      </c>
      <c r="NI1528" s="42" t="str">
        <f ca="1"/>
        <v/>
      </c>
      <c r="NJ1528" s="42" t="str">
        <f ca="1"/>
        <v/>
      </c>
      <c r="NK1528" s="42" t="str">
        <f ca="1"/>
        <v/>
      </c>
      <c r="NL1528" s="42" t="str">
        <f ca="1"/>
        <v/>
      </c>
      <c r="NM1528" s="42" t="str">
        <f ca="1"/>
        <v/>
      </c>
      <c r="NN1528" s="42" t="str">
        <f ca="1"/>
        <v/>
      </c>
      <c r="NO1528" s="42" t="str">
        <f ca="1"/>
        <v/>
      </c>
      <c r="NP1528" s="42" t="str">
        <f ca="1"/>
        <v/>
      </c>
      <c r="NQ1528" s="42" t="str">
        <f ca="1"/>
        <v/>
      </c>
      <c r="NR1528" s="42" t="str">
        <f ca="1"/>
        <v/>
      </c>
      <c r="NS1528" s="42" t="str">
        <f ca="1"/>
        <v/>
      </c>
      <c r="NT1528" s="42" t="str">
        <f ca="1"/>
        <v/>
      </c>
      <c r="NU1528" s="42" t="str">
        <f ca="1"/>
        <v/>
      </c>
      <c r="NV1528" s="42" t="str">
        <f ca="1"/>
        <v/>
      </c>
      <c r="NW1528" s="42" t="str">
        <f ca="1"/>
        <v/>
      </c>
      <c r="NX1528" s="42" t="str">
        <f ca="1"/>
        <v/>
      </c>
      <c r="NY1528" s="42" t="str">
        <f ca="1"/>
        <v/>
      </c>
      <c r="NZ1528" s="42" t="str">
        <f ca="1"/>
        <v/>
      </c>
      <c r="OA1528" s="42" t="str">
        <f ca="1"/>
        <v/>
      </c>
      <c r="OB1528" s="42" t="str">
        <f ca="1"/>
        <v/>
      </c>
      <c r="OC1528" s="42" t="str">
        <f ca="1"/>
        <v/>
      </c>
      <c r="OD1528" s="42" t="str">
        <f ca="1"/>
        <v/>
      </c>
      <c r="OE1528" s="42" t="str">
        <f ca="1"/>
        <v/>
      </c>
      <c r="OF1528" s="42" t="str">
        <f ca="1"/>
        <v/>
      </c>
      <c r="OG1528" s="42" t="str">
        <f ca="1"/>
        <v/>
      </c>
      <c r="OH1528" s="42" t="str">
        <f ca="1"/>
        <v/>
      </c>
      <c r="OI1528" s="42" t="str">
        <f ca="1"/>
        <v/>
      </c>
      <c r="OJ1528" s="42" t="str">
        <f ca="1"/>
        <v/>
      </c>
      <c r="OK1528" s="42" t="str">
        <f ca="1"/>
        <v/>
      </c>
      <c r="OL1528" s="42" t="str">
        <f ca="1"/>
        <v/>
      </c>
      <c r="OM1528" s="42" t="str">
        <f ca="1"/>
        <v/>
      </c>
      <c r="ON1528" s="42" t="str">
        <f ca="1"/>
        <v/>
      </c>
      <c r="OO1528" s="42" t="str">
        <f ca="1"/>
        <v/>
      </c>
      <c r="OP1528" s="42" t="str">
        <f ca="1"/>
        <v/>
      </c>
      <c r="OQ1528" s="42" t="str">
        <f ca="1"/>
        <v/>
      </c>
      <c r="OR1528" s="42" t="str">
        <f ca="1"/>
        <v/>
      </c>
      <c r="OS1528" s="42" t="str">
        <f ca="1"/>
        <v/>
      </c>
      <c r="OT1528" s="42" t="str">
        <f ca="1"/>
        <v/>
      </c>
      <c r="OU1528" s="42" t="str">
        <f ca="1"/>
        <v/>
      </c>
      <c r="OV1528" s="42" t="str">
        <f ca="1"/>
        <v/>
      </c>
      <c r="OW1528" s="42" t="str">
        <f ca="1"/>
        <v/>
      </c>
      <c r="OX1528" s="42" t="str">
        <f ca="1"/>
        <v/>
      </c>
      <c r="OY1528" s="42" t="str">
        <f ca="1"/>
        <v/>
      </c>
      <c r="OZ1528" s="42" t="str">
        <f ca="1"/>
        <v/>
      </c>
      <c r="PA1528" s="42" t="str">
        <f ca="1"/>
        <v/>
      </c>
      <c r="PB1528" s="42" t="str">
        <f ca="1"/>
        <v/>
      </c>
      <c r="PC1528" s="42" t="str">
        <f ca="1"/>
        <v/>
      </c>
      <c r="PD1528" s="42" t="str">
        <f ca="1"/>
        <v/>
      </c>
      <c r="PE1528" s="42" t="str">
        <f ca="1"/>
        <v/>
      </c>
      <c r="PF1528" s="42" t="str">
        <f ca="1"/>
        <v/>
      </c>
      <c r="PG1528" s="42" t="str">
        <f ca="1"/>
        <v/>
      </c>
      <c r="PH1528" s="42" t="str">
        <f ca="1"/>
        <v/>
      </c>
      <c r="PI1528" s="42" t="str">
        <f ca="1"/>
        <v/>
      </c>
      <c r="PJ1528" s="42" t="str">
        <f ca="1"/>
        <v/>
      </c>
      <c r="PK1528" s="42" t="str">
        <f ca="1"/>
        <v/>
      </c>
      <c r="PL1528" s="42" t="str">
        <f ca="1"/>
        <v/>
      </c>
      <c r="PM1528" s="42" t="str">
        <f ca="1"/>
        <v/>
      </c>
      <c r="PN1528" s="42" t="str">
        <f ca="1"/>
        <v/>
      </c>
      <c r="PO1528" s="42" t="str">
        <f ca="1"/>
        <v/>
      </c>
      <c r="PP1528" s="42" t="str">
        <f ca="1"/>
        <v/>
      </c>
      <c r="PQ1528" s="42" t="str">
        <f ca="1"/>
        <v/>
      </c>
      <c r="PR1528" s="42" t="str">
        <f ca="1"/>
        <v/>
      </c>
      <c r="PS1528" s="42" t="str">
        <f ca="1"/>
        <v/>
      </c>
      <c r="PT1528" s="42" t="str">
        <f ca="1"/>
        <v/>
      </c>
      <c r="PU1528" s="42" t="str">
        <f ca="1"/>
        <v/>
      </c>
      <c r="PV1528" s="42" t="str">
        <f ca="1"/>
        <v/>
      </c>
      <c r="PW1528" s="42" t="str">
        <f ca="1"/>
        <v/>
      </c>
      <c r="PX1528" s="42" t="str">
        <f ca="1"/>
        <v/>
      </c>
      <c r="PY1528" s="42" t="str">
        <f ca="1"/>
        <v/>
      </c>
      <c r="PZ1528" s="42" t="str">
        <f ca="1"/>
        <v/>
      </c>
      <c r="QA1528" s="42" t="str">
        <f ca="1"/>
        <v/>
      </c>
      <c r="QB1528" s="42" t="str">
        <f ca="1"/>
        <v/>
      </c>
      <c r="QC1528" s="42" t="str">
        <f ca="1"/>
        <v/>
      </c>
      <c r="QD1528" s="42" t="str">
        <f ca="1"/>
        <v/>
      </c>
      <c r="QE1528" s="42" t="str">
        <f ca="1"/>
        <v/>
      </c>
      <c r="QF1528" s="42" t="str">
        <f ca="1"/>
        <v/>
      </c>
      <c r="QG1528" s="42" t="str">
        <f ca="1"/>
        <v/>
      </c>
      <c r="QH1528" s="42" t="str">
        <f ca="1"/>
        <v/>
      </c>
      <c r="QI1528" s="42" t="str">
        <f ca="1"/>
        <v/>
      </c>
      <c r="QJ1528" s="42" t="str">
        <f ca="1"/>
        <v/>
      </c>
      <c r="QK1528" s="42" t="str">
        <f ca="1"/>
        <v/>
      </c>
      <c r="QL1528" s="42" t="str">
        <f ca="1"/>
        <v/>
      </c>
      <c r="QM1528" s="42" t="str">
        <f ca="1"/>
        <v/>
      </c>
      <c r="QN1528" s="42" t="str">
        <f ca="1"/>
        <v/>
      </c>
      <c r="QO1528" s="42" t="str">
        <f ca="1"/>
        <v/>
      </c>
      <c r="QP1528" s="42" t="str">
        <f ca="1"/>
        <v/>
      </c>
      <c r="QQ1528" s="42" t="str">
        <f ca="1"/>
        <v/>
      </c>
      <c r="QR1528" s="42" t="str">
        <f ca="1"/>
        <v/>
      </c>
      <c r="QS1528" s="42" t="str">
        <f ca="1"/>
        <v/>
      </c>
      <c r="QT1528" s="42" t="str">
        <f ca="1"/>
        <v/>
      </c>
      <c r="QU1528" s="42" t="str">
        <f ca="1"/>
        <v/>
      </c>
      <c r="QV1528" s="42" t="str">
        <f ca="1"/>
        <v/>
      </c>
      <c r="QW1528" s="42" t="str">
        <f ca="1"/>
        <v/>
      </c>
      <c r="QX1528" s="42" t="str">
        <f ca="1"/>
        <v/>
      </c>
      <c r="QY1528" s="42" t="str">
        <f ca="1"/>
        <v/>
      </c>
      <c r="QZ1528" s="42" t="str">
        <f ca="1"/>
        <v/>
      </c>
      <c r="RA1528" s="42" t="str">
        <f ca="1"/>
        <v/>
      </c>
      <c r="RB1528" s="42" t="str">
        <f ca="1"/>
        <v/>
      </c>
      <c r="RC1528" s="42" t="str">
        <f ca="1"/>
        <v/>
      </c>
      <c r="RD1528" s="42" t="str">
        <f ca="1"/>
        <v/>
      </c>
      <c r="RE1528" s="42" t="str">
        <f ca="1"/>
        <v/>
      </c>
      <c r="RF1528" s="42" t="str">
        <f ca="1"/>
        <v/>
      </c>
      <c r="RG1528" s="42" t="str">
        <f ca="1"/>
        <v/>
      </c>
      <c r="RH1528" s="42" t="str">
        <f ca="1"/>
        <v/>
      </c>
      <c r="RI1528" s="42" t="str">
        <f ca="1"/>
        <v/>
      </c>
      <c r="RJ1528" s="42" t="str">
        <f ca="1"/>
        <v/>
      </c>
      <c r="RK1528" s="42" t="str">
        <f ca="1"/>
        <v/>
      </c>
      <c r="RL1528" s="42" t="str">
        <f ca="1"/>
        <v/>
      </c>
      <c r="RM1528" s="42" t="str">
        <f ca="1"/>
        <v/>
      </c>
      <c r="RN1528" s="42" t="str">
        <f ca="1"/>
        <v/>
      </c>
      <c r="RO1528" s="42" t="str">
        <f ca="1"/>
        <v/>
      </c>
      <c r="RP1528" s="42" t="str">
        <f ca="1"/>
        <v/>
      </c>
      <c r="RQ1528" s="42" t="str">
        <f ca="1"/>
        <v/>
      </c>
      <c r="RR1528" s="42" t="str">
        <f ca="1"/>
        <v/>
      </c>
      <c r="RS1528" s="42" t="str">
        <f ca="1"/>
        <v/>
      </c>
      <c r="RT1528" s="42" t="str">
        <f ca="1"/>
        <v/>
      </c>
      <c r="RU1528" s="42" t="str">
        <f ca="1"/>
        <v/>
      </c>
      <c r="RV1528" s="42" t="str">
        <f ca="1"/>
        <v/>
      </c>
      <c r="RW1528" s="42" t="str">
        <f ca="1"/>
        <v/>
      </c>
      <c r="RX1528" s="42" t="str">
        <f ca="1"/>
        <v/>
      </c>
      <c r="RY1528" s="42" t="str">
        <f ca="1"/>
        <v/>
      </c>
      <c r="RZ1528" s="42" t="str">
        <f ca="1"/>
        <v/>
      </c>
      <c r="SA1528" s="42" t="str">
        <f ca="1"/>
        <v/>
      </c>
      <c r="SB1528" s="42" t="str">
        <f ca="1"/>
        <v/>
      </c>
      <c r="SC1528" s="42" t="str">
        <f ca="1"/>
        <v/>
      </c>
      <c r="SD1528" s="42" t="str">
        <f ca="1"/>
        <v/>
      </c>
      <c r="SE1528" s="42" t="str">
        <f ca="1"/>
        <v/>
      </c>
      <c r="SF1528" s="42" t="str">
        <f ca="1"/>
        <v/>
      </c>
      <c r="SG1528" s="42" t="str">
        <f ca="1"/>
        <v/>
      </c>
      <c r="SH1528" s="42" t="str">
        <f ca="1"/>
        <v/>
      </c>
      <c r="SI1528" s="42" t="str">
        <f ca="1"/>
        <v/>
      </c>
      <c r="SJ1528" s="42" t="str">
        <f ca="1"/>
        <v/>
      </c>
      <c r="SK1528" s="42" t="str">
        <f ca="1"/>
        <v/>
      </c>
      <c r="SL1528" s="42" t="str">
        <f ca="1"/>
        <v/>
      </c>
      <c r="SM1528" s="42" t="str">
        <f ca="1"/>
        <v/>
      </c>
      <c r="SN1528" s="42" t="str">
        <f ca="1"/>
        <v/>
      </c>
      <c r="SO1528" s="42" t="str">
        <f ca="1"/>
        <v/>
      </c>
      <c r="SP1528" s="42" t="str">
        <f ca="1"/>
        <v/>
      </c>
      <c r="SQ1528" s="42" t="str">
        <f ca="1"/>
        <v/>
      </c>
      <c r="SR1528" s="42" t="str">
        <f ca="1"/>
        <v/>
      </c>
      <c r="SS1528" s="42" t="str">
        <f ca="1"/>
        <v/>
      </c>
      <c r="ST1528" s="42" t="str">
        <f ca="1"/>
        <v/>
      </c>
      <c r="SU1528" s="42" t="str">
        <f ca="1"/>
        <v/>
      </c>
      <c r="SV1528" s="42" t="str">
        <f ca="1"/>
        <v/>
      </c>
      <c r="SW1528" s="42" t="str">
        <f ca="1"/>
        <v/>
      </c>
      <c r="SX1528" s="42" t="str">
        <f ca="1"/>
        <v/>
      </c>
      <c r="SY1528" s="42" t="str">
        <f ca="1"/>
        <v/>
      </c>
      <c r="SZ1528" s="42" t="str">
        <f ca="1"/>
        <v/>
      </c>
      <c r="TA1528" s="42" t="str">
        <f ca="1"/>
        <v/>
      </c>
      <c r="TB1528" s="42" t="str">
        <f ca="1"/>
        <v/>
      </c>
      <c r="TC1528" s="42" t="str">
        <f ca="1"/>
        <v/>
      </c>
      <c r="TD1528" s="42" t="str">
        <f ca="1"/>
        <v/>
      </c>
      <c r="TE1528" s="42" t="str">
        <f ca="1"/>
        <v/>
      </c>
      <c r="TF1528" s="42" t="str">
        <f ca="1"/>
        <v/>
      </c>
      <c r="TG1528" s="42" t="str">
        <f ca="1"/>
        <v/>
      </c>
      <c r="TH1528" s="42" t="str">
        <f ca="1"/>
        <v/>
      </c>
      <c r="TI1528" s="42" t="str">
        <f ca="1"/>
        <v/>
      </c>
      <c r="TJ1528" s="42" t="str">
        <f ca="1"/>
        <v/>
      </c>
      <c r="TK1528" s="42" t="str">
        <f ca="1"/>
        <v/>
      </c>
      <c r="TL1528" s="42" t="str">
        <f ca="1"/>
        <v/>
      </c>
      <c r="TM1528" s="42" t="str">
        <f ca="1"/>
        <v/>
      </c>
      <c r="TN1528" s="42" t="str">
        <f ca="1"/>
        <v/>
      </c>
      <c r="TO1528" s="42" t="str">
        <f ca="1"/>
        <v/>
      </c>
      <c r="TP1528" s="42" t="str">
        <f ca="1"/>
        <v/>
      </c>
      <c r="TQ1528" s="42" t="str">
        <f ca="1"/>
        <v/>
      </c>
      <c r="TR1528" s="42" t="str">
        <f ca="1"/>
        <v/>
      </c>
      <c r="TS1528" s="42" t="str">
        <f ca="1"/>
        <v/>
      </c>
      <c r="TT1528" s="42" t="str">
        <f ca="1"/>
        <v/>
      </c>
      <c r="TU1528" s="42" t="str">
        <f ca="1"/>
        <v/>
      </c>
      <c r="TV1528" s="42" t="str">
        <f ca="1"/>
        <v/>
      </c>
      <c r="TW1528" s="42" t="str">
        <f ca="1"/>
        <v/>
      </c>
      <c r="TX1528" s="42" t="str">
        <f ca="1"/>
        <v/>
      </c>
      <c r="TY1528" s="42" t="str">
        <f ca="1"/>
        <v/>
      </c>
      <c r="TZ1528" s="42" t="str">
        <f ca="1"/>
        <v/>
      </c>
      <c r="UA1528" s="42" t="str">
        <f ca="1"/>
        <v/>
      </c>
      <c r="UB1528" s="42" t="str">
        <f ca="1"/>
        <v/>
      </c>
      <c r="UC1528" s="42" t="str">
        <f ca="1"/>
        <v/>
      </c>
      <c r="UD1528" s="42" t="str">
        <f ca="1"/>
        <v/>
      </c>
      <c r="UE1528" s="42" t="str">
        <f ca="1"/>
        <v/>
      </c>
      <c r="UF1528" s="42" t="str">
        <f ca="1"/>
        <v/>
      </c>
      <c r="UG1528" s="42" t="str">
        <f ca="1"/>
        <v/>
      </c>
      <c r="UH1528" s="42" t="str">
        <f ca="1"/>
        <v/>
      </c>
      <c r="UI1528" s="42" t="str">
        <f ca="1"/>
        <v/>
      </c>
      <c r="UJ1528" s="42" t="str">
        <f ca="1"/>
        <v/>
      </c>
      <c r="UK1528" s="42" t="str">
        <f ca="1"/>
        <v/>
      </c>
      <c r="UL1528" s="42" t="str">
        <f ca="1"/>
        <v/>
      </c>
      <c r="UM1528" s="42" t="str">
        <f ca="1"/>
        <v/>
      </c>
      <c r="UN1528" s="42" t="str">
        <f ca="1"/>
        <v/>
      </c>
      <c r="UO1528" s="42" t="str">
        <f ca="1"/>
        <v/>
      </c>
      <c r="UP1528" s="42" t="str">
        <f ca="1"/>
        <v/>
      </c>
      <c r="UQ1528" s="42" t="str">
        <f ca="1"/>
        <v/>
      </c>
      <c r="UR1528" s="42" t="str">
        <f ca="1"/>
        <v/>
      </c>
      <c r="US1528" s="42" t="str">
        <f ca="1"/>
        <v/>
      </c>
      <c r="UT1528" s="42" t="str">
        <f ca="1"/>
        <v/>
      </c>
      <c r="UU1528" s="42" t="str">
        <f ca="1"/>
        <v/>
      </c>
      <c r="UV1528" s="42" t="str">
        <f ca="1"/>
        <v/>
      </c>
      <c r="UW1528" s="42" t="str">
        <f ca="1"/>
        <v/>
      </c>
      <c r="UX1528" s="42" t="str">
        <f ca="1"/>
        <v/>
      </c>
      <c r="UY1528" s="42" t="str">
        <f ca="1"/>
        <v/>
      </c>
      <c r="UZ1528" s="42" t="str">
        <f ca="1"/>
        <v/>
      </c>
      <c r="VA1528" s="42" t="str">
        <f ca="1"/>
        <v/>
      </c>
      <c r="VB1528" s="42" t="str">
        <f ca="1"/>
        <v/>
      </c>
      <c r="VC1528" s="42" t="str">
        <f ca="1"/>
        <v/>
      </c>
      <c r="VD1528" s="42" t="str">
        <f ca="1"/>
        <v/>
      </c>
      <c r="VE1528" s="42" t="str">
        <f ca="1"/>
        <v/>
      </c>
      <c r="VF1528" s="42" t="str">
        <f ca="1"/>
        <v/>
      </c>
      <c r="VG1528" s="42" t="str">
        <f ca="1"/>
        <v/>
      </c>
      <c r="VH1528" s="42" t="str">
        <f ca="1"/>
        <v/>
      </c>
      <c r="VI1528" s="42" t="str">
        <f ca="1"/>
        <v/>
      </c>
      <c r="VJ1528" s="42" t="str">
        <f ca="1"/>
        <v/>
      </c>
      <c r="VK1528" s="42" t="str">
        <f ca="1"/>
        <v/>
      </c>
      <c r="VL1528" s="42" t="str">
        <f ca="1"/>
        <v/>
      </c>
      <c r="VM1528" s="42" t="str">
        <f ca="1"/>
        <v/>
      </c>
      <c r="VN1528" s="42" t="str">
        <f ca="1"/>
        <v/>
      </c>
      <c r="VO1528" s="42" t="str">
        <f ca="1"/>
        <v/>
      </c>
      <c r="VP1528" s="42" t="str">
        <f ca="1"/>
        <v/>
      </c>
      <c r="VQ1528" s="42" t="str">
        <f ca="1"/>
        <v/>
      </c>
      <c r="VR1528" s="42" t="str">
        <f ca="1"/>
        <v/>
      </c>
      <c r="VS1528" s="42" t="str">
        <f ca="1"/>
        <v/>
      </c>
      <c r="VT1528" s="42" t="str">
        <f ca="1"/>
        <v/>
      </c>
      <c r="VU1528" s="42" t="str">
        <f ca="1"/>
        <v/>
      </c>
      <c r="VV1528" s="42" t="str">
        <f ca="1"/>
        <v/>
      </c>
      <c r="VW1528" s="42" t="str">
        <f ca="1"/>
        <v/>
      </c>
      <c r="VX1528" s="42" t="str">
        <f ca="1"/>
        <v/>
      </c>
      <c r="VY1528" s="42" t="str">
        <f ca="1"/>
        <v/>
      </c>
      <c r="VZ1528" s="42" t="str">
        <f ca="1"/>
        <v/>
      </c>
      <c r="WA1528" s="42" t="str">
        <f ca="1"/>
        <v/>
      </c>
      <c r="WB1528" s="42" t="str">
        <f ca="1"/>
        <v/>
      </c>
      <c r="WC1528" s="42" t="str">
        <f ca="1"/>
        <v/>
      </c>
      <c r="WD1528" s="42" t="str">
        <f ca="1"/>
        <v/>
      </c>
      <c r="WE1528" s="42" t="str">
        <f ca="1"/>
        <v/>
      </c>
      <c r="WF1528" s="42" t="str">
        <f ca="1"/>
        <v/>
      </c>
      <c r="WG1528" s="42" t="str">
        <f ca="1"/>
        <v/>
      </c>
      <c r="WH1528" s="42" t="str">
        <f ca="1"/>
        <v/>
      </c>
      <c r="WI1528" s="42" t="str">
        <f ca="1"/>
        <v/>
      </c>
      <c r="WJ1528" s="42" t="str">
        <f ca="1"/>
        <v/>
      </c>
      <c r="WK1528" s="42" t="str">
        <f ca="1"/>
        <v/>
      </c>
      <c r="WL1528" s="42" t="str">
        <f ca="1"/>
        <v/>
      </c>
      <c r="WM1528" s="42" t="str">
        <f ca="1"/>
        <v/>
      </c>
      <c r="WN1528" s="42" t="str">
        <f ca="1"/>
        <v/>
      </c>
      <c r="WO1528" s="42" t="str">
        <f ca="1"/>
        <v/>
      </c>
      <c r="WP1528" s="42" t="str">
        <f ca="1"/>
        <v/>
      </c>
      <c r="WQ1528" s="42" t="str">
        <f ca="1"/>
        <v/>
      </c>
      <c r="WR1528" s="42" t="str">
        <f ca="1"/>
        <v/>
      </c>
      <c r="WS1528" s="42" t="str">
        <f ca="1"/>
        <v/>
      </c>
      <c r="WT1528" s="42" t="str">
        <f ca="1"/>
        <v/>
      </c>
      <c r="WU1528" s="42" t="str">
        <f ca="1"/>
        <v/>
      </c>
      <c r="WV1528" s="42" t="str">
        <f ca="1"/>
        <v/>
      </c>
      <c r="WW1528" s="42" t="str">
        <f ca="1"/>
        <v/>
      </c>
      <c r="WX1528" s="42" t="str">
        <f ca="1"/>
        <v/>
      </c>
      <c r="WY1528" s="42" t="str">
        <f ca="1"/>
        <v/>
      </c>
      <c r="WZ1528" s="42" t="str">
        <f ca="1"/>
        <v/>
      </c>
      <c r="XA1528" s="42" t="str">
        <f ca="1"/>
        <v/>
      </c>
      <c r="XB1528" s="42" t="str">
        <f ca="1"/>
        <v/>
      </c>
      <c r="XC1528" s="42" t="str">
        <f ca="1"/>
        <v/>
      </c>
      <c r="XD1528" s="42" t="str">
        <f ca="1"/>
        <v/>
      </c>
      <c r="XE1528" s="42" t="str">
        <f ca="1"/>
        <v/>
      </c>
      <c r="XF1528" s="42" t="str">
        <f ca="1"/>
        <v/>
      </c>
      <c r="XG1528" s="42" t="str">
        <f ca="1"/>
        <v/>
      </c>
      <c r="XH1528" s="42" t="str">
        <f ca="1"/>
        <v/>
      </c>
      <c r="XI1528" s="42" t="str">
        <f ca="1"/>
        <v/>
      </c>
      <c r="XJ1528" s="42" t="str">
        <f ca="1"/>
        <v/>
      </c>
      <c r="XK1528" s="42" t="str">
        <f ca="1"/>
        <v/>
      </c>
      <c r="XL1528" s="42" t="str">
        <f ca="1"/>
        <v/>
      </c>
      <c r="XM1528" s="42" t="str">
        <f ca="1"/>
        <v/>
      </c>
      <c r="XN1528" s="42" t="str">
        <f ca="1"/>
        <v/>
      </c>
      <c r="XO1528" s="42" t="str">
        <f ca="1"/>
        <v/>
      </c>
      <c r="XP1528" s="42" t="str">
        <f ca="1"/>
        <v/>
      </c>
      <c r="XQ1528" s="42" t="str">
        <f ca="1"/>
        <v/>
      </c>
      <c r="XR1528" s="42" t="str">
        <f ca="1"/>
        <v/>
      </c>
      <c r="XS1528" s="42" t="str">
        <f ca="1"/>
        <v/>
      </c>
      <c r="XT1528" s="42" t="str">
        <f ca="1"/>
        <v/>
      </c>
      <c r="XU1528" s="42" t="str">
        <f ca="1"/>
        <v/>
      </c>
      <c r="XV1528" s="42" t="str">
        <f ca="1"/>
        <v/>
      </c>
      <c r="XW1528" s="42" t="str">
        <f ca="1"/>
        <v/>
      </c>
      <c r="XX1528" s="42" t="str">
        <f ca="1"/>
        <v/>
      </c>
      <c r="XY1528" s="42" t="str">
        <f ca="1"/>
        <v/>
      </c>
      <c r="XZ1528" s="42" t="str">
        <f ca="1"/>
        <v/>
      </c>
      <c r="YA1528" s="42" t="str">
        <f ca="1"/>
        <v/>
      </c>
      <c r="YB1528" s="42" t="str">
        <f ca="1"/>
        <v/>
      </c>
      <c r="YC1528" s="42" t="str">
        <f ca="1"/>
        <v/>
      </c>
      <c r="YD1528" s="42" t="str">
        <f ca="1"/>
        <v/>
      </c>
      <c r="YE1528" s="42" t="str">
        <f ca="1"/>
        <v/>
      </c>
      <c r="YF1528" s="42" t="str">
        <f ca="1"/>
        <v/>
      </c>
      <c r="YG1528" s="42" t="str">
        <f ca="1"/>
        <v/>
      </c>
      <c r="YH1528" s="42" t="str">
        <f ca="1"/>
        <v/>
      </c>
      <c r="YI1528" s="42" t="str">
        <f ca="1"/>
        <v/>
      </c>
      <c r="YJ1528" s="42" t="str">
        <f ca="1"/>
        <v/>
      </c>
      <c r="YK1528" s="42" t="str">
        <f ca="1"/>
        <v/>
      </c>
      <c r="YL1528" s="42" t="str">
        <f ca="1"/>
        <v/>
      </c>
      <c r="YM1528" s="42" t="str">
        <f ca="1"/>
        <v/>
      </c>
      <c r="YN1528" s="42" t="str">
        <f ca="1"/>
        <v/>
      </c>
      <c r="YO1528" s="42" t="str">
        <f ca="1"/>
        <v/>
      </c>
      <c r="YP1528" s="42" t="str">
        <f ca="1"/>
        <v/>
      </c>
      <c r="YQ1528" s="42" t="str">
        <f ca="1"/>
        <v/>
      </c>
      <c r="YR1528" s="42" t="str">
        <f ca="1"/>
        <v/>
      </c>
      <c r="YS1528" s="42" t="str">
        <f ca="1"/>
        <v/>
      </c>
      <c r="YT1528" s="42" t="str">
        <f ca="1"/>
        <v/>
      </c>
      <c r="YU1528" s="42" t="str">
        <f ca="1"/>
        <v/>
      </c>
      <c r="YV1528" s="42" t="str">
        <f ca="1"/>
        <v/>
      </c>
      <c r="YW1528" s="42" t="str">
        <f ca="1"/>
        <v/>
      </c>
      <c r="YX1528" s="42" t="str">
        <f ca="1"/>
        <v/>
      </c>
      <c r="YY1528" s="42" t="str">
        <f ca="1"/>
        <v/>
      </c>
      <c r="YZ1528" s="42" t="str">
        <f ca="1"/>
        <v/>
      </c>
      <c r="ZA1528" s="42" t="str">
        <f ca="1"/>
        <v/>
      </c>
      <c r="ZB1528" s="42" t="str">
        <f ca="1"/>
        <v/>
      </c>
      <c r="ZC1528" s="42" t="str">
        <f ca="1"/>
        <v/>
      </c>
      <c r="ZD1528" s="42" t="str">
        <f ca="1"/>
        <v/>
      </c>
      <c r="ZE1528" s="42" t="str">
        <f ca="1"/>
        <v/>
      </c>
      <c r="ZF1528" s="42" t="str">
        <f ca="1"/>
        <v/>
      </c>
      <c r="ZG1528" s="42" t="str">
        <f ca="1"/>
        <v/>
      </c>
      <c r="ZH1528" s="42" t="str">
        <f ca="1"/>
        <v/>
      </c>
      <c r="ZI1528" s="42" t="str">
        <f ca="1"/>
        <v/>
      </c>
      <c r="ZJ1528" s="42" t="str">
        <f ca="1"/>
        <v/>
      </c>
      <c r="ZK1528" s="42" t="str">
        <f ca="1"/>
        <v/>
      </c>
      <c r="ZL1528" s="42" t="str">
        <f ca="1"/>
        <v/>
      </c>
      <c r="ZM1528" s="42" t="str">
        <f ca="1"/>
        <v/>
      </c>
      <c r="ZN1528" s="42" t="str">
        <f ca="1"/>
        <v/>
      </c>
      <c r="ZO1528" s="42" t="str">
        <f ca="1"/>
        <v/>
      </c>
      <c r="ZP1528" s="42" t="str">
        <f ca="1"/>
        <v/>
      </c>
      <c r="ZQ1528" s="42" t="str">
        <f ca="1"/>
        <v/>
      </c>
      <c r="ZR1528" s="42" t="str">
        <f ca="1"/>
        <v/>
      </c>
      <c r="ZS1528" s="42" t="str">
        <f ca="1"/>
        <v/>
      </c>
      <c r="ZT1528" s="42" t="str">
        <f ca="1"/>
        <v/>
      </c>
      <c r="ZU1528" s="42" t="str">
        <f ca="1"/>
        <v/>
      </c>
      <c r="ZV1528" s="42" t="str">
        <f ca="1"/>
        <v/>
      </c>
      <c r="ZW1528" s="42" t="str">
        <f ca="1"/>
        <v/>
      </c>
      <c r="ZX1528" s="42" t="str">
        <f ca="1"/>
        <v/>
      </c>
      <c r="ZY1528" s="42" t="str">
        <f ca="1"/>
        <v/>
      </c>
      <c r="ZZ1528" s="42" t="str">
        <f ca="1"/>
        <v/>
      </c>
      <c r="AAA1528" s="42" t="str">
        <f ca="1"/>
        <v/>
      </c>
      <c r="AAB1528" s="42" t="str">
        <f ca="1"/>
        <v/>
      </c>
      <c r="AAC1528" s="42" t="str">
        <f ca="1"/>
        <v/>
      </c>
      <c r="AAD1528" s="42" t="str">
        <f ca="1"/>
        <v/>
      </c>
      <c r="AAE1528" s="42" t="str">
        <f ca="1"/>
        <v/>
      </c>
      <c r="AAF1528" s="42" t="str">
        <f ca="1"/>
        <v/>
      </c>
      <c r="AAG1528" s="42" t="str">
        <f ca="1"/>
        <v/>
      </c>
      <c r="AAH1528" s="42" t="str">
        <f ca="1"/>
        <v/>
      </c>
      <c r="AAI1528" s="42" t="str">
        <f ca="1"/>
        <v/>
      </c>
      <c r="AAJ1528" s="42" t="str">
        <f ca="1"/>
        <v/>
      </c>
      <c r="AAK1528" s="42" t="str">
        <f ca="1"/>
        <v/>
      </c>
      <c r="AAL1528" s="42" t="str">
        <f ca="1"/>
        <v/>
      </c>
      <c r="AAM1528" s="42" t="str">
        <f ca="1"/>
        <v/>
      </c>
      <c r="AAN1528" s="42" t="str">
        <f ca="1"/>
        <v/>
      </c>
      <c r="AAO1528" s="42" t="str">
        <f ca="1"/>
        <v/>
      </c>
      <c r="AAP1528" s="42" t="str">
        <f ca="1"/>
        <v/>
      </c>
      <c r="AAQ1528" s="42" t="str">
        <f ca="1"/>
        <v/>
      </c>
      <c r="AAR1528" s="42" t="str">
        <f ca="1"/>
        <v/>
      </c>
      <c r="AAS1528" s="42" t="str">
        <f ca="1"/>
        <v/>
      </c>
      <c r="AAT1528" s="42" t="str">
        <f ca="1"/>
        <v/>
      </c>
      <c r="AAU1528" s="42" t="str">
        <f ca="1"/>
        <v/>
      </c>
      <c r="AAV1528" s="42" t="str">
        <f ca="1"/>
        <v/>
      </c>
      <c r="AAW1528" s="42" t="str">
        <f ca="1"/>
        <v/>
      </c>
      <c r="AAX1528" s="42" t="str">
        <f ca="1"/>
        <v/>
      </c>
      <c r="AAY1528" s="42" t="str">
        <f ca="1"/>
        <v/>
      </c>
      <c r="AAZ1528" s="42" t="str">
        <f ca="1"/>
        <v/>
      </c>
      <c r="ABA1528" s="42" t="str">
        <f ca="1"/>
        <v/>
      </c>
      <c r="ABB1528" s="42" t="str">
        <f ca="1"/>
        <v/>
      </c>
      <c r="ABC1528" s="42" t="str">
        <f ca="1"/>
        <v/>
      </c>
      <c r="ABD1528" s="42" t="str">
        <f ca="1"/>
        <v/>
      </c>
      <c r="ABE1528" s="42" t="str">
        <f ca="1"/>
        <v/>
      </c>
      <c r="ABF1528" s="42" t="str">
        <f ca="1"/>
        <v/>
      </c>
      <c r="ABG1528" s="42" t="str">
        <f ca="1"/>
        <v/>
      </c>
      <c r="ABH1528" s="42" t="str">
        <f ca="1"/>
        <v/>
      </c>
      <c r="ABI1528" s="42" t="str">
        <f ca="1"/>
        <v/>
      </c>
      <c r="ABJ1528" s="42" t="str">
        <f ca="1"/>
        <v/>
      </c>
      <c r="ABK1528" s="42" t="str">
        <f ca="1"/>
        <v/>
      </c>
      <c r="ABL1528" s="42" t="str">
        <f ca="1"/>
        <v/>
      </c>
      <c r="ABM1528" s="42" t="str">
        <f ca="1"/>
        <v/>
      </c>
      <c r="ABN1528" s="42" t="str">
        <f ca="1"/>
        <v/>
      </c>
      <c r="ABO1528" s="42" t="str">
        <f ca="1"/>
        <v/>
      </c>
      <c r="ABP1528" s="42" t="str">
        <f ca="1"/>
        <v/>
      </c>
      <c r="ABQ1528" s="42" t="str">
        <f ca="1"/>
        <v/>
      </c>
      <c r="ABR1528" s="42" t="str">
        <f ca="1"/>
        <v/>
      </c>
      <c r="ABS1528" s="42" t="str">
        <f ca="1"/>
        <v/>
      </c>
      <c r="ABT1528" s="42" t="str">
        <f ca="1"/>
        <v/>
      </c>
      <c r="ABU1528" s="42" t="str">
        <f ca="1"/>
        <v/>
      </c>
      <c r="ABV1528" s="42" t="str">
        <f ca="1"/>
        <v/>
      </c>
      <c r="ABW1528" s="42" t="str">
        <f ca="1"/>
        <v/>
      </c>
      <c r="ABX1528" s="42" t="str">
        <f ca="1"/>
        <v/>
      </c>
      <c r="ABY1528" s="42" t="str">
        <f ca="1"/>
        <v/>
      </c>
      <c r="ABZ1528" s="42" t="str">
        <f ca="1"/>
        <v/>
      </c>
      <c r="ACA1528" s="42" t="str">
        <f ca="1"/>
        <v/>
      </c>
      <c r="ACB1528" s="42" t="str">
        <f ca="1"/>
        <v/>
      </c>
      <c r="ACC1528" s="42" t="str">
        <f ca="1"/>
        <v/>
      </c>
      <c r="ACD1528" s="42" t="str">
        <f ca="1"/>
        <v/>
      </c>
      <c r="ACE1528" s="42" t="str">
        <f ca="1"/>
        <v/>
      </c>
      <c r="ACF1528" s="42" t="str">
        <f ca="1"/>
        <v/>
      </c>
      <c r="ACG1528" s="42" t="str">
        <f ca="1"/>
        <v/>
      </c>
      <c r="ACH1528" s="42" t="str">
        <f ca="1"/>
        <v/>
      </c>
      <c r="ACI1528" s="42" t="str">
        <f ca="1"/>
        <v/>
      </c>
      <c r="ACJ1528" s="42" t="str">
        <f ca="1"/>
        <v/>
      </c>
      <c r="ACK1528" s="42" t="str">
        <f ca="1"/>
        <v/>
      </c>
      <c r="ACL1528" s="42" t="str">
        <f ca="1"/>
        <v/>
      </c>
      <c r="ACM1528" s="42" t="str">
        <f ca="1"/>
        <v/>
      </c>
      <c r="ACN1528" s="42" t="str">
        <f ca="1"/>
        <v/>
      </c>
      <c r="ACO1528" s="42" t="str">
        <f ca="1"/>
        <v/>
      </c>
      <c r="ACP1528" s="42" t="str">
        <f ca="1"/>
        <v/>
      </c>
      <c r="ACQ1528" s="42" t="str">
        <f ca="1"/>
        <v/>
      </c>
      <c r="ACR1528" s="42" t="str">
        <f ca="1"/>
        <v/>
      </c>
      <c r="ACS1528" s="42" t="str">
        <f ca="1"/>
        <v/>
      </c>
      <c r="ACT1528" s="42" t="str">
        <f ca="1"/>
        <v/>
      </c>
      <c r="ACU1528" s="42" t="str">
        <f ca="1"/>
        <v/>
      </c>
      <c r="ACV1528" s="42" t="str">
        <f ca="1"/>
        <v/>
      </c>
      <c r="ACW1528" s="42" t="str">
        <f ca="1"/>
        <v/>
      </c>
      <c r="ACX1528" s="42" t="str">
        <f ca="1"/>
        <v/>
      </c>
      <c r="ACY1528" s="42" t="str">
        <f ca="1"/>
        <v/>
      </c>
      <c r="ACZ1528" s="42" t="str">
        <f ca="1"/>
        <v/>
      </c>
      <c r="ADA1528" s="42" t="str">
        <f ca="1"/>
        <v/>
      </c>
      <c r="ADB1528" s="42" t="str">
        <f ca="1"/>
        <v/>
      </c>
      <c r="ADC1528" s="42" t="str">
        <f ca="1"/>
        <v/>
      </c>
      <c r="ADD1528" s="42" t="str">
        <f ca="1"/>
        <v/>
      </c>
      <c r="ADE1528" s="42" t="str">
        <f ca="1"/>
        <v/>
      </c>
      <c r="ADF1528" s="42" t="str">
        <f ca="1"/>
        <v/>
      </c>
      <c r="ADG1528" s="42" t="str">
        <f ca="1"/>
        <v/>
      </c>
      <c r="ADH1528" s="42" t="str">
        <f ca="1"/>
        <v/>
      </c>
      <c r="ADI1528" s="42" t="str">
        <f ca="1"/>
        <v/>
      </c>
      <c r="ADJ1528" s="42" t="str">
        <f ca="1"/>
        <v/>
      </c>
      <c r="ADK1528" s="42" t="str">
        <f ca="1"/>
        <v/>
      </c>
      <c r="ADL1528" s="42" t="str">
        <f ca="1"/>
        <v/>
      </c>
      <c r="ADM1528" s="42" t="str">
        <f ca="1"/>
        <v/>
      </c>
      <c r="ADN1528" s="42" t="str">
        <f ca="1"/>
        <v/>
      </c>
      <c r="ADO1528" s="42" t="str">
        <f ca="1"/>
        <v/>
      </c>
      <c r="ADP1528" s="42" t="str">
        <f ca="1"/>
        <v/>
      </c>
      <c r="ADQ1528" s="42" t="str">
        <f ca="1"/>
        <v/>
      </c>
      <c r="ADR1528" s="42" t="str">
        <f ca="1"/>
        <v/>
      </c>
      <c r="ADS1528" s="42" t="str">
        <f ca="1"/>
        <v/>
      </c>
      <c r="ADT1528" s="42" t="str">
        <f ca="1"/>
        <v/>
      </c>
      <c r="ADU1528" s="42" t="str">
        <f ca="1"/>
        <v/>
      </c>
      <c r="ADV1528" s="42" t="str">
        <f ca="1"/>
        <v/>
      </c>
      <c r="ADW1528" s="42" t="str">
        <f ca="1"/>
        <v/>
      </c>
      <c r="ADX1528" s="42" t="str">
        <f ca="1"/>
        <v/>
      </c>
      <c r="ADY1528" s="42" t="str">
        <f ca="1"/>
        <v/>
      </c>
      <c r="ADZ1528" s="42" t="str">
        <f ca="1"/>
        <v/>
      </c>
      <c r="AEA1528" s="42" t="str">
        <f ca="1"/>
        <v/>
      </c>
      <c r="AEB1528" s="42" t="str">
        <f ca="1"/>
        <v/>
      </c>
      <c r="AEC1528" s="42" t="str">
        <f ca="1"/>
        <v/>
      </c>
      <c r="AED1528" s="42" t="str">
        <f ca="1"/>
        <v/>
      </c>
      <c r="AEE1528" s="42" t="str">
        <f ca="1"/>
        <v/>
      </c>
      <c r="AEF1528" s="42" t="str">
        <f ca="1"/>
        <v/>
      </c>
      <c r="AEG1528" s="42" t="str">
        <f ca="1"/>
        <v/>
      </c>
      <c r="AEH1528" s="42" t="str">
        <f ca="1"/>
        <v/>
      </c>
      <c r="AEI1528" s="42" t="str">
        <f ca="1"/>
        <v/>
      </c>
      <c r="AEJ1528" s="42" t="str">
        <f ca="1"/>
        <v/>
      </c>
      <c r="AEK1528" s="42" t="str">
        <f ca="1"/>
        <v/>
      </c>
      <c r="AEL1528" s="42" t="str">
        <f ca="1"/>
        <v/>
      </c>
      <c r="AEM1528" s="42" t="str">
        <f ca="1"/>
        <v/>
      </c>
      <c r="AEN1528" s="42" t="str">
        <f ca="1"/>
        <v/>
      </c>
      <c r="AEO1528" s="42" t="str">
        <f ca="1"/>
        <v/>
      </c>
      <c r="AEP1528" s="42" t="str">
        <f ca="1"/>
        <v/>
      </c>
      <c r="AEQ1528" s="42" t="str">
        <f ca="1"/>
        <v/>
      </c>
      <c r="AER1528" s="42" t="str">
        <f ca="1"/>
        <v/>
      </c>
      <c r="AES1528" s="42" t="str">
        <f ca="1"/>
        <v/>
      </c>
      <c r="AET1528" s="42" t="str">
        <f ca="1"/>
        <v/>
      </c>
      <c r="AEU1528" s="42" t="str">
        <f ca="1"/>
        <v/>
      </c>
      <c r="AEV1528" s="42" t="str">
        <f ca="1"/>
        <v/>
      </c>
      <c r="AEW1528" s="42" t="str">
        <f ca="1"/>
        <v/>
      </c>
      <c r="AEX1528" s="42" t="str">
        <f ca="1"/>
        <v/>
      </c>
      <c r="AEY1528" s="42" t="str">
        <f ca="1"/>
        <v/>
      </c>
      <c r="AEZ1528" s="42" t="str">
        <f ca="1"/>
        <v/>
      </c>
      <c r="AFA1528" s="42" t="str">
        <f ca="1"/>
        <v/>
      </c>
      <c r="AFB1528" s="42" t="str">
        <f ca="1"/>
        <v/>
      </c>
      <c r="AFC1528" s="42" t="str">
        <f ca="1"/>
        <v/>
      </c>
      <c r="AFD1528" s="42" t="str">
        <f ca="1"/>
        <v/>
      </c>
      <c r="AFE1528" s="42" t="str">
        <f ca="1"/>
        <v/>
      </c>
      <c r="AFF1528" s="42" t="str">
        <f ca="1"/>
        <v/>
      </c>
      <c r="AFG1528" s="42" t="str">
        <f ca="1"/>
        <v/>
      </c>
      <c r="AFH1528" s="42" t="str">
        <f ca="1"/>
        <v/>
      </c>
      <c r="AFI1528" s="42" t="str">
        <f ca="1"/>
        <v/>
      </c>
      <c r="AFJ1528" s="42" t="str">
        <f ca="1"/>
        <v/>
      </c>
      <c r="AFK1528" s="42" t="str">
        <f ca="1"/>
        <v/>
      </c>
      <c r="AFL1528" s="42" t="str">
        <f ca="1"/>
        <v/>
      </c>
      <c r="AFM1528" s="42" t="str">
        <f ca="1"/>
        <v/>
      </c>
      <c r="AFN1528" s="42" t="str">
        <f ca="1"/>
        <v/>
      </c>
      <c r="AFO1528" s="42" t="str">
        <f ca="1"/>
        <v/>
      </c>
      <c r="AFP1528" s="42" t="str">
        <f ca="1"/>
        <v/>
      </c>
      <c r="AFQ1528" s="42" t="str">
        <f ca="1"/>
        <v/>
      </c>
      <c r="AFR1528" s="42" t="str">
        <f ca="1"/>
        <v/>
      </c>
      <c r="AFS1528" s="42" t="str">
        <f ca="1"/>
        <v/>
      </c>
      <c r="AFT1528" s="42" t="str">
        <f ca="1"/>
        <v/>
      </c>
      <c r="AFU1528" s="42" t="str">
        <f ca="1"/>
        <v/>
      </c>
      <c r="AFV1528" s="42" t="str">
        <f ca="1"/>
        <v/>
      </c>
      <c r="AFW1528" s="42" t="str">
        <f ca="1"/>
        <v/>
      </c>
      <c r="AFX1528" s="42" t="str">
        <f ca="1"/>
        <v/>
      </c>
      <c r="AFY1528" s="42" t="str">
        <f ca="1"/>
        <v/>
      </c>
      <c r="AFZ1528" s="42" t="str">
        <f ca="1"/>
        <v/>
      </c>
      <c r="AGA1528" s="42" t="str">
        <f ca="1"/>
        <v/>
      </c>
      <c r="AGB1528" s="42" t="str">
        <f ca="1"/>
        <v/>
      </c>
      <c r="AGC1528" s="42" t="str">
        <f ca="1"/>
        <v/>
      </c>
      <c r="AGD1528" s="42" t="str">
        <f ca="1"/>
        <v/>
      </c>
      <c r="AGE1528" s="42" t="str">
        <f ca="1"/>
        <v/>
      </c>
      <c r="AGF1528" s="42" t="str">
        <f ca="1"/>
        <v/>
      </c>
      <c r="AGG1528" s="42" t="str">
        <f ca="1"/>
        <v/>
      </c>
      <c r="AGH1528" s="42" t="str">
        <f ca="1"/>
        <v/>
      </c>
      <c r="AGI1528" s="42" t="str">
        <f ca="1"/>
        <v/>
      </c>
      <c r="AGJ1528" s="42" t="str">
        <f ca="1"/>
        <v/>
      </c>
      <c r="AGK1528" s="42" t="str">
        <f ca="1"/>
        <v/>
      </c>
      <c r="AGL1528" s="42" t="str">
        <f ca="1"/>
        <v/>
      </c>
      <c r="AGM1528" s="42" t="str">
        <f ca="1"/>
        <v/>
      </c>
      <c r="AGN1528" s="42" t="str">
        <f ca="1"/>
        <v/>
      </c>
    </row>
    <row r="1529" spans="15:872" x14ac:dyDescent="0.25">
      <c r="O1529" s="42">
        <v>16</v>
      </c>
      <c r="P1529" s="42" t="str">
        <f ca="1"/>
        <v/>
      </c>
      <c r="Q1529" s="42" t="str">
        <f ca="1"/>
        <v/>
      </c>
      <c r="R1529" s="42" t="str">
        <f ca="1"/>
        <v/>
      </c>
      <c r="S1529" s="42" t="str">
        <f ca="1"/>
        <v/>
      </c>
      <c r="T1529" s="42" t="str">
        <f ca="1"/>
        <v/>
      </c>
      <c r="U1529" s="42" t="str">
        <f ca="1"/>
        <v/>
      </c>
      <c r="V1529" s="42" t="str">
        <f ca="1"/>
        <v/>
      </c>
      <c r="W1529" s="42" t="str">
        <f ca="1"/>
        <v/>
      </c>
      <c r="X1529" s="42" t="str">
        <f ca="1"/>
        <v/>
      </c>
      <c r="Y1529" s="42" t="str">
        <f ca="1"/>
        <v/>
      </c>
      <c r="Z1529" s="42" t="str">
        <f ca="1"/>
        <v/>
      </c>
      <c r="AA1529" s="42" t="str">
        <f ca="1"/>
        <v/>
      </c>
      <c r="AB1529" s="42" t="str">
        <f ca="1"/>
        <v/>
      </c>
      <c r="AC1529" s="42" t="str">
        <f ca="1"/>
        <v/>
      </c>
      <c r="AD1529" s="42" t="str">
        <f ca="1"/>
        <v/>
      </c>
      <c r="AE1529" s="42" t="str">
        <f ca="1"/>
        <v/>
      </c>
      <c r="AF1529" s="42" t="str">
        <f ca="1"/>
        <v/>
      </c>
      <c r="AG1529" s="42" t="str">
        <f ca="1"/>
        <v/>
      </c>
      <c r="AH1529" s="42" t="str">
        <f ca="1"/>
        <v/>
      </c>
      <c r="AI1529" s="42" t="str">
        <f ca="1"/>
        <v/>
      </c>
      <c r="AJ1529" s="42" t="str">
        <f ca="1"/>
        <v/>
      </c>
      <c r="AK1529" s="42" t="str">
        <f ca="1"/>
        <v/>
      </c>
      <c r="AL1529" s="42" t="str">
        <f ca="1"/>
        <v/>
      </c>
      <c r="AM1529" s="42" t="str">
        <f ca="1"/>
        <v/>
      </c>
      <c r="AN1529" s="42" t="str">
        <f ca="1"/>
        <v/>
      </c>
      <c r="AO1529" s="42" t="str">
        <f ca="1"/>
        <v/>
      </c>
      <c r="AP1529" s="42" t="str">
        <f ca="1"/>
        <v/>
      </c>
      <c r="AQ1529" s="42" t="str">
        <f ca="1"/>
        <v/>
      </c>
      <c r="AR1529" s="42" t="str">
        <f ca="1"/>
        <v/>
      </c>
      <c r="AS1529" s="42" t="str">
        <f ca="1"/>
        <v/>
      </c>
      <c r="AT1529" s="42" t="str">
        <f ca="1"/>
        <v/>
      </c>
      <c r="AU1529" s="42" t="str">
        <f ca="1"/>
        <v/>
      </c>
      <c r="AV1529" s="42" t="str">
        <f ca="1"/>
        <v/>
      </c>
      <c r="AW1529" s="42" t="str">
        <f ca="1"/>
        <v/>
      </c>
      <c r="AX1529" s="42" t="str">
        <f ca="1"/>
        <v/>
      </c>
      <c r="AY1529" s="42" t="str">
        <f ca="1"/>
        <v/>
      </c>
      <c r="AZ1529" s="42" t="str">
        <f ca="1"/>
        <v/>
      </c>
      <c r="BA1529" s="42" t="str">
        <f ca="1"/>
        <v/>
      </c>
      <c r="BB1529" s="42" t="str">
        <f ca="1"/>
        <v/>
      </c>
      <c r="BC1529" s="42" t="str">
        <f ca="1"/>
        <v/>
      </c>
      <c r="BD1529" s="42" t="str">
        <f ca="1"/>
        <v/>
      </c>
      <c r="BE1529" s="42" t="str">
        <f ca="1"/>
        <v/>
      </c>
      <c r="BF1529" s="42" t="str">
        <f ca="1"/>
        <v/>
      </c>
      <c r="BG1529" s="42" t="str">
        <f ca="1"/>
        <v/>
      </c>
      <c r="BH1529" s="42" t="str">
        <f ca="1"/>
        <v/>
      </c>
      <c r="BI1529" s="42" t="str">
        <f ca="1"/>
        <v/>
      </c>
      <c r="BJ1529" s="42" t="str">
        <f ca="1"/>
        <v/>
      </c>
      <c r="BK1529" s="42" t="str">
        <f ca="1"/>
        <v/>
      </c>
      <c r="BL1529" s="42" t="str">
        <f ca="1"/>
        <v/>
      </c>
      <c r="BM1529" s="42" t="str">
        <f ca="1"/>
        <v/>
      </c>
      <c r="BN1529" s="42" t="str">
        <f ca="1"/>
        <v/>
      </c>
      <c r="BO1529" s="42" t="str">
        <f ca="1"/>
        <v/>
      </c>
      <c r="BP1529" s="42" t="str">
        <f ca="1"/>
        <v/>
      </c>
      <c r="BQ1529" s="42" t="str">
        <f ca="1"/>
        <v/>
      </c>
      <c r="BR1529" s="42" t="str">
        <f ca="1"/>
        <v/>
      </c>
      <c r="BS1529" s="42" t="str">
        <f ca="1"/>
        <v/>
      </c>
      <c r="BT1529" s="42" t="str">
        <f ca="1"/>
        <v/>
      </c>
      <c r="BU1529" s="42" t="str">
        <f ca="1"/>
        <v/>
      </c>
      <c r="BV1529" s="42" t="str">
        <f ca="1"/>
        <v/>
      </c>
      <c r="BW1529" s="42" t="str">
        <f ca="1"/>
        <v/>
      </c>
      <c r="BX1529" s="42" t="str">
        <f ca="1"/>
        <v/>
      </c>
      <c r="BY1529" s="42" t="str">
        <f ca="1"/>
        <v/>
      </c>
      <c r="BZ1529" s="42" t="str">
        <f ca="1"/>
        <v/>
      </c>
      <c r="CA1529" s="42" t="str">
        <f ca="1"/>
        <v/>
      </c>
      <c r="CB1529" s="42" t="str">
        <f ca="1"/>
        <v/>
      </c>
      <c r="CC1529" s="42" t="str">
        <f ca="1"/>
        <v/>
      </c>
      <c r="CD1529" s="42" t="str">
        <f ca="1"/>
        <v/>
      </c>
      <c r="CE1529" s="42" t="str">
        <f ca="1"/>
        <v/>
      </c>
      <c r="CF1529" s="42" t="str">
        <f ca="1"/>
        <v/>
      </c>
      <c r="CG1529" s="42" t="str">
        <f ca="1"/>
        <v/>
      </c>
      <c r="CH1529" s="42" t="str">
        <f ca="1"/>
        <v/>
      </c>
      <c r="CI1529" s="42" t="str">
        <f ca="1"/>
        <v/>
      </c>
      <c r="CJ1529" s="42" t="str">
        <f ca="1"/>
        <v/>
      </c>
      <c r="CK1529" s="42" t="str">
        <f ca="1"/>
        <v/>
      </c>
      <c r="CL1529" s="42" t="str">
        <f ca="1"/>
        <v/>
      </c>
      <c r="CM1529" s="42" t="str">
        <f ca="1"/>
        <v/>
      </c>
      <c r="CN1529" s="42" t="str">
        <f ca="1"/>
        <v/>
      </c>
      <c r="CO1529" s="42" t="str">
        <f ca="1"/>
        <v/>
      </c>
      <c r="CP1529" s="42" t="str">
        <f ca="1"/>
        <v/>
      </c>
      <c r="CQ1529" s="42" t="str">
        <f ca="1"/>
        <v/>
      </c>
      <c r="CR1529" s="42" t="str">
        <f ca="1"/>
        <v/>
      </c>
      <c r="CS1529" s="42" t="str">
        <f ca="1"/>
        <v/>
      </c>
      <c r="CT1529" s="42" t="str">
        <f ca="1"/>
        <v/>
      </c>
      <c r="CU1529" s="42" t="str">
        <f ca="1"/>
        <v/>
      </c>
      <c r="CV1529" s="42" t="str">
        <f ca="1"/>
        <v/>
      </c>
      <c r="CW1529" s="42" t="str">
        <f ca="1"/>
        <v/>
      </c>
      <c r="CX1529" s="42" t="str">
        <f ca="1"/>
        <v/>
      </c>
      <c r="CY1529" s="42" t="str">
        <f ca="1"/>
        <v/>
      </c>
      <c r="CZ1529" s="42" t="str">
        <f ca="1"/>
        <v/>
      </c>
      <c r="DA1529" s="42" t="str">
        <f ca="1"/>
        <v/>
      </c>
      <c r="DB1529" s="42" t="str">
        <f ca="1"/>
        <v/>
      </c>
      <c r="DC1529" s="42" t="str">
        <f ca="1"/>
        <v/>
      </c>
      <c r="DD1529" s="42" t="str">
        <f ca="1"/>
        <v/>
      </c>
      <c r="DE1529" s="42" t="str">
        <f ca="1"/>
        <v/>
      </c>
      <c r="DF1529" s="42" t="str">
        <f ca="1"/>
        <v/>
      </c>
      <c r="DG1529" s="42" t="str">
        <f ca="1"/>
        <v/>
      </c>
      <c r="DH1529" s="42" t="str">
        <f ca="1"/>
        <v/>
      </c>
      <c r="DI1529" s="42" t="str">
        <f ca="1"/>
        <v/>
      </c>
      <c r="DJ1529" s="42" t="str">
        <f ca="1"/>
        <v/>
      </c>
      <c r="DK1529" s="42" t="str">
        <f ca="1"/>
        <v/>
      </c>
      <c r="DL1529" s="42" t="str">
        <f ca="1"/>
        <v/>
      </c>
      <c r="DM1529" s="42" t="str">
        <f ca="1"/>
        <v/>
      </c>
      <c r="DN1529" s="42" t="str">
        <f ca="1"/>
        <v/>
      </c>
      <c r="DO1529" s="42" t="str">
        <f ca="1"/>
        <v/>
      </c>
      <c r="DP1529" s="42" t="str">
        <f ca="1"/>
        <v/>
      </c>
      <c r="DQ1529" s="42" t="str">
        <f ca="1"/>
        <v/>
      </c>
      <c r="DR1529" s="42" t="str">
        <f ca="1"/>
        <v/>
      </c>
      <c r="DS1529" s="42" t="str">
        <f ca="1"/>
        <v/>
      </c>
      <c r="DT1529" s="42" t="str">
        <f ca="1"/>
        <v/>
      </c>
      <c r="DU1529" s="42" t="str">
        <f ca="1"/>
        <v/>
      </c>
      <c r="DV1529" s="42" t="str">
        <f ca="1"/>
        <v/>
      </c>
      <c r="DW1529" s="42" t="str">
        <f ca="1"/>
        <v/>
      </c>
      <c r="DX1529" s="42" t="str">
        <f ca="1"/>
        <v/>
      </c>
      <c r="DY1529" s="42" t="str">
        <f ca="1"/>
        <v/>
      </c>
      <c r="DZ1529" s="42" t="str">
        <f ca="1"/>
        <v/>
      </c>
      <c r="EA1529" s="42" t="str">
        <f ca="1"/>
        <v/>
      </c>
      <c r="EB1529" s="42" t="str">
        <f ca="1"/>
        <v/>
      </c>
      <c r="EC1529" s="42" t="str">
        <f ca="1"/>
        <v/>
      </c>
      <c r="ED1529" s="42" t="str">
        <f ca="1"/>
        <v/>
      </c>
      <c r="EE1529" s="42" t="str">
        <f ca="1"/>
        <v/>
      </c>
      <c r="EF1529" s="42" t="str">
        <f ca="1"/>
        <v/>
      </c>
      <c r="EG1529" s="42" t="str">
        <f ca="1"/>
        <v/>
      </c>
      <c r="EH1529" s="42" t="str">
        <f ca="1"/>
        <v/>
      </c>
      <c r="EI1529" s="42" t="str">
        <f ca="1"/>
        <v/>
      </c>
      <c r="EJ1529" s="42" t="str">
        <f ca="1"/>
        <v/>
      </c>
      <c r="EK1529" s="42" t="str">
        <f ca="1"/>
        <v/>
      </c>
      <c r="EL1529" s="42" t="str">
        <f ca="1"/>
        <v/>
      </c>
      <c r="EM1529" s="42" t="str">
        <f ca="1"/>
        <v/>
      </c>
      <c r="EN1529" s="42" t="str">
        <f ca="1"/>
        <v/>
      </c>
      <c r="EO1529" s="42" t="str">
        <f ca="1"/>
        <v/>
      </c>
      <c r="EP1529" s="42" t="str">
        <f ca="1"/>
        <v/>
      </c>
      <c r="EQ1529" s="42" t="str">
        <f ca="1"/>
        <v/>
      </c>
      <c r="ER1529" s="42" t="str">
        <f ca="1"/>
        <v/>
      </c>
      <c r="ES1529" s="42" t="str">
        <f ca="1"/>
        <v/>
      </c>
      <c r="ET1529" s="42" t="str">
        <f ca="1"/>
        <v/>
      </c>
      <c r="EU1529" s="42" t="str">
        <f ca="1"/>
        <v/>
      </c>
      <c r="EV1529" s="42" t="str">
        <f ca="1"/>
        <v/>
      </c>
      <c r="EW1529" s="42" t="str">
        <f ca="1"/>
        <v/>
      </c>
      <c r="EX1529" s="42" t="str">
        <f ca="1"/>
        <v/>
      </c>
      <c r="EY1529" s="42" t="str">
        <f ca="1"/>
        <v/>
      </c>
      <c r="EZ1529" s="42" t="str">
        <f ca="1"/>
        <v/>
      </c>
      <c r="FA1529" s="42" t="str">
        <f ca="1"/>
        <v/>
      </c>
      <c r="FB1529" s="42" t="str">
        <f ca="1"/>
        <v/>
      </c>
      <c r="FC1529" s="42" t="str">
        <f ca="1"/>
        <v/>
      </c>
      <c r="FD1529" s="42" t="str">
        <f ca="1"/>
        <v/>
      </c>
      <c r="FE1529" s="42" t="str">
        <f ca="1"/>
        <v/>
      </c>
      <c r="FF1529" s="42" t="str">
        <f ca="1"/>
        <v/>
      </c>
      <c r="FG1529" s="42" t="str">
        <f ca="1"/>
        <v/>
      </c>
      <c r="FH1529" s="42" t="str">
        <f ca="1"/>
        <v/>
      </c>
      <c r="FI1529" s="42" t="str">
        <f ca="1"/>
        <v/>
      </c>
      <c r="FJ1529" s="42" t="str">
        <f ca="1"/>
        <v/>
      </c>
      <c r="FK1529" s="42" t="str">
        <f ca="1"/>
        <v/>
      </c>
      <c r="FL1529" s="42" t="str">
        <f ca="1"/>
        <v/>
      </c>
      <c r="FM1529" s="42" t="str">
        <f ca="1"/>
        <v/>
      </c>
      <c r="FN1529" s="42" t="str">
        <f ca="1"/>
        <v/>
      </c>
      <c r="FO1529" s="42" t="str">
        <f ca="1"/>
        <v/>
      </c>
      <c r="FP1529" s="42" t="str">
        <f ca="1"/>
        <v/>
      </c>
      <c r="FQ1529" s="42" t="str">
        <f ca="1"/>
        <v/>
      </c>
      <c r="FR1529" s="42" t="str">
        <f ca="1"/>
        <v/>
      </c>
      <c r="FS1529" s="42" t="str">
        <f ca="1"/>
        <v/>
      </c>
      <c r="FT1529" s="42" t="str">
        <f ca="1"/>
        <v/>
      </c>
      <c r="FU1529" s="42" t="str">
        <f ca="1"/>
        <v/>
      </c>
      <c r="FV1529" s="42" t="str">
        <f ca="1"/>
        <v/>
      </c>
      <c r="FW1529" s="42" t="str">
        <f ca="1"/>
        <v/>
      </c>
      <c r="FX1529" s="42" t="str">
        <f ca="1"/>
        <v/>
      </c>
      <c r="FY1529" s="42" t="str">
        <f ca="1"/>
        <v/>
      </c>
      <c r="FZ1529" s="42" t="str">
        <f ca="1"/>
        <v/>
      </c>
      <c r="GA1529" s="42" t="str">
        <f ca="1"/>
        <v/>
      </c>
      <c r="GB1529" s="42" t="str">
        <f ca="1"/>
        <v/>
      </c>
      <c r="GC1529" s="42" t="str">
        <f ca="1"/>
        <v/>
      </c>
      <c r="GD1529" s="42" t="str">
        <f ca="1"/>
        <v/>
      </c>
      <c r="GE1529" s="42" t="str">
        <f ca="1"/>
        <v/>
      </c>
      <c r="GF1529" s="42" t="str">
        <f ca="1"/>
        <v/>
      </c>
      <c r="GG1529" s="42" t="str">
        <f ca="1"/>
        <v/>
      </c>
      <c r="GH1529" s="42" t="str">
        <f ca="1"/>
        <v/>
      </c>
      <c r="GI1529" s="42" t="str">
        <f ca="1"/>
        <v/>
      </c>
      <c r="GJ1529" s="42" t="str">
        <f ca="1"/>
        <v/>
      </c>
      <c r="GK1529" s="42" t="str">
        <f ca="1"/>
        <v/>
      </c>
      <c r="GL1529" s="42" t="str">
        <f ca="1"/>
        <v/>
      </c>
      <c r="GM1529" s="42" t="str">
        <f ca="1"/>
        <v/>
      </c>
      <c r="GN1529" s="42" t="str">
        <f ca="1"/>
        <v/>
      </c>
      <c r="GO1529" s="42" t="str">
        <f ca="1"/>
        <v/>
      </c>
      <c r="GP1529" s="42" t="str">
        <f ca="1"/>
        <v/>
      </c>
      <c r="GQ1529" s="42" t="str">
        <f ca="1"/>
        <v/>
      </c>
      <c r="GR1529" s="42" t="str">
        <f ca="1"/>
        <v/>
      </c>
      <c r="GS1529" s="42" t="str">
        <f ca="1"/>
        <v/>
      </c>
      <c r="GT1529" s="42" t="str">
        <f ca="1"/>
        <v/>
      </c>
      <c r="GU1529" s="42" t="str">
        <f ca="1"/>
        <v/>
      </c>
      <c r="GV1529" s="42" t="str">
        <f ca="1"/>
        <v/>
      </c>
      <c r="GW1529" s="42" t="str">
        <f ca="1"/>
        <v/>
      </c>
      <c r="GX1529" s="42" t="str">
        <f ca="1"/>
        <v/>
      </c>
      <c r="GY1529" s="42" t="str">
        <f ca="1"/>
        <v/>
      </c>
      <c r="GZ1529" s="42" t="str">
        <f ca="1"/>
        <v/>
      </c>
      <c r="HA1529" s="42" t="str">
        <f ca="1"/>
        <v/>
      </c>
      <c r="HB1529" s="42" t="str">
        <f ca="1"/>
        <v/>
      </c>
      <c r="HC1529" s="42" t="str">
        <f ca="1"/>
        <v/>
      </c>
      <c r="HD1529" s="42" t="str">
        <f ca="1"/>
        <v/>
      </c>
      <c r="HE1529" s="42" t="str">
        <f ca="1"/>
        <v/>
      </c>
      <c r="HF1529" s="42" t="str">
        <f ca="1"/>
        <v/>
      </c>
      <c r="HG1529" s="42" t="str">
        <f ca="1"/>
        <v/>
      </c>
      <c r="HH1529" s="42" t="str">
        <f ca="1"/>
        <v/>
      </c>
      <c r="HI1529" s="42" t="str">
        <f ca="1"/>
        <v/>
      </c>
      <c r="HJ1529" s="42" t="str">
        <f ca="1"/>
        <v/>
      </c>
      <c r="HK1529" s="42" t="str">
        <f ca="1"/>
        <v/>
      </c>
      <c r="HL1529" s="42" t="str">
        <f ca="1"/>
        <v/>
      </c>
      <c r="HM1529" s="42" t="str">
        <f ca="1"/>
        <v/>
      </c>
      <c r="HN1529" s="42" t="str">
        <f ca="1"/>
        <v/>
      </c>
      <c r="HO1529" s="42" t="str">
        <f ca="1"/>
        <v/>
      </c>
      <c r="HP1529" s="42" t="str">
        <f ca="1"/>
        <v/>
      </c>
      <c r="HQ1529" s="42" t="str">
        <f ca="1"/>
        <v/>
      </c>
      <c r="HR1529" s="42" t="str">
        <f ca="1"/>
        <v/>
      </c>
      <c r="HS1529" s="42" t="str">
        <f ca="1"/>
        <v/>
      </c>
      <c r="HT1529" s="42" t="str">
        <f ca="1"/>
        <v/>
      </c>
      <c r="HU1529" s="42" t="str">
        <f ca="1"/>
        <v/>
      </c>
      <c r="HV1529" s="42" t="str">
        <f ca="1"/>
        <v/>
      </c>
      <c r="HW1529" s="42" t="str">
        <f ca="1"/>
        <v/>
      </c>
      <c r="HX1529" s="42" t="str">
        <f ca="1"/>
        <v/>
      </c>
      <c r="HY1529" s="42" t="str">
        <f ca="1"/>
        <v/>
      </c>
      <c r="HZ1529" s="42" t="str">
        <f ca="1"/>
        <v/>
      </c>
      <c r="IA1529" s="42" t="str">
        <f ca="1"/>
        <v/>
      </c>
      <c r="IB1529" s="42" t="str">
        <f ca="1"/>
        <v/>
      </c>
      <c r="IC1529" s="42" t="str">
        <f ca="1"/>
        <v/>
      </c>
      <c r="ID1529" s="42" t="str">
        <f ca="1"/>
        <v/>
      </c>
      <c r="IE1529" s="42" t="str">
        <f ca="1"/>
        <v/>
      </c>
      <c r="IF1529" s="42" t="str">
        <f ca="1"/>
        <v/>
      </c>
      <c r="IG1529" s="42" t="str">
        <f ca="1"/>
        <v/>
      </c>
      <c r="IH1529" s="42" t="str">
        <f ca="1"/>
        <v/>
      </c>
      <c r="II1529" s="42" t="str">
        <f ca="1"/>
        <v/>
      </c>
      <c r="IJ1529" s="42" t="str">
        <f ca="1"/>
        <v/>
      </c>
      <c r="IK1529" s="42" t="str">
        <f ca="1"/>
        <v/>
      </c>
      <c r="IL1529" s="42" t="str">
        <f ca="1"/>
        <v/>
      </c>
      <c r="IM1529" s="42" t="str">
        <f ca="1"/>
        <v/>
      </c>
      <c r="IN1529" s="42" t="str">
        <f ca="1"/>
        <v/>
      </c>
      <c r="IO1529" s="42" t="str">
        <f ca="1"/>
        <v/>
      </c>
      <c r="IP1529" s="42" t="str">
        <f ca="1"/>
        <v/>
      </c>
      <c r="IQ1529" s="42" t="str">
        <f ca="1"/>
        <v/>
      </c>
      <c r="IR1529" s="42" t="str">
        <f ca="1"/>
        <v/>
      </c>
      <c r="IS1529" s="42" t="str">
        <f ca="1"/>
        <v/>
      </c>
      <c r="IT1529" s="42" t="str">
        <f ca="1"/>
        <v/>
      </c>
      <c r="IU1529" s="42" t="str">
        <f ca="1"/>
        <v/>
      </c>
      <c r="IV1529" s="42" t="str">
        <f ca="1"/>
        <v/>
      </c>
      <c r="IW1529" s="42" t="str">
        <f ca="1"/>
        <v/>
      </c>
      <c r="IX1529" s="42" t="str">
        <f ca="1"/>
        <v/>
      </c>
      <c r="IY1529" s="42" t="str">
        <f ca="1"/>
        <v/>
      </c>
      <c r="IZ1529" s="42" t="str">
        <f ca="1"/>
        <v/>
      </c>
      <c r="JA1529" s="42" t="str">
        <f ca="1"/>
        <v/>
      </c>
      <c r="JB1529" s="42" t="str">
        <f ca="1"/>
        <v/>
      </c>
      <c r="JC1529" s="42" t="str">
        <f ca="1"/>
        <v/>
      </c>
      <c r="JD1529" s="42" t="str">
        <f ca="1"/>
        <v/>
      </c>
      <c r="JE1529" s="42" t="str">
        <f ca="1"/>
        <v/>
      </c>
      <c r="JF1529" s="42" t="str">
        <f ca="1"/>
        <v/>
      </c>
      <c r="JG1529" s="42" t="str">
        <f ca="1"/>
        <v/>
      </c>
      <c r="JH1529" s="42" t="str">
        <f ca="1"/>
        <v/>
      </c>
      <c r="JI1529" s="42" t="str">
        <f ca="1"/>
        <v/>
      </c>
      <c r="JJ1529" s="42" t="str">
        <f ca="1"/>
        <v/>
      </c>
      <c r="JK1529" s="42" t="str">
        <f ca="1"/>
        <v/>
      </c>
      <c r="JL1529" s="42" t="str">
        <f ca="1"/>
        <v/>
      </c>
      <c r="JM1529" s="42" t="str">
        <f ca="1"/>
        <v/>
      </c>
      <c r="JN1529" s="42" t="str">
        <f ca="1"/>
        <v/>
      </c>
      <c r="JO1529" s="42" t="str">
        <f ca="1"/>
        <v/>
      </c>
      <c r="JP1529" s="42" t="str">
        <f ca="1"/>
        <v/>
      </c>
      <c r="JQ1529" s="42" t="str">
        <f ca="1"/>
        <v/>
      </c>
      <c r="JR1529" s="42" t="str">
        <f ca="1"/>
        <v/>
      </c>
      <c r="JS1529" s="42" t="str">
        <f ca="1"/>
        <v/>
      </c>
      <c r="JT1529" s="42" t="str">
        <f ca="1"/>
        <v/>
      </c>
      <c r="JU1529" s="42" t="str">
        <f ca="1"/>
        <v/>
      </c>
      <c r="JV1529" s="42" t="str">
        <f ca="1"/>
        <v/>
      </c>
      <c r="JW1529" s="42" t="str">
        <f ca="1"/>
        <v/>
      </c>
      <c r="JX1529" s="42" t="str">
        <f ca="1"/>
        <v/>
      </c>
      <c r="JY1529" s="42" t="str">
        <f ca="1"/>
        <v/>
      </c>
      <c r="JZ1529" s="42" t="str">
        <f ca="1"/>
        <v/>
      </c>
      <c r="KA1529" s="42" t="str">
        <f ca="1"/>
        <v/>
      </c>
      <c r="KB1529" s="42" t="str">
        <f ca="1"/>
        <v/>
      </c>
      <c r="KC1529" s="42" t="str">
        <f ca="1"/>
        <v/>
      </c>
      <c r="KD1529" s="42" t="str">
        <f ca="1"/>
        <v/>
      </c>
      <c r="KE1529" s="42" t="str">
        <f ca="1"/>
        <v/>
      </c>
      <c r="KF1529" s="42" t="str">
        <f ca="1"/>
        <v/>
      </c>
      <c r="KG1529" s="42" t="str">
        <f ca="1"/>
        <v/>
      </c>
      <c r="KH1529" s="42" t="str">
        <f ca="1"/>
        <v/>
      </c>
      <c r="KI1529" s="42" t="str">
        <f ca="1"/>
        <v/>
      </c>
      <c r="KJ1529" s="42" t="str">
        <f ca="1"/>
        <v/>
      </c>
      <c r="KK1529" s="42" t="str">
        <f ca="1"/>
        <v/>
      </c>
      <c r="KL1529" s="42" t="str">
        <f ca="1"/>
        <v/>
      </c>
      <c r="KM1529" s="42" t="str">
        <f ca="1"/>
        <v/>
      </c>
      <c r="KN1529" s="42" t="str">
        <f ca="1"/>
        <v/>
      </c>
      <c r="KO1529" s="42" t="str">
        <f ca="1"/>
        <v/>
      </c>
      <c r="KP1529" s="42" t="str">
        <f ca="1"/>
        <v/>
      </c>
      <c r="KQ1529" s="42" t="str">
        <f ca="1"/>
        <v/>
      </c>
      <c r="KR1529" s="42" t="str">
        <f ca="1"/>
        <v/>
      </c>
      <c r="KS1529" s="42" t="str">
        <f ca="1"/>
        <v/>
      </c>
      <c r="KT1529" s="42" t="str">
        <f ca="1"/>
        <v/>
      </c>
      <c r="KU1529" s="42" t="str">
        <f ca="1"/>
        <v/>
      </c>
      <c r="KV1529" s="42" t="str">
        <f ca="1"/>
        <v/>
      </c>
      <c r="KW1529" s="42" t="str">
        <f ca="1"/>
        <v/>
      </c>
      <c r="KX1529" s="42" t="str">
        <f ca="1"/>
        <v/>
      </c>
      <c r="KY1529" s="42" t="str">
        <f ca="1"/>
        <v/>
      </c>
      <c r="KZ1529" s="42" t="str">
        <f ca="1"/>
        <v/>
      </c>
      <c r="LA1529" s="42" t="str">
        <f ca="1"/>
        <v/>
      </c>
      <c r="LB1529" s="42" t="str">
        <f ca="1"/>
        <v/>
      </c>
      <c r="LC1529" s="42" t="str">
        <f ca="1"/>
        <v/>
      </c>
      <c r="LD1529" s="42" t="str">
        <f ca="1"/>
        <v/>
      </c>
      <c r="LE1529" s="42" t="str">
        <f ca="1"/>
        <v/>
      </c>
      <c r="LF1529" s="42" t="str">
        <f ca="1"/>
        <v/>
      </c>
      <c r="LG1529" s="42" t="str">
        <f ca="1"/>
        <v/>
      </c>
      <c r="LH1529" s="42" t="str">
        <f ca="1"/>
        <v/>
      </c>
      <c r="LI1529" s="42" t="str">
        <f ca="1"/>
        <v/>
      </c>
      <c r="LJ1529" s="42" t="str">
        <f ca="1"/>
        <v/>
      </c>
      <c r="LK1529" s="42" t="str">
        <f ca="1"/>
        <v/>
      </c>
      <c r="LL1529" s="42" t="str">
        <f ca="1"/>
        <v/>
      </c>
      <c r="LM1529" s="42" t="str">
        <f ca="1"/>
        <v/>
      </c>
      <c r="LN1529" s="42" t="str">
        <f ca="1"/>
        <v/>
      </c>
      <c r="LO1529" s="42" t="str">
        <f ca="1"/>
        <v/>
      </c>
      <c r="LP1529" s="42" t="str">
        <f ca="1"/>
        <v/>
      </c>
      <c r="LQ1529" s="42" t="str">
        <f ca="1"/>
        <v/>
      </c>
      <c r="LR1529" s="42" t="str">
        <f ca="1"/>
        <v/>
      </c>
      <c r="LS1529" s="42" t="str">
        <f ca="1"/>
        <v/>
      </c>
      <c r="LT1529" s="42" t="str">
        <f ca="1"/>
        <v/>
      </c>
      <c r="LU1529" s="42" t="str">
        <f ca="1"/>
        <v/>
      </c>
      <c r="LV1529" s="42" t="str">
        <f ca="1"/>
        <v/>
      </c>
      <c r="LW1529" s="42" t="str">
        <f ca="1"/>
        <v/>
      </c>
      <c r="LX1529" s="42" t="str">
        <f ca="1"/>
        <v/>
      </c>
      <c r="LY1529" s="42" t="str">
        <f ca="1"/>
        <v/>
      </c>
      <c r="LZ1529" s="42" t="str">
        <f ca="1"/>
        <v/>
      </c>
      <c r="MA1529" s="42" t="str">
        <f ca="1"/>
        <v/>
      </c>
      <c r="MB1529" s="42" t="str">
        <f ca="1"/>
        <v/>
      </c>
      <c r="MC1529" s="42" t="str">
        <f ca="1"/>
        <v/>
      </c>
      <c r="MD1529" s="42" t="str">
        <f ca="1"/>
        <v/>
      </c>
      <c r="ME1529" s="42" t="str">
        <f ca="1"/>
        <v/>
      </c>
      <c r="MF1529" s="42" t="str">
        <f ca="1"/>
        <v/>
      </c>
      <c r="MG1529" s="42" t="str">
        <f ca="1"/>
        <v/>
      </c>
      <c r="MH1529" s="42" t="str">
        <f ca="1"/>
        <v/>
      </c>
      <c r="MI1529" s="42" t="str">
        <f ca="1"/>
        <v/>
      </c>
      <c r="MJ1529" s="42" t="str">
        <f ca="1"/>
        <v/>
      </c>
      <c r="MK1529" s="42" t="str">
        <f ca="1"/>
        <v/>
      </c>
      <c r="ML1529" s="42" t="str">
        <f ca="1"/>
        <v/>
      </c>
      <c r="MM1529" s="42" t="str">
        <f ca="1"/>
        <v/>
      </c>
      <c r="MN1529" s="42" t="str">
        <f ca="1"/>
        <v/>
      </c>
      <c r="MO1529" s="42" t="str">
        <f ca="1"/>
        <v/>
      </c>
      <c r="MP1529" s="42" t="str">
        <f ca="1"/>
        <v/>
      </c>
      <c r="MQ1529" s="42" t="str">
        <f ca="1"/>
        <v/>
      </c>
      <c r="MR1529" s="42" t="str">
        <f ca="1"/>
        <v/>
      </c>
      <c r="MS1529" s="42" t="str">
        <f ca="1"/>
        <v/>
      </c>
      <c r="MT1529" s="42" t="str">
        <f ca="1"/>
        <v/>
      </c>
      <c r="MU1529" s="42" t="str">
        <f ca="1"/>
        <v/>
      </c>
      <c r="MV1529" s="42" t="str">
        <f ca="1"/>
        <v/>
      </c>
      <c r="MW1529" s="42" t="str">
        <f ca="1"/>
        <v/>
      </c>
      <c r="MX1529" s="42" t="str">
        <f ca="1"/>
        <v/>
      </c>
      <c r="MY1529" s="42" t="str">
        <f ca="1"/>
        <v/>
      </c>
      <c r="MZ1529" s="42" t="str">
        <f ca="1"/>
        <v/>
      </c>
      <c r="NA1529" s="42" t="str">
        <f ca="1"/>
        <v/>
      </c>
      <c r="NB1529" s="42" t="str">
        <f ca="1"/>
        <v/>
      </c>
      <c r="NC1529" s="42" t="str">
        <f ca="1"/>
        <v/>
      </c>
      <c r="ND1529" s="42" t="str">
        <f ca="1"/>
        <v/>
      </c>
      <c r="NE1529" s="42" t="str">
        <f ca="1"/>
        <v/>
      </c>
      <c r="NF1529" s="42" t="str">
        <f ca="1"/>
        <v/>
      </c>
      <c r="NG1529" s="42" t="str">
        <f ca="1"/>
        <v/>
      </c>
      <c r="NH1529" s="42" t="str">
        <f ca="1"/>
        <v/>
      </c>
      <c r="NI1529" s="42" t="str">
        <f ca="1"/>
        <v/>
      </c>
      <c r="NJ1529" s="42" t="str">
        <f ca="1"/>
        <v/>
      </c>
      <c r="NK1529" s="42" t="str">
        <f ca="1"/>
        <v/>
      </c>
      <c r="NL1529" s="42" t="str">
        <f ca="1"/>
        <v/>
      </c>
      <c r="NM1529" s="42" t="str">
        <f ca="1"/>
        <v/>
      </c>
      <c r="NN1529" s="42" t="str">
        <f ca="1"/>
        <v/>
      </c>
      <c r="NO1529" s="42" t="str">
        <f ca="1"/>
        <v/>
      </c>
      <c r="NP1529" s="42" t="str">
        <f ca="1"/>
        <v/>
      </c>
      <c r="NQ1529" s="42" t="str">
        <f ca="1"/>
        <v/>
      </c>
      <c r="NR1529" s="42" t="str">
        <f ca="1"/>
        <v/>
      </c>
      <c r="NS1529" s="42" t="str">
        <f ca="1"/>
        <v/>
      </c>
      <c r="NT1529" s="42" t="str">
        <f ca="1"/>
        <v/>
      </c>
      <c r="NU1529" s="42" t="str">
        <f ca="1"/>
        <v/>
      </c>
      <c r="NV1529" s="42" t="str">
        <f ca="1"/>
        <v/>
      </c>
      <c r="NW1529" s="42" t="str">
        <f ca="1"/>
        <v/>
      </c>
      <c r="NX1529" s="42" t="str">
        <f ca="1"/>
        <v/>
      </c>
      <c r="NY1529" s="42" t="str">
        <f ca="1"/>
        <v/>
      </c>
      <c r="NZ1529" s="42" t="str">
        <f ca="1"/>
        <v/>
      </c>
      <c r="OA1529" s="42" t="str">
        <f ca="1"/>
        <v/>
      </c>
      <c r="OB1529" s="42" t="str">
        <f ca="1"/>
        <v/>
      </c>
      <c r="OC1529" s="42" t="str">
        <f ca="1"/>
        <v/>
      </c>
      <c r="OD1529" s="42" t="str">
        <f ca="1"/>
        <v/>
      </c>
      <c r="OE1529" s="42" t="str">
        <f ca="1"/>
        <v/>
      </c>
      <c r="OF1529" s="42" t="str">
        <f ca="1"/>
        <v/>
      </c>
      <c r="OG1529" s="42" t="str">
        <f ca="1"/>
        <v/>
      </c>
      <c r="OH1529" s="42" t="str">
        <f ca="1"/>
        <v/>
      </c>
      <c r="OI1529" s="42" t="str">
        <f ca="1"/>
        <v/>
      </c>
      <c r="OJ1529" s="42" t="str">
        <f ca="1"/>
        <v/>
      </c>
      <c r="OK1529" s="42" t="str">
        <f ca="1"/>
        <v/>
      </c>
      <c r="OL1529" s="42" t="str">
        <f ca="1"/>
        <v/>
      </c>
      <c r="OM1529" s="42" t="str">
        <f ca="1"/>
        <v/>
      </c>
      <c r="ON1529" s="42" t="str">
        <f ca="1"/>
        <v/>
      </c>
      <c r="OO1529" s="42" t="str">
        <f ca="1"/>
        <v/>
      </c>
      <c r="OP1529" s="42" t="str">
        <f ca="1"/>
        <v/>
      </c>
      <c r="OQ1529" s="42" t="str">
        <f ca="1"/>
        <v/>
      </c>
      <c r="OR1529" s="42" t="str">
        <f ca="1"/>
        <v/>
      </c>
      <c r="OS1529" s="42" t="str">
        <f ca="1"/>
        <v/>
      </c>
      <c r="OT1529" s="42" t="str">
        <f ca="1"/>
        <v/>
      </c>
      <c r="OU1529" s="42" t="str">
        <f ca="1"/>
        <v/>
      </c>
      <c r="OV1529" s="42" t="str">
        <f ca="1"/>
        <v/>
      </c>
      <c r="OW1529" s="42" t="str">
        <f ca="1"/>
        <v/>
      </c>
      <c r="OX1529" s="42" t="str">
        <f ca="1"/>
        <v/>
      </c>
      <c r="OY1529" s="42" t="str">
        <f ca="1"/>
        <v/>
      </c>
      <c r="OZ1529" s="42" t="str">
        <f ca="1"/>
        <v/>
      </c>
      <c r="PA1529" s="42" t="str">
        <f ca="1"/>
        <v/>
      </c>
      <c r="PB1529" s="42" t="str">
        <f ca="1"/>
        <v/>
      </c>
      <c r="PC1529" s="42" t="str">
        <f ca="1"/>
        <v/>
      </c>
      <c r="PD1529" s="42" t="str">
        <f ca="1"/>
        <v/>
      </c>
      <c r="PE1529" s="42" t="str">
        <f ca="1"/>
        <v/>
      </c>
      <c r="PF1529" s="42" t="str">
        <f ca="1"/>
        <v/>
      </c>
      <c r="PG1529" s="42" t="str">
        <f ca="1"/>
        <v/>
      </c>
      <c r="PH1529" s="42" t="str">
        <f ca="1"/>
        <v/>
      </c>
      <c r="PI1529" s="42" t="str">
        <f ca="1"/>
        <v/>
      </c>
      <c r="PJ1529" s="42" t="str">
        <f ca="1"/>
        <v/>
      </c>
      <c r="PK1529" s="42" t="str">
        <f ca="1"/>
        <v/>
      </c>
      <c r="PL1529" s="42" t="str">
        <f ca="1"/>
        <v/>
      </c>
      <c r="PM1529" s="42" t="str">
        <f ca="1"/>
        <v/>
      </c>
      <c r="PN1529" s="42" t="str">
        <f ca="1"/>
        <v/>
      </c>
      <c r="PO1529" s="42" t="str">
        <f ca="1"/>
        <v/>
      </c>
      <c r="PP1529" s="42" t="str">
        <f ca="1"/>
        <v/>
      </c>
      <c r="PQ1529" s="42" t="str">
        <f ca="1"/>
        <v/>
      </c>
      <c r="PR1529" s="42" t="str">
        <f ca="1"/>
        <v/>
      </c>
      <c r="PS1529" s="42" t="str">
        <f ca="1"/>
        <v/>
      </c>
      <c r="PT1529" s="42" t="str">
        <f ca="1"/>
        <v/>
      </c>
      <c r="PU1529" s="42" t="str">
        <f ca="1"/>
        <v/>
      </c>
      <c r="PV1529" s="42" t="str">
        <f ca="1"/>
        <v/>
      </c>
      <c r="PW1529" s="42" t="str">
        <f ca="1"/>
        <v/>
      </c>
      <c r="PX1529" s="42" t="str">
        <f ca="1"/>
        <v/>
      </c>
      <c r="PY1529" s="42" t="str">
        <f ca="1"/>
        <v/>
      </c>
      <c r="PZ1529" s="42" t="str">
        <f ca="1"/>
        <v/>
      </c>
      <c r="QA1529" s="42" t="str">
        <f ca="1"/>
        <v/>
      </c>
      <c r="QB1529" s="42" t="str">
        <f ca="1"/>
        <v/>
      </c>
      <c r="QC1529" s="42" t="str">
        <f ca="1"/>
        <v/>
      </c>
      <c r="QD1529" s="42" t="str">
        <f ca="1"/>
        <v/>
      </c>
      <c r="QE1529" s="42" t="str">
        <f ca="1"/>
        <v/>
      </c>
      <c r="QF1529" s="42" t="str">
        <f ca="1"/>
        <v/>
      </c>
      <c r="QG1529" s="42" t="str">
        <f ca="1"/>
        <v/>
      </c>
      <c r="QH1529" s="42" t="str">
        <f ca="1"/>
        <v/>
      </c>
      <c r="QI1529" s="42" t="str">
        <f ca="1"/>
        <v/>
      </c>
      <c r="QJ1529" s="42" t="str">
        <f ca="1"/>
        <v/>
      </c>
      <c r="QK1529" s="42" t="str">
        <f ca="1"/>
        <v/>
      </c>
      <c r="QL1529" s="42" t="str">
        <f ca="1"/>
        <v/>
      </c>
      <c r="QM1529" s="42" t="str">
        <f ca="1"/>
        <v/>
      </c>
      <c r="QN1529" s="42" t="str">
        <f ca="1"/>
        <v/>
      </c>
      <c r="QO1529" s="42" t="str">
        <f ca="1"/>
        <v/>
      </c>
      <c r="QP1529" s="42" t="str">
        <f ca="1"/>
        <v/>
      </c>
      <c r="QQ1529" s="42" t="str">
        <f ca="1"/>
        <v/>
      </c>
      <c r="QR1529" s="42" t="str">
        <f ca="1"/>
        <v/>
      </c>
      <c r="QS1529" s="42" t="str">
        <f ca="1"/>
        <v/>
      </c>
      <c r="QT1529" s="42" t="str">
        <f ca="1"/>
        <v/>
      </c>
      <c r="QU1529" s="42" t="str">
        <f ca="1"/>
        <v/>
      </c>
      <c r="QV1529" s="42" t="str">
        <f ca="1"/>
        <v/>
      </c>
      <c r="QW1529" s="42" t="str">
        <f ca="1"/>
        <v/>
      </c>
      <c r="QX1529" s="42" t="str">
        <f ca="1"/>
        <v/>
      </c>
      <c r="QY1529" s="42" t="str">
        <f ca="1"/>
        <v/>
      </c>
      <c r="QZ1529" s="42" t="str">
        <f ca="1"/>
        <v/>
      </c>
      <c r="RA1529" s="42" t="str">
        <f ca="1"/>
        <v/>
      </c>
      <c r="RB1529" s="42" t="str">
        <f ca="1"/>
        <v/>
      </c>
      <c r="RC1529" s="42" t="str">
        <f ca="1"/>
        <v/>
      </c>
      <c r="RD1529" s="42" t="str">
        <f ca="1"/>
        <v/>
      </c>
      <c r="RE1529" s="42" t="str">
        <f ca="1"/>
        <v/>
      </c>
      <c r="RF1529" s="42" t="str">
        <f ca="1"/>
        <v/>
      </c>
      <c r="RG1529" s="42" t="str">
        <f ca="1"/>
        <v/>
      </c>
      <c r="RH1529" s="42" t="str">
        <f ca="1"/>
        <v/>
      </c>
      <c r="RI1529" s="42" t="str">
        <f ca="1"/>
        <v/>
      </c>
      <c r="RJ1529" s="42" t="str">
        <f ca="1"/>
        <v/>
      </c>
      <c r="RK1529" s="42" t="str">
        <f ca="1"/>
        <v/>
      </c>
      <c r="RL1529" s="42" t="str">
        <f ca="1"/>
        <v/>
      </c>
      <c r="RM1529" s="42" t="str">
        <f ca="1"/>
        <v/>
      </c>
      <c r="RN1529" s="42" t="str">
        <f ca="1"/>
        <v/>
      </c>
      <c r="RO1529" s="42" t="str">
        <f ca="1"/>
        <v/>
      </c>
      <c r="RP1529" s="42" t="str">
        <f ca="1"/>
        <v/>
      </c>
      <c r="RQ1529" s="42" t="str">
        <f ca="1"/>
        <v/>
      </c>
      <c r="RR1529" s="42" t="str">
        <f ca="1"/>
        <v/>
      </c>
      <c r="RS1529" s="42" t="str">
        <f ca="1"/>
        <v/>
      </c>
      <c r="RT1529" s="42" t="str">
        <f ca="1"/>
        <v/>
      </c>
      <c r="RU1529" s="42" t="str">
        <f ca="1"/>
        <v/>
      </c>
      <c r="RV1529" s="42" t="str">
        <f ca="1"/>
        <v/>
      </c>
      <c r="RW1529" s="42" t="str">
        <f ca="1"/>
        <v/>
      </c>
      <c r="RX1529" s="42" t="str">
        <f ca="1"/>
        <v/>
      </c>
      <c r="RY1529" s="42" t="str">
        <f ca="1"/>
        <v/>
      </c>
      <c r="RZ1529" s="42" t="str">
        <f ca="1"/>
        <v/>
      </c>
      <c r="SA1529" s="42" t="str">
        <f ca="1"/>
        <v/>
      </c>
      <c r="SB1529" s="42" t="str">
        <f ca="1"/>
        <v/>
      </c>
      <c r="SC1529" s="42" t="str">
        <f ca="1"/>
        <v/>
      </c>
      <c r="SD1529" s="42" t="str">
        <f ca="1"/>
        <v/>
      </c>
      <c r="SE1529" s="42" t="str">
        <f ca="1"/>
        <v/>
      </c>
      <c r="SF1529" s="42" t="str">
        <f ca="1"/>
        <v/>
      </c>
      <c r="SG1529" s="42" t="str">
        <f ca="1"/>
        <v/>
      </c>
      <c r="SH1529" s="42" t="str">
        <f ca="1"/>
        <v/>
      </c>
      <c r="SI1529" s="42" t="str">
        <f ca="1"/>
        <v/>
      </c>
      <c r="SJ1529" s="42" t="str">
        <f ca="1"/>
        <v/>
      </c>
      <c r="SK1529" s="42" t="str">
        <f ca="1"/>
        <v/>
      </c>
      <c r="SL1529" s="42" t="str">
        <f ca="1"/>
        <v/>
      </c>
      <c r="SM1529" s="42" t="str">
        <f ca="1"/>
        <v/>
      </c>
      <c r="SN1529" s="42" t="str">
        <f ca="1"/>
        <v/>
      </c>
      <c r="SO1529" s="42" t="str">
        <f ca="1"/>
        <v/>
      </c>
      <c r="SP1529" s="42" t="str">
        <f ca="1"/>
        <v/>
      </c>
      <c r="SQ1529" s="42" t="str">
        <f ca="1"/>
        <v/>
      </c>
      <c r="SR1529" s="42" t="str">
        <f ca="1"/>
        <v/>
      </c>
      <c r="SS1529" s="42" t="str">
        <f ca="1"/>
        <v/>
      </c>
      <c r="ST1529" s="42" t="str">
        <f ca="1"/>
        <v/>
      </c>
      <c r="SU1529" s="42" t="str">
        <f ca="1"/>
        <v/>
      </c>
      <c r="SV1529" s="42" t="str">
        <f ca="1"/>
        <v/>
      </c>
      <c r="SW1529" s="42" t="str">
        <f ca="1"/>
        <v/>
      </c>
      <c r="SX1529" s="42" t="str">
        <f ca="1"/>
        <v/>
      </c>
      <c r="SY1529" s="42" t="str">
        <f ca="1"/>
        <v/>
      </c>
      <c r="SZ1529" s="42" t="str">
        <f ca="1"/>
        <v/>
      </c>
      <c r="TA1529" s="42" t="str">
        <f ca="1"/>
        <v/>
      </c>
      <c r="TB1529" s="42" t="str">
        <f ca="1"/>
        <v/>
      </c>
      <c r="TC1529" s="42" t="str">
        <f ca="1"/>
        <v/>
      </c>
      <c r="TD1529" s="42" t="str">
        <f ca="1"/>
        <v/>
      </c>
      <c r="TE1529" s="42" t="str">
        <f ca="1"/>
        <v/>
      </c>
      <c r="TF1529" s="42" t="str">
        <f ca="1"/>
        <v/>
      </c>
      <c r="TG1529" s="42" t="str">
        <f ca="1"/>
        <v/>
      </c>
      <c r="TH1529" s="42" t="str">
        <f ca="1"/>
        <v/>
      </c>
      <c r="TI1529" s="42" t="str">
        <f ca="1"/>
        <v/>
      </c>
      <c r="TJ1529" s="42" t="str">
        <f ca="1"/>
        <v/>
      </c>
      <c r="TK1529" s="42" t="str">
        <f ca="1"/>
        <v/>
      </c>
      <c r="TL1529" s="42" t="str">
        <f ca="1"/>
        <v/>
      </c>
      <c r="TM1529" s="42" t="str">
        <f ca="1"/>
        <v/>
      </c>
      <c r="TN1529" s="42" t="str">
        <f ca="1"/>
        <v/>
      </c>
      <c r="TO1529" s="42" t="str">
        <f ca="1"/>
        <v/>
      </c>
      <c r="TP1529" s="42" t="str">
        <f ca="1"/>
        <v/>
      </c>
      <c r="TQ1529" s="42" t="str">
        <f ca="1"/>
        <v/>
      </c>
      <c r="TR1529" s="42" t="str">
        <f ca="1"/>
        <v/>
      </c>
      <c r="TS1529" s="42" t="str">
        <f ca="1"/>
        <v/>
      </c>
      <c r="TT1529" s="42" t="str">
        <f ca="1"/>
        <v/>
      </c>
      <c r="TU1529" s="42" t="str">
        <f ca="1"/>
        <v/>
      </c>
      <c r="TV1529" s="42" t="str">
        <f ca="1"/>
        <v/>
      </c>
      <c r="TW1529" s="42" t="str">
        <f ca="1"/>
        <v/>
      </c>
      <c r="TX1529" s="42" t="str">
        <f ca="1"/>
        <v/>
      </c>
      <c r="TY1529" s="42" t="str">
        <f ca="1"/>
        <v/>
      </c>
      <c r="TZ1529" s="42" t="str">
        <f ca="1"/>
        <v/>
      </c>
      <c r="UA1529" s="42" t="str">
        <f ca="1"/>
        <v/>
      </c>
      <c r="UB1529" s="42" t="str">
        <f ca="1"/>
        <v/>
      </c>
      <c r="UC1529" s="42" t="str">
        <f ca="1"/>
        <v/>
      </c>
      <c r="UD1529" s="42" t="str">
        <f ca="1"/>
        <v/>
      </c>
      <c r="UE1529" s="42" t="str">
        <f ca="1"/>
        <v/>
      </c>
      <c r="UF1529" s="42" t="str">
        <f ca="1"/>
        <v/>
      </c>
      <c r="UG1529" s="42" t="str">
        <f ca="1"/>
        <v/>
      </c>
      <c r="UH1529" s="42" t="str">
        <f ca="1"/>
        <v/>
      </c>
      <c r="UI1529" s="42" t="str">
        <f ca="1"/>
        <v/>
      </c>
      <c r="UJ1529" s="42" t="str">
        <f ca="1"/>
        <v/>
      </c>
      <c r="UK1529" s="42" t="str">
        <f ca="1"/>
        <v/>
      </c>
      <c r="UL1529" s="42" t="str">
        <f ca="1"/>
        <v/>
      </c>
      <c r="UM1529" s="42" t="str">
        <f ca="1"/>
        <v/>
      </c>
      <c r="UN1529" s="42" t="str">
        <f ca="1"/>
        <v/>
      </c>
      <c r="UO1529" s="42" t="str">
        <f ca="1"/>
        <v/>
      </c>
      <c r="UP1529" s="42" t="str">
        <f ca="1"/>
        <v/>
      </c>
      <c r="UQ1529" s="42" t="str">
        <f ca="1"/>
        <v/>
      </c>
      <c r="UR1529" s="42" t="str">
        <f ca="1"/>
        <v/>
      </c>
      <c r="US1529" s="42" t="str">
        <f ca="1"/>
        <v/>
      </c>
      <c r="UT1529" s="42" t="str">
        <f ca="1"/>
        <v/>
      </c>
      <c r="UU1529" s="42" t="str">
        <f ca="1"/>
        <v/>
      </c>
      <c r="UV1529" s="42" t="str">
        <f ca="1"/>
        <v/>
      </c>
      <c r="UW1529" s="42" t="str">
        <f ca="1"/>
        <v/>
      </c>
      <c r="UX1529" s="42" t="str">
        <f ca="1"/>
        <v/>
      </c>
      <c r="UY1529" s="42" t="str">
        <f ca="1"/>
        <v/>
      </c>
      <c r="UZ1529" s="42" t="str">
        <f ca="1"/>
        <v/>
      </c>
      <c r="VA1529" s="42" t="str">
        <f ca="1"/>
        <v/>
      </c>
      <c r="VB1529" s="42" t="str">
        <f ca="1"/>
        <v/>
      </c>
      <c r="VC1529" s="42" t="str">
        <f ca="1"/>
        <v/>
      </c>
      <c r="VD1529" s="42" t="str">
        <f ca="1"/>
        <v/>
      </c>
      <c r="VE1529" s="42" t="str">
        <f ca="1"/>
        <v/>
      </c>
      <c r="VF1529" s="42" t="str">
        <f ca="1"/>
        <v/>
      </c>
      <c r="VG1529" s="42" t="str">
        <f ca="1"/>
        <v/>
      </c>
      <c r="VH1529" s="42" t="str">
        <f ca="1"/>
        <v/>
      </c>
      <c r="VI1529" s="42" t="str">
        <f ca="1"/>
        <v/>
      </c>
      <c r="VJ1529" s="42" t="str">
        <f ca="1"/>
        <v/>
      </c>
      <c r="VK1529" s="42" t="str">
        <f ca="1"/>
        <v/>
      </c>
      <c r="VL1529" s="42" t="str">
        <f ca="1"/>
        <v/>
      </c>
      <c r="VM1529" s="42" t="str">
        <f ca="1"/>
        <v/>
      </c>
      <c r="VN1529" s="42" t="str">
        <f ca="1"/>
        <v/>
      </c>
      <c r="VO1529" s="42" t="str">
        <f ca="1"/>
        <v/>
      </c>
      <c r="VP1529" s="42" t="str">
        <f ca="1"/>
        <v/>
      </c>
      <c r="VQ1529" s="42" t="str">
        <f ca="1"/>
        <v/>
      </c>
      <c r="VR1529" s="42" t="str">
        <f ca="1"/>
        <v/>
      </c>
      <c r="VS1529" s="42" t="str">
        <f ca="1"/>
        <v/>
      </c>
      <c r="VT1529" s="42" t="str">
        <f ca="1"/>
        <v/>
      </c>
      <c r="VU1529" s="42" t="str">
        <f ca="1"/>
        <v/>
      </c>
      <c r="VV1529" s="42" t="str">
        <f ca="1"/>
        <v/>
      </c>
      <c r="VW1529" s="42" t="str">
        <f ca="1"/>
        <v/>
      </c>
      <c r="VX1529" s="42" t="str">
        <f ca="1"/>
        <v/>
      </c>
      <c r="VY1529" s="42" t="str">
        <f ca="1"/>
        <v/>
      </c>
      <c r="VZ1529" s="42" t="str">
        <f ca="1"/>
        <v/>
      </c>
      <c r="WA1529" s="42" t="str">
        <f ca="1"/>
        <v/>
      </c>
      <c r="WB1529" s="42" t="str">
        <f ca="1"/>
        <v/>
      </c>
      <c r="WC1529" s="42" t="str">
        <f ca="1"/>
        <v/>
      </c>
      <c r="WD1529" s="42" t="str">
        <f ca="1"/>
        <v/>
      </c>
      <c r="WE1529" s="42" t="str">
        <f ca="1"/>
        <v/>
      </c>
      <c r="WF1529" s="42" t="str">
        <f ca="1"/>
        <v/>
      </c>
      <c r="WG1529" s="42" t="str">
        <f ca="1"/>
        <v/>
      </c>
      <c r="WH1529" s="42" t="str">
        <f ca="1"/>
        <v/>
      </c>
      <c r="WI1529" s="42" t="str">
        <f ca="1"/>
        <v/>
      </c>
      <c r="WJ1529" s="42" t="str">
        <f ca="1"/>
        <v/>
      </c>
      <c r="WK1529" s="42" t="str">
        <f ca="1"/>
        <v/>
      </c>
      <c r="WL1529" s="42" t="str">
        <f ca="1"/>
        <v/>
      </c>
      <c r="WM1529" s="42" t="str">
        <f ca="1"/>
        <v/>
      </c>
      <c r="WN1529" s="42" t="str">
        <f ca="1"/>
        <v/>
      </c>
      <c r="WO1529" s="42" t="str">
        <f ca="1"/>
        <v/>
      </c>
      <c r="WP1529" s="42" t="str">
        <f ca="1"/>
        <v/>
      </c>
      <c r="WQ1529" s="42" t="str">
        <f ca="1"/>
        <v/>
      </c>
      <c r="WR1529" s="42" t="str">
        <f ca="1"/>
        <v/>
      </c>
      <c r="WS1529" s="42" t="str">
        <f ca="1"/>
        <v/>
      </c>
      <c r="WT1529" s="42" t="str">
        <f ca="1"/>
        <v/>
      </c>
      <c r="WU1529" s="42" t="str">
        <f ca="1"/>
        <v/>
      </c>
      <c r="WV1529" s="42" t="str">
        <f ca="1"/>
        <v/>
      </c>
      <c r="WW1529" s="42" t="str">
        <f ca="1"/>
        <v/>
      </c>
      <c r="WX1529" s="42" t="str">
        <f ca="1"/>
        <v/>
      </c>
      <c r="WY1529" s="42" t="str">
        <f ca="1"/>
        <v/>
      </c>
      <c r="WZ1529" s="42" t="str">
        <f ca="1"/>
        <v/>
      </c>
      <c r="XA1529" s="42" t="str">
        <f ca="1"/>
        <v/>
      </c>
      <c r="XB1529" s="42" t="str">
        <f ca="1"/>
        <v/>
      </c>
      <c r="XC1529" s="42" t="str">
        <f ca="1"/>
        <v/>
      </c>
      <c r="XD1529" s="42" t="str">
        <f ca="1"/>
        <v/>
      </c>
      <c r="XE1529" s="42" t="str">
        <f ca="1"/>
        <v/>
      </c>
      <c r="XF1529" s="42" t="str">
        <f ca="1"/>
        <v/>
      </c>
      <c r="XG1529" s="42" t="str">
        <f ca="1"/>
        <v/>
      </c>
      <c r="XH1529" s="42" t="str">
        <f ca="1"/>
        <v/>
      </c>
      <c r="XI1529" s="42" t="str">
        <f ca="1"/>
        <v/>
      </c>
      <c r="XJ1529" s="42" t="str">
        <f ca="1"/>
        <v/>
      </c>
      <c r="XK1529" s="42" t="str">
        <f ca="1"/>
        <v/>
      </c>
      <c r="XL1529" s="42" t="str">
        <f ca="1"/>
        <v/>
      </c>
      <c r="XM1529" s="42" t="str">
        <f ca="1"/>
        <v/>
      </c>
      <c r="XN1529" s="42" t="str">
        <f ca="1"/>
        <v/>
      </c>
      <c r="XO1529" s="42" t="str">
        <f ca="1"/>
        <v/>
      </c>
      <c r="XP1529" s="42" t="str">
        <f ca="1"/>
        <v/>
      </c>
      <c r="XQ1529" s="42" t="str">
        <f ca="1"/>
        <v/>
      </c>
      <c r="XR1529" s="42" t="str">
        <f ca="1"/>
        <v/>
      </c>
      <c r="XS1529" s="42" t="str">
        <f ca="1"/>
        <v/>
      </c>
      <c r="XT1529" s="42" t="str">
        <f ca="1"/>
        <v/>
      </c>
      <c r="XU1529" s="42" t="str">
        <f ca="1"/>
        <v/>
      </c>
      <c r="XV1529" s="42" t="str">
        <f ca="1"/>
        <v/>
      </c>
      <c r="XW1529" s="42" t="str">
        <f ca="1"/>
        <v/>
      </c>
      <c r="XX1529" s="42" t="str">
        <f ca="1"/>
        <v/>
      </c>
      <c r="XY1529" s="42" t="str">
        <f ca="1"/>
        <v/>
      </c>
      <c r="XZ1529" s="42" t="str">
        <f ca="1"/>
        <v/>
      </c>
      <c r="YA1529" s="42" t="str">
        <f ca="1"/>
        <v/>
      </c>
      <c r="YB1529" s="42" t="str">
        <f ca="1"/>
        <v/>
      </c>
      <c r="YC1529" s="42" t="str">
        <f ca="1"/>
        <v/>
      </c>
      <c r="YD1529" s="42" t="str">
        <f ca="1"/>
        <v/>
      </c>
      <c r="YE1529" s="42" t="str">
        <f ca="1"/>
        <v/>
      </c>
      <c r="YF1529" s="42" t="str">
        <f ca="1"/>
        <v/>
      </c>
      <c r="YG1529" s="42" t="str">
        <f ca="1"/>
        <v/>
      </c>
      <c r="YH1529" s="42" t="str">
        <f ca="1"/>
        <v/>
      </c>
      <c r="YI1529" s="42" t="str">
        <f ca="1"/>
        <v/>
      </c>
      <c r="YJ1529" s="42" t="str">
        <f ca="1"/>
        <v/>
      </c>
      <c r="YK1529" s="42" t="str">
        <f ca="1"/>
        <v/>
      </c>
      <c r="YL1529" s="42" t="str">
        <f ca="1"/>
        <v/>
      </c>
      <c r="YM1529" s="42" t="str">
        <f ca="1"/>
        <v/>
      </c>
      <c r="YN1529" s="42" t="str">
        <f ca="1"/>
        <v/>
      </c>
      <c r="YO1529" s="42" t="str">
        <f ca="1"/>
        <v/>
      </c>
      <c r="YP1529" s="42" t="str">
        <f ca="1"/>
        <v/>
      </c>
      <c r="YQ1529" s="42" t="str">
        <f ca="1"/>
        <v/>
      </c>
      <c r="YR1529" s="42" t="str">
        <f ca="1"/>
        <v/>
      </c>
      <c r="YS1529" s="42" t="str">
        <f ca="1"/>
        <v/>
      </c>
      <c r="YT1529" s="42" t="str">
        <f ca="1"/>
        <v/>
      </c>
      <c r="YU1529" s="42" t="str">
        <f ca="1"/>
        <v/>
      </c>
      <c r="YV1529" s="42" t="str">
        <f ca="1"/>
        <v/>
      </c>
      <c r="YW1529" s="42" t="str">
        <f ca="1"/>
        <v/>
      </c>
      <c r="YX1529" s="42" t="str">
        <f ca="1"/>
        <v/>
      </c>
      <c r="YY1529" s="42" t="str">
        <f ca="1"/>
        <v/>
      </c>
      <c r="YZ1529" s="42" t="str">
        <f ca="1"/>
        <v/>
      </c>
      <c r="ZA1529" s="42" t="str">
        <f ca="1"/>
        <v/>
      </c>
      <c r="ZB1529" s="42" t="str">
        <f ca="1"/>
        <v/>
      </c>
      <c r="ZC1529" s="42" t="str">
        <f ca="1"/>
        <v/>
      </c>
      <c r="ZD1529" s="42" t="str">
        <f ca="1"/>
        <v/>
      </c>
      <c r="ZE1529" s="42" t="str">
        <f ca="1"/>
        <v/>
      </c>
      <c r="ZF1529" s="42" t="str">
        <f ca="1"/>
        <v/>
      </c>
      <c r="ZG1529" s="42" t="str">
        <f ca="1"/>
        <v/>
      </c>
      <c r="ZH1529" s="42" t="str">
        <f ca="1"/>
        <v/>
      </c>
      <c r="ZI1529" s="42" t="str">
        <f ca="1"/>
        <v/>
      </c>
      <c r="ZJ1529" s="42" t="str">
        <f ca="1"/>
        <v/>
      </c>
      <c r="ZK1529" s="42" t="str">
        <f ca="1"/>
        <v/>
      </c>
      <c r="ZL1529" s="42" t="str">
        <f ca="1"/>
        <v/>
      </c>
      <c r="ZM1529" s="42" t="str">
        <f ca="1"/>
        <v/>
      </c>
      <c r="ZN1529" s="42" t="str">
        <f ca="1"/>
        <v/>
      </c>
      <c r="ZO1529" s="42" t="str">
        <f ca="1"/>
        <v/>
      </c>
      <c r="ZP1529" s="42" t="str">
        <f ca="1"/>
        <v/>
      </c>
      <c r="ZQ1529" s="42" t="str">
        <f ca="1"/>
        <v/>
      </c>
      <c r="ZR1529" s="42" t="str">
        <f ca="1"/>
        <v/>
      </c>
      <c r="ZS1529" s="42" t="str">
        <f ca="1"/>
        <v/>
      </c>
      <c r="ZT1529" s="42" t="str">
        <f ca="1"/>
        <v/>
      </c>
      <c r="ZU1529" s="42" t="str">
        <f ca="1"/>
        <v/>
      </c>
      <c r="ZV1529" s="42" t="str">
        <f ca="1"/>
        <v/>
      </c>
      <c r="ZW1529" s="42" t="str">
        <f ca="1"/>
        <v/>
      </c>
      <c r="ZX1529" s="42" t="str">
        <f ca="1"/>
        <v/>
      </c>
      <c r="ZY1529" s="42" t="str">
        <f ca="1"/>
        <v/>
      </c>
      <c r="ZZ1529" s="42" t="str">
        <f ca="1"/>
        <v/>
      </c>
      <c r="AAA1529" s="42" t="str">
        <f ca="1"/>
        <v/>
      </c>
      <c r="AAB1529" s="42" t="str">
        <f ca="1"/>
        <v/>
      </c>
      <c r="AAC1529" s="42" t="str">
        <f ca="1"/>
        <v/>
      </c>
      <c r="AAD1529" s="42" t="str">
        <f ca="1"/>
        <v/>
      </c>
      <c r="AAE1529" s="42" t="str">
        <f ca="1"/>
        <v/>
      </c>
      <c r="AAF1529" s="42" t="str">
        <f ca="1"/>
        <v/>
      </c>
      <c r="AAG1529" s="42" t="str">
        <f ca="1"/>
        <v/>
      </c>
      <c r="AAH1529" s="42" t="str">
        <f ca="1"/>
        <v/>
      </c>
      <c r="AAI1529" s="42" t="str">
        <f ca="1"/>
        <v/>
      </c>
      <c r="AAJ1529" s="42" t="str">
        <f ca="1"/>
        <v/>
      </c>
      <c r="AAK1529" s="42" t="str">
        <f ca="1"/>
        <v/>
      </c>
      <c r="AAL1529" s="42" t="str">
        <f ca="1"/>
        <v/>
      </c>
      <c r="AAM1529" s="42" t="str">
        <f ca="1"/>
        <v/>
      </c>
      <c r="AAN1529" s="42" t="str">
        <f ca="1"/>
        <v/>
      </c>
      <c r="AAO1529" s="42" t="str">
        <f ca="1"/>
        <v/>
      </c>
      <c r="AAP1529" s="42" t="str">
        <f ca="1"/>
        <v/>
      </c>
      <c r="AAQ1529" s="42" t="str">
        <f ca="1"/>
        <v/>
      </c>
      <c r="AAR1529" s="42" t="str">
        <f ca="1"/>
        <v/>
      </c>
      <c r="AAS1529" s="42" t="str">
        <f ca="1"/>
        <v/>
      </c>
      <c r="AAT1529" s="42" t="str">
        <f ca="1"/>
        <v/>
      </c>
      <c r="AAU1529" s="42" t="str">
        <f ca="1"/>
        <v/>
      </c>
      <c r="AAV1529" s="42" t="str">
        <f ca="1"/>
        <v/>
      </c>
      <c r="AAW1529" s="42" t="str">
        <f ca="1"/>
        <v/>
      </c>
      <c r="AAX1529" s="42" t="str">
        <f ca="1"/>
        <v/>
      </c>
      <c r="AAY1529" s="42" t="str">
        <f ca="1"/>
        <v/>
      </c>
      <c r="AAZ1529" s="42" t="str">
        <f ca="1"/>
        <v/>
      </c>
      <c r="ABA1529" s="42" t="str">
        <f ca="1"/>
        <v/>
      </c>
      <c r="ABB1529" s="42" t="str">
        <f ca="1"/>
        <v/>
      </c>
      <c r="ABC1529" s="42" t="str">
        <f ca="1"/>
        <v/>
      </c>
      <c r="ABD1529" s="42" t="str">
        <f ca="1"/>
        <v/>
      </c>
      <c r="ABE1529" s="42" t="str">
        <f ca="1"/>
        <v/>
      </c>
      <c r="ABF1529" s="42" t="str">
        <f ca="1"/>
        <v/>
      </c>
      <c r="ABG1529" s="42" t="str">
        <f ca="1"/>
        <v/>
      </c>
      <c r="ABH1529" s="42" t="str">
        <f ca="1"/>
        <v/>
      </c>
      <c r="ABI1529" s="42" t="str">
        <f ca="1"/>
        <v/>
      </c>
      <c r="ABJ1529" s="42" t="str">
        <f ca="1"/>
        <v/>
      </c>
      <c r="ABK1529" s="42" t="str">
        <f ca="1"/>
        <v/>
      </c>
      <c r="ABL1529" s="42" t="str">
        <f ca="1"/>
        <v/>
      </c>
      <c r="ABM1529" s="42" t="str">
        <f ca="1"/>
        <v/>
      </c>
      <c r="ABN1529" s="42" t="str">
        <f ca="1"/>
        <v/>
      </c>
      <c r="ABO1529" s="42" t="str">
        <f ca="1"/>
        <v/>
      </c>
      <c r="ABP1529" s="42" t="str">
        <f ca="1"/>
        <v/>
      </c>
      <c r="ABQ1529" s="42" t="str">
        <f ca="1"/>
        <v/>
      </c>
      <c r="ABR1529" s="42" t="str">
        <f ca="1"/>
        <v/>
      </c>
      <c r="ABS1529" s="42" t="str">
        <f ca="1"/>
        <v/>
      </c>
      <c r="ABT1529" s="42" t="str">
        <f ca="1"/>
        <v/>
      </c>
      <c r="ABU1529" s="42" t="str">
        <f ca="1"/>
        <v/>
      </c>
      <c r="ABV1529" s="42" t="str">
        <f ca="1"/>
        <v/>
      </c>
      <c r="ABW1529" s="42" t="str">
        <f ca="1"/>
        <v/>
      </c>
      <c r="ABX1529" s="42" t="str">
        <f ca="1"/>
        <v/>
      </c>
      <c r="ABY1529" s="42" t="str">
        <f ca="1"/>
        <v/>
      </c>
      <c r="ABZ1529" s="42" t="str">
        <f ca="1"/>
        <v/>
      </c>
      <c r="ACA1529" s="42" t="str">
        <f ca="1"/>
        <v/>
      </c>
      <c r="ACB1529" s="42" t="str">
        <f ca="1"/>
        <v/>
      </c>
      <c r="ACC1529" s="42" t="str">
        <f ca="1"/>
        <v/>
      </c>
      <c r="ACD1529" s="42" t="str">
        <f ca="1"/>
        <v/>
      </c>
      <c r="ACE1529" s="42" t="str">
        <f ca="1"/>
        <v/>
      </c>
      <c r="ACF1529" s="42" t="str">
        <f ca="1"/>
        <v/>
      </c>
      <c r="ACG1529" s="42" t="str">
        <f ca="1"/>
        <v/>
      </c>
      <c r="ACH1529" s="42" t="str">
        <f ca="1"/>
        <v/>
      </c>
      <c r="ACI1529" s="42" t="str">
        <f ca="1"/>
        <v/>
      </c>
      <c r="ACJ1529" s="42" t="str">
        <f ca="1"/>
        <v/>
      </c>
      <c r="ACK1529" s="42" t="str">
        <f ca="1"/>
        <v/>
      </c>
      <c r="ACL1529" s="42" t="str">
        <f ca="1"/>
        <v/>
      </c>
      <c r="ACM1529" s="42" t="str">
        <f ca="1"/>
        <v/>
      </c>
      <c r="ACN1529" s="42" t="str">
        <f ca="1"/>
        <v/>
      </c>
      <c r="ACO1529" s="42" t="str">
        <f ca="1"/>
        <v/>
      </c>
      <c r="ACP1529" s="42" t="str">
        <f ca="1"/>
        <v/>
      </c>
      <c r="ACQ1529" s="42" t="str">
        <f ca="1"/>
        <v/>
      </c>
      <c r="ACR1529" s="42" t="str">
        <f ca="1"/>
        <v/>
      </c>
      <c r="ACS1529" s="42" t="str">
        <f ca="1"/>
        <v/>
      </c>
      <c r="ACT1529" s="42" t="str">
        <f ca="1"/>
        <v/>
      </c>
      <c r="ACU1529" s="42" t="str">
        <f ca="1"/>
        <v/>
      </c>
      <c r="ACV1529" s="42" t="str">
        <f ca="1"/>
        <v/>
      </c>
      <c r="ACW1529" s="42" t="str">
        <f ca="1"/>
        <v/>
      </c>
      <c r="ACX1529" s="42" t="str">
        <f ca="1"/>
        <v/>
      </c>
      <c r="ACY1529" s="42" t="str">
        <f ca="1"/>
        <v/>
      </c>
      <c r="ACZ1529" s="42" t="str">
        <f ca="1"/>
        <v/>
      </c>
      <c r="ADA1529" s="42" t="str">
        <f ca="1"/>
        <v/>
      </c>
      <c r="ADB1529" s="42" t="str">
        <f ca="1"/>
        <v/>
      </c>
      <c r="ADC1529" s="42" t="str">
        <f ca="1"/>
        <v/>
      </c>
      <c r="ADD1529" s="42" t="str">
        <f ca="1"/>
        <v/>
      </c>
      <c r="ADE1529" s="42" t="str">
        <f ca="1"/>
        <v/>
      </c>
      <c r="ADF1529" s="42" t="str">
        <f ca="1"/>
        <v/>
      </c>
      <c r="ADG1529" s="42" t="str">
        <f ca="1"/>
        <v/>
      </c>
      <c r="ADH1529" s="42" t="str">
        <f ca="1"/>
        <v/>
      </c>
      <c r="ADI1529" s="42" t="str">
        <f ca="1"/>
        <v/>
      </c>
      <c r="ADJ1529" s="42" t="str">
        <f ca="1"/>
        <v/>
      </c>
      <c r="ADK1529" s="42" t="str">
        <f ca="1"/>
        <v/>
      </c>
      <c r="ADL1529" s="42" t="str">
        <f ca="1"/>
        <v/>
      </c>
      <c r="ADM1529" s="42" t="str">
        <f ca="1"/>
        <v/>
      </c>
      <c r="ADN1529" s="42" t="str">
        <f ca="1"/>
        <v/>
      </c>
      <c r="ADO1529" s="42" t="str">
        <f ca="1"/>
        <v/>
      </c>
      <c r="ADP1529" s="42" t="str">
        <f ca="1"/>
        <v/>
      </c>
      <c r="ADQ1529" s="42" t="str">
        <f ca="1"/>
        <v/>
      </c>
      <c r="ADR1529" s="42" t="str">
        <f ca="1"/>
        <v/>
      </c>
      <c r="ADS1529" s="42" t="str">
        <f ca="1"/>
        <v/>
      </c>
      <c r="ADT1529" s="42" t="str">
        <f ca="1"/>
        <v/>
      </c>
      <c r="ADU1529" s="42" t="str">
        <f ca="1"/>
        <v/>
      </c>
      <c r="ADV1529" s="42" t="str">
        <f ca="1"/>
        <v/>
      </c>
      <c r="ADW1529" s="42" t="str">
        <f ca="1"/>
        <v/>
      </c>
      <c r="ADX1529" s="42" t="str">
        <f ca="1"/>
        <v/>
      </c>
      <c r="ADY1529" s="42" t="str">
        <f ca="1"/>
        <v/>
      </c>
      <c r="ADZ1529" s="42" t="str">
        <f ca="1"/>
        <v/>
      </c>
      <c r="AEA1529" s="42" t="str">
        <f ca="1"/>
        <v/>
      </c>
      <c r="AEB1529" s="42" t="str">
        <f ca="1"/>
        <v/>
      </c>
      <c r="AEC1529" s="42" t="str">
        <f ca="1"/>
        <v/>
      </c>
      <c r="AED1529" s="42" t="str">
        <f ca="1"/>
        <v/>
      </c>
      <c r="AEE1529" s="42" t="str">
        <f ca="1"/>
        <v/>
      </c>
      <c r="AEF1529" s="42" t="str">
        <f ca="1"/>
        <v/>
      </c>
      <c r="AEG1529" s="42" t="str">
        <f ca="1"/>
        <v/>
      </c>
      <c r="AEH1529" s="42" t="str">
        <f ca="1"/>
        <v/>
      </c>
      <c r="AEI1529" s="42" t="str">
        <f ca="1"/>
        <v/>
      </c>
      <c r="AEJ1529" s="42" t="str">
        <f ca="1"/>
        <v/>
      </c>
      <c r="AEK1529" s="42" t="str">
        <f ca="1"/>
        <v/>
      </c>
      <c r="AEL1529" s="42" t="str">
        <f ca="1"/>
        <v/>
      </c>
      <c r="AEM1529" s="42" t="str">
        <f ca="1"/>
        <v/>
      </c>
      <c r="AEN1529" s="42" t="str">
        <f ca="1"/>
        <v/>
      </c>
      <c r="AEO1529" s="42" t="str">
        <f ca="1"/>
        <v/>
      </c>
      <c r="AEP1529" s="42" t="str">
        <f ca="1"/>
        <v/>
      </c>
      <c r="AEQ1529" s="42" t="str">
        <f ca="1"/>
        <v/>
      </c>
      <c r="AER1529" s="42" t="str">
        <f ca="1"/>
        <v/>
      </c>
      <c r="AES1529" s="42" t="str">
        <f ca="1"/>
        <v/>
      </c>
      <c r="AET1529" s="42" t="str">
        <f ca="1"/>
        <v/>
      </c>
      <c r="AEU1529" s="42" t="str">
        <f ca="1"/>
        <v/>
      </c>
      <c r="AEV1529" s="42" t="str">
        <f ca="1"/>
        <v/>
      </c>
      <c r="AEW1529" s="42" t="str">
        <f ca="1"/>
        <v/>
      </c>
      <c r="AEX1529" s="42" t="str">
        <f ca="1"/>
        <v/>
      </c>
      <c r="AEY1529" s="42" t="str">
        <f ca="1"/>
        <v/>
      </c>
      <c r="AEZ1529" s="42" t="str">
        <f ca="1"/>
        <v/>
      </c>
      <c r="AFA1529" s="42" t="str">
        <f ca="1"/>
        <v/>
      </c>
      <c r="AFB1529" s="42" t="str">
        <f ca="1"/>
        <v/>
      </c>
      <c r="AFC1529" s="42" t="str">
        <f ca="1"/>
        <v/>
      </c>
      <c r="AFD1529" s="42" t="str">
        <f ca="1"/>
        <v/>
      </c>
      <c r="AFE1529" s="42" t="str">
        <f ca="1"/>
        <v/>
      </c>
      <c r="AFF1529" s="42" t="str">
        <f ca="1"/>
        <v/>
      </c>
      <c r="AFG1529" s="42" t="str">
        <f ca="1"/>
        <v/>
      </c>
      <c r="AFH1529" s="42" t="str">
        <f ca="1"/>
        <v/>
      </c>
      <c r="AFI1529" s="42" t="str">
        <f ca="1"/>
        <v/>
      </c>
      <c r="AFJ1529" s="42" t="str">
        <f ca="1"/>
        <v/>
      </c>
      <c r="AFK1529" s="42" t="str">
        <f ca="1"/>
        <v/>
      </c>
      <c r="AFL1529" s="42" t="str">
        <f ca="1"/>
        <v/>
      </c>
      <c r="AFM1529" s="42" t="str">
        <f ca="1"/>
        <v/>
      </c>
      <c r="AFN1529" s="42" t="str">
        <f ca="1"/>
        <v/>
      </c>
      <c r="AFO1529" s="42" t="str">
        <f ca="1"/>
        <v/>
      </c>
      <c r="AFP1529" s="42" t="str">
        <f ca="1"/>
        <v/>
      </c>
      <c r="AFQ1529" s="42" t="str">
        <f ca="1"/>
        <v/>
      </c>
      <c r="AFR1529" s="42" t="str">
        <f ca="1"/>
        <v/>
      </c>
      <c r="AFS1529" s="42" t="str">
        <f ca="1"/>
        <v/>
      </c>
      <c r="AFT1529" s="42" t="str">
        <f ca="1"/>
        <v/>
      </c>
      <c r="AFU1529" s="42" t="str">
        <f ca="1"/>
        <v/>
      </c>
      <c r="AFV1529" s="42" t="str">
        <f ca="1"/>
        <v/>
      </c>
      <c r="AFW1529" s="42" t="str">
        <f ca="1"/>
        <v/>
      </c>
      <c r="AFX1529" s="42" t="str">
        <f ca="1"/>
        <v/>
      </c>
      <c r="AFY1529" s="42" t="str">
        <f ca="1"/>
        <v/>
      </c>
      <c r="AFZ1529" s="42" t="str">
        <f ca="1"/>
        <v/>
      </c>
      <c r="AGA1529" s="42" t="str">
        <f ca="1"/>
        <v/>
      </c>
      <c r="AGB1529" s="42" t="str">
        <f ca="1"/>
        <v/>
      </c>
      <c r="AGC1529" s="42" t="str">
        <f ca="1"/>
        <v/>
      </c>
      <c r="AGD1529" s="42" t="str">
        <f ca="1"/>
        <v/>
      </c>
      <c r="AGE1529" s="42" t="str">
        <f ca="1"/>
        <v/>
      </c>
      <c r="AGF1529" s="42" t="str">
        <f ca="1"/>
        <v/>
      </c>
      <c r="AGG1529" s="42" t="str">
        <f ca="1"/>
        <v/>
      </c>
      <c r="AGH1529" s="42" t="str">
        <f ca="1"/>
        <v/>
      </c>
      <c r="AGI1529" s="42" t="str">
        <f ca="1"/>
        <v/>
      </c>
      <c r="AGJ1529" s="42" t="str">
        <f ca="1"/>
        <v/>
      </c>
      <c r="AGK1529" s="42" t="str">
        <f ca="1"/>
        <v/>
      </c>
      <c r="AGL1529" s="42" t="str">
        <f ca="1"/>
        <v/>
      </c>
      <c r="AGM1529" s="42" t="str">
        <f ca="1"/>
        <v/>
      </c>
      <c r="AGN1529" s="42" t="str">
        <f ca="1"/>
        <v/>
      </c>
    </row>
    <row r="1530" spans="15:872" x14ac:dyDescent="0.25">
      <c r="O1530" s="42">
        <v>17</v>
      </c>
      <c r="P1530" s="42" t="str">
        <f ca="1"/>
        <v/>
      </c>
      <c r="Q1530" s="42" t="str">
        <f ca="1"/>
        <v/>
      </c>
      <c r="R1530" s="42" t="str">
        <f ca="1"/>
        <v/>
      </c>
      <c r="S1530" s="42" t="str">
        <f ca="1"/>
        <v/>
      </c>
      <c r="T1530" s="42" t="str">
        <f ca="1"/>
        <v/>
      </c>
      <c r="U1530" s="42" t="str">
        <f ca="1"/>
        <v/>
      </c>
      <c r="V1530" s="42" t="str">
        <f ca="1"/>
        <v/>
      </c>
      <c r="W1530" s="42" t="str">
        <f ca="1"/>
        <v/>
      </c>
      <c r="X1530" s="42" t="str">
        <f ca="1"/>
        <v/>
      </c>
      <c r="Y1530" s="42" t="str">
        <f ca="1"/>
        <v/>
      </c>
      <c r="Z1530" s="42" t="str">
        <f ca="1"/>
        <v/>
      </c>
      <c r="AA1530" s="42" t="str">
        <f ca="1"/>
        <v/>
      </c>
      <c r="AB1530" s="42" t="str">
        <f ca="1"/>
        <v/>
      </c>
      <c r="AC1530" s="42" t="str">
        <f ca="1"/>
        <v/>
      </c>
      <c r="AD1530" s="42" t="str">
        <f ca="1"/>
        <v/>
      </c>
      <c r="AE1530" s="42" t="str">
        <f ca="1"/>
        <v/>
      </c>
      <c r="AF1530" s="42" t="str">
        <f ca="1"/>
        <v/>
      </c>
      <c r="AG1530" s="42" t="str">
        <f ca="1"/>
        <v/>
      </c>
      <c r="AH1530" s="42" t="str">
        <f ca="1"/>
        <v/>
      </c>
      <c r="AI1530" s="42" t="str">
        <f ca="1"/>
        <v/>
      </c>
      <c r="AJ1530" s="42" t="str">
        <f ca="1"/>
        <v/>
      </c>
      <c r="AK1530" s="42" t="str">
        <f ca="1"/>
        <v/>
      </c>
      <c r="AL1530" s="42" t="str">
        <f ca="1"/>
        <v/>
      </c>
      <c r="AM1530" s="42" t="str">
        <f ca="1"/>
        <v/>
      </c>
      <c r="AN1530" s="42" t="str">
        <f ca="1"/>
        <v/>
      </c>
      <c r="AO1530" s="42" t="str">
        <f ca="1"/>
        <v/>
      </c>
      <c r="AP1530" s="42" t="str">
        <f ca="1"/>
        <v/>
      </c>
      <c r="AQ1530" s="42" t="str">
        <f ca="1"/>
        <v/>
      </c>
      <c r="AR1530" s="42" t="str">
        <f ca="1"/>
        <v/>
      </c>
      <c r="AS1530" s="42" t="str">
        <f ca="1"/>
        <v/>
      </c>
      <c r="AT1530" s="42" t="str">
        <f ca="1"/>
        <v/>
      </c>
      <c r="AU1530" s="42" t="str">
        <f ca="1"/>
        <v/>
      </c>
      <c r="AV1530" s="42" t="str">
        <f ca="1"/>
        <v/>
      </c>
      <c r="AW1530" s="42" t="str">
        <f ca="1"/>
        <v/>
      </c>
      <c r="AX1530" s="42" t="str">
        <f ca="1"/>
        <v/>
      </c>
      <c r="AY1530" s="42" t="str">
        <f ca="1"/>
        <v/>
      </c>
      <c r="AZ1530" s="42" t="str">
        <f ca="1"/>
        <v/>
      </c>
      <c r="BA1530" s="42" t="str">
        <f ca="1"/>
        <v/>
      </c>
      <c r="BB1530" s="42" t="str">
        <f ca="1"/>
        <v/>
      </c>
      <c r="BC1530" s="42" t="str">
        <f ca="1"/>
        <v/>
      </c>
      <c r="BD1530" s="42" t="str">
        <f ca="1"/>
        <v/>
      </c>
      <c r="BE1530" s="42" t="str">
        <f ca="1"/>
        <v/>
      </c>
      <c r="BF1530" s="42" t="str">
        <f ca="1"/>
        <v/>
      </c>
      <c r="BG1530" s="42" t="str">
        <f ca="1"/>
        <v/>
      </c>
      <c r="BH1530" s="42" t="str">
        <f ca="1"/>
        <v/>
      </c>
      <c r="BI1530" s="42" t="str">
        <f ca="1"/>
        <v/>
      </c>
      <c r="BJ1530" s="42" t="str">
        <f ca="1"/>
        <v/>
      </c>
      <c r="BK1530" s="42" t="str">
        <f ca="1"/>
        <v/>
      </c>
      <c r="BL1530" s="42" t="str">
        <f ca="1"/>
        <v/>
      </c>
      <c r="BM1530" s="42" t="str">
        <f ca="1"/>
        <v/>
      </c>
      <c r="BN1530" s="42" t="str">
        <f ca="1"/>
        <v/>
      </c>
      <c r="BO1530" s="42" t="str">
        <f ca="1"/>
        <v/>
      </c>
      <c r="BP1530" s="42" t="str">
        <f ca="1"/>
        <v/>
      </c>
      <c r="BQ1530" s="42" t="str">
        <f ca="1"/>
        <v/>
      </c>
      <c r="BR1530" s="42" t="str">
        <f ca="1"/>
        <v/>
      </c>
      <c r="BS1530" s="42" t="str">
        <f ca="1"/>
        <v/>
      </c>
      <c r="BT1530" s="42" t="str">
        <f ca="1"/>
        <v/>
      </c>
      <c r="BU1530" s="42" t="str">
        <f ca="1"/>
        <v/>
      </c>
      <c r="BV1530" s="42" t="str">
        <f ca="1"/>
        <v/>
      </c>
      <c r="BW1530" s="42" t="str">
        <f ca="1"/>
        <v/>
      </c>
      <c r="BX1530" s="42" t="str">
        <f ca="1"/>
        <v/>
      </c>
      <c r="BY1530" s="42" t="str">
        <f ca="1"/>
        <v/>
      </c>
      <c r="BZ1530" s="42" t="str">
        <f ca="1"/>
        <v/>
      </c>
      <c r="CA1530" s="42" t="str">
        <f ca="1"/>
        <v/>
      </c>
      <c r="CB1530" s="42" t="str">
        <f ca="1"/>
        <v/>
      </c>
      <c r="CC1530" s="42" t="str">
        <f ca="1"/>
        <v/>
      </c>
      <c r="CD1530" s="42" t="str">
        <f ca="1"/>
        <v/>
      </c>
      <c r="CE1530" s="42" t="str">
        <f ca="1"/>
        <v/>
      </c>
      <c r="CF1530" s="42" t="str">
        <f ca="1"/>
        <v/>
      </c>
      <c r="CG1530" s="42" t="str">
        <f ca="1"/>
        <v/>
      </c>
      <c r="CH1530" s="42" t="str">
        <f ca="1"/>
        <v/>
      </c>
      <c r="CI1530" s="42" t="str">
        <f ca="1"/>
        <v/>
      </c>
      <c r="CJ1530" s="42" t="str">
        <f ca="1"/>
        <v/>
      </c>
      <c r="CK1530" s="42" t="str">
        <f ca="1"/>
        <v/>
      </c>
      <c r="CL1530" s="42" t="str">
        <f ca="1"/>
        <v/>
      </c>
      <c r="CM1530" s="42" t="str">
        <f ca="1"/>
        <v/>
      </c>
      <c r="CN1530" s="42" t="str">
        <f ca="1"/>
        <v/>
      </c>
      <c r="CO1530" s="42" t="str">
        <f ca="1"/>
        <v/>
      </c>
      <c r="CP1530" s="42" t="str">
        <f ca="1"/>
        <v/>
      </c>
      <c r="CQ1530" s="42" t="str">
        <f ca="1"/>
        <v/>
      </c>
      <c r="CR1530" s="42" t="str">
        <f ca="1"/>
        <v/>
      </c>
      <c r="CS1530" s="42" t="str">
        <f ca="1"/>
        <v/>
      </c>
      <c r="CT1530" s="42" t="str">
        <f ca="1"/>
        <v/>
      </c>
      <c r="CU1530" s="42" t="str">
        <f ca="1"/>
        <v/>
      </c>
      <c r="CV1530" s="42" t="str">
        <f ca="1"/>
        <v/>
      </c>
      <c r="CW1530" s="42" t="str">
        <f ca="1"/>
        <v/>
      </c>
      <c r="CX1530" s="42" t="str">
        <f ca="1"/>
        <v/>
      </c>
      <c r="CY1530" s="42" t="str">
        <f ca="1"/>
        <v/>
      </c>
      <c r="CZ1530" s="42" t="str">
        <f ca="1"/>
        <v/>
      </c>
      <c r="DA1530" s="42" t="str">
        <f ca="1"/>
        <v/>
      </c>
      <c r="DB1530" s="42" t="str">
        <f ca="1"/>
        <v/>
      </c>
      <c r="DC1530" s="42" t="str">
        <f ca="1"/>
        <v/>
      </c>
      <c r="DD1530" s="42" t="str">
        <f ca="1"/>
        <v/>
      </c>
      <c r="DE1530" s="42" t="str">
        <f ca="1"/>
        <v/>
      </c>
      <c r="DF1530" s="42" t="str">
        <f ca="1"/>
        <v/>
      </c>
      <c r="DG1530" s="42" t="str">
        <f ca="1"/>
        <v/>
      </c>
      <c r="DH1530" s="42" t="str">
        <f ca="1"/>
        <v/>
      </c>
      <c r="DI1530" s="42" t="str">
        <f ca="1"/>
        <v/>
      </c>
      <c r="DJ1530" s="42" t="str">
        <f ca="1"/>
        <v/>
      </c>
      <c r="DK1530" s="42" t="str">
        <f ca="1"/>
        <v/>
      </c>
      <c r="DL1530" s="42" t="str">
        <f ca="1"/>
        <v/>
      </c>
      <c r="DM1530" s="42" t="str">
        <f ca="1"/>
        <v/>
      </c>
      <c r="DN1530" s="42" t="str">
        <f ca="1"/>
        <v/>
      </c>
      <c r="DO1530" s="42" t="str">
        <f ca="1"/>
        <v/>
      </c>
      <c r="DP1530" s="42" t="str">
        <f ca="1"/>
        <v/>
      </c>
      <c r="DQ1530" s="42" t="str">
        <f ca="1"/>
        <v/>
      </c>
      <c r="DR1530" s="42" t="str">
        <f ca="1"/>
        <v/>
      </c>
      <c r="DS1530" s="42" t="str">
        <f ca="1"/>
        <v/>
      </c>
      <c r="DT1530" s="42" t="str">
        <f ca="1"/>
        <v/>
      </c>
      <c r="DU1530" s="42" t="str">
        <f ca="1"/>
        <v/>
      </c>
      <c r="DV1530" s="42" t="str">
        <f ca="1"/>
        <v/>
      </c>
      <c r="DW1530" s="42" t="str">
        <f ca="1"/>
        <v/>
      </c>
      <c r="DX1530" s="42" t="str">
        <f ca="1"/>
        <v/>
      </c>
      <c r="DY1530" s="42" t="str">
        <f ca="1"/>
        <v/>
      </c>
      <c r="DZ1530" s="42" t="str">
        <f ca="1"/>
        <v/>
      </c>
      <c r="EA1530" s="42" t="str">
        <f ca="1"/>
        <v/>
      </c>
      <c r="EB1530" s="42" t="str">
        <f ca="1"/>
        <v/>
      </c>
      <c r="EC1530" s="42" t="str">
        <f ca="1"/>
        <v/>
      </c>
      <c r="ED1530" s="42" t="str">
        <f ca="1"/>
        <v/>
      </c>
      <c r="EE1530" s="42" t="str">
        <f ca="1"/>
        <v/>
      </c>
      <c r="EF1530" s="42" t="str">
        <f ca="1"/>
        <v/>
      </c>
      <c r="EG1530" s="42" t="str">
        <f ca="1"/>
        <v/>
      </c>
      <c r="EH1530" s="42" t="str">
        <f ca="1"/>
        <v/>
      </c>
      <c r="EI1530" s="42" t="str">
        <f ca="1"/>
        <v/>
      </c>
      <c r="EJ1530" s="42" t="str">
        <f ca="1"/>
        <v/>
      </c>
      <c r="EK1530" s="42" t="str">
        <f ca="1"/>
        <v/>
      </c>
      <c r="EL1530" s="42" t="str">
        <f ca="1"/>
        <v/>
      </c>
      <c r="EM1530" s="42" t="str">
        <f ca="1"/>
        <v/>
      </c>
      <c r="EN1530" s="42" t="str">
        <f ca="1"/>
        <v/>
      </c>
      <c r="EO1530" s="42" t="str">
        <f ca="1"/>
        <v/>
      </c>
      <c r="EP1530" s="42" t="str">
        <f ca="1"/>
        <v/>
      </c>
      <c r="EQ1530" s="42" t="str">
        <f ca="1"/>
        <v/>
      </c>
      <c r="ER1530" s="42" t="str">
        <f ca="1"/>
        <v/>
      </c>
      <c r="ES1530" s="42" t="str">
        <f ca="1"/>
        <v/>
      </c>
      <c r="ET1530" s="42" t="str">
        <f ca="1"/>
        <v/>
      </c>
      <c r="EU1530" s="42" t="str">
        <f ca="1"/>
        <v/>
      </c>
      <c r="EV1530" s="42" t="str">
        <f ca="1"/>
        <v/>
      </c>
      <c r="EW1530" s="42" t="str">
        <f ca="1"/>
        <v/>
      </c>
      <c r="EX1530" s="42" t="str">
        <f ca="1"/>
        <v/>
      </c>
      <c r="EY1530" s="42" t="str">
        <f ca="1"/>
        <v/>
      </c>
      <c r="EZ1530" s="42" t="str">
        <f ca="1"/>
        <v/>
      </c>
      <c r="FA1530" s="42" t="str">
        <f ca="1"/>
        <v/>
      </c>
      <c r="FB1530" s="42" t="str">
        <f ca="1"/>
        <v/>
      </c>
      <c r="FC1530" s="42" t="str">
        <f ca="1"/>
        <v/>
      </c>
      <c r="FD1530" s="42" t="str">
        <f ca="1"/>
        <v/>
      </c>
      <c r="FE1530" s="42" t="str">
        <f ca="1"/>
        <v/>
      </c>
      <c r="FF1530" s="42" t="str">
        <f ca="1"/>
        <v/>
      </c>
      <c r="FG1530" s="42" t="str">
        <f ca="1"/>
        <v/>
      </c>
      <c r="FH1530" s="42" t="str">
        <f ca="1"/>
        <v/>
      </c>
      <c r="FI1530" s="42" t="str">
        <f ca="1"/>
        <v/>
      </c>
      <c r="FJ1530" s="42" t="str">
        <f ca="1"/>
        <v/>
      </c>
      <c r="FK1530" s="42" t="str">
        <f ca="1"/>
        <v/>
      </c>
      <c r="FL1530" s="42" t="str">
        <f ca="1"/>
        <v/>
      </c>
      <c r="FM1530" s="42" t="str">
        <f ca="1"/>
        <v/>
      </c>
      <c r="FN1530" s="42" t="str">
        <f ca="1"/>
        <v/>
      </c>
      <c r="FO1530" s="42" t="str">
        <f ca="1"/>
        <v/>
      </c>
      <c r="FP1530" s="42" t="str">
        <f ca="1"/>
        <v/>
      </c>
      <c r="FQ1530" s="42" t="str">
        <f ca="1"/>
        <v/>
      </c>
      <c r="FR1530" s="42" t="str">
        <f ca="1"/>
        <v/>
      </c>
      <c r="FS1530" s="42" t="str">
        <f ca="1"/>
        <v/>
      </c>
      <c r="FT1530" s="42" t="str">
        <f ca="1"/>
        <v/>
      </c>
      <c r="FU1530" s="42" t="str">
        <f ca="1"/>
        <v/>
      </c>
      <c r="FV1530" s="42" t="str">
        <f ca="1"/>
        <v/>
      </c>
      <c r="FW1530" s="42" t="str">
        <f ca="1"/>
        <v/>
      </c>
      <c r="FX1530" s="42" t="str">
        <f ca="1"/>
        <v/>
      </c>
      <c r="FY1530" s="42" t="str">
        <f ca="1"/>
        <v/>
      </c>
      <c r="FZ1530" s="42" t="str">
        <f ca="1"/>
        <v/>
      </c>
      <c r="GA1530" s="42" t="str">
        <f ca="1"/>
        <v/>
      </c>
      <c r="GB1530" s="42" t="str">
        <f ca="1"/>
        <v/>
      </c>
      <c r="GC1530" s="42" t="str">
        <f ca="1"/>
        <v/>
      </c>
      <c r="GD1530" s="42" t="str">
        <f ca="1"/>
        <v/>
      </c>
      <c r="GE1530" s="42" t="str">
        <f ca="1"/>
        <v/>
      </c>
      <c r="GF1530" s="42" t="str">
        <f ca="1"/>
        <v/>
      </c>
      <c r="GG1530" s="42" t="str">
        <f ca="1"/>
        <v/>
      </c>
      <c r="GH1530" s="42" t="str">
        <f ca="1"/>
        <v/>
      </c>
      <c r="GI1530" s="42" t="str">
        <f ca="1"/>
        <v/>
      </c>
      <c r="GJ1530" s="42" t="str">
        <f ca="1"/>
        <v/>
      </c>
      <c r="GK1530" s="42" t="str">
        <f ca="1"/>
        <v/>
      </c>
      <c r="GL1530" s="42" t="str">
        <f ca="1"/>
        <v/>
      </c>
      <c r="GM1530" s="42" t="str">
        <f ca="1"/>
        <v/>
      </c>
      <c r="GN1530" s="42" t="str">
        <f ca="1"/>
        <v/>
      </c>
      <c r="GO1530" s="42" t="str">
        <f ca="1"/>
        <v/>
      </c>
      <c r="GP1530" s="42" t="str">
        <f ca="1"/>
        <v/>
      </c>
      <c r="GQ1530" s="42" t="str">
        <f ca="1"/>
        <v/>
      </c>
      <c r="GR1530" s="42" t="str">
        <f ca="1"/>
        <v/>
      </c>
      <c r="GS1530" s="42" t="str">
        <f ca="1"/>
        <v/>
      </c>
      <c r="GT1530" s="42" t="str">
        <f ca="1"/>
        <v/>
      </c>
      <c r="GU1530" s="42" t="str">
        <f ca="1"/>
        <v/>
      </c>
      <c r="GV1530" s="42" t="str">
        <f ca="1"/>
        <v/>
      </c>
      <c r="GW1530" s="42" t="str">
        <f ca="1"/>
        <v/>
      </c>
      <c r="GX1530" s="42" t="str">
        <f ca="1"/>
        <v/>
      </c>
      <c r="GY1530" s="42" t="str">
        <f ca="1"/>
        <v/>
      </c>
      <c r="GZ1530" s="42" t="str">
        <f ca="1"/>
        <v/>
      </c>
      <c r="HA1530" s="42" t="str">
        <f ca="1"/>
        <v/>
      </c>
      <c r="HB1530" s="42" t="str">
        <f ca="1"/>
        <v/>
      </c>
      <c r="HC1530" s="42" t="str">
        <f ca="1"/>
        <v/>
      </c>
      <c r="HD1530" s="42" t="str">
        <f ca="1"/>
        <v/>
      </c>
      <c r="HE1530" s="42" t="str">
        <f ca="1"/>
        <v/>
      </c>
      <c r="HF1530" s="42" t="str">
        <f ca="1"/>
        <v/>
      </c>
      <c r="HG1530" s="42" t="str">
        <f ca="1"/>
        <v/>
      </c>
      <c r="HH1530" s="42" t="str">
        <f ca="1"/>
        <v/>
      </c>
      <c r="HI1530" s="42" t="str">
        <f ca="1"/>
        <v/>
      </c>
      <c r="HJ1530" s="42" t="str">
        <f ca="1"/>
        <v/>
      </c>
      <c r="HK1530" s="42" t="str">
        <f ca="1"/>
        <v/>
      </c>
      <c r="HL1530" s="42" t="str">
        <f ca="1"/>
        <v/>
      </c>
      <c r="HM1530" s="42" t="str">
        <f ca="1"/>
        <v/>
      </c>
      <c r="HN1530" s="42" t="str">
        <f ca="1"/>
        <v/>
      </c>
      <c r="HO1530" s="42" t="str">
        <f ca="1"/>
        <v/>
      </c>
      <c r="HP1530" s="42" t="str">
        <f ca="1"/>
        <v/>
      </c>
      <c r="HQ1530" s="42" t="str">
        <f ca="1"/>
        <v/>
      </c>
      <c r="HR1530" s="42" t="str">
        <f ca="1"/>
        <v/>
      </c>
      <c r="HS1530" s="42" t="str">
        <f ca="1"/>
        <v/>
      </c>
      <c r="HT1530" s="42" t="str">
        <f ca="1"/>
        <v/>
      </c>
      <c r="HU1530" s="42" t="str">
        <f ca="1"/>
        <v/>
      </c>
      <c r="HV1530" s="42" t="str">
        <f ca="1"/>
        <v/>
      </c>
      <c r="HW1530" s="42" t="str">
        <f ca="1"/>
        <v/>
      </c>
      <c r="HX1530" s="42" t="str">
        <f ca="1"/>
        <v/>
      </c>
      <c r="HY1530" s="42" t="str">
        <f ca="1"/>
        <v/>
      </c>
      <c r="HZ1530" s="42" t="str">
        <f ca="1"/>
        <v/>
      </c>
      <c r="IA1530" s="42" t="str">
        <f ca="1"/>
        <v/>
      </c>
      <c r="IB1530" s="42" t="str">
        <f ca="1"/>
        <v/>
      </c>
      <c r="IC1530" s="42" t="str">
        <f ca="1"/>
        <v/>
      </c>
      <c r="ID1530" s="42" t="str">
        <f ca="1"/>
        <v/>
      </c>
      <c r="IE1530" s="42" t="str">
        <f ca="1"/>
        <v/>
      </c>
      <c r="IF1530" s="42" t="str">
        <f ca="1"/>
        <v/>
      </c>
      <c r="IG1530" s="42" t="str">
        <f ca="1"/>
        <v/>
      </c>
      <c r="IH1530" s="42" t="str">
        <f ca="1"/>
        <v/>
      </c>
      <c r="II1530" s="42" t="str">
        <f ca="1"/>
        <v/>
      </c>
      <c r="IJ1530" s="42" t="str">
        <f ca="1"/>
        <v/>
      </c>
      <c r="IK1530" s="42" t="str">
        <f ca="1"/>
        <v/>
      </c>
      <c r="IL1530" s="42" t="str">
        <f ca="1"/>
        <v/>
      </c>
      <c r="IM1530" s="42" t="str">
        <f ca="1"/>
        <v/>
      </c>
      <c r="IN1530" s="42" t="str">
        <f ca="1"/>
        <v/>
      </c>
      <c r="IO1530" s="42" t="str">
        <f ca="1"/>
        <v/>
      </c>
      <c r="IP1530" s="42" t="str">
        <f ca="1"/>
        <v/>
      </c>
      <c r="IQ1530" s="42" t="str">
        <f ca="1"/>
        <v/>
      </c>
      <c r="IR1530" s="42" t="str">
        <f ca="1"/>
        <v/>
      </c>
      <c r="IS1530" s="42" t="str">
        <f ca="1"/>
        <v/>
      </c>
      <c r="IT1530" s="42" t="str">
        <f ca="1"/>
        <v/>
      </c>
      <c r="IU1530" s="42" t="str">
        <f ca="1"/>
        <v/>
      </c>
      <c r="IV1530" s="42" t="str">
        <f ca="1"/>
        <v/>
      </c>
      <c r="IW1530" s="42" t="str">
        <f ca="1"/>
        <v/>
      </c>
      <c r="IX1530" s="42" t="str">
        <f ca="1"/>
        <v/>
      </c>
      <c r="IY1530" s="42" t="str">
        <f ca="1"/>
        <v/>
      </c>
      <c r="IZ1530" s="42" t="str">
        <f ca="1"/>
        <v/>
      </c>
      <c r="JA1530" s="42" t="str">
        <f ca="1"/>
        <v/>
      </c>
      <c r="JB1530" s="42" t="str">
        <f ca="1"/>
        <v/>
      </c>
      <c r="JC1530" s="42" t="str">
        <f ca="1"/>
        <v/>
      </c>
      <c r="JD1530" s="42" t="str">
        <f ca="1"/>
        <v/>
      </c>
      <c r="JE1530" s="42" t="str">
        <f ca="1"/>
        <v/>
      </c>
      <c r="JF1530" s="42" t="str">
        <f ca="1"/>
        <v/>
      </c>
      <c r="JG1530" s="42" t="str">
        <f ca="1"/>
        <v/>
      </c>
      <c r="JH1530" s="42" t="str">
        <f ca="1"/>
        <v/>
      </c>
      <c r="JI1530" s="42" t="str">
        <f ca="1"/>
        <v/>
      </c>
      <c r="JJ1530" s="42" t="str">
        <f ca="1"/>
        <v/>
      </c>
      <c r="JK1530" s="42" t="str">
        <f ca="1"/>
        <v/>
      </c>
      <c r="JL1530" s="42" t="str">
        <f ca="1"/>
        <v/>
      </c>
      <c r="JM1530" s="42" t="str">
        <f ca="1"/>
        <v/>
      </c>
      <c r="JN1530" s="42" t="str">
        <f ca="1"/>
        <v/>
      </c>
      <c r="JO1530" s="42" t="str">
        <f ca="1"/>
        <v/>
      </c>
      <c r="JP1530" s="42" t="str">
        <f ca="1"/>
        <v/>
      </c>
      <c r="JQ1530" s="42" t="str">
        <f ca="1"/>
        <v/>
      </c>
      <c r="JR1530" s="42" t="str">
        <f ca="1"/>
        <v/>
      </c>
      <c r="JS1530" s="42" t="str">
        <f ca="1"/>
        <v/>
      </c>
      <c r="JT1530" s="42" t="str">
        <f ca="1"/>
        <v/>
      </c>
      <c r="JU1530" s="42" t="str">
        <f ca="1"/>
        <v/>
      </c>
      <c r="JV1530" s="42" t="str">
        <f ca="1"/>
        <v/>
      </c>
      <c r="JW1530" s="42" t="str">
        <f ca="1"/>
        <v/>
      </c>
      <c r="JX1530" s="42" t="str">
        <f ca="1"/>
        <v/>
      </c>
      <c r="JY1530" s="42" t="str">
        <f ca="1"/>
        <v/>
      </c>
      <c r="JZ1530" s="42" t="str">
        <f ca="1"/>
        <v/>
      </c>
      <c r="KA1530" s="42" t="str">
        <f ca="1"/>
        <v/>
      </c>
      <c r="KB1530" s="42" t="str">
        <f ca="1"/>
        <v/>
      </c>
      <c r="KC1530" s="42" t="str">
        <f ca="1"/>
        <v/>
      </c>
      <c r="KD1530" s="42" t="str">
        <f ca="1"/>
        <v/>
      </c>
      <c r="KE1530" s="42" t="str">
        <f ca="1"/>
        <v/>
      </c>
      <c r="KF1530" s="42" t="str">
        <f ca="1"/>
        <v/>
      </c>
      <c r="KG1530" s="42" t="str">
        <f ca="1"/>
        <v/>
      </c>
      <c r="KH1530" s="42" t="str">
        <f ca="1"/>
        <v/>
      </c>
      <c r="KI1530" s="42" t="str">
        <f ca="1"/>
        <v/>
      </c>
      <c r="KJ1530" s="42" t="str">
        <f ca="1"/>
        <v/>
      </c>
      <c r="KK1530" s="42" t="str">
        <f ca="1"/>
        <v/>
      </c>
      <c r="KL1530" s="42" t="str">
        <f ca="1"/>
        <v/>
      </c>
      <c r="KM1530" s="42" t="str">
        <f ca="1"/>
        <v/>
      </c>
      <c r="KN1530" s="42" t="str">
        <f ca="1"/>
        <v/>
      </c>
      <c r="KO1530" s="42" t="str">
        <f ca="1"/>
        <v/>
      </c>
      <c r="KP1530" s="42" t="str">
        <f ca="1"/>
        <v/>
      </c>
      <c r="KQ1530" s="42" t="str">
        <f ca="1"/>
        <v/>
      </c>
      <c r="KR1530" s="42" t="str">
        <f ca="1"/>
        <v/>
      </c>
      <c r="KS1530" s="42" t="str">
        <f ca="1"/>
        <v/>
      </c>
      <c r="KT1530" s="42" t="str">
        <f ca="1"/>
        <v/>
      </c>
      <c r="KU1530" s="42" t="str">
        <f ca="1"/>
        <v/>
      </c>
      <c r="KV1530" s="42" t="str">
        <f ca="1"/>
        <v/>
      </c>
      <c r="KW1530" s="42" t="str">
        <f ca="1"/>
        <v/>
      </c>
      <c r="KX1530" s="42" t="str">
        <f ca="1"/>
        <v/>
      </c>
      <c r="KY1530" s="42" t="str">
        <f ca="1"/>
        <v/>
      </c>
      <c r="KZ1530" s="42" t="str">
        <f ca="1"/>
        <v/>
      </c>
      <c r="LA1530" s="42" t="str">
        <f ca="1"/>
        <v/>
      </c>
      <c r="LB1530" s="42" t="str">
        <f ca="1"/>
        <v/>
      </c>
      <c r="LC1530" s="42" t="str">
        <f ca="1"/>
        <v/>
      </c>
      <c r="LD1530" s="42" t="str">
        <f ca="1"/>
        <v/>
      </c>
      <c r="LE1530" s="42" t="str">
        <f ca="1"/>
        <v/>
      </c>
      <c r="LF1530" s="42" t="str">
        <f ca="1"/>
        <v/>
      </c>
      <c r="LG1530" s="42" t="str">
        <f ca="1"/>
        <v/>
      </c>
      <c r="LH1530" s="42" t="str">
        <f ca="1"/>
        <v/>
      </c>
      <c r="LI1530" s="42" t="str">
        <f ca="1"/>
        <v/>
      </c>
      <c r="LJ1530" s="42" t="str">
        <f ca="1"/>
        <v/>
      </c>
      <c r="LK1530" s="42" t="str">
        <f ca="1"/>
        <v/>
      </c>
      <c r="LL1530" s="42" t="str">
        <f ca="1"/>
        <v/>
      </c>
      <c r="LM1530" s="42" t="str">
        <f ca="1"/>
        <v/>
      </c>
      <c r="LN1530" s="42" t="str">
        <f ca="1"/>
        <v/>
      </c>
      <c r="LO1530" s="42" t="str">
        <f ca="1"/>
        <v/>
      </c>
      <c r="LP1530" s="42" t="str">
        <f ca="1"/>
        <v/>
      </c>
      <c r="LQ1530" s="42" t="str">
        <f ca="1"/>
        <v/>
      </c>
      <c r="LR1530" s="42" t="str">
        <f ca="1"/>
        <v/>
      </c>
      <c r="LS1530" s="42" t="str">
        <f ca="1"/>
        <v/>
      </c>
      <c r="LT1530" s="42" t="str">
        <f ca="1"/>
        <v/>
      </c>
      <c r="LU1530" s="42" t="str">
        <f ca="1"/>
        <v/>
      </c>
      <c r="LV1530" s="42" t="str">
        <f ca="1"/>
        <v/>
      </c>
      <c r="LW1530" s="42" t="str">
        <f ca="1"/>
        <v/>
      </c>
      <c r="LX1530" s="42" t="str">
        <f ca="1"/>
        <v/>
      </c>
      <c r="LY1530" s="42" t="str">
        <f ca="1"/>
        <v/>
      </c>
      <c r="LZ1530" s="42" t="str">
        <f ca="1"/>
        <v/>
      </c>
      <c r="MA1530" s="42" t="str">
        <f ca="1"/>
        <v/>
      </c>
      <c r="MB1530" s="42" t="str">
        <f ca="1"/>
        <v/>
      </c>
      <c r="MC1530" s="42" t="str">
        <f ca="1"/>
        <v/>
      </c>
      <c r="MD1530" s="42" t="str">
        <f ca="1"/>
        <v/>
      </c>
      <c r="ME1530" s="42" t="str">
        <f ca="1"/>
        <v/>
      </c>
      <c r="MF1530" s="42" t="str">
        <f ca="1"/>
        <v/>
      </c>
      <c r="MG1530" s="42" t="str">
        <f ca="1"/>
        <v/>
      </c>
      <c r="MH1530" s="42" t="str">
        <f ca="1"/>
        <v/>
      </c>
      <c r="MI1530" s="42" t="str">
        <f ca="1"/>
        <v/>
      </c>
      <c r="MJ1530" s="42" t="str">
        <f ca="1"/>
        <v/>
      </c>
      <c r="MK1530" s="42" t="str">
        <f ca="1"/>
        <v/>
      </c>
      <c r="ML1530" s="42" t="str">
        <f ca="1"/>
        <v/>
      </c>
      <c r="MM1530" s="42" t="str">
        <f ca="1"/>
        <v/>
      </c>
      <c r="MN1530" s="42" t="str">
        <f ca="1"/>
        <v/>
      </c>
      <c r="MO1530" s="42" t="str">
        <f ca="1"/>
        <v/>
      </c>
      <c r="MP1530" s="42" t="str">
        <f ca="1"/>
        <v/>
      </c>
      <c r="MQ1530" s="42" t="str">
        <f ca="1"/>
        <v/>
      </c>
      <c r="MR1530" s="42" t="str">
        <f ca="1"/>
        <v/>
      </c>
      <c r="MS1530" s="42" t="str">
        <f ca="1"/>
        <v/>
      </c>
      <c r="MT1530" s="42" t="str">
        <f ca="1"/>
        <v/>
      </c>
      <c r="MU1530" s="42" t="str">
        <f ca="1"/>
        <v/>
      </c>
      <c r="MV1530" s="42" t="str">
        <f ca="1"/>
        <v/>
      </c>
      <c r="MW1530" s="42" t="str">
        <f ca="1"/>
        <v/>
      </c>
      <c r="MX1530" s="42" t="str">
        <f ca="1"/>
        <v/>
      </c>
      <c r="MY1530" s="42" t="str">
        <f ca="1"/>
        <v/>
      </c>
      <c r="MZ1530" s="42" t="str">
        <f ca="1"/>
        <v/>
      </c>
      <c r="NA1530" s="42" t="str">
        <f ca="1"/>
        <v/>
      </c>
      <c r="NB1530" s="42" t="str">
        <f ca="1"/>
        <v/>
      </c>
      <c r="NC1530" s="42" t="str">
        <f ca="1"/>
        <v/>
      </c>
      <c r="ND1530" s="42" t="str">
        <f ca="1"/>
        <v/>
      </c>
      <c r="NE1530" s="42" t="str">
        <f ca="1"/>
        <v/>
      </c>
      <c r="NF1530" s="42" t="str">
        <f ca="1"/>
        <v/>
      </c>
      <c r="NG1530" s="42" t="str">
        <f ca="1"/>
        <v/>
      </c>
      <c r="NH1530" s="42" t="str">
        <f ca="1"/>
        <v/>
      </c>
      <c r="NI1530" s="42" t="str">
        <f ca="1"/>
        <v/>
      </c>
      <c r="NJ1530" s="42" t="str">
        <f ca="1"/>
        <v/>
      </c>
      <c r="NK1530" s="42" t="str">
        <f ca="1"/>
        <v/>
      </c>
      <c r="NL1530" s="42" t="str">
        <f ca="1"/>
        <v/>
      </c>
      <c r="NM1530" s="42" t="str">
        <f ca="1"/>
        <v/>
      </c>
      <c r="NN1530" s="42" t="str">
        <f ca="1"/>
        <v/>
      </c>
      <c r="NO1530" s="42" t="str">
        <f ca="1"/>
        <v/>
      </c>
      <c r="NP1530" s="42" t="str">
        <f ca="1"/>
        <v/>
      </c>
      <c r="NQ1530" s="42" t="str">
        <f ca="1"/>
        <v/>
      </c>
      <c r="NR1530" s="42" t="str">
        <f ca="1"/>
        <v/>
      </c>
      <c r="NS1530" s="42" t="str">
        <f ca="1"/>
        <v/>
      </c>
      <c r="NT1530" s="42" t="str">
        <f ca="1"/>
        <v/>
      </c>
      <c r="NU1530" s="42" t="str">
        <f ca="1"/>
        <v/>
      </c>
      <c r="NV1530" s="42" t="str">
        <f ca="1"/>
        <v/>
      </c>
      <c r="NW1530" s="42" t="str">
        <f ca="1"/>
        <v/>
      </c>
      <c r="NX1530" s="42" t="str">
        <f ca="1"/>
        <v/>
      </c>
      <c r="NY1530" s="42" t="str">
        <f ca="1"/>
        <v/>
      </c>
      <c r="NZ1530" s="42" t="str">
        <f ca="1"/>
        <v/>
      </c>
      <c r="OA1530" s="42" t="str">
        <f ca="1"/>
        <v/>
      </c>
      <c r="OB1530" s="42" t="str">
        <f ca="1"/>
        <v/>
      </c>
      <c r="OC1530" s="42" t="str">
        <f ca="1"/>
        <v/>
      </c>
      <c r="OD1530" s="42" t="str">
        <f ca="1"/>
        <v/>
      </c>
      <c r="OE1530" s="42" t="str">
        <f ca="1"/>
        <v/>
      </c>
      <c r="OF1530" s="42" t="str">
        <f ca="1"/>
        <v/>
      </c>
      <c r="OG1530" s="42" t="str">
        <f ca="1"/>
        <v/>
      </c>
      <c r="OH1530" s="42" t="str">
        <f ca="1"/>
        <v/>
      </c>
      <c r="OI1530" s="42" t="str">
        <f ca="1"/>
        <v/>
      </c>
      <c r="OJ1530" s="42" t="str">
        <f ca="1"/>
        <v/>
      </c>
      <c r="OK1530" s="42" t="str">
        <f ca="1"/>
        <v/>
      </c>
      <c r="OL1530" s="42" t="str">
        <f ca="1"/>
        <v/>
      </c>
      <c r="OM1530" s="42" t="str">
        <f ca="1"/>
        <v/>
      </c>
      <c r="ON1530" s="42" t="str">
        <f ca="1"/>
        <v/>
      </c>
      <c r="OO1530" s="42" t="str">
        <f ca="1"/>
        <v/>
      </c>
      <c r="OP1530" s="42" t="str">
        <f ca="1"/>
        <v/>
      </c>
      <c r="OQ1530" s="42" t="str">
        <f ca="1"/>
        <v/>
      </c>
      <c r="OR1530" s="42" t="str">
        <f ca="1"/>
        <v/>
      </c>
      <c r="OS1530" s="42" t="str">
        <f ca="1"/>
        <v/>
      </c>
      <c r="OT1530" s="42" t="str">
        <f ca="1"/>
        <v/>
      </c>
      <c r="OU1530" s="42" t="str">
        <f ca="1"/>
        <v/>
      </c>
      <c r="OV1530" s="42" t="str">
        <f ca="1"/>
        <v/>
      </c>
      <c r="OW1530" s="42" t="str">
        <f ca="1"/>
        <v/>
      </c>
      <c r="OX1530" s="42" t="str">
        <f ca="1"/>
        <v/>
      </c>
      <c r="OY1530" s="42" t="str">
        <f ca="1"/>
        <v/>
      </c>
      <c r="OZ1530" s="42" t="str">
        <f ca="1"/>
        <v/>
      </c>
      <c r="PA1530" s="42" t="str">
        <f ca="1"/>
        <v/>
      </c>
      <c r="PB1530" s="42" t="str">
        <f ca="1"/>
        <v/>
      </c>
      <c r="PC1530" s="42" t="str">
        <f ca="1"/>
        <v/>
      </c>
      <c r="PD1530" s="42" t="str">
        <f ca="1"/>
        <v/>
      </c>
      <c r="PE1530" s="42" t="str">
        <f ca="1"/>
        <v/>
      </c>
      <c r="PF1530" s="42" t="str">
        <f ca="1"/>
        <v/>
      </c>
      <c r="PG1530" s="42" t="str">
        <f ca="1"/>
        <v/>
      </c>
      <c r="PH1530" s="42" t="str">
        <f ca="1"/>
        <v/>
      </c>
      <c r="PI1530" s="42" t="str">
        <f ca="1"/>
        <v/>
      </c>
      <c r="PJ1530" s="42" t="str">
        <f ca="1"/>
        <v/>
      </c>
      <c r="PK1530" s="42" t="str">
        <f ca="1"/>
        <v/>
      </c>
      <c r="PL1530" s="42" t="str">
        <f ca="1"/>
        <v/>
      </c>
      <c r="PM1530" s="42" t="str">
        <f ca="1"/>
        <v/>
      </c>
      <c r="PN1530" s="42" t="str">
        <f ca="1"/>
        <v/>
      </c>
      <c r="PO1530" s="42" t="str">
        <f ca="1"/>
        <v/>
      </c>
      <c r="PP1530" s="42" t="str">
        <f ca="1"/>
        <v/>
      </c>
      <c r="PQ1530" s="42" t="str">
        <f ca="1"/>
        <v/>
      </c>
      <c r="PR1530" s="42" t="str">
        <f ca="1"/>
        <v/>
      </c>
      <c r="PS1530" s="42" t="str">
        <f ca="1"/>
        <v/>
      </c>
      <c r="PT1530" s="42" t="str">
        <f ca="1"/>
        <v/>
      </c>
      <c r="PU1530" s="42" t="str">
        <f ca="1"/>
        <v/>
      </c>
      <c r="PV1530" s="42" t="str">
        <f ca="1"/>
        <v/>
      </c>
      <c r="PW1530" s="42" t="str">
        <f ca="1"/>
        <v/>
      </c>
      <c r="PX1530" s="42" t="str">
        <f ca="1"/>
        <v/>
      </c>
      <c r="PY1530" s="42" t="str">
        <f ca="1"/>
        <v/>
      </c>
      <c r="PZ1530" s="42" t="str">
        <f ca="1"/>
        <v/>
      </c>
      <c r="QA1530" s="42" t="str">
        <f ca="1"/>
        <v/>
      </c>
      <c r="QB1530" s="42" t="str">
        <f ca="1"/>
        <v/>
      </c>
      <c r="QC1530" s="42" t="str">
        <f ca="1"/>
        <v/>
      </c>
      <c r="QD1530" s="42" t="str">
        <f ca="1"/>
        <v/>
      </c>
      <c r="QE1530" s="42" t="str">
        <f ca="1"/>
        <v/>
      </c>
      <c r="QF1530" s="42" t="str">
        <f ca="1"/>
        <v/>
      </c>
      <c r="QG1530" s="42" t="str">
        <f ca="1"/>
        <v/>
      </c>
      <c r="QH1530" s="42" t="str">
        <f ca="1"/>
        <v/>
      </c>
      <c r="QI1530" s="42" t="str">
        <f ca="1"/>
        <v/>
      </c>
      <c r="QJ1530" s="42" t="str">
        <f ca="1"/>
        <v/>
      </c>
      <c r="QK1530" s="42" t="str">
        <f ca="1"/>
        <v/>
      </c>
      <c r="QL1530" s="42" t="str">
        <f ca="1"/>
        <v/>
      </c>
      <c r="QM1530" s="42" t="str">
        <f ca="1"/>
        <v/>
      </c>
      <c r="QN1530" s="42" t="str">
        <f ca="1"/>
        <v/>
      </c>
      <c r="QO1530" s="42" t="str">
        <f ca="1"/>
        <v/>
      </c>
      <c r="QP1530" s="42" t="str">
        <f ca="1"/>
        <v/>
      </c>
      <c r="QQ1530" s="42" t="str">
        <f ca="1"/>
        <v/>
      </c>
      <c r="QR1530" s="42" t="str">
        <f ca="1"/>
        <v/>
      </c>
      <c r="QS1530" s="42" t="str">
        <f ca="1"/>
        <v/>
      </c>
      <c r="QT1530" s="42" t="str">
        <f ca="1"/>
        <v/>
      </c>
      <c r="QU1530" s="42" t="str">
        <f ca="1"/>
        <v/>
      </c>
      <c r="QV1530" s="42" t="str">
        <f ca="1"/>
        <v/>
      </c>
      <c r="QW1530" s="42" t="str">
        <f ca="1"/>
        <v/>
      </c>
      <c r="QX1530" s="42" t="str">
        <f ca="1"/>
        <v/>
      </c>
      <c r="QY1530" s="42" t="str">
        <f ca="1"/>
        <v/>
      </c>
      <c r="QZ1530" s="42" t="str">
        <f ca="1"/>
        <v/>
      </c>
      <c r="RA1530" s="42" t="str">
        <f ca="1"/>
        <v/>
      </c>
      <c r="RB1530" s="42" t="str">
        <f ca="1"/>
        <v/>
      </c>
      <c r="RC1530" s="42" t="str">
        <f ca="1"/>
        <v/>
      </c>
      <c r="RD1530" s="42" t="str">
        <f ca="1"/>
        <v/>
      </c>
      <c r="RE1530" s="42" t="str">
        <f ca="1"/>
        <v/>
      </c>
      <c r="RF1530" s="42" t="str">
        <f ca="1"/>
        <v/>
      </c>
      <c r="RG1530" s="42" t="str">
        <f ca="1"/>
        <v/>
      </c>
      <c r="RH1530" s="42" t="str">
        <f ca="1"/>
        <v/>
      </c>
      <c r="RI1530" s="42" t="str">
        <f ca="1"/>
        <v/>
      </c>
      <c r="RJ1530" s="42" t="str">
        <f ca="1"/>
        <v/>
      </c>
      <c r="RK1530" s="42" t="str">
        <f ca="1"/>
        <v/>
      </c>
      <c r="RL1530" s="42" t="str">
        <f ca="1"/>
        <v/>
      </c>
      <c r="RM1530" s="42" t="str">
        <f ca="1"/>
        <v/>
      </c>
      <c r="RN1530" s="42" t="str">
        <f ca="1"/>
        <v/>
      </c>
      <c r="RO1530" s="42" t="str">
        <f ca="1"/>
        <v/>
      </c>
      <c r="RP1530" s="42" t="str">
        <f ca="1"/>
        <v/>
      </c>
      <c r="RQ1530" s="42" t="str">
        <f ca="1"/>
        <v/>
      </c>
      <c r="RR1530" s="42" t="str">
        <f ca="1"/>
        <v/>
      </c>
      <c r="RS1530" s="42" t="str">
        <f ca="1"/>
        <v/>
      </c>
      <c r="RT1530" s="42" t="str">
        <f ca="1"/>
        <v/>
      </c>
      <c r="RU1530" s="42" t="str">
        <f ca="1"/>
        <v/>
      </c>
      <c r="RV1530" s="42" t="str">
        <f ca="1"/>
        <v/>
      </c>
      <c r="RW1530" s="42" t="str">
        <f ca="1"/>
        <v/>
      </c>
      <c r="RX1530" s="42" t="str">
        <f ca="1"/>
        <v/>
      </c>
      <c r="RY1530" s="42" t="str">
        <f ca="1"/>
        <v/>
      </c>
      <c r="RZ1530" s="42" t="str">
        <f ca="1"/>
        <v/>
      </c>
      <c r="SA1530" s="42" t="str">
        <f ca="1"/>
        <v/>
      </c>
      <c r="SB1530" s="42" t="str">
        <f ca="1"/>
        <v/>
      </c>
      <c r="SC1530" s="42" t="str">
        <f ca="1"/>
        <v/>
      </c>
      <c r="SD1530" s="42" t="str">
        <f ca="1"/>
        <v/>
      </c>
      <c r="SE1530" s="42" t="str">
        <f ca="1"/>
        <v/>
      </c>
      <c r="SF1530" s="42" t="str">
        <f ca="1"/>
        <v/>
      </c>
      <c r="SG1530" s="42" t="str">
        <f ca="1"/>
        <v/>
      </c>
      <c r="SH1530" s="42" t="str">
        <f ca="1"/>
        <v/>
      </c>
      <c r="SI1530" s="42" t="str">
        <f ca="1"/>
        <v/>
      </c>
      <c r="SJ1530" s="42" t="str">
        <f ca="1"/>
        <v/>
      </c>
      <c r="SK1530" s="42" t="str">
        <f ca="1"/>
        <v/>
      </c>
      <c r="SL1530" s="42" t="str">
        <f ca="1"/>
        <v/>
      </c>
      <c r="SM1530" s="42" t="str">
        <f ca="1"/>
        <v/>
      </c>
      <c r="SN1530" s="42" t="str">
        <f ca="1"/>
        <v/>
      </c>
      <c r="SO1530" s="42" t="str">
        <f ca="1"/>
        <v/>
      </c>
      <c r="SP1530" s="42" t="str">
        <f ca="1"/>
        <v/>
      </c>
      <c r="SQ1530" s="42" t="str">
        <f ca="1"/>
        <v/>
      </c>
      <c r="SR1530" s="42" t="str">
        <f ca="1"/>
        <v/>
      </c>
      <c r="SS1530" s="42" t="str">
        <f ca="1"/>
        <v/>
      </c>
      <c r="ST1530" s="42" t="str">
        <f ca="1"/>
        <v/>
      </c>
      <c r="SU1530" s="42" t="str">
        <f ca="1"/>
        <v/>
      </c>
      <c r="SV1530" s="42" t="str">
        <f ca="1"/>
        <v/>
      </c>
      <c r="SW1530" s="42" t="str">
        <f ca="1"/>
        <v/>
      </c>
      <c r="SX1530" s="42" t="str">
        <f ca="1"/>
        <v/>
      </c>
      <c r="SY1530" s="42" t="str">
        <f ca="1"/>
        <v/>
      </c>
      <c r="SZ1530" s="42" t="str">
        <f ca="1"/>
        <v/>
      </c>
      <c r="TA1530" s="42" t="str">
        <f ca="1"/>
        <v/>
      </c>
      <c r="TB1530" s="42" t="str">
        <f ca="1"/>
        <v/>
      </c>
      <c r="TC1530" s="42" t="str">
        <f ca="1"/>
        <v/>
      </c>
      <c r="TD1530" s="42" t="str">
        <f ca="1"/>
        <v/>
      </c>
      <c r="TE1530" s="42" t="str">
        <f ca="1"/>
        <v/>
      </c>
      <c r="TF1530" s="42" t="str">
        <f ca="1"/>
        <v/>
      </c>
      <c r="TG1530" s="42" t="str">
        <f ca="1"/>
        <v/>
      </c>
      <c r="TH1530" s="42" t="str">
        <f ca="1"/>
        <v/>
      </c>
      <c r="TI1530" s="42" t="str">
        <f ca="1"/>
        <v/>
      </c>
      <c r="TJ1530" s="42" t="str">
        <f ca="1"/>
        <v/>
      </c>
      <c r="TK1530" s="42" t="str">
        <f ca="1"/>
        <v/>
      </c>
      <c r="TL1530" s="42" t="str">
        <f ca="1"/>
        <v/>
      </c>
      <c r="TM1530" s="42" t="str">
        <f ca="1"/>
        <v/>
      </c>
      <c r="TN1530" s="42" t="str">
        <f ca="1"/>
        <v/>
      </c>
      <c r="TO1530" s="42" t="str">
        <f ca="1"/>
        <v/>
      </c>
      <c r="TP1530" s="42" t="str">
        <f ca="1"/>
        <v/>
      </c>
      <c r="TQ1530" s="42" t="str">
        <f ca="1"/>
        <v/>
      </c>
      <c r="TR1530" s="42" t="str">
        <f ca="1"/>
        <v/>
      </c>
      <c r="TS1530" s="42" t="str">
        <f ca="1"/>
        <v/>
      </c>
      <c r="TT1530" s="42" t="str">
        <f ca="1"/>
        <v/>
      </c>
      <c r="TU1530" s="42" t="str">
        <f ca="1"/>
        <v/>
      </c>
      <c r="TV1530" s="42" t="str">
        <f ca="1"/>
        <v/>
      </c>
      <c r="TW1530" s="42" t="str">
        <f ca="1"/>
        <v/>
      </c>
      <c r="TX1530" s="42" t="str">
        <f ca="1"/>
        <v/>
      </c>
      <c r="TY1530" s="42" t="str">
        <f ca="1"/>
        <v/>
      </c>
      <c r="TZ1530" s="42" t="str">
        <f ca="1"/>
        <v/>
      </c>
      <c r="UA1530" s="42" t="str">
        <f ca="1"/>
        <v/>
      </c>
      <c r="UB1530" s="42" t="str">
        <f ca="1"/>
        <v/>
      </c>
      <c r="UC1530" s="42" t="str">
        <f ca="1"/>
        <v/>
      </c>
      <c r="UD1530" s="42" t="str">
        <f ca="1"/>
        <v/>
      </c>
      <c r="UE1530" s="42" t="str">
        <f ca="1"/>
        <v/>
      </c>
      <c r="UF1530" s="42" t="str">
        <f ca="1"/>
        <v/>
      </c>
      <c r="UG1530" s="42" t="str">
        <f ca="1"/>
        <v/>
      </c>
      <c r="UH1530" s="42" t="str">
        <f ca="1"/>
        <v/>
      </c>
      <c r="UI1530" s="42" t="str">
        <f ca="1"/>
        <v/>
      </c>
      <c r="UJ1530" s="42" t="str">
        <f ca="1"/>
        <v/>
      </c>
      <c r="UK1530" s="42" t="str">
        <f ca="1"/>
        <v/>
      </c>
      <c r="UL1530" s="42" t="str">
        <f ca="1"/>
        <v/>
      </c>
      <c r="UM1530" s="42" t="str">
        <f ca="1"/>
        <v/>
      </c>
      <c r="UN1530" s="42" t="str">
        <f ca="1"/>
        <v/>
      </c>
      <c r="UO1530" s="42" t="str">
        <f ca="1"/>
        <v/>
      </c>
      <c r="UP1530" s="42" t="str">
        <f ca="1"/>
        <v/>
      </c>
      <c r="UQ1530" s="42" t="str">
        <f ca="1"/>
        <v/>
      </c>
      <c r="UR1530" s="42" t="str">
        <f ca="1"/>
        <v/>
      </c>
      <c r="US1530" s="42" t="str">
        <f ca="1"/>
        <v/>
      </c>
      <c r="UT1530" s="42" t="str">
        <f ca="1"/>
        <v/>
      </c>
      <c r="UU1530" s="42" t="str">
        <f ca="1"/>
        <v/>
      </c>
      <c r="UV1530" s="42" t="str">
        <f ca="1"/>
        <v/>
      </c>
      <c r="UW1530" s="42" t="str">
        <f ca="1"/>
        <v/>
      </c>
      <c r="UX1530" s="42" t="str">
        <f ca="1"/>
        <v/>
      </c>
      <c r="UY1530" s="42" t="str">
        <f ca="1"/>
        <v/>
      </c>
      <c r="UZ1530" s="42" t="str">
        <f ca="1"/>
        <v/>
      </c>
      <c r="VA1530" s="42" t="str">
        <f ca="1"/>
        <v/>
      </c>
      <c r="VB1530" s="42" t="str">
        <f ca="1"/>
        <v/>
      </c>
      <c r="VC1530" s="42" t="str">
        <f ca="1"/>
        <v/>
      </c>
      <c r="VD1530" s="42" t="str">
        <f ca="1"/>
        <v/>
      </c>
      <c r="VE1530" s="42" t="str">
        <f ca="1"/>
        <v/>
      </c>
      <c r="VF1530" s="42" t="str">
        <f ca="1"/>
        <v/>
      </c>
      <c r="VG1530" s="42" t="str">
        <f ca="1"/>
        <v/>
      </c>
      <c r="VH1530" s="42" t="str">
        <f ca="1"/>
        <v/>
      </c>
      <c r="VI1530" s="42" t="str">
        <f ca="1"/>
        <v/>
      </c>
      <c r="VJ1530" s="42" t="str">
        <f ca="1"/>
        <v/>
      </c>
      <c r="VK1530" s="42" t="str">
        <f ca="1"/>
        <v/>
      </c>
      <c r="VL1530" s="42" t="str">
        <f ca="1"/>
        <v/>
      </c>
      <c r="VM1530" s="42" t="str">
        <f ca="1"/>
        <v/>
      </c>
      <c r="VN1530" s="42" t="str">
        <f ca="1"/>
        <v/>
      </c>
      <c r="VO1530" s="42" t="str">
        <f ca="1"/>
        <v/>
      </c>
      <c r="VP1530" s="42" t="str">
        <f ca="1"/>
        <v/>
      </c>
      <c r="VQ1530" s="42" t="str">
        <f ca="1"/>
        <v/>
      </c>
      <c r="VR1530" s="42" t="str">
        <f ca="1"/>
        <v/>
      </c>
      <c r="VS1530" s="42" t="str">
        <f ca="1"/>
        <v/>
      </c>
      <c r="VT1530" s="42" t="str">
        <f ca="1"/>
        <v/>
      </c>
      <c r="VU1530" s="42" t="str">
        <f ca="1"/>
        <v/>
      </c>
      <c r="VV1530" s="42" t="str">
        <f ca="1"/>
        <v/>
      </c>
      <c r="VW1530" s="42" t="str">
        <f ca="1"/>
        <v/>
      </c>
      <c r="VX1530" s="42" t="str">
        <f ca="1"/>
        <v/>
      </c>
      <c r="VY1530" s="42" t="str">
        <f ca="1"/>
        <v/>
      </c>
      <c r="VZ1530" s="42" t="str">
        <f ca="1"/>
        <v/>
      </c>
      <c r="WA1530" s="42" t="str">
        <f ca="1"/>
        <v/>
      </c>
      <c r="WB1530" s="42" t="str">
        <f ca="1"/>
        <v/>
      </c>
      <c r="WC1530" s="42" t="str">
        <f ca="1"/>
        <v/>
      </c>
      <c r="WD1530" s="42" t="str">
        <f ca="1"/>
        <v/>
      </c>
      <c r="WE1530" s="42" t="str">
        <f ca="1"/>
        <v/>
      </c>
      <c r="WF1530" s="42" t="str">
        <f ca="1"/>
        <v/>
      </c>
      <c r="WG1530" s="42" t="str">
        <f ca="1"/>
        <v/>
      </c>
      <c r="WH1530" s="42" t="str">
        <f ca="1"/>
        <v/>
      </c>
      <c r="WI1530" s="42" t="str">
        <f ca="1"/>
        <v/>
      </c>
      <c r="WJ1530" s="42" t="str">
        <f ca="1"/>
        <v/>
      </c>
      <c r="WK1530" s="42" t="str">
        <f ca="1"/>
        <v/>
      </c>
      <c r="WL1530" s="42" t="str">
        <f ca="1"/>
        <v/>
      </c>
      <c r="WM1530" s="42" t="str">
        <f ca="1"/>
        <v/>
      </c>
      <c r="WN1530" s="42" t="str">
        <f ca="1"/>
        <v/>
      </c>
      <c r="WO1530" s="42" t="str">
        <f ca="1"/>
        <v/>
      </c>
      <c r="WP1530" s="42" t="str">
        <f ca="1"/>
        <v/>
      </c>
      <c r="WQ1530" s="42" t="str">
        <f ca="1"/>
        <v/>
      </c>
      <c r="WR1530" s="42" t="str">
        <f ca="1"/>
        <v/>
      </c>
      <c r="WS1530" s="42" t="str">
        <f ca="1"/>
        <v/>
      </c>
      <c r="WT1530" s="42" t="str">
        <f ca="1"/>
        <v/>
      </c>
      <c r="WU1530" s="42" t="str">
        <f ca="1"/>
        <v/>
      </c>
      <c r="WV1530" s="42" t="str">
        <f ca="1"/>
        <v/>
      </c>
      <c r="WW1530" s="42" t="str">
        <f ca="1"/>
        <v/>
      </c>
      <c r="WX1530" s="42" t="str">
        <f ca="1"/>
        <v/>
      </c>
      <c r="WY1530" s="42" t="str">
        <f ca="1"/>
        <v/>
      </c>
      <c r="WZ1530" s="42" t="str">
        <f ca="1"/>
        <v/>
      </c>
      <c r="XA1530" s="42" t="str">
        <f ca="1"/>
        <v/>
      </c>
      <c r="XB1530" s="42" t="str">
        <f ca="1"/>
        <v/>
      </c>
      <c r="XC1530" s="42" t="str">
        <f ca="1"/>
        <v/>
      </c>
      <c r="XD1530" s="42" t="str">
        <f ca="1"/>
        <v/>
      </c>
      <c r="XE1530" s="42" t="str">
        <f ca="1"/>
        <v/>
      </c>
      <c r="XF1530" s="42" t="str">
        <f ca="1"/>
        <v/>
      </c>
      <c r="XG1530" s="42" t="str">
        <f ca="1"/>
        <v/>
      </c>
      <c r="XH1530" s="42" t="str">
        <f ca="1"/>
        <v/>
      </c>
      <c r="XI1530" s="42" t="str">
        <f ca="1"/>
        <v/>
      </c>
      <c r="XJ1530" s="42" t="str">
        <f ca="1"/>
        <v/>
      </c>
      <c r="XK1530" s="42" t="str">
        <f ca="1"/>
        <v/>
      </c>
      <c r="XL1530" s="42" t="str">
        <f ca="1"/>
        <v/>
      </c>
      <c r="XM1530" s="42" t="str">
        <f ca="1"/>
        <v/>
      </c>
      <c r="XN1530" s="42" t="str">
        <f ca="1"/>
        <v/>
      </c>
      <c r="XO1530" s="42" t="str">
        <f ca="1"/>
        <v/>
      </c>
      <c r="XP1530" s="42" t="str">
        <f ca="1"/>
        <v/>
      </c>
      <c r="XQ1530" s="42" t="str">
        <f ca="1"/>
        <v/>
      </c>
      <c r="XR1530" s="42" t="str">
        <f ca="1"/>
        <v/>
      </c>
      <c r="XS1530" s="42" t="str">
        <f ca="1"/>
        <v/>
      </c>
      <c r="XT1530" s="42" t="str">
        <f ca="1"/>
        <v/>
      </c>
      <c r="XU1530" s="42" t="str">
        <f ca="1"/>
        <v/>
      </c>
      <c r="XV1530" s="42" t="str">
        <f ca="1"/>
        <v/>
      </c>
      <c r="XW1530" s="42" t="str">
        <f ca="1"/>
        <v/>
      </c>
      <c r="XX1530" s="42" t="str">
        <f ca="1"/>
        <v/>
      </c>
      <c r="XY1530" s="42" t="str">
        <f ca="1"/>
        <v/>
      </c>
      <c r="XZ1530" s="42" t="str">
        <f ca="1"/>
        <v/>
      </c>
      <c r="YA1530" s="42" t="str">
        <f ca="1"/>
        <v/>
      </c>
      <c r="YB1530" s="42" t="str">
        <f ca="1"/>
        <v/>
      </c>
      <c r="YC1530" s="42" t="str">
        <f ca="1"/>
        <v/>
      </c>
      <c r="YD1530" s="42" t="str">
        <f ca="1"/>
        <v/>
      </c>
      <c r="YE1530" s="42" t="str">
        <f ca="1"/>
        <v/>
      </c>
      <c r="YF1530" s="42" t="str">
        <f ca="1"/>
        <v/>
      </c>
      <c r="YG1530" s="42" t="str">
        <f ca="1"/>
        <v/>
      </c>
      <c r="YH1530" s="42" t="str">
        <f ca="1"/>
        <v/>
      </c>
      <c r="YI1530" s="42" t="str">
        <f ca="1"/>
        <v/>
      </c>
      <c r="YJ1530" s="42" t="str">
        <f ca="1"/>
        <v/>
      </c>
      <c r="YK1530" s="42" t="str">
        <f ca="1"/>
        <v/>
      </c>
      <c r="YL1530" s="42" t="str">
        <f ca="1"/>
        <v/>
      </c>
      <c r="YM1530" s="42" t="str">
        <f ca="1"/>
        <v/>
      </c>
      <c r="YN1530" s="42" t="str">
        <f ca="1"/>
        <v/>
      </c>
      <c r="YO1530" s="42" t="str">
        <f ca="1"/>
        <v/>
      </c>
      <c r="YP1530" s="42" t="str">
        <f ca="1"/>
        <v/>
      </c>
      <c r="YQ1530" s="42" t="str">
        <f ca="1"/>
        <v/>
      </c>
      <c r="YR1530" s="42" t="str">
        <f ca="1"/>
        <v/>
      </c>
      <c r="YS1530" s="42" t="str">
        <f ca="1"/>
        <v/>
      </c>
      <c r="YT1530" s="42" t="str">
        <f ca="1"/>
        <v/>
      </c>
      <c r="YU1530" s="42" t="str">
        <f ca="1"/>
        <v/>
      </c>
      <c r="YV1530" s="42" t="str">
        <f ca="1"/>
        <v/>
      </c>
      <c r="YW1530" s="42" t="str">
        <f ca="1"/>
        <v/>
      </c>
      <c r="YX1530" s="42" t="str">
        <f ca="1"/>
        <v/>
      </c>
      <c r="YY1530" s="42" t="str">
        <f ca="1"/>
        <v/>
      </c>
      <c r="YZ1530" s="42" t="str">
        <f ca="1"/>
        <v/>
      </c>
      <c r="ZA1530" s="42" t="str">
        <f ca="1"/>
        <v/>
      </c>
      <c r="ZB1530" s="42" t="str">
        <f ca="1"/>
        <v/>
      </c>
      <c r="ZC1530" s="42" t="str">
        <f ca="1"/>
        <v/>
      </c>
      <c r="ZD1530" s="42" t="str">
        <f ca="1"/>
        <v/>
      </c>
      <c r="ZE1530" s="42" t="str">
        <f ca="1"/>
        <v/>
      </c>
      <c r="ZF1530" s="42" t="str">
        <f ca="1"/>
        <v/>
      </c>
      <c r="ZG1530" s="42" t="str">
        <f ca="1"/>
        <v/>
      </c>
      <c r="ZH1530" s="42" t="str">
        <f ca="1"/>
        <v/>
      </c>
      <c r="ZI1530" s="42" t="str">
        <f ca="1"/>
        <v/>
      </c>
      <c r="ZJ1530" s="42" t="str">
        <f ca="1"/>
        <v/>
      </c>
      <c r="ZK1530" s="42" t="str">
        <f ca="1"/>
        <v/>
      </c>
      <c r="ZL1530" s="42" t="str">
        <f ca="1"/>
        <v/>
      </c>
      <c r="ZM1530" s="42" t="str">
        <f ca="1"/>
        <v/>
      </c>
      <c r="ZN1530" s="42" t="str">
        <f ca="1"/>
        <v/>
      </c>
      <c r="ZO1530" s="42" t="str">
        <f ca="1"/>
        <v/>
      </c>
      <c r="ZP1530" s="42" t="str">
        <f ca="1"/>
        <v/>
      </c>
      <c r="ZQ1530" s="42" t="str">
        <f ca="1"/>
        <v/>
      </c>
      <c r="ZR1530" s="42" t="str">
        <f ca="1"/>
        <v/>
      </c>
      <c r="ZS1530" s="42" t="str">
        <f ca="1"/>
        <v/>
      </c>
      <c r="ZT1530" s="42" t="str">
        <f ca="1"/>
        <v/>
      </c>
      <c r="ZU1530" s="42" t="str">
        <f ca="1"/>
        <v/>
      </c>
      <c r="ZV1530" s="42" t="str">
        <f ca="1"/>
        <v/>
      </c>
      <c r="ZW1530" s="42" t="str">
        <f ca="1"/>
        <v/>
      </c>
      <c r="ZX1530" s="42" t="str">
        <f ca="1"/>
        <v/>
      </c>
      <c r="ZY1530" s="42" t="str">
        <f ca="1"/>
        <v/>
      </c>
      <c r="ZZ1530" s="42" t="str">
        <f ca="1"/>
        <v/>
      </c>
      <c r="AAA1530" s="42" t="str">
        <f ca="1"/>
        <v/>
      </c>
      <c r="AAB1530" s="42" t="str">
        <f ca="1"/>
        <v/>
      </c>
      <c r="AAC1530" s="42" t="str">
        <f ca="1"/>
        <v/>
      </c>
      <c r="AAD1530" s="42" t="str">
        <f ca="1"/>
        <v/>
      </c>
      <c r="AAE1530" s="42" t="str">
        <f ca="1"/>
        <v/>
      </c>
      <c r="AAF1530" s="42" t="str">
        <f ca="1"/>
        <v/>
      </c>
      <c r="AAG1530" s="42" t="str">
        <f ca="1"/>
        <v/>
      </c>
      <c r="AAH1530" s="42" t="str">
        <f ca="1"/>
        <v/>
      </c>
      <c r="AAI1530" s="42" t="str">
        <f ca="1"/>
        <v/>
      </c>
      <c r="AAJ1530" s="42" t="str">
        <f ca="1"/>
        <v/>
      </c>
      <c r="AAK1530" s="42" t="str">
        <f ca="1"/>
        <v/>
      </c>
      <c r="AAL1530" s="42" t="str">
        <f ca="1"/>
        <v/>
      </c>
      <c r="AAM1530" s="42" t="str">
        <f ca="1"/>
        <v/>
      </c>
      <c r="AAN1530" s="42" t="str">
        <f ca="1"/>
        <v/>
      </c>
      <c r="AAO1530" s="42" t="str">
        <f ca="1"/>
        <v/>
      </c>
      <c r="AAP1530" s="42" t="str">
        <f ca="1"/>
        <v/>
      </c>
      <c r="AAQ1530" s="42" t="str">
        <f ca="1"/>
        <v/>
      </c>
      <c r="AAR1530" s="42" t="str">
        <f ca="1"/>
        <v/>
      </c>
      <c r="AAS1530" s="42" t="str">
        <f ca="1"/>
        <v/>
      </c>
      <c r="AAT1530" s="42" t="str">
        <f ca="1"/>
        <v/>
      </c>
      <c r="AAU1530" s="42" t="str">
        <f ca="1"/>
        <v/>
      </c>
      <c r="AAV1530" s="42" t="str">
        <f ca="1"/>
        <v/>
      </c>
      <c r="AAW1530" s="42" t="str">
        <f ca="1"/>
        <v/>
      </c>
      <c r="AAX1530" s="42" t="str">
        <f ca="1"/>
        <v/>
      </c>
      <c r="AAY1530" s="42" t="str">
        <f ca="1"/>
        <v/>
      </c>
      <c r="AAZ1530" s="42" t="str">
        <f ca="1"/>
        <v/>
      </c>
      <c r="ABA1530" s="42" t="str">
        <f ca="1"/>
        <v/>
      </c>
      <c r="ABB1530" s="42" t="str">
        <f ca="1"/>
        <v/>
      </c>
      <c r="ABC1530" s="42" t="str">
        <f ca="1"/>
        <v/>
      </c>
      <c r="ABD1530" s="42" t="str">
        <f ca="1"/>
        <v/>
      </c>
      <c r="ABE1530" s="42" t="str">
        <f ca="1"/>
        <v/>
      </c>
      <c r="ABF1530" s="42" t="str">
        <f ca="1"/>
        <v/>
      </c>
      <c r="ABG1530" s="42" t="str">
        <f ca="1"/>
        <v/>
      </c>
      <c r="ABH1530" s="42" t="str">
        <f ca="1"/>
        <v/>
      </c>
      <c r="ABI1530" s="42" t="str">
        <f ca="1"/>
        <v/>
      </c>
      <c r="ABJ1530" s="42" t="str">
        <f ca="1"/>
        <v/>
      </c>
      <c r="ABK1530" s="42" t="str">
        <f ca="1"/>
        <v/>
      </c>
      <c r="ABL1530" s="42" t="str">
        <f ca="1"/>
        <v/>
      </c>
      <c r="ABM1530" s="42" t="str">
        <f ca="1"/>
        <v/>
      </c>
      <c r="ABN1530" s="42" t="str">
        <f ca="1"/>
        <v/>
      </c>
      <c r="ABO1530" s="42" t="str">
        <f ca="1"/>
        <v/>
      </c>
      <c r="ABP1530" s="42" t="str">
        <f ca="1"/>
        <v/>
      </c>
      <c r="ABQ1530" s="42" t="str">
        <f ca="1"/>
        <v/>
      </c>
      <c r="ABR1530" s="42" t="str">
        <f ca="1"/>
        <v/>
      </c>
      <c r="ABS1530" s="42" t="str">
        <f ca="1"/>
        <v/>
      </c>
      <c r="ABT1530" s="42" t="str">
        <f ca="1"/>
        <v/>
      </c>
      <c r="ABU1530" s="42" t="str">
        <f ca="1"/>
        <v/>
      </c>
      <c r="ABV1530" s="42" t="str">
        <f ca="1"/>
        <v/>
      </c>
      <c r="ABW1530" s="42" t="str">
        <f ca="1"/>
        <v/>
      </c>
      <c r="ABX1530" s="42" t="str">
        <f ca="1"/>
        <v/>
      </c>
      <c r="ABY1530" s="42" t="str">
        <f ca="1"/>
        <v/>
      </c>
      <c r="ABZ1530" s="42" t="str">
        <f ca="1"/>
        <v/>
      </c>
      <c r="ACA1530" s="42" t="str">
        <f ca="1"/>
        <v/>
      </c>
      <c r="ACB1530" s="42" t="str">
        <f ca="1"/>
        <v/>
      </c>
      <c r="ACC1530" s="42" t="str">
        <f ca="1"/>
        <v/>
      </c>
      <c r="ACD1530" s="42" t="str">
        <f ca="1"/>
        <v/>
      </c>
      <c r="ACE1530" s="42" t="str">
        <f ca="1"/>
        <v/>
      </c>
      <c r="ACF1530" s="42" t="str">
        <f ca="1"/>
        <v/>
      </c>
      <c r="ACG1530" s="42" t="str">
        <f ca="1"/>
        <v/>
      </c>
      <c r="ACH1530" s="42" t="str">
        <f ca="1"/>
        <v/>
      </c>
      <c r="ACI1530" s="42" t="str">
        <f ca="1"/>
        <v/>
      </c>
      <c r="ACJ1530" s="42" t="str">
        <f ca="1"/>
        <v/>
      </c>
      <c r="ACK1530" s="42" t="str">
        <f ca="1"/>
        <v/>
      </c>
      <c r="ACL1530" s="42" t="str">
        <f ca="1"/>
        <v/>
      </c>
      <c r="ACM1530" s="42" t="str">
        <f ca="1"/>
        <v/>
      </c>
      <c r="ACN1530" s="42" t="str">
        <f ca="1"/>
        <v/>
      </c>
      <c r="ACO1530" s="42" t="str">
        <f ca="1"/>
        <v/>
      </c>
      <c r="ACP1530" s="42" t="str">
        <f ca="1"/>
        <v/>
      </c>
      <c r="ACQ1530" s="42" t="str">
        <f ca="1"/>
        <v/>
      </c>
      <c r="ACR1530" s="42" t="str">
        <f ca="1"/>
        <v/>
      </c>
      <c r="ACS1530" s="42" t="str">
        <f ca="1"/>
        <v/>
      </c>
      <c r="ACT1530" s="42" t="str">
        <f ca="1"/>
        <v/>
      </c>
      <c r="ACU1530" s="42" t="str">
        <f ca="1"/>
        <v/>
      </c>
      <c r="ACV1530" s="42" t="str">
        <f ca="1"/>
        <v/>
      </c>
      <c r="ACW1530" s="42" t="str">
        <f ca="1"/>
        <v/>
      </c>
      <c r="ACX1530" s="42" t="str">
        <f ca="1"/>
        <v/>
      </c>
      <c r="ACY1530" s="42" t="str">
        <f ca="1"/>
        <v/>
      </c>
      <c r="ACZ1530" s="42" t="str">
        <f ca="1"/>
        <v/>
      </c>
      <c r="ADA1530" s="42" t="str">
        <f ca="1"/>
        <v/>
      </c>
      <c r="ADB1530" s="42" t="str">
        <f ca="1"/>
        <v/>
      </c>
      <c r="ADC1530" s="42" t="str">
        <f ca="1"/>
        <v/>
      </c>
      <c r="ADD1530" s="42" t="str">
        <f ca="1"/>
        <v/>
      </c>
      <c r="ADE1530" s="42" t="str">
        <f ca="1"/>
        <v/>
      </c>
      <c r="ADF1530" s="42" t="str">
        <f ca="1"/>
        <v/>
      </c>
      <c r="ADG1530" s="42" t="str">
        <f ca="1"/>
        <v/>
      </c>
      <c r="ADH1530" s="42" t="str">
        <f ca="1"/>
        <v/>
      </c>
      <c r="ADI1530" s="42" t="str">
        <f ca="1"/>
        <v/>
      </c>
      <c r="ADJ1530" s="42" t="str">
        <f ca="1"/>
        <v/>
      </c>
      <c r="ADK1530" s="42" t="str">
        <f ca="1"/>
        <v/>
      </c>
      <c r="ADL1530" s="42" t="str">
        <f ca="1"/>
        <v/>
      </c>
      <c r="ADM1530" s="42" t="str">
        <f ca="1"/>
        <v/>
      </c>
      <c r="ADN1530" s="42" t="str">
        <f ca="1"/>
        <v/>
      </c>
      <c r="ADO1530" s="42" t="str">
        <f ca="1"/>
        <v/>
      </c>
      <c r="ADP1530" s="42" t="str">
        <f ca="1"/>
        <v/>
      </c>
      <c r="ADQ1530" s="42" t="str">
        <f ca="1"/>
        <v/>
      </c>
      <c r="ADR1530" s="42" t="str">
        <f ca="1"/>
        <v/>
      </c>
      <c r="ADS1530" s="42" t="str">
        <f ca="1"/>
        <v/>
      </c>
      <c r="ADT1530" s="42" t="str">
        <f ca="1"/>
        <v/>
      </c>
      <c r="ADU1530" s="42" t="str">
        <f ca="1"/>
        <v/>
      </c>
      <c r="ADV1530" s="42" t="str">
        <f ca="1"/>
        <v/>
      </c>
      <c r="ADW1530" s="42" t="str">
        <f ca="1"/>
        <v/>
      </c>
      <c r="ADX1530" s="42" t="str">
        <f ca="1"/>
        <v/>
      </c>
      <c r="ADY1530" s="42" t="str">
        <f ca="1"/>
        <v/>
      </c>
      <c r="ADZ1530" s="42" t="str">
        <f ca="1"/>
        <v/>
      </c>
      <c r="AEA1530" s="42" t="str">
        <f ca="1"/>
        <v/>
      </c>
      <c r="AEB1530" s="42" t="str">
        <f ca="1"/>
        <v/>
      </c>
      <c r="AEC1530" s="42" t="str">
        <f ca="1"/>
        <v/>
      </c>
      <c r="AED1530" s="42" t="str">
        <f ca="1"/>
        <v/>
      </c>
      <c r="AEE1530" s="42" t="str">
        <f ca="1"/>
        <v/>
      </c>
      <c r="AEF1530" s="42" t="str">
        <f ca="1"/>
        <v/>
      </c>
      <c r="AEG1530" s="42" t="str">
        <f ca="1"/>
        <v/>
      </c>
      <c r="AEH1530" s="42" t="str">
        <f ca="1"/>
        <v/>
      </c>
      <c r="AEI1530" s="42" t="str">
        <f ca="1"/>
        <v/>
      </c>
      <c r="AEJ1530" s="42" t="str">
        <f ca="1"/>
        <v/>
      </c>
      <c r="AEK1530" s="42" t="str">
        <f ca="1"/>
        <v/>
      </c>
      <c r="AEL1530" s="42" t="str">
        <f ca="1"/>
        <v/>
      </c>
      <c r="AEM1530" s="42" t="str">
        <f ca="1"/>
        <v/>
      </c>
      <c r="AEN1530" s="42" t="str">
        <f ca="1"/>
        <v/>
      </c>
      <c r="AEO1530" s="42" t="str">
        <f ca="1"/>
        <v/>
      </c>
      <c r="AEP1530" s="42" t="str">
        <f ca="1"/>
        <v/>
      </c>
      <c r="AEQ1530" s="42" t="str">
        <f ca="1"/>
        <v/>
      </c>
      <c r="AER1530" s="42" t="str">
        <f ca="1"/>
        <v/>
      </c>
      <c r="AES1530" s="42" t="str">
        <f ca="1"/>
        <v/>
      </c>
      <c r="AET1530" s="42" t="str">
        <f ca="1"/>
        <v/>
      </c>
      <c r="AEU1530" s="42" t="str">
        <f ca="1"/>
        <v/>
      </c>
      <c r="AEV1530" s="42" t="str">
        <f ca="1"/>
        <v/>
      </c>
      <c r="AEW1530" s="42" t="str">
        <f ca="1"/>
        <v/>
      </c>
      <c r="AEX1530" s="42" t="str">
        <f ca="1"/>
        <v/>
      </c>
      <c r="AEY1530" s="42" t="str">
        <f ca="1"/>
        <v/>
      </c>
      <c r="AEZ1530" s="42" t="str">
        <f ca="1"/>
        <v/>
      </c>
      <c r="AFA1530" s="42" t="str">
        <f ca="1"/>
        <v/>
      </c>
      <c r="AFB1530" s="42" t="str">
        <f ca="1"/>
        <v/>
      </c>
      <c r="AFC1530" s="42" t="str">
        <f ca="1"/>
        <v/>
      </c>
      <c r="AFD1530" s="42" t="str">
        <f ca="1"/>
        <v/>
      </c>
      <c r="AFE1530" s="42" t="str">
        <f ca="1"/>
        <v/>
      </c>
      <c r="AFF1530" s="42" t="str">
        <f ca="1"/>
        <v/>
      </c>
      <c r="AFG1530" s="42" t="str">
        <f ca="1"/>
        <v/>
      </c>
      <c r="AFH1530" s="42" t="str">
        <f ca="1"/>
        <v/>
      </c>
      <c r="AFI1530" s="42" t="str">
        <f ca="1"/>
        <v/>
      </c>
      <c r="AFJ1530" s="42" t="str">
        <f ca="1"/>
        <v/>
      </c>
      <c r="AFK1530" s="42" t="str">
        <f ca="1"/>
        <v/>
      </c>
      <c r="AFL1530" s="42" t="str">
        <f ca="1"/>
        <v/>
      </c>
      <c r="AFM1530" s="42" t="str">
        <f ca="1"/>
        <v/>
      </c>
      <c r="AFN1530" s="42" t="str">
        <f ca="1"/>
        <v/>
      </c>
      <c r="AFO1530" s="42" t="str">
        <f ca="1"/>
        <v/>
      </c>
      <c r="AFP1530" s="42" t="str">
        <f ca="1"/>
        <v/>
      </c>
      <c r="AFQ1530" s="42" t="str">
        <f ca="1"/>
        <v/>
      </c>
      <c r="AFR1530" s="42" t="str">
        <f ca="1"/>
        <v/>
      </c>
      <c r="AFS1530" s="42" t="str">
        <f ca="1"/>
        <v/>
      </c>
      <c r="AFT1530" s="42" t="str">
        <f ca="1"/>
        <v/>
      </c>
      <c r="AFU1530" s="42" t="str">
        <f ca="1"/>
        <v/>
      </c>
      <c r="AFV1530" s="42" t="str">
        <f ca="1"/>
        <v/>
      </c>
      <c r="AFW1530" s="42" t="str">
        <f ca="1"/>
        <v/>
      </c>
      <c r="AFX1530" s="42" t="str">
        <f ca="1"/>
        <v/>
      </c>
      <c r="AFY1530" s="42" t="str">
        <f ca="1"/>
        <v/>
      </c>
      <c r="AFZ1530" s="42" t="str">
        <f ca="1"/>
        <v/>
      </c>
      <c r="AGA1530" s="42" t="str">
        <f ca="1"/>
        <v/>
      </c>
      <c r="AGB1530" s="42" t="str">
        <f ca="1"/>
        <v/>
      </c>
      <c r="AGC1530" s="42" t="str">
        <f ca="1"/>
        <v/>
      </c>
      <c r="AGD1530" s="42" t="str">
        <f ca="1"/>
        <v/>
      </c>
      <c r="AGE1530" s="42" t="str">
        <f ca="1"/>
        <v/>
      </c>
      <c r="AGF1530" s="42" t="str">
        <f ca="1"/>
        <v/>
      </c>
      <c r="AGG1530" s="42" t="str">
        <f ca="1"/>
        <v/>
      </c>
      <c r="AGH1530" s="42" t="str">
        <f ca="1"/>
        <v/>
      </c>
      <c r="AGI1530" s="42" t="str">
        <f ca="1"/>
        <v/>
      </c>
      <c r="AGJ1530" s="42" t="str">
        <f ca="1"/>
        <v/>
      </c>
      <c r="AGK1530" s="42" t="str">
        <f ca="1"/>
        <v/>
      </c>
      <c r="AGL1530" s="42" t="str">
        <f ca="1"/>
        <v/>
      </c>
      <c r="AGM1530" s="42" t="str">
        <f ca="1"/>
        <v/>
      </c>
      <c r="AGN1530" s="42" t="str">
        <f ca="1"/>
        <v/>
      </c>
    </row>
    <row r="1531" spans="15:872" x14ac:dyDescent="0.25">
      <c r="O1531" s="42">
        <v>18</v>
      </c>
      <c r="P1531" s="42" t="str">
        <f ca="1"/>
        <v/>
      </c>
      <c r="Q1531" s="42" t="str">
        <f ca="1"/>
        <v/>
      </c>
      <c r="R1531" s="42" t="str">
        <f ca="1"/>
        <v/>
      </c>
      <c r="S1531" s="42" t="str">
        <f ca="1"/>
        <v/>
      </c>
      <c r="T1531" s="42" t="str">
        <f ca="1"/>
        <v/>
      </c>
      <c r="U1531" s="42" t="str">
        <f ca="1"/>
        <v/>
      </c>
      <c r="V1531" s="42" t="str">
        <f ca="1"/>
        <v/>
      </c>
      <c r="W1531" s="42" t="str">
        <f ca="1"/>
        <v/>
      </c>
      <c r="X1531" s="42" t="str">
        <f ca="1"/>
        <v/>
      </c>
      <c r="Y1531" s="42" t="str">
        <f ca="1"/>
        <v/>
      </c>
      <c r="Z1531" s="42" t="str">
        <f ca="1"/>
        <v/>
      </c>
      <c r="AA1531" s="42" t="str">
        <f ca="1"/>
        <v/>
      </c>
      <c r="AB1531" s="42" t="str">
        <f ca="1"/>
        <v/>
      </c>
      <c r="AC1531" s="42" t="str">
        <f ca="1"/>
        <v/>
      </c>
      <c r="AD1531" s="42" t="str">
        <f ca="1"/>
        <v/>
      </c>
      <c r="AE1531" s="42" t="str">
        <f ca="1"/>
        <v/>
      </c>
      <c r="AF1531" s="42" t="str">
        <f ca="1"/>
        <v/>
      </c>
      <c r="AG1531" s="42" t="str">
        <f ca="1"/>
        <v/>
      </c>
      <c r="AH1531" s="42" t="str">
        <f ca="1"/>
        <v/>
      </c>
      <c r="AI1531" s="42" t="str">
        <f ca="1"/>
        <v/>
      </c>
      <c r="AJ1531" s="42" t="str">
        <f ca="1"/>
        <v/>
      </c>
      <c r="AK1531" s="42" t="str">
        <f ca="1"/>
        <v/>
      </c>
      <c r="AL1531" s="42" t="str">
        <f ca="1"/>
        <v/>
      </c>
      <c r="AM1531" s="42" t="str">
        <f ca="1"/>
        <v/>
      </c>
      <c r="AN1531" s="42" t="str">
        <f ca="1"/>
        <v/>
      </c>
      <c r="AO1531" s="42" t="str">
        <f ca="1"/>
        <v/>
      </c>
      <c r="AP1531" s="42" t="str">
        <f ca="1"/>
        <v/>
      </c>
      <c r="AQ1531" s="42" t="str">
        <f ca="1"/>
        <v/>
      </c>
      <c r="AR1531" s="42" t="str">
        <f ca="1"/>
        <v/>
      </c>
      <c r="AS1531" s="42" t="str">
        <f ca="1"/>
        <v/>
      </c>
      <c r="AT1531" s="42" t="str">
        <f ca="1"/>
        <v/>
      </c>
      <c r="AU1531" s="42" t="str">
        <f ca="1"/>
        <v/>
      </c>
      <c r="AV1531" s="42" t="str">
        <f ca="1"/>
        <v/>
      </c>
      <c r="AW1531" s="42" t="str">
        <f ca="1"/>
        <v/>
      </c>
      <c r="AX1531" s="42" t="str">
        <f ca="1"/>
        <v/>
      </c>
      <c r="AY1531" s="42" t="str">
        <f ca="1"/>
        <v/>
      </c>
      <c r="AZ1531" s="42" t="str">
        <f ca="1"/>
        <v/>
      </c>
      <c r="BA1531" s="42" t="str">
        <f ca="1"/>
        <v/>
      </c>
      <c r="BB1531" s="42" t="str">
        <f ca="1"/>
        <v/>
      </c>
      <c r="BC1531" s="42" t="str">
        <f ca="1"/>
        <v/>
      </c>
      <c r="BD1531" s="42" t="str">
        <f ca="1"/>
        <v/>
      </c>
      <c r="BE1531" s="42" t="str">
        <f ca="1"/>
        <v/>
      </c>
      <c r="BF1531" s="42" t="str">
        <f ca="1"/>
        <v/>
      </c>
      <c r="BG1531" s="42" t="str">
        <f ca="1"/>
        <v/>
      </c>
      <c r="BH1531" s="42" t="str">
        <f ca="1"/>
        <v/>
      </c>
      <c r="BI1531" s="42" t="str">
        <f ca="1"/>
        <v/>
      </c>
      <c r="BJ1531" s="42" t="str">
        <f ca="1"/>
        <v/>
      </c>
      <c r="BK1531" s="42" t="str">
        <f ca="1"/>
        <v/>
      </c>
      <c r="BL1531" s="42" t="str">
        <f ca="1"/>
        <v/>
      </c>
      <c r="BM1531" s="42" t="str">
        <f ca="1"/>
        <v/>
      </c>
      <c r="BN1531" s="42" t="str">
        <f ca="1"/>
        <v/>
      </c>
      <c r="BO1531" s="42" t="str">
        <f ca="1"/>
        <v/>
      </c>
      <c r="BP1531" s="42" t="str">
        <f ca="1"/>
        <v/>
      </c>
      <c r="BQ1531" s="42" t="str">
        <f ca="1"/>
        <v/>
      </c>
      <c r="BR1531" s="42" t="str">
        <f ca="1"/>
        <v/>
      </c>
      <c r="BS1531" s="42" t="str">
        <f ca="1"/>
        <v/>
      </c>
      <c r="BT1531" s="42" t="str">
        <f ca="1"/>
        <v/>
      </c>
      <c r="BU1531" s="42" t="str">
        <f ca="1"/>
        <v/>
      </c>
      <c r="BV1531" s="42" t="str">
        <f ca="1"/>
        <v/>
      </c>
      <c r="BW1531" s="42" t="str">
        <f ca="1"/>
        <v/>
      </c>
      <c r="BX1531" s="42" t="str">
        <f ca="1"/>
        <v/>
      </c>
      <c r="BY1531" s="42" t="str">
        <f ca="1"/>
        <v/>
      </c>
      <c r="BZ1531" s="42" t="str">
        <f ca="1"/>
        <v/>
      </c>
      <c r="CA1531" s="42" t="str">
        <f ca="1"/>
        <v/>
      </c>
      <c r="CB1531" s="42" t="str">
        <f ca="1"/>
        <v/>
      </c>
      <c r="CC1531" s="42" t="str">
        <f ca="1"/>
        <v/>
      </c>
      <c r="CD1531" s="42" t="str">
        <f ca="1"/>
        <v/>
      </c>
      <c r="CE1531" s="42" t="str">
        <f ca="1"/>
        <v/>
      </c>
      <c r="CF1531" s="42" t="str">
        <f ca="1"/>
        <v/>
      </c>
      <c r="CG1531" s="42" t="str">
        <f ca="1"/>
        <v/>
      </c>
      <c r="CH1531" s="42" t="str">
        <f ca="1"/>
        <v/>
      </c>
      <c r="CI1531" s="42" t="str">
        <f ca="1"/>
        <v/>
      </c>
      <c r="CJ1531" s="42" t="str">
        <f ca="1"/>
        <v/>
      </c>
      <c r="CK1531" s="42" t="str">
        <f ca="1"/>
        <v/>
      </c>
      <c r="CL1531" s="42" t="str">
        <f ca="1"/>
        <v/>
      </c>
      <c r="CM1531" s="42" t="str">
        <f ca="1"/>
        <v/>
      </c>
      <c r="CN1531" s="42" t="str">
        <f ca="1"/>
        <v/>
      </c>
      <c r="CO1531" s="42" t="str">
        <f ca="1"/>
        <v/>
      </c>
      <c r="CP1531" s="42" t="str">
        <f ca="1"/>
        <v/>
      </c>
      <c r="CQ1531" s="42" t="str">
        <f ca="1"/>
        <v/>
      </c>
      <c r="CR1531" s="42" t="str">
        <f ca="1"/>
        <v/>
      </c>
      <c r="CS1531" s="42" t="str">
        <f ca="1"/>
        <v/>
      </c>
      <c r="CT1531" s="42" t="str">
        <f ca="1"/>
        <v/>
      </c>
      <c r="CU1531" s="42" t="str">
        <f ca="1"/>
        <v/>
      </c>
      <c r="CV1531" s="42" t="str">
        <f ca="1"/>
        <v/>
      </c>
      <c r="CW1531" s="42" t="str">
        <f ca="1"/>
        <v/>
      </c>
      <c r="CX1531" s="42" t="str">
        <f ca="1"/>
        <v/>
      </c>
      <c r="CY1531" s="42" t="str">
        <f ca="1"/>
        <v/>
      </c>
      <c r="CZ1531" s="42" t="str">
        <f ca="1"/>
        <v/>
      </c>
      <c r="DA1531" s="42" t="str">
        <f ca="1"/>
        <v/>
      </c>
      <c r="DB1531" s="42" t="str">
        <f ca="1"/>
        <v/>
      </c>
      <c r="DC1531" s="42" t="str">
        <f ca="1"/>
        <v/>
      </c>
      <c r="DD1531" s="42" t="str">
        <f ca="1"/>
        <v/>
      </c>
      <c r="DE1531" s="42" t="str">
        <f ca="1"/>
        <v/>
      </c>
      <c r="DF1531" s="42" t="str">
        <f ca="1"/>
        <v/>
      </c>
      <c r="DG1531" s="42" t="str">
        <f ca="1"/>
        <v/>
      </c>
      <c r="DH1531" s="42" t="str">
        <f ca="1"/>
        <v/>
      </c>
      <c r="DI1531" s="42" t="str">
        <f ca="1"/>
        <v/>
      </c>
      <c r="DJ1531" s="42" t="str">
        <f ca="1"/>
        <v/>
      </c>
      <c r="DK1531" s="42" t="str">
        <f ca="1"/>
        <v/>
      </c>
      <c r="DL1531" s="42" t="str">
        <f ca="1"/>
        <v/>
      </c>
      <c r="DM1531" s="42" t="str">
        <f ca="1"/>
        <v/>
      </c>
      <c r="DN1531" s="42" t="str">
        <f ca="1"/>
        <v/>
      </c>
      <c r="DO1531" s="42" t="str">
        <f ca="1"/>
        <v/>
      </c>
      <c r="DP1531" s="42" t="str">
        <f ca="1"/>
        <v/>
      </c>
      <c r="DQ1531" s="42" t="str">
        <f ca="1"/>
        <v/>
      </c>
      <c r="DR1531" s="42" t="str">
        <f ca="1"/>
        <v/>
      </c>
      <c r="DS1531" s="42" t="str">
        <f ca="1"/>
        <v/>
      </c>
      <c r="DT1531" s="42" t="str">
        <f ca="1"/>
        <v/>
      </c>
      <c r="DU1531" s="42" t="str">
        <f ca="1"/>
        <v/>
      </c>
      <c r="DV1531" s="42" t="str">
        <f ca="1"/>
        <v/>
      </c>
      <c r="DW1531" s="42" t="str">
        <f ca="1"/>
        <v/>
      </c>
      <c r="DX1531" s="42" t="str">
        <f ca="1"/>
        <v/>
      </c>
      <c r="DY1531" s="42" t="str">
        <f ca="1"/>
        <v/>
      </c>
      <c r="DZ1531" s="42" t="str">
        <f ca="1"/>
        <v/>
      </c>
      <c r="EA1531" s="42" t="str">
        <f ca="1"/>
        <v/>
      </c>
      <c r="EB1531" s="42" t="str">
        <f ca="1"/>
        <v/>
      </c>
      <c r="EC1531" s="42" t="str">
        <f ca="1"/>
        <v/>
      </c>
      <c r="ED1531" s="42" t="str">
        <f ca="1"/>
        <v/>
      </c>
      <c r="EE1531" s="42" t="str">
        <f ca="1"/>
        <v/>
      </c>
      <c r="EF1531" s="42" t="str">
        <f ca="1"/>
        <v/>
      </c>
      <c r="EG1531" s="42" t="str">
        <f ca="1"/>
        <v/>
      </c>
      <c r="EH1531" s="42" t="str">
        <f ca="1"/>
        <v/>
      </c>
      <c r="EI1531" s="42" t="str">
        <f ca="1"/>
        <v/>
      </c>
      <c r="EJ1531" s="42" t="str">
        <f ca="1"/>
        <v/>
      </c>
      <c r="EK1531" s="42" t="str">
        <f ca="1"/>
        <v/>
      </c>
      <c r="EL1531" s="42" t="str">
        <f ca="1"/>
        <v/>
      </c>
      <c r="EM1531" s="42" t="str">
        <f ca="1"/>
        <v/>
      </c>
      <c r="EN1531" s="42" t="str">
        <f ca="1"/>
        <v/>
      </c>
      <c r="EO1531" s="42" t="str">
        <f ca="1"/>
        <v/>
      </c>
      <c r="EP1531" s="42" t="str">
        <f ca="1"/>
        <v/>
      </c>
      <c r="EQ1531" s="42" t="str">
        <f ca="1"/>
        <v/>
      </c>
      <c r="ER1531" s="42" t="str">
        <f ca="1"/>
        <v/>
      </c>
      <c r="ES1531" s="42" t="str">
        <f ca="1"/>
        <v/>
      </c>
      <c r="ET1531" s="42" t="str">
        <f ca="1"/>
        <v/>
      </c>
      <c r="EU1531" s="42" t="str">
        <f ca="1"/>
        <v/>
      </c>
      <c r="EV1531" s="42" t="str">
        <f ca="1"/>
        <v/>
      </c>
      <c r="EW1531" s="42" t="str">
        <f ca="1"/>
        <v/>
      </c>
      <c r="EX1531" s="42" t="str">
        <f ca="1"/>
        <v/>
      </c>
      <c r="EY1531" s="42" t="str">
        <f ca="1"/>
        <v/>
      </c>
      <c r="EZ1531" s="42" t="str">
        <f ca="1"/>
        <v/>
      </c>
      <c r="FA1531" s="42" t="str">
        <f ca="1"/>
        <v/>
      </c>
      <c r="FB1531" s="42" t="str">
        <f ca="1"/>
        <v/>
      </c>
      <c r="FC1531" s="42" t="str">
        <f ca="1"/>
        <v/>
      </c>
      <c r="FD1531" s="42" t="str">
        <f ca="1"/>
        <v/>
      </c>
      <c r="FE1531" s="42" t="str">
        <f ca="1"/>
        <v/>
      </c>
      <c r="FF1531" s="42" t="str">
        <f ca="1"/>
        <v/>
      </c>
      <c r="FG1531" s="42" t="str">
        <f ca="1"/>
        <v/>
      </c>
      <c r="FH1531" s="42" t="str">
        <f ca="1"/>
        <v/>
      </c>
      <c r="FI1531" s="42" t="str">
        <f ca="1"/>
        <v/>
      </c>
      <c r="FJ1531" s="42" t="str">
        <f ca="1"/>
        <v/>
      </c>
      <c r="FK1531" s="42" t="str">
        <f ca="1"/>
        <v/>
      </c>
      <c r="FL1531" s="42" t="str">
        <f ca="1"/>
        <v/>
      </c>
      <c r="FM1531" s="42" t="str">
        <f ca="1"/>
        <v/>
      </c>
      <c r="FN1531" s="42" t="str">
        <f ca="1"/>
        <v/>
      </c>
      <c r="FO1531" s="42" t="str">
        <f ca="1"/>
        <v/>
      </c>
      <c r="FP1531" s="42" t="str">
        <f ca="1"/>
        <v/>
      </c>
      <c r="FQ1531" s="42" t="str">
        <f ca="1"/>
        <v/>
      </c>
      <c r="FR1531" s="42" t="str">
        <f ca="1"/>
        <v/>
      </c>
      <c r="FS1531" s="42" t="str">
        <f ca="1"/>
        <v/>
      </c>
      <c r="FT1531" s="42" t="str">
        <f ca="1"/>
        <v/>
      </c>
      <c r="FU1531" s="42" t="str">
        <f ca="1"/>
        <v/>
      </c>
      <c r="FV1531" s="42" t="str">
        <f ca="1"/>
        <v/>
      </c>
      <c r="FW1531" s="42" t="str">
        <f ca="1"/>
        <v/>
      </c>
      <c r="FX1531" s="42" t="str">
        <f ca="1"/>
        <v/>
      </c>
      <c r="FY1531" s="42" t="str">
        <f ca="1"/>
        <v/>
      </c>
      <c r="FZ1531" s="42" t="str">
        <f ca="1"/>
        <v/>
      </c>
      <c r="GA1531" s="42" t="str">
        <f ca="1"/>
        <v/>
      </c>
      <c r="GB1531" s="42" t="str">
        <f ca="1"/>
        <v/>
      </c>
      <c r="GC1531" s="42" t="str">
        <f ca="1"/>
        <v/>
      </c>
      <c r="GD1531" s="42" t="str">
        <f ca="1"/>
        <v/>
      </c>
      <c r="GE1531" s="42" t="str">
        <f ca="1"/>
        <v/>
      </c>
      <c r="GF1531" s="42" t="str">
        <f ca="1"/>
        <v/>
      </c>
      <c r="GG1531" s="42" t="str">
        <f ca="1"/>
        <v/>
      </c>
      <c r="GH1531" s="42" t="str">
        <f ca="1"/>
        <v/>
      </c>
      <c r="GI1531" s="42" t="str">
        <f ca="1"/>
        <v/>
      </c>
      <c r="GJ1531" s="42" t="str">
        <f ca="1"/>
        <v/>
      </c>
      <c r="GK1531" s="42" t="str">
        <f ca="1"/>
        <v/>
      </c>
      <c r="GL1531" s="42" t="str">
        <f ca="1"/>
        <v/>
      </c>
      <c r="GM1531" s="42" t="str">
        <f ca="1"/>
        <v/>
      </c>
      <c r="GN1531" s="42" t="str">
        <f ca="1"/>
        <v/>
      </c>
      <c r="GO1531" s="42" t="str">
        <f ca="1"/>
        <v/>
      </c>
      <c r="GP1531" s="42" t="str">
        <f ca="1"/>
        <v/>
      </c>
      <c r="GQ1531" s="42" t="str">
        <f ca="1"/>
        <v/>
      </c>
      <c r="GR1531" s="42" t="str">
        <f ca="1"/>
        <v/>
      </c>
      <c r="GS1531" s="42" t="str">
        <f ca="1"/>
        <v/>
      </c>
      <c r="GT1531" s="42" t="str">
        <f ca="1"/>
        <v/>
      </c>
      <c r="GU1531" s="42" t="str">
        <f ca="1"/>
        <v/>
      </c>
      <c r="GV1531" s="42" t="str">
        <f ca="1"/>
        <v/>
      </c>
      <c r="GW1531" s="42" t="str">
        <f ca="1"/>
        <v/>
      </c>
      <c r="GX1531" s="42" t="str">
        <f ca="1"/>
        <v/>
      </c>
      <c r="GY1531" s="42" t="str">
        <f ca="1"/>
        <v/>
      </c>
      <c r="GZ1531" s="42" t="str">
        <f ca="1"/>
        <v/>
      </c>
      <c r="HA1531" s="42" t="str">
        <f ca="1"/>
        <v/>
      </c>
      <c r="HB1531" s="42" t="str">
        <f ca="1"/>
        <v/>
      </c>
      <c r="HC1531" s="42" t="str">
        <f ca="1"/>
        <v/>
      </c>
      <c r="HD1531" s="42" t="str">
        <f ca="1"/>
        <v/>
      </c>
      <c r="HE1531" s="42" t="str">
        <f ca="1"/>
        <v/>
      </c>
      <c r="HF1531" s="42" t="str">
        <f ca="1"/>
        <v/>
      </c>
      <c r="HG1531" s="42" t="str">
        <f ca="1"/>
        <v/>
      </c>
      <c r="HH1531" s="42" t="str">
        <f ca="1"/>
        <v/>
      </c>
      <c r="HI1531" s="42" t="str">
        <f ca="1"/>
        <v/>
      </c>
      <c r="HJ1531" s="42" t="str">
        <f ca="1"/>
        <v/>
      </c>
      <c r="HK1531" s="42" t="str">
        <f ca="1"/>
        <v/>
      </c>
      <c r="HL1531" s="42" t="str">
        <f ca="1"/>
        <v/>
      </c>
      <c r="HM1531" s="42" t="str">
        <f ca="1"/>
        <v/>
      </c>
      <c r="HN1531" s="42" t="str">
        <f ca="1"/>
        <v/>
      </c>
      <c r="HO1531" s="42" t="str">
        <f ca="1"/>
        <v/>
      </c>
      <c r="HP1531" s="42" t="str">
        <f ca="1"/>
        <v/>
      </c>
      <c r="HQ1531" s="42" t="str">
        <f ca="1"/>
        <v/>
      </c>
      <c r="HR1531" s="42" t="str">
        <f ca="1"/>
        <v/>
      </c>
      <c r="HS1531" s="42" t="str">
        <f ca="1"/>
        <v/>
      </c>
      <c r="HT1531" s="42" t="str">
        <f ca="1"/>
        <v/>
      </c>
      <c r="HU1531" s="42" t="str">
        <f ca="1"/>
        <v/>
      </c>
      <c r="HV1531" s="42" t="str">
        <f ca="1"/>
        <v/>
      </c>
      <c r="HW1531" s="42" t="str">
        <f ca="1"/>
        <v/>
      </c>
      <c r="HX1531" s="42" t="str">
        <f ca="1"/>
        <v/>
      </c>
      <c r="HY1531" s="42" t="str">
        <f ca="1"/>
        <v/>
      </c>
      <c r="HZ1531" s="42" t="str">
        <f ca="1"/>
        <v/>
      </c>
      <c r="IA1531" s="42" t="str">
        <f ca="1"/>
        <v/>
      </c>
      <c r="IB1531" s="42" t="str">
        <f ca="1"/>
        <v/>
      </c>
      <c r="IC1531" s="42" t="str">
        <f ca="1"/>
        <v/>
      </c>
      <c r="ID1531" s="42" t="str">
        <f ca="1"/>
        <v/>
      </c>
      <c r="IE1531" s="42" t="str">
        <f ca="1"/>
        <v/>
      </c>
      <c r="IF1531" s="42" t="str">
        <f ca="1"/>
        <v/>
      </c>
      <c r="IG1531" s="42" t="str">
        <f ca="1"/>
        <v/>
      </c>
      <c r="IH1531" s="42" t="str">
        <f ca="1"/>
        <v/>
      </c>
      <c r="II1531" s="42" t="str">
        <f ca="1"/>
        <v/>
      </c>
      <c r="IJ1531" s="42" t="str">
        <f ca="1"/>
        <v/>
      </c>
      <c r="IK1531" s="42" t="str">
        <f ca="1"/>
        <v/>
      </c>
      <c r="IL1531" s="42" t="str">
        <f ca="1"/>
        <v/>
      </c>
      <c r="IM1531" s="42" t="str">
        <f ca="1"/>
        <v/>
      </c>
      <c r="IN1531" s="42" t="str">
        <f ca="1"/>
        <v/>
      </c>
      <c r="IO1531" s="42" t="str">
        <f ca="1"/>
        <v/>
      </c>
      <c r="IP1531" s="42" t="str">
        <f ca="1"/>
        <v/>
      </c>
      <c r="IQ1531" s="42" t="str">
        <f ca="1"/>
        <v/>
      </c>
      <c r="IR1531" s="42" t="str">
        <f ca="1"/>
        <v/>
      </c>
      <c r="IS1531" s="42" t="str">
        <f ca="1"/>
        <v/>
      </c>
      <c r="IT1531" s="42" t="str">
        <f ca="1"/>
        <v/>
      </c>
      <c r="IU1531" s="42" t="str">
        <f ca="1"/>
        <v/>
      </c>
      <c r="IV1531" s="42" t="str">
        <f ca="1"/>
        <v/>
      </c>
      <c r="IW1531" s="42" t="str">
        <f ca="1"/>
        <v/>
      </c>
      <c r="IX1531" s="42" t="str">
        <f ca="1"/>
        <v/>
      </c>
      <c r="IY1531" s="42" t="str">
        <f ca="1"/>
        <v/>
      </c>
      <c r="IZ1531" s="42" t="str">
        <f ca="1"/>
        <v/>
      </c>
      <c r="JA1531" s="42" t="str">
        <f ca="1"/>
        <v/>
      </c>
      <c r="JB1531" s="42" t="str">
        <f ca="1"/>
        <v/>
      </c>
      <c r="JC1531" s="42" t="str">
        <f ca="1"/>
        <v/>
      </c>
      <c r="JD1531" s="42" t="str">
        <f ca="1"/>
        <v/>
      </c>
      <c r="JE1531" s="42" t="str">
        <f ca="1"/>
        <v/>
      </c>
      <c r="JF1531" s="42" t="str">
        <f ca="1"/>
        <v/>
      </c>
      <c r="JG1531" s="42" t="str">
        <f ca="1"/>
        <v/>
      </c>
      <c r="JH1531" s="42" t="str">
        <f ca="1"/>
        <v/>
      </c>
      <c r="JI1531" s="42" t="str">
        <f ca="1"/>
        <v/>
      </c>
      <c r="JJ1531" s="42" t="str">
        <f ca="1"/>
        <v/>
      </c>
      <c r="JK1531" s="42" t="str">
        <f ca="1"/>
        <v/>
      </c>
      <c r="JL1531" s="42" t="str">
        <f ca="1"/>
        <v/>
      </c>
      <c r="JM1531" s="42" t="str">
        <f ca="1"/>
        <v/>
      </c>
      <c r="JN1531" s="42" t="str">
        <f ca="1"/>
        <v/>
      </c>
      <c r="JO1531" s="42" t="str">
        <f ca="1"/>
        <v/>
      </c>
      <c r="JP1531" s="42" t="str">
        <f ca="1"/>
        <v/>
      </c>
      <c r="JQ1531" s="42" t="str">
        <f ca="1"/>
        <v/>
      </c>
      <c r="JR1531" s="42" t="str">
        <f ca="1"/>
        <v/>
      </c>
      <c r="JS1531" s="42" t="str">
        <f ca="1"/>
        <v/>
      </c>
      <c r="JT1531" s="42" t="str">
        <f ca="1"/>
        <v/>
      </c>
      <c r="JU1531" s="42" t="str">
        <f ca="1"/>
        <v/>
      </c>
      <c r="JV1531" s="42" t="str">
        <f ca="1"/>
        <v/>
      </c>
      <c r="JW1531" s="42" t="str">
        <f ca="1"/>
        <v/>
      </c>
      <c r="JX1531" s="42" t="str">
        <f ca="1"/>
        <v/>
      </c>
      <c r="JY1531" s="42" t="str">
        <f ca="1"/>
        <v/>
      </c>
      <c r="JZ1531" s="42" t="str">
        <f ca="1"/>
        <v/>
      </c>
      <c r="KA1531" s="42" t="str">
        <f ca="1"/>
        <v/>
      </c>
      <c r="KB1531" s="42" t="str">
        <f ca="1"/>
        <v/>
      </c>
      <c r="KC1531" s="42" t="str">
        <f ca="1"/>
        <v/>
      </c>
      <c r="KD1531" s="42" t="str">
        <f ca="1"/>
        <v/>
      </c>
      <c r="KE1531" s="42" t="str">
        <f ca="1"/>
        <v/>
      </c>
      <c r="KF1531" s="42" t="str">
        <f ca="1"/>
        <v/>
      </c>
      <c r="KG1531" s="42" t="str">
        <f ca="1"/>
        <v/>
      </c>
      <c r="KH1531" s="42" t="str">
        <f ca="1"/>
        <v/>
      </c>
      <c r="KI1531" s="42" t="str">
        <f ca="1"/>
        <v/>
      </c>
      <c r="KJ1531" s="42" t="str">
        <f ca="1"/>
        <v/>
      </c>
      <c r="KK1531" s="42" t="str">
        <f ca="1"/>
        <v/>
      </c>
      <c r="KL1531" s="42" t="str">
        <f ca="1"/>
        <v/>
      </c>
      <c r="KM1531" s="42" t="str">
        <f ca="1"/>
        <v/>
      </c>
      <c r="KN1531" s="42" t="str">
        <f ca="1"/>
        <v/>
      </c>
      <c r="KO1531" s="42" t="str">
        <f ca="1"/>
        <v/>
      </c>
      <c r="KP1531" s="42" t="str">
        <f ca="1"/>
        <v/>
      </c>
      <c r="KQ1531" s="42" t="str">
        <f ca="1"/>
        <v/>
      </c>
      <c r="KR1531" s="42" t="str">
        <f ca="1"/>
        <v/>
      </c>
      <c r="KS1531" s="42" t="str">
        <f ca="1"/>
        <v/>
      </c>
      <c r="KT1531" s="42" t="str">
        <f ca="1"/>
        <v/>
      </c>
      <c r="KU1531" s="42" t="str">
        <f ca="1"/>
        <v/>
      </c>
      <c r="KV1531" s="42" t="str">
        <f ca="1"/>
        <v/>
      </c>
      <c r="KW1531" s="42" t="str">
        <f ca="1"/>
        <v/>
      </c>
      <c r="KX1531" s="42" t="str">
        <f ca="1"/>
        <v/>
      </c>
      <c r="KY1531" s="42" t="str">
        <f ca="1"/>
        <v/>
      </c>
      <c r="KZ1531" s="42" t="str">
        <f ca="1"/>
        <v/>
      </c>
      <c r="LA1531" s="42" t="str">
        <f ca="1"/>
        <v/>
      </c>
      <c r="LB1531" s="42" t="str">
        <f ca="1"/>
        <v/>
      </c>
      <c r="LC1531" s="42" t="str">
        <f ca="1"/>
        <v/>
      </c>
      <c r="LD1531" s="42" t="str">
        <f ca="1"/>
        <v/>
      </c>
      <c r="LE1531" s="42" t="str">
        <f ca="1"/>
        <v/>
      </c>
      <c r="LF1531" s="42" t="str">
        <f ca="1"/>
        <v/>
      </c>
      <c r="LG1531" s="42" t="str">
        <f ca="1"/>
        <v/>
      </c>
      <c r="LH1531" s="42" t="str">
        <f ca="1"/>
        <v/>
      </c>
      <c r="LI1531" s="42" t="str">
        <f ca="1"/>
        <v/>
      </c>
      <c r="LJ1531" s="42" t="str">
        <f ca="1"/>
        <v/>
      </c>
      <c r="LK1531" s="42" t="str">
        <f ca="1"/>
        <v/>
      </c>
      <c r="LL1531" s="42" t="str">
        <f ca="1"/>
        <v/>
      </c>
      <c r="LM1531" s="42" t="str">
        <f ca="1"/>
        <v/>
      </c>
      <c r="LN1531" s="42" t="str">
        <f ca="1"/>
        <v/>
      </c>
      <c r="LO1531" s="42" t="str">
        <f ca="1"/>
        <v/>
      </c>
      <c r="LP1531" s="42" t="str">
        <f ca="1"/>
        <v/>
      </c>
      <c r="LQ1531" s="42" t="str">
        <f ca="1"/>
        <v/>
      </c>
      <c r="LR1531" s="42" t="str">
        <f ca="1"/>
        <v/>
      </c>
      <c r="LS1531" s="42" t="str">
        <f ca="1"/>
        <v/>
      </c>
      <c r="LT1531" s="42" t="str">
        <f ca="1"/>
        <v/>
      </c>
      <c r="LU1531" s="42" t="str">
        <f ca="1"/>
        <v/>
      </c>
      <c r="LV1531" s="42" t="str">
        <f ca="1"/>
        <v/>
      </c>
      <c r="LW1531" s="42" t="str">
        <f ca="1"/>
        <v/>
      </c>
      <c r="LX1531" s="42" t="str">
        <f ca="1"/>
        <v/>
      </c>
      <c r="LY1531" s="42" t="str">
        <f ca="1"/>
        <v/>
      </c>
      <c r="LZ1531" s="42" t="str">
        <f ca="1"/>
        <v/>
      </c>
      <c r="MA1531" s="42" t="str">
        <f ca="1"/>
        <v/>
      </c>
      <c r="MB1531" s="42" t="str">
        <f ca="1"/>
        <v/>
      </c>
      <c r="MC1531" s="42" t="str">
        <f ca="1"/>
        <v/>
      </c>
      <c r="MD1531" s="42" t="str">
        <f ca="1"/>
        <v/>
      </c>
      <c r="ME1531" s="42" t="str">
        <f ca="1"/>
        <v/>
      </c>
      <c r="MF1531" s="42" t="str">
        <f ca="1"/>
        <v/>
      </c>
      <c r="MG1531" s="42" t="str">
        <f ca="1"/>
        <v/>
      </c>
      <c r="MH1531" s="42" t="str">
        <f ca="1"/>
        <v/>
      </c>
      <c r="MI1531" s="42" t="str">
        <f ca="1"/>
        <v/>
      </c>
      <c r="MJ1531" s="42" t="str">
        <f ca="1"/>
        <v/>
      </c>
      <c r="MK1531" s="42" t="str">
        <f ca="1"/>
        <v/>
      </c>
      <c r="ML1531" s="42" t="str">
        <f ca="1"/>
        <v/>
      </c>
      <c r="MM1531" s="42" t="str">
        <f ca="1"/>
        <v/>
      </c>
      <c r="MN1531" s="42" t="str">
        <f ca="1"/>
        <v/>
      </c>
      <c r="MO1531" s="42" t="str">
        <f ca="1"/>
        <v/>
      </c>
      <c r="MP1531" s="42" t="str">
        <f ca="1"/>
        <v/>
      </c>
      <c r="MQ1531" s="42" t="str">
        <f ca="1"/>
        <v/>
      </c>
      <c r="MR1531" s="42" t="str">
        <f ca="1"/>
        <v/>
      </c>
      <c r="MS1531" s="42" t="str">
        <f ca="1"/>
        <v/>
      </c>
      <c r="MT1531" s="42" t="str">
        <f ca="1"/>
        <v/>
      </c>
      <c r="MU1531" s="42" t="str">
        <f ca="1"/>
        <v/>
      </c>
      <c r="MV1531" s="42" t="str">
        <f ca="1"/>
        <v/>
      </c>
      <c r="MW1531" s="42" t="str">
        <f ca="1"/>
        <v/>
      </c>
      <c r="MX1531" s="42" t="str">
        <f ca="1"/>
        <v/>
      </c>
      <c r="MY1531" s="42" t="str">
        <f ca="1"/>
        <v/>
      </c>
      <c r="MZ1531" s="42" t="str">
        <f ca="1"/>
        <v/>
      </c>
      <c r="NA1531" s="42" t="str">
        <f ca="1"/>
        <v/>
      </c>
      <c r="NB1531" s="42" t="str">
        <f ca="1"/>
        <v/>
      </c>
      <c r="NC1531" s="42" t="str">
        <f ca="1"/>
        <v/>
      </c>
      <c r="ND1531" s="42" t="str">
        <f ca="1"/>
        <v/>
      </c>
      <c r="NE1531" s="42" t="str">
        <f ca="1"/>
        <v/>
      </c>
      <c r="NF1531" s="42" t="str">
        <f ca="1"/>
        <v/>
      </c>
      <c r="NG1531" s="42" t="str">
        <f ca="1"/>
        <v/>
      </c>
      <c r="NH1531" s="42" t="str">
        <f ca="1"/>
        <v/>
      </c>
      <c r="NI1531" s="42" t="str">
        <f ca="1"/>
        <v/>
      </c>
      <c r="NJ1531" s="42" t="str">
        <f ca="1"/>
        <v/>
      </c>
      <c r="NK1531" s="42" t="str">
        <f ca="1"/>
        <v/>
      </c>
      <c r="NL1531" s="42" t="str">
        <f ca="1"/>
        <v/>
      </c>
      <c r="NM1531" s="42" t="str">
        <f ca="1"/>
        <v/>
      </c>
      <c r="NN1531" s="42" t="str">
        <f ca="1"/>
        <v/>
      </c>
      <c r="NO1531" s="42" t="str">
        <f ca="1"/>
        <v/>
      </c>
      <c r="NP1531" s="42" t="str">
        <f ca="1"/>
        <v/>
      </c>
      <c r="NQ1531" s="42" t="str">
        <f ca="1"/>
        <v/>
      </c>
      <c r="NR1531" s="42" t="str">
        <f ca="1"/>
        <v/>
      </c>
      <c r="NS1531" s="42" t="str">
        <f ca="1"/>
        <v/>
      </c>
      <c r="NT1531" s="42" t="str">
        <f ca="1"/>
        <v/>
      </c>
      <c r="NU1531" s="42" t="str">
        <f ca="1"/>
        <v/>
      </c>
      <c r="NV1531" s="42" t="str">
        <f ca="1"/>
        <v/>
      </c>
      <c r="NW1531" s="42" t="str">
        <f ca="1"/>
        <v/>
      </c>
      <c r="NX1531" s="42" t="str">
        <f ca="1"/>
        <v/>
      </c>
      <c r="NY1531" s="42" t="str">
        <f ca="1"/>
        <v/>
      </c>
      <c r="NZ1531" s="42" t="str">
        <f ca="1"/>
        <v/>
      </c>
      <c r="OA1531" s="42" t="str">
        <f ca="1"/>
        <v/>
      </c>
      <c r="OB1531" s="42" t="str">
        <f ca="1"/>
        <v/>
      </c>
      <c r="OC1531" s="42" t="str">
        <f ca="1"/>
        <v/>
      </c>
      <c r="OD1531" s="42" t="str">
        <f ca="1"/>
        <v/>
      </c>
      <c r="OE1531" s="42" t="str">
        <f ca="1"/>
        <v/>
      </c>
      <c r="OF1531" s="42" t="str">
        <f ca="1"/>
        <v/>
      </c>
      <c r="OG1531" s="42" t="str">
        <f ca="1"/>
        <v/>
      </c>
      <c r="OH1531" s="42" t="str">
        <f ca="1"/>
        <v/>
      </c>
      <c r="OI1531" s="42" t="str">
        <f ca="1"/>
        <v/>
      </c>
      <c r="OJ1531" s="42" t="str">
        <f ca="1"/>
        <v/>
      </c>
      <c r="OK1531" s="42" t="str">
        <f ca="1"/>
        <v/>
      </c>
      <c r="OL1531" s="42" t="str">
        <f ca="1"/>
        <v/>
      </c>
      <c r="OM1531" s="42" t="str">
        <f ca="1"/>
        <v/>
      </c>
      <c r="ON1531" s="42" t="str">
        <f ca="1"/>
        <v/>
      </c>
      <c r="OO1531" s="42" t="str">
        <f ca="1"/>
        <v/>
      </c>
      <c r="OP1531" s="42" t="str">
        <f ca="1"/>
        <v/>
      </c>
      <c r="OQ1531" s="42" t="str">
        <f ca="1"/>
        <v/>
      </c>
      <c r="OR1531" s="42" t="str">
        <f ca="1"/>
        <v/>
      </c>
      <c r="OS1531" s="42" t="str">
        <f ca="1"/>
        <v/>
      </c>
      <c r="OT1531" s="42" t="str">
        <f ca="1"/>
        <v/>
      </c>
      <c r="OU1531" s="42" t="str">
        <f ca="1"/>
        <v/>
      </c>
      <c r="OV1531" s="42" t="str">
        <f ca="1"/>
        <v/>
      </c>
      <c r="OW1531" s="42" t="str">
        <f ca="1"/>
        <v/>
      </c>
      <c r="OX1531" s="42" t="str">
        <f ca="1"/>
        <v/>
      </c>
      <c r="OY1531" s="42" t="str">
        <f ca="1"/>
        <v/>
      </c>
      <c r="OZ1531" s="42" t="str">
        <f ca="1"/>
        <v/>
      </c>
      <c r="PA1531" s="42" t="str">
        <f ca="1"/>
        <v/>
      </c>
      <c r="PB1531" s="42" t="str">
        <f ca="1"/>
        <v/>
      </c>
      <c r="PC1531" s="42" t="str">
        <f ca="1"/>
        <v/>
      </c>
      <c r="PD1531" s="42" t="str">
        <f ca="1"/>
        <v/>
      </c>
      <c r="PE1531" s="42" t="str">
        <f ca="1"/>
        <v/>
      </c>
      <c r="PF1531" s="42" t="str">
        <f ca="1"/>
        <v/>
      </c>
      <c r="PG1531" s="42" t="str">
        <f ca="1"/>
        <v/>
      </c>
      <c r="PH1531" s="42" t="str">
        <f ca="1"/>
        <v/>
      </c>
      <c r="PI1531" s="42" t="str">
        <f ca="1"/>
        <v/>
      </c>
      <c r="PJ1531" s="42" t="str">
        <f ca="1"/>
        <v/>
      </c>
      <c r="PK1531" s="42" t="str">
        <f ca="1"/>
        <v/>
      </c>
      <c r="PL1531" s="42" t="str">
        <f ca="1"/>
        <v/>
      </c>
      <c r="PM1531" s="42" t="str">
        <f ca="1"/>
        <v/>
      </c>
      <c r="PN1531" s="42" t="str">
        <f ca="1"/>
        <v/>
      </c>
      <c r="PO1531" s="42" t="str">
        <f ca="1"/>
        <v/>
      </c>
      <c r="PP1531" s="42" t="str">
        <f ca="1"/>
        <v/>
      </c>
      <c r="PQ1531" s="42" t="str">
        <f ca="1"/>
        <v/>
      </c>
      <c r="PR1531" s="42" t="str">
        <f ca="1"/>
        <v/>
      </c>
      <c r="PS1531" s="42" t="str">
        <f ca="1"/>
        <v/>
      </c>
      <c r="PT1531" s="42" t="str">
        <f ca="1"/>
        <v/>
      </c>
      <c r="PU1531" s="42" t="str">
        <f ca="1"/>
        <v/>
      </c>
      <c r="PV1531" s="42" t="str">
        <f ca="1"/>
        <v/>
      </c>
      <c r="PW1531" s="42" t="str">
        <f ca="1"/>
        <v/>
      </c>
      <c r="PX1531" s="42" t="str">
        <f ca="1"/>
        <v/>
      </c>
      <c r="PY1531" s="42" t="str">
        <f ca="1"/>
        <v/>
      </c>
      <c r="PZ1531" s="42" t="str">
        <f ca="1"/>
        <v/>
      </c>
      <c r="QA1531" s="42" t="str">
        <f ca="1"/>
        <v/>
      </c>
      <c r="QB1531" s="42" t="str">
        <f ca="1"/>
        <v/>
      </c>
      <c r="QC1531" s="42" t="str">
        <f ca="1"/>
        <v/>
      </c>
      <c r="QD1531" s="42" t="str">
        <f ca="1"/>
        <v/>
      </c>
      <c r="QE1531" s="42" t="str">
        <f ca="1"/>
        <v/>
      </c>
      <c r="QF1531" s="42" t="str">
        <f ca="1"/>
        <v/>
      </c>
      <c r="QG1531" s="42" t="str">
        <f ca="1"/>
        <v/>
      </c>
      <c r="QH1531" s="42" t="str">
        <f ca="1"/>
        <v/>
      </c>
      <c r="QI1531" s="42" t="str">
        <f ca="1"/>
        <v/>
      </c>
      <c r="QJ1531" s="42" t="str">
        <f ca="1"/>
        <v/>
      </c>
      <c r="QK1531" s="42" t="str">
        <f ca="1"/>
        <v/>
      </c>
      <c r="QL1531" s="42" t="str">
        <f ca="1"/>
        <v/>
      </c>
      <c r="QM1531" s="42" t="str">
        <f ca="1"/>
        <v/>
      </c>
      <c r="QN1531" s="42" t="str">
        <f ca="1"/>
        <v/>
      </c>
      <c r="QO1531" s="42" t="str">
        <f ca="1"/>
        <v/>
      </c>
      <c r="QP1531" s="42" t="str">
        <f ca="1"/>
        <v/>
      </c>
      <c r="QQ1531" s="42" t="str">
        <f ca="1"/>
        <v/>
      </c>
      <c r="QR1531" s="42" t="str">
        <f ca="1"/>
        <v/>
      </c>
      <c r="QS1531" s="42" t="str">
        <f ca="1"/>
        <v/>
      </c>
      <c r="QT1531" s="42" t="str">
        <f ca="1"/>
        <v/>
      </c>
      <c r="QU1531" s="42" t="str">
        <f ca="1"/>
        <v/>
      </c>
      <c r="QV1531" s="42" t="str">
        <f ca="1"/>
        <v/>
      </c>
      <c r="QW1531" s="42" t="str">
        <f ca="1"/>
        <v/>
      </c>
      <c r="QX1531" s="42" t="str">
        <f ca="1"/>
        <v/>
      </c>
      <c r="QY1531" s="42" t="str">
        <f ca="1"/>
        <v/>
      </c>
      <c r="QZ1531" s="42" t="str">
        <f ca="1"/>
        <v/>
      </c>
      <c r="RA1531" s="42" t="str">
        <f ca="1"/>
        <v/>
      </c>
      <c r="RB1531" s="42" t="str">
        <f ca="1"/>
        <v/>
      </c>
      <c r="RC1531" s="42" t="str">
        <f ca="1"/>
        <v/>
      </c>
      <c r="RD1531" s="42" t="str">
        <f ca="1"/>
        <v/>
      </c>
      <c r="RE1531" s="42" t="str">
        <f ca="1"/>
        <v/>
      </c>
      <c r="RF1531" s="42" t="str">
        <f ca="1"/>
        <v/>
      </c>
      <c r="RG1531" s="42" t="str">
        <f ca="1"/>
        <v/>
      </c>
      <c r="RH1531" s="42" t="str">
        <f ca="1"/>
        <v/>
      </c>
      <c r="RI1531" s="42" t="str">
        <f ca="1"/>
        <v/>
      </c>
      <c r="RJ1531" s="42" t="str">
        <f ca="1"/>
        <v/>
      </c>
      <c r="RK1531" s="42" t="str">
        <f ca="1"/>
        <v/>
      </c>
      <c r="RL1531" s="42" t="str">
        <f ca="1"/>
        <v/>
      </c>
      <c r="RM1531" s="42" t="str">
        <f ca="1"/>
        <v/>
      </c>
      <c r="RN1531" s="42" t="str">
        <f ca="1"/>
        <v/>
      </c>
      <c r="RO1531" s="42" t="str">
        <f ca="1"/>
        <v/>
      </c>
      <c r="RP1531" s="42" t="str">
        <f ca="1"/>
        <v/>
      </c>
      <c r="RQ1531" s="42" t="str">
        <f ca="1"/>
        <v/>
      </c>
      <c r="RR1531" s="42" t="str">
        <f ca="1"/>
        <v/>
      </c>
      <c r="RS1531" s="42" t="str">
        <f ca="1"/>
        <v/>
      </c>
      <c r="RT1531" s="42" t="str">
        <f ca="1"/>
        <v/>
      </c>
      <c r="RU1531" s="42" t="str">
        <f ca="1"/>
        <v/>
      </c>
      <c r="RV1531" s="42" t="str">
        <f ca="1"/>
        <v/>
      </c>
      <c r="RW1531" s="42" t="str">
        <f ca="1"/>
        <v/>
      </c>
      <c r="RX1531" s="42" t="str">
        <f ca="1"/>
        <v/>
      </c>
      <c r="RY1531" s="42" t="str">
        <f ca="1"/>
        <v/>
      </c>
      <c r="RZ1531" s="42" t="str">
        <f ca="1"/>
        <v/>
      </c>
      <c r="SA1531" s="42" t="str">
        <f ca="1"/>
        <v/>
      </c>
      <c r="SB1531" s="42" t="str">
        <f ca="1"/>
        <v/>
      </c>
      <c r="SC1531" s="42" t="str">
        <f ca="1"/>
        <v/>
      </c>
      <c r="SD1531" s="42" t="str">
        <f ca="1"/>
        <v/>
      </c>
      <c r="SE1531" s="42" t="str">
        <f ca="1"/>
        <v/>
      </c>
      <c r="SF1531" s="42" t="str">
        <f ca="1"/>
        <v/>
      </c>
      <c r="SG1531" s="42" t="str">
        <f ca="1"/>
        <v/>
      </c>
      <c r="SH1531" s="42" t="str">
        <f ca="1"/>
        <v/>
      </c>
      <c r="SI1531" s="42" t="str">
        <f ca="1"/>
        <v/>
      </c>
      <c r="SJ1531" s="42" t="str">
        <f ca="1"/>
        <v/>
      </c>
      <c r="SK1531" s="42" t="str">
        <f ca="1"/>
        <v/>
      </c>
      <c r="SL1531" s="42" t="str">
        <f ca="1"/>
        <v/>
      </c>
      <c r="SM1531" s="42" t="str">
        <f ca="1"/>
        <v/>
      </c>
      <c r="SN1531" s="42" t="str">
        <f ca="1"/>
        <v/>
      </c>
      <c r="SO1531" s="42" t="str">
        <f ca="1"/>
        <v/>
      </c>
      <c r="SP1531" s="42" t="str">
        <f ca="1"/>
        <v/>
      </c>
      <c r="SQ1531" s="42" t="str">
        <f ca="1"/>
        <v/>
      </c>
      <c r="SR1531" s="42" t="str">
        <f ca="1"/>
        <v/>
      </c>
      <c r="SS1531" s="42" t="str">
        <f ca="1"/>
        <v/>
      </c>
      <c r="ST1531" s="42" t="str">
        <f ca="1"/>
        <v/>
      </c>
      <c r="SU1531" s="42" t="str">
        <f ca="1"/>
        <v/>
      </c>
      <c r="SV1531" s="42" t="str">
        <f ca="1"/>
        <v/>
      </c>
      <c r="SW1531" s="42" t="str">
        <f ca="1"/>
        <v/>
      </c>
      <c r="SX1531" s="42" t="str">
        <f ca="1"/>
        <v/>
      </c>
      <c r="SY1531" s="42" t="str">
        <f ca="1"/>
        <v/>
      </c>
      <c r="SZ1531" s="42" t="str">
        <f ca="1"/>
        <v/>
      </c>
      <c r="TA1531" s="42" t="str">
        <f ca="1"/>
        <v/>
      </c>
      <c r="TB1531" s="42" t="str">
        <f ca="1"/>
        <v/>
      </c>
      <c r="TC1531" s="42" t="str">
        <f ca="1"/>
        <v/>
      </c>
      <c r="TD1531" s="42" t="str">
        <f ca="1"/>
        <v/>
      </c>
      <c r="TE1531" s="42" t="str">
        <f ca="1"/>
        <v/>
      </c>
      <c r="TF1531" s="42" t="str">
        <f ca="1"/>
        <v/>
      </c>
      <c r="TG1531" s="42" t="str">
        <f ca="1"/>
        <v/>
      </c>
      <c r="TH1531" s="42" t="str">
        <f ca="1"/>
        <v/>
      </c>
      <c r="TI1531" s="42" t="str">
        <f ca="1"/>
        <v/>
      </c>
      <c r="TJ1531" s="42" t="str">
        <f ca="1"/>
        <v/>
      </c>
      <c r="TK1531" s="42" t="str">
        <f ca="1"/>
        <v/>
      </c>
      <c r="TL1531" s="42" t="str">
        <f ca="1"/>
        <v/>
      </c>
      <c r="TM1531" s="42" t="str">
        <f ca="1"/>
        <v/>
      </c>
      <c r="TN1531" s="42" t="str">
        <f ca="1"/>
        <v/>
      </c>
      <c r="TO1531" s="42" t="str">
        <f ca="1"/>
        <v/>
      </c>
      <c r="TP1531" s="42" t="str">
        <f ca="1"/>
        <v/>
      </c>
      <c r="TQ1531" s="42" t="str">
        <f ca="1"/>
        <v/>
      </c>
      <c r="TR1531" s="42" t="str">
        <f ca="1"/>
        <v/>
      </c>
      <c r="TS1531" s="42" t="str">
        <f ca="1"/>
        <v/>
      </c>
      <c r="TT1531" s="42" t="str">
        <f ca="1"/>
        <v/>
      </c>
      <c r="TU1531" s="42" t="str">
        <f ca="1"/>
        <v/>
      </c>
      <c r="TV1531" s="42" t="str">
        <f ca="1"/>
        <v/>
      </c>
      <c r="TW1531" s="42" t="str">
        <f ca="1"/>
        <v/>
      </c>
      <c r="TX1531" s="42" t="str">
        <f ca="1"/>
        <v/>
      </c>
      <c r="TY1531" s="42" t="str">
        <f ca="1"/>
        <v/>
      </c>
      <c r="TZ1531" s="42" t="str">
        <f ca="1"/>
        <v/>
      </c>
      <c r="UA1531" s="42" t="str">
        <f ca="1"/>
        <v/>
      </c>
      <c r="UB1531" s="42" t="str">
        <f ca="1"/>
        <v/>
      </c>
      <c r="UC1531" s="42" t="str">
        <f ca="1"/>
        <v/>
      </c>
      <c r="UD1531" s="42" t="str">
        <f ca="1"/>
        <v/>
      </c>
      <c r="UE1531" s="42" t="str">
        <f ca="1"/>
        <v/>
      </c>
      <c r="UF1531" s="42" t="str">
        <f ca="1"/>
        <v/>
      </c>
      <c r="UG1531" s="42" t="str">
        <f ca="1"/>
        <v/>
      </c>
      <c r="UH1531" s="42" t="str">
        <f ca="1"/>
        <v/>
      </c>
      <c r="UI1531" s="42" t="str">
        <f ca="1"/>
        <v/>
      </c>
      <c r="UJ1531" s="42" t="str">
        <f ca="1"/>
        <v/>
      </c>
      <c r="UK1531" s="42" t="str">
        <f ca="1"/>
        <v/>
      </c>
      <c r="UL1531" s="42" t="str">
        <f ca="1"/>
        <v/>
      </c>
      <c r="UM1531" s="42" t="str">
        <f ca="1"/>
        <v/>
      </c>
      <c r="UN1531" s="42" t="str">
        <f ca="1"/>
        <v/>
      </c>
      <c r="UO1531" s="42" t="str">
        <f ca="1"/>
        <v/>
      </c>
      <c r="UP1531" s="42" t="str">
        <f ca="1"/>
        <v/>
      </c>
      <c r="UQ1531" s="42" t="str">
        <f ca="1"/>
        <v/>
      </c>
      <c r="UR1531" s="42" t="str">
        <f ca="1"/>
        <v/>
      </c>
      <c r="US1531" s="42" t="str">
        <f ca="1"/>
        <v/>
      </c>
      <c r="UT1531" s="42" t="str">
        <f ca="1"/>
        <v/>
      </c>
      <c r="UU1531" s="42" t="str">
        <f ca="1"/>
        <v/>
      </c>
      <c r="UV1531" s="42" t="str">
        <f ca="1"/>
        <v/>
      </c>
      <c r="UW1531" s="42" t="str">
        <f ca="1"/>
        <v/>
      </c>
      <c r="UX1531" s="42" t="str">
        <f ca="1"/>
        <v/>
      </c>
      <c r="UY1531" s="42" t="str">
        <f ca="1"/>
        <v/>
      </c>
      <c r="UZ1531" s="42" t="str">
        <f ca="1"/>
        <v/>
      </c>
      <c r="VA1531" s="42" t="str">
        <f ca="1"/>
        <v/>
      </c>
      <c r="VB1531" s="42" t="str">
        <f ca="1"/>
        <v/>
      </c>
      <c r="VC1531" s="42" t="str">
        <f ca="1"/>
        <v/>
      </c>
      <c r="VD1531" s="42" t="str">
        <f ca="1"/>
        <v/>
      </c>
      <c r="VE1531" s="42" t="str">
        <f ca="1"/>
        <v/>
      </c>
      <c r="VF1531" s="42" t="str">
        <f ca="1"/>
        <v/>
      </c>
      <c r="VG1531" s="42" t="str">
        <f ca="1"/>
        <v/>
      </c>
      <c r="VH1531" s="42" t="str">
        <f ca="1"/>
        <v/>
      </c>
      <c r="VI1531" s="42" t="str">
        <f ca="1"/>
        <v/>
      </c>
      <c r="VJ1531" s="42" t="str">
        <f ca="1"/>
        <v/>
      </c>
      <c r="VK1531" s="42" t="str">
        <f ca="1"/>
        <v/>
      </c>
      <c r="VL1531" s="42" t="str">
        <f ca="1"/>
        <v/>
      </c>
      <c r="VM1531" s="42" t="str">
        <f ca="1"/>
        <v/>
      </c>
      <c r="VN1531" s="42" t="str">
        <f ca="1"/>
        <v/>
      </c>
      <c r="VO1531" s="42" t="str">
        <f ca="1"/>
        <v/>
      </c>
      <c r="VP1531" s="42" t="str">
        <f ca="1"/>
        <v/>
      </c>
      <c r="VQ1531" s="42" t="str">
        <f ca="1"/>
        <v/>
      </c>
      <c r="VR1531" s="42" t="str">
        <f ca="1"/>
        <v/>
      </c>
      <c r="VS1531" s="42" t="str">
        <f ca="1"/>
        <v/>
      </c>
      <c r="VT1531" s="42" t="str">
        <f ca="1"/>
        <v/>
      </c>
      <c r="VU1531" s="42" t="str">
        <f ca="1"/>
        <v/>
      </c>
      <c r="VV1531" s="42" t="str">
        <f ca="1"/>
        <v/>
      </c>
      <c r="VW1531" s="42" t="str">
        <f ca="1"/>
        <v/>
      </c>
      <c r="VX1531" s="42" t="str">
        <f ca="1"/>
        <v/>
      </c>
      <c r="VY1531" s="42" t="str">
        <f ca="1"/>
        <v/>
      </c>
      <c r="VZ1531" s="42" t="str">
        <f ca="1"/>
        <v/>
      </c>
      <c r="WA1531" s="42" t="str">
        <f ca="1"/>
        <v/>
      </c>
      <c r="WB1531" s="42" t="str">
        <f ca="1"/>
        <v/>
      </c>
      <c r="WC1531" s="42" t="str">
        <f ca="1"/>
        <v/>
      </c>
      <c r="WD1531" s="42" t="str">
        <f ca="1"/>
        <v/>
      </c>
      <c r="WE1531" s="42" t="str">
        <f ca="1"/>
        <v/>
      </c>
      <c r="WF1531" s="42" t="str">
        <f ca="1"/>
        <v/>
      </c>
      <c r="WG1531" s="42" t="str">
        <f ca="1"/>
        <v/>
      </c>
      <c r="WH1531" s="42" t="str">
        <f ca="1"/>
        <v/>
      </c>
      <c r="WI1531" s="42" t="str">
        <f ca="1"/>
        <v/>
      </c>
      <c r="WJ1531" s="42" t="str">
        <f ca="1"/>
        <v/>
      </c>
      <c r="WK1531" s="42" t="str">
        <f ca="1"/>
        <v/>
      </c>
      <c r="WL1531" s="42" t="str">
        <f ca="1"/>
        <v/>
      </c>
      <c r="WM1531" s="42" t="str">
        <f ca="1"/>
        <v/>
      </c>
      <c r="WN1531" s="42" t="str">
        <f ca="1"/>
        <v/>
      </c>
      <c r="WO1531" s="42" t="str">
        <f ca="1"/>
        <v/>
      </c>
      <c r="WP1531" s="42" t="str">
        <f ca="1"/>
        <v/>
      </c>
      <c r="WQ1531" s="42" t="str">
        <f ca="1"/>
        <v/>
      </c>
      <c r="WR1531" s="42" t="str">
        <f ca="1"/>
        <v/>
      </c>
      <c r="WS1531" s="42" t="str">
        <f ca="1"/>
        <v/>
      </c>
      <c r="WT1531" s="42" t="str">
        <f ca="1"/>
        <v/>
      </c>
      <c r="WU1531" s="42" t="str">
        <f ca="1"/>
        <v/>
      </c>
      <c r="WV1531" s="42" t="str">
        <f ca="1"/>
        <v/>
      </c>
      <c r="WW1531" s="42" t="str">
        <f ca="1"/>
        <v/>
      </c>
      <c r="WX1531" s="42" t="str">
        <f ca="1"/>
        <v/>
      </c>
      <c r="WY1531" s="42" t="str">
        <f ca="1"/>
        <v/>
      </c>
      <c r="WZ1531" s="42" t="str">
        <f ca="1"/>
        <v/>
      </c>
      <c r="XA1531" s="42" t="str">
        <f ca="1"/>
        <v/>
      </c>
      <c r="XB1531" s="42" t="str">
        <f ca="1"/>
        <v/>
      </c>
      <c r="XC1531" s="42" t="str">
        <f ca="1"/>
        <v/>
      </c>
      <c r="XD1531" s="42" t="str">
        <f ca="1"/>
        <v/>
      </c>
      <c r="XE1531" s="42" t="str">
        <f ca="1"/>
        <v/>
      </c>
      <c r="XF1531" s="42" t="str">
        <f ca="1"/>
        <v/>
      </c>
      <c r="XG1531" s="42" t="str">
        <f ca="1"/>
        <v/>
      </c>
      <c r="XH1531" s="42" t="str">
        <f ca="1"/>
        <v/>
      </c>
      <c r="XI1531" s="42" t="str">
        <f ca="1"/>
        <v/>
      </c>
      <c r="XJ1531" s="42" t="str">
        <f ca="1"/>
        <v/>
      </c>
      <c r="XK1531" s="42" t="str">
        <f ca="1"/>
        <v/>
      </c>
      <c r="XL1531" s="42" t="str">
        <f ca="1"/>
        <v/>
      </c>
      <c r="XM1531" s="42" t="str">
        <f ca="1"/>
        <v/>
      </c>
      <c r="XN1531" s="42" t="str">
        <f ca="1"/>
        <v/>
      </c>
      <c r="XO1531" s="42" t="str">
        <f ca="1"/>
        <v/>
      </c>
      <c r="XP1531" s="42" t="str">
        <f ca="1"/>
        <v/>
      </c>
      <c r="XQ1531" s="42" t="str">
        <f ca="1"/>
        <v/>
      </c>
      <c r="XR1531" s="42" t="str">
        <f ca="1"/>
        <v/>
      </c>
      <c r="XS1531" s="42" t="str">
        <f ca="1"/>
        <v/>
      </c>
      <c r="XT1531" s="42" t="str">
        <f ca="1"/>
        <v/>
      </c>
      <c r="XU1531" s="42" t="str">
        <f ca="1"/>
        <v/>
      </c>
      <c r="XV1531" s="42" t="str">
        <f ca="1"/>
        <v/>
      </c>
      <c r="XW1531" s="42" t="str">
        <f ca="1"/>
        <v/>
      </c>
      <c r="XX1531" s="42" t="str">
        <f ca="1"/>
        <v/>
      </c>
      <c r="XY1531" s="42" t="str">
        <f ca="1"/>
        <v/>
      </c>
      <c r="XZ1531" s="42" t="str">
        <f ca="1"/>
        <v/>
      </c>
      <c r="YA1531" s="42" t="str">
        <f ca="1"/>
        <v/>
      </c>
      <c r="YB1531" s="42" t="str">
        <f ca="1"/>
        <v/>
      </c>
      <c r="YC1531" s="42" t="str">
        <f ca="1"/>
        <v/>
      </c>
      <c r="YD1531" s="42" t="str">
        <f ca="1"/>
        <v/>
      </c>
      <c r="YE1531" s="42" t="str">
        <f ca="1"/>
        <v/>
      </c>
      <c r="YF1531" s="42" t="str">
        <f ca="1"/>
        <v/>
      </c>
      <c r="YG1531" s="42" t="str">
        <f ca="1"/>
        <v/>
      </c>
      <c r="YH1531" s="42" t="str">
        <f ca="1"/>
        <v/>
      </c>
      <c r="YI1531" s="42" t="str">
        <f ca="1"/>
        <v/>
      </c>
      <c r="YJ1531" s="42" t="str">
        <f ca="1"/>
        <v/>
      </c>
      <c r="YK1531" s="42" t="str">
        <f ca="1"/>
        <v/>
      </c>
      <c r="YL1531" s="42" t="str">
        <f ca="1"/>
        <v/>
      </c>
      <c r="YM1531" s="42" t="str">
        <f ca="1"/>
        <v/>
      </c>
      <c r="YN1531" s="42" t="str">
        <f ca="1"/>
        <v/>
      </c>
      <c r="YO1531" s="42" t="str">
        <f ca="1"/>
        <v/>
      </c>
      <c r="YP1531" s="42" t="str">
        <f ca="1"/>
        <v/>
      </c>
      <c r="YQ1531" s="42" t="str">
        <f ca="1"/>
        <v/>
      </c>
      <c r="YR1531" s="42" t="str">
        <f ca="1"/>
        <v/>
      </c>
      <c r="YS1531" s="42" t="str">
        <f ca="1"/>
        <v/>
      </c>
      <c r="YT1531" s="42" t="str">
        <f ca="1"/>
        <v/>
      </c>
      <c r="YU1531" s="42" t="str">
        <f ca="1"/>
        <v/>
      </c>
      <c r="YV1531" s="42" t="str">
        <f ca="1"/>
        <v/>
      </c>
      <c r="YW1531" s="42" t="str">
        <f ca="1"/>
        <v/>
      </c>
      <c r="YX1531" s="42" t="str">
        <f ca="1"/>
        <v/>
      </c>
      <c r="YY1531" s="42" t="str">
        <f ca="1"/>
        <v/>
      </c>
      <c r="YZ1531" s="42" t="str">
        <f ca="1"/>
        <v/>
      </c>
      <c r="ZA1531" s="42" t="str">
        <f ca="1"/>
        <v/>
      </c>
      <c r="ZB1531" s="42" t="str">
        <f ca="1"/>
        <v/>
      </c>
      <c r="ZC1531" s="42" t="str">
        <f ca="1"/>
        <v/>
      </c>
      <c r="ZD1531" s="42" t="str">
        <f ca="1"/>
        <v/>
      </c>
      <c r="ZE1531" s="42" t="str">
        <f ca="1"/>
        <v/>
      </c>
      <c r="ZF1531" s="42" t="str">
        <f ca="1"/>
        <v/>
      </c>
      <c r="ZG1531" s="42" t="str">
        <f ca="1"/>
        <v/>
      </c>
      <c r="ZH1531" s="42" t="str">
        <f ca="1"/>
        <v/>
      </c>
      <c r="ZI1531" s="42" t="str">
        <f ca="1"/>
        <v/>
      </c>
      <c r="ZJ1531" s="42" t="str">
        <f ca="1"/>
        <v/>
      </c>
      <c r="ZK1531" s="42" t="str">
        <f ca="1"/>
        <v/>
      </c>
      <c r="ZL1531" s="42" t="str">
        <f ca="1"/>
        <v/>
      </c>
      <c r="ZM1531" s="42" t="str">
        <f ca="1"/>
        <v/>
      </c>
      <c r="ZN1531" s="42" t="str">
        <f ca="1"/>
        <v/>
      </c>
      <c r="ZO1531" s="42" t="str">
        <f ca="1"/>
        <v/>
      </c>
      <c r="ZP1531" s="42" t="str">
        <f ca="1"/>
        <v/>
      </c>
      <c r="ZQ1531" s="42" t="str">
        <f ca="1"/>
        <v/>
      </c>
      <c r="ZR1531" s="42" t="str">
        <f ca="1"/>
        <v/>
      </c>
      <c r="ZS1531" s="42" t="str">
        <f ca="1"/>
        <v/>
      </c>
      <c r="ZT1531" s="42" t="str">
        <f ca="1"/>
        <v/>
      </c>
      <c r="ZU1531" s="42" t="str">
        <f ca="1"/>
        <v/>
      </c>
      <c r="ZV1531" s="42" t="str">
        <f ca="1"/>
        <v/>
      </c>
      <c r="ZW1531" s="42" t="str">
        <f ca="1"/>
        <v/>
      </c>
      <c r="ZX1531" s="42" t="str">
        <f ca="1"/>
        <v/>
      </c>
      <c r="ZY1531" s="42" t="str">
        <f ca="1"/>
        <v/>
      </c>
      <c r="ZZ1531" s="42" t="str">
        <f ca="1"/>
        <v/>
      </c>
      <c r="AAA1531" s="42" t="str">
        <f ca="1"/>
        <v/>
      </c>
      <c r="AAB1531" s="42" t="str">
        <f ca="1"/>
        <v/>
      </c>
      <c r="AAC1531" s="42" t="str">
        <f ca="1"/>
        <v/>
      </c>
      <c r="AAD1531" s="42" t="str">
        <f ca="1"/>
        <v/>
      </c>
      <c r="AAE1531" s="42" t="str">
        <f ca="1"/>
        <v/>
      </c>
      <c r="AAF1531" s="42" t="str">
        <f ca="1"/>
        <v/>
      </c>
      <c r="AAG1531" s="42" t="str">
        <f ca="1"/>
        <v/>
      </c>
      <c r="AAH1531" s="42" t="str">
        <f ca="1"/>
        <v/>
      </c>
      <c r="AAI1531" s="42" t="str">
        <f ca="1"/>
        <v/>
      </c>
      <c r="AAJ1531" s="42" t="str">
        <f ca="1"/>
        <v/>
      </c>
      <c r="AAK1531" s="42" t="str">
        <f ca="1"/>
        <v/>
      </c>
      <c r="AAL1531" s="42" t="str">
        <f ca="1"/>
        <v/>
      </c>
      <c r="AAM1531" s="42" t="str">
        <f ca="1"/>
        <v/>
      </c>
      <c r="AAN1531" s="42" t="str">
        <f ca="1"/>
        <v/>
      </c>
      <c r="AAO1531" s="42" t="str">
        <f ca="1"/>
        <v/>
      </c>
      <c r="AAP1531" s="42" t="str">
        <f ca="1"/>
        <v/>
      </c>
      <c r="AAQ1531" s="42" t="str">
        <f ca="1"/>
        <v/>
      </c>
      <c r="AAR1531" s="42" t="str">
        <f ca="1"/>
        <v/>
      </c>
      <c r="AAS1531" s="42" t="str">
        <f ca="1"/>
        <v/>
      </c>
      <c r="AAT1531" s="42" t="str">
        <f ca="1"/>
        <v/>
      </c>
      <c r="AAU1531" s="42" t="str">
        <f ca="1"/>
        <v/>
      </c>
      <c r="AAV1531" s="42" t="str">
        <f ca="1"/>
        <v/>
      </c>
      <c r="AAW1531" s="42" t="str">
        <f ca="1"/>
        <v/>
      </c>
      <c r="AAX1531" s="42" t="str">
        <f ca="1"/>
        <v/>
      </c>
      <c r="AAY1531" s="42" t="str">
        <f ca="1"/>
        <v/>
      </c>
      <c r="AAZ1531" s="42" t="str">
        <f ca="1"/>
        <v/>
      </c>
      <c r="ABA1531" s="42" t="str">
        <f ca="1"/>
        <v/>
      </c>
      <c r="ABB1531" s="42" t="str">
        <f ca="1"/>
        <v/>
      </c>
      <c r="ABC1531" s="42" t="str">
        <f ca="1"/>
        <v/>
      </c>
      <c r="ABD1531" s="42" t="str">
        <f ca="1"/>
        <v/>
      </c>
      <c r="ABE1531" s="42" t="str">
        <f ca="1"/>
        <v/>
      </c>
      <c r="ABF1531" s="42" t="str">
        <f ca="1"/>
        <v/>
      </c>
      <c r="ABG1531" s="42" t="str">
        <f ca="1"/>
        <v/>
      </c>
      <c r="ABH1531" s="42" t="str">
        <f ca="1"/>
        <v/>
      </c>
      <c r="ABI1531" s="42" t="str">
        <f ca="1"/>
        <v/>
      </c>
      <c r="ABJ1531" s="42" t="str">
        <f ca="1"/>
        <v/>
      </c>
      <c r="ABK1531" s="42" t="str">
        <f ca="1"/>
        <v/>
      </c>
      <c r="ABL1531" s="42" t="str">
        <f ca="1"/>
        <v/>
      </c>
      <c r="ABM1531" s="42" t="str">
        <f ca="1"/>
        <v/>
      </c>
      <c r="ABN1531" s="42" t="str">
        <f ca="1"/>
        <v/>
      </c>
      <c r="ABO1531" s="42" t="str">
        <f ca="1"/>
        <v/>
      </c>
      <c r="ABP1531" s="42" t="str">
        <f ca="1"/>
        <v/>
      </c>
      <c r="ABQ1531" s="42" t="str">
        <f ca="1"/>
        <v/>
      </c>
      <c r="ABR1531" s="42" t="str">
        <f ca="1"/>
        <v/>
      </c>
      <c r="ABS1531" s="42" t="str">
        <f ca="1"/>
        <v/>
      </c>
      <c r="ABT1531" s="42" t="str">
        <f ca="1"/>
        <v/>
      </c>
      <c r="ABU1531" s="42" t="str">
        <f ca="1"/>
        <v/>
      </c>
      <c r="ABV1531" s="42" t="str">
        <f ca="1"/>
        <v/>
      </c>
      <c r="ABW1531" s="42" t="str">
        <f ca="1"/>
        <v/>
      </c>
      <c r="ABX1531" s="42" t="str">
        <f ca="1"/>
        <v/>
      </c>
      <c r="ABY1531" s="42" t="str">
        <f ca="1"/>
        <v/>
      </c>
      <c r="ABZ1531" s="42" t="str">
        <f ca="1"/>
        <v/>
      </c>
      <c r="ACA1531" s="42" t="str">
        <f ca="1"/>
        <v/>
      </c>
      <c r="ACB1531" s="42" t="str">
        <f ca="1"/>
        <v/>
      </c>
      <c r="ACC1531" s="42" t="str">
        <f ca="1"/>
        <v/>
      </c>
      <c r="ACD1531" s="42" t="str">
        <f ca="1"/>
        <v/>
      </c>
      <c r="ACE1531" s="42" t="str">
        <f ca="1"/>
        <v/>
      </c>
      <c r="ACF1531" s="42" t="str">
        <f ca="1"/>
        <v/>
      </c>
      <c r="ACG1531" s="42" t="str">
        <f ca="1"/>
        <v/>
      </c>
      <c r="ACH1531" s="42" t="str">
        <f ca="1"/>
        <v/>
      </c>
      <c r="ACI1531" s="42" t="str">
        <f ca="1"/>
        <v/>
      </c>
      <c r="ACJ1531" s="42" t="str">
        <f ca="1"/>
        <v/>
      </c>
      <c r="ACK1531" s="42" t="str">
        <f ca="1"/>
        <v/>
      </c>
      <c r="ACL1531" s="42" t="str">
        <f ca="1"/>
        <v/>
      </c>
      <c r="ACM1531" s="42" t="str">
        <f ca="1"/>
        <v/>
      </c>
      <c r="ACN1531" s="42" t="str">
        <f ca="1"/>
        <v/>
      </c>
      <c r="ACO1531" s="42" t="str">
        <f ca="1"/>
        <v/>
      </c>
      <c r="ACP1531" s="42" t="str">
        <f ca="1"/>
        <v/>
      </c>
      <c r="ACQ1531" s="42" t="str">
        <f ca="1"/>
        <v/>
      </c>
      <c r="ACR1531" s="42" t="str">
        <f ca="1"/>
        <v/>
      </c>
      <c r="ACS1531" s="42" t="str">
        <f ca="1"/>
        <v/>
      </c>
      <c r="ACT1531" s="42" t="str">
        <f ca="1"/>
        <v/>
      </c>
      <c r="ACU1531" s="42" t="str">
        <f ca="1"/>
        <v/>
      </c>
      <c r="ACV1531" s="42" t="str">
        <f ca="1"/>
        <v/>
      </c>
      <c r="ACW1531" s="42" t="str">
        <f ca="1"/>
        <v/>
      </c>
      <c r="ACX1531" s="42" t="str">
        <f ca="1"/>
        <v/>
      </c>
      <c r="ACY1531" s="42" t="str">
        <f ca="1"/>
        <v/>
      </c>
      <c r="ACZ1531" s="42" t="str">
        <f ca="1"/>
        <v/>
      </c>
      <c r="ADA1531" s="42" t="str">
        <f ca="1"/>
        <v/>
      </c>
      <c r="ADB1531" s="42" t="str">
        <f ca="1"/>
        <v/>
      </c>
      <c r="ADC1531" s="42" t="str">
        <f ca="1"/>
        <v/>
      </c>
      <c r="ADD1531" s="42" t="str">
        <f ca="1"/>
        <v/>
      </c>
      <c r="ADE1531" s="42" t="str">
        <f ca="1"/>
        <v/>
      </c>
      <c r="ADF1531" s="42" t="str">
        <f ca="1"/>
        <v/>
      </c>
      <c r="ADG1531" s="42" t="str">
        <f ca="1"/>
        <v/>
      </c>
      <c r="ADH1531" s="42" t="str">
        <f ca="1"/>
        <v/>
      </c>
      <c r="ADI1531" s="42" t="str">
        <f ca="1"/>
        <v/>
      </c>
      <c r="ADJ1531" s="42" t="str">
        <f ca="1"/>
        <v/>
      </c>
      <c r="ADK1531" s="42" t="str">
        <f ca="1"/>
        <v/>
      </c>
      <c r="ADL1531" s="42" t="str">
        <f ca="1"/>
        <v/>
      </c>
      <c r="ADM1531" s="42" t="str">
        <f ca="1"/>
        <v/>
      </c>
      <c r="ADN1531" s="42" t="str">
        <f ca="1"/>
        <v/>
      </c>
      <c r="ADO1531" s="42" t="str">
        <f ca="1"/>
        <v/>
      </c>
      <c r="ADP1531" s="42" t="str">
        <f ca="1"/>
        <v/>
      </c>
      <c r="ADQ1531" s="42" t="str">
        <f ca="1"/>
        <v/>
      </c>
      <c r="ADR1531" s="42" t="str">
        <f ca="1"/>
        <v/>
      </c>
      <c r="ADS1531" s="42" t="str">
        <f ca="1"/>
        <v/>
      </c>
      <c r="ADT1531" s="42" t="str">
        <f ca="1"/>
        <v/>
      </c>
      <c r="ADU1531" s="42" t="str">
        <f ca="1"/>
        <v/>
      </c>
      <c r="ADV1531" s="42" t="str">
        <f ca="1"/>
        <v/>
      </c>
      <c r="ADW1531" s="42" t="str">
        <f ca="1"/>
        <v/>
      </c>
      <c r="ADX1531" s="42" t="str">
        <f ca="1"/>
        <v/>
      </c>
      <c r="ADY1531" s="42" t="str">
        <f ca="1"/>
        <v/>
      </c>
      <c r="ADZ1531" s="42" t="str">
        <f ca="1"/>
        <v/>
      </c>
      <c r="AEA1531" s="42" t="str">
        <f ca="1"/>
        <v/>
      </c>
      <c r="AEB1531" s="42" t="str">
        <f ca="1"/>
        <v/>
      </c>
      <c r="AEC1531" s="42" t="str">
        <f ca="1"/>
        <v/>
      </c>
      <c r="AED1531" s="42" t="str">
        <f ca="1"/>
        <v/>
      </c>
      <c r="AEE1531" s="42" t="str">
        <f ca="1"/>
        <v/>
      </c>
      <c r="AEF1531" s="42" t="str">
        <f ca="1"/>
        <v/>
      </c>
      <c r="AEG1531" s="42" t="str">
        <f ca="1"/>
        <v/>
      </c>
      <c r="AEH1531" s="42" t="str">
        <f ca="1"/>
        <v/>
      </c>
      <c r="AEI1531" s="42" t="str">
        <f ca="1"/>
        <v/>
      </c>
      <c r="AEJ1531" s="42" t="str">
        <f ca="1"/>
        <v/>
      </c>
      <c r="AEK1531" s="42" t="str">
        <f ca="1"/>
        <v/>
      </c>
      <c r="AEL1531" s="42" t="str">
        <f ca="1"/>
        <v/>
      </c>
      <c r="AEM1531" s="42" t="str">
        <f ca="1"/>
        <v/>
      </c>
      <c r="AEN1531" s="42" t="str">
        <f ca="1"/>
        <v/>
      </c>
      <c r="AEO1531" s="42" t="str">
        <f ca="1"/>
        <v/>
      </c>
      <c r="AEP1531" s="42" t="str">
        <f ca="1"/>
        <v/>
      </c>
      <c r="AEQ1531" s="42" t="str">
        <f ca="1"/>
        <v/>
      </c>
      <c r="AER1531" s="42" t="str">
        <f ca="1"/>
        <v/>
      </c>
      <c r="AES1531" s="42" t="str">
        <f ca="1"/>
        <v/>
      </c>
      <c r="AET1531" s="42" t="str">
        <f ca="1"/>
        <v/>
      </c>
      <c r="AEU1531" s="42" t="str">
        <f ca="1"/>
        <v/>
      </c>
      <c r="AEV1531" s="42" t="str">
        <f ca="1"/>
        <v/>
      </c>
      <c r="AEW1531" s="42" t="str">
        <f ca="1"/>
        <v/>
      </c>
      <c r="AEX1531" s="42" t="str">
        <f ca="1"/>
        <v/>
      </c>
      <c r="AEY1531" s="42" t="str">
        <f ca="1"/>
        <v/>
      </c>
      <c r="AEZ1531" s="42" t="str">
        <f ca="1"/>
        <v/>
      </c>
      <c r="AFA1531" s="42" t="str">
        <f ca="1"/>
        <v/>
      </c>
      <c r="AFB1531" s="42" t="str">
        <f ca="1"/>
        <v/>
      </c>
      <c r="AFC1531" s="42" t="str">
        <f ca="1"/>
        <v/>
      </c>
      <c r="AFD1531" s="42" t="str">
        <f ca="1"/>
        <v/>
      </c>
      <c r="AFE1531" s="42" t="str">
        <f ca="1"/>
        <v/>
      </c>
      <c r="AFF1531" s="42" t="str">
        <f ca="1"/>
        <v/>
      </c>
      <c r="AFG1531" s="42" t="str">
        <f ca="1"/>
        <v/>
      </c>
      <c r="AFH1531" s="42" t="str">
        <f ca="1"/>
        <v/>
      </c>
      <c r="AFI1531" s="42" t="str">
        <f ca="1"/>
        <v/>
      </c>
      <c r="AFJ1531" s="42" t="str">
        <f ca="1"/>
        <v/>
      </c>
      <c r="AFK1531" s="42" t="str">
        <f ca="1"/>
        <v/>
      </c>
      <c r="AFL1531" s="42" t="str">
        <f ca="1"/>
        <v/>
      </c>
      <c r="AFM1531" s="42" t="str">
        <f ca="1"/>
        <v/>
      </c>
      <c r="AFN1531" s="42" t="str">
        <f ca="1"/>
        <v/>
      </c>
      <c r="AFO1531" s="42" t="str">
        <f ca="1"/>
        <v/>
      </c>
      <c r="AFP1531" s="42" t="str">
        <f ca="1"/>
        <v/>
      </c>
      <c r="AFQ1531" s="42" t="str">
        <f ca="1"/>
        <v/>
      </c>
      <c r="AFR1531" s="42" t="str">
        <f ca="1"/>
        <v/>
      </c>
      <c r="AFS1531" s="42" t="str">
        <f ca="1"/>
        <v/>
      </c>
      <c r="AFT1531" s="42" t="str">
        <f ca="1"/>
        <v/>
      </c>
      <c r="AFU1531" s="42" t="str">
        <f ca="1"/>
        <v/>
      </c>
      <c r="AFV1531" s="42" t="str">
        <f ca="1"/>
        <v/>
      </c>
      <c r="AFW1531" s="42" t="str">
        <f ca="1"/>
        <v/>
      </c>
      <c r="AFX1531" s="42" t="str">
        <f ca="1"/>
        <v/>
      </c>
      <c r="AFY1531" s="42" t="str">
        <f ca="1"/>
        <v/>
      </c>
      <c r="AFZ1531" s="42" t="str">
        <f ca="1"/>
        <v/>
      </c>
      <c r="AGA1531" s="42" t="str">
        <f ca="1"/>
        <v/>
      </c>
      <c r="AGB1531" s="42" t="str">
        <f ca="1"/>
        <v/>
      </c>
      <c r="AGC1531" s="42" t="str">
        <f ca="1"/>
        <v/>
      </c>
      <c r="AGD1531" s="42" t="str">
        <f ca="1"/>
        <v/>
      </c>
      <c r="AGE1531" s="42" t="str">
        <f ca="1"/>
        <v/>
      </c>
      <c r="AGF1531" s="42" t="str">
        <f ca="1"/>
        <v/>
      </c>
      <c r="AGG1531" s="42" t="str">
        <f ca="1"/>
        <v/>
      </c>
      <c r="AGH1531" s="42" t="str">
        <f ca="1"/>
        <v/>
      </c>
      <c r="AGI1531" s="42" t="str">
        <f ca="1"/>
        <v/>
      </c>
      <c r="AGJ1531" s="42" t="str">
        <f ca="1"/>
        <v/>
      </c>
      <c r="AGK1531" s="42" t="str">
        <f ca="1"/>
        <v/>
      </c>
      <c r="AGL1531" s="42" t="str">
        <f ca="1"/>
        <v/>
      </c>
      <c r="AGM1531" s="42" t="str">
        <f ca="1"/>
        <v/>
      </c>
      <c r="AGN1531" s="42" t="str">
        <f ca="1"/>
        <v/>
      </c>
    </row>
    <row r="1532" spans="15:872" x14ac:dyDescent="0.25">
      <c r="O1532" s="42">
        <v>19</v>
      </c>
      <c r="P1532" s="42" t="str">
        <f ca="1"/>
        <v/>
      </c>
      <c r="Q1532" s="42" t="str">
        <f ca="1"/>
        <v/>
      </c>
      <c r="R1532" s="42" t="str">
        <f ca="1"/>
        <v/>
      </c>
      <c r="S1532" s="42" t="str">
        <f ca="1"/>
        <v/>
      </c>
      <c r="T1532" s="42" t="str">
        <f ca="1"/>
        <v/>
      </c>
      <c r="U1532" s="42" t="str">
        <f ca="1"/>
        <v/>
      </c>
      <c r="V1532" s="42" t="str">
        <f ca="1"/>
        <v/>
      </c>
      <c r="W1532" s="42" t="str">
        <f ca="1"/>
        <v/>
      </c>
      <c r="X1532" s="42" t="str">
        <f ca="1"/>
        <v/>
      </c>
      <c r="Y1532" s="42" t="str">
        <f ca="1"/>
        <v/>
      </c>
      <c r="Z1532" s="42" t="str">
        <f ca="1"/>
        <v/>
      </c>
      <c r="AA1532" s="42" t="str">
        <f ca="1"/>
        <v/>
      </c>
      <c r="AB1532" s="42" t="str">
        <f ca="1"/>
        <v/>
      </c>
      <c r="AC1532" s="42" t="str">
        <f ca="1"/>
        <v/>
      </c>
      <c r="AD1532" s="42" t="str">
        <f ca="1"/>
        <v/>
      </c>
      <c r="AE1532" s="42" t="str">
        <f ca="1"/>
        <v/>
      </c>
      <c r="AF1532" s="42" t="str">
        <f ca="1"/>
        <v/>
      </c>
      <c r="AG1532" s="42" t="str">
        <f ca="1"/>
        <v/>
      </c>
      <c r="AH1532" s="42" t="str">
        <f ca="1"/>
        <v/>
      </c>
      <c r="AI1532" s="42" t="str">
        <f ca="1"/>
        <v/>
      </c>
      <c r="AJ1532" s="42" t="str">
        <f ca="1"/>
        <v/>
      </c>
      <c r="AK1532" s="42" t="str">
        <f ca="1"/>
        <v/>
      </c>
      <c r="AL1532" s="42" t="str">
        <f ca="1"/>
        <v/>
      </c>
      <c r="AM1532" s="42" t="str">
        <f ca="1"/>
        <v/>
      </c>
      <c r="AN1532" s="42" t="str">
        <f ca="1"/>
        <v/>
      </c>
      <c r="AO1532" s="42" t="str">
        <f ca="1"/>
        <v/>
      </c>
      <c r="AP1532" s="42" t="str">
        <f ca="1"/>
        <v/>
      </c>
      <c r="AQ1532" s="42" t="str">
        <f ca="1"/>
        <v/>
      </c>
      <c r="AR1532" s="42" t="str">
        <f ca="1"/>
        <v/>
      </c>
      <c r="AS1532" s="42" t="str">
        <f ca="1"/>
        <v/>
      </c>
      <c r="AT1532" s="42" t="str">
        <f ca="1"/>
        <v/>
      </c>
      <c r="AU1532" s="42" t="str">
        <f ca="1"/>
        <v/>
      </c>
      <c r="AV1532" s="42" t="str">
        <f ca="1"/>
        <v/>
      </c>
      <c r="AW1532" s="42" t="str">
        <f ca="1"/>
        <v/>
      </c>
      <c r="AX1532" s="42" t="str">
        <f ca="1"/>
        <v/>
      </c>
      <c r="AY1532" s="42" t="str">
        <f ca="1"/>
        <v/>
      </c>
      <c r="AZ1532" s="42" t="str">
        <f ca="1"/>
        <v/>
      </c>
      <c r="BA1532" s="42" t="str">
        <f ca="1"/>
        <v/>
      </c>
      <c r="BB1532" s="42" t="str">
        <f ca="1"/>
        <v/>
      </c>
      <c r="BC1532" s="42" t="str">
        <f ca="1"/>
        <v/>
      </c>
      <c r="BD1532" s="42" t="str">
        <f ca="1"/>
        <v/>
      </c>
      <c r="BE1532" s="42" t="str">
        <f ca="1"/>
        <v/>
      </c>
      <c r="BF1532" s="42" t="str">
        <f ca="1"/>
        <v/>
      </c>
      <c r="BG1532" s="42" t="str">
        <f ca="1"/>
        <v/>
      </c>
      <c r="BH1532" s="42" t="str">
        <f ca="1"/>
        <v/>
      </c>
      <c r="BI1532" s="42" t="str">
        <f ca="1"/>
        <v/>
      </c>
      <c r="BJ1532" s="42" t="str">
        <f ca="1"/>
        <v/>
      </c>
      <c r="BK1532" s="42" t="str">
        <f ca="1"/>
        <v/>
      </c>
      <c r="BL1532" s="42" t="str">
        <f ca="1"/>
        <v/>
      </c>
      <c r="BM1532" s="42" t="str">
        <f ca="1"/>
        <v/>
      </c>
      <c r="BN1532" s="42" t="str">
        <f ca="1"/>
        <v/>
      </c>
      <c r="BO1532" s="42" t="str">
        <f ca="1"/>
        <v/>
      </c>
      <c r="BP1532" s="42" t="str">
        <f ca="1"/>
        <v/>
      </c>
      <c r="BQ1532" s="42" t="str">
        <f ca="1"/>
        <v/>
      </c>
      <c r="BR1532" s="42" t="str">
        <f ca="1"/>
        <v/>
      </c>
      <c r="BS1532" s="42" t="str">
        <f ca="1"/>
        <v/>
      </c>
      <c r="BT1532" s="42" t="str">
        <f ca="1"/>
        <v/>
      </c>
      <c r="BU1532" s="42" t="str">
        <f ca="1"/>
        <v/>
      </c>
      <c r="BV1532" s="42" t="str">
        <f ca="1"/>
        <v/>
      </c>
      <c r="BW1532" s="42" t="str">
        <f ca="1"/>
        <v/>
      </c>
      <c r="BX1532" s="42" t="str">
        <f ca="1"/>
        <v/>
      </c>
      <c r="BY1532" s="42" t="str">
        <f ca="1"/>
        <v/>
      </c>
      <c r="BZ1532" s="42" t="str">
        <f ca="1"/>
        <v/>
      </c>
      <c r="CA1532" s="42" t="str">
        <f ca="1"/>
        <v/>
      </c>
      <c r="CB1532" s="42" t="str">
        <f ca="1"/>
        <v/>
      </c>
      <c r="CC1532" s="42" t="str">
        <f ca="1"/>
        <v/>
      </c>
      <c r="CD1532" s="42" t="str">
        <f ca="1"/>
        <v/>
      </c>
      <c r="CE1532" s="42" t="str">
        <f ca="1"/>
        <v/>
      </c>
      <c r="CF1532" s="42" t="str">
        <f ca="1"/>
        <v/>
      </c>
      <c r="CG1532" s="42" t="str">
        <f ca="1"/>
        <v/>
      </c>
      <c r="CH1532" s="42" t="str">
        <f ca="1"/>
        <v/>
      </c>
      <c r="CI1532" s="42" t="str">
        <f ca="1"/>
        <v/>
      </c>
      <c r="CJ1532" s="42" t="str">
        <f ca="1"/>
        <v/>
      </c>
      <c r="CK1532" s="42" t="str">
        <f ca="1"/>
        <v/>
      </c>
      <c r="CL1532" s="42" t="str">
        <f ca="1"/>
        <v/>
      </c>
      <c r="CM1532" s="42" t="str">
        <f ca="1"/>
        <v/>
      </c>
      <c r="CN1532" s="42" t="str">
        <f ca="1"/>
        <v/>
      </c>
      <c r="CO1532" s="42" t="str">
        <f ca="1"/>
        <v/>
      </c>
      <c r="CP1532" s="42" t="str">
        <f ca="1"/>
        <v/>
      </c>
      <c r="CQ1532" s="42" t="str">
        <f ca="1"/>
        <v/>
      </c>
      <c r="CR1532" s="42" t="str">
        <f ca="1"/>
        <v/>
      </c>
      <c r="CS1532" s="42" t="str">
        <f ca="1"/>
        <v/>
      </c>
      <c r="CT1532" s="42" t="str">
        <f ca="1"/>
        <v/>
      </c>
      <c r="CU1532" s="42" t="str">
        <f ca="1"/>
        <v/>
      </c>
      <c r="CV1532" s="42" t="str">
        <f ca="1"/>
        <v/>
      </c>
      <c r="CW1532" s="42" t="str">
        <f ca="1"/>
        <v/>
      </c>
      <c r="CX1532" s="42" t="str">
        <f ca="1"/>
        <v/>
      </c>
      <c r="CY1532" s="42" t="str">
        <f ca="1"/>
        <v/>
      </c>
      <c r="CZ1532" s="42" t="str">
        <f ca="1"/>
        <v/>
      </c>
      <c r="DA1532" s="42" t="str">
        <f ca="1"/>
        <v/>
      </c>
      <c r="DB1532" s="42" t="str">
        <f ca="1"/>
        <v/>
      </c>
      <c r="DC1532" s="42" t="str">
        <f ca="1"/>
        <v/>
      </c>
      <c r="DD1532" s="42" t="str">
        <f ca="1"/>
        <v/>
      </c>
      <c r="DE1532" s="42" t="str">
        <f ca="1"/>
        <v/>
      </c>
      <c r="DF1532" s="42" t="str">
        <f ca="1"/>
        <v/>
      </c>
      <c r="DG1532" s="42" t="str">
        <f ca="1"/>
        <v/>
      </c>
      <c r="DH1532" s="42" t="str">
        <f ca="1"/>
        <v/>
      </c>
      <c r="DI1532" s="42" t="str">
        <f ca="1"/>
        <v/>
      </c>
      <c r="DJ1532" s="42" t="str">
        <f ca="1"/>
        <v/>
      </c>
      <c r="DK1532" s="42" t="str">
        <f ca="1"/>
        <v/>
      </c>
      <c r="DL1532" s="42" t="str">
        <f ca="1"/>
        <v/>
      </c>
      <c r="DM1532" s="42" t="str">
        <f ca="1"/>
        <v/>
      </c>
      <c r="DN1532" s="42" t="str">
        <f ca="1"/>
        <v/>
      </c>
      <c r="DO1532" s="42" t="str">
        <f ca="1"/>
        <v/>
      </c>
      <c r="DP1532" s="42" t="str">
        <f ca="1"/>
        <v/>
      </c>
      <c r="DQ1532" s="42" t="str">
        <f ca="1"/>
        <v/>
      </c>
      <c r="DR1532" s="42" t="str">
        <f ca="1"/>
        <v/>
      </c>
      <c r="DS1532" s="42" t="str">
        <f ca="1"/>
        <v/>
      </c>
      <c r="DT1532" s="42" t="str">
        <f ca="1"/>
        <v/>
      </c>
      <c r="DU1532" s="42" t="str">
        <f ca="1"/>
        <v/>
      </c>
      <c r="DV1532" s="42" t="str">
        <f ca="1"/>
        <v/>
      </c>
      <c r="DW1532" s="42" t="str">
        <f ca="1"/>
        <v/>
      </c>
      <c r="DX1532" s="42" t="str">
        <f ca="1"/>
        <v/>
      </c>
      <c r="DY1532" s="42" t="str">
        <f ca="1"/>
        <v/>
      </c>
      <c r="DZ1532" s="42" t="str">
        <f ca="1"/>
        <v/>
      </c>
      <c r="EA1532" s="42" t="str">
        <f ca="1"/>
        <v/>
      </c>
      <c r="EB1532" s="42" t="str">
        <f ca="1"/>
        <v/>
      </c>
      <c r="EC1532" s="42" t="str">
        <f ca="1"/>
        <v/>
      </c>
      <c r="ED1532" s="42" t="str">
        <f ca="1"/>
        <v/>
      </c>
      <c r="EE1532" s="42" t="str">
        <f ca="1"/>
        <v/>
      </c>
      <c r="EF1532" s="42" t="str">
        <f ca="1"/>
        <v/>
      </c>
      <c r="EG1532" s="42" t="str">
        <f ca="1"/>
        <v/>
      </c>
      <c r="EH1532" s="42" t="str">
        <f ca="1"/>
        <v/>
      </c>
      <c r="EI1532" s="42" t="str">
        <f ca="1"/>
        <v/>
      </c>
      <c r="EJ1532" s="42" t="str">
        <f ca="1"/>
        <v/>
      </c>
      <c r="EK1532" s="42" t="str">
        <f ca="1"/>
        <v/>
      </c>
      <c r="EL1532" s="42" t="str">
        <f ca="1"/>
        <v/>
      </c>
      <c r="EM1532" s="42" t="str">
        <f ca="1"/>
        <v/>
      </c>
      <c r="EN1532" s="42" t="str">
        <f ca="1"/>
        <v/>
      </c>
      <c r="EO1532" s="42" t="str">
        <f ca="1"/>
        <v/>
      </c>
      <c r="EP1532" s="42" t="str">
        <f ca="1"/>
        <v/>
      </c>
      <c r="EQ1532" s="42" t="str">
        <f ca="1"/>
        <v/>
      </c>
      <c r="ER1532" s="42" t="str">
        <f ca="1"/>
        <v/>
      </c>
      <c r="ES1532" s="42" t="str">
        <f ca="1"/>
        <v/>
      </c>
      <c r="ET1532" s="42" t="str">
        <f ca="1"/>
        <v/>
      </c>
      <c r="EU1532" s="42" t="str">
        <f ca="1"/>
        <v/>
      </c>
      <c r="EV1532" s="42" t="str">
        <f ca="1"/>
        <v/>
      </c>
      <c r="EW1532" s="42" t="str">
        <f ca="1"/>
        <v/>
      </c>
      <c r="EX1532" s="42" t="str">
        <f ca="1"/>
        <v/>
      </c>
      <c r="EY1532" s="42" t="str">
        <f ca="1"/>
        <v/>
      </c>
      <c r="EZ1532" s="42" t="str">
        <f ca="1"/>
        <v/>
      </c>
      <c r="FA1532" s="42" t="str">
        <f ca="1"/>
        <v/>
      </c>
      <c r="FB1532" s="42" t="str">
        <f ca="1"/>
        <v/>
      </c>
      <c r="FC1532" s="42" t="str">
        <f ca="1"/>
        <v/>
      </c>
      <c r="FD1532" s="42" t="str">
        <f ca="1"/>
        <v/>
      </c>
      <c r="FE1532" s="42" t="str">
        <f ca="1"/>
        <v/>
      </c>
      <c r="FF1532" s="42" t="str">
        <f ca="1"/>
        <v/>
      </c>
      <c r="FG1532" s="42" t="str">
        <f ca="1"/>
        <v/>
      </c>
      <c r="FH1532" s="42" t="str">
        <f ca="1"/>
        <v/>
      </c>
      <c r="FI1532" s="42" t="str">
        <f ca="1"/>
        <v/>
      </c>
      <c r="FJ1532" s="42" t="str">
        <f ca="1"/>
        <v/>
      </c>
      <c r="FK1532" s="42" t="str">
        <f ca="1"/>
        <v/>
      </c>
      <c r="FL1532" s="42" t="str">
        <f ca="1"/>
        <v/>
      </c>
      <c r="FM1532" s="42" t="str">
        <f ca="1"/>
        <v/>
      </c>
      <c r="FN1532" s="42" t="str">
        <f ca="1"/>
        <v/>
      </c>
      <c r="FO1532" s="42" t="str">
        <f ca="1"/>
        <v/>
      </c>
      <c r="FP1532" s="42" t="str">
        <f ca="1"/>
        <v/>
      </c>
      <c r="FQ1532" s="42" t="str">
        <f ca="1"/>
        <v/>
      </c>
      <c r="FR1532" s="42" t="str">
        <f ca="1"/>
        <v/>
      </c>
      <c r="FS1532" s="42" t="str">
        <f ca="1"/>
        <v/>
      </c>
      <c r="FT1532" s="42" t="str">
        <f ca="1"/>
        <v/>
      </c>
      <c r="FU1532" s="42" t="str">
        <f ca="1"/>
        <v/>
      </c>
      <c r="FV1532" s="42" t="str">
        <f ca="1"/>
        <v/>
      </c>
      <c r="FW1532" s="42" t="str">
        <f ca="1"/>
        <v/>
      </c>
      <c r="FX1532" s="42" t="str">
        <f ca="1"/>
        <v/>
      </c>
      <c r="FY1532" s="42" t="str">
        <f ca="1"/>
        <v/>
      </c>
      <c r="FZ1532" s="42" t="str">
        <f ca="1"/>
        <v/>
      </c>
      <c r="GA1532" s="42" t="str">
        <f ca="1"/>
        <v/>
      </c>
      <c r="GB1532" s="42" t="str">
        <f ca="1"/>
        <v/>
      </c>
      <c r="GC1532" s="42" t="str">
        <f ca="1"/>
        <v/>
      </c>
      <c r="GD1532" s="42" t="str">
        <f ca="1"/>
        <v/>
      </c>
      <c r="GE1532" s="42" t="str">
        <f ca="1"/>
        <v/>
      </c>
      <c r="GF1532" s="42" t="str">
        <f ca="1"/>
        <v/>
      </c>
      <c r="GG1532" s="42" t="str">
        <f ca="1"/>
        <v/>
      </c>
      <c r="GH1532" s="42" t="str">
        <f ca="1"/>
        <v/>
      </c>
      <c r="GI1532" s="42" t="str">
        <f ca="1"/>
        <v/>
      </c>
      <c r="GJ1532" s="42" t="str">
        <f ca="1"/>
        <v/>
      </c>
      <c r="GK1532" s="42" t="str">
        <f ca="1"/>
        <v/>
      </c>
      <c r="GL1532" s="42" t="str">
        <f ca="1"/>
        <v/>
      </c>
      <c r="GM1532" s="42" t="str">
        <f ca="1"/>
        <v/>
      </c>
      <c r="GN1532" s="42" t="str">
        <f ca="1"/>
        <v/>
      </c>
      <c r="GO1532" s="42" t="str">
        <f ca="1"/>
        <v/>
      </c>
      <c r="GP1532" s="42" t="str">
        <f ca="1"/>
        <v/>
      </c>
      <c r="GQ1532" s="42" t="str">
        <f ca="1"/>
        <v/>
      </c>
      <c r="GR1532" s="42" t="str">
        <f ca="1"/>
        <v/>
      </c>
      <c r="GS1532" s="42" t="str">
        <f ca="1"/>
        <v/>
      </c>
      <c r="GT1532" s="42" t="str">
        <f ca="1"/>
        <v/>
      </c>
      <c r="GU1532" s="42" t="str">
        <f ca="1"/>
        <v/>
      </c>
      <c r="GV1532" s="42" t="str">
        <f ca="1"/>
        <v/>
      </c>
      <c r="GW1532" s="42" t="str">
        <f ca="1"/>
        <v/>
      </c>
      <c r="GX1532" s="42" t="str">
        <f ca="1"/>
        <v/>
      </c>
      <c r="GY1532" s="42" t="str">
        <f ca="1"/>
        <v/>
      </c>
      <c r="GZ1532" s="42" t="str">
        <f ca="1"/>
        <v/>
      </c>
      <c r="HA1532" s="42" t="str">
        <f ca="1"/>
        <v/>
      </c>
      <c r="HB1532" s="42" t="str">
        <f ca="1"/>
        <v/>
      </c>
      <c r="HC1532" s="42" t="str">
        <f ca="1"/>
        <v/>
      </c>
      <c r="HD1532" s="42" t="str">
        <f ca="1"/>
        <v/>
      </c>
      <c r="HE1532" s="42" t="str">
        <f ca="1"/>
        <v/>
      </c>
      <c r="HF1532" s="42" t="str">
        <f ca="1"/>
        <v/>
      </c>
      <c r="HG1532" s="42" t="str">
        <f ca="1"/>
        <v/>
      </c>
      <c r="HH1532" s="42" t="str">
        <f ca="1"/>
        <v/>
      </c>
      <c r="HI1532" s="42" t="str">
        <f ca="1"/>
        <v/>
      </c>
      <c r="HJ1532" s="42" t="str">
        <f ca="1"/>
        <v/>
      </c>
      <c r="HK1532" s="42" t="str">
        <f ca="1"/>
        <v/>
      </c>
      <c r="HL1532" s="42" t="str">
        <f ca="1"/>
        <v/>
      </c>
      <c r="HM1532" s="42" t="str">
        <f ca="1"/>
        <v/>
      </c>
      <c r="HN1532" s="42" t="str">
        <f ca="1"/>
        <v/>
      </c>
      <c r="HO1532" s="42" t="str">
        <f ca="1"/>
        <v/>
      </c>
      <c r="HP1532" s="42" t="str">
        <f ca="1"/>
        <v/>
      </c>
      <c r="HQ1532" s="42" t="str">
        <f ca="1"/>
        <v/>
      </c>
      <c r="HR1532" s="42" t="str">
        <f ca="1"/>
        <v/>
      </c>
      <c r="HS1532" s="42" t="str">
        <f ca="1"/>
        <v/>
      </c>
      <c r="HT1532" s="42" t="str">
        <f ca="1"/>
        <v/>
      </c>
      <c r="HU1532" s="42" t="str">
        <f ca="1"/>
        <v/>
      </c>
      <c r="HV1532" s="42" t="str">
        <f ca="1"/>
        <v/>
      </c>
      <c r="HW1532" s="42" t="str">
        <f ca="1"/>
        <v/>
      </c>
      <c r="HX1532" s="42" t="str">
        <f ca="1"/>
        <v/>
      </c>
      <c r="HY1532" s="42" t="str">
        <f ca="1"/>
        <v/>
      </c>
      <c r="HZ1532" s="42" t="str">
        <f ca="1"/>
        <v/>
      </c>
      <c r="IA1532" s="42" t="str">
        <f ca="1"/>
        <v/>
      </c>
      <c r="IB1532" s="42" t="str">
        <f ca="1"/>
        <v/>
      </c>
      <c r="IC1532" s="42" t="str">
        <f ca="1"/>
        <v/>
      </c>
      <c r="ID1532" s="42" t="str">
        <f ca="1"/>
        <v/>
      </c>
      <c r="IE1532" s="42" t="str">
        <f ca="1"/>
        <v/>
      </c>
      <c r="IF1532" s="42" t="str">
        <f ca="1"/>
        <v/>
      </c>
      <c r="IG1532" s="42" t="str">
        <f ca="1"/>
        <v/>
      </c>
      <c r="IH1532" s="42" t="str">
        <f ca="1"/>
        <v/>
      </c>
      <c r="II1532" s="42" t="str">
        <f ca="1"/>
        <v/>
      </c>
      <c r="IJ1532" s="42" t="str">
        <f ca="1"/>
        <v/>
      </c>
      <c r="IK1532" s="42" t="str">
        <f ca="1"/>
        <v/>
      </c>
      <c r="IL1532" s="42" t="str">
        <f ca="1"/>
        <v/>
      </c>
      <c r="IM1532" s="42" t="str">
        <f ca="1"/>
        <v/>
      </c>
      <c r="IN1532" s="42" t="str">
        <f ca="1"/>
        <v/>
      </c>
      <c r="IO1532" s="42" t="str">
        <f ca="1"/>
        <v/>
      </c>
      <c r="IP1532" s="42" t="str">
        <f ca="1"/>
        <v/>
      </c>
      <c r="IQ1532" s="42" t="str">
        <f ca="1"/>
        <v/>
      </c>
      <c r="IR1532" s="42" t="str">
        <f ca="1"/>
        <v/>
      </c>
      <c r="IS1532" s="42" t="str">
        <f ca="1"/>
        <v/>
      </c>
      <c r="IT1532" s="42" t="str">
        <f ca="1"/>
        <v/>
      </c>
      <c r="IU1532" s="42" t="str">
        <f ca="1"/>
        <v/>
      </c>
      <c r="IV1532" s="42" t="str">
        <f ca="1"/>
        <v/>
      </c>
      <c r="IW1532" s="42" t="str">
        <f ca="1"/>
        <v/>
      </c>
      <c r="IX1532" s="42" t="str">
        <f ca="1"/>
        <v/>
      </c>
      <c r="IY1532" s="42" t="str">
        <f ca="1"/>
        <v/>
      </c>
      <c r="IZ1532" s="42" t="str">
        <f ca="1"/>
        <v/>
      </c>
      <c r="JA1532" s="42" t="str">
        <f ca="1"/>
        <v/>
      </c>
      <c r="JB1532" s="42" t="str">
        <f ca="1"/>
        <v/>
      </c>
      <c r="JC1532" s="42" t="str">
        <f ca="1"/>
        <v/>
      </c>
      <c r="JD1532" s="42" t="str">
        <f ca="1"/>
        <v/>
      </c>
      <c r="JE1532" s="42" t="str">
        <f ca="1"/>
        <v/>
      </c>
      <c r="JF1532" s="42" t="str">
        <f ca="1"/>
        <v/>
      </c>
      <c r="JG1532" s="42" t="str">
        <f ca="1"/>
        <v/>
      </c>
      <c r="JH1532" s="42" t="str">
        <f ca="1"/>
        <v/>
      </c>
      <c r="JI1532" s="42" t="str">
        <f ca="1"/>
        <v/>
      </c>
      <c r="JJ1532" s="42" t="str">
        <f ca="1"/>
        <v/>
      </c>
      <c r="JK1532" s="42" t="str">
        <f ca="1"/>
        <v/>
      </c>
      <c r="JL1532" s="42" t="str">
        <f ca="1"/>
        <v/>
      </c>
      <c r="JM1532" s="42" t="str">
        <f ca="1"/>
        <v/>
      </c>
      <c r="JN1532" s="42" t="str">
        <f ca="1"/>
        <v/>
      </c>
      <c r="JO1532" s="42" t="str">
        <f ca="1"/>
        <v/>
      </c>
      <c r="JP1532" s="42" t="str">
        <f ca="1"/>
        <v/>
      </c>
      <c r="JQ1532" s="42" t="str">
        <f ca="1"/>
        <v/>
      </c>
      <c r="JR1532" s="42" t="str">
        <f ca="1"/>
        <v/>
      </c>
      <c r="JS1532" s="42" t="str">
        <f ca="1"/>
        <v/>
      </c>
      <c r="JT1532" s="42" t="str">
        <f ca="1"/>
        <v/>
      </c>
      <c r="JU1532" s="42" t="str">
        <f ca="1"/>
        <v/>
      </c>
      <c r="JV1532" s="42" t="str">
        <f ca="1"/>
        <v/>
      </c>
      <c r="JW1532" s="42" t="str">
        <f ca="1"/>
        <v/>
      </c>
      <c r="JX1532" s="42" t="str">
        <f ca="1"/>
        <v/>
      </c>
      <c r="JY1532" s="42" t="str">
        <f ca="1"/>
        <v/>
      </c>
      <c r="JZ1532" s="42" t="str">
        <f ca="1"/>
        <v/>
      </c>
      <c r="KA1532" s="42" t="str">
        <f ca="1"/>
        <v/>
      </c>
      <c r="KB1532" s="42" t="str">
        <f ca="1"/>
        <v/>
      </c>
      <c r="KC1532" s="42" t="str">
        <f ca="1"/>
        <v/>
      </c>
      <c r="KD1532" s="42" t="str">
        <f ca="1"/>
        <v/>
      </c>
      <c r="KE1532" s="42" t="str">
        <f ca="1"/>
        <v/>
      </c>
      <c r="KF1532" s="42" t="str">
        <f ca="1"/>
        <v/>
      </c>
      <c r="KG1532" s="42" t="str">
        <f ca="1"/>
        <v/>
      </c>
      <c r="KH1532" s="42" t="str">
        <f ca="1"/>
        <v/>
      </c>
      <c r="KI1532" s="42" t="str">
        <f ca="1"/>
        <v/>
      </c>
      <c r="KJ1532" s="42" t="str">
        <f ca="1"/>
        <v/>
      </c>
      <c r="KK1532" s="42" t="str">
        <f ca="1"/>
        <v/>
      </c>
      <c r="KL1532" s="42" t="str">
        <f ca="1"/>
        <v/>
      </c>
      <c r="KM1532" s="42" t="str">
        <f ca="1"/>
        <v/>
      </c>
      <c r="KN1532" s="42" t="str">
        <f ca="1"/>
        <v/>
      </c>
      <c r="KO1532" s="42" t="str">
        <f ca="1"/>
        <v/>
      </c>
      <c r="KP1532" s="42" t="str">
        <f ca="1"/>
        <v/>
      </c>
      <c r="KQ1532" s="42" t="str">
        <f ca="1"/>
        <v/>
      </c>
      <c r="KR1532" s="42" t="str">
        <f ca="1"/>
        <v/>
      </c>
      <c r="KS1532" s="42" t="str">
        <f ca="1"/>
        <v/>
      </c>
      <c r="KT1532" s="42" t="str">
        <f ca="1"/>
        <v/>
      </c>
      <c r="KU1532" s="42" t="str">
        <f ca="1"/>
        <v/>
      </c>
      <c r="KV1532" s="42" t="str">
        <f ca="1"/>
        <v/>
      </c>
      <c r="KW1532" s="42" t="str">
        <f ca="1"/>
        <v/>
      </c>
      <c r="KX1532" s="42" t="str">
        <f ca="1"/>
        <v/>
      </c>
      <c r="KY1532" s="42" t="str">
        <f ca="1"/>
        <v/>
      </c>
      <c r="KZ1532" s="42" t="str">
        <f ca="1"/>
        <v/>
      </c>
      <c r="LA1532" s="42" t="str">
        <f ca="1"/>
        <v/>
      </c>
      <c r="LB1532" s="42" t="str">
        <f ca="1"/>
        <v/>
      </c>
      <c r="LC1532" s="42" t="str">
        <f ca="1"/>
        <v/>
      </c>
      <c r="LD1532" s="42" t="str">
        <f ca="1"/>
        <v/>
      </c>
      <c r="LE1532" s="42" t="str">
        <f ca="1"/>
        <v/>
      </c>
      <c r="LF1532" s="42" t="str">
        <f ca="1"/>
        <v/>
      </c>
      <c r="LG1532" s="42" t="str">
        <f ca="1"/>
        <v/>
      </c>
      <c r="LH1532" s="42" t="str">
        <f ca="1"/>
        <v/>
      </c>
      <c r="LI1532" s="42" t="str">
        <f ca="1"/>
        <v/>
      </c>
      <c r="LJ1532" s="42" t="str">
        <f ca="1"/>
        <v/>
      </c>
      <c r="LK1532" s="42" t="str">
        <f ca="1"/>
        <v/>
      </c>
      <c r="LL1532" s="42" t="str">
        <f ca="1"/>
        <v/>
      </c>
      <c r="LM1532" s="42" t="str">
        <f ca="1"/>
        <v/>
      </c>
      <c r="LN1532" s="42" t="str">
        <f ca="1"/>
        <v/>
      </c>
      <c r="LO1532" s="42" t="str">
        <f ca="1"/>
        <v/>
      </c>
      <c r="LP1532" s="42" t="str">
        <f ca="1"/>
        <v/>
      </c>
      <c r="LQ1532" s="42" t="str">
        <f ca="1"/>
        <v/>
      </c>
      <c r="LR1532" s="42" t="str">
        <f ca="1"/>
        <v/>
      </c>
      <c r="LS1532" s="42" t="str">
        <f ca="1"/>
        <v/>
      </c>
      <c r="LT1532" s="42" t="str">
        <f ca="1"/>
        <v/>
      </c>
      <c r="LU1532" s="42" t="str">
        <f ca="1"/>
        <v/>
      </c>
      <c r="LV1532" s="42" t="str">
        <f ca="1"/>
        <v/>
      </c>
      <c r="LW1532" s="42" t="str">
        <f ca="1"/>
        <v/>
      </c>
      <c r="LX1532" s="42" t="str">
        <f ca="1"/>
        <v/>
      </c>
      <c r="LY1532" s="42" t="str">
        <f ca="1"/>
        <v/>
      </c>
      <c r="LZ1532" s="42" t="str">
        <f ca="1"/>
        <v/>
      </c>
      <c r="MA1532" s="42" t="str">
        <f ca="1"/>
        <v/>
      </c>
      <c r="MB1532" s="42" t="str">
        <f ca="1"/>
        <v/>
      </c>
      <c r="MC1532" s="42" t="str">
        <f ca="1"/>
        <v/>
      </c>
      <c r="MD1532" s="42" t="str">
        <f ca="1"/>
        <v/>
      </c>
      <c r="ME1532" s="42" t="str">
        <f ca="1"/>
        <v/>
      </c>
      <c r="MF1532" s="42" t="str">
        <f ca="1"/>
        <v/>
      </c>
      <c r="MG1532" s="42" t="str">
        <f ca="1"/>
        <v/>
      </c>
      <c r="MH1532" s="42" t="str">
        <f ca="1"/>
        <v/>
      </c>
      <c r="MI1532" s="42" t="str">
        <f ca="1"/>
        <v/>
      </c>
      <c r="MJ1532" s="42" t="str">
        <f ca="1"/>
        <v/>
      </c>
      <c r="MK1532" s="42" t="str">
        <f ca="1"/>
        <v/>
      </c>
      <c r="ML1532" s="42" t="str">
        <f ca="1"/>
        <v/>
      </c>
      <c r="MM1532" s="42" t="str">
        <f ca="1"/>
        <v/>
      </c>
      <c r="MN1532" s="42" t="str">
        <f ca="1"/>
        <v/>
      </c>
      <c r="MO1532" s="42" t="str">
        <f ca="1"/>
        <v/>
      </c>
      <c r="MP1532" s="42" t="str">
        <f ca="1"/>
        <v/>
      </c>
      <c r="MQ1532" s="42" t="str">
        <f ca="1"/>
        <v/>
      </c>
      <c r="MR1532" s="42" t="str">
        <f ca="1"/>
        <v/>
      </c>
      <c r="MS1532" s="42" t="str">
        <f ca="1"/>
        <v/>
      </c>
      <c r="MT1532" s="42" t="str">
        <f ca="1"/>
        <v/>
      </c>
      <c r="MU1532" s="42" t="str">
        <f ca="1"/>
        <v/>
      </c>
      <c r="MV1532" s="42" t="str">
        <f ca="1"/>
        <v/>
      </c>
      <c r="MW1532" s="42" t="str">
        <f ca="1"/>
        <v/>
      </c>
      <c r="MX1532" s="42" t="str">
        <f ca="1"/>
        <v/>
      </c>
      <c r="MY1532" s="42" t="str">
        <f ca="1"/>
        <v/>
      </c>
      <c r="MZ1532" s="42" t="str">
        <f ca="1"/>
        <v/>
      </c>
      <c r="NA1532" s="42" t="str">
        <f ca="1"/>
        <v/>
      </c>
      <c r="NB1532" s="42" t="str">
        <f ca="1"/>
        <v/>
      </c>
      <c r="NC1532" s="42" t="str">
        <f ca="1"/>
        <v/>
      </c>
      <c r="ND1532" s="42" t="str">
        <f ca="1"/>
        <v/>
      </c>
      <c r="NE1532" s="42" t="str">
        <f ca="1"/>
        <v/>
      </c>
      <c r="NF1532" s="42" t="str">
        <f ca="1"/>
        <v/>
      </c>
      <c r="NG1532" s="42" t="str">
        <f ca="1"/>
        <v/>
      </c>
      <c r="NH1532" s="42" t="str">
        <f ca="1"/>
        <v/>
      </c>
      <c r="NI1532" s="42" t="str">
        <f ca="1"/>
        <v/>
      </c>
      <c r="NJ1532" s="42" t="str">
        <f ca="1"/>
        <v/>
      </c>
      <c r="NK1532" s="42" t="str">
        <f ca="1"/>
        <v/>
      </c>
      <c r="NL1532" s="42" t="str">
        <f ca="1"/>
        <v/>
      </c>
      <c r="NM1532" s="42" t="str">
        <f ca="1"/>
        <v/>
      </c>
      <c r="NN1532" s="42" t="str">
        <f ca="1"/>
        <v/>
      </c>
      <c r="NO1532" s="42" t="str">
        <f ca="1"/>
        <v/>
      </c>
      <c r="NP1532" s="42" t="str">
        <f ca="1"/>
        <v/>
      </c>
      <c r="NQ1532" s="42" t="str">
        <f ca="1"/>
        <v/>
      </c>
      <c r="NR1532" s="42" t="str">
        <f ca="1"/>
        <v/>
      </c>
      <c r="NS1532" s="42" t="str">
        <f ca="1"/>
        <v/>
      </c>
      <c r="NT1532" s="42" t="str">
        <f ca="1"/>
        <v/>
      </c>
      <c r="NU1532" s="42" t="str">
        <f ca="1"/>
        <v/>
      </c>
      <c r="NV1532" s="42" t="str">
        <f ca="1"/>
        <v/>
      </c>
      <c r="NW1532" s="42" t="str">
        <f ca="1"/>
        <v/>
      </c>
      <c r="NX1532" s="42" t="str">
        <f ca="1"/>
        <v/>
      </c>
      <c r="NY1532" s="42" t="str">
        <f ca="1"/>
        <v/>
      </c>
      <c r="NZ1532" s="42" t="str">
        <f ca="1"/>
        <v/>
      </c>
      <c r="OA1532" s="42" t="str">
        <f ca="1"/>
        <v/>
      </c>
      <c r="OB1532" s="42" t="str">
        <f ca="1"/>
        <v/>
      </c>
      <c r="OC1532" s="42" t="str">
        <f ca="1"/>
        <v/>
      </c>
      <c r="OD1532" s="42" t="str">
        <f ca="1"/>
        <v/>
      </c>
      <c r="OE1532" s="42" t="str">
        <f ca="1"/>
        <v/>
      </c>
      <c r="OF1532" s="42" t="str">
        <f ca="1"/>
        <v/>
      </c>
      <c r="OG1532" s="42" t="str">
        <f ca="1"/>
        <v/>
      </c>
      <c r="OH1532" s="42" t="str">
        <f ca="1"/>
        <v/>
      </c>
      <c r="OI1532" s="42" t="str">
        <f ca="1"/>
        <v/>
      </c>
      <c r="OJ1532" s="42" t="str">
        <f ca="1"/>
        <v/>
      </c>
      <c r="OK1532" s="42" t="str">
        <f ca="1"/>
        <v/>
      </c>
      <c r="OL1532" s="42" t="str">
        <f ca="1"/>
        <v/>
      </c>
      <c r="OM1532" s="42" t="str">
        <f ca="1"/>
        <v/>
      </c>
      <c r="ON1532" s="42" t="str">
        <f ca="1"/>
        <v/>
      </c>
      <c r="OO1532" s="42" t="str">
        <f ca="1"/>
        <v/>
      </c>
      <c r="OP1532" s="42" t="str">
        <f ca="1"/>
        <v/>
      </c>
      <c r="OQ1532" s="42" t="str">
        <f ca="1"/>
        <v/>
      </c>
      <c r="OR1532" s="42" t="str">
        <f ca="1"/>
        <v/>
      </c>
      <c r="OS1532" s="42" t="str">
        <f ca="1"/>
        <v/>
      </c>
      <c r="OT1532" s="42" t="str">
        <f ca="1"/>
        <v/>
      </c>
      <c r="OU1532" s="42" t="str">
        <f ca="1"/>
        <v/>
      </c>
      <c r="OV1532" s="42" t="str">
        <f ca="1"/>
        <v/>
      </c>
      <c r="OW1532" s="42" t="str">
        <f ca="1"/>
        <v/>
      </c>
      <c r="OX1532" s="42" t="str">
        <f ca="1"/>
        <v/>
      </c>
      <c r="OY1532" s="42" t="str">
        <f ca="1"/>
        <v/>
      </c>
      <c r="OZ1532" s="42" t="str">
        <f ca="1"/>
        <v/>
      </c>
      <c r="PA1532" s="42" t="str">
        <f ca="1"/>
        <v/>
      </c>
      <c r="PB1532" s="42" t="str">
        <f ca="1"/>
        <v/>
      </c>
      <c r="PC1532" s="42" t="str">
        <f ca="1"/>
        <v/>
      </c>
      <c r="PD1532" s="42" t="str">
        <f ca="1"/>
        <v/>
      </c>
      <c r="PE1532" s="42" t="str">
        <f ca="1"/>
        <v/>
      </c>
      <c r="PF1532" s="42" t="str">
        <f ca="1"/>
        <v/>
      </c>
      <c r="PG1532" s="42" t="str">
        <f ca="1"/>
        <v/>
      </c>
      <c r="PH1532" s="42" t="str">
        <f ca="1"/>
        <v/>
      </c>
      <c r="PI1532" s="42" t="str">
        <f ca="1"/>
        <v/>
      </c>
      <c r="PJ1532" s="42" t="str">
        <f ca="1"/>
        <v/>
      </c>
      <c r="PK1532" s="42" t="str">
        <f ca="1"/>
        <v/>
      </c>
      <c r="PL1532" s="42" t="str">
        <f ca="1"/>
        <v/>
      </c>
      <c r="PM1532" s="42" t="str">
        <f ca="1"/>
        <v/>
      </c>
      <c r="PN1532" s="42" t="str">
        <f ca="1"/>
        <v/>
      </c>
      <c r="PO1532" s="42" t="str">
        <f ca="1"/>
        <v/>
      </c>
      <c r="PP1532" s="42" t="str">
        <f ca="1"/>
        <v/>
      </c>
      <c r="PQ1532" s="42" t="str">
        <f ca="1"/>
        <v/>
      </c>
      <c r="PR1532" s="42" t="str">
        <f ca="1"/>
        <v/>
      </c>
      <c r="PS1532" s="42" t="str">
        <f ca="1"/>
        <v/>
      </c>
      <c r="PT1532" s="42" t="str">
        <f ca="1"/>
        <v/>
      </c>
      <c r="PU1532" s="42" t="str">
        <f ca="1"/>
        <v/>
      </c>
      <c r="PV1532" s="42" t="str">
        <f ca="1"/>
        <v/>
      </c>
      <c r="PW1532" s="42" t="str">
        <f ca="1"/>
        <v/>
      </c>
      <c r="PX1532" s="42" t="str">
        <f ca="1"/>
        <v/>
      </c>
      <c r="PY1532" s="42" t="str">
        <f ca="1"/>
        <v/>
      </c>
      <c r="PZ1532" s="42" t="str">
        <f ca="1"/>
        <v/>
      </c>
      <c r="QA1532" s="42" t="str">
        <f ca="1"/>
        <v/>
      </c>
      <c r="QB1532" s="42" t="str">
        <f ca="1"/>
        <v/>
      </c>
      <c r="QC1532" s="42" t="str">
        <f ca="1"/>
        <v/>
      </c>
      <c r="QD1532" s="42" t="str">
        <f ca="1"/>
        <v/>
      </c>
      <c r="QE1532" s="42" t="str">
        <f ca="1"/>
        <v/>
      </c>
      <c r="QF1532" s="42" t="str">
        <f ca="1"/>
        <v/>
      </c>
      <c r="QG1532" s="42" t="str">
        <f ca="1"/>
        <v/>
      </c>
      <c r="QH1532" s="42" t="str">
        <f ca="1"/>
        <v/>
      </c>
      <c r="QI1532" s="42" t="str">
        <f ca="1"/>
        <v/>
      </c>
      <c r="QJ1532" s="42" t="str">
        <f ca="1"/>
        <v/>
      </c>
      <c r="QK1532" s="42" t="str">
        <f ca="1"/>
        <v/>
      </c>
      <c r="QL1532" s="42" t="str">
        <f ca="1"/>
        <v/>
      </c>
      <c r="QM1532" s="42" t="str">
        <f ca="1"/>
        <v/>
      </c>
      <c r="QN1532" s="42" t="str">
        <f ca="1"/>
        <v/>
      </c>
      <c r="QO1532" s="42" t="str">
        <f ca="1"/>
        <v/>
      </c>
      <c r="QP1532" s="42" t="str">
        <f ca="1"/>
        <v/>
      </c>
      <c r="QQ1532" s="42" t="str">
        <f ca="1"/>
        <v/>
      </c>
      <c r="QR1532" s="42" t="str">
        <f ca="1"/>
        <v/>
      </c>
      <c r="QS1532" s="42" t="str">
        <f ca="1"/>
        <v/>
      </c>
      <c r="QT1532" s="42" t="str">
        <f ca="1"/>
        <v/>
      </c>
      <c r="QU1532" s="42" t="str">
        <f ca="1"/>
        <v/>
      </c>
      <c r="QV1532" s="42" t="str">
        <f ca="1"/>
        <v/>
      </c>
      <c r="QW1532" s="42" t="str">
        <f ca="1"/>
        <v/>
      </c>
      <c r="QX1532" s="42" t="str">
        <f ca="1"/>
        <v/>
      </c>
      <c r="QY1532" s="42" t="str">
        <f ca="1"/>
        <v/>
      </c>
      <c r="QZ1532" s="42" t="str">
        <f ca="1"/>
        <v/>
      </c>
      <c r="RA1532" s="42" t="str">
        <f ca="1"/>
        <v/>
      </c>
      <c r="RB1532" s="42" t="str">
        <f ca="1"/>
        <v/>
      </c>
      <c r="RC1532" s="42" t="str">
        <f ca="1"/>
        <v/>
      </c>
      <c r="RD1532" s="42" t="str">
        <f ca="1"/>
        <v/>
      </c>
      <c r="RE1532" s="42" t="str">
        <f ca="1"/>
        <v/>
      </c>
      <c r="RF1532" s="42" t="str">
        <f ca="1"/>
        <v/>
      </c>
      <c r="RG1532" s="42" t="str">
        <f ca="1"/>
        <v/>
      </c>
      <c r="RH1532" s="42" t="str">
        <f ca="1"/>
        <v/>
      </c>
      <c r="RI1532" s="42" t="str">
        <f ca="1"/>
        <v/>
      </c>
      <c r="RJ1532" s="42" t="str">
        <f ca="1"/>
        <v/>
      </c>
      <c r="RK1532" s="42" t="str">
        <f ca="1"/>
        <v/>
      </c>
      <c r="RL1532" s="42" t="str">
        <f ca="1"/>
        <v/>
      </c>
      <c r="RM1532" s="42" t="str">
        <f ca="1"/>
        <v/>
      </c>
      <c r="RN1532" s="42" t="str">
        <f ca="1"/>
        <v/>
      </c>
      <c r="RO1532" s="42" t="str">
        <f ca="1"/>
        <v/>
      </c>
      <c r="RP1532" s="42" t="str">
        <f ca="1"/>
        <v/>
      </c>
      <c r="RQ1532" s="42" t="str">
        <f ca="1"/>
        <v/>
      </c>
      <c r="RR1532" s="42" t="str">
        <f ca="1"/>
        <v/>
      </c>
      <c r="RS1532" s="42" t="str">
        <f ca="1"/>
        <v/>
      </c>
      <c r="RT1532" s="42" t="str">
        <f ca="1"/>
        <v/>
      </c>
      <c r="RU1532" s="42" t="str">
        <f ca="1"/>
        <v/>
      </c>
      <c r="RV1532" s="42" t="str">
        <f ca="1"/>
        <v/>
      </c>
      <c r="RW1532" s="42" t="str">
        <f ca="1"/>
        <v/>
      </c>
      <c r="RX1532" s="42" t="str">
        <f ca="1"/>
        <v/>
      </c>
      <c r="RY1532" s="42" t="str">
        <f ca="1"/>
        <v/>
      </c>
      <c r="RZ1532" s="42" t="str">
        <f ca="1"/>
        <v/>
      </c>
      <c r="SA1532" s="42" t="str">
        <f ca="1"/>
        <v/>
      </c>
      <c r="SB1532" s="42" t="str">
        <f ca="1"/>
        <v/>
      </c>
      <c r="SC1532" s="42" t="str">
        <f ca="1"/>
        <v/>
      </c>
      <c r="SD1532" s="42" t="str">
        <f ca="1"/>
        <v/>
      </c>
      <c r="SE1532" s="42" t="str">
        <f ca="1"/>
        <v/>
      </c>
      <c r="SF1532" s="42" t="str">
        <f ca="1"/>
        <v/>
      </c>
      <c r="SG1532" s="42" t="str">
        <f ca="1"/>
        <v/>
      </c>
      <c r="SH1532" s="42" t="str">
        <f ca="1"/>
        <v/>
      </c>
      <c r="SI1532" s="42" t="str">
        <f ca="1"/>
        <v/>
      </c>
      <c r="SJ1532" s="42" t="str">
        <f ca="1"/>
        <v/>
      </c>
      <c r="SK1532" s="42" t="str">
        <f ca="1"/>
        <v/>
      </c>
      <c r="SL1532" s="42" t="str">
        <f ca="1"/>
        <v/>
      </c>
      <c r="SM1532" s="42" t="str">
        <f ca="1"/>
        <v/>
      </c>
      <c r="SN1532" s="42" t="str">
        <f ca="1"/>
        <v/>
      </c>
      <c r="SO1532" s="42" t="str">
        <f ca="1"/>
        <v/>
      </c>
      <c r="SP1532" s="42" t="str">
        <f ca="1"/>
        <v/>
      </c>
      <c r="SQ1532" s="42" t="str">
        <f ca="1"/>
        <v/>
      </c>
      <c r="SR1532" s="42" t="str">
        <f ca="1"/>
        <v/>
      </c>
      <c r="SS1532" s="42" t="str">
        <f ca="1"/>
        <v/>
      </c>
      <c r="ST1532" s="42" t="str">
        <f ca="1"/>
        <v/>
      </c>
      <c r="SU1532" s="42" t="str">
        <f ca="1"/>
        <v/>
      </c>
      <c r="SV1532" s="42" t="str">
        <f ca="1"/>
        <v/>
      </c>
      <c r="SW1532" s="42" t="str">
        <f ca="1"/>
        <v/>
      </c>
      <c r="SX1532" s="42" t="str">
        <f ca="1"/>
        <v/>
      </c>
      <c r="SY1532" s="42" t="str">
        <f ca="1"/>
        <v/>
      </c>
      <c r="SZ1532" s="42" t="str">
        <f ca="1"/>
        <v/>
      </c>
      <c r="TA1532" s="42" t="str">
        <f ca="1"/>
        <v/>
      </c>
      <c r="TB1532" s="42" t="str">
        <f ca="1"/>
        <v/>
      </c>
      <c r="TC1532" s="42" t="str">
        <f ca="1"/>
        <v/>
      </c>
      <c r="TD1532" s="42" t="str">
        <f ca="1"/>
        <v/>
      </c>
      <c r="TE1532" s="42" t="str">
        <f ca="1"/>
        <v/>
      </c>
      <c r="TF1532" s="42" t="str">
        <f ca="1"/>
        <v/>
      </c>
      <c r="TG1532" s="42" t="str">
        <f ca="1"/>
        <v/>
      </c>
      <c r="TH1532" s="42" t="str">
        <f ca="1"/>
        <v/>
      </c>
      <c r="TI1532" s="42" t="str">
        <f ca="1"/>
        <v/>
      </c>
      <c r="TJ1532" s="42" t="str">
        <f ca="1"/>
        <v/>
      </c>
      <c r="TK1532" s="42" t="str">
        <f ca="1"/>
        <v/>
      </c>
      <c r="TL1532" s="42" t="str">
        <f ca="1"/>
        <v/>
      </c>
      <c r="TM1532" s="42" t="str">
        <f ca="1"/>
        <v/>
      </c>
      <c r="TN1532" s="42" t="str">
        <f ca="1"/>
        <v/>
      </c>
      <c r="TO1532" s="42" t="str">
        <f ca="1"/>
        <v/>
      </c>
      <c r="TP1532" s="42" t="str">
        <f ca="1"/>
        <v/>
      </c>
      <c r="TQ1532" s="42" t="str">
        <f ca="1"/>
        <v/>
      </c>
      <c r="TR1532" s="42" t="str">
        <f ca="1"/>
        <v/>
      </c>
      <c r="TS1532" s="42" t="str">
        <f ca="1"/>
        <v/>
      </c>
      <c r="TT1532" s="42" t="str">
        <f ca="1"/>
        <v/>
      </c>
      <c r="TU1532" s="42" t="str">
        <f ca="1"/>
        <v/>
      </c>
      <c r="TV1532" s="42" t="str">
        <f ca="1"/>
        <v/>
      </c>
      <c r="TW1532" s="42" t="str">
        <f ca="1"/>
        <v/>
      </c>
      <c r="TX1532" s="42" t="str">
        <f ca="1"/>
        <v/>
      </c>
      <c r="TY1532" s="42" t="str">
        <f ca="1"/>
        <v/>
      </c>
      <c r="TZ1532" s="42" t="str">
        <f ca="1"/>
        <v/>
      </c>
      <c r="UA1532" s="42" t="str">
        <f ca="1"/>
        <v/>
      </c>
      <c r="UB1532" s="42" t="str">
        <f ca="1"/>
        <v/>
      </c>
      <c r="UC1532" s="42" t="str">
        <f ca="1"/>
        <v/>
      </c>
      <c r="UD1532" s="42" t="str">
        <f ca="1"/>
        <v/>
      </c>
      <c r="UE1532" s="42" t="str">
        <f ca="1"/>
        <v/>
      </c>
      <c r="UF1532" s="42" t="str">
        <f ca="1"/>
        <v/>
      </c>
      <c r="UG1532" s="42" t="str">
        <f ca="1"/>
        <v/>
      </c>
      <c r="UH1532" s="42" t="str">
        <f ca="1"/>
        <v/>
      </c>
      <c r="UI1532" s="42" t="str">
        <f ca="1"/>
        <v/>
      </c>
      <c r="UJ1532" s="42" t="str">
        <f ca="1"/>
        <v/>
      </c>
      <c r="UK1532" s="42" t="str">
        <f ca="1"/>
        <v/>
      </c>
      <c r="UL1532" s="42" t="str">
        <f ca="1"/>
        <v/>
      </c>
      <c r="UM1532" s="42" t="str">
        <f ca="1"/>
        <v/>
      </c>
      <c r="UN1532" s="42" t="str">
        <f ca="1"/>
        <v/>
      </c>
      <c r="UO1532" s="42" t="str">
        <f ca="1"/>
        <v/>
      </c>
      <c r="UP1532" s="42" t="str">
        <f ca="1"/>
        <v/>
      </c>
      <c r="UQ1532" s="42" t="str">
        <f ca="1"/>
        <v/>
      </c>
      <c r="UR1532" s="42" t="str">
        <f ca="1"/>
        <v/>
      </c>
      <c r="US1532" s="42" t="str">
        <f ca="1"/>
        <v/>
      </c>
      <c r="UT1532" s="42" t="str">
        <f ca="1"/>
        <v/>
      </c>
      <c r="UU1532" s="42" t="str">
        <f ca="1"/>
        <v/>
      </c>
      <c r="UV1532" s="42" t="str">
        <f ca="1"/>
        <v/>
      </c>
      <c r="UW1532" s="42" t="str">
        <f ca="1"/>
        <v/>
      </c>
      <c r="UX1532" s="42" t="str">
        <f ca="1"/>
        <v/>
      </c>
      <c r="UY1532" s="42" t="str">
        <f ca="1"/>
        <v/>
      </c>
      <c r="UZ1532" s="42" t="str">
        <f ca="1"/>
        <v/>
      </c>
      <c r="VA1532" s="42" t="str">
        <f ca="1"/>
        <v/>
      </c>
      <c r="VB1532" s="42" t="str">
        <f ca="1"/>
        <v/>
      </c>
      <c r="VC1532" s="42" t="str">
        <f ca="1"/>
        <v/>
      </c>
      <c r="VD1532" s="42" t="str">
        <f ca="1"/>
        <v/>
      </c>
      <c r="VE1532" s="42" t="str">
        <f ca="1"/>
        <v/>
      </c>
      <c r="VF1532" s="42" t="str">
        <f ca="1"/>
        <v/>
      </c>
      <c r="VG1532" s="42" t="str">
        <f ca="1"/>
        <v/>
      </c>
      <c r="VH1532" s="42" t="str">
        <f ca="1"/>
        <v/>
      </c>
      <c r="VI1532" s="42" t="str">
        <f ca="1"/>
        <v/>
      </c>
      <c r="VJ1532" s="42" t="str">
        <f ca="1"/>
        <v/>
      </c>
      <c r="VK1532" s="42" t="str">
        <f ca="1"/>
        <v/>
      </c>
      <c r="VL1532" s="42" t="str">
        <f ca="1"/>
        <v/>
      </c>
      <c r="VM1532" s="42" t="str">
        <f ca="1"/>
        <v/>
      </c>
      <c r="VN1532" s="42" t="str">
        <f ca="1"/>
        <v/>
      </c>
      <c r="VO1532" s="42" t="str">
        <f ca="1"/>
        <v/>
      </c>
      <c r="VP1532" s="42" t="str">
        <f ca="1"/>
        <v/>
      </c>
      <c r="VQ1532" s="42" t="str">
        <f ca="1"/>
        <v/>
      </c>
      <c r="VR1532" s="42" t="str">
        <f ca="1"/>
        <v/>
      </c>
      <c r="VS1532" s="42" t="str">
        <f ca="1"/>
        <v/>
      </c>
      <c r="VT1532" s="42" t="str">
        <f ca="1"/>
        <v/>
      </c>
      <c r="VU1532" s="42" t="str">
        <f ca="1"/>
        <v/>
      </c>
      <c r="VV1532" s="42" t="str">
        <f ca="1"/>
        <v/>
      </c>
      <c r="VW1532" s="42" t="str">
        <f ca="1"/>
        <v/>
      </c>
      <c r="VX1532" s="42" t="str">
        <f ca="1"/>
        <v/>
      </c>
      <c r="VY1532" s="42" t="str">
        <f ca="1"/>
        <v/>
      </c>
      <c r="VZ1532" s="42" t="str">
        <f ca="1"/>
        <v/>
      </c>
      <c r="WA1532" s="42" t="str">
        <f ca="1"/>
        <v/>
      </c>
      <c r="WB1532" s="42" t="str">
        <f ca="1"/>
        <v/>
      </c>
      <c r="WC1532" s="42" t="str">
        <f ca="1"/>
        <v/>
      </c>
      <c r="WD1532" s="42" t="str">
        <f ca="1"/>
        <v/>
      </c>
      <c r="WE1532" s="42" t="str">
        <f ca="1"/>
        <v/>
      </c>
      <c r="WF1532" s="42" t="str">
        <f ca="1"/>
        <v/>
      </c>
      <c r="WG1532" s="42" t="str">
        <f ca="1"/>
        <v/>
      </c>
      <c r="WH1532" s="42" t="str">
        <f ca="1"/>
        <v/>
      </c>
      <c r="WI1532" s="42" t="str">
        <f ca="1"/>
        <v/>
      </c>
      <c r="WJ1532" s="42" t="str">
        <f ca="1"/>
        <v/>
      </c>
      <c r="WK1532" s="42" t="str">
        <f ca="1"/>
        <v/>
      </c>
      <c r="WL1532" s="42" t="str">
        <f ca="1"/>
        <v/>
      </c>
      <c r="WM1532" s="42" t="str">
        <f ca="1"/>
        <v/>
      </c>
      <c r="WN1532" s="42" t="str">
        <f ca="1"/>
        <v/>
      </c>
      <c r="WO1532" s="42" t="str">
        <f ca="1"/>
        <v/>
      </c>
      <c r="WP1532" s="42" t="str">
        <f ca="1"/>
        <v/>
      </c>
      <c r="WQ1532" s="42" t="str">
        <f ca="1"/>
        <v/>
      </c>
      <c r="WR1532" s="42" t="str">
        <f ca="1"/>
        <v/>
      </c>
      <c r="WS1532" s="42" t="str">
        <f ca="1"/>
        <v/>
      </c>
      <c r="WT1532" s="42" t="str">
        <f ca="1"/>
        <v/>
      </c>
      <c r="WU1532" s="42" t="str">
        <f ca="1"/>
        <v/>
      </c>
      <c r="WV1532" s="42" t="str">
        <f ca="1"/>
        <v/>
      </c>
      <c r="WW1532" s="42" t="str">
        <f ca="1"/>
        <v/>
      </c>
      <c r="WX1532" s="42" t="str">
        <f ca="1"/>
        <v/>
      </c>
      <c r="WY1532" s="42" t="str">
        <f ca="1"/>
        <v/>
      </c>
      <c r="WZ1532" s="42" t="str">
        <f ca="1"/>
        <v/>
      </c>
      <c r="XA1532" s="42" t="str">
        <f ca="1"/>
        <v/>
      </c>
      <c r="XB1532" s="42" t="str">
        <f ca="1"/>
        <v/>
      </c>
      <c r="XC1532" s="42" t="str">
        <f ca="1"/>
        <v/>
      </c>
      <c r="XD1532" s="42" t="str">
        <f ca="1"/>
        <v/>
      </c>
      <c r="XE1532" s="42" t="str">
        <f ca="1"/>
        <v/>
      </c>
      <c r="XF1532" s="42" t="str">
        <f ca="1"/>
        <v/>
      </c>
      <c r="XG1532" s="42" t="str">
        <f ca="1"/>
        <v/>
      </c>
      <c r="XH1532" s="42" t="str">
        <f ca="1"/>
        <v/>
      </c>
      <c r="XI1532" s="42" t="str">
        <f ca="1"/>
        <v/>
      </c>
      <c r="XJ1532" s="42" t="str">
        <f ca="1"/>
        <v/>
      </c>
      <c r="XK1532" s="42" t="str">
        <f ca="1"/>
        <v/>
      </c>
      <c r="XL1532" s="42" t="str">
        <f ca="1"/>
        <v/>
      </c>
      <c r="XM1532" s="42" t="str">
        <f ca="1"/>
        <v/>
      </c>
      <c r="XN1532" s="42" t="str">
        <f ca="1"/>
        <v/>
      </c>
      <c r="XO1532" s="42" t="str">
        <f ca="1"/>
        <v/>
      </c>
      <c r="XP1532" s="42" t="str">
        <f ca="1"/>
        <v/>
      </c>
      <c r="XQ1532" s="42" t="str">
        <f ca="1"/>
        <v/>
      </c>
      <c r="XR1532" s="42" t="str">
        <f ca="1"/>
        <v/>
      </c>
      <c r="XS1532" s="42" t="str">
        <f ca="1"/>
        <v/>
      </c>
      <c r="XT1532" s="42" t="str">
        <f ca="1"/>
        <v/>
      </c>
      <c r="XU1532" s="42" t="str">
        <f ca="1"/>
        <v/>
      </c>
      <c r="XV1532" s="42" t="str">
        <f ca="1"/>
        <v/>
      </c>
      <c r="XW1532" s="42" t="str">
        <f ca="1"/>
        <v/>
      </c>
      <c r="XX1532" s="42" t="str">
        <f ca="1"/>
        <v/>
      </c>
      <c r="XY1532" s="42" t="str">
        <f ca="1"/>
        <v/>
      </c>
      <c r="XZ1532" s="42" t="str">
        <f ca="1"/>
        <v/>
      </c>
      <c r="YA1532" s="42" t="str">
        <f ca="1"/>
        <v/>
      </c>
      <c r="YB1532" s="42" t="str">
        <f ca="1"/>
        <v/>
      </c>
      <c r="YC1532" s="42" t="str">
        <f ca="1"/>
        <v/>
      </c>
      <c r="YD1532" s="42" t="str">
        <f ca="1"/>
        <v/>
      </c>
      <c r="YE1532" s="42" t="str">
        <f ca="1"/>
        <v/>
      </c>
      <c r="YF1532" s="42" t="str">
        <f ca="1"/>
        <v/>
      </c>
      <c r="YG1532" s="42" t="str">
        <f ca="1"/>
        <v/>
      </c>
      <c r="YH1532" s="42" t="str">
        <f ca="1"/>
        <v/>
      </c>
      <c r="YI1532" s="42" t="str">
        <f ca="1"/>
        <v/>
      </c>
      <c r="YJ1532" s="42" t="str">
        <f ca="1"/>
        <v/>
      </c>
      <c r="YK1532" s="42" t="str">
        <f ca="1"/>
        <v/>
      </c>
      <c r="YL1532" s="42" t="str">
        <f ca="1"/>
        <v/>
      </c>
      <c r="YM1532" s="42" t="str">
        <f ca="1"/>
        <v/>
      </c>
      <c r="YN1532" s="42" t="str">
        <f ca="1"/>
        <v/>
      </c>
      <c r="YO1532" s="42" t="str">
        <f ca="1"/>
        <v/>
      </c>
      <c r="YP1532" s="42" t="str">
        <f ca="1"/>
        <v/>
      </c>
      <c r="YQ1532" s="42" t="str">
        <f ca="1"/>
        <v/>
      </c>
      <c r="YR1532" s="42" t="str">
        <f ca="1"/>
        <v/>
      </c>
      <c r="YS1532" s="42" t="str">
        <f ca="1"/>
        <v/>
      </c>
      <c r="YT1532" s="42" t="str">
        <f ca="1"/>
        <v/>
      </c>
      <c r="YU1532" s="42" t="str">
        <f ca="1"/>
        <v/>
      </c>
      <c r="YV1532" s="42" t="str">
        <f ca="1"/>
        <v/>
      </c>
      <c r="YW1532" s="42" t="str">
        <f ca="1"/>
        <v/>
      </c>
      <c r="YX1532" s="42" t="str">
        <f ca="1"/>
        <v/>
      </c>
      <c r="YY1532" s="42" t="str">
        <f ca="1"/>
        <v/>
      </c>
      <c r="YZ1532" s="42" t="str">
        <f ca="1"/>
        <v/>
      </c>
      <c r="ZA1532" s="42" t="str">
        <f ca="1"/>
        <v/>
      </c>
      <c r="ZB1532" s="42" t="str">
        <f ca="1"/>
        <v/>
      </c>
      <c r="ZC1532" s="42" t="str">
        <f ca="1"/>
        <v/>
      </c>
      <c r="ZD1532" s="42" t="str">
        <f ca="1"/>
        <v/>
      </c>
      <c r="ZE1532" s="42" t="str">
        <f ca="1"/>
        <v/>
      </c>
      <c r="ZF1532" s="42" t="str">
        <f ca="1"/>
        <v/>
      </c>
      <c r="ZG1532" s="42" t="str">
        <f ca="1"/>
        <v/>
      </c>
      <c r="ZH1532" s="42" t="str">
        <f ca="1"/>
        <v/>
      </c>
      <c r="ZI1532" s="42" t="str">
        <f ca="1"/>
        <v/>
      </c>
      <c r="ZJ1532" s="42" t="str">
        <f ca="1"/>
        <v/>
      </c>
      <c r="ZK1532" s="42" t="str">
        <f ca="1"/>
        <v/>
      </c>
      <c r="ZL1532" s="42" t="str">
        <f ca="1"/>
        <v/>
      </c>
      <c r="ZM1532" s="42" t="str">
        <f ca="1"/>
        <v/>
      </c>
      <c r="ZN1532" s="42" t="str">
        <f ca="1"/>
        <v/>
      </c>
      <c r="ZO1532" s="42" t="str">
        <f ca="1"/>
        <v/>
      </c>
      <c r="ZP1532" s="42" t="str">
        <f ca="1"/>
        <v/>
      </c>
      <c r="ZQ1532" s="42" t="str">
        <f ca="1"/>
        <v/>
      </c>
      <c r="ZR1532" s="42" t="str">
        <f ca="1"/>
        <v/>
      </c>
      <c r="ZS1532" s="42" t="str">
        <f ca="1"/>
        <v/>
      </c>
      <c r="ZT1532" s="42" t="str">
        <f ca="1"/>
        <v/>
      </c>
      <c r="ZU1532" s="42" t="str">
        <f ca="1"/>
        <v/>
      </c>
      <c r="ZV1532" s="42" t="str">
        <f ca="1"/>
        <v/>
      </c>
      <c r="ZW1532" s="42" t="str">
        <f ca="1"/>
        <v/>
      </c>
      <c r="ZX1532" s="42" t="str">
        <f ca="1"/>
        <v/>
      </c>
      <c r="ZY1532" s="42" t="str">
        <f ca="1"/>
        <v/>
      </c>
      <c r="ZZ1532" s="42" t="str">
        <f ca="1"/>
        <v/>
      </c>
      <c r="AAA1532" s="42" t="str">
        <f ca="1"/>
        <v/>
      </c>
      <c r="AAB1532" s="42" t="str">
        <f ca="1"/>
        <v/>
      </c>
      <c r="AAC1532" s="42" t="str">
        <f ca="1"/>
        <v/>
      </c>
      <c r="AAD1532" s="42" t="str">
        <f ca="1"/>
        <v/>
      </c>
      <c r="AAE1532" s="42" t="str">
        <f ca="1"/>
        <v/>
      </c>
      <c r="AAF1532" s="42" t="str">
        <f ca="1"/>
        <v/>
      </c>
      <c r="AAG1532" s="42" t="str">
        <f ca="1"/>
        <v/>
      </c>
      <c r="AAH1532" s="42" t="str">
        <f ca="1"/>
        <v/>
      </c>
      <c r="AAI1532" s="42" t="str">
        <f ca="1"/>
        <v/>
      </c>
      <c r="AAJ1532" s="42" t="str">
        <f ca="1"/>
        <v/>
      </c>
      <c r="AAK1532" s="42" t="str">
        <f ca="1"/>
        <v/>
      </c>
      <c r="AAL1532" s="42" t="str">
        <f ca="1"/>
        <v/>
      </c>
      <c r="AAM1532" s="42" t="str">
        <f ca="1"/>
        <v/>
      </c>
      <c r="AAN1532" s="42" t="str">
        <f ca="1"/>
        <v/>
      </c>
      <c r="AAO1532" s="42" t="str">
        <f ca="1"/>
        <v/>
      </c>
      <c r="AAP1532" s="42" t="str">
        <f ca="1"/>
        <v/>
      </c>
      <c r="AAQ1532" s="42" t="str">
        <f ca="1"/>
        <v/>
      </c>
      <c r="AAR1532" s="42" t="str">
        <f ca="1"/>
        <v/>
      </c>
      <c r="AAS1532" s="42" t="str">
        <f ca="1"/>
        <v/>
      </c>
      <c r="AAT1532" s="42" t="str">
        <f ca="1"/>
        <v/>
      </c>
      <c r="AAU1532" s="42" t="str">
        <f ca="1"/>
        <v/>
      </c>
      <c r="AAV1532" s="42" t="str">
        <f ca="1"/>
        <v/>
      </c>
      <c r="AAW1532" s="42" t="str">
        <f ca="1"/>
        <v/>
      </c>
      <c r="AAX1532" s="42" t="str">
        <f ca="1"/>
        <v/>
      </c>
      <c r="AAY1532" s="42" t="str">
        <f ca="1"/>
        <v/>
      </c>
      <c r="AAZ1532" s="42" t="str">
        <f ca="1"/>
        <v/>
      </c>
      <c r="ABA1532" s="42" t="str">
        <f ca="1"/>
        <v/>
      </c>
      <c r="ABB1532" s="42" t="str">
        <f ca="1"/>
        <v/>
      </c>
      <c r="ABC1532" s="42" t="str">
        <f ca="1"/>
        <v/>
      </c>
      <c r="ABD1532" s="42" t="str">
        <f ca="1"/>
        <v/>
      </c>
      <c r="ABE1532" s="42" t="str">
        <f ca="1"/>
        <v/>
      </c>
      <c r="ABF1532" s="42" t="str">
        <f ca="1"/>
        <v/>
      </c>
      <c r="ABG1532" s="42" t="str">
        <f ca="1"/>
        <v/>
      </c>
      <c r="ABH1532" s="42" t="str">
        <f ca="1"/>
        <v/>
      </c>
      <c r="ABI1532" s="42" t="str">
        <f ca="1"/>
        <v/>
      </c>
      <c r="ABJ1532" s="42" t="str">
        <f ca="1"/>
        <v/>
      </c>
      <c r="ABK1532" s="42" t="str">
        <f ca="1"/>
        <v/>
      </c>
      <c r="ABL1532" s="42" t="str">
        <f ca="1"/>
        <v/>
      </c>
      <c r="ABM1532" s="42" t="str">
        <f ca="1"/>
        <v/>
      </c>
      <c r="ABN1532" s="42" t="str">
        <f ca="1"/>
        <v/>
      </c>
      <c r="ABO1532" s="42" t="str">
        <f ca="1"/>
        <v/>
      </c>
      <c r="ABP1532" s="42" t="str">
        <f ca="1"/>
        <v/>
      </c>
      <c r="ABQ1532" s="42" t="str">
        <f ca="1"/>
        <v/>
      </c>
      <c r="ABR1532" s="42" t="str">
        <f ca="1"/>
        <v/>
      </c>
      <c r="ABS1532" s="42" t="str">
        <f ca="1"/>
        <v/>
      </c>
      <c r="ABT1532" s="42" t="str">
        <f ca="1"/>
        <v/>
      </c>
      <c r="ABU1532" s="42" t="str">
        <f ca="1"/>
        <v/>
      </c>
      <c r="ABV1532" s="42" t="str">
        <f ca="1"/>
        <v/>
      </c>
      <c r="ABW1532" s="42" t="str">
        <f ca="1"/>
        <v/>
      </c>
      <c r="ABX1532" s="42" t="str">
        <f ca="1"/>
        <v/>
      </c>
      <c r="ABY1532" s="42" t="str">
        <f ca="1"/>
        <v/>
      </c>
      <c r="ABZ1532" s="42" t="str">
        <f ca="1"/>
        <v/>
      </c>
      <c r="ACA1532" s="42" t="str">
        <f ca="1"/>
        <v/>
      </c>
      <c r="ACB1532" s="42" t="str">
        <f ca="1"/>
        <v/>
      </c>
      <c r="ACC1532" s="42" t="str">
        <f ca="1"/>
        <v/>
      </c>
      <c r="ACD1532" s="42" t="str">
        <f ca="1"/>
        <v/>
      </c>
      <c r="ACE1532" s="42" t="str">
        <f ca="1"/>
        <v/>
      </c>
      <c r="ACF1532" s="42" t="str">
        <f ca="1"/>
        <v/>
      </c>
      <c r="ACG1532" s="42" t="str">
        <f ca="1"/>
        <v/>
      </c>
      <c r="ACH1532" s="42" t="str">
        <f ca="1"/>
        <v/>
      </c>
      <c r="ACI1532" s="42" t="str">
        <f ca="1"/>
        <v/>
      </c>
      <c r="ACJ1532" s="42" t="str">
        <f ca="1"/>
        <v/>
      </c>
      <c r="ACK1532" s="42" t="str">
        <f ca="1"/>
        <v/>
      </c>
      <c r="ACL1532" s="42" t="str">
        <f ca="1"/>
        <v/>
      </c>
      <c r="ACM1532" s="42" t="str">
        <f ca="1"/>
        <v/>
      </c>
      <c r="ACN1532" s="42" t="str">
        <f ca="1"/>
        <v/>
      </c>
      <c r="ACO1532" s="42" t="str">
        <f ca="1"/>
        <v/>
      </c>
      <c r="ACP1532" s="42" t="str">
        <f ca="1"/>
        <v/>
      </c>
      <c r="ACQ1532" s="42" t="str">
        <f ca="1"/>
        <v/>
      </c>
      <c r="ACR1532" s="42" t="str">
        <f ca="1"/>
        <v/>
      </c>
      <c r="ACS1532" s="42" t="str">
        <f ca="1"/>
        <v/>
      </c>
      <c r="ACT1532" s="42" t="str">
        <f ca="1"/>
        <v/>
      </c>
      <c r="ACU1532" s="42" t="str">
        <f ca="1"/>
        <v/>
      </c>
      <c r="ACV1532" s="42" t="str">
        <f ca="1"/>
        <v/>
      </c>
      <c r="ACW1532" s="42" t="str">
        <f ca="1"/>
        <v/>
      </c>
      <c r="ACX1532" s="42" t="str">
        <f ca="1"/>
        <v/>
      </c>
      <c r="ACY1532" s="42" t="str">
        <f ca="1"/>
        <v/>
      </c>
      <c r="ACZ1532" s="42" t="str">
        <f ca="1"/>
        <v/>
      </c>
      <c r="ADA1532" s="42" t="str">
        <f ca="1"/>
        <v/>
      </c>
      <c r="ADB1532" s="42" t="str">
        <f ca="1"/>
        <v/>
      </c>
      <c r="ADC1532" s="42" t="str">
        <f ca="1"/>
        <v/>
      </c>
      <c r="ADD1532" s="42" t="str">
        <f ca="1"/>
        <v/>
      </c>
      <c r="ADE1532" s="42" t="str">
        <f ca="1"/>
        <v/>
      </c>
      <c r="ADF1532" s="42" t="str">
        <f ca="1"/>
        <v/>
      </c>
      <c r="ADG1532" s="42" t="str">
        <f ca="1"/>
        <v/>
      </c>
      <c r="ADH1532" s="42" t="str">
        <f ca="1"/>
        <v/>
      </c>
      <c r="ADI1532" s="42" t="str">
        <f ca="1"/>
        <v/>
      </c>
      <c r="ADJ1532" s="42" t="str">
        <f ca="1"/>
        <v/>
      </c>
      <c r="ADK1532" s="42" t="str">
        <f ca="1"/>
        <v/>
      </c>
      <c r="ADL1532" s="42" t="str">
        <f ca="1"/>
        <v/>
      </c>
      <c r="ADM1532" s="42" t="str">
        <f ca="1"/>
        <v/>
      </c>
      <c r="ADN1532" s="42" t="str">
        <f ca="1"/>
        <v/>
      </c>
      <c r="ADO1532" s="42" t="str">
        <f ca="1"/>
        <v/>
      </c>
      <c r="ADP1532" s="42" t="str">
        <f ca="1"/>
        <v/>
      </c>
      <c r="ADQ1532" s="42" t="str">
        <f ca="1"/>
        <v/>
      </c>
      <c r="ADR1532" s="42" t="str">
        <f ca="1"/>
        <v/>
      </c>
      <c r="ADS1532" s="42" t="str">
        <f ca="1"/>
        <v/>
      </c>
      <c r="ADT1532" s="42" t="str">
        <f ca="1"/>
        <v/>
      </c>
      <c r="ADU1532" s="42" t="str">
        <f ca="1"/>
        <v/>
      </c>
      <c r="ADV1532" s="42" t="str">
        <f ca="1"/>
        <v/>
      </c>
      <c r="ADW1532" s="42" t="str">
        <f ca="1"/>
        <v/>
      </c>
      <c r="ADX1532" s="42" t="str">
        <f ca="1"/>
        <v/>
      </c>
      <c r="ADY1532" s="42" t="str">
        <f ca="1"/>
        <v/>
      </c>
      <c r="ADZ1532" s="42" t="str">
        <f ca="1"/>
        <v/>
      </c>
      <c r="AEA1532" s="42" t="str">
        <f ca="1"/>
        <v/>
      </c>
      <c r="AEB1532" s="42" t="str">
        <f ca="1"/>
        <v/>
      </c>
      <c r="AEC1532" s="42" t="str">
        <f ca="1"/>
        <v/>
      </c>
      <c r="AED1532" s="42" t="str">
        <f ca="1"/>
        <v/>
      </c>
      <c r="AEE1532" s="42" t="str">
        <f ca="1"/>
        <v/>
      </c>
      <c r="AEF1532" s="42" t="str">
        <f ca="1"/>
        <v/>
      </c>
      <c r="AEG1532" s="42" t="str">
        <f ca="1"/>
        <v/>
      </c>
      <c r="AEH1532" s="42" t="str">
        <f ca="1"/>
        <v/>
      </c>
      <c r="AEI1532" s="42" t="str">
        <f ca="1"/>
        <v/>
      </c>
      <c r="AEJ1532" s="42" t="str">
        <f ca="1"/>
        <v/>
      </c>
      <c r="AEK1532" s="42" t="str">
        <f ca="1"/>
        <v/>
      </c>
      <c r="AEL1532" s="42" t="str">
        <f ca="1"/>
        <v/>
      </c>
      <c r="AEM1532" s="42" t="str">
        <f ca="1"/>
        <v/>
      </c>
      <c r="AEN1532" s="42" t="str">
        <f ca="1"/>
        <v/>
      </c>
      <c r="AEO1532" s="42" t="str">
        <f ca="1"/>
        <v/>
      </c>
      <c r="AEP1532" s="42" t="str">
        <f ca="1"/>
        <v/>
      </c>
      <c r="AEQ1532" s="42" t="str">
        <f ca="1"/>
        <v/>
      </c>
      <c r="AER1532" s="42" t="str">
        <f ca="1"/>
        <v/>
      </c>
      <c r="AES1532" s="42" t="str">
        <f ca="1"/>
        <v/>
      </c>
      <c r="AET1532" s="42" t="str">
        <f ca="1"/>
        <v/>
      </c>
      <c r="AEU1532" s="42" t="str">
        <f ca="1"/>
        <v/>
      </c>
      <c r="AEV1532" s="42" t="str">
        <f ca="1"/>
        <v/>
      </c>
      <c r="AEW1532" s="42" t="str">
        <f ca="1"/>
        <v/>
      </c>
      <c r="AEX1532" s="42" t="str">
        <f ca="1"/>
        <v/>
      </c>
      <c r="AEY1532" s="42" t="str">
        <f ca="1"/>
        <v/>
      </c>
      <c r="AEZ1532" s="42" t="str">
        <f ca="1"/>
        <v/>
      </c>
      <c r="AFA1532" s="42" t="str">
        <f ca="1"/>
        <v/>
      </c>
      <c r="AFB1532" s="42" t="str">
        <f ca="1"/>
        <v/>
      </c>
      <c r="AFC1532" s="42" t="str">
        <f ca="1"/>
        <v/>
      </c>
      <c r="AFD1532" s="42" t="str">
        <f ca="1"/>
        <v/>
      </c>
      <c r="AFE1532" s="42" t="str">
        <f ca="1"/>
        <v/>
      </c>
      <c r="AFF1532" s="42" t="str">
        <f ca="1"/>
        <v/>
      </c>
      <c r="AFG1532" s="42" t="str">
        <f ca="1"/>
        <v/>
      </c>
      <c r="AFH1532" s="42" t="str">
        <f ca="1"/>
        <v/>
      </c>
      <c r="AFI1532" s="42" t="str">
        <f ca="1"/>
        <v/>
      </c>
      <c r="AFJ1532" s="42" t="str">
        <f ca="1"/>
        <v/>
      </c>
      <c r="AFK1532" s="42" t="str">
        <f ca="1"/>
        <v/>
      </c>
      <c r="AFL1532" s="42" t="str">
        <f ca="1"/>
        <v/>
      </c>
      <c r="AFM1532" s="42" t="str">
        <f ca="1"/>
        <v/>
      </c>
      <c r="AFN1532" s="42" t="str">
        <f ca="1"/>
        <v/>
      </c>
      <c r="AFO1532" s="42" t="str">
        <f ca="1"/>
        <v/>
      </c>
      <c r="AFP1532" s="42" t="str">
        <f ca="1"/>
        <v/>
      </c>
      <c r="AFQ1532" s="42" t="str">
        <f ca="1"/>
        <v/>
      </c>
      <c r="AFR1532" s="42" t="str">
        <f ca="1"/>
        <v/>
      </c>
      <c r="AFS1532" s="42" t="str">
        <f ca="1"/>
        <v/>
      </c>
      <c r="AFT1532" s="42" t="str">
        <f ca="1"/>
        <v/>
      </c>
      <c r="AFU1532" s="42" t="str">
        <f ca="1"/>
        <v/>
      </c>
      <c r="AFV1532" s="42" t="str">
        <f ca="1"/>
        <v/>
      </c>
      <c r="AFW1532" s="42" t="str">
        <f ca="1"/>
        <v/>
      </c>
      <c r="AFX1532" s="42" t="str">
        <f ca="1"/>
        <v/>
      </c>
      <c r="AFY1532" s="42" t="str">
        <f ca="1"/>
        <v/>
      </c>
      <c r="AFZ1532" s="42" t="str">
        <f ca="1"/>
        <v/>
      </c>
      <c r="AGA1532" s="42" t="str">
        <f ca="1"/>
        <v/>
      </c>
      <c r="AGB1532" s="42" t="str">
        <f ca="1"/>
        <v/>
      </c>
      <c r="AGC1532" s="42" t="str">
        <f ca="1"/>
        <v/>
      </c>
      <c r="AGD1532" s="42" t="str">
        <f ca="1"/>
        <v/>
      </c>
      <c r="AGE1532" s="42" t="str">
        <f ca="1"/>
        <v/>
      </c>
      <c r="AGF1532" s="42" t="str">
        <f ca="1"/>
        <v/>
      </c>
      <c r="AGG1532" s="42" t="str">
        <f ca="1"/>
        <v/>
      </c>
      <c r="AGH1532" s="42" t="str">
        <f ca="1"/>
        <v/>
      </c>
      <c r="AGI1532" s="42" t="str">
        <f ca="1"/>
        <v/>
      </c>
      <c r="AGJ1532" s="42" t="str">
        <f ca="1"/>
        <v/>
      </c>
      <c r="AGK1532" s="42" t="str">
        <f ca="1"/>
        <v/>
      </c>
      <c r="AGL1532" s="42" t="str">
        <f ca="1"/>
        <v/>
      </c>
      <c r="AGM1532" s="42" t="str">
        <f ca="1"/>
        <v/>
      </c>
      <c r="AGN1532" s="42" t="str">
        <f ca="1"/>
        <v/>
      </c>
    </row>
    <row r="1533" spans="15:872" x14ac:dyDescent="0.25">
      <c r="O1533" s="42">
        <v>20</v>
      </c>
      <c r="P1533" s="42" t="str">
        <f ca="1"/>
        <v/>
      </c>
      <c r="Q1533" s="42" t="str">
        <f ca="1"/>
        <v/>
      </c>
      <c r="R1533" s="42" t="str">
        <f ca="1"/>
        <v/>
      </c>
      <c r="S1533" s="42" t="str">
        <f ca="1"/>
        <v/>
      </c>
      <c r="T1533" s="42" t="str">
        <f ca="1"/>
        <v/>
      </c>
      <c r="U1533" s="42" t="str">
        <f ca="1"/>
        <v/>
      </c>
      <c r="V1533" s="42" t="str">
        <f ca="1"/>
        <v/>
      </c>
      <c r="W1533" s="42" t="str">
        <f ca="1"/>
        <v/>
      </c>
      <c r="X1533" s="42" t="str">
        <f ca="1"/>
        <v/>
      </c>
      <c r="Y1533" s="42" t="str">
        <f ca="1"/>
        <v/>
      </c>
      <c r="Z1533" s="42" t="str">
        <f ca="1"/>
        <v/>
      </c>
      <c r="AA1533" s="42" t="str">
        <f ca="1"/>
        <v/>
      </c>
      <c r="AB1533" s="42" t="str">
        <f ca="1"/>
        <v/>
      </c>
      <c r="AC1533" s="42" t="str">
        <f ca="1"/>
        <v/>
      </c>
      <c r="AD1533" s="42" t="str">
        <f ca="1"/>
        <v/>
      </c>
      <c r="AE1533" s="42" t="str">
        <f ca="1"/>
        <v/>
      </c>
      <c r="AF1533" s="42" t="str">
        <f ca="1"/>
        <v/>
      </c>
      <c r="AG1533" s="42" t="str">
        <f ca="1"/>
        <v/>
      </c>
      <c r="AH1533" s="42" t="str">
        <f ca="1"/>
        <v/>
      </c>
      <c r="AI1533" s="42" t="str">
        <f ca="1"/>
        <v/>
      </c>
      <c r="AJ1533" s="42" t="str">
        <f ca="1"/>
        <v/>
      </c>
      <c r="AK1533" s="42" t="str">
        <f ca="1"/>
        <v/>
      </c>
      <c r="AL1533" s="42" t="str">
        <f ca="1"/>
        <v/>
      </c>
      <c r="AM1533" s="42" t="str">
        <f ca="1"/>
        <v/>
      </c>
      <c r="AN1533" s="42" t="str">
        <f ca="1"/>
        <v/>
      </c>
      <c r="AO1533" s="42" t="str">
        <f ca="1"/>
        <v/>
      </c>
      <c r="AP1533" s="42" t="str">
        <f ca="1"/>
        <v/>
      </c>
      <c r="AQ1533" s="42" t="str">
        <f ca="1"/>
        <v/>
      </c>
      <c r="AR1533" s="42" t="str">
        <f ca="1"/>
        <v/>
      </c>
      <c r="AS1533" s="42" t="str">
        <f ca="1"/>
        <v/>
      </c>
      <c r="AT1533" s="42" t="str">
        <f ca="1"/>
        <v/>
      </c>
      <c r="AU1533" s="42" t="str">
        <f ca="1"/>
        <v/>
      </c>
      <c r="AV1533" s="42" t="str">
        <f ca="1"/>
        <v/>
      </c>
      <c r="AW1533" s="42" t="str">
        <f ca="1"/>
        <v/>
      </c>
      <c r="AX1533" s="42" t="str">
        <f ca="1"/>
        <v/>
      </c>
      <c r="AY1533" s="42" t="str">
        <f ca="1"/>
        <v/>
      </c>
      <c r="AZ1533" s="42" t="str">
        <f ca="1"/>
        <v/>
      </c>
      <c r="BA1533" s="42" t="str">
        <f ca="1"/>
        <v/>
      </c>
      <c r="BB1533" s="42" t="str">
        <f ca="1"/>
        <v/>
      </c>
      <c r="BC1533" s="42" t="str">
        <f ca="1"/>
        <v/>
      </c>
      <c r="BD1533" s="42" t="str">
        <f ca="1"/>
        <v/>
      </c>
      <c r="BE1533" s="42" t="str">
        <f ca="1"/>
        <v/>
      </c>
      <c r="BF1533" s="42" t="str">
        <f ca="1"/>
        <v/>
      </c>
      <c r="BG1533" s="42" t="str">
        <f ca="1"/>
        <v/>
      </c>
      <c r="BH1533" s="42" t="str">
        <f ca="1"/>
        <v/>
      </c>
      <c r="BI1533" s="42" t="str">
        <f ca="1"/>
        <v/>
      </c>
      <c r="BJ1533" s="42" t="str">
        <f ca="1"/>
        <v/>
      </c>
      <c r="BK1533" s="42" t="str">
        <f ca="1"/>
        <v/>
      </c>
      <c r="BL1533" s="42" t="str">
        <f ca="1"/>
        <v/>
      </c>
      <c r="BM1533" s="42" t="str">
        <f ca="1"/>
        <v/>
      </c>
      <c r="BN1533" s="42" t="str">
        <f ca="1"/>
        <v/>
      </c>
      <c r="BO1533" s="42" t="str">
        <f ca="1"/>
        <v/>
      </c>
      <c r="BP1533" s="42" t="str">
        <f ca="1"/>
        <v/>
      </c>
      <c r="BQ1533" s="42" t="str">
        <f ca="1"/>
        <v/>
      </c>
      <c r="BR1533" s="42" t="str">
        <f ca="1"/>
        <v/>
      </c>
      <c r="BS1533" s="42" t="str">
        <f ca="1"/>
        <v/>
      </c>
      <c r="BT1533" s="42" t="str">
        <f ca="1"/>
        <v/>
      </c>
      <c r="BU1533" s="42" t="str">
        <f ca="1"/>
        <v/>
      </c>
      <c r="BV1533" s="42" t="str">
        <f ca="1"/>
        <v/>
      </c>
      <c r="BW1533" s="42" t="str">
        <f ca="1"/>
        <v/>
      </c>
      <c r="BX1533" s="42" t="str">
        <f ca="1"/>
        <v/>
      </c>
      <c r="BY1533" s="42" t="str">
        <f ca="1"/>
        <v/>
      </c>
      <c r="BZ1533" s="42" t="str">
        <f ca="1"/>
        <v/>
      </c>
      <c r="CA1533" s="42" t="str">
        <f ca="1"/>
        <v/>
      </c>
      <c r="CB1533" s="42" t="str">
        <f ca="1"/>
        <v/>
      </c>
      <c r="CC1533" s="42" t="str">
        <f ca="1"/>
        <v/>
      </c>
      <c r="CD1533" s="42" t="str">
        <f ca="1"/>
        <v/>
      </c>
      <c r="CE1533" s="42" t="str">
        <f ca="1"/>
        <v/>
      </c>
      <c r="CF1533" s="42" t="str">
        <f ca="1"/>
        <v/>
      </c>
      <c r="CG1533" s="42" t="str">
        <f ca="1"/>
        <v/>
      </c>
      <c r="CH1533" s="42" t="str">
        <f ca="1"/>
        <v/>
      </c>
      <c r="CI1533" s="42" t="str">
        <f ca="1"/>
        <v/>
      </c>
      <c r="CJ1533" s="42" t="str">
        <f ca="1"/>
        <v/>
      </c>
      <c r="CK1533" s="42" t="str">
        <f ca="1"/>
        <v/>
      </c>
      <c r="CL1533" s="42" t="str">
        <f ca="1"/>
        <v/>
      </c>
      <c r="CM1533" s="42" t="str">
        <f ca="1"/>
        <v/>
      </c>
      <c r="CN1533" s="42" t="str">
        <f ca="1"/>
        <v/>
      </c>
      <c r="CO1533" s="42" t="str">
        <f ca="1"/>
        <v/>
      </c>
      <c r="CP1533" s="42" t="str">
        <f ca="1"/>
        <v/>
      </c>
      <c r="CQ1533" s="42" t="str">
        <f ca="1"/>
        <v/>
      </c>
      <c r="CR1533" s="42" t="str">
        <f ca="1"/>
        <v/>
      </c>
      <c r="CS1533" s="42" t="str">
        <f ca="1"/>
        <v/>
      </c>
      <c r="CT1533" s="42" t="str">
        <f ca="1"/>
        <v/>
      </c>
      <c r="CU1533" s="42" t="str">
        <f ca="1"/>
        <v/>
      </c>
      <c r="CV1533" s="42" t="str">
        <f ca="1"/>
        <v/>
      </c>
      <c r="CW1533" s="42" t="str">
        <f ca="1"/>
        <v/>
      </c>
      <c r="CX1533" s="42" t="str">
        <f ca="1"/>
        <v/>
      </c>
      <c r="CY1533" s="42" t="str">
        <f ca="1"/>
        <v/>
      </c>
      <c r="CZ1533" s="42" t="str">
        <f ca="1"/>
        <v/>
      </c>
      <c r="DA1533" s="42" t="str">
        <f ca="1"/>
        <v/>
      </c>
      <c r="DB1533" s="42" t="str">
        <f ca="1"/>
        <v/>
      </c>
      <c r="DC1533" s="42" t="str">
        <f ca="1"/>
        <v/>
      </c>
      <c r="DD1533" s="42" t="str">
        <f ca="1"/>
        <v/>
      </c>
      <c r="DE1533" s="42" t="str">
        <f ca="1"/>
        <v/>
      </c>
      <c r="DF1533" s="42" t="str">
        <f ca="1"/>
        <v/>
      </c>
      <c r="DG1533" s="42" t="str">
        <f ca="1"/>
        <v/>
      </c>
      <c r="DH1533" s="42" t="str">
        <f ca="1"/>
        <v/>
      </c>
      <c r="DI1533" s="42" t="str">
        <f ca="1"/>
        <v/>
      </c>
      <c r="DJ1533" s="42" t="str">
        <f ca="1"/>
        <v/>
      </c>
      <c r="DK1533" s="42" t="str">
        <f ca="1"/>
        <v/>
      </c>
      <c r="DL1533" s="42" t="str">
        <f ca="1"/>
        <v/>
      </c>
      <c r="DM1533" s="42" t="str">
        <f ca="1"/>
        <v/>
      </c>
      <c r="DN1533" s="42" t="str">
        <f ca="1"/>
        <v/>
      </c>
      <c r="DO1533" s="42" t="str">
        <f ca="1"/>
        <v/>
      </c>
      <c r="DP1533" s="42" t="str">
        <f ca="1"/>
        <v/>
      </c>
      <c r="DQ1533" s="42" t="str">
        <f ca="1"/>
        <v/>
      </c>
      <c r="DR1533" s="42" t="str">
        <f ca="1"/>
        <v/>
      </c>
      <c r="DS1533" s="42" t="str">
        <f ca="1"/>
        <v/>
      </c>
      <c r="DT1533" s="42" t="str">
        <f ca="1"/>
        <v/>
      </c>
      <c r="DU1533" s="42" t="str">
        <f ca="1"/>
        <v/>
      </c>
      <c r="DV1533" s="42" t="str">
        <f ca="1"/>
        <v/>
      </c>
      <c r="DW1533" s="42" t="str">
        <f ca="1"/>
        <v/>
      </c>
      <c r="DX1533" s="42" t="str">
        <f ca="1"/>
        <v/>
      </c>
      <c r="DY1533" s="42" t="str">
        <f ca="1"/>
        <v/>
      </c>
      <c r="DZ1533" s="42" t="str">
        <f ca="1"/>
        <v/>
      </c>
      <c r="EA1533" s="42" t="str">
        <f ca="1"/>
        <v/>
      </c>
      <c r="EB1533" s="42" t="str">
        <f ca="1"/>
        <v/>
      </c>
      <c r="EC1533" s="42" t="str">
        <f ca="1"/>
        <v/>
      </c>
      <c r="ED1533" s="42" t="str">
        <f ca="1"/>
        <v/>
      </c>
      <c r="EE1533" s="42" t="str">
        <f ca="1"/>
        <v/>
      </c>
      <c r="EF1533" s="42" t="str">
        <f ca="1"/>
        <v/>
      </c>
      <c r="EG1533" s="42" t="str">
        <f ca="1"/>
        <v/>
      </c>
      <c r="EH1533" s="42" t="str">
        <f ca="1"/>
        <v/>
      </c>
      <c r="EI1533" s="42" t="str">
        <f ca="1"/>
        <v/>
      </c>
      <c r="EJ1533" s="42" t="str">
        <f ca="1"/>
        <v/>
      </c>
      <c r="EK1533" s="42" t="str">
        <f ca="1"/>
        <v/>
      </c>
      <c r="EL1533" s="42" t="str">
        <f ca="1"/>
        <v/>
      </c>
      <c r="EM1533" s="42" t="str">
        <f ca="1"/>
        <v/>
      </c>
      <c r="EN1533" s="42" t="str">
        <f ca="1"/>
        <v/>
      </c>
      <c r="EO1533" s="42" t="str">
        <f ca="1"/>
        <v/>
      </c>
      <c r="EP1533" s="42" t="str">
        <f ca="1"/>
        <v/>
      </c>
      <c r="EQ1533" s="42" t="str">
        <f ca="1"/>
        <v/>
      </c>
      <c r="ER1533" s="42" t="str">
        <f ca="1"/>
        <v/>
      </c>
      <c r="ES1533" s="42" t="str">
        <f ca="1"/>
        <v/>
      </c>
      <c r="ET1533" s="42" t="str">
        <f ca="1"/>
        <v/>
      </c>
      <c r="EU1533" s="42" t="str">
        <f ca="1"/>
        <v/>
      </c>
      <c r="EV1533" s="42" t="str">
        <f ca="1"/>
        <v/>
      </c>
      <c r="EW1533" s="42" t="str">
        <f ca="1"/>
        <v/>
      </c>
      <c r="EX1533" s="42" t="str">
        <f ca="1"/>
        <v/>
      </c>
      <c r="EY1533" s="42" t="str">
        <f ca="1"/>
        <v/>
      </c>
      <c r="EZ1533" s="42" t="str">
        <f ca="1"/>
        <v/>
      </c>
      <c r="FA1533" s="42" t="str">
        <f ca="1"/>
        <v/>
      </c>
      <c r="FB1533" s="42" t="str">
        <f ca="1"/>
        <v/>
      </c>
      <c r="FC1533" s="42" t="str">
        <f ca="1"/>
        <v/>
      </c>
      <c r="FD1533" s="42" t="str">
        <f ca="1"/>
        <v/>
      </c>
      <c r="FE1533" s="42" t="str">
        <f ca="1"/>
        <v/>
      </c>
      <c r="FF1533" s="42" t="str">
        <f ca="1"/>
        <v/>
      </c>
      <c r="FG1533" s="42" t="str">
        <f ca="1"/>
        <v/>
      </c>
      <c r="FH1533" s="42" t="str">
        <f ca="1"/>
        <v/>
      </c>
      <c r="FI1533" s="42" t="str">
        <f ca="1"/>
        <v/>
      </c>
      <c r="FJ1533" s="42" t="str">
        <f ca="1"/>
        <v/>
      </c>
      <c r="FK1533" s="42" t="str">
        <f ca="1"/>
        <v/>
      </c>
      <c r="FL1533" s="42" t="str">
        <f ca="1"/>
        <v/>
      </c>
      <c r="FM1533" s="42" t="str">
        <f ca="1"/>
        <v/>
      </c>
      <c r="FN1533" s="42" t="str">
        <f ca="1"/>
        <v/>
      </c>
      <c r="FO1533" s="42" t="str">
        <f ca="1"/>
        <v/>
      </c>
      <c r="FP1533" s="42" t="str">
        <f ca="1"/>
        <v/>
      </c>
      <c r="FQ1533" s="42" t="str">
        <f ca="1"/>
        <v/>
      </c>
      <c r="FR1533" s="42" t="str">
        <f ca="1"/>
        <v/>
      </c>
      <c r="FS1533" s="42" t="str">
        <f ca="1"/>
        <v/>
      </c>
      <c r="FT1533" s="42" t="str">
        <f ca="1"/>
        <v/>
      </c>
      <c r="FU1533" s="42" t="str">
        <f ca="1"/>
        <v/>
      </c>
      <c r="FV1533" s="42" t="str">
        <f ca="1"/>
        <v/>
      </c>
      <c r="FW1533" s="42" t="str">
        <f ca="1"/>
        <v/>
      </c>
      <c r="FX1533" s="42" t="str">
        <f ca="1"/>
        <v/>
      </c>
      <c r="FY1533" s="42" t="str">
        <f ca="1"/>
        <v/>
      </c>
      <c r="FZ1533" s="42" t="str">
        <f ca="1"/>
        <v/>
      </c>
      <c r="GA1533" s="42" t="str">
        <f ca="1"/>
        <v/>
      </c>
      <c r="GB1533" s="42" t="str">
        <f ca="1"/>
        <v/>
      </c>
      <c r="GC1533" s="42" t="str">
        <f ca="1"/>
        <v/>
      </c>
      <c r="GD1533" s="42" t="str">
        <f ca="1"/>
        <v/>
      </c>
      <c r="GE1533" s="42" t="str">
        <f ca="1"/>
        <v/>
      </c>
      <c r="GF1533" s="42" t="str">
        <f ca="1"/>
        <v/>
      </c>
      <c r="GG1533" s="42" t="str">
        <f ca="1"/>
        <v/>
      </c>
      <c r="GH1533" s="42" t="str">
        <f ca="1"/>
        <v/>
      </c>
      <c r="GI1533" s="42" t="str">
        <f ca="1"/>
        <v/>
      </c>
      <c r="GJ1533" s="42" t="str">
        <f ca="1"/>
        <v/>
      </c>
      <c r="GK1533" s="42" t="str">
        <f ca="1"/>
        <v/>
      </c>
      <c r="GL1533" s="42" t="str">
        <f ca="1"/>
        <v/>
      </c>
      <c r="GM1533" s="42" t="str">
        <f ca="1"/>
        <v/>
      </c>
      <c r="GN1533" s="42" t="str">
        <f ca="1"/>
        <v/>
      </c>
      <c r="GO1533" s="42" t="str">
        <f ca="1"/>
        <v/>
      </c>
      <c r="GP1533" s="42" t="str">
        <f ca="1"/>
        <v/>
      </c>
      <c r="GQ1533" s="42" t="str">
        <f ca="1"/>
        <v/>
      </c>
      <c r="GR1533" s="42" t="str">
        <f ca="1"/>
        <v/>
      </c>
      <c r="GS1533" s="42" t="str">
        <f ca="1"/>
        <v/>
      </c>
      <c r="GT1533" s="42" t="str">
        <f ca="1"/>
        <v/>
      </c>
      <c r="GU1533" s="42" t="str">
        <f ca="1"/>
        <v/>
      </c>
      <c r="GV1533" s="42" t="str">
        <f ca="1"/>
        <v/>
      </c>
      <c r="GW1533" s="42" t="str">
        <f ca="1"/>
        <v/>
      </c>
      <c r="GX1533" s="42" t="str">
        <f ca="1"/>
        <v/>
      </c>
      <c r="GY1533" s="42" t="str">
        <f ca="1"/>
        <v/>
      </c>
      <c r="GZ1533" s="42" t="str">
        <f ca="1"/>
        <v/>
      </c>
      <c r="HA1533" s="42" t="str">
        <f ca="1"/>
        <v/>
      </c>
      <c r="HB1533" s="42" t="str">
        <f ca="1"/>
        <v/>
      </c>
      <c r="HC1533" s="42" t="str">
        <f ca="1"/>
        <v/>
      </c>
      <c r="HD1533" s="42" t="str">
        <f ca="1"/>
        <v/>
      </c>
      <c r="HE1533" s="42" t="str">
        <f ca="1"/>
        <v/>
      </c>
      <c r="HF1533" s="42" t="str">
        <f ca="1"/>
        <v/>
      </c>
      <c r="HG1533" s="42" t="str">
        <f ca="1"/>
        <v/>
      </c>
      <c r="HH1533" s="42" t="str">
        <f ca="1"/>
        <v/>
      </c>
      <c r="HI1533" s="42" t="str">
        <f ca="1"/>
        <v/>
      </c>
      <c r="HJ1533" s="42" t="str">
        <f ca="1"/>
        <v/>
      </c>
      <c r="HK1533" s="42" t="str">
        <f ca="1"/>
        <v/>
      </c>
      <c r="HL1533" s="42" t="str">
        <f ca="1"/>
        <v/>
      </c>
      <c r="HM1533" s="42" t="str">
        <f ca="1"/>
        <v/>
      </c>
      <c r="HN1533" s="42" t="str">
        <f ca="1"/>
        <v/>
      </c>
      <c r="HO1533" s="42" t="str">
        <f ca="1"/>
        <v/>
      </c>
      <c r="HP1533" s="42" t="str">
        <f ca="1"/>
        <v/>
      </c>
      <c r="HQ1533" s="42" t="str">
        <f ca="1"/>
        <v/>
      </c>
      <c r="HR1533" s="42" t="str">
        <f ca="1"/>
        <v/>
      </c>
      <c r="HS1533" s="42" t="str">
        <f ca="1"/>
        <v/>
      </c>
      <c r="HT1533" s="42" t="str">
        <f ca="1"/>
        <v/>
      </c>
      <c r="HU1533" s="42" t="str">
        <f ca="1"/>
        <v/>
      </c>
      <c r="HV1533" s="42" t="str">
        <f ca="1"/>
        <v/>
      </c>
      <c r="HW1533" s="42" t="str">
        <f ca="1"/>
        <v/>
      </c>
      <c r="HX1533" s="42" t="str">
        <f ca="1"/>
        <v/>
      </c>
      <c r="HY1533" s="42" t="str">
        <f ca="1"/>
        <v/>
      </c>
      <c r="HZ1533" s="42" t="str">
        <f ca="1"/>
        <v/>
      </c>
      <c r="IA1533" s="42" t="str">
        <f ca="1"/>
        <v/>
      </c>
      <c r="IB1533" s="42" t="str">
        <f ca="1"/>
        <v/>
      </c>
      <c r="IC1533" s="42" t="str">
        <f ca="1"/>
        <v/>
      </c>
      <c r="ID1533" s="42" t="str">
        <f ca="1"/>
        <v/>
      </c>
      <c r="IE1533" s="42" t="str">
        <f ca="1"/>
        <v/>
      </c>
      <c r="IF1533" s="42" t="str">
        <f ca="1"/>
        <v/>
      </c>
      <c r="IG1533" s="42" t="str">
        <f ca="1"/>
        <v/>
      </c>
      <c r="IH1533" s="42" t="str">
        <f ca="1"/>
        <v/>
      </c>
      <c r="II1533" s="42" t="str">
        <f ca="1"/>
        <v/>
      </c>
      <c r="IJ1533" s="42" t="str">
        <f ca="1"/>
        <v/>
      </c>
      <c r="IK1533" s="42" t="str">
        <f ca="1"/>
        <v/>
      </c>
      <c r="IL1533" s="42" t="str">
        <f ca="1"/>
        <v/>
      </c>
      <c r="IM1533" s="42" t="str">
        <f ca="1"/>
        <v/>
      </c>
      <c r="IN1533" s="42" t="str">
        <f ca="1"/>
        <v/>
      </c>
      <c r="IO1533" s="42" t="str">
        <f ca="1"/>
        <v/>
      </c>
      <c r="IP1533" s="42" t="str">
        <f ca="1"/>
        <v/>
      </c>
      <c r="IQ1533" s="42" t="str">
        <f ca="1"/>
        <v/>
      </c>
      <c r="IR1533" s="42" t="str">
        <f ca="1"/>
        <v/>
      </c>
      <c r="IS1533" s="42" t="str">
        <f ca="1"/>
        <v/>
      </c>
      <c r="IT1533" s="42" t="str">
        <f ca="1"/>
        <v/>
      </c>
      <c r="IU1533" s="42" t="str">
        <f ca="1"/>
        <v/>
      </c>
      <c r="IV1533" s="42" t="str">
        <f ca="1"/>
        <v/>
      </c>
      <c r="IW1533" s="42" t="str">
        <f ca="1"/>
        <v/>
      </c>
      <c r="IX1533" s="42" t="str">
        <f ca="1"/>
        <v/>
      </c>
      <c r="IY1533" s="42" t="str">
        <f ca="1"/>
        <v/>
      </c>
      <c r="IZ1533" s="42" t="str">
        <f ca="1"/>
        <v/>
      </c>
      <c r="JA1533" s="42" t="str">
        <f ca="1"/>
        <v/>
      </c>
      <c r="JB1533" s="42" t="str">
        <f ca="1"/>
        <v/>
      </c>
      <c r="JC1533" s="42" t="str">
        <f ca="1"/>
        <v/>
      </c>
      <c r="JD1533" s="42" t="str">
        <f ca="1"/>
        <v/>
      </c>
      <c r="JE1533" s="42" t="str">
        <f ca="1"/>
        <v/>
      </c>
      <c r="JF1533" s="42" t="str">
        <f ca="1"/>
        <v/>
      </c>
      <c r="JG1533" s="42" t="str">
        <f ca="1"/>
        <v/>
      </c>
      <c r="JH1533" s="42" t="str">
        <f ca="1"/>
        <v/>
      </c>
      <c r="JI1533" s="42" t="str">
        <f ca="1"/>
        <v/>
      </c>
      <c r="JJ1533" s="42" t="str">
        <f ca="1"/>
        <v/>
      </c>
      <c r="JK1533" s="42" t="str">
        <f ca="1"/>
        <v/>
      </c>
      <c r="JL1533" s="42" t="str">
        <f ca="1"/>
        <v/>
      </c>
      <c r="JM1533" s="42" t="str">
        <f ca="1"/>
        <v/>
      </c>
      <c r="JN1533" s="42" t="str">
        <f ca="1"/>
        <v/>
      </c>
      <c r="JO1533" s="42" t="str">
        <f ca="1"/>
        <v/>
      </c>
      <c r="JP1533" s="42" t="str">
        <f ca="1"/>
        <v/>
      </c>
      <c r="JQ1533" s="42" t="str">
        <f ca="1"/>
        <v/>
      </c>
      <c r="JR1533" s="42" t="str">
        <f ca="1"/>
        <v/>
      </c>
      <c r="JS1533" s="42" t="str">
        <f ca="1"/>
        <v/>
      </c>
      <c r="JT1533" s="42" t="str">
        <f ca="1"/>
        <v/>
      </c>
      <c r="JU1533" s="42" t="str">
        <f ca="1"/>
        <v/>
      </c>
      <c r="JV1533" s="42" t="str">
        <f ca="1"/>
        <v/>
      </c>
      <c r="JW1533" s="42" t="str">
        <f ca="1"/>
        <v/>
      </c>
      <c r="JX1533" s="42" t="str">
        <f ca="1"/>
        <v/>
      </c>
      <c r="JY1533" s="42" t="str">
        <f ca="1"/>
        <v/>
      </c>
      <c r="JZ1533" s="42" t="str">
        <f ca="1"/>
        <v/>
      </c>
      <c r="KA1533" s="42" t="str">
        <f ca="1"/>
        <v/>
      </c>
      <c r="KB1533" s="42" t="str">
        <f ca="1"/>
        <v/>
      </c>
      <c r="KC1533" s="42" t="str">
        <f ca="1"/>
        <v/>
      </c>
      <c r="KD1533" s="42" t="str">
        <f ca="1"/>
        <v/>
      </c>
      <c r="KE1533" s="42" t="str">
        <f ca="1"/>
        <v/>
      </c>
      <c r="KF1533" s="42" t="str">
        <f ca="1"/>
        <v/>
      </c>
      <c r="KG1533" s="42" t="str">
        <f ca="1"/>
        <v/>
      </c>
      <c r="KH1533" s="42" t="str">
        <f ca="1"/>
        <v/>
      </c>
      <c r="KI1533" s="42" t="str">
        <f ca="1"/>
        <v/>
      </c>
      <c r="KJ1533" s="42" t="str">
        <f ca="1"/>
        <v/>
      </c>
      <c r="KK1533" s="42" t="str">
        <f ca="1"/>
        <v/>
      </c>
      <c r="KL1533" s="42" t="str">
        <f ca="1"/>
        <v/>
      </c>
      <c r="KM1533" s="42" t="str">
        <f ca="1"/>
        <v/>
      </c>
      <c r="KN1533" s="42" t="str">
        <f ca="1"/>
        <v/>
      </c>
      <c r="KO1533" s="42" t="str">
        <f ca="1"/>
        <v/>
      </c>
      <c r="KP1533" s="42" t="str">
        <f ca="1"/>
        <v/>
      </c>
      <c r="KQ1533" s="42" t="str">
        <f ca="1"/>
        <v/>
      </c>
      <c r="KR1533" s="42" t="str">
        <f ca="1"/>
        <v/>
      </c>
      <c r="KS1533" s="42" t="str">
        <f ca="1"/>
        <v/>
      </c>
      <c r="KT1533" s="42" t="str">
        <f ca="1"/>
        <v/>
      </c>
      <c r="KU1533" s="42" t="str">
        <f ca="1"/>
        <v/>
      </c>
      <c r="KV1533" s="42" t="str">
        <f ca="1"/>
        <v/>
      </c>
      <c r="KW1533" s="42" t="str">
        <f ca="1"/>
        <v/>
      </c>
      <c r="KX1533" s="42" t="str">
        <f ca="1"/>
        <v/>
      </c>
      <c r="KY1533" s="42" t="str">
        <f ca="1"/>
        <v/>
      </c>
      <c r="KZ1533" s="42" t="str">
        <f ca="1"/>
        <v/>
      </c>
      <c r="LA1533" s="42" t="str">
        <f ca="1"/>
        <v/>
      </c>
      <c r="LB1533" s="42" t="str">
        <f ca="1"/>
        <v/>
      </c>
      <c r="LC1533" s="42" t="str">
        <f ca="1"/>
        <v/>
      </c>
      <c r="LD1533" s="42" t="str">
        <f ca="1"/>
        <v/>
      </c>
      <c r="LE1533" s="42" t="str">
        <f ca="1"/>
        <v/>
      </c>
      <c r="LF1533" s="42" t="str">
        <f ca="1"/>
        <v/>
      </c>
      <c r="LG1533" s="42" t="str">
        <f ca="1"/>
        <v/>
      </c>
      <c r="LH1533" s="42" t="str">
        <f ca="1"/>
        <v/>
      </c>
      <c r="LI1533" s="42" t="str">
        <f ca="1"/>
        <v/>
      </c>
      <c r="LJ1533" s="42" t="str">
        <f ca="1"/>
        <v/>
      </c>
      <c r="LK1533" s="42" t="str">
        <f ca="1"/>
        <v/>
      </c>
      <c r="LL1533" s="42" t="str">
        <f ca="1"/>
        <v/>
      </c>
      <c r="LM1533" s="42" t="str">
        <f ca="1"/>
        <v/>
      </c>
      <c r="LN1533" s="42" t="str">
        <f ca="1"/>
        <v/>
      </c>
      <c r="LO1533" s="42" t="str">
        <f ca="1"/>
        <v/>
      </c>
      <c r="LP1533" s="42" t="str">
        <f ca="1"/>
        <v/>
      </c>
      <c r="LQ1533" s="42" t="str">
        <f ca="1"/>
        <v/>
      </c>
      <c r="LR1533" s="42" t="str">
        <f ca="1"/>
        <v/>
      </c>
      <c r="LS1533" s="42" t="str">
        <f ca="1"/>
        <v/>
      </c>
      <c r="LT1533" s="42" t="str">
        <f ca="1"/>
        <v/>
      </c>
      <c r="LU1533" s="42" t="str">
        <f ca="1"/>
        <v/>
      </c>
      <c r="LV1533" s="42" t="str">
        <f ca="1"/>
        <v/>
      </c>
      <c r="LW1533" s="42" t="str">
        <f ca="1"/>
        <v/>
      </c>
      <c r="LX1533" s="42" t="str">
        <f ca="1"/>
        <v/>
      </c>
      <c r="LY1533" s="42" t="str">
        <f ca="1"/>
        <v/>
      </c>
      <c r="LZ1533" s="42" t="str">
        <f ca="1"/>
        <v/>
      </c>
      <c r="MA1533" s="42" t="str">
        <f ca="1"/>
        <v/>
      </c>
      <c r="MB1533" s="42" t="str">
        <f ca="1"/>
        <v/>
      </c>
      <c r="MC1533" s="42" t="str">
        <f ca="1"/>
        <v/>
      </c>
      <c r="MD1533" s="42" t="str">
        <f ca="1"/>
        <v/>
      </c>
      <c r="ME1533" s="42" t="str">
        <f ca="1"/>
        <v/>
      </c>
      <c r="MF1533" s="42" t="str">
        <f ca="1"/>
        <v/>
      </c>
      <c r="MG1533" s="42" t="str">
        <f ca="1"/>
        <v/>
      </c>
      <c r="MH1533" s="42" t="str">
        <f ca="1"/>
        <v/>
      </c>
      <c r="MI1533" s="42" t="str">
        <f ca="1"/>
        <v/>
      </c>
      <c r="MJ1533" s="42" t="str">
        <f ca="1"/>
        <v/>
      </c>
      <c r="MK1533" s="42" t="str">
        <f ca="1"/>
        <v/>
      </c>
      <c r="ML1533" s="42" t="str">
        <f ca="1"/>
        <v/>
      </c>
      <c r="MM1533" s="42" t="str">
        <f ca="1"/>
        <v/>
      </c>
      <c r="MN1533" s="42" t="str">
        <f ca="1"/>
        <v/>
      </c>
      <c r="MO1533" s="42" t="str">
        <f ca="1"/>
        <v/>
      </c>
      <c r="MP1533" s="42" t="str">
        <f ca="1"/>
        <v/>
      </c>
      <c r="MQ1533" s="42" t="str">
        <f ca="1"/>
        <v/>
      </c>
      <c r="MR1533" s="42" t="str">
        <f ca="1"/>
        <v/>
      </c>
      <c r="MS1533" s="42" t="str">
        <f ca="1"/>
        <v/>
      </c>
      <c r="MT1533" s="42" t="str">
        <f ca="1"/>
        <v/>
      </c>
      <c r="MU1533" s="42" t="str">
        <f ca="1"/>
        <v/>
      </c>
      <c r="MV1533" s="42" t="str">
        <f ca="1"/>
        <v/>
      </c>
      <c r="MW1533" s="42" t="str">
        <f ca="1"/>
        <v/>
      </c>
      <c r="MX1533" s="42" t="str">
        <f ca="1"/>
        <v/>
      </c>
      <c r="MY1533" s="42" t="str">
        <f ca="1"/>
        <v/>
      </c>
      <c r="MZ1533" s="42" t="str">
        <f ca="1"/>
        <v/>
      </c>
      <c r="NA1533" s="42" t="str">
        <f ca="1"/>
        <v/>
      </c>
      <c r="NB1533" s="42" t="str">
        <f ca="1"/>
        <v/>
      </c>
      <c r="NC1533" s="42" t="str">
        <f ca="1"/>
        <v/>
      </c>
      <c r="ND1533" s="42" t="str">
        <f ca="1"/>
        <v/>
      </c>
      <c r="NE1533" s="42" t="str">
        <f ca="1"/>
        <v/>
      </c>
      <c r="NF1533" s="42" t="str">
        <f ca="1"/>
        <v/>
      </c>
      <c r="NG1533" s="42" t="str">
        <f ca="1"/>
        <v/>
      </c>
      <c r="NH1533" s="42" t="str">
        <f ca="1"/>
        <v/>
      </c>
      <c r="NI1533" s="42" t="str">
        <f ca="1"/>
        <v/>
      </c>
      <c r="NJ1533" s="42" t="str">
        <f ca="1"/>
        <v/>
      </c>
      <c r="NK1533" s="42" t="str">
        <f ca="1"/>
        <v/>
      </c>
      <c r="NL1533" s="42" t="str">
        <f ca="1"/>
        <v/>
      </c>
      <c r="NM1533" s="42" t="str">
        <f ca="1"/>
        <v/>
      </c>
      <c r="NN1533" s="42" t="str">
        <f ca="1"/>
        <v/>
      </c>
      <c r="NO1533" s="42" t="str">
        <f ca="1"/>
        <v/>
      </c>
      <c r="NP1533" s="42" t="str">
        <f ca="1"/>
        <v/>
      </c>
      <c r="NQ1533" s="42" t="str">
        <f ca="1"/>
        <v/>
      </c>
      <c r="NR1533" s="42" t="str">
        <f ca="1"/>
        <v/>
      </c>
      <c r="NS1533" s="42" t="str">
        <f ca="1"/>
        <v/>
      </c>
      <c r="NT1533" s="42" t="str">
        <f ca="1"/>
        <v/>
      </c>
      <c r="NU1533" s="42" t="str">
        <f ca="1"/>
        <v/>
      </c>
      <c r="NV1533" s="42" t="str">
        <f ca="1"/>
        <v/>
      </c>
      <c r="NW1533" s="42" t="str">
        <f ca="1"/>
        <v/>
      </c>
      <c r="NX1533" s="42" t="str">
        <f ca="1"/>
        <v/>
      </c>
      <c r="NY1533" s="42" t="str">
        <f ca="1"/>
        <v/>
      </c>
      <c r="NZ1533" s="42" t="str">
        <f ca="1"/>
        <v/>
      </c>
      <c r="OA1533" s="42" t="str">
        <f ca="1"/>
        <v/>
      </c>
      <c r="OB1533" s="42" t="str">
        <f ca="1"/>
        <v/>
      </c>
      <c r="OC1533" s="42" t="str">
        <f ca="1"/>
        <v/>
      </c>
      <c r="OD1533" s="42" t="str">
        <f ca="1"/>
        <v/>
      </c>
      <c r="OE1533" s="42" t="str">
        <f ca="1"/>
        <v/>
      </c>
      <c r="OF1533" s="42" t="str">
        <f ca="1"/>
        <v/>
      </c>
      <c r="OG1533" s="42" t="str">
        <f ca="1"/>
        <v/>
      </c>
      <c r="OH1533" s="42" t="str">
        <f ca="1"/>
        <v/>
      </c>
      <c r="OI1533" s="42" t="str">
        <f ca="1"/>
        <v/>
      </c>
      <c r="OJ1533" s="42" t="str">
        <f ca="1"/>
        <v/>
      </c>
      <c r="OK1533" s="42" t="str">
        <f ca="1"/>
        <v/>
      </c>
      <c r="OL1533" s="42" t="str">
        <f ca="1"/>
        <v/>
      </c>
      <c r="OM1533" s="42" t="str">
        <f ca="1"/>
        <v/>
      </c>
      <c r="ON1533" s="42" t="str">
        <f ca="1"/>
        <v/>
      </c>
      <c r="OO1533" s="42" t="str">
        <f ca="1"/>
        <v/>
      </c>
      <c r="OP1533" s="42" t="str">
        <f ca="1"/>
        <v/>
      </c>
      <c r="OQ1533" s="42" t="str">
        <f ca="1"/>
        <v/>
      </c>
      <c r="OR1533" s="42" t="str">
        <f ca="1"/>
        <v/>
      </c>
      <c r="OS1533" s="42" t="str">
        <f ca="1"/>
        <v/>
      </c>
      <c r="OT1533" s="42" t="str">
        <f ca="1"/>
        <v/>
      </c>
      <c r="OU1533" s="42" t="str">
        <f ca="1"/>
        <v/>
      </c>
      <c r="OV1533" s="42" t="str">
        <f ca="1"/>
        <v/>
      </c>
      <c r="OW1533" s="42" t="str">
        <f ca="1"/>
        <v/>
      </c>
      <c r="OX1533" s="42" t="str">
        <f ca="1"/>
        <v/>
      </c>
      <c r="OY1533" s="42" t="str">
        <f ca="1"/>
        <v/>
      </c>
      <c r="OZ1533" s="42" t="str">
        <f ca="1"/>
        <v/>
      </c>
      <c r="PA1533" s="42" t="str">
        <f ca="1"/>
        <v/>
      </c>
      <c r="PB1533" s="42" t="str">
        <f ca="1"/>
        <v/>
      </c>
      <c r="PC1533" s="42" t="str">
        <f ca="1"/>
        <v/>
      </c>
      <c r="PD1533" s="42" t="str">
        <f ca="1"/>
        <v/>
      </c>
      <c r="PE1533" s="42" t="str">
        <f ca="1"/>
        <v/>
      </c>
      <c r="PF1533" s="42" t="str">
        <f ca="1"/>
        <v/>
      </c>
      <c r="PG1533" s="42" t="str">
        <f ca="1"/>
        <v/>
      </c>
      <c r="PH1533" s="42" t="str">
        <f ca="1"/>
        <v/>
      </c>
      <c r="PI1533" s="42" t="str">
        <f ca="1"/>
        <v/>
      </c>
      <c r="PJ1533" s="42" t="str">
        <f ca="1"/>
        <v/>
      </c>
      <c r="PK1533" s="42" t="str">
        <f ca="1"/>
        <v/>
      </c>
      <c r="PL1533" s="42" t="str">
        <f ca="1"/>
        <v/>
      </c>
      <c r="PM1533" s="42" t="str">
        <f ca="1"/>
        <v/>
      </c>
      <c r="PN1533" s="42" t="str">
        <f ca="1"/>
        <v/>
      </c>
      <c r="PO1533" s="42" t="str">
        <f ca="1"/>
        <v/>
      </c>
      <c r="PP1533" s="42" t="str">
        <f ca="1"/>
        <v/>
      </c>
      <c r="PQ1533" s="42" t="str">
        <f ca="1"/>
        <v/>
      </c>
      <c r="PR1533" s="42" t="str">
        <f ca="1"/>
        <v/>
      </c>
      <c r="PS1533" s="42" t="str">
        <f ca="1"/>
        <v/>
      </c>
      <c r="PT1533" s="42" t="str">
        <f ca="1"/>
        <v/>
      </c>
      <c r="PU1533" s="42" t="str">
        <f ca="1"/>
        <v/>
      </c>
      <c r="PV1533" s="42" t="str">
        <f ca="1"/>
        <v/>
      </c>
      <c r="PW1533" s="42" t="str">
        <f ca="1"/>
        <v/>
      </c>
      <c r="PX1533" s="42" t="str">
        <f ca="1"/>
        <v/>
      </c>
      <c r="PY1533" s="42" t="str">
        <f ca="1"/>
        <v/>
      </c>
      <c r="PZ1533" s="42" t="str">
        <f ca="1"/>
        <v/>
      </c>
      <c r="QA1533" s="42" t="str">
        <f ca="1"/>
        <v/>
      </c>
      <c r="QB1533" s="42" t="str">
        <f ca="1"/>
        <v/>
      </c>
      <c r="QC1533" s="42" t="str">
        <f ca="1"/>
        <v/>
      </c>
      <c r="QD1533" s="42" t="str">
        <f ca="1"/>
        <v/>
      </c>
      <c r="QE1533" s="42" t="str">
        <f ca="1"/>
        <v/>
      </c>
      <c r="QF1533" s="42" t="str">
        <f ca="1"/>
        <v/>
      </c>
      <c r="QG1533" s="42" t="str">
        <f ca="1"/>
        <v/>
      </c>
      <c r="QH1533" s="42" t="str">
        <f ca="1"/>
        <v/>
      </c>
      <c r="QI1533" s="42" t="str">
        <f ca="1"/>
        <v/>
      </c>
      <c r="QJ1533" s="42" t="str">
        <f ca="1"/>
        <v/>
      </c>
      <c r="QK1533" s="42" t="str">
        <f ca="1"/>
        <v/>
      </c>
      <c r="QL1533" s="42" t="str">
        <f ca="1"/>
        <v/>
      </c>
      <c r="QM1533" s="42" t="str">
        <f ca="1"/>
        <v/>
      </c>
      <c r="QN1533" s="42" t="str">
        <f ca="1"/>
        <v/>
      </c>
      <c r="QO1533" s="42" t="str">
        <f ca="1"/>
        <v/>
      </c>
      <c r="QP1533" s="42" t="str">
        <f ca="1"/>
        <v/>
      </c>
      <c r="QQ1533" s="42" t="str">
        <f ca="1"/>
        <v/>
      </c>
      <c r="QR1533" s="42" t="str">
        <f ca="1"/>
        <v/>
      </c>
      <c r="QS1533" s="42" t="str">
        <f ca="1"/>
        <v/>
      </c>
      <c r="QT1533" s="42" t="str">
        <f ca="1"/>
        <v/>
      </c>
      <c r="QU1533" s="42" t="str">
        <f ca="1"/>
        <v/>
      </c>
      <c r="QV1533" s="42" t="str">
        <f ca="1"/>
        <v/>
      </c>
      <c r="QW1533" s="42" t="str">
        <f ca="1"/>
        <v/>
      </c>
      <c r="QX1533" s="42" t="str">
        <f ca="1"/>
        <v/>
      </c>
      <c r="QY1533" s="42" t="str">
        <f ca="1"/>
        <v/>
      </c>
      <c r="QZ1533" s="42" t="str">
        <f ca="1"/>
        <v/>
      </c>
      <c r="RA1533" s="42" t="str">
        <f ca="1"/>
        <v/>
      </c>
      <c r="RB1533" s="42" t="str">
        <f ca="1"/>
        <v/>
      </c>
      <c r="RC1533" s="42" t="str">
        <f ca="1"/>
        <v/>
      </c>
      <c r="RD1533" s="42" t="str">
        <f ca="1"/>
        <v/>
      </c>
      <c r="RE1533" s="42" t="str">
        <f ca="1"/>
        <v/>
      </c>
      <c r="RF1533" s="42" t="str">
        <f ca="1"/>
        <v/>
      </c>
      <c r="RG1533" s="42" t="str">
        <f ca="1"/>
        <v/>
      </c>
      <c r="RH1533" s="42" t="str">
        <f ca="1"/>
        <v/>
      </c>
      <c r="RI1533" s="42" t="str">
        <f ca="1"/>
        <v/>
      </c>
      <c r="RJ1533" s="42" t="str">
        <f ca="1"/>
        <v/>
      </c>
      <c r="RK1533" s="42" t="str">
        <f ca="1"/>
        <v/>
      </c>
      <c r="RL1533" s="42" t="str">
        <f ca="1"/>
        <v/>
      </c>
      <c r="RM1533" s="42" t="str">
        <f ca="1"/>
        <v/>
      </c>
      <c r="RN1533" s="42" t="str">
        <f ca="1"/>
        <v/>
      </c>
      <c r="RO1533" s="42" t="str">
        <f ca="1"/>
        <v/>
      </c>
      <c r="RP1533" s="42" t="str">
        <f ca="1"/>
        <v/>
      </c>
      <c r="RQ1533" s="42" t="str">
        <f ca="1"/>
        <v/>
      </c>
      <c r="RR1533" s="42" t="str">
        <f ca="1"/>
        <v/>
      </c>
      <c r="RS1533" s="42" t="str">
        <f ca="1"/>
        <v/>
      </c>
      <c r="RT1533" s="42" t="str">
        <f ca="1"/>
        <v/>
      </c>
      <c r="RU1533" s="42" t="str">
        <f ca="1"/>
        <v/>
      </c>
      <c r="RV1533" s="42" t="str">
        <f ca="1"/>
        <v/>
      </c>
      <c r="RW1533" s="42" t="str">
        <f ca="1"/>
        <v/>
      </c>
      <c r="RX1533" s="42" t="str">
        <f ca="1"/>
        <v/>
      </c>
      <c r="RY1533" s="42" t="str">
        <f ca="1"/>
        <v/>
      </c>
      <c r="RZ1533" s="42" t="str">
        <f ca="1"/>
        <v/>
      </c>
      <c r="SA1533" s="42" t="str">
        <f ca="1"/>
        <v/>
      </c>
      <c r="SB1533" s="42" t="str">
        <f ca="1"/>
        <v/>
      </c>
      <c r="SC1533" s="42" t="str">
        <f ca="1"/>
        <v/>
      </c>
      <c r="SD1533" s="42" t="str">
        <f ca="1"/>
        <v/>
      </c>
      <c r="SE1533" s="42" t="str">
        <f ca="1"/>
        <v/>
      </c>
      <c r="SF1533" s="42" t="str">
        <f ca="1"/>
        <v/>
      </c>
      <c r="SG1533" s="42" t="str">
        <f ca="1"/>
        <v/>
      </c>
      <c r="SH1533" s="42" t="str">
        <f ca="1"/>
        <v/>
      </c>
      <c r="SI1533" s="42" t="str">
        <f ca="1"/>
        <v/>
      </c>
      <c r="SJ1533" s="42" t="str">
        <f ca="1"/>
        <v/>
      </c>
      <c r="SK1533" s="42" t="str">
        <f ca="1"/>
        <v/>
      </c>
      <c r="SL1533" s="42" t="str">
        <f ca="1"/>
        <v/>
      </c>
      <c r="SM1533" s="42" t="str">
        <f ca="1"/>
        <v/>
      </c>
      <c r="SN1533" s="42" t="str">
        <f ca="1"/>
        <v/>
      </c>
      <c r="SO1533" s="42" t="str">
        <f ca="1"/>
        <v/>
      </c>
      <c r="SP1533" s="42" t="str">
        <f ca="1"/>
        <v/>
      </c>
      <c r="SQ1533" s="42" t="str">
        <f ca="1"/>
        <v/>
      </c>
      <c r="SR1533" s="42" t="str">
        <f ca="1"/>
        <v/>
      </c>
      <c r="SS1533" s="42" t="str">
        <f ca="1"/>
        <v/>
      </c>
      <c r="ST1533" s="42" t="str">
        <f ca="1"/>
        <v/>
      </c>
      <c r="SU1533" s="42" t="str">
        <f ca="1"/>
        <v/>
      </c>
      <c r="SV1533" s="42" t="str">
        <f ca="1"/>
        <v/>
      </c>
      <c r="SW1533" s="42" t="str">
        <f ca="1"/>
        <v/>
      </c>
      <c r="SX1533" s="42" t="str">
        <f ca="1"/>
        <v/>
      </c>
      <c r="SY1533" s="42" t="str">
        <f ca="1"/>
        <v/>
      </c>
      <c r="SZ1533" s="42" t="str">
        <f ca="1"/>
        <v/>
      </c>
      <c r="TA1533" s="42" t="str">
        <f ca="1"/>
        <v/>
      </c>
      <c r="TB1533" s="42" t="str">
        <f ca="1"/>
        <v/>
      </c>
      <c r="TC1533" s="42" t="str">
        <f ca="1"/>
        <v/>
      </c>
      <c r="TD1533" s="42" t="str">
        <f ca="1"/>
        <v/>
      </c>
      <c r="TE1533" s="42" t="str">
        <f ca="1"/>
        <v/>
      </c>
      <c r="TF1533" s="42" t="str">
        <f ca="1"/>
        <v/>
      </c>
      <c r="TG1533" s="42" t="str">
        <f ca="1"/>
        <v/>
      </c>
      <c r="TH1533" s="42" t="str">
        <f ca="1"/>
        <v/>
      </c>
      <c r="TI1533" s="42" t="str">
        <f ca="1"/>
        <v/>
      </c>
      <c r="TJ1533" s="42" t="str">
        <f ca="1"/>
        <v/>
      </c>
      <c r="TK1533" s="42" t="str">
        <f ca="1"/>
        <v/>
      </c>
      <c r="TL1533" s="42" t="str">
        <f ca="1"/>
        <v/>
      </c>
      <c r="TM1533" s="42" t="str">
        <f ca="1"/>
        <v/>
      </c>
      <c r="TN1533" s="42" t="str">
        <f ca="1"/>
        <v/>
      </c>
      <c r="TO1533" s="42" t="str">
        <f ca="1"/>
        <v/>
      </c>
      <c r="TP1533" s="42" t="str">
        <f ca="1"/>
        <v/>
      </c>
      <c r="TQ1533" s="42" t="str">
        <f ca="1"/>
        <v/>
      </c>
      <c r="TR1533" s="42" t="str">
        <f ca="1"/>
        <v/>
      </c>
      <c r="TS1533" s="42" t="str">
        <f ca="1"/>
        <v/>
      </c>
      <c r="TT1533" s="42" t="str">
        <f ca="1"/>
        <v/>
      </c>
      <c r="TU1533" s="42" t="str">
        <f ca="1"/>
        <v/>
      </c>
      <c r="TV1533" s="42" t="str">
        <f ca="1"/>
        <v/>
      </c>
      <c r="TW1533" s="42" t="str">
        <f ca="1"/>
        <v/>
      </c>
      <c r="TX1533" s="42" t="str">
        <f ca="1"/>
        <v/>
      </c>
      <c r="TY1533" s="42" t="str">
        <f ca="1"/>
        <v/>
      </c>
      <c r="TZ1533" s="42" t="str">
        <f ca="1"/>
        <v/>
      </c>
      <c r="UA1533" s="42" t="str">
        <f ca="1"/>
        <v/>
      </c>
      <c r="UB1533" s="42" t="str">
        <f ca="1"/>
        <v/>
      </c>
      <c r="UC1533" s="42" t="str">
        <f ca="1"/>
        <v/>
      </c>
      <c r="UD1533" s="42" t="str">
        <f ca="1"/>
        <v/>
      </c>
      <c r="UE1533" s="42" t="str">
        <f ca="1"/>
        <v/>
      </c>
      <c r="UF1533" s="42" t="str">
        <f ca="1"/>
        <v/>
      </c>
      <c r="UG1533" s="42" t="str">
        <f ca="1"/>
        <v/>
      </c>
      <c r="UH1533" s="42" t="str">
        <f ca="1"/>
        <v/>
      </c>
      <c r="UI1533" s="42" t="str">
        <f ca="1"/>
        <v/>
      </c>
      <c r="UJ1533" s="42" t="str">
        <f ca="1"/>
        <v/>
      </c>
      <c r="UK1533" s="42" t="str">
        <f ca="1"/>
        <v/>
      </c>
      <c r="UL1533" s="42" t="str">
        <f ca="1"/>
        <v/>
      </c>
      <c r="UM1533" s="42" t="str">
        <f ca="1"/>
        <v/>
      </c>
      <c r="UN1533" s="42" t="str">
        <f ca="1"/>
        <v/>
      </c>
      <c r="UO1533" s="42" t="str">
        <f ca="1"/>
        <v/>
      </c>
      <c r="UP1533" s="42" t="str">
        <f ca="1"/>
        <v/>
      </c>
      <c r="UQ1533" s="42" t="str">
        <f ca="1"/>
        <v/>
      </c>
      <c r="UR1533" s="42" t="str">
        <f ca="1"/>
        <v/>
      </c>
      <c r="US1533" s="42" t="str">
        <f ca="1"/>
        <v/>
      </c>
      <c r="UT1533" s="42" t="str">
        <f ca="1"/>
        <v/>
      </c>
      <c r="UU1533" s="42" t="str">
        <f ca="1"/>
        <v/>
      </c>
      <c r="UV1533" s="42" t="str">
        <f ca="1"/>
        <v/>
      </c>
      <c r="UW1533" s="42" t="str">
        <f ca="1"/>
        <v/>
      </c>
      <c r="UX1533" s="42" t="str">
        <f ca="1"/>
        <v/>
      </c>
      <c r="UY1533" s="42" t="str">
        <f ca="1"/>
        <v/>
      </c>
      <c r="UZ1533" s="42" t="str">
        <f ca="1"/>
        <v/>
      </c>
      <c r="VA1533" s="42" t="str">
        <f ca="1"/>
        <v/>
      </c>
      <c r="VB1533" s="42" t="str">
        <f ca="1"/>
        <v/>
      </c>
      <c r="VC1533" s="42" t="str">
        <f ca="1"/>
        <v/>
      </c>
      <c r="VD1533" s="42" t="str">
        <f ca="1"/>
        <v/>
      </c>
      <c r="VE1533" s="42" t="str">
        <f ca="1"/>
        <v/>
      </c>
      <c r="VF1533" s="42" t="str">
        <f ca="1"/>
        <v/>
      </c>
      <c r="VG1533" s="42" t="str">
        <f ca="1"/>
        <v/>
      </c>
      <c r="VH1533" s="42" t="str">
        <f ca="1"/>
        <v/>
      </c>
      <c r="VI1533" s="42" t="str">
        <f ca="1"/>
        <v/>
      </c>
      <c r="VJ1533" s="42" t="str">
        <f ca="1"/>
        <v/>
      </c>
      <c r="VK1533" s="42" t="str">
        <f ca="1"/>
        <v/>
      </c>
      <c r="VL1533" s="42" t="str">
        <f ca="1"/>
        <v/>
      </c>
      <c r="VM1533" s="42" t="str">
        <f ca="1"/>
        <v/>
      </c>
      <c r="VN1533" s="42" t="str">
        <f ca="1"/>
        <v/>
      </c>
      <c r="VO1533" s="42" t="str">
        <f ca="1"/>
        <v/>
      </c>
      <c r="VP1533" s="42" t="str">
        <f ca="1"/>
        <v/>
      </c>
      <c r="VQ1533" s="42" t="str">
        <f ca="1"/>
        <v/>
      </c>
      <c r="VR1533" s="42" t="str">
        <f ca="1"/>
        <v/>
      </c>
      <c r="VS1533" s="42" t="str">
        <f ca="1"/>
        <v/>
      </c>
      <c r="VT1533" s="42" t="str">
        <f ca="1"/>
        <v/>
      </c>
      <c r="VU1533" s="42" t="str">
        <f ca="1"/>
        <v/>
      </c>
      <c r="VV1533" s="42" t="str">
        <f ca="1"/>
        <v/>
      </c>
      <c r="VW1533" s="42" t="str">
        <f ca="1"/>
        <v/>
      </c>
      <c r="VX1533" s="42" t="str">
        <f ca="1"/>
        <v/>
      </c>
      <c r="VY1533" s="42" t="str">
        <f ca="1"/>
        <v/>
      </c>
      <c r="VZ1533" s="42" t="str">
        <f ca="1"/>
        <v/>
      </c>
      <c r="WA1533" s="42" t="str">
        <f ca="1"/>
        <v/>
      </c>
      <c r="WB1533" s="42" t="str">
        <f ca="1"/>
        <v/>
      </c>
      <c r="WC1533" s="42" t="str">
        <f ca="1"/>
        <v/>
      </c>
      <c r="WD1533" s="42" t="str">
        <f ca="1"/>
        <v/>
      </c>
      <c r="WE1533" s="42" t="str">
        <f ca="1"/>
        <v/>
      </c>
      <c r="WF1533" s="42" t="str">
        <f ca="1"/>
        <v/>
      </c>
      <c r="WG1533" s="42" t="str">
        <f ca="1"/>
        <v/>
      </c>
      <c r="WH1533" s="42" t="str">
        <f ca="1"/>
        <v/>
      </c>
      <c r="WI1533" s="42" t="str">
        <f ca="1"/>
        <v/>
      </c>
      <c r="WJ1533" s="42" t="str">
        <f ca="1"/>
        <v/>
      </c>
      <c r="WK1533" s="42" t="str">
        <f ca="1"/>
        <v/>
      </c>
      <c r="WL1533" s="42" t="str">
        <f ca="1"/>
        <v/>
      </c>
      <c r="WM1533" s="42" t="str">
        <f ca="1"/>
        <v/>
      </c>
      <c r="WN1533" s="42" t="str">
        <f ca="1"/>
        <v/>
      </c>
      <c r="WO1533" s="42" t="str">
        <f ca="1"/>
        <v/>
      </c>
      <c r="WP1533" s="42" t="str">
        <f ca="1"/>
        <v/>
      </c>
      <c r="WQ1533" s="42" t="str">
        <f ca="1"/>
        <v/>
      </c>
      <c r="WR1533" s="42" t="str">
        <f ca="1"/>
        <v/>
      </c>
      <c r="WS1533" s="42" t="str">
        <f ca="1"/>
        <v/>
      </c>
      <c r="WT1533" s="42" t="str">
        <f ca="1"/>
        <v/>
      </c>
      <c r="WU1533" s="42" t="str">
        <f ca="1"/>
        <v/>
      </c>
      <c r="WV1533" s="42" t="str">
        <f ca="1"/>
        <v/>
      </c>
      <c r="WW1533" s="42" t="str">
        <f ca="1"/>
        <v/>
      </c>
      <c r="WX1533" s="42" t="str">
        <f ca="1"/>
        <v/>
      </c>
      <c r="WY1533" s="42" t="str">
        <f ca="1"/>
        <v/>
      </c>
      <c r="WZ1533" s="42" t="str">
        <f ca="1"/>
        <v/>
      </c>
      <c r="XA1533" s="42" t="str">
        <f ca="1"/>
        <v/>
      </c>
      <c r="XB1533" s="42" t="str">
        <f ca="1"/>
        <v/>
      </c>
      <c r="XC1533" s="42" t="str">
        <f ca="1"/>
        <v/>
      </c>
      <c r="XD1533" s="42" t="str">
        <f ca="1"/>
        <v/>
      </c>
      <c r="XE1533" s="42" t="str">
        <f ca="1"/>
        <v/>
      </c>
      <c r="XF1533" s="42" t="str">
        <f ca="1"/>
        <v/>
      </c>
      <c r="XG1533" s="42" t="str">
        <f ca="1"/>
        <v/>
      </c>
      <c r="XH1533" s="42" t="str">
        <f ca="1"/>
        <v/>
      </c>
      <c r="XI1533" s="42" t="str">
        <f ca="1"/>
        <v/>
      </c>
      <c r="XJ1533" s="42" t="str">
        <f ca="1"/>
        <v/>
      </c>
      <c r="XK1533" s="42" t="str">
        <f ca="1"/>
        <v/>
      </c>
      <c r="XL1533" s="42" t="str">
        <f ca="1"/>
        <v/>
      </c>
      <c r="XM1533" s="42" t="str">
        <f ca="1"/>
        <v/>
      </c>
      <c r="XN1533" s="42" t="str">
        <f ca="1"/>
        <v/>
      </c>
      <c r="XO1533" s="42" t="str">
        <f ca="1"/>
        <v/>
      </c>
      <c r="XP1533" s="42" t="str">
        <f ca="1"/>
        <v/>
      </c>
      <c r="XQ1533" s="42" t="str">
        <f ca="1"/>
        <v/>
      </c>
      <c r="XR1533" s="42" t="str">
        <f ca="1"/>
        <v/>
      </c>
      <c r="XS1533" s="42" t="str">
        <f ca="1"/>
        <v/>
      </c>
      <c r="XT1533" s="42" t="str">
        <f ca="1"/>
        <v/>
      </c>
      <c r="XU1533" s="42" t="str">
        <f ca="1"/>
        <v/>
      </c>
      <c r="XV1533" s="42" t="str">
        <f ca="1"/>
        <v/>
      </c>
      <c r="XW1533" s="42" t="str">
        <f ca="1"/>
        <v/>
      </c>
      <c r="XX1533" s="42" t="str">
        <f ca="1"/>
        <v/>
      </c>
      <c r="XY1533" s="42" t="str">
        <f ca="1"/>
        <v/>
      </c>
      <c r="XZ1533" s="42" t="str">
        <f ca="1"/>
        <v/>
      </c>
      <c r="YA1533" s="42" t="str">
        <f ca="1"/>
        <v/>
      </c>
      <c r="YB1533" s="42" t="str">
        <f ca="1"/>
        <v/>
      </c>
      <c r="YC1533" s="42" t="str">
        <f ca="1"/>
        <v/>
      </c>
      <c r="YD1533" s="42" t="str">
        <f ca="1"/>
        <v/>
      </c>
      <c r="YE1533" s="42" t="str">
        <f ca="1"/>
        <v/>
      </c>
      <c r="YF1533" s="42" t="str">
        <f ca="1"/>
        <v/>
      </c>
      <c r="YG1533" s="42" t="str">
        <f ca="1"/>
        <v/>
      </c>
      <c r="YH1533" s="42" t="str">
        <f ca="1"/>
        <v/>
      </c>
      <c r="YI1533" s="42" t="str">
        <f ca="1"/>
        <v/>
      </c>
      <c r="YJ1533" s="42" t="str">
        <f ca="1"/>
        <v/>
      </c>
      <c r="YK1533" s="42" t="str">
        <f ca="1"/>
        <v/>
      </c>
      <c r="YL1533" s="42" t="str">
        <f ca="1"/>
        <v/>
      </c>
      <c r="YM1533" s="42" t="str">
        <f ca="1"/>
        <v/>
      </c>
      <c r="YN1533" s="42" t="str">
        <f ca="1"/>
        <v/>
      </c>
      <c r="YO1533" s="42" t="str">
        <f ca="1"/>
        <v/>
      </c>
      <c r="YP1533" s="42" t="str">
        <f ca="1"/>
        <v/>
      </c>
      <c r="YQ1533" s="42" t="str">
        <f ca="1"/>
        <v/>
      </c>
      <c r="YR1533" s="42" t="str">
        <f ca="1"/>
        <v/>
      </c>
      <c r="YS1533" s="42" t="str">
        <f ca="1"/>
        <v/>
      </c>
      <c r="YT1533" s="42" t="str">
        <f ca="1"/>
        <v/>
      </c>
      <c r="YU1533" s="42" t="str">
        <f ca="1"/>
        <v/>
      </c>
      <c r="YV1533" s="42" t="str">
        <f ca="1"/>
        <v/>
      </c>
      <c r="YW1533" s="42" t="str">
        <f ca="1"/>
        <v/>
      </c>
      <c r="YX1533" s="42" t="str">
        <f ca="1"/>
        <v/>
      </c>
      <c r="YY1533" s="42" t="str">
        <f ca="1"/>
        <v/>
      </c>
      <c r="YZ1533" s="42" t="str">
        <f ca="1"/>
        <v/>
      </c>
      <c r="ZA1533" s="42" t="str">
        <f ca="1"/>
        <v/>
      </c>
      <c r="ZB1533" s="42" t="str">
        <f ca="1"/>
        <v/>
      </c>
      <c r="ZC1533" s="42" t="str">
        <f ca="1"/>
        <v/>
      </c>
      <c r="ZD1533" s="42" t="str">
        <f ca="1"/>
        <v/>
      </c>
      <c r="ZE1533" s="42" t="str">
        <f ca="1"/>
        <v/>
      </c>
      <c r="ZF1533" s="42" t="str">
        <f ca="1"/>
        <v/>
      </c>
      <c r="ZG1533" s="42" t="str">
        <f ca="1"/>
        <v/>
      </c>
      <c r="ZH1533" s="42" t="str">
        <f ca="1"/>
        <v/>
      </c>
      <c r="ZI1533" s="42" t="str">
        <f ca="1"/>
        <v/>
      </c>
      <c r="ZJ1533" s="42" t="str">
        <f ca="1"/>
        <v/>
      </c>
      <c r="ZK1533" s="42" t="str">
        <f ca="1"/>
        <v/>
      </c>
      <c r="ZL1533" s="42" t="str">
        <f ca="1"/>
        <v/>
      </c>
      <c r="ZM1533" s="42" t="str">
        <f ca="1"/>
        <v/>
      </c>
      <c r="ZN1533" s="42" t="str">
        <f ca="1"/>
        <v/>
      </c>
      <c r="ZO1533" s="42" t="str">
        <f ca="1"/>
        <v/>
      </c>
      <c r="ZP1533" s="42" t="str">
        <f ca="1"/>
        <v/>
      </c>
      <c r="ZQ1533" s="42" t="str">
        <f ca="1"/>
        <v/>
      </c>
      <c r="ZR1533" s="42" t="str">
        <f ca="1"/>
        <v/>
      </c>
      <c r="ZS1533" s="42" t="str">
        <f ca="1"/>
        <v/>
      </c>
      <c r="ZT1533" s="42" t="str">
        <f ca="1"/>
        <v/>
      </c>
      <c r="ZU1533" s="42" t="str">
        <f ca="1"/>
        <v/>
      </c>
      <c r="ZV1533" s="42" t="str">
        <f ca="1"/>
        <v/>
      </c>
      <c r="ZW1533" s="42" t="str">
        <f ca="1"/>
        <v/>
      </c>
      <c r="ZX1533" s="42" t="str">
        <f ca="1"/>
        <v/>
      </c>
      <c r="ZY1533" s="42" t="str">
        <f ca="1"/>
        <v/>
      </c>
      <c r="ZZ1533" s="42" t="str">
        <f ca="1"/>
        <v/>
      </c>
      <c r="AAA1533" s="42" t="str">
        <f ca="1"/>
        <v/>
      </c>
      <c r="AAB1533" s="42" t="str">
        <f ca="1"/>
        <v/>
      </c>
      <c r="AAC1533" s="42" t="str">
        <f ca="1"/>
        <v/>
      </c>
      <c r="AAD1533" s="42" t="str">
        <f ca="1"/>
        <v/>
      </c>
      <c r="AAE1533" s="42" t="str">
        <f ca="1"/>
        <v/>
      </c>
      <c r="AAF1533" s="42" t="str">
        <f ca="1"/>
        <v/>
      </c>
      <c r="AAG1533" s="42" t="str">
        <f ca="1"/>
        <v/>
      </c>
      <c r="AAH1533" s="42" t="str">
        <f ca="1"/>
        <v/>
      </c>
      <c r="AAI1533" s="42" t="str">
        <f ca="1"/>
        <v/>
      </c>
      <c r="AAJ1533" s="42" t="str">
        <f ca="1"/>
        <v/>
      </c>
      <c r="AAK1533" s="42" t="str">
        <f ca="1"/>
        <v/>
      </c>
      <c r="AAL1533" s="42" t="str">
        <f ca="1"/>
        <v/>
      </c>
      <c r="AAM1533" s="42" t="str">
        <f ca="1"/>
        <v/>
      </c>
      <c r="AAN1533" s="42" t="str">
        <f ca="1"/>
        <v/>
      </c>
      <c r="AAO1533" s="42" t="str">
        <f ca="1"/>
        <v/>
      </c>
      <c r="AAP1533" s="42" t="str">
        <f ca="1"/>
        <v/>
      </c>
      <c r="AAQ1533" s="42" t="str">
        <f ca="1"/>
        <v/>
      </c>
      <c r="AAR1533" s="42" t="str">
        <f ca="1"/>
        <v/>
      </c>
      <c r="AAS1533" s="42" t="str">
        <f ca="1"/>
        <v/>
      </c>
      <c r="AAT1533" s="42" t="str">
        <f ca="1"/>
        <v/>
      </c>
      <c r="AAU1533" s="42" t="str">
        <f ca="1"/>
        <v/>
      </c>
      <c r="AAV1533" s="42" t="str">
        <f ca="1"/>
        <v/>
      </c>
      <c r="AAW1533" s="42" t="str">
        <f ca="1"/>
        <v/>
      </c>
      <c r="AAX1533" s="42" t="str">
        <f ca="1"/>
        <v/>
      </c>
      <c r="AAY1533" s="42" t="str">
        <f ca="1"/>
        <v/>
      </c>
      <c r="AAZ1533" s="42" t="str">
        <f ca="1"/>
        <v/>
      </c>
      <c r="ABA1533" s="42" t="str">
        <f ca="1"/>
        <v/>
      </c>
      <c r="ABB1533" s="42" t="str">
        <f ca="1"/>
        <v/>
      </c>
      <c r="ABC1533" s="42" t="str">
        <f ca="1"/>
        <v/>
      </c>
      <c r="ABD1533" s="42" t="str">
        <f ca="1"/>
        <v/>
      </c>
      <c r="ABE1533" s="42" t="str">
        <f ca="1"/>
        <v/>
      </c>
      <c r="ABF1533" s="42" t="str">
        <f ca="1"/>
        <v/>
      </c>
      <c r="ABG1533" s="42" t="str">
        <f ca="1"/>
        <v/>
      </c>
      <c r="ABH1533" s="42" t="str">
        <f ca="1"/>
        <v/>
      </c>
      <c r="ABI1533" s="42" t="str">
        <f ca="1"/>
        <v/>
      </c>
      <c r="ABJ1533" s="42" t="str">
        <f ca="1"/>
        <v/>
      </c>
      <c r="ABK1533" s="42" t="str">
        <f ca="1"/>
        <v/>
      </c>
      <c r="ABL1533" s="42" t="str">
        <f ca="1"/>
        <v/>
      </c>
      <c r="ABM1533" s="42" t="str">
        <f ca="1"/>
        <v/>
      </c>
      <c r="ABN1533" s="42" t="str">
        <f ca="1"/>
        <v/>
      </c>
      <c r="ABO1533" s="42" t="str">
        <f ca="1"/>
        <v/>
      </c>
      <c r="ABP1533" s="42" t="str">
        <f ca="1"/>
        <v/>
      </c>
      <c r="ABQ1533" s="42" t="str">
        <f ca="1"/>
        <v/>
      </c>
      <c r="ABR1533" s="42" t="str">
        <f ca="1"/>
        <v/>
      </c>
      <c r="ABS1533" s="42" t="str">
        <f ca="1"/>
        <v/>
      </c>
      <c r="ABT1533" s="42" t="str">
        <f ca="1"/>
        <v/>
      </c>
      <c r="ABU1533" s="42" t="str">
        <f ca="1"/>
        <v/>
      </c>
      <c r="ABV1533" s="42" t="str">
        <f ca="1"/>
        <v/>
      </c>
      <c r="ABW1533" s="42" t="str">
        <f ca="1"/>
        <v/>
      </c>
      <c r="ABX1533" s="42" t="str">
        <f ca="1"/>
        <v/>
      </c>
      <c r="ABY1533" s="42" t="str">
        <f ca="1"/>
        <v/>
      </c>
      <c r="ABZ1533" s="42" t="str">
        <f ca="1"/>
        <v/>
      </c>
      <c r="ACA1533" s="42" t="str">
        <f ca="1"/>
        <v/>
      </c>
      <c r="ACB1533" s="42" t="str">
        <f ca="1"/>
        <v/>
      </c>
      <c r="ACC1533" s="42" t="str">
        <f ca="1"/>
        <v/>
      </c>
      <c r="ACD1533" s="42" t="str">
        <f ca="1"/>
        <v/>
      </c>
      <c r="ACE1533" s="42" t="str">
        <f ca="1"/>
        <v/>
      </c>
      <c r="ACF1533" s="42" t="str">
        <f ca="1"/>
        <v/>
      </c>
      <c r="ACG1533" s="42" t="str">
        <f ca="1"/>
        <v/>
      </c>
      <c r="ACH1533" s="42" t="str">
        <f ca="1"/>
        <v/>
      </c>
      <c r="ACI1533" s="42" t="str">
        <f ca="1"/>
        <v/>
      </c>
      <c r="ACJ1533" s="42" t="str">
        <f ca="1"/>
        <v/>
      </c>
      <c r="ACK1533" s="42" t="str">
        <f ca="1"/>
        <v/>
      </c>
      <c r="ACL1533" s="42" t="str">
        <f ca="1"/>
        <v/>
      </c>
      <c r="ACM1533" s="42" t="str">
        <f ca="1"/>
        <v/>
      </c>
      <c r="ACN1533" s="42" t="str">
        <f ca="1"/>
        <v/>
      </c>
      <c r="ACO1533" s="42" t="str">
        <f ca="1"/>
        <v/>
      </c>
      <c r="ACP1533" s="42" t="str">
        <f ca="1"/>
        <v/>
      </c>
      <c r="ACQ1533" s="42" t="str">
        <f ca="1"/>
        <v/>
      </c>
      <c r="ACR1533" s="42" t="str">
        <f ca="1"/>
        <v/>
      </c>
      <c r="ACS1533" s="42" t="str">
        <f ca="1"/>
        <v/>
      </c>
      <c r="ACT1533" s="42" t="str">
        <f ca="1"/>
        <v/>
      </c>
      <c r="ACU1533" s="42" t="str">
        <f ca="1"/>
        <v/>
      </c>
      <c r="ACV1533" s="42" t="str">
        <f ca="1"/>
        <v/>
      </c>
      <c r="ACW1533" s="42" t="str">
        <f ca="1"/>
        <v/>
      </c>
      <c r="ACX1533" s="42" t="str">
        <f ca="1"/>
        <v/>
      </c>
      <c r="ACY1533" s="42" t="str">
        <f ca="1"/>
        <v/>
      </c>
      <c r="ACZ1533" s="42" t="str">
        <f ca="1"/>
        <v/>
      </c>
      <c r="ADA1533" s="42" t="str">
        <f ca="1"/>
        <v/>
      </c>
      <c r="ADB1533" s="42" t="str">
        <f ca="1"/>
        <v/>
      </c>
      <c r="ADC1533" s="42" t="str">
        <f ca="1"/>
        <v/>
      </c>
      <c r="ADD1533" s="42" t="str">
        <f ca="1"/>
        <v/>
      </c>
      <c r="ADE1533" s="42" t="str">
        <f ca="1"/>
        <v/>
      </c>
      <c r="ADF1533" s="42" t="str">
        <f ca="1"/>
        <v/>
      </c>
      <c r="ADG1533" s="42" t="str">
        <f ca="1"/>
        <v/>
      </c>
      <c r="ADH1533" s="42" t="str">
        <f ca="1"/>
        <v/>
      </c>
      <c r="ADI1533" s="42" t="str">
        <f ca="1"/>
        <v/>
      </c>
      <c r="ADJ1533" s="42" t="str">
        <f ca="1"/>
        <v/>
      </c>
      <c r="ADK1533" s="42" t="str">
        <f ca="1"/>
        <v/>
      </c>
      <c r="ADL1533" s="42" t="str">
        <f ca="1"/>
        <v/>
      </c>
      <c r="ADM1533" s="42" t="str">
        <f ca="1"/>
        <v/>
      </c>
      <c r="ADN1533" s="42" t="str">
        <f ca="1"/>
        <v/>
      </c>
      <c r="ADO1533" s="42" t="str">
        <f ca="1"/>
        <v/>
      </c>
      <c r="ADP1533" s="42" t="str">
        <f ca="1"/>
        <v/>
      </c>
      <c r="ADQ1533" s="42" t="str">
        <f ca="1"/>
        <v/>
      </c>
      <c r="ADR1533" s="42" t="str">
        <f ca="1"/>
        <v/>
      </c>
      <c r="ADS1533" s="42" t="str">
        <f ca="1"/>
        <v/>
      </c>
      <c r="ADT1533" s="42" t="str">
        <f ca="1"/>
        <v/>
      </c>
      <c r="ADU1533" s="42" t="str">
        <f ca="1"/>
        <v/>
      </c>
      <c r="ADV1533" s="42" t="str">
        <f ca="1"/>
        <v/>
      </c>
      <c r="ADW1533" s="42" t="str">
        <f ca="1"/>
        <v/>
      </c>
      <c r="ADX1533" s="42" t="str">
        <f ca="1"/>
        <v/>
      </c>
      <c r="ADY1533" s="42" t="str">
        <f ca="1"/>
        <v/>
      </c>
      <c r="ADZ1533" s="42" t="str">
        <f ca="1"/>
        <v/>
      </c>
      <c r="AEA1533" s="42" t="str">
        <f ca="1"/>
        <v/>
      </c>
      <c r="AEB1533" s="42" t="str">
        <f ca="1"/>
        <v/>
      </c>
      <c r="AEC1533" s="42" t="str">
        <f ca="1"/>
        <v/>
      </c>
      <c r="AED1533" s="42" t="str">
        <f ca="1"/>
        <v/>
      </c>
      <c r="AEE1533" s="42" t="str">
        <f ca="1"/>
        <v/>
      </c>
      <c r="AEF1533" s="42" t="str">
        <f ca="1"/>
        <v/>
      </c>
      <c r="AEG1533" s="42" t="str">
        <f ca="1"/>
        <v/>
      </c>
      <c r="AEH1533" s="42" t="str">
        <f ca="1"/>
        <v/>
      </c>
      <c r="AEI1533" s="42" t="str">
        <f ca="1"/>
        <v/>
      </c>
      <c r="AEJ1533" s="42" t="str">
        <f ca="1"/>
        <v/>
      </c>
      <c r="AEK1533" s="42" t="str">
        <f ca="1"/>
        <v/>
      </c>
      <c r="AEL1533" s="42" t="str">
        <f ca="1"/>
        <v/>
      </c>
      <c r="AEM1533" s="42" t="str">
        <f ca="1"/>
        <v/>
      </c>
      <c r="AEN1533" s="42" t="str">
        <f ca="1"/>
        <v/>
      </c>
      <c r="AEO1533" s="42" t="str">
        <f ca="1"/>
        <v/>
      </c>
      <c r="AEP1533" s="42" t="str">
        <f ca="1"/>
        <v/>
      </c>
      <c r="AEQ1533" s="42" t="str">
        <f ca="1"/>
        <v/>
      </c>
      <c r="AER1533" s="42" t="str">
        <f ca="1"/>
        <v/>
      </c>
      <c r="AES1533" s="42" t="str">
        <f ca="1"/>
        <v/>
      </c>
      <c r="AET1533" s="42" t="str">
        <f ca="1"/>
        <v/>
      </c>
      <c r="AEU1533" s="42" t="str">
        <f ca="1"/>
        <v/>
      </c>
      <c r="AEV1533" s="42" t="str">
        <f ca="1"/>
        <v/>
      </c>
      <c r="AEW1533" s="42" t="str">
        <f ca="1"/>
        <v/>
      </c>
      <c r="AEX1533" s="42" t="str">
        <f ca="1"/>
        <v/>
      </c>
      <c r="AEY1533" s="42" t="str">
        <f ca="1"/>
        <v/>
      </c>
      <c r="AEZ1533" s="42" t="str">
        <f ca="1"/>
        <v/>
      </c>
      <c r="AFA1533" s="42" t="str">
        <f ca="1"/>
        <v/>
      </c>
      <c r="AFB1533" s="42" t="str">
        <f ca="1"/>
        <v/>
      </c>
      <c r="AFC1533" s="42" t="str">
        <f ca="1"/>
        <v/>
      </c>
      <c r="AFD1533" s="42" t="str">
        <f ca="1"/>
        <v/>
      </c>
      <c r="AFE1533" s="42" t="str">
        <f ca="1"/>
        <v/>
      </c>
      <c r="AFF1533" s="42" t="str">
        <f ca="1"/>
        <v/>
      </c>
      <c r="AFG1533" s="42" t="str">
        <f ca="1"/>
        <v/>
      </c>
      <c r="AFH1533" s="42" t="str">
        <f ca="1"/>
        <v/>
      </c>
      <c r="AFI1533" s="42" t="str">
        <f ca="1"/>
        <v/>
      </c>
      <c r="AFJ1533" s="42" t="str">
        <f ca="1"/>
        <v/>
      </c>
      <c r="AFK1533" s="42" t="str">
        <f ca="1"/>
        <v/>
      </c>
      <c r="AFL1533" s="42" t="str">
        <f ca="1"/>
        <v/>
      </c>
      <c r="AFM1533" s="42" t="str">
        <f ca="1"/>
        <v/>
      </c>
      <c r="AFN1533" s="42" t="str">
        <f ca="1"/>
        <v/>
      </c>
      <c r="AFO1533" s="42" t="str">
        <f ca="1"/>
        <v/>
      </c>
      <c r="AFP1533" s="42" t="str">
        <f ca="1"/>
        <v/>
      </c>
      <c r="AFQ1533" s="42" t="str">
        <f ca="1"/>
        <v/>
      </c>
      <c r="AFR1533" s="42" t="str">
        <f ca="1"/>
        <v/>
      </c>
      <c r="AFS1533" s="42" t="str">
        <f ca="1"/>
        <v/>
      </c>
      <c r="AFT1533" s="42" t="str">
        <f ca="1"/>
        <v/>
      </c>
      <c r="AFU1533" s="42" t="str">
        <f ca="1"/>
        <v/>
      </c>
      <c r="AFV1533" s="42" t="str">
        <f ca="1"/>
        <v/>
      </c>
      <c r="AFW1533" s="42" t="str">
        <f ca="1"/>
        <v/>
      </c>
      <c r="AFX1533" s="42" t="str">
        <f ca="1"/>
        <v/>
      </c>
      <c r="AFY1533" s="42" t="str">
        <f ca="1"/>
        <v/>
      </c>
      <c r="AFZ1533" s="42" t="str">
        <f ca="1"/>
        <v/>
      </c>
      <c r="AGA1533" s="42" t="str">
        <f ca="1"/>
        <v/>
      </c>
      <c r="AGB1533" s="42" t="str">
        <f ca="1"/>
        <v/>
      </c>
      <c r="AGC1533" s="42" t="str">
        <f ca="1"/>
        <v/>
      </c>
      <c r="AGD1533" s="42" t="str">
        <f ca="1"/>
        <v/>
      </c>
      <c r="AGE1533" s="42" t="str">
        <f ca="1"/>
        <v/>
      </c>
      <c r="AGF1533" s="42" t="str">
        <f ca="1"/>
        <v/>
      </c>
      <c r="AGG1533" s="42" t="str">
        <f ca="1"/>
        <v/>
      </c>
      <c r="AGH1533" s="42" t="str">
        <f ca="1"/>
        <v/>
      </c>
      <c r="AGI1533" s="42" t="str">
        <f ca="1"/>
        <v/>
      </c>
      <c r="AGJ1533" s="42" t="str">
        <f ca="1"/>
        <v/>
      </c>
      <c r="AGK1533" s="42" t="str">
        <f ca="1"/>
        <v/>
      </c>
      <c r="AGL1533" s="42" t="str">
        <f ca="1"/>
        <v/>
      </c>
      <c r="AGM1533" s="42" t="str">
        <f ca="1"/>
        <v/>
      </c>
      <c r="AGN1533" s="42" t="str">
        <f ca="1"/>
        <v/>
      </c>
    </row>
    <row r="1536" spans="15:872" ht="15.6" x14ac:dyDescent="0.3">
      <c r="O1536"/>
      <c r="P1536" s="42">
        <v>2024001</v>
      </c>
      <c r="Q1536" s="42">
        <v>2024002</v>
      </c>
      <c r="R1536" s="42">
        <v>2024003</v>
      </c>
      <c r="S1536" s="42">
        <v>2024004</v>
      </c>
      <c r="T1536" s="42">
        <v>2024005</v>
      </c>
      <c r="U1536" s="42">
        <v>2024006</v>
      </c>
      <c r="V1536" s="42">
        <v>2024007</v>
      </c>
      <c r="W1536" s="42">
        <v>2024008</v>
      </c>
      <c r="X1536" s="42">
        <v>2024009</v>
      </c>
      <c r="Y1536" s="42">
        <v>2024318</v>
      </c>
      <c r="Z1536" s="42">
        <v>2024010</v>
      </c>
      <c r="AA1536" s="42">
        <v>2024011</v>
      </c>
      <c r="AB1536" s="42">
        <v>2024012</v>
      </c>
      <c r="AC1536" s="42">
        <v>2024013</v>
      </c>
      <c r="AD1536" s="42">
        <v>2024014</v>
      </c>
      <c r="AE1536" s="42">
        <v>2024015</v>
      </c>
      <c r="AF1536" s="42">
        <v>2024016</v>
      </c>
      <c r="AG1536" s="42">
        <v>2024017</v>
      </c>
      <c r="AH1536" s="42">
        <v>2024018</v>
      </c>
      <c r="AI1536" s="42">
        <v>2024019</v>
      </c>
      <c r="AJ1536" s="42">
        <v>2024020</v>
      </c>
      <c r="AK1536" s="42">
        <v>2024021</v>
      </c>
      <c r="AL1536" s="42">
        <v>2024022</v>
      </c>
      <c r="AM1536" s="42">
        <v>2024023</v>
      </c>
      <c r="AN1536" s="42">
        <v>2024024</v>
      </c>
      <c r="AO1536" s="42">
        <v>2024025</v>
      </c>
      <c r="AP1536" s="42">
        <v>2024026</v>
      </c>
      <c r="AQ1536" s="42">
        <v>2024027</v>
      </c>
      <c r="AR1536" s="42">
        <v>2024028</v>
      </c>
      <c r="AS1536" s="42">
        <v>2024029</v>
      </c>
      <c r="AT1536" s="42">
        <v>2024030</v>
      </c>
      <c r="AU1536" s="42">
        <v>2024031</v>
      </c>
      <c r="AV1536" s="42">
        <v>2024032</v>
      </c>
      <c r="AW1536" s="42">
        <v>2024033</v>
      </c>
      <c r="AX1536" s="42">
        <v>2024034</v>
      </c>
      <c r="AY1536" s="42">
        <v>2024035</v>
      </c>
      <c r="AZ1536" s="42">
        <v>2024036</v>
      </c>
      <c r="BA1536" s="42">
        <v>2024037</v>
      </c>
      <c r="BB1536" s="42">
        <v>2024038</v>
      </c>
      <c r="BC1536" s="42">
        <v>2024039</v>
      </c>
      <c r="BD1536" s="42">
        <v>2024040</v>
      </c>
      <c r="BE1536" s="42">
        <v>2024041</v>
      </c>
      <c r="BF1536" s="42">
        <v>2024042</v>
      </c>
      <c r="BG1536" s="42">
        <v>2024043</v>
      </c>
      <c r="BH1536" s="42">
        <v>2024044</v>
      </c>
      <c r="BI1536" s="42">
        <v>2024045</v>
      </c>
      <c r="BJ1536" s="42">
        <v>2024046</v>
      </c>
      <c r="BK1536" s="42">
        <v>2024047</v>
      </c>
      <c r="BL1536" s="42">
        <v>2024048</v>
      </c>
      <c r="BM1536" s="42">
        <v>2024317</v>
      </c>
      <c r="BN1536" s="42">
        <v>2024049</v>
      </c>
      <c r="BO1536" s="42">
        <v>2024050</v>
      </c>
      <c r="BP1536" s="42">
        <v>2024051</v>
      </c>
      <c r="BQ1536" s="42">
        <v>2024052</v>
      </c>
      <c r="BR1536" s="42">
        <v>2024053</v>
      </c>
      <c r="BS1536" s="42">
        <v>2024054</v>
      </c>
      <c r="BT1536" s="42">
        <v>2024055</v>
      </c>
      <c r="BU1536" s="42">
        <v>2024056</v>
      </c>
      <c r="BV1536" s="42">
        <v>2024057</v>
      </c>
      <c r="BW1536" s="42">
        <v>2024058</v>
      </c>
      <c r="BX1536" s="42">
        <v>2024059</v>
      </c>
      <c r="BY1536" s="42">
        <v>2024060</v>
      </c>
      <c r="BZ1536" s="42">
        <v>2024061</v>
      </c>
      <c r="CA1536" s="42">
        <v>2024062</v>
      </c>
      <c r="CB1536" s="42">
        <v>2024063</v>
      </c>
      <c r="CC1536" s="42">
        <v>2024320</v>
      </c>
      <c r="CD1536" s="42">
        <v>2024064</v>
      </c>
      <c r="CE1536" s="42">
        <v>2024065</v>
      </c>
      <c r="CF1536" s="42">
        <v>2024316</v>
      </c>
      <c r="CG1536" s="42">
        <v>2024066</v>
      </c>
      <c r="CH1536" s="42">
        <v>2024067</v>
      </c>
      <c r="CI1536" s="42">
        <v>2024068</v>
      </c>
      <c r="CJ1536" s="42">
        <v>2024069</v>
      </c>
      <c r="CK1536" s="42">
        <v>2024070</v>
      </c>
      <c r="CL1536" s="42">
        <v>2024071</v>
      </c>
      <c r="CM1536" s="42">
        <v>2024072</v>
      </c>
      <c r="CN1536" s="42">
        <v>2024073</v>
      </c>
      <c r="CO1536" s="42">
        <v>2024074</v>
      </c>
      <c r="CP1536" s="42">
        <v>2024075</v>
      </c>
      <c r="CQ1536" s="42">
        <v>2024076</v>
      </c>
      <c r="CR1536" s="42">
        <v>2024077</v>
      </c>
      <c r="CS1536" s="42">
        <v>2024078</v>
      </c>
      <c r="CT1536" s="42">
        <v>2024079</v>
      </c>
      <c r="CU1536" s="42">
        <v>2024080</v>
      </c>
      <c r="CV1536" s="42">
        <v>2024081</v>
      </c>
      <c r="CW1536" s="42">
        <v>2024082</v>
      </c>
      <c r="CX1536" s="42">
        <v>2024083</v>
      </c>
      <c r="CY1536" s="42">
        <v>2024084</v>
      </c>
      <c r="CZ1536" s="42">
        <v>2024085</v>
      </c>
      <c r="DA1536" s="42">
        <v>2024086</v>
      </c>
      <c r="DB1536" s="42">
        <v>2024087</v>
      </c>
      <c r="DC1536" s="42">
        <v>2024088</v>
      </c>
      <c r="DD1536" s="42">
        <v>2024089</v>
      </c>
      <c r="DE1536" s="42">
        <v>2024090</v>
      </c>
      <c r="DF1536" s="42">
        <v>2024091</v>
      </c>
      <c r="DG1536" s="42">
        <v>2024092</v>
      </c>
      <c r="DH1536" s="42">
        <v>2024093</v>
      </c>
      <c r="DI1536" s="42">
        <v>2024094</v>
      </c>
      <c r="DJ1536" s="42">
        <v>2024095</v>
      </c>
      <c r="DK1536" s="42">
        <v>2024096</v>
      </c>
      <c r="DL1536" s="42">
        <v>2024097</v>
      </c>
      <c r="DM1536" s="42">
        <v>2024098</v>
      </c>
      <c r="DN1536" s="42">
        <v>2024099</v>
      </c>
      <c r="DO1536" s="42">
        <v>2024100</v>
      </c>
      <c r="DP1536" s="42">
        <v>2024101</v>
      </c>
      <c r="DQ1536" s="42">
        <v>2024102</v>
      </c>
      <c r="DR1536" s="42">
        <v>2024103</v>
      </c>
      <c r="DS1536" s="42">
        <v>2024104</v>
      </c>
      <c r="DT1536" s="42">
        <v>2024105</v>
      </c>
      <c r="DU1536" s="42">
        <v>2024106</v>
      </c>
      <c r="DV1536" s="42">
        <v>2024107</v>
      </c>
      <c r="DW1536" s="42">
        <v>2024108</v>
      </c>
      <c r="DX1536" s="42">
        <v>2024109</v>
      </c>
      <c r="DY1536" s="42">
        <v>2024110</v>
      </c>
      <c r="DZ1536" s="42">
        <v>2024111</v>
      </c>
      <c r="EA1536" s="42">
        <v>2024112</v>
      </c>
      <c r="EB1536" s="42">
        <v>2024113</v>
      </c>
      <c r="EC1536" s="42">
        <v>2024114</v>
      </c>
      <c r="ED1536" s="42">
        <v>2024115</v>
      </c>
      <c r="EE1536" s="42">
        <v>2024116</v>
      </c>
      <c r="EF1536" s="42">
        <v>2024117</v>
      </c>
      <c r="EG1536" s="42">
        <v>2024118</v>
      </c>
      <c r="EH1536" s="42">
        <v>2024119</v>
      </c>
      <c r="EI1536" s="42">
        <v>2024120</v>
      </c>
      <c r="EJ1536" s="42">
        <v>2024121</v>
      </c>
      <c r="EK1536" s="42">
        <v>2024122</v>
      </c>
      <c r="EL1536" s="42">
        <v>2024123</v>
      </c>
      <c r="EM1536" s="42">
        <v>2024124</v>
      </c>
      <c r="EN1536" s="42">
        <v>2024125</v>
      </c>
      <c r="EO1536" s="42">
        <v>2024126</v>
      </c>
      <c r="EP1536" s="42">
        <v>2024127</v>
      </c>
      <c r="EQ1536" s="42">
        <v>2024128</v>
      </c>
      <c r="ER1536" s="42">
        <v>2024129</v>
      </c>
      <c r="ES1536" s="42">
        <v>2024130</v>
      </c>
      <c r="ET1536" s="42">
        <v>2024131</v>
      </c>
      <c r="EU1536" s="42">
        <v>2024132</v>
      </c>
      <c r="EV1536" s="42">
        <v>2024133</v>
      </c>
      <c r="EW1536" s="42">
        <v>2024134</v>
      </c>
      <c r="EX1536" s="42">
        <v>2024135</v>
      </c>
      <c r="EY1536" s="42">
        <v>2024136</v>
      </c>
      <c r="EZ1536" s="42">
        <v>2024315</v>
      </c>
      <c r="FA1536" s="42">
        <v>2024137</v>
      </c>
      <c r="FB1536" s="42">
        <v>2024138</v>
      </c>
      <c r="FC1536" s="42">
        <v>2024139</v>
      </c>
      <c r="FD1536" s="42">
        <v>2024140</v>
      </c>
      <c r="FE1536" s="42">
        <v>2024141</v>
      </c>
      <c r="FF1536" s="42">
        <v>2024142</v>
      </c>
      <c r="FG1536" s="42">
        <v>2024143</v>
      </c>
      <c r="FH1536" s="42">
        <v>2024144</v>
      </c>
      <c r="FI1536" s="42">
        <v>2024145</v>
      </c>
      <c r="FJ1536" s="42">
        <v>2024146</v>
      </c>
      <c r="FK1536" s="42">
        <v>2024147</v>
      </c>
      <c r="FL1536" s="42">
        <v>2024148</v>
      </c>
      <c r="FM1536" s="42">
        <v>2024149</v>
      </c>
      <c r="FN1536" s="42">
        <v>2024150</v>
      </c>
      <c r="FO1536" s="42">
        <v>2024151</v>
      </c>
      <c r="FP1536" s="42">
        <v>2024323</v>
      </c>
      <c r="FQ1536" s="42">
        <v>2024152</v>
      </c>
      <c r="FR1536" s="42">
        <v>2024153</v>
      </c>
      <c r="FS1536" s="42">
        <v>2024154</v>
      </c>
      <c r="FT1536" s="42">
        <v>2024164</v>
      </c>
      <c r="FU1536" s="42">
        <v>2024155</v>
      </c>
      <c r="FV1536" s="42">
        <v>2024156</v>
      </c>
      <c r="FW1536" s="42">
        <v>2024157</v>
      </c>
      <c r="FX1536" s="42">
        <v>2024158</v>
      </c>
      <c r="FY1536" s="42">
        <v>2024159</v>
      </c>
      <c r="FZ1536" s="42">
        <v>2024160</v>
      </c>
      <c r="GA1536" s="42">
        <v>2024161</v>
      </c>
      <c r="GB1536" s="42">
        <v>2024162</v>
      </c>
      <c r="GC1536" s="42">
        <v>2024163</v>
      </c>
      <c r="GD1536" s="42">
        <v>2024165</v>
      </c>
      <c r="GE1536" s="42">
        <v>2024166</v>
      </c>
      <c r="GF1536" s="42">
        <v>2024167</v>
      </c>
      <c r="GG1536" s="42">
        <v>2024168</v>
      </c>
      <c r="GH1536" s="42">
        <v>2024169</v>
      </c>
      <c r="GI1536" s="42">
        <v>2024170</v>
      </c>
      <c r="GJ1536" s="42">
        <v>2024171</v>
      </c>
      <c r="GK1536" s="42">
        <v>2024172</v>
      </c>
      <c r="GL1536" s="42">
        <v>2024173</v>
      </c>
      <c r="GM1536" s="42">
        <v>2024174</v>
      </c>
      <c r="GN1536" s="42">
        <v>2024175</v>
      </c>
      <c r="GO1536" s="42">
        <v>2024176</v>
      </c>
      <c r="GP1536" s="42">
        <v>2024177</v>
      </c>
      <c r="GQ1536" s="42">
        <v>2024178</v>
      </c>
      <c r="GR1536" s="42">
        <v>2024179</v>
      </c>
      <c r="GS1536" s="42">
        <v>2024180</v>
      </c>
      <c r="GT1536" s="42">
        <v>2024181</v>
      </c>
      <c r="GU1536" s="42">
        <v>2024182</v>
      </c>
      <c r="GV1536" s="42">
        <v>2024183</v>
      </c>
      <c r="GW1536" s="42">
        <v>2024314</v>
      </c>
      <c r="GX1536" s="42">
        <v>2024184</v>
      </c>
      <c r="GY1536" s="42">
        <v>2024185</v>
      </c>
      <c r="GZ1536" s="42">
        <v>2024186</v>
      </c>
      <c r="HA1536" s="42">
        <v>2024187</v>
      </c>
      <c r="HB1536" s="42">
        <v>2024188</v>
      </c>
      <c r="HC1536" s="42">
        <v>2024189</v>
      </c>
      <c r="HD1536" s="42">
        <v>2024190</v>
      </c>
      <c r="HE1536" s="42">
        <v>2024191</v>
      </c>
      <c r="HF1536" s="42">
        <v>2024192</v>
      </c>
      <c r="HG1536" s="42">
        <v>2024193</v>
      </c>
      <c r="HH1536" s="42">
        <v>2024194</v>
      </c>
      <c r="HI1536" s="42">
        <v>2024195</v>
      </c>
      <c r="HJ1536" s="42">
        <v>2024196</v>
      </c>
      <c r="HK1536" s="42">
        <v>2024197</v>
      </c>
      <c r="HL1536" s="42">
        <v>2024198</v>
      </c>
      <c r="HM1536" s="42">
        <v>2024199</v>
      </c>
      <c r="HN1536" s="42">
        <v>2024200</v>
      </c>
      <c r="HO1536" s="42">
        <v>2024201</v>
      </c>
      <c r="HP1536" s="42">
        <v>2024202</v>
      </c>
      <c r="HQ1536" s="42">
        <v>2024203</v>
      </c>
      <c r="HR1536" s="42">
        <v>2024204</v>
      </c>
      <c r="HS1536" s="42">
        <v>2024205</v>
      </c>
      <c r="HT1536" s="42">
        <v>2024206</v>
      </c>
      <c r="HU1536" s="42">
        <v>2024207</v>
      </c>
      <c r="HV1536" s="42">
        <v>2024208</v>
      </c>
      <c r="HW1536" s="42">
        <v>2024209</v>
      </c>
      <c r="HX1536" s="42">
        <v>2024210</v>
      </c>
      <c r="HY1536" s="42">
        <v>2024211</v>
      </c>
      <c r="HZ1536" s="42">
        <v>2024212</v>
      </c>
      <c r="IA1536" s="42">
        <v>2024213</v>
      </c>
      <c r="IB1536" s="42">
        <v>2024214</v>
      </c>
      <c r="IC1536" s="42">
        <v>2024215</v>
      </c>
      <c r="ID1536" s="42">
        <v>2024216</v>
      </c>
      <c r="IE1536" s="42">
        <v>2024217</v>
      </c>
      <c r="IF1536" s="42">
        <v>2024218</v>
      </c>
      <c r="IG1536" s="42">
        <v>2024219</v>
      </c>
      <c r="IH1536" s="42">
        <v>2024321</v>
      </c>
      <c r="II1536" s="42">
        <v>2024220</v>
      </c>
      <c r="IJ1536" s="42">
        <v>2024221</v>
      </c>
      <c r="IK1536" s="42">
        <v>2024222</v>
      </c>
      <c r="IL1536" s="42">
        <v>2024223</v>
      </c>
      <c r="IM1536" s="42">
        <v>2024224</v>
      </c>
      <c r="IN1536" s="42">
        <v>2024319</v>
      </c>
      <c r="IO1536" s="42">
        <v>2024225</v>
      </c>
      <c r="IP1536" s="42">
        <v>2024226</v>
      </c>
      <c r="IQ1536" s="42">
        <v>2024227</v>
      </c>
      <c r="IR1536" s="42">
        <v>2024228</v>
      </c>
      <c r="IS1536" s="42">
        <v>2024229</v>
      </c>
      <c r="IT1536" s="42">
        <v>2024230</v>
      </c>
      <c r="IU1536" s="42">
        <v>2024231</v>
      </c>
      <c r="IV1536" s="42">
        <v>2024232</v>
      </c>
      <c r="IW1536" s="42">
        <v>2024233</v>
      </c>
      <c r="IX1536" s="42">
        <v>2024234</v>
      </c>
      <c r="IY1536" s="42">
        <v>2024235</v>
      </c>
      <c r="IZ1536" s="42">
        <v>2024236</v>
      </c>
      <c r="JA1536" s="42">
        <v>2024237</v>
      </c>
      <c r="JB1536" s="42">
        <v>2024238</v>
      </c>
      <c r="JC1536" s="42">
        <v>2024239</v>
      </c>
      <c r="JD1536" s="42">
        <v>2024240</v>
      </c>
      <c r="JE1536" s="42">
        <v>2024241</v>
      </c>
      <c r="JF1536" s="42">
        <v>2024242</v>
      </c>
      <c r="JG1536" s="42">
        <v>2024243</v>
      </c>
      <c r="JH1536" s="42">
        <v>2024244</v>
      </c>
      <c r="JI1536" s="42">
        <v>2024245</v>
      </c>
      <c r="JJ1536" s="42">
        <v>2024246</v>
      </c>
      <c r="JK1536" s="42">
        <v>2024247</v>
      </c>
      <c r="JL1536" s="42">
        <v>2024248</v>
      </c>
      <c r="JM1536" s="42">
        <v>2024249</v>
      </c>
      <c r="JN1536" s="42">
        <v>2024250</v>
      </c>
      <c r="JO1536" s="42">
        <v>2024251</v>
      </c>
      <c r="JP1536" s="42">
        <v>2024252</v>
      </c>
      <c r="JQ1536" s="42">
        <v>2024253</v>
      </c>
      <c r="JR1536" s="42">
        <v>2024254</v>
      </c>
      <c r="JS1536" s="42">
        <v>2024255</v>
      </c>
      <c r="JT1536" s="42">
        <v>2024256</v>
      </c>
      <c r="JU1536" s="42">
        <v>2024257</v>
      </c>
      <c r="JV1536" s="42">
        <v>2024258</v>
      </c>
      <c r="JW1536" s="42">
        <v>2024259</v>
      </c>
      <c r="JX1536" s="42">
        <v>2024260</v>
      </c>
      <c r="JY1536" s="42">
        <v>2024261</v>
      </c>
      <c r="JZ1536" s="42">
        <v>2024262</v>
      </c>
      <c r="KA1536" s="42">
        <v>2024263</v>
      </c>
      <c r="KB1536" s="42">
        <v>2024264</v>
      </c>
      <c r="KC1536" s="42">
        <v>2024265</v>
      </c>
      <c r="KD1536" s="42">
        <v>2024266</v>
      </c>
      <c r="KE1536" s="42">
        <v>2024267</v>
      </c>
      <c r="KF1536" s="42">
        <v>2024268</v>
      </c>
      <c r="KG1536" s="42">
        <v>2024269</v>
      </c>
      <c r="KH1536" s="42">
        <v>2024270</v>
      </c>
      <c r="KI1536" s="42">
        <v>2024271</v>
      </c>
      <c r="KJ1536" s="42">
        <v>2024272</v>
      </c>
      <c r="KK1536" s="42">
        <v>2024273</v>
      </c>
      <c r="KL1536" s="42">
        <v>2024274</v>
      </c>
      <c r="KM1536" s="42">
        <v>2024275</v>
      </c>
      <c r="KN1536" s="42">
        <v>2024276</v>
      </c>
      <c r="KO1536" s="42">
        <v>2024277</v>
      </c>
      <c r="KP1536" s="42">
        <v>2024278</v>
      </c>
      <c r="KQ1536" s="42">
        <v>2024279</v>
      </c>
      <c r="KR1536" s="42">
        <v>2024280</v>
      </c>
      <c r="KS1536" s="42">
        <v>2024281</v>
      </c>
      <c r="KT1536" s="42">
        <v>2024282</v>
      </c>
      <c r="KU1536" s="42">
        <v>2024283</v>
      </c>
      <c r="KV1536" s="42">
        <v>2024284</v>
      </c>
      <c r="KW1536" s="42">
        <v>2024285</v>
      </c>
      <c r="KX1536" s="42">
        <v>2024286</v>
      </c>
      <c r="KY1536" s="42">
        <v>2024287</v>
      </c>
      <c r="KZ1536" s="42">
        <v>2024288</v>
      </c>
      <c r="LA1536" s="42">
        <v>2024289</v>
      </c>
      <c r="LB1536" s="42">
        <v>2024290</v>
      </c>
      <c r="LC1536" s="42">
        <v>2024291</v>
      </c>
      <c r="LD1536" s="42">
        <v>2024292</v>
      </c>
      <c r="LE1536" s="42">
        <v>2024293</v>
      </c>
      <c r="LF1536" s="42">
        <v>2024294</v>
      </c>
      <c r="LG1536" s="42">
        <v>2024295</v>
      </c>
      <c r="LH1536" s="42">
        <v>2024296</v>
      </c>
      <c r="LI1536" s="42">
        <v>2024297</v>
      </c>
      <c r="LJ1536" s="42">
        <v>2024298</v>
      </c>
      <c r="LK1536" s="42">
        <v>2024322</v>
      </c>
      <c r="LL1536" s="42">
        <v>2024299</v>
      </c>
      <c r="LM1536" s="42">
        <v>2024300</v>
      </c>
      <c r="LN1536" s="42">
        <v>2024301</v>
      </c>
      <c r="LO1536" s="42">
        <v>2024302</v>
      </c>
      <c r="LP1536" s="42">
        <v>2024303</v>
      </c>
      <c r="LQ1536" s="42">
        <v>2024304</v>
      </c>
      <c r="LR1536" s="42">
        <v>2024305</v>
      </c>
      <c r="LS1536" s="42">
        <v>2024306</v>
      </c>
      <c r="LT1536" s="42">
        <v>2024307</v>
      </c>
      <c r="LU1536" s="42">
        <v>2024308</v>
      </c>
      <c r="LV1536" s="42">
        <v>2024309</v>
      </c>
      <c r="LW1536" s="42">
        <v>2024310</v>
      </c>
      <c r="LX1536" s="42">
        <v>2024311</v>
      </c>
      <c r="LY1536" s="42">
        <v>2024312</v>
      </c>
      <c r="LZ1536" s="42">
        <v>2024313</v>
      </c>
      <c r="MA1536" s="42">
        <v>2024324</v>
      </c>
      <c r="MB1536" s="42">
        <v>2024325</v>
      </c>
      <c r="MC1536" s="42">
        <v>2024326</v>
      </c>
      <c r="MD1536" s="42">
        <v>2024327</v>
      </c>
      <c r="ME1536" s="42">
        <v>2024328</v>
      </c>
      <c r="MF1536" s="42">
        <v>2024329</v>
      </c>
      <c r="MG1536" s="42">
        <v>2024330</v>
      </c>
      <c r="MH1536" s="42">
        <v>2024331</v>
      </c>
      <c r="MI1536" s="42">
        <v>2024339</v>
      </c>
      <c r="MJ1536" s="42">
        <v>2024340</v>
      </c>
      <c r="MK1536" s="42">
        <v>2024341</v>
      </c>
      <c r="ML1536" s="42">
        <v>2024342</v>
      </c>
      <c r="MM1536" s="42">
        <v>2024343</v>
      </c>
      <c r="MN1536" s="42">
        <v>2024344</v>
      </c>
      <c r="MO1536" s="42">
        <v>2024345</v>
      </c>
      <c r="MP1536" s="42">
        <v>2024346</v>
      </c>
      <c r="MQ1536" s="42">
        <v>2024347</v>
      </c>
      <c r="MR1536" s="42">
        <v>2024348</v>
      </c>
      <c r="MS1536" s="42">
        <v>2024349</v>
      </c>
      <c r="MT1536" s="42">
        <v>2024350</v>
      </c>
      <c r="MU1536" s="42">
        <v>2024351</v>
      </c>
      <c r="MV1536" s="42">
        <v>2024352</v>
      </c>
      <c r="MW1536" s="42">
        <v>2024353</v>
      </c>
      <c r="MX1536" s="42">
        <v>2024354</v>
      </c>
      <c r="MY1536" s="42">
        <v>2024355</v>
      </c>
      <c r="MZ1536" s="42">
        <v>2024356</v>
      </c>
      <c r="NA1536" s="42">
        <v>2024357</v>
      </c>
      <c r="NB1536" s="42">
        <v>2024358</v>
      </c>
      <c r="NC1536" s="42">
        <v>2024359</v>
      </c>
      <c r="ND1536" s="42">
        <v>2024360</v>
      </c>
      <c r="NE1536" s="42">
        <v>2024361</v>
      </c>
      <c r="NF1536" s="42">
        <v>2024362</v>
      </c>
      <c r="NG1536" s="42">
        <v>2024363</v>
      </c>
      <c r="NH1536" s="42">
        <v>2024364</v>
      </c>
      <c r="NI1536" s="42">
        <v>2024365</v>
      </c>
      <c r="NJ1536" s="42">
        <v>2024366</v>
      </c>
      <c r="NK1536" s="42">
        <v>2024367</v>
      </c>
      <c r="NL1536" s="42">
        <v>2024368</v>
      </c>
      <c r="NM1536" s="42">
        <v>2024369</v>
      </c>
      <c r="NN1536" s="42">
        <v>2024370</v>
      </c>
      <c r="NO1536" s="42">
        <v>2024371</v>
      </c>
      <c r="NP1536" s="42">
        <v>2024372</v>
      </c>
      <c r="NQ1536" s="42">
        <v>2024373</v>
      </c>
      <c r="NR1536" s="42">
        <v>2024374</v>
      </c>
      <c r="NS1536" s="42">
        <v>2024375</v>
      </c>
      <c r="NT1536" s="42">
        <v>2024376</v>
      </c>
      <c r="NU1536" s="42">
        <v>2024377</v>
      </c>
      <c r="NV1536" s="42">
        <v>2024378</v>
      </c>
      <c r="NW1536" s="42">
        <v>2024379</v>
      </c>
      <c r="NX1536" s="42">
        <v>2024380</v>
      </c>
      <c r="NY1536" s="42">
        <v>2024381</v>
      </c>
      <c r="NZ1536" s="42">
        <v>2024382</v>
      </c>
      <c r="OA1536" s="42">
        <v>2024383</v>
      </c>
      <c r="OB1536" s="42">
        <v>2024384</v>
      </c>
      <c r="OC1536" s="42">
        <v>2024385</v>
      </c>
      <c r="OD1536" s="42">
        <v>2024386</v>
      </c>
      <c r="OE1536" s="42">
        <v>2024387</v>
      </c>
      <c r="OF1536" s="42">
        <v>2024388</v>
      </c>
      <c r="OG1536" s="42">
        <v>2024389</v>
      </c>
      <c r="OH1536" s="42">
        <v>2024390</v>
      </c>
      <c r="OI1536" s="42">
        <v>2024391</v>
      </c>
      <c r="OJ1536" s="42">
        <v>2024392</v>
      </c>
      <c r="OK1536" s="42">
        <v>2024393</v>
      </c>
      <c r="OL1536" s="42">
        <v>2024394</v>
      </c>
      <c r="OM1536" s="42">
        <v>2024395</v>
      </c>
      <c r="ON1536" s="42">
        <v>2024396</v>
      </c>
      <c r="OO1536" s="42">
        <v>2024397</v>
      </c>
      <c r="OP1536" s="42">
        <v>2024398</v>
      </c>
      <c r="OQ1536" s="42">
        <v>2024399</v>
      </c>
      <c r="OR1536" s="42">
        <v>2024400</v>
      </c>
      <c r="OS1536" s="42">
        <v>2024401</v>
      </c>
      <c r="OT1536" s="42">
        <v>2024402</v>
      </c>
      <c r="OU1536" s="42">
        <v>2024403</v>
      </c>
      <c r="OV1536" s="42">
        <v>2024404</v>
      </c>
      <c r="OW1536" s="42">
        <v>2024405</v>
      </c>
      <c r="OX1536" s="42">
        <v>2024406</v>
      </c>
      <c r="OY1536" s="42">
        <v>2024407</v>
      </c>
      <c r="OZ1536" s="42">
        <v>2024408</v>
      </c>
      <c r="PA1536" s="42">
        <v>2024409</v>
      </c>
      <c r="PB1536" s="42">
        <v>2024410</v>
      </c>
      <c r="PC1536" s="42">
        <v>2024411</v>
      </c>
      <c r="PD1536" s="42">
        <v>2024412</v>
      </c>
      <c r="PE1536" s="42">
        <v>2024413</v>
      </c>
      <c r="PF1536" s="42">
        <v>2024414</v>
      </c>
      <c r="PG1536" s="42">
        <v>2024415</v>
      </c>
      <c r="PH1536" s="42">
        <v>2024416</v>
      </c>
      <c r="PI1536" s="42">
        <v>2024417</v>
      </c>
      <c r="PJ1536" s="42">
        <v>2024418</v>
      </c>
      <c r="PK1536" s="42">
        <v>2024419</v>
      </c>
      <c r="PL1536" s="42">
        <v>2024420</v>
      </c>
      <c r="PM1536" s="42">
        <v>2024421</v>
      </c>
      <c r="PN1536" s="42">
        <v>2024422</v>
      </c>
      <c r="PO1536" s="42">
        <v>2024423</v>
      </c>
      <c r="PP1536" s="42">
        <v>2024424</v>
      </c>
      <c r="PQ1536" s="42">
        <v>2024425</v>
      </c>
      <c r="PR1536" s="42">
        <v>2024426</v>
      </c>
      <c r="PS1536" s="42">
        <v>2024427</v>
      </c>
      <c r="PT1536" s="42">
        <v>2024428</v>
      </c>
      <c r="PU1536" s="42">
        <v>2024429</v>
      </c>
      <c r="PV1536" s="42">
        <v>2024430</v>
      </c>
      <c r="PW1536" s="42">
        <v>2024431</v>
      </c>
      <c r="PX1536" s="42">
        <v>2024432</v>
      </c>
      <c r="PY1536" s="42">
        <v>2024433</v>
      </c>
      <c r="PZ1536" s="42">
        <v>2024434</v>
      </c>
      <c r="QA1536" s="42">
        <v>2024435</v>
      </c>
      <c r="QB1536" s="42">
        <v>2024436</v>
      </c>
      <c r="QC1536" s="42">
        <v>2024437</v>
      </c>
      <c r="QD1536" s="42">
        <v>2024438</v>
      </c>
      <c r="QE1536" s="42">
        <v>2024439</v>
      </c>
      <c r="QF1536" s="42">
        <v>2024440</v>
      </c>
      <c r="QG1536" s="42">
        <v>2024441</v>
      </c>
      <c r="QH1536" s="42">
        <v>2024442</v>
      </c>
      <c r="QI1536" s="42">
        <v>2024443</v>
      </c>
      <c r="QJ1536" s="42">
        <v>2024444</v>
      </c>
      <c r="QK1536" s="42">
        <v>2024445</v>
      </c>
      <c r="QL1536" s="42">
        <v>2024446</v>
      </c>
      <c r="QM1536" s="42">
        <v>2024447</v>
      </c>
      <c r="QN1536" s="42">
        <v>2024448</v>
      </c>
      <c r="QO1536" s="42">
        <v>2024449</v>
      </c>
      <c r="QP1536" s="42">
        <v>2024450</v>
      </c>
      <c r="QQ1536" s="42">
        <v>2024451</v>
      </c>
      <c r="QR1536" s="42">
        <v>2024452</v>
      </c>
      <c r="QS1536" s="42">
        <v>2024453</v>
      </c>
      <c r="QT1536" s="42">
        <v>2024454</v>
      </c>
      <c r="QU1536" s="42">
        <v>2024455</v>
      </c>
      <c r="QV1536" s="42">
        <v>2024456</v>
      </c>
      <c r="QW1536" s="42">
        <v>2024457</v>
      </c>
      <c r="QX1536" s="42">
        <v>2024458</v>
      </c>
      <c r="QY1536" s="42">
        <v>2024459</v>
      </c>
      <c r="QZ1536" s="42">
        <v>2024460</v>
      </c>
      <c r="RA1536" s="42">
        <v>2024461</v>
      </c>
      <c r="RB1536" s="42">
        <v>2024462</v>
      </c>
      <c r="RC1536" s="42">
        <v>2024463</v>
      </c>
      <c r="RD1536" s="42">
        <v>2024464</v>
      </c>
      <c r="RE1536" s="42">
        <v>2024465</v>
      </c>
      <c r="RF1536" s="42">
        <v>2024466</v>
      </c>
      <c r="RG1536" s="42">
        <v>2024467</v>
      </c>
      <c r="RH1536" s="42">
        <v>2024468</v>
      </c>
      <c r="RI1536" s="42">
        <v>2024469</v>
      </c>
      <c r="RJ1536" s="42">
        <v>2024470</v>
      </c>
      <c r="RK1536" s="42">
        <v>2024471</v>
      </c>
      <c r="RL1536" s="42">
        <v>2024472</v>
      </c>
      <c r="RM1536" s="42">
        <v>2024473</v>
      </c>
      <c r="RN1536" s="42">
        <v>2024474</v>
      </c>
      <c r="RO1536" s="42">
        <v>2024475</v>
      </c>
      <c r="RP1536" s="42">
        <v>2024476</v>
      </c>
      <c r="RQ1536" s="42">
        <v>2024477</v>
      </c>
      <c r="RR1536" s="42">
        <v>2024478</v>
      </c>
      <c r="RS1536" s="42">
        <v>2024479</v>
      </c>
      <c r="RT1536" s="42">
        <v>2024480</v>
      </c>
      <c r="RU1536" s="42">
        <v>2024481</v>
      </c>
      <c r="RV1536" s="42">
        <v>2024482</v>
      </c>
      <c r="RW1536" s="42">
        <v>2024483</v>
      </c>
      <c r="RX1536" s="42">
        <v>2024484</v>
      </c>
      <c r="RY1536" s="42">
        <v>2024485</v>
      </c>
      <c r="RZ1536" s="42">
        <v>2024486</v>
      </c>
      <c r="SA1536" s="42">
        <v>2024487</v>
      </c>
      <c r="SB1536" s="42">
        <v>2024488</v>
      </c>
      <c r="SC1536" s="42">
        <v>2024489</v>
      </c>
      <c r="SD1536" s="42">
        <v>2024490</v>
      </c>
      <c r="SE1536" s="42">
        <v>2024491</v>
      </c>
      <c r="SF1536" s="42">
        <v>2024492</v>
      </c>
      <c r="SG1536" s="42">
        <v>2024493</v>
      </c>
      <c r="SH1536" s="42">
        <v>2024494</v>
      </c>
      <c r="SI1536" s="42">
        <v>2024495</v>
      </c>
      <c r="SJ1536" s="42">
        <v>2024496</v>
      </c>
      <c r="SK1536" s="42">
        <v>2024497</v>
      </c>
      <c r="SL1536" s="42">
        <v>2024498</v>
      </c>
      <c r="SM1536" s="42">
        <v>2024499</v>
      </c>
      <c r="SN1536" s="42">
        <v>2024500</v>
      </c>
      <c r="SO1536" s="42">
        <v>2024501</v>
      </c>
      <c r="SP1536" s="42">
        <v>2024502</v>
      </c>
      <c r="SQ1536" s="42">
        <v>2024503</v>
      </c>
      <c r="SR1536" s="42">
        <v>2024504</v>
      </c>
      <c r="SS1536" s="42">
        <v>2024505</v>
      </c>
      <c r="ST1536" s="42">
        <v>2024506</v>
      </c>
      <c r="SU1536" s="42">
        <v>2024507</v>
      </c>
      <c r="SV1536" s="42">
        <v>2024508</v>
      </c>
      <c r="SW1536" s="42">
        <v>2024509</v>
      </c>
      <c r="SX1536" s="42">
        <v>2024510</v>
      </c>
      <c r="SY1536" s="42">
        <v>2024511</v>
      </c>
      <c r="SZ1536" s="42">
        <v>2024512</v>
      </c>
      <c r="TA1536" s="42">
        <v>2024513</v>
      </c>
      <c r="TB1536" s="42">
        <v>2024514</v>
      </c>
      <c r="TC1536" s="42">
        <v>2024515</v>
      </c>
      <c r="TD1536" s="42">
        <v>2024516</v>
      </c>
      <c r="TE1536" s="42">
        <v>2024517</v>
      </c>
      <c r="TF1536" s="42">
        <v>2024518</v>
      </c>
      <c r="TG1536" s="42">
        <v>2024519</v>
      </c>
      <c r="TH1536" s="42">
        <v>2024520</v>
      </c>
      <c r="TI1536" s="42">
        <v>2024521</v>
      </c>
      <c r="TJ1536" s="42">
        <v>2024522</v>
      </c>
      <c r="TK1536" s="42">
        <v>2024523</v>
      </c>
      <c r="TL1536" s="42">
        <v>2024524</v>
      </c>
      <c r="TM1536" s="42">
        <v>2024525</v>
      </c>
      <c r="TN1536" s="42">
        <v>2024526</v>
      </c>
      <c r="TO1536" s="42">
        <v>2024527</v>
      </c>
      <c r="TP1536" s="42">
        <v>2024528</v>
      </c>
      <c r="TQ1536" s="42">
        <v>2024529</v>
      </c>
      <c r="TR1536" s="42">
        <v>2024530</v>
      </c>
      <c r="TS1536" s="42">
        <v>2024531</v>
      </c>
      <c r="TT1536" s="42">
        <v>2024532</v>
      </c>
      <c r="TU1536" s="42">
        <v>2024533</v>
      </c>
      <c r="TV1536" s="42">
        <v>2024534</v>
      </c>
      <c r="TW1536" s="42">
        <v>2024535</v>
      </c>
      <c r="TX1536" s="42">
        <v>2024536</v>
      </c>
      <c r="TY1536" s="42">
        <v>2024537</v>
      </c>
      <c r="TZ1536" s="42">
        <v>2024538</v>
      </c>
      <c r="UA1536" s="42">
        <v>2024539</v>
      </c>
      <c r="UB1536" s="42">
        <v>2024540</v>
      </c>
      <c r="UC1536" s="42">
        <v>2024541</v>
      </c>
      <c r="UD1536" s="42">
        <v>2024542</v>
      </c>
      <c r="UE1536" s="42">
        <v>2024543</v>
      </c>
      <c r="UF1536" s="42">
        <v>2024544</v>
      </c>
      <c r="UG1536" s="42">
        <v>2024545</v>
      </c>
      <c r="UH1536" s="42">
        <v>2024546</v>
      </c>
      <c r="UI1536" s="42">
        <v>2024547</v>
      </c>
      <c r="UJ1536" s="42">
        <v>2024548</v>
      </c>
      <c r="UK1536" s="42">
        <v>2024549</v>
      </c>
      <c r="UL1536" s="42">
        <v>2024550</v>
      </c>
      <c r="UM1536" s="42">
        <v>2024551</v>
      </c>
      <c r="UN1536" s="42">
        <v>2024552</v>
      </c>
      <c r="UO1536" s="42">
        <v>2024553</v>
      </c>
      <c r="UP1536" s="42">
        <v>2024554</v>
      </c>
      <c r="UQ1536" s="42">
        <v>2024555</v>
      </c>
      <c r="UR1536" s="42">
        <v>2024556</v>
      </c>
      <c r="US1536" s="42">
        <v>2024557</v>
      </c>
      <c r="UT1536" s="42">
        <v>2024558</v>
      </c>
      <c r="UU1536" s="42">
        <v>2024559</v>
      </c>
      <c r="UV1536" s="42">
        <v>2024560</v>
      </c>
      <c r="UW1536" s="42">
        <v>2024561</v>
      </c>
      <c r="UX1536" s="42">
        <v>2024562</v>
      </c>
      <c r="UY1536" s="42">
        <v>2024563</v>
      </c>
      <c r="UZ1536" s="42">
        <v>2024564</v>
      </c>
      <c r="VA1536" s="42">
        <v>2024565</v>
      </c>
      <c r="VB1536" s="42">
        <v>2024566</v>
      </c>
      <c r="VC1536" s="42">
        <v>2024567</v>
      </c>
      <c r="VD1536" s="42">
        <v>2024568</v>
      </c>
      <c r="VE1536" s="42">
        <v>2024569</v>
      </c>
      <c r="VF1536" s="42">
        <v>2024570</v>
      </c>
      <c r="VG1536" s="42">
        <v>2024571</v>
      </c>
      <c r="VH1536" s="42">
        <v>2024572</v>
      </c>
      <c r="VI1536" s="42">
        <v>2024573</v>
      </c>
      <c r="VJ1536" s="42">
        <v>2024574</v>
      </c>
      <c r="VK1536" s="42">
        <v>2024575</v>
      </c>
      <c r="VL1536" s="42">
        <v>2024576</v>
      </c>
      <c r="VM1536" s="42">
        <v>2024577</v>
      </c>
      <c r="VN1536" s="42">
        <v>2024578</v>
      </c>
      <c r="VO1536" s="42">
        <v>2024579</v>
      </c>
      <c r="VP1536" s="42">
        <v>2024847</v>
      </c>
      <c r="VQ1536" s="42">
        <v>2024848</v>
      </c>
      <c r="VR1536" s="42">
        <v>2024849</v>
      </c>
      <c r="VS1536" s="42">
        <v>2024850</v>
      </c>
      <c r="VT1536" s="42">
        <v>2024851</v>
      </c>
      <c r="VU1536" s="42">
        <v>2024852</v>
      </c>
      <c r="VV1536" s="42">
        <v>2024853</v>
      </c>
      <c r="VW1536" s="42">
        <v>2024854</v>
      </c>
      <c r="VX1536" s="42">
        <v>2024855</v>
      </c>
      <c r="VY1536" s="42">
        <v>2024856</v>
      </c>
      <c r="VZ1536" s="42">
        <v>2024857</v>
      </c>
      <c r="WA1536" s="42" t="e">
        <v>#N/A</v>
      </c>
      <c r="WB1536" s="42" t="e">
        <v>#N/A</v>
      </c>
      <c r="WC1536" s="42" t="e">
        <v>#N/A</v>
      </c>
      <c r="WD1536" s="42" t="e">
        <v>#N/A</v>
      </c>
      <c r="WE1536" s="42" t="e">
        <v>#N/A</v>
      </c>
      <c r="WF1536" s="42" t="e">
        <v>#N/A</v>
      </c>
      <c r="WG1536" s="42" t="e">
        <v>#N/A</v>
      </c>
      <c r="WH1536" s="42" t="e">
        <v>#N/A</v>
      </c>
      <c r="WI1536" s="42" t="e">
        <v>#N/A</v>
      </c>
      <c r="WJ1536" s="42" t="e">
        <v>#N/A</v>
      </c>
      <c r="WK1536" s="42" t="e">
        <v>#N/A</v>
      </c>
      <c r="WL1536" s="42" t="e">
        <v>#N/A</v>
      </c>
      <c r="WM1536" s="42" t="e">
        <v>#N/A</v>
      </c>
      <c r="WN1536" s="42" t="e">
        <v>#N/A</v>
      </c>
      <c r="WO1536" s="42" t="e">
        <v>#N/A</v>
      </c>
      <c r="WP1536" s="42" t="e">
        <v>#N/A</v>
      </c>
      <c r="WQ1536" s="42" t="e">
        <v>#N/A</v>
      </c>
      <c r="WR1536" s="42" t="e">
        <v>#N/A</v>
      </c>
      <c r="WS1536" s="42" t="e">
        <v>#N/A</v>
      </c>
      <c r="WT1536" s="42" t="e">
        <v>#N/A</v>
      </c>
      <c r="WU1536" s="42" t="e">
        <v>#N/A</v>
      </c>
      <c r="WV1536" s="42" t="e">
        <v>#N/A</v>
      </c>
      <c r="WW1536" s="42" t="e">
        <v>#N/A</v>
      </c>
      <c r="WX1536" s="42" t="e">
        <v>#N/A</v>
      </c>
      <c r="WY1536" s="42" t="e">
        <v>#N/A</v>
      </c>
      <c r="WZ1536" s="42" t="e">
        <v>#N/A</v>
      </c>
      <c r="XA1536" s="42" t="e">
        <v>#N/A</v>
      </c>
      <c r="XB1536" s="42" t="e">
        <v>#N/A</v>
      </c>
      <c r="XC1536" s="42" t="e">
        <v>#N/A</v>
      </c>
      <c r="XD1536" s="42" t="e">
        <v>#N/A</v>
      </c>
      <c r="XE1536" s="42" t="e">
        <v>#N/A</v>
      </c>
      <c r="XF1536" s="42" t="e">
        <v>#N/A</v>
      </c>
      <c r="XG1536" s="42" t="e">
        <v>#N/A</v>
      </c>
      <c r="XH1536" s="42" t="e">
        <v>#N/A</v>
      </c>
      <c r="XI1536" s="42" t="e">
        <v>#N/A</v>
      </c>
      <c r="XJ1536" s="42" t="e">
        <v>#N/A</v>
      </c>
      <c r="XK1536" s="42" t="e">
        <v>#N/A</v>
      </c>
      <c r="XL1536" s="42" t="e">
        <v>#N/A</v>
      </c>
      <c r="XM1536" s="42" t="e">
        <v>#N/A</v>
      </c>
      <c r="XN1536" s="42" t="e">
        <v>#N/A</v>
      </c>
      <c r="XO1536" s="42" t="e">
        <v>#N/A</v>
      </c>
      <c r="XP1536" s="42" t="e">
        <v>#N/A</v>
      </c>
      <c r="XQ1536" s="42" t="e">
        <v>#N/A</v>
      </c>
      <c r="XR1536" s="42" t="e">
        <v>#N/A</v>
      </c>
      <c r="XS1536" s="42" t="e">
        <v>#N/A</v>
      </c>
      <c r="XT1536" s="42" t="e">
        <v>#N/A</v>
      </c>
      <c r="XU1536" s="42" t="e">
        <v>#N/A</v>
      </c>
      <c r="XV1536" s="42" t="e">
        <v>#N/A</v>
      </c>
      <c r="XW1536" s="42" t="e">
        <v>#N/A</v>
      </c>
      <c r="XX1536" s="42" t="e">
        <v>#N/A</v>
      </c>
      <c r="XY1536" s="42" t="e">
        <v>#N/A</v>
      </c>
      <c r="XZ1536" s="42" t="e">
        <v>#N/A</v>
      </c>
      <c r="YA1536" s="42" t="e">
        <v>#N/A</v>
      </c>
      <c r="YB1536" s="42" t="e">
        <v>#N/A</v>
      </c>
      <c r="YC1536" s="42" t="e">
        <v>#N/A</v>
      </c>
      <c r="YD1536" s="42" t="e">
        <v>#N/A</v>
      </c>
      <c r="YE1536" s="42" t="e">
        <v>#N/A</v>
      </c>
      <c r="YF1536" s="42" t="e">
        <v>#N/A</v>
      </c>
      <c r="YG1536" s="42" t="e">
        <v>#N/A</v>
      </c>
      <c r="YH1536" s="42" t="e">
        <v>#N/A</v>
      </c>
      <c r="YI1536" s="42" t="e">
        <v>#N/A</v>
      </c>
      <c r="YJ1536" s="42" t="e">
        <v>#N/A</v>
      </c>
      <c r="YK1536" s="42" t="e">
        <v>#N/A</v>
      </c>
      <c r="YL1536" s="42" t="e">
        <v>#N/A</v>
      </c>
      <c r="YM1536" s="42" t="e">
        <v>#N/A</v>
      </c>
      <c r="YN1536" s="42" t="e">
        <v>#N/A</v>
      </c>
      <c r="YO1536" s="42" t="e">
        <v>#N/A</v>
      </c>
      <c r="YP1536" s="42" t="e">
        <v>#N/A</v>
      </c>
      <c r="YQ1536" s="42" t="e">
        <v>#N/A</v>
      </c>
      <c r="YR1536" s="42" t="e">
        <v>#N/A</v>
      </c>
      <c r="YS1536" s="42" t="e">
        <v>#N/A</v>
      </c>
      <c r="YT1536" s="42" t="e">
        <v>#N/A</v>
      </c>
      <c r="YU1536" s="42" t="e">
        <v>#N/A</v>
      </c>
      <c r="YV1536" s="42" t="e">
        <v>#N/A</v>
      </c>
      <c r="YW1536" s="42" t="e">
        <v>#N/A</v>
      </c>
      <c r="YX1536" s="42" t="e">
        <v>#N/A</v>
      </c>
      <c r="YY1536" s="42" t="e">
        <v>#N/A</v>
      </c>
      <c r="YZ1536" s="42" t="e">
        <v>#N/A</v>
      </c>
      <c r="ZA1536" s="42" t="e">
        <v>#N/A</v>
      </c>
      <c r="ZB1536" s="42" t="e">
        <v>#N/A</v>
      </c>
      <c r="ZC1536" s="42" t="e">
        <v>#N/A</v>
      </c>
      <c r="ZD1536" s="42" t="e">
        <v>#N/A</v>
      </c>
      <c r="ZE1536" s="42" t="e">
        <v>#N/A</v>
      </c>
      <c r="ZF1536" s="42" t="e">
        <v>#N/A</v>
      </c>
      <c r="ZG1536" s="42" t="e">
        <v>#N/A</v>
      </c>
      <c r="ZH1536" s="42" t="e">
        <v>#N/A</v>
      </c>
      <c r="ZI1536" s="42" t="e">
        <v>#N/A</v>
      </c>
      <c r="ZJ1536" s="42" t="e">
        <v>#N/A</v>
      </c>
      <c r="ZK1536" s="42" t="e">
        <v>#N/A</v>
      </c>
      <c r="ZL1536" s="42" t="e">
        <v>#N/A</v>
      </c>
      <c r="ZM1536" s="42" t="e">
        <v>#N/A</v>
      </c>
      <c r="ZN1536" s="42" t="e">
        <v>#N/A</v>
      </c>
      <c r="ZO1536" s="42" t="e">
        <v>#N/A</v>
      </c>
      <c r="ZP1536" s="42" t="e">
        <v>#N/A</v>
      </c>
      <c r="ZQ1536" s="42" t="e">
        <v>#N/A</v>
      </c>
      <c r="ZR1536" s="42" t="e">
        <v>#N/A</v>
      </c>
      <c r="ZS1536" s="42" t="e">
        <v>#N/A</v>
      </c>
      <c r="ZT1536" s="42" t="e">
        <v>#N/A</v>
      </c>
      <c r="ZU1536" s="42" t="e">
        <v>#N/A</v>
      </c>
      <c r="ZV1536" s="42" t="e">
        <v>#N/A</v>
      </c>
      <c r="ZW1536" s="42" t="e">
        <v>#N/A</v>
      </c>
      <c r="ZX1536" s="42" t="e">
        <v>#N/A</v>
      </c>
      <c r="ZY1536" s="42" t="e">
        <v>#N/A</v>
      </c>
      <c r="ZZ1536" s="42" t="e">
        <v>#N/A</v>
      </c>
      <c r="AAA1536" s="42" t="e">
        <v>#N/A</v>
      </c>
      <c r="AAB1536" s="42" t="e">
        <v>#N/A</v>
      </c>
      <c r="AAC1536" s="42" t="e">
        <v>#N/A</v>
      </c>
      <c r="AAD1536" s="42" t="e">
        <v>#N/A</v>
      </c>
      <c r="AAE1536" s="42" t="e">
        <v>#N/A</v>
      </c>
      <c r="AAF1536" s="42" t="e">
        <v>#N/A</v>
      </c>
      <c r="AAG1536" s="42" t="e">
        <v>#N/A</v>
      </c>
      <c r="AAH1536" s="42" t="e">
        <v>#N/A</v>
      </c>
      <c r="AAI1536" s="42" t="e">
        <v>#N/A</v>
      </c>
      <c r="AAJ1536" s="42" t="e">
        <v>#N/A</v>
      </c>
      <c r="AAK1536" s="42" t="e">
        <v>#N/A</v>
      </c>
      <c r="AAL1536" s="42" t="e">
        <v>#N/A</v>
      </c>
      <c r="AAM1536" s="42" t="e">
        <v>#N/A</v>
      </c>
      <c r="AAN1536" s="42" t="e">
        <v>#N/A</v>
      </c>
      <c r="AAO1536" s="42" t="e">
        <v>#N/A</v>
      </c>
      <c r="AAP1536" s="42" t="e">
        <v>#N/A</v>
      </c>
      <c r="AAQ1536" s="42" t="e">
        <v>#N/A</v>
      </c>
      <c r="AAR1536" s="42" t="e">
        <v>#N/A</v>
      </c>
      <c r="AAS1536" s="42" t="e">
        <v>#N/A</v>
      </c>
      <c r="AAT1536" s="42" t="e">
        <v>#N/A</v>
      </c>
      <c r="AAU1536" s="42" t="e">
        <v>#N/A</v>
      </c>
      <c r="AAV1536" s="42" t="e">
        <v>#N/A</v>
      </c>
      <c r="AAW1536" s="42" t="e">
        <v>#N/A</v>
      </c>
      <c r="AAX1536" s="42" t="e">
        <v>#N/A</v>
      </c>
      <c r="AAY1536" s="42" t="e">
        <v>#N/A</v>
      </c>
      <c r="AAZ1536" s="42" t="e">
        <v>#N/A</v>
      </c>
      <c r="ABA1536" s="42" t="e">
        <v>#N/A</v>
      </c>
      <c r="ABB1536" s="42" t="e">
        <v>#N/A</v>
      </c>
      <c r="ABC1536" s="42" t="e">
        <v>#N/A</v>
      </c>
      <c r="ABD1536" s="42" t="e">
        <v>#N/A</v>
      </c>
      <c r="ABE1536" s="42" t="e">
        <v>#N/A</v>
      </c>
      <c r="ABF1536" s="42" t="e">
        <v>#N/A</v>
      </c>
      <c r="ABG1536" s="42" t="e">
        <v>#N/A</v>
      </c>
      <c r="ABH1536" s="42" t="e">
        <v>#N/A</v>
      </c>
      <c r="ABI1536" s="42" t="e">
        <v>#N/A</v>
      </c>
      <c r="ABJ1536" s="42" t="e">
        <v>#N/A</v>
      </c>
      <c r="ABK1536" s="42" t="e">
        <v>#N/A</v>
      </c>
      <c r="ABL1536" s="42" t="e">
        <v>#N/A</v>
      </c>
      <c r="ABM1536" s="42" t="e">
        <v>#N/A</v>
      </c>
      <c r="ABN1536" s="42" t="e">
        <v>#N/A</v>
      </c>
      <c r="ABO1536" s="42" t="e">
        <v>#N/A</v>
      </c>
      <c r="ABP1536" s="42" t="e">
        <v>#N/A</v>
      </c>
      <c r="ABQ1536" s="42" t="e">
        <v>#N/A</v>
      </c>
      <c r="ABR1536" s="42" t="e">
        <v>#N/A</v>
      </c>
      <c r="ABS1536" s="42" t="e">
        <v>#N/A</v>
      </c>
      <c r="ABT1536" s="42" t="e">
        <v>#N/A</v>
      </c>
      <c r="ABU1536" s="42" t="e">
        <v>#N/A</v>
      </c>
      <c r="ABV1536" s="42" t="e">
        <v>#N/A</v>
      </c>
      <c r="ABW1536" s="42" t="e">
        <v>#N/A</v>
      </c>
      <c r="ABX1536" s="42" t="e">
        <v>#N/A</v>
      </c>
      <c r="ABY1536" s="42" t="e">
        <v>#N/A</v>
      </c>
      <c r="ABZ1536" s="42" t="e">
        <v>#N/A</v>
      </c>
      <c r="ACA1536" s="42" t="e">
        <v>#N/A</v>
      </c>
      <c r="ACB1536" s="42" t="e">
        <v>#N/A</v>
      </c>
      <c r="ACC1536" s="42" t="e">
        <v>#N/A</v>
      </c>
      <c r="ACD1536" s="42" t="e">
        <v>#N/A</v>
      </c>
      <c r="ACE1536" s="42" t="e">
        <v>#N/A</v>
      </c>
      <c r="ACF1536" s="42" t="e">
        <v>#N/A</v>
      </c>
      <c r="ACG1536" s="42" t="e">
        <v>#N/A</v>
      </c>
      <c r="ACH1536" s="42" t="e">
        <v>#N/A</v>
      </c>
      <c r="ACI1536" s="42" t="e">
        <v>#N/A</v>
      </c>
      <c r="ACJ1536" s="42" t="e">
        <v>#N/A</v>
      </c>
      <c r="ACK1536" s="42" t="e">
        <v>#N/A</v>
      </c>
      <c r="ACL1536" s="42" t="e">
        <v>#N/A</v>
      </c>
      <c r="ACM1536" s="42" t="e">
        <v>#N/A</v>
      </c>
      <c r="ACN1536" s="42" t="e">
        <v>#N/A</v>
      </c>
      <c r="ACO1536" s="42" t="e">
        <v>#N/A</v>
      </c>
      <c r="ACP1536" s="42" t="e">
        <v>#N/A</v>
      </c>
      <c r="ACQ1536" s="42" t="e">
        <v>#N/A</v>
      </c>
      <c r="ACR1536" s="42" t="e">
        <v>#N/A</v>
      </c>
      <c r="ACS1536" s="42" t="e">
        <v>#N/A</v>
      </c>
      <c r="ACT1536" s="42" t="e">
        <v>#N/A</v>
      </c>
      <c r="ACU1536" s="42" t="e">
        <v>#N/A</v>
      </c>
      <c r="ACV1536" s="42" t="e">
        <v>#N/A</v>
      </c>
      <c r="ACW1536" s="42" t="e">
        <v>#N/A</v>
      </c>
      <c r="ACX1536" s="42" t="e">
        <v>#N/A</v>
      </c>
      <c r="ACY1536" s="42" t="e">
        <v>#N/A</v>
      </c>
      <c r="ACZ1536" s="42" t="e">
        <v>#N/A</v>
      </c>
      <c r="ADA1536" s="42" t="e">
        <v>#N/A</v>
      </c>
      <c r="ADB1536" s="42" t="e">
        <v>#N/A</v>
      </c>
      <c r="ADC1536" s="42" t="e">
        <v>#N/A</v>
      </c>
      <c r="ADD1536" s="42" t="e">
        <v>#N/A</v>
      </c>
      <c r="ADE1536" s="42" t="e">
        <v>#N/A</v>
      </c>
      <c r="ADF1536" s="42" t="e">
        <v>#N/A</v>
      </c>
      <c r="ADG1536" s="42" t="e">
        <v>#N/A</v>
      </c>
      <c r="ADH1536" s="42" t="e">
        <v>#N/A</v>
      </c>
      <c r="ADI1536" s="42" t="e">
        <v>#N/A</v>
      </c>
      <c r="ADJ1536" s="42" t="e">
        <v>#N/A</v>
      </c>
      <c r="ADK1536" s="42" t="e">
        <v>#N/A</v>
      </c>
      <c r="ADL1536" s="42" t="e">
        <v>#N/A</v>
      </c>
      <c r="ADM1536" s="42" t="e">
        <v>#N/A</v>
      </c>
      <c r="ADN1536" s="42" t="e">
        <v>#N/A</v>
      </c>
      <c r="ADO1536" s="42" t="e">
        <v>#N/A</v>
      </c>
      <c r="ADP1536" s="42" t="e">
        <v>#N/A</v>
      </c>
      <c r="ADQ1536" s="42" t="e">
        <v>#N/A</v>
      </c>
      <c r="ADR1536" s="42" t="e">
        <v>#N/A</v>
      </c>
      <c r="ADS1536" s="42" t="e">
        <v>#N/A</v>
      </c>
      <c r="ADT1536" s="42" t="e">
        <v>#N/A</v>
      </c>
      <c r="ADU1536" s="42" t="e">
        <v>#N/A</v>
      </c>
      <c r="ADV1536" s="42" t="e">
        <v>#N/A</v>
      </c>
      <c r="ADW1536" s="42" t="e">
        <v>#N/A</v>
      </c>
      <c r="ADX1536" s="42" t="e">
        <v>#N/A</v>
      </c>
      <c r="ADY1536" s="42" t="e">
        <v>#N/A</v>
      </c>
      <c r="ADZ1536" s="42" t="e">
        <v>#N/A</v>
      </c>
      <c r="AEA1536" s="42" t="e">
        <v>#N/A</v>
      </c>
      <c r="AEB1536" s="42" t="e">
        <v>#N/A</v>
      </c>
      <c r="AEC1536" s="42" t="e">
        <v>#N/A</v>
      </c>
      <c r="AED1536" s="42" t="e">
        <v>#N/A</v>
      </c>
      <c r="AEE1536" s="42" t="e">
        <v>#N/A</v>
      </c>
      <c r="AEF1536" s="42" t="e">
        <v>#N/A</v>
      </c>
      <c r="AEG1536" s="42" t="e">
        <v>#N/A</v>
      </c>
      <c r="AEH1536" s="42" t="e">
        <v>#N/A</v>
      </c>
      <c r="AEI1536" s="42" t="e">
        <v>#N/A</v>
      </c>
      <c r="AEJ1536" s="42" t="e">
        <v>#N/A</v>
      </c>
      <c r="AEK1536" s="42" t="e">
        <v>#N/A</v>
      </c>
      <c r="AEL1536" s="42" t="e">
        <v>#N/A</v>
      </c>
      <c r="AEM1536" s="42" t="e">
        <v>#N/A</v>
      </c>
      <c r="AEN1536" s="42" t="e">
        <v>#N/A</v>
      </c>
      <c r="AEO1536" s="42" t="e">
        <v>#N/A</v>
      </c>
      <c r="AEP1536" s="42" t="e">
        <v>#N/A</v>
      </c>
      <c r="AEQ1536" s="42" t="e">
        <v>#N/A</v>
      </c>
      <c r="AER1536" s="42" t="e">
        <v>#N/A</v>
      </c>
      <c r="AES1536" s="42" t="e">
        <v>#N/A</v>
      </c>
      <c r="AET1536" s="42" t="e">
        <v>#N/A</v>
      </c>
      <c r="AEU1536" s="42" t="e">
        <v>#N/A</v>
      </c>
      <c r="AEV1536" s="42" t="e">
        <v>#N/A</v>
      </c>
      <c r="AEW1536" s="42" t="e">
        <v>#N/A</v>
      </c>
      <c r="AEX1536" s="42" t="e">
        <v>#N/A</v>
      </c>
      <c r="AEY1536" s="42" t="e">
        <v>#N/A</v>
      </c>
      <c r="AEZ1536" s="42" t="e">
        <v>#N/A</v>
      </c>
      <c r="AFA1536" s="42" t="e">
        <v>#N/A</v>
      </c>
      <c r="AFB1536" s="42" t="e">
        <v>#N/A</v>
      </c>
      <c r="AFC1536" s="42" t="e">
        <v>#N/A</v>
      </c>
      <c r="AFD1536" s="42" t="e">
        <v>#N/A</v>
      </c>
      <c r="AFE1536" s="42" t="e">
        <v>#N/A</v>
      </c>
      <c r="AFF1536" s="42" t="e">
        <v>#N/A</v>
      </c>
      <c r="AFG1536" s="42" t="e">
        <v>#N/A</v>
      </c>
      <c r="AFH1536" s="42" t="e">
        <v>#N/A</v>
      </c>
      <c r="AFI1536" s="42" t="e">
        <v>#N/A</v>
      </c>
      <c r="AFJ1536" s="42" t="e">
        <v>#N/A</v>
      </c>
      <c r="AFK1536" s="42" t="e">
        <v>#N/A</v>
      </c>
      <c r="AFL1536" s="42" t="e">
        <v>#N/A</v>
      </c>
      <c r="AFM1536" s="42" t="e">
        <v>#N/A</v>
      </c>
      <c r="AFN1536" s="42" t="e">
        <v>#N/A</v>
      </c>
      <c r="AFO1536" s="42" t="e">
        <v>#N/A</v>
      </c>
      <c r="AFP1536" s="42" t="e">
        <v>#N/A</v>
      </c>
      <c r="AFQ1536" s="42" t="e">
        <v>#N/A</v>
      </c>
      <c r="AFR1536" s="42" t="e">
        <v>#N/A</v>
      </c>
      <c r="AFS1536" s="42" t="e">
        <v>#N/A</v>
      </c>
      <c r="AFT1536" s="42" t="e">
        <v>#N/A</v>
      </c>
      <c r="AFU1536" s="42" t="e">
        <v>#N/A</v>
      </c>
      <c r="AFV1536" s="42" t="e">
        <v>#N/A</v>
      </c>
      <c r="AFW1536" s="42" t="e">
        <v>#N/A</v>
      </c>
      <c r="AFX1536" s="42" t="e">
        <v>#N/A</v>
      </c>
      <c r="AFY1536" s="42" t="e">
        <v>#N/A</v>
      </c>
      <c r="AFZ1536" s="42" t="e">
        <v>#N/A</v>
      </c>
      <c r="AGA1536" s="42" t="e">
        <v>#N/A</v>
      </c>
      <c r="AGB1536" s="42" t="e">
        <v>#N/A</v>
      </c>
      <c r="AGC1536" s="42" t="e">
        <v>#N/A</v>
      </c>
      <c r="AGD1536" s="42" t="e">
        <v>#N/A</v>
      </c>
      <c r="AGE1536" s="42" t="e">
        <v>#N/A</v>
      </c>
      <c r="AGF1536" s="42" t="e">
        <v>#N/A</v>
      </c>
      <c r="AGG1536" s="42" t="e">
        <v>#N/A</v>
      </c>
      <c r="AGH1536" s="42" t="e">
        <v>#N/A</v>
      </c>
      <c r="AGI1536" s="42" t="e">
        <v>#N/A</v>
      </c>
      <c r="AGJ1536" s="42" t="e">
        <v>#N/A</v>
      </c>
      <c r="AGK1536" s="42" t="e">
        <v>#N/A</v>
      </c>
      <c r="AGL1536" s="42" t="e">
        <v>#N/A</v>
      </c>
      <c r="AGM1536" s="42" t="e">
        <v>#N/A</v>
      </c>
      <c r="AGN1536" s="42" t="e">
        <v>#N/A</v>
      </c>
    </row>
    <row r="1537" spans="15:872" x14ac:dyDescent="0.25">
      <c r="O1537" s="42">
        <v>1</v>
      </c>
      <c r="P1537" s="42">
        <f t="array" aca="1" ref="P1537" ca="1">IFERROR(INDEX(nombres[],SMALL(IF(OFFSET(nombres[],0,0,ROWS(nombres[]),1)=P$1490,ROW(OFFSET(nombres[],0,0,ROWS(nombres[]),1))-ROW(OFFSET(nombres[],0,0,1,1))+1,ROW(OFFSET(nombres[],ROWS(nombres[])-1,0,1,1))+1),$O1537:$O1556),3),"")</f>
        <v>43</v>
      </c>
      <c r="Q1537" s="42" t="str">
        <f t="array" aca="1" ref="Q1537" ca="1">IFERROR(INDEX(nombres[],SMALL(IF(OFFSET(nombres[],0,0,ROWS(nombres[]),1)=Q$1490,ROW(OFFSET(nombres[],0,0,ROWS(nombres[]),1))-ROW(OFFSET(nombres[],0,0,1,1))+1,ROW(OFFSET(nombres[],ROWS(nombres[])-1,0,1,1))+1),$O1537:$O1556),3),"")</f>
        <v/>
      </c>
      <c r="R1537" s="42">
        <f t="array" aca="1" ref="R1537" ca="1">IFERROR(INDEX(nombres[],SMALL(IF(OFFSET(nombres[],0,0,ROWS(nombres[]),1)=R$1490,ROW(OFFSET(nombres[],0,0,ROWS(nombres[]),1))-ROW(OFFSET(nombres[],0,0,1,1))+1,ROW(OFFSET(nombres[],ROWS(nombres[])-1,0,1,1))+1),$O1537:$O1556),3),"")</f>
        <v>48</v>
      </c>
      <c r="S1537" s="42">
        <f t="array" aca="1" ref="S1537" ca="1">IFERROR(INDEX(nombres[],SMALL(IF(OFFSET(nombres[],0,0,ROWS(nombres[]),1)=S$1490,ROW(OFFSET(nombres[],0,0,ROWS(nombres[]),1))-ROW(OFFSET(nombres[],0,0,1,1))+1,ROW(OFFSET(nombres[],ROWS(nombres[])-1,0,1,1))+1),$O1537:$O1556),3),"")</f>
        <v>8</v>
      </c>
      <c r="T1537" s="42">
        <f t="array" aca="1" ref="T1537" ca="1">IFERROR(INDEX(nombres[],SMALL(IF(OFFSET(nombres[],0,0,ROWS(nombres[]),1)=T$1490,ROW(OFFSET(nombres[],0,0,ROWS(nombres[]),1))-ROW(OFFSET(nombres[],0,0,1,1))+1,ROW(OFFSET(nombres[],ROWS(nombres[])-1,0,1,1))+1),$O1537:$O1556),3),"")</f>
        <v>30</v>
      </c>
      <c r="U1537" s="42">
        <f t="array" aca="1" ref="U1537" ca="1">IFERROR(INDEX(nombres[],SMALL(IF(OFFSET(nombres[],0,0,ROWS(nombres[]),1)=U$1490,ROW(OFFSET(nombres[],0,0,ROWS(nombres[]),1))-ROW(OFFSET(nombres[],0,0,1,1))+1,ROW(OFFSET(nombres[],ROWS(nombres[])-1,0,1,1))+1),$O1537:$O1556),3),"")</f>
        <v>26</v>
      </c>
      <c r="V1537" s="42">
        <f t="array" aca="1" ref="V1537" ca="1">IFERROR(INDEX(nombres[],SMALL(IF(OFFSET(nombres[],0,0,ROWS(nombres[]),1)=V$1490,ROW(OFFSET(nombres[],0,0,ROWS(nombres[]),1))-ROW(OFFSET(nombres[],0,0,1,1))+1,ROW(OFFSET(nombres[],ROWS(nombres[])-1,0,1,1))+1),$O1537:$O1556),3),"")</f>
        <v>62</v>
      </c>
      <c r="W1537" s="42">
        <f t="array" aca="1" ref="W1537" ca="1">IFERROR(INDEX(nombres[],SMALL(IF(OFFSET(nombres[],0,0,ROWS(nombres[]),1)=W$1490,ROW(OFFSET(nombres[],0,0,ROWS(nombres[]),1))-ROW(OFFSET(nombres[],0,0,1,1))+1,ROW(OFFSET(nombres[],ROWS(nombres[])-1,0,1,1))+1),$O1537:$O1556),3),"")</f>
        <v>51</v>
      </c>
      <c r="X1537" s="42">
        <f t="array" aca="1" ref="X1537" ca="1">IFERROR(INDEX(nombres[],SMALL(IF(OFFSET(nombres[],0,0,ROWS(nombres[]),1)=X$1490,ROW(OFFSET(nombres[],0,0,ROWS(nombres[]),1))-ROW(OFFSET(nombres[],0,0,1,1))+1,ROW(OFFSET(nombres[],ROWS(nombres[])-1,0,1,1))+1),$O1537:$O1556),3),"")</f>
        <v>22</v>
      </c>
      <c r="Y1537" s="42">
        <f t="array" aca="1" ref="Y1537" ca="1">IFERROR(INDEX(nombres[],SMALL(IF(OFFSET(nombres[],0,0,ROWS(nombres[]),1)=Y$1490,ROW(OFFSET(nombres[],0,0,ROWS(nombres[]),1))-ROW(OFFSET(nombres[],0,0,1,1))+1,ROW(OFFSET(nombres[],ROWS(nombres[])-1,0,1,1))+1),$O1537:$O1556),3),"")</f>
        <v>327</v>
      </c>
      <c r="Z1537" s="42">
        <f t="array" aca="1" ref="Z1537" ca="1">IFERROR(INDEX(nombres[],SMALL(IF(OFFSET(nombres[],0,0,ROWS(nombres[]),1)=Z$1490,ROW(OFFSET(nombres[],0,0,ROWS(nombres[]),1))-ROW(OFFSET(nombres[],0,0,1,1))+1,ROW(OFFSET(nombres[],ROWS(nombres[])-1,0,1,1))+1),$O1537:$O1556),3),"")</f>
        <v>61</v>
      </c>
      <c r="AA1537" s="42">
        <f t="array" aca="1" ref="AA1537" ca="1">IFERROR(INDEX(nombres[],SMALL(IF(OFFSET(nombres[],0,0,ROWS(nombres[]),1)=AA$1490,ROW(OFFSET(nombres[],0,0,ROWS(nombres[]),1))-ROW(OFFSET(nombres[],0,0,1,1))+1,ROW(OFFSET(nombres[],ROWS(nombres[])-1,0,1,1))+1),$O1537:$O1556),3),"")</f>
        <v>33</v>
      </c>
      <c r="AB1537" s="42">
        <f t="array" aca="1" ref="AB1537" ca="1">IFERROR(INDEX(nombres[],SMALL(IF(OFFSET(nombres[],0,0,ROWS(nombres[]),1)=AB$1490,ROW(OFFSET(nombres[],0,0,ROWS(nombres[]),1))-ROW(OFFSET(nombres[],0,0,1,1))+1,ROW(OFFSET(nombres[],ROWS(nombres[])-1,0,1,1))+1),$O1537:$O1556),3),"")</f>
        <v>385</v>
      </c>
      <c r="AC1537" s="42">
        <f t="array" aca="1" ref="AC1537" ca="1">IFERROR(INDEX(nombres[],SMALL(IF(OFFSET(nombres[],0,0,ROWS(nombres[]),1)=AC$1490,ROW(OFFSET(nombres[],0,0,ROWS(nombres[]),1))-ROW(OFFSET(nombres[],0,0,1,1))+1,ROW(OFFSET(nombres[],ROWS(nombres[])-1,0,1,1))+1),$O1537:$O1556),3),"")</f>
        <v>314</v>
      </c>
      <c r="AD1537" s="42">
        <f t="array" aca="1" ref="AD1537" ca="1">IFERROR(INDEX(nombres[],SMALL(IF(OFFSET(nombres[],0,0,ROWS(nombres[]),1)=AD$1490,ROW(OFFSET(nombres[],0,0,ROWS(nombres[]),1))-ROW(OFFSET(nombres[],0,0,1,1))+1,ROW(OFFSET(nombres[],ROWS(nombres[])-1,0,1,1))+1),$O1537:$O1556),3),"")</f>
        <v>310</v>
      </c>
      <c r="AE1537" s="42">
        <f t="array" aca="1" ref="AE1537" ca="1">IFERROR(INDEX(nombres[],SMALL(IF(OFFSET(nombres[],0,0,ROWS(nombres[]),1)=AE$1490,ROW(OFFSET(nombres[],0,0,ROWS(nombres[]),1))-ROW(OFFSET(nombres[],0,0,1,1))+1,ROW(OFFSET(nombres[],ROWS(nombres[])-1,0,1,1))+1),$O1537:$O1556),3),"")</f>
        <v>59</v>
      </c>
      <c r="AF1537" s="42">
        <f t="array" aca="1" ref="AF1537" ca="1">IFERROR(INDEX(nombres[],SMALL(IF(OFFSET(nombres[],0,0,ROWS(nombres[]),1)=AF$1490,ROW(OFFSET(nombres[],0,0,ROWS(nombres[]),1))-ROW(OFFSET(nombres[],0,0,1,1))+1,ROW(OFFSET(nombres[],ROWS(nombres[])-1,0,1,1))+1),$O1537:$O1556),3),"")</f>
        <v>28</v>
      </c>
      <c r="AG1537" s="42" t="str">
        <f t="array" aca="1" ref="AG1537" ca="1">IFERROR(INDEX(nombres[],SMALL(IF(OFFSET(nombres[],0,0,ROWS(nombres[]),1)=AG$1490,ROW(OFFSET(nombres[],0,0,ROWS(nombres[]),1))-ROW(OFFSET(nombres[],0,0,1,1))+1,ROW(OFFSET(nombres[],ROWS(nombres[])-1,0,1,1))+1),$O1537:$O1556),3),"")</f>
        <v/>
      </c>
      <c r="AH1537" s="42">
        <f t="array" aca="1" ref="AH1537" ca="1">IFERROR(INDEX(nombres[],SMALL(IF(OFFSET(nombres[],0,0,ROWS(nombres[]),1)=AH$1490,ROW(OFFSET(nombres[],0,0,ROWS(nombres[]),1))-ROW(OFFSET(nombres[],0,0,1,1))+1,ROW(OFFSET(nombres[],ROWS(nombres[])-1,0,1,1))+1),$O1537:$O1556),3),"")</f>
        <v>57</v>
      </c>
      <c r="AI1537" s="42" t="str">
        <f t="array" aca="1" ref="AI1537" ca="1">IFERROR(INDEX(nombres[],SMALL(IF(OFFSET(nombres[],0,0,ROWS(nombres[]),1)=AI$1490,ROW(OFFSET(nombres[],0,0,ROWS(nombres[]),1))-ROW(OFFSET(nombres[],0,0,1,1))+1,ROW(OFFSET(nombres[],ROWS(nombres[])-1,0,1,1))+1),$O1537:$O1556),3),"")</f>
        <v/>
      </c>
      <c r="AJ1537" s="42">
        <f t="array" aca="1" ref="AJ1537" ca="1">IFERROR(INDEX(nombres[],SMALL(IF(OFFSET(nombres[],0,0,ROWS(nombres[]),1)=AJ$1490,ROW(OFFSET(nombres[],0,0,ROWS(nombres[]),1))-ROW(OFFSET(nombres[],0,0,1,1))+1,ROW(OFFSET(nombres[],ROWS(nombres[])-1,0,1,1))+1),$O1537:$O1556),3),"")</f>
        <v>270</v>
      </c>
      <c r="AK1537" s="42">
        <f t="array" aca="1" ref="AK1537" ca="1">IFERROR(INDEX(nombres[],SMALL(IF(OFFSET(nombres[],0,0,ROWS(nombres[]),1)=AK$1490,ROW(OFFSET(nombres[],0,0,ROWS(nombres[]),1))-ROW(OFFSET(nombres[],0,0,1,1))+1,ROW(OFFSET(nombres[],ROWS(nombres[])-1,0,1,1))+1),$O1537:$O1556),3),"")</f>
        <v>616</v>
      </c>
      <c r="AL1537" s="42">
        <f t="array" aca="1" ref="AL1537" ca="1">IFERROR(INDEX(nombres[],SMALL(IF(OFFSET(nombres[],0,0,ROWS(nombres[]),1)=AL$1490,ROW(OFFSET(nombres[],0,0,ROWS(nombres[]),1))-ROW(OFFSET(nombres[],0,0,1,1))+1,ROW(OFFSET(nombres[],ROWS(nombres[])-1,0,1,1))+1),$O1537:$O1556),3),"")</f>
        <v>663</v>
      </c>
      <c r="AM1537" s="42">
        <f t="array" aca="1" ref="AM1537" ca="1">IFERROR(INDEX(nombres[],SMALL(IF(OFFSET(nombres[],0,0,ROWS(nombres[]),1)=AM$1490,ROW(OFFSET(nombres[],0,0,ROWS(nombres[]),1))-ROW(OFFSET(nombres[],0,0,1,1))+1,ROW(OFFSET(nombres[],ROWS(nombres[])-1,0,1,1))+1),$O1537:$O1556),3),"")</f>
        <v>421</v>
      </c>
      <c r="AN1537" s="42">
        <f t="array" aca="1" ref="AN1537" ca="1">IFERROR(INDEX(nombres[],SMALL(IF(OFFSET(nombres[],0,0,ROWS(nombres[]),1)=AN$1490,ROW(OFFSET(nombres[],0,0,ROWS(nombres[]),1))-ROW(OFFSET(nombres[],0,0,1,1))+1,ROW(OFFSET(nombres[],ROWS(nombres[])-1,0,1,1))+1),$O1537:$O1556),3),"")</f>
        <v>159</v>
      </c>
      <c r="AO1537" s="42">
        <f t="array" aca="1" ref="AO1537" ca="1">IFERROR(INDEX(nombres[],SMALL(IF(OFFSET(nombres[],0,0,ROWS(nombres[]),1)=AO$1490,ROW(OFFSET(nombres[],0,0,ROWS(nombres[]),1))-ROW(OFFSET(nombres[],0,0,1,1))+1,ROW(OFFSET(nombres[],ROWS(nombres[])-1,0,1,1))+1),$O1537:$O1556),3),"")</f>
        <v>63</v>
      </c>
      <c r="AP1537" s="42">
        <f t="array" aca="1" ref="AP1537" ca="1">IFERROR(INDEX(nombres[],SMALL(IF(OFFSET(nombres[],0,0,ROWS(nombres[]),1)=AP$1490,ROW(OFFSET(nombres[],0,0,ROWS(nombres[]),1))-ROW(OFFSET(nombres[],0,0,1,1))+1,ROW(OFFSET(nombres[],ROWS(nombres[])-1,0,1,1))+1),$O1537:$O1556),3),"")</f>
        <v>278</v>
      </c>
      <c r="AQ1537" s="42" t="str">
        <f t="array" aca="1" ref="AQ1537" ca="1">IFERROR(INDEX(nombres[],SMALL(IF(OFFSET(nombres[],0,0,ROWS(nombres[]),1)=AQ$1490,ROW(OFFSET(nombres[],0,0,ROWS(nombres[]),1))-ROW(OFFSET(nombres[],0,0,1,1))+1,ROW(OFFSET(nombres[],ROWS(nombres[])-1,0,1,1))+1),$O1537:$O1556),3),"")</f>
        <v/>
      </c>
      <c r="AR1537" s="42">
        <f t="array" aca="1" ref="AR1537" ca="1">IFERROR(INDEX(nombres[],SMALL(IF(OFFSET(nombres[],0,0,ROWS(nombres[]),1)=AR$1490,ROW(OFFSET(nombres[],0,0,ROWS(nombres[]),1))-ROW(OFFSET(nombres[],0,0,1,1))+1,ROW(OFFSET(nombres[],ROWS(nombres[])-1,0,1,1))+1),$O1537:$O1556),3),"")</f>
        <v>163</v>
      </c>
      <c r="AS1537" s="42">
        <f t="array" aca="1" ref="AS1537" ca="1">IFERROR(INDEX(nombres[],SMALL(IF(OFFSET(nombres[],0,0,ROWS(nombres[]),1)=AS$1490,ROW(OFFSET(nombres[],0,0,ROWS(nombres[]),1))-ROW(OFFSET(nombres[],0,0,1,1))+1,ROW(OFFSET(nombres[],ROWS(nombres[])-1,0,1,1))+1),$O1537:$O1556),3),"")</f>
        <v>31</v>
      </c>
      <c r="AT1537" s="42" t="str">
        <f t="array" aca="1" ref="AT1537" ca="1">IFERROR(INDEX(nombres[],SMALL(IF(OFFSET(nombres[],0,0,ROWS(nombres[]),1)=AT$1490,ROW(OFFSET(nombres[],0,0,ROWS(nombres[]),1))-ROW(OFFSET(nombres[],0,0,1,1))+1,ROW(OFFSET(nombres[],ROWS(nombres[])-1,0,1,1))+1),$O1537:$O1556),3),"")</f>
        <v/>
      </c>
      <c r="AU1537" s="42">
        <f t="array" aca="1" ref="AU1537" ca="1">IFERROR(INDEX(nombres[],SMALL(IF(OFFSET(nombres[],0,0,ROWS(nombres[]),1)=AU$1490,ROW(OFFSET(nombres[],0,0,ROWS(nombres[]),1))-ROW(OFFSET(nombres[],0,0,1,1))+1,ROW(OFFSET(nombres[],ROWS(nombres[])-1,0,1,1))+1),$O1537:$O1556),3),"")</f>
        <v>168</v>
      </c>
      <c r="AV1537" s="42">
        <f t="array" aca="1" ref="AV1537" ca="1">IFERROR(INDEX(nombres[],SMALL(IF(OFFSET(nombres[],0,0,ROWS(nombres[]),1)=AV$1490,ROW(OFFSET(nombres[],0,0,ROWS(nombres[]),1))-ROW(OFFSET(nombres[],0,0,1,1))+1,ROW(OFFSET(nombres[],ROWS(nombres[])-1,0,1,1))+1),$O1537:$O1556),3),"")</f>
        <v>79</v>
      </c>
      <c r="AW1537" s="42">
        <f t="array" aca="1" ref="AW1537" ca="1">IFERROR(INDEX(nombres[],SMALL(IF(OFFSET(nombres[],0,0,ROWS(nombres[]),1)=AW$1490,ROW(OFFSET(nombres[],0,0,ROWS(nombres[]),1))-ROW(OFFSET(nombres[],0,0,1,1))+1,ROW(OFFSET(nombres[],ROWS(nombres[])-1,0,1,1))+1),$O1537:$O1556),3),"")</f>
        <v>78</v>
      </c>
      <c r="AX1537" s="42">
        <f t="array" aca="1" ref="AX1537" ca="1">IFERROR(INDEX(nombres[],SMALL(IF(OFFSET(nombres[],0,0,ROWS(nombres[]),1)=AX$1490,ROW(OFFSET(nombres[],0,0,ROWS(nombres[]),1))-ROW(OFFSET(nombres[],0,0,1,1))+1,ROW(OFFSET(nombres[],ROWS(nombres[])-1,0,1,1))+1),$O1537:$O1556),3),"")</f>
        <v>69</v>
      </c>
      <c r="AY1537" s="42">
        <f t="array" aca="1" ref="AY1537" ca="1">IFERROR(INDEX(nombres[],SMALL(IF(OFFSET(nombres[],0,0,ROWS(nombres[]),1)=AY$1490,ROW(OFFSET(nombres[],0,0,ROWS(nombres[]),1))-ROW(OFFSET(nombres[],0,0,1,1))+1,ROW(OFFSET(nombres[],ROWS(nombres[])-1,0,1,1))+1),$O1537:$O1556),3),"")</f>
        <v>636</v>
      </c>
      <c r="AZ1537" s="42">
        <f t="array" aca="1" ref="AZ1537" ca="1">IFERROR(INDEX(nombres[],SMALL(IF(OFFSET(nombres[],0,0,ROWS(nombres[]),1)=AZ$1490,ROW(OFFSET(nombres[],0,0,ROWS(nombres[]),1))-ROW(OFFSET(nombres[],0,0,1,1))+1,ROW(OFFSET(nombres[],ROWS(nombres[])-1,0,1,1))+1),$O1537:$O1556),3),"")</f>
        <v>80</v>
      </c>
      <c r="BA1537" s="42">
        <f t="array" aca="1" ref="BA1537" ca="1">IFERROR(INDEX(nombres[],SMALL(IF(OFFSET(nombres[],0,0,ROWS(nombres[]),1)=BA$1490,ROW(OFFSET(nombres[],0,0,ROWS(nombres[]),1))-ROW(OFFSET(nombres[],0,0,1,1))+1,ROW(OFFSET(nombres[],ROWS(nombres[])-1,0,1,1))+1),$O1537:$O1556),3),"")</f>
        <v>651</v>
      </c>
      <c r="BB1537" s="42">
        <f t="array" aca="1" ref="BB1537" ca="1">IFERROR(INDEX(nombres[],SMALL(IF(OFFSET(nombres[],0,0,ROWS(nombres[]),1)=BB$1490,ROW(OFFSET(nombres[],0,0,ROWS(nombres[]),1))-ROW(OFFSET(nombres[],0,0,1,1))+1,ROW(OFFSET(nombres[],ROWS(nombres[])-1,0,1,1))+1),$O1537:$O1556),3),"")</f>
        <v>272</v>
      </c>
      <c r="BC1537" s="42">
        <f t="array" aca="1" ref="BC1537" ca="1">IFERROR(INDEX(nombres[],SMALL(IF(OFFSET(nombres[],0,0,ROWS(nombres[]),1)=BC$1490,ROW(OFFSET(nombres[],0,0,ROWS(nombres[]),1))-ROW(OFFSET(nombres[],0,0,1,1))+1,ROW(OFFSET(nombres[],ROWS(nombres[])-1,0,1,1))+1),$O1537:$O1556),3),"")</f>
        <v>49</v>
      </c>
      <c r="BD1537" s="42" t="str">
        <f t="array" aca="1" ref="BD1537" ca="1">IFERROR(INDEX(nombres[],SMALL(IF(OFFSET(nombres[],0,0,ROWS(nombres[]),1)=BD$1490,ROW(OFFSET(nombres[],0,0,ROWS(nombres[]),1))-ROW(OFFSET(nombres[],0,0,1,1))+1,ROW(OFFSET(nombres[],ROWS(nombres[])-1,0,1,1))+1),$O1537:$O1556),3),"")</f>
        <v/>
      </c>
      <c r="BE1537" s="42" t="str">
        <f t="array" aca="1" ref="BE1537" ca="1">IFERROR(INDEX(nombres[],SMALL(IF(OFFSET(nombres[],0,0,ROWS(nombres[]),1)=BE$1490,ROW(OFFSET(nombres[],0,0,ROWS(nombres[]),1))-ROW(OFFSET(nombres[],0,0,1,1))+1,ROW(OFFSET(nombres[],ROWS(nombres[])-1,0,1,1))+1),$O1537:$O1556),3),"")</f>
        <v/>
      </c>
      <c r="BF1537" s="42">
        <f t="array" aca="1" ref="BF1537" ca="1">IFERROR(INDEX(nombres[],SMALL(IF(OFFSET(nombres[],0,0,ROWS(nombres[]),1)=BF$1490,ROW(OFFSET(nombres[],0,0,ROWS(nombres[]),1))-ROW(OFFSET(nombres[],0,0,1,1))+1,ROW(OFFSET(nombres[],ROWS(nombres[])-1,0,1,1))+1),$O1537:$O1556),3),"")</f>
        <v>72</v>
      </c>
      <c r="BG1537" s="42">
        <f t="array" aca="1" ref="BG1537" ca="1">IFERROR(INDEX(nombres[],SMALL(IF(OFFSET(nombres[],0,0,ROWS(nombres[]),1)=BG$1490,ROW(OFFSET(nombres[],0,0,ROWS(nombres[]),1))-ROW(OFFSET(nombres[],0,0,1,1))+1,ROW(OFFSET(nombres[],ROWS(nombres[])-1,0,1,1))+1),$O1537:$O1556),3),"")</f>
        <v>205</v>
      </c>
      <c r="BH1537" s="42">
        <f t="array" aca="1" ref="BH1537" ca="1">IFERROR(INDEX(nombres[],SMALL(IF(OFFSET(nombres[],0,0,ROWS(nombres[]),1)=BH$1490,ROW(OFFSET(nombres[],0,0,ROWS(nombres[]),1))-ROW(OFFSET(nombres[],0,0,1,1))+1,ROW(OFFSET(nombres[],ROWS(nombres[])-1,0,1,1))+1),$O1537:$O1556),3),"")</f>
        <v>118</v>
      </c>
      <c r="BI1537" s="42">
        <f t="array" aca="1" ref="BI1537" ca="1">IFERROR(INDEX(nombres[],SMALL(IF(OFFSET(nombres[],0,0,ROWS(nombres[]),1)=BI$1490,ROW(OFFSET(nombres[],0,0,ROWS(nombres[]),1))-ROW(OFFSET(nombres[],0,0,1,1))+1,ROW(OFFSET(nombres[],ROWS(nombres[])-1,0,1,1))+1),$O1537:$O1556),3),"")</f>
        <v>83</v>
      </c>
      <c r="BJ1537" s="42">
        <f t="array" aca="1" ref="BJ1537" ca="1">IFERROR(INDEX(nombres[],SMALL(IF(OFFSET(nombres[],0,0,ROWS(nombres[]),1)=BJ$1490,ROW(OFFSET(nombres[],0,0,ROWS(nombres[]),1))-ROW(OFFSET(nombres[],0,0,1,1))+1,ROW(OFFSET(nombres[],ROWS(nombres[])-1,0,1,1))+1),$O1537:$O1556),3),"")</f>
        <v>125</v>
      </c>
      <c r="BK1537" s="42">
        <f t="array" aca="1" ref="BK1537" ca="1">IFERROR(INDEX(nombres[],SMALL(IF(OFFSET(nombres[],0,0,ROWS(nombres[]),1)=BK$1490,ROW(OFFSET(nombres[],0,0,ROWS(nombres[]),1))-ROW(OFFSET(nombres[],0,0,1,1))+1,ROW(OFFSET(nombres[],ROWS(nombres[])-1,0,1,1))+1),$O1537:$O1556),3),"")</f>
        <v>105</v>
      </c>
      <c r="BL1537" s="42" t="str">
        <f t="array" aca="1" ref="BL1537" ca="1">IFERROR(INDEX(nombres[],SMALL(IF(OFFSET(nombres[],0,0,ROWS(nombres[]),1)=BL$1490,ROW(OFFSET(nombres[],0,0,ROWS(nombres[]),1))-ROW(OFFSET(nombres[],0,0,1,1))+1,ROW(OFFSET(nombres[],ROWS(nombres[])-1,0,1,1))+1),$O1537:$O1556),3),"")</f>
        <v/>
      </c>
      <c r="BM1537" s="42">
        <f t="array" aca="1" ref="BM1537" ca="1">IFERROR(INDEX(nombres[],SMALL(IF(OFFSET(nombres[],0,0,ROWS(nombres[]),1)=BM$1490,ROW(OFFSET(nombres[],0,0,ROWS(nombres[]),1))-ROW(OFFSET(nombres[],0,0,1,1))+1,ROW(OFFSET(nombres[],ROWS(nombres[])-1,0,1,1))+1),$O1537:$O1556),3),"")</f>
        <v>227</v>
      </c>
      <c r="BN1537" s="42">
        <f t="array" aca="1" ref="BN1537" ca="1">IFERROR(INDEX(nombres[],SMALL(IF(OFFSET(nombres[],0,0,ROWS(nombres[]),1)=BN$1490,ROW(OFFSET(nombres[],0,0,ROWS(nombres[]),1))-ROW(OFFSET(nombres[],0,0,1,1))+1,ROW(OFFSET(nombres[],ROWS(nombres[])-1,0,1,1))+1),$O1537:$O1556),3),"")</f>
        <v>91</v>
      </c>
      <c r="BO1537" s="42">
        <f t="array" aca="1" ref="BO1537" ca="1">IFERROR(INDEX(nombres[],SMALL(IF(OFFSET(nombres[],0,0,ROWS(nombres[]),1)=BO$1490,ROW(OFFSET(nombres[],0,0,ROWS(nombres[]),1))-ROW(OFFSET(nombres[],0,0,1,1))+1,ROW(OFFSET(nombres[],ROWS(nombres[])-1,0,1,1))+1),$O1537:$O1556),3),"")</f>
        <v>94</v>
      </c>
      <c r="BP1537" s="42">
        <f t="array" aca="1" ref="BP1537" ca="1">IFERROR(INDEX(nombres[],SMALL(IF(OFFSET(nombres[],0,0,ROWS(nombres[]),1)=BP$1490,ROW(OFFSET(nombres[],0,0,ROWS(nombres[]),1))-ROW(OFFSET(nombres[],0,0,1,1))+1,ROW(OFFSET(nombres[],ROWS(nombres[])-1,0,1,1))+1),$O1537:$O1556),3),"")</f>
        <v>662</v>
      </c>
      <c r="BQ1537" s="42">
        <f t="array" aca="1" ref="BQ1537" ca="1">IFERROR(INDEX(nombres[],SMALL(IF(OFFSET(nombres[],0,0,ROWS(nombres[]),1)=BQ$1490,ROW(OFFSET(nombres[],0,0,ROWS(nombres[]),1))-ROW(OFFSET(nombres[],0,0,1,1))+1,ROW(OFFSET(nombres[],ROWS(nombres[])-1,0,1,1))+1),$O1537:$O1556),3),"")</f>
        <v>82</v>
      </c>
      <c r="BR1537" s="42" t="str">
        <f t="array" aca="1" ref="BR1537" ca="1">IFERROR(INDEX(nombres[],SMALL(IF(OFFSET(nombres[],0,0,ROWS(nombres[]),1)=BR$1490,ROW(OFFSET(nombres[],0,0,ROWS(nombres[]),1))-ROW(OFFSET(nombres[],0,0,1,1))+1,ROW(OFFSET(nombres[],ROWS(nombres[])-1,0,1,1))+1),$O1537:$O1556),3),"")</f>
        <v/>
      </c>
      <c r="BS1537" s="42">
        <f t="array" aca="1" ref="BS1537" ca="1">IFERROR(INDEX(nombres[],SMALL(IF(OFFSET(nombres[],0,0,ROWS(nombres[]),1)=BS$1490,ROW(OFFSET(nombres[],0,0,ROWS(nombres[]),1))-ROW(OFFSET(nombres[],0,0,1,1))+1,ROW(OFFSET(nombres[],ROWS(nombres[])-1,0,1,1))+1),$O1537:$O1556),3),"")</f>
        <v>112</v>
      </c>
      <c r="BT1537" s="42">
        <f t="array" aca="1" ref="BT1537" ca="1">IFERROR(INDEX(nombres[],SMALL(IF(OFFSET(nombres[],0,0,ROWS(nombres[]),1)=BT$1490,ROW(OFFSET(nombres[],0,0,ROWS(nombres[]),1))-ROW(OFFSET(nombres[],0,0,1,1))+1,ROW(OFFSET(nombres[],ROWS(nombres[])-1,0,1,1))+1),$O1537:$O1556),3),"")</f>
        <v>386</v>
      </c>
      <c r="BU1537" s="42">
        <f t="array" aca="1" ref="BU1537" ca="1">IFERROR(INDEX(nombres[],SMALL(IF(OFFSET(nombres[],0,0,ROWS(nombres[]),1)=BU$1490,ROW(OFFSET(nombres[],0,0,ROWS(nombres[]),1))-ROW(OFFSET(nombres[],0,0,1,1))+1,ROW(OFFSET(nombres[],ROWS(nombres[])-1,0,1,1))+1),$O1537:$O1556),3),"")</f>
        <v>97</v>
      </c>
      <c r="BV1537" s="42">
        <f t="array" aca="1" ref="BV1537" ca="1">IFERROR(INDEX(nombres[],SMALL(IF(OFFSET(nombres[],0,0,ROWS(nombres[]),1)=BV$1490,ROW(OFFSET(nombres[],0,0,ROWS(nombres[]),1))-ROW(OFFSET(nombres[],0,0,1,1))+1,ROW(OFFSET(nombres[],ROWS(nombres[])-1,0,1,1))+1),$O1537:$O1556),3),"")</f>
        <v>115</v>
      </c>
      <c r="BW1537" s="42">
        <f t="array" aca="1" ref="BW1537" ca="1">IFERROR(INDEX(nombres[],SMALL(IF(OFFSET(nombres[],0,0,ROWS(nombres[]),1)=BW$1490,ROW(OFFSET(nombres[],0,0,ROWS(nombres[]),1))-ROW(OFFSET(nombres[],0,0,1,1))+1,ROW(OFFSET(nombres[],ROWS(nombres[])-1,0,1,1))+1),$O1537:$O1556),3),"")</f>
        <v>89</v>
      </c>
      <c r="BX1537" s="42" t="str">
        <f t="array" aca="1" ref="BX1537" ca="1">IFERROR(INDEX(nombres[],SMALL(IF(OFFSET(nombres[],0,0,ROWS(nombres[]),1)=BX$1490,ROW(OFFSET(nombres[],0,0,ROWS(nombres[]),1))-ROW(OFFSET(nombres[],0,0,1,1))+1,ROW(OFFSET(nombres[],ROWS(nombres[])-1,0,1,1))+1),$O1537:$O1556),3),"")</f>
        <v/>
      </c>
      <c r="BY1537" s="42">
        <f t="array" aca="1" ref="BY1537" ca="1">IFERROR(INDEX(nombres[],SMALL(IF(OFFSET(nombres[],0,0,ROWS(nombres[]),1)=BY$1490,ROW(OFFSET(nombres[],0,0,ROWS(nombres[]),1))-ROW(OFFSET(nombres[],0,0,1,1))+1,ROW(OFFSET(nombres[],ROWS(nombres[])-1,0,1,1))+1),$O1537:$O1556),3),"")</f>
        <v>90</v>
      </c>
      <c r="BZ1537" s="42" t="str">
        <f t="array" aca="1" ref="BZ1537" ca="1">IFERROR(INDEX(nombres[],SMALL(IF(OFFSET(nombres[],0,0,ROWS(nombres[]),1)=BZ$1490,ROW(OFFSET(nombres[],0,0,ROWS(nombres[]),1))-ROW(OFFSET(nombres[],0,0,1,1))+1,ROW(OFFSET(nombres[],ROWS(nombres[])-1,0,1,1))+1),$O1537:$O1556),3),"")</f>
        <v/>
      </c>
      <c r="CA1537" s="42">
        <f t="array" aca="1" ref="CA1537" ca="1">IFERROR(INDEX(nombres[],SMALL(IF(OFFSET(nombres[],0,0,ROWS(nombres[]),1)=CA$1490,ROW(OFFSET(nombres[],0,0,ROWS(nombres[]),1))-ROW(OFFSET(nombres[],0,0,1,1))+1,ROW(OFFSET(nombres[],ROWS(nombres[])-1,0,1,1))+1),$O1537:$O1556),3),"")</f>
        <v>114</v>
      </c>
      <c r="CB1537" s="42">
        <f t="array" aca="1" ref="CB1537" ca="1">IFERROR(INDEX(nombres[],SMALL(IF(OFFSET(nombres[],0,0,ROWS(nombres[]),1)=CB$1490,ROW(OFFSET(nombres[],0,0,ROWS(nombres[]),1))-ROW(OFFSET(nombres[],0,0,1,1))+1,ROW(OFFSET(nombres[],ROWS(nombres[])-1,0,1,1))+1),$O1537:$O1556),3),"")</f>
        <v>88</v>
      </c>
      <c r="CC1537" s="42" t="str">
        <f t="array" aca="1" ref="CC1537" ca="1">IFERROR(INDEX(nombres[],SMALL(IF(OFFSET(nombres[],0,0,ROWS(nombres[]),1)=CC$1490,ROW(OFFSET(nombres[],0,0,ROWS(nombres[]),1))-ROW(OFFSET(nombres[],0,0,1,1))+1,ROW(OFFSET(nombres[],ROWS(nombres[])-1,0,1,1))+1),$O1537:$O1556),3),"")</f>
        <v/>
      </c>
      <c r="CD1537" s="42" t="str">
        <f t="array" aca="1" ref="CD1537" ca="1">IFERROR(INDEX(nombres[],SMALL(IF(OFFSET(nombres[],0,0,ROWS(nombres[]),1)=CD$1490,ROW(OFFSET(nombres[],0,0,ROWS(nombres[]),1))-ROW(OFFSET(nombres[],0,0,1,1))+1,ROW(OFFSET(nombres[],ROWS(nombres[])-1,0,1,1))+1),$O1537:$O1556),3),"")</f>
        <v/>
      </c>
      <c r="CE1537" s="42">
        <f t="array" aca="1" ref="CE1537" ca="1">IFERROR(INDEX(nombres[],SMALL(IF(OFFSET(nombres[],0,0,ROWS(nombres[]),1)=CE$1490,ROW(OFFSET(nombres[],0,0,ROWS(nombres[]),1))-ROW(OFFSET(nombres[],0,0,1,1))+1,ROW(OFFSET(nombres[],ROWS(nombres[])-1,0,1,1))+1),$O1537:$O1556),3),"")</f>
        <v>113</v>
      </c>
      <c r="CF1537" s="42">
        <f t="array" aca="1" ref="CF1537" ca="1">IFERROR(INDEX(nombres[],SMALL(IF(OFFSET(nombres[],0,0,ROWS(nombres[]),1)=CF$1490,ROW(OFFSET(nombres[],0,0,ROWS(nombres[]),1))-ROW(OFFSET(nombres[],0,0,1,1))+1,ROW(OFFSET(nombres[],ROWS(nombres[])-1,0,1,1))+1),$O1537:$O1556),3),"")</f>
        <v>122</v>
      </c>
      <c r="CG1537" s="42" t="str">
        <f t="array" aca="1" ref="CG1537" ca="1">IFERROR(INDEX(nombres[],SMALL(IF(OFFSET(nombres[],0,0,ROWS(nombres[]),1)=CG$1490,ROW(OFFSET(nombres[],0,0,ROWS(nombres[]),1))-ROW(OFFSET(nombres[],0,0,1,1))+1,ROW(OFFSET(nombres[],ROWS(nombres[])-1,0,1,1))+1),$O1537:$O1556),3),"")</f>
        <v/>
      </c>
      <c r="CH1537" s="42">
        <f t="array" aca="1" ref="CH1537" ca="1">IFERROR(INDEX(nombres[],SMALL(IF(OFFSET(nombres[],0,0,ROWS(nombres[]),1)=CH$1490,ROW(OFFSET(nombres[],0,0,ROWS(nombres[]),1))-ROW(OFFSET(nombres[],0,0,1,1))+1,ROW(OFFSET(nombres[],ROWS(nombres[])-1,0,1,1))+1),$O1537:$O1556),3),"")</f>
        <v>109</v>
      </c>
      <c r="CI1537" s="42">
        <f t="array" aca="1" ref="CI1537" ca="1">IFERROR(INDEX(nombres[],SMALL(IF(OFFSET(nombres[],0,0,ROWS(nombres[]),1)=CI$1490,ROW(OFFSET(nombres[],0,0,ROWS(nombres[]),1))-ROW(OFFSET(nombres[],0,0,1,1))+1,ROW(OFFSET(nombres[],ROWS(nombres[])-1,0,1,1))+1),$O1537:$O1556),3),"")</f>
        <v>207</v>
      </c>
      <c r="CJ1537" s="42" t="str">
        <f t="array" aca="1" ref="CJ1537" ca="1">IFERROR(INDEX(nombres[],SMALL(IF(OFFSET(nombres[],0,0,ROWS(nombres[]),1)=CJ$1490,ROW(OFFSET(nombres[],0,0,ROWS(nombres[]),1))-ROW(OFFSET(nombres[],0,0,1,1))+1,ROW(OFFSET(nombres[],ROWS(nombres[])-1,0,1,1))+1),$O1537:$O1556),3),"")</f>
        <v/>
      </c>
      <c r="CK1537" s="42">
        <f t="array" aca="1" ref="CK1537" ca="1">IFERROR(INDEX(nombres[],SMALL(IF(OFFSET(nombres[],0,0,ROWS(nombres[]),1)=CK$1490,ROW(OFFSET(nombres[],0,0,ROWS(nombres[]),1))-ROW(OFFSET(nombres[],0,0,1,1))+1,ROW(OFFSET(nombres[],ROWS(nombres[])-1,0,1,1))+1),$O1537:$O1556),3),"")</f>
        <v>102</v>
      </c>
      <c r="CL1537" s="42">
        <f t="array" aca="1" ref="CL1537" ca="1">IFERROR(INDEX(nombres[],SMALL(IF(OFFSET(nombres[],0,0,ROWS(nombres[]),1)=CL$1490,ROW(OFFSET(nombres[],0,0,ROWS(nombres[]),1))-ROW(OFFSET(nombres[],0,0,1,1))+1,ROW(OFFSET(nombres[],ROWS(nombres[])-1,0,1,1))+1),$O1537:$O1556),3),"")</f>
        <v>121</v>
      </c>
      <c r="CM1537" s="42" t="str">
        <f t="array" aca="1" ref="CM1537" ca="1">IFERROR(INDEX(nombres[],SMALL(IF(OFFSET(nombres[],0,0,ROWS(nombres[]),1)=CM$1490,ROW(OFFSET(nombres[],0,0,ROWS(nombres[]),1))-ROW(OFFSET(nombres[],0,0,1,1))+1,ROW(OFFSET(nombres[],ROWS(nombres[])-1,0,1,1))+1),$O1537:$O1556),3),"")</f>
        <v/>
      </c>
      <c r="CN1537" s="42" t="str">
        <f t="array" aca="1" ref="CN1537" ca="1">IFERROR(INDEX(nombres[],SMALL(IF(OFFSET(nombres[],0,0,ROWS(nombres[]),1)=CN$1490,ROW(OFFSET(nombres[],0,0,ROWS(nombres[]),1))-ROW(OFFSET(nombres[],0,0,1,1))+1,ROW(OFFSET(nombres[],ROWS(nombres[])-1,0,1,1))+1),$O1537:$O1556),3),"")</f>
        <v/>
      </c>
      <c r="CO1537" s="42" t="str">
        <f t="array" aca="1" ref="CO1537" ca="1">IFERROR(INDEX(nombres[],SMALL(IF(OFFSET(nombres[],0,0,ROWS(nombres[]),1)=CO$1490,ROW(OFFSET(nombres[],0,0,ROWS(nombres[]),1))-ROW(OFFSET(nombres[],0,0,1,1))+1,ROW(OFFSET(nombres[],ROWS(nombres[])-1,0,1,1))+1),$O1537:$O1556),3),"")</f>
        <v/>
      </c>
      <c r="CP1537" s="42">
        <f t="array" aca="1" ref="CP1537" ca="1">IFERROR(INDEX(nombres[],SMALL(IF(OFFSET(nombres[],0,0,ROWS(nombres[]),1)=CP$1490,ROW(OFFSET(nombres[],0,0,ROWS(nombres[]),1))-ROW(OFFSET(nombres[],0,0,1,1))+1,ROW(OFFSET(nombres[],ROWS(nombres[])-1,0,1,1))+1),$O1537:$O1556),3),"")</f>
        <v>126</v>
      </c>
      <c r="CQ1537" s="42" t="str">
        <f t="array" aca="1" ref="CQ1537" ca="1">IFERROR(INDEX(nombres[],SMALL(IF(OFFSET(nombres[],0,0,ROWS(nombres[]),1)=CQ$1490,ROW(OFFSET(nombres[],0,0,ROWS(nombres[]),1))-ROW(OFFSET(nombres[],0,0,1,1))+1,ROW(OFFSET(nombres[],ROWS(nombres[])-1,0,1,1))+1),$O1537:$O1556),3),"")</f>
        <v/>
      </c>
      <c r="CR1537" s="42" t="str">
        <f t="array" aca="1" ref="CR1537" ca="1">IFERROR(INDEX(nombres[],SMALL(IF(OFFSET(nombres[],0,0,ROWS(nombres[]),1)=CR$1490,ROW(OFFSET(nombres[],0,0,ROWS(nombres[]),1))-ROW(OFFSET(nombres[],0,0,1,1))+1,ROW(OFFSET(nombres[],ROWS(nombres[])-1,0,1,1))+1),$O1537:$O1556),3),"")</f>
        <v/>
      </c>
      <c r="CS1537" s="42">
        <f t="array" aca="1" ref="CS1537" ca="1">IFERROR(INDEX(nombres[],SMALL(IF(OFFSET(nombres[],0,0,ROWS(nombres[]),1)=CS$1490,ROW(OFFSET(nombres[],0,0,ROWS(nombres[]),1))-ROW(OFFSET(nombres[],0,0,1,1))+1,ROW(OFFSET(nombres[],ROWS(nombres[])-1,0,1,1))+1),$O1537:$O1556),3),"")</f>
        <v>41</v>
      </c>
      <c r="CT1537" s="42">
        <f t="array" aca="1" ref="CT1537" ca="1">IFERROR(INDEX(nombres[],SMALL(IF(OFFSET(nombres[],0,0,ROWS(nombres[]),1)=CT$1490,ROW(OFFSET(nombres[],0,0,ROWS(nombres[]),1))-ROW(OFFSET(nombres[],0,0,1,1))+1,ROW(OFFSET(nombres[],ROWS(nombres[])-1,0,1,1))+1),$O1537:$O1556),3),"")</f>
        <v>132</v>
      </c>
      <c r="CU1537" s="42">
        <f t="array" aca="1" ref="CU1537" ca="1">IFERROR(INDEX(nombres[],SMALL(IF(OFFSET(nombres[],0,0,ROWS(nombres[]),1)=CU$1490,ROW(OFFSET(nombres[],0,0,ROWS(nombres[]),1))-ROW(OFFSET(nombres[],0,0,1,1))+1,ROW(OFFSET(nombres[],ROWS(nombres[])-1,0,1,1))+1),$O1537:$O1556),3),"")</f>
        <v>130</v>
      </c>
      <c r="CV1537" s="42">
        <f t="array" aca="1" ref="CV1537" ca="1">IFERROR(INDEX(nombres[],SMALL(IF(OFFSET(nombres[],0,0,ROWS(nombres[]),1)=CV$1490,ROW(OFFSET(nombres[],0,0,ROWS(nombres[]),1))-ROW(OFFSET(nombres[],0,0,1,1))+1,ROW(OFFSET(nombres[],ROWS(nombres[])-1,0,1,1))+1),$O1537:$O1556),3),"")</f>
        <v>134</v>
      </c>
      <c r="CW1537" s="42">
        <f t="array" aca="1" ref="CW1537" ca="1">IFERROR(INDEX(nombres[],SMALL(IF(OFFSET(nombres[],0,0,ROWS(nombres[]),1)=CW$1490,ROW(OFFSET(nombres[],0,0,ROWS(nombres[]),1))-ROW(OFFSET(nombres[],0,0,1,1))+1,ROW(OFFSET(nombres[],ROWS(nombres[])-1,0,1,1))+1),$O1537:$O1556),3),"")</f>
        <v>137</v>
      </c>
      <c r="CX1537" s="42" t="str">
        <f t="array" aca="1" ref="CX1537" ca="1">IFERROR(INDEX(nombres[],SMALL(IF(OFFSET(nombres[],0,0,ROWS(nombres[]),1)=CX$1490,ROW(OFFSET(nombres[],0,0,ROWS(nombres[]),1))-ROW(OFFSET(nombres[],0,0,1,1))+1,ROW(OFFSET(nombres[],ROWS(nombres[])-1,0,1,1))+1),$O1537:$O1556),3),"")</f>
        <v/>
      </c>
      <c r="CY1537" s="42">
        <f t="array" aca="1" ref="CY1537" ca="1">IFERROR(INDEX(nombres[],SMALL(IF(OFFSET(nombres[],0,0,ROWS(nombres[]),1)=CY$1490,ROW(OFFSET(nombres[],0,0,ROWS(nombres[]),1))-ROW(OFFSET(nombres[],0,0,1,1))+1,ROW(OFFSET(nombres[],ROWS(nombres[])-1,0,1,1))+1),$O1537:$O1556),3),"")</f>
        <v>151</v>
      </c>
      <c r="CZ1537" s="42">
        <f t="array" aca="1" ref="CZ1537" ca="1">IFERROR(INDEX(nombres[],SMALL(IF(OFFSET(nombres[],0,0,ROWS(nombres[]),1)=CZ$1490,ROW(OFFSET(nombres[],0,0,ROWS(nombres[]),1))-ROW(OFFSET(nombres[],0,0,1,1))+1,ROW(OFFSET(nombres[],ROWS(nombres[])-1,0,1,1))+1),$O1537:$O1556),3),"")</f>
        <v>142</v>
      </c>
      <c r="DA1537" s="42">
        <f t="array" aca="1" ref="DA1537" ca="1">IFERROR(INDEX(nombres[],SMALL(IF(OFFSET(nombres[],0,0,ROWS(nombres[]),1)=DA$1490,ROW(OFFSET(nombres[],0,0,ROWS(nombres[]),1))-ROW(OFFSET(nombres[],0,0,1,1))+1,ROW(OFFSET(nombres[],ROWS(nombres[])-1,0,1,1))+1),$O1537:$O1556),3),"")</f>
        <v>388</v>
      </c>
      <c r="DB1537" s="42" t="str">
        <f t="array" aca="1" ref="DB1537" ca="1">IFERROR(INDEX(nombres[],SMALL(IF(OFFSET(nombres[],0,0,ROWS(nombres[]),1)=DB$1490,ROW(OFFSET(nombres[],0,0,ROWS(nombres[]),1))-ROW(OFFSET(nombres[],0,0,1,1))+1,ROW(OFFSET(nombres[],ROWS(nombres[])-1,0,1,1))+1),$O1537:$O1556),3),"")</f>
        <v/>
      </c>
      <c r="DC1537" s="42">
        <f t="array" aca="1" ref="DC1537" ca="1">IFERROR(INDEX(nombres[],SMALL(IF(OFFSET(nombres[],0,0,ROWS(nombres[]),1)=DC$1490,ROW(OFFSET(nombres[],0,0,ROWS(nombres[]),1))-ROW(OFFSET(nombres[],0,0,1,1))+1,ROW(OFFSET(nombres[],ROWS(nombres[])-1,0,1,1))+1),$O1537:$O1556),3),"")</f>
        <v>157</v>
      </c>
      <c r="DD1537" s="42">
        <f t="array" aca="1" ref="DD1537" ca="1">IFERROR(INDEX(nombres[],SMALL(IF(OFFSET(nombres[],0,0,ROWS(nombres[]),1)=DD$1490,ROW(OFFSET(nombres[],0,0,ROWS(nombres[]),1))-ROW(OFFSET(nombres[],0,0,1,1))+1,ROW(OFFSET(nombres[],ROWS(nombres[])-1,0,1,1))+1),$O1537:$O1556),3),"")</f>
        <v>155</v>
      </c>
      <c r="DE1537" s="42">
        <f t="array" aca="1" ref="DE1537" ca="1">IFERROR(INDEX(nombres[],SMALL(IF(OFFSET(nombres[],0,0,ROWS(nombres[]),1)=DE$1490,ROW(OFFSET(nombres[],0,0,ROWS(nombres[]),1))-ROW(OFFSET(nombres[],0,0,1,1))+1,ROW(OFFSET(nombres[],ROWS(nombres[])-1,0,1,1))+1),$O1537:$O1556),3),"")</f>
        <v>150</v>
      </c>
      <c r="DF1537" s="42">
        <f t="array" aca="1" ref="DF1537" ca="1">IFERROR(INDEX(nombres[],SMALL(IF(OFFSET(nombres[],0,0,ROWS(nombres[]),1)=DF$1490,ROW(OFFSET(nombres[],0,0,ROWS(nombres[]),1))-ROW(OFFSET(nombres[],0,0,1,1))+1,ROW(OFFSET(nombres[],ROWS(nombres[])-1,0,1,1))+1),$O1537:$O1556),3),"")</f>
        <v>654</v>
      </c>
      <c r="DG1537" s="42">
        <f t="array" aca="1" ref="DG1537" ca="1">IFERROR(INDEX(nombres[],SMALL(IF(OFFSET(nombres[],0,0,ROWS(nombres[]),1)=DG$1490,ROW(OFFSET(nombres[],0,0,ROWS(nombres[]),1))-ROW(OFFSET(nombres[],0,0,1,1))+1,ROW(OFFSET(nombres[],ROWS(nombres[])-1,0,1,1))+1),$O1537:$O1556),3),"")</f>
        <v>154</v>
      </c>
      <c r="DH1537" s="42">
        <f t="array" aca="1" ref="DH1537" ca="1">IFERROR(INDEX(nombres[],SMALL(IF(OFFSET(nombres[],0,0,ROWS(nombres[]),1)=DH$1490,ROW(OFFSET(nombres[],0,0,ROWS(nombres[]),1))-ROW(OFFSET(nombres[],0,0,1,1))+1,ROW(OFFSET(nombres[],ROWS(nombres[])-1,0,1,1))+1),$O1537:$O1556),3),"")</f>
        <v>203</v>
      </c>
      <c r="DI1537" s="42">
        <f t="array" aca="1" ref="DI1537" ca="1">IFERROR(INDEX(nombres[],SMALL(IF(OFFSET(nombres[],0,0,ROWS(nombres[]),1)=DI$1490,ROW(OFFSET(nombres[],0,0,ROWS(nombres[]),1))-ROW(OFFSET(nombres[],0,0,1,1))+1,ROW(OFFSET(nombres[],ROWS(nombres[])-1,0,1,1))+1),$O1537:$O1556),3),"")</f>
        <v>146</v>
      </c>
      <c r="DJ1537" s="42">
        <f t="array" aca="1" ref="DJ1537" ca="1">IFERROR(INDEX(nombres[],SMALL(IF(OFFSET(nombres[],0,0,ROWS(nombres[]),1)=DJ$1490,ROW(OFFSET(nombres[],0,0,ROWS(nombres[]),1))-ROW(OFFSET(nombres[],0,0,1,1))+1,ROW(OFFSET(nombres[],ROWS(nombres[])-1,0,1,1))+1),$O1537:$O1556),3),"")</f>
        <v>148</v>
      </c>
      <c r="DK1537" s="42">
        <f t="array" aca="1" ref="DK1537" ca="1">IFERROR(INDEX(nombres[],SMALL(IF(OFFSET(nombres[],0,0,ROWS(nombres[]),1)=DK$1490,ROW(OFFSET(nombres[],0,0,ROWS(nombres[]),1))-ROW(OFFSET(nombres[],0,0,1,1))+1,ROW(OFFSET(nombres[],ROWS(nombres[])-1,0,1,1))+1),$O1537:$O1556),3),"")</f>
        <v>149</v>
      </c>
      <c r="DL1537" s="42">
        <f t="array" aca="1" ref="DL1537" ca="1">IFERROR(INDEX(nombres[],SMALL(IF(OFFSET(nombres[],0,0,ROWS(nombres[]),1)=DL$1490,ROW(OFFSET(nombres[],0,0,ROWS(nombres[]),1))-ROW(OFFSET(nombres[],0,0,1,1))+1,ROW(OFFSET(nombres[],ROWS(nombres[])-1,0,1,1))+1),$O1537:$O1556),3),"")</f>
        <v>140</v>
      </c>
      <c r="DM1537" s="42" t="str">
        <f t="array" aca="1" ref="DM1537" ca="1">IFERROR(INDEX(nombres[],SMALL(IF(OFFSET(nombres[],0,0,ROWS(nombres[]),1)=DM$1490,ROW(OFFSET(nombres[],0,0,ROWS(nombres[]),1))-ROW(OFFSET(nombres[],0,0,1,1))+1,ROW(OFFSET(nombres[],ROWS(nombres[])-1,0,1,1))+1),$O1537:$O1556),3),"")</f>
        <v/>
      </c>
      <c r="DN1537" s="42">
        <f t="array" aca="1" ref="DN1537" ca="1">IFERROR(INDEX(nombres[],SMALL(IF(OFFSET(nombres[],0,0,ROWS(nombres[]),1)=DN$1490,ROW(OFFSET(nombres[],0,0,ROWS(nombres[]),1))-ROW(OFFSET(nombres[],0,0,1,1))+1,ROW(OFFSET(nombres[],ROWS(nombres[])-1,0,1,1))+1),$O1537:$O1556),3),"")</f>
        <v>144</v>
      </c>
      <c r="DO1537" s="42">
        <f t="array" aca="1" ref="DO1537" ca="1">IFERROR(INDEX(nombres[],SMALL(IF(OFFSET(nombres[],0,0,ROWS(nombres[]),1)=DO$1490,ROW(OFFSET(nombres[],0,0,ROWS(nombres[]),1))-ROW(OFFSET(nombres[],0,0,1,1))+1,ROW(OFFSET(nombres[],ROWS(nombres[])-1,0,1,1))+1),$O1537:$O1556),3),"")</f>
        <v>45</v>
      </c>
      <c r="DP1537" s="42" t="str">
        <f t="array" aca="1" ref="DP1537" ca="1">IFERROR(INDEX(nombres[],SMALL(IF(OFFSET(nombres[],0,0,ROWS(nombres[]),1)=DP$1490,ROW(OFFSET(nombres[],0,0,ROWS(nombres[]),1))-ROW(OFFSET(nombres[],0,0,1,1))+1,ROW(OFFSET(nombres[],ROWS(nombres[])-1,0,1,1))+1),$O1537:$O1556),3),"")</f>
        <v/>
      </c>
      <c r="DQ1537" s="42">
        <f t="array" aca="1" ref="DQ1537" ca="1">IFERROR(INDEX(nombres[],SMALL(IF(OFFSET(nombres[],0,0,ROWS(nombres[]),1)=DQ$1490,ROW(OFFSET(nombres[],0,0,ROWS(nombres[]),1))-ROW(OFFSET(nombres[],0,0,1,1))+1,ROW(OFFSET(nombres[],ROWS(nombres[])-1,0,1,1))+1),$O1537:$O1556),3),"")</f>
        <v>186</v>
      </c>
      <c r="DR1537" s="42">
        <f t="array" aca="1" ref="DR1537" ca="1">IFERROR(INDEX(nombres[],SMALL(IF(OFFSET(nombres[],0,0,ROWS(nombres[]),1)=DR$1490,ROW(OFFSET(nombres[],0,0,ROWS(nombres[]),1))-ROW(OFFSET(nombres[],0,0,1,1))+1,ROW(OFFSET(nombres[],ROWS(nombres[])-1,0,1,1))+1),$O1537:$O1556),3),"")</f>
        <v>181</v>
      </c>
      <c r="DS1537" s="42">
        <f t="array" aca="1" ref="DS1537" ca="1">IFERROR(INDEX(nombres[],SMALL(IF(OFFSET(nombres[],0,0,ROWS(nombres[]),1)=DS$1490,ROW(OFFSET(nombres[],0,0,ROWS(nombres[]),1))-ROW(OFFSET(nombres[],0,0,1,1))+1,ROW(OFFSET(nombres[],ROWS(nombres[])-1,0,1,1))+1),$O1537:$O1556),3),"")</f>
        <v>657</v>
      </c>
      <c r="DT1537" s="42" t="str">
        <f t="array" aca="1" ref="DT1537" ca="1">IFERROR(INDEX(nombres[],SMALL(IF(OFFSET(nombres[],0,0,ROWS(nombres[]),1)=DT$1490,ROW(OFFSET(nombres[],0,0,ROWS(nombres[]),1))-ROW(OFFSET(nombres[],0,0,1,1))+1,ROW(OFFSET(nombres[],ROWS(nombres[])-1,0,1,1))+1),$O1537:$O1556),3),"")</f>
        <v/>
      </c>
      <c r="DU1537" s="42" t="str">
        <f t="array" aca="1" ref="DU1537" ca="1">IFERROR(INDEX(nombres[],SMALL(IF(OFFSET(nombres[],0,0,ROWS(nombres[]),1)=DU$1490,ROW(OFFSET(nombres[],0,0,ROWS(nombres[]),1))-ROW(OFFSET(nombres[],0,0,1,1))+1,ROW(OFFSET(nombres[],ROWS(nombres[])-1,0,1,1))+1),$O1537:$O1556),3),"")</f>
        <v/>
      </c>
      <c r="DV1537" s="42" t="str">
        <f t="array" aca="1" ref="DV1537" ca="1">IFERROR(INDEX(nombres[],SMALL(IF(OFFSET(nombres[],0,0,ROWS(nombres[]),1)=DV$1490,ROW(OFFSET(nombres[],0,0,ROWS(nombres[]),1))-ROW(OFFSET(nombres[],0,0,1,1))+1,ROW(OFFSET(nombres[],ROWS(nombres[])-1,0,1,1))+1),$O1537:$O1556),3),"")</f>
        <v/>
      </c>
      <c r="DW1537" s="42">
        <f t="array" aca="1" ref="DW1537" ca="1">IFERROR(INDEX(nombres[],SMALL(IF(OFFSET(nombres[],0,0,ROWS(nombres[]),1)=DW$1490,ROW(OFFSET(nombres[],0,0,ROWS(nombres[]),1))-ROW(OFFSET(nombres[],0,0,1,1))+1,ROW(OFFSET(nombres[],ROWS(nombres[])-1,0,1,1))+1),$O1537:$O1556),3),"")</f>
        <v>177</v>
      </c>
      <c r="DX1537" s="42" t="str">
        <f t="array" aca="1" ref="DX1537" ca="1">IFERROR(INDEX(nombres[],SMALL(IF(OFFSET(nombres[],0,0,ROWS(nombres[]),1)=DX$1490,ROW(OFFSET(nombres[],0,0,ROWS(nombres[]),1))-ROW(OFFSET(nombres[],0,0,1,1))+1,ROW(OFFSET(nombres[],ROWS(nombres[])-1,0,1,1))+1),$O1537:$O1556),3),"")</f>
        <v/>
      </c>
      <c r="DY1537" s="42">
        <f t="array" aca="1" ref="DY1537" ca="1">IFERROR(INDEX(nombres[],SMALL(IF(OFFSET(nombres[],0,0,ROWS(nombres[]),1)=DY$1490,ROW(OFFSET(nombres[],0,0,ROWS(nombres[]),1))-ROW(OFFSET(nombres[],0,0,1,1))+1,ROW(OFFSET(nombres[],ROWS(nombres[])-1,0,1,1))+1),$O1537:$O1556),3),"")</f>
        <v>183</v>
      </c>
      <c r="DZ1537" s="42">
        <f t="array" aca="1" ref="DZ1537" ca="1">IFERROR(INDEX(nombres[],SMALL(IF(OFFSET(nombres[],0,0,ROWS(nombres[]),1)=DZ$1490,ROW(OFFSET(nombres[],0,0,ROWS(nombres[]),1))-ROW(OFFSET(nombres[],0,0,1,1))+1,ROW(OFFSET(nombres[],ROWS(nombres[])-1,0,1,1))+1),$O1537:$O1556),3),"")</f>
        <v>169</v>
      </c>
      <c r="EA1537" s="42">
        <f t="array" aca="1" ref="EA1537" ca="1">IFERROR(INDEX(nombres[],SMALL(IF(OFFSET(nombres[],0,0,ROWS(nombres[]),1)=EA$1490,ROW(OFFSET(nombres[],0,0,ROWS(nombres[]),1))-ROW(OFFSET(nombres[],0,0,1,1))+1,ROW(OFFSET(nombres[],ROWS(nombres[])-1,0,1,1))+1),$O1537:$O1556),3),"")</f>
        <v>165</v>
      </c>
      <c r="EB1537" s="42">
        <f t="array" aca="1" ref="EB1537" ca="1">IFERROR(INDEX(nombres[],SMALL(IF(OFFSET(nombres[],0,0,ROWS(nombres[]),1)=EB$1490,ROW(OFFSET(nombres[],0,0,ROWS(nombres[]),1))-ROW(OFFSET(nombres[],0,0,1,1))+1,ROW(OFFSET(nombres[],ROWS(nombres[])-1,0,1,1))+1),$O1537:$O1556),3),"")</f>
        <v>638</v>
      </c>
      <c r="EC1537" s="42">
        <f t="array" aca="1" ref="EC1537" ca="1">IFERROR(INDEX(nombres[],SMALL(IF(OFFSET(nombres[],0,0,ROWS(nombres[]),1)=EC$1490,ROW(OFFSET(nombres[],0,0,ROWS(nombres[]),1))-ROW(OFFSET(nombres[],0,0,1,1))+1,ROW(OFFSET(nombres[],ROWS(nombres[])-1,0,1,1))+1),$O1537:$O1556),3),"")</f>
        <v>175</v>
      </c>
      <c r="ED1537" s="42">
        <f t="array" aca="1" ref="ED1537" ca="1">IFERROR(INDEX(nombres[],SMALL(IF(OFFSET(nombres[],0,0,ROWS(nombres[]),1)=ED$1490,ROW(OFFSET(nombres[],0,0,ROWS(nombres[]),1))-ROW(OFFSET(nombres[],0,0,1,1))+1,ROW(OFFSET(nombres[],ROWS(nombres[])-1,0,1,1))+1),$O1537:$O1556),3),"")</f>
        <v>470</v>
      </c>
      <c r="EE1537" s="42">
        <f t="array" aca="1" ref="EE1537" ca="1">IFERROR(INDEX(nombres[],SMALL(IF(OFFSET(nombres[],0,0,ROWS(nombres[]),1)=EE$1490,ROW(OFFSET(nombres[],0,0,ROWS(nombres[]),1))-ROW(OFFSET(nombres[],0,0,1,1))+1,ROW(OFFSET(nombres[],ROWS(nombres[])-1,0,1,1))+1),$O1537:$O1556),3),"")</f>
        <v>312</v>
      </c>
      <c r="EF1537" s="42">
        <f t="array" aca="1" ref="EF1537" ca="1">IFERROR(INDEX(nombres[],SMALL(IF(OFFSET(nombres[],0,0,ROWS(nombres[]),1)=EF$1490,ROW(OFFSET(nombres[],0,0,ROWS(nombres[]),1))-ROW(OFFSET(nombres[],0,0,1,1))+1,ROW(OFFSET(nombres[],ROWS(nombres[])-1,0,1,1))+1),$O1537:$O1556),3),"")</f>
        <v>263</v>
      </c>
      <c r="EG1537" s="42" t="str">
        <f t="array" aca="1" ref="EG1537" ca="1">IFERROR(INDEX(nombres[],SMALL(IF(OFFSET(nombres[],0,0,ROWS(nombres[]),1)=EG$1490,ROW(OFFSET(nombres[],0,0,ROWS(nombres[]),1))-ROW(OFFSET(nombres[],0,0,1,1))+1,ROW(OFFSET(nombres[],ROWS(nombres[])-1,0,1,1))+1),$O1537:$O1556),3),"")</f>
        <v/>
      </c>
      <c r="EH1537" s="42">
        <f t="array" aca="1" ref="EH1537" ca="1">IFERROR(INDEX(nombres[],SMALL(IF(OFFSET(nombres[],0,0,ROWS(nombres[]),1)=EH$1490,ROW(OFFSET(nombres[],0,0,ROWS(nombres[]),1))-ROW(OFFSET(nombres[],0,0,1,1))+1,ROW(OFFSET(nombres[],ROWS(nombres[])-1,0,1,1))+1),$O1537:$O1556),3),"")</f>
        <v>277</v>
      </c>
      <c r="EI1537" s="42" t="str">
        <f t="array" aca="1" ref="EI1537" ca="1">IFERROR(INDEX(nombres[],SMALL(IF(OFFSET(nombres[],0,0,ROWS(nombres[]),1)=EI$1490,ROW(OFFSET(nombres[],0,0,ROWS(nombres[]),1))-ROW(OFFSET(nombres[],0,0,1,1))+1,ROW(OFFSET(nombres[],ROWS(nombres[])-1,0,1,1))+1),$O1537:$O1556),3),"")</f>
        <v/>
      </c>
      <c r="EJ1537" s="42">
        <f t="array" aca="1" ref="EJ1537" ca="1">IFERROR(INDEX(nombres[],SMALL(IF(OFFSET(nombres[],0,0,ROWS(nombres[]),1)=EJ$1490,ROW(OFFSET(nombres[],0,0,ROWS(nombres[]),1))-ROW(OFFSET(nombres[],0,0,1,1))+1,ROW(OFFSET(nombres[],ROWS(nombres[])-1,0,1,1))+1),$O1537:$O1556),3),"")</f>
        <v>81</v>
      </c>
      <c r="EK1537" s="42">
        <f t="array" aca="1" ref="EK1537" ca="1">IFERROR(INDEX(nombres[],SMALL(IF(OFFSET(nombres[],0,0,ROWS(nombres[]),1)=EK$1490,ROW(OFFSET(nombres[],0,0,ROWS(nombres[]),1))-ROW(OFFSET(nombres[],0,0,1,1))+1,ROW(OFFSET(nombres[],ROWS(nombres[])-1,0,1,1))+1),$O1537:$O1556),3),"")</f>
        <v>188</v>
      </c>
      <c r="EL1537" s="42">
        <f t="array" aca="1" ref="EL1537" ca="1">IFERROR(INDEX(nombres[],SMALL(IF(OFFSET(nombres[],0,0,ROWS(nombres[]),1)=EL$1490,ROW(OFFSET(nombres[],0,0,ROWS(nombres[]),1))-ROW(OFFSET(nombres[],0,0,1,1))+1,ROW(OFFSET(nombres[],ROWS(nombres[])-1,0,1,1))+1),$O1537:$O1556),3),"")</f>
        <v>642</v>
      </c>
      <c r="EM1537" s="42">
        <f t="array" aca="1" ref="EM1537" ca="1">IFERROR(INDEX(nombres[],SMALL(IF(OFFSET(nombres[],0,0,ROWS(nombres[]),1)=EM$1490,ROW(OFFSET(nombres[],0,0,ROWS(nombres[]),1))-ROW(OFFSET(nombres[],0,0,1,1))+1,ROW(OFFSET(nombres[],ROWS(nombres[])-1,0,1,1))+1),$O1537:$O1556),3),"")</f>
        <v>191</v>
      </c>
      <c r="EN1537" s="42" t="str">
        <f t="array" aca="1" ref="EN1537" ca="1">IFERROR(INDEX(nombres[],SMALL(IF(OFFSET(nombres[],0,0,ROWS(nombres[]),1)=EN$1490,ROW(OFFSET(nombres[],0,0,ROWS(nombres[]),1))-ROW(OFFSET(nombres[],0,0,1,1))+1,ROW(OFFSET(nombres[],ROWS(nombres[])-1,0,1,1))+1),$O1537:$O1556),3),"")</f>
        <v/>
      </c>
      <c r="EO1537" s="42">
        <f t="array" aca="1" ref="EO1537" ca="1">IFERROR(INDEX(nombres[],SMALL(IF(OFFSET(nombres[],0,0,ROWS(nombres[]),1)=EO$1490,ROW(OFFSET(nombres[],0,0,ROWS(nombres[]),1))-ROW(OFFSET(nombres[],0,0,1,1))+1,ROW(OFFSET(nombres[],ROWS(nombres[])-1,0,1,1))+1),$O1537:$O1556),3),"")</f>
        <v>209</v>
      </c>
      <c r="EP1537" s="42">
        <f t="array" aca="1" ref="EP1537" ca="1">IFERROR(INDEX(nombres[],SMALL(IF(OFFSET(nombres[],0,0,ROWS(nombres[]),1)=EP$1490,ROW(OFFSET(nombres[],0,0,ROWS(nombres[]),1))-ROW(OFFSET(nombres[],0,0,1,1))+1,ROW(OFFSET(nombres[],ROWS(nombres[])-1,0,1,1))+1),$O1537:$O1556),3),"")</f>
        <v>200</v>
      </c>
      <c r="EQ1537" s="42">
        <f t="array" aca="1" ref="EQ1537" ca="1">IFERROR(INDEX(nombres[],SMALL(IF(OFFSET(nombres[],0,0,ROWS(nombres[]),1)=EQ$1490,ROW(OFFSET(nombres[],0,0,ROWS(nombres[]),1))-ROW(OFFSET(nombres[],0,0,1,1))+1,ROW(OFFSET(nombres[],ROWS(nombres[])-1,0,1,1))+1),$O1537:$O1556),3),"")</f>
        <v>629</v>
      </c>
      <c r="ER1537" s="42">
        <f t="array" aca="1" ref="ER1537" ca="1">IFERROR(INDEX(nombres[],SMALL(IF(OFFSET(nombres[],0,0,ROWS(nombres[]),1)=ER$1490,ROW(OFFSET(nombres[],0,0,ROWS(nombres[]),1))-ROW(OFFSET(nombres[],0,0,1,1))+1,ROW(OFFSET(nombres[],ROWS(nombres[])-1,0,1,1))+1),$O1537:$O1556),3),"")</f>
        <v>194</v>
      </c>
      <c r="ES1537" s="42">
        <f t="array" aca="1" ref="ES1537" ca="1">IFERROR(INDEX(nombres[],SMALL(IF(OFFSET(nombres[],0,0,ROWS(nombres[]),1)=ES$1490,ROW(OFFSET(nombres[],0,0,ROWS(nombres[]),1))-ROW(OFFSET(nombres[],0,0,1,1))+1,ROW(OFFSET(nombres[],ROWS(nombres[])-1,0,1,1))+1),$O1537:$O1556),3),"")</f>
        <v>201</v>
      </c>
      <c r="ET1537" s="42">
        <f t="array" aca="1" ref="ET1537" ca="1">IFERROR(INDEX(nombres[],SMALL(IF(OFFSET(nombres[],0,0,ROWS(nombres[]),1)=ET$1490,ROW(OFFSET(nombres[],0,0,ROWS(nombres[]),1))-ROW(OFFSET(nombres[],0,0,1,1))+1,ROW(OFFSET(nombres[],ROWS(nombres[])-1,0,1,1))+1),$O1537:$O1556),3),"")</f>
        <v>309</v>
      </c>
      <c r="EU1537" s="42">
        <f t="array" aca="1" ref="EU1537" ca="1">IFERROR(INDEX(nombres[],SMALL(IF(OFFSET(nombres[],0,0,ROWS(nombres[]),1)=EU$1490,ROW(OFFSET(nombres[],0,0,ROWS(nombres[]),1))-ROW(OFFSET(nombres[],0,0,1,1))+1,ROW(OFFSET(nombres[],ROWS(nombres[])-1,0,1,1))+1),$O1537:$O1556),3),"")</f>
        <v>236</v>
      </c>
      <c r="EV1537" s="42" t="str">
        <f t="array" aca="1" ref="EV1537" ca="1">IFERROR(INDEX(nombres[],SMALL(IF(OFFSET(nombres[],0,0,ROWS(nombres[]),1)=EV$1490,ROW(OFFSET(nombres[],0,0,ROWS(nombres[]),1))-ROW(OFFSET(nombres[],0,0,1,1))+1,ROW(OFFSET(nombres[],ROWS(nombres[])-1,0,1,1))+1),$O1537:$O1556),3),"")</f>
        <v/>
      </c>
      <c r="EW1537" s="42" t="str">
        <f t="array" aca="1" ref="EW1537" ca="1">IFERROR(INDEX(nombres[],SMALL(IF(OFFSET(nombres[],0,0,ROWS(nombres[]),1)=EW$1490,ROW(OFFSET(nombres[],0,0,ROWS(nombres[]),1))-ROW(OFFSET(nombres[],0,0,1,1))+1,ROW(OFFSET(nombres[],ROWS(nombres[])-1,0,1,1))+1),$O1537:$O1556),3),"")</f>
        <v/>
      </c>
      <c r="EX1537" s="42">
        <f t="array" aca="1" ref="EX1537" ca="1">IFERROR(INDEX(nombres[],SMALL(IF(OFFSET(nombres[],0,0,ROWS(nombres[]),1)=EX$1490,ROW(OFFSET(nombres[],0,0,ROWS(nombres[]),1))-ROW(OFFSET(nombres[],0,0,1,1))+1,ROW(OFFSET(nombres[],ROWS(nombres[])-1,0,1,1))+1),$O1537:$O1556),3),"")</f>
        <v>329</v>
      </c>
      <c r="EY1537" s="42" t="str">
        <f t="array" aca="1" ref="EY1537" ca="1">IFERROR(INDEX(nombres[],SMALL(IF(OFFSET(nombres[],0,0,ROWS(nombres[]),1)=EY$1490,ROW(OFFSET(nombres[],0,0,ROWS(nombres[]),1))-ROW(OFFSET(nombres[],0,0,1,1))+1,ROW(OFFSET(nombres[],ROWS(nombres[])-1,0,1,1))+1),$O1537:$O1556),3),"")</f>
        <v/>
      </c>
      <c r="EZ1537" s="42">
        <f t="array" aca="1" ref="EZ1537" ca="1">IFERROR(INDEX(nombres[],SMALL(IF(OFFSET(nombres[],0,0,ROWS(nombres[]),1)=EZ$1490,ROW(OFFSET(nombres[],0,0,ROWS(nombres[]),1))-ROW(OFFSET(nombres[],0,0,1,1))+1,ROW(OFFSET(nombres[],ROWS(nombres[])-1,0,1,1))+1),$O1537:$O1556),3),"")</f>
        <v>210</v>
      </c>
      <c r="FA1537" s="42">
        <f t="array" aca="1" ref="FA1537" ca="1">IFERROR(INDEX(nombres[],SMALL(IF(OFFSET(nombres[],0,0,ROWS(nombres[]),1)=FA$1490,ROW(OFFSET(nombres[],0,0,ROWS(nombres[]),1))-ROW(OFFSET(nombres[],0,0,1,1))+1,ROW(OFFSET(nombres[],ROWS(nombres[])-1,0,1,1))+1),$O1537:$O1556),3),"")</f>
        <v>316</v>
      </c>
      <c r="FB1537" s="42" t="str">
        <f t="array" aca="1" ref="FB1537" ca="1">IFERROR(INDEX(nombres[],SMALL(IF(OFFSET(nombres[],0,0,ROWS(nombres[]),1)=FB$1490,ROW(OFFSET(nombres[],0,0,ROWS(nombres[]),1))-ROW(OFFSET(nombres[],0,0,1,1))+1,ROW(OFFSET(nombres[],ROWS(nombres[])-1,0,1,1))+1),$O1537:$O1556),3),"")</f>
        <v/>
      </c>
      <c r="FC1537" s="42">
        <f t="array" aca="1" ref="FC1537" ca="1">IFERROR(INDEX(nombres[],SMALL(IF(OFFSET(nombres[],0,0,ROWS(nombres[]),1)=FC$1490,ROW(OFFSET(nombres[],0,0,ROWS(nombres[]),1))-ROW(OFFSET(nombres[],0,0,1,1))+1,ROW(OFFSET(nombres[],ROWS(nombres[])-1,0,1,1))+1),$O1537:$O1556),3),"")</f>
        <v>228</v>
      </c>
      <c r="FD1537" s="42" t="str">
        <f t="array" aca="1" ref="FD1537" ca="1">IFERROR(INDEX(nombres[],SMALL(IF(OFFSET(nombres[],0,0,ROWS(nombres[]),1)=FD$1490,ROW(OFFSET(nombres[],0,0,ROWS(nombres[]),1))-ROW(OFFSET(nombres[],0,0,1,1))+1,ROW(OFFSET(nombres[],ROWS(nombres[])-1,0,1,1))+1),$O1537:$O1556),3),"")</f>
        <v/>
      </c>
      <c r="FE1537" s="42">
        <f t="array" aca="1" ref="FE1537" ca="1">IFERROR(INDEX(nombres[],SMALL(IF(OFFSET(nombres[],0,0,ROWS(nombres[]),1)=FE$1490,ROW(OFFSET(nombres[],0,0,ROWS(nombres[]),1))-ROW(OFFSET(nombres[],0,0,1,1))+1,ROW(OFFSET(nombres[],ROWS(nombres[])-1,0,1,1))+1),$O1537:$O1556),3),"")</f>
        <v>220</v>
      </c>
      <c r="FF1537" s="42">
        <f t="array" aca="1" ref="FF1537" ca="1">IFERROR(INDEX(nombres[],SMALL(IF(OFFSET(nombres[],0,0,ROWS(nombres[]),1)=FF$1490,ROW(OFFSET(nombres[],0,0,ROWS(nombres[]),1))-ROW(OFFSET(nombres[],0,0,1,1))+1,ROW(OFFSET(nombres[],ROWS(nombres[])-1,0,1,1))+1),$O1537:$O1556),3),"")</f>
        <v>234</v>
      </c>
      <c r="FG1537" s="42" t="str">
        <f t="array" aca="1" ref="FG1537" ca="1">IFERROR(INDEX(nombres[],SMALL(IF(OFFSET(nombres[],0,0,ROWS(nombres[]),1)=FG$1490,ROW(OFFSET(nombres[],0,0,ROWS(nombres[]),1))-ROW(OFFSET(nombres[],0,0,1,1))+1,ROW(OFFSET(nombres[],ROWS(nombres[])-1,0,1,1))+1),$O1537:$O1556),3),"")</f>
        <v/>
      </c>
      <c r="FH1537" s="42">
        <f t="array" aca="1" ref="FH1537" ca="1">IFERROR(INDEX(nombres[],SMALL(IF(OFFSET(nombres[],0,0,ROWS(nombres[]),1)=FH$1490,ROW(OFFSET(nombres[],0,0,ROWS(nombres[]),1))-ROW(OFFSET(nombres[],0,0,1,1))+1,ROW(OFFSET(nombres[],ROWS(nombres[])-1,0,1,1))+1),$O1537:$O1556),3),"")</f>
        <v>237</v>
      </c>
      <c r="FI1537" s="42">
        <f t="array" aca="1" ref="FI1537" ca="1">IFERROR(INDEX(nombres[],SMALL(IF(OFFSET(nombres[],0,0,ROWS(nombres[]),1)=FI$1490,ROW(OFFSET(nombres[],0,0,ROWS(nombres[]),1))-ROW(OFFSET(nombres[],0,0,1,1))+1,ROW(OFFSET(nombres[],ROWS(nombres[])-1,0,1,1))+1),$O1537:$O1556),3),"")</f>
        <v>546</v>
      </c>
      <c r="FJ1537" s="42">
        <f t="array" aca="1" ref="FJ1537" ca="1">IFERROR(INDEX(nombres[],SMALL(IF(OFFSET(nombres[],0,0,ROWS(nombres[]),1)=FJ$1490,ROW(OFFSET(nombres[],0,0,ROWS(nombres[]),1))-ROW(OFFSET(nombres[],0,0,1,1))+1,ROW(OFFSET(nombres[],ROWS(nombres[])-1,0,1,1))+1),$O1537:$O1556),3),"")</f>
        <v>630</v>
      </c>
      <c r="FK1537" s="42">
        <f t="array" aca="1" ref="FK1537" ca="1">IFERROR(INDEX(nombres[],SMALL(IF(OFFSET(nombres[],0,0,ROWS(nombres[]),1)=FK$1490,ROW(OFFSET(nombres[],0,0,ROWS(nombres[]),1))-ROW(OFFSET(nombres[],0,0,1,1))+1,ROW(OFFSET(nombres[],ROWS(nombres[])-1,0,1,1))+1),$O1537:$O1556),3),"")</f>
        <v>644</v>
      </c>
      <c r="FL1537" s="42">
        <f t="array" aca="1" ref="FL1537" ca="1">IFERROR(INDEX(nombres[],SMALL(IF(OFFSET(nombres[],0,0,ROWS(nombres[]),1)=FL$1490,ROW(OFFSET(nombres[],0,0,ROWS(nombres[]),1))-ROW(OFFSET(nombres[],0,0,1,1))+1,ROW(OFFSET(nombres[],ROWS(nombres[])-1,0,1,1))+1),$O1537:$O1556),3),"")</f>
        <v>292</v>
      </c>
      <c r="FM1537" s="42" t="str">
        <f t="array" aca="1" ref="FM1537" ca="1">IFERROR(INDEX(nombres[],SMALL(IF(OFFSET(nombres[],0,0,ROWS(nombres[]),1)=FM$1490,ROW(OFFSET(nombres[],0,0,ROWS(nombres[]),1))-ROW(OFFSET(nombres[],0,0,1,1))+1,ROW(OFFSET(nombres[],ROWS(nombres[])-1,0,1,1))+1),$O1537:$O1556),3),"")</f>
        <v/>
      </c>
      <c r="FN1537" s="42" t="str">
        <f t="array" aca="1" ref="FN1537" ca="1">IFERROR(INDEX(nombres[],SMALL(IF(OFFSET(nombres[],0,0,ROWS(nombres[]),1)=FN$1490,ROW(OFFSET(nombres[],0,0,ROWS(nombres[]),1))-ROW(OFFSET(nombres[],0,0,1,1))+1,ROW(OFFSET(nombres[],ROWS(nombres[])-1,0,1,1))+1),$O1537:$O1556),3),"")</f>
        <v/>
      </c>
      <c r="FO1537" s="42">
        <f t="array" aca="1" ref="FO1537" ca="1">IFERROR(INDEX(nombres[],SMALL(IF(OFFSET(nombres[],0,0,ROWS(nombres[]),1)=FO$1490,ROW(OFFSET(nombres[],0,0,ROWS(nombres[]),1))-ROW(OFFSET(nombres[],0,0,1,1))+1,ROW(OFFSET(nombres[],ROWS(nombres[])-1,0,1,1))+1),$O1537:$O1556),3),"")</f>
        <v>325</v>
      </c>
      <c r="FP1537" s="42">
        <f t="array" aca="1" ref="FP1537" ca="1">IFERROR(INDEX(nombres[],SMALL(IF(OFFSET(nombres[],0,0,ROWS(nombres[]),1)=FP$1490,ROW(OFFSET(nombres[],0,0,ROWS(nombres[]),1))-ROW(OFFSET(nombres[],0,0,1,1))+1,ROW(OFFSET(nombres[],ROWS(nombres[])-1,0,1,1))+1),$O1537:$O1556),3),"")</f>
        <v>285</v>
      </c>
      <c r="FQ1537" s="42">
        <f t="array" aca="1" ref="FQ1537" ca="1">IFERROR(INDEX(nombres[],SMALL(IF(OFFSET(nombres[],0,0,ROWS(nombres[]),1)=FQ$1490,ROW(OFFSET(nombres[],0,0,ROWS(nombres[]),1))-ROW(OFFSET(nombres[],0,0,1,1))+1,ROW(OFFSET(nombres[],ROWS(nombres[])-1,0,1,1))+1),$O1537:$O1556),3),"")</f>
        <v>295</v>
      </c>
      <c r="FR1537" s="42" t="str">
        <f t="array" aca="1" ref="FR1537" ca="1">IFERROR(INDEX(nombres[],SMALL(IF(OFFSET(nombres[],0,0,ROWS(nombres[]),1)=FR$1490,ROW(OFFSET(nombres[],0,0,ROWS(nombres[]),1))-ROW(OFFSET(nombres[],0,0,1,1))+1,ROW(OFFSET(nombres[],ROWS(nombres[])-1,0,1,1))+1),$O1537:$O1556),3),"")</f>
        <v/>
      </c>
      <c r="FS1537" s="42">
        <f t="array" aca="1" ref="FS1537" ca="1">IFERROR(INDEX(nombres[],SMALL(IF(OFFSET(nombres[],0,0,ROWS(nombres[]),1)=FS$1490,ROW(OFFSET(nombres[],0,0,ROWS(nombres[]),1))-ROW(OFFSET(nombres[],0,0,1,1))+1,ROW(OFFSET(nombres[],ROWS(nombres[])-1,0,1,1))+1),$O1537:$O1556),3),"")</f>
        <v>544</v>
      </c>
      <c r="FT1537" s="42" t="str">
        <f t="array" aca="1" ref="FT1537" ca="1">IFERROR(INDEX(nombres[],SMALL(IF(OFFSET(nombres[],0,0,ROWS(nombres[]),1)=FT$1490,ROW(OFFSET(nombres[],0,0,ROWS(nombres[]),1))-ROW(OFFSET(nombres[],0,0,1,1))+1,ROW(OFFSET(nombres[],ROWS(nombres[])-1,0,1,1))+1),$O1537:$O1556),3),"")</f>
        <v/>
      </c>
      <c r="FU1537" s="42">
        <f t="array" aca="1" ref="FU1537" ca="1">IFERROR(INDEX(nombres[],SMALL(IF(OFFSET(nombres[],0,0,ROWS(nombres[]),1)=FU$1490,ROW(OFFSET(nombres[],0,0,ROWS(nombres[]),1))-ROW(OFFSET(nombres[],0,0,1,1))+1,ROW(OFFSET(nombres[],ROWS(nombres[])-1,0,1,1))+1),$O1537:$O1556),3),"")</f>
        <v>305</v>
      </c>
      <c r="FV1537" s="42">
        <f t="array" aca="1" ref="FV1537" ca="1">IFERROR(INDEX(nombres[],SMALL(IF(OFFSET(nombres[],0,0,ROWS(nombres[]),1)=FV$1490,ROW(OFFSET(nombres[],0,0,ROWS(nombres[]),1))-ROW(OFFSET(nombres[],0,0,1,1))+1,ROW(OFFSET(nombres[],ROWS(nombres[])-1,0,1,1))+1),$O1537:$O1556),3),"")</f>
        <v>304</v>
      </c>
      <c r="FW1537" s="42" t="str">
        <f t="array" aca="1" ref="FW1537" ca="1">IFERROR(INDEX(nombres[],SMALL(IF(OFFSET(nombres[],0,0,ROWS(nombres[]),1)=FW$1490,ROW(OFFSET(nombres[],0,0,ROWS(nombres[]),1))-ROW(OFFSET(nombres[],0,0,1,1))+1,ROW(OFFSET(nombres[],ROWS(nombres[])-1,0,1,1))+1),$O1537:$O1556),3),"")</f>
        <v/>
      </c>
      <c r="FX1537" s="42">
        <f t="array" aca="1" ref="FX1537" ca="1">IFERROR(INDEX(nombres[],SMALL(IF(OFFSET(nombres[],0,0,ROWS(nombres[]),1)=FX$1490,ROW(OFFSET(nombres[],0,0,ROWS(nombres[]),1))-ROW(OFFSET(nombres[],0,0,1,1))+1,ROW(OFFSET(nombres[],ROWS(nombres[])-1,0,1,1))+1),$O1537:$O1556),3),"")</f>
        <v>645</v>
      </c>
      <c r="FY1537" s="42" t="str">
        <f t="array" aca="1" ref="FY1537" ca="1">IFERROR(INDEX(nombres[],SMALL(IF(OFFSET(nombres[],0,0,ROWS(nombres[]),1)=FY$1490,ROW(OFFSET(nombres[],0,0,ROWS(nombres[]),1))-ROW(OFFSET(nombres[],0,0,1,1))+1,ROW(OFFSET(nombres[],ROWS(nombres[])-1,0,1,1))+1),$O1537:$O1556),3),"")</f>
        <v/>
      </c>
      <c r="FZ1537" s="42">
        <f t="array" aca="1" ref="FZ1537" ca="1">IFERROR(INDEX(nombres[],SMALL(IF(OFFSET(nombres[],0,0,ROWS(nombres[]),1)=FZ$1490,ROW(OFFSET(nombres[],0,0,ROWS(nombres[]),1))-ROW(OFFSET(nombres[],0,0,1,1))+1,ROW(OFFSET(nombres[],ROWS(nombres[])-1,0,1,1))+1),$O1537:$O1556),3),"")</f>
        <v>374</v>
      </c>
      <c r="GA1537" s="42">
        <f t="array" aca="1" ref="GA1537" ca="1">IFERROR(INDEX(nombres[],SMALL(IF(OFFSET(nombres[],0,0,ROWS(nombres[]),1)=GA$1490,ROW(OFFSET(nombres[],0,0,ROWS(nombres[]),1))-ROW(OFFSET(nombres[],0,0,1,1))+1,ROW(OFFSET(nombres[],ROWS(nombres[])-1,0,1,1))+1),$O1537:$O1556),3),"")</f>
        <v>326</v>
      </c>
      <c r="GB1537" s="42" t="str">
        <f t="array" aca="1" ref="GB1537" ca="1">IFERROR(INDEX(nombres[],SMALL(IF(OFFSET(nombres[],0,0,ROWS(nombres[]),1)=GB$1490,ROW(OFFSET(nombres[],0,0,ROWS(nombres[]),1))-ROW(OFFSET(nombres[],0,0,1,1))+1,ROW(OFFSET(nombres[],ROWS(nombres[])-1,0,1,1))+1),$O1537:$O1556),3),"")</f>
        <v/>
      </c>
      <c r="GC1537" s="42">
        <f t="array" aca="1" ref="GC1537" ca="1">IFERROR(INDEX(nombres[],SMALL(IF(OFFSET(nombres[],0,0,ROWS(nombres[]),1)=GC$1490,ROW(OFFSET(nombres[],0,0,ROWS(nombres[]),1))-ROW(OFFSET(nombres[],0,0,1,1))+1,ROW(OFFSET(nombres[],ROWS(nombres[])-1,0,1,1))+1),$O1537:$O1556),3),"")</f>
        <v>659</v>
      </c>
      <c r="GD1537" s="42">
        <f t="array" aca="1" ref="GD1537" ca="1">IFERROR(INDEX(nombres[],SMALL(IF(OFFSET(nombres[],0,0,ROWS(nombres[]),1)=GD$1490,ROW(OFFSET(nombres[],0,0,ROWS(nombres[]),1))-ROW(OFFSET(nombres[],0,0,1,1))+1,ROW(OFFSET(nombres[],ROWS(nombres[])-1,0,1,1))+1),$O1537:$O1556),3),"")</f>
        <v>320</v>
      </c>
      <c r="GE1537" s="42">
        <f t="array" aca="1" ref="GE1537" ca="1">IFERROR(INDEX(nombres[],SMALL(IF(OFFSET(nombres[],0,0,ROWS(nombres[]),1)=GE$1490,ROW(OFFSET(nombres[],0,0,ROWS(nombres[]),1))-ROW(OFFSET(nombres[],0,0,1,1))+1,ROW(OFFSET(nombres[],ROWS(nombres[])-1,0,1,1))+1),$O1537:$O1556),3),"")</f>
        <v>262</v>
      </c>
      <c r="GF1537" s="42">
        <f t="array" aca="1" ref="GF1537" ca="1">IFERROR(INDEX(nombres[],SMALL(IF(OFFSET(nombres[],0,0,ROWS(nombres[]),1)=GF$1490,ROW(OFFSET(nombres[],0,0,ROWS(nombres[]),1))-ROW(OFFSET(nombres[],0,0,1,1))+1,ROW(OFFSET(nombres[],ROWS(nombres[])-1,0,1,1))+1),$O1537:$O1556),3),"")</f>
        <v>254</v>
      </c>
      <c r="GG1537" s="42">
        <f t="array" aca="1" ref="GG1537" ca="1">IFERROR(INDEX(nombres[],SMALL(IF(OFFSET(nombres[],0,0,ROWS(nombres[]),1)=GG$1490,ROW(OFFSET(nombres[],0,0,ROWS(nombres[]),1))-ROW(OFFSET(nombres[],0,0,1,1))+1,ROW(OFFSET(nombres[],ROWS(nombres[])-1,0,1,1))+1),$O1537:$O1556),3),"")</f>
        <v>261</v>
      </c>
      <c r="GH1537" s="42">
        <f t="array" aca="1" ref="GH1537" ca="1">IFERROR(INDEX(nombres[],SMALL(IF(OFFSET(nombres[],0,0,ROWS(nombres[]),1)=GH$1490,ROW(OFFSET(nombres[],0,0,ROWS(nombres[]),1))-ROW(OFFSET(nombres[],0,0,1,1))+1,ROW(OFFSET(nombres[],ROWS(nombres[])-1,0,1,1))+1),$O1537:$O1556),3),"")</f>
        <v>294</v>
      </c>
      <c r="GI1537" s="42">
        <f t="array" aca="1" ref="GI1537" ca="1">IFERROR(INDEX(nombres[],SMALL(IF(OFFSET(nombres[],0,0,ROWS(nombres[]),1)=GI$1490,ROW(OFFSET(nombres[],0,0,ROWS(nombres[]),1))-ROW(OFFSET(nombres[],0,0,1,1))+1,ROW(OFFSET(nombres[],ROWS(nombres[])-1,0,1,1))+1),$O1537:$O1556),3),"")</f>
        <v>635</v>
      </c>
      <c r="GJ1537" s="42">
        <f t="array" aca="1" ref="GJ1537" ca="1">IFERROR(INDEX(nombres[],SMALL(IF(OFFSET(nombres[],0,0,ROWS(nombres[]),1)=GJ$1490,ROW(OFFSET(nombres[],0,0,ROWS(nombres[]),1))-ROW(OFFSET(nombres[],0,0,1,1))+1,ROW(OFFSET(nombres[],ROWS(nombres[])-1,0,1,1))+1),$O1537:$O1556),3),"")</f>
        <v>322</v>
      </c>
      <c r="GK1537" s="42" t="str">
        <f t="array" aca="1" ref="GK1537" ca="1">IFERROR(INDEX(nombres[],SMALL(IF(OFFSET(nombres[],0,0,ROWS(nombres[]),1)=GK$1490,ROW(OFFSET(nombres[],0,0,ROWS(nombres[]),1))-ROW(OFFSET(nombres[],0,0,1,1))+1,ROW(OFFSET(nombres[],ROWS(nombres[])-1,0,1,1))+1),$O1537:$O1556),3),"")</f>
        <v/>
      </c>
      <c r="GL1537" s="42">
        <f t="array" aca="1" ref="GL1537" ca="1">IFERROR(INDEX(nombres[],SMALL(IF(OFFSET(nombres[],0,0,ROWS(nombres[]),1)=GL$1490,ROW(OFFSET(nombres[],0,0,ROWS(nombres[]),1))-ROW(OFFSET(nombres[],0,0,1,1))+1,ROW(OFFSET(nombres[],ROWS(nombres[])-1,0,1,1))+1),$O1537:$O1556),3),"")</f>
        <v>248</v>
      </c>
      <c r="GM1537" s="42" t="str">
        <f t="array" aca="1" ref="GM1537" ca="1">IFERROR(INDEX(nombres[],SMALL(IF(OFFSET(nombres[],0,0,ROWS(nombres[]),1)=GM$1490,ROW(OFFSET(nombres[],0,0,ROWS(nombres[]),1))-ROW(OFFSET(nombres[],0,0,1,1))+1,ROW(OFFSET(nombres[],ROWS(nombres[])-1,0,1,1))+1),$O1537:$O1556),3),"")</f>
        <v/>
      </c>
      <c r="GN1537" s="42">
        <f t="array" aca="1" ref="GN1537" ca="1">IFERROR(INDEX(nombres[],SMALL(IF(OFFSET(nombres[],0,0,ROWS(nombres[]),1)=GN$1490,ROW(OFFSET(nombres[],0,0,ROWS(nombres[]),1))-ROW(OFFSET(nombres[],0,0,1,1))+1,ROW(OFFSET(nombres[],ROWS(nombres[])-1,0,1,1))+1),$O1537:$O1556),3),"")</f>
        <v>306</v>
      </c>
      <c r="GO1537" s="42" t="str">
        <f t="array" aca="1" ref="GO1537" ca="1">IFERROR(INDEX(nombres[],SMALL(IF(OFFSET(nombres[],0,0,ROWS(nombres[]),1)=GO$1490,ROW(OFFSET(nombres[],0,0,ROWS(nombres[]),1))-ROW(OFFSET(nombres[],0,0,1,1))+1,ROW(OFFSET(nombres[],ROWS(nombres[])-1,0,1,1))+1),$O1537:$O1556),3),"")</f>
        <v/>
      </c>
      <c r="GP1537" s="42" t="str">
        <f t="array" aca="1" ref="GP1537" ca="1">IFERROR(INDEX(nombres[],SMALL(IF(OFFSET(nombres[],0,0,ROWS(nombres[]),1)=GP$1490,ROW(OFFSET(nombres[],0,0,ROWS(nombres[]),1))-ROW(OFFSET(nombres[],0,0,1,1))+1,ROW(OFFSET(nombres[],ROWS(nombres[])-1,0,1,1))+1),$O1537:$O1556),3),"")</f>
        <v/>
      </c>
      <c r="GQ1537" s="42">
        <f t="array" aca="1" ref="GQ1537" ca="1">IFERROR(INDEX(nombres[],SMALL(IF(OFFSET(nombres[],0,0,ROWS(nombres[]),1)=GQ$1490,ROW(OFFSET(nombres[],0,0,ROWS(nombres[]),1))-ROW(OFFSET(nombres[],0,0,1,1))+1,ROW(OFFSET(nombres[],ROWS(nombres[])-1,0,1,1))+1),$O1537:$O1556),3),"")</f>
        <v>553</v>
      </c>
      <c r="GR1537" s="42">
        <f t="array" aca="1" ref="GR1537" ca="1">IFERROR(INDEX(nombres[],SMALL(IF(OFFSET(nombres[],0,0,ROWS(nombres[]),1)=GR$1490,ROW(OFFSET(nombres[],0,0,ROWS(nombres[]),1))-ROW(OFFSET(nombres[],0,0,1,1))+1,ROW(OFFSET(nombres[],ROWS(nombres[])-1,0,1,1))+1),$O1537:$O1556),3),"")</f>
        <v>336</v>
      </c>
      <c r="GS1537" s="42">
        <f t="array" aca="1" ref="GS1537" ca="1">IFERROR(INDEX(nombres[],SMALL(IF(OFFSET(nombres[],0,0,ROWS(nombres[]),1)=GS$1490,ROW(OFFSET(nombres[],0,0,ROWS(nombres[]),1))-ROW(OFFSET(nombres[],0,0,1,1))+1,ROW(OFFSET(nombres[],ROWS(nombres[])-1,0,1,1))+1),$O1537:$O1556),3),"")</f>
        <v>552</v>
      </c>
      <c r="GT1537" s="42">
        <f t="array" aca="1" ref="GT1537" ca="1">IFERROR(INDEX(nombres[],SMALL(IF(OFFSET(nombres[],0,0,ROWS(nombres[]),1)=GT$1490,ROW(OFFSET(nombres[],0,0,ROWS(nombres[]),1))-ROW(OFFSET(nombres[],0,0,1,1))+1,ROW(OFFSET(nombres[],ROWS(nombres[])-1,0,1,1))+1),$O1537:$O1556),3),"")</f>
        <v>350</v>
      </c>
      <c r="GU1537" s="42">
        <f t="array" aca="1" ref="GU1537" ca="1">IFERROR(INDEX(nombres[],SMALL(IF(OFFSET(nombres[],0,0,ROWS(nombres[]),1)=GU$1490,ROW(OFFSET(nombres[],0,0,ROWS(nombres[]),1))-ROW(OFFSET(nombres[],0,0,1,1))+1,ROW(OFFSET(nombres[],ROWS(nombres[])-1,0,1,1))+1),$O1537:$O1556),3),"")</f>
        <v>640</v>
      </c>
      <c r="GV1537" s="42">
        <f t="array" aca="1" ref="GV1537" ca="1">IFERROR(INDEX(nombres[],SMALL(IF(OFFSET(nombres[],0,0,ROWS(nombres[]),1)=GV$1490,ROW(OFFSET(nombres[],0,0,ROWS(nombres[]),1))-ROW(OFFSET(nombres[],0,0,1,1))+1,ROW(OFFSET(nombres[],ROWS(nombres[])-1,0,1,1))+1),$O1537:$O1556),3),"")</f>
        <v>345</v>
      </c>
      <c r="GW1537" s="42">
        <f t="array" aca="1" ref="GW1537" ca="1">IFERROR(INDEX(nombres[],SMALL(IF(OFFSET(nombres[],0,0,ROWS(nombres[]),1)=GW$1490,ROW(OFFSET(nombres[],0,0,ROWS(nombres[]),1))-ROW(OFFSET(nombres[],0,0,1,1))+1,ROW(OFFSET(nombres[],ROWS(nombres[])-1,0,1,1))+1),$O1537:$O1556),3),"")</f>
        <v>424</v>
      </c>
      <c r="GX1537" s="42" t="str">
        <f t="array" aca="1" ref="GX1537" ca="1">IFERROR(INDEX(nombres[],SMALL(IF(OFFSET(nombres[],0,0,ROWS(nombres[]),1)=GX$1490,ROW(OFFSET(nombres[],0,0,ROWS(nombres[]),1))-ROW(OFFSET(nombres[],0,0,1,1))+1,ROW(OFFSET(nombres[],ROWS(nombres[])-1,0,1,1))+1),$O1537:$O1556),3),"")</f>
        <v/>
      </c>
      <c r="GY1537" s="42">
        <f t="array" aca="1" ref="GY1537" ca="1">IFERROR(INDEX(nombres[],SMALL(IF(OFFSET(nombres[],0,0,ROWS(nombres[]),1)=GY$1490,ROW(OFFSET(nombres[],0,0,ROWS(nombres[]),1))-ROW(OFFSET(nombres[],0,0,1,1))+1,ROW(OFFSET(nombres[],ROWS(nombres[])-1,0,1,1))+1),$O1537:$O1556),3),"")</f>
        <v>427</v>
      </c>
      <c r="GZ1537" s="42" t="str">
        <f t="array" aca="1" ref="GZ1537" ca="1">IFERROR(INDEX(nombres[],SMALL(IF(OFFSET(nombres[],0,0,ROWS(nombres[]),1)=GZ$1490,ROW(OFFSET(nombres[],0,0,ROWS(nombres[]),1))-ROW(OFFSET(nombres[],0,0,1,1))+1,ROW(OFFSET(nombres[],ROWS(nombres[])-1,0,1,1))+1),$O1537:$O1556),3),"")</f>
        <v/>
      </c>
      <c r="HA1537" s="42">
        <f t="array" aca="1" ref="HA1537" ca="1">IFERROR(INDEX(nombres[],SMALL(IF(OFFSET(nombres[],0,0,ROWS(nombres[]),1)=HA$1490,ROW(OFFSET(nombres[],0,0,ROWS(nombres[]),1))-ROW(OFFSET(nombres[],0,0,1,1))+1,ROW(OFFSET(nombres[],ROWS(nombres[])-1,0,1,1))+1),$O1537:$O1556),3),"")</f>
        <v>364</v>
      </c>
      <c r="HB1537" s="42">
        <f t="array" aca="1" ref="HB1537" ca="1">IFERROR(INDEX(nombres[],SMALL(IF(OFFSET(nombres[],0,0,ROWS(nombres[]),1)=HB$1490,ROW(OFFSET(nombres[],0,0,ROWS(nombres[]),1))-ROW(OFFSET(nombres[],0,0,1,1))+1,ROW(OFFSET(nombres[],ROWS(nombres[])-1,0,1,1))+1),$O1537:$O1556),3),"")</f>
        <v>365</v>
      </c>
      <c r="HC1537" s="42" t="str">
        <f t="array" aca="1" ref="HC1537" ca="1">IFERROR(INDEX(nombres[],SMALL(IF(OFFSET(nombres[],0,0,ROWS(nombres[]),1)=HC$1490,ROW(OFFSET(nombres[],0,0,ROWS(nombres[]),1))-ROW(OFFSET(nombres[],0,0,1,1))+1,ROW(OFFSET(nombres[],ROWS(nombres[])-1,0,1,1))+1),$O1537:$O1556),3),"")</f>
        <v/>
      </c>
      <c r="HD1537" s="42">
        <f t="array" aca="1" ref="HD1537" ca="1">IFERROR(INDEX(nombres[],SMALL(IF(OFFSET(nombres[],0,0,ROWS(nombres[]),1)=HD$1490,ROW(OFFSET(nombres[],0,0,ROWS(nombres[]),1))-ROW(OFFSET(nombres[],0,0,1,1))+1,ROW(OFFSET(nombres[],ROWS(nombres[])-1,0,1,1))+1),$O1537:$O1556),3),"")</f>
        <v>370</v>
      </c>
      <c r="HE1537" s="42">
        <f t="array" aca="1" ref="HE1537" ca="1">IFERROR(INDEX(nombres[],SMALL(IF(OFFSET(nombres[],0,0,ROWS(nombres[]),1)=HE$1490,ROW(OFFSET(nombres[],0,0,ROWS(nombres[]),1))-ROW(OFFSET(nombres[],0,0,1,1))+1,ROW(OFFSET(nombres[],ROWS(nombres[])-1,0,1,1))+1),$O1537:$O1556),3),"")</f>
        <v>363</v>
      </c>
      <c r="HF1537" s="42">
        <f t="array" aca="1" ref="HF1537" ca="1">IFERROR(INDEX(nombres[],SMALL(IF(OFFSET(nombres[],0,0,ROWS(nombres[]),1)=HF$1490,ROW(OFFSET(nombres[],0,0,ROWS(nombres[]),1))-ROW(OFFSET(nombres[],0,0,1,1))+1,ROW(OFFSET(nombres[],ROWS(nombres[])-1,0,1,1))+1),$O1537:$O1556),3),"")</f>
        <v>346</v>
      </c>
      <c r="HG1537" s="42">
        <f t="array" aca="1" ref="HG1537" ca="1">IFERROR(INDEX(nombres[],SMALL(IF(OFFSET(nombres[],0,0,ROWS(nombres[]),1)=HG$1490,ROW(OFFSET(nombres[],0,0,ROWS(nombres[]),1))-ROW(OFFSET(nombres[],0,0,1,1))+1,ROW(OFFSET(nombres[],ROWS(nombres[])-1,0,1,1))+1),$O1537:$O1556),3),"")</f>
        <v>627</v>
      </c>
      <c r="HH1537" s="42">
        <f t="array" aca="1" ref="HH1537" ca="1">IFERROR(INDEX(nombres[],SMALL(IF(OFFSET(nombres[],0,0,ROWS(nombres[]),1)=HH$1490,ROW(OFFSET(nombres[],0,0,ROWS(nombres[]),1))-ROW(OFFSET(nombres[],0,0,1,1))+1,ROW(OFFSET(nombres[],ROWS(nombres[])-1,0,1,1))+1),$O1537:$O1556),3),"")</f>
        <v>355</v>
      </c>
      <c r="HI1537" s="42">
        <f t="array" aca="1" ref="HI1537" ca="1">IFERROR(INDEX(nombres[],SMALL(IF(OFFSET(nombres[],0,0,ROWS(nombres[]),1)=HI$1490,ROW(OFFSET(nombres[],0,0,ROWS(nombres[]),1))-ROW(OFFSET(nombres[],0,0,1,1))+1,ROW(OFFSET(nombres[],ROWS(nombres[])-1,0,1,1))+1),$O1537:$O1556),3),"")</f>
        <v>372</v>
      </c>
      <c r="HJ1537" s="42">
        <f t="array" aca="1" ref="HJ1537" ca="1">IFERROR(INDEX(nombres[],SMALL(IF(OFFSET(nombres[],0,0,ROWS(nombres[]),1)=HJ$1490,ROW(OFFSET(nombres[],0,0,ROWS(nombres[]),1))-ROW(OFFSET(nombres[],0,0,1,1))+1,ROW(OFFSET(nombres[],ROWS(nombres[])-1,0,1,1))+1),$O1537:$O1556),3),"")</f>
        <v>360</v>
      </c>
      <c r="HK1537" s="42">
        <f t="array" aca="1" ref="HK1537" ca="1">IFERROR(INDEX(nombres[],SMALL(IF(OFFSET(nombres[],0,0,ROWS(nombres[]),1)=HK$1490,ROW(OFFSET(nombres[],0,0,ROWS(nombres[]),1))-ROW(OFFSET(nombres[],0,0,1,1))+1,ROW(OFFSET(nombres[],ROWS(nombres[])-1,0,1,1))+1),$O1537:$O1556),3),"")</f>
        <v>351</v>
      </c>
      <c r="HL1537" s="42">
        <f t="array" aca="1" ref="HL1537" ca="1">IFERROR(INDEX(nombres[],SMALL(IF(OFFSET(nombres[],0,0,ROWS(nombres[]),1)=HL$1490,ROW(OFFSET(nombres[],0,0,ROWS(nombres[]),1))-ROW(OFFSET(nombres[],0,0,1,1))+1,ROW(OFFSET(nombres[],ROWS(nombres[])-1,0,1,1))+1),$O1537:$O1556),3),"")</f>
        <v>361</v>
      </c>
      <c r="HM1537" s="42">
        <f t="array" aca="1" ref="HM1537" ca="1">IFERROR(INDEX(nombres[],SMALL(IF(OFFSET(nombres[],0,0,ROWS(nombres[]),1)=HM$1490,ROW(OFFSET(nombres[],0,0,ROWS(nombres[]),1))-ROW(OFFSET(nombres[],0,0,1,1))+1,ROW(OFFSET(nombres[],ROWS(nombres[])-1,0,1,1))+1),$O1537:$O1556),3),"")</f>
        <v>426</v>
      </c>
      <c r="HN1537" s="42" t="str">
        <f t="array" aca="1" ref="HN1537" ca="1">IFERROR(INDEX(nombres[],SMALL(IF(OFFSET(nombres[],0,0,ROWS(nombres[]),1)=HN$1490,ROW(OFFSET(nombres[],0,0,ROWS(nombres[]),1))-ROW(OFFSET(nombres[],0,0,1,1))+1,ROW(OFFSET(nombres[],ROWS(nombres[])-1,0,1,1))+1),$O1537:$O1556),3),"")</f>
        <v/>
      </c>
      <c r="HO1537" s="42">
        <f t="array" aca="1" ref="HO1537" ca="1">IFERROR(INDEX(nombres[],SMALL(IF(OFFSET(nombres[],0,0,ROWS(nombres[]),1)=HO$1490,ROW(OFFSET(nombres[],0,0,ROWS(nombres[]),1))-ROW(OFFSET(nombres[],0,0,1,1))+1,ROW(OFFSET(nombres[],ROWS(nombres[])-1,0,1,1))+1),$O1537:$O1556),3),"")</f>
        <v>358</v>
      </c>
      <c r="HP1537" s="42">
        <f t="array" aca="1" ref="HP1537" ca="1">IFERROR(INDEX(nombres[],SMALL(IF(OFFSET(nombres[],0,0,ROWS(nombres[]),1)=HP$1490,ROW(OFFSET(nombres[],0,0,ROWS(nombres[]),1))-ROW(OFFSET(nombres[],0,0,1,1))+1,ROW(OFFSET(nombres[],ROWS(nombres[])-1,0,1,1))+1),$O1537:$O1556),3),"")</f>
        <v>555</v>
      </c>
      <c r="HQ1537" s="42">
        <f t="array" aca="1" ref="HQ1537" ca="1">IFERROR(INDEX(nombres[],SMALL(IF(OFFSET(nombres[],0,0,ROWS(nombres[]),1)=HQ$1490,ROW(OFFSET(nombres[],0,0,ROWS(nombres[]),1))-ROW(OFFSET(nombres[],0,0,1,1))+1,ROW(OFFSET(nombres[],ROWS(nombres[])-1,0,1,1))+1),$O1537:$O1556),3),"")</f>
        <v>377</v>
      </c>
      <c r="HR1537" s="42" t="str">
        <f t="array" aca="1" ref="HR1537" ca="1">IFERROR(INDEX(nombres[],SMALL(IF(OFFSET(nombres[],0,0,ROWS(nombres[]),1)=HR$1490,ROW(OFFSET(nombres[],0,0,ROWS(nombres[]),1))-ROW(OFFSET(nombres[],0,0,1,1))+1,ROW(OFFSET(nombres[],ROWS(nombres[])-1,0,1,1))+1),$O1537:$O1556),3),"")</f>
        <v/>
      </c>
      <c r="HS1537" s="42">
        <f t="array" aca="1" ref="HS1537" ca="1">IFERROR(INDEX(nombres[],SMALL(IF(OFFSET(nombres[],0,0,ROWS(nombres[]),1)=HS$1490,ROW(OFFSET(nombres[],0,0,ROWS(nombres[]),1))-ROW(OFFSET(nombres[],0,0,1,1))+1,ROW(OFFSET(nombres[],ROWS(nombres[])-1,0,1,1))+1),$O1537:$O1556),3),"")</f>
        <v>618</v>
      </c>
      <c r="HT1537" s="42">
        <f t="array" aca="1" ref="HT1537" ca="1">IFERROR(INDEX(nombres[],SMALL(IF(OFFSET(nombres[],0,0,ROWS(nombres[]),1)=HT$1490,ROW(OFFSET(nombres[],0,0,ROWS(nombres[]),1))-ROW(OFFSET(nombres[],0,0,1,1))+1,ROW(OFFSET(nombres[],ROWS(nombres[])-1,0,1,1))+1),$O1537:$O1556),3),"")</f>
        <v>379</v>
      </c>
      <c r="HU1537" s="42" t="str">
        <f t="array" aca="1" ref="HU1537" ca="1">IFERROR(INDEX(nombres[],SMALL(IF(OFFSET(nombres[],0,0,ROWS(nombres[]),1)=HU$1490,ROW(OFFSET(nombres[],0,0,ROWS(nombres[]),1))-ROW(OFFSET(nombres[],0,0,1,1))+1,ROW(OFFSET(nombres[],ROWS(nombres[])-1,0,1,1))+1),$O1537:$O1556),3),"")</f>
        <v/>
      </c>
      <c r="HV1537" s="42">
        <f t="array" aca="1" ref="HV1537" ca="1">IFERROR(INDEX(nombres[],SMALL(IF(OFFSET(nombres[],0,0,ROWS(nombres[]),1)=HV$1490,ROW(OFFSET(nombres[],0,0,ROWS(nombres[]),1))-ROW(OFFSET(nombres[],0,0,1,1))+1,ROW(OFFSET(nombres[],ROWS(nombres[])-1,0,1,1))+1),$O1537:$O1556),3),"")</f>
        <v>383</v>
      </c>
      <c r="HW1537" s="42" t="str">
        <f t="array" aca="1" ref="HW1537" ca="1">IFERROR(INDEX(nombres[],SMALL(IF(OFFSET(nombres[],0,0,ROWS(nombres[]),1)=HW$1490,ROW(OFFSET(nombres[],0,0,ROWS(nombres[]),1))-ROW(OFFSET(nombres[],0,0,1,1))+1,ROW(OFFSET(nombres[],ROWS(nombres[])-1,0,1,1))+1),$O1537:$O1556),3),"")</f>
        <v/>
      </c>
      <c r="HX1537" s="42" t="str">
        <f t="array" aca="1" ref="HX1537" ca="1">IFERROR(INDEX(nombres[],SMALL(IF(OFFSET(nombres[],0,0,ROWS(nombres[]),1)=HX$1490,ROW(OFFSET(nombres[],0,0,ROWS(nombres[]),1))-ROW(OFFSET(nombres[],0,0,1,1))+1,ROW(OFFSET(nombres[],ROWS(nombres[])-1,0,1,1))+1),$O1537:$O1556),3),"")</f>
        <v/>
      </c>
      <c r="HY1537" s="42">
        <f t="array" aca="1" ref="HY1537" ca="1">IFERROR(INDEX(nombres[],SMALL(IF(OFFSET(nombres[],0,0,ROWS(nombres[]),1)=HY$1490,ROW(OFFSET(nombres[],0,0,ROWS(nombres[]),1))-ROW(OFFSET(nombres[],0,0,1,1))+1,ROW(OFFSET(nombres[],ROWS(nombres[])-1,0,1,1))+1),$O1537:$O1556),3),"")</f>
        <v>411</v>
      </c>
      <c r="HZ1537" s="42" t="str">
        <f t="array" aca="1" ref="HZ1537" ca="1">IFERROR(INDEX(nombres[],SMALL(IF(OFFSET(nombres[],0,0,ROWS(nombres[]),1)=HZ$1490,ROW(OFFSET(nombres[],0,0,ROWS(nombres[]),1))-ROW(OFFSET(nombres[],0,0,1,1))+1,ROW(OFFSET(nombres[],ROWS(nombres[])-1,0,1,1))+1),$O1537:$O1556),3),"")</f>
        <v/>
      </c>
      <c r="IA1537" s="42">
        <f t="array" aca="1" ref="IA1537" ca="1">IFERROR(INDEX(nombres[],SMALL(IF(OFFSET(nombres[],0,0,ROWS(nombres[]),1)=IA$1490,ROW(OFFSET(nombres[],0,0,ROWS(nombres[]),1))-ROW(OFFSET(nombres[],0,0,1,1))+1,ROW(OFFSET(nombres[],ROWS(nombres[])-1,0,1,1))+1),$O1537:$O1556),3),"")</f>
        <v>400</v>
      </c>
      <c r="IB1537" s="42">
        <f t="array" aca="1" ref="IB1537" ca="1">IFERROR(INDEX(nombres[],SMALL(IF(OFFSET(nombres[],0,0,ROWS(nombres[]),1)=IB$1490,ROW(OFFSET(nombres[],0,0,ROWS(nombres[]),1))-ROW(OFFSET(nombres[],0,0,1,1))+1,ROW(OFFSET(nombres[],ROWS(nombres[])-1,0,1,1))+1),$O1537:$O1556),3),"")</f>
        <v>620</v>
      </c>
      <c r="IC1537" s="42">
        <f t="array" aca="1" ref="IC1537" ca="1">IFERROR(INDEX(nombres[],SMALL(IF(OFFSET(nombres[],0,0,ROWS(nombres[]),1)=IC$1490,ROW(OFFSET(nombres[],0,0,ROWS(nombres[]),1))-ROW(OFFSET(nombres[],0,0,1,1))+1,ROW(OFFSET(nombres[],ROWS(nombres[])-1,0,1,1))+1),$O1537:$O1556),3),"")</f>
        <v>394</v>
      </c>
      <c r="ID1537" s="42">
        <f t="array" aca="1" ref="ID1537" ca="1">IFERROR(INDEX(nombres[],SMALL(IF(OFFSET(nombres[],0,0,ROWS(nombres[]),1)=ID$1490,ROW(OFFSET(nombres[],0,0,ROWS(nombres[]),1))-ROW(OFFSET(nombres[],0,0,1,1))+1,ROW(OFFSET(nombres[],ROWS(nombres[])-1,0,1,1))+1),$O1537:$O1556),3),"")</f>
        <v>38</v>
      </c>
      <c r="IE1537" s="42">
        <f t="array" aca="1" ref="IE1537" ca="1">IFERROR(INDEX(nombres[],SMALL(IF(OFFSET(nombres[],0,0,ROWS(nombres[]),1)=IE$1490,ROW(OFFSET(nombres[],0,0,ROWS(nombres[]),1))-ROW(OFFSET(nombres[],0,0,1,1))+1,ROW(OFFSET(nombres[],ROWS(nombres[])-1,0,1,1))+1),$O1537:$O1556),3),"")</f>
        <v>562</v>
      </c>
      <c r="IF1537" s="42">
        <f t="array" aca="1" ref="IF1537" ca="1">IFERROR(INDEX(nombres[],SMALL(IF(OFFSET(nombres[],0,0,ROWS(nombres[]),1)=IF$1490,ROW(OFFSET(nombres[],0,0,ROWS(nombres[]),1))-ROW(OFFSET(nombres[],0,0,1,1))+1,ROW(OFFSET(nombres[],ROWS(nombres[])-1,0,1,1))+1),$O1537:$O1556),3),"")</f>
        <v>401</v>
      </c>
      <c r="IG1537" s="42">
        <f t="array" aca="1" ref="IG1537" ca="1">IFERROR(INDEX(nombres[],SMALL(IF(OFFSET(nombres[],0,0,ROWS(nombres[]),1)=IG$1490,ROW(OFFSET(nombres[],0,0,ROWS(nombres[]),1))-ROW(OFFSET(nombres[],0,0,1,1))+1,ROW(OFFSET(nombres[],ROWS(nombres[])-1,0,1,1))+1),$O1537:$O1556),3),"")</f>
        <v>410</v>
      </c>
      <c r="IH1537" s="42" t="str">
        <f t="array" aca="1" ref="IH1537" ca="1">IFERROR(INDEX(nombres[],SMALL(IF(OFFSET(nombres[],0,0,ROWS(nombres[]),1)=IH$1490,ROW(OFFSET(nombres[],0,0,ROWS(nombres[]),1))-ROW(OFFSET(nombres[],0,0,1,1))+1,ROW(OFFSET(nombres[],ROWS(nombres[])-1,0,1,1))+1),$O1537:$O1556),3),"")</f>
        <v/>
      </c>
      <c r="II1537" s="42">
        <f t="array" aca="1" ref="II1537" ca="1">IFERROR(INDEX(nombres[],SMALL(IF(OFFSET(nombres[],0,0,ROWS(nombres[]),1)=II$1490,ROW(OFFSET(nombres[],0,0,ROWS(nombres[]),1))-ROW(OFFSET(nombres[],0,0,1,1))+1,ROW(OFFSET(nombres[],ROWS(nombres[])-1,0,1,1))+1),$O1537:$O1556),3),"")</f>
        <v>557</v>
      </c>
      <c r="IJ1537" s="42">
        <f t="array" aca="1" ref="IJ1537" ca="1">IFERROR(INDEX(nombres[],SMALL(IF(OFFSET(nombres[],0,0,ROWS(nombres[]),1)=IJ$1490,ROW(OFFSET(nombres[],0,0,ROWS(nombres[]),1))-ROW(OFFSET(nombres[],0,0,1,1))+1,ROW(OFFSET(nombres[],ROWS(nombres[])-1,0,1,1))+1),$O1537:$O1556),3),"")</f>
        <v>428</v>
      </c>
      <c r="IK1537" s="42" t="str">
        <f t="array" aca="1" ref="IK1537" ca="1">IFERROR(INDEX(nombres[],SMALL(IF(OFFSET(nombres[],0,0,ROWS(nombres[]),1)=IK$1490,ROW(OFFSET(nombres[],0,0,ROWS(nombres[]),1))-ROW(OFFSET(nombres[],0,0,1,1))+1,ROW(OFFSET(nombres[],ROWS(nombres[])-1,0,1,1))+1),$O1537:$O1556),3),"")</f>
        <v/>
      </c>
      <c r="IL1537" s="42">
        <f t="array" aca="1" ref="IL1537" ca="1">IFERROR(INDEX(nombres[],SMALL(IF(OFFSET(nombres[],0,0,ROWS(nombres[]),1)=IL$1490,ROW(OFFSET(nombres[],0,0,ROWS(nombres[]),1))-ROW(OFFSET(nombres[],0,0,1,1))+1,ROW(OFFSET(nombres[],ROWS(nombres[])-1,0,1,1))+1),$O1537:$O1556),3),"")</f>
        <v>560</v>
      </c>
      <c r="IM1537" s="42" t="str">
        <f t="array" aca="1" ref="IM1537" ca="1">IFERROR(INDEX(nombres[],SMALL(IF(OFFSET(nombres[],0,0,ROWS(nombres[]),1)=IM$1490,ROW(OFFSET(nombres[],0,0,ROWS(nombres[]),1))-ROW(OFFSET(nombres[],0,0,1,1))+1,ROW(OFFSET(nombres[],ROWS(nombres[])-1,0,1,1))+1),$O1537:$O1556),3),"")</f>
        <v/>
      </c>
      <c r="IN1537" s="42">
        <f t="array" aca="1" ref="IN1537" ca="1">IFERROR(INDEX(nombres[],SMALL(IF(OFFSET(nombres[],0,0,ROWS(nombres[]),1)=IN$1490,ROW(OFFSET(nombres[],0,0,ROWS(nombres[]),1))-ROW(OFFSET(nombres[],0,0,1,1))+1,ROW(OFFSET(nombres[],ROWS(nombres[])-1,0,1,1))+1),$O1537:$O1556),3),"")</f>
        <v>558</v>
      </c>
      <c r="IO1537" s="42" t="str">
        <f t="array" aca="1" ref="IO1537" ca="1">IFERROR(INDEX(nombres[],SMALL(IF(OFFSET(nombres[],0,0,ROWS(nombres[]),1)=IO$1490,ROW(OFFSET(nombres[],0,0,ROWS(nombres[]),1))-ROW(OFFSET(nombres[],0,0,1,1))+1,ROW(OFFSET(nombres[],ROWS(nombres[])-1,0,1,1))+1),$O1537:$O1556),3),"")</f>
        <v/>
      </c>
      <c r="IP1537" s="42">
        <f t="array" aca="1" ref="IP1537" ca="1">IFERROR(INDEX(nombres[],SMALL(IF(OFFSET(nombres[],0,0,ROWS(nombres[]),1)=IP$1490,ROW(OFFSET(nombres[],0,0,ROWS(nombres[]),1))-ROW(OFFSET(nombres[],0,0,1,1))+1,ROW(OFFSET(nombres[],ROWS(nombres[])-1,0,1,1))+1),$O1537:$O1556),3),"")</f>
        <v>418</v>
      </c>
      <c r="IQ1537" s="42">
        <f t="array" aca="1" ref="IQ1537" ca="1">IFERROR(INDEX(nombres[],SMALL(IF(OFFSET(nombres[],0,0,ROWS(nombres[]),1)=IQ$1490,ROW(OFFSET(nombres[],0,0,ROWS(nombres[]),1))-ROW(OFFSET(nombres[],0,0,1,1))+1,ROW(OFFSET(nombres[],ROWS(nombres[])-1,0,1,1))+1),$O1537:$O1556),3),"")</f>
        <v>563</v>
      </c>
      <c r="IR1537" s="42" t="str">
        <f t="array" aca="1" ref="IR1537" ca="1">IFERROR(INDEX(nombres[],SMALL(IF(OFFSET(nombres[],0,0,ROWS(nombres[]),1)=IR$1490,ROW(OFFSET(nombres[],0,0,ROWS(nombres[]),1))-ROW(OFFSET(nombres[],0,0,1,1))+1,ROW(OFFSET(nombres[],ROWS(nombres[])-1,0,1,1))+1),$O1537:$O1556),3),"")</f>
        <v/>
      </c>
      <c r="IS1537" s="42">
        <f t="array" aca="1" ref="IS1537" ca="1">IFERROR(INDEX(nombres[],SMALL(IF(OFFSET(nombres[],0,0,ROWS(nombres[]),1)=IS$1490,ROW(OFFSET(nombres[],0,0,ROWS(nombres[]),1))-ROW(OFFSET(nombres[],0,0,1,1))+1,ROW(OFFSET(nombres[],ROWS(nombres[])-1,0,1,1))+1),$O1537:$O1556),3),"")</f>
        <v>414</v>
      </c>
      <c r="IT1537" s="42">
        <f t="array" aca="1" ref="IT1537" ca="1">IFERROR(INDEX(nombres[],SMALL(IF(OFFSET(nombres[],0,0,ROWS(nombres[]),1)=IT$1490,ROW(OFFSET(nombres[],0,0,ROWS(nombres[]),1))-ROW(OFFSET(nombres[],0,0,1,1))+1,ROW(OFFSET(nombres[],ROWS(nombres[])-1,0,1,1))+1),$O1537:$O1556),3),"")</f>
        <v>406</v>
      </c>
      <c r="IU1537" s="42">
        <f t="array" aca="1" ref="IU1537" ca="1">IFERROR(INDEX(nombres[],SMALL(IF(OFFSET(nombres[],0,0,ROWS(nombres[]),1)=IU$1490,ROW(OFFSET(nombres[],0,0,ROWS(nombres[]),1))-ROW(OFFSET(nombres[],0,0,1,1))+1,ROW(OFFSET(nombres[],ROWS(nombres[])-1,0,1,1))+1),$O1537:$O1556),3),"")</f>
        <v>415</v>
      </c>
      <c r="IV1537" s="42">
        <f t="array" aca="1" ref="IV1537" ca="1">IFERROR(INDEX(nombres[],SMALL(IF(OFFSET(nombres[],0,0,ROWS(nombres[]),1)=IV$1490,ROW(OFFSET(nombres[],0,0,ROWS(nombres[]),1))-ROW(OFFSET(nombres[],0,0,1,1))+1,ROW(OFFSET(nombres[],ROWS(nombres[])-1,0,1,1))+1),$O1537:$O1556),3),"")</f>
        <v>413</v>
      </c>
      <c r="IW1537" s="42">
        <f t="array" aca="1" ref="IW1537" ca="1">IFERROR(INDEX(nombres[],SMALL(IF(OFFSET(nombres[],0,0,ROWS(nombres[]),1)=IW$1490,ROW(OFFSET(nombres[],0,0,ROWS(nombres[]),1))-ROW(OFFSET(nombres[],0,0,1,1))+1,ROW(OFFSET(nombres[],ROWS(nombres[])-1,0,1,1))+1),$O1537:$O1556),3),"")</f>
        <v>412</v>
      </c>
      <c r="IX1537" s="42" t="str">
        <f t="array" aca="1" ref="IX1537" ca="1">IFERROR(INDEX(nombres[],SMALL(IF(OFFSET(nombres[],0,0,ROWS(nombres[]),1)=IX$1490,ROW(OFFSET(nombres[],0,0,ROWS(nombres[]),1))-ROW(OFFSET(nombres[],0,0,1,1))+1,ROW(OFFSET(nombres[],ROWS(nombres[])-1,0,1,1))+1),$O1537:$O1556),3),"")</f>
        <v/>
      </c>
      <c r="IY1537" s="42" t="str">
        <f t="array" aca="1" ref="IY1537" ca="1">IFERROR(INDEX(nombres[],SMALL(IF(OFFSET(nombres[],0,0,ROWS(nombres[]),1)=IY$1490,ROW(OFFSET(nombres[],0,0,ROWS(nombres[]),1))-ROW(OFFSET(nombres[],0,0,1,1))+1,ROW(OFFSET(nombres[],ROWS(nombres[])-1,0,1,1))+1),$O1537:$O1556),3),"")</f>
        <v/>
      </c>
      <c r="IZ1537" s="42">
        <f t="array" aca="1" ref="IZ1537" ca="1">IFERROR(INDEX(nombres[],SMALL(IF(OFFSET(nombres[],0,0,ROWS(nombres[]),1)=IZ$1490,ROW(OFFSET(nombres[],0,0,ROWS(nombres[]),1))-ROW(OFFSET(nombres[],0,0,1,1))+1,ROW(OFFSET(nombres[],ROWS(nombres[])-1,0,1,1))+1),$O1537:$O1556),3),"")</f>
        <v>579</v>
      </c>
      <c r="JA1537" s="42">
        <f t="array" aca="1" ref="JA1537" ca="1">IFERROR(INDEX(nombres[],SMALL(IF(OFFSET(nombres[],0,0,ROWS(nombres[]),1)=JA$1490,ROW(OFFSET(nombres[],0,0,ROWS(nombres[]),1))-ROW(OFFSET(nombres[],0,0,1,1))+1,ROW(OFFSET(nombres[],ROWS(nombres[])-1,0,1,1))+1),$O1537:$O1556),3),"")</f>
        <v>429</v>
      </c>
      <c r="JB1537" s="42">
        <f t="array" aca="1" ref="JB1537" ca="1">IFERROR(INDEX(nombres[],SMALL(IF(OFFSET(nombres[],0,0,ROWS(nombres[]),1)=JB$1490,ROW(OFFSET(nombres[],0,0,ROWS(nombres[]),1))-ROW(OFFSET(nombres[],0,0,1,1))+1,ROW(OFFSET(nombres[],ROWS(nombres[])-1,0,1,1))+1),$O1537:$O1556),3),"")</f>
        <v>435</v>
      </c>
      <c r="JC1537" s="42">
        <f t="array" aca="1" ref="JC1537" ca="1">IFERROR(INDEX(nombres[],SMALL(IF(OFFSET(nombres[],0,0,ROWS(nombres[]),1)=JC$1490,ROW(OFFSET(nombres[],0,0,ROWS(nombres[]),1))-ROW(OFFSET(nombres[],0,0,1,1))+1,ROW(OFFSET(nombres[],ROWS(nombres[])-1,0,1,1))+1),$O1537:$O1556),3),"")</f>
        <v>612</v>
      </c>
      <c r="JD1537" s="42" t="str">
        <f t="array" aca="1" ref="JD1537" ca="1">IFERROR(INDEX(nombres[],SMALL(IF(OFFSET(nombres[],0,0,ROWS(nombres[]),1)=JD$1490,ROW(OFFSET(nombres[],0,0,ROWS(nombres[]),1))-ROW(OFFSET(nombres[],0,0,1,1))+1,ROW(OFFSET(nombres[],ROWS(nombres[])-1,0,1,1))+1),$O1537:$O1556),3),"")</f>
        <v/>
      </c>
      <c r="JE1537" s="42" t="str">
        <f t="array" aca="1" ref="JE1537" ca="1">IFERROR(INDEX(nombres[],SMALL(IF(OFFSET(nombres[],0,0,ROWS(nombres[]),1)=JE$1490,ROW(OFFSET(nombres[],0,0,ROWS(nombres[]),1))-ROW(OFFSET(nombres[],0,0,1,1))+1,ROW(OFFSET(nombres[],ROWS(nombres[])-1,0,1,1))+1),$O1537:$O1556),3),"")</f>
        <v/>
      </c>
      <c r="JF1537" s="42">
        <f t="array" aca="1" ref="JF1537" ca="1">IFERROR(INDEX(nombres[],SMALL(IF(OFFSET(nombres[],0,0,ROWS(nombres[]),1)=JF$1490,ROW(OFFSET(nombres[],0,0,ROWS(nombres[]),1))-ROW(OFFSET(nombres[],0,0,1,1))+1,ROW(OFFSET(nombres[],ROWS(nombres[])-1,0,1,1))+1),$O1537:$O1556),3),"")</f>
        <v>611</v>
      </c>
      <c r="JG1537" s="42">
        <f t="array" aca="1" ref="JG1537" ca="1">IFERROR(INDEX(nombres[],SMALL(IF(OFFSET(nombres[],0,0,ROWS(nombres[]),1)=JG$1490,ROW(OFFSET(nombres[],0,0,ROWS(nombres[]),1))-ROW(OFFSET(nombres[],0,0,1,1))+1,ROW(OFFSET(nombres[],ROWS(nombres[])-1,0,1,1))+1),$O1537:$O1556),3),"")</f>
        <v>609</v>
      </c>
      <c r="JH1537" s="42">
        <f t="array" aca="1" ref="JH1537" ca="1">IFERROR(INDEX(nombres[],SMALL(IF(OFFSET(nombres[],0,0,ROWS(nombres[]),1)=JH$1490,ROW(OFFSET(nombres[],0,0,ROWS(nombres[]),1))-ROW(OFFSET(nombres[],0,0,1,1))+1,ROW(OFFSET(nombres[],ROWS(nombres[])-1,0,1,1))+1),$O1537:$O1556),3),"")</f>
        <v>660</v>
      </c>
      <c r="JI1537" s="42" t="str">
        <f t="array" aca="1" ref="JI1537" ca="1">IFERROR(INDEX(nombres[],SMALL(IF(OFFSET(nombres[],0,0,ROWS(nombres[]),1)=JI$1490,ROW(OFFSET(nombres[],0,0,ROWS(nombres[]),1))-ROW(OFFSET(nombres[],0,0,1,1))+1,ROW(OFFSET(nombres[],ROWS(nombres[])-1,0,1,1))+1),$O1537:$O1556),3),"")</f>
        <v/>
      </c>
      <c r="JJ1537" s="42">
        <f t="array" aca="1" ref="JJ1537" ca="1">IFERROR(INDEX(nombres[],SMALL(IF(OFFSET(nombres[],0,0,ROWS(nombres[]),1)=JJ$1490,ROW(OFFSET(nombres[],0,0,ROWS(nombres[]),1))-ROW(OFFSET(nombres[],0,0,1,1))+1,ROW(OFFSET(nombres[],ROWS(nombres[])-1,0,1,1))+1),$O1537:$O1556),3),"")</f>
        <v>606</v>
      </c>
      <c r="JK1537" s="42">
        <f t="array" aca="1" ref="JK1537" ca="1">IFERROR(INDEX(nombres[],SMALL(IF(OFFSET(nombres[],0,0,ROWS(nombres[]),1)=JK$1490,ROW(OFFSET(nombres[],0,0,ROWS(nombres[]),1))-ROW(OFFSET(nombres[],0,0,1,1))+1,ROW(OFFSET(nombres[],ROWS(nombres[])-1,0,1,1))+1),$O1537:$O1556),3),"")</f>
        <v>602</v>
      </c>
      <c r="JL1537" s="42" t="str">
        <f t="array" aca="1" ref="JL1537" ca="1">IFERROR(INDEX(nombres[],SMALL(IF(OFFSET(nombres[],0,0,ROWS(nombres[]),1)=JL$1490,ROW(OFFSET(nombres[],0,0,ROWS(nombres[]),1))-ROW(OFFSET(nombres[],0,0,1,1))+1,ROW(OFFSET(nombres[],ROWS(nombres[])-1,0,1,1))+1),$O1537:$O1556),3),"")</f>
        <v/>
      </c>
      <c r="JM1537" s="42" t="str">
        <f t="array" aca="1" ref="JM1537" ca="1">IFERROR(INDEX(nombres[],SMALL(IF(OFFSET(nombres[],0,0,ROWS(nombres[]),1)=JM$1490,ROW(OFFSET(nombres[],0,0,ROWS(nombres[]),1))-ROW(OFFSET(nombres[],0,0,1,1))+1,ROW(OFFSET(nombres[],ROWS(nombres[])-1,0,1,1))+1),$O1537:$O1556),3),"")</f>
        <v/>
      </c>
      <c r="JN1537" s="42">
        <f t="array" aca="1" ref="JN1537" ca="1">IFERROR(INDEX(nombres[],SMALL(IF(OFFSET(nombres[],0,0,ROWS(nombres[]),1)=JN$1490,ROW(OFFSET(nombres[],0,0,ROWS(nombres[]),1))-ROW(OFFSET(nombres[],0,0,1,1))+1,ROW(OFFSET(nombres[],ROWS(nombres[])-1,0,1,1))+1),$O1537:$O1556),3),"")</f>
        <v>443</v>
      </c>
      <c r="JO1537" s="42">
        <f t="array" aca="1" ref="JO1537" ca="1">IFERROR(INDEX(nombres[],SMALL(IF(OFFSET(nombres[],0,0,ROWS(nombres[]),1)=JO$1490,ROW(OFFSET(nombres[],0,0,ROWS(nombres[]),1))-ROW(OFFSET(nombres[],0,0,1,1))+1,ROW(OFFSET(nombres[],ROWS(nombres[])-1,0,1,1))+1),$O1537:$O1556),3),"")</f>
        <v>610</v>
      </c>
      <c r="JP1537" s="42">
        <f t="array" aca="1" ref="JP1537" ca="1">IFERROR(INDEX(nombres[],SMALL(IF(OFFSET(nombres[],0,0,ROWS(nombres[]),1)=JP$1490,ROW(OFFSET(nombres[],0,0,ROWS(nombres[]),1))-ROW(OFFSET(nombres[],0,0,1,1))+1,ROW(OFFSET(nombres[],ROWS(nombres[])-1,0,1,1))+1),$O1537:$O1556),3),"")</f>
        <v>574</v>
      </c>
      <c r="JQ1537" s="42">
        <f t="array" aca="1" ref="JQ1537" ca="1">IFERROR(INDEX(nombres[],SMALL(IF(OFFSET(nombres[],0,0,ROWS(nombres[]),1)=JQ$1490,ROW(OFFSET(nombres[],0,0,ROWS(nombres[]),1))-ROW(OFFSET(nombres[],0,0,1,1))+1,ROW(OFFSET(nombres[],ROWS(nombres[])-1,0,1,1))+1),$O1537:$O1556),3),"")</f>
        <v>588</v>
      </c>
      <c r="JR1537" s="42">
        <f t="array" aca="1" ref="JR1537" ca="1">IFERROR(INDEX(nombres[],SMALL(IF(OFFSET(nombres[],0,0,ROWS(nombres[]),1)=JR$1490,ROW(OFFSET(nombres[],0,0,ROWS(nombres[]),1))-ROW(OFFSET(nombres[],0,0,1,1))+1,ROW(OFFSET(nombres[],ROWS(nombres[])-1,0,1,1))+1),$O1537:$O1556),3),"")</f>
        <v>613</v>
      </c>
      <c r="JS1537" s="42">
        <f t="array" aca="1" ref="JS1537" ca="1">IFERROR(INDEX(nombres[],SMALL(IF(OFFSET(nombres[],0,0,ROWS(nombres[]),1)=JS$1490,ROW(OFFSET(nombres[],0,0,ROWS(nombres[]),1))-ROW(OFFSET(nombres[],0,0,1,1))+1,ROW(OFFSET(nombres[],ROWS(nombres[])-1,0,1,1))+1),$O1537:$O1556),3),"")</f>
        <v>568</v>
      </c>
      <c r="JT1537" s="42" t="str">
        <f t="array" aca="1" ref="JT1537" ca="1">IFERROR(INDEX(nombres[],SMALL(IF(OFFSET(nombres[],0,0,ROWS(nombres[]),1)=JT$1490,ROW(OFFSET(nombres[],0,0,ROWS(nombres[]),1))-ROW(OFFSET(nombres[],0,0,1,1))+1,ROW(OFFSET(nombres[],ROWS(nombres[])-1,0,1,1))+1),$O1537:$O1556),3),"")</f>
        <v/>
      </c>
      <c r="JU1537" s="42">
        <f t="array" aca="1" ref="JU1537" ca="1">IFERROR(INDEX(nombres[],SMALL(IF(OFFSET(nombres[],0,0,ROWS(nombres[]),1)=JU$1490,ROW(OFFSET(nombres[],0,0,ROWS(nombres[]),1))-ROW(OFFSET(nombres[],0,0,1,1))+1,ROW(OFFSET(nombres[],ROWS(nombres[])-1,0,1,1))+1),$O1537:$O1556),3),"")</f>
        <v>583</v>
      </c>
      <c r="JV1537" s="42">
        <f t="array" aca="1" ref="JV1537" ca="1">IFERROR(INDEX(nombres[],SMALL(IF(OFFSET(nombres[],0,0,ROWS(nombres[]),1)=JV$1490,ROW(OFFSET(nombres[],0,0,ROWS(nombres[]),1))-ROW(OFFSET(nombres[],0,0,1,1))+1,ROW(OFFSET(nombres[],ROWS(nombres[])-1,0,1,1))+1),$O1537:$O1556),3),"")</f>
        <v>598</v>
      </c>
      <c r="JW1537" s="42">
        <f t="array" aca="1" ref="JW1537" ca="1">IFERROR(INDEX(nombres[],SMALL(IF(OFFSET(nombres[],0,0,ROWS(nombres[]),1)=JW$1490,ROW(OFFSET(nombres[],0,0,ROWS(nombres[]),1))-ROW(OFFSET(nombres[],0,0,1,1))+1,ROW(OFFSET(nombres[],ROWS(nombres[])-1,0,1,1))+1),$O1537:$O1556),3),"")</f>
        <v>430</v>
      </c>
      <c r="JX1537" s="42" t="str">
        <f t="array" aca="1" ref="JX1537" ca="1">IFERROR(INDEX(nombres[],SMALL(IF(OFFSET(nombres[],0,0,ROWS(nombres[]),1)=JX$1490,ROW(OFFSET(nombres[],0,0,ROWS(nombres[]),1))-ROW(OFFSET(nombres[],0,0,1,1))+1,ROW(OFFSET(nombres[],ROWS(nombres[])-1,0,1,1))+1),$O1537:$O1556),3),"")</f>
        <v/>
      </c>
      <c r="JY1537" s="42">
        <f t="array" aca="1" ref="JY1537" ca="1">IFERROR(INDEX(nombres[],SMALL(IF(OFFSET(nombres[],0,0,ROWS(nombres[]),1)=JY$1490,ROW(OFFSET(nombres[],0,0,ROWS(nombres[]),1))-ROW(OFFSET(nombres[],0,0,1,1))+1,ROW(OFFSET(nombres[],ROWS(nombres[])-1,0,1,1))+1),$O1537:$O1556),3),"")</f>
        <v>595</v>
      </c>
      <c r="JZ1537" s="42">
        <f t="array" aca="1" ref="JZ1537" ca="1">IFERROR(INDEX(nombres[],SMALL(IF(OFFSET(nombres[],0,0,ROWS(nombres[]),1)=JZ$1490,ROW(OFFSET(nombres[],0,0,ROWS(nombres[]),1))-ROW(OFFSET(nombres[],0,0,1,1))+1,ROW(OFFSET(nombres[],ROWS(nombres[])-1,0,1,1))+1),$O1537:$O1556),3),"")</f>
        <v>571</v>
      </c>
      <c r="KA1537" s="42">
        <f t="array" aca="1" ref="KA1537" ca="1">IFERROR(INDEX(nombres[],SMALL(IF(OFFSET(nombres[],0,0,ROWS(nombres[]),1)=KA$1490,ROW(OFFSET(nombres[],0,0,ROWS(nombres[]),1))-ROW(OFFSET(nombres[],0,0,1,1))+1,ROW(OFFSET(nombres[],ROWS(nombres[])-1,0,1,1))+1),$O1537:$O1556),3),"")</f>
        <v>596</v>
      </c>
      <c r="KB1537" s="42">
        <f t="array" aca="1" ref="KB1537" ca="1">IFERROR(INDEX(nombres[],SMALL(IF(OFFSET(nombres[],0,0,ROWS(nombres[]),1)=KB$1490,ROW(OFFSET(nombres[],0,0,ROWS(nombres[]),1))-ROW(OFFSET(nombres[],0,0,1,1))+1,ROW(OFFSET(nombres[],ROWS(nombres[])-1,0,1,1))+1),$O1537:$O1556),3),"")</f>
        <v>605</v>
      </c>
      <c r="KC1537" s="42">
        <f t="array" aca="1" ref="KC1537" ca="1">IFERROR(INDEX(nombres[],SMALL(IF(OFFSET(nombres[],0,0,ROWS(nombres[]),1)=KC$1490,ROW(OFFSET(nombres[],0,0,ROWS(nombres[]),1))-ROW(OFFSET(nombres[],0,0,1,1))+1,ROW(OFFSET(nombres[],ROWS(nombres[])-1,0,1,1))+1),$O1537:$O1556),3),"")</f>
        <v>601</v>
      </c>
      <c r="KD1537" s="42" t="str">
        <f t="array" aca="1" ref="KD1537" ca="1">IFERROR(INDEX(nombres[],SMALL(IF(OFFSET(nombres[],0,0,ROWS(nombres[]),1)=KD$1490,ROW(OFFSET(nombres[],0,0,ROWS(nombres[]),1))-ROW(OFFSET(nombres[],0,0,1,1))+1,ROW(OFFSET(nombres[],ROWS(nombres[])-1,0,1,1))+1),$O1537:$O1556),3),"")</f>
        <v/>
      </c>
      <c r="KE1537" s="42">
        <f t="array" aca="1" ref="KE1537" ca="1">IFERROR(INDEX(nombres[],SMALL(IF(OFFSET(nombres[],0,0,ROWS(nombres[]),1)=KE$1490,ROW(OFFSET(nombres[],0,0,ROWS(nombres[]),1))-ROW(OFFSET(nombres[],0,0,1,1))+1,ROW(OFFSET(nombres[],ROWS(nombres[])-1,0,1,1))+1),$O1537:$O1556),3),"")</f>
        <v>582</v>
      </c>
      <c r="KF1537" s="42">
        <f t="array" aca="1" ref="KF1537" ca="1">IFERROR(INDEX(nombres[],SMALL(IF(OFFSET(nombres[],0,0,ROWS(nombres[]),1)=KF$1490,ROW(OFFSET(nombres[],0,0,ROWS(nombres[]),1))-ROW(OFFSET(nombres[],0,0,1,1))+1,ROW(OFFSET(nombres[],ROWS(nombres[])-1,0,1,1))+1),$O1537:$O1556),3),"")</f>
        <v>440</v>
      </c>
      <c r="KG1537" s="42">
        <f t="array" aca="1" ref="KG1537" ca="1">IFERROR(INDEX(nombres[],SMALL(IF(OFFSET(nombres[],0,0,ROWS(nombres[]),1)=KG$1490,ROW(OFFSET(nombres[],0,0,ROWS(nombres[]),1))-ROW(OFFSET(nombres[],0,0,1,1))+1,ROW(OFFSET(nombres[],ROWS(nombres[])-1,0,1,1))+1),$O1537:$O1556),3),"")</f>
        <v>614</v>
      </c>
      <c r="KH1537" s="42">
        <f t="array" aca="1" ref="KH1537" ca="1">IFERROR(INDEX(nombres[],SMALL(IF(OFFSET(nombres[],0,0,ROWS(nombres[]),1)=KH$1490,ROW(OFFSET(nombres[],0,0,ROWS(nombres[]),1))-ROW(OFFSET(nombres[],0,0,1,1))+1,ROW(OFFSET(nombres[],ROWS(nombres[])-1,0,1,1))+1),$O1537:$O1556),3),"")</f>
        <v>458</v>
      </c>
      <c r="KI1537" s="42">
        <f t="array" aca="1" ref="KI1537" ca="1">IFERROR(INDEX(nombres[],SMALL(IF(OFFSET(nombres[],0,0,ROWS(nombres[]),1)=KI$1490,ROW(OFFSET(nombres[],0,0,ROWS(nombres[]),1))-ROW(OFFSET(nombres[],0,0,1,1))+1,ROW(OFFSET(nombres[],ROWS(nombres[])-1,0,1,1))+1),$O1537:$O1556),3),"")</f>
        <v>449</v>
      </c>
      <c r="KJ1537" s="42">
        <f t="array" aca="1" ref="KJ1537" ca="1">IFERROR(INDEX(nombres[],SMALL(IF(OFFSET(nombres[],0,0,ROWS(nombres[]),1)=KJ$1490,ROW(OFFSET(nombres[],0,0,ROWS(nombres[]),1))-ROW(OFFSET(nombres[],0,0,1,1))+1,ROW(OFFSET(nombres[],ROWS(nombres[])-1,0,1,1))+1),$O1537:$O1556),3),"")</f>
        <v>99</v>
      </c>
      <c r="KK1537" s="42">
        <f t="array" aca="1" ref="KK1537" ca="1">IFERROR(INDEX(nombres[],SMALL(IF(OFFSET(nombres[],0,0,ROWS(nombres[]),1)=KK$1490,ROW(OFFSET(nombres[],0,0,ROWS(nombres[]),1))-ROW(OFFSET(nombres[],0,0,1,1))+1,ROW(OFFSET(nombres[],ROWS(nombres[])-1,0,1,1))+1),$O1537:$O1556),3),"")</f>
        <v>456</v>
      </c>
      <c r="KL1537" s="42" t="str">
        <f t="array" aca="1" ref="KL1537" ca="1">IFERROR(INDEX(nombres[],SMALL(IF(OFFSET(nombres[],0,0,ROWS(nombres[]),1)=KL$1490,ROW(OFFSET(nombres[],0,0,ROWS(nombres[]),1))-ROW(OFFSET(nombres[],0,0,1,1))+1,ROW(OFFSET(nombres[],ROWS(nombres[])-1,0,1,1))+1),$O1537:$O1556),3),"")</f>
        <v/>
      </c>
      <c r="KM1537" s="42" t="str">
        <f t="array" aca="1" ref="KM1537" ca="1">IFERROR(INDEX(nombres[],SMALL(IF(OFFSET(nombres[],0,0,ROWS(nombres[]),1)=KM$1490,ROW(OFFSET(nombres[],0,0,ROWS(nombres[]),1))-ROW(OFFSET(nombres[],0,0,1,1))+1,ROW(OFFSET(nombres[],ROWS(nombres[])-1,0,1,1))+1),$O1537:$O1556),3),"")</f>
        <v/>
      </c>
      <c r="KN1537" s="42">
        <f t="array" aca="1" ref="KN1537" ca="1">IFERROR(INDEX(nombres[],SMALL(IF(OFFSET(nombres[],0,0,ROWS(nombres[]),1)=KN$1490,ROW(OFFSET(nombres[],0,0,ROWS(nombres[]),1))-ROW(OFFSET(nombres[],0,0,1,1))+1,ROW(OFFSET(nombres[],ROWS(nombres[])-1,0,1,1))+1),$O1537:$O1556),3),"")</f>
        <v>445</v>
      </c>
      <c r="KO1537" s="42">
        <f t="array" aca="1" ref="KO1537" ca="1">IFERROR(INDEX(nombres[],SMALL(IF(OFFSET(nombres[],0,0,ROWS(nombres[]),1)=KO$1490,ROW(OFFSET(nombres[],0,0,ROWS(nombres[]),1))-ROW(OFFSET(nombres[],0,0,1,1))+1,ROW(OFFSET(nombres[],ROWS(nombres[])-1,0,1,1))+1),$O1537:$O1556),3),"")</f>
        <v>627</v>
      </c>
      <c r="KP1537" s="42">
        <f t="array" aca="1" ref="KP1537" ca="1">IFERROR(INDEX(nombres[],SMALL(IF(OFFSET(nombres[],0,0,ROWS(nombres[]),1)=KP$1490,ROW(OFFSET(nombres[],0,0,ROWS(nombres[]),1))-ROW(OFFSET(nombres[],0,0,1,1))+1,ROW(OFFSET(nombres[],ROWS(nombres[])-1,0,1,1))+1),$O1537:$O1556),3),"")</f>
        <v>453</v>
      </c>
      <c r="KQ1537" s="42">
        <f t="array" aca="1" ref="KQ1537" ca="1">IFERROR(INDEX(nombres[],SMALL(IF(OFFSET(nombres[],0,0,ROWS(nombres[]),1)=KQ$1490,ROW(OFFSET(nombres[],0,0,ROWS(nombres[]),1))-ROW(OFFSET(nombres[],0,0,1,1))+1,ROW(OFFSET(nombres[],ROWS(nombres[])-1,0,1,1))+1),$O1537:$O1556),3),"")</f>
        <v>468</v>
      </c>
      <c r="KR1537" s="42">
        <f t="array" aca="1" ref="KR1537" ca="1">IFERROR(INDEX(nombres[],SMALL(IF(OFFSET(nombres[],0,0,ROWS(nombres[]),1)=KR$1490,ROW(OFFSET(nombres[],0,0,ROWS(nombres[]),1))-ROW(OFFSET(nombres[],0,0,1,1))+1,ROW(OFFSET(nombres[],ROWS(nombres[])-1,0,1,1))+1),$O1537:$O1556),3),"")</f>
        <v>661</v>
      </c>
      <c r="KS1537" s="42" t="str">
        <f t="array" aca="1" ref="KS1537" ca="1">IFERROR(INDEX(nombres[],SMALL(IF(OFFSET(nombres[],0,0,ROWS(nombres[]),1)=KS$1490,ROW(OFFSET(nombres[],0,0,ROWS(nombres[]),1))-ROW(OFFSET(nombres[],0,0,1,1))+1,ROW(OFFSET(nombres[],ROWS(nombres[])-1,0,1,1))+1),$O1537:$O1556),3),"")</f>
        <v/>
      </c>
      <c r="KT1537" s="42">
        <f t="array" aca="1" ref="KT1537" ca="1">IFERROR(INDEX(nombres[],SMALL(IF(OFFSET(nombres[],0,0,ROWS(nombres[]),1)=KT$1490,ROW(OFFSET(nombres[],0,0,ROWS(nombres[]),1))-ROW(OFFSET(nombres[],0,0,1,1))+1,ROW(OFFSET(nombres[],ROWS(nombres[])-1,0,1,1))+1),$O1537:$O1556),3),"")</f>
        <v>463</v>
      </c>
      <c r="KU1537" s="42">
        <f t="array" aca="1" ref="KU1537" ca="1">IFERROR(INDEX(nombres[],SMALL(IF(OFFSET(nombres[],0,0,ROWS(nombres[]),1)=KU$1490,ROW(OFFSET(nombres[],0,0,ROWS(nombres[]),1))-ROW(OFFSET(nombres[],0,0,1,1))+1,ROW(OFFSET(nombres[],ROWS(nombres[])-1,0,1,1))+1),$O1537:$O1556),3),"")</f>
        <v>466</v>
      </c>
      <c r="KV1537" s="42">
        <f t="array" aca="1" ref="KV1537" ca="1">IFERROR(INDEX(nombres[],SMALL(IF(OFFSET(nombres[],0,0,ROWS(nombres[]),1)=KV$1490,ROW(OFFSET(nombres[],0,0,ROWS(nombres[]),1))-ROW(OFFSET(nombres[],0,0,1,1))+1,ROW(OFFSET(nombres[],ROWS(nombres[])-1,0,1,1))+1),$O1537:$O1556),3),"")</f>
        <v>622</v>
      </c>
      <c r="KW1537" s="42">
        <f t="array" aca="1" ref="KW1537" ca="1">IFERROR(INDEX(nombres[],SMALL(IF(OFFSET(nombres[],0,0,ROWS(nombres[]),1)=KW$1490,ROW(OFFSET(nombres[],0,0,ROWS(nombres[]),1))-ROW(OFFSET(nombres[],0,0,1,1))+1,ROW(OFFSET(nombres[],ROWS(nombres[])-1,0,1,1))+1),$O1537:$O1556),3),"")</f>
        <v>477</v>
      </c>
      <c r="KX1537" s="42">
        <f t="array" aca="1" ref="KX1537" ca="1">IFERROR(INDEX(nombres[],SMALL(IF(OFFSET(nombres[],0,0,ROWS(nombres[]),1)=KX$1490,ROW(OFFSET(nombres[],0,0,ROWS(nombres[]),1))-ROW(OFFSET(nombres[],0,0,1,1))+1,ROW(OFFSET(nombres[],ROWS(nombres[])-1,0,1,1))+1),$O1537:$O1556),3),"")</f>
        <v>624</v>
      </c>
      <c r="KY1537" s="42">
        <f t="array" aca="1" ref="KY1537" ca="1">IFERROR(INDEX(nombres[],SMALL(IF(OFFSET(nombres[],0,0,ROWS(nombres[]),1)=KY$1490,ROW(OFFSET(nombres[],0,0,ROWS(nombres[]),1))-ROW(OFFSET(nombres[],0,0,1,1))+1,ROW(OFFSET(nombres[],ROWS(nombres[])-1,0,1,1))+1),$O1537:$O1556),3),"")</f>
        <v>502</v>
      </c>
      <c r="KZ1537" s="42">
        <f t="array" aca="1" ref="KZ1537" ca="1">IFERROR(INDEX(nombres[],SMALL(IF(OFFSET(nombres[],0,0,ROWS(nombres[]),1)=KZ$1490,ROW(OFFSET(nombres[],0,0,ROWS(nombres[]),1))-ROW(OFFSET(nombres[],0,0,1,1))+1,ROW(OFFSET(nombres[],ROWS(nombres[])-1,0,1,1))+1),$O1537:$O1556),3),"")</f>
        <v>519</v>
      </c>
      <c r="LA1537" s="42" t="str">
        <f t="array" aca="1" ref="LA1537" ca="1">IFERROR(INDEX(nombres[],SMALL(IF(OFFSET(nombres[],0,0,ROWS(nombres[]),1)=LA$1490,ROW(OFFSET(nombres[],0,0,ROWS(nombres[]),1))-ROW(OFFSET(nombres[],0,0,1,1))+1,ROW(OFFSET(nombres[],ROWS(nombres[])-1,0,1,1))+1),$O1537:$O1556),3),"")</f>
        <v/>
      </c>
      <c r="LB1537" s="42">
        <f t="array" aca="1" ref="LB1537" ca="1">IFERROR(INDEX(nombres[],SMALL(IF(OFFSET(nombres[],0,0,ROWS(nombres[]),1)=LB$1490,ROW(OFFSET(nombres[],0,0,ROWS(nombres[]),1))-ROW(OFFSET(nombres[],0,0,1,1))+1,ROW(OFFSET(nombres[],ROWS(nombres[])-1,0,1,1))+1),$O1537:$O1556),3),"")</f>
        <v>498</v>
      </c>
      <c r="LC1537" s="42" t="str">
        <f t="array" aca="1" ref="LC1537" ca="1">IFERROR(INDEX(nombres[],SMALL(IF(OFFSET(nombres[],0,0,ROWS(nombres[]),1)=LC$1490,ROW(OFFSET(nombres[],0,0,ROWS(nombres[]),1))-ROW(OFFSET(nombres[],0,0,1,1))+1,ROW(OFFSET(nombres[],ROWS(nombres[])-1,0,1,1))+1),$O1537:$O1556),3),"")</f>
        <v/>
      </c>
      <c r="LD1537" s="42" t="str">
        <f t="array" aca="1" ref="LD1537" ca="1">IFERROR(INDEX(nombres[],SMALL(IF(OFFSET(nombres[],0,0,ROWS(nombres[]),1)=LD$1490,ROW(OFFSET(nombres[],0,0,ROWS(nombres[]),1))-ROW(OFFSET(nombres[],0,0,1,1))+1,ROW(OFFSET(nombres[],ROWS(nombres[])-1,0,1,1))+1),$O1537:$O1556),3),"")</f>
        <v/>
      </c>
      <c r="LE1537" s="42">
        <f t="array" aca="1" ref="LE1537" ca="1">IFERROR(INDEX(nombres[],SMALL(IF(OFFSET(nombres[],0,0,ROWS(nombres[]),1)=LE$1490,ROW(OFFSET(nombres[],0,0,ROWS(nombres[]),1))-ROW(OFFSET(nombres[],0,0,1,1))+1,ROW(OFFSET(nombres[],ROWS(nombres[])-1,0,1,1))+1),$O1537:$O1556),3),"")</f>
        <v>526</v>
      </c>
      <c r="LF1537" s="42">
        <f t="array" aca="1" ref="LF1537" ca="1">IFERROR(INDEX(nombres[],SMALL(IF(OFFSET(nombres[],0,0,ROWS(nombres[]),1)=LF$1490,ROW(OFFSET(nombres[],0,0,ROWS(nombres[]),1))-ROW(OFFSET(nombres[],0,0,1,1))+1,ROW(OFFSET(nombres[],ROWS(nombres[])-1,0,1,1))+1),$O1537:$O1556),3),"")</f>
        <v>487</v>
      </c>
      <c r="LG1537" s="42">
        <f t="array" aca="1" ref="LG1537" ca="1">IFERROR(INDEX(nombres[],SMALL(IF(OFFSET(nombres[],0,0,ROWS(nombres[]),1)=LG$1490,ROW(OFFSET(nombres[],0,0,ROWS(nombres[]),1))-ROW(OFFSET(nombres[],0,0,1,1))+1,ROW(OFFSET(nombres[],ROWS(nombres[])-1,0,1,1))+1),$O1537:$O1556),3),"")</f>
        <v>511</v>
      </c>
      <c r="LH1537" s="42">
        <f t="array" aca="1" ref="LH1537" ca="1">IFERROR(INDEX(nombres[],SMALL(IF(OFFSET(nombres[],0,0,ROWS(nombres[]),1)=LH$1490,ROW(OFFSET(nombres[],0,0,ROWS(nombres[]),1))-ROW(OFFSET(nombres[],0,0,1,1))+1,ROW(OFFSET(nombres[],ROWS(nombres[])-1,0,1,1))+1),$O1537:$O1556),3),"")</f>
        <v>514</v>
      </c>
      <c r="LI1537" s="42">
        <f t="array" aca="1" ref="LI1537" ca="1">IFERROR(INDEX(nombres[],SMALL(IF(OFFSET(nombres[],0,0,ROWS(nombres[]),1)=LI$1490,ROW(OFFSET(nombres[],0,0,ROWS(nombres[]),1))-ROW(OFFSET(nombres[],0,0,1,1))+1,ROW(OFFSET(nombres[],ROWS(nombres[])-1,0,1,1))+1),$O1537:$O1556),3),"")</f>
        <v>491</v>
      </c>
      <c r="LJ1537" s="42">
        <f t="array" aca="1" ref="LJ1537" ca="1">IFERROR(INDEX(nombres[],SMALL(IF(OFFSET(nombres[],0,0,ROWS(nombres[]),1)=LJ$1490,ROW(OFFSET(nombres[],0,0,ROWS(nombres[]),1))-ROW(OFFSET(nombres[],0,0,1,1))+1,ROW(OFFSET(nombres[],ROWS(nombres[])-1,0,1,1))+1),$O1537:$O1556),3),"")</f>
        <v>509</v>
      </c>
      <c r="LK1537" s="42">
        <f t="array" aca="1" ref="LK1537" ca="1">IFERROR(INDEX(nombres[],SMALL(IF(OFFSET(nombres[],0,0,ROWS(nombres[]),1)=LK$1490,ROW(OFFSET(nombres[],0,0,ROWS(nombres[]),1))-ROW(OFFSET(nombres[],0,0,1,1))+1,ROW(OFFSET(nombres[],ROWS(nombres[])-1,0,1,1))+1),$O1537:$O1556),3),"")</f>
        <v>486</v>
      </c>
      <c r="LL1537" s="42" t="str">
        <f t="array" aca="1" ref="LL1537" ca="1">IFERROR(INDEX(nombres[],SMALL(IF(OFFSET(nombres[],0,0,ROWS(nombres[]),1)=LL$1490,ROW(OFFSET(nombres[],0,0,ROWS(nombres[]),1))-ROW(OFFSET(nombres[],0,0,1,1))+1,ROW(OFFSET(nombres[],ROWS(nombres[])-1,0,1,1))+1),$O1537:$O1556),3),"")</f>
        <v/>
      </c>
      <c r="LM1537" s="42">
        <f t="array" aca="1" ref="LM1537" ca="1">IFERROR(INDEX(nombres[],SMALL(IF(OFFSET(nombres[],0,0,ROWS(nombres[]),1)=LM$1490,ROW(OFFSET(nombres[],0,0,ROWS(nombres[]),1))-ROW(OFFSET(nombres[],0,0,1,1))+1,ROW(OFFSET(nombres[],ROWS(nombres[])-1,0,1,1))+1),$O1537:$O1556),3),"")</f>
        <v>529</v>
      </c>
      <c r="LN1537" s="42">
        <f t="array" aca="1" ref="LN1537" ca="1">IFERROR(INDEX(nombres[],SMALL(IF(OFFSET(nombres[],0,0,ROWS(nombres[]),1)=LN$1490,ROW(OFFSET(nombres[],0,0,ROWS(nombres[]),1))-ROW(OFFSET(nombres[],0,0,1,1))+1,ROW(OFFSET(nombres[],ROWS(nombres[])-1,0,1,1))+1),$O1537:$O1556),3),"")</f>
        <v>505</v>
      </c>
      <c r="LO1537" s="42">
        <f t="array" aca="1" ref="LO1537" ca="1">IFERROR(INDEX(nombres[],SMALL(IF(OFFSET(nombres[],0,0,ROWS(nombres[]),1)=LO$1490,ROW(OFFSET(nombres[],0,0,ROWS(nombres[]),1))-ROW(OFFSET(nombres[],0,0,1,1))+1,ROW(OFFSET(nombres[],ROWS(nombres[])-1,0,1,1))+1),$O1537:$O1556),3),"")</f>
        <v>484</v>
      </c>
      <c r="LP1537" s="42">
        <f t="array" aca="1" ref="LP1537" ca="1">IFERROR(INDEX(nombres[],SMALL(IF(OFFSET(nombres[],0,0,ROWS(nombres[]),1)=LP$1490,ROW(OFFSET(nombres[],0,0,ROWS(nombres[]),1))-ROW(OFFSET(nombres[],0,0,1,1))+1,ROW(OFFSET(nombres[],ROWS(nombres[])-1,0,1,1))+1),$O1537:$O1556),3),"")</f>
        <v>499</v>
      </c>
      <c r="LQ1537" s="42">
        <f t="array" aca="1" ref="LQ1537" ca="1">IFERROR(INDEX(nombres[],SMALL(IF(OFFSET(nombres[],0,0,ROWS(nombres[]),1)=LQ$1490,ROW(OFFSET(nombres[],0,0,ROWS(nombres[]),1))-ROW(OFFSET(nombres[],0,0,1,1))+1,ROW(OFFSET(nombres[],ROWS(nombres[])-1,0,1,1))+1),$O1537:$O1556),3),"")</f>
        <v>481</v>
      </c>
      <c r="LR1537" s="42">
        <f t="array" aca="1" ref="LR1537" ca="1">IFERROR(INDEX(nombres[],SMALL(IF(OFFSET(nombres[],0,0,ROWS(nombres[]),1)=LR$1490,ROW(OFFSET(nombres[],0,0,ROWS(nombres[]),1))-ROW(OFFSET(nombres[],0,0,1,1))+1,ROW(OFFSET(nombres[],ROWS(nombres[])-1,0,1,1))+1),$O1537:$O1556),3),"")</f>
        <v>515</v>
      </c>
      <c r="LS1537" s="42">
        <f t="array" aca="1" ref="LS1537" ca="1">IFERROR(INDEX(nombres[],SMALL(IF(OFFSET(nombres[],0,0,ROWS(nombres[]),1)=LS$1490,ROW(OFFSET(nombres[],0,0,ROWS(nombres[]),1))-ROW(OFFSET(nombres[],0,0,1,1))+1,ROW(OFFSET(nombres[],ROWS(nombres[])-1,0,1,1))+1),$O1537:$O1556),3),"")</f>
        <v>534</v>
      </c>
      <c r="LT1537" s="42">
        <f t="array" aca="1" ref="LT1537" ca="1">IFERROR(INDEX(nombres[],SMALL(IF(OFFSET(nombres[],0,0,ROWS(nombres[]),1)=LT$1490,ROW(OFFSET(nombres[],0,0,ROWS(nombres[]),1))-ROW(OFFSET(nombres[],0,0,1,1))+1,ROW(OFFSET(nombres[],ROWS(nombres[])-1,0,1,1))+1),$O1537:$O1556),3),"")</f>
        <v>516</v>
      </c>
      <c r="LU1537" s="42">
        <f t="array" aca="1" ref="LU1537" ca="1">IFERROR(INDEX(nombres[],SMALL(IF(OFFSET(nombres[],0,0,ROWS(nombres[]),1)=LU$1490,ROW(OFFSET(nombres[],0,0,ROWS(nombres[]),1))-ROW(OFFSET(nombres[],0,0,1,1))+1,ROW(OFFSET(nombres[],ROWS(nombres[])-1,0,1,1))+1),$O1537:$O1556),3),"")</f>
        <v>541</v>
      </c>
      <c r="LV1537" s="42" t="str">
        <f t="array" aca="1" ref="LV1537" ca="1">IFERROR(INDEX(nombres[],SMALL(IF(OFFSET(nombres[],0,0,ROWS(nombres[]),1)=LV$1490,ROW(OFFSET(nombres[],0,0,ROWS(nombres[]),1))-ROW(OFFSET(nombres[],0,0,1,1))+1,ROW(OFFSET(nombres[],ROWS(nombres[])-1,0,1,1))+1),$O1537:$O1556),3),"")</f>
        <v/>
      </c>
      <c r="LW1537" s="42">
        <f t="array" aca="1" ref="LW1537" ca="1">IFERROR(INDEX(nombres[],SMALL(IF(OFFSET(nombres[],0,0,ROWS(nombres[]),1)=LW$1490,ROW(OFFSET(nombres[],0,0,ROWS(nombres[]),1))-ROW(OFFSET(nombres[],0,0,1,1))+1,ROW(OFFSET(nombres[],ROWS(nombres[])-1,0,1,1))+1),$O1537:$O1556),3),"")</f>
        <v>535</v>
      </c>
      <c r="LX1537" s="42">
        <f t="array" aca="1" ref="LX1537" ca="1">IFERROR(INDEX(nombres[],SMALL(IF(OFFSET(nombres[],0,0,ROWS(nombres[]),1)=LX$1490,ROW(OFFSET(nombres[],0,0,ROWS(nombres[]),1))-ROW(OFFSET(nombres[],0,0,1,1))+1,ROW(OFFSET(nombres[],ROWS(nombres[])-1,0,1,1))+1),$O1537:$O1556),3),"")</f>
        <v>538</v>
      </c>
      <c r="LY1537" s="42" t="str">
        <f t="array" aca="1" ref="LY1537" ca="1">IFERROR(INDEX(nombres[],SMALL(IF(OFFSET(nombres[],0,0,ROWS(nombres[]),1)=LY$1490,ROW(OFFSET(nombres[],0,0,ROWS(nombres[]),1))-ROW(OFFSET(nombres[],0,0,1,1))+1,ROW(OFFSET(nombres[],ROWS(nombres[])-1,0,1,1))+1),$O1537:$O1556),3),"")</f>
        <v/>
      </c>
      <c r="LZ1537" s="42">
        <f t="array" aca="1" ref="LZ1537" ca="1">IFERROR(INDEX(nombres[],SMALL(IF(OFFSET(nombres[],0,0,ROWS(nombres[]),1)=LZ$1490,ROW(OFFSET(nombres[],0,0,ROWS(nombres[]),1))-ROW(OFFSET(nombres[],0,0,1,1))+1,ROW(OFFSET(nombres[],ROWS(nombres[])-1,0,1,1))+1),$O1537:$O1556),3),"")</f>
        <v>542</v>
      </c>
      <c r="MA1537" s="42" t="str">
        <f t="array" aca="1" ref="MA1537" ca="1">IFERROR(INDEX(nombres[],SMALL(IF(OFFSET(nombres[],0,0,ROWS(nombres[]),1)=MA$1490,ROW(OFFSET(nombres[],0,0,ROWS(nombres[]),1))-ROW(OFFSET(nombres[],0,0,1,1))+1,ROW(OFFSET(nombres[],ROWS(nombres[])-1,0,1,1))+1),$O1537:$O1556),3),"")</f>
        <v/>
      </c>
      <c r="MB1537" s="42" t="str">
        <f t="array" aca="1" ref="MB1537" ca="1">IFERROR(INDEX(nombres[],SMALL(IF(OFFSET(nombres[],0,0,ROWS(nombres[]),1)=MB$1490,ROW(OFFSET(nombres[],0,0,ROWS(nombres[]),1))-ROW(OFFSET(nombres[],0,0,1,1))+1,ROW(OFFSET(nombres[],ROWS(nombres[])-1,0,1,1))+1),$O1537:$O1556),3),"")</f>
        <v/>
      </c>
      <c r="MC1537" s="42" t="str">
        <f t="array" aca="1" ref="MC1537" ca="1">IFERROR(INDEX(nombres[],SMALL(IF(OFFSET(nombres[],0,0,ROWS(nombres[]),1)=MC$1490,ROW(OFFSET(nombres[],0,0,ROWS(nombres[]),1))-ROW(OFFSET(nombres[],0,0,1,1))+1,ROW(OFFSET(nombres[],ROWS(nombres[])-1,0,1,1))+1),$O1537:$O1556),3),"")</f>
        <v/>
      </c>
      <c r="MD1537" s="42" t="str">
        <f t="array" aca="1" ref="MD1537" ca="1">IFERROR(INDEX(nombres[],SMALL(IF(OFFSET(nombres[],0,0,ROWS(nombres[]),1)=MD$1490,ROW(OFFSET(nombres[],0,0,ROWS(nombres[]),1))-ROW(OFFSET(nombres[],0,0,1,1))+1,ROW(OFFSET(nombres[],ROWS(nombres[])-1,0,1,1))+1),$O1537:$O1556),3),"")</f>
        <v/>
      </c>
      <c r="ME1537" s="42" t="str">
        <f t="array" aca="1" ref="ME1537" ca="1">IFERROR(INDEX(nombres[],SMALL(IF(OFFSET(nombres[],0,0,ROWS(nombres[]),1)=ME$1490,ROW(OFFSET(nombres[],0,0,ROWS(nombres[]),1))-ROW(OFFSET(nombres[],0,0,1,1))+1,ROW(OFFSET(nombres[],ROWS(nombres[])-1,0,1,1))+1),$O1537:$O1556),3),"")</f>
        <v/>
      </c>
      <c r="MF1537" s="42" t="str">
        <f t="array" aca="1" ref="MF1537" ca="1">IFERROR(INDEX(nombres[],SMALL(IF(OFFSET(nombres[],0,0,ROWS(nombres[]),1)=MF$1490,ROW(OFFSET(nombres[],0,0,ROWS(nombres[]),1))-ROW(OFFSET(nombres[],0,0,1,1))+1,ROW(OFFSET(nombres[],ROWS(nombres[])-1,0,1,1))+1),$O1537:$O1556),3),"")</f>
        <v/>
      </c>
      <c r="MG1537" s="42" t="str">
        <f t="array" aca="1" ref="MG1537" ca="1">IFERROR(INDEX(nombres[],SMALL(IF(OFFSET(nombres[],0,0,ROWS(nombres[]),1)=MG$1490,ROW(OFFSET(nombres[],0,0,ROWS(nombres[]),1))-ROW(OFFSET(nombres[],0,0,1,1))+1,ROW(OFFSET(nombres[],ROWS(nombres[])-1,0,1,1))+1),$O1537:$O1556),3),"")</f>
        <v/>
      </c>
      <c r="MH1537" s="42" t="str">
        <f t="array" aca="1" ref="MH1537" ca="1">IFERROR(INDEX(nombres[],SMALL(IF(OFFSET(nombres[],0,0,ROWS(nombres[]),1)=MH$1490,ROW(OFFSET(nombres[],0,0,ROWS(nombres[]),1))-ROW(OFFSET(nombres[],0,0,1,1))+1,ROW(OFFSET(nombres[],ROWS(nombres[])-1,0,1,1))+1),$O1537:$O1556),3),"")</f>
        <v/>
      </c>
      <c r="MI1537" s="42" t="str">
        <f t="array" aca="1" ref="MI1537" ca="1">IFERROR(INDEX(nombres[],SMALL(IF(OFFSET(nombres[],0,0,ROWS(nombres[]),1)=MI$1490,ROW(OFFSET(nombres[],0,0,ROWS(nombres[]),1))-ROW(OFFSET(nombres[],0,0,1,1))+1,ROW(OFFSET(nombres[],ROWS(nombres[])-1,0,1,1))+1),$O1537:$O1556),3),"")</f>
        <v/>
      </c>
      <c r="MJ1537" s="42" t="str">
        <f t="array" aca="1" ref="MJ1537" ca="1">IFERROR(INDEX(nombres[],SMALL(IF(OFFSET(nombres[],0,0,ROWS(nombres[]),1)=MJ$1490,ROW(OFFSET(nombres[],0,0,ROWS(nombres[]),1))-ROW(OFFSET(nombres[],0,0,1,1))+1,ROW(OFFSET(nombres[],ROWS(nombres[])-1,0,1,1))+1),$O1537:$O1556),3),"")</f>
        <v/>
      </c>
      <c r="MK1537" s="42" t="str">
        <f t="array" aca="1" ref="MK1537" ca="1">IFERROR(INDEX(nombres[],SMALL(IF(OFFSET(nombres[],0,0,ROWS(nombres[]),1)=MK$1490,ROW(OFFSET(nombres[],0,0,ROWS(nombres[]),1))-ROW(OFFSET(nombres[],0,0,1,1))+1,ROW(OFFSET(nombres[],ROWS(nombres[])-1,0,1,1))+1),$O1537:$O1556),3),"")</f>
        <v/>
      </c>
      <c r="ML1537" s="42" t="str">
        <f t="array" aca="1" ref="ML1537" ca="1">IFERROR(INDEX(nombres[],SMALL(IF(OFFSET(nombres[],0,0,ROWS(nombres[]),1)=ML$1490,ROW(OFFSET(nombres[],0,0,ROWS(nombres[]),1))-ROW(OFFSET(nombres[],0,0,1,1))+1,ROW(OFFSET(nombres[],ROWS(nombres[])-1,0,1,1))+1),$O1537:$O1556),3),"")</f>
        <v/>
      </c>
      <c r="MM1537" s="42" t="str">
        <f t="array" aca="1" ref="MM1537" ca="1">IFERROR(INDEX(nombres[],SMALL(IF(OFFSET(nombres[],0,0,ROWS(nombres[]),1)=MM$1490,ROW(OFFSET(nombres[],0,0,ROWS(nombres[]),1))-ROW(OFFSET(nombres[],0,0,1,1))+1,ROW(OFFSET(nombres[],ROWS(nombres[])-1,0,1,1))+1),$O1537:$O1556),3),"")</f>
        <v/>
      </c>
      <c r="MN1537" s="42" t="str">
        <f t="array" aca="1" ref="MN1537" ca="1">IFERROR(INDEX(nombres[],SMALL(IF(OFFSET(nombres[],0,0,ROWS(nombres[]),1)=MN$1490,ROW(OFFSET(nombres[],0,0,ROWS(nombres[]),1))-ROW(OFFSET(nombres[],0,0,1,1))+1,ROW(OFFSET(nombres[],ROWS(nombres[])-1,0,1,1))+1),$O1537:$O1556),3),"")</f>
        <v/>
      </c>
      <c r="MO1537" s="42" t="str">
        <f t="array" aca="1" ref="MO1537" ca="1">IFERROR(INDEX(nombres[],SMALL(IF(OFFSET(nombres[],0,0,ROWS(nombres[]),1)=MO$1490,ROW(OFFSET(nombres[],0,0,ROWS(nombres[]),1))-ROW(OFFSET(nombres[],0,0,1,1))+1,ROW(OFFSET(nombres[],ROWS(nombres[])-1,0,1,1))+1),$O1537:$O1556),3),"")</f>
        <v/>
      </c>
      <c r="MP1537" s="42" t="str">
        <f t="array" aca="1" ref="MP1537" ca="1">IFERROR(INDEX(nombres[],SMALL(IF(OFFSET(nombres[],0,0,ROWS(nombres[]),1)=MP$1490,ROW(OFFSET(nombres[],0,0,ROWS(nombres[]),1))-ROW(OFFSET(nombres[],0,0,1,1))+1,ROW(OFFSET(nombres[],ROWS(nombres[])-1,0,1,1))+1),$O1537:$O1556),3),"")</f>
        <v/>
      </c>
      <c r="MQ1537" s="42" t="str">
        <f t="array" aca="1" ref="MQ1537" ca="1">IFERROR(INDEX(nombres[],SMALL(IF(OFFSET(nombres[],0,0,ROWS(nombres[]),1)=MQ$1490,ROW(OFFSET(nombres[],0,0,ROWS(nombres[]),1))-ROW(OFFSET(nombres[],0,0,1,1))+1,ROW(OFFSET(nombres[],ROWS(nombres[])-1,0,1,1))+1),$O1537:$O1556),3),"")</f>
        <v/>
      </c>
      <c r="MR1537" s="42" t="str">
        <f t="array" aca="1" ref="MR1537" ca="1">IFERROR(INDEX(nombres[],SMALL(IF(OFFSET(nombres[],0,0,ROWS(nombres[]),1)=MR$1490,ROW(OFFSET(nombres[],0,0,ROWS(nombres[]),1))-ROW(OFFSET(nombres[],0,0,1,1))+1,ROW(OFFSET(nombres[],ROWS(nombres[])-1,0,1,1))+1),$O1537:$O1556),3),"")</f>
        <v/>
      </c>
      <c r="MS1537" s="42" t="str">
        <f t="array" aca="1" ref="MS1537" ca="1">IFERROR(INDEX(nombres[],SMALL(IF(OFFSET(nombres[],0,0,ROWS(nombres[]),1)=MS$1490,ROW(OFFSET(nombres[],0,0,ROWS(nombres[]),1))-ROW(OFFSET(nombres[],0,0,1,1))+1,ROW(OFFSET(nombres[],ROWS(nombres[])-1,0,1,1))+1),$O1537:$O1556),3),"")</f>
        <v/>
      </c>
      <c r="MT1537" s="42" t="str">
        <f t="array" aca="1" ref="MT1537" ca="1">IFERROR(INDEX(nombres[],SMALL(IF(OFFSET(nombres[],0,0,ROWS(nombres[]),1)=MT$1490,ROW(OFFSET(nombres[],0,0,ROWS(nombres[]),1))-ROW(OFFSET(nombres[],0,0,1,1))+1,ROW(OFFSET(nombres[],ROWS(nombres[])-1,0,1,1))+1),$O1537:$O1556),3),"")</f>
        <v/>
      </c>
      <c r="MU1537" s="42" t="str">
        <f t="array" aca="1" ref="MU1537" ca="1">IFERROR(INDEX(nombres[],SMALL(IF(OFFSET(nombres[],0,0,ROWS(nombres[]),1)=MU$1490,ROW(OFFSET(nombres[],0,0,ROWS(nombres[]),1))-ROW(OFFSET(nombres[],0,0,1,1))+1,ROW(OFFSET(nombres[],ROWS(nombres[])-1,0,1,1))+1),$O1537:$O1556),3),"")</f>
        <v/>
      </c>
      <c r="MV1537" s="42" t="str">
        <f t="array" aca="1" ref="MV1537" ca="1">IFERROR(INDEX(nombres[],SMALL(IF(OFFSET(nombres[],0,0,ROWS(nombres[]),1)=MV$1490,ROW(OFFSET(nombres[],0,0,ROWS(nombres[]),1))-ROW(OFFSET(nombres[],0,0,1,1))+1,ROW(OFFSET(nombres[],ROWS(nombres[])-1,0,1,1))+1),$O1537:$O1556),3),"")</f>
        <v/>
      </c>
      <c r="MW1537" s="42" t="str">
        <f t="array" aca="1" ref="MW1537" ca="1">IFERROR(INDEX(nombres[],SMALL(IF(OFFSET(nombres[],0,0,ROWS(nombres[]),1)=MW$1490,ROW(OFFSET(nombres[],0,0,ROWS(nombres[]),1))-ROW(OFFSET(nombres[],0,0,1,1))+1,ROW(OFFSET(nombres[],ROWS(nombres[])-1,0,1,1))+1),$O1537:$O1556),3),"")</f>
        <v/>
      </c>
      <c r="MX1537" s="42" t="str">
        <f t="array" aca="1" ref="MX1537" ca="1">IFERROR(INDEX(nombres[],SMALL(IF(OFFSET(nombres[],0,0,ROWS(nombres[]),1)=MX$1490,ROW(OFFSET(nombres[],0,0,ROWS(nombres[]),1))-ROW(OFFSET(nombres[],0,0,1,1))+1,ROW(OFFSET(nombres[],ROWS(nombres[])-1,0,1,1))+1),$O1537:$O1556),3),"")</f>
        <v/>
      </c>
      <c r="MY1537" s="42" t="str">
        <f t="array" aca="1" ref="MY1537" ca="1">IFERROR(INDEX(nombres[],SMALL(IF(OFFSET(nombres[],0,0,ROWS(nombres[]),1)=MY$1490,ROW(OFFSET(nombres[],0,0,ROWS(nombres[]),1))-ROW(OFFSET(nombres[],0,0,1,1))+1,ROW(OFFSET(nombres[],ROWS(nombres[])-1,0,1,1))+1),$O1537:$O1556),3),"")</f>
        <v/>
      </c>
      <c r="MZ1537" s="42" t="str">
        <f t="array" aca="1" ref="MZ1537" ca="1">IFERROR(INDEX(nombres[],SMALL(IF(OFFSET(nombres[],0,0,ROWS(nombres[]),1)=MZ$1490,ROW(OFFSET(nombres[],0,0,ROWS(nombres[]),1))-ROW(OFFSET(nombres[],0,0,1,1))+1,ROW(OFFSET(nombres[],ROWS(nombres[])-1,0,1,1))+1),$O1537:$O1556),3),"")</f>
        <v/>
      </c>
      <c r="NA1537" s="42" t="str">
        <f t="array" aca="1" ref="NA1537" ca="1">IFERROR(INDEX(nombres[],SMALL(IF(OFFSET(nombres[],0,0,ROWS(nombres[]),1)=NA$1490,ROW(OFFSET(nombres[],0,0,ROWS(nombres[]),1))-ROW(OFFSET(nombres[],0,0,1,1))+1,ROW(OFFSET(nombres[],ROWS(nombres[])-1,0,1,1))+1),$O1537:$O1556),3),"")</f>
        <v/>
      </c>
      <c r="NB1537" s="42" t="str">
        <f t="array" aca="1" ref="NB1537" ca="1">IFERROR(INDEX(nombres[],SMALL(IF(OFFSET(nombres[],0,0,ROWS(nombres[]),1)=NB$1490,ROW(OFFSET(nombres[],0,0,ROWS(nombres[]),1))-ROW(OFFSET(nombres[],0,0,1,1))+1,ROW(OFFSET(nombres[],ROWS(nombres[])-1,0,1,1))+1),$O1537:$O1556),3),"")</f>
        <v/>
      </c>
      <c r="NC1537" s="42" t="str">
        <f t="array" aca="1" ref="NC1537" ca="1">IFERROR(INDEX(nombres[],SMALL(IF(OFFSET(nombres[],0,0,ROWS(nombres[]),1)=NC$1490,ROW(OFFSET(nombres[],0,0,ROWS(nombres[]),1))-ROW(OFFSET(nombres[],0,0,1,1))+1,ROW(OFFSET(nombres[],ROWS(nombres[])-1,0,1,1))+1),$O1537:$O1556),3),"")</f>
        <v/>
      </c>
      <c r="ND1537" s="42" t="str">
        <f t="array" aca="1" ref="ND1537" ca="1">IFERROR(INDEX(nombres[],SMALL(IF(OFFSET(nombres[],0,0,ROWS(nombres[]),1)=ND$1490,ROW(OFFSET(nombres[],0,0,ROWS(nombres[]),1))-ROW(OFFSET(nombres[],0,0,1,1))+1,ROW(OFFSET(nombres[],ROWS(nombres[])-1,0,1,1))+1),$O1537:$O1556),3),"")</f>
        <v/>
      </c>
      <c r="NE1537" s="42" t="str">
        <f t="array" aca="1" ref="NE1537" ca="1">IFERROR(INDEX(nombres[],SMALL(IF(OFFSET(nombres[],0,0,ROWS(nombres[]),1)=NE$1490,ROW(OFFSET(nombres[],0,0,ROWS(nombres[]),1))-ROW(OFFSET(nombres[],0,0,1,1))+1,ROW(OFFSET(nombres[],ROWS(nombres[])-1,0,1,1))+1),$O1537:$O1556),3),"")</f>
        <v/>
      </c>
      <c r="NF1537" s="42" t="str">
        <f t="array" aca="1" ref="NF1537" ca="1">IFERROR(INDEX(nombres[],SMALL(IF(OFFSET(nombres[],0,0,ROWS(nombres[]),1)=NF$1490,ROW(OFFSET(nombres[],0,0,ROWS(nombres[]),1))-ROW(OFFSET(nombres[],0,0,1,1))+1,ROW(OFFSET(nombres[],ROWS(nombres[])-1,0,1,1))+1),$O1537:$O1556),3),"")</f>
        <v/>
      </c>
      <c r="NG1537" s="42" t="str">
        <f t="array" aca="1" ref="NG1537" ca="1">IFERROR(INDEX(nombres[],SMALL(IF(OFFSET(nombres[],0,0,ROWS(nombres[]),1)=NG$1490,ROW(OFFSET(nombres[],0,0,ROWS(nombres[]),1))-ROW(OFFSET(nombres[],0,0,1,1))+1,ROW(OFFSET(nombres[],ROWS(nombres[])-1,0,1,1))+1),$O1537:$O1556),3),"")</f>
        <v/>
      </c>
      <c r="NH1537" s="42" t="str">
        <f t="array" aca="1" ref="NH1537" ca="1">IFERROR(INDEX(nombres[],SMALL(IF(OFFSET(nombres[],0,0,ROWS(nombres[]),1)=NH$1490,ROW(OFFSET(nombres[],0,0,ROWS(nombres[]),1))-ROW(OFFSET(nombres[],0,0,1,1))+1,ROW(OFFSET(nombres[],ROWS(nombres[])-1,0,1,1))+1),$O1537:$O1556),3),"")</f>
        <v/>
      </c>
      <c r="NI1537" s="42" t="str">
        <f t="array" aca="1" ref="NI1537" ca="1">IFERROR(INDEX(nombres[],SMALL(IF(OFFSET(nombres[],0,0,ROWS(nombres[]),1)=NI$1490,ROW(OFFSET(nombres[],0,0,ROWS(nombres[]),1))-ROW(OFFSET(nombres[],0,0,1,1))+1,ROW(OFFSET(nombres[],ROWS(nombres[])-1,0,1,1))+1),$O1537:$O1556),3),"")</f>
        <v/>
      </c>
      <c r="NJ1537" s="42" t="str">
        <f t="array" aca="1" ref="NJ1537" ca="1">IFERROR(INDEX(nombres[],SMALL(IF(OFFSET(nombres[],0,0,ROWS(nombres[]),1)=NJ$1490,ROW(OFFSET(nombres[],0,0,ROWS(nombres[]),1))-ROW(OFFSET(nombres[],0,0,1,1))+1,ROW(OFFSET(nombres[],ROWS(nombres[])-1,0,1,1))+1),$O1537:$O1556),3),"")</f>
        <v/>
      </c>
      <c r="NK1537" s="42" t="str">
        <f t="array" aca="1" ref="NK1537" ca="1">IFERROR(INDEX(nombres[],SMALL(IF(OFFSET(nombres[],0,0,ROWS(nombres[]),1)=NK$1490,ROW(OFFSET(nombres[],0,0,ROWS(nombres[]),1))-ROW(OFFSET(nombres[],0,0,1,1))+1,ROW(OFFSET(nombres[],ROWS(nombres[])-1,0,1,1))+1),$O1537:$O1556),3),"")</f>
        <v/>
      </c>
      <c r="NL1537" s="42" t="str">
        <f t="array" aca="1" ref="NL1537" ca="1">IFERROR(INDEX(nombres[],SMALL(IF(OFFSET(nombres[],0,0,ROWS(nombres[]),1)=NL$1490,ROW(OFFSET(nombres[],0,0,ROWS(nombres[]),1))-ROW(OFFSET(nombres[],0,0,1,1))+1,ROW(OFFSET(nombres[],ROWS(nombres[])-1,0,1,1))+1),$O1537:$O1556),3),"")</f>
        <v/>
      </c>
      <c r="NM1537" s="42" t="str">
        <f t="array" aca="1" ref="NM1537" ca="1">IFERROR(INDEX(nombres[],SMALL(IF(OFFSET(nombres[],0,0,ROWS(nombres[]),1)=NM$1490,ROW(OFFSET(nombres[],0,0,ROWS(nombres[]),1))-ROW(OFFSET(nombres[],0,0,1,1))+1,ROW(OFFSET(nombres[],ROWS(nombres[])-1,0,1,1))+1),$O1537:$O1556),3),"")</f>
        <v/>
      </c>
      <c r="NN1537" s="42" t="str">
        <f t="array" aca="1" ref="NN1537" ca="1">IFERROR(INDEX(nombres[],SMALL(IF(OFFSET(nombres[],0,0,ROWS(nombres[]),1)=NN$1490,ROW(OFFSET(nombres[],0,0,ROWS(nombres[]),1))-ROW(OFFSET(nombres[],0,0,1,1))+1,ROW(OFFSET(nombres[],ROWS(nombres[])-1,0,1,1))+1),$O1537:$O1556),3),"")</f>
        <v/>
      </c>
      <c r="NO1537" s="42" t="str">
        <f t="array" aca="1" ref="NO1537" ca="1">IFERROR(INDEX(nombres[],SMALL(IF(OFFSET(nombres[],0,0,ROWS(nombres[]),1)=NO$1490,ROW(OFFSET(nombres[],0,0,ROWS(nombres[]),1))-ROW(OFFSET(nombres[],0,0,1,1))+1,ROW(OFFSET(nombres[],ROWS(nombres[])-1,0,1,1))+1),$O1537:$O1556),3),"")</f>
        <v/>
      </c>
      <c r="NP1537" s="42" t="str">
        <f t="array" aca="1" ref="NP1537" ca="1">IFERROR(INDEX(nombres[],SMALL(IF(OFFSET(nombres[],0,0,ROWS(nombres[]),1)=NP$1490,ROW(OFFSET(nombres[],0,0,ROWS(nombres[]),1))-ROW(OFFSET(nombres[],0,0,1,1))+1,ROW(OFFSET(nombres[],ROWS(nombres[])-1,0,1,1))+1),$O1537:$O1556),3),"")</f>
        <v/>
      </c>
      <c r="NQ1537" s="42" t="str">
        <f t="array" aca="1" ref="NQ1537" ca="1">IFERROR(INDEX(nombres[],SMALL(IF(OFFSET(nombres[],0,0,ROWS(nombres[]),1)=NQ$1490,ROW(OFFSET(nombres[],0,0,ROWS(nombres[]),1))-ROW(OFFSET(nombres[],0,0,1,1))+1,ROW(OFFSET(nombres[],ROWS(nombres[])-1,0,1,1))+1),$O1537:$O1556),3),"")</f>
        <v/>
      </c>
      <c r="NR1537" s="42" t="str">
        <f t="array" aca="1" ref="NR1537" ca="1">IFERROR(INDEX(nombres[],SMALL(IF(OFFSET(nombres[],0,0,ROWS(nombres[]),1)=NR$1490,ROW(OFFSET(nombres[],0,0,ROWS(nombres[]),1))-ROW(OFFSET(nombres[],0,0,1,1))+1,ROW(OFFSET(nombres[],ROWS(nombres[])-1,0,1,1))+1),$O1537:$O1556),3),"")</f>
        <v/>
      </c>
      <c r="NS1537" s="42" t="str">
        <f t="array" aca="1" ref="NS1537" ca="1">IFERROR(INDEX(nombres[],SMALL(IF(OFFSET(nombres[],0,0,ROWS(nombres[]),1)=NS$1490,ROW(OFFSET(nombres[],0,0,ROWS(nombres[]),1))-ROW(OFFSET(nombres[],0,0,1,1))+1,ROW(OFFSET(nombres[],ROWS(nombres[])-1,0,1,1))+1),$O1537:$O1556),3),"")</f>
        <v/>
      </c>
      <c r="NT1537" s="42" t="str">
        <f t="array" aca="1" ref="NT1537" ca="1">IFERROR(INDEX(nombres[],SMALL(IF(OFFSET(nombres[],0,0,ROWS(nombres[]),1)=NT$1490,ROW(OFFSET(nombres[],0,0,ROWS(nombres[]),1))-ROW(OFFSET(nombres[],0,0,1,1))+1,ROW(OFFSET(nombres[],ROWS(nombres[])-1,0,1,1))+1),$O1537:$O1556),3),"")</f>
        <v/>
      </c>
      <c r="NU1537" s="42" t="str">
        <f t="array" aca="1" ref="NU1537" ca="1">IFERROR(INDEX(nombres[],SMALL(IF(OFFSET(nombres[],0,0,ROWS(nombres[]),1)=NU$1490,ROW(OFFSET(nombres[],0,0,ROWS(nombres[]),1))-ROW(OFFSET(nombres[],0,0,1,1))+1,ROW(OFFSET(nombres[],ROWS(nombres[])-1,0,1,1))+1),$O1537:$O1556),3),"")</f>
        <v/>
      </c>
      <c r="NV1537" s="42" t="str">
        <f t="array" aca="1" ref="NV1537" ca="1">IFERROR(INDEX(nombres[],SMALL(IF(OFFSET(nombres[],0,0,ROWS(nombres[]),1)=NV$1490,ROW(OFFSET(nombres[],0,0,ROWS(nombres[]),1))-ROW(OFFSET(nombres[],0,0,1,1))+1,ROW(OFFSET(nombres[],ROWS(nombres[])-1,0,1,1))+1),$O1537:$O1556),3),"")</f>
        <v/>
      </c>
      <c r="NW1537" s="42" t="str">
        <f t="array" aca="1" ref="NW1537" ca="1">IFERROR(INDEX(nombres[],SMALL(IF(OFFSET(nombres[],0,0,ROWS(nombres[]),1)=NW$1490,ROW(OFFSET(nombres[],0,0,ROWS(nombres[]),1))-ROW(OFFSET(nombres[],0,0,1,1))+1,ROW(OFFSET(nombres[],ROWS(nombres[])-1,0,1,1))+1),$O1537:$O1556),3),"")</f>
        <v/>
      </c>
      <c r="NX1537" s="42" t="str">
        <f t="array" aca="1" ref="NX1537" ca="1">IFERROR(INDEX(nombres[],SMALL(IF(OFFSET(nombres[],0,0,ROWS(nombres[]),1)=NX$1490,ROW(OFFSET(nombres[],0,0,ROWS(nombres[]),1))-ROW(OFFSET(nombres[],0,0,1,1))+1,ROW(OFFSET(nombres[],ROWS(nombres[])-1,0,1,1))+1),$O1537:$O1556),3),"")</f>
        <v/>
      </c>
      <c r="NY1537" s="42" t="str">
        <f t="array" aca="1" ref="NY1537" ca="1">IFERROR(INDEX(nombres[],SMALL(IF(OFFSET(nombres[],0,0,ROWS(nombres[]),1)=NY$1490,ROW(OFFSET(nombres[],0,0,ROWS(nombres[]),1))-ROW(OFFSET(nombres[],0,0,1,1))+1,ROW(OFFSET(nombres[],ROWS(nombres[])-1,0,1,1))+1),$O1537:$O1556),3),"")</f>
        <v/>
      </c>
      <c r="NZ1537" s="42" t="str">
        <f t="array" aca="1" ref="NZ1537" ca="1">IFERROR(INDEX(nombres[],SMALL(IF(OFFSET(nombres[],0,0,ROWS(nombres[]),1)=NZ$1490,ROW(OFFSET(nombres[],0,0,ROWS(nombres[]),1))-ROW(OFFSET(nombres[],0,0,1,1))+1,ROW(OFFSET(nombres[],ROWS(nombres[])-1,0,1,1))+1),$O1537:$O1556),3),"")</f>
        <v/>
      </c>
      <c r="OA1537" s="42" t="str">
        <f t="array" aca="1" ref="OA1537" ca="1">IFERROR(INDEX(nombres[],SMALL(IF(OFFSET(nombres[],0,0,ROWS(nombres[]),1)=OA$1490,ROW(OFFSET(nombres[],0,0,ROWS(nombres[]),1))-ROW(OFFSET(nombres[],0,0,1,1))+1,ROW(OFFSET(nombres[],ROWS(nombres[])-1,0,1,1))+1),$O1537:$O1556),3),"")</f>
        <v/>
      </c>
      <c r="OB1537" s="42" t="str">
        <f t="array" aca="1" ref="OB1537" ca="1">IFERROR(INDEX(nombres[],SMALL(IF(OFFSET(nombres[],0,0,ROWS(nombres[]),1)=OB$1490,ROW(OFFSET(nombres[],0,0,ROWS(nombres[]),1))-ROW(OFFSET(nombres[],0,0,1,1))+1,ROW(OFFSET(nombres[],ROWS(nombres[])-1,0,1,1))+1),$O1537:$O1556),3),"")</f>
        <v/>
      </c>
      <c r="OC1537" s="42" t="str">
        <f t="array" aca="1" ref="OC1537" ca="1">IFERROR(INDEX(nombres[],SMALL(IF(OFFSET(nombres[],0,0,ROWS(nombres[]),1)=OC$1490,ROW(OFFSET(nombres[],0,0,ROWS(nombres[]),1))-ROW(OFFSET(nombres[],0,0,1,1))+1,ROW(OFFSET(nombres[],ROWS(nombres[])-1,0,1,1))+1),$O1537:$O1556),3),"")</f>
        <v/>
      </c>
      <c r="OD1537" s="42" t="str">
        <f t="array" aca="1" ref="OD1537" ca="1">IFERROR(INDEX(nombres[],SMALL(IF(OFFSET(nombres[],0,0,ROWS(nombres[]),1)=OD$1490,ROW(OFFSET(nombres[],0,0,ROWS(nombres[]),1))-ROW(OFFSET(nombres[],0,0,1,1))+1,ROW(OFFSET(nombres[],ROWS(nombres[])-1,0,1,1))+1),$O1537:$O1556),3),"")</f>
        <v/>
      </c>
      <c r="OE1537" s="42" t="str">
        <f t="array" aca="1" ref="OE1537" ca="1">IFERROR(INDEX(nombres[],SMALL(IF(OFFSET(nombres[],0,0,ROWS(nombres[]),1)=OE$1490,ROW(OFFSET(nombres[],0,0,ROWS(nombres[]),1))-ROW(OFFSET(nombres[],0,0,1,1))+1,ROW(OFFSET(nombres[],ROWS(nombres[])-1,0,1,1))+1),$O1537:$O1556),3),"")</f>
        <v/>
      </c>
      <c r="OF1537" s="42" t="str">
        <f t="array" aca="1" ref="OF1537" ca="1">IFERROR(INDEX(nombres[],SMALL(IF(OFFSET(nombres[],0,0,ROWS(nombres[]),1)=OF$1490,ROW(OFFSET(nombres[],0,0,ROWS(nombres[]),1))-ROW(OFFSET(nombres[],0,0,1,1))+1,ROW(OFFSET(nombres[],ROWS(nombres[])-1,0,1,1))+1),$O1537:$O1556),3),"")</f>
        <v/>
      </c>
      <c r="OG1537" s="42" t="str">
        <f t="array" aca="1" ref="OG1537" ca="1">IFERROR(INDEX(nombres[],SMALL(IF(OFFSET(nombres[],0,0,ROWS(nombres[]),1)=OG$1490,ROW(OFFSET(nombres[],0,0,ROWS(nombres[]),1))-ROW(OFFSET(nombres[],0,0,1,1))+1,ROW(OFFSET(nombres[],ROWS(nombres[])-1,0,1,1))+1),$O1537:$O1556),3),"")</f>
        <v/>
      </c>
      <c r="OH1537" s="42" t="str">
        <f t="array" aca="1" ref="OH1537" ca="1">IFERROR(INDEX(nombres[],SMALL(IF(OFFSET(nombres[],0,0,ROWS(nombres[]),1)=OH$1490,ROW(OFFSET(nombres[],0,0,ROWS(nombres[]),1))-ROW(OFFSET(nombres[],0,0,1,1))+1,ROW(OFFSET(nombres[],ROWS(nombres[])-1,0,1,1))+1),$O1537:$O1556),3),"")</f>
        <v/>
      </c>
      <c r="OI1537" s="42" t="str">
        <f t="array" aca="1" ref="OI1537" ca="1">IFERROR(INDEX(nombres[],SMALL(IF(OFFSET(nombres[],0,0,ROWS(nombres[]),1)=OI$1490,ROW(OFFSET(nombres[],0,0,ROWS(nombres[]),1))-ROW(OFFSET(nombres[],0,0,1,1))+1,ROW(OFFSET(nombres[],ROWS(nombres[])-1,0,1,1))+1),$O1537:$O1556),3),"")</f>
        <v/>
      </c>
      <c r="OJ1537" s="42" t="str">
        <f t="array" aca="1" ref="OJ1537" ca="1">IFERROR(INDEX(nombres[],SMALL(IF(OFFSET(nombres[],0,0,ROWS(nombres[]),1)=OJ$1490,ROW(OFFSET(nombres[],0,0,ROWS(nombres[]),1))-ROW(OFFSET(nombres[],0,0,1,1))+1,ROW(OFFSET(nombres[],ROWS(nombres[])-1,0,1,1))+1),$O1537:$O1556),3),"")</f>
        <v/>
      </c>
      <c r="OK1537" s="42" t="str">
        <f t="array" aca="1" ref="OK1537" ca="1">IFERROR(INDEX(nombres[],SMALL(IF(OFFSET(nombres[],0,0,ROWS(nombres[]),1)=OK$1490,ROW(OFFSET(nombres[],0,0,ROWS(nombres[]),1))-ROW(OFFSET(nombres[],0,0,1,1))+1,ROW(OFFSET(nombres[],ROWS(nombres[])-1,0,1,1))+1),$O1537:$O1556),3),"")</f>
        <v/>
      </c>
      <c r="OL1537" s="42" t="str">
        <f t="array" aca="1" ref="OL1537" ca="1">IFERROR(INDEX(nombres[],SMALL(IF(OFFSET(nombres[],0,0,ROWS(nombres[]),1)=OL$1490,ROW(OFFSET(nombres[],0,0,ROWS(nombres[]),1))-ROW(OFFSET(nombres[],0,0,1,1))+1,ROW(OFFSET(nombres[],ROWS(nombres[])-1,0,1,1))+1),$O1537:$O1556),3),"")</f>
        <v/>
      </c>
      <c r="OM1537" s="42" t="str">
        <f t="array" aca="1" ref="OM1537" ca="1">IFERROR(INDEX(nombres[],SMALL(IF(OFFSET(nombres[],0,0,ROWS(nombres[]),1)=OM$1490,ROW(OFFSET(nombres[],0,0,ROWS(nombres[]),1))-ROW(OFFSET(nombres[],0,0,1,1))+1,ROW(OFFSET(nombres[],ROWS(nombres[])-1,0,1,1))+1),$O1537:$O1556),3),"")</f>
        <v/>
      </c>
      <c r="ON1537" s="42" t="str">
        <f t="array" aca="1" ref="ON1537" ca="1">IFERROR(INDEX(nombres[],SMALL(IF(OFFSET(nombres[],0,0,ROWS(nombres[]),1)=ON$1490,ROW(OFFSET(nombres[],0,0,ROWS(nombres[]),1))-ROW(OFFSET(nombres[],0,0,1,1))+1,ROW(OFFSET(nombres[],ROWS(nombres[])-1,0,1,1))+1),$O1537:$O1556),3),"")</f>
        <v/>
      </c>
      <c r="OO1537" s="42" t="str">
        <f t="array" aca="1" ref="OO1537" ca="1">IFERROR(INDEX(nombres[],SMALL(IF(OFFSET(nombres[],0,0,ROWS(nombres[]),1)=OO$1490,ROW(OFFSET(nombres[],0,0,ROWS(nombres[]),1))-ROW(OFFSET(nombres[],0,0,1,1))+1,ROW(OFFSET(nombres[],ROWS(nombres[])-1,0,1,1))+1),$O1537:$O1556),3),"")</f>
        <v/>
      </c>
      <c r="OP1537" s="42" t="str">
        <f t="array" aca="1" ref="OP1537" ca="1">IFERROR(INDEX(nombres[],SMALL(IF(OFFSET(nombres[],0,0,ROWS(nombres[]),1)=OP$1490,ROW(OFFSET(nombres[],0,0,ROWS(nombres[]),1))-ROW(OFFSET(nombres[],0,0,1,1))+1,ROW(OFFSET(nombres[],ROWS(nombres[])-1,0,1,1))+1),$O1537:$O1556),3),"")</f>
        <v/>
      </c>
      <c r="OQ1537" s="42" t="str">
        <f t="array" aca="1" ref="OQ1537" ca="1">IFERROR(INDEX(nombres[],SMALL(IF(OFFSET(nombres[],0,0,ROWS(nombres[]),1)=OQ$1490,ROW(OFFSET(nombres[],0,0,ROWS(nombres[]),1))-ROW(OFFSET(nombres[],0,0,1,1))+1,ROW(OFFSET(nombres[],ROWS(nombres[])-1,0,1,1))+1),$O1537:$O1556),3),"")</f>
        <v/>
      </c>
      <c r="OR1537" s="42" t="str">
        <f t="array" aca="1" ref="OR1537" ca="1">IFERROR(INDEX(nombres[],SMALL(IF(OFFSET(nombres[],0,0,ROWS(nombres[]),1)=OR$1490,ROW(OFFSET(nombres[],0,0,ROWS(nombres[]),1))-ROW(OFFSET(nombres[],0,0,1,1))+1,ROW(OFFSET(nombres[],ROWS(nombres[])-1,0,1,1))+1),$O1537:$O1556),3),"")</f>
        <v/>
      </c>
      <c r="OS1537" s="42" t="str">
        <f t="array" aca="1" ref="OS1537" ca="1">IFERROR(INDEX(nombres[],SMALL(IF(OFFSET(nombres[],0,0,ROWS(nombres[]),1)=OS$1490,ROW(OFFSET(nombres[],0,0,ROWS(nombres[]),1))-ROW(OFFSET(nombres[],0,0,1,1))+1,ROW(OFFSET(nombres[],ROWS(nombres[])-1,0,1,1))+1),$O1537:$O1556),3),"")</f>
        <v/>
      </c>
      <c r="OT1537" s="42" t="str">
        <f t="array" aca="1" ref="OT1537" ca="1">IFERROR(INDEX(nombres[],SMALL(IF(OFFSET(nombres[],0,0,ROWS(nombres[]),1)=OT$1490,ROW(OFFSET(nombres[],0,0,ROWS(nombres[]),1))-ROW(OFFSET(nombres[],0,0,1,1))+1,ROW(OFFSET(nombres[],ROWS(nombres[])-1,0,1,1))+1),$O1537:$O1556),3),"")</f>
        <v/>
      </c>
      <c r="OU1537" s="42" t="str">
        <f t="array" aca="1" ref="OU1537" ca="1">IFERROR(INDEX(nombres[],SMALL(IF(OFFSET(nombres[],0,0,ROWS(nombres[]),1)=OU$1490,ROW(OFFSET(nombres[],0,0,ROWS(nombres[]),1))-ROW(OFFSET(nombres[],0,0,1,1))+1,ROW(OFFSET(nombres[],ROWS(nombres[])-1,0,1,1))+1),$O1537:$O1556),3),"")</f>
        <v/>
      </c>
      <c r="OV1537" s="42" t="str">
        <f t="array" aca="1" ref="OV1537" ca="1">IFERROR(INDEX(nombres[],SMALL(IF(OFFSET(nombres[],0,0,ROWS(nombres[]),1)=OV$1490,ROW(OFFSET(nombres[],0,0,ROWS(nombres[]),1))-ROW(OFFSET(nombres[],0,0,1,1))+1,ROW(OFFSET(nombres[],ROWS(nombres[])-1,0,1,1))+1),$O1537:$O1556),3),"")</f>
        <v/>
      </c>
      <c r="OW1537" s="42" t="str">
        <f t="array" aca="1" ref="OW1537" ca="1">IFERROR(INDEX(nombres[],SMALL(IF(OFFSET(nombres[],0,0,ROWS(nombres[]),1)=OW$1490,ROW(OFFSET(nombres[],0,0,ROWS(nombres[]),1))-ROW(OFFSET(nombres[],0,0,1,1))+1,ROW(OFFSET(nombres[],ROWS(nombres[])-1,0,1,1))+1),$O1537:$O1556),3),"")</f>
        <v/>
      </c>
      <c r="OX1537" s="42" t="str">
        <f t="array" aca="1" ref="OX1537" ca="1">IFERROR(INDEX(nombres[],SMALL(IF(OFFSET(nombres[],0,0,ROWS(nombres[]),1)=OX$1490,ROW(OFFSET(nombres[],0,0,ROWS(nombres[]),1))-ROW(OFFSET(nombres[],0,0,1,1))+1,ROW(OFFSET(nombres[],ROWS(nombres[])-1,0,1,1))+1),$O1537:$O1556),3),"")</f>
        <v/>
      </c>
      <c r="OY1537" s="42" t="str">
        <f t="array" aca="1" ref="OY1537" ca="1">IFERROR(INDEX(nombres[],SMALL(IF(OFFSET(nombres[],0,0,ROWS(nombres[]),1)=OY$1490,ROW(OFFSET(nombres[],0,0,ROWS(nombres[]),1))-ROW(OFFSET(nombres[],0,0,1,1))+1,ROW(OFFSET(nombres[],ROWS(nombres[])-1,0,1,1))+1),$O1537:$O1556),3),"")</f>
        <v/>
      </c>
      <c r="OZ1537" s="42" t="str">
        <f t="array" aca="1" ref="OZ1537" ca="1">IFERROR(INDEX(nombres[],SMALL(IF(OFFSET(nombres[],0,0,ROWS(nombres[]),1)=OZ$1490,ROW(OFFSET(nombres[],0,0,ROWS(nombres[]),1))-ROW(OFFSET(nombres[],0,0,1,1))+1,ROW(OFFSET(nombres[],ROWS(nombres[])-1,0,1,1))+1),$O1537:$O1556),3),"")</f>
        <v/>
      </c>
      <c r="PA1537" s="42" t="str">
        <f t="array" aca="1" ref="PA1537" ca="1">IFERROR(INDEX(nombres[],SMALL(IF(OFFSET(nombres[],0,0,ROWS(nombres[]),1)=PA$1490,ROW(OFFSET(nombres[],0,0,ROWS(nombres[]),1))-ROW(OFFSET(nombres[],0,0,1,1))+1,ROW(OFFSET(nombres[],ROWS(nombres[])-1,0,1,1))+1),$O1537:$O1556),3),"")</f>
        <v/>
      </c>
      <c r="PB1537" s="42" t="str">
        <f t="array" aca="1" ref="PB1537" ca="1">IFERROR(INDEX(nombres[],SMALL(IF(OFFSET(nombres[],0,0,ROWS(nombres[]),1)=PB$1490,ROW(OFFSET(nombres[],0,0,ROWS(nombres[]),1))-ROW(OFFSET(nombres[],0,0,1,1))+1,ROW(OFFSET(nombres[],ROWS(nombres[])-1,0,1,1))+1),$O1537:$O1556),3),"")</f>
        <v/>
      </c>
      <c r="PC1537" s="42" t="str">
        <f t="array" aca="1" ref="PC1537" ca="1">IFERROR(INDEX(nombres[],SMALL(IF(OFFSET(nombres[],0,0,ROWS(nombres[]),1)=PC$1490,ROW(OFFSET(nombres[],0,0,ROWS(nombres[]),1))-ROW(OFFSET(nombres[],0,0,1,1))+1,ROW(OFFSET(nombres[],ROWS(nombres[])-1,0,1,1))+1),$O1537:$O1556),3),"")</f>
        <v/>
      </c>
      <c r="PD1537" s="42" t="str">
        <f t="array" aca="1" ref="PD1537" ca="1">IFERROR(INDEX(nombres[],SMALL(IF(OFFSET(nombres[],0,0,ROWS(nombres[]),1)=PD$1490,ROW(OFFSET(nombres[],0,0,ROWS(nombres[]),1))-ROW(OFFSET(nombres[],0,0,1,1))+1,ROW(OFFSET(nombres[],ROWS(nombres[])-1,0,1,1))+1),$O1537:$O1556),3),"")</f>
        <v/>
      </c>
      <c r="PE1537" s="42" t="str">
        <f t="array" aca="1" ref="PE1537" ca="1">IFERROR(INDEX(nombres[],SMALL(IF(OFFSET(nombres[],0,0,ROWS(nombres[]),1)=PE$1490,ROW(OFFSET(nombres[],0,0,ROWS(nombres[]),1))-ROW(OFFSET(nombres[],0,0,1,1))+1,ROW(OFFSET(nombres[],ROWS(nombres[])-1,0,1,1))+1),$O1537:$O1556),3),"")</f>
        <v/>
      </c>
      <c r="PF1537" s="42" t="str">
        <f t="array" aca="1" ref="PF1537" ca="1">IFERROR(INDEX(nombres[],SMALL(IF(OFFSET(nombres[],0,0,ROWS(nombres[]),1)=PF$1490,ROW(OFFSET(nombres[],0,0,ROWS(nombres[]),1))-ROW(OFFSET(nombres[],0,0,1,1))+1,ROW(OFFSET(nombres[],ROWS(nombres[])-1,0,1,1))+1),$O1537:$O1556),3),"")</f>
        <v/>
      </c>
      <c r="PG1537" s="42" t="str">
        <f t="array" aca="1" ref="PG1537" ca="1">IFERROR(INDEX(nombres[],SMALL(IF(OFFSET(nombres[],0,0,ROWS(nombres[]),1)=PG$1490,ROW(OFFSET(nombres[],0,0,ROWS(nombres[]),1))-ROW(OFFSET(nombres[],0,0,1,1))+1,ROW(OFFSET(nombres[],ROWS(nombres[])-1,0,1,1))+1),$O1537:$O1556),3),"")</f>
        <v/>
      </c>
      <c r="PH1537" s="42" t="str">
        <f t="array" aca="1" ref="PH1537" ca="1">IFERROR(INDEX(nombres[],SMALL(IF(OFFSET(nombres[],0,0,ROWS(nombres[]),1)=PH$1490,ROW(OFFSET(nombres[],0,0,ROWS(nombres[]),1))-ROW(OFFSET(nombres[],0,0,1,1))+1,ROW(OFFSET(nombres[],ROWS(nombres[])-1,0,1,1))+1),$O1537:$O1556),3),"")</f>
        <v/>
      </c>
      <c r="PI1537" s="42" t="str">
        <f t="array" aca="1" ref="PI1537" ca="1">IFERROR(INDEX(nombres[],SMALL(IF(OFFSET(nombres[],0,0,ROWS(nombres[]),1)=PI$1490,ROW(OFFSET(nombres[],0,0,ROWS(nombres[]),1))-ROW(OFFSET(nombres[],0,0,1,1))+1,ROW(OFFSET(nombres[],ROWS(nombres[])-1,0,1,1))+1),$O1537:$O1556),3),"")</f>
        <v/>
      </c>
      <c r="PJ1537" s="42" t="str">
        <f t="array" aca="1" ref="PJ1537" ca="1">IFERROR(INDEX(nombres[],SMALL(IF(OFFSET(nombres[],0,0,ROWS(nombres[]),1)=PJ$1490,ROW(OFFSET(nombres[],0,0,ROWS(nombres[]),1))-ROW(OFFSET(nombres[],0,0,1,1))+1,ROW(OFFSET(nombres[],ROWS(nombres[])-1,0,1,1))+1),$O1537:$O1556),3),"")</f>
        <v/>
      </c>
      <c r="PK1537" s="42" t="str">
        <f t="array" aca="1" ref="PK1537" ca="1">IFERROR(INDEX(nombres[],SMALL(IF(OFFSET(nombres[],0,0,ROWS(nombres[]),1)=PK$1490,ROW(OFFSET(nombres[],0,0,ROWS(nombres[]),1))-ROW(OFFSET(nombres[],0,0,1,1))+1,ROW(OFFSET(nombres[],ROWS(nombres[])-1,0,1,1))+1),$O1537:$O1556),3),"")</f>
        <v/>
      </c>
      <c r="PL1537" s="42" t="str">
        <f t="array" aca="1" ref="PL1537" ca="1">IFERROR(INDEX(nombres[],SMALL(IF(OFFSET(nombres[],0,0,ROWS(nombres[]),1)=PL$1490,ROW(OFFSET(nombres[],0,0,ROWS(nombres[]),1))-ROW(OFFSET(nombres[],0,0,1,1))+1,ROW(OFFSET(nombres[],ROWS(nombres[])-1,0,1,1))+1),$O1537:$O1556),3),"")</f>
        <v/>
      </c>
      <c r="PM1537" s="42" t="str">
        <f t="array" aca="1" ref="PM1537" ca="1">IFERROR(INDEX(nombres[],SMALL(IF(OFFSET(nombres[],0,0,ROWS(nombres[]),1)=PM$1490,ROW(OFFSET(nombres[],0,0,ROWS(nombres[]),1))-ROW(OFFSET(nombres[],0,0,1,1))+1,ROW(OFFSET(nombres[],ROWS(nombres[])-1,0,1,1))+1),$O1537:$O1556),3),"")</f>
        <v/>
      </c>
      <c r="PN1537" s="42" t="str">
        <f t="array" aca="1" ref="PN1537" ca="1">IFERROR(INDEX(nombres[],SMALL(IF(OFFSET(nombres[],0,0,ROWS(nombres[]),1)=PN$1490,ROW(OFFSET(nombres[],0,0,ROWS(nombres[]),1))-ROW(OFFSET(nombres[],0,0,1,1))+1,ROW(OFFSET(nombres[],ROWS(nombres[])-1,0,1,1))+1),$O1537:$O1556),3),"")</f>
        <v/>
      </c>
      <c r="PO1537" s="42" t="str">
        <f t="array" aca="1" ref="PO1537" ca="1">IFERROR(INDEX(nombres[],SMALL(IF(OFFSET(nombres[],0,0,ROWS(nombres[]),1)=PO$1490,ROW(OFFSET(nombres[],0,0,ROWS(nombres[]),1))-ROW(OFFSET(nombres[],0,0,1,1))+1,ROW(OFFSET(nombres[],ROWS(nombres[])-1,0,1,1))+1),$O1537:$O1556),3),"")</f>
        <v/>
      </c>
      <c r="PP1537" s="42" t="str">
        <f t="array" aca="1" ref="PP1537" ca="1">IFERROR(INDEX(nombres[],SMALL(IF(OFFSET(nombres[],0,0,ROWS(nombres[]),1)=PP$1490,ROW(OFFSET(nombres[],0,0,ROWS(nombres[]),1))-ROW(OFFSET(nombres[],0,0,1,1))+1,ROW(OFFSET(nombres[],ROWS(nombres[])-1,0,1,1))+1),$O1537:$O1556),3),"")</f>
        <v/>
      </c>
      <c r="PQ1537" s="42" t="str">
        <f t="array" aca="1" ref="PQ1537" ca="1">IFERROR(INDEX(nombres[],SMALL(IF(OFFSET(nombres[],0,0,ROWS(nombres[]),1)=PQ$1490,ROW(OFFSET(nombres[],0,0,ROWS(nombres[]),1))-ROW(OFFSET(nombres[],0,0,1,1))+1,ROW(OFFSET(nombres[],ROWS(nombres[])-1,0,1,1))+1),$O1537:$O1556),3),"")</f>
        <v/>
      </c>
      <c r="PR1537" s="42" t="str">
        <f t="array" aca="1" ref="PR1537" ca="1">IFERROR(INDEX(nombres[],SMALL(IF(OFFSET(nombres[],0,0,ROWS(nombres[]),1)=PR$1490,ROW(OFFSET(nombres[],0,0,ROWS(nombres[]),1))-ROW(OFFSET(nombres[],0,0,1,1))+1,ROW(OFFSET(nombres[],ROWS(nombres[])-1,0,1,1))+1),$O1537:$O1556),3),"")</f>
        <v/>
      </c>
      <c r="PS1537" s="42" t="str">
        <f t="array" aca="1" ref="PS1537" ca="1">IFERROR(INDEX(nombres[],SMALL(IF(OFFSET(nombres[],0,0,ROWS(nombres[]),1)=PS$1490,ROW(OFFSET(nombres[],0,0,ROWS(nombres[]),1))-ROW(OFFSET(nombres[],0,0,1,1))+1,ROW(OFFSET(nombres[],ROWS(nombres[])-1,0,1,1))+1),$O1537:$O1556),3),"")</f>
        <v/>
      </c>
      <c r="PT1537" s="42" t="str">
        <f t="array" aca="1" ref="PT1537" ca="1">IFERROR(INDEX(nombres[],SMALL(IF(OFFSET(nombres[],0,0,ROWS(nombres[]),1)=PT$1490,ROW(OFFSET(nombres[],0,0,ROWS(nombres[]),1))-ROW(OFFSET(nombres[],0,0,1,1))+1,ROW(OFFSET(nombres[],ROWS(nombres[])-1,0,1,1))+1),$O1537:$O1556),3),"")</f>
        <v/>
      </c>
      <c r="PU1537" s="42" t="str">
        <f t="array" aca="1" ref="PU1537" ca="1">IFERROR(INDEX(nombres[],SMALL(IF(OFFSET(nombres[],0,0,ROWS(nombres[]),1)=PU$1490,ROW(OFFSET(nombres[],0,0,ROWS(nombres[]),1))-ROW(OFFSET(nombres[],0,0,1,1))+1,ROW(OFFSET(nombres[],ROWS(nombres[])-1,0,1,1))+1),$O1537:$O1556),3),"")</f>
        <v/>
      </c>
      <c r="PV1537" s="42" t="str">
        <f t="array" aca="1" ref="PV1537" ca="1">IFERROR(INDEX(nombres[],SMALL(IF(OFFSET(nombres[],0,0,ROWS(nombres[]),1)=PV$1490,ROW(OFFSET(nombres[],0,0,ROWS(nombres[]),1))-ROW(OFFSET(nombres[],0,0,1,1))+1,ROW(OFFSET(nombres[],ROWS(nombres[])-1,0,1,1))+1),$O1537:$O1556),3),"")</f>
        <v/>
      </c>
      <c r="PW1537" s="42" t="str">
        <f t="array" aca="1" ref="PW1537" ca="1">IFERROR(INDEX(nombres[],SMALL(IF(OFFSET(nombres[],0,0,ROWS(nombres[]),1)=PW$1490,ROW(OFFSET(nombres[],0,0,ROWS(nombres[]),1))-ROW(OFFSET(nombres[],0,0,1,1))+1,ROW(OFFSET(nombres[],ROWS(nombres[])-1,0,1,1))+1),$O1537:$O1556),3),"")</f>
        <v/>
      </c>
      <c r="PX1537" s="42" t="str">
        <f t="array" aca="1" ref="PX1537" ca="1">IFERROR(INDEX(nombres[],SMALL(IF(OFFSET(nombres[],0,0,ROWS(nombres[]),1)=PX$1490,ROW(OFFSET(nombres[],0,0,ROWS(nombres[]),1))-ROW(OFFSET(nombres[],0,0,1,1))+1,ROW(OFFSET(nombres[],ROWS(nombres[])-1,0,1,1))+1),$O1537:$O1556),3),"")</f>
        <v/>
      </c>
      <c r="PY1537" s="42" t="str">
        <f t="array" aca="1" ref="PY1537" ca="1">IFERROR(INDEX(nombres[],SMALL(IF(OFFSET(nombres[],0,0,ROWS(nombres[]),1)=PY$1490,ROW(OFFSET(nombres[],0,0,ROWS(nombres[]),1))-ROW(OFFSET(nombres[],0,0,1,1))+1,ROW(OFFSET(nombres[],ROWS(nombres[])-1,0,1,1))+1),$O1537:$O1556),3),"")</f>
        <v/>
      </c>
      <c r="PZ1537" s="42" t="str">
        <f t="array" aca="1" ref="PZ1537" ca="1">IFERROR(INDEX(nombres[],SMALL(IF(OFFSET(nombres[],0,0,ROWS(nombres[]),1)=PZ$1490,ROW(OFFSET(nombres[],0,0,ROWS(nombres[]),1))-ROW(OFFSET(nombres[],0,0,1,1))+1,ROW(OFFSET(nombres[],ROWS(nombres[])-1,0,1,1))+1),$O1537:$O1556),3),"")</f>
        <v/>
      </c>
      <c r="QA1537" s="42" t="str">
        <f t="array" aca="1" ref="QA1537" ca="1">IFERROR(INDEX(nombres[],SMALL(IF(OFFSET(nombres[],0,0,ROWS(nombres[]),1)=QA$1490,ROW(OFFSET(nombres[],0,0,ROWS(nombres[]),1))-ROW(OFFSET(nombres[],0,0,1,1))+1,ROW(OFFSET(nombres[],ROWS(nombres[])-1,0,1,1))+1),$O1537:$O1556),3),"")</f>
        <v/>
      </c>
      <c r="QB1537" s="42" t="str">
        <f t="array" aca="1" ref="QB1537" ca="1">IFERROR(INDEX(nombres[],SMALL(IF(OFFSET(nombres[],0,0,ROWS(nombres[]),1)=QB$1490,ROW(OFFSET(nombres[],0,0,ROWS(nombres[]),1))-ROW(OFFSET(nombres[],0,0,1,1))+1,ROW(OFFSET(nombres[],ROWS(nombres[])-1,0,1,1))+1),$O1537:$O1556),3),"")</f>
        <v/>
      </c>
      <c r="QC1537" s="42" t="str">
        <f t="array" aca="1" ref="QC1537" ca="1">IFERROR(INDEX(nombres[],SMALL(IF(OFFSET(nombres[],0,0,ROWS(nombres[]),1)=QC$1490,ROW(OFFSET(nombres[],0,0,ROWS(nombres[]),1))-ROW(OFFSET(nombres[],0,0,1,1))+1,ROW(OFFSET(nombres[],ROWS(nombres[])-1,0,1,1))+1),$O1537:$O1556),3),"")</f>
        <v/>
      </c>
      <c r="QD1537" s="42" t="str">
        <f t="array" aca="1" ref="QD1537" ca="1">IFERROR(INDEX(nombres[],SMALL(IF(OFFSET(nombres[],0,0,ROWS(nombres[]),1)=QD$1490,ROW(OFFSET(nombres[],0,0,ROWS(nombres[]),1))-ROW(OFFSET(nombres[],0,0,1,1))+1,ROW(OFFSET(nombres[],ROWS(nombres[])-1,0,1,1))+1),$O1537:$O1556),3),"")</f>
        <v/>
      </c>
      <c r="QE1537" s="42" t="str">
        <f t="array" aca="1" ref="QE1537" ca="1">IFERROR(INDEX(nombres[],SMALL(IF(OFFSET(nombres[],0,0,ROWS(nombres[]),1)=QE$1490,ROW(OFFSET(nombres[],0,0,ROWS(nombres[]),1))-ROW(OFFSET(nombres[],0,0,1,1))+1,ROW(OFFSET(nombres[],ROWS(nombres[])-1,0,1,1))+1),$O1537:$O1556),3),"")</f>
        <v/>
      </c>
      <c r="QF1537" s="42" t="str">
        <f t="array" aca="1" ref="QF1537" ca="1">IFERROR(INDEX(nombres[],SMALL(IF(OFFSET(nombres[],0,0,ROWS(nombres[]),1)=QF$1490,ROW(OFFSET(nombres[],0,0,ROWS(nombres[]),1))-ROW(OFFSET(nombres[],0,0,1,1))+1,ROW(OFFSET(nombres[],ROWS(nombres[])-1,0,1,1))+1),$O1537:$O1556),3),"")</f>
        <v/>
      </c>
      <c r="QG1537" s="42" t="str">
        <f t="array" aca="1" ref="QG1537" ca="1">IFERROR(INDEX(nombres[],SMALL(IF(OFFSET(nombres[],0,0,ROWS(nombres[]),1)=QG$1490,ROW(OFFSET(nombres[],0,0,ROWS(nombres[]),1))-ROW(OFFSET(nombres[],0,0,1,1))+1,ROW(OFFSET(nombres[],ROWS(nombres[])-1,0,1,1))+1),$O1537:$O1556),3),"")</f>
        <v/>
      </c>
      <c r="QH1537" s="42" t="str">
        <f t="array" aca="1" ref="QH1537" ca="1">IFERROR(INDEX(nombres[],SMALL(IF(OFFSET(nombres[],0,0,ROWS(nombres[]),1)=QH$1490,ROW(OFFSET(nombres[],0,0,ROWS(nombres[]),1))-ROW(OFFSET(nombres[],0,0,1,1))+1,ROW(OFFSET(nombres[],ROWS(nombres[])-1,0,1,1))+1),$O1537:$O1556),3),"")</f>
        <v/>
      </c>
      <c r="QI1537" s="42" t="str">
        <f t="array" aca="1" ref="QI1537" ca="1">IFERROR(INDEX(nombres[],SMALL(IF(OFFSET(nombres[],0,0,ROWS(nombres[]),1)=QI$1490,ROW(OFFSET(nombres[],0,0,ROWS(nombres[]),1))-ROW(OFFSET(nombres[],0,0,1,1))+1,ROW(OFFSET(nombres[],ROWS(nombres[])-1,0,1,1))+1),$O1537:$O1556),3),"")</f>
        <v/>
      </c>
      <c r="QJ1537" s="42" t="str">
        <f t="array" aca="1" ref="QJ1537" ca="1">IFERROR(INDEX(nombres[],SMALL(IF(OFFSET(nombres[],0,0,ROWS(nombres[]),1)=QJ$1490,ROW(OFFSET(nombres[],0,0,ROWS(nombres[]),1))-ROW(OFFSET(nombres[],0,0,1,1))+1,ROW(OFFSET(nombres[],ROWS(nombres[])-1,0,1,1))+1),$O1537:$O1556),3),"")</f>
        <v/>
      </c>
      <c r="QK1537" s="42" t="str">
        <f t="array" aca="1" ref="QK1537" ca="1">IFERROR(INDEX(nombres[],SMALL(IF(OFFSET(nombres[],0,0,ROWS(nombres[]),1)=QK$1490,ROW(OFFSET(nombres[],0,0,ROWS(nombres[]),1))-ROW(OFFSET(nombres[],0,0,1,1))+1,ROW(OFFSET(nombres[],ROWS(nombres[])-1,0,1,1))+1),$O1537:$O1556),3),"")</f>
        <v/>
      </c>
      <c r="QL1537" s="42" t="str">
        <f t="array" aca="1" ref="QL1537" ca="1">IFERROR(INDEX(nombres[],SMALL(IF(OFFSET(nombres[],0,0,ROWS(nombres[]),1)=QL$1490,ROW(OFFSET(nombres[],0,0,ROWS(nombres[]),1))-ROW(OFFSET(nombres[],0,0,1,1))+1,ROW(OFFSET(nombres[],ROWS(nombres[])-1,0,1,1))+1),$O1537:$O1556),3),"")</f>
        <v/>
      </c>
      <c r="QM1537" s="42" t="str">
        <f t="array" aca="1" ref="QM1537" ca="1">IFERROR(INDEX(nombres[],SMALL(IF(OFFSET(nombres[],0,0,ROWS(nombres[]),1)=QM$1490,ROW(OFFSET(nombres[],0,0,ROWS(nombres[]),1))-ROW(OFFSET(nombres[],0,0,1,1))+1,ROW(OFFSET(nombres[],ROWS(nombres[])-1,0,1,1))+1),$O1537:$O1556),3),"")</f>
        <v/>
      </c>
      <c r="QN1537" s="42" t="str">
        <f t="array" aca="1" ref="QN1537" ca="1">IFERROR(INDEX(nombres[],SMALL(IF(OFFSET(nombres[],0,0,ROWS(nombres[]),1)=QN$1490,ROW(OFFSET(nombres[],0,0,ROWS(nombres[]),1))-ROW(OFFSET(nombres[],0,0,1,1))+1,ROW(OFFSET(nombres[],ROWS(nombres[])-1,0,1,1))+1),$O1537:$O1556),3),"")</f>
        <v/>
      </c>
      <c r="QO1537" s="42" t="str">
        <f t="array" aca="1" ref="QO1537" ca="1">IFERROR(INDEX(nombres[],SMALL(IF(OFFSET(nombres[],0,0,ROWS(nombres[]),1)=QO$1490,ROW(OFFSET(nombres[],0,0,ROWS(nombres[]),1))-ROW(OFFSET(nombres[],0,0,1,1))+1,ROW(OFFSET(nombres[],ROWS(nombres[])-1,0,1,1))+1),$O1537:$O1556),3),"")</f>
        <v/>
      </c>
      <c r="QP1537" s="42" t="str">
        <f t="array" aca="1" ref="QP1537" ca="1">IFERROR(INDEX(nombres[],SMALL(IF(OFFSET(nombres[],0,0,ROWS(nombres[]),1)=QP$1490,ROW(OFFSET(nombres[],0,0,ROWS(nombres[]),1))-ROW(OFFSET(nombres[],0,0,1,1))+1,ROW(OFFSET(nombres[],ROWS(nombres[])-1,0,1,1))+1),$O1537:$O1556),3),"")</f>
        <v/>
      </c>
      <c r="QQ1537" s="42" t="str">
        <f t="array" aca="1" ref="QQ1537" ca="1">IFERROR(INDEX(nombres[],SMALL(IF(OFFSET(nombres[],0,0,ROWS(nombres[]),1)=QQ$1490,ROW(OFFSET(nombres[],0,0,ROWS(nombres[]),1))-ROW(OFFSET(nombres[],0,0,1,1))+1,ROW(OFFSET(nombres[],ROWS(nombres[])-1,0,1,1))+1),$O1537:$O1556),3),"")</f>
        <v/>
      </c>
      <c r="QR1537" s="42" t="str">
        <f t="array" aca="1" ref="QR1537" ca="1">IFERROR(INDEX(nombres[],SMALL(IF(OFFSET(nombres[],0,0,ROWS(nombres[]),1)=QR$1490,ROW(OFFSET(nombres[],0,0,ROWS(nombres[]),1))-ROW(OFFSET(nombres[],0,0,1,1))+1,ROW(OFFSET(nombres[],ROWS(nombres[])-1,0,1,1))+1),$O1537:$O1556),3),"")</f>
        <v/>
      </c>
      <c r="QS1537" s="42" t="str">
        <f t="array" aca="1" ref="QS1537" ca="1">IFERROR(INDEX(nombres[],SMALL(IF(OFFSET(nombres[],0,0,ROWS(nombres[]),1)=QS$1490,ROW(OFFSET(nombres[],0,0,ROWS(nombres[]),1))-ROW(OFFSET(nombres[],0,0,1,1))+1,ROW(OFFSET(nombres[],ROWS(nombres[])-1,0,1,1))+1),$O1537:$O1556),3),"")</f>
        <v/>
      </c>
      <c r="QT1537" s="42" t="str">
        <f t="array" aca="1" ref="QT1537" ca="1">IFERROR(INDEX(nombres[],SMALL(IF(OFFSET(nombres[],0,0,ROWS(nombres[]),1)=QT$1490,ROW(OFFSET(nombres[],0,0,ROWS(nombres[]),1))-ROW(OFFSET(nombres[],0,0,1,1))+1,ROW(OFFSET(nombres[],ROWS(nombres[])-1,0,1,1))+1),$O1537:$O1556),3),"")</f>
        <v/>
      </c>
      <c r="QU1537" s="42" t="str">
        <f t="array" aca="1" ref="QU1537" ca="1">IFERROR(INDEX(nombres[],SMALL(IF(OFFSET(nombres[],0,0,ROWS(nombres[]),1)=QU$1490,ROW(OFFSET(nombres[],0,0,ROWS(nombres[]),1))-ROW(OFFSET(nombres[],0,0,1,1))+1,ROW(OFFSET(nombres[],ROWS(nombres[])-1,0,1,1))+1),$O1537:$O1556),3),"")</f>
        <v/>
      </c>
      <c r="QV1537" s="42" t="str">
        <f t="array" aca="1" ref="QV1537" ca="1">IFERROR(INDEX(nombres[],SMALL(IF(OFFSET(nombres[],0,0,ROWS(nombres[]),1)=QV$1490,ROW(OFFSET(nombres[],0,0,ROWS(nombres[]),1))-ROW(OFFSET(nombres[],0,0,1,1))+1,ROW(OFFSET(nombres[],ROWS(nombres[])-1,0,1,1))+1),$O1537:$O1556),3),"")</f>
        <v/>
      </c>
      <c r="QW1537" s="42" t="str">
        <f t="array" aca="1" ref="QW1537" ca="1">IFERROR(INDEX(nombres[],SMALL(IF(OFFSET(nombres[],0,0,ROWS(nombres[]),1)=QW$1490,ROW(OFFSET(nombres[],0,0,ROWS(nombres[]),1))-ROW(OFFSET(nombres[],0,0,1,1))+1,ROW(OFFSET(nombres[],ROWS(nombres[])-1,0,1,1))+1),$O1537:$O1556),3),"")</f>
        <v/>
      </c>
      <c r="QX1537" s="42" t="str">
        <f t="array" aca="1" ref="QX1537" ca="1">IFERROR(INDEX(nombres[],SMALL(IF(OFFSET(nombres[],0,0,ROWS(nombres[]),1)=QX$1490,ROW(OFFSET(nombres[],0,0,ROWS(nombres[]),1))-ROW(OFFSET(nombres[],0,0,1,1))+1,ROW(OFFSET(nombres[],ROWS(nombres[])-1,0,1,1))+1),$O1537:$O1556),3),"")</f>
        <v/>
      </c>
      <c r="QY1537" s="42" t="str">
        <f t="array" aca="1" ref="QY1537" ca="1">IFERROR(INDEX(nombres[],SMALL(IF(OFFSET(nombres[],0,0,ROWS(nombres[]),1)=QY$1490,ROW(OFFSET(nombres[],0,0,ROWS(nombres[]),1))-ROW(OFFSET(nombres[],0,0,1,1))+1,ROW(OFFSET(nombres[],ROWS(nombres[])-1,0,1,1))+1),$O1537:$O1556),3),"")</f>
        <v/>
      </c>
      <c r="QZ1537" s="42" t="str">
        <f t="array" aca="1" ref="QZ1537" ca="1">IFERROR(INDEX(nombres[],SMALL(IF(OFFSET(nombres[],0,0,ROWS(nombres[]),1)=QZ$1490,ROW(OFFSET(nombres[],0,0,ROWS(nombres[]),1))-ROW(OFFSET(nombres[],0,0,1,1))+1,ROW(OFFSET(nombres[],ROWS(nombres[])-1,0,1,1))+1),$O1537:$O1556),3),"")</f>
        <v/>
      </c>
      <c r="RA1537" s="42" t="str">
        <f t="array" aca="1" ref="RA1537" ca="1">IFERROR(INDEX(nombres[],SMALL(IF(OFFSET(nombres[],0,0,ROWS(nombres[]),1)=RA$1490,ROW(OFFSET(nombres[],0,0,ROWS(nombres[]),1))-ROW(OFFSET(nombres[],0,0,1,1))+1,ROW(OFFSET(nombres[],ROWS(nombres[])-1,0,1,1))+1),$O1537:$O1556),3),"")</f>
        <v/>
      </c>
      <c r="RB1537" s="42" t="str">
        <f t="array" aca="1" ref="RB1537" ca="1">IFERROR(INDEX(nombres[],SMALL(IF(OFFSET(nombres[],0,0,ROWS(nombres[]),1)=RB$1490,ROW(OFFSET(nombres[],0,0,ROWS(nombres[]),1))-ROW(OFFSET(nombres[],0,0,1,1))+1,ROW(OFFSET(nombres[],ROWS(nombres[])-1,0,1,1))+1),$O1537:$O1556),3),"")</f>
        <v/>
      </c>
      <c r="RC1537" s="42" t="str">
        <f t="array" aca="1" ref="RC1537" ca="1">IFERROR(INDEX(nombres[],SMALL(IF(OFFSET(nombres[],0,0,ROWS(nombres[]),1)=RC$1490,ROW(OFFSET(nombres[],0,0,ROWS(nombres[]),1))-ROW(OFFSET(nombres[],0,0,1,1))+1,ROW(OFFSET(nombres[],ROWS(nombres[])-1,0,1,1))+1),$O1537:$O1556),3),"")</f>
        <v/>
      </c>
      <c r="RD1537" s="42" t="str">
        <f t="array" aca="1" ref="RD1537" ca="1">IFERROR(INDEX(nombres[],SMALL(IF(OFFSET(nombres[],0,0,ROWS(nombres[]),1)=RD$1490,ROW(OFFSET(nombres[],0,0,ROWS(nombres[]),1))-ROW(OFFSET(nombres[],0,0,1,1))+1,ROW(OFFSET(nombres[],ROWS(nombres[])-1,0,1,1))+1),$O1537:$O1556),3),"")</f>
        <v/>
      </c>
      <c r="RE1537" s="42" t="str">
        <f t="array" aca="1" ref="RE1537" ca="1">IFERROR(INDEX(nombres[],SMALL(IF(OFFSET(nombres[],0,0,ROWS(nombres[]),1)=RE$1490,ROW(OFFSET(nombres[],0,0,ROWS(nombres[]),1))-ROW(OFFSET(nombres[],0,0,1,1))+1,ROW(OFFSET(nombres[],ROWS(nombres[])-1,0,1,1))+1),$O1537:$O1556),3),"")</f>
        <v/>
      </c>
      <c r="RF1537" s="42" t="str">
        <f t="array" aca="1" ref="RF1537" ca="1">IFERROR(INDEX(nombres[],SMALL(IF(OFFSET(nombres[],0,0,ROWS(nombres[]),1)=RF$1490,ROW(OFFSET(nombres[],0,0,ROWS(nombres[]),1))-ROW(OFFSET(nombres[],0,0,1,1))+1,ROW(OFFSET(nombres[],ROWS(nombres[])-1,0,1,1))+1),$O1537:$O1556),3),"")</f>
        <v/>
      </c>
      <c r="RG1537" s="42" t="str">
        <f t="array" aca="1" ref="RG1537" ca="1">IFERROR(INDEX(nombres[],SMALL(IF(OFFSET(nombres[],0,0,ROWS(nombres[]),1)=RG$1490,ROW(OFFSET(nombres[],0,0,ROWS(nombres[]),1))-ROW(OFFSET(nombres[],0,0,1,1))+1,ROW(OFFSET(nombres[],ROWS(nombres[])-1,0,1,1))+1),$O1537:$O1556),3),"")</f>
        <v/>
      </c>
      <c r="RH1537" s="42" t="str">
        <f t="array" aca="1" ref="RH1537" ca="1">IFERROR(INDEX(nombres[],SMALL(IF(OFFSET(nombres[],0,0,ROWS(nombres[]),1)=RH$1490,ROW(OFFSET(nombres[],0,0,ROWS(nombres[]),1))-ROW(OFFSET(nombres[],0,0,1,1))+1,ROW(OFFSET(nombres[],ROWS(nombres[])-1,0,1,1))+1),$O1537:$O1556),3),"")</f>
        <v/>
      </c>
      <c r="RI1537" s="42" t="str">
        <f t="array" aca="1" ref="RI1537" ca="1">IFERROR(INDEX(nombres[],SMALL(IF(OFFSET(nombres[],0,0,ROWS(nombres[]),1)=RI$1490,ROW(OFFSET(nombres[],0,0,ROWS(nombres[]),1))-ROW(OFFSET(nombres[],0,0,1,1))+1,ROW(OFFSET(nombres[],ROWS(nombres[])-1,0,1,1))+1),$O1537:$O1556),3),"")</f>
        <v/>
      </c>
      <c r="RJ1537" s="42" t="str">
        <f t="array" aca="1" ref="RJ1537" ca="1">IFERROR(INDEX(nombres[],SMALL(IF(OFFSET(nombres[],0,0,ROWS(nombres[]),1)=RJ$1490,ROW(OFFSET(nombres[],0,0,ROWS(nombres[]),1))-ROW(OFFSET(nombres[],0,0,1,1))+1,ROW(OFFSET(nombres[],ROWS(nombres[])-1,0,1,1))+1),$O1537:$O1556),3),"")</f>
        <v/>
      </c>
      <c r="RK1537" s="42" t="str">
        <f t="array" aca="1" ref="RK1537" ca="1">IFERROR(INDEX(nombres[],SMALL(IF(OFFSET(nombres[],0,0,ROWS(nombres[]),1)=RK$1490,ROW(OFFSET(nombres[],0,0,ROWS(nombres[]),1))-ROW(OFFSET(nombres[],0,0,1,1))+1,ROW(OFFSET(nombres[],ROWS(nombres[])-1,0,1,1))+1),$O1537:$O1556),3),"")</f>
        <v/>
      </c>
      <c r="RL1537" s="42" t="str">
        <f t="array" aca="1" ref="RL1537" ca="1">IFERROR(INDEX(nombres[],SMALL(IF(OFFSET(nombres[],0,0,ROWS(nombres[]),1)=RL$1490,ROW(OFFSET(nombres[],0,0,ROWS(nombres[]),1))-ROW(OFFSET(nombres[],0,0,1,1))+1,ROW(OFFSET(nombres[],ROWS(nombres[])-1,0,1,1))+1),$O1537:$O1556),3),"")</f>
        <v/>
      </c>
      <c r="RM1537" s="42" t="str">
        <f t="array" aca="1" ref="RM1537" ca="1">IFERROR(INDEX(nombres[],SMALL(IF(OFFSET(nombres[],0,0,ROWS(nombres[]),1)=RM$1490,ROW(OFFSET(nombres[],0,0,ROWS(nombres[]),1))-ROW(OFFSET(nombres[],0,0,1,1))+1,ROW(OFFSET(nombres[],ROWS(nombres[])-1,0,1,1))+1),$O1537:$O1556),3),"")</f>
        <v/>
      </c>
      <c r="RN1537" s="42" t="str">
        <f t="array" aca="1" ref="RN1537" ca="1">IFERROR(INDEX(nombres[],SMALL(IF(OFFSET(nombres[],0,0,ROWS(nombres[]),1)=RN$1490,ROW(OFFSET(nombres[],0,0,ROWS(nombres[]),1))-ROW(OFFSET(nombres[],0,0,1,1))+1,ROW(OFFSET(nombres[],ROWS(nombres[])-1,0,1,1))+1),$O1537:$O1556),3),"")</f>
        <v/>
      </c>
      <c r="RO1537" s="42" t="str">
        <f t="array" aca="1" ref="RO1537" ca="1">IFERROR(INDEX(nombres[],SMALL(IF(OFFSET(nombres[],0,0,ROWS(nombres[]),1)=RO$1490,ROW(OFFSET(nombres[],0,0,ROWS(nombres[]),1))-ROW(OFFSET(nombres[],0,0,1,1))+1,ROW(OFFSET(nombres[],ROWS(nombres[])-1,0,1,1))+1),$O1537:$O1556),3),"")</f>
        <v/>
      </c>
      <c r="RP1537" s="42" t="str">
        <f t="array" aca="1" ref="RP1537" ca="1">IFERROR(INDEX(nombres[],SMALL(IF(OFFSET(nombres[],0,0,ROWS(nombres[]),1)=RP$1490,ROW(OFFSET(nombres[],0,0,ROWS(nombres[]),1))-ROW(OFFSET(nombres[],0,0,1,1))+1,ROW(OFFSET(nombres[],ROWS(nombres[])-1,0,1,1))+1),$O1537:$O1556),3),"")</f>
        <v/>
      </c>
      <c r="RQ1537" s="42" t="str">
        <f t="array" aca="1" ref="RQ1537" ca="1">IFERROR(INDEX(nombres[],SMALL(IF(OFFSET(nombres[],0,0,ROWS(nombres[]),1)=RQ$1490,ROW(OFFSET(nombres[],0,0,ROWS(nombres[]),1))-ROW(OFFSET(nombres[],0,0,1,1))+1,ROW(OFFSET(nombres[],ROWS(nombres[])-1,0,1,1))+1),$O1537:$O1556),3),"")</f>
        <v/>
      </c>
      <c r="RR1537" s="42" t="str">
        <f t="array" aca="1" ref="RR1537" ca="1">IFERROR(INDEX(nombres[],SMALL(IF(OFFSET(nombres[],0,0,ROWS(nombres[]),1)=RR$1490,ROW(OFFSET(nombres[],0,0,ROWS(nombres[]),1))-ROW(OFFSET(nombres[],0,0,1,1))+1,ROW(OFFSET(nombres[],ROWS(nombres[])-1,0,1,1))+1),$O1537:$O1556),3),"")</f>
        <v/>
      </c>
      <c r="RS1537" s="42" t="str">
        <f t="array" aca="1" ref="RS1537" ca="1">IFERROR(INDEX(nombres[],SMALL(IF(OFFSET(nombres[],0,0,ROWS(nombres[]),1)=RS$1490,ROW(OFFSET(nombres[],0,0,ROWS(nombres[]),1))-ROW(OFFSET(nombres[],0,0,1,1))+1,ROW(OFFSET(nombres[],ROWS(nombres[])-1,0,1,1))+1),$O1537:$O1556),3),"")</f>
        <v/>
      </c>
      <c r="RT1537" s="42" t="str">
        <f t="array" aca="1" ref="RT1537" ca="1">IFERROR(INDEX(nombres[],SMALL(IF(OFFSET(nombres[],0,0,ROWS(nombres[]),1)=RT$1490,ROW(OFFSET(nombres[],0,0,ROWS(nombres[]),1))-ROW(OFFSET(nombres[],0,0,1,1))+1,ROW(OFFSET(nombres[],ROWS(nombres[])-1,0,1,1))+1),$O1537:$O1556),3),"")</f>
        <v/>
      </c>
      <c r="RU1537" s="42" t="str">
        <f t="array" aca="1" ref="RU1537" ca="1">IFERROR(INDEX(nombres[],SMALL(IF(OFFSET(nombres[],0,0,ROWS(nombres[]),1)=RU$1490,ROW(OFFSET(nombres[],0,0,ROWS(nombres[]),1))-ROW(OFFSET(nombres[],0,0,1,1))+1,ROW(OFFSET(nombres[],ROWS(nombres[])-1,0,1,1))+1),$O1537:$O1556),3),"")</f>
        <v/>
      </c>
      <c r="RV1537" s="42" t="str">
        <f t="array" aca="1" ref="RV1537" ca="1">IFERROR(INDEX(nombres[],SMALL(IF(OFFSET(nombres[],0,0,ROWS(nombres[]),1)=RV$1490,ROW(OFFSET(nombres[],0,0,ROWS(nombres[]),1))-ROW(OFFSET(nombres[],0,0,1,1))+1,ROW(OFFSET(nombres[],ROWS(nombres[])-1,0,1,1))+1),$O1537:$O1556),3),"")</f>
        <v/>
      </c>
      <c r="RW1537" s="42" t="str">
        <f t="array" aca="1" ref="RW1537" ca="1">IFERROR(INDEX(nombres[],SMALL(IF(OFFSET(nombres[],0,0,ROWS(nombres[]),1)=RW$1490,ROW(OFFSET(nombres[],0,0,ROWS(nombres[]),1))-ROW(OFFSET(nombres[],0,0,1,1))+1,ROW(OFFSET(nombres[],ROWS(nombres[])-1,0,1,1))+1),$O1537:$O1556),3),"")</f>
        <v/>
      </c>
      <c r="RX1537" s="42" t="str">
        <f t="array" aca="1" ref="RX1537" ca="1">IFERROR(INDEX(nombres[],SMALL(IF(OFFSET(nombres[],0,0,ROWS(nombres[]),1)=RX$1490,ROW(OFFSET(nombres[],0,0,ROWS(nombres[]),1))-ROW(OFFSET(nombres[],0,0,1,1))+1,ROW(OFFSET(nombres[],ROWS(nombres[])-1,0,1,1))+1),$O1537:$O1556),3),"")</f>
        <v/>
      </c>
      <c r="RY1537" s="42" t="str">
        <f t="array" aca="1" ref="RY1537" ca="1">IFERROR(INDEX(nombres[],SMALL(IF(OFFSET(nombres[],0,0,ROWS(nombres[]),1)=RY$1490,ROW(OFFSET(nombres[],0,0,ROWS(nombres[]),1))-ROW(OFFSET(nombres[],0,0,1,1))+1,ROW(OFFSET(nombres[],ROWS(nombres[])-1,0,1,1))+1),$O1537:$O1556),3),"")</f>
        <v/>
      </c>
      <c r="RZ1537" s="42" t="str">
        <f t="array" aca="1" ref="RZ1537" ca="1">IFERROR(INDEX(nombres[],SMALL(IF(OFFSET(nombres[],0,0,ROWS(nombres[]),1)=RZ$1490,ROW(OFFSET(nombres[],0,0,ROWS(nombres[]),1))-ROW(OFFSET(nombres[],0,0,1,1))+1,ROW(OFFSET(nombres[],ROWS(nombres[])-1,0,1,1))+1),$O1537:$O1556),3),"")</f>
        <v/>
      </c>
      <c r="SA1537" s="42" t="str">
        <f t="array" aca="1" ref="SA1537" ca="1">IFERROR(INDEX(nombres[],SMALL(IF(OFFSET(nombres[],0,0,ROWS(nombres[]),1)=SA$1490,ROW(OFFSET(nombres[],0,0,ROWS(nombres[]),1))-ROW(OFFSET(nombres[],0,0,1,1))+1,ROW(OFFSET(nombres[],ROWS(nombres[])-1,0,1,1))+1),$O1537:$O1556),3),"")</f>
        <v/>
      </c>
      <c r="SB1537" s="42" t="str">
        <f t="array" aca="1" ref="SB1537" ca="1">IFERROR(INDEX(nombres[],SMALL(IF(OFFSET(nombres[],0,0,ROWS(nombres[]),1)=SB$1490,ROW(OFFSET(nombres[],0,0,ROWS(nombres[]),1))-ROW(OFFSET(nombres[],0,0,1,1))+1,ROW(OFFSET(nombres[],ROWS(nombres[])-1,0,1,1))+1),$O1537:$O1556),3),"")</f>
        <v/>
      </c>
      <c r="SC1537" s="42" t="str">
        <f t="array" aca="1" ref="SC1537" ca="1">IFERROR(INDEX(nombres[],SMALL(IF(OFFSET(nombres[],0,0,ROWS(nombres[]),1)=SC$1490,ROW(OFFSET(nombres[],0,0,ROWS(nombres[]),1))-ROW(OFFSET(nombres[],0,0,1,1))+1,ROW(OFFSET(nombres[],ROWS(nombres[])-1,0,1,1))+1),$O1537:$O1556),3),"")</f>
        <v/>
      </c>
      <c r="SD1537" s="42" t="str">
        <f t="array" aca="1" ref="SD1537" ca="1">IFERROR(INDEX(nombres[],SMALL(IF(OFFSET(nombres[],0,0,ROWS(nombres[]),1)=SD$1490,ROW(OFFSET(nombres[],0,0,ROWS(nombres[]),1))-ROW(OFFSET(nombres[],0,0,1,1))+1,ROW(OFFSET(nombres[],ROWS(nombres[])-1,0,1,1))+1),$O1537:$O1556),3),"")</f>
        <v/>
      </c>
      <c r="SE1537" s="42" t="str">
        <f t="array" aca="1" ref="SE1537" ca="1">IFERROR(INDEX(nombres[],SMALL(IF(OFFSET(nombres[],0,0,ROWS(nombres[]),1)=SE$1490,ROW(OFFSET(nombres[],0,0,ROWS(nombres[]),1))-ROW(OFFSET(nombres[],0,0,1,1))+1,ROW(OFFSET(nombres[],ROWS(nombres[])-1,0,1,1))+1),$O1537:$O1556),3),"")</f>
        <v/>
      </c>
      <c r="SF1537" s="42" t="str">
        <f t="array" aca="1" ref="SF1537" ca="1">IFERROR(INDEX(nombres[],SMALL(IF(OFFSET(nombres[],0,0,ROWS(nombres[]),1)=SF$1490,ROW(OFFSET(nombres[],0,0,ROWS(nombres[]),1))-ROW(OFFSET(nombres[],0,0,1,1))+1,ROW(OFFSET(nombres[],ROWS(nombres[])-1,0,1,1))+1),$O1537:$O1556),3),"")</f>
        <v/>
      </c>
      <c r="SG1537" s="42" t="str">
        <f t="array" aca="1" ref="SG1537" ca="1">IFERROR(INDEX(nombres[],SMALL(IF(OFFSET(nombres[],0,0,ROWS(nombres[]),1)=SG$1490,ROW(OFFSET(nombres[],0,0,ROWS(nombres[]),1))-ROW(OFFSET(nombres[],0,0,1,1))+1,ROW(OFFSET(nombres[],ROWS(nombres[])-1,0,1,1))+1),$O1537:$O1556),3),"")</f>
        <v/>
      </c>
      <c r="SH1537" s="42" t="str">
        <f t="array" aca="1" ref="SH1537" ca="1">IFERROR(INDEX(nombres[],SMALL(IF(OFFSET(nombres[],0,0,ROWS(nombres[]),1)=SH$1490,ROW(OFFSET(nombres[],0,0,ROWS(nombres[]),1))-ROW(OFFSET(nombres[],0,0,1,1))+1,ROW(OFFSET(nombres[],ROWS(nombres[])-1,0,1,1))+1),$O1537:$O1556),3),"")</f>
        <v/>
      </c>
      <c r="SI1537" s="42" t="str">
        <f t="array" aca="1" ref="SI1537" ca="1">IFERROR(INDEX(nombres[],SMALL(IF(OFFSET(nombres[],0,0,ROWS(nombres[]),1)=SI$1490,ROW(OFFSET(nombres[],0,0,ROWS(nombres[]),1))-ROW(OFFSET(nombres[],0,0,1,1))+1,ROW(OFFSET(nombres[],ROWS(nombres[])-1,0,1,1))+1),$O1537:$O1556),3),"")</f>
        <v/>
      </c>
      <c r="SJ1537" s="42" t="str">
        <f t="array" aca="1" ref="SJ1537" ca="1">IFERROR(INDEX(nombres[],SMALL(IF(OFFSET(nombres[],0,0,ROWS(nombres[]),1)=SJ$1490,ROW(OFFSET(nombres[],0,0,ROWS(nombres[]),1))-ROW(OFFSET(nombres[],0,0,1,1))+1,ROW(OFFSET(nombres[],ROWS(nombres[])-1,0,1,1))+1),$O1537:$O1556),3),"")</f>
        <v/>
      </c>
      <c r="SK1537" s="42" t="str">
        <f t="array" aca="1" ref="SK1537" ca="1">IFERROR(INDEX(nombres[],SMALL(IF(OFFSET(nombres[],0,0,ROWS(nombres[]),1)=SK$1490,ROW(OFFSET(nombres[],0,0,ROWS(nombres[]),1))-ROW(OFFSET(nombres[],0,0,1,1))+1,ROW(OFFSET(nombres[],ROWS(nombres[])-1,0,1,1))+1),$O1537:$O1556),3),"")</f>
        <v/>
      </c>
      <c r="SL1537" s="42" t="str">
        <f t="array" aca="1" ref="SL1537" ca="1">IFERROR(INDEX(nombres[],SMALL(IF(OFFSET(nombres[],0,0,ROWS(nombres[]),1)=SL$1490,ROW(OFFSET(nombres[],0,0,ROWS(nombres[]),1))-ROW(OFFSET(nombres[],0,0,1,1))+1,ROW(OFFSET(nombres[],ROWS(nombres[])-1,0,1,1))+1),$O1537:$O1556),3),"")</f>
        <v/>
      </c>
      <c r="SM1537" s="42" t="str">
        <f t="array" aca="1" ref="SM1537" ca="1">IFERROR(INDEX(nombres[],SMALL(IF(OFFSET(nombres[],0,0,ROWS(nombres[]),1)=SM$1490,ROW(OFFSET(nombres[],0,0,ROWS(nombres[]),1))-ROW(OFFSET(nombres[],0,0,1,1))+1,ROW(OFFSET(nombres[],ROWS(nombres[])-1,0,1,1))+1),$O1537:$O1556),3),"")</f>
        <v/>
      </c>
      <c r="SN1537" s="42" t="str">
        <f t="array" aca="1" ref="SN1537" ca="1">IFERROR(INDEX(nombres[],SMALL(IF(OFFSET(nombres[],0,0,ROWS(nombres[]),1)=SN$1490,ROW(OFFSET(nombres[],0,0,ROWS(nombres[]),1))-ROW(OFFSET(nombres[],0,0,1,1))+1,ROW(OFFSET(nombres[],ROWS(nombres[])-1,0,1,1))+1),$O1537:$O1556),3),"")</f>
        <v/>
      </c>
      <c r="SO1537" s="42" t="str">
        <f t="array" aca="1" ref="SO1537" ca="1">IFERROR(INDEX(nombres[],SMALL(IF(OFFSET(nombres[],0,0,ROWS(nombres[]),1)=SO$1490,ROW(OFFSET(nombres[],0,0,ROWS(nombres[]),1))-ROW(OFFSET(nombres[],0,0,1,1))+1,ROW(OFFSET(nombres[],ROWS(nombres[])-1,0,1,1))+1),$O1537:$O1556),3),"")</f>
        <v/>
      </c>
      <c r="SP1537" s="42" t="str">
        <f t="array" aca="1" ref="SP1537" ca="1">IFERROR(INDEX(nombres[],SMALL(IF(OFFSET(nombres[],0,0,ROWS(nombres[]),1)=SP$1490,ROW(OFFSET(nombres[],0,0,ROWS(nombres[]),1))-ROW(OFFSET(nombres[],0,0,1,1))+1,ROW(OFFSET(nombres[],ROWS(nombres[])-1,0,1,1))+1),$O1537:$O1556),3),"")</f>
        <v/>
      </c>
      <c r="SQ1537" s="42" t="str">
        <f t="array" aca="1" ref="SQ1537" ca="1">IFERROR(INDEX(nombres[],SMALL(IF(OFFSET(nombres[],0,0,ROWS(nombres[]),1)=SQ$1490,ROW(OFFSET(nombres[],0,0,ROWS(nombres[]),1))-ROW(OFFSET(nombres[],0,0,1,1))+1,ROW(OFFSET(nombres[],ROWS(nombres[])-1,0,1,1))+1),$O1537:$O1556),3),"")</f>
        <v/>
      </c>
      <c r="SR1537" s="42" t="str">
        <f t="array" aca="1" ref="SR1537" ca="1">IFERROR(INDEX(nombres[],SMALL(IF(OFFSET(nombres[],0,0,ROWS(nombres[]),1)=SR$1490,ROW(OFFSET(nombres[],0,0,ROWS(nombres[]),1))-ROW(OFFSET(nombres[],0,0,1,1))+1,ROW(OFFSET(nombres[],ROWS(nombres[])-1,0,1,1))+1),$O1537:$O1556),3),"")</f>
        <v/>
      </c>
      <c r="SS1537" s="42" t="str">
        <f t="array" aca="1" ref="SS1537" ca="1">IFERROR(INDEX(nombres[],SMALL(IF(OFFSET(nombres[],0,0,ROWS(nombres[]),1)=SS$1490,ROW(OFFSET(nombres[],0,0,ROWS(nombres[]),1))-ROW(OFFSET(nombres[],0,0,1,1))+1,ROW(OFFSET(nombres[],ROWS(nombres[])-1,0,1,1))+1),$O1537:$O1556),3),"")</f>
        <v/>
      </c>
      <c r="ST1537" s="42" t="str">
        <f t="array" aca="1" ref="ST1537" ca="1">IFERROR(INDEX(nombres[],SMALL(IF(OFFSET(nombres[],0,0,ROWS(nombres[]),1)=ST$1490,ROW(OFFSET(nombres[],0,0,ROWS(nombres[]),1))-ROW(OFFSET(nombres[],0,0,1,1))+1,ROW(OFFSET(nombres[],ROWS(nombres[])-1,0,1,1))+1),$O1537:$O1556),3),"")</f>
        <v/>
      </c>
      <c r="SU1537" s="42" t="str">
        <f t="array" aca="1" ref="SU1537" ca="1">IFERROR(INDEX(nombres[],SMALL(IF(OFFSET(nombres[],0,0,ROWS(nombres[]),1)=SU$1490,ROW(OFFSET(nombres[],0,0,ROWS(nombres[]),1))-ROW(OFFSET(nombres[],0,0,1,1))+1,ROW(OFFSET(nombres[],ROWS(nombres[])-1,0,1,1))+1),$O1537:$O1556),3),"")</f>
        <v/>
      </c>
      <c r="SV1537" s="42" t="str">
        <f t="array" aca="1" ref="SV1537" ca="1">IFERROR(INDEX(nombres[],SMALL(IF(OFFSET(nombres[],0,0,ROWS(nombres[]),1)=SV$1490,ROW(OFFSET(nombres[],0,0,ROWS(nombres[]),1))-ROW(OFFSET(nombres[],0,0,1,1))+1,ROW(OFFSET(nombres[],ROWS(nombres[])-1,0,1,1))+1),$O1537:$O1556),3),"")</f>
        <v/>
      </c>
      <c r="SW1537" s="42" t="str">
        <f t="array" aca="1" ref="SW1537" ca="1">IFERROR(INDEX(nombres[],SMALL(IF(OFFSET(nombres[],0,0,ROWS(nombres[]),1)=SW$1490,ROW(OFFSET(nombres[],0,0,ROWS(nombres[]),1))-ROW(OFFSET(nombres[],0,0,1,1))+1,ROW(OFFSET(nombres[],ROWS(nombres[])-1,0,1,1))+1),$O1537:$O1556),3),"")</f>
        <v/>
      </c>
      <c r="SX1537" s="42" t="str">
        <f t="array" aca="1" ref="SX1537" ca="1">IFERROR(INDEX(nombres[],SMALL(IF(OFFSET(nombres[],0,0,ROWS(nombres[]),1)=SX$1490,ROW(OFFSET(nombres[],0,0,ROWS(nombres[]),1))-ROW(OFFSET(nombres[],0,0,1,1))+1,ROW(OFFSET(nombres[],ROWS(nombres[])-1,0,1,1))+1),$O1537:$O1556),3),"")</f>
        <v/>
      </c>
      <c r="SY1537" s="42" t="str">
        <f t="array" aca="1" ref="SY1537" ca="1">IFERROR(INDEX(nombres[],SMALL(IF(OFFSET(nombres[],0,0,ROWS(nombres[]),1)=SY$1490,ROW(OFFSET(nombres[],0,0,ROWS(nombres[]),1))-ROW(OFFSET(nombres[],0,0,1,1))+1,ROW(OFFSET(nombres[],ROWS(nombres[])-1,0,1,1))+1),$O1537:$O1556),3),"")</f>
        <v/>
      </c>
      <c r="SZ1537" s="42" t="str">
        <f t="array" aca="1" ref="SZ1537" ca="1">IFERROR(INDEX(nombres[],SMALL(IF(OFFSET(nombres[],0,0,ROWS(nombres[]),1)=SZ$1490,ROW(OFFSET(nombres[],0,0,ROWS(nombres[]),1))-ROW(OFFSET(nombres[],0,0,1,1))+1,ROW(OFFSET(nombres[],ROWS(nombres[])-1,0,1,1))+1),$O1537:$O1556),3),"")</f>
        <v/>
      </c>
      <c r="TA1537" s="42" t="str">
        <f t="array" aca="1" ref="TA1537" ca="1">IFERROR(INDEX(nombres[],SMALL(IF(OFFSET(nombres[],0,0,ROWS(nombres[]),1)=TA$1490,ROW(OFFSET(nombres[],0,0,ROWS(nombres[]),1))-ROW(OFFSET(nombres[],0,0,1,1))+1,ROW(OFFSET(nombres[],ROWS(nombres[])-1,0,1,1))+1),$O1537:$O1556),3),"")</f>
        <v/>
      </c>
      <c r="TB1537" s="42" t="str">
        <f t="array" aca="1" ref="TB1537" ca="1">IFERROR(INDEX(nombres[],SMALL(IF(OFFSET(nombres[],0,0,ROWS(nombres[]),1)=TB$1490,ROW(OFFSET(nombres[],0,0,ROWS(nombres[]),1))-ROW(OFFSET(nombres[],0,0,1,1))+1,ROW(OFFSET(nombres[],ROWS(nombres[])-1,0,1,1))+1),$O1537:$O1556),3),"")</f>
        <v/>
      </c>
      <c r="TC1537" s="42" t="str">
        <f t="array" aca="1" ref="TC1537" ca="1">IFERROR(INDEX(nombres[],SMALL(IF(OFFSET(nombres[],0,0,ROWS(nombres[]),1)=TC$1490,ROW(OFFSET(nombres[],0,0,ROWS(nombres[]),1))-ROW(OFFSET(nombres[],0,0,1,1))+1,ROW(OFFSET(nombres[],ROWS(nombres[])-1,0,1,1))+1),$O1537:$O1556),3),"")</f>
        <v/>
      </c>
      <c r="TD1537" s="42" t="str">
        <f t="array" aca="1" ref="TD1537" ca="1">IFERROR(INDEX(nombres[],SMALL(IF(OFFSET(nombres[],0,0,ROWS(nombres[]),1)=TD$1490,ROW(OFFSET(nombres[],0,0,ROWS(nombres[]),1))-ROW(OFFSET(nombres[],0,0,1,1))+1,ROW(OFFSET(nombres[],ROWS(nombres[])-1,0,1,1))+1),$O1537:$O1556),3),"")</f>
        <v/>
      </c>
      <c r="TE1537" s="42" t="str">
        <f t="array" aca="1" ref="TE1537" ca="1">IFERROR(INDEX(nombres[],SMALL(IF(OFFSET(nombres[],0,0,ROWS(nombres[]),1)=TE$1490,ROW(OFFSET(nombres[],0,0,ROWS(nombres[]),1))-ROW(OFFSET(nombres[],0,0,1,1))+1,ROW(OFFSET(nombres[],ROWS(nombres[])-1,0,1,1))+1),$O1537:$O1556),3),"")</f>
        <v/>
      </c>
      <c r="TF1537" s="42" t="str">
        <f t="array" aca="1" ref="TF1537" ca="1">IFERROR(INDEX(nombres[],SMALL(IF(OFFSET(nombres[],0,0,ROWS(nombres[]),1)=TF$1490,ROW(OFFSET(nombres[],0,0,ROWS(nombres[]),1))-ROW(OFFSET(nombres[],0,0,1,1))+1,ROW(OFFSET(nombres[],ROWS(nombres[])-1,0,1,1))+1),$O1537:$O1556),3),"")</f>
        <v/>
      </c>
      <c r="TG1537" s="42" t="str">
        <f t="array" aca="1" ref="TG1537" ca="1">IFERROR(INDEX(nombres[],SMALL(IF(OFFSET(nombres[],0,0,ROWS(nombres[]),1)=TG$1490,ROW(OFFSET(nombres[],0,0,ROWS(nombres[]),1))-ROW(OFFSET(nombres[],0,0,1,1))+1,ROW(OFFSET(nombres[],ROWS(nombres[])-1,0,1,1))+1),$O1537:$O1556),3),"")</f>
        <v/>
      </c>
      <c r="TH1537" s="42" t="str">
        <f t="array" aca="1" ref="TH1537" ca="1">IFERROR(INDEX(nombres[],SMALL(IF(OFFSET(nombres[],0,0,ROWS(nombres[]),1)=TH$1490,ROW(OFFSET(nombres[],0,0,ROWS(nombres[]),1))-ROW(OFFSET(nombres[],0,0,1,1))+1,ROW(OFFSET(nombres[],ROWS(nombres[])-1,0,1,1))+1),$O1537:$O1556),3),"")</f>
        <v/>
      </c>
      <c r="TI1537" s="42" t="str">
        <f t="array" aca="1" ref="TI1537" ca="1">IFERROR(INDEX(nombres[],SMALL(IF(OFFSET(nombres[],0,0,ROWS(nombres[]),1)=TI$1490,ROW(OFFSET(nombres[],0,0,ROWS(nombres[]),1))-ROW(OFFSET(nombres[],0,0,1,1))+1,ROW(OFFSET(nombres[],ROWS(nombres[])-1,0,1,1))+1),$O1537:$O1556),3),"")</f>
        <v/>
      </c>
      <c r="TJ1537" s="42" t="str">
        <f t="array" aca="1" ref="TJ1537" ca="1">IFERROR(INDEX(nombres[],SMALL(IF(OFFSET(nombres[],0,0,ROWS(nombres[]),1)=TJ$1490,ROW(OFFSET(nombres[],0,0,ROWS(nombres[]),1))-ROW(OFFSET(nombres[],0,0,1,1))+1,ROW(OFFSET(nombres[],ROWS(nombres[])-1,0,1,1))+1),$O1537:$O1556),3),"")</f>
        <v/>
      </c>
      <c r="TK1537" s="42" t="str">
        <f t="array" aca="1" ref="TK1537" ca="1">IFERROR(INDEX(nombres[],SMALL(IF(OFFSET(nombres[],0,0,ROWS(nombres[]),1)=TK$1490,ROW(OFFSET(nombres[],0,0,ROWS(nombres[]),1))-ROW(OFFSET(nombres[],0,0,1,1))+1,ROW(OFFSET(nombres[],ROWS(nombres[])-1,0,1,1))+1),$O1537:$O1556),3),"")</f>
        <v/>
      </c>
      <c r="TL1537" s="42" t="str">
        <f t="array" aca="1" ref="TL1537" ca="1">IFERROR(INDEX(nombres[],SMALL(IF(OFFSET(nombres[],0,0,ROWS(nombres[]),1)=TL$1490,ROW(OFFSET(nombres[],0,0,ROWS(nombres[]),1))-ROW(OFFSET(nombres[],0,0,1,1))+1,ROW(OFFSET(nombres[],ROWS(nombres[])-1,0,1,1))+1),$O1537:$O1556),3),"")</f>
        <v/>
      </c>
      <c r="TM1537" s="42" t="str">
        <f t="array" aca="1" ref="TM1537" ca="1">IFERROR(INDEX(nombres[],SMALL(IF(OFFSET(nombres[],0,0,ROWS(nombres[]),1)=TM$1490,ROW(OFFSET(nombres[],0,0,ROWS(nombres[]),1))-ROW(OFFSET(nombres[],0,0,1,1))+1,ROW(OFFSET(nombres[],ROWS(nombres[])-1,0,1,1))+1),$O1537:$O1556),3),"")</f>
        <v/>
      </c>
      <c r="TN1537" s="42" t="str">
        <f t="array" aca="1" ref="TN1537" ca="1">IFERROR(INDEX(nombres[],SMALL(IF(OFFSET(nombres[],0,0,ROWS(nombres[]),1)=TN$1490,ROW(OFFSET(nombres[],0,0,ROWS(nombres[]),1))-ROW(OFFSET(nombres[],0,0,1,1))+1,ROW(OFFSET(nombres[],ROWS(nombres[])-1,0,1,1))+1),$O1537:$O1556),3),"")</f>
        <v/>
      </c>
      <c r="TO1537" s="42" t="str">
        <f t="array" aca="1" ref="TO1537" ca="1">IFERROR(INDEX(nombres[],SMALL(IF(OFFSET(nombres[],0,0,ROWS(nombres[]),1)=TO$1490,ROW(OFFSET(nombres[],0,0,ROWS(nombres[]),1))-ROW(OFFSET(nombres[],0,0,1,1))+1,ROW(OFFSET(nombres[],ROWS(nombres[])-1,0,1,1))+1),$O1537:$O1556),3),"")</f>
        <v/>
      </c>
      <c r="TP1537" s="42" t="str">
        <f t="array" aca="1" ref="TP1537" ca="1">IFERROR(INDEX(nombres[],SMALL(IF(OFFSET(nombres[],0,0,ROWS(nombres[]),1)=TP$1490,ROW(OFFSET(nombres[],0,0,ROWS(nombres[]),1))-ROW(OFFSET(nombres[],0,0,1,1))+1,ROW(OFFSET(nombres[],ROWS(nombres[])-1,0,1,1))+1),$O1537:$O1556),3),"")</f>
        <v/>
      </c>
      <c r="TQ1537" s="42" t="str">
        <f t="array" aca="1" ref="TQ1537" ca="1">IFERROR(INDEX(nombres[],SMALL(IF(OFFSET(nombres[],0,0,ROWS(nombres[]),1)=TQ$1490,ROW(OFFSET(nombres[],0,0,ROWS(nombres[]),1))-ROW(OFFSET(nombres[],0,0,1,1))+1,ROW(OFFSET(nombres[],ROWS(nombres[])-1,0,1,1))+1),$O1537:$O1556),3),"")</f>
        <v/>
      </c>
      <c r="TR1537" s="42" t="str">
        <f t="array" aca="1" ref="TR1537" ca="1">IFERROR(INDEX(nombres[],SMALL(IF(OFFSET(nombres[],0,0,ROWS(nombres[]),1)=TR$1490,ROW(OFFSET(nombres[],0,0,ROWS(nombres[]),1))-ROW(OFFSET(nombres[],0,0,1,1))+1,ROW(OFFSET(nombres[],ROWS(nombres[])-1,0,1,1))+1),$O1537:$O1556),3),"")</f>
        <v/>
      </c>
      <c r="TS1537" s="42" t="str">
        <f t="array" aca="1" ref="TS1537" ca="1">IFERROR(INDEX(nombres[],SMALL(IF(OFFSET(nombres[],0,0,ROWS(nombres[]),1)=TS$1490,ROW(OFFSET(nombres[],0,0,ROWS(nombres[]),1))-ROW(OFFSET(nombres[],0,0,1,1))+1,ROW(OFFSET(nombres[],ROWS(nombres[])-1,0,1,1))+1),$O1537:$O1556),3),"")</f>
        <v/>
      </c>
      <c r="TT1537" s="42" t="str">
        <f t="array" aca="1" ref="TT1537" ca="1">IFERROR(INDEX(nombres[],SMALL(IF(OFFSET(nombres[],0,0,ROWS(nombres[]),1)=TT$1490,ROW(OFFSET(nombres[],0,0,ROWS(nombres[]),1))-ROW(OFFSET(nombres[],0,0,1,1))+1,ROW(OFFSET(nombres[],ROWS(nombres[])-1,0,1,1))+1),$O1537:$O1556),3),"")</f>
        <v/>
      </c>
      <c r="TU1537" s="42" t="str">
        <f t="array" aca="1" ref="TU1537" ca="1">IFERROR(INDEX(nombres[],SMALL(IF(OFFSET(nombres[],0,0,ROWS(nombres[]),1)=TU$1490,ROW(OFFSET(nombres[],0,0,ROWS(nombres[]),1))-ROW(OFFSET(nombres[],0,0,1,1))+1,ROW(OFFSET(nombres[],ROWS(nombres[])-1,0,1,1))+1),$O1537:$O1556),3),"")</f>
        <v/>
      </c>
      <c r="TV1537" s="42" t="str">
        <f t="array" aca="1" ref="TV1537" ca="1">IFERROR(INDEX(nombres[],SMALL(IF(OFFSET(nombres[],0,0,ROWS(nombres[]),1)=TV$1490,ROW(OFFSET(nombres[],0,0,ROWS(nombres[]),1))-ROW(OFFSET(nombres[],0,0,1,1))+1,ROW(OFFSET(nombres[],ROWS(nombres[])-1,0,1,1))+1),$O1537:$O1556),3),"")</f>
        <v/>
      </c>
      <c r="TW1537" s="42" t="str">
        <f t="array" aca="1" ref="TW1537" ca="1">IFERROR(INDEX(nombres[],SMALL(IF(OFFSET(nombres[],0,0,ROWS(nombres[]),1)=TW$1490,ROW(OFFSET(nombres[],0,0,ROWS(nombres[]),1))-ROW(OFFSET(nombres[],0,0,1,1))+1,ROW(OFFSET(nombres[],ROWS(nombres[])-1,0,1,1))+1),$O1537:$O1556),3),"")</f>
        <v/>
      </c>
      <c r="TX1537" s="42" t="str">
        <f t="array" aca="1" ref="TX1537" ca="1">IFERROR(INDEX(nombres[],SMALL(IF(OFFSET(nombres[],0,0,ROWS(nombres[]),1)=TX$1490,ROW(OFFSET(nombres[],0,0,ROWS(nombres[]),1))-ROW(OFFSET(nombres[],0,0,1,1))+1,ROW(OFFSET(nombres[],ROWS(nombres[])-1,0,1,1))+1),$O1537:$O1556),3),"")</f>
        <v/>
      </c>
      <c r="TY1537" s="42" t="str">
        <f t="array" aca="1" ref="TY1537" ca="1">IFERROR(INDEX(nombres[],SMALL(IF(OFFSET(nombres[],0,0,ROWS(nombres[]),1)=TY$1490,ROW(OFFSET(nombres[],0,0,ROWS(nombres[]),1))-ROW(OFFSET(nombres[],0,0,1,1))+1,ROW(OFFSET(nombres[],ROWS(nombres[])-1,0,1,1))+1),$O1537:$O1556),3),"")</f>
        <v/>
      </c>
      <c r="TZ1537" s="42" t="str">
        <f t="array" aca="1" ref="TZ1537" ca="1">IFERROR(INDEX(nombres[],SMALL(IF(OFFSET(nombres[],0,0,ROWS(nombres[]),1)=TZ$1490,ROW(OFFSET(nombres[],0,0,ROWS(nombres[]),1))-ROW(OFFSET(nombres[],0,0,1,1))+1,ROW(OFFSET(nombres[],ROWS(nombres[])-1,0,1,1))+1),$O1537:$O1556),3),"")</f>
        <v/>
      </c>
      <c r="UA1537" s="42" t="str">
        <f t="array" aca="1" ref="UA1537" ca="1">IFERROR(INDEX(nombres[],SMALL(IF(OFFSET(nombres[],0,0,ROWS(nombres[]),1)=UA$1490,ROW(OFFSET(nombres[],0,0,ROWS(nombres[]),1))-ROW(OFFSET(nombres[],0,0,1,1))+1,ROW(OFFSET(nombres[],ROWS(nombres[])-1,0,1,1))+1),$O1537:$O1556),3),"")</f>
        <v/>
      </c>
      <c r="UB1537" s="42" t="str">
        <f t="array" aca="1" ref="UB1537" ca="1">IFERROR(INDEX(nombres[],SMALL(IF(OFFSET(nombres[],0,0,ROWS(nombres[]),1)=UB$1490,ROW(OFFSET(nombres[],0,0,ROWS(nombres[]),1))-ROW(OFFSET(nombres[],0,0,1,1))+1,ROW(OFFSET(nombres[],ROWS(nombres[])-1,0,1,1))+1),$O1537:$O1556),3),"")</f>
        <v/>
      </c>
      <c r="UC1537" s="42" t="str">
        <f t="array" aca="1" ref="UC1537" ca="1">IFERROR(INDEX(nombres[],SMALL(IF(OFFSET(nombres[],0,0,ROWS(nombres[]),1)=UC$1490,ROW(OFFSET(nombres[],0,0,ROWS(nombres[]),1))-ROW(OFFSET(nombres[],0,0,1,1))+1,ROW(OFFSET(nombres[],ROWS(nombres[])-1,0,1,1))+1),$O1537:$O1556),3),"")</f>
        <v/>
      </c>
      <c r="UD1537" s="42" t="str">
        <f t="array" aca="1" ref="UD1537" ca="1">IFERROR(INDEX(nombres[],SMALL(IF(OFFSET(nombres[],0,0,ROWS(nombres[]),1)=UD$1490,ROW(OFFSET(nombres[],0,0,ROWS(nombres[]),1))-ROW(OFFSET(nombres[],0,0,1,1))+1,ROW(OFFSET(nombres[],ROWS(nombres[])-1,0,1,1))+1),$O1537:$O1556),3),"")</f>
        <v/>
      </c>
      <c r="UE1537" s="42" t="str">
        <f t="array" aca="1" ref="UE1537" ca="1">IFERROR(INDEX(nombres[],SMALL(IF(OFFSET(nombres[],0,0,ROWS(nombres[]),1)=UE$1490,ROW(OFFSET(nombres[],0,0,ROWS(nombres[]),1))-ROW(OFFSET(nombres[],0,0,1,1))+1,ROW(OFFSET(nombres[],ROWS(nombres[])-1,0,1,1))+1),$O1537:$O1556),3),"")</f>
        <v/>
      </c>
      <c r="UF1537" s="42" t="str">
        <f t="array" aca="1" ref="UF1537" ca="1">IFERROR(INDEX(nombres[],SMALL(IF(OFFSET(nombres[],0,0,ROWS(nombres[]),1)=UF$1490,ROW(OFFSET(nombres[],0,0,ROWS(nombres[]),1))-ROW(OFFSET(nombres[],0,0,1,1))+1,ROW(OFFSET(nombres[],ROWS(nombres[])-1,0,1,1))+1),$O1537:$O1556),3),"")</f>
        <v/>
      </c>
      <c r="UG1537" s="42" t="str">
        <f t="array" aca="1" ref="UG1537" ca="1">IFERROR(INDEX(nombres[],SMALL(IF(OFFSET(nombres[],0,0,ROWS(nombres[]),1)=UG$1490,ROW(OFFSET(nombres[],0,0,ROWS(nombres[]),1))-ROW(OFFSET(nombres[],0,0,1,1))+1,ROW(OFFSET(nombres[],ROWS(nombres[])-1,0,1,1))+1),$O1537:$O1556),3),"")</f>
        <v/>
      </c>
      <c r="UH1537" s="42" t="str">
        <f t="array" aca="1" ref="UH1537" ca="1">IFERROR(INDEX(nombres[],SMALL(IF(OFFSET(nombres[],0,0,ROWS(nombres[]),1)=UH$1490,ROW(OFFSET(nombres[],0,0,ROWS(nombres[]),1))-ROW(OFFSET(nombres[],0,0,1,1))+1,ROW(OFFSET(nombres[],ROWS(nombres[])-1,0,1,1))+1),$O1537:$O1556),3),"")</f>
        <v/>
      </c>
      <c r="UI1537" s="42" t="str">
        <f t="array" aca="1" ref="UI1537" ca="1">IFERROR(INDEX(nombres[],SMALL(IF(OFFSET(nombres[],0,0,ROWS(nombres[]),1)=UI$1490,ROW(OFFSET(nombres[],0,0,ROWS(nombres[]),1))-ROW(OFFSET(nombres[],0,0,1,1))+1,ROW(OFFSET(nombres[],ROWS(nombres[])-1,0,1,1))+1),$O1537:$O1556),3),"")</f>
        <v/>
      </c>
      <c r="UJ1537" s="42" t="str">
        <f t="array" aca="1" ref="UJ1537" ca="1">IFERROR(INDEX(nombres[],SMALL(IF(OFFSET(nombres[],0,0,ROWS(nombres[]),1)=UJ$1490,ROW(OFFSET(nombres[],0,0,ROWS(nombres[]),1))-ROW(OFFSET(nombres[],0,0,1,1))+1,ROW(OFFSET(nombres[],ROWS(nombres[])-1,0,1,1))+1),$O1537:$O1556),3),"")</f>
        <v/>
      </c>
      <c r="UK1537" s="42" t="str">
        <f t="array" aca="1" ref="UK1537" ca="1">IFERROR(INDEX(nombres[],SMALL(IF(OFFSET(nombres[],0,0,ROWS(nombres[]),1)=UK$1490,ROW(OFFSET(nombres[],0,0,ROWS(nombres[]),1))-ROW(OFFSET(nombres[],0,0,1,1))+1,ROW(OFFSET(nombres[],ROWS(nombres[])-1,0,1,1))+1),$O1537:$O1556),3),"")</f>
        <v/>
      </c>
      <c r="UL1537" s="42" t="str">
        <f t="array" aca="1" ref="UL1537" ca="1">IFERROR(INDEX(nombres[],SMALL(IF(OFFSET(nombres[],0,0,ROWS(nombres[]),1)=UL$1490,ROW(OFFSET(nombres[],0,0,ROWS(nombres[]),1))-ROW(OFFSET(nombres[],0,0,1,1))+1,ROW(OFFSET(nombres[],ROWS(nombres[])-1,0,1,1))+1),$O1537:$O1556),3),"")</f>
        <v/>
      </c>
      <c r="UM1537" s="42" t="str">
        <f t="array" aca="1" ref="UM1537" ca="1">IFERROR(INDEX(nombres[],SMALL(IF(OFFSET(nombres[],0,0,ROWS(nombres[]),1)=UM$1490,ROW(OFFSET(nombres[],0,0,ROWS(nombres[]),1))-ROW(OFFSET(nombres[],0,0,1,1))+1,ROW(OFFSET(nombres[],ROWS(nombres[])-1,0,1,1))+1),$O1537:$O1556),3),"")</f>
        <v/>
      </c>
      <c r="UN1537" s="42" t="str">
        <f t="array" aca="1" ref="UN1537" ca="1">IFERROR(INDEX(nombres[],SMALL(IF(OFFSET(nombres[],0,0,ROWS(nombres[]),1)=UN$1490,ROW(OFFSET(nombres[],0,0,ROWS(nombres[]),1))-ROW(OFFSET(nombres[],0,0,1,1))+1,ROW(OFFSET(nombres[],ROWS(nombres[])-1,0,1,1))+1),$O1537:$O1556),3),"")</f>
        <v/>
      </c>
      <c r="UO1537" s="42" t="str">
        <f t="array" aca="1" ref="UO1537" ca="1">IFERROR(INDEX(nombres[],SMALL(IF(OFFSET(nombres[],0,0,ROWS(nombres[]),1)=UO$1490,ROW(OFFSET(nombres[],0,0,ROWS(nombres[]),1))-ROW(OFFSET(nombres[],0,0,1,1))+1,ROW(OFFSET(nombres[],ROWS(nombres[])-1,0,1,1))+1),$O1537:$O1556),3),"")</f>
        <v/>
      </c>
      <c r="UP1537" s="42" t="str">
        <f t="array" aca="1" ref="UP1537" ca="1">IFERROR(INDEX(nombres[],SMALL(IF(OFFSET(nombres[],0,0,ROWS(nombres[]),1)=UP$1490,ROW(OFFSET(nombres[],0,0,ROWS(nombres[]),1))-ROW(OFFSET(nombres[],0,0,1,1))+1,ROW(OFFSET(nombres[],ROWS(nombres[])-1,0,1,1))+1),$O1537:$O1556),3),"")</f>
        <v/>
      </c>
      <c r="UQ1537" s="42" t="str">
        <f t="array" aca="1" ref="UQ1537" ca="1">IFERROR(INDEX(nombres[],SMALL(IF(OFFSET(nombres[],0,0,ROWS(nombres[]),1)=UQ$1490,ROW(OFFSET(nombres[],0,0,ROWS(nombres[]),1))-ROW(OFFSET(nombres[],0,0,1,1))+1,ROW(OFFSET(nombres[],ROWS(nombres[])-1,0,1,1))+1),$O1537:$O1556),3),"")</f>
        <v/>
      </c>
      <c r="UR1537" s="42" t="str">
        <f t="array" aca="1" ref="UR1537" ca="1">IFERROR(INDEX(nombres[],SMALL(IF(OFFSET(nombres[],0,0,ROWS(nombres[]),1)=UR$1490,ROW(OFFSET(nombres[],0,0,ROWS(nombres[]),1))-ROW(OFFSET(nombres[],0,0,1,1))+1,ROW(OFFSET(nombres[],ROWS(nombres[])-1,0,1,1))+1),$O1537:$O1556),3),"")</f>
        <v/>
      </c>
      <c r="US1537" s="42" t="str">
        <f t="array" aca="1" ref="US1537" ca="1">IFERROR(INDEX(nombres[],SMALL(IF(OFFSET(nombres[],0,0,ROWS(nombres[]),1)=US$1490,ROW(OFFSET(nombres[],0,0,ROWS(nombres[]),1))-ROW(OFFSET(nombres[],0,0,1,1))+1,ROW(OFFSET(nombres[],ROWS(nombres[])-1,0,1,1))+1),$O1537:$O1556),3),"")</f>
        <v/>
      </c>
      <c r="UT1537" s="42" t="str">
        <f t="array" aca="1" ref="UT1537" ca="1">IFERROR(INDEX(nombres[],SMALL(IF(OFFSET(nombres[],0,0,ROWS(nombres[]),1)=UT$1490,ROW(OFFSET(nombres[],0,0,ROWS(nombres[]),1))-ROW(OFFSET(nombres[],0,0,1,1))+1,ROW(OFFSET(nombres[],ROWS(nombres[])-1,0,1,1))+1),$O1537:$O1556),3),"")</f>
        <v/>
      </c>
      <c r="UU1537" s="42" t="str">
        <f t="array" aca="1" ref="UU1537" ca="1">IFERROR(INDEX(nombres[],SMALL(IF(OFFSET(nombres[],0,0,ROWS(nombres[]),1)=UU$1490,ROW(OFFSET(nombres[],0,0,ROWS(nombres[]),1))-ROW(OFFSET(nombres[],0,0,1,1))+1,ROW(OFFSET(nombres[],ROWS(nombres[])-1,0,1,1))+1),$O1537:$O1556),3),"")</f>
        <v/>
      </c>
      <c r="UV1537" s="42" t="str">
        <f t="array" aca="1" ref="UV1537" ca="1">IFERROR(INDEX(nombres[],SMALL(IF(OFFSET(nombres[],0,0,ROWS(nombres[]),1)=UV$1490,ROW(OFFSET(nombres[],0,0,ROWS(nombres[]),1))-ROW(OFFSET(nombres[],0,0,1,1))+1,ROW(OFFSET(nombres[],ROWS(nombres[])-1,0,1,1))+1),$O1537:$O1556),3),"")</f>
        <v/>
      </c>
      <c r="UW1537" s="42" t="str">
        <f t="array" aca="1" ref="UW1537" ca="1">IFERROR(INDEX(nombres[],SMALL(IF(OFFSET(nombres[],0,0,ROWS(nombres[]),1)=UW$1490,ROW(OFFSET(nombres[],0,0,ROWS(nombres[]),1))-ROW(OFFSET(nombres[],0,0,1,1))+1,ROW(OFFSET(nombres[],ROWS(nombres[])-1,0,1,1))+1),$O1537:$O1556),3),"")</f>
        <v/>
      </c>
      <c r="UX1537" s="42" t="str">
        <f t="array" aca="1" ref="UX1537" ca="1">IFERROR(INDEX(nombres[],SMALL(IF(OFFSET(nombres[],0,0,ROWS(nombres[]),1)=UX$1490,ROW(OFFSET(nombres[],0,0,ROWS(nombres[]),1))-ROW(OFFSET(nombres[],0,0,1,1))+1,ROW(OFFSET(nombres[],ROWS(nombres[])-1,0,1,1))+1),$O1537:$O1556),3),"")</f>
        <v/>
      </c>
      <c r="UY1537" s="42" t="str">
        <f t="array" aca="1" ref="UY1537" ca="1">IFERROR(INDEX(nombres[],SMALL(IF(OFFSET(nombres[],0,0,ROWS(nombres[]),1)=UY$1490,ROW(OFFSET(nombres[],0,0,ROWS(nombres[]),1))-ROW(OFFSET(nombres[],0,0,1,1))+1,ROW(OFFSET(nombres[],ROWS(nombres[])-1,0,1,1))+1),$O1537:$O1556),3),"")</f>
        <v/>
      </c>
      <c r="UZ1537" s="42" t="str">
        <f t="array" aca="1" ref="UZ1537" ca="1">IFERROR(INDEX(nombres[],SMALL(IF(OFFSET(nombres[],0,0,ROWS(nombres[]),1)=UZ$1490,ROW(OFFSET(nombres[],0,0,ROWS(nombres[]),1))-ROW(OFFSET(nombres[],0,0,1,1))+1,ROW(OFFSET(nombres[],ROWS(nombres[])-1,0,1,1))+1),$O1537:$O1556),3),"")</f>
        <v/>
      </c>
      <c r="VA1537" s="42" t="str">
        <f t="array" aca="1" ref="VA1537" ca="1">IFERROR(INDEX(nombres[],SMALL(IF(OFFSET(nombres[],0,0,ROWS(nombres[]),1)=VA$1490,ROW(OFFSET(nombres[],0,0,ROWS(nombres[]),1))-ROW(OFFSET(nombres[],0,0,1,1))+1,ROW(OFFSET(nombres[],ROWS(nombres[])-1,0,1,1))+1),$O1537:$O1556),3),"")</f>
        <v/>
      </c>
      <c r="VB1537" s="42" t="str">
        <f t="array" aca="1" ref="VB1537" ca="1">IFERROR(INDEX(nombres[],SMALL(IF(OFFSET(nombres[],0,0,ROWS(nombres[]),1)=VB$1490,ROW(OFFSET(nombres[],0,0,ROWS(nombres[]),1))-ROW(OFFSET(nombres[],0,0,1,1))+1,ROW(OFFSET(nombres[],ROWS(nombres[])-1,0,1,1))+1),$O1537:$O1556),3),"")</f>
        <v/>
      </c>
      <c r="VC1537" s="42" t="str">
        <f t="array" aca="1" ref="VC1537" ca="1">IFERROR(INDEX(nombres[],SMALL(IF(OFFSET(nombres[],0,0,ROWS(nombres[]),1)=VC$1490,ROW(OFFSET(nombres[],0,0,ROWS(nombres[]),1))-ROW(OFFSET(nombres[],0,0,1,1))+1,ROW(OFFSET(nombres[],ROWS(nombres[])-1,0,1,1))+1),$O1537:$O1556),3),"")</f>
        <v/>
      </c>
      <c r="VD1537" s="42" t="str">
        <f t="array" aca="1" ref="VD1537" ca="1">IFERROR(INDEX(nombres[],SMALL(IF(OFFSET(nombres[],0,0,ROWS(nombres[]),1)=VD$1490,ROW(OFFSET(nombres[],0,0,ROWS(nombres[]),1))-ROW(OFFSET(nombres[],0,0,1,1))+1,ROW(OFFSET(nombres[],ROWS(nombres[])-1,0,1,1))+1),$O1537:$O1556),3),"")</f>
        <v/>
      </c>
      <c r="VE1537" s="42" t="str">
        <f t="array" aca="1" ref="VE1537" ca="1">IFERROR(INDEX(nombres[],SMALL(IF(OFFSET(nombres[],0,0,ROWS(nombres[]),1)=VE$1490,ROW(OFFSET(nombres[],0,0,ROWS(nombres[]),1))-ROW(OFFSET(nombres[],0,0,1,1))+1,ROW(OFFSET(nombres[],ROWS(nombres[])-1,0,1,1))+1),$O1537:$O1556),3),"")</f>
        <v/>
      </c>
      <c r="VF1537" s="42" t="str">
        <f t="array" aca="1" ref="VF1537" ca="1">IFERROR(INDEX(nombres[],SMALL(IF(OFFSET(nombres[],0,0,ROWS(nombres[]),1)=VF$1490,ROW(OFFSET(nombres[],0,0,ROWS(nombres[]),1))-ROW(OFFSET(nombres[],0,0,1,1))+1,ROW(OFFSET(nombres[],ROWS(nombres[])-1,0,1,1))+1),$O1537:$O1556),3),"")</f>
        <v/>
      </c>
      <c r="VG1537" s="42" t="str">
        <f t="array" aca="1" ref="VG1537" ca="1">IFERROR(INDEX(nombres[],SMALL(IF(OFFSET(nombres[],0,0,ROWS(nombres[]),1)=VG$1490,ROW(OFFSET(nombres[],0,0,ROWS(nombres[]),1))-ROW(OFFSET(nombres[],0,0,1,1))+1,ROW(OFFSET(nombres[],ROWS(nombres[])-1,0,1,1))+1),$O1537:$O1556),3),"")</f>
        <v/>
      </c>
      <c r="VH1537" s="42" t="str">
        <f t="array" aca="1" ref="VH1537" ca="1">IFERROR(INDEX(nombres[],SMALL(IF(OFFSET(nombres[],0,0,ROWS(nombres[]),1)=VH$1490,ROW(OFFSET(nombres[],0,0,ROWS(nombres[]),1))-ROW(OFFSET(nombres[],0,0,1,1))+1,ROW(OFFSET(nombres[],ROWS(nombres[])-1,0,1,1))+1),$O1537:$O1556),3),"")</f>
        <v/>
      </c>
      <c r="VI1537" s="42" t="str">
        <f t="array" aca="1" ref="VI1537" ca="1">IFERROR(INDEX(nombres[],SMALL(IF(OFFSET(nombres[],0,0,ROWS(nombres[]),1)=VI$1490,ROW(OFFSET(nombres[],0,0,ROWS(nombres[]),1))-ROW(OFFSET(nombres[],0,0,1,1))+1,ROW(OFFSET(nombres[],ROWS(nombres[])-1,0,1,1))+1),$O1537:$O1556),3),"")</f>
        <v/>
      </c>
      <c r="VJ1537" s="42" t="str">
        <f t="array" aca="1" ref="VJ1537" ca="1">IFERROR(INDEX(nombres[],SMALL(IF(OFFSET(nombres[],0,0,ROWS(nombres[]),1)=VJ$1490,ROW(OFFSET(nombres[],0,0,ROWS(nombres[]),1))-ROW(OFFSET(nombres[],0,0,1,1))+1,ROW(OFFSET(nombres[],ROWS(nombres[])-1,0,1,1))+1),$O1537:$O1556),3),"")</f>
        <v/>
      </c>
      <c r="VK1537" s="42" t="str">
        <f t="array" aca="1" ref="VK1537" ca="1">IFERROR(INDEX(nombres[],SMALL(IF(OFFSET(nombres[],0,0,ROWS(nombres[]),1)=VK$1490,ROW(OFFSET(nombres[],0,0,ROWS(nombres[]),1))-ROW(OFFSET(nombres[],0,0,1,1))+1,ROW(OFFSET(nombres[],ROWS(nombres[])-1,0,1,1))+1),$O1537:$O1556),3),"")</f>
        <v/>
      </c>
      <c r="VL1537" s="42" t="str">
        <f t="array" aca="1" ref="VL1537" ca="1">IFERROR(INDEX(nombres[],SMALL(IF(OFFSET(nombres[],0,0,ROWS(nombres[]),1)=VL$1490,ROW(OFFSET(nombres[],0,0,ROWS(nombres[]),1))-ROW(OFFSET(nombres[],0,0,1,1))+1,ROW(OFFSET(nombres[],ROWS(nombres[])-1,0,1,1))+1),$O1537:$O1556),3),"")</f>
        <v/>
      </c>
      <c r="VM1537" s="42" t="str">
        <f t="array" aca="1" ref="VM1537" ca="1">IFERROR(INDEX(nombres[],SMALL(IF(OFFSET(nombres[],0,0,ROWS(nombres[]),1)=VM$1490,ROW(OFFSET(nombres[],0,0,ROWS(nombres[]),1))-ROW(OFFSET(nombres[],0,0,1,1))+1,ROW(OFFSET(nombres[],ROWS(nombres[])-1,0,1,1))+1),$O1537:$O1556),3),"")</f>
        <v/>
      </c>
      <c r="VN1537" s="42" t="str">
        <f t="array" aca="1" ref="VN1537" ca="1">IFERROR(INDEX(nombres[],SMALL(IF(OFFSET(nombres[],0,0,ROWS(nombres[]),1)=VN$1490,ROW(OFFSET(nombres[],0,0,ROWS(nombres[]),1))-ROW(OFFSET(nombres[],0,0,1,1))+1,ROW(OFFSET(nombres[],ROWS(nombres[])-1,0,1,1))+1),$O1537:$O1556),3),"")</f>
        <v/>
      </c>
      <c r="VO1537" s="42" t="str">
        <f t="array" aca="1" ref="VO1537" ca="1">IFERROR(INDEX(nombres[],SMALL(IF(OFFSET(nombres[],0,0,ROWS(nombres[]),1)=VO$1490,ROW(OFFSET(nombres[],0,0,ROWS(nombres[]),1))-ROW(OFFSET(nombres[],0,0,1,1))+1,ROW(OFFSET(nombres[],ROWS(nombres[])-1,0,1,1))+1),$O1537:$O1556),3),"")</f>
        <v/>
      </c>
      <c r="VP1537" s="42" t="str">
        <f t="array" aca="1" ref="VP1537" ca="1">IFERROR(INDEX(nombres[],SMALL(IF(OFFSET(nombres[],0,0,ROWS(nombres[]),1)=VP$1490,ROW(OFFSET(nombres[],0,0,ROWS(nombres[]),1))-ROW(OFFSET(nombres[],0,0,1,1))+1,ROW(OFFSET(nombres[],ROWS(nombres[])-1,0,1,1))+1),$O1537:$O1556),3),"")</f>
        <v/>
      </c>
      <c r="VQ1537" s="42" t="str">
        <f t="array" aca="1" ref="VQ1537" ca="1">IFERROR(INDEX(nombres[],SMALL(IF(OFFSET(nombres[],0,0,ROWS(nombres[]),1)=VQ$1490,ROW(OFFSET(nombres[],0,0,ROWS(nombres[]),1))-ROW(OFFSET(nombres[],0,0,1,1))+1,ROW(OFFSET(nombres[],ROWS(nombres[])-1,0,1,1))+1),$O1537:$O1556),3),"")</f>
        <v/>
      </c>
      <c r="VR1537" s="42" t="str">
        <f t="array" aca="1" ref="VR1537" ca="1">IFERROR(INDEX(nombres[],SMALL(IF(OFFSET(nombres[],0,0,ROWS(nombres[]),1)=VR$1490,ROW(OFFSET(nombres[],0,0,ROWS(nombres[]),1))-ROW(OFFSET(nombres[],0,0,1,1))+1,ROW(OFFSET(nombres[],ROWS(nombres[])-1,0,1,1))+1),$O1537:$O1556),3),"")</f>
        <v/>
      </c>
      <c r="VS1537" s="42" t="str">
        <f t="array" aca="1" ref="VS1537" ca="1">IFERROR(INDEX(nombres[],SMALL(IF(OFFSET(nombres[],0,0,ROWS(nombres[]),1)=VS$1490,ROW(OFFSET(nombres[],0,0,ROWS(nombres[]),1))-ROW(OFFSET(nombres[],0,0,1,1))+1,ROW(OFFSET(nombres[],ROWS(nombres[])-1,0,1,1))+1),$O1537:$O1556),3),"")</f>
        <v/>
      </c>
      <c r="VT1537" s="42" t="str">
        <f t="array" aca="1" ref="VT1537" ca="1">IFERROR(INDEX(nombres[],SMALL(IF(OFFSET(nombres[],0,0,ROWS(nombres[]),1)=VT$1490,ROW(OFFSET(nombres[],0,0,ROWS(nombres[]),1))-ROW(OFFSET(nombres[],0,0,1,1))+1,ROW(OFFSET(nombres[],ROWS(nombres[])-1,0,1,1))+1),$O1537:$O1556),3),"")</f>
        <v/>
      </c>
      <c r="VU1537" s="42" t="str">
        <f t="array" aca="1" ref="VU1537" ca="1">IFERROR(INDEX(nombres[],SMALL(IF(OFFSET(nombres[],0,0,ROWS(nombres[]),1)=VU$1490,ROW(OFFSET(nombres[],0,0,ROWS(nombres[]),1))-ROW(OFFSET(nombres[],0,0,1,1))+1,ROW(OFFSET(nombres[],ROWS(nombres[])-1,0,1,1))+1),$O1537:$O1556),3),"")</f>
        <v/>
      </c>
      <c r="VV1537" s="42" t="str">
        <f t="array" aca="1" ref="VV1537" ca="1">IFERROR(INDEX(nombres[],SMALL(IF(OFFSET(nombres[],0,0,ROWS(nombres[]),1)=VV$1490,ROW(OFFSET(nombres[],0,0,ROWS(nombres[]),1))-ROW(OFFSET(nombres[],0,0,1,1))+1,ROW(OFFSET(nombres[],ROWS(nombres[])-1,0,1,1))+1),$O1537:$O1556),3),"")</f>
        <v/>
      </c>
      <c r="VW1537" s="42" t="str">
        <f t="array" aca="1" ref="VW1537" ca="1">IFERROR(INDEX(nombres[],SMALL(IF(OFFSET(nombres[],0,0,ROWS(nombres[]),1)=VW$1490,ROW(OFFSET(nombres[],0,0,ROWS(nombres[]),1))-ROW(OFFSET(nombres[],0,0,1,1))+1,ROW(OFFSET(nombres[],ROWS(nombres[])-1,0,1,1))+1),$O1537:$O1556),3),"")</f>
        <v/>
      </c>
      <c r="VX1537" s="42" t="str">
        <f t="array" aca="1" ref="VX1537" ca="1">IFERROR(INDEX(nombres[],SMALL(IF(OFFSET(nombres[],0,0,ROWS(nombres[]),1)=VX$1490,ROW(OFFSET(nombres[],0,0,ROWS(nombres[]),1))-ROW(OFFSET(nombres[],0,0,1,1))+1,ROW(OFFSET(nombres[],ROWS(nombres[])-1,0,1,1))+1),$O1537:$O1556),3),"")</f>
        <v/>
      </c>
      <c r="VY1537" s="42" t="str">
        <f t="array" aca="1" ref="VY1537" ca="1">IFERROR(INDEX(nombres[],SMALL(IF(OFFSET(nombres[],0,0,ROWS(nombres[]),1)=VY$1490,ROW(OFFSET(nombres[],0,0,ROWS(nombres[]),1))-ROW(OFFSET(nombres[],0,0,1,1))+1,ROW(OFFSET(nombres[],ROWS(nombres[])-1,0,1,1))+1),$O1537:$O1556),3),"")</f>
        <v/>
      </c>
      <c r="VZ1537" s="42" t="str">
        <f t="array" aca="1" ref="VZ1537" ca="1">IFERROR(INDEX(nombres[],SMALL(IF(OFFSET(nombres[],0,0,ROWS(nombres[]),1)=VZ$1490,ROW(OFFSET(nombres[],0,0,ROWS(nombres[]),1))-ROW(OFFSET(nombres[],0,0,1,1))+1,ROW(OFFSET(nombres[],ROWS(nombres[])-1,0,1,1))+1),$O1537:$O1556),3),"")</f>
        <v/>
      </c>
      <c r="WA1537" s="42" t="str">
        <f t="array" aca="1" ref="WA1537" ca="1">IFERROR(INDEX(nombres[],SMALL(IF(OFFSET(nombres[],0,0,ROWS(nombres[]),1)=WA$1490,ROW(OFFSET(nombres[],0,0,ROWS(nombres[]),1))-ROW(OFFSET(nombres[],0,0,1,1))+1,ROW(OFFSET(nombres[],ROWS(nombres[])-1,0,1,1))+1),$O1537:$O1556),3),"")</f>
        <v/>
      </c>
      <c r="WB1537" s="42" t="str">
        <f t="array" aca="1" ref="WB1537" ca="1">IFERROR(INDEX(nombres[],SMALL(IF(OFFSET(nombres[],0,0,ROWS(nombres[]),1)=WB$1490,ROW(OFFSET(nombres[],0,0,ROWS(nombres[]),1))-ROW(OFFSET(nombres[],0,0,1,1))+1,ROW(OFFSET(nombres[],ROWS(nombres[])-1,0,1,1))+1),$O1537:$O1556),3),"")</f>
        <v/>
      </c>
      <c r="WC1537" s="42" t="str">
        <f t="array" aca="1" ref="WC1537" ca="1">IFERROR(INDEX(nombres[],SMALL(IF(OFFSET(nombres[],0,0,ROWS(nombres[]),1)=WC$1490,ROW(OFFSET(nombres[],0,0,ROWS(nombres[]),1))-ROW(OFFSET(nombres[],0,0,1,1))+1,ROW(OFFSET(nombres[],ROWS(nombres[])-1,0,1,1))+1),$O1537:$O1556),3),"")</f>
        <v/>
      </c>
      <c r="WD1537" s="42" t="str">
        <f t="array" aca="1" ref="WD1537" ca="1">IFERROR(INDEX(nombres[],SMALL(IF(OFFSET(nombres[],0,0,ROWS(nombres[]),1)=WD$1490,ROW(OFFSET(nombres[],0,0,ROWS(nombres[]),1))-ROW(OFFSET(nombres[],0,0,1,1))+1,ROW(OFFSET(nombres[],ROWS(nombres[])-1,0,1,1))+1),$O1537:$O1556),3),"")</f>
        <v/>
      </c>
      <c r="WE1537" s="42" t="str">
        <f t="array" aca="1" ref="WE1537" ca="1">IFERROR(INDEX(nombres[],SMALL(IF(OFFSET(nombres[],0,0,ROWS(nombres[]),1)=WE$1490,ROW(OFFSET(nombres[],0,0,ROWS(nombres[]),1))-ROW(OFFSET(nombres[],0,0,1,1))+1,ROW(OFFSET(nombres[],ROWS(nombres[])-1,0,1,1))+1),$O1537:$O1556),3),"")</f>
        <v/>
      </c>
      <c r="WF1537" s="42" t="str">
        <f t="array" aca="1" ref="WF1537" ca="1">IFERROR(INDEX(nombres[],SMALL(IF(OFFSET(nombres[],0,0,ROWS(nombres[]),1)=WF$1490,ROW(OFFSET(nombres[],0,0,ROWS(nombres[]),1))-ROW(OFFSET(nombres[],0,0,1,1))+1,ROW(OFFSET(nombres[],ROWS(nombres[])-1,0,1,1))+1),$O1537:$O1556),3),"")</f>
        <v/>
      </c>
      <c r="WG1537" s="42" t="str">
        <f t="array" aca="1" ref="WG1537" ca="1">IFERROR(INDEX(nombres[],SMALL(IF(OFFSET(nombres[],0,0,ROWS(nombres[]),1)=WG$1490,ROW(OFFSET(nombres[],0,0,ROWS(nombres[]),1))-ROW(OFFSET(nombres[],0,0,1,1))+1,ROW(OFFSET(nombres[],ROWS(nombres[])-1,0,1,1))+1),$O1537:$O1556),3),"")</f>
        <v/>
      </c>
      <c r="WH1537" s="42" t="str">
        <f t="array" aca="1" ref="WH1537" ca="1">IFERROR(INDEX(nombres[],SMALL(IF(OFFSET(nombres[],0,0,ROWS(nombres[]),1)=WH$1490,ROW(OFFSET(nombres[],0,0,ROWS(nombres[]),1))-ROW(OFFSET(nombres[],0,0,1,1))+1,ROW(OFFSET(nombres[],ROWS(nombres[])-1,0,1,1))+1),$O1537:$O1556),3),"")</f>
        <v/>
      </c>
      <c r="WI1537" s="42" t="str">
        <f t="array" aca="1" ref="WI1537" ca="1">IFERROR(INDEX(nombres[],SMALL(IF(OFFSET(nombres[],0,0,ROWS(nombres[]),1)=WI$1490,ROW(OFFSET(nombres[],0,0,ROWS(nombres[]),1))-ROW(OFFSET(nombres[],0,0,1,1))+1,ROW(OFFSET(nombres[],ROWS(nombres[])-1,0,1,1))+1),$O1537:$O1556),3),"")</f>
        <v/>
      </c>
      <c r="WJ1537" s="42" t="str">
        <f t="array" aca="1" ref="WJ1537" ca="1">IFERROR(INDEX(nombres[],SMALL(IF(OFFSET(nombres[],0,0,ROWS(nombres[]),1)=WJ$1490,ROW(OFFSET(nombres[],0,0,ROWS(nombres[]),1))-ROW(OFFSET(nombres[],0,0,1,1))+1,ROW(OFFSET(nombres[],ROWS(nombres[])-1,0,1,1))+1),$O1537:$O1556),3),"")</f>
        <v/>
      </c>
      <c r="WK1537" s="42" t="str">
        <f t="array" aca="1" ref="WK1537" ca="1">IFERROR(INDEX(nombres[],SMALL(IF(OFFSET(nombres[],0,0,ROWS(nombres[]),1)=WK$1490,ROW(OFFSET(nombres[],0,0,ROWS(nombres[]),1))-ROW(OFFSET(nombres[],0,0,1,1))+1,ROW(OFFSET(nombres[],ROWS(nombres[])-1,0,1,1))+1),$O1537:$O1556),3),"")</f>
        <v/>
      </c>
      <c r="WL1537" s="42" t="str">
        <f t="array" aca="1" ref="WL1537" ca="1">IFERROR(INDEX(nombres[],SMALL(IF(OFFSET(nombres[],0,0,ROWS(nombres[]),1)=WL$1490,ROW(OFFSET(nombres[],0,0,ROWS(nombres[]),1))-ROW(OFFSET(nombres[],0,0,1,1))+1,ROW(OFFSET(nombres[],ROWS(nombres[])-1,0,1,1))+1),$O1537:$O1556),3),"")</f>
        <v/>
      </c>
      <c r="WM1537" s="42" t="str">
        <f t="array" aca="1" ref="WM1537" ca="1">IFERROR(INDEX(nombres[],SMALL(IF(OFFSET(nombres[],0,0,ROWS(nombres[]),1)=WM$1490,ROW(OFFSET(nombres[],0,0,ROWS(nombres[]),1))-ROW(OFFSET(nombres[],0,0,1,1))+1,ROW(OFFSET(nombres[],ROWS(nombres[])-1,0,1,1))+1),$O1537:$O1556),3),"")</f>
        <v/>
      </c>
      <c r="WN1537" s="42" t="str">
        <f t="array" aca="1" ref="WN1537" ca="1">IFERROR(INDEX(nombres[],SMALL(IF(OFFSET(nombres[],0,0,ROWS(nombres[]),1)=WN$1490,ROW(OFFSET(nombres[],0,0,ROWS(nombres[]),1))-ROW(OFFSET(nombres[],0,0,1,1))+1,ROW(OFFSET(nombres[],ROWS(nombres[])-1,0,1,1))+1),$O1537:$O1556),3),"")</f>
        <v/>
      </c>
      <c r="WO1537" s="42" t="str">
        <f t="array" aca="1" ref="WO1537" ca="1">IFERROR(INDEX(nombres[],SMALL(IF(OFFSET(nombres[],0,0,ROWS(nombres[]),1)=WO$1490,ROW(OFFSET(nombres[],0,0,ROWS(nombres[]),1))-ROW(OFFSET(nombres[],0,0,1,1))+1,ROW(OFFSET(nombres[],ROWS(nombres[])-1,0,1,1))+1),$O1537:$O1556),3),"")</f>
        <v/>
      </c>
      <c r="WP1537" s="42" t="str">
        <f t="array" aca="1" ref="WP1537" ca="1">IFERROR(INDEX(nombres[],SMALL(IF(OFFSET(nombres[],0,0,ROWS(nombres[]),1)=WP$1490,ROW(OFFSET(nombres[],0,0,ROWS(nombres[]),1))-ROW(OFFSET(nombres[],0,0,1,1))+1,ROW(OFFSET(nombres[],ROWS(nombres[])-1,0,1,1))+1),$O1537:$O1556),3),"")</f>
        <v/>
      </c>
      <c r="WQ1537" s="42" t="str">
        <f t="array" aca="1" ref="WQ1537" ca="1">IFERROR(INDEX(nombres[],SMALL(IF(OFFSET(nombres[],0,0,ROWS(nombres[]),1)=WQ$1490,ROW(OFFSET(nombres[],0,0,ROWS(nombres[]),1))-ROW(OFFSET(nombres[],0,0,1,1))+1,ROW(OFFSET(nombres[],ROWS(nombres[])-1,0,1,1))+1),$O1537:$O1556),3),"")</f>
        <v/>
      </c>
      <c r="WR1537" s="42" t="str">
        <f t="array" aca="1" ref="WR1537" ca="1">IFERROR(INDEX(nombres[],SMALL(IF(OFFSET(nombres[],0,0,ROWS(nombres[]),1)=WR$1490,ROW(OFFSET(nombres[],0,0,ROWS(nombres[]),1))-ROW(OFFSET(nombres[],0,0,1,1))+1,ROW(OFFSET(nombres[],ROWS(nombres[])-1,0,1,1))+1),$O1537:$O1556),3),"")</f>
        <v/>
      </c>
      <c r="WS1537" s="42" t="str">
        <f t="array" aca="1" ref="WS1537" ca="1">IFERROR(INDEX(nombres[],SMALL(IF(OFFSET(nombres[],0,0,ROWS(nombres[]),1)=WS$1490,ROW(OFFSET(nombres[],0,0,ROWS(nombres[]),1))-ROW(OFFSET(nombres[],0,0,1,1))+1,ROW(OFFSET(nombres[],ROWS(nombres[])-1,0,1,1))+1),$O1537:$O1556),3),"")</f>
        <v/>
      </c>
      <c r="WT1537" s="42" t="str">
        <f t="array" aca="1" ref="WT1537" ca="1">IFERROR(INDEX(nombres[],SMALL(IF(OFFSET(nombres[],0,0,ROWS(nombres[]),1)=WT$1490,ROW(OFFSET(nombres[],0,0,ROWS(nombres[]),1))-ROW(OFFSET(nombres[],0,0,1,1))+1,ROW(OFFSET(nombres[],ROWS(nombres[])-1,0,1,1))+1),$O1537:$O1556),3),"")</f>
        <v/>
      </c>
      <c r="WU1537" s="42" t="str">
        <f t="array" aca="1" ref="WU1537" ca="1">IFERROR(INDEX(nombres[],SMALL(IF(OFFSET(nombres[],0,0,ROWS(nombres[]),1)=WU$1490,ROW(OFFSET(nombres[],0,0,ROWS(nombres[]),1))-ROW(OFFSET(nombres[],0,0,1,1))+1,ROW(OFFSET(nombres[],ROWS(nombres[])-1,0,1,1))+1),$O1537:$O1556),3),"")</f>
        <v/>
      </c>
      <c r="WV1537" s="42" t="str">
        <f t="array" aca="1" ref="WV1537" ca="1">IFERROR(INDEX(nombres[],SMALL(IF(OFFSET(nombres[],0,0,ROWS(nombres[]),1)=WV$1490,ROW(OFFSET(nombres[],0,0,ROWS(nombres[]),1))-ROW(OFFSET(nombres[],0,0,1,1))+1,ROW(OFFSET(nombres[],ROWS(nombres[])-1,0,1,1))+1),$O1537:$O1556),3),"")</f>
        <v/>
      </c>
      <c r="WW1537" s="42" t="str">
        <f t="array" aca="1" ref="WW1537" ca="1">IFERROR(INDEX(nombres[],SMALL(IF(OFFSET(nombres[],0,0,ROWS(nombres[]),1)=WW$1490,ROW(OFFSET(nombres[],0,0,ROWS(nombres[]),1))-ROW(OFFSET(nombres[],0,0,1,1))+1,ROW(OFFSET(nombres[],ROWS(nombres[])-1,0,1,1))+1),$O1537:$O1556),3),"")</f>
        <v/>
      </c>
      <c r="WX1537" s="42" t="str">
        <f t="array" aca="1" ref="WX1537" ca="1">IFERROR(INDEX(nombres[],SMALL(IF(OFFSET(nombres[],0,0,ROWS(nombres[]),1)=WX$1490,ROW(OFFSET(nombres[],0,0,ROWS(nombres[]),1))-ROW(OFFSET(nombres[],0,0,1,1))+1,ROW(OFFSET(nombres[],ROWS(nombres[])-1,0,1,1))+1),$O1537:$O1556),3),"")</f>
        <v/>
      </c>
      <c r="WY1537" s="42" t="str">
        <f t="array" aca="1" ref="WY1537" ca="1">IFERROR(INDEX(nombres[],SMALL(IF(OFFSET(nombres[],0,0,ROWS(nombres[]),1)=WY$1490,ROW(OFFSET(nombres[],0,0,ROWS(nombres[]),1))-ROW(OFFSET(nombres[],0,0,1,1))+1,ROW(OFFSET(nombres[],ROWS(nombres[])-1,0,1,1))+1),$O1537:$O1556),3),"")</f>
        <v/>
      </c>
      <c r="WZ1537" s="42" t="str">
        <f t="array" aca="1" ref="WZ1537" ca="1">IFERROR(INDEX(nombres[],SMALL(IF(OFFSET(nombres[],0,0,ROWS(nombres[]),1)=WZ$1490,ROW(OFFSET(nombres[],0,0,ROWS(nombres[]),1))-ROW(OFFSET(nombres[],0,0,1,1))+1,ROW(OFFSET(nombres[],ROWS(nombres[])-1,0,1,1))+1),$O1537:$O1556),3),"")</f>
        <v/>
      </c>
      <c r="XA1537" s="42" t="str">
        <f t="array" aca="1" ref="XA1537" ca="1">IFERROR(INDEX(nombres[],SMALL(IF(OFFSET(nombres[],0,0,ROWS(nombres[]),1)=XA$1490,ROW(OFFSET(nombres[],0,0,ROWS(nombres[]),1))-ROW(OFFSET(nombres[],0,0,1,1))+1,ROW(OFFSET(nombres[],ROWS(nombres[])-1,0,1,1))+1),$O1537:$O1556),3),"")</f>
        <v/>
      </c>
      <c r="XB1537" s="42" t="str">
        <f t="array" aca="1" ref="XB1537" ca="1">IFERROR(INDEX(nombres[],SMALL(IF(OFFSET(nombres[],0,0,ROWS(nombres[]),1)=XB$1490,ROW(OFFSET(nombres[],0,0,ROWS(nombres[]),1))-ROW(OFFSET(nombres[],0,0,1,1))+1,ROW(OFFSET(nombres[],ROWS(nombres[])-1,0,1,1))+1),$O1537:$O1556),3),"")</f>
        <v/>
      </c>
      <c r="XC1537" s="42" t="str">
        <f t="array" aca="1" ref="XC1537" ca="1">IFERROR(INDEX(nombres[],SMALL(IF(OFFSET(nombres[],0,0,ROWS(nombres[]),1)=XC$1490,ROW(OFFSET(nombres[],0,0,ROWS(nombres[]),1))-ROW(OFFSET(nombres[],0,0,1,1))+1,ROW(OFFSET(nombres[],ROWS(nombres[])-1,0,1,1))+1),$O1537:$O1556),3),"")</f>
        <v/>
      </c>
      <c r="XD1537" s="42" t="str">
        <f t="array" aca="1" ref="XD1537" ca="1">IFERROR(INDEX(nombres[],SMALL(IF(OFFSET(nombres[],0,0,ROWS(nombres[]),1)=XD$1490,ROW(OFFSET(nombres[],0,0,ROWS(nombres[]),1))-ROW(OFFSET(nombres[],0,0,1,1))+1,ROW(OFFSET(nombres[],ROWS(nombres[])-1,0,1,1))+1),$O1537:$O1556),3),"")</f>
        <v/>
      </c>
      <c r="XE1537" s="42" t="str">
        <f t="array" aca="1" ref="XE1537" ca="1">IFERROR(INDEX(nombres[],SMALL(IF(OFFSET(nombres[],0,0,ROWS(nombres[]),1)=XE$1490,ROW(OFFSET(nombres[],0,0,ROWS(nombres[]),1))-ROW(OFFSET(nombres[],0,0,1,1))+1,ROW(OFFSET(nombres[],ROWS(nombres[])-1,0,1,1))+1),$O1537:$O1556),3),"")</f>
        <v/>
      </c>
      <c r="XF1537" s="42" t="str">
        <f t="array" aca="1" ref="XF1537" ca="1">IFERROR(INDEX(nombres[],SMALL(IF(OFFSET(nombres[],0,0,ROWS(nombres[]),1)=XF$1490,ROW(OFFSET(nombres[],0,0,ROWS(nombres[]),1))-ROW(OFFSET(nombres[],0,0,1,1))+1,ROW(OFFSET(nombres[],ROWS(nombres[])-1,0,1,1))+1),$O1537:$O1556),3),"")</f>
        <v/>
      </c>
      <c r="XG1537" s="42" t="str">
        <f t="array" aca="1" ref="XG1537" ca="1">IFERROR(INDEX(nombres[],SMALL(IF(OFFSET(nombres[],0,0,ROWS(nombres[]),1)=XG$1490,ROW(OFFSET(nombres[],0,0,ROWS(nombres[]),1))-ROW(OFFSET(nombres[],0,0,1,1))+1,ROW(OFFSET(nombres[],ROWS(nombres[])-1,0,1,1))+1),$O1537:$O1556),3),"")</f>
        <v/>
      </c>
      <c r="XH1537" s="42" t="str">
        <f t="array" aca="1" ref="XH1537" ca="1">IFERROR(INDEX(nombres[],SMALL(IF(OFFSET(nombres[],0,0,ROWS(nombres[]),1)=XH$1490,ROW(OFFSET(nombres[],0,0,ROWS(nombres[]),1))-ROW(OFFSET(nombres[],0,0,1,1))+1,ROW(OFFSET(nombres[],ROWS(nombres[])-1,0,1,1))+1),$O1537:$O1556),3),"")</f>
        <v/>
      </c>
      <c r="XI1537" s="42" t="str">
        <f t="array" aca="1" ref="XI1537" ca="1">IFERROR(INDEX(nombres[],SMALL(IF(OFFSET(nombres[],0,0,ROWS(nombres[]),1)=XI$1490,ROW(OFFSET(nombres[],0,0,ROWS(nombres[]),1))-ROW(OFFSET(nombres[],0,0,1,1))+1,ROW(OFFSET(nombres[],ROWS(nombres[])-1,0,1,1))+1),$O1537:$O1556),3),"")</f>
        <v/>
      </c>
      <c r="XJ1537" s="42" t="str">
        <f t="array" aca="1" ref="XJ1537" ca="1">IFERROR(INDEX(nombres[],SMALL(IF(OFFSET(nombres[],0,0,ROWS(nombres[]),1)=XJ$1490,ROW(OFFSET(nombres[],0,0,ROWS(nombres[]),1))-ROW(OFFSET(nombres[],0,0,1,1))+1,ROW(OFFSET(nombres[],ROWS(nombres[])-1,0,1,1))+1),$O1537:$O1556),3),"")</f>
        <v/>
      </c>
      <c r="XK1537" s="42" t="str">
        <f t="array" aca="1" ref="XK1537" ca="1">IFERROR(INDEX(nombres[],SMALL(IF(OFFSET(nombres[],0,0,ROWS(nombres[]),1)=XK$1490,ROW(OFFSET(nombres[],0,0,ROWS(nombres[]),1))-ROW(OFFSET(nombres[],0,0,1,1))+1,ROW(OFFSET(nombres[],ROWS(nombres[])-1,0,1,1))+1),$O1537:$O1556),3),"")</f>
        <v/>
      </c>
      <c r="XL1537" s="42" t="str">
        <f t="array" aca="1" ref="XL1537" ca="1">IFERROR(INDEX(nombres[],SMALL(IF(OFFSET(nombres[],0,0,ROWS(nombres[]),1)=XL$1490,ROW(OFFSET(nombres[],0,0,ROWS(nombres[]),1))-ROW(OFFSET(nombres[],0,0,1,1))+1,ROW(OFFSET(nombres[],ROWS(nombres[])-1,0,1,1))+1),$O1537:$O1556),3),"")</f>
        <v/>
      </c>
      <c r="XM1537" s="42" t="str">
        <f t="array" aca="1" ref="XM1537" ca="1">IFERROR(INDEX(nombres[],SMALL(IF(OFFSET(nombres[],0,0,ROWS(nombres[]),1)=XM$1490,ROW(OFFSET(nombres[],0,0,ROWS(nombres[]),1))-ROW(OFFSET(nombres[],0,0,1,1))+1,ROW(OFFSET(nombres[],ROWS(nombres[])-1,0,1,1))+1),$O1537:$O1556),3),"")</f>
        <v/>
      </c>
      <c r="XN1537" s="42" t="str">
        <f t="array" aca="1" ref="XN1537" ca="1">IFERROR(INDEX(nombres[],SMALL(IF(OFFSET(nombres[],0,0,ROWS(nombres[]),1)=XN$1490,ROW(OFFSET(nombres[],0,0,ROWS(nombres[]),1))-ROW(OFFSET(nombres[],0,0,1,1))+1,ROW(OFFSET(nombres[],ROWS(nombres[])-1,0,1,1))+1),$O1537:$O1556),3),"")</f>
        <v/>
      </c>
      <c r="XO1537" s="42" t="str">
        <f t="array" aca="1" ref="XO1537" ca="1">IFERROR(INDEX(nombres[],SMALL(IF(OFFSET(nombres[],0,0,ROWS(nombres[]),1)=XO$1490,ROW(OFFSET(nombres[],0,0,ROWS(nombres[]),1))-ROW(OFFSET(nombres[],0,0,1,1))+1,ROW(OFFSET(nombres[],ROWS(nombres[])-1,0,1,1))+1),$O1537:$O1556),3),"")</f>
        <v/>
      </c>
      <c r="XP1537" s="42" t="str">
        <f t="array" aca="1" ref="XP1537" ca="1">IFERROR(INDEX(nombres[],SMALL(IF(OFFSET(nombres[],0,0,ROWS(nombres[]),1)=XP$1490,ROW(OFFSET(nombres[],0,0,ROWS(nombres[]),1))-ROW(OFFSET(nombres[],0,0,1,1))+1,ROW(OFFSET(nombres[],ROWS(nombres[])-1,0,1,1))+1),$O1537:$O1556),3),"")</f>
        <v/>
      </c>
      <c r="XQ1537" s="42" t="str">
        <f t="array" aca="1" ref="XQ1537" ca="1">IFERROR(INDEX(nombres[],SMALL(IF(OFFSET(nombres[],0,0,ROWS(nombres[]),1)=XQ$1490,ROW(OFFSET(nombres[],0,0,ROWS(nombres[]),1))-ROW(OFFSET(nombres[],0,0,1,1))+1,ROW(OFFSET(nombres[],ROWS(nombres[])-1,0,1,1))+1),$O1537:$O1556),3),"")</f>
        <v/>
      </c>
      <c r="XR1537" s="42" t="str">
        <f t="array" aca="1" ref="XR1537" ca="1">IFERROR(INDEX(nombres[],SMALL(IF(OFFSET(nombres[],0,0,ROWS(nombres[]),1)=XR$1490,ROW(OFFSET(nombres[],0,0,ROWS(nombres[]),1))-ROW(OFFSET(nombres[],0,0,1,1))+1,ROW(OFFSET(nombres[],ROWS(nombres[])-1,0,1,1))+1),$O1537:$O1556),3),"")</f>
        <v/>
      </c>
      <c r="XS1537" s="42" t="str">
        <f t="array" aca="1" ref="XS1537" ca="1">IFERROR(INDEX(nombres[],SMALL(IF(OFFSET(nombres[],0,0,ROWS(nombres[]),1)=XS$1490,ROW(OFFSET(nombres[],0,0,ROWS(nombres[]),1))-ROW(OFFSET(nombres[],0,0,1,1))+1,ROW(OFFSET(nombres[],ROWS(nombres[])-1,0,1,1))+1),$O1537:$O1556),3),"")</f>
        <v/>
      </c>
      <c r="XT1537" s="42" t="str">
        <f t="array" aca="1" ref="XT1537" ca="1">IFERROR(INDEX(nombres[],SMALL(IF(OFFSET(nombres[],0,0,ROWS(nombres[]),1)=XT$1490,ROW(OFFSET(nombres[],0,0,ROWS(nombres[]),1))-ROW(OFFSET(nombres[],0,0,1,1))+1,ROW(OFFSET(nombres[],ROWS(nombres[])-1,0,1,1))+1),$O1537:$O1556),3),"")</f>
        <v/>
      </c>
      <c r="XU1537" s="42" t="str">
        <f t="array" aca="1" ref="XU1537" ca="1">IFERROR(INDEX(nombres[],SMALL(IF(OFFSET(nombres[],0,0,ROWS(nombres[]),1)=XU$1490,ROW(OFFSET(nombres[],0,0,ROWS(nombres[]),1))-ROW(OFFSET(nombres[],0,0,1,1))+1,ROW(OFFSET(nombres[],ROWS(nombres[])-1,0,1,1))+1),$O1537:$O1556),3),"")</f>
        <v/>
      </c>
      <c r="XV1537" s="42" t="str">
        <f t="array" aca="1" ref="XV1537" ca="1">IFERROR(INDEX(nombres[],SMALL(IF(OFFSET(nombres[],0,0,ROWS(nombres[]),1)=XV$1490,ROW(OFFSET(nombres[],0,0,ROWS(nombres[]),1))-ROW(OFFSET(nombres[],0,0,1,1))+1,ROW(OFFSET(nombres[],ROWS(nombres[])-1,0,1,1))+1),$O1537:$O1556),3),"")</f>
        <v/>
      </c>
      <c r="XW1537" s="42" t="str">
        <f t="array" aca="1" ref="XW1537" ca="1">IFERROR(INDEX(nombres[],SMALL(IF(OFFSET(nombres[],0,0,ROWS(nombres[]),1)=XW$1490,ROW(OFFSET(nombres[],0,0,ROWS(nombres[]),1))-ROW(OFFSET(nombres[],0,0,1,1))+1,ROW(OFFSET(nombres[],ROWS(nombres[])-1,0,1,1))+1),$O1537:$O1556),3),"")</f>
        <v/>
      </c>
      <c r="XX1537" s="42" t="str">
        <f t="array" aca="1" ref="XX1537" ca="1">IFERROR(INDEX(nombres[],SMALL(IF(OFFSET(nombres[],0,0,ROWS(nombres[]),1)=XX$1490,ROW(OFFSET(nombres[],0,0,ROWS(nombres[]),1))-ROW(OFFSET(nombres[],0,0,1,1))+1,ROW(OFFSET(nombres[],ROWS(nombres[])-1,0,1,1))+1),$O1537:$O1556),3),"")</f>
        <v/>
      </c>
      <c r="XY1537" s="42" t="str">
        <f t="array" aca="1" ref="XY1537" ca="1">IFERROR(INDEX(nombres[],SMALL(IF(OFFSET(nombres[],0,0,ROWS(nombres[]),1)=XY$1490,ROW(OFFSET(nombres[],0,0,ROWS(nombres[]),1))-ROW(OFFSET(nombres[],0,0,1,1))+1,ROW(OFFSET(nombres[],ROWS(nombres[])-1,0,1,1))+1),$O1537:$O1556),3),"")</f>
        <v/>
      </c>
      <c r="XZ1537" s="42" t="str">
        <f t="array" aca="1" ref="XZ1537" ca="1">IFERROR(INDEX(nombres[],SMALL(IF(OFFSET(nombres[],0,0,ROWS(nombres[]),1)=XZ$1490,ROW(OFFSET(nombres[],0,0,ROWS(nombres[]),1))-ROW(OFFSET(nombres[],0,0,1,1))+1,ROW(OFFSET(nombres[],ROWS(nombres[])-1,0,1,1))+1),$O1537:$O1556),3),"")</f>
        <v/>
      </c>
      <c r="YA1537" s="42" t="str">
        <f t="array" aca="1" ref="YA1537" ca="1">IFERROR(INDEX(nombres[],SMALL(IF(OFFSET(nombres[],0,0,ROWS(nombres[]),1)=YA$1490,ROW(OFFSET(nombres[],0,0,ROWS(nombres[]),1))-ROW(OFFSET(nombres[],0,0,1,1))+1,ROW(OFFSET(nombres[],ROWS(nombres[])-1,0,1,1))+1),$O1537:$O1556),3),"")</f>
        <v/>
      </c>
      <c r="YB1537" s="42" t="str">
        <f t="array" aca="1" ref="YB1537" ca="1">IFERROR(INDEX(nombres[],SMALL(IF(OFFSET(nombres[],0,0,ROWS(nombres[]),1)=YB$1490,ROW(OFFSET(nombres[],0,0,ROWS(nombres[]),1))-ROW(OFFSET(nombres[],0,0,1,1))+1,ROW(OFFSET(nombres[],ROWS(nombres[])-1,0,1,1))+1),$O1537:$O1556),3),"")</f>
        <v/>
      </c>
      <c r="YC1537" s="42" t="str">
        <f t="array" aca="1" ref="YC1537" ca="1">IFERROR(INDEX(nombres[],SMALL(IF(OFFSET(nombres[],0,0,ROWS(nombres[]),1)=YC$1490,ROW(OFFSET(nombres[],0,0,ROWS(nombres[]),1))-ROW(OFFSET(nombres[],0,0,1,1))+1,ROW(OFFSET(nombres[],ROWS(nombres[])-1,0,1,1))+1),$O1537:$O1556),3),"")</f>
        <v/>
      </c>
      <c r="YD1537" s="42" t="str">
        <f t="array" aca="1" ref="YD1537" ca="1">IFERROR(INDEX(nombres[],SMALL(IF(OFFSET(nombres[],0,0,ROWS(nombres[]),1)=YD$1490,ROW(OFFSET(nombres[],0,0,ROWS(nombres[]),1))-ROW(OFFSET(nombres[],0,0,1,1))+1,ROW(OFFSET(nombres[],ROWS(nombres[])-1,0,1,1))+1),$O1537:$O1556),3),"")</f>
        <v/>
      </c>
      <c r="YE1537" s="42" t="str">
        <f t="array" aca="1" ref="YE1537" ca="1">IFERROR(INDEX(nombres[],SMALL(IF(OFFSET(nombres[],0,0,ROWS(nombres[]),1)=YE$1490,ROW(OFFSET(nombres[],0,0,ROWS(nombres[]),1))-ROW(OFFSET(nombres[],0,0,1,1))+1,ROW(OFFSET(nombres[],ROWS(nombres[])-1,0,1,1))+1),$O1537:$O1556),3),"")</f>
        <v/>
      </c>
      <c r="YF1537" s="42" t="str">
        <f t="array" aca="1" ref="YF1537" ca="1">IFERROR(INDEX(nombres[],SMALL(IF(OFFSET(nombres[],0,0,ROWS(nombres[]),1)=YF$1490,ROW(OFFSET(nombres[],0,0,ROWS(nombres[]),1))-ROW(OFFSET(nombres[],0,0,1,1))+1,ROW(OFFSET(nombres[],ROWS(nombres[])-1,0,1,1))+1),$O1537:$O1556),3),"")</f>
        <v/>
      </c>
      <c r="YG1537" s="42" t="str">
        <f t="array" aca="1" ref="YG1537" ca="1">IFERROR(INDEX(nombres[],SMALL(IF(OFFSET(nombres[],0,0,ROWS(nombres[]),1)=YG$1490,ROW(OFFSET(nombres[],0,0,ROWS(nombres[]),1))-ROW(OFFSET(nombres[],0,0,1,1))+1,ROW(OFFSET(nombres[],ROWS(nombres[])-1,0,1,1))+1),$O1537:$O1556),3),"")</f>
        <v/>
      </c>
      <c r="YH1537" s="42" t="str">
        <f t="array" aca="1" ref="YH1537" ca="1">IFERROR(INDEX(nombres[],SMALL(IF(OFFSET(nombres[],0,0,ROWS(nombres[]),1)=YH$1490,ROW(OFFSET(nombres[],0,0,ROWS(nombres[]),1))-ROW(OFFSET(nombres[],0,0,1,1))+1,ROW(OFFSET(nombres[],ROWS(nombres[])-1,0,1,1))+1),$O1537:$O1556),3),"")</f>
        <v/>
      </c>
      <c r="YI1537" s="42" t="str">
        <f t="array" aca="1" ref="YI1537" ca="1">IFERROR(INDEX(nombres[],SMALL(IF(OFFSET(nombres[],0,0,ROWS(nombres[]),1)=YI$1490,ROW(OFFSET(nombres[],0,0,ROWS(nombres[]),1))-ROW(OFFSET(nombres[],0,0,1,1))+1,ROW(OFFSET(nombres[],ROWS(nombres[])-1,0,1,1))+1),$O1537:$O1556),3),"")</f>
        <v/>
      </c>
      <c r="YJ1537" s="42" t="str">
        <f t="array" aca="1" ref="YJ1537" ca="1">IFERROR(INDEX(nombres[],SMALL(IF(OFFSET(nombres[],0,0,ROWS(nombres[]),1)=YJ$1490,ROW(OFFSET(nombres[],0,0,ROWS(nombres[]),1))-ROW(OFFSET(nombres[],0,0,1,1))+1,ROW(OFFSET(nombres[],ROWS(nombres[])-1,0,1,1))+1),$O1537:$O1556),3),"")</f>
        <v/>
      </c>
      <c r="YK1537" s="42" t="str">
        <f t="array" aca="1" ref="YK1537" ca="1">IFERROR(INDEX(nombres[],SMALL(IF(OFFSET(nombres[],0,0,ROWS(nombres[]),1)=YK$1490,ROW(OFFSET(nombres[],0,0,ROWS(nombres[]),1))-ROW(OFFSET(nombres[],0,0,1,1))+1,ROW(OFFSET(nombres[],ROWS(nombres[])-1,0,1,1))+1),$O1537:$O1556),3),"")</f>
        <v/>
      </c>
      <c r="YL1537" s="42" t="str">
        <f t="array" aca="1" ref="YL1537" ca="1">IFERROR(INDEX(nombres[],SMALL(IF(OFFSET(nombres[],0,0,ROWS(nombres[]),1)=YL$1490,ROW(OFFSET(nombres[],0,0,ROWS(nombres[]),1))-ROW(OFFSET(nombres[],0,0,1,1))+1,ROW(OFFSET(nombres[],ROWS(nombres[])-1,0,1,1))+1),$O1537:$O1556),3),"")</f>
        <v/>
      </c>
      <c r="YM1537" s="42" t="str">
        <f t="array" aca="1" ref="YM1537" ca="1">IFERROR(INDEX(nombres[],SMALL(IF(OFFSET(nombres[],0,0,ROWS(nombres[]),1)=YM$1490,ROW(OFFSET(nombres[],0,0,ROWS(nombres[]),1))-ROW(OFFSET(nombres[],0,0,1,1))+1,ROW(OFFSET(nombres[],ROWS(nombres[])-1,0,1,1))+1),$O1537:$O1556),3),"")</f>
        <v/>
      </c>
      <c r="YN1537" s="42" t="str">
        <f t="array" aca="1" ref="YN1537" ca="1">IFERROR(INDEX(nombres[],SMALL(IF(OFFSET(nombres[],0,0,ROWS(nombres[]),1)=YN$1490,ROW(OFFSET(nombres[],0,0,ROWS(nombres[]),1))-ROW(OFFSET(nombres[],0,0,1,1))+1,ROW(OFFSET(nombres[],ROWS(nombres[])-1,0,1,1))+1),$O1537:$O1556),3),"")</f>
        <v/>
      </c>
      <c r="YO1537" s="42" t="str">
        <f t="array" aca="1" ref="YO1537" ca="1">IFERROR(INDEX(nombres[],SMALL(IF(OFFSET(nombres[],0,0,ROWS(nombres[]),1)=YO$1490,ROW(OFFSET(nombres[],0,0,ROWS(nombres[]),1))-ROW(OFFSET(nombres[],0,0,1,1))+1,ROW(OFFSET(nombres[],ROWS(nombres[])-1,0,1,1))+1),$O1537:$O1556),3),"")</f>
        <v/>
      </c>
      <c r="YP1537" s="42" t="str">
        <f t="array" aca="1" ref="YP1537" ca="1">IFERROR(INDEX(nombres[],SMALL(IF(OFFSET(nombres[],0,0,ROWS(nombres[]),1)=YP$1490,ROW(OFFSET(nombres[],0,0,ROWS(nombres[]),1))-ROW(OFFSET(nombres[],0,0,1,1))+1,ROW(OFFSET(nombres[],ROWS(nombres[])-1,0,1,1))+1),$O1537:$O1556),3),"")</f>
        <v/>
      </c>
      <c r="YQ1537" s="42" t="str">
        <f t="array" aca="1" ref="YQ1537" ca="1">IFERROR(INDEX(nombres[],SMALL(IF(OFFSET(nombres[],0,0,ROWS(nombres[]),1)=YQ$1490,ROW(OFFSET(nombres[],0,0,ROWS(nombres[]),1))-ROW(OFFSET(nombres[],0,0,1,1))+1,ROW(OFFSET(nombres[],ROWS(nombres[])-1,0,1,1))+1),$O1537:$O1556),3),"")</f>
        <v/>
      </c>
      <c r="YR1537" s="42" t="str">
        <f t="array" aca="1" ref="YR1537" ca="1">IFERROR(INDEX(nombres[],SMALL(IF(OFFSET(nombres[],0,0,ROWS(nombres[]),1)=YR$1490,ROW(OFFSET(nombres[],0,0,ROWS(nombres[]),1))-ROW(OFFSET(nombres[],0,0,1,1))+1,ROW(OFFSET(nombres[],ROWS(nombres[])-1,0,1,1))+1),$O1537:$O1556),3),"")</f>
        <v/>
      </c>
      <c r="YS1537" s="42" t="str">
        <f t="array" aca="1" ref="YS1537" ca="1">IFERROR(INDEX(nombres[],SMALL(IF(OFFSET(nombres[],0,0,ROWS(nombres[]),1)=YS$1490,ROW(OFFSET(nombres[],0,0,ROWS(nombres[]),1))-ROW(OFFSET(nombres[],0,0,1,1))+1,ROW(OFFSET(nombres[],ROWS(nombres[])-1,0,1,1))+1),$O1537:$O1556),3),"")</f>
        <v/>
      </c>
      <c r="YT1537" s="42" t="str">
        <f t="array" aca="1" ref="YT1537" ca="1">IFERROR(INDEX(nombres[],SMALL(IF(OFFSET(nombres[],0,0,ROWS(nombres[]),1)=YT$1490,ROW(OFFSET(nombres[],0,0,ROWS(nombres[]),1))-ROW(OFFSET(nombres[],0,0,1,1))+1,ROW(OFFSET(nombres[],ROWS(nombres[])-1,0,1,1))+1),$O1537:$O1556),3),"")</f>
        <v/>
      </c>
      <c r="YU1537" s="42" t="str">
        <f t="array" aca="1" ref="YU1537" ca="1">IFERROR(INDEX(nombres[],SMALL(IF(OFFSET(nombres[],0,0,ROWS(nombres[]),1)=YU$1490,ROW(OFFSET(nombres[],0,0,ROWS(nombres[]),1))-ROW(OFFSET(nombres[],0,0,1,1))+1,ROW(OFFSET(nombres[],ROWS(nombres[])-1,0,1,1))+1),$O1537:$O1556),3),"")</f>
        <v/>
      </c>
      <c r="YV1537" s="42" t="str">
        <f t="array" aca="1" ref="YV1537" ca="1">IFERROR(INDEX(nombres[],SMALL(IF(OFFSET(nombres[],0,0,ROWS(nombres[]),1)=YV$1490,ROW(OFFSET(nombres[],0,0,ROWS(nombres[]),1))-ROW(OFFSET(nombres[],0,0,1,1))+1,ROW(OFFSET(nombres[],ROWS(nombres[])-1,0,1,1))+1),$O1537:$O1556),3),"")</f>
        <v/>
      </c>
      <c r="YW1537" s="42" t="str">
        <f t="array" aca="1" ref="YW1537" ca="1">IFERROR(INDEX(nombres[],SMALL(IF(OFFSET(nombres[],0,0,ROWS(nombres[]),1)=YW$1490,ROW(OFFSET(nombres[],0,0,ROWS(nombres[]),1))-ROW(OFFSET(nombres[],0,0,1,1))+1,ROW(OFFSET(nombres[],ROWS(nombres[])-1,0,1,1))+1),$O1537:$O1556),3),"")</f>
        <v/>
      </c>
      <c r="YX1537" s="42" t="str">
        <f t="array" aca="1" ref="YX1537" ca="1">IFERROR(INDEX(nombres[],SMALL(IF(OFFSET(nombres[],0,0,ROWS(nombres[]),1)=YX$1490,ROW(OFFSET(nombres[],0,0,ROWS(nombres[]),1))-ROW(OFFSET(nombres[],0,0,1,1))+1,ROW(OFFSET(nombres[],ROWS(nombres[])-1,0,1,1))+1),$O1537:$O1556),3),"")</f>
        <v/>
      </c>
      <c r="YY1537" s="42" t="str">
        <f t="array" aca="1" ref="YY1537" ca="1">IFERROR(INDEX(nombres[],SMALL(IF(OFFSET(nombres[],0,0,ROWS(nombres[]),1)=YY$1490,ROW(OFFSET(nombres[],0,0,ROWS(nombres[]),1))-ROW(OFFSET(nombres[],0,0,1,1))+1,ROW(OFFSET(nombres[],ROWS(nombres[])-1,0,1,1))+1),$O1537:$O1556),3),"")</f>
        <v/>
      </c>
      <c r="YZ1537" s="42" t="str">
        <f t="array" aca="1" ref="YZ1537" ca="1">IFERROR(INDEX(nombres[],SMALL(IF(OFFSET(nombres[],0,0,ROWS(nombres[]),1)=YZ$1490,ROW(OFFSET(nombres[],0,0,ROWS(nombres[]),1))-ROW(OFFSET(nombres[],0,0,1,1))+1,ROW(OFFSET(nombres[],ROWS(nombres[])-1,0,1,1))+1),$O1537:$O1556),3),"")</f>
        <v/>
      </c>
      <c r="ZA1537" s="42" t="str">
        <f t="array" aca="1" ref="ZA1537" ca="1">IFERROR(INDEX(nombres[],SMALL(IF(OFFSET(nombres[],0,0,ROWS(nombres[]),1)=ZA$1490,ROW(OFFSET(nombres[],0,0,ROWS(nombres[]),1))-ROW(OFFSET(nombres[],0,0,1,1))+1,ROW(OFFSET(nombres[],ROWS(nombres[])-1,0,1,1))+1),$O1537:$O1556),3),"")</f>
        <v/>
      </c>
      <c r="ZB1537" s="42" t="str">
        <f t="array" aca="1" ref="ZB1537" ca="1">IFERROR(INDEX(nombres[],SMALL(IF(OFFSET(nombres[],0,0,ROWS(nombres[]),1)=ZB$1490,ROW(OFFSET(nombres[],0,0,ROWS(nombres[]),1))-ROW(OFFSET(nombres[],0,0,1,1))+1,ROW(OFFSET(nombres[],ROWS(nombres[])-1,0,1,1))+1),$O1537:$O1556),3),"")</f>
        <v/>
      </c>
      <c r="ZC1537" s="42" t="str">
        <f t="array" aca="1" ref="ZC1537" ca="1">IFERROR(INDEX(nombres[],SMALL(IF(OFFSET(nombres[],0,0,ROWS(nombres[]),1)=ZC$1490,ROW(OFFSET(nombres[],0,0,ROWS(nombres[]),1))-ROW(OFFSET(nombres[],0,0,1,1))+1,ROW(OFFSET(nombres[],ROWS(nombres[])-1,0,1,1))+1),$O1537:$O1556),3),"")</f>
        <v/>
      </c>
      <c r="ZD1537" s="42" t="str">
        <f t="array" aca="1" ref="ZD1537" ca="1">IFERROR(INDEX(nombres[],SMALL(IF(OFFSET(nombres[],0,0,ROWS(nombres[]),1)=ZD$1490,ROW(OFFSET(nombres[],0,0,ROWS(nombres[]),1))-ROW(OFFSET(nombres[],0,0,1,1))+1,ROW(OFFSET(nombres[],ROWS(nombres[])-1,0,1,1))+1),$O1537:$O1556),3),"")</f>
        <v/>
      </c>
      <c r="ZE1537" s="42" t="str">
        <f t="array" aca="1" ref="ZE1537" ca="1">IFERROR(INDEX(nombres[],SMALL(IF(OFFSET(nombres[],0,0,ROWS(nombres[]),1)=ZE$1490,ROW(OFFSET(nombres[],0,0,ROWS(nombres[]),1))-ROW(OFFSET(nombres[],0,0,1,1))+1,ROW(OFFSET(nombres[],ROWS(nombres[])-1,0,1,1))+1),$O1537:$O1556),3),"")</f>
        <v/>
      </c>
      <c r="ZF1537" s="42" t="str">
        <f t="array" aca="1" ref="ZF1537" ca="1">IFERROR(INDEX(nombres[],SMALL(IF(OFFSET(nombres[],0,0,ROWS(nombres[]),1)=ZF$1490,ROW(OFFSET(nombres[],0,0,ROWS(nombres[]),1))-ROW(OFFSET(nombres[],0,0,1,1))+1,ROW(OFFSET(nombres[],ROWS(nombres[])-1,0,1,1))+1),$O1537:$O1556),3),"")</f>
        <v/>
      </c>
      <c r="ZG1537" s="42" t="str">
        <f t="array" aca="1" ref="ZG1537" ca="1">IFERROR(INDEX(nombres[],SMALL(IF(OFFSET(nombres[],0,0,ROWS(nombres[]),1)=ZG$1490,ROW(OFFSET(nombres[],0,0,ROWS(nombres[]),1))-ROW(OFFSET(nombres[],0,0,1,1))+1,ROW(OFFSET(nombres[],ROWS(nombres[])-1,0,1,1))+1),$O1537:$O1556),3),"")</f>
        <v/>
      </c>
      <c r="ZH1537" s="42" t="str">
        <f t="array" aca="1" ref="ZH1537" ca="1">IFERROR(INDEX(nombres[],SMALL(IF(OFFSET(nombres[],0,0,ROWS(nombres[]),1)=ZH$1490,ROW(OFFSET(nombres[],0,0,ROWS(nombres[]),1))-ROW(OFFSET(nombres[],0,0,1,1))+1,ROW(OFFSET(nombres[],ROWS(nombres[])-1,0,1,1))+1),$O1537:$O1556),3),"")</f>
        <v/>
      </c>
      <c r="ZI1537" s="42" t="str">
        <f t="array" aca="1" ref="ZI1537" ca="1">IFERROR(INDEX(nombres[],SMALL(IF(OFFSET(nombres[],0,0,ROWS(nombres[]),1)=ZI$1490,ROW(OFFSET(nombres[],0,0,ROWS(nombres[]),1))-ROW(OFFSET(nombres[],0,0,1,1))+1,ROW(OFFSET(nombres[],ROWS(nombres[])-1,0,1,1))+1),$O1537:$O1556),3),"")</f>
        <v/>
      </c>
      <c r="ZJ1537" s="42" t="str">
        <f t="array" aca="1" ref="ZJ1537" ca="1">IFERROR(INDEX(nombres[],SMALL(IF(OFFSET(nombres[],0,0,ROWS(nombres[]),1)=ZJ$1490,ROW(OFFSET(nombres[],0,0,ROWS(nombres[]),1))-ROW(OFFSET(nombres[],0,0,1,1))+1,ROW(OFFSET(nombres[],ROWS(nombres[])-1,0,1,1))+1),$O1537:$O1556),3),"")</f>
        <v/>
      </c>
      <c r="ZK1537" s="42" t="str">
        <f t="array" aca="1" ref="ZK1537" ca="1">IFERROR(INDEX(nombres[],SMALL(IF(OFFSET(nombres[],0,0,ROWS(nombres[]),1)=ZK$1490,ROW(OFFSET(nombres[],0,0,ROWS(nombres[]),1))-ROW(OFFSET(nombres[],0,0,1,1))+1,ROW(OFFSET(nombres[],ROWS(nombres[])-1,0,1,1))+1),$O1537:$O1556),3),"")</f>
        <v/>
      </c>
      <c r="ZL1537" s="42" t="str">
        <f t="array" aca="1" ref="ZL1537" ca="1">IFERROR(INDEX(nombres[],SMALL(IF(OFFSET(nombres[],0,0,ROWS(nombres[]),1)=ZL$1490,ROW(OFFSET(nombres[],0,0,ROWS(nombres[]),1))-ROW(OFFSET(nombres[],0,0,1,1))+1,ROW(OFFSET(nombres[],ROWS(nombres[])-1,0,1,1))+1),$O1537:$O1556),3),"")</f>
        <v/>
      </c>
      <c r="ZM1537" s="42" t="str">
        <f t="array" aca="1" ref="ZM1537" ca="1">IFERROR(INDEX(nombres[],SMALL(IF(OFFSET(nombres[],0,0,ROWS(nombres[]),1)=ZM$1490,ROW(OFFSET(nombres[],0,0,ROWS(nombres[]),1))-ROW(OFFSET(nombres[],0,0,1,1))+1,ROW(OFFSET(nombres[],ROWS(nombres[])-1,0,1,1))+1),$O1537:$O1556),3),"")</f>
        <v/>
      </c>
      <c r="ZN1537" s="42" t="str">
        <f t="array" aca="1" ref="ZN1537" ca="1">IFERROR(INDEX(nombres[],SMALL(IF(OFFSET(nombres[],0,0,ROWS(nombres[]),1)=ZN$1490,ROW(OFFSET(nombres[],0,0,ROWS(nombres[]),1))-ROW(OFFSET(nombres[],0,0,1,1))+1,ROW(OFFSET(nombres[],ROWS(nombres[])-1,0,1,1))+1),$O1537:$O1556),3),"")</f>
        <v/>
      </c>
      <c r="ZO1537" s="42" t="str">
        <f t="array" aca="1" ref="ZO1537" ca="1">IFERROR(INDEX(nombres[],SMALL(IF(OFFSET(nombres[],0,0,ROWS(nombres[]),1)=ZO$1490,ROW(OFFSET(nombres[],0,0,ROWS(nombres[]),1))-ROW(OFFSET(nombres[],0,0,1,1))+1,ROW(OFFSET(nombres[],ROWS(nombres[])-1,0,1,1))+1),$O1537:$O1556),3),"")</f>
        <v/>
      </c>
      <c r="ZP1537" s="42" t="str">
        <f t="array" aca="1" ref="ZP1537" ca="1">IFERROR(INDEX(nombres[],SMALL(IF(OFFSET(nombres[],0,0,ROWS(nombres[]),1)=ZP$1490,ROW(OFFSET(nombres[],0,0,ROWS(nombres[]),1))-ROW(OFFSET(nombres[],0,0,1,1))+1,ROW(OFFSET(nombres[],ROWS(nombres[])-1,0,1,1))+1),$O1537:$O1556),3),"")</f>
        <v/>
      </c>
      <c r="ZQ1537" s="42" t="str">
        <f t="array" aca="1" ref="ZQ1537" ca="1">IFERROR(INDEX(nombres[],SMALL(IF(OFFSET(nombres[],0,0,ROWS(nombres[]),1)=ZQ$1490,ROW(OFFSET(nombres[],0,0,ROWS(nombres[]),1))-ROW(OFFSET(nombres[],0,0,1,1))+1,ROW(OFFSET(nombres[],ROWS(nombres[])-1,0,1,1))+1),$O1537:$O1556),3),"")</f>
        <v/>
      </c>
      <c r="ZR1537" s="42" t="str">
        <f t="array" aca="1" ref="ZR1537" ca="1">IFERROR(INDEX(nombres[],SMALL(IF(OFFSET(nombres[],0,0,ROWS(nombres[]),1)=ZR$1490,ROW(OFFSET(nombres[],0,0,ROWS(nombres[]),1))-ROW(OFFSET(nombres[],0,0,1,1))+1,ROW(OFFSET(nombres[],ROWS(nombres[])-1,0,1,1))+1),$O1537:$O1556),3),"")</f>
        <v/>
      </c>
      <c r="ZS1537" s="42" t="str">
        <f t="array" aca="1" ref="ZS1537" ca="1">IFERROR(INDEX(nombres[],SMALL(IF(OFFSET(nombres[],0,0,ROWS(nombres[]),1)=ZS$1490,ROW(OFFSET(nombres[],0,0,ROWS(nombres[]),1))-ROW(OFFSET(nombres[],0,0,1,1))+1,ROW(OFFSET(nombres[],ROWS(nombres[])-1,0,1,1))+1),$O1537:$O1556),3),"")</f>
        <v/>
      </c>
      <c r="ZT1537" s="42" t="str">
        <f t="array" aca="1" ref="ZT1537" ca="1">IFERROR(INDEX(nombres[],SMALL(IF(OFFSET(nombres[],0,0,ROWS(nombres[]),1)=ZT$1490,ROW(OFFSET(nombres[],0,0,ROWS(nombres[]),1))-ROW(OFFSET(nombres[],0,0,1,1))+1,ROW(OFFSET(nombres[],ROWS(nombres[])-1,0,1,1))+1),$O1537:$O1556),3),"")</f>
        <v/>
      </c>
      <c r="ZU1537" s="42" t="str">
        <f t="array" aca="1" ref="ZU1537" ca="1">IFERROR(INDEX(nombres[],SMALL(IF(OFFSET(nombres[],0,0,ROWS(nombres[]),1)=ZU$1490,ROW(OFFSET(nombres[],0,0,ROWS(nombres[]),1))-ROW(OFFSET(nombres[],0,0,1,1))+1,ROW(OFFSET(nombres[],ROWS(nombres[])-1,0,1,1))+1),$O1537:$O1556),3),"")</f>
        <v/>
      </c>
      <c r="ZV1537" s="42" t="str">
        <f t="array" aca="1" ref="ZV1537" ca="1">IFERROR(INDEX(nombres[],SMALL(IF(OFFSET(nombres[],0,0,ROWS(nombres[]),1)=ZV$1490,ROW(OFFSET(nombres[],0,0,ROWS(nombres[]),1))-ROW(OFFSET(nombres[],0,0,1,1))+1,ROW(OFFSET(nombres[],ROWS(nombres[])-1,0,1,1))+1),$O1537:$O1556),3),"")</f>
        <v/>
      </c>
      <c r="ZW1537" s="42" t="str">
        <f t="array" aca="1" ref="ZW1537" ca="1">IFERROR(INDEX(nombres[],SMALL(IF(OFFSET(nombres[],0,0,ROWS(nombres[]),1)=ZW$1490,ROW(OFFSET(nombres[],0,0,ROWS(nombres[]),1))-ROW(OFFSET(nombres[],0,0,1,1))+1,ROW(OFFSET(nombres[],ROWS(nombres[])-1,0,1,1))+1),$O1537:$O1556),3),"")</f>
        <v/>
      </c>
      <c r="ZX1537" s="42" t="str">
        <f t="array" aca="1" ref="ZX1537" ca="1">IFERROR(INDEX(nombres[],SMALL(IF(OFFSET(nombres[],0,0,ROWS(nombres[]),1)=ZX$1490,ROW(OFFSET(nombres[],0,0,ROWS(nombres[]),1))-ROW(OFFSET(nombres[],0,0,1,1))+1,ROW(OFFSET(nombres[],ROWS(nombres[])-1,0,1,1))+1),$O1537:$O1556),3),"")</f>
        <v/>
      </c>
      <c r="ZY1537" s="42" t="str">
        <f t="array" aca="1" ref="ZY1537" ca="1">IFERROR(INDEX(nombres[],SMALL(IF(OFFSET(nombres[],0,0,ROWS(nombres[]),1)=ZY$1490,ROW(OFFSET(nombres[],0,0,ROWS(nombres[]),1))-ROW(OFFSET(nombres[],0,0,1,1))+1,ROW(OFFSET(nombres[],ROWS(nombres[])-1,0,1,1))+1),$O1537:$O1556),3),"")</f>
        <v/>
      </c>
      <c r="ZZ1537" s="42" t="str">
        <f t="array" aca="1" ref="ZZ1537" ca="1">IFERROR(INDEX(nombres[],SMALL(IF(OFFSET(nombres[],0,0,ROWS(nombres[]),1)=ZZ$1490,ROW(OFFSET(nombres[],0,0,ROWS(nombres[]),1))-ROW(OFFSET(nombres[],0,0,1,1))+1,ROW(OFFSET(nombres[],ROWS(nombres[])-1,0,1,1))+1),$O1537:$O1556),3),"")</f>
        <v/>
      </c>
      <c r="AAA1537" s="42" t="str">
        <f t="array" aca="1" ref="AAA1537" ca="1">IFERROR(INDEX(nombres[],SMALL(IF(OFFSET(nombres[],0,0,ROWS(nombres[]),1)=AAA$1490,ROW(OFFSET(nombres[],0,0,ROWS(nombres[]),1))-ROW(OFFSET(nombres[],0,0,1,1))+1,ROW(OFFSET(nombres[],ROWS(nombres[])-1,0,1,1))+1),$O1537:$O1556),3),"")</f>
        <v/>
      </c>
      <c r="AAB1537" s="42" t="str">
        <f t="array" aca="1" ref="AAB1537" ca="1">IFERROR(INDEX(nombres[],SMALL(IF(OFFSET(nombres[],0,0,ROWS(nombres[]),1)=AAB$1490,ROW(OFFSET(nombres[],0,0,ROWS(nombres[]),1))-ROW(OFFSET(nombres[],0,0,1,1))+1,ROW(OFFSET(nombres[],ROWS(nombres[])-1,0,1,1))+1),$O1537:$O1556),3),"")</f>
        <v/>
      </c>
      <c r="AAC1537" s="42" t="str">
        <f t="array" aca="1" ref="AAC1537" ca="1">IFERROR(INDEX(nombres[],SMALL(IF(OFFSET(nombres[],0,0,ROWS(nombres[]),1)=AAC$1490,ROW(OFFSET(nombres[],0,0,ROWS(nombres[]),1))-ROW(OFFSET(nombres[],0,0,1,1))+1,ROW(OFFSET(nombres[],ROWS(nombres[])-1,0,1,1))+1),$O1537:$O1556),3),"")</f>
        <v/>
      </c>
      <c r="AAD1537" s="42" t="str">
        <f t="array" aca="1" ref="AAD1537" ca="1">IFERROR(INDEX(nombres[],SMALL(IF(OFFSET(nombres[],0,0,ROWS(nombres[]),1)=AAD$1490,ROW(OFFSET(nombres[],0,0,ROWS(nombres[]),1))-ROW(OFFSET(nombres[],0,0,1,1))+1,ROW(OFFSET(nombres[],ROWS(nombres[])-1,0,1,1))+1),$O1537:$O1556),3),"")</f>
        <v/>
      </c>
      <c r="AAE1537" s="42" t="str">
        <f t="array" aca="1" ref="AAE1537" ca="1">IFERROR(INDEX(nombres[],SMALL(IF(OFFSET(nombres[],0,0,ROWS(nombres[]),1)=AAE$1490,ROW(OFFSET(nombres[],0,0,ROWS(nombres[]),1))-ROW(OFFSET(nombres[],0,0,1,1))+1,ROW(OFFSET(nombres[],ROWS(nombres[])-1,0,1,1))+1),$O1537:$O1556),3),"")</f>
        <v/>
      </c>
      <c r="AAF1537" s="42" t="str">
        <f t="array" aca="1" ref="AAF1537" ca="1">IFERROR(INDEX(nombres[],SMALL(IF(OFFSET(nombres[],0,0,ROWS(nombres[]),1)=AAF$1490,ROW(OFFSET(nombres[],0,0,ROWS(nombres[]),1))-ROW(OFFSET(nombres[],0,0,1,1))+1,ROW(OFFSET(nombres[],ROWS(nombres[])-1,0,1,1))+1),$O1537:$O1556),3),"")</f>
        <v/>
      </c>
      <c r="AAG1537" s="42" t="str">
        <f t="array" aca="1" ref="AAG1537" ca="1">IFERROR(INDEX(nombres[],SMALL(IF(OFFSET(nombres[],0,0,ROWS(nombres[]),1)=AAG$1490,ROW(OFFSET(nombres[],0,0,ROWS(nombres[]),1))-ROW(OFFSET(nombres[],0,0,1,1))+1,ROW(OFFSET(nombres[],ROWS(nombres[])-1,0,1,1))+1),$O1537:$O1556),3),"")</f>
        <v/>
      </c>
      <c r="AAH1537" s="42" t="str">
        <f t="array" aca="1" ref="AAH1537" ca="1">IFERROR(INDEX(nombres[],SMALL(IF(OFFSET(nombres[],0,0,ROWS(nombres[]),1)=AAH$1490,ROW(OFFSET(nombres[],0,0,ROWS(nombres[]),1))-ROW(OFFSET(nombres[],0,0,1,1))+1,ROW(OFFSET(nombres[],ROWS(nombres[])-1,0,1,1))+1),$O1537:$O1556),3),"")</f>
        <v/>
      </c>
      <c r="AAI1537" s="42" t="str">
        <f t="array" aca="1" ref="AAI1537" ca="1">IFERROR(INDEX(nombres[],SMALL(IF(OFFSET(nombres[],0,0,ROWS(nombres[]),1)=AAI$1490,ROW(OFFSET(nombres[],0,0,ROWS(nombres[]),1))-ROW(OFFSET(nombres[],0,0,1,1))+1,ROW(OFFSET(nombres[],ROWS(nombres[])-1,0,1,1))+1),$O1537:$O1556),3),"")</f>
        <v/>
      </c>
      <c r="AAJ1537" s="42" t="str">
        <f t="array" aca="1" ref="AAJ1537" ca="1">IFERROR(INDEX(nombres[],SMALL(IF(OFFSET(nombres[],0,0,ROWS(nombres[]),1)=AAJ$1490,ROW(OFFSET(nombres[],0,0,ROWS(nombres[]),1))-ROW(OFFSET(nombres[],0,0,1,1))+1,ROW(OFFSET(nombres[],ROWS(nombres[])-1,0,1,1))+1),$O1537:$O1556),3),"")</f>
        <v/>
      </c>
      <c r="AAK1537" s="42" t="str">
        <f t="array" aca="1" ref="AAK1537" ca="1">IFERROR(INDEX(nombres[],SMALL(IF(OFFSET(nombres[],0,0,ROWS(nombres[]),1)=AAK$1490,ROW(OFFSET(nombres[],0,0,ROWS(nombres[]),1))-ROW(OFFSET(nombres[],0,0,1,1))+1,ROW(OFFSET(nombres[],ROWS(nombres[])-1,0,1,1))+1),$O1537:$O1556),3),"")</f>
        <v/>
      </c>
      <c r="AAL1537" s="42" t="str">
        <f t="array" aca="1" ref="AAL1537" ca="1">IFERROR(INDEX(nombres[],SMALL(IF(OFFSET(nombres[],0,0,ROWS(nombres[]),1)=AAL$1490,ROW(OFFSET(nombres[],0,0,ROWS(nombres[]),1))-ROW(OFFSET(nombres[],0,0,1,1))+1,ROW(OFFSET(nombres[],ROWS(nombres[])-1,0,1,1))+1),$O1537:$O1556),3),"")</f>
        <v/>
      </c>
      <c r="AAM1537" s="42" t="str">
        <f t="array" aca="1" ref="AAM1537" ca="1">IFERROR(INDEX(nombres[],SMALL(IF(OFFSET(nombres[],0,0,ROWS(nombres[]),1)=AAM$1490,ROW(OFFSET(nombres[],0,0,ROWS(nombres[]),1))-ROW(OFFSET(nombres[],0,0,1,1))+1,ROW(OFFSET(nombres[],ROWS(nombres[])-1,0,1,1))+1),$O1537:$O1556),3),"")</f>
        <v/>
      </c>
      <c r="AAN1537" s="42" t="str">
        <f t="array" aca="1" ref="AAN1537" ca="1">IFERROR(INDEX(nombres[],SMALL(IF(OFFSET(nombres[],0,0,ROWS(nombres[]),1)=AAN$1490,ROW(OFFSET(nombres[],0,0,ROWS(nombres[]),1))-ROW(OFFSET(nombres[],0,0,1,1))+1,ROW(OFFSET(nombres[],ROWS(nombres[])-1,0,1,1))+1),$O1537:$O1556),3),"")</f>
        <v/>
      </c>
      <c r="AAO1537" s="42" t="str">
        <f t="array" aca="1" ref="AAO1537" ca="1">IFERROR(INDEX(nombres[],SMALL(IF(OFFSET(nombres[],0,0,ROWS(nombres[]),1)=AAO$1490,ROW(OFFSET(nombres[],0,0,ROWS(nombres[]),1))-ROW(OFFSET(nombres[],0,0,1,1))+1,ROW(OFFSET(nombres[],ROWS(nombres[])-1,0,1,1))+1),$O1537:$O1556),3),"")</f>
        <v/>
      </c>
      <c r="AAP1537" s="42" t="str">
        <f t="array" aca="1" ref="AAP1537" ca="1">IFERROR(INDEX(nombres[],SMALL(IF(OFFSET(nombres[],0,0,ROWS(nombres[]),1)=AAP$1490,ROW(OFFSET(nombres[],0,0,ROWS(nombres[]),1))-ROW(OFFSET(nombres[],0,0,1,1))+1,ROW(OFFSET(nombres[],ROWS(nombres[])-1,0,1,1))+1),$O1537:$O1556),3),"")</f>
        <v/>
      </c>
      <c r="AAQ1537" s="42" t="str">
        <f t="array" aca="1" ref="AAQ1537" ca="1">IFERROR(INDEX(nombres[],SMALL(IF(OFFSET(nombres[],0,0,ROWS(nombres[]),1)=AAQ$1490,ROW(OFFSET(nombres[],0,0,ROWS(nombres[]),1))-ROW(OFFSET(nombres[],0,0,1,1))+1,ROW(OFFSET(nombres[],ROWS(nombres[])-1,0,1,1))+1),$O1537:$O1556),3),"")</f>
        <v/>
      </c>
      <c r="AAR1537" s="42" t="str">
        <f t="array" aca="1" ref="AAR1537" ca="1">IFERROR(INDEX(nombres[],SMALL(IF(OFFSET(nombres[],0,0,ROWS(nombres[]),1)=AAR$1490,ROW(OFFSET(nombres[],0,0,ROWS(nombres[]),1))-ROW(OFFSET(nombres[],0,0,1,1))+1,ROW(OFFSET(nombres[],ROWS(nombres[])-1,0,1,1))+1),$O1537:$O1556),3),"")</f>
        <v/>
      </c>
      <c r="AAS1537" s="42" t="str">
        <f t="array" aca="1" ref="AAS1537" ca="1">IFERROR(INDEX(nombres[],SMALL(IF(OFFSET(nombres[],0,0,ROWS(nombres[]),1)=AAS$1490,ROW(OFFSET(nombres[],0,0,ROWS(nombres[]),1))-ROW(OFFSET(nombres[],0,0,1,1))+1,ROW(OFFSET(nombres[],ROWS(nombres[])-1,0,1,1))+1),$O1537:$O1556),3),"")</f>
        <v/>
      </c>
      <c r="AAT1537" s="42" t="str">
        <f t="array" aca="1" ref="AAT1537" ca="1">IFERROR(INDEX(nombres[],SMALL(IF(OFFSET(nombres[],0,0,ROWS(nombres[]),1)=AAT$1490,ROW(OFFSET(nombres[],0,0,ROWS(nombres[]),1))-ROW(OFFSET(nombres[],0,0,1,1))+1,ROW(OFFSET(nombres[],ROWS(nombres[])-1,0,1,1))+1),$O1537:$O1556),3),"")</f>
        <v/>
      </c>
      <c r="AAU1537" s="42" t="str">
        <f t="array" aca="1" ref="AAU1537" ca="1">IFERROR(INDEX(nombres[],SMALL(IF(OFFSET(nombres[],0,0,ROWS(nombres[]),1)=AAU$1490,ROW(OFFSET(nombres[],0,0,ROWS(nombres[]),1))-ROW(OFFSET(nombres[],0,0,1,1))+1,ROW(OFFSET(nombres[],ROWS(nombres[])-1,0,1,1))+1),$O1537:$O1556),3),"")</f>
        <v/>
      </c>
      <c r="AAV1537" s="42" t="str">
        <f t="array" aca="1" ref="AAV1537" ca="1">IFERROR(INDEX(nombres[],SMALL(IF(OFFSET(nombres[],0,0,ROWS(nombres[]),1)=AAV$1490,ROW(OFFSET(nombres[],0,0,ROWS(nombres[]),1))-ROW(OFFSET(nombres[],0,0,1,1))+1,ROW(OFFSET(nombres[],ROWS(nombres[])-1,0,1,1))+1),$O1537:$O1556),3),"")</f>
        <v/>
      </c>
      <c r="AAW1537" s="42" t="str">
        <f t="array" aca="1" ref="AAW1537" ca="1">IFERROR(INDEX(nombres[],SMALL(IF(OFFSET(nombres[],0,0,ROWS(nombres[]),1)=AAW$1490,ROW(OFFSET(nombres[],0,0,ROWS(nombres[]),1))-ROW(OFFSET(nombres[],0,0,1,1))+1,ROW(OFFSET(nombres[],ROWS(nombres[])-1,0,1,1))+1),$O1537:$O1556),3),"")</f>
        <v/>
      </c>
      <c r="AAX1537" s="42" t="str">
        <f t="array" aca="1" ref="AAX1537" ca="1">IFERROR(INDEX(nombres[],SMALL(IF(OFFSET(nombres[],0,0,ROWS(nombres[]),1)=AAX$1490,ROW(OFFSET(nombres[],0,0,ROWS(nombres[]),1))-ROW(OFFSET(nombres[],0,0,1,1))+1,ROW(OFFSET(nombres[],ROWS(nombres[])-1,0,1,1))+1),$O1537:$O1556),3),"")</f>
        <v/>
      </c>
      <c r="AAY1537" s="42" t="str">
        <f t="array" aca="1" ref="AAY1537" ca="1">IFERROR(INDEX(nombres[],SMALL(IF(OFFSET(nombres[],0,0,ROWS(nombres[]),1)=AAY$1490,ROW(OFFSET(nombres[],0,0,ROWS(nombres[]),1))-ROW(OFFSET(nombres[],0,0,1,1))+1,ROW(OFFSET(nombres[],ROWS(nombres[])-1,0,1,1))+1),$O1537:$O1556),3),"")</f>
        <v/>
      </c>
      <c r="AAZ1537" s="42" t="str">
        <f t="array" aca="1" ref="AAZ1537" ca="1">IFERROR(INDEX(nombres[],SMALL(IF(OFFSET(nombres[],0,0,ROWS(nombres[]),1)=AAZ$1490,ROW(OFFSET(nombres[],0,0,ROWS(nombres[]),1))-ROW(OFFSET(nombres[],0,0,1,1))+1,ROW(OFFSET(nombres[],ROWS(nombres[])-1,0,1,1))+1),$O1537:$O1556),3),"")</f>
        <v/>
      </c>
      <c r="ABA1537" s="42" t="str">
        <f t="array" aca="1" ref="ABA1537" ca="1">IFERROR(INDEX(nombres[],SMALL(IF(OFFSET(nombres[],0,0,ROWS(nombres[]),1)=ABA$1490,ROW(OFFSET(nombres[],0,0,ROWS(nombres[]),1))-ROW(OFFSET(nombres[],0,0,1,1))+1,ROW(OFFSET(nombres[],ROWS(nombres[])-1,0,1,1))+1),$O1537:$O1556),3),"")</f>
        <v/>
      </c>
      <c r="ABB1537" s="42" t="str">
        <f t="array" aca="1" ref="ABB1537" ca="1">IFERROR(INDEX(nombres[],SMALL(IF(OFFSET(nombres[],0,0,ROWS(nombres[]),1)=ABB$1490,ROW(OFFSET(nombres[],0,0,ROWS(nombres[]),1))-ROW(OFFSET(nombres[],0,0,1,1))+1,ROW(OFFSET(nombres[],ROWS(nombres[])-1,0,1,1))+1),$O1537:$O1556),3),"")</f>
        <v/>
      </c>
      <c r="ABC1537" s="42" t="str">
        <f t="array" aca="1" ref="ABC1537" ca="1">IFERROR(INDEX(nombres[],SMALL(IF(OFFSET(nombres[],0,0,ROWS(nombres[]),1)=ABC$1490,ROW(OFFSET(nombres[],0,0,ROWS(nombres[]),1))-ROW(OFFSET(nombres[],0,0,1,1))+1,ROW(OFFSET(nombres[],ROWS(nombres[])-1,0,1,1))+1),$O1537:$O1556),3),"")</f>
        <v/>
      </c>
      <c r="ABD1537" s="42" t="str">
        <f t="array" aca="1" ref="ABD1537" ca="1">IFERROR(INDEX(nombres[],SMALL(IF(OFFSET(nombres[],0,0,ROWS(nombres[]),1)=ABD$1490,ROW(OFFSET(nombres[],0,0,ROWS(nombres[]),1))-ROW(OFFSET(nombres[],0,0,1,1))+1,ROW(OFFSET(nombres[],ROWS(nombres[])-1,0,1,1))+1),$O1537:$O1556),3),"")</f>
        <v/>
      </c>
      <c r="ABE1537" s="42" t="str">
        <f t="array" aca="1" ref="ABE1537" ca="1">IFERROR(INDEX(nombres[],SMALL(IF(OFFSET(nombres[],0,0,ROWS(nombres[]),1)=ABE$1490,ROW(OFFSET(nombres[],0,0,ROWS(nombres[]),1))-ROW(OFFSET(nombres[],0,0,1,1))+1,ROW(OFFSET(nombres[],ROWS(nombres[])-1,0,1,1))+1),$O1537:$O1556),3),"")</f>
        <v/>
      </c>
      <c r="ABF1537" s="42" t="str">
        <f t="array" aca="1" ref="ABF1537" ca="1">IFERROR(INDEX(nombres[],SMALL(IF(OFFSET(nombres[],0,0,ROWS(nombres[]),1)=ABF$1490,ROW(OFFSET(nombres[],0,0,ROWS(nombres[]),1))-ROW(OFFSET(nombres[],0,0,1,1))+1,ROW(OFFSET(nombres[],ROWS(nombres[])-1,0,1,1))+1),$O1537:$O1556),3),"")</f>
        <v/>
      </c>
      <c r="ABG1537" s="42" t="str">
        <f t="array" aca="1" ref="ABG1537" ca="1">IFERROR(INDEX(nombres[],SMALL(IF(OFFSET(nombres[],0,0,ROWS(nombres[]),1)=ABG$1490,ROW(OFFSET(nombres[],0,0,ROWS(nombres[]),1))-ROW(OFFSET(nombres[],0,0,1,1))+1,ROW(OFFSET(nombres[],ROWS(nombres[])-1,0,1,1))+1),$O1537:$O1556),3),"")</f>
        <v/>
      </c>
      <c r="ABH1537" s="42" t="str">
        <f t="array" aca="1" ref="ABH1537" ca="1">IFERROR(INDEX(nombres[],SMALL(IF(OFFSET(nombres[],0,0,ROWS(nombres[]),1)=ABH$1490,ROW(OFFSET(nombres[],0,0,ROWS(nombres[]),1))-ROW(OFFSET(nombres[],0,0,1,1))+1,ROW(OFFSET(nombres[],ROWS(nombres[])-1,0,1,1))+1),$O1537:$O1556),3),"")</f>
        <v/>
      </c>
      <c r="ABI1537" s="42" t="str">
        <f t="array" aca="1" ref="ABI1537" ca="1">IFERROR(INDEX(nombres[],SMALL(IF(OFFSET(nombres[],0,0,ROWS(nombres[]),1)=ABI$1490,ROW(OFFSET(nombres[],0,0,ROWS(nombres[]),1))-ROW(OFFSET(nombres[],0,0,1,1))+1,ROW(OFFSET(nombres[],ROWS(nombres[])-1,0,1,1))+1),$O1537:$O1556),3),"")</f>
        <v/>
      </c>
      <c r="ABJ1537" s="42" t="str">
        <f t="array" aca="1" ref="ABJ1537" ca="1">IFERROR(INDEX(nombres[],SMALL(IF(OFFSET(nombres[],0,0,ROWS(nombres[]),1)=ABJ$1490,ROW(OFFSET(nombres[],0,0,ROWS(nombres[]),1))-ROW(OFFSET(nombres[],0,0,1,1))+1,ROW(OFFSET(nombres[],ROWS(nombres[])-1,0,1,1))+1),$O1537:$O1556),3),"")</f>
        <v/>
      </c>
      <c r="ABK1537" s="42" t="str">
        <f t="array" aca="1" ref="ABK1537" ca="1">IFERROR(INDEX(nombres[],SMALL(IF(OFFSET(nombres[],0,0,ROWS(nombres[]),1)=ABK$1490,ROW(OFFSET(nombres[],0,0,ROWS(nombres[]),1))-ROW(OFFSET(nombres[],0,0,1,1))+1,ROW(OFFSET(nombres[],ROWS(nombres[])-1,0,1,1))+1),$O1537:$O1556),3),"")</f>
        <v/>
      </c>
      <c r="ABL1537" s="42" t="str">
        <f t="array" aca="1" ref="ABL1537" ca="1">IFERROR(INDEX(nombres[],SMALL(IF(OFFSET(nombres[],0,0,ROWS(nombres[]),1)=ABL$1490,ROW(OFFSET(nombres[],0,0,ROWS(nombres[]),1))-ROW(OFFSET(nombres[],0,0,1,1))+1,ROW(OFFSET(nombres[],ROWS(nombres[])-1,0,1,1))+1),$O1537:$O1556),3),"")</f>
        <v/>
      </c>
      <c r="ABM1537" s="42" t="str">
        <f t="array" aca="1" ref="ABM1537" ca="1">IFERROR(INDEX(nombres[],SMALL(IF(OFFSET(nombres[],0,0,ROWS(nombres[]),1)=ABM$1490,ROW(OFFSET(nombres[],0,0,ROWS(nombres[]),1))-ROW(OFFSET(nombres[],0,0,1,1))+1,ROW(OFFSET(nombres[],ROWS(nombres[])-1,0,1,1))+1),$O1537:$O1556),3),"")</f>
        <v/>
      </c>
      <c r="ABN1537" s="42" t="str">
        <f t="array" aca="1" ref="ABN1537" ca="1">IFERROR(INDEX(nombres[],SMALL(IF(OFFSET(nombres[],0,0,ROWS(nombres[]),1)=ABN$1490,ROW(OFFSET(nombres[],0,0,ROWS(nombres[]),1))-ROW(OFFSET(nombres[],0,0,1,1))+1,ROW(OFFSET(nombres[],ROWS(nombres[])-1,0,1,1))+1),$O1537:$O1556),3),"")</f>
        <v/>
      </c>
      <c r="ABO1537" s="42" t="str">
        <f t="array" aca="1" ref="ABO1537" ca="1">IFERROR(INDEX(nombres[],SMALL(IF(OFFSET(nombres[],0,0,ROWS(nombres[]),1)=ABO$1490,ROW(OFFSET(nombres[],0,0,ROWS(nombres[]),1))-ROW(OFFSET(nombres[],0,0,1,1))+1,ROW(OFFSET(nombres[],ROWS(nombres[])-1,0,1,1))+1),$O1537:$O1556),3),"")</f>
        <v/>
      </c>
      <c r="ABP1537" s="42" t="str">
        <f t="array" aca="1" ref="ABP1537" ca="1">IFERROR(INDEX(nombres[],SMALL(IF(OFFSET(nombres[],0,0,ROWS(nombres[]),1)=ABP$1490,ROW(OFFSET(nombres[],0,0,ROWS(nombres[]),1))-ROW(OFFSET(nombres[],0,0,1,1))+1,ROW(OFFSET(nombres[],ROWS(nombres[])-1,0,1,1))+1),$O1537:$O1556),3),"")</f>
        <v/>
      </c>
      <c r="ABQ1537" s="42" t="str">
        <f t="array" aca="1" ref="ABQ1537" ca="1">IFERROR(INDEX(nombres[],SMALL(IF(OFFSET(nombres[],0,0,ROWS(nombres[]),1)=ABQ$1490,ROW(OFFSET(nombres[],0,0,ROWS(nombres[]),1))-ROW(OFFSET(nombres[],0,0,1,1))+1,ROW(OFFSET(nombres[],ROWS(nombres[])-1,0,1,1))+1),$O1537:$O1556),3),"")</f>
        <v/>
      </c>
      <c r="ABR1537" s="42" t="str">
        <f t="array" aca="1" ref="ABR1537" ca="1">IFERROR(INDEX(nombres[],SMALL(IF(OFFSET(nombres[],0,0,ROWS(nombres[]),1)=ABR$1490,ROW(OFFSET(nombres[],0,0,ROWS(nombres[]),1))-ROW(OFFSET(nombres[],0,0,1,1))+1,ROW(OFFSET(nombres[],ROWS(nombres[])-1,0,1,1))+1),$O1537:$O1556),3),"")</f>
        <v/>
      </c>
      <c r="ABS1537" s="42" t="str">
        <f t="array" aca="1" ref="ABS1537" ca="1">IFERROR(INDEX(nombres[],SMALL(IF(OFFSET(nombres[],0,0,ROWS(nombres[]),1)=ABS$1490,ROW(OFFSET(nombres[],0,0,ROWS(nombres[]),1))-ROW(OFFSET(nombres[],0,0,1,1))+1,ROW(OFFSET(nombres[],ROWS(nombres[])-1,0,1,1))+1),$O1537:$O1556),3),"")</f>
        <v/>
      </c>
      <c r="ABT1537" s="42" t="str">
        <f t="array" aca="1" ref="ABT1537" ca="1">IFERROR(INDEX(nombres[],SMALL(IF(OFFSET(nombres[],0,0,ROWS(nombres[]),1)=ABT$1490,ROW(OFFSET(nombres[],0,0,ROWS(nombres[]),1))-ROW(OFFSET(nombres[],0,0,1,1))+1,ROW(OFFSET(nombres[],ROWS(nombres[])-1,0,1,1))+1),$O1537:$O1556),3),"")</f>
        <v/>
      </c>
      <c r="ABU1537" s="42" t="str">
        <f t="array" aca="1" ref="ABU1537" ca="1">IFERROR(INDEX(nombres[],SMALL(IF(OFFSET(nombres[],0,0,ROWS(nombres[]),1)=ABU$1490,ROW(OFFSET(nombres[],0,0,ROWS(nombres[]),1))-ROW(OFFSET(nombres[],0,0,1,1))+1,ROW(OFFSET(nombres[],ROWS(nombres[])-1,0,1,1))+1),$O1537:$O1556),3),"")</f>
        <v/>
      </c>
      <c r="ABV1537" s="42" t="str">
        <f t="array" aca="1" ref="ABV1537" ca="1">IFERROR(INDEX(nombres[],SMALL(IF(OFFSET(nombres[],0,0,ROWS(nombres[]),1)=ABV$1490,ROW(OFFSET(nombres[],0,0,ROWS(nombres[]),1))-ROW(OFFSET(nombres[],0,0,1,1))+1,ROW(OFFSET(nombres[],ROWS(nombres[])-1,0,1,1))+1),$O1537:$O1556),3),"")</f>
        <v/>
      </c>
      <c r="ABW1537" s="42" t="str">
        <f t="array" aca="1" ref="ABW1537" ca="1">IFERROR(INDEX(nombres[],SMALL(IF(OFFSET(nombres[],0,0,ROWS(nombres[]),1)=ABW$1490,ROW(OFFSET(nombres[],0,0,ROWS(nombres[]),1))-ROW(OFFSET(nombres[],0,0,1,1))+1,ROW(OFFSET(nombres[],ROWS(nombres[])-1,0,1,1))+1),$O1537:$O1556),3),"")</f>
        <v/>
      </c>
      <c r="ABX1537" s="42" t="str">
        <f t="array" aca="1" ref="ABX1537" ca="1">IFERROR(INDEX(nombres[],SMALL(IF(OFFSET(nombres[],0,0,ROWS(nombres[]),1)=ABX$1490,ROW(OFFSET(nombres[],0,0,ROWS(nombres[]),1))-ROW(OFFSET(nombres[],0,0,1,1))+1,ROW(OFFSET(nombres[],ROWS(nombres[])-1,0,1,1))+1),$O1537:$O1556),3),"")</f>
        <v/>
      </c>
      <c r="ABY1537" s="42" t="str">
        <f t="array" aca="1" ref="ABY1537" ca="1">IFERROR(INDEX(nombres[],SMALL(IF(OFFSET(nombres[],0,0,ROWS(nombres[]),1)=ABY$1490,ROW(OFFSET(nombres[],0,0,ROWS(nombres[]),1))-ROW(OFFSET(nombres[],0,0,1,1))+1,ROW(OFFSET(nombres[],ROWS(nombres[])-1,0,1,1))+1),$O1537:$O1556),3),"")</f>
        <v/>
      </c>
      <c r="ABZ1537" s="42" t="str">
        <f t="array" aca="1" ref="ABZ1537" ca="1">IFERROR(INDEX(nombres[],SMALL(IF(OFFSET(nombres[],0,0,ROWS(nombres[]),1)=ABZ$1490,ROW(OFFSET(nombres[],0,0,ROWS(nombres[]),1))-ROW(OFFSET(nombres[],0,0,1,1))+1,ROW(OFFSET(nombres[],ROWS(nombres[])-1,0,1,1))+1),$O1537:$O1556),3),"")</f>
        <v/>
      </c>
      <c r="ACA1537" s="42" t="str">
        <f t="array" aca="1" ref="ACA1537" ca="1">IFERROR(INDEX(nombres[],SMALL(IF(OFFSET(nombres[],0,0,ROWS(nombres[]),1)=ACA$1490,ROW(OFFSET(nombres[],0,0,ROWS(nombres[]),1))-ROW(OFFSET(nombres[],0,0,1,1))+1,ROW(OFFSET(nombres[],ROWS(nombres[])-1,0,1,1))+1),$O1537:$O1556),3),"")</f>
        <v/>
      </c>
      <c r="ACB1537" s="42" t="str">
        <f t="array" aca="1" ref="ACB1537" ca="1">IFERROR(INDEX(nombres[],SMALL(IF(OFFSET(nombres[],0,0,ROWS(nombres[]),1)=ACB$1490,ROW(OFFSET(nombres[],0,0,ROWS(nombres[]),1))-ROW(OFFSET(nombres[],0,0,1,1))+1,ROW(OFFSET(nombres[],ROWS(nombres[])-1,0,1,1))+1),$O1537:$O1556),3),"")</f>
        <v/>
      </c>
      <c r="ACC1537" s="42" t="str">
        <f t="array" aca="1" ref="ACC1537" ca="1">IFERROR(INDEX(nombres[],SMALL(IF(OFFSET(nombres[],0,0,ROWS(nombres[]),1)=ACC$1490,ROW(OFFSET(nombres[],0,0,ROWS(nombres[]),1))-ROW(OFFSET(nombres[],0,0,1,1))+1,ROW(OFFSET(nombres[],ROWS(nombres[])-1,0,1,1))+1),$O1537:$O1556),3),"")</f>
        <v/>
      </c>
      <c r="ACD1537" s="42" t="str">
        <f t="array" aca="1" ref="ACD1537" ca="1">IFERROR(INDEX(nombres[],SMALL(IF(OFFSET(nombres[],0,0,ROWS(nombres[]),1)=ACD$1490,ROW(OFFSET(nombres[],0,0,ROWS(nombres[]),1))-ROW(OFFSET(nombres[],0,0,1,1))+1,ROW(OFFSET(nombres[],ROWS(nombres[])-1,0,1,1))+1),$O1537:$O1556),3),"")</f>
        <v/>
      </c>
      <c r="ACE1537" s="42" t="str">
        <f t="array" aca="1" ref="ACE1537" ca="1">IFERROR(INDEX(nombres[],SMALL(IF(OFFSET(nombres[],0,0,ROWS(nombres[]),1)=ACE$1490,ROW(OFFSET(nombres[],0,0,ROWS(nombres[]),1))-ROW(OFFSET(nombres[],0,0,1,1))+1,ROW(OFFSET(nombres[],ROWS(nombres[])-1,0,1,1))+1),$O1537:$O1556),3),"")</f>
        <v/>
      </c>
      <c r="ACF1537" s="42" t="str">
        <f t="array" aca="1" ref="ACF1537" ca="1">IFERROR(INDEX(nombres[],SMALL(IF(OFFSET(nombres[],0,0,ROWS(nombres[]),1)=ACF$1490,ROW(OFFSET(nombres[],0,0,ROWS(nombres[]),1))-ROW(OFFSET(nombres[],0,0,1,1))+1,ROW(OFFSET(nombres[],ROWS(nombres[])-1,0,1,1))+1),$O1537:$O1556),3),"")</f>
        <v/>
      </c>
      <c r="ACG1537" s="42" t="str">
        <f t="array" aca="1" ref="ACG1537" ca="1">IFERROR(INDEX(nombres[],SMALL(IF(OFFSET(nombres[],0,0,ROWS(nombres[]),1)=ACG$1490,ROW(OFFSET(nombres[],0,0,ROWS(nombres[]),1))-ROW(OFFSET(nombres[],0,0,1,1))+1,ROW(OFFSET(nombres[],ROWS(nombres[])-1,0,1,1))+1),$O1537:$O1556),3),"")</f>
        <v/>
      </c>
      <c r="ACH1537" s="42" t="str">
        <f t="array" aca="1" ref="ACH1537" ca="1">IFERROR(INDEX(nombres[],SMALL(IF(OFFSET(nombres[],0,0,ROWS(nombres[]),1)=ACH$1490,ROW(OFFSET(nombres[],0,0,ROWS(nombres[]),1))-ROW(OFFSET(nombres[],0,0,1,1))+1,ROW(OFFSET(nombres[],ROWS(nombres[])-1,0,1,1))+1),$O1537:$O1556),3),"")</f>
        <v/>
      </c>
      <c r="ACI1537" s="42" t="str">
        <f t="array" aca="1" ref="ACI1537" ca="1">IFERROR(INDEX(nombres[],SMALL(IF(OFFSET(nombres[],0,0,ROWS(nombres[]),1)=ACI$1490,ROW(OFFSET(nombres[],0,0,ROWS(nombres[]),1))-ROW(OFFSET(nombres[],0,0,1,1))+1,ROW(OFFSET(nombres[],ROWS(nombres[])-1,0,1,1))+1),$O1537:$O1556),3),"")</f>
        <v/>
      </c>
      <c r="ACJ1537" s="42" t="str">
        <f t="array" aca="1" ref="ACJ1537" ca="1">IFERROR(INDEX(nombres[],SMALL(IF(OFFSET(nombres[],0,0,ROWS(nombres[]),1)=ACJ$1490,ROW(OFFSET(nombres[],0,0,ROWS(nombres[]),1))-ROW(OFFSET(nombres[],0,0,1,1))+1,ROW(OFFSET(nombres[],ROWS(nombres[])-1,0,1,1))+1),$O1537:$O1556),3),"")</f>
        <v/>
      </c>
      <c r="ACK1537" s="42" t="str">
        <f t="array" aca="1" ref="ACK1537" ca="1">IFERROR(INDEX(nombres[],SMALL(IF(OFFSET(nombres[],0,0,ROWS(nombres[]),1)=ACK$1490,ROW(OFFSET(nombres[],0,0,ROWS(nombres[]),1))-ROW(OFFSET(nombres[],0,0,1,1))+1,ROW(OFFSET(nombres[],ROWS(nombres[])-1,0,1,1))+1),$O1537:$O1556),3),"")</f>
        <v/>
      </c>
      <c r="ACL1537" s="42" t="str">
        <f t="array" aca="1" ref="ACL1537" ca="1">IFERROR(INDEX(nombres[],SMALL(IF(OFFSET(nombres[],0,0,ROWS(nombres[]),1)=ACL$1490,ROW(OFFSET(nombres[],0,0,ROWS(nombres[]),1))-ROW(OFFSET(nombres[],0,0,1,1))+1,ROW(OFFSET(nombres[],ROWS(nombres[])-1,0,1,1))+1),$O1537:$O1556),3),"")</f>
        <v/>
      </c>
      <c r="ACM1537" s="42" t="str">
        <f t="array" aca="1" ref="ACM1537" ca="1">IFERROR(INDEX(nombres[],SMALL(IF(OFFSET(nombres[],0,0,ROWS(nombres[]),1)=ACM$1490,ROW(OFFSET(nombres[],0,0,ROWS(nombres[]),1))-ROW(OFFSET(nombres[],0,0,1,1))+1,ROW(OFFSET(nombres[],ROWS(nombres[])-1,0,1,1))+1),$O1537:$O1556),3),"")</f>
        <v/>
      </c>
      <c r="ACN1537" s="42" t="str">
        <f t="array" aca="1" ref="ACN1537" ca="1">IFERROR(INDEX(nombres[],SMALL(IF(OFFSET(nombres[],0,0,ROWS(nombres[]),1)=ACN$1490,ROW(OFFSET(nombres[],0,0,ROWS(nombres[]),1))-ROW(OFFSET(nombres[],0,0,1,1))+1,ROW(OFFSET(nombres[],ROWS(nombres[])-1,0,1,1))+1),$O1537:$O1556),3),"")</f>
        <v/>
      </c>
      <c r="ACO1537" s="42" t="str">
        <f t="array" aca="1" ref="ACO1537" ca="1">IFERROR(INDEX(nombres[],SMALL(IF(OFFSET(nombres[],0,0,ROWS(nombres[]),1)=ACO$1490,ROW(OFFSET(nombres[],0,0,ROWS(nombres[]),1))-ROW(OFFSET(nombres[],0,0,1,1))+1,ROW(OFFSET(nombres[],ROWS(nombres[])-1,0,1,1))+1),$O1537:$O1556),3),"")</f>
        <v/>
      </c>
      <c r="ACP1537" s="42" t="str">
        <f t="array" aca="1" ref="ACP1537" ca="1">IFERROR(INDEX(nombres[],SMALL(IF(OFFSET(nombres[],0,0,ROWS(nombres[]),1)=ACP$1490,ROW(OFFSET(nombres[],0,0,ROWS(nombres[]),1))-ROW(OFFSET(nombres[],0,0,1,1))+1,ROW(OFFSET(nombres[],ROWS(nombres[])-1,0,1,1))+1),$O1537:$O1556),3),"")</f>
        <v/>
      </c>
      <c r="ACQ1537" s="42" t="str">
        <f t="array" aca="1" ref="ACQ1537" ca="1">IFERROR(INDEX(nombres[],SMALL(IF(OFFSET(nombres[],0,0,ROWS(nombres[]),1)=ACQ$1490,ROW(OFFSET(nombres[],0,0,ROWS(nombres[]),1))-ROW(OFFSET(nombres[],0,0,1,1))+1,ROW(OFFSET(nombres[],ROWS(nombres[])-1,0,1,1))+1),$O1537:$O1556),3),"")</f>
        <v/>
      </c>
      <c r="ACR1537" s="42" t="str">
        <f t="array" aca="1" ref="ACR1537" ca="1">IFERROR(INDEX(nombres[],SMALL(IF(OFFSET(nombres[],0,0,ROWS(nombres[]),1)=ACR$1490,ROW(OFFSET(nombres[],0,0,ROWS(nombres[]),1))-ROW(OFFSET(nombres[],0,0,1,1))+1,ROW(OFFSET(nombres[],ROWS(nombres[])-1,0,1,1))+1),$O1537:$O1556),3),"")</f>
        <v/>
      </c>
      <c r="ACS1537" s="42" t="str">
        <f t="array" aca="1" ref="ACS1537" ca="1">IFERROR(INDEX(nombres[],SMALL(IF(OFFSET(nombres[],0,0,ROWS(nombres[]),1)=ACS$1490,ROW(OFFSET(nombres[],0,0,ROWS(nombres[]),1))-ROW(OFFSET(nombres[],0,0,1,1))+1,ROW(OFFSET(nombres[],ROWS(nombres[])-1,0,1,1))+1),$O1537:$O1556),3),"")</f>
        <v/>
      </c>
      <c r="ACT1537" s="42" t="str">
        <f t="array" aca="1" ref="ACT1537" ca="1">IFERROR(INDEX(nombres[],SMALL(IF(OFFSET(nombres[],0,0,ROWS(nombres[]),1)=ACT$1490,ROW(OFFSET(nombres[],0,0,ROWS(nombres[]),1))-ROW(OFFSET(nombres[],0,0,1,1))+1,ROW(OFFSET(nombres[],ROWS(nombres[])-1,0,1,1))+1),$O1537:$O1556),3),"")</f>
        <v/>
      </c>
      <c r="ACU1537" s="42" t="str">
        <f t="array" aca="1" ref="ACU1537" ca="1">IFERROR(INDEX(nombres[],SMALL(IF(OFFSET(nombres[],0,0,ROWS(nombres[]),1)=ACU$1490,ROW(OFFSET(nombres[],0,0,ROWS(nombres[]),1))-ROW(OFFSET(nombres[],0,0,1,1))+1,ROW(OFFSET(nombres[],ROWS(nombres[])-1,0,1,1))+1),$O1537:$O1556),3),"")</f>
        <v/>
      </c>
      <c r="ACV1537" s="42" t="str">
        <f t="array" aca="1" ref="ACV1537" ca="1">IFERROR(INDEX(nombres[],SMALL(IF(OFFSET(nombres[],0,0,ROWS(nombres[]),1)=ACV$1490,ROW(OFFSET(nombres[],0,0,ROWS(nombres[]),1))-ROW(OFFSET(nombres[],0,0,1,1))+1,ROW(OFFSET(nombres[],ROWS(nombres[])-1,0,1,1))+1),$O1537:$O1556),3),"")</f>
        <v/>
      </c>
      <c r="ACW1537" s="42" t="str">
        <f t="array" aca="1" ref="ACW1537" ca="1">IFERROR(INDEX(nombres[],SMALL(IF(OFFSET(nombres[],0,0,ROWS(nombres[]),1)=ACW$1490,ROW(OFFSET(nombres[],0,0,ROWS(nombres[]),1))-ROW(OFFSET(nombres[],0,0,1,1))+1,ROW(OFFSET(nombres[],ROWS(nombres[])-1,0,1,1))+1),$O1537:$O1556),3),"")</f>
        <v/>
      </c>
      <c r="ACX1537" s="42" t="str">
        <f t="array" aca="1" ref="ACX1537" ca="1">IFERROR(INDEX(nombres[],SMALL(IF(OFFSET(nombres[],0,0,ROWS(nombres[]),1)=ACX$1490,ROW(OFFSET(nombres[],0,0,ROWS(nombres[]),1))-ROW(OFFSET(nombres[],0,0,1,1))+1,ROW(OFFSET(nombres[],ROWS(nombres[])-1,0,1,1))+1),$O1537:$O1556),3),"")</f>
        <v/>
      </c>
      <c r="ACY1537" s="42" t="str">
        <f t="array" aca="1" ref="ACY1537" ca="1">IFERROR(INDEX(nombres[],SMALL(IF(OFFSET(nombres[],0,0,ROWS(nombres[]),1)=ACY$1490,ROW(OFFSET(nombres[],0,0,ROWS(nombres[]),1))-ROW(OFFSET(nombres[],0,0,1,1))+1,ROW(OFFSET(nombres[],ROWS(nombres[])-1,0,1,1))+1),$O1537:$O1556),3),"")</f>
        <v/>
      </c>
      <c r="ACZ1537" s="42" t="str">
        <f t="array" aca="1" ref="ACZ1537" ca="1">IFERROR(INDEX(nombres[],SMALL(IF(OFFSET(nombres[],0,0,ROWS(nombres[]),1)=ACZ$1490,ROW(OFFSET(nombres[],0,0,ROWS(nombres[]),1))-ROW(OFFSET(nombres[],0,0,1,1))+1,ROW(OFFSET(nombres[],ROWS(nombres[])-1,0,1,1))+1),$O1537:$O1556),3),"")</f>
        <v/>
      </c>
      <c r="ADA1537" s="42" t="str">
        <f t="array" aca="1" ref="ADA1537" ca="1">IFERROR(INDEX(nombres[],SMALL(IF(OFFSET(nombres[],0,0,ROWS(nombres[]),1)=ADA$1490,ROW(OFFSET(nombres[],0,0,ROWS(nombres[]),1))-ROW(OFFSET(nombres[],0,0,1,1))+1,ROW(OFFSET(nombres[],ROWS(nombres[])-1,0,1,1))+1),$O1537:$O1556),3),"")</f>
        <v/>
      </c>
      <c r="ADB1537" s="42" t="str">
        <f t="array" aca="1" ref="ADB1537" ca="1">IFERROR(INDEX(nombres[],SMALL(IF(OFFSET(nombres[],0,0,ROWS(nombres[]),1)=ADB$1490,ROW(OFFSET(nombres[],0,0,ROWS(nombres[]),1))-ROW(OFFSET(nombres[],0,0,1,1))+1,ROW(OFFSET(nombres[],ROWS(nombres[])-1,0,1,1))+1),$O1537:$O1556),3),"")</f>
        <v/>
      </c>
      <c r="ADC1537" s="42" t="str">
        <f t="array" aca="1" ref="ADC1537" ca="1">IFERROR(INDEX(nombres[],SMALL(IF(OFFSET(nombres[],0,0,ROWS(nombres[]),1)=ADC$1490,ROW(OFFSET(nombres[],0,0,ROWS(nombres[]),1))-ROW(OFFSET(nombres[],0,0,1,1))+1,ROW(OFFSET(nombres[],ROWS(nombres[])-1,0,1,1))+1),$O1537:$O1556),3),"")</f>
        <v/>
      </c>
      <c r="ADD1537" s="42" t="str">
        <f t="array" aca="1" ref="ADD1537" ca="1">IFERROR(INDEX(nombres[],SMALL(IF(OFFSET(nombres[],0,0,ROWS(nombres[]),1)=ADD$1490,ROW(OFFSET(nombres[],0,0,ROWS(nombres[]),1))-ROW(OFFSET(nombres[],0,0,1,1))+1,ROW(OFFSET(nombres[],ROWS(nombres[])-1,0,1,1))+1),$O1537:$O1556),3),"")</f>
        <v/>
      </c>
      <c r="ADE1537" s="42" t="str">
        <f t="array" aca="1" ref="ADE1537" ca="1">IFERROR(INDEX(nombres[],SMALL(IF(OFFSET(nombres[],0,0,ROWS(nombres[]),1)=ADE$1490,ROW(OFFSET(nombres[],0,0,ROWS(nombres[]),1))-ROW(OFFSET(nombres[],0,0,1,1))+1,ROW(OFFSET(nombres[],ROWS(nombres[])-1,0,1,1))+1),$O1537:$O1556),3),"")</f>
        <v/>
      </c>
      <c r="ADF1537" s="42" t="str">
        <f t="array" aca="1" ref="ADF1537" ca="1">IFERROR(INDEX(nombres[],SMALL(IF(OFFSET(nombres[],0,0,ROWS(nombres[]),1)=ADF$1490,ROW(OFFSET(nombres[],0,0,ROWS(nombres[]),1))-ROW(OFFSET(nombres[],0,0,1,1))+1,ROW(OFFSET(nombres[],ROWS(nombres[])-1,0,1,1))+1),$O1537:$O1556),3),"")</f>
        <v/>
      </c>
      <c r="ADG1537" s="42" t="str">
        <f t="array" aca="1" ref="ADG1537" ca="1">IFERROR(INDEX(nombres[],SMALL(IF(OFFSET(nombres[],0,0,ROWS(nombres[]),1)=ADG$1490,ROW(OFFSET(nombres[],0,0,ROWS(nombres[]),1))-ROW(OFFSET(nombres[],0,0,1,1))+1,ROW(OFFSET(nombres[],ROWS(nombres[])-1,0,1,1))+1),$O1537:$O1556),3),"")</f>
        <v/>
      </c>
      <c r="ADH1537" s="42" t="str">
        <f t="array" aca="1" ref="ADH1537" ca="1">IFERROR(INDEX(nombres[],SMALL(IF(OFFSET(nombres[],0,0,ROWS(nombres[]),1)=ADH$1490,ROW(OFFSET(nombres[],0,0,ROWS(nombres[]),1))-ROW(OFFSET(nombres[],0,0,1,1))+1,ROW(OFFSET(nombres[],ROWS(nombres[])-1,0,1,1))+1),$O1537:$O1556),3),"")</f>
        <v/>
      </c>
      <c r="ADI1537" s="42" t="str">
        <f t="array" aca="1" ref="ADI1537" ca="1">IFERROR(INDEX(nombres[],SMALL(IF(OFFSET(nombres[],0,0,ROWS(nombres[]),1)=ADI$1490,ROW(OFFSET(nombres[],0,0,ROWS(nombres[]),1))-ROW(OFFSET(nombres[],0,0,1,1))+1,ROW(OFFSET(nombres[],ROWS(nombres[])-1,0,1,1))+1),$O1537:$O1556),3),"")</f>
        <v/>
      </c>
      <c r="ADJ1537" s="42" t="str">
        <f t="array" aca="1" ref="ADJ1537" ca="1">IFERROR(INDEX(nombres[],SMALL(IF(OFFSET(nombres[],0,0,ROWS(nombres[]),1)=ADJ$1490,ROW(OFFSET(nombres[],0,0,ROWS(nombres[]),1))-ROW(OFFSET(nombres[],0,0,1,1))+1,ROW(OFFSET(nombres[],ROWS(nombres[])-1,0,1,1))+1),$O1537:$O1556),3),"")</f>
        <v/>
      </c>
      <c r="ADK1537" s="42" t="str">
        <f t="array" aca="1" ref="ADK1537" ca="1">IFERROR(INDEX(nombres[],SMALL(IF(OFFSET(nombres[],0,0,ROWS(nombres[]),1)=ADK$1490,ROW(OFFSET(nombres[],0,0,ROWS(nombres[]),1))-ROW(OFFSET(nombres[],0,0,1,1))+1,ROW(OFFSET(nombres[],ROWS(nombres[])-1,0,1,1))+1),$O1537:$O1556),3),"")</f>
        <v/>
      </c>
      <c r="ADL1537" s="42" t="str">
        <f t="array" aca="1" ref="ADL1537" ca="1">IFERROR(INDEX(nombres[],SMALL(IF(OFFSET(nombres[],0,0,ROWS(nombres[]),1)=ADL$1490,ROW(OFFSET(nombres[],0,0,ROWS(nombres[]),1))-ROW(OFFSET(nombres[],0,0,1,1))+1,ROW(OFFSET(nombres[],ROWS(nombres[])-1,0,1,1))+1),$O1537:$O1556),3),"")</f>
        <v/>
      </c>
      <c r="ADM1537" s="42" t="str">
        <f t="array" aca="1" ref="ADM1537" ca="1">IFERROR(INDEX(nombres[],SMALL(IF(OFFSET(nombres[],0,0,ROWS(nombres[]),1)=ADM$1490,ROW(OFFSET(nombres[],0,0,ROWS(nombres[]),1))-ROW(OFFSET(nombres[],0,0,1,1))+1,ROW(OFFSET(nombres[],ROWS(nombres[])-1,0,1,1))+1),$O1537:$O1556),3),"")</f>
        <v/>
      </c>
      <c r="ADN1537" s="42" t="str">
        <f t="array" aca="1" ref="ADN1537" ca="1">IFERROR(INDEX(nombres[],SMALL(IF(OFFSET(nombres[],0,0,ROWS(nombres[]),1)=ADN$1490,ROW(OFFSET(nombres[],0,0,ROWS(nombres[]),1))-ROW(OFFSET(nombres[],0,0,1,1))+1,ROW(OFFSET(nombres[],ROWS(nombres[])-1,0,1,1))+1),$O1537:$O1556),3),"")</f>
        <v/>
      </c>
      <c r="ADO1537" s="42" t="str">
        <f t="array" aca="1" ref="ADO1537" ca="1">IFERROR(INDEX(nombres[],SMALL(IF(OFFSET(nombres[],0,0,ROWS(nombres[]),1)=ADO$1490,ROW(OFFSET(nombres[],0,0,ROWS(nombres[]),1))-ROW(OFFSET(nombres[],0,0,1,1))+1,ROW(OFFSET(nombres[],ROWS(nombres[])-1,0,1,1))+1),$O1537:$O1556),3),"")</f>
        <v/>
      </c>
      <c r="ADP1537" s="42" t="str">
        <f t="array" aca="1" ref="ADP1537" ca="1">IFERROR(INDEX(nombres[],SMALL(IF(OFFSET(nombres[],0,0,ROWS(nombres[]),1)=ADP$1490,ROW(OFFSET(nombres[],0,0,ROWS(nombres[]),1))-ROW(OFFSET(nombres[],0,0,1,1))+1,ROW(OFFSET(nombres[],ROWS(nombres[])-1,0,1,1))+1),$O1537:$O1556),3),"")</f>
        <v/>
      </c>
      <c r="ADQ1537" s="42" t="str">
        <f t="array" aca="1" ref="ADQ1537" ca="1">IFERROR(INDEX(nombres[],SMALL(IF(OFFSET(nombres[],0,0,ROWS(nombres[]),1)=ADQ$1490,ROW(OFFSET(nombres[],0,0,ROWS(nombres[]),1))-ROW(OFFSET(nombres[],0,0,1,1))+1,ROW(OFFSET(nombres[],ROWS(nombres[])-1,0,1,1))+1),$O1537:$O1556),3),"")</f>
        <v/>
      </c>
      <c r="ADR1537" s="42" t="str">
        <f t="array" aca="1" ref="ADR1537" ca="1">IFERROR(INDEX(nombres[],SMALL(IF(OFFSET(nombres[],0,0,ROWS(nombres[]),1)=ADR$1490,ROW(OFFSET(nombres[],0,0,ROWS(nombres[]),1))-ROW(OFFSET(nombres[],0,0,1,1))+1,ROW(OFFSET(nombres[],ROWS(nombres[])-1,0,1,1))+1),$O1537:$O1556),3),"")</f>
        <v/>
      </c>
      <c r="ADS1537" s="42" t="str">
        <f t="array" aca="1" ref="ADS1537" ca="1">IFERROR(INDEX(nombres[],SMALL(IF(OFFSET(nombres[],0,0,ROWS(nombres[]),1)=ADS$1490,ROW(OFFSET(nombres[],0,0,ROWS(nombres[]),1))-ROW(OFFSET(nombres[],0,0,1,1))+1,ROW(OFFSET(nombres[],ROWS(nombres[])-1,0,1,1))+1),$O1537:$O1556),3),"")</f>
        <v/>
      </c>
      <c r="ADT1537" s="42" t="str">
        <f t="array" aca="1" ref="ADT1537" ca="1">IFERROR(INDEX(nombres[],SMALL(IF(OFFSET(nombres[],0,0,ROWS(nombres[]),1)=ADT$1490,ROW(OFFSET(nombres[],0,0,ROWS(nombres[]),1))-ROW(OFFSET(nombres[],0,0,1,1))+1,ROW(OFFSET(nombres[],ROWS(nombres[])-1,0,1,1))+1),$O1537:$O1556),3),"")</f>
        <v/>
      </c>
      <c r="ADU1537" s="42" t="str">
        <f t="array" aca="1" ref="ADU1537" ca="1">IFERROR(INDEX(nombres[],SMALL(IF(OFFSET(nombres[],0,0,ROWS(nombres[]),1)=ADU$1490,ROW(OFFSET(nombres[],0,0,ROWS(nombres[]),1))-ROW(OFFSET(nombres[],0,0,1,1))+1,ROW(OFFSET(nombres[],ROWS(nombres[])-1,0,1,1))+1),$O1537:$O1556),3),"")</f>
        <v/>
      </c>
      <c r="ADV1537" s="42" t="str">
        <f t="array" aca="1" ref="ADV1537" ca="1">IFERROR(INDEX(nombres[],SMALL(IF(OFFSET(nombres[],0,0,ROWS(nombres[]),1)=ADV$1490,ROW(OFFSET(nombres[],0,0,ROWS(nombres[]),1))-ROW(OFFSET(nombres[],0,0,1,1))+1,ROW(OFFSET(nombres[],ROWS(nombres[])-1,0,1,1))+1),$O1537:$O1556),3),"")</f>
        <v/>
      </c>
      <c r="ADW1537" s="42" t="str">
        <f t="array" aca="1" ref="ADW1537" ca="1">IFERROR(INDEX(nombres[],SMALL(IF(OFFSET(nombres[],0,0,ROWS(nombres[]),1)=ADW$1490,ROW(OFFSET(nombres[],0,0,ROWS(nombres[]),1))-ROW(OFFSET(nombres[],0,0,1,1))+1,ROW(OFFSET(nombres[],ROWS(nombres[])-1,0,1,1))+1),$O1537:$O1556),3),"")</f>
        <v/>
      </c>
      <c r="ADX1537" s="42" t="str">
        <f t="array" aca="1" ref="ADX1537" ca="1">IFERROR(INDEX(nombres[],SMALL(IF(OFFSET(nombres[],0,0,ROWS(nombres[]),1)=ADX$1490,ROW(OFFSET(nombres[],0,0,ROWS(nombres[]),1))-ROW(OFFSET(nombres[],0,0,1,1))+1,ROW(OFFSET(nombres[],ROWS(nombres[])-1,0,1,1))+1),$O1537:$O1556),3),"")</f>
        <v/>
      </c>
      <c r="ADY1537" s="42" t="str">
        <f t="array" aca="1" ref="ADY1537" ca="1">IFERROR(INDEX(nombres[],SMALL(IF(OFFSET(nombres[],0,0,ROWS(nombres[]),1)=ADY$1490,ROW(OFFSET(nombres[],0,0,ROWS(nombres[]),1))-ROW(OFFSET(nombres[],0,0,1,1))+1,ROW(OFFSET(nombres[],ROWS(nombres[])-1,0,1,1))+1),$O1537:$O1556),3),"")</f>
        <v/>
      </c>
      <c r="ADZ1537" s="42" t="str">
        <f t="array" aca="1" ref="ADZ1537" ca="1">IFERROR(INDEX(nombres[],SMALL(IF(OFFSET(nombres[],0,0,ROWS(nombres[]),1)=ADZ$1490,ROW(OFFSET(nombres[],0,0,ROWS(nombres[]),1))-ROW(OFFSET(nombres[],0,0,1,1))+1,ROW(OFFSET(nombres[],ROWS(nombres[])-1,0,1,1))+1),$O1537:$O1556),3),"")</f>
        <v/>
      </c>
      <c r="AEA1537" s="42" t="str">
        <f t="array" aca="1" ref="AEA1537" ca="1">IFERROR(INDEX(nombres[],SMALL(IF(OFFSET(nombres[],0,0,ROWS(nombres[]),1)=AEA$1490,ROW(OFFSET(nombres[],0,0,ROWS(nombres[]),1))-ROW(OFFSET(nombres[],0,0,1,1))+1,ROW(OFFSET(nombres[],ROWS(nombres[])-1,0,1,1))+1),$O1537:$O1556),3),"")</f>
        <v/>
      </c>
      <c r="AEB1537" s="42" t="str">
        <f t="array" aca="1" ref="AEB1537" ca="1">IFERROR(INDEX(nombres[],SMALL(IF(OFFSET(nombres[],0,0,ROWS(nombres[]),1)=AEB$1490,ROW(OFFSET(nombres[],0,0,ROWS(nombres[]),1))-ROW(OFFSET(nombres[],0,0,1,1))+1,ROW(OFFSET(nombres[],ROWS(nombres[])-1,0,1,1))+1),$O1537:$O1556),3),"")</f>
        <v/>
      </c>
      <c r="AEC1537" s="42" t="str">
        <f t="array" aca="1" ref="AEC1537" ca="1">IFERROR(INDEX(nombres[],SMALL(IF(OFFSET(nombres[],0,0,ROWS(nombres[]),1)=AEC$1490,ROW(OFFSET(nombres[],0,0,ROWS(nombres[]),1))-ROW(OFFSET(nombres[],0,0,1,1))+1,ROW(OFFSET(nombres[],ROWS(nombres[])-1,0,1,1))+1),$O1537:$O1556),3),"")</f>
        <v/>
      </c>
      <c r="AED1537" s="42" t="str">
        <f t="array" aca="1" ref="AED1537" ca="1">IFERROR(INDEX(nombres[],SMALL(IF(OFFSET(nombres[],0,0,ROWS(nombres[]),1)=AED$1490,ROW(OFFSET(nombres[],0,0,ROWS(nombres[]),1))-ROW(OFFSET(nombres[],0,0,1,1))+1,ROW(OFFSET(nombres[],ROWS(nombres[])-1,0,1,1))+1),$O1537:$O1556),3),"")</f>
        <v/>
      </c>
      <c r="AEE1537" s="42" t="str">
        <f t="array" aca="1" ref="AEE1537" ca="1">IFERROR(INDEX(nombres[],SMALL(IF(OFFSET(nombres[],0,0,ROWS(nombres[]),1)=AEE$1490,ROW(OFFSET(nombres[],0,0,ROWS(nombres[]),1))-ROW(OFFSET(nombres[],0,0,1,1))+1,ROW(OFFSET(nombres[],ROWS(nombres[])-1,0,1,1))+1),$O1537:$O1556),3),"")</f>
        <v/>
      </c>
      <c r="AEF1537" s="42" t="str">
        <f t="array" aca="1" ref="AEF1537" ca="1">IFERROR(INDEX(nombres[],SMALL(IF(OFFSET(nombres[],0,0,ROWS(nombres[]),1)=AEF$1490,ROW(OFFSET(nombres[],0,0,ROWS(nombres[]),1))-ROW(OFFSET(nombres[],0,0,1,1))+1,ROW(OFFSET(nombres[],ROWS(nombres[])-1,0,1,1))+1),$O1537:$O1556),3),"")</f>
        <v/>
      </c>
      <c r="AEG1537" s="42" t="str">
        <f t="array" aca="1" ref="AEG1537" ca="1">IFERROR(INDEX(nombres[],SMALL(IF(OFFSET(nombres[],0,0,ROWS(nombres[]),1)=AEG$1490,ROW(OFFSET(nombres[],0,0,ROWS(nombres[]),1))-ROW(OFFSET(nombres[],0,0,1,1))+1,ROW(OFFSET(nombres[],ROWS(nombres[])-1,0,1,1))+1),$O1537:$O1556),3),"")</f>
        <v/>
      </c>
      <c r="AEH1537" s="42" t="str">
        <f t="array" aca="1" ref="AEH1537" ca="1">IFERROR(INDEX(nombres[],SMALL(IF(OFFSET(nombres[],0,0,ROWS(nombres[]),1)=AEH$1490,ROW(OFFSET(nombres[],0,0,ROWS(nombres[]),1))-ROW(OFFSET(nombres[],0,0,1,1))+1,ROW(OFFSET(nombres[],ROWS(nombres[])-1,0,1,1))+1),$O1537:$O1556),3),"")</f>
        <v/>
      </c>
      <c r="AEI1537" s="42" t="str">
        <f t="array" aca="1" ref="AEI1537" ca="1">IFERROR(INDEX(nombres[],SMALL(IF(OFFSET(nombres[],0,0,ROWS(nombres[]),1)=AEI$1490,ROW(OFFSET(nombres[],0,0,ROWS(nombres[]),1))-ROW(OFFSET(nombres[],0,0,1,1))+1,ROW(OFFSET(nombres[],ROWS(nombres[])-1,0,1,1))+1),$O1537:$O1556),3),"")</f>
        <v/>
      </c>
      <c r="AEJ1537" s="42" t="str">
        <f t="array" aca="1" ref="AEJ1537" ca="1">IFERROR(INDEX(nombres[],SMALL(IF(OFFSET(nombres[],0,0,ROWS(nombres[]),1)=AEJ$1490,ROW(OFFSET(nombres[],0,0,ROWS(nombres[]),1))-ROW(OFFSET(nombres[],0,0,1,1))+1,ROW(OFFSET(nombres[],ROWS(nombres[])-1,0,1,1))+1),$O1537:$O1556),3),"")</f>
        <v/>
      </c>
      <c r="AEK1537" s="42" t="str">
        <f t="array" aca="1" ref="AEK1537" ca="1">IFERROR(INDEX(nombres[],SMALL(IF(OFFSET(nombres[],0,0,ROWS(nombres[]),1)=AEK$1490,ROW(OFFSET(nombres[],0,0,ROWS(nombres[]),1))-ROW(OFFSET(nombres[],0,0,1,1))+1,ROW(OFFSET(nombres[],ROWS(nombres[])-1,0,1,1))+1),$O1537:$O1556),3),"")</f>
        <v/>
      </c>
      <c r="AEL1537" s="42" t="str">
        <f t="array" aca="1" ref="AEL1537" ca="1">IFERROR(INDEX(nombres[],SMALL(IF(OFFSET(nombres[],0,0,ROWS(nombres[]),1)=AEL$1490,ROW(OFFSET(nombres[],0,0,ROWS(nombres[]),1))-ROW(OFFSET(nombres[],0,0,1,1))+1,ROW(OFFSET(nombres[],ROWS(nombres[])-1,0,1,1))+1),$O1537:$O1556),3),"")</f>
        <v/>
      </c>
      <c r="AEM1537" s="42" t="str">
        <f t="array" aca="1" ref="AEM1537" ca="1">IFERROR(INDEX(nombres[],SMALL(IF(OFFSET(nombres[],0,0,ROWS(nombres[]),1)=AEM$1490,ROW(OFFSET(nombres[],0,0,ROWS(nombres[]),1))-ROW(OFFSET(nombres[],0,0,1,1))+1,ROW(OFFSET(nombres[],ROWS(nombres[])-1,0,1,1))+1),$O1537:$O1556),3),"")</f>
        <v/>
      </c>
      <c r="AEN1537" s="42" t="str">
        <f t="array" aca="1" ref="AEN1537" ca="1">IFERROR(INDEX(nombres[],SMALL(IF(OFFSET(nombres[],0,0,ROWS(nombres[]),1)=AEN$1490,ROW(OFFSET(nombres[],0,0,ROWS(nombres[]),1))-ROW(OFFSET(nombres[],0,0,1,1))+1,ROW(OFFSET(nombres[],ROWS(nombres[])-1,0,1,1))+1),$O1537:$O1556),3),"")</f>
        <v/>
      </c>
      <c r="AEO1537" s="42" t="str">
        <f t="array" aca="1" ref="AEO1537" ca="1">IFERROR(INDEX(nombres[],SMALL(IF(OFFSET(nombres[],0,0,ROWS(nombres[]),1)=AEO$1490,ROW(OFFSET(nombres[],0,0,ROWS(nombres[]),1))-ROW(OFFSET(nombres[],0,0,1,1))+1,ROW(OFFSET(nombres[],ROWS(nombres[])-1,0,1,1))+1),$O1537:$O1556),3),"")</f>
        <v/>
      </c>
      <c r="AEP1537" s="42" t="str">
        <f t="array" aca="1" ref="AEP1537" ca="1">IFERROR(INDEX(nombres[],SMALL(IF(OFFSET(nombres[],0,0,ROWS(nombres[]),1)=AEP$1490,ROW(OFFSET(nombres[],0,0,ROWS(nombres[]),1))-ROW(OFFSET(nombres[],0,0,1,1))+1,ROW(OFFSET(nombres[],ROWS(nombres[])-1,0,1,1))+1),$O1537:$O1556),3),"")</f>
        <v/>
      </c>
      <c r="AEQ1537" s="42" t="str">
        <f t="array" aca="1" ref="AEQ1537" ca="1">IFERROR(INDEX(nombres[],SMALL(IF(OFFSET(nombres[],0,0,ROWS(nombres[]),1)=AEQ$1490,ROW(OFFSET(nombres[],0,0,ROWS(nombres[]),1))-ROW(OFFSET(nombres[],0,0,1,1))+1,ROW(OFFSET(nombres[],ROWS(nombres[])-1,0,1,1))+1),$O1537:$O1556),3),"")</f>
        <v/>
      </c>
      <c r="AER1537" s="42" t="str">
        <f t="array" aca="1" ref="AER1537" ca="1">IFERROR(INDEX(nombres[],SMALL(IF(OFFSET(nombres[],0,0,ROWS(nombres[]),1)=AER$1490,ROW(OFFSET(nombres[],0,0,ROWS(nombres[]),1))-ROW(OFFSET(nombres[],0,0,1,1))+1,ROW(OFFSET(nombres[],ROWS(nombres[])-1,0,1,1))+1),$O1537:$O1556),3),"")</f>
        <v/>
      </c>
      <c r="AES1537" s="42" t="str">
        <f t="array" aca="1" ref="AES1537" ca="1">IFERROR(INDEX(nombres[],SMALL(IF(OFFSET(nombres[],0,0,ROWS(nombres[]),1)=AES$1490,ROW(OFFSET(nombres[],0,0,ROWS(nombres[]),1))-ROW(OFFSET(nombres[],0,0,1,1))+1,ROW(OFFSET(nombres[],ROWS(nombres[])-1,0,1,1))+1),$O1537:$O1556),3),"")</f>
        <v/>
      </c>
      <c r="AET1537" s="42" t="str">
        <f t="array" aca="1" ref="AET1537" ca="1">IFERROR(INDEX(nombres[],SMALL(IF(OFFSET(nombres[],0,0,ROWS(nombres[]),1)=AET$1490,ROW(OFFSET(nombres[],0,0,ROWS(nombres[]),1))-ROW(OFFSET(nombres[],0,0,1,1))+1,ROW(OFFSET(nombres[],ROWS(nombres[])-1,0,1,1))+1),$O1537:$O1556),3),"")</f>
        <v/>
      </c>
      <c r="AEU1537" s="42" t="str">
        <f t="array" aca="1" ref="AEU1537" ca="1">IFERROR(INDEX(nombres[],SMALL(IF(OFFSET(nombres[],0,0,ROWS(nombres[]),1)=AEU$1490,ROW(OFFSET(nombres[],0,0,ROWS(nombres[]),1))-ROW(OFFSET(nombres[],0,0,1,1))+1,ROW(OFFSET(nombres[],ROWS(nombres[])-1,0,1,1))+1),$O1537:$O1556),3),"")</f>
        <v/>
      </c>
      <c r="AEV1537" s="42" t="str">
        <f t="array" aca="1" ref="AEV1537" ca="1">IFERROR(INDEX(nombres[],SMALL(IF(OFFSET(nombres[],0,0,ROWS(nombres[]),1)=AEV$1490,ROW(OFFSET(nombres[],0,0,ROWS(nombres[]),1))-ROW(OFFSET(nombres[],0,0,1,1))+1,ROW(OFFSET(nombres[],ROWS(nombres[])-1,0,1,1))+1),$O1537:$O1556),3),"")</f>
        <v/>
      </c>
      <c r="AEW1537" s="42" t="str">
        <f t="array" aca="1" ref="AEW1537" ca="1">IFERROR(INDEX(nombres[],SMALL(IF(OFFSET(nombres[],0,0,ROWS(nombres[]),1)=AEW$1490,ROW(OFFSET(nombres[],0,0,ROWS(nombres[]),1))-ROW(OFFSET(nombres[],0,0,1,1))+1,ROW(OFFSET(nombres[],ROWS(nombres[])-1,0,1,1))+1),$O1537:$O1556),3),"")</f>
        <v/>
      </c>
      <c r="AEX1537" s="42" t="str">
        <f t="array" aca="1" ref="AEX1537" ca="1">IFERROR(INDEX(nombres[],SMALL(IF(OFFSET(nombres[],0,0,ROWS(nombres[]),1)=AEX$1490,ROW(OFFSET(nombres[],0,0,ROWS(nombres[]),1))-ROW(OFFSET(nombres[],0,0,1,1))+1,ROW(OFFSET(nombres[],ROWS(nombres[])-1,0,1,1))+1),$O1537:$O1556),3),"")</f>
        <v/>
      </c>
      <c r="AEY1537" s="42" t="str">
        <f t="array" aca="1" ref="AEY1537" ca="1">IFERROR(INDEX(nombres[],SMALL(IF(OFFSET(nombres[],0,0,ROWS(nombres[]),1)=AEY$1490,ROW(OFFSET(nombres[],0,0,ROWS(nombres[]),1))-ROW(OFFSET(nombres[],0,0,1,1))+1,ROW(OFFSET(nombres[],ROWS(nombres[])-1,0,1,1))+1),$O1537:$O1556),3),"")</f>
        <v/>
      </c>
      <c r="AEZ1537" s="42" t="str">
        <f t="array" aca="1" ref="AEZ1537" ca="1">IFERROR(INDEX(nombres[],SMALL(IF(OFFSET(nombres[],0,0,ROWS(nombres[]),1)=AEZ$1490,ROW(OFFSET(nombres[],0,0,ROWS(nombres[]),1))-ROW(OFFSET(nombres[],0,0,1,1))+1,ROW(OFFSET(nombres[],ROWS(nombres[])-1,0,1,1))+1),$O1537:$O1556),3),"")</f>
        <v/>
      </c>
      <c r="AFA1537" s="42" t="str">
        <f t="array" aca="1" ref="AFA1537" ca="1">IFERROR(INDEX(nombres[],SMALL(IF(OFFSET(nombres[],0,0,ROWS(nombres[]),1)=AFA$1490,ROW(OFFSET(nombres[],0,0,ROWS(nombres[]),1))-ROW(OFFSET(nombres[],0,0,1,1))+1,ROW(OFFSET(nombres[],ROWS(nombres[])-1,0,1,1))+1),$O1537:$O1556),3),"")</f>
        <v/>
      </c>
      <c r="AFB1537" s="42" t="str">
        <f t="array" aca="1" ref="AFB1537" ca="1">IFERROR(INDEX(nombres[],SMALL(IF(OFFSET(nombres[],0,0,ROWS(nombres[]),1)=AFB$1490,ROW(OFFSET(nombres[],0,0,ROWS(nombres[]),1))-ROW(OFFSET(nombres[],0,0,1,1))+1,ROW(OFFSET(nombres[],ROWS(nombres[])-1,0,1,1))+1),$O1537:$O1556),3),"")</f>
        <v/>
      </c>
      <c r="AFC1537" s="42" t="str">
        <f t="array" aca="1" ref="AFC1537" ca="1">IFERROR(INDEX(nombres[],SMALL(IF(OFFSET(nombres[],0,0,ROWS(nombres[]),1)=AFC$1490,ROW(OFFSET(nombres[],0,0,ROWS(nombres[]),1))-ROW(OFFSET(nombres[],0,0,1,1))+1,ROW(OFFSET(nombres[],ROWS(nombres[])-1,0,1,1))+1),$O1537:$O1556),3),"")</f>
        <v/>
      </c>
      <c r="AFD1537" s="42" t="str">
        <f t="array" aca="1" ref="AFD1537" ca="1">IFERROR(INDEX(nombres[],SMALL(IF(OFFSET(nombres[],0,0,ROWS(nombres[]),1)=AFD$1490,ROW(OFFSET(nombres[],0,0,ROWS(nombres[]),1))-ROW(OFFSET(nombres[],0,0,1,1))+1,ROW(OFFSET(nombres[],ROWS(nombres[])-1,0,1,1))+1),$O1537:$O1556),3),"")</f>
        <v/>
      </c>
      <c r="AFE1537" s="42" t="str">
        <f t="array" aca="1" ref="AFE1537" ca="1">IFERROR(INDEX(nombres[],SMALL(IF(OFFSET(nombres[],0,0,ROWS(nombres[]),1)=AFE$1490,ROW(OFFSET(nombres[],0,0,ROWS(nombres[]),1))-ROW(OFFSET(nombres[],0,0,1,1))+1,ROW(OFFSET(nombres[],ROWS(nombres[])-1,0,1,1))+1),$O1537:$O1556),3),"")</f>
        <v/>
      </c>
      <c r="AFF1537" s="42" t="str">
        <f t="array" aca="1" ref="AFF1537" ca="1">IFERROR(INDEX(nombres[],SMALL(IF(OFFSET(nombres[],0,0,ROWS(nombres[]),1)=AFF$1490,ROW(OFFSET(nombres[],0,0,ROWS(nombres[]),1))-ROW(OFFSET(nombres[],0,0,1,1))+1,ROW(OFFSET(nombres[],ROWS(nombres[])-1,0,1,1))+1),$O1537:$O1556),3),"")</f>
        <v/>
      </c>
      <c r="AFG1537" s="42" t="str">
        <f t="array" aca="1" ref="AFG1537" ca="1">IFERROR(INDEX(nombres[],SMALL(IF(OFFSET(nombres[],0,0,ROWS(nombres[]),1)=AFG$1490,ROW(OFFSET(nombres[],0,0,ROWS(nombres[]),1))-ROW(OFFSET(nombres[],0,0,1,1))+1,ROW(OFFSET(nombres[],ROWS(nombres[])-1,0,1,1))+1),$O1537:$O1556),3),"")</f>
        <v/>
      </c>
      <c r="AFH1537" s="42" t="str">
        <f t="array" aca="1" ref="AFH1537" ca="1">IFERROR(INDEX(nombres[],SMALL(IF(OFFSET(nombres[],0,0,ROWS(nombres[]),1)=AFH$1490,ROW(OFFSET(nombres[],0,0,ROWS(nombres[]),1))-ROW(OFFSET(nombres[],0,0,1,1))+1,ROW(OFFSET(nombres[],ROWS(nombres[])-1,0,1,1))+1),$O1537:$O1556),3),"")</f>
        <v/>
      </c>
      <c r="AFI1537" s="42" t="str">
        <f t="array" aca="1" ref="AFI1537" ca="1">IFERROR(INDEX(nombres[],SMALL(IF(OFFSET(nombres[],0,0,ROWS(nombres[]),1)=AFI$1490,ROW(OFFSET(nombres[],0,0,ROWS(nombres[]),1))-ROW(OFFSET(nombres[],0,0,1,1))+1,ROW(OFFSET(nombres[],ROWS(nombres[])-1,0,1,1))+1),$O1537:$O1556),3),"")</f>
        <v/>
      </c>
      <c r="AFJ1537" s="42" t="str">
        <f t="array" aca="1" ref="AFJ1537" ca="1">IFERROR(INDEX(nombres[],SMALL(IF(OFFSET(nombres[],0,0,ROWS(nombres[]),1)=AFJ$1490,ROW(OFFSET(nombres[],0,0,ROWS(nombres[]),1))-ROW(OFFSET(nombres[],0,0,1,1))+1,ROW(OFFSET(nombres[],ROWS(nombres[])-1,0,1,1))+1),$O1537:$O1556),3),"")</f>
        <v/>
      </c>
      <c r="AFK1537" s="42" t="str">
        <f t="array" aca="1" ref="AFK1537" ca="1">IFERROR(INDEX(nombres[],SMALL(IF(OFFSET(nombres[],0,0,ROWS(nombres[]),1)=AFK$1490,ROW(OFFSET(nombres[],0,0,ROWS(nombres[]),1))-ROW(OFFSET(nombres[],0,0,1,1))+1,ROW(OFFSET(nombres[],ROWS(nombres[])-1,0,1,1))+1),$O1537:$O1556),3),"")</f>
        <v/>
      </c>
      <c r="AFL1537" s="42" t="str">
        <f t="array" aca="1" ref="AFL1537" ca="1">IFERROR(INDEX(nombres[],SMALL(IF(OFFSET(nombres[],0,0,ROWS(nombres[]),1)=AFL$1490,ROW(OFFSET(nombres[],0,0,ROWS(nombres[]),1))-ROW(OFFSET(nombres[],0,0,1,1))+1,ROW(OFFSET(nombres[],ROWS(nombres[])-1,0,1,1))+1),$O1537:$O1556),3),"")</f>
        <v/>
      </c>
      <c r="AFM1537" s="42" t="str">
        <f t="array" aca="1" ref="AFM1537" ca="1">IFERROR(INDEX(nombres[],SMALL(IF(OFFSET(nombres[],0,0,ROWS(nombres[]),1)=AFM$1490,ROW(OFFSET(nombres[],0,0,ROWS(nombres[]),1))-ROW(OFFSET(nombres[],0,0,1,1))+1,ROW(OFFSET(nombres[],ROWS(nombres[])-1,0,1,1))+1),$O1537:$O1556),3),"")</f>
        <v/>
      </c>
      <c r="AFN1537" s="42" t="str">
        <f t="array" aca="1" ref="AFN1537" ca="1">IFERROR(INDEX(nombres[],SMALL(IF(OFFSET(nombres[],0,0,ROWS(nombres[]),1)=AFN$1490,ROW(OFFSET(nombres[],0,0,ROWS(nombres[]),1))-ROW(OFFSET(nombres[],0,0,1,1))+1,ROW(OFFSET(nombres[],ROWS(nombres[])-1,0,1,1))+1),$O1537:$O1556),3),"")</f>
        <v/>
      </c>
      <c r="AFO1537" s="42" t="str">
        <f t="array" aca="1" ref="AFO1537" ca="1">IFERROR(INDEX(nombres[],SMALL(IF(OFFSET(nombres[],0,0,ROWS(nombres[]),1)=AFO$1490,ROW(OFFSET(nombres[],0,0,ROWS(nombres[]),1))-ROW(OFFSET(nombres[],0,0,1,1))+1,ROW(OFFSET(nombres[],ROWS(nombres[])-1,0,1,1))+1),$O1537:$O1556),3),"")</f>
        <v/>
      </c>
      <c r="AFP1537" s="42" t="str">
        <f t="array" aca="1" ref="AFP1537" ca="1">IFERROR(INDEX(nombres[],SMALL(IF(OFFSET(nombres[],0,0,ROWS(nombres[]),1)=AFP$1490,ROW(OFFSET(nombres[],0,0,ROWS(nombres[]),1))-ROW(OFFSET(nombres[],0,0,1,1))+1,ROW(OFFSET(nombres[],ROWS(nombres[])-1,0,1,1))+1),$O1537:$O1556),3),"")</f>
        <v/>
      </c>
      <c r="AFQ1537" s="42" t="str">
        <f t="array" aca="1" ref="AFQ1537" ca="1">IFERROR(INDEX(nombres[],SMALL(IF(OFFSET(nombres[],0,0,ROWS(nombres[]),1)=AFQ$1490,ROW(OFFSET(nombres[],0,0,ROWS(nombres[]),1))-ROW(OFFSET(nombres[],0,0,1,1))+1,ROW(OFFSET(nombres[],ROWS(nombres[])-1,0,1,1))+1),$O1537:$O1556),3),"")</f>
        <v/>
      </c>
      <c r="AFR1537" s="42" t="str">
        <f t="array" aca="1" ref="AFR1537" ca="1">IFERROR(INDEX(nombres[],SMALL(IF(OFFSET(nombres[],0,0,ROWS(nombres[]),1)=AFR$1490,ROW(OFFSET(nombres[],0,0,ROWS(nombres[]),1))-ROW(OFFSET(nombres[],0,0,1,1))+1,ROW(OFFSET(nombres[],ROWS(nombres[])-1,0,1,1))+1),$O1537:$O1556),3),"")</f>
        <v/>
      </c>
      <c r="AFS1537" s="42" t="str">
        <f t="array" aca="1" ref="AFS1537" ca="1">IFERROR(INDEX(nombres[],SMALL(IF(OFFSET(nombres[],0,0,ROWS(nombres[]),1)=AFS$1490,ROW(OFFSET(nombres[],0,0,ROWS(nombres[]),1))-ROW(OFFSET(nombres[],0,0,1,1))+1,ROW(OFFSET(nombres[],ROWS(nombres[])-1,0,1,1))+1),$O1537:$O1556),3),"")</f>
        <v/>
      </c>
      <c r="AFT1537" s="42" t="str">
        <f t="array" aca="1" ref="AFT1537" ca="1">IFERROR(INDEX(nombres[],SMALL(IF(OFFSET(nombres[],0,0,ROWS(nombres[]),1)=AFT$1490,ROW(OFFSET(nombres[],0,0,ROWS(nombres[]),1))-ROW(OFFSET(nombres[],0,0,1,1))+1,ROW(OFFSET(nombres[],ROWS(nombres[])-1,0,1,1))+1),$O1537:$O1556),3),"")</f>
        <v/>
      </c>
      <c r="AFU1537" s="42" t="str">
        <f t="array" aca="1" ref="AFU1537" ca="1">IFERROR(INDEX(nombres[],SMALL(IF(OFFSET(nombres[],0,0,ROWS(nombres[]),1)=AFU$1490,ROW(OFFSET(nombres[],0,0,ROWS(nombres[]),1))-ROW(OFFSET(nombres[],0,0,1,1))+1,ROW(OFFSET(nombres[],ROWS(nombres[])-1,0,1,1))+1),$O1537:$O1556),3),"")</f>
        <v/>
      </c>
      <c r="AFV1537" s="42" t="str">
        <f t="array" aca="1" ref="AFV1537" ca="1">IFERROR(INDEX(nombres[],SMALL(IF(OFFSET(nombres[],0,0,ROWS(nombres[]),1)=AFV$1490,ROW(OFFSET(nombres[],0,0,ROWS(nombres[]),1))-ROW(OFFSET(nombres[],0,0,1,1))+1,ROW(OFFSET(nombres[],ROWS(nombres[])-1,0,1,1))+1),$O1537:$O1556),3),"")</f>
        <v/>
      </c>
      <c r="AFW1537" s="42" t="str">
        <f t="array" aca="1" ref="AFW1537" ca="1">IFERROR(INDEX(nombres[],SMALL(IF(OFFSET(nombres[],0,0,ROWS(nombres[]),1)=AFW$1490,ROW(OFFSET(nombres[],0,0,ROWS(nombres[]),1))-ROW(OFFSET(nombres[],0,0,1,1))+1,ROW(OFFSET(nombres[],ROWS(nombres[])-1,0,1,1))+1),$O1537:$O1556),3),"")</f>
        <v/>
      </c>
      <c r="AFX1537" s="42" t="str">
        <f t="array" aca="1" ref="AFX1537" ca="1">IFERROR(INDEX(nombres[],SMALL(IF(OFFSET(nombres[],0,0,ROWS(nombres[]),1)=AFX$1490,ROW(OFFSET(nombres[],0,0,ROWS(nombres[]),1))-ROW(OFFSET(nombres[],0,0,1,1))+1,ROW(OFFSET(nombres[],ROWS(nombres[])-1,0,1,1))+1),$O1537:$O1556),3),"")</f>
        <v/>
      </c>
      <c r="AFY1537" s="42" t="str">
        <f t="array" aca="1" ref="AFY1537" ca="1">IFERROR(INDEX(nombres[],SMALL(IF(OFFSET(nombres[],0,0,ROWS(nombres[]),1)=AFY$1490,ROW(OFFSET(nombres[],0,0,ROWS(nombres[]),1))-ROW(OFFSET(nombres[],0,0,1,1))+1,ROW(OFFSET(nombres[],ROWS(nombres[])-1,0,1,1))+1),$O1537:$O1556),3),"")</f>
        <v/>
      </c>
      <c r="AFZ1537" s="42" t="str">
        <f t="array" aca="1" ref="AFZ1537" ca="1">IFERROR(INDEX(nombres[],SMALL(IF(OFFSET(nombres[],0,0,ROWS(nombres[]),1)=AFZ$1490,ROW(OFFSET(nombres[],0,0,ROWS(nombres[]),1))-ROW(OFFSET(nombres[],0,0,1,1))+1,ROW(OFFSET(nombres[],ROWS(nombres[])-1,0,1,1))+1),$O1537:$O1556),3),"")</f>
        <v/>
      </c>
      <c r="AGA1537" s="42" t="str">
        <f t="array" aca="1" ref="AGA1537" ca="1">IFERROR(INDEX(nombres[],SMALL(IF(OFFSET(nombres[],0,0,ROWS(nombres[]),1)=AGA$1490,ROW(OFFSET(nombres[],0,0,ROWS(nombres[]),1))-ROW(OFFSET(nombres[],0,0,1,1))+1,ROW(OFFSET(nombres[],ROWS(nombres[])-1,0,1,1))+1),$O1537:$O1556),3),"")</f>
        <v/>
      </c>
      <c r="AGB1537" s="42" t="str">
        <f t="array" aca="1" ref="AGB1537" ca="1">IFERROR(INDEX(nombres[],SMALL(IF(OFFSET(nombres[],0,0,ROWS(nombres[]),1)=AGB$1490,ROW(OFFSET(nombres[],0,0,ROWS(nombres[]),1))-ROW(OFFSET(nombres[],0,0,1,1))+1,ROW(OFFSET(nombres[],ROWS(nombres[])-1,0,1,1))+1),$O1537:$O1556),3),"")</f>
        <v/>
      </c>
      <c r="AGC1537" s="42" t="str">
        <f t="array" aca="1" ref="AGC1537" ca="1">IFERROR(INDEX(nombres[],SMALL(IF(OFFSET(nombres[],0,0,ROWS(nombres[]),1)=AGC$1490,ROW(OFFSET(nombres[],0,0,ROWS(nombres[]),1))-ROW(OFFSET(nombres[],0,0,1,1))+1,ROW(OFFSET(nombres[],ROWS(nombres[])-1,0,1,1))+1),$O1537:$O1556),3),"")</f>
        <v/>
      </c>
      <c r="AGD1537" s="42" t="str">
        <f t="array" aca="1" ref="AGD1537" ca="1">IFERROR(INDEX(nombres[],SMALL(IF(OFFSET(nombres[],0,0,ROWS(nombres[]),1)=AGD$1490,ROW(OFFSET(nombres[],0,0,ROWS(nombres[]),1))-ROW(OFFSET(nombres[],0,0,1,1))+1,ROW(OFFSET(nombres[],ROWS(nombres[])-1,0,1,1))+1),$O1537:$O1556),3),"")</f>
        <v/>
      </c>
      <c r="AGE1537" s="42" t="str">
        <f t="array" aca="1" ref="AGE1537" ca="1">IFERROR(INDEX(nombres[],SMALL(IF(OFFSET(nombres[],0,0,ROWS(nombres[]),1)=AGE$1490,ROW(OFFSET(nombres[],0,0,ROWS(nombres[]),1))-ROW(OFFSET(nombres[],0,0,1,1))+1,ROW(OFFSET(nombres[],ROWS(nombres[])-1,0,1,1))+1),$O1537:$O1556),3),"")</f>
        <v/>
      </c>
      <c r="AGF1537" s="42" t="str">
        <f t="array" aca="1" ref="AGF1537" ca="1">IFERROR(INDEX(nombres[],SMALL(IF(OFFSET(nombres[],0,0,ROWS(nombres[]),1)=AGF$1490,ROW(OFFSET(nombres[],0,0,ROWS(nombres[]),1))-ROW(OFFSET(nombres[],0,0,1,1))+1,ROW(OFFSET(nombres[],ROWS(nombres[])-1,0,1,1))+1),$O1537:$O1556),3),"")</f>
        <v/>
      </c>
      <c r="AGG1537" s="42" t="str">
        <f t="array" aca="1" ref="AGG1537" ca="1">IFERROR(INDEX(nombres[],SMALL(IF(OFFSET(nombres[],0,0,ROWS(nombres[]),1)=AGG$1490,ROW(OFFSET(nombres[],0,0,ROWS(nombres[]),1))-ROW(OFFSET(nombres[],0,0,1,1))+1,ROW(OFFSET(nombres[],ROWS(nombres[])-1,0,1,1))+1),$O1537:$O1556),3),"")</f>
        <v/>
      </c>
      <c r="AGH1537" s="42" t="str">
        <f t="array" aca="1" ref="AGH1537" ca="1">IFERROR(INDEX(nombres[],SMALL(IF(OFFSET(nombres[],0,0,ROWS(nombres[]),1)=AGH$1490,ROW(OFFSET(nombres[],0,0,ROWS(nombres[]),1))-ROW(OFFSET(nombres[],0,0,1,1))+1,ROW(OFFSET(nombres[],ROWS(nombres[])-1,0,1,1))+1),$O1537:$O1556),3),"")</f>
        <v/>
      </c>
      <c r="AGI1537" s="42" t="str">
        <f t="array" aca="1" ref="AGI1537" ca="1">IFERROR(INDEX(nombres[],SMALL(IF(OFFSET(nombres[],0,0,ROWS(nombres[]),1)=AGI$1490,ROW(OFFSET(nombres[],0,0,ROWS(nombres[]),1))-ROW(OFFSET(nombres[],0,0,1,1))+1,ROW(OFFSET(nombres[],ROWS(nombres[])-1,0,1,1))+1),$O1537:$O1556),3),"")</f>
        <v/>
      </c>
      <c r="AGJ1537" s="42" t="str">
        <f t="array" aca="1" ref="AGJ1537" ca="1">IFERROR(INDEX(nombres[],SMALL(IF(OFFSET(nombres[],0,0,ROWS(nombres[]),1)=AGJ$1490,ROW(OFFSET(nombres[],0,0,ROWS(nombres[]),1))-ROW(OFFSET(nombres[],0,0,1,1))+1,ROW(OFFSET(nombres[],ROWS(nombres[])-1,0,1,1))+1),$O1537:$O1556),3),"")</f>
        <v/>
      </c>
      <c r="AGK1537" s="42" t="str">
        <f t="array" aca="1" ref="AGK1537" ca="1">IFERROR(INDEX(nombres[],SMALL(IF(OFFSET(nombres[],0,0,ROWS(nombres[]),1)=AGK$1490,ROW(OFFSET(nombres[],0,0,ROWS(nombres[]),1))-ROW(OFFSET(nombres[],0,0,1,1))+1,ROW(OFFSET(nombres[],ROWS(nombres[])-1,0,1,1))+1),$O1537:$O1556),3),"")</f>
        <v/>
      </c>
      <c r="AGL1537" s="42" t="str">
        <f t="array" aca="1" ref="AGL1537" ca="1">IFERROR(INDEX(nombres[],SMALL(IF(OFFSET(nombres[],0,0,ROWS(nombres[]),1)=AGL$1490,ROW(OFFSET(nombres[],0,0,ROWS(nombres[]),1))-ROW(OFFSET(nombres[],0,0,1,1))+1,ROW(OFFSET(nombres[],ROWS(nombres[])-1,0,1,1))+1),$O1537:$O1556),3),"")</f>
        <v/>
      </c>
      <c r="AGM1537" s="42" t="str">
        <f t="array" aca="1" ref="AGM1537" ca="1">IFERROR(INDEX(nombres[],SMALL(IF(OFFSET(nombres[],0,0,ROWS(nombres[]),1)=AGM$1490,ROW(OFFSET(nombres[],0,0,ROWS(nombres[]),1))-ROW(OFFSET(nombres[],0,0,1,1))+1,ROW(OFFSET(nombres[],ROWS(nombres[])-1,0,1,1))+1),$O1537:$O1556),3),"")</f>
        <v/>
      </c>
      <c r="AGN1537" s="42" t="str">
        <f t="array" aca="1" ref="AGN1537" ca="1">IFERROR(INDEX(nombres[],SMALL(IF(OFFSET(nombres[],0,0,ROWS(nombres[]),1)=AGN$1490,ROW(OFFSET(nombres[],0,0,ROWS(nombres[]),1))-ROW(OFFSET(nombres[],0,0,1,1))+1,ROW(OFFSET(nombres[],ROWS(nombres[])-1,0,1,1))+1),$O1537:$O1556),3),"")</f>
        <v/>
      </c>
    </row>
    <row r="1538" spans="15:872" x14ac:dyDescent="0.25">
      <c r="O1538" s="42">
        <v>2</v>
      </c>
      <c r="P1538" s="42">
        <f t="array" aca="1" ref="P1538" ca="1">IFERROR(INDEX(nombres[],SMALL(IF(OFFSET(nombres[],0,0,ROWS(nombres[]),1)=P$1490,ROW(OFFSET(nombres[],0,0,ROWS(nombres[]),1))-ROW(OFFSET(nombres[],0,0,1,1))+1,ROW(OFFSET(nombres[],ROWS(nombres[])-1,0,1,1))+1),$O1538:$O1557),3),"")</f>
        <v>42</v>
      </c>
      <c r="Q1538" s="42" t="str">
        <f t="array" aca="1" ref="Q1538" ca="1">IFERROR(INDEX(nombres[],SMALL(IF(OFFSET(nombres[],0,0,ROWS(nombres[]),1)=Q$1490,ROW(OFFSET(nombres[],0,0,ROWS(nombres[]),1))-ROW(OFFSET(nombres[],0,0,1,1))+1,ROW(OFFSET(nombres[],ROWS(nombres[])-1,0,1,1))+1),$O1538:$O1557),3),"")</f>
        <v/>
      </c>
      <c r="R1538" s="42" t="str">
        <f t="array" aca="1" ref="R1538" ca="1">IFERROR(INDEX(nombres[],SMALL(IF(OFFSET(nombres[],0,0,ROWS(nombres[]),1)=R$1490,ROW(OFFSET(nombres[],0,0,ROWS(nombres[]),1))-ROW(OFFSET(nombres[],0,0,1,1))+1,ROW(OFFSET(nombres[],ROWS(nombres[])-1,0,1,1))+1),$O1538:$O1557),3),"")</f>
        <v/>
      </c>
      <c r="S1538" s="42">
        <f t="array" aca="1" ref="S1538" ca="1">IFERROR(INDEX(nombres[],SMALL(IF(OFFSET(nombres[],0,0,ROWS(nombres[]),1)=S$1490,ROW(OFFSET(nombres[],0,0,ROWS(nombres[]),1))-ROW(OFFSET(nombres[],0,0,1,1))+1,ROW(OFFSET(nombres[],ROWS(nombres[])-1,0,1,1))+1),$O1538:$O1557),3),"")</f>
        <v>7</v>
      </c>
      <c r="T1538" s="42" t="str">
        <f t="array" aca="1" ref="T1538" ca="1">IFERROR(INDEX(nombres[],SMALL(IF(OFFSET(nombres[],0,0,ROWS(nombres[]),1)=T$1490,ROW(OFFSET(nombres[],0,0,ROWS(nombres[]),1))-ROW(OFFSET(nombres[],0,0,1,1))+1,ROW(OFFSET(nombres[],ROWS(nombres[])-1,0,1,1))+1),$O1538:$O1557),3),"")</f>
        <v/>
      </c>
      <c r="U1538" s="42">
        <f t="array" aca="1" ref="U1538" ca="1">IFERROR(INDEX(nombres[],SMALL(IF(OFFSET(nombres[],0,0,ROWS(nombres[]),1)=U$1490,ROW(OFFSET(nombres[],0,0,ROWS(nombres[]),1))-ROW(OFFSET(nombres[],0,0,1,1))+1,ROW(OFFSET(nombres[],ROWS(nombres[])-1,0,1,1))+1),$O1538:$O1557),3),"")</f>
        <v>13</v>
      </c>
      <c r="V1538" s="42" t="str">
        <f t="array" aca="1" ref="V1538" ca="1">IFERROR(INDEX(nombres[],SMALL(IF(OFFSET(nombres[],0,0,ROWS(nombres[]),1)=V$1490,ROW(OFFSET(nombres[],0,0,ROWS(nombres[]),1))-ROW(OFFSET(nombres[],0,0,1,1))+1,ROW(OFFSET(nombres[],ROWS(nombres[])-1,0,1,1))+1),$O1538:$O1557),3),"")</f>
        <v/>
      </c>
      <c r="W1538" s="42">
        <f t="array" aca="1" ref="W1538" ca="1">IFERROR(INDEX(nombres[],SMALL(IF(OFFSET(nombres[],0,0,ROWS(nombres[]),1)=W$1490,ROW(OFFSET(nombres[],0,0,ROWS(nombres[]),1))-ROW(OFFSET(nombres[],0,0,1,1))+1,ROW(OFFSET(nombres[],ROWS(nombres[])-1,0,1,1))+1),$O1538:$O1557),3),"")</f>
        <v>50</v>
      </c>
      <c r="X1538" s="42">
        <f t="array" aca="1" ref="X1538" ca="1">IFERROR(INDEX(nombres[],SMALL(IF(OFFSET(nombres[],0,0,ROWS(nombres[]),1)=X$1490,ROW(OFFSET(nombres[],0,0,ROWS(nombres[]),1))-ROW(OFFSET(nombres[],0,0,1,1))+1,ROW(OFFSET(nombres[],ROWS(nombres[])-1,0,1,1))+1),$O1538:$O1557),3),"")</f>
        <v>21</v>
      </c>
      <c r="Y1538" s="42" t="str">
        <f t="array" aca="1" ref="Y1538" ca="1">IFERROR(INDEX(nombres[],SMALL(IF(OFFSET(nombres[],0,0,ROWS(nombres[]),1)=Y$1490,ROW(OFFSET(nombres[],0,0,ROWS(nombres[]),1))-ROW(OFFSET(nombres[],0,0,1,1))+1,ROW(OFFSET(nombres[],ROWS(nombres[])-1,0,1,1))+1),$O1538:$O1557),3),"")</f>
        <v/>
      </c>
      <c r="Z1538" s="42" t="str">
        <f t="array" aca="1" ref="Z1538" ca="1">IFERROR(INDEX(nombres[],SMALL(IF(OFFSET(nombres[],0,0,ROWS(nombres[]),1)=Z$1490,ROW(OFFSET(nombres[],0,0,ROWS(nombres[]),1))-ROW(OFFSET(nombres[],0,0,1,1))+1,ROW(OFFSET(nombres[],ROWS(nombres[])-1,0,1,1))+1),$O1538:$O1557),3),"")</f>
        <v/>
      </c>
      <c r="AA1538" s="42">
        <f t="array" aca="1" ref="AA1538" ca="1">IFERROR(INDEX(nombres[],SMALL(IF(OFFSET(nombres[],0,0,ROWS(nombres[]),1)=AA$1490,ROW(OFFSET(nombres[],0,0,ROWS(nombres[]),1))-ROW(OFFSET(nombres[],0,0,1,1))+1,ROW(OFFSET(nombres[],ROWS(nombres[])-1,0,1,1))+1),$O1538:$O1557),3),"")</f>
        <v>2</v>
      </c>
      <c r="AB1538" s="42">
        <f t="array" aca="1" ref="AB1538" ca="1">IFERROR(INDEX(nombres[],SMALL(IF(OFFSET(nombres[],0,0,ROWS(nombres[]),1)=AB$1490,ROW(OFFSET(nombres[],0,0,ROWS(nombres[]),1))-ROW(OFFSET(nombres[],0,0,1,1))+1,ROW(OFFSET(nombres[],ROWS(nombres[])-1,0,1,1))+1),$O1538:$O1557),3),"")</f>
        <v>384</v>
      </c>
      <c r="AC1538" s="42">
        <f t="array" aca="1" ref="AC1538" ca="1">IFERROR(INDEX(nombres[],SMALL(IF(OFFSET(nombres[],0,0,ROWS(nombres[]),1)=AC$1490,ROW(OFFSET(nombres[],0,0,ROWS(nombres[]),1))-ROW(OFFSET(nombres[],0,0,1,1))+1,ROW(OFFSET(nombres[],ROWS(nombres[])-1,0,1,1))+1),$O1538:$O1557),3),"")</f>
        <v>313</v>
      </c>
      <c r="AD1538" s="42">
        <f t="array" aca="1" ref="AD1538" ca="1">IFERROR(INDEX(nombres[],SMALL(IF(OFFSET(nombres[],0,0,ROWS(nombres[]),1)=AD$1490,ROW(OFFSET(nombres[],0,0,ROWS(nombres[]),1))-ROW(OFFSET(nombres[],0,0,1,1))+1,ROW(OFFSET(nombres[],ROWS(nombres[])-1,0,1,1))+1),$O1538:$O1557),3),"")</f>
        <v>308</v>
      </c>
      <c r="AE1538" s="42">
        <f t="array" aca="1" ref="AE1538" ca="1">IFERROR(INDEX(nombres[],SMALL(IF(OFFSET(nombres[],0,0,ROWS(nombres[]),1)=AE$1490,ROW(OFFSET(nombres[],0,0,ROWS(nombres[]),1))-ROW(OFFSET(nombres[],0,0,1,1))+1,ROW(OFFSET(nombres[],ROWS(nombres[])-1,0,1,1))+1),$O1538:$O1557),3),"")</f>
        <v>58</v>
      </c>
      <c r="AF1538" s="42">
        <f t="array" aca="1" ref="AF1538" ca="1">IFERROR(INDEX(nombres[],SMALL(IF(OFFSET(nombres[],0,0,ROWS(nombres[]),1)=AF$1490,ROW(OFFSET(nombres[],0,0,ROWS(nombres[]),1))-ROW(OFFSET(nombres[],0,0,1,1))+1,ROW(OFFSET(nombres[],ROWS(nombres[])-1,0,1,1))+1),$O1538:$O1557),3),"")</f>
        <v>11</v>
      </c>
      <c r="AG1538" s="42" t="str">
        <f t="array" aca="1" ref="AG1538" ca="1">IFERROR(INDEX(nombres[],SMALL(IF(OFFSET(nombres[],0,0,ROWS(nombres[]),1)=AG$1490,ROW(OFFSET(nombres[],0,0,ROWS(nombres[]),1))-ROW(OFFSET(nombres[],0,0,1,1))+1,ROW(OFFSET(nombres[],ROWS(nombres[])-1,0,1,1))+1),$O1538:$O1557),3),"")</f>
        <v/>
      </c>
      <c r="AH1538" s="42">
        <f t="array" aca="1" ref="AH1538" ca="1">IFERROR(INDEX(nombres[],SMALL(IF(OFFSET(nombres[],0,0,ROWS(nombres[]),1)=AH$1490,ROW(OFFSET(nombres[],0,0,ROWS(nombres[]),1))-ROW(OFFSET(nombres[],0,0,1,1))+1,ROW(OFFSET(nombres[],ROWS(nombres[])-1,0,1,1))+1),$O1538:$O1557),3),"")</f>
        <v>56</v>
      </c>
      <c r="AI1538" s="42" t="str">
        <f t="array" aca="1" ref="AI1538" ca="1">IFERROR(INDEX(nombres[],SMALL(IF(OFFSET(nombres[],0,0,ROWS(nombres[]),1)=AI$1490,ROW(OFFSET(nombres[],0,0,ROWS(nombres[]),1))-ROW(OFFSET(nombres[],0,0,1,1))+1,ROW(OFFSET(nombres[],ROWS(nombres[])-1,0,1,1))+1),$O1538:$O1557),3),"")</f>
        <v/>
      </c>
      <c r="AJ1538" s="42">
        <f t="array" aca="1" ref="AJ1538" ca="1">IFERROR(INDEX(nombres[],SMALL(IF(OFFSET(nombres[],0,0,ROWS(nombres[]),1)=AJ$1490,ROW(OFFSET(nombres[],0,0,ROWS(nombres[]),1))-ROW(OFFSET(nombres[],0,0,1,1))+1,ROW(OFFSET(nombres[],ROWS(nombres[])-1,0,1,1))+1),$O1538:$O1557),3),"")</f>
        <v>269</v>
      </c>
      <c r="AK1538" s="42">
        <f t="array" aca="1" ref="AK1538" ca="1">IFERROR(INDEX(nombres[],SMALL(IF(OFFSET(nombres[],0,0,ROWS(nombres[]),1)=AK$1490,ROW(OFFSET(nombres[],0,0,ROWS(nombres[]),1))-ROW(OFFSET(nombres[],0,0,1,1))+1,ROW(OFFSET(nombres[],ROWS(nombres[])-1,0,1,1))+1),$O1538:$O1557),3),"")</f>
        <v>615</v>
      </c>
      <c r="AL1538" s="42">
        <f t="array" aca="1" ref="AL1538" ca="1">IFERROR(INDEX(nombres[],SMALL(IF(OFFSET(nombres[],0,0,ROWS(nombres[]),1)=AL$1490,ROW(OFFSET(nombres[],0,0,ROWS(nombres[]),1))-ROW(OFFSET(nombres[],0,0,1,1))+1,ROW(OFFSET(nombres[],ROWS(nombres[])-1,0,1,1))+1),$O1538:$O1557),3),"")</f>
        <v>663</v>
      </c>
      <c r="AM1538" s="42">
        <f t="array" aca="1" ref="AM1538" ca="1">IFERROR(INDEX(nombres[],SMALL(IF(OFFSET(nombres[],0,0,ROWS(nombres[]),1)=AM$1490,ROW(OFFSET(nombres[],0,0,ROWS(nombres[]),1))-ROW(OFFSET(nombres[],0,0,1,1))+1,ROW(OFFSET(nombres[],ROWS(nombres[])-1,0,1,1))+1),$O1538:$O1557),3),"")</f>
        <v>420</v>
      </c>
      <c r="AN1538" s="42">
        <f t="array" aca="1" ref="AN1538" ca="1">IFERROR(INDEX(nombres[],SMALL(IF(OFFSET(nombres[],0,0,ROWS(nombres[]),1)=AN$1490,ROW(OFFSET(nombres[],0,0,ROWS(nombres[]),1))-ROW(OFFSET(nombres[],0,0,1,1))+1,ROW(OFFSET(nombres[],ROWS(nombres[])-1,0,1,1))+1),$O1538:$O1557),3),"")</f>
        <v>158</v>
      </c>
      <c r="AO1538" s="42" t="str">
        <f t="array" aca="1" ref="AO1538" ca="1">IFERROR(INDEX(nombres[],SMALL(IF(OFFSET(nombres[],0,0,ROWS(nombres[]),1)=AO$1490,ROW(OFFSET(nombres[],0,0,ROWS(nombres[]),1))-ROW(OFFSET(nombres[],0,0,1,1))+1,ROW(OFFSET(nombres[],ROWS(nombres[])-1,0,1,1))+1),$O1538:$O1557),3),"")</f>
        <v/>
      </c>
      <c r="AP1538" s="42">
        <f t="array" aca="1" ref="AP1538" ca="1">IFERROR(INDEX(nombres[],SMALL(IF(OFFSET(nombres[],0,0,ROWS(nombres[]),1)=AP$1490,ROW(OFFSET(nombres[],0,0,ROWS(nombres[]),1))-ROW(OFFSET(nombres[],0,0,1,1))+1,ROW(OFFSET(nombres[],ROWS(nombres[])-1,0,1,1))+1),$O1538:$O1557),3),"")</f>
        <v>276</v>
      </c>
      <c r="AQ1538" s="42" t="str">
        <f t="array" aca="1" ref="AQ1538" ca="1">IFERROR(INDEX(nombres[],SMALL(IF(OFFSET(nombres[],0,0,ROWS(nombres[]),1)=AQ$1490,ROW(OFFSET(nombres[],0,0,ROWS(nombres[]),1))-ROW(OFFSET(nombres[],0,0,1,1))+1,ROW(OFFSET(nombres[],ROWS(nombres[])-1,0,1,1))+1),$O1538:$O1557),3),"")</f>
        <v/>
      </c>
      <c r="AR1538" s="42" t="str">
        <f t="array" aca="1" ref="AR1538" ca="1">IFERROR(INDEX(nombres[],SMALL(IF(OFFSET(nombres[],0,0,ROWS(nombres[]),1)=AR$1490,ROW(OFFSET(nombres[],0,0,ROWS(nombres[]),1))-ROW(OFFSET(nombres[],0,0,1,1))+1,ROW(OFFSET(nombres[],ROWS(nombres[])-1,0,1,1))+1),$O1538:$O1557),3),"")</f>
        <v/>
      </c>
      <c r="AS1538" s="42" t="str">
        <f t="array" aca="1" ref="AS1538" ca="1">IFERROR(INDEX(nombres[],SMALL(IF(OFFSET(nombres[],0,0,ROWS(nombres[]),1)=AS$1490,ROW(OFFSET(nombres[],0,0,ROWS(nombres[]),1))-ROW(OFFSET(nombres[],0,0,1,1))+1,ROW(OFFSET(nombres[],ROWS(nombres[])-1,0,1,1))+1),$O1538:$O1557),3),"")</f>
        <v/>
      </c>
      <c r="AT1538" s="42" t="str">
        <f t="array" aca="1" ref="AT1538" ca="1">IFERROR(INDEX(nombres[],SMALL(IF(OFFSET(nombres[],0,0,ROWS(nombres[]),1)=AT$1490,ROW(OFFSET(nombres[],0,0,ROWS(nombres[]),1))-ROW(OFFSET(nombres[],0,0,1,1))+1,ROW(OFFSET(nombres[],ROWS(nombres[])-1,0,1,1))+1),$O1538:$O1557),3),"")</f>
        <v/>
      </c>
      <c r="AU1538" s="42">
        <f t="array" aca="1" ref="AU1538" ca="1">IFERROR(INDEX(nombres[],SMALL(IF(OFFSET(nombres[],0,0,ROWS(nombres[]),1)=AU$1490,ROW(OFFSET(nombres[],0,0,ROWS(nombres[]),1))-ROW(OFFSET(nombres[],0,0,1,1))+1,ROW(OFFSET(nombres[],ROWS(nombres[])-1,0,1,1))+1),$O1538:$O1557),3),"")</f>
        <v>167</v>
      </c>
      <c r="AV1538" s="42" t="str">
        <f t="array" aca="1" ref="AV1538" ca="1">IFERROR(INDEX(nombres[],SMALL(IF(OFFSET(nombres[],0,0,ROWS(nombres[]),1)=AV$1490,ROW(OFFSET(nombres[],0,0,ROWS(nombres[]),1))-ROW(OFFSET(nombres[],0,0,1,1))+1,ROW(OFFSET(nombres[],ROWS(nombres[])-1,0,1,1))+1),$O1538:$O1557),3),"")</f>
        <v/>
      </c>
      <c r="AW1538" s="42">
        <f t="array" aca="1" ref="AW1538" ca="1">IFERROR(INDEX(nombres[],SMALL(IF(OFFSET(nombres[],0,0,ROWS(nombres[]),1)=AW$1490,ROW(OFFSET(nombres[],0,0,ROWS(nombres[]),1))-ROW(OFFSET(nombres[],0,0,1,1))+1,ROW(OFFSET(nombres[],ROWS(nombres[])-1,0,1,1))+1),$O1538:$O1557),3),"")</f>
        <v>77</v>
      </c>
      <c r="AX1538" s="42" t="str">
        <f t="array" aca="1" ref="AX1538" ca="1">IFERROR(INDEX(nombres[],SMALL(IF(OFFSET(nombres[],0,0,ROWS(nombres[]),1)=AX$1490,ROW(OFFSET(nombres[],0,0,ROWS(nombres[]),1))-ROW(OFFSET(nombres[],0,0,1,1))+1,ROW(OFFSET(nombres[],ROWS(nombres[])-1,0,1,1))+1),$O1538:$O1557),3),"")</f>
        <v/>
      </c>
      <c r="AY1538" s="42">
        <f t="array" aca="1" ref="AY1538" ca="1">IFERROR(INDEX(nombres[],SMALL(IF(OFFSET(nombres[],0,0,ROWS(nombres[]),1)=AY$1490,ROW(OFFSET(nombres[],0,0,ROWS(nombres[]),1))-ROW(OFFSET(nombres[],0,0,1,1))+1,ROW(OFFSET(nombres[],ROWS(nombres[])-1,0,1,1))+1),$O1538:$O1557),3),"")</f>
        <v>634</v>
      </c>
      <c r="AZ1538" s="42" t="str">
        <f t="array" aca="1" ref="AZ1538" ca="1">IFERROR(INDEX(nombres[],SMALL(IF(OFFSET(nombres[],0,0,ROWS(nombres[]),1)=AZ$1490,ROW(OFFSET(nombres[],0,0,ROWS(nombres[]),1))-ROW(OFFSET(nombres[],0,0,1,1))+1,ROW(OFFSET(nombres[],ROWS(nombres[])-1,0,1,1))+1),$O1538:$O1557),3),"")</f>
        <v/>
      </c>
      <c r="BA1538" s="42">
        <f t="array" aca="1" ref="BA1538" ca="1">IFERROR(INDEX(nombres[],SMALL(IF(OFFSET(nombres[],0,0,ROWS(nombres[]),1)=BA$1490,ROW(OFFSET(nombres[],0,0,ROWS(nombres[]),1))-ROW(OFFSET(nombres[],0,0,1,1))+1,ROW(OFFSET(nombres[],ROWS(nombres[])-1,0,1,1))+1),$O1538:$O1557),3),"")</f>
        <v>650</v>
      </c>
      <c r="BB1538" s="42">
        <f t="array" aca="1" ref="BB1538" ca="1">IFERROR(INDEX(nombres[],SMALL(IF(OFFSET(nombres[],0,0,ROWS(nombres[]),1)=BB$1490,ROW(OFFSET(nombres[],0,0,ROWS(nombres[]),1))-ROW(OFFSET(nombres[],0,0,1,1))+1,ROW(OFFSET(nombres[],ROWS(nombres[])-1,0,1,1))+1),$O1538:$O1557),3),"")</f>
        <v>271</v>
      </c>
      <c r="BC1538" s="42" t="str">
        <f t="array" aca="1" ref="BC1538" ca="1">IFERROR(INDEX(nombres[],SMALL(IF(OFFSET(nombres[],0,0,ROWS(nombres[]),1)=BC$1490,ROW(OFFSET(nombres[],0,0,ROWS(nombres[]),1))-ROW(OFFSET(nombres[],0,0,1,1))+1,ROW(OFFSET(nombres[],ROWS(nombres[])-1,0,1,1))+1),$O1538:$O1557),3),"")</f>
        <v/>
      </c>
      <c r="BD1538" s="42" t="str">
        <f t="array" aca="1" ref="BD1538" ca="1">IFERROR(INDEX(nombres[],SMALL(IF(OFFSET(nombres[],0,0,ROWS(nombres[]),1)=BD$1490,ROW(OFFSET(nombres[],0,0,ROWS(nombres[]),1))-ROW(OFFSET(nombres[],0,0,1,1))+1,ROW(OFFSET(nombres[],ROWS(nombres[])-1,0,1,1))+1),$O1538:$O1557),3),"")</f>
        <v/>
      </c>
      <c r="BE1538" s="42" t="str">
        <f t="array" aca="1" ref="BE1538" ca="1">IFERROR(INDEX(nombres[],SMALL(IF(OFFSET(nombres[],0,0,ROWS(nombres[]),1)=BE$1490,ROW(OFFSET(nombres[],0,0,ROWS(nombres[]),1))-ROW(OFFSET(nombres[],0,0,1,1))+1,ROW(OFFSET(nombres[],ROWS(nombres[])-1,0,1,1))+1),$O1538:$O1557),3),"")</f>
        <v/>
      </c>
      <c r="BF1538" s="42">
        <f t="array" aca="1" ref="BF1538" ca="1">IFERROR(INDEX(nombres[],SMALL(IF(OFFSET(nombres[],0,0,ROWS(nombres[]),1)=BF$1490,ROW(OFFSET(nombres[],0,0,ROWS(nombres[]),1))-ROW(OFFSET(nombres[],0,0,1,1))+1,ROW(OFFSET(nombres[],ROWS(nombres[])-1,0,1,1))+1),$O1538:$O1557),3),"")</f>
        <v>71</v>
      </c>
      <c r="BG1538" s="42">
        <f t="array" aca="1" ref="BG1538" ca="1">IFERROR(INDEX(nombres[],SMALL(IF(OFFSET(nombres[],0,0,ROWS(nombres[]),1)=BG$1490,ROW(OFFSET(nombres[],0,0,ROWS(nombres[]),1))-ROW(OFFSET(nombres[],0,0,1,1))+1,ROW(OFFSET(nombres[],ROWS(nombres[])-1,0,1,1))+1),$O1538:$O1557),3),"")</f>
        <v>204</v>
      </c>
      <c r="BH1538" s="42" t="str">
        <f t="array" aca="1" ref="BH1538" ca="1">IFERROR(INDEX(nombres[],SMALL(IF(OFFSET(nombres[],0,0,ROWS(nombres[]),1)=BH$1490,ROW(OFFSET(nombres[],0,0,ROWS(nombres[]),1))-ROW(OFFSET(nombres[],0,0,1,1))+1,ROW(OFFSET(nombres[],ROWS(nombres[])-1,0,1,1))+1),$O1538:$O1557),3),"")</f>
        <v/>
      </c>
      <c r="BI1538" s="42" t="str">
        <f t="array" aca="1" ref="BI1538" ca="1">IFERROR(INDEX(nombres[],SMALL(IF(OFFSET(nombres[],0,0,ROWS(nombres[]),1)=BI$1490,ROW(OFFSET(nombres[],0,0,ROWS(nombres[]),1))-ROW(OFFSET(nombres[],0,0,1,1))+1,ROW(OFFSET(nombres[],ROWS(nombres[])-1,0,1,1))+1),$O1538:$O1557),3),"")</f>
        <v/>
      </c>
      <c r="BJ1538" s="42">
        <f t="array" aca="1" ref="BJ1538" ca="1">IFERROR(INDEX(nombres[],SMALL(IF(OFFSET(nombres[],0,0,ROWS(nombres[]),1)=BJ$1490,ROW(OFFSET(nombres[],0,0,ROWS(nombres[]),1))-ROW(OFFSET(nombres[],0,0,1,1))+1,ROW(OFFSET(nombres[],ROWS(nombres[])-1,0,1,1))+1),$O1538:$O1557),3),"")</f>
        <v>124</v>
      </c>
      <c r="BK1538" s="42">
        <f t="array" aca="1" ref="BK1538" ca="1">IFERROR(INDEX(nombres[],SMALL(IF(OFFSET(nombres[],0,0,ROWS(nombres[]),1)=BK$1490,ROW(OFFSET(nombres[],0,0,ROWS(nombres[]),1))-ROW(OFFSET(nombres[],0,0,1,1))+1,ROW(OFFSET(nombres[],ROWS(nombres[])-1,0,1,1))+1),$O1538:$O1557),3),"")</f>
        <v>104</v>
      </c>
      <c r="BL1538" s="42" t="str">
        <f t="array" aca="1" ref="BL1538" ca="1">IFERROR(INDEX(nombres[],SMALL(IF(OFFSET(nombres[],0,0,ROWS(nombres[]),1)=BL$1490,ROW(OFFSET(nombres[],0,0,ROWS(nombres[]),1))-ROW(OFFSET(nombres[],0,0,1,1))+1,ROW(OFFSET(nombres[],ROWS(nombres[])-1,0,1,1))+1),$O1538:$O1557),3),"")</f>
        <v/>
      </c>
      <c r="BM1538" s="42" t="str">
        <f t="array" aca="1" ref="BM1538" ca="1">IFERROR(INDEX(nombres[],SMALL(IF(OFFSET(nombres[],0,0,ROWS(nombres[]),1)=BM$1490,ROW(OFFSET(nombres[],0,0,ROWS(nombres[]),1))-ROW(OFFSET(nombres[],0,0,1,1))+1,ROW(OFFSET(nombres[],ROWS(nombres[])-1,0,1,1))+1),$O1538:$O1557),3),"")</f>
        <v/>
      </c>
      <c r="BN1538" s="42" t="str">
        <f t="array" aca="1" ref="BN1538" ca="1">IFERROR(INDEX(nombres[],SMALL(IF(OFFSET(nombres[],0,0,ROWS(nombres[]),1)=BN$1490,ROW(OFFSET(nombres[],0,0,ROWS(nombres[]),1))-ROW(OFFSET(nombres[],0,0,1,1))+1,ROW(OFFSET(nombres[],ROWS(nombres[])-1,0,1,1))+1),$O1538:$O1557),3),"")</f>
        <v/>
      </c>
      <c r="BO1538" s="42">
        <f t="array" aca="1" ref="BO1538" ca="1">IFERROR(INDEX(nombres[],SMALL(IF(OFFSET(nombres[],0,0,ROWS(nombres[]),1)=BO$1490,ROW(OFFSET(nombres[],0,0,ROWS(nombres[]),1))-ROW(OFFSET(nombres[],0,0,1,1))+1,ROW(OFFSET(nombres[],ROWS(nombres[])-1,0,1,1))+1),$O1538:$O1557),3),"")</f>
        <v>93</v>
      </c>
      <c r="BP1538" s="42">
        <f t="array" aca="1" ref="BP1538" ca="1">IFERROR(INDEX(nombres[],SMALL(IF(OFFSET(nombres[],0,0,ROWS(nombres[]),1)=BP$1490,ROW(OFFSET(nombres[],0,0,ROWS(nombres[]),1))-ROW(OFFSET(nombres[],0,0,1,1))+1,ROW(OFFSET(nombres[],ROWS(nombres[])-1,0,1,1))+1),$O1538:$O1557),3),"")</f>
        <v>662</v>
      </c>
      <c r="BQ1538" s="42" t="str">
        <f t="array" aca="1" ref="BQ1538" ca="1">IFERROR(INDEX(nombres[],SMALL(IF(OFFSET(nombres[],0,0,ROWS(nombres[]),1)=BQ$1490,ROW(OFFSET(nombres[],0,0,ROWS(nombres[]),1))-ROW(OFFSET(nombres[],0,0,1,1))+1,ROW(OFFSET(nombres[],ROWS(nombres[])-1,0,1,1))+1),$O1538:$O1557),3),"")</f>
        <v/>
      </c>
      <c r="BR1538" s="42" t="str">
        <f t="array" aca="1" ref="BR1538" ca="1">IFERROR(INDEX(nombres[],SMALL(IF(OFFSET(nombres[],0,0,ROWS(nombres[]),1)=BR$1490,ROW(OFFSET(nombres[],0,0,ROWS(nombres[]),1))-ROW(OFFSET(nombres[],0,0,1,1))+1,ROW(OFFSET(nombres[],ROWS(nombres[])-1,0,1,1))+1),$O1538:$O1557),3),"")</f>
        <v/>
      </c>
      <c r="BS1538" s="42">
        <f t="array" aca="1" ref="BS1538" ca="1">IFERROR(INDEX(nombres[],SMALL(IF(OFFSET(nombres[],0,0,ROWS(nombres[]),1)=BS$1490,ROW(OFFSET(nombres[],0,0,ROWS(nombres[]),1))-ROW(OFFSET(nombres[],0,0,1,1))+1,ROW(OFFSET(nombres[],ROWS(nombres[])-1,0,1,1))+1),$O1538:$O1557),3),"")</f>
        <v>111</v>
      </c>
      <c r="BT1538" s="42">
        <f t="array" aca="1" ref="BT1538" ca="1">IFERROR(INDEX(nombres[],SMALL(IF(OFFSET(nombres[],0,0,ROWS(nombres[]),1)=BT$1490,ROW(OFFSET(nombres[],0,0,ROWS(nombres[]),1))-ROW(OFFSET(nombres[],0,0,1,1))+1,ROW(OFFSET(nombres[],ROWS(nombres[])-1,0,1,1))+1),$O1538:$O1557),3),"")</f>
        <v>231</v>
      </c>
      <c r="BU1538" s="42">
        <f t="array" aca="1" ref="BU1538" ca="1">IFERROR(INDEX(nombres[],SMALL(IF(OFFSET(nombres[],0,0,ROWS(nombres[]),1)=BU$1490,ROW(OFFSET(nombres[],0,0,ROWS(nombres[]),1))-ROW(OFFSET(nombres[],0,0,1,1))+1,ROW(OFFSET(nombres[],ROWS(nombres[])-1,0,1,1))+1),$O1538:$O1557),3),"")</f>
        <v>96</v>
      </c>
      <c r="BV1538" s="42" t="str">
        <f t="array" aca="1" ref="BV1538" ca="1">IFERROR(INDEX(nombres[],SMALL(IF(OFFSET(nombres[],0,0,ROWS(nombres[]),1)=BV$1490,ROW(OFFSET(nombres[],0,0,ROWS(nombres[]),1))-ROW(OFFSET(nombres[],0,0,1,1))+1,ROW(OFFSET(nombres[],ROWS(nombres[])-1,0,1,1))+1),$O1538:$O1557),3),"")</f>
        <v/>
      </c>
      <c r="BW1538" s="42" t="str">
        <f t="array" aca="1" ref="BW1538" ca="1">IFERROR(INDEX(nombres[],SMALL(IF(OFFSET(nombres[],0,0,ROWS(nombres[]),1)=BW$1490,ROW(OFFSET(nombres[],0,0,ROWS(nombres[]),1))-ROW(OFFSET(nombres[],0,0,1,1))+1,ROW(OFFSET(nombres[],ROWS(nombres[])-1,0,1,1))+1),$O1538:$O1557),3),"")</f>
        <v/>
      </c>
      <c r="BX1538" s="42" t="str">
        <f t="array" aca="1" ref="BX1538" ca="1">IFERROR(INDEX(nombres[],SMALL(IF(OFFSET(nombres[],0,0,ROWS(nombres[]),1)=BX$1490,ROW(OFFSET(nombres[],0,0,ROWS(nombres[]),1))-ROW(OFFSET(nombres[],0,0,1,1))+1,ROW(OFFSET(nombres[],ROWS(nombres[])-1,0,1,1))+1),$O1538:$O1557),3),"")</f>
        <v/>
      </c>
      <c r="BY1538" s="42" t="str">
        <f t="array" aca="1" ref="BY1538" ca="1">IFERROR(INDEX(nombres[],SMALL(IF(OFFSET(nombres[],0,0,ROWS(nombres[]),1)=BY$1490,ROW(OFFSET(nombres[],0,0,ROWS(nombres[]),1))-ROW(OFFSET(nombres[],0,0,1,1))+1,ROW(OFFSET(nombres[],ROWS(nombres[])-1,0,1,1))+1),$O1538:$O1557),3),"")</f>
        <v/>
      </c>
      <c r="BZ1538" s="42" t="str">
        <f t="array" aca="1" ref="BZ1538" ca="1">IFERROR(INDEX(nombres[],SMALL(IF(OFFSET(nombres[],0,0,ROWS(nombres[]),1)=BZ$1490,ROW(OFFSET(nombres[],0,0,ROWS(nombres[]),1))-ROW(OFFSET(nombres[],0,0,1,1))+1,ROW(OFFSET(nombres[],ROWS(nombres[])-1,0,1,1))+1),$O1538:$O1557),3),"")</f>
        <v/>
      </c>
      <c r="CA1538" s="42" t="str">
        <f t="array" aca="1" ref="CA1538" ca="1">IFERROR(INDEX(nombres[],SMALL(IF(OFFSET(nombres[],0,0,ROWS(nombres[]),1)=CA$1490,ROW(OFFSET(nombres[],0,0,ROWS(nombres[]),1))-ROW(OFFSET(nombres[],0,0,1,1))+1,ROW(OFFSET(nombres[],ROWS(nombres[])-1,0,1,1))+1),$O1538:$O1557),3),"")</f>
        <v/>
      </c>
      <c r="CB1538" s="42">
        <f t="array" aca="1" ref="CB1538" ca="1">IFERROR(INDEX(nombres[],SMALL(IF(OFFSET(nombres[],0,0,ROWS(nombres[]),1)=CB$1490,ROW(OFFSET(nombres[],0,0,ROWS(nombres[]),1))-ROW(OFFSET(nombres[],0,0,1,1))+1,ROW(OFFSET(nombres[],ROWS(nombres[])-1,0,1,1))+1),$O1538:$O1557),3),"")</f>
        <v>87</v>
      </c>
      <c r="CC1538" s="42" t="str">
        <f t="array" aca="1" ref="CC1538" ca="1">IFERROR(INDEX(nombres[],SMALL(IF(OFFSET(nombres[],0,0,ROWS(nombres[]),1)=CC$1490,ROW(OFFSET(nombres[],0,0,ROWS(nombres[]),1))-ROW(OFFSET(nombres[],0,0,1,1))+1,ROW(OFFSET(nombres[],ROWS(nombres[])-1,0,1,1))+1),$O1538:$O1557),3),"")</f>
        <v/>
      </c>
      <c r="CD1538" s="42" t="str">
        <f t="array" aca="1" ref="CD1538" ca="1">IFERROR(INDEX(nombres[],SMALL(IF(OFFSET(nombres[],0,0,ROWS(nombres[]),1)=CD$1490,ROW(OFFSET(nombres[],0,0,ROWS(nombres[]),1))-ROW(OFFSET(nombres[],0,0,1,1))+1,ROW(OFFSET(nombres[],ROWS(nombres[])-1,0,1,1))+1),$O1538:$O1557),3),"")</f>
        <v/>
      </c>
      <c r="CE1538" s="42" t="str">
        <f t="array" aca="1" ref="CE1538" ca="1">IFERROR(INDEX(nombres[],SMALL(IF(OFFSET(nombres[],0,0,ROWS(nombres[]),1)=CE$1490,ROW(OFFSET(nombres[],0,0,ROWS(nombres[]),1))-ROW(OFFSET(nombres[],0,0,1,1))+1,ROW(OFFSET(nombres[],ROWS(nombres[])-1,0,1,1))+1),$O1538:$O1557),3),"")</f>
        <v/>
      </c>
      <c r="CF1538" s="42" t="str">
        <f t="array" aca="1" ref="CF1538" ca="1">IFERROR(INDEX(nombres[],SMALL(IF(OFFSET(nombres[],0,0,ROWS(nombres[]),1)=CF$1490,ROW(OFFSET(nombres[],0,0,ROWS(nombres[]),1))-ROW(OFFSET(nombres[],0,0,1,1))+1,ROW(OFFSET(nombres[],ROWS(nombres[])-1,0,1,1))+1),$O1538:$O1557),3),"")</f>
        <v/>
      </c>
      <c r="CG1538" s="42" t="str">
        <f t="array" aca="1" ref="CG1538" ca="1">IFERROR(INDEX(nombres[],SMALL(IF(OFFSET(nombres[],0,0,ROWS(nombres[]),1)=CG$1490,ROW(OFFSET(nombres[],0,0,ROWS(nombres[]),1))-ROW(OFFSET(nombres[],0,0,1,1))+1,ROW(OFFSET(nombres[],ROWS(nombres[])-1,0,1,1))+1),$O1538:$O1557),3),"")</f>
        <v/>
      </c>
      <c r="CH1538" s="42" t="str">
        <f t="array" aca="1" ref="CH1538" ca="1">IFERROR(INDEX(nombres[],SMALL(IF(OFFSET(nombres[],0,0,ROWS(nombres[]),1)=CH$1490,ROW(OFFSET(nombres[],0,0,ROWS(nombres[]),1))-ROW(OFFSET(nombres[],0,0,1,1))+1,ROW(OFFSET(nombres[],ROWS(nombres[])-1,0,1,1))+1),$O1538:$O1557),3),"")</f>
        <v/>
      </c>
      <c r="CI1538" s="42">
        <f t="array" aca="1" ref="CI1538" ca="1">IFERROR(INDEX(nombres[],SMALL(IF(OFFSET(nombres[],0,0,ROWS(nombres[]),1)=CI$1490,ROW(OFFSET(nombres[],0,0,ROWS(nombres[]),1))-ROW(OFFSET(nombres[],0,0,1,1))+1,ROW(OFFSET(nombres[],ROWS(nombres[])-1,0,1,1))+1),$O1538:$O1557),3),"")</f>
        <v>206</v>
      </c>
      <c r="CJ1538" s="42" t="str">
        <f t="array" aca="1" ref="CJ1538" ca="1">IFERROR(INDEX(nombres[],SMALL(IF(OFFSET(nombres[],0,0,ROWS(nombres[]),1)=CJ$1490,ROW(OFFSET(nombres[],0,0,ROWS(nombres[]),1))-ROW(OFFSET(nombres[],0,0,1,1))+1,ROW(OFFSET(nombres[],ROWS(nombres[])-1,0,1,1))+1),$O1538:$O1557),3),"")</f>
        <v/>
      </c>
      <c r="CK1538" s="42">
        <f t="array" aca="1" ref="CK1538" ca="1">IFERROR(INDEX(nombres[],SMALL(IF(OFFSET(nombres[],0,0,ROWS(nombres[]),1)=CK$1490,ROW(OFFSET(nombres[],0,0,ROWS(nombres[]),1))-ROW(OFFSET(nombres[],0,0,1,1))+1,ROW(OFFSET(nombres[],ROWS(nombres[])-1,0,1,1))+1),$O1538:$O1557),3),"")</f>
        <v>101</v>
      </c>
      <c r="CL1538" s="42">
        <f t="array" aca="1" ref="CL1538" ca="1">IFERROR(INDEX(nombres[],SMALL(IF(OFFSET(nombres[],0,0,ROWS(nombres[]),1)=CL$1490,ROW(OFFSET(nombres[],0,0,ROWS(nombres[]),1))-ROW(OFFSET(nombres[],0,0,1,1))+1,ROW(OFFSET(nombres[],ROWS(nombres[])-1,0,1,1))+1),$O1538:$O1557),3),"")</f>
        <v>120</v>
      </c>
      <c r="CM1538" s="42" t="str">
        <f t="array" aca="1" ref="CM1538" ca="1">IFERROR(INDEX(nombres[],SMALL(IF(OFFSET(nombres[],0,0,ROWS(nombres[]),1)=CM$1490,ROW(OFFSET(nombres[],0,0,ROWS(nombres[]),1))-ROW(OFFSET(nombres[],0,0,1,1))+1,ROW(OFFSET(nombres[],ROWS(nombres[])-1,0,1,1))+1),$O1538:$O1557),3),"")</f>
        <v/>
      </c>
      <c r="CN1538" s="42" t="str">
        <f t="array" aca="1" ref="CN1538" ca="1">IFERROR(INDEX(nombres[],SMALL(IF(OFFSET(nombres[],0,0,ROWS(nombres[]),1)=CN$1490,ROW(OFFSET(nombres[],0,0,ROWS(nombres[]),1))-ROW(OFFSET(nombres[],0,0,1,1))+1,ROW(OFFSET(nombres[],ROWS(nombres[])-1,0,1,1))+1),$O1538:$O1557),3),"")</f>
        <v/>
      </c>
      <c r="CO1538" s="42" t="str">
        <f t="array" aca="1" ref="CO1538" ca="1">IFERROR(INDEX(nombres[],SMALL(IF(OFFSET(nombres[],0,0,ROWS(nombres[]),1)=CO$1490,ROW(OFFSET(nombres[],0,0,ROWS(nombres[]),1))-ROW(OFFSET(nombres[],0,0,1,1))+1,ROW(OFFSET(nombres[],ROWS(nombres[])-1,0,1,1))+1),$O1538:$O1557),3),"")</f>
        <v/>
      </c>
      <c r="CP1538" s="42" t="str">
        <f t="array" aca="1" ref="CP1538" ca="1">IFERROR(INDEX(nombres[],SMALL(IF(OFFSET(nombres[],0,0,ROWS(nombres[]),1)=CP$1490,ROW(OFFSET(nombres[],0,0,ROWS(nombres[]),1))-ROW(OFFSET(nombres[],0,0,1,1))+1,ROW(OFFSET(nombres[],ROWS(nombres[])-1,0,1,1))+1),$O1538:$O1557),3),"")</f>
        <v/>
      </c>
      <c r="CQ1538" s="42" t="str">
        <f t="array" aca="1" ref="CQ1538" ca="1">IFERROR(INDEX(nombres[],SMALL(IF(OFFSET(nombres[],0,0,ROWS(nombres[]),1)=CQ$1490,ROW(OFFSET(nombres[],0,0,ROWS(nombres[]),1))-ROW(OFFSET(nombres[],0,0,1,1))+1,ROW(OFFSET(nombres[],ROWS(nombres[])-1,0,1,1))+1),$O1538:$O1557),3),"")</f>
        <v/>
      </c>
      <c r="CR1538" s="42" t="str">
        <f t="array" aca="1" ref="CR1538" ca="1">IFERROR(INDEX(nombres[],SMALL(IF(OFFSET(nombres[],0,0,ROWS(nombres[]),1)=CR$1490,ROW(OFFSET(nombres[],0,0,ROWS(nombres[]),1))-ROW(OFFSET(nombres[],0,0,1,1))+1,ROW(OFFSET(nombres[],ROWS(nombres[])-1,0,1,1))+1),$O1538:$O1557),3),"")</f>
        <v/>
      </c>
      <c r="CS1538" s="42">
        <f t="array" aca="1" ref="CS1538" ca="1">IFERROR(INDEX(nombres[],SMALL(IF(OFFSET(nombres[],0,0,ROWS(nombres[]),1)=CS$1490,ROW(OFFSET(nombres[],0,0,ROWS(nombres[]),1))-ROW(OFFSET(nombres[],0,0,1,1))+1,ROW(OFFSET(nombres[],ROWS(nombres[])-1,0,1,1))+1),$O1538:$O1557),3),"")</f>
        <v>40</v>
      </c>
      <c r="CT1538" s="42">
        <f t="array" aca="1" ref="CT1538" ca="1">IFERROR(INDEX(nombres[],SMALL(IF(OFFSET(nombres[],0,0,ROWS(nombres[]),1)=CT$1490,ROW(OFFSET(nombres[],0,0,ROWS(nombres[]),1))-ROW(OFFSET(nombres[],0,0,1,1))+1,ROW(OFFSET(nombres[],ROWS(nombres[])-1,0,1,1))+1),$O1538:$O1557),3),"")</f>
        <v>131</v>
      </c>
      <c r="CU1538" s="42">
        <f t="array" aca="1" ref="CU1538" ca="1">IFERROR(INDEX(nombres[],SMALL(IF(OFFSET(nombres[],0,0,ROWS(nombres[]),1)=CU$1490,ROW(OFFSET(nombres[],0,0,ROWS(nombres[]),1))-ROW(OFFSET(nombres[],0,0,1,1))+1,ROW(OFFSET(nombres[],ROWS(nombres[])-1,0,1,1))+1),$O1538:$O1557),3),"")</f>
        <v>129</v>
      </c>
      <c r="CV1538" s="42">
        <f t="array" aca="1" ref="CV1538" ca="1">IFERROR(INDEX(nombres[],SMALL(IF(OFFSET(nombres[],0,0,ROWS(nombres[]),1)=CV$1490,ROW(OFFSET(nombres[],0,0,ROWS(nombres[]),1))-ROW(OFFSET(nombres[],0,0,1,1))+1,ROW(OFFSET(nombres[],ROWS(nombres[])-1,0,1,1))+1),$O1538:$O1557),3),"")</f>
        <v>133</v>
      </c>
      <c r="CW1538" s="42">
        <f t="array" aca="1" ref="CW1538" ca="1">IFERROR(INDEX(nombres[],SMALL(IF(OFFSET(nombres[],0,0,ROWS(nombres[]),1)=CW$1490,ROW(OFFSET(nombres[],0,0,ROWS(nombres[]),1))-ROW(OFFSET(nombres[],0,0,1,1))+1,ROW(OFFSET(nombres[],ROWS(nombres[])-1,0,1,1))+1),$O1538:$O1557),3),"")</f>
        <v>136</v>
      </c>
      <c r="CX1538" s="42" t="str">
        <f t="array" aca="1" ref="CX1538" ca="1">IFERROR(INDEX(nombres[],SMALL(IF(OFFSET(nombres[],0,0,ROWS(nombres[]),1)=CX$1490,ROW(OFFSET(nombres[],0,0,ROWS(nombres[]),1))-ROW(OFFSET(nombres[],0,0,1,1))+1,ROW(OFFSET(nombres[],ROWS(nombres[])-1,0,1,1))+1),$O1538:$O1557),3),"")</f>
        <v/>
      </c>
      <c r="CY1538" s="42" t="str">
        <f t="array" aca="1" ref="CY1538" ca="1">IFERROR(INDEX(nombres[],SMALL(IF(OFFSET(nombres[],0,0,ROWS(nombres[]),1)=CY$1490,ROW(OFFSET(nombres[],0,0,ROWS(nombres[]),1))-ROW(OFFSET(nombres[],0,0,1,1))+1,ROW(OFFSET(nombres[],ROWS(nombres[])-1,0,1,1))+1),$O1538:$O1557),3),"")</f>
        <v/>
      </c>
      <c r="CZ1538" s="42" t="str">
        <f t="array" aca="1" ref="CZ1538" ca="1">IFERROR(INDEX(nombres[],SMALL(IF(OFFSET(nombres[],0,0,ROWS(nombres[]),1)=CZ$1490,ROW(OFFSET(nombres[],0,0,ROWS(nombres[]),1))-ROW(OFFSET(nombres[],0,0,1,1))+1,ROW(OFFSET(nombres[],ROWS(nombres[])-1,0,1,1))+1),$O1538:$O1557),3),"")</f>
        <v/>
      </c>
      <c r="DA1538" s="42">
        <f t="array" aca="1" ref="DA1538" ca="1">IFERROR(INDEX(nombres[],SMALL(IF(OFFSET(nombres[],0,0,ROWS(nombres[]),1)=DA$1490,ROW(OFFSET(nombres[],0,0,ROWS(nombres[]),1))-ROW(OFFSET(nombres[],0,0,1,1))+1,ROW(OFFSET(nombres[],ROWS(nombres[])-1,0,1,1))+1),$O1538:$O1557),3),"")</f>
        <v>387</v>
      </c>
      <c r="DB1538" s="42" t="str">
        <f t="array" aca="1" ref="DB1538" ca="1">IFERROR(INDEX(nombres[],SMALL(IF(OFFSET(nombres[],0,0,ROWS(nombres[]),1)=DB$1490,ROW(OFFSET(nombres[],0,0,ROWS(nombres[]),1))-ROW(OFFSET(nombres[],0,0,1,1))+1,ROW(OFFSET(nombres[],ROWS(nombres[])-1,0,1,1))+1),$O1538:$O1557),3),"")</f>
        <v/>
      </c>
      <c r="DC1538" s="42">
        <f t="array" aca="1" ref="DC1538" ca="1">IFERROR(INDEX(nombres[],SMALL(IF(OFFSET(nombres[],0,0,ROWS(nombres[]),1)=DC$1490,ROW(OFFSET(nombres[],0,0,ROWS(nombres[]),1))-ROW(OFFSET(nombres[],0,0,1,1))+1,ROW(OFFSET(nombres[],ROWS(nombres[])-1,0,1,1))+1),$O1538:$O1557),3),"")</f>
        <v>156</v>
      </c>
      <c r="DD1538" s="42">
        <f t="array" aca="1" ref="DD1538" ca="1">IFERROR(INDEX(nombres[],SMALL(IF(OFFSET(nombres[],0,0,ROWS(nombres[]),1)=DD$1490,ROW(OFFSET(nombres[],0,0,ROWS(nombres[]),1))-ROW(OFFSET(nombres[],0,0,1,1))+1,ROW(OFFSET(nombres[],ROWS(nombres[])-1,0,1,1))+1),$O1538:$O1557),3),"")</f>
        <v>153</v>
      </c>
      <c r="DE1538" s="42" t="str">
        <f t="array" aca="1" ref="DE1538" ca="1">IFERROR(INDEX(nombres[],SMALL(IF(OFFSET(nombres[],0,0,ROWS(nombres[]),1)=DE$1490,ROW(OFFSET(nombres[],0,0,ROWS(nombres[]),1))-ROW(OFFSET(nombres[],0,0,1,1))+1,ROW(OFFSET(nombres[],ROWS(nombres[])-1,0,1,1))+1),$O1538:$O1557),3),"")</f>
        <v/>
      </c>
      <c r="DF1538" s="42" t="str">
        <f t="array" aca="1" ref="DF1538" ca="1">IFERROR(INDEX(nombres[],SMALL(IF(OFFSET(nombres[],0,0,ROWS(nombres[]),1)=DF$1490,ROW(OFFSET(nombres[],0,0,ROWS(nombres[]),1))-ROW(OFFSET(nombres[],0,0,1,1))+1,ROW(OFFSET(nombres[],ROWS(nombres[])-1,0,1,1))+1),$O1538:$O1557),3),"")</f>
        <v/>
      </c>
      <c r="DG1538" s="42" t="str">
        <f t="array" aca="1" ref="DG1538" ca="1">IFERROR(INDEX(nombres[],SMALL(IF(OFFSET(nombres[],0,0,ROWS(nombres[]),1)=DG$1490,ROW(OFFSET(nombres[],0,0,ROWS(nombres[]),1))-ROW(OFFSET(nombres[],0,0,1,1))+1,ROW(OFFSET(nombres[],ROWS(nombres[])-1,0,1,1))+1),$O1538:$O1557),3),"")</f>
        <v/>
      </c>
      <c r="DH1538" s="42">
        <f t="array" aca="1" ref="DH1538" ca="1">IFERROR(INDEX(nombres[],SMALL(IF(OFFSET(nombres[],0,0,ROWS(nombres[]),1)=DH$1490,ROW(OFFSET(nombres[],0,0,ROWS(nombres[]),1))-ROW(OFFSET(nombres[],0,0,1,1))+1,ROW(OFFSET(nombres[],ROWS(nombres[])-1,0,1,1))+1),$O1538:$O1557),3),"")</f>
        <v>202</v>
      </c>
      <c r="DI1538" s="42">
        <f t="array" aca="1" ref="DI1538" ca="1">IFERROR(INDEX(nombres[],SMALL(IF(OFFSET(nombres[],0,0,ROWS(nombres[]),1)=DI$1490,ROW(OFFSET(nombres[],0,0,ROWS(nombres[]),1))-ROW(OFFSET(nombres[],0,0,1,1))+1,ROW(OFFSET(nombres[],ROWS(nombres[])-1,0,1,1))+1),$O1538:$O1557),3),"")</f>
        <v>145</v>
      </c>
      <c r="DJ1538" s="42">
        <f t="array" aca="1" ref="DJ1538" ca="1">IFERROR(INDEX(nombres[],SMALL(IF(OFFSET(nombres[],0,0,ROWS(nombres[]),1)=DJ$1490,ROW(OFFSET(nombres[],0,0,ROWS(nombres[]),1))-ROW(OFFSET(nombres[],0,0,1,1))+1,ROW(OFFSET(nombres[],ROWS(nombres[])-1,0,1,1))+1),$O1538:$O1557),3),"")</f>
        <v>147</v>
      </c>
      <c r="DK1538" s="42" t="str">
        <f t="array" aca="1" ref="DK1538" ca="1">IFERROR(INDEX(nombres[],SMALL(IF(OFFSET(nombres[],0,0,ROWS(nombres[]),1)=DK$1490,ROW(OFFSET(nombres[],0,0,ROWS(nombres[]),1))-ROW(OFFSET(nombres[],0,0,1,1))+1,ROW(OFFSET(nombres[],ROWS(nombres[])-1,0,1,1))+1),$O1538:$O1557),3),"")</f>
        <v/>
      </c>
      <c r="DL1538" s="42">
        <f t="array" aca="1" ref="DL1538" ca="1">IFERROR(INDEX(nombres[],SMALL(IF(OFFSET(nombres[],0,0,ROWS(nombres[]),1)=DL$1490,ROW(OFFSET(nombres[],0,0,ROWS(nombres[]),1))-ROW(OFFSET(nombres[],0,0,1,1))+1,ROW(OFFSET(nombres[],ROWS(nombres[])-1,0,1,1))+1),$O1538:$O1557),3),"")</f>
        <v>139</v>
      </c>
      <c r="DM1538" s="42" t="str">
        <f t="array" aca="1" ref="DM1538" ca="1">IFERROR(INDEX(nombres[],SMALL(IF(OFFSET(nombres[],0,0,ROWS(nombres[]),1)=DM$1490,ROW(OFFSET(nombres[],0,0,ROWS(nombres[]),1))-ROW(OFFSET(nombres[],0,0,1,1))+1,ROW(OFFSET(nombres[],ROWS(nombres[])-1,0,1,1))+1),$O1538:$O1557),3),"")</f>
        <v/>
      </c>
      <c r="DN1538" s="42">
        <f t="array" aca="1" ref="DN1538" ca="1">IFERROR(INDEX(nombres[],SMALL(IF(OFFSET(nombres[],0,0,ROWS(nombres[]),1)=DN$1490,ROW(OFFSET(nombres[],0,0,ROWS(nombres[]),1))-ROW(OFFSET(nombres[],0,0,1,1))+1,ROW(OFFSET(nombres[],ROWS(nombres[])-1,0,1,1))+1),$O1538:$O1557),3),"")</f>
        <v>143</v>
      </c>
      <c r="DO1538" s="42">
        <f t="array" aca="1" ref="DO1538" ca="1">IFERROR(INDEX(nombres[],SMALL(IF(OFFSET(nombres[],0,0,ROWS(nombres[]),1)=DO$1490,ROW(OFFSET(nombres[],0,0,ROWS(nombres[]),1))-ROW(OFFSET(nombres[],0,0,1,1))+1,ROW(OFFSET(nombres[],ROWS(nombres[])-1,0,1,1))+1),$O1538:$O1557),3),"")</f>
        <v>44</v>
      </c>
      <c r="DP1538" s="42" t="str">
        <f t="array" aca="1" ref="DP1538" ca="1">IFERROR(INDEX(nombres[],SMALL(IF(OFFSET(nombres[],0,0,ROWS(nombres[]),1)=DP$1490,ROW(OFFSET(nombres[],0,0,ROWS(nombres[]),1))-ROW(OFFSET(nombres[],0,0,1,1))+1,ROW(OFFSET(nombres[],ROWS(nombres[])-1,0,1,1))+1),$O1538:$O1557),3),"")</f>
        <v/>
      </c>
      <c r="DQ1538" s="42">
        <f t="array" aca="1" ref="DQ1538" ca="1">IFERROR(INDEX(nombres[],SMALL(IF(OFFSET(nombres[],0,0,ROWS(nombres[]),1)=DQ$1490,ROW(OFFSET(nombres[],0,0,ROWS(nombres[]),1))-ROW(OFFSET(nombres[],0,0,1,1))+1,ROW(OFFSET(nombres[],ROWS(nombres[])-1,0,1,1))+1),$O1538:$O1557),3),"")</f>
        <v>185</v>
      </c>
      <c r="DR1538" s="42" t="str">
        <f t="array" aca="1" ref="DR1538" ca="1">IFERROR(INDEX(nombres[],SMALL(IF(OFFSET(nombres[],0,0,ROWS(nombres[]),1)=DR$1490,ROW(OFFSET(nombres[],0,0,ROWS(nombres[]),1))-ROW(OFFSET(nombres[],0,0,1,1))+1,ROW(OFFSET(nombres[],ROWS(nombres[])-1,0,1,1))+1),$O1538:$O1557),3),"")</f>
        <v/>
      </c>
      <c r="DS1538" s="42">
        <f t="array" aca="1" ref="DS1538" ca="1">IFERROR(INDEX(nombres[],SMALL(IF(OFFSET(nombres[],0,0,ROWS(nombres[]),1)=DS$1490,ROW(OFFSET(nombres[],0,0,ROWS(nombres[]),1))-ROW(OFFSET(nombres[],0,0,1,1))+1,ROW(OFFSET(nombres[],ROWS(nombres[])-1,0,1,1))+1),$O1538:$O1557),3),"")</f>
        <v>655</v>
      </c>
      <c r="DT1538" s="42" t="str">
        <f t="array" aca="1" ref="DT1538" ca="1">IFERROR(INDEX(nombres[],SMALL(IF(OFFSET(nombres[],0,0,ROWS(nombres[]),1)=DT$1490,ROW(OFFSET(nombres[],0,0,ROWS(nombres[]),1))-ROW(OFFSET(nombres[],0,0,1,1))+1,ROW(OFFSET(nombres[],ROWS(nombres[])-1,0,1,1))+1),$O1538:$O1557),3),"")</f>
        <v/>
      </c>
      <c r="DU1538" s="42" t="str">
        <f t="array" aca="1" ref="DU1538" ca="1">IFERROR(INDEX(nombres[],SMALL(IF(OFFSET(nombres[],0,0,ROWS(nombres[]),1)=DU$1490,ROW(OFFSET(nombres[],0,0,ROWS(nombres[]),1))-ROW(OFFSET(nombres[],0,0,1,1))+1,ROW(OFFSET(nombres[],ROWS(nombres[])-1,0,1,1))+1),$O1538:$O1557),3),"")</f>
        <v/>
      </c>
      <c r="DV1538" s="42" t="str">
        <f t="array" aca="1" ref="DV1538" ca="1">IFERROR(INDEX(nombres[],SMALL(IF(OFFSET(nombres[],0,0,ROWS(nombres[]),1)=DV$1490,ROW(OFFSET(nombres[],0,0,ROWS(nombres[]),1))-ROW(OFFSET(nombres[],0,0,1,1))+1,ROW(OFFSET(nombres[],ROWS(nombres[])-1,0,1,1))+1),$O1538:$O1557),3),"")</f>
        <v/>
      </c>
      <c r="DW1538" s="42">
        <f t="array" aca="1" ref="DW1538" ca="1">IFERROR(INDEX(nombres[],SMALL(IF(OFFSET(nombres[],0,0,ROWS(nombres[]),1)=DW$1490,ROW(OFFSET(nombres[],0,0,ROWS(nombres[]),1))-ROW(OFFSET(nombres[],0,0,1,1))+1,ROW(OFFSET(nombres[],ROWS(nombres[])-1,0,1,1))+1),$O1538:$O1557),3),"")</f>
        <v>176</v>
      </c>
      <c r="DX1538" s="42" t="str">
        <f t="array" aca="1" ref="DX1538" ca="1">IFERROR(INDEX(nombres[],SMALL(IF(OFFSET(nombres[],0,0,ROWS(nombres[]),1)=DX$1490,ROW(OFFSET(nombres[],0,0,ROWS(nombres[]),1))-ROW(OFFSET(nombres[],0,0,1,1))+1,ROW(OFFSET(nombres[],ROWS(nombres[])-1,0,1,1))+1),$O1538:$O1557),3),"")</f>
        <v/>
      </c>
      <c r="DY1538" s="42">
        <f t="array" aca="1" ref="DY1538" ca="1">IFERROR(INDEX(nombres[],SMALL(IF(OFFSET(nombres[],0,0,ROWS(nombres[]),1)=DY$1490,ROW(OFFSET(nombres[],0,0,ROWS(nombres[]),1))-ROW(OFFSET(nombres[],0,0,1,1))+1,ROW(OFFSET(nombres[],ROWS(nombres[])-1,0,1,1))+1),$O1538:$O1557),3),"")</f>
        <v>182</v>
      </c>
      <c r="DZ1538" s="42" t="str">
        <f t="array" aca="1" ref="DZ1538" ca="1">IFERROR(INDEX(nombres[],SMALL(IF(OFFSET(nombres[],0,0,ROWS(nombres[]),1)=DZ$1490,ROW(OFFSET(nombres[],0,0,ROWS(nombres[]),1))-ROW(OFFSET(nombres[],0,0,1,1))+1,ROW(OFFSET(nombres[],ROWS(nombres[])-1,0,1,1))+1),$O1538:$O1557),3),"")</f>
        <v/>
      </c>
      <c r="EA1538" s="42">
        <f t="array" aca="1" ref="EA1538" ca="1">IFERROR(INDEX(nombres[],SMALL(IF(OFFSET(nombres[],0,0,ROWS(nombres[]),1)=EA$1490,ROW(OFFSET(nombres[],0,0,ROWS(nombres[]),1))-ROW(OFFSET(nombres[],0,0,1,1))+1,ROW(OFFSET(nombres[],ROWS(nombres[])-1,0,1,1))+1),$O1538:$O1557),3),"")</f>
        <v>164</v>
      </c>
      <c r="EB1538" s="42">
        <f t="array" aca="1" ref="EB1538" ca="1">IFERROR(INDEX(nombres[],SMALL(IF(OFFSET(nombres[],0,0,ROWS(nombres[]),1)=EB$1490,ROW(OFFSET(nombres[],0,0,ROWS(nombres[]),1))-ROW(OFFSET(nombres[],0,0,1,1))+1,ROW(OFFSET(nombres[],ROWS(nombres[])-1,0,1,1))+1),$O1538:$O1557),3),"")</f>
        <v>637</v>
      </c>
      <c r="EC1538" s="42">
        <f t="array" aca="1" ref="EC1538" ca="1">IFERROR(INDEX(nombres[],SMALL(IF(OFFSET(nombres[],0,0,ROWS(nombres[]),1)=EC$1490,ROW(OFFSET(nombres[],0,0,ROWS(nombres[]),1))-ROW(OFFSET(nombres[],0,0,1,1))+1,ROW(OFFSET(nombres[],ROWS(nombres[])-1,0,1,1))+1),$O1538:$O1557),3),"")</f>
        <v>174</v>
      </c>
      <c r="ED1538" s="42">
        <f t="array" aca="1" ref="ED1538" ca="1">IFERROR(INDEX(nombres[],SMALL(IF(OFFSET(nombres[],0,0,ROWS(nombres[]),1)=ED$1490,ROW(OFFSET(nombres[],0,0,ROWS(nombres[]),1))-ROW(OFFSET(nombres[],0,0,1,1))+1,ROW(OFFSET(nombres[],ROWS(nombres[])-1,0,1,1))+1),$O1538:$O1557),3),"")</f>
        <v>469</v>
      </c>
      <c r="EE1538" s="42">
        <f t="array" aca="1" ref="EE1538" ca="1">IFERROR(INDEX(nombres[],SMALL(IF(OFFSET(nombres[],0,0,ROWS(nombres[]),1)=EE$1490,ROW(OFFSET(nombres[],0,0,ROWS(nombres[]),1))-ROW(OFFSET(nombres[],0,0,1,1))+1,ROW(OFFSET(nombres[],ROWS(nombres[])-1,0,1,1))+1),$O1538:$O1557),3),"")</f>
        <v>311</v>
      </c>
      <c r="EF1538" s="42" t="str">
        <f t="array" aca="1" ref="EF1538" ca="1">IFERROR(INDEX(nombres[],SMALL(IF(OFFSET(nombres[],0,0,ROWS(nombres[]),1)=EF$1490,ROW(OFFSET(nombres[],0,0,ROWS(nombres[]),1))-ROW(OFFSET(nombres[],0,0,1,1))+1,ROW(OFFSET(nombres[],ROWS(nombres[])-1,0,1,1))+1),$O1538:$O1557),3),"")</f>
        <v/>
      </c>
      <c r="EG1538" s="42" t="str">
        <f t="array" aca="1" ref="EG1538" ca="1">IFERROR(INDEX(nombres[],SMALL(IF(OFFSET(nombres[],0,0,ROWS(nombres[]),1)=EG$1490,ROW(OFFSET(nombres[],0,0,ROWS(nombres[]),1))-ROW(OFFSET(nombres[],0,0,1,1))+1,ROW(OFFSET(nombres[],ROWS(nombres[])-1,0,1,1))+1),$O1538:$O1557),3),"")</f>
        <v/>
      </c>
      <c r="EH1538" s="42">
        <f t="array" aca="1" ref="EH1538" ca="1">IFERROR(INDEX(nombres[],SMALL(IF(OFFSET(nombres[],0,0,ROWS(nombres[]),1)=EH$1490,ROW(OFFSET(nombres[],0,0,ROWS(nombres[]),1))-ROW(OFFSET(nombres[],0,0,1,1))+1,ROW(OFFSET(nombres[],ROWS(nombres[])-1,0,1,1))+1),$O1538:$O1557),3),"")</f>
        <v>187</v>
      </c>
      <c r="EI1538" s="42" t="str">
        <f t="array" aca="1" ref="EI1538" ca="1">IFERROR(INDEX(nombres[],SMALL(IF(OFFSET(nombres[],0,0,ROWS(nombres[]),1)=EI$1490,ROW(OFFSET(nombres[],0,0,ROWS(nombres[]),1))-ROW(OFFSET(nombres[],0,0,1,1))+1,ROW(OFFSET(nombres[],ROWS(nombres[])-1,0,1,1))+1),$O1538:$O1557),3),"")</f>
        <v/>
      </c>
      <c r="EJ1538" s="42" t="str">
        <f t="array" aca="1" ref="EJ1538" ca="1">IFERROR(INDEX(nombres[],SMALL(IF(OFFSET(nombres[],0,0,ROWS(nombres[]),1)=EJ$1490,ROW(OFFSET(nombres[],0,0,ROWS(nombres[]),1))-ROW(OFFSET(nombres[],0,0,1,1))+1,ROW(OFFSET(nombres[],ROWS(nombres[])-1,0,1,1))+1),$O1538:$O1557),3),"")</f>
        <v/>
      </c>
      <c r="EK1538" s="42">
        <f t="array" aca="1" ref="EK1538" ca="1">IFERROR(INDEX(nombres[],SMALL(IF(OFFSET(nombres[],0,0,ROWS(nombres[]),1)=EK$1490,ROW(OFFSET(nombres[],0,0,ROWS(nombres[]),1))-ROW(OFFSET(nombres[],0,0,1,1))+1,ROW(OFFSET(nombres[],ROWS(nombres[])-1,0,1,1))+1),$O1538:$O1557),3),"")</f>
        <v>188</v>
      </c>
      <c r="EL1538" s="42">
        <f t="array" aca="1" ref="EL1538" ca="1">IFERROR(INDEX(nombres[],SMALL(IF(OFFSET(nombres[],0,0,ROWS(nombres[]),1)=EL$1490,ROW(OFFSET(nombres[],0,0,ROWS(nombres[]),1))-ROW(OFFSET(nombres[],0,0,1,1))+1,ROW(OFFSET(nombres[],ROWS(nombres[])-1,0,1,1))+1),$O1538:$O1557),3),"")</f>
        <v>641</v>
      </c>
      <c r="EM1538" s="42">
        <f t="array" aca="1" ref="EM1538" ca="1">IFERROR(INDEX(nombres[],SMALL(IF(OFFSET(nombres[],0,0,ROWS(nombres[]),1)=EM$1490,ROW(OFFSET(nombres[],0,0,ROWS(nombres[]),1))-ROW(OFFSET(nombres[],0,0,1,1))+1,ROW(OFFSET(nombres[],ROWS(nombres[])-1,0,1,1))+1),$O1538:$O1557),3),"")</f>
        <v>191</v>
      </c>
      <c r="EN1538" s="42" t="str">
        <f t="array" aca="1" ref="EN1538" ca="1">IFERROR(INDEX(nombres[],SMALL(IF(OFFSET(nombres[],0,0,ROWS(nombres[]),1)=EN$1490,ROW(OFFSET(nombres[],0,0,ROWS(nombres[]),1))-ROW(OFFSET(nombres[],0,0,1,1))+1,ROW(OFFSET(nombres[],ROWS(nombres[])-1,0,1,1))+1),$O1538:$O1557),3),"")</f>
        <v/>
      </c>
      <c r="EO1538" s="42">
        <f t="array" aca="1" ref="EO1538" ca="1">IFERROR(INDEX(nombres[],SMALL(IF(OFFSET(nombres[],0,0,ROWS(nombres[]),1)=EO$1490,ROW(OFFSET(nombres[],0,0,ROWS(nombres[]),1))-ROW(OFFSET(nombres[],0,0,1,1))+1,ROW(OFFSET(nombres[],ROWS(nombres[])-1,0,1,1))+1),$O1538:$O1557),3),"")</f>
        <v>208</v>
      </c>
      <c r="EP1538" s="42">
        <f t="array" aca="1" ref="EP1538" ca="1">IFERROR(INDEX(nombres[],SMALL(IF(OFFSET(nombres[],0,0,ROWS(nombres[]),1)=EP$1490,ROW(OFFSET(nombres[],0,0,ROWS(nombres[]),1))-ROW(OFFSET(nombres[],0,0,1,1))+1,ROW(OFFSET(nombres[],ROWS(nombres[])-1,0,1,1))+1),$O1538:$O1557),3),"")</f>
        <v>199</v>
      </c>
      <c r="EQ1538" s="42">
        <f t="array" aca="1" ref="EQ1538" ca="1">IFERROR(INDEX(nombres[],SMALL(IF(OFFSET(nombres[],0,0,ROWS(nombres[]),1)=EQ$1490,ROW(OFFSET(nombres[],0,0,ROWS(nombres[]),1))-ROW(OFFSET(nombres[],0,0,1,1))+1,ROW(OFFSET(nombres[],ROWS(nombres[])-1,0,1,1))+1),$O1538:$O1557),3),"")</f>
        <v>628</v>
      </c>
      <c r="ER1538" s="42">
        <f t="array" aca="1" ref="ER1538" ca="1">IFERROR(INDEX(nombres[],SMALL(IF(OFFSET(nombres[],0,0,ROWS(nombres[]),1)=ER$1490,ROW(OFFSET(nombres[],0,0,ROWS(nombres[]),1))-ROW(OFFSET(nombres[],0,0,1,1))+1,ROW(OFFSET(nombres[],ROWS(nombres[])-1,0,1,1))+1),$O1538:$O1557),3),"")</f>
        <v>193</v>
      </c>
      <c r="ES1538" s="42" t="str">
        <f t="array" aca="1" ref="ES1538" ca="1">IFERROR(INDEX(nombres[],SMALL(IF(OFFSET(nombres[],0,0,ROWS(nombres[]),1)=ES$1490,ROW(OFFSET(nombres[],0,0,ROWS(nombres[]),1))-ROW(OFFSET(nombres[],0,0,1,1))+1,ROW(OFFSET(nombres[],ROWS(nombres[])-1,0,1,1))+1),$O1538:$O1557),3),"")</f>
        <v/>
      </c>
      <c r="ET1538" s="42" t="str">
        <f t="array" aca="1" ref="ET1538" ca="1">IFERROR(INDEX(nombres[],SMALL(IF(OFFSET(nombres[],0,0,ROWS(nombres[]),1)=ET$1490,ROW(OFFSET(nombres[],0,0,ROWS(nombres[]),1))-ROW(OFFSET(nombres[],0,0,1,1))+1,ROW(OFFSET(nombres[],ROWS(nombres[])-1,0,1,1))+1),$O1538:$O1557),3),"")</f>
        <v/>
      </c>
      <c r="EU1538" s="42">
        <f t="array" aca="1" ref="EU1538" ca="1">IFERROR(INDEX(nombres[],SMALL(IF(OFFSET(nombres[],0,0,ROWS(nombres[]),1)=EU$1490,ROW(OFFSET(nombres[],0,0,ROWS(nombres[]),1))-ROW(OFFSET(nombres[],0,0,1,1))+1,ROW(OFFSET(nombres[],ROWS(nombres[])-1,0,1,1))+1),$O1538:$O1557),3),"")</f>
        <v>235</v>
      </c>
      <c r="EV1538" s="42" t="str">
        <f t="array" aca="1" ref="EV1538" ca="1">IFERROR(INDEX(nombres[],SMALL(IF(OFFSET(nombres[],0,0,ROWS(nombres[]),1)=EV$1490,ROW(OFFSET(nombres[],0,0,ROWS(nombres[]),1))-ROW(OFFSET(nombres[],0,0,1,1))+1,ROW(OFFSET(nombres[],ROWS(nombres[])-1,0,1,1))+1),$O1538:$O1557),3),"")</f>
        <v/>
      </c>
      <c r="EW1538" s="42" t="str">
        <f t="array" aca="1" ref="EW1538" ca="1">IFERROR(INDEX(nombres[],SMALL(IF(OFFSET(nombres[],0,0,ROWS(nombres[]),1)=EW$1490,ROW(OFFSET(nombres[],0,0,ROWS(nombres[]),1))-ROW(OFFSET(nombres[],0,0,1,1))+1,ROW(OFFSET(nombres[],ROWS(nombres[])-1,0,1,1))+1),$O1538:$O1557),3),"")</f>
        <v/>
      </c>
      <c r="EX1538" s="42">
        <f t="array" aca="1" ref="EX1538" ca="1">IFERROR(INDEX(nombres[],SMALL(IF(OFFSET(nombres[],0,0,ROWS(nombres[]),1)=EX$1490,ROW(OFFSET(nombres[],0,0,ROWS(nombres[]),1))-ROW(OFFSET(nombres[],0,0,1,1))+1,ROW(OFFSET(nombres[],ROWS(nombres[])-1,0,1,1))+1),$O1538:$O1557),3),"")</f>
        <v>328</v>
      </c>
      <c r="EY1538" s="42" t="str">
        <f t="array" aca="1" ref="EY1538" ca="1">IFERROR(INDEX(nombres[],SMALL(IF(OFFSET(nombres[],0,0,ROWS(nombres[]),1)=EY$1490,ROW(OFFSET(nombres[],0,0,ROWS(nombres[]),1))-ROW(OFFSET(nombres[],0,0,1,1))+1,ROW(OFFSET(nombres[],ROWS(nombres[])-1,0,1,1))+1),$O1538:$O1557),3),"")</f>
        <v/>
      </c>
      <c r="EZ1538" s="42" t="str">
        <f t="array" aca="1" ref="EZ1538" ca="1">IFERROR(INDEX(nombres[],SMALL(IF(OFFSET(nombres[],0,0,ROWS(nombres[]),1)=EZ$1490,ROW(OFFSET(nombres[],0,0,ROWS(nombres[]),1))-ROW(OFFSET(nombres[],0,0,1,1))+1,ROW(OFFSET(nombres[],ROWS(nombres[])-1,0,1,1))+1),$O1538:$O1557),3),"")</f>
        <v/>
      </c>
      <c r="FA1538" s="42">
        <f t="array" aca="1" ref="FA1538" ca="1">IFERROR(INDEX(nombres[],SMALL(IF(OFFSET(nombres[],0,0,ROWS(nombres[]),1)=FA$1490,ROW(OFFSET(nombres[],0,0,ROWS(nombres[]),1))-ROW(OFFSET(nombres[],0,0,1,1))+1,ROW(OFFSET(nombres[],ROWS(nombres[])-1,0,1,1))+1),$O1538:$O1557),3),"")</f>
        <v>315</v>
      </c>
      <c r="FB1538" s="42" t="str">
        <f t="array" aca="1" ref="FB1538" ca="1">IFERROR(INDEX(nombres[],SMALL(IF(OFFSET(nombres[],0,0,ROWS(nombres[]),1)=FB$1490,ROW(OFFSET(nombres[],0,0,ROWS(nombres[]),1))-ROW(OFFSET(nombres[],0,0,1,1))+1,ROW(OFFSET(nombres[],ROWS(nombres[])-1,0,1,1))+1),$O1538:$O1557),3),"")</f>
        <v/>
      </c>
      <c r="FC1538" s="42">
        <f t="array" aca="1" ref="FC1538" ca="1">IFERROR(INDEX(nombres[],SMALL(IF(OFFSET(nombres[],0,0,ROWS(nombres[]),1)=FC$1490,ROW(OFFSET(nombres[],0,0,ROWS(nombres[]),1))-ROW(OFFSET(nombres[],0,0,1,1))+1,ROW(OFFSET(nombres[],ROWS(nombres[])-1,0,1,1))+1),$O1538:$O1557),3),"")</f>
        <v>226</v>
      </c>
      <c r="FD1538" s="42" t="str">
        <f t="array" aca="1" ref="FD1538" ca="1">IFERROR(INDEX(nombres[],SMALL(IF(OFFSET(nombres[],0,0,ROWS(nombres[]),1)=FD$1490,ROW(OFFSET(nombres[],0,0,ROWS(nombres[]),1))-ROW(OFFSET(nombres[],0,0,1,1))+1,ROW(OFFSET(nombres[],ROWS(nombres[])-1,0,1,1))+1),$O1538:$O1557),3),"")</f>
        <v/>
      </c>
      <c r="FE1538" s="42">
        <f t="array" aca="1" ref="FE1538" ca="1">IFERROR(INDEX(nombres[],SMALL(IF(OFFSET(nombres[],0,0,ROWS(nombres[]),1)=FE$1490,ROW(OFFSET(nombres[],0,0,ROWS(nombres[]),1))-ROW(OFFSET(nombres[],0,0,1,1))+1,ROW(OFFSET(nombres[],ROWS(nombres[])-1,0,1,1))+1),$O1538:$O1557),3),"")</f>
        <v>219</v>
      </c>
      <c r="FF1538" s="42">
        <f t="array" aca="1" ref="FF1538" ca="1">IFERROR(INDEX(nombres[],SMALL(IF(OFFSET(nombres[],0,0,ROWS(nombres[]),1)=FF$1490,ROW(OFFSET(nombres[],0,0,ROWS(nombres[]),1))-ROW(OFFSET(nombres[],0,0,1,1))+1,ROW(OFFSET(nombres[],ROWS(nombres[])-1,0,1,1))+1),$O1538:$O1557),3),"")</f>
        <v>233</v>
      </c>
      <c r="FG1538" s="42" t="str">
        <f t="array" aca="1" ref="FG1538" ca="1">IFERROR(INDEX(nombres[],SMALL(IF(OFFSET(nombres[],0,0,ROWS(nombres[]),1)=FG$1490,ROW(OFFSET(nombres[],0,0,ROWS(nombres[]),1))-ROW(OFFSET(nombres[],0,0,1,1))+1,ROW(OFFSET(nombres[],ROWS(nombres[])-1,0,1,1))+1),$O1538:$O1557),3),"")</f>
        <v/>
      </c>
      <c r="FH1538" s="42" t="str">
        <f t="array" aca="1" ref="FH1538" ca="1">IFERROR(INDEX(nombres[],SMALL(IF(OFFSET(nombres[],0,0,ROWS(nombres[]),1)=FH$1490,ROW(OFFSET(nombres[],0,0,ROWS(nombres[]),1))-ROW(OFFSET(nombres[],0,0,1,1))+1,ROW(OFFSET(nombres[],ROWS(nombres[])-1,0,1,1))+1),$O1538:$O1557),3),"")</f>
        <v/>
      </c>
      <c r="FI1538" s="42">
        <f t="array" aca="1" ref="FI1538" ca="1">IFERROR(INDEX(nombres[],SMALL(IF(OFFSET(nombres[],0,0,ROWS(nombres[]),1)=FI$1490,ROW(OFFSET(nombres[],0,0,ROWS(nombres[]),1))-ROW(OFFSET(nombres[],0,0,1,1))+1,ROW(OFFSET(nombres[],ROWS(nombres[])-1,0,1,1))+1),$O1538:$O1557),3),"")</f>
        <v>545</v>
      </c>
      <c r="FJ1538" s="42">
        <f t="array" aca="1" ref="FJ1538" ca="1">IFERROR(INDEX(nombres[],SMALL(IF(OFFSET(nombres[],0,0,ROWS(nombres[]),1)=FJ$1490,ROW(OFFSET(nombres[],0,0,ROWS(nombres[]),1))-ROW(OFFSET(nombres[],0,0,1,1))+1,ROW(OFFSET(nombres[],ROWS(nombres[])-1,0,1,1))+1),$O1538:$O1557),3),"")</f>
        <v>629</v>
      </c>
      <c r="FK1538" s="42">
        <f t="array" aca="1" ref="FK1538" ca="1">IFERROR(INDEX(nombres[],SMALL(IF(OFFSET(nombres[],0,0,ROWS(nombres[]),1)=FK$1490,ROW(OFFSET(nombres[],0,0,ROWS(nombres[]),1))-ROW(OFFSET(nombres[],0,0,1,1))+1,ROW(OFFSET(nombres[],ROWS(nombres[])-1,0,1,1))+1),$O1538:$O1557),3),"")</f>
        <v>643</v>
      </c>
      <c r="FL1538" s="42">
        <f t="array" aca="1" ref="FL1538" ca="1">IFERROR(INDEX(nombres[],SMALL(IF(OFFSET(nombres[],0,0,ROWS(nombres[]),1)=FL$1490,ROW(OFFSET(nombres[],0,0,ROWS(nombres[]),1))-ROW(OFFSET(nombres[],0,0,1,1))+1,ROW(OFFSET(nombres[],ROWS(nombres[])-1,0,1,1))+1),$O1538:$O1557),3),"")</f>
        <v>291</v>
      </c>
      <c r="FM1538" s="42" t="str">
        <f t="array" aca="1" ref="FM1538" ca="1">IFERROR(INDEX(nombres[],SMALL(IF(OFFSET(nombres[],0,0,ROWS(nombres[]),1)=FM$1490,ROW(OFFSET(nombres[],0,0,ROWS(nombres[]),1))-ROW(OFFSET(nombres[],0,0,1,1))+1,ROW(OFFSET(nombres[],ROWS(nombres[])-1,0,1,1))+1),$O1538:$O1557),3),"")</f>
        <v/>
      </c>
      <c r="FN1538" s="42" t="str">
        <f t="array" aca="1" ref="FN1538" ca="1">IFERROR(INDEX(nombres[],SMALL(IF(OFFSET(nombres[],0,0,ROWS(nombres[]),1)=FN$1490,ROW(OFFSET(nombres[],0,0,ROWS(nombres[]),1))-ROW(OFFSET(nombres[],0,0,1,1))+1,ROW(OFFSET(nombres[],ROWS(nombres[])-1,0,1,1))+1),$O1538:$O1557),3),"")</f>
        <v/>
      </c>
      <c r="FO1538" s="42">
        <f t="array" aca="1" ref="FO1538" ca="1">IFERROR(INDEX(nombres[],SMALL(IF(OFFSET(nombres[],0,0,ROWS(nombres[]),1)=FO$1490,ROW(OFFSET(nombres[],0,0,ROWS(nombres[]),1))-ROW(OFFSET(nombres[],0,0,1,1))+1,ROW(OFFSET(nombres[],ROWS(nombres[])-1,0,1,1))+1),$O1538:$O1557),3),"")</f>
        <v>324</v>
      </c>
      <c r="FP1538" s="42">
        <f t="array" aca="1" ref="FP1538" ca="1">IFERROR(INDEX(nombres[],SMALL(IF(OFFSET(nombres[],0,0,ROWS(nombres[]),1)=FP$1490,ROW(OFFSET(nombres[],0,0,ROWS(nombres[]),1))-ROW(OFFSET(nombres[],0,0,1,1))+1,ROW(OFFSET(nombres[],ROWS(nombres[])-1,0,1,1))+1),$O1538:$O1557),3),"")</f>
        <v>284</v>
      </c>
      <c r="FQ1538" s="42" t="str">
        <f t="array" aca="1" ref="FQ1538" ca="1">IFERROR(INDEX(nombres[],SMALL(IF(OFFSET(nombres[],0,0,ROWS(nombres[]),1)=FQ$1490,ROW(OFFSET(nombres[],0,0,ROWS(nombres[]),1))-ROW(OFFSET(nombres[],0,0,1,1))+1,ROW(OFFSET(nombres[],ROWS(nombres[])-1,0,1,1))+1),$O1538:$O1557),3),"")</f>
        <v/>
      </c>
      <c r="FR1538" s="42" t="str">
        <f t="array" aca="1" ref="FR1538" ca="1">IFERROR(INDEX(nombres[],SMALL(IF(OFFSET(nombres[],0,0,ROWS(nombres[]),1)=FR$1490,ROW(OFFSET(nombres[],0,0,ROWS(nombres[]),1))-ROW(OFFSET(nombres[],0,0,1,1))+1,ROW(OFFSET(nombres[],ROWS(nombres[])-1,0,1,1))+1),$O1538:$O1557),3),"")</f>
        <v/>
      </c>
      <c r="FS1538" s="42">
        <f t="array" aca="1" ref="FS1538" ca="1">IFERROR(INDEX(nombres[],SMALL(IF(OFFSET(nombres[],0,0,ROWS(nombres[]),1)=FS$1490,ROW(OFFSET(nombres[],0,0,ROWS(nombres[]),1))-ROW(OFFSET(nombres[],0,0,1,1))+1,ROW(OFFSET(nombres[],ROWS(nombres[])-1,0,1,1))+1),$O1538:$O1557),3),"")</f>
        <v>543</v>
      </c>
      <c r="FT1538" s="42" t="str">
        <f t="array" aca="1" ref="FT1538" ca="1">IFERROR(INDEX(nombres[],SMALL(IF(OFFSET(nombres[],0,0,ROWS(nombres[]),1)=FT$1490,ROW(OFFSET(nombres[],0,0,ROWS(nombres[]),1))-ROW(OFFSET(nombres[],0,0,1,1))+1,ROW(OFFSET(nombres[],ROWS(nombres[])-1,0,1,1))+1),$O1538:$O1557),3),"")</f>
        <v/>
      </c>
      <c r="FU1538" s="42" t="str">
        <f t="array" aca="1" ref="FU1538" ca="1">IFERROR(INDEX(nombres[],SMALL(IF(OFFSET(nombres[],0,0,ROWS(nombres[]),1)=FU$1490,ROW(OFFSET(nombres[],0,0,ROWS(nombres[]),1))-ROW(OFFSET(nombres[],0,0,1,1))+1,ROW(OFFSET(nombres[],ROWS(nombres[])-1,0,1,1))+1),$O1538:$O1557),3),"")</f>
        <v/>
      </c>
      <c r="FV1538" s="42" t="str">
        <f t="array" aca="1" ref="FV1538" ca="1">IFERROR(INDEX(nombres[],SMALL(IF(OFFSET(nombres[],0,0,ROWS(nombres[]),1)=FV$1490,ROW(OFFSET(nombres[],0,0,ROWS(nombres[]),1))-ROW(OFFSET(nombres[],0,0,1,1))+1,ROW(OFFSET(nombres[],ROWS(nombres[])-1,0,1,1))+1),$O1538:$O1557),3),"")</f>
        <v/>
      </c>
      <c r="FW1538" s="42" t="str">
        <f t="array" aca="1" ref="FW1538" ca="1">IFERROR(INDEX(nombres[],SMALL(IF(OFFSET(nombres[],0,0,ROWS(nombres[]),1)=FW$1490,ROW(OFFSET(nombres[],0,0,ROWS(nombres[]),1))-ROW(OFFSET(nombres[],0,0,1,1))+1,ROW(OFFSET(nombres[],ROWS(nombres[])-1,0,1,1))+1),$O1538:$O1557),3),"")</f>
        <v/>
      </c>
      <c r="FX1538" s="42">
        <f t="array" aca="1" ref="FX1538" ca="1">IFERROR(INDEX(nombres[],SMALL(IF(OFFSET(nombres[],0,0,ROWS(nombres[]),1)=FX$1490,ROW(OFFSET(nombres[],0,0,ROWS(nombres[]),1))-ROW(OFFSET(nombres[],0,0,1,1))+1,ROW(OFFSET(nombres[],ROWS(nombres[])-1,0,1,1))+1),$O1538:$O1557),3),"")</f>
        <v>645</v>
      </c>
      <c r="FY1538" s="42" t="str">
        <f t="array" aca="1" ref="FY1538" ca="1">IFERROR(INDEX(nombres[],SMALL(IF(OFFSET(nombres[],0,0,ROWS(nombres[]),1)=FY$1490,ROW(OFFSET(nombres[],0,0,ROWS(nombres[]),1))-ROW(OFFSET(nombres[],0,0,1,1))+1,ROW(OFFSET(nombres[],ROWS(nombres[])-1,0,1,1))+1),$O1538:$O1557),3),"")</f>
        <v/>
      </c>
      <c r="FZ1538" s="42">
        <f t="array" aca="1" ref="FZ1538" ca="1">IFERROR(INDEX(nombres[],SMALL(IF(OFFSET(nombres[],0,0,ROWS(nombres[]),1)=FZ$1490,ROW(OFFSET(nombres[],0,0,ROWS(nombres[]),1))-ROW(OFFSET(nombres[],0,0,1,1))+1,ROW(OFFSET(nombres[],ROWS(nombres[])-1,0,1,1))+1),$O1538:$O1557),3),"")</f>
        <v>373</v>
      </c>
      <c r="GA1538" s="42">
        <f t="array" aca="1" ref="GA1538" ca="1">IFERROR(INDEX(nombres[],SMALL(IF(OFFSET(nombres[],0,0,ROWS(nombres[]),1)=GA$1490,ROW(OFFSET(nombres[],0,0,ROWS(nombres[]),1))-ROW(OFFSET(nombres[],0,0,1,1))+1,ROW(OFFSET(nombres[],ROWS(nombres[])-1,0,1,1))+1),$O1538:$O1557),3),"")</f>
        <v>273</v>
      </c>
      <c r="GB1538" s="42" t="str">
        <f t="array" aca="1" ref="GB1538" ca="1">IFERROR(INDEX(nombres[],SMALL(IF(OFFSET(nombres[],0,0,ROWS(nombres[]),1)=GB$1490,ROW(OFFSET(nombres[],0,0,ROWS(nombres[]),1))-ROW(OFFSET(nombres[],0,0,1,1))+1,ROW(OFFSET(nombres[],ROWS(nombres[])-1,0,1,1))+1),$O1538:$O1557),3),"")</f>
        <v/>
      </c>
      <c r="GC1538" s="42">
        <f t="array" aca="1" ref="GC1538" ca="1">IFERROR(INDEX(nombres[],SMALL(IF(OFFSET(nombres[],0,0,ROWS(nombres[]),1)=GC$1490,ROW(OFFSET(nombres[],0,0,ROWS(nombres[]),1))-ROW(OFFSET(nombres[],0,0,1,1))+1,ROW(OFFSET(nombres[],ROWS(nombres[])-1,0,1,1))+1),$O1538:$O1557),3),"")</f>
        <v>658</v>
      </c>
      <c r="GD1538" s="42">
        <f t="array" aca="1" ref="GD1538" ca="1">IFERROR(INDEX(nombres[],SMALL(IF(OFFSET(nombres[],0,0,ROWS(nombres[]),1)=GD$1490,ROW(OFFSET(nombres[],0,0,ROWS(nombres[]),1))-ROW(OFFSET(nombres[],0,0,1,1))+1,ROW(OFFSET(nombres[],ROWS(nombres[])-1,0,1,1))+1),$O1538:$O1557),3),"")</f>
        <v>319</v>
      </c>
      <c r="GE1538" s="42" t="str">
        <f t="array" aca="1" ref="GE1538" ca="1">IFERROR(INDEX(nombres[],SMALL(IF(OFFSET(nombres[],0,0,ROWS(nombres[]),1)=GE$1490,ROW(OFFSET(nombres[],0,0,ROWS(nombres[]),1))-ROW(OFFSET(nombres[],0,0,1,1))+1,ROW(OFFSET(nombres[],ROWS(nombres[])-1,0,1,1))+1),$O1538:$O1557),3),"")</f>
        <v/>
      </c>
      <c r="GF1538" s="42">
        <f t="array" aca="1" ref="GF1538" ca="1">IFERROR(INDEX(nombres[],SMALL(IF(OFFSET(nombres[],0,0,ROWS(nombres[]),1)=GF$1490,ROW(OFFSET(nombres[],0,0,ROWS(nombres[]),1))-ROW(OFFSET(nombres[],0,0,1,1))+1,ROW(OFFSET(nombres[],ROWS(nombres[])-1,0,1,1))+1),$O1538:$O1557),3),"")</f>
        <v>253</v>
      </c>
      <c r="GG1538" s="42">
        <f t="array" aca="1" ref="GG1538" ca="1">IFERROR(INDEX(nombres[],SMALL(IF(OFFSET(nombres[],0,0,ROWS(nombres[]),1)=GG$1490,ROW(OFFSET(nombres[],0,0,ROWS(nombres[]),1))-ROW(OFFSET(nombres[],0,0,1,1))+1,ROW(OFFSET(nombres[],ROWS(nombres[])-1,0,1,1))+1),$O1538:$O1557),3),"")</f>
        <v>260</v>
      </c>
      <c r="GH1538" s="42">
        <f t="array" aca="1" ref="GH1538" ca="1">IFERROR(INDEX(nombres[],SMALL(IF(OFFSET(nombres[],0,0,ROWS(nombres[]),1)=GH$1490,ROW(OFFSET(nombres[],0,0,ROWS(nombres[]),1))-ROW(OFFSET(nombres[],0,0,1,1))+1,ROW(OFFSET(nombres[],ROWS(nombres[])-1,0,1,1))+1),$O1538:$O1557),3),"")</f>
        <v>293</v>
      </c>
      <c r="GI1538" s="42">
        <f t="array" aca="1" ref="GI1538" ca="1">IFERROR(INDEX(nombres[],SMALL(IF(OFFSET(nombres[],0,0,ROWS(nombres[]),1)=GI$1490,ROW(OFFSET(nombres[],0,0,ROWS(nombres[]),1))-ROW(OFFSET(nombres[],0,0,1,1))+1,ROW(OFFSET(nombres[],ROWS(nombres[])-1,0,1,1))+1),$O1538:$O1557),3),"")</f>
        <v>635</v>
      </c>
      <c r="GJ1538" s="42">
        <f t="array" aca="1" ref="GJ1538" ca="1">IFERROR(INDEX(nombres[],SMALL(IF(OFFSET(nombres[],0,0,ROWS(nombres[]),1)=GJ$1490,ROW(OFFSET(nombres[],0,0,ROWS(nombres[]),1))-ROW(OFFSET(nombres[],0,0,1,1))+1,ROW(OFFSET(nombres[],ROWS(nombres[])-1,0,1,1))+1),$O1538:$O1557),3),"")</f>
        <v>321</v>
      </c>
      <c r="GK1538" s="42" t="str">
        <f t="array" aca="1" ref="GK1538" ca="1">IFERROR(INDEX(nombres[],SMALL(IF(OFFSET(nombres[],0,0,ROWS(nombres[]),1)=GK$1490,ROW(OFFSET(nombres[],0,0,ROWS(nombres[]),1))-ROW(OFFSET(nombres[],0,0,1,1))+1,ROW(OFFSET(nombres[],ROWS(nombres[])-1,0,1,1))+1),$O1538:$O1557),3),"")</f>
        <v/>
      </c>
      <c r="GL1538" s="42">
        <f t="array" aca="1" ref="GL1538" ca="1">IFERROR(INDEX(nombres[],SMALL(IF(OFFSET(nombres[],0,0,ROWS(nombres[]),1)=GL$1490,ROW(OFFSET(nombres[],0,0,ROWS(nombres[]),1))-ROW(OFFSET(nombres[],0,0,1,1))+1,ROW(OFFSET(nombres[],ROWS(nombres[])-1,0,1,1))+1),$O1538:$O1557),3),"")</f>
        <v>247</v>
      </c>
      <c r="GM1538" s="42" t="str">
        <f t="array" aca="1" ref="GM1538" ca="1">IFERROR(INDEX(nombres[],SMALL(IF(OFFSET(nombres[],0,0,ROWS(nombres[]),1)=GM$1490,ROW(OFFSET(nombres[],0,0,ROWS(nombres[]),1))-ROW(OFFSET(nombres[],0,0,1,1))+1,ROW(OFFSET(nombres[],ROWS(nombres[])-1,0,1,1))+1),$O1538:$O1557),3),"")</f>
        <v/>
      </c>
      <c r="GN1538" s="42" t="str">
        <f t="array" aca="1" ref="GN1538" ca="1">IFERROR(INDEX(nombres[],SMALL(IF(OFFSET(nombres[],0,0,ROWS(nombres[]),1)=GN$1490,ROW(OFFSET(nombres[],0,0,ROWS(nombres[]),1))-ROW(OFFSET(nombres[],0,0,1,1))+1,ROW(OFFSET(nombres[],ROWS(nombres[])-1,0,1,1))+1),$O1538:$O1557),3),"")</f>
        <v/>
      </c>
      <c r="GO1538" s="42" t="str">
        <f t="array" aca="1" ref="GO1538" ca="1">IFERROR(INDEX(nombres[],SMALL(IF(OFFSET(nombres[],0,0,ROWS(nombres[]),1)=GO$1490,ROW(OFFSET(nombres[],0,0,ROWS(nombres[]),1))-ROW(OFFSET(nombres[],0,0,1,1))+1,ROW(OFFSET(nombres[],ROWS(nombres[])-1,0,1,1))+1),$O1538:$O1557),3),"")</f>
        <v/>
      </c>
      <c r="GP1538" s="42" t="str">
        <f t="array" aca="1" ref="GP1538" ca="1">IFERROR(INDEX(nombres[],SMALL(IF(OFFSET(nombres[],0,0,ROWS(nombres[]),1)=GP$1490,ROW(OFFSET(nombres[],0,0,ROWS(nombres[]),1))-ROW(OFFSET(nombres[],0,0,1,1))+1,ROW(OFFSET(nombres[],ROWS(nombres[])-1,0,1,1))+1),$O1538:$O1557),3),"")</f>
        <v/>
      </c>
      <c r="GQ1538" s="42" t="str">
        <f t="array" aca="1" ref="GQ1538" ca="1">IFERROR(INDEX(nombres[],SMALL(IF(OFFSET(nombres[],0,0,ROWS(nombres[]),1)=GQ$1490,ROW(OFFSET(nombres[],0,0,ROWS(nombres[]),1))-ROW(OFFSET(nombres[],0,0,1,1))+1,ROW(OFFSET(nombres[],ROWS(nombres[])-1,0,1,1))+1),$O1538:$O1557),3),"")</f>
        <v/>
      </c>
      <c r="GR1538" s="42">
        <f t="array" aca="1" ref="GR1538" ca="1">IFERROR(INDEX(nombres[],SMALL(IF(OFFSET(nombres[],0,0,ROWS(nombres[]),1)=GR$1490,ROW(OFFSET(nombres[],0,0,ROWS(nombres[]),1))-ROW(OFFSET(nombres[],0,0,1,1))+1,ROW(OFFSET(nombres[],ROWS(nombres[])-1,0,1,1))+1),$O1538:$O1557),3),"")</f>
        <v>335</v>
      </c>
      <c r="GS1538" s="42">
        <f t="array" aca="1" ref="GS1538" ca="1">IFERROR(INDEX(nombres[],SMALL(IF(OFFSET(nombres[],0,0,ROWS(nombres[]),1)=GS$1490,ROW(OFFSET(nombres[],0,0,ROWS(nombres[]),1))-ROW(OFFSET(nombres[],0,0,1,1))+1,ROW(OFFSET(nombres[],ROWS(nombres[])-1,0,1,1))+1),$O1538:$O1557),3),"")</f>
        <v>551</v>
      </c>
      <c r="GT1538" s="42">
        <f t="array" aca="1" ref="GT1538" ca="1">IFERROR(INDEX(nombres[],SMALL(IF(OFFSET(nombres[],0,0,ROWS(nombres[]),1)=GT$1490,ROW(OFFSET(nombres[],0,0,ROWS(nombres[]),1))-ROW(OFFSET(nombres[],0,0,1,1))+1,ROW(OFFSET(nombres[],ROWS(nombres[])-1,0,1,1))+1),$O1538:$O1557),3),"")</f>
        <v>349</v>
      </c>
      <c r="GU1538" s="42">
        <f t="array" aca="1" ref="GU1538" ca="1">IFERROR(INDEX(nombres[],SMALL(IF(OFFSET(nombres[],0,0,ROWS(nombres[]),1)=GU$1490,ROW(OFFSET(nombres[],0,0,ROWS(nombres[]),1))-ROW(OFFSET(nombres[],0,0,1,1))+1,ROW(OFFSET(nombres[],ROWS(nombres[])-1,0,1,1))+1),$O1538:$O1557),3),"")</f>
        <v>640</v>
      </c>
      <c r="GV1538" s="42">
        <f t="array" aca="1" ref="GV1538" ca="1">IFERROR(INDEX(nombres[],SMALL(IF(OFFSET(nombres[],0,0,ROWS(nombres[]),1)=GV$1490,ROW(OFFSET(nombres[],0,0,ROWS(nombres[]),1))-ROW(OFFSET(nombres[],0,0,1,1))+1,ROW(OFFSET(nombres[],ROWS(nombres[])-1,0,1,1))+1),$O1538:$O1557),3),"")</f>
        <v>344</v>
      </c>
      <c r="GW1538" s="42">
        <f t="array" aca="1" ref="GW1538" ca="1">IFERROR(INDEX(nombres[],SMALL(IF(OFFSET(nombres[],0,0,ROWS(nombres[]),1)=GW$1490,ROW(OFFSET(nombres[],0,0,ROWS(nombres[]),1))-ROW(OFFSET(nombres[],0,0,1,1))+1,ROW(OFFSET(nombres[],ROWS(nombres[])-1,0,1,1))+1),$O1538:$O1557),3),"")</f>
        <v>423</v>
      </c>
      <c r="GX1538" s="42" t="str">
        <f t="array" aca="1" ref="GX1538" ca="1">IFERROR(INDEX(nombres[],SMALL(IF(OFFSET(nombres[],0,0,ROWS(nombres[]),1)=GX$1490,ROW(OFFSET(nombres[],0,0,ROWS(nombres[]),1))-ROW(OFFSET(nombres[],0,0,1,1))+1,ROW(OFFSET(nombres[],ROWS(nombres[])-1,0,1,1))+1),$O1538:$O1557),3),"")</f>
        <v/>
      </c>
      <c r="GY1538" s="42">
        <f t="array" aca="1" ref="GY1538" ca="1">IFERROR(INDEX(nombres[],SMALL(IF(OFFSET(nombres[],0,0,ROWS(nombres[]),1)=GY$1490,ROW(OFFSET(nombres[],0,0,ROWS(nombres[]),1))-ROW(OFFSET(nombres[],0,0,1,1))+1,ROW(OFFSET(nombres[],ROWS(nombres[])-1,0,1,1))+1),$O1538:$O1557),3),"")</f>
        <v>371</v>
      </c>
      <c r="GZ1538" s="42" t="str">
        <f t="array" aca="1" ref="GZ1538" ca="1">IFERROR(INDEX(nombres[],SMALL(IF(OFFSET(nombres[],0,0,ROWS(nombres[]),1)=GZ$1490,ROW(OFFSET(nombres[],0,0,ROWS(nombres[]),1))-ROW(OFFSET(nombres[],0,0,1,1))+1,ROW(OFFSET(nombres[],ROWS(nombres[])-1,0,1,1))+1),$O1538:$O1557),3),"")</f>
        <v/>
      </c>
      <c r="HA1538" s="42" t="str">
        <f t="array" aca="1" ref="HA1538" ca="1">IFERROR(INDEX(nombres[],SMALL(IF(OFFSET(nombres[],0,0,ROWS(nombres[]),1)=HA$1490,ROW(OFFSET(nombres[],0,0,ROWS(nombres[]),1))-ROW(OFFSET(nombres[],0,0,1,1))+1,ROW(OFFSET(nombres[],ROWS(nombres[])-1,0,1,1))+1),$O1538:$O1557),3),"")</f>
        <v/>
      </c>
      <c r="HB1538" s="42" t="str">
        <f t="array" aca="1" ref="HB1538" ca="1">IFERROR(INDEX(nombres[],SMALL(IF(OFFSET(nombres[],0,0,ROWS(nombres[]),1)=HB$1490,ROW(OFFSET(nombres[],0,0,ROWS(nombres[]),1))-ROW(OFFSET(nombres[],0,0,1,1))+1,ROW(OFFSET(nombres[],ROWS(nombres[])-1,0,1,1))+1),$O1538:$O1557),3),"")</f>
        <v/>
      </c>
      <c r="HC1538" s="42" t="str">
        <f t="array" aca="1" ref="HC1538" ca="1">IFERROR(INDEX(nombres[],SMALL(IF(OFFSET(nombres[],0,0,ROWS(nombres[]),1)=HC$1490,ROW(OFFSET(nombres[],0,0,ROWS(nombres[]),1))-ROW(OFFSET(nombres[],0,0,1,1))+1,ROW(OFFSET(nombres[],ROWS(nombres[])-1,0,1,1))+1),$O1538:$O1557),3),"")</f>
        <v/>
      </c>
      <c r="HD1538" s="42">
        <f t="array" aca="1" ref="HD1538" ca="1">IFERROR(INDEX(nombres[],SMALL(IF(OFFSET(nombres[],0,0,ROWS(nombres[]),1)=HD$1490,ROW(OFFSET(nombres[],0,0,ROWS(nombres[]),1))-ROW(OFFSET(nombres[],0,0,1,1))+1,ROW(OFFSET(nombres[],ROWS(nombres[])-1,0,1,1))+1),$O1538:$O1557),3),"")</f>
        <v>369</v>
      </c>
      <c r="HE1538" s="42">
        <f t="array" aca="1" ref="HE1538" ca="1">IFERROR(INDEX(nombres[],SMALL(IF(OFFSET(nombres[],0,0,ROWS(nombres[]),1)=HE$1490,ROW(OFFSET(nombres[],0,0,ROWS(nombres[]),1))-ROW(OFFSET(nombres[],0,0,1,1))+1,ROW(OFFSET(nombres[],ROWS(nombres[])-1,0,1,1))+1),$O1538:$O1557),3),"")</f>
        <v>362</v>
      </c>
      <c r="HF1538" s="42" t="str">
        <f t="array" aca="1" ref="HF1538" ca="1">IFERROR(INDEX(nombres[],SMALL(IF(OFFSET(nombres[],0,0,ROWS(nombres[]),1)=HF$1490,ROW(OFFSET(nombres[],0,0,ROWS(nombres[]),1))-ROW(OFFSET(nombres[],0,0,1,1))+1,ROW(OFFSET(nombres[],ROWS(nombres[])-1,0,1,1))+1),$O1538:$O1557),3),"")</f>
        <v/>
      </c>
      <c r="HG1538" s="42">
        <f t="array" aca="1" ref="HG1538" ca="1">IFERROR(INDEX(nombres[],SMALL(IF(OFFSET(nombres[],0,0,ROWS(nombres[]),1)=HG$1490,ROW(OFFSET(nombres[],0,0,ROWS(nombres[]),1))-ROW(OFFSET(nombres[],0,0,1,1))+1,ROW(OFFSET(nombres[],ROWS(nombres[])-1,0,1,1))+1),$O1538:$O1557),3),"")</f>
        <v>626</v>
      </c>
      <c r="HH1538" s="42" t="str">
        <f t="array" aca="1" ref="HH1538" ca="1">IFERROR(INDEX(nombres[],SMALL(IF(OFFSET(nombres[],0,0,ROWS(nombres[]),1)=HH$1490,ROW(OFFSET(nombres[],0,0,ROWS(nombres[]),1))-ROW(OFFSET(nombres[],0,0,1,1))+1,ROW(OFFSET(nombres[],ROWS(nombres[])-1,0,1,1))+1),$O1538:$O1557),3),"")</f>
        <v/>
      </c>
      <c r="HI1538" s="42">
        <f t="array" aca="1" ref="HI1538" ca="1">IFERROR(INDEX(nombres[],SMALL(IF(OFFSET(nombres[],0,0,ROWS(nombres[]),1)=HI$1490,ROW(OFFSET(nombres[],0,0,ROWS(nombres[]),1))-ROW(OFFSET(nombres[],0,0,1,1))+1,ROW(OFFSET(nombres[],ROWS(nombres[])-1,0,1,1))+1),$O1538:$O1557),3),"")</f>
        <v>282</v>
      </c>
      <c r="HJ1538" s="42">
        <f t="array" aca="1" ref="HJ1538" ca="1">IFERROR(INDEX(nombres[],SMALL(IF(OFFSET(nombres[],0,0,ROWS(nombres[]),1)=HJ$1490,ROW(OFFSET(nombres[],0,0,ROWS(nombres[]),1))-ROW(OFFSET(nombres[],0,0,1,1))+1,ROW(OFFSET(nombres[],ROWS(nombres[])-1,0,1,1))+1),$O1538:$O1557),3),"")</f>
        <v>359</v>
      </c>
      <c r="HK1538" s="42">
        <f t="array" aca="1" ref="HK1538" ca="1">IFERROR(INDEX(nombres[],SMALL(IF(OFFSET(nombres[],0,0,ROWS(nombres[]),1)=HK$1490,ROW(OFFSET(nombres[],0,0,ROWS(nombres[]),1))-ROW(OFFSET(nombres[],0,0,1,1))+1,ROW(OFFSET(nombres[],ROWS(nombres[])-1,0,1,1))+1),$O1538:$O1557),3),"")</f>
        <v>348</v>
      </c>
      <c r="HL1538" s="42" t="str">
        <f t="array" aca="1" ref="HL1538" ca="1">IFERROR(INDEX(nombres[],SMALL(IF(OFFSET(nombres[],0,0,ROWS(nombres[]),1)=HL$1490,ROW(OFFSET(nombres[],0,0,ROWS(nombres[]),1))-ROW(OFFSET(nombres[],0,0,1,1))+1,ROW(OFFSET(nombres[],ROWS(nombres[])-1,0,1,1))+1),$O1538:$O1557),3),"")</f>
        <v/>
      </c>
      <c r="HM1538" s="42">
        <f t="array" aca="1" ref="HM1538" ca="1">IFERROR(INDEX(nombres[],SMALL(IF(OFFSET(nombres[],0,0,ROWS(nombres[]),1)=HM$1490,ROW(OFFSET(nombres[],0,0,ROWS(nombres[]),1))-ROW(OFFSET(nombres[],0,0,1,1))+1,ROW(OFFSET(nombres[],ROWS(nombres[])-1,0,1,1))+1),$O1538:$O1557),3),"")</f>
        <v>425</v>
      </c>
      <c r="HN1538" s="42" t="str">
        <f t="array" aca="1" ref="HN1538" ca="1">IFERROR(INDEX(nombres[],SMALL(IF(OFFSET(nombres[],0,0,ROWS(nombres[]),1)=HN$1490,ROW(OFFSET(nombres[],0,0,ROWS(nombres[]),1))-ROW(OFFSET(nombres[],0,0,1,1))+1,ROW(OFFSET(nombres[],ROWS(nombres[])-1,0,1,1))+1),$O1538:$O1557),3),"")</f>
        <v/>
      </c>
      <c r="HO1538" s="42">
        <f t="array" aca="1" ref="HO1538" ca="1">IFERROR(INDEX(nombres[],SMALL(IF(OFFSET(nombres[],0,0,ROWS(nombres[]),1)=HO$1490,ROW(OFFSET(nombres[],0,0,ROWS(nombres[]),1))-ROW(OFFSET(nombres[],0,0,1,1))+1,ROW(OFFSET(nombres[],ROWS(nombres[])-1,0,1,1))+1),$O1538:$O1557),3),"")</f>
        <v>357</v>
      </c>
      <c r="HP1538" s="42">
        <f t="array" aca="1" ref="HP1538" ca="1">IFERROR(INDEX(nombres[],SMALL(IF(OFFSET(nombres[],0,0,ROWS(nombres[]),1)=HP$1490,ROW(OFFSET(nombres[],0,0,ROWS(nombres[]),1))-ROW(OFFSET(nombres[],0,0,1,1))+1,ROW(OFFSET(nombres[],ROWS(nombres[])-1,0,1,1))+1),$O1538:$O1557),3),"")</f>
        <v>554</v>
      </c>
      <c r="HQ1538" s="42">
        <f t="array" aca="1" ref="HQ1538" ca="1">IFERROR(INDEX(nombres[],SMALL(IF(OFFSET(nombres[],0,0,ROWS(nombres[]),1)=HQ$1490,ROW(OFFSET(nombres[],0,0,ROWS(nombres[]),1))-ROW(OFFSET(nombres[],0,0,1,1))+1,ROW(OFFSET(nombres[],ROWS(nombres[])-1,0,1,1))+1),$O1538:$O1557),3),"")</f>
        <v>376</v>
      </c>
      <c r="HR1538" s="42" t="str">
        <f t="array" aca="1" ref="HR1538" ca="1">IFERROR(INDEX(nombres[],SMALL(IF(OFFSET(nombres[],0,0,ROWS(nombres[]),1)=HR$1490,ROW(OFFSET(nombres[],0,0,ROWS(nombres[]),1))-ROW(OFFSET(nombres[],0,0,1,1))+1,ROW(OFFSET(nombres[],ROWS(nombres[])-1,0,1,1))+1),$O1538:$O1557),3),"")</f>
        <v/>
      </c>
      <c r="HS1538" s="42">
        <f t="array" aca="1" ref="HS1538" ca="1">IFERROR(INDEX(nombres[],SMALL(IF(OFFSET(nombres[],0,0,ROWS(nombres[]),1)=HS$1490,ROW(OFFSET(nombres[],0,0,ROWS(nombres[]),1))-ROW(OFFSET(nombres[],0,0,1,1))+1,ROW(OFFSET(nombres[],ROWS(nombres[])-1,0,1,1))+1),$O1538:$O1557),3),"")</f>
        <v>617</v>
      </c>
      <c r="HT1538" s="42">
        <f t="array" aca="1" ref="HT1538" ca="1">IFERROR(INDEX(nombres[],SMALL(IF(OFFSET(nombres[],0,0,ROWS(nombres[]),1)=HT$1490,ROW(OFFSET(nombres[],0,0,ROWS(nombres[]),1))-ROW(OFFSET(nombres[],0,0,1,1))+1,ROW(OFFSET(nombres[],ROWS(nombres[])-1,0,1,1))+1),$O1538:$O1557),3),"")</f>
        <v>378</v>
      </c>
      <c r="HU1538" s="42" t="str">
        <f t="array" aca="1" ref="HU1538" ca="1">IFERROR(INDEX(nombres[],SMALL(IF(OFFSET(nombres[],0,0,ROWS(nombres[]),1)=HU$1490,ROW(OFFSET(nombres[],0,0,ROWS(nombres[]),1))-ROW(OFFSET(nombres[],0,0,1,1))+1,ROW(OFFSET(nombres[],ROWS(nombres[])-1,0,1,1))+1),$O1538:$O1557),3),"")</f>
        <v/>
      </c>
      <c r="HV1538" s="42" t="str">
        <f t="array" aca="1" ref="HV1538" ca="1">IFERROR(INDEX(nombres[],SMALL(IF(OFFSET(nombres[],0,0,ROWS(nombres[]),1)=HV$1490,ROW(OFFSET(nombres[],0,0,ROWS(nombres[]),1))-ROW(OFFSET(nombres[],0,0,1,1))+1,ROW(OFFSET(nombres[],ROWS(nombres[])-1,0,1,1))+1),$O1538:$O1557),3),"")</f>
        <v/>
      </c>
      <c r="HW1538" s="42" t="str">
        <f t="array" aca="1" ref="HW1538" ca="1">IFERROR(INDEX(nombres[],SMALL(IF(OFFSET(nombres[],0,0,ROWS(nombres[]),1)=HW$1490,ROW(OFFSET(nombres[],0,0,ROWS(nombres[]),1))-ROW(OFFSET(nombres[],0,0,1,1))+1,ROW(OFFSET(nombres[],ROWS(nombres[])-1,0,1,1))+1),$O1538:$O1557),3),"")</f>
        <v/>
      </c>
      <c r="HX1538" s="42" t="str">
        <f t="array" aca="1" ref="HX1538" ca="1">IFERROR(INDEX(nombres[],SMALL(IF(OFFSET(nombres[],0,0,ROWS(nombres[]),1)=HX$1490,ROW(OFFSET(nombres[],0,0,ROWS(nombres[]),1))-ROW(OFFSET(nombres[],0,0,1,1))+1,ROW(OFFSET(nombres[],ROWS(nombres[])-1,0,1,1))+1),$O1538:$O1557),3),"")</f>
        <v/>
      </c>
      <c r="HY1538" s="42" t="str">
        <f t="array" aca="1" ref="HY1538" ca="1">IFERROR(INDEX(nombres[],SMALL(IF(OFFSET(nombres[],0,0,ROWS(nombres[]),1)=HY$1490,ROW(OFFSET(nombres[],0,0,ROWS(nombres[]),1))-ROW(OFFSET(nombres[],0,0,1,1))+1,ROW(OFFSET(nombres[],ROWS(nombres[])-1,0,1,1))+1),$O1538:$O1557),3),"")</f>
        <v/>
      </c>
      <c r="HZ1538" s="42" t="str">
        <f t="array" aca="1" ref="HZ1538" ca="1">IFERROR(INDEX(nombres[],SMALL(IF(OFFSET(nombres[],0,0,ROWS(nombres[]),1)=HZ$1490,ROW(OFFSET(nombres[],0,0,ROWS(nombres[]),1))-ROW(OFFSET(nombres[],0,0,1,1))+1,ROW(OFFSET(nombres[],ROWS(nombres[])-1,0,1,1))+1),$O1538:$O1557),3),"")</f>
        <v/>
      </c>
      <c r="IA1538" s="42">
        <f t="array" aca="1" ref="IA1538" ca="1">IFERROR(INDEX(nombres[],SMALL(IF(OFFSET(nombres[],0,0,ROWS(nombres[]),1)=IA$1490,ROW(OFFSET(nombres[],0,0,ROWS(nombres[]),1))-ROW(OFFSET(nombres[],0,0,1,1))+1,ROW(OFFSET(nombres[],ROWS(nombres[])-1,0,1,1))+1),$O1538:$O1557),3),"")</f>
        <v>399</v>
      </c>
      <c r="IB1538" s="42">
        <f t="array" aca="1" ref="IB1538" ca="1">IFERROR(INDEX(nombres[],SMALL(IF(OFFSET(nombres[],0,0,ROWS(nombres[]),1)=IB$1490,ROW(OFFSET(nombres[],0,0,ROWS(nombres[]),1))-ROW(OFFSET(nombres[],0,0,1,1))+1,ROW(OFFSET(nombres[],ROWS(nombres[])-1,0,1,1))+1),$O1538:$O1557),3),"")</f>
        <v>619</v>
      </c>
      <c r="IC1538" s="42">
        <f t="array" aca="1" ref="IC1538" ca="1">IFERROR(INDEX(nombres[],SMALL(IF(OFFSET(nombres[],0,0,ROWS(nombres[]),1)=IC$1490,ROW(OFFSET(nombres[],0,0,ROWS(nombres[]),1))-ROW(OFFSET(nombres[],0,0,1,1))+1,ROW(OFFSET(nombres[],ROWS(nombres[])-1,0,1,1))+1),$O1538:$O1557),3),"")</f>
        <v>393</v>
      </c>
      <c r="ID1538" s="42">
        <f t="array" aca="1" ref="ID1538" ca="1">IFERROR(INDEX(nombres[],SMALL(IF(OFFSET(nombres[],0,0,ROWS(nombres[]),1)=ID$1490,ROW(OFFSET(nombres[],0,0,ROWS(nombres[]),1))-ROW(OFFSET(nombres[],0,0,1,1))+1,ROW(OFFSET(nombres[],ROWS(nombres[])-1,0,1,1))+1),$O1538:$O1557),3),"")</f>
        <v>37</v>
      </c>
      <c r="IE1538" s="42">
        <f t="array" aca="1" ref="IE1538" ca="1">IFERROR(INDEX(nombres[],SMALL(IF(OFFSET(nombres[],0,0,ROWS(nombres[]),1)=IE$1490,ROW(OFFSET(nombres[],0,0,ROWS(nombres[]),1))-ROW(OFFSET(nombres[],0,0,1,1))+1,ROW(OFFSET(nombres[],ROWS(nombres[])-1,0,1,1))+1),$O1538:$O1557),3),"")</f>
        <v>561</v>
      </c>
      <c r="IF1538" s="42" t="str">
        <f t="array" aca="1" ref="IF1538" ca="1">IFERROR(INDEX(nombres[],SMALL(IF(OFFSET(nombres[],0,0,ROWS(nombres[]),1)=IF$1490,ROW(OFFSET(nombres[],0,0,ROWS(nombres[]),1))-ROW(OFFSET(nombres[],0,0,1,1))+1,ROW(OFFSET(nombres[],ROWS(nombres[])-1,0,1,1))+1),$O1538:$O1557),3),"")</f>
        <v/>
      </c>
      <c r="IG1538" s="42">
        <f t="array" aca="1" ref="IG1538" ca="1">IFERROR(INDEX(nombres[],SMALL(IF(OFFSET(nombres[],0,0,ROWS(nombres[]),1)=IG$1490,ROW(OFFSET(nombres[],0,0,ROWS(nombres[]),1))-ROW(OFFSET(nombres[],0,0,1,1))+1,ROW(OFFSET(nombres[],ROWS(nombres[])-1,0,1,1))+1),$O1538:$O1557),3),"")</f>
        <v>409</v>
      </c>
      <c r="IH1538" s="42" t="str">
        <f t="array" aca="1" ref="IH1538" ca="1">IFERROR(INDEX(nombres[],SMALL(IF(OFFSET(nombres[],0,0,ROWS(nombres[]),1)=IH$1490,ROW(OFFSET(nombres[],0,0,ROWS(nombres[]),1))-ROW(OFFSET(nombres[],0,0,1,1))+1,ROW(OFFSET(nombres[],ROWS(nombres[])-1,0,1,1))+1),$O1538:$O1557),3),"")</f>
        <v/>
      </c>
      <c r="II1538" s="42">
        <f t="array" aca="1" ref="II1538" ca="1">IFERROR(INDEX(nombres[],SMALL(IF(OFFSET(nombres[],0,0,ROWS(nombres[]),1)=II$1490,ROW(OFFSET(nombres[],0,0,ROWS(nombres[]),1))-ROW(OFFSET(nombres[],0,0,1,1))+1,ROW(OFFSET(nombres[],ROWS(nombres[])-1,0,1,1))+1),$O1538:$O1557),3),"")</f>
        <v>556</v>
      </c>
      <c r="IJ1538" s="42">
        <f t="array" aca="1" ref="IJ1538" ca="1">IFERROR(INDEX(nombres[],SMALL(IF(OFFSET(nombres[],0,0,ROWS(nombres[]),1)=IJ$1490,ROW(OFFSET(nombres[],0,0,ROWS(nombres[]),1))-ROW(OFFSET(nombres[],0,0,1,1))+1,ROW(OFFSET(nombres[],ROWS(nombres[])-1,0,1,1))+1),$O1538:$O1557),3),"")</f>
        <v>428</v>
      </c>
      <c r="IK1538" s="42" t="str">
        <f t="array" aca="1" ref="IK1538" ca="1">IFERROR(INDEX(nombres[],SMALL(IF(OFFSET(nombres[],0,0,ROWS(nombres[]),1)=IK$1490,ROW(OFFSET(nombres[],0,0,ROWS(nombres[]),1))-ROW(OFFSET(nombres[],0,0,1,1))+1,ROW(OFFSET(nombres[],ROWS(nombres[])-1,0,1,1))+1),$O1538:$O1557),3),"")</f>
        <v/>
      </c>
      <c r="IL1538" s="42">
        <f t="array" aca="1" ref="IL1538" ca="1">IFERROR(INDEX(nombres[],SMALL(IF(OFFSET(nombres[],0,0,ROWS(nombres[]),1)=IL$1490,ROW(OFFSET(nombres[],0,0,ROWS(nombres[]),1))-ROW(OFFSET(nombres[],0,0,1,1))+1,ROW(OFFSET(nombres[],ROWS(nombres[])-1,0,1,1))+1),$O1538:$O1557),3),"")</f>
        <v>559</v>
      </c>
      <c r="IM1538" s="42" t="str">
        <f t="array" aca="1" ref="IM1538" ca="1">IFERROR(INDEX(nombres[],SMALL(IF(OFFSET(nombres[],0,0,ROWS(nombres[]),1)=IM$1490,ROW(OFFSET(nombres[],0,0,ROWS(nombres[]),1))-ROW(OFFSET(nombres[],0,0,1,1))+1,ROW(OFFSET(nombres[],ROWS(nombres[])-1,0,1,1))+1),$O1538:$O1557),3),"")</f>
        <v/>
      </c>
      <c r="IN1538" s="42" t="str">
        <f t="array" aca="1" ref="IN1538" ca="1">IFERROR(INDEX(nombres[],SMALL(IF(OFFSET(nombres[],0,0,ROWS(nombres[]),1)=IN$1490,ROW(OFFSET(nombres[],0,0,ROWS(nombres[]),1))-ROW(OFFSET(nombres[],0,0,1,1))+1,ROW(OFFSET(nombres[],ROWS(nombres[])-1,0,1,1))+1),$O1538:$O1557),3),"")</f>
        <v/>
      </c>
      <c r="IO1538" s="42" t="str">
        <f t="array" aca="1" ref="IO1538" ca="1">IFERROR(INDEX(nombres[],SMALL(IF(OFFSET(nombres[],0,0,ROWS(nombres[]),1)=IO$1490,ROW(OFFSET(nombres[],0,0,ROWS(nombres[]),1))-ROW(OFFSET(nombres[],0,0,1,1))+1,ROW(OFFSET(nombres[],ROWS(nombres[])-1,0,1,1))+1),$O1538:$O1557),3),"")</f>
        <v/>
      </c>
      <c r="IP1538" s="42" t="str">
        <f t="array" aca="1" ref="IP1538" ca="1">IFERROR(INDEX(nombres[],SMALL(IF(OFFSET(nombres[],0,0,ROWS(nombres[]),1)=IP$1490,ROW(OFFSET(nombres[],0,0,ROWS(nombres[]),1))-ROW(OFFSET(nombres[],0,0,1,1))+1,ROW(OFFSET(nombres[],ROWS(nombres[])-1,0,1,1))+1),$O1538:$O1557),3),"")</f>
        <v/>
      </c>
      <c r="IQ1538" s="42" t="str">
        <f t="array" aca="1" ref="IQ1538" ca="1">IFERROR(INDEX(nombres[],SMALL(IF(OFFSET(nombres[],0,0,ROWS(nombres[]),1)=IQ$1490,ROW(OFFSET(nombres[],0,0,ROWS(nombres[]),1))-ROW(OFFSET(nombres[],0,0,1,1))+1,ROW(OFFSET(nombres[],ROWS(nombres[])-1,0,1,1))+1),$O1538:$O1557),3),"")</f>
        <v/>
      </c>
      <c r="IR1538" s="42" t="str">
        <f t="array" aca="1" ref="IR1538" ca="1">IFERROR(INDEX(nombres[],SMALL(IF(OFFSET(nombres[],0,0,ROWS(nombres[]),1)=IR$1490,ROW(OFFSET(nombres[],0,0,ROWS(nombres[]),1))-ROW(OFFSET(nombres[],0,0,1,1))+1,ROW(OFFSET(nombres[],ROWS(nombres[])-1,0,1,1))+1),$O1538:$O1557),3),"")</f>
        <v/>
      </c>
      <c r="IS1538" s="42" t="str">
        <f t="array" aca="1" ref="IS1538" ca="1">IFERROR(INDEX(nombres[],SMALL(IF(OFFSET(nombres[],0,0,ROWS(nombres[]),1)=IS$1490,ROW(OFFSET(nombres[],0,0,ROWS(nombres[]),1))-ROW(OFFSET(nombres[],0,0,1,1))+1,ROW(OFFSET(nombres[],ROWS(nombres[])-1,0,1,1))+1),$O1538:$O1557),3),"")</f>
        <v/>
      </c>
      <c r="IT1538" s="42">
        <f t="array" aca="1" ref="IT1538" ca="1">IFERROR(INDEX(nombres[],SMALL(IF(OFFSET(nombres[],0,0,ROWS(nombres[]),1)=IT$1490,ROW(OFFSET(nombres[],0,0,ROWS(nombres[]),1))-ROW(OFFSET(nombres[],0,0,1,1))+1,ROW(OFFSET(nombres[],ROWS(nombres[])-1,0,1,1))+1),$O1538:$O1557),3),"")</f>
        <v>405</v>
      </c>
      <c r="IU1538" s="42" t="str">
        <f t="array" aca="1" ref="IU1538" ca="1">IFERROR(INDEX(nombres[],SMALL(IF(OFFSET(nombres[],0,0,ROWS(nombres[]),1)=IU$1490,ROW(OFFSET(nombres[],0,0,ROWS(nombres[]),1))-ROW(OFFSET(nombres[],0,0,1,1))+1,ROW(OFFSET(nombres[],ROWS(nombres[])-1,0,1,1))+1),$O1538:$O1557),3),"")</f>
        <v/>
      </c>
      <c r="IV1538" s="42" t="str">
        <f t="array" aca="1" ref="IV1538" ca="1">IFERROR(INDEX(nombres[],SMALL(IF(OFFSET(nombres[],0,0,ROWS(nombres[]),1)=IV$1490,ROW(OFFSET(nombres[],0,0,ROWS(nombres[]),1))-ROW(OFFSET(nombres[],0,0,1,1))+1,ROW(OFFSET(nombres[],ROWS(nombres[])-1,0,1,1))+1),$O1538:$O1557),3),"")</f>
        <v/>
      </c>
      <c r="IW1538" s="42" t="str">
        <f t="array" aca="1" ref="IW1538" ca="1">IFERROR(INDEX(nombres[],SMALL(IF(OFFSET(nombres[],0,0,ROWS(nombres[]),1)=IW$1490,ROW(OFFSET(nombres[],0,0,ROWS(nombres[]),1))-ROW(OFFSET(nombres[],0,0,1,1))+1,ROW(OFFSET(nombres[],ROWS(nombres[])-1,0,1,1))+1),$O1538:$O1557),3),"")</f>
        <v/>
      </c>
      <c r="IX1538" s="42" t="str">
        <f t="array" aca="1" ref="IX1538" ca="1">IFERROR(INDEX(nombres[],SMALL(IF(OFFSET(nombres[],0,0,ROWS(nombres[]),1)=IX$1490,ROW(OFFSET(nombres[],0,0,ROWS(nombres[]),1))-ROW(OFFSET(nombres[],0,0,1,1))+1,ROW(OFFSET(nombres[],ROWS(nombres[])-1,0,1,1))+1),$O1538:$O1557),3),"")</f>
        <v/>
      </c>
      <c r="IY1538" s="42" t="str">
        <f t="array" aca="1" ref="IY1538" ca="1">IFERROR(INDEX(nombres[],SMALL(IF(OFFSET(nombres[],0,0,ROWS(nombres[]),1)=IY$1490,ROW(OFFSET(nombres[],0,0,ROWS(nombres[]),1))-ROW(OFFSET(nombres[],0,0,1,1))+1,ROW(OFFSET(nombres[],ROWS(nombres[])-1,0,1,1))+1),$O1538:$O1557),3),"")</f>
        <v/>
      </c>
      <c r="IZ1538" s="42">
        <f t="array" aca="1" ref="IZ1538" ca="1">IFERROR(INDEX(nombres[],SMALL(IF(OFFSET(nombres[],0,0,ROWS(nombres[]),1)=IZ$1490,ROW(OFFSET(nombres[],0,0,ROWS(nombres[]),1))-ROW(OFFSET(nombres[],0,0,1,1))+1,ROW(OFFSET(nombres[],ROWS(nombres[])-1,0,1,1))+1),$O1538:$O1557),3),"")</f>
        <v>578</v>
      </c>
      <c r="JA1538" s="42" t="str">
        <f t="array" aca="1" ref="JA1538" ca="1">IFERROR(INDEX(nombres[],SMALL(IF(OFFSET(nombres[],0,0,ROWS(nombres[]),1)=JA$1490,ROW(OFFSET(nombres[],0,0,ROWS(nombres[]),1))-ROW(OFFSET(nombres[],0,0,1,1))+1,ROW(OFFSET(nombres[],ROWS(nombres[])-1,0,1,1))+1),$O1538:$O1557),3),"")</f>
        <v/>
      </c>
      <c r="JB1538" s="42">
        <f t="array" aca="1" ref="JB1538" ca="1">IFERROR(INDEX(nombres[],SMALL(IF(OFFSET(nombres[],0,0,ROWS(nombres[]),1)=JB$1490,ROW(OFFSET(nombres[],0,0,ROWS(nombres[]),1))-ROW(OFFSET(nombres[],0,0,1,1))+1,ROW(OFFSET(nombres[],ROWS(nombres[])-1,0,1,1))+1),$O1538:$O1557),3),"")</f>
        <v>434</v>
      </c>
      <c r="JC1538" s="42" t="str">
        <f t="array" aca="1" ref="JC1538" ca="1">IFERROR(INDEX(nombres[],SMALL(IF(OFFSET(nombres[],0,0,ROWS(nombres[]),1)=JC$1490,ROW(OFFSET(nombres[],0,0,ROWS(nombres[]),1))-ROW(OFFSET(nombres[],0,0,1,1))+1,ROW(OFFSET(nombres[],ROWS(nombres[])-1,0,1,1))+1),$O1538:$O1557),3),"")</f>
        <v/>
      </c>
      <c r="JD1538" s="42" t="str">
        <f t="array" aca="1" ref="JD1538" ca="1">IFERROR(INDEX(nombres[],SMALL(IF(OFFSET(nombres[],0,0,ROWS(nombres[]),1)=JD$1490,ROW(OFFSET(nombres[],0,0,ROWS(nombres[]),1))-ROW(OFFSET(nombres[],0,0,1,1))+1,ROW(OFFSET(nombres[],ROWS(nombres[])-1,0,1,1))+1),$O1538:$O1557),3),"")</f>
        <v/>
      </c>
      <c r="JE1538" s="42" t="str">
        <f t="array" aca="1" ref="JE1538" ca="1">IFERROR(INDEX(nombres[],SMALL(IF(OFFSET(nombres[],0,0,ROWS(nombres[]),1)=JE$1490,ROW(OFFSET(nombres[],0,0,ROWS(nombres[]),1))-ROW(OFFSET(nombres[],0,0,1,1))+1,ROW(OFFSET(nombres[],ROWS(nombres[])-1,0,1,1))+1),$O1538:$O1557),3),"")</f>
        <v/>
      </c>
      <c r="JF1538" s="42" t="str">
        <f t="array" aca="1" ref="JF1538" ca="1">IFERROR(INDEX(nombres[],SMALL(IF(OFFSET(nombres[],0,0,ROWS(nombres[]),1)=JF$1490,ROW(OFFSET(nombres[],0,0,ROWS(nombres[]),1))-ROW(OFFSET(nombres[],0,0,1,1))+1,ROW(OFFSET(nombres[],ROWS(nombres[])-1,0,1,1))+1),$O1538:$O1557),3),"")</f>
        <v/>
      </c>
      <c r="JG1538" s="42">
        <f t="array" aca="1" ref="JG1538" ca="1">IFERROR(INDEX(nombres[],SMALL(IF(OFFSET(nombres[],0,0,ROWS(nombres[]),1)=JG$1490,ROW(OFFSET(nombres[],0,0,ROWS(nombres[]),1))-ROW(OFFSET(nombres[],0,0,1,1))+1,ROW(OFFSET(nombres[],ROWS(nombres[])-1,0,1,1))+1),$O1538:$O1557),3),"")</f>
        <v>608</v>
      </c>
      <c r="JH1538" s="42">
        <f t="array" aca="1" ref="JH1538" ca="1">IFERROR(INDEX(nombres[],SMALL(IF(OFFSET(nombres[],0,0,ROWS(nombres[]),1)=JH$1490,ROW(OFFSET(nombres[],0,0,ROWS(nombres[]),1))-ROW(OFFSET(nombres[],0,0,1,1))+1,ROW(OFFSET(nombres[],ROWS(nombres[])-1,0,1,1))+1),$O1538:$O1557),3),"")</f>
        <v>648</v>
      </c>
      <c r="JI1538" s="42" t="str">
        <f t="array" aca="1" ref="JI1538" ca="1">IFERROR(INDEX(nombres[],SMALL(IF(OFFSET(nombres[],0,0,ROWS(nombres[]),1)=JI$1490,ROW(OFFSET(nombres[],0,0,ROWS(nombres[]),1))-ROW(OFFSET(nombres[],0,0,1,1))+1,ROW(OFFSET(nombres[],ROWS(nombres[])-1,0,1,1))+1),$O1538:$O1557),3),"")</f>
        <v/>
      </c>
      <c r="JJ1538" s="42" t="str">
        <f t="array" aca="1" ref="JJ1538" ca="1">IFERROR(INDEX(nombres[],SMALL(IF(OFFSET(nombres[],0,0,ROWS(nombres[]),1)=JJ$1490,ROW(OFFSET(nombres[],0,0,ROWS(nombres[]),1))-ROW(OFFSET(nombres[],0,0,1,1))+1,ROW(OFFSET(nombres[],ROWS(nombres[])-1,0,1,1))+1),$O1538:$O1557),3),"")</f>
        <v/>
      </c>
      <c r="JK1538" s="42" t="str">
        <f t="array" aca="1" ref="JK1538" ca="1">IFERROR(INDEX(nombres[],SMALL(IF(OFFSET(nombres[],0,0,ROWS(nombres[]),1)=JK$1490,ROW(OFFSET(nombres[],0,0,ROWS(nombres[]),1))-ROW(OFFSET(nombres[],0,0,1,1))+1,ROW(OFFSET(nombres[],ROWS(nombres[])-1,0,1,1))+1),$O1538:$O1557),3),"")</f>
        <v/>
      </c>
      <c r="JL1538" s="42" t="str">
        <f t="array" aca="1" ref="JL1538" ca="1">IFERROR(INDEX(nombres[],SMALL(IF(OFFSET(nombres[],0,0,ROWS(nombres[]),1)=JL$1490,ROW(OFFSET(nombres[],0,0,ROWS(nombres[]),1))-ROW(OFFSET(nombres[],0,0,1,1))+1,ROW(OFFSET(nombres[],ROWS(nombres[])-1,0,1,1))+1),$O1538:$O1557),3),"")</f>
        <v/>
      </c>
      <c r="JM1538" s="42" t="str">
        <f t="array" aca="1" ref="JM1538" ca="1">IFERROR(INDEX(nombres[],SMALL(IF(OFFSET(nombres[],0,0,ROWS(nombres[]),1)=JM$1490,ROW(OFFSET(nombres[],0,0,ROWS(nombres[]),1))-ROW(OFFSET(nombres[],0,0,1,1))+1,ROW(OFFSET(nombres[],ROWS(nombres[])-1,0,1,1))+1),$O1538:$O1557),3),"")</f>
        <v/>
      </c>
      <c r="JN1538" s="42">
        <f t="array" aca="1" ref="JN1538" ca="1">IFERROR(INDEX(nombres[],SMALL(IF(OFFSET(nombres[],0,0,ROWS(nombres[]),1)=JN$1490,ROW(OFFSET(nombres[],0,0,ROWS(nombres[]),1))-ROW(OFFSET(nombres[],0,0,1,1))+1,ROW(OFFSET(nombres[],ROWS(nombres[])-1,0,1,1))+1),$O1538:$O1557),3),"")</f>
        <v>442</v>
      </c>
      <c r="JO1538" s="42" t="str">
        <f t="array" aca="1" ref="JO1538" ca="1">IFERROR(INDEX(nombres[],SMALL(IF(OFFSET(nombres[],0,0,ROWS(nombres[]),1)=JO$1490,ROW(OFFSET(nombres[],0,0,ROWS(nombres[]),1))-ROW(OFFSET(nombres[],0,0,1,1))+1,ROW(OFFSET(nombres[],ROWS(nombres[])-1,0,1,1))+1),$O1538:$O1557),3),"")</f>
        <v/>
      </c>
      <c r="JP1538" s="42">
        <f t="array" aca="1" ref="JP1538" ca="1">IFERROR(INDEX(nombres[],SMALL(IF(OFFSET(nombres[],0,0,ROWS(nombres[]),1)=JP$1490,ROW(OFFSET(nombres[],0,0,ROWS(nombres[]),1))-ROW(OFFSET(nombres[],0,0,1,1))+1,ROW(OFFSET(nombres[],ROWS(nombres[])-1,0,1,1))+1),$O1538:$O1557),3),"")</f>
        <v>573</v>
      </c>
      <c r="JQ1538" s="42">
        <f t="array" aca="1" ref="JQ1538" ca="1">IFERROR(INDEX(nombres[],SMALL(IF(OFFSET(nombres[],0,0,ROWS(nombres[]),1)=JQ$1490,ROW(OFFSET(nombres[],0,0,ROWS(nombres[]),1))-ROW(OFFSET(nombres[],0,0,1,1))+1,ROW(OFFSET(nombres[],ROWS(nombres[])-1,0,1,1))+1),$O1538:$O1557),3),"")</f>
        <v>587</v>
      </c>
      <c r="JR1538" s="42" t="str">
        <f t="array" aca="1" ref="JR1538" ca="1">IFERROR(INDEX(nombres[],SMALL(IF(OFFSET(nombres[],0,0,ROWS(nombres[]),1)=JR$1490,ROW(OFFSET(nombres[],0,0,ROWS(nombres[]),1))-ROW(OFFSET(nombres[],0,0,1,1))+1,ROW(OFFSET(nombres[],ROWS(nombres[])-1,0,1,1))+1),$O1538:$O1557),3),"")</f>
        <v/>
      </c>
      <c r="JS1538" s="42">
        <f t="array" aca="1" ref="JS1538" ca="1">IFERROR(INDEX(nombres[],SMALL(IF(OFFSET(nombres[],0,0,ROWS(nombres[]),1)=JS$1490,ROW(OFFSET(nombres[],0,0,ROWS(nombres[]),1))-ROW(OFFSET(nombres[],0,0,1,1))+1,ROW(OFFSET(nombres[],ROWS(nombres[])-1,0,1,1))+1),$O1538:$O1557),3),"")</f>
        <v>567</v>
      </c>
      <c r="JT1538" s="42" t="str">
        <f t="array" aca="1" ref="JT1538" ca="1">IFERROR(INDEX(nombres[],SMALL(IF(OFFSET(nombres[],0,0,ROWS(nombres[]),1)=JT$1490,ROW(OFFSET(nombres[],0,0,ROWS(nombres[]),1))-ROW(OFFSET(nombres[],0,0,1,1))+1,ROW(OFFSET(nombres[],ROWS(nombres[])-1,0,1,1))+1),$O1538:$O1557),3),"")</f>
        <v/>
      </c>
      <c r="JU1538" s="42" t="str">
        <f t="array" aca="1" ref="JU1538" ca="1">IFERROR(INDEX(nombres[],SMALL(IF(OFFSET(nombres[],0,0,ROWS(nombres[]),1)=JU$1490,ROW(OFFSET(nombres[],0,0,ROWS(nombres[]),1))-ROW(OFFSET(nombres[],0,0,1,1))+1,ROW(OFFSET(nombres[],ROWS(nombres[])-1,0,1,1))+1),$O1538:$O1557),3),"")</f>
        <v/>
      </c>
      <c r="JV1538" s="42">
        <f t="array" aca="1" ref="JV1538" ca="1">IFERROR(INDEX(nombres[],SMALL(IF(OFFSET(nombres[],0,0,ROWS(nombres[]),1)=JV$1490,ROW(OFFSET(nombres[],0,0,ROWS(nombres[]),1))-ROW(OFFSET(nombres[],0,0,1,1))+1,ROW(OFFSET(nombres[],ROWS(nombres[])-1,0,1,1))+1),$O1538:$O1557),3),"")</f>
        <v>597</v>
      </c>
      <c r="JW1538" s="42" t="str">
        <f t="array" aca="1" ref="JW1538" ca="1">IFERROR(INDEX(nombres[],SMALL(IF(OFFSET(nombres[],0,0,ROWS(nombres[]),1)=JW$1490,ROW(OFFSET(nombres[],0,0,ROWS(nombres[]),1))-ROW(OFFSET(nombres[],0,0,1,1))+1,ROW(OFFSET(nombres[],ROWS(nombres[])-1,0,1,1))+1),$O1538:$O1557),3),"")</f>
        <v/>
      </c>
      <c r="JX1538" s="42" t="str">
        <f t="array" aca="1" ref="JX1538" ca="1">IFERROR(INDEX(nombres[],SMALL(IF(OFFSET(nombres[],0,0,ROWS(nombres[]),1)=JX$1490,ROW(OFFSET(nombres[],0,0,ROWS(nombres[]),1))-ROW(OFFSET(nombres[],0,0,1,1))+1,ROW(OFFSET(nombres[],ROWS(nombres[])-1,0,1,1))+1),$O1538:$O1557),3),"")</f>
        <v/>
      </c>
      <c r="JY1538" s="42">
        <f t="array" aca="1" ref="JY1538" ca="1">IFERROR(INDEX(nombres[],SMALL(IF(OFFSET(nombres[],0,0,ROWS(nombres[]),1)=JY$1490,ROW(OFFSET(nombres[],0,0,ROWS(nombres[]),1))-ROW(OFFSET(nombres[],0,0,1,1))+1,ROW(OFFSET(nombres[],ROWS(nombres[])-1,0,1,1))+1),$O1538:$O1557),3),"")</f>
        <v>594</v>
      </c>
      <c r="JZ1538" s="42">
        <f t="array" aca="1" ref="JZ1538" ca="1">IFERROR(INDEX(nombres[],SMALL(IF(OFFSET(nombres[],0,0,ROWS(nombres[]),1)=JZ$1490,ROW(OFFSET(nombres[],0,0,ROWS(nombres[]),1))-ROW(OFFSET(nombres[],0,0,1,1))+1,ROW(OFFSET(nombres[],ROWS(nombres[])-1,0,1,1))+1),$O1538:$O1557),3),"")</f>
        <v>570</v>
      </c>
      <c r="KA1538" s="42" t="str">
        <f t="array" aca="1" ref="KA1538" ca="1">IFERROR(INDEX(nombres[],SMALL(IF(OFFSET(nombres[],0,0,ROWS(nombres[]),1)=KA$1490,ROW(OFFSET(nombres[],0,0,ROWS(nombres[]),1))-ROW(OFFSET(nombres[],0,0,1,1))+1,ROW(OFFSET(nombres[],ROWS(nombres[])-1,0,1,1))+1),$O1538:$O1557),3),"")</f>
        <v/>
      </c>
      <c r="KB1538" s="42">
        <f t="array" aca="1" ref="KB1538" ca="1">IFERROR(INDEX(nombres[],SMALL(IF(OFFSET(nombres[],0,0,ROWS(nombres[]),1)=KB$1490,ROW(OFFSET(nombres[],0,0,ROWS(nombres[]),1))-ROW(OFFSET(nombres[],0,0,1,1))+1,ROW(OFFSET(nombres[],ROWS(nombres[])-1,0,1,1))+1),$O1538:$O1557),3),"")</f>
        <v>604</v>
      </c>
      <c r="KC1538" s="42">
        <f t="array" aca="1" ref="KC1538" ca="1">IFERROR(INDEX(nombres[],SMALL(IF(OFFSET(nombres[],0,0,ROWS(nombres[]),1)=KC$1490,ROW(OFFSET(nombres[],0,0,ROWS(nombres[]),1))-ROW(OFFSET(nombres[],0,0,1,1))+1,ROW(OFFSET(nombres[],ROWS(nombres[])-1,0,1,1))+1),$O1538:$O1557),3),"")</f>
        <v>600</v>
      </c>
      <c r="KD1538" s="42" t="str">
        <f t="array" aca="1" ref="KD1538" ca="1">IFERROR(INDEX(nombres[],SMALL(IF(OFFSET(nombres[],0,0,ROWS(nombres[]),1)=KD$1490,ROW(OFFSET(nombres[],0,0,ROWS(nombres[]),1))-ROW(OFFSET(nombres[],0,0,1,1))+1,ROW(OFFSET(nombres[],ROWS(nombres[])-1,0,1,1))+1),$O1538:$O1557),3),"")</f>
        <v/>
      </c>
      <c r="KE1538" s="42">
        <f t="array" aca="1" ref="KE1538" ca="1">IFERROR(INDEX(nombres[],SMALL(IF(OFFSET(nombres[],0,0,ROWS(nombres[]),1)=KE$1490,ROW(OFFSET(nombres[],0,0,ROWS(nombres[]),1))-ROW(OFFSET(nombres[],0,0,1,1))+1,ROW(OFFSET(nombres[],ROWS(nombres[])-1,0,1,1))+1),$O1538:$O1557),3),"")</f>
        <v>581</v>
      </c>
      <c r="KF1538" s="42">
        <f t="array" aca="1" ref="KF1538" ca="1">IFERROR(INDEX(nombres[],SMALL(IF(OFFSET(nombres[],0,0,ROWS(nombres[]),1)=KF$1490,ROW(OFFSET(nombres[],0,0,ROWS(nombres[]),1))-ROW(OFFSET(nombres[],0,0,1,1))+1,ROW(OFFSET(nombres[],ROWS(nombres[])-1,0,1,1))+1),$O1538:$O1557),3),"")</f>
        <v>439</v>
      </c>
      <c r="KG1538" s="42" t="str">
        <f t="array" aca="1" ref="KG1538" ca="1">IFERROR(INDEX(nombres[],SMALL(IF(OFFSET(nombres[],0,0,ROWS(nombres[]),1)=KG$1490,ROW(OFFSET(nombres[],0,0,ROWS(nombres[]),1))-ROW(OFFSET(nombres[],0,0,1,1))+1,ROW(OFFSET(nombres[],ROWS(nombres[])-1,0,1,1))+1),$O1538:$O1557),3),"")</f>
        <v/>
      </c>
      <c r="KH1538" s="42">
        <f t="array" aca="1" ref="KH1538" ca="1">IFERROR(INDEX(nombres[],SMALL(IF(OFFSET(nombres[],0,0,ROWS(nombres[]),1)=KH$1490,ROW(OFFSET(nombres[],0,0,ROWS(nombres[]),1))-ROW(OFFSET(nombres[],0,0,1,1))+1,ROW(OFFSET(nombres[],ROWS(nombres[])-1,0,1,1))+1),$O1538:$O1557),3),"")</f>
        <v>457</v>
      </c>
      <c r="KI1538" s="42">
        <f t="array" aca="1" ref="KI1538" ca="1">IFERROR(INDEX(nombres[],SMALL(IF(OFFSET(nombres[],0,0,ROWS(nombres[]),1)=KI$1490,ROW(OFFSET(nombres[],0,0,ROWS(nombres[]),1))-ROW(OFFSET(nombres[],0,0,1,1))+1,ROW(OFFSET(nombres[],ROWS(nombres[])-1,0,1,1))+1),$O1538:$O1557),3),"")</f>
        <v>448</v>
      </c>
      <c r="KJ1538" s="42">
        <f t="array" aca="1" ref="KJ1538" ca="1">IFERROR(INDEX(nombres[],SMALL(IF(OFFSET(nombres[],0,0,ROWS(nombres[]),1)=KJ$1490,ROW(OFFSET(nombres[],0,0,ROWS(nombres[]),1))-ROW(OFFSET(nombres[],0,0,1,1))+1,ROW(OFFSET(nombres[],ROWS(nombres[])-1,0,1,1))+1),$O1538:$O1557),3),"")</f>
        <v>98</v>
      </c>
      <c r="KK1538" s="42">
        <f t="array" aca="1" ref="KK1538" ca="1">IFERROR(INDEX(nombres[],SMALL(IF(OFFSET(nombres[],0,0,ROWS(nombres[]),1)=KK$1490,ROW(OFFSET(nombres[],0,0,ROWS(nombres[]),1))-ROW(OFFSET(nombres[],0,0,1,1))+1,ROW(OFFSET(nombres[],ROWS(nombres[])-1,0,1,1))+1),$O1538:$O1557),3),"")</f>
        <v>455</v>
      </c>
      <c r="KL1538" s="42" t="str">
        <f t="array" aca="1" ref="KL1538" ca="1">IFERROR(INDEX(nombres[],SMALL(IF(OFFSET(nombres[],0,0,ROWS(nombres[]),1)=KL$1490,ROW(OFFSET(nombres[],0,0,ROWS(nombres[]),1))-ROW(OFFSET(nombres[],0,0,1,1))+1,ROW(OFFSET(nombres[],ROWS(nombres[])-1,0,1,1))+1),$O1538:$O1557),3),"")</f>
        <v/>
      </c>
      <c r="KM1538" s="42" t="str">
        <f t="array" aca="1" ref="KM1538" ca="1">IFERROR(INDEX(nombres[],SMALL(IF(OFFSET(nombres[],0,0,ROWS(nombres[]),1)=KM$1490,ROW(OFFSET(nombres[],0,0,ROWS(nombres[]),1))-ROW(OFFSET(nombres[],0,0,1,1))+1,ROW(OFFSET(nombres[],ROWS(nombres[])-1,0,1,1))+1),$O1538:$O1557),3),"")</f>
        <v/>
      </c>
      <c r="KN1538" s="42">
        <f t="array" aca="1" ref="KN1538" ca="1">IFERROR(INDEX(nombres[],SMALL(IF(OFFSET(nombres[],0,0,ROWS(nombres[]),1)=KN$1490,ROW(OFFSET(nombres[],0,0,ROWS(nombres[]),1))-ROW(OFFSET(nombres[],0,0,1,1))+1,ROW(OFFSET(nombres[],ROWS(nombres[])-1,0,1,1))+1),$O1538:$O1557),3),"")</f>
        <v>444</v>
      </c>
      <c r="KO1538" s="42" t="str">
        <f t="array" aca="1" ref="KO1538" ca="1">IFERROR(INDEX(nombres[],SMALL(IF(OFFSET(nombres[],0,0,ROWS(nombres[]),1)=KO$1490,ROW(OFFSET(nombres[],0,0,ROWS(nombres[]),1))-ROW(OFFSET(nombres[],0,0,1,1))+1,ROW(OFFSET(nombres[],ROWS(nombres[])-1,0,1,1))+1),$O1538:$O1557),3),"")</f>
        <v/>
      </c>
      <c r="KP1538" s="42">
        <f t="array" aca="1" ref="KP1538" ca="1">IFERROR(INDEX(nombres[],SMALL(IF(OFFSET(nombres[],0,0,ROWS(nombres[]),1)=KP$1490,ROW(OFFSET(nombres[],0,0,ROWS(nombres[]),1))-ROW(OFFSET(nombres[],0,0,1,1))+1,ROW(OFFSET(nombres[],ROWS(nombres[])-1,0,1,1))+1),$O1538:$O1557),3),"")</f>
        <v>452</v>
      </c>
      <c r="KQ1538" s="42" t="str">
        <f t="array" aca="1" ref="KQ1538" ca="1">IFERROR(INDEX(nombres[],SMALL(IF(OFFSET(nombres[],0,0,ROWS(nombres[]),1)=KQ$1490,ROW(OFFSET(nombres[],0,0,ROWS(nombres[]),1))-ROW(OFFSET(nombres[],0,0,1,1))+1,ROW(OFFSET(nombres[],ROWS(nombres[])-1,0,1,1))+1),$O1538:$O1557),3),"")</f>
        <v/>
      </c>
      <c r="KR1538" s="42">
        <f t="array" aca="1" ref="KR1538" ca="1">IFERROR(INDEX(nombres[],SMALL(IF(OFFSET(nombres[],0,0,ROWS(nombres[]),1)=KR$1490,ROW(OFFSET(nombres[],0,0,ROWS(nombres[]),1))-ROW(OFFSET(nombres[],0,0,1,1))+1,ROW(OFFSET(nombres[],ROWS(nombres[])-1,0,1,1))+1),$O1538:$O1557),3),"")</f>
        <v>656</v>
      </c>
      <c r="KS1538" s="42" t="str">
        <f t="array" aca="1" ref="KS1538" ca="1">IFERROR(INDEX(nombres[],SMALL(IF(OFFSET(nombres[],0,0,ROWS(nombres[]),1)=KS$1490,ROW(OFFSET(nombres[],0,0,ROWS(nombres[]),1))-ROW(OFFSET(nombres[],0,0,1,1))+1,ROW(OFFSET(nombres[],ROWS(nombres[])-1,0,1,1))+1),$O1538:$O1557),3),"")</f>
        <v/>
      </c>
      <c r="KT1538" s="42">
        <f t="array" aca="1" ref="KT1538" ca="1">IFERROR(INDEX(nombres[],SMALL(IF(OFFSET(nombres[],0,0,ROWS(nombres[]),1)=KT$1490,ROW(OFFSET(nombres[],0,0,ROWS(nombres[]),1))-ROW(OFFSET(nombres[],0,0,1,1))+1,ROW(OFFSET(nombres[],ROWS(nombres[])-1,0,1,1))+1),$O1538:$O1557),3),"")</f>
        <v>462</v>
      </c>
      <c r="KU1538" s="42">
        <f t="array" aca="1" ref="KU1538" ca="1">IFERROR(INDEX(nombres[],SMALL(IF(OFFSET(nombres[],0,0,ROWS(nombres[]),1)=KU$1490,ROW(OFFSET(nombres[],0,0,ROWS(nombres[]),1))-ROW(OFFSET(nombres[],0,0,1,1))+1,ROW(OFFSET(nombres[],ROWS(nombres[])-1,0,1,1))+1),$O1538:$O1557),3),"")</f>
        <v>465</v>
      </c>
      <c r="KV1538" s="42">
        <f t="array" aca="1" ref="KV1538" ca="1">IFERROR(INDEX(nombres[],SMALL(IF(OFFSET(nombres[],0,0,ROWS(nombres[]),1)=KV$1490,ROW(OFFSET(nombres[],0,0,ROWS(nombres[]),1))-ROW(OFFSET(nombres[],0,0,1,1))+1,ROW(OFFSET(nombres[],ROWS(nombres[])-1,0,1,1))+1),$O1538:$O1557),3),"")</f>
        <v>621</v>
      </c>
      <c r="KW1538" s="42">
        <f t="array" aca="1" ref="KW1538" ca="1">IFERROR(INDEX(nombres[],SMALL(IF(OFFSET(nombres[],0,0,ROWS(nombres[]),1)=KW$1490,ROW(OFFSET(nombres[],0,0,ROWS(nombres[]),1))-ROW(OFFSET(nombres[],0,0,1,1))+1,ROW(OFFSET(nombres[],ROWS(nombres[])-1,0,1,1))+1),$O1538:$O1557),3),"")</f>
        <v>476</v>
      </c>
      <c r="KX1538" s="42">
        <f t="array" aca="1" ref="KX1538" ca="1">IFERROR(INDEX(nombres[],SMALL(IF(OFFSET(nombres[],0,0,ROWS(nombres[]),1)=KX$1490,ROW(OFFSET(nombres[],0,0,ROWS(nombres[]),1))-ROW(OFFSET(nombres[],0,0,1,1))+1,ROW(OFFSET(nombres[],ROWS(nombres[])-1,0,1,1))+1),$O1538:$O1557),3),"")</f>
        <v>623</v>
      </c>
      <c r="KY1538" s="42">
        <f t="array" aca="1" ref="KY1538" ca="1">IFERROR(INDEX(nombres[],SMALL(IF(OFFSET(nombres[],0,0,ROWS(nombres[]),1)=KY$1490,ROW(OFFSET(nombres[],0,0,ROWS(nombres[]),1))-ROW(OFFSET(nombres[],0,0,1,1))+1,ROW(OFFSET(nombres[],ROWS(nombres[])-1,0,1,1))+1),$O1538:$O1557),3),"")</f>
        <v>501</v>
      </c>
      <c r="KZ1538" s="42">
        <f t="array" aca="1" ref="KZ1538" ca="1">IFERROR(INDEX(nombres[],SMALL(IF(OFFSET(nombres[],0,0,ROWS(nombres[]),1)=KZ$1490,ROW(OFFSET(nombres[],0,0,ROWS(nombres[]),1))-ROW(OFFSET(nombres[],0,0,1,1))+1,ROW(OFFSET(nombres[],ROWS(nombres[])-1,0,1,1))+1),$O1538:$O1557),3),"")</f>
        <v>518</v>
      </c>
      <c r="LA1538" s="42" t="str">
        <f t="array" aca="1" ref="LA1538" ca="1">IFERROR(INDEX(nombres[],SMALL(IF(OFFSET(nombres[],0,0,ROWS(nombres[]),1)=LA$1490,ROW(OFFSET(nombres[],0,0,ROWS(nombres[]),1))-ROW(OFFSET(nombres[],0,0,1,1))+1,ROW(OFFSET(nombres[],ROWS(nombres[])-1,0,1,1))+1),$O1538:$O1557),3),"")</f>
        <v/>
      </c>
      <c r="LB1538" s="42">
        <f t="array" aca="1" ref="LB1538" ca="1">IFERROR(INDEX(nombres[],SMALL(IF(OFFSET(nombres[],0,0,ROWS(nombres[]),1)=LB$1490,ROW(OFFSET(nombres[],0,0,ROWS(nombres[]),1))-ROW(OFFSET(nombres[],0,0,1,1))+1,ROW(OFFSET(nombres[],ROWS(nombres[])-1,0,1,1))+1),$O1538:$O1557),3),"")</f>
        <v>497</v>
      </c>
      <c r="LC1538" s="42" t="str">
        <f t="array" aca="1" ref="LC1538" ca="1">IFERROR(INDEX(nombres[],SMALL(IF(OFFSET(nombres[],0,0,ROWS(nombres[]),1)=LC$1490,ROW(OFFSET(nombres[],0,0,ROWS(nombres[]),1))-ROW(OFFSET(nombres[],0,0,1,1))+1,ROW(OFFSET(nombres[],ROWS(nombres[])-1,0,1,1))+1),$O1538:$O1557),3),"")</f>
        <v/>
      </c>
      <c r="LD1538" s="42" t="str">
        <f t="array" aca="1" ref="LD1538" ca="1">IFERROR(INDEX(nombres[],SMALL(IF(OFFSET(nombres[],0,0,ROWS(nombres[]),1)=LD$1490,ROW(OFFSET(nombres[],0,0,ROWS(nombres[]),1))-ROW(OFFSET(nombres[],0,0,1,1))+1,ROW(OFFSET(nombres[],ROWS(nombres[])-1,0,1,1))+1),$O1538:$O1557),3),"")</f>
        <v/>
      </c>
      <c r="LE1538" s="42">
        <f t="array" aca="1" ref="LE1538" ca="1">IFERROR(INDEX(nombres[],SMALL(IF(OFFSET(nombres[],0,0,ROWS(nombres[]),1)=LE$1490,ROW(OFFSET(nombres[],0,0,ROWS(nombres[]),1))-ROW(OFFSET(nombres[],0,0,1,1))+1,ROW(OFFSET(nombres[],ROWS(nombres[])-1,0,1,1))+1),$O1538:$O1557),3),"")</f>
        <v>525</v>
      </c>
      <c r="LF1538" s="42" t="str">
        <f t="array" aca="1" ref="LF1538" ca="1">IFERROR(INDEX(nombres[],SMALL(IF(OFFSET(nombres[],0,0,ROWS(nombres[]),1)=LF$1490,ROW(OFFSET(nombres[],0,0,ROWS(nombres[]),1))-ROW(OFFSET(nombres[],0,0,1,1))+1,ROW(OFFSET(nombres[],ROWS(nombres[])-1,0,1,1))+1),$O1538:$O1557),3),"")</f>
        <v/>
      </c>
      <c r="LG1538" s="42">
        <f t="array" aca="1" ref="LG1538" ca="1">IFERROR(INDEX(nombres[],SMALL(IF(OFFSET(nombres[],0,0,ROWS(nombres[]),1)=LG$1490,ROW(OFFSET(nombres[],0,0,ROWS(nombres[]),1))-ROW(OFFSET(nombres[],0,0,1,1))+1,ROW(OFFSET(nombres[],ROWS(nombres[])-1,0,1,1))+1),$O1538:$O1557),3),"")</f>
        <v>510</v>
      </c>
      <c r="LH1538" s="42">
        <f t="array" aca="1" ref="LH1538" ca="1">IFERROR(INDEX(nombres[],SMALL(IF(OFFSET(nombres[],0,0,ROWS(nombres[]),1)=LH$1490,ROW(OFFSET(nombres[],0,0,ROWS(nombres[]),1))-ROW(OFFSET(nombres[],0,0,1,1))+1,ROW(OFFSET(nombres[],ROWS(nombres[])-1,0,1,1))+1),$O1538:$O1557),3),"")</f>
        <v>513</v>
      </c>
      <c r="LI1538" s="42">
        <f t="array" aca="1" ref="LI1538" ca="1">IFERROR(INDEX(nombres[],SMALL(IF(OFFSET(nombres[],0,0,ROWS(nombres[]),1)=LI$1490,ROW(OFFSET(nombres[],0,0,ROWS(nombres[]),1))-ROW(OFFSET(nombres[],0,0,1,1))+1,ROW(OFFSET(nombres[],ROWS(nombres[])-1,0,1,1))+1),$O1538:$O1557),3),"")</f>
        <v>490</v>
      </c>
      <c r="LJ1538" s="42" t="str">
        <f t="array" aca="1" ref="LJ1538" ca="1">IFERROR(INDEX(nombres[],SMALL(IF(OFFSET(nombres[],0,0,ROWS(nombres[]),1)=LJ$1490,ROW(OFFSET(nombres[],0,0,ROWS(nombres[]),1))-ROW(OFFSET(nombres[],0,0,1,1))+1,ROW(OFFSET(nombres[],ROWS(nombres[])-1,0,1,1))+1),$O1538:$O1557),3),"")</f>
        <v/>
      </c>
      <c r="LK1538" s="42">
        <f t="array" aca="1" ref="LK1538" ca="1">IFERROR(INDEX(nombres[],SMALL(IF(OFFSET(nombres[],0,0,ROWS(nombres[]),1)=LK$1490,ROW(OFFSET(nombres[],0,0,ROWS(nombres[]),1))-ROW(OFFSET(nombres[],0,0,1,1))+1,ROW(OFFSET(nombres[],ROWS(nombres[])-1,0,1,1))+1),$O1538:$O1557),3),"")</f>
        <v>485</v>
      </c>
      <c r="LL1538" s="42" t="str">
        <f t="array" aca="1" ref="LL1538" ca="1">IFERROR(INDEX(nombres[],SMALL(IF(OFFSET(nombres[],0,0,ROWS(nombres[]),1)=LL$1490,ROW(OFFSET(nombres[],0,0,ROWS(nombres[]),1))-ROW(OFFSET(nombres[],0,0,1,1))+1,ROW(OFFSET(nombres[],ROWS(nombres[])-1,0,1,1))+1),$O1538:$O1557),3),"")</f>
        <v/>
      </c>
      <c r="LM1538" s="42">
        <f t="array" aca="1" ref="LM1538" ca="1">IFERROR(INDEX(nombres[],SMALL(IF(OFFSET(nombres[],0,0,ROWS(nombres[]),1)=LM$1490,ROW(OFFSET(nombres[],0,0,ROWS(nombres[]),1))-ROW(OFFSET(nombres[],0,0,1,1))+1,ROW(OFFSET(nombres[],ROWS(nombres[])-1,0,1,1))+1),$O1538:$O1557),3),"")</f>
        <v>528</v>
      </c>
      <c r="LN1538" s="42">
        <f t="array" aca="1" ref="LN1538" ca="1">IFERROR(INDEX(nombres[],SMALL(IF(OFFSET(nombres[],0,0,ROWS(nombres[]),1)=LN$1490,ROW(OFFSET(nombres[],0,0,ROWS(nombres[]),1))-ROW(OFFSET(nombres[],0,0,1,1))+1,ROW(OFFSET(nombres[],ROWS(nombres[])-1,0,1,1))+1),$O1538:$O1557),3),"")</f>
        <v>504</v>
      </c>
      <c r="LO1538" s="42">
        <f t="array" aca="1" ref="LO1538" ca="1">IFERROR(INDEX(nombres[],SMALL(IF(OFFSET(nombres[],0,0,ROWS(nombres[]),1)=LO$1490,ROW(OFFSET(nombres[],0,0,ROWS(nombres[]),1))-ROW(OFFSET(nombres[],0,0,1,1))+1,ROW(OFFSET(nombres[],ROWS(nombres[])-1,0,1,1))+1),$O1538:$O1557),3),"")</f>
        <v>483</v>
      </c>
      <c r="LP1538" s="42" t="str">
        <f t="array" aca="1" ref="LP1538" ca="1">IFERROR(INDEX(nombres[],SMALL(IF(OFFSET(nombres[],0,0,ROWS(nombres[]),1)=LP$1490,ROW(OFFSET(nombres[],0,0,ROWS(nombres[]),1))-ROW(OFFSET(nombres[],0,0,1,1))+1,ROW(OFFSET(nombres[],ROWS(nombres[])-1,0,1,1))+1),$O1538:$O1557),3),"")</f>
        <v/>
      </c>
      <c r="LQ1538" s="42">
        <f t="array" aca="1" ref="LQ1538" ca="1">IFERROR(INDEX(nombres[],SMALL(IF(OFFSET(nombres[],0,0,ROWS(nombres[]),1)=LQ$1490,ROW(OFFSET(nombres[],0,0,ROWS(nombres[]),1))-ROW(OFFSET(nombres[],0,0,1,1))+1,ROW(OFFSET(nombres[],ROWS(nombres[])-1,0,1,1))+1),$O1538:$O1557),3),"")</f>
        <v>480</v>
      </c>
      <c r="LR1538" s="42" t="str">
        <f t="array" aca="1" ref="LR1538" ca="1">IFERROR(INDEX(nombres[],SMALL(IF(OFFSET(nombres[],0,0,ROWS(nombres[]),1)=LR$1490,ROW(OFFSET(nombres[],0,0,ROWS(nombres[]),1))-ROW(OFFSET(nombres[],0,0,1,1))+1,ROW(OFFSET(nombres[],ROWS(nombres[])-1,0,1,1))+1),$O1538:$O1557),3),"")</f>
        <v/>
      </c>
      <c r="LS1538" s="42">
        <f t="array" aca="1" ref="LS1538" ca="1">IFERROR(INDEX(nombres[],SMALL(IF(OFFSET(nombres[],0,0,ROWS(nombres[]),1)=LS$1490,ROW(OFFSET(nombres[],0,0,ROWS(nombres[]),1))-ROW(OFFSET(nombres[],0,0,1,1))+1,ROW(OFFSET(nombres[],ROWS(nombres[])-1,0,1,1))+1),$O1538:$O1557),3),"")</f>
        <v>533</v>
      </c>
      <c r="LT1538" s="42" t="str">
        <f t="array" aca="1" ref="LT1538" ca="1">IFERROR(INDEX(nombres[],SMALL(IF(OFFSET(nombres[],0,0,ROWS(nombres[]),1)=LT$1490,ROW(OFFSET(nombres[],0,0,ROWS(nombres[]),1))-ROW(OFFSET(nombres[],0,0,1,1))+1,ROW(OFFSET(nombres[],ROWS(nombres[])-1,0,1,1))+1),$O1538:$O1557),3),"")</f>
        <v/>
      </c>
      <c r="LU1538" s="42">
        <f t="array" aca="1" ref="LU1538" ca="1">IFERROR(INDEX(nombres[],SMALL(IF(OFFSET(nombres[],0,0,ROWS(nombres[]),1)=LU$1490,ROW(OFFSET(nombres[],0,0,ROWS(nombres[]),1))-ROW(OFFSET(nombres[],0,0,1,1))+1,ROW(OFFSET(nombres[],ROWS(nombres[])-1,0,1,1))+1),$O1538:$O1557),3),"")</f>
        <v>540</v>
      </c>
      <c r="LV1538" s="42" t="str">
        <f t="array" aca="1" ref="LV1538" ca="1">IFERROR(INDEX(nombres[],SMALL(IF(OFFSET(nombres[],0,0,ROWS(nombres[]),1)=LV$1490,ROW(OFFSET(nombres[],0,0,ROWS(nombres[]),1))-ROW(OFFSET(nombres[],0,0,1,1))+1,ROW(OFFSET(nombres[],ROWS(nombres[])-1,0,1,1))+1),$O1538:$O1557),3),"")</f>
        <v/>
      </c>
      <c r="LW1538" s="42" t="str">
        <f t="array" aca="1" ref="LW1538" ca="1">IFERROR(INDEX(nombres[],SMALL(IF(OFFSET(nombres[],0,0,ROWS(nombres[]),1)=LW$1490,ROW(OFFSET(nombres[],0,0,ROWS(nombres[]),1))-ROW(OFFSET(nombres[],0,0,1,1))+1,ROW(OFFSET(nombres[],ROWS(nombres[])-1,0,1,1))+1),$O1538:$O1557),3),"")</f>
        <v/>
      </c>
      <c r="LX1538" s="42">
        <f t="array" aca="1" ref="LX1538" ca="1">IFERROR(INDEX(nombres[],SMALL(IF(OFFSET(nombres[],0,0,ROWS(nombres[]),1)=LX$1490,ROW(OFFSET(nombres[],0,0,ROWS(nombres[]),1))-ROW(OFFSET(nombres[],0,0,1,1))+1,ROW(OFFSET(nombres[],ROWS(nombres[])-1,0,1,1))+1),$O1538:$O1557),3),"")</f>
        <v>537</v>
      </c>
      <c r="LY1538" s="42" t="str">
        <f t="array" aca="1" ref="LY1538" ca="1">IFERROR(INDEX(nombres[],SMALL(IF(OFFSET(nombres[],0,0,ROWS(nombres[]),1)=LY$1490,ROW(OFFSET(nombres[],0,0,ROWS(nombres[]),1))-ROW(OFFSET(nombres[],0,0,1,1))+1,ROW(OFFSET(nombres[],ROWS(nombres[])-1,0,1,1))+1),$O1538:$O1557),3),"")</f>
        <v/>
      </c>
      <c r="LZ1538" s="42" t="str">
        <f t="array" aca="1" ref="LZ1538" ca="1">IFERROR(INDEX(nombres[],SMALL(IF(OFFSET(nombres[],0,0,ROWS(nombres[]),1)=LZ$1490,ROW(OFFSET(nombres[],0,0,ROWS(nombres[]),1))-ROW(OFFSET(nombres[],0,0,1,1))+1,ROW(OFFSET(nombres[],ROWS(nombres[])-1,0,1,1))+1),$O1538:$O1557),3),"")</f>
        <v/>
      </c>
      <c r="MA1538" s="42" t="str">
        <f t="array" aca="1" ref="MA1538" ca="1">IFERROR(INDEX(nombres[],SMALL(IF(OFFSET(nombres[],0,0,ROWS(nombres[]),1)=MA$1490,ROW(OFFSET(nombres[],0,0,ROWS(nombres[]),1))-ROW(OFFSET(nombres[],0,0,1,1))+1,ROW(OFFSET(nombres[],ROWS(nombres[])-1,0,1,1))+1),$O1538:$O1557),3),"")</f>
        <v/>
      </c>
      <c r="MB1538" s="42" t="str">
        <f t="array" aca="1" ref="MB1538" ca="1">IFERROR(INDEX(nombres[],SMALL(IF(OFFSET(nombres[],0,0,ROWS(nombres[]),1)=MB$1490,ROW(OFFSET(nombres[],0,0,ROWS(nombres[]),1))-ROW(OFFSET(nombres[],0,0,1,1))+1,ROW(OFFSET(nombres[],ROWS(nombres[])-1,0,1,1))+1),$O1538:$O1557),3),"")</f>
        <v/>
      </c>
      <c r="MC1538" s="42" t="str">
        <f t="array" aca="1" ref="MC1538" ca="1">IFERROR(INDEX(nombres[],SMALL(IF(OFFSET(nombres[],0,0,ROWS(nombres[]),1)=MC$1490,ROW(OFFSET(nombres[],0,0,ROWS(nombres[]),1))-ROW(OFFSET(nombres[],0,0,1,1))+1,ROW(OFFSET(nombres[],ROWS(nombres[])-1,0,1,1))+1),$O1538:$O1557),3),"")</f>
        <v/>
      </c>
      <c r="MD1538" s="42" t="str">
        <f t="array" aca="1" ref="MD1538" ca="1">IFERROR(INDEX(nombres[],SMALL(IF(OFFSET(nombres[],0,0,ROWS(nombres[]),1)=MD$1490,ROW(OFFSET(nombres[],0,0,ROWS(nombres[]),1))-ROW(OFFSET(nombres[],0,0,1,1))+1,ROW(OFFSET(nombres[],ROWS(nombres[])-1,0,1,1))+1),$O1538:$O1557),3),"")</f>
        <v/>
      </c>
      <c r="ME1538" s="42" t="str">
        <f t="array" aca="1" ref="ME1538" ca="1">IFERROR(INDEX(nombres[],SMALL(IF(OFFSET(nombres[],0,0,ROWS(nombres[]),1)=ME$1490,ROW(OFFSET(nombres[],0,0,ROWS(nombres[]),1))-ROW(OFFSET(nombres[],0,0,1,1))+1,ROW(OFFSET(nombres[],ROWS(nombres[])-1,0,1,1))+1),$O1538:$O1557),3),"")</f>
        <v/>
      </c>
      <c r="MF1538" s="42" t="str">
        <f t="array" aca="1" ref="MF1538" ca="1">IFERROR(INDEX(nombres[],SMALL(IF(OFFSET(nombres[],0,0,ROWS(nombres[]),1)=MF$1490,ROW(OFFSET(nombres[],0,0,ROWS(nombres[]),1))-ROW(OFFSET(nombres[],0,0,1,1))+1,ROW(OFFSET(nombres[],ROWS(nombres[])-1,0,1,1))+1),$O1538:$O1557),3),"")</f>
        <v/>
      </c>
      <c r="MG1538" s="42" t="str">
        <f t="array" aca="1" ref="MG1538" ca="1">IFERROR(INDEX(nombres[],SMALL(IF(OFFSET(nombres[],0,0,ROWS(nombres[]),1)=MG$1490,ROW(OFFSET(nombres[],0,0,ROWS(nombres[]),1))-ROW(OFFSET(nombres[],0,0,1,1))+1,ROW(OFFSET(nombres[],ROWS(nombres[])-1,0,1,1))+1),$O1538:$O1557),3),"")</f>
        <v/>
      </c>
      <c r="MH1538" s="42" t="str">
        <f t="array" aca="1" ref="MH1538" ca="1">IFERROR(INDEX(nombres[],SMALL(IF(OFFSET(nombres[],0,0,ROWS(nombres[]),1)=MH$1490,ROW(OFFSET(nombres[],0,0,ROWS(nombres[]),1))-ROW(OFFSET(nombres[],0,0,1,1))+1,ROW(OFFSET(nombres[],ROWS(nombres[])-1,0,1,1))+1),$O1538:$O1557),3),"")</f>
        <v/>
      </c>
      <c r="MI1538" s="42" t="str">
        <f t="array" aca="1" ref="MI1538" ca="1">IFERROR(INDEX(nombres[],SMALL(IF(OFFSET(nombres[],0,0,ROWS(nombres[]),1)=MI$1490,ROW(OFFSET(nombres[],0,0,ROWS(nombres[]),1))-ROW(OFFSET(nombres[],0,0,1,1))+1,ROW(OFFSET(nombres[],ROWS(nombres[])-1,0,1,1))+1),$O1538:$O1557),3),"")</f>
        <v/>
      </c>
      <c r="MJ1538" s="42" t="str">
        <f t="array" aca="1" ref="MJ1538" ca="1">IFERROR(INDEX(nombres[],SMALL(IF(OFFSET(nombres[],0,0,ROWS(nombres[]),1)=MJ$1490,ROW(OFFSET(nombres[],0,0,ROWS(nombres[]),1))-ROW(OFFSET(nombres[],0,0,1,1))+1,ROW(OFFSET(nombres[],ROWS(nombres[])-1,0,1,1))+1),$O1538:$O1557),3),"")</f>
        <v/>
      </c>
      <c r="MK1538" s="42" t="str">
        <f t="array" aca="1" ref="MK1538" ca="1">IFERROR(INDEX(nombres[],SMALL(IF(OFFSET(nombres[],0,0,ROWS(nombres[]),1)=MK$1490,ROW(OFFSET(nombres[],0,0,ROWS(nombres[]),1))-ROW(OFFSET(nombres[],0,0,1,1))+1,ROW(OFFSET(nombres[],ROWS(nombres[])-1,0,1,1))+1),$O1538:$O1557),3),"")</f>
        <v/>
      </c>
      <c r="ML1538" s="42" t="str">
        <f t="array" aca="1" ref="ML1538" ca="1">IFERROR(INDEX(nombres[],SMALL(IF(OFFSET(nombres[],0,0,ROWS(nombres[]),1)=ML$1490,ROW(OFFSET(nombres[],0,0,ROWS(nombres[]),1))-ROW(OFFSET(nombres[],0,0,1,1))+1,ROW(OFFSET(nombres[],ROWS(nombres[])-1,0,1,1))+1),$O1538:$O1557),3),"")</f>
        <v/>
      </c>
      <c r="MM1538" s="42" t="str">
        <f t="array" aca="1" ref="MM1538" ca="1">IFERROR(INDEX(nombres[],SMALL(IF(OFFSET(nombres[],0,0,ROWS(nombres[]),1)=MM$1490,ROW(OFFSET(nombres[],0,0,ROWS(nombres[]),1))-ROW(OFFSET(nombres[],0,0,1,1))+1,ROW(OFFSET(nombres[],ROWS(nombres[])-1,0,1,1))+1),$O1538:$O1557),3),"")</f>
        <v/>
      </c>
      <c r="MN1538" s="42" t="str">
        <f t="array" aca="1" ref="MN1538" ca="1">IFERROR(INDEX(nombres[],SMALL(IF(OFFSET(nombres[],0,0,ROWS(nombres[]),1)=MN$1490,ROW(OFFSET(nombres[],0,0,ROWS(nombres[]),1))-ROW(OFFSET(nombres[],0,0,1,1))+1,ROW(OFFSET(nombres[],ROWS(nombres[])-1,0,1,1))+1),$O1538:$O1557),3),"")</f>
        <v/>
      </c>
      <c r="MO1538" s="42" t="str">
        <f t="array" aca="1" ref="MO1538" ca="1">IFERROR(INDEX(nombres[],SMALL(IF(OFFSET(nombres[],0,0,ROWS(nombres[]),1)=MO$1490,ROW(OFFSET(nombres[],0,0,ROWS(nombres[]),1))-ROW(OFFSET(nombres[],0,0,1,1))+1,ROW(OFFSET(nombres[],ROWS(nombres[])-1,0,1,1))+1),$O1538:$O1557),3),"")</f>
        <v/>
      </c>
      <c r="MP1538" s="42" t="str">
        <f t="array" aca="1" ref="MP1538" ca="1">IFERROR(INDEX(nombres[],SMALL(IF(OFFSET(nombres[],0,0,ROWS(nombres[]),1)=MP$1490,ROW(OFFSET(nombres[],0,0,ROWS(nombres[]),1))-ROW(OFFSET(nombres[],0,0,1,1))+1,ROW(OFFSET(nombres[],ROWS(nombres[])-1,0,1,1))+1),$O1538:$O1557),3),"")</f>
        <v/>
      </c>
      <c r="MQ1538" s="42" t="str">
        <f t="array" aca="1" ref="MQ1538" ca="1">IFERROR(INDEX(nombres[],SMALL(IF(OFFSET(nombres[],0,0,ROWS(nombres[]),1)=MQ$1490,ROW(OFFSET(nombres[],0,0,ROWS(nombres[]),1))-ROW(OFFSET(nombres[],0,0,1,1))+1,ROW(OFFSET(nombres[],ROWS(nombres[])-1,0,1,1))+1),$O1538:$O1557),3),"")</f>
        <v/>
      </c>
      <c r="MR1538" s="42" t="str">
        <f t="array" aca="1" ref="MR1538" ca="1">IFERROR(INDEX(nombres[],SMALL(IF(OFFSET(nombres[],0,0,ROWS(nombres[]),1)=MR$1490,ROW(OFFSET(nombres[],0,0,ROWS(nombres[]),1))-ROW(OFFSET(nombres[],0,0,1,1))+1,ROW(OFFSET(nombres[],ROWS(nombres[])-1,0,1,1))+1),$O1538:$O1557),3),"")</f>
        <v/>
      </c>
      <c r="MS1538" s="42" t="str">
        <f t="array" aca="1" ref="MS1538" ca="1">IFERROR(INDEX(nombres[],SMALL(IF(OFFSET(nombres[],0,0,ROWS(nombres[]),1)=MS$1490,ROW(OFFSET(nombres[],0,0,ROWS(nombres[]),1))-ROW(OFFSET(nombres[],0,0,1,1))+1,ROW(OFFSET(nombres[],ROWS(nombres[])-1,0,1,1))+1),$O1538:$O1557),3),"")</f>
        <v/>
      </c>
      <c r="MT1538" s="42" t="str">
        <f t="array" aca="1" ref="MT1538" ca="1">IFERROR(INDEX(nombres[],SMALL(IF(OFFSET(nombres[],0,0,ROWS(nombres[]),1)=MT$1490,ROW(OFFSET(nombres[],0,0,ROWS(nombres[]),1))-ROW(OFFSET(nombres[],0,0,1,1))+1,ROW(OFFSET(nombres[],ROWS(nombres[])-1,0,1,1))+1),$O1538:$O1557),3),"")</f>
        <v/>
      </c>
      <c r="MU1538" s="42" t="str">
        <f t="array" aca="1" ref="MU1538" ca="1">IFERROR(INDEX(nombres[],SMALL(IF(OFFSET(nombres[],0,0,ROWS(nombres[]),1)=MU$1490,ROW(OFFSET(nombres[],0,0,ROWS(nombres[]),1))-ROW(OFFSET(nombres[],0,0,1,1))+1,ROW(OFFSET(nombres[],ROWS(nombres[])-1,0,1,1))+1),$O1538:$O1557),3),"")</f>
        <v/>
      </c>
      <c r="MV1538" s="42" t="str">
        <f t="array" aca="1" ref="MV1538" ca="1">IFERROR(INDEX(nombres[],SMALL(IF(OFFSET(nombres[],0,0,ROWS(nombres[]),1)=MV$1490,ROW(OFFSET(nombres[],0,0,ROWS(nombres[]),1))-ROW(OFFSET(nombres[],0,0,1,1))+1,ROW(OFFSET(nombres[],ROWS(nombres[])-1,0,1,1))+1),$O1538:$O1557),3),"")</f>
        <v/>
      </c>
      <c r="MW1538" s="42" t="str">
        <f t="array" aca="1" ref="MW1538" ca="1">IFERROR(INDEX(nombres[],SMALL(IF(OFFSET(nombres[],0,0,ROWS(nombres[]),1)=MW$1490,ROW(OFFSET(nombres[],0,0,ROWS(nombres[]),1))-ROW(OFFSET(nombres[],0,0,1,1))+1,ROW(OFFSET(nombres[],ROWS(nombres[])-1,0,1,1))+1),$O1538:$O1557),3),"")</f>
        <v/>
      </c>
      <c r="MX1538" s="42" t="str">
        <f t="array" aca="1" ref="MX1538" ca="1">IFERROR(INDEX(nombres[],SMALL(IF(OFFSET(nombres[],0,0,ROWS(nombres[]),1)=MX$1490,ROW(OFFSET(nombres[],0,0,ROWS(nombres[]),1))-ROW(OFFSET(nombres[],0,0,1,1))+1,ROW(OFFSET(nombres[],ROWS(nombres[])-1,0,1,1))+1),$O1538:$O1557),3),"")</f>
        <v/>
      </c>
      <c r="MY1538" s="42" t="str">
        <f t="array" aca="1" ref="MY1538" ca="1">IFERROR(INDEX(nombres[],SMALL(IF(OFFSET(nombres[],0,0,ROWS(nombres[]),1)=MY$1490,ROW(OFFSET(nombres[],0,0,ROWS(nombres[]),1))-ROW(OFFSET(nombres[],0,0,1,1))+1,ROW(OFFSET(nombres[],ROWS(nombres[])-1,0,1,1))+1),$O1538:$O1557),3),"")</f>
        <v/>
      </c>
      <c r="MZ1538" s="42" t="str">
        <f t="array" aca="1" ref="MZ1538" ca="1">IFERROR(INDEX(nombres[],SMALL(IF(OFFSET(nombres[],0,0,ROWS(nombres[]),1)=MZ$1490,ROW(OFFSET(nombres[],0,0,ROWS(nombres[]),1))-ROW(OFFSET(nombres[],0,0,1,1))+1,ROW(OFFSET(nombres[],ROWS(nombres[])-1,0,1,1))+1),$O1538:$O1557),3),"")</f>
        <v/>
      </c>
      <c r="NA1538" s="42" t="str">
        <f t="array" aca="1" ref="NA1538" ca="1">IFERROR(INDEX(nombres[],SMALL(IF(OFFSET(nombres[],0,0,ROWS(nombres[]),1)=NA$1490,ROW(OFFSET(nombres[],0,0,ROWS(nombres[]),1))-ROW(OFFSET(nombres[],0,0,1,1))+1,ROW(OFFSET(nombres[],ROWS(nombres[])-1,0,1,1))+1),$O1538:$O1557),3),"")</f>
        <v/>
      </c>
      <c r="NB1538" s="42" t="str">
        <f t="array" aca="1" ref="NB1538" ca="1">IFERROR(INDEX(nombres[],SMALL(IF(OFFSET(nombres[],0,0,ROWS(nombres[]),1)=NB$1490,ROW(OFFSET(nombres[],0,0,ROWS(nombres[]),1))-ROW(OFFSET(nombres[],0,0,1,1))+1,ROW(OFFSET(nombres[],ROWS(nombres[])-1,0,1,1))+1),$O1538:$O1557),3),"")</f>
        <v/>
      </c>
      <c r="NC1538" s="42" t="str">
        <f t="array" aca="1" ref="NC1538" ca="1">IFERROR(INDEX(nombres[],SMALL(IF(OFFSET(nombres[],0,0,ROWS(nombres[]),1)=NC$1490,ROW(OFFSET(nombres[],0,0,ROWS(nombres[]),1))-ROW(OFFSET(nombres[],0,0,1,1))+1,ROW(OFFSET(nombres[],ROWS(nombres[])-1,0,1,1))+1),$O1538:$O1557),3),"")</f>
        <v/>
      </c>
      <c r="ND1538" s="42" t="str">
        <f t="array" aca="1" ref="ND1538" ca="1">IFERROR(INDEX(nombres[],SMALL(IF(OFFSET(nombres[],0,0,ROWS(nombres[]),1)=ND$1490,ROW(OFFSET(nombres[],0,0,ROWS(nombres[]),1))-ROW(OFFSET(nombres[],0,0,1,1))+1,ROW(OFFSET(nombres[],ROWS(nombres[])-1,0,1,1))+1),$O1538:$O1557),3),"")</f>
        <v/>
      </c>
      <c r="NE1538" s="42" t="str">
        <f t="array" aca="1" ref="NE1538" ca="1">IFERROR(INDEX(nombres[],SMALL(IF(OFFSET(nombres[],0,0,ROWS(nombres[]),1)=NE$1490,ROW(OFFSET(nombres[],0,0,ROWS(nombres[]),1))-ROW(OFFSET(nombres[],0,0,1,1))+1,ROW(OFFSET(nombres[],ROWS(nombres[])-1,0,1,1))+1),$O1538:$O1557),3),"")</f>
        <v/>
      </c>
      <c r="NF1538" s="42" t="str">
        <f t="array" aca="1" ref="NF1538" ca="1">IFERROR(INDEX(nombres[],SMALL(IF(OFFSET(nombres[],0,0,ROWS(nombres[]),1)=NF$1490,ROW(OFFSET(nombres[],0,0,ROWS(nombres[]),1))-ROW(OFFSET(nombres[],0,0,1,1))+1,ROW(OFFSET(nombres[],ROWS(nombres[])-1,0,1,1))+1),$O1538:$O1557),3),"")</f>
        <v/>
      </c>
      <c r="NG1538" s="42" t="str">
        <f t="array" aca="1" ref="NG1538" ca="1">IFERROR(INDEX(nombres[],SMALL(IF(OFFSET(nombres[],0,0,ROWS(nombres[]),1)=NG$1490,ROW(OFFSET(nombres[],0,0,ROWS(nombres[]),1))-ROW(OFFSET(nombres[],0,0,1,1))+1,ROW(OFFSET(nombres[],ROWS(nombres[])-1,0,1,1))+1),$O1538:$O1557),3),"")</f>
        <v/>
      </c>
      <c r="NH1538" s="42" t="str">
        <f t="array" aca="1" ref="NH1538" ca="1">IFERROR(INDEX(nombres[],SMALL(IF(OFFSET(nombres[],0,0,ROWS(nombres[]),1)=NH$1490,ROW(OFFSET(nombres[],0,0,ROWS(nombres[]),1))-ROW(OFFSET(nombres[],0,0,1,1))+1,ROW(OFFSET(nombres[],ROWS(nombres[])-1,0,1,1))+1),$O1538:$O1557),3),"")</f>
        <v/>
      </c>
      <c r="NI1538" s="42" t="str">
        <f t="array" aca="1" ref="NI1538" ca="1">IFERROR(INDEX(nombres[],SMALL(IF(OFFSET(nombres[],0,0,ROWS(nombres[]),1)=NI$1490,ROW(OFFSET(nombres[],0,0,ROWS(nombres[]),1))-ROW(OFFSET(nombres[],0,0,1,1))+1,ROW(OFFSET(nombres[],ROWS(nombres[])-1,0,1,1))+1),$O1538:$O1557),3),"")</f>
        <v/>
      </c>
      <c r="NJ1538" s="42" t="str">
        <f t="array" aca="1" ref="NJ1538" ca="1">IFERROR(INDEX(nombres[],SMALL(IF(OFFSET(nombres[],0,0,ROWS(nombres[]),1)=NJ$1490,ROW(OFFSET(nombres[],0,0,ROWS(nombres[]),1))-ROW(OFFSET(nombres[],0,0,1,1))+1,ROW(OFFSET(nombres[],ROWS(nombres[])-1,0,1,1))+1),$O1538:$O1557),3),"")</f>
        <v/>
      </c>
      <c r="NK1538" s="42" t="str">
        <f t="array" aca="1" ref="NK1538" ca="1">IFERROR(INDEX(nombres[],SMALL(IF(OFFSET(nombres[],0,0,ROWS(nombres[]),1)=NK$1490,ROW(OFFSET(nombres[],0,0,ROWS(nombres[]),1))-ROW(OFFSET(nombres[],0,0,1,1))+1,ROW(OFFSET(nombres[],ROWS(nombres[])-1,0,1,1))+1),$O1538:$O1557),3),"")</f>
        <v/>
      </c>
      <c r="NL1538" s="42" t="str">
        <f t="array" aca="1" ref="NL1538" ca="1">IFERROR(INDEX(nombres[],SMALL(IF(OFFSET(nombres[],0,0,ROWS(nombres[]),1)=NL$1490,ROW(OFFSET(nombres[],0,0,ROWS(nombres[]),1))-ROW(OFFSET(nombres[],0,0,1,1))+1,ROW(OFFSET(nombres[],ROWS(nombres[])-1,0,1,1))+1),$O1538:$O1557),3),"")</f>
        <v/>
      </c>
      <c r="NM1538" s="42" t="str">
        <f t="array" aca="1" ref="NM1538" ca="1">IFERROR(INDEX(nombres[],SMALL(IF(OFFSET(nombres[],0,0,ROWS(nombres[]),1)=NM$1490,ROW(OFFSET(nombres[],0,0,ROWS(nombres[]),1))-ROW(OFFSET(nombres[],0,0,1,1))+1,ROW(OFFSET(nombres[],ROWS(nombres[])-1,0,1,1))+1),$O1538:$O1557),3),"")</f>
        <v/>
      </c>
      <c r="NN1538" s="42" t="str">
        <f t="array" aca="1" ref="NN1538" ca="1">IFERROR(INDEX(nombres[],SMALL(IF(OFFSET(nombres[],0,0,ROWS(nombres[]),1)=NN$1490,ROW(OFFSET(nombres[],0,0,ROWS(nombres[]),1))-ROW(OFFSET(nombres[],0,0,1,1))+1,ROW(OFFSET(nombres[],ROWS(nombres[])-1,0,1,1))+1),$O1538:$O1557),3),"")</f>
        <v/>
      </c>
      <c r="NO1538" s="42" t="str">
        <f t="array" aca="1" ref="NO1538" ca="1">IFERROR(INDEX(nombres[],SMALL(IF(OFFSET(nombres[],0,0,ROWS(nombres[]),1)=NO$1490,ROW(OFFSET(nombres[],0,0,ROWS(nombres[]),1))-ROW(OFFSET(nombres[],0,0,1,1))+1,ROW(OFFSET(nombres[],ROWS(nombres[])-1,0,1,1))+1),$O1538:$O1557),3),"")</f>
        <v/>
      </c>
      <c r="NP1538" s="42" t="str">
        <f t="array" aca="1" ref="NP1538" ca="1">IFERROR(INDEX(nombres[],SMALL(IF(OFFSET(nombres[],0,0,ROWS(nombres[]),1)=NP$1490,ROW(OFFSET(nombres[],0,0,ROWS(nombres[]),1))-ROW(OFFSET(nombres[],0,0,1,1))+1,ROW(OFFSET(nombres[],ROWS(nombres[])-1,0,1,1))+1),$O1538:$O1557),3),"")</f>
        <v/>
      </c>
      <c r="NQ1538" s="42" t="str">
        <f t="array" aca="1" ref="NQ1538" ca="1">IFERROR(INDEX(nombres[],SMALL(IF(OFFSET(nombres[],0,0,ROWS(nombres[]),1)=NQ$1490,ROW(OFFSET(nombres[],0,0,ROWS(nombres[]),1))-ROW(OFFSET(nombres[],0,0,1,1))+1,ROW(OFFSET(nombres[],ROWS(nombres[])-1,0,1,1))+1),$O1538:$O1557),3),"")</f>
        <v/>
      </c>
      <c r="NR1538" s="42" t="str">
        <f t="array" aca="1" ref="NR1538" ca="1">IFERROR(INDEX(nombres[],SMALL(IF(OFFSET(nombres[],0,0,ROWS(nombres[]),1)=NR$1490,ROW(OFFSET(nombres[],0,0,ROWS(nombres[]),1))-ROW(OFFSET(nombres[],0,0,1,1))+1,ROW(OFFSET(nombres[],ROWS(nombres[])-1,0,1,1))+1),$O1538:$O1557),3),"")</f>
        <v/>
      </c>
      <c r="NS1538" s="42" t="str">
        <f t="array" aca="1" ref="NS1538" ca="1">IFERROR(INDEX(nombres[],SMALL(IF(OFFSET(nombres[],0,0,ROWS(nombres[]),1)=NS$1490,ROW(OFFSET(nombres[],0,0,ROWS(nombres[]),1))-ROW(OFFSET(nombres[],0,0,1,1))+1,ROW(OFFSET(nombres[],ROWS(nombres[])-1,0,1,1))+1),$O1538:$O1557),3),"")</f>
        <v/>
      </c>
      <c r="NT1538" s="42" t="str">
        <f t="array" aca="1" ref="NT1538" ca="1">IFERROR(INDEX(nombres[],SMALL(IF(OFFSET(nombres[],0,0,ROWS(nombres[]),1)=NT$1490,ROW(OFFSET(nombres[],0,0,ROWS(nombres[]),1))-ROW(OFFSET(nombres[],0,0,1,1))+1,ROW(OFFSET(nombres[],ROWS(nombres[])-1,0,1,1))+1),$O1538:$O1557),3),"")</f>
        <v/>
      </c>
      <c r="NU1538" s="42" t="str">
        <f t="array" aca="1" ref="NU1538" ca="1">IFERROR(INDEX(nombres[],SMALL(IF(OFFSET(nombres[],0,0,ROWS(nombres[]),1)=NU$1490,ROW(OFFSET(nombres[],0,0,ROWS(nombres[]),1))-ROW(OFFSET(nombres[],0,0,1,1))+1,ROW(OFFSET(nombres[],ROWS(nombres[])-1,0,1,1))+1),$O1538:$O1557),3),"")</f>
        <v/>
      </c>
      <c r="NV1538" s="42" t="str">
        <f t="array" aca="1" ref="NV1538" ca="1">IFERROR(INDEX(nombres[],SMALL(IF(OFFSET(nombres[],0,0,ROWS(nombres[]),1)=NV$1490,ROW(OFFSET(nombres[],0,0,ROWS(nombres[]),1))-ROW(OFFSET(nombres[],0,0,1,1))+1,ROW(OFFSET(nombres[],ROWS(nombres[])-1,0,1,1))+1),$O1538:$O1557),3),"")</f>
        <v/>
      </c>
      <c r="NW1538" s="42" t="str">
        <f t="array" aca="1" ref="NW1538" ca="1">IFERROR(INDEX(nombres[],SMALL(IF(OFFSET(nombres[],0,0,ROWS(nombres[]),1)=NW$1490,ROW(OFFSET(nombres[],0,0,ROWS(nombres[]),1))-ROW(OFFSET(nombres[],0,0,1,1))+1,ROW(OFFSET(nombres[],ROWS(nombres[])-1,0,1,1))+1),$O1538:$O1557),3),"")</f>
        <v/>
      </c>
      <c r="NX1538" s="42" t="str">
        <f t="array" aca="1" ref="NX1538" ca="1">IFERROR(INDEX(nombres[],SMALL(IF(OFFSET(nombres[],0,0,ROWS(nombres[]),1)=NX$1490,ROW(OFFSET(nombres[],0,0,ROWS(nombres[]),1))-ROW(OFFSET(nombres[],0,0,1,1))+1,ROW(OFFSET(nombres[],ROWS(nombres[])-1,0,1,1))+1),$O1538:$O1557),3),"")</f>
        <v/>
      </c>
      <c r="NY1538" s="42" t="str">
        <f t="array" aca="1" ref="NY1538" ca="1">IFERROR(INDEX(nombres[],SMALL(IF(OFFSET(nombres[],0,0,ROWS(nombres[]),1)=NY$1490,ROW(OFFSET(nombres[],0,0,ROWS(nombres[]),1))-ROW(OFFSET(nombres[],0,0,1,1))+1,ROW(OFFSET(nombres[],ROWS(nombres[])-1,0,1,1))+1),$O1538:$O1557),3),"")</f>
        <v/>
      </c>
      <c r="NZ1538" s="42" t="str">
        <f t="array" aca="1" ref="NZ1538" ca="1">IFERROR(INDEX(nombres[],SMALL(IF(OFFSET(nombres[],0,0,ROWS(nombres[]),1)=NZ$1490,ROW(OFFSET(nombres[],0,0,ROWS(nombres[]),1))-ROW(OFFSET(nombres[],0,0,1,1))+1,ROW(OFFSET(nombres[],ROWS(nombres[])-1,0,1,1))+1),$O1538:$O1557),3),"")</f>
        <v/>
      </c>
      <c r="OA1538" s="42" t="str">
        <f t="array" aca="1" ref="OA1538" ca="1">IFERROR(INDEX(nombres[],SMALL(IF(OFFSET(nombres[],0,0,ROWS(nombres[]),1)=OA$1490,ROW(OFFSET(nombres[],0,0,ROWS(nombres[]),1))-ROW(OFFSET(nombres[],0,0,1,1))+1,ROW(OFFSET(nombres[],ROWS(nombres[])-1,0,1,1))+1),$O1538:$O1557),3),"")</f>
        <v/>
      </c>
      <c r="OB1538" s="42" t="str">
        <f t="array" aca="1" ref="OB1538" ca="1">IFERROR(INDEX(nombres[],SMALL(IF(OFFSET(nombres[],0,0,ROWS(nombres[]),1)=OB$1490,ROW(OFFSET(nombres[],0,0,ROWS(nombres[]),1))-ROW(OFFSET(nombres[],0,0,1,1))+1,ROW(OFFSET(nombres[],ROWS(nombres[])-1,0,1,1))+1),$O1538:$O1557),3),"")</f>
        <v/>
      </c>
      <c r="OC1538" s="42" t="str">
        <f t="array" aca="1" ref="OC1538" ca="1">IFERROR(INDEX(nombres[],SMALL(IF(OFFSET(nombres[],0,0,ROWS(nombres[]),1)=OC$1490,ROW(OFFSET(nombres[],0,0,ROWS(nombres[]),1))-ROW(OFFSET(nombres[],0,0,1,1))+1,ROW(OFFSET(nombres[],ROWS(nombres[])-1,0,1,1))+1),$O1538:$O1557),3),"")</f>
        <v/>
      </c>
      <c r="OD1538" s="42" t="str">
        <f t="array" aca="1" ref="OD1538" ca="1">IFERROR(INDEX(nombres[],SMALL(IF(OFFSET(nombres[],0,0,ROWS(nombres[]),1)=OD$1490,ROW(OFFSET(nombres[],0,0,ROWS(nombres[]),1))-ROW(OFFSET(nombres[],0,0,1,1))+1,ROW(OFFSET(nombres[],ROWS(nombres[])-1,0,1,1))+1),$O1538:$O1557),3),"")</f>
        <v/>
      </c>
      <c r="OE1538" s="42" t="str">
        <f t="array" aca="1" ref="OE1538" ca="1">IFERROR(INDEX(nombres[],SMALL(IF(OFFSET(nombres[],0,0,ROWS(nombres[]),1)=OE$1490,ROW(OFFSET(nombres[],0,0,ROWS(nombres[]),1))-ROW(OFFSET(nombres[],0,0,1,1))+1,ROW(OFFSET(nombres[],ROWS(nombres[])-1,0,1,1))+1),$O1538:$O1557),3),"")</f>
        <v/>
      </c>
      <c r="OF1538" s="42" t="str">
        <f t="array" aca="1" ref="OF1538" ca="1">IFERROR(INDEX(nombres[],SMALL(IF(OFFSET(nombres[],0,0,ROWS(nombres[]),1)=OF$1490,ROW(OFFSET(nombres[],0,0,ROWS(nombres[]),1))-ROW(OFFSET(nombres[],0,0,1,1))+1,ROW(OFFSET(nombres[],ROWS(nombres[])-1,0,1,1))+1),$O1538:$O1557),3),"")</f>
        <v/>
      </c>
      <c r="OG1538" s="42" t="str">
        <f t="array" aca="1" ref="OG1538" ca="1">IFERROR(INDEX(nombres[],SMALL(IF(OFFSET(nombres[],0,0,ROWS(nombres[]),1)=OG$1490,ROW(OFFSET(nombres[],0,0,ROWS(nombres[]),1))-ROW(OFFSET(nombres[],0,0,1,1))+1,ROW(OFFSET(nombres[],ROWS(nombres[])-1,0,1,1))+1),$O1538:$O1557),3),"")</f>
        <v/>
      </c>
      <c r="OH1538" s="42" t="str">
        <f t="array" aca="1" ref="OH1538" ca="1">IFERROR(INDEX(nombres[],SMALL(IF(OFFSET(nombres[],0,0,ROWS(nombres[]),1)=OH$1490,ROW(OFFSET(nombres[],0,0,ROWS(nombres[]),1))-ROW(OFFSET(nombres[],0,0,1,1))+1,ROW(OFFSET(nombres[],ROWS(nombres[])-1,0,1,1))+1),$O1538:$O1557),3),"")</f>
        <v/>
      </c>
      <c r="OI1538" s="42" t="str">
        <f t="array" aca="1" ref="OI1538" ca="1">IFERROR(INDEX(nombres[],SMALL(IF(OFFSET(nombres[],0,0,ROWS(nombres[]),1)=OI$1490,ROW(OFFSET(nombres[],0,0,ROWS(nombres[]),1))-ROW(OFFSET(nombres[],0,0,1,1))+1,ROW(OFFSET(nombres[],ROWS(nombres[])-1,0,1,1))+1),$O1538:$O1557),3),"")</f>
        <v/>
      </c>
      <c r="OJ1538" s="42" t="str">
        <f t="array" aca="1" ref="OJ1538" ca="1">IFERROR(INDEX(nombres[],SMALL(IF(OFFSET(nombres[],0,0,ROWS(nombres[]),1)=OJ$1490,ROW(OFFSET(nombres[],0,0,ROWS(nombres[]),1))-ROW(OFFSET(nombres[],0,0,1,1))+1,ROW(OFFSET(nombres[],ROWS(nombres[])-1,0,1,1))+1),$O1538:$O1557),3),"")</f>
        <v/>
      </c>
      <c r="OK1538" s="42" t="str">
        <f t="array" aca="1" ref="OK1538" ca="1">IFERROR(INDEX(nombres[],SMALL(IF(OFFSET(nombres[],0,0,ROWS(nombres[]),1)=OK$1490,ROW(OFFSET(nombres[],0,0,ROWS(nombres[]),1))-ROW(OFFSET(nombres[],0,0,1,1))+1,ROW(OFFSET(nombres[],ROWS(nombres[])-1,0,1,1))+1),$O1538:$O1557),3),"")</f>
        <v/>
      </c>
      <c r="OL1538" s="42" t="str">
        <f t="array" aca="1" ref="OL1538" ca="1">IFERROR(INDEX(nombres[],SMALL(IF(OFFSET(nombres[],0,0,ROWS(nombres[]),1)=OL$1490,ROW(OFFSET(nombres[],0,0,ROWS(nombres[]),1))-ROW(OFFSET(nombres[],0,0,1,1))+1,ROW(OFFSET(nombres[],ROWS(nombres[])-1,0,1,1))+1),$O1538:$O1557),3),"")</f>
        <v/>
      </c>
      <c r="OM1538" s="42" t="str">
        <f t="array" aca="1" ref="OM1538" ca="1">IFERROR(INDEX(nombres[],SMALL(IF(OFFSET(nombres[],0,0,ROWS(nombres[]),1)=OM$1490,ROW(OFFSET(nombres[],0,0,ROWS(nombres[]),1))-ROW(OFFSET(nombres[],0,0,1,1))+1,ROW(OFFSET(nombres[],ROWS(nombres[])-1,0,1,1))+1),$O1538:$O1557),3),"")</f>
        <v/>
      </c>
      <c r="ON1538" s="42" t="str">
        <f t="array" aca="1" ref="ON1538" ca="1">IFERROR(INDEX(nombres[],SMALL(IF(OFFSET(nombres[],0,0,ROWS(nombres[]),1)=ON$1490,ROW(OFFSET(nombres[],0,0,ROWS(nombres[]),1))-ROW(OFFSET(nombres[],0,0,1,1))+1,ROW(OFFSET(nombres[],ROWS(nombres[])-1,0,1,1))+1),$O1538:$O1557),3),"")</f>
        <v/>
      </c>
      <c r="OO1538" s="42" t="str">
        <f t="array" aca="1" ref="OO1538" ca="1">IFERROR(INDEX(nombres[],SMALL(IF(OFFSET(nombres[],0,0,ROWS(nombres[]),1)=OO$1490,ROW(OFFSET(nombres[],0,0,ROWS(nombres[]),1))-ROW(OFFSET(nombres[],0,0,1,1))+1,ROW(OFFSET(nombres[],ROWS(nombres[])-1,0,1,1))+1),$O1538:$O1557),3),"")</f>
        <v/>
      </c>
      <c r="OP1538" s="42" t="str">
        <f t="array" aca="1" ref="OP1538" ca="1">IFERROR(INDEX(nombres[],SMALL(IF(OFFSET(nombres[],0,0,ROWS(nombres[]),1)=OP$1490,ROW(OFFSET(nombres[],0,0,ROWS(nombres[]),1))-ROW(OFFSET(nombres[],0,0,1,1))+1,ROW(OFFSET(nombres[],ROWS(nombres[])-1,0,1,1))+1),$O1538:$O1557),3),"")</f>
        <v/>
      </c>
      <c r="OQ1538" s="42" t="str">
        <f t="array" aca="1" ref="OQ1538" ca="1">IFERROR(INDEX(nombres[],SMALL(IF(OFFSET(nombres[],0,0,ROWS(nombres[]),1)=OQ$1490,ROW(OFFSET(nombres[],0,0,ROWS(nombres[]),1))-ROW(OFFSET(nombres[],0,0,1,1))+1,ROW(OFFSET(nombres[],ROWS(nombres[])-1,0,1,1))+1),$O1538:$O1557),3),"")</f>
        <v/>
      </c>
      <c r="OR1538" s="42" t="str">
        <f t="array" aca="1" ref="OR1538" ca="1">IFERROR(INDEX(nombres[],SMALL(IF(OFFSET(nombres[],0,0,ROWS(nombres[]),1)=OR$1490,ROW(OFFSET(nombres[],0,0,ROWS(nombres[]),1))-ROW(OFFSET(nombres[],0,0,1,1))+1,ROW(OFFSET(nombres[],ROWS(nombres[])-1,0,1,1))+1),$O1538:$O1557),3),"")</f>
        <v/>
      </c>
      <c r="OS1538" s="42" t="str">
        <f t="array" aca="1" ref="OS1538" ca="1">IFERROR(INDEX(nombres[],SMALL(IF(OFFSET(nombres[],0,0,ROWS(nombres[]),1)=OS$1490,ROW(OFFSET(nombres[],0,0,ROWS(nombres[]),1))-ROW(OFFSET(nombres[],0,0,1,1))+1,ROW(OFFSET(nombres[],ROWS(nombres[])-1,0,1,1))+1),$O1538:$O1557),3),"")</f>
        <v/>
      </c>
      <c r="OT1538" s="42" t="str">
        <f t="array" aca="1" ref="OT1538" ca="1">IFERROR(INDEX(nombres[],SMALL(IF(OFFSET(nombres[],0,0,ROWS(nombres[]),1)=OT$1490,ROW(OFFSET(nombres[],0,0,ROWS(nombres[]),1))-ROW(OFFSET(nombres[],0,0,1,1))+1,ROW(OFFSET(nombres[],ROWS(nombres[])-1,0,1,1))+1),$O1538:$O1557),3),"")</f>
        <v/>
      </c>
      <c r="OU1538" s="42" t="str">
        <f t="array" aca="1" ref="OU1538" ca="1">IFERROR(INDEX(nombres[],SMALL(IF(OFFSET(nombres[],0,0,ROWS(nombres[]),1)=OU$1490,ROW(OFFSET(nombres[],0,0,ROWS(nombres[]),1))-ROW(OFFSET(nombres[],0,0,1,1))+1,ROW(OFFSET(nombres[],ROWS(nombres[])-1,0,1,1))+1),$O1538:$O1557),3),"")</f>
        <v/>
      </c>
      <c r="OV1538" s="42" t="str">
        <f t="array" aca="1" ref="OV1538" ca="1">IFERROR(INDEX(nombres[],SMALL(IF(OFFSET(nombres[],0,0,ROWS(nombres[]),1)=OV$1490,ROW(OFFSET(nombres[],0,0,ROWS(nombres[]),1))-ROW(OFFSET(nombres[],0,0,1,1))+1,ROW(OFFSET(nombres[],ROWS(nombres[])-1,0,1,1))+1),$O1538:$O1557),3),"")</f>
        <v/>
      </c>
      <c r="OW1538" s="42" t="str">
        <f t="array" aca="1" ref="OW1538" ca="1">IFERROR(INDEX(nombres[],SMALL(IF(OFFSET(nombres[],0,0,ROWS(nombres[]),1)=OW$1490,ROW(OFFSET(nombres[],0,0,ROWS(nombres[]),1))-ROW(OFFSET(nombres[],0,0,1,1))+1,ROW(OFFSET(nombres[],ROWS(nombres[])-1,0,1,1))+1),$O1538:$O1557),3),"")</f>
        <v/>
      </c>
      <c r="OX1538" s="42" t="str">
        <f t="array" aca="1" ref="OX1538" ca="1">IFERROR(INDEX(nombres[],SMALL(IF(OFFSET(nombres[],0,0,ROWS(nombres[]),1)=OX$1490,ROW(OFFSET(nombres[],0,0,ROWS(nombres[]),1))-ROW(OFFSET(nombres[],0,0,1,1))+1,ROW(OFFSET(nombres[],ROWS(nombres[])-1,0,1,1))+1),$O1538:$O1557),3),"")</f>
        <v/>
      </c>
      <c r="OY1538" s="42" t="str">
        <f t="array" aca="1" ref="OY1538" ca="1">IFERROR(INDEX(nombres[],SMALL(IF(OFFSET(nombres[],0,0,ROWS(nombres[]),1)=OY$1490,ROW(OFFSET(nombres[],0,0,ROWS(nombres[]),1))-ROW(OFFSET(nombres[],0,0,1,1))+1,ROW(OFFSET(nombres[],ROWS(nombres[])-1,0,1,1))+1),$O1538:$O1557),3),"")</f>
        <v/>
      </c>
      <c r="OZ1538" s="42" t="str">
        <f t="array" aca="1" ref="OZ1538" ca="1">IFERROR(INDEX(nombres[],SMALL(IF(OFFSET(nombres[],0,0,ROWS(nombres[]),1)=OZ$1490,ROW(OFFSET(nombres[],0,0,ROWS(nombres[]),1))-ROW(OFFSET(nombres[],0,0,1,1))+1,ROW(OFFSET(nombres[],ROWS(nombres[])-1,0,1,1))+1),$O1538:$O1557),3),"")</f>
        <v/>
      </c>
      <c r="PA1538" s="42" t="str">
        <f t="array" aca="1" ref="PA1538" ca="1">IFERROR(INDEX(nombres[],SMALL(IF(OFFSET(nombres[],0,0,ROWS(nombres[]),1)=PA$1490,ROW(OFFSET(nombres[],0,0,ROWS(nombres[]),1))-ROW(OFFSET(nombres[],0,0,1,1))+1,ROW(OFFSET(nombres[],ROWS(nombres[])-1,0,1,1))+1),$O1538:$O1557),3),"")</f>
        <v/>
      </c>
      <c r="PB1538" s="42" t="str">
        <f t="array" aca="1" ref="PB1538" ca="1">IFERROR(INDEX(nombres[],SMALL(IF(OFFSET(nombres[],0,0,ROWS(nombres[]),1)=PB$1490,ROW(OFFSET(nombres[],0,0,ROWS(nombres[]),1))-ROW(OFFSET(nombres[],0,0,1,1))+1,ROW(OFFSET(nombres[],ROWS(nombres[])-1,0,1,1))+1),$O1538:$O1557),3),"")</f>
        <v/>
      </c>
      <c r="PC1538" s="42" t="str">
        <f t="array" aca="1" ref="PC1538" ca="1">IFERROR(INDEX(nombres[],SMALL(IF(OFFSET(nombres[],0,0,ROWS(nombres[]),1)=PC$1490,ROW(OFFSET(nombres[],0,0,ROWS(nombres[]),1))-ROW(OFFSET(nombres[],0,0,1,1))+1,ROW(OFFSET(nombres[],ROWS(nombres[])-1,0,1,1))+1),$O1538:$O1557),3),"")</f>
        <v/>
      </c>
      <c r="PD1538" s="42" t="str">
        <f t="array" aca="1" ref="PD1538" ca="1">IFERROR(INDEX(nombres[],SMALL(IF(OFFSET(nombres[],0,0,ROWS(nombres[]),1)=PD$1490,ROW(OFFSET(nombres[],0,0,ROWS(nombres[]),1))-ROW(OFFSET(nombres[],0,0,1,1))+1,ROW(OFFSET(nombres[],ROWS(nombres[])-1,0,1,1))+1),$O1538:$O1557),3),"")</f>
        <v/>
      </c>
      <c r="PE1538" s="42" t="str">
        <f t="array" aca="1" ref="PE1538" ca="1">IFERROR(INDEX(nombres[],SMALL(IF(OFFSET(nombres[],0,0,ROWS(nombres[]),1)=PE$1490,ROW(OFFSET(nombres[],0,0,ROWS(nombres[]),1))-ROW(OFFSET(nombres[],0,0,1,1))+1,ROW(OFFSET(nombres[],ROWS(nombres[])-1,0,1,1))+1),$O1538:$O1557),3),"")</f>
        <v/>
      </c>
      <c r="PF1538" s="42" t="str">
        <f t="array" aca="1" ref="PF1538" ca="1">IFERROR(INDEX(nombres[],SMALL(IF(OFFSET(nombres[],0,0,ROWS(nombres[]),1)=PF$1490,ROW(OFFSET(nombres[],0,0,ROWS(nombres[]),1))-ROW(OFFSET(nombres[],0,0,1,1))+1,ROW(OFFSET(nombres[],ROWS(nombres[])-1,0,1,1))+1),$O1538:$O1557),3),"")</f>
        <v/>
      </c>
      <c r="PG1538" s="42" t="str">
        <f t="array" aca="1" ref="PG1538" ca="1">IFERROR(INDEX(nombres[],SMALL(IF(OFFSET(nombres[],0,0,ROWS(nombres[]),1)=PG$1490,ROW(OFFSET(nombres[],0,0,ROWS(nombres[]),1))-ROW(OFFSET(nombres[],0,0,1,1))+1,ROW(OFFSET(nombres[],ROWS(nombres[])-1,0,1,1))+1),$O1538:$O1557),3),"")</f>
        <v/>
      </c>
      <c r="PH1538" s="42" t="str">
        <f t="array" aca="1" ref="PH1538" ca="1">IFERROR(INDEX(nombres[],SMALL(IF(OFFSET(nombres[],0,0,ROWS(nombres[]),1)=PH$1490,ROW(OFFSET(nombres[],0,0,ROWS(nombres[]),1))-ROW(OFFSET(nombres[],0,0,1,1))+1,ROW(OFFSET(nombres[],ROWS(nombres[])-1,0,1,1))+1),$O1538:$O1557),3),"")</f>
        <v/>
      </c>
      <c r="PI1538" s="42" t="str">
        <f t="array" aca="1" ref="PI1538" ca="1">IFERROR(INDEX(nombres[],SMALL(IF(OFFSET(nombres[],0,0,ROWS(nombres[]),1)=PI$1490,ROW(OFFSET(nombres[],0,0,ROWS(nombres[]),1))-ROW(OFFSET(nombres[],0,0,1,1))+1,ROW(OFFSET(nombres[],ROWS(nombres[])-1,0,1,1))+1),$O1538:$O1557),3),"")</f>
        <v/>
      </c>
      <c r="PJ1538" s="42" t="str">
        <f t="array" aca="1" ref="PJ1538" ca="1">IFERROR(INDEX(nombres[],SMALL(IF(OFFSET(nombres[],0,0,ROWS(nombres[]),1)=PJ$1490,ROW(OFFSET(nombres[],0,0,ROWS(nombres[]),1))-ROW(OFFSET(nombres[],0,0,1,1))+1,ROW(OFFSET(nombres[],ROWS(nombres[])-1,0,1,1))+1),$O1538:$O1557),3),"")</f>
        <v/>
      </c>
      <c r="PK1538" s="42" t="str">
        <f t="array" aca="1" ref="PK1538" ca="1">IFERROR(INDEX(nombres[],SMALL(IF(OFFSET(nombres[],0,0,ROWS(nombres[]),1)=PK$1490,ROW(OFFSET(nombres[],0,0,ROWS(nombres[]),1))-ROW(OFFSET(nombres[],0,0,1,1))+1,ROW(OFFSET(nombres[],ROWS(nombres[])-1,0,1,1))+1),$O1538:$O1557),3),"")</f>
        <v/>
      </c>
      <c r="PL1538" s="42" t="str">
        <f t="array" aca="1" ref="PL1538" ca="1">IFERROR(INDEX(nombres[],SMALL(IF(OFFSET(nombres[],0,0,ROWS(nombres[]),1)=PL$1490,ROW(OFFSET(nombres[],0,0,ROWS(nombres[]),1))-ROW(OFFSET(nombres[],0,0,1,1))+1,ROW(OFFSET(nombres[],ROWS(nombres[])-1,0,1,1))+1),$O1538:$O1557),3),"")</f>
        <v/>
      </c>
      <c r="PM1538" s="42" t="str">
        <f t="array" aca="1" ref="PM1538" ca="1">IFERROR(INDEX(nombres[],SMALL(IF(OFFSET(nombres[],0,0,ROWS(nombres[]),1)=PM$1490,ROW(OFFSET(nombres[],0,0,ROWS(nombres[]),1))-ROW(OFFSET(nombres[],0,0,1,1))+1,ROW(OFFSET(nombres[],ROWS(nombres[])-1,0,1,1))+1),$O1538:$O1557),3),"")</f>
        <v/>
      </c>
      <c r="PN1538" s="42" t="str">
        <f t="array" aca="1" ref="PN1538" ca="1">IFERROR(INDEX(nombres[],SMALL(IF(OFFSET(nombres[],0,0,ROWS(nombres[]),1)=PN$1490,ROW(OFFSET(nombres[],0,0,ROWS(nombres[]),1))-ROW(OFFSET(nombres[],0,0,1,1))+1,ROW(OFFSET(nombres[],ROWS(nombres[])-1,0,1,1))+1),$O1538:$O1557),3),"")</f>
        <v/>
      </c>
      <c r="PO1538" s="42" t="str">
        <f t="array" aca="1" ref="PO1538" ca="1">IFERROR(INDEX(nombres[],SMALL(IF(OFFSET(nombres[],0,0,ROWS(nombres[]),1)=PO$1490,ROW(OFFSET(nombres[],0,0,ROWS(nombres[]),1))-ROW(OFFSET(nombres[],0,0,1,1))+1,ROW(OFFSET(nombres[],ROWS(nombres[])-1,0,1,1))+1),$O1538:$O1557),3),"")</f>
        <v/>
      </c>
      <c r="PP1538" s="42" t="str">
        <f t="array" aca="1" ref="PP1538" ca="1">IFERROR(INDEX(nombres[],SMALL(IF(OFFSET(nombres[],0,0,ROWS(nombres[]),1)=PP$1490,ROW(OFFSET(nombres[],0,0,ROWS(nombres[]),1))-ROW(OFFSET(nombres[],0,0,1,1))+1,ROW(OFFSET(nombres[],ROWS(nombres[])-1,0,1,1))+1),$O1538:$O1557),3),"")</f>
        <v/>
      </c>
      <c r="PQ1538" s="42" t="str">
        <f t="array" aca="1" ref="PQ1538" ca="1">IFERROR(INDEX(nombres[],SMALL(IF(OFFSET(nombres[],0,0,ROWS(nombres[]),1)=PQ$1490,ROW(OFFSET(nombres[],0,0,ROWS(nombres[]),1))-ROW(OFFSET(nombres[],0,0,1,1))+1,ROW(OFFSET(nombres[],ROWS(nombres[])-1,0,1,1))+1),$O1538:$O1557),3),"")</f>
        <v/>
      </c>
      <c r="PR1538" s="42" t="str">
        <f t="array" aca="1" ref="PR1538" ca="1">IFERROR(INDEX(nombres[],SMALL(IF(OFFSET(nombres[],0,0,ROWS(nombres[]),1)=PR$1490,ROW(OFFSET(nombres[],0,0,ROWS(nombres[]),1))-ROW(OFFSET(nombres[],0,0,1,1))+1,ROW(OFFSET(nombres[],ROWS(nombres[])-1,0,1,1))+1),$O1538:$O1557),3),"")</f>
        <v/>
      </c>
      <c r="PS1538" s="42" t="str">
        <f t="array" aca="1" ref="PS1538" ca="1">IFERROR(INDEX(nombres[],SMALL(IF(OFFSET(nombres[],0,0,ROWS(nombres[]),1)=PS$1490,ROW(OFFSET(nombres[],0,0,ROWS(nombres[]),1))-ROW(OFFSET(nombres[],0,0,1,1))+1,ROW(OFFSET(nombres[],ROWS(nombres[])-1,0,1,1))+1),$O1538:$O1557),3),"")</f>
        <v/>
      </c>
      <c r="PT1538" s="42" t="str">
        <f t="array" aca="1" ref="PT1538" ca="1">IFERROR(INDEX(nombres[],SMALL(IF(OFFSET(nombres[],0,0,ROWS(nombres[]),1)=PT$1490,ROW(OFFSET(nombres[],0,0,ROWS(nombres[]),1))-ROW(OFFSET(nombres[],0,0,1,1))+1,ROW(OFFSET(nombres[],ROWS(nombres[])-1,0,1,1))+1),$O1538:$O1557),3),"")</f>
        <v/>
      </c>
      <c r="PU1538" s="42" t="str">
        <f t="array" aca="1" ref="PU1538" ca="1">IFERROR(INDEX(nombres[],SMALL(IF(OFFSET(nombres[],0,0,ROWS(nombres[]),1)=PU$1490,ROW(OFFSET(nombres[],0,0,ROWS(nombres[]),1))-ROW(OFFSET(nombres[],0,0,1,1))+1,ROW(OFFSET(nombres[],ROWS(nombres[])-1,0,1,1))+1),$O1538:$O1557),3),"")</f>
        <v/>
      </c>
      <c r="PV1538" s="42" t="str">
        <f t="array" aca="1" ref="PV1538" ca="1">IFERROR(INDEX(nombres[],SMALL(IF(OFFSET(nombres[],0,0,ROWS(nombres[]),1)=PV$1490,ROW(OFFSET(nombres[],0,0,ROWS(nombres[]),1))-ROW(OFFSET(nombres[],0,0,1,1))+1,ROW(OFFSET(nombres[],ROWS(nombres[])-1,0,1,1))+1),$O1538:$O1557),3),"")</f>
        <v/>
      </c>
      <c r="PW1538" s="42" t="str">
        <f t="array" aca="1" ref="PW1538" ca="1">IFERROR(INDEX(nombres[],SMALL(IF(OFFSET(nombres[],0,0,ROWS(nombres[]),1)=PW$1490,ROW(OFFSET(nombres[],0,0,ROWS(nombres[]),1))-ROW(OFFSET(nombres[],0,0,1,1))+1,ROW(OFFSET(nombres[],ROWS(nombres[])-1,0,1,1))+1),$O1538:$O1557),3),"")</f>
        <v/>
      </c>
      <c r="PX1538" s="42" t="str">
        <f t="array" aca="1" ref="PX1538" ca="1">IFERROR(INDEX(nombres[],SMALL(IF(OFFSET(nombres[],0,0,ROWS(nombres[]),1)=PX$1490,ROW(OFFSET(nombres[],0,0,ROWS(nombres[]),1))-ROW(OFFSET(nombres[],0,0,1,1))+1,ROW(OFFSET(nombres[],ROWS(nombres[])-1,0,1,1))+1),$O1538:$O1557),3),"")</f>
        <v/>
      </c>
      <c r="PY1538" s="42" t="str">
        <f t="array" aca="1" ref="PY1538" ca="1">IFERROR(INDEX(nombres[],SMALL(IF(OFFSET(nombres[],0,0,ROWS(nombres[]),1)=PY$1490,ROW(OFFSET(nombres[],0,0,ROWS(nombres[]),1))-ROW(OFFSET(nombres[],0,0,1,1))+1,ROW(OFFSET(nombres[],ROWS(nombres[])-1,0,1,1))+1),$O1538:$O1557),3),"")</f>
        <v/>
      </c>
      <c r="PZ1538" s="42" t="str">
        <f t="array" aca="1" ref="PZ1538" ca="1">IFERROR(INDEX(nombres[],SMALL(IF(OFFSET(nombres[],0,0,ROWS(nombres[]),1)=PZ$1490,ROW(OFFSET(nombres[],0,0,ROWS(nombres[]),1))-ROW(OFFSET(nombres[],0,0,1,1))+1,ROW(OFFSET(nombres[],ROWS(nombres[])-1,0,1,1))+1),$O1538:$O1557),3),"")</f>
        <v/>
      </c>
      <c r="QA1538" s="42" t="str">
        <f t="array" aca="1" ref="QA1538" ca="1">IFERROR(INDEX(nombres[],SMALL(IF(OFFSET(nombres[],0,0,ROWS(nombres[]),1)=QA$1490,ROW(OFFSET(nombres[],0,0,ROWS(nombres[]),1))-ROW(OFFSET(nombres[],0,0,1,1))+1,ROW(OFFSET(nombres[],ROWS(nombres[])-1,0,1,1))+1),$O1538:$O1557),3),"")</f>
        <v/>
      </c>
      <c r="QB1538" s="42" t="str">
        <f t="array" aca="1" ref="QB1538" ca="1">IFERROR(INDEX(nombres[],SMALL(IF(OFFSET(nombres[],0,0,ROWS(nombres[]),1)=QB$1490,ROW(OFFSET(nombres[],0,0,ROWS(nombres[]),1))-ROW(OFFSET(nombres[],0,0,1,1))+1,ROW(OFFSET(nombres[],ROWS(nombres[])-1,0,1,1))+1),$O1538:$O1557),3),"")</f>
        <v/>
      </c>
      <c r="QC1538" s="42" t="str">
        <f t="array" aca="1" ref="QC1538" ca="1">IFERROR(INDEX(nombres[],SMALL(IF(OFFSET(nombres[],0,0,ROWS(nombres[]),1)=QC$1490,ROW(OFFSET(nombres[],0,0,ROWS(nombres[]),1))-ROW(OFFSET(nombres[],0,0,1,1))+1,ROW(OFFSET(nombres[],ROWS(nombres[])-1,0,1,1))+1),$O1538:$O1557),3),"")</f>
        <v/>
      </c>
      <c r="QD1538" s="42" t="str">
        <f t="array" aca="1" ref="QD1538" ca="1">IFERROR(INDEX(nombres[],SMALL(IF(OFFSET(nombres[],0,0,ROWS(nombres[]),1)=QD$1490,ROW(OFFSET(nombres[],0,0,ROWS(nombres[]),1))-ROW(OFFSET(nombres[],0,0,1,1))+1,ROW(OFFSET(nombres[],ROWS(nombres[])-1,0,1,1))+1),$O1538:$O1557),3),"")</f>
        <v/>
      </c>
      <c r="QE1538" s="42" t="str">
        <f t="array" aca="1" ref="QE1538" ca="1">IFERROR(INDEX(nombres[],SMALL(IF(OFFSET(nombres[],0,0,ROWS(nombres[]),1)=QE$1490,ROW(OFFSET(nombres[],0,0,ROWS(nombres[]),1))-ROW(OFFSET(nombres[],0,0,1,1))+1,ROW(OFFSET(nombres[],ROWS(nombres[])-1,0,1,1))+1),$O1538:$O1557),3),"")</f>
        <v/>
      </c>
      <c r="QF1538" s="42" t="str">
        <f t="array" aca="1" ref="QF1538" ca="1">IFERROR(INDEX(nombres[],SMALL(IF(OFFSET(nombres[],0,0,ROWS(nombres[]),1)=QF$1490,ROW(OFFSET(nombres[],0,0,ROWS(nombres[]),1))-ROW(OFFSET(nombres[],0,0,1,1))+1,ROW(OFFSET(nombres[],ROWS(nombres[])-1,0,1,1))+1),$O1538:$O1557),3),"")</f>
        <v/>
      </c>
      <c r="QG1538" s="42" t="str">
        <f t="array" aca="1" ref="QG1538" ca="1">IFERROR(INDEX(nombres[],SMALL(IF(OFFSET(nombres[],0,0,ROWS(nombres[]),1)=QG$1490,ROW(OFFSET(nombres[],0,0,ROWS(nombres[]),1))-ROW(OFFSET(nombres[],0,0,1,1))+1,ROW(OFFSET(nombres[],ROWS(nombres[])-1,0,1,1))+1),$O1538:$O1557),3),"")</f>
        <v/>
      </c>
      <c r="QH1538" s="42" t="str">
        <f t="array" aca="1" ref="QH1538" ca="1">IFERROR(INDEX(nombres[],SMALL(IF(OFFSET(nombres[],0,0,ROWS(nombres[]),1)=QH$1490,ROW(OFFSET(nombres[],0,0,ROWS(nombres[]),1))-ROW(OFFSET(nombres[],0,0,1,1))+1,ROW(OFFSET(nombres[],ROWS(nombres[])-1,0,1,1))+1),$O1538:$O1557),3),"")</f>
        <v/>
      </c>
      <c r="QI1538" s="42" t="str">
        <f t="array" aca="1" ref="QI1538" ca="1">IFERROR(INDEX(nombres[],SMALL(IF(OFFSET(nombres[],0,0,ROWS(nombres[]),1)=QI$1490,ROW(OFFSET(nombres[],0,0,ROWS(nombres[]),1))-ROW(OFFSET(nombres[],0,0,1,1))+1,ROW(OFFSET(nombres[],ROWS(nombres[])-1,0,1,1))+1),$O1538:$O1557),3),"")</f>
        <v/>
      </c>
      <c r="QJ1538" s="42" t="str">
        <f t="array" aca="1" ref="QJ1538" ca="1">IFERROR(INDEX(nombres[],SMALL(IF(OFFSET(nombres[],0,0,ROWS(nombres[]),1)=QJ$1490,ROW(OFFSET(nombres[],0,0,ROWS(nombres[]),1))-ROW(OFFSET(nombres[],0,0,1,1))+1,ROW(OFFSET(nombres[],ROWS(nombres[])-1,0,1,1))+1),$O1538:$O1557),3),"")</f>
        <v/>
      </c>
      <c r="QK1538" s="42" t="str">
        <f t="array" aca="1" ref="QK1538" ca="1">IFERROR(INDEX(nombres[],SMALL(IF(OFFSET(nombres[],0,0,ROWS(nombres[]),1)=QK$1490,ROW(OFFSET(nombres[],0,0,ROWS(nombres[]),1))-ROW(OFFSET(nombres[],0,0,1,1))+1,ROW(OFFSET(nombres[],ROWS(nombres[])-1,0,1,1))+1),$O1538:$O1557),3),"")</f>
        <v/>
      </c>
      <c r="QL1538" s="42" t="str">
        <f t="array" aca="1" ref="QL1538" ca="1">IFERROR(INDEX(nombres[],SMALL(IF(OFFSET(nombres[],0,0,ROWS(nombres[]),1)=QL$1490,ROW(OFFSET(nombres[],0,0,ROWS(nombres[]),1))-ROW(OFFSET(nombres[],0,0,1,1))+1,ROW(OFFSET(nombres[],ROWS(nombres[])-1,0,1,1))+1),$O1538:$O1557),3),"")</f>
        <v/>
      </c>
      <c r="QM1538" s="42" t="str">
        <f t="array" aca="1" ref="QM1538" ca="1">IFERROR(INDEX(nombres[],SMALL(IF(OFFSET(nombres[],0,0,ROWS(nombres[]),1)=QM$1490,ROW(OFFSET(nombres[],0,0,ROWS(nombres[]),1))-ROW(OFFSET(nombres[],0,0,1,1))+1,ROW(OFFSET(nombres[],ROWS(nombres[])-1,0,1,1))+1),$O1538:$O1557),3),"")</f>
        <v/>
      </c>
      <c r="QN1538" s="42" t="str">
        <f t="array" aca="1" ref="QN1538" ca="1">IFERROR(INDEX(nombres[],SMALL(IF(OFFSET(nombres[],0,0,ROWS(nombres[]),1)=QN$1490,ROW(OFFSET(nombres[],0,0,ROWS(nombres[]),1))-ROW(OFFSET(nombres[],0,0,1,1))+1,ROW(OFFSET(nombres[],ROWS(nombres[])-1,0,1,1))+1),$O1538:$O1557),3),"")</f>
        <v/>
      </c>
      <c r="QO1538" s="42" t="str">
        <f t="array" aca="1" ref="QO1538" ca="1">IFERROR(INDEX(nombres[],SMALL(IF(OFFSET(nombres[],0,0,ROWS(nombres[]),1)=QO$1490,ROW(OFFSET(nombres[],0,0,ROWS(nombres[]),1))-ROW(OFFSET(nombres[],0,0,1,1))+1,ROW(OFFSET(nombres[],ROWS(nombres[])-1,0,1,1))+1),$O1538:$O1557),3),"")</f>
        <v/>
      </c>
      <c r="QP1538" s="42" t="str">
        <f t="array" aca="1" ref="QP1538" ca="1">IFERROR(INDEX(nombres[],SMALL(IF(OFFSET(nombres[],0,0,ROWS(nombres[]),1)=QP$1490,ROW(OFFSET(nombres[],0,0,ROWS(nombres[]),1))-ROW(OFFSET(nombres[],0,0,1,1))+1,ROW(OFFSET(nombres[],ROWS(nombres[])-1,0,1,1))+1),$O1538:$O1557),3),"")</f>
        <v/>
      </c>
      <c r="QQ1538" s="42" t="str">
        <f t="array" aca="1" ref="QQ1538" ca="1">IFERROR(INDEX(nombres[],SMALL(IF(OFFSET(nombres[],0,0,ROWS(nombres[]),1)=QQ$1490,ROW(OFFSET(nombres[],0,0,ROWS(nombres[]),1))-ROW(OFFSET(nombres[],0,0,1,1))+1,ROW(OFFSET(nombres[],ROWS(nombres[])-1,0,1,1))+1),$O1538:$O1557),3),"")</f>
        <v/>
      </c>
      <c r="QR1538" s="42" t="str">
        <f t="array" aca="1" ref="QR1538" ca="1">IFERROR(INDEX(nombres[],SMALL(IF(OFFSET(nombres[],0,0,ROWS(nombres[]),1)=QR$1490,ROW(OFFSET(nombres[],0,0,ROWS(nombres[]),1))-ROW(OFFSET(nombres[],0,0,1,1))+1,ROW(OFFSET(nombres[],ROWS(nombres[])-1,0,1,1))+1),$O1538:$O1557),3),"")</f>
        <v/>
      </c>
      <c r="QS1538" s="42" t="str">
        <f t="array" aca="1" ref="QS1538" ca="1">IFERROR(INDEX(nombres[],SMALL(IF(OFFSET(nombres[],0,0,ROWS(nombres[]),1)=QS$1490,ROW(OFFSET(nombres[],0,0,ROWS(nombres[]),1))-ROW(OFFSET(nombres[],0,0,1,1))+1,ROW(OFFSET(nombres[],ROWS(nombres[])-1,0,1,1))+1),$O1538:$O1557),3),"")</f>
        <v/>
      </c>
      <c r="QT1538" s="42" t="str">
        <f t="array" aca="1" ref="QT1538" ca="1">IFERROR(INDEX(nombres[],SMALL(IF(OFFSET(nombres[],0,0,ROWS(nombres[]),1)=QT$1490,ROW(OFFSET(nombres[],0,0,ROWS(nombres[]),1))-ROW(OFFSET(nombres[],0,0,1,1))+1,ROW(OFFSET(nombres[],ROWS(nombres[])-1,0,1,1))+1),$O1538:$O1557),3),"")</f>
        <v/>
      </c>
      <c r="QU1538" s="42" t="str">
        <f t="array" aca="1" ref="QU1538" ca="1">IFERROR(INDEX(nombres[],SMALL(IF(OFFSET(nombres[],0,0,ROWS(nombres[]),1)=QU$1490,ROW(OFFSET(nombres[],0,0,ROWS(nombres[]),1))-ROW(OFFSET(nombres[],0,0,1,1))+1,ROW(OFFSET(nombres[],ROWS(nombres[])-1,0,1,1))+1),$O1538:$O1557),3),"")</f>
        <v/>
      </c>
      <c r="QV1538" s="42" t="str">
        <f t="array" aca="1" ref="QV1538" ca="1">IFERROR(INDEX(nombres[],SMALL(IF(OFFSET(nombres[],0,0,ROWS(nombres[]),1)=QV$1490,ROW(OFFSET(nombres[],0,0,ROWS(nombres[]),1))-ROW(OFFSET(nombres[],0,0,1,1))+1,ROW(OFFSET(nombres[],ROWS(nombres[])-1,0,1,1))+1),$O1538:$O1557),3),"")</f>
        <v/>
      </c>
      <c r="QW1538" s="42" t="str">
        <f t="array" aca="1" ref="QW1538" ca="1">IFERROR(INDEX(nombres[],SMALL(IF(OFFSET(nombres[],0,0,ROWS(nombres[]),1)=QW$1490,ROW(OFFSET(nombres[],0,0,ROWS(nombres[]),1))-ROW(OFFSET(nombres[],0,0,1,1))+1,ROW(OFFSET(nombres[],ROWS(nombres[])-1,0,1,1))+1),$O1538:$O1557),3),"")</f>
        <v/>
      </c>
      <c r="QX1538" s="42" t="str">
        <f t="array" aca="1" ref="QX1538" ca="1">IFERROR(INDEX(nombres[],SMALL(IF(OFFSET(nombres[],0,0,ROWS(nombres[]),1)=QX$1490,ROW(OFFSET(nombres[],0,0,ROWS(nombres[]),1))-ROW(OFFSET(nombres[],0,0,1,1))+1,ROW(OFFSET(nombres[],ROWS(nombres[])-1,0,1,1))+1),$O1538:$O1557),3),"")</f>
        <v/>
      </c>
      <c r="QY1538" s="42" t="str">
        <f t="array" aca="1" ref="QY1538" ca="1">IFERROR(INDEX(nombres[],SMALL(IF(OFFSET(nombres[],0,0,ROWS(nombres[]),1)=QY$1490,ROW(OFFSET(nombres[],0,0,ROWS(nombres[]),1))-ROW(OFFSET(nombres[],0,0,1,1))+1,ROW(OFFSET(nombres[],ROWS(nombres[])-1,0,1,1))+1),$O1538:$O1557),3),"")</f>
        <v/>
      </c>
      <c r="QZ1538" s="42" t="str">
        <f t="array" aca="1" ref="QZ1538" ca="1">IFERROR(INDEX(nombres[],SMALL(IF(OFFSET(nombres[],0,0,ROWS(nombres[]),1)=QZ$1490,ROW(OFFSET(nombres[],0,0,ROWS(nombres[]),1))-ROW(OFFSET(nombres[],0,0,1,1))+1,ROW(OFFSET(nombres[],ROWS(nombres[])-1,0,1,1))+1),$O1538:$O1557),3),"")</f>
        <v/>
      </c>
      <c r="RA1538" s="42" t="str">
        <f t="array" aca="1" ref="RA1538" ca="1">IFERROR(INDEX(nombres[],SMALL(IF(OFFSET(nombres[],0,0,ROWS(nombres[]),1)=RA$1490,ROW(OFFSET(nombres[],0,0,ROWS(nombres[]),1))-ROW(OFFSET(nombres[],0,0,1,1))+1,ROW(OFFSET(nombres[],ROWS(nombres[])-1,0,1,1))+1),$O1538:$O1557),3),"")</f>
        <v/>
      </c>
      <c r="RB1538" s="42" t="str">
        <f t="array" aca="1" ref="RB1538" ca="1">IFERROR(INDEX(nombres[],SMALL(IF(OFFSET(nombres[],0,0,ROWS(nombres[]),1)=RB$1490,ROW(OFFSET(nombres[],0,0,ROWS(nombres[]),1))-ROW(OFFSET(nombres[],0,0,1,1))+1,ROW(OFFSET(nombres[],ROWS(nombres[])-1,0,1,1))+1),$O1538:$O1557),3),"")</f>
        <v/>
      </c>
      <c r="RC1538" s="42" t="str">
        <f t="array" aca="1" ref="RC1538" ca="1">IFERROR(INDEX(nombres[],SMALL(IF(OFFSET(nombres[],0,0,ROWS(nombres[]),1)=RC$1490,ROW(OFFSET(nombres[],0,0,ROWS(nombres[]),1))-ROW(OFFSET(nombres[],0,0,1,1))+1,ROW(OFFSET(nombres[],ROWS(nombres[])-1,0,1,1))+1),$O1538:$O1557),3),"")</f>
        <v/>
      </c>
      <c r="RD1538" s="42" t="str">
        <f t="array" aca="1" ref="RD1538" ca="1">IFERROR(INDEX(nombres[],SMALL(IF(OFFSET(nombres[],0,0,ROWS(nombres[]),1)=RD$1490,ROW(OFFSET(nombres[],0,0,ROWS(nombres[]),1))-ROW(OFFSET(nombres[],0,0,1,1))+1,ROW(OFFSET(nombres[],ROWS(nombres[])-1,0,1,1))+1),$O1538:$O1557),3),"")</f>
        <v/>
      </c>
      <c r="RE1538" s="42" t="str">
        <f t="array" aca="1" ref="RE1538" ca="1">IFERROR(INDEX(nombres[],SMALL(IF(OFFSET(nombres[],0,0,ROWS(nombres[]),1)=RE$1490,ROW(OFFSET(nombres[],0,0,ROWS(nombres[]),1))-ROW(OFFSET(nombres[],0,0,1,1))+1,ROW(OFFSET(nombres[],ROWS(nombres[])-1,0,1,1))+1),$O1538:$O1557),3),"")</f>
        <v/>
      </c>
      <c r="RF1538" s="42" t="str">
        <f t="array" aca="1" ref="RF1538" ca="1">IFERROR(INDEX(nombres[],SMALL(IF(OFFSET(nombres[],0,0,ROWS(nombres[]),1)=RF$1490,ROW(OFFSET(nombres[],0,0,ROWS(nombres[]),1))-ROW(OFFSET(nombres[],0,0,1,1))+1,ROW(OFFSET(nombres[],ROWS(nombres[])-1,0,1,1))+1),$O1538:$O1557),3),"")</f>
        <v/>
      </c>
      <c r="RG1538" s="42" t="str">
        <f t="array" aca="1" ref="RG1538" ca="1">IFERROR(INDEX(nombres[],SMALL(IF(OFFSET(nombres[],0,0,ROWS(nombres[]),1)=RG$1490,ROW(OFFSET(nombres[],0,0,ROWS(nombres[]),1))-ROW(OFFSET(nombres[],0,0,1,1))+1,ROW(OFFSET(nombres[],ROWS(nombres[])-1,0,1,1))+1),$O1538:$O1557),3),"")</f>
        <v/>
      </c>
      <c r="RH1538" s="42" t="str">
        <f t="array" aca="1" ref="RH1538" ca="1">IFERROR(INDEX(nombres[],SMALL(IF(OFFSET(nombres[],0,0,ROWS(nombres[]),1)=RH$1490,ROW(OFFSET(nombres[],0,0,ROWS(nombres[]),1))-ROW(OFFSET(nombres[],0,0,1,1))+1,ROW(OFFSET(nombres[],ROWS(nombres[])-1,0,1,1))+1),$O1538:$O1557),3),"")</f>
        <v/>
      </c>
      <c r="RI1538" s="42" t="str">
        <f t="array" aca="1" ref="RI1538" ca="1">IFERROR(INDEX(nombres[],SMALL(IF(OFFSET(nombres[],0,0,ROWS(nombres[]),1)=RI$1490,ROW(OFFSET(nombres[],0,0,ROWS(nombres[]),1))-ROW(OFFSET(nombres[],0,0,1,1))+1,ROW(OFFSET(nombres[],ROWS(nombres[])-1,0,1,1))+1),$O1538:$O1557),3),"")</f>
        <v/>
      </c>
      <c r="RJ1538" s="42" t="str">
        <f t="array" aca="1" ref="RJ1538" ca="1">IFERROR(INDEX(nombres[],SMALL(IF(OFFSET(nombres[],0,0,ROWS(nombres[]),1)=RJ$1490,ROW(OFFSET(nombres[],0,0,ROWS(nombres[]),1))-ROW(OFFSET(nombres[],0,0,1,1))+1,ROW(OFFSET(nombres[],ROWS(nombres[])-1,0,1,1))+1),$O1538:$O1557),3),"")</f>
        <v/>
      </c>
      <c r="RK1538" s="42" t="str">
        <f t="array" aca="1" ref="RK1538" ca="1">IFERROR(INDEX(nombres[],SMALL(IF(OFFSET(nombres[],0,0,ROWS(nombres[]),1)=RK$1490,ROW(OFFSET(nombres[],0,0,ROWS(nombres[]),1))-ROW(OFFSET(nombres[],0,0,1,1))+1,ROW(OFFSET(nombres[],ROWS(nombres[])-1,0,1,1))+1),$O1538:$O1557),3),"")</f>
        <v/>
      </c>
      <c r="RL1538" s="42" t="str">
        <f t="array" aca="1" ref="RL1538" ca="1">IFERROR(INDEX(nombres[],SMALL(IF(OFFSET(nombres[],0,0,ROWS(nombres[]),1)=RL$1490,ROW(OFFSET(nombres[],0,0,ROWS(nombres[]),1))-ROW(OFFSET(nombres[],0,0,1,1))+1,ROW(OFFSET(nombres[],ROWS(nombres[])-1,0,1,1))+1),$O1538:$O1557),3),"")</f>
        <v/>
      </c>
      <c r="RM1538" s="42" t="str">
        <f t="array" aca="1" ref="RM1538" ca="1">IFERROR(INDEX(nombres[],SMALL(IF(OFFSET(nombres[],0,0,ROWS(nombres[]),1)=RM$1490,ROW(OFFSET(nombres[],0,0,ROWS(nombres[]),1))-ROW(OFFSET(nombres[],0,0,1,1))+1,ROW(OFFSET(nombres[],ROWS(nombres[])-1,0,1,1))+1),$O1538:$O1557),3),"")</f>
        <v/>
      </c>
      <c r="RN1538" s="42" t="str">
        <f t="array" aca="1" ref="RN1538" ca="1">IFERROR(INDEX(nombres[],SMALL(IF(OFFSET(nombres[],0,0,ROWS(nombres[]),1)=RN$1490,ROW(OFFSET(nombres[],0,0,ROWS(nombres[]),1))-ROW(OFFSET(nombres[],0,0,1,1))+1,ROW(OFFSET(nombres[],ROWS(nombres[])-1,0,1,1))+1),$O1538:$O1557),3),"")</f>
        <v/>
      </c>
      <c r="RO1538" s="42" t="str">
        <f t="array" aca="1" ref="RO1538" ca="1">IFERROR(INDEX(nombres[],SMALL(IF(OFFSET(nombres[],0,0,ROWS(nombres[]),1)=RO$1490,ROW(OFFSET(nombres[],0,0,ROWS(nombres[]),1))-ROW(OFFSET(nombres[],0,0,1,1))+1,ROW(OFFSET(nombres[],ROWS(nombres[])-1,0,1,1))+1),$O1538:$O1557),3),"")</f>
        <v/>
      </c>
      <c r="RP1538" s="42" t="str">
        <f t="array" aca="1" ref="RP1538" ca="1">IFERROR(INDEX(nombres[],SMALL(IF(OFFSET(nombres[],0,0,ROWS(nombres[]),1)=RP$1490,ROW(OFFSET(nombres[],0,0,ROWS(nombres[]),1))-ROW(OFFSET(nombres[],0,0,1,1))+1,ROW(OFFSET(nombres[],ROWS(nombres[])-1,0,1,1))+1),$O1538:$O1557),3),"")</f>
        <v/>
      </c>
      <c r="RQ1538" s="42" t="str">
        <f t="array" aca="1" ref="RQ1538" ca="1">IFERROR(INDEX(nombres[],SMALL(IF(OFFSET(nombres[],0,0,ROWS(nombres[]),1)=RQ$1490,ROW(OFFSET(nombres[],0,0,ROWS(nombres[]),1))-ROW(OFFSET(nombres[],0,0,1,1))+1,ROW(OFFSET(nombres[],ROWS(nombres[])-1,0,1,1))+1),$O1538:$O1557),3),"")</f>
        <v/>
      </c>
      <c r="RR1538" s="42" t="str">
        <f t="array" aca="1" ref="RR1538" ca="1">IFERROR(INDEX(nombres[],SMALL(IF(OFFSET(nombres[],0,0,ROWS(nombres[]),1)=RR$1490,ROW(OFFSET(nombres[],0,0,ROWS(nombres[]),1))-ROW(OFFSET(nombres[],0,0,1,1))+1,ROW(OFFSET(nombres[],ROWS(nombres[])-1,0,1,1))+1),$O1538:$O1557),3),"")</f>
        <v/>
      </c>
      <c r="RS1538" s="42" t="str">
        <f t="array" aca="1" ref="RS1538" ca="1">IFERROR(INDEX(nombres[],SMALL(IF(OFFSET(nombres[],0,0,ROWS(nombres[]),1)=RS$1490,ROW(OFFSET(nombres[],0,0,ROWS(nombres[]),1))-ROW(OFFSET(nombres[],0,0,1,1))+1,ROW(OFFSET(nombres[],ROWS(nombres[])-1,0,1,1))+1),$O1538:$O1557),3),"")</f>
        <v/>
      </c>
      <c r="RT1538" s="42" t="str">
        <f t="array" aca="1" ref="RT1538" ca="1">IFERROR(INDEX(nombres[],SMALL(IF(OFFSET(nombres[],0,0,ROWS(nombres[]),1)=RT$1490,ROW(OFFSET(nombres[],0,0,ROWS(nombres[]),1))-ROW(OFFSET(nombres[],0,0,1,1))+1,ROW(OFFSET(nombres[],ROWS(nombres[])-1,0,1,1))+1),$O1538:$O1557),3),"")</f>
        <v/>
      </c>
      <c r="RU1538" s="42" t="str">
        <f t="array" aca="1" ref="RU1538" ca="1">IFERROR(INDEX(nombres[],SMALL(IF(OFFSET(nombres[],0,0,ROWS(nombres[]),1)=RU$1490,ROW(OFFSET(nombres[],0,0,ROWS(nombres[]),1))-ROW(OFFSET(nombres[],0,0,1,1))+1,ROW(OFFSET(nombres[],ROWS(nombres[])-1,0,1,1))+1),$O1538:$O1557),3),"")</f>
        <v/>
      </c>
      <c r="RV1538" s="42" t="str">
        <f t="array" aca="1" ref="RV1538" ca="1">IFERROR(INDEX(nombres[],SMALL(IF(OFFSET(nombres[],0,0,ROWS(nombres[]),1)=RV$1490,ROW(OFFSET(nombres[],0,0,ROWS(nombres[]),1))-ROW(OFFSET(nombres[],0,0,1,1))+1,ROW(OFFSET(nombres[],ROWS(nombres[])-1,0,1,1))+1),$O1538:$O1557),3),"")</f>
        <v/>
      </c>
      <c r="RW1538" s="42" t="str">
        <f t="array" aca="1" ref="RW1538" ca="1">IFERROR(INDEX(nombres[],SMALL(IF(OFFSET(nombres[],0,0,ROWS(nombres[]),1)=RW$1490,ROW(OFFSET(nombres[],0,0,ROWS(nombres[]),1))-ROW(OFFSET(nombres[],0,0,1,1))+1,ROW(OFFSET(nombres[],ROWS(nombres[])-1,0,1,1))+1),$O1538:$O1557),3),"")</f>
        <v/>
      </c>
      <c r="RX1538" s="42" t="str">
        <f t="array" aca="1" ref="RX1538" ca="1">IFERROR(INDEX(nombres[],SMALL(IF(OFFSET(nombres[],0,0,ROWS(nombres[]),1)=RX$1490,ROW(OFFSET(nombres[],0,0,ROWS(nombres[]),1))-ROW(OFFSET(nombres[],0,0,1,1))+1,ROW(OFFSET(nombres[],ROWS(nombres[])-1,0,1,1))+1),$O1538:$O1557),3),"")</f>
        <v/>
      </c>
      <c r="RY1538" s="42" t="str">
        <f t="array" aca="1" ref="RY1538" ca="1">IFERROR(INDEX(nombres[],SMALL(IF(OFFSET(nombres[],0,0,ROWS(nombres[]),1)=RY$1490,ROW(OFFSET(nombres[],0,0,ROWS(nombres[]),1))-ROW(OFFSET(nombres[],0,0,1,1))+1,ROW(OFFSET(nombres[],ROWS(nombres[])-1,0,1,1))+1),$O1538:$O1557),3),"")</f>
        <v/>
      </c>
      <c r="RZ1538" s="42" t="str">
        <f t="array" aca="1" ref="RZ1538" ca="1">IFERROR(INDEX(nombres[],SMALL(IF(OFFSET(nombres[],0,0,ROWS(nombres[]),1)=RZ$1490,ROW(OFFSET(nombres[],0,0,ROWS(nombres[]),1))-ROW(OFFSET(nombres[],0,0,1,1))+1,ROW(OFFSET(nombres[],ROWS(nombres[])-1,0,1,1))+1),$O1538:$O1557),3),"")</f>
        <v/>
      </c>
      <c r="SA1538" s="42" t="str">
        <f t="array" aca="1" ref="SA1538" ca="1">IFERROR(INDEX(nombres[],SMALL(IF(OFFSET(nombres[],0,0,ROWS(nombres[]),1)=SA$1490,ROW(OFFSET(nombres[],0,0,ROWS(nombres[]),1))-ROW(OFFSET(nombres[],0,0,1,1))+1,ROW(OFFSET(nombres[],ROWS(nombres[])-1,0,1,1))+1),$O1538:$O1557),3),"")</f>
        <v/>
      </c>
      <c r="SB1538" s="42" t="str">
        <f t="array" aca="1" ref="SB1538" ca="1">IFERROR(INDEX(nombres[],SMALL(IF(OFFSET(nombres[],0,0,ROWS(nombres[]),1)=SB$1490,ROW(OFFSET(nombres[],0,0,ROWS(nombres[]),1))-ROW(OFFSET(nombres[],0,0,1,1))+1,ROW(OFFSET(nombres[],ROWS(nombres[])-1,0,1,1))+1),$O1538:$O1557),3),"")</f>
        <v/>
      </c>
      <c r="SC1538" s="42" t="str">
        <f t="array" aca="1" ref="SC1538" ca="1">IFERROR(INDEX(nombres[],SMALL(IF(OFFSET(nombres[],0,0,ROWS(nombres[]),1)=SC$1490,ROW(OFFSET(nombres[],0,0,ROWS(nombres[]),1))-ROW(OFFSET(nombres[],0,0,1,1))+1,ROW(OFFSET(nombres[],ROWS(nombres[])-1,0,1,1))+1),$O1538:$O1557),3),"")</f>
        <v/>
      </c>
      <c r="SD1538" s="42" t="str">
        <f t="array" aca="1" ref="SD1538" ca="1">IFERROR(INDEX(nombres[],SMALL(IF(OFFSET(nombres[],0,0,ROWS(nombres[]),1)=SD$1490,ROW(OFFSET(nombres[],0,0,ROWS(nombres[]),1))-ROW(OFFSET(nombres[],0,0,1,1))+1,ROW(OFFSET(nombres[],ROWS(nombres[])-1,0,1,1))+1),$O1538:$O1557),3),"")</f>
        <v/>
      </c>
      <c r="SE1538" s="42" t="str">
        <f t="array" aca="1" ref="SE1538" ca="1">IFERROR(INDEX(nombres[],SMALL(IF(OFFSET(nombres[],0,0,ROWS(nombres[]),1)=SE$1490,ROW(OFFSET(nombres[],0,0,ROWS(nombres[]),1))-ROW(OFFSET(nombres[],0,0,1,1))+1,ROW(OFFSET(nombres[],ROWS(nombres[])-1,0,1,1))+1),$O1538:$O1557),3),"")</f>
        <v/>
      </c>
      <c r="SF1538" s="42" t="str">
        <f t="array" aca="1" ref="SF1538" ca="1">IFERROR(INDEX(nombres[],SMALL(IF(OFFSET(nombres[],0,0,ROWS(nombres[]),1)=SF$1490,ROW(OFFSET(nombres[],0,0,ROWS(nombres[]),1))-ROW(OFFSET(nombres[],0,0,1,1))+1,ROW(OFFSET(nombres[],ROWS(nombres[])-1,0,1,1))+1),$O1538:$O1557),3),"")</f>
        <v/>
      </c>
      <c r="SG1538" s="42" t="str">
        <f t="array" aca="1" ref="SG1538" ca="1">IFERROR(INDEX(nombres[],SMALL(IF(OFFSET(nombres[],0,0,ROWS(nombres[]),1)=SG$1490,ROW(OFFSET(nombres[],0,0,ROWS(nombres[]),1))-ROW(OFFSET(nombres[],0,0,1,1))+1,ROW(OFFSET(nombres[],ROWS(nombres[])-1,0,1,1))+1),$O1538:$O1557),3),"")</f>
        <v/>
      </c>
      <c r="SH1538" s="42" t="str">
        <f t="array" aca="1" ref="SH1538" ca="1">IFERROR(INDEX(nombres[],SMALL(IF(OFFSET(nombres[],0,0,ROWS(nombres[]),1)=SH$1490,ROW(OFFSET(nombres[],0,0,ROWS(nombres[]),1))-ROW(OFFSET(nombres[],0,0,1,1))+1,ROW(OFFSET(nombres[],ROWS(nombres[])-1,0,1,1))+1),$O1538:$O1557),3),"")</f>
        <v/>
      </c>
      <c r="SI1538" s="42" t="str">
        <f t="array" aca="1" ref="SI1538" ca="1">IFERROR(INDEX(nombres[],SMALL(IF(OFFSET(nombres[],0,0,ROWS(nombres[]),1)=SI$1490,ROW(OFFSET(nombres[],0,0,ROWS(nombres[]),1))-ROW(OFFSET(nombres[],0,0,1,1))+1,ROW(OFFSET(nombres[],ROWS(nombres[])-1,0,1,1))+1),$O1538:$O1557),3),"")</f>
        <v/>
      </c>
      <c r="SJ1538" s="42" t="str">
        <f t="array" aca="1" ref="SJ1538" ca="1">IFERROR(INDEX(nombres[],SMALL(IF(OFFSET(nombres[],0,0,ROWS(nombres[]),1)=SJ$1490,ROW(OFFSET(nombres[],0,0,ROWS(nombres[]),1))-ROW(OFFSET(nombres[],0,0,1,1))+1,ROW(OFFSET(nombres[],ROWS(nombres[])-1,0,1,1))+1),$O1538:$O1557),3),"")</f>
        <v/>
      </c>
      <c r="SK1538" s="42" t="str">
        <f t="array" aca="1" ref="SK1538" ca="1">IFERROR(INDEX(nombres[],SMALL(IF(OFFSET(nombres[],0,0,ROWS(nombres[]),1)=SK$1490,ROW(OFFSET(nombres[],0,0,ROWS(nombres[]),1))-ROW(OFFSET(nombres[],0,0,1,1))+1,ROW(OFFSET(nombres[],ROWS(nombres[])-1,0,1,1))+1),$O1538:$O1557),3),"")</f>
        <v/>
      </c>
      <c r="SL1538" s="42" t="str">
        <f t="array" aca="1" ref="SL1538" ca="1">IFERROR(INDEX(nombres[],SMALL(IF(OFFSET(nombres[],0,0,ROWS(nombres[]),1)=SL$1490,ROW(OFFSET(nombres[],0,0,ROWS(nombres[]),1))-ROW(OFFSET(nombres[],0,0,1,1))+1,ROW(OFFSET(nombres[],ROWS(nombres[])-1,0,1,1))+1),$O1538:$O1557),3),"")</f>
        <v/>
      </c>
      <c r="SM1538" s="42" t="str">
        <f t="array" aca="1" ref="SM1538" ca="1">IFERROR(INDEX(nombres[],SMALL(IF(OFFSET(nombres[],0,0,ROWS(nombres[]),1)=SM$1490,ROW(OFFSET(nombres[],0,0,ROWS(nombres[]),1))-ROW(OFFSET(nombres[],0,0,1,1))+1,ROW(OFFSET(nombres[],ROWS(nombres[])-1,0,1,1))+1),$O1538:$O1557),3),"")</f>
        <v/>
      </c>
      <c r="SN1538" s="42" t="str">
        <f t="array" aca="1" ref="SN1538" ca="1">IFERROR(INDEX(nombres[],SMALL(IF(OFFSET(nombres[],0,0,ROWS(nombres[]),1)=SN$1490,ROW(OFFSET(nombres[],0,0,ROWS(nombres[]),1))-ROW(OFFSET(nombres[],0,0,1,1))+1,ROW(OFFSET(nombres[],ROWS(nombres[])-1,0,1,1))+1),$O1538:$O1557),3),"")</f>
        <v/>
      </c>
      <c r="SO1538" s="42" t="str">
        <f t="array" aca="1" ref="SO1538" ca="1">IFERROR(INDEX(nombres[],SMALL(IF(OFFSET(nombres[],0,0,ROWS(nombres[]),1)=SO$1490,ROW(OFFSET(nombres[],0,0,ROWS(nombres[]),1))-ROW(OFFSET(nombres[],0,0,1,1))+1,ROW(OFFSET(nombres[],ROWS(nombres[])-1,0,1,1))+1),$O1538:$O1557),3),"")</f>
        <v/>
      </c>
      <c r="SP1538" s="42" t="str">
        <f t="array" aca="1" ref="SP1538" ca="1">IFERROR(INDEX(nombres[],SMALL(IF(OFFSET(nombres[],0,0,ROWS(nombres[]),1)=SP$1490,ROW(OFFSET(nombres[],0,0,ROWS(nombres[]),1))-ROW(OFFSET(nombres[],0,0,1,1))+1,ROW(OFFSET(nombres[],ROWS(nombres[])-1,0,1,1))+1),$O1538:$O1557),3),"")</f>
        <v/>
      </c>
      <c r="SQ1538" s="42" t="str">
        <f t="array" aca="1" ref="SQ1538" ca="1">IFERROR(INDEX(nombres[],SMALL(IF(OFFSET(nombres[],0,0,ROWS(nombres[]),1)=SQ$1490,ROW(OFFSET(nombres[],0,0,ROWS(nombres[]),1))-ROW(OFFSET(nombres[],0,0,1,1))+1,ROW(OFFSET(nombres[],ROWS(nombres[])-1,0,1,1))+1),$O1538:$O1557),3),"")</f>
        <v/>
      </c>
      <c r="SR1538" s="42" t="str">
        <f t="array" aca="1" ref="SR1538" ca="1">IFERROR(INDEX(nombres[],SMALL(IF(OFFSET(nombres[],0,0,ROWS(nombres[]),1)=SR$1490,ROW(OFFSET(nombres[],0,0,ROWS(nombres[]),1))-ROW(OFFSET(nombres[],0,0,1,1))+1,ROW(OFFSET(nombres[],ROWS(nombres[])-1,0,1,1))+1),$O1538:$O1557),3),"")</f>
        <v/>
      </c>
      <c r="SS1538" s="42" t="str">
        <f t="array" aca="1" ref="SS1538" ca="1">IFERROR(INDEX(nombres[],SMALL(IF(OFFSET(nombres[],0,0,ROWS(nombres[]),1)=SS$1490,ROW(OFFSET(nombres[],0,0,ROWS(nombres[]),1))-ROW(OFFSET(nombres[],0,0,1,1))+1,ROW(OFFSET(nombres[],ROWS(nombres[])-1,0,1,1))+1),$O1538:$O1557),3),"")</f>
        <v/>
      </c>
      <c r="ST1538" s="42" t="str">
        <f t="array" aca="1" ref="ST1538" ca="1">IFERROR(INDEX(nombres[],SMALL(IF(OFFSET(nombres[],0,0,ROWS(nombres[]),1)=ST$1490,ROW(OFFSET(nombres[],0,0,ROWS(nombres[]),1))-ROW(OFFSET(nombres[],0,0,1,1))+1,ROW(OFFSET(nombres[],ROWS(nombres[])-1,0,1,1))+1),$O1538:$O1557),3),"")</f>
        <v/>
      </c>
      <c r="SU1538" s="42" t="str">
        <f t="array" aca="1" ref="SU1538" ca="1">IFERROR(INDEX(nombres[],SMALL(IF(OFFSET(nombres[],0,0,ROWS(nombres[]),1)=SU$1490,ROW(OFFSET(nombres[],0,0,ROWS(nombres[]),1))-ROW(OFFSET(nombres[],0,0,1,1))+1,ROW(OFFSET(nombres[],ROWS(nombres[])-1,0,1,1))+1),$O1538:$O1557),3),"")</f>
        <v/>
      </c>
      <c r="SV1538" s="42" t="str">
        <f t="array" aca="1" ref="SV1538" ca="1">IFERROR(INDEX(nombres[],SMALL(IF(OFFSET(nombres[],0,0,ROWS(nombres[]),1)=SV$1490,ROW(OFFSET(nombres[],0,0,ROWS(nombres[]),1))-ROW(OFFSET(nombres[],0,0,1,1))+1,ROW(OFFSET(nombres[],ROWS(nombres[])-1,0,1,1))+1),$O1538:$O1557),3),"")</f>
        <v/>
      </c>
      <c r="SW1538" s="42" t="str">
        <f t="array" aca="1" ref="SW1538" ca="1">IFERROR(INDEX(nombres[],SMALL(IF(OFFSET(nombres[],0,0,ROWS(nombres[]),1)=SW$1490,ROW(OFFSET(nombres[],0,0,ROWS(nombres[]),1))-ROW(OFFSET(nombres[],0,0,1,1))+1,ROW(OFFSET(nombres[],ROWS(nombres[])-1,0,1,1))+1),$O1538:$O1557),3),"")</f>
        <v/>
      </c>
      <c r="SX1538" s="42" t="str">
        <f t="array" aca="1" ref="SX1538" ca="1">IFERROR(INDEX(nombres[],SMALL(IF(OFFSET(nombres[],0,0,ROWS(nombres[]),1)=SX$1490,ROW(OFFSET(nombres[],0,0,ROWS(nombres[]),1))-ROW(OFFSET(nombres[],0,0,1,1))+1,ROW(OFFSET(nombres[],ROWS(nombres[])-1,0,1,1))+1),$O1538:$O1557),3),"")</f>
        <v/>
      </c>
      <c r="SY1538" s="42" t="str">
        <f t="array" aca="1" ref="SY1538" ca="1">IFERROR(INDEX(nombres[],SMALL(IF(OFFSET(nombres[],0,0,ROWS(nombres[]),1)=SY$1490,ROW(OFFSET(nombres[],0,0,ROWS(nombres[]),1))-ROW(OFFSET(nombres[],0,0,1,1))+1,ROW(OFFSET(nombres[],ROWS(nombres[])-1,0,1,1))+1),$O1538:$O1557),3),"")</f>
        <v/>
      </c>
      <c r="SZ1538" s="42" t="str">
        <f t="array" aca="1" ref="SZ1538" ca="1">IFERROR(INDEX(nombres[],SMALL(IF(OFFSET(nombres[],0,0,ROWS(nombres[]),1)=SZ$1490,ROW(OFFSET(nombres[],0,0,ROWS(nombres[]),1))-ROW(OFFSET(nombres[],0,0,1,1))+1,ROW(OFFSET(nombres[],ROWS(nombres[])-1,0,1,1))+1),$O1538:$O1557),3),"")</f>
        <v/>
      </c>
      <c r="TA1538" s="42" t="str">
        <f t="array" aca="1" ref="TA1538" ca="1">IFERROR(INDEX(nombres[],SMALL(IF(OFFSET(nombres[],0,0,ROWS(nombres[]),1)=TA$1490,ROW(OFFSET(nombres[],0,0,ROWS(nombres[]),1))-ROW(OFFSET(nombres[],0,0,1,1))+1,ROW(OFFSET(nombres[],ROWS(nombres[])-1,0,1,1))+1),$O1538:$O1557),3),"")</f>
        <v/>
      </c>
      <c r="TB1538" s="42" t="str">
        <f t="array" aca="1" ref="TB1538" ca="1">IFERROR(INDEX(nombres[],SMALL(IF(OFFSET(nombres[],0,0,ROWS(nombres[]),1)=TB$1490,ROW(OFFSET(nombres[],0,0,ROWS(nombres[]),1))-ROW(OFFSET(nombres[],0,0,1,1))+1,ROW(OFFSET(nombres[],ROWS(nombres[])-1,0,1,1))+1),$O1538:$O1557),3),"")</f>
        <v/>
      </c>
      <c r="TC1538" s="42" t="str">
        <f t="array" aca="1" ref="TC1538" ca="1">IFERROR(INDEX(nombres[],SMALL(IF(OFFSET(nombres[],0,0,ROWS(nombres[]),1)=TC$1490,ROW(OFFSET(nombres[],0,0,ROWS(nombres[]),1))-ROW(OFFSET(nombres[],0,0,1,1))+1,ROW(OFFSET(nombres[],ROWS(nombres[])-1,0,1,1))+1),$O1538:$O1557),3),"")</f>
        <v/>
      </c>
      <c r="TD1538" s="42" t="str">
        <f t="array" aca="1" ref="TD1538" ca="1">IFERROR(INDEX(nombres[],SMALL(IF(OFFSET(nombres[],0,0,ROWS(nombres[]),1)=TD$1490,ROW(OFFSET(nombres[],0,0,ROWS(nombres[]),1))-ROW(OFFSET(nombres[],0,0,1,1))+1,ROW(OFFSET(nombres[],ROWS(nombres[])-1,0,1,1))+1),$O1538:$O1557),3),"")</f>
        <v/>
      </c>
      <c r="TE1538" s="42" t="str">
        <f t="array" aca="1" ref="TE1538" ca="1">IFERROR(INDEX(nombres[],SMALL(IF(OFFSET(nombres[],0,0,ROWS(nombres[]),1)=TE$1490,ROW(OFFSET(nombres[],0,0,ROWS(nombres[]),1))-ROW(OFFSET(nombres[],0,0,1,1))+1,ROW(OFFSET(nombres[],ROWS(nombres[])-1,0,1,1))+1),$O1538:$O1557),3),"")</f>
        <v/>
      </c>
      <c r="TF1538" s="42" t="str">
        <f t="array" aca="1" ref="TF1538" ca="1">IFERROR(INDEX(nombres[],SMALL(IF(OFFSET(nombres[],0,0,ROWS(nombres[]),1)=TF$1490,ROW(OFFSET(nombres[],0,0,ROWS(nombres[]),1))-ROW(OFFSET(nombres[],0,0,1,1))+1,ROW(OFFSET(nombres[],ROWS(nombres[])-1,0,1,1))+1),$O1538:$O1557),3),"")</f>
        <v/>
      </c>
      <c r="TG1538" s="42" t="str">
        <f t="array" aca="1" ref="TG1538" ca="1">IFERROR(INDEX(nombres[],SMALL(IF(OFFSET(nombres[],0,0,ROWS(nombres[]),1)=TG$1490,ROW(OFFSET(nombres[],0,0,ROWS(nombres[]),1))-ROW(OFFSET(nombres[],0,0,1,1))+1,ROW(OFFSET(nombres[],ROWS(nombres[])-1,0,1,1))+1),$O1538:$O1557),3),"")</f>
        <v/>
      </c>
      <c r="TH1538" s="42" t="str">
        <f t="array" aca="1" ref="TH1538" ca="1">IFERROR(INDEX(nombres[],SMALL(IF(OFFSET(nombres[],0,0,ROWS(nombres[]),1)=TH$1490,ROW(OFFSET(nombres[],0,0,ROWS(nombres[]),1))-ROW(OFFSET(nombres[],0,0,1,1))+1,ROW(OFFSET(nombres[],ROWS(nombres[])-1,0,1,1))+1),$O1538:$O1557),3),"")</f>
        <v/>
      </c>
      <c r="TI1538" s="42" t="str">
        <f t="array" aca="1" ref="TI1538" ca="1">IFERROR(INDEX(nombres[],SMALL(IF(OFFSET(nombres[],0,0,ROWS(nombres[]),1)=TI$1490,ROW(OFFSET(nombres[],0,0,ROWS(nombres[]),1))-ROW(OFFSET(nombres[],0,0,1,1))+1,ROW(OFFSET(nombres[],ROWS(nombres[])-1,0,1,1))+1),$O1538:$O1557),3),"")</f>
        <v/>
      </c>
      <c r="TJ1538" s="42" t="str">
        <f t="array" aca="1" ref="TJ1538" ca="1">IFERROR(INDEX(nombres[],SMALL(IF(OFFSET(nombres[],0,0,ROWS(nombres[]),1)=TJ$1490,ROW(OFFSET(nombres[],0,0,ROWS(nombres[]),1))-ROW(OFFSET(nombres[],0,0,1,1))+1,ROW(OFFSET(nombres[],ROWS(nombres[])-1,0,1,1))+1),$O1538:$O1557),3),"")</f>
        <v/>
      </c>
      <c r="TK1538" s="42" t="str">
        <f t="array" aca="1" ref="TK1538" ca="1">IFERROR(INDEX(nombres[],SMALL(IF(OFFSET(nombres[],0,0,ROWS(nombres[]),1)=TK$1490,ROW(OFFSET(nombres[],0,0,ROWS(nombres[]),1))-ROW(OFFSET(nombres[],0,0,1,1))+1,ROW(OFFSET(nombres[],ROWS(nombres[])-1,0,1,1))+1),$O1538:$O1557),3),"")</f>
        <v/>
      </c>
      <c r="TL1538" s="42" t="str">
        <f t="array" aca="1" ref="TL1538" ca="1">IFERROR(INDEX(nombres[],SMALL(IF(OFFSET(nombres[],0,0,ROWS(nombres[]),1)=TL$1490,ROW(OFFSET(nombres[],0,0,ROWS(nombres[]),1))-ROW(OFFSET(nombres[],0,0,1,1))+1,ROW(OFFSET(nombres[],ROWS(nombres[])-1,0,1,1))+1),$O1538:$O1557),3),"")</f>
        <v/>
      </c>
      <c r="TM1538" s="42" t="str">
        <f t="array" aca="1" ref="TM1538" ca="1">IFERROR(INDEX(nombres[],SMALL(IF(OFFSET(nombres[],0,0,ROWS(nombres[]),1)=TM$1490,ROW(OFFSET(nombres[],0,0,ROWS(nombres[]),1))-ROW(OFFSET(nombres[],0,0,1,1))+1,ROW(OFFSET(nombres[],ROWS(nombres[])-1,0,1,1))+1),$O1538:$O1557),3),"")</f>
        <v/>
      </c>
      <c r="TN1538" s="42" t="str">
        <f t="array" aca="1" ref="TN1538" ca="1">IFERROR(INDEX(nombres[],SMALL(IF(OFFSET(nombres[],0,0,ROWS(nombres[]),1)=TN$1490,ROW(OFFSET(nombres[],0,0,ROWS(nombres[]),1))-ROW(OFFSET(nombres[],0,0,1,1))+1,ROW(OFFSET(nombres[],ROWS(nombres[])-1,0,1,1))+1),$O1538:$O1557),3),"")</f>
        <v/>
      </c>
      <c r="TO1538" s="42" t="str">
        <f t="array" aca="1" ref="TO1538" ca="1">IFERROR(INDEX(nombres[],SMALL(IF(OFFSET(nombres[],0,0,ROWS(nombres[]),1)=TO$1490,ROW(OFFSET(nombres[],0,0,ROWS(nombres[]),1))-ROW(OFFSET(nombres[],0,0,1,1))+1,ROW(OFFSET(nombres[],ROWS(nombres[])-1,0,1,1))+1),$O1538:$O1557),3),"")</f>
        <v/>
      </c>
      <c r="TP1538" s="42" t="str">
        <f t="array" aca="1" ref="TP1538" ca="1">IFERROR(INDEX(nombres[],SMALL(IF(OFFSET(nombres[],0,0,ROWS(nombres[]),1)=TP$1490,ROW(OFFSET(nombres[],0,0,ROWS(nombres[]),1))-ROW(OFFSET(nombres[],0,0,1,1))+1,ROW(OFFSET(nombres[],ROWS(nombres[])-1,0,1,1))+1),$O1538:$O1557),3),"")</f>
        <v/>
      </c>
      <c r="TQ1538" s="42" t="str">
        <f t="array" aca="1" ref="TQ1538" ca="1">IFERROR(INDEX(nombres[],SMALL(IF(OFFSET(nombres[],0,0,ROWS(nombres[]),1)=TQ$1490,ROW(OFFSET(nombres[],0,0,ROWS(nombres[]),1))-ROW(OFFSET(nombres[],0,0,1,1))+1,ROW(OFFSET(nombres[],ROWS(nombres[])-1,0,1,1))+1),$O1538:$O1557),3),"")</f>
        <v/>
      </c>
      <c r="TR1538" s="42" t="str">
        <f t="array" aca="1" ref="TR1538" ca="1">IFERROR(INDEX(nombres[],SMALL(IF(OFFSET(nombres[],0,0,ROWS(nombres[]),1)=TR$1490,ROW(OFFSET(nombres[],0,0,ROWS(nombres[]),1))-ROW(OFFSET(nombres[],0,0,1,1))+1,ROW(OFFSET(nombres[],ROWS(nombres[])-1,0,1,1))+1),$O1538:$O1557),3),"")</f>
        <v/>
      </c>
      <c r="TS1538" s="42" t="str">
        <f t="array" aca="1" ref="TS1538" ca="1">IFERROR(INDEX(nombres[],SMALL(IF(OFFSET(nombres[],0,0,ROWS(nombres[]),1)=TS$1490,ROW(OFFSET(nombres[],0,0,ROWS(nombres[]),1))-ROW(OFFSET(nombres[],0,0,1,1))+1,ROW(OFFSET(nombres[],ROWS(nombres[])-1,0,1,1))+1),$O1538:$O1557),3),"")</f>
        <v/>
      </c>
      <c r="TT1538" s="42" t="str">
        <f t="array" aca="1" ref="TT1538" ca="1">IFERROR(INDEX(nombres[],SMALL(IF(OFFSET(nombres[],0,0,ROWS(nombres[]),1)=TT$1490,ROW(OFFSET(nombres[],0,0,ROWS(nombres[]),1))-ROW(OFFSET(nombres[],0,0,1,1))+1,ROW(OFFSET(nombres[],ROWS(nombres[])-1,0,1,1))+1),$O1538:$O1557),3),"")</f>
        <v/>
      </c>
      <c r="TU1538" s="42" t="str">
        <f t="array" aca="1" ref="TU1538" ca="1">IFERROR(INDEX(nombres[],SMALL(IF(OFFSET(nombres[],0,0,ROWS(nombres[]),1)=TU$1490,ROW(OFFSET(nombres[],0,0,ROWS(nombres[]),1))-ROW(OFFSET(nombres[],0,0,1,1))+1,ROW(OFFSET(nombres[],ROWS(nombres[])-1,0,1,1))+1),$O1538:$O1557),3),"")</f>
        <v/>
      </c>
      <c r="TV1538" s="42" t="str">
        <f t="array" aca="1" ref="TV1538" ca="1">IFERROR(INDEX(nombres[],SMALL(IF(OFFSET(nombres[],0,0,ROWS(nombres[]),1)=TV$1490,ROW(OFFSET(nombres[],0,0,ROWS(nombres[]),1))-ROW(OFFSET(nombres[],0,0,1,1))+1,ROW(OFFSET(nombres[],ROWS(nombres[])-1,0,1,1))+1),$O1538:$O1557),3),"")</f>
        <v/>
      </c>
      <c r="TW1538" s="42" t="str">
        <f t="array" aca="1" ref="TW1538" ca="1">IFERROR(INDEX(nombres[],SMALL(IF(OFFSET(nombres[],0,0,ROWS(nombres[]),1)=TW$1490,ROW(OFFSET(nombres[],0,0,ROWS(nombres[]),1))-ROW(OFFSET(nombres[],0,0,1,1))+1,ROW(OFFSET(nombres[],ROWS(nombres[])-1,0,1,1))+1),$O1538:$O1557),3),"")</f>
        <v/>
      </c>
      <c r="TX1538" s="42" t="str">
        <f t="array" aca="1" ref="TX1538" ca="1">IFERROR(INDEX(nombres[],SMALL(IF(OFFSET(nombres[],0,0,ROWS(nombres[]),1)=TX$1490,ROW(OFFSET(nombres[],0,0,ROWS(nombres[]),1))-ROW(OFFSET(nombres[],0,0,1,1))+1,ROW(OFFSET(nombres[],ROWS(nombres[])-1,0,1,1))+1),$O1538:$O1557),3),"")</f>
        <v/>
      </c>
      <c r="TY1538" s="42" t="str">
        <f t="array" aca="1" ref="TY1538" ca="1">IFERROR(INDEX(nombres[],SMALL(IF(OFFSET(nombres[],0,0,ROWS(nombres[]),1)=TY$1490,ROW(OFFSET(nombres[],0,0,ROWS(nombres[]),1))-ROW(OFFSET(nombres[],0,0,1,1))+1,ROW(OFFSET(nombres[],ROWS(nombres[])-1,0,1,1))+1),$O1538:$O1557),3),"")</f>
        <v/>
      </c>
      <c r="TZ1538" s="42" t="str">
        <f t="array" aca="1" ref="TZ1538" ca="1">IFERROR(INDEX(nombres[],SMALL(IF(OFFSET(nombres[],0,0,ROWS(nombres[]),1)=TZ$1490,ROW(OFFSET(nombres[],0,0,ROWS(nombres[]),1))-ROW(OFFSET(nombres[],0,0,1,1))+1,ROW(OFFSET(nombres[],ROWS(nombres[])-1,0,1,1))+1),$O1538:$O1557),3),"")</f>
        <v/>
      </c>
      <c r="UA1538" s="42" t="str">
        <f t="array" aca="1" ref="UA1538" ca="1">IFERROR(INDEX(nombres[],SMALL(IF(OFFSET(nombres[],0,0,ROWS(nombres[]),1)=UA$1490,ROW(OFFSET(nombres[],0,0,ROWS(nombres[]),1))-ROW(OFFSET(nombres[],0,0,1,1))+1,ROW(OFFSET(nombres[],ROWS(nombres[])-1,0,1,1))+1),$O1538:$O1557),3),"")</f>
        <v/>
      </c>
      <c r="UB1538" s="42" t="str">
        <f t="array" aca="1" ref="UB1538" ca="1">IFERROR(INDEX(nombres[],SMALL(IF(OFFSET(nombres[],0,0,ROWS(nombres[]),1)=UB$1490,ROW(OFFSET(nombres[],0,0,ROWS(nombres[]),1))-ROW(OFFSET(nombres[],0,0,1,1))+1,ROW(OFFSET(nombres[],ROWS(nombres[])-1,0,1,1))+1),$O1538:$O1557),3),"")</f>
        <v/>
      </c>
      <c r="UC1538" s="42" t="str">
        <f t="array" aca="1" ref="UC1538" ca="1">IFERROR(INDEX(nombres[],SMALL(IF(OFFSET(nombres[],0,0,ROWS(nombres[]),1)=UC$1490,ROW(OFFSET(nombres[],0,0,ROWS(nombres[]),1))-ROW(OFFSET(nombres[],0,0,1,1))+1,ROW(OFFSET(nombres[],ROWS(nombres[])-1,0,1,1))+1),$O1538:$O1557),3),"")</f>
        <v/>
      </c>
      <c r="UD1538" s="42" t="str">
        <f t="array" aca="1" ref="UD1538" ca="1">IFERROR(INDEX(nombres[],SMALL(IF(OFFSET(nombres[],0,0,ROWS(nombres[]),1)=UD$1490,ROW(OFFSET(nombres[],0,0,ROWS(nombres[]),1))-ROW(OFFSET(nombres[],0,0,1,1))+1,ROW(OFFSET(nombres[],ROWS(nombres[])-1,0,1,1))+1),$O1538:$O1557),3),"")</f>
        <v/>
      </c>
      <c r="UE1538" s="42" t="str">
        <f t="array" aca="1" ref="UE1538" ca="1">IFERROR(INDEX(nombres[],SMALL(IF(OFFSET(nombres[],0,0,ROWS(nombres[]),1)=UE$1490,ROW(OFFSET(nombres[],0,0,ROWS(nombres[]),1))-ROW(OFFSET(nombres[],0,0,1,1))+1,ROW(OFFSET(nombres[],ROWS(nombres[])-1,0,1,1))+1),$O1538:$O1557),3),"")</f>
        <v/>
      </c>
      <c r="UF1538" s="42" t="str">
        <f t="array" aca="1" ref="UF1538" ca="1">IFERROR(INDEX(nombres[],SMALL(IF(OFFSET(nombres[],0,0,ROWS(nombres[]),1)=UF$1490,ROW(OFFSET(nombres[],0,0,ROWS(nombres[]),1))-ROW(OFFSET(nombres[],0,0,1,1))+1,ROW(OFFSET(nombres[],ROWS(nombres[])-1,0,1,1))+1),$O1538:$O1557),3),"")</f>
        <v/>
      </c>
      <c r="UG1538" s="42" t="str">
        <f t="array" aca="1" ref="UG1538" ca="1">IFERROR(INDEX(nombres[],SMALL(IF(OFFSET(nombres[],0,0,ROWS(nombres[]),1)=UG$1490,ROW(OFFSET(nombres[],0,0,ROWS(nombres[]),1))-ROW(OFFSET(nombres[],0,0,1,1))+1,ROW(OFFSET(nombres[],ROWS(nombres[])-1,0,1,1))+1),$O1538:$O1557),3),"")</f>
        <v/>
      </c>
      <c r="UH1538" s="42" t="str">
        <f t="array" aca="1" ref="UH1538" ca="1">IFERROR(INDEX(nombres[],SMALL(IF(OFFSET(nombres[],0,0,ROWS(nombres[]),1)=UH$1490,ROW(OFFSET(nombres[],0,0,ROWS(nombres[]),1))-ROW(OFFSET(nombres[],0,0,1,1))+1,ROW(OFFSET(nombres[],ROWS(nombres[])-1,0,1,1))+1),$O1538:$O1557),3),"")</f>
        <v/>
      </c>
      <c r="UI1538" s="42" t="str">
        <f t="array" aca="1" ref="UI1538" ca="1">IFERROR(INDEX(nombres[],SMALL(IF(OFFSET(nombres[],0,0,ROWS(nombres[]),1)=UI$1490,ROW(OFFSET(nombres[],0,0,ROWS(nombres[]),1))-ROW(OFFSET(nombres[],0,0,1,1))+1,ROW(OFFSET(nombres[],ROWS(nombres[])-1,0,1,1))+1),$O1538:$O1557),3),"")</f>
        <v/>
      </c>
      <c r="UJ1538" s="42" t="str">
        <f t="array" aca="1" ref="UJ1538" ca="1">IFERROR(INDEX(nombres[],SMALL(IF(OFFSET(nombres[],0,0,ROWS(nombres[]),1)=UJ$1490,ROW(OFFSET(nombres[],0,0,ROWS(nombres[]),1))-ROW(OFFSET(nombres[],0,0,1,1))+1,ROW(OFFSET(nombres[],ROWS(nombres[])-1,0,1,1))+1),$O1538:$O1557),3),"")</f>
        <v/>
      </c>
      <c r="UK1538" s="42" t="str">
        <f t="array" aca="1" ref="UK1538" ca="1">IFERROR(INDEX(nombres[],SMALL(IF(OFFSET(nombres[],0,0,ROWS(nombres[]),1)=UK$1490,ROW(OFFSET(nombres[],0,0,ROWS(nombres[]),1))-ROW(OFFSET(nombres[],0,0,1,1))+1,ROW(OFFSET(nombres[],ROWS(nombres[])-1,0,1,1))+1),$O1538:$O1557),3),"")</f>
        <v/>
      </c>
      <c r="UL1538" s="42" t="str">
        <f t="array" aca="1" ref="UL1538" ca="1">IFERROR(INDEX(nombres[],SMALL(IF(OFFSET(nombres[],0,0,ROWS(nombres[]),1)=UL$1490,ROW(OFFSET(nombres[],0,0,ROWS(nombres[]),1))-ROW(OFFSET(nombres[],0,0,1,1))+1,ROW(OFFSET(nombres[],ROWS(nombres[])-1,0,1,1))+1),$O1538:$O1557),3),"")</f>
        <v/>
      </c>
      <c r="UM1538" s="42" t="str">
        <f t="array" aca="1" ref="UM1538" ca="1">IFERROR(INDEX(nombres[],SMALL(IF(OFFSET(nombres[],0,0,ROWS(nombres[]),1)=UM$1490,ROW(OFFSET(nombres[],0,0,ROWS(nombres[]),1))-ROW(OFFSET(nombres[],0,0,1,1))+1,ROW(OFFSET(nombres[],ROWS(nombres[])-1,0,1,1))+1),$O1538:$O1557),3),"")</f>
        <v/>
      </c>
      <c r="UN1538" s="42" t="str">
        <f t="array" aca="1" ref="UN1538" ca="1">IFERROR(INDEX(nombres[],SMALL(IF(OFFSET(nombres[],0,0,ROWS(nombres[]),1)=UN$1490,ROW(OFFSET(nombres[],0,0,ROWS(nombres[]),1))-ROW(OFFSET(nombres[],0,0,1,1))+1,ROW(OFFSET(nombres[],ROWS(nombres[])-1,0,1,1))+1),$O1538:$O1557),3),"")</f>
        <v/>
      </c>
      <c r="UO1538" s="42" t="str">
        <f t="array" aca="1" ref="UO1538" ca="1">IFERROR(INDEX(nombres[],SMALL(IF(OFFSET(nombres[],0,0,ROWS(nombres[]),1)=UO$1490,ROW(OFFSET(nombres[],0,0,ROWS(nombres[]),1))-ROW(OFFSET(nombres[],0,0,1,1))+1,ROW(OFFSET(nombres[],ROWS(nombres[])-1,0,1,1))+1),$O1538:$O1557),3),"")</f>
        <v/>
      </c>
      <c r="UP1538" s="42" t="str">
        <f t="array" aca="1" ref="UP1538" ca="1">IFERROR(INDEX(nombres[],SMALL(IF(OFFSET(nombres[],0,0,ROWS(nombres[]),1)=UP$1490,ROW(OFFSET(nombres[],0,0,ROWS(nombres[]),1))-ROW(OFFSET(nombres[],0,0,1,1))+1,ROW(OFFSET(nombres[],ROWS(nombres[])-1,0,1,1))+1),$O1538:$O1557),3),"")</f>
        <v/>
      </c>
      <c r="UQ1538" s="42" t="str">
        <f t="array" aca="1" ref="UQ1538" ca="1">IFERROR(INDEX(nombres[],SMALL(IF(OFFSET(nombres[],0,0,ROWS(nombres[]),1)=UQ$1490,ROW(OFFSET(nombres[],0,0,ROWS(nombres[]),1))-ROW(OFFSET(nombres[],0,0,1,1))+1,ROW(OFFSET(nombres[],ROWS(nombres[])-1,0,1,1))+1),$O1538:$O1557),3),"")</f>
        <v/>
      </c>
      <c r="UR1538" s="42" t="str">
        <f t="array" aca="1" ref="UR1538" ca="1">IFERROR(INDEX(nombres[],SMALL(IF(OFFSET(nombres[],0,0,ROWS(nombres[]),1)=UR$1490,ROW(OFFSET(nombres[],0,0,ROWS(nombres[]),1))-ROW(OFFSET(nombres[],0,0,1,1))+1,ROW(OFFSET(nombres[],ROWS(nombres[])-1,0,1,1))+1),$O1538:$O1557),3),"")</f>
        <v/>
      </c>
      <c r="US1538" s="42" t="str">
        <f t="array" aca="1" ref="US1538" ca="1">IFERROR(INDEX(nombres[],SMALL(IF(OFFSET(nombres[],0,0,ROWS(nombres[]),1)=US$1490,ROW(OFFSET(nombres[],0,0,ROWS(nombres[]),1))-ROW(OFFSET(nombres[],0,0,1,1))+1,ROW(OFFSET(nombres[],ROWS(nombres[])-1,0,1,1))+1),$O1538:$O1557),3),"")</f>
        <v/>
      </c>
      <c r="UT1538" s="42" t="str">
        <f t="array" aca="1" ref="UT1538" ca="1">IFERROR(INDEX(nombres[],SMALL(IF(OFFSET(nombres[],0,0,ROWS(nombres[]),1)=UT$1490,ROW(OFFSET(nombres[],0,0,ROWS(nombres[]),1))-ROW(OFFSET(nombres[],0,0,1,1))+1,ROW(OFFSET(nombres[],ROWS(nombres[])-1,0,1,1))+1),$O1538:$O1557),3),"")</f>
        <v/>
      </c>
      <c r="UU1538" s="42" t="str">
        <f t="array" aca="1" ref="UU1538" ca="1">IFERROR(INDEX(nombres[],SMALL(IF(OFFSET(nombres[],0,0,ROWS(nombres[]),1)=UU$1490,ROW(OFFSET(nombres[],0,0,ROWS(nombres[]),1))-ROW(OFFSET(nombres[],0,0,1,1))+1,ROW(OFFSET(nombres[],ROWS(nombres[])-1,0,1,1))+1),$O1538:$O1557),3),"")</f>
        <v/>
      </c>
      <c r="UV1538" s="42" t="str">
        <f t="array" aca="1" ref="UV1538" ca="1">IFERROR(INDEX(nombres[],SMALL(IF(OFFSET(nombres[],0,0,ROWS(nombres[]),1)=UV$1490,ROW(OFFSET(nombres[],0,0,ROWS(nombres[]),1))-ROW(OFFSET(nombres[],0,0,1,1))+1,ROW(OFFSET(nombres[],ROWS(nombres[])-1,0,1,1))+1),$O1538:$O1557),3),"")</f>
        <v/>
      </c>
      <c r="UW1538" s="42" t="str">
        <f t="array" aca="1" ref="UW1538" ca="1">IFERROR(INDEX(nombres[],SMALL(IF(OFFSET(nombres[],0,0,ROWS(nombres[]),1)=UW$1490,ROW(OFFSET(nombres[],0,0,ROWS(nombres[]),1))-ROW(OFFSET(nombres[],0,0,1,1))+1,ROW(OFFSET(nombres[],ROWS(nombres[])-1,0,1,1))+1),$O1538:$O1557),3),"")</f>
        <v/>
      </c>
      <c r="UX1538" s="42" t="str">
        <f t="array" aca="1" ref="UX1538" ca="1">IFERROR(INDEX(nombres[],SMALL(IF(OFFSET(nombres[],0,0,ROWS(nombres[]),1)=UX$1490,ROW(OFFSET(nombres[],0,0,ROWS(nombres[]),1))-ROW(OFFSET(nombres[],0,0,1,1))+1,ROW(OFFSET(nombres[],ROWS(nombres[])-1,0,1,1))+1),$O1538:$O1557),3),"")</f>
        <v/>
      </c>
      <c r="UY1538" s="42" t="str">
        <f t="array" aca="1" ref="UY1538" ca="1">IFERROR(INDEX(nombres[],SMALL(IF(OFFSET(nombres[],0,0,ROWS(nombres[]),1)=UY$1490,ROW(OFFSET(nombres[],0,0,ROWS(nombres[]),1))-ROW(OFFSET(nombres[],0,0,1,1))+1,ROW(OFFSET(nombres[],ROWS(nombres[])-1,0,1,1))+1),$O1538:$O1557),3),"")</f>
        <v/>
      </c>
      <c r="UZ1538" s="42" t="str">
        <f t="array" aca="1" ref="UZ1538" ca="1">IFERROR(INDEX(nombres[],SMALL(IF(OFFSET(nombres[],0,0,ROWS(nombres[]),1)=UZ$1490,ROW(OFFSET(nombres[],0,0,ROWS(nombres[]),1))-ROW(OFFSET(nombres[],0,0,1,1))+1,ROW(OFFSET(nombres[],ROWS(nombres[])-1,0,1,1))+1),$O1538:$O1557),3),"")</f>
        <v/>
      </c>
      <c r="VA1538" s="42" t="str">
        <f t="array" aca="1" ref="VA1538" ca="1">IFERROR(INDEX(nombres[],SMALL(IF(OFFSET(nombres[],0,0,ROWS(nombres[]),1)=VA$1490,ROW(OFFSET(nombres[],0,0,ROWS(nombres[]),1))-ROW(OFFSET(nombres[],0,0,1,1))+1,ROW(OFFSET(nombres[],ROWS(nombres[])-1,0,1,1))+1),$O1538:$O1557),3),"")</f>
        <v/>
      </c>
      <c r="VB1538" s="42" t="str">
        <f t="array" aca="1" ref="VB1538" ca="1">IFERROR(INDEX(nombres[],SMALL(IF(OFFSET(nombres[],0,0,ROWS(nombres[]),1)=VB$1490,ROW(OFFSET(nombres[],0,0,ROWS(nombres[]),1))-ROW(OFFSET(nombres[],0,0,1,1))+1,ROW(OFFSET(nombres[],ROWS(nombres[])-1,0,1,1))+1),$O1538:$O1557),3),"")</f>
        <v/>
      </c>
      <c r="VC1538" s="42" t="str">
        <f t="array" aca="1" ref="VC1538" ca="1">IFERROR(INDEX(nombres[],SMALL(IF(OFFSET(nombres[],0,0,ROWS(nombres[]),1)=VC$1490,ROW(OFFSET(nombres[],0,0,ROWS(nombres[]),1))-ROW(OFFSET(nombres[],0,0,1,1))+1,ROW(OFFSET(nombres[],ROWS(nombres[])-1,0,1,1))+1),$O1538:$O1557),3),"")</f>
        <v/>
      </c>
      <c r="VD1538" s="42" t="str">
        <f t="array" aca="1" ref="VD1538" ca="1">IFERROR(INDEX(nombres[],SMALL(IF(OFFSET(nombres[],0,0,ROWS(nombres[]),1)=VD$1490,ROW(OFFSET(nombres[],0,0,ROWS(nombres[]),1))-ROW(OFFSET(nombres[],0,0,1,1))+1,ROW(OFFSET(nombres[],ROWS(nombres[])-1,0,1,1))+1),$O1538:$O1557),3),"")</f>
        <v/>
      </c>
      <c r="VE1538" s="42" t="str">
        <f t="array" aca="1" ref="VE1538" ca="1">IFERROR(INDEX(nombres[],SMALL(IF(OFFSET(nombres[],0,0,ROWS(nombres[]),1)=VE$1490,ROW(OFFSET(nombres[],0,0,ROWS(nombres[]),1))-ROW(OFFSET(nombres[],0,0,1,1))+1,ROW(OFFSET(nombres[],ROWS(nombres[])-1,0,1,1))+1),$O1538:$O1557),3),"")</f>
        <v/>
      </c>
      <c r="VF1538" s="42" t="str">
        <f t="array" aca="1" ref="VF1538" ca="1">IFERROR(INDEX(nombres[],SMALL(IF(OFFSET(nombres[],0,0,ROWS(nombres[]),1)=VF$1490,ROW(OFFSET(nombres[],0,0,ROWS(nombres[]),1))-ROW(OFFSET(nombres[],0,0,1,1))+1,ROW(OFFSET(nombres[],ROWS(nombres[])-1,0,1,1))+1),$O1538:$O1557),3),"")</f>
        <v/>
      </c>
      <c r="VG1538" s="42" t="str">
        <f t="array" aca="1" ref="VG1538" ca="1">IFERROR(INDEX(nombres[],SMALL(IF(OFFSET(nombres[],0,0,ROWS(nombres[]),1)=VG$1490,ROW(OFFSET(nombres[],0,0,ROWS(nombres[]),1))-ROW(OFFSET(nombres[],0,0,1,1))+1,ROW(OFFSET(nombres[],ROWS(nombres[])-1,0,1,1))+1),$O1538:$O1557),3),"")</f>
        <v/>
      </c>
      <c r="VH1538" s="42" t="str">
        <f t="array" aca="1" ref="VH1538" ca="1">IFERROR(INDEX(nombres[],SMALL(IF(OFFSET(nombres[],0,0,ROWS(nombres[]),1)=VH$1490,ROW(OFFSET(nombres[],0,0,ROWS(nombres[]),1))-ROW(OFFSET(nombres[],0,0,1,1))+1,ROW(OFFSET(nombres[],ROWS(nombres[])-1,0,1,1))+1),$O1538:$O1557),3),"")</f>
        <v/>
      </c>
      <c r="VI1538" s="42" t="str">
        <f t="array" aca="1" ref="VI1538" ca="1">IFERROR(INDEX(nombres[],SMALL(IF(OFFSET(nombres[],0,0,ROWS(nombres[]),1)=VI$1490,ROW(OFFSET(nombres[],0,0,ROWS(nombres[]),1))-ROW(OFFSET(nombres[],0,0,1,1))+1,ROW(OFFSET(nombres[],ROWS(nombres[])-1,0,1,1))+1),$O1538:$O1557),3),"")</f>
        <v/>
      </c>
      <c r="VJ1538" s="42" t="str">
        <f t="array" aca="1" ref="VJ1538" ca="1">IFERROR(INDEX(nombres[],SMALL(IF(OFFSET(nombres[],0,0,ROWS(nombres[]),1)=VJ$1490,ROW(OFFSET(nombres[],0,0,ROWS(nombres[]),1))-ROW(OFFSET(nombres[],0,0,1,1))+1,ROW(OFFSET(nombres[],ROWS(nombres[])-1,0,1,1))+1),$O1538:$O1557),3),"")</f>
        <v/>
      </c>
      <c r="VK1538" s="42" t="str">
        <f t="array" aca="1" ref="VK1538" ca="1">IFERROR(INDEX(nombres[],SMALL(IF(OFFSET(nombres[],0,0,ROWS(nombres[]),1)=VK$1490,ROW(OFFSET(nombres[],0,0,ROWS(nombres[]),1))-ROW(OFFSET(nombres[],0,0,1,1))+1,ROW(OFFSET(nombres[],ROWS(nombres[])-1,0,1,1))+1),$O1538:$O1557),3),"")</f>
        <v/>
      </c>
      <c r="VL1538" s="42" t="str">
        <f t="array" aca="1" ref="VL1538" ca="1">IFERROR(INDEX(nombres[],SMALL(IF(OFFSET(nombres[],0,0,ROWS(nombres[]),1)=VL$1490,ROW(OFFSET(nombres[],0,0,ROWS(nombres[]),1))-ROW(OFFSET(nombres[],0,0,1,1))+1,ROW(OFFSET(nombres[],ROWS(nombres[])-1,0,1,1))+1),$O1538:$O1557),3),"")</f>
        <v/>
      </c>
      <c r="VM1538" s="42" t="str">
        <f t="array" aca="1" ref="VM1538" ca="1">IFERROR(INDEX(nombres[],SMALL(IF(OFFSET(nombres[],0,0,ROWS(nombres[]),1)=VM$1490,ROW(OFFSET(nombres[],0,0,ROWS(nombres[]),1))-ROW(OFFSET(nombres[],0,0,1,1))+1,ROW(OFFSET(nombres[],ROWS(nombres[])-1,0,1,1))+1),$O1538:$O1557),3),"")</f>
        <v/>
      </c>
      <c r="VN1538" s="42" t="str">
        <f t="array" aca="1" ref="VN1538" ca="1">IFERROR(INDEX(nombres[],SMALL(IF(OFFSET(nombres[],0,0,ROWS(nombres[]),1)=VN$1490,ROW(OFFSET(nombres[],0,0,ROWS(nombres[]),1))-ROW(OFFSET(nombres[],0,0,1,1))+1,ROW(OFFSET(nombres[],ROWS(nombres[])-1,0,1,1))+1),$O1538:$O1557),3),"")</f>
        <v/>
      </c>
      <c r="VO1538" s="42" t="str">
        <f t="array" aca="1" ref="VO1538" ca="1">IFERROR(INDEX(nombres[],SMALL(IF(OFFSET(nombres[],0,0,ROWS(nombres[]),1)=VO$1490,ROW(OFFSET(nombres[],0,0,ROWS(nombres[]),1))-ROW(OFFSET(nombres[],0,0,1,1))+1,ROW(OFFSET(nombres[],ROWS(nombres[])-1,0,1,1))+1),$O1538:$O1557),3),"")</f>
        <v/>
      </c>
      <c r="VP1538" s="42" t="str">
        <f t="array" aca="1" ref="VP1538" ca="1">IFERROR(INDEX(nombres[],SMALL(IF(OFFSET(nombres[],0,0,ROWS(nombres[]),1)=VP$1490,ROW(OFFSET(nombres[],0,0,ROWS(nombres[]),1))-ROW(OFFSET(nombres[],0,0,1,1))+1,ROW(OFFSET(nombres[],ROWS(nombres[])-1,0,1,1))+1),$O1538:$O1557),3),"")</f>
        <v/>
      </c>
      <c r="VQ1538" s="42" t="str">
        <f t="array" aca="1" ref="VQ1538" ca="1">IFERROR(INDEX(nombres[],SMALL(IF(OFFSET(nombres[],0,0,ROWS(nombres[]),1)=VQ$1490,ROW(OFFSET(nombres[],0,0,ROWS(nombres[]),1))-ROW(OFFSET(nombres[],0,0,1,1))+1,ROW(OFFSET(nombres[],ROWS(nombres[])-1,0,1,1))+1),$O1538:$O1557),3),"")</f>
        <v/>
      </c>
      <c r="VR1538" s="42" t="str">
        <f t="array" aca="1" ref="VR1538" ca="1">IFERROR(INDEX(nombres[],SMALL(IF(OFFSET(nombres[],0,0,ROWS(nombres[]),1)=VR$1490,ROW(OFFSET(nombres[],0,0,ROWS(nombres[]),1))-ROW(OFFSET(nombres[],0,0,1,1))+1,ROW(OFFSET(nombres[],ROWS(nombres[])-1,0,1,1))+1),$O1538:$O1557),3),"")</f>
        <v/>
      </c>
      <c r="VS1538" s="42" t="str">
        <f t="array" aca="1" ref="VS1538" ca="1">IFERROR(INDEX(nombres[],SMALL(IF(OFFSET(nombres[],0,0,ROWS(nombres[]),1)=VS$1490,ROW(OFFSET(nombres[],0,0,ROWS(nombres[]),1))-ROW(OFFSET(nombres[],0,0,1,1))+1,ROW(OFFSET(nombres[],ROWS(nombres[])-1,0,1,1))+1),$O1538:$O1557),3),"")</f>
        <v/>
      </c>
      <c r="VT1538" s="42" t="str">
        <f t="array" aca="1" ref="VT1538" ca="1">IFERROR(INDEX(nombres[],SMALL(IF(OFFSET(nombres[],0,0,ROWS(nombres[]),1)=VT$1490,ROW(OFFSET(nombres[],0,0,ROWS(nombres[]),1))-ROW(OFFSET(nombres[],0,0,1,1))+1,ROW(OFFSET(nombres[],ROWS(nombres[])-1,0,1,1))+1),$O1538:$O1557),3),"")</f>
        <v/>
      </c>
      <c r="VU1538" s="42" t="str">
        <f t="array" aca="1" ref="VU1538" ca="1">IFERROR(INDEX(nombres[],SMALL(IF(OFFSET(nombres[],0,0,ROWS(nombres[]),1)=VU$1490,ROW(OFFSET(nombres[],0,0,ROWS(nombres[]),1))-ROW(OFFSET(nombres[],0,0,1,1))+1,ROW(OFFSET(nombres[],ROWS(nombres[])-1,0,1,1))+1),$O1538:$O1557),3),"")</f>
        <v/>
      </c>
      <c r="VV1538" s="42" t="str">
        <f t="array" aca="1" ref="VV1538" ca="1">IFERROR(INDEX(nombres[],SMALL(IF(OFFSET(nombres[],0,0,ROWS(nombres[]),1)=VV$1490,ROW(OFFSET(nombres[],0,0,ROWS(nombres[]),1))-ROW(OFFSET(nombres[],0,0,1,1))+1,ROW(OFFSET(nombres[],ROWS(nombres[])-1,0,1,1))+1),$O1538:$O1557),3),"")</f>
        <v/>
      </c>
      <c r="VW1538" s="42" t="str">
        <f t="array" aca="1" ref="VW1538" ca="1">IFERROR(INDEX(nombres[],SMALL(IF(OFFSET(nombres[],0,0,ROWS(nombres[]),1)=VW$1490,ROW(OFFSET(nombres[],0,0,ROWS(nombres[]),1))-ROW(OFFSET(nombres[],0,0,1,1))+1,ROW(OFFSET(nombres[],ROWS(nombres[])-1,0,1,1))+1),$O1538:$O1557),3),"")</f>
        <v/>
      </c>
      <c r="VX1538" s="42" t="str">
        <f t="array" aca="1" ref="VX1538" ca="1">IFERROR(INDEX(nombres[],SMALL(IF(OFFSET(nombres[],0,0,ROWS(nombres[]),1)=VX$1490,ROW(OFFSET(nombres[],0,0,ROWS(nombres[]),1))-ROW(OFFSET(nombres[],0,0,1,1))+1,ROW(OFFSET(nombres[],ROWS(nombres[])-1,0,1,1))+1),$O1538:$O1557),3),"")</f>
        <v/>
      </c>
      <c r="VY1538" s="42" t="str">
        <f t="array" aca="1" ref="VY1538" ca="1">IFERROR(INDEX(nombres[],SMALL(IF(OFFSET(nombres[],0,0,ROWS(nombres[]),1)=VY$1490,ROW(OFFSET(nombres[],0,0,ROWS(nombres[]),1))-ROW(OFFSET(nombres[],0,0,1,1))+1,ROW(OFFSET(nombres[],ROWS(nombres[])-1,0,1,1))+1),$O1538:$O1557),3),"")</f>
        <v/>
      </c>
      <c r="VZ1538" s="42" t="str">
        <f t="array" aca="1" ref="VZ1538" ca="1">IFERROR(INDEX(nombres[],SMALL(IF(OFFSET(nombres[],0,0,ROWS(nombres[]),1)=VZ$1490,ROW(OFFSET(nombres[],0,0,ROWS(nombres[]),1))-ROW(OFFSET(nombres[],0,0,1,1))+1,ROW(OFFSET(nombres[],ROWS(nombres[])-1,0,1,1))+1),$O1538:$O1557),3),"")</f>
        <v/>
      </c>
      <c r="WA1538" s="42" t="str">
        <f t="array" aca="1" ref="WA1538" ca="1">IFERROR(INDEX(nombres[],SMALL(IF(OFFSET(nombres[],0,0,ROWS(nombres[]),1)=WA$1490,ROW(OFFSET(nombres[],0,0,ROWS(nombres[]),1))-ROW(OFFSET(nombres[],0,0,1,1))+1,ROW(OFFSET(nombres[],ROWS(nombres[])-1,0,1,1))+1),$O1538:$O1557),3),"")</f>
        <v/>
      </c>
      <c r="WB1538" s="42" t="str">
        <f t="array" aca="1" ref="WB1538" ca="1">IFERROR(INDEX(nombres[],SMALL(IF(OFFSET(nombres[],0,0,ROWS(nombres[]),1)=WB$1490,ROW(OFFSET(nombres[],0,0,ROWS(nombres[]),1))-ROW(OFFSET(nombres[],0,0,1,1))+1,ROW(OFFSET(nombres[],ROWS(nombres[])-1,0,1,1))+1),$O1538:$O1557),3),"")</f>
        <v/>
      </c>
      <c r="WC1538" s="42" t="str">
        <f t="array" aca="1" ref="WC1538" ca="1">IFERROR(INDEX(nombres[],SMALL(IF(OFFSET(nombres[],0,0,ROWS(nombres[]),1)=WC$1490,ROW(OFFSET(nombres[],0,0,ROWS(nombres[]),1))-ROW(OFFSET(nombres[],0,0,1,1))+1,ROW(OFFSET(nombres[],ROWS(nombres[])-1,0,1,1))+1),$O1538:$O1557),3),"")</f>
        <v/>
      </c>
      <c r="WD1538" s="42" t="str">
        <f t="array" aca="1" ref="WD1538" ca="1">IFERROR(INDEX(nombres[],SMALL(IF(OFFSET(nombres[],0,0,ROWS(nombres[]),1)=WD$1490,ROW(OFFSET(nombres[],0,0,ROWS(nombres[]),1))-ROW(OFFSET(nombres[],0,0,1,1))+1,ROW(OFFSET(nombres[],ROWS(nombres[])-1,0,1,1))+1),$O1538:$O1557),3),"")</f>
        <v/>
      </c>
      <c r="WE1538" s="42" t="str">
        <f t="array" aca="1" ref="WE1538" ca="1">IFERROR(INDEX(nombres[],SMALL(IF(OFFSET(nombres[],0,0,ROWS(nombres[]),1)=WE$1490,ROW(OFFSET(nombres[],0,0,ROWS(nombres[]),1))-ROW(OFFSET(nombres[],0,0,1,1))+1,ROW(OFFSET(nombres[],ROWS(nombres[])-1,0,1,1))+1),$O1538:$O1557),3),"")</f>
        <v/>
      </c>
      <c r="WF1538" s="42" t="str">
        <f t="array" aca="1" ref="WF1538" ca="1">IFERROR(INDEX(nombres[],SMALL(IF(OFFSET(nombres[],0,0,ROWS(nombres[]),1)=WF$1490,ROW(OFFSET(nombres[],0,0,ROWS(nombres[]),1))-ROW(OFFSET(nombres[],0,0,1,1))+1,ROW(OFFSET(nombres[],ROWS(nombres[])-1,0,1,1))+1),$O1538:$O1557),3),"")</f>
        <v/>
      </c>
      <c r="WG1538" s="42" t="str">
        <f t="array" aca="1" ref="WG1538" ca="1">IFERROR(INDEX(nombres[],SMALL(IF(OFFSET(nombres[],0,0,ROWS(nombres[]),1)=WG$1490,ROW(OFFSET(nombres[],0,0,ROWS(nombres[]),1))-ROW(OFFSET(nombres[],0,0,1,1))+1,ROW(OFFSET(nombres[],ROWS(nombres[])-1,0,1,1))+1),$O1538:$O1557),3),"")</f>
        <v/>
      </c>
      <c r="WH1538" s="42" t="str">
        <f t="array" aca="1" ref="WH1538" ca="1">IFERROR(INDEX(nombres[],SMALL(IF(OFFSET(nombres[],0,0,ROWS(nombres[]),1)=WH$1490,ROW(OFFSET(nombres[],0,0,ROWS(nombres[]),1))-ROW(OFFSET(nombres[],0,0,1,1))+1,ROW(OFFSET(nombres[],ROWS(nombres[])-1,0,1,1))+1),$O1538:$O1557),3),"")</f>
        <v/>
      </c>
      <c r="WI1538" s="42" t="str">
        <f t="array" aca="1" ref="WI1538" ca="1">IFERROR(INDEX(nombres[],SMALL(IF(OFFSET(nombres[],0,0,ROWS(nombres[]),1)=WI$1490,ROW(OFFSET(nombres[],0,0,ROWS(nombres[]),1))-ROW(OFFSET(nombres[],0,0,1,1))+1,ROW(OFFSET(nombres[],ROWS(nombres[])-1,0,1,1))+1),$O1538:$O1557),3),"")</f>
        <v/>
      </c>
      <c r="WJ1538" s="42" t="str">
        <f t="array" aca="1" ref="WJ1538" ca="1">IFERROR(INDEX(nombres[],SMALL(IF(OFFSET(nombres[],0,0,ROWS(nombres[]),1)=WJ$1490,ROW(OFFSET(nombres[],0,0,ROWS(nombres[]),1))-ROW(OFFSET(nombres[],0,0,1,1))+1,ROW(OFFSET(nombres[],ROWS(nombres[])-1,0,1,1))+1),$O1538:$O1557),3),"")</f>
        <v/>
      </c>
      <c r="WK1538" s="42" t="str">
        <f t="array" aca="1" ref="WK1538" ca="1">IFERROR(INDEX(nombres[],SMALL(IF(OFFSET(nombres[],0,0,ROWS(nombres[]),1)=WK$1490,ROW(OFFSET(nombres[],0,0,ROWS(nombres[]),1))-ROW(OFFSET(nombres[],0,0,1,1))+1,ROW(OFFSET(nombres[],ROWS(nombres[])-1,0,1,1))+1),$O1538:$O1557),3),"")</f>
        <v/>
      </c>
      <c r="WL1538" s="42" t="str">
        <f t="array" aca="1" ref="WL1538" ca="1">IFERROR(INDEX(nombres[],SMALL(IF(OFFSET(nombres[],0,0,ROWS(nombres[]),1)=WL$1490,ROW(OFFSET(nombres[],0,0,ROWS(nombres[]),1))-ROW(OFFSET(nombres[],0,0,1,1))+1,ROW(OFFSET(nombres[],ROWS(nombres[])-1,0,1,1))+1),$O1538:$O1557),3),"")</f>
        <v/>
      </c>
      <c r="WM1538" s="42" t="str">
        <f t="array" aca="1" ref="WM1538" ca="1">IFERROR(INDEX(nombres[],SMALL(IF(OFFSET(nombres[],0,0,ROWS(nombres[]),1)=WM$1490,ROW(OFFSET(nombres[],0,0,ROWS(nombres[]),1))-ROW(OFFSET(nombres[],0,0,1,1))+1,ROW(OFFSET(nombres[],ROWS(nombres[])-1,0,1,1))+1),$O1538:$O1557),3),"")</f>
        <v/>
      </c>
      <c r="WN1538" s="42" t="str">
        <f t="array" aca="1" ref="WN1538" ca="1">IFERROR(INDEX(nombres[],SMALL(IF(OFFSET(nombres[],0,0,ROWS(nombres[]),1)=WN$1490,ROW(OFFSET(nombres[],0,0,ROWS(nombres[]),1))-ROW(OFFSET(nombres[],0,0,1,1))+1,ROW(OFFSET(nombres[],ROWS(nombres[])-1,0,1,1))+1),$O1538:$O1557),3),"")</f>
        <v/>
      </c>
      <c r="WO1538" s="42" t="str">
        <f t="array" aca="1" ref="WO1538" ca="1">IFERROR(INDEX(nombres[],SMALL(IF(OFFSET(nombres[],0,0,ROWS(nombres[]),1)=WO$1490,ROW(OFFSET(nombres[],0,0,ROWS(nombres[]),1))-ROW(OFFSET(nombres[],0,0,1,1))+1,ROW(OFFSET(nombres[],ROWS(nombres[])-1,0,1,1))+1),$O1538:$O1557),3),"")</f>
        <v/>
      </c>
      <c r="WP1538" s="42" t="str">
        <f t="array" aca="1" ref="WP1538" ca="1">IFERROR(INDEX(nombres[],SMALL(IF(OFFSET(nombres[],0,0,ROWS(nombres[]),1)=WP$1490,ROW(OFFSET(nombres[],0,0,ROWS(nombres[]),1))-ROW(OFFSET(nombres[],0,0,1,1))+1,ROW(OFFSET(nombres[],ROWS(nombres[])-1,0,1,1))+1),$O1538:$O1557),3),"")</f>
        <v/>
      </c>
      <c r="WQ1538" s="42" t="str">
        <f t="array" aca="1" ref="WQ1538" ca="1">IFERROR(INDEX(nombres[],SMALL(IF(OFFSET(nombres[],0,0,ROWS(nombres[]),1)=WQ$1490,ROW(OFFSET(nombres[],0,0,ROWS(nombres[]),1))-ROW(OFFSET(nombres[],0,0,1,1))+1,ROW(OFFSET(nombres[],ROWS(nombres[])-1,0,1,1))+1),$O1538:$O1557),3),"")</f>
        <v/>
      </c>
      <c r="WR1538" s="42" t="str">
        <f t="array" aca="1" ref="WR1538" ca="1">IFERROR(INDEX(nombres[],SMALL(IF(OFFSET(nombres[],0,0,ROWS(nombres[]),1)=WR$1490,ROW(OFFSET(nombres[],0,0,ROWS(nombres[]),1))-ROW(OFFSET(nombres[],0,0,1,1))+1,ROW(OFFSET(nombres[],ROWS(nombres[])-1,0,1,1))+1),$O1538:$O1557),3),"")</f>
        <v/>
      </c>
      <c r="WS1538" s="42" t="str">
        <f t="array" aca="1" ref="WS1538" ca="1">IFERROR(INDEX(nombres[],SMALL(IF(OFFSET(nombres[],0,0,ROWS(nombres[]),1)=WS$1490,ROW(OFFSET(nombres[],0,0,ROWS(nombres[]),1))-ROW(OFFSET(nombres[],0,0,1,1))+1,ROW(OFFSET(nombres[],ROWS(nombres[])-1,0,1,1))+1),$O1538:$O1557),3),"")</f>
        <v/>
      </c>
      <c r="WT1538" s="42" t="str">
        <f t="array" aca="1" ref="WT1538" ca="1">IFERROR(INDEX(nombres[],SMALL(IF(OFFSET(nombres[],0,0,ROWS(nombres[]),1)=WT$1490,ROW(OFFSET(nombres[],0,0,ROWS(nombres[]),1))-ROW(OFFSET(nombres[],0,0,1,1))+1,ROW(OFFSET(nombres[],ROWS(nombres[])-1,0,1,1))+1),$O1538:$O1557),3),"")</f>
        <v/>
      </c>
      <c r="WU1538" s="42" t="str">
        <f t="array" aca="1" ref="WU1538" ca="1">IFERROR(INDEX(nombres[],SMALL(IF(OFFSET(nombres[],0,0,ROWS(nombres[]),1)=WU$1490,ROW(OFFSET(nombres[],0,0,ROWS(nombres[]),1))-ROW(OFFSET(nombres[],0,0,1,1))+1,ROW(OFFSET(nombres[],ROWS(nombres[])-1,0,1,1))+1),$O1538:$O1557),3),"")</f>
        <v/>
      </c>
      <c r="WV1538" s="42" t="str">
        <f t="array" aca="1" ref="WV1538" ca="1">IFERROR(INDEX(nombres[],SMALL(IF(OFFSET(nombres[],0,0,ROWS(nombres[]),1)=WV$1490,ROW(OFFSET(nombres[],0,0,ROWS(nombres[]),1))-ROW(OFFSET(nombres[],0,0,1,1))+1,ROW(OFFSET(nombres[],ROWS(nombres[])-1,0,1,1))+1),$O1538:$O1557),3),"")</f>
        <v/>
      </c>
      <c r="WW1538" s="42" t="str">
        <f t="array" aca="1" ref="WW1538" ca="1">IFERROR(INDEX(nombres[],SMALL(IF(OFFSET(nombres[],0,0,ROWS(nombres[]),1)=WW$1490,ROW(OFFSET(nombres[],0,0,ROWS(nombres[]),1))-ROW(OFFSET(nombres[],0,0,1,1))+1,ROW(OFFSET(nombres[],ROWS(nombres[])-1,0,1,1))+1),$O1538:$O1557),3),"")</f>
        <v/>
      </c>
      <c r="WX1538" s="42" t="str">
        <f t="array" aca="1" ref="WX1538" ca="1">IFERROR(INDEX(nombres[],SMALL(IF(OFFSET(nombres[],0,0,ROWS(nombres[]),1)=WX$1490,ROW(OFFSET(nombres[],0,0,ROWS(nombres[]),1))-ROW(OFFSET(nombres[],0,0,1,1))+1,ROW(OFFSET(nombres[],ROWS(nombres[])-1,0,1,1))+1),$O1538:$O1557),3),"")</f>
        <v/>
      </c>
      <c r="WY1538" s="42" t="str">
        <f t="array" aca="1" ref="WY1538" ca="1">IFERROR(INDEX(nombres[],SMALL(IF(OFFSET(nombres[],0,0,ROWS(nombres[]),1)=WY$1490,ROW(OFFSET(nombres[],0,0,ROWS(nombres[]),1))-ROW(OFFSET(nombres[],0,0,1,1))+1,ROW(OFFSET(nombres[],ROWS(nombres[])-1,0,1,1))+1),$O1538:$O1557),3),"")</f>
        <v/>
      </c>
      <c r="WZ1538" s="42" t="str">
        <f t="array" aca="1" ref="WZ1538" ca="1">IFERROR(INDEX(nombres[],SMALL(IF(OFFSET(nombres[],0,0,ROWS(nombres[]),1)=WZ$1490,ROW(OFFSET(nombres[],0,0,ROWS(nombres[]),1))-ROW(OFFSET(nombres[],0,0,1,1))+1,ROW(OFFSET(nombres[],ROWS(nombres[])-1,0,1,1))+1),$O1538:$O1557),3),"")</f>
        <v/>
      </c>
      <c r="XA1538" s="42" t="str">
        <f t="array" aca="1" ref="XA1538" ca="1">IFERROR(INDEX(nombres[],SMALL(IF(OFFSET(nombres[],0,0,ROWS(nombres[]),1)=XA$1490,ROW(OFFSET(nombres[],0,0,ROWS(nombres[]),1))-ROW(OFFSET(nombres[],0,0,1,1))+1,ROW(OFFSET(nombres[],ROWS(nombres[])-1,0,1,1))+1),$O1538:$O1557),3),"")</f>
        <v/>
      </c>
      <c r="XB1538" s="42" t="str">
        <f t="array" aca="1" ref="XB1538" ca="1">IFERROR(INDEX(nombres[],SMALL(IF(OFFSET(nombres[],0,0,ROWS(nombres[]),1)=XB$1490,ROW(OFFSET(nombres[],0,0,ROWS(nombres[]),1))-ROW(OFFSET(nombres[],0,0,1,1))+1,ROW(OFFSET(nombres[],ROWS(nombres[])-1,0,1,1))+1),$O1538:$O1557),3),"")</f>
        <v/>
      </c>
      <c r="XC1538" s="42" t="str">
        <f t="array" aca="1" ref="XC1538" ca="1">IFERROR(INDEX(nombres[],SMALL(IF(OFFSET(nombres[],0,0,ROWS(nombres[]),1)=XC$1490,ROW(OFFSET(nombres[],0,0,ROWS(nombres[]),1))-ROW(OFFSET(nombres[],0,0,1,1))+1,ROW(OFFSET(nombres[],ROWS(nombres[])-1,0,1,1))+1),$O1538:$O1557),3),"")</f>
        <v/>
      </c>
      <c r="XD1538" s="42" t="str">
        <f t="array" aca="1" ref="XD1538" ca="1">IFERROR(INDEX(nombres[],SMALL(IF(OFFSET(nombres[],0,0,ROWS(nombres[]),1)=XD$1490,ROW(OFFSET(nombres[],0,0,ROWS(nombres[]),1))-ROW(OFFSET(nombres[],0,0,1,1))+1,ROW(OFFSET(nombres[],ROWS(nombres[])-1,0,1,1))+1),$O1538:$O1557),3),"")</f>
        <v/>
      </c>
      <c r="XE1538" s="42" t="str">
        <f t="array" aca="1" ref="XE1538" ca="1">IFERROR(INDEX(nombres[],SMALL(IF(OFFSET(nombres[],0,0,ROWS(nombres[]),1)=XE$1490,ROW(OFFSET(nombres[],0,0,ROWS(nombres[]),1))-ROW(OFFSET(nombres[],0,0,1,1))+1,ROW(OFFSET(nombres[],ROWS(nombres[])-1,0,1,1))+1),$O1538:$O1557),3),"")</f>
        <v/>
      </c>
      <c r="XF1538" s="42" t="str">
        <f t="array" aca="1" ref="XF1538" ca="1">IFERROR(INDEX(nombres[],SMALL(IF(OFFSET(nombres[],0,0,ROWS(nombres[]),1)=XF$1490,ROW(OFFSET(nombres[],0,0,ROWS(nombres[]),1))-ROW(OFFSET(nombres[],0,0,1,1))+1,ROW(OFFSET(nombres[],ROWS(nombres[])-1,0,1,1))+1),$O1538:$O1557),3),"")</f>
        <v/>
      </c>
      <c r="XG1538" s="42" t="str">
        <f t="array" aca="1" ref="XG1538" ca="1">IFERROR(INDEX(nombres[],SMALL(IF(OFFSET(nombres[],0,0,ROWS(nombres[]),1)=XG$1490,ROW(OFFSET(nombres[],0,0,ROWS(nombres[]),1))-ROW(OFFSET(nombres[],0,0,1,1))+1,ROW(OFFSET(nombres[],ROWS(nombres[])-1,0,1,1))+1),$O1538:$O1557),3),"")</f>
        <v/>
      </c>
      <c r="XH1538" s="42" t="str">
        <f t="array" aca="1" ref="XH1538" ca="1">IFERROR(INDEX(nombres[],SMALL(IF(OFFSET(nombres[],0,0,ROWS(nombres[]),1)=XH$1490,ROW(OFFSET(nombres[],0,0,ROWS(nombres[]),1))-ROW(OFFSET(nombres[],0,0,1,1))+1,ROW(OFFSET(nombres[],ROWS(nombres[])-1,0,1,1))+1),$O1538:$O1557),3),"")</f>
        <v/>
      </c>
      <c r="XI1538" s="42" t="str">
        <f t="array" aca="1" ref="XI1538" ca="1">IFERROR(INDEX(nombres[],SMALL(IF(OFFSET(nombres[],0,0,ROWS(nombres[]),1)=XI$1490,ROW(OFFSET(nombres[],0,0,ROWS(nombres[]),1))-ROW(OFFSET(nombres[],0,0,1,1))+1,ROW(OFFSET(nombres[],ROWS(nombres[])-1,0,1,1))+1),$O1538:$O1557),3),"")</f>
        <v/>
      </c>
      <c r="XJ1538" s="42" t="str">
        <f t="array" aca="1" ref="XJ1538" ca="1">IFERROR(INDEX(nombres[],SMALL(IF(OFFSET(nombres[],0,0,ROWS(nombres[]),1)=XJ$1490,ROW(OFFSET(nombres[],0,0,ROWS(nombres[]),1))-ROW(OFFSET(nombres[],0,0,1,1))+1,ROW(OFFSET(nombres[],ROWS(nombres[])-1,0,1,1))+1),$O1538:$O1557),3),"")</f>
        <v/>
      </c>
      <c r="XK1538" s="42" t="str">
        <f t="array" aca="1" ref="XK1538" ca="1">IFERROR(INDEX(nombres[],SMALL(IF(OFFSET(nombres[],0,0,ROWS(nombres[]),1)=XK$1490,ROW(OFFSET(nombres[],0,0,ROWS(nombres[]),1))-ROW(OFFSET(nombres[],0,0,1,1))+1,ROW(OFFSET(nombres[],ROWS(nombres[])-1,0,1,1))+1),$O1538:$O1557),3),"")</f>
        <v/>
      </c>
      <c r="XL1538" s="42" t="str">
        <f t="array" aca="1" ref="XL1538" ca="1">IFERROR(INDEX(nombres[],SMALL(IF(OFFSET(nombres[],0,0,ROWS(nombres[]),1)=XL$1490,ROW(OFFSET(nombres[],0,0,ROWS(nombres[]),1))-ROW(OFFSET(nombres[],0,0,1,1))+1,ROW(OFFSET(nombres[],ROWS(nombres[])-1,0,1,1))+1),$O1538:$O1557),3),"")</f>
        <v/>
      </c>
      <c r="XM1538" s="42" t="str">
        <f t="array" aca="1" ref="XM1538" ca="1">IFERROR(INDEX(nombres[],SMALL(IF(OFFSET(nombres[],0,0,ROWS(nombres[]),1)=XM$1490,ROW(OFFSET(nombres[],0,0,ROWS(nombres[]),1))-ROW(OFFSET(nombres[],0,0,1,1))+1,ROW(OFFSET(nombres[],ROWS(nombres[])-1,0,1,1))+1),$O1538:$O1557),3),"")</f>
        <v/>
      </c>
      <c r="XN1538" s="42" t="str">
        <f t="array" aca="1" ref="XN1538" ca="1">IFERROR(INDEX(nombres[],SMALL(IF(OFFSET(nombres[],0,0,ROWS(nombres[]),1)=XN$1490,ROW(OFFSET(nombres[],0,0,ROWS(nombres[]),1))-ROW(OFFSET(nombres[],0,0,1,1))+1,ROW(OFFSET(nombres[],ROWS(nombres[])-1,0,1,1))+1),$O1538:$O1557),3),"")</f>
        <v/>
      </c>
      <c r="XO1538" s="42" t="str">
        <f t="array" aca="1" ref="XO1538" ca="1">IFERROR(INDEX(nombres[],SMALL(IF(OFFSET(nombres[],0,0,ROWS(nombres[]),1)=XO$1490,ROW(OFFSET(nombres[],0,0,ROWS(nombres[]),1))-ROW(OFFSET(nombres[],0,0,1,1))+1,ROW(OFFSET(nombres[],ROWS(nombres[])-1,0,1,1))+1),$O1538:$O1557),3),"")</f>
        <v/>
      </c>
      <c r="XP1538" s="42" t="str">
        <f t="array" aca="1" ref="XP1538" ca="1">IFERROR(INDEX(nombres[],SMALL(IF(OFFSET(nombres[],0,0,ROWS(nombres[]),1)=XP$1490,ROW(OFFSET(nombres[],0,0,ROWS(nombres[]),1))-ROW(OFFSET(nombres[],0,0,1,1))+1,ROW(OFFSET(nombres[],ROWS(nombres[])-1,0,1,1))+1),$O1538:$O1557),3),"")</f>
        <v/>
      </c>
      <c r="XQ1538" s="42" t="str">
        <f t="array" aca="1" ref="XQ1538" ca="1">IFERROR(INDEX(nombres[],SMALL(IF(OFFSET(nombres[],0,0,ROWS(nombres[]),1)=XQ$1490,ROW(OFFSET(nombres[],0,0,ROWS(nombres[]),1))-ROW(OFFSET(nombres[],0,0,1,1))+1,ROW(OFFSET(nombres[],ROWS(nombres[])-1,0,1,1))+1),$O1538:$O1557),3),"")</f>
        <v/>
      </c>
      <c r="XR1538" s="42" t="str">
        <f t="array" aca="1" ref="XR1538" ca="1">IFERROR(INDEX(nombres[],SMALL(IF(OFFSET(nombres[],0,0,ROWS(nombres[]),1)=XR$1490,ROW(OFFSET(nombres[],0,0,ROWS(nombres[]),1))-ROW(OFFSET(nombres[],0,0,1,1))+1,ROW(OFFSET(nombres[],ROWS(nombres[])-1,0,1,1))+1),$O1538:$O1557),3),"")</f>
        <v/>
      </c>
      <c r="XS1538" s="42" t="str">
        <f t="array" aca="1" ref="XS1538" ca="1">IFERROR(INDEX(nombres[],SMALL(IF(OFFSET(nombres[],0,0,ROWS(nombres[]),1)=XS$1490,ROW(OFFSET(nombres[],0,0,ROWS(nombres[]),1))-ROW(OFFSET(nombres[],0,0,1,1))+1,ROW(OFFSET(nombres[],ROWS(nombres[])-1,0,1,1))+1),$O1538:$O1557),3),"")</f>
        <v/>
      </c>
      <c r="XT1538" s="42" t="str">
        <f t="array" aca="1" ref="XT1538" ca="1">IFERROR(INDEX(nombres[],SMALL(IF(OFFSET(nombres[],0,0,ROWS(nombres[]),1)=XT$1490,ROW(OFFSET(nombres[],0,0,ROWS(nombres[]),1))-ROW(OFFSET(nombres[],0,0,1,1))+1,ROW(OFFSET(nombres[],ROWS(nombres[])-1,0,1,1))+1),$O1538:$O1557),3),"")</f>
        <v/>
      </c>
      <c r="XU1538" s="42" t="str">
        <f t="array" aca="1" ref="XU1538" ca="1">IFERROR(INDEX(nombres[],SMALL(IF(OFFSET(nombres[],0,0,ROWS(nombres[]),1)=XU$1490,ROW(OFFSET(nombres[],0,0,ROWS(nombres[]),1))-ROW(OFFSET(nombres[],0,0,1,1))+1,ROW(OFFSET(nombres[],ROWS(nombres[])-1,0,1,1))+1),$O1538:$O1557),3),"")</f>
        <v/>
      </c>
      <c r="XV1538" s="42" t="str">
        <f t="array" aca="1" ref="XV1538" ca="1">IFERROR(INDEX(nombres[],SMALL(IF(OFFSET(nombres[],0,0,ROWS(nombres[]),1)=XV$1490,ROW(OFFSET(nombres[],0,0,ROWS(nombres[]),1))-ROW(OFFSET(nombres[],0,0,1,1))+1,ROW(OFFSET(nombres[],ROWS(nombres[])-1,0,1,1))+1),$O1538:$O1557),3),"")</f>
        <v/>
      </c>
      <c r="XW1538" s="42" t="str">
        <f t="array" aca="1" ref="XW1538" ca="1">IFERROR(INDEX(nombres[],SMALL(IF(OFFSET(nombres[],0,0,ROWS(nombres[]),1)=XW$1490,ROW(OFFSET(nombres[],0,0,ROWS(nombres[]),1))-ROW(OFFSET(nombres[],0,0,1,1))+1,ROW(OFFSET(nombres[],ROWS(nombres[])-1,0,1,1))+1),$O1538:$O1557),3),"")</f>
        <v/>
      </c>
      <c r="XX1538" s="42" t="str">
        <f t="array" aca="1" ref="XX1538" ca="1">IFERROR(INDEX(nombres[],SMALL(IF(OFFSET(nombres[],0,0,ROWS(nombres[]),1)=XX$1490,ROW(OFFSET(nombres[],0,0,ROWS(nombres[]),1))-ROW(OFFSET(nombres[],0,0,1,1))+1,ROW(OFFSET(nombres[],ROWS(nombres[])-1,0,1,1))+1),$O1538:$O1557),3),"")</f>
        <v/>
      </c>
      <c r="XY1538" s="42" t="str">
        <f t="array" aca="1" ref="XY1538" ca="1">IFERROR(INDEX(nombres[],SMALL(IF(OFFSET(nombres[],0,0,ROWS(nombres[]),1)=XY$1490,ROW(OFFSET(nombres[],0,0,ROWS(nombres[]),1))-ROW(OFFSET(nombres[],0,0,1,1))+1,ROW(OFFSET(nombres[],ROWS(nombres[])-1,0,1,1))+1),$O1538:$O1557),3),"")</f>
        <v/>
      </c>
      <c r="XZ1538" s="42" t="str">
        <f t="array" aca="1" ref="XZ1538" ca="1">IFERROR(INDEX(nombres[],SMALL(IF(OFFSET(nombres[],0,0,ROWS(nombres[]),1)=XZ$1490,ROW(OFFSET(nombres[],0,0,ROWS(nombres[]),1))-ROW(OFFSET(nombres[],0,0,1,1))+1,ROW(OFFSET(nombres[],ROWS(nombres[])-1,0,1,1))+1),$O1538:$O1557),3),"")</f>
        <v/>
      </c>
      <c r="YA1538" s="42" t="str">
        <f t="array" aca="1" ref="YA1538" ca="1">IFERROR(INDEX(nombres[],SMALL(IF(OFFSET(nombres[],0,0,ROWS(nombres[]),1)=YA$1490,ROW(OFFSET(nombres[],0,0,ROWS(nombres[]),1))-ROW(OFFSET(nombres[],0,0,1,1))+1,ROW(OFFSET(nombres[],ROWS(nombres[])-1,0,1,1))+1),$O1538:$O1557),3),"")</f>
        <v/>
      </c>
      <c r="YB1538" s="42" t="str">
        <f t="array" aca="1" ref="YB1538" ca="1">IFERROR(INDEX(nombres[],SMALL(IF(OFFSET(nombres[],0,0,ROWS(nombres[]),1)=YB$1490,ROW(OFFSET(nombres[],0,0,ROWS(nombres[]),1))-ROW(OFFSET(nombres[],0,0,1,1))+1,ROW(OFFSET(nombres[],ROWS(nombres[])-1,0,1,1))+1),$O1538:$O1557),3),"")</f>
        <v/>
      </c>
      <c r="YC1538" s="42" t="str">
        <f t="array" aca="1" ref="YC1538" ca="1">IFERROR(INDEX(nombres[],SMALL(IF(OFFSET(nombres[],0,0,ROWS(nombres[]),1)=YC$1490,ROW(OFFSET(nombres[],0,0,ROWS(nombres[]),1))-ROW(OFFSET(nombres[],0,0,1,1))+1,ROW(OFFSET(nombres[],ROWS(nombres[])-1,0,1,1))+1),$O1538:$O1557),3),"")</f>
        <v/>
      </c>
      <c r="YD1538" s="42" t="str">
        <f t="array" aca="1" ref="YD1538" ca="1">IFERROR(INDEX(nombres[],SMALL(IF(OFFSET(nombres[],0,0,ROWS(nombres[]),1)=YD$1490,ROW(OFFSET(nombres[],0,0,ROWS(nombres[]),1))-ROW(OFFSET(nombres[],0,0,1,1))+1,ROW(OFFSET(nombres[],ROWS(nombres[])-1,0,1,1))+1),$O1538:$O1557),3),"")</f>
        <v/>
      </c>
      <c r="YE1538" s="42" t="str">
        <f t="array" aca="1" ref="YE1538" ca="1">IFERROR(INDEX(nombres[],SMALL(IF(OFFSET(nombres[],0,0,ROWS(nombres[]),1)=YE$1490,ROW(OFFSET(nombres[],0,0,ROWS(nombres[]),1))-ROW(OFFSET(nombres[],0,0,1,1))+1,ROW(OFFSET(nombres[],ROWS(nombres[])-1,0,1,1))+1),$O1538:$O1557),3),"")</f>
        <v/>
      </c>
      <c r="YF1538" s="42" t="str">
        <f t="array" aca="1" ref="YF1538" ca="1">IFERROR(INDEX(nombres[],SMALL(IF(OFFSET(nombres[],0,0,ROWS(nombres[]),1)=YF$1490,ROW(OFFSET(nombres[],0,0,ROWS(nombres[]),1))-ROW(OFFSET(nombres[],0,0,1,1))+1,ROW(OFFSET(nombres[],ROWS(nombres[])-1,0,1,1))+1),$O1538:$O1557),3),"")</f>
        <v/>
      </c>
      <c r="YG1538" s="42" t="str">
        <f t="array" aca="1" ref="YG1538" ca="1">IFERROR(INDEX(nombres[],SMALL(IF(OFFSET(nombres[],0,0,ROWS(nombres[]),1)=YG$1490,ROW(OFFSET(nombres[],0,0,ROWS(nombres[]),1))-ROW(OFFSET(nombres[],0,0,1,1))+1,ROW(OFFSET(nombres[],ROWS(nombres[])-1,0,1,1))+1),$O1538:$O1557),3),"")</f>
        <v/>
      </c>
      <c r="YH1538" s="42" t="str">
        <f t="array" aca="1" ref="YH1538" ca="1">IFERROR(INDEX(nombres[],SMALL(IF(OFFSET(nombres[],0,0,ROWS(nombres[]),1)=YH$1490,ROW(OFFSET(nombres[],0,0,ROWS(nombres[]),1))-ROW(OFFSET(nombres[],0,0,1,1))+1,ROW(OFFSET(nombres[],ROWS(nombres[])-1,0,1,1))+1),$O1538:$O1557),3),"")</f>
        <v/>
      </c>
      <c r="YI1538" s="42" t="str">
        <f t="array" aca="1" ref="YI1538" ca="1">IFERROR(INDEX(nombres[],SMALL(IF(OFFSET(nombres[],0,0,ROWS(nombres[]),1)=YI$1490,ROW(OFFSET(nombres[],0,0,ROWS(nombres[]),1))-ROW(OFFSET(nombres[],0,0,1,1))+1,ROW(OFFSET(nombres[],ROWS(nombres[])-1,0,1,1))+1),$O1538:$O1557),3),"")</f>
        <v/>
      </c>
      <c r="YJ1538" s="42" t="str">
        <f t="array" aca="1" ref="YJ1538" ca="1">IFERROR(INDEX(nombres[],SMALL(IF(OFFSET(nombres[],0,0,ROWS(nombres[]),1)=YJ$1490,ROW(OFFSET(nombres[],0,0,ROWS(nombres[]),1))-ROW(OFFSET(nombres[],0,0,1,1))+1,ROW(OFFSET(nombres[],ROWS(nombres[])-1,0,1,1))+1),$O1538:$O1557),3),"")</f>
        <v/>
      </c>
      <c r="YK1538" s="42" t="str">
        <f t="array" aca="1" ref="YK1538" ca="1">IFERROR(INDEX(nombres[],SMALL(IF(OFFSET(nombres[],0,0,ROWS(nombres[]),1)=YK$1490,ROW(OFFSET(nombres[],0,0,ROWS(nombres[]),1))-ROW(OFFSET(nombres[],0,0,1,1))+1,ROW(OFFSET(nombres[],ROWS(nombres[])-1,0,1,1))+1),$O1538:$O1557),3),"")</f>
        <v/>
      </c>
      <c r="YL1538" s="42" t="str">
        <f t="array" aca="1" ref="YL1538" ca="1">IFERROR(INDEX(nombres[],SMALL(IF(OFFSET(nombres[],0,0,ROWS(nombres[]),1)=YL$1490,ROW(OFFSET(nombres[],0,0,ROWS(nombres[]),1))-ROW(OFFSET(nombres[],0,0,1,1))+1,ROW(OFFSET(nombres[],ROWS(nombres[])-1,0,1,1))+1),$O1538:$O1557),3),"")</f>
        <v/>
      </c>
      <c r="YM1538" s="42" t="str">
        <f t="array" aca="1" ref="YM1538" ca="1">IFERROR(INDEX(nombres[],SMALL(IF(OFFSET(nombres[],0,0,ROWS(nombres[]),1)=YM$1490,ROW(OFFSET(nombres[],0,0,ROWS(nombres[]),1))-ROW(OFFSET(nombres[],0,0,1,1))+1,ROW(OFFSET(nombres[],ROWS(nombres[])-1,0,1,1))+1),$O1538:$O1557),3),"")</f>
        <v/>
      </c>
      <c r="YN1538" s="42" t="str">
        <f t="array" aca="1" ref="YN1538" ca="1">IFERROR(INDEX(nombres[],SMALL(IF(OFFSET(nombres[],0,0,ROWS(nombres[]),1)=YN$1490,ROW(OFFSET(nombres[],0,0,ROWS(nombres[]),1))-ROW(OFFSET(nombres[],0,0,1,1))+1,ROW(OFFSET(nombres[],ROWS(nombres[])-1,0,1,1))+1),$O1538:$O1557),3),"")</f>
        <v/>
      </c>
      <c r="YO1538" s="42" t="str">
        <f t="array" aca="1" ref="YO1538" ca="1">IFERROR(INDEX(nombres[],SMALL(IF(OFFSET(nombres[],0,0,ROWS(nombres[]),1)=YO$1490,ROW(OFFSET(nombres[],0,0,ROWS(nombres[]),1))-ROW(OFFSET(nombres[],0,0,1,1))+1,ROW(OFFSET(nombres[],ROWS(nombres[])-1,0,1,1))+1),$O1538:$O1557),3),"")</f>
        <v/>
      </c>
      <c r="YP1538" s="42" t="str">
        <f t="array" aca="1" ref="YP1538" ca="1">IFERROR(INDEX(nombres[],SMALL(IF(OFFSET(nombres[],0,0,ROWS(nombres[]),1)=YP$1490,ROW(OFFSET(nombres[],0,0,ROWS(nombres[]),1))-ROW(OFFSET(nombres[],0,0,1,1))+1,ROW(OFFSET(nombres[],ROWS(nombres[])-1,0,1,1))+1),$O1538:$O1557),3),"")</f>
        <v/>
      </c>
      <c r="YQ1538" s="42" t="str">
        <f t="array" aca="1" ref="YQ1538" ca="1">IFERROR(INDEX(nombres[],SMALL(IF(OFFSET(nombres[],0,0,ROWS(nombres[]),1)=YQ$1490,ROW(OFFSET(nombres[],0,0,ROWS(nombres[]),1))-ROW(OFFSET(nombres[],0,0,1,1))+1,ROW(OFFSET(nombres[],ROWS(nombres[])-1,0,1,1))+1),$O1538:$O1557),3),"")</f>
        <v/>
      </c>
      <c r="YR1538" s="42" t="str">
        <f t="array" aca="1" ref="YR1538" ca="1">IFERROR(INDEX(nombres[],SMALL(IF(OFFSET(nombres[],0,0,ROWS(nombres[]),1)=YR$1490,ROW(OFFSET(nombres[],0,0,ROWS(nombres[]),1))-ROW(OFFSET(nombres[],0,0,1,1))+1,ROW(OFFSET(nombres[],ROWS(nombres[])-1,0,1,1))+1),$O1538:$O1557),3),"")</f>
        <v/>
      </c>
      <c r="YS1538" s="42" t="str">
        <f t="array" aca="1" ref="YS1538" ca="1">IFERROR(INDEX(nombres[],SMALL(IF(OFFSET(nombres[],0,0,ROWS(nombres[]),1)=YS$1490,ROW(OFFSET(nombres[],0,0,ROWS(nombres[]),1))-ROW(OFFSET(nombres[],0,0,1,1))+1,ROW(OFFSET(nombres[],ROWS(nombres[])-1,0,1,1))+1),$O1538:$O1557),3),"")</f>
        <v/>
      </c>
      <c r="YT1538" s="42" t="str">
        <f t="array" aca="1" ref="YT1538" ca="1">IFERROR(INDEX(nombres[],SMALL(IF(OFFSET(nombres[],0,0,ROWS(nombres[]),1)=YT$1490,ROW(OFFSET(nombres[],0,0,ROWS(nombres[]),1))-ROW(OFFSET(nombres[],0,0,1,1))+1,ROW(OFFSET(nombres[],ROWS(nombres[])-1,0,1,1))+1),$O1538:$O1557),3),"")</f>
        <v/>
      </c>
      <c r="YU1538" s="42" t="str">
        <f t="array" aca="1" ref="YU1538" ca="1">IFERROR(INDEX(nombres[],SMALL(IF(OFFSET(nombres[],0,0,ROWS(nombres[]),1)=YU$1490,ROW(OFFSET(nombres[],0,0,ROWS(nombres[]),1))-ROW(OFFSET(nombres[],0,0,1,1))+1,ROW(OFFSET(nombres[],ROWS(nombres[])-1,0,1,1))+1),$O1538:$O1557),3),"")</f>
        <v/>
      </c>
      <c r="YV1538" s="42" t="str">
        <f t="array" aca="1" ref="YV1538" ca="1">IFERROR(INDEX(nombres[],SMALL(IF(OFFSET(nombres[],0,0,ROWS(nombres[]),1)=YV$1490,ROW(OFFSET(nombres[],0,0,ROWS(nombres[]),1))-ROW(OFFSET(nombres[],0,0,1,1))+1,ROW(OFFSET(nombres[],ROWS(nombres[])-1,0,1,1))+1),$O1538:$O1557),3),"")</f>
        <v/>
      </c>
      <c r="YW1538" s="42" t="str">
        <f t="array" aca="1" ref="YW1538" ca="1">IFERROR(INDEX(nombres[],SMALL(IF(OFFSET(nombres[],0,0,ROWS(nombres[]),1)=YW$1490,ROW(OFFSET(nombres[],0,0,ROWS(nombres[]),1))-ROW(OFFSET(nombres[],0,0,1,1))+1,ROW(OFFSET(nombres[],ROWS(nombres[])-1,0,1,1))+1),$O1538:$O1557),3),"")</f>
        <v/>
      </c>
      <c r="YX1538" s="42" t="str">
        <f t="array" aca="1" ref="YX1538" ca="1">IFERROR(INDEX(nombres[],SMALL(IF(OFFSET(nombres[],0,0,ROWS(nombres[]),1)=YX$1490,ROW(OFFSET(nombres[],0,0,ROWS(nombres[]),1))-ROW(OFFSET(nombres[],0,0,1,1))+1,ROW(OFFSET(nombres[],ROWS(nombres[])-1,0,1,1))+1),$O1538:$O1557),3),"")</f>
        <v/>
      </c>
      <c r="YY1538" s="42" t="str">
        <f t="array" aca="1" ref="YY1538" ca="1">IFERROR(INDEX(nombres[],SMALL(IF(OFFSET(nombres[],0,0,ROWS(nombres[]),1)=YY$1490,ROW(OFFSET(nombres[],0,0,ROWS(nombres[]),1))-ROW(OFFSET(nombres[],0,0,1,1))+1,ROW(OFFSET(nombres[],ROWS(nombres[])-1,0,1,1))+1),$O1538:$O1557),3),"")</f>
        <v/>
      </c>
      <c r="YZ1538" s="42" t="str">
        <f t="array" aca="1" ref="YZ1538" ca="1">IFERROR(INDEX(nombres[],SMALL(IF(OFFSET(nombres[],0,0,ROWS(nombres[]),1)=YZ$1490,ROW(OFFSET(nombres[],0,0,ROWS(nombres[]),1))-ROW(OFFSET(nombres[],0,0,1,1))+1,ROW(OFFSET(nombres[],ROWS(nombres[])-1,0,1,1))+1),$O1538:$O1557),3),"")</f>
        <v/>
      </c>
      <c r="ZA1538" s="42" t="str">
        <f t="array" aca="1" ref="ZA1538" ca="1">IFERROR(INDEX(nombres[],SMALL(IF(OFFSET(nombres[],0,0,ROWS(nombres[]),1)=ZA$1490,ROW(OFFSET(nombres[],0,0,ROWS(nombres[]),1))-ROW(OFFSET(nombres[],0,0,1,1))+1,ROW(OFFSET(nombres[],ROWS(nombres[])-1,0,1,1))+1),$O1538:$O1557),3),"")</f>
        <v/>
      </c>
      <c r="ZB1538" s="42" t="str">
        <f t="array" aca="1" ref="ZB1538" ca="1">IFERROR(INDEX(nombres[],SMALL(IF(OFFSET(nombres[],0,0,ROWS(nombres[]),1)=ZB$1490,ROW(OFFSET(nombres[],0,0,ROWS(nombres[]),1))-ROW(OFFSET(nombres[],0,0,1,1))+1,ROW(OFFSET(nombres[],ROWS(nombres[])-1,0,1,1))+1),$O1538:$O1557),3),"")</f>
        <v/>
      </c>
      <c r="ZC1538" s="42" t="str">
        <f t="array" aca="1" ref="ZC1538" ca="1">IFERROR(INDEX(nombres[],SMALL(IF(OFFSET(nombres[],0,0,ROWS(nombres[]),1)=ZC$1490,ROW(OFFSET(nombres[],0,0,ROWS(nombres[]),1))-ROW(OFFSET(nombres[],0,0,1,1))+1,ROW(OFFSET(nombres[],ROWS(nombres[])-1,0,1,1))+1),$O1538:$O1557),3),"")</f>
        <v/>
      </c>
      <c r="ZD1538" s="42" t="str">
        <f t="array" aca="1" ref="ZD1538" ca="1">IFERROR(INDEX(nombres[],SMALL(IF(OFFSET(nombres[],0,0,ROWS(nombres[]),1)=ZD$1490,ROW(OFFSET(nombres[],0,0,ROWS(nombres[]),1))-ROW(OFFSET(nombres[],0,0,1,1))+1,ROW(OFFSET(nombres[],ROWS(nombres[])-1,0,1,1))+1),$O1538:$O1557),3),"")</f>
        <v/>
      </c>
      <c r="ZE1538" s="42" t="str">
        <f t="array" aca="1" ref="ZE1538" ca="1">IFERROR(INDEX(nombres[],SMALL(IF(OFFSET(nombres[],0,0,ROWS(nombres[]),1)=ZE$1490,ROW(OFFSET(nombres[],0,0,ROWS(nombres[]),1))-ROW(OFFSET(nombres[],0,0,1,1))+1,ROW(OFFSET(nombres[],ROWS(nombres[])-1,0,1,1))+1),$O1538:$O1557),3),"")</f>
        <v/>
      </c>
      <c r="ZF1538" s="42" t="str">
        <f t="array" aca="1" ref="ZF1538" ca="1">IFERROR(INDEX(nombres[],SMALL(IF(OFFSET(nombres[],0,0,ROWS(nombres[]),1)=ZF$1490,ROW(OFFSET(nombres[],0,0,ROWS(nombres[]),1))-ROW(OFFSET(nombres[],0,0,1,1))+1,ROW(OFFSET(nombres[],ROWS(nombres[])-1,0,1,1))+1),$O1538:$O1557),3),"")</f>
        <v/>
      </c>
      <c r="ZG1538" s="42" t="str">
        <f t="array" aca="1" ref="ZG1538" ca="1">IFERROR(INDEX(nombres[],SMALL(IF(OFFSET(nombres[],0,0,ROWS(nombres[]),1)=ZG$1490,ROW(OFFSET(nombres[],0,0,ROWS(nombres[]),1))-ROW(OFFSET(nombres[],0,0,1,1))+1,ROW(OFFSET(nombres[],ROWS(nombres[])-1,0,1,1))+1),$O1538:$O1557),3),"")</f>
        <v/>
      </c>
      <c r="ZH1538" s="42" t="str">
        <f t="array" aca="1" ref="ZH1538" ca="1">IFERROR(INDEX(nombres[],SMALL(IF(OFFSET(nombres[],0,0,ROWS(nombres[]),1)=ZH$1490,ROW(OFFSET(nombres[],0,0,ROWS(nombres[]),1))-ROW(OFFSET(nombres[],0,0,1,1))+1,ROW(OFFSET(nombres[],ROWS(nombres[])-1,0,1,1))+1),$O1538:$O1557),3),"")</f>
        <v/>
      </c>
      <c r="ZI1538" s="42" t="str">
        <f t="array" aca="1" ref="ZI1538" ca="1">IFERROR(INDEX(nombres[],SMALL(IF(OFFSET(nombres[],0,0,ROWS(nombres[]),1)=ZI$1490,ROW(OFFSET(nombres[],0,0,ROWS(nombres[]),1))-ROW(OFFSET(nombres[],0,0,1,1))+1,ROW(OFFSET(nombres[],ROWS(nombres[])-1,0,1,1))+1),$O1538:$O1557),3),"")</f>
        <v/>
      </c>
      <c r="ZJ1538" s="42" t="str">
        <f t="array" aca="1" ref="ZJ1538" ca="1">IFERROR(INDEX(nombres[],SMALL(IF(OFFSET(nombres[],0,0,ROWS(nombres[]),1)=ZJ$1490,ROW(OFFSET(nombres[],0,0,ROWS(nombres[]),1))-ROW(OFFSET(nombres[],0,0,1,1))+1,ROW(OFFSET(nombres[],ROWS(nombres[])-1,0,1,1))+1),$O1538:$O1557),3),"")</f>
        <v/>
      </c>
      <c r="ZK1538" s="42" t="str">
        <f t="array" aca="1" ref="ZK1538" ca="1">IFERROR(INDEX(nombres[],SMALL(IF(OFFSET(nombres[],0,0,ROWS(nombres[]),1)=ZK$1490,ROW(OFFSET(nombres[],0,0,ROWS(nombres[]),1))-ROW(OFFSET(nombres[],0,0,1,1))+1,ROW(OFFSET(nombres[],ROWS(nombres[])-1,0,1,1))+1),$O1538:$O1557),3),"")</f>
        <v/>
      </c>
      <c r="ZL1538" s="42" t="str">
        <f t="array" aca="1" ref="ZL1538" ca="1">IFERROR(INDEX(nombres[],SMALL(IF(OFFSET(nombres[],0,0,ROWS(nombres[]),1)=ZL$1490,ROW(OFFSET(nombres[],0,0,ROWS(nombres[]),1))-ROW(OFFSET(nombres[],0,0,1,1))+1,ROW(OFFSET(nombres[],ROWS(nombres[])-1,0,1,1))+1),$O1538:$O1557),3),"")</f>
        <v/>
      </c>
      <c r="ZM1538" s="42" t="str">
        <f t="array" aca="1" ref="ZM1538" ca="1">IFERROR(INDEX(nombres[],SMALL(IF(OFFSET(nombres[],0,0,ROWS(nombres[]),1)=ZM$1490,ROW(OFFSET(nombres[],0,0,ROWS(nombres[]),1))-ROW(OFFSET(nombres[],0,0,1,1))+1,ROW(OFFSET(nombres[],ROWS(nombres[])-1,0,1,1))+1),$O1538:$O1557),3),"")</f>
        <v/>
      </c>
      <c r="ZN1538" s="42" t="str">
        <f t="array" aca="1" ref="ZN1538" ca="1">IFERROR(INDEX(nombres[],SMALL(IF(OFFSET(nombres[],0,0,ROWS(nombres[]),1)=ZN$1490,ROW(OFFSET(nombres[],0,0,ROWS(nombres[]),1))-ROW(OFFSET(nombres[],0,0,1,1))+1,ROW(OFFSET(nombres[],ROWS(nombres[])-1,0,1,1))+1),$O1538:$O1557),3),"")</f>
        <v/>
      </c>
      <c r="ZO1538" s="42" t="str">
        <f t="array" aca="1" ref="ZO1538" ca="1">IFERROR(INDEX(nombres[],SMALL(IF(OFFSET(nombres[],0,0,ROWS(nombres[]),1)=ZO$1490,ROW(OFFSET(nombres[],0,0,ROWS(nombres[]),1))-ROW(OFFSET(nombres[],0,0,1,1))+1,ROW(OFFSET(nombres[],ROWS(nombres[])-1,0,1,1))+1),$O1538:$O1557),3),"")</f>
        <v/>
      </c>
      <c r="ZP1538" s="42" t="str">
        <f t="array" aca="1" ref="ZP1538" ca="1">IFERROR(INDEX(nombres[],SMALL(IF(OFFSET(nombres[],0,0,ROWS(nombres[]),1)=ZP$1490,ROW(OFFSET(nombres[],0,0,ROWS(nombres[]),1))-ROW(OFFSET(nombres[],0,0,1,1))+1,ROW(OFFSET(nombres[],ROWS(nombres[])-1,0,1,1))+1),$O1538:$O1557),3),"")</f>
        <v/>
      </c>
      <c r="ZQ1538" s="42" t="str">
        <f t="array" aca="1" ref="ZQ1538" ca="1">IFERROR(INDEX(nombres[],SMALL(IF(OFFSET(nombres[],0,0,ROWS(nombres[]),1)=ZQ$1490,ROW(OFFSET(nombres[],0,0,ROWS(nombres[]),1))-ROW(OFFSET(nombres[],0,0,1,1))+1,ROW(OFFSET(nombres[],ROWS(nombres[])-1,0,1,1))+1),$O1538:$O1557),3),"")</f>
        <v/>
      </c>
      <c r="ZR1538" s="42" t="str">
        <f t="array" aca="1" ref="ZR1538" ca="1">IFERROR(INDEX(nombres[],SMALL(IF(OFFSET(nombres[],0,0,ROWS(nombres[]),1)=ZR$1490,ROW(OFFSET(nombres[],0,0,ROWS(nombres[]),1))-ROW(OFFSET(nombres[],0,0,1,1))+1,ROW(OFFSET(nombres[],ROWS(nombres[])-1,0,1,1))+1),$O1538:$O1557),3),"")</f>
        <v/>
      </c>
      <c r="ZS1538" s="42" t="str">
        <f t="array" aca="1" ref="ZS1538" ca="1">IFERROR(INDEX(nombres[],SMALL(IF(OFFSET(nombres[],0,0,ROWS(nombres[]),1)=ZS$1490,ROW(OFFSET(nombres[],0,0,ROWS(nombres[]),1))-ROW(OFFSET(nombres[],0,0,1,1))+1,ROW(OFFSET(nombres[],ROWS(nombres[])-1,0,1,1))+1),$O1538:$O1557),3),"")</f>
        <v/>
      </c>
      <c r="ZT1538" s="42" t="str">
        <f t="array" aca="1" ref="ZT1538" ca="1">IFERROR(INDEX(nombres[],SMALL(IF(OFFSET(nombres[],0,0,ROWS(nombres[]),1)=ZT$1490,ROW(OFFSET(nombres[],0,0,ROWS(nombres[]),1))-ROW(OFFSET(nombres[],0,0,1,1))+1,ROW(OFFSET(nombres[],ROWS(nombres[])-1,0,1,1))+1),$O1538:$O1557),3),"")</f>
        <v/>
      </c>
      <c r="ZU1538" s="42" t="str">
        <f t="array" aca="1" ref="ZU1538" ca="1">IFERROR(INDEX(nombres[],SMALL(IF(OFFSET(nombres[],0,0,ROWS(nombres[]),1)=ZU$1490,ROW(OFFSET(nombres[],0,0,ROWS(nombres[]),1))-ROW(OFFSET(nombres[],0,0,1,1))+1,ROW(OFFSET(nombres[],ROWS(nombres[])-1,0,1,1))+1),$O1538:$O1557),3),"")</f>
        <v/>
      </c>
      <c r="ZV1538" s="42" t="str">
        <f t="array" aca="1" ref="ZV1538" ca="1">IFERROR(INDEX(nombres[],SMALL(IF(OFFSET(nombres[],0,0,ROWS(nombres[]),1)=ZV$1490,ROW(OFFSET(nombres[],0,0,ROWS(nombres[]),1))-ROW(OFFSET(nombres[],0,0,1,1))+1,ROW(OFFSET(nombres[],ROWS(nombres[])-1,0,1,1))+1),$O1538:$O1557),3),"")</f>
        <v/>
      </c>
      <c r="ZW1538" s="42" t="str">
        <f t="array" aca="1" ref="ZW1538" ca="1">IFERROR(INDEX(nombres[],SMALL(IF(OFFSET(nombres[],0,0,ROWS(nombres[]),1)=ZW$1490,ROW(OFFSET(nombres[],0,0,ROWS(nombres[]),1))-ROW(OFFSET(nombres[],0,0,1,1))+1,ROW(OFFSET(nombres[],ROWS(nombres[])-1,0,1,1))+1),$O1538:$O1557),3),"")</f>
        <v/>
      </c>
      <c r="ZX1538" s="42" t="str">
        <f t="array" aca="1" ref="ZX1538" ca="1">IFERROR(INDEX(nombres[],SMALL(IF(OFFSET(nombres[],0,0,ROWS(nombres[]),1)=ZX$1490,ROW(OFFSET(nombres[],0,0,ROWS(nombres[]),1))-ROW(OFFSET(nombres[],0,0,1,1))+1,ROW(OFFSET(nombres[],ROWS(nombres[])-1,0,1,1))+1),$O1538:$O1557),3),"")</f>
        <v/>
      </c>
      <c r="ZY1538" s="42" t="str">
        <f t="array" aca="1" ref="ZY1538" ca="1">IFERROR(INDEX(nombres[],SMALL(IF(OFFSET(nombres[],0,0,ROWS(nombres[]),1)=ZY$1490,ROW(OFFSET(nombres[],0,0,ROWS(nombres[]),1))-ROW(OFFSET(nombres[],0,0,1,1))+1,ROW(OFFSET(nombres[],ROWS(nombres[])-1,0,1,1))+1),$O1538:$O1557),3),"")</f>
        <v/>
      </c>
      <c r="ZZ1538" s="42" t="str">
        <f t="array" aca="1" ref="ZZ1538" ca="1">IFERROR(INDEX(nombres[],SMALL(IF(OFFSET(nombres[],0,0,ROWS(nombres[]),1)=ZZ$1490,ROW(OFFSET(nombres[],0,0,ROWS(nombres[]),1))-ROW(OFFSET(nombres[],0,0,1,1))+1,ROW(OFFSET(nombres[],ROWS(nombres[])-1,0,1,1))+1),$O1538:$O1557),3),"")</f>
        <v/>
      </c>
      <c r="AAA1538" s="42" t="str">
        <f t="array" aca="1" ref="AAA1538" ca="1">IFERROR(INDEX(nombres[],SMALL(IF(OFFSET(nombres[],0,0,ROWS(nombres[]),1)=AAA$1490,ROW(OFFSET(nombres[],0,0,ROWS(nombres[]),1))-ROW(OFFSET(nombres[],0,0,1,1))+1,ROW(OFFSET(nombres[],ROWS(nombres[])-1,0,1,1))+1),$O1538:$O1557),3),"")</f>
        <v/>
      </c>
      <c r="AAB1538" s="42" t="str">
        <f t="array" aca="1" ref="AAB1538" ca="1">IFERROR(INDEX(nombres[],SMALL(IF(OFFSET(nombres[],0,0,ROWS(nombres[]),1)=AAB$1490,ROW(OFFSET(nombres[],0,0,ROWS(nombres[]),1))-ROW(OFFSET(nombres[],0,0,1,1))+1,ROW(OFFSET(nombres[],ROWS(nombres[])-1,0,1,1))+1),$O1538:$O1557),3),"")</f>
        <v/>
      </c>
      <c r="AAC1538" s="42" t="str">
        <f t="array" aca="1" ref="AAC1538" ca="1">IFERROR(INDEX(nombres[],SMALL(IF(OFFSET(nombres[],0,0,ROWS(nombres[]),1)=AAC$1490,ROW(OFFSET(nombres[],0,0,ROWS(nombres[]),1))-ROW(OFFSET(nombres[],0,0,1,1))+1,ROW(OFFSET(nombres[],ROWS(nombres[])-1,0,1,1))+1),$O1538:$O1557),3),"")</f>
        <v/>
      </c>
      <c r="AAD1538" s="42" t="str">
        <f t="array" aca="1" ref="AAD1538" ca="1">IFERROR(INDEX(nombres[],SMALL(IF(OFFSET(nombres[],0,0,ROWS(nombres[]),1)=AAD$1490,ROW(OFFSET(nombres[],0,0,ROWS(nombres[]),1))-ROW(OFFSET(nombres[],0,0,1,1))+1,ROW(OFFSET(nombres[],ROWS(nombres[])-1,0,1,1))+1),$O1538:$O1557),3),"")</f>
        <v/>
      </c>
      <c r="AAE1538" s="42" t="str">
        <f t="array" aca="1" ref="AAE1538" ca="1">IFERROR(INDEX(nombres[],SMALL(IF(OFFSET(nombres[],0,0,ROWS(nombres[]),1)=AAE$1490,ROW(OFFSET(nombres[],0,0,ROWS(nombres[]),1))-ROW(OFFSET(nombres[],0,0,1,1))+1,ROW(OFFSET(nombres[],ROWS(nombres[])-1,0,1,1))+1),$O1538:$O1557),3),"")</f>
        <v/>
      </c>
      <c r="AAF1538" s="42" t="str">
        <f t="array" aca="1" ref="AAF1538" ca="1">IFERROR(INDEX(nombres[],SMALL(IF(OFFSET(nombres[],0,0,ROWS(nombres[]),1)=AAF$1490,ROW(OFFSET(nombres[],0,0,ROWS(nombres[]),1))-ROW(OFFSET(nombres[],0,0,1,1))+1,ROW(OFFSET(nombres[],ROWS(nombres[])-1,0,1,1))+1),$O1538:$O1557),3),"")</f>
        <v/>
      </c>
      <c r="AAG1538" s="42" t="str">
        <f t="array" aca="1" ref="AAG1538" ca="1">IFERROR(INDEX(nombres[],SMALL(IF(OFFSET(nombres[],0,0,ROWS(nombres[]),1)=AAG$1490,ROW(OFFSET(nombres[],0,0,ROWS(nombres[]),1))-ROW(OFFSET(nombres[],0,0,1,1))+1,ROW(OFFSET(nombres[],ROWS(nombres[])-1,0,1,1))+1),$O1538:$O1557),3),"")</f>
        <v/>
      </c>
      <c r="AAH1538" s="42" t="str">
        <f t="array" aca="1" ref="AAH1538" ca="1">IFERROR(INDEX(nombres[],SMALL(IF(OFFSET(nombres[],0,0,ROWS(nombres[]),1)=AAH$1490,ROW(OFFSET(nombres[],0,0,ROWS(nombres[]),1))-ROW(OFFSET(nombres[],0,0,1,1))+1,ROW(OFFSET(nombres[],ROWS(nombres[])-1,0,1,1))+1),$O1538:$O1557),3),"")</f>
        <v/>
      </c>
      <c r="AAI1538" s="42" t="str">
        <f t="array" aca="1" ref="AAI1538" ca="1">IFERROR(INDEX(nombres[],SMALL(IF(OFFSET(nombres[],0,0,ROWS(nombres[]),1)=AAI$1490,ROW(OFFSET(nombres[],0,0,ROWS(nombres[]),1))-ROW(OFFSET(nombres[],0,0,1,1))+1,ROW(OFFSET(nombres[],ROWS(nombres[])-1,0,1,1))+1),$O1538:$O1557),3),"")</f>
        <v/>
      </c>
      <c r="AAJ1538" s="42" t="str">
        <f t="array" aca="1" ref="AAJ1538" ca="1">IFERROR(INDEX(nombres[],SMALL(IF(OFFSET(nombres[],0,0,ROWS(nombres[]),1)=AAJ$1490,ROW(OFFSET(nombres[],0,0,ROWS(nombres[]),1))-ROW(OFFSET(nombres[],0,0,1,1))+1,ROW(OFFSET(nombres[],ROWS(nombres[])-1,0,1,1))+1),$O1538:$O1557),3),"")</f>
        <v/>
      </c>
      <c r="AAK1538" s="42" t="str">
        <f t="array" aca="1" ref="AAK1538" ca="1">IFERROR(INDEX(nombres[],SMALL(IF(OFFSET(nombres[],0,0,ROWS(nombres[]),1)=AAK$1490,ROW(OFFSET(nombres[],0,0,ROWS(nombres[]),1))-ROW(OFFSET(nombres[],0,0,1,1))+1,ROW(OFFSET(nombres[],ROWS(nombres[])-1,0,1,1))+1),$O1538:$O1557),3),"")</f>
        <v/>
      </c>
      <c r="AAL1538" s="42" t="str">
        <f t="array" aca="1" ref="AAL1538" ca="1">IFERROR(INDEX(nombres[],SMALL(IF(OFFSET(nombres[],0,0,ROWS(nombres[]),1)=AAL$1490,ROW(OFFSET(nombres[],0,0,ROWS(nombres[]),1))-ROW(OFFSET(nombres[],0,0,1,1))+1,ROW(OFFSET(nombres[],ROWS(nombres[])-1,0,1,1))+1),$O1538:$O1557),3),"")</f>
        <v/>
      </c>
      <c r="AAM1538" s="42" t="str">
        <f t="array" aca="1" ref="AAM1538" ca="1">IFERROR(INDEX(nombres[],SMALL(IF(OFFSET(nombres[],0,0,ROWS(nombres[]),1)=AAM$1490,ROW(OFFSET(nombres[],0,0,ROWS(nombres[]),1))-ROW(OFFSET(nombres[],0,0,1,1))+1,ROW(OFFSET(nombres[],ROWS(nombres[])-1,0,1,1))+1),$O1538:$O1557),3),"")</f>
        <v/>
      </c>
      <c r="AAN1538" s="42" t="str">
        <f t="array" aca="1" ref="AAN1538" ca="1">IFERROR(INDEX(nombres[],SMALL(IF(OFFSET(nombres[],0,0,ROWS(nombres[]),1)=AAN$1490,ROW(OFFSET(nombres[],0,0,ROWS(nombres[]),1))-ROW(OFFSET(nombres[],0,0,1,1))+1,ROW(OFFSET(nombres[],ROWS(nombres[])-1,0,1,1))+1),$O1538:$O1557),3),"")</f>
        <v/>
      </c>
      <c r="AAO1538" s="42" t="str">
        <f t="array" aca="1" ref="AAO1538" ca="1">IFERROR(INDEX(nombres[],SMALL(IF(OFFSET(nombres[],0,0,ROWS(nombres[]),1)=AAO$1490,ROW(OFFSET(nombres[],0,0,ROWS(nombres[]),1))-ROW(OFFSET(nombres[],0,0,1,1))+1,ROW(OFFSET(nombres[],ROWS(nombres[])-1,0,1,1))+1),$O1538:$O1557),3),"")</f>
        <v/>
      </c>
      <c r="AAP1538" s="42" t="str">
        <f t="array" aca="1" ref="AAP1538" ca="1">IFERROR(INDEX(nombres[],SMALL(IF(OFFSET(nombres[],0,0,ROWS(nombres[]),1)=AAP$1490,ROW(OFFSET(nombres[],0,0,ROWS(nombres[]),1))-ROW(OFFSET(nombres[],0,0,1,1))+1,ROW(OFFSET(nombres[],ROWS(nombres[])-1,0,1,1))+1),$O1538:$O1557),3),"")</f>
        <v/>
      </c>
      <c r="AAQ1538" s="42" t="str">
        <f t="array" aca="1" ref="AAQ1538" ca="1">IFERROR(INDEX(nombres[],SMALL(IF(OFFSET(nombres[],0,0,ROWS(nombres[]),1)=AAQ$1490,ROW(OFFSET(nombres[],0,0,ROWS(nombres[]),1))-ROW(OFFSET(nombres[],0,0,1,1))+1,ROW(OFFSET(nombres[],ROWS(nombres[])-1,0,1,1))+1),$O1538:$O1557),3),"")</f>
        <v/>
      </c>
      <c r="AAR1538" s="42" t="str">
        <f t="array" aca="1" ref="AAR1538" ca="1">IFERROR(INDEX(nombres[],SMALL(IF(OFFSET(nombres[],0,0,ROWS(nombres[]),1)=AAR$1490,ROW(OFFSET(nombres[],0,0,ROWS(nombres[]),1))-ROW(OFFSET(nombres[],0,0,1,1))+1,ROW(OFFSET(nombres[],ROWS(nombres[])-1,0,1,1))+1),$O1538:$O1557),3),"")</f>
        <v/>
      </c>
      <c r="AAS1538" s="42" t="str">
        <f t="array" aca="1" ref="AAS1538" ca="1">IFERROR(INDEX(nombres[],SMALL(IF(OFFSET(nombres[],0,0,ROWS(nombres[]),1)=AAS$1490,ROW(OFFSET(nombres[],0,0,ROWS(nombres[]),1))-ROW(OFFSET(nombres[],0,0,1,1))+1,ROW(OFFSET(nombres[],ROWS(nombres[])-1,0,1,1))+1),$O1538:$O1557),3),"")</f>
        <v/>
      </c>
      <c r="AAT1538" s="42" t="str">
        <f t="array" aca="1" ref="AAT1538" ca="1">IFERROR(INDEX(nombres[],SMALL(IF(OFFSET(nombres[],0,0,ROWS(nombres[]),1)=AAT$1490,ROW(OFFSET(nombres[],0,0,ROWS(nombres[]),1))-ROW(OFFSET(nombres[],0,0,1,1))+1,ROW(OFFSET(nombres[],ROWS(nombres[])-1,0,1,1))+1),$O1538:$O1557),3),"")</f>
        <v/>
      </c>
      <c r="AAU1538" s="42" t="str">
        <f t="array" aca="1" ref="AAU1538" ca="1">IFERROR(INDEX(nombres[],SMALL(IF(OFFSET(nombres[],0,0,ROWS(nombres[]),1)=AAU$1490,ROW(OFFSET(nombres[],0,0,ROWS(nombres[]),1))-ROW(OFFSET(nombres[],0,0,1,1))+1,ROW(OFFSET(nombres[],ROWS(nombres[])-1,0,1,1))+1),$O1538:$O1557),3),"")</f>
        <v/>
      </c>
      <c r="AAV1538" s="42" t="str">
        <f t="array" aca="1" ref="AAV1538" ca="1">IFERROR(INDEX(nombres[],SMALL(IF(OFFSET(nombres[],0,0,ROWS(nombres[]),1)=AAV$1490,ROW(OFFSET(nombres[],0,0,ROWS(nombres[]),1))-ROW(OFFSET(nombres[],0,0,1,1))+1,ROW(OFFSET(nombres[],ROWS(nombres[])-1,0,1,1))+1),$O1538:$O1557),3),"")</f>
        <v/>
      </c>
      <c r="AAW1538" s="42" t="str">
        <f t="array" aca="1" ref="AAW1538" ca="1">IFERROR(INDEX(nombres[],SMALL(IF(OFFSET(nombres[],0,0,ROWS(nombres[]),1)=AAW$1490,ROW(OFFSET(nombres[],0,0,ROWS(nombres[]),1))-ROW(OFFSET(nombres[],0,0,1,1))+1,ROW(OFFSET(nombres[],ROWS(nombres[])-1,0,1,1))+1),$O1538:$O1557),3),"")</f>
        <v/>
      </c>
      <c r="AAX1538" s="42" t="str">
        <f t="array" aca="1" ref="AAX1538" ca="1">IFERROR(INDEX(nombres[],SMALL(IF(OFFSET(nombres[],0,0,ROWS(nombres[]),1)=AAX$1490,ROW(OFFSET(nombres[],0,0,ROWS(nombres[]),1))-ROW(OFFSET(nombres[],0,0,1,1))+1,ROW(OFFSET(nombres[],ROWS(nombres[])-1,0,1,1))+1),$O1538:$O1557),3),"")</f>
        <v/>
      </c>
      <c r="AAY1538" s="42" t="str">
        <f t="array" aca="1" ref="AAY1538" ca="1">IFERROR(INDEX(nombres[],SMALL(IF(OFFSET(nombres[],0,0,ROWS(nombres[]),1)=AAY$1490,ROW(OFFSET(nombres[],0,0,ROWS(nombres[]),1))-ROW(OFFSET(nombres[],0,0,1,1))+1,ROW(OFFSET(nombres[],ROWS(nombres[])-1,0,1,1))+1),$O1538:$O1557),3),"")</f>
        <v/>
      </c>
      <c r="AAZ1538" s="42" t="str">
        <f t="array" aca="1" ref="AAZ1538" ca="1">IFERROR(INDEX(nombres[],SMALL(IF(OFFSET(nombres[],0,0,ROWS(nombres[]),1)=AAZ$1490,ROW(OFFSET(nombres[],0,0,ROWS(nombres[]),1))-ROW(OFFSET(nombres[],0,0,1,1))+1,ROW(OFFSET(nombres[],ROWS(nombres[])-1,0,1,1))+1),$O1538:$O1557),3),"")</f>
        <v/>
      </c>
      <c r="ABA1538" s="42" t="str">
        <f t="array" aca="1" ref="ABA1538" ca="1">IFERROR(INDEX(nombres[],SMALL(IF(OFFSET(nombres[],0,0,ROWS(nombres[]),1)=ABA$1490,ROW(OFFSET(nombres[],0,0,ROWS(nombres[]),1))-ROW(OFFSET(nombres[],0,0,1,1))+1,ROW(OFFSET(nombres[],ROWS(nombres[])-1,0,1,1))+1),$O1538:$O1557),3),"")</f>
        <v/>
      </c>
      <c r="ABB1538" s="42" t="str">
        <f t="array" aca="1" ref="ABB1538" ca="1">IFERROR(INDEX(nombres[],SMALL(IF(OFFSET(nombres[],0,0,ROWS(nombres[]),1)=ABB$1490,ROW(OFFSET(nombres[],0,0,ROWS(nombres[]),1))-ROW(OFFSET(nombres[],0,0,1,1))+1,ROW(OFFSET(nombres[],ROWS(nombres[])-1,0,1,1))+1),$O1538:$O1557),3),"")</f>
        <v/>
      </c>
      <c r="ABC1538" s="42" t="str">
        <f t="array" aca="1" ref="ABC1538" ca="1">IFERROR(INDEX(nombres[],SMALL(IF(OFFSET(nombres[],0,0,ROWS(nombres[]),1)=ABC$1490,ROW(OFFSET(nombres[],0,0,ROWS(nombres[]),1))-ROW(OFFSET(nombres[],0,0,1,1))+1,ROW(OFFSET(nombres[],ROWS(nombres[])-1,0,1,1))+1),$O1538:$O1557),3),"")</f>
        <v/>
      </c>
      <c r="ABD1538" s="42" t="str">
        <f t="array" aca="1" ref="ABD1538" ca="1">IFERROR(INDEX(nombres[],SMALL(IF(OFFSET(nombres[],0,0,ROWS(nombres[]),1)=ABD$1490,ROW(OFFSET(nombres[],0,0,ROWS(nombres[]),1))-ROW(OFFSET(nombres[],0,0,1,1))+1,ROW(OFFSET(nombres[],ROWS(nombres[])-1,0,1,1))+1),$O1538:$O1557),3),"")</f>
        <v/>
      </c>
      <c r="ABE1538" s="42" t="str">
        <f t="array" aca="1" ref="ABE1538" ca="1">IFERROR(INDEX(nombres[],SMALL(IF(OFFSET(nombres[],0,0,ROWS(nombres[]),1)=ABE$1490,ROW(OFFSET(nombres[],0,0,ROWS(nombres[]),1))-ROW(OFFSET(nombres[],0,0,1,1))+1,ROW(OFFSET(nombres[],ROWS(nombres[])-1,0,1,1))+1),$O1538:$O1557),3),"")</f>
        <v/>
      </c>
      <c r="ABF1538" s="42" t="str">
        <f t="array" aca="1" ref="ABF1538" ca="1">IFERROR(INDEX(nombres[],SMALL(IF(OFFSET(nombres[],0,0,ROWS(nombres[]),1)=ABF$1490,ROW(OFFSET(nombres[],0,0,ROWS(nombres[]),1))-ROW(OFFSET(nombres[],0,0,1,1))+1,ROW(OFFSET(nombres[],ROWS(nombres[])-1,0,1,1))+1),$O1538:$O1557),3),"")</f>
        <v/>
      </c>
      <c r="ABG1538" s="42" t="str">
        <f t="array" aca="1" ref="ABG1538" ca="1">IFERROR(INDEX(nombres[],SMALL(IF(OFFSET(nombres[],0,0,ROWS(nombres[]),1)=ABG$1490,ROW(OFFSET(nombres[],0,0,ROWS(nombres[]),1))-ROW(OFFSET(nombres[],0,0,1,1))+1,ROW(OFFSET(nombres[],ROWS(nombres[])-1,0,1,1))+1),$O1538:$O1557),3),"")</f>
        <v/>
      </c>
      <c r="ABH1538" s="42" t="str">
        <f t="array" aca="1" ref="ABH1538" ca="1">IFERROR(INDEX(nombres[],SMALL(IF(OFFSET(nombres[],0,0,ROWS(nombres[]),1)=ABH$1490,ROW(OFFSET(nombres[],0,0,ROWS(nombres[]),1))-ROW(OFFSET(nombres[],0,0,1,1))+1,ROW(OFFSET(nombres[],ROWS(nombres[])-1,0,1,1))+1),$O1538:$O1557),3),"")</f>
        <v/>
      </c>
      <c r="ABI1538" s="42" t="str">
        <f t="array" aca="1" ref="ABI1538" ca="1">IFERROR(INDEX(nombres[],SMALL(IF(OFFSET(nombres[],0,0,ROWS(nombres[]),1)=ABI$1490,ROW(OFFSET(nombres[],0,0,ROWS(nombres[]),1))-ROW(OFFSET(nombres[],0,0,1,1))+1,ROW(OFFSET(nombres[],ROWS(nombres[])-1,0,1,1))+1),$O1538:$O1557),3),"")</f>
        <v/>
      </c>
      <c r="ABJ1538" s="42" t="str">
        <f t="array" aca="1" ref="ABJ1538" ca="1">IFERROR(INDEX(nombres[],SMALL(IF(OFFSET(nombres[],0,0,ROWS(nombres[]),1)=ABJ$1490,ROW(OFFSET(nombres[],0,0,ROWS(nombres[]),1))-ROW(OFFSET(nombres[],0,0,1,1))+1,ROW(OFFSET(nombres[],ROWS(nombres[])-1,0,1,1))+1),$O1538:$O1557),3),"")</f>
        <v/>
      </c>
      <c r="ABK1538" s="42" t="str">
        <f t="array" aca="1" ref="ABK1538" ca="1">IFERROR(INDEX(nombres[],SMALL(IF(OFFSET(nombres[],0,0,ROWS(nombres[]),1)=ABK$1490,ROW(OFFSET(nombres[],0,0,ROWS(nombres[]),1))-ROW(OFFSET(nombres[],0,0,1,1))+1,ROW(OFFSET(nombres[],ROWS(nombres[])-1,0,1,1))+1),$O1538:$O1557),3),"")</f>
        <v/>
      </c>
      <c r="ABL1538" s="42" t="str">
        <f t="array" aca="1" ref="ABL1538" ca="1">IFERROR(INDEX(nombres[],SMALL(IF(OFFSET(nombres[],0,0,ROWS(nombres[]),1)=ABL$1490,ROW(OFFSET(nombres[],0,0,ROWS(nombres[]),1))-ROW(OFFSET(nombres[],0,0,1,1))+1,ROW(OFFSET(nombres[],ROWS(nombres[])-1,0,1,1))+1),$O1538:$O1557),3),"")</f>
        <v/>
      </c>
      <c r="ABM1538" s="42" t="str">
        <f t="array" aca="1" ref="ABM1538" ca="1">IFERROR(INDEX(nombres[],SMALL(IF(OFFSET(nombres[],0,0,ROWS(nombres[]),1)=ABM$1490,ROW(OFFSET(nombres[],0,0,ROWS(nombres[]),1))-ROW(OFFSET(nombres[],0,0,1,1))+1,ROW(OFFSET(nombres[],ROWS(nombres[])-1,0,1,1))+1),$O1538:$O1557),3),"")</f>
        <v/>
      </c>
      <c r="ABN1538" s="42" t="str">
        <f t="array" aca="1" ref="ABN1538" ca="1">IFERROR(INDEX(nombres[],SMALL(IF(OFFSET(nombres[],0,0,ROWS(nombres[]),1)=ABN$1490,ROW(OFFSET(nombres[],0,0,ROWS(nombres[]),1))-ROW(OFFSET(nombres[],0,0,1,1))+1,ROW(OFFSET(nombres[],ROWS(nombres[])-1,0,1,1))+1),$O1538:$O1557),3),"")</f>
        <v/>
      </c>
      <c r="ABO1538" s="42" t="str">
        <f t="array" aca="1" ref="ABO1538" ca="1">IFERROR(INDEX(nombres[],SMALL(IF(OFFSET(nombres[],0,0,ROWS(nombres[]),1)=ABO$1490,ROW(OFFSET(nombres[],0,0,ROWS(nombres[]),1))-ROW(OFFSET(nombres[],0,0,1,1))+1,ROW(OFFSET(nombres[],ROWS(nombres[])-1,0,1,1))+1),$O1538:$O1557),3),"")</f>
        <v/>
      </c>
      <c r="ABP1538" s="42" t="str">
        <f t="array" aca="1" ref="ABP1538" ca="1">IFERROR(INDEX(nombres[],SMALL(IF(OFFSET(nombres[],0,0,ROWS(nombres[]),1)=ABP$1490,ROW(OFFSET(nombres[],0,0,ROWS(nombres[]),1))-ROW(OFFSET(nombres[],0,0,1,1))+1,ROW(OFFSET(nombres[],ROWS(nombres[])-1,0,1,1))+1),$O1538:$O1557),3),"")</f>
        <v/>
      </c>
      <c r="ABQ1538" s="42" t="str">
        <f t="array" aca="1" ref="ABQ1538" ca="1">IFERROR(INDEX(nombres[],SMALL(IF(OFFSET(nombres[],0,0,ROWS(nombres[]),1)=ABQ$1490,ROW(OFFSET(nombres[],0,0,ROWS(nombres[]),1))-ROW(OFFSET(nombres[],0,0,1,1))+1,ROW(OFFSET(nombres[],ROWS(nombres[])-1,0,1,1))+1),$O1538:$O1557),3),"")</f>
        <v/>
      </c>
      <c r="ABR1538" s="42" t="str">
        <f t="array" aca="1" ref="ABR1538" ca="1">IFERROR(INDEX(nombres[],SMALL(IF(OFFSET(nombres[],0,0,ROWS(nombres[]),1)=ABR$1490,ROW(OFFSET(nombres[],0,0,ROWS(nombres[]),1))-ROW(OFFSET(nombres[],0,0,1,1))+1,ROW(OFFSET(nombres[],ROWS(nombres[])-1,0,1,1))+1),$O1538:$O1557),3),"")</f>
        <v/>
      </c>
      <c r="ABS1538" s="42" t="str">
        <f t="array" aca="1" ref="ABS1538" ca="1">IFERROR(INDEX(nombres[],SMALL(IF(OFFSET(nombres[],0,0,ROWS(nombres[]),1)=ABS$1490,ROW(OFFSET(nombres[],0,0,ROWS(nombres[]),1))-ROW(OFFSET(nombres[],0,0,1,1))+1,ROW(OFFSET(nombres[],ROWS(nombres[])-1,0,1,1))+1),$O1538:$O1557),3),"")</f>
        <v/>
      </c>
      <c r="ABT1538" s="42" t="str">
        <f t="array" aca="1" ref="ABT1538" ca="1">IFERROR(INDEX(nombres[],SMALL(IF(OFFSET(nombres[],0,0,ROWS(nombres[]),1)=ABT$1490,ROW(OFFSET(nombres[],0,0,ROWS(nombres[]),1))-ROW(OFFSET(nombres[],0,0,1,1))+1,ROW(OFFSET(nombres[],ROWS(nombres[])-1,0,1,1))+1),$O1538:$O1557),3),"")</f>
        <v/>
      </c>
      <c r="ABU1538" s="42" t="str">
        <f t="array" aca="1" ref="ABU1538" ca="1">IFERROR(INDEX(nombres[],SMALL(IF(OFFSET(nombres[],0,0,ROWS(nombres[]),1)=ABU$1490,ROW(OFFSET(nombres[],0,0,ROWS(nombres[]),1))-ROW(OFFSET(nombres[],0,0,1,1))+1,ROW(OFFSET(nombres[],ROWS(nombres[])-1,0,1,1))+1),$O1538:$O1557),3),"")</f>
        <v/>
      </c>
      <c r="ABV1538" s="42" t="str">
        <f t="array" aca="1" ref="ABV1538" ca="1">IFERROR(INDEX(nombres[],SMALL(IF(OFFSET(nombres[],0,0,ROWS(nombres[]),1)=ABV$1490,ROW(OFFSET(nombres[],0,0,ROWS(nombres[]),1))-ROW(OFFSET(nombres[],0,0,1,1))+1,ROW(OFFSET(nombres[],ROWS(nombres[])-1,0,1,1))+1),$O1538:$O1557),3),"")</f>
        <v/>
      </c>
      <c r="ABW1538" s="42" t="str">
        <f t="array" aca="1" ref="ABW1538" ca="1">IFERROR(INDEX(nombres[],SMALL(IF(OFFSET(nombres[],0,0,ROWS(nombres[]),1)=ABW$1490,ROW(OFFSET(nombres[],0,0,ROWS(nombres[]),1))-ROW(OFFSET(nombres[],0,0,1,1))+1,ROW(OFFSET(nombres[],ROWS(nombres[])-1,0,1,1))+1),$O1538:$O1557),3),"")</f>
        <v/>
      </c>
      <c r="ABX1538" s="42" t="str">
        <f t="array" aca="1" ref="ABX1538" ca="1">IFERROR(INDEX(nombres[],SMALL(IF(OFFSET(nombres[],0,0,ROWS(nombres[]),1)=ABX$1490,ROW(OFFSET(nombres[],0,0,ROWS(nombres[]),1))-ROW(OFFSET(nombres[],0,0,1,1))+1,ROW(OFFSET(nombres[],ROWS(nombres[])-1,0,1,1))+1),$O1538:$O1557),3),"")</f>
        <v/>
      </c>
      <c r="ABY1538" s="42" t="str">
        <f t="array" aca="1" ref="ABY1538" ca="1">IFERROR(INDEX(nombres[],SMALL(IF(OFFSET(nombres[],0,0,ROWS(nombres[]),1)=ABY$1490,ROW(OFFSET(nombres[],0,0,ROWS(nombres[]),1))-ROW(OFFSET(nombres[],0,0,1,1))+1,ROW(OFFSET(nombres[],ROWS(nombres[])-1,0,1,1))+1),$O1538:$O1557),3),"")</f>
        <v/>
      </c>
      <c r="ABZ1538" s="42" t="str">
        <f t="array" aca="1" ref="ABZ1538" ca="1">IFERROR(INDEX(nombres[],SMALL(IF(OFFSET(nombres[],0,0,ROWS(nombres[]),1)=ABZ$1490,ROW(OFFSET(nombres[],0,0,ROWS(nombres[]),1))-ROW(OFFSET(nombres[],0,0,1,1))+1,ROW(OFFSET(nombres[],ROWS(nombres[])-1,0,1,1))+1),$O1538:$O1557),3),"")</f>
        <v/>
      </c>
      <c r="ACA1538" s="42" t="str">
        <f t="array" aca="1" ref="ACA1538" ca="1">IFERROR(INDEX(nombres[],SMALL(IF(OFFSET(nombres[],0,0,ROWS(nombres[]),1)=ACA$1490,ROW(OFFSET(nombres[],0,0,ROWS(nombres[]),1))-ROW(OFFSET(nombres[],0,0,1,1))+1,ROW(OFFSET(nombres[],ROWS(nombres[])-1,0,1,1))+1),$O1538:$O1557),3),"")</f>
        <v/>
      </c>
      <c r="ACB1538" s="42" t="str">
        <f t="array" aca="1" ref="ACB1538" ca="1">IFERROR(INDEX(nombres[],SMALL(IF(OFFSET(nombres[],0,0,ROWS(nombres[]),1)=ACB$1490,ROW(OFFSET(nombres[],0,0,ROWS(nombres[]),1))-ROW(OFFSET(nombres[],0,0,1,1))+1,ROW(OFFSET(nombres[],ROWS(nombres[])-1,0,1,1))+1),$O1538:$O1557),3),"")</f>
        <v/>
      </c>
      <c r="ACC1538" s="42" t="str">
        <f t="array" aca="1" ref="ACC1538" ca="1">IFERROR(INDEX(nombres[],SMALL(IF(OFFSET(nombres[],0,0,ROWS(nombres[]),1)=ACC$1490,ROW(OFFSET(nombres[],0,0,ROWS(nombres[]),1))-ROW(OFFSET(nombres[],0,0,1,1))+1,ROW(OFFSET(nombres[],ROWS(nombres[])-1,0,1,1))+1),$O1538:$O1557),3),"")</f>
        <v/>
      </c>
      <c r="ACD1538" s="42" t="str">
        <f t="array" aca="1" ref="ACD1538" ca="1">IFERROR(INDEX(nombres[],SMALL(IF(OFFSET(nombres[],0,0,ROWS(nombres[]),1)=ACD$1490,ROW(OFFSET(nombres[],0,0,ROWS(nombres[]),1))-ROW(OFFSET(nombres[],0,0,1,1))+1,ROW(OFFSET(nombres[],ROWS(nombres[])-1,0,1,1))+1),$O1538:$O1557),3),"")</f>
        <v/>
      </c>
      <c r="ACE1538" s="42" t="str">
        <f t="array" aca="1" ref="ACE1538" ca="1">IFERROR(INDEX(nombres[],SMALL(IF(OFFSET(nombres[],0,0,ROWS(nombres[]),1)=ACE$1490,ROW(OFFSET(nombres[],0,0,ROWS(nombres[]),1))-ROW(OFFSET(nombres[],0,0,1,1))+1,ROW(OFFSET(nombres[],ROWS(nombres[])-1,0,1,1))+1),$O1538:$O1557),3),"")</f>
        <v/>
      </c>
      <c r="ACF1538" s="42" t="str">
        <f t="array" aca="1" ref="ACF1538" ca="1">IFERROR(INDEX(nombres[],SMALL(IF(OFFSET(nombres[],0,0,ROWS(nombres[]),1)=ACF$1490,ROW(OFFSET(nombres[],0,0,ROWS(nombres[]),1))-ROW(OFFSET(nombres[],0,0,1,1))+1,ROW(OFFSET(nombres[],ROWS(nombres[])-1,0,1,1))+1),$O1538:$O1557),3),"")</f>
        <v/>
      </c>
      <c r="ACG1538" s="42" t="str">
        <f t="array" aca="1" ref="ACG1538" ca="1">IFERROR(INDEX(nombres[],SMALL(IF(OFFSET(nombres[],0,0,ROWS(nombres[]),1)=ACG$1490,ROW(OFFSET(nombres[],0,0,ROWS(nombres[]),1))-ROW(OFFSET(nombres[],0,0,1,1))+1,ROW(OFFSET(nombres[],ROWS(nombres[])-1,0,1,1))+1),$O1538:$O1557),3),"")</f>
        <v/>
      </c>
      <c r="ACH1538" s="42" t="str">
        <f t="array" aca="1" ref="ACH1538" ca="1">IFERROR(INDEX(nombres[],SMALL(IF(OFFSET(nombres[],0,0,ROWS(nombres[]),1)=ACH$1490,ROW(OFFSET(nombres[],0,0,ROWS(nombres[]),1))-ROW(OFFSET(nombres[],0,0,1,1))+1,ROW(OFFSET(nombres[],ROWS(nombres[])-1,0,1,1))+1),$O1538:$O1557),3),"")</f>
        <v/>
      </c>
      <c r="ACI1538" s="42" t="str">
        <f t="array" aca="1" ref="ACI1538" ca="1">IFERROR(INDEX(nombres[],SMALL(IF(OFFSET(nombres[],0,0,ROWS(nombres[]),1)=ACI$1490,ROW(OFFSET(nombres[],0,0,ROWS(nombres[]),1))-ROW(OFFSET(nombres[],0,0,1,1))+1,ROW(OFFSET(nombres[],ROWS(nombres[])-1,0,1,1))+1),$O1538:$O1557),3),"")</f>
        <v/>
      </c>
      <c r="ACJ1538" s="42" t="str">
        <f t="array" aca="1" ref="ACJ1538" ca="1">IFERROR(INDEX(nombres[],SMALL(IF(OFFSET(nombres[],0,0,ROWS(nombres[]),1)=ACJ$1490,ROW(OFFSET(nombres[],0,0,ROWS(nombres[]),1))-ROW(OFFSET(nombres[],0,0,1,1))+1,ROW(OFFSET(nombres[],ROWS(nombres[])-1,0,1,1))+1),$O1538:$O1557),3),"")</f>
        <v/>
      </c>
      <c r="ACK1538" s="42" t="str">
        <f t="array" aca="1" ref="ACK1538" ca="1">IFERROR(INDEX(nombres[],SMALL(IF(OFFSET(nombres[],0,0,ROWS(nombres[]),1)=ACK$1490,ROW(OFFSET(nombres[],0,0,ROWS(nombres[]),1))-ROW(OFFSET(nombres[],0,0,1,1))+1,ROW(OFFSET(nombres[],ROWS(nombres[])-1,0,1,1))+1),$O1538:$O1557),3),"")</f>
        <v/>
      </c>
      <c r="ACL1538" s="42" t="str">
        <f t="array" aca="1" ref="ACL1538" ca="1">IFERROR(INDEX(nombres[],SMALL(IF(OFFSET(nombres[],0,0,ROWS(nombres[]),1)=ACL$1490,ROW(OFFSET(nombres[],0,0,ROWS(nombres[]),1))-ROW(OFFSET(nombres[],0,0,1,1))+1,ROW(OFFSET(nombres[],ROWS(nombres[])-1,0,1,1))+1),$O1538:$O1557),3),"")</f>
        <v/>
      </c>
      <c r="ACM1538" s="42" t="str">
        <f t="array" aca="1" ref="ACM1538" ca="1">IFERROR(INDEX(nombres[],SMALL(IF(OFFSET(nombres[],0,0,ROWS(nombres[]),1)=ACM$1490,ROW(OFFSET(nombres[],0,0,ROWS(nombres[]),1))-ROW(OFFSET(nombres[],0,0,1,1))+1,ROW(OFFSET(nombres[],ROWS(nombres[])-1,0,1,1))+1),$O1538:$O1557),3),"")</f>
        <v/>
      </c>
      <c r="ACN1538" s="42" t="str">
        <f t="array" aca="1" ref="ACN1538" ca="1">IFERROR(INDEX(nombres[],SMALL(IF(OFFSET(nombres[],0,0,ROWS(nombres[]),1)=ACN$1490,ROW(OFFSET(nombres[],0,0,ROWS(nombres[]),1))-ROW(OFFSET(nombres[],0,0,1,1))+1,ROW(OFFSET(nombres[],ROWS(nombres[])-1,0,1,1))+1),$O1538:$O1557),3),"")</f>
        <v/>
      </c>
      <c r="ACO1538" s="42" t="str">
        <f t="array" aca="1" ref="ACO1538" ca="1">IFERROR(INDEX(nombres[],SMALL(IF(OFFSET(nombres[],0,0,ROWS(nombres[]),1)=ACO$1490,ROW(OFFSET(nombres[],0,0,ROWS(nombres[]),1))-ROW(OFFSET(nombres[],0,0,1,1))+1,ROW(OFFSET(nombres[],ROWS(nombres[])-1,0,1,1))+1),$O1538:$O1557),3),"")</f>
        <v/>
      </c>
      <c r="ACP1538" s="42" t="str">
        <f t="array" aca="1" ref="ACP1538" ca="1">IFERROR(INDEX(nombres[],SMALL(IF(OFFSET(nombres[],0,0,ROWS(nombres[]),1)=ACP$1490,ROW(OFFSET(nombres[],0,0,ROWS(nombres[]),1))-ROW(OFFSET(nombres[],0,0,1,1))+1,ROW(OFFSET(nombres[],ROWS(nombres[])-1,0,1,1))+1),$O1538:$O1557),3),"")</f>
        <v/>
      </c>
      <c r="ACQ1538" s="42" t="str">
        <f t="array" aca="1" ref="ACQ1538" ca="1">IFERROR(INDEX(nombres[],SMALL(IF(OFFSET(nombres[],0,0,ROWS(nombres[]),1)=ACQ$1490,ROW(OFFSET(nombres[],0,0,ROWS(nombres[]),1))-ROW(OFFSET(nombres[],0,0,1,1))+1,ROW(OFFSET(nombres[],ROWS(nombres[])-1,0,1,1))+1),$O1538:$O1557),3),"")</f>
        <v/>
      </c>
      <c r="ACR1538" s="42" t="str">
        <f t="array" aca="1" ref="ACR1538" ca="1">IFERROR(INDEX(nombres[],SMALL(IF(OFFSET(nombres[],0,0,ROWS(nombres[]),1)=ACR$1490,ROW(OFFSET(nombres[],0,0,ROWS(nombres[]),1))-ROW(OFFSET(nombres[],0,0,1,1))+1,ROW(OFFSET(nombres[],ROWS(nombres[])-1,0,1,1))+1),$O1538:$O1557),3),"")</f>
        <v/>
      </c>
      <c r="ACS1538" s="42" t="str">
        <f t="array" aca="1" ref="ACS1538" ca="1">IFERROR(INDEX(nombres[],SMALL(IF(OFFSET(nombres[],0,0,ROWS(nombres[]),1)=ACS$1490,ROW(OFFSET(nombres[],0,0,ROWS(nombres[]),1))-ROW(OFFSET(nombres[],0,0,1,1))+1,ROW(OFFSET(nombres[],ROWS(nombres[])-1,0,1,1))+1),$O1538:$O1557),3),"")</f>
        <v/>
      </c>
      <c r="ACT1538" s="42" t="str">
        <f t="array" aca="1" ref="ACT1538" ca="1">IFERROR(INDEX(nombres[],SMALL(IF(OFFSET(nombres[],0,0,ROWS(nombres[]),1)=ACT$1490,ROW(OFFSET(nombres[],0,0,ROWS(nombres[]),1))-ROW(OFFSET(nombres[],0,0,1,1))+1,ROW(OFFSET(nombres[],ROWS(nombres[])-1,0,1,1))+1),$O1538:$O1557),3),"")</f>
        <v/>
      </c>
      <c r="ACU1538" s="42" t="str">
        <f t="array" aca="1" ref="ACU1538" ca="1">IFERROR(INDEX(nombres[],SMALL(IF(OFFSET(nombres[],0,0,ROWS(nombres[]),1)=ACU$1490,ROW(OFFSET(nombres[],0,0,ROWS(nombres[]),1))-ROW(OFFSET(nombres[],0,0,1,1))+1,ROW(OFFSET(nombres[],ROWS(nombres[])-1,0,1,1))+1),$O1538:$O1557),3),"")</f>
        <v/>
      </c>
      <c r="ACV1538" s="42" t="str">
        <f t="array" aca="1" ref="ACV1538" ca="1">IFERROR(INDEX(nombres[],SMALL(IF(OFFSET(nombres[],0,0,ROWS(nombres[]),1)=ACV$1490,ROW(OFFSET(nombres[],0,0,ROWS(nombres[]),1))-ROW(OFFSET(nombres[],0,0,1,1))+1,ROW(OFFSET(nombres[],ROWS(nombres[])-1,0,1,1))+1),$O1538:$O1557),3),"")</f>
        <v/>
      </c>
      <c r="ACW1538" s="42" t="str">
        <f t="array" aca="1" ref="ACW1538" ca="1">IFERROR(INDEX(nombres[],SMALL(IF(OFFSET(nombres[],0,0,ROWS(nombres[]),1)=ACW$1490,ROW(OFFSET(nombres[],0,0,ROWS(nombres[]),1))-ROW(OFFSET(nombres[],0,0,1,1))+1,ROW(OFFSET(nombres[],ROWS(nombres[])-1,0,1,1))+1),$O1538:$O1557),3),"")</f>
        <v/>
      </c>
      <c r="ACX1538" s="42" t="str">
        <f t="array" aca="1" ref="ACX1538" ca="1">IFERROR(INDEX(nombres[],SMALL(IF(OFFSET(nombres[],0,0,ROWS(nombres[]),1)=ACX$1490,ROW(OFFSET(nombres[],0,0,ROWS(nombres[]),1))-ROW(OFFSET(nombres[],0,0,1,1))+1,ROW(OFFSET(nombres[],ROWS(nombres[])-1,0,1,1))+1),$O1538:$O1557),3),"")</f>
        <v/>
      </c>
      <c r="ACY1538" s="42" t="str">
        <f t="array" aca="1" ref="ACY1538" ca="1">IFERROR(INDEX(nombres[],SMALL(IF(OFFSET(nombres[],0,0,ROWS(nombres[]),1)=ACY$1490,ROW(OFFSET(nombres[],0,0,ROWS(nombres[]),1))-ROW(OFFSET(nombres[],0,0,1,1))+1,ROW(OFFSET(nombres[],ROWS(nombres[])-1,0,1,1))+1),$O1538:$O1557),3),"")</f>
        <v/>
      </c>
      <c r="ACZ1538" s="42" t="str">
        <f t="array" aca="1" ref="ACZ1538" ca="1">IFERROR(INDEX(nombres[],SMALL(IF(OFFSET(nombres[],0,0,ROWS(nombres[]),1)=ACZ$1490,ROW(OFFSET(nombres[],0,0,ROWS(nombres[]),1))-ROW(OFFSET(nombres[],0,0,1,1))+1,ROW(OFFSET(nombres[],ROWS(nombres[])-1,0,1,1))+1),$O1538:$O1557),3),"")</f>
        <v/>
      </c>
      <c r="ADA1538" s="42" t="str">
        <f t="array" aca="1" ref="ADA1538" ca="1">IFERROR(INDEX(nombres[],SMALL(IF(OFFSET(nombres[],0,0,ROWS(nombres[]),1)=ADA$1490,ROW(OFFSET(nombres[],0,0,ROWS(nombres[]),1))-ROW(OFFSET(nombres[],0,0,1,1))+1,ROW(OFFSET(nombres[],ROWS(nombres[])-1,0,1,1))+1),$O1538:$O1557),3),"")</f>
        <v/>
      </c>
      <c r="ADB1538" s="42" t="str">
        <f t="array" aca="1" ref="ADB1538" ca="1">IFERROR(INDEX(nombres[],SMALL(IF(OFFSET(nombres[],0,0,ROWS(nombres[]),1)=ADB$1490,ROW(OFFSET(nombres[],0,0,ROWS(nombres[]),1))-ROW(OFFSET(nombres[],0,0,1,1))+1,ROW(OFFSET(nombres[],ROWS(nombres[])-1,0,1,1))+1),$O1538:$O1557),3),"")</f>
        <v/>
      </c>
      <c r="ADC1538" s="42" t="str">
        <f t="array" aca="1" ref="ADC1538" ca="1">IFERROR(INDEX(nombres[],SMALL(IF(OFFSET(nombres[],0,0,ROWS(nombres[]),1)=ADC$1490,ROW(OFFSET(nombres[],0,0,ROWS(nombres[]),1))-ROW(OFFSET(nombres[],0,0,1,1))+1,ROW(OFFSET(nombres[],ROWS(nombres[])-1,0,1,1))+1),$O1538:$O1557),3),"")</f>
        <v/>
      </c>
      <c r="ADD1538" s="42" t="str">
        <f t="array" aca="1" ref="ADD1538" ca="1">IFERROR(INDEX(nombres[],SMALL(IF(OFFSET(nombres[],0,0,ROWS(nombres[]),1)=ADD$1490,ROW(OFFSET(nombres[],0,0,ROWS(nombres[]),1))-ROW(OFFSET(nombres[],0,0,1,1))+1,ROW(OFFSET(nombres[],ROWS(nombres[])-1,0,1,1))+1),$O1538:$O1557),3),"")</f>
        <v/>
      </c>
      <c r="ADE1538" s="42" t="str">
        <f t="array" aca="1" ref="ADE1538" ca="1">IFERROR(INDEX(nombres[],SMALL(IF(OFFSET(nombres[],0,0,ROWS(nombres[]),1)=ADE$1490,ROW(OFFSET(nombres[],0,0,ROWS(nombres[]),1))-ROW(OFFSET(nombres[],0,0,1,1))+1,ROW(OFFSET(nombres[],ROWS(nombres[])-1,0,1,1))+1),$O1538:$O1557),3),"")</f>
        <v/>
      </c>
      <c r="ADF1538" s="42" t="str">
        <f t="array" aca="1" ref="ADF1538" ca="1">IFERROR(INDEX(nombres[],SMALL(IF(OFFSET(nombres[],0,0,ROWS(nombres[]),1)=ADF$1490,ROW(OFFSET(nombres[],0,0,ROWS(nombres[]),1))-ROW(OFFSET(nombres[],0,0,1,1))+1,ROW(OFFSET(nombres[],ROWS(nombres[])-1,0,1,1))+1),$O1538:$O1557),3),"")</f>
        <v/>
      </c>
      <c r="ADG1538" s="42" t="str">
        <f t="array" aca="1" ref="ADG1538" ca="1">IFERROR(INDEX(nombres[],SMALL(IF(OFFSET(nombres[],0,0,ROWS(nombres[]),1)=ADG$1490,ROW(OFFSET(nombres[],0,0,ROWS(nombres[]),1))-ROW(OFFSET(nombres[],0,0,1,1))+1,ROW(OFFSET(nombres[],ROWS(nombres[])-1,0,1,1))+1),$O1538:$O1557),3),"")</f>
        <v/>
      </c>
      <c r="ADH1538" s="42" t="str">
        <f t="array" aca="1" ref="ADH1538" ca="1">IFERROR(INDEX(nombres[],SMALL(IF(OFFSET(nombres[],0,0,ROWS(nombres[]),1)=ADH$1490,ROW(OFFSET(nombres[],0,0,ROWS(nombres[]),1))-ROW(OFFSET(nombres[],0,0,1,1))+1,ROW(OFFSET(nombres[],ROWS(nombres[])-1,0,1,1))+1),$O1538:$O1557),3),"")</f>
        <v/>
      </c>
      <c r="ADI1538" s="42" t="str">
        <f t="array" aca="1" ref="ADI1538" ca="1">IFERROR(INDEX(nombres[],SMALL(IF(OFFSET(nombres[],0,0,ROWS(nombres[]),1)=ADI$1490,ROW(OFFSET(nombres[],0,0,ROWS(nombres[]),1))-ROW(OFFSET(nombres[],0,0,1,1))+1,ROW(OFFSET(nombres[],ROWS(nombres[])-1,0,1,1))+1),$O1538:$O1557),3),"")</f>
        <v/>
      </c>
      <c r="ADJ1538" s="42" t="str">
        <f t="array" aca="1" ref="ADJ1538" ca="1">IFERROR(INDEX(nombres[],SMALL(IF(OFFSET(nombres[],0,0,ROWS(nombres[]),1)=ADJ$1490,ROW(OFFSET(nombres[],0,0,ROWS(nombres[]),1))-ROW(OFFSET(nombres[],0,0,1,1))+1,ROW(OFFSET(nombres[],ROWS(nombres[])-1,0,1,1))+1),$O1538:$O1557),3),"")</f>
        <v/>
      </c>
      <c r="ADK1538" s="42" t="str">
        <f t="array" aca="1" ref="ADK1538" ca="1">IFERROR(INDEX(nombres[],SMALL(IF(OFFSET(nombres[],0,0,ROWS(nombres[]),1)=ADK$1490,ROW(OFFSET(nombres[],0,0,ROWS(nombres[]),1))-ROW(OFFSET(nombres[],0,0,1,1))+1,ROW(OFFSET(nombres[],ROWS(nombres[])-1,0,1,1))+1),$O1538:$O1557),3),"")</f>
        <v/>
      </c>
      <c r="ADL1538" s="42" t="str">
        <f t="array" aca="1" ref="ADL1538" ca="1">IFERROR(INDEX(nombres[],SMALL(IF(OFFSET(nombres[],0,0,ROWS(nombres[]),1)=ADL$1490,ROW(OFFSET(nombres[],0,0,ROWS(nombres[]),1))-ROW(OFFSET(nombres[],0,0,1,1))+1,ROW(OFFSET(nombres[],ROWS(nombres[])-1,0,1,1))+1),$O1538:$O1557),3),"")</f>
        <v/>
      </c>
      <c r="ADM1538" s="42" t="str">
        <f t="array" aca="1" ref="ADM1538" ca="1">IFERROR(INDEX(nombres[],SMALL(IF(OFFSET(nombres[],0,0,ROWS(nombres[]),1)=ADM$1490,ROW(OFFSET(nombres[],0,0,ROWS(nombres[]),1))-ROW(OFFSET(nombres[],0,0,1,1))+1,ROW(OFFSET(nombres[],ROWS(nombres[])-1,0,1,1))+1),$O1538:$O1557),3),"")</f>
        <v/>
      </c>
      <c r="ADN1538" s="42" t="str">
        <f t="array" aca="1" ref="ADN1538" ca="1">IFERROR(INDEX(nombres[],SMALL(IF(OFFSET(nombres[],0,0,ROWS(nombres[]),1)=ADN$1490,ROW(OFFSET(nombres[],0,0,ROWS(nombres[]),1))-ROW(OFFSET(nombres[],0,0,1,1))+1,ROW(OFFSET(nombres[],ROWS(nombres[])-1,0,1,1))+1),$O1538:$O1557),3),"")</f>
        <v/>
      </c>
      <c r="ADO1538" s="42" t="str">
        <f t="array" aca="1" ref="ADO1538" ca="1">IFERROR(INDEX(nombres[],SMALL(IF(OFFSET(nombres[],0,0,ROWS(nombres[]),1)=ADO$1490,ROW(OFFSET(nombres[],0,0,ROWS(nombres[]),1))-ROW(OFFSET(nombres[],0,0,1,1))+1,ROW(OFFSET(nombres[],ROWS(nombres[])-1,0,1,1))+1),$O1538:$O1557),3),"")</f>
        <v/>
      </c>
      <c r="ADP1538" s="42" t="str">
        <f t="array" aca="1" ref="ADP1538" ca="1">IFERROR(INDEX(nombres[],SMALL(IF(OFFSET(nombres[],0,0,ROWS(nombres[]),1)=ADP$1490,ROW(OFFSET(nombres[],0,0,ROWS(nombres[]),1))-ROW(OFFSET(nombres[],0,0,1,1))+1,ROW(OFFSET(nombres[],ROWS(nombres[])-1,0,1,1))+1),$O1538:$O1557),3),"")</f>
        <v/>
      </c>
      <c r="ADQ1538" s="42" t="str">
        <f t="array" aca="1" ref="ADQ1538" ca="1">IFERROR(INDEX(nombres[],SMALL(IF(OFFSET(nombres[],0,0,ROWS(nombres[]),1)=ADQ$1490,ROW(OFFSET(nombres[],0,0,ROWS(nombres[]),1))-ROW(OFFSET(nombres[],0,0,1,1))+1,ROW(OFFSET(nombres[],ROWS(nombres[])-1,0,1,1))+1),$O1538:$O1557),3),"")</f>
        <v/>
      </c>
      <c r="ADR1538" s="42" t="str">
        <f t="array" aca="1" ref="ADR1538" ca="1">IFERROR(INDEX(nombres[],SMALL(IF(OFFSET(nombres[],0,0,ROWS(nombres[]),1)=ADR$1490,ROW(OFFSET(nombres[],0,0,ROWS(nombres[]),1))-ROW(OFFSET(nombres[],0,0,1,1))+1,ROW(OFFSET(nombres[],ROWS(nombres[])-1,0,1,1))+1),$O1538:$O1557),3),"")</f>
        <v/>
      </c>
      <c r="ADS1538" s="42" t="str">
        <f t="array" aca="1" ref="ADS1538" ca="1">IFERROR(INDEX(nombres[],SMALL(IF(OFFSET(nombres[],0,0,ROWS(nombres[]),1)=ADS$1490,ROW(OFFSET(nombres[],0,0,ROWS(nombres[]),1))-ROW(OFFSET(nombres[],0,0,1,1))+1,ROW(OFFSET(nombres[],ROWS(nombres[])-1,0,1,1))+1),$O1538:$O1557),3),"")</f>
        <v/>
      </c>
      <c r="ADT1538" s="42" t="str">
        <f t="array" aca="1" ref="ADT1538" ca="1">IFERROR(INDEX(nombres[],SMALL(IF(OFFSET(nombres[],0,0,ROWS(nombres[]),1)=ADT$1490,ROW(OFFSET(nombres[],0,0,ROWS(nombres[]),1))-ROW(OFFSET(nombres[],0,0,1,1))+1,ROW(OFFSET(nombres[],ROWS(nombres[])-1,0,1,1))+1),$O1538:$O1557),3),"")</f>
        <v/>
      </c>
      <c r="ADU1538" s="42" t="str">
        <f t="array" aca="1" ref="ADU1538" ca="1">IFERROR(INDEX(nombres[],SMALL(IF(OFFSET(nombres[],0,0,ROWS(nombres[]),1)=ADU$1490,ROW(OFFSET(nombres[],0,0,ROWS(nombres[]),1))-ROW(OFFSET(nombres[],0,0,1,1))+1,ROW(OFFSET(nombres[],ROWS(nombres[])-1,0,1,1))+1),$O1538:$O1557),3),"")</f>
        <v/>
      </c>
      <c r="ADV1538" s="42" t="str">
        <f t="array" aca="1" ref="ADV1538" ca="1">IFERROR(INDEX(nombres[],SMALL(IF(OFFSET(nombres[],0,0,ROWS(nombres[]),1)=ADV$1490,ROW(OFFSET(nombres[],0,0,ROWS(nombres[]),1))-ROW(OFFSET(nombres[],0,0,1,1))+1,ROW(OFFSET(nombres[],ROWS(nombres[])-1,0,1,1))+1),$O1538:$O1557),3),"")</f>
        <v/>
      </c>
      <c r="ADW1538" s="42" t="str">
        <f t="array" aca="1" ref="ADW1538" ca="1">IFERROR(INDEX(nombres[],SMALL(IF(OFFSET(nombres[],0,0,ROWS(nombres[]),1)=ADW$1490,ROW(OFFSET(nombres[],0,0,ROWS(nombres[]),1))-ROW(OFFSET(nombres[],0,0,1,1))+1,ROW(OFFSET(nombres[],ROWS(nombres[])-1,0,1,1))+1),$O1538:$O1557),3),"")</f>
        <v/>
      </c>
      <c r="ADX1538" s="42" t="str">
        <f t="array" aca="1" ref="ADX1538" ca="1">IFERROR(INDEX(nombres[],SMALL(IF(OFFSET(nombres[],0,0,ROWS(nombres[]),1)=ADX$1490,ROW(OFFSET(nombres[],0,0,ROWS(nombres[]),1))-ROW(OFFSET(nombres[],0,0,1,1))+1,ROW(OFFSET(nombres[],ROWS(nombres[])-1,0,1,1))+1),$O1538:$O1557),3),"")</f>
        <v/>
      </c>
      <c r="ADY1538" s="42" t="str">
        <f t="array" aca="1" ref="ADY1538" ca="1">IFERROR(INDEX(nombres[],SMALL(IF(OFFSET(nombres[],0,0,ROWS(nombres[]),1)=ADY$1490,ROW(OFFSET(nombres[],0,0,ROWS(nombres[]),1))-ROW(OFFSET(nombres[],0,0,1,1))+1,ROW(OFFSET(nombres[],ROWS(nombres[])-1,0,1,1))+1),$O1538:$O1557),3),"")</f>
        <v/>
      </c>
      <c r="ADZ1538" s="42" t="str">
        <f t="array" aca="1" ref="ADZ1538" ca="1">IFERROR(INDEX(nombres[],SMALL(IF(OFFSET(nombres[],0,0,ROWS(nombres[]),1)=ADZ$1490,ROW(OFFSET(nombres[],0,0,ROWS(nombres[]),1))-ROW(OFFSET(nombres[],0,0,1,1))+1,ROW(OFFSET(nombres[],ROWS(nombres[])-1,0,1,1))+1),$O1538:$O1557),3),"")</f>
        <v/>
      </c>
      <c r="AEA1538" s="42" t="str">
        <f t="array" aca="1" ref="AEA1538" ca="1">IFERROR(INDEX(nombres[],SMALL(IF(OFFSET(nombres[],0,0,ROWS(nombres[]),1)=AEA$1490,ROW(OFFSET(nombres[],0,0,ROWS(nombres[]),1))-ROW(OFFSET(nombres[],0,0,1,1))+1,ROW(OFFSET(nombres[],ROWS(nombres[])-1,0,1,1))+1),$O1538:$O1557),3),"")</f>
        <v/>
      </c>
      <c r="AEB1538" s="42" t="str">
        <f t="array" aca="1" ref="AEB1538" ca="1">IFERROR(INDEX(nombres[],SMALL(IF(OFFSET(nombres[],0,0,ROWS(nombres[]),1)=AEB$1490,ROW(OFFSET(nombres[],0,0,ROWS(nombres[]),1))-ROW(OFFSET(nombres[],0,0,1,1))+1,ROW(OFFSET(nombres[],ROWS(nombres[])-1,0,1,1))+1),$O1538:$O1557),3),"")</f>
        <v/>
      </c>
      <c r="AEC1538" s="42" t="str">
        <f t="array" aca="1" ref="AEC1538" ca="1">IFERROR(INDEX(nombres[],SMALL(IF(OFFSET(nombres[],0,0,ROWS(nombres[]),1)=AEC$1490,ROW(OFFSET(nombres[],0,0,ROWS(nombres[]),1))-ROW(OFFSET(nombres[],0,0,1,1))+1,ROW(OFFSET(nombres[],ROWS(nombres[])-1,0,1,1))+1),$O1538:$O1557),3),"")</f>
        <v/>
      </c>
      <c r="AED1538" s="42" t="str">
        <f t="array" aca="1" ref="AED1538" ca="1">IFERROR(INDEX(nombres[],SMALL(IF(OFFSET(nombres[],0,0,ROWS(nombres[]),1)=AED$1490,ROW(OFFSET(nombres[],0,0,ROWS(nombres[]),1))-ROW(OFFSET(nombres[],0,0,1,1))+1,ROW(OFFSET(nombres[],ROWS(nombres[])-1,0,1,1))+1),$O1538:$O1557),3),"")</f>
        <v/>
      </c>
      <c r="AEE1538" s="42" t="str">
        <f t="array" aca="1" ref="AEE1538" ca="1">IFERROR(INDEX(nombres[],SMALL(IF(OFFSET(nombres[],0,0,ROWS(nombres[]),1)=AEE$1490,ROW(OFFSET(nombres[],0,0,ROWS(nombres[]),1))-ROW(OFFSET(nombres[],0,0,1,1))+1,ROW(OFFSET(nombres[],ROWS(nombres[])-1,0,1,1))+1),$O1538:$O1557),3),"")</f>
        <v/>
      </c>
      <c r="AEF1538" s="42" t="str">
        <f t="array" aca="1" ref="AEF1538" ca="1">IFERROR(INDEX(nombres[],SMALL(IF(OFFSET(nombres[],0,0,ROWS(nombres[]),1)=AEF$1490,ROW(OFFSET(nombres[],0,0,ROWS(nombres[]),1))-ROW(OFFSET(nombres[],0,0,1,1))+1,ROW(OFFSET(nombres[],ROWS(nombres[])-1,0,1,1))+1),$O1538:$O1557),3),"")</f>
        <v/>
      </c>
      <c r="AEG1538" s="42" t="str">
        <f t="array" aca="1" ref="AEG1538" ca="1">IFERROR(INDEX(nombres[],SMALL(IF(OFFSET(nombres[],0,0,ROWS(nombres[]),1)=AEG$1490,ROW(OFFSET(nombres[],0,0,ROWS(nombres[]),1))-ROW(OFFSET(nombres[],0,0,1,1))+1,ROW(OFFSET(nombres[],ROWS(nombres[])-1,0,1,1))+1),$O1538:$O1557),3),"")</f>
        <v/>
      </c>
      <c r="AEH1538" s="42" t="str">
        <f t="array" aca="1" ref="AEH1538" ca="1">IFERROR(INDEX(nombres[],SMALL(IF(OFFSET(nombres[],0,0,ROWS(nombres[]),1)=AEH$1490,ROW(OFFSET(nombres[],0,0,ROWS(nombres[]),1))-ROW(OFFSET(nombres[],0,0,1,1))+1,ROW(OFFSET(nombres[],ROWS(nombres[])-1,0,1,1))+1),$O1538:$O1557),3),"")</f>
        <v/>
      </c>
      <c r="AEI1538" s="42" t="str">
        <f t="array" aca="1" ref="AEI1538" ca="1">IFERROR(INDEX(nombres[],SMALL(IF(OFFSET(nombres[],0,0,ROWS(nombres[]),1)=AEI$1490,ROW(OFFSET(nombres[],0,0,ROWS(nombres[]),1))-ROW(OFFSET(nombres[],0,0,1,1))+1,ROW(OFFSET(nombres[],ROWS(nombres[])-1,0,1,1))+1),$O1538:$O1557),3),"")</f>
        <v/>
      </c>
      <c r="AEJ1538" s="42" t="str">
        <f t="array" aca="1" ref="AEJ1538" ca="1">IFERROR(INDEX(nombres[],SMALL(IF(OFFSET(nombres[],0,0,ROWS(nombres[]),1)=AEJ$1490,ROW(OFFSET(nombres[],0,0,ROWS(nombres[]),1))-ROW(OFFSET(nombres[],0,0,1,1))+1,ROW(OFFSET(nombres[],ROWS(nombres[])-1,0,1,1))+1),$O1538:$O1557),3),"")</f>
        <v/>
      </c>
      <c r="AEK1538" s="42" t="str">
        <f t="array" aca="1" ref="AEK1538" ca="1">IFERROR(INDEX(nombres[],SMALL(IF(OFFSET(nombres[],0,0,ROWS(nombres[]),1)=AEK$1490,ROW(OFFSET(nombres[],0,0,ROWS(nombres[]),1))-ROW(OFFSET(nombres[],0,0,1,1))+1,ROW(OFFSET(nombres[],ROWS(nombres[])-1,0,1,1))+1),$O1538:$O1557),3),"")</f>
        <v/>
      </c>
      <c r="AEL1538" s="42" t="str">
        <f t="array" aca="1" ref="AEL1538" ca="1">IFERROR(INDEX(nombres[],SMALL(IF(OFFSET(nombres[],0,0,ROWS(nombres[]),1)=AEL$1490,ROW(OFFSET(nombres[],0,0,ROWS(nombres[]),1))-ROW(OFFSET(nombres[],0,0,1,1))+1,ROW(OFFSET(nombres[],ROWS(nombres[])-1,0,1,1))+1),$O1538:$O1557),3),"")</f>
        <v/>
      </c>
      <c r="AEM1538" s="42" t="str">
        <f t="array" aca="1" ref="AEM1538" ca="1">IFERROR(INDEX(nombres[],SMALL(IF(OFFSET(nombres[],0,0,ROWS(nombres[]),1)=AEM$1490,ROW(OFFSET(nombres[],0,0,ROWS(nombres[]),1))-ROW(OFFSET(nombres[],0,0,1,1))+1,ROW(OFFSET(nombres[],ROWS(nombres[])-1,0,1,1))+1),$O1538:$O1557),3),"")</f>
        <v/>
      </c>
      <c r="AEN1538" s="42" t="str">
        <f t="array" aca="1" ref="AEN1538" ca="1">IFERROR(INDEX(nombres[],SMALL(IF(OFFSET(nombres[],0,0,ROWS(nombres[]),1)=AEN$1490,ROW(OFFSET(nombres[],0,0,ROWS(nombres[]),1))-ROW(OFFSET(nombres[],0,0,1,1))+1,ROW(OFFSET(nombres[],ROWS(nombres[])-1,0,1,1))+1),$O1538:$O1557),3),"")</f>
        <v/>
      </c>
      <c r="AEO1538" s="42" t="str">
        <f t="array" aca="1" ref="AEO1538" ca="1">IFERROR(INDEX(nombres[],SMALL(IF(OFFSET(nombres[],0,0,ROWS(nombres[]),1)=AEO$1490,ROW(OFFSET(nombres[],0,0,ROWS(nombres[]),1))-ROW(OFFSET(nombres[],0,0,1,1))+1,ROW(OFFSET(nombres[],ROWS(nombres[])-1,0,1,1))+1),$O1538:$O1557),3),"")</f>
        <v/>
      </c>
      <c r="AEP1538" s="42" t="str">
        <f t="array" aca="1" ref="AEP1538" ca="1">IFERROR(INDEX(nombres[],SMALL(IF(OFFSET(nombres[],0,0,ROWS(nombres[]),1)=AEP$1490,ROW(OFFSET(nombres[],0,0,ROWS(nombres[]),1))-ROW(OFFSET(nombres[],0,0,1,1))+1,ROW(OFFSET(nombres[],ROWS(nombres[])-1,0,1,1))+1),$O1538:$O1557),3),"")</f>
        <v/>
      </c>
      <c r="AEQ1538" s="42" t="str">
        <f t="array" aca="1" ref="AEQ1538" ca="1">IFERROR(INDEX(nombres[],SMALL(IF(OFFSET(nombres[],0,0,ROWS(nombres[]),1)=AEQ$1490,ROW(OFFSET(nombres[],0,0,ROWS(nombres[]),1))-ROW(OFFSET(nombres[],0,0,1,1))+1,ROW(OFFSET(nombres[],ROWS(nombres[])-1,0,1,1))+1),$O1538:$O1557),3),"")</f>
        <v/>
      </c>
      <c r="AER1538" s="42" t="str">
        <f t="array" aca="1" ref="AER1538" ca="1">IFERROR(INDEX(nombres[],SMALL(IF(OFFSET(nombres[],0,0,ROWS(nombres[]),1)=AER$1490,ROW(OFFSET(nombres[],0,0,ROWS(nombres[]),1))-ROW(OFFSET(nombres[],0,0,1,1))+1,ROW(OFFSET(nombres[],ROWS(nombres[])-1,0,1,1))+1),$O1538:$O1557),3),"")</f>
        <v/>
      </c>
      <c r="AES1538" s="42" t="str">
        <f t="array" aca="1" ref="AES1538" ca="1">IFERROR(INDEX(nombres[],SMALL(IF(OFFSET(nombres[],0,0,ROWS(nombres[]),1)=AES$1490,ROW(OFFSET(nombres[],0,0,ROWS(nombres[]),1))-ROW(OFFSET(nombres[],0,0,1,1))+1,ROW(OFFSET(nombres[],ROWS(nombres[])-1,0,1,1))+1),$O1538:$O1557),3),"")</f>
        <v/>
      </c>
      <c r="AET1538" s="42" t="str">
        <f t="array" aca="1" ref="AET1538" ca="1">IFERROR(INDEX(nombres[],SMALL(IF(OFFSET(nombres[],0,0,ROWS(nombres[]),1)=AET$1490,ROW(OFFSET(nombres[],0,0,ROWS(nombres[]),1))-ROW(OFFSET(nombres[],0,0,1,1))+1,ROW(OFFSET(nombres[],ROWS(nombres[])-1,0,1,1))+1),$O1538:$O1557),3),"")</f>
        <v/>
      </c>
      <c r="AEU1538" s="42" t="str">
        <f t="array" aca="1" ref="AEU1538" ca="1">IFERROR(INDEX(nombres[],SMALL(IF(OFFSET(nombres[],0,0,ROWS(nombres[]),1)=AEU$1490,ROW(OFFSET(nombres[],0,0,ROWS(nombres[]),1))-ROW(OFFSET(nombres[],0,0,1,1))+1,ROW(OFFSET(nombres[],ROWS(nombres[])-1,0,1,1))+1),$O1538:$O1557),3),"")</f>
        <v/>
      </c>
      <c r="AEV1538" s="42" t="str">
        <f t="array" aca="1" ref="AEV1538" ca="1">IFERROR(INDEX(nombres[],SMALL(IF(OFFSET(nombres[],0,0,ROWS(nombres[]),1)=AEV$1490,ROW(OFFSET(nombres[],0,0,ROWS(nombres[]),1))-ROW(OFFSET(nombres[],0,0,1,1))+1,ROW(OFFSET(nombres[],ROWS(nombres[])-1,0,1,1))+1),$O1538:$O1557),3),"")</f>
        <v/>
      </c>
      <c r="AEW1538" s="42" t="str">
        <f t="array" aca="1" ref="AEW1538" ca="1">IFERROR(INDEX(nombres[],SMALL(IF(OFFSET(nombres[],0,0,ROWS(nombres[]),1)=AEW$1490,ROW(OFFSET(nombres[],0,0,ROWS(nombres[]),1))-ROW(OFFSET(nombres[],0,0,1,1))+1,ROW(OFFSET(nombres[],ROWS(nombres[])-1,0,1,1))+1),$O1538:$O1557),3),"")</f>
        <v/>
      </c>
      <c r="AEX1538" s="42" t="str">
        <f t="array" aca="1" ref="AEX1538" ca="1">IFERROR(INDEX(nombres[],SMALL(IF(OFFSET(nombres[],0,0,ROWS(nombres[]),1)=AEX$1490,ROW(OFFSET(nombres[],0,0,ROWS(nombres[]),1))-ROW(OFFSET(nombres[],0,0,1,1))+1,ROW(OFFSET(nombres[],ROWS(nombres[])-1,0,1,1))+1),$O1538:$O1557),3),"")</f>
        <v/>
      </c>
      <c r="AEY1538" s="42" t="str">
        <f t="array" aca="1" ref="AEY1538" ca="1">IFERROR(INDEX(nombres[],SMALL(IF(OFFSET(nombres[],0,0,ROWS(nombres[]),1)=AEY$1490,ROW(OFFSET(nombres[],0,0,ROWS(nombres[]),1))-ROW(OFFSET(nombres[],0,0,1,1))+1,ROW(OFFSET(nombres[],ROWS(nombres[])-1,0,1,1))+1),$O1538:$O1557),3),"")</f>
        <v/>
      </c>
      <c r="AEZ1538" s="42" t="str">
        <f t="array" aca="1" ref="AEZ1538" ca="1">IFERROR(INDEX(nombres[],SMALL(IF(OFFSET(nombres[],0,0,ROWS(nombres[]),1)=AEZ$1490,ROW(OFFSET(nombres[],0,0,ROWS(nombres[]),1))-ROW(OFFSET(nombres[],0,0,1,1))+1,ROW(OFFSET(nombres[],ROWS(nombres[])-1,0,1,1))+1),$O1538:$O1557),3),"")</f>
        <v/>
      </c>
      <c r="AFA1538" s="42" t="str">
        <f t="array" aca="1" ref="AFA1538" ca="1">IFERROR(INDEX(nombres[],SMALL(IF(OFFSET(nombres[],0,0,ROWS(nombres[]),1)=AFA$1490,ROW(OFFSET(nombres[],0,0,ROWS(nombres[]),1))-ROW(OFFSET(nombres[],0,0,1,1))+1,ROW(OFFSET(nombres[],ROWS(nombres[])-1,0,1,1))+1),$O1538:$O1557),3),"")</f>
        <v/>
      </c>
      <c r="AFB1538" s="42" t="str">
        <f t="array" aca="1" ref="AFB1538" ca="1">IFERROR(INDEX(nombres[],SMALL(IF(OFFSET(nombres[],0,0,ROWS(nombres[]),1)=AFB$1490,ROW(OFFSET(nombres[],0,0,ROWS(nombres[]),1))-ROW(OFFSET(nombres[],0,0,1,1))+1,ROW(OFFSET(nombres[],ROWS(nombres[])-1,0,1,1))+1),$O1538:$O1557),3),"")</f>
        <v/>
      </c>
      <c r="AFC1538" s="42" t="str">
        <f t="array" aca="1" ref="AFC1538" ca="1">IFERROR(INDEX(nombres[],SMALL(IF(OFFSET(nombres[],0,0,ROWS(nombres[]),1)=AFC$1490,ROW(OFFSET(nombres[],0,0,ROWS(nombres[]),1))-ROW(OFFSET(nombres[],0,0,1,1))+1,ROW(OFFSET(nombres[],ROWS(nombres[])-1,0,1,1))+1),$O1538:$O1557),3),"")</f>
        <v/>
      </c>
      <c r="AFD1538" s="42" t="str">
        <f t="array" aca="1" ref="AFD1538" ca="1">IFERROR(INDEX(nombres[],SMALL(IF(OFFSET(nombres[],0,0,ROWS(nombres[]),1)=AFD$1490,ROW(OFFSET(nombres[],0,0,ROWS(nombres[]),1))-ROW(OFFSET(nombres[],0,0,1,1))+1,ROW(OFFSET(nombres[],ROWS(nombres[])-1,0,1,1))+1),$O1538:$O1557),3),"")</f>
        <v/>
      </c>
      <c r="AFE1538" s="42" t="str">
        <f t="array" aca="1" ref="AFE1538" ca="1">IFERROR(INDEX(nombres[],SMALL(IF(OFFSET(nombres[],0,0,ROWS(nombres[]),1)=AFE$1490,ROW(OFFSET(nombres[],0,0,ROWS(nombres[]),1))-ROW(OFFSET(nombres[],0,0,1,1))+1,ROW(OFFSET(nombres[],ROWS(nombres[])-1,0,1,1))+1),$O1538:$O1557),3),"")</f>
        <v/>
      </c>
      <c r="AFF1538" s="42" t="str">
        <f t="array" aca="1" ref="AFF1538" ca="1">IFERROR(INDEX(nombres[],SMALL(IF(OFFSET(nombres[],0,0,ROWS(nombres[]),1)=AFF$1490,ROW(OFFSET(nombres[],0,0,ROWS(nombres[]),1))-ROW(OFFSET(nombres[],0,0,1,1))+1,ROW(OFFSET(nombres[],ROWS(nombres[])-1,0,1,1))+1),$O1538:$O1557),3),"")</f>
        <v/>
      </c>
      <c r="AFG1538" s="42" t="str">
        <f t="array" aca="1" ref="AFG1538" ca="1">IFERROR(INDEX(nombres[],SMALL(IF(OFFSET(nombres[],0,0,ROWS(nombres[]),1)=AFG$1490,ROW(OFFSET(nombres[],0,0,ROWS(nombres[]),1))-ROW(OFFSET(nombres[],0,0,1,1))+1,ROW(OFFSET(nombres[],ROWS(nombres[])-1,0,1,1))+1),$O1538:$O1557),3),"")</f>
        <v/>
      </c>
      <c r="AFH1538" s="42" t="str">
        <f t="array" aca="1" ref="AFH1538" ca="1">IFERROR(INDEX(nombres[],SMALL(IF(OFFSET(nombres[],0,0,ROWS(nombres[]),1)=AFH$1490,ROW(OFFSET(nombres[],0,0,ROWS(nombres[]),1))-ROW(OFFSET(nombres[],0,0,1,1))+1,ROW(OFFSET(nombres[],ROWS(nombres[])-1,0,1,1))+1),$O1538:$O1557),3),"")</f>
        <v/>
      </c>
      <c r="AFI1538" s="42" t="str">
        <f t="array" aca="1" ref="AFI1538" ca="1">IFERROR(INDEX(nombres[],SMALL(IF(OFFSET(nombres[],0,0,ROWS(nombres[]),1)=AFI$1490,ROW(OFFSET(nombres[],0,0,ROWS(nombres[]),1))-ROW(OFFSET(nombres[],0,0,1,1))+1,ROW(OFFSET(nombres[],ROWS(nombres[])-1,0,1,1))+1),$O1538:$O1557),3),"")</f>
        <v/>
      </c>
      <c r="AFJ1538" s="42" t="str">
        <f t="array" aca="1" ref="AFJ1538" ca="1">IFERROR(INDEX(nombres[],SMALL(IF(OFFSET(nombres[],0,0,ROWS(nombres[]),1)=AFJ$1490,ROW(OFFSET(nombres[],0,0,ROWS(nombres[]),1))-ROW(OFFSET(nombres[],0,0,1,1))+1,ROW(OFFSET(nombres[],ROWS(nombres[])-1,0,1,1))+1),$O1538:$O1557),3),"")</f>
        <v/>
      </c>
      <c r="AFK1538" s="42" t="str">
        <f t="array" aca="1" ref="AFK1538" ca="1">IFERROR(INDEX(nombres[],SMALL(IF(OFFSET(nombres[],0,0,ROWS(nombres[]),1)=AFK$1490,ROW(OFFSET(nombres[],0,0,ROWS(nombres[]),1))-ROW(OFFSET(nombres[],0,0,1,1))+1,ROW(OFFSET(nombres[],ROWS(nombres[])-1,0,1,1))+1),$O1538:$O1557),3),"")</f>
        <v/>
      </c>
      <c r="AFL1538" s="42" t="str">
        <f t="array" aca="1" ref="AFL1538" ca="1">IFERROR(INDEX(nombres[],SMALL(IF(OFFSET(nombres[],0,0,ROWS(nombres[]),1)=AFL$1490,ROW(OFFSET(nombres[],0,0,ROWS(nombres[]),1))-ROW(OFFSET(nombres[],0,0,1,1))+1,ROW(OFFSET(nombres[],ROWS(nombres[])-1,0,1,1))+1),$O1538:$O1557),3),"")</f>
        <v/>
      </c>
      <c r="AFM1538" s="42" t="str">
        <f t="array" aca="1" ref="AFM1538" ca="1">IFERROR(INDEX(nombres[],SMALL(IF(OFFSET(nombres[],0,0,ROWS(nombres[]),1)=AFM$1490,ROW(OFFSET(nombres[],0,0,ROWS(nombres[]),1))-ROW(OFFSET(nombres[],0,0,1,1))+1,ROW(OFFSET(nombres[],ROWS(nombres[])-1,0,1,1))+1),$O1538:$O1557),3),"")</f>
        <v/>
      </c>
      <c r="AFN1538" s="42" t="str">
        <f t="array" aca="1" ref="AFN1538" ca="1">IFERROR(INDEX(nombres[],SMALL(IF(OFFSET(nombres[],0,0,ROWS(nombres[]),1)=AFN$1490,ROW(OFFSET(nombres[],0,0,ROWS(nombres[]),1))-ROW(OFFSET(nombres[],0,0,1,1))+1,ROW(OFFSET(nombres[],ROWS(nombres[])-1,0,1,1))+1),$O1538:$O1557),3),"")</f>
        <v/>
      </c>
      <c r="AFO1538" s="42" t="str">
        <f t="array" aca="1" ref="AFO1538" ca="1">IFERROR(INDEX(nombres[],SMALL(IF(OFFSET(nombres[],0,0,ROWS(nombres[]),1)=AFO$1490,ROW(OFFSET(nombres[],0,0,ROWS(nombres[]),1))-ROW(OFFSET(nombres[],0,0,1,1))+1,ROW(OFFSET(nombres[],ROWS(nombres[])-1,0,1,1))+1),$O1538:$O1557),3),"")</f>
        <v/>
      </c>
      <c r="AFP1538" s="42" t="str">
        <f t="array" aca="1" ref="AFP1538" ca="1">IFERROR(INDEX(nombres[],SMALL(IF(OFFSET(nombres[],0,0,ROWS(nombres[]),1)=AFP$1490,ROW(OFFSET(nombres[],0,0,ROWS(nombres[]),1))-ROW(OFFSET(nombres[],0,0,1,1))+1,ROW(OFFSET(nombres[],ROWS(nombres[])-1,0,1,1))+1),$O1538:$O1557),3),"")</f>
        <v/>
      </c>
      <c r="AFQ1538" s="42" t="str">
        <f t="array" aca="1" ref="AFQ1538" ca="1">IFERROR(INDEX(nombres[],SMALL(IF(OFFSET(nombres[],0,0,ROWS(nombres[]),1)=AFQ$1490,ROW(OFFSET(nombres[],0,0,ROWS(nombres[]),1))-ROW(OFFSET(nombres[],0,0,1,1))+1,ROW(OFFSET(nombres[],ROWS(nombres[])-1,0,1,1))+1),$O1538:$O1557),3),"")</f>
        <v/>
      </c>
      <c r="AFR1538" s="42" t="str">
        <f t="array" aca="1" ref="AFR1538" ca="1">IFERROR(INDEX(nombres[],SMALL(IF(OFFSET(nombres[],0,0,ROWS(nombres[]),1)=AFR$1490,ROW(OFFSET(nombres[],0,0,ROWS(nombres[]),1))-ROW(OFFSET(nombres[],0,0,1,1))+1,ROW(OFFSET(nombres[],ROWS(nombres[])-1,0,1,1))+1),$O1538:$O1557),3),"")</f>
        <v/>
      </c>
      <c r="AFS1538" s="42" t="str">
        <f t="array" aca="1" ref="AFS1538" ca="1">IFERROR(INDEX(nombres[],SMALL(IF(OFFSET(nombres[],0,0,ROWS(nombres[]),1)=AFS$1490,ROW(OFFSET(nombres[],0,0,ROWS(nombres[]),1))-ROW(OFFSET(nombres[],0,0,1,1))+1,ROW(OFFSET(nombres[],ROWS(nombres[])-1,0,1,1))+1),$O1538:$O1557),3),"")</f>
        <v/>
      </c>
      <c r="AFT1538" s="42" t="str">
        <f t="array" aca="1" ref="AFT1538" ca="1">IFERROR(INDEX(nombres[],SMALL(IF(OFFSET(nombres[],0,0,ROWS(nombres[]),1)=AFT$1490,ROW(OFFSET(nombres[],0,0,ROWS(nombres[]),1))-ROW(OFFSET(nombres[],0,0,1,1))+1,ROW(OFFSET(nombres[],ROWS(nombres[])-1,0,1,1))+1),$O1538:$O1557),3),"")</f>
        <v/>
      </c>
      <c r="AFU1538" s="42" t="str">
        <f t="array" aca="1" ref="AFU1538" ca="1">IFERROR(INDEX(nombres[],SMALL(IF(OFFSET(nombres[],0,0,ROWS(nombres[]),1)=AFU$1490,ROW(OFFSET(nombres[],0,0,ROWS(nombres[]),1))-ROW(OFFSET(nombres[],0,0,1,1))+1,ROW(OFFSET(nombres[],ROWS(nombres[])-1,0,1,1))+1),$O1538:$O1557),3),"")</f>
        <v/>
      </c>
      <c r="AFV1538" s="42" t="str">
        <f t="array" aca="1" ref="AFV1538" ca="1">IFERROR(INDEX(nombres[],SMALL(IF(OFFSET(nombres[],0,0,ROWS(nombres[]),1)=AFV$1490,ROW(OFFSET(nombres[],0,0,ROWS(nombres[]),1))-ROW(OFFSET(nombres[],0,0,1,1))+1,ROW(OFFSET(nombres[],ROWS(nombres[])-1,0,1,1))+1),$O1538:$O1557),3),"")</f>
        <v/>
      </c>
      <c r="AFW1538" s="42" t="str">
        <f t="array" aca="1" ref="AFW1538" ca="1">IFERROR(INDEX(nombres[],SMALL(IF(OFFSET(nombres[],0,0,ROWS(nombres[]),1)=AFW$1490,ROW(OFFSET(nombres[],0,0,ROWS(nombres[]),1))-ROW(OFFSET(nombres[],0,0,1,1))+1,ROW(OFFSET(nombres[],ROWS(nombres[])-1,0,1,1))+1),$O1538:$O1557),3),"")</f>
        <v/>
      </c>
      <c r="AFX1538" s="42" t="str">
        <f t="array" aca="1" ref="AFX1538" ca="1">IFERROR(INDEX(nombres[],SMALL(IF(OFFSET(nombres[],0,0,ROWS(nombres[]),1)=AFX$1490,ROW(OFFSET(nombres[],0,0,ROWS(nombres[]),1))-ROW(OFFSET(nombres[],0,0,1,1))+1,ROW(OFFSET(nombres[],ROWS(nombres[])-1,0,1,1))+1),$O1538:$O1557),3),"")</f>
        <v/>
      </c>
      <c r="AFY1538" s="42" t="str">
        <f t="array" aca="1" ref="AFY1538" ca="1">IFERROR(INDEX(nombres[],SMALL(IF(OFFSET(nombres[],0,0,ROWS(nombres[]),1)=AFY$1490,ROW(OFFSET(nombres[],0,0,ROWS(nombres[]),1))-ROW(OFFSET(nombres[],0,0,1,1))+1,ROW(OFFSET(nombres[],ROWS(nombres[])-1,0,1,1))+1),$O1538:$O1557),3),"")</f>
        <v/>
      </c>
      <c r="AFZ1538" s="42" t="str">
        <f t="array" aca="1" ref="AFZ1538" ca="1">IFERROR(INDEX(nombres[],SMALL(IF(OFFSET(nombres[],0,0,ROWS(nombres[]),1)=AFZ$1490,ROW(OFFSET(nombres[],0,0,ROWS(nombres[]),1))-ROW(OFFSET(nombres[],0,0,1,1))+1,ROW(OFFSET(nombres[],ROWS(nombres[])-1,0,1,1))+1),$O1538:$O1557),3),"")</f>
        <v/>
      </c>
      <c r="AGA1538" s="42" t="str">
        <f t="array" aca="1" ref="AGA1538" ca="1">IFERROR(INDEX(nombres[],SMALL(IF(OFFSET(nombres[],0,0,ROWS(nombres[]),1)=AGA$1490,ROW(OFFSET(nombres[],0,0,ROWS(nombres[]),1))-ROW(OFFSET(nombres[],0,0,1,1))+1,ROW(OFFSET(nombres[],ROWS(nombres[])-1,0,1,1))+1),$O1538:$O1557),3),"")</f>
        <v/>
      </c>
      <c r="AGB1538" s="42" t="str">
        <f t="array" aca="1" ref="AGB1538" ca="1">IFERROR(INDEX(nombres[],SMALL(IF(OFFSET(nombres[],0,0,ROWS(nombres[]),1)=AGB$1490,ROW(OFFSET(nombres[],0,0,ROWS(nombres[]),1))-ROW(OFFSET(nombres[],0,0,1,1))+1,ROW(OFFSET(nombres[],ROWS(nombres[])-1,0,1,1))+1),$O1538:$O1557),3),"")</f>
        <v/>
      </c>
      <c r="AGC1538" s="42" t="str">
        <f t="array" aca="1" ref="AGC1538" ca="1">IFERROR(INDEX(nombres[],SMALL(IF(OFFSET(nombres[],0,0,ROWS(nombres[]),1)=AGC$1490,ROW(OFFSET(nombres[],0,0,ROWS(nombres[]),1))-ROW(OFFSET(nombres[],0,0,1,1))+1,ROW(OFFSET(nombres[],ROWS(nombres[])-1,0,1,1))+1),$O1538:$O1557),3),"")</f>
        <v/>
      </c>
      <c r="AGD1538" s="42" t="str">
        <f t="array" aca="1" ref="AGD1538" ca="1">IFERROR(INDEX(nombres[],SMALL(IF(OFFSET(nombres[],0,0,ROWS(nombres[]),1)=AGD$1490,ROW(OFFSET(nombres[],0,0,ROWS(nombres[]),1))-ROW(OFFSET(nombres[],0,0,1,1))+1,ROW(OFFSET(nombres[],ROWS(nombres[])-1,0,1,1))+1),$O1538:$O1557),3),"")</f>
        <v/>
      </c>
      <c r="AGE1538" s="42" t="str">
        <f t="array" aca="1" ref="AGE1538" ca="1">IFERROR(INDEX(nombres[],SMALL(IF(OFFSET(nombres[],0,0,ROWS(nombres[]),1)=AGE$1490,ROW(OFFSET(nombres[],0,0,ROWS(nombres[]),1))-ROW(OFFSET(nombres[],0,0,1,1))+1,ROW(OFFSET(nombres[],ROWS(nombres[])-1,0,1,1))+1),$O1538:$O1557),3),"")</f>
        <v/>
      </c>
      <c r="AGF1538" s="42" t="str">
        <f t="array" aca="1" ref="AGF1538" ca="1">IFERROR(INDEX(nombres[],SMALL(IF(OFFSET(nombres[],0,0,ROWS(nombres[]),1)=AGF$1490,ROW(OFFSET(nombres[],0,0,ROWS(nombres[]),1))-ROW(OFFSET(nombres[],0,0,1,1))+1,ROW(OFFSET(nombres[],ROWS(nombres[])-1,0,1,1))+1),$O1538:$O1557),3),"")</f>
        <v/>
      </c>
      <c r="AGG1538" s="42" t="str">
        <f t="array" aca="1" ref="AGG1538" ca="1">IFERROR(INDEX(nombres[],SMALL(IF(OFFSET(nombres[],0,0,ROWS(nombres[]),1)=AGG$1490,ROW(OFFSET(nombres[],0,0,ROWS(nombres[]),1))-ROW(OFFSET(nombres[],0,0,1,1))+1,ROW(OFFSET(nombres[],ROWS(nombres[])-1,0,1,1))+1),$O1538:$O1557),3),"")</f>
        <v/>
      </c>
      <c r="AGH1538" s="42" t="str">
        <f t="array" aca="1" ref="AGH1538" ca="1">IFERROR(INDEX(nombres[],SMALL(IF(OFFSET(nombres[],0,0,ROWS(nombres[]),1)=AGH$1490,ROW(OFFSET(nombres[],0,0,ROWS(nombres[]),1))-ROW(OFFSET(nombres[],0,0,1,1))+1,ROW(OFFSET(nombres[],ROWS(nombres[])-1,0,1,1))+1),$O1538:$O1557),3),"")</f>
        <v/>
      </c>
      <c r="AGI1538" s="42" t="str">
        <f t="array" aca="1" ref="AGI1538" ca="1">IFERROR(INDEX(nombres[],SMALL(IF(OFFSET(nombres[],0,0,ROWS(nombres[]),1)=AGI$1490,ROW(OFFSET(nombres[],0,0,ROWS(nombres[]),1))-ROW(OFFSET(nombres[],0,0,1,1))+1,ROW(OFFSET(nombres[],ROWS(nombres[])-1,0,1,1))+1),$O1538:$O1557),3),"")</f>
        <v/>
      </c>
      <c r="AGJ1538" s="42" t="str">
        <f t="array" aca="1" ref="AGJ1538" ca="1">IFERROR(INDEX(nombres[],SMALL(IF(OFFSET(nombres[],0,0,ROWS(nombres[]),1)=AGJ$1490,ROW(OFFSET(nombres[],0,0,ROWS(nombres[]),1))-ROW(OFFSET(nombres[],0,0,1,1))+1,ROW(OFFSET(nombres[],ROWS(nombres[])-1,0,1,1))+1),$O1538:$O1557),3),"")</f>
        <v/>
      </c>
      <c r="AGK1538" s="42" t="str">
        <f t="array" aca="1" ref="AGK1538" ca="1">IFERROR(INDEX(nombres[],SMALL(IF(OFFSET(nombres[],0,0,ROWS(nombres[]),1)=AGK$1490,ROW(OFFSET(nombres[],0,0,ROWS(nombres[]),1))-ROW(OFFSET(nombres[],0,0,1,1))+1,ROW(OFFSET(nombres[],ROWS(nombres[])-1,0,1,1))+1),$O1538:$O1557),3),"")</f>
        <v/>
      </c>
      <c r="AGL1538" s="42" t="str">
        <f t="array" aca="1" ref="AGL1538" ca="1">IFERROR(INDEX(nombres[],SMALL(IF(OFFSET(nombres[],0,0,ROWS(nombres[]),1)=AGL$1490,ROW(OFFSET(nombres[],0,0,ROWS(nombres[]),1))-ROW(OFFSET(nombres[],0,0,1,1))+1,ROW(OFFSET(nombres[],ROWS(nombres[])-1,0,1,1))+1),$O1538:$O1557),3),"")</f>
        <v/>
      </c>
      <c r="AGM1538" s="42" t="str">
        <f t="array" aca="1" ref="AGM1538" ca="1">IFERROR(INDEX(nombres[],SMALL(IF(OFFSET(nombres[],0,0,ROWS(nombres[]),1)=AGM$1490,ROW(OFFSET(nombres[],0,0,ROWS(nombres[]),1))-ROW(OFFSET(nombres[],0,0,1,1))+1,ROW(OFFSET(nombres[],ROWS(nombres[])-1,0,1,1))+1),$O1538:$O1557),3),"")</f>
        <v/>
      </c>
      <c r="AGN1538" s="42" t="str">
        <f t="array" aca="1" ref="AGN1538" ca="1">IFERROR(INDEX(nombres[],SMALL(IF(OFFSET(nombres[],0,0,ROWS(nombres[]),1)=AGN$1490,ROW(OFFSET(nombres[],0,0,ROWS(nombres[]),1))-ROW(OFFSET(nombres[],0,0,1,1))+1,ROW(OFFSET(nombres[],ROWS(nombres[])-1,0,1,1))+1),$O1538:$O1557),3),"")</f>
        <v/>
      </c>
    </row>
    <row r="1539" spans="15:872" x14ac:dyDescent="0.25">
      <c r="O1539" s="42">
        <v>3</v>
      </c>
      <c r="P1539" s="42">
        <f t="array" aca="1" ref="P1539" ca="1">IFERROR(INDEX(nombres[],SMALL(IF(OFFSET(nombres[],0,0,ROWS(nombres[]),1)=P$1490,ROW(OFFSET(nombres[],0,0,ROWS(nombres[]),1))-ROW(OFFSET(nombres[],0,0,1,1))+1,ROW(OFFSET(nombres[],ROWS(nombres[])-1,0,1,1))+1),$O1539:$O1558),3),"")</f>
        <v>35</v>
      </c>
      <c r="Q1539" s="42" t="str">
        <f t="array" aca="1" ref="Q1539" ca="1">IFERROR(INDEX(nombres[],SMALL(IF(OFFSET(nombres[],0,0,ROWS(nombres[]),1)=Q$1490,ROW(OFFSET(nombres[],0,0,ROWS(nombres[]),1))-ROW(OFFSET(nombres[],0,0,1,1))+1,ROW(OFFSET(nombres[],ROWS(nombres[])-1,0,1,1))+1),$O1539:$O1558),3),"")</f>
        <v/>
      </c>
      <c r="R1539" s="42" t="str">
        <f t="array" aca="1" ref="R1539" ca="1">IFERROR(INDEX(nombres[],SMALL(IF(OFFSET(nombres[],0,0,ROWS(nombres[]),1)=R$1490,ROW(OFFSET(nombres[],0,0,ROWS(nombres[]),1))-ROW(OFFSET(nombres[],0,0,1,1))+1,ROW(OFFSET(nombres[],ROWS(nombres[])-1,0,1,1))+1),$O1539:$O1558),3),"")</f>
        <v/>
      </c>
      <c r="S1539" s="42" t="str">
        <f t="array" aca="1" ref="S1539" ca="1">IFERROR(INDEX(nombres[],SMALL(IF(OFFSET(nombres[],0,0,ROWS(nombres[]),1)=S$1490,ROW(OFFSET(nombres[],0,0,ROWS(nombres[]),1))-ROW(OFFSET(nombres[],0,0,1,1))+1,ROW(OFFSET(nombres[],ROWS(nombres[])-1,0,1,1))+1),$O1539:$O1558),3),"")</f>
        <v/>
      </c>
      <c r="T1539" s="42" t="str">
        <f t="array" aca="1" ref="T1539" ca="1">IFERROR(INDEX(nombres[],SMALL(IF(OFFSET(nombres[],0,0,ROWS(nombres[]),1)=T$1490,ROW(OFFSET(nombres[],0,0,ROWS(nombres[]),1))-ROW(OFFSET(nombres[],0,0,1,1))+1,ROW(OFFSET(nombres[],ROWS(nombres[])-1,0,1,1))+1),$O1539:$O1558),3),"")</f>
        <v/>
      </c>
      <c r="U1539" s="42">
        <f t="array" aca="1" ref="U1539" ca="1">IFERROR(INDEX(nombres[],SMALL(IF(OFFSET(nombres[],0,0,ROWS(nombres[]),1)=U$1490,ROW(OFFSET(nombres[],0,0,ROWS(nombres[]),1))-ROW(OFFSET(nombres[],0,0,1,1))+1,ROW(OFFSET(nombres[],ROWS(nombres[])-1,0,1,1))+1),$O1539:$O1558),3),"")</f>
        <v>12</v>
      </c>
      <c r="V1539" s="42" t="str">
        <f t="array" aca="1" ref="V1539" ca="1">IFERROR(INDEX(nombres[],SMALL(IF(OFFSET(nombres[],0,0,ROWS(nombres[]),1)=V$1490,ROW(OFFSET(nombres[],0,0,ROWS(nombres[]),1))-ROW(OFFSET(nombres[],0,0,1,1))+1,ROW(OFFSET(nombres[],ROWS(nombres[])-1,0,1,1))+1),$O1539:$O1558),3),"")</f>
        <v/>
      </c>
      <c r="W1539" s="42">
        <f t="array" aca="1" ref="W1539" ca="1">IFERROR(INDEX(nombres[],SMALL(IF(OFFSET(nombres[],0,0,ROWS(nombres[]),1)=W$1490,ROW(OFFSET(nombres[],0,0,ROWS(nombres[]),1))-ROW(OFFSET(nombres[],0,0,1,1))+1,ROW(OFFSET(nombres[],ROWS(nombres[])-1,0,1,1))+1),$O1539:$O1558),3),"")</f>
        <v>50</v>
      </c>
      <c r="X1539" s="42">
        <f t="array" aca="1" ref="X1539" ca="1">IFERROR(INDEX(nombres[],SMALL(IF(OFFSET(nombres[],0,0,ROWS(nombres[]),1)=X$1490,ROW(OFFSET(nombres[],0,0,ROWS(nombres[]),1))-ROW(OFFSET(nombres[],0,0,1,1))+1,ROW(OFFSET(nombres[],ROWS(nombres[])-1,0,1,1))+1),$O1539:$O1558),3),"")</f>
        <v>20</v>
      </c>
      <c r="Y1539" s="42" t="str">
        <f t="array" aca="1" ref="Y1539" ca="1">IFERROR(INDEX(nombres[],SMALL(IF(OFFSET(nombres[],0,0,ROWS(nombres[]),1)=Y$1490,ROW(OFFSET(nombres[],0,0,ROWS(nombres[]),1))-ROW(OFFSET(nombres[],0,0,1,1))+1,ROW(OFFSET(nombres[],ROWS(nombres[])-1,0,1,1))+1),$O1539:$O1558),3),"")</f>
        <v/>
      </c>
      <c r="Z1539" s="42" t="str">
        <f t="array" aca="1" ref="Z1539" ca="1">IFERROR(INDEX(nombres[],SMALL(IF(OFFSET(nombres[],0,0,ROWS(nombres[]),1)=Z$1490,ROW(OFFSET(nombres[],0,0,ROWS(nombres[]),1))-ROW(OFFSET(nombres[],0,0,1,1))+1,ROW(OFFSET(nombres[],ROWS(nombres[])-1,0,1,1))+1),$O1539:$O1558),3),"")</f>
        <v/>
      </c>
      <c r="AA1539" s="42">
        <f t="array" aca="1" ref="AA1539" ca="1">IFERROR(INDEX(nombres[],SMALL(IF(OFFSET(nombres[],0,0,ROWS(nombres[]),1)=AA$1490,ROW(OFFSET(nombres[],0,0,ROWS(nombres[]),1))-ROW(OFFSET(nombres[],0,0,1,1))+1,ROW(OFFSET(nombres[],ROWS(nombres[])-1,0,1,1))+1),$O1539:$O1558),3),"")</f>
        <v>1</v>
      </c>
      <c r="AB1539" s="42">
        <f t="array" aca="1" ref="AB1539" ca="1">IFERROR(INDEX(nombres[],SMALL(IF(OFFSET(nombres[],0,0,ROWS(nombres[]),1)=AB$1490,ROW(OFFSET(nombres[],0,0,ROWS(nombres[]),1))-ROW(OFFSET(nombres[],0,0,1,1))+1,ROW(OFFSET(nombres[],ROWS(nombres[])-1,0,1,1))+1),$O1539:$O1558),3),"")</f>
        <v>54</v>
      </c>
      <c r="AC1539" s="42">
        <f t="array" aca="1" ref="AC1539" ca="1">IFERROR(INDEX(nombres[],SMALL(IF(OFFSET(nombres[],0,0,ROWS(nombres[]),1)=AC$1490,ROW(OFFSET(nombres[],0,0,ROWS(nombres[]),1))-ROW(OFFSET(nombres[],0,0,1,1))+1,ROW(OFFSET(nombres[],ROWS(nombres[])-1,0,1,1))+1),$O1539:$O1558),3),"")</f>
        <v>25</v>
      </c>
      <c r="AD1539" s="42">
        <f t="array" aca="1" ref="AD1539" ca="1">IFERROR(INDEX(nombres[],SMALL(IF(OFFSET(nombres[],0,0,ROWS(nombres[]),1)=AD$1490,ROW(OFFSET(nombres[],0,0,ROWS(nombres[]),1))-ROW(OFFSET(nombres[],0,0,1,1))+1,ROW(OFFSET(nombres[],ROWS(nombres[])-1,0,1,1))+1),$O1539:$O1558),3),"")</f>
        <v>307</v>
      </c>
      <c r="AE1539" s="42" t="str">
        <f t="array" aca="1" ref="AE1539" ca="1">IFERROR(INDEX(nombres[],SMALL(IF(OFFSET(nombres[],0,0,ROWS(nombres[]),1)=AE$1490,ROW(OFFSET(nombres[],0,0,ROWS(nombres[]),1))-ROW(OFFSET(nombres[],0,0,1,1))+1,ROW(OFFSET(nombres[],ROWS(nombres[])-1,0,1,1))+1),$O1539:$O1558),3),"")</f>
        <v/>
      </c>
      <c r="AF1539" s="42">
        <f t="array" aca="1" ref="AF1539" ca="1">IFERROR(INDEX(nombres[],SMALL(IF(OFFSET(nombres[],0,0,ROWS(nombres[]),1)=AF$1490,ROW(OFFSET(nombres[],0,0,ROWS(nombres[]),1))-ROW(OFFSET(nombres[],0,0,1,1))+1,ROW(OFFSET(nombres[],ROWS(nombres[])-1,0,1,1))+1),$O1539:$O1558),3),"")</f>
        <v>10</v>
      </c>
      <c r="AG1539" s="42" t="str">
        <f t="array" aca="1" ref="AG1539" ca="1">IFERROR(INDEX(nombres[],SMALL(IF(OFFSET(nombres[],0,0,ROWS(nombres[]),1)=AG$1490,ROW(OFFSET(nombres[],0,0,ROWS(nombres[]),1))-ROW(OFFSET(nombres[],0,0,1,1))+1,ROW(OFFSET(nombres[],ROWS(nombres[])-1,0,1,1))+1),$O1539:$O1558),3),"")</f>
        <v/>
      </c>
      <c r="AH1539" s="42" t="str">
        <f t="array" aca="1" ref="AH1539" ca="1">IFERROR(INDEX(nombres[],SMALL(IF(OFFSET(nombres[],0,0,ROWS(nombres[]),1)=AH$1490,ROW(OFFSET(nombres[],0,0,ROWS(nombres[]),1))-ROW(OFFSET(nombres[],0,0,1,1))+1,ROW(OFFSET(nombres[],ROWS(nombres[])-1,0,1,1))+1),$O1539:$O1558),3),"")</f>
        <v/>
      </c>
      <c r="AI1539" s="42" t="str">
        <f t="array" aca="1" ref="AI1539" ca="1">IFERROR(INDEX(nombres[],SMALL(IF(OFFSET(nombres[],0,0,ROWS(nombres[]),1)=AI$1490,ROW(OFFSET(nombres[],0,0,ROWS(nombres[]),1))-ROW(OFFSET(nombres[],0,0,1,1))+1,ROW(OFFSET(nombres[],ROWS(nombres[])-1,0,1,1))+1),$O1539:$O1558),3),"")</f>
        <v/>
      </c>
      <c r="AJ1539" s="42">
        <f t="array" aca="1" ref="AJ1539" ca="1">IFERROR(INDEX(nombres[],SMALL(IF(OFFSET(nombres[],0,0,ROWS(nombres[]),1)=AJ$1490,ROW(OFFSET(nombres[],0,0,ROWS(nombres[]),1))-ROW(OFFSET(nombres[],0,0,1,1))+1,ROW(OFFSET(nombres[],ROWS(nombres[])-1,0,1,1))+1),$O1539:$O1558),3),"")</f>
        <v>268</v>
      </c>
      <c r="AK1539" s="42">
        <f t="array" aca="1" ref="AK1539" ca="1">IFERROR(INDEX(nombres[],SMALL(IF(OFFSET(nombres[],0,0,ROWS(nombres[]),1)=AK$1490,ROW(OFFSET(nombres[],0,0,ROWS(nombres[]),1))-ROW(OFFSET(nombres[],0,0,1,1))+1,ROW(OFFSET(nombres[],ROWS(nombres[])-1,0,1,1))+1),$O1539:$O1558),3),"")</f>
        <v>34</v>
      </c>
      <c r="AL1539" s="42">
        <f t="array" aca="1" ref="AL1539" ca="1">IFERROR(INDEX(nombres[],SMALL(IF(OFFSET(nombres[],0,0,ROWS(nombres[]),1)=AL$1490,ROW(OFFSET(nombres[],0,0,ROWS(nombres[]),1))-ROW(OFFSET(nombres[],0,0,1,1))+1,ROW(OFFSET(nombres[],ROWS(nombres[])-1,0,1,1))+1),$O1539:$O1558),3),"")</f>
        <v>32</v>
      </c>
      <c r="AM1539" s="42">
        <f t="array" aca="1" ref="AM1539" ca="1">IFERROR(INDEX(nombres[],SMALL(IF(OFFSET(nombres[],0,0,ROWS(nombres[]),1)=AM$1490,ROW(OFFSET(nombres[],0,0,ROWS(nombres[]),1))-ROW(OFFSET(nombres[],0,0,1,1))+1,ROW(OFFSET(nombres[],ROWS(nombres[])-1,0,1,1))+1),$O1539:$O1558),3),"")</f>
        <v>29</v>
      </c>
      <c r="AN1539" s="42">
        <f t="array" aca="1" ref="AN1539" ca="1">IFERROR(INDEX(nombres[],SMALL(IF(OFFSET(nombres[],0,0,ROWS(nombres[]),1)=AN$1490,ROW(OFFSET(nombres[],0,0,ROWS(nombres[]),1))-ROW(OFFSET(nombres[],0,0,1,1))+1,ROW(OFFSET(nombres[],ROWS(nombres[])-1,0,1,1))+1),$O1539:$O1558),3),"")</f>
        <v>23</v>
      </c>
      <c r="AO1539" s="42" t="str">
        <f t="array" aca="1" ref="AO1539" ca="1">IFERROR(INDEX(nombres[],SMALL(IF(OFFSET(nombres[],0,0,ROWS(nombres[]),1)=AO$1490,ROW(OFFSET(nombres[],0,0,ROWS(nombres[]),1))-ROW(OFFSET(nombres[],0,0,1,1))+1,ROW(OFFSET(nombres[],ROWS(nombres[])-1,0,1,1))+1),$O1539:$O1558),3),"")</f>
        <v/>
      </c>
      <c r="AP1539" s="42">
        <f t="array" aca="1" ref="AP1539" ca="1">IFERROR(INDEX(nombres[],SMALL(IF(OFFSET(nombres[],0,0,ROWS(nombres[]),1)=AP$1490,ROW(OFFSET(nombres[],0,0,ROWS(nombres[]),1))-ROW(OFFSET(nombres[],0,0,1,1))+1,ROW(OFFSET(nombres[],ROWS(nombres[])-1,0,1,1))+1),$O1539:$O1558),3),"")</f>
        <v>275</v>
      </c>
      <c r="AQ1539" s="42" t="str">
        <f t="array" aca="1" ref="AQ1539" ca="1">IFERROR(INDEX(nombres[],SMALL(IF(OFFSET(nombres[],0,0,ROWS(nombres[]),1)=AQ$1490,ROW(OFFSET(nombres[],0,0,ROWS(nombres[]),1))-ROW(OFFSET(nombres[],0,0,1,1))+1,ROW(OFFSET(nombres[],ROWS(nombres[])-1,0,1,1))+1),$O1539:$O1558),3),"")</f>
        <v/>
      </c>
      <c r="AR1539" s="42" t="str">
        <f t="array" aca="1" ref="AR1539" ca="1">IFERROR(INDEX(nombres[],SMALL(IF(OFFSET(nombres[],0,0,ROWS(nombres[]),1)=AR$1490,ROW(OFFSET(nombres[],0,0,ROWS(nombres[]),1))-ROW(OFFSET(nombres[],0,0,1,1))+1,ROW(OFFSET(nombres[],ROWS(nombres[])-1,0,1,1))+1),$O1539:$O1558),3),"")</f>
        <v/>
      </c>
      <c r="AS1539" s="42" t="str">
        <f t="array" aca="1" ref="AS1539" ca="1">IFERROR(INDEX(nombres[],SMALL(IF(OFFSET(nombres[],0,0,ROWS(nombres[]),1)=AS$1490,ROW(OFFSET(nombres[],0,0,ROWS(nombres[]),1))-ROW(OFFSET(nombres[],0,0,1,1))+1,ROW(OFFSET(nombres[],ROWS(nombres[])-1,0,1,1))+1),$O1539:$O1558),3),"")</f>
        <v/>
      </c>
      <c r="AT1539" s="42" t="str">
        <f t="array" aca="1" ref="AT1539" ca="1">IFERROR(INDEX(nombres[],SMALL(IF(OFFSET(nombres[],0,0,ROWS(nombres[]),1)=AT$1490,ROW(OFFSET(nombres[],0,0,ROWS(nombres[]),1))-ROW(OFFSET(nombres[],0,0,1,1))+1,ROW(OFFSET(nombres[],ROWS(nombres[])-1,0,1,1))+1),$O1539:$O1558),3),"")</f>
        <v/>
      </c>
      <c r="AU1539" s="42">
        <f t="array" aca="1" ref="AU1539" ca="1">IFERROR(INDEX(nombres[],SMALL(IF(OFFSET(nombres[],0,0,ROWS(nombres[]),1)=AU$1490,ROW(OFFSET(nombres[],0,0,ROWS(nombres[]),1))-ROW(OFFSET(nombres[],0,0,1,1))+1,ROW(OFFSET(nombres[],ROWS(nombres[])-1,0,1,1))+1),$O1539:$O1558),3),"")</f>
        <v>65</v>
      </c>
      <c r="AV1539" s="42" t="str">
        <f t="array" aca="1" ref="AV1539" ca="1">IFERROR(INDEX(nombres[],SMALL(IF(OFFSET(nombres[],0,0,ROWS(nombres[]),1)=AV$1490,ROW(OFFSET(nombres[],0,0,ROWS(nombres[]),1))-ROW(OFFSET(nombres[],0,0,1,1))+1,ROW(OFFSET(nombres[],ROWS(nombres[])-1,0,1,1))+1),$O1539:$O1558),3),"")</f>
        <v/>
      </c>
      <c r="AW1539" s="42">
        <f t="array" aca="1" ref="AW1539" ca="1">IFERROR(INDEX(nombres[],SMALL(IF(OFFSET(nombres[],0,0,ROWS(nombres[]),1)=AW$1490,ROW(OFFSET(nombres[],0,0,ROWS(nombres[]),1))-ROW(OFFSET(nombres[],0,0,1,1))+1,ROW(OFFSET(nombres[],ROWS(nombres[])-1,0,1,1))+1),$O1539:$O1558),3),"")</f>
        <v>76</v>
      </c>
      <c r="AX1539" s="42" t="str">
        <f t="array" aca="1" ref="AX1539" ca="1">IFERROR(INDEX(nombres[],SMALL(IF(OFFSET(nombres[],0,0,ROWS(nombres[]),1)=AX$1490,ROW(OFFSET(nombres[],0,0,ROWS(nombres[]),1))-ROW(OFFSET(nombres[],0,0,1,1))+1,ROW(OFFSET(nombres[],ROWS(nombres[])-1,0,1,1))+1),$O1539:$O1558),3),"")</f>
        <v/>
      </c>
      <c r="AY1539" s="42">
        <f t="array" aca="1" ref="AY1539" ca="1">IFERROR(INDEX(nombres[],SMALL(IF(OFFSET(nombres[],0,0,ROWS(nombres[]),1)=AY$1490,ROW(OFFSET(nombres[],0,0,ROWS(nombres[]),1))-ROW(OFFSET(nombres[],0,0,1,1))+1,ROW(OFFSET(nombres[],ROWS(nombres[])-1,0,1,1))+1),$O1539:$O1558),3),"")</f>
        <v>633</v>
      </c>
      <c r="AZ1539" s="42" t="str">
        <f t="array" aca="1" ref="AZ1539" ca="1">IFERROR(INDEX(nombres[],SMALL(IF(OFFSET(nombres[],0,0,ROWS(nombres[]),1)=AZ$1490,ROW(OFFSET(nombres[],0,0,ROWS(nombres[]),1))-ROW(OFFSET(nombres[],0,0,1,1))+1,ROW(OFFSET(nombres[],ROWS(nombres[])-1,0,1,1))+1),$O1539:$O1558),3),"")</f>
        <v/>
      </c>
      <c r="BA1539" s="42">
        <f t="array" aca="1" ref="BA1539" ca="1">IFERROR(INDEX(nombres[],SMALL(IF(OFFSET(nombres[],0,0,ROWS(nombres[]),1)=BA$1490,ROW(OFFSET(nombres[],0,0,ROWS(nombres[]),1))-ROW(OFFSET(nombres[],0,0,1,1))+1,ROW(OFFSET(nombres[],ROWS(nombres[])-1,0,1,1))+1),$O1539:$O1558),3),"")</f>
        <v>649</v>
      </c>
      <c r="BB1539" s="42">
        <f t="array" aca="1" ref="BB1539" ca="1">IFERROR(INDEX(nombres[],SMALL(IF(OFFSET(nombres[],0,0,ROWS(nombres[]),1)=BB$1490,ROW(OFFSET(nombres[],0,0,ROWS(nombres[]),1))-ROW(OFFSET(nombres[],0,0,1,1))+1,ROW(OFFSET(nombres[],ROWS(nombres[])-1,0,1,1))+1),$O1539:$O1558),3),"")</f>
        <v>68</v>
      </c>
      <c r="BC1539" s="42" t="str">
        <f t="array" aca="1" ref="BC1539" ca="1">IFERROR(INDEX(nombres[],SMALL(IF(OFFSET(nombres[],0,0,ROWS(nombres[]),1)=BC$1490,ROW(OFFSET(nombres[],0,0,ROWS(nombres[]),1))-ROW(OFFSET(nombres[],0,0,1,1))+1,ROW(OFFSET(nombres[],ROWS(nombres[])-1,0,1,1))+1),$O1539:$O1558),3),"")</f>
        <v/>
      </c>
      <c r="BD1539" s="42" t="str">
        <f t="array" aca="1" ref="BD1539" ca="1">IFERROR(INDEX(nombres[],SMALL(IF(OFFSET(nombres[],0,0,ROWS(nombres[]),1)=BD$1490,ROW(OFFSET(nombres[],0,0,ROWS(nombres[]),1))-ROW(OFFSET(nombres[],0,0,1,1))+1,ROW(OFFSET(nombres[],ROWS(nombres[])-1,0,1,1))+1),$O1539:$O1558),3),"")</f>
        <v/>
      </c>
      <c r="BE1539" s="42" t="str">
        <f t="array" aca="1" ref="BE1539" ca="1">IFERROR(INDEX(nombres[],SMALL(IF(OFFSET(nombres[],0,0,ROWS(nombres[]),1)=BE$1490,ROW(OFFSET(nombres[],0,0,ROWS(nombres[]),1))-ROW(OFFSET(nombres[],0,0,1,1))+1,ROW(OFFSET(nombres[],ROWS(nombres[])-1,0,1,1))+1),$O1539:$O1558),3),"")</f>
        <v/>
      </c>
      <c r="BF1539" s="42">
        <f t="array" aca="1" ref="BF1539" ca="1">IFERROR(INDEX(nombres[],SMALL(IF(OFFSET(nombres[],0,0,ROWS(nombres[]),1)=BF$1490,ROW(OFFSET(nombres[],0,0,ROWS(nombres[]),1))-ROW(OFFSET(nombres[],0,0,1,1))+1,ROW(OFFSET(nombres[],ROWS(nombres[])-1,0,1,1))+1),$O1539:$O1558),3),"")</f>
        <v>70</v>
      </c>
      <c r="BG1539" s="42">
        <f t="array" aca="1" ref="BG1539" ca="1">IFERROR(INDEX(nombres[],SMALL(IF(OFFSET(nombres[],0,0,ROWS(nombres[]),1)=BG$1490,ROW(OFFSET(nombres[],0,0,ROWS(nombres[]),1))-ROW(OFFSET(nombres[],0,0,1,1))+1,ROW(OFFSET(nombres[],ROWS(nombres[])-1,0,1,1))+1),$O1539:$O1558),3),"")</f>
        <v>75</v>
      </c>
      <c r="BH1539" s="42" t="str">
        <f t="array" aca="1" ref="BH1539" ca="1">IFERROR(INDEX(nombres[],SMALL(IF(OFFSET(nombres[],0,0,ROWS(nombres[]),1)=BH$1490,ROW(OFFSET(nombres[],0,0,ROWS(nombres[]),1))-ROW(OFFSET(nombres[],0,0,1,1))+1,ROW(OFFSET(nombres[],ROWS(nombres[])-1,0,1,1))+1),$O1539:$O1558),3),"")</f>
        <v/>
      </c>
      <c r="BI1539" s="42" t="str">
        <f t="array" aca="1" ref="BI1539" ca="1">IFERROR(INDEX(nombres[],SMALL(IF(OFFSET(nombres[],0,0,ROWS(nombres[]),1)=BI$1490,ROW(OFFSET(nombres[],0,0,ROWS(nombres[]),1))-ROW(OFFSET(nombres[],0,0,1,1))+1,ROW(OFFSET(nombres[],ROWS(nombres[])-1,0,1,1))+1),$O1539:$O1558),3),"")</f>
        <v/>
      </c>
      <c r="BJ1539" s="42">
        <f t="array" aca="1" ref="BJ1539" ca="1">IFERROR(INDEX(nombres[],SMALL(IF(OFFSET(nombres[],0,0,ROWS(nombres[]),1)=BJ$1490,ROW(OFFSET(nombres[],0,0,ROWS(nombres[]),1))-ROW(OFFSET(nombres[],0,0,1,1))+1,ROW(OFFSET(nombres[],ROWS(nombres[])-1,0,1,1))+1),$O1539:$O1558),3),"")</f>
        <v>123</v>
      </c>
      <c r="BK1539" s="42">
        <f t="array" aca="1" ref="BK1539" ca="1">IFERROR(INDEX(nombres[],SMALL(IF(OFFSET(nombres[],0,0,ROWS(nombres[]),1)=BK$1490,ROW(OFFSET(nombres[],0,0,ROWS(nombres[]),1))-ROW(OFFSET(nombres[],0,0,1,1))+1,ROW(OFFSET(nombres[],ROWS(nombres[])-1,0,1,1))+1),$O1539:$O1558),3),"")</f>
        <v>103</v>
      </c>
      <c r="BL1539" s="42" t="str">
        <f t="array" aca="1" ref="BL1539" ca="1">IFERROR(INDEX(nombres[],SMALL(IF(OFFSET(nombres[],0,0,ROWS(nombres[]),1)=BL$1490,ROW(OFFSET(nombres[],0,0,ROWS(nombres[]),1))-ROW(OFFSET(nombres[],0,0,1,1))+1,ROW(OFFSET(nombres[],ROWS(nombres[])-1,0,1,1))+1),$O1539:$O1558),3),"")</f>
        <v/>
      </c>
      <c r="BM1539" s="42" t="str">
        <f t="array" aca="1" ref="BM1539" ca="1">IFERROR(INDEX(nombres[],SMALL(IF(OFFSET(nombres[],0,0,ROWS(nombres[]),1)=BM$1490,ROW(OFFSET(nombres[],0,0,ROWS(nombres[]),1))-ROW(OFFSET(nombres[],0,0,1,1))+1,ROW(OFFSET(nombres[],ROWS(nombres[])-1,0,1,1))+1),$O1539:$O1558),3),"")</f>
        <v/>
      </c>
      <c r="BN1539" s="42" t="str">
        <f t="array" aca="1" ref="BN1539" ca="1">IFERROR(INDEX(nombres[],SMALL(IF(OFFSET(nombres[],0,0,ROWS(nombres[]),1)=BN$1490,ROW(OFFSET(nombres[],0,0,ROWS(nombres[]),1))-ROW(OFFSET(nombres[],0,0,1,1))+1,ROW(OFFSET(nombres[],ROWS(nombres[])-1,0,1,1))+1),$O1539:$O1558),3),"")</f>
        <v/>
      </c>
      <c r="BO1539" s="42">
        <f t="array" aca="1" ref="BO1539" ca="1">IFERROR(INDEX(nombres[],SMALL(IF(OFFSET(nombres[],0,0,ROWS(nombres[]),1)=BO$1490,ROW(OFFSET(nombres[],0,0,ROWS(nombres[]),1))-ROW(OFFSET(nombres[],0,0,1,1))+1,ROW(OFFSET(nombres[],ROWS(nombres[])-1,0,1,1))+1),$O1539:$O1558),3),"")</f>
        <v>92</v>
      </c>
      <c r="BP1539" s="42">
        <f t="array" aca="1" ref="BP1539" ca="1">IFERROR(INDEX(nombres[],SMALL(IF(OFFSET(nombres[],0,0,ROWS(nombres[]),1)=BP$1490,ROW(OFFSET(nombres[],0,0,ROWS(nombres[]),1))-ROW(OFFSET(nombres[],0,0,1,1))+1,ROW(OFFSET(nombres[],ROWS(nombres[])-1,0,1,1))+1),$O1539:$O1558),3),"")</f>
        <v>108</v>
      </c>
      <c r="BQ1539" s="42" t="str">
        <f t="array" aca="1" ref="BQ1539" ca="1">IFERROR(INDEX(nombres[],SMALL(IF(OFFSET(nombres[],0,0,ROWS(nombres[]),1)=BQ$1490,ROW(OFFSET(nombres[],0,0,ROWS(nombres[]),1))-ROW(OFFSET(nombres[],0,0,1,1))+1,ROW(OFFSET(nombres[],ROWS(nombres[])-1,0,1,1))+1),$O1539:$O1558),3),"")</f>
        <v/>
      </c>
      <c r="BR1539" s="42" t="str">
        <f t="array" aca="1" ref="BR1539" ca="1">IFERROR(INDEX(nombres[],SMALL(IF(OFFSET(nombres[],0,0,ROWS(nombres[]),1)=BR$1490,ROW(OFFSET(nombres[],0,0,ROWS(nombres[]),1))-ROW(OFFSET(nombres[],0,0,1,1))+1,ROW(OFFSET(nombres[],ROWS(nombres[])-1,0,1,1))+1),$O1539:$O1558),3),"")</f>
        <v/>
      </c>
      <c r="BS1539" s="42">
        <f t="array" aca="1" ref="BS1539" ca="1">IFERROR(INDEX(nombres[],SMALL(IF(OFFSET(nombres[],0,0,ROWS(nombres[]),1)=BS$1490,ROW(OFFSET(nombres[],0,0,ROWS(nombres[]),1))-ROW(OFFSET(nombres[],0,0,1,1))+1,ROW(OFFSET(nombres[],ROWS(nombres[])-1,0,1,1))+1),$O1539:$O1558),3),"")</f>
        <v>110</v>
      </c>
      <c r="BT1539" s="42">
        <f t="array" aca="1" ref="BT1539" ca="1">IFERROR(INDEX(nombres[],SMALL(IF(OFFSET(nombres[],0,0,ROWS(nombres[]),1)=BT$1490,ROW(OFFSET(nombres[],0,0,ROWS(nombres[]),1))-ROW(OFFSET(nombres[],0,0,1,1))+1,ROW(OFFSET(nombres[],ROWS(nombres[])-1,0,1,1))+1),$O1539:$O1558),3),"")</f>
        <v>230</v>
      </c>
      <c r="BU1539" s="42" t="str">
        <f t="array" aca="1" ref="BU1539" ca="1">IFERROR(INDEX(nombres[],SMALL(IF(OFFSET(nombres[],0,0,ROWS(nombres[]),1)=BU$1490,ROW(OFFSET(nombres[],0,0,ROWS(nombres[]),1))-ROW(OFFSET(nombres[],0,0,1,1))+1,ROW(OFFSET(nombres[],ROWS(nombres[])-1,0,1,1))+1),$O1539:$O1558),3),"")</f>
        <v/>
      </c>
      <c r="BV1539" s="42" t="str">
        <f t="array" aca="1" ref="BV1539" ca="1">IFERROR(INDEX(nombres[],SMALL(IF(OFFSET(nombres[],0,0,ROWS(nombres[]),1)=BV$1490,ROW(OFFSET(nombres[],0,0,ROWS(nombres[]),1))-ROW(OFFSET(nombres[],0,0,1,1))+1,ROW(OFFSET(nombres[],ROWS(nombres[])-1,0,1,1))+1),$O1539:$O1558),3),"")</f>
        <v/>
      </c>
      <c r="BW1539" s="42" t="str">
        <f t="array" aca="1" ref="BW1539" ca="1">IFERROR(INDEX(nombres[],SMALL(IF(OFFSET(nombres[],0,0,ROWS(nombres[]),1)=BW$1490,ROW(OFFSET(nombres[],0,0,ROWS(nombres[]),1))-ROW(OFFSET(nombres[],0,0,1,1))+1,ROW(OFFSET(nombres[],ROWS(nombres[])-1,0,1,1))+1),$O1539:$O1558),3),"")</f>
        <v/>
      </c>
      <c r="BX1539" s="42" t="str">
        <f t="array" aca="1" ref="BX1539" ca="1">IFERROR(INDEX(nombres[],SMALL(IF(OFFSET(nombres[],0,0,ROWS(nombres[]),1)=BX$1490,ROW(OFFSET(nombres[],0,0,ROWS(nombres[]),1))-ROW(OFFSET(nombres[],0,0,1,1))+1,ROW(OFFSET(nombres[],ROWS(nombres[])-1,0,1,1))+1),$O1539:$O1558),3),"")</f>
        <v/>
      </c>
      <c r="BY1539" s="42" t="str">
        <f t="array" aca="1" ref="BY1539" ca="1">IFERROR(INDEX(nombres[],SMALL(IF(OFFSET(nombres[],0,0,ROWS(nombres[]),1)=BY$1490,ROW(OFFSET(nombres[],0,0,ROWS(nombres[]),1))-ROW(OFFSET(nombres[],0,0,1,1))+1,ROW(OFFSET(nombres[],ROWS(nombres[])-1,0,1,1))+1),$O1539:$O1558),3),"")</f>
        <v/>
      </c>
      <c r="BZ1539" s="42" t="str">
        <f t="array" aca="1" ref="BZ1539" ca="1">IFERROR(INDEX(nombres[],SMALL(IF(OFFSET(nombres[],0,0,ROWS(nombres[]),1)=BZ$1490,ROW(OFFSET(nombres[],0,0,ROWS(nombres[]),1))-ROW(OFFSET(nombres[],0,0,1,1))+1,ROW(OFFSET(nombres[],ROWS(nombres[])-1,0,1,1))+1),$O1539:$O1558),3),"")</f>
        <v/>
      </c>
      <c r="CA1539" s="42" t="str">
        <f t="array" aca="1" ref="CA1539" ca="1">IFERROR(INDEX(nombres[],SMALL(IF(OFFSET(nombres[],0,0,ROWS(nombres[]),1)=CA$1490,ROW(OFFSET(nombres[],0,0,ROWS(nombres[]),1))-ROW(OFFSET(nombres[],0,0,1,1))+1,ROW(OFFSET(nombres[],ROWS(nombres[])-1,0,1,1))+1),$O1539:$O1558),3),"")</f>
        <v/>
      </c>
      <c r="CB1539" s="42">
        <f t="array" aca="1" ref="CB1539" ca="1">IFERROR(INDEX(nombres[],SMALL(IF(OFFSET(nombres[],0,0,ROWS(nombres[]),1)=CB$1490,ROW(OFFSET(nombres[],0,0,ROWS(nombres[]),1))-ROW(OFFSET(nombres[],0,0,1,1))+1,ROW(OFFSET(nombres[],ROWS(nombres[])-1,0,1,1))+1),$O1539:$O1558),3),"")</f>
        <v>86</v>
      </c>
      <c r="CC1539" s="42" t="str">
        <f t="array" aca="1" ref="CC1539" ca="1">IFERROR(INDEX(nombres[],SMALL(IF(OFFSET(nombres[],0,0,ROWS(nombres[]),1)=CC$1490,ROW(OFFSET(nombres[],0,0,ROWS(nombres[]),1))-ROW(OFFSET(nombres[],0,0,1,1))+1,ROW(OFFSET(nombres[],ROWS(nombres[])-1,0,1,1))+1),$O1539:$O1558),3),"")</f>
        <v/>
      </c>
      <c r="CD1539" s="42" t="str">
        <f t="array" aca="1" ref="CD1539" ca="1">IFERROR(INDEX(nombres[],SMALL(IF(OFFSET(nombres[],0,0,ROWS(nombres[]),1)=CD$1490,ROW(OFFSET(nombres[],0,0,ROWS(nombres[]),1))-ROW(OFFSET(nombres[],0,0,1,1))+1,ROW(OFFSET(nombres[],ROWS(nombres[])-1,0,1,1))+1),$O1539:$O1558),3),"")</f>
        <v/>
      </c>
      <c r="CE1539" s="42" t="str">
        <f t="array" aca="1" ref="CE1539" ca="1">IFERROR(INDEX(nombres[],SMALL(IF(OFFSET(nombres[],0,0,ROWS(nombres[]),1)=CE$1490,ROW(OFFSET(nombres[],0,0,ROWS(nombres[]),1))-ROW(OFFSET(nombres[],0,0,1,1))+1,ROW(OFFSET(nombres[],ROWS(nombres[])-1,0,1,1))+1),$O1539:$O1558),3),"")</f>
        <v/>
      </c>
      <c r="CF1539" s="42" t="str">
        <f t="array" aca="1" ref="CF1539" ca="1">IFERROR(INDEX(nombres[],SMALL(IF(OFFSET(nombres[],0,0,ROWS(nombres[]),1)=CF$1490,ROW(OFFSET(nombres[],0,0,ROWS(nombres[]),1))-ROW(OFFSET(nombres[],0,0,1,1))+1,ROW(OFFSET(nombres[],ROWS(nombres[])-1,0,1,1))+1),$O1539:$O1558),3),"")</f>
        <v/>
      </c>
      <c r="CG1539" s="42" t="str">
        <f t="array" aca="1" ref="CG1539" ca="1">IFERROR(INDEX(nombres[],SMALL(IF(OFFSET(nombres[],0,0,ROWS(nombres[]),1)=CG$1490,ROW(OFFSET(nombres[],0,0,ROWS(nombres[]),1))-ROW(OFFSET(nombres[],0,0,1,1))+1,ROW(OFFSET(nombres[],ROWS(nombres[])-1,0,1,1))+1),$O1539:$O1558),3),"")</f>
        <v/>
      </c>
      <c r="CH1539" s="42" t="str">
        <f t="array" aca="1" ref="CH1539" ca="1">IFERROR(INDEX(nombres[],SMALL(IF(OFFSET(nombres[],0,0,ROWS(nombres[]),1)=CH$1490,ROW(OFFSET(nombres[],0,0,ROWS(nombres[]),1))-ROW(OFFSET(nombres[],0,0,1,1))+1,ROW(OFFSET(nombres[],ROWS(nombres[])-1,0,1,1))+1),$O1539:$O1558),3),"")</f>
        <v/>
      </c>
      <c r="CI1539" s="42">
        <f t="array" aca="1" ref="CI1539" ca="1">IFERROR(INDEX(nombres[],SMALL(IF(OFFSET(nombres[],0,0,ROWS(nombres[]),1)=CI$1490,ROW(OFFSET(nombres[],0,0,ROWS(nombres[]),1))-ROW(OFFSET(nombres[],0,0,1,1))+1,ROW(OFFSET(nombres[],ROWS(nombres[])-1,0,1,1))+1),$O1539:$O1558),3),"")</f>
        <v>95</v>
      </c>
      <c r="CJ1539" s="42" t="str">
        <f t="array" aca="1" ref="CJ1539" ca="1">IFERROR(INDEX(nombres[],SMALL(IF(OFFSET(nombres[],0,0,ROWS(nombres[]),1)=CJ$1490,ROW(OFFSET(nombres[],0,0,ROWS(nombres[]),1))-ROW(OFFSET(nombres[],0,0,1,1))+1,ROW(OFFSET(nombres[],ROWS(nombres[])-1,0,1,1))+1),$O1539:$O1558),3),"")</f>
        <v/>
      </c>
      <c r="CK1539" s="42">
        <f t="array" aca="1" ref="CK1539" ca="1">IFERROR(INDEX(nombres[],SMALL(IF(OFFSET(nombres[],0,0,ROWS(nombres[]),1)=CK$1490,ROW(OFFSET(nombres[],0,0,ROWS(nombres[]),1))-ROW(OFFSET(nombres[],0,0,1,1))+1,ROW(OFFSET(nombres[],ROWS(nombres[])-1,0,1,1))+1),$O1539:$O1558),3),"")</f>
        <v>100</v>
      </c>
      <c r="CL1539" s="42">
        <f t="array" aca="1" ref="CL1539" ca="1">IFERROR(INDEX(nombres[],SMALL(IF(OFFSET(nombres[],0,0,ROWS(nombres[]),1)=CL$1490,ROW(OFFSET(nombres[],0,0,ROWS(nombres[]),1))-ROW(OFFSET(nombres[],0,0,1,1))+1,ROW(OFFSET(nombres[],ROWS(nombres[])-1,0,1,1))+1),$O1539:$O1558),3),"")</f>
        <v>119</v>
      </c>
      <c r="CM1539" s="42" t="str">
        <f t="array" aca="1" ref="CM1539" ca="1">IFERROR(INDEX(nombres[],SMALL(IF(OFFSET(nombres[],0,0,ROWS(nombres[]),1)=CM$1490,ROW(OFFSET(nombres[],0,0,ROWS(nombres[]),1))-ROW(OFFSET(nombres[],0,0,1,1))+1,ROW(OFFSET(nombres[],ROWS(nombres[])-1,0,1,1))+1),$O1539:$O1558),3),"")</f>
        <v/>
      </c>
      <c r="CN1539" s="42" t="str">
        <f t="array" aca="1" ref="CN1539" ca="1">IFERROR(INDEX(nombres[],SMALL(IF(OFFSET(nombres[],0,0,ROWS(nombres[]),1)=CN$1490,ROW(OFFSET(nombres[],0,0,ROWS(nombres[]),1))-ROW(OFFSET(nombres[],0,0,1,1))+1,ROW(OFFSET(nombres[],ROWS(nombres[])-1,0,1,1))+1),$O1539:$O1558),3),"")</f>
        <v/>
      </c>
      <c r="CO1539" s="42" t="str">
        <f t="array" aca="1" ref="CO1539" ca="1">IFERROR(INDEX(nombres[],SMALL(IF(OFFSET(nombres[],0,0,ROWS(nombres[]),1)=CO$1490,ROW(OFFSET(nombres[],0,0,ROWS(nombres[]),1))-ROW(OFFSET(nombres[],0,0,1,1))+1,ROW(OFFSET(nombres[],ROWS(nombres[])-1,0,1,1))+1),$O1539:$O1558),3),"")</f>
        <v/>
      </c>
      <c r="CP1539" s="42" t="str">
        <f t="array" aca="1" ref="CP1539" ca="1">IFERROR(INDEX(nombres[],SMALL(IF(OFFSET(nombres[],0,0,ROWS(nombres[]),1)=CP$1490,ROW(OFFSET(nombres[],0,0,ROWS(nombres[]),1))-ROW(OFFSET(nombres[],0,0,1,1))+1,ROW(OFFSET(nombres[],ROWS(nombres[])-1,0,1,1))+1),$O1539:$O1558),3),"")</f>
        <v/>
      </c>
      <c r="CQ1539" s="42" t="str">
        <f t="array" aca="1" ref="CQ1539" ca="1">IFERROR(INDEX(nombres[],SMALL(IF(OFFSET(nombres[],0,0,ROWS(nombres[]),1)=CQ$1490,ROW(OFFSET(nombres[],0,0,ROWS(nombres[]),1))-ROW(OFFSET(nombres[],0,0,1,1))+1,ROW(OFFSET(nombres[],ROWS(nombres[])-1,0,1,1))+1),$O1539:$O1558),3),"")</f>
        <v/>
      </c>
      <c r="CR1539" s="42" t="str">
        <f t="array" aca="1" ref="CR1539" ca="1">IFERROR(INDEX(nombres[],SMALL(IF(OFFSET(nombres[],0,0,ROWS(nombres[]),1)=CR$1490,ROW(OFFSET(nombres[],0,0,ROWS(nombres[]),1))-ROW(OFFSET(nombres[],0,0,1,1))+1,ROW(OFFSET(nombres[],ROWS(nombres[])-1,0,1,1))+1),$O1539:$O1558),3),"")</f>
        <v/>
      </c>
      <c r="CS1539" s="42">
        <f t="array" aca="1" ref="CS1539" ca="1">IFERROR(INDEX(nombres[],SMALL(IF(OFFSET(nombres[],0,0,ROWS(nombres[]),1)=CS$1490,ROW(OFFSET(nombres[],0,0,ROWS(nombres[]),1))-ROW(OFFSET(nombres[],0,0,1,1))+1,ROW(OFFSET(nombres[],ROWS(nombres[])-1,0,1,1))+1),$O1539:$O1558),3),"")</f>
        <v>39</v>
      </c>
      <c r="CT1539" s="42" t="str">
        <f t="array" aca="1" ref="CT1539" ca="1">IFERROR(INDEX(nombres[],SMALL(IF(OFFSET(nombres[],0,0,ROWS(nombres[]),1)=CT$1490,ROW(OFFSET(nombres[],0,0,ROWS(nombres[]),1))-ROW(OFFSET(nombres[],0,0,1,1))+1,ROW(OFFSET(nombres[],ROWS(nombres[])-1,0,1,1))+1),$O1539:$O1558),3),"")</f>
        <v/>
      </c>
      <c r="CU1539" s="42">
        <f t="array" aca="1" ref="CU1539" ca="1">IFERROR(INDEX(nombres[],SMALL(IF(OFFSET(nombres[],0,0,ROWS(nombres[]),1)=CU$1490,ROW(OFFSET(nombres[],0,0,ROWS(nombres[]),1))-ROW(OFFSET(nombres[],0,0,1,1))+1,ROW(OFFSET(nombres[],ROWS(nombres[])-1,0,1,1))+1),$O1539:$O1558),3),"")</f>
        <v>128</v>
      </c>
      <c r="CV1539" s="42" t="str">
        <f t="array" aca="1" ref="CV1539" ca="1">IFERROR(INDEX(nombres[],SMALL(IF(OFFSET(nombres[],0,0,ROWS(nombres[]),1)=CV$1490,ROW(OFFSET(nombres[],0,0,ROWS(nombres[]),1))-ROW(OFFSET(nombres[],0,0,1,1))+1,ROW(OFFSET(nombres[],ROWS(nombres[])-1,0,1,1))+1),$O1539:$O1558),3),"")</f>
        <v/>
      </c>
      <c r="CW1539" s="42">
        <f t="array" aca="1" ref="CW1539" ca="1">IFERROR(INDEX(nombres[],SMALL(IF(OFFSET(nombres[],0,0,ROWS(nombres[]),1)=CW$1490,ROW(OFFSET(nombres[],0,0,ROWS(nombres[]),1))-ROW(OFFSET(nombres[],0,0,1,1))+1,ROW(OFFSET(nombres[],ROWS(nombres[])-1,0,1,1))+1),$O1539:$O1558),3),"")</f>
        <v>135</v>
      </c>
      <c r="CX1539" s="42" t="str">
        <f t="array" aca="1" ref="CX1539" ca="1">IFERROR(INDEX(nombres[],SMALL(IF(OFFSET(nombres[],0,0,ROWS(nombres[]),1)=CX$1490,ROW(OFFSET(nombres[],0,0,ROWS(nombres[]),1))-ROW(OFFSET(nombres[],0,0,1,1))+1,ROW(OFFSET(nombres[],ROWS(nombres[])-1,0,1,1))+1),$O1539:$O1558),3),"")</f>
        <v/>
      </c>
      <c r="CY1539" s="42" t="str">
        <f t="array" aca="1" ref="CY1539" ca="1">IFERROR(INDEX(nombres[],SMALL(IF(OFFSET(nombres[],0,0,ROWS(nombres[]),1)=CY$1490,ROW(OFFSET(nombres[],0,0,ROWS(nombres[]),1))-ROW(OFFSET(nombres[],0,0,1,1))+1,ROW(OFFSET(nombres[],ROWS(nombres[])-1,0,1,1))+1),$O1539:$O1558),3),"")</f>
        <v/>
      </c>
      <c r="CZ1539" s="42" t="str">
        <f t="array" aca="1" ref="CZ1539" ca="1">IFERROR(INDEX(nombres[],SMALL(IF(OFFSET(nombres[],0,0,ROWS(nombres[]),1)=CZ$1490,ROW(OFFSET(nombres[],0,0,ROWS(nombres[]),1))-ROW(OFFSET(nombres[],0,0,1,1))+1,ROW(OFFSET(nombres[],ROWS(nombres[])-1,0,1,1))+1),$O1539:$O1558),3),"")</f>
        <v/>
      </c>
      <c r="DA1539" s="42">
        <f t="array" aca="1" ref="DA1539" ca="1">IFERROR(INDEX(nombres[],SMALL(IF(OFFSET(nombres[],0,0,ROWS(nombres[]),1)=DA$1490,ROW(OFFSET(nombres[],0,0,ROWS(nombres[]),1))-ROW(OFFSET(nombres[],0,0,1,1))+1,ROW(OFFSET(nombres[],ROWS(nombres[])-1,0,1,1))+1),$O1539:$O1558),3),"")</f>
        <v>141</v>
      </c>
      <c r="DB1539" s="42" t="str">
        <f t="array" aca="1" ref="DB1539" ca="1">IFERROR(INDEX(nombres[],SMALL(IF(OFFSET(nombres[],0,0,ROWS(nombres[]),1)=DB$1490,ROW(OFFSET(nombres[],0,0,ROWS(nombres[]),1))-ROW(OFFSET(nombres[],0,0,1,1))+1,ROW(OFFSET(nombres[],ROWS(nombres[])-1,0,1,1))+1),$O1539:$O1558),3),"")</f>
        <v/>
      </c>
      <c r="DC1539" s="42" t="str">
        <f t="array" aca="1" ref="DC1539" ca="1">IFERROR(INDEX(nombres[],SMALL(IF(OFFSET(nombres[],0,0,ROWS(nombres[]),1)=DC$1490,ROW(OFFSET(nombres[],0,0,ROWS(nombres[]),1))-ROW(OFFSET(nombres[],0,0,1,1))+1,ROW(OFFSET(nombres[],ROWS(nombres[])-1,0,1,1))+1),$O1539:$O1558),3),"")</f>
        <v/>
      </c>
      <c r="DD1539" s="42">
        <f t="array" aca="1" ref="DD1539" ca="1">IFERROR(INDEX(nombres[],SMALL(IF(OFFSET(nombres[],0,0,ROWS(nombres[]),1)=DD$1490,ROW(OFFSET(nombres[],0,0,ROWS(nombres[]),1))-ROW(OFFSET(nombres[],0,0,1,1))+1,ROW(OFFSET(nombres[],ROWS(nombres[])-1,0,1,1))+1),$O1539:$O1558),3),"")</f>
        <v>152</v>
      </c>
      <c r="DE1539" s="42" t="str">
        <f t="array" aca="1" ref="DE1539" ca="1">IFERROR(INDEX(nombres[],SMALL(IF(OFFSET(nombres[],0,0,ROWS(nombres[]),1)=DE$1490,ROW(OFFSET(nombres[],0,0,ROWS(nombres[]),1))-ROW(OFFSET(nombres[],0,0,1,1))+1,ROW(OFFSET(nombres[],ROWS(nombres[])-1,0,1,1))+1),$O1539:$O1558),3),"")</f>
        <v/>
      </c>
      <c r="DF1539" s="42" t="str">
        <f t="array" aca="1" ref="DF1539" ca="1">IFERROR(INDEX(nombres[],SMALL(IF(OFFSET(nombres[],0,0,ROWS(nombres[]),1)=DF$1490,ROW(OFFSET(nombres[],0,0,ROWS(nombres[]),1))-ROW(OFFSET(nombres[],0,0,1,1))+1,ROW(OFFSET(nombres[],ROWS(nombres[])-1,0,1,1))+1),$O1539:$O1558),3),"")</f>
        <v/>
      </c>
      <c r="DG1539" s="42" t="str">
        <f t="array" aca="1" ref="DG1539" ca="1">IFERROR(INDEX(nombres[],SMALL(IF(OFFSET(nombres[],0,0,ROWS(nombres[]),1)=DG$1490,ROW(OFFSET(nombres[],0,0,ROWS(nombres[]),1))-ROW(OFFSET(nombres[],0,0,1,1))+1,ROW(OFFSET(nombres[],ROWS(nombres[])-1,0,1,1))+1),$O1539:$O1558),3),"")</f>
        <v/>
      </c>
      <c r="DH1539" s="42">
        <f t="array" aca="1" ref="DH1539" ca="1">IFERROR(INDEX(nombres[],SMALL(IF(OFFSET(nombres[],0,0,ROWS(nombres[]),1)=DH$1490,ROW(OFFSET(nombres[],0,0,ROWS(nombres[]),1))-ROW(OFFSET(nombres[],0,0,1,1))+1,ROW(OFFSET(nombres[],ROWS(nombres[])-1,0,1,1))+1),$O1539:$O1558),3),"")</f>
        <v>161</v>
      </c>
      <c r="DI1539" s="42" t="str">
        <f t="array" aca="1" ref="DI1539" ca="1">IFERROR(INDEX(nombres[],SMALL(IF(OFFSET(nombres[],0,0,ROWS(nombres[]),1)=DI$1490,ROW(OFFSET(nombres[],0,0,ROWS(nombres[]),1))-ROW(OFFSET(nombres[],0,0,1,1))+1,ROW(OFFSET(nombres[],ROWS(nombres[])-1,0,1,1))+1),$O1539:$O1558),3),"")</f>
        <v/>
      </c>
      <c r="DJ1539" s="42" t="str">
        <f t="array" aca="1" ref="DJ1539" ca="1">IFERROR(INDEX(nombres[],SMALL(IF(OFFSET(nombres[],0,0,ROWS(nombres[]),1)=DJ$1490,ROW(OFFSET(nombres[],0,0,ROWS(nombres[]),1))-ROW(OFFSET(nombres[],0,0,1,1))+1,ROW(OFFSET(nombres[],ROWS(nombres[])-1,0,1,1))+1),$O1539:$O1558),3),"")</f>
        <v/>
      </c>
      <c r="DK1539" s="42" t="str">
        <f t="array" aca="1" ref="DK1539" ca="1">IFERROR(INDEX(nombres[],SMALL(IF(OFFSET(nombres[],0,0,ROWS(nombres[]),1)=DK$1490,ROW(OFFSET(nombres[],0,0,ROWS(nombres[]),1))-ROW(OFFSET(nombres[],0,0,1,1))+1,ROW(OFFSET(nombres[],ROWS(nombres[])-1,0,1,1))+1),$O1539:$O1558),3),"")</f>
        <v/>
      </c>
      <c r="DL1539" s="42">
        <f t="array" aca="1" ref="DL1539" ca="1">IFERROR(INDEX(nombres[],SMALL(IF(OFFSET(nombres[],0,0,ROWS(nombres[]),1)=DL$1490,ROW(OFFSET(nombres[],0,0,ROWS(nombres[]),1))-ROW(OFFSET(nombres[],0,0,1,1))+1,ROW(OFFSET(nombres[],ROWS(nombres[])-1,0,1,1))+1),$O1539:$O1558),3),"")</f>
        <v>138</v>
      </c>
      <c r="DM1539" s="42" t="str">
        <f t="array" aca="1" ref="DM1539" ca="1">IFERROR(INDEX(nombres[],SMALL(IF(OFFSET(nombres[],0,0,ROWS(nombres[]),1)=DM$1490,ROW(OFFSET(nombres[],0,0,ROWS(nombres[]),1))-ROW(OFFSET(nombres[],0,0,1,1))+1,ROW(OFFSET(nombres[],ROWS(nombres[])-1,0,1,1))+1),$O1539:$O1558),3),"")</f>
        <v/>
      </c>
      <c r="DN1539" s="42" t="str">
        <f t="array" aca="1" ref="DN1539" ca="1">IFERROR(INDEX(nombres[],SMALL(IF(OFFSET(nombres[],0,0,ROWS(nombres[]),1)=DN$1490,ROW(OFFSET(nombres[],0,0,ROWS(nombres[]),1))-ROW(OFFSET(nombres[],0,0,1,1))+1,ROW(OFFSET(nombres[],ROWS(nombres[])-1,0,1,1))+1),$O1539:$O1558),3),"")</f>
        <v/>
      </c>
      <c r="DO1539" s="42" t="str">
        <f t="array" aca="1" ref="DO1539" ca="1">IFERROR(INDEX(nombres[],SMALL(IF(OFFSET(nombres[],0,0,ROWS(nombres[]),1)=DO$1490,ROW(OFFSET(nombres[],0,0,ROWS(nombres[]),1))-ROW(OFFSET(nombres[],0,0,1,1))+1,ROW(OFFSET(nombres[],ROWS(nombres[])-1,0,1,1))+1),$O1539:$O1558),3),"")</f>
        <v/>
      </c>
      <c r="DP1539" s="42" t="str">
        <f t="array" aca="1" ref="DP1539" ca="1">IFERROR(INDEX(nombres[],SMALL(IF(OFFSET(nombres[],0,0,ROWS(nombres[]),1)=DP$1490,ROW(OFFSET(nombres[],0,0,ROWS(nombres[]),1))-ROW(OFFSET(nombres[],0,0,1,1))+1,ROW(OFFSET(nombres[],ROWS(nombres[])-1,0,1,1))+1),$O1539:$O1558),3),"")</f>
        <v/>
      </c>
      <c r="DQ1539" s="42">
        <f t="array" aca="1" ref="DQ1539" ca="1">IFERROR(INDEX(nombres[],SMALL(IF(OFFSET(nombres[],0,0,ROWS(nombres[]),1)=DQ$1490,ROW(OFFSET(nombres[],0,0,ROWS(nombres[]),1))-ROW(OFFSET(nombres[],0,0,1,1))+1,ROW(OFFSET(nombres[],ROWS(nombres[])-1,0,1,1))+1),$O1539:$O1558),3),"")</f>
        <v>184</v>
      </c>
      <c r="DR1539" s="42" t="str">
        <f t="array" aca="1" ref="DR1539" ca="1">IFERROR(INDEX(nombres[],SMALL(IF(OFFSET(nombres[],0,0,ROWS(nombres[]),1)=DR$1490,ROW(OFFSET(nombres[],0,0,ROWS(nombres[]),1))-ROW(OFFSET(nombres[],0,0,1,1))+1,ROW(OFFSET(nombres[],ROWS(nombres[])-1,0,1,1))+1),$O1539:$O1558),3),"")</f>
        <v/>
      </c>
      <c r="DS1539" s="42">
        <f t="array" aca="1" ref="DS1539" ca="1">IFERROR(INDEX(nombres[],SMALL(IF(OFFSET(nombres[],0,0,ROWS(nombres[]),1)=DS$1490,ROW(OFFSET(nombres[],0,0,ROWS(nombres[]),1))-ROW(OFFSET(nombres[],0,0,1,1))+1,ROW(OFFSET(nombres[],ROWS(nombres[])-1,0,1,1))+1),$O1539:$O1558),3),"")</f>
        <v>172</v>
      </c>
      <c r="DT1539" s="42" t="str">
        <f t="array" aca="1" ref="DT1539" ca="1">IFERROR(INDEX(nombres[],SMALL(IF(OFFSET(nombres[],0,0,ROWS(nombres[]),1)=DT$1490,ROW(OFFSET(nombres[],0,0,ROWS(nombres[]),1))-ROW(OFFSET(nombres[],0,0,1,1))+1,ROW(OFFSET(nombres[],ROWS(nombres[])-1,0,1,1))+1),$O1539:$O1558),3),"")</f>
        <v/>
      </c>
      <c r="DU1539" s="42" t="str">
        <f t="array" aca="1" ref="DU1539" ca="1">IFERROR(INDEX(nombres[],SMALL(IF(OFFSET(nombres[],0,0,ROWS(nombres[]),1)=DU$1490,ROW(OFFSET(nombres[],0,0,ROWS(nombres[]),1))-ROW(OFFSET(nombres[],0,0,1,1))+1,ROW(OFFSET(nombres[],ROWS(nombres[])-1,0,1,1))+1),$O1539:$O1558),3),"")</f>
        <v/>
      </c>
      <c r="DV1539" s="42" t="str">
        <f t="array" aca="1" ref="DV1539" ca="1">IFERROR(INDEX(nombres[],SMALL(IF(OFFSET(nombres[],0,0,ROWS(nombres[]),1)=DV$1490,ROW(OFFSET(nombres[],0,0,ROWS(nombres[]),1))-ROW(OFFSET(nombres[],0,0,1,1))+1,ROW(OFFSET(nombres[],ROWS(nombres[])-1,0,1,1))+1),$O1539:$O1558),3),"")</f>
        <v/>
      </c>
      <c r="DW1539" s="42" t="str">
        <f t="array" aca="1" ref="DW1539" ca="1">IFERROR(INDEX(nombres[],SMALL(IF(OFFSET(nombres[],0,0,ROWS(nombres[]),1)=DW$1490,ROW(OFFSET(nombres[],0,0,ROWS(nombres[]),1))-ROW(OFFSET(nombres[],0,0,1,1))+1,ROW(OFFSET(nombres[],ROWS(nombres[])-1,0,1,1))+1),$O1539:$O1558),3),"")</f>
        <v/>
      </c>
      <c r="DX1539" s="42" t="str">
        <f t="array" aca="1" ref="DX1539" ca="1">IFERROR(INDEX(nombres[],SMALL(IF(OFFSET(nombres[],0,0,ROWS(nombres[]),1)=DX$1490,ROW(OFFSET(nombres[],0,0,ROWS(nombres[]),1))-ROW(OFFSET(nombres[],0,0,1,1))+1,ROW(OFFSET(nombres[],ROWS(nombres[])-1,0,1,1))+1),$O1539:$O1558),3),"")</f>
        <v/>
      </c>
      <c r="DY1539" s="42" t="str">
        <f t="array" aca="1" ref="DY1539" ca="1">IFERROR(INDEX(nombres[],SMALL(IF(OFFSET(nombres[],0,0,ROWS(nombres[]),1)=DY$1490,ROW(OFFSET(nombres[],0,0,ROWS(nombres[]),1))-ROW(OFFSET(nombres[],0,0,1,1))+1,ROW(OFFSET(nombres[],ROWS(nombres[])-1,0,1,1))+1),$O1539:$O1558),3),"")</f>
        <v/>
      </c>
      <c r="DZ1539" s="42" t="str">
        <f t="array" aca="1" ref="DZ1539" ca="1">IFERROR(INDEX(nombres[],SMALL(IF(OFFSET(nombres[],0,0,ROWS(nombres[]),1)=DZ$1490,ROW(OFFSET(nombres[],0,0,ROWS(nombres[]),1))-ROW(OFFSET(nombres[],0,0,1,1))+1,ROW(OFFSET(nombres[],ROWS(nombres[])-1,0,1,1))+1),$O1539:$O1558),3),"")</f>
        <v/>
      </c>
      <c r="EA1539" s="42">
        <f t="array" aca="1" ref="EA1539" ca="1">IFERROR(INDEX(nombres[],SMALL(IF(OFFSET(nombres[],0,0,ROWS(nombres[]),1)=EA$1490,ROW(OFFSET(nombres[],0,0,ROWS(nombres[]),1))-ROW(OFFSET(nombres[],0,0,1,1))+1,ROW(OFFSET(nombres[],ROWS(nombres[])-1,0,1,1))+1),$O1539:$O1558),3),"")</f>
        <v>162</v>
      </c>
      <c r="EB1539" s="42">
        <f t="array" aca="1" ref="EB1539" ca="1">IFERROR(INDEX(nombres[],SMALL(IF(OFFSET(nombres[],0,0,ROWS(nombres[]),1)=EB$1490,ROW(OFFSET(nombres[],0,0,ROWS(nombres[]),1))-ROW(OFFSET(nombres[],0,0,1,1))+1,ROW(OFFSET(nombres[],ROWS(nombres[])-1,0,1,1))+1),$O1539:$O1558),3),"")</f>
        <v>166</v>
      </c>
      <c r="EC1539" s="42">
        <f t="array" aca="1" ref="EC1539" ca="1">IFERROR(INDEX(nombres[],SMALL(IF(OFFSET(nombres[],0,0,ROWS(nombres[]),1)=EC$1490,ROW(OFFSET(nombres[],0,0,ROWS(nombres[]),1))-ROW(OFFSET(nombres[],0,0,1,1))+1,ROW(OFFSET(nombres[],ROWS(nombres[])-1,0,1,1))+1),$O1539:$O1558),3),"")</f>
        <v>173</v>
      </c>
      <c r="ED1539" s="42">
        <f t="array" aca="1" ref="ED1539" ca="1">IFERROR(INDEX(nombres[],SMALL(IF(OFFSET(nombres[],0,0,ROWS(nombres[]),1)=ED$1490,ROW(OFFSET(nombres[],0,0,ROWS(nombres[]),1))-ROW(OFFSET(nombres[],0,0,1,1))+1,ROW(OFFSET(nombres[],ROWS(nombres[])-1,0,1,1))+1),$O1539:$O1558),3),"")</f>
        <v>180</v>
      </c>
      <c r="EE1539" s="42" t="str">
        <f t="array" aca="1" ref="EE1539" ca="1">IFERROR(INDEX(nombres[],SMALL(IF(OFFSET(nombres[],0,0,ROWS(nombres[]),1)=EE$1490,ROW(OFFSET(nombres[],0,0,ROWS(nombres[]),1))-ROW(OFFSET(nombres[],0,0,1,1))+1,ROW(OFFSET(nombres[],ROWS(nombres[])-1,0,1,1))+1),$O1539:$O1558),3),"")</f>
        <v/>
      </c>
      <c r="EF1539" s="42" t="str">
        <f t="array" aca="1" ref="EF1539" ca="1">IFERROR(INDEX(nombres[],SMALL(IF(OFFSET(nombres[],0,0,ROWS(nombres[]),1)=EF$1490,ROW(OFFSET(nombres[],0,0,ROWS(nombres[]),1))-ROW(OFFSET(nombres[],0,0,1,1))+1,ROW(OFFSET(nombres[],ROWS(nombres[])-1,0,1,1))+1),$O1539:$O1558),3),"")</f>
        <v/>
      </c>
      <c r="EG1539" s="42" t="str">
        <f t="array" aca="1" ref="EG1539" ca="1">IFERROR(INDEX(nombres[],SMALL(IF(OFFSET(nombres[],0,0,ROWS(nombres[]),1)=EG$1490,ROW(OFFSET(nombres[],0,0,ROWS(nombres[]),1))-ROW(OFFSET(nombres[],0,0,1,1))+1,ROW(OFFSET(nombres[],ROWS(nombres[])-1,0,1,1))+1),$O1539:$O1558),3),"")</f>
        <v/>
      </c>
      <c r="EH1539" s="42" t="str">
        <f t="array" aca="1" ref="EH1539" ca="1">IFERROR(INDEX(nombres[],SMALL(IF(OFFSET(nombres[],0,0,ROWS(nombres[]),1)=EH$1490,ROW(OFFSET(nombres[],0,0,ROWS(nombres[]),1))-ROW(OFFSET(nombres[],0,0,1,1))+1,ROW(OFFSET(nombres[],ROWS(nombres[])-1,0,1,1))+1),$O1539:$O1558),3),"")</f>
        <v/>
      </c>
      <c r="EI1539" s="42" t="str">
        <f t="array" aca="1" ref="EI1539" ca="1">IFERROR(INDEX(nombres[],SMALL(IF(OFFSET(nombres[],0,0,ROWS(nombres[]),1)=EI$1490,ROW(OFFSET(nombres[],0,0,ROWS(nombres[]),1))-ROW(OFFSET(nombres[],0,0,1,1))+1,ROW(OFFSET(nombres[],ROWS(nombres[])-1,0,1,1))+1),$O1539:$O1558),3),"")</f>
        <v/>
      </c>
      <c r="EJ1539" s="42" t="str">
        <f t="array" aca="1" ref="EJ1539" ca="1">IFERROR(INDEX(nombres[],SMALL(IF(OFFSET(nombres[],0,0,ROWS(nombres[]),1)=EJ$1490,ROW(OFFSET(nombres[],0,0,ROWS(nombres[]),1))-ROW(OFFSET(nombres[],0,0,1,1))+1,ROW(OFFSET(nombres[],ROWS(nombres[])-1,0,1,1))+1),$O1539:$O1558),3),"")</f>
        <v/>
      </c>
      <c r="EK1539" s="42" t="str">
        <f t="array" aca="1" ref="EK1539" ca="1">IFERROR(INDEX(nombres[],SMALL(IF(OFFSET(nombres[],0,0,ROWS(nombres[]),1)=EK$1490,ROW(OFFSET(nombres[],0,0,ROWS(nombres[]),1))-ROW(OFFSET(nombres[],0,0,1,1))+1,ROW(OFFSET(nombres[],ROWS(nombres[])-1,0,1,1))+1),$O1539:$O1558),3),"")</f>
        <v/>
      </c>
      <c r="EL1539" s="42">
        <f t="array" aca="1" ref="EL1539" ca="1">IFERROR(INDEX(nombres[],SMALL(IF(OFFSET(nombres[],0,0,ROWS(nombres[]),1)=EL$1490,ROW(OFFSET(nombres[],0,0,ROWS(nombres[]),1))-ROW(OFFSET(nombres[],0,0,1,1))+1,ROW(OFFSET(nombres[],ROWS(nombres[])-1,0,1,1))+1),$O1539:$O1558),3),"")</f>
        <v>189</v>
      </c>
      <c r="EM1539" s="42">
        <f t="array" aca="1" ref="EM1539" ca="1">IFERROR(INDEX(nombres[],SMALL(IF(OFFSET(nombres[],0,0,ROWS(nombres[]),1)=EM$1490,ROW(OFFSET(nombres[],0,0,ROWS(nombres[]),1))-ROW(OFFSET(nombres[],0,0,1,1))+1,ROW(OFFSET(nombres[],ROWS(nombres[])-1,0,1,1))+1),$O1539:$O1558),3),"")</f>
        <v>190</v>
      </c>
      <c r="EN1539" s="42" t="str">
        <f t="array" aca="1" ref="EN1539" ca="1">IFERROR(INDEX(nombres[],SMALL(IF(OFFSET(nombres[],0,0,ROWS(nombres[]),1)=EN$1490,ROW(OFFSET(nombres[],0,0,ROWS(nombres[]),1))-ROW(OFFSET(nombres[],0,0,1,1))+1,ROW(OFFSET(nombres[],ROWS(nombres[])-1,0,1,1))+1),$O1539:$O1558),3),"")</f>
        <v/>
      </c>
      <c r="EO1539" s="42">
        <f t="array" aca="1" ref="EO1539" ca="1">IFERROR(INDEX(nombres[],SMALL(IF(OFFSET(nombres[],0,0,ROWS(nombres[]),1)=EO$1490,ROW(OFFSET(nombres[],0,0,ROWS(nombres[]),1))-ROW(OFFSET(nombres[],0,0,1,1))+1,ROW(OFFSET(nombres[],ROWS(nombres[])-1,0,1,1))+1),$O1539:$O1558),3),"")</f>
        <v>195</v>
      </c>
      <c r="EP1539" s="42" t="str">
        <f t="array" aca="1" ref="EP1539" ca="1">IFERROR(INDEX(nombres[],SMALL(IF(OFFSET(nombres[],0,0,ROWS(nombres[]),1)=EP$1490,ROW(OFFSET(nombres[],0,0,ROWS(nombres[]),1))-ROW(OFFSET(nombres[],0,0,1,1))+1,ROW(OFFSET(nombres[],ROWS(nombres[])-1,0,1,1))+1),$O1539:$O1558),3),"")</f>
        <v/>
      </c>
      <c r="EQ1539" s="42">
        <f t="array" aca="1" ref="EQ1539" ca="1">IFERROR(INDEX(nombres[],SMALL(IF(OFFSET(nombres[],0,0,ROWS(nombres[]),1)=EQ$1490,ROW(OFFSET(nombres[],0,0,ROWS(nombres[]),1))-ROW(OFFSET(nombres[],0,0,1,1))+1,ROW(OFFSET(nombres[],ROWS(nombres[])-1,0,1,1))+1),$O1539:$O1558),3),"")</f>
        <v>198</v>
      </c>
      <c r="ER1539" s="42">
        <f t="array" aca="1" ref="ER1539" ca="1">IFERROR(INDEX(nombres[],SMALL(IF(OFFSET(nombres[],0,0,ROWS(nombres[]),1)=ER$1490,ROW(OFFSET(nombres[],0,0,ROWS(nombres[]),1))-ROW(OFFSET(nombres[],0,0,1,1))+1,ROW(OFFSET(nombres[],ROWS(nombres[])-1,0,1,1))+1),$O1539:$O1558),3),"")</f>
        <v>192</v>
      </c>
      <c r="ES1539" s="42" t="str">
        <f t="array" aca="1" ref="ES1539" ca="1">IFERROR(INDEX(nombres[],SMALL(IF(OFFSET(nombres[],0,0,ROWS(nombres[]),1)=ES$1490,ROW(OFFSET(nombres[],0,0,ROWS(nombres[]),1))-ROW(OFFSET(nombres[],0,0,1,1))+1,ROW(OFFSET(nombres[],ROWS(nombres[])-1,0,1,1))+1),$O1539:$O1558),3),"")</f>
        <v/>
      </c>
      <c r="ET1539" s="42" t="str">
        <f t="array" aca="1" ref="ET1539" ca="1">IFERROR(INDEX(nombres[],SMALL(IF(OFFSET(nombres[],0,0,ROWS(nombres[]),1)=ET$1490,ROW(OFFSET(nombres[],0,0,ROWS(nombres[]),1))-ROW(OFFSET(nombres[],0,0,1,1))+1,ROW(OFFSET(nombres[],ROWS(nombres[])-1,0,1,1))+1),$O1539:$O1558),3),"")</f>
        <v/>
      </c>
      <c r="EU1539" s="42" t="str">
        <f t="array" aca="1" ref="EU1539" ca="1">IFERROR(INDEX(nombres[],SMALL(IF(OFFSET(nombres[],0,0,ROWS(nombres[]),1)=EU$1490,ROW(OFFSET(nombres[],0,0,ROWS(nombres[]),1))-ROW(OFFSET(nombres[],0,0,1,1))+1,ROW(OFFSET(nombres[],ROWS(nombres[])-1,0,1,1))+1),$O1539:$O1558),3),"")</f>
        <v/>
      </c>
      <c r="EV1539" s="42" t="str">
        <f t="array" aca="1" ref="EV1539" ca="1">IFERROR(INDEX(nombres[],SMALL(IF(OFFSET(nombres[],0,0,ROWS(nombres[]),1)=EV$1490,ROW(OFFSET(nombres[],0,0,ROWS(nombres[]),1))-ROW(OFFSET(nombres[],0,0,1,1))+1,ROW(OFFSET(nombres[],ROWS(nombres[])-1,0,1,1))+1),$O1539:$O1558),3),"")</f>
        <v/>
      </c>
      <c r="EW1539" s="42" t="str">
        <f t="array" aca="1" ref="EW1539" ca="1">IFERROR(INDEX(nombres[],SMALL(IF(OFFSET(nombres[],0,0,ROWS(nombres[]),1)=EW$1490,ROW(OFFSET(nombres[],0,0,ROWS(nombres[]),1))-ROW(OFFSET(nombres[],0,0,1,1))+1,ROW(OFFSET(nombres[],ROWS(nombres[])-1,0,1,1))+1),$O1539:$O1558),3),"")</f>
        <v/>
      </c>
      <c r="EX1539" s="42">
        <f t="array" aca="1" ref="EX1539" ca="1">IFERROR(INDEX(nombres[],SMALL(IF(OFFSET(nombres[],0,0,ROWS(nombres[]),1)=EX$1490,ROW(OFFSET(nombres[],0,0,ROWS(nombres[]),1))-ROW(OFFSET(nombres[],0,0,1,1))+1,ROW(OFFSET(nombres[],ROWS(nombres[])-1,0,1,1))+1),$O1539:$O1558),3),"")</f>
        <v>215</v>
      </c>
      <c r="EY1539" s="42" t="str">
        <f t="array" aca="1" ref="EY1539" ca="1">IFERROR(INDEX(nombres[],SMALL(IF(OFFSET(nombres[],0,0,ROWS(nombres[]),1)=EY$1490,ROW(OFFSET(nombres[],0,0,ROWS(nombres[]),1))-ROW(OFFSET(nombres[],0,0,1,1))+1,ROW(OFFSET(nombres[],ROWS(nombres[])-1,0,1,1))+1),$O1539:$O1558),3),"")</f>
        <v/>
      </c>
      <c r="EZ1539" s="42" t="str">
        <f t="array" aca="1" ref="EZ1539" ca="1">IFERROR(INDEX(nombres[],SMALL(IF(OFFSET(nombres[],0,0,ROWS(nombres[]),1)=EZ$1490,ROW(OFFSET(nombres[],0,0,ROWS(nombres[]),1))-ROW(OFFSET(nombres[],0,0,1,1))+1,ROW(OFFSET(nombres[],ROWS(nombres[])-1,0,1,1))+1),$O1539:$O1558),3),"")</f>
        <v/>
      </c>
      <c r="FA1539" s="42">
        <f t="array" aca="1" ref="FA1539" ca="1">IFERROR(INDEX(nombres[],SMALL(IF(OFFSET(nombres[],0,0,ROWS(nombres[]),1)=FA$1490,ROW(OFFSET(nombres[],0,0,ROWS(nombres[]),1))-ROW(OFFSET(nombres[],0,0,1,1))+1,ROW(OFFSET(nombres[],ROWS(nombres[])-1,0,1,1))+1),$O1539:$O1558),3),"")</f>
        <v>214</v>
      </c>
      <c r="FB1539" s="42" t="str">
        <f t="array" aca="1" ref="FB1539" ca="1">IFERROR(INDEX(nombres[],SMALL(IF(OFFSET(nombres[],0,0,ROWS(nombres[]),1)=FB$1490,ROW(OFFSET(nombres[],0,0,ROWS(nombres[]),1))-ROW(OFFSET(nombres[],0,0,1,1))+1,ROW(OFFSET(nombres[],ROWS(nombres[])-1,0,1,1))+1),$O1539:$O1558),3),"")</f>
        <v/>
      </c>
      <c r="FC1539" s="42">
        <f t="array" aca="1" ref="FC1539" ca="1">IFERROR(INDEX(nombres[],SMALL(IF(OFFSET(nombres[],0,0,ROWS(nombres[]),1)=FC$1490,ROW(OFFSET(nombres[],0,0,ROWS(nombres[]),1))-ROW(OFFSET(nombres[],0,0,1,1))+1,ROW(OFFSET(nombres[],ROWS(nombres[])-1,0,1,1))+1),$O1539:$O1558),3),"")</f>
        <v>225</v>
      </c>
      <c r="FD1539" s="42" t="str">
        <f t="array" aca="1" ref="FD1539" ca="1">IFERROR(INDEX(nombres[],SMALL(IF(OFFSET(nombres[],0,0,ROWS(nombres[]),1)=FD$1490,ROW(OFFSET(nombres[],0,0,ROWS(nombres[]),1))-ROW(OFFSET(nombres[],0,0,1,1))+1,ROW(OFFSET(nombres[],ROWS(nombres[])-1,0,1,1))+1),$O1539:$O1558),3),"")</f>
        <v/>
      </c>
      <c r="FE1539" s="42">
        <f t="array" aca="1" ref="FE1539" ca="1">IFERROR(INDEX(nombres[],SMALL(IF(OFFSET(nombres[],0,0,ROWS(nombres[]),1)=FE$1490,ROW(OFFSET(nombres[],0,0,ROWS(nombres[]),1))-ROW(OFFSET(nombres[],0,0,1,1))+1,ROW(OFFSET(nombres[],ROWS(nombres[])-1,0,1,1))+1),$O1539:$O1558),3),"")</f>
        <v>218</v>
      </c>
      <c r="FF1539" s="42">
        <f t="array" aca="1" ref="FF1539" ca="1">IFERROR(INDEX(nombres[],SMALL(IF(OFFSET(nombres[],0,0,ROWS(nombres[]),1)=FF$1490,ROW(OFFSET(nombres[],0,0,ROWS(nombres[]),1))-ROW(OFFSET(nombres[],0,0,1,1))+1,ROW(OFFSET(nombres[],ROWS(nombres[])-1,0,1,1))+1),$O1539:$O1558),3),"")</f>
        <v>232</v>
      </c>
      <c r="FG1539" s="42" t="str">
        <f t="array" aca="1" ref="FG1539" ca="1">IFERROR(INDEX(nombres[],SMALL(IF(OFFSET(nombres[],0,0,ROWS(nombres[]),1)=FG$1490,ROW(OFFSET(nombres[],0,0,ROWS(nombres[]),1))-ROW(OFFSET(nombres[],0,0,1,1))+1,ROW(OFFSET(nombres[],ROWS(nombres[])-1,0,1,1))+1),$O1539:$O1558),3),"")</f>
        <v/>
      </c>
      <c r="FH1539" s="42" t="str">
        <f t="array" aca="1" ref="FH1539" ca="1">IFERROR(INDEX(nombres[],SMALL(IF(OFFSET(nombres[],0,0,ROWS(nombres[]),1)=FH$1490,ROW(OFFSET(nombres[],0,0,ROWS(nombres[]),1))-ROW(OFFSET(nombres[],0,0,1,1))+1,ROW(OFFSET(nombres[],ROWS(nombres[])-1,0,1,1))+1),$O1539:$O1558),3),"")</f>
        <v/>
      </c>
      <c r="FI1539" s="42">
        <f t="array" aca="1" ref="FI1539" ca="1">IFERROR(INDEX(nombres[],SMALL(IF(OFFSET(nombres[],0,0,ROWS(nombres[]),1)=FI$1490,ROW(OFFSET(nombres[],0,0,ROWS(nombres[]),1))-ROW(OFFSET(nombres[],0,0,1,1))+1,ROW(OFFSET(nombres[],ROWS(nombres[])-1,0,1,1))+1),$O1539:$O1558),3),"")</f>
        <v>241</v>
      </c>
      <c r="FJ1539" s="42">
        <f t="array" aca="1" ref="FJ1539" ca="1">IFERROR(INDEX(nombres[],SMALL(IF(OFFSET(nombres[],0,0,ROWS(nombres[]),1)=FJ$1490,ROW(OFFSET(nombres[],0,0,ROWS(nombres[]),1))-ROW(OFFSET(nombres[],0,0,1,1))+1,ROW(OFFSET(nombres[],ROWS(nombres[])-1,0,1,1))+1),$O1539:$O1558),3),"")</f>
        <v>298</v>
      </c>
      <c r="FK1539" s="42">
        <f t="array" aca="1" ref="FK1539" ca="1">IFERROR(INDEX(nombres[],SMALL(IF(OFFSET(nombres[],0,0,ROWS(nombres[]),1)=FK$1490,ROW(OFFSET(nombres[],0,0,ROWS(nombres[]),1))-ROW(OFFSET(nombres[],0,0,1,1))+1,ROW(OFFSET(nombres[],ROWS(nombres[])-1,0,1,1))+1),$O1539:$O1558),3),"")</f>
        <v>639</v>
      </c>
      <c r="FL1539" s="42">
        <f t="array" aca="1" ref="FL1539" ca="1">IFERROR(INDEX(nombres[],SMALL(IF(OFFSET(nombres[],0,0,ROWS(nombres[]),1)=FL$1490,ROW(OFFSET(nombres[],0,0,ROWS(nombres[]),1))-ROW(OFFSET(nombres[],0,0,1,1))+1,ROW(OFFSET(nombres[],ROWS(nombres[])-1,0,1,1))+1),$O1539:$O1558),3),"")</f>
        <v>290</v>
      </c>
      <c r="FM1539" s="42" t="str">
        <f t="array" aca="1" ref="FM1539" ca="1">IFERROR(INDEX(nombres[],SMALL(IF(OFFSET(nombres[],0,0,ROWS(nombres[]),1)=FM$1490,ROW(OFFSET(nombres[],0,0,ROWS(nombres[]),1))-ROW(OFFSET(nombres[],0,0,1,1))+1,ROW(OFFSET(nombres[],ROWS(nombres[])-1,0,1,1))+1),$O1539:$O1558),3),"")</f>
        <v/>
      </c>
      <c r="FN1539" s="42" t="str">
        <f t="array" aca="1" ref="FN1539" ca="1">IFERROR(INDEX(nombres[],SMALL(IF(OFFSET(nombres[],0,0,ROWS(nombres[]),1)=FN$1490,ROW(OFFSET(nombres[],0,0,ROWS(nombres[]),1))-ROW(OFFSET(nombres[],0,0,1,1))+1,ROW(OFFSET(nombres[],ROWS(nombres[])-1,0,1,1))+1),$O1539:$O1558),3),"")</f>
        <v/>
      </c>
      <c r="FO1539" s="42">
        <f t="array" aca="1" ref="FO1539" ca="1">IFERROR(INDEX(nombres[],SMALL(IF(OFFSET(nombres[],0,0,ROWS(nombres[]),1)=FO$1490,ROW(OFFSET(nombres[],0,0,ROWS(nombres[]),1))-ROW(OFFSET(nombres[],0,0,1,1))+1,ROW(OFFSET(nombres[],ROWS(nombres[])-1,0,1,1))+1),$O1539:$O1558),3),"")</f>
        <v>317</v>
      </c>
      <c r="FP1539" s="42">
        <f t="array" aca="1" ref="FP1539" ca="1">IFERROR(INDEX(nombres[],SMALL(IF(OFFSET(nombres[],0,0,ROWS(nombres[]),1)=FP$1490,ROW(OFFSET(nombres[],0,0,ROWS(nombres[]),1))-ROW(OFFSET(nombres[],0,0,1,1))+1,ROW(OFFSET(nombres[],ROWS(nombres[])-1,0,1,1))+1),$O1539:$O1558),3),"")</f>
        <v>283</v>
      </c>
      <c r="FQ1539" s="42" t="str">
        <f t="array" aca="1" ref="FQ1539" ca="1">IFERROR(INDEX(nombres[],SMALL(IF(OFFSET(nombres[],0,0,ROWS(nombres[]),1)=FQ$1490,ROW(OFFSET(nombres[],0,0,ROWS(nombres[]),1))-ROW(OFFSET(nombres[],0,0,1,1))+1,ROW(OFFSET(nombres[],ROWS(nombres[])-1,0,1,1))+1),$O1539:$O1558),3),"")</f>
        <v/>
      </c>
      <c r="FR1539" s="42" t="str">
        <f t="array" aca="1" ref="FR1539" ca="1">IFERROR(INDEX(nombres[],SMALL(IF(OFFSET(nombres[],0,0,ROWS(nombres[]),1)=FR$1490,ROW(OFFSET(nombres[],0,0,ROWS(nombres[]),1))-ROW(OFFSET(nombres[],0,0,1,1))+1,ROW(OFFSET(nombres[],ROWS(nombres[])-1,0,1,1))+1),$O1539:$O1558),3),"")</f>
        <v/>
      </c>
      <c r="FS1539" s="42">
        <f t="array" aca="1" ref="FS1539" ca="1">IFERROR(INDEX(nombres[],SMALL(IF(OFFSET(nombres[],0,0,ROWS(nombres[]),1)=FS$1490,ROW(OFFSET(nombres[],0,0,ROWS(nombres[]),1))-ROW(OFFSET(nombres[],0,0,1,1))+1,ROW(OFFSET(nombres[],ROWS(nombres[])-1,0,1,1))+1),$O1539:$O1558),3),"")</f>
        <v>265</v>
      </c>
      <c r="FT1539" s="42" t="str">
        <f t="array" aca="1" ref="FT1539" ca="1">IFERROR(INDEX(nombres[],SMALL(IF(OFFSET(nombres[],0,0,ROWS(nombres[]),1)=FT$1490,ROW(OFFSET(nombres[],0,0,ROWS(nombres[]),1))-ROW(OFFSET(nombres[],0,0,1,1))+1,ROW(OFFSET(nombres[],ROWS(nombres[])-1,0,1,1))+1),$O1539:$O1558),3),"")</f>
        <v/>
      </c>
      <c r="FU1539" s="42" t="str">
        <f t="array" aca="1" ref="FU1539" ca="1">IFERROR(INDEX(nombres[],SMALL(IF(OFFSET(nombres[],0,0,ROWS(nombres[]),1)=FU$1490,ROW(OFFSET(nombres[],0,0,ROWS(nombres[]),1))-ROW(OFFSET(nombres[],0,0,1,1))+1,ROW(OFFSET(nombres[],ROWS(nombres[])-1,0,1,1))+1),$O1539:$O1558),3),"")</f>
        <v/>
      </c>
      <c r="FV1539" s="42" t="str">
        <f t="array" aca="1" ref="FV1539" ca="1">IFERROR(INDEX(nombres[],SMALL(IF(OFFSET(nombres[],0,0,ROWS(nombres[]),1)=FV$1490,ROW(OFFSET(nombres[],0,0,ROWS(nombres[]),1))-ROW(OFFSET(nombres[],0,0,1,1))+1,ROW(OFFSET(nombres[],ROWS(nombres[])-1,0,1,1))+1),$O1539:$O1558),3),"")</f>
        <v/>
      </c>
      <c r="FW1539" s="42" t="str">
        <f t="array" aca="1" ref="FW1539" ca="1">IFERROR(INDEX(nombres[],SMALL(IF(OFFSET(nombres[],0,0,ROWS(nombres[]),1)=FW$1490,ROW(OFFSET(nombres[],0,0,ROWS(nombres[]),1))-ROW(OFFSET(nombres[],0,0,1,1))+1,ROW(OFFSET(nombres[],ROWS(nombres[])-1,0,1,1))+1),$O1539:$O1558),3),"")</f>
        <v/>
      </c>
      <c r="FX1539" s="42">
        <f t="array" aca="1" ref="FX1539" ca="1">IFERROR(INDEX(nombres[],SMALL(IF(OFFSET(nombres[],0,0,ROWS(nombres[]),1)=FX$1490,ROW(OFFSET(nombres[],0,0,ROWS(nombres[]),1))-ROW(OFFSET(nombres[],0,0,1,1))+1,ROW(OFFSET(nombres[],ROWS(nombres[])-1,0,1,1))+1),$O1539:$O1558),3),"")</f>
        <v>243</v>
      </c>
      <c r="FY1539" s="42" t="str">
        <f t="array" aca="1" ref="FY1539" ca="1">IFERROR(INDEX(nombres[],SMALL(IF(OFFSET(nombres[],0,0,ROWS(nombres[]),1)=FY$1490,ROW(OFFSET(nombres[],0,0,ROWS(nombres[]),1))-ROW(OFFSET(nombres[],0,0,1,1))+1,ROW(OFFSET(nombres[],ROWS(nombres[])-1,0,1,1))+1),$O1539:$O1558),3),"")</f>
        <v/>
      </c>
      <c r="FZ1539" s="42">
        <f t="array" aca="1" ref="FZ1539" ca="1">IFERROR(INDEX(nombres[],SMALL(IF(OFFSET(nombres[],0,0,ROWS(nombres[]),1)=FZ$1490,ROW(OFFSET(nombres[],0,0,ROWS(nombres[]),1))-ROW(OFFSET(nombres[],0,0,1,1))+1,ROW(OFFSET(nombres[],ROWS(nombres[])-1,0,1,1))+1),$O1539:$O1558),3),"")</f>
        <v>245</v>
      </c>
      <c r="GA1539" s="42" t="str">
        <f t="array" aca="1" ref="GA1539" ca="1">IFERROR(INDEX(nombres[],SMALL(IF(OFFSET(nombres[],0,0,ROWS(nombres[]),1)=GA$1490,ROW(OFFSET(nombres[],0,0,ROWS(nombres[]),1))-ROW(OFFSET(nombres[],0,0,1,1))+1,ROW(OFFSET(nombres[],ROWS(nombres[])-1,0,1,1))+1),$O1539:$O1558),3),"")</f>
        <v/>
      </c>
      <c r="GB1539" s="42" t="str">
        <f t="array" aca="1" ref="GB1539" ca="1">IFERROR(INDEX(nombres[],SMALL(IF(OFFSET(nombres[],0,0,ROWS(nombres[]),1)=GB$1490,ROW(OFFSET(nombres[],0,0,ROWS(nombres[]),1))-ROW(OFFSET(nombres[],0,0,1,1))+1,ROW(OFFSET(nombres[],ROWS(nombres[])-1,0,1,1))+1),$O1539:$O1558),3),"")</f>
        <v/>
      </c>
      <c r="GC1539" s="42">
        <f t="array" aca="1" ref="GC1539" ca="1">IFERROR(INDEX(nombres[],SMALL(IF(OFFSET(nombres[],0,0,ROWS(nombres[]),1)=GC$1490,ROW(OFFSET(nombres[],0,0,ROWS(nombres[]),1))-ROW(OFFSET(nombres[],0,0,1,1))+1,ROW(OFFSET(nombres[],ROWS(nombres[])-1,0,1,1))+1),$O1539:$O1558),3),"")</f>
        <v>303</v>
      </c>
      <c r="GD1539" s="42">
        <f t="array" aca="1" ref="GD1539" ca="1">IFERROR(INDEX(nombres[],SMALL(IF(OFFSET(nombres[],0,0,ROWS(nombres[]),1)=GD$1490,ROW(OFFSET(nombres[],0,0,ROWS(nombres[]),1))-ROW(OFFSET(nombres[],0,0,1,1))+1,ROW(OFFSET(nombres[],ROWS(nombres[])-1,0,1,1))+1),$O1539:$O1558),3),"")</f>
        <v>318</v>
      </c>
      <c r="GE1539" s="42" t="str">
        <f t="array" aca="1" ref="GE1539" ca="1">IFERROR(INDEX(nombres[],SMALL(IF(OFFSET(nombres[],0,0,ROWS(nombres[]),1)=GE$1490,ROW(OFFSET(nombres[],0,0,ROWS(nombres[]),1))-ROW(OFFSET(nombres[],0,0,1,1))+1,ROW(OFFSET(nombres[],ROWS(nombres[])-1,0,1,1))+1),$O1539:$O1558),3),"")</f>
        <v/>
      </c>
      <c r="GF1539" s="42">
        <f t="array" aca="1" ref="GF1539" ca="1">IFERROR(INDEX(nombres[],SMALL(IF(OFFSET(nombres[],0,0,ROWS(nombres[]),1)=GF$1490,ROW(OFFSET(nombres[],0,0,ROWS(nombres[]),1))-ROW(OFFSET(nombres[],0,0,1,1))+1,ROW(OFFSET(nombres[],ROWS(nombres[])-1,0,1,1))+1),$O1539:$O1558),3),"")</f>
        <v>252</v>
      </c>
      <c r="GG1539" s="42">
        <f t="array" aca="1" ref="GG1539" ca="1">IFERROR(INDEX(nombres[],SMALL(IF(OFFSET(nombres[],0,0,ROWS(nombres[]),1)=GG$1490,ROW(OFFSET(nombres[],0,0,ROWS(nombres[]),1))-ROW(OFFSET(nombres[],0,0,1,1))+1,ROW(OFFSET(nombres[],ROWS(nombres[])-1,0,1,1))+1),$O1539:$O1558),3),"")</f>
        <v>259</v>
      </c>
      <c r="GH1539" s="42" t="str">
        <f t="array" aca="1" ref="GH1539" ca="1">IFERROR(INDEX(nombres[],SMALL(IF(OFFSET(nombres[],0,0,ROWS(nombres[]),1)=GH$1490,ROW(OFFSET(nombres[],0,0,ROWS(nombres[]),1))-ROW(OFFSET(nombres[],0,0,1,1))+1,ROW(OFFSET(nombres[],ROWS(nombres[])-1,0,1,1))+1),$O1539:$O1558),3),"")</f>
        <v/>
      </c>
      <c r="GI1539" s="42">
        <f t="array" aca="1" ref="GI1539" ca="1">IFERROR(INDEX(nombres[],SMALL(IF(OFFSET(nombres[],0,0,ROWS(nombres[]),1)=GI$1490,ROW(OFFSET(nombres[],0,0,ROWS(nombres[]),1))-ROW(OFFSET(nombres[],0,0,1,1))+1,ROW(OFFSET(nombres[],ROWS(nombres[])-1,0,1,1))+1),$O1539:$O1558),3),"")</f>
        <v>548</v>
      </c>
      <c r="GJ1539" s="42" t="str">
        <f t="array" aca="1" ref="GJ1539" ca="1">IFERROR(INDEX(nombres[],SMALL(IF(OFFSET(nombres[],0,0,ROWS(nombres[]),1)=GJ$1490,ROW(OFFSET(nombres[],0,0,ROWS(nombres[]),1))-ROW(OFFSET(nombres[],0,0,1,1))+1,ROW(OFFSET(nombres[],ROWS(nombres[])-1,0,1,1))+1),$O1539:$O1558),3),"")</f>
        <v/>
      </c>
      <c r="GK1539" s="42" t="str">
        <f t="array" aca="1" ref="GK1539" ca="1">IFERROR(INDEX(nombres[],SMALL(IF(OFFSET(nombres[],0,0,ROWS(nombres[]),1)=GK$1490,ROW(OFFSET(nombres[],0,0,ROWS(nombres[]),1))-ROW(OFFSET(nombres[],0,0,1,1))+1,ROW(OFFSET(nombres[],ROWS(nombres[])-1,0,1,1))+1),$O1539:$O1558),3),"")</f>
        <v/>
      </c>
      <c r="GL1539" s="42">
        <f t="array" aca="1" ref="GL1539" ca="1">IFERROR(INDEX(nombres[],SMALL(IF(OFFSET(nombres[],0,0,ROWS(nombres[]),1)=GL$1490,ROW(OFFSET(nombres[],0,0,ROWS(nombres[]),1))-ROW(OFFSET(nombres[],0,0,1,1))+1,ROW(OFFSET(nombres[],ROWS(nombres[])-1,0,1,1))+1),$O1539:$O1558),3),"")</f>
        <v>246</v>
      </c>
      <c r="GM1539" s="42" t="str">
        <f t="array" aca="1" ref="GM1539" ca="1">IFERROR(INDEX(nombres[],SMALL(IF(OFFSET(nombres[],0,0,ROWS(nombres[]),1)=GM$1490,ROW(OFFSET(nombres[],0,0,ROWS(nombres[]),1))-ROW(OFFSET(nombres[],0,0,1,1))+1,ROW(OFFSET(nombres[],ROWS(nombres[])-1,0,1,1))+1),$O1539:$O1558),3),"")</f>
        <v/>
      </c>
      <c r="GN1539" s="42" t="str">
        <f t="array" aca="1" ref="GN1539" ca="1">IFERROR(INDEX(nombres[],SMALL(IF(OFFSET(nombres[],0,0,ROWS(nombres[]),1)=GN$1490,ROW(OFFSET(nombres[],0,0,ROWS(nombres[]),1))-ROW(OFFSET(nombres[],0,0,1,1))+1,ROW(OFFSET(nombres[],ROWS(nombres[])-1,0,1,1))+1),$O1539:$O1558),3),"")</f>
        <v/>
      </c>
      <c r="GO1539" s="42" t="str">
        <f t="array" aca="1" ref="GO1539" ca="1">IFERROR(INDEX(nombres[],SMALL(IF(OFFSET(nombres[],0,0,ROWS(nombres[]),1)=GO$1490,ROW(OFFSET(nombres[],0,0,ROWS(nombres[]),1))-ROW(OFFSET(nombres[],0,0,1,1))+1,ROW(OFFSET(nombres[],ROWS(nombres[])-1,0,1,1))+1),$O1539:$O1558),3),"")</f>
        <v/>
      </c>
      <c r="GP1539" s="42" t="str">
        <f t="array" aca="1" ref="GP1539" ca="1">IFERROR(INDEX(nombres[],SMALL(IF(OFFSET(nombres[],0,0,ROWS(nombres[]),1)=GP$1490,ROW(OFFSET(nombres[],0,0,ROWS(nombres[]),1))-ROW(OFFSET(nombres[],0,0,1,1))+1,ROW(OFFSET(nombres[],ROWS(nombres[])-1,0,1,1))+1),$O1539:$O1558),3),"")</f>
        <v/>
      </c>
      <c r="GQ1539" s="42" t="str">
        <f t="array" aca="1" ref="GQ1539" ca="1">IFERROR(INDEX(nombres[],SMALL(IF(OFFSET(nombres[],0,0,ROWS(nombres[]),1)=GQ$1490,ROW(OFFSET(nombres[],0,0,ROWS(nombres[]),1))-ROW(OFFSET(nombres[],0,0,1,1))+1,ROW(OFFSET(nombres[],ROWS(nombres[])-1,0,1,1))+1),$O1539:$O1558),3),"")</f>
        <v/>
      </c>
      <c r="GR1539" s="42">
        <f t="array" aca="1" ref="GR1539" ca="1">IFERROR(INDEX(nombres[],SMALL(IF(OFFSET(nombres[],0,0,ROWS(nombres[]),1)=GR$1490,ROW(OFFSET(nombres[],0,0,ROWS(nombres[]),1))-ROW(OFFSET(nombres[],0,0,1,1))+1,ROW(OFFSET(nombres[],ROWS(nombres[])-1,0,1,1))+1),$O1539:$O1558),3),"")</f>
        <v>334</v>
      </c>
      <c r="GS1539" s="42">
        <f t="array" aca="1" ref="GS1539" ca="1">IFERROR(INDEX(nombres[],SMALL(IF(OFFSET(nombres[],0,0,ROWS(nombres[]),1)=GS$1490,ROW(OFFSET(nombres[],0,0,ROWS(nombres[]),1))-ROW(OFFSET(nombres[],0,0,1,1))+1,ROW(OFFSET(nombres[],ROWS(nombres[])-1,0,1,1))+1),$O1539:$O1558),3),"")</f>
        <v>332</v>
      </c>
      <c r="GT1539" s="42">
        <f t="array" aca="1" ref="GT1539" ca="1">IFERROR(INDEX(nombres[],SMALL(IF(OFFSET(nombres[],0,0,ROWS(nombres[]),1)=GT$1490,ROW(OFFSET(nombres[],0,0,ROWS(nombres[]),1))-ROW(OFFSET(nombres[],0,0,1,1))+1,ROW(OFFSET(nombres[],ROWS(nombres[])-1,0,1,1))+1),$O1539:$O1558),3),"")</f>
        <v>333</v>
      </c>
      <c r="GU1539" s="42">
        <f t="array" aca="1" ref="GU1539" ca="1">IFERROR(INDEX(nombres[],SMALL(IF(OFFSET(nombres[],0,0,ROWS(nombres[]),1)=GU$1490,ROW(OFFSET(nombres[],0,0,ROWS(nombres[]),1))-ROW(OFFSET(nombres[],0,0,1,1))+1,ROW(OFFSET(nombres[],ROWS(nombres[])-1,0,1,1))+1),$O1539:$O1558),3),"")</f>
        <v>639</v>
      </c>
      <c r="GV1539" s="42">
        <f t="array" aca="1" ref="GV1539" ca="1">IFERROR(INDEX(nombres[],SMALL(IF(OFFSET(nombres[],0,0,ROWS(nombres[]),1)=GV$1490,ROW(OFFSET(nombres[],0,0,ROWS(nombres[]),1))-ROW(OFFSET(nombres[],0,0,1,1))+1,ROW(OFFSET(nombres[],ROWS(nombres[])-1,0,1,1))+1),$O1539:$O1558),3),"")</f>
        <v>343</v>
      </c>
      <c r="GW1539" s="42">
        <f t="array" aca="1" ref="GW1539" ca="1">IFERROR(INDEX(nombres[],SMALL(IF(OFFSET(nombres[],0,0,ROWS(nombres[]),1)=GW$1490,ROW(OFFSET(nombres[],0,0,ROWS(nombres[]),1))-ROW(OFFSET(nombres[],0,0,1,1))+1,ROW(OFFSET(nombres[],ROWS(nombres[])-1,0,1,1))+1),$O1539:$O1558),3),"")</f>
        <v>340</v>
      </c>
      <c r="GX1539" s="42" t="str">
        <f t="array" aca="1" ref="GX1539" ca="1">IFERROR(INDEX(nombres[],SMALL(IF(OFFSET(nombres[],0,0,ROWS(nombres[]),1)=GX$1490,ROW(OFFSET(nombres[],0,0,ROWS(nombres[]),1))-ROW(OFFSET(nombres[],0,0,1,1))+1,ROW(OFFSET(nombres[],ROWS(nombres[])-1,0,1,1))+1),$O1539:$O1558),3),"")</f>
        <v/>
      </c>
      <c r="GY1539" s="42" t="str">
        <f t="array" aca="1" ref="GY1539" ca="1">IFERROR(INDEX(nombres[],SMALL(IF(OFFSET(nombres[],0,0,ROWS(nombres[]),1)=GY$1490,ROW(OFFSET(nombres[],0,0,ROWS(nombres[]),1))-ROW(OFFSET(nombres[],0,0,1,1))+1,ROW(OFFSET(nombres[],ROWS(nombres[])-1,0,1,1))+1),$O1539:$O1558),3),"")</f>
        <v/>
      </c>
      <c r="GZ1539" s="42" t="str">
        <f t="array" aca="1" ref="GZ1539" ca="1">IFERROR(INDEX(nombres[],SMALL(IF(OFFSET(nombres[],0,0,ROWS(nombres[]),1)=GZ$1490,ROW(OFFSET(nombres[],0,0,ROWS(nombres[]),1))-ROW(OFFSET(nombres[],0,0,1,1))+1,ROW(OFFSET(nombres[],ROWS(nombres[])-1,0,1,1))+1),$O1539:$O1558),3),"")</f>
        <v/>
      </c>
      <c r="HA1539" s="42" t="str">
        <f t="array" aca="1" ref="HA1539" ca="1">IFERROR(INDEX(nombres[],SMALL(IF(OFFSET(nombres[],0,0,ROWS(nombres[]),1)=HA$1490,ROW(OFFSET(nombres[],0,0,ROWS(nombres[]),1))-ROW(OFFSET(nombres[],0,0,1,1))+1,ROW(OFFSET(nombres[],ROWS(nombres[])-1,0,1,1))+1),$O1539:$O1558),3),"")</f>
        <v/>
      </c>
      <c r="HB1539" s="42" t="str">
        <f t="array" aca="1" ref="HB1539" ca="1">IFERROR(INDEX(nombres[],SMALL(IF(OFFSET(nombres[],0,0,ROWS(nombres[]),1)=HB$1490,ROW(OFFSET(nombres[],0,0,ROWS(nombres[]),1))-ROW(OFFSET(nombres[],0,0,1,1))+1,ROW(OFFSET(nombres[],ROWS(nombres[])-1,0,1,1))+1),$O1539:$O1558),3),"")</f>
        <v/>
      </c>
      <c r="HC1539" s="42" t="str">
        <f t="array" aca="1" ref="HC1539" ca="1">IFERROR(INDEX(nombres[],SMALL(IF(OFFSET(nombres[],0,0,ROWS(nombres[]),1)=HC$1490,ROW(OFFSET(nombres[],0,0,ROWS(nombres[]),1))-ROW(OFFSET(nombres[],0,0,1,1))+1,ROW(OFFSET(nombres[],ROWS(nombres[])-1,0,1,1))+1),$O1539:$O1558),3),"")</f>
        <v/>
      </c>
      <c r="HD1539" s="42">
        <f t="array" aca="1" ref="HD1539" ca="1">IFERROR(INDEX(nombres[],SMALL(IF(OFFSET(nombres[],0,0,ROWS(nombres[]),1)=HD$1490,ROW(OFFSET(nombres[],0,0,ROWS(nombres[]),1))-ROW(OFFSET(nombres[],0,0,1,1))+1,ROW(OFFSET(nombres[],ROWS(nombres[])-1,0,1,1))+1),$O1539:$O1558),3),"")</f>
        <v>368</v>
      </c>
      <c r="HE1539" s="42" t="str">
        <f t="array" aca="1" ref="HE1539" ca="1">IFERROR(INDEX(nombres[],SMALL(IF(OFFSET(nombres[],0,0,ROWS(nombres[]),1)=HE$1490,ROW(OFFSET(nombres[],0,0,ROWS(nombres[]),1))-ROW(OFFSET(nombres[],0,0,1,1))+1,ROW(OFFSET(nombres[],ROWS(nombres[])-1,0,1,1))+1),$O1539:$O1558),3),"")</f>
        <v/>
      </c>
      <c r="HF1539" s="42" t="str">
        <f t="array" aca="1" ref="HF1539" ca="1">IFERROR(INDEX(nombres[],SMALL(IF(OFFSET(nombres[],0,0,ROWS(nombres[]),1)=HF$1490,ROW(OFFSET(nombres[],0,0,ROWS(nombres[]),1))-ROW(OFFSET(nombres[],0,0,1,1))+1,ROW(OFFSET(nombres[],ROWS(nombres[])-1,0,1,1))+1),$O1539:$O1558),3),"")</f>
        <v/>
      </c>
      <c r="HG1539" s="42">
        <f t="array" aca="1" ref="HG1539" ca="1">IFERROR(INDEX(nombres[],SMALL(IF(OFFSET(nombres[],0,0,ROWS(nombres[]),1)=HG$1490,ROW(OFFSET(nombres[],0,0,ROWS(nombres[]),1))-ROW(OFFSET(nombres[],0,0,1,1))+1,ROW(OFFSET(nombres[],ROWS(nombres[])-1,0,1,1))+1),$O1539:$O1558),3),"")</f>
        <v>625</v>
      </c>
      <c r="HH1539" s="42" t="str">
        <f t="array" aca="1" ref="HH1539" ca="1">IFERROR(INDEX(nombres[],SMALL(IF(OFFSET(nombres[],0,0,ROWS(nombres[]),1)=HH$1490,ROW(OFFSET(nombres[],0,0,ROWS(nombres[]),1))-ROW(OFFSET(nombres[],0,0,1,1))+1,ROW(OFFSET(nombres[],ROWS(nombres[])-1,0,1,1))+1),$O1539:$O1558),3),"")</f>
        <v/>
      </c>
      <c r="HI1539" s="42">
        <f t="array" aca="1" ref="HI1539" ca="1">IFERROR(INDEX(nombres[],SMALL(IF(OFFSET(nombres[],0,0,ROWS(nombres[]),1)=HI$1490,ROW(OFFSET(nombres[],0,0,ROWS(nombres[]),1))-ROW(OFFSET(nombres[],0,0,1,1))+1,ROW(OFFSET(nombres[],ROWS(nombres[])-1,0,1,1))+1),$O1539:$O1558),3),"")</f>
        <v>279</v>
      </c>
      <c r="HJ1539" s="42" t="str">
        <f t="array" aca="1" ref="HJ1539" ca="1">IFERROR(INDEX(nombres[],SMALL(IF(OFFSET(nombres[],0,0,ROWS(nombres[]),1)=HJ$1490,ROW(OFFSET(nombres[],0,0,ROWS(nombres[]),1))-ROW(OFFSET(nombres[],0,0,1,1))+1,ROW(OFFSET(nombres[],ROWS(nombres[])-1,0,1,1))+1),$O1539:$O1558),3),"")</f>
        <v/>
      </c>
      <c r="HK1539" s="42">
        <f t="array" aca="1" ref="HK1539" ca="1">IFERROR(INDEX(nombres[],SMALL(IF(OFFSET(nombres[],0,0,ROWS(nombres[]),1)=HK$1490,ROW(OFFSET(nombres[],0,0,ROWS(nombres[]),1))-ROW(OFFSET(nombres[],0,0,1,1))+1,ROW(OFFSET(nombres[],ROWS(nombres[])-1,0,1,1))+1),$O1539:$O1558),3),"")</f>
        <v>347</v>
      </c>
      <c r="HL1539" s="42" t="str">
        <f t="array" aca="1" ref="HL1539" ca="1">IFERROR(INDEX(nombres[],SMALL(IF(OFFSET(nombres[],0,0,ROWS(nombres[]),1)=HL$1490,ROW(OFFSET(nombres[],0,0,ROWS(nombres[]),1))-ROW(OFFSET(nombres[],0,0,1,1))+1,ROW(OFFSET(nombres[],ROWS(nombres[])-1,0,1,1))+1),$O1539:$O1558),3),"")</f>
        <v/>
      </c>
      <c r="HM1539" s="42">
        <f t="array" aca="1" ref="HM1539" ca="1">IFERROR(INDEX(nombres[],SMALL(IF(OFFSET(nombres[],0,0,ROWS(nombres[]),1)=HM$1490,ROW(OFFSET(nombres[],0,0,ROWS(nombres[]),1))-ROW(OFFSET(nombres[],0,0,1,1))+1,ROW(OFFSET(nombres[],ROWS(nombres[])-1,0,1,1))+1),$O1539:$O1558),3),"")</f>
        <v>354</v>
      </c>
      <c r="HN1539" s="42" t="str">
        <f t="array" aca="1" ref="HN1539" ca="1">IFERROR(INDEX(nombres[],SMALL(IF(OFFSET(nombres[],0,0,ROWS(nombres[]),1)=HN$1490,ROW(OFFSET(nombres[],0,0,ROWS(nombres[]),1))-ROW(OFFSET(nombres[],0,0,1,1))+1,ROW(OFFSET(nombres[],ROWS(nombres[])-1,0,1,1))+1),$O1539:$O1558),3),"")</f>
        <v/>
      </c>
      <c r="HO1539" s="42">
        <f t="array" aca="1" ref="HO1539" ca="1">IFERROR(INDEX(nombres[],SMALL(IF(OFFSET(nombres[],0,0,ROWS(nombres[]),1)=HO$1490,ROW(OFFSET(nombres[],0,0,ROWS(nombres[]),1))-ROW(OFFSET(nombres[],0,0,1,1))+1,ROW(OFFSET(nombres[],ROWS(nombres[])-1,0,1,1))+1),$O1539:$O1558),3),"")</f>
        <v>356</v>
      </c>
      <c r="HP1539" s="42">
        <f t="array" aca="1" ref="HP1539" ca="1">IFERROR(INDEX(nombres[],SMALL(IF(OFFSET(nombres[],0,0,ROWS(nombres[]),1)=HP$1490,ROW(OFFSET(nombres[],0,0,ROWS(nombres[]),1))-ROW(OFFSET(nombres[],0,0,1,1))+1,ROW(OFFSET(nombres[],ROWS(nombres[])-1,0,1,1))+1),$O1539:$O1558),3),"")</f>
        <v>382</v>
      </c>
      <c r="HQ1539" s="42">
        <f t="array" aca="1" ref="HQ1539" ca="1">IFERROR(INDEX(nombres[],SMALL(IF(OFFSET(nombres[],0,0,ROWS(nombres[]),1)=HQ$1490,ROW(OFFSET(nombres[],0,0,ROWS(nombres[]),1))-ROW(OFFSET(nombres[],0,0,1,1))+1,ROW(OFFSET(nombres[],ROWS(nombres[])-1,0,1,1))+1),$O1539:$O1558),3),"")</f>
        <v>375</v>
      </c>
      <c r="HR1539" s="42" t="str">
        <f t="array" aca="1" ref="HR1539" ca="1">IFERROR(INDEX(nombres[],SMALL(IF(OFFSET(nombres[],0,0,ROWS(nombres[]),1)=HR$1490,ROW(OFFSET(nombres[],0,0,ROWS(nombres[]),1))-ROW(OFFSET(nombres[],0,0,1,1))+1,ROW(OFFSET(nombres[],ROWS(nombres[])-1,0,1,1))+1),$O1539:$O1558),3),"")</f>
        <v/>
      </c>
      <c r="HS1539" s="42">
        <f t="array" aca="1" ref="HS1539" ca="1">IFERROR(INDEX(nombres[],SMALL(IF(OFFSET(nombres[],0,0,ROWS(nombres[]),1)=HS$1490,ROW(OFFSET(nombres[],0,0,ROWS(nombres[]),1))-ROW(OFFSET(nombres[],0,0,1,1))+1,ROW(OFFSET(nombres[],ROWS(nombres[])-1,0,1,1))+1),$O1539:$O1558),3),"")</f>
        <v>419</v>
      </c>
      <c r="HT1539" s="42" t="str">
        <f t="array" aca="1" ref="HT1539" ca="1">IFERROR(INDEX(nombres[],SMALL(IF(OFFSET(nombres[],0,0,ROWS(nombres[]),1)=HT$1490,ROW(OFFSET(nombres[],0,0,ROWS(nombres[]),1))-ROW(OFFSET(nombres[],0,0,1,1))+1,ROW(OFFSET(nombres[],ROWS(nombres[])-1,0,1,1))+1),$O1539:$O1558),3),"")</f>
        <v/>
      </c>
      <c r="HU1539" s="42" t="str">
        <f t="array" aca="1" ref="HU1539" ca="1">IFERROR(INDEX(nombres[],SMALL(IF(OFFSET(nombres[],0,0,ROWS(nombres[]),1)=HU$1490,ROW(OFFSET(nombres[],0,0,ROWS(nombres[]),1))-ROW(OFFSET(nombres[],0,0,1,1))+1,ROW(OFFSET(nombres[],ROWS(nombres[])-1,0,1,1))+1),$O1539:$O1558),3),"")</f>
        <v/>
      </c>
      <c r="HV1539" s="42" t="str">
        <f t="array" aca="1" ref="HV1539" ca="1">IFERROR(INDEX(nombres[],SMALL(IF(OFFSET(nombres[],0,0,ROWS(nombres[]),1)=HV$1490,ROW(OFFSET(nombres[],0,0,ROWS(nombres[]),1))-ROW(OFFSET(nombres[],0,0,1,1))+1,ROW(OFFSET(nombres[],ROWS(nombres[])-1,0,1,1))+1),$O1539:$O1558),3),"")</f>
        <v/>
      </c>
      <c r="HW1539" s="42" t="str">
        <f t="array" aca="1" ref="HW1539" ca="1">IFERROR(INDEX(nombres[],SMALL(IF(OFFSET(nombres[],0,0,ROWS(nombres[]),1)=HW$1490,ROW(OFFSET(nombres[],0,0,ROWS(nombres[]),1))-ROW(OFFSET(nombres[],0,0,1,1))+1,ROW(OFFSET(nombres[],ROWS(nombres[])-1,0,1,1))+1),$O1539:$O1558),3),"")</f>
        <v/>
      </c>
      <c r="HX1539" s="42" t="str">
        <f t="array" aca="1" ref="HX1539" ca="1">IFERROR(INDEX(nombres[],SMALL(IF(OFFSET(nombres[],0,0,ROWS(nombres[]),1)=HX$1490,ROW(OFFSET(nombres[],0,0,ROWS(nombres[]),1))-ROW(OFFSET(nombres[],0,0,1,1))+1,ROW(OFFSET(nombres[],ROWS(nombres[])-1,0,1,1))+1),$O1539:$O1558),3),"")</f>
        <v/>
      </c>
      <c r="HY1539" s="42" t="str">
        <f t="array" aca="1" ref="HY1539" ca="1">IFERROR(INDEX(nombres[],SMALL(IF(OFFSET(nombres[],0,0,ROWS(nombres[]),1)=HY$1490,ROW(OFFSET(nombres[],0,0,ROWS(nombres[]),1))-ROW(OFFSET(nombres[],0,0,1,1))+1,ROW(OFFSET(nombres[],ROWS(nombres[])-1,0,1,1))+1),$O1539:$O1558),3),"")</f>
        <v/>
      </c>
      <c r="HZ1539" s="42" t="str">
        <f t="array" aca="1" ref="HZ1539" ca="1">IFERROR(INDEX(nombres[],SMALL(IF(OFFSET(nombres[],0,0,ROWS(nombres[]),1)=HZ$1490,ROW(OFFSET(nombres[],0,0,ROWS(nombres[]),1))-ROW(OFFSET(nombres[],0,0,1,1))+1,ROW(OFFSET(nombres[],ROWS(nombres[])-1,0,1,1))+1),$O1539:$O1558),3),"")</f>
        <v/>
      </c>
      <c r="IA1539" s="42">
        <f t="array" aca="1" ref="IA1539" ca="1">IFERROR(INDEX(nombres[],SMALL(IF(OFFSET(nombres[],0,0,ROWS(nombres[]),1)=IA$1490,ROW(OFFSET(nombres[],0,0,ROWS(nombres[]),1))-ROW(OFFSET(nombres[],0,0,1,1))+1,ROW(OFFSET(nombres[],ROWS(nombres[])-1,0,1,1))+1),$O1539:$O1558),3),"")</f>
        <v>398</v>
      </c>
      <c r="IB1539" s="42">
        <f t="array" aca="1" ref="IB1539" ca="1">IFERROR(INDEX(nombres[],SMALL(IF(OFFSET(nombres[],0,0,ROWS(nombres[]),1)=IB$1490,ROW(OFFSET(nombres[],0,0,ROWS(nombres[]),1))-ROW(OFFSET(nombres[],0,0,1,1))+1,ROW(OFFSET(nombres[],ROWS(nombres[])-1,0,1,1))+1),$O1539:$O1558),3),"")</f>
        <v>391</v>
      </c>
      <c r="IC1539" s="42">
        <f t="array" aca="1" ref="IC1539" ca="1">IFERROR(INDEX(nombres[],SMALL(IF(OFFSET(nombres[],0,0,ROWS(nombres[]),1)=IC$1490,ROW(OFFSET(nombres[],0,0,ROWS(nombres[]),1))-ROW(OFFSET(nombres[],0,0,1,1))+1,ROW(OFFSET(nombres[],ROWS(nombres[])-1,0,1,1))+1),$O1539:$O1558),3),"")</f>
        <v>392</v>
      </c>
      <c r="ID1539" s="42" t="str">
        <f t="array" aca="1" ref="ID1539" ca="1">IFERROR(INDEX(nombres[],SMALL(IF(OFFSET(nombres[],0,0,ROWS(nombres[]),1)=ID$1490,ROW(OFFSET(nombres[],0,0,ROWS(nombres[]),1))-ROW(OFFSET(nombres[],0,0,1,1))+1,ROW(OFFSET(nombres[],ROWS(nombres[])-1,0,1,1))+1),$O1539:$O1558),3),"")</f>
        <v/>
      </c>
      <c r="IE1539" s="42">
        <f t="array" aca="1" ref="IE1539" ca="1">IFERROR(INDEX(nombres[],SMALL(IF(OFFSET(nombres[],0,0,ROWS(nombres[]),1)=IE$1490,ROW(OFFSET(nombres[],0,0,ROWS(nombres[]),1))-ROW(OFFSET(nombres[],0,0,1,1))+1,ROW(OFFSET(nombres[],ROWS(nombres[])-1,0,1,1))+1),$O1539:$O1558),3),"")</f>
        <v>417</v>
      </c>
      <c r="IF1539" s="42" t="str">
        <f t="array" aca="1" ref="IF1539" ca="1">IFERROR(INDEX(nombres[],SMALL(IF(OFFSET(nombres[],0,0,ROWS(nombres[]),1)=IF$1490,ROW(OFFSET(nombres[],0,0,ROWS(nombres[]),1))-ROW(OFFSET(nombres[],0,0,1,1))+1,ROW(OFFSET(nombres[],ROWS(nombres[])-1,0,1,1))+1),$O1539:$O1558),3),"")</f>
        <v/>
      </c>
      <c r="IG1539" s="42">
        <f t="array" aca="1" ref="IG1539" ca="1">IFERROR(INDEX(nombres[],SMALL(IF(OFFSET(nombres[],0,0,ROWS(nombres[]),1)=IG$1490,ROW(OFFSET(nombres[],0,0,ROWS(nombres[]),1))-ROW(OFFSET(nombres[],0,0,1,1))+1,ROW(OFFSET(nombres[],ROWS(nombres[])-1,0,1,1))+1),$O1539:$O1558),3),"")</f>
        <v>408</v>
      </c>
      <c r="IH1539" s="42" t="str">
        <f t="array" aca="1" ref="IH1539" ca="1">IFERROR(INDEX(nombres[],SMALL(IF(OFFSET(nombres[],0,0,ROWS(nombres[]),1)=IH$1490,ROW(OFFSET(nombres[],0,0,ROWS(nombres[]),1))-ROW(OFFSET(nombres[],0,0,1,1))+1,ROW(OFFSET(nombres[],ROWS(nombres[])-1,0,1,1))+1),$O1539:$O1558),3),"")</f>
        <v/>
      </c>
      <c r="II1539" s="42" t="str">
        <f t="array" aca="1" ref="II1539" ca="1">IFERROR(INDEX(nombres[],SMALL(IF(OFFSET(nombres[],0,0,ROWS(nombres[]),1)=II$1490,ROW(OFFSET(nombres[],0,0,ROWS(nombres[]),1))-ROW(OFFSET(nombres[],0,0,1,1))+1,ROW(OFFSET(nombres[],ROWS(nombres[])-1,0,1,1))+1),$O1539:$O1558),3),"")</f>
        <v/>
      </c>
      <c r="IJ1539" s="42">
        <f t="array" aca="1" ref="IJ1539" ca="1">IFERROR(INDEX(nombres[],SMALL(IF(OFFSET(nombres[],0,0,ROWS(nombres[]),1)=IJ$1490,ROW(OFFSET(nombres[],0,0,ROWS(nombres[]),1))-ROW(OFFSET(nombres[],0,0,1,1))+1,ROW(OFFSET(nombres[],ROWS(nombres[])-1,0,1,1))+1),$O1539:$O1558),3),"")</f>
        <v>397</v>
      </c>
      <c r="IK1539" s="42" t="str">
        <f t="array" aca="1" ref="IK1539" ca="1">IFERROR(INDEX(nombres[],SMALL(IF(OFFSET(nombres[],0,0,ROWS(nombres[]),1)=IK$1490,ROW(OFFSET(nombres[],0,0,ROWS(nombres[]),1))-ROW(OFFSET(nombres[],0,0,1,1))+1,ROW(OFFSET(nombres[],ROWS(nombres[])-1,0,1,1))+1),$O1539:$O1558),3),"")</f>
        <v/>
      </c>
      <c r="IL1539" s="42">
        <f t="array" aca="1" ref="IL1539" ca="1">IFERROR(INDEX(nombres[],SMALL(IF(OFFSET(nombres[],0,0,ROWS(nombres[]),1)=IL$1490,ROW(OFFSET(nombres[],0,0,ROWS(nombres[]),1))-ROW(OFFSET(nombres[],0,0,1,1))+1,ROW(OFFSET(nombres[],ROWS(nombres[])-1,0,1,1))+1),$O1539:$O1558),3),"")</f>
        <v>407</v>
      </c>
      <c r="IM1539" s="42" t="str">
        <f t="array" aca="1" ref="IM1539" ca="1">IFERROR(INDEX(nombres[],SMALL(IF(OFFSET(nombres[],0,0,ROWS(nombres[]),1)=IM$1490,ROW(OFFSET(nombres[],0,0,ROWS(nombres[]),1))-ROW(OFFSET(nombres[],0,0,1,1))+1,ROW(OFFSET(nombres[],ROWS(nombres[])-1,0,1,1))+1),$O1539:$O1558),3),"")</f>
        <v/>
      </c>
      <c r="IN1539" s="42" t="str">
        <f t="array" aca="1" ref="IN1539" ca="1">IFERROR(INDEX(nombres[],SMALL(IF(OFFSET(nombres[],0,0,ROWS(nombres[]),1)=IN$1490,ROW(OFFSET(nombres[],0,0,ROWS(nombres[]),1))-ROW(OFFSET(nombres[],0,0,1,1))+1,ROW(OFFSET(nombres[],ROWS(nombres[])-1,0,1,1))+1),$O1539:$O1558),3),"")</f>
        <v/>
      </c>
      <c r="IO1539" s="42" t="str">
        <f t="array" aca="1" ref="IO1539" ca="1">IFERROR(INDEX(nombres[],SMALL(IF(OFFSET(nombres[],0,0,ROWS(nombres[]),1)=IO$1490,ROW(OFFSET(nombres[],0,0,ROWS(nombres[]),1))-ROW(OFFSET(nombres[],0,0,1,1))+1,ROW(OFFSET(nombres[],ROWS(nombres[])-1,0,1,1))+1),$O1539:$O1558),3),"")</f>
        <v/>
      </c>
      <c r="IP1539" s="42" t="str">
        <f t="array" aca="1" ref="IP1539" ca="1">IFERROR(INDEX(nombres[],SMALL(IF(OFFSET(nombres[],0,0,ROWS(nombres[]),1)=IP$1490,ROW(OFFSET(nombres[],0,0,ROWS(nombres[]),1))-ROW(OFFSET(nombres[],0,0,1,1))+1,ROW(OFFSET(nombres[],ROWS(nombres[])-1,0,1,1))+1),$O1539:$O1558),3),"")</f>
        <v/>
      </c>
      <c r="IQ1539" s="42" t="str">
        <f t="array" aca="1" ref="IQ1539" ca="1">IFERROR(INDEX(nombres[],SMALL(IF(OFFSET(nombres[],0,0,ROWS(nombres[]),1)=IQ$1490,ROW(OFFSET(nombres[],0,0,ROWS(nombres[]),1))-ROW(OFFSET(nombres[],0,0,1,1))+1,ROW(OFFSET(nombres[],ROWS(nombres[])-1,0,1,1))+1),$O1539:$O1558),3),"")</f>
        <v/>
      </c>
      <c r="IR1539" s="42" t="str">
        <f t="array" aca="1" ref="IR1539" ca="1">IFERROR(INDEX(nombres[],SMALL(IF(OFFSET(nombres[],0,0,ROWS(nombres[]),1)=IR$1490,ROW(OFFSET(nombres[],0,0,ROWS(nombres[]),1))-ROW(OFFSET(nombres[],0,0,1,1))+1,ROW(OFFSET(nombres[],ROWS(nombres[])-1,0,1,1))+1),$O1539:$O1558),3),"")</f>
        <v/>
      </c>
      <c r="IS1539" s="42" t="str">
        <f t="array" aca="1" ref="IS1539" ca="1">IFERROR(INDEX(nombres[],SMALL(IF(OFFSET(nombres[],0,0,ROWS(nombres[]),1)=IS$1490,ROW(OFFSET(nombres[],0,0,ROWS(nombres[]),1))-ROW(OFFSET(nombres[],0,0,1,1))+1,ROW(OFFSET(nombres[],ROWS(nombres[])-1,0,1,1))+1),$O1539:$O1558),3),"")</f>
        <v/>
      </c>
      <c r="IT1539" s="42">
        <f t="array" aca="1" ref="IT1539" ca="1">IFERROR(INDEX(nombres[],SMALL(IF(OFFSET(nombres[],0,0,ROWS(nombres[]),1)=IT$1490,ROW(OFFSET(nombres[],0,0,ROWS(nombres[]),1))-ROW(OFFSET(nombres[],0,0,1,1))+1,ROW(OFFSET(nombres[],ROWS(nombres[])-1,0,1,1))+1),$O1539:$O1558),3),"")</f>
        <v>404</v>
      </c>
      <c r="IU1539" s="42" t="str">
        <f t="array" aca="1" ref="IU1539" ca="1">IFERROR(INDEX(nombres[],SMALL(IF(OFFSET(nombres[],0,0,ROWS(nombres[]),1)=IU$1490,ROW(OFFSET(nombres[],0,0,ROWS(nombres[]),1))-ROW(OFFSET(nombres[],0,0,1,1))+1,ROW(OFFSET(nombres[],ROWS(nombres[])-1,0,1,1))+1),$O1539:$O1558),3),"")</f>
        <v/>
      </c>
      <c r="IV1539" s="42" t="str">
        <f t="array" aca="1" ref="IV1539" ca="1">IFERROR(INDEX(nombres[],SMALL(IF(OFFSET(nombres[],0,0,ROWS(nombres[]),1)=IV$1490,ROW(OFFSET(nombres[],0,0,ROWS(nombres[]),1))-ROW(OFFSET(nombres[],0,0,1,1))+1,ROW(OFFSET(nombres[],ROWS(nombres[])-1,0,1,1))+1),$O1539:$O1558),3),"")</f>
        <v/>
      </c>
      <c r="IW1539" s="42" t="str">
        <f t="array" aca="1" ref="IW1539" ca="1">IFERROR(INDEX(nombres[],SMALL(IF(OFFSET(nombres[],0,0,ROWS(nombres[]),1)=IW$1490,ROW(OFFSET(nombres[],0,0,ROWS(nombres[]),1))-ROW(OFFSET(nombres[],0,0,1,1))+1,ROW(OFFSET(nombres[],ROWS(nombres[])-1,0,1,1))+1),$O1539:$O1558),3),"")</f>
        <v/>
      </c>
      <c r="IX1539" s="42" t="str">
        <f t="array" aca="1" ref="IX1539" ca="1">IFERROR(INDEX(nombres[],SMALL(IF(OFFSET(nombres[],0,0,ROWS(nombres[]),1)=IX$1490,ROW(OFFSET(nombres[],0,0,ROWS(nombres[]),1))-ROW(OFFSET(nombres[],0,0,1,1))+1,ROW(OFFSET(nombres[],ROWS(nombres[])-1,0,1,1))+1),$O1539:$O1558),3),"")</f>
        <v/>
      </c>
      <c r="IY1539" s="42" t="str">
        <f t="array" aca="1" ref="IY1539" ca="1">IFERROR(INDEX(nombres[],SMALL(IF(OFFSET(nombres[],0,0,ROWS(nombres[]),1)=IY$1490,ROW(OFFSET(nombres[],0,0,ROWS(nombres[]),1))-ROW(OFFSET(nombres[],0,0,1,1))+1,ROW(OFFSET(nombres[],ROWS(nombres[])-1,0,1,1))+1),$O1539:$O1558),3),"")</f>
        <v/>
      </c>
      <c r="IZ1539" s="42">
        <f t="array" aca="1" ref="IZ1539" ca="1">IFERROR(INDEX(nombres[],SMALL(IF(OFFSET(nombres[],0,0,ROWS(nombres[]),1)=IZ$1490,ROW(OFFSET(nombres[],0,0,ROWS(nombres[]),1))-ROW(OFFSET(nombres[],0,0,1,1))+1,ROW(OFFSET(nombres[],ROWS(nombres[])-1,0,1,1))+1),$O1539:$O1558),3),"")</f>
        <v>577</v>
      </c>
      <c r="JA1539" s="42" t="str">
        <f t="array" aca="1" ref="JA1539" ca="1">IFERROR(INDEX(nombres[],SMALL(IF(OFFSET(nombres[],0,0,ROWS(nombres[]),1)=JA$1490,ROW(OFFSET(nombres[],0,0,ROWS(nombres[]),1))-ROW(OFFSET(nombres[],0,0,1,1))+1,ROW(OFFSET(nombres[],ROWS(nombres[])-1,0,1,1))+1),$O1539:$O1558),3),"")</f>
        <v/>
      </c>
      <c r="JB1539" s="42">
        <f t="array" aca="1" ref="JB1539" ca="1">IFERROR(INDEX(nombres[],SMALL(IF(OFFSET(nombres[],0,0,ROWS(nombres[]),1)=JB$1490,ROW(OFFSET(nombres[],0,0,ROWS(nombres[]),1))-ROW(OFFSET(nombres[],0,0,1,1))+1,ROW(OFFSET(nombres[],ROWS(nombres[])-1,0,1,1))+1),$O1539:$O1558),3),"")</f>
        <v>433</v>
      </c>
      <c r="JC1539" s="42" t="str">
        <f t="array" aca="1" ref="JC1539" ca="1">IFERROR(INDEX(nombres[],SMALL(IF(OFFSET(nombres[],0,0,ROWS(nombres[]),1)=JC$1490,ROW(OFFSET(nombres[],0,0,ROWS(nombres[]),1))-ROW(OFFSET(nombres[],0,0,1,1))+1,ROW(OFFSET(nombres[],ROWS(nombres[])-1,0,1,1))+1),$O1539:$O1558),3),"")</f>
        <v/>
      </c>
      <c r="JD1539" s="42" t="str">
        <f t="array" aca="1" ref="JD1539" ca="1">IFERROR(INDEX(nombres[],SMALL(IF(OFFSET(nombres[],0,0,ROWS(nombres[]),1)=JD$1490,ROW(OFFSET(nombres[],0,0,ROWS(nombres[]),1))-ROW(OFFSET(nombres[],0,0,1,1))+1,ROW(OFFSET(nombres[],ROWS(nombres[])-1,0,1,1))+1),$O1539:$O1558),3),"")</f>
        <v/>
      </c>
      <c r="JE1539" s="42" t="str">
        <f t="array" aca="1" ref="JE1539" ca="1">IFERROR(INDEX(nombres[],SMALL(IF(OFFSET(nombres[],0,0,ROWS(nombres[]),1)=JE$1490,ROW(OFFSET(nombres[],0,0,ROWS(nombres[]),1))-ROW(OFFSET(nombres[],0,0,1,1))+1,ROW(OFFSET(nombres[],ROWS(nombres[])-1,0,1,1))+1),$O1539:$O1558),3),"")</f>
        <v/>
      </c>
      <c r="JF1539" s="42" t="str">
        <f t="array" aca="1" ref="JF1539" ca="1">IFERROR(INDEX(nombres[],SMALL(IF(OFFSET(nombres[],0,0,ROWS(nombres[]),1)=JF$1490,ROW(OFFSET(nombres[],0,0,ROWS(nombres[]),1))-ROW(OFFSET(nombres[],0,0,1,1))+1,ROW(OFFSET(nombres[],ROWS(nombres[])-1,0,1,1))+1),$O1539:$O1558),3),"")</f>
        <v/>
      </c>
      <c r="JG1539" s="42">
        <f t="array" aca="1" ref="JG1539" ca="1">IFERROR(INDEX(nombres[],SMALL(IF(OFFSET(nombres[],0,0,ROWS(nombres[]),1)=JG$1490,ROW(OFFSET(nombres[],0,0,ROWS(nombres[]),1))-ROW(OFFSET(nombres[],0,0,1,1))+1,ROW(OFFSET(nombres[],ROWS(nombres[])-1,0,1,1))+1),$O1539:$O1558),3),"")</f>
        <v>607</v>
      </c>
      <c r="JH1539" s="42">
        <f t="array" aca="1" ref="JH1539" ca="1">IFERROR(INDEX(nombres[],SMALL(IF(OFFSET(nombres[],0,0,ROWS(nombres[]),1)=JH$1490,ROW(OFFSET(nombres[],0,0,ROWS(nombres[]),1))-ROW(OFFSET(nombres[],0,0,1,1))+1,ROW(OFFSET(nombres[],ROWS(nombres[])-1,0,1,1))+1),$O1539:$O1558),3),"")</f>
        <v>647</v>
      </c>
      <c r="JI1539" s="42" t="str">
        <f t="array" aca="1" ref="JI1539" ca="1">IFERROR(INDEX(nombres[],SMALL(IF(OFFSET(nombres[],0,0,ROWS(nombres[]),1)=JI$1490,ROW(OFFSET(nombres[],0,0,ROWS(nombres[]),1))-ROW(OFFSET(nombres[],0,0,1,1))+1,ROW(OFFSET(nombres[],ROWS(nombres[])-1,0,1,1))+1),$O1539:$O1558),3),"")</f>
        <v/>
      </c>
      <c r="JJ1539" s="42" t="str">
        <f t="array" aca="1" ref="JJ1539" ca="1">IFERROR(INDEX(nombres[],SMALL(IF(OFFSET(nombres[],0,0,ROWS(nombres[]),1)=JJ$1490,ROW(OFFSET(nombres[],0,0,ROWS(nombres[]),1))-ROW(OFFSET(nombres[],0,0,1,1))+1,ROW(OFFSET(nombres[],ROWS(nombres[])-1,0,1,1))+1),$O1539:$O1558),3),"")</f>
        <v/>
      </c>
      <c r="JK1539" s="42" t="str">
        <f t="array" aca="1" ref="JK1539" ca="1">IFERROR(INDEX(nombres[],SMALL(IF(OFFSET(nombres[],0,0,ROWS(nombres[]),1)=JK$1490,ROW(OFFSET(nombres[],0,0,ROWS(nombres[]),1))-ROW(OFFSET(nombres[],0,0,1,1))+1,ROW(OFFSET(nombres[],ROWS(nombres[])-1,0,1,1))+1),$O1539:$O1558),3),"")</f>
        <v/>
      </c>
      <c r="JL1539" s="42" t="str">
        <f t="array" aca="1" ref="JL1539" ca="1">IFERROR(INDEX(nombres[],SMALL(IF(OFFSET(nombres[],0,0,ROWS(nombres[]),1)=JL$1490,ROW(OFFSET(nombres[],0,0,ROWS(nombres[]),1))-ROW(OFFSET(nombres[],0,0,1,1))+1,ROW(OFFSET(nombres[],ROWS(nombres[])-1,0,1,1))+1),$O1539:$O1558),3),"")</f>
        <v/>
      </c>
      <c r="JM1539" s="42" t="str">
        <f t="array" aca="1" ref="JM1539" ca="1">IFERROR(INDEX(nombres[],SMALL(IF(OFFSET(nombres[],0,0,ROWS(nombres[]),1)=JM$1490,ROW(OFFSET(nombres[],0,0,ROWS(nombres[]),1))-ROW(OFFSET(nombres[],0,0,1,1))+1,ROW(OFFSET(nombres[],ROWS(nombres[])-1,0,1,1))+1),$O1539:$O1558),3),"")</f>
        <v/>
      </c>
      <c r="JN1539" s="42">
        <f t="array" aca="1" ref="JN1539" ca="1">IFERROR(INDEX(nombres[],SMALL(IF(OFFSET(nombres[],0,0,ROWS(nombres[]),1)=JN$1490,ROW(OFFSET(nombres[],0,0,ROWS(nombres[]),1))-ROW(OFFSET(nombres[],0,0,1,1))+1,ROW(OFFSET(nombres[],ROWS(nombres[])-1,0,1,1))+1),$O1539:$O1558),3),"")</f>
        <v>441</v>
      </c>
      <c r="JO1539" s="42" t="str">
        <f t="array" aca="1" ref="JO1539" ca="1">IFERROR(INDEX(nombres[],SMALL(IF(OFFSET(nombres[],0,0,ROWS(nombres[]),1)=JO$1490,ROW(OFFSET(nombres[],0,0,ROWS(nombres[]),1))-ROW(OFFSET(nombres[],0,0,1,1))+1,ROW(OFFSET(nombres[],ROWS(nombres[])-1,0,1,1))+1),$O1539:$O1558),3),"")</f>
        <v/>
      </c>
      <c r="JP1539" s="42">
        <f t="array" aca="1" ref="JP1539" ca="1">IFERROR(INDEX(nombres[],SMALL(IF(OFFSET(nombres[],0,0,ROWS(nombres[]),1)=JP$1490,ROW(OFFSET(nombres[],0,0,ROWS(nombres[]),1))-ROW(OFFSET(nombres[],0,0,1,1))+1,ROW(OFFSET(nombres[],ROWS(nombres[])-1,0,1,1))+1),$O1539:$O1558),3),"")</f>
        <v>572</v>
      </c>
      <c r="JQ1539" s="42">
        <f t="array" aca="1" ref="JQ1539" ca="1">IFERROR(INDEX(nombres[],SMALL(IF(OFFSET(nombres[],0,0,ROWS(nombres[]),1)=JQ$1490,ROW(OFFSET(nombres[],0,0,ROWS(nombres[]),1))-ROW(OFFSET(nombres[],0,0,1,1))+1,ROW(OFFSET(nombres[],ROWS(nombres[])-1,0,1,1))+1),$O1539:$O1558),3),"")</f>
        <v>586</v>
      </c>
      <c r="JR1539" s="42" t="str">
        <f t="array" aca="1" ref="JR1539" ca="1">IFERROR(INDEX(nombres[],SMALL(IF(OFFSET(nombres[],0,0,ROWS(nombres[]),1)=JR$1490,ROW(OFFSET(nombres[],0,0,ROWS(nombres[]),1))-ROW(OFFSET(nombres[],0,0,1,1))+1,ROW(OFFSET(nombres[],ROWS(nombres[])-1,0,1,1))+1),$O1539:$O1558),3),"")</f>
        <v/>
      </c>
      <c r="JS1539" s="42">
        <f t="array" aca="1" ref="JS1539" ca="1">IFERROR(INDEX(nombres[],SMALL(IF(OFFSET(nombres[],0,0,ROWS(nombres[]),1)=JS$1490,ROW(OFFSET(nombres[],0,0,ROWS(nombres[]),1))-ROW(OFFSET(nombres[],0,0,1,1))+1,ROW(OFFSET(nombres[],ROWS(nombres[])-1,0,1,1))+1),$O1539:$O1558),3),"")</f>
        <v>566</v>
      </c>
      <c r="JT1539" s="42" t="str">
        <f t="array" aca="1" ref="JT1539" ca="1">IFERROR(INDEX(nombres[],SMALL(IF(OFFSET(nombres[],0,0,ROWS(nombres[]),1)=JT$1490,ROW(OFFSET(nombres[],0,0,ROWS(nombres[]),1))-ROW(OFFSET(nombres[],0,0,1,1))+1,ROW(OFFSET(nombres[],ROWS(nombres[])-1,0,1,1))+1),$O1539:$O1558),3),"")</f>
        <v/>
      </c>
      <c r="JU1539" s="42" t="str">
        <f t="array" aca="1" ref="JU1539" ca="1">IFERROR(INDEX(nombres[],SMALL(IF(OFFSET(nombres[],0,0,ROWS(nombres[]),1)=JU$1490,ROW(OFFSET(nombres[],0,0,ROWS(nombres[]),1))-ROW(OFFSET(nombres[],0,0,1,1))+1,ROW(OFFSET(nombres[],ROWS(nombres[])-1,0,1,1))+1),$O1539:$O1558),3),"")</f>
        <v/>
      </c>
      <c r="JV1539" s="42" t="str">
        <f t="array" aca="1" ref="JV1539" ca="1">IFERROR(INDEX(nombres[],SMALL(IF(OFFSET(nombres[],0,0,ROWS(nombres[]),1)=JV$1490,ROW(OFFSET(nombres[],0,0,ROWS(nombres[]),1))-ROW(OFFSET(nombres[],0,0,1,1))+1,ROW(OFFSET(nombres[],ROWS(nombres[])-1,0,1,1))+1),$O1539:$O1558),3),"")</f>
        <v/>
      </c>
      <c r="JW1539" s="42" t="str">
        <f t="array" aca="1" ref="JW1539" ca="1">IFERROR(INDEX(nombres[],SMALL(IF(OFFSET(nombres[],0,0,ROWS(nombres[]),1)=JW$1490,ROW(OFFSET(nombres[],0,0,ROWS(nombres[]),1))-ROW(OFFSET(nombres[],0,0,1,1))+1,ROW(OFFSET(nombres[],ROWS(nombres[])-1,0,1,1))+1),$O1539:$O1558),3),"")</f>
        <v/>
      </c>
      <c r="JX1539" s="42" t="str">
        <f t="array" aca="1" ref="JX1539" ca="1">IFERROR(INDEX(nombres[],SMALL(IF(OFFSET(nombres[],0,0,ROWS(nombres[]),1)=JX$1490,ROW(OFFSET(nombres[],0,0,ROWS(nombres[]),1))-ROW(OFFSET(nombres[],0,0,1,1))+1,ROW(OFFSET(nombres[],ROWS(nombres[])-1,0,1,1))+1),$O1539:$O1558),3),"")</f>
        <v/>
      </c>
      <c r="JY1539" s="42">
        <f t="array" aca="1" ref="JY1539" ca="1">IFERROR(INDEX(nombres[],SMALL(IF(OFFSET(nombres[],0,0,ROWS(nombres[]),1)=JY$1490,ROW(OFFSET(nombres[],0,0,ROWS(nombres[]),1))-ROW(OFFSET(nombres[],0,0,1,1))+1,ROW(OFFSET(nombres[],ROWS(nombres[])-1,0,1,1))+1),$O1539:$O1558),3),"")</f>
        <v>593</v>
      </c>
      <c r="JZ1539" s="42">
        <f t="array" aca="1" ref="JZ1539" ca="1">IFERROR(INDEX(nombres[],SMALL(IF(OFFSET(nombres[],0,0,ROWS(nombres[]),1)=JZ$1490,ROW(OFFSET(nombres[],0,0,ROWS(nombres[]),1))-ROW(OFFSET(nombres[],0,0,1,1))+1,ROW(OFFSET(nombres[],ROWS(nombres[])-1,0,1,1))+1),$O1539:$O1558),3),"")</f>
        <v>569</v>
      </c>
      <c r="KA1539" s="42" t="str">
        <f t="array" aca="1" ref="KA1539" ca="1">IFERROR(INDEX(nombres[],SMALL(IF(OFFSET(nombres[],0,0,ROWS(nombres[]),1)=KA$1490,ROW(OFFSET(nombres[],0,0,ROWS(nombres[]),1))-ROW(OFFSET(nombres[],0,0,1,1))+1,ROW(OFFSET(nombres[],ROWS(nombres[])-1,0,1,1))+1),$O1539:$O1558),3),"")</f>
        <v/>
      </c>
      <c r="KB1539" s="42">
        <f t="array" aca="1" ref="KB1539" ca="1">IFERROR(INDEX(nombres[],SMALL(IF(OFFSET(nombres[],0,0,ROWS(nombres[]),1)=KB$1490,ROW(OFFSET(nombres[],0,0,ROWS(nombres[]),1))-ROW(OFFSET(nombres[],0,0,1,1))+1,ROW(OFFSET(nombres[],ROWS(nombres[])-1,0,1,1))+1),$O1539:$O1558),3),"")</f>
        <v>603</v>
      </c>
      <c r="KC1539" s="42">
        <f t="array" aca="1" ref="KC1539" ca="1">IFERROR(INDEX(nombres[],SMALL(IF(OFFSET(nombres[],0,0,ROWS(nombres[]),1)=KC$1490,ROW(OFFSET(nombres[],0,0,ROWS(nombres[]),1))-ROW(OFFSET(nombres[],0,0,1,1))+1,ROW(OFFSET(nombres[],ROWS(nombres[])-1,0,1,1))+1),$O1539:$O1558),3),"")</f>
        <v>599</v>
      </c>
      <c r="KD1539" s="42" t="str">
        <f t="array" aca="1" ref="KD1539" ca="1">IFERROR(INDEX(nombres[],SMALL(IF(OFFSET(nombres[],0,0,ROWS(nombres[]),1)=KD$1490,ROW(OFFSET(nombres[],0,0,ROWS(nombres[]),1))-ROW(OFFSET(nombres[],0,0,1,1))+1,ROW(OFFSET(nombres[],ROWS(nombres[])-1,0,1,1))+1),$O1539:$O1558),3),"")</f>
        <v/>
      </c>
      <c r="KE1539" s="42">
        <f t="array" aca="1" ref="KE1539" ca="1">IFERROR(INDEX(nombres[],SMALL(IF(OFFSET(nombres[],0,0,ROWS(nombres[]),1)=KE$1490,ROW(OFFSET(nombres[],0,0,ROWS(nombres[]),1))-ROW(OFFSET(nombres[],0,0,1,1))+1,ROW(OFFSET(nombres[],ROWS(nombres[])-1,0,1,1))+1),$O1539:$O1558),3),"")</f>
        <v>580</v>
      </c>
      <c r="KF1539" s="42">
        <f t="array" aca="1" ref="KF1539" ca="1">IFERROR(INDEX(nombres[],SMALL(IF(OFFSET(nombres[],0,0,ROWS(nombres[]),1)=KF$1490,ROW(OFFSET(nombres[],0,0,ROWS(nombres[]),1))-ROW(OFFSET(nombres[],0,0,1,1))+1,ROW(OFFSET(nombres[],ROWS(nombres[])-1,0,1,1))+1),$O1539:$O1558),3),"")</f>
        <v>438</v>
      </c>
      <c r="KG1539" s="42" t="str">
        <f t="array" aca="1" ref="KG1539" ca="1">IFERROR(INDEX(nombres[],SMALL(IF(OFFSET(nombres[],0,0,ROWS(nombres[]),1)=KG$1490,ROW(OFFSET(nombres[],0,0,ROWS(nombres[]),1))-ROW(OFFSET(nombres[],0,0,1,1))+1,ROW(OFFSET(nombres[],ROWS(nombres[])-1,0,1,1))+1),$O1539:$O1558),3),"")</f>
        <v/>
      </c>
      <c r="KH1539" s="42" t="str">
        <f t="array" aca="1" ref="KH1539" ca="1">IFERROR(INDEX(nombres[],SMALL(IF(OFFSET(nombres[],0,0,ROWS(nombres[]),1)=KH$1490,ROW(OFFSET(nombres[],0,0,ROWS(nombres[]),1))-ROW(OFFSET(nombres[],0,0,1,1))+1,ROW(OFFSET(nombres[],ROWS(nombres[])-1,0,1,1))+1),$O1539:$O1558),3),"")</f>
        <v/>
      </c>
      <c r="KI1539" s="42">
        <f t="array" aca="1" ref="KI1539" ca="1">IFERROR(INDEX(nombres[],SMALL(IF(OFFSET(nombres[],0,0,ROWS(nombres[]),1)=KI$1490,ROW(OFFSET(nombres[],0,0,ROWS(nombres[]),1))-ROW(OFFSET(nombres[],0,0,1,1))+1,ROW(OFFSET(nombres[],ROWS(nombres[])-1,0,1,1))+1),$O1539:$O1558),3),"")</f>
        <v>447</v>
      </c>
      <c r="KJ1539" s="42" t="str">
        <f t="array" aca="1" ref="KJ1539" ca="1">IFERROR(INDEX(nombres[],SMALL(IF(OFFSET(nombres[],0,0,ROWS(nombres[]),1)=KJ$1490,ROW(OFFSET(nombres[],0,0,ROWS(nombres[]),1))-ROW(OFFSET(nombres[],0,0,1,1))+1,ROW(OFFSET(nombres[],ROWS(nombres[])-1,0,1,1))+1),$O1539:$O1558),3),"")</f>
        <v/>
      </c>
      <c r="KK1539" s="42">
        <f t="array" aca="1" ref="KK1539" ca="1">IFERROR(INDEX(nombres[],SMALL(IF(OFFSET(nombres[],0,0,ROWS(nombres[]),1)=KK$1490,ROW(OFFSET(nombres[],0,0,ROWS(nombres[]),1))-ROW(OFFSET(nombres[],0,0,1,1))+1,ROW(OFFSET(nombres[],ROWS(nombres[])-1,0,1,1))+1),$O1539:$O1558),3),"")</f>
        <v>454</v>
      </c>
      <c r="KL1539" s="42" t="str">
        <f t="array" aca="1" ref="KL1539" ca="1">IFERROR(INDEX(nombres[],SMALL(IF(OFFSET(nombres[],0,0,ROWS(nombres[]),1)=KL$1490,ROW(OFFSET(nombres[],0,0,ROWS(nombres[]),1))-ROW(OFFSET(nombres[],0,0,1,1))+1,ROW(OFFSET(nombres[],ROWS(nombres[])-1,0,1,1))+1),$O1539:$O1558),3),"")</f>
        <v/>
      </c>
      <c r="KM1539" s="42" t="str">
        <f t="array" aca="1" ref="KM1539" ca="1">IFERROR(INDEX(nombres[],SMALL(IF(OFFSET(nombres[],0,0,ROWS(nombres[]),1)=KM$1490,ROW(OFFSET(nombres[],0,0,ROWS(nombres[]),1))-ROW(OFFSET(nombres[],0,0,1,1))+1,ROW(OFFSET(nombres[],ROWS(nombres[])-1,0,1,1))+1),$O1539:$O1558),3),"")</f>
        <v/>
      </c>
      <c r="KN1539" s="42" t="str">
        <f t="array" aca="1" ref="KN1539" ca="1">IFERROR(INDEX(nombres[],SMALL(IF(OFFSET(nombres[],0,0,ROWS(nombres[]),1)=KN$1490,ROW(OFFSET(nombres[],0,0,ROWS(nombres[]),1))-ROW(OFFSET(nombres[],0,0,1,1))+1,ROW(OFFSET(nombres[],ROWS(nombres[])-1,0,1,1))+1),$O1539:$O1558),3),"")</f>
        <v/>
      </c>
      <c r="KO1539" s="42" t="str">
        <f t="array" aca="1" ref="KO1539" ca="1">IFERROR(INDEX(nombres[],SMALL(IF(OFFSET(nombres[],0,0,ROWS(nombres[]),1)=KO$1490,ROW(OFFSET(nombres[],0,0,ROWS(nombres[]),1))-ROW(OFFSET(nombres[],0,0,1,1))+1,ROW(OFFSET(nombres[],ROWS(nombres[])-1,0,1,1))+1),$O1539:$O1558),3),"")</f>
        <v/>
      </c>
      <c r="KP1539" s="42">
        <f t="array" aca="1" ref="KP1539" ca="1">IFERROR(INDEX(nombres[],SMALL(IF(OFFSET(nombres[],0,0,ROWS(nombres[]),1)=KP$1490,ROW(OFFSET(nombres[],0,0,ROWS(nombres[]),1))-ROW(OFFSET(nombres[],0,0,1,1))+1,ROW(OFFSET(nombres[],ROWS(nombres[])-1,0,1,1))+1),$O1539:$O1558),3),"")</f>
        <v>451</v>
      </c>
      <c r="KQ1539" s="42" t="str">
        <f t="array" aca="1" ref="KQ1539" ca="1">IFERROR(INDEX(nombres[],SMALL(IF(OFFSET(nombres[],0,0,ROWS(nombres[]),1)=KQ$1490,ROW(OFFSET(nombres[],0,0,ROWS(nombres[]),1))-ROW(OFFSET(nombres[],0,0,1,1))+1,ROW(OFFSET(nombres[],ROWS(nombres[])-1,0,1,1))+1),$O1539:$O1558),3),"")</f>
        <v/>
      </c>
      <c r="KR1539" s="42">
        <f t="array" aca="1" ref="KR1539" ca="1">IFERROR(INDEX(nombres[],SMALL(IF(OFFSET(nombres[],0,0,ROWS(nombres[]),1)=KR$1490,ROW(OFFSET(nombres[],0,0,ROWS(nombres[]),1))-ROW(OFFSET(nombres[],0,0,1,1))+1,ROW(OFFSET(nombres[],ROWS(nombres[])-1,0,1,1))+1),$O1539:$O1558),3),"")</f>
        <v>653</v>
      </c>
      <c r="KS1539" s="42" t="str">
        <f t="array" aca="1" ref="KS1539" ca="1">IFERROR(INDEX(nombres[],SMALL(IF(OFFSET(nombres[],0,0,ROWS(nombres[]),1)=KS$1490,ROW(OFFSET(nombres[],0,0,ROWS(nombres[]),1))-ROW(OFFSET(nombres[],0,0,1,1))+1,ROW(OFFSET(nombres[],ROWS(nombres[])-1,0,1,1))+1),$O1539:$O1558),3),"")</f>
        <v/>
      </c>
      <c r="KT1539" s="42">
        <f t="array" aca="1" ref="KT1539" ca="1">IFERROR(INDEX(nombres[],SMALL(IF(OFFSET(nombres[],0,0,ROWS(nombres[]),1)=KT$1490,ROW(OFFSET(nombres[],0,0,ROWS(nombres[]),1))-ROW(OFFSET(nombres[],0,0,1,1))+1,ROW(OFFSET(nombres[],ROWS(nombres[])-1,0,1,1))+1),$O1539:$O1558),3),"")</f>
        <v>461</v>
      </c>
      <c r="KU1539" s="42">
        <f t="array" aca="1" ref="KU1539" ca="1">IFERROR(INDEX(nombres[],SMALL(IF(OFFSET(nombres[],0,0,ROWS(nombres[]),1)=KU$1490,ROW(OFFSET(nombres[],0,0,ROWS(nombres[]),1))-ROW(OFFSET(nombres[],0,0,1,1))+1,ROW(OFFSET(nombres[],ROWS(nombres[])-1,0,1,1))+1),$O1539:$O1558),3),"")</f>
        <v>464</v>
      </c>
      <c r="KV1539" s="42">
        <f t="array" aca="1" ref="KV1539" ca="1">IFERROR(INDEX(nombres[],SMALL(IF(OFFSET(nombres[],0,0,ROWS(nombres[]),1)=KV$1490,ROW(OFFSET(nombres[],0,0,ROWS(nombres[]),1))-ROW(OFFSET(nombres[],0,0,1,1))+1,ROW(OFFSET(nombres[],ROWS(nombres[])-1,0,1,1))+1),$O1539:$O1558),3),"")</f>
        <v>472</v>
      </c>
      <c r="KW1539" s="42">
        <f t="array" aca="1" ref="KW1539" ca="1">IFERROR(INDEX(nombres[],SMALL(IF(OFFSET(nombres[],0,0,ROWS(nombres[]),1)=KW$1490,ROW(OFFSET(nombres[],0,0,ROWS(nombres[]),1))-ROW(OFFSET(nombres[],0,0,1,1))+1,ROW(OFFSET(nombres[],ROWS(nombres[])-1,0,1,1))+1),$O1539:$O1558),3),"")</f>
        <v>475</v>
      </c>
      <c r="KX1539" s="42">
        <f t="array" aca="1" ref="KX1539" ca="1">IFERROR(INDEX(nombres[],SMALL(IF(OFFSET(nombres[],0,0,ROWS(nombres[]),1)=KX$1490,ROW(OFFSET(nombres[],0,0,ROWS(nombres[]),1))-ROW(OFFSET(nombres[],0,0,1,1))+1,ROW(OFFSET(nombres[],ROWS(nombres[])-1,0,1,1))+1),$O1539:$O1558),3),"")</f>
        <v>508</v>
      </c>
      <c r="KY1539" s="42">
        <f t="array" aca="1" ref="KY1539" ca="1">IFERROR(INDEX(nombres[],SMALL(IF(OFFSET(nombres[],0,0,ROWS(nombres[]),1)=KY$1490,ROW(OFFSET(nombres[],0,0,ROWS(nombres[]),1))-ROW(OFFSET(nombres[],0,0,1,1))+1,ROW(OFFSET(nombres[],ROWS(nombres[])-1,0,1,1))+1),$O1539:$O1558),3),"")</f>
        <v>500</v>
      </c>
      <c r="KZ1539" s="42">
        <f t="array" aca="1" ref="KZ1539" ca="1">IFERROR(INDEX(nombres[],SMALL(IF(OFFSET(nombres[],0,0,ROWS(nombres[]),1)=KZ$1490,ROW(OFFSET(nombres[],0,0,ROWS(nombres[]),1))-ROW(OFFSET(nombres[],0,0,1,1))+1,ROW(OFFSET(nombres[],ROWS(nombres[])-1,0,1,1))+1),$O1539:$O1558),3),"")</f>
        <v>517</v>
      </c>
      <c r="LA1539" s="42" t="str">
        <f t="array" aca="1" ref="LA1539" ca="1">IFERROR(INDEX(nombres[],SMALL(IF(OFFSET(nombres[],0,0,ROWS(nombres[]),1)=LA$1490,ROW(OFFSET(nombres[],0,0,ROWS(nombres[]),1))-ROW(OFFSET(nombres[],0,0,1,1))+1,ROW(OFFSET(nombres[],ROWS(nombres[])-1,0,1,1))+1),$O1539:$O1558),3),"")</f>
        <v/>
      </c>
      <c r="LB1539" s="42">
        <f t="array" aca="1" ref="LB1539" ca="1">IFERROR(INDEX(nombres[],SMALL(IF(OFFSET(nombres[],0,0,ROWS(nombres[]),1)=LB$1490,ROW(OFFSET(nombres[],0,0,ROWS(nombres[]),1))-ROW(OFFSET(nombres[],0,0,1,1))+1,ROW(OFFSET(nombres[],ROWS(nombres[])-1,0,1,1))+1),$O1539:$O1558),3),"")</f>
        <v>496</v>
      </c>
      <c r="LC1539" s="42" t="str">
        <f t="array" aca="1" ref="LC1539" ca="1">IFERROR(INDEX(nombres[],SMALL(IF(OFFSET(nombres[],0,0,ROWS(nombres[]),1)=LC$1490,ROW(OFFSET(nombres[],0,0,ROWS(nombres[]),1))-ROW(OFFSET(nombres[],0,0,1,1))+1,ROW(OFFSET(nombres[],ROWS(nombres[])-1,0,1,1))+1),$O1539:$O1558),3),"")</f>
        <v/>
      </c>
      <c r="LD1539" s="42" t="str">
        <f t="array" aca="1" ref="LD1539" ca="1">IFERROR(INDEX(nombres[],SMALL(IF(OFFSET(nombres[],0,0,ROWS(nombres[]),1)=LD$1490,ROW(OFFSET(nombres[],0,0,ROWS(nombres[]),1))-ROW(OFFSET(nombres[],0,0,1,1))+1,ROW(OFFSET(nombres[],ROWS(nombres[])-1,0,1,1))+1),$O1539:$O1558),3),"")</f>
        <v/>
      </c>
      <c r="LE1539" s="42">
        <f t="array" aca="1" ref="LE1539" ca="1">IFERROR(INDEX(nombres[],SMALL(IF(OFFSET(nombres[],0,0,ROWS(nombres[]),1)=LE$1490,ROW(OFFSET(nombres[],0,0,ROWS(nombres[]),1))-ROW(OFFSET(nombres[],0,0,1,1))+1,ROW(OFFSET(nombres[],ROWS(nombres[])-1,0,1,1))+1),$O1539:$O1558),3),"")</f>
        <v>524</v>
      </c>
      <c r="LF1539" s="42" t="str">
        <f t="array" aca="1" ref="LF1539" ca="1">IFERROR(INDEX(nombres[],SMALL(IF(OFFSET(nombres[],0,0,ROWS(nombres[]),1)=LF$1490,ROW(OFFSET(nombres[],0,0,ROWS(nombres[]),1))-ROW(OFFSET(nombres[],0,0,1,1))+1,ROW(OFFSET(nombres[],ROWS(nombres[])-1,0,1,1))+1),$O1539:$O1558),3),"")</f>
        <v/>
      </c>
      <c r="LG1539" s="42" t="str">
        <f t="array" aca="1" ref="LG1539" ca="1">IFERROR(INDEX(nombres[],SMALL(IF(OFFSET(nombres[],0,0,ROWS(nombres[]),1)=LG$1490,ROW(OFFSET(nombres[],0,0,ROWS(nombres[]),1))-ROW(OFFSET(nombres[],0,0,1,1))+1,ROW(OFFSET(nombres[],ROWS(nombres[])-1,0,1,1))+1),$O1539:$O1558),3),"")</f>
        <v/>
      </c>
      <c r="LH1539" s="42">
        <f t="array" aca="1" ref="LH1539" ca="1">IFERROR(INDEX(nombres[],SMALL(IF(OFFSET(nombres[],0,0,ROWS(nombres[]),1)=LH$1490,ROW(OFFSET(nombres[],0,0,ROWS(nombres[]),1))-ROW(OFFSET(nombres[],0,0,1,1))+1,ROW(OFFSET(nombres[],ROWS(nombres[])-1,0,1,1))+1),$O1539:$O1558),3),"")</f>
        <v>512</v>
      </c>
      <c r="LI1539" s="42">
        <f t="array" aca="1" ref="LI1539" ca="1">IFERROR(INDEX(nombres[],SMALL(IF(OFFSET(nombres[],0,0,ROWS(nombres[]),1)=LI$1490,ROW(OFFSET(nombres[],0,0,ROWS(nombres[]),1))-ROW(OFFSET(nombres[],0,0,1,1))+1,ROW(OFFSET(nombres[],ROWS(nombres[])-1,0,1,1))+1),$O1539:$O1558),3),"")</f>
        <v>489</v>
      </c>
      <c r="LJ1539" s="42" t="str">
        <f t="array" aca="1" ref="LJ1539" ca="1">IFERROR(INDEX(nombres[],SMALL(IF(OFFSET(nombres[],0,0,ROWS(nombres[]),1)=LJ$1490,ROW(OFFSET(nombres[],0,0,ROWS(nombres[]),1))-ROW(OFFSET(nombres[],0,0,1,1))+1,ROW(OFFSET(nombres[],ROWS(nombres[])-1,0,1,1))+1),$O1539:$O1558),3),"")</f>
        <v/>
      </c>
      <c r="LK1539" s="42" t="str">
        <f t="array" aca="1" ref="LK1539" ca="1">IFERROR(INDEX(nombres[],SMALL(IF(OFFSET(nombres[],0,0,ROWS(nombres[]),1)=LK$1490,ROW(OFFSET(nombres[],0,0,ROWS(nombres[]),1))-ROW(OFFSET(nombres[],0,0,1,1))+1,ROW(OFFSET(nombres[],ROWS(nombres[])-1,0,1,1))+1),$O1539:$O1558),3),"")</f>
        <v/>
      </c>
      <c r="LL1539" s="42" t="str">
        <f t="array" aca="1" ref="LL1539" ca="1">IFERROR(INDEX(nombres[],SMALL(IF(OFFSET(nombres[],0,0,ROWS(nombres[]),1)=LL$1490,ROW(OFFSET(nombres[],0,0,ROWS(nombres[]),1))-ROW(OFFSET(nombres[],0,0,1,1))+1,ROW(OFFSET(nombres[],ROWS(nombres[])-1,0,1,1))+1),$O1539:$O1558),3),"")</f>
        <v/>
      </c>
      <c r="LM1539" s="42">
        <f t="array" aca="1" ref="LM1539" ca="1">IFERROR(INDEX(nombres[],SMALL(IF(OFFSET(nombres[],0,0,ROWS(nombres[]),1)=LM$1490,ROW(OFFSET(nombres[],0,0,ROWS(nombres[]),1))-ROW(OFFSET(nombres[],0,0,1,1))+1,ROW(OFFSET(nombres[],ROWS(nombres[])-1,0,1,1))+1),$O1539:$O1558),3),"")</f>
        <v>527</v>
      </c>
      <c r="LN1539" s="42">
        <f t="array" aca="1" ref="LN1539" ca="1">IFERROR(INDEX(nombres[],SMALL(IF(OFFSET(nombres[],0,0,ROWS(nombres[]),1)=LN$1490,ROW(OFFSET(nombres[],0,0,ROWS(nombres[]),1))-ROW(OFFSET(nombres[],0,0,1,1))+1,ROW(OFFSET(nombres[],ROWS(nombres[])-1,0,1,1))+1),$O1539:$O1558),3),"")</f>
        <v>503</v>
      </c>
      <c r="LO1539" s="42">
        <f t="array" aca="1" ref="LO1539" ca="1">IFERROR(INDEX(nombres[],SMALL(IF(OFFSET(nombres[],0,0,ROWS(nombres[]),1)=LO$1490,ROW(OFFSET(nombres[],0,0,ROWS(nombres[]),1))-ROW(OFFSET(nombres[],0,0,1,1))+1,ROW(OFFSET(nombres[],ROWS(nombres[])-1,0,1,1))+1),$O1539:$O1558),3),"")</f>
        <v>482</v>
      </c>
      <c r="LP1539" s="42" t="str">
        <f t="array" aca="1" ref="LP1539" ca="1">IFERROR(INDEX(nombres[],SMALL(IF(OFFSET(nombres[],0,0,ROWS(nombres[]),1)=LP$1490,ROW(OFFSET(nombres[],0,0,ROWS(nombres[]),1))-ROW(OFFSET(nombres[],0,0,1,1))+1,ROW(OFFSET(nombres[],ROWS(nombres[])-1,0,1,1))+1),$O1539:$O1558),3),"")</f>
        <v/>
      </c>
      <c r="LQ1539" s="42">
        <f t="array" aca="1" ref="LQ1539" ca="1">IFERROR(INDEX(nombres[],SMALL(IF(OFFSET(nombres[],0,0,ROWS(nombres[]),1)=LQ$1490,ROW(OFFSET(nombres[],0,0,ROWS(nombres[]),1))-ROW(OFFSET(nombres[],0,0,1,1))+1,ROW(OFFSET(nombres[],ROWS(nombres[])-1,0,1,1))+1),$O1539:$O1558),3),"")</f>
        <v>479</v>
      </c>
      <c r="LR1539" s="42" t="str">
        <f t="array" aca="1" ref="LR1539" ca="1">IFERROR(INDEX(nombres[],SMALL(IF(OFFSET(nombres[],0,0,ROWS(nombres[]),1)=LR$1490,ROW(OFFSET(nombres[],0,0,ROWS(nombres[]),1))-ROW(OFFSET(nombres[],0,0,1,1))+1,ROW(OFFSET(nombres[],ROWS(nombres[])-1,0,1,1))+1),$O1539:$O1558),3),"")</f>
        <v/>
      </c>
      <c r="LS1539" s="42">
        <f t="array" aca="1" ref="LS1539" ca="1">IFERROR(INDEX(nombres[],SMALL(IF(OFFSET(nombres[],0,0,ROWS(nombres[]),1)=LS$1490,ROW(OFFSET(nombres[],0,0,ROWS(nombres[]),1))-ROW(OFFSET(nombres[],0,0,1,1))+1,ROW(OFFSET(nombres[],ROWS(nombres[])-1,0,1,1))+1),$O1539:$O1558),3),"")</f>
        <v>532</v>
      </c>
      <c r="LT1539" s="42" t="str">
        <f t="array" aca="1" ref="LT1539" ca="1">IFERROR(INDEX(nombres[],SMALL(IF(OFFSET(nombres[],0,0,ROWS(nombres[]),1)=LT$1490,ROW(OFFSET(nombres[],0,0,ROWS(nombres[]),1))-ROW(OFFSET(nombres[],0,0,1,1))+1,ROW(OFFSET(nombres[],ROWS(nombres[])-1,0,1,1))+1),$O1539:$O1558),3),"")</f>
        <v/>
      </c>
      <c r="LU1539" s="42">
        <f t="array" aca="1" ref="LU1539" ca="1">IFERROR(INDEX(nombres[],SMALL(IF(OFFSET(nombres[],0,0,ROWS(nombres[]),1)=LU$1490,ROW(OFFSET(nombres[],0,0,ROWS(nombres[]),1))-ROW(OFFSET(nombres[],0,0,1,1))+1,ROW(OFFSET(nombres[],ROWS(nombres[])-1,0,1,1))+1),$O1539:$O1558),3),"")</f>
        <v>539</v>
      </c>
      <c r="LV1539" s="42" t="str">
        <f t="array" aca="1" ref="LV1539" ca="1">IFERROR(INDEX(nombres[],SMALL(IF(OFFSET(nombres[],0,0,ROWS(nombres[]),1)=LV$1490,ROW(OFFSET(nombres[],0,0,ROWS(nombres[]),1))-ROW(OFFSET(nombres[],0,0,1,1))+1,ROW(OFFSET(nombres[],ROWS(nombres[])-1,0,1,1))+1),$O1539:$O1558),3),"")</f>
        <v/>
      </c>
      <c r="LW1539" s="42" t="str">
        <f t="array" aca="1" ref="LW1539" ca="1">IFERROR(INDEX(nombres[],SMALL(IF(OFFSET(nombres[],0,0,ROWS(nombres[]),1)=LW$1490,ROW(OFFSET(nombres[],0,0,ROWS(nombres[]),1))-ROW(OFFSET(nombres[],0,0,1,1))+1,ROW(OFFSET(nombres[],ROWS(nombres[])-1,0,1,1))+1),$O1539:$O1558),3),"")</f>
        <v/>
      </c>
      <c r="LX1539" s="42">
        <f t="array" aca="1" ref="LX1539" ca="1">IFERROR(INDEX(nombres[],SMALL(IF(OFFSET(nombres[],0,0,ROWS(nombres[]),1)=LX$1490,ROW(OFFSET(nombres[],0,0,ROWS(nombres[]),1))-ROW(OFFSET(nombres[],0,0,1,1))+1,ROW(OFFSET(nombres[],ROWS(nombres[])-1,0,1,1))+1),$O1539:$O1558),3),"")</f>
        <v>536</v>
      </c>
      <c r="LY1539" s="42" t="str">
        <f t="array" aca="1" ref="LY1539" ca="1">IFERROR(INDEX(nombres[],SMALL(IF(OFFSET(nombres[],0,0,ROWS(nombres[]),1)=LY$1490,ROW(OFFSET(nombres[],0,0,ROWS(nombres[]),1))-ROW(OFFSET(nombres[],0,0,1,1))+1,ROW(OFFSET(nombres[],ROWS(nombres[])-1,0,1,1))+1),$O1539:$O1558),3),"")</f>
        <v/>
      </c>
      <c r="LZ1539" s="42" t="str">
        <f t="array" aca="1" ref="LZ1539" ca="1">IFERROR(INDEX(nombres[],SMALL(IF(OFFSET(nombres[],0,0,ROWS(nombres[]),1)=LZ$1490,ROW(OFFSET(nombres[],0,0,ROWS(nombres[]),1))-ROW(OFFSET(nombres[],0,0,1,1))+1,ROW(OFFSET(nombres[],ROWS(nombres[])-1,0,1,1))+1),$O1539:$O1558),3),"")</f>
        <v/>
      </c>
      <c r="MA1539" s="42" t="str">
        <f t="array" aca="1" ref="MA1539" ca="1">IFERROR(INDEX(nombres[],SMALL(IF(OFFSET(nombres[],0,0,ROWS(nombres[]),1)=MA$1490,ROW(OFFSET(nombres[],0,0,ROWS(nombres[]),1))-ROW(OFFSET(nombres[],0,0,1,1))+1,ROW(OFFSET(nombres[],ROWS(nombres[])-1,0,1,1))+1),$O1539:$O1558),3),"")</f>
        <v/>
      </c>
      <c r="MB1539" s="42" t="str">
        <f t="array" aca="1" ref="MB1539" ca="1">IFERROR(INDEX(nombres[],SMALL(IF(OFFSET(nombres[],0,0,ROWS(nombres[]),1)=MB$1490,ROW(OFFSET(nombres[],0,0,ROWS(nombres[]),1))-ROW(OFFSET(nombres[],0,0,1,1))+1,ROW(OFFSET(nombres[],ROWS(nombres[])-1,0,1,1))+1),$O1539:$O1558),3),"")</f>
        <v/>
      </c>
      <c r="MC1539" s="42" t="str">
        <f t="array" aca="1" ref="MC1539" ca="1">IFERROR(INDEX(nombres[],SMALL(IF(OFFSET(nombres[],0,0,ROWS(nombres[]),1)=MC$1490,ROW(OFFSET(nombres[],0,0,ROWS(nombres[]),1))-ROW(OFFSET(nombres[],0,0,1,1))+1,ROW(OFFSET(nombres[],ROWS(nombres[])-1,0,1,1))+1),$O1539:$O1558),3),"")</f>
        <v/>
      </c>
      <c r="MD1539" s="42" t="str">
        <f t="array" aca="1" ref="MD1539" ca="1">IFERROR(INDEX(nombres[],SMALL(IF(OFFSET(nombres[],0,0,ROWS(nombres[]),1)=MD$1490,ROW(OFFSET(nombres[],0,0,ROWS(nombres[]),1))-ROW(OFFSET(nombres[],0,0,1,1))+1,ROW(OFFSET(nombres[],ROWS(nombres[])-1,0,1,1))+1),$O1539:$O1558),3),"")</f>
        <v/>
      </c>
      <c r="ME1539" s="42" t="str">
        <f t="array" aca="1" ref="ME1539" ca="1">IFERROR(INDEX(nombres[],SMALL(IF(OFFSET(nombres[],0,0,ROWS(nombres[]),1)=ME$1490,ROW(OFFSET(nombres[],0,0,ROWS(nombres[]),1))-ROW(OFFSET(nombres[],0,0,1,1))+1,ROW(OFFSET(nombres[],ROWS(nombres[])-1,0,1,1))+1),$O1539:$O1558),3),"")</f>
        <v/>
      </c>
      <c r="MF1539" s="42" t="str">
        <f t="array" aca="1" ref="MF1539" ca="1">IFERROR(INDEX(nombres[],SMALL(IF(OFFSET(nombres[],0,0,ROWS(nombres[]),1)=MF$1490,ROW(OFFSET(nombres[],0,0,ROWS(nombres[]),1))-ROW(OFFSET(nombres[],0,0,1,1))+1,ROW(OFFSET(nombres[],ROWS(nombres[])-1,0,1,1))+1),$O1539:$O1558),3),"")</f>
        <v/>
      </c>
      <c r="MG1539" s="42" t="str">
        <f t="array" aca="1" ref="MG1539" ca="1">IFERROR(INDEX(nombres[],SMALL(IF(OFFSET(nombres[],0,0,ROWS(nombres[]),1)=MG$1490,ROW(OFFSET(nombres[],0,0,ROWS(nombres[]),1))-ROW(OFFSET(nombres[],0,0,1,1))+1,ROW(OFFSET(nombres[],ROWS(nombres[])-1,0,1,1))+1),$O1539:$O1558),3),"")</f>
        <v/>
      </c>
      <c r="MH1539" s="42" t="str">
        <f t="array" aca="1" ref="MH1539" ca="1">IFERROR(INDEX(nombres[],SMALL(IF(OFFSET(nombres[],0,0,ROWS(nombres[]),1)=MH$1490,ROW(OFFSET(nombres[],0,0,ROWS(nombres[]),1))-ROW(OFFSET(nombres[],0,0,1,1))+1,ROW(OFFSET(nombres[],ROWS(nombres[])-1,0,1,1))+1),$O1539:$O1558),3),"")</f>
        <v/>
      </c>
      <c r="MI1539" s="42" t="str">
        <f t="array" aca="1" ref="MI1539" ca="1">IFERROR(INDEX(nombres[],SMALL(IF(OFFSET(nombres[],0,0,ROWS(nombres[]),1)=MI$1490,ROW(OFFSET(nombres[],0,0,ROWS(nombres[]),1))-ROW(OFFSET(nombres[],0,0,1,1))+1,ROW(OFFSET(nombres[],ROWS(nombres[])-1,0,1,1))+1),$O1539:$O1558),3),"")</f>
        <v/>
      </c>
      <c r="MJ1539" s="42" t="str">
        <f t="array" aca="1" ref="MJ1539" ca="1">IFERROR(INDEX(nombres[],SMALL(IF(OFFSET(nombres[],0,0,ROWS(nombres[]),1)=MJ$1490,ROW(OFFSET(nombres[],0,0,ROWS(nombres[]),1))-ROW(OFFSET(nombres[],0,0,1,1))+1,ROW(OFFSET(nombres[],ROWS(nombres[])-1,0,1,1))+1),$O1539:$O1558),3),"")</f>
        <v/>
      </c>
      <c r="MK1539" s="42" t="str">
        <f t="array" aca="1" ref="MK1539" ca="1">IFERROR(INDEX(nombres[],SMALL(IF(OFFSET(nombres[],0,0,ROWS(nombres[]),1)=MK$1490,ROW(OFFSET(nombres[],0,0,ROWS(nombres[]),1))-ROW(OFFSET(nombres[],0,0,1,1))+1,ROW(OFFSET(nombres[],ROWS(nombres[])-1,0,1,1))+1),$O1539:$O1558),3),"")</f>
        <v/>
      </c>
      <c r="ML1539" s="42" t="str">
        <f t="array" aca="1" ref="ML1539" ca="1">IFERROR(INDEX(nombres[],SMALL(IF(OFFSET(nombres[],0,0,ROWS(nombres[]),1)=ML$1490,ROW(OFFSET(nombres[],0,0,ROWS(nombres[]),1))-ROW(OFFSET(nombres[],0,0,1,1))+1,ROW(OFFSET(nombres[],ROWS(nombres[])-1,0,1,1))+1),$O1539:$O1558),3),"")</f>
        <v/>
      </c>
      <c r="MM1539" s="42" t="str">
        <f t="array" aca="1" ref="MM1539" ca="1">IFERROR(INDEX(nombres[],SMALL(IF(OFFSET(nombres[],0,0,ROWS(nombres[]),1)=MM$1490,ROW(OFFSET(nombres[],0,0,ROWS(nombres[]),1))-ROW(OFFSET(nombres[],0,0,1,1))+1,ROW(OFFSET(nombres[],ROWS(nombres[])-1,0,1,1))+1),$O1539:$O1558),3),"")</f>
        <v/>
      </c>
      <c r="MN1539" s="42" t="str">
        <f t="array" aca="1" ref="MN1539" ca="1">IFERROR(INDEX(nombres[],SMALL(IF(OFFSET(nombres[],0,0,ROWS(nombres[]),1)=MN$1490,ROW(OFFSET(nombres[],0,0,ROWS(nombres[]),1))-ROW(OFFSET(nombres[],0,0,1,1))+1,ROW(OFFSET(nombres[],ROWS(nombres[])-1,0,1,1))+1),$O1539:$O1558),3),"")</f>
        <v/>
      </c>
      <c r="MO1539" s="42" t="str">
        <f t="array" aca="1" ref="MO1539" ca="1">IFERROR(INDEX(nombres[],SMALL(IF(OFFSET(nombres[],0,0,ROWS(nombres[]),1)=MO$1490,ROW(OFFSET(nombres[],0,0,ROWS(nombres[]),1))-ROW(OFFSET(nombres[],0,0,1,1))+1,ROW(OFFSET(nombres[],ROWS(nombres[])-1,0,1,1))+1),$O1539:$O1558),3),"")</f>
        <v/>
      </c>
      <c r="MP1539" s="42" t="str">
        <f t="array" aca="1" ref="MP1539" ca="1">IFERROR(INDEX(nombres[],SMALL(IF(OFFSET(nombres[],0,0,ROWS(nombres[]),1)=MP$1490,ROW(OFFSET(nombres[],0,0,ROWS(nombres[]),1))-ROW(OFFSET(nombres[],0,0,1,1))+1,ROW(OFFSET(nombres[],ROWS(nombres[])-1,0,1,1))+1),$O1539:$O1558),3),"")</f>
        <v/>
      </c>
      <c r="MQ1539" s="42" t="str">
        <f t="array" aca="1" ref="MQ1539" ca="1">IFERROR(INDEX(nombres[],SMALL(IF(OFFSET(nombres[],0,0,ROWS(nombres[]),1)=MQ$1490,ROW(OFFSET(nombres[],0,0,ROWS(nombres[]),1))-ROW(OFFSET(nombres[],0,0,1,1))+1,ROW(OFFSET(nombres[],ROWS(nombres[])-1,0,1,1))+1),$O1539:$O1558),3),"")</f>
        <v/>
      </c>
      <c r="MR1539" s="42" t="str">
        <f t="array" aca="1" ref="MR1539" ca="1">IFERROR(INDEX(nombres[],SMALL(IF(OFFSET(nombres[],0,0,ROWS(nombres[]),1)=MR$1490,ROW(OFFSET(nombres[],0,0,ROWS(nombres[]),1))-ROW(OFFSET(nombres[],0,0,1,1))+1,ROW(OFFSET(nombres[],ROWS(nombres[])-1,0,1,1))+1),$O1539:$O1558),3),"")</f>
        <v/>
      </c>
      <c r="MS1539" s="42" t="str">
        <f t="array" aca="1" ref="MS1539" ca="1">IFERROR(INDEX(nombres[],SMALL(IF(OFFSET(nombres[],0,0,ROWS(nombres[]),1)=MS$1490,ROW(OFFSET(nombres[],0,0,ROWS(nombres[]),1))-ROW(OFFSET(nombres[],0,0,1,1))+1,ROW(OFFSET(nombres[],ROWS(nombres[])-1,0,1,1))+1),$O1539:$O1558),3),"")</f>
        <v/>
      </c>
      <c r="MT1539" s="42" t="str">
        <f t="array" aca="1" ref="MT1539" ca="1">IFERROR(INDEX(nombres[],SMALL(IF(OFFSET(nombres[],0,0,ROWS(nombres[]),1)=MT$1490,ROW(OFFSET(nombres[],0,0,ROWS(nombres[]),1))-ROW(OFFSET(nombres[],0,0,1,1))+1,ROW(OFFSET(nombres[],ROWS(nombres[])-1,0,1,1))+1),$O1539:$O1558),3),"")</f>
        <v/>
      </c>
      <c r="MU1539" s="42" t="str">
        <f t="array" aca="1" ref="MU1539" ca="1">IFERROR(INDEX(nombres[],SMALL(IF(OFFSET(nombres[],0,0,ROWS(nombres[]),1)=MU$1490,ROW(OFFSET(nombres[],0,0,ROWS(nombres[]),1))-ROW(OFFSET(nombres[],0,0,1,1))+1,ROW(OFFSET(nombres[],ROWS(nombres[])-1,0,1,1))+1),$O1539:$O1558),3),"")</f>
        <v/>
      </c>
      <c r="MV1539" s="42" t="str">
        <f t="array" aca="1" ref="MV1539" ca="1">IFERROR(INDEX(nombres[],SMALL(IF(OFFSET(nombres[],0,0,ROWS(nombres[]),1)=MV$1490,ROW(OFFSET(nombres[],0,0,ROWS(nombres[]),1))-ROW(OFFSET(nombres[],0,0,1,1))+1,ROW(OFFSET(nombres[],ROWS(nombres[])-1,0,1,1))+1),$O1539:$O1558),3),"")</f>
        <v/>
      </c>
      <c r="MW1539" s="42" t="str">
        <f t="array" aca="1" ref="MW1539" ca="1">IFERROR(INDEX(nombres[],SMALL(IF(OFFSET(nombres[],0,0,ROWS(nombres[]),1)=MW$1490,ROW(OFFSET(nombres[],0,0,ROWS(nombres[]),1))-ROW(OFFSET(nombres[],0,0,1,1))+1,ROW(OFFSET(nombres[],ROWS(nombres[])-1,0,1,1))+1),$O1539:$O1558),3),"")</f>
        <v/>
      </c>
      <c r="MX1539" s="42" t="str">
        <f t="array" aca="1" ref="MX1539" ca="1">IFERROR(INDEX(nombres[],SMALL(IF(OFFSET(nombres[],0,0,ROWS(nombres[]),1)=MX$1490,ROW(OFFSET(nombres[],0,0,ROWS(nombres[]),1))-ROW(OFFSET(nombres[],0,0,1,1))+1,ROW(OFFSET(nombres[],ROWS(nombres[])-1,0,1,1))+1),$O1539:$O1558),3),"")</f>
        <v/>
      </c>
      <c r="MY1539" s="42" t="str">
        <f t="array" aca="1" ref="MY1539" ca="1">IFERROR(INDEX(nombres[],SMALL(IF(OFFSET(nombres[],0,0,ROWS(nombres[]),1)=MY$1490,ROW(OFFSET(nombres[],0,0,ROWS(nombres[]),1))-ROW(OFFSET(nombres[],0,0,1,1))+1,ROW(OFFSET(nombres[],ROWS(nombres[])-1,0,1,1))+1),$O1539:$O1558),3),"")</f>
        <v/>
      </c>
      <c r="MZ1539" s="42" t="str">
        <f t="array" aca="1" ref="MZ1539" ca="1">IFERROR(INDEX(nombres[],SMALL(IF(OFFSET(nombres[],0,0,ROWS(nombres[]),1)=MZ$1490,ROW(OFFSET(nombres[],0,0,ROWS(nombres[]),1))-ROW(OFFSET(nombres[],0,0,1,1))+1,ROW(OFFSET(nombres[],ROWS(nombres[])-1,0,1,1))+1),$O1539:$O1558),3),"")</f>
        <v/>
      </c>
      <c r="NA1539" s="42" t="str">
        <f t="array" aca="1" ref="NA1539" ca="1">IFERROR(INDEX(nombres[],SMALL(IF(OFFSET(nombres[],0,0,ROWS(nombres[]),1)=NA$1490,ROW(OFFSET(nombres[],0,0,ROWS(nombres[]),1))-ROW(OFFSET(nombres[],0,0,1,1))+1,ROW(OFFSET(nombres[],ROWS(nombres[])-1,0,1,1))+1),$O1539:$O1558),3),"")</f>
        <v/>
      </c>
      <c r="NB1539" s="42" t="str">
        <f t="array" aca="1" ref="NB1539" ca="1">IFERROR(INDEX(nombres[],SMALL(IF(OFFSET(nombres[],0,0,ROWS(nombres[]),1)=NB$1490,ROW(OFFSET(nombres[],0,0,ROWS(nombres[]),1))-ROW(OFFSET(nombres[],0,0,1,1))+1,ROW(OFFSET(nombres[],ROWS(nombres[])-1,0,1,1))+1),$O1539:$O1558),3),"")</f>
        <v/>
      </c>
      <c r="NC1539" s="42" t="str">
        <f t="array" aca="1" ref="NC1539" ca="1">IFERROR(INDEX(nombres[],SMALL(IF(OFFSET(nombres[],0,0,ROWS(nombres[]),1)=NC$1490,ROW(OFFSET(nombres[],0,0,ROWS(nombres[]),1))-ROW(OFFSET(nombres[],0,0,1,1))+1,ROW(OFFSET(nombres[],ROWS(nombres[])-1,0,1,1))+1),$O1539:$O1558),3),"")</f>
        <v/>
      </c>
      <c r="ND1539" s="42" t="str">
        <f t="array" aca="1" ref="ND1539" ca="1">IFERROR(INDEX(nombres[],SMALL(IF(OFFSET(nombres[],0,0,ROWS(nombres[]),1)=ND$1490,ROW(OFFSET(nombres[],0,0,ROWS(nombres[]),1))-ROW(OFFSET(nombres[],0,0,1,1))+1,ROW(OFFSET(nombres[],ROWS(nombres[])-1,0,1,1))+1),$O1539:$O1558),3),"")</f>
        <v/>
      </c>
      <c r="NE1539" s="42" t="str">
        <f t="array" aca="1" ref="NE1539" ca="1">IFERROR(INDEX(nombres[],SMALL(IF(OFFSET(nombres[],0,0,ROWS(nombres[]),1)=NE$1490,ROW(OFFSET(nombres[],0,0,ROWS(nombres[]),1))-ROW(OFFSET(nombres[],0,0,1,1))+1,ROW(OFFSET(nombres[],ROWS(nombres[])-1,0,1,1))+1),$O1539:$O1558),3),"")</f>
        <v/>
      </c>
      <c r="NF1539" s="42" t="str">
        <f t="array" aca="1" ref="NF1539" ca="1">IFERROR(INDEX(nombres[],SMALL(IF(OFFSET(nombres[],0,0,ROWS(nombres[]),1)=NF$1490,ROW(OFFSET(nombres[],0,0,ROWS(nombres[]),1))-ROW(OFFSET(nombres[],0,0,1,1))+1,ROW(OFFSET(nombres[],ROWS(nombres[])-1,0,1,1))+1),$O1539:$O1558),3),"")</f>
        <v/>
      </c>
      <c r="NG1539" s="42" t="str">
        <f t="array" aca="1" ref="NG1539" ca="1">IFERROR(INDEX(nombres[],SMALL(IF(OFFSET(nombres[],0,0,ROWS(nombres[]),1)=NG$1490,ROW(OFFSET(nombres[],0,0,ROWS(nombres[]),1))-ROW(OFFSET(nombres[],0,0,1,1))+1,ROW(OFFSET(nombres[],ROWS(nombres[])-1,0,1,1))+1),$O1539:$O1558),3),"")</f>
        <v/>
      </c>
      <c r="NH1539" s="42" t="str">
        <f t="array" aca="1" ref="NH1539" ca="1">IFERROR(INDEX(nombres[],SMALL(IF(OFFSET(nombres[],0,0,ROWS(nombres[]),1)=NH$1490,ROW(OFFSET(nombres[],0,0,ROWS(nombres[]),1))-ROW(OFFSET(nombres[],0,0,1,1))+1,ROW(OFFSET(nombres[],ROWS(nombres[])-1,0,1,1))+1),$O1539:$O1558),3),"")</f>
        <v/>
      </c>
      <c r="NI1539" s="42" t="str">
        <f t="array" aca="1" ref="NI1539" ca="1">IFERROR(INDEX(nombres[],SMALL(IF(OFFSET(nombres[],0,0,ROWS(nombres[]),1)=NI$1490,ROW(OFFSET(nombres[],0,0,ROWS(nombres[]),1))-ROW(OFFSET(nombres[],0,0,1,1))+1,ROW(OFFSET(nombres[],ROWS(nombres[])-1,0,1,1))+1),$O1539:$O1558),3),"")</f>
        <v/>
      </c>
      <c r="NJ1539" s="42" t="str">
        <f t="array" aca="1" ref="NJ1539" ca="1">IFERROR(INDEX(nombres[],SMALL(IF(OFFSET(nombres[],0,0,ROWS(nombres[]),1)=NJ$1490,ROW(OFFSET(nombres[],0,0,ROWS(nombres[]),1))-ROW(OFFSET(nombres[],0,0,1,1))+1,ROW(OFFSET(nombres[],ROWS(nombres[])-1,0,1,1))+1),$O1539:$O1558),3),"")</f>
        <v/>
      </c>
      <c r="NK1539" s="42" t="str">
        <f t="array" aca="1" ref="NK1539" ca="1">IFERROR(INDEX(nombres[],SMALL(IF(OFFSET(nombres[],0,0,ROWS(nombres[]),1)=NK$1490,ROW(OFFSET(nombres[],0,0,ROWS(nombres[]),1))-ROW(OFFSET(nombres[],0,0,1,1))+1,ROW(OFFSET(nombres[],ROWS(nombres[])-1,0,1,1))+1),$O1539:$O1558),3),"")</f>
        <v/>
      </c>
      <c r="NL1539" s="42" t="str">
        <f t="array" aca="1" ref="NL1539" ca="1">IFERROR(INDEX(nombres[],SMALL(IF(OFFSET(nombres[],0,0,ROWS(nombres[]),1)=NL$1490,ROW(OFFSET(nombres[],0,0,ROWS(nombres[]),1))-ROW(OFFSET(nombres[],0,0,1,1))+1,ROW(OFFSET(nombres[],ROWS(nombres[])-1,0,1,1))+1),$O1539:$O1558),3),"")</f>
        <v/>
      </c>
      <c r="NM1539" s="42" t="str">
        <f t="array" aca="1" ref="NM1539" ca="1">IFERROR(INDEX(nombres[],SMALL(IF(OFFSET(nombres[],0,0,ROWS(nombres[]),1)=NM$1490,ROW(OFFSET(nombres[],0,0,ROWS(nombres[]),1))-ROW(OFFSET(nombres[],0,0,1,1))+1,ROW(OFFSET(nombres[],ROWS(nombres[])-1,0,1,1))+1),$O1539:$O1558),3),"")</f>
        <v/>
      </c>
      <c r="NN1539" s="42" t="str">
        <f t="array" aca="1" ref="NN1539" ca="1">IFERROR(INDEX(nombres[],SMALL(IF(OFFSET(nombres[],0,0,ROWS(nombres[]),1)=NN$1490,ROW(OFFSET(nombres[],0,0,ROWS(nombres[]),1))-ROW(OFFSET(nombres[],0,0,1,1))+1,ROW(OFFSET(nombres[],ROWS(nombres[])-1,0,1,1))+1),$O1539:$O1558),3),"")</f>
        <v/>
      </c>
      <c r="NO1539" s="42" t="str">
        <f t="array" aca="1" ref="NO1539" ca="1">IFERROR(INDEX(nombres[],SMALL(IF(OFFSET(nombres[],0,0,ROWS(nombres[]),1)=NO$1490,ROW(OFFSET(nombres[],0,0,ROWS(nombres[]),1))-ROW(OFFSET(nombres[],0,0,1,1))+1,ROW(OFFSET(nombres[],ROWS(nombres[])-1,0,1,1))+1),$O1539:$O1558),3),"")</f>
        <v/>
      </c>
      <c r="NP1539" s="42" t="str">
        <f t="array" aca="1" ref="NP1539" ca="1">IFERROR(INDEX(nombres[],SMALL(IF(OFFSET(nombres[],0,0,ROWS(nombres[]),1)=NP$1490,ROW(OFFSET(nombres[],0,0,ROWS(nombres[]),1))-ROW(OFFSET(nombres[],0,0,1,1))+1,ROW(OFFSET(nombres[],ROWS(nombres[])-1,0,1,1))+1),$O1539:$O1558),3),"")</f>
        <v/>
      </c>
      <c r="NQ1539" s="42" t="str">
        <f t="array" aca="1" ref="NQ1539" ca="1">IFERROR(INDEX(nombres[],SMALL(IF(OFFSET(nombres[],0,0,ROWS(nombres[]),1)=NQ$1490,ROW(OFFSET(nombres[],0,0,ROWS(nombres[]),1))-ROW(OFFSET(nombres[],0,0,1,1))+1,ROW(OFFSET(nombres[],ROWS(nombres[])-1,0,1,1))+1),$O1539:$O1558),3),"")</f>
        <v/>
      </c>
      <c r="NR1539" s="42" t="str">
        <f t="array" aca="1" ref="NR1539" ca="1">IFERROR(INDEX(nombres[],SMALL(IF(OFFSET(nombres[],0,0,ROWS(nombres[]),1)=NR$1490,ROW(OFFSET(nombres[],0,0,ROWS(nombres[]),1))-ROW(OFFSET(nombres[],0,0,1,1))+1,ROW(OFFSET(nombres[],ROWS(nombres[])-1,0,1,1))+1),$O1539:$O1558),3),"")</f>
        <v/>
      </c>
      <c r="NS1539" s="42" t="str">
        <f t="array" aca="1" ref="NS1539" ca="1">IFERROR(INDEX(nombres[],SMALL(IF(OFFSET(nombres[],0,0,ROWS(nombres[]),1)=NS$1490,ROW(OFFSET(nombres[],0,0,ROWS(nombres[]),1))-ROW(OFFSET(nombres[],0,0,1,1))+1,ROW(OFFSET(nombres[],ROWS(nombres[])-1,0,1,1))+1),$O1539:$O1558),3),"")</f>
        <v/>
      </c>
      <c r="NT1539" s="42" t="str">
        <f t="array" aca="1" ref="NT1539" ca="1">IFERROR(INDEX(nombres[],SMALL(IF(OFFSET(nombres[],0,0,ROWS(nombres[]),1)=NT$1490,ROW(OFFSET(nombres[],0,0,ROWS(nombres[]),1))-ROW(OFFSET(nombres[],0,0,1,1))+1,ROW(OFFSET(nombres[],ROWS(nombres[])-1,0,1,1))+1),$O1539:$O1558),3),"")</f>
        <v/>
      </c>
      <c r="NU1539" s="42" t="str">
        <f t="array" aca="1" ref="NU1539" ca="1">IFERROR(INDEX(nombres[],SMALL(IF(OFFSET(nombres[],0,0,ROWS(nombres[]),1)=NU$1490,ROW(OFFSET(nombres[],0,0,ROWS(nombres[]),1))-ROW(OFFSET(nombres[],0,0,1,1))+1,ROW(OFFSET(nombres[],ROWS(nombres[])-1,0,1,1))+1),$O1539:$O1558),3),"")</f>
        <v/>
      </c>
      <c r="NV1539" s="42" t="str">
        <f t="array" aca="1" ref="NV1539" ca="1">IFERROR(INDEX(nombres[],SMALL(IF(OFFSET(nombres[],0,0,ROWS(nombres[]),1)=NV$1490,ROW(OFFSET(nombres[],0,0,ROWS(nombres[]),1))-ROW(OFFSET(nombres[],0,0,1,1))+1,ROW(OFFSET(nombres[],ROWS(nombres[])-1,0,1,1))+1),$O1539:$O1558),3),"")</f>
        <v/>
      </c>
      <c r="NW1539" s="42" t="str">
        <f t="array" aca="1" ref="NW1539" ca="1">IFERROR(INDEX(nombres[],SMALL(IF(OFFSET(nombres[],0,0,ROWS(nombres[]),1)=NW$1490,ROW(OFFSET(nombres[],0,0,ROWS(nombres[]),1))-ROW(OFFSET(nombres[],0,0,1,1))+1,ROW(OFFSET(nombres[],ROWS(nombres[])-1,0,1,1))+1),$O1539:$O1558),3),"")</f>
        <v/>
      </c>
      <c r="NX1539" s="42" t="str">
        <f t="array" aca="1" ref="NX1539" ca="1">IFERROR(INDEX(nombres[],SMALL(IF(OFFSET(nombres[],0,0,ROWS(nombres[]),1)=NX$1490,ROW(OFFSET(nombres[],0,0,ROWS(nombres[]),1))-ROW(OFFSET(nombres[],0,0,1,1))+1,ROW(OFFSET(nombres[],ROWS(nombres[])-1,0,1,1))+1),$O1539:$O1558),3),"")</f>
        <v/>
      </c>
      <c r="NY1539" s="42" t="str">
        <f t="array" aca="1" ref="NY1539" ca="1">IFERROR(INDEX(nombres[],SMALL(IF(OFFSET(nombres[],0,0,ROWS(nombres[]),1)=NY$1490,ROW(OFFSET(nombres[],0,0,ROWS(nombres[]),1))-ROW(OFFSET(nombres[],0,0,1,1))+1,ROW(OFFSET(nombres[],ROWS(nombres[])-1,0,1,1))+1),$O1539:$O1558),3),"")</f>
        <v/>
      </c>
      <c r="NZ1539" s="42" t="str">
        <f t="array" aca="1" ref="NZ1539" ca="1">IFERROR(INDEX(nombres[],SMALL(IF(OFFSET(nombres[],0,0,ROWS(nombres[]),1)=NZ$1490,ROW(OFFSET(nombres[],0,0,ROWS(nombres[]),1))-ROW(OFFSET(nombres[],0,0,1,1))+1,ROW(OFFSET(nombres[],ROWS(nombres[])-1,0,1,1))+1),$O1539:$O1558),3),"")</f>
        <v/>
      </c>
      <c r="OA1539" s="42" t="str">
        <f t="array" aca="1" ref="OA1539" ca="1">IFERROR(INDEX(nombres[],SMALL(IF(OFFSET(nombres[],0,0,ROWS(nombres[]),1)=OA$1490,ROW(OFFSET(nombres[],0,0,ROWS(nombres[]),1))-ROW(OFFSET(nombres[],0,0,1,1))+1,ROW(OFFSET(nombres[],ROWS(nombres[])-1,0,1,1))+1),$O1539:$O1558),3),"")</f>
        <v/>
      </c>
      <c r="OB1539" s="42" t="str">
        <f t="array" aca="1" ref="OB1539" ca="1">IFERROR(INDEX(nombres[],SMALL(IF(OFFSET(nombres[],0,0,ROWS(nombres[]),1)=OB$1490,ROW(OFFSET(nombres[],0,0,ROWS(nombres[]),1))-ROW(OFFSET(nombres[],0,0,1,1))+1,ROW(OFFSET(nombres[],ROWS(nombres[])-1,0,1,1))+1),$O1539:$O1558),3),"")</f>
        <v/>
      </c>
      <c r="OC1539" s="42" t="str">
        <f t="array" aca="1" ref="OC1539" ca="1">IFERROR(INDEX(nombres[],SMALL(IF(OFFSET(nombres[],0,0,ROWS(nombres[]),1)=OC$1490,ROW(OFFSET(nombres[],0,0,ROWS(nombres[]),1))-ROW(OFFSET(nombres[],0,0,1,1))+1,ROW(OFFSET(nombres[],ROWS(nombres[])-1,0,1,1))+1),$O1539:$O1558),3),"")</f>
        <v/>
      </c>
      <c r="OD1539" s="42" t="str">
        <f t="array" aca="1" ref="OD1539" ca="1">IFERROR(INDEX(nombres[],SMALL(IF(OFFSET(nombres[],0,0,ROWS(nombres[]),1)=OD$1490,ROW(OFFSET(nombres[],0,0,ROWS(nombres[]),1))-ROW(OFFSET(nombres[],0,0,1,1))+1,ROW(OFFSET(nombres[],ROWS(nombres[])-1,0,1,1))+1),$O1539:$O1558),3),"")</f>
        <v/>
      </c>
      <c r="OE1539" s="42" t="str">
        <f t="array" aca="1" ref="OE1539" ca="1">IFERROR(INDEX(nombres[],SMALL(IF(OFFSET(nombres[],0,0,ROWS(nombres[]),1)=OE$1490,ROW(OFFSET(nombres[],0,0,ROWS(nombres[]),1))-ROW(OFFSET(nombres[],0,0,1,1))+1,ROW(OFFSET(nombres[],ROWS(nombres[])-1,0,1,1))+1),$O1539:$O1558),3),"")</f>
        <v/>
      </c>
      <c r="OF1539" s="42" t="str">
        <f t="array" aca="1" ref="OF1539" ca="1">IFERROR(INDEX(nombres[],SMALL(IF(OFFSET(nombres[],0,0,ROWS(nombres[]),1)=OF$1490,ROW(OFFSET(nombres[],0,0,ROWS(nombres[]),1))-ROW(OFFSET(nombres[],0,0,1,1))+1,ROW(OFFSET(nombres[],ROWS(nombres[])-1,0,1,1))+1),$O1539:$O1558),3),"")</f>
        <v/>
      </c>
      <c r="OG1539" s="42" t="str">
        <f t="array" aca="1" ref="OG1539" ca="1">IFERROR(INDEX(nombres[],SMALL(IF(OFFSET(nombres[],0,0,ROWS(nombres[]),1)=OG$1490,ROW(OFFSET(nombres[],0,0,ROWS(nombres[]),1))-ROW(OFFSET(nombres[],0,0,1,1))+1,ROW(OFFSET(nombres[],ROWS(nombres[])-1,0,1,1))+1),$O1539:$O1558),3),"")</f>
        <v/>
      </c>
      <c r="OH1539" s="42" t="str">
        <f t="array" aca="1" ref="OH1539" ca="1">IFERROR(INDEX(nombres[],SMALL(IF(OFFSET(nombres[],0,0,ROWS(nombres[]),1)=OH$1490,ROW(OFFSET(nombres[],0,0,ROWS(nombres[]),1))-ROW(OFFSET(nombres[],0,0,1,1))+1,ROW(OFFSET(nombres[],ROWS(nombres[])-1,0,1,1))+1),$O1539:$O1558),3),"")</f>
        <v/>
      </c>
      <c r="OI1539" s="42" t="str">
        <f t="array" aca="1" ref="OI1539" ca="1">IFERROR(INDEX(nombres[],SMALL(IF(OFFSET(nombres[],0,0,ROWS(nombres[]),1)=OI$1490,ROW(OFFSET(nombres[],0,0,ROWS(nombres[]),1))-ROW(OFFSET(nombres[],0,0,1,1))+1,ROW(OFFSET(nombres[],ROWS(nombres[])-1,0,1,1))+1),$O1539:$O1558),3),"")</f>
        <v/>
      </c>
      <c r="OJ1539" s="42" t="str">
        <f t="array" aca="1" ref="OJ1539" ca="1">IFERROR(INDEX(nombres[],SMALL(IF(OFFSET(nombres[],0,0,ROWS(nombres[]),1)=OJ$1490,ROW(OFFSET(nombres[],0,0,ROWS(nombres[]),1))-ROW(OFFSET(nombres[],0,0,1,1))+1,ROW(OFFSET(nombres[],ROWS(nombres[])-1,0,1,1))+1),$O1539:$O1558),3),"")</f>
        <v/>
      </c>
      <c r="OK1539" s="42" t="str">
        <f t="array" aca="1" ref="OK1539" ca="1">IFERROR(INDEX(nombres[],SMALL(IF(OFFSET(nombres[],0,0,ROWS(nombres[]),1)=OK$1490,ROW(OFFSET(nombres[],0,0,ROWS(nombres[]),1))-ROW(OFFSET(nombres[],0,0,1,1))+1,ROW(OFFSET(nombres[],ROWS(nombres[])-1,0,1,1))+1),$O1539:$O1558),3),"")</f>
        <v/>
      </c>
      <c r="OL1539" s="42" t="str">
        <f t="array" aca="1" ref="OL1539" ca="1">IFERROR(INDEX(nombres[],SMALL(IF(OFFSET(nombres[],0,0,ROWS(nombres[]),1)=OL$1490,ROW(OFFSET(nombres[],0,0,ROWS(nombres[]),1))-ROW(OFFSET(nombres[],0,0,1,1))+1,ROW(OFFSET(nombres[],ROWS(nombres[])-1,0,1,1))+1),$O1539:$O1558),3),"")</f>
        <v/>
      </c>
      <c r="OM1539" s="42" t="str">
        <f t="array" aca="1" ref="OM1539" ca="1">IFERROR(INDEX(nombres[],SMALL(IF(OFFSET(nombres[],0,0,ROWS(nombres[]),1)=OM$1490,ROW(OFFSET(nombres[],0,0,ROWS(nombres[]),1))-ROW(OFFSET(nombres[],0,0,1,1))+1,ROW(OFFSET(nombres[],ROWS(nombres[])-1,0,1,1))+1),$O1539:$O1558),3),"")</f>
        <v/>
      </c>
      <c r="ON1539" s="42" t="str">
        <f t="array" aca="1" ref="ON1539" ca="1">IFERROR(INDEX(nombres[],SMALL(IF(OFFSET(nombres[],0,0,ROWS(nombres[]),1)=ON$1490,ROW(OFFSET(nombres[],0,0,ROWS(nombres[]),1))-ROW(OFFSET(nombres[],0,0,1,1))+1,ROW(OFFSET(nombres[],ROWS(nombres[])-1,0,1,1))+1),$O1539:$O1558),3),"")</f>
        <v/>
      </c>
      <c r="OO1539" s="42" t="str">
        <f t="array" aca="1" ref="OO1539" ca="1">IFERROR(INDEX(nombres[],SMALL(IF(OFFSET(nombres[],0,0,ROWS(nombres[]),1)=OO$1490,ROW(OFFSET(nombres[],0,0,ROWS(nombres[]),1))-ROW(OFFSET(nombres[],0,0,1,1))+1,ROW(OFFSET(nombres[],ROWS(nombres[])-1,0,1,1))+1),$O1539:$O1558),3),"")</f>
        <v/>
      </c>
      <c r="OP1539" s="42" t="str">
        <f t="array" aca="1" ref="OP1539" ca="1">IFERROR(INDEX(nombres[],SMALL(IF(OFFSET(nombres[],0,0,ROWS(nombres[]),1)=OP$1490,ROW(OFFSET(nombres[],0,0,ROWS(nombres[]),1))-ROW(OFFSET(nombres[],0,0,1,1))+1,ROW(OFFSET(nombres[],ROWS(nombres[])-1,0,1,1))+1),$O1539:$O1558),3),"")</f>
        <v/>
      </c>
      <c r="OQ1539" s="42" t="str">
        <f t="array" aca="1" ref="OQ1539" ca="1">IFERROR(INDEX(nombres[],SMALL(IF(OFFSET(nombres[],0,0,ROWS(nombres[]),1)=OQ$1490,ROW(OFFSET(nombres[],0,0,ROWS(nombres[]),1))-ROW(OFFSET(nombres[],0,0,1,1))+1,ROW(OFFSET(nombres[],ROWS(nombres[])-1,0,1,1))+1),$O1539:$O1558),3),"")</f>
        <v/>
      </c>
      <c r="OR1539" s="42" t="str">
        <f t="array" aca="1" ref="OR1539" ca="1">IFERROR(INDEX(nombres[],SMALL(IF(OFFSET(nombres[],0,0,ROWS(nombres[]),1)=OR$1490,ROW(OFFSET(nombres[],0,0,ROWS(nombres[]),1))-ROW(OFFSET(nombres[],0,0,1,1))+1,ROW(OFFSET(nombres[],ROWS(nombres[])-1,0,1,1))+1),$O1539:$O1558),3),"")</f>
        <v/>
      </c>
      <c r="OS1539" s="42" t="str">
        <f t="array" aca="1" ref="OS1539" ca="1">IFERROR(INDEX(nombres[],SMALL(IF(OFFSET(nombres[],0,0,ROWS(nombres[]),1)=OS$1490,ROW(OFFSET(nombres[],0,0,ROWS(nombres[]),1))-ROW(OFFSET(nombres[],0,0,1,1))+1,ROW(OFFSET(nombres[],ROWS(nombres[])-1,0,1,1))+1),$O1539:$O1558),3),"")</f>
        <v/>
      </c>
      <c r="OT1539" s="42" t="str">
        <f t="array" aca="1" ref="OT1539" ca="1">IFERROR(INDEX(nombres[],SMALL(IF(OFFSET(nombres[],0,0,ROWS(nombres[]),1)=OT$1490,ROW(OFFSET(nombres[],0,0,ROWS(nombres[]),1))-ROW(OFFSET(nombres[],0,0,1,1))+1,ROW(OFFSET(nombres[],ROWS(nombres[])-1,0,1,1))+1),$O1539:$O1558),3),"")</f>
        <v/>
      </c>
      <c r="OU1539" s="42" t="str">
        <f t="array" aca="1" ref="OU1539" ca="1">IFERROR(INDEX(nombres[],SMALL(IF(OFFSET(nombres[],0,0,ROWS(nombres[]),1)=OU$1490,ROW(OFFSET(nombres[],0,0,ROWS(nombres[]),1))-ROW(OFFSET(nombres[],0,0,1,1))+1,ROW(OFFSET(nombres[],ROWS(nombres[])-1,0,1,1))+1),$O1539:$O1558),3),"")</f>
        <v/>
      </c>
      <c r="OV1539" s="42" t="str">
        <f t="array" aca="1" ref="OV1539" ca="1">IFERROR(INDEX(nombres[],SMALL(IF(OFFSET(nombres[],0,0,ROWS(nombres[]),1)=OV$1490,ROW(OFFSET(nombres[],0,0,ROWS(nombres[]),1))-ROW(OFFSET(nombres[],0,0,1,1))+1,ROW(OFFSET(nombres[],ROWS(nombres[])-1,0,1,1))+1),$O1539:$O1558),3),"")</f>
        <v/>
      </c>
      <c r="OW1539" s="42" t="str">
        <f t="array" aca="1" ref="OW1539" ca="1">IFERROR(INDEX(nombres[],SMALL(IF(OFFSET(nombres[],0,0,ROWS(nombres[]),1)=OW$1490,ROW(OFFSET(nombres[],0,0,ROWS(nombres[]),1))-ROW(OFFSET(nombres[],0,0,1,1))+1,ROW(OFFSET(nombres[],ROWS(nombres[])-1,0,1,1))+1),$O1539:$O1558),3),"")</f>
        <v/>
      </c>
      <c r="OX1539" s="42" t="str">
        <f t="array" aca="1" ref="OX1539" ca="1">IFERROR(INDEX(nombres[],SMALL(IF(OFFSET(nombres[],0,0,ROWS(nombres[]),1)=OX$1490,ROW(OFFSET(nombres[],0,0,ROWS(nombres[]),1))-ROW(OFFSET(nombres[],0,0,1,1))+1,ROW(OFFSET(nombres[],ROWS(nombres[])-1,0,1,1))+1),$O1539:$O1558),3),"")</f>
        <v/>
      </c>
      <c r="OY1539" s="42" t="str">
        <f t="array" aca="1" ref="OY1539" ca="1">IFERROR(INDEX(nombres[],SMALL(IF(OFFSET(nombres[],0,0,ROWS(nombres[]),1)=OY$1490,ROW(OFFSET(nombres[],0,0,ROWS(nombres[]),1))-ROW(OFFSET(nombres[],0,0,1,1))+1,ROW(OFFSET(nombres[],ROWS(nombres[])-1,0,1,1))+1),$O1539:$O1558),3),"")</f>
        <v/>
      </c>
      <c r="OZ1539" s="42" t="str">
        <f t="array" aca="1" ref="OZ1539" ca="1">IFERROR(INDEX(nombres[],SMALL(IF(OFFSET(nombres[],0,0,ROWS(nombres[]),1)=OZ$1490,ROW(OFFSET(nombres[],0,0,ROWS(nombres[]),1))-ROW(OFFSET(nombres[],0,0,1,1))+1,ROW(OFFSET(nombres[],ROWS(nombres[])-1,0,1,1))+1),$O1539:$O1558),3),"")</f>
        <v/>
      </c>
      <c r="PA1539" s="42" t="str">
        <f t="array" aca="1" ref="PA1539" ca="1">IFERROR(INDEX(nombres[],SMALL(IF(OFFSET(nombres[],0,0,ROWS(nombres[]),1)=PA$1490,ROW(OFFSET(nombres[],0,0,ROWS(nombres[]),1))-ROW(OFFSET(nombres[],0,0,1,1))+1,ROW(OFFSET(nombres[],ROWS(nombres[])-1,0,1,1))+1),$O1539:$O1558),3),"")</f>
        <v/>
      </c>
      <c r="PB1539" s="42" t="str">
        <f t="array" aca="1" ref="PB1539" ca="1">IFERROR(INDEX(nombres[],SMALL(IF(OFFSET(nombres[],0,0,ROWS(nombres[]),1)=PB$1490,ROW(OFFSET(nombres[],0,0,ROWS(nombres[]),1))-ROW(OFFSET(nombres[],0,0,1,1))+1,ROW(OFFSET(nombres[],ROWS(nombres[])-1,0,1,1))+1),$O1539:$O1558),3),"")</f>
        <v/>
      </c>
      <c r="PC1539" s="42" t="str">
        <f t="array" aca="1" ref="PC1539" ca="1">IFERROR(INDEX(nombres[],SMALL(IF(OFFSET(nombres[],0,0,ROWS(nombres[]),1)=PC$1490,ROW(OFFSET(nombres[],0,0,ROWS(nombres[]),1))-ROW(OFFSET(nombres[],0,0,1,1))+1,ROW(OFFSET(nombres[],ROWS(nombres[])-1,0,1,1))+1),$O1539:$O1558),3),"")</f>
        <v/>
      </c>
      <c r="PD1539" s="42" t="str">
        <f t="array" aca="1" ref="PD1539" ca="1">IFERROR(INDEX(nombres[],SMALL(IF(OFFSET(nombres[],0,0,ROWS(nombres[]),1)=PD$1490,ROW(OFFSET(nombres[],0,0,ROWS(nombres[]),1))-ROW(OFFSET(nombres[],0,0,1,1))+1,ROW(OFFSET(nombres[],ROWS(nombres[])-1,0,1,1))+1),$O1539:$O1558),3),"")</f>
        <v/>
      </c>
      <c r="PE1539" s="42" t="str">
        <f t="array" aca="1" ref="PE1539" ca="1">IFERROR(INDEX(nombres[],SMALL(IF(OFFSET(nombres[],0,0,ROWS(nombres[]),1)=PE$1490,ROW(OFFSET(nombres[],0,0,ROWS(nombres[]),1))-ROW(OFFSET(nombres[],0,0,1,1))+1,ROW(OFFSET(nombres[],ROWS(nombres[])-1,0,1,1))+1),$O1539:$O1558),3),"")</f>
        <v/>
      </c>
      <c r="PF1539" s="42" t="str">
        <f t="array" aca="1" ref="PF1539" ca="1">IFERROR(INDEX(nombres[],SMALL(IF(OFFSET(nombres[],0,0,ROWS(nombres[]),1)=PF$1490,ROW(OFFSET(nombres[],0,0,ROWS(nombres[]),1))-ROW(OFFSET(nombres[],0,0,1,1))+1,ROW(OFFSET(nombres[],ROWS(nombres[])-1,0,1,1))+1),$O1539:$O1558),3),"")</f>
        <v/>
      </c>
      <c r="PG1539" s="42" t="str">
        <f t="array" aca="1" ref="PG1539" ca="1">IFERROR(INDEX(nombres[],SMALL(IF(OFFSET(nombres[],0,0,ROWS(nombres[]),1)=PG$1490,ROW(OFFSET(nombres[],0,0,ROWS(nombres[]),1))-ROW(OFFSET(nombres[],0,0,1,1))+1,ROW(OFFSET(nombres[],ROWS(nombres[])-1,0,1,1))+1),$O1539:$O1558),3),"")</f>
        <v/>
      </c>
      <c r="PH1539" s="42" t="str">
        <f t="array" aca="1" ref="PH1539" ca="1">IFERROR(INDEX(nombres[],SMALL(IF(OFFSET(nombres[],0,0,ROWS(nombres[]),1)=PH$1490,ROW(OFFSET(nombres[],0,0,ROWS(nombres[]),1))-ROW(OFFSET(nombres[],0,0,1,1))+1,ROW(OFFSET(nombres[],ROWS(nombres[])-1,0,1,1))+1),$O1539:$O1558),3),"")</f>
        <v/>
      </c>
      <c r="PI1539" s="42" t="str">
        <f t="array" aca="1" ref="PI1539" ca="1">IFERROR(INDEX(nombres[],SMALL(IF(OFFSET(nombres[],0,0,ROWS(nombres[]),1)=PI$1490,ROW(OFFSET(nombres[],0,0,ROWS(nombres[]),1))-ROW(OFFSET(nombres[],0,0,1,1))+1,ROW(OFFSET(nombres[],ROWS(nombres[])-1,0,1,1))+1),$O1539:$O1558),3),"")</f>
        <v/>
      </c>
      <c r="PJ1539" s="42" t="str">
        <f t="array" aca="1" ref="PJ1539" ca="1">IFERROR(INDEX(nombres[],SMALL(IF(OFFSET(nombres[],0,0,ROWS(nombres[]),1)=PJ$1490,ROW(OFFSET(nombres[],0,0,ROWS(nombres[]),1))-ROW(OFFSET(nombres[],0,0,1,1))+1,ROW(OFFSET(nombres[],ROWS(nombres[])-1,0,1,1))+1),$O1539:$O1558),3),"")</f>
        <v/>
      </c>
      <c r="PK1539" s="42" t="str">
        <f t="array" aca="1" ref="PK1539" ca="1">IFERROR(INDEX(nombres[],SMALL(IF(OFFSET(nombres[],0,0,ROWS(nombres[]),1)=PK$1490,ROW(OFFSET(nombres[],0,0,ROWS(nombres[]),1))-ROW(OFFSET(nombres[],0,0,1,1))+1,ROW(OFFSET(nombres[],ROWS(nombres[])-1,0,1,1))+1),$O1539:$O1558),3),"")</f>
        <v/>
      </c>
      <c r="PL1539" s="42" t="str">
        <f t="array" aca="1" ref="PL1539" ca="1">IFERROR(INDEX(nombres[],SMALL(IF(OFFSET(nombres[],0,0,ROWS(nombres[]),1)=PL$1490,ROW(OFFSET(nombres[],0,0,ROWS(nombres[]),1))-ROW(OFFSET(nombres[],0,0,1,1))+1,ROW(OFFSET(nombres[],ROWS(nombres[])-1,0,1,1))+1),$O1539:$O1558),3),"")</f>
        <v/>
      </c>
      <c r="PM1539" s="42" t="str">
        <f t="array" aca="1" ref="PM1539" ca="1">IFERROR(INDEX(nombres[],SMALL(IF(OFFSET(nombres[],0,0,ROWS(nombres[]),1)=PM$1490,ROW(OFFSET(nombres[],0,0,ROWS(nombres[]),1))-ROW(OFFSET(nombres[],0,0,1,1))+1,ROW(OFFSET(nombres[],ROWS(nombres[])-1,0,1,1))+1),$O1539:$O1558),3),"")</f>
        <v/>
      </c>
      <c r="PN1539" s="42" t="str">
        <f t="array" aca="1" ref="PN1539" ca="1">IFERROR(INDEX(nombres[],SMALL(IF(OFFSET(nombres[],0,0,ROWS(nombres[]),1)=PN$1490,ROW(OFFSET(nombres[],0,0,ROWS(nombres[]),1))-ROW(OFFSET(nombres[],0,0,1,1))+1,ROW(OFFSET(nombres[],ROWS(nombres[])-1,0,1,1))+1),$O1539:$O1558),3),"")</f>
        <v/>
      </c>
      <c r="PO1539" s="42" t="str">
        <f t="array" aca="1" ref="PO1539" ca="1">IFERROR(INDEX(nombres[],SMALL(IF(OFFSET(nombres[],0,0,ROWS(nombres[]),1)=PO$1490,ROW(OFFSET(nombres[],0,0,ROWS(nombres[]),1))-ROW(OFFSET(nombres[],0,0,1,1))+1,ROW(OFFSET(nombres[],ROWS(nombres[])-1,0,1,1))+1),$O1539:$O1558),3),"")</f>
        <v/>
      </c>
      <c r="PP1539" s="42" t="str">
        <f t="array" aca="1" ref="PP1539" ca="1">IFERROR(INDEX(nombres[],SMALL(IF(OFFSET(nombres[],0,0,ROWS(nombres[]),1)=PP$1490,ROW(OFFSET(nombres[],0,0,ROWS(nombres[]),1))-ROW(OFFSET(nombres[],0,0,1,1))+1,ROW(OFFSET(nombres[],ROWS(nombres[])-1,0,1,1))+1),$O1539:$O1558),3),"")</f>
        <v/>
      </c>
      <c r="PQ1539" s="42" t="str">
        <f t="array" aca="1" ref="PQ1539" ca="1">IFERROR(INDEX(nombres[],SMALL(IF(OFFSET(nombres[],0,0,ROWS(nombres[]),1)=PQ$1490,ROW(OFFSET(nombres[],0,0,ROWS(nombres[]),1))-ROW(OFFSET(nombres[],0,0,1,1))+1,ROW(OFFSET(nombres[],ROWS(nombres[])-1,0,1,1))+1),$O1539:$O1558),3),"")</f>
        <v/>
      </c>
      <c r="PR1539" s="42" t="str">
        <f t="array" aca="1" ref="PR1539" ca="1">IFERROR(INDEX(nombres[],SMALL(IF(OFFSET(nombres[],0,0,ROWS(nombres[]),1)=PR$1490,ROW(OFFSET(nombres[],0,0,ROWS(nombres[]),1))-ROW(OFFSET(nombres[],0,0,1,1))+1,ROW(OFFSET(nombres[],ROWS(nombres[])-1,0,1,1))+1),$O1539:$O1558),3),"")</f>
        <v/>
      </c>
      <c r="PS1539" s="42" t="str">
        <f t="array" aca="1" ref="PS1539" ca="1">IFERROR(INDEX(nombres[],SMALL(IF(OFFSET(nombres[],0,0,ROWS(nombres[]),1)=PS$1490,ROW(OFFSET(nombres[],0,0,ROWS(nombres[]),1))-ROW(OFFSET(nombres[],0,0,1,1))+1,ROW(OFFSET(nombres[],ROWS(nombres[])-1,0,1,1))+1),$O1539:$O1558),3),"")</f>
        <v/>
      </c>
      <c r="PT1539" s="42" t="str">
        <f t="array" aca="1" ref="PT1539" ca="1">IFERROR(INDEX(nombres[],SMALL(IF(OFFSET(nombres[],0,0,ROWS(nombres[]),1)=PT$1490,ROW(OFFSET(nombres[],0,0,ROWS(nombres[]),1))-ROW(OFFSET(nombres[],0,0,1,1))+1,ROW(OFFSET(nombres[],ROWS(nombres[])-1,0,1,1))+1),$O1539:$O1558),3),"")</f>
        <v/>
      </c>
      <c r="PU1539" s="42" t="str">
        <f t="array" aca="1" ref="PU1539" ca="1">IFERROR(INDEX(nombres[],SMALL(IF(OFFSET(nombres[],0,0,ROWS(nombres[]),1)=PU$1490,ROW(OFFSET(nombres[],0,0,ROWS(nombres[]),1))-ROW(OFFSET(nombres[],0,0,1,1))+1,ROW(OFFSET(nombres[],ROWS(nombres[])-1,0,1,1))+1),$O1539:$O1558),3),"")</f>
        <v/>
      </c>
      <c r="PV1539" s="42" t="str">
        <f t="array" aca="1" ref="PV1539" ca="1">IFERROR(INDEX(nombres[],SMALL(IF(OFFSET(nombres[],0,0,ROWS(nombres[]),1)=PV$1490,ROW(OFFSET(nombres[],0,0,ROWS(nombres[]),1))-ROW(OFFSET(nombres[],0,0,1,1))+1,ROW(OFFSET(nombres[],ROWS(nombres[])-1,0,1,1))+1),$O1539:$O1558),3),"")</f>
        <v/>
      </c>
      <c r="PW1539" s="42" t="str">
        <f t="array" aca="1" ref="PW1539" ca="1">IFERROR(INDEX(nombres[],SMALL(IF(OFFSET(nombres[],0,0,ROWS(nombres[]),1)=PW$1490,ROW(OFFSET(nombres[],0,0,ROWS(nombres[]),1))-ROW(OFFSET(nombres[],0,0,1,1))+1,ROW(OFFSET(nombres[],ROWS(nombres[])-1,0,1,1))+1),$O1539:$O1558),3),"")</f>
        <v/>
      </c>
      <c r="PX1539" s="42" t="str">
        <f t="array" aca="1" ref="PX1539" ca="1">IFERROR(INDEX(nombres[],SMALL(IF(OFFSET(nombres[],0,0,ROWS(nombres[]),1)=PX$1490,ROW(OFFSET(nombres[],0,0,ROWS(nombres[]),1))-ROW(OFFSET(nombres[],0,0,1,1))+1,ROW(OFFSET(nombres[],ROWS(nombres[])-1,0,1,1))+1),$O1539:$O1558),3),"")</f>
        <v/>
      </c>
      <c r="PY1539" s="42" t="str">
        <f t="array" aca="1" ref="PY1539" ca="1">IFERROR(INDEX(nombres[],SMALL(IF(OFFSET(nombres[],0,0,ROWS(nombres[]),1)=PY$1490,ROW(OFFSET(nombres[],0,0,ROWS(nombres[]),1))-ROW(OFFSET(nombres[],0,0,1,1))+1,ROW(OFFSET(nombres[],ROWS(nombres[])-1,0,1,1))+1),$O1539:$O1558),3),"")</f>
        <v/>
      </c>
      <c r="PZ1539" s="42" t="str">
        <f t="array" aca="1" ref="PZ1539" ca="1">IFERROR(INDEX(nombres[],SMALL(IF(OFFSET(nombres[],0,0,ROWS(nombres[]),1)=PZ$1490,ROW(OFFSET(nombres[],0,0,ROWS(nombres[]),1))-ROW(OFFSET(nombres[],0,0,1,1))+1,ROW(OFFSET(nombres[],ROWS(nombres[])-1,0,1,1))+1),$O1539:$O1558),3),"")</f>
        <v/>
      </c>
      <c r="QA1539" s="42" t="str">
        <f t="array" aca="1" ref="QA1539" ca="1">IFERROR(INDEX(nombres[],SMALL(IF(OFFSET(nombres[],0,0,ROWS(nombres[]),1)=QA$1490,ROW(OFFSET(nombres[],0,0,ROWS(nombres[]),1))-ROW(OFFSET(nombres[],0,0,1,1))+1,ROW(OFFSET(nombres[],ROWS(nombres[])-1,0,1,1))+1),$O1539:$O1558),3),"")</f>
        <v/>
      </c>
      <c r="QB1539" s="42" t="str">
        <f t="array" aca="1" ref="QB1539" ca="1">IFERROR(INDEX(nombres[],SMALL(IF(OFFSET(nombres[],0,0,ROWS(nombres[]),1)=QB$1490,ROW(OFFSET(nombres[],0,0,ROWS(nombres[]),1))-ROW(OFFSET(nombres[],0,0,1,1))+1,ROW(OFFSET(nombres[],ROWS(nombres[])-1,0,1,1))+1),$O1539:$O1558),3),"")</f>
        <v/>
      </c>
      <c r="QC1539" s="42" t="str">
        <f t="array" aca="1" ref="QC1539" ca="1">IFERROR(INDEX(nombres[],SMALL(IF(OFFSET(nombres[],0,0,ROWS(nombres[]),1)=QC$1490,ROW(OFFSET(nombres[],0,0,ROWS(nombres[]),1))-ROW(OFFSET(nombres[],0,0,1,1))+1,ROW(OFFSET(nombres[],ROWS(nombres[])-1,0,1,1))+1),$O1539:$O1558),3),"")</f>
        <v/>
      </c>
      <c r="QD1539" s="42" t="str">
        <f t="array" aca="1" ref="QD1539" ca="1">IFERROR(INDEX(nombres[],SMALL(IF(OFFSET(nombres[],0,0,ROWS(nombres[]),1)=QD$1490,ROW(OFFSET(nombres[],0,0,ROWS(nombres[]),1))-ROW(OFFSET(nombres[],0,0,1,1))+1,ROW(OFFSET(nombres[],ROWS(nombres[])-1,0,1,1))+1),$O1539:$O1558),3),"")</f>
        <v/>
      </c>
      <c r="QE1539" s="42" t="str">
        <f t="array" aca="1" ref="QE1539" ca="1">IFERROR(INDEX(nombres[],SMALL(IF(OFFSET(nombres[],0,0,ROWS(nombres[]),1)=QE$1490,ROW(OFFSET(nombres[],0,0,ROWS(nombres[]),1))-ROW(OFFSET(nombres[],0,0,1,1))+1,ROW(OFFSET(nombres[],ROWS(nombres[])-1,0,1,1))+1),$O1539:$O1558),3),"")</f>
        <v/>
      </c>
      <c r="QF1539" s="42" t="str">
        <f t="array" aca="1" ref="QF1539" ca="1">IFERROR(INDEX(nombres[],SMALL(IF(OFFSET(nombres[],0,0,ROWS(nombres[]),1)=QF$1490,ROW(OFFSET(nombres[],0,0,ROWS(nombres[]),1))-ROW(OFFSET(nombres[],0,0,1,1))+1,ROW(OFFSET(nombres[],ROWS(nombres[])-1,0,1,1))+1),$O1539:$O1558),3),"")</f>
        <v/>
      </c>
      <c r="QG1539" s="42" t="str">
        <f t="array" aca="1" ref="QG1539" ca="1">IFERROR(INDEX(nombres[],SMALL(IF(OFFSET(nombres[],0,0,ROWS(nombres[]),1)=QG$1490,ROW(OFFSET(nombres[],0,0,ROWS(nombres[]),1))-ROW(OFFSET(nombres[],0,0,1,1))+1,ROW(OFFSET(nombres[],ROWS(nombres[])-1,0,1,1))+1),$O1539:$O1558),3),"")</f>
        <v/>
      </c>
      <c r="QH1539" s="42" t="str">
        <f t="array" aca="1" ref="QH1539" ca="1">IFERROR(INDEX(nombres[],SMALL(IF(OFFSET(nombres[],0,0,ROWS(nombres[]),1)=QH$1490,ROW(OFFSET(nombres[],0,0,ROWS(nombres[]),1))-ROW(OFFSET(nombres[],0,0,1,1))+1,ROW(OFFSET(nombres[],ROWS(nombres[])-1,0,1,1))+1),$O1539:$O1558),3),"")</f>
        <v/>
      </c>
      <c r="QI1539" s="42" t="str">
        <f t="array" aca="1" ref="QI1539" ca="1">IFERROR(INDEX(nombres[],SMALL(IF(OFFSET(nombres[],0,0,ROWS(nombres[]),1)=QI$1490,ROW(OFFSET(nombres[],0,0,ROWS(nombres[]),1))-ROW(OFFSET(nombres[],0,0,1,1))+1,ROW(OFFSET(nombres[],ROWS(nombres[])-1,0,1,1))+1),$O1539:$O1558),3),"")</f>
        <v/>
      </c>
      <c r="QJ1539" s="42" t="str">
        <f t="array" aca="1" ref="QJ1539" ca="1">IFERROR(INDEX(nombres[],SMALL(IF(OFFSET(nombres[],0,0,ROWS(nombres[]),1)=QJ$1490,ROW(OFFSET(nombres[],0,0,ROWS(nombres[]),1))-ROW(OFFSET(nombres[],0,0,1,1))+1,ROW(OFFSET(nombres[],ROWS(nombres[])-1,0,1,1))+1),$O1539:$O1558),3),"")</f>
        <v/>
      </c>
      <c r="QK1539" s="42" t="str">
        <f t="array" aca="1" ref="QK1539" ca="1">IFERROR(INDEX(nombres[],SMALL(IF(OFFSET(nombres[],0,0,ROWS(nombres[]),1)=QK$1490,ROW(OFFSET(nombres[],0,0,ROWS(nombres[]),1))-ROW(OFFSET(nombres[],0,0,1,1))+1,ROW(OFFSET(nombres[],ROWS(nombres[])-1,0,1,1))+1),$O1539:$O1558),3),"")</f>
        <v/>
      </c>
      <c r="QL1539" s="42" t="str">
        <f t="array" aca="1" ref="QL1539" ca="1">IFERROR(INDEX(nombres[],SMALL(IF(OFFSET(nombres[],0,0,ROWS(nombres[]),1)=QL$1490,ROW(OFFSET(nombres[],0,0,ROWS(nombres[]),1))-ROW(OFFSET(nombres[],0,0,1,1))+1,ROW(OFFSET(nombres[],ROWS(nombres[])-1,0,1,1))+1),$O1539:$O1558),3),"")</f>
        <v/>
      </c>
      <c r="QM1539" s="42" t="str">
        <f t="array" aca="1" ref="QM1539" ca="1">IFERROR(INDEX(nombres[],SMALL(IF(OFFSET(nombres[],0,0,ROWS(nombres[]),1)=QM$1490,ROW(OFFSET(nombres[],0,0,ROWS(nombres[]),1))-ROW(OFFSET(nombres[],0,0,1,1))+1,ROW(OFFSET(nombres[],ROWS(nombres[])-1,0,1,1))+1),$O1539:$O1558),3),"")</f>
        <v/>
      </c>
      <c r="QN1539" s="42" t="str">
        <f t="array" aca="1" ref="QN1539" ca="1">IFERROR(INDEX(nombres[],SMALL(IF(OFFSET(nombres[],0,0,ROWS(nombres[]),1)=QN$1490,ROW(OFFSET(nombres[],0,0,ROWS(nombres[]),1))-ROW(OFFSET(nombres[],0,0,1,1))+1,ROW(OFFSET(nombres[],ROWS(nombres[])-1,0,1,1))+1),$O1539:$O1558),3),"")</f>
        <v/>
      </c>
      <c r="QO1539" s="42" t="str">
        <f t="array" aca="1" ref="QO1539" ca="1">IFERROR(INDEX(nombres[],SMALL(IF(OFFSET(nombres[],0,0,ROWS(nombres[]),1)=QO$1490,ROW(OFFSET(nombres[],0,0,ROWS(nombres[]),1))-ROW(OFFSET(nombres[],0,0,1,1))+1,ROW(OFFSET(nombres[],ROWS(nombres[])-1,0,1,1))+1),$O1539:$O1558),3),"")</f>
        <v/>
      </c>
      <c r="QP1539" s="42" t="str">
        <f t="array" aca="1" ref="QP1539" ca="1">IFERROR(INDEX(nombres[],SMALL(IF(OFFSET(nombres[],0,0,ROWS(nombres[]),1)=QP$1490,ROW(OFFSET(nombres[],0,0,ROWS(nombres[]),1))-ROW(OFFSET(nombres[],0,0,1,1))+1,ROW(OFFSET(nombres[],ROWS(nombres[])-1,0,1,1))+1),$O1539:$O1558),3),"")</f>
        <v/>
      </c>
      <c r="QQ1539" s="42" t="str">
        <f t="array" aca="1" ref="QQ1539" ca="1">IFERROR(INDEX(nombres[],SMALL(IF(OFFSET(nombres[],0,0,ROWS(nombres[]),1)=QQ$1490,ROW(OFFSET(nombres[],0,0,ROWS(nombres[]),1))-ROW(OFFSET(nombres[],0,0,1,1))+1,ROW(OFFSET(nombres[],ROWS(nombres[])-1,0,1,1))+1),$O1539:$O1558),3),"")</f>
        <v/>
      </c>
      <c r="QR1539" s="42" t="str">
        <f t="array" aca="1" ref="QR1539" ca="1">IFERROR(INDEX(nombres[],SMALL(IF(OFFSET(nombres[],0,0,ROWS(nombres[]),1)=QR$1490,ROW(OFFSET(nombres[],0,0,ROWS(nombres[]),1))-ROW(OFFSET(nombres[],0,0,1,1))+1,ROW(OFFSET(nombres[],ROWS(nombres[])-1,0,1,1))+1),$O1539:$O1558),3),"")</f>
        <v/>
      </c>
      <c r="QS1539" s="42" t="str">
        <f t="array" aca="1" ref="QS1539" ca="1">IFERROR(INDEX(nombres[],SMALL(IF(OFFSET(nombres[],0,0,ROWS(nombres[]),1)=QS$1490,ROW(OFFSET(nombres[],0,0,ROWS(nombres[]),1))-ROW(OFFSET(nombres[],0,0,1,1))+1,ROW(OFFSET(nombres[],ROWS(nombres[])-1,0,1,1))+1),$O1539:$O1558),3),"")</f>
        <v/>
      </c>
      <c r="QT1539" s="42" t="str">
        <f t="array" aca="1" ref="QT1539" ca="1">IFERROR(INDEX(nombres[],SMALL(IF(OFFSET(nombres[],0,0,ROWS(nombres[]),1)=QT$1490,ROW(OFFSET(nombres[],0,0,ROWS(nombres[]),1))-ROW(OFFSET(nombres[],0,0,1,1))+1,ROW(OFFSET(nombres[],ROWS(nombres[])-1,0,1,1))+1),$O1539:$O1558),3),"")</f>
        <v/>
      </c>
      <c r="QU1539" s="42" t="str">
        <f t="array" aca="1" ref="QU1539" ca="1">IFERROR(INDEX(nombres[],SMALL(IF(OFFSET(nombres[],0,0,ROWS(nombres[]),1)=QU$1490,ROW(OFFSET(nombres[],0,0,ROWS(nombres[]),1))-ROW(OFFSET(nombres[],0,0,1,1))+1,ROW(OFFSET(nombres[],ROWS(nombres[])-1,0,1,1))+1),$O1539:$O1558),3),"")</f>
        <v/>
      </c>
      <c r="QV1539" s="42" t="str">
        <f t="array" aca="1" ref="QV1539" ca="1">IFERROR(INDEX(nombres[],SMALL(IF(OFFSET(nombres[],0,0,ROWS(nombres[]),1)=QV$1490,ROW(OFFSET(nombres[],0,0,ROWS(nombres[]),1))-ROW(OFFSET(nombres[],0,0,1,1))+1,ROW(OFFSET(nombres[],ROWS(nombres[])-1,0,1,1))+1),$O1539:$O1558),3),"")</f>
        <v/>
      </c>
      <c r="QW1539" s="42" t="str">
        <f t="array" aca="1" ref="QW1539" ca="1">IFERROR(INDEX(nombres[],SMALL(IF(OFFSET(nombres[],0,0,ROWS(nombres[]),1)=QW$1490,ROW(OFFSET(nombres[],0,0,ROWS(nombres[]),1))-ROW(OFFSET(nombres[],0,0,1,1))+1,ROW(OFFSET(nombres[],ROWS(nombres[])-1,0,1,1))+1),$O1539:$O1558),3),"")</f>
        <v/>
      </c>
      <c r="QX1539" s="42" t="str">
        <f t="array" aca="1" ref="QX1539" ca="1">IFERROR(INDEX(nombres[],SMALL(IF(OFFSET(nombres[],0,0,ROWS(nombres[]),1)=QX$1490,ROW(OFFSET(nombres[],0,0,ROWS(nombres[]),1))-ROW(OFFSET(nombres[],0,0,1,1))+1,ROW(OFFSET(nombres[],ROWS(nombres[])-1,0,1,1))+1),$O1539:$O1558),3),"")</f>
        <v/>
      </c>
      <c r="QY1539" s="42" t="str">
        <f t="array" aca="1" ref="QY1539" ca="1">IFERROR(INDEX(nombres[],SMALL(IF(OFFSET(nombres[],0,0,ROWS(nombres[]),1)=QY$1490,ROW(OFFSET(nombres[],0,0,ROWS(nombres[]),1))-ROW(OFFSET(nombres[],0,0,1,1))+1,ROW(OFFSET(nombres[],ROWS(nombres[])-1,0,1,1))+1),$O1539:$O1558),3),"")</f>
        <v/>
      </c>
      <c r="QZ1539" s="42" t="str">
        <f t="array" aca="1" ref="QZ1539" ca="1">IFERROR(INDEX(nombres[],SMALL(IF(OFFSET(nombres[],0,0,ROWS(nombres[]),1)=QZ$1490,ROW(OFFSET(nombres[],0,0,ROWS(nombres[]),1))-ROW(OFFSET(nombres[],0,0,1,1))+1,ROW(OFFSET(nombres[],ROWS(nombres[])-1,0,1,1))+1),$O1539:$O1558),3),"")</f>
        <v/>
      </c>
      <c r="RA1539" s="42" t="str">
        <f t="array" aca="1" ref="RA1539" ca="1">IFERROR(INDEX(nombres[],SMALL(IF(OFFSET(nombres[],0,0,ROWS(nombres[]),1)=RA$1490,ROW(OFFSET(nombres[],0,0,ROWS(nombres[]),1))-ROW(OFFSET(nombres[],0,0,1,1))+1,ROW(OFFSET(nombres[],ROWS(nombres[])-1,0,1,1))+1),$O1539:$O1558),3),"")</f>
        <v/>
      </c>
      <c r="RB1539" s="42" t="str">
        <f t="array" aca="1" ref="RB1539" ca="1">IFERROR(INDEX(nombres[],SMALL(IF(OFFSET(nombres[],0,0,ROWS(nombres[]),1)=RB$1490,ROW(OFFSET(nombres[],0,0,ROWS(nombres[]),1))-ROW(OFFSET(nombres[],0,0,1,1))+1,ROW(OFFSET(nombres[],ROWS(nombres[])-1,0,1,1))+1),$O1539:$O1558),3),"")</f>
        <v/>
      </c>
      <c r="RC1539" s="42" t="str">
        <f t="array" aca="1" ref="RC1539" ca="1">IFERROR(INDEX(nombres[],SMALL(IF(OFFSET(nombres[],0,0,ROWS(nombres[]),1)=RC$1490,ROW(OFFSET(nombres[],0,0,ROWS(nombres[]),1))-ROW(OFFSET(nombres[],0,0,1,1))+1,ROW(OFFSET(nombres[],ROWS(nombres[])-1,0,1,1))+1),$O1539:$O1558),3),"")</f>
        <v/>
      </c>
      <c r="RD1539" s="42" t="str">
        <f t="array" aca="1" ref="RD1539" ca="1">IFERROR(INDEX(nombres[],SMALL(IF(OFFSET(nombres[],0,0,ROWS(nombres[]),1)=RD$1490,ROW(OFFSET(nombres[],0,0,ROWS(nombres[]),1))-ROW(OFFSET(nombres[],0,0,1,1))+1,ROW(OFFSET(nombres[],ROWS(nombres[])-1,0,1,1))+1),$O1539:$O1558),3),"")</f>
        <v/>
      </c>
      <c r="RE1539" s="42" t="str">
        <f t="array" aca="1" ref="RE1539" ca="1">IFERROR(INDEX(nombres[],SMALL(IF(OFFSET(nombres[],0,0,ROWS(nombres[]),1)=RE$1490,ROW(OFFSET(nombres[],0,0,ROWS(nombres[]),1))-ROW(OFFSET(nombres[],0,0,1,1))+1,ROW(OFFSET(nombres[],ROWS(nombres[])-1,0,1,1))+1),$O1539:$O1558),3),"")</f>
        <v/>
      </c>
      <c r="RF1539" s="42" t="str">
        <f t="array" aca="1" ref="RF1539" ca="1">IFERROR(INDEX(nombres[],SMALL(IF(OFFSET(nombres[],0,0,ROWS(nombres[]),1)=RF$1490,ROW(OFFSET(nombres[],0,0,ROWS(nombres[]),1))-ROW(OFFSET(nombres[],0,0,1,1))+1,ROW(OFFSET(nombres[],ROWS(nombres[])-1,0,1,1))+1),$O1539:$O1558),3),"")</f>
        <v/>
      </c>
      <c r="RG1539" s="42" t="str">
        <f t="array" aca="1" ref="RG1539" ca="1">IFERROR(INDEX(nombres[],SMALL(IF(OFFSET(nombres[],0,0,ROWS(nombres[]),1)=RG$1490,ROW(OFFSET(nombres[],0,0,ROWS(nombres[]),1))-ROW(OFFSET(nombres[],0,0,1,1))+1,ROW(OFFSET(nombres[],ROWS(nombres[])-1,0,1,1))+1),$O1539:$O1558),3),"")</f>
        <v/>
      </c>
      <c r="RH1539" s="42" t="str">
        <f t="array" aca="1" ref="RH1539" ca="1">IFERROR(INDEX(nombres[],SMALL(IF(OFFSET(nombres[],0,0,ROWS(nombres[]),1)=RH$1490,ROW(OFFSET(nombres[],0,0,ROWS(nombres[]),1))-ROW(OFFSET(nombres[],0,0,1,1))+1,ROW(OFFSET(nombres[],ROWS(nombres[])-1,0,1,1))+1),$O1539:$O1558),3),"")</f>
        <v/>
      </c>
      <c r="RI1539" s="42" t="str">
        <f t="array" aca="1" ref="RI1539" ca="1">IFERROR(INDEX(nombres[],SMALL(IF(OFFSET(nombres[],0,0,ROWS(nombres[]),1)=RI$1490,ROW(OFFSET(nombres[],0,0,ROWS(nombres[]),1))-ROW(OFFSET(nombres[],0,0,1,1))+1,ROW(OFFSET(nombres[],ROWS(nombres[])-1,0,1,1))+1),$O1539:$O1558),3),"")</f>
        <v/>
      </c>
      <c r="RJ1539" s="42" t="str">
        <f t="array" aca="1" ref="RJ1539" ca="1">IFERROR(INDEX(nombres[],SMALL(IF(OFFSET(nombres[],0,0,ROWS(nombres[]),1)=RJ$1490,ROW(OFFSET(nombres[],0,0,ROWS(nombres[]),1))-ROW(OFFSET(nombres[],0,0,1,1))+1,ROW(OFFSET(nombres[],ROWS(nombres[])-1,0,1,1))+1),$O1539:$O1558),3),"")</f>
        <v/>
      </c>
      <c r="RK1539" s="42" t="str">
        <f t="array" aca="1" ref="RK1539" ca="1">IFERROR(INDEX(nombres[],SMALL(IF(OFFSET(nombres[],0,0,ROWS(nombres[]),1)=RK$1490,ROW(OFFSET(nombres[],0,0,ROWS(nombres[]),1))-ROW(OFFSET(nombres[],0,0,1,1))+1,ROW(OFFSET(nombres[],ROWS(nombres[])-1,0,1,1))+1),$O1539:$O1558),3),"")</f>
        <v/>
      </c>
      <c r="RL1539" s="42" t="str">
        <f t="array" aca="1" ref="RL1539" ca="1">IFERROR(INDEX(nombres[],SMALL(IF(OFFSET(nombres[],0,0,ROWS(nombres[]),1)=RL$1490,ROW(OFFSET(nombres[],0,0,ROWS(nombres[]),1))-ROW(OFFSET(nombres[],0,0,1,1))+1,ROW(OFFSET(nombres[],ROWS(nombres[])-1,0,1,1))+1),$O1539:$O1558),3),"")</f>
        <v/>
      </c>
      <c r="RM1539" s="42" t="str">
        <f t="array" aca="1" ref="RM1539" ca="1">IFERROR(INDEX(nombres[],SMALL(IF(OFFSET(nombres[],0,0,ROWS(nombres[]),1)=RM$1490,ROW(OFFSET(nombres[],0,0,ROWS(nombres[]),1))-ROW(OFFSET(nombres[],0,0,1,1))+1,ROW(OFFSET(nombres[],ROWS(nombres[])-1,0,1,1))+1),$O1539:$O1558),3),"")</f>
        <v/>
      </c>
      <c r="RN1539" s="42" t="str">
        <f t="array" aca="1" ref="RN1539" ca="1">IFERROR(INDEX(nombres[],SMALL(IF(OFFSET(nombres[],0,0,ROWS(nombres[]),1)=RN$1490,ROW(OFFSET(nombres[],0,0,ROWS(nombres[]),1))-ROW(OFFSET(nombres[],0,0,1,1))+1,ROW(OFFSET(nombres[],ROWS(nombres[])-1,0,1,1))+1),$O1539:$O1558),3),"")</f>
        <v/>
      </c>
      <c r="RO1539" s="42" t="str">
        <f t="array" aca="1" ref="RO1539" ca="1">IFERROR(INDEX(nombres[],SMALL(IF(OFFSET(nombres[],0,0,ROWS(nombres[]),1)=RO$1490,ROW(OFFSET(nombres[],0,0,ROWS(nombres[]),1))-ROW(OFFSET(nombres[],0,0,1,1))+1,ROW(OFFSET(nombres[],ROWS(nombres[])-1,0,1,1))+1),$O1539:$O1558),3),"")</f>
        <v/>
      </c>
      <c r="RP1539" s="42" t="str">
        <f t="array" aca="1" ref="RP1539" ca="1">IFERROR(INDEX(nombres[],SMALL(IF(OFFSET(nombres[],0,0,ROWS(nombres[]),1)=RP$1490,ROW(OFFSET(nombres[],0,0,ROWS(nombres[]),1))-ROW(OFFSET(nombres[],0,0,1,1))+1,ROW(OFFSET(nombres[],ROWS(nombres[])-1,0,1,1))+1),$O1539:$O1558),3),"")</f>
        <v/>
      </c>
      <c r="RQ1539" s="42" t="str">
        <f t="array" aca="1" ref="RQ1539" ca="1">IFERROR(INDEX(nombres[],SMALL(IF(OFFSET(nombres[],0,0,ROWS(nombres[]),1)=RQ$1490,ROW(OFFSET(nombres[],0,0,ROWS(nombres[]),1))-ROW(OFFSET(nombres[],0,0,1,1))+1,ROW(OFFSET(nombres[],ROWS(nombres[])-1,0,1,1))+1),$O1539:$O1558),3),"")</f>
        <v/>
      </c>
      <c r="RR1539" s="42" t="str">
        <f t="array" aca="1" ref="RR1539" ca="1">IFERROR(INDEX(nombres[],SMALL(IF(OFFSET(nombres[],0,0,ROWS(nombres[]),1)=RR$1490,ROW(OFFSET(nombres[],0,0,ROWS(nombres[]),1))-ROW(OFFSET(nombres[],0,0,1,1))+1,ROW(OFFSET(nombres[],ROWS(nombres[])-1,0,1,1))+1),$O1539:$O1558),3),"")</f>
        <v/>
      </c>
      <c r="RS1539" s="42" t="str">
        <f t="array" aca="1" ref="RS1539" ca="1">IFERROR(INDEX(nombres[],SMALL(IF(OFFSET(nombres[],0,0,ROWS(nombres[]),1)=RS$1490,ROW(OFFSET(nombres[],0,0,ROWS(nombres[]),1))-ROW(OFFSET(nombres[],0,0,1,1))+1,ROW(OFFSET(nombres[],ROWS(nombres[])-1,0,1,1))+1),$O1539:$O1558),3),"")</f>
        <v/>
      </c>
      <c r="RT1539" s="42" t="str">
        <f t="array" aca="1" ref="RT1539" ca="1">IFERROR(INDEX(nombres[],SMALL(IF(OFFSET(nombres[],0,0,ROWS(nombres[]),1)=RT$1490,ROW(OFFSET(nombres[],0,0,ROWS(nombres[]),1))-ROW(OFFSET(nombres[],0,0,1,1))+1,ROW(OFFSET(nombres[],ROWS(nombres[])-1,0,1,1))+1),$O1539:$O1558),3),"")</f>
        <v/>
      </c>
      <c r="RU1539" s="42" t="str">
        <f t="array" aca="1" ref="RU1539" ca="1">IFERROR(INDEX(nombres[],SMALL(IF(OFFSET(nombres[],0,0,ROWS(nombres[]),1)=RU$1490,ROW(OFFSET(nombres[],0,0,ROWS(nombres[]),1))-ROW(OFFSET(nombres[],0,0,1,1))+1,ROW(OFFSET(nombres[],ROWS(nombres[])-1,0,1,1))+1),$O1539:$O1558),3),"")</f>
        <v/>
      </c>
      <c r="RV1539" s="42" t="str">
        <f t="array" aca="1" ref="RV1539" ca="1">IFERROR(INDEX(nombres[],SMALL(IF(OFFSET(nombres[],0,0,ROWS(nombres[]),1)=RV$1490,ROW(OFFSET(nombres[],0,0,ROWS(nombres[]),1))-ROW(OFFSET(nombres[],0,0,1,1))+1,ROW(OFFSET(nombres[],ROWS(nombres[])-1,0,1,1))+1),$O1539:$O1558),3),"")</f>
        <v/>
      </c>
      <c r="RW1539" s="42" t="str">
        <f t="array" aca="1" ref="RW1539" ca="1">IFERROR(INDEX(nombres[],SMALL(IF(OFFSET(nombres[],0,0,ROWS(nombres[]),1)=RW$1490,ROW(OFFSET(nombres[],0,0,ROWS(nombres[]),1))-ROW(OFFSET(nombres[],0,0,1,1))+1,ROW(OFFSET(nombres[],ROWS(nombres[])-1,0,1,1))+1),$O1539:$O1558),3),"")</f>
        <v/>
      </c>
      <c r="RX1539" s="42" t="str">
        <f t="array" aca="1" ref="RX1539" ca="1">IFERROR(INDEX(nombres[],SMALL(IF(OFFSET(nombres[],0,0,ROWS(nombres[]),1)=RX$1490,ROW(OFFSET(nombres[],0,0,ROWS(nombres[]),1))-ROW(OFFSET(nombres[],0,0,1,1))+1,ROW(OFFSET(nombres[],ROWS(nombres[])-1,0,1,1))+1),$O1539:$O1558),3),"")</f>
        <v/>
      </c>
      <c r="RY1539" s="42" t="str">
        <f t="array" aca="1" ref="RY1539" ca="1">IFERROR(INDEX(nombres[],SMALL(IF(OFFSET(nombres[],0,0,ROWS(nombres[]),1)=RY$1490,ROW(OFFSET(nombres[],0,0,ROWS(nombres[]),1))-ROW(OFFSET(nombres[],0,0,1,1))+1,ROW(OFFSET(nombres[],ROWS(nombres[])-1,0,1,1))+1),$O1539:$O1558),3),"")</f>
        <v/>
      </c>
      <c r="RZ1539" s="42" t="str">
        <f t="array" aca="1" ref="RZ1539" ca="1">IFERROR(INDEX(nombres[],SMALL(IF(OFFSET(nombres[],0,0,ROWS(nombres[]),1)=RZ$1490,ROW(OFFSET(nombres[],0,0,ROWS(nombres[]),1))-ROW(OFFSET(nombres[],0,0,1,1))+1,ROW(OFFSET(nombres[],ROWS(nombres[])-1,0,1,1))+1),$O1539:$O1558),3),"")</f>
        <v/>
      </c>
      <c r="SA1539" s="42" t="str">
        <f t="array" aca="1" ref="SA1539" ca="1">IFERROR(INDEX(nombres[],SMALL(IF(OFFSET(nombres[],0,0,ROWS(nombres[]),1)=SA$1490,ROW(OFFSET(nombres[],0,0,ROWS(nombres[]),1))-ROW(OFFSET(nombres[],0,0,1,1))+1,ROW(OFFSET(nombres[],ROWS(nombres[])-1,0,1,1))+1),$O1539:$O1558),3),"")</f>
        <v/>
      </c>
      <c r="SB1539" s="42" t="str">
        <f t="array" aca="1" ref="SB1539" ca="1">IFERROR(INDEX(nombres[],SMALL(IF(OFFSET(nombres[],0,0,ROWS(nombres[]),1)=SB$1490,ROW(OFFSET(nombres[],0,0,ROWS(nombres[]),1))-ROW(OFFSET(nombres[],0,0,1,1))+1,ROW(OFFSET(nombres[],ROWS(nombres[])-1,0,1,1))+1),$O1539:$O1558),3),"")</f>
        <v/>
      </c>
      <c r="SC1539" s="42" t="str">
        <f t="array" aca="1" ref="SC1539" ca="1">IFERROR(INDEX(nombres[],SMALL(IF(OFFSET(nombres[],0,0,ROWS(nombres[]),1)=SC$1490,ROW(OFFSET(nombres[],0,0,ROWS(nombres[]),1))-ROW(OFFSET(nombres[],0,0,1,1))+1,ROW(OFFSET(nombres[],ROWS(nombres[])-1,0,1,1))+1),$O1539:$O1558),3),"")</f>
        <v/>
      </c>
      <c r="SD1539" s="42" t="str">
        <f t="array" aca="1" ref="SD1539" ca="1">IFERROR(INDEX(nombres[],SMALL(IF(OFFSET(nombres[],0,0,ROWS(nombres[]),1)=SD$1490,ROW(OFFSET(nombres[],0,0,ROWS(nombres[]),1))-ROW(OFFSET(nombres[],0,0,1,1))+1,ROW(OFFSET(nombres[],ROWS(nombres[])-1,0,1,1))+1),$O1539:$O1558),3),"")</f>
        <v/>
      </c>
      <c r="SE1539" s="42" t="str">
        <f t="array" aca="1" ref="SE1539" ca="1">IFERROR(INDEX(nombres[],SMALL(IF(OFFSET(nombres[],0,0,ROWS(nombres[]),1)=SE$1490,ROW(OFFSET(nombres[],0,0,ROWS(nombres[]),1))-ROW(OFFSET(nombres[],0,0,1,1))+1,ROW(OFFSET(nombres[],ROWS(nombres[])-1,0,1,1))+1),$O1539:$O1558),3),"")</f>
        <v/>
      </c>
      <c r="SF1539" s="42" t="str">
        <f t="array" aca="1" ref="SF1539" ca="1">IFERROR(INDEX(nombres[],SMALL(IF(OFFSET(nombres[],0,0,ROWS(nombres[]),1)=SF$1490,ROW(OFFSET(nombres[],0,0,ROWS(nombres[]),1))-ROW(OFFSET(nombres[],0,0,1,1))+1,ROW(OFFSET(nombres[],ROWS(nombres[])-1,0,1,1))+1),$O1539:$O1558),3),"")</f>
        <v/>
      </c>
      <c r="SG1539" s="42" t="str">
        <f t="array" aca="1" ref="SG1539" ca="1">IFERROR(INDEX(nombres[],SMALL(IF(OFFSET(nombres[],0,0,ROWS(nombres[]),1)=SG$1490,ROW(OFFSET(nombres[],0,0,ROWS(nombres[]),1))-ROW(OFFSET(nombres[],0,0,1,1))+1,ROW(OFFSET(nombres[],ROWS(nombres[])-1,0,1,1))+1),$O1539:$O1558),3),"")</f>
        <v/>
      </c>
      <c r="SH1539" s="42" t="str">
        <f t="array" aca="1" ref="SH1539" ca="1">IFERROR(INDEX(nombres[],SMALL(IF(OFFSET(nombres[],0,0,ROWS(nombres[]),1)=SH$1490,ROW(OFFSET(nombres[],0,0,ROWS(nombres[]),1))-ROW(OFFSET(nombres[],0,0,1,1))+1,ROW(OFFSET(nombres[],ROWS(nombres[])-1,0,1,1))+1),$O1539:$O1558),3),"")</f>
        <v/>
      </c>
      <c r="SI1539" s="42" t="str">
        <f t="array" aca="1" ref="SI1539" ca="1">IFERROR(INDEX(nombres[],SMALL(IF(OFFSET(nombres[],0,0,ROWS(nombres[]),1)=SI$1490,ROW(OFFSET(nombres[],0,0,ROWS(nombres[]),1))-ROW(OFFSET(nombres[],0,0,1,1))+1,ROW(OFFSET(nombres[],ROWS(nombres[])-1,0,1,1))+1),$O1539:$O1558),3),"")</f>
        <v/>
      </c>
      <c r="SJ1539" s="42" t="str">
        <f t="array" aca="1" ref="SJ1539" ca="1">IFERROR(INDEX(nombres[],SMALL(IF(OFFSET(nombres[],0,0,ROWS(nombres[]),1)=SJ$1490,ROW(OFFSET(nombres[],0,0,ROWS(nombres[]),1))-ROW(OFFSET(nombres[],0,0,1,1))+1,ROW(OFFSET(nombres[],ROWS(nombres[])-1,0,1,1))+1),$O1539:$O1558),3),"")</f>
        <v/>
      </c>
      <c r="SK1539" s="42" t="str">
        <f t="array" aca="1" ref="SK1539" ca="1">IFERROR(INDEX(nombres[],SMALL(IF(OFFSET(nombres[],0,0,ROWS(nombres[]),1)=SK$1490,ROW(OFFSET(nombres[],0,0,ROWS(nombres[]),1))-ROW(OFFSET(nombres[],0,0,1,1))+1,ROW(OFFSET(nombres[],ROWS(nombres[])-1,0,1,1))+1),$O1539:$O1558),3),"")</f>
        <v/>
      </c>
      <c r="SL1539" s="42" t="str">
        <f t="array" aca="1" ref="SL1539" ca="1">IFERROR(INDEX(nombres[],SMALL(IF(OFFSET(nombres[],0,0,ROWS(nombres[]),1)=SL$1490,ROW(OFFSET(nombres[],0,0,ROWS(nombres[]),1))-ROW(OFFSET(nombres[],0,0,1,1))+1,ROW(OFFSET(nombres[],ROWS(nombres[])-1,0,1,1))+1),$O1539:$O1558),3),"")</f>
        <v/>
      </c>
      <c r="SM1539" s="42" t="str">
        <f t="array" aca="1" ref="SM1539" ca="1">IFERROR(INDEX(nombres[],SMALL(IF(OFFSET(nombres[],0,0,ROWS(nombres[]),1)=SM$1490,ROW(OFFSET(nombres[],0,0,ROWS(nombres[]),1))-ROW(OFFSET(nombres[],0,0,1,1))+1,ROW(OFFSET(nombres[],ROWS(nombres[])-1,0,1,1))+1),$O1539:$O1558),3),"")</f>
        <v/>
      </c>
      <c r="SN1539" s="42" t="str">
        <f t="array" aca="1" ref="SN1539" ca="1">IFERROR(INDEX(nombres[],SMALL(IF(OFFSET(nombres[],0,0,ROWS(nombres[]),1)=SN$1490,ROW(OFFSET(nombres[],0,0,ROWS(nombres[]),1))-ROW(OFFSET(nombres[],0,0,1,1))+1,ROW(OFFSET(nombres[],ROWS(nombres[])-1,0,1,1))+1),$O1539:$O1558),3),"")</f>
        <v/>
      </c>
      <c r="SO1539" s="42" t="str">
        <f t="array" aca="1" ref="SO1539" ca="1">IFERROR(INDEX(nombres[],SMALL(IF(OFFSET(nombres[],0,0,ROWS(nombres[]),1)=SO$1490,ROW(OFFSET(nombres[],0,0,ROWS(nombres[]),1))-ROW(OFFSET(nombres[],0,0,1,1))+1,ROW(OFFSET(nombres[],ROWS(nombres[])-1,0,1,1))+1),$O1539:$O1558),3),"")</f>
        <v/>
      </c>
      <c r="SP1539" s="42" t="str">
        <f t="array" aca="1" ref="SP1539" ca="1">IFERROR(INDEX(nombres[],SMALL(IF(OFFSET(nombres[],0,0,ROWS(nombres[]),1)=SP$1490,ROW(OFFSET(nombres[],0,0,ROWS(nombres[]),1))-ROW(OFFSET(nombres[],0,0,1,1))+1,ROW(OFFSET(nombres[],ROWS(nombres[])-1,0,1,1))+1),$O1539:$O1558),3),"")</f>
        <v/>
      </c>
      <c r="SQ1539" s="42" t="str">
        <f t="array" aca="1" ref="SQ1539" ca="1">IFERROR(INDEX(nombres[],SMALL(IF(OFFSET(nombres[],0,0,ROWS(nombres[]),1)=SQ$1490,ROW(OFFSET(nombres[],0,0,ROWS(nombres[]),1))-ROW(OFFSET(nombres[],0,0,1,1))+1,ROW(OFFSET(nombres[],ROWS(nombres[])-1,0,1,1))+1),$O1539:$O1558),3),"")</f>
        <v/>
      </c>
      <c r="SR1539" s="42" t="str">
        <f t="array" aca="1" ref="SR1539" ca="1">IFERROR(INDEX(nombres[],SMALL(IF(OFFSET(nombres[],0,0,ROWS(nombres[]),1)=SR$1490,ROW(OFFSET(nombres[],0,0,ROWS(nombres[]),1))-ROW(OFFSET(nombres[],0,0,1,1))+1,ROW(OFFSET(nombres[],ROWS(nombres[])-1,0,1,1))+1),$O1539:$O1558),3),"")</f>
        <v/>
      </c>
      <c r="SS1539" s="42" t="str">
        <f t="array" aca="1" ref="SS1539" ca="1">IFERROR(INDEX(nombres[],SMALL(IF(OFFSET(nombres[],0,0,ROWS(nombres[]),1)=SS$1490,ROW(OFFSET(nombres[],0,0,ROWS(nombres[]),1))-ROW(OFFSET(nombres[],0,0,1,1))+1,ROW(OFFSET(nombres[],ROWS(nombres[])-1,0,1,1))+1),$O1539:$O1558),3),"")</f>
        <v/>
      </c>
      <c r="ST1539" s="42" t="str">
        <f t="array" aca="1" ref="ST1539" ca="1">IFERROR(INDEX(nombres[],SMALL(IF(OFFSET(nombres[],0,0,ROWS(nombres[]),1)=ST$1490,ROW(OFFSET(nombres[],0,0,ROWS(nombres[]),1))-ROW(OFFSET(nombres[],0,0,1,1))+1,ROW(OFFSET(nombres[],ROWS(nombres[])-1,0,1,1))+1),$O1539:$O1558),3),"")</f>
        <v/>
      </c>
      <c r="SU1539" s="42" t="str">
        <f t="array" aca="1" ref="SU1539" ca="1">IFERROR(INDEX(nombres[],SMALL(IF(OFFSET(nombres[],0,0,ROWS(nombres[]),1)=SU$1490,ROW(OFFSET(nombres[],0,0,ROWS(nombres[]),1))-ROW(OFFSET(nombres[],0,0,1,1))+1,ROW(OFFSET(nombres[],ROWS(nombres[])-1,0,1,1))+1),$O1539:$O1558),3),"")</f>
        <v/>
      </c>
      <c r="SV1539" s="42" t="str">
        <f t="array" aca="1" ref="SV1539" ca="1">IFERROR(INDEX(nombres[],SMALL(IF(OFFSET(nombres[],0,0,ROWS(nombres[]),1)=SV$1490,ROW(OFFSET(nombres[],0,0,ROWS(nombres[]),1))-ROW(OFFSET(nombres[],0,0,1,1))+1,ROW(OFFSET(nombres[],ROWS(nombres[])-1,0,1,1))+1),$O1539:$O1558),3),"")</f>
        <v/>
      </c>
      <c r="SW1539" s="42" t="str">
        <f t="array" aca="1" ref="SW1539" ca="1">IFERROR(INDEX(nombres[],SMALL(IF(OFFSET(nombres[],0,0,ROWS(nombres[]),1)=SW$1490,ROW(OFFSET(nombres[],0,0,ROWS(nombres[]),1))-ROW(OFFSET(nombres[],0,0,1,1))+1,ROW(OFFSET(nombres[],ROWS(nombres[])-1,0,1,1))+1),$O1539:$O1558),3),"")</f>
        <v/>
      </c>
      <c r="SX1539" s="42" t="str">
        <f t="array" aca="1" ref="SX1539" ca="1">IFERROR(INDEX(nombres[],SMALL(IF(OFFSET(nombres[],0,0,ROWS(nombres[]),1)=SX$1490,ROW(OFFSET(nombres[],0,0,ROWS(nombres[]),1))-ROW(OFFSET(nombres[],0,0,1,1))+1,ROW(OFFSET(nombres[],ROWS(nombres[])-1,0,1,1))+1),$O1539:$O1558),3),"")</f>
        <v/>
      </c>
      <c r="SY1539" s="42" t="str">
        <f t="array" aca="1" ref="SY1539" ca="1">IFERROR(INDEX(nombres[],SMALL(IF(OFFSET(nombres[],0,0,ROWS(nombres[]),1)=SY$1490,ROW(OFFSET(nombres[],0,0,ROWS(nombres[]),1))-ROW(OFFSET(nombres[],0,0,1,1))+1,ROW(OFFSET(nombres[],ROWS(nombres[])-1,0,1,1))+1),$O1539:$O1558),3),"")</f>
        <v/>
      </c>
      <c r="SZ1539" s="42" t="str">
        <f t="array" aca="1" ref="SZ1539" ca="1">IFERROR(INDEX(nombres[],SMALL(IF(OFFSET(nombres[],0,0,ROWS(nombres[]),1)=SZ$1490,ROW(OFFSET(nombres[],0,0,ROWS(nombres[]),1))-ROW(OFFSET(nombres[],0,0,1,1))+1,ROW(OFFSET(nombres[],ROWS(nombres[])-1,0,1,1))+1),$O1539:$O1558),3),"")</f>
        <v/>
      </c>
      <c r="TA1539" s="42" t="str">
        <f t="array" aca="1" ref="TA1539" ca="1">IFERROR(INDEX(nombres[],SMALL(IF(OFFSET(nombres[],0,0,ROWS(nombres[]),1)=TA$1490,ROW(OFFSET(nombres[],0,0,ROWS(nombres[]),1))-ROW(OFFSET(nombres[],0,0,1,1))+1,ROW(OFFSET(nombres[],ROWS(nombres[])-1,0,1,1))+1),$O1539:$O1558),3),"")</f>
        <v/>
      </c>
      <c r="TB1539" s="42" t="str">
        <f t="array" aca="1" ref="TB1539" ca="1">IFERROR(INDEX(nombres[],SMALL(IF(OFFSET(nombres[],0,0,ROWS(nombres[]),1)=TB$1490,ROW(OFFSET(nombres[],0,0,ROWS(nombres[]),1))-ROW(OFFSET(nombres[],0,0,1,1))+1,ROW(OFFSET(nombres[],ROWS(nombres[])-1,0,1,1))+1),$O1539:$O1558),3),"")</f>
        <v/>
      </c>
      <c r="TC1539" s="42" t="str">
        <f t="array" aca="1" ref="TC1539" ca="1">IFERROR(INDEX(nombres[],SMALL(IF(OFFSET(nombres[],0,0,ROWS(nombres[]),1)=TC$1490,ROW(OFFSET(nombres[],0,0,ROWS(nombres[]),1))-ROW(OFFSET(nombres[],0,0,1,1))+1,ROW(OFFSET(nombres[],ROWS(nombres[])-1,0,1,1))+1),$O1539:$O1558),3),"")</f>
        <v/>
      </c>
      <c r="TD1539" s="42" t="str">
        <f t="array" aca="1" ref="TD1539" ca="1">IFERROR(INDEX(nombres[],SMALL(IF(OFFSET(nombres[],0,0,ROWS(nombres[]),1)=TD$1490,ROW(OFFSET(nombres[],0,0,ROWS(nombres[]),1))-ROW(OFFSET(nombres[],0,0,1,1))+1,ROW(OFFSET(nombres[],ROWS(nombres[])-1,0,1,1))+1),$O1539:$O1558),3),"")</f>
        <v/>
      </c>
      <c r="TE1539" s="42" t="str">
        <f t="array" aca="1" ref="TE1539" ca="1">IFERROR(INDEX(nombres[],SMALL(IF(OFFSET(nombres[],0,0,ROWS(nombres[]),1)=TE$1490,ROW(OFFSET(nombres[],0,0,ROWS(nombres[]),1))-ROW(OFFSET(nombres[],0,0,1,1))+1,ROW(OFFSET(nombres[],ROWS(nombres[])-1,0,1,1))+1),$O1539:$O1558),3),"")</f>
        <v/>
      </c>
      <c r="TF1539" s="42" t="str">
        <f t="array" aca="1" ref="TF1539" ca="1">IFERROR(INDEX(nombres[],SMALL(IF(OFFSET(nombres[],0,0,ROWS(nombres[]),1)=TF$1490,ROW(OFFSET(nombres[],0,0,ROWS(nombres[]),1))-ROW(OFFSET(nombres[],0,0,1,1))+1,ROW(OFFSET(nombres[],ROWS(nombres[])-1,0,1,1))+1),$O1539:$O1558),3),"")</f>
        <v/>
      </c>
      <c r="TG1539" s="42" t="str">
        <f t="array" aca="1" ref="TG1539" ca="1">IFERROR(INDEX(nombres[],SMALL(IF(OFFSET(nombres[],0,0,ROWS(nombres[]),1)=TG$1490,ROW(OFFSET(nombres[],0,0,ROWS(nombres[]),1))-ROW(OFFSET(nombres[],0,0,1,1))+1,ROW(OFFSET(nombres[],ROWS(nombres[])-1,0,1,1))+1),$O1539:$O1558),3),"")</f>
        <v/>
      </c>
      <c r="TH1539" s="42" t="str">
        <f t="array" aca="1" ref="TH1539" ca="1">IFERROR(INDEX(nombres[],SMALL(IF(OFFSET(nombres[],0,0,ROWS(nombres[]),1)=TH$1490,ROW(OFFSET(nombres[],0,0,ROWS(nombres[]),1))-ROW(OFFSET(nombres[],0,0,1,1))+1,ROW(OFFSET(nombres[],ROWS(nombres[])-1,0,1,1))+1),$O1539:$O1558),3),"")</f>
        <v/>
      </c>
      <c r="TI1539" s="42" t="str">
        <f t="array" aca="1" ref="TI1539" ca="1">IFERROR(INDEX(nombres[],SMALL(IF(OFFSET(nombres[],0,0,ROWS(nombres[]),1)=TI$1490,ROW(OFFSET(nombres[],0,0,ROWS(nombres[]),1))-ROW(OFFSET(nombres[],0,0,1,1))+1,ROW(OFFSET(nombres[],ROWS(nombres[])-1,0,1,1))+1),$O1539:$O1558),3),"")</f>
        <v/>
      </c>
      <c r="TJ1539" s="42" t="str">
        <f t="array" aca="1" ref="TJ1539" ca="1">IFERROR(INDEX(nombres[],SMALL(IF(OFFSET(nombres[],0,0,ROWS(nombres[]),1)=TJ$1490,ROW(OFFSET(nombres[],0,0,ROWS(nombres[]),1))-ROW(OFFSET(nombres[],0,0,1,1))+1,ROW(OFFSET(nombres[],ROWS(nombres[])-1,0,1,1))+1),$O1539:$O1558),3),"")</f>
        <v/>
      </c>
      <c r="TK1539" s="42" t="str">
        <f t="array" aca="1" ref="TK1539" ca="1">IFERROR(INDEX(nombres[],SMALL(IF(OFFSET(nombres[],0,0,ROWS(nombres[]),1)=TK$1490,ROW(OFFSET(nombres[],0,0,ROWS(nombres[]),1))-ROW(OFFSET(nombres[],0,0,1,1))+1,ROW(OFFSET(nombres[],ROWS(nombres[])-1,0,1,1))+1),$O1539:$O1558),3),"")</f>
        <v/>
      </c>
      <c r="TL1539" s="42" t="str">
        <f t="array" aca="1" ref="TL1539" ca="1">IFERROR(INDEX(nombres[],SMALL(IF(OFFSET(nombres[],0,0,ROWS(nombres[]),1)=TL$1490,ROW(OFFSET(nombres[],0,0,ROWS(nombres[]),1))-ROW(OFFSET(nombres[],0,0,1,1))+1,ROW(OFFSET(nombres[],ROWS(nombres[])-1,0,1,1))+1),$O1539:$O1558),3),"")</f>
        <v/>
      </c>
      <c r="TM1539" s="42" t="str">
        <f t="array" aca="1" ref="TM1539" ca="1">IFERROR(INDEX(nombres[],SMALL(IF(OFFSET(nombres[],0,0,ROWS(nombres[]),1)=TM$1490,ROW(OFFSET(nombres[],0,0,ROWS(nombres[]),1))-ROW(OFFSET(nombres[],0,0,1,1))+1,ROW(OFFSET(nombres[],ROWS(nombres[])-1,0,1,1))+1),$O1539:$O1558),3),"")</f>
        <v/>
      </c>
      <c r="TN1539" s="42" t="str">
        <f t="array" aca="1" ref="TN1539" ca="1">IFERROR(INDEX(nombres[],SMALL(IF(OFFSET(nombres[],0,0,ROWS(nombres[]),1)=TN$1490,ROW(OFFSET(nombres[],0,0,ROWS(nombres[]),1))-ROW(OFFSET(nombres[],0,0,1,1))+1,ROW(OFFSET(nombres[],ROWS(nombres[])-1,0,1,1))+1),$O1539:$O1558),3),"")</f>
        <v/>
      </c>
      <c r="TO1539" s="42" t="str">
        <f t="array" aca="1" ref="TO1539" ca="1">IFERROR(INDEX(nombres[],SMALL(IF(OFFSET(nombres[],0,0,ROWS(nombres[]),1)=TO$1490,ROW(OFFSET(nombres[],0,0,ROWS(nombres[]),1))-ROW(OFFSET(nombres[],0,0,1,1))+1,ROW(OFFSET(nombres[],ROWS(nombres[])-1,0,1,1))+1),$O1539:$O1558),3),"")</f>
        <v/>
      </c>
      <c r="TP1539" s="42" t="str">
        <f t="array" aca="1" ref="TP1539" ca="1">IFERROR(INDEX(nombres[],SMALL(IF(OFFSET(nombres[],0,0,ROWS(nombres[]),1)=TP$1490,ROW(OFFSET(nombres[],0,0,ROWS(nombres[]),1))-ROW(OFFSET(nombres[],0,0,1,1))+1,ROW(OFFSET(nombres[],ROWS(nombres[])-1,0,1,1))+1),$O1539:$O1558),3),"")</f>
        <v/>
      </c>
      <c r="TQ1539" s="42" t="str">
        <f t="array" aca="1" ref="TQ1539" ca="1">IFERROR(INDEX(nombres[],SMALL(IF(OFFSET(nombres[],0,0,ROWS(nombres[]),1)=TQ$1490,ROW(OFFSET(nombres[],0,0,ROWS(nombres[]),1))-ROW(OFFSET(nombres[],0,0,1,1))+1,ROW(OFFSET(nombres[],ROWS(nombres[])-1,0,1,1))+1),$O1539:$O1558),3),"")</f>
        <v/>
      </c>
      <c r="TR1539" s="42" t="str">
        <f t="array" aca="1" ref="TR1539" ca="1">IFERROR(INDEX(nombres[],SMALL(IF(OFFSET(nombres[],0,0,ROWS(nombres[]),1)=TR$1490,ROW(OFFSET(nombres[],0,0,ROWS(nombres[]),1))-ROW(OFFSET(nombres[],0,0,1,1))+1,ROW(OFFSET(nombres[],ROWS(nombres[])-1,0,1,1))+1),$O1539:$O1558),3),"")</f>
        <v/>
      </c>
      <c r="TS1539" s="42" t="str">
        <f t="array" aca="1" ref="TS1539" ca="1">IFERROR(INDEX(nombres[],SMALL(IF(OFFSET(nombres[],0,0,ROWS(nombres[]),1)=TS$1490,ROW(OFFSET(nombres[],0,0,ROWS(nombres[]),1))-ROW(OFFSET(nombres[],0,0,1,1))+1,ROW(OFFSET(nombres[],ROWS(nombres[])-1,0,1,1))+1),$O1539:$O1558),3),"")</f>
        <v/>
      </c>
      <c r="TT1539" s="42" t="str">
        <f t="array" aca="1" ref="TT1539" ca="1">IFERROR(INDEX(nombres[],SMALL(IF(OFFSET(nombres[],0,0,ROWS(nombres[]),1)=TT$1490,ROW(OFFSET(nombres[],0,0,ROWS(nombres[]),1))-ROW(OFFSET(nombres[],0,0,1,1))+1,ROW(OFFSET(nombres[],ROWS(nombres[])-1,0,1,1))+1),$O1539:$O1558),3),"")</f>
        <v/>
      </c>
      <c r="TU1539" s="42" t="str">
        <f t="array" aca="1" ref="TU1539" ca="1">IFERROR(INDEX(nombres[],SMALL(IF(OFFSET(nombres[],0,0,ROWS(nombres[]),1)=TU$1490,ROW(OFFSET(nombres[],0,0,ROWS(nombres[]),1))-ROW(OFFSET(nombres[],0,0,1,1))+1,ROW(OFFSET(nombres[],ROWS(nombres[])-1,0,1,1))+1),$O1539:$O1558),3),"")</f>
        <v/>
      </c>
      <c r="TV1539" s="42" t="str">
        <f t="array" aca="1" ref="TV1539" ca="1">IFERROR(INDEX(nombres[],SMALL(IF(OFFSET(nombres[],0,0,ROWS(nombres[]),1)=TV$1490,ROW(OFFSET(nombres[],0,0,ROWS(nombres[]),1))-ROW(OFFSET(nombres[],0,0,1,1))+1,ROW(OFFSET(nombres[],ROWS(nombres[])-1,0,1,1))+1),$O1539:$O1558),3),"")</f>
        <v/>
      </c>
      <c r="TW1539" s="42" t="str">
        <f t="array" aca="1" ref="TW1539" ca="1">IFERROR(INDEX(nombres[],SMALL(IF(OFFSET(nombres[],0,0,ROWS(nombres[]),1)=TW$1490,ROW(OFFSET(nombres[],0,0,ROWS(nombres[]),1))-ROW(OFFSET(nombres[],0,0,1,1))+1,ROW(OFFSET(nombres[],ROWS(nombres[])-1,0,1,1))+1),$O1539:$O1558),3),"")</f>
        <v/>
      </c>
      <c r="TX1539" s="42" t="str">
        <f t="array" aca="1" ref="TX1539" ca="1">IFERROR(INDEX(nombres[],SMALL(IF(OFFSET(nombres[],0,0,ROWS(nombres[]),1)=TX$1490,ROW(OFFSET(nombres[],0,0,ROWS(nombres[]),1))-ROW(OFFSET(nombres[],0,0,1,1))+1,ROW(OFFSET(nombres[],ROWS(nombres[])-1,0,1,1))+1),$O1539:$O1558),3),"")</f>
        <v/>
      </c>
      <c r="TY1539" s="42" t="str">
        <f t="array" aca="1" ref="TY1539" ca="1">IFERROR(INDEX(nombres[],SMALL(IF(OFFSET(nombres[],0,0,ROWS(nombres[]),1)=TY$1490,ROW(OFFSET(nombres[],0,0,ROWS(nombres[]),1))-ROW(OFFSET(nombres[],0,0,1,1))+1,ROW(OFFSET(nombres[],ROWS(nombres[])-1,0,1,1))+1),$O1539:$O1558),3),"")</f>
        <v/>
      </c>
      <c r="TZ1539" s="42" t="str">
        <f t="array" aca="1" ref="TZ1539" ca="1">IFERROR(INDEX(nombres[],SMALL(IF(OFFSET(nombres[],0,0,ROWS(nombres[]),1)=TZ$1490,ROW(OFFSET(nombres[],0,0,ROWS(nombres[]),1))-ROW(OFFSET(nombres[],0,0,1,1))+1,ROW(OFFSET(nombres[],ROWS(nombres[])-1,0,1,1))+1),$O1539:$O1558),3),"")</f>
        <v/>
      </c>
      <c r="UA1539" s="42" t="str">
        <f t="array" aca="1" ref="UA1539" ca="1">IFERROR(INDEX(nombres[],SMALL(IF(OFFSET(nombres[],0,0,ROWS(nombres[]),1)=UA$1490,ROW(OFFSET(nombres[],0,0,ROWS(nombres[]),1))-ROW(OFFSET(nombres[],0,0,1,1))+1,ROW(OFFSET(nombres[],ROWS(nombres[])-1,0,1,1))+1),$O1539:$O1558),3),"")</f>
        <v/>
      </c>
      <c r="UB1539" s="42" t="str">
        <f t="array" aca="1" ref="UB1539" ca="1">IFERROR(INDEX(nombres[],SMALL(IF(OFFSET(nombres[],0,0,ROWS(nombres[]),1)=UB$1490,ROW(OFFSET(nombres[],0,0,ROWS(nombres[]),1))-ROW(OFFSET(nombres[],0,0,1,1))+1,ROW(OFFSET(nombres[],ROWS(nombres[])-1,0,1,1))+1),$O1539:$O1558),3),"")</f>
        <v/>
      </c>
      <c r="UC1539" s="42" t="str">
        <f t="array" aca="1" ref="UC1539" ca="1">IFERROR(INDEX(nombres[],SMALL(IF(OFFSET(nombres[],0,0,ROWS(nombres[]),1)=UC$1490,ROW(OFFSET(nombres[],0,0,ROWS(nombres[]),1))-ROW(OFFSET(nombres[],0,0,1,1))+1,ROW(OFFSET(nombres[],ROWS(nombres[])-1,0,1,1))+1),$O1539:$O1558),3),"")</f>
        <v/>
      </c>
      <c r="UD1539" s="42" t="str">
        <f t="array" aca="1" ref="UD1539" ca="1">IFERROR(INDEX(nombres[],SMALL(IF(OFFSET(nombres[],0,0,ROWS(nombres[]),1)=UD$1490,ROW(OFFSET(nombres[],0,0,ROWS(nombres[]),1))-ROW(OFFSET(nombres[],0,0,1,1))+1,ROW(OFFSET(nombres[],ROWS(nombres[])-1,0,1,1))+1),$O1539:$O1558),3),"")</f>
        <v/>
      </c>
      <c r="UE1539" s="42" t="str">
        <f t="array" aca="1" ref="UE1539" ca="1">IFERROR(INDEX(nombres[],SMALL(IF(OFFSET(nombres[],0,0,ROWS(nombres[]),1)=UE$1490,ROW(OFFSET(nombres[],0,0,ROWS(nombres[]),1))-ROW(OFFSET(nombres[],0,0,1,1))+1,ROW(OFFSET(nombres[],ROWS(nombres[])-1,0,1,1))+1),$O1539:$O1558),3),"")</f>
        <v/>
      </c>
      <c r="UF1539" s="42" t="str">
        <f t="array" aca="1" ref="UF1539" ca="1">IFERROR(INDEX(nombres[],SMALL(IF(OFFSET(nombres[],0,0,ROWS(nombres[]),1)=UF$1490,ROW(OFFSET(nombres[],0,0,ROWS(nombres[]),1))-ROW(OFFSET(nombres[],0,0,1,1))+1,ROW(OFFSET(nombres[],ROWS(nombres[])-1,0,1,1))+1),$O1539:$O1558),3),"")</f>
        <v/>
      </c>
      <c r="UG1539" s="42" t="str">
        <f t="array" aca="1" ref="UG1539" ca="1">IFERROR(INDEX(nombres[],SMALL(IF(OFFSET(nombres[],0,0,ROWS(nombres[]),1)=UG$1490,ROW(OFFSET(nombres[],0,0,ROWS(nombres[]),1))-ROW(OFFSET(nombres[],0,0,1,1))+1,ROW(OFFSET(nombres[],ROWS(nombres[])-1,0,1,1))+1),$O1539:$O1558),3),"")</f>
        <v/>
      </c>
      <c r="UH1539" s="42" t="str">
        <f t="array" aca="1" ref="UH1539" ca="1">IFERROR(INDEX(nombres[],SMALL(IF(OFFSET(nombres[],0,0,ROWS(nombres[]),1)=UH$1490,ROW(OFFSET(nombres[],0,0,ROWS(nombres[]),1))-ROW(OFFSET(nombres[],0,0,1,1))+1,ROW(OFFSET(nombres[],ROWS(nombres[])-1,0,1,1))+1),$O1539:$O1558),3),"")</f>
        <v/>
      </c>
      <c r="UI1539" s="42" t="str">
        <f t="array" aca="1" ref="UI1539" ca="1">IFERROR(INDEX(nombres[],SMALL(IF(OFFSET(nombres[],0,0,ROWS(nombres[]),1)=UI$1490,ROW(OFFSET(nombres[],0,0,ROWS(nombres[]),1))-ROW(OFFSET(nombres[],0,0,1,1))+1,ROW(OFFSET(nombres[],ROWS(nombres[])-1,0,1,1))+1),$O1539:$O1558),3),"")</f>
        <v/>
      </c>
      <c r="UJ1539" s="42" t="str">
        <f t="array" aca="1" ref="UJ1539" ca="1">IFERROR(INDEX(nombres[],SMALL(IF(OFFSET(nombres[],0,0,ROWS(nombres[]),1)=UJ$1490,ROW(OFFSET(nombres[],0,0,ROWS(nombres[]),1))-ROW(OFFSET(nombres[],0,0,1,1))+1,ROW(OFFSET(nombres[],ROWS(nombres[])-1,0,1,1))+1),$O1539:$O1558),3),"")</f>
        <v/>
      </c>
      <c r="UK1539" s="42" t="str">
        <f t="array" aca="1" ref="UK1539" ca="1">IFERROR(INDEX(nombres[],SMALL(IF(OFFSET(nombres[],0,0,ROWS(nombres[]),1)=UK$1490,ROW(OFFSET(nombres[],0,0,ROWS(nombres[]),1))-ROW(OFFSET(nombres[],0,0,1,1))+1,ROW(OFFSET(nombres[],ROWS(nombres[])-1,0,1,1))+1),$O1539:$O1558),3),"")</f>
        <v/>
      </c>
      <c r="UL1539" s="42" t="str">
        <f t="array" aca="1" ref="UL1539" ca="1">IFERROR(INDEX(nombres[],SMALL(IF(OFFSET(nombres[],0,0,ROWS(nombres[]),1)=UL$1490,ROW(OFFSET(nombres[],0,0,ROWS(nombres[]),1))-ROW(OFFSET(nombres[],0,0,1,1))+1,ROW(OFFSET(nombres[],ROWS(nombres[])-1,0,1,1))+1),$O1539:$O1558),3),"")</f>
        <v/>
      </c>
      <c r="UM1539" s="42" t="str">
        <f t="array" aca="1" ref="UM1539" ca="1">IFERROR(INDEX(nombres[],SMALL(IF(OFFSET(nombres[],0,0,ROWS(nombres[]),1)=UM$1490,ROW(OFFSET(nombres[],0,0,ROWS(nombres[]),1))-ROW(OFFSET(nombres[],0,0,1,1))+1,ROW(OFFSET(nombres[],ROWS(nombres[])-1,0,1,1))+1),$O1539:$O1558),3),"")</f>
        <v/>
      </c>
      <c r="UN1539" s="42" t="str">
        <f t="array" aca="1" ref="UN1539" ca="1">IFERROR(INDEX(nombres[],SMALL(IF(OFFSET(nombres[],0,0,ROWS(nombres[]),1)=UN$1490,ROW(OFFSET(nombres[],0,0,ROWS(nombres[]),1))-ROW(OFFSET(nombres[],0,0,1,1))+1,ROW(OFFSET(nombres[],ROWS(nombres[])-1,0,1,1))+1),$O1539:$O1558),3),"")</f>
        <v/>
      </c>
      <c r="UO1539" s="42" t="str">
        <f t="array" aca="1" ref="UO1539" ca="1">IFERROR(INDEX(nombres[],SMALL(IF(OFFSET(nombres[],0,0,ROWS(nombres[]),1)=UO$1490,ROW(OFFSET(nombres[],0,0,ROWS(nombres[]),1))-ROW(OFFSET(nombres[],0,0,1,1))+1,ROW(OFFSET(nombres[],ROWS(nombres[])-1,0,1,1))+1),$O1539:$O1558),3),"")</f>
        <v/>
      </c>
      <c r="UP1539" s="42" t="str">
        <f t="array" aca="1" ref="UP1539" ca="1">IFERROR(INDEX(nombres[],SMALL(IF(OFFSET(nombres[],0,0,ROWS(nombres[]),1)=UP$1490,ROW(OFFSET(nombres[],0,0,ROWS(nombres[]),1))-ROW(OFFSET(nombres[],0,0,1,1))+1,ROW(OFFSET(nombres[],ROWS(nombres[])-1,0,1,1))+1),$O1539:$O1558),3),"")</f>
        <v/>
      </c>
      <c r="UQ1539" s="42" t="str">
        <f t="array" aca="1" ref="UQ1539" ca="1">IFERROR(INDEX(nombres[],SMALL(IF(OFFSET(nombres[],0,0,ROWS(nombres[]),1)=UQ$1490,ROW(OFFSET(nombres[],0,0,ROWS(nombres[]),1))-ROW(OFFSET(nombres[],0,0,1,1))+1,ROW(OFFSET(nombres[],ROWS(nombres[])-1,0,1,1))+1),$O1539:$O1558),3),"")</f>
        <v/>
      </c>
      <c r="UR1539" s="42" t="str">
        <f t="array" aca="1" ref="UR1539" ca="1">IFERROR(INDEX(nombres[],SMALL(IF(OFFSET(nombres[],0,0,ROWS(nombres[]),1)=UR$1490,ROW(OFFSET(nombres[],0,0,ROWS(nombres[]),1))-ROW(OFFSET(nombres[],0,0,1,1))+1,ROW(OFFSET(nombres[],ROWS(nombres[])-1,0,1,1))+1),$O1539:$O1558),3),"")</f>
        <v/>
      </c>
      <c r="US1539" s="42" t="str">
        <f t="array" aca="1" ref="US1539" ca="1">IFERROR(INDEX(nombres[],SMALL(IF(OFFSET(nombres[],0,0,ROWS(nombres[]),1)=US$1490,ROW(OFFSET(nombres[],0,0,ROWS(nombres[]),1))-ROW(OFFSET(nombres[],0,0,1,1))+1,ROW(OFFSET(nombres[],ROWS(nombres[])-1,0,1,1))+1),$O1539:$O1558),3),"")</f>
        <v/>
      </c>
      <c r="UT1539" s="42" t="str">
        <f t="array" aca="1" ref="UT1539" ca="1">IFERROR(INDEX(nombres[],SMALL(IF(OFFSET(nombres[],0,0,ROWS(nombres[]),1)=UT$1490,ROW(OFFSET(nombres[],0,0,ROWS(nombres[]),1))-ROW(OFFSET(nombres[],0,0,1,1))+1,ROW(OFFSET(nombres[],ROWS(nombres[])-1,0,1,1))+1),$O1539:$O1558),3),"")</f>
        <v/>
      </c>
      <c r="UU1539" s="42" t="str">
        <f t="array" aca="1" ref="UU1539" ca="1">IFERROR(INDEX(nombres[],SMALL(IF(OFFSET(nombres[],0,0,ROWS(nombres[]),1)=UU$1490,ROW(OFFSET(nombres[],0,0,ROWS(nombres[]),1))-ROW(OFFSET(nombres[],0,0,1,1))+1,ROW(OFFSET(nombres[],ROWS(nombres[])-1,0,1,1))+1),$O1539:$O1558),3),"")</f>
        <v/>
      </c>
      <c r="UV1539" s="42" t="str">
        <f t="array" aca="1" ref="UV1539" ca="1">IFERROR(INDEX(nombres[],SMALL(IF(OFFSET(nombres[],0,0,ROWS(nombres[]),1)=UV$1490,ROW(OFFSET(nombres[],0,0,ROWS(nombres[]),1))-ROW(OFFSET(nombres[],0,0,1,1))+1,ROW(OFFSET(nombres[],ROWS(nombres[])-1,0,1,1))+1),$O1539:$O1558),3),"")</f>
        <v/>
      </c>
      <c r="UW1539" s="42" t="str">
        <f t="array" aca="1" ref="UW1539" ca="1">IFERROR(INDEX(nombres[],SMALL(IF(OFFSET(nombres[],0,0,ROWS(nombres[]),1)=UW$1490,ROW(OFFSET(nombres[],0,0,ROWS(nombres[]),1))-ROW(OFFSET(nombres[],0,0,1,1))+1,ROW(OFFSET(nombres[],ROWS(nombres[])-1,0,1,1))+1),$O1539:$O1558),3),"")</f>
        <v/>
      </c>
      <c r="UX1539" s="42" t="str">
        <f t="array" aca="1" ref="UX1539" ca="1">IFERROR(INDEX(nombres[],SMALL(IF(OFFSET(nombres[],0,0,ROWS(nombres[]),1)=UX$1490,ROW(OFFSET(nombres[],0,0,ROWS(nombres[]),1))-ROW(OFFSET(nombres[],0,0,1,1))+1,ROW(OFFSET(nombres[],ROWS(nombres[])-1,0,1,1))+1),$O1539:$O1558),3),"")</f>
        <v/>
      </c>
      <c r="UY1539" s="42" t="str">
        <f t="array" aca="1" ref="UY1539" ca="1">IFERROR(INDEX(nombres[],SMALL(IF(OFFSET(nombres[],0,0,ROWS(nombres[]),1)=UY$1490,ROW(OFFSET(nombres[],0,0,ROWS(nombres[]),1))-ROW(OFFSET(nombres[],0,0,1,1))+1,ROW(OFFSET(nombres[],ROWS(nombres[])-1,0,1,1))+1),$O1539:$O1558),3),"")</f>
        <v/>
      </c>
      <c r="UZ1539" s="42" t="str">
        <f t="array" aca="1" ref="UZ1539" ca="1">IFERROR(INDEX(nombres[],SMALL(IF(OFFSET(nombres[],0,0,ROWS(nombres[]),1)=UZ$1490,ROW(OFFSET(nombres[],0,0,ROWS(nombres[]),1))-ROW(OFFSET(nombres[],0,0,1,1))+1,ROW(OFFSET(nombres[],ROWS(nombres[])-1,0,1,1))+1),$O1539:$O1558),3),"")</f>
        <v/>
      </c>
      <c r="VA1539" s="42" t="str">
        <f t="array" aca="1" ref="VA1539" ca="1">IFERROR(INDEX(nombres[],SMALL(IF(OFFSET(nombres[],0,0,ROWS(nombres[]),1)=VA$1490,ROW(OFFSET(nombres[],0,0,ROWS(nombres[]),1))-ROW(OFFSET(nombres[],0,0,1,1))+1,ROW(OFFSET(nombres[],ROWS(nombres[])-1,0,1,1))+1),$O1539:$O1558),3),"")</f>
        <v/>
      </c>
      <c r="VB1539" s="42" t="str">
        <f t="array" aca="1" ref="VB1539" ca="1">IFERROR(INDEX(nombres[],SMALL(IF(OFFSET(nombres[],0,0,ROWS(nombres[]),1)=VB$1490,ROW(OFFSET(nombres[],0,0,ROWS(nombres[]),1))-ROW(OFFSET(nombres[],0,0,1,1))+1,ROW(OFFSET(nombres[],ROWS(nombres[])-1,0,1,1))+1),$O1539:$O1558),3),"")</f>
        <v/>
      </c>
      <c r="VC1539" s="42" t="str">
        <f t="array" aca="1" ref="VC1539" ca="1">IFERROR(INDEX(nombres[],SMALL(IF(OFFSET(nombres[],0,0,ROWS(nombres[]),1)=VC$1490,ROW(OFFSET(nombres[],0,0,ROWS(nombres[]),1))-ROW(OFFSET(nombres[],0,0,1,1))+1,ROW(OFFSET(nombres[],ROWS(nombres[])-1,0,1,1))+1),$O1539:$O1558),3),"")</f>
        <v/>
      </c>
      <c r="VD1539" s="42" t="str">
        <f t="array" aca="1" ref="VD1539" ca="1">IFERROR(INDEX(nombres[],SMALL(IF(OFFSET(nombres[],0,0,ROWS(nombres[]),1)=VD$1490,ROW(OFFSET(nombres[],0,0,ROWS(nombres[]),1))-ROW(OFFSET(nombres[],0,0,1,1))+1,ROW(OFFSET(nombres[],ROWS(nombres[])-1,0,1,1))+1),$O1539:$O1558),3),"")</f>
        <v/>
      </c>
      <c r="VE1539" s="42" t="str">
        <f t="array" aca="1" ref="VE1539" ca="1">IFERROR(INDEX(nombres[],SMALL(IF(OFFSET(nombres[],0,0,ROWS(nombres[]),1)=VE$1490,ROW(OFFSET(nombres[],0,0,ROWS(nombres[]),1))-ROW(OFFSET(nombres[],0,0,1,1))+1,ROW(OFFSET(nombres[],ROWS(nombres[])-1,0,1,1))+1),$O1539:$O1558),3),"")</f>
        <v/>
      </c>
      <c r="VF1539" s="42" t="str">
        <f t="array" aca="1" ref="VF1539" ca="1">IFERROR(INDEX(nombres[],SMALL(IF(OFFSET(nombres[],0,0,ROWS(nombres[]),1)=VF$1490,ROW(OFFSET(nombres[],0,0,ROWS(nombres[]),1))-ROW(OFFSET(nombres[],0,0,1,1))+1,ROW(OFFSET(nombres[],ROWS(nombres[])-1,0,1,1))+1),$O1539:$O1558),3),"")</f>
        <v/>
      </c>
      <c r="VG1539" s="42" t="str">
        <f t="array" aca="1" ref="VG1539" ca="1">IFERROR(INDEX(nombres[],SMALL(IF(OFFSET(nombres[],0,0,ROWS(nombres[]),1)=VG$1490,ROW(OFFSET(nombres[],0,0,ROWS(nombres[]),1))-ROW(OFFSET(nombres[],0,0,1,1))+1,ROW(OFFSET(nombres[],ROWS(nombres[])-1,0,1,1))+1),$O1539:$O1558),3),"")</f>
        <v/>
      </c>
      <c r="VH1539" s="42" t="str">
        <f t="array" aca="1" ref="VH1539" ca="1">IFERROR(INDEX(nombres[],SMALL(IF(OFFSET(nombres[],0,0,ROWS(nombres[]),1)=VH$1490,ROW(OFFSET(nombres[],0,0,ROWS(nombres[]),1))-ROW(OFFSET(nombres[],0,0,1,1))+1,ROW(OFFSET(nombres[],ROWS(nombres[])-1,0,1,1))+1),$O1539:$O1558),3),"")</f>
        <v/>
      </c>
      <c r="VI1539" s="42" t="str">
        <f t="array" aca="1" ref="VI1539" ca="1">IFERROR(INDEX(nombres[],SMALL(IF(OFFSET(nombres[],0,0,ROWS(nombres[]),1)=VI$1490,ROW(OFFSET(nombres[],0,0,ROWS(nombres[]),1))-ROW(OFFSET(nombres[],0,0,1,1))+1,ROW(OFFSET(nombres[],ROWS(nombres[])-1,0,1,1))+1),$O1539:$O1558),3),"")</f>
        <v/>
      </c>
      <c r="VJ1539" s="42" t="str">
        <f t="array" aca="1" ref="VJ1539" ca="1">IFERROR(INDEX(nombres[],SMALL(IF(OFFSET(nombres[],0,0,ROWS(nombres[]),1)=VJ$1490,ROW(OFFSET(nombres[],0,0,ROWS(nombres[]),1))-ROW(OFFSET(nombres[],0,0,1,1))+1,ROW(OFFSET(nombres[],ROWS(nombres[])-1,0,1,1))+1),$O1539:$O1558),3),"")</f>
        <v/>
      </c>
      <c r="VK1539" s="42" t="str">
        <f t="array" aca="1" ref="VK1539" ca="1">IFERROR(INDEX(nombres[],SMALL(IF(OFFSET(nombres[],0,0,ROWS(nombres[]),1)=VK$1490,ROW(OFFSET(nombres[],0,0,ROWS(nombres[]),1))-ROW(OFFSET(nombres[],0,0,1,1))+1,ROW(OFFSET(nombres[],ROWS(nombres[])-1,0,1,1))+1),$O1539:$O1558),3),"")</f>
        <v/>
      </c>
      <c r="VL1539" s="42" t="str">
        <f t="array" aca="1" ref="VL1539" ca="1">IFERROR(INDEX(nombres[],SMALL(IF(OFFSET(nombres[],0,0,ROWS(nombres[]),1)=VL$1490,ROW(OFFSET(nombres[],0,0,ROWS(nombres[]),1))-ROW(OFFSET(nombres[],0,0,1,1))+1,ROW(OFFSET(nombres[],ROWS(nombres[])-1,0,1,1))+1),$O1539:$O1558),3),"")</f>
        <v/>
      </c>
      <c r="VM1539" s="42" t="str">
        <f t="array" aca="1" ref="VM1539" ca="1">IFERROR(INDEX(nombres[],SMALL(IF(OFFSET(nombres[],0,0,ROWS(nombres[]),1)=VM$1490,ROW(OFFSET(nombres[],0,0,ROWS(nombres[]),1))-ROW(OFFSET(nombres[],0,0,1,1))+1,ROW(OFFSET(nombres[],ROWS(nombres[])-1,0,1,1))+1),$O1539:$O1558),3),"")</f>
        <v/>
      </c>
      <c r="VN1539" s="42" t="str">
        <f t="array" aca="1" ref="VN1539" ca="1">IFERROR(INDEX(nombres[],SMALL(IF(OFFSET(nombres[],0,0,ROWS(nombres[]),1)=VN$1490,ROW(OFFSET(nombres[],0,0,ROWS(nombres[]),1))-ROW(OFFSET(nombres[],0,0,1,1))+1,ROW(OFFSET(nombres[],ROWS(nombres[])-1,0,1,1))+1),$O1539:$O1558),3),"")</f>
        <v/>
      </c>
      <c r="VO1539" s="42" t="str">
        <f t="array" aca="1" ref="VO1539" ca="1">IFERROR(INDEX(nombres[],SMALL(IF(OFFSET(nombres[],0,0,ROWS(nombres[]),1)=VO$1490,ROW(OFFSET(nombres[],0,0,ROWS(nombres[]),1))-ROW(OFFSET(nombres[],0,0,1,1))+1,ROW(OFFSET(nombres[],ROWS(nombres[])-1,0,1,1))+1),$O1539:$O1558),3),"")</f>
        <v/>
      </c>
      <c r="VP1539" s="42" t="str">
        <f t="array" aca="1" ref="VP1539" ca="1">IFERROR(INDEX(nombres[],SMALL(IF(OFFSET(nombres[],0,0,ROWS(nombres[]),1)=VP$1490,ROW(OFFSET(nombres[],0,0,ROWS(nombres[]),1))-ROW(OFFSET(nombres[],0,0,1,1))+1,ROW(OFFSET(nombres[],ROWS(nombres[])-1,0,1,1))+1),$O1539:$O1558),3),"")</f>
        <v/>
      </c>
      <c r="VQ1539" s="42" t="str">
        <f t="array" aca="1" ref="VQ1539" ca="1">IFERROR(INDEX(nombres[],SMALL(IF(OFFSET(nombres[],0,0,ROWS(nombres[]),1)=VQ$1490,ROW(OFFSET(nombres[],0,0,ROWS(nombres[]),1))-ROW(OFFSET(nombres[],0,0,1,1))+1,ROW(OFFSET(nombres[],ROWS(nombres[])-1,0,1,1))+1),$O1539:$O1558),3),"")</f>
        <v/>
      </c>
      <c r="VR1539" s="42" t="str">
        <f t="array" aca="1" ref="VR1539" ca="1">IFERROR(INDEX(nombres[],SMALL(IF(OFFSET(nombres[],0,0,ROWS(nombres[]),1)=VR$1490,ROW(OFFSET(nombres[],0,0,ROWS(nombres[]),1))-ROW(OFFSET(nombres[],0,0,1,1))+1,ROW(OFFSET(nombres[],ROWS(nombres[])-1,0,1,1))+1),$O1539:$O1558),3),"")</f>
        <v/>
      </c>
      <c r="VS1539" s="42" t="str">
        <f t="array" aca="1" ref="VS1539" ca="1">IFERROR(INDEX(nombres[],SMALL(IF(OFFSET(nombres[],0,0,ROWS(nombres[]),1)=VS$1490,ROW(OFFSET(nombres[],0,0,ROWS(nombres[]),1))-ROW(OFFSET(nombres[],0,0,1,1))+1,ROW(OFFSET(nombres[],ROWS(nombres[])-1,0,1,1))+1),$O1539:$O1558),3),"")</f>
        <v/>
      </c>
      <c r="VT1539" s="42" t="str">
        <f t="array" aca="1" ref="VT1539" ca="1">IFERROR(INDEX(nombres[],SMALL(IF(OFFSET(nombres[],0,0,ROWS(nombres[]),1)=VT$1490,ROW(OFFSET(nombres[],0,0,ROWS(nombres[]),1))-ROW(OFFSET(nombres[],0,0,1,1))+1,ROW(OFFSET(nombres[],ROWS(nombres[])-1,0,1,1))+1),$O1539:$O1558),3),"")</f>
        <v/>
      </c>
      <c r="VU1539" s="42" t="str">
        <f t="array" aca="1" ref="VU1539" ca="1">IFERROR(INDEX(nombres[],SMALL(IF(OFFSET(nombres[],0,0,ROWS(nombres[]),1)=VU$1490,ROW(OFFSET(nombres[],0,0,ROWS(nombres[]),1))-ROW(OFFSET(nombres[],0,0,1,1))+1,ROW(OFFSET(nombres[],ROWS(nombres[])-1,0,1,1))+1),$O1539:$O1558),3),"")</f>
        <v/>
      </c>
      <c r="VV1539" s="42" t="str">
        <f t="array" aca="1" ref="VV1539" ca="1">IFERROR(INDEX(nombres[],SMALL(IF(OFFSET(nombres[],0,0,ROWS(nombres[]),1)=VV$1490,ROW(OFFSET(nombres[],0,0,ROWS(nombres[]),1))-ROW(OFFSET(nombres[],0,0,1,1))+1,ROW(OFFSET(nombres[],ROWS(nombres[])-1,0,1,1))+1),$O1539:$O1558),3),"")</f>
        <v/>
      </c>
      <c r="VW1539" s="42" t="str">
        <f t="array" aca="1" ref="VW1539" ca="1">IFERROR(INDEX(nombres[],SMALL(IF(OFFSET(nombres[],0,0,ROWS(nombres[]),1)=VW$1490,ROW(OFFSET(nombres[],0,0,ROWS(nombres[]),1))-ROW(OFFSET(nombres[],0,0,1,1))+1,ROW(OFFSET(nombres[],ROWS(nombres[])-1,0,1,1))+1),$O1539:$O1558),3),"")</f>
        <v/>
      </c>
      <c r="VX1539" s="42" t="str">
        <f t="array" aca="1" ref="VX1539" ca="1">IFERROR(INDEX(nombres[],SMALL(IF(OFFSET(nombres[],0,0,ROWS(nombres[]),1)=VX$1490,ROW(OFFSET(nombres[],0,0,ROWS(nombres[]),1))-ROW(OFFSET(nombres[],0,0,1,1))+1,ROW(OFFSET(nombres[],ROWS(nombres[])-1,0,1,1))+1),$O1539:$O1558),3),"")</f>
        <v/>
      </c>
      <c r="VY1539" s="42" t="str">
        <f t="array" aca="1" ref="VY1539" ca="1">IFERROR(INDEX(nombres[],SMALL(IF(OFFSET(nombres[],0,0,ROWS(nombres[]),1)=VY$1490,ROW(OFFSET(nombres[],0,0,ROWS(nombres[]),1))-ROW(OFFSET(nombres[],0,0,1,1))+1,ROW(OFFSET(nombres[],ROWS(nombres[])-1,0,1,1))+1),$O1539:$O1558),3),"")</f>
        <v/>
      </c>
      <c r="VZ1539" s="42" t="str">
        <f t="array" aca="1" ref="VZ1539" ca="1">IFERROR(INDEX(nombres[],SMALL(IF(OFFSET(nombres[],0,0,ROWS(nombres[]),1)=VZ$1490,ROW(OFFSET(nombres[],0,0,ROWS(nombres[]),1))-ROW(OFFSET(nombres[],0,0,1,1))+1,ROW(OFFSET(nombres[],ROWS(nombres[])-1,0,1,1))+1),$O1539:$O1558),3),"")</f>
        <v/>
      </c>
      <c r="WA1539" s="42" t="str">
        <f t="array" aca="1" ref="WA1539" ca="1">IFERROR(INDEX(nombres[],SMALL(IF(OFFSET(nombres[],0,0,ROWS(nombres[]),1)=WA$1490,ROW(OFFSET(nombres[],0,0,ROWS(nombres[]),1))-ROW(OFFSET(nombres[],0,0,1,1))+1,ROW(OFFSET(nombres[],ROWS(nombres[])-1,0,1,1))+1),$O1539:$O1558),3),"")</f>
        <v/>
      </c>
      <c r="WB1539" s="42" t="str">
        <f t="array" aca="1" ref="WB1539" ca="1">IFERROR(INDEX(nombres[],SMALL(IF(OFFSET(nombres[],0,0,ROWS(nombres[]),1)=WB$1490,ROW(OFFSET(nombres[],0,0,ROWS(nombres[]),1))-ROW(OFFSET(nombres[],0,0,1,1))+1,ROW(OFFSET(nombres[],ROWS(nombres[])-1,0,1,1))+1),$O1539:$O1558),3),"")</f>
        <v/>
      </c>
      <c r="WC1539" s="42" t="str">
        <f t="array" aca="1" ref="WC1539" ca="1">IFERROR(INDEX(nombres[],SMALL(IF(OFFSET(nombres[],0,0,ROWS(nombres[]),1)=WC$1490,ROW(OFFSET(nombres[],0,0,ROWS(nombres[]),1))-ROW(OFFSET(nombres[],0,0,1,1))+1,ROW(OFFSET(nombres[],ROWS(nombres[])-1,0,1,1))+1),$O1539:$O1558),3),"")</f>
        <v/>
      </c>
      <c r="WD1539" s="42" t="str">
        <f t="array" aca="1" ref="WD1539" ca="1">IFERROR(INDEX(nombres[],SMALL(IF(OFFSET(nombres[],0,0,ROWS(nombres[]),1)=WD$1490,ROW(OFFSET(nombres[],0,0,ROWS(nombres[]),1))-ROW(OFFSET(nombres[],0,0,1,1))+1,ROW(OFFSET(nombres[],ROWS(nombres[])-1,0,1,1))+1),$O1539:$O1558),3),"")</f>
        <v/>
      </c>
      <c r="WE1539" s="42" t="str">
        <f t="array" aca="1" ref="WE1539" ca="1">IFERROR(INDEX(nombres[],SMALL(IF(OFFSET(nombres[],0,0,ROWS(nombres[]),1)=WE$1490,ROW(OFFSET(nombres[],0,0,ROWS(nombres[]),1))-ROW(OFFSET(nombres[],0,0,1,1))+1,ROW(OFFSET(nombres[],ROWS(nombres[])-1,0,1,1))+1),$O1539:$O1558),3),"")</f>
        <v/>
      </c>
      <c r="WF1539" s="42" t="str">
        <f t="array" aca="1" ref="WF1539" ca="1">IFERROR(INDEX(nombres[],SMALL(IF(OFFSET(nombres[],0,0,ROWS(nombres[]),1)=WF$1490,ROW(OFFSET(nombres[],0,0,ROWS(nombres[]),1))-ROW(OFFSET(nombres[],0,0,1,1))+1,ROW(OFFSET(nombres[],ROWS(nombres[])-1,0,1,1))+1),$O1539:$O1558),3),"")</f>
        <v/>
      </c>
      <c r="WG1539" s="42" t="str">
        <f t="array" aca="1" ref="WG1539" ca="1">IFERROR(INDEX(nombres[],SMALL(IF(OFFSET(nombres[],0,0,ROWS(nombres[]),1)=WG$1490,ROW(OFFSET(nombres[],0,0,ROWS(nombres[]),1))-ROW(OFFSET(nombres[],0,0,1,1))+1,ROW(OFFSET(nombres[],ROWS(nombres[])-1,0,1,1))+1),$O1539:$O1558),3),"")</f>
        <v/>
      </c>
      <c r="WH1539" s="42" t="str">
        <f t="array" aca="1" ref="WH1539" ca="1">IFERROR(INDEX(nombres[],SMALL(IF(OFFSET(nombres[],0,0,ROWS(nombres[]),1)=WH$1490,ROW(OFFSET(nombres[],0,0,ROWS(nombres[]),1))-ROW(OFFSET(nombres[],0,0,1,1))+1,ROW(OFFSET(nombres[],ROWS(nombres[])-1,0,1,1))+1),$O1539:$O1558),3),"")</f>
        <v/>
      </c>
      <c r="WI1539" s="42" t="str">
        <f t="array" aca="1" ref="WI1539" ca="1">IFERROR(INDEX(nombres[],SMALL(IF(OFFSET(nombres[],0,0,ROWS(nombres[]),1)=WI$1490,ROW(OFFSET(nombres[],0,0,ROWS(nombres[]),1))-ROW(OFFSET(nombres[],0,0,1,1))+1,ROW(OFFSET(nombres[],ROWS(nombres[])-1,0,1,1))+1),$O1539:$O1558),3),"")</f>
        <v/>
      </c>
      <c r="WJ1539" s="42" t="str">
        <f t="array" aca="1" ref="WJ1539" ca="1">IFERROR(INDEX(nombres[],SMALL(IF(OFFSET(nombres[],0,0,ROWS(nombres[]),1)=WJ$1490,ROW(OFFSET(nombres[],0,0,ROWS(nombres[]),1))-ROW(OFFSET(nombres[],0,0,1,1))+1,ROW(OFFSET(nombres[],ROWS(nombres[])-1,0,1,1))+1),$O1539:$O1558),3),"")</f>
        <v/>
      </c>
      <c r="WK1539" s="42" t="str">
        <f t="array" aca="1" ref="WK1539" ca="1">IFERROR(INDEX(nombres[],SMALL(IF(OFFSET(nombres[],0,0,ROWS(nombres[]),1)=WK$1490,ROW(OFFSET(nombres[],0,0,ROWS(nombres[]),1))-ROW(OFFSET(nombres[],0,0,1,1))+1,ROW(OFFSET(nombres[],ROWS(nombres[])-1,0,1,1))+1),$O1539:$O1558),3),"")</f>
        <v/>
      </c>
      <c r="WL1539" s="42" t="str">
        <f t="array" aca="1" ref="WL1539" ca="1">IFERROR(INDEX(nombres[],SMALL(IF(OFFSET(nombres[],0,0,ROWS(nombres[]),1)=WL$1490,ROW(OFFSET(nombres[],0,0,ROWS(nombres[]),1))-ROW(OFFSET(nombres[],0,0,1,1))+1,ROW(OFFSET(nombres[],ROWS(nombres[])-1,0,1,1))+1),$O1539:$O1558),3),"")</f>
        <v/>
      </c>
      <c r="WM1539" s="42" t="str">
        <f t="array" aca="1" ref="WM1539" ca="1">IFERROR(INDEX(nombres[],SMALL(IF(OFFSET(nombres[],0,0,ROWS(nombres[]),1)=WM$1490,ROW(OFFSET(nombres[],0,0,ROWS(nombres[]),1))-ROW(OFFSET(nombres[],0,0,1,1))+1,ROW(OFFSET(nombres[],ROWS(nombres[])-1,0,1,1))+1),$O1539:$O1558),3),"")</f>
        <v/>
      </c>
      <c r="WN1539" s="42" t="str">
        <f t="array" aca="1" ref="WN1539" ca="1">IFERROR(INDEX(nombres[],SMALL(IF(OFFSET(nombres[],0,0,ROWS(nombres[]),1)=WN$1490,ROW(OFFSET(nombres[],0,0,ROWS(nombres[]),1))-ROW(OFFSET(nombres[],0,0,1,1))+1,ROW(OFFSET(nombres[],ROWS(nombres[])-1,0,1,1))+1),$O1539:$O1558),3),"")</f>
        <v/>
      </c>
      <c r="WO1539" s="42" t="str">
        <f t="array" aca="1" ref="WO1539" ca="1">IFERROR(INDEX(nombres[],SMALL(IF(OFFSET(nombres[],0,0,ROWS(nombres[]),1)=WO$1490,ROW(OFFSET(nombres[],0,0,ROWS(nombres[]),1))-ROW(OFFSET(nombres[],0,0,1,1))+1,ROW(OFFSET(nombres[],ROWS(nombres[])-1,0,1,1))+1),$O1539:$O1558),3),"")</f>
        <v/>
      </c>
      <c r="WP1539" s="42" t="str">
        <f t="array" aca="1" ref="WP1539" ca="1">IFERROR(INDEX(nombres[],SMALL(IF(OFFSET(nombres[],0,0,ROWS(nombres[]),1)=WP$1490,ROW(OFFSET(nombres[],0,0,ROWS(nombres[]),1))-ROW(OFFSET(nombres[],0,0,1,1))+1,ROW(OFFSET(nombres[],ROWS(nombres[])-1,0,1,1))+1),$O1539:$O1558),3),"")</f>
        <v/>
      </c>
      <c r="WQ1539" s="42" t="str">
        <f t="array" aca="1" ref="WQ1539" ca="1">IFERROR(INDEX(nombres[],SMALL(IF(OFFSET(nombres[],0,0,ROWS(nombres[]),1)=WQ$1490,ROW(OFFSET(nombres[],0,0,ROWS(nombres[]),1))-ROW(OFFSET(nombres[],0,0,1,1))+1,ROW(OFFSET(nombres[],ROWS(nombres[])-1,0,1,1))+1),$O1539:$O1558),3),"")</f>
        <v/>
      </c>
      <c r="WR1539" s="42" t="str">
        <f t="array" aca="1" ref="WR1539" ca="1">IFERROR(INDEX(nombres[],SMALL(IF(OFFSET(nombres[],0,0,ROWS(nombres[]),1)=WR$1490,ROW(OFFSET(nombres[],0,0,ROWS(nombres[]),1))-ROW(OFFSET(nombres[],0,0,1,1))+1,ROW(OFFSET(nombres[],ROWS(nombres[])-1,0,1,1))+1),$O1539:$O1558),3),"")</f>
        <v/>
      </c>
      <c r="WS1539" s="42" t="str">
        <f t="array" aca="1" ref="WS1539" ca="1">IFERROR(INDEX(nombres[],SMALL(IF(OFFSET(nombres[],0,0,ROWS(nombres[]),1)=WS$1490,ROW(OFFSET(nombres[],0,0,ROWS(nombres[]),1))-ROW(OFFSET(nombres[],0,0,1,1))+1,ROW(OFFSET(nombres[],ROWS(nombres[])-1,0,1,1))+1),$O1539:$O1558),3),"")</f>
        <v/>
      </c>
      <c r="WT1539" s="42" t="str">
        <f t="array" aca="1" ref="WT1539" ca="1">IFERROR(INDEX(nombres[],SMALL(IF(OFFSET(nombres[],0,0,ROWS(nombres[]),1)=WT$1490,ROW(OFFSET(nombres[],0,0,ROWS(nombres[]),1))-ROW(OFFSET(nombres[],0,0,1,1))+1,ROW(OFFSET(nombres[],ROWS(nombres[])-1,0,1,1))+1),$O1539:$O1558),3),"")</f>
        <v/>
      </c>
      <c r="WU1539" s="42" t="str">
        <f t="array" aca="1" ref="WU1539" ca="1">IFERROR(INDEX(nombres[],SMALL(IF(OFFSET(nombres[],0,0,ROWS(nombres[]),1)=WU$1490,ROW(OFFSET(nombres[],0,0,ROWS(nombres[]),1))-ROW(OFFSET(nombres[],0,0,1,1))+1,ROW(OFFSET(nombres[],ROWS(nombres[])-1,0,1,1))+1),$O1539:$O1558),3),"")</f>
        <v/>
      </c>
      <c r="WV1539" s="42" t="str">
        <f t="array" aca="1" ref="WV1539" ca="1">IFERROR(INDEX(nombres[],SMALL(IF(OFFSET(nombres[],0,0,ROWS(nombres[]),1)=WV$1490,ROW(OFFSET(nombres[],0,0,ROWS(nombres[]),1))-ROW(OFFSET(nombres[],0,0,1,1))+1,ROW(OFFSET(nombres[],ROWS(nombres[])-1,0,1,1))+1),$O1539:$O1558),3),"")</f>
        <v/>
      </c>
      <c r="WW1539" s="42" t="str">
        <f t="array" aca="1" ref="WW1539" ca="1">IFERROR(INDEX(nombres[],SMALL(IF(OFFSET(nombres[],0,0,ROWS(nombres[]),1)=WW$1490,ROW(OFFSET(nombres[],0,0,ROWS(nombres[]),1))-ROW(OFFSET(nombres[],0,0,1,1))+1,ROW(OFFSET(nombres[],ROWS(nombres[])-1,0,1,1))+1),$O1539:$O1558),3),"")</f>
        <v/>
      </c>
      <c r="WX1539" s="42" t="str">
        <f t="array" aca="1" ref="WX1539" ca="1">IFERROR(INDEX(nombres[],SMALL(IF(OFFSET(nombres[],0,0,ROWS(nombres[]),1)=WX$1490,ROW(OFFSET(nombres[],0,0,ROWS(nombres[]),1))-ROW(OFFSET(nombres[],0,0,1,1))+1,ROW(OFFSET(nombres[],ROWS(nombres[])-1,0,1,1))+1),$O1539:$O1558),3),"")</f>
        <v/>
      </c>
      <c r="WY1539" s="42" t="str">
        <f t="array" aca="1" ref="WY1539" ca="1">IFERROR(INDEX(nombres[],SMALL(IF(OFFSET(nombres[],0,0,ROWS(nombres[]),1)=WY$1490,ROW(OFFSET(nombres[],0,0,ROWS(nombres[]),1))-ROW(OFFSET(nombres[],0,0,1,1))+1,ROW(OFFSET(nombres[],ROWS(nombres[])-1,0,1,1))+1),$O1539:$O1558),3),"")</f>
        <v/>
      </c>
      <c r="WZ1539" s="42" t="str">
        <f t="array" aca="1" ref="WZ1539" ca="1">IFERROR(INDEX(nombres[],SMALL(IF(OFFSET(nombres[],0,0,ROWS(nombres[]),1)=WZ$1490,ROW(OFFSET(nombres[],0,0,ROWS(nombres[]),1))-ROW(OFFSET(nombres[],0,0,1,1))+1,ROW(OFFSET(nombres[],ROWS(nombres[])-1,0,1,1))+1),$O1539:$O1558),3),"")</f>
        <v/>
      </c>
      <c r="XA1539" s="42" t="str">
        <f t="array" aca="1" ref="XA1539" ca="1">IFERROR(INDEX(nombres[],SMALL(IF(OFFSET(nombres[],0,0,ROWS(nombres[]),1)=XA$1490,ROW(OFFSET(nombres[],0,0,ROWS(nombres[]),1))-ROW(OFFSET(nombres[],0,0,1,1))+1,ROW(OFFSET(nombres[],ROWS(nombres[])-1,0,1,1))+1),$O1539:$O1558),3),"")</f>
        <v/>
      </c>
      <c r="XB1539" s="42" t="str">
        <f t="array" aca="1" ref="XB1539" ca="1">IFERROR(INDEX(nombres[],SMALL(IF(OFFSET(nombres[],0,0,ROWS(nombres[]),1)=XB$1490,ROW(OFFSET(nombres[],0,0,ROWS(nombres[]),1))-ROW(OFFSET(nombres[],0,0,1,1))+1,ROW(OFFSET(nombres[],ROWS(nombres[])-1,0,1,1))+1),$O1539:$O1558),3),"")</f>
        <v/>
      </c>
      <c r="XC1539" s="42" t="str">
        <f t="array" aca="1" ref="XC1539" ca="1">IFERROR(INDEX(nombres[],SMALL(IF(OFFSET(nombres[],0,0,ROWS(nombres[]),1)=XC$1490,ROW(OFFSET(nombres[],0,0,ROWS(nombres[]),1))-ROW(OFFSET(nombres[],0,0,1,1))+1,ROW(OFFSET(nombres[],ROWS(nombres[])-1,0,1,1))+1),$O1539:$O1558),3),"")</f>
        <v/>
      </c>
      <c r="XD1539" s="42" t="str">
        <f t="array" aca="1" ref="XD1539" ca="1">IFERROR(INDEX(nombres[],SMALL(IF(OFFSET(nombres[],0,0,ROWS(nombres[]),1)=XD$1490,ROW(OFFSET(nombres[],0,0,ROWS(nombres[]),1))-ROW(OFFSET(nombres[],0,0,1,1))+1,ROW(OFFSET(nombres[],ROWS(nombres[])-1,0,1,1))+1),$O1539:$O1558),3),"")</f>
        <v/>
      </c>
      <c r="XE1539" s="42" t="str">
        <f t="array" aca="1" ref="XE1539" ca="1">IFERROR(INDEX(nombres[],SMALL(IF(OFFSET(nombres[],0,0,ROWS(nombres[]),1)=XE$1490,ROW(OFFSET(nombres[],0,0,ROWS(nombres[]),1))-ROW(OFFSET(nombres[],0,0,1,1))+1,ROW(OFFSET(nombres[],ROWS(nombres[])-1,0,1,1))+1),$O1539:$O1558),3),"")</f>
        <v/>
      </c>
      <c r="XF1539" s="42" t="str">
        <f t="array" aca="1" ref="XF1539" ca="1">IFERROR(INDEX(nombres[],SMALL(IF(OFFSET(nombres[],0,0,ROWS(nombres[]),1)=XF$1490,ROW(OFFSET(nombres[],0,0,ROWS(nombres[]),1))-ROW(OFFSET(nombres[],0,0,1,1))+1,ROW(OFFSET(nombres[],ROWS(nombres[])-1,0,1,1))+1),$O1539:$O1558),3),"")</f>
        <v/>
      </c>
      <c r="XG1539" s="42" t="str">
        <f t="array" aca="1" ref="XG1539" ca="1">IFERROR(INDEX(nombres[],SMALL(IF(OFFSET(nombres[],0,0,ROWS(nombres[]),1)=XG$1490,ROW(OFFSET(nombres[],0,0,ROWS(nombres[]),1))-ROW(OFFSET(nombres[],0,0,1,1))+1,ROW(OFFSET(nombres[],ROWS(nombres[])-1,0,1,1))+1),$O1539:$O1558),3),"")</f>
        <v/>
      </c>
      <c r="XH1539" s="42" t="str">
        <f t="array" aca="1" ref="XH1539" ca="1">IFERROR(INDEX(nombres[],SMALL(IF(OFFSET(nombres[],0,0,ROWS(nombres[]),1)=XH$1490,ROW(OFFSET(nombres[],0,0,ROWS(nombres[]),1))-ROW(OFFSET(nombres[],0,0,1,1))+1,ROW(OFFSET(nombres[],ROWS(nombres[])-1,0,1,1))+1),$O1539:$O1558),3),"")</f>
        <v/>
      </c>
      <c r="XI1539" s="42" t="str">
        <f t="array" aca="1" ref="XI1539" ca="1">IFERROR(INDEX(nombres[],SMALL(IF(OFFSET(nombres[],0,0,ROWS(nombres[]),1)=XI$1490,ROW(OFFSET(nombres[],0,0,ROWS(nombres[]),1))-ROW(OFFSET(nombres[],0,0,1,1))+1,ROW(OFFSET(nombres[],ROWS(nombres[])-1,0,1,1))+1),$O1539:$O1558),3),"")</f>
        <v/>
      </c>
      <c r="XJ1539" s="42" t="str">
        <f t="array" aca="1" ref="XJ1539" ca="1">IFERROR(INDEX(nombres[],SMALL(IF(OFFSET(nombres[],0,0,ROWS(nombres[]),1)=XJ$1490,ROW(OFFSET(nombres[],0,0,ROWS(nombres[]),1))-ROW(OFFSET(nombres[],0,0,1,1))+1,ROW(OFFSET(nombres[],ROWS(nombres[])-1,0,1,1))+1),$O1539:$O1558),3),"")</f>
        <v/>
      </c>
      <c r="XK1539" s="42" t="str">
        <f t="array" aca="1" ref="XK1539" ca="1">IFERROR(INDEX(nombres[],SMALL(IF(OFFSET(nombres[],0,0,ROWS(nombres[]),1)=XK$1490,ROW(OFFSET(nombres[],0,0,ROWS(nombres[]),1))-ROW(OFFSET(nombres[],0,0,1,1))+1,ROW(OFFSET(nombres[],ROWS(nombres[])-1,0,1,1))+1),$O1539:$O1558),3),"")</f>
        <v/>
      </c>
      <c r="XL1539" s="42" t="str">
        <f t="array" aca="1" ref="XL1539" ca="1">IFERROR(INDEX(nombres[],SMALL(IF(OFFSET(nombres[],0,0,ROWS(nombres[]),1)=XL$1490,ROW(OFFSET(nombres[],0,0,ROWS(nombres[]),1))-ROW(OFFSET(nombres[],0,0,1,1))+1,ROW(OFFSET(nombres[],ROWS(nombres[])-1,0,1,1))+1),$O1539:$O1558),3),"")</f>
        <v/>
      </c>
      <c r="XM1539" s="42" t="str">
        <f t="array" aca="1" ref="XM1539" ca="1">IFERROR(INDEX(nombres[],SMALL(IF(OFFSET(nombres[],0,0,ROWS(nombres[]),1)=XM$1490,ROW(OFFSET(nombres[],0,0,ROWS(nombres[]),1))-ROW(OFFSET(nombres[],0,0,1,1))+1,ROW(OFFSET(nombres[],ROWS(nombres[])-1,0,1,1))+1),$O1539:$O1558),3),"")</f>
        <v/>
      </c>
      <c r="XN1539" s="42" t="str">
        <f t="array" aca="1" ref="XN1539" ca="1">IFERROR(INDEX(nombres[],SMALL(IF(OFFSET(nombres[],0,0,ROWS(nombres[]),1)=XN$1490,ROW(OFFSET(nombres[],0,0,ROWS(nombres[]),1))-ROW(OFFSET(nombres[],0,0,1,1))+1,ROW(OFFSET(nombres[],ROWS(nombres[])-1,0,1,1))+1),$O1539:$O1558),3),"")</f>
        <v/>
      </c>
      <c r="XO1539" s="42" t="str">
        <f t="array" aca="1" ref="XO1539" ca="1">IFERROR(INDEX(nombres[],SMALL(IF(OFFSET(nombres[],0,0,ROWS(nombres[]),1)=XO$1490,ROW(OFFSET(nombres[],0,0,ROWS(nombres[]),1))-ROW(OFFSET(nombres[],0,0,1,1))+1,ROW(OFFSET(nombres[],ROWS(nombres[])-1,0,1,1))+1),$O1539:$O1558),3),"")</f>
        <v/>
      </c>
      <c r="XP1539" s="42" t="str">
        <f t="array" aca="1" ref="XP1539" ca="1">IFERROR(INDEX(nombres[],SMALL(IF(OFFSET(nombres[],0,0,ROWS(nombres[]),1)=XP$1490,ROW(OFFSET(nombres[],0,0,ROWS(nombres[]),1))-ROW(OFFSET(nombres[],0,0,1,1))+1,ROW(OFFSET(nombres[],ROWS(nombres[])-1,0,1,1))+1),$O1539:$O1558),3),"")</f>
        <v/>
      </c>
      <c r="XQ1539" s="42" t="str">
        <f t="array" aca="1" ref="XQ1539" ca="1">IFERROR(INDEX(nombres[],SMALL(IF(OFFSET(nombres[],0,0,ROWS(nombres[]),1)=XQ$1490,ROW(OFFSET(nombres[],0,0,ROWS(nombres[]),1))-ROW(OFFSET(nombres[],0,0,1,1))+1,ROW(OFFSET(nombres[],ROWS(nombres[])-1,0,1,1))+1),$O1539:$O1558),3),"")</f>
        <v/>
      </c>
      <c r="XR1539" s="42" t="str">
        <f t="array" aca="1" ref="XR1539" ca="1">IFERROR(INDEX(nombres[],SMALL(IF(OFFSET(nombres[],0,0,ROWS(nombres[]),1)=XR$1490,ROW(OFFSET(nombres[],0,0,ROWS(nombres[]),1))-ROW(OFFSET(nombres[],0,0,1,1))+1,ROW(OFFSET(nombres[],ROWS(nombres[])-1,0,1,1))+1),$O1539:$O1558),3),"")</f>
        <v/>
      </c>
      <c r="XS1539" s="42" t="str">
        <f t="array" aca="1" ref="XS1539" ca="1">IFERROR(INDEX(nombres[],SMALL(IF(OFFSET(nombres[],0,0,ROWS(nombres[]),1)=XS$1490,ROW(OFFSET(nombres[],0,0,ROWS(nombres[]),1))-ROW(OFFSET(nombres[],0,0,1,1))+1,ROW(OFFSET(nombres[],ROWS(nombres[])-1,0,1,1))+1),$O1539:$O1558),3),"")</f>
        <v/>
      </c>
      <c r="XT1539" s="42" t="str">
        <f t="array" aca="1" ref="XT1539" ca="1">IFERROR(INDEX(nombres[],SMALL(IF(OFFSET(nombres[],0,0,ROWS(nombres[]),1)=XT$1490,ROW(OFFSET(nombres[],0,0,ROWS(nombres[]),1))-ROW(OFFSET(nombres[],0,0,1,1))+1,ROW(OFFSET(nombres[],ROWS(nombres[])-1,0,1,1))+1),$O1539:$O1558),3),"")</f>
        <v/>
      </c>
      <c r="XU1539" s="42" t="str">
        <f t="array" aca="1" ref="XU1539" ca="1">IFERROR(INDEX(nombres[],SMALL(IF(OFFSET(nombres[],0,0,ROWS(nombres[]),1)=XU$1490,ROW(OFFSET(nombres[],0,0,ROWS(nombres[]),1))-ROW(OFFSET(nombres[],0,0,1,1))+1,ROW(OFFSET(nombres[],ROWS(nombres[])-1,0,1,1))+1),$O1539:$O1558),3),"")</f>
        <v/>
      </c>
      <c r="XV1539" s="42" t="str">
        <f t="array" aca="1" ref="XV1539" ca="1">IFERROR(INDEX(nombres[],SMALL(IF(OFFSET(nombres[],0,0,ROWS(nombres[]),1)=XV$1490,ROW(OFFSET(nombres[],0,0,ROWS(nombres[]),1))-ROW(OFFSET(nombres[],0,0,1,1))+1,ROW(OFFSET(nombres[],ROWS(nombres[])-1,0,1,1))+1),$O1539:$O1558),3),"")</f>
        <v/>
      </c>
      <c r="XW1539" s="42" t="str">
        <f t="array" aca="1" ref="XW1539" ca="1">IFERROR(INDEX(nombres[],SMALL(IF(OFFSET(nombres[],0,0,ROWS(nombres[]),1)=XW$1490,ROW(OFFSET(nombres[],0,0,ROWS(nombres[]),1))-ROW(OFFSET(nombres[],0,0,1,1))+1,ROW(OFFSET(nombres[],ROWS(nombres[])-1,0,1,1))+1),$O1539:$O1558),3),"")</f>
        <v/>
      </c>
      <c r="XX1539" s="42" t="str">
        <f t="array" aca="1" ref="XX1539" ca="1">IFERROR(INDEX(nombres[],SMALL(IF(OFFSET(nombres[],0,0,ROWS(nombres[]),1)=XX$1490,ROW(OFFSET(nombres[],0,0,ROWS(nombres[]),1))-ROW(OFFSET(nombres[],0,0,1,1))+1,ROW(OFFSET(nombres[],ROWS(nombres[])-1,0,1,1))+1),$O1539:$O1558),3),"")</f>
        <v/>
      </c>
      <c r="XY1539" s="42" t="str">
        <f t="array" aca="1" ref="XY1539" ca="1">IFERROR(INDEX(nombres[],SMALL(IF(OFFSET(nombres[],0,0,ROWS(nombres[]),1)=XY$1490,ROW(OFFSET(nombres[],0,0,ROWS(nombres[]),1))-ROW(OFFSET(nombres[],0,0,1,1))+1,ROW(OFFSET(nombres[],ROWS(nombres[])-1,0,1,1))+1),$O1539:$O1558),3),"")</f>
        <v/>
      </c>
      <c r="XZ1539" s="42" t="str">
        <f t="array" aca="1" ref="XZ1539" ca="1">IFERROR(INDEX(nombres[],SMALL(IF(OFFSET(nombres[],0,0,ROWS(nombres[]),1)=XZ$1490,ROW(OFFSET(nombres[],0,0,ROWS(nombres[]),1))-ROW(OFFSET(nombres[],0,0,1,1))+1,ROW(OFFSET(nombres[],ROWS(nombres[])-1,0,1,1))+1),$O1539:$O1558),3),"")</f>
        <v/>
      </c>
      <c r="YA1539" s="42" t="str">
        <f t="array" aca="1" ref="YA1539" ca="1">IFERROR(INDEX(nombres[],SMALL(IF(OFFSET(nombres[],0,0,ROWS(nombres[]),1)=YA$1490,ROW(OFFSET(nombres[],0,0,ROWS(nombres[]),1))-ROW(OFFSET(nombres[],0,0,1,1))+1,ROW(OFFSET(nombres[],ROWS(nombres[])-1,0,1,1))+1),$O1539:$O1558),3),"")</f>
        <v/>
      </c>
      <c r="YB1539" s="42" t="str">
        <f t="array" aca="1" ref="YB1539" ca="1">IFERROR(INDEX(nombres[],SMALL(IF(OFFSET(nombres[],0,0,ROWS(nombres[]),1)=YB$1490,ROW(OFFSET(nombres[],0,0,ROWS(nombres[]),1))-ROW(OFFSET(nombres[],0,0,1,1))+1,ROW(OFFSET(nombres[],ROWS(nombres[])-1,0,1,1))+1),$O1539:$O1558),3),"")</f>
        <v/>
      </c>
      <c r="YC1539" s="42" t="str">
        <f t="array" aca="1" ref="YC1539" ca="1">IFERROR(INDEX(nombres[],SMALL(IF(OFFSET(nombres[],0,0,ROWS(nombres[]),1)=YC$1490,ROW(OFFSET(nombres[],0,0,ROWS(nombres[]),1))-ROW(OFFSET(nombres[],0,0,1,1))+1,ROW(OFFSET(nombres[],ROWS(nombres[])-1,0,1,1))+1),$O1539:$O1558),3),"")</f>
        <v/>
      </c>
      <c r="YD1539" s="42" t="str">
        <f t="array" aca="1" ref="YD1539" ca="1">IFERROR(INDEX(nombres[],SMALL(IF(OFFSET(nombres[],0,0,ROWS(nombres[]),1)=YD$1490,ROW(OFFSET(nombres[],0,0,ROWS(nombres[]),1))-ROW(OFFSET(nombres[],0,0,1,1))+1,ROW(OFFSET(nombres[],ROWS(nombres[])-1,0,1,1))+1),$O1539:$O1558),3),"")</f>
        <v/>
      </c>
      <c r="YE1539" s="42" t="str">
        <f t="array" aca="1" ref="YE1539" ca="1">IFERROR(INDEX(nombres[],SMALL(IF(OFFSET(nombres[],0,0,ROWS(nombres[]),1)=YE$1490,ROW(OFFSET(nombres[],0,0,ROWS(nombres[]),1))-ROW(OFFSET(nombres[],0,0,1,1))+1,ROW(OFFSET(nombres[],ROWS(nombres[])-1,0,1,1))+1),$O1539:$O1558),3),"")</f>
        <v/>
      </c>
      <c r="YF1539" s="42" t="str">
        <f t="array" aca="1" ref="YF1539" ca="1">IFERROR(INDEX(nombres[],SMALL(IF(OFFSET(nombres[],0,0,ROWS(nombres[]),1)=YF$1490,ROW(OFFSET(nombres[],0,0,ROWS(nombres[]),1))-ROW(OFFSET(nombres[],0,0,1,1))+1,ROW(OFFSET(nombres[],ROWS(nombres[])-1,0,1,1))+1),$O1539:$O1558),3),"")</f>
        <v/>
      </c>
      <c r="YG1539" s="42" t="str">
        <f t="array" aca="1" ref="YG1539" ca="1">IFERROR(INDEX(nombres[],SMALL(IF(OFFSET(nombres[],0,0,ROWS(nombres[]),1)=YG$1490,ROW(OFFSET(nombres[],0,0,ROWS(nombres[]),1))-ROW(OFFSET(nombres[],0,0,1,1))+1,ROW(OFFSET(nombres[],ROWS(nombres[])-1,0,1,1))+1),$O1539:$O1558),3),"")</f>
        <v/>
      </c>
      <c r="YH1539" s="42" t="str">
        <f t="array" aca="1" ref="YH1539" ca="1">IFERROR(INDEX(nombres[],SMALL(IF(OFFSET(nombres[],0,0,ROWS(nombres[]),1)=YH$1490,ROW(OFFSET(nombres[],0,0,ROWS(nombres[]),1))-ROW(OFFSET(nombres[],0,0,1,1))+1,ROW(OFFSET(nombres[],ROWS(nombres[])-1,0,1,1))+1),$O1539:$O1558),3),"")</f>
        <v/>
      </c>
      <c r="YI1539" s="42" t="str">
        <f t="array" aca="1" ref="YI1539" ca="1">IFERROR(INDEX(nombres[],SMALL(IF(OFFSET(nombres[],0,0,ROWS(nombres[]),1)=YI$1490,ROW(OFFSET(nombres[],0,0,ROWS(nombres[]),1))-ROW(OFFSET(nombres[],0,0,1,1))+1,ROW(OFFSET(nombres[],ROWS(nombres[])-1,0,1,1))+1),$O1539:$O1558),3),"")</f>
        <v/>
      </c>
      <c r="YJ1539" s="42" t="str">
        <f t="array" aca="1" ref="YJ1539" ca="1">IFERROR(INDEX(nombres[],SMALL(IF(OFFSET(nombres[],0,0,ROWS(nombres[]),1)=YJ$1490,ROW(OFFSET(nombres[],0,0,ROWS(nombres[]),1))-ROW(OFFSET(nombres[],0,0,1,1))+1,ROW(OFFSET(nombres[],ROWS(nombres[])-1,0,1,1))+1),$O1539:$O1558),3),"")</f>
        <v/>
      </c>
      <c r="YK1539" s="42" t="str">
        <f t="array" aca="1" ref="YK1539" ca="1">IFERROR(INDEX(nombres[],SMALL(IF(OFFSET(nombres[],0,0,ROWS(nombres[]),1)=YK$1490,ROW(OFFSET(nombres[],0,0,ROWS(nombres[]),1))-ROW(OFFSET(nombres[],0,0,1,1))+1,ROW(OFFSET(nombres[],ROWS(nombres[])-1,0,1,1))+1),$O1539:$O1558),3),"")</f>
        <v/>
      </c>
      <c r="YL1539" s="42" t="str">
        <f t="array" aca="1" ref="YL1539" ca="1">IFERROR(INDEX(nombres[],SMALL(IF(OFFSET(nombres[],0,0,ROWS(nombres[]),1)=YL$1490,ROW(OFFSET(nombres[],0,0,ROWS(nombres[]),1))-ROW(OFFSET(nombres[],0,0,1,1))+1,ROW(OFFSET(nombres[],ROWS(nombres[])-1,0,1,1))+1),$O1539:$O1558),3),"")</f>
        <v/>
      </c>
      <c r="YM1539" s="42" t="str">
        <f t="array" aca="1" ref="YM1539" ca="1">IFERROR(INDEX(nombres[],SMALL(IF(OFFSET(nombres[],0,0,ROWS(nombres[]),1)=YM$1490,ROW(OFFSET(nombres[],0,0,ROWS(nombres[]),1))-ROW(OFFSET(nombres[],0,0,1,1))+1,ROW(OFFSET(nombres[],ROWS(nombres[])-1,0,1,1))+1),$O1539:$O1558),3),"")</f>
        <v/>
      </c>
      <c r="YN1539" s="42" t="str">
        <f t="array" aca="1" ref="YN1539" ca="1">IFERROR(INDEX(nombres[],SMALL(IF(OFFSET(nombres[],0,0,ROWS(nombres[]),1)=YN$1490,ROW(OFFSET(nombres[],0,0,ROWS(nombres[]),1))-ROW(OFFSET(nombres[],0,0,1,1))+1,ROW(OFFSET(nombres[],ROWS(nombres[])-1,0,1,1))+1),$O1539:$O1558),3),"")</f>
        <v/>
      </c>
      <c r="YO1539" s="42" t="str">
        <f t="array" aca="1" ref="YO1539" ca="1">IFERROR(INDEX(nombres[],SMALL(IF(OFFSET(nombres[],0,0,ROWS(nombres[]),1)=YO$1490,ROW(OFFSET(nombres[],0,0,ROWS(nombres[]),1))-ROW(OFFSET(nombres[],0,0,1,1))+1,ROW(OFFSET(nombres[],ROWS(nombres[])-1,0,1,1))+1),$O1539:$O1558),3),"")</f>
        <v/>
      </c>
      <c r="YP1539" s="42" t="str">
        <f t="array" aca="1" ref="YP1539" ca="1">IFERROR(INDEX(nombres[],SMALL(IF(OFFSET(nombres[],0,0,ROWS(nombres[]),1)=YP$1490,ROW(OFFSET(nombres[],0,0,ROWS(nombres[]),1))-ROW(OFFSET(nombres[],0,0,1,1))+1,ROW(OFFSET(nombres[],ROWS(nombres[])-1,0,1,1))+1),$O1539:$O1558),3),"")</f>
        <v/>
      </c>
      <c r="YQ1539" s="42" t="str">
        <f t="array" aca="1" ref="YQ1539" ca="1">IFERROR(INDEX(nombres[],SMALL(IF(OFFSET(nombres[],0,0,ROWS(nombres[]),1)=YQ$1490,ROW(OFFSET(nombres[],0,0,ROWS(nombres[]),1))-ROW(OFFSET(nombres[],0,0,1,1))+1,ROW(OFFSET(nombres[],ROWS(nombres[])-1,0,1,1))+1),$O1539:$O1558),3),"")</f>
        <v/>
      </c>
      <c r="YR1539" s="42" t="str">
        <f t="array" aca="1" ref="YR1539" ca="1">IFERROR(INDEX(nombres[],SMALL(IF(OFFSET(nombres[],0,0,ROWS(nombres[]),1)=YR$1490,ROW(OFFSET(nombres[],0,0,ROWS(nombres[]),1))-ROW(OFFSET(nombres[],0,0,1,1))+1,ROW(OFFSET(nombres[],ROWS(nombres[])-1,0,1,1))+1),$O1539:$O1558),3),"")</f>
        <v/>
      </c>
      <c r="YS1539" s="42" t="str">
        <f t="array" aca="1" ref="YS1539" ca="1">IFERROR(INDEX(nombres[],SMALL(IF(OFFSET(nombres[],0,0,ROWS(nombres[]),1)=YS$1490,ROW(OFFSET(nombres[],0,0,ROWS(nombres[]),1))-ROW(OFFSET(nombres[],0,0,1,1))+1,ROW(OFFSET(nombres[],ROWS(nombres[])-1,0,1,1))+1),$O1539:$O1558),3),"")</f>
        <v/>
      </c>
      <c r="YT1539" s="42" t="str">
        <f t="array" aca="1" ref="YT1539" ca="1">IFERROR(INDEX(nombres[],SMALL(IF(OFFSET(nombres[],0,0,ROWS(nombres[]),1)=YT$1490,ROW(OFFSET(nombres[],0,0,ROWS(nombres[]),1))-ROW(OFFSET(nombres[],0,0,1,1))+1,ROW(OFFSET(nombres[],ROWS(nombres[])-1,0,1,1))+1),$O1539:$O1558),3),"")</f>
        <v/>
      </c>
      <c r="YU1539" s="42" t="str">
        <f t="array" aca="1" ref="YU1539" ca="1">IFERROR(INDEX(nombres[],SMALL(IF(OFFSET(nombres[],0,0,ROWS(nombres[]),1)=YU$1490,ROW(OFFSET(nombres[],0,0,ROWS(nombres[]),1))-ROW(OFFSET(nombres[],0,0,1,1))+1,ROW(OFFSET(nombres[],ROWS(nombres[])-1,0,1,1))+1),$O1539:$O1558),3),"")</f>
        <v/>
      </c>
      <c r="YV1539" s="42" t="str">
        <f t="array" aca="1" ref="YV1539" ca="1">IFERROR(INDEX(nombres[],SMALL(IF(OFFSET(nombres[],0,0,ROWS(nombres[]),1)=YV$1490,ROW(OFFSET(nombres[],0,0,ROWS(nombres[]),1))-ROW(OFFSET(nombres[],0,0,1,1))+1,ROW(OFFSET(nombres[],ROWS(nombres[])-1,0,1,1))+1),$O1539:$O1558),3),"")</f>
        <v/>
      </c>
      <c r="YW1539" s="42" t="str">
        <f t="array" aca="1" ref="YW1539" ca="1">IFERROR(INDEX(nombres[],SMALL(IF(OFFSET(nombres[],0,0,ROWS(nombres[]),1)=YW$1490,ROW(OFFSET(nombres[],0,0,ROWS(nombres[]),1))-ROW(OFFSET(nombres[],0,0,1,1))+1,ROW(OFFSET(nombres[],ROWS(nombres[])-1,0,1,1))+1),$O1539:$O1558),3),"")</f>
        <v/>
      </c>
      <c r="YX1539" s="42" t="str">
        <f t="array" aca="1" ref="YX1539" ca="1">IFERROR(INDEX(nombres[],SMALL(IF(OFFSET(nombres[],0,0,ROWS(nombres[]),1)=YX$1490,ROW(OFFSET(nombres[],0,0,ROWS(nombres[]),1))-ROW(OFFSET(nombres[],0,0,1,1))+1,ROW(OFFSET(nombres[],ROWS(nombres[])-1,0,1,1))+1),$O1539:$O1558),3),"")</f>
        <v/>
      </c>
      <c r="YY1539" s="42" t="str">
        <f t="array" aca="1" ref="YY1539" ca="1">IFERROR(INDEX(nombres[],SMALL(IF(OFFSET(nombres[],0,0,ROWS(nombres[]),1)=YY$1490,ROW(OFFSET(nombres[],0,0,ROWS(nombres[]),1))-ROW(OFFSET(nombres[],0,0,1,1))+1,ROW(OFFSET(nombres[],ROWS(nombres[])-1,0,1,1))+1),$O1539:$O1558),3),"")</f>
        <v/>
      </c>
      <c r="YZ1539" s="42" t="str">
        <f t="array" aca="1" ref="YZ1539" ca="1">IFERROR(INDEX(nombres[],SMALL(IF(OFFSET(nombres[],0,0,ROWS(nombres[]),1)=YZ$1490,ROW(OFFSET(nombres[],0,0,ROWS(nombres[]),1))-ROW(OFFSET(nombres[],0,0,1,1))+1,ROW(OFFSET(nombres[],ROWS(nombres[])-1,0,1,1))+1),$O1539:$O1558),3),"")</f>
        <v/>
      </c>
      <c r="ZA1539" s="42" t="str">
        <f t="array" aca="1" ref="ZA1539" ca="1">IFERROR(INDEX(nombres[],SMALL(IF(OFFSET(nombres[],0,0,ROWS(nombres[]),1)=ZA$1490,ROW(OFFSET(nombres[],0,0,ROWS(nombres[]),1))-ROW(OFFSET(nombres[],0,0,1,1))+1,ROW(OFFSET(nombres[],ROWS(nombres[])-1,0,1,1))+1),$O1539:$O1558),3),"")</f>
        <v/>
      </c>
      <c r="ZB1539" s="42" t="str">
        <f t="array" aca="1" ref="ZB1539" ca="1">IFERROR(INDEX(nombres[],SMALL(IF(OFFSET(nombres[],0,0,ROWS(nombres[]),1)=ZB$1490,ROW(OFFSET(nombres[],0,0,ROWS(nombres[]),1))-ROW(OFFSET(nombres[],0,0,1,1))+1,ROW(OFFSET(nombres[],ROWS(nombres[])-1,0,1,1))+1),$O1539:$O1558),3),"")</f>
        <v/>
      </c>
      <c r="ZC1539" s="42" t="str">
        <f t="array" aca="1" ref="ZC1539" ca="1">IFERROR(INDEX(nombres[],SMALL(IF(OFFSET(nombres[],0,0,ROWS(nombres[]),1)=ZC$1490,ROW(OFFSET(nombres[],0,0,ROWS(nombres[]),1))-ROW(OFFSET(nombres[],0,0,1,1))+1,ROW(OFFSET(nombres[],ROWS(nombres[])-1,0,1,1))+1),$O1539:$O1558),3),"")</f>
        <v/>
      </c>
      <c r="ZD1539" s="42" t="str">
        <f t="array" aca="1" ref="ZD1539" ca="1">IFERROR(INDEX(nombres[],SMALL(IF(OFFSET(nombres[],0,0,ROWS(nombres[]),1)=ZD$1490,ROW(OFFSET(nombres[],0,0,ROWS(nombres[]),1))-ROW(OFFSET(nombres[],0,0,1,1))+1,ROW(OFFSET(nombres[],ROWS(nombres[])-1,0,1,1))+1),$O1539:$O1558),3),"")</f>
        <v/>
      </c>
      <c r="ZE1539" s="42" t="str">
        <f t="array" aca="1" ref="ZE1539" ca="1">IFERROR(INDEX(nombres[],SMALL(IF(OFFSET(nombres[],0,0,ROWS(nombres[]),1)=ZE$1490,ROW(OFFSET(nombres[],0,0,ROWS(nombres[]),1))-ROW(OFFSET(nombres[],0,0,1,1))+1,ROW(OFFSET(nombres[],ROWS(nombres[])-1,0,1,1))+1),$O1539:$O1558),3),"")</f>
        <v/>
      </c>
      <c r="ZF1539" s="42" t="str">
        <f t="array" aca="1" ref="ZF1539" ca="1">IFERROR(INDEX(nombres[],SMALL(IF(OFFSET(nombres[],0,0,ROWS(nombres[]),1)=ZF$1490,ROW(OFFSET(nombres[],0,0,ROWS(nombres[]),1))-ROW(OFFSET(nombres[],0,0,1,1))+1,ROW(OFFSET(nombres[],ROWS(nombres[])-1,0,1,1))+1),$O1539:$O1558),3),"")</f>
        <v/>
      </c>
      <c r="ZG1539" s="42" t="str">
        <f t="array" aca="1" ref="ZG1539" ca="1">IFERROR(INDEX(nombres[],SMALL(IF(OFFSET(nombres[],0,0,ROWS(nombres[]),1)=ZG$1490,ROW(OFFSET(nombres[],0,0,ROWS(nombres[]),1))-ROW(OFFSET(nombres[],0,0,1,1))+1,ROW(OFFSET(nombres[],ROWS(nombres[])-1,0,1,1))+1),$O1539:$O1558),3),"")</f>
        <v/>
      </c>
      <c r="ZH1539" s="42" t="str">
        <f t="array" aca="1" ref="ZH1539" ca="1">IFERROR(INDEX(nombres[],SMALL(IF(OFFSET(nombres[],0,0,ROWS(nombres[]),1)=ZH$1490,ROW(OFFSET(nombres[],0,0,ROWS(nombres[]),1))-ROW(OFFSET(nombres[],0,0,1,1))+1,ROW(OFFSET(nombres[],ROWS(nombres[])-1,0,1,1))+1),$O1539:$O1558),3),"")</f>
        <v/>
      </c>
      <c r="ZI1539" s="42" t="str">
        <f t="array" aca="1" ref="ZI1539" ca="1">IFERROR(INDEX(nombres[],SMALL(IF(OFFSET(nombres[],0,0,ROWS(nombres[]),1)=ZI$1490,ROW(OFFSET(nombres[],0,0,ROWS(nombres[]),1))-ROW(OFFSET(nombres[],0,0,1,1))+1,ROW(OFFSET(nombres[],ROWS(nombres[])-1,0,1,1))+1),$O1539:$O1558),3),"")</f>
        <v/>
      </c>
      <c r="ZJ1539" s="42" t="str">
        <f t="array" aca="1" ref="ZJ1539" ca="1">IFERROR(INDEX(nombres[],SMALL(IF(OFFSET(nombres[],0,0,ROWS(nombres[]),1)=ZJ$1490,ROW(OFFSET(nombres[],0,0,ROWS(nombres[]),1))-ROW(OFFSET(nombres[],0,0,1,1))+1,ROW(OFFSET(nombres[],ROWS(nombres[])-1,0,1,1))+1),$O1539:$O1558),3),"")</f>
        <v/>
      </c>
      <c r="ZK1539" s="42" t="str">
        <f t="array" aca="1" ref="ZK1539" ca="1">IFERROR(INDEX(nombres[],SMALL(IF(OFFSET(nombres[],0,0,ROWS(nombres[]),1)=ZK$1490,ROW(OFFSET(nombres[],0,0,ROWS(nombres[]),1))-ROW(OFFSET(nombres[],0,0,1,1))+1,ROW(OFFSET(nombres[],ROWS(nombres[])-1,0,1,1))+1),$O1539:$O1558),3),"")</f>
        <v/>
      </c>
      <c r="ZL1539" s="42" t="str">
        <f t="array" aca="1" ref="ZL1539" ca="1">IFERROR(INDEX(nombres[],SMALL(IF(OFFSET(nombres[],0,0,ROWS(nombres[]),1)=ZL$1490,ROW(OFFSET(nombres[],0,0,ROWS(nombres[]),1))-ROW(OFFSET(nombres[],0,0,1,1))+1,ROW(OFFSET(nombres[],ROWS(nombres[])-1,0,1,1))+1),$O1539:$O1558),3),"")</f>
        <v/>
      </c>
      <c r="ZM1539" s="42" t="str">
        <f t="array" aca="1" ref="ZM1539" ca="1">IFERROR(INDEX(nombres[],SMALL(IF(OFFSET(nombres[],0,0,ROWS(nombres[]),1)=ZM$1490,ROW(OFFSET(nombres[],0,0,ROWS(nombres[]),1))-ROW(OFFSET(nombres[],0,0,1,1))+1,ROW(OFFSET(nombres[],ROWS(nombres[])-1,0,1,1))+1),$O1539:$O1558),3),"")</f>
        <v/>
      </c>
      <c r="ZN1539" s="42" t="str">
        <f t="array" aca="1" ref="ZN1539" ca="1">IFERROR(INDEX(nombres[],SMALL(IF(OFFSET(nombres[],0,0,ROWS(nombres[]),1)=ZN$1490,ROW(OFFSET(nombres[],0,0,ROWS(nombres[]),1))-ROW(OFFSET(nombres[],0,0,1,1))+1,ROW(OFFSET(nombres[],ROWS(nombres[])-1,0,1,1))+1),$O1539:$O1558),3),"")</f>
        <v/>
      </c>
      <c r="ZO1539" s="42" t="str">
        <f t="array" aca="1" ref="ZO1539" ca="1">IFERROR(INDEX(nombres[],SMALL(IF(OFFSET(nombres[],0,0,ROWS(nombres[]),1)=ZO$1490,ROW(OFFSET(nombres[],0,0,ROWS(nombres[]),1))-ROW(OFFSET(nombres[],0,0,1,1))+1,ROW(OFFSET(nombres[],ROWS(nombres[])-1,0,1,1))+1),$O1539:$O1558),3),"")</f>
        <v/>
      </c>
      <c r="ZP1539" s="42" t="str">
        <f t="array" aca="1" ref="ZP1539" ca="1">IFERROR(INDEX(nombres[],SMALL(IF(OFFSET(nombres[],0,0,ROWS(nombres[]),1)=ZP$1490,ROW(OFFSET(nombres[],0,0,ROWS(nombres[]),1))-ROW(OFFSET(nombres[],0,0,1,1))+1,ROW(OFFSET(nombres[],ROWS(nombres[])-1,0,1,1))+1),$O1539:$O1558),3),"")</f>
        <v/>
      </c>
      <c r="ZQ1539" s="42" t="str">
        <f t="array" aca="1" ref="ZQ1539" ca="1">IFERROR(INDEX(nombres[],SMALL(IF(OFFSET(nombres[],0,0,ROWS(nombres[]),1)=ZQ$1490,ROW(OFFSET(nombres[],0,0,ROWS(nombres[]),1))-ROW(OFFSET(nombres[],0,0,1,1))+1,ROW(OFFSET(nombres[],ROWS(nombres[])-1,0,1,1))+1),$O1539:$O1558),3),"")</f>
        <v/>
      </c>
      <c r="ZR1539" s="42" t="str">
        <f t="array" aca="1" ref="ZR1539" ca="1">IFERROR(INDEX(nombres[],SMALL(IF(OFFSET(nombres[],0,0,ROWS(nombres[]),1)=ZR$1490,ROW(OFFSET(nombres[],0,0,ROWS(nombres[]),1))-ROW(OFFSET(nombres[],0,0,1,1))+1,ROW(OFFSET(nombres[],ROWS(nombres[])-1,0,1,1))+1),$O1539:$O1558),3),"")</f>
        <v/>
      </c>
      <c r="ZS1539" s="42" t="str">
        <f t="array" aca="1" ref="ZS1539" ca="1">IFERROR(INDEX(nombres[],SMALL(IF(OFFSET(nombres[],0,0,ROWS(nombres[]),1)=ZS$1490,ROW(OFFSET(nombres[],0,0,ROWS(nombres[]),1))-ROW(OFFSET(nombres[],0,0,1,1))+1,ROW(OFFSET(nombres[],ROWS(nombres[])-1,0,1,1))+1),$O1539:$O1558),3),"")</f>
        <v/>
      </c>
      <c r="ZT1539" s="42" t="str">
        <f t="array" aca="1" ref="ZT1539" ca="1">IFERROR(INDEX(nombres[],SMALL(IF(OFFSET(nombres[],0,0,ROWS(nombres[]),1)=ZT$1490,ROW(OFFSET(nombres[],0,0,ROWS(nombres[]),1))-ROW(OFFSET(nombres[],0,0,1,1))+1,ROW(OFFSET(nombres[],ROWS(nombres[])-1,0,1,1))+1),$O1539:$O1558),3),"")</f>
        <v/>
      </c>
      <c r="ZU1539" s="42" t="str">
        <f t="array" aca="1" ref="ZU1539" ca="1">IFERROR(INDEX(nombres[],SMALL(IF(OFFSET(nombres[],0,0,ROWS(nombres[]),1)=ZU$1490,ROW(OFFSET(nombres[],0,0,ROWS(nombres[]),1))-ROW(OFFSET(nombres[],0,0,1,1))+1,ROW(OFFSET(nombres[],ROWS(nombres[])-1,0,1,1))+1),$O1539:$O1558),3),"")</f>
        <v/>
      </c>
      <c r="ZV1539" s="42" t="str">
        <f t="array" aca="1" ref="ZV1539" ca="1">IFERROR(INDEX(nombres[],SMALL(IF(OFFSET(nombres[],0,0,ROWS(nombres[]),1)=ZV$1490,ROW(OFFSET(nombres[],0,0,ROWS(nombres[]),1))-ROW(OFFSET(nombres[],0,0,1,1))+1,ROW(OFFSET(nombres[],ROWS(nombres[])-1,0,1,1))+1),$O1539:$O1558),3),"")</f>
        <v/>
      </c>
      <c r="ZW1539" s="42" t="str">
        <f t="array" aca="1" ref="ZW1539" ca="1">IFERROR(INDEX(nombres[],SMALL(IF(OFFSET(nombres[],0,0,ROWS(nombres[]),1)=ZW$1490,ROW(OFFSET(nombres[],0,0,ROWS(nombres[]),1))-ROW(OFFSET(nombres[],0,0,1,1))+1,ROW(OFFSET(nombres[],ROWS(nombres[])-1,0,1,1))+1),$O1539:$O1558),3),"")</f>
        <v/>
      </c>
      <c r="ZX1539" s="42" t="str">
        <f t="array" aca="1" ref="ZX1539" ca="1">IFERROR(INDEX(nombres[],SMALL(IF(OFFSET(nombres[],0,0,ROWS(nombres[]),1)=ZX$1490,ROW(OFFSET(nombres[],0,0,ROWS(nombres[]),1))-ROW(OFFSET(nombres[],0,0,1,1))+1,ROW(OFFSET(nombres[],ROWS(nombres[])-1,0,1,1))+1),$O1539:$O1558),3),"")</f>
        <v/>
      </c>
      <c r="ZY1539" s="42" t="str">
        <f t="array" aca="1" ref="ZY1539" ca="1">IFERROR(INDEX(nombres[],SMALL(IF(OFFSET(nombres[],0,0,ROWS(nombres[]),1)=ZY$1490,ROW(OFFSET(nombres[],0,0,ROWS(nombres[]),1))-ROW(OFFSET(nombres[],0,0,1,1))+1,ROW(OFFSET(nombres[],ROWS(nombres[])-1,0,1,1))+1),$O1539:$O1558),3),"")</f>
        <v/>
      </c>
      <c r="ZZ1539" s="42" t="str">
        <f t="array" aca="1" ref="ZZ1539" ca="1">IFERROR(INDEX(nombres[],SMALL(IF(OFFSET(nombres[],0,0,ROWS(nombres[]),1)=ZZ$1490,ROW(OFFSET(nombres[],0,0,ROWS(nombres[]),1))-ROW(OFFSET(nombres[],0,0,1,1))+1,ROW(OFFSET(nombres[],ROWS(nombres[])-1,0,1,1))+1),$O1539:$O1558),3),"")</f>
        <v/>
      </c>
      <c r="AAA1539" s="42" t="str">
        <f t="array" aca="1" ref="AAA1539" ca="1">IFERROR(INDEX(nombres[],SMALL(IF(OFFSET(nombres[],0,0,ROWS(nombres[]),1)=AAA$1490,ROW(OFFSET(nombres[],0,0,ROWS(nombres[]),1))-ROW(OFFSET(nombres[],0,0,1,1))+1,ROW(OFFSET(nombres[],ROWS(nombres[])-1,0,1,1))+1),$O1539:$O1558),3),"")</f>
        <v/>
      </c>
      <c r="AAB1539" s="42" t="str">
        <f t="array" aca="1" ref="AAB1539" ca="1">IFERROR(INDEX(nombres[],SMALL(IF(OFFSET(nombres[],0,0,ROWS(nombres[]),1)=AAB$1490,ROW(OFFSET(nombres[],0,0,ROWS(nombres[]),1))-ROW(OFFSET(nombres[],0,0,1,1))+1,ROW(OFFSET(nombres[],ROWS(nombres[])-1,0,1,1))+1),$O1539:$O1558),3),"")</f>
        <v/>
      </c>
      <c r="AAC1539" s="42" t="str">
        <f t="array" aca="1" ref="AAC1539" ca="1">IFERROR(INDEX(nombres[],SMALL(IF(OFFSET(nombres[],0,0,ROWS(nombres[]),1)=AAC$1490,ROW(OFFSET(nombres[],0,0,ROWS(nombres[]),1))-ROW(OFFSET(nombres[],0,0,1,1))+1,ROW(OFFSET(nombres[],ROWS(nombres[])-1,0,1,1))+1),$O1539:$O1558),3),"")</f>
        <v/>
      </c>
      <c r="AAD1539" s="42" t="str">
        <f t="array" aca="1" ref="AAD1539" ca="1">IFERROR(INDEX(nombres[],SMALL(IF(OFFSET(nombres[],0,0,ROWS(nombres[]),1)=AAD$1490,ROW(OFFSET(nombres[],0,0,ROWS(nombres[]),1))-ROW(OFFSET(nombres[],0,0,1,1))+1,ROW(OFFSET(nombres[],ROWS(nombres[])-1,0,1,1))+1),$O1539:$O1558),3),"")</f>
        <v/>
      </c>
      <c r="AAE1539" s="42" t="str">
        <f t="array" aca="1" ref="AAE1539" ca="1">IFERROR(INDEX(nombres[],SMALL(IF(OFFSET(nombres[],0,0,ROWS(nombres[]),1)=AAE$1490,ROW(OFFSET(nombres[],0,0,ROWS(nombres[]),1))-ROW(OFFSET(nombres[],0,0,1,1))+1,ROW(OFFSET(nombres[],ROWS(nombres[])-1,0,1,1))+1),$O1539:$O1558),3),"")</f>
        <v/>
      </c>
      <c r="AAF1539" s="42" t="str">
        <f t="array" aca="1" ref="AAF1539" ca="1">IFERROR(INDEX(nombres[],SMALL(IF(OFFSET(nombres[],0,0,ROWS(nombres[]),1)=AAF$1490,ROW(OFFSET(nombres[],0,0,ROWS(nombres[]),1))-ROW(OFFSET(nombres[],0,0,1,1))+1,ROW(OFFSET(nombres[],ROWS(nombres[])-1,0,1,1))+1),$O1539:$O1558),3),"")</f>
        <v/>
      </c>
      <c r="AAG1539" s="42" t="str">
        <f t="array" aca="1" ref="AAG1539" ca="1">IFERROR(INDEX(nombres[],SMALL(IF(OFFSET(nombres[],0,0,ROWS(nombres[]),1)=AAG$1490,ROW(OFFSET(nombres[],0,0,ROWS(nombres[]),1))-ROW(OFFSET(nombres[],0,0,1,1))+1,ROW(OFFSET(nombres[],ROWS(nombres[])-1,0,1,1))+1),$O1539:$O1558),3),"")</f>
        <v/>
      </c>
      <c r="AAH1539" s="42" t="str">
        <f t="array" aca="1" ref="AAH1539" ca="1">IFERROR(INDEX(nombres[],SMALL(IF(OFFSET(nombres[],0,0,ROWS(nombres[]),1)=AAH$1490,ROW(OFFSET(nombres[],0,0,ROWS(nombres[]),1))-ROW(OFFSET(nombres[],0,0,1,1))+1,ROW(OFFSET(nombres[],ROWS(nombres[])-1,0,1,1))+1),$O1539:$O1558),3),"")</f>
        <v/>
      </c>
      <c r="AAI1539" s="42" t="str">
        <f t="array" aca="1" ref="AAI1539" ca="1">IFERROR(INDEX(nombres[],SMALL(IF(OFFSET(nombres[],0,0,ROWS(nombres[]),1)=AAI$1490,ROW(OFFSET(nombres[],0,0,ROWS(nombres[]),1))-ROW(OFFSET(nombres[],0,0,1,1))+1,ROW(OFFSET(nombres[],ROWS(nombres[])-1,0,1,1))+1),$O1539:$O1558),3),"")</f>
        <v/>
      </c>
      <c r="AAJ1539" s="42" t="str">
        <f t="array" aca="1" ref="AAJ1539" ca="1">IFERROR(INDEX(nombres[],SMALL(IF(OFFSET(nombres[],0,0,ROWS(nombres[]),1)=AAJ$1490,ROW(OFFSET(nombres[],0,0,ROWS(nombres[]),1))-ROW(OFFSET(nombres[],0,0,1,1))+1,ROW(OFFSET(nombres[],ROWS(nombres[])-1,0,1,1))+1),$O1539:$O1558),3),"")</f>
        <v/>
      </c>
      <c r="AAK1539" s="42" t="str">
        <f t="array" aca="1" ref="AAK1539" ca="1">IFERROR(INDEX(nombres[],SMALL(IF(OFFSET(nombres[],0,0,ROWS(nombres[]),1)=AAK$1490,ROW(OFFSET(nombres[],0,0,ROWS(nombres[]),1))-ROW(OFFSET(nombres[],0,0,1,1))+1,ROW(OFFSET(nombres[],ROWS(nombres[])-1,0,1,1))+1),$O1539:$O1558),3),"")</f>
        <v/>
      </c>
      <c r="AAL1539" s="42" t="str">
        <f t="array" aca="1" ref="AAL1539" ca="1">IFERROR(INDEX(nombres[],SMALL(IF(OFFSET(nombres[],0,0,ROWS(nombres[]),1)=AAL$1490,ROW(OFFSET(nombres[],0,0,ROWS(nombres[]),1))-ROW(OFFSET(nombres[],0,0,1,1))+1,ROW(OFFSET(nombres[],ROWS(nombres[])-1,0,1,1))+1),$O1539:$O1558),3),"")</f>
        <v/>
      </c>
      <c r="AAM1539" s="42" t="str">
        <f t="array" aca="1" ref="AAM1539" ca="1">IFERROR(INDEX(nombres[],SMALL(IF(OFFSET(nombres[],0,0,ROWS(nombres[]),1)=AAM$1490,ROW(OFFSET(nombres[],0,0,ROWS(nombres[]),1))-ROW(OFFSET(nombres[],0,0,1,1))+1,ROW(OFFSET(nombres[],ROWS(nombres[])-1,0,1,1))+1),$O1539:$O1558),3),"")</f>
        <v/>
      </c>
      <c r="AAN1539" s="42" t="str">
        <f t="array" aca="1" ref="AAN1539" ca="1">IFERROR(INDEX(nombres[],SMALL(IF(OFFSET(nombres[],0,0,ROWS(nombres[]),1)=AAN$1490,ROW(OFFSET(nombres[],0,0,ROWS(nombres[]),1))-ROW(OFFSET(nombres[],0,0,1,1))+1,ROW(OFFSET(nombres[],ROWS(nombres[])-1,0,1,1))+1),$O1539:$O1558),3),"")</f>
        <v/>
      </c>
      <c r="AAO1539" s="42" t="str">
        <f t="array" aca="1" ref="AAO1539" ca="1">IFERROR(INDEX(nombres[],SMALL(IF(OFFSET(nombres[],0,0,ROWS(nombres[]),1)=AAO$1490,ROW(OFFSET(nombres[],0,0,ROWS(nombres[]),1))-ROW(OFFSET(nombres[],0,0,1,1))+1,ROW(OFFSET(nombres[],ROWS(nombres[])-1,0,1,1))+1),$O1539:$O1558),3),"")</f>
        <v/>
      </c>
      <c r="AAP1539" s="42" t="str">
        <f t="array" aca="1" ref="AAP1539" ca="1">IFERROR(INDEX(nombres[],SMALL(IF(OFFSET(nombres[],0,0,ROWS(nombres[]),1)=AAP$1490,ROW(OFFSET(nombres[],0,0,ROWS(nombres[]),1))-ROW(OFFSET(nombres[],0,0,1,1))+1,ROW(OFFSET(nombres[],ROWS(nombres[])-1,0,1,1))+1),$O1539:$O1558),3),"")</f>
        <v/>
      </c>
      <c r="AAQ1539" s="42" t="str">
        <f t="array" aca="1" ref="AAQ1539" ca="1">IFERROR(INDEX(nombres[],SMALL(IF(OFFSET(nombres[],0,0,ROWS(nombres[]),1)=AAQ$1490,ROW(OFFSET(nombres[],0,0,ROWS(nombres[]),1))-ROW(OFFSET(nombres[],0,0,1,1))+1,ROW(OFFSET(nombres[],ROWS(nombres[])-1,0,1,1))+1),$O1539:$O1558),3),"")</f>
        <v/>
      </c>
      <c r="AAR1539" s="42" t="str">
        <f t="array" aca="1" ref="AAR1539" ca="1">IFERROR(INDEX(nombres[],SMALL(IF(OFFSET(nombres[],0,0,ROWS(nombres[]),1)=AAR$1490,ROW(OFFSET(nombres[],0,0,ROWS(nombres[]),1))-ROW(OFFSET(nombres[],0,0,1,1))+1,ROW(OFFSET(nombres[],ROWS(nombres[])-1,0,1,1))+1),$O1539:$O1558),3),"")</f>
        <v/>
      </c>
      <c r="AAS1539" s="42" t="str">
        <f t="array" aca="1" ref="AAS1539" ca="1">IFERROR(INDEX(nombres[],SMALL(IF(OFFSET(nombres[],0,0,ROWS(nombres[]),1)=AAS$1490,ROW(OFFSET(nombres[],0,0,ROWS(nombres[]),1))-ROW(OFFSET(nombres[],0,0,1,1))+1,ROW(OFFSET(nombres[],ROWS(nombres[])-1,0,1,1))+1),$O1539:$O1558),3),"")</f>
        <v/>
      </c>
      <c r="AAT1539" s="42" t="str">
        <f t="array" aca="1" ref="AAT1539" ca="1">IFERROR(INDEX(nombres[],SMALL(IF(OFFSET(nombres[],0,0,ROWS(nombres[]),1)=AAT$1490,ROW(OFFSET(nombres[],0,0,ROWS(nombres[]),1))-ROW(OFFSET(nombres[],0,0,1,1))+1,ROW(OFFSET(nombres[],ROWS(nombres[])-1,0,1,1))+1),$O1539:$O1558),3),"")</f>
        <v/>
      </c>
      <c r="AAU1539" s="42" t="str">
        <f t="array" aca="1" ref="AAU1539" ca="1">IFERROR(INDEX(nombres[],SMALL(IF(OFFSET(nombres[],0,0,ROWS(nombres[]),1)=AAU$1490,ROW(OFFSET(nombres[],0,0,ROWS(nombres[]),1))-ROW(OFFSET(nombres[],0,0,1,1))+1,ROW(OFFSET(nombres[],ROWS(nombres[])-1,0,1,1))+1),$O1539:$O1558),3),"")</f>
        <v/>
      </c>
      <c r="AAV1539" s="42" t="str">
        <f t="array" aca="1" ref="AAV1539" ca="1">IFERROR(INDEX(nombres[],SMALL(IF(OFFSET(nombres[],0,0,ROWS(nombres[]),1)=AAV$1490,ROW(OFFSET(nombres[],0,0,ROWS(nombres[]),1))-ROW(OFFSET(nombres[],0,0,1,1))+1,ROW(OFFSET(nombres[],ROWS(nombres[])-1,0,1,1))+1),$O1539:$O1558),3),"")</f>
        <v/>
      </c>
      <c r="AAW1539" s="42" t="str">
        <f t="array" aca="1" ref="AAW1539" ca="1">IFERROR(INDEX(nombres[],SMALL(IF(OFFSET(nombres[],0,0,ROWS(nombres[]),1)=AAW$1490,ROW(OFFSET(nombres[],0,0,ROWS(nombres[]),1))-ROW(OFFSET(nombres[],0,0,1,1))+1,ROW(OFFSET(nombres[],ROWS(nombres[])-1,0,1,1))+1),$O1539:$O1558),3),"")</f>
        <v/>
      </c>
      <c r="AAX1539" s="42" t="str">
        <f t="array" aca="1" ref="AAX1539" ca="1">IFERROR(INDEX(nombres[],SMALL(IF(OFFSET(nombres[],0,0,ROWS(nombres[]),1)=AAX$1490,ROW(OFFSET(nombres[],0,0,ROWS(nombres[]),1))-ROW(OFFSET(nombres[],0,0,1,1))+1,ROW(OFFSET(nombres[],ROWS(nombres[])-1,0,1,1))+1),$O1539:$O1558),3),"")</f>
        <v/>
      </c>
      <c r="AAY1539" s="42" t="str">
        <f t="array" aca="1" ref="AAY1539" ca="1">IFERROR(INDEX(nombres[],SMALL(IF(OFFSET(nombres[],0,0,ROWS(nombres[]),1)=AAY$1490,ROW(OFFSET(nombres[],0,0,ROWS(nombres[]),1))-ROW(OFFSET(nombres[],0,0,1,1))+1,ROW(OFFSET(nombres[],ROWS(nombres[])-1,0,1,1))+1),$O1539:$O1558),3),"")</f>
        <v/>
      </c>
      <c r="AAZ1539" s="42" t="str">
        <f t="array" aca="1" ref="AAZ1539" ca="1">IFERROR(INDEX(nombres[],SMALL(IF(OFFSET(nombres[],0,0,ROWS(nombres[]),1)=AAZ$1490,ROW(OFFSET(nombres[],0,0,ROWS(nombres[]),1))-ROW(OFFSET(nombres[],0,0,1,1))+1,ROW(OFFSET(nombres[],ROWS(nombres[])-1,0,1,1))+1),$O1539:$O1558),3),"")</f>
        <v/>
      </c>
      <c r="ABA1539" s="42" t="str">
        <f t="array" aca="1" ref="ABA1539" ca="1">IFERROR(INDEX(nombres[],SMALL(IF(OFFSET(nombres[],0,0,ROWS(nombres[]),1)=ABA$1490,ROW(OFFSET(nombres[],0,0,ROWS(nombres[]),1))-ROW(OFFSET(nombres[],0,0,1,1))+1,ROW(OFFSET(nombres[],ROWS(nombres[])-1,0,1,1))+1),$O1539:$O1558),3),"")</f>
        <v/>
      </c>
      <c r="ABB1539" s="42" t="str">
        <f t="array" aca="1" ref="ABB1539" ca="1">IFERROR(INDEX(nombres[],SMALL(IF(OFFSET(nombres[],0,0,ROWS(nombres[]),1)=ABB$1490,ROW(OFFSET(nombres[],0,0,ROWS(nombres[]),1))-ROW(OFFSET(nombres[],0,0,1,1))+1,ROW(OFFSET(nombres[],ROWS(nombres[])-1,0,1,1))+1),$O1539:$O1558),3),"")</f>
        <v/>
      </c>
      <c r="ABC1539" s="42" t="str">
        <f t="array" aca="1" ref="ABC1539" ca="1">IFERROR(INDEX(nombres[],SMALL(IF(OFFSET(nombres[],0,0,ROWS(nombres[]),1)=ABC$1490,ROW(OFFSET(nombres[],0,0,ROWS(nombres[]),1))-ROW(OFFSET(nombres[],0,0,1,1))+1,ROW(OFFSET(nombres[],ROWS(nombres[])-1,0,1,1))+1),$O1539:$O1558),3),"")</f>
        <v/>
      </c>
      <c r="ABD1539" s="42" t="str">
        <f t="array" aca="1" ref="ABD1539" ca="1">IFERROR(INDEX(nombres[],SMALL(IF(OFFSET(nombres[],0,0,ROWS(nombres[]),1)=ABD$1490,ROW(OFFSET(nombres[],0,0,ROWS(nombres[]),1))-ROW(OFFSET(nombres[],0,0,1,1))+1,ROW(OFFSET(nombres[],ROWS(nombres[])-1,0,1,1))+1),$O1539:$O1558),3),"")</f>
        <v/>
      </c>
      <c r="ABE1539" s="42" t="str">
        <f t="array" aca="1" ref="ABE1539" ca="1">IFERROR(INDEX(nombres[],SMALL(IF(OFFSET(nombres[],0,0,ROWS(nombres[]),1)=ABE$1490,ROW(OFFSET(nombres[],0,0,ROWS(nombres[]),1))-ROW(OFFSET(nombres[],0,0,1,1))+1,ROW(OFFSET(nombres[],ROWS(nombres[])-1,0,1,1))+1),$O1539:$O1558),3),"")</f>
        <v/>
      </c>
      <c r="ABF1539" s="42" t="str">
        <f t="array" aca="1" ref="ABF1539" ca="1">IFERROR(INDEX(nombres[],SMALL(IF(OFFSET(nombres[],0,0,ROWS(nombres[]),1)=ABF$1490,ROW(OFFSET(nombres[],0,0,ROWS(nombres[]),1))-ROW(OFFSET(nombres[],0,0,1,1))+1,ROW(OFFSET(nombres[],ROWS(nombres[])-1,0,1,1))+1),$O1539:$O1558),3),"")</f>
        <v/>
      </c>
      <c r="ABG1539" s="42" t="str">
        <f t="array" aca="1" ref="ABG1539" ca="1">IFERROR(INDEX(nombres[],SMALL(IF(OFFSET(nombres[],0,0,ROWS(nombres[]),1)=ABG$1490,ROW(OFFSET(nombres[],0,0,ROWS(nombres[]),1))-ROW(OFFSET(nombres[],0,0,1,1))+1,ROW(OFFSET(nombres[],ROWS(nombres[])-1,0,1,1))+1),$O1539:$O1558),3),"")</f>
        <v/>
      </c>
      <c r="ABH1539" s="42" t="str">
        <f t="array" aca="1" ref="ABH1539" ca="1">IFERROR(INDEX(nombres[],SMALL(IF(OFFSET(nombres[],0,0,ROWS(nombres[]),1)=ABH$1490,ROW(OFFSET(nombres[],0,0,ROWS(nombres[]),1))-ROW(OFFSET(nombres[],0,0,1,1))+1,ROW(OFFSET(nombres[],ROWS(nombres[])-1,0,1,1))+1),$O1539:$O1558),3),"")</f>
        <v/>
      </c>
      <c r="ABI1539" s="42" t="str">
        <f t="array" aca="1" ref="ABI1539" ca="1">IFERROR(INDEX(nombres[],SMALL(IF(OFFSET(nombres[],0,0,ROWS(nombres[]),1)=ABI$1490,ROW(OFFSET(nombres[],0,0,ROWS(nombres[]),1))-ROW(OFFSET(nombres[],0,0,1,1))+1,ROW(OFFSET(nombres[],ROWS(nombres[])-1,0,1,1))+1),$O1539:$O1558),3),"")</f>
        <v/>
      </c>
      <c r="ABJ1539" s="42" t="str">
        <f t="array" aca="1" ref="ABJ1539" ca="1">IFERROR(INDEX(nombres[],SMALL(IF(OFFSET(nombres[],0,0,ROWS(nombres[]),1)=ABJ$1490,ROW(OFFSET(nombres[],0,0,ROWS(nombres[]),1))-ROW(OFFSET(nombres[],0,0,1,1))+1,ROW(OFFSET(nombres[],ROWS(nombres[])-1,0,1,1))+1),$O1539:$O1558),3),"")</f>
        <v/>
      </c>
      <c r="ABK1539" s="42" t="str">
        <f t="array" aca="1" ref="ABK1539" ca="1">IFERROR(INDEX(nombres[],SMALL(IF(OFFSET(nombres[],0,0,ROWS(nombres[]),1)=ABK$1490,ROW(OFFSET(nombres[],0,0,ROWS(nombres[]),1))-ROW(OFFSET(nombres[],0,0,1,1))+1,ROW(OFFSET(nombres[],ROWS(nombres[])-1,0,1,1))+1),$O1539:$O1558),3),"")</f>
        <v/>
      </c>
      <c r="ABL1539" s="42" t="str">
        <f t="array" aca="1" ref="ABL1539" ca="1">IFERROR(INDEX(nombres[],SMALL(IF(OFFSET(nombres[],0,0,ROWS(nombres[]),1)=ABL$1490,ROW(OFFSET(nombres[],0,0,ROWS(nombres[]),1))-ROW(OFFSET(nombres[],0,0,1,1))+1,ROW(OFFSET(nombres[],ROWS(nombres[])-1,0,1,1))+1),$O1539:$O1558),3),"")</f>
        <v/>
      </c>
      <c r="ABM1539" s="42" t="str">
        <f t="array" aca="1" ref="ABM1539" ca="1">IFERROR(INDEX(nombres[],SMALL(IF(OFFSET(nombres[],0,0,ROWS(nombres[]),1)=ABM$1490,ROW(OFFSET(nombres[],0,0,ROWS(nombres[]),1))-ROW(OFFSET(nombres[],0,0,1,1))+1,ROW(OFFSET(nombres[],ROWS(nombres[])-1,0,1,1))+1),$O1539:$O1558),3),"")</f>
        <v/>
      </c>
      <c r="ABN1539" s="42" t="str">
        <f t="array" aca="1" ref="ABN1539" ca="1">IFERROR(INDEX(nombres[],SMALL(IF(OFFSET(nombres[],0,0,ROWS(nombres[]),1)=ABN$1490,ROW(OFFSET(nombres[],0,0,ROWS(nombres[]),1))-ROW(OFFSET(nombres[],0,0,1,1))+1,ROW(OFFSET(nombres[],ROWS(nombres[])-1,0,1,1))+1),$O1539:$O1558),3),"")</f>
        <v/>
      </c>
      <c r="ABO1539" s="42" t="str">
        <f t="array" aca="1" ref="ABO1539" ca="1">IFERROR(INDEX(nombres[],SMALL(IF(OFFSET(nombres[],0,0,ROWS(nombres[]),1)=ABO$1490,ROW(OFFSET(nombres[],0,0,ROWS(nombres[]),1))-ROW(OFFSET(nombres[],0,0,1,1))+1,ROW(OFFSET(nombres[],ROWS(nombres[])-1,0,1,1))+1),$O1539:$O1558),3),"")</f>
        <v/>
      </c>
      <c r="ABP1539" s="42" t="str">
        <f t="array" aca="1" ref="ABP1539" ca="1">IFERROR(INDEX(nombres[],SMALL(IF(OFFSET(nombres[],0,0,ROWS(nombres[]),1)=ABP$1490,ROW(OFFSET(nombres[],0,0,ROWS(nombres[]),1))-ROW(OFFSET(nombres[],0,0,1,1))+1,ROW(OFFSET(nombres[],ROWS(nombres[])-1,0,1,1))+1),$O1539:$O1558),3),"")</f>
        <v/>
      </c>
      <c r="ABQ1539" s="42" t="str">
        <f t="array" aca="1" ref="ABQ1539" ca="1">IFERROR(INDEX(nombres[],SMALL(IF(OFFSET(nombres[],0,0,ROWS(nombres[]),1)=ABQ$1490,ROW(OFFSET(nombres[],0,0,ROWS(nombres[]),1))-ROW(OFFSET(nombres[],0,0,1,1))+1,ROW(OFFSET(nombres[],ROWS(nombres[])-1,0,1,1))+1),$O1539:$O1558),3),"")</f>
        <v/>
      </c>
      <c r="ABR1539" s="42" t="str">
        <f t="array" aca="1" ref="ABR1539" ca="1">IFERROR(INDEX(nombres[],SMALL(IF(OFFSET(nombres[],0,0,ROWS(nombres[]),1)=ABR$1490,ROW(OFFSET(nombres[],0,0,ROWS(nombres[]),1))-ROW(OFFSET(nombres[],0,0,1,1))+1,ROW(OFFSET(nombres[],ROWS(nombres[])-1,0,1,1))+1),$O1539:$O1558),3),"")</f>
        <v/>
      </c>
      <c r="ABS1539" s="42" t="str">
        <f t="array" aca="1" ref="ABS1539" ca="1">IFERROR(INDEX(nombres[],SMALL(IF(OFFSET(nombres[],0,0,ROWS(nombres[]),1)=ABS$1490,ROW(OFFSET(nombres[],0,0,ROWS(nombres[]),1))-ROW(OFFSET(nombres[],0,0,1,1))+1,ROW(OFFSET(nombres[],ROWS(nombres[])-1,0,1,1))+1),$O1539:$O1558),3),"")</f>
        <v/>
      </c>
      <c r="ABT1539" s="42" t="str">
        <f t="array" aca="1" ref="ABT1539" ca="1">IFERROR(INDEX(nombres[],SMALL(IF(OFFSET(nombres[],0,0,ROWS(nombres[]),1)=ABT$1490,ROW(OFFSET(nombres[],0,0,ROWS(nombres[]),1))-ROW(OFFSET(nombres[],0,0,1,1))+1,ROW(OFFSET(nombres[],ROWS(nombres[])-1,0,1,1))+1),$O1539:$O1558),3),"")</f>
        <v/>
      </c>
      <c r="ABU1539" s="42" t="str">
        <f t="array" aca="1" ref="ABU1539" ca="1">IFERROR(INDEX(nombres[],SMALL(IF(OFFSET(nombres[],0,0,ROWS(nombres[]),1)=ABU$1490,ROW(OFFSET(nombres[],0,0,ROWS(nombres[]),1))-ROW(OFFSET(nombres[],0,0,1,1))+1,ROW(OFFSET(nombres[],ROWS(nombres[])-1,0,1,1))+1),$O1539:$O1558),3),"")</f>
        <v/>
      </c>
      <c r="ABV1539" s="42" t="str">
        <f t="array" aca="1" ref="ABV1539" ca="1">IFERROR(INDEX(nombres[],SMALL(IF(OFFSET(nombres[],0,0,ROWS(nombres[]),1)=ABV$1490,ROW(OFFSET(nombres[],0,0,ROWS(nombres[]),1))-ROW(OFFSET(nombres[],0,0,1,1))+1,ROW(OFFSET(nombres[],ROWS(nombres[])-1,0,1,1))+1),$O1539:$O1558),3),"")</f>
        <v/>
      </c>
      <c r="ABW1539" s="42" t="str">
        <f t="array" aca="1" ref="ABW1539" ca="1">IFERROR(INDEX(nombres[],SMALL(IF(OFFSET(nombres[],0,0,ROWS(nombres[]),1)=ABW$1490,ROW(OFFSET(nombres[],0,0,ROWS(nombres[]),1))-ROW(OFFSET(nombres[],0,0,1,1))+1,ROW(OFFSET(nombres[],ROWS(nombres[])-1,0,1,1))+1),$O1539:$O1558),3),"")</f>
        <v/>
      </c>
      <c r="ABX1539" s="42" t="str">
        <f t="array" aca="1" ref="ABX1539" ca="1">IFERROR(INDEX(nombres[],SMALL(IF(OFFSET(nombres[],0,0,ROWS(nombres[]),1)=ABX$1490,ROW(OFFSET(nombres[],0,0,ROWS(nombres[]),1))-ROW(OFFSET(nombres[],0,0,1,1))+1,ROW(OFFSET(nombres[],ROWS(nombres[])-1,0,1,1))+1),$O1539:$O1558),3),"")</f>
        <v/>
      </c>
      <c r="ABY1539" s="42" t="str">
        <f t="array" aca="1" ref="ABY1539" ca="1">IFERROR(INDEX(nombres[],SMALL(IF(OFFSET(nombres[],0,0,ROWS(nombres[]),1)=ABY$1490,ROW(OFFSET(nombres[],0,0,ROWS(nombres[]),1))-ROW(OFFSET(nombres[],0,0,1,1))+1,ROW(OFFSET(nombres[],ROWS(nombres[])-1,0,1,1))+1),$O1539:$O1558),3),"")</f>
        <v/>
      </c>
      <c r="ABZ1539" s="42" t="str">
        <f t="array" aca="1" ref="ABZ1539" ca="1">IFERROR(INDEX(nombres[],SMALL(IF(OFFSET(nombres[],0,0,ROWS(nombres[]),1)=ABZ$1490,ROW(OFFSET(nombres[],0,0,ROWS(nombres[]),1))-ROW(OFFSET(nombres[],0,0,1,1))+1,ROW(OFFSET(nombres[],ROWS(nombres[])-1,0,1,1))+1),$O1539:$O1558),3),"")</f>
        <v/>
      </c>
      <c r="ACA1539" s="42" t="str">
        <f t="array" aca="1" ref="ACA1539" ca="1">IFERROR(INDEX(nombres[],SMALL(IF(OFFSET(nombres[],0,0,ROWS(nombres[]),1)=ACA$1490,ROW(OFFSET(nombres[],0,0,ROWS(nombres[]),1))-ROW(OFFSET(nombres[],0,0,1,1))+1,ROW(OFFSET(nombres[],ROWS(nombres[])-1,0,1,1))+1),$O1539:$O1558),3),"")</f>
        <v/>
      </c>
      <c r="ACB1539" s="42" t="str">
        <f t="array" aca="1" ref="ACB1539" ca="1">IFERROR(INDEX(nombres[],SMALL(IF(OFFSET(nombres[],0,0,ROWS(nombres[]),1)=ACB$1490,ROW(OFFSET(nombres[],0,0,ROWS(nombres[]),1))-ROW(OFFSET(nombres[],0,0,1,1))+1,ROW(OFFSET(nombres[],ROWS(nombres[])-1,0,1,1))+1),$O1539:$O1558),3),"")</f>
        <v/>
      </c>
      <c r="ACC1539" s="42" t="str">
        <f t="array" aca="1" ref="ACC1539" ca="1">IFERROR(INDEX(nombres[],SMALL(IF(OFFSET(nombres[],0,0,ROWS(nombres[]),1)=ACC$1490,ROW(OFFSET(nombres[],0,0,ROWS(nombres[]),1))-ROW(OFFSET(nombres[],0,0,1,1))+1,ROW(OFFSET(nombres[],ROWS(nombres[])-1,0,1,1))+1),$O1539:$O1558),3),"")</f>
        <v/>
      </c>
      <c r="ACD1539" s="42" t="str">
        <f t="array" aca="1" ref="ACD1539" ca="1">IFERROR(INDEX(nombres[],SMALL(IF(OFFSET(nombres[],0,0,ROWS(nombres[]),1)=ACD$1490,ROW(OFFSET(nombres[],0,0,ROWS(nombres[]),1))-ROW(OFFSET(nombres[],0,0,1,1))+1,ROW(OFFSET(nombres[],ROWS(nombres[])-1,0,1,1))+1),$O1539:$O1558),3),"")</f>
        <v/>
      </c>
      <c r="ACE1539" s="42" t="str">
        <f t="array" aca="1" ref="ACE1539" ca="1">IFERROR(INDEX(nombres[],SMALL(IF(OFFSET(nombres[],0,0,ROWS(nombres[]),1)=ACE$1490,ROW(OFFSET(nombres[],0,0,ROWS(nombres[]),1))-ROW(OFFSET(nombres[],0,0,1,1))+1,ROW(OFFSET(nombres[],ROWS(nombres[])-1,0,1,1))+1),$O1539:$O1558),3),"")</f>
        <v/>
      </c>
      <c r="ACF1539" s="42" t="str">
        <f t="array" aca="1" ref="ACF1539" ca="1">IFERROR(INDEX(nombres[],SMALL(IF(OFFSET(nombres[],0,0,ROWS(nombres[]),1)=ACF$1490,ROW(OFFSET(nombres[],0,0,ROWS(nombres[]),1))-ROW(OFFSET(nombres[],0,0,1,1))+1,ROW(OFFSET(nombres[],ROWS(nombres[])-1,0,1,1))+1),$O1539:$O1558),3),"")</f>
        <v/>
      </c>
      <c r="ACG1539" s="42" t="str">
        <f t="array" aca="1" ref="ACG1539" ca="1">IFERROR(INDEX(nombres[],SMALL(IF(OFFSET(nombres[],0,0,ROWS(nombres[]),1)=ACG$1490,ROW(OFFSET(nombres[],0,0,ROWS(nombres[]),1))-ROW(OFFSET(nombres[],0,0,1,1))+1,ROW(OFFSET(nombres[],ROWS(nombres[])-1,0,1,1))+1),$O1539:$O1558),3),"")</f>
        <v/>
      </c>
      <c r="ACH1539" s="42" t="str">
        <f t="array" aca="1" ref="ACH1539" ca="1">IFERROR(INDEX(nombres[],SMALL(IF(OFFSET(nombres[],0,0,ROWS(nombres[]),1)=ACH$1490,ROW(OFFSET(nombres[],0,0,ROWS(nombres[]),1))-ROW(OFFSET(nombres[],0,0,1,1))+1,ROW(OFFSET(nombres[],ROWS(nombres[])-1,0,1,1))+1),$O1539:$O1558),3),"")</f>
        <v/>
      </c>
      <c r="ACI1539" s="42" t="str">
        <f t="array" aca="1" ref="ACI1539" ca="1">IFERROR(INDEX(nombres[],SMALL(IF(OFFSET(nombres[],0,0,ROWS(nombres[]),1)=ACI$1490,ROW(OFFSET(nombres[],0,0,ROWS(nombres[]),1))-ROW(OFFSET(nombres[],0,0,1,1))+1,ROW(OFFSET(nombres[],ROWS(nombres[])-1,0,1,1))+1),$O1539:$O1558),3),"")</f>
        <v/>
      </c>
      <c r="ACJ1539" s="42" t="str">
        <f t="array" aca="1" ref="ACJ1539" ca="1">IFERROR(INDEX(nombres[],SMALL(IF(OFFSET(nombres[],0,0,ROWS(nombres[]),1)=ACJ$1490,ROW(OFFSET(nombres[],0,0,ROWS(nombres[]),1))-ROW(OFFSET(nombres[],0,0,1,1))+1,ROW(OFFSET(nombres[],ROWS(nombres[])-1,0,1,1))+1),$O1539:$O1558),3),"")</f>
        <v/>
      </c>
      <c r="ACK1539" s="42" t="str">
        <f t="array" aca="1" ref="ACK1539" ca="1">IFERROR(INDEX(nombres[],SMALL(IF(OFFSET(nombres[],0,0,ROWS(nombres[]),1)=ACK$1490,ROW(OFFSET(nombres[],0,0,ROWS(nombres[]),1))-ROW(OFFSET(nombres[],0,0,1,1))+1,ROW(OFFSET(nombres[],ROWS(nombres[])-1,0,1,1))+1),$O1539:$O1558),3),"")</f>
        <v/>
      </c>
      <c r="ACL1539" s="42" t="str">
        <f t="array" aca="1" ref="ACL1539" ca="1">IFERROR(INDEX(nombres[],SMALL(IF(OFFSET(nombres[],0,0,ROWS(nombres[]),1)=ACL$1490,ROW(OFFSET(nombres[],0,0,ROWS(nombres[]),1))-ROW(OFFSET(nombres[],0,0,1,1))+1,ROW(OFFSET(nombres[],ROWS(nombres[])-1,0,1,1))+1),$O1539:$O1558),3),"")</f>
        <v/>
      </c>
      <c r="ACM1539" s="42" t="str">
        <f t="array" aca="1" ref="ACM1539" ca="1">IFERROR(INDEX(nombres[],SMALL(IF(OFFSET(nombres[],0,0,ROWS(nombres[]),1)=ACM$1490,ROW(OFFSET(nombres[],0,0,ROWS(nombres[]),1))-ROW(OFFSET(nombres[],0,0,1,1))+1,ROW(OFFSET(nombres[],ROWS(nombres[])-1,0,1,1))+1),$O1539:$O1558),3),"")</f>
        <v/>
      </c>
      <c r="ACN1539" s="42" t="str">
        <f t="array" aca="1" ref="ACN1539" ca="1">IFERROR(INDEX(nombres[],SMALL(IF(OFFSET(nombres[],0,0,ROWS(nombres[]),1)=ACN$1490,ROW(OFFSET(nombres[],0,0,ROWS(nombres[]),1))-ROW(OFFSET(nombres[],0,0,1,1))+1,ROW(OFFSET(nombres[],ROWS(nombres[])-1,0,1,1))+1),$O1539:$O1558),3),"")</f>
        <v/>
      </c>
      <c r="ACO1539" s="42" t="str">
        <f t="array" aca="1" ref="ACO1539" ca="1">IFERROR(INDEX(nombres[],SMALL(IF(OFFSET(nombres[],0,0,ROWS(nombres[]),1)=ACO$1490,ROW(OFFSET(nombres[],0,0,ROWS(nombres[]),1))-ROW(OFFSET(nombres[],0,0,1,1))+1,ROW(OFFSET(nombres[],ROWS(nombres[])-1,0,1,1))+1),$O1539:$O1558),3),"")</f>
        <v/>
      </c>
      <c r="ACP1539" s="42" t="str">
        <f t="array" aca="1" ref="ACP1539" ca="1">IFERROR(INDEX(nombres[],SMALL(IF(OFFSET(nombres[],0,0,ROWS(nombres[]),1)=ACP$1490,ROW(OFFSET(nombres[],0,0,ROWS(nombres[]),1))-ROW(OFFSET(nombres[],0,0,1,1))+1,ROW(OFFSET(nombres[],ROWS(nombres[])-1,0,1,1))+1),$O1539:$O1558),3),"")</f>
        <v/>
      </c>
      <c r="ACQ1539" s="42" t="str">
        <f t="array" aca="1" ref="ACQ1539" ca="1">IFERROR(INDEX(nombres[],SMALL(IF(OFFSET(nombres[],0,0,ROWS(nombres[]),1)=ACQ$1490,ROW(OFFSET(nombres[],0,0,ROWS(nombres[]),1))-ROW(OFFSET(nombres[],0,0,1,1))+1,ROW(OFFSET(nombres[],ROWS(nombres[])-1,0,1,1))+1),$O1539:$O1558),3),"")</f>
        <v/>
      </c>
      <c r="ACR1539" s="42" t="str">
        <f t="array" aca="1" ref="ACR1539" ca="1">IFERROR(INDEX(nombres[],SMALL(IF(OFFSET(nombres[],0,0,ROWS(nombres[]),1)=ACR$1490,ROW(OFFSET(nombres[],0,0,ROWS(nombres[]),1))-ROW(OFFSET(nombres[],0,0,1,1))+1,ROW(OFFSET(nombres[],ROWS(nombres[])-1,0,1,1))+1),$O1539:$O1558),3),"")</f>
        <v/>
      </c>
      <c r="ACS1539" s="42" t="str">
        <f t="array" aca="1" ref="ACS1539" ca="1">IFERROR(INDEX(nombres[],SMALL(IF(OFFSET(nombres[],0,0,ROWS(nombres[]),1)=ACS$1490,ROW(OFFSET(nombres[],0,0,ROWS(nombres[]),1))-ROW(OFFSET(nombres[],0,0,1,1))+1,ROW(OFFSET(nombres[],ROWS(nombres[])-1,0,1,1))+1),$O1539:$O1558),3),"")</f>
        <v/>
      </c>
      <c r="ACT1539" s="42" t="str">
        <f t="array" aca="1" ref="ACT1539" ca="1">IFERROR(INDEX(nombres[],SMALL(IF(OFFSET(nombres[],0,0,ROWS(nombres[]),1)=ACT$1490,ROW(OFFSET(nombres[],0,0,ROWS(nombres[]),1))-ROW(OFFSET(nombres[],0,0,1,1))+1,ROW(OFFSET(nombres[],ROWS(nombres[])-1,0,1,1))+1),$O1539:$O1558),3),"")</f>
        <v/>
      </c>
      <c r="ACU1539" s="42" t="str">
        <f t="array" aca="1" ref="ACU1539" ca="1">IFERROR(INDEX(nombres[],SMALL(IF(OFFSET(nombres[],0,0,ROWS(nombres[]),1)=ACU$1490,ROW(OFFSET(nombres[],0,0,ROWS(nombres[]),1))-ROW(OFFSET(nombres[],0,0,1,1))+1,ROW(OFFSET(nombres[],ROWS(nombres[])-1,0,1,1))+1),$O1539:$O1558),3),"")</f>
        <v/>
      </c>
      <c r="ACV1539" s="42" t="str">
        <f t="array" aca="1" ref="ACV1539" ca="1">IFERROR(INDEX(nombres[],SMALL(IF(OFFSET(nombres[],0,0,ROWS(nombres[]),1)=ACV$1490,ROW(OFFSET(nombres[],0,0,ROWS(nombres[]),1))-ROW(OFFSET(nombres[],0,0,1,1))+1,ROW(OFFSET(nombres[],ROWS(nombres[])-1,0,1,1))+1),$O1539:$O1558),3),"")</f>
        <v/>
      </c>
      <c r="ACW1539" s="42" t="str">
        <f t="array" aca="1" ref="ACW1539" ca="1">IFERROR(INDEX(nombres[],SMALL(IF(OFFSET(nombres[],0,0,ROWS(nombres[]),1)=ACW$1490,ROW(OFFSET(nombres[],0,0,ROWS(nombres[]),1))-ROW(OFFSET(nombres[],0,0,1,1))+1,ROW(OFFSET(nombres[],ROWS(nombres[])-1,0,1,1))+1),$O1539:$O1558),3),"")</f>
        <v/>
      </c>
      <c r="ACX1539" s="42" t="str">
        <f t="array" aca="1" ref="ACX1539" ca="1">IFERROR(INDEX(nombres[],SMALL(IF(OFFSET(nombres[],0,0,ROWS(nombres[]),1)=ACX$1490,ROW(OFFSET(nombres[],0,0,ROWS(nombres[]),1))-ROW(OFFSET(nombres[],0,0,1,1))+1,ROW(OFFSET(nombres[],ROWS(nombres[])-1,0,1,1))+1),$O1539:$O1558),3),"")</f>
        <v/>
      </c>
      <c r="ACY1539" s="42" t="str">
        <f t="array" aca="1" ref="ACY1539" ca="1">IFERROR(INDEX(nombres[],SMALL(IF(OFFSET(nombres[],0,0,ROWS(nombres[]),1)=ACY$1490,ROW(OFFSET(nombres[],0,0,ROWS(nombres[]),1))-ROW(OFFSET(nombres[],0,0,1,1))+1,ROW(OFFSET(nombres[],ROWS(nombres[])-1,0,1,1))+1),$O1539:$O1558),3),"")</f>
        <v/>
      </c>
      <c r="ACZ1539" s="42" t="str">
        <f t="array" aca="1" ref="ACZ1539" ca="1">IFERROR(INDEX(nombres[],SMALL(IF(OFFSET(nombres[],0,0,ROWS(nombres[]),1)=ACZ$1490,ROW(OFFSET(nombres[],0,0,ROWS(nombres[]),1))-ROW(OFFSET(nombres[],0,0,1,1))+1,ROW(OFFSET(nombres[],ROWS(nombres[])-1,0,1,1))+1),$O1539:$O1558),3),"")</f>
        <v/>
      </c>
      <c r="ADA1539" s="42" t="str">
        <f t="array" aca="1" ref="ADA1539" ca="1">IFERROR(INDEX(nombres[],SMALL(IF(OFFSET(nombres[],0,0,ROWS(nombres[]),1)=ADA$1490,ROW(OFFSET(nombres[],0,0,ROWS(nombres[]),1))-ROW(OFFSET(nombres[],0,0,1,1))+1,ROW(OFFSET(nombres[],ROWS(nombres[])-1,0,1,1))+1),$O1539:$O1558),3),"")</f>
        <v/>
      </c>
      <c r="ADB1539" s="42" t="str">
        <f t="array" aca="1" ref="ADB1539" ca="1">IFERROR(INDEX(nombres[],SMALL(IF(OFFSET(nombres[],0,0,ROWS(nombres[]),1)=ADB$1490,ROW(OFFSET(nombres[],0,0,ROWS(nombres[]),1))-ROW(OFFSET(nombres[],0,0,1,1))+1,ROW(OFFSET(nombres[],ROWS(nombres[])-1,0,1,1))+1),$O1539:$O1558),3),"")</f>
        <v/>
      </c>
      <c r="ADC1539" s="42" t="str">
        <f t="array" aca="1" ref="ADC1539" ca="1">IFERROR(INDEX(nombres[],SMALL(IF(OFFSET(nombres[],0,0,ROWS(nombres[]),1)=ADC$1490,ROW(OFFSET(nombres[],0,0,ROWS(nombres[]),1))-ROW(OFFSET(nombres[],0,0,1,1))+1,ROW(OFFSET(nombres[],ROWS(nombres[])-1,0,1,1))+1),$O1539:$O1558),3),"")</f>
        <v/>
      </c>
      <c r="ADD1539" s="42" t="str">
        <f t="array" aca="1" ref="ADD1539" ca="1">IFERROR(INDEX(nombres[],SMALL(IF(OFFSET(nombres[],0,0,ROWS(nombres[]),1)=ADD$1490,ROW(OFFSET(nombres[],0,0,ROWS(nombres[]),1))-ROW(OFFSET(nombres[],0,0,1,1))+1,ROW(OFFSET(nombres[],ROWS(nombres[])-1,0,1,1))+1),$O1539:$O1558),3),"")</f>
        <v/>
      </c>
      <c r="ADE1539" s="42" t="str">
        <f t="array" aca="1" ref="ADE1539" ca="1">IFERROR(INDEX(nombres[],SMALL(IF(OFFSET(nombres[],0,0,ROWS(nombres[]),1)=ADE$1490,ROW(OFFSET(nombres[],0,0,ROWS(nombres[]),1))-ROW(OFFSET(nombres[],0,0,1,1))+1,ROW(OFFSET(nombres[],ROWS(nombres[])-1,0,1,1))+1),$O1539:$O1558),3),"")</f>
        <v/>
      </c>
      <c r="ADF1539" s="42" t="str">
        <f t="array" aca="1" ref="ADF1539" ca="1">IFERROR(INDEX(nombres[],SMALL(IF(OFFSET(nombres[],0,0,ROWS(nombres[]),1)=ADF$1490,ROW(OFFSET(nombres[],0,0,ROWS(nombres[]),1))-ROW(OFFSET(nombres[],0,0,1,1))+1,ROW(OFFSET(nombres[],ROWS(nombres[])-1,0,1,1))+1),$O1539:$O1558),3),"")</f>
        <v/>
      </c>
      <c r="ADG1539" s="42" t="str">
        <f t="array" aca="1" ref="ADG1539" ca="1">IFERROR(INDEX(nombres[],SMALL(IF(OFFSET(nombres[],0,0,ROWS(nombres[]),1)=ADG$1490,ROW(OFFSET(nombres[],0,0,ROWS(nombres[]),1))-ROW(OFFSET(nombres[],0,0,1,1))+1,ROW(OFFSET(nombres[],ROWS(nombres[])-1,0,1,1))+1),$O1539:$O1558),3),"")</f>
        <v/>
      </c>
      <c r="ADH1539" s="42" t="str">
        <f t="array" aca="1" ref="ADH1539" ca="1">IFERROR(INDEX(nombres[],SMALL(IF(OFFSET(nombres[],0,0,ROWS(nombres[]),1)=ADH$1490,ROW(OFFSET(nombres[],0,0,ROWS(nombres[]),1))-ROW(OFFSET(nombres[],0,0,1,1))+1,ROW(OFFSET(nombres[],ROWS(nombres[])-1,0,1,1))+1),$O1539:$O1558),3),"")</f>
        <v/>
      </c>
      <c r="ADI1539" s="42" t="str">
        <f t="array" aca="1" ref="ADI1539" ca="1">IFERROR(INDEX(nombres[],SMALL(IF(OFFSET(nombres[],0,0,ROWS(nombres[]),1)=ADI$1490,ROW(OFFSET(nombres[],0,0,ROWS(nombres[]),1))-ROW(OFFSET(nombres[],0,0,1,1))+1,ROW(OFFSET(nombres[],ROWS(nombres[])-1,0,1,1))+1),$O1539:$O1558),3),"")</f>
        <v/>
      </c>
      <c r="ADJ1539" s="42" t="str">
        <f t="array" aca="1" ref="ADJ1539" ca="1">IFERROR(INDEX(nombres[],SMALL(IF(OFFSET(nombres[],0,0,ROWS(nombres[]),1)=ADJ$1490,ROW(OFFSET(nombres[],0,0,ROWS(nombres[]),1))-ROW(OFFSET(nombres[],0,0,1,1))+1,ROW(OFFSET(nombres[],ROWS(nombres[])-1,0,1,1))+1),$O1539:$O1558),3),"")</f>
        <v/>
      </c>
      <c r="ADK1539" s="42" t="str">
        <f t="array" aca="1" ref="ADK1539" ca="1">IFERROR(INDEX(nombres[],SMALL(IF(OFFSET(nombres[],0,0,ROWS(nombres[]),1)=ADK$1490,ROW(OFFSET(nombres[],0,0,ROWS(nombres[]),1))-ROW(OFFSET(nombres[],0,0,1,1))+1,ROW(OFFSET(nombres[],ROWS(nombres[])-1,0,1,1))+1),$O1539:$O1558),3),"")</f>
        <v/>
      </c>
      <c r="ADL1539" s="42" t="str">
        <f t="array" aca="1" ref="ADL1539" ca="1">IFERROR(INDEX(nombres[],SMALL(IF(OFFSET(nombres[],0,0,ROWS(nombres[]),1)=ADL$1490,ROW(OFFSET(nombres[],0,0,ROWS(nombres[]),1))-ROW(OFFSET(nombres[],0,0,1,1))+1,ROW(OFFSET(nombres[],ROWS(nombres[])-1,0,1,1))+1),$O1539:$O1558),3),"")</f>
        <v/>
      </c>
      <c r="ADM1539" s="42" t="str">
        <f t="array" aca="1" ref="ADM1539" ca="1">IFERROR(INDEX(nombres[],SMALL(IF(OFFSET(nombres[],0,0,ROWS(nombres[]),1)=ADM$1490,ROW(OFFSET(nombres[],0,0,ROWS(nombres[]),1))-ROW(OFFSET(nombres[],0,0,1,1))+1,ROW(OFFSET(nombres[],ROWS(nombres[])-1,0,1,1))+1),$O1539:$O1558),3),"")</f>
        <v/>
      </c>
      <c r="ADN1539" s="42" t="str">
        <f t="array" aca="1" ref="ADN1539" ca="1">IFERROR(INDEX(nombres[],SMALL(IF(OFFSET(nombres[],0,0,ROWS(nombres[]),1)=ADN$1490,ROW(OFFSET(nombres[],0,0,ROWS(nombres[]),1))-ROW(OFFSET(nombres[],0,0,1,1))+1,ROW(OFFSET(nombres[],ROWS(nombres[])-1,0,1,1))+1),$O1539:$O1558),3),"")</f>
        <v/>
      </c>
      <c r="ADO1539" s="42" t="str">
        <f t="array" aca="1" ref="ADO1539" ca="1">IFERROR(INDEX(nombres[],SMALL(IF(OFFSET(nombres[],0,0,ROWS(nombres[]),1)=ADO$1490,ROW(OFFSET(nombres[],0,0,ROWS(nombres[]),1))-ROW(OFFSET(nombres[],0,0,1,1))+1,ROW(OFFSET(nombres[],ROWS(nombres[])-1,0,1,1))+1),$O1539:$O1558),3),"")</f>
        <v/>
      </c>
      <c r="ADP1539" s="42" t="str">
        <f t="array" aca="1" ref="ADP1539" ca="1">IFERROR(INDEX(nombres[],SMALL(IF(OFFSET(nombres[],0,0,ROWS(nombres[]),1)=ADP$1490,ROW(OFFSET(nombres[],0,0,ROWS(nombres[]),1))-ROW(OFFSET(nombres[],0,0,1,1))+1,ROW(OFFSET(nombres[],ROWS(nombres[])-1,0,1,1))+1),$O1539:$O1558),3),"")</f>
        <v/>
      </c>
      <c r="ADQ1539" s="42" t="str">
        <f t="array" aca="1" ref="ADQ1539" ca="1">IFERROR(INDEX(nombres[],SMALL(IF(OFFSET(nombres[],0,0,ROWS(nombres[]),1)=ADQ$1490,ROW(OFFSET(nombres[],0,0,ROWS(nombres[]),1))-ROW(OFFSET(nombres[],0,0,1,1))+1,ROW(OFFSET(nombres[],ROWS(nombres[])-1,0,1,1))+1),$O1539:$O1558),3),"")</f>
        <v/>
      </c>
      <c r="ADR1539" s="42" t="str">
        <f t="array" aca="1" ref="ADR1539" ca="1">IFERROR(INDEX(nombres[],SMALL(IF(OFFSET(nombres[],0,0,ROWS(nombres[]),1)=ADR$1490,ROW(OFFSET(nombres[],0,0,ROWS(nombres[]),1))-ROW(OFFSET(nombres[],0,0,1,1))+1,ROW(OFFSET(nombres[],ROWS(nombres[])-1,0,1,1))+1),$O1539:$O1558),3),"")</f>
        <v/>
      </c>
      <c r="ADS1539" s="42" t="str">
        <f t="array" aca="1" ref="ADS1539" ca="1">IFERROR(INDEX(nombres[],SMALL(IF(OFFSET(nombres[],0,0,ROWS(nombres[]),1)=ADS$1490,ROW(OFFSET(nombres[],0,0,ROWS(nombres[]),1))-ROW(OFFSET(nombres[],0,0,1,1))+1,ROW(OFFSET(nombres[],ROWS(nombres[])-1,0,1,1))+1),$O1539:$O1558),3),"")</f>
        <v/>
      </c>
      <c r="ADT1539" s="42" t="str">
        <f t="array" aca="1" ref="ADT1539" ca="1">IFERROR(INDEX(nombres[],SMALL(IF(OFFSET(nombres[],0,0,ROWS(nombres[]),1)=ADT$1490,ROW(OFFSET(nombres[],0,0,ROWS(nombres[]),1))-ROW(OFFSET(nombres[],0,0,1,1))+1,ROW(OFFSET(nombres[],ROWS(nombres[])-1,0,1,1))+1),$O1539:$O1558),3),"")</f>
        <v/>
      </c>
      <c r="ADU1539" s="42" t="str">
        <f t="array" aca="1" ref="ADU1539" ca="1">IFERROR(INDEX(nombres[],SMALL(IF(OFFSET(nombres[],0,0,ROWS(nombres[]),1)=ADU$1490,ROW(OFFSET(nombres[],0,0,ROWS(nombres[]),1))-ROW(OFFSET(nombres[],0,0,1,1))+1,ROW(OFFSET(nombres[],ROWS(nombres[])-1,0,1,1))+1),$O1539:$O1558),3),"")</f>
        <v/>
      </c>
      <c r="ADV1539" s="42" t="str">
        <f t="array" aca="1" ref="ADV1539" ca="1">IFERROR(INDEX(nombres[],SMALL(IF(OFFSET(nombres[],0,0,ROWS(nombres[]),1)=ADV$1490,ROW(OFFSET(nombres[],0,0,ROWS(nombres[]),1))-ROW(OFFSET(nombres[],0,0,1,1))+1,ROW(OFFSET(nombres[],ROWS(nombres[])-1,0,1,1))+1),$O1539:$O1558),3),"")</f>
        <v/>
      </c>
      <c r="ADW1539" s="42" t="str">
        <f t="array" aca="1" ref="ADW1539" ca="1">IFERROR(INDEX(nombres[],SMALL(IF(OFFSET(nombres[],0,0,ROWS(nombres[]),1)=ADW$1490,ROW(OFFSET(nombres[],0,0,ROWS(nombres[]),1))-ROW(OFFSET(nombres[],0,0,1,1))+1,ROW(OFFSET(nombres[],ROWS(nombres[])-1,0,1,1))+1),$O1539:$O1558),3),"")</f>
        <v/>
      </c>
      <c r="ADX1539" s="42" t="str">
        <f t="array" aca="1" ref="ADX1539" ca="1">IFERROR(INDEX(nombres[],SMALL(IF(OFFSET(nombres[],0,0,ROWS(nombres[]),1)=ADX$1490,ROW(OFFSET(nombres[],0,0,ROWS(nombres[]),1))-ROW(OFFSET(nombres[],0,0,1,1))+1,ROW(OFFSET(nombres[],ROWS(nombres[])-1,0,1,1))+1),$O1539:$O1558),3),"")</f>
        <v/>
      </c>
      <c r="ADY1539" s="42" t="str">
        <f t="array" aca="1" ref="ADY1539" ca="1">IFERROR(INDEX(nombres[],SMALL(IF(OFFSET(nombres[],0,0,ROWS(nombres[]),1)=ADY$1490,ROW(OFFSET(nombres[],0,0,ROWS(nombres[]),1))-ROW(OFFSET(nombres[],0,0,1,1))+1,ROW(OFFSET(nombres[],ROWS(nombres[])-1,0,1,1))+1),$O1539:$O1558),3),"")</f>
        <v/>
      </c>
      <c r="ADZ1539" s="42" t="str">
        <f t="array" aca="1" ref="ADZ1539" ca="1">IFERROR(INDEX(nombres[],SMALL(IF(OFFSET(nombres[],0,0,ROWS(nombres[]),1)=ADZ$1490,ROW(OFFSET(nombres[],0,0,ROWS(nombres[]),1))-ROW(OFFSET(nombres[],0,0,1,1))+1,ROW(OFFSET(nombres[],ROWS(nombres[])-1,0,1,1))+1),$O1539:$O1558),3),"")</f>
        <v/>
      </c>
      <c r="AEA1539" s="42" t="str">
        <f t="array" aca="1" ref="AEA1539" ca="1">IFERROR(INDEX(nombres[],SMALL(IF(OFFSET(nombres[],0,0,ROWS(nombres[]),1)=AEA$1490,ROW(OFFSET(nombres[],0,0,ROWS(nombres[]),1))-ROW(OFFSET(nombres[],0,0,1,1))+1,ROW(OFFSET(nombres[],ROWS(nombres[])-1,0,1,1))+1),$O1539:$O1558),3),"")</f>
        <v/>
      </c>
      <c r="AEB1539" s="42" t="str">
        <f t="array" aca="1" ref="AEB1539" ca="1">IFERROR(INDEX(nombres[],SMALL(IF(OFFSET(nombres[],0,0,ROWS(nombres[]),1)=AEB$1490,ROW(OFFSET(nombres[],0,0,ROWS(nombres[]),1))-ROW(OFFSET(nombres[],0,0,1,1))+1,ROW(OFFSET(nombres[],ROWS(nombres[])-1,0,1,1))+1),$O1539:$O1558),3),"")</f>
        <v/>
      </c>
      <c r="AEC1539" s="42" t="str">
        <f t="array" aca="1" ref="AEC1539" ca="1">IFERROR(INDEX(nombres[],SMALL(IF(OFFSET(nombres[],0,0,ROWS(nombres[]),1)=AEC$1490,ROW(OFFSET(nombres[],0,0,ROWS(nombres[]),1))-ROW(OFFSET(nombres[],0,0,1,1))+1,ROW(OFFSET(nombres[],ROWS(nombres[])-1,0,1,1))+1),$O1539:$O1558),3),"")</f>
        <v/>
      </c>
      <c r="AED1539" s="42" t="str">
        <f t="array" aca="1" ref="AED1539" ca="1">IFERROR(INDEX(nombres[],SMALL(IF(OFFSET(nombres[],0,0,ROWS(nombres[]),1)=AED$1490,ROW(OFFSET(nombres[],0,0,ROWS(nombres[]),1))-ROW(OFFSET(nombres[],0,0,1,1))+1,ROW(OFFSET(nombres[],ROWS(nombres[])-1,0,1,1))+1),$O1539:$O1558),3),"")</f>
        <v/>
      </c>
      <c r="AEE1539" s="42" t="str">
        <f t="array" aca="1" ref="AEE1539" ca="1">IFERROR(INDEX(nombres[],SMALL(IF(OFFSET(nombres[],0,0,ROWS(nombres[]),1)=AEE$1490,ROW(OFFSET(nombres[],0,0,ROWS(nombres[]),1))-ROW(OFFSET(nombres[],0,0,1,1))+1,ROW(OFFSET(nombres[],ROWS(nombres[])-1,0,1,1))+1),$O1539:$O1558),3),"")</f>
        <v/>
      </c>
      <c r="AEF1539" s="42" t="str">
        <f t="array" aca="1" ref="AEF1539" ca="1">IFERROR(INDEX(nombres[],SMALL(IF(OFFSET(nombres[],0,0,ROWS(nombres[]),1)=AEF$1490,ROW(OFFSET(nombres[],0,0,ROWS(nombres[]),1))-ROW(OFFSET(nombres[],0,0,1,1))+1,ROW(OFFSET(nombres[],ROWS(nombres[])-1,0,1,1))+1),$O1539:$O1558),3),"")</f>
        <v/>
      </c>
      <c r="AEG1539" s="42" t="str">
        <f t="array" aca="1" ref="AEG1539" ca="1">IFERROR(INDEX(nombres[],SMALL(IF(OFFSET(nombres[],0,0,ROWS(nombres[]),1)=AEG$1490,ROW(OFFSET(nombres[],0,0,ROWS(nombres[]),1))-ROW(OFFSET(nombres[],0,0,1,1))+1,ROW(OFFSET(nombres[],ROWS(nombres[])-1,0,1,1))+1),$O1539:$O1558),3),"")</f>
        <v/>
      </c>
      <c r="AEH1539" s="42" t="str">
        <f t="array" aca="1" ref="AEH1539" ca="1">IFERROR(INDEX(nombres[],SMALL(IF(OFFSET(nombres[],0,0,ROWS(nombres[]),1)=AEH$1490,ROW(OFFSET(nombres[],0,0,ROWS(nombres[]),1))-ROW(OFFSET(nombres[],0,0,1,1))+1,ROW(OFFSET(nombres[],ROWS(nombres[])-1,0,1,1))+1),$O1539:$O1558),3),"")</f>
        <v/>
      </c>
      <c r="AEI1539" s="42" t="str">
        <f t="array" aca="1" ref="AEI1539" ca="1">IFERROR(INDEX(nombres[],SMALL(IF(OFFSET(nombres[],0,0,ROWS(nombres[]),1)=AEI$1490,ROW(OFFSET(nombres[],0,0,ROWS(nombres[]),1))-ROW(OFFSET(nombres[],0,0,1,1))+1,ROW(OFFSET(nombres[],ROWS(nombres[])-1,0,1,1))+1),$O1539:$O1558),3),"")</f>
        <v/>
      </c>
      <c r="AEJ1539" s="42" t="str">
        <f t="array" aca="1" ref="AEJ1539" ca="1">IFERROR(INDEX(nombres[],SMALL(IF(OFFSET(nombres[],0,0,ROWS(nombres[]),1)=AEJ$1490,ROW(OFFSET(nombres[],0,0,ROWS(nombres[]),1))-ROW(OFFSET(nombres[],0,0,1,1))+1,ROW(OFFSET(nombres[],ROWS(nombres[])-1,0,1,1))+1),$O1539:$O1558),3),"")</f>
        <v/>
      </c>
      <c r="AEK1539" s="42" t="str">
        <f t="array" aca="1" ref="AEK1539" ca="1">IFERROR(INDEX(nombres[],SMALL(IF(OFFSET(nombres[],0,0,ROWS(nombres[]),1)=AEK$1490,ROW(OFFSET(nombres[],0,0,ROWS(nombres[]),1))-ROW(OFFSET(nombres[],0,0,1,1))+1,ROW(OFFSET(nombres[],ROWS(nombres[])-1,0,1,1))+1),$O1539:$O1558),3),"")</f>
        <v/>
      </c>
      <c r="AEL1539" s="42" t="str">
        <f t="array" aca="1" ref="AEL1539" ca="1">IFERROR(INDEX(nombres[],SMALL(IF(OFFSET(nombres[],0,0,ROWS(nombres[]),1)=AEL$1490,ROW(OFFSET(nombres[],0,0,ROWS(nombres[]),1))-ROW(OFFSET(nombres[],0,0,1,1))+1,ROW(OFFSET(nombres[],ROWS(nombres[])-1,0,1,1))+1),$O1539:$O1558),3),"")</f>
        <v/>
      </c>
      <c r="AEM1539" s="42" t="str">
        <f t="array" aca="1" ref="AEM1539" ca="1">IFERROR(INDEX(nombres[],SMALL(IF(OFFSET(nombres[],0,0,ROWS(nombres[]),1)=AEM$1490,ROW(OFFSET(nombres[],0,0,ROWS(nombres[]),1))-ROW(OFFSET(nombres[],0,0,1,1))+1,ROW(OFFSET(nombres[],ROWS(nombres[])-1,0,1,1))+1),$O1539:$O1558),3),"")</f>
        <v/>
      </c>
      <c r="AEN1539" s="42" t="str">
        <f t="array" aca="1" ref="AEN1539" ca="1">IFERROR(INDEX(nombres[],SMALL(IF(OFFSET(nombres[],0,0,ROWS(nombres[]),1)=AEN$1490,ROW(OFFSET(nombres[],0,0,ROWS(nombres[]),1))-ROW(OFFSET(nombres[],0,0,1,1))+1,ROW(OFFSET(nombres[],ROWS(nombres[])-1,0,1,1))+1),$O1539:$O1558),3),"")</f>
        <v/>
      </c>
      <c r="AEO1539" s="42" t="str">
        <f t="array" aca="1" ref="AEO1539" ca="1">IFERROR(INDEX(nombres[],SMALL(IF(OFFSET(nombres[],0,0,ROWS(nombres[]),1)=AEO$1490,ROW(OFFSET(nombres[],0,0,ROWS(nombres[]),1))-ROW(OFFSET(nombres[],0,0,1,1))+1,ROW(OFFSET(nombres[],ROWS(nombres[])-1,0,1,1))+1),$O1539:$O1558),3),"")</f>
        <v/>
      </c>
      <c r="AEP1539" s="42" t="str">
        <f t="array" aca="1" ref="AEP1539" ca="1">IFERROR(INDEX(nombres[],SMALL(IF(OFFSET(nombres[],0,0,ROWS(nombres[]),1)=AEP$1490,ROW(OFFSET(nombres[],0,0,ROWS(nombres[]),1))-ROW(OFFSET(nombres[],0,0,1,1))+1,ROW(OFFSET(nombres[],ROWS(nombres[])-1,0,1,1))+1),$O1539:$O1558),3),"")</f>
        <v/>
      </c>
      <c r="AEQ1539" s="42" t="str">
        <f t="array" aca="1" ref="AEQ1539" ca="1">IFERROR(INDEX(nombres[],SMALL(IF(OFFSET(nombres[],0,0,ROWS(nombres[]),1)=AEQ$1490,ROW(OFFSET(nombres[],0,0,ROWS(nombres[]),1))-ROW(OFFSET(nombres[],0,0,1,1))+1,ROW(OFFSET(nombres[],ROWS(nombres[])-1,0,1,1))+1),$O1539:$O1558),3),"")</f>
        <v/>
      </c>
      <c r="AER1539" s="42" t="str">
        <f t="array" aca="1" ref="AER1539" ca="1">IFERROR(INDEX(nombres[],SMALL(IF(OFFSET(nombres[],0,0,ROWS(nombres[]),1)=AER$1490,ROW(OFFSET(nombres[],0,0,ROWS(nombres[]),1))-ROW(OFFSET(nombres[],0,0,1,1))+1,ROW(OFFSET(nombres[],ROWS(nombres[])-1,0,1,1))+1),$O1539:$O1558),3),"")</f>
        <v/>
      </c>
      <c r="AES1539" s="42" t="str">
        <f t="array" aca="1" ref="AES1539" ca="1">IFERROR(INDEX(nombres[],SMALL(IF(OFFSET(nombres[],0,0,ROWS(nombres[]),1)=AES$1490,ROW(OFFSET(nombres[],0,0,ROWS(nombres[]),1))-ROW(OFFSET(nombres[],0,0,1,1))+1,ROW(OFFSET(nombres[],ROWS(nombres[])-1,0,1,1))+1),$O1539:$O1558),3),"")</f>
        <v/>
      </c>
      <c r="AET1539" s="42" t="str">
        <f t="array" aca="1" ref="AET1539" ca="1">IFERROR(INDEX(nombres[],SMALL(IF(OFFSET(nombres[],0,0,ROWS(nombres[]),1)=AET$1490,ROW(OFFSET(nombres[],0,0,ROWS(nombres[]),1))-ROW(OFFSET(nombres[],0,0,1,1))+1,ROW(OFFSET(nombres[],ROWS(nombres[])-1,0,1,1))+1),$O1539:$O1558),3),"")</f>
        <v/>
      </c>
      <c r="AEU1539" s="42" t="str">
        <f t="array" aca="1" ref="AEU1539" ca="1">IFERROR(INDEX(nombres[],SMALL(IF(OFFSET(nombres[],0,0,ROWS(nombres[]),1)=AEU$1490,ROW(OFFSET(nombres[],0,0,ROWS(nombres[]),1))-ROW(OFFSET(nombres[],0,0,1,1))+1,ROW(OFFSET(nombres[],ROWS(nombres[])-1,0,1,1))+1),$O1539:$O1558),3),"")</f>
        <v/>
      </c>
      <c r="AEV1539" s="42" t="str">
        <f t="array" aca="1" ref="AEV1539" ca="1">IFERROR(INDEX(nombres[],SMALL(IF(OFFSET(nombres[],0,0,ROWS(nombres[]),1)=AEV$1490,ROW(OFFSET(nombres[],0,0,ROWS(nombres[]),1))-ROW(OFFSET(nombres[],0,0,1,1))+1,ROW(OFFSET(nombres[],ROWS(nombres[])-1,0,1,1))+1),$O1539:$O1558),3),"")</f>
        <v/>
      </c>
      <c r="AEW1539" s="42" t="str">
        <f t="array" aca="1" ref="AEW1539" ca="1">IFERROR(INDEX(nombres[],SMALL(IF(OFFSET(nombres[],0,0,ROWS(nombres[]),1)=AEW$1490,ROW(OFFSET(nombres[],0,0,ROWS(nombres[]),1))-ROW(OFFSET(nombres[],0,0,1,1))+1,ROW(OFFSET(nombres[],ROWS(nombres[])-1,0,1,1))+1),$O1539:$O1558),3),"")</f>
        <v/>
      </c>
      <c r="AEX1539" s="42" t="str">
        <f t="array" aca="1" ref="AEX1539" ca="1">IFERROR(INDEX(nombres[],SMALL(IF(OFFSET(nombres[],0,0,ROWS(nombres[]),1)=AEX$1490,ROW(OFFSET(nombres[],0,0,ROWS(nombres[]),1))-ROW(OFFSET(nombres[],0,0,1,1))+1,ROW(OFFSET(nombres[],ROWS(nombres[])-1,0,1,1))+1),$O1539:$O1558),3),"")</f>
        <v/>
      </c>
      <c r="AEY1539" s="42" t="str">
        <f t="array" aca="1" ref="AEY1539" ca="1">IFERROR(INDEX(nombres[],SMALL(IF(OFFSET(nombres[],0,0,ROWS(nombres[]),1)=AEY$1490,ROW(OFFSET(nombres[],0,0,ROWS(nombres[]),1))-ROW(OFFSET(nombres[],0,0,1,1))+1,ROW(OFFSET(nombres[],ROWS(nombres[])-1,0,1,1))+1),$O1539:$O1558),3),"")</f>
        <v/>
      </c>
      <c r="AEZ1539" s="42" t="str">
        <f t="array" aca="1" ref="AEZ1539" ca="1">IFERROR(INDEX(nombres[],SMALL(IF(OFFSET(nombres[],0,0,ROWS(nombres[]),1)=AEZ$1490,ROW(OFFSET(nombres[],0,0,ROWS(nombres[]),1))-ROW(OFFSET(nombres[],0,0,1,1))+1,ROW(OFFSET(nombres[],ROWS(nombres[])-1,0,1,1))+1),$O1539:$O1558),3),"")</f>
        <v/>
      </c>
      <c r="AFA1539" s="42" t="str">
        <f t="array" aca="1" ref="AFA1539" ca="1">IFERROR(INDEX(nombres[],SMALL(IF(OFFSET(nombres[],0,0,ROWS(nombres[]),1)=AFA$1490,ROW(OFFSET(nombres[],0,0,ROWS(nombres[]),1))-ROW(OFFSET(nombres[],0,0,1,1))+1,ROW(OFFSET(nombres[],ROWS(nombres[])-1,0,1,1))+1),$O1539:$O1558),3),"")</f>
        <v/>
      </c>
      <c r="AFB1539" s="42" t="str">
        <f t="array" aca="1" ref="AFB1539" ca="1">IFERROR(INDEX(nombres[],SMALL(IF(OFFSET(nombres[],0,0,ROWS(nombres[]),1)=AFB$1490,ROW(OFFSET(nombres[],0,0,ROWS(nombres[]),1))-ROW(OFFSET(nombres[],0,0,1,1))+1,ROW(OFFSET(nombres[],ROWS(nombres[])-1,0,1,1))+1),$O1539:$O1558),3),"")</f>
        <v/>
      </c>
      <c r="AFC1539" s="42" t="str">
        <f t="array" aca="1" ref="AFC1539" ca="1">IFERROR(INDEX(nombres[],SMALL(IF(OFFSET(nombres[],0,0,ROWS(nombres[]),1)=AFC$1490,ROW(OFFSET(nombres[],0,0,ROWS(nombres[]),1))-ROW(OFFSET(nombres[],0,0,1,1))+1,ROW(OFFSET(nombres[],ROWS(nombres[])-1,0,1,1))+1),$O1539:$O1558),3),"")</f>
        <v/>
      </c>
      <c r="AFD1539" s="42" t="str">
        <f t="array" aca="1" ref="AFD1539" ca="1">IFERROR(INDEX(nombres[],SMALL(IF(OFFSET(nombres[],0,0,ROWS(nombres[]),1)=AFD$1490,ROW(OFFSET(nombres[],0,0,ROWS(nombres[]),1))-ROW(OFFSET(nombres[],0,0,1,1))+1,ROW(OFFSET(nombres[],ROWS(nombres[])-1,0,1,1))+1),$O1539:$O1558),3),"")</f>
        <v/>
      </c>
      <c r="AFE1539" s="42" t="str">
        <f t="array" aca="1" ref="AFE1539" ca="1">IFERROR(INDEX(nombres[],SMALL(IF(OFFSET(nombres[],0,0,ROWS(nombres[]),1)=AFE$1490,ROW(OFFSET(nombres[],0,0,ROWS(nombres[]),1))-ROW(OFFSET(nombres[],0,0,1,1))+1,ROW(OFFSET(nombres[],ROWS(nombres[])-1,0,1,1))+1),$O1539:$O1558),3),"")</f>
        <v/>
      </c>
      <c r="AFF1539" s="42" t="str">
        <f t="array" aca="1" ref="AFF1539" ca="1">IFERROR(INDEX(nombres[],SMALL(IF(OFFSET(nombres[],0,0,ROWS(nombres[]),1)=AFF$1490,ROW(OFFSET(nombres[],0,0,ROWS(nombres[]),1))-ROW(OFFSET(nombres[],0,0,1,1))+1,ROW(OFFSET(nombres[],ROWS(nombres[])-1,0,1,1))+1),$O1539:$O1558),3),"")</f>
        <v/>
      </c>
      <c r="AFG1539" s="42" t="str">
        <f t="array" aca="1" ref="AFG1539" ca="1">IFERROR(INDEX(nombres[],SMALL(IF(OFFSET(nombres[],0,0,ROWS(nombres[]),1)=AFG$1490,ROW(OFFSET(nombres[],0,0,ROWS(nombres[]),1))-ROW(OFFSET(nombres[],0,0,1,1))+1,ROW(OFFSET(nombres[],ROWS(nombres[])-1,0,1,1))+1),$O1539:$O1558),3),"")</f>
        <v/>
      </c>
      <c r="AFH1539" s="42" t="str">
        <f t="array" aca="1" ref="AFH1539" ca="1">IFERROR(INDEX(nombres[],SMALL(IF(OFFSET(nombres[],0,0,ROWS(nombres[]),1)=AFH$1490,ROW(OFFSET(nombres[],0,0,ROWS(nombres[]),1))-ROW(OFFSET(nombres[],0,0,1,1))+1,ROW(OFFSET(nombres[],ROWS(nombres[])-1,0,1,1))+1),$O1539:$O1558),3),"")</f>
        <v/>
      </c>
      <c r="AFI1539" s="42" t="str">
        <f t="array" aca="1" ref="AFI1539" ca="1">IFERROR(INDEX(nombres[],SMALL(IF(OFFSET(nombres[],0,0,ROWS(nombres[]),1)=AFI$1490,ROW(OFFSET(nombres[],0,0,ROWS(nombres[]),1))-ROW(OFFSET(nombres[],0,0,1,1))+1,ROW(OFFSET(nombres[],ROWS(nombres[])-1,0,1,1))+1),$O1539:$O1558),3),"")</f>
        <v/>
      </c>
      <c r="AFJ1539" s="42" t="str">
        <f t="array" aca="1" ref="AFJ1539" ca="1">IFERROR(INDEX(nombres[],SMALL(IF(OFFSET(nombres[],0,0,ROWS(nombres[]),1)=AFJ$1490,ROW(OFFSET(nombres[],0,0,ROWS(nombres[]),1))-ROW(OFFSET(nombres[],0,0,1,1))+1,ROW(OFFSET(nombres[],ROWS(nombres[])-1,0,1,1))+1),$O1539:$O1558),3),"")</f>
        <v/>
      </c>
      <c r="AFK1539" s="42" t="str">
        <f t="array" aca="1" ref="AFK1539" ca="1">IFERROR(INDEX(nombres[],SMALL(IF(OFFSET(nombres[],0,0,ROWS(nombres[]),1)=AFK$1490,ROW(OFFSET(nombres[],0,0,ROWS(nombres[]),1))-ROW(OFFSET(nombres[],0,0,1,1))+1,ROW(OFFSET(nombres[],ROWS(nombres[])-1,0,1,1))+1),$O1539:$O1558),3),"")</f>
        <v/>
      </c>
      <c r="AFL1539" s="42" t="str">
        <f t="array" aca="1" ref="AFL1539" ca="1">IFERROR(INDEX(nombres[],SMALL(IF(OFFSET(nombres[],0,0,ROWS(nombres[]),1)=AFL$1490,ROW(OFFSET(nombres[],0,0,ROWS(nombres[]),1))-ROW(OFFSET(nombres[],0,0,1,1))+1,ROW(OFFSET(nombres[],ROWS(nombres[])-1,0,1,1))+1),$O1539:$O1558),3),"")</f>
        <v/>
      </c>
      <c r="AFM1539" s="42" t="str">
        <f t="array" aca="1" ref="AFM1539" ca="1">IFERROR(INDEX(nombres[],SMALL(IF(OFFSET(nombres[],0,0,ROWS(nombres[]),1)=AFM$1490,ROW(OFFSET(nombres[],0,0,ROWS(nombres[]),1))-ROW(OFFSET(nombres[],0,0,1,1))+1,ROW(OFFSET(nombres[],ROWS(nombres[])-1,0,1,1))+1),$O1539:$O1558),3),"")</f>
        <v/>
      </c>
      <c r="AFN1539" s="42" t="str">
        <f t="array" aca="1" ref="AFN1539" ca="1">IFERROR(INDEX(nombres[],SMALL(IF(OFFSET(nombres[],0,0,ROWS(nombres[]),1)=AFN$1490,ROW(OFFSET(nombres[],0,0,ROWS(nombres[]),1))-ROW(OFFSET(nombres[],0,0,1,1))+1,ROW(OFFSET(nombres[],ROWS(nombres[])-1,0,1,1))+1),$O1539:$O1558),3),"")</f>
        <v/>
      </c>
      <c r="AFO1539" s="42" t="str">
        <f t="array" aca="1" ref="AFO1539" ca="1">IFERROR(INDEX(nombres[],SMALL(IF(OFFSET(nombres[],0,0,ROWS(nombres[]),1)=AFO$1490,ROW(OFFSET(nombres[],0,0,ROWS(nombres[]),1))-ROW(OFFSET(nombres[],0,0,1,1))+1,ROW(OFFSET(nombres[],ROWS(nombres[])-1,0,1,1))+1),$O1539:$O1558),3),"")</f>
        <v/>
      </c>
      <c r="AFP1539" s="42" t="str">
        <f t="array" aca="1" ref="AFP1539" ca="1">IFERROR(INDEX(nombres[],SMALL(IF(OFFSET(nombres[],0,0,ROWS(nombres[]),1)=AFP$1490,ROW(OFFSET(nombres[],0,0,ROWS(nombres[]),1))-ROW(OFFSET(nombres[],0,0,1,1))+1,ROW(OFFSET(nombres[],ROWS(nombres[])-1,0,1,1))+1),$O1539:$O1558),3),"")</f>
        <v/>
      </c>
      <c r="AFQ1539" s="42" t="str">
        <f t="array" aca="1" ref="AFQ1539" ca="1">IFERROR(INDEX(nombres[],SMALL(IF(OFFSET(nombres[],0,0,ROWS(nombres[]),1)=AFQ$1490,ROW(OFFSET(nombres[],0,0,ROWS(nombres[]),1))-ROW(OFFSET(nombres[],0,0,1,1))+1,ROW(OFFSET(nombres[],ROWS(nombres[])-1,0,1,1))+1),$O1539:$O1558),3),"")</f>
        <v/>
      </c>
      <c r="AFR1539" s="42" t="str">
        <f t="array" aca="1" ref="AFR1539" ca="1">IFERROR(INDEX(nombres[],SMALL(IF(OFFSET(nombres[],0,0,ROWS(nombres[]),1)=AFR$1490,ROW(OFFSET(nombres[],0,0,ROWS(nombres[]),1))-ROW(OFFSET(nombres[],0,0,1,1))+1,ROW(OFFSET(nombres[],ROWS(nombres[])-1,0,1,1))+1),$O1539:$O1558),3),"")</f>
        <v/>
      </c>
      <c r="AFS1539" s="42" t="str">
        <f t="array" aca="1" ref="AFS1539" ca="1">IFERROR(INDEX(nombres[],SMALL(IF(OFFSET(nombres[],0,0,ROWS(nombres[]),1)=AFS$1490,ROW(OFFSET(nombres[],0,0,ROWS(nombres[]),1))-ROW(OFFSET(nombres[],0,0,1,1))+1,ROW(OFFSET(nombres[],ROWS(nombres[])-1,0,1,1))+1),$O1539:$O1558),3),"")</f>
        <v/>
      </c>
      <c r="AFT1539" s="42" t="str">
        <f t="array" aca="1" ref="AFT1539" ca="1">IFERROR(INDEX(nombres[],SMALL(IF(OFFSET(nombres[],0,0,ROWS(nombres[]),1)=AFT$1490,ROW(OFFSET(nombres[],0,0,ROWS(nombres[]),1))-ROW(OFFSET(nombres[],0,0,1,1))+1,ROW(OFFSET(nombres[],ROWS(nombres[])-1,0,1,1))+1),$O1539:$O1558),3),"")</f>
        <v/>
      </c>
      <c r="AFU1539" s="42" t="str">
        <f t="array" aca="1" ref="AFU1539" ca="1">IFERROR(INDEX(nombres[],SMALL(IF(OFFSET(nombres[],0,0,ROWS(nombres[]),1)=AFU$1490,ROW(OFFSET(nombres[],0,0,ROWS(nombres[]),1))-ROW(OFFSET(nombres[],0,0,1,1))+1,ROW(OFFSET(nombres[],ROWS(nombres[])-1,0,1,1))+1),$O1539:$O1558),3),"")</f>
        <v/>
      </c>
      <c r="AFV1539" s="42" t="str">
        <f t="array" aca="1" ref="AFV1539" ca="1">IFERROR(INDEX(nombres[],SMALL(IF(OFFSET(nombres[],0,0,ROWS(nombres[]),1)=AFV$1490,ROW(OFFSET(nombres[],0,0,ROWS(nombres[]),1))-ROW(OFFSET(nombres[],0,0,1,1))+1,ROW(OFFSET(nombres[],ROWS(nombres[])-1,0,1,1))+1),$O1539:$O1558),3),"")</f>
        <v/>
      </c>
      <c r="AFW1539" s="42" t="str">
        <f t="array" aca="1" ref="AFW1539" ca="1">IFERROR(INDEX(nombres[],SMALL(IF(OFFSET(nombres[],0,0,ROWS(nombres[]),1)=AFW$1490,ROW(OFFSET(nombres[],0,0,ROWS(nombres[]),1))-ROW(OFFSET(nombres[],0,0,1,1))+1,ROW(OFFSET(nombres[],ROWS(nombres[])-1,0,1,1))+1),$O1539:$O1558),3),"")</f>
        <v/>
      </c>
      <c r="AFX1539" s="42" t="str">
        <f t="array" aca="1" ref="AFX1539" ca="1">IFERROR(INDEX(nombres[],SMALL(IF(OFFSET(nombres[],0,0,ROWS(nombres[]),1)=AFX$1490,ROW(OFFSET(nombres[],0,0,ROWS(nombres[]),1))-ROW(OFFSET(nombres[],0,0,1,1))+1,ROW(OFFSET(nombres[],ROWS(nombres[])-1,0,1,1))+1),$O1539:$O1558),3),"")</f>
        <v/>
      </c>
      <c r="AFY1539" s="42" t="str">
        <f t="array" aca="1" ref="AFY1539" ca="1">IFERROR(INDEX(nombres[],SMALL(IF(OFFSET(nombres[],0,0,ROWS(nombres[]),1)=AFY$1490,ROW(OFFSET(nombres[],0,0,ROWS(nombres[]),1))-ROW(OFFSET(nombres[],0,0,1,1))+1,ROW(OFFSET(nombres[],ROWS(nombres[])-1,0,1,1))+1),$O1539:$O1558),3),"")</f>
        <v/>
      </c>
      <c r="AFZ1539" s="42" t="str">
        <f t="array" aca="1" ref="AFZ1539" ca="1">IFERROR(INDEX(nombres[],SMALL(IF(OFFSET(nombres[],0,0,ROWS(nombres[]),1)=AFZ$1490,ROW(OFFSET(nombres[],0,0,ROWS(nombres[]),1))-ROW(OFFSET(nombres[],0,0,1,1))+1,ROW(OFFSET(nombres[],ROWS(nombres[])-1,0,1,1))+1),$O1539:$O1558),3),"")</f>
        <v/>
      </c>
      <c r="AGA1539" s="42" t="str">
        <f t="array" aca="1" ref="AGA1539" ca="1">IFERROR(INDEX(nombres[],SMALL(IF(OFFSET(nombres[],0,0,ROWS(nombres[]),1)=AGA$1490,ROW(OFFSET(nombres[],0,0,ROWS(nombres[]),1))-ROW(OFFSET(nombres[],0,0,1,1))+1,ROW(OFFSET(nombres[],ROWS(nombres[])-1,0,1,1))+1),$O1539:$O1558),3),"")</f>
        <v/>
      </c>
      <c r="AGB1539" s="42" t="str">
        <f t="array" aca="1" ref="AGB1539" ca="1">IFERROR(INDEX(nombres[],SMALL(IF(OFFSET(nombres[],0,0,ROWS(nombres[]),1)=AGB$1490,ROW(OFFSET(nombres[],0,0,ROWS(nombres[]),1))-ROW(OFFSET(nombres[],0,0,1,1))+1,ROW(OFFSET(nombres[],ROWS(nombres[])-1,0,1,1))+1),$O1539:$O1558),3),"")</f>
        <v/>
      </c>
      <c r="AGC1539" s="42" t="str">
        <f t="array" aca="1" ref="AGC1539" ca="1">IFERROR(INDEX(nombres[],SMALL(IF(OFFSET(nombres[],0,0,ROWS(nombres[]),1)=AGC$1490,ROW(OFFSET(nombres[],0,0,ROWS(nombres[]),1))-ROW(OFFSET(nombres[],0,0,1,1))+1,ROW(OFFSET(nombres[],ROWS(nombres[])-1,0,1,1))+1),$O1539:$O1558),3),"")</f>
        <v/>
      </c>
      <c r="AGD1539" s="42" t="str">
        <f t="array" aca="1" ref="AGD1539" ca="1">IFERROR(INDEX(nombres[],SMALL(IF(OFFSET(nombres[],0,0,ROWS(nombres[]),1)=AGD$1490,ROW(OFFSET(nombres[],0,0,ROWS(nombres[]),1))-ROW(OFFSET(nombres[],0,0,1,1))+1,ROW(OFFSET(nombres[],ROWS(nombres[])-1,0,1,1))+1),$O1539:$O1558),3),"")</f>
        <v/>
      </c>
      <c r="AGE1539" s="42" t="str">
        <f t="array" aca="1" ref="AGE1539" ca="1">IFERROR(INDEX(nombres[],SMALL(IF(OFFSET(nombres[],0,0,ROWS(nombres[]),1)=AGE$1490,ROW(OFFSET(nombres[],0,0,ROWS(nombres[]),1))-ROW(OFFSET(nombres[],0,0,1,1))+1,ROW(OFFSET(nombres[],ROWS(nombres[])-1,0,1,1))+1),$O1539:$O1558),3),"")</f>
        <v/>
      </c>
      <c r="AGF1539" s="42" t="str">
        <f t="array" aca="1" ref="AGF1539" ca="1">IFERROR(INDEX(nombres[],SMALL(IF(OFFSET(nombres[],0,0,ROWS(nombres[]),1)=AGF$1490,ROW(OFFSET(nombres[],0,0,ROWS(nombres[]),1))-ROW(OFFSET(nombres[],0,0,1,1))+1,ROW(OFFSET(nombres[],ROWS(nombres[])-1,0,1,1))+1),$O1539:$O1558),3),"")</f>
        <v/>
      </c>
      <c r="AGG1539" s="42" t="str">
        <f t="array" aca="1" ref="AGG1539" ca="1">IFERROR(INDEX(nombres[],SMALL(IF(OFFSET(nombres[],0,0,ROWS(nombres[]),1)=AGG$1490,ROW(OFFSET(nombres[],0,0,ROWS(nombres[]),1))-ROW(OFFSET(nombres[],0,0,1,1))+1,ROW(OFFSET(nombres[],ROWS(nombres[])-1,0,1,1))+1),$O1539:$O1558),3),"")</f>
        <v/>
      </c>
      <c r="AGH1539" s="42" t="str">
        <f t="array" aca="1" ref="AGH1539" ca="1">IFERROR(INDEX(nombres[],SMALL(IF(OFFSET(nombres[],0,0,ROWS(nombres[]),1)=AGH$1490,ROW(OFFSET(nombres[],0,0,ROWS(nombres[]),1))-ROW(OFFSET(nombres[],0,0,1,1))+1,ROW(OFFSET(nombres[],ROWS(nombres[])-1,0,1,1))+1),$O1539:$O1558),3),"")</f>
        <v/>
      </c>
      <c r="AGI1539" s="42" t="str">
        <f t="array" aca="1" ref="AGI1539" ca="1">IFERROR(INDEX(nombres[],SMALL(IF(OFFSET(nombres[],0,0,ROWS(nombres[]),1)=AGI$1490,ROW(OFFSET(nombres[],0,0,ROWS(nombres[]),1))-ROW(OFFSET(nombres[],0,0,1,1))+1,ROW(OFFSET(nombres[],ROWS(nombres[])-1,0,1,1))+1),$O1539:$O1558),3),"")</f>
        <v/>
      </c>
      <c r="AGJ1539" s="42" t="str">
        <f t="array" aca="1" ref="AGJ1539" ca="1">IFERROR(INDEX(nombres[],SMALL(IF(OFFSET(nombres[],0,0,ROWS(nombres[]),1)=AGJ$1490,ROW(OFFSET(nombres[],0,0,ROWS(nombres[]),1))-ROW(OFFSET(nombres[],0,0,1,1))+1,ROW(OFFSET(nombres[],ROWS(nombres[])-1,0,1,1))+1),$O1539:$O1558),3),"")</f>
        <v/>
      </c>
      <c r="AGK1539" s="42" t="str">
        <f t="array" aca="1" ref="AGK1539" ca="1">IFERROR(INDEX(nombres[],SMALL(IF(OFFSET(nombres[],0,0,ROWS(nombres[]),1)=AGK$1490,ROW(OFFSET(nombres[],0,0,ROWS(nombres[]),1))-ROW(OFFSET(nombres[],0,0,1,1))+1,ROW(OFFSET(nombres[],ROWS(nombres[])-1,0,1,1))+1),$O1539:$O1558),3),"")</f>
        <v/>
      </c>
      <c r="AGL1539" s="42" t="str">
        <f t="array" aca="1" ref="AGL1539" ca="1">IFERROR(INDEX(nombres[],SMALL(IF(OFFSET(nombres[],0,0,ROWS(nombres[]),1)=AGL$1490,ROW(OFFSET(nombres[],0,0,ROWS(nombres[]),1))-ROW(OFFSET(nombres[],0,0,1,1))+1,ROW(OFFSET(nombres[],ROWS(nombres[])-1,0,1,1))+1),$O1539:$O1558),3),"")</f>
        <v/>
      </c>
      <c r="AGM1539" s="42" t="str">
        <f t="array" aca="1" ref="AGM1539" ca="1">IFERROR(INDEX(nombres[],SMALL(IF(OFFSET(nombres[],0,0,ROWS(nombres[]),1)=AGM$1490,ROW(OFFSET(nombres[],0,0,ROWS(nombres[]),1))-ROW(OFFSET(nombres[],0,0,1,1))+1,ROW(OFFSET(nombres[],ROWS(nombres[])-1,0,1,1))+1),$O1539:$O1558),3),"")</f>
        <v/>
      </c>
      <c r="AGN1539" s="42" t="str">
        <f t="array" aca="1" ref="AGN1539" ca="1">IFERROR(INDEX(nombres[],SMALL(IF(OFFSET(nombres[],0,0,ROWS(nombres[]),1)=AGN$1490,ROW(OFFSET(nombres[],0,0,ROWS(nombres[]),1))-ROW(OFFSET(nombres[],0,0,1,1))+1,ROW(OFFSET(nombres[],ROWS(nombres[])-1,0,1,1))+1),$O1539:$O1558),3),"")</f>
        <v/>
      </c>
    </row>
    <row r="1540" spans="15:872" x14ac:dyDescent="0.25">
      <c r="O1540" s="42">
        <v>4</v>
      </c>
      <c r="P1540" s="42" t="str">
        <f t="array" aca="1" ref="P1540" ca="1">IFERROR(INDEX(nombres[],SMALL(IF(OFFSET(nombres[],0,0,ROWS(nombres[]),1)=P$1490,ROW(OFFSET(nombres[],0,0,ROWS(nombres[]),1))-ROW(OFFSET(nombres[],0,0,1,1))+1,ROW(OFFSET(nombres[],ROWS(nombres[])-1,0,1,1))+1),$O1540:$O1559),3),"")</f>
        <v/>
      </c>
      <c r="Q1540" s="42" t="str">
        <f t="array" aca="1" ref="Q1540" ca="1">IFERROR(INDEX(nombres[],SMALL(IF(OFFSET(nombres[],0,0,ROWS(nombres[]),1)=Q$1490,ROW(OFFSET(nombres[],0,0,ROWS(nombres[]),1))-ROW(OFFSET(nombres[],0,0,1,1))+1,ROW(OFFSET(nombres[],ROWS(nombres[])-1,0,1,1))+1),$O1540:$O1559),3),"")</f>
        <v/>
      </c>
      <c r="R1540" s="42" t="str">
        <f t="array" aca="1" ref="R1540" ca="1">IFERROR(INDEX(nombres[],SMALL(IF(OFFSET(nombres[],0,0,ROWS(nombres[]),1)=R$1490,ROW(OFFSET(nombres[],0,0,ROWS(nombres[]),1))-ROW(OFFSET(nombres[],0,0,1,1))+1,ROW(OFFSET(nombres[],ROWS(nombres[])-1,0,1,1))+1),$O1540:$O1559),3),"")</f>
        <v/>
      </c>
      <c r="S1540" s="42" t="str">
        <f t="array" aca="1" ref="S1540" ca="1">IFERROR(INDEX(nombres[],SMALL(IF(OFFSET(nombres[],0,0,ROWS(nombres[]),1)=S$1490,ROW(OFFSET(nombres[],0,0,ROWS(nombres[]),1))-ROW(OFFSET(nombres[],0,0,1,1))+1,ROW(OFFSET(nombres[],ROWS(nombres[])-1,0,1,1))+1),$O1540:$O1559),3),"")</f>
        <v/>
      </c>
      <c r="T1540" s="42" t="str">
        <f t="array" aca="1" ref="T1540" ca="1">IFERROR(INDEX(nombres[],SMALL(IF(OFFSET(nombres[],0,0,ROWS(nombres[]),1)=T$1490,ROW(OFFSET(nombres[],0,0,ROWS(nombres[]),1))-ROW(OFFSET(nombres[],0,0,1,1))+1,ROW(OFFSET(nombres[],ROWS(nombres[])-1,0,1,1))+1),$O1540:$O1559),3),"")</f>
        <v/>
      </c>
      <c r="U1540" s="42" t="str">
        <f t="array" aca="1" ref="U1540" ca="1">IFERROR(INDEX(nombres[],SMALL(IF(OFFSET(nombres[],0,0,ROWS(nombres[]),1)=U$1490,ROW(OFFSET(nombres[],0,0,ROWS(nombres[]),1))-ROW(OFFSET(nombres[],0,0,1,1))+1,ROW(OFFSET(nombres[],ROWS(nombres[])-1,0,1,1))+1),$O1540:$O1559),3),"")</f>
        <v/>
      </c>
      <c r="V1540" s="42" t="str">
        <f t="array" aca="1" ref="V1540" ca="1">IFERROR(INDEX(nombres[],SMALL(IF(OFFSET(nombres[],0,0,ROWS(nombres[]),1)=V$1490,ROW(OFFSET(nombres[],0,0,ROWS(nombres[]),1))-ROW(OFFSET(nombres[],0,0,1,1))+1,ROW(OFFSET(nombres[],ROWS(nombres[])-1,0,1,1))+1),$O1540:$O1559),3),"")</f>
        <v/>
      </c>
      <c r="W1540" s="42" t="str">
        <f t="array" aca="1" ref="W1540" ca="1">IFERROR(INDEX(nombres[],SMALL(IF(OFFSET(nombres[],0,0,ROWS(nombres[]),1)=W$1490,ROW(OFFSET(nombres[],0,0,ROWS(nombres[]),1))-ROW(OFFSET(nombres[],0,0,1,1))+1,ROW(OFFSET(nombres[],ROWS(nombres[])-1,0,1,1))+1),$O1540:$O1559),3),"")</f>
        <v/>
      </c>
      <c r="X1540" s="42" t="str">
        <f t="array" aca="1" ref="X1540" ca="1">IFERROR(INDEX(nombres[],SMALL(IF(OFFSET(nombres[],0,0,ROWS(nombres[]),1)=X$1490,ROW(OFFSET(nombres[],0,0,ROWS(nombres[]),1))-ROW(OFFSET(nombres[],0,0,1,1))+1,ROW(OFFSET(nombres[],ROWS(nombres[])-1,0,1,1))+1),$O1540:$O1559),3),"")</f>
        <v/>
      </c>
      <c r="Y1540" s="42" t="str">
        <f t="array" aca="1" ref="Y1540" ca="1">IFERROR(INDEX(nombres[],SMALL(IF(OFFSET(nombres[],0,0,ROWS(nombres[]),1)=Y$1490,ROW(OFFSET(nombres[],0,0,ROWS(nombres[]),1))-ROW(OFFSET(nombres[],0,0,1,1))+1,ROW(OFFSET(nombres[],ROWS(nombres[])-1,0,1,1))+1),$O1540:$O1559),3),"")</f>
        <v/>
      </c>
      <c r="Z1540" s="42" t="str">
        <f t="array" aca="1" ref="Z1540" ca="1">IFERROR(INDEX(nombres[],SMALL(IF(OFFSET(nombres[],0,0,ROWS(nombres[]),1)=Z$1490,ROW(OFFSET(nombres[],0,0,ROWS(nombres[]),1))-ROW(OFFSET(nombres[],0,0,1,1))+1,ROW(OFFSET(nombres[],ROWS(nombres[])-1,0,1,1))+1),$O1540:$O1559),3),"")</f>
        <v/>
      </c>
      <c r="AA1540" s="42" t="str">
        <f t="array" aca="1" ref="AA1540" ca="1">IFERROR(INDEX(nombres[],SMALL(IF(OFFSET(nombres[],0,0,ROWS(nombres[]),1)=AA$1490,ROW(OFFSET(nombres[],0,0,ROWS(nombres[]),1))-ROW(OFFSET(nombres[],0,0,1,1))+1,ROW(OFFSET(nombres[],ROWS(nombres[])-1,0,1,1))+1),$O1540:$O1559),3),"")</f>
        <v/>
      </c>
      <c r="AB1540" s="42">
        <f t="array" aca="1" ref="AB1540" ca="1">IFERROR(INDEX(nombres[],SMALL(IF(OFFSET(nombres[],0,0,ROWS(nombres[]),1)=AB$1490,ROW(OFFSET(nombres[],0,0,ROWS(nombres[]),1))-ROW(OFFSET(nombres[],0,0,1,1))+1,ROW(OFFSET(nombres[],ROWS(nombres[])-1,0,1,1))+1),$O1540:$O1559),3),"")</f>
        <v>53</v>
      </c>
      <c r="AC1540" s="42">
        <f t="array" aca="1" ref="AC1540" ca="1">IFERROR(INDEX(nombres[],SMALL(IF(OFFSET(nombres[],0,0,ROWS(nombres[]),1)=AC$1490,ROW(OFFSET(nombres[],0,0,ROWS(nombres[]),1))-ROW(OFFSET(nombres[],0,0,1,1))+1,ROW(OFFSET(nombres[],ROWS(nombres[])-1,0,1,1))+1),$O1540:$O1559),3),"")</f>
        <v>15</v>
      </c>
      <c r="AD1540" s="42">
        <f t="array" aca="1" ref="AD1540" ca="1">IFERROR(INDEX(nombres[],SMALL(IF(OFFSET(nombres[],0,0,ROWS(nombres[]),1)=AD$1490,ROW(OFFSET(nombres[],0,0,ROWS(nombres[]),1))-ROW(OFFSET(nombres[],0,0,1,1))+1,ROW(OFFSET(nombres[],ROWS(nombres[])-1,0,1,1))+1),$O1540:$O1559),3),"")</f>
        <v>27</v>
      </c>
      <c r="AE1540" s="42" t="str">
        <f t="array" aca="1" ref="AE1540" ca="1">IFERROR(INDEX(nombres[],SMALL(IF(OFFSET(nombres[],0,0,ROWS(nombres[]),1)=AE$1490,ROW(OFFSET(nombres[],0,0,ROWS(nombres[]),1))-ROW(OFFSET(nombres[],0,0,1,1))+1,ROW(OFFSET(nombres[],ROWS(nombres[])-1,0,1,1))+1),$O1540:$O1559),3),"")</f>
        <v/>
      </c>
      <c r="AF1540" s="42" t="str">
        <f t="array" aca="1" ref="AF1540" ca="1">IFERROR(INDEX(nombres[],SMALL(IF(OFFSET(nombres[],0,0,ROWS(nombres[]),1)=AF$1490,ROW(OFFSET(nombres[],0,0,ROWS(nombres[]),1))-ROW(OFFSET(nombres[],0,0,1,1))+1,ROW(OFFSET(nombres[],ROWS(nombres[])-1,0,1,1))+1),$O1540:$O1559),3),"")</f>
        <v/>
      </c>
      <c r="AG1540" s="42" t="str">
        <f t="array" aca="1" ref="AG1540" ca="1">IFERROR(INDEX(nombres[],SMALL(IF(OFFSET(nombres[],0,0,ROWS(nombres[]),1)=AG$1490,ROW(OFFSET(nombres[],0,0,ROWS(nombres[]),1))-ROW(OFFSET(nombres[],0,0,1,1))+1,ROW(OFFSET(nombres[],ROWS(nombres[])-1,0,1,1))+1),$O1540:$O1559),3),"")</f>
        <v/>
      </c>
      <c r="AH1540" s="42" t="str">
        <f t="array" aca="1" ref="AH1540" ca="1">IFERROR(INDEX(nombres[],SMALL(IF(OFFSET(nombres[],0,0,ROWS(nombres[]),1)=AH$1490,ROW(OFFSET(nombres[],0,0,ROWS(nombres[]),1))-ROW(OFFSET(nombres[],0,0,1,1))+1,ROW(OFFSET(nombres[],ROWS(nombres[])-1,0,1,1))+1),$O1540:$O1559),3),"")</f>
        <v/>
      </c>
      <c r="AI1540" s="42" t="str">
        <f t="array" aca="1" ref="AI1540" ca="1">IFERROR(INDEX(nombres[],SMALL(IF(OFFSET(nombres[],0,0,ROWS(nombres[]),1)=AI$1490,ROW(OFFSET(nombres[],0,0,ROWS(nombres[]),1))-ROW(OFFSET(nombres[],0,0,1,1))+1,ROW(OFFSET(nombres[],ROWS(nombres[])-1,0,1,1))+1),$O1540:$O1559),3),"")</f>
        <v/>
      </c>
      <c r="AJ1540" s="42">
        <f t="array" aca="1" ref="AJ1540" ca="1">IFERROR(INDEX(nombres[],SMALL(IF(OFFSET(nombres[],0,0,ROWS(nombres[]),1)=AJ$1490,ROW(OFFSET(nombres[],0,0,ROWS(nombres[]),1))-ROW(OFFSET(nombres[],0,0,1,1))+1,ROW(OFFSET(nombres[],ROWS(nombres[])-1,0,1,1))+1),$O1540:$O1559),3),"")</f>
        <v>267</v>
      </c>
      <c r="AK1540" s="42">
        <f t="array" aca="1" ref="AK1540" ca="1">IFERROR(INDEX(nombres[],SMALL(IF(OFFSET(nombres[],0,0,ROWS(nombres[]),1)=AK$1490,ROW(OFFSET(nombres[],0,0,ROWS(nombres[]),1))-ROW(OFFSET(nombres[],0,0,1,1))+1,ROW(OFFSET(nombres[],ROWS(nombres[])-1,0,1,1))+1),$O1540:$O1559),3),"")</f>
        <v>4</v>
      </c>
      <c r="AL1540" s="42">
        <f t="array" aca="1" ref="AL1540" ca="1">IFERROR(INDEX(nombres[],SMALL(IF(OFFSET(nombres[],0,0,ROWS(nombres[]),1)=AL$1490,ROW(OFFSET(nombres[],0,0,ROWS(nombres[]),1))-ROW(OFFSET(nombres[],0,0,1,1))+1,ROW(OFFSET(nombres[],ROWS(nombres[])-1,0,1,1))+1),$O1540:$O1559),3),"")</f>
        <v>6</v>
      </c>
      <c r="AM1540" s="42">
        <f t="array" aca="1" ref="AM1540" ca="1">IFERROR(INDEX(nombres[],SMALL(IF(OFFSET(nombres[],0,0,ROWS(nombres[]),1)=AM$1490,ROW(OFFSET(nombres[],0,0,ROWS(nombres[]),1))-ROW(OFFSET(nombres[],0,0,1,1))+1,ROW(OFFSET(nombres[],ROWS(nombres[])-1,0,1,1))+1),$O1540:$O1559),3),"")</f>
        <v>9</v>
      </c>
      <c r="AN1540" s="42">
        <f t="array" aca="1" ref="AN1540" ca="1">IFERROR(INDEX(nombres[],SMALL(IF(OFFSET(nombres[],0,0,ROWS(nombres[]),1)=AN$1490,ROW(OFFSET(nombres[],0,0,ROWS(nombres[]),1))-ROW(OFFSET(nombres[],0,0,1,1))+1,ROW(OFFSET(nombres[],ROWS(nombres[])-1,0,1,1))+1),$O1540:$O1559),3),"")</f>
        <v>19</v>
      </c>
      <c r="AO1540" s="42" t="str">
        <f t="array" aca="1" ref="AO1540" ca="1">IFERROR(INDEX(nombres[],SMALL(IF(OFFSET(nombres[],0,0,ROWS(nombres[]),1)=AO$1490,ROW(OFFSET(nombres[],0,0,ROWS(nombres[]),1))-ROW(OFFSET(nombres[],0,0,1,1))+1,ROW(OFFSET(nombres[],ROWS(nombres[])-1,0,1,1))+1),$O1540:$O1559),3),"")</f>
        <v/>
      </c>
      <c r="AP1540" s="42">
        <f t="array" aca="1" ref="AP1540" ca="1">IFERROR(INDEX(nombres[],SMALL(IF(OFFSET(nombres[],0,0,ROWS(nombres[]),1)=AP$1490,ROW(OFFSET(nombres[],0,0,ROWS(nombres[]),1))-ROW(OFFSET(nombres[],0,0,1,1))+1,ROW(OFFSET(nombres[],ROWS(nombres[])-1,0,1,1))+1),$O1540:$O1559),3),"")</f>
        <v>60</v>
      </c>
      <c r="AQ1540" s="42" t="str">
        <f t="array" aca="1" ref="AQ1540" ca="1">IFERROR(INDEX(nombres[],SMALL(IF(OFFSET(nombres[],0,0,ROWS(nombres[]),1)=AQ$1490,ROW(OFFSET(nombres[],0,0,ROWS(nombres[]),1))-ROW(OFFSET(nombres[],0,0,1,1))+1,ROW(OFFSET(nombres[],ROWS(nombres[])-1,0,1,1))+1),$O1540:$O1559),3),"")</f>
        <v/>
      </c>
      <c r="AR1540" s="42" t="str">
        <f t="array" aca="1" ref="AR1540" ca="1">IFERROR(INDEX(nombres[],SMALL(IF(OFFSET(nombres[],0,0,ROWS(nombres[]),1)=AR$1490,ROW(OFFSET(nombres[],0,0,ROWS(nombres[]),1))-ROW(OFFSET(nombres[],0,0,1,1))+1,ROW(OFFSET(nombres[],ROWS(nombres[])-1,0,1,1))+1),$O1540:$O1559),3),"")</f>
        <v/>
      </c>
      <c r="AS1540" s="42" t="str">
        <f t="array" aca="1" ref="AS1540" ca="1">IFERROR(INDEX(nombres[],SMALL(IF(OFFSET(nombres[],0,0,ROWS(nombres[]),1)=AS$1490,ROW(OFFSET(nombres[],0,0,ROWS(nombres[]),1))-ROW(OFFSET(nombres[],0,0,1,1))+1,ROW(OFFSET(nombres[],ROWS(nombres[])-1,0,1,1))+1),$O1540:$O1559),3),"")</f>
        <v/>
      </c>
      <c r="AT1540" s="42" t="str">
        <f t="array" aca="1" ref="AT1540" ca="1">IFERROR(INDEX(nombres[],SMALL(IF(OFFSET(nombres[],0,0,ROWS(nombres[]),1)=AT$1490,ROW(OFFSET(nombres[],0,0,ROWS(nombres[]),1))-ROW(OFFSET(nombres[],0,0,1,1))+1,ROW(OFFSET(nombres[],ROWS(nombres[])-1,0,1,1))+1),$O1540:$O1559),3),"")</f>
        <v/>
      </c>
      <c r="AU1540" s="42">
        <f t="array" aca="1" ref="AU1540" ca="1">IFERROR(INDEX(nombres[],SMALL(IF(OFFSET(nombres[],0,0,ROWS(nombres[]),1)=AU$1490,ROW(OFFSET(nombres[],0,0,ROWS(nombres[]),1))-ROW(OFFSET(nombres[],0,0,1,1))+1,ROW(OFFSET(nombres[],ROWS(nombres[])-1,0,1,1))+1),$O1540:$O1559),3),"")</f>
        <v>65</v>
      </c>
      <c r="AV1540" s="42" t="str">
        <f t="array" aca="1" ref="AV1540" ca="1">IFERROR(INDEX(nombres[],SMALL(IF(OFFSET(nombres[],0,0,ROWS(nombres[]),1)=AV$1490,ROW(OFFSET(nombres[],0,0,ROWS(nombres[]),1))-ROW(OFFSET(nombres[],0,0,1,1))+1,ROW(OFFSET(nombres[],ROWS(nombres[])-1,0,1,1))+1),$O1540:$O1559),3),"")</f>
        <v/>
      </c>
      <c r="AW1540" s="42" t="str">
        <f t="array" aca="1" ref="AW1540" ca="1">IFERROR(INDEX(nombres[],SMALL(IF(OFFSET(nombres[],0,0,ROWS(nombres[]),1)=AW$1490,ROW(OFFSET(nombres[],0,0,ROWS(nombres[]),1))-ROW(OFFSET(nombres[],0,0,1,1))+1,ROW(OFFSET(nombres[],ROWS(nombres[])-1,0,1,1))+1),$O1540:$O1559),3),"")</f>
        <v/>
      </c>
      <c r="AX1540" s="42" t="str">
        <f t="array" aca="1" ref="AX1540" ca="1">IFERROR(INDEX(nombres[],SMALL(IF(OFFSET(nombres[],0,0,ROWS(nombres[]),1)=AX$1490,ROW(OFFSET(nombres[],0,0,ROWS(nombres[]),1))-ROW(OFFSET(nombres[],0,0,1,1))+1,ROW(OFFSET(nombres[],ROWS(nombres[])-1,0,1,1))+1),$O1540:$O1559),3),"")</f>
        <v/>
      </c>
      <c r="AY1540" s="42">
        <f t="array" aca="1" ref="AY1540" ca="1">IFERROR(INDEX(nombres[],SMALL(IF(OFFSET(nombres[],0,0,ROWS(nombres[]),1)=AY$1490,ROW(OFFSET(nombres[],0,0,ROWS(nombres[]),1))-ROW(OFFSET(nombres[],0,0,1,1))+1,ROW(OFFSET(nombres[],ROWS(nombres[])-1,0,1,1))+1),$O1540:$O1559),3),"")</f>
        <v>632</v>
      </c>
      <c r="AZ1540" s="42" t="str">
        <f t="array" aca="1" ref="AZ1540" ca="1">IFERROR(INDEX(nombres[],SMALL(IF(OFFSET(nombres[],0,0,ROWS(nombres[]),1)=AZ$1490,ROW(OFFSET(nombres[],0,0,ROWS(nombres[]),1))-ROW(OFFSET(nombres[],0,0,1,1))+1,ROW(OFFSET(nombres[],ROWS(nombres[])-1,0,1,1))+1),$O1540:$O1559),3),"")</f>
        <v/>
      </c>
      <c r="BA1540" s="42">
        <f t="array" aca="1" ref="BA1540" ca="1">IFERROR(INDEX(nombres[],SMALL(IF(OFFSET(nombres[],0,0,ROWS(nombres[]),1)=BA$1490,ROW(OFFSET(nombres[],0,0,ROWS(nombres[]),1))-ROW(OFFSET(nombres[],0,0,1,1))+1,ROW(OFFSET(nombres[],ROWS(nombres[])-1,0,1,1))+1),$O1540:$O1559),3),"")</f>
        <v>47</v>
      </c>
      <c r="BB1540" s="42">
        <f t="array" aca="1" ref="BB1540" ca="1">IFERROR(INDEX(nombres[],SMALL(IF(OFFSET(nombres[],0,0,ROWS(nombres[]),1)=BB$1490,ROW(OFFSET(nombres[],0,0,ROWS(nombres[]),1))-ROW(OFFSET(nombres[],0,0,1,1))+1,ROW(OFFSET(nombres[],ROWS(nombres[])-1,0,1,1))+1),$O1540:$O1559),3),"")</f>
        <v>67</v>
      </c>
      <c r="BC1540" s="42" t="str">
        <f t="array" aca="1" ref="BC1540" ca="1">IFERROR(INDEX(nombres[],SMALL(IF(OFFSET(nombres[],0,0,ROWS(nombres[]),1)=BC$1490,ROW(OFFSET(nombres[],0,0,ROWS(nombres[]),1))-ROW(OFFSET(nombres[],0,0,1,1))+1,ROW(OFFSET(nombres[],ROWS(nombres[])-1,0,1,1))+1),$O1540:$O1559),3),"")</f>
        <v/>
      </c>
      <c r="BD1540" s="42" t="str">
        <f t="array" aca="1" ref="BD1540" ca="1">IFERROR(INDEX(nombres[],SMALL(IF(OFFSET(nombres[],0,0,ROWS(nombres[]),1)=BD$1490,ROW(OFFSET(nombres[],0,0,ROWS(nombres[]),1))-ROW(OFFSET(nombres[],0,0,1,1))+1,ROW(OFFSET(nombres[],ROWS(nombres[])-1,0,1,1))+1),$O1540:$O1559),3),"")</f>
        <v/>
      </c>
      <c r="BE1540" s="42" t="str">
        <f t="array" aca="1" ref="BE1540" ca="1">IFERROR(INDEX(nombres[],SMALL(IF(OFFSET(nombres[],0,0,ROWS(nombres[]),1)=BE$1490,ROW(OFFSET(nombres[],0,0,ROWS(nombres[]),1))-ROW(OFFSET(nombres[],0,0,1,1))+1,ROW(OFFSET(nombres[],ROWS(nombres[])-1,0,1,1))+1),$O1540:$O1559),3),"")</f>
        <v/>
      </c>
      <c r="BF1540" s="42" t="str">
        <f t="array" aca="1" ref="BF1540" ca="1">IFERROR(INDEX(nombres[],SMALL(IF(OFFSET(nombres[],0,0,ROWS(nombres[]),1)=BF$1490,ROW(OFFSET(nombres[],0,0,ROWS(nombres[]),1))-ROW(OFFSET(nombres[],0,0,1,1))+1,ROW(OFFSET(nombres[],ROWS(nombres[])-1,0,1,1))+1),$O1540:$O1559),3),"")</f>
        <v/>
      </c>
      <c r="BG1540" s="42">
        <f t="array" aca="1" ref="BG1540" ca="1">IFERROR(INDEX(nombres[],SMALL(IF(OFFSET(nombres[],0,0,ROWS(nombres[]),1)=BG$1490,ROW(OFFSET(nombres[],0,0,ROWS(nombres[]),1))-ROW(OFFSET(nombres[],0,0,1,1))+1,ROW(OFFSET(nombres[],ROWS(nombres[])-1,0,1,1))+1),$O1540:$O1559),3),"")</f>
        <v>74</v>
      </c>
      <c r="BH1540" s="42" t="str">
        <f t="array" aca="1" ref="BH1540" ca="1">IFERROR(INDEX(nombres[],SMALL(IF(OFFSET(nombres[],0,0,ROWS(nombres[]),1)=BH$1490,ROW(OFFSET(nombres[],0,0,ROWS(nombres[]),1))-ROW(OFFSET(nombres[],0,0,1,1))+1,ROW(OFFSET(nombres[],ROWS(nombres[])-1,0,1,1))+1),$O1540:$O1559),3),"")</f>
        <v/>
      </c>
      <c r="BI1540" s="42" t="str">
        <f t="array" aca="1" ref="BI1540" ca="1">IFERROR(INDEX(nombres[],SMALL(IF(OFFSET(nombres[],0,0,ROWS(nombres[]),1)=BI$1490,ROW(OFFSET(nombres[],0,0,ROWS(nombres[]),1))-ROW(OFFSET(nombres[],0,0,1,1))+1,ROW(OFFSET(nombres[],ROWS(nombres[])-1,0,1,1))+1),$O1540:$O1559),3),"")</f>
        <v/>
      </c>
      <c r="BJ1540" s="42" t="str">
        <f t="array" aca="1" ref="BJ1540" ca="1">IFERROR(INDEX(nombres[],SMALL(IF(OFFSET(nombres[],0,0,ROWS(nombres[]),1)=BJ$1490,ROW(OFFSET(nombres[],0,0,ROWS(nombres[]),1))-ROW(OFFSET(nombres[],0,0,1,1))+1,ROW(OFFSET(nombres[],ROWS(nombres[])-1,0,1,1))+1),$O1540:$O1559),3),"")</f>
        <v/>
      </c>
      <c r="BK1540" s="42" t="str">
        <f t="array" aca="1" ref="BK1540" ca="1">IFERROR(INDEX(nombres[],SMALL(IF(OFFSET(nombres[],0,0,ROWS(nombres[]),1)=BK$1490,ROW(OFFSET(nombres[],0,0,ROWS(nombres[]),1))-ROW(OFFSET(nombres[],0,0,1,1))+1,ROW(OFFSET(nombres[],ROWS(nombres[])-1,0,1,1))+1),$O1540:$O1559),3),"")</f>
        <v/>
      </c>
      <c r="BL1540" s="42" t="str">
        <f t="array" aca="1" ref="BL1540" ca="1">IFERROR(INDEX(nombres[],SMALL(IF(OFFSET(nombres[],0,0,ROWS(nombres[]),1)=BL$1490,ROW(OFFSET(nombres[],0,0,ROWS(nombres[]),1))-ROW(OFFSET(nombres[],0,0,1,1))+1,ROW(OFFSET(nombres[],ROWS(nombres[])-1,0,1,1))+1),$O1540:$O1559),3),"")</f>
        <v/>
      </c>
      <c r="BM1540" s="42" t="str">
        <f t="array" aca="1" ref="BM1540" ca="1">IFERROR(INDEX(nombres[],SMALL(IF(OFFSET(nombres[],0,0,ROWS(nombres[]),1)=BM$1490,ROW(OFFSET(nombres[],0,0,ROWS(nombres[]),1))-ROW(OFFSET(nombres[],0,0,1,1))+1,ROW(OFFSET(nombres[],ROWS(nombres[])-1,0,1,1))+1),$O1540:$O1559),3),"")</f>
        <v/>
      </c>
      <c r="BN1540" s="42" t="str">
        <f t="array" aca="1" ref="BN1540" ca="1">IFERROR(INDEX(nombres[],SMALL(IF(OFFSET(nombres[],0,0,ROWS(nombres[]),1)=BN$1490,ROW(OFFSET(nombres[],0,0,ROWS(nombres[]),1))-ROW(OFFSET(nombres[],0,0,1,1))+1,ROW(OFFSET(nombres[],ROWS(nombres[])-1,0,1,1))+1),$O1540:$O1559),3),"")</f>
        <v/>
      </c>
      <c r="BO1540" s="42" t="str">
        <f t="array" aca="1" ref="BO1540" ca="1">IFERROR(INDEX(nombres[],SMALL(IF(OFFSET(nombres[],0,0,ROWS(nombres[]),1)=BO$1490,ROW(OFFSET(nombres[],0,0,ROWS(nombres[]),1))-ROW(OFFSET(nombres[],0,0,1,1))+1,ROW(OFFSET(nombres[],ROWS(nombres[])-1,0,1,1))+1),$O1540:$O1559),3),"")</f>
        <v/>
      </c>
      <c r="BP1540" s="42">
        <f t="array" aca="1" ref="BP1540" ca="1">IFERROR(INDEX(nombres[],SMALL(IF(OFFSET(nombres[],0,0,ROWS(nombres[]),1)=BP$1490,ROW(OFFSET(nombres[],0,0,ROWS(nombres[]),1))-ROW(OFFSET(nombres[],0,0,1,1))+1,ROW(OFFSET(nombres[],ROWS(nombres[])-1,0,1,1))+1),$O1540:$O1559),3),"")</f>
        <v>107</v>
      </c>
      <c r="BQ1540" s="42" t="str">
        <f t="array" aca="1" ref="BQ1540" ca="1">IFERROR(INDEX(nombres[],SMALL(IF(OFFSET(nombres[],0,0,ROWS(nombres[]),1)=BQ$1490,ROW(OFFSET(nombres[],0,0,ROWS(nombres[]),1))-ROW(OFFSET(nombres[],0,0,1,1))+1,ROW(OFFSET(nombres[],ROWS(nombres[])-1,0,1,1))+1),$O1540:$O1559),3),"")</f>
        <v/>
      </c>
      <c r="BR1540" s="42" t="str">
        <f t="array" aca="1" ref="BR1540" ca="1">IFERROR(INDEX(nombres[],SMALL(IF(OFFSET(nombres[],0,0,ROWS(nombres[]),1)=BR$1490,ROW(OFFSET(nombres[],0,0,ROWS(nombres[]),1))-ROW(OFFSET(nombres[],0,0,1,1))+1,ROW(OFFSET(nombres[],ROWS(nombres[])-1,0,1,1))+1),$O1540:$O1559),3),"")</f>
        <v/>
      </c>
      <c r="BS1540" s="42" t="str">
        <f t="array" aca="1" ref="BS1540" ca="1">IFERROR(INDEX(nombres[],SMALL(IF(OFFSET(nombres[],0,0,ROWS(nombres[]),1)=BS$1490,ROW(OFFSET(nombres[],0,0,ROWS(nombres[]),1))-ROW(OFFSET(nombres[],0,0,1,1))+1,ROW(OFFSET(nombres[],ROWS(nombres[])-1,0,1,1))+1),$O1540:$O1559),3),"")</f>
        <v/>
      </c>
      <c r="BT1540" s="42">
        <f t="array" aca="1" ref="BT1540" ca="1">IFERROR(INDEX(nombres[],SMALL(IF(OFFSET(nombres[],0,0,ROWS(nombres[]),1)=BT$1490,ROW(OFFSET(nombres[],0,0,ROWS(nombres[]),1))-ROW(OFFSET(nombres[],0,0,1,1))+1,ROW(OFFSET(nombres[],ROWS(nombres[])-1,0,1,1))+1),$O1540:$O1559),3),"")</f>
        <v>229</v>
      </c>
      <c r="BU1540" s="42" t="str">
        <f t="array" aca="1" ref="BU1540" ca="1">IFERROR(INDEX(nombres[],SMALL(IF(OFFSET(nombres[],0,0,ROWS(nombres[]),1)=BU$1490,ROW(OFFSET(nombres[],0,0,ROWS(nombres[]),1))-ROW(OFFSET(nombres[],0,0,1,1))+1,ROW(OFFSET(nombres[],ROWS(nombres[])-1,0,1,1))+1),$O1540:$O1559),3),"")</f>
        <v/>
      </c>
      <c r="BV1540" s="42" t="str">
        <f t="array" aca="1" ref="BV1540" ca="1">IFERROR(INDEX(nombres[],SMALL(IF(OFFSET(nombres[],0,0,ROWS(nombres[]),1)=BV$1490,ROW(OFFSET(nombres[],0,0,ROWS(nombres[]),1))-ROW(OFFSET(nombres[],0,0,1,1))+1,ROW(OFFSET(nombres[],ROWS(nombres[])-1,0,1,1))+1),$O1540:$O1559),3),"")</f>
        <v/>
      </c>
      <c r="BW1540" s="42" t="str">
        <f t="array" aca="1" ref="BW1540" ca="1">IFERROR(INDEX(nombres[],SMALL(IF(OFFSET(nombres[],0,0,ROWS(nombres[]),1)=BW$1490,ROW(OFFSET(nombres[],0,0,ROWS(nombres[]),1))-ROW(OFFSET(nombres[],0,0,1,1))+1,ROW(OFFSET(nombres[],ROWS(nombres[])-1,0,1,1))+1),$O1540:$O1559),3),"")</f>
        <v/>
      </c>
      <c r="BX1540" s="42" t="str">
        <f t="array" aca="1" ref="BX1540" ca="1">IFERROR(INDEX(nombres[],SMALL(IF(OFFSET(nombres[],0,0,ROWS(nombres[]),1)=BX$1490,ROW(OFFSET(nombres[],0,0,ROWS(nombres[]),1))-ROW(OFFSET(nombres[],0,0,1,1))+1,ROW(OFFSET(nombres[],ROWS(nombres[])-1,0,1,1))+1),$O1540:$O1559),3),"")</f>
        <v/>
      </c>
      <c r="BY1540" s="42" t="str">
        <f t="array" aca="1" ref="BY1540" ca="1">IFERROR(INDEX(nombres[],SMALL(IF(OFFSET(nombres[],0,0,ROWS(nombres[]),1)=BY$1490,ROW(OFFSET(nombres[],0,0,ROWS(nombres[]),1))-ROW(OFFSET(nombres[],0,0,1,1))+1,ROW(OFFSET(nombres[],ROWS(nombres[])-1,0,1,1))+1),$O1540:$O1559),3),"")</f>
        <v/>
      </c>
      <c r="BZ1540" s="42" t="str">
        <f t="array" aca="1" ref="BZ1540" ca="1">IFERROR(INDEX(nombres[],SMALL(IF(OFFSET(nombres[],0,0,ROWS(nombres[]),1)=BZ$1490,ROW(OFFSET(nombres[],0,0,ROWS(nombres[]),1))-ROW(OFFSET(nombres[],0,0,1,1))+1,ROW(OFFSET(nombres[],ROWS(nombres[])-1,0,1,1))+1),$O1540:$O1559),3),"")</f>
        <v/>
      </c>
      <c r="CA1540" s="42" t="str">
        <f t="array" aca="1" ref="CA1540" ca="1">IFERROR(INDEX(nombres[],SMALL(IF(OFFSET(nombres[],0,0,ROWS(nombres[]),1)=CA$1490,ROW(OFFSET(nombres[],0,0,ROWS(nombres[]),1))-ROW(OFFSET(nombres[],0,0,1,1))+1,ROW(OFFSET(nombres[],ROWS(nombres[])-1,0,1,1))+1),$O1540:$O1559),3),"")</f>
        <v/>
      </c>
      <c r="CB1540" s="42">
        <f t="array" aca="1" ref="CB1540" ca="1">IFERROR(INDEX(nombres[],SMALL(IF(OFFSET(nombres[],0,0,ROWS(nombres[]),1)=CB$1490,ROW(OFFSET(nombres[],0,0,ROWS(nombres[]),1))-ROW(OFFSET(nombres[],0,0,1,1))+1,ROW(OFFSET(nombres[],ROWS(nombres[])-1,0,1,1))+1),$O1540:$O1559),3),"")</f>
        <v>85</v>
      </c>
      <c r="CC1540" s="42" t="str">
        <f t="array" aca="1" ref="CC1540" ca="1">IFERROR(INDEX(nombres[],SMALL(IF(OFFSET(nombres[],0,0,ROWS(nombres[]),1)=CC$1490,ROW(OFFSET(nombres[],0,0,ROWS(nombres[]),1))-ROW(OFFSET(nombres[],0,0,1,1))+1,ROW(OFFSET(nombres[],ROWS(nombres[])-1,0,1,1))+1),$O1540:$O1559),3),"")</f>
        <v/>
      </c>
      <c r="CD1540" s="42" t="str">
        <f t="array" aca="1" ref="CD1540" ca="1">IFERROR(INDEX(nombres[],SMALL(IF(OFFSET(nombres[],0,0,ROWS(nombres[]),1)=CD$1490,ROW(OFFSET(nombres[],0,0,ROWS(nombres[]),1))-ROW(OFFSET(nombres[],0,0,1,1))+1,ROW(OFFSET(nombres[],ROWS(nombres[])-1,0,1,1))+1),$O1540:$O1559),3),"")</f>
        <v/>
      </c>
      <c r="CE1540" s="42" t="str">
        <f t="array" aca="1" ref="CE1540" ca="1">IFERROR(INDEX(nombres[],SMALL(IF(OFFSET(nombres[],0,0,ROWS(nombres[]),1)=CE$1490,ROW(OFFSET(nombres[],0,0,ROWS(nombres[]),1))-ROW(OFFSET(nombres[],0,0,1,1))+1,ROW(OFFSET(nombres[],ROWS(nombres[])-1,0,1,1))+1),$O1540:$O1559),3),"")</f>
        <v/>
      </c>
      <c r="CF1540" s="42" t="str">
        <f t="array" aca="1" ref="CF1540" ca="1">IFERROR(INDEX(nombres[],SMALL(IF(OFFSET(nombres[],0,0,ROWS(nombres[]),1)=CF$1490,ROW(OFFSET(nombres[],0,0,ROWS(nombres[]),1))-ROW(OFFSET(nombres[],0,0,1,1))+1,ROW(OFFSET(nombres[],ROWS(nombres[])-1,0,1,1))+1),$O1540:$O1559),3),"")</f>
        <v/>
      </c>
      <c r="CG1540" s="42" t="str">
        <f t="array" aca="1" ref="CG1540" ca="1">IFERROR(INDEX(nombres[],SMALL(IF(OFFSET(nombres[],0,0,ROWS(nombres[]),1)=CG$1490,ROW(OFFSET(nombres[],0,0,ROWS(nombres[]),1))-ROW(OFFSET(nombres[],0,0,1,1))+1,ROW(OFFSET(nombres[],ROWS(nombres[])-1,0,1,1))+1),$O1540:$O1559),3),"")</f>
        <v/>
      </c>
      <c r="CH1540" s="42" t="str">
        <f t="array" aca="1" ref="CH1540" ca="1">IFERROR(INDEX(nombres[],SMALL(IF(OFFSET(nombres[],0,0,ROWS(nombres[]),1)=CH$1490,ROW(OFFSET(nombres[],0,0,ROWS(nombres[]),1))-ROW(OFFSET(nombres[],0,0,1,1))+1,ROW(OFFSET(nombres[],ROWS(nombres[])-1,0,1,1))+1),$O1540:$O1559),3),"")</f>
        <v/>
      </c>
      <c r="CI1540" s="42" t="str">
        <f t="array" aca="1" ref="CI1540" ca="1">IFERROR(INDEX(nombres[],SMALL(IF(OFFSET(nombres[],0,0,ROWS(nombres[]),1)=CI$1490,ROW(OFFSET(nombres[],0,0,ROWS(nombres[]),1))-ROW(OFFSET(nombres[],0,0,1,1))+1,ROW(OFFSET(nombres[],ROWS(nombres[])-1,0,1,1))+1),$O1540:$O1559),3),"")</f>
        <v/>
      </c>
      <c r="CJ1540" s="42" t="str">
        <f t="array" aca="1" ref="CJ1540" ca="1">IFERROR(INDEX(nombres[],SMALL(IF(OFFSET(nombres[],0,0,ROWS(nombres[]),1)=CJ$1490,ROW(OFFSET(nombres[],0,0,ROWS(nombres[]),1))-ROW(OFFSET(nombres[],0,0,1,1))+1,ROW(OFFSET(nombres[],ROWS(nombres[])-1,0,1,1))+1),$O1540:$O1559),3),"")</f>
        <v/>
      </c>
      <c r="CK1540" s="42" t="str">
        <f t="array" aca="1" ref="CK1540" ca="1">IFERROR(INDEX(nombres[],SMALL(IF(OFFSET(nombres[],0,0,ROWS(nombres[]),1)=CK$1490,ROW(OFFSET(nombres[],0,0,ROWS(nombres[]),1))-ROW(OFFSET(nombres[],0,0,1,1))+1,ROW(OFFSET(nombres[],ROWS(nombres[])-1,0,1,1))+1),$O1540:$O1559),3),"")</f>
        <v/>
      </c>
      <c r="CL1540" s="42" t="str">
        <f t="array" aca="1" ref="CL1540" ca="1">IFERROR(INDEX(nombres[],SMALL(IF(OFFSET(nombres[],0,0,ROWS(nombres[]),1)=CL$1490,ROW(OFFSET(nombres[],0,0,ROWS(nombres[]),1))-ROW(OFFSET(nombres[],0,0,1,1))+1,ROW(OFFSET(nombres[],ROWS(nombres[])-1,0,1,1))+1),$O1540:$O1559),3),"")</f>
        <v/>
      </c>
      <c r="CM1540" s="42" t="str">
        <f t="array" aca="1" ref="CM1540" ca="1">IFERROR(INDEX(nombres[],SMALL(IF(OFFSET(nombres[],0,0,ROWS(nombres[]),1)=CM$1490,ROW(OFFSET(nombres[],0,0,ROWS(nombres[]),1))-ROW(OFFSET(nombres[],0,0,1,1))+1,ROW(OFFSET(nombres[],ROWS(nombres[])-1,0,1,1))+1),$O1540:$O1559),3),"")</f>
        <v/>
      </c>
      <c r="CN1540" s="42" t="str">
        <f t="array" aca="1" ref="CN1540" ca="1">IFERROR(INDEX(nombres[],SMALL(IF(OFFSET(nombres[],0,0,ROWS(nombres[]),1)=CN$1490,ROW(OFFSET(nombres[],0,0,ROWS(nombres[]),1))-ROW(OFFSET(nombres[],0,0,1,1))+1,ROW(OFFSET(nombres[],ROWS(nombres[])-1,0,1,1))+1),$O1540:$O1559),3),"")</f>
        <v/>
      </c>
      <c r="CO1540" s="42" t="str">
        <f t="array" aca="1" ref="CO1540" ca="1">IFERROR(INDEX(nombres[],SMALL(IF(OFFSET(nombres[],0,0,ROWS(nombres[]),1)=CO$1490,ROW(OFFSET(nombres[],0,0,ROWS(nombres[]),1))-ROW(OFFSET(nombres[],0,0,1,1))+1,ROW(OFFSET(nombres[],ROWS(nombres[])-1,0,1,1))+1),$O1540:$O1559),3),"")</f>
        <v/>
      </c>
      <c r="CP1540" s="42" t="str">
        <f t="array" aca="1" ref="CP1540" ca="1">IFERROR(INDEX(nombres[],SMALL(IF(OFFSET(nombres[],0,0,ROWS(nombres[]),1)=CP$1490,ROW(OFFSET(nombres[],0,0,ROWS(nombres[]),1))-ROW(OFFSET(nombres[],0,0,1,1))+1,ROW(OFFSET(nombres[],ROWS(nombres[])-1,0,1,1))+1),$O1540:$O1559),3),"")</f>
        <v/>
      </c>
      <c r="CQ1540" s="42" t="str">
        <f t="array" aca="1" ref="CQ1540" ca="1">IFERROR(INDEX(nombres[],SMALL(IF(OFFSET(nombres[],0,0,ROWS(nombres[]),1)=CQ$1490,ROW(OFFSET(nombres[],0,0,ROWS(nombres[]),1))-ROW(OFFSET(nombres[],0,0,1,1))+1,ROW(OFFSET(nombres[],ROWS(nombres[])-1,0,1,1))+1),$O1540:$O1559),3),"")</f>
        <v/>
      </c>
      <c r="CR1540" s="42" t="str">
        <f t="array" aca="1" ref="CR1540" ca="1">IFERROR(INDEX(nombres[],SMALL(IF(OFFSET(nombres[],0,0,ROWS(nombres[]),1)=CR$1490,ROW(OFFSET(nombres[],0,0,ROWS(nombres[]),1))-ROW(OFFSET(nombres[],0,0,1,1))+1,ROW(OFFSET(nombres[],ROWS(nombres[])-1,0,1,1))+1),$O1540:$O1559),3),"")</f>
        <v/>
      </c>
      <c r="CS1540" s="42" t="str">
        <f t="array" aca="1" ref="CS1540" ca="1">IFERROR(INDEX(nombres[],SMALL(IF(OFFSET(nombres[],0,0,ROWS(nombres[]),1)=CS$1490,ROW(OFFSET(nombres[],0,0,ROWS(nombres[]),1))-ROW(OFFSET(nombres[],0,0,1,1))+1,ROW(OFFSET(nombres[],ROWS(nombres[])-1,0,1,1))+1),$O1540:$O1559),3),"")</f>
        <v/>
      </c>
      <c r="CT1540" s="42" t="str">
        <f t="array" aca="1" ref="CT1540" ca="1">IFERROR(INDEX(nombres[],SMALL(IF(OFFSET(nombres[],0,0,ROWS(nombres[]),1)=CT$1490,ROW(OFFSET(nombres[],0,0,ROWS(nombres[]),1))-ROW(OFFSET(nombres[],0,0,1,1))+1,ROW(OFFSET(nombres[],ROWS(nombres[])-1,0,1,1))+1),$O1540:$O1559),3),"")</f>
        <v/>
      </c>
      <c r="CU1540" s="42" t="str">
        <f t="array" aca="1" ref="CU1540" ca="1">IFERROR(INDEX(nombres[],SMALL(IF(OFFSET(nombres[],0,0,ROWS(nombres[]),1)=CU$1490,ROW(OFFSET(nombres[],0,0,ROWS(nombres[]),1))-ROW(OFFSET(nombres[],0,0,1,1))+1,ROW(OFFSET(nombres[],ROWS(nombres[])-1,0,1,1))+1),$O1540:$O1559),3),"")</f>
        <v/>
      </c>
      <c r="CV1540" s="42" t="str">
        <f t="array" aca="1" ref="CV1540" ca="1">IFERROR(INDEX(nombres[],SMALL(IF(OFFSET(nombres[],0,0,ROWS(nombres[]),1)=CV$1490,ROW(OFFSET(nombres[],0,0,ROWS(nombres[]),1))-ROW(OFFSET(nombres[],0,0,1,1))+1,ROW(OFFSET(nombres[],ROWS(nombres[])-1,0,1,1))+1),$O1540:$O1559),3),"")</f>
        <v/>
      </c>
      <c r="CW1540" s="42" t="str">
        <f t="array" aca="1" ref="CW1540" ca="1">IFERROR(INDEX(nombres[],SMALL(IF(OFFSET(nombres[],0,0,ROWS(nombres[]),1)=CW$1490,ROW(OFFSET(nombres[],0,0,ROWS(nombres[]),1))-ROW(OFFSET(nombres[],0,0,1,1))+1,ROW(OFFSET(nombres[],ROWS(nombres[])-1,0,1,1))+1),$O1540:$O1559),3),"")</f>
        <v/>
      </c>
      <c r="CX1540" s="42" t="str">
        <f t="array" aca="1" ref="CX1540" ca="1">IFERROR(INDEX(nombres[],SMALL(IF(OFFSET(nombres[],0,0,ROWS(nombres[]),1)=CX$1490,ROW(OFFSET(nombres[],0,0,ROWS(nombres[]),1))-ROW(OFFSET(nombres[],0,0,1,1))+1,ROW(OFFSET(nombres[],ROWS(nombres[])-1,0,1,1))+1),$O1540:$O1559),3),"")</f>
        <v/>
      </c>
      <c r="CY1540" s="42" t="str">
        <f t="array" aca="1" ref="CY1540" ca="1">IFERROR(INDEX(nombres[],SMALL(IF(OFFSET(nombres[],0,0,ROWS(nombres[]),1)=CY$1490,ROW(OFFSET(nombres[],0,0,ROWS(nombres[]),1))-ROW(OFFSET(nombres[],0,0,1,1))+1,ROW(OFFSET(nombres[],ROWS(nombres[])-1,0,1,1))+1),$O1540:$O1559),3),"")</f>
        <v/>
      </c>
      <c r="CZ1540" s="42" t="str">
        <f t="array" aca="1" ref="CZ1540" ca="1">IFERROR(INDEX(nombres[],SMALL(IF(OFFSET(nombres[],0,0,ROWS(nombres[]),1)=CZ$1490,ROW(OFFSET(nombres[],0,0,ROWS(nombres[]),1))-ROW(OFFSET(nombres[],0,0,1,1))+1,ROW(OFFSET(nombres[],ROWS(nombres[])-1,0,1,1))+1),$O1540:$O1559),3),"")</f>
        <v/>
      </c>
      <c r="DA1540" s="42" t="str">
        <f t="array" aca="1" ref="DA1540" ca="1">IFERROR(INDEX(nombres[],SMALL(IF(OFFSET(nombres[],0,0,ROWS(nombres[]),1)=DA$1490,ROW(OFFSET(nombres[],0,0,ROWS(nombres[]),1))-ROW(OFFSET(nombres[],0,0,1,1))+1,ROW(OFFSET(nombres[],ROWS(nombres[])-1,0,1,1))+1),$O1540:$O1559),3),"")</f>
        <v/>
      </c>
      <c r="DB1540" s="42" t="str">
        <f t="array" aca="1" ref="DB1540" ca="1">IFERROR(INDEX(nombres[],SMALL(IF(OFFSET(nombres[],0,0,ROWS(nombres[]),1)=DB$1490,ROW(OFFSET(nombres[],0,0,ROWS(nombres[]),1))-ROW(OFFSET(nombres[],0,0,1,1))+1,ROW(OFFSET(nombres[],ROWS(nombres[])-1,0,1,1))+1),$O1540:$O1559),3),"")</f>
        <v/>
      </c>
      <c r="DC1540" s="42" t="str">
        <f t="array" aca="1" ref="DC1540" ca="1">IFERROR(INDEX(nombres[],SMALL(IF(OFFSET(nombres[],0,0,ROWS(nombres[]),1)=DC$1490,ROW(OFFSET(nombres[],0,0,ROWS(nombres[]),1))-ROW(OFFSET(nombres[],0,0,1,1))+1,ROW(OFFSET(nombres[],ROWS(nombres[])-1,0,1,1))+1),$O1540:$O1559),3),"")</f>
        <v/>
      </c>
      <c r="DD1540" s="42" t="str">
        <f t="array" aca="1" ref="DD1540" ca="1">IFERROR(INDEX(nombres[],SMALL(IF(OFFSET(nombres[],0,0,ROWS(nombres[]),1)=DD$1490,ROW(OFFSET(nombres[],0,0,ROWS(nombres[]),1))-ROW(OFFSET(nombres[],0,0,1,1))+1,ROW(OFFSET(nombres[],ROWS(nombres[])-1,0,1,1))+1),$O1540:$O1559),3),"")</f>
        <v/>
      </c>
      <c r="DE1540" s="42" t="str">
        <f t="array" aca="1" ref="DE1540" ca="1">IFERROR(INDEX(nombres[],SMALL(IF(OFFSET(nombres[],0,0,ROWS(nombres[]),1)=DE$1490,ROW(OFFSET(nombres[],0,0,ROWS(nombres[]),1))-ROW(OFFSET(nombres[],0,0,1,1))+1,ROW(OFFSET(nombres[],ROWS(nombres[])-1,0,1,1))+1),$O1540:$O1559),3),"")</f>
        <v/>
      </c>
      <c r="DF1540" s="42" t="str">
        <f t="array" aca="1" ref="DF1540" ca="1">IFERROR(INDEX(nombres[],SMALL(IF(OFFSET(nombres[],0,0,ROWS(nombres[]),1)=DF$1490,ROW(OFFSET(nombres[],0,0,ROWS(nombres[]),1))-ROW(OFFSET(nombres[],0,0,1,1))+1,ROW(OFFSET(nombres[],ROWS(nombres[])-1,0,1,1))+1),$O1540:$O1559),3),"")</f>
        <v/>
      </c>
      <c r="DG1540" s="42" t="str">
        <f t="array" aca="1" ref="DG1540" ca="1">IFERROR(INDEX(nombres[],SMALL(IF(OFFSET(nombres[],0,0,ROWS(nombres[]),1)=DG$1490,ROW(OFFSET(nombres[],0,0,ROWS(nombres[]),1))-ROW(OFFSET(nombres[],0,0,1,1))+1,ROW(OFFSET(nombres[],ROWS(nombres[])-1,0,1,1))+1),$O1540:$O1559),3),"")</f>
        <v/>
      </c>
      <c r="DH1540" s="42">
        <f t="array" aca="1" ref="DH1540" ca="1">IFERROR(INDEX(nombres[],SMALL(IF(OFFSET(nombres[],0,0,ROWS(nombres[]),1)=DH$1490,ROW(OFFSET(nombres[],0,0,ROWS(nombres[]),1))-ROW(OFFSET(nombres[],0,0,1,1))+1,ROW(OFFSET(nombres[],ROWS(nombres[])-1,0,1,1))+1),$O1540:$O1559),3),"")</f>
        <v>160</v>
      </c>
      <c r="DI1540" s="42" t="str">
        <f t="array" aca="1" ref="DI1540" ca="1">IFERROR(INDEX(nombres[],SMALL(IF(OFFSET(nombres[],0,0,ROWS(nombres[]),1)=DI$1490,ROW(OFFSET(nombres[],0,0,ROWS(nombres[]),1))-ROW(OFFSET(nombres[],0,0,1,1))+1,ROW(OFFSET(nombres[],ROWS(nombres[])-1,0,1,1))+1),$O1540:$O1559),3),"")</f>
        <v/>
      </c>
      <c r="DJ1540" s="42" t="str">
        <f t="array" aca="1" ref="DJ1540" ca="1">IFERROR(INDEX(nombres[],SMALL(IF(OFFSET(nombres[],0,0,ROWS(nombres[]),1)=DJ$1490,ROW(OFFSET(nombres[],0,0,ROWS(nombres[]),1))-ROW(OFFSET(nombres[],0,0,1,1))+1,ROW(OFFSET(nombres[],ROWS(nombres[])-1,0,1,1))+1),$O1540:$O1559),3),"")</f>
        <v/>
      </c>
      <c r="DK1540" s="42" t="str">
        <f t="array" aca="1" ref="DK1540" ca="1">IFERROR(INDEX(nombres[],SMALL(IF(OFFSET(nombres[],0,0,ROWS(nombres[]),1)=DK$1490,ROW(OFFSET(nombres[],0,0,ROWS(nombres[]),1))-ROW(OFFSET(nombres[],0,0,1,1))+1,ROW(OFFSET(nombres[],ROWS(nombres[])-1,0,1,1))+1),$O1540:$O1559),3),"")</f>
        <v/>
      </c>
      <c r="DL1540" s="42" t="str">
        <f t="array" aca="1" ref="DL1540" ca="1">IFERROR(INDEX(nombres[],SMALL(IF(OFFSET(nombres[],0,0,ROWS(nombres[]),1)=DL$1490,ROW(OFFSET(nombres[],0,0,ROWS(nombres[]),1))-ROW(OFFSET(nombres[],0,0,1,1))+1,ROW(OFFSET(nombres[],ROWS(nombres[])-1,0,1,1))+1),$O1540:$O1559),3),"")</f>
        <v/>
      </c>
      <c r="DM1540" s="42" t="str">
        <f t="array" aca="1" ref="DM1540" ca="1">IFERROR(INDEX(nombres[],SMALL(IF(OFFSET(nombres[],0,0,ROWS(nombres[]),1)=DM$1490,ROW(OFFSET(nombres[],0,0,ROWS(nombres[]),1))-ROW(OFFSET(nombres[],0,0,1,1))+1,ROW(OFFSET(nombres[],ROWS(nombres[])-1,0,1,1))+1),$O1540:$O1559),3),"")</f>
        <v/>
      </c>
      <c r="DN1540" s="42" t="str">
        <f t="array" aca="1" ref="DN1540" ca="1">IFERROR(INDEX(nombres[],SMALL(IF(OFFSET(nombres[],0,0,ROWS(nombres[]),1)=DN$1490,ROW(OFFSET(nombres[],0,0,ROWS(nombres[]),1))-ROW(OFFSET(nombres[],0,0,1,1))+1,ROW(OFFSET(nombres[],ROWS(nombres[])-1,0,1,1))+1),$O1540:$O1559),3),"")</f>
        <v/>
      </c>
      <c r="DO1540" s="42" t="str">
        <f t="array" aca="1" ref="DO1540" ca="1">IFERROR(INDEX(nombres[],SMALL(IF(OFFSET(nombres[],0,0,ROWS(nombres[]),1)=DO$1490,ROW(OFFSET(nombres[],0,0,ROWS(nombres[]),1))-ROW(OFFSET(nombres[],0,0,1,1))+1,ROW(OFFSET(nombres[],ROWS(nombres[])-1,0,1,1))+1),$O1540:$O1559),3),"")</f>
        <v/>
      </c>
      <c r="DP1540" s="42" t="str">
        <f t="array" aca="1" ref="DP1540" ca="1">IFERROR(INDEX(nombres[],SMALL(IF(OFFSET(nombres[],0,0,ROWS(nombres[]),1)=DP$1490,ROW(OFFSET(nombres[],0,0,ROWS(nombres[]),1))-ROW(OFFSET(nombres[],0,0,1,1))+1,ROW(OFFSET(nombres[],ROWS(nombres[])-1,0,1,1))+1),$O1540:$O1559),3),"")</f>
        <v/>
      </c>
      <c r="DQ1540" s="42" t="str">
        <f t="array" aca="1" ref="DQ1540" ca="1">IFERROR(INDEX(nombres[],SMALL(IF(OFFSET(nombres[],0,0,ROWS(nombres[]),1)=DQ$1490,ROW(OFFSET(nombres[],0,0,ROWS(nombres[]),1))-ROW(OFFSET(nombres[],0,0,1,1))+1,ROW(OFFSET(nombres[],ROWS(nombres[])-1,0,1,1))+1),$O1540:$O1559),3),"")</f>
        <v/>
      </c>
      <c r="DR1540" s="42" t="str">
        <f t="array" aca="1" ref="DR1540" ca="1">IFERROR(INDEX(nombres[],SMALL(IF(OFFSET(nombres[],0,0,ROWS(nombres[]),1)=DR$1490,ROW(OFFSET(nombres[],0,0,ROWS(nombres[]),1))-ROW(OFFSET(nombres[],0,0,1,1))+1,ROW(OFFSET(nombres[],ROWS(nombres[])-1,0,1,1))+1),$O1540:$O1559),3),"")</f>
        <v/>
      </c>
      <c r="DS1540" s="42">
        <f t="array" aca="1" ref="DS1540" ca="1">IFERROR(INDEX(nombres[],SMALL(IF(OFFSET(nombres[],0,0,ROWS(nombres[]),1)=DS$1490,ROW(OFFSET(nombres[],0,0,ROWS(nombres[]),1))-ROW(OFFSET(nombres[],0,0,1,1))+1,ROW(OFFSET(nombres[],ROWS(nombres[])-1,0,1,1))+1),$O1540:$O1559),3),"")</f>
        <v>171</v>
      </c>
      <c r="DT1540" s="42" t="str">
        <f t="array" aca="1" ref="DT1540" ca="1">IFERROR(INDEX(nombres[],SMALL(IF(OFFSET(nombres[],0,0,ROWS(nombres[]),1)=DT$1490,ROW(OFFSET(nombres[],0,0,ROWS(nombres[]),1))-ROW(OFFSET(nombres[],0,0,1,1))+1,ROW(OFFSET(nombres[],ROWS(nombres[])-1,0,1,1))+1),$O1540:$O1559),3),"")</f>
        <v/>
      </c>
      <c r="DU1540" s="42" t="str">
        <f t="array" aca="1" ref="DU1540" ca="1">IFERROR(INDEX(nombres[],SMALL(IF(OFFSET(nombres[],0,0,ROWS(nombres[]),1)=DU$1490,ROW(OFFSET(nombres[],0,0,ROWS(nombres[]),1))-ROW(OFFSET(nombres[],0,0,1,1))+1,ROW(OFFSET(nombres[],ROWS(nombres[])-1,0,1,1))+1),$O1540:$O1559),3),"")</f>
        <v/>
      </c>
      <c r="DV1540" s="42" t="str">
        <f t="array" aca="1" ref="DV1540" ca="1">IFERROR(INDEX(nombres[],SMALL(IF(OFFSET(nombres[],0,0,ROWS(nombres[]),1)=DV$1490,ROW(OFFSET(nombres[],0,0,ROWS(nombres[]),1))-ROW(OFFSET(nombres[],0,0,1,1))+1,ROW(OFFSET(nombres[],ROWS(nombres[])-1,0,1,1))+1),$O1540:$O1559),3),"")</f>
        <v/>
      </c>
      <c r="DW1540" s="42" t="str">
        <f t="array" aca="1" ref="DW1540" ca="1">IFERROR(INDEX(nombres[],SMALL(IF(OFFSET(nombres[],0,0,ROWS(nombres[]),1)=DW$1490,ROW(OFFSET(nombres[],0,0,ROWS(nombres[]),1))-ROW(OFFSET(nombres[],0,0,1,1))+1,ROW(OFFSET(nombres[],ROWS(nombres[])-1,0,1,1))+1),$O1540:$O1559),3),"")</f>
        <v/>
      </c>
      <c r="DX1540" s="42" t="str">
        <f t="array" aca="1" ref="DX1540" ca="1">IFERROR(INDEX(nombres[],SMALL(IF(OFFSET(nombres[],0,0,ROWS(nombres[]),1)=DX$1490,ROW(OFFSET(nombres[],0,0,ROWS(nombres[]),1))-ROW(OFFSET(nombres[],0,0,1,1))+1,ROW(OFFSET(nombres[],ROWS(nombres[])-1,0,1,1))+1),$O1540:$O1559),3),"")</f>
        <v/>
      </c>
      <c r="DY1540" s="42" t="str">
        <f t="array" aca="1" ref="DY1540" ca="1">IFERROR(INDEX(nombres[],SMALL(IF(OFFSET(nombres[],0,0,ROWS(nombres[]),1)=DY$1490,ROW(OFFSET(nombres[],0,0,ROWS(nombres[]),1))-ROW(OFFSET(nombres[],0,0,1,1))+1,ROW(OFFSET(nombres[],ROWS(nombres[])-1,0,1,1))+1),$O1540:$O1559),3),"")</f>
        <v/>
      </c>
      <c r="DZ1540" s="42" t="str">
        <f t="array" aca="1" ref="DZ1540" ca="1">IFERROR(INDEX(nombres[],SMALL(IF(OFFSET(nombres[],0,0,ROWS(nombres[]),1)=DZ$1490,ROW(OFFSET(nombres[],0,0,ROWS(nombres[]),1))-ROW(OFFSET(nombres[],0,0,1,1))+1,ROW(OFFSET(nombres[],ROWS(nombres[])-1,0,1,1))+1),$O1540:$O1559),3),"")</f>
        <v/>
      </c>
      <c r="EA1540" s="42" t="str">
        <f t="array" aca="1" ref="EA1540" ca="1">IFERROR(INDEX(nombres[],SMALL(IF(OFFSET(nombres[],0,0,ROWS(nombres[]),1)=EA$1490,ROW(OFFSET(nombres[],0,0,ROWS(nombres[]),1))-ROW(OFFSET(nombres[],0,0,1,1))+1,ROW(OFFSET(nombres[],ROWS(nombres[])-1,0,1,1))+1),$O1540:$O1559),3),"")</f>
        <v/>
      </c>
      <c r="EB1540" s="42" t="str">
        <f t="array" aca="1" ref="EB1540" ca="1">IFERROR(INDEX(nombres[],SMALL(IF(OFFSET(nombres[],0,0,ROWS(nombres[]),1)=EB$1490,ROW(OFFSET(nombres[],0,0,ROWS(nombres[]),1))-ROW(OFFSET(nombres[],0,0,1,1))+1,ROW(OFFSET(nombres[],ROWS(nombres[])-1,0,1,1))+1),$O1540:$O1559),3),"")</f>
        <v/>
      </c>
      <c r="EC1540" s="42" t="str">
        <f t="array" aca="1" ref="EC1540" ca="1">IFERROR(INDEX(nombres[],SMALL(IF(OFFSET(nombres[],0,0,ROWS(nombres[]),1)=EC$1490,ROW(OFFSET(nombres[],0,0,ROWS(nombres[]),1))-ROW(OFFSET(nombres[],0,0,1,1))+1,ROW(OFFSET(nombres[],ROWS(nombres[])-1,0,1,1))+1),$O1540:$O1559),3),"")</f>
        <v/>
      </c>
      <c r="ED1540" s="42">
        <f t="array" aca="1" ref="ED1540" ca="1">IFERROR(INDEX(nombres[],SMALL(IF(OFFSET(nombres[],0,0,ROWS(nombres[]),1)=ED$1490,ROW(OFFSET(nombres[],0,0,ROWS(nombres[]),1))-ROW(OFFSET(nombres[],0,0,1,1))+1,ROW(OFFSET(nombres[],ROWS(nombres[])-1,0,1,1))+1),$O1540:$O1559),3),"")</f>
        <v>179</v>
      </c>
      <c r="EE1540" s="42" t="str">
        <f t="array" aca="1" ref="EE1540" ca="1">IFERROR(INDEX(nombres[],SMALL(IF(OFFSET(nombres[],0,0,ROWS(nombres[]),1)=EE$1490,ROW(OFFSET(nombres[],0,0,ROWS(nombres[]),1))-ROW(OFFSET(nombres[],0,0,1,1))+1,ROW(OFFSET(nombres[],ROWS(nombres[])-1,0,1,1))+1),$O1540:$O1559),3),"")</f>
        <v/>
      </c>
      <c r="EF1540" s="42" t="str">
        <f t="array" aca="1" ref="EF1540" ca="1">IFERROR(INDEX(nombres[],SMALL(IF(OFFSET(nombres[],0,0,ROWS(nombres[]),1)=EF$1490,ROW(OFFSET(nombres[],0,0,ROWS(nombres[]),1))-ROW(OFFSET(nombres[],0,0,1,1))+1,ROW(OFFSET(nombres[],ROWS(nombres[])-1,0,1,1))+1),$O1540:$O1559),3),"")</f>
        <v/>
      </c>
      <c r="EG1540" s="42" t="str">
        <f t="array" aca="1" ref="EG1540" ca="1">IFERROR(INDEX(nombres[],SMALL(IF(OFFSET(nombres[],0,0,ROWS(nombres[]),1)=EG$1490,ROW(OFFSET(nombres[],0,0,ROWS(nombres[]),1))-ROW(OFFSET(nombres[],0,0,1,1))+1,ROW(OFFSET(nombres[],ROWS(nombres[])-1,0,1,1))+1),$O1540:$O1559),3),"")</f>
        <v/>
      </c>
      <c r="EH1540" s="42" t="str">
        <f t="array" aca="1" ref="EH1540" ca="1">IFERROR(INDEX(nombres[],SMALL(IF(OFFSET(nombres[],0,0,ROWS(nombres[]),1)=EH$1490,ROW(OFFSET(nombres[],0,0,ROWS(nombres[]),1))-ROW(OFFSET(nombres[],0,0,1,1))+1,ROW(OFFSET(nombres[],ROWS(nombres[])-1,0,1,1))+1),$O1540:$O1559),3),"")</f>
        <v/>
      </c>
      <c r="EI1540" s="42" t="str">
        <f t="array" aca="1" ref="EI1540" ca="1">IFERROR(INDEX(nombres[],SMALL(IF(OFFSET(nombres[],0,0,ROWS(nombres[]),1)=EI$1490,ROW(OFFSET(nombres[],0,0,ROWS(nombres[]),1))-ROW(OFFSET(nombres[],0,0,1,1))+1,ROW(OFFSET(nombres[],ROWS(nombres[])-1,0,1,1))+1),$O1540:$O1559),3),"")</f>
        <v/>
      </c>
      <c r="EJ1540" s="42" t="str">
        <f t="array" aca="1" ref="EJ1540" ca="1">IFERROR(INDEX(nombres[],SMALL(IF(OFFSET(nombres[],0,0,ROWS(nombres[]),1)=EJ$1490,ROW(OFFSET(nombres[],0,0,ROWS(nombres[]),1))-ROW(OFFSET(nombres[],0,0,1,1))+1,ROW(OFFSET(nombres[],ROWS(nombres[])-1,0,1,1))+1),$O1540:$O1559),3),"")</f>
        <v/>
      </c>
      <c r="EK1540" s="42" t="str">
        <f t="array" aca="1" ref="EK1540" ca="1">IFERROR(INDEX(nombres[],SMALL(IF(OFFSET(nombres[],0,0,ROWS(nombres[]),1)=EK$1490,ROW(OFFSET(nombres[],0,0,ROWS(nombres[]),1))-ROW(OFFSET(nombres[],0,0,1,1))+1,ROW(OFFSET(nombres[],ROWS(nombres[])-1,0,1,1))+1),$O1540:$O1559),3),"")</f>
        <v/>
      </c>
      <c r="EL1540" s="42" t="str">
        <f t="array" aca="1" ref="EL1540" ca="1">IFERROR(INDEX(nombres[],SMALL(IF(OFFSET(nombres[],0,0,ROWS(nombres[]),1)=EL$1490,ROW(OFFSET(nombres[],0,0,ROWS(nombres[]),1))-ROW(OFFSET(nombres[],0,0,1,1))+1,ROW(OFFSET(nombres[],ROWS(nombres[])-1,0,1,1))+1),$O1540:$O1559),3),"")</f>
        <v/>
      </c>
      <c r="EM1540" s="42" t="str">
        <f t="array" aca="1" ref="EM1540" ca="1">IFERROR(INDEX(nombres[],SMALL(IF(OFFSET(nombres[],0,0,ROWS(nombres[]),1)=EM$1490,ROW(OFFSET(nombres[],0,0,ROWS(nombres[]),1))-ROW(OFFSET(nombres[],0,0,1,1))+1,ROW(OFFSET(nombres[],ROWS(nombres[])-1,0,1,1))+1),$O1540:$O1559),3),"")</f>
        <v/>
      </c>
      <c r="EN1540" s="42" t="str">
        <f t="array" aca="1" ref="EN1540" ca="1">IFERROR(INDEX(nombres[],SMALL(IF(OFFSET(nombres[],0,0,ROWS(nombres[]),1)=EN$1490,ROW(OFFSET(nombres[],0,0,ROWS(nombres[]),1))-ROW(OFFSET(nombres[],0,0,1,1))+1,ROW(OFFSET(nombres[],ROWS(nombres[])-1,0,1,1))+1),$O1540:$O1559),3),"")</f>
        <v/>
      </c>
      <c r="EO1540" s="42" t="str">
        <f t="array" aca="1" ref="EO1540" ca="1">IFERROR(INDEX(nombres[],SMALL(IF(OFFSET(nombres[],0,0,ROWS(nombres[]),1)=EO$1490,ROW(OFFSET(nombres[],0,0,ROWS(nombres[]),1))-ROW(OFFSET(nombres[],0,0,1,1))+1,ROW(OFFSET(nombres[],ROWS(nombres[])-1,0,1,1))+1),$O1540:$O1559),3),"")</f>
        <v/>
      </c>
      <c r="EP1540" s="42" t="str">
        <f t="array" aca="1" ref="EP1540" ca="1">IFERROR(INDEX(nombres[],SMALL(IF(OFFSET(nombres[],0,0,ROWS(nombres[]),1)=EP$1490,ROW(OFFSET(nombres[],0,0,ROWS(nombres[]),1))-ROW(OFFSET(nombres[],0,0,1,1))+1,ROW(OFFSET(nombres[],ROWS(nombres[])-1,0,1,1))+1),$O1540:$O1559),3),"")</f>
        <v/>
      </c>
      <c r="EQ1540" s="42">
        <f t="array" aca="1" ref="EQ1540" ca="1">IFERROR(INDEX(nombres[],SMALL(IF(OFFSET(nombres[],0,0,ROWS(nombres[]),1)=EQ$1490,ROW(OFFSET(nombres[],0,0,ROWS(nombres[]),1))-ROW(OFFSET(nombres[],0,0,1,1))+1,ROW(OFFSET(nombres[],ROWS(nombres[])-1,0,1,1))+1),$O1540:$O1559),3),"")</f>
        <v>197</v>
      </c>
      <c r="ER1540" s="42" t="str">
        <f t="array" aca="1" ref="ER1540" ca="1">IFERROR(INDEX(nombres[],SMALL(IF(OFFSET(nombres[],0,0,ROWS(nombres[]),1)=ER$1490,ROW(OFFSET(nombres[],0,0,ROWS(nombres[]),1))-ROW(OFFSET(nombres[],0,0,1,1))+1,ROW(OFFSET(nombres[],ROWS(nombres[])-1,0,1,1))+1),$O1540:$O1559),3),"")</f>
        <v/>
      </c>
      <c r="ES1540" s="42" t="str">
        <f t="array" aca="1" ref="ES1540" ca="1">IFERROR(INDEX(nombres[],SMALL(IF(OFFSET(nombres[],0,0,ROWS(nombres[]),1)=ES$1490,ROW(OFFSET(nombres[],0,0,ROWS(nombres[]),1))-ROW(OFFSET(nombres[],0,0,1,1))+1,ROW(OFFSET(nombres[],ROWS(nombres[])-1,0,1,1))+1),$O1540:$O1559),3),"")</f>
        <v/>
      </c>
      <c r="ET1540" s="42" t="str">
        <f t="array" aca="1" ref="ET1540" ca="1">IFERROR(INDEX(nombres[],SMALL(IF(OFFSET(nombres[],0,0,ROWS(nombres[]),1)=ET$1490,ROW(OFFSET(nombres[],0,0,ROWS(nombres[]),1))-ROW(OFFSET(nombres[],0,0,1,1))+1,ROW(OFFSET(nombres[],ROWS(nombres[])-1,0,1,1))+1),$O1540:$O1559),3),"")</f>
        <v/>
      </c>
      <c r="EU1540" s="42" t="str">
        <f t="array" aca="1" ref="EU1540" ca="1">IFERROR(INDEX(nombres[],SMALL(IF(OFFSET(nombres[],0,0,ROWS(nombres[]),1)=EU$1490,ROW(OFFSET(nombres[],0,0,ROWS(nombres[]),1))-ROW(OFFSET(nombres[],0,0,1,1))+1,ROW(OFFSET(nombres[],ROWS(nombres[])-1,0,1,1))+1),$O1540:$O1559),3),"")</f>
        <v/>
      </c>
      <c r="EV1540" s="42" t="str">
        <f t="array" aca="1" ref="EV1540" ca="1">IFERROR(INDEX(nombres[],SMALL(IF(OFFSET(nombres[],0,0,ROWS(nombres[]),1)=EV$1490,ROW(OFFSET(nombres[],0,0,ROWS(nombres[]),1))-ROW(OFFSET(nombres[],0,0,1,1))+1,ROW(OFFSET(nombres[],ROWS(nombres[])-1,0,1,1))+1),$O1540:$O1559),3),"")</f>
        <v/>
      </c>
      <c r="EW1540" s="42" t="str">
        <f t="array" aca="1" ref="EW1540" ca="1">IFERROR(INDEX(nombres[],SMALL(IF(OFFSET(nombres[],0,0,ROWS(nombres[]),1)=EW$1490,ROW(OFFSET(nombres[],0,0,ROWS(nombres[]),1))-ROW(OFFSET(nombres[],0,0,1,1))+1,ROW(OFFSET(nombres[],ROWS(nombres[])-1,0,1,1))+1),$O1540:$O1559),3),"")</f>
        <v/>
      </c>
      <c r="EX1540" s="42" t="str">
        <f t="array" aca="1" ref="EX1540" ca="1">IFERROR(INDEX(nombres[],SMALL(IF(OFFSET(nombres[],0,0,ROWS(nombres[]),1)=EX$1490,ROW(OFFSET(nombres[],0,0,ROWS(nombres[]),1))-ROW(OFFSET(nombres[],0,0,1,1))+1,ROW(OFFSET(nombres[],ROWS(nombres[])-1,0,1,1))+1),$O1540:$O1559),3),"")</f>
        <v/>
      </c>
      <c r="EY1540" s="42" t="str">
        <f t="array" aca="1" ref="EY1540" ca="1">IFERROR(INDEX(nombres[],SMALL(IF(OFFSET(nombres[],0,0,ROWS(nombres[]),1)=EY$1490,ROW(OFFSET(nombres[],0,0,ROWS(nombres[]),1))-ROW(OFFSET(nombres[],0,0,1,1))+1,ROW(OFFSET(nombres[],ROWS(nombres[])-1,0,1,1))+1),$O1540:$O1559),3),"")</f>
        <v/>
      </c>
      <c r="EZ1540" s="42" t="str">
        <f t="array" aca="1" ref="EZ1540" ca="1">IFERROR(INDEX(nombres[],SMALL(IF(OFFSET(nombres[],0,0,ROWS(nombres[]),1)=EZ$1490,ROW(OFFSET(nombres[],0,0,ROWS(nombres[]),1))-ROW(OFFSET(nombres[],0,0,1,1))+1,ROW(OFFSET(nombres[],ROWS(nombres[])-1,0,1,1))+1),$O1540:$O1559),3),"")</f>
        <v/>
      </c>
      <c r="FA1540" s="42">
        <f t="array" aca="1" ref="FA1540" ca="1">IFERROR(INDEX(nombres[],SMALL(IF(OFFSET(nombres[],0,0,ROWS(nombres[]),1)=FA$1490,ROW(OFFSET(nombres[],0,0,ROWS(nombres[]),1))-ROW(OFFSET(nombres[],0,0,1,1))+1,ROW(OFFSET(nombres[],ROWS(nombres[])-1,0,1,1))+1),$O1540:$O1559),3),"")</f>
        <v>213</v>
      </c>
      <c r="FB1540" s="42" t="str">
        <f t="array" aca="1" ref="FB1540" ca="1">IFERROR(INDEX(nombres[],SMALL(IF(OFFSET(nombres[],0,0,ROWS(nombres[]),1)=FB$1490,ROW(OFFSET(nombres[],0,0,ROWS(nombres[]),1))-ROW(OFFSET(nombres[],0,0,1,1))+1,ROW(OFFSET(nombres[],ROWS(nombres[])-1,0,1,1))+1),$O1540:$O1559),3),"")</f>
        <v/>
      </c>
      <c r="FC1540" s="42">
        <f t="array" aca="1" ref="FC1540" ca="1">IFERROR(INDEX(nombres[],SMALL(IF(OFFSET(nombres[],0,0,ROWS(nombres[]),1)=FC$1490,ROW(OFFSET(nombres[],0,0,ROWS(nombres[]),1))-ROW(OFFSET(nombres[],0,0,1,1))+1,ROW(OFFSET(nombres[],ROWS(nombres[])-1,0,1,1))+1),$O1540:$O1559),3),"")</f>
        <v>224</v>
      </c>
      <c r="FD1540" s="42" t="str">
        <f t="array" aca="1" ref="FD1540" ca="1">IFERROR(INDEX(nombres[],SMALL(IF(OFFSET(nombres[],0,0,ROWS(nombres[]),1)=FD$1490,ROW(OFFSET(nombres[],0,0,ROWS(nombres[]),1))-ROW(OFFSET(nombres[],0,0,1,1))+1,ROW(OFFSET(nombres[],ROWS(nombres[])-1,0,1,1))+1),$O1540:$O1559),3),"")</f>
        <v/>
      </c>
      <c r="FE1540" s="42">
        <f t="array" aca="1" ref="FE1540" ca="1">IFERROR(INDEX(nombres[],SMALL(IF(OFFSET(nombres[],0,0,ROWS(nombres[]),1)=FE$1490,ROW(OFFSET(nombres[],0,0,ROWS(nombres[]),1))-ROW(OFFSET(nombres[],0,0,1,1))+1,ROW(OFFSET(nombres[],ROWS(nombres[])-1,0,1,1))+1),$O1540:$O1559),3),"")</f>
        <v>217</v>
      </c>
      <c r="FF1540" s="42" t="str">
        <f t="array" aca="1" ref="FF1540" ca="1">IFERROR(INDEX(nombres[],SMALL(IF(OFFSET(nombres[],0,0,ROWS(nombres[]),1)=FF$1490,ROW(OFFSET(nombres[],0,0,ROWS(nombres[]),1))-ROW(OFFSET(nombres[],0,0,1,1))+1,ROW(OFFSET(nombres[],ROWS(nombres[])-1,0,1,1))+1),$O1540:$O1559),3),"")</f>
        <v/>
      </c>
      <c r="FG1540" s="42" t="str">
        <f t="array" aca="1" ref="FG1540" ca="1">IFERROR(INDEX(nombres[],SMALL(IF(OFFSET(nombres[],0,0,ROWS(nombres[]),1)=FG$1490,ROW(OFFSET(nombres[],0,0,ROWS(nombres[]),1))-ROW(OFFSET(nombres[],0,0,1,1))+1,ROW(OFFSET(nombres[],ROWS(nombres[])-1,0,1,1))+1),$O1540:$O1559),3),"")</f>
        <v/>
      </c>
      <c r="FH1540" s="42" t="str">
        <f t="array" aca="1" ref="FH1540" ca="1">IFERROR(INDEX(nombres[],SMALL(IF(OFFSET(nombres[],0,0,ROWS(nombres[]),1)=FH$1490,ROW(OFFSET(nombres[],0,0,ROWS(nombres[]),1))-ROW(OFFSET(nombres[],0,0,1,1))+1,ROW(OFFSET(nombres[],ROWS(nombres[])-1,0,1,1))+1),$O1540:$O1559),3),"")</f>
        <v/>
      </c>
      <c r="FI1540" s="42">
        <f t="array" aca="1" ref="FI1540" ca="1">IFERROR(INDEX(nombres[],SMALL(IF(OFFSET(nombres[],0,0,ROWS(nombres[]),1)=FI$1490,ROW(OFFSET(nombres[],0,0,ROWS(nombres[]),1))-ROW(OFFSET(nombres[],0,0,1,1))+1,ROW(OFFSET(nombres[],ROWS(nombres[])-1,0,1,1))+1),$O1540:$O1559),3),"")</f>
        <v>240</v>
      </c>
      <c r="FJ1540" s="42">
        <f t="array" aca="1" ref="FJ1540" ca="1">IFERROR(INDEX(nombres[],SMALL(IF(OFFSET(nombres[],0,0,ROWS(nombres[]),1)=FJ$1490,ROW(OFFSET(nombres[],0,0,ROWS(nombres[]),1))-ROW(OFFSET(nombres[],0,0,1,1))+1,ROW(OFFSET(nombres[],ROWS(nombres[])-1,0,1,1))+1),$O1540:$O1559),3),"")</f>
        <v>297</v>
      </c>
      <c r="FK1540" s="42">
        <f t="array" aca="1" ref="FK1540" ca="1">IFERROR(INDEX(nombres[],SMALL(IF(OFFSET(nombres[],0,0,ROWS(nombres[]),1)=FK$1490,ROW(OFFSET(nombres[],0,0,ROWS(nombres[]),1))-ROW(OFFSET(nombres[],0,0,1,1))+1,ROW(OFFSET(nombres[],ROWS(nombres[])-1,0,1,1))+1),$O1540:$O1559),3),"")</f>
        <v>550</v>
      </c>
      <c r="FL1540" s="42">
        <f t="array" aca="1" ref="FL1540" ca="1">IFERROR(INDEX(nombres[],SMALL(IF(OFFSET(nombres[],0,0,ROWS(nombres[]),1)=FL$1490,ROW(OFFSET(nombres[],0,0,ROWS(nombres[]),1))-ROW(OFFSET(nombres[],0,0,1,1))+1,ROW(OFFSET(nombres[],ROWS(nombres[])-1,0,1,1))+1),$O1540:$O1559),3),"")</f>
        <v>289</v>
      </c>
      <c r="FM1540" s="42" t="str">
        <f t="array" aca="1" ref="FM1540" ca="1">IFERROR(INDEX(nombres[],SMALL(IF(OFFSET(nombres[],0,0,ROWS(nombres[]),1)=FM$1490,ROW(OFFSET(nombres[],0,0,ROWS(nombres[]),1))-ROW(OFFSET(nombres[],0,0,1,1))+1,ROW(OFFSET(nombres[],ROWS(nombres[])-1,0,1,1))+1),$O1540:$O1559),3),"")</f>
        <v/>
      </c>
      <c r="FN1540" s="42" t="str">
        <f t="array" aca="1" ref="FN1540" ca="1">IFERROR(INDEX(nombres[],SMALL(IF(OFFSET(nombres[],0,0,ROWS(nombres[]),1)=FN$1490,ROW(OFFSET(nombres[],0,0,ROWS(nombres[]),1))-ROW(OFFSET(nombres[],0,0,1,1))+1,ROW(OFFSET(nombres[],ROWS(nombres[])-1,0,1,1))+1),$O1540:$O1559),3),"")</f>
        <v/>
      </c>
      <c r="FO1540" s="42" t="str">
        <f t="array" aca="1" ref="FO1540" ca="1">IFERROR(INDEX(nombres[],SMALL(IF(OFFSET(nombres[],0,0,ROWS(nombres[]),1)=FO$1490,ROW(OFFSET(nombres[],0,0,ROWS(nombres[]),1))-ROW(OFFSET(nombres[],0,0,1,1))+1,ROW(OFFSET(nombres[],ROWS(nombres[])-1,0,1,1))+1),$O1540:$O1559),3),"")</f>
        <v/>
      </c>
      <c r="FP1540" s="42" t="str">
        <f t="array" aca="1" ref="FP1540" ca="1">IFERROR(INDEX(nombres[],SMALL(IF(OFFSET(nombres[],0,0,ROWS(nombres[]),1)=FP$1490,ROW(OFFSET(nombres[],0,0,ROWS(nombres[]),1))-ROW(OFFSET(nombres[],0,0,1,1))+1,ROW(OFFSET(nombres[],ROWS(nombres[])-1,0,1,1))+1),$O1540:$O1559),3),"")</f>
        <v/>
      </c>
      <c r="FQ1540" s="42" t="str">
        <f t="array" aca="1" ref="FQ1540" ca="1">IFERROR(INDEX(nombres[],SMALL(IF(OFFSET(nombres[],0,0,ROWS(nombres[]),1)=FQ$1490,ROW(OFFSET(nombres[],0,0,ROWS(nombres[]),1))-ROW(OFFSET(nombres[],0,0,1,1))+1,ROW(OFFSET(nombres[],ROWS(nombres[])-1,0,1,1))+1),$O1540:$O1559),3),"")</f>
        <v/>
      </c>
      <c r="FR1540" s="42" t="str">
        <f t="array" aca="1" ref="FR1540" ca="1">IFERROR(INDEX(nombres[],SMALL(IF(OFFSET(nombres[],0,0,ROWS(nombres[]),1)=FR$1490,ROW(OFFSET(nombres[],0,0,ROWS(nombres[]),1))-ROW(OFFSET(nombres[],0,0,1,1))+1,ROW(OFFSET(nombres[],ROWS(nombres[])-1,0,1,1))+1),$O1540:$O1559),3),"")</f>
        <v/>
      </c>
      <c r="FS1540" s="42">
        <f t="array" aca="1" ref="FS1540" ca="1">IFERROR(INDEX(nombres[],SMALL(IF(OFFSET(nombres[],0,0,ROWS(nombres[]),1)=FS$1490,ROW(OFFSET(nombres[],0,0,ROWS(nombres[]),1))-ROW(OFFSET(nombres[],0,0,1,1))+1,ROW(OFFSET(nombres[],ROWS(nombres[])-1,0,1,1))+1),$O1540:$O1559),3),"")</f>
        <v>264</v>
      </c>
      <c r="FT1540" s="42" t="str">
        <f t="array" aca="1" ref="FT1540" ca="1">IFERROR(INDEX(nombres[],SMALL(IF(OFFSET(nombres[],0,0,ROWS(nombres[]),1)=FT$1490,ROW(OFFSET(nombres[],0,0,ROWS(nombres[]),1))-ROW(OFFSET(nombres[],0,0,1,1))+1,ROW(OFFSET(nombres[],ROWS(nombres[])-1,0,1,1))+1),$O1540:$O1559),3),"")</f>
        <v/>
      </c>
      <c r="FU1540" s="42" t="str">
        <f t="array" aca="1" ref="FU1540" ca="1">IFERROR(INDEX(nombres[],SMALL(IF(OFFSET(nombres[],0,0,ROWS(nombres[]),1)=FU$1490,ROW(OFFSET(nombres[],0,0,ROWS(nombres[]),1))-ROW(OFFSET(nombres[],0,0,1,1))+1,ROW(OFFSET(nombres[],ROWS(nombres[])-1,0,1,1))+1),$O1540:$O1559),3),"")</f>
        <v/>
      </c>
      <c r="FV1540" s="42" t="str">
        <f t="array" aca="1" ref="FV1540" ca="1">IFERROR(INDEX(nombres[],SMALL(IF(OFFSET(nombres[],0,0,ROWS(nombres[]),1)=FV$1490,ROW(OFFSET(nombres[],0,0,ROWS(nombres[]),1))-ROW(OFFSET(nombres[],0,0,1,1))+1,ROW(OFFSET(nombres[],ROWS(nombres[])-1,0,1,1))+1),$O1540:$O1559),3),"")</f>
        <v/>
      </c>
      <c r="FW1540" s="42" t="str">
        <f t="array" aca="1" ref="FW1540" ca="1">IFERROR(INDEX(nombres[],SMALL(IF(OFFSET(nombres[],0,0,ROWS(nombres[]),1)=FW$1490,ROW(OFFSET(nombres[],0,0,ROWS(nombres[]),1))-ROW(OFFSET(nombres[],0,0,1,1))+1,ROW(OFFSET(nombres[],ROWS(nombres[])-1,0,1,1))+1),$O1540:$O1559),3),"")</f>
        <v/>
      </c>
      <c r="FX1540" s="42">
        <f t="array" aca="1" ref="FX1540" ca="1">IFERROR(INDEX(nombres[],SMALL(IF(OFFSET(nombres[],0,0,ROWS(nombres[]),1)=FX$1490,ROW(OFFSET(nombres[],0,0,ROWS(nombres[]),1))-ROW(OFFSET(nombres[],0,0,1,1))+1,ROW(OFFSET(nombres[],ROWS(nombres[])-1,0,1,1))+1),$O1540:$O1559),3),"")</f>
        <v>242</v>
      </c>
      <c r="FY1540" s="42" t="str">
        <f t="array" aca="1" ref="FY1540" ca="1">IFERROR(INDEX(nombres[],SMALL(IF(OFFSET(nombres[],0,0,ROWS(nombres[]),1)=FY$1490,ROW(OFFSET(nombres[],0,0,ROWS(nombres[]),1))-ROW(OFFSET(nombres[],0,0,1,1))+1,ROW(OFFSET(nombres[],ROWS(nombres[])-1,0,1,1))+1),$O1540:$O1559),3),"")</f>
        <v/>
      </c>
      <c r="FZ1540" s="42">
        <f t="array" aca="1" ref="FZ1540" ca="1">IFERROR(INDEX(nombres[],SMALL(IF(OFFSET(nombres[],0,0,ROWS(nombres[]),1)=FZ$1490,ROW(OFFSET(nombres[],0,0,ROWS(nombres[]),1))-ROW(OFFSET(nombres[],0,0,1,1))+1,ROW(OFFSET(nombres[],ROWS(nombres[])-1,0,1,1))+1),$O1540:$O1559),3),"")</f>
        <v>244</v>
      </c>
      <c r="GA1540" s="42" t="str">
        <f t="array" aca="1" ref="GA1540" ca="1">IFERROR(INDEX(nombres[],SMALL(IF(OFFSET(nombres[],0,0,ROWS(nombres[]),1)=GA$1490,ROW(OFFSET(nombres[],0,0,ROWS(nombres[]),1))-ROW(OFFSET(nombres[],0,0,1,1))+1,ROW(OFFSET(nombres[],ROWS(nombres[])-1,0,1,1))+1),$O1540:$O1559),3),"")</f>
        <v/>
      </c>
      <c r="GB1540" s="42" t="str">
        <f t="array" aca="1" ref="GB1540" ca="1">IFERROR(INDEX(nombres[],SMALL(IF(OFFSET(nombres[],0,0,ROWS(nombres[]),1)=GB$1490,ROW(OFFSET(nombres[],0,0,ROWS(nombres[]),1))-ROW(OFFSET(nombres[],0,0,1,1))+1,ROW(OFFSET(nombres[],ROWS(nombres[])-1,0,1,1))+1),$O1540:$O1559),3),"")</f>
        <v/>
      </c>
      <c r="GC1540" s="42">
        <f t="array" aca="1" ref="GC1540" ca="1">IFERROR(INDEX(nombres[],SMALL(IF(OFFSET(nombres[],0,0,ROWS(nombres[]),1)=GC$1490,ROW(OFFSET(nombres[],0,0,ROWS(nombres[]),1))-ROW(OFFSET(nombres[],0,0,1,1))+1,ROW(OFFSET(nombres[],ROWS(nombres[])-1,0,1,1))+1),$O1540:$O1559),3),"")</f>
        <v>302</v>
      </c>
      <c r="GD1540" s="42" t="str">
        <f t="array" aca="1" ref="GD1540" ca="1">IFERROR(INDEX(nombres[],SMALL(IF(OFFSET(nombres[],0,0,ROWS(nombres[]),1)=GD$1490,ROW(OFFSET(nombres[],0,0,ROWS(nombres[]),1))-ROW(OFFSET(nombres[],0,0,1,1))+1,ROW(OFFSET(nombres[],ROWS(nombres[])-1,0,1,1))+1),$O1540:$O1559),3),"")</f>
        <v/>
      </c>
      <c r="GE1540" s="42" t="str">
        <f t="array" aca="1" ref="GE1540" ca="1">IFERROR(INDEX(nombres[],SMALL(IF(OFFSET(nombres[],0,0,ROWS(nombres[]),1)=GE$1490,ROW(OFFSET(nombres[],0,0,ROWS(nombres[]),1))-ROW(OFFSET(nombres[],0,0,1,1))+1,ROW(OFFSET(nombres[],ROWS(nombres[])-1,0,1,1))+1),$O1540:$O1559),3),"")</f>
        <v/>
      </c>
      <c r="GF1540" s="42">
        <f t="array" aca="1" ref="GF1540" ca="1">IFERROR(INDEX(nombres[],SMALL(IF(OFFSET(nombres[],0,0,ROWS(nombres[]),1)=GF$1490,ROW(OFFSET(nombres[],0,0,ROWS(nombres[]),1))-ROW(OFFSET(nombres[],0,0,1,1))+1,ROW(OFFSET(nombres[],ROWS(nombres[])-1,0,1,1))+1),$O1540:$O1559),3),"")</f>
        <v>251</v>
      </c>
      <c r="GG1540" s="42">
        <f t="array" aca="1" ref="GG1540" ca="1">IFERROR(INDEX(nombres[],SMALL(IF(OFFSET(nombres[],0,0,ROWS(nombres[]),1)=GG$1490,ROW(OFFSET(nombres[],0,0,ROWS(nombres[]),1))-ROW(OFFSET(nombres[],0,0,1,1))+1,ROW(OFFSET(nombres[],ROWS(nombres[])-1,0,1,1))+1),$O1540:$O1559),3),"")</f>
        <v>258</v>
      </c>
      <c r="GH1540" s="42" t="str">
        <f t="array" aca="1" ref="GH1540" ca="1">IFERROR(INDEX(nombres[],SMALL(IF(OFFSET(nombres[],0,0,ROWS(nombres[]),1)=GH$1490,ROW(OFFSET(nombres[],0,0,ROWS(nombres[]),1))-ROW(OFFSET(nombres[],0,0,1,1))+1,ROW(OFFSET(nombres[],ROWS(nombres[])-1,0,1,1))+1),$O1540:$O1559),3),"")</f>
        <v/>
      </c>
      <c r="GI1540" s="42">
        <f t="array" aca="1" ref="GI1540" ca="1">IFERROR(INDEX(nombres[],SMALL(IF(OFFSET(nombres[],0,0,ROWS(nombres[]),1)=GI$1490,ROW(OFFSET(nombres[],0,0,ROWS(nombres[]),1))-ROW(OFFSET(nombres[],0,0,1,1))+1,ROW(OFFSET(nombres[],ROWS(nombres[])-1,0,1,1))+1),$O1540:$O1559),3),"")</f>
        <v>547</v>
      </c>
      <c r="GJ1540" s="42" t="str">
        <f t="array" aca="1" ref="GJ1540" ca="1">IFERROR(INDEX(nombres[],SMALL(IF(OFFSET(nombres[],0,0,ROWS(nombres[]),1)=GJ$1490,ROW(OFFSET(nombres[],0,0,ROWS(nombres[]),1))-ROW(OFFSET(nombres[],0,0,1,1))+1,ROW(OFFSET(nombres[],ROWS(nombres[])-1,0,1,1))+1),$O1540:$O1559),3),"")</f>
        <v/>
      </c>
      <c r="GK1540" s="42" t="str">
        <f t="array" aca="1" ref="GK1540" ca="1">IFERROR(INDEX(nombres[],SMALL(IF(OFFSET(nombres[],0,0,ROWS(nombres[]),1)=GK$1490,ROW(OFFSET(nombres[],0,0,ROWS(nombres[]),1))-ROW(OFFSET(nombres[],0,0,1,1))+1,ROW(OFFSET(nombres[],ROWS(nombres[])-1,0,1,1))+1),$O1540:$O1559),3),"")</f>
        <v/>
      </c>
      <c r="GL1540" s="42" t="str">
        <f t="array" aca="1" ref="GL1540" ca="1">IFERROR(INDEX(nombres[],SMALL(IF(OFFSET(nombres[],0,0,ROWS(nombres[]),1)=GL$1490,ROW(OFFSET(nombres[],0,0,ROWS(nombres[]),1))-ROW(OFFSET(nombres[],0,0,1,1))+1,ROW(OFFSET(nombres[],ROWS(nombres[])-1,0,1,1))+1),$O1540:$O1559),3),"")</f>
        <v/>
      </c>
      <c r="GM1540" s="42" t="str">
        <f t="array" aca="1" ref="GM1540" ca="1">IFERROR(INDEX(nombres[],SMALL(IF(OFFSET(nombres[],0,0,ROWS(nombres[]),1)=GM$1490,ROW(OFFSET(nombres[],0,0,ROWS(nombres[]),1))-ROW(OFFSET(nombres[],0,0,1,1))+1,ROW(OFFSET(nombres[],ROWS(nombres[])-1,0,1,1))+1),$O1540:$O1559),3),"")</f>
        <v/>
      </c>
      <c r="GN1540" s="42" t="str">
        <f t="array" aca="1" ref="GN1540" ca="1">IFERROR(INDEX(nombres[],SMALL(IF(OFFSET(nombres[],0,0,ROWS(nombres[]),1)=GN$1490,ROW(OFFSET(nombres[],0,0,ROWS(nombres[]),1))-ROW(OFFSET(nombres[],0,0,1,1))+1,ROW(OFFSET(nombres[],ROWS(nombres[])-1,0,1,1))+1),$O1540:$O1559),3),"")</f>
        <v/>
      </c>
      <c r="GO1540" s="42" t="str">
        <f t="array" aca="1" ref="GO1540" ca="1">IFERROR(INDEX(nombres[],SMALL(IF(OFFSET(nombres[],0,0,ROWS(nombres[]),1)=GO$1490,ROW(OFFSET(nombres[],0,0,ROWS(nombres[]),1))-ROW(OFFSET(nombres[],0,0,1,1))+1,ROW(OFFSET(nombres[],ROWS(nombres[])-1,0,1,1))+1),$O1540:$O1559),3),"")</f>
        <v/>
      </c>
      <c r="GP1540" s="42" t="str">
        <f t="array" aca="1" ref="GP1540" ca="1">IFERROR(INDEX(nombres[],SMALL(IF(OFFSET(nombres[],0,0,ROWS(nombres[]),1)=GP$1490,ROW(OFFSET(nombres[],0,0,ROWS(nombres[]),1))-ROW(OFFSET(nombres[],0,0,1,1))+1,ROW(OFFSET(nombres[],ROWS(nombres[])-1,0,1,1))+1),$O1540:$O1559),3),"")</f>
        <v/>
      </c>
      <c r="GQ1540" s="42" t="str">
        <f t="array" aca="1" ref="GQ1540" ca="1">IFERROR(INDEX(nombres[],SMALL(IF(OFFSET(nombres[],0,0,ROWS(nombres[]),1)=GQ$1490,ROW(OFFSET(nombres[],0,0,ROWS(nombres[]),1))-ROW(OFFSET(nombres[],0,0,1,1))+1,ROW(OFFSET(nombres[],ROWS(nombres[])-1,0,1,1))+1),$O1540:$O1559),3),"")</f>
        <v/>
      </c>
      <c r="GR1540" s="42" t="str">
        <f t="array" aca="1" ref="GR1540" ca="1">IFERROR(INDEX(nombres[],SMALL(IF(OFFSET(nombres[],0,0,ROWS(nombres[]),1)=GR$1490,ROW(OFFSET(nombres[],0,0,ROWS(nombres[]),1))-ROW(OFFSET(nombres[],0,0,1,1))+1,ROW(OFFSET(nombres[],ROWS(nombres[])-1,0,1,1))+1),$O1540:$O1559),3),"")</f>
        <v/>
      </c>
      <c r="GS1540" s="42">
        <f t="array" aca="1" ref="GS1540" ca="1">IFERROR(INDEX(nombres[],SMALL(IF(OFFSET(nombres[],0,0,ROWS(nombres[]),1)=GS$1490,ROW(OFFSET(nombres[],0,0,ROWS(nombres[]),1))-ROW(OFFSET(nombres[],0,0,1,1))+1,ROW(OFFSET(nombres[],ROWS(nombres[])-1,0,1,1))+1),$O1540:$O1559),3),"")</f>
        <v>331</v>
      </c>
      <c r="GT1540" s="42" t="str">
        <f t="array" aca="1" ref="GT1540" ca="1">IFERROR(INDEX(nombres[],SMALL(IF(OFFSET(nombres[],0,0,ROWS(nombres[]),1)=GT$1490,ROW(OFFSET(nombres[],0,0,ROWS(nombres[]),1))-ROW(OFFSET(nombres[],0,0,1,1))+1,ROW(OFFSET(nombres[],ROWS(nombres[])-1,0,1,1))+1),$O1540:$O1559),3),"")</f>
        <v/>
      </c>
      <c r="GU1540" s="42" t="str">
        <f t="array" aca="1" ref="GU1540" ca="1">IFERROR(INDEX(nombres[],SMALL(IF(OFFSET(nombres[],0,0,ROWS(nombres[]),1)=GU$1490,ROW(OFFSET(nombres[],0,0,ROWS(nombres[]),1))-ROW(OFFSET(nombres[],0,0,1,1))+1,ROW(OFFSET(nombres[],ROWS(nombres[])-1,0,1,1))+1),$O1540:$O1559),3),"")</f>
        <v/>
      </c>
      <c r="GV1540" s="42">
        <f t="array" aca="1" ref="GV1540" ca="1">IFERROR(INDEX(nombres[],SMALL(IF(OFFSET(nombres[],0,0,ROWS(nombres[]),1)=GV$1490,ROW(OFFSET(nombres[],0,0,ROWS(nombres[]),1))-ROW(OFFSET(nombres[],0,0,1,1))+1,ROW(OFFSET(nombres[],ROWS(nombres[])-1,0,1,1))+1),$O1540:$O1559),3),"")</f>
        <v>342</v>
      </c>
      <c r="GW1540" s="42">
        <f t="array" aca="1" ref="GW1540" ca="1">IFERROR(INDEX(nombres[],SMALL(IF(OFFSET(nombres[],0,0,ROWS(nombres[]),1)=GW$1490,ROW(OFFSET(nombres[],0,0,ROWS(nombres[]),1))-ROW(OFFSET(nombres[],0,0,1,1))+1,ROW(OFFSET(nombres[],ROWS(nombres[])-1,0,1,1))+1),$O1540:$O1559),3),"")</f>
        <v>337</v>
      </c>
      <c r="GX1540" s="42" t="str">
        <f t="array" aca="1" ref="GX1540" ca="1">IFERROR(INDEX(nombres[],SMALL(IF(OFFSET(nombres[],0,0,ROWS(nombres[]),1)=GX$1490,ROW(OFFSET(nombres[],0,0,ROWS(nombres[]),1))-ROW(OFFSET(nombres[],0,0,1,1))+1,ROW(OFFSET(nombres[],ROWS(nombres[])-1,0,1,1))+1),$O1540:$O1559),3),"")</f>
        <v/>
      </c>
      <c r="GY1540" s="42" t="str">
        <f t="array" aca="1" ref="GY1540" ca="1">IFERROR(INDEX(nombres[],SMALL(IF(OFFSET(nombres[],0,0,ROWS(nombres[]),1)=GY$1490,ROW(OFFSET(nombres[],0,0,ROWS(nombres[]),1))-ROW(OFFSET(nombres[],0,0,1,1))+1,ROW(OFFSET(nombres[],ROWS(nombres[])-1,0,1,1))+1),$O1540:$O1559),3),"")</f>
        <v/>
      </c>
      <c r="GZ1540" s="42" t="str">
        <f t="array" aca="1" ref="GZ1540" ca="1">IFERROR(INDEX(nombres[],SMALL(IF(OFFSET(nombres[],0,0,ROWS(nombres[]),1)=GZ$1490,ROW(OFFSET(nombres[],0,0,ROWS(nombres[]),1))-ROW(OFFSET(nombres[],0,0,1,1))+1,ROW(OFFSET(nombres[],ROWS(nombres[])-1,0,1,1))+1),$O1540:$O1559),3),"")</f>
        <v/>
      </c>
      <c r="HA1540" s="42" t="str">
        <f t="array" aca="1" ref="HA1540" ca="1">IFERROR(INDEX(nombres[],SMALL(IF(OFFSET(nombres[],0,0,ROWS(nombres[]),1)=HA$1490,ROW(OFFSET(nombres[],0,0,ROWS(nombres[]),1))-ROW(OFFSET(nombres[],0,0,1,1))+1,ROW(OFFSET(nombres[],ROWS(nombres[])-1,0,1,1))+1),$O1540:$O1559),3),"")</f>
        <v/>
      </c>
      <c r="HB1540" s="42" t="str">
        <f t="array" aca="1" ref="HB1540" ca="1">IFERROR(INDEX(nombres[],SMALL(IF(OFFSET(nombres[],0,0,ROWS(nombres[]),1)=HB$1490,ROW(OFFSET(nombres[],0,0,ROWS(nombres[]),1))-ROW(OFFSET(nombres[],0,0,1,1))+1,ROW(OFFSET(nombres[],ROWS(nombres[])-1,0,1,1))+1),$O1540:$O1559),3),"")</f>
        <v/>
      </c>
      <c r="HC1540" s="42" t="str">
        <f t="array" aca="1" ref="HC1540" ca="1">IFERROR(INDEX(nombres[],SMALL(IF(OFFSET(nombres[],0,0,ROWS(nombres[]),1)=HC$1490,ROW(OFFSET(nombres[],0,0,ROWS(nombres[]),1))-ROW(OFFSET(nombres[],0,0,1,1))+1,ROW(OFFSET(nombres[],ROWS(nombres[])-1,0,1,1))+1),$O1540:$O1559),3),"")</f>
        <v/>
      </c>
      <c r="HD1540" s="42">
        <f t="array" aca="1" ref="HD1540" ca="1">IFERROR(INDEX(nombres[],SMALL(IF(OFFSET(nombres[],0,0,ROWS(nombres[]),1)=HD$1490,ROW(OFFSET(nombres[],0,0,ROWS(nombres[]),1))-ROW(OFFSET(nombres[],0,0,1,1))+1,ROW(OFFSET(nombres[],ROWS(nombres[])-1,0,1,1))+1),$O1540:$O1559),3),"")</f>
        <v>367</v>
      </c>
      <c r="HE1540" s="42" t="str">
        <f t="array" aca="1" ref="HE1540" ca="1">IFERROR(INDEX(nombres[],SMALL(IF(OFFSET(nombres[],0,0,ROWS(nombres[]),1)=HE$1490,ROW(OFFSET(nombres[],0,0,ROWS(nombres[]),1))-ROW(OFFSET(nombres[],0,0,1,1))+1,ROW(OFFSET(nombres[],ROWS(nombres[])-1,0,1,1))+1),$O1540:$O1559),3),"")</f>
        <v/>
      </c>
      <c r="HF1540" s="42" t="str">
        <f t="array" aca="1" ref="HF1540" ca="1">IFERROR(INDEX(nombres[],SMALL(IF(OFFSET(nombres[],0,0,ROWS(nombres[]),1)=HF$1490,ROW(OFFSET(nombres[],0,0,ROWS(nombres[]),1))-ROW(OFFSET(nombres[],0,0,1,1))+1,ROW(OFFSET(nombres[],ROWS(nombres[])-1,0,1,1))+1),$O1540:$O1559),3),"")</f>
        <v/>
      </c>
      <c r="HG1540" s="42" t="str">
        <f t="array" aca="1" ref="HG1540" ca="1">IFERROR(INDEX(nombres[],SMALL(IF(OFFSET(nombres[],0,0,ROWS(nombres[]),1)=HG$1490,ROW(OFFSET(nombres[],0,0,ROWS(nombres[]),1))-ROW(OFFSET(nombres[],0,0,1,1))+1,ROW(OFFSET(nombres[],ROWS(nombres[])-1,0,1,1))+1),$O1540:$O1559),3),"")</f>
        <v/>
      </c>
      <c r="HH1540" s="42" t="str">
        <f t="array" aca="1" ref="HH1540" ca="1">IFERROR(INDEX(nombres[],SMALL(IF(OFFSET(nombres[],0,0,ROWS(nombres[]),1)=HH$1490,ROW(OFFSET(nombres[],0,0,ROWS(nombres[]),1))-ROW(OFFSET(nombres[],0,0,1,1))+1,ROW(OFFSET(nombres[],ROWS(nombres[])-1,0,1,1))+1),$O1540:$O1559),3),"")</f>
        <v/>
      </c>
      <c r="HI1540" s="42" t="str">
        <f t="array" aca="1" ref="HI1540" ca="1">IFERROR(INDEX(nombres[],SMALL(IF(OFFSET(nombres[],0,0,ROWS(nombres[]),1)=HI$1490,ROW(OFFSET(nombres[],0,0,ROWS(nombres[]),1))-ROW(OFFSET(nombres[],0,0,1,1))+1,ROW(OFFSET(nombres[],ROWS(nombres[])-1,0,1,1))+1),$O1540:$O1559),3),"")</f>
        <v/>
      </c>
      <c r="HJ1540" s="42" t="str">
        <f t="array" aca="1" ref="HJ1540" ca="1">IFERROR(INDEX(nombres[],SMALL(IF(OFFSET(nombres[],0,0,ROWS(nombres[]),1)=HJ$1490,ROW(OFFSET(nombres[],0,0,ROWS(nombres[]),1))-ROW(OFFSET(nombres[],0,0,1,1))+1,ROW(OFFSET(nombres[],ROWS(nombres[])-1,0,1,1))+1),$O1540:$O1559),3),"")</f>
        <v/>
      </c>
      <c r="HK1540" s="42" t="str">
        <f t="array" aca="1" ref="HK1540" ca="1">IFERROR(INDEX(nombres[],SMALL(IF(OFFSET(nombres[],0,0,ROWS(nombres[]),1)=HK$1490,ROW(OFFSET(nombres[],0,0,ROWS(nombres[]),1))-ROW(OFFSET(nombres[],0,0,1,1))+1,ROW(OFFSET(nombres[],ROWS(nombres[])-1,0,1,1))+1),$O1540:$O1559),3),"")</f>
        <v/>
      </c>
      <c r="HL1540" s="42" t="str">
        <f t="array" aca="1" ref="HL1540" ca="1">IFERROR(INDEX(nombres[],SMALL(IF(OFFSET(nombres[],0,0,ROWS(nombres[]),1)=HL$1490,ROW(OFFSET(nombres[],0,0,ROWS(nombres[]),1))-ROW(OFFSET(nombres[],0,0,1,1))+1,ROW(OFFSET(nombres[],ROWS(nombres[])-1,0,1,1))+1),$O1540:$O1559),3),"")</f>
        <v/>
      </c>
      <c r="HM1540" s="42">
        <f t="array" aca="1" ref="HM1540" ca="1">IFERROR(INDEX(nombres[],SMALL(IF(OFFSET(nombres[],0,0,ROWS(nombres[]),1)=HM$1490,ROW(OFFSET(nombres[],0,0,ROWS(nombres[]),1))-ROW(OFFSET(nombres[],0,0,1,1))+1,ROW(OFFSET(nombres[],ROWS(nombres[])-1,0,1,1))+1),$O1540:$O1559),3),"")</f>
        <v>353</v>
      </c>
      <c r="HN1540" s="42" t="str">
        <f t="array" aca="1" ref="HN1540" ca="1">IFERROR(INDEX(nombres[],SMALL(IF(OFFSET(nombres[],0,0,ROWS(nombres[]),1)=HN$1490,ROW(OFFSET(nombres[],0,0,ROWS(nombres[]),1))-ROW(OFFSET(nombres[],0,0,1,1))+1,ROW(OFFSET(nombres[],ROWS(nombres[])-1,0,1,1))+1),$O1540:$O1559),3),"")</f>
        <v/>
      </c>
      <c r="HO1540" s="42" t="str">
        <f t="array" aca="1" ref="HO1540" ca="1">IFERROR(INDEX(nombres[],SMALL(IF(OFFSET(nombres[],0,0,ROWS(nombres[]),1)=HO$1490,ROW(OFFSET(nombres[],0,0,ROWS(nombres[]),1))-ROW(OFFSET(nombres[],0,0,1,1))+1,ROW(OFFSET(nombres[],ROWS(nombres[])-1,0,1,1))+1),$O1540:$O1559),3),"")</f>
        <v/>
      </c>
      <c r="HP1540" s="42">
        <f t="array" aca="1" ref="HP1540" ca="1">IFERROR(INDEX(nombres[],SMALL(IF(OFFSET(nombres[],0,0,ROWS(nombres[]),1)=HP$1490,ROW(OFFSET(nombres[],0,0,ROWS(nombres[]),1))-ROW(OFFSET(nombres[],0,0,1,1))+1,ROW(OFFSET(nombres[],ROWS(nombres[])-1,0,1,1))+1),$O1540:$O1559),3),"")</f>
        <v>381</v>
      </c>
      <c r="HQ1540" s="42" t="str">
        <f t="array" aca="1" ref="HQ1540" ca="1">IFERROR(INDEX(nombres[],SMALL(IF(OFFSET(nombres[],0,0,ROWS(nombres[]),1)=HQ$1490,ROW(OFFSET(nombres[],0,0,ROWS(nombres[]),1))-ROW(OFFSET(nombres[],0,0,1,1))+1,ROW(OFFSET(nombres[],ROWS(nombres[])-1,0,1,1))+1),$O1540:$O1559),3),"")</f>
        <v/>
      </c>
      <c r="HR1540" s="42" t="str">
        <f t="array" aca="1" ref="HR1540" ca="1">IFERROR(INDEX(nombres[],SMALL(IF(OFFSET(nombres[],0,0,ROWS(nombres[]),1)=HR$1490,ROW(OFFSET(nombres[],0,0,ROWS(nombres[]),1))-ROW(OFFSET(nombres[],0,0,1,1))+1,ROW(OFFSET(nombres[],ROWS(nombres[])-1,0,1,1))+1),$O1540:$O1559),3),"")</f>
        <v/>
      </c>
      <c r="HS1540" s="42" t="str">
        <f t="array" aca="1" ref="HS1540" ca="1">IFERROR(INDEX(nombres[],SMALL(IF(OFFSET(nombres[],0,0,ROWS(nombres[]),1)=HS$1490,ROW(OFFSET(nombres[],0,0,ROWS(nombres[]),1))-ROW(OFFSET(nombres[],0,0,1,1))+1,ROW(OFFSET(nombres[],ROWS(nombres[])-1,0,1,1))+1),$O1540:$O1559),3),"")</f>
        <v/>
      </c>
      <c r="HT1540" s="42" t="str">
        <f t="array" aca="1" ref="HT1540" ca="1">IFERROR(INDEX(nombres[],SMALL(IF(OFFSET(nombres[],0,0,ROWS(nombres[]),1)=HT$1490,ROW(OFFSET(nombres[],0,0,ROWS(nombres[]),1))-ROW(OFFSET(nombres[],0,0,1,1))+1,ROW(OFFSET(nombres[],ROWS(nombres[])-1,0,1,1))+1),$O1540:$O1559),3),"")</f>
        <v/>
      </c>
      <c r="HU1540" s="42" t="str">
        <f t="array" aca="1" ref="HU1540" ca="1">IFERROR(INDEX(nombres[],SMALL(IF(OFFSET(nombres[],0,0,ROWS(nombres[]),1)=HU$1490,ROW(OFFSET(nombres[],0,0,ROWS(nombres[]),1))-ROW(OFFSET(nombres[],0,0,1,1))+1,ROW(OFFSET(nombres[],ROWS(nombres[])-1,0,1,1))+1),$O1540:$O1559),3),"")</f>
        <v/>
      </c>
      <c r="HV1540" s="42" t="str">
        <f t="array" aca="1" ref="HV1540" ca="1">IFERROR(INDEX(nombres[],SMALL(IF(OFFSET(nombres[],0,0,ROWS(nombres[]),1)=HV$1490,ROW(OFFSET(nombres[],0,0,ROWS(nombres[]),1))-ROW(OFFSET(nombres[],0,0,1,1))+1,ROW(OFFSET(nombres[],ROWS(nombres[])-1,0,1,1))+1),$O1540:$O1559),3),"")</f>
        <v/>
      </c>
      <c r="HW1540" s="42" t="str">
        <f t="array" aca="1" ref="HW1540" ca="1">IFERROR(INDEX(nombres[],SMALL(IF(OFFSET(nombres[],0,0,ROWS(nombres[]),1)=HW$1490,ROW(OFFSET(nombres[],0,0,ROWS(nombres[]),1))-ROW(OFFSET(nombres[],0,0,1,1))+1,ROW(OFFSET(nombres[],ROWS(nombres[])-1,0,1,1))+1),$O1540:$O1559),3),"")</f>
        <v/>
      </c>
      <c r="HX1540" s="42" t="str">
        <f t="array" aca="1" ref="HX1540" ca="1">IFERROR(INDEX(nombres[],SMALL(IF(OFFSET(nombres[],0,0,ROWS(nombres[]),1)=HX$1490,ROW(OFFSET(nombres[],0,0,ROWS(nombres[]),1))-ROW(OFFSET(nombres[],0,0,1,1))+1,ROW(OFFSET(nombres[],ROWS(nombres[])-1,0,1,1))+1),$O1540:$O1559),3),"")</f>
        <v/>
      </c>
      <c r="HY1540" s="42" t="str">
        <f t="array" aca="1" ref="HY1540" ca="1">IFERROR(INDEX(nombres[],SMALL(IF(OFFSET(nombres[],0,0,ROWS(nombres[]),1)=HY$1490,ROW(OFFSET(nombres[],0,0,ROWS(nombres[]),1))-ROW(OFFSET(nombres[],0,0,1,1))+1,ROW(OFFSET(nombres[],ROWS(nombres[])-1,0,1,1))+1),$O1540:$O1559),3),"")</f>
        <v/>
      </c>
      <c r="HZ1540" s="42" t="str">
        <f t="array" aca="1" ref="HZ1540" ca="1">IFERROR(INDEX(nombres[],SMALL(IF(OFFSET(nombres[],0,0,ROWS(nombres[]),1)=HZ$1490,ROW(OFFSET(nombres[],0,0,ROWS(nombres[]),1))-ROW(OFFSET(nombres[],0,0,1,1))+1,ROW(OFFSET(nombres[],ROWS(nombres[])-1,0,1,1))+1),$O1540:$O1559),3),"")</f>
        <v/>
      </c>
      <c r="IA1540" s="42" t="str">
        <f t="array" aca="1" ref="IA1540" ca="1">IFERROR(INDEX(nombres[],SMALL(IF(OFFSET(nombres[],0,0,ROWS(nombres[]),1)=IA$1490,ROW(OFFSET(nombres[],0,0,ROWS(nombres[]),1))-ROW(OFFSET(nombres[],0,0,1,1))+1,ROW(OFFSET(nombres[],ROWS(nombres[])-1,0,1,1))+1),$O1540:$O1559),3),"")</f>
        <v/>
      </c>
      <c r="IB1540" s="42">
        <f t="array" aca="1" ref="IB1540" ca="1">IFERROR(INDEX(nombres[],SMALL(IF(OFFSET(nombres[],0,0,ROWS(nombres[]),1)=IB$1490,ROW(OFFSET(nombres[],0,0,ROWS(nombres[]),1))-ROW(OFFSET(nombres[],0,0,1,1))+1,ROW(OFFSET(nombres[],ROWS(nombres[])-1,0,1,1))+1),$O1540:$O1559),3),"")</f>
        <v>390</v>
      </c>
      <c r="IC1540" s="42" t="str">
        <f t="array" aca="1" ref="IC1540" ca="1">IFERROR(INDEX(nombres[],SMALL(IF(OFFSET(nombres[],0,0,ROWS(nombres[]),1)=IC$1490,ROW(OFFSET(nombres[],0,0,ROWS(nombres[]),1))-ROW(OFFSET(nombres[],0,0,1,1))+1,ROW(OFFSET(nombres[],ROWS(nombres[])-1,0,1,1))+1),$O1540:$O1559),3),"")</f>
        <v/>
      </c>
      <c r="ID1540" s="42" t="str">
        <f t="array" aca="1" ref="ID1540" ca="1">IFERROR(INDEX(nombres[],SMALL(IF(OFFSET(nombres[],0,0,ROWS(nombres[]),1)=ID$1490,ROW(OFFSET(nombres[],0,0,ROWS(nombres[]),1))-ROW(OFFSET(nombres[],0,0,1,1))+1,ROW(OFFSET(nombres[],ROWS(nombres[])-1,0,1,1))+1),$O1540:$O1559),3),"")</f>
        <v/>
      </c>
      <c r="IE1540" s="42">
        <f t="array" aca="1" ref="IE1540" ca="1">IFERROR(INDEX(nombres[],SMALL(IF(OFFSET(nombres[],0,0,ROWS(nombres[]),1)=IE$1490,ROW(OFFSET(nombres[],0,0,ROWS(nombres[]),1))-ROW(OFFSET(nombres[],0,0,1,1))+1,ROW(OFFSET(nombres[],ROWS(nombres[])-1,0,1,1))+1),$O1540:$O1559),3),"")</f>
        <v>416</v>
      </c>
      <c r="IF1540" s="42" t="str">
        <f t="array" aca="1" ref="IF1540" ca="1">IFERROR(INDEX(nombres[],SMALL(IF(OFFSET(nombres[],0,0,ROWS(nombres[]),1)=IF$1490,ROW(OFFSET(nombres[],0,0,ROWS(nombres[]),1))-ROW(OFFSET(nombres[],0,0,1,1))+1,ROW(OFFSET(nombres[],ROWS(nombres[])-1,0,1,1))+1),$O1540:$O1559),3),"")</f>
        <v/>
      </c>
      <c r="IG1540" s="42" t="str">
        <f t="array" aca="1" ref="IG1540" ca="1">IFERROR(INDEX(nombres[],SMALL(IF(OFFSET(nombres[],0,0,ROWS(nombres[]),1)=IG$1490,ROW(OFFSET(nombres[],0,0,ROWS(nombres[]),1))-ROW(OFFSET(nombres[],0,0,1,1))+1,ROW(OFFSET(nombres[],ROWS(nombres[])-1,0,1,1))+1),$O1540:$O1559),3),"")</f>
        <v/>
      </c>
      <c r="IH1540" s="42" t="str">
        <f t="array" aca="1" ref="IH1540" ca="1">IFERROR(INDEX(nombres[],SMALL(IF(OFFSET(nombres[],0,0,ROWS(nombres[]),1)=IH$1490,ROW(OFFSET(nombres[],0,0,ROWS(nombres[]),1))-ROW(OFFSET(nombres[],0,0,1,1))+1,ROW(OFFSET(nombres[],ROWS(nombres[])-1,0,1,1))+1),$O1540:$O1559),3),"")</f>
        <v/>
      </c>
      <c r="II1540" s="42" t="str">
        <f t="array" aca="1" ref="II1540" ca="1">IFERROR(INDEX(nombres[],SMALL(IF(OFFSET(nombres[],0,0,ROWS(nombres[]),1)=II$1490,ROW(OFFSET(nombres[],0,0,ROWS(nombres[]),1))-ROW(OFFSET(nombres[],0,0,1,1))+1,ROW(OFFSET(nombres[],ROWS(nombres[])-1,0,1,1))+1),$O1540:$O1559),3),"")</f>
        <v/>
      </c>
      <c r="IJ1540" s="42">
        <f t="array" aca="1" ref="IJ1540" ca="1">IFERROR(INDEX(nombres[],SMALL(IF(OFFSET(nombres[],0,0,ROWS(nombres[]),1)=IJ$1490,ROW(OFFSET(nombres[],0,0,ROWS(nombres[]),1))-ROW(OFFSET(nombres[],0,0,1,1))+1,ROW(OFFSET(nombres[],ROWS(nombres[])-1,0,1,1))+1),$O1540:$O1559),3),"")</f>
        <v>396</v>
      </c>
      <c r="IK1540" s="42" t="str">
        <f t="array" aca="1" ref="IK1540" ca="1">IFERROR(INDEX(nombres[],SMALL(IF(OFFSET(nombres[],0,0,ROWS(nombres[]),1)=IK$1490,ROW(OFFSET(nombres[],0,0,ROWS(nombres[]),1))-ROW(OFFSET(nombres[],0,0,1,1))+1,ROW(OFFSET(nombres[],ROWS(nombres[])-1,0,1,1))+1),$O1540:$O1559),3),"")</f>
        <v/>
      </c>
      <c r="IL1540" s="42" t="str">
        <f t="array" aca="1" ref="IL1540" ca="1">IFERROR(INDEX(nombres[],SMALL(IF(OFFSET(nombres[],0,0,ROWS(nombres[]),1)=IL$1490,ROW(OFFSET(nombres[],0,0,ROWS(nombres[]),1))-ROW(OFFSET(nombres[],0,0,1,1))+1,ROW(OFFSET(nombres[],ROWS(nombres[])-1,0,1,1))+1),$O1540:$O1559),3),"")</f>
        <v/>
      </c>
      <c r="IM1540" s="42" t="str">
        <f t="array" aca="1" ref="IM1540" ca="1">IFERROR(INDEX(nombres[],SMALL(IF(OFFSET(nombres[],0,0,ROWS(nombres[]),1)=IM$1490,ROW(OFFSET(nombres[],0,0,ROWS(nombres[]),1))-ROW(OFFSET(nombres[],0,0,1,1))+1,ROW(OFFSET(nombres[],ROWS(nombres[])-1,0,1,1))+1),$O1540:$O1559),3),"")</f>
        <v/>
      </c>
      <c r="IN1540" s="42" t="str">
        <f t="array" aca="1" ref="IN1540" ca="1">IFERROR(INDEX(nombres[],SMALL(IF(OFFSET(nombres[],0,0,ROWS(nombres[]),1)=IN$1490,ROW(OFFSET(nombres[],0,0,ROWS(nombres[]),1))-ROW(OFFSET(nombres[],0,0,1,1))+1,ROW(OFFSET(nombres[],ROWS(nombres[])-1,0,1,1))+1),$O1540:$O1559),3),"")</f>
        <v/>
      </c>
      <c r="IO1540" s="42" t="str">
        <f t="array" aca="1" ref="IO1540" ca="1">IFERROR(INDEX(nombres[],SMALL(IF(OFFSET(nombres[],0,0,ROWS(nombres[]),1)=IO$1490,ROW(OFFSET(nombres[],0,0,ROWS(nombres[]),1))-ROW(OFFSET(nombres[],0,0,1,1))+1,ROW(OFFSET(nombres[],ROWS(nombres[])-1,0,1,1))+1),$O1540:$O1559),3),"")</f>
        <v/>
      </c>
      <c r="IP1540" s="42" t="str">
        <f t="array" aca="1" ref="IP1540" ca="1">IFERROR(INDEX(nombres[],SMALL(IF(OFFSET(nombres[],0,0,ROWS(nombres[]),1)=IP$1490,ROW(OFFSET(nombres[],0,0,ROWS(nombres[]),1))-ROW(OFFSET(nombres[],0,0,1,1))+1,ROW(OFFSET(nombres[],ROWS(nombres[])-1,0,1,1))+1),$O1540:$O1559),3),"")</f>
        <v/>
      </c>
      <c r="IQ1540" s="42" t="str">
        <f t="array" aca="1" ref="IQ1540" ca="1">IFERROR(INDEX(nombres[],SMALL(IF(OFFSET(nombres[],0,0,ROWS(nombres[]),1)=IQ$1490,ROW(OFFSET(nombres[],0,0,ROWS(nombres[]),1))-ROW(OFFSET(nombres[],0,0,1,1))+1,ROW(OFFSET(nombres[],ROWS(nombres[])-1,0,1,1))+1),$O1540:$O1559),3),"")</f>
        <v/>
      </c>
      <c r="IR1540" s="42" t="str">
        <f t="array" aca="1" ref="IR1540" ca="1">IFERROR(INDEX(nombres[],SMALL(IF(OFFSET(nombres[],0,0,ROWS(nombres[]),1)=IR$1490,ROW(OFFSET(nombres[],0,0,ROWS(nombres[]),1))-ROW(OFFSET(nombres[],0,0,1,1))+1,ROW(OFFSET(nombres[],ROWS(nombres[])-1,0,1,1))+1),$O1540:$O1559),3),"")</f>
        <v/>
      </c>
      <c r="IS1540" s="42" t="str">
        <f t="array" aca="1" ref="IS1540" ca="1">IFERROR(INDEX(nombres[],SMALL(IF(OFFSET(nombres[],0,0,ROWS(nombres[]),1)=IS$1490,ROW(OFFSET(nombres[],0,0,ROWS(nombres[]),1))-ROW(OFFSET(nombres[],0,0,1,1))+1,ROW(OFFSET(nombres[],ROWS(nombres[])-1,0,1,1))+1),$O1540:$O1559),3),"")</f>
        <v/>
      </c>
      <c r="IT1540" s="42">
        <f t="array" aca="1" ref="IT1540" ca="1">IFERROR(INDEX(nombres[],SMALL(IF(OFFSET(nombres[],0,0,ROWS(nombres[]),1)=IT$1490,ROW(OFFSET(nombres[],0,0,ROWS(nombres[]),1))-ROW(OFFSET(nombres[],0,0,1,1))+1,ROW(OFFSET(nombres[],ROWS(nombres[])-1,0,1,1))+1),$O1540:$O1559),3),"")</f>
        <v>403</v>
      </c>
      <c r="IU1540" s="42" t="str">
        <f t="array" aca="1" ref="IU1540" ca="1">IFERROR(INDEX(nombres[],SMALL(IF(OFFSET(nombres[],0,0,ROWS(nombres[]),1)=IU$1490,ROW(OFFSET(nombres[],0,0,ROWS(nombres[]),1))-ROW(OFFSET(nombres[],0,0,1,1))+1,ROW(OFFSET(nombres[],ROWS(nombres[])-1,0,1,1))+1),$O1540:$O1559),3),"")</f>
        <v/>
      </c>
      <c r="IV1540" s="42" t="str">
        <f t="array" aca="1" ref="IV1540" ca="1">IFERROR(INDEX(nombres[],SMALL(IF(OFFSET(nombres[],0,0,ROWS(nombres[]),1)=IV$1490,ROW(OFFSET(nombres[],0,0,ROWS(nombres[]),1))-ROW(OFFSET(nombres[],0,0,1,1))+1,ROW(OFFSET(nombres[],ROWS(nombres[])-1,0,1,1))+1),$O1540:$O1559),3),"")</f>
        <v/>
      </c>
      <c r="IW1540" s="42" t="str">
        <f t="array" aca="1" ref="IW1540" ca="1">IFERROR(INDEX(nombres[],SMALL(IF(OFFSET(nombres[],0,0,ROWS(nombres[]),1)=IW$1490,ROW(OFFSET(nombres[],0,0,ROWS(nombres[]),1))-ROW(OFFSET(nombres[],0,0,1,1))+1,ROW(OFFSET(nombres[],ROWS(nombres[])-1,0,1,1))+1),$O1540:$O1559),3),"")</f>
        <v/>
      </c>
      <c r="IX1540" s="42" t="str">
        <f t="array" aca="1" ref="IX1540" ca="1">IFERROR(INDEX(nombres[],SMALL(IF(OFFSET(nombres[],0,0,ROWS(nombres[]),1)=IX$1490,ROW(OFFSET(nombres[],0,0,ROWS(nombres[]),1))-ROW(OFFSET(nombres[],0,0,1,1))+1,ROW(OFFSET(nombres[],ROWS(nombres[])-1,0,1,1))+1),$O1540:$O1559),3),"")</f>
        <v/>
      </c>
      <c r="IY1540" s="42" t="str">
        <f t="array" aca="1" ref="IY1540" ca="1">IFERROR(INDEX(nombres[],SMALL(IF(OFFSET(nombres[],0,0,ROWS(nombres[]),1)=IY$1490,ROW(OFFSET(nombres[],0,0,ROWS(nombres[]),1))-ROW(OFFSET(nombres[],0,0,1,1))+1,ROW(OFFSET(nombres[],ROWS(nombres[])-1,0,1,1))+1),$O1540:$O1559),3),"")</f>
        <v/>
      </c>
      <c r="IZ1540" s="42">
        <f t="array" aca="1" ref="IZ1540" ca="1">IFERROR(INDEX(nombres[],SMALL(IF(OFFSET(nombres[],0,0,ROWS(nombres[]),1)=IZ$1490,ROW(OFFSET(nombres[],0,0,ROWS(nombres[]),1))-ROW(OFFSET(nombres[],0,0,1,1))+1,ROW(OFFSET(nombres[],ROWS(nombres[])-1,0,1,1))+1),$O1540:$O1559),3),"")</f>
        <v>576</v>
      </c>
      <c r="JA1540" s="42" t="str">
        <f t="array" aca="1" ref="JA1540" ca="1">IFERROR(INDEX(nombres[],SMALL(IF(OFFSET(nombres[],0,0,ROWS(nombres[]),1)=JA$1490,ROW(OFFSET(nombres[],0,0,ROWS(nombres[]),1))-ROW(OFFSET(nombres[],0,0,1,1))+1,ROW(OFFSET(nombres[],ROWS(nombres[])-1,0,1,1))+1),$O1540:$O1559),3),"")</f>
        <v/>
      </c>
      <c r="JB1540" s="42">
        <f t="array" aca="1" ref="JB1540" ca="1">IFERROR(INDEX(nombres[],SMALL(IF(OFFSET(nombres[],0,0,ROWS(nombres[]),1)=JB$1490,ROW(OFFSET(nombres[],0,0,ROWS(nombres[]),1))-ROW(OFFSET(nombres[],0,0,1,1))+1,ROW(OFFSET(nombres[],ROWS(nombres[])-1,0,1,1))+1),$O1540:$O1559),3),"")</f>
        <v>432</v>
      </c>
      <c r="JC1540" s="42" t="str">
        <f t="array" aca="1" ref="JC1540" ca="1">IFERROR(INDEX(nombres[],SMALL(IF(OFFSET(nombres[],0,0,ROWS(nombres[]),1)=JC$1490,ROW(OFFSET(nombres[],0,0,ROWS(nombres[]),1))-ROW(OFFSET(nombres[],0,0,1,1))+1,ROW(OFFSET(nombres[],ROWS(nombres[])-1,0,1,1))+1),$O1540:$O1559),3),"")</f>
        <v/>
      </c>
      <c r="JD1540" s="42" t="str">
        <f t="array" aca="1" ref="JD1540" ca="1">IFERROR(INDEX(nombres[],SMALL(IF(OFFSET(nombres[],0,0,ROWS(nombres[]),1)=JD$1490,ROW(OFFSET(nombres[],0,0,ROWS(nombres[]),1))-ROW(OFFSET(nombres[],0,0,1,1))+1,ROW(OFFSET(nombres[],ROWS(nombres[])-1,0,1,1))+1),$O1540:$O1559),3),"")</f>
        <v/>
      </c>
      <c r="JE1540" s="42" t="str">
        <f t="array" aca="1" ref="JE1540" ca="1">IFERROR(INDEX(nombres[],SMALL(IF(OFFSET(nombres[],0,0,ROWS(nombres[]),1)=JE$1490,ROW(OFFSET(nombres[],0,0,ROWS(nombres[]),1))-ROW(OFFSET(nombres[],0,0,1,1))+1,ROW(OFFSET(nombres[],ROWS(nombres[])-1,0,1,1))+1),$O1540:$O1559),3),"")</f>
        <v/>
      </c>
      <c r="JF1540" s="42" t="str">
        <f t="array" aca="1" ref="JF1540" ca="1">IFERROR(INDEX(nombres[],SMALL(IF(OFFSET(nombres[],0,0,ROWS(nombres[]),1)=JF$1490,ROW(OFFSET(nombres[],0,0,ROWS(nombres[]),1))-ROW(OFFSET(nombres[],0,0,1,1))+1,ROW(OFFSET(nombres[],ROWS(nombres[])-1,0,1,1))+1),$O1540:$O1559),3),"")</f>
        <v/>
      </c>
      <c r="JG1540" s="42" t="str">
        <f t="array" aca="1" ref="JG1540" ca="1">IFERROR(INDEX(nombres[],SMALL(IF(OFFSET(nombres[],0,0,ROWS(nombres[]),1)=JG$1490,ROW(OFFSET(nombres[],0,0,ROWS(nombres[]),1))-ROW(OFFSET(nombres[],0,0,1,1))+1,ROW(OFFSET(nombres[],ROWS(nombres[])-1,0,1,1))+1),$O1540:$O1559),3),"")</f>
        <v/>
      </c>
      <c r="JH1540" s="42">
        <f t="array" aca="1" ref="JH1540" ca="1">IFERROR(INDEX(nombres[],SMALL(IF(OFFSET(nombres[],0,0,ROWS(nombres[]),1)=JH$1490,ROW(OFFSET(nombres[],0,0,ROWS(nombres[]),1))-ROW(OFFSET(nombres[],0,0,1,1))+1,ROW(OFFSET(nombres[],ROWS(nombres[])-1,0,1,1))+1),$O1540:$O1559),3),"")</f>
        <v>646</v>
      </c>
      <c r="JI1540" s="42" t="str">
        <f t="array" aca="1" ref="JI1540" ca="1">IFERROR(INDEX(nombres[],SMALL(IF(OFFSET(nombres[],0,0,ROWS(nombres[]),1)=JI$1490,ROW(OFFSET(nombres[],0,0,ROWS(nombres[]),1))-ROW(OFFSET(nombres[],0,0,1,1))+1,ROW(OFFSET(nombres[],ROWS(nombres[])-1,0,1,1))+1),$O1540:$O1559),3),"")</f>
        <v/>
      </c>
      <c r="JJ1540" s="42" t="str">
        <f t="array" aca="1" ref="JJ1540" ca="1">IFERROR(INDEX(nombres[],SMALL(IF(OFFSET(nombres[],0,0,ROWS(nombres[]),1)=JJ$1490,ROW(OFFSET(nombres[],0,0,ROWS(nombres[]),1))-ROW(OFFSET(nombres[],0,0,1,1))+1,ROW(OFFSET(nombres[],ROWS(nombres[])-1,0,1,1))+1),$O1540:$O1559),3),"")</f>
        <v/>
      </c>
      <c r="JK1540" s="42" t="str">
        <f t="array" aca="1" ref="JK1540" ca="1">IFERROR(INDEX(nombres[],SMALL(IF(OFFSET(nombres[],0,0,ROWS(nombres[]),1)=JK$1490,ROW(OFFSET(nombres[],0,0,ROWS(nombres[]),1))-ROW(OFFSET(nombres[],0,0,1,1))+1,ROW(OFFSET(nombres[],ROWS(nombres[])-1,0,1,1))+1),$O1540:$O1559),3),"")</f>
        <v/>
      </c>
      <c r="JL1540" s="42" t="str">
        <f t="array" aca="1" ref="JL1540" ca="1">IFERROR(INDEX(nombres[],SMALL(IF(OFFSET(nombres[],0,0,ROWS(nombres[]),1)=JL$1490,ROW(OFFSET(nombres[],0,0,ROWS(nombres[]),1))-ROW(OFFSET(nombres[],0,0,1,1))+1,ROW(OFFSET(nombres[],ROWS(nombres[])-1,0,1,1))+1),$O1540:$O1559),3),"")</f>
        <v/>
      </c>
      <c r="JM1540" s="42" t="str">
        <f t="array" aca="1" ref="JM1540" ca="1">IFERROR(INDEX(nombres[],SMALL(IF(OFFSET(nombres[],0,0,ROWS(nombres[]),1)=JM$1490,ROW(OFFSET(nombres[],0,0,ROWS(nombres[]),1))-ROW(OFFSET(nombres[],0,0,1,1))+1,ROW(OFFSET(nombres[],ROWS(nombres[])-1,0,1,1))+1),$O1540:$O1559),3),"")</f>
        <v/>
      </c>
      <c r="JN1540" s="42" t="str">
        <f t="array" aca="1" ref="JN1540" ca="1">IFERROR(INDEX(nombres[],SMALL(IF(OFFSET(nombres[],0,0,ROWS(nombres[]),1)=JN$1490,ROW(OFFSET(nombres[],0,0,ROWS(nombres[]),1))-ROW(OFFSET(nombres[],0,0,1,1))+1,ROW(OFFSET(nombres[],ROWS(nombres[])-1,0,1,1))+1),$O1540:$O1559),3),"")</f>
        <v/>
      </c>
      <c r="JO1540" s="42" t="str">
        <f t="array" aca="1" ref="JO1540" ca="1">IFERROR(INDEX(nombres[],SMALL(IF(OFFSET(nombres[],0,0,ROWS(nombres[]),1)=JO$1490,ROW(OFFSET(nombres[],0,0,ROWS(nombres[]),1))-ROW(OFFSET(nombres[],0,0,1,1))+1,ROW(OFFSET(nombres[],ROWS(nombres[])-1,0,1,1))+1),$O1540:$O1559),3),"")</f>
        <v/>
      </c>
      <c r="JP1540" s="42" t="str">
        <f t="array" aca="1" ref="JP1540" ca="1">IFERROR(INDEX(nombres[],SMALL(IF(OFFSET(nombres[],0,0,ROWS(nombres[]),1)=JP$1490,ROW(OFFSET(nombres[],0,0,ROWS(nombres[]),1))-ROW(OFFSET(nombres[],0,0,1,1))+1,ROW(OFFSET(nombres[],ROWS(nombres[])-1,0,1,1))+1),$O1540:$O1559),3),"")</f>
        <v/>
      </c>
      <c r="JQ1540" s="42">
        <f t="array" aca="1" ref="JQ1540" ca="1">IFERROR(INDEX(nombres[],SMALL(IF(OFFSET(nombres[],0,0,ROWS(nombres[]),1)=JQ$1490,ROW(OFFSET(nombres[],0,0,ROWS(nombres[]),1))-ROW(OFFSET(nombres[],0,0,1,1))+1,ROW(OFFSET(nombres[],ROWS(nombres[])-1,0,1,1))+1),$O1540:$O1559),3),"")</f>
        <v>585</v>
      </c>
      <c r="JR1540" s="42" t="str">
        <f t="array" aca="1" ref="JR1540" ca="1">IFERROR(INDEX(nombres[],SMALL(IF(OFFSET(nombres[],0,0,ROWS(nombres[]),1)=JR$1490,ROW(OFFSET(nombres[],0,0,ROWS(nombres[]),1))-ROW(OFFSET(nombres[],0,0,1,1))+1,ROW(OFFSET(nombres[],ROWS(nombres[])-1,0,1,1))+1),$O1540:$O1559),3),"")</f>
        <v/>
      </c>
      <c r="JS1540" s="42">
        <f t="array" aca="1" ref="JS1540" ca="1">IFERROR(INDEX(nombres[],SMALL(IF(OFFSET(nombres[],0,0,ROWS(nombres[]),1)=JS$1490,ROW(OFFSET(nombres[],0,0,ROWS(nombres[]),1))-ROW(OFFSET(nombres[],0,0,1,1))+1,ROW(OFFSET(nombres[],ROWS(nombres[])-1,0,1,1))+1),$O1540:$O1559),3),"")</f>
        <v>565</v>
      </c>
      <c r="JT1540" s="42" t="str">
        <f t="array" aca="1" ref="JT1540" ca="1">IFERROR(INDEX(nombres[],SMALL(IF(OFFSET(nombres[],0,0,ROWS(nombres[]),1)=JT$1490,ROW(OFFSET(nombres[],0,0,ROWS(nombres[]),1))-ROW(OFFSET(nombres[],0,0,1,1))+1,ROW(OFFSET(nombres[],ROWS(nombres[])-1,0,1,1))+1),$O1540:$O1559),3),"")</f>
        <v/>
      </c>
      <c r="JU1540" s="42" t="str">
        <f t="array" aca="1" ref="JU1540" ca="1">IFERROR(INDEX(nombres[],SMALL(IF(OFFSET(nombres[],0,0,ROWS(nombres[]),1)=JU$1490,ROW(OFFSET(nombres[],0,0,ROWS(nombres[]),1))-ROW(OFFSET(nombres[],0,0,1,1))+1,ROW(OFFSET(nombres[],ROWS(nombres[])-1,0,1,1))+1),$O1540:$O1559),3),"")</f>
        <v/>
      </c>
      <c r="JV1540" s="42" t="str">
        <f t="array" aca="1" ref="JV1540" ca="1">IFERROR(INDEX(nombres[],SMALL(IF(OFFSET(nombres[],0,0,ROWS(nombres[]),1)=JV$1490,ROW(OFFSET(nombres[],0,0,ROWS(nombres[]),1))-ROW(OFFSET(nombres[],0,0,1,1))+1,ROW(OFFSET(nombres[],ROWS(nombres[])-1,0,1,1))+1),$O1540:$O1559),3),"")</f>
        <v/>
      </c>
      <c r="JW1540" s="42" t="str">
        <f t="array" aca="1" ref="JW1540" ca="1">IFERROR(INDEX(nombres[],SMALL(IF(OFFSET(nombres[],0,0,ROWS(nombres[]),1)=JW$1490,ROW(OFFSET(nombres[],0,0,ROWS(nombres[]),1))-ROW(OFFSET(nombres[],0,0,1,1))+1,ROW(OFFSET(nombres[],ROWS(nombres[])-1,0,1,1))+1),$O1540:$O1559),3),"")</f>
        <v/>
      </c>
      <c r="JX1540" s="42" t="str">
        <f t="array" aca="1" ref="JX1540" ca="1">IFERROR(INDEX(nombres[],SMALL(IF(OFFSET(nombres[],0,0,ROWS(nombres[]),1)=JX$1490,ROW(OFFSET(nombres[],0,0,ROWS(nombres[]),1))-ROW(OFFSET(nombres[],0,0,1,1))+1,ROW(OFFSET(nombres[],ROWS(nombres[])-1,0,1,1))+1),$O1540:$O1559),3),"")</f>
        <v/>
      </c>
      <c r="JY1540" s="42">
        <f t="array" aca="1" ref="JY1540" ca="1">IFERROR(INDEX(nombres[],SMALL(IF(OFFSET(nombres[],0,0,ROWS(nombres[]),1)=JY$1490,ROW(OFFSET(nombres[],0,0,ROWS(nombres[]),1))-ROW(OFFSET(nombres[],0,0,1,1))+1,ROW(OFFSET(nombres[],ROWS(nombres[])-1,0,1,1))+1),$O1540:$O1559),3),"")</f>
        <v>592</v>
      </c>
      <c r="JZ1540" s="42" t="str">
        <f t="array" aca="1" ref="JZ1540" ca="1">IFERROR(INDEX(nombres[],SMALL(IF(OFFSET(nombres[],0,0,ROWS(nombres[]),1)=JZ$1490,ROW(OFFSET(nombres[],0,0,ROWS(nombres[]),1))-ROW(OFFSET(nombres[],0,0,1,1))+1,ROW(OFFSET(nombres[],ROWS(nombres[])-1,0,1,1))+1),$O1540:$O1559),3),"")</f>
        <v/>
      </c>
      <c r="KA1540" s="42" t="str">
        <f t="array" aca="1" ref="KA1540" ca="1">IFERROR(INDEX(nombres[],SMALL(IF(OFFSET(nombres[],0,0,ROWS(nombres[]),1)=KA$1490,ROW(OFFSET(nombres[],0,0,ROWS(nombres[]),1))-ROW(OFFSET(nombres[],0,0,1,1))+1,ROW(OFFSET(nombres[],ROWS(nombres[])-1,0,1,1))+1),$O1540:$O1559),3),"")</f>
        <v/>
      </c>
      <c r="KB1540" s="42" t="str">
        <f t="array" aca="1" ref="KB1540" ca="1">IFERROR(INDEX(nombres[],SMALL(IF(OFFSET(nombres[],0,0,ROWS(nombres[]),1)=KB$1490,ROW(OFFSET(nombres[],0,0,ROWS(nombres[]),1))-ROW(OFFSET(nombres[],0,0,1,1))+1,ROW(OFFSET(nombres[],ROWS(nombres[])-1,0,1,1))+1),$O1540:$O1559),3),"")</f>
        <v/>
      </c>
      <c r="KC1540" s="42" t="str">
        <f t="array" aca="1" ref="KC1540" ca="1">IFERROR(INDEX(nombres[],SMALL(IF(OFFSET(nombres[],0,0,ROWS(nombres[]),1)=KC$1490,ROW(OFFSET(nombres[],0,0,ROWS(nombres[]),1))-ROW(OFFSET(nombres[],0,0,1,1))+1,ROW(OFFSET(nombres[],ROWS(nombres[])-1,0,1,1))+1),$O1540:$O1559),3),"")</f>
        <v/>
      </c>
      <c r="KD1540" s="42" t="str">
        <f t="array" aca="1" ref="KD1540" ca="1">IFERROR(INDEX(nombres[],SMALL(IF(OFFSET(nombres[],0,0,ROWS(nombres[]),1)=KD$1490,ROW(OFFSET(nombres[],0,0,ROWS(nombres[]),1))-ROW(OFFSET(nombres[],0,0,1,1))+1,ROW(OFFSET(nombres[],ROWS(nombres[])-1,0,1,1))+1),$O1540:$O1559),3),"")</f>
        <v/>
      </c>
      <c r="KE1540" s="42" t="str">
        <f t="array" aca="1" ref="KE1540" ca="1">IFERROR(INDEX(nombres[],SMALL(IF(OFFSET(nombres[],0,0,ROWS(nombres[]),1)=KE$1490,ROW(OFFSET(nombres[],0,0,ROWS(nombres[]),1))-ROW(OFFSET(nombres[],0,0,1,1))+1,ROW(OFFSET(nombres[],ROWS(nombres[])-1,0,1,1))+1),$O1540:$O1559),3),"")</f>
        <v/>
      </c>
      <c r="KF1540" s="42">
        <f t="array" aca="1" ref="KF1540" ca="1">IFERROR(INDEX(nombres[],SMALL(IF(OFFSET(nombres[],0,0,ROWS(nombres[]),1)=KF$1490,ROW(OFFSET(nombres[],0,0,ROWS(nombres[]),1))-ROW(OFFSET(nombres[],0,0,1,1))+1,ROW(OFFSET(nombres[],ROWS(nombres[])-1,0,1,1))+1),$O1540:$O1559),3),"")</f>
        <v>437</v>
      </c>
      <c r="KG1540" s="42" t="str">
        <f t="array" aca="1" ref="KG1540" ca="1">IFERROR(INDEX(nombres[],SMALL(IF(OFFSET(nombres[],0,0,ROWS(nombres[]),1)=KG$1490,ROW(OFFSET(nombres[],0,0,ROWS(nombres[]),1))-ROW(OFFSET(nombres[],0,0,1,1))+1,ROW(OFFSET(nombres[],ROWS(nombres[])-1,0,1,1))+1),$O1540:$O1559),3),"")</f>
        <v/>
      </c>
      <c r="KH1540" s="42" t="str">
        <f t="array" aca="1" ref="KH1540" ca="1">IFERROR(INDEX(nombres[],SMALL(IF(OFFSET(nombres[],0,0,ROWS(nombres[]),1)=KH$1490,ROW(OFFSET(nombres[],0,0,ROWS(nombres[]),1))-ROW(OFFSET(nombres[],0,0,1,1))+1,ROW(OFFSET(nombres[],ROWS(nombres[])-1,0,1,1))+1),$O1540:$O1559),3),"")</f>
        <v/>
      </c>
      <c r="KI1540" s="42">
        <f t="array" aca="1" ref="KI1540" ca="1">IFERROR(INDEX(nombres[],SMALL(IF(OFFSET(nombres[],0,0,ROWS(nombres[]),1)=KI$1490,ROW(OFFSET(nombres[],0,0,ROWS(nombres[]),1))-ROW(OFFSET(nombres[],0,0,1,1))+1,ROW(OFFSET(nombres[],ROWS(nombres[])-1,0,1,1))+1),$O1540:$O1559),3),"")</f>
        <v>446</v>
      </c>
      <c r="KJ1540" s="42" t="str">
        <f t="array" aca="1" ref="KJ1540" ca="1">IFERROR(INDEX(nombres[],SMALL(IF(OFFSET(nombres[],0,0,ROWS(nombres[]),1)=KJ$1490,ROW(OFFSET(nombres[],0,0,ROWS(nombres[]),1))-ROW(OFFSET(nombres[],0,0,1,1))+1,ROW(OFFSET(nombres[],ROWS(nombres[])-1,0,1,1))+1),$O1540:$O1559),3),"")</f>
        <v/>
      </c>
      <c r="KK1540" s="42" t="str">
        <f t="array" aca="1" ref="KK1540" ca="1">IFERROR(INDEX(nombres[],SMALL(IF(OFFSET(nombres[],0,0,ROWS(nombres[]),1)=KK$1490,ROW(OFFSET(nombres[],0,0,ROWS(nombres[]),1))-ROW(OFFSET(nombres[],0,0,1,1))+1,ROW(OFFSET(nombres[],ROWS(nombres[])-1,0,1,1))+1),$O1540:$O1559),3),"")</f>
        <v/>
      </c>
      <c r="KL1540" s="42" t="str">
        <f t="array" aca="1" ref="KL1540" ca="1">IFERROR(INDEX(nombres[],SMALL(IF(OFFSET(nombres[],0,0,ROWS(nombres[]),1)=KL$1490,ROW(OFFSET(nombres[],0,0,ROWS(nombres[]),1))-ROW(OFFSET(nombres[],0,0,1,1))+1,ROW(OFFSET(nombres[],ROWS(nombres[])-1,0,1,1))+1),$O1540:$O1559),3),"")</f>
        <v/>
      </c>
      <c r="KM1540" s="42" t="str">
        <f t="array" aca="1" ref="KM1540" ca="1">IFERROR(INDEX(nombres[],SMALL(IF(OFFSET(nombres[],0,0,ROWS(nombres[]),1)=KM$1490,ROW(OFFSET(nombres[],0,0,ROWS(nombres[]),1))-ROW(OFFSET(nombres[],0,0,1,1))+1,ROW(OFFSET(nombres[],ROWS(nombres[])-1,0,1,1))+1),$O1540:$O1559),3),"")</f>
        <v/>
      </c>
      <c r="KN1540" s="42" t="str">
        <f t="array" aca="1" ref="KN1540" ca="1">IFERROR(INDEX(nombres[],SMALL(IF(OFFSET(nombres[],0,0,ROWS(nombres[]),1)=KN$1490,ROW(OFFSET(nombres[],0,0,ROWS(nombres[]),1))-ROW(OFFSET(nombres[],0,0,1,1))+1,ROW(OFFSET(nombres[],ROWS(nombres[])-1,0,1,1))+1),$O1540:$O1559),3),"")</f>
        <v/>
      </c>
      <c r="KO1540" s="42" t="str">
        <f t="array" aca="1" ref="KO1540" ca="1">IFERROR(INDEX(nombres[],SMALL(IF(OFFSET(nombres[],0,0,ROWS(nombres[]),1)=KO$1490,ROW(OFFSET(nombres[],0,0,ROWS(nombres[]),1))-ROW(OFFSET(nombres[],0,0,1,1))+1,ROW(OFFSET(nombres[],ROWS(nombres[])-1,0,1,1))+1),$O1540:$O1559),3),"")</f>
        <v/>
      </c>
      <c r="KP1540" s="42">
        <f t="array" aca="1" ref="KP1540" ca="1">IFERROR(INDEX(nombres[],SMALL(IF(OFFSET(nombres[],0,0,ROWS(nombres[]),1)=KP$1490,ROW(OFFSET(nombres[],0,0,ROWS(nombres[]),1))-ROW(OFFSET(nombres[],0,0,1,1))+1,ROW(OFFSET(nombres[],ROWS(nombres[])-1,0,1,1))+1),$O1540:$O1559),3),"")</f>
        <v>450</v>
      </c>
      <c r="KQ1540" s="42" t="str">
        <f t="array" aca="1" ref="KQ1540" ca="1">IFERROR(INDEX(nombres[],SMALL(IF(OFFSET(nombres[],0,0,ROWS(nombres[]),1)=KQ$1490,ROW(OFFSET(nombres[],0,0,ROWS(nombres[]),1))-ROW(OFFSET(nombres[],0,0,1,1))+1,ROW(OFFSET(nombres[],ROWS(nombres[])-1,0,1,1))+1),$O1540:$O1559),3),"")</f>
        <v/>
      </c>
      <c r="KR1540" s="42">
        <f t="array" aca="1" ref="KR1540" ca="1">IFERROR(INDEX(nombres[],SMALL(IF(OFFSET(nombres[],0,0,ROWS(nombres[]),1)=KR$1490,ROW(OFFSET(nombres[],0,0,ROWS(nombres[]),1))-ROW(OFFSET(nombres[],0,0,1,1))+1,ROW(OFFSET(nombres[],ROWS(nombres[])-1,0,1,1))+1),$O1540:$O1559),3),"")</f>
        <v>652</v>
      </c>
      <c r="KS1540" s="42" t="str">
        <f t="array" aca="1" ref="KS1540" ca="1">IFERROR(INDEX(nombres[],SMALL(IF(OFFSET(nombres[],0,0,ROWS(nombres[]),1)=KS$1490,ROW(OFFSET(nombres[],0,0,ROWS(nombres[]),1))-ROW(OFFSET(nombres[],0,0,1,1))+1,ROW(OFFSET(nombres[],ROWS(nombres[])-1,0,1,1))+1),$O1540:$O1559),3),"")</f>
        <v/>
      </c>
      <c r="KT1540" s="42">
        <f t="array" aca="1" ref="KT1540" ca="1">IFERROR(INDEX(nombres[],SMALL(IF(OFFSET(nombres[],0,0,ROWS(nombres[]),1)=KT$1490,ROW(OFFSET(nombres[],0,0,ROWS(nombres[]),1))-ROW(OFFSET(nombres[],0,0,1,1))+1,ROW(OFFSET(nombres[],ROWS(nombres[])-1,0,1,1))+1),$O1540:$O1559),3),"")</f>
        <v>460</v>
      </c>
      <c r="KU1540" s="42" t="str">
        <f t="array" aca="1" ref="KU1540" ca="1">IFERROR(INDEX(nombres[],SMALL(IF(OFFSET(nombres[],0,0,ROWS(nombres[]),1)=KU$1490,ROW(OFFSET(nombres[],0,0,ROWS(nombres[]),1))-ROW(OFFSET(nombres[],0,0,1,1))+1,ROW(OFFSET(nombres[],ROWS(nombres[])-1,0,1,1))+1),$O1540:$O1559),3),"")</f>
        <v/>
      </c>
      <c r="KV1540" s="42">
        <f t="array" aca="1" ref="KV1540" ca="1">IFERROR(INDEX(nombres[],SMALL(IF(OFFSET(nombres[],0,0,ROWS(nombres[]),1)=KV$1490,ROW(OFFSET(nombres[],0,0,ROWS(nombres[]),1))-ROW(OFFSET(nombres[],0,0,1,1))+1,ROW(OFFSET(nombres[],ROWS(nombres[])-1,0,1,1))+1),$O1540:$O1559),3),"")</f>
        <v>471</v>
      </c>
      <c r="KW1540" s="42">
        <f t="array" aca="1" ref="KW1540" ca="1">IFERROR(INDEX(nombres[],SMALL(IF(OFFSET(nombres[],0,0,ROWS(nombres[]),1)=KW$1490,ROW(OFFSET(nombres[],0,0,ROWS(nombres[]),1))-ROW(OFFSET(nombres[],0,0,1,1))+1,ROW(OFFSET(nombres[],ROWS(nombres[])-1,0,1,1))+1),$O1540:$O1559),3),"")</f>
        <v>474</v>
      </c>
      <c r="KX1540" s="42">
        <f t="array" aca="1" ref="KX1540" ca="1">IFERROR(INDEX(nombres[],SMALL(IF(OFFSET(nombres[],0,0,ROWS(nombres[]),1)=KX$1490,ROW(OFFSET(nombres[],0,0,ROWS(nombres[]),1))-ROW(OFFSET(nombres[],0,0,1,1))+1,ROW(OFFSET(nombres[],ROWS(nombres[])-1,0,1,1))+1),$O1540:$O1559),3),"")</f>
        <v>507</v>
      </c>
      <c r="KY1540" s="42" t="str">
        <f t="array" aca="1" ref="KY1540" ca="1">IFERROR(INDEX(nombres[],SMALL(IF(OFFSET(nombres[],0,0,ROWS(nombres[]),1)=KY$1490,ROW(OFFSET(nombres[],0,0,ROWS(nombres[]),1))-ROW(OFFSET(nombres[],0,0,1,1))+1,ROW(OFFSET(nombres[],ROWS(nombres[])-1,0,1,1))+1),$O1540:$O1559),3),"")</f>
        <v/>
      </c>
      <c r="KZ1540" s="42" t="str">
        <f t="array" aca="1" ref="KZ1540" ca="1">IFERROR(INDEX(nombres[],SMALL(IF(OFFSET(nombres[],0,0,ROWS(nombres[]),1)=KZ$1490,ROW(OFFSET(nombres[],0,0,ROWS(nombres[]),1))-ROW(OFFSET(nombres[],0,0,1,1))+1,ROW(OFFSET(nombres[],ROWS(nombres[])-1,0,1,1))+1),$O1540:$O1559),3),"")</f>
        <v/>
      </c>
      <c r="LA1540" s="42" t="str">
        <f t="array" aca="1" ref="LA1540" ca="1">IFERROR(INDEX(nombres[],SMALL(IF(OFFSET(nombres[],0,0,ROWS(nombres[]),1)=LA$1490,ROW(OFFSET(nombres[],0,0,ROWS(nombres[]),1))-ROW(OFFSET(nombres[],0,0,1,1))+1,ROW(OFFSET(nombres[],ROWS(nombres[])-1,0,1,1))+1),$O1540:$O1559),3),"")</f>
        <v/>
      </c>
      <c r="LB1540" s="42">
        <f t="array" aca="1" ref="LB1540" ca="1">IFERROR(INDEX(nombres[],SMALL(IF(OFFSET(nombres[],0,0,ROWS(nombres[]),1)=LB$1490,ROW(OFFSET(nombres[],0,0,ROWS(nombres[]),1))-ROW(OFFSET(nombres[],0,0,1,1))+1,ROW(OFFSET(nombres[],ROWS(nombres[])-1,0,1,1))+1),$O1540:$O1559),3),"")</f>
        <v>495</v>
      </c>
      <c r="LC1540" s="42" t="str">
        <f t="array" aca="1" ref="LC1540" ca="1">IFERROR(INDEX(nombres[],SMALL(IF(OFFSET(nombres[],0,0,ROWS(nombres[]),1)=LC$1490,ROW(OFFSET(nombres[],0,0,ROWS(nombres[]),1))-ROW(OFFSET(nombres[],0,0,1,1))+1,ROW(OFFSET(nombres[],ROWS(nombres[])-1,0,1,1))+1),$O1540:$O1559),3),"")</f>
        <v/>
      </c>
      <c r="LD1540" s="42" t="str">
        <f t="array" aca="1" ref="LD1540" ca="1">IFERROR(INDEX(nombres[],SMALL(IF(OFFSET(nombres[],0,0,ROWS(nombres[]),1)=LD$1490,ROW(OFFSET(nombres[],0,0,ROWS(nombres[]),1))-ROW(OFFSET(nombres[],0,0,1,1))+1,ROW(OFFSET(nombres[],ROWS(nombres[])-1,0,1,1))+1),$O1540:$O1559),3),"")</f>
        <v/>
      </c>
      <c r="LE1540" s="42">
        <f t="array" aca="1" ref="LE1540" ca="1">IFERROR(INDEX(nombres[],SMALL(IF(OFFSET(nombres[],0,0,ROWS(nombres[]),1)=LE$1490,ROW(OFFSET(nombres[],0,0,ROWS(nombres[]),1))-ROW(OFFSET(nombres[],0,0,1,1))+1,ROW(OFFSET(nombres[],ROWS(nombres[])-1,0,1,1))+1),$O1540:$O1559),3),"")</f>
        <v>523</v>
      </c>
      <c r="LF1540" s="42" t="str">
        <f t="array" aca="1" ref="LF1540" ca="1">IFERROR(INDEX(nombres[],SMALL(IF(OFFSET(nombres[],0,0,ROWS(nombres[]),1)=LF$1490,ROW(OFFSET(nombres[],0,0,ROWS(nombres[]),1))-ROW(OFFSET(nombres[],0,0,1,1))+1,ROW(OFFSET(nombres[],ROWS(nombres[])-1,0,1,1))+1),$O1540:$O1559),3),"")</f>
        <v/>
      </c>
      <c r="LG1540" s="42" t="str">
        <f t="array" aca="1" ref="LG1540" ca="1">IFERROR(INDEX(nombres[],SMALL(IF(OFFSET(nombres[],0,0,ROWS(nombres[]),1)=LG$1490,ROW(OFFSET(nombres[],0,0,ROWS(nombres[]),1))-ROW(OFFSET(nombres[],0,0,1,1))+1,ROW(OFFSET(nombres[],ROWS(nombres[])-1,0,1,1))+1),$O1540:$O1559),3),"")</f>
        <v/>
      </c>
      <c r="LH1540" s="42" t="str">
        <f t="array" aca="1" ref="LH1540" ca="1">IFERROR(INDEX(nombres[],SMALL(IF(OFFSET(nombres[],0,0,ROWS(nombres[]),1)=LH$1490,ROW(OFFSET(nombres[],0,0,ROWS(nombres[]),1))-ROW(OFFSET(nombres[],0,0,1,1))+1,ROW(OFFSET(nombres[],ROWS(nombres[])-1,0,1,1))+1),$O1540:$O1559),3),"")</f>
        <v/>
      </c>
      <c r="LI1540" s="42">
        <f t="array" aca="1" ref="LI1540" ca="1">IFERROR(INDEX(nombres[],SMALL(IF(OFFSET(nombres[],0,0,ROWS(nombres[]),1)=LI$1490,ROW(OFFSET(nombres[],0,0,ROWS(nombres[]),1))-ROW(OFFSET(nombres[],0,0,1,1))+1,ROW(OFFSET(nombres[],ROWS(nombres[])-1,0,1,1))+1),$O1540:$O1559),3),"")</f>
        <v>488</v>
      </c>
      <c r="LJ1540" s="42" t="str">
        <f t="array" aca="1" ref="LJ1540" ca="1">IFERROR(INDEX(nombres[],SMALL(IF(OFFSET(nombres[],0,0,ROWS(nombres[]),1)=LJ$1490,ROW(OFFSET(nombres[],0,0,ROWS(nombres[]),1))-ROW(OFFSET(nombres[],0,0,1,1))+1,ROW(OFFSET(nombres[],ROWS(nombres[])-1,0,1,1))+1),$O1540:$O1559),3),"")</f>
        <v/>
      </c>
      <c r="LK1540" s="42" t="str">
        <f t="array" aca="1" ref="LK1540" ca="1">IFERROR(INDEX(nombres[],SMALL(IF(OFFSET(nombres[],0,0,ROWS(nombres[]),1)=LK$1490,ROW(OFFSET(nombres[],0,0,ROWS(nombres[]),1))-ROW(OFFSET(nombres[],0,0,1,1))+1,ROW(OFFSET(nombres[],ROWS(nombres[])-1,0,1,1))+1),$O1540:$O1559),3),"")</f>
        <v/>
      </c>
      <c r="LL1540" s="42" t="str">
        <f t="array" aca="1" ref="LL1540" ca="1">IFERROR(INDEX(nombres[],SMALL(IF(OFFSET(nombres[],0,0,ROWS(nombres[]),1)=LL$1490,ROW(OFFSET(nombres[],0,0,ROWS(nombres[]),1))-ROW(OFFSET(nombres[],0,0,1,1))+1,ROW(OFFSET(nombres[],ROWS(nombres[])-1,0,1,1))+1),$O1540:$O1559),3),"")</f>
        <v/>
      </c>
      <c r="LM1540" s="42" t="str">
        <f t="array" aca="1" ref="LM1540" ca="1">IFERROR(INDEX(nombres[],SMALL(IF(OFFSET(nombres[],0,0,ROWS(nombres[]),1)=LM$1490,ROW(OFFSET(nombres[],0,0,ROWS(nombres[]),1))-ROW(OFFSET(nombres[],0,0,1,1))+1,ROW(OFFSET(nombres[],ROWS(nombres[])-1,0,1,1))+1),$O1540:$O1559),3),"")</f>
        <v/>
      </c>
      <c r="LN1540" s="42" t="str">
        <f t="array" aca="1" ref="LN1540" ca="1">IFERROR(INDEX(nombres[],SMALL(IF(OFFSET(nombres[],0,0,ROWS(nombres[]),1)=LN$1490,ROW(OFFSET(nombres[],0,0,ROWS(nombres[]),1))-ROW(OFFSET(nombres[],0,0,1,1))+1,ROW(OFFSET(nombres[],ROWS(nombres[])-1,0,1,1))+1),$O1540:$O1559),3),"")</f>
        <v/>
      </c>
      <c r="LO1540" s="42" t="str">
        <f t="array" aca="1" ref="LO1540" ca="1">IFERROR(INDEX(nombres[],SMALL(IF(OFFSET(nombres[],0,0,ROWS(nombres[]),1)=LO$1490,ROW(OFFSET(nombres[],0,0,ROWS(nombres[]),1))-ROW(OFFSET(nombres[],0,0,1,1))+1,ROW(OFFSET(nombres[],ROWS(nombres[])-1,0,1,1))+1),$O1540:$O1559),3),"")</f>
        <v/>
      </c>
      <c r="LP1540" s="42" t="str">
        <f t="array" aca="1" ref="LP1540" ca="1">IFERROR(INDEX(nombres[],SMALL(IF(OFFSET(nombres[],0,0,ROWS(nombres[]),1)=LP$1490,ROW(OFFSET(nombres[],0,0,ROWS(nombres[]),1))-ROW(OFFSET(nombres[],0,0,1,1))+1,ROW(OFFSET(nombres[],ROWS(nombres[])-1,0,1,1))+1),$O1540:$O1559),3),"")</f>
        <v/>
      </c>
      <c r="LQ1540" s="42">
        <f t="array" aca="1" ref="LQ1540" ca="1">IFERROR(INDEX(nombres[],SMALL(IF(OFFSET(nombres[],0,0,ROWS(nombres[]),1)=LQ$1490,ROW(OFFSET(nombres[],0,0,ROWS(nombres[]),1))-ROW(OFFSET(nombres[],0,0,1,1))+1,ROW(OFFSET(nombres[],ROWS(nombres[])-1,0,1,1))+1),$O1540:$O1559),3),"")</f>
        <v>478</v>
      </c>
      <c r="LR1540" s="42" t="str">
        <f t="array" aca="1" ref="LR1540" ca="1">IFERROR(INDEX(nombres[],SMALL(IF(OFFSET(nombres[],0,0,ROWS(nombres[]),1)=LR$1490,ROW(OFFSET(nombres[],0,0,ROWS(nombres[]),1))-ROW(OFFSET(nombres[],0,0,1,1))+1,ROW(OFFSET(nombres[],ROWS(nombres[])-1,0,1,1))+1),$O1540:$O1559),3),"")</f>
        <v/>
      </c>
      <c r="LS1540" s="42">
        <f t="array" aca="1" ref="LS1540" ca="1">IFERROR(INDEX(nombres[],SMALL(IF(OFFSET(nombres[],0,0,ROWS(nombres[]),1)=LS$1490,ROW(OFFSET(nombres[],0,0,ROWS(nombres[]),1))-ROW(OFFSET(nombres[],0,0,1,1))+1,ROW(OFFSET(nombres[],ROWS(nombres[])-1,0,1,1))+1),$O1540:$O1559),3),"")</f>
        <v>531</v>
      </c>
      <c r="LT1540" s="42" t="str">
        <f t="array" aca="1" ref="LT1540" ca="1">IFERROR(INDEX(nombres[],SMALL(IF(OFFSET(nombres[],0,0,ROWS(nombres[]),1)=LT$1490,ROW(OFFSET(nombres[],0,0,ROWS(nombres[]),1))-ROW(OFFSET(nombres[],0,0,1,1))+1,ROW(OFFSET(nombres[],ROWS(nombres[])-1,0,1,1))+1),$O1540:$O1559),3),"")</f>
        <v/>
      </c>
      <c r="LU1540" s="42" t="str">
        <f t="array" aca="1" ref="LU1540" ca="1">IFERROR(INDEX(nombres[],SMALL(IF(OFFSET(nombres[],0,0,ROWS(nombres[]),1)=LU$1490,ROW(OFFSET(nombres[],0,0,ROWS(nombres[]),1))-ROW(OFFSET(nombres[],0,0,1,1))+1,ROW(OFFSET(nombres[],ROWS(nombres[])-1,0,1,1))+1),$O1540:$O1559),3),"")</f>
        <v/>
      </c>
      <c r="LV1540" s="42" t="str">
        <f t="array" aca="1" ref="LV1540" ca="1">IFERROR(INDEX(nombres[],SMALL(IF(OFFSET(nombres[],0,0,ROWS(nombres[]),1)=LV$1490,ROW(OFFSET(nombres[],0,0,ROWS(nombres[]),1))-ROW(OFFSET(nombres[],0,0,1,1))+1,ROW(OFFSET(nombres[],ROWS(nombres[])-1,0,1,1))+1),$O1540:$O1559),3),"")</f>
        <v/>
      </c>
      <c r="LW1540" s="42" t="str">
        <f t="array" aca="1" ref="LW1540" ca="1">IFERROR(INDEX(nombres[],SMALL(IF(OFFSET(nombres[],0,0,ROWS(nombres[]),1)=LW$1490,ROW(OFFSET(nombres[],0,0,ROWS(nombres[]),1))-ROW(OFFSET(nombres[],0,0,1,1))+1,ROW(OFFSET(nombres[],ROWS(nombres[])-1,0,1,1))+1),$O1540:$O1559),3),"")</f>
        <v/>
      </c>
      <c r="LX1540" s="42" t="str">
        <f t="array" aca="1" ref="LX1540" ca="1">IFERROR(INDEX(nombres[],SMALL(IF(OFFSET(nombres[],0,0,ROWS(nombres[]),1)=LX$1490,ROW(OFFSET(nombres[],0,0,ROWS(nombres[]),1))-ROW(OFFSET(nombres[],0,0,1,1))+1,ROW(OFFSET(nombres[],ROWS(nombres[])-1,0,1,1))+1),$O1540:$O1559),3),"")</f>
        <v/>
      </c>
      <c r="LY1540" s="42" t="str">
        <f t="array" aca="1" ref="LY1540" ca="1">IFERROR(INDEX(nombres[],SMALL(IF(OFFSET(nombres[],0,0,ROWS(nombres[]),1)=LY$1490,ROW(OFFSET(nombres[],0,0,ROWS(nombres[]),1))-ROW(OFFSET(nombres[],0,0,1,1))+1,ROW(OFFSET(nombres[],ROWS(nombres[])-1,0,1,1))+1),$O1540:$O1559),3),"")</f>
        <v/>
      </c>
      <c r="LZ1540" s="42" t="str">
        <f t="array" aca="1" ref="LZ1540" ca="1">IFERROR(INDEX(nombres[],SMALL(IF(OFFSET(nombres[],0,0,ROWS(nombres[]),1)=LZ$1490,ROW(OFFSET(nombres[],0,0,ROWS(nombres[]),1))-ROW(OFFSET(nombres[],0,0,1,1))+1,ROW(OFFSET(nombres[],ROWS(nombres[])-1,0,1,1))+1),$O1540:$O1559),3),"")</f>
        <v/>
      </c>
      <c r="MA1540" s="42" t="str">
        <f t="array" aca="1" ref="MA1540" ca="1">IFERROR(INDEX(nombres[],SMALL(IF(OFFSET(nombres[],0,0,ROWS(nombres[]),1)=MA$1490,ROW(OFFSET(nombres[],0,0,ROWS(nombres[]),1))-ROW(OFFSET(nombres[],0,0,1,1))+1,ROW(OFFSET(nombres[],ROWS(nombres[])-1,0,1,1))+1),$O1540:$O1559),3),"")</f>
        <v/>
      </c>
      <c r="MB1540" s="42" t="str">
        <f t="array" aca="1" ref="MB1540" ca="1">IFERROR(INDEX(nombres[],SMALL(IF(OFFSET(nombres[],0,0,ROWS(nombres[]),1)=MB$1490,ROW(OFFSET(nombres[],0,0,ROWS(nombres[]),1))-ROW(OFFSET(nombres[],0,0,1,1))+1,ROW(OFFSET(nombres[],ROWS(nombres[])-1,0,1,1))+1),$O1540:$O1559),3),"")</f>
        <v/>
      </c>
      <c r="MC1540" s="42" t="str">
        <f t="array" aca="1" ref="MC1540" ca="1">IFERROR(INDEX(nombres[],SMALL(IF(OFFSET(nombres[],0,0,ROWS(nombres[]),1)=MC$1490,ROW(OFFSET(nombres[],0,0,ROWS(nombres[]),1))-ROW(OFFSET(nombres[],0,0,1,1))+1,ROW(OFFSET(nombres[],ROWS(nombres[])-1,0,1,1))+1),$O1540:$O1559),3),"")</f>
        <v/>
      </c>
      <c r="MD1540" s="42" t="str">
        <f t="array" aca="1" ref="MD1540" ca="1">IFERROR(INDEX(nombres[],SMALL(IF(OFFSET(nombres[],0,0,ROWS(nombres[]),1)=MD$1490,ROW(OFFSET(nombres[],0,0,ROWS(nombres[]),1))-ROW(OFFSET(nombres[],0,0,1,1))+1,ROW(OFFSET(nombres[],ROWS(nombres[])-1,0,1,1))+1),$O1540:$O1559),3),"")</f>
        <v/>
      </c>
      <c r="ME1540" s="42" t="str">
        <f t="array" aca="1" ref="ME1540" ca="1">IFERROR(INDEX(nombres[],SMALL(IF(OFFSET(nombres[],0,0,ROWS(nombres[]),1)=ME$1490,ROW(OFFSET(nombres[],0,0,ROWS(nombres[]),1))-ROW(OFFSET(nombres[],0,0,1,1))+1,ROW(OFFSET(nombres[],ROWS(nombres[])-1,0,1,1))+1),$O1540:$O1559),3),"")</f>
        <v/>
      </c>
      <c r="MF1540" s="42" t="str">
        <f t="array" aca="1" ref="MF1540" ca="1">IFERROR(INDEX(nombres[],SMALL(IF(OFFSET(nombres[],0,0,ROWS(nombres[]),1)=MF$1490,ROW(OFFSET(nombres[],0,0,ROWS(nombres[]),1))-ROW(OFFSET(nombres[],0,0,1,1))+1,ROW(OFFSET(nombres[],ROWS(nombres[])-1,0,1,1))+1),$O1540:$O1559),3),"")</f>
        <v/>
      </c>
      <c r="MG1540" s="42" t="str">
        <f t="array" aca="1" ref="MG1540" ca="1">IFERROR(INDEX(nombres[],SMALL(IF(OFFSET(nombres[],0,0,ROWS(nombres[]),1)=MG$1490,ROW(OFFSET(nombres[],0,0,ROWS(nombres[]),1))-ROW(OFFSET(nombres[],0,0,1,1))+1,ROW(OFFSET(nombres[],ROWS(nombres[])-1,0,1,1))+1),$O1540:$O1559),3),"")</f>
        <v/>
      </c>
      <c r="MH1540" s="42" t="str">
        <f t="array" aca="1" ref="MH1540" ca="1">IFERROR(INDEX(nombres[],SMALL(IF(OFFSET(nombres[],0,0,ROWS(nombres[]),1)=MH$1490,ROW(OFFSET(nombres[],0,0,ROWS(nombres[]),1))-ROW(OFFSET(nombres[],0,0,1,1))+1,ROW(OFFSET(nombres[],ROWS(nombres[])-1,0,1,1))+1),$O1540:$O1559),3),"")</f>
        <v/>
      </c>
      <c r="MI1540" s="42" t="str">
        <f t="array" aca="1" ref="MI1540" ca="1">IFERROR(INDEX(nombres[],SMALL(IF(OFFSET(nombres[],0,0,ROWS(nombres[]),1)=MI$1490,ROW(OFFSET(nombres[],0,0,ROWS(nombres[]),1))-ROW(OFFSET(nombres[],0,0,1,1))+1,ROW(OFFSET(nombres[],ROWS(nombres[])-1,0,1,1))+1),$O1540:$O1559),3),"")</f>
        <v/>
      </c>
      <c r="MJ1540" s="42" t="str">
        <f t="array" aca="1" ref="MJ1540" ca="1">IFERROR(INDEX(nombres[],SMALL(IF(OFFSET(nombres[],0,0,ROWS(nombres[]),1)=MJ$1490,ROW(OFFSET(nombres[],0,0,ROWS(nombres[]),1))-ROW(OFFSET(nombres[],0,0,1,1))+1,ROW(OFFSET(nombres[],ROWS(nombres[])-1,0,1,1))+1),$O1540:$O1559),3),"")</f>
        <v/>
      </c>
      <c r="MK1540" s="42" t="str">
        <f t="array" aca="1" ref="MK1540" ca="1">IFERROR(INDEX(nombres[],SMALL(IF(OFFSET(nombres[],0,0,ROWS(nombres[]),1)=MK$1490,ROW(OFFSET(nombres[],0,0,ROWS(nombres[]),1))-ROW(OFFSET(nombres[],0,0,1,1))+1,ROW(OFFSET(nombres[],ROWS(nombres[])-1,0,1,1))+1),$O1540:$O1559),3),"")</f>
        <v/>
      </c>
      <c r="ML1540" s="42" t="str">
        <f t="array" aca="1" ref="ML1540" ca="1">IFERROR(INDEX(nombres[],SMALL(IF(OFFSET(nombres[],0,0,ROWS(nombres[]),1)=ML$1490,ROW(OFFSET(nombres[],0,0,ROWS(nombres[]),1))-ROW(OFFSET(nombres[],0,0,1,1))+1,ROW(OFFSET(nombres[],ROWS(nombres[])-1,0,1,1))+1),$O1540:$O1559),3),"")</f>
        <v/>
      </c>
      <c r="MM1540" s="42" t="str">
        <f t="array" aca="1" ref="MM1540" ca="1">IFERROR(INDEX(nombres[],SMALL(IF(OFFSET(nombres[],0,0,ROWS(nombres[]),1)=MM$1490,ROW(OFFSET(nombres[],0,0,ROWS(nombres[]),1))-ROW(OFFSET(nombres[],0,0,1,1))+1,ROW(OFFSET(nombres[],ROWS(nombres[])-1,0,1,1))+1),$O1540:$O1559),3),"")</f>
        <v/>
      </c>
      <c r="MN1540" s="42" t="str">
        <f t="array" aca="1" ref="MN1540" ca="1">IFERROR(INDEX(nombres[],SMALL(IF(OFFSET(nombres[],0,0,ROWS(nombres[]),1)=MN$1490,ROW(OFFSET(nombres[],0,0,ROWS(nombres[]),1))-ROW(OFFSET(nombres[],0,0,1,1))+1,ROW(OFFSET(nombres[],ROWS(nombres[])-1,0,1,1))+1),$O1540:$O1559),3),"")</f>
        <v/>
      </c>
      <c r="MO1540" s="42" t="str">
        <f t="array" aca="1" ref="MO1540" ca="1">IFERROR(INDEX(nombres[],SMALL(IF(OFFSET(nombres[],0,0,ROWS(nombres[]),1)=MO$1490,ROW(OFFSET(nombres[],0,0,ROWS(nombres[]),1))-ROW(OFFSET(nombres[],0,0,1,1))+1,ROW(OFFSET(nombres[],ROWS(nombres[])-1,0,1,1))+1),$O1540:$O1559),3),"")</f>
        <v/>
      </c>
      <c r="MP1540" s="42" t="str">
        <f t="array" aca="1" ref="MP1540" ca="1">IFERROR(INDEX(nombres[],SMALL(IF(OFFSET(nombres[],0,0,ROWS(nombres[]),1)=MP$1490,ROW(OFFSET(nombres[],0,0,ROWS(nombres[]),1))-ROW(OFFSET(nombres[],0,0,1,1))+1,ROW(OFFSET(nombres[],ROWS(nombres[])-1,0,1,1))+1),$O1540:$O1559),3),"")</f>
        <v/>
      </c>
      <c r="MQ1540" s="42" t="str">
        <f t="array" aca="1" ref="MQ1540" ca="1">IFERROR(INDEX(nombres[],SMALL(IF(OFFSET(nombres[],0,0,ROWS(nombres[]),1)=MQ$1490,ROW(OFFSET(nombres[],0,0,ROWS(nombres[]),1))-ROW(OFFSET(nombres[],0,0,1,1))+1,ROW(OFFSET(nombres[],ROWS(nombres[])-1,0,1,1))+1),$O1540:$O1559),3),"")</f>
        <v/>
      </c>
      <c r="MR1540" s="42" t="str">
        <f t="array" aca="1" ref="MR1540" ca="1">IFERROR(INDEX(nombres[],SMALL(IF(OFFSET(nombres[],0,0,ROWS(nombres[]),1)=MR$1490,ROW(OFFSET(nombres[],0,0,ROWS(nombres[]),1))-ROW(OFFSET(nombres[],0,0,1,1))+1,ROW(OFFSET(nombres[],ROWS(nombres[])-1,0,1,1))+1),$O1540:$O1559),3),"")</f>
        <v/>
      </c>
      <c r="MS1540" s="42" t="str">
        <f t="array" aca="1" ref="MS1540" ca="1">IFERROR(INDEX(nombres[],SMALL(IF(OFFSET(nombres[],0,0,ROWS(nombres[]),1)=MS$1490,ROW(OFFSET(nombres[],0,0,ROWS(nombres[]),1))-ROW(OFFSET(nombres[],0,0,1,1))+1,ROW(OFFSET(nombres[],ROWS(nombres[])-1,0,1,1))+1),$O1540:$O1559),3),"")</f>
        <v/>
      </c>
      <c r="MT1540" s="42" t="str">
        <f t="array" aca="1" ref="MT1540" ca="1">IFERROR(INDEX(nombres[],SMALL(IF(OFFSET(nombres[],0,0,ROWS(nombres[]),1)=MT$1490,ROW(OFFSET(nombres[],0,0,ROWS(nombres[]),1))-ROW(OFFSET(nombres[],0,0,1,1))+1,ROW(OFFSET(nombres[],ROWS(nombres[])-1,0,1,1))+1),$O1540:$O1559),3),"")</f>
        <v/>
      </c>
      <c r="MU1540" s="42" t="str">
        <f t="array" aca="1" ref="MU1540" ca="1">IFERROR(INDEX(nombres[],SMALL(IF(OFFSET(nombres[],0,0,ROWS(nombres[]),1)=MU$1490,ROW(OFFSET(nombres[],0,0,ROWS(nombres[]),1))-ROW(OFFSET(nombres[],0,0,1,1))+1,ROW(OFFSET(nombres[],ROWS(nombres[])-1,0,1,1))+1),$O1540:$O1559),3),"")</f>
        <v/>
      </c>
      <c r="MV1540" s="42" t="str">
        <f t="array" aca="1" ref="MV1540" ca="1">IFERROR(INDEX(nombres[],SMALL(IF(OFFSET(nombres[],0,0,ROWS(nombres[]),1)=MV$1490,ROW(OFFSET(nombres[],0,0,ROWS(nombres[]),1))-ROW(OFFSET(nombres[],0,0,1,1))+1,ROW(OFFSET(nombres[],ROWS(nombres[])-1,0,1,1))+1),$O1540:$O1559),3),"")</f>
        <v/>
      </c>
      <c r="MW1540" s="42" t="str">
        <f t="array" aca="1" ref="MW1540" ca="1">IFERROR(INDEX(nombres[],SMALL(IF(OFFSET(nombres[],0,0,ROWS(nombres[]),1)=MW$1490,ROW(OFFSET(nombres[],0,0,ROWS(nombres[]),1))-ROW(OFFSET(nombres[],0,0,1,1))+1,ROW(OFFSET(nombres[],ROWS(nombres[])-1,0,1,1))+1),$O1540:$O1559),3),"")</f>
        <v/>
      </c>
      <c r="MX1540" s="42" t="str">
        <f t="array" aca="1" ref="MX1540" ca="1">IFERROR(INDEX(nombres[],SMALL(IF(OFFSET(nombres[],0,0,ROWS(nombres[]),1)=MX$1490,ROW(OFFSET(nombres[],0,0,ROWS(nombres[]),1))-ROW(OFFSET(nombres[],0,0,1,1))+1,ROW(OFFSET(nombres[],ROWS(nombres[])-1,0,1,1))+1),$O1540:$O1559),3),"")</f>
        <v/>
      </c>
      <c r="MY1540" s="42" t="str">
        <f t="array" aca="1" ref="MY1540" ca="1">IFERROR(INDEX(nombres[],SMALL(IF(OFFSET(nombres[],0,0,ROWS(nombres[]),1)=MY$1490,ROW(OFFSET(nombres[],0,0,ROWS(nombres[]),1))-ROW(OFFSET(nombres[],0,0,1,1))+1,ROW(OFFSET(nombres[],ROWS(nombres[])-1,0,1,1))+1),$O1540:$O1559),3),"")</f>
        <v/>
      </c>
      <c r="MZ1540" s="42" t="str">
        <f t="array" aca="1" ref="MZ1540" ca="1">IFERROR(INDEX(nombres[],SMALL(IF(OFFSET(nombres[],0,0,ROWS(nombres[]),1)=MZ$1490,ROW(OFFSET(nombres[],0,0,ROWS(nombres[]),1))-ROW(OFFSET(nombres[],0,0,1,1))+1,ROW(OFFSET(nombres[],ROWS(nombres[])-1,0,1,1))+1),$O1540:$O1559),3),"")</f>
        <v/>
      </c>
      <c r="NA1540" s="42" t="str">
        <f t="array" aca="1" ref="NA1540" ca="1">IFERROR(INDEX(nombres[],SMALL(IF(OFFSET(nombres[],0,0,ROWS(nombres[]),1)=NA$1490,ROW(OFFSET(nombres[],0,0,ROWS(nombres[]),1))-ROW(OFFSET(nombres[],0,0,1,1))+1,ROW(OFFSET(nombres[],ROWS(nombres[])-1,0,1,1))+1),$O1540:$O1559),3),"")</f>
        <v/>
      </c>
      <c r="NB1540" s="42" t="str">
        <f t="array" aca="1" ref="NB1540" ca="1">IFERROR(INDEX(nombres[],SMALL(IF(OFFSET(nombres[],0,0,ROWS(nombres[]),1)=NB$1490,ROW(OFFSET(nombres[],0,0,ROWS(nombres[]),1))-ROW(OFFSET(nombres[],0,0,1,1))+1,ROW(OFFSET(nombres[],ROWS(nombres[])-1,0,1,1))+1),$O1540:$O1559),3),"")</f>
        <v/>
      </c>
      <c r="NC1540" s="42" t="str">
        <f t="array" aca="1" ref="NC1540" ca="1">IFERROR(INDEX(nombres[],SMALL(IF(OFFSET(nombres[],0,0,ROWS(nombres[]),1)=NC$1490,ROW(OFFSET(nombres[],0,0,ROWS(nombres[]),1))-ROW(OFFSET(nombres[],0,0,1,1))+1,ROW(OFFSET(nombres[],ROWS(nombres[])-1,0,1,1))+1),$O1540:$O1559),3),"")</f>
        <v/>
      </c>
      <c r="ND1540" s="42" t="str">
        <f t="array" aca="1" ref="ND1540" ca="1">IFERROR(INDEX(nombres[],SMALL(IF(OFFSET(nombres[],0,0,ROWS(nombres[]),1)=ND$1490,ROW(OFFSET(nombres[],0,0,ROWS(nombres[]),1))-ROW(OFFSET(nombres[],0,0,1,1))+1,ROW(OFFSET(nombres[],ROWS(nombres[])-1,0,1,1))+1),$O1540:$O1559),3),"")</f>
        <v/>
      </c>
      <c r="NE1540" s="42" t="str">
        <f t="array" aca="1" ref="NE1540" ca="1">IFERROR(INDEX(nombres[],SMALL(IF(OFFSET(nombres[],0,0,ROWS(nombres[]),1)=NE$1490,ROW(OFFSET(nombres[],0,0,ROWS(nombres[]),1))-ROW(OFFSET(nombres[],0,0,1,1))+1,ROW(OFFSET(nombres[],ROWS(nombres[])-1,0,1,1))+1),$O1540:$O1559),3),"")</f>
        <v/>
      </c>
      <c r="NF1540" s="42" t="str">
        <f t="array" aca="1" ref="NF1540" ca="1">IFERROR(INDEX(nombres[],SMALL(IF(OFFSET(nombres[],0,0,ROWS(nombres[]),1)=NF$1490,ROW(OFFSET(nombres[],0,0,ROWS(nombres[]),1))-ROW(OFFSET(nombres[],0,0,1,1))+1,ROW(OFFSET(nombres[],ROWS(nombres[])-1,0,1,1))+1),$O1540:$O1559),3),"")</f>
        <v/>
      </c>
      <c r="NG1540" s="42" t="str">
        <f t="array" aca="1" ref="NG1540" ca="1">IFERROR(INDEX(nombres[],SMALL(IF(OFFSET(nombres[],0,0,ROWS(nombres[]),1)=NG$1490,ROW(OFFSET(nombres[],0,0,ROWS(nombres[]),1))-ROW(OFFSET(nombres[],0,0,1,1))+1,ROW(OFFSET(nombres[],ROWS(nombres[])-1,0,1,1))+1),$O1540:$O1559),3),"")</f>
        <v/>
      </c>
      <c r="NH1540" s="42" t="str">
        <f t="array" aca="1" ref="NH1540" ca="1">IFERROR(INDEX(nombres[],SMALL(IF(OFFSET(nombres[],0,0,ROWS(nombres[]),1)=NH$1490,ROW(OFFSET(nombres[],0,0,ROWS(nombres[]),1))-ROW(OFFSET(nombres[],0,0,1,1))+1,ROW(OFFSET(nombres[],ROWS(nombres[])-1,0,1,1))+1),$O1540:$O1559),3),"")</f>
        <v/>
      </c>
      <c r="NI1540" s="42" t="str">
        <f t="array" aca="1" ref="NI1540" ca="1">IFERROR(INDEX(nombres[],SMALL(IF(OFFSET(nombres[],0,0,ROWS(nombres[]),1)=NI$1490,ROW(OFFSET(nombres[],0,0,ROWS(nombres[]),1))-ROW(OFFSET(nombres[],0,0,1,1))+1,ROW(OFFSET(nombres[],ROWS(nombres[])-1,0,1,1))+1),$O1540:$O1559),3),"")</f>
        <v/>
      </c>
      <c r="NJ1540" s="42" t="str">
        <f t="array" aca="1" ref="NJ1540" ca="1">IFERROR(INDEX(nombres[],SMALL(IF(OFFSET(nombres[],0,0,ROWS(nombres[]),1)=NJ$1490,ROW(OFFSET(nombres[],0,0,ROWS(nombres[]),1))-ROW(OFFSET(nombres[],0,0,1,1))+1,ROW(OFFSET(nombres[],ROWS(nombres[])-1,0,1,1))+1),$O1540:$O1559),3),"")</f>
        <v/>
      </c>
      <c r="NK1540" s="42" t="str">
        <f t="array" aca="1" ref="NK1540" ca="1">IFERROR(INDEX(nombres[],SMALL(IF(OFFSET(nombres[],0,0,ROWS(nombres[]),1)=NK$1490,ROW(OFFSET(nombres[],0,0,ROWS(nombres[]),1))-ROW(OFFSET(nombres[],0,0,1,1))+1,ROW(OFFSET(nombres[],ROWS(nombres[])-1,0,1,1))+1),$O1540:$O1559),3),"")</f>
        <v/>
      </c>
      <c r="NL1540" s="42" t="str">
        <f t="array" aca="1" ref="NL1540" ca="1">IFERROR(INDEX(nombres[],SMALL(IF(OFFSET(nombres[],0,0,ROWS(nombres[]),1)=NL$1490,ROW(OFFSET(nombres[],0,0,ROWS(nombres[]),1))-ROW(OFFSET(nombres[],0,0,1,1))+1,ROW(OFFSET(nombres[],ROWS(nombres[])-1,0,1,1))+1),$O1540:$O1559),3),"")</f>
        <v/>
      </c>
      <c r="NM1540" s="42" t="str">
        <f t="array" aca="1" ref="NM1540" ca="1">IFERROR(INDEX(nombres[],SMALL(IF(OFFSET(nombres[],0,0,ROWS(nombres[]),1)=NM$1490,ROW(OFFSET(nombres[],0,0,ROWS(nombres[]),1))-ROW(OFFSET(nombres[],0,0,1,1))+1,ROW(OFFSET(nombres[],ROWS(nombres[])-1,0,1,1))+1),$O1540:$O1559),3),"")</f>
        <v/>
      </c>
      <c r="NN1540" s="42" t="str">
        <f t="array" aca="1" ref="NN1540" ca="1">IFERROR(INDEX(nombres[],SMALL(IF(OFFSET(nombres[],0,0,ROWS(nombres[]),1)=NN$1490,ROW(OFFSET(nombres[],0,0,ROWS(nombres[]),1))-ROW(OFFSET(nombres[],0,0,1,1))+1,ROW(OFFSET(nombres[],ROWS(nombres[])-1,0,1,1))+1),$O1540:$O1559),3),"")</f>
        <v/>
      </c>
      <c r="NO1540" s="42" t="str">
        <f t="array" aca="1" ref="NO1540" ca="1">IFERROR(INDEX(nombres[],SMALL(IF(OFFSET(nombres[],0,0,ROWS(nombres[]),1)=NO$1490,ROW(OFFSET(nombres[],0,0,ROWS(nombres[]),1))-ROW(OFFSET(nombres[],0,0,1,1))+1,ROW(OFFSET(nombres[],ROWS(nombres[])-1,0,1,1))+1),$O1540:$O1559),3),"")</f>
        <v/>
      </c>
      <c r="NP1540" s="42" t="str">
        <f t="array" aca="1" ref="NP1540" ca="1">IFERROR(INDEX(nombres[],SMALL(IF(OFFSET(nombres[],0,0,ROWS(nombres[]),1)=NP$1490,ROW(OFFSET(nombres[],0,0,ROWS(nombres[]),1))-ROW(OFFSET(nombres[],0,0,1,1))+1,ROW(OFFSET(nombres[],ROWS(nombres[])-1,0,1,1))+1),$O1540:$O1559),3),"")</f>
        <v/>
      </c>
      <c r="NQ1540" s="42" t="str">
        <f t="array" aca="1" ref="NQ1540" ca="1">IFERROR(INDEX(nombres[],SMALL(IF(OFFSET(nombres[],0,0,ROWS(nombres[]),1)=NQ$1490,ROW(OFFSET(nombres[],0,0,ROWS(nombres[]),1))-ROW(OFFSET(nombres[],0,0,1,1))+1,ROW(OFFSET(nombres[],ROWS(nombres[])-1,0,1,1))+1),$O1540:$O1559),3),"")</f>
        <v/>
      </c>
      <c r="NR1540" s="42" t="str">
        <f t="array" aca="1" ref="NR1540" ca="1">IFERROR(INDEX(nombres[],SMALL(IF(OFFSET(nombres[],0,0,ROWS(nombres[]),1)=NR$1490,ROW(OFFSET(nombres[],0,0,ROWS(nombres[]),1))-ROW(OFFSET(nombres[],0,0,1,1))+1,ROW(OFFSET(nombres[],ROWS(nombres[])-1,0,1,1))+1),$O1540:$O1559),3),"")</f>
        <v/>
      </c>
      <c r="NS1540" s="42" t="str">
        <f t="array" aca="1" ref="NS1540" ca="1">IFERROR(INDEX(nombres[],SMALL(IF(OFFSET(nombres[],0,0,ROWS(nombres[]),1)=NS$1490,ROW(OFFSET(nombres[],0,0,ROWS(nombres[]),1))-ROW(OFFSET(nombres[],0,0,1,1))+1,ROW(OFFSET(nombres[],ROWS(nombres[])-1,0,1,1))+1),$O1540:$O1559),3),"")</f>
        <v/>
      </c>
      <c r="NT1540" s="42" t="str">
        <f t="array" aca="1" ref="NT1540" ca="1">IFERROR(INDEX(nombres[],SMALL(IF(OFFSET(nombres[],0,0,ROWS(nombres[]),1)=NT$1490,ROW(OFFSET(nombres[],0,0,ROWS(nombres[]),1))-ROW(OFFSET(nombres[],0,0,1,1))+1,ROW(OFFSET(nombres[],ROWS(nombres[])-1,0,1,1))+1),$O1540:$O1559),3),"")</f>
        <v/>
      </c>
      <c r="NU1540" s="42" t="str">
        <f t="array" aca="1" ref="NU1540" ca="1">IFERROR(INDEX(nombres[],SMALL(IF(OFFSET(nombres[],0,0,ROWS(nombres[]),1)=NU$1490,ROW(OFFSET(nombres[],0,0,ROWS(nombres[]),1))-ROW(OFFSET(nombres[],0,0,1,1))+1,ROW(OFFSET(nombres[],ROWS(nombres[])-1,0,1,1))+1),$O1540:$O1559),3),"")</f>
        <v/>
      </c>
      <c r="NV1540" s="42" t="str">
        <f t="array" aca="1" ref="NV1540" ca="1">IFERROR(INDEX(nombres[],SMALL(IF(OFFSET(nombres[],0,0,ROWS(nombres[]),1)=NV$1490,ROW(OFFSET(nombres[],0,0,ROWS(nombres[]),1))-ROW(OFFSET(nombres[],0,0,1,1))+1,ROW(OFFSET(nombres[],ROWS(nombres[])-1,0,1,1))+1),$O1540:$O1559),3),"")</f>
        <v/>
      </c>
      <c r="NW1540" s="42" t="str">
        <f t="array" aca="1" ref="NW1540" ca="1">IFERROR(INDEX(nombres[],SMALL(IF(OFFSET(nombres[],0,0,ROWS(nombres[]),1)=NW$1490,ROW(OFFSET(nombres[],0,0,ROWS(nombres[]),1))-ROW(OFFSET(nombres[],0,0,1,1))+1,ROW(OFFSET(nombres[],ROWS(nombres[])-1,0,1,1))+1),$O1540:$O1559),3),"")</f>
        <v/>
      </c>
      <c r="NX1540" s="42" t="str">
        <f t="array" aca="1" ref="NX1540" ca="1">IFERROR(INDEX(nombres[],SMALL(IF(OFFSET(nombres[],0,0,ROWS(nombres[]),1)=NX$1490,ROW(OFFSET(nombres[],0,0,ROWS(nombres[]),1))-ROW(OFFSET(nombres[],0,0,1,1))+1,ROW(OFFSET(nombres[],ROWS(nombres[])-1,0,1,1))+1),$O1540:$O1559),3),"")</f>
        <v/>
      </c>
      <c r="NY1540" s="42" t="str">
        <f t="array" aca="1" ref="NY1540" ca="1">IFERROR(INDEX(nombres[],SMALL(IF(OFFSET(nombres[],0,0,ROWS(nombres[]),1)=NY$1490,ROW(OFFSET(nombres[],0,0,ROWS(nombres[]),1))-ROW(OFFSET(nombres[],0,0,1,1))+1,ROW(OFFSET(nombres[],ROWS(nombres[])-1,0,1,1))+1),$O1540:$O1559),3),"")</f>
        <v/>
      </c>
      <c r="NZ1540" s="42" t="str">
        <f t="array" aca="1" ref="NZ1540" ca="1">IFERROR(INDEX(nombres[],SMALL(IF(OFFSET(nombres[],0,0,ROWS(nombres[]),1)=NZ$1490,ROW(OFFSET(nombres[],0,0,ROWS(nombres[]),1))-ROW(OFFSET(nombres[],0,0,1,1))+1,ROW(OFFSET(nombres[],ROWS(nombres[])-1,0,1,1))+1),$O1540:$O1559),3),"")</f>
        <v/>
      </c>
      <c r="OA1540" s="42" t="str">
        <f t="array" aca="1" ref="OA1540" ca="1">IFERROR(INDEX(nombres[],SMALL(IF(OFFSET(nombres[],0,0,ROWS(nombres[]),1)=OA$1490,ROW(OFFSET(nombres[],0,0,ROWS(nombres[]),1))-ROW(OFFSET(nombres[],0,0,1,1))+1,ROW(OFFSET(nombres[],ROWS(nombres[])-1,0,1,1))+1),$O1540:$O1559),3),"")</f>
        <v/>
      </c>
      <c r="OB1540" s="42" t="str">
        <f t="array" aca="1" ref="OB1540" ca="1">IFERROR(INDEX(nombres[],SMALL(IF(OFFSET(nombres[],0,0,ROWS(nombres[]),1)=OB$1490,ROW(OFFSET(nombres[],0,0,ROWS(nombres[]),1))-ROW(OFFSET(nombres[],0,0,1,1))+1,ROW(OFFSET(nombres[],ROWS(nombres[])-1,0,1,1))+1),$O1540:$O1559),3),"")</f>
        <v/>
      </c>
      <c r="OC1540" s="42" t="str">
        <f t="array" aca="1" ref="OC1540" ca="1">IFERROR(INDEX(nombres[],SMALL(IF(OFFSET(nombres[],0,0,ROWS(nombres[]),1)=OC$1490,ROW(OFFSET(nombres[],0,0,ROWS(nombres[]),1))-ROW(OFFSET(nombres[],0,0,1,1))+1,ROW(OFFSET(nombres[],ROWS(nombres[])-1,0,1,1))+1),$O1540:$O1559),3),"")</f>
        <v/>
      </c>
      <c r="OD1540" s="42" t="str">
        <f t="array" aca="1" ref="OD1540" ca="1">IFERROR(INDEX(nombres[],SMALL(IF(OFFSET(nombres[],0,0,ROWS(nombres[]),1)=OD$1490,ROW(OFFSET(nombres[],0,0,ROWS(nombres[]),1))-ROW(OFFSET(nombres[],0,0,1,1))+1,ROW(OFFSET(nombres[],ROWS(nombres[])-1,0,1,1))+1),$O1540:$O1559),3),"")</f>
        <v/>
      </c>
      <c r="OE1540" s="42" t="str">
        <f t="array" aca="1" ref="OE1540" ca="1">IFERROR(INDEX(nombres[],SMALL(IF(OFFSET(nombres[],0,0,ROWS(nombres[]),1)=OE$1490,ROW(OFFSET(nombres[],0,0,ROWS(nombres[]),1))-ROW(OFFSET(nombres[],0,0,1,1))+1,ROW(OFFSET(nombres[],ROWS(nombres[])-1,0,1,1))+1),$O1540:$O1559),3),"")</f>
        <v/>
      </c>
      <c r="OF1540" s="42" t="str">
        <f t="array" aca="1" ref="OF1540" ca="1">IFERROR(INDEX(nombres[],SMALL(IF(OFFSET(nombres[],0,0,ROWS(nombres[]),1)=OF$1490,ROW(OFFSET(nombres[],0,0,ROWS(nombres[]),1))-ROW(OFFSET(nombres[],0,0,1,1))+1,ROW(OFFSET(nombres[],ROWS(nombres[])-1,0,1,1))+1),$O1540:$O1559),3),"")</f>
        <v/>
      </c>
      <c r="OG1540" s="42" t="str">
        <f t="array" aca="1" ref="OG1540" ca="1">IFERROR(INDEX(nombres[],SMALL(IF(OFFSET(nombres[],0,0,ROWS(nombres[]),1)=OG$1490,ROW(OFFSET(nombres[],0,0,ROWS(nombres[]),1))-ROW(OFFSET(nombres[],0,0,1,1))+1,ROW(OFFSET(nombres[],ROWS(nombres[])-1,0,1,1))+1),$O1540:$O1559),3),"")</f>
        <v/>
      </c>
      <c r="OH1540" s="42" t="str">
        <f t="array" aca="1" ref="OH1540" ca="1">IFERROR(INDEX(nombres[],SMALL(IF(OFFSET(nombres[],0,0,ROWS(nombres[]),1)=OH$1490,ROW(OFFSET(nombres[],0,0,ROWS(nombres[]),1))-ROW(OFFSET(nombres[],0,0,1,1))+1,ROW(OFFSET(nombres[],ROWS(nombres[])-1,0,1,1))+1),$O1540:$O1559),3),"")</f>
        <v/>
      </c>
      <c r="OI1540" s="42" t="str">
        <f t="array" aca="1" ref="OI1540" ca="1">IFERROR(INDEX(nombres[],SMALL(IF(OFFSET(nombres[],0,0,ROWS(nombres[]),1)=OI$1490,ROW(OFFSET(nombres[],0,0,ROWS(nombres[]),1))-ROW(OFFSET(nombres[],0,0,1,1))+1,ROW(OFFSET(nombres[],ROWS(nombres[])-1,0,1,1))+1),$O1540:$O1559),3),"")</f>
        <v/>
      </c>
      <c r="OJ1540" s="42" t="str">
        <f t="array" aca="1" ref="OJ1540" ca="1">IFERROR(INDEX(nombres[],SMALL(IF(OFFSET(nombres[],0,0,ROWS(nombres[]),1)=OJ$1490,ROW(OFFSET(nombres[],0,0,ROWS(nombres[]),1))-ROW(OFFSET(nombres[],0,0,1,1))+1,ROW(OFFSET(nombres[],ROWS(nombres[])-1,0,1,1))+1),$O1540:$O1559),3),"")</f>
        <v/>
      </c>
      <c r="OK1540" s="42" t="str">
        <f t="array" aca="1" ref="OK1540" ca="1">IFERROR(INDEX(nombres[],SMALL(IF(OFFSET(nombres[],0,0,ROWS(nombres[]),1)=OK$1490,ROW(OFFSET(nombres[],0,0,ROWS(nombres[]),1))-ROW(OFFSET(nombres[],0,0,1,1))+1,ROW(OFFSET(nombres[],ROWS(nombres[])-1,0,1,1))+1),$O1540:$O1559),3),"")</f>
        <v/>
      </c>
      <c r="OL1540" s="42" t="str">
        <f t="array" aca="1" ref="OL1540" ca="1">IFERROR(INDEX(nombres[],SMALL(IF(OFFSET(nombres[],0,0,ROWS(nombres[]),1)=OL$1490,ROW(OFFSET(nombres[],0,0,ROWS(nombres[]),1))-ROW(OFFSET(nombres[],0,0,1,1))+1,ROW(OFFSET(nombres[],ROWS(nombres[])-1,0,1,1))+1),$O1540:$O1559),3),"")</f>
        <v/>
      </c>
      <c r="OM1540" s="42" t="str">
        <f t="array" aca="1" ref="OM1540" ca="1">IFERROR(INDEX(nombres[],SMALL(IF(OFFSET(nombres[],0,0,ROWS(nombres[]),1)=OM$1490,ROW(OFFSET(nombres[],0,0,ROWS(nombres[]),1))-ROW(OFFSET(nombres[],0,0,1,1))+1,ROW(OFFSET(nombres[],ROWS(nombres[])-1,0,1,1))+1),$O1540:$O1559),3),"")</f>
        <v/>
      </c>
      <c r="ON1540" s="42" t="str">
        <f t="array" aca="1" ref="ON1540" ca="1">IFERROR(INDEX(nombres[],SMALL(IF(OFFSET(nombres[],0,0,ROWS(nombres[]),1)=ON$1490,ROW(OFFSET(nombres[],0,0,ROWS(nombres[]),1))-ROW(OFFSET(nombres[],0,0,1,1))+1,ROW(OFFSET(nombres[],ROWS(nombres[])-1,0,1,1))+1),$O1540:$O1559),3),"")</f>
        <v/>
      </c>
      <c r="OO1540" s="42" t="str">
        <f t="array" aca="1" ref="OO1540" ca="1">IFERROR(INDEX(nombres[],SMALL(IF(OFFSET(nombres[],0,0,ROWS(nombres[]),1)=OO$1490,ROW(OFFSET(nombres[],0,0,ROWS(nombres[]),1))-ROW(OFFSET(nombres[],0,0,1,1))+1,ROW(OFFSET(nombres[],ROWS(nombres[])-1,0,1,1))+1),$O1540:$O1559),3),"")</f>
        <v/>
      </c>
      <c r="OP1540" s="42" t="str">
        <f t="array" aca="1" ref="OP1540" ca="1">IFERROR(INDEX(nombres[],SMALL(IF(OFFSET(nombres[],0,0,ROWS(nombres[]),1)=OP$1490,ROW(OFFSET(nombres[],0,0,ROWS(nombres[]),1))-ROW(OFFSET(nombres[],0,0,1,1))+1,ROW(OFFSET(nombres[],ROWS(nombres[])-1,0,1,1))+1),$O1540:$O1559),3),"")</f>
        <v/>
      </c>
      <c r="OQ1540" s="42" t="str">
        <f t="array" aca="1" ref="OQ1540" ca="1">IFERROR(INDEX(nombres[],SMALL(IF(OFFSET(nombres[],0,0,ROWS(nombres[]),1)=OQ$1490,ROW(OFFSET(nombres[],0,0,ROWS(nombres[]),1))-ROW(OFFSET(nombres[],0,0,1,1))+1,ROW(OFFSET(nombres[],ROWS(nombres[])-1,0,1,1))+1),$O1540:$O1559),3),"")</f>
        <v/>
      </c>
      <c r="OR1540" s="42" t="str">
        <f t="array" aca="1" ref="OR1540" ca="1">IFERROR(INDEX(nombres[],SMALL(IF(OFFSET(nombres[],0,0,ROWS(nombres[]),1)=OR$1490,ROW(OFFSET(nombres[],0,0,ROWS(nombres[]),1))-ROW(OFFSET(nombres[],0,0,1,1))+1,ROW(OFFSET(nombres[],ROWS(nombres[])-1,0,1,1))+1),$O1540:$O1559),3),"")</f>
        <v/>
      </c>
      <c r="OS1540" s="42" t="str">
        <f t="array" aca="1" ref="OS1540" ca="1">IFERROR(INDEX(nombres[],SMALL(IF(OFFSET(nombres[],0,0,ROWS(nombres[]),1)=OS$1490,ROW(OFFSET(nombres[],0,0,ROWS(nombres[]),1))-ROW(OFFSET(nombres[],0,0,1,1))+1,ROW(OFFSET(nombres[],ROWS(nombres[])-1,0,1,1))+1),$O1540:$O1559),3),"")</f>
        <v/>
      </c>
      <c r="OT1540" s="42" t="str">
        <f t="array" aca="1" ref="OT1540" ca="1">IFERROR(INDEX(nombres[],SMALL(IF(OFFSET(nombres[],0,0,ROWS(nombres[]),1)=OT$1490,ROW(OFFSET(nombres[],0,0,ROWS(nombres[]),1))-ROW(OFFSET(nombres[],0,0,1,1))+1,ROW(OFFSET(nombres[],ROWS(nombres[])-1,0,1,1))+1),$O1540:$O1559),3),"")</f>
        <v/>
      </c>
      <c r="OU1540" s="42" t="str">
        <f t="array" aca="1" ref="OU1540" ca="1">IFERROR(INDEX(nombres[],SMALL(IF(OFFSET(nombres[],0,0,ROWS(nombres[]),1)=OU$1490,ROW(OFFSET(nombres[],0,0,ROWS(nombres[]),1))-ROW(OFFSET(nombres[],0,0,1,1))+1,ROW(OFFSET(nombres[],ROWS(nombres[])-1,0,1,1))+1),$O1540:$O1559),3),"")</f>
        <v/>
      </c>
      <c r="OV1540" s="42" t="str">
        <f t="array" aca="1" ref="OV1540" ca="1">IFERROR(INDEX(nombres[],SMALL(IF(OFFSET(nombres[],0,0,ROWS(nombres[]),1)=OV$1490,ROW(OFFSET(nombres[],0,0,ROWS(nombres[]),1))-ROW(OFFSET(nombres[],0,0,1,1))+1,ROW(OFFSET(nombres[],ROWS(nombres[])-1,0,1,1))+1),$O1540:$O1559),3),"")</f>
        <v/>
      </c>
      <c r="OW1540" s="42" t="str">
        <f t="array" aca="1" ref="OW1540" ca="1">IFERROR(INDEX(nombres[],SMALL(IF(OFFSET(nombres[],0,0,ROWS(nombres[]),1)=OW$1490,ROW(OFFSET(nombres[],0,0,ROWS(nombres[]),1))-ROW(OFFSET(nombres[],0,0,1,1))+1,ROW(OFFSET(nombres[],ROWS(nombres[])-1,0,1,1))+1),$O1540:$O1559),3),"")</f>
        <v/>
      </c>
      <c r="OX1540" s="42" t="str">
        <f t="array" aca="1" ref="OX1540" ca="1">IFERROR(INDEX(nombres[],SMALL(IF(OFFSET(nombres[],0,0,ROWS(nombres[]),1)=OX$1490,ROW(OFFSET(nombres[],0,0,ROWS(nombres[]),1))-ROW(OFFSET(nombres[],0,0,1,1))+1,ROW(OFFSET(nombres[],ROWS(nombres[])-1,0,1,1))+1),$O1540:$O1559),3),"")</f>
        <v/>
      </c>
      <c r="OY1540" s="42" t="str">
        <f t="array" aca="1" ref="OY1540" ca="1">IFERROR(INDEX(nombres[],SMALL(IF(OFFSET(nombres[],0,0,ROWS(nombres[]),1)=OY$1490,ROW(OFFSET(nombres[],0,0,ROWS(nombres[]),1))-ROW(OFFSET(nombres[],0,0,1,1))+1,ROW(OFFSET(nombres[],ROWS(nombres[])-1,0,1,1))+1),$O1540:$O1559),3),"")</f>
        <v/>
      </c>
      <c r="OZ1540" s="42" t="str">
        <f t="array" aca="1" ref="OZ1540" ca="1">IFERROR(INDEX(nombres[],SMALL(IF(OFFSET(nombres[],0,0,ROWS(nombres[]),1)=OZ$1490,ROW(OFFSET(nombres[],0,0,ROWS(nombres[]),1))-ROW(OFFSET(nombres[],0,0,1,1))+1,ROW(OFFSET(nombres[],ROWS(nombres[])-1,0,1,1))+1),$O1540:$O1559),3),"")</f>
        <v/>
      </c>
      <c r="PA1540" s="42" t="str">
        <f t="array" aca="1" ref="PA1540" ca="1">IFERROR(INDEX(nombres[],SMALL(IF(OFFSET(nombres[],0,0,ROWS(nombres[]),1)=PA$1490,ROW(OFFSET(nombres[],0,0,ROWS(nombres[]),1))-ROW(OFFSET(nombres[],0,0,1,1))+1,ROW(OFFSET(nombres[],ROWS(nombres[])-1,0,1,1))+1),$O1540:$O1559),3),"")</f>
        <v/>
      </c>
      <c r="PB1540" s="42" t="str">
        <f t="array" aca="1" ref="PB1540" ca="1">IFERROR(INDEX(nombres[],SMALL(IF(OFFSET(nombres[],0,0,ROWS(nombres[]),1)=PB$1490,ROW(OFFSET(nombres[],0,0,ROWS(nombres[]),1))-ROW(OFFSET(nombres[],0,0,1,1))+1,ROW(OFFSET(nombres[],ROWS(nombres[])-1,0,1,1))+1),$O1540:$O1559),3),"")</f>
        <v/>
      </c>
      <c r="PC1540" s="42" t="str">
        <f t="array" aca="1" ref="PC1540" ca="1">IFERROR(INDEX(nombres[],SMALL(IF(OFFSET(nombres[],0,0,ROWS(nombres[]),1)=PC$1490,ROW(OFFSET(nombres[],0,0,ROWS(nombres[]),1))-ROW(OFFSET(nombres[],0,0,1,1))+1,ROW(OFFSET(nombres[],ROWS(nombres[])-1,0,1,1))+1),$O1540:$O1559),3),"")</f>
        <v/>
      </c>
      <c r="PD1540" s="42" t="str">
        <f t="array" aca="1" ref="PD1540" ca="1">IFERROR(INDEX(nombres[],SMALL(IF(OFFSET(nombres[],0,0,ROWS(nombres[]),1)=PD$1490,ROW(OFFSET(nombres[],0,0,ROWS(nombres[]),1))-ROW(OFFSET(nombres[],0,0,1,1))+1,ROW(OFFSET(nombres[],ROWS(nombres[])-1,0,1,1))+1),$O1540:$O1559),3),"")</f>
        <v/>
      </c>
      <c r="PE1540" s="42" t="str">
        <f t="array" aca="1" ref="PE1540" ca="1">IFERROR(INDEX(nombres[],SMALL(IF(OFFSET(nombres[],0,0,ROWS(nombres[]),1)=PE$1490,ROW(OFFSET(nombres[],0,0,ROWS(nombres[]),1))-ROW(OFFSET(nombres[],0,0,1,1))+1,ROW(OFFSET(nombres[],ROWS(nombres[])-1,0,1,1))+1),$O1540:$O1559),3),"")</f>
        <v/>
      </c>
      <c r="PF1540" s="42" t="str">
        <f t="array" aca="1" ref="PF1540" ca="1">IFERROR(INDEX(nombres[],SMALL(IF(OFFSET(nombres[],0,0,ROWS(nombres[]),1)=PF$1490,ROW(OFFSET(nombres[],0,0,ROWS(nombres[]),1))-ROW(OFFSET(nombres[],0,0,1,1))+1,ROW(OFFSET(nombres[],ROWS(nombres[])-1,0,1,1))+1),$O1540:$O1559),3),"")</f>
        <v/>
      </c>
      <c r="PG1540" s="42" t="str">
        <f t="array" aca="1" ref="PG1540" ca="1">IFERROR(INDEX(nombres[],SMALL(IF(OFFSET(nombres[],0,0,ROWS(nombres[]),1)=PG$1490,ROW(OFFSET(nombres[],0,0,ROWS(nombres[]),1))-ROW(OFFSET(nombres[],0,0,1,1))+1,ROW(OFFSET(nombres[],ROWS(nombres[])-1,0,1,1))+1),$O1540:$O1559),3),"")</f>
        <v/>
      </c>
      <c r="PH1540" s="42" t="str">
        <f t="array" aca="1" ref="PH1540" ca="1">IFERROR(INDEX(nombres[],SMALL(IF(OFFSET(nombres[],0,0,ROWS(nombres[]),1)=PH$1490,ROW(OFFSET(nombres[],0,0,ROWS(nombres[]),1))-ROW(OFFSET(nombres[],0,0,1,1))+1,ROW(OFFSET(nombres[],ROWS(nombres[])-1,0,1,1))+1),$O1540:$O1559),3),"")</f>
        <v/>
      </c>
      <c r="PI1540" s="42" t="str">
        <f t="array" aca="1" ref="PI1540" ca="1">IFERROR(INDEX(nombres[],SMALL(IF(OFFSET(nombres[],0,0,ROWS(nombres[]),1)=PI$1490,ROW(OFFSET(nombres[],0,0,ROWS(nombres[]),1))-ROW(OFFSET(nombres[],0,0,1,1))+1,ROW(OFFSET(nombres[],ROWS(nombres[])-1,0,1,1))+1),$O1540:$O1559),3),"")</f>
        <v/>
      </c>
      <c r="PJ1540" s="42" t="str">
        <f t="array" aca="1" ref="PJ1540" ca="1">IFERROR(INDEX(nombres[],SMALL(IF(OFFSET(nombres[],0,0,ROWS(nombres[]),1)=PJ$1490,ROW(OFFSET(nombres[],0,0,ROWS(nombres[]),1))-ROW(OFFSET(nombres[],0,0,1,1))+1,ROW(OFFSET(nombres[],ROWS(nombres[])-1,0,1,1))+1),$O1540:$O1559),3),"")</f>
        <v/>
      </c>
      <c r="PK1540" s="42" t="str">
        <f t="array" aca="1" ref="PK1540" ca="1">IFERROR(INDEX(nombres[],SMALL(IF(OFFSET(nombres[],0,0,ROWS(nombres[]),1)=PK$1490,ROW(OFFSET(nombres[],0,0,ROWS(nombres[]),1))-ROW(OFFSET(nombres[],0,0,1,1))+1,ROW(OFFSET(nombres[],ROWS(nombres[])-1,0,1,1))+1),$O1540:$O1559),3),"")</f>
        <v/>
      </c>
      <c r="PL1540" s="42" t="str">
        <f t="array" aca="1" ref="PL1540" ca="1">IFERROR(INDEX(nombres[],SMALL(IF(OFFSET(nombres[],0,0,ROWS(nombres[]),1)=PL$1490,ROW(OFFSET(nombres[],0,0,ROWS(nombres[]),1))-ROW(OFFSET(nombres[],0,0,1,1))+1,ROW(OFFSET(nombres[],ROWS(nombres[])-1,0,1,1))+1),$O1540:$O1559),3),"")</f>
        <v/>
      </c>
      <c r="PM1540" s="42" t="str">
        <f t="array" aca="1" ref="PM1540" ca="1">IFERROR(INDEX(nombres[],SMALL(IF(OFFSET(nombres[],0,0,ROWS(nombres[]),1)=PM$1490,ROW(OFFSET(nombres[],0,0,ROWS(nombres[]),1))-ROW(OFFSET(nombres[],0,0,1,1))+1,ROW(OFFSET(nombres[],ROWS(nombres[])-1,0,1,1))+1),$O1540:$O1559),3),"")</f>
        <v/>
      </c>
      <c r="PN1540" s="42" t="str">
        <f t="array" aca="1" ref="PN1540" ca="1">IFERROR(INDEX(nombres[],SMALL(IF(OFFSET(nombres[],0,0,ROWS(nombres[]),1)=PN$1490,ROW(OFFSET(nombres[],0,0,ROWS(nombres[]),1))-ROW(OFFSET(nombres[],0,0,1,1))+1,ROW(OFFSET(nombres[],ROWS(nombres[])-1,0,1,1))+1),$O1540:$O1559),3),"")</f>
        <v/>
      </c>
      <c r="PO1540" s="42" t="str">
        <f t="array" aca="1" ref="PO1540" ca="1">IFERROR(INDEX(nombres[],SMALL(IF(OFFSET(nombres[],0,0,ROWS(nombres[]),1)=PO$1490,ROW(OFFSET(nombres[],0,0,ROWS(nombres[]),1))-ROW(OFFSET(nombres[],0,0,1,1))+1,ROW(OFFSET(nombres[],ROWS(nombres[])-1,0,1,1))+1),$O1540:$O1559),3),"")</f>
        <v/>
      </c>
      <c r="PP1540" s="42" t="str">
        <f t="array" aca="1" ref="PP1540" ca="1">IFERROR(INDEX(nombres[],SMALL(IF(OFFSET(nombres[],0,0,ROWS(nombres[]),1)=PP$1490,ROW(OFFSET(nombres[],0,0,ROWS(nombres[]),1))-ROW(OFFSET(nombres[],0,0,1,1))+1,ROW(OFFSET(nombres[],ROWS(nombres[])-1,0,1,1))+1),$O1540:$O1559),3),"")</f>
        <v/>
      </c>
      <c r="PQ1540" s="42" t="str">
        <f t="array" aca="1" ref="PQ1540" ca="1">IFERROR(INDEX(nombres[],SMALL(IF(OFFSET(nombres[],0,0,ROWS(nombres[]),1)=PQ$1490,ROW(OFFSET(nombres[],0,0,ROWS(nombres[]),1))-ROW(OFFSET(nombres[],0,0,1,1))+1,ROW(OFFSET(nombres[],ROWS(nombres[])-1,0,1,1))+1),$O1540:$O1559),3),"")</f>
        <v/>
      </c>
      <c r="PR1540" s="42" t="str">
        <f t="array" aca="1" ref="PR1540" ca="1">IFERROR(INDEX(nombres[],SMALL(IF(OFFSET(nombres[],0,0,ROWS(nombres[]),1)=PR$1490,ROW(OFFSET(nombres[],0,0,ROWS(nombres[]),1))-ROW(OFFSET(nombres[],0,0,1,1))+1,ROW(OFFSET(nombres[],ROWS(nombres[])-1,0,1,1))+1),$O1540:$O1559),3),"")</f>
        <v/>
      </c>
      <c r="PS1540" s="42" t="str">
        <f t="array" aca="1" ref="PS1540" ca="1">IFERROR(INDEX(nombres[],SMALL(IF(OFFSET(nombres[],0,0,ROWS(nombres[]),1)=PS$1490,ROW(OFFSET(nombres[],0,0,ROWS(nombres[]),1))-ROW(OFFSET(nombres[],0,0,1,1))+1,ROW(OFFSET(nombres[],ROWS(nombres[])-1,0,1,1))+1),$O1540:$O1559),3),"")</f>
        <v/>
      </c>
      <c r="PT1540" s="42" t="str">
        <f t="array" aca="1" ref="PT1540" ca="1">IFERROR(INDEX(nombres[],SMALL(IF(OFFSET(nombres[],0,0,ROWS(nombres[]),1)=PT$1490,ROW(OFFSET(nombres[],0,0,ROWS(nombres[]),1))-ROW(OFFSET(nombres[],0,0,1,1))+1,ROW(OFFSET(nombres[],ROWS(nombres[])-1,0,1,1))+1),$O1540:$O1559),3),"")</f>
        <v/>
      </c>
      <c r="PU1540" s="42" t="str">
        <f t="array" aca="1" ref="PU1540" ca="1">IFERROR(INDEX(nombres[],SMALL(IF(OFFSET(nombres[],0,0,ROWS(nombres[]),1)=PU$1490,ROW(OFFSET(nombres[],0,0,ROWS(nombres[]),1))-ROW(OFFSET(nombres[],0,0,1,1))+1,ROW(OFFSET(nombres[],ROWS(nombres[])-1,0,1,1))+1),$O1540:$O1559),3),"")</f>
        <v/>
      </c>
      <c r="PV1540" s="42" t="str">
        <f t="array" aca="1" ref="PV1540" ca="1">IFERROR(INDEX(nombres[],SMALL(IF(OFFSET(nombres[],0,0,ROWS(nombres[]),1)=PV$1490,ROW(OFFSET(nombres[],0,0,ROWS(nombres[]),1))-ROW(OFFSET(nombres[],0,0,1,1))+1,ROW(OFFSET(nombres[],ROWS(nombres[])-1,0,1,1))+1),$O1540:$O1559),3),"")</f>
        <v/>
      </c>
      <c r="PW1540" s="42" t="str">
        <f t="array" aca="1" ref="PW1540" ca="1">IFERROR(INDEX(nombres[],SMALL(IF(OFFSET(nombres[],0,0,ROWS(nombres[]),1)=PW$1490,ROW(OFFSET(nombres[],0,0,ROWS(nombres[]),1))-ROW(OFFSET(nombres[],0,0,1,1))+1,ROW(OFFSET(nombres[],ROWS(nombres[])-1,0,1,1))+1),$O1540:$O1559),3),"")</f>
        <v/>
      </c>
      <c r="PX1540" s="42" t="str">
        <f t="array" aca="1" ref="PX1540" ca="1">IFERROR(INDEX(nombres[],SMALL(IF(OFFSET(nombres[],0,0,ROWS(nombres[]),1)=PX$1490,ROW(OFFSET(nombres[],0,0,ROWS(nombres[]),1))-ROW(OFFSET(nombres[],0,0,1,1))+1,ROW(OFFSET(nombres[],ROWS(nombres[])-1,0,1,1))+1),$O1540:$O1559),3),"")</f>
        <v/>
      </c>
      <c r="PY1540" s="42" t="str">
        <f t="array" aca="1" ref="PY1540" ca="1">IFERROR(INDEX(nombres[],SMALL(IF(OFFSET(nombres[],0,0,ROWS(nombres[]),1)=PY$1490,ROW(OFFSET(nombres[],0,0,ROWS(nombres[]),1))-ROW(OFFSET(nombres[],0,0,1,1))+1,ROW(OFFSET(nombres[],ROWS(nombres[])-1,0,1,1))+1),$O1540:$O1559),3),"")</f>
        <v/>
      </c>
      <c r="PZ1540" s="42" t="str">
        <f t="array" aca="1" ref="PZ1540" ca="1">IFERROR(INDEX(nombres[],SMALL(IF(OFFSET(nombres[],0,0,ROWS(nombres[]),1)=PZ$1490,ROW(OFFSET(nombres[],0,0,ROWS(nombres[]),1))-ROW(OFFSET(nombres[],0,0,1,1))+1,ROW(OFFSET(nombres[],ROWS(nombres[])-1,0,1,1))+1),$O1540:$O1559),3),"")</f>
        <v/>
      </c>
      <c r="QA1540" s="42" t="str">
        <f t="array" aca="1" ref="QA1540" ca="1">IFERROR(INDEX(nombres[],SMALL(IF(OFFSET(nombres[],0,0,ROWS(nombres[]),1)=QA$1490,ROW(OFFSET(nombres[],0,0,ROWS(nombres[]),1))-ROW(OFFSET(nombres[],0,0,1,1))+1,ROW(OFFSET(nombres[],ROWS(nombres[])-1,0,1,1))+1),$O1540:$O1559),3),"")</f>
        <v/>
      </c>
      <c r="QB1540" s="42" t="str">
        <f t="array" aca="1" ref="QB1540" ca="1">IFERROR(INDEX(nombres[],SMALL(IF(OFFSET(nombres[],0,0,ROWS(nombres[]),1)=QB$1490,ROW(OFFSET(nombres[],0,0,ROWS(nombres[]),1))-ROW(OFFSET(nombres[],0,0,1,1))+1,ROW(OFFSET(nombres[],ROWS(nombres[])-1,0,1,1))+1),$O1540:$O1559),3),"")</f>
        <v/>
      </c>
      <c r="QC1540" s="42" t="str">
        <f t="array" aca="1" ref="QC1540" ca="1">IFERROR(INDEX(nombres[],SMALL(IF(OFFSET(nombres[],0,0,ROWS(nombres[]),1)=QC$1490,ROW(OFFSET(nombres[],0,0,ROWS(nombres[]),1))-ROW(OFFSET(nombres[],0,0,1,1))+1,ROW(OFFSET(nombres[],ROWS(nombres[])-1,0,1,1))+1),$O1540:$O1559),3),"")</f>
        <v/>
      </c>
      <c r="QD1540" s="42" t="str">
        <f t="array" aca="1" ref="QD1540" ca="1">IFERROR(INDEX(nombres[],SMALL(IF(OFFSET(nombres[],0,0,ROWS(nombres[]),1)=QD$1490,ROW(OFFSET(nombres[],0,0,ROWS(nombres[]),1))-ROW(OFFSET(nombres[],0,0,1,1))+1,ROW(OFFSET(nombres[],ROWS(nombres[])-1,0,1,1))+1),$O1540:$O1559),3),"")</f>
        <v/>
      </c>
      <c r="QE1540" s="42" t="str">
        <f t="array" aca="1" ref="QE1540" ca="1">IFERROR(INDEX(nombres[],SMALL(IF(OFFSET(nombres[],0,0,ROWS(nombres[]),1)=QE$1490,ROW(OFFSET(nombres[],0,0,ROWS(nombres[]),1))-ROW(OFFSET(nombres[],0,0,1,1))+1,ROW(OFFSET(nombres[],ROWS(nombres[])-1,0,1,1))+1),$O1540:$O1559),3),"")</f>
        <v/>
      </c>
      <c r="QF1540" s="42" t="str">
        <f t="array" aca="1" ref="QF1540" ca="1">IFERROR(INDEX(nombres[],SMALL(IF(OFFSET(nombres[],0,0,ROWS(nombres[]),1)=QF$1490,ROW(OFFSET(nombres[],0,0,ROWS(nombres[]),1))-ROW(OFFSET(nombres[],0,0,1,1))+1,ROW(OFFSET(nombres[],ROWS(nombres[])-1,0,1,1))+1),$O1540:$O1559),3),"")</f>
        <v/>
      </c>
      <c r="QG1540" s="42" t="str">
        <f t="array" aca="1" ref="QG1540" ca="1">IFERROR(INDEX(nombres[],SMALL(IF(OFFSET(nombres[],0,0,ROWS(nombres[]),1)=QG$1490,ROW(OFFSET(nombres[],0,0,ROWS(nombres[]),1))-ROW(OFFSET(nombres[],0,0,1,1))+1,ROW(OFFSET(nombres[],ROWS(nombres[])-1,0,1,1))+1),$O1540:$O1559),3),"")</f>
        <v/>
      </c>
      <c r="QH1540" s="42" t="str">
        <f t="array" aca="1" ref="QH1540" ca="1">IFERROR(INDEX(nombres[],SMALL(IF(OFFSET(nombres[],0,0,ROWS(nombres[]),1)=QH$1490,ROW(OFFSET(nombres[],0,0,ROWS(nombres[]),1))-ROW(OFFSET(nombres[],0,0,1,1))+1,ROW(OFFSET(nombres[],ROWS(nombres[])-1,0,1,1))+1),$O1540:$O1559),3),"")</f>
        <v/>
      </c>
      <c r="QI1540" s="42" t="str">
        <f t="array" aca="1" ref="QI1540" ca="1">IFERROR(INDEX(nombres[],SMALL(IF(OFFSET(nombres[],0,0,ROWS(nombres[]),1)=QI$1490,ROW(OFFSET(nombres[],0,0,ROWS(nombres[]),1))-ROW(OFFSET(nombres[],0,0,1,1))+1,ROW(OFFSET(nombres[],ROWS(nombres[])-1,0,1,1))+1),$O1540:$O1559),3),"")</f>
        <v/>
      </c>
      <c r="QJ1540" s="42" t="str">
        <f t="array" aca="1" ref="QJ1540" ca="1">IFERROR(INDEX(nombres[],SMALL(IF(OFFSET(nombres[],0,0,ROWS(nombres[]),1)=QJ$1490,ROW(OFFSET(nombres[],0,0,ROWS(nombres[]),1))-ROW(OFFSET(nombres[],0,0,1,1))+1,ROW(OFFSET(nombres[],ROWS(nombres[])-1,0,1,1))+1),$O1540:$O1559),3),"")</f>
        <v/>
      </c>
      <c r="QK1540" s="42" t="str">
        <f t="array" aca="1" ref="QK1540" ca="1">IFERROR(INDEX(nombres[],SMALL(IF(OFFSET(nombres[],0,0,ROWS(nombres[]),1)=QK$1490,ROW(OFFSET(nombres[],0,0,ROWS(nombres[]),1))-ROW(OFFSET(nombres[],0,0,1,1))+1,ROW(OFFSET(nombres[],ROWS(nombres[])-1,0,1,1))+1),$O1540:$O1559),3),"")</f>
        <v/>
      </c>
      <c r="QL1540" s="42" t="str">
        <f t="array" aca="1" ref="QL1540" ca="1">IFERROR(INDEX(nombres[],SMALL(IF(OFFSET(nombres[],0,0,ROWS(nombres[]),1)=QL$1490,ROW(OFFSET(nombres[],0,0,ROWS(nombres[]),1))-ROW(OFFSET(nombres[],0,0,1,1))+1,ROW(OFFSET(nombres[],ROWS(nombres[])-1,0,1,1))+1),$O1540:$O1559),3),"")</f>
        <v/>
      </c>
      <c r="QM1540" s="42" t="str">
        <f t="array" aca="1" ref="QM1540" ca="1">IFERROR(INDEX(nombres[],SMALL(IF(OFFSET(nombres[],0,0,ROWS(nombres[]),1)=QM$1490,ROW(OFFSET(nombres[],0,0,ROWS(nombres[]),1))-ROW(OFFSET(nombres[],0,0,1,1))+1,ROW(OFFSET(nombres[],ROWS(nombres[])-1,0,1,1))+1),$O1540:$O1559),3),"")</f>
        <v/>
      </c>
      <c r="QN1540" s="42" t="str">
        <f t="array" aca="1" ref="QN1540" ca="1">IFERROR(INDEX(nombres[],SMALL(IF(OFFSET(nombres[],0,0,ROWS(nombres[]),1)=QN$1490,ROW(OFFSET(nombres[],0,0,ROWS(nombres[]),1))-ROW(OFFSET(nombres[],0,0,1,1))+1,ROW(OFFSET(nombres[],ROWS(nombres[])-1,0,1,1))+1),$O1540:$O1559),3),"")</f>
        <v/>
      </c>
      <c r="QO1540" s="42" t="str">
        <f t="array" aca="1" ref="QO1540" ca="1">IFERROR(INDEX(nombres[],SMALL(IF(OFFSET(nombres[],0,0,ROWS(nombres[]),1)=QO$1490,ROW(OFFSET(nombres[],0,0,ROWS(nombres[]),1))-ROW(OFFSET(nombres[],0,0,1,1))+1,ROW(OFFSET(nombres[],ROWS(nombres[])-1,0,1,1))+1),$O1540:$O1559),3),"")</f>
        <v/>
      </c>
      <c r="QP1540" s="42" t="str">
        <f t="array" aca="1" ref="QP1540" ca="1">IFERROR(INDEX(nombres[],SMALL(IF(OFFSET(nombres[],0,0,ROWS(nombres[]),1)=QP$1490,ROW(OFFSET(nombres[],0,0,ROWS(nombres[]),1))-ROW(OFFSET(nombres[],0,0,1,1))+1,ROW(OFFSET(nombres[],ROWS(nombres[])-1,0,1,1))+1),$O1540:$O1559),3),"")</f>
        <v/>
      </c>
      <c r="QQ1540" s="42" t="str">
        <f t="array" aca="1" ref="QQ1540" ca="1">IFERROR(INDEX(nombres[],SMALL(IF(OFFSET(nombres[],0,0,ROWS(nombres[]),1)=QQ$1490,ROW(OFFSET(nombres[],0,0,ROWS(nombres[]),1))-ROW(OFFSET(nombres[],0,0,1,1))+1,ROW(OFFSET(nombres[],ROWS(nombres[])-1,0,1,1))+1),$O1540:$O1559),3),"")</f>
        <v/>
      </c>
      <c r="QR1540" s="42" t="str">
        <f t="array" aca="1" ref="QR1540" ca="1">IFERROR(INDEX(nombres[],SMALL(IF(OFFSET(nombres[],0,0,ROWS(nombres[]),1)=QR$1490,ROW(OFFSET(nombres[],0,0,ROWS(nombres[]),1))-ROW(OFFSET(nombres[],0,0,1,1))+1,ROW(OFFSET(nombres[],ROWS(nombres[])-1,0,1,1))+1),$O1540:$O1559),3),"")</f>
        <v/>
      </c>
      <c r="QS1540" s="42" t="str">
        <f t="array" aca="1" ref="QS1540" ca="1">IFERROR(INDEX(nombres[],SMALL(IF(OFFSET(nombres[],0,0,ROWS(nombres[]),1)=QS$1490,ROW(OFFSET(nombres[],0,0,ROWS(nombres[]),1))-ROW(OFFSET(nombres[],0,0,1,1))+1,ROW(OFFSET(nombres[],ROWS(nombres[])-1,0,1,1))+1),$O1540:$O1559),3),"")</f>
        <v/>
      </c>
      <c r="QT1540" s="42" t="str">
        <f t="array" aca="1" ref="QT1540" ca="1">IFERROR(INDEX(nombres[],SMALL(IF(OFFSET(nombres[],0,0,ROWS(nombres[]),1)=QT$1490,ROW(OFFSET(nombres[],0,0,ROWS(nombres[]),1))-ROW(OFFSET(nombres[],0,0,1,1))+1,ROW(OFFSET(nombres[],ROWS(nombres[])-1,0,1,1))+1),$O1540:$O1559),3),"")</f>
        <v/>
      </c>
      <c r="QU1540" s="42" t="str">
        <f t="array" aca="1" ref="QU1540" ca="1">IFERROR(INDEX(nombres[],SMALL(IF(OFFSET(nombres[],0,0,ROWS(nombres[]),1)=QU$1490,ROW(OFFSET(nombres[],0,0,ROWS(nombres[]),1))-ROW(OFFSET(nombres[],0,0,1,1))+1,ROW(OFFSET(nombres[],ROWS(nombres[])-1,0,1,1))+1),$O1540:$O1559),3),"")</f>
        <v/>
      </c>
      <c r="QV1540" s="42" t="str">
        <f t="array" aca="1" ref="QV1540" ca="1">IFERROR(INDEX(nombres[],SMALL(IF(OFFSET(nombres[],0,0,ROWS(nombres[]),1)=QV$1490,ROW(OFFSET(nombres[],0,0,ROWS(nombres[]),1))-ROW(OFFSET(nombres[],0,0,1,1))+1,ROW(OFFSET(nombres[],ROWS(nombres[])-1,0,1,1))+1),$O1540:$O1559),3),"")</f>
        <v/>
      </c>
      <c r="QW1540" s="42" t="str">
        <f t="array" aca="1" ref="QW1540" ca="1">IFERROR(INDEX(nombres[],SMALL(IF(OFFSET(nombres[],0,0,ROWS(nombres[]),1)=QW$1490,ROW(OFFSET(nombres[],0,0,ROWS(nombres[]),1))-ROW(OFFSET(nombres[],0,0,1,1))+1,ROW(OFFSET(nombres[],ROWS(nombres[])-1,0,1,1))+1),$O1540:$O1559),3),"")</f>
        <v/>
      </c>
      <c r="QX1540" s="42" t="str">
        <f t="array" aca="1" ref="QX1540" ca="1">IFERROR(INDEX(nombres[],SMALL(IF(OFFSET(nombres[],0,0,ROWS(nombres[]),1)=QX$1490,ROW(OFFSET(nombres[],0,0,ROWS(nombres[]),1))-ROW(OFFSET(nombres[],0,0,1,1))+1,ROW(OFFSET(nombres[],ROWS(nombres[])-1,0,1,1))+1),$O1540:$O1559),3),"")</f>
        <v/>
      </c>
      <c r="QY1540" s="42" t="str">
        <f t="array" aca="1" ref="QY1540" ca="1">IFERROR(INDEX(nombres[],SMALL(IF(OFFSET(nombres[],0,0,ROWS(nombres[]),1)=QY$1490,ROW(OFFSET(nombres[],0,0,ROWS(nombres[]),1))-ROW(OFFSET(nombres[],0,0,1,1))+1,ROW(OFFSET(nombres[],ROWS(nombres[])-1,0,1,1))+1),$O1540:$O1559),3),"")</f>
        <v/>
      </c>
      <c r="QZ1540" s="42" t="str">
        <f t="array" aca="1" ref="QZ1540" ca="1">IFERROR(INDEX(nombres[],SMALL(IF(OFFSET(nombres[],0,0,ROWS(nombres[]),1)=QZ$1490,ROW(OFFSET(nombres[],0,0,ROWS(nombres[]),1))-ROW(OFFSET(nombres[],0,0,1,1))+1,ROW(OFFSET(nombres[],ROWS(nombres[])-1,0,1,1))+1),$O1540:$O1559),3),"")</f>
        <v/>
      </c>
      <c r="RA1540" s="42" t="str">
        <f t="array" aca="1" ref="RA1540" ca="1">IFERROR(INDEX(nombres[],SMALL(IF(OFFSET(nombres[],0,0,ROWS(nombres[]),1)=RA$1490,ROW(OFFSET(nombres[],0,0,ROWS(nombres[]),1))-ROW(OFFSET(nombres[],0,0,1,1))+1,ROW(OFFSET(nombres[],ROWS(nombres[])-1,0,1,1))+1),$O1540:$O1559),3),"")</f>
        <v/>
      </c>
      <c r="RB1540" s="42" t="str">
        <f t="array" aca="1" ref="RB1540" ca="1">IFERROR(INDEX(nombres[],SMALL(IF(OFFSET(nombres[],0,0,ROWS(nombres[]),1)=RB$1490,ROW(OFFSET(nombres[],0,0,ROWS(nombres[]),1))-ROW(OFFSET(nombres[],0,0,1,1))+1,ROW(OFFSET(nombres[],ROWS(nombres[])-1,0,1,1))+1),$O1540:$O1559),3),"")</f>
        <v/>
      </c>
      <c r="RC1540" s="42" t="str">
        <f t="array" aca="1" ref="RC1540" ca="1">IFERROR(INDEX(nombres[],SMALL(IF(OFFSET(nombres[],0,0,ROWS(nombres[]),1)=RC$1490,ROW(OFFSET(nombres[],0,0,ROWS(nombres[]),1))-ROW(OFFSET(nombres[],0,0,1,1))+1,ROW(OFFSET(nombres[],ROWS(nombres[])-1,0,1,1))+1),$O1540:$O1559),3),"")</f>
        <v/>
      </c>
      <c r="RD1540" s="42" t="str">
        <f t="array" aca="1" ref="RD1540" ca="1">IFERROR(INDEX(nombres[],SMALL(IF(OFFSET(nombres[],0,0,ROWS(nombres[]),1)=RD$1490,ROW(OFFSET(nombres[],0,0,ROWS(nombres[]),1))-ROW(OFFSET(nombres[],0,0,1,1))+1,ROW(OFFSET(nombres[],ROWS(nombres[])-1,0,1,1))+1),$O1540:$O1559),3),"")</f>
        <v/>
      </c>
      <c r="RE1540" s="42" t="str">
        <f t="array" aca="1" ref="RE1540" ca="1">IFERROR(INDEX(nombres[],SMALL(IF(OFFSET(nombres[],0,0,ROWS(nombres[]),1)=RE$1490,ROW(OFFSET(nombres[],0,0,ROWS(nombres[]),1))-ROW(OFFSET(nombres[],0,0,1,1))+1,ROW(OFFSET(nombres[],ROWS(nombres[])-1,0,1,1))+1),$O1540:$O1559),3),"")</f>
        <v/>
      </c>
      <c r="RF1540" s="42" t="str">
        <f t="array" aca="1" ref="RF1540" ca="1">IFERROR(INDEX(nombres[],SMALL(IF(OFFSET(nombres[],0,0,ROWS(nombres[]),1)=RF$1490,ROW(OFFSET(nombres[],0,0,ROWS(nombres[]),1))-ROW(OFFSET(nombres[],0,0,1,1))+1,ROW(OFFSET(nombres[],ROWS(nombres[])-1,0,1,1))+1),$O1540:$O1559),3),"")</f>
        <v/>
      </c>
      <c r="RG1540" s="42" t="str">
        <f t="array" aca="1" ref="RG1540" ca="1">IFERROR(INDEX(nombres[],SMALL(IF(OFFSET(nombres[],0,0,ROWS(nombres[]),1)=RG$1490,ROW(OFFSET(nombres[],0,0,ROWS(nombres[]),1))-ROW(OFFSET(nombres[],0,0,1,1))+1,ROW(OFFSET(nombres[],ROWS(nombres[])-1,0,1,1))+1),$O1540:$O1559),3),"")</f>
        <v/>
      </c>
      <c r="RH1540" s="42" t="str">
        <f t="array" aca="1" ref="RH1540" ca="1">IFERROR(INDEX(nombres[],SMALL(IF(OFFSET(nombres[],0,0,ROWS(nombres[]),1)=RH$1490,ROW(OFFSET(nombres[],0,0,ROWS(nombres[]),1))-ROW(OFFSET(nombres[],0,0,1,1))+1,ROW(OFFSET(nombres[],ROWS(nombres[])-1,0,1,1))+1),$O1540:$O1559),3),"")</f>
        <v/>
      </c>
      <c r="RI1540" s="42" t="str">
        <f t="array" aca="1" ref="RI1540" ca="1">IFERROR(INDEX(nombres[],SMALL(IF(OFFSET(nombres[],0,0,ROWS(nombres[]),1)=RI$1490,ROW(OFFSET(nombres[],0,0,ROWS(nombres[]),1))-ROW(OFFSET(nombres[],0,0,1,1))+1,ROW(OFFSET(nombres[],ROWS(nombres[])-1,0,1,1))+1),$O1540:$O1559),3),"")</f>
        <v/>
      </c>
      <c r="RJ1540" s="42" t="str">
        <f t="array" aca="1" ref="RJ1540" ca="1">IFERROR(INDEX(nombres[],SMALL(IF(OFFSET(nombres[],0,0,ROWS(nombres[]),1)=RJ$1490,ROW(OFFSET(nombres[],0,0,ROWS(nombres[]),1))-ROW(OFFSET(nombres[],0,0,1,1))+1,ROW(OFFSET(nombres[],ROWS(nombres[])-1,0,1,1))+1),$O1540:$O1559),3),"")</f>
        <v/>
      </c>
      <c r="RK1540" s="42" t="str">
        <f t="array" aca="1" ref="RK1540" ca="1">IFERROR(INDEX(nombres[],SMALL(IF(OFFSET(nombres[],0,0,ROWS(nombres[]),1)=RK$1490,ROW(OFFSET(nombres[],0,0,ROWS(nombres[]),1))-ROW(OFFSET(nombres[],0,0,1,1))+1,ROW(OFFSET(nombres[],ROWS(nombres[])-1,0,1,1))+1),$O1540:$O1559),3),"")</f>
        <v/>
      </c>
      <c r="RL1540" s="42" t="str">
        <f t="array" aca="1" ref="RL1540" ca="1">IFERROR(INDEX(nombres[],SMALL(IF(OFFSET(nombres[],0,0,ROWS(nombres[]),1)=RL$1490,ROW(OFFSET(nombres[],0,0,ROWS(nombres[]),1))-ROW(OFFSET(nombres[],0,0,1,1))+1,ROW(OFFSET(nombres[],ROWS(nombres[])-1,0,1,1))+1),$O1540:$O1559),3),"")</f>
        <v/>
      </c>
      <c r="RM1540" s="42" t="str">
        <f t="array" aca="1" ref="RM1540" ca="1">IFERROR(INDEX(nombres[],SMALL(IF(OFFSET(nombres[],0,0,ROWS(nombres[]),1)=RM$1490,ROW(OFFSET(nombres[],0,0,ROWS(nombres[]),1))-ROW(OFFSET(nombres[],0,0,1,1))+1,ROW(OFFSET(nombres[],ROWS(nombres[])-1,0,1,1))+1),$O1540:$O1559),3),"")</f>
        <v/>
      </c>
      <c r="RN1540" s="42" t="str">
        <f t="array" aca="1" ref="RN1540" ca="1">IFERROR(INDEX(nombres[],SMALL(IF(OFFSET(nombres[],0,0,ROWS(nombres[]),1)=RN$1490,ROW(OFFSET(nombres[],0,0,ROWS(nombres[]),1))-ROW(OFFSET(nombres[],0,0,1,1))+1,ROW(OFFSET(nombres[],ROWS(nombres[])-1,0,1,1))+1),$O1540:$O1559),3),"")</f>
        <v/>
      </c>
      <c r="RO1540" s="42" t="str">
        <f t="array" aca="1" ref="RO1540" ca="1">IFERROR(INDEX(nombres[],SMALL(IF(OFFSET(nombres[],0,0,ROWS(nombres[]),1)=RO$1490,ROW(OFFSET(nombres[],0,0,ROWS(nombres[]),1))-ROW(OFFSET(nombres[],0,0,1,1))+1,ROW(OFFSET(nombres[],ROWS(nombres[])-1,0,1,1))+1),$O1540:$O1559),3),"")</f>
        <v/>
      </c>
      <c r="RP1540" s="42" t="str">
        <f t="array" aca="1" ref="RP1540" ca="1">IFERROR(INDEX(nombres[],SMALL(IF(OFFSET(nombres[],0,0,ROWS(nombres[]),1)=RP$1490,ROW(OFFSET(nombres[],0,0,ROWS(nombres[]),1))-ROW(OFFSET(nombres[],0,0,1,1))+1,ROW(OFFSET(nombres[],ROWS(nombres[])-1,0,1,1))+1),$O1540:$O1559),3),"")</f>
        <v/>
      </c>
      <c r="RQ1540" s="42" t="str">
        <f t="array" aca="1" ref="RQ1540" ca="1">IFERROR(INDEX(nombres[],SMALL(IF(OFFSET(nombres[],0,0,ROWS(nombres[]),1)=RQ$1490,ROW(OFFSET(nombres[],0,0,ROWS(nombres[]),1))-ROW(OFFSET(nombres[],0,0,1,1))+1,ROW(OFFSET(nombres[],ROWS(nombres[])-1,0,1,1))+1),$O1540:$O1559),3),"")</f>
        <v/>
      </c>
      <c r="RR1540" s="42" t="str">
        <f t="array" aca="1" ref="RR1540" ca="1">IFERROR(INDEX(nombres[],SMALL(IF(OFFSET(nombres[],0,0,ROWS(nombres[]),1)=RR$1490,ROW(OFFSET(nombres[],0,0,ROWS(nombres[]),1))-ROW(OFFSET(nombres[],0,0,1,1))+1,ROW(OFFSET(nombres[],ROWS(nombres[])-1,0,1,1))+1),$O1540:$O1559),3),"")</f>
        <v/>
      </c>
      <c r="RS1540" s="42" t="str">
        <f t="array" aca="1" ref="RS1540" ca="1">IFERROR(INDEX(nombres[],SMALL(IF(OFFSET(nombres[],0,0,ROWS(nombres[]),1)=RS$1490,ROW(OFFSET(nombres[],0,0,ROWS(nombres[]),1))-ROW(OFFSET(nombres[],0,0,1,1))+1,ROW(OFFSET(nombres[],ROWS(nombres[])-1,0,1,1))+1),$O1540:$O1559),3),"")</f>
        <v/>
      </c>
      <c r="RT1540" s="42" t="str">
        <f t="array" aca="1" ref="RT1540" ca="1">IFERROR(INDEX(nombres[],SMALL(IF(OFFSET(nombres[],0,0,ROWS(nombres[]),1)=RT$1490,ROW(OFFSET(nombres[],0,0,ROWS(nombres[]),1))-ROW(OFFSET(nombres[],0,0,1,1))+1,ROW(OFFSET(nombres[],ROWS(nombres[])-1,0,1,1))+1),$O1540:$O1559),3),"")</f>
        <v/>
      </c>
      <c r="RU1540" s="42" t="str">
        <f t="array" aca="1" ref="RU1540" ca="1">IFERROR(INDEX(nombres[],SMALL(IF(OFFSET(nombres[],0,0,ROWS(nombres[]),1)=RU$1490,ROW(OFFSET(nombres[],0,0,ROWS(nombres[]),1))-ROW(OFFSET(nombres[],0,0,1,1))+1,ROW(OFFSET(nombres[],ROWS(nombres[])-1,0,1,1))+1),$O1540:$O1559),3),"")</f>
        <v/>
      </c>
      <c r="RV1540" s="42" t="str">
        <f t="array" aca="1" ref="RV1540" ca="1">IFERROR(INDEX(nombres[],SMALL(IF(OFFSET(nombres[],0,0,ROWS(nombres[]),1)=RV$1490,ROW(OFFSET(nombres[],0,0,ROWS(nombres[]),1))-ROW(OFFSET(nombres[],0,0,1,1))+1,ROW(OFFSET(nombres[],ROWS(nombres[])-1,0,1,1))+1),$O1540:$O1559),3),"")</f>
        <v/>
      </c>
      <c r="RW1540" s="42" t="str">
        <f t="array" aca="1" ref="RW1540" ca="1">IFERROR(INDEX(nombres[],SMALL(IF(OFFSET(nombres[],0,0,ROWS(nombres[]),1)=RW$1490,ROW(OFFSET(nombres[],0,0,ROWS(nombres[]),1))-ROW(OFFSET(nombres[],0,0,1,1))+1,ROW(OFFSET(nombres[],ROWS(nombres[])-1,0,1,1))+1),$O1540:$O1559),3),"")</f>
        <v/>
      </c>
      <c r="RX1540" s="42" t="str">
        <f t="array" aca="1" ref="RX1540" ca="1">IFERROR(INDEX(nombres[],SMALL(IF(OFFSET(nombres[],0,0,ROWS(nombres[]),1)=RX$1490,ROW(OFFSET(nombres[],0,0,ROWS(nombres[]),1))-ROW(OFFSET(nombres[],0,0,1,1))+1,ROW(OFFSET(nombres[],ROWS(nombres[])-1,0,1,1))+1),$O1540:$O1559),3),"")</f>
        <v/>
      </c>
      <c r="RY1540" s="42" t="str">
        <f t="array" aca="1" ref="RY1540" ca="1">IFERROR(INDEX(nombres[],SMALL(IF(OFFSET(nombres[],0,0,ROWS(nombres[]),1)=RY$1490,ROW(OFFSET(nombres[],0,0,ROWS(nombres[]),1))-ROW(OFFSET(nombres[],0,0,1,1))+1,ROW(OFFSET(nombres[],ROWS(nombres[])-1,0,1,1))+1),$O1540:$O1559),3),"")</f>
        <v/>
      </c>
      <c r="RZ1540" s="42" t="str">
        <f t="array" aca="1" ref="RZ1540" ca="1">IFERROR(INDEX(nombres[],SMALL(IF(OFFSET(nombres[],0,0,ROWS(nombres[]),1)=RZ$1490,ROW(OFFSET(nombres[],0,0,ROWS(nombres[]),1))-ROW(OFFSET(nombres[],0,0,1,1))+1,ROW(OFFSET(nombres[],ROWS(nombres[])-1,0,1,1))+1),$O1540:$O1559),3),"")</f>
        <v/>
      </c>
      <c r="SA1540" s="42" t="str">
        <f t="array" aca="1" ref="SA1540" ca="1">IFERROR(INDEX(nombres[],SMALL(IF(OFFSET(nombres[],0,0,ROWS(nombres[]),1)=SA$1490,ROW(OFFSET(nombres[],0,0,ROWS(nombres[]),1))-ROW(OFFSET(nombres[],0,0,1,1))+1,ROW(OFFSET(nombres[],ROWS(nombres[])-1,0,1,1))+1),$O1540:$O1559),3),"")</f>
        <v/>
      </c>
      <c r="SB1540" s="42" t="str">
        <f t="array" aca="1" ref="SB1540" ca="1">IFERROR(INDEX(nombres[],SMALL(IF(OFFSET(nombres[],0,0,ROWS(nombres[]),1)=SB$1490,ROW(OFFSET(nombres[],0,0,ROWS(nombres[]),1))-ROW(OFFSET(nombres[],0,0,1,1))+1,ROW(OFFSET(nombres[],ROWS(nombres[])-1,0,1,1))+1),$O1540:$O1559),3),"")</f>
        <v/>
      </c>
      <c r="SC1540" s="42" t="str">
        <f t="array" aca="1" ref="SC1540" ca="1">IFERROR(INDEX(nombres[],SMALL(IF(OFFSET(nombres[],0,0,ROWS(nombres[]),1)=SC$1490,ROW(OFFSET(nombres[],0,0,ROWS(nombres[]),1))-ROW(OFFSET(nombres[],0,0,1,1))+1,ROW(OFFSET(nombres[],ROWS(nombres[])-1,0,1,1))+1),$O1540:$O1559),3),"")</f>
        <v/>
      </c>
      <c r="SD1540" s="42" t="str">
        <f t="array" aca="1" ref="SD1540" ca="1">IFERROR(INDEX(nombres[],SMALL(IF(OFFSET(nombres[],0,0,ROWS(nombres[]),1)=SD$1490,ROW(OFFSET(nombres[],0,0,ROWS(nombres[]),1))-ROW(OFFSET(nombres[],0,0,1,1))+1,ROW(OFFSET(nombres[],ROWS(nombres[])-1,0,1,1))+1),$O1540:$O1559),3),"")</f>
        <v/>
      </c>
      <c r="SE1540" s="42" t="str">
        <f t="array" aca="1" ref="SE1540" ca="1">IFERROR(INDEX(nombres[],SMALL(IF(OFFSET(nombres[],0,0,ROWS(nombres[]),1)=SE$1490,ROW(OFFSET(nombres[],0,0,ROWS(nombres[]),1))-ROW(OFFSET(nombres[],0,0,1,1))+1,ROW(OFFSET(nombres[],ROWS(nombres[])-1,0,1,1))+1),$O1540:$O1559),3),"")</f>
        <v/>
      </c>
      <c r="SF1540" s="42" t="str">
        <f t="array" aca="1" ref="SF1540" ca="1">IFERROR(INDEX(nombres[],SMALL(IF(OFFSET(nombres[],0,0,ROWS(nombres[]),1)=SF$1490,ROW(OFFSET(nombres[],0,0,ROWS(nombres[]),1))-ROW(OFFSET(nombres[],0,0,1,1))+1,ROW(OFFSET(nombres[],ROWS(nombres[])-1,0,1,1))+1),$O1540:$O1559),3),"")</f>
        <v/>
      </c>
      <c r="SG1540" s="42" t="str">
        <f t="array" aca="1" ref="SG1540" ca="1">IFERROR(INDEX(nombres[],SMALL(IF(OFFSET(nombres[],0,0,ROWS(nombres[]),1)=SG$1490,ROW(OFFSET(nombres[],0,0,ROWS(nombres[]),1))-ROW(OFFSET(nombres[],0,0,1,1))+1,ROW(OFFSET(nombres[],ROWS(nombres[])-1,0,1,1))+1),$O1540:$O1559),3),"")</f>
        <v/>
      </c>
      <c r="SH1540" s="42" t="str">
        <f t="array" aca="1" ref="SH1540" ca="1">IFERROR(INDEX(nombres[],SMALL(IF(OFFSET(nombres[],0,0,ROWS(nombres[]),1)=SH$1490,ROW(OFFSET(nombres[],0,0,ROWS(nombres[]),1))-ROW(OFFSET(nombres[],0,0,1,1))+1,ROW(OFFSET(nombres[],ROWS(nombres[])-1,0,1,1))+1),$O1540:$O1559),3),"")</f>
        <v/>
      </c>
      <c r="SI1540" s="42" t="str">
        <f t="array" aca="1" ref="SI1540" ca="1">IFERROR(INDEX(nombres[],SMALL(IF(OFFSET(nombres[],0,0,ROWS(nombres[]),1)=SI$1490,ROW(OFFSET(nombres[],0,0,ROWS(nombres[]),1))-ROW(OFFSET(nombres[],0,0,1,1))+1,ROW(OFFSET(nombres[],ROWS(nombres[])-1,0,1,1))+1),$O1540:$O1559),3),"")</f>
        <v/>
      </c>
      <c r="SJ1540" s="42" t="str">
        <f t="array" aca="1" ref="SJ1540" ca="1">IFERROR(INDEX(nombres[],SMALL(IF(OFFSET(nombres[],0,0,ROWS(nombres[]),1)=SJ$1490,ROW(OFFSET(nombres[],0,0,ROWS(nombres[]),1))-ROW(OFFSET(nombres[],0,0,1,1))+1,ROW(OFFSET(nombres[],ROWS(nombres[])-1,0,1,1))+1),$O1540:$O1559),3),"")</f>
        <v/>
      </c>
      <c r="SK1540" s="42" t="str">
        <f t="array" aca="1" ref="SK1540" ca="1">IFERROR(INDEX(nombres[],SMALL(IF(OFFSET(nombres[],0,0,ROWS(nombres[]),1)=SK$1490,ROW(OFFSET(nombres[],0,0,ROWS(nombres[]),1))-ROW(OFFSET(nombres[],0,0,1,1))+1,ROW(OFFSET(nombres[],ROWS(nombres[])-1,0,1,1))+1),$O1540:$O1559),3),"")</f>
        <v/>
      </c>
      <c r="SL1540" s="42" t="str">
        <f t="array" aca="1" ref="SL1540" ca="1">IFERROR(INDEX(nombres[],SMALL(IF(OFFSET(nombres[],0,0,ROWS(nombres[]),1)=SL$1490,ROW(OFFSET(nombres[],0,0,ROWS(nombres[]),1))-ROW(OFFSET(nombres[],0,0,1,1))+1,ROW(OFFSET(nombres[],ROWS(nombres[])-1,0,1,1))+1),$O1540:$O1559),3),"")</f>
        <v/>
      </c>
      <c r="SM1540" s="42" t="str">
        <f t="array" aca="1" ref="SM1540" ca="1">IFERROR(INDEX(nombres[],SMALL(IF(OFFSET(nombres[],0,0,ROWS(nombres[]),1)=SM$1490,ROW(OFFSET(nombres[],0,0,ROWS(nombres[]),1))-ROW(OFFSET(nombres[],0,0,1,1))+1,ROW(OFFSET(nombres[],ROWS(nombres[])-1,0,1,1))+1),$O1540:$O1559),3),"")</f>
        <v/>
      </c>
      <c r="SN1540" s="42" t="str">
        <f t="array" aca="1" ref="SN1540" ca="1">IFERROR(INDEX(nombres[],SMALL(IF(OFFSET(nombres[],0,0,ROWS(nombres[]),1)=SN$1490,ROW(OFFSET(nombres[],0,0,ROWS(nombres[]),1))-ROW(OFFSET(nombres[],0,0,1,1))+1,ROW(OFFSET(nombres[],ROWS(nombres[])-1,0,1,1))+1),$O1540:$O1559),3),"")</f>
        <v/>
      </c>
      <c r="SO1540" s="42" t="str">
        <f t="array" aca="1" ref="SO1540" ca="1">IFERROR(INDEX(nombres[],SMALL(IF(OFFSET(nombres[],0,0,ROWS(nombres[]),1)=SO$1490,ROW(OFFSET(nombres[],0,0,ROWS(nombres[]),1))-ROW(OFFSET(nombres[],0,0,1,1))+1,ROW(OFFSET(nombres[],ROWS(nombres[])-1,0,1,1))+1),$O1540:$O1559),3),"")</f>
        <v/>
      </c>
      <c r="SP1540" s="42" t="str">
        <f t="array" aca="1" ref="SP1540" ca="1">IFERROR(INDEX(nombres[],SMALL(IF(OFFSET(nombres[],0,0,ROWS(nombres[]),1)=SP$1490,ROW(OFFSET(nombres[],0,0,ROWS(nombres[]),1))-ROW(OFFSET(nombres[],0,0,1,1))+1,ROW(OFFSET(nombres[],ROWS(nombres[])-1,0,1,1))+1),$O1540:$O1559),3),"")</f>
        <v/>
      </c>
      <c r="SQ1540" s="42" t="str">
        <f t="array" aca="1" ref="SQ1540" ca="1">IFERROR(INDEX(nombres[],SMALL(IF(OFFSET(nombres[],0,0,ROWS(nombres[]),1)=SQ$1490,ROW(OFFSET(nombres[],0,0,ROWS(nombres[]),1))-ROW(OFFSET(nombres[],0,0,1,1))+1,ROW(OFFSET(nombres[],ROWS(nombres[])-1,0,1,1))+1),$O1540:$O1559),3),"")</f>
        <v/>
      </c>
      <c r="SR1540" s="42" t="str">
        <f t="array" aca="1" ref="SR1540" ca="1">IFERROR(INDEX(nombres[],SMALL(IF(OFFSET(nombres[],0,0,ROWS(nombres[]),1)=SR$1490,ROW(OFFSET(nombres[],0,0,ROWS(nombres[]),1))-ROW(OFFSET(nombres[],0,0,1,1))+1,ROW(OFFSET(nombres[],ROWS(nombres[])-1,0,1,1))+1),$O1540:$O1559),3),"")</f>
        <v/>
      </c>
      <c r="SS1540" s="42" t="str">
        <f t="array" aca="1" ref="SS1540" ca="1">IFERROR(INDEX(nombres[],SMALL(IF(OFFSET(nombres[],0,0,ROWS(nombres[]),1)=SS$1490,ROW(OFFSET(nombres[],0,0,ROWS(nombres[]),1))-ROW(OFFSET(nombres[],0,0,1,1))+1,ROW(OFFSET(nombres[],ROWS(nombres[])-1,0,1,1))+1),$O1540:$O1559),3),"")</f>
        <v/>
      </c>
      <c r="ST1540" s="42" t="str">
        <f t="array" aca="1" ref="ST1540" ca="1">IFERROR(INDEX(nombres[],SMALL(IF(OFFSET(nombres[],0,0,ROWS(nombres[]),1)=ST$1490,ROW(OFFSET(nombres[],0,0,ROWS(nombres[]),1))-ROW(OFFSET(nombres[],0,0,1,1))+1,ROW(OFFSET(nombres[],ROWS(nombres[])-1,0,1,1))+1),$O1540:$O1559),3),"")</f>
        <v/>
      </c>
      <c r="SU1540" s="42" t="str">
        <f t="array" aca="1" ref="SU1540" ca="1">IFERROR(INDEX(nombres[],SMALL(IF(OFFSET(nombres[],0,0,ROWS(nombres[]),1)=SU$1490,ROW(OFFSET(nombres[],0,0,ROWS(nombres[]),1))-ROW(OFFSET(nombres[],0,0,1,1))+1,ROW(OFFSET(nombres[],ROWS(nombres[])-1,0,1,1))+1),$O1540:$O1559),3),"")</f>
        <v/>
      </c>
      <c r="SV1540" s="42" t="str">
        <f t="array" aca="1" ref="SV1540" ca="1">IFERROR(INDEX(nombres[],SMALL(IF(OFFSET(nombres[],0,0,ROWS(nombres[]),1)=SV$1490,ROW(OFFSET(nombres[],0,0,ROWS(nombres[]),1))-ROW(OFFSET(nombres[],0,0,1,1))+1,ROW(OFFSET(nombres[],ROWS(nombres[])-1,0,1,1))+1),$O1540:$O1559),3),"")</f>
        <v/>
      </c>
      <c r="SW1540" s="42" t="str">
        <f t="array" aca="1" ref="SW1540" ca="1">IFERROR(INDEX(nombres[],SMALL(IF(OFFSET(nombres[],0,0,ROWS(nombres[]),1)=SW$1490,ROW(OFFSET(nombres[],0,0,ROWS(nombres[]),1))-ROW(OFFSET(nombres[],0,0,1,1))+1,ROW(OFFSET(nombres[],ROWS(nombres[])-1,0,1,1))+1),$O1540:$O1559),3),"")</f>
        <v/>
      </c>
      <c r="SX1540" s="42" t="str">
        <f t="array" aca="1" ref="SX1540" ca="1">IFERROR(INDEX(nombres[],SMALL(IF(OFFSET(nombres[],0,0,ROWS(nombres[]),1)=SX$1490,ROW(OFFSET(nombres[],0,0,ROWS(nombres[]),1))-ROW(OFFSET(nombres[],0,0,1,1))+1,ROW(OFFSET(nombres[],ROWS(nombres[])-1,0,1,1))+1),$O1540:$O1559),3),"")</f>
        <v/>
      </c>
      <c r="SY1540" s="42" t="str">
        <f t="array" aca="1" ref="SY1540" ca="1">IFERROR(INDEX(nombres[],SMALL(IF(OFFSET(nombres[],0,0,ROWS(nombres[]),1)=SY$1490,ROW(OFFSET(nombres[],0,0,ROWS(nombres[]),1))-ROW(OFFSET(nombres[],0,0,1,1))+1,ROW(OFFSET(nombres[],ROWS(nombres[])-1,0,1,1))+1),$O1540:$O1559),3),"")</f>
        <v/>
      </c>
      <c r="SZ1540" s="42" t="str">
        <f t="array" aca="1" ref="SZ1540" ca="1">IFERROR(INDEX(nombres[],SMALL(IF(OFFSET(nombres[],0,0,ROWS(nombres[]),1)=SZ$1490,ROW(OFFSET(nombres[],0,0,ROWS(nombres[]),1))-ROW(OFFSET(nombres[],0,0,1,1))+1,ROW(OFFSET(nombres[],ROWS(nombres[])-1,0,1,1))+1),$O1540:$O1559),3),"")</f>
        <v/>
      </c>
      <c r="TA1540" s="42" t="str">
        <f t="array" aca="1" ref="TA1540" ca="1">IFERROR(INDEX(nombres[],SMALL(IF(OFFSET(nombres[],0,0,ROWS(nombres[]),1)=TA$1490,ROW(OFFSET(nombres[],0,0,ROWS(nombres[]),1))-ROW(OFFSET(nombres[],0,0,1,1))+1,ROW(OFFSET(nombres[],ROWS(nombres[])-1,0,1,1))+1),$O1540:$O1559),3),"")</f>
        <v/>
      </c>
      <c r="TB1540" s="42" t="str">
        <f t="array" aca="1" ref="TB1540" ca="1">IFERROR(INDEX(nombres[],SMALL(IF(OFFSET(nombres[],0,0,ROWS(nombres[]),1)=TB$1490,ROW(OFFSET(nombres[],0,0,ROWS(nombres[]),1))-ROW(OFFSET(nombres[],0,0,1,1))+1,ROW(OFFSET(nombres[],ROWS(nombres[])-1,0,1,1))+1),$O1540:$O1559),3),"")</f>
        <v/>
      </c>
      <c r="TC1540" s="42" t="str">
        <f t="array" aca="1" ref="TC1540" ca="1">IFERROR(INDEX(nombres[],SMALL(IF(OFFSET(nombres[],0,0,ROWS(nombres[]),1)=TC$1490,ROW(OFFSET(nombres[],0,0,ROWS(nombres[]),1))-ROW(OFFSET(nombres[],0,0,1,1))+1,ROW(OFFSET(nombres[],ROWS(nombres[])-1,0,1,1))+1),$O1540:$O1559),3),"")</f>
        <v/>
      </c>
      <c r="TD1540" s="42" t="str">
        <f t="array" aca="1" ref="TD1540" ca="1">IFERROR(INDEX(nombres[],SMALL(IF(OFFSET(nombres[],0,0,ROWS(nombres[]),1)=TD$1490,ROW(OFFSET(nombres[],0,0,ROWS(nombres[]),1))-ROW(OFFSET(nombres[],0,0,1,1))+1,ROW(OFFSET(nombres[],ROWS(nombres[])-1,0,1,1))+1),$O1540:$O1559),3),"")</f>
        <v/>
      </c>
      <c r="TE1540" s="42" t="str">
        <f t="array" aca="1" ref="TE1540" ca="1">IFERROR(INDEX(nombres[],SMALL(IF(OFFSET(nombres[],0,0,ROWS(nombres[]),1)=TE$1490,ROW(OFFSET(nombres[],0,0,ROWS(nombres[]),1))-ROW(OFFSET(nombres[],0,0,1,1))+1,ROW(OFFSET(nombres[],ROWS(nombres[])-1,0,1,1))+1),$O1540:$O1559),3),"")</f>
        <v/>
      </c>
      <c r="TF1540" s="42" t="str">
        <f t="array" aca="1" ref="TF1540" ca="1">IFERROR(INDEX(nombres[],SMALL(IF(OFFSET(nombres[],0,0,ROWS(nombres[]),1)=TF$1490,ROW(OFFSET(nombres[],0,0,ROWS(nombres[]),1))-ROW(OFFSET(nombres[],0,0,1,1))+1,ROW(OFFSET(nombres[],ROWS(nombres[])-1,0,1,1))+1),$O1540:$O1559),3),"")</f>
        <v/>
      </c>
      <c r="TG1540" s="42" t="str">
        <f t="array" aca="1" ref="TG1540" ca="1">IFERROR(INDEX(nombres[],SMALL(IF(OFFSET(nombres[],0,0,ROWS(nombres[]),1)=TG$1490,ROW(OFFSET(nombres[],0,0,ROWS(nombres[]),1))-ROW(OFFSET(nombres[],0,0,1,1))+1,ROW(OFFSET(nombres[],ROWS(nombres[])-1,0,1,1))+1),$O1540:$O1559),3),"")</f>
        <v/>
      </c>
      <c r="TH1540" s="42" t="str">
        <f t="array" aca="1" ref="TH1540" ca="1">IFERROR(INDEX(nombres[],SMALL(IF(OFFSET(nombres[],0,0,ROWS(nombres[]),1)=TH$1490,ROW(OFFSET(nombres[],0,0,ROWS(nombres[]),1))-ROW(OFFSET(nombres[],0,0,1,1))+1,ROW(OFFSET(nombres[],ROWS(nombres[])-1,0,1,1))+1),$O1540:$O1559),3),"")</f>
        <v/>
      </c>
      <c r="TI1540" s="42" t="str">
        <f t="array" aca="1" ref="TI1540" ca="1">IFERROR(INDEX(nombres[],SMALL(IF(OFFSET(nombres[],0,0,ROWS(nombres[]),1)=TI$1490,ROW(OFFSET(nombres[],0,0,ROWS(nombres[]),1))-ROW(OFFSET(nombres[],0,0,1,1))+1,ROW(OFFSET(nombres[],ROWS(nombres[])-1,0,1,1))+1),$O1540:$O1559),3),"")</f>
        <v/>
      </c>
      <c r="TJ1540" s="42" t="str">
        <f t="array" aca="1" ref="TJ1540" ca="1">IFERROR(INDEX(nombres[],SMALL(IF(OFFSET(nombres[],0,0,ROWS(nombres[]),1)=TJ$1490,ROW(OFFSET(nombres[],0,0,ROWS(nombres[]),1))-ROW(OFFSET(nombres[],0,0,1,1))+1,ROW(OFFSET(nombres[],ROWS(nombres[])-1,0,1,1))+1),$O1540:$O1559),3),"")</f>
        <v/>
      </c>
      <c r="TK1540" s="42" t="str">
        <f t="array" aca="1" ref="TK1540" ca="1">IFERROR(INDEX(nombres[],SMALL(IF(OFFSET(nombres[],0,0,ROWS(nombres[]),1)=TK$1490,ROW(OFFSET(nombres[],0,0,ROWS(nombres[]),1))-ROW(OFFSET(nombres[],0,0,1,1))+1,ROW(OFFSET(nombres[],ROWS(nombres[])-1,0,1,1))+1),$O1540:$O1559),3),"")</f>
        <v/>
      </c>
      <c r="TL1540" s="42" t="str">
        <f t="array" aca="1" ref="TL1540" ca="1">IFERROR(INDEX(nombres[],SMALL(IF(OFFSET(nombres[],0,0,ROWS(nombres[]),1)=TL$1490,ROW(OFFSET(nombres[],0,0,ROWS(nombres[]),1))-ROW(OFFSET(nombres[],0,0,1,1))+1,ROW(OFFSET(nombres[],ROWS(nombres[])-1,0,1,1))+1),$O1540:$O1559),3),"")</f>
        <v/>
      </c>
      <c r="TM1540" s="42" t="str">
        <f t="array" aca="1" ref="TM1540" ca="1">IFERROR(INDEX(nombres[],SMALL(IF(OFFSET(nombres[],0,0,ROWS(nombres[]),1)=TM$1490,ROW(OFFSET(nombres[],0,0,ROWS(nombres[]),1))-ROW(OFFSET(nombres[],0,0,1,1))+1,ROW(OFFSET(nombres[],ROWS(nombres[])-1,0,1,1))+1),$O1540:$O1559),3),"")</f>
        <v/>
      </c>
      <c r="TN1540" s="42" t="str">
        <f t="array" aca="1" ref="TN1540" ca="1">IFERROR(INDEX(nombres[],SMALL(IF(OFFSET(nombres[],0,0,ROWS(nombres[]),1)=TN$1490,ROW(OFFSET(nombres[],0,0,ROWS(nombres[]),1))-ROW(OFFSET(nombres[],0,0,1,1))+1,ROW(OFFSET(nombres[],ROWS(nombres[])-1,0,1,1))+1),$O1540:$O1559),3),"")</f>
        <v/>
      </c>
      <c r="TO1540" s="42" t="str">
        <f t="array" aca="1" ref="TO1540" ca="1">IFERROR(INDEX(nombres[],SMALL(IF(OFFSET(nombres[],0,0,ROWS(nombres[]),1)=TO$1490,ROW(OFFSET(nombres[],0,0,ROWS(nombres[]),1))-ROW(OFFSET(nombres[],0,0,1,1))+1,ROW(OFFSET(nombres[],ROWS(nombres[])-1,0,1,1))+1),$O1540:$O1559),3),"")</f>
        <v/>
      </c>
      <c r="TP1540" s="42" t="str">
        <f t="array" aca="1" ref="TP1540" ca="1">IFERROR(INDEX(nombres[],SMALL(IF(OFFSET(nombres[],0,0,ROWS(nombres[]),1)=TP$1490,ROW(OFFSET(nombres[],0,0,ROWS(nombres[]),1))-ROW(OFFSET(nombres[],0,0,1,1))+1,ROW(OFFSET(nombres[],ROWS(nombres[])-1,0,1,1))+1),$O1540:$O1559),3),"")</f>
        <v/>
      </c>
      <c r="TQ1540" s="42" t="str">
        <f t="array" aca="1" ref="TQ1540" ca="1">IFERROR(INDEX(nombres[],SMALL(IF(OFFSET(nombres[],0,0,ROWS(nombres[]),1)=TQ$1490,ROW(OFFSET(nombres[],0,0,ROWS(nombres[]),1))-ROW(OFFSET(nombres[],0,0,1,1))+1,ROW(OFFSET(nombres[],ROWS(nombres[])-1,0,1,1))+1),$O1540:$O1559),3),"")</f>
        <v/>
      </c>
      <c r="TR1540" s="42" t="str">
        <f t="array" aca="1" ref="TR1540" ca="1">IFERROR(INDEX(nombres[],SMALL(IF(OFFSET(nombres[],0,0,ROWS(nombres[]),1)=TR$1490,ROW(OFFSET(nombres[],0,0,ROWS(nombres[]),1))-ROW(OFFSET(nombres[],0,0,1,1))+1,ROW(OFFSET(nombres[],ROWS(nombres[])-1,0,1,1))+1),$O1540:$O1559),3),"")</f>
        <v/>
      </c>
      <c r="TS1540" s="42" t="str">
        <f t="array" aca="1" ref="TS1540" ca="1">IFERROR(INDEX(nombres[],SMALL(IF(OFFSET(nombres[],0,0,ROWS(nombres[]),1)=TS$1490,ROW(OFFSET(nombres[],0,0,ROWS(nombres[]),1))-ROW(OFFSET(nombres[],0,0,1,1))+1,ROW(OFFSET(nombres[],ROWS(nombres[])-1,0,1,1))+1),$O1540:$O1559),3),"")</f>
        <v/>
      </c>
      <c r="TT1540" s="42" t="str">
        <f t="array" aca="1" ref="TT1540" ca="1">IFERROR(INDEX(nombres[],SMALL(IF(OFFSET(nombres[],0,0,ROWS(nombres[]),1)=TT$1490,ROW(OFFSET(nombres[],0,0,ROWS(nombres[]),1))-ROW(OFFSET(nombres[],0,0,1,1))+1,ROW(OFFSET(nombres[],ROWS(nombres[])-1,0,1,1))+1),$O1540:$O1559),3),"")</f>
        <v/>
      </c>
      <c r="TU1540" s="42" t="str">
        <f t="array" aca="1" ref="TU1540" ca="1">IFERROR(INDEX(nombres[],SMALL(IF(OFFSET(nombres[],0,0,ROWS(nombres[]),1)=TU$1490,ROW(OFFSET(nombres[],0,0,ROWS(nombres[]),1))-ROW(OFFSET(nombres[],0,0,1,1))+1,ROW(OFFSET(nombres[],ROWS(nombres[])-1,0,1,1))+1),$O1540:$O1559),3),"")</f>
        <v/>
      </c>
      <c r="TV1540" s="42" t="str">
        <f t="array" aca="1" ref="TV1540" ca="1">IFERROR(INDEX(nombres[],SMALL(IF(OFFSET(nombres[],0,0,ROWS(nombres[]),1)=TV$1490,ROW(OFFSET(nombres[],0,0,ROWS(nombres[]),1))-ROW(OFFSET(nombres[],0,0,1,1))+1,ROW(OFFSET(nombres[],ROWS(nombres[])-1,0,1,1))+1),$O1540:$O1559),3),"")</f>
        <v/>
      </c>
      <c r="TW1540" s="42" t="str">
        <f t="array" aca="1" ref="TW1540" ca="1">IFERROR(INDEX(nombres[],SMALL(IF(OFFSET(nombres[],0,0,ROWS(nombres[]),1)=TW$1490,ROW(OFFSET(nombres[],0,0,ROWS(nombres[]),1))-ROW(OFFSET(nombres[],0,0,1,1))+1,ROW(OFFSET(nombres[],ROWS(nombres[])-1,0,1,1))+1),$O1540:$O1559),3),"")</f>
        <v/>
      </c>
      <c r="TX1540" s="42" t="str">
        <f t="array" aca="1" ref="TX1540" ca="1">IFERROR(INDEX(nombres[],SMALL(IF(OFFSET(nombres[],0,0,ROWS(nombres[]),1)=TX$1490,ROW(OFFSET(nombres[],0,0,ROWS(nombres[]),1))-ROW(OFFSET(nombres[],0,0,1,1))+1,ROW(OFFSET(nombres[],ROWS(nombres[])-1,0,1,1))+1),$O1540:$O1559),3),"")</f>
        <v/>
      </c>
      <c r="TY1540" s="42" t="str">
        <f t="array" aca="1" ref="TY1540" ca="1">IFERROR(INDEX(nombres[],SMALL(IF(OFFSET(nombres[],0,0,ROWS(nombres[]),1)=TY$1490,ROW(OFFSET(nombres[],0,0,ROWS(nombres[]),1))-ROW(OFFSET(nombres[],0,0,1,1))+1,ROW(OFFSET(nombres[],ROWS(nombres[])-1,0,1,1))+1),$O1540:$O1559),3),"")</f>
        <v/>
      </c>
      <c r="TZ1540" s="42" t="str">
        <f t="array" aca="1" ref="TZ1540" ca="1">IFERROR(INDEX(nombres[],SMALL(IF(OFFSET(nombres[],0,0,ROWS(nombres[]),1)=TZ$1490,ROW(OFFSET(nombres[],0,0,ROWS(nombres[]),1))-ROW(OFFSET(nombres[],0,0,1,1))+1,ROW(OFFSET(nombres[],ROWS(nombres[])-1,0,1,1))+1),$O1540:$O1559),3),"")</f>
        <v/>
      </c>
      <c r="UA1540" s="42" t="str">
        <f t="array" aca="1" ref="UA1540" ca="1">IFERROR(INDEX(nombres[],SMALL(IF(OFFSET(nombres[],0,0,ROWS(nombres[]),1)=UA$1490,ROW(OFFSET(nombres[],0,0,ROWS(nombres[]),1))-ROW(OFFSET(nombres[],0,0,1,1))+1,ROW(OFFSET(nombres[],ROWS(nombres[])-1,0,1,1))+1),$O1540:$O1559),3),"")</f>
        <v/>
      </c>
      <c r="UB1540" s="42" t="str">
        <f t="array" aca="1" ref="UB1540" ca="1">IFERROR(INDEX(nombres[],SMALL(IF(OFFSET(nombres[],0,0,ROWS(nombres[]),1)=UB$1490,ROW(OFFSET(nombres[],0,0,ROWS(nombres[]),1))-ROW(OFFSET(nombres[],0,0,1,1))+1,ROW(OFFSET(nombres[],ROWS(nombres[])-1,0,1,1))+1),$O1540:$O1559),3),"")</f>
        <v/>
      </c>
      <c r="UC1540" s="42" t="str">
        <f t="array" aca="1" ref="UC1540" ca="1">IFERROR(INDEX(nombres[],SMALL(IF(OFFSET(nombres[],0,0,ROWS(nombres[]),1)=UC$1490,ROW(OFFSET(nombres[],0,0,ROWS(nombres[]),1))-ROW(OFFSET(nombres[],0,0,1,1))+1,ROW(OFFSET(nombres[],ROWS(nombres[])-1,0,1,1))+1),$O1540:$O1559),3),"")</f>
        <v/>
      </c>
      <c r="UD1540" s="42" t="str">
        <f t="array" aca="1" ref="UD1540" ca="1">IFERROR(INDEX(nombres[],SMALL(IF(OFFSET(nombres[],0,0,ROWS(nombres[]),1)=UD$1490,ROW(OFFSET(nombres[],0,0,ROWS(nombres[]),1))-ROW(OFFSET(nombres[],0,0,1,1))+1,ROW(OFFSET(nombres[],ROWS(nombres[])-1,0,1,1))+1),$O1540:$O1559),3),"")</f>
        <v/>
      </c>
      <c r="UE1540" s="42" t="str">
        <f t="array" aca="1" ref="UE1540" ca="1">IFERROR(INDEX(nombres[],SMALL(IF(OFFSET(nombres[],0,0,ROWS(nombres[]),1)=UE$1490,ROW(OFFSET(nombres[],0,0,ROWS(nombres[]),1))-ROW(OFFSET(nombres[],0,0,1,1))+1,ROW(OFFSET(nombres[],ROWS(nombres[])-1,0,1,1))+1),$O1540:$O1559),3),"")</f>
        <v/>
      </c>
      <c r="UF1540" s="42" t="str">
        <f t="array" aca="1" ref="UF1540" ca="1">IFERROR(INDEX(nombres[],SMALL(IF(OFFSET(nombres[],0,0,ROWS(nombres[]),1)=UF$1490,ROW(OFFSET(nombres[],0,0,ROWS(nombres[]),1))-ROW(OFFSET(nombres[],0,0,1,1))+1,ROW(OFFSET(nombres[],ROWS(nombres[])-1,0,1,1))+1),$O1540:$O1559),3),"")</f>
        <v/>
      </c>
      <c r="UG1540" s="42" t="str">
        <f t="array" aca="1" ref="UG1540" ca="1">IFERROR(INDEX(nombres[],SMALL(IF(OFFSET(nombres[],0,0,ROWS(nombres[]),1)=UG$1490,ROW(OFFSET(nombres[],0,0,ROWS(nombres[]),1))-ROW(OFFSET(nombres[],0,0,1,1))+1,ROW(OFFSET(nombres[],ROWS(nombres[])-1,0,1,1))+1),$O1540:$O1559),3),"")</f>
        <v/>
      </c>
      <c r="UH1540" s="42" t="str">
        <f t="array" aca="1" ref="UH1540" ca="1">IFERROR(INDEX(nombres[],SMALL(IF(OFFSET(nombres[],0,0,ROWS(nombres[]),1)=UH$1490,ROW(OFFSET(nombres[],0,0,ROWS(nombres[]),1))-ROW(OFFSET(nombres[],0,0,1,1))+1,ROW(OFFSET(nombres[],ROWS(nombres[])-1,0,1,1))+1),$O1540:$O1559),3),"")</f>
        <v/>
      </c>
      <c r="UI1540" s="42" t="str">
        <f t="array" aca="1" ref="UI1540" ca="1">IFERROR(INDEX(nombres[],SMALL(IF(OFFSET(nombres[],0,0,ROWS(nombres[]),1)=UI$1490,ROW(OFFSET(nombres[],0,0,ROWS(nombres[]),1))-ROW(OFFSET(nombres[],0,0,1,1))+1,ROW(OFFSET(nombres[],ROWS(nombres[])-1,0,1,1))+1),$O1540:$O1559),3),"")</f>
        <v/>
      </c>
      <c r="UJ1540" s="42" t="str">
        <f t="array" aca="1" ref="UJ1540" ca="1">IFERROR(INDEX(nombres[],SMALL(IF(OFFSET(nombres[],0,0,ROWS(nombres[]),1)=UJ$1490,ROW(OFFSET(nombres[],0,0,ROWS(nombres[]),1))-ROW(OFFSET(nombres[],0,0,1,1))+1,ROW(OFFSET(nombres[],ROWS(nombres[])-1,0,1,1))+1),$O1540:$O1559),3),"")</f>
        <v/>
      </c>
      <c r="UK1540" s="42" t="str">
        <f t="array" aca="1" ref="UK1540" ca="1">IFERROR(INDEX(nombres[],SMALL(IF(OFFSET(nombres[],0,0,ROWS(nombres[]),1)=UK$1490,ROW(OFFSET(nombres[],0,0,ROWS(nombres[]),1))-ROW(OFFSET(nombres[],0,0,1,1))+1,ROW(OFFSET(nombres[],ROWS(nombres[])-1,0,1,1))+1),$O1540:$O1559),3),"")</f>
        <v/>
      </c>
      <c r="UL1540" s="42" t="str">
        <f t="array" aca="1" ref="UL1540" ca="1">IFERROR(INDEX(nombres[],SMALL(IF(OFFSET(nombres[],0,0,ROWS(nombres[]),1)=UL$1490,ROW(OFFSET(nombres[],0,0,ROWS(nombres[]),1))-ROW(OFFSET(nombres[],0,0,1,1))+1,ROW(OFFSET(nombres[],ROWS(nombres[])-1,0,1,1))+1),$O1540:$O1559),3),"")</f>
        <v/>
      </c>
      <c r="UM1540" s="42" t="str">
        <f t="array" aca="1" ref="UM1540" ca="1">IFERROR(INDEX(nombres[],SMALL(IF(OFFSET(nombres[],0,0,ROWS(nombres[]),1)=UM$1490,ROW(OFFSET(nombres[],0,0,ROWS(nombres[]),1))-ROW(OFFSET(nombres[],0,0,1,1))+1,ROW(OFFSET(nombres[],ROWS(nombres[])-1,0,1,1))+1),$O1540:$O1559),3),"")</f>
        <v/>
      </c>
      <c r="UN1540" s="42" t="str">
        <f t="array" aca="1" ref="UN1540" ca="1">IFERROR(INDEX(nombres[],SMALL(IF(OFFSET(nombres[],0,0,ROWS(nombres[]),1)=UN$1490,ROW(OFFSET(nombres[],0,0,ROWS(nombres[]),1))-ROW(OFFSET(nombres[],0,0,1,1))+1,ROW(OFFSET(nombres[],ROWS(nombres[])-1,0,1,1))+1),$O1540:$O1559),3),"")</f>
        <v/>
      </c>
      <c r="UO1540" s="42" t="str">
        <f t="array" aca="1" ref="UO1540" ca="1">IFERROR(INDEX(nombres[],SMALL(IF(OFFSET(nombres[],0,0,ROWS(nombres[]),1)=UO$1490,ROW(OFFSET(nombres[],0,0,ROWS(nombres[]),1))-ROW(OFFSET(nombres[],0,0,1,1))+1,ROW(OFFSET(nombres[],ROWS(nombres[])-1,0,1,1))+1),$O1540:$O1559),3),"")</f>
        <v/>
      </c>
      <c r="UP1540" s="42" t="str">
        <f t="array" aca="1" ref="UP1540" ca="1">IFERROR(INDEX(nombres[],SMALL(IF(OFFSET(nombres[],0,0,ROWS(nombres[]),1)=UP$1490,ROW(OFFSET(nombres[],0,0,ROWS(nombres[]),1))-ROW(OFFSET(nombres[],0,0,1,1))+1,ROW(OFFSET(nombres[],ROWS(nombres[])-1,0,1,1))+1),$O1540:$O1559),3),"")</f>
        <v/>
      </c>
      <c r="UQ1540" s="42" t="str">
        <f t="array" aca="1" ref="UQ1540" ca="1">IFERROR(INDEX(nombres[],SMALL(IF(OFFSET(nombres[],0,0,ROWS(nombres[]),1)=UQ$1490,ROW(OFFSET(nombres[],0,0,ROWS(nombres[]),1))-ROW(OFFSET(nombres[],0,0,1,1))+1,ROW(OFFSET(nombres[],ROWS(nombres[])-1,0,1,1))+1),$O1540:$O1559),3),"")</f>
        <v/>
      </c>
      <c r="UR1540" s="42" t="str">
        <f t="array" aca="1" ref="UR1540" ca="1">IFERROR(INDEX(nombres[],SMALL(IF(OFFSET(nombres[],0,0,ROWS(nombres[]),1)=UR$1490,ROW(OFFSET(nombres[],0,0,ROWS(nombres[]),1))-ROW(OFFSET(nombres[],0,0,1,1))+1,ROW(OFFSET(nombres[],ROWS(nombres[])-1,0,1,1))+1),$O1540:$O1559),3),"")</f>
        <v/>
      </c>
      <c r="US1540" s="42" t="str">
        <f t="array" aca="1" ref="US1540" ca="1">IFERROR(INDEX(nombres[],SMALL(IF(OFFSET(nombres[],0,0,ROWS(nombres[]),1)=US$1490,ROW(OFFSET(nombres[],0,0,ROWS(nombres[]),1))-ROW(OFFSET(nombres[],0,0,1,1))+1,ROW(OFFSET(nombres[],ROWS(nombres[])-1,0,1,1))+1),$O1540:$O1559),3),"")</f>
        <v/>
      </c>
      <c r="UT1540" s="42" t="str">
        <f t="array" aca="1" ref="UT1540" ca="1">IFERROR(INDEX(nombres[],SMALL(IF(OFFSET(nombres[],0,0,ROWS(nombres[]),1)=UT$1490,ROW(OFFSET(nombres[],0,0,ROWS(nombres[]),1))-ROW(OFFSET(nombres[],0,0,1,1))+1,ROW(OFFSET(nombres[],ROWS(nombres[])-1,0,1,1))+1),$O1540:$O1559),3),"")</f>
        <v/>
      </c>
      <c r="UU1540" s="42" t="str">
        <f t="array" aca="1" ref="UU1540" ca="1">IFERROR(INDEX(nombres[],SMALL(IF(OFFSET(nombres[],0,0,ROWS(nombres[]),1)=UU$1490,ROW(OFFSET(nombres[],0,0,ROWS(nombres[]),1))-ROW(OFFSET(nombres[],0,0,1,1))+1,ROW(OFFSET(nombres[],ROWS(nombres[])-1,0,1,1))+1),$O1540:$O1559),3),"")</f>
        <v/>
      </c>
      <c r="UV1540" s="42" t="str">
        <f t="array" aca="1" ref="UV1540" ca="1">IFERROR(INDEX(nombres[],SMALL(IF(OFFSET(nombres[],0,0,ROWS(nombres[]),1)=UV$1490,ROW(OFFSET(nombres[],0,0,ROWS(nombres[]),1))-ROW(OFFSET(nombres[],0,0,1,1))+1,ROW(OFFSET(nombres[],ROWS(nombres[])-1,0,1,1))+1),$O1540:$O1559),3),"")</f>
        <v/>
      </c>
      <c r="UW1540" s="42" t="str">
        <f t="array" aca="1" ref="UW1540" ca="1">IFERROR(INDEX(nombres[],SMALL(IF(OFFSET(nombres[],0,0,ROWS(nombres[]),1)=UW$1490,ROW(OFFSET(nombres[],0,0,ROWS(nombres[]),1))-ROW(OFFSET(nombres[],0,0,1,1))+1,ROW(OFFSET(nombres[],ROWS(nombres[])-1,0,1,1))+1),$O1540:$O1559),3),"")</f>
        <v/>
      </c>
      <c r="UX1540" s="42" t="str">
        <f t="array" aca="1" ref="UX1540" ca="1">IFERROR(INDEX(nombres[],SMALL(IF(OFFSET(nombres[],0,0,ROWS(nombres[]),1)=UX$1490,ROW(OFFSET(nombres[],0,0,ROWS(nombres[]),1))-ROW(OFFSET(nombres[],0,0,1,1))+1,ROW(OFFSET(nombres[],ROWS(nombres[])-1,0,1,1))+1),$O1540:$O1559),3),"")</f>
        <v/>
      </c>
      <c r="UY1540" s="42" t="str">
        <f t="array" aca="1" ref="UY1540" ca="1">IFERROR(INDEX(nombres[],SMALL(IF(OFFSET(nombres[],0,0,ROWS(nombres[]),1)=UY$1490,ROW(OFFSET(nombres[],0,0,ROWS(nombres[]),1))-ROW(OFFSET(nombres[],0,0,1,1))+1,ROW(OFFSET(nombres[],ROWS(nombres[])-1,0,1,1))+1),$O1540:$O1559),3),"")</f>
        <v/>
      </c>
      <c r="UZ1540" s="42" t="str">
        <f t="array" aca="1" ref="UZ1540" ca="1">IFERROR(INDEX(nombres[],SMALL(IF(OFFSET(nombres[],0,0,ROWS(nombres[]),1)=UZ$1490,ROW(OFFSET(nombres[],0,0,ROWS(nombres[]),1))-ROW(OFFSET(nombres[],0,0,1,1))+1,ROW(OFFSET(nombres[],ROWS(nombres[])-1,0,1,1))+1),$O1540:$O1559),3),"")</f>
        <v/>
      </c>
      <c r="VA1540" s="42" t="str">
        <f t="array" aca="1" ref="VA1540" ca="1">IFERROR(INDEX(nombres[],SMALL(IF(OFFSET(nombres[],0,0,ROWS(nombres[]),1)=VA$1490,ROW(OFFSET(nombres[],0,0,ROWS(nombres[]),1))-ROW(OFFSET(nombres[],0,0,1,1))+1,ROW(OFFSET(nombres[],ROWS(nombres[])-1,0,1,1))+1),$O1540:$O1559),3),"")</f>
        <v/>
      </c>
      <c r="VB1540" s="42" t="str">
        <f t="array" aca="1" ref="VB1540" ca="1">IFERROR(INDEX(nombres[],SMALL(IF(OFFSET(nombres[],0,0,ROWS(nombres[]),1)=VB$1490,ROW(OFFSET(nombres[],0,0,ROWS(nombres[]),1))-ROW(OFFSET(nombres[],0,0,1,1))+1,ROW(OFFSET(nombres[],ROWS(nombres[])-1,0,1,1))+1),$O1540:$O1559),3),"")</f>
        <v/>
      </c>
      <c r="VC1540" s="42" t="str">
        <f t="array" aca="1" ref="VC1540" ca="1">IFERROR(INDEX(nombres[],SMALL(IF(OFFSET(nombres[],0,0,ROWS(nombres[]),1)=VC$1490,ROW(OFFSET(nombres[],0,0,ROWS(nombres[]),1))-ROW(OFFSET(nombres[],0,0,1,1))+1,ROW(OFFSET(nombres[],ROWS(nombres[])-1,0,1,1))+1),$O1540:$O1559),3),"")</f>
        <v/>
      </c>
      <c r="VD1540" s="42" t="str">
        <f t="array" aca="1" ref="VD1540" ca="1">IFERROR(INDEX(nombres[],SMALL(IF(OFFSET(nombres[],0,0,ROWS(nombres[]),1)=VD$1490,ROW(OFFSET(nombres[],0,0,ROWS(nombres[]),1))-ROW(OFFSET(nombres[],0,0,1,1))+1,ROW(OFFSET(nombres[],ROWS(nombres[])-1,0,1,1))+1),$O1540:$O1559),3),"")</f>
        <v/>
      </c>
      <c r="VE1540" s="42" t="str">
        <f t="array" aca="1" ref="VE1540" ca="1">IFERROR(INDEX(nombres[],SMALL(IF(OFFSET(nombres[],0,0,ROWS(nombres[]),1)=VE$1490,ROW(OFFSET(nombres[],0,0,ROWS(nombres[]),1))-ROW(OFFSET(nombres[],0,0,1,1))+1,ROW(OFFSET(nombres[],ROWS(nombres[])-1,0,1,1))+1),$O1540:$O1559),3),"")</f>
        <v/>
      </c>
      <c r="VF1540" s="42" t="str">
        <f t="array" aca="1" ref="VF1540" ca="1">IFERROR(INDEX(nombres[],SMALL(IF(OFFSET(nombres[],0,0,ROWS(nombres[]),1)=VF$1490,ROW(OFFSET(nombres[],0,0,ROWS(nombres[]),1))-ROW(OFFSET(nombres[],0,0,1,1))+1,ROW(OFFSET(nombres[],ROWS(nombres[])-1,0,1,1))+1),$O1540:$O1559),3),"")</f>
        <v/>
      </c>
      <c r="VG1540" s="42" t="str">
        <f t="array" aca="1" ref="VG1540" ca="1">IFERROR(INDEX(nombres[],SMALL(IF(OFFSET(nombres[],0,0,ROWS(nombres[]),1)=VG$1490,ROW(OFFSET(nombres[],0,0,ROWS(nombres[]),1))-ROW(OFFSET(nombres[],0,0,1,1))+1,ROW(OFFSET(nombres[],ROWS(nombres[])-1,0,1,1))+1),$O1540:$O1559),3),"")</f>
        <v/>
      </c>
      <c r="VH1540" s="42" t="str">
        <f t="array" aca="1" ref="VH1540" ca="1">IFERROR(INDEX(nombres[],SMALL(IF(OFFSET(nombres[],0,0,ROWS(nombres[]),1)=VH$1490,ROW(OFFSET(nombres[],0,0,ROWS(nombres[]),1))-ROW(OFFSET(nombres[],0,0,1,1))+1,ROW(OFFSET(nombres[],ROWS(nombres[])-1,0,1,1))+1),$O1540:$O1559),3),"")</f>
        <v/>
      </c>
      <c r="VI1540" s="42" t="str">
        <f t="array" aca="1" ref="VI1540" ca="1">IFERROR(INDEX(nombres[],SMALL(IF(OFFSET(nombres[],0,0,ROWS(nombres[]),1)=VI$1490,ROW(OFFSET(nombres[],0,0,ROWS(nombres[]),1))-ROW(OFFSET(nombres[],0,0,1,1))+1,ROW(OFFSET(nombres[],ROWS(nombres[])-1,0,1,1))+1),$O1540:$O1559),3),"")</f>
        <v/>
      </c>
      <c r="VJ1540" s="42" t="str">
        <f t="array" aca="1" ref="VJ1540" ca="1">IFERROR(INDEX(nombres[],SMALL(IF(OFFSET(nombres[],0,0,ROWS(nombres[]),1)=VJ$1490,ROW(OFFSET(nombres[],0,0,ROWS(nombres[]),1))-ROW(OFFSET(nombres[],0,0,1,1))+1,ROW(OFFSET(nombres[],ROWS(nombres[])-1,0,1,1))+1),$O1540:$O1559),3),"")</f>
        <v/>
      </c>
      <c r="VK1540" s="42" t="str">
        <f t="array" aca="1" ref="VK1540" ca="1">IFERROR(INDEX(nombres[],SMALL(IF(OFFSET(nombres[],0,0,ROWS(nombres[]),1)=VK$1490,ROW(OFFSET(nombres[],0,0,ROWS(nombres[]),1))-ROW(OFFSET(nombres[],0,0,1,1))+1,ROW(OFFSET(nombres[],ROWS(nombres[])-1,0,1,1))+1),$O1540:$O1559),3),"")</f>
        <v/>
      </c>
      <c r="VL1540" s="42" t="str">
        <f t="array" aca="1" ref="VL1540" ca="1">IFERROR(INDEX(nombres[],SMALL(IF(OFFSET(nombres[],0,0,ROWS(nombres[]),1)=VL$1490,ROW(OFFSET(nombres[],0,0,ROWS(nombres[]),1))-ROW(OFFSET(nombres[],0,0,1,1))+1,ROW(OFFSET(nombres[],ROWS(nombres[])-1,0,1,1))+1),$O1540:$O1559),3),"")</f>
        <v/>
      </c>
      <c r="VM1540" s="42" t="str">
        <f t="array" aca="1" ref="VM1540" ca="1">IFERROR(INDEX(nombres[],SMALL(IF(OFFSET(nombres[],0,0,ROWS(nombres[]),1)=VM$1490,ROW(OFFSET(nombres[],0,0,ROWS(nombres[]),1))-ROW(OFFSET(nombres[],0,0,1,1))+1,ROW(OFFSET(nombres[],ROWS(nombres[])-1,0,1,1))+1),$O1540:$O1559),3),"")</f>
        <v/>
      </c>
      <c r="VN1540" s="42" t="str">
        <f t="array" aca="1" ref="VN1540" ca="1">IFERROR(INDEX(nombres[],SMALL(IF(OFFSET(nombres[],0,0,ROWS(nombres[]),1)=VN$1490,ROW(OFFSET(nombres[],0,0,ROWS(nombres[]),1))-ROW(OFFSET(nombres[],0,0,1,1))+1,ROW(OFFSET(nombres[],ROWS(nombres[])-1,0,1,1))+1),$O1540:$O1559),3),"")</f>
        <v/>
      </c>
      <c r="VO1540" s="42" t="str">
        <f t="array" aca="1" ref="VO1540" ca="1">IFERROR(INDEX(nombres[],SMALL(IF(OFFSET(nombres[],0,0,ROWS(nombres[]),1)=VO$1490,ROW(OFFSET(nombres[],0,0,ROWS(nombres[]),1))-ROW(OFFSET(nombres[],0,0,1,1))+1,ROW(OFFSET(nombres[],ROWS(nombres[])-1,0,1,1))+1),$O1540:$O1559),3),"")</f>
        <v/>
      </c>
      <c r="VP1540" s="42" t="str">
        <f t="array" aca="1" ref="VP1540" ca="1">IFERROR(INDEX(nombres[],SMALL(IF(OFFSET(nombres[],0,0,ROWS(nombres[]),1)=VP$1490,ROW(OFFSET(nombres[],0,0,ROWS(nombres[]),1))-ROW(OFFSET(nombres[],0,0,1,1))+1,ROW(OFFSET(nombres[],ROWS(nombres[])-1,0,1,1))+1),$O1540:$O1559),3),"")</f>
        <v/>
      </c>
      <c r="VQ1540" s="42" t="str">
        <f t="array" aca="1" ref="VQ1540" ca="1">IFERROR(INDEX(nombres[],SMALL(IF(OFFSET(nombres[],0,0,ROWS(nombres[]),1)=VQ$1490,ROW(OFFSET(nombres[],0,0,ROWS(nombres[]),1))-ROW(OFFSET(nombres[],0,0,1,1))+1,ROW(OFFSET(nombres[],ROWS(nombres[])-1,0,1,1))+1),$O1540:$O1559),3),"")</f>
        <v/>
      </c>
      <c r="VR1540" s="42" t="str">
        <f t="array" aca="1" ref="VR1540" ca="1">IFERROR(INDEX(nombres[],SMALL(IF(OFFSET(nombres[],0,0,ROWS(nombres[]),1)=VR$1490,ROW(OFFSET(nombres[],0,0,ROWS(nombres[]),1))-ROW(OFFSET(nombres[],0,0,1,1))+1,ROW(OFFSET(nombres[],ROWS(nombres[])-1,0,1,1))+1),$O1540:$O1559),3),"")</f>
        <v/>
      </c>
      <c r="VS1540" s="42" t="str">
        <f t="array" aca="1" ref="VS1540" ca="1">IFERROR(INDEX(nombres[],SMALL(IF(OFFSET(nombres[],0,0,ROWS(nombres[]),1)=VS$1490,ROW(OFFSET(nombres[],0,0,ROWS(nombres[]),1))-ROW(OFFSET(nombres[],0,0,1,1))+1,ROW(OFFSET(nombres[],ROWS(nombres[])-1,0,1,1))+1),$O1540:$O1559),3),"")</f>
        <v/>
      </c>
      <c r="VT1540" s="42" t="str">
        <f t="array" aca="1" ref="VT1540" ca="1">IFERROR(INDEX(nombres[],SMALL(IF(OFFSET(nombres[],0,0,ROWS(nombres[]),1)=VT$1490,ROW(OFFSET(nombres[],0,0,ROWS(nombres[]),1))-ROW(OFFSET(nombres[],0,0,1,1))+1,ROW(OFFSET(nombres[],ROWS(nombres[])-1,0,1,1))+1),$O1540:$O1559),3),"")</f>
        <v/>
      </c>
      <c r="VU1540" s="42" t="str">
        <f t="array" aca="1" ref="VU1540" ca="1">IFERROR(INDEX(nombres[],SMALL(IF(OFFSET(nombres[],0,0,ROWS(nombres[]),1)=VU$1490,ROW(OFFSET(nombres[],0,0,ROWS(nombres[]),1))-ROW(OFFSET(nombres[],0,0,1,1))+1,ROW(OFFSET(nombres[],ROWS(nombres[])-1,0,1,1))+1),$O1540:$O1559),3),"")</f>
        <v/>
      </c>
      <c r="VV1540" s="42" t="str">
        <f t="array" aca="1" ref="VV1540" ca="1">IFERROR(INDEX(nombres[],SMALL(IF(OFFSET(nombres[],0,0,ROWS(nombres[]),1)=VV$1490,ROW(OFFSET(nombres[],0,0,ROWS(nombres[]),1))-ROW(OFFSET(nombres[],0,0,1,1))+1,ROW(OFFSET(nombres[],ROWS(nombres[])-1,0,1,1))+1),$O1540:$O1559),3),"")</f>
        <v/>
      </c>
      <c r="VW1540" s="42" t="str">
        <f t="array" aca="1" ref="VW1540" ca="1">IFERROR(INDEX(nombres[],SMALL(IF(OFFSET(nombres[],0,0,ROWS(nombres[]),1)=VW$1490,ROW(OFFSET(nombres[],0,0,ROWS(nombres[]),1))-ROW(OFFSET(nombres[],0,0,1,1))+1,ROW(OFFSET(nombres[],ROWS(nombres[])-1,0,1,1))+1),$O1540:$O1559),3),"")</f>
        <v/>
      </c>
      <c r="VX1540" s="42" t="str">
        <f t="array" aca="1" ref="VX1540" ca="1">IFERROR(INDEX(nombres[],SMALL(IF(OFFSET(nombres[],0,0,ROWS(nombres[]),1)=VX$1490,ROW(OFFSET(nombres[],0,0,ROWS(nombres[]),1))-ROW(OFFSET(nombres[],0,0,1,1))+1,ROW(OFFSET(nombres[],ROWS(nombres[])-1,0,1,1))+1),$O1540:$O1559),3),"")</f>
        <v/>
      </c>
      <c r="VY1540" s="42" t="str">
        <f t="array" aca="1" ref="VY1540" ca="1">IFERROR(INDEX(nombres[],SMALL(IF(OFFSET(nombres[],0,0,ROWS(nombres[]),1)=VY$1490,ROW(OFFSET(nombres[],0,0,ROWS(nombres[]),1))-ROW(OFFSET(nombres[],0,0,1,1))+1,ROW(OFFSET(nombres[],ROWS(nombres[])-1,0,1,1))+1),$O1540:$O1559),3),"")</f>
        <v/>
      </c>
      <c r="VZ1540" s="42" t="str">
        <f t="array" aca="1" ref="VZ1540" ca="1">IFERROR(INDEX(nombres[],SMALL(IF(OFFSET(nombres[],0,0,ROWS(nombres[]),1)=VZ$1490,ROW(OFFSET(nombres[],0,0,ROWS(nombres[]),1))-ROW(OFFSET(nombres[],0,0,1,1))+1,ROW(OFFSET(nombres[],ROWS(nombres[])-1,0,1,1))+1),$O1540:$O1559),3),"")</f>
        <v/>
      </c>
      <c r="WA1540" s="42" t="str">
        <f t="array" aca="1" ref="WA1540" ca="1">IFERROR(INDEX(nombres[],SMALL(IF(OFFSET(nombres[],0,0,ROWS(nombres[]),1)=WA$1490,ROW(OFFSET(nombres[],0,0,ROWS(nombres[]),1))-ROW(OFFSET(nombres[],0,0,1,1))+1,ROW(OFFSET(nombres[],ROWS(nombres[])-1,0,1,1))+1),$O1540:$O1559),3),"")</f>
        <v/>
      </c>
      <c r="WB1540" s="42" t="str">
        <f t="array" aca="1" ref="WB1540" ca="1">IFERROR(INDEX(nombres[],SMALL(IF(OFFSET(nombres[],0,0,ROWS(nombres[]),1)=WB$1490,ROW(OFFSET(nombres[],0,0,ROWS(nombres[]),1))-ROW(OFFSET(nombres[],0,0,1,1))+1,ROW(OFFSET(nombres[],ROWS(nombres[])-1,0,1,1))+1),$O1540:$O1559),3),"")</f>
        <v/>
      </c>
      <c r="WC1540" s="42" t="str">
        <f t="array" aca="1" ref="WC1540" ca="1">IFERROR(INDEX(nombres[],SMALL(IF(OFFSET(nombres[],0,0,ROWS(nombres[]),1)=WC$1490,ROW(OFFSET(nombres[],0,0,ROWS(nombres[]),1))-ROW(OFFSET(nombres[],0,0,1,1))+1,ROW(OFFSET(nombres[],ROWS(nombres[])-1,0,1,1))+1),$O1540:$O1559),3),"")</f>
        <v/>
      </c>
      <c r="WD1540" s="42" t="str">
        <f t="array" aca="1" ref="WD1540" ca="1">IFERROR(INDEX(nombres[],SMALL(IF(OFFSET(nombres[],0,0,ROWS(nombres[]),1)=WD$1490,ROW(OFFSET(nombres[],0,0,ROWS(nombres[]),1))-ROW(OFFSET(nombres[],0,0,1,1))+1,ROW(OFFSET(nombres[],ROWS(nombres[])-1,0,1,1))+1),$O1540:$O1559),3),"")</f>
        <v/>
      </c>
      <c r="WE1540" s="42" t="str">
        <f t="array" aca="1" ref="WE1540" ca="1">IFERROR(INDEX(nombres[],SMALL(IF(OFFSET(nombres[],0,0,ROWS(nombres[]),1)=WE$1490,ROW(OFFSET(nombres[],0,0,ROWS(nombres[]),1))-ROW(OFFSET(nombres[],0,0,1,1))+1,ROW(OFFSET(nombres[],ROWS(nombres[])-1,0,1,1))+1),$O1540:$O1559),3),"")</f>
        <v/>
      </c>
      <c r="WF1540" s="42" t="str">
        <f t="array" aca="1" ref="WF1540" ca="1">IFERROR(INDEX(nombres[],SMALL(IF(OFFSET(nombres[],0,0,ROWS(nombres[]),1)=WF$1490,ROW(OFFSET(nombres[],0,0,ROWS(nombres[]),1))-ROW(OFFSET(nombres[],0,0,1,1))+1,ROW(OFFSET(nombres[],ROWS(nombres[])-1,0,1,1))+1),$O1540:$O1559),3),"")</f>
        <v/>
      </c>
      <c r="WG1540" s="42" t="str">
        <f t="array" aca="1" ref="WG1540" ca="1">IFERROR(INDEX(nombres[],SMALL(IF(OFFSET(nombres[],0,0,ROWS(nombres[]),1)=WG$1490,ROW(OFFSET(nombres[],0,0,ROWS(nombres[]),1))-ROW(OFFSET(nombres[],0,0,1,1))+1,ROW(OFFSET(nombres[],ROWS(nombres[])-1,0,1,1))+1),$O1540:$O1559),3),"")</f>
        <v/>
      </c>
      <c r="WH1540" s="42" t="str">
        <f t="array" aca="1" ref="WH1540" ca="1">IFERROR(INDEX(nombres[],SMALL(IF(OFFSET(nombres[],0,0,ROWS(nombres[]),1)=WH$1490,ROW(OFFSET(nombres[],0,0,ROWS(nombres[]),1))-ROW(OFFSET(nombres[],0,0,1,1))+1,ROW(OFFSET(nombres[],ROWS(nombres[])-1,0,1,1))+1),$O1540:$O1559),3),"")</f>
        <v/>
      </c>
      <c r="WI1540" s="42" t="str">
        <f t="array" aca="1" ref="WI1540" ca="1">IFERROR(INDEX(nombres[],SMALL(IF(OFFSET(nombres[],0,0,ROWS(nombres[]),1)=WI$1490,ROW(OFFSET(nombres[],0,0,ROWS(nombres[]),1))-ROW(OFFSET(nombres[],0,0,1,1))+1,ROW(OFFSET(nombres[],ROWS(nombres[])-1,0,1,1))+1),$O1540:$O1559),3),"")</f>
        <v/>
      </c>
      <c r="WJ1540" s="42" t="str">
        <f t="array" aca="1" ref="WJ1540" ca="1">IFERROR(INDEX(nombres[],SMALL(IF(OFFSET(nombres[],0,0,ROWS(nombres[]),1)=WJ$1490,ROW(OFFSET(nombres[],0,0,ROWS(nombres[]),1))-ROW(OFFSET(nombres[],0,0,1,1))+1,ROW(OFFSET(nombres[],ROWS(nombres[])-1,0,1,1))+1),$O1540:$O1559),3),"")</f>
        <v/>
      </c>
      <c r="WK1540" s="42" t="str">
        <f t="array" aca="1" ref="WK1540" ca="1">IFERROR(INDEX(nombres[],SMALL(IF(OFFSET(nombres[],0,0,ROWS(nombres[]),1)=WK$1490,ROW(OFFSET(nombres[],0,0,ROWS(nombres[]),1))-ROW(OFFSET(nombres[],0,0,1,1))+1,ROW(OFFSET(nombres[],ROWS(nombres[])-1,0,1,1))+1),$O1540:$O1559),3),"")</f>
        <v/>
      </c>
      <c r="WL1540" s="42" t="str">
        <f t="array" aca="1" ref="WL1540" ca="1">IFERROR(INDEX(nombres[],SMALL(IF(OFFSET(nombres[],0,0,ROWS(nombres[]),1)=WL$1490,ROW(OFFSET(nombres[],0,0,ROWS(nombres[]),1))-ROW(OFFSET(nombres[],0,0,1,1))+1,ROW(OFFSET(nombres[],ROWS(nombres[])-1,0,1,1))+1),$O1540:$O1559),3),"")</f>
        <v/>
      </c>
      <c r="WM1540" s="42" t="str">
        <f t="array" aca="1" ref="WM1540" ca="1">IFERROR(INDEX(nombres[],SMALL(IF(OFFSET(nombres[],0,0,ROWS(nombres[]),1)=WM$1490,ROW(OFFSET(nombres[],0,0,ROWS(nombres[]),1))-ROW(OFFSET(nombres[],0,0,1,1))+1,ROW(OFFSET(nombres[],ROWS(nombres[])-1,0,1,1))+1),$O1540:$O1559),3),"")</f>
        <v/>
      </c>
      <c r="WN1540" s="42" t="str">
        <f t="array" aca="1" ref="WN1540" ca="1">IFERROR(INDEX(nombres[],SMALL(IF(OFFSET(nombres[],0,0,ROWS(nombres[]),1)=WN$1490,ROW(OFFSET(nombres[],0,0,ROWS(nombres[]),1))-ROW(OFFSET(nombres[],0,0,1,1))+1,ROW(OFFSET(nombres[],ROWS(nombres[])-1,0,1,1))+1),$O1540:$O1559),3),"")</f>
        <v/>
      </c>
      <c r="WO1540" s="42" t="str">
        <f t="array" aca="1" ref="WO1540" ca="1">IFERROR(INDEX(nombres[],SMALL(IF(OFFSET(nombres[],0,0,ROWS(nombres[]),1)=WO$1490,ROW(OFFSET(nombres[],0,0,ROWS(nombres[]),1))-ROW(OFFSET(nombres[],0,0,1,1))+1,ROW(OFFSET(nombres[],ROWS(nombres[])-1,0,1,1))+1),$O1540:$O1559),3),"")</f>
        <v/>
      </c>
      <c r="WP1540" s="42" t="str">
        <f t="array" aca="1" ref="WP1540" ca="1">IFERROR(INDEX(nombres[],SMALL(IF(OFFSET(nombres[],0,0,ROWS(nombres[]),1)=WP$1490,ROW(OFFSET(nombres[],0,0,ROWS(nombres[]),1))-ROW(OFFSET(nombres[],0,0,1,1))+1,ROW(OFFSET(nombres[],ROWS(nombres[])-1,0,1,1))+1),$O1540:$O1559),3),"")</f>
        <v/>
      </c>
      <c r="WQ1540" s="42" t="str">
        <f t="array" aca="1" ref="WQ1540" ca="1">IFERROR(INDEX(nombres[],SMALL(IF(OFFSET(nombres[],0,0,ROWS(nombres[]),1)=WQ$1490,ROW(OFFSET(nombres[],0,0,ROWS(nombres[]),1))-ROW(OFFSET(nombres[],0,0,1,1))+1,ROW(OFFSET(nombres[],ROWS(nombres[])-1,0,1,1))+1),$O1540:$O1559),3),"")</f>
        <v/>
      </c>
      <c r="WR1540" s="42" t="str">
        <f t="array" aca="1" ref="WR1540" ca="1">IFERROR(INDEX(nombres[],SMALL(IF(OFFSET(nombres[],0,0,ROWS(nombres[]),1)=WR$1490,ROW(OFFSET(nombres[],0,0,ROWS(nombres[]),1))-ROW(OFFSET(nombres[],0,0,1,1))+1,ROW(OFFSET(nombres[],ROWS(nombres[])-1,0,1,1))+1),$O1540:$O1559),3),"")</f>
        <v/>
      </c>
      <c r="WS1540" s="42" t="str">
        <f t="array" aca="1" ref="WS1540" ca="1">IFERROR(INDEX(nombres[],SMALL(IF(OFFSET(nombres[],0,0,ROWS(nombres[]),1)=WS$1490,ROW(OFFSET(nombres[],0,0,ROWS(nombres[]),1))-ROW(OFFSET(nombres[],0,0,1,1))+1,ROW(OFFSET(nombres[],ROWS(nombres[])-1,0,1,1))+1),$O1540:$O1559),3),"")</f>
        <v/>
      </c>
      <c r="WT1540" s="42" t="str">
        <f t="array" aca="1" ref="WT1540" ca="1">IFERROR(INDEX(nombres[],SMALL(IF(OFFSET(nombres[],0,0,ROWS(nombres[]),1)=WT$1490,ROW(OFFSET(nombres[],0,0,ROWS(nombres[]),1))-ROW(OFFSET(nombres[],0,0,1,1))+1,ROW(OFFSET(nombres[],ROWS(nombres[])-1,0,1,1))+1),$O1540:$O1559),3),"")</f>
        <v/>
      </c>
      <c r="WU1540" s="42" t="str">
        <f t="array" aca="1" ref="WU1540" ca="1">IFERROR(INDEX(nombres[],SMALL(IF(OFFSET(nombres[],0,0,ROWS(nombres[]),1)=WU$1490,ROW(OFFSET(nombres[],0,0,ROWS(nombres[]),1))-ROW(OFFSET(nombres[],0,0,1,1))+1,ROW(OFFSET(nombres[],ROWS(nombres[])-1,0,1,1))+1),$O1540:$O1559),3),"")</f>
        <v/>
      </c>
      <c r="WV1540" s="42" t="str">
        <f t="array" aca="1" ref="WV1540" ca="1">IFERROR(INDEX(nombres[],SMALL(IF(OFFSET(nombres[],0,0,ROWS(nombres[]),1)=WV$1490,ROW(OFFSET(nombres[],0,0,ROWS(nombres[]),1))-ROW(OFFSET(nombres[],0,0,1,1))+1,ROW(OFFSET(nombres[],ROWS(nombres[])-1,0,1,1))+1),$O1540:$O1559),3),"")</f>
        <v/>
      </c>
      <c r="WW1540" s="42" t="str">
        <f t="array" aca="1" ref="WW1540" ca="1">IFERROR(INDEX(nombres[],SMALL(IF(OFFSET(nombres[],0,0,ROWS(nombres[]),1)=WW$1490,ROW(OFFSET(nombres[],0,0,ROWS(nombres[]),1))-ROW(OFFSET(nombres[],0,0,1,1))+1,ROW(OFFSET(nombres[],ROWS(nombres[])-1,0,1,1))+1),$O1540:$O1559),3),"")</f>
        <v/>
      </c>
      <c r="WX1540" s="42" t="str">
        <f t="array" aca="1" ref="WX1540" ca="1">IFERROR(INDEX(nombres[],SMALL(IF(OFFSET(nombres[],0,0,ROWS(nombres[]),1)=WX$1490,ROW(OFFSET(nombres[],0,0,ROWS(nombres[]),1))-ROW(OFFSET(nombres[],0,0,1,1))+1,ROW(OFFSET(nombres[],ROWS(nombres[])-1,0,1,1))+1),$O1540:$O1559),3),"")</f>
        <v/>
      </c>
      <c r="WY1540" s="42" t="str">
        <f t="array" aca="1" ref="WY1540" ca="1">IFERROR(INDEX(nombres[],SMALL(IF(OFFSET(nombres[],0,0,ROWS(nombres[]),1)=WY$1490,ROW(OFFSET(nombres[],0,0,ROWS(nombres[]),1))-ROW(OFFSET(nombres[],0,0,1,1))+1,ROW(OFFSET(nombres[],ROWS(nombres[])-1,0,1,1))+1),$O1540:$O1559),3),"")</f>
        <v/>
      </c>
      <c r="WZ1540" s="42" t="str">
        <f t="array" aca="1" ref="WZ1540" ca="1">IFERROR(INDEX(nombres[],SMALL(IF(OFFSET(nombres[],0,0,ROWS(nombres[]),1)=WZ$1490,ROW(OFFSET(nombres[],0,0,ROWS(nombres[]),1))-ROW(OFFSET(nombres[],0,0,1,1))+1,ROW(OFFSET(nombres[],ROWS(nombres[])-1,0,1,1))+1),$O1540:$O1559),3),"")</f>
        <v/>
      </c>
      <c r="XA1540" s="42" t="str">
        <f t="array" aca="1" ref="XA1540" ca="1">IFERROR(INDEX(nombres[],SMALL(IF(OFFSET(nombres[],0,0,ROWS(nombres[]),1)=XA$1490,ROW(OFFSET(nombres[],0,0,ROWS(nombres[]),1))-ROW(OFFSET(nombres[],0,0,1,1))+1,ROW(OFFSET(nombres[],ROWS(nombres[])-1,0,1,1))+1),$O1540:$O1559),3),"")</f>
        <v/>
      </c>
      <c r="XB1540" s="42" t="str">
        <f t="array" aca="1" ref="XB1540" ca="1">IFERROR(INDEX(nombres[],SMALL(IF(OFFSET(nombres[],0,0,ROWS(nombres[]),1)=XB$1490,ROW(OFFSET(nombres[],0,0,ROWS(nombres[]),1))-ROW(OFFSET(nombres[],0,0,1,1))+1,ROW(OFFSET(nombres[],ROWS(nombres[])-1,0,1,1))+1),$O1540:$O1559),3),"")</f>
        <v/>
      </c>
      <c r="XC1540" s="42" t="str">
        <f t="array" aca="1" ref="XC1540" ca="1">IFERROR(INDEX(nombres[],SMALL(IF(OFFSET(nombres[],0,0,ROWS(nombres[]),1)=XC$1490,ROW(OFFSET(nombres[],0,0,ROWS(nombres[]),1))-ROW(OFFSET(nombres[],0,0,1,1))+1,ROW(OFFSET(nombres[],ROWS(nombres[])-1,0,1,1))+1),$O1540:$O1559),3),"")</f>
        <v/>
      </c>
      <c r="XD1540" s="42" t="str">
        <f t="array" aca="1" ref="XD1540" ca="1">IFERROR(INDEX(nombres[],SMALL(IF(OFFSET(nombres[],0,0,ROWS(nombres[]),1)=XD$1490,ROW(OFFSET(nombres[],0,0,ROWS(nombres[]),1))-ROW(OFFSET(nombres[],0,0,1,1))+1,ROW(OFFSET(nombres[],ROWS(nombres[])-1,0,1,1))+1),$O1540:$O1559),3),"")</f>
        <v/>
      </c>
      <c r="XE1540" s="42" t="str">
        <f t="array" aca="1" ref="XE1540" ca="1">IFERROR(INDEX(nombres[],SMALL(IF(OFFSET(nombres[],0,0,ROWS(nombres[]),1)=XE$1490,ROW(OFFSET(nombres[],0,0,ROWS(nombres[]),1))-ROW(OFFSET(nombres[],0,0,1,1))+1,ROW(OFFSET(nombres[],ROWS(nombres[])-1,0,1,1))+1),$O1540:$O1559),3),"")</f>
        <v/>
      </c>
      <c r="XF1540" s="42" t="str">
        <f t="array" aca="1" ref="XF1540" ca="1">IFERROR(INDEX(nombres[],SMALL(IF(OFFSET(nombres[],0,0,ROWS(nombres[]),1)=XF$1490,ROW(OFFSET(nombres[],0,0,ROWS(nombres[]),1))-ROW(OFFSET(nombres[],0,0,1,1))+1,ROW(OFFSET(nombres[],ROWS(nombres[])-1,0,1,1))+1),$O1540:$O1559),3),"")</f>
        <v/>
      </c>
      <c r="XG1540" s="42" t="str">
        <f t="array" aca="1" ref="XG1540" ca="1">IFERROR(INDEX(nombres[],SMALL(IF(OFFSET(nombres[],0,0,ROWS(nombres[]),1)=XG$1490,ROW(OFFSET(nombres[],0,0,ROWS(nombres[]),1))-ROW(OFFSET(nombres[],0,0,1,1))+1,ROW(OFFSET(nombres[],ROWS(nombres[])-1,0,1,1))+1),$O1540:$O1559),3),"")</f>
        <v/>
      </c>
      <c r="XH1540" s="42" t="str">
        <f t="array" aca="1" ref="XH1540" ca="1">IFERROR(INDEX(nombres[],SMALL(IF(OFFSET(nombres[],0,0,ROWS(nombres[]),1)=XH$1490,ROW(OFFSET(nombres[],0,0,ROWS(nombres[]),1))-ROW(OFFSET(nombres[],0,0,1,1))+1,ROW(OFFSET(nombres[],ROWS(nombres[])-1,0,1,1))+1),$O1540:$O1559),3),"")</f>
        <v/>
      </c>
      <c r="XI1540" s="42" t="str">
        <f t="array" aca="1" ref="XI1540" ca="1">IFERROR(INDEX(nombres[],SMALL(IF(OFFSET(nombres[],0,0,ROWS(nombres[]),1)=XI$1490,ROW(OFFSET(nombres[],0,0,ROWS(nombres[]),1))-ROW(OFFSET(nombres[],0,0,1,1))+1,ROW(OFFSET(nombres[],ROWS(nombres[])-1,0,1,1))+1),$O1540:$O1559),3),"")</f>
        <v/>
      </c>
      <c r="XJ1540" s="42" t="str">
        <f t="array" aca="1" ref="XJ1540" ca="1">IFERROR(INDEX(nombres[],SMALL(IF(OFFSET(nombres[],0,0,ROWS(nombres[]),1)=XJ$1490,ROW(OFFSET(nombres[],0,0,ROWS(nombres[]),1))-ROW(OFFSET(nombres[],0,0,1,1))+1,ROW(OFFSET(nombres[],ROWS(nombres[])-1,0,1,1))+1),$O1540:$O1559),3),"")</f>
        <v/>
      </c>
      <c r="XK1540" s="42" t="str">
        <f t="array" aca="1" ref="XK1540" ca="1">IFERROR(INDEX(nombres[],SMALL(IF(OFFSET(nombres[],0,0,ROWS(nombres[]),1)=XK$1490,ROW(OFFSET(nombres[],0,0,ROWS(nombres[]),1))-ROW(OFFSET(nombres[],0,0,1,1))+1,ROW(OFFSET(nombres[],ROWS(nombres[])-1,0,1,1))+1),$O1540:$O1559),3),"")</f>
        <v/>
      </c>
      <c r="XL1540" s="42" t="str">
        <f t="array" aca="1" ref="XL1540" ca="1">IFERROR(INDEX(nombres[],SMALL(IF(OFFSET(nombres[],0,0,ROWS(nombres[]),1)=XL$1490,ROW(OFFSET(nombres[],0,0,ROWS(nombres[]),1))-ROW(OFFSET(nombres[],0,0,1,1))+1,ROW(OFFSET(nombres[],ROWS(nombres[])-1,0,1,1))+1),$O1540:$O1559),3),"")</f>
        <v/>
      </c>
      <c r="XM1540" s="42" t="str">
        <f t="array" aca="1" ref="XM1540" ca="1">IFERROR(INDEX(nombres[],SMALL(IF(OFFSET(nombres[],0,0,ROWS(nombres[]),1)=XM$1490,ROW(OFFSET(nombres[],0,0,ROWS(nombres[]),1))-ROW(OFFSET(nombres[],0,0,1,1))+1,ROW(OFFSET(nombres[],ROWS(nombres[])-1,0,1,1))+1),$O1540:$O1559),3),"")</f>
        <v/>
      </c>
      <c r="XN1540" s="42" t="str">
        <f t="array" aca="1" ref="XN1540" ca="1">IFERROR(INDEX(nombres[],SMALL(IF(OFFSET(nombres[],0,0,ROWS(nombres[]),1)=XN$1490,ROW(OFFSET(nombres[],0,0,ROWS(nombres[]),1))-ROW(OFFSET(nombres[],0,0,1,1))+1,ROW(OFFSET(nombres[],ROWS(nombres[])-1,0,1,1))+1),$O1540:$O1559),3),"")</f>
        <v/>
      </c>
      <c r="XO1540" s="42" t="str">
        <f t="array" aca="1" ref="XO1540" ca="1">IFERROR(INDEX(nombres[],SMALL(IF(OFFSET(nombres[],0,0,ROWS(nombres[]),1)=XO$1490,ROW(OFFSET(nombres[],0,0,ROWS(nombres[]),1))-ROW(OFFSET(nombres[],0,0,1,1))+1,ROW(OFFSET(nombres[],ROWS(nombres[])-1,0,1,1))+1),$O1540:$O1559),3),"")</f>
        <v/>
      </c>
      <c r="XP1540" s="42" t="str">
        <f t="array" aca="1" ref="XP1540" ca="1">IFERROR(INDEX(nombres[],SMALL(IF(OFFSET(nombres[],0,0,ROWS(nombres[]),1)=XP$1490,ROW(OFFSET(nombres[],0,0,ROWS(nombres[]),1))-ROW(OFFSET(nombres[],0,0,1,1))+1,ROW(OFFSET(nombres[],ROWS(nombres[])-1,0,1,1))+1),$O1540:$O1559),3),"")</f>
        <v/>
      </c>
      <c r="XQ1540" s="42" t="str">
        <f t="array" aca="1" ref="XQ1540" ca="1">IFERROR(INDEX(nombres[],SMALL(IF(OFFSET(nombres[],0,0,ROWS(nombres[]),1)=XQ$1490,ROW(OFFSET(nombres[],0,0,ROWS(nombres[]),1))-ROW(OFFSET(nombres[],0,0,1,1))+1,ROW(OFFSET(nombres[],ROWS(nombres[])-1,0,1,1))+1),$O1540:$O1559),3),"")</f>
        <v/>
      </c>
      <c r="XR1540" s="42" t="str">
        <f t="array" aca="1" ref="XR1540" ca="1">IFERROR(INDEX(nombres[],SMALL(IF(OFFSET(nombres[],0,0,ROWS(nombres[]),1)=XR$1490,ROW(OFFSET(nombres[],0,0,ROWS(nombres[]),1))-ROW(OFFSET(nombres[],0,0,1,1))+1,ROW(OFFSET(nombres[],ROWS(nombres[])-1,0,1,1))+1),$O1540:$O1559),3),"")</f>
        <v/>
      </c>
      <c r="XS1540" s="42" t="str">
        <f t="array" aca="1" ref="XS1540" ca="1">IFERROR(INDEX(nombres[],SMALL(IF(OFFSET(nombres[],0,0,ROWS(nombres[]),1)=XS$1490,ROW(OFFSET(nombres[],0,0,ROWS(nombres[]),1))-ROW(OFFSET(nombres[],0,0,1,1))+1,ROW(OFFSET(nombres[],ROWS(nombres[])-1,0,1,1))+1),$O1540:$O1559),3),"")</f>
        <v/>
      </c>
      <c r="XT1540" s="42" t="str">
        <f t="array" aca="1" ref="XT1540" ca="1">IFERROR(INDEX(nombres[],SMALL(IF(OFFSET(nombres[],0,0,ROWS(nombres[]),1)=XT$1490,ROW(OFFSET(nombres[],0,0,ROWS(nombres[]),1))-ROW(OFFSET(nombres[],0,0,1,1))+1,ROW(OFFSET(nombres[],ROWS(nombres[])-1,0,1,1))+1),$O1540:$O1559),3),"")</f>
        <v/>
      </c>
      <c r="XU1540" s="42" t="str">
        <f t="array" aca="1" ref="XU1540" ca="1">IFERROR(INDEX(nombres[],SMALL(IF(OFFSET(nombres[],0,0,ROWS(nombres[]),1)=XU$1490,ROW(OFFSET(nombres[],0,0,ROWS(nombres[]),1))-ROW(OFFSET(nombres[],0,0,1,1))+1,ROW(OFFSET(nombres[],ROWS(nombres[])-1,0,1,1))+1),$O1540:$O1559),3),"")</f>
        <v/>
      </c>
      <c r="XV1540" s="42" t="str">
        <f t="array" aca="1" ref="XV1540" ca="1">IFERROR(INDEX(nombres[],SMALL(IF(OFFSET(nombres[],0,0,ROWS(nombres[]),1)=XV$1490,ROW(OFFSET(nombres[],0,0,ROWS(nombres[]),1))-ROW(OFFSET(nombres[],0,0,1,1))+1,ROW(OFFSET(nombres[],ROWS(nombres[])-1,0,1,1))+1),$O1540:$O1559),3),"")</f>
        <v/>
      </c>
      <c r="XW1540" s="42" t="str">
        <f t="array" aca="1" ref="XW1540" ca="1">IFERROR(INDEX(nombres[],SMALL(IF(OFFSET(nombres[],0,0,ROWS(nombres[]),1)=XW$1490,ROW(OFFSET(nombres[],0,0,ROWS(nombres[]),1))-ROW(OFFSET(nombres[],0,0,1,1))+1,ROW(OFFSET(nombres[],ROWS(nombres[])-1,0,1,1))+1),$O1540:$O1559),3),"")</f>
        <v/>
      </c>
      <c r="XX1540" s="42" t="str">
        <f t="array" aca="1" ref="XX1540" ca="1">IFERROR(INDEX(nombres[],SMALL(IF(OFFSET(nombres[],0,0,ROWS(nombres[]),1)=XX$1490,ROW(OFFSET(nombres[],0,0,ROWS(nombres[]),1))-ROW(OFFSET(nombres[],0,0,1,1))+1,ROW(OFFSET(nombres[],ROWS(nombres[])-1,0,1,1))+1),$O1540:$O1559),3),"")</f>
        <v/>
      </c>
      <c r="XY1540" s="42" t="str">
        <f t="array" aca="1" ref="XY1540" ca="1">IFERROR(INDEX(nombres[],SMALL(IF(OFFSET(nombres[],0,0,ROWS(nombres[]),1)=XY$1490,ROW(OFFSET(nombres[],0,0,ROWS(nombres[]),1))-ROW(OFFSET(nombres[],0,0,1,1))+1,ROW(OFFSET(nombres[],ROWS(nombres[])-1,0,1,1))+1),$O1540:$O1559),3),"")</f>
        <v/>
      </c>
      <c r="XZ1540" s="42" t="str">
        <f t="array" aca="1" ref="XZ1540" ca="1">IFERROR(INDEX(nombres[],SMALL(IF(OFFSET(nombres[],0,0,ROWS(nombres[]),1)=XZ$1490,ROW(OFFSET(nombres[],0,0,ROWS(nombres[]),1))-ROW(OFFSET(nombres[],0,0,1,1))+1,ROW(OFFSET(nombres[],ROWS(nombres[])-1,0,1,1))+1),$O1540:$O1559),3),"")</f>
        <v/>
      </c>
      <c r="YA1540" s="42" t="str">
        <f t="array" aca="1" ref="YA1540" ca="1">IFERROR(INDEX(nombres[],SMALL(IF(OFFSET(nombres[],0,0,ROWS(nombres[]),1)=YA$1490,ROW(OFFSET(nombres[],0,0,ROWS(nombres[]),1))-ROW(OFFSET(nombres[],0,0,1,1))+1,ROW(OFFSET(nombres[],ROWS(nombres[])-1,0,1,1))+1),$O1540:$O1559),3),"")</f>
        <v/>
      </c>
      <c r="YB1540" s="42" t="str">
        <f t="array" aca="1" ref="YB1540" ca="1">IFERROR(INDEX(nombres[],SMALL(IF(OFFSET(nombres[],0,0,ROWS(nombres[]),1)=YB$1490,ROW(OFFSET(nombres[],0,0,ROWS(nombres[]),1))-ROW(OFFSET(nombres[],0,0,1,1))+1,ROW(OFFSET(nombres[],ROWS(nombres[])-1,0,1,1))+1),$O1540:$O1559),3),"")</f>
        <v/>
      </c>
      <c r="YC1540" s="42" t="str">
        <f t="array" aca="1" ref="YC1540" ca="1">IFERROR(INDEX(nombres[],SMALL(IF(OFFSET(nombres[],0,0,ROWS(nombres[]),1)=YC$1490,ROW(OFFSET(nombres[],0,0,ROWS(nombres[]),1))-ROW(OFFSET(nombres[],0,0,1,1))+1,ROW(OFFSET(nombres[],ROWS(nombres[])-1,0,1,1))+1),$O1540:$O1559),3),"")</f>
        <v/>
      </c>
      <c r="YD1540" s="42" t="str">
        <f t="array" aca="1" ref="YD1540" ca="1">IFERROR(INDEX(nombres[],SMALL(IF(OFFSET(nombres[],0,0,ROWS(nombres[]),1)=YD$1490,ROW(OFFSET(nombres[],0,0,ROWS(nombres[]),1))-ROW(OFFSET(nombres[],0,0,1,1))+1,ROW(OFFSET(nombres[],ROWS(nombres[])-1,0,1,1))+1),$O1540:$O1559),3),"")</f>
        <v/>
      </c>
      <c r="YE1540" s="42" t="str">
        <f t="array" aca="1" ref="YE1540" ca="1">IFERROR(INDEX(nombres[],SMALL(IF(OFFSET(nombres[],0,0,ROWS(nombres[]),1)=YE$1490,ROW(OFFSET(nombres[],0,0,ROWS(nombres[]),1))-ROW(OFFSET(nombres[],0,0,1,1))+1,ROW(OFFSET(nombres[],ROWS(nombres[])-1,0,1,1))+1),$O1540:$O1559),3),"")</f>
        <v/>
      </c>
      <c r="YF1540" s="42" t="str">
        <f t="array" aca="1" ref="YF1540" ca="1">IFERROR(INDEX(nombres[],SMALL(IF(OFFSET(nombres[],0,0,ROWS(nombres[]),1)=YF$1490,ROW(OFFSET(nombres[],0,0,ROWS(nombres[]),1))-ROW(OFFSET(nombres[],0,0,1,1))+1,ROW(OFFSET(nombres[],ROWS(nombres[])-1,0,1,1))+1),$O1540:$O1559),3),"")</f>
        <v/>
      </c>
      <c r="YG1540" s="42" t="str">
        <f t="array" aca="1" ref="YG1540" ca="1">IFERROR(INDEX(nombres[],SMALL(IF(OFFSET(nombres[],0,0,ROWS(nombres[]),1)=YG$1490,ROW(OFFSET(nombres[],0,0,ROWS(nombres[]),1))-ROW(OFFSET(nombres[],0,0,1,1))+1,ROW(OFFSET(nombres[],ROWS(nombres[])-1,0,1,1))+1),$O1540:$O1559),3),"")</f>
        <v/>
      </c>
      <c r="YH1540" s="42" t="str">
        <f t="array" aca="1" ref="YH1540" ca="1">IFERROR(INDEX(nombres[],SMALL(IF(OFFSET(nombres[],0,0,ROWS(nombres[]),1)=YH$1490,ROW(OFFSET(nombres[],0,0,ROWS(nombres[]),1))-ROW(OFFSET(nombres[],0,0,1,1))+1,ROW(OFFSET(nombres[],ROWS(nombres[])-1,0,1,1))+1),$O1540:$O1559),3),"")</f>
        <v/>
      </c>
      <c r="YI1540" s="42" t="str">
        <f t="array" aca="1" ref="YI1540" ca="1">IFERROR(INDEX(nombres[],SMALL(IF(OFFSET(nombres[],0,0,ROWS(nombres[]),1)=YI$1490,ROW(OFFSET(nombres[],0,0,ROWS(nombres[]),1))-ROW(OFFSET(nombres[],0,0,1,1))+1,ROW(OFFSET(nombres[],ROWS(nombres[])-1,0,1,1))+1),$O1540:$O1559),3),"")</f>
        <v/>
      </c>
      <c r="YJ1540" s="42" t="str">
        <f t="array" aca="1" ref="YJ1540" ca="1">IFERROR(INDEX(nombres[],SMALL(IF(OFFSET(nombres[],0,0,ROWS(nombres[]),1)=YJ$1490,ROW(OFFSET(nombres[],0,0,ROWS(nombres[]),1))-ROW(OFFSET(nombres[],0,0,1,1))+1,ROW(OFFSET(nombres[],ROWS(nombres[])-1,0,1,1))+1),$O1540:$O1559),3),"")</f>
        <v/>
      </c>
      <c r="YK1540" s="42" t="str">
        <f t="array" aca="1" ref="YK1540" ca="1">IFERROR(INDEX(nombres[],SMALL(IF(OFFSET(nombres[],0,0,ROWS(nombres[]),1)=YK$1490,ROW(OFFSET(nombres[],0,0,ROWS(nombres[]),1))-ROW(OFFSET(nombres[],0,0,1,1))+1,ROW(OFFSET(nombres[],ROWS(nombres[])-1,0,1,1))+1),$O1540:$O1559),3),"")</f>
        <v/>
      </c>
      <c r="YL1540" s="42" t="str">
        <f t="array" aca="1" ref="YL1540" ca="1">IFERROR(INDEX(nombres[],SMALL(IF(OFFSET(nombres[],0,0,ROWS(nombres[]),1)=YL$1490,ROW(OFFSET(nombres[],0,0,ROWS(nombres[]),1))-ROW(OFFSET(nombres[],0,0,1,1))+1,ROW(OFFSET(nombres[],ROWS(nombres[])-1,0,1,1))+1),$O1540:$O1559),3),"")</f>
        <v/>
      </c>
      <c r="YM1540" s="42" t="str">
        <f t="array" aca="1" ref="YM1540" ca="1">IFERROR(INDEX(nombres[],SMALL(IF(OFFSET(nombres[],0,0,ROWS(nombres[]),1)=YM$1490,ROW(OFFSET(nombres[],0,0,ROWS(nombres[]),1))-ROW(OFFSET(nombres[],0,0,1,1))+1,ROW(OFFSET(nombres[],ROWS(nombres[])-1,0,1,1))+1),$O1540:$O1559),3),"")</f>
        <v/>
      </c>
      <c r="YN1540" s="42" t="str">
        <f t="array" aca="1" ref="YN1540" ca="1">IFERROR(INDEX(nombres[],SMALL(IF(OFFSET(nombres[],0,0,ROWS(nombres[]),1)=YN$1490,ROW(OFFSET(nombres[],0,0,ROWS(nombres[]),1))-ROW(OFFSET(nombres[],0,0,1,1))+1,ROW(OFFSET(nombres[],ROWS(nombres[])-1,0,1,1))+1),$O1540:$O1559),3),"")</f>
        <v/>
      </c>
      <c r="YO1540" s="42" t="str">
        <f t="array" aca="1" ref="YO1540" ca="1">IFERROR(INDEX(nombres[],SMALL(IF(OFFSET(nombres[],0,0,ROWS(nombres[]),1)=YO$1490,ROW(OFFSET(nombres[],0,0,ROWS(nombres[]),1))-ROW(OFFSET(nombres[],0,0,1,1))+1,ROW(OFFSET(nombres[],ROWS(nombres[])-1,0,1,1))+1),$O1540:$O1559),3),"")</f>
        <v/>
      </c>
      <c r="YP1540" s="42" t="str">
        <f t="array" aca="1" ref="YP1540" ca="1">IFERROR(INDEX(nombres[],SMALL(IF(OFFSET(nombres[],0,0,ROWS(nombres[]),1)=YP$1490,ROW(OFFSET(nombres[],0,0,ROWS(nombres[]),1))-ROW(OFFSET(nombres[],0,0,1,1))+1,ROW(OFFSET(nombres[],ROWS(nombres[])-1,0,1,1))+1),$O1540:$O1559),3),"")</f>
        <v/>
      </c>
      <c r="YQ1540" s="42" t="str">
        <f t="array" aca="1" ref="YQ1540" ca="1">IFERROR(INDEX(nombres[],SMALL(IF(OFFSET(nombres[],0,0,ROWS(nombres[]),1)=YQ$1490,ROW(OFFSET(nombres[],0,0,ROWS(nombres[]),1))-ROW(OFFSET(nombres[],0,0,1,1))+1,ROW(OFFSET(nombres[],ROWS(nombres[])-1,0,1,1))+1),$O1540:$O1559),3),"")</f>
        <v/>
      </c>
      <c r="YR1540" s="42" t="str">
        <f t="array" aca="1" ref="YR1540" ca="1">IFERROR(INDEX(nombres[],SMALL(IF(OFFSET(nombres[],0,0,ROWS(nombres[]),1)=YR$1490,ROW(OFFSET(nombres[],0,0,ROWS(nombres[]),1))-ROW(OFFSET(nombres[],0,0,1,1))+1,ROW(OFFSET(nombres[],ROWS(nombres[])-1,0,1,1))+1),$O1540:$O1559),3),"")</f>
        <v/>
      </c>
      <c r="YS1540" s="42" t="str">
        <f t="array" aca="1" ref="YS1540" ca="1">IFERROR(INDEX(nombres[],SMALL(IF(OFFSET(nombres[],0,0,ROWS(nombres[]),1)=YS$1490,ROW(OFFSET(nombres[],0,0,ROWS(nombres[]),1))-ROW(OFFSET(nombres[],0,0,1,1))+1,ROW(OFFSET(nombres[],ROWS(nombres[])-1,0,1,1))+1),$O1540:$O1559),3),"")</f>
        <v/>
      </c>
      <c r="YT1540" s="42" t="str">
        <f t="array" aca="1" ref="YT1540" ca="1">IFERROR(INDEX(nombres[],SMALL(IF(OFFSET(nombres[],0,0,ROWS(nombres[]),1)=YT$1490,ROW(OFFSET(nombres[],0,0,ROWS(nombres[]),1))-ROW(OFFSET(nombres[],0,0,1,1))+1,ROW(OFFSET(nombres[],ROWS(nombres[])-1,0,1,1))+1),$O1540:$O1559),3),"")</f>
        <v/>
      </c>
      <c r="YU1540" s="42" t="str">
        <f t="array" aca="1" ref="YU1540" ca="1">IFERROR(INDEX(nombres[],SMALL(IF(OFFSET(nombres[],0,0,ROWS(nombres[]),1)=YU$1490,ROW(OFFSET(nombres[],0,0,ROWS(nombres[]),1))-ROW(OFFSET(nombres[],0,0,1,1))+1,ROW(OFFSET(nombres[],ROWS(nombres[])-1,0,1,1))+1),$O1540:$O1559),3),"")</f>
        <v/>
      </c>
      <c r="YV1540" s="42" t="str">
        <f t="array" aca="1" ref="YV1540" ca="1">IFERROR(INDEX(nombres[],SMALL(IF(OFFSET(nombres[],0,0,ROWS(nombres[]),1)=YV$1490,ROW(OFFSET(nombres[],0,0,ROWS(nombres[]),1))-ROW(OFFSET(nombres[],0,0,1,1))+1,ROW(OFFSET(nombres[],ROWS(nombres[])-1,0,1,1))+1),$O1540:$O1559),3),"")</f>
        <v/>
      </c>
      <c r="YW1540" s="42" t="str">
        <f t="array" aca="1" ref="YW1540" ca="1">IFERROR(INDEX(nombres[],SMALL(IF(OFFSET(nombres[],0,0,ROWS(nombres[]),1)=YW$1490,ROW(OFFSET(nombres[],0,0,ROWS(nombres[]),1))-ROW(OFFSET(nombres[],0,0,1,1))+1,ROW(OFFSET(nombres[],ROWS(nombres[])-1,0,1,1))+1),$O1540:$O1559),3),"")</f>
        <v/>
      </c>
      <c r="YX1540" s="42" t="str">
        <f t="array" aca="1" ref="YX1540" ca="1">IFERROR(INDEX(nombres[],SMALL(IF(OFFSET(nombres[],0,0,ROWS(nombres[]),1)=YX$1490,ROW(OFFSET(nombres[],0,0,ROWS(nombres[]),1))-ROW(OFFSET(nombres[],0,0,1,1))+1,ROW(OFFSET(nombres[],ROWS(nombres[])-1,0,1,1))+1),$O1540:$O1559),3),"")</f>
        <v/>
      </c>
      <c r="YY1540" s="42" t="str">
        <f t="array" aca="1" ref="YY1540" ca="1">IFERROR(INDEX(nombres[],SMALL(IF(OFFSET(nombres[],0,0,ROWS(nombres[]),1)=YY$1490,ROW(OFFSET(nombres[],0,0,ROWS(nombres[]),1))-ROW(OFFSET(nombres[],0,0,1,1))+1,ROW(OFFSET(nombres[],ROWS(nombres[])-1,0,1,1))+1),$O1540:$O1559),3),"")</f>
        <v/>
      </c>
      <c r="YZ1540" s="42" t="str">
        <f t="array" aca="1" ref="YZ1540" ca="1">IFERROR(INDEX(nombres[],SMALL(IF(OFFSET(nombres[],0,0,ROWS(nombres[]),1)=YZ$1490,ROW(OFFSET(nombres[],0,0,ROWS(nombres[]),1))-ROW(OFFSET(nombres[],0,0,1,1))+1,ROW(OFFSET(nombres[],ROWS(nombres[])-1,0,1,1))+1),$O1540:$O1559),3),"")</f>
        <v/>
      </c>
      <c r="ZA1540" s="42" t="str">
        <f t="array" aca="1" ref="ZA1540" ca="1">IFERROR(INDEX(nombres[],SMALL(IF(OFFSET(nombres[],0,0,ROWS(nombres[]),1)=ZA$1490,ROW(OFFSET(nombres[],0,0,ROWS(nombres[]),1))-ROW(OFFSET(nombres[],0,0,1,1))+1,ROW(OFFSET(nombres[],ROWS(nombres[])-1,0,1,1))+1),$O1540:$O1559),3),"")</f>
        <v/>
      </c>
      <c r="ZB1540" s="42" t="str">
        <f t="array" aca="1" ref="ZB1540" ca="1">IFERROR(INDEX(nombres[],SMALL(IF(OFFSET(nombres[],0,0,ROWS(nombres[]),1)=ZB$1490,ROW(OFFSET(nombres[],0,0,ROWS(nombres[]),1))-ROW(OFFSET(nombres[],0,0,1,1))+1,ROW(OFFSET(nombres[],ROWS(nombres[])-1,0,1,1))+1),$O1540:$O1559),3),"")</f>
        <v/>
      </c>
      <c r="ZC1540" s="42" t="str">
        <f t="array" aca="1" ref="ZC1540" ca="1">IFERROR(INDEX(nombres[],SMALL(IF(OFFSET(nombres[],0,0,ROWS(nombres[]),1)=ZC$1490,ROW(OFFSET(nombres[],0,0,ROWS(nombres[]),1))-ROW(OFFSET(nombres[],0,0,1,1))+1,ROW(OFFSET(nombres[],ROWS(nombres[])-1,0,1,1))+1),$O1540:$O1559),3),"")</f>
        <v/>
      </c>
      <c r="ZD1540" s="42" t="str">
        <f t="array" aca="1" ref="ZD1540" ca="1">IFERROR(INDEX(nombres[],SMALL(IF(OFFSET(nombres[],0,0,ROWS(nombres[]),1)=ZD$1490,ROW(OFFSET(nombres[],0,0,ROWS(nombres[]),1))-ROW(OFFSET(nombres[],0,0,1,1))+1,ROW(OFFSET(nombres[],ROWS(nombres[])-1,0,1,1))+1),$O1540:$O1559),3),"")</f>
        <v/>
      </c>
      <c r="ZE1540" s="42" t="str">
        <f t="array" aca="1" ref="ZE1540" ca="1">IFERROR(INDEX(nombres[],SMALL(IF(OFFSET(nombres[],0,0,ROWS(nombres[]),1)=ZE$1490,ROW(OFFSET(nombres[],0,0,ROWS(nombres[]),1))-ROW(OFFSET(nombres[],0,0,1,1))+1,ROW(OFFSET(nombres[],ROWS(nombres[])-1,0,1,1))+1),$O1540:$O1559),3),"")</f>
        <v/>
      </c>
      <c r="ZF1540" s="42" t="str">
        <f t="array" aca="1" ref="ZF1540" ca="1">IFERROR(INDEX(nombres[],SMALL(IF(OFFSET(nombres[],0,0,ROWS(nombres[]),1)=ZF$1490,ROW(OFFSET(nombres[],0,0,ROWS(nombres[]),1))-ROW(OFFSET(nombres[],0,0,1,1))+1,ROW(OFFSET(nombres[],ROWS(nombres[])-1,0,1,1))+1),$O1540:$O1559),3),"")</f>
        <v/>
      </c>
      <c r="ZG1540" s="42" t="str">
        <f t="array" aca="1" ref="ZG1540" ca="1">IFERROR(INDEX(nombres[],SMALL(IF(OFFSET(nombres[],0,0,ROWS(nombres[]),1)=ZG$1490,ROW(OFFSET(nombres[],0,0,ROWS(nombres[]),1))-ROW(OFFSET(nombres[],0,0,1,1))+1,ROW(OFFSET(nombres[],ROWS(nombres[])-1,0,1,1))+1),$O1540:$O1559),3),"")</f>
        <v/>
      </c>
      <c r="ZH1540" s="42" t="str">
        <f t="array" aca="1" ref="ZH1540" ca="1">IFERROR(INDEX(nombres[],SMALL(IF(OFFSET(nombres[],0,0,ROWS(nombres[]),1)=ZH$1490,ROW(OFFSET(nombres[],0,0,ROWS(nombres[]),1))-ROW(OFFSET(nombres[],0,0,1,1))+1,ROW(OFFSET(nombres[],ROWS(nombres[])-1,0,1,1))+1),$O1540:$O1559),3),"")</f>
        <v/>
      </c>
      <c r="ZI1540" s="42" t="str">
        <f t="array" aca="1" ref="ZI1540" ca="1">IFERROR(INDEX(nombres[],SMALL(IF(OFFSET(nombres[],0,0,ROWS(nombres[]),1)=ZI$1490,ROW(OFFSET(nombres[],0,0,ROWS(nombres[]),1))-ROW(OFFSET(nombres[],0,0,1,1))+1,ROW(OFFSET(nombres[],ROWS(nombres[])-1,0,1,1))+1),$O1540:$O1559),3),"")</f>
        <v/>
      </c>
      <c r="ZJ1540" s="42" t="str">
        <f t="array" aca="1" ref="ZJ1540" ca="1">IFERROR(INDEX(nombres[],SMALL(IF(OFFSET(nombres[],0,0,ROWS(nombres[]),1)=ZJ$1490,ROW(OFFSET(nombres[],0,0,ROWS(nombres[]),1))-ROW(OFFSET(nombres[],0,0,1,1))+1,ROW(OFFSET(nombres[],ROWS(nombres[])-1,0,1,1))+1),$O1540:$O1559),3),"")</f>
        <v/>
      </c>
      <c r="ZK1540" s="42" t="str">
        <f t="array" aca="1" ref="ZK1540" ca="1">IFERROR(INDEX(nombres[],SMALL(IF(OFFSET(nombres[],0,0,ROWS(nombres[]),1)=ZK$1490,ROW(OFFSET(nombres[],0,0,ROWS(nombres[]),1))-ROW(OFFSET(nombres[],0,0,1,1))+1,ROW(OFFSET(nombres[],ROWS(nombres[])-1,0,1,1))+1),$O1540:$O1559),3),"")</f>
        <v/>
      </c>
      <c r="ZL1540" s="42" t="str">
        <f t="array" aca="1" ref="ZL1540" ca="1">IFERROR(INDEX(nombres[],SMALL(IF(OFFSET(nombres[],0,0,ROWS(nombres[]),1)=ZL$1490,ROW(OFFSET(nombres[],0,0,ROWS(nombres[]),1))-ROW(OFFSET(nombres[],0,0,1,1))+1,ROW(OFFSET(nombres[],ROWS(nombres[])-1,0,1,1))+1),$O1540:$O1559),3),"")</f>
        <v/>
      </c>
      <c r="ZM1540" s="42" t="str">
        <f t="array" aca="1" ref="ZM1540" ca="1">IFERROR(INDEX(nombres[],SMALL(IF(OFFSET(nombres[],0,0,ROWS(nombres[]),1)=ZM$1490,ROW(OFFSET(nombres[],0,0,ROWS(nombres[]),1))-ROW(OFFSET(nombres[],0,0,1,1))+1,ROW(OFFSET(nombres[],ROWS(nombres[])-1,0,1,1))+1),$O1540:$O1559),3),"")</f>
        <v/>
      </c>
      <c r="ZN1540" s="42" t="str">
        <f t="array" aca="1" ref="ZN1540" ca="1">IFERROR(INDEX(nombres[],SMALL(IF(OFFSET(nombres[],0,0,ROWS(nombres[]),1)=ZN$1490,ROW(OFFSET(nombres[],0,0,ROWS(nombres[]),1))-ROW(OFFSET(nombres[],0,0,1,1))+1,ROW(OFFSET(nombres[],ROWS(nombres[])-1,0,1,1))+1),$O1540:$O1559),3),"")</f>
        <v/>
      </c>
      <c r="ZO1540" s="42" t="str">
        <f t="array" aca="1" ref="ZO1540" ca="1">IFERROR(INDEX(nombres[],SMALL(IF(OFFSET(nombres[],0,0,ROWS(nombres[]),1)=ZO$1490,ROW(OFFSET(nombres[],0,0,ROWS(nombres[]),1))-ROW(OFFSET(nombres[],0,0,1,1))+1,ROW(OFFSET(nombres[],ROWS(nombres[])-1,0,1,1))+1),$O1540:$O1559),3),"")</f>
        <v/>
      </c>
      <c r="ZP1540" s="42" t="str">
        <f t="array" aca="1" ref="ZP1540" ca="1">IFERROR(INDEX(nombres[],SMALL(IF(OFFSET(nombres[],0,0,ROWS(nombres[]),1)=ZP$1490,ROW(OFFSET(nombres[],0,0,ROWS(nombres[]),1))-ROW(OFFSET(nombres[],0,0,1,1))+1,ROW(OFFSET(nombres[],ROWS(nombres[])-1,0,1,1))+1),$O1540:$O1559),3),"")</f>
        <v/>
      </c>
      <c r="ZQ1540" s="42" t="str">
        <f t="array" aca="1" ref="ZQ1540" ca="1">IFERROR(INDEX(nombres[],SMALL(IF(OFFSET(nombres[],0,0,ROWS(nombres[]),1)=ZQ$1490,ROW(OFFSET(nombres[],0,0,ROWS(nombres[]),1))-ROW(OFFSET(nombres[],0,0,1,1))+1,ROW(OFFSET(nombres[],ROWS(nombres[])-1,0,1,1))+1),$O1540:$O1559),3),"")</f>
        <v/>
      </c>
      <c r="ZR1540" s="42" t="str">
        <f t="array" aca="1" ref="ZR1540" ca="1">IFERROR(INDEX(nombres[],SMALL(IF(OFFSET(nombres[],0,0,ROWS(nombres[]),1)=ZR$1490,ROW(OFFSET(nombres[],0,0,ROWS(nombres[]),1))-ROW(OFFSET(nombres[],0,0,1,1))+1,ROW(OFFSET(nombres[],ROWS(nombres[])-1,0,1,1))+1),$O1540:$O1559),3),"")</f>
        <v/>
      </c>
      <c r="ZS1540" s="42" t="str">
        <f t="array" aca="1" ref="ZS1540" ca="1">IFERROR(INDEX(nombres[],SMALL(IF(OFFSET(nombres[],0,0,ROWS(nombres[]),1)=ZS$1490,ROW(OFFSET(nombres[],0,0,ROWS(nombres[]),1))-ROW(OFFSET(nombres[],0,0,1,1))+1,ROW(OFFSET(nombres[],ROWS(nombres[])-1,0,1,1))+1),$O1540:$O1559),3),"")</f>
        <v/>
      </c>
      <c r="ZT1540" s="42" t="str">
        <f t="array" aca="1" ref="ZT1540" ca="1">IFERROR(INDEX(nombres[],SMALL(IF(OFFSET(nombres[],0,0,ROWS(nombres[]),1)=ZT$1490,ROW(OFFSET(nombres[],0,0,ROWS(nombres[]),1))-ROW(OFFSET(nombres[],0,0,1,1))+1,ROW(OFFSET(nombres[],ROWS(nombres[])-1,0,1,1))+1),$O1540:$O1559),3),"")</f>
        <v/>
      </c>
      <c r="ZU1540" s="42" t="str">
        <f t="array" aca="1" ref="ZU1540" ca="1">IFERROR(INDEX(nombres[],SMALL(IF(OFFSET(nombres[],0,0,ROWS(nombres[]),1)=ZU$1490,ROW(OFFSET(nombres[],0,0,ROWS(nombres[]),1))-ROW(OFFSET(nombres[],0,0,1,1))+1,ROW(OFFSET(nombres[],ROWS(nombres[])-1,0,1,1))+1),$O1540:$O1559),3),"")</f>
        <v/>
      </c>
      <c r="ZV1540" s="42" t="str">
        <f t="array" aca="1" ref="ZV1540" ca="1">IFERROR(INDEX(nombres[],SMALL(IF(OFFSET(nombres[],0,0,ROWS(nombres[]),1)=ZV$1490,ROW(OFFSET(nombres[],0,0,ROWS(nombres[]),1))-ROW(OFFSET(nombres[],0,0,1,1))+1,ROW(OFFSET(nombres[],ROWS(nombres[])-1,0,1,1))+1),$O1540:$O1559),3),"")</f>
        <v/>
      </c>
      <c r="ZW1540" s="42" t="str">
        <f t="array" aca="1" ref="ZW1540" ca="1">IFERROR(INDEX(nombres[],SMALL(IF(OFFSET(nombres[],0,0,ROWS(nombres[]),1)=ZW$1490,ROW(OFFSET(nombres[],0,0,ROWS(nombres[]),1))-ROW(OFFSET(nombres[],0,0,1,1))+1,ROW(OFFSET(nombres[],ROWS(nombres[])-1,0,1,1))+1),$O1540:$O1559),3),"")</f>
        <v/>
      </c>
      <c r="ZX1540" s="42" t="str">
        <f t="array" aca="1" ref="ZX1540" ca="1">IFERROR(INDEX(nombres[],SMALL(IF(OFFSET(nombres[],0,0,ROWS(nombres[]),1)=ZX$1490,ROW(OFFSET(nombres[],0,0,ROWS(nombres[]),1))-ROW(OFFSET(nombres[],0,0,1,1))+1,ROW(OFFSET(nombres[],ROWS(nombres[])-1,0,1,1))+1),$O1540:$O1559),3),"")</f>
        <v/>
      </c>
      <c r="ZY1540" s="42" t="str">
        <f t="array" aca="1" ref="ZY1540" ca="1">IFERROR(INDEX(nombres[],SMALL(IF(OFFSET(nombres[],0,0,ROWS(nombres[]),1)=ZY$1490,ROW(OFFSET(nombres[],0,0,ROWS(nombres[]),1))-ROW(OFFSET(nombres[],0,0,1,1))+1,ROW(OFFSET(nombres[],ROWS(nombres[])-1,0,1,1))+1),$O1540:$O1559),3),"")</f>
        <v/>
      </c>
      <c r="ZZ1540" s="42" t="str">
        <f t="array" aca="1" ref="ZZ1540" ca="1">IFERROR(INDEX(nombres[],SMALL(IF(OFFSET(nombres[],0,0,ROWS(nombres[]),1)=ZZ$1490,ROW(OFFSET(nombres[],0,0,ROWS(nombres[]),1))-ROW(OFFSET(nombres[],0,0,1,1))+1,ROW(OFFSET(nombres[],ROWS(nombres[])-1,0,1,1))+1),$O1540:$O1559),3),"")</f>
        <v/>
      </c>
      <c r="AAA1540" s="42" t="str">
        <f t="array" aca="1" ref="AAA1540" ca="1">IFERROR(INDEX(nombres[],SMALL(IF(OFFSET(nombres[],0,0,ROWS(nombres[]),1)=AAA$1490,ROW(OFFSET(nombres[],0,0,ROWS(nombres[]),1))-ROW(OFFSET(nombres[],0,0,1,1))+1,ROW(OFFSET(nombres[],ROWS(nombres[])-1,0,1,1))+1),$O1540:$O1559),3),"")</f>
        <v/>
      </c>
      <c r="AAB1540" s="42" t="str">
        <f t="array" aca="1" ref="AAB1540" ca="1">IFERROR(INDEX(nombres[],SMALL(IF(OFFSET(nombres[],0,0,ROWS(nombres[]),1)=AAB$1490,ROW(OFFSET(nombres[],0,0,ROWS(nombres[]),1))-ROW(OFFSET(nombres[],0,0,1,1))+1,ROW(OFFSET(nombres[],ROWS(nombres[])-1,0,1,1))+1),$O1540:$O1559),3),"")</f>
        <v/>
      </c>
      <c r="AAC1540" s="42" t="str">
        <f t="array" aca="1" ref="AAC1540" ca="1">IFERROR(INDEX(nombres[],SMALL(IF(OFFSET(nombres[],0,0,ROWS(nombres[]),1)=AAC$1490,ROW(OFFSET(nombres[],0,0,ROWS(nombres[]),1))-ROW(OFFSET(nombres[],0,0,1,1))+1,ROW(OFFSET(nombres[],ROWS(nombres[])-1,0,1,1))+1),$O1540:$O1559),3),"")</f>
        <v/>
      </c>
      <c r="AAD1540" s="42" t="str">
        <f t="array" aca="1" ref="AAD1540" ca="1">IFERROR(INDEX(nombres[],SMALL(IF(OFFSET(nombres[],0,0,ROWS(nombres[]),1)=AAD$1490,ROW(OFFSET(nombres[],0,0,ROWS(nombres[]),1))-ROW(OFFSET(nombres[],0,0,1,1))+1,ROW(OFFSET(nombres[],ROWS(nombres[])-1,0,1,1))+1),$O1540:$O1559),3),"")</f>
        <v/>
      </c>
      <c r="AAE1540" s="42" t="str">
        <f t="array" aca="1" ref="AAE1540" ca="1">IFERROR(INDEX(nombres[],SMALL(IF(OFFSET(nombres[],0,0,ROWS(nombres[]),1)=AAE$1490,ROW(OFFSET(nombres[],0,0,ROWS(nombres[]),1))-ROW(OFFSET(nombres[],0,0,1,1))+1,ROW(OFFSET(nombres[],ROWS(nombres[])-1,0,1,1))+1),$O1540:$O1559),3),"")</f>
        <v/>
      </c>
      <c r="AAF1540" s="42" t="str">
        <f t="array" aca="1" ref="AAF1540" ca="1">IFERROR(INDEX(nombres[],SMALL(IF(OFFSET(nombres[],0,0,ROWS(nombres[]),1)=AAF$1490,ROW(OFFSET(nombres[],0,0,ROWS(nombres[]),1))-ROW(OFFSET(nombres[],0,0,1,1))+1,ROW(OFFSET(nombres[],ROWS(nombres[])-1,0,1,1))+1),$O1540:$O1559),3),"")</f>
        <v/>
      </c>
      <c r="AAG1540" s="42" t="str">
        <f t="array" aca="1" ref="AAG1540" ca="1">IFERROR(INDEX(nombres[],SMALL(IF(OFFSET(nombres[],0,0,ROWS(nombres[]),1)=AAG$1490,ROW(OFFSET(nombres[],0,0,ROWS(nombres[]),1))-ROW(OFFSET(nombres[],0,0,1,1))+1,ROW(OFFSET(nombres[],ROWS(nombres[])-1,0,1,1))+1),$O1540:$O1559),3),"")</f>
        <v/>
      </c>
      <c r="AAH1540" s="42" t="str">
        <f t="array" aca="1" ref="AAH1540" ca="1">IFERROR(INDEX(nombres[],SMALL(IF(OFFSET(nombres[],0,0,ROWS(nombres[]),1)=AAH$1490,ROW(OFFSET(nombres[],0,0,ROWS(nombres[]),1))-ROW(OFFSET(nombres[],0,0,1,1))+1,ROW(OFFSET(nombres[],ROWS(nombres[])-1,0,1,1))+1),$O1540:$O1559),3),"")</f>
        <v/>
      </c>
      <c r="AAI1540" s="42" t="str">
        <f t="array" aca="1" ref="AAI1540" ca="1">IFERROR(INDEX(nombres[],SMALL(IF(OFFSET(nombres[],0,0,ROWS(nombres[]),1)=AAI$1490,ROW(OFFSET(nombres[],0,0,ROWS(nombres[]),1))-ROW(OFFSET(nombres[],0,0,1,1))+1,ROW(OFFSET(nombres[],ROWS(nombres[])-1,0,1,1))+1),$O1540:$O1559),3),"")</f>
        <v/>
      </c>
      <c r="AAJ1540" s="42" t="str">
        <f t="array" aca="1" ref="AAJ1540" ca="1">IFERROR(INDEX(nombres[],SMALL(IF(OFFSET(nombres[],0,0,ROWS(nombres[]),1)=AAJ$1490,ROW(OFFSET(nombres[],0,0,ROWS(nombres[]),1))-ROW(OFFSET(nombres[],0,0,1,1))+1,ROW(OFFSET(nombres[],ROWS(nombres[])-1,0,1,1))+1),$O1540:$O1559),3),"")</f>
        <v/>
      </c>
      <c r="AAK1540" s="42" t="str">
        <f t="array" aca="1" ref="AAK1540" ca="1">IFERROR(INDEX(nombres[],SMALL(IF(OFFSET(nombres[],0,0,ROWS(nombres[]),1)=AAK$1490,ROW(OFFSET(nombres[],0,0,ROWS(nombres[]),1))-ROW(OFFSET(nombres[],0,0,1,1))+1,ROW(OFFSET(nombres[],ROWS(nombres[])-1,0,1,1))+1),$O1540:$O1559),3),"")</f>
        <v/>
      </c>
      <c r="AAL1540" s="42" t="str">
        <f t="array" aca="1" ref="AAL1540" ca="1">IFERROR(INDEX(nombres[],SMALL(IF(OFFSET(nombres[],0,0,ROWS(nombres[]),1)=AAL$1490,ROW(OFFSET(nombres[],0,0,ROWS(nombres[]),1))-ROW(OFFSET(nombres[],0,0,1,1))+1,ROW(OFFSET(nombres[],ROWS(nombres[])-1,0,1,1))+1),$O1540:$O1559),3),"")</f>
        <v/>
      </c>
      <c r="AAM1540" s="42" t="str">
        <f t="array" aca="1" ref="AAM1540" ca="1">IFERROR(INDEX(nombres[],SMALL(IF(OFFSET(nombres[],0,0,ROWS(nombres[]),1)=AAM$1490,ROW(OFFSET(nombres[],0,0,ROWS(nombres[]),1))-ROW(OFFSET(nombres[],0,0,1,1))+1,ROW(OFFSET(nombres[],ROWS(nombres[])-1,0,1,1))+1),$O1540:$O1559),3),"")</f>
        <v/>
      </c>
      <c r="AAN1540" s="42" t="str">
        <f t="array" aca="1" ref="AAN1540" ca="1">IFERROR(INDEX(nombres[],SMALL(IF(OFFSET(nombres[],0,0,ROWS(nombres[]),1)=AAN$1490,ROW(OFFSET(nombres[],0,0,ROWS(nombres[]),1))-ROW(OFFSET(nombres[],0,0,1,1))+1,ROW(OFFSET(nombres[],ROWS(nombres[])-1,0,1,1))+1),$O1540:$O1559),3),"")</f>
        <v/>
      </c>
      <c r="AAO1540" s="42" t="str">
        <f t="array" aca="1" ref="AAO1540" ca="1">IFERROR(INDEX(nombres[],SMALL(IF(OFFSET(nombres[],0,0,ROWS(nombres[]),1)=AAO$1490,ROW(OFFSET(nombres[],0,0,ROWS(nombres[]),1))-ROW(OFFSET(nombres[],0,0,1,1))+1,ROW(OFFSET(nombres[],ROWS(nombres[])-1,0,1,1))+1),$O1540:$O1559),3),"")</f>
        <v/>
      </c>
      <c r="AAP1540" s="42" t="str">
        <f t="array" aca="1" ref="AAP1540" ca="1">IFERROR(INDEX(nombres[],SMALL(IF(OFFSET(nombres[],0,0,ROWS(nombres[]),1)=AAP$1490,ROW(OFFSET(nombres[],0,0,ROWS(nombres[]),1))-ROW(OFFSET(nombres[],0,0,1,1))+1,ROW(OFFSET(nombres[],ROWS(nombres[])-1,0,1,1))+1),$O1540:$O1559),3),"")</f>
        <v/>
      </c>
      <c r="AAQ1540" s="42" t="str">
        <f t="array" aca="1" ref="AAQ1540" ca="1">IFERROR(INDEX(nombres[],SMALL(IF(OFFSET(nombres[],0,0,ROWS(nombres[]),1)=AAQ$1490,ROW(OFFSET(nombres[],0,0,ROWS(nombres[]),1))-ROW(OFFSET(nombres[],0,0,1,1))+1,ROW(OFFSET(nombres[],ROWS(nombres[])-1,0,1,1))+1),$O1540:$O1559),3),"")</f>
        <v/>
      </c>
      <c r="AAR1540" s="42" t="str">
        <f t="array" aca="1" ref="AAR1540" ca="1">IFERROR(INDEX(nombres[],SMALL(IF(OFFSET(nombres[],0,0,ROWS(nombres[]),1)=AAR$1490,ROW(OFFSET(nombres[],0,0,ROWS(nombres[]),1))-ROW(OFFSET(nombres[],0,0,1,1))+1,ROW(OFFSET(nombres[],ROWS(nombres[])-1,0,1,1))+1),$O1540:$O1559),3),"")</f>
        <v/>
      </c>
      <c r="AAS1540" s="42" t="str">
        <f t="array" aca="1" ref="AAS1540" ca="1">IFERROR(INDEX(nombres[],SMALL(IF(OFFSET(nombres[],0,0,ROWS(nombres[]),1)=AAS$1490,ROW(OFFSET(nombres[],0,0,ROWS(nombres[]),1))-ROW(OFFSET(nombres[],0,0,1,1))+1,ROW(OFFSET(nombres[],ROWS(nombres[])-1,0,1,1))+1),$O1540:$O1559),3),"")</f>
        <v/>
      </c>
      <c r="AAT1540" s="42" t="str">
        <f t="array" aca="1" ref="AAT1540" ca="1">IFERROR(INDEX(nombres[],SMALL(IF(OFFSET(nombres[],0,0,ROWS(nombres[]),1)=AAT$1490,ROW(OFFSET(nombres[],0,0,ROWS(nombres[]),1))-ROW(OFFSET(nombres[],0,0,1,1))+1,ROW(OFFSET(nombres[],ROWS(nombres[])-1,0,1,1))+1),$O1540:$O1559),3),"")</f>
        <v/>
      </c>
      <c r="AAU1540" s="42" t="str">
        <f t="array" aca="1" ref="AAU1540" ca="1">IFERROR(INDEX(nombres[],SMALL(IF(OFFSET(nombres[],0,0,ROWS(nombres[]),1)=AAU$1490,ROW(OFFSET(nombres[],0,0,ROWS(nombres[]),1))-ROW(OFFSET(nombres[],0,0,1,1))+1,ROW(OFFSET(nombres[],ROWS(nombres[])-1,0,1,1))+1),$O1540:$O1559),3),"")</f>
        <v/>
      </c>
      <c r="AAV1540" s="42" t="str">
        <f t="array" aca="1" ref="AAV1540" ca="1">IFERROR(INDEX(nombres[],SMALL(IF(OFFSET(nombres[],0,0,ROWS(nombres[]),1)=AAV$1490,ROW(OFFSET(nombres[],0,0,ROWS(nombres[]),1))-ROW(OFFSET(nombres[],0,0,1,1))+1,ROW(OFFSET(nombres[],ROWS(nombres[])-1,0,1,1))+1),$O1540:$O1559),3),"")</f>
        <v/>
      </c>
      <c r="AAW1540" s="42" t="str">
        <f t="array" aca="1" ref="AAW1540" ca="1">IFERROR(INDEX(nombres[],SMALL(IF(OFFSET(nombres[],0,0,ROWS(nombres[]),1)=AAW$1490,ROW(OFFSET(nombres[],0,0,ROWS(nombres[]),1))-ROW(OFFSET(nombres[],0,0,1,1))+1,ROW(OFFSET(nombres[],ROWS(nombres[])-1,0,1,1))+1),$O1540:$O1559),3),"")</f>
        <v/>
      </c>
      <c r="AAX1540" s="42" t="str">
        <f t="array" aca="1" ref="AAX1540" ca="1">IFERROR(INDEX(nombres[],SMALL(IF(OFFSET(nombres[],0,0,ROWS(nombres[]),1)=AAX$1490,ROW(OFFSET(nombres[],0,0,ROWS(nombres[]),1))-ROW(OFFSET(nombres[],0,0,1,1))+1,ROW(OFFSET(nombres[],ROWS(nombres[])-1,0,1,1))+1),$O1540:$O1559),3),"")</f>
        <v/>
      </c>
      <c r="AAY1540" s="42" t="str">
        <f t="array" aca="1" ref="AAY1540" ca="1">IFERROR(INDEX(nombres[],SMALL(IF(OFFSET(nombres[],0,0,ROWS(nombres[]),1)=AAY$1490,ROW(OFFSET(nombres[],0,0,ROWS(nombres[]),1))-ROW(OFFSET(nombres[],0,0,1,1))+1,ROW(OFFSET(nombres[],ROWS(nombres[])-1,0,1,1))+1),$O1540:$O1559),3),"")</f>
        <v/>
      </c>
      <c r="AAZ1540" s="42" t="str">
        <f t="array" aca="1" ref="AAZ1540" ca="1">IFERROR(INDEX(nombres[],SMALL(IF(OFFSET(nombres[],0,0,ROWS(nombres[]),1)=AAZ$1490,ROW(OFFSET(nombres[],0,0,ROWS(nombres[]),1))-ROW(OFFSET(nombres[],0,0,1,1))+1,ROW(OFFSET(nombres[],ROWS(nombres[])-1,0,1,1))+1),$O1540:$O1559),3),"")</f>
        <v/>
      </c>
      <c r="ABA1540" s="42" t="str">
        <f t="array" aca="1" ref="ABA1540" ca="1">IFERROR(INDEX(nombres[],SMALL(IF(OFFSET(nombres[],0,0,ROWS(nombres[]),1)=ABA$1490,ROW(OFFSET(nombres[],0,0,ROWS(nombres[]),1))-ROW(OFFSET(nombres[],0,0,1,1))+1,ROW(OFFSET(nombres[],ROWS(nombres[])-1,0,1,1))+1),$O1540:$O1559),3),"")</f>
        <v/>
      </c>
      <c r="ABB1540" s="42" t="str">
        <f t="array" aca="1" ref="ABB1540" ca="1">IFERROR(INDEX(nombres[],SMALL(IF(OFFSET(nombres[],0,0,ROWS(nombres[]),1)=ABB$1490,ROW(OFFSET(nombres[],0,0,ROWS(nombres[]),1))-ROW(OFFSET(nombres[],0,0,1,1))+1,ROW(OFFSET(nombres[],ROWS(nombres[])-1,0,1,1))+1),$O1540:$O1559),3),"")</f>
        <v/>
      </c>
      <c r="ABC1540" s="42" t="str">
        <f t="array" aca="1" ref="ABC1540" ca="1">IFERROR(INDEX(nombres[],SMALL(IF(OFFSET(nombres[],0,0,ROWS(nombres[]),1)=ABC$1490,ROW(OFFSET(nombres[],0,0,ROWS(nombres[]),1))-ROW(OFFSET(nombres[],0,0,1,1))+1,ROW(OFFSET(nombres[],ROWS(nombres[])-1,0,1,1))+1),$O1540:$O1559),3),"")</f>
        <v/>
      </c>
      <c r="ABD1540" s="42" t="str">
        <f t="array" aca="1" ref="ABD1540" ca="1">IFERROR(INDEX(nombres[],SMALL(IF(OFFSET(nombres[],0,0,ROWS(nombres[]),1)=ABD$1490,ROW(OFFSET(nombres[],0,0,ROWS(nombres[]),1))-ROW(OFFSET(nombres[],0,0,1,1))+1,ROW(OFFSET(nombres[],ROWS(nombres[])-1,0,1,1))+1),$O1540:$O1559),3),"")</f>
        <v/>
      </c>
      <c r="ABE1540" s="42" t="str">
        <f t="array" aca="1" ref="ABE1540" ca="1">IFERROR(INDEX(nombres[],SMALL(IF(OFFSET(nombres[],0,0,ROWS(nombres[]),1)=ABE$1490,ROW(OFFSET(nombres[],0,0,ROWS(nombres[]),1))-ROW(OFFSET(nombres[],0,0,1,1))+1,ROW(OFFSET(nombres[],ROWS(nombres[])-1,0,1,1))+1),$O1540:$O1559),3),"")</f>
        <v/>
      </c>
      <c r="ABF1540" s="42" t="str">
        <f t="array" aca="1" ref="ABF1540" ca="1">IFERROR(INDEX(nombres[],SMALL(IF(OFFSET(nombres[],0,0,ROWS(nombres[]),1)=ABF$1490,ROW(OFFSET(nombres[],0,0,ROWS(nombres[]),1))-ROW(OFFSET(nombres[],0,0,1,1))+1,ROW(OFFSET(nombres[],ROWS(nombres[])-1,0,1,1))+1),$O1540:$O1559),3),"")</f>
        <v/>
      </c>
      <c r="ABG1540" s="42" t="str">
        <f t="array" aca="1" ref="ABG1540" ca="1">IFERROR(INDEX(nombres[],SMALL(IF(OFFSET(nombres[],0,0,ROWS(nombres[]),1)=ABG$1490,ROW(OFFSET(nombres[],0,0,ROWS(nombres[]),1))-ROW(OFFSET(nombres[],0,0,1,1))+1,ROW(OFFSET(nombres[],ROWS(nombres[])-1,0,1,1))+1),$O1540:$O1559),3),"")</f>
        <v/>
      </c>
      <c r="ABH1540" s="42" t="str">
        <f t="array" aca="1" ref="ABH1540" ca="1">IFERROR(INDEX(nombres[],SMALL(IF(OFFSET(nombres[],0,0,ROWS(nombres[]),1)=ABH$1490,ROW(OFFSET(nombres[],0,0,ROWS(nombres[]),1))-ROW(OFFSET(nombres[],0,0,1,1))+1,ROW(OFFSET(nombres[],ROWS(nombres[])-1,0,1,1))+1),$O1540:$O1559),3),"")</f>
        <v/>
      </c>
      <c r="ABI1540" s="42" t="str">
        <f t="array" aca="1" ref="ABI1540" ca="1">IFERROR(INDEX(nombres[],SMALL(IF(OFFSET(nombres[],0,0,ROWS(nombres[]),1)=ABI$1490,ROW(OFFSET(nombres[],0,0,ROWS(nombres[]),1))-ROW(OFFSET(nombres[],0,0,1,1))+1,ROW(OFFSET(nombres[],ROWS(nombres[])-1,0,1,1))+1),$O1540:$O1559),3),"")</f>
        <v/>
      </c>
      <c r="ABJ1540" s="42" t="str">
        <f t="array" aca="1" ref="ABJ1540" ca="1">IFERROR(INDEX(nombres[],SMALL(IF(OFFSET(nombres[],0,0,ROWS(nombres[]),1)=ABJ$1490,ROW(OFFSET(nombres[],0,0,ROWS(nombres[]),1))-ROW(OFFSET(nombres[],0,0,1,1))+1,ROW(OFFSET(nombres[],ROWS(nombres[])-1,0,1,1))+1),$O1540:$O1559),3),"")</f>
        <v/>
      </c>
      <c r="ABK1540" s="42" t="str">
        <f t="array" aca="1" ref="ABK1540" ca="1">IFERROR(INDEX(nombres[],SMALL(IF(OFFSET(nombres[],0,0,ROWS(nombres[]),1)=ABK$1490,ROW(OFFSET(nombres[],0,0,ROWS(nombres[]),1))-ROW(OFFSET(nombres[],0,0,1,1))+1,ROW(OFFSET(nombres[],ROWS(nombres[])-1,0,1,1))+1),$O1540:$O1559),3),"")</f>
        <v/>
      </c>
      <c r="ABL1540" s="42" t="str">
        <f t="array" aca="1" ref="ABL1540" ca="1">IFERROR(INDEX(nombres[],SMALL(IF(OFFSET(nombres[],0,0,ROWS(nombres[]),1)=ABL$1490,ROW(OFFSET(nombres[],0,0,ROWS(nombres[]),1))-ROW(OFFSET(nombres[],0,0,1,1))+1,ROW(OFFSET(nombres[],ROWS(nombres[])-1,0,1,1))+1),$O1540:$O1559),3),"")</f>
        <v/>
      </c>
      <c r="ABM1540" s="42" t="str">
        <f t="array" aca="1" ref="ABM1540" ca="1">IFERROR(INDEX(nombres[],SMALL(IF(OFFSET(nombres[],0,0,ROWS(nombres[]),1)=ABM$1490,ROW(OFFSET(nombres[],0,0,ROWS(nombres[]),1))-ROW(OFFSET(nombres[],0,0,1,1))+1,ROW(OFFSET(nombres[],ROWS(nombres[])-1,0,1,1))+1),$O1540:$O1559),3),"")</f>
        <v/>
      </c>
      <c r="ABN1540" s="42" t="str">
        <f t="array" aca="1" ref="ABN1540" ca="1">IFERROR(INDEX(nombres[],SMALL(IF(OFFSET(nombres[],0,0,ROWS(nombres[]),1)=ABN$1490,ROW(OFFSET(nombres[],0,0,ROWS(nombres[]),1))-ROW(OFFSET(nombres[],0,0,1,1))+1,ROW(OFFSET(nombres[],ROWS(nombres[])-1,0,1,1))+1),$O1540:$O1559),3),"")</f>
        <v/>
      </c>
      <c r="ABO1540" s="42" t="str">
        <f t="array" aca="1" ref="ABO1540" ca="1">IFERROR(INDEX(nombres[],SMALL(IF(OFFSET(nombres[],0,0,ROWS(nombres[]),1)=ABO$1490,ROW(OFFSET(nombres[],0,0,ROWS(nombres[]),1))-ROW(OFFSET(nombres[],0,0,1,1))+1,ROW(OFFSET(nombres[],ROWS(nombres[])-1,0,1,1))+1),$O1540:$O1559),3),"")</f>
        <v/>
      </c>
      <c r="ABP1540" s="42" t="str">
        <f t="array" aca="1" ref="ABP1540" ca="1">IFERROR(INDEX(nombres[],SMALL(IF(OFFSET(nombres[],0,0,ROWS(nombres[]),1)=ABP$1490,ROW(OFFSET(nombres[],0,0,ROWS(nombres[]),1))-ROW(OFFSET(nombres[],0,0,1,1))+1,ROW(OFFSET(nombres[],ROWS(nombres[])-1,0,1,1))+1),$O1540:$O1559),3),"")</f>
        <v/>
      </c>
      <c r="ABQ1540" s="42" t="str">
        <f t="array" aca="1" ref="ABQ1540" ca="1">IFERROR(INDEX(nombres[],SMALL(IF(OFFSET(nombres[],0,0,ROWS(nombres[]),1)=ABQ$1490,ROW(OFFSET(nombres[],0,0,ROWS(nombres[]),1))-ROW(OFFSET(nombres[],0,0,1,1))+1,ROW(OFFSET(nombres[],ROWS(nombres[])-1,0,1,1))+1),$O1540:$O1559),3),"")</f>
        <v/>
      </c>
      <c r="ABR1540" s="42" t="str">
        <f t="array" aca="1" ref="ABR1540" ca="1">IFERROR(INDEX(nombres[],SMALL(IF(OFFSET(nombres[],0,0,ROWS(nombres[]),1)=ABR$1490,ROW(OFFSET(nombres[],0,0,ROWS(nombres[]),1))-ROW(OFFSET(nombres[],0,0,1,1))+1,ROW(OFFSET(nombres[],ROWS(nombres[])-1,0,1,1))+1),$O1540:$O1559),3),"")</f>
        <v/>
      </c>
      <c r="ABS1540" s="42" t="str">
        <f t="array" aca="1" ref="ABS1540" ca="1">IFERROR(INDEX(nombres[],SMALL(IF(OFFSET(nombres[],0,0,ROWS(nombres[]),1)=ABS$1490,ROW(OFFSET(nombres[],0,0,ROWS(nombres[]),1))-ROW(OFFSET(nombres[],0,0,1,1))+1,ROW(OFFSET(nombres[],ROWS(nombres[])-1,0,1,1))+1),$O1540:$O1559),3),"")</f>
        <v/>
      </c>
      <c r="ABT1540" s="42" t="str">
        <f t="array" aca="1" ref="ABT1540" ca="1">IFERROR(INDEX(nombres[],SMALL(IF(OFFSET(nombres[],0,0,ROWS(nombres[]),1)=ABT$1490,ROW(OFFSET(nombres[],0,0,ROWS(nombres[]),1))-ROW(OFFSET(nombres[],0,0,1,1))+1,ROW(OFFSET(nombres[],ROWS(nombres[])-1,0,1,1))+1),$O1540:$O1559),3),"")</f>
        <v/>
      </c>
      <c r="ABU1540" s="42" t="str">
        <f t="array" aca="1" ref="ABU1540" ca="1">IFERROR(INDEX(nombres[],SMALL(IF(OFFSET(nombres[],0,0,ROWS(nombres[]),1)=ABU$1490,ROW(OFFSET(nombres[],0,0,ROWS(nombres[]),1))-ROW(OFFSET(nombres[],0,0,1,1))+1,ROW(OFFSET(nombres[],ROWS(nombres[])-1,0,1,1))+1),$O1540:$O1559),3),"")</f>
        <v/>
      </c>
      <c r="ABV1540" s="42" t="str">
        <f t="array" aca="1" ref="ABV1540" ca="1">IFERROR(INDEX(nombres[],SMALL(IF(OFFSET(nombres[],0,0,ROWS(nombres[]),1)=ABV$1490,ROW(OFFSET(nombres[],0,0,ROWS(nombres[]),1))-ROW(OFFSET(nombres[],0,0,1,1))+1,ROW(OFFSET(nombres[],ROWS(nombres[])-1,0,1,1))+1),$O1540:$O1559),3),"")</f>
        <v/>
      </c>
      <c r="ABW1540" s="42" t="str">
        <f t="array" aca="1" ref="ABW1540" ca="1">IFERROR(INDEX(nombres[],SMALL(IF(OFFSET(nombres[],0,0,ROWS(nombres[]),1)=ABW$1490,ROW(OFFSET(nombres[],0,0,ROWS(nombres[]),1))-ROW(OFFSET(nombres[],0,0,1,1))+1,ROW(OFFSET(nombres[],ROWS(nombres[])-1,0,1,1))+1),$O1540:$O1559),3),"")</f>
        <v/>
      </c>
      <c r="ABX1540" s="42" t="str">
        <f t="array" aca="1" ref="ABX1540" ca="1">IFERROR(INDEX(nombres[],SMALL(IF(OFFSET(nombres[],0,0,ROWS(nombres[]),1)=ABX$1490,ROW(OFFSET(nombres[],0,0,ROWS(nombres[]),1))-ROW(OFFSET(nombres[],0,0,1,1))+1,ROW(OFFSET(nombres[],ROWS(nombres[])-1,0,1,1))+1),$O1540:$O1559),3),"")</f>
        <v/>
      </c>
      <c r="ABY1540" s="42" t="str">
        <f t="array" aca="1" ref="ABY1540" ca="1">IFERROR(INDEX(nombres[],SMALL(IF(OFFSET(nombres[],0,0,ROWS(nombres[]),1)=ABY$1490,ROW(OFFSET(nombres[],0,0,ROWS(nombres[]),1))-ROW(OFFSET(nombres[],0,0,1,1))+1,ROW(OFFSET(nombres[],ROWS(nombres[])-1,0,1,1))+1),$O1540:$O1559),3),"")</f>
        <v/>
      </c>
      <c r="ABZ1540" s="42" t="str">
        <f t="array" aca="1" ref="ABZ1540" ca="1">IFERROR(INDEX(nombres[],SMALL(IF(OFFSET(nombres[],0,0,ROWS(nombres[]),1)=ABZ$1490,ROW(OFFSET(nombres[],0,0,ROWS(nombres[]),1))-ROW(OFFSET(nombres[],0,0,1,1))+1,ROW(OFFSET(nombres[],ROWS(nombres[])-1,0,1,1))+1),$O1540:$O1559),3),"")</f>
        <v/>
      </c>
      <c r="ACA1540" s="42" t="str">
        <f t="array" aca="1" ref="ACA1540" ca="1">IFERROR(INDEX(nombres[],SMALL(IF(OFFSET(nombres[],0,0,ROWS(nombres[]),1)=ACA$1490,ROW(OFFSET(nombres[],0,0,ROWS(nombres[]),1))-ROW(OFFSET(nombres[],0,0,1,1))+1,ROW(OFFSET(nombres[],ROWS(nombres[])-1,0,1,1))+1),$O1540:$O1559),3),"")</f>
        <v/>
      </c>
      <c r="ACB1540" s="42" t="str">
        <f t="array" aca="1" ref="ACB1540" ca="1">IFERROR(INDEX(nombres[],SMALL(IF(OFFSET(nombres[],0,0,ROWS(nombres[]),1)=ACB$1490,ROW(OFFSET(nombres[],0,0,ROWS(nombres[]),1))-ROW(OFFSET(nombres[],0,0,1,1))+1,ROW(OFFSET(nombres[],ROWS(nombres[])-1,0,1,1))+1),$O1540:$O1559),3),"")</f>
        <v/>
      </c>
      <c r="ACC1540" s="42" t="str">
        <f t="array" aca="1" ref="ACC1540" ca="1">IFERROR(INDEX(nombres[],SMALL(IF(OFFSET(nombres[],0,0,ROWS(nombres[]),1)=ACC$1490,ROW(OFFSET(nombres[],0,0,ROWS(nombres[]),1))-ROW(OFFSET(nombres[],0,0,1,1))+1,ROW(OFFSET(nombres[],ROWS(nombres[])-1,0,1,1))+1),$O1540:$O1559),3),"")</f>
        <v/>
      </c>
      <c r="ACD1540" s="42" t="str">
        <f t="array" aca="1" ref="ACD1540" ca="1">IFERROR(INDEX(nombres[],SMALL(IF(OFFSET(nombres[],0,0,ROWS(nombres[]),1)=ACD$1490,ROW(OFFSET(nombres[],0,0,ROWS(nombres[]),1))-ROW(OFFSET(nombres[],0,0,1,1))+1,ROW(OFFSET(nombres[],ROWS(nombres[])-1,0,1,1))+1),$O1540:$O1559),3),"")</f>
        <v/>
      </c>
      <c r="ACE1540" s="42" t="str">
        <f t="array" aca="1" ref="ACE1540" ca="1">IFERROR(INDEX(nombres[],SMALL(IF(OFFSET(nombres[],0,0,ROWS(nombres[]),1)=ACE$1490,ROW(OFFSET(nombres[],0,0,ROWS(nombres[]),1))-ROW(OFFSET(nombres[],0,0,1,1))+1,ROW(OFFSET(nombres[],ROWS(nombres[])-1,0,1,1))+1),$O1540:$O1559),3),"")</f>
        <v/>
      </c>
      <c r="ACF1540" s="42" t="str">
        <f t="array" aca="1" ref="ACF1540" ca="1">IFERROR(INDEX(nombres[],SMALL(IF(OFFSET(nombres[],0,0,ROWS(nombres[]),1)=ACF$1490,ROW(OFFSET(nombres[],0,0,ROWS(nombres[]),1))-ROW(OFFSET(nombres[],0,0,1,1))+1,ROW(OFFSET(nombres[],ROWS(nombres[])-1,0,1,1))+1),$O1540:$O1559),3),"")</f>
        <v/>
      </c>
      <c r="ACG1540" s="42" t="str">
        <f t="array" aca="1" ref="ACG1540" ca="1">IFERROR(INDEX(nombres[],SMALL(IF(OFFSET(nombres[],0,0,ROWS(nombres[]),1)=ACG$1490,ROW(OFFSET(nombres[],0,0,ROWS(nombres[]),1))-ROW(OFFSET(nombres[],0,0,1,1))+1,ROW(OFFSET(nombres[],ROWS(nombres[])-1,0,1,1))+1),$O1540:$O1559),3),"")</f>
        <v/>
      </c>
      <c r="ACH1540" s="42" t="str">
        <f t="array" aca="1" ref="ACH1540" ca="1">IFERROR(INDEX(nombres[],SMALL(IF(OFFSET(nombres[],0,0,ROWS(nombres[]),1)=ACH$1490,ROW(OFFSET(nombres[],0,0,ROWS(nombres[]),1))-ROW(OFFSET(nombres[],0,0,1,1))+1,ROW(OFFSET(nombres[],ROWS(nombres[])-1,0,1,1))+1),$O1540:$O1559),3),"")</f>
        <v/>
      </c>
      <c r="ACI1540" s="42" t="str">
        <f t="array" aca="1" ref="ACI1540" ca="1">IFERROR(INDEX(nombres[],SMALL(IF(OFFSET(nombres[],0,0,ROWS(nombres[]),1)=ACI$1490,ROW(OFFSET(nombres[],0,0,ROWS(nombres[]),1))-ROW(OFFSET(nombres[],0,0,1,1))+1,ROW(OFFSET(nombres[],ROWS(nombres[])-1,0,1,1))+1),$O1540:$O1559),3),"")</f>
        <v/>
      </c>
      <c r="ACJ1540" s="42" t="str">
        <f t="array" aca="1" ref="ACJ1540" ca="1">IFERROR(INDEX(nombres[],SMALL(IF(OFFSET(nombres[],0,0,ROWS(nombres[]),1)=ACJ$1490,ROW(OFFSET(nombres[],0,0,ROWS(nombres[]),1))-ROW(OFFSET(nombres[],0,0,1,1))+1,ROW(OFFSET(nombres[],ROWS(nombres[])-1,0,1,1))+1),$O1540:$O1559),3),"")</f>
        <v/>
      </c>
      <c r="ACK1540" s="42" t="str">
        <f t="array" aca="1" ref="ACK1540" ca="1">IFERROR(INDEX(nombres[],SMALL(IF(OFFSET(nombres[],0,0,ROWS(nombres[]),1)=ACK$1490,ROW(OFFSET(nombres[],0,0,ROWS(nombres[]),1))-ROW(OFFSET(nombres[],0,0,1,1))+1,ROW(OFFSET(nombres[],ROWS(nombres[])-1,0,1,1))+1),$O1540:$O1559),3),"")</f>
        <v/>
      </c>
      <c r="ACL1540" s="42" t="str">
        <f t="array" aca="1" ref="ACL1540" ca="1">IFERROR(INDEX(nombres[],SMALL(IF(OFFSET(nombres[],0,0,ROWS(nombres[]),1)=ACL$1490,ROW(OFFSET(nombres[],0,0,ROWS(nombres[]),1))-ROW(OFFSET(nombres[],0,0,1,1))+1,ROW(OFFSET(nombres[],ROWS(nombres[])-1,0,1,1))+1),$O1540:$O1559),3),"")</f>
        <v/>
      </c>
      <c r="ACM1540" s="42" t="str">
        <f t="array" aca="1" ref="ACM1540" ca="1">IFERROR(INDEX(nombres[],SMALL(IF(OFFSET(nombres[],0,0,ROWS(nombres[]),1)=ACM$1490,ROW(OFFSET(nombres[],0,0,ROWS(nombres[]),1))-ROW(OFFSET(nombres[],0,0,1,1))+1,ROW(OFFSET(nombres[],ROWS(nombres[])-1,0,1,1))+1),$O1540:$O1559),3),"")</f>
        <v/>
      </c>
      <c r="ACN1540" s="42" t="str">
        <f t="array" aca="1" ref="ACN1540" ca="1">IFERROR(INDEX(nombres[],SMALL(IF(OFFSET(nombres[],0,0,ROWS(nombres[]),1)=ACN$1490,ROW(OFFSET(nombres[],0,0,ROWS(nombres[]),1))-ROW(OFFSET(nombres[],0,0,1,1))+1,ROW(OFFSET(nombres[],ROWS(nombres[])-1,0,1,1))+1),$O1540:$O1559),3),"")</f>
        <v/>
      </c>
      <c r="ACO1540" s="42" t="str">
        <f t="array" aca="1" ref="ACO1540" ca="1">IFERROR(INDEX(nombres[],SMALL(IF(OFFSET(nombres[],0,0,ROWS(nombres[]),1)=ACO$1490,ROW(OFFSET(nombres[],0,0,ROWS(nombres[]),1))-ROW(OFFSET(nombres[],0,0,1,1))+1,ROW(OFFSET(nombres[],ROWS(nombres[])-1,0,1,1))+1),$O1540:$O1559),3),"")</f>
        <v/>
      </c>
      <c r="ACP1540" s="42" t="str">
        <f t="array" aca="1" ref="ACP1540" ca="1">IFERROR(INDEX(nombres[],SMALL(IF(OFFSET(nombres[],0,0,ROWS(nombres[]),1)=ACP$1490,ROW(OFFSET(nombres[],0,0,ROWS(nombres[]),1))-ROW(OFFSET(nombres[],0,0,1,1))+1,ROW(OFFSET(nombres[],ROWS(nombres[])-1,0,1,1))+1),$O1540:$O1559),3),"")</f>
        <v/>
      </c>
      <c r="ACQ1540" s="42" t="str">
        <f t="array" aca="1" ref="ACQ1540" ca="1">IFERROR(INDEX(nombres[],SMALL(IF(OFFSET(nombres[],0,0,ROWS(nombres[]),1)=ACQ$1490,ROW(OFFSET(nombres[],0,0,ROWS(nombres[]),1))-ROW(OFFSET(nombres[],0,0,1,1))+1,ROW(OFFSET(nombres[],ROWS(nombres[])-1,0,1,1))+1),$O1540:$O1559),3),"")</f>
        <v/>
      </c>
      <c r="ACR1540" s="42" t="str">
        <f t="array" aca="1" ref="ACR1540" ca="1">IFERROR(INDEX(nombres[],SMALL(IF(OFFSET(nombres[],0,0,ROWS(nombres[]),1)=ACR$1490,ROW(OFFSET(nombres[],0,0,ROWS(nombres[]),1))-ROW(OFFSET(nombres[],0,0,1,1))+1,ROW(OFFSET(nombres[],ROWS(nombres[])-1,0,1,1))+1),$O1540:$O1559),3),"")</f>
        <v/>
      </c>
      <c r="ACS1540" s="42" t="str">
        <f t="array" aca="1" ref="ACS1540" ca="1">IFERROR(INDEX(nombres[],SMALL(IF(OFFSET(nombres[],0,0,ROWS(nombres[]),1)=ACS$1490,ROW(OFFSET(nombres[],0,0,ROWS(nombres[]),1))-ROW(OFFSET(nombres[],0,0,1,1))+1,ROW(OFFSET(nombres[],ROWS(nombres[])-1,0,1,1))+1),$O1540:$O1559),3),"")</f>
        <v/>
      </c>
      <c r="ACT1540" s="42" t="str">
        <f t="array" aca="1" ref="ACT1540" ca="1">IFERROR(INDEX(nombres[],SMALL(IF(OFFSET(nombres[],0,0,ROWS(nombres[]),1)=ACT$1490,ROW(OFFSET(nombres[],0,0,ROWS(nombres[]),1))-ROW(OFFSET(nombres[],0,0,1,1))+1,ROW(OFFSET(nombres[],ROWS(nombres[])-1,0,1,1))+1),$O1540:$O1559),3),"")</f>
        <v/>
      </c>
      <c r="ACU1540" s="42" t="str">
        <f t="array" aca="1" ref="ACU1540" ca="1">IFERROR(INDEX(nombres[],SMALL(IF(OFFSET(nombres[],0,0,ROWS(nombres[]),1)=ACU$1490,ROW(OFFSET(nombres[],0,0,ROWS(nombres[]),1))-ROW(OFFSET(nombres[],0,0,1,1))+1,ROW(OFFSET(nombres[],ROWS(nombres[])-1,0,1,1))+1),$O1540:$O1559),3),"")</f>
        <v/>
      </c>
      <c r="ACV1540" s="42" t="str">
        <f t="array" aca="1" ref="ACV1540" ca="1">IFERROR(INDEX(nombres[],SMALL(IF(OFFSET(nombres[],0,0,ROWS(nombres[]),1)=ACV$1490,ROW(OFFSET(nombres[],0,0,ROWS(nombres[]),1))-ROW(OFFSET(nombres[],0,0,1,1))+1,ROW(OFFSET(nombres[],ROWS(nombres[])-1,0,1,1))+1),$O1540:$O1559),3),"")</f>
        <v/>
      </c>
      <c r="ACW1540" s="42" t="str">
        <f t="array" aca="1" ref="ACW1540" ca="1">IFERROR(INDEX(nombres[],SMALL(IF(OFFSET(nombres[],0,0,ROWS(nombres[]),1)=ACW$1490,ROW(OFFSET(nombres[],0,0,ROWS(nombres[]),1))-ROW(OFFSET(nombres[],0,0,1,1))+1,ROW(OFFSET(nombres[],ROWS(nombres[])-1,0,1,1))+1),$O1540:$O1559),3),"")</f>
        <v/>
      </c>
      <c r="ACX1540" s="42" t="str">
        <f t="array" aca="1" ref="ACX1540" ca="1">IFERROR(INDEX(nombres[],SMALL(IF(OFFSET(nombres[],0,0,ROWS(nombres[]),1)=ACX$1490,ROW(OFFSET(nombres[],0,0,ROWS(nombres[]),1))-ROW(OFFSET(nombres[],0,0,1,1))+1,ROW(OFFSET(nombres[],ROWS(nombres[])-1,0,1,1))+1),$O1540:$O1559),3),"")</f>
        <v/>
      </c>
      <c r="ACY1540" s="42" t="str">
        <f t="array" aca="1" ref="ACY1540" ca="1">IFERROR(INDEX(nombres[],SMALL(IF(OFFSET(nombres[],0,0,ROWS(nombres[]),1)=ACY$1490,ROW(OFFSET(nombres[],0,0,ROWS(nombres[]),1))-ROW(OFFSET(nombres[],0,0,1,1))+1,ROW(OFFSET(nombres[],ROWS(nombres[])-1,0,1,1))+1),$O1540:$O1559),3),"")</f>
        <v/>
      </c>
      <c r="ACZ1540" s="42" t="str">
        <f t="array" aca="1" ref="ACZ1540" ca="1">IFERROR(INDEX(nombres[],SMALL(IF(OFFSET(nombres[],0,0,ROWS(nombres[]),1)=ACZ$1490,ROW(OFFSET(nombres[],0,0,ROWS(nombres[]),1))-ROW(OFFSET(nombres[],0,0,1,1))+1,ROW(OFFSET(nombres[],ROWS(nombres[])-1,0,1,1))+1),$O1540:$O1559),3),"")</f>
        <v/>
      </c>
      <c r="ADA1540" s="42" t="str">
        <f t="array" aca="1" ref="ADA1540" ca="1">IFERROR(INDEX(nombres[],SMALL(IF(OFFSET(nombres[],0,0,ROWS(nombres[]),1)=ADA$1490,ROW(OFFSET(nombres[],0,0,ROWS(nombres[]),1))-ROW(OFFSET(nombres[],0,0,1,1))+1,ROW(OFFSET(nombres[],ROWS(nombres[])-1,0,1,1))+1),$O1540:$O1559),3),"")</f>
        <v/>
      </c>
      <c r="ADB1540" s="42" t="str">
        <f t="array" aca="1" ref="ADB1540" ca="1">IFERROR(INDEX(nombres[],SMALL(IF(OFFSET(nombres[],0,0,ROWS(nombres[]),1)=ADB$1490,ROW(OFFSET(nombres[],0,0,ROWS(nombres[]),1))-ROW(OFFSET(nombres[],0,0,1,1))+1,ROW(OFFSET(nombres[],ROWS(nombres[])-1,0,1,1))+1),$O1540:$O1559),3),"")</f>
        <v/>
      </c>
      <c r="ADC1540" s="42" t="str">
        <f t="array" aca="1" ref="ADC1540" ca="1">IFERROR(INDEX(nombres[],SMALL(IF(OFFSET(nombres[],0,0,ROWS(nombres[]),1)=ADC$1490,ROW(OFFSET(nombres[],0,0,ROWS(nombres[]),1))-ROW(OFFSET(nombres[],0,0,1,1))+1,ROW(OFFSET(nombres[],ROWS(nombres[])-1,0,1,1))+1),$O1540:$O1559),3),"")</f>
        <v/>
      </c>
      <c r="ADD1540" s="42" t="str">
        <f t="array" aca="1" ref="ADD1540" ca="1">IFERROR(INDEX(nombres[],SMALL(IF(OFFSET(nombres[],0,0,ROWS(nombres[]),1)=ADD$1490,ROW(OFFSET(nombres[],0,0,ROWS(nombres[]),1))-ROW(OFFSET(nombres[],0,0,1,1))+1,ROW(OFFSET(nombres[],ROWS(nombres[])-1,0,1,1))+1),$O1540:$O1559),3),"")</f>
        <v/>
      </c>
      <c r="ADE1540" s="42" t="str">
        <f t="array" aca="1" ref="ADE1540" ca="1">IFERROR(INDEX(nombres[],SMALL(IF(OFFSET(nombres[],0,0,ROWS(nombres[]),1)=ADE$1490,ROW(OFFSET(nombres[],0,0,ROWS(nombres[]),1))-ROW(OFFSET(nombres[],0,0,1,1))+1,ROW(OFFSET(nombres[],ROWS(nombres[])-1,0,1,1))+1),$O1540:$O1559),3),"")</f>
        <v/>
      </c>
      <c r="ADF1540" s="42" t="str">
        <f t="array" aca="1" ref="ADF1540" ca="1">IFERROR(INDEX(nombres[],SMALL(IF(OFFSET(nombres[],0,0,ROWS(nombres[]),1)=ADF$1490,ROW(OFFSET(nombres[],0,0,ROWS(nombres[]),1))-ROW(OFFSET(nombres[],0,0,1,1))+1,ROW(OFFSET(nombres[],ROWS(nombres[])-1,0,1,1))+1),$O1540:$O1559),3),"")</f>
        <v/>
      </c>
      <c r="ADG1540" s="42" t="str">
        <f t="array" aca="1" ref="ADG1540" ca="1">IFERROR(INDEX(nombres[],SMALL(IF(OFFSET(nombres[],0,0,ROWS(nombres[]),1)=ADG$1490,ROW(OFFSET(nombres[],0,0,ROWS(nombres[]),1))-ROW(OFFSET(nombres[],0,0,1,1))+1,ROW(OFFSET(nombres[],ROWS(nombres[])-1,0,1,1))+1),$O1540:$O1559),3),"")</f>
        <v/>
      </c>
      <c r="ADH1540" s="42" t="str">
        <f t="array" aca="1" ref="ADH1540" ca="1">IFERROR(INDEX(nombres[],SMALL(IF(OFFSET(nombres[],0,0,ROWS(nombres[]),1)=ADH$1490,ROW(OFFSET(nombres[],0,0,ROWS(nombres[]),1))-ROW(OFFSET(nombres[],0,0,1,1))+1,ROW(OFFSET(nombres[],ROWS(nombres[])-1,0,1,1))+1),$O1540:$O1559),3),"")</f>
        <v/>
      </c>
      <c r="ADI1540" s="42" t="str">
        <f t="array" aca="1" ref="ADI1540" ca="1">IFERROR(INDEX(nombres[],SMALL(IF(OFFSET(nombres[],0,0,ROWS(nombres[]),1)=ADI$1490,ROW(OFFSET(nombres[],0,0,ROWS(nombres[]),1))-ROW(OFFSET(nombres[],0,0,1,1))+1,ROW(OFFSET(nombres[],ROWS(nombres[])-1,0,1,1))+1),$O1540:$O1559),3),"")</f>
        <v/>
      </c>
      <c r="ADJ1540" s="42" t="str">
        <f t="array" aca="1" ref="ADJ1540" ca="1">IFERROR(INDEX(nombres[],SMALL(IF(OFFSET(nombres[],0,0,ROWS(nombres[]),1)=ADJ$1490,ROW(OFFSET(nombres[],0,0,ROWS(nombres[]),1))-ROW(OFFSET(nombres[],0,0,1,1))+1,ROW(OFFSET(nombres[],ROWS(nombres[])-1,0,1,1))+1),$O1540:$O1559),3),"")</f>
        <v/>
      </c>
      <c r="ADK1540" s="42" t="str">
        <f t="array" aca="1" ref="ADK1540" ca="1">IFERROR(INDEX(nombres[],SMALL(IF(OFFSET(nombres[],0,0,ROWS(nombres[]),1)=ADK$1490,ROW(OFFSET(nombres[],0,0,ROWS(nombres[]),1))-ROW(OFFSET(nombres[],0,0,1,1))+1,ROW(OFFSET(nombres[],ROWS(nombres[])-1,0,1,1))+1),$O1540:$O1559),3),"")</f>
        <v/>
      </c>
      <c r="ADL1540" s="42" t="str">
        <f t="array" aca="1" ref="ADL1540" ca="1">IFERROR(INDEX(nombres[],SMALL(IF(OFFSET(nombres[],0,0,ROWS(nombres[]),1)=ADL$1490,ROW(OFFSET(nombres[],0,0,ROWS(nombres[]),1))-ROW(OFFSET(nombres[],0,0,1,1))+1,ROW(OFFSET(nombres[],ROWS(nombres[])-1,0,1,1))+1),$O1540:$O1559),3),"")</f>
        <v/>
      </c>
      <c r="ADM1540" s="42" t="str">
        <f t="array" aca="1" ref="ADM1540" ca="1">IFERROR(INDEX(nombres[],SMALL(IF(OFFSET(nombres[],0,0,ROWS(nombres[]),1)=ADM$1490,ROW(OFFSET(nombres[],0,0,ROWS(nombres[]),1))-ROW(OFFSET(nombres[],0,0,1,1))+1,ROW(OFFSET(nombres[],ROWS(nombres[])-1,0,1,1))+1),$O1540:$O1559),3),"")</f>
        <v/>
      </c>
      <c r="ADN1540" s="42" t="str">
        <f t="array" aca="1" ref="ADN1540" ca="1">IFERROR(INDEX(nombres[],SMALL(IF(OFFSET(nombres[],0,0,ROWS(nombres[]),1)=ADN$1490,ROW(OFFSET(nombres[],0,0,ROWS(nombres[]),1))-ROW(OFFSET(nombres[],0,0,1,1))+1,ROW(OFFSET(nombres[],ROWS(nombres[])-1,0,1,1))+1),$O1540:$O1559),3),"")</f>
        <v/>
      </c>
      <c r="ADO1540" s="42" t="str">
        <f t="array" aca="1" ref="ADO1540" ca="1">IFERROR(INDEX(nombres[],SMALL(IF(OFFSET(nombres[],0,0,ROWS(nombres[]),1)=ADO$1490,ROW(OFFSET(nombres[],0,0,ROWS(nombres[]),1))-ROW(OFFSET(nombres[],0,0,1,1))+1,ROW(OFFSET(nombres[],ROWS(nombres[])-1,0,1,1))+1),$O1540:$O1559),3),"")</f>
        <v/>
      </c>
      <c r="ADP1540" s="42" t="str">
        <f t="array" aca="1" ref="ADP1540" ca="1">IFERROR(INDEX(nombres[],SMALL(IF(OFFSET(nombres[],0,0,ROWS(nombres[]),1)=ADP$1490,ROW(OFFSET(nombres[],0,0,ROWS(nombres[]),1))-ROW(OFFSET(nombres[],0,0,1,1))+1,ROW(OFFSET(nombres[],ROWS(nombres[])-1,0,1,1))+1),$O1540:$O1559),3),"")</f>
        <v/>
      </c>
      <c r="ADQ1540" s="42" t="str">
        <f t="array" aca="1" ref="ADQ1540" ca="1">IFERROR(INDEX(nombres[],SMALL(IF(OFFSET(nombres[],0,0,ROWS(nombres[]),1)=ADQ$1490,ROW(OFFSET(nombres[],0,0,ROWS(nombres[]),1))-ROW(OFFSET(nombres[],0,0,1,1))+1,ROW(OFFSET(nombres[],ROWS(nombres[])-1,0,1,1))+1),$O1540:$O1559),3),"")</f>
        <v/>
      </c>
      <c r="ADR1540" s="42" t="str">
        <f t="array" aca="1" ref="ADR1540" ca="1">IFERROR(INDEX(nombres[],SMALL(IF(OFFSET(nombres[],0,0,ROWS(nombres[]),1)=ADR$1490,ROW(OFFSET(nombres[],0,0,ROWS(nombres[]),1))-ROW(OFFSET(nombres[],0,0,1,1))+1,ROW(OFFSET(nombres[],ROWS(nombres[])-1,0,1,1))+1),$O1540:$O1559),3),"")</f>
        <v/>
      </c>
      <c r="ADS1540" s="42" t="str">
        <f t="array" aca="1" ref="ADS1540" ca="1">IFERROR(INDEX(nombres[],SMALL(IF(OFFSET(nombres[],0,0,ROWS(nombres[]),1)=ADS$1490,ROW(OFFSET(nombres[],0,0,ROWS(nombres[]),1))-ROW(OFFSET(nombres[],0,0,1,1))+1,ROW(OFFSET(nombres[],ROWS(nombres[])-1,0,1,1))+1),$O1540:$O1559),3),"")</f>
        <v/>
      </c>
      <c r="ADT1540" s="42" t="str">
        <f t="array" aca="1" ref="ADT1540" ca="1">IFERROR(INDEX(nombres[],SMALL(IF(OFFSET(nombres[],0,0,ROWS(nombres[]),1)=ADT$1490,ROW(OFFSET(nombres[],0,0,ROWS(nombres[]),1))-ROW(OFFSET(nombres[],0,0,1,1))+1,ROW(OFFSET(nombres[],ROWS(nombres[])-1,0,1,1))+1),$O1540:$O1559),3),"")</f>
        <v/>
      </c>
      <c r="ADU1540" s="42" t="str">
        <f t="array" aca="1" ref="ADU1540" ca="1">IFERROR(INDEX(nombres[],SMALL(IF(OFFSET(nombres[],0,0,ROWS(nombres[]),1)=ADU$1490,ROW(OFFSET(nombres[],0,0,ROWS(nombres[]),1))-ROW(OFFSET(nombres[],0,0,1,1))+1,ROW(OFFSET(nombres[],ROWS(nombres[])-1,0,1,1))+1),$O1540:$O1559),3),"")</f>
        <v/>
      </c>
      <c r="ADV1540" s="42" t="str">
        <f t="array" aca="1" ref="ADV1540" ca="1">IFERROR(INDEX(nombres[],SMALL(IF(OFFSET(nombres[],0,0,ROWS(nombres[]),1)=ADV$1490,ROW(OFFSET(nombres[],0,0,ROWS(nombres[]),1))-ROW(OFFSET(nombres[],0,0,1,1))+1,ROW(OFFSET(nombres[],ROWS(nombres[])-1,0,1,1))+1),$O1540:$O1559),3),"")</f>
        <v/>
      </c>
      <c r="ADW1540" s="42" t="str">
        <f t="array" aca="1" ref="ADW1540" ca="1">IFERROR(INDEX(nombres[],SMALL(IF(OFFSET(nombres[],0,0,ROWS(nombres[]),1)=ADW$1490,ROW(OFFSET(nombres[],0,0,ROWS(nombres[]),1))-ROW(OFFSET(nombres[],0,0,1,1))+1,ROW(OFFSET(nombres[],ROWS(nombres[])-1,0,1,1))+1),$O1540:$O1559),3),"")</f>
        <v/>
      </c>
      <c r="ADX1540" s="42" t="str">
        <f t="array" aca="1" ref="ADX1540" ca="1">IFERROR(INDEX(nombres[],SMALL(IF(OFFSET(nombres[],0,0,ROWS(nombres[]),1)=ADX$1490,ROW(OFFSET(nombres[],0,0,ROWS(nombres[]),1))-ROW(OFFSET(nombres[],0,0,1,1))+1,ROW(OFFSET(nombres[],ROWS(nombres[])-1,0,1,1))+1),$O1540:$O1559),3),"")</f>
        <v/>
      </c>
      <c r="ADY1540" s="42" t="str">
        <f t="array" aca="1" ref="ADY1540" ca="1">IFERROR(INDEX(nombres[],SMALL(IF(OFFSET(nombres[],0,0,ROWS(nombres[]),1)=ADY$1490,ROW(OFFSET(nombres[],0,0,ROWS(nombres[]),1))-ROW(OFFSET(nombres[],0,0,1,1))+1,ROW(OFFSET(nombres[],ROWS(nombres[])-1,0,1,1))+1),$O1540:$O1559),3),"")</f>
        <v/>
      </c>
      <c r="ADZ1540" s="42" t="str">
        <f t="array" aca="1" ref="ADZ1540" ca="1">IFERROR(INDEX(nombres[],SMALL(IF(OFFSET(nombres[],0,0,ROWS(nombres[]),1)=ADZ$1490,ROW(OFFSET(nombres[],0,0,ROWS(nombres[]),1))-ROW(OFFSET(nombres[],0,0,1,1))+1,ROW(OFFSET(nombres[],ROWS(nombres[])-1,0,1,1))+1),$O1540:$O1559),3),"")</f>
        <v/>
      </c>
      <c r="AEA1540" s="42" t="str">
        <f t="array" aca="1" ref="AEA1540" ca="1">IFERROR(INDEX(nombres[],SMALL(IF(OFFSET(nombres[],0,0,ROWS(nombres[]),1)=AEA$1490,ROW(OFFSET(nombres[],0,0,ROWS(nombres[]),1))-ROW(OFFSET(nombres[],0,0,1,1))+1,ROW(OFFSET(nombres[],ROWS(nombres[])-1,0,1,1))+1),$O1540:$O1559),3),"")</f>
        <v/>
      </c>
      <c r="AEB1540" s="42" t="str">
        <f t="array" aca="1" ref="AEB1540" ca="1">IFERROR(INDEX(nombres[],SMALL(IF(OFFSET(nombres[],0,0,ROWS(nombres[]),1)=AEB$1490,ROW(OFFSET(nombres[],0,0,ROWS(nombres[]),1))-ROW(OFFSET(nombres[],0,0,1,1))+1,ROW(OFFSET(nombres[],ROWS(nombres[])-1,0,1,1))+1),$O1540:$O1559),3),"")</f>
        <v/>
      </c>
      <c r="AEC1540" s="42" t="str">
        <f t="array" aca="1" ref="AEC1540" ca="1">IFERROR(INDEX(nombres[],SMALL(IF(OFFSET(nombres[],0,0,ROWS(nombres[]),1)=AEC$1490,ROW(OFFSET(nombres[],0,0,ROWS(nombres[]),1))-ROW(OFFSET(nombres[],0,0,1,1))+1,ROW(OFFSET(nombres[],ROWS(nombres[])-1,0,1,1))+1),$O1540:$O1559),3),"")</f>
        <v/>
      </c>
      <c r="AED1540" s="42" t="str">
        <f t="array" aca="1" ref="AED1540" ca="1">IFERROR(INDEX(nombres[],SMALL(IF(OFFSET(nombres[],0,0,ROWS(nombres[]),1)=AED$1490,ROW(OFFSET(nombres[],0,0,ROWS(nombres[]),1))-ROW(OFFSET(nombres[],0,0,1,1))+1,ROW(OFFSET(nombres[],ROWS(nombres[])-1,0,1,1))+1),$O1540:$O1559),3),"")</f>
        <v/>
      </c>
      <c r="AEE1540" s="42" t="str">
        <f t="array" aca="1" ref="AEE1540" ca="1">IFERROR(INDEX(nombres[],SMALL(IF(OFFSET(nombres[],0,0,ROWS(nombres[]),1)=AEE$1490,ROW(OFFSET(nombres[],0,0,ROWS(nombres[]),1))-ROW(OFFSET(nombres[],0,0,1,1))+1,ROW(OFFSET(nombres[],ROWS(nombres[])-1,0,1,1))+1),$O1540:$O1559),3),"")</f>
        <v/>
      </c>
      <c r="AEF1540" s="42" t="str">
        <f t="array" aca="1" ref="AEF1540" ca="1">IFERROR(INDEX(nombres[],SMALL(IF(OFFSET(nombres[],0,0,ROWS(nombres[]),1)=AEF$1490,ROW(OFFSET(nombres[],0,0,ROWS(nombres[]),1))-ROW(OFFSET(nombres[],0,0,1,1))+1,ROW(OFFSET(nombres[],ROWS(nombres[])-1,0,1,1))+1),$O1540:$O1559),3),"")</f>
        <v/>
      </c>
      <c r="AEG1540" s="42" t="str">
        <f t="array" aca="1" ref="AEG1540" ca="1">IFERROR(INDEX(nombres[],SMALL(IF(OFFSET(nombres[],0,0,ROWS(nombres[]),1)=AEG$1490,ROW(OFFSET(nombres[],0,0,ROWS(nombres[]),1))-ROW(OFFSET(nombres[],0,0,1,1))+1,ROW(OFFSET(nombres[],ROWS(nombres[])-1,0,1,1))+1),$O1540:$O1559),3),"")</f>
        <v/>
      </c>
      <c r="AEH1540" s="42" t="str">
        <f t="array" aca="1" ref="AEH1540" ca="1">IFERROR(INDEX(nombres[],SMALL(IF(OFFSET(nombres[],0,0,ROWS(nombres[]),1)=AEH$1490,ROW(OFFSET(nombres[],0,0,ROWS(nombres[]),1))-ROW(OFFSET(nombres[],0,0,1,1))+1,ROW(OFFSET(nombres[],ROWS(nombres[])-1,0,1,1))+1),$O1540:$O1559),3),"")</f>
        <v/>
      </c>
      <c r="AEI1540" s="42" t="str">
        <f t="array" aca="1" ref="AEI1540" ca="1">IFERROR(INDEX(nombres[],SMALL(IF(OFFSET(nombres[],0,0,ROWS(nombres[]),1)=AEI$1490,ROW(OFFSET(nombres[],0,0,ROWS(nombres[]),1))-ROW(OFFSET(nombres[],0,0,1,1))+1,ROW(OFFSET(nombres[],ROWS(nombres[])-1,0,1,1))+1),$O1540:$O1559),3),"")</f>
        <v/>
      </c>
      <c r="AEJ1540" s="42" t="str">
        <f t="array" aca="1" ref="AEJ1540" ca="1">IFERROR(INDEX(nombres[],SMALL(IF(OFFSET(nombres[],0,0,ROWS(nombres[]),1)=AEJ$1490,ROW(OFFSET(nombres[],0,0,ROWS(nombres[]),1))-ROW(OFFSET(nombres[],0,0,1,1))+1,ROW(OFFSET(nombres[],ROWS(nombres[])-1,0,1,1))+1),$O1540:$O1559),3),"")</f>
        <v/>
      </c>
      <c r="AEK1540" s="42" t="str">
        <f t="array" aca="1" ref="AEK1540" ca="1">IFERROR(INDEX(nombres[],SMALL(IF(OFFSET(nombres[],0,0,ROWS(nombres[]),1)=AEK$1490,ROW(OFFSET(nombres[],0,0,ROWS(nombres[]),1))-ROW(OFFSET(nombres[],0,0,1,1))+1,ROW(OFFSET(nombres[],ROWS(nombres[])-1,0,1,1))+1),$O1540:$O1559),3),"")</f>
        <v/>
      </c>
      <c r="AEL1540" s="42" t="str">
        <f t="array" aca="1" ref="AEL1540" ca="1">IFERROR(INDEX(nombres[],SMALL(IF(OFFSET(nombres[],0,0,ROWS(nombres[]),1)=AEL$1490,ROW(OFFSET(nombres[],0,0,ROWS(nombres[]),1))-ROW(OFFSET(nombres[],0,0,1,1))+1,ROW(OFFSET(nombres[],ROWS(nombres[])-1,0,1,1))+1),$O1540:$O1559),3),"")</f>
        <v/>
      </c>
      <c r="AEM1540" s="42" t="str">
        <f t="array" aca="1" ref="AEM1540" ca="1">IFERROR(INDEX(nombres[],SMALL(IF(OFFSET(nombres[],0,0,ROWS(nombres[]),1)=AEM$1490,ROW(OFFSET(nombres[],0,0,ROWS(nombres[]),1))-ROW(OFFSET(nombres[],0,0,1,1))+1,ROW(OFFSET(nombres[],ROWS(nombres[])-1,0,1,1))+1),$O1540:$O1559),3),"")</f>
        <v/>
      </c>
      <c r="AEN1540" s="42" t="str">
        <f t="array" aca="1" ref="AEN1540" ca="1">IFERROR(INDEX(nombres[],SMALL(IF(OFFSET(nombres[],0,0,ROWS(nombres[]),1)=AEN$1490,ROW(OFFSET(nombres[],0,0,ROWS(nombres[]),1))-ROW(OFFSET(nombres[],0,0,1,1))+1,ROW(OFFSET(nombres[],ROWS(nombres[])-1,0,1,1))+1),$O1540:$O1559),3),"")</f>
        <v/>
      </c>
      <c r="AEO1540" s="42" t="str">
        <f t="array" aca="1" ref="AEO1540" ca="1">IFERROR(INDEX(nombres[],SMALL(IF(OFFSET(nombres[],0,0,ROWS(nombres[]),1)=AEO$1490,ROW(OFFSET(nombres[],0,0,ROWS(nombres[]),1))-ROW(OFFSET(nombres[],0,0,1,1))+1,ROW(OFFSET(nombres[],ROWS(nombres[])-1,0,1,1))+1),$O1540:$O1559),3),"")</f>
        <v/>
      </c>
      <c r="AEP1540" s="42" t="str">
        <f t="array" aca="1" ref="AEP1540" ca="1">IFERROR(INDEX(nombres[],SMALL(IF(OFFSET(nombres[],0,0,ROWS(nombres[]),1)=AEP$1490,ROW(OFFSET(nombres[],0,0,ROWS(nombres[]),1))-ROW(OFFSET(nombres[],0,0,1,1))+1,ROW(OFFSET(nombres[],ROWS(nombres[])-1,0,1,1))+1),$O1540:$O1559),3),"")</f>
        <v/>
      </c>
      <c r="AEQ1540" s="42" t="str">
        <f t="array" aca="1" ref="AEQ1540" ca="1">IFERROR(INDEX(nombres[],SMALL(IF(OFFSET(nombres[],0,0,ROWS(nombres[]),1)=AEQ$1490,ROW(OFFSET(nombres[],0,0,ROWS(nombres[]),1))-ROW(OFFSET(nombres[],0,0,1,1))+1,ROW(OFFSET(nombres[],ROWS(nombres[])-1,0,1,1))+1),$O1540:$O1559),3),"")</f>
        <v/>
      </c>
      <c r="AER1540" s="42" t="str">
        <f t="array" aca="1" ref="AER1540" ca="1">IFERROR(INDEX(nombres[],SMALL(IF(OFFSET(nombres[],0,0,ROWS(nombres[]),1)=AER$1490,ROW(OFFSET(nombres[],0,0,ROWS(nombres[]),1))-ROW(OFFSET(nombres[],0,0,1,1))+1,ROW(OFFSET(nombres[],ROWS(nombres[])-1,0,1,1))+1),$O1540:$O1559),3),"")</f>
        <v/>
      </c>
      <c r="AES1540" s="42" t="str">
        <f t="array" aca="1" ref="AES1540" ca="1">IFERROR(INDEX(nombres[],SMALL(IF(OFFSET(nombres[],0,0,ROWS(nombres[]),1)=AES$1490,ROW(OFFSET(nombres[],0,0,ROWS(nombres[]),1))-ROW(OFFSET(nombres[],0,0,1,1))+1,ROW(OFFSET(nombres[],ROWS(nombres[])-1,0,1,1))+1),$O1540:$O1559),3),"")</f>
        <v/>
      </c>
      <c r="AET1540" s="42" t="str">
        <f t="array" aca="1" ref="AET1540" ca="1">IFERROR(INDEX(nombres[],SMALL(IF(OFFSET(nombres[],0,0,ROWS(nombres[]),1)=AET$1490,ROW(OFFSET(nombres[],0,0,ROWS(nombres[]),1))-ROW(OFFSET(nombres[],0,0,1,1))+1,ROW(OFFSET(nombres[],ROWS(nombres[])-1,0,1,1))+1),$O1540:$O1559),3),"")</f>
        <v/>
      </c>
      <c r="AEU1540" s="42" t="str">
        <f t="array" aca="1" ref="AEU1540" ca="1">IFERROR(INDEX(nombres[],SMALL(IF(OFFSET(nombres[],0,0,ROWS(nombres[]),1)=AEU$1490,ROW(OFFSET(nombres[],0,0,ROWS(nombres[]),1))-ROW(OFFSET(nombres[],0,0,1,1))+1,ROW(OFFSET(nombres[],ROWS(nombres[])-1,0,1,1))+1),$O1540:$O1559),3),"")</f>
        <v/>
      </c>
      <c r="AEV1540" s="42" t="str">
        <f t="array" aca="1" ref="AEV1540" ca="1">IFERROR(INDEX(nombres[],SMALL(IF(OFFSET(nombres[],0,0,ROWS(nombres[]),1)=AEV$1490,ROW(OFFSET(nombres[],0,0,ROWS(nombres[]),1))-ROW(OFFSET(nombres[],0,0,1,1))+1,ROW(OFFSET(nombres[],ROWS(nombres[])-1,0,1,1))+1),$O1540:$O1559),3),"")</f>
        <v/>
      </c>
      <c r="AEW1540" s="42" t="str">
        <f t="array" aca="1" ref="AEW1540" ca="1">IFERROR(INDEX(nombres[],SMALL(IF(OFFSET(nombres[],0,0,ROWS(nombres[]),1)=AEW$1490,ROW(OFFSET(nombres[],0,0,ROWS(nombres[]),1))-ROW(OFFSET(nombres[],0,0,1,1))+1,ROW(OFFSET(nombres[],ROWS(nombres[])-1,0,1,1))+1),$O1540:$O1559),3),"")</f>
        <v/>
      </c>
      <c r="AEX1540" s="42" t="str">
        <f t="array" aca="1" ref="AEX1540" ca="1">IFERROR(INDEX(nombres[],SMALL(IF(OFFSET(nombres[],0,0,ROWS(nombres[]),1)=AEX$1490,ROW(OFFSET(nombres[],0,0,ROWS(nombres[]),1))-ROW(OFFSET(nombres[],0,0,1,1))+1,ROW(OFFSET(nombres[],ROWS(nombres[])-1,0,1,1))+1),$O1540:$O1559),3),"")</f>
        <v/>
      </c>
      <c r="AEY1540" s="42" t="str">
        <f t="array" aca="1" ref="AEY1540" ca="1">IFERROR(INDEX(nombres[],SMALL(IF(OFFSET(nombres[],0,0,ROWS(nombres[]),1)=AEY$1490,ROW(OFFSET(nombres[],0,0,ROWS(nombres[]),1))-ROW(OFFSET(nombres[],0,0,1,1))+1,ROW(OFFSET(nombres[],ROWS(nombres[])-1,0,1,1))+1),$O1540:$O1559),3),"")</f>
        <v/>
      </c>
      <c r="AEZ1540" s="42" t="str">
        <f t="array" aca="1" ref="AEZ1540" ca="1">IFERROR(INDEX(nombres[],SMALL(IF(OFFSET(nombres[],0,0,ROWS(nombres[]),1)=AEZ$1490,ROW(OFFSET(nombres[],0,0,ROWS(nombres[]),1))-ROW(OFFSET(nombres[],0,0,1,1))+1,ROW(OFFSET(nombres[],ROWS(nombres[])-1,0,1,1))+1),$O1540:$O1559),3),"")</f>
        <v/>
      </c>
      <c r="AFA1540" s="42" t="str">
        <f t="array" aca="1" ref="AFA1540" ca="1">IFERROR(INDEX(nombres[],SMALL(IF(OFFSET(nombres[],0,0,ROWS(nombres[]),1)=AFA$1490,ROW(OFFSET(nombres[],0,0,ROWS(nombres[]),1))-ROW(OFFSET(nombres[],0,0,1,1))+1,ROW(OFFSET(nombres[],ROWS(nombres[])-1,0,1,1))+1),$O1540:$O1559),3),"")</f>
        <v/>
      </c>
      <c r="AFB1540" s="42" t="str">
        <f t="array" aca="1" ref="AFB1540" ca="1">IFERROR(INDEX(nombres[],SMALL(IF(OFFSET(nombres[],0,0,ROWS(nombres[]),1)=AFB$1490,ROW(OFFSET(nombres[],0,0,ROWS(nombres[]),1))-ROW(OFFSET(nombres[],0,0,1,1))+1,ROW(OFFSET(nombres[],ROWS(nombres[])-1,0,1,1))+1),$O1540:$O1559),3),"")</f>
        <v/>
      </c>
      <c r="AFC1540" s="42" t="str">
        <f t="array" aca="1" ref="AFC1540" ca="1">IFERROR(INDEX(nombres[],SMALL(IF(OFFSET(nombres[],0,0,ROWS(nombres[]),1)=AFC$1490,ROW(OFFSET(nombres[],0,0,ROWS(nombres[]),1))-ROW(OFFSET(nombres[],0,0,1,1))+1,ROW(OFFSET(nombres[],ROWS(nombres[])-1,0,1,1))+1),$O1540:$O1559),3),"")</f>
        <v/>
      </c>
      <c r="AFD1540" s="42" t="str">
        <f t="array" aca="1" ref="AFD1540" ca="1">IFERROR(INDEX(nombres[],SMALL(IF(OFFSET(nombres[],0,0,ROWS(nombres[]),1)=AFD$1490,ROW(OFFSET(nombres[],0,0,ROWS(nombres[]),1))-ROW(OFFSET(nombres[],0,0,1,1))+1,ROW(OFFSET(nombres[],ROWS(nombres[])-1,0,1,1))+1),$O1540:$O1559),3),"")</f>
        <v/>
      </c>
      <c r="AFE1540" s="42" t="str">
        <f t="array" aca="1" ref="AFE1540" ca="1">IFERROR(INDEX(nombres[],SMALL(IF(OFFSET(nombres[],0,0,ROWS(nombres[]),1)=AFE$1490,ROW(OFFSET(nombres[],0,0,ROWS(nombres[]),1))-ROW(OFFSET(nombres[],0,0,1,1))+1,ROW(OFFSET(nombres[],ROWS(nombres[])-1,0,1,1))+1),$O1540:$O1559),3),"")</f>
        <v/>
      </c>
      <c r="AFF1540" s="42" t="str">
        <f t="array" aca="1" ref="AFF1540" ca="1">IFERROR(INDEX(nombres[],SMALL(IF(OFFSET(nombres[],0,0,ROWS(nombres[]),1)=AFF$1490,ROW(OFFSET(nombres[],0,0,ROWS(nombres[]),1))-ROW(OFFSET(nombres[],0,0,1,1))+1,ROW(OFFSET(nombres[],ROWS(nombres[])-1,0,1,1))+1),$O1540:$O1559),3),"")</f>
        <v/>
      </c>
      <c r="AFG1540" s="42" t="str">
        <f t="array" aca="1" ref="AFG1540" ca="1">IFERROR(INDEX(nombres[],SMALL(IF(OFFSET(nombres[],0,0,ROWS(nombres[]),1)=AFG$1490,ROW(OFFSET(nombres[],0,0,ROWS(nombres[]),1))-ROW(OFFSET(nombres[],0,0,1,1))+1,ROW(OFFSET(nombres[],ROWS(nombres[])-1,0,1,1))+1),$O1540:$O1559),3),"")</f>
        <v/>
      </c>
      <c r="AFH1540" s="42" t="str">
        <f t="array" aca="1" ref="AFH1540" ca="1">IFERROR(INDEX(nombres[],SMALL(IF(OFFSET(nombres[],0,0,ROWS(nombres[]),1)=AFH$1490,ROW(OFFSET(nombres[],0,0,ROWS(nombres[]),1))-ROW(OFFSET(nombres[],0,0,1,1))+1,ROW(OFFSET(nombres[],ROWS(nombres[])-1,0,1,1))+1),$O1540:$O1559),3),"")</f>
        <v/>
      </c>
      <c r="AFI1540" s="42" t="str">
        <f t="array" aca="1" ref="AFI1540" ca="1">IFERROR(INDEX(nombres[],SMALL(IF(OFFSET(nombres[],0,0,ROWS(nombres[]),1)=AFI$1490,ROW(OFFSET(nombres[],0,0,ROWS(nombres[]),1))-ROW(OFFSET(nombres[],0,0,1,1))+1,ROW(OFFSET(nombres[],ROWS(nombres[])-1,0,1,1))+1),$O1540:$O1559),3),"")</f>
        <v/>
      </c>
      <c r="AFJ1540" s="42" t="str">
        <f t="array" aca="1" ref="AFJ1540" ca="1">IFERROR(INDEX(nombres[],SMALL(IF(OFFSET(nombres[],0,0,ROWS(nombres[]),1)=AFJ$1490,ROW(OFFSET(nombres[],0,0,ROWS(nombres[]),1))-ROW(OFFSET(nombres[],0,0,1,1))+1,ROW(OFFSET(nombres[],ROWS(nombres[])-1,0,1,1))+1),$O1540:$O1559),3),"")</f>
        <v/>
      </c>
      <c r="AFK1540" s="42" t="str">
        <f t="array" aca="1" ref="AFK1540" ca="1">IFERROR(INDEX(nombres[],SMALL(IF(OFFSET(nombres[],0,0,ROWS(nombres[]),1)=AFK$1490,ROW(OFFSET(nombres[],0,0,ROWS(nombres[]),1))-ROW(OFFSET(nombres[],0,0,1,1))+1,ROW(OFFSET(nombres[],ROWS(nombres[])-1,0,1,1))+1),$O1540:$O1559),3),"")</f>
        <v/>
      </c>
      <c r="AFL1540" s="42" t="str">
        <f t="array" aca="1" ref="AFL1540" ca="1">IFERROR(INDEX(nombres[],SMALL(IF(OFFSET(nombres[],0,0,ROWS(nombres[]),1)=AFL$1490,ROW(OFFSET(nombres[],0,0,ROWS(nombres[]),1))-ROW(OFFSET(nombres[],0,0,1,1))+1,ROW(OFFSET(nombres[],ROWS(nombres[])-1,0,1,1))+1),$O1540:$O1559),3),"")</f>
        <v/>
      </c>
      <c r="AFM1540" s="42" t="str">
        <f t="array" aca="1" ref="AFM1540" ca="1">IFERROR(INDEX(nombres[],SMALL(IF(OFFSET(nombres[],0,0,ROWS(nombres[]),1)=AFM$1490,ROW(OFFSET(nombres[],0,0,ROWS(nombres[]),1))-ROW(OFFSET(nombres[],0,0,1,1))+1,ROW(OFFSET(nombres[],ROWS(nombres[])-1,0,1,1))+1),$O1540:$O1559),3),"")</f>
        <v/>
      </c>
      <c r="AFN1540" s="42" t="str">
        <f t="array" aca="1" ref="AFN1540" ca="1">IFERROR(INDEX(nombres[],SMALL(IF(OFFSET(nombres[],0,0,ROWS(nombres[]),1)=AFN$1490,ROW(OFFSET(nombres[],0,0,ROWS(nombres[]),1))-ROW(OFFSET(nombres[],0,0,1,1))+1,ROW(OFFSET(nombres[],ROWS(nombres[])-1,0,1,1))+1),$O1540:$O1559),3),"")</f>
        <v/>
      </c>
      <c r="AFO1540" s="42" t="str">
        <f t="array" aca="1" ref="AFO1540" ca="1">IFERROR(INDEX(nombres[],SMALL(IF(OFFSET(nombres[],0,0,ROWS(nombres[]),1)=AFO$1490,ROW(OFFSET(nombres[],0,0,ROWS(nombres[]),1))-ROW(OFFSET(nombres[],0,0,1,1))+1,ROW(OFFSET(nombres[],ROWS(nombres[])-1,0,1,1))+1),$O1540:$O1559),3),"")</f>
        <v/>
      </c>
      <c r="AFP1540" s="42" t="str">
        <f t="array" aca="1" ref="AFP1540" ca="1">IFERROR(INDEX(nombres[],SMALL(IF(OFFSET(nombres[],0,0,ROWS(nombres[]),1)=AFP$1490,ROW(OFFSET(nombres[],0,0,ROWS(nombres[]),1))-ROW(OFFSET(nombres[],0,0,1,1))+1,ROW(OFFSET(nombres[],ROWS(nombres[])-1,0,1,1))+1),$O1540:$O1559),3),"")</f>
        <v/>
      </c>
      <c r="AFQ1540" s="42" t="str">
        <f t="array" aca="1" ref="AFQ1540" ca="1">IFERROR(INDEX(nombres[],SMALL(IF(OFFSET(nombres[],0,0,ROWS(nombres[]),1)=AFQ$1490,ROW(OFFSET(nombres[],0,0,ROWS(nombres[]),1))-ROW(OFFSET(nombres[],0,0,1,1))+1,ROW(OFFSET(nombres[],ROWS(nombres[])-1,0,1,1))+1),$O1540:$O1559),3),"")</f>
        <v/>
      </c>
      <c r="AFR1540" s="42" t="str">
        <f t="array" aca="1" ref="AFR1540" ca="1">IFERROR(INDEX(nombres[],SMALL(IF(OFFSET(nombres[],0,0,ROWS(nombres[]),1)=AFR$1490,ROW(OFFSET(nombres[],0,0,ROWS(nombres[]),1))-ROW(OFFSET(nombres[],0,0,1,1))+1,ROW(OFFSET(nombres[],ROWS(nombres[])-1,0,1,1))+1),$O1540:$O1559),3),"")</f>
        <v/>
      </c>
      <c r="AFS1540" s="42" t="str">
        <f t="array" aca="1" ref="AFS1540" ca="1">IFERROR(INDEX(nombres[],SMALL(IF(OFFSET(nombres[],0,0,ROWS(nombres[]),1)=AFS$1490,ROW(OFFSET(nombres[],0,0,ROWS(nombres[]),1))-ROW(OFFSET(nombres[],0,0,1,1))+1,ROW(OFFSET(nombres[],ROWS(nombres[])-1,0,1,1))+1),$O1540:$O1559),3),"")</f>
        <v/>
      </c>
      <c r="AFT1540" s="42" t="str">
        <f t="array" aca="1" ref="AFT1540" ca="1">IFERROR(INDEX(nombres[],SMALL(IF(OFFSET(nombres[],0,0,ROWS(nombres[]),1)=AFT$1490,ROW(OFFSET(nombres[],0,0,ROWS(nombres[]),1))-ROW(OFFSET(nombres[],0,0,1,1))+1,ROW(OFFSET(nombres[],ROWS(nombres[])-1,0,1,1))+1),$O1540:$O1559),3),"")</f>
        <v/>
      </c>
      <c r="AFU1540" s="42" t="str">
        <f t="array" aca="1" ref="AFU1540" ca="1">IFERROR(INDEX(nombres[],SMALL(IF(OFFSET(nombres[],0,0,ROWS(nombres[]),1)=AFU$1490,ROW(OFFSET(nombres[],0,0,ROWS(nombres[]),1))-ROW(OFFSET(nombres[],0,0,1,1))+1,ROW(OFFSET(nombres[],ROWS(nombres[])-1,0,1,1))+1),$O1540:$O1559),3),"")</f>
        <v/>
      </c>
      <c r="AFV1540" s="42" t="str">
        <f t="array" aca="1" ref="AFV1540" ca="1">IFERROR(INDEX(nombres[],SMALL(IF(OFFSET(nombres[],0,0,ROWS(nombres[]),1)=AFV$1490,ROW(OFFSET(nombres[],0,0,ROWS(nombres[]),1))-ROW(OFFSET(nombres[],0,0,1,1))+1,ROW(OFFSET(nombres[],ROWS(nombres[])-1,0,1,1))+1),$O1540:$O1559),3),"")</f>
        <v/>
      </c>
      <c r="AFW1540" s="42" t="str">
        <f t="array" aca="1" ref="AFW1540" ca="1">IFERROR(INDEX(nombres[],SMALL(IF(OFFSET(nombres[],0,0,ROWS(nombres[]),1)=AFW$1490,ROW(OFFSET(nombres[],0,0,ROWS(nombres[]),1))-ROW(OFFSET(nombres[],0,0,1,1))+1,ROW(OFFSET(nombres[],ROWS(nombres[])-1,0,1,1))+1),$O1540:$O1559),3),"")</f>
        <v/>
      </c>
      <c r="AFX1540" s="42" t="str">
        <f t="array" aca="1" ref="AFX1540" ca="1">IFERROR(INDEX(nombres[],SMALL(IF(OFFSET(nombres[],0,0,ROWS(nombres[]),1)=AFX$1490,ROW(OFFSET(nombres[],0,0,ROWS(nombres[]),1))-ROW(OFFSET(nombres[],0,0,1,1))+1,ROW(OFFSET(nombres[],ROWS(nombres[])-1,0,1,1))+1),$O1540:$O1559),3),"")</f>
        <v/>
      </c>
      <c r="AFY1540" s="42" t="str">
        <f t="array" aca="1" ref="AFY1540" ca="1">IFERROR(INDEX(nombres[],SMALL(IF(OFFSET(nombres[],0,0,ROWS(nombres[]),1)=AFY$1490,ROW(OFFSET(nombres[],0,0,ROWS(nombres[]),1))-ROW(OFFSET(nombres[],0,0,1,1))+1,ROW(OFFSET(nombres[],ROWS(nombres[])-1,0,1,1))+1),$O1540:$O1559),3),"")</f>
        <v/>
      </c>
      <c r="AFZ1540" s="42" t="str">
        <f t="array" aca="1" ref="AFZ1540" ca="1">IFERROR(INDEX(nombres[],SMALL(IF(OFFSET(nombres[],0,0,ROWS(nombres[]),1)=AFZ$1490,ROW(OFFSET(nombres[],0,0,ROWS(nombres[]),1))-ROW(OFFSET(nombres[],0,0,1,1))+1,ROW(OFFSET(nombres[],ROWS(nombres[])-1,0,1,1))+1),$O1540:$O1559),3),"")</f>
        <v/>
      </c>
      <c r="AGA1540" s="42" t="str">
        <f t="array" aca="1" ref="AGA1540" ca="1">IFERROR(INDEX(nombres[],SMALL(IF(OFFSET(nombres[],0,0,ROWS(nombres[]),1)=AGA$1490,ROW(OFFSET(nombres[],0,0,ROWS(nombres[]),1))-ROW(OFFSET(nombres[],0,0,1,1))+1,ROW(OFFSET(nombres[],ROWS(nombres[])-1,0,1,1))+1),$O1540:$O1559),3),"")</f>
        <v/>
      </c>
      <c r="AGB1540" s="42" t="str">
        <f t="array" aca="1" ref="AGB1540" ca="1">IFERROR(INDEX(nombres[],SMALL(IF(OFFSET(nombres[],0,0,ROWS(nombres[]),1)=AGB$1490,ROW(OFFSET(nombres[],0,0,ROWS(nombres[]),1))-ROW(OFFSET(nombres[],0,0,1,1))+1,ROW(OFFSET(nombres[],ROWS(nombres[])-1,0,1,1))+1),$O1540:$O1559),3),"")</f>
        <v/>
      </c>
      <c r="AGC1540" s="42" t="str">
        <f t="array" aca="1" ref="AGC1540" ca="1">IFERROR(INDEX(nombres[],SMALL(IF(OFFSET(nombres[],0,0,ROWS(nombres[]),1)=AGC$1490,ROW(OFFSET(nombres[],0,0,ROWS(nombres[]),1))-ROW(OFFSET(nombres[],0,0,1,1))+1,ROW(OFFSET(nombres[],ROWS(nombres[])-1,0,1,1))+1),$O1540:$O1559),3),"")</f>
        <v/>
      </c>
      <c r="AGD1540" s="42" t="str">
        <f t="array" aca="1" ref="AGD1540" ca="1">IFERROR(INDEX(nombres[],SMALL(IF(OFFSET(nombres[],0,0,ROWS(nombres[]),1)=AGD$1490,ROW(OFFSET(nombres[],0,0,ROWS(nombres[]),1))-ROW(OFFSET(nombres[],0,0,1,1))+1,ROW(OFFSET(nombres[],ROWS(nombres[])-1,0,1,1))+1),$O1540:$O1559),3),"")</f>
        <v/>
      </c>
      <c r="AGE1540" s="42" t="str">
        <f t="array" aca="1" ref="AGE1540" ca="1">IFERROR(INDEX(nombres[],SMALL(IF(OFFSET(nombres[],0,0,ROWS(nombres[]),1)=AGE$1490,ROW(OFFSET(nombres[],0,0,ROWS(nombres[]),1))-ROW(OFFSET(nombres[],0,0,1,1))+1,ROW(OFFSET(nombres[],ROWS(nombres[])-1,0,1,1))+1),$O1540:$O1559),3),"")</f>
        <v/>
      </c>
      <c r="AGF1540" s="42" t="str">
        <f t="array" aca="1" ref="AGF1540" ca="1">IFERROR(INDEX(nombres[],SMALL(IF(OFFSET(nombres[],0,0,ROWS(nombres[]),1)=AGF$1490,ROW(OFFSET(nombres[],0,0,ROWS(nombres[]),1))-ROW(OFFSET(nombres[],0,0,1,1))+1,ROW(OFFSET(nombres[],ROWS(nombres[])-1,0,1,1))+1),$O1540:$O1559),3),"")</f>
        <v/>
      </c>
      <c r="AGG1540" s="42" t="str">
        <f t="array" aca="1" ref="AGG1540" ca="1">IFERROR(INDEX(nombres[],SMALL(IF(OFFSET(nombres[],0,0,ROWS(nombres[]),1)=AGG$1490,ROW(OFFSET(nombres[],0,0,ROWS(nombres[]),1))-ROW(OFFSET(nombres[],0,0,1,1))+1,ROW(OFFSET(nombres[],ROWS(nombres[])-1,0,1,1))+1),$O1540:$O1559),3),"")</f>
        <v/>
      </c>
      <c r="AGH1540" s="42" t="str">
        <f t="array" aca="1" ref="AGH1540" ca="1">IFERROR(INDEX(nombres[],SMALL(IF(OFFSET(nombres[],0,0,ROWS(nombres[]),1)=AGH$1490,ROW(OFFSET(nombres[],0,0,ROWS(nombres[]),1))-ROW(OFFSET(nombres[],0,0,1,1))+1,ROW(OFFSET(nombres[],ROWS(nombres[])-1,0,1,1))+1),$O1540:$O1559),3),"")</f>
        <v/>
      </c>
      <c r="AGI1540" s="42" t="str">
        <f t="array" aca="1" ref="AGI1540" ca="1">IFERROR(INDEX(nombres[],SMALL(IF(OFFSET(nombres[],0,0,ROWS(nombres[]),1)=AGI$1490,ROW(OFFSET(nombres[],0,0,ROWS(nombres[]),1))-ROW(OFFSET(nombres[],0,0,1,1))+1,ROW(OFFSET(nombres[],ROWS(nombres[])-1,0,1,1))+1),$O1540:$O1559),3),"")</f>
        <v/>
      </c>
      <c r="AGJ1540" s="42" t="str">
        <f t="array" aca="1" ref="AGJ1540" ca="1">IFERROR(INDEX(nombres[],SMALL(IF(OFFSET(nombres[],0,0,ROWS(nombres[]),1)=AGJ$1490,ROW(OFFSET(nombres[],0,0,ROWS(nombres[]),1))-ROW(OFFSET(nombres[],0,0,1,1))+1,ROW(OFFSET(nombres[],ROWS(nombres[])-1,0,1,1))+1),$O1540:$O1559),3),"")</f>
        <v/>
      </c>
      <c r="AGK1540" s="42" t="str">
        <f t="array" aca="1" ref="AGK1540" ca="1">IFERROR(INDEX(nombres[],SMALL(IF(OFFSET(nombres[],0,0,ROWS(nombres[]),1)=AGK$1490,ROW(OFFSET(nombres[],0,0,ROWS(nombres[]),1))-ROW(OFFSET(nombres[],0,0,1,1))+1,ROW(OFFSET(nombres[],ROWS(nombres[])-1,0,1,1))+1),$O1540:$O1559),3),"")</f>
        <v/>
      </c>
      <c r="AGL1540" s="42" t="str">
        <f t="array" aca="1" ref="AGL1540" ca="1">IFERROR(INDEX(nombres[],SMALL(IF(OFFSET(nombres[],0,0,ROWS(nombres[]),1)=AGL$1490,ROW(OFFSET(nombres[],0,0,ROWS(nombres[]),1))-ROW(OFFSET(nombres[],0,0,1,1))+1,ROW(OFFSET(nombres[],ROWS(nombres[])-1,0,1,1))+1),$O1540:$O1559),3),"")</f>
        <v/>
      </c>
      <c r="AGM1540" s="42" t="str">
        <f t="array" aca="1" ref="AGM1540" ca="1">IFERROR(INDEX(nombres[],SMALL(IF(OFFSET(nombres[],0,0,ROWS(nombres[]),1)=AGM$1490,ROW(OFFSET(nombres[],0,0,ROWS(nombres[]),1))-ROW(OFFSET(nombres[],0,0,1,1))+1,ROW(OFFSET(nombres[],ROWS(nombres[])-1,0,1,1))+1),$O1540:$O1559),3),"")</f>
        <v/>
      </c>
      <c r="AGN1540" s="42" t="str">
        <f t="array" aca="1" ref="AGN1540" ca="1">IFERROR(INDEX(nombres[],SMALL(IF(OFFSET(nombres[],0,0,ROWS(nombres[]),1)=AGN$1490,ROW(OFFSET(nombres[],0,0,ROWS(nombres[]),1))-ROW(OFFSET(nombres[],0,0,1,1))+1,ROW(OFFSET(nombres[],ROWS(nombres[])-1,0,1,1))+1),$O1540:$O1559),3),"")</f>
        <v/>
      </c>
    </row>
    <row r="1541" spans="15:872" x14ac:dyDescent="0.25">
      <c r="O1541" s="42">
        <v>5</v>
      </c>
      <c r="P1541" s="42" t="str">
        <f t="array" aca="1" ref="P1541" ca="1">IFERROR(INDEX(nombres[],SMALL(IF(OFFSET(nombres[],0,0,ROWS(nombres[]),1)=P$1490,ROW(OFFSET(nombres[],0,0,ROWS(nombres[]),1))-ROW(OFFSET(nombres[],0,0,1,1))+1,ROW(OFFSET(nombres[],ROWS(nombres[])-1,0,1,1))+1),$O1541:$O1560),3),"")</f>
        <v/>
      </c>
      <c r="Q1541" s="42" t="str">
        <f t="array" aca="1" ref="Q1541" ca="1">IFERROR(INDEX(nombres[],SMALL(IF(OFFSET(nombres[],0,0,ROWS(nombres[]),1)=Q$1490,ROW(OFFSET(nombres[],0,0,ROWS(nombres[]),1))-ROW(OFFSET(nombres[],0,0,1,1))+1,ROW(OFFSET(nombres[],ROWS(nombres[])-1,0,1,1))+1),$O1541:$O1560),3),"")</f>
        <v/>
      </c>
      <c r="R1541" s="42" t="str">
        <f t="array" aca="1" ref="R1541" ca="1">IFERROR(INDEX(nombres[],SMALL(IF(OFFSET(nombres[],0,0,ROWS(nombres[]),1)=R$1490,ROW(OFFSET(nombres[],0,0,ROWS(nombres[]),1))-ROW(OFFSET(nombres[],0,0,1,1))+1,ROW(OFFSET(nombres[],ROWS(nombres[])-1,0,1,1))+1),$O1541:$O1560),3),"")</f>
        <v/>
      </c>
      <c r="S1541" s="42" t="str">
        <f t="array" aca="1" ref="S1541" ca="1">IFERROR(INDEX(nombres[],SMALL(IF(OFFSET(nombres[],0,0,ROWS(nombres[]),1)=S$1490,ROW(OFFSET(nombres[],0,0,ROWS(nombres[]),1))-ROW(OFFSET(nombres[],0,0,1,1))+1,ROW(OFFSET(nombres[],ROWS(nombres[])-1,0,1,1))+1),$O1541:$O1560),3),"")</f>
        <v/>
      </c>
      <c r="T1541" s="42" t="str">
        <f t="array" aca="1" ref="T1541" ca="1">IFERROR(INDEX(nombres[],SMALL(IF(OFFSET(nombres[],0,0,ROWS(nombres[]),1)=T$1490,ROW(OFFSET(nombres[],0,0,ROWS(nombres[]),1))-ROW(OFFSET(nombres[],0,0,1,1))+1,ROW(OFFSET(nombres[],ROWS(nombres[])-1,0,1,1))+1),$O1541:$O1560),3),"")</f>
        <v/>
      </c>
      <c r="U1541" s="42" t="str">
        <f t="array" aca="1" ref="U1541" ca="1">IFERROR(INDEX(nombres[],SMALL(IF(OFFSET(nombres[],0,0,ROWS(nombres[]),1)=U$1490,ROW(OFFSET(nombres[],0,0,ROWS(nombres[]),1))-ROW(OFFSET(nombres[],0,0,1,1))+1,ROW(OFFSET(nombres[],ROWS(nombres[])-1,0,1,1))+1),$O1541:$O1560),3),"")</f>
        <v/>
      </c>
      <c r="V1541" s="42" t="str">
        <f t="array" aca="1" ref="V1541" ca="1">IFERROR(INDEX(nombres[],SMALL(IF(OFFSET(nombres[],0,0,ROWS(nombres[]),1)=V$1490,ROW(OFFSET(nombres[],0,0,ROWS(nombres[]),1))-ROW(OFFSET(nombres[],0,0,1,1))+1,ROW(OFFSET(nombres[],ROWS(nombres[])-1,0,1,1))+1),$O1541:$O1560),3),"")</f>
        <v/>
      </c>
      <c r="W1541" s="42" t="str">
        <f t="array" aca="1" ref="W1541" ca="1">IFERROR(INDEX(nombres[],SMALL(IF(OFFSET(nombres[],0,0,ROWS(nombres[]),1)=W$1490,ROW(OFFSET(nombres[],0,0,ROWS(nombres[]),1))-ROW(OFFSET(nombres[],0,0,1,1))+1,ROW(OFFSET(nombres[],ROWS(nombres[])-1,0,1,1))+1),$O1541:$O1560),3),"")</f>
        <v/>
      </c>
      <c r="X1541" s="42" t="str">
        <f t="array" aca="1" ref="X1541" ca="1">IFERROR(INDEX(nombres[],SMALL(IF(OFFSET(nombres[],0,0,ROWS(nombres[]),1)=X$1490,ROW(OFFSET(nombres[],0,0,ROWS(nombres[]),1))-ROW(OFFSET(nombres[],0,0,1,1))+1,ROW(OFFSET(nombres[],ROWS(nombres[])-1,0,1,1))+1),$O1541:$O1560),3),"")</f>
        <v/>
      </c>
      <c r="Y1541" s="42" t="str">
        <f t="array" aca="1" ref="Y1541" ca="1">IFERROR(INDEX(nombres[],SMALL(IF(OFFSET(nombres[],0,0,ROWS(nombres[]),1)=Y$1490,ROW(OFFSET(nombres[],0,0,ROWS(nombres[]),1))-ROW(OFFSET(nombres[],0,0,1,1))+1,ROW(OFFSET(nombres[],ROWS(nombres[])-1,0,1,1))+1),$O1541:$O1560),3),"")</f>
        <v/>
      </c>
      <c r="Z1541" s="42" t="str">
        <f t="array" aca="1" ref="Z1541" ca="1">IFERROR(INDEX(nombres[],SMALL(IF(OFFSET(nombres[],0,0,ROWS(nombres[]),1)=Z$1490,ROW(OFFSET(nombres[],0,0,ROWS(nombres[]),1))-ROW(OFFSET(nombres[],0,0,1,1))+1,ROW(OFFSET(nombres[],ROWS(nombres[])-1,0,1,1))+1),$O1541:$O1560),3),"")</f>
        <v/>
      </c>
      <c r="AA1541" s="42" t="str">
        <f t="array" aca="1" ref="AA1541" ca="1">IFERROR(INDEX(nombres[],SMALL(IF(OFFSET(nombres[],0,0,ROWS(nombres[]),1)=AA$1490,ROW(OFFSET(nombres[],0,0,ROWS(nombres[]),1))-ROW(OFFSET(nombres[],0,0,1,1))+1,ROW(OFFSET(nombres[],ROWS(nombres[])-1,0,1,1))+1),$O1541:$O1560),3),"")</f>
        <v/>
      </c>
      <c r="AB1541" s="42">
        <f t="array" aca="1" ref="AB1541" ca="1">IFERROR(INDEX(nombres[],SMALL(IF(OFFSET(nombres[],0,0,ROWS(nombres[]),1)=AB$1490,ROW(OFFSET(nombres[],0,0,ROWS(nombres[]),1))-ROW(OFFSET(nombres[],0,0,1,1))+1,ROW(OFFSET(nombres[],ROWS(nombres[])-1,0,1,1))+1),$O1541:$O1560),3),"")</f>
        <v>52</v>
      </c>
      <c r="AC1541" s="42">
        <f t="array" aca="1" ref="AC1541" ca="1">IFERROR(INDEX(nombres[],SMALL(IF(OFFSET(nombres[],0,0,ROWS(nombres[]),1)=AC$1490,ROW(OFFSET(nombres[],0,0,ROWS(nombres[]),1))-ROW(OFFSET(nombres[],0,0,1,1))+1,ROW(OFFSET(nombres[],ROWS(nombres[])-1,0,1,1))+1),$O1541:$O1560),3),"")</f>
        <v>14</v>
      </c>
      <c r="AD1541" s="42" t="str">
        <f t="array" aca="1" ref="AD1541" ca="1">IFERROR(INDEX(nombres[],SMALL(IF(OFFSET(nombres[],0,0,ROWS(nombres[]),1)=AD$1490,ROW(OFFSET(nombres[],0,0,ROWS(nombres[]),1))-ROW(OFFSET(nombres[],0,0,1,1))+1,ROW(OFFSET(nombres[],ROWS(nombres[])-1,0,1,1))+1),$O1541:$O1560),3),"")</f>
        <v/>
      </c>
      <c r="AE1541" s="42" t="str">
        <f t="array" aca="1" ref="AE1541" ca="1">IFERROR(INDEX(nombres[],SMALL(IF(OFFSET(nombres[],0,0,ROWS(nombres[]),1)=AE$1490,ROW(OFFSET(nombres[],0,0,ROWS(nombres[]),1))-ROW(OFFSET(nombres[],0,0,1,1))+1,ROW(OFFSET(nombres[],ROWS(nombres[])-1,0,1,1))+1),$O1541:$O1560),3),"")</f>
        <v/>
      </c>
      <c r="AF1541" s="42" t="str">
        <f t="array" aca="1" ref="AF1541" ca="1">IFERROR(INDEX(nombres[],SMALL(IF(OFFSET(nombres[],0,0,ROWS(nombres[]),1)=AF$1490,ROW(OFFSET(nombres[],0,0,ROWS(nombres[]),1))-ROW(OFFSET(nombres[],0,0,1,1))+1,ROW(OFFSET(nombres[],ROWS(nombres[])-1,0,1,1))+1),$O1541:$O1560),3),"")</f>
        <v/>
      </c>
      <c r="AG1541" s="42" t="str">
        <f t="array" aca="1" ref="AG1541" ca="1">IFERROR(INDEX(nombres[],SMALL(IF(OFFSET(nombres[],0,0,ROWS(nombres[]),1)=AG$1490,ROW(OFFSET(nombres[],0,0,ROWS(nombres[]),1))-ROW(OFFSET(nombres[],0,0,1,1))+1,ROW(OFFSET(nombres[],ROWS(nombres[])-1,0,1,1))+1),$O1541:$O1560),3),"")</f>
        <v/>
      </c>
      <c r="AH1541" s="42" t="str">
        <f t="array" aca="1" ref="AH1541" ca="1">IFERROR(INDEX(nombres[],SMALL(IF(OFFSET(nombres[],0,0,ROWS(nombres[]),1)=AH$1490,ROW(OFFSET(nombres[],0,0,ROWS(nombres[]),1))-ROW(OFFSET(nombres[],0,0,1,1))+1,ROW(OFFSET(nombres[],ROWS(nombres[])-1,0,1,1))+1),$O1541:$O1560),3),"")</f>
        <v/>
      </c>
      <c r="AI1541" s="42" t="str">
        <f t="array" aca="1" ref="AI1541" ca="1">IFERROR(INDEX(nombres[],SMALL(IF(OFFSET(nombres[],0,0,ROWS(nombres[]),1)=AI$1490,ROW(OFFSET(nombres[],0,0,ROWS(nombres[]),1))-ROW(OFFSET(nombres[],0,0,1,1))+1,ROW(OFFSET(nombres[],ROWS(nombres[])-1,0,1,1))+1),$O1541:$O1560),3),"")</f>
        <v/>
      </c>
      <c r="AJ1541" s="42">
        <f t="array" aca="1" ref="AJ1541" ca="1">IFERROR(INDEX(nombres[],SMALL(IF(OFFSET(nombres[],0,0,ROWS(nombres[]),1)=AJ$1490,ROW(OFFSET(nombres[],0,0,ROWS(nombres[]),1))-ROW(OFFSET(nombres[],0,0,1,1))+1,ROW(OFFSET(nombres[],ROWS(nombres[])-1,0,1,1))+1),$O1541:$O1560),3),"")</f>
        <v>24</v>
      </c>
      <c r="AK1541" s="42">
        <f t="array" aca="1" ref="AK1541" ca="1">IFERROR(INDEX(nombres[],SMALL(IF(OFFSET(nombres[],0,0,ROWS(nombres[]),1)=AK$1490,ROW(OFFSET(nombres[],0,0,ROWS(nombres[]),1))-ROW(OFFSET(nombres[],0,0,1,1))+1,ROW(OFFSET(nombres[],ROWS(nombres[])-1,0,1,1))+1),$O1541:$O1560),3),"")</f>
        <v>3</v>
      </c>
      <c r="AL1541" s="42">
        <f t="array" aca="1" ref="AL1541" ca="1">IFERROR(INDEX(nombres[],SMALL(IF(OFFSET(nombres[],0,0,ROWS(nombres[]),1)=AL$1490,ROW(OFFSET(nombres[],0,0,ROWS(nombres[]),1))-ROW(OFFSET(nombres[],0,0,1,1))+1,ROW(OFFSET(nombres[],ROWS(nombres[])-1,0,1,1))+1),$O1541:$O1560),3),"")</f>
        <v>5</v>
      </c>
      <c r="AM1541" s="42">
        <f t="array" aca="1" ref="AM1541" ca="1">IFERROR(INDEX(nombres[],SMALL(IF(OFFSET(nombres[],0,0,ROWS(nombres[]),1)=AM$1490,ROW(OFFSET(nombres[],0,0,ROWS(nombres[]),1))-ROW(OFFSET(nombres[],0,0,1,1))+1,ROW(OFFSET(nombres[],ROWS(nombres[])-1,0,1,1))+1),$O1541:$O1560),3),"")</f>
        <v>9</v>
      </c>
      <c r="AN1541" s="42">
        <f t="array" aca="1" ref="AN1541" ca="1">IFERROR(INDEX(nombres[],SMALL(IF(OFFSET(nombres[],0,0,ROWS(nombres[]),1)=AN$1490,ROW(OFFSET(nombres[],0,0,ROWS(nombres[]),1))-ROW(OFFSET(nombres[],0,0,1,1))+1,ROW(OFFSET(nombres[],ROWS(nombres[])-1,0,1,1))+1),$O1541:$O1560),3),"")</f>
        <v>18</v>
      </c>
      <c r="AO1541" s="42" t="str">
        <f t="array" aca="1" ref="AO1541" ca="1">IFERROR(INDEX(nombres[],SMALL(IF(OFFSET(nombres[],0,0,ROWS(nombres[]),1)=AO$1490,ROW(OFFSET(nombres[],0,0,ROWS(nombres[]),1))-ROW(OFFSET(nombres[],0,0,1,1))+1,ROW(OFFSET(nombres[],ROWS(nombres[])-1,0,1,1))+1),$O1541:$O1560),3),"")</f>
        <v/>
      </c>
      <c r="AP1541" s="42" t="str">
        <f t="array" aca="1" ref="AP1541" ca="1">IFERROR(INDEX(nombres[],SMALL(IF(OFFSET(nombres[],0,0,ROWS(nombres[]),1)=AP$1490,ROW(OFFSET(nombres[],0,0,ROWS(nombres[]),1))-ROW(OFFSET(nombres[],0,0,1,1))+1,ROW(OFFSET(nombres[],ROWS(nombres[])-1,0,1,1))+1),$O1541:$O1560),3),"")</f>
        <v/>
      </c>
      <c r="AQ1541" s="42" t="str">
        <f t="array" aca="1" ref="AQ1541" ca="1">IFERROR(INDEX(nombres[],SMALL(IF(OFFSET(nombres[],0,0,ROWS(nombres[]),1)=AQ$1490,ROW(OFFSET(nombres[],0,0,ROWS(nombres[]),1))-ROW(OFFSET(nombres[],0,0,1,1))+1,ROW(OFFSET(nombres[],ROWS(nombres[])-1,0,1,1))+1),$O1541:$O1560),3),"")</f>
        <v/>
      </c>
      <c r="AR1541" s="42" t="str">
        <f t="array" aca="1" ref="AR1541" ca="1">IFERROR(INDEX(nombres[],SMALL(IF(OFFSET(nombres[],0,0,ROWS(nombres[]),1)=AR$1490,ROW(OFFSET(nombres[],0,0,ROWS(nombres[]),1))-ROW(OFFSET(nombres[],0,0,1,1))+1,ROW(OFFSET(nombres[],ROWS(nombres[])-1,0,1,1))+1),$O1541:$O1560),3),"")</f>
        <v/>
      </c>
      <c r="AS1541" s="42" t="str">
        <f t="array" aca="1" ref="AS1541" ca="1">IFERROR(INDEX(nombres[],SMALL(IF(OFFSET(nombres[],0,0,ROWS(nombres[]),1)=AS$1490,ROW(OFFSET(nombres[],0,0,ROWS(nombres[]),1))-ROW(OFFSET(nombres[],0,0,1,1))+1,ROW(OFFSET(nombres[],ROWS(nombres[])-1,0,1,1))+1),$O1541:$O1560),3),"")</f>
        <v/>
      </c>
      <c r="AT1541" s="42" t="str">
        <f t="array" aca="1" ref="AT1541" ca="1">IFERROR(INDEX(nombres[],SMALL(IF(OFFSET(nombres[],0,0,ROWS(nombres[]),1)=AT$1490,ROW(OFFSET(nombres[],0,0,ROWS(nombres[]),1))-ROW(OFFSET(nombres[],0,0,1,1))+1,ROW(OFFSET(nombres[],ROWS(nombres[])-1,0,1,1))+1),$O1541:$O1560),3),"")</f>
        <v/>
      </c>
      <c r="AU1541" s="42">
        <f t="array" aca="1" ref="AU1541" ca="1">IFERROR(INDEX(nombres[],SMALL(IF(OFFSET(nombres[],0,0,ROWS(nombres[]),1)=AU$1490,ROW(OFFSET(nombres[],0,0,ROWS(nombres[]),1))-ROW(OFFSET(nombres[],0,0,1,1))+1,ROW(OFFSET(nombres[],ROWS(nombres[])-1,0,1,1))+1),$O1541:$O1560),3),"")</f>
        <v>64</v>
      </c>
      <c r="AV1541" s="42" t="str">
        <f t="array" aca="1" ref="AV1541" ca="1">IFERROR(INDEX(nombres[],SMALL(IF(OFFSET(nombres[],0,0,ROWS(nombres[]),1)=AV$1490,ROW(OFFSET(nombres[],0,0,ROWS(nombres[]),1))-ROW(OFFSET(nombres[],0,0,1,1))+1,ROW(OFFSET(nombres[],ROWS(nombres[])-1,0,1,1))+1),$O1541:$O1560),3),"")</f>
        <v/>
      </c>
      <c r="AW1541" s="42" t="str">
        <f t="array" aca="1" ref="AW1541" ca="1">IFERROR(INDEX(nombres[],SMALL(IF(OFFSET(nombres[],0,0,ROWS(nombres[]),1)=AW$1490,ROW(OFFSET(nombres[],0,0,ROWS(nombres[]),1))-ROW(OFFSET(nombres[],0,0,1,1))+1,ROW(OFFSET(nombres[],ROWS(nombres[])-1,0,1,1))+1),$O1541:$O1560),3),"")</f>
        <v/>
      </c>
      <c r="AX1541" s="42" t="str">
        <f t="array" aca="1" ref="AX1541" ca="1">IFERROR(INDEX(nombres[],SMALL(IF(OFFSET(nombres[],0,0,ROWS(nombres[]),1)=AX$1490,ROW(OFFSET(nombres[],0,0,ROWS(nombres[]),1))-ROW(OFFSET(nombres[],0,0,1,1))+1,ROW(OFFSET(nombres[],ROWS(nombres[])-1,0,1,1))+1),$O1541:$O1560),3),"")</f>
        <v/>
      </c>
      <c r="AY1541" s="42">
        <f t="array" aca="1" ref="AY1541" ca="1">IFERROR(INDEX(nombres[],SMALL(IF(OFFSET(nombres[],0,0,ROWS(nombres[]),1)=AY$1490,ROW(OFFSET(nombres[],0,0,ROWS(nombres[]),1))-ROW(OFFSET(nombres[],0,0,1,1))+1,ROW(OFFSET(nombres[],ROWS(nombres[])-1,0,1,1))+1),$O1541:$O1560),3),"")</f>
        <v>631</v>
      </c>
      <c r="AZ1541" s="42" t="str">
        <f t="array" aca="1" ref="AZ1541" ca="1">IFERROR(INDEX(nombres[],SMALL(IF(OFFSET(nombres[],0,0,ROWS(nombres[]),1)=AZ$1490,ROW(OFFSET(nombres[],0,0,ROWS(nombres[]),1))-ROW(OFFSET(nombres[],0,0,1,1))+1,ROW(OFFSET(nombres[],ROWS(nombres[])-1,0,1,1))+1),$O1541:$O1560),3),"")</f>
        <v/>
      </c>
      <c r="BA1541" s="42">
        <f t="array" aca="1" ref="BA1541" ca="1">IFERROR(INDEX(nombres[],SMALL(IF(OFFSET(nombres[],0,0,ROWS(nombres[]),1)=BA$1490,ROW(OFFSET(nombres[],0,0,ROWS(nombres[]),1))-ROW(OFFSET(nombres[],0,0,1,1))+1,ROW(OFFSET(nombres[],ROWS(nombres[])-1,0,1,1))+1),$O1541:$O1560),3),"")</f>
        <v>47</v>
      </c>
      <c r="BB1541" s="42" t="str">
        <f t="array" aca="1" ref="BB1541" ca="1">IFERROR(INDEX(nombres[],SMALL(IF(OFFSET(nombres[],0,0,ROWS(nombres[]),1)=BB$1490,ROW(OFFSET(nombres[],0,0,ROWS(nombres[]),1))-ROW(OFFSET(nombres[],0,0,1,1))+1,ROW(OFFSET(nombres[],ROWS(nombres[])-1,0,1,1))+1),$O1541:$O1560),3),"")</f>
        <v/>
      </c>
      <c r="BC1541" s="42" t="str">
        <f t="array" aca="1" ref="BC1541" ca="1">IFERROR(INDEX(nombres[],SMALL(IF(OFFSET(nombres[],0,0,ROWS(nombres[]),1)=BC$1490,ROW(OFFSET(nombres[],0,0,ROWS(nombres[]),1))-ROW(OFFSET(nombres[],0,0,1,1))+1,ROW(OFFSET(nombres[],ROWS(nombres[])-1,0,1,1))+1),$O1541:$O1560),3),"")</f>
        <v/>
      </c>
      <c r="BD1541" s="42" t="str">
        <f t="array" aca="1" ref="BD1541" ca="1">IFERROR(INDEX(nombres[],SMALL(IF(OFFSET(nombres[],0,0,ROWS(nombres[]),1)=BD$1490,ROW(OFFSET(nombres[],0,0,ROWS(nombres[]),1))-ROW(OFFSET(nombres[],0,0,1,1))+1,ROW(OFFSET(nombres[],ROWS(nombres[])-1,0,1,1))+1),$O1541:$O1560),3),"")</f>
        <v/>
      </c>
      <c r="BE1541" s="42" t="str">
        <f t="array" aca="1" ref="BE1541" ca="1">IFERROR(INDEX(nombres[],SMALL(IF(OFFSET(nombres[],0,0,ROWS(nombres[]),1)=BE$1490,ROW(OFFSET(nombres[],0,0,ROWS(nombres[]),1))-ROW(OFFSET(nombres[],0,0,1,1))+1,ROW(OFFSET(nombres[],ROWS(nombres[])-1,0,1,1))+1),$O1541:$O1560),3),"")</f>
        <v/>
      </c>
      <c r="BF1541" s="42" t="str">
        <f t="array" aca="1" ref="BF1541" ca="1">IFERROR(INDEX(nombres[],SMALL(IF(OFFSET(nombres[],0,0,ROWS(nombres[]),1)=BF$1490,ROW(OFFSET(nombres[],0,0,ROWS(nombres[]),1))-ROW(OFFSET(nombres[],0,0,1,1))+1,ROW(OFFSET(nombres[],ROWS(nombres[])-1,0,1,1))+1),$O1541:$O1560),3),"")</f>
        <v/>
      </c>
      <c r="BG1541" s="42">
        <f t="array" aca="1" ref="BG1541" ca="1">IFERROR(INDEX(nombres[],SMALL(IF(OFFSET(nombres[],0,0,ROWS(nombres[]),1)=BG$1490,ROW(OFFSET(nombres[],0,0,ROWS(nombres[]),1))-ROW(OFFSET(nombres[],0,0,1,1))+1,ROW(OFFSET(nombres[],ROWS(nombres[])-1,0,1,1))+1),$O1541:$O1560),3),"")</f>
        <v>73</v>
      </c>
      <c r="BH1541" s="42" t="str">
        <f t="array" aca="1" ref="BH1541" ca="1">IFERROR(INDEX(nombres[],SMALL(IF(OFFSET(nombres[],0,0,ROWS(nombres[]),1)=BH$1490,ROW(OFFSET(nombres[],0,0,ROWS(nombres[]),1))-ROW(OFFSET(nombres[],0,0,1,1))+1,ROW(OFFSET(nombres[],ROWS(nombres[])-1,0,1,1))+1),$O1541:$O1560),3),"")</f>
        <v/>
      </c>
      <c r="BI1541" s="42" t="str">
        <f t="array" aca="1" ref="BI1541" ca="1">IFERROR(INDEX(nombres[],SMALL(IF(OFFSET(nombres[],0,0,ROWS(nombres[]),1)=BI$1490,ROW(OFFSET(nombres[],0,0,ROWS(nombres[]),1))-ROW(OFFSET(nombres[],0,0,1,1))+1,ROW(OFFSET(nombres[],ROWS(nombres[])-1,0,1,1))+1),$O1541:$O1560),3),"")</f>
        <v/>
      </c>
      <c r="BJ1541" s="42" t="str">
        <f t="array" aca="1" ref="BJ1541" ca="1">IFERROR(INDEX(nombres[],SMALL(IF(OFFSET(nombres[],0,0,ROWS(nombres[]),1)=BJ$1490,ROW(OFFSET(nombres[],0,0,ROWS(nombres[]),1))-ROW(OFFSET(nombres[],0,0,1,1))+1,ROW(OFFSET(nombres[],ROWS(nombres[])-1,0,1,1))+1),$O1541:$O1560),3),"")</f>
        <v/>
      </c>
      <c r="BK1541" s="42" t="str">
        <f t="array" aca="1" ref="BK1541" ca="1">IFERROR(INDEX(nombres[],SMALL(IF(OFFSET(nombres[],0,0,ROWS(nombres[]),1)=BK$1490,ROW(OFFSET(nombres[],0,0,ROWS(nombres[]),1))-ROW(OFFSET(nombres[],0,0,1,1))+1,ROW(OFFSET(nombres[],ROWS(nombres[])-1,0,1,1))+1),$O1541:$O1560),3),"")</f>
        <v/>
      </c>
      <c r="BL1541" s="42" t="str">
        <f t="array" aca="1" ref="BL1541" ca="1">IFERROR(INDEX(nombres[],SMALL(IF(OFFSET(nombres[],0,0,ROWS(nombres[]),1)=BL$1490,ROW(OFFSET(nombres[],0,0,ROWS(nombres[]),1))-ROW(OFFSET(nombres[],0,0,1,1))+1,ROW(OFFSET(nombres[],ROWS(nombres[])-1,0,1,1))+1),$O1541:$O1560),3),"")</f>
        <v/>
      </c>
      <c r="BM1541" s="42" t="str">
        <f t="array" aca="1" ref="BM1541" ca="1">IFERROR(INDEX(nombres[],SMALL(IF(OFFSET(nombres[],0,0,ROWS(nombres[]),1)=BM$1490,ROW(OFFSET(nombres[],0,0,ROWS(nombres[]),1))-ROW(OFFSET(nombres[],0,0,1,1))+1,ROW(OFFSET(nombres[],ROWS(nombres[])-1,0,1,1))+1),$O1541:$O1560),3),"")</f>
        <v/>
      </c>
      <c r="BN1541" s="42" t="str">
        <f t="array" aca="1" ref="BN1541" ca="1">IFERROR(INDEX(nombres[],SMALL(IF(OFFSET(nombres[],0,0,ROWS(nombres[]),1)=BN$1490,ROW(OFFSET(nombres[],0,0,ROWS(nombres[]),1))-ROW(OFFSET(nombres[],0,0,1,1))+1,ROW(OFFSET(nombres[],ROWS(nombres[])-1,0,1,1))+1),$O1541:$O1560),3),"")</f>
        <v/>
      </c>
      <c r="BO1541" s="42" t="str">
        <f t="array" aca="1" ref="BO1541" ca="1">IFERROR(INDEX(nombres[],SMALL(IF(OFFSET(nombres[],0,0,ROWS(nombres[]),1)=BO$1490,ROW(OFFSET(nombres[],0,0,ROWS(nombres[]),1))-ROW(OFFSET(nombres[],0,0,1,1))+1,ROW(OFFSET(nombres[],ROWS(nombres[])-1,0,1,1))+1),$O1541:$O1560),3),"")</f>
        <v/>
      </c>
      <c r="BP1541" s="42">
        <f t="array" aca="1" ref="BP1541" ca="1">IFERROR(INDEX(nombres[],SMALL(IF(OFFSET(nombres[],0,0,ROWS(nombres[]),1)=BP$1490,ROW(OFFSET(nombres[],0,0,ROWS(nombres[]),1))-ROW(OFFSET(nombres[],0,0,1,1))+1,ROW(OFFSET(nombres[],ROWS(nombres[])-1,0,1,1))+1),$O1541:$O1560),3),"")</f>
        <v>106</v>
      </c>
      <c r="BQ1541" s="42" t="str">
        <f t="array" aca="1" ref="BQ1541" ca="1">IFERROR(INDEX(nombres[],SMALL(IF(OFFSET(nombres[],0,0,ROWS(nombres[]),1)=BQ$1490,ROW(OFFSET(nombres[],0,0,ROWS(nombres[]),1))-ROW(OFFSET(nombres[],0,0,1,1))+1,ROW(OFFSET(nombres[],ROWS(nombres[])-1,0,1,1))+1),$O1541:$O1560),3),"")</f>
        <v/>
      </c>
      <c r="BR1541" s="42" t="str">
        <f t="array" aca="1" ref="BR1541" ca="1">IFERROR(INDEX(nombres[],SMALL(IF(OFFSET(nombres[],0,0,ROWS(nombres[]),1)=BR$1490,ROW(OFFSET(nombres[],0,0,ROWS(nombres[]),1))-ROW(OFFSET(nombres[],0,0,1,1))+1,ROW(OFFSET(nombres[],ROWS(nombres[])-1,0,1,1))+1),$O1541:$O1560),3),"")</f>
        <v/>
      </c>
      <c r="BS1541" s="42" t="str">
        <f t="array" aca="1" ref="BS1541" ca="1">IFERROR(INDEX(nombres[],SMALL(IF(OFFSET(nombres[],0,0,ROWS(nombres[]),1)=BS$1490,ROW(OFFSET(nombres[],0,0,ROWS(nombres[]),1))-ROW(OFFSET(nombres[],0,0,1,1))+1,ROW(OFFSET(nombres[],ROWS(nombres[])-1,0,1,1))+1),$O1541:$O1560),3),"")</f>
        <v/>
      </c>
      <c r="BT1541" s="42">
        <f t="array" aca="1" ref="BT1541" ca="1">IFERROR(INDEX(nombres[],SMALL(IF(OFFSET(nombres[],0,0,ROWS(nombres[]),1)=BT$1490,ROW(OFFSET(nombres[],0,0,ROWS(nombres[]),1))-ROW(OFFSET(nombres[],0,0,1,1))+1,ROW(OFFSET(nombres[],ROWS(nombres[])-1,0,1,1))+1),$O1541:$O1560),3),"")</f>
        <v>117</v>
      </c>
      <c r="BU1541" s="42" t="str">
        <f t="array" aca="1" ref="BU1541" ca="1">IFERROR(INDEX(nombres[],SMALL(IF(OFFSET(nombres[],0,0,ROWS(nombres[]),1)=BU$1490,ROW(OFFSET(nombres[],0,0,ROWS(nombres[]),1))-ROW(OFFSET(nombres[],0,0,1,1))+1,ROW(OFFSET(nombres[],ROWS(nombres[])-1,0,1,1))+1),$O1541:$O1560),3),"")</f>
        <v/>
      </c>
      <c r="BV1541" s="42" t="str">
        <f t="array" aca="1" ref="BV1541" ca="1">IFERROR(INDEX(nombres[],SMALL(IF(OFFSET(nombres[],0,0,ROWS(nombres[]),1)=BV$1490,ROW(OFFSET(nombres[],0,0,ROWS(nombres[]),1))-ROW(OFFSET(nombres[],0,0,1,1))+1,ROW(OFFSET(nombres[],ROWS(nombres[])-1,0,1,1))+1),$O1541:$O1560),3),"")</f>
        <v/>
      </c>
      <c r="BW1541" s="42" t="str">
        <f t="array" aca="1" ref="BW1541" ca="1">IFERROR(INDEX(nombres[],SMALL(IF(OFFSET(nombres[],0,0,ROWS(nombres[]),1)=BW$1490,ROW(OFFSET(nombres[],0,0,ROWS(nombres[]),1))-ROW(OFFSET(nombres[],0,0,1,1))+1,ROW(OFFSET(nombres[],ROWS(nombres[])-1,0,1,1))+1),$O1541:$O1560),3),"")</f>
        <v/>
      </c>
      <c r="BX1541" s="42" t="str">
        <f t="array" aca="1" ref="BX1541" ca="1">IFERROR(INDEX(nombres[],SMALL(IF(OFFSET(nombres[],0,0,ROWS(nombres[]),1)=BX$1490,ROW(OFFSET(nombres[],0,0,ROWS(nombres[]),1))-ROW(OFFSET(nombres[],0,0,1,1))+1,ROW(OFFSET(nombres[],ROWS(nombres[])-1,0,1,1))+1),$O1541:$O1560),3),"")</f>
        <v/>
      </c>
      <c r="BY1541" s="42" t="str">
        <f t="array" aca="1" ref="BY1541" ca="1">IFERROR(INDEX(nombres[],SMALL(IF(OFFSET(nombres[],0,0,ROWS(nombres[]),1)=BY$1490,ROW(OFFSET(nombres[],0,0,ROWS(nombres[]),1))-ROW(OFFSET(nombres[],0,0,1,1))+1,ROW(OFFSET(nombres[],ROWS(nombres[])-1,0,1,1))+1),$O1541:$O1560),3),"")</f>
        <v/>
      </c>
      <c r="BZ1541" s="42" t="str">
        <f t="array" aca="1" ref="BZ1541" ca="1">IFERROR(INDEX(nombres[],SMALL(IF(OFFSET(nombres[],0,0,ROWS(nombres[]),1)=BZ$1490,ROW(OFFSET(nombres[],0,0,ROWS(nombres[]),1))-ROW(OFFSET(nombres[],0,0,1,1))+1,ROW(OFFSET(nombres[],ROWS(nombres[])-1,0,1,1))+1),$O1541:$O1560),3),"")</f>
        <v/>
      </c>
      <c r="CA1541" s="42" t="str">
        <f t="array" aca="1" ref="CA1541" ca="1">IFERROR(INDEX(nombres[],SMALL(IF(OFFSET(nombres[],0,0,ROWS(nombres[]),1)=CA$1490,ROW(OFFSET(nombres[],0,0,ROWS(nombres[]),1))-ROW(OFFSET(nombres[],0,0,1,1))+1,ROW(OFFSET(nombres[],ROWS(nombres[])-1,0,1,1))+1),$O1541:$O1560),3),"")</f>
        <v/>
      </c>
      <c r="CB1541" s="42">
        <f t="array" aca="1" ref="CB1541" ca="1">IFERROR(INDEX(nombres[],SMALL(IF(OFFSET(nombres[],0,0,ROWS(nombres[]),1)=CB$1490,ROW(OFFSET(nombres[],0,0,ROWS(nombres[]),1))-ROW(OFFSET(nombres[],0,0,1,1))+1,ROW(OFFSET(nombres[],ROWS(nombres[])-1,0,1,1))+1),$O1541:$O1560),3),"")</f>
        <v>84</v>
      </c>
      <c r="CC1541" s="42" t="str">
        <f t="array" aca="1" ref="CC1541" ca="1">IFERROR(INDEX(nombres[],SMALL(IF(OFFSET(nombres[],0,0,ROWS(nombres[]),1)=CC$1490,ROW(OFFSET(nombres[],0,0,ROWS(nombres[]),1))-ROW(OFFSET(nombres[],0,0,1,1))+1,ROW(OFFSET(nombres[],ROWS(nombres[])-1,0,1,1))+1),$O1541:$O1560),3),"")</f>
        <v/>
      </c>
      <c r="CD1541" s="42" t="str">
        <f t="array" aca="1" ref="CD1541" ca="1">IFERROR(INDEX(nombres[],SMALL(IF(OFFSET(nombres[],0,0,ROWS(nombres[]),1)=CD$1490,ROW(OFFSET(nombres[],0,0,ROWS(nombres[]),1))-ROW(OFFSET(nombres[],0,0,1,1))+1,ROW(OFFSET(nombres[],ROWS(nombres[])-1,0,1,1))+1),$O1541:$O1560),3),"")</f>
        <v/>
      </c>
      <c r="CE1541" s="42" t="str">
        <f t="array" aca="1" ref="CE1541" ca="1">IFERROR(INDEX(nombres[],SMALL(IF(OFFSET(nombres[],0,0,ROWS(nombres[]),1)=CE$1490,ROW(OFFSET(nombres[],0,0,ROWS(nombres[]),1))-ROW(OFFSET(nombres[],0,0,1,1))+1,ROW(OFFSET(nombres[],ROWS(nombres[])-1,0,1,1))+1),$O1541:$O1560),3),"")</f>
        <v/>
      </c>
      <c r="CF1541" s="42" t="str">
        <f t="array" aca="1" ref="CF1541" ca="1">IFERROR(INDEX(nombres[],SMALL(IF(OFFSET(nombres[],0,0,ROWS(nombres[]),1)=CF$1490,ROW(OFFSET(nombres[],0,0,ROWS(nombres[]),1))-ROW(OFFSET(nombres[],0,0,1,1))+1,ROW(OFFSET(nombres[],ROWS(nombres[])-1,0,1,1))+1),$O1541:$O1560),3),"")</f>
        <v/>
      </c>
      <c r="CG1541" s="42" t="str">
        <f t="array" aca="1" ref="CG1541" ca="1">IFERROR(INDEX(nombres[],SMALL(IF(OFFSET(nombres[],0,0,ROWS(nombres[]),1)=CG$1490,ROW(OFFSET(nombres[],0,0,ROWS(nombres[]),1))-ROW(OFFSET(nombres[],0,0,1,1))+1,ROW(OFFSET(nombres[],ROWS(nombres[])-1,0,1,1))+1),$O1541:$O1560),3),"")</f>
        <v/>
      </c>
      <c r="CH1541" s="42" t="str">
        <f t="array" aca="1" ref="CH1541" ca="1">IFERROR(INDEX(nombres[],SMALL(IF(OFFSET(nombres[],0,0,ROWS(nombres[]),1)=CH$1490,ROW(OFFSET(nombres[],0,0,ROWS(nombres[]),1))-ROW(OFFSET(nombres[],0,0,1,1))+1,ROW(OFFSET(nombres[],ROWS(nombres[])-1,0,1,1))+1),$O1541:$O1560),3),"")</f>
        <v/>
      </c>
      <c r="CI1541" s="42" t="str">
        <f t="array" aca="1" ref="CI1541" ca="1">IFERROR(INDEX(nombres[],SMALL(IF(OFFSET(nombres[],0,0,ROWS(nombres[]),1)=CI$1490,ROW(OFFSET(nombres[],0,0,ROWS(nombres[]),1))-ROW(OFFSET(nombres[],0,0,1,1))+1,ROW(OFFSET(nombres[],ROWS(nombres[])-1,0,1,1))+1),$O1541:$O1560),3),"")</f>
        <v/>
      </c>
      <c r="CJ1541" s="42" t="str">
        <f t="array" aca="1" ref="CJ1541" ca="1">IFERROR(INDEX(nombres[],SMALL(IF(OFFSET(nombres[],0,0,ROWS(nombres[]),1)=CJ$1490,ROW(OFFSET(nombres[],0,0,ROWS(nombres[]),1))-ROW(OFFSET(nombres[],0,0,1,1))+1,ROW(OFFSET(nombres[],ROWS(nombres[])-1,0,1,1))+1),$O1541:$O1560),3),"")</f>
        <v/>
      </c>
      <c r="CK1541" s="42" t="str">
        <f t="array" aca="1" ref="CK1541" ca="1">IFERROR(INDEX(nombres[],SMALL(IF(OFFSET(nombres[],0,0,ROWS(nombres[]),1)=CK$1490,ROW(OFFSET(nombres[],0,0,ROWS(nombres[]),1))-ROW(OFFSET(nombres[],0,0,1,1))+1,ROW(OFFSET(nombres[],ROWS(nombres[])-1,0,1,1))+1),$O1541:$O1560),3),"")</f>
        <v/>
      </c>
      <c r="CL1541" s="42" t="str">
        <f t="array" aca="1" ref="CL1541" ca="1">IFERROR(INDEX(nombres[],SMALL(IF(OFFSET(nombres[],0,0,ROWS(nombres[]),1)=CL$1490,ROW(OFFSET(nombres[],0,0,ROWS(nombres[]),1))-ROW(OFFSET(nombres[],0,0,1,1))+1,ROW(OFFSET(nombres[],ROWS(nombres[])-1,0,1,1))+1),$O1541:$O1560),3),"")</f>
        <v/>
      </c>
      <c r="CM1541" s="42" t="str">
        <f t="array" aca="1" ref="CM1541" ca="1">IFERROR(INDEX(nombres[],SMALL(IF(OFFSET(nombres[],0,0,ROWS(nombres[]),1)=CM$1490,ROW(OFFSET(nombres[],0,0,ROWS(nombres[]),1))-ROW(OFFSET(nombres[],0,0,1,1))+1,ROW(OFFSET(nombres[],ROWS(nombres[])-1,0,1,1))+1),$O1541:$O1560),3),"")</f>
        <v/>
      </c>
      <c r="CN1541" s="42" t="str">
        <f t="array" aca="1" ref="CN1541" ca="1">IFERROR(INDEX(nombres[],SMALL(IF(OFFSET(nombres[],0,0,ROWS(nombres[]),1)=CN$1490,ROW(OFFSET(nombres[],0,0,ROWS(nombres[]),1))-ROW(OFFSET(nombres[],0,0,1,1))+1,ROW(OFFSET(nombres[],ROWS(nombres[])-1,0,1,1))+1),$O1541:$O1560),3),"")</f>
        <v/>
      </c>
      <c r="CO1541" s="42" t="str">
        <f t="array" aca="1" ref="CO1541" ca="1">IFERROR(INDEX(nombres[],SMALL(IF(OFFSET(nombres[],0,0,ROWS(nombres[]),1)=CO$1490,ROW(OFFSET(nombres[],0,0,ROWS(nombres[]),1))-ROW(OFFSET(nombres[],0,0,1,1))+1,ROW(OFFSET(nombres[],ROWS(nombres[])-1,0,1,1))+1),$O1541:$O1560),3),"")</f>
        <v/>
      </c>
      <c r="CP1541" s="42" t="str">
        <f t="array" aca="1" ref="CP1541" ca="1">IFERROR(INDEX(nombres[],SMALL(IF(OFFSET(nombres[],0,0,ROWS(nombres[]),1)=CP$1490,ROW(OFFSET(nombres[],0,0,ROWS(nombres[]),1))-ROW(OFFSET(nombres[],0,0,1,1))+1,ROW(OFFSET(nombres[],ROWS(nombres[])-1,0,1,1))+1),$O1541:$O1560),3),"")</f>
        <v/>
      </c>
      <c r="CQ1541" s="42" t="str">
        <f t="array" aca="1" ref="CQ1541" ca="1">IFERROR(INDEX(nombres[],SMALL(IF(OFFSET(nombres[],0,0,ROWS(nombres[]),1)=CQ$1490,ROW(OFFSET(nombres[],0,0,ROWS(nombres[]),1))-ROW(OFFSET(nombres[],0,0,1,1))+1,ROW(OFFSET(nombres[],ROWS(nombres[])-1,0,1,1))+1),$O1541:$O1560),3),"")</f>
        <v/>
      </c>
      <c r="CR1541" s="42" t="str">
        <f t="array" aca="1" ref="CR1541" ca="1">IFERROR(INDEX(nombres[],SMALL(IF(OFFSET(nombres[],0,0,ROWS(nombres[]),1)=CR$1490,ROW(OFFSET(nombres[],0,0,ROWS(nombres[]),1))-ROW(OFFSET(nombres[],0,0,1,1))+1,ROW(OFFSET(nombres[],ROWS(nombres[])-1,0,1,1))+1),$O1541:$O1560),3),"")</f>
        <v/>
      </c>
      <c r="CS1541" s="42" t="str">
        <f t="array" aca="1" ref="CS1541" ca="1">IFERROR(INDEX(nombres[],SMALL(IF(OFFSET(nombres[],0,0,ROWS(nombres[]),1)=CS$1490,ROW(OFFSET(nombres[],0,0,ROWS(nombres[]),1))-ROW(OFFSET(nombres[],0,0,1,1))+1,ROW(OFFSET(nombres[],ROWS(nombres[])-1,0,1,1))+1),$O1541:$O1560),3),"")</f>
        <v/>
      </c>
      <c r="CT1541" s="42" t="str">
        <f t="array" aca="1" ref="CT1541" ca="1">IFERROR(INDEX(nombres[],SMALL(IF(OFFSET(nombres[],0,0,ROWS(nombres[]),1)=CT$1490,ROW(OFFSET(nombres[],0,0,ROWS(nombres[]),1))-ROW(OFFSET(nombres[],0,0,1,1))+1,ROW(OFFSET(nombres[],ROWS(nombres[])-1,0,1,1))+1),$O1541:$O1560),3),"")</f>
        <v/>
      </c>
      <c r="CU1541" s="42" t="str">
        <f t="array" aca="1" ref="CU1541" ca="1">IFERROR(INDEX(nombres[],SMALL(IF(OFFSET(nombres[],0,0,ROWS(nombres[]),1)=CU$1490,ROW(OFFSET(nombres[],0,0,ROWS(nombres[]),1))-ROW(OFFSET(nombres[],0,0,1,1))+1,ROW(OFFSET(nombres[],ROWS(nombres[])-1,0,1,1))+1),$O1541:$O1560),3),"")</f>
        <v/>
      </c>
      <c r="CV1541" s="42" t="str">
        <f t="array" aca="1" ref="CV1541" ca="1">IFERROR(INDEX(nombres[],SMALL(IF(OFFSET(nombres[],0,0,ROWS(nombres[]),1)=CV$1490,ROW(OFFSET(nombres[],0,0,ROWS(nombres[]),1))-ROW(OFFSET(nombres[],0,0,1,1))+1,ROW(OFFSET(nombres[],ROWS(nombres[])-1,0,1,1))+1),$O1541:$O1560),3),"")</f>
        <v/>
      </c>
      <c r="CW1541" s="42" t="str">
        <f t="array" aca="1" ref="CW1541" ca="1">IFERROR(INDEX(nombres[],SMALL(IF(OFFSET(nombres[],0,0,ROWS(nombres[]),1)=CW$1490,ROW(OFFSET(nombres[],0,0,ROWS(nombres[]),1))-ROW(OFFSET(nombres[],0,0,1,1))+1,ROW(OFFSET(nombres[],ROWS(nombres[])-1,0,1,1))+1),$O1541:$O1560),3),"")</f>
        <v/>
      </c>
      <c r="CX1541" s="42" t="str">
        <f t="array" aca="1" ref="CX1541" ca="1">IFERROR(INDEX(nombres[],SMALL(IF(OFFSET(nombres[],0,0,ROWS(nombres[]),1)=CX$1490,ROW(OFFSET(nombres[],0,0,ROWS(nombres[]),1))-ROW(OFFSET(nombres[],0,0,1,1))+1,ROW(OFFSET(nombres[],ROWS(nombres[])-1,0,1,1))+1),$O1541:$O1560),3),"")</f>
        <v/>
      </c>
      <c r="CY1541" s="42" t="str">
        <f t="array" aca="1" ref="CY1541" ca="1">IFERROR(INDEX(nombres[],SMALL(IF(OFFSET(nombres[],0,0,ROWS(nombres[]),1)=CY$1490,ROW(OFFSET(nombres[],0,0,ROWS(nombres[]),1))-ROW(OFFSET(nombres[],0,0,1,1))+1,ROW(OFFSET(nombres[],ROWS(nombres[])-1,0,1,1))+1),$O1541:$O1560),3),"")</f>
        <v/>
      </c>
      <c r="CZ1541" s="42" t="str">
        <f t="array" aca="1" ref="CZ1541" ca="1">IFERROR(INDEX(nombres[],SMALL(IF(OFFSET(nombres[],0,0,ROWS(nombres[]),1)=CZ$1490,ROW(OFFSET(nombres[],0,0,ROWS(nombres[]),1))-ROW(OFFSET(nombres[],0,0,1,1))+1,ROW(OFFSET(nombres[],ROWS(nombres[])-1,0,1,1))+1),$O1541:$O1560),3),"")</f>
        <v/>
      </c>
      <c r="DA1541" s="42" t="str">
        <f t="array" aca="1" ref="DA1541" ca="1">IFERROR(INDEX(nombres[],SMALL(IF(OFFSET(nombres[],0,0,ROWS(nombres[]),1)=DA$1490,ROW(OFFSET(nombres[],0,0,ROWS(nombres[]),1))-ROW(OFFSET(nombres[],0,0,1,1))+1,ROW(OFFSET(nombres[],ROWS(nombres[])-1,0,1,1))+1),$O1541:$O1560),3),"")</f>
        <v/>
      </c>
      <c r="DB1541" s="42" t="str">
        <f t="array" aca="1" ref="DB1541" ca="1">IFERROR(INDEX(nombres[],SMALL(IF(OFFSET(nombres[],0,0,ROWS(nombres[]),1)=DB$1490,ROW(OFFSET(nombres[],0,0,ROWS(nombres[]),1))-ROW(OFFSET(nombres[],0,0,1,1))+1,ROW(OFFSET(nombres[],ROWS(nombres[])-1,0,1,1))+1),$O1541:$O1560),3),"")</f>
        <v/>
      </c>
      <c r="DC1541" s="42" t="str">
        <f t="array" aca="1" ref="DC1541" ca="1">IFERROR(INDEX(nombres[],SMALL(IF(OFFSET(nombres[],0,0,ROWS(nombres[]),1)=DC$1490,ROW(OFFSET(nombres[],0,0,ROWS(nombres[]),1))-ROW(OFFSET(nombres[],0,0,1,1))+1,ROW(OFFSET(nombres[],ROWS(nombres[])-1,0,1,1))+1),$O1541:$O1560),3),"")</f>
        <v/>
      </c>
      <c r="DD1541" s="42" t="str">
        <f t="array" aca="1" ref="DD1541" ca="1">IFERROR(INDEX(nombres[],SMALL(IF(OFFSET(nombres[],0,0,ROWS(nombres[]),1)=DD$1490,ROW(OFFSET(nombres[],0,0,ROWS(nombres[]),1))-ROW(OFFSET(nombres[],0,0,1,1))+1,ROW(OFFSET(nombres[],ROWS(nombres[])-1,0,1,1))+1),$O1541:$O1560),3),"")</f>
        <v/>
      </c>
      <c r="DE1541" s="42" t="str">
        <f t="array" aca="1" ref="DE1541" ca="1">IFERROR(INDEX(nombres[],SMALL(IF(OFFSET(nombres[],0,0,ROWS(nombres[]),1)=DE$1490,ROW(OFFSET(nombres[],0,0,ROWS(nombres[]),1))-ROW(OFFSET(nombres[],0,0,1,1))+1,ROW(OFFSET(nombres[],ROWS(nombres[])-1,0,1,1))+1),$O1541:$O1560),3),"")</f>
        <v/>
      </c>
      <c r="DF1541" s="42" t="str">
        <f t="array" aca="1" ref="DF1541" ca="1">IFERROR(INDEX(nombres[],SMALL(IF(OFFSET(nombres[],0,0,ROWS(nombres[]),1)=DF$1490,ROW(OFFSET(nombres[],0,0,ROWS(nombres[]),1))-ROW(OFFSET(nombres[],0,0,1,1))+1,ROW(OFFSET(nombres[],ROWS(nombres[])-1,0,1,1))+1),$O1541:$O1560),3),"")</f>
        <v/>
      </c>
      <c r="DG1541" s="42" t="str">
        <f t="array" aca="1" ref="DG1541" ca="1">IFERROR(INDEX(nombres[],SMALL(IF(OFFSET(nombres[],0,0,ROWS(nombres[]),1)=DG$1490,ROW(OFFSET(nombres[],0,0,ROWS(nombres[]),1))-ROW(OFFSET(nombres[],0,0,1,1))+1,ROW(OFFSET(nombres[],ROWS(nombres[])-1,0,1,1))+1),$O1541:$O1560),3),"")</f>
        <v/>
      </c>
      <c r="DH1541" s="42" t="str">
        <f t="array" aca="1" ref="DH1541" ca="1">IFERROR(INDEX(nombres[],SMALL(IF(OFFSET(nombres[],0,0,ROWS(nombres[]),1)=DH$1490,ROW(OFFSET(nombres[],0,0,ROWS(nombres[]),1))-ROW(OFFSET(nombres[],0,0,1,1))+1,ROW(OFFSET(nombres[],ROWS(nombres[])-1,0,1,1))+1),$O1541:$O1560),3),"")</f>
        <v/>
      </c>
      <c r="DI1541" s="42" t="str">
        <f t="array" aca="1" ref="DI1541" ca="1">IFERROR(INDEX(nombres[],SMALL(IF(OFFSET(nombres[],0,0,ROWS(nombres[]),1)=DI$1490,ROW(OFFSET(nombres[],0,0,ROWS(nombres[]),1))-ROW(OFFSET(nombres[],0,0,1,1))+1,ROW(OFFSET(nombres[],ROWS(nombres[])-1,0,1,1))+1),$O1541:$O1560),3),"")</f>
        <v/>
      </c>
      <c r="DJ1541" s="42" t="str">
        <f t="array" aca="1" ref="DJ1541" ca="1">IFERROR(INDEX(nombres[],SMALL(IF(OFFSET(nombres[],0,0,ROWS(nombres[]),1)=DJ$1490,ROW(OFFSET(nombres[],0,0,ROWS(nombres[]),1))-ROW(OFFSET(nombres[],0,0,1,1))+1,ROW(OFFSET(nombres[],ROWS(nombres[])-1,0,1,1))+1),$O1541:$O1560),3),"")</f>
        <v/>
      </c>
      <c r="DK1541" s="42" t="str">
        <f t="array" aca="1" ref="DK1541" ca="1">IFERROR(INDEX(nombres[],SMALL(IF(OFFSET(nombres[],0,0,ROWS(nombres[]),1)=DK$1490,ROW(OFFSET(nombres[],0,0,ROWS(nombres[]),1))-ROW(OFFSET(nombres[],0,0,1,1))+1,ROW(OFFSET(nombres[],ROWS(nombres[])-1,0,1,1))+1),$O1541:$O1560),3),"")</f>
        <v/>
      </c>
      <c r="DL1541" s="42" t="str">
        <f t="array" aca="1" ref="DL1541" ca="1">IFERROR(INDEX(nombres[],SMALL(IF(OFFSET(nombres[],0,0,ROWS(nombres[]),1)=DL$1490,ROW(OFFSET(nombres[],0,0,ROWS(nombres[]),1))-ROW(OFFSET(nombres[],0,0,1,1))+1,ROW(OFFSET(nombres[],ROWS(nombres[])-1,0,1,1))+1),$O1541:$O1560),3),"")</f>
        <v/>
      </c>
      <c r="DM1541" s="42" t="str">
        <f t="array" aca="1" ref="DM1541" ca="1">IFERROR(INDEX(nombres[],SMALL(IF(OFFSET(nombres[],0,0,ROWS(nombres[]),1)=DM$1490,ROW(OFFSET(nombres[],0,0,ROWS(nombres[]),1))-ROW(OFFSET(nombres[],0,0,1,1))+1,ROW(OFFSET(nombres[],ROWS(nombres[])-1,0,1,1))+1),$O1541:$O1560),3),"")</f>
        <v/>
      </c>
      <c r="DN1541" s="42" t="str">
        <f t="array" aca="1" ref="DN1541" ca="1">IFERROR(INDEX(nombres[],SMALL(IF(OFFSET(nombres[],0,0,ROWS(nombres[]),1)=DN$1490,ROW(OFFSET(nombres[],0,0,ROWS(nombres[]),1))-ROW(OFFSET(nombres[],0,0,1,1))+1,ROW(OFFSET(nombres[],ROWS(nombres[])-1,0,1,1))+1),$O1541:$O1560),3),"")</f>
        <v/>
      </c>
      <c r="DO1541" s="42" t="str">
        <f t="array" aca="1" ref="DO1541" ca="1">IFERROR(INDEX(nombres[],SMALL(IF(OFFSET(nombres[],0,0,ROWS(nombres[]),1)=DO$1490,ROW(OFFSET(nombres[],0,0,ROWS(nombres[]),1))-ROW(OFFSET(nombres[],0,0,1,1))+1,ROW(OFFSET(nombres[],ROWS(nombres[])-1,0,1,1))+1),$O1541:$O1560),3),"")</f>
        <v/>
      </c>
      <c r="DP1541" s="42" t="str">
        <f t="array" aca="1" ref="DP1541" ca="1">IFERROR(INDEX(nombres[],SMALL(IF(OFFSET(nombres[],0,0,ROWS(nombres[]),1)=DP$1490,ROW(OFFSET(nombres[],0,0,ROWS(nombres[]),1))-ROW(OFFSET(nombres[],0,0,1,1))+1,ROW(OFFSET(nombres[],ROWS(nombres[])-1,0,1,1))+1),$O1541:$O1560),3),"")</f>
        <v/>
      </c>
      <c r="DQ1541" s="42" t="str">
        <f t="array" aca="1" ref="DQ1541" ca="1">IFERROR(INDEX(nombres[],SMALL(IF(OFFSET(nombres[],0,0,ROWS(nombres[]),1)=DQ$1490,ROW(OFFSET(nombres[],0,0,ROWS(nombres[]),1))-ROW(OFFSET(nombres[],0,0,1,1))+1,ROW(OFFSET(nombres[],ROWS(nombres[])-1,0,1,1))+1),$O1541:$O1560),3),"")</f>
        <v/>
      </c>
      <c r="DR1541" s="42" t="str">
        <f t="array" aca="1" ref="DR1541" ca="1">IFERROR(INDEX(nombres[],SMALL(IF(OFFSET(nombres[],0,0,ROWS(nombres[]),1)=DR$1490,ROW(OFFSET(nombres[],0,0,ROWS(nombres[]),1))-ROW(OFFSET(nombres[],0,0,1,1))+1,ROW(OFFSET(nombres[],ROWS(nombres[])-1,0,1,1))+1),$O1541:$O1560),3),"")</f>
        <v/>
      </c>
      <c r="DS1541" s="42">
        <f t="array" aca="1" ref="DS1541" ca="1">IFERROR(INDEX(nombres[],SMALL(IF(OFFSET(nombres[],0,0,ROWS(nombres[]),1)=DS$1490,ROW(OFFSET(nombres[],0,0,ROWS(nombres[]),1))-ROW(OFFSET(nombres[],0,0,1,1))+1,ROW(OFFSET(nombres[],ROWS(nombres[])-1,0,1,1))+1),$O1541:$O1560),3),"")</f>
        <v>170</v>
      </c>
      <c r="DT1541" s="42" t="str">
        <f t="array" aca="1" ref="DT1541" ca="1">IFERROR(INDEX(nombres[],SMALL(IF(OFFSET(nombres[],0,0,ROWS(nombres[]),1)=DT$1490,ROW(OFFSET(nombres[],0,0,ROWS(nombres[]),1))-ROW(OFFSET(nombres[],0,0,1,1))+1,ROW(OFFSET(nombres[],ROWS(nombres[])-1,0,1,1))+1),$O1541:$O1560),3),"")</f>
        <v/>
      </c>
      <c r="DU1541" s="42" t="str">
        <f t="array" aca="1" ref="DU1541" ca="1">IFERROR(INDEX(nombres[],SMALL(IF(OFFSET(nombres[],0,0,ROWS(nombres[]),1)=DU$1490,ROW(OFFSET(nombres[],0,0,ROWS(nombres[]),1))-ROW(OFFSET(nombres[],0,0,1,1))+1,ROW(OFFSET(nombres[],ROWS(nombres[])-1,0,1,1))+1),$O1541:$O1560),3),"")</f>
        <v/>
      </c>
      <c r="DV1541" s="42" t="str">
        <f t="array" aca="1" ref="DV1541" ca="1">IFERROR(INDEX(nombres[],SMALL(IF(OFFSET(nombres[],0,0,ROWS(nombres[]),1)=DV$1490,ROW(OFFSET(nombres[],0,0,ROWS(nombres[]),1))-ROW(OFFSET(nombres[],0,0,1,1))+1,ROW(OFFSET(nombres[],ROWS(nombres[])-1,0,1,1))+1),$O1541:$O1560),3),"")</f>
        <v/>
      </c>
      <c r="DW1541" s="42" t="str">
        <f t="array" aca="1" ref="DW1541" ca="1">IFERROR(INDEX(nombres[],SMALL(IF(OFFSET(nombres[],0,0,ROWS(nombres[]),1)=DW$1490,ROW(OFFSET(nombres[],0,0,ROWS(nombres[]),1))-ROW(OFFSET(nombres[],0,0,1,1))+1,ROW(OFFSET(nombres[],ROWS(nombres[])-1,0,1,1))+1),$O1541:$O1560),3),"")</f>
        <v/>
      </c>
      <c r="DX1541" s="42" t="str">
        <f t="array" aca="1" ref="DX1541" ca="1">IFERROR(INDEX(nombres[],SMALL(IF(OFFSET(nombres[],0,0,ROWS(nombres[]),1)=DX$1490,ROW(OFFSET(nombres[],0,0,ROWS(nombres[]),1))-ROW(OFFSET(nombres[],0,0,1,1))+1,ROW(OFFSET(nombres[],ROWS(nombres[])-1,0,1,1))+1),$O1541:$O1560),3),"")</f>
        <v/>
      </c>
      <c r="DY1541" s="42" t="str">
        <f t="array" aca="1" ref="DY1541" ca="1">IFERROR(INDEX(nombres[],SMALL(IF(OFFSET(nombres[],0,0,ROWS(nombres[]),1)=DY$1490,ROW(OFFSET(nombres[],0,0,ROWS(nombres[]),1))-ROW(OFFSET(nombres[],0,0,1,1))+1,ROW(OFFSET(nombres[],ROWS(nombres[])-1,0,1,1))+1),$O1541:$O1560),3),"")</f>
        <v/>
      </c>
      <c r="DZ1541" s="42" t="str">
        <f t="array" aca="1" ref="DZ1541" ca="1">IFERROR(INDEX(nombres[],SMALL(IF(OFFSET(nombres[],0,0,ROWS(nombres[]),1)=DZ$1490,ROW(OFFSET(nombres[],0,0,ROWS(nombres[]),1))-ROW(OFFSET(nombres[],0,0,1,1))+1,ROW(OFFSET(nombres[],ROWS(nombres[])-1,0,1,1))+1),$O1541:$O1560),3),"")</f>
        <v/>
      </c>
      <c r="EA1541" s="42" t="str">
        <f t="array" aca="1" ref="EA1541" ca="1">IFERROR(INDEX(nombres[],SMALL(IF(OFFSET(nombres[],0,0,ROWS(nombres[]),1)=EA$1490,ROW(OFFSET(nombres[],0,0,ROWS(nombres[]),1))-ROW(OFFSET(nombres[],0,0,1,1))+1,ROW(OFFSET(nombres[],ROWS(nombres[])-1,0,1,1))+1),$O1541:$O1560),3),"")</f>
        <v/>
      </c>
      <c r="EB1541" s="42" t="str">
        <f t="array" aca="1" ref="EB1541" ca="1">IFERROR(INDEX(nombres[],SMALL(IF(OFFSET(nombres[],0,0,ROWS(nombres[]),1)=EB$1490,ROW(OFFSET(nombres[],0,0,ROWS(nombres[]),1))-ROW(OFFSET(nombres[],0,0,1,1))+1,ROW(OFFSET(nombres[],ROWS(nombres[])-1,0,1,1))+1),$O1541:$O1560),3),"")</f>
        <v/>
      </c>
      <c r="EC1541" s="42" t="str">
        <f t="array" aca="1" ref="EC1541" ca="1">IFERROR(INDEX(nombres[],SMALL(IF(OFFSET(nombres[],0,0,ROWS(nombres[]),1)=EC$1490,ROW(OFFSET(nombres[],0,0,ROWS(nombres[]),1))-ROW(OFFSET(nombres[],0,0,1,1))+1,ROW(OFFSET(nombres[],ROWS(nombres[])-1,0,1,1))+1),$O1541:$O1560),3),"")</f>
        <v/>
      </c>
      <c r="ED1541" s="42">
        <f t="array" aca="1" ref="ED1541" ca="1">IFERROR(INDEX(nombres[],SMALL(IF(OFFSET(nombres[],0,0,ROWS(nombres[]),1)=ED$1490,ROW(OFFSET(nombres[],0,0,ROWS(nombres[]),1))-ROW(OFFSET(nombres[],0,0,1,1))+1,ROW(OFFSET(nombres[],ROWS(nombres[])-1,0,1,1))+1),$O1541:$O1560),3),"")</f>
        <v>178</v>
      </c>
      <c r="EE1541" s="42" t="str">
        <f t="array" aca="1" ref="EE1541" ca="1">IFERROR(INDEX(nombres[],SMALL(IF(OFFSET(nombres[],0,0,ROWS(nombres[]),1)=EE$1490,ROW(OFFSET(nombres[],0,0,ROWS(nombres[]),1))-ROW(OFFSET(nombres[],0,0,1,1))+1,ROW(OFFSET(nombres[],ROWS(nombres[])-1,0,1,1))+1),$O1541:$O1560),3),"")</f>
        <v/>
      </c>
      <c r="EF1541" s="42" t="str">
        <f t="array" aca="1" ref="EF1541" ca="1">IFERROR(INDEX(nombres[],SMALL(IF(OFFSET(nombres[],0,0,ROWS(nombres[]),1)=EF$1490,ROW(OFFSET(nombres[],0,0,ROWS(nombres[]),1))-ROW(OFFSET(nombres[],0,0,1,1))+1,ROW(OFFSET(nombres[],ROWS(nombres[])-1,0,1,1))+1),$O1541:$O1560),3),"")</f>
        <v/>
      </c>
      <c r="EG1541" s="42" t="str">
        <f t="array" aca="1" ref="EG1541" ca="1">IFERROR(INDEX(nombres[],SMALL(IF(OFFSET(nombres[],0,0,ROWS(nombres[]),1)=EG$1490,ROW(OFFSET(nombres[],0,0,ROWS(nombres[]),1))-ROW(OFFSET(nombres[],0,0,1,1))+1,ROW(OFFSET(nombres[],ROWS(nombres[])-1,0,1,1))+1),$O1541:$O1560),3),"")</f>
        <v/>
      </c>
      <c r="EH1541" s="42" t="str">
        <f t="array" aca="1" ref="EH1541" ca="1">IFERROR(INDEX(nombres[],SMALL(IF(OFFSET(nombres[],0,0,ROWS(nombres[]),1)=EH$1490,ROW(OFFSET(nombres[],0,0,ROWS(nombres[]),1))-ROW(OFFSET(nombres[],0,0,1,1))+1,ROW(OFFSET(nombres[],ROWS(nombres[])-1,0,1,1))+1),$O1541:$O1560),3),"")</f>
        <v/>
      </c>
      <c r="EI1541" s="42" t="str">
        <f t="array" aca="1" ref="EI1541" ca="1">IFERROR(INDEX(nombres[],SMALL(IF(OFFSET(nombres[],0,0,ROWS(nombres[]),1)=EI$1490,ROW(OFFSET(nombres[],0,0,ROWS(nombres[]),1))-ROW(OFFSET(nombres[],0,0,1,1))+1,ROW(OFFSET(nombres[],ROWS(nombres[])-1,0,1,1))+1),$O1541:$O1560),3),"")</f>
        <v/>
      </c>
      <c r="EJ1541" s="42" t="str">
        <f t="array" aca="1" ref="EJ1541" ca="1">IFERROR(INDEX(nombres[],SMALL(IF(OFFSET(nombres[],0,0,ROWS(nombres[]),1)=EJ$1490,ROW(OFFSET(nombres[],0,0,ROWS(nombres[]),1))-ROW(OFFSET(nombres[],0,0,1,1))+1,ROW(OFFSET(nombres[],ROWS(nombres[])-1,0,1,1))+1),$O1541:$O1560),3),"")</f>
        <v/>
      </c>
      <c r="EK1541" s="42" t="str">
        <f t="array" aca="1" ref="EK1541" ca="1">IFERROR(INDEX(nombres[],SMALL(IF(OFFSET(nombres[],0,0,ROWS(nombres[]),1)=EK$1490,ROW(OFFSET(nombres[],0,0,ROWS(nombres[]),1))-ROW(OFFSET(nombres[],0,0,1,1))+1,ROW(OFFSET(nombres[],ROWS(nombres[])-1,0,1,1))+1),$O1541:$O1560),3),"")</f>
        <v/>
      </c>
      <c r="EL1541" s="42" t="str">
        <f t="array" aca="1" ref="EL1541" ca="1">IFERROR(INDEX(nombres[],SMALL(IF(OFFSET(nombres[],0,0,ROWS(nombres[]),1)=EL$1490,ROW(OFFSET(nombres[],0,0,ROWS(nombres[]),1))-ROW(OFFSET(nombres[],0,0,1,1))+1,ROW(OFFSET(nombres[],ROWS(nombres[])-1,0,1,1))+1),$O1541:$O1560),3),"")</f>
        <v/>
      </c>
      <c r="EM1541" s="42" t="str">
        <f t="array" aca="1" ref="EM1541" ca="1">IFERROR(INDEX(nombres[],SMALL(IF(OFFSET(nombres[],0,0,ROWS(nombres[]),1)=EM$1490,ROW(OFFSET(nombres[],0,0,ROWS(nombres[]),1))-ROW(OFFSET(nombres[],0,0,1,1))+1,ROW(OFFSET(nombres[],ROWS(nombres[])-1,0,1,1))+1),$O1541:$O1560),3),"")</f>
        <v/>
      </c>
      <c r="EN1541" s="42" t="str">
        <f t="array" aca="1" ref="EN1541" ca="1">IFERROR(INDEX(nombres[],SMALL(IF(OFFSET(nombres[],0,0,ROWS(nombres[]),1)=EN$1490,ROW(OFFSET(nombres[],0,0,ROWS(nombres[]),1))-ROW(OFFSET(nombres[],0,0,1,1))+1,ROW(OFFSET(nombres[],ROWS(nombres[])-1,0,1,1))+1),$O1541:$O1560),3),"")</f>
        <v/>
      </c>
      <c r="EO1541" s="42" t="str">
        <f t="array" aca="1" ref="EO1541" ca="1">IFERROR(INDEX(nombres[],SMALL(IF(OFFSET(nombres[],0,0,ROWS(nombres[]),1)=EO$1490,ROW(OFFSET(nombres[],0,0,ROWS(nombres[]),1))-ROW(OFFSET(nombres[],0,0,1,1))+1,ROW(OFFSET(nombres[],ROWS(nombres[])-1,0,1,1))+1),$O1541:$O1560),3),"")</f>
        <v/>
      </c>
      <c r="EP1541" s="42" t="str">
        <f t="array" aca="1" ref="EP1541" ca="1">IFERROR(INDEX(nombres[],SMALL(IF(OFFSET(nombres[],0,0,ROWS(nombres[]),1)=EP$1490,ROW(OFFSET(nombres[],0,0,ROWS(nombres[]),1))-ROW(OFFSET(nombres[],0,0,1,1))+1,ROW(OFFSET(nombres[],ROWS(nombres[])-1,0,1,1))+1),$O1541:$O1560),3),"")</f>
        <v/>
      </c>
      <c r="EQ1541" s="42">
        <f t="array" aca="1" ref="EQ1541" ca="1">IFERROR(INDEX(nombres[],SMALL(IF(OFFSET(nombres[],0,0,ROWS(nombres[]),1)=EQ$1490,ROW(OFFSET(nombres[],0,0,ROWS(nombres[]),1))-ROW(OFFSET(nombres[],0,0,1,1))+1,ROW(OFFSET(nombres[],ROWS(nombres[])-1,0,1,1))+1),$O1541:$O1560),3),"")</f>
        <v>196</v>
      </c>
      <c r="ER1541" s="42" t="str">
        <f t="array" aca="1" ref="ER1541" ca="1">IFERROR(INDEX(nombres[],SMALL(IF(OFFSET(nombres[],0,0,ROWS(nombres[]),1)=ER$1490,ROW(OFFSET(nombres[],0,0,ROWS(nombres[]),1))-ROW(OFFSET(nombres[],0,0,1,1))+1,ROW(OFFSET(nombres[],ROWS(nombres[])-1,0,1,1))+1),$O1541:$O1560),3),"")</f>
        <v/>
      </c>
      <c r="ES1541" s="42" t="str">
        <f t="array" aca="1" ref="ES1541" ca="1">IFERROR(INDEX(nombres[],SMALL(IF(OFFSET(nombres[],0,0,ROWS(nombres[]),1)=ES$1490,ROW(OFFSET(nombres[],0,0,ROWS(nombres[]),1))-ROW(OFFSET(nombres[],0,0,1,1))+1,ROW(OFFSET(nombres[],ROWS(nombres[])-1,0,1,1))+1),$O1541:$O1560),3),"")</f>
        <v/>
      </c>
      <c r="ET1541" s="42" t="str">
        <f t="array" aca="1" ref="ET1541" ca="1">IFERROR(INDEX(nombres[],SMALL(IF(OFFSET(nombres[],0,0,ROWS(nombres[]),1)=ET$1490,ROW(OFFSET(nombres[],0,0,ROWS(nombres[]),1))-ROW(OFFSET(nombres[],0,0,1,1))+1,ROW(OFFSET(nombres[],ROWS(nombres[])-1,0,1,1))+1),$O1541:$O1560),3),"")</f>
        <v/>
      </c>
      <c r="EU1541" s="42" t="str">
        <f t="array" aca="1" ref="EU1541" ca="1">IFERROR(INDEX(nombres[],SMALL(IF(OFFSET(nombres[],0,0,ROWS(nombres[]),1)=EU$1490,ROW(OFFSET(nombres[],0,0,ROWS(nombres[]),1))-ROW(OFFSET(nombres[],0,0,1,1))+1,ROW(OFFSET(nombres[],ROWS(nombres[])-1,0,1,1))+1),$O1541:$O1560),3),"")</f>
        <v/>
      </c>
      <c r="EV1541" s="42" t="str">
        <f t="array" aca="1" ref="EV1541" ca="1">IFERROR(INDEX(nombres[],SMALL(IF(OFFSET(nombres[],0,0,ROWS(nombres[]),1)=EV$1490,ROW(OFFSET(nombres[],0,0,ROWS(nombres[]),1))-ROW(OFFSET(nombres[],0,0,1,1))+1,ROW(OFFSET(nombres[],ROWS(nombres[])-1,0,1,1))+1),$O1541:$O1560),3),"")</f>
        <v/>
      </c>
      <c r="EW1541" s="42" t="str">
        <f t="array" aca="1" ref="EW1541" ca="1">IFERROR(INDEX(nombres[],SMALL(IF(OFFSET(nombres[],0,0,ROWS(nombres[]),1)=EW$1490,ROW(OFFSET(nombres[],0,0,ROWS(nombres[]),1))-ROW(OFFSET(nombres[],0,0,1,1))+1,ROW(OFFSET(nombres[],ROWS(nombres[])-1,0,1,1))+1),$O1541:$O1560),3),"")</f>
        <v/>
      </c>
      <c r="EX1541" s="42" t="str">
        <f t="array" aca="1" ref="EX1541" ca="1">IFERROR(INDEX(nombres[],SMALL(IF(OFFSET(nombres[],0,0,ROWS(nombres[]),1)=EX$1490,ROW(OFFSET(nombres[],0,0,ROWS(nombres[]),1))-ROW(OFFSET(nombres[],0,0,1,1))+1,ROW(OFFSET(nombres[],ROWS(nombres[])-1,0,1,1))+1),$O1541:$O1560),3),"")</f>
        <v/>
      </c>
      <c r="EY1541" s="42" t="str">
        <f t="array" aca="1" ref="EY1541" ca="1">IFERROR(INDEX(nombres[],SMALL(IF(OFFSET(nombres[],0,0,ROWS(nombres[]),1)=EY$1490,ROW(OFFSET(nombres[],0,0,ROWS(nombres[]),1))-ROW(OFFSET(nombres[],0,0,1,1))+1,ROW(OFFSET(nombres[],ROWS(nombres[])-1,0,1,1))+1),$O1541:$O1560),3),"")</f>
        <v/>
      </c>
      <c r="EZ1541" s="42" t="str">
        <f t="array" aca="1" ref="EZ1541" ca="1">IFERROR(INDEX(nombres[],SMALL(IF(OFFSET(nombres[],0,0,ROWS(nombres[]),1)=EZ$1490,ROW(OFFSET(nombres[],0,0,ROWS(nombres[]),1))-ROW(OFFSET(nombres[],0,0,1,1))+1,ROW(OFFSET(nombres[],ROWS(nombres[])-1,0,1,1))+1),$O1541:$O1560),3),"")</f>
        <v/>
      </c>
      <c r="FA1541" s="42">
        <f t="array" aca="1" ref="FA1541" ca="1">IFERROR(INDEX(nombres[],SMALL(IF(OFFSET(nombres[],0,0,ROWS(nombres[]),1)=FA$1490,ROW(OFFSET(nombres[],0,0,ROWS(nombres[]),1))-ROW(OFFSET(nombres[],0,0,1,1))+1,ROW(OFFSET(nombres[],ROWS(nombres[])-1,0,1,1))+1),$O1541:$O1560),3),"")</f>
        <v>212</v>
      </c>
      <c r="FB1541" s="42" t="str">
        <f t="array" aca="1" ref="FB1541" ca="1">IFERROR(INDEX(nombres[],SMALL(IF(OFFSET(nombres[],0,0,ROWS(nombres[]),1)=FB$1490,ROW(OFFSET(nombres[],0,0,ROWS(nombres[]),1))-ROW(OFFSET(nombres[],0,0,1,1))+1,ROW(OFFSET(nombres[],ROWS(nombres[])-1,0,1,1))+1),$O1541:$O1560),3),"")</f>
        <v/>
      </c>
      <c r="FC1541" s="42">
        <f t="array" aca="1" ref="FC1541" ca="1">IFERROR(INDEX(nombres[],SMALL(IF(OFFSET(nombres[],0,0,ROWS(nombres[]),1)=FC$1490,ROW(OFFSET(nombres[],0,0,ROWS(nombres[]),1))-ROW(OFFSET(nombres[],0,0,1,1))+1,ROW(OFFSET(nombres[],ROWS(nombres[])-1,0,1,1))+1),$O1541:$O1560),3),"")</f>
        <v>223</v>
      </c>
      <c r="FD1541" s="42" t="str">
        <f t="array" aca="1" ref="FD1541" ca="1">IFERROR(INDEX(nombres[],SMALL(IF(OFFSET(nombres[],0,0,ROWS(nombres[]),1)=FD$1490,ROW(OFFSET(nombres[],0,0,ROWS(nombres[]),1))-ROW(OFFSET(nombres[],0,0,1,1))+1,ROW(OFFSET(nombres[],ROWS(nombres[])-1,0,1,1))+1),$O1541:$O1560),3),"")</f>
        <v/>
      </c>
      <c r="FE1541" s="42">
        <f t="array" aca="1" ref="FE1541" ca="1">IFERROR(INDEX(nombres[],SMALL(IF(OFFSET(nombres[],0,0,ROWS(nombres[]),1)=FE$1490,ROW(OFFSET(nombres[],0,0,ROWS(nombres[]),1))-ROW(OFFSET(nombres[],0,0,1,1))+1,ROW(OFFSET(nombres[],ROWS(nombres[])-1,0,1,1))+1),$O1541:$O1560),3),"")</f>
        <v>216</v>
      </c>
      <c r="FF1541" s="42" t="str">
        <f t="array" aca="1" ref="FF1541" ca="1">IFERROR(INDEX(nombres[],SMALL(IF(OFFSET(nombres[],0,0,ROWS(nombres[]),1)=FF$1490,ROW(OFFSET(nombres[],0,0,ROWS(nombres[]),1))-ROW(OFFSET(nombres[],0,0,1,1))+1,ROW(OFFSET(nombres[],ROWS(nombres[])-1,0,1,1))+1),$O1541:$O1560),3),"")</f>
        <v/>
      </c>
      <c r="FG1541" s="42" t="str">
        <f t="array" aca="1" ref="FG1541" ca="1">IFERROR(INDEX(nombres[],SMALL(IF(OFFSET(nombres[],0,0,ROWS(nombres[]),1)=FG$1490,ROW(OFFSET(nombres[],0,0,ROWS(nombres[]),1))-ROW(OFFSET(nombres[],0,0,1,1))+1,ROW(OFFSET(nombres[],ROWS(nombres[])-1,0,1,1))+1),$O1541:$O1560),3),"")</f>
        <v/>
      </c>
      <c r="FH1541" s="42" t="str">
        <f t="array" aca="1" ref="FH1541" ca="1">IFERROR(INDEX(nombres[],SMALL(IF(OFFSET(nombres[],0,0,ROWS(nombres[]),1)=FH$1490,ROW(OFFSET(nombres[],0,0,ROWS(nombres[]),1))-ROW(OFFSET(nombres[],0,0,1,1))+1,ROW(OFFSET(nombres[],ROWS(nombres[])-1,0,1,1))+1),$O1541:$O1560),3),"")</f>
        <v/>
      </c>
      <c r="FI1541" s="42">
        <f t="array" aca="1" ref="FI1541" ca="1">IFERROR(INDEX(nombres[],SMALL(IF(OFFSET(nombres[],0,0,ROWS(nombres[]),1)=FI$1490,ROW(OFFSET(nombres[],0,0,ROWS(nombres[]),1))-ROW(OFFSET(nombres[],0,0,1,1))+1,ROW(OFFSET(nombres[],ROWS(nombres[])-1,0,1,1))+1),$O1541:$O1560),3),"")</f>
        <v>239</v>
      </c>
      <c r="FJ1541" s="42">
        <f t="array" aca="1" ref="FJ1541" ca="1">IFERROR(INDEX(nombres[],SMALL(IF(OFFSET(nombres[],0,0,ROWS(nombres[]),1)=FJ$1490,ROW(OFFSET(nombres[],0,0,ROWS(nombres[]),1))-ROW(OFFSET(nombres[],0,0,1,1))+1,ROW(OFFSET(nombres[],ROWS(nombres[])-1,0,1,1))+1),$O1541:$O1560),3),"")</f>
        <v>296</v>
      </c>
      <c r="FK1541" s="42">
        <f t="array" aca="1" ref="FK1541" ca="1">IFERROR(INDEX(nombres[],SMALL(IF(OFFSET(nombres[],0,0,ROWS(nombres[]),1)=FK$1490,ROW(OFFSET(nombres[],0,0,ROWS(nombres[]),1))-ROW(OFFSET(nombres[],0,0,1,1))+1,ROW(OFFSET(nombres[],ROWS(nombres[])-1,0,1,1))+1),$O1541:$O1560),3),"")</f>
        <v>549</v>
      </c>
      <c r="FL1541" s="42">
        <f t="array" aca="1" ref="FL1541" ca="1">IFERROR(INDEX(nombres[],SMALL(IF(OFFSET(nombres[],0,0,ROWS(nombres[]),1)=FL$1490,ROW(OFFSET(nombres[],0,0,ROWS(nombres[]),1))-ROW(OFFSET(nombres[],0,0,1,1))+1,ROW(OFFSET(nombres[],ROWS(nombres[])-1,0,1,1))+1),$O1541:$O1560),3),"")</f>
        <v>288</v>
      </c>
      <c r="FM1541" s="42" t="str">
        <f t="array" aca="1" ref="FM1541" ca="1">IFERROR(INDEX(nombres[],SMALL(IF(OFFSET(nombres[],0,0,ROWS(nombres[]),1)=FM$1490,ROW(OFFSET(nombres[],0,0,ROWS(nombres[]),1))-ROW(OFFSET(nombres[],0,0,1,1))+1,ROW(OFFSET(nombres[],ROWS(nombres[])-1,0,1,1))+1),$O1541:$O1560),3),"")</f>
        <v/>
      </c>
      <c r="FN1541" s="42" t="str">
        <f t="array" aca="1" ref="FN1541" ca="1">IFERROR(INDEX(nombres[],SMALL(IF(OFFSET(nombres[],0,0,ROWS(nombres[]),1)=FN$1490,ROW(OFFSET(nombres[],0,0,ROWS(nombres[]),1))-ROW(OFFSET(nombres[],0,0,1,1))+1,ROW(OFFSET(nombres[],ROWS(nombres[])-1,0,1,1))+1),$O1541:$O1560),3),"")</f>
        <v/>
      </c>
      <c r="FO1541" s="42" t="str">
        <f t="array" aca="1" ref="FO1541" ca="1">IFERROR(INDEX(nombres[],SMALL(IF(OFFSET(nombres[],0,0,ROWS(nombres[]),1)=FO$1490,ROW(OFFSET(nombres[],0,0,ROWS(nombres[]),1))-ROW(OFFSET(nombres[],0,0,1,1))+1,ROW(OFFSET(nombres[],ROWS(nombres[])-1,0,1,1))+1),$O1541:$O1560),3),"")</f>
        <v/>
      </c>
      <c r="FP1541" s="42" t="str">
        <f t="array" aca="1" ref="FP1541" ca="1">IFERROR(INDEX(nombres[],SMALL(IF(OFFSET(nombres[],0,0,ROWS(nombres[]),1)=FP$1490,ROW(OFFSET(nombres[],0,0,ROWS(nombres[]),1))-ROW(OFFSET(nombres[],0,0,1,1))+1,ROW(OFFSET(nombres[],ROWS(nombres[])-1,0,1,1))+1),$O1541:$O1560),3),"")</f>
        <v/>
      </c>
      <c r="FQ1541" s="42" t="str">
        <f t="array" aca="1" ref="FQ1541" ca="1">IFERROR(INDEX(nombres[],SMALL(IF(OFFSET(nombres[],0,0,ROWS(nombres[]),1)=FQ$1490,ROW(OFFSET(nombres[],0,0,ROWS(nombres[]),1))-ROW(OFFSET(nombres[],0,0,1,1))+1,ROW(OFFSET(nombres[],ROWS(nombres[])-1,0,1,1))+1),$O1541:$O1560),3),"")</f>
        <v/>
      </c>
      <c r="FR1541" s="42" t="str">
        <f t="array" aca="1" ref="FR1541" ca="1">IFERROR(INDEX(nombres[],SMALL(IF(OFFSET(nombres[],0,0,ROWS(nombres[]),1)=FR$1490,ROW(OFFSET(nombres[],0,0,ROWS(nombres[]),1))-ROW(OFFSET(nombres[],0,0,1,1))+1,ROW(OFFSET(nombres[],ROWS(nombres[])-1,0,1,1))+1),$O1541:$O1560),3),"")</f>
        <v/>
      </c>
      <c r="FS1541" s="42" t="str">
        <f t="array" aca="1" ref="FS1541" ca="1">IFERROR(INDEX(nombres[],SMALL(IF(OFFSET(nombres[],0,0,ROWS(nombres[]),1)=FS$1490,ROW(OFFSET(nombres[],0,0,ROWS(nombres[]),1))-ROW(OFFSET(nombres[],0,0,1,1))+1,ROW(OFFSET(nombres[],ROWS(nombres[])-1,0,1,1))+1),$O1541:$O1560),3),"")</f>
        <v/>
      </c>
      <c r="FT1541" s="42" t="str">
        <f t="array" aca="1" ref="FT1541" ca="1">IFERROR(INDEX(nombres[],SMALL(IF(OFFSET(nombres[],0,0,ROWS(nombres[]),1)=FT$1490,ROW(OFFSET(nombres[],0,0,ROWS(nombres[]),1))-ROW(OFFSET(nombres[],0,0,1,1))+1,ROW(OFFSET(nombres[],ROWS(nombres[])-1,0,1,1))+1),$O1541:$O1560),3),"")</f>
        <v/>
      </c>
      <c r="FU1541" s="42" t="str">
        <f t="array" aca="1" ref="FU1541" ca="1">IFERROR(INDEX(nombres[],SMALL(IF(OFFSET(nombres[],0,0,ROWS(nombres[]),1)=FU$1490,ROW(OFFSET(nombres[],0,0,ROWS(nombres[]),1))-ROW(OFFSET(nombres[],0,0,1,1))+1,ROW(OFFSET(nombres[],ROWS(nombres[])-1,0,1,1))+1),$O1541:$O1560),3),"")</f>
        <v/>
      </c>
      <c r="FV1541" s="42" t="str">
        <f t="array" aca="1" ref="FV1541" ca="1">IFERROR(INDEX(nombres[],SMALL(IF(OFFSET(nombres[],0,0,ROWS(nombres[]),1)=FV$1490,ROW(OFFSET(nombres[],0,0,ROWS(nombres[]),1))-ROW(OFFSET(nombres[],0,0,1,1))+1,ROW(OFFSET(nombres[],ROWS(nombres[])-1,0,1,1))+1),$O1541:$O1560),3),"")</f>
        <v/>
      </c>
      <c r="FW1541" s="42" t="str">
        <f t="array" aca="1" ref="FW1541" ca="1">IFERROR(INDEX(nombres[],SMALL(IF(OFFSET(nombres[],0,0,ROWS(nombres[]),1)=FW$1490,ROW(OFFSET(nombres[],0,0,ROWS(nombres[]),1))-ROW(OFFSET(nombres[],0,0,1,1))+1,ROW(OFFSET(nombres[],ROWS(nombres[])-1,0,1,1))+1),$O1541:$O1560),3),"")</f>
        <v/>
      </c>
      <c r="FX1541" s="42" t="str">
        <f t="array" aca="1" ref="FX1541" ca="1">IFERROR(INDEX(nombres[],SMALL(IF(OFFSET(nombres[],0,0,ROWS(nombres[]),1)=FX$1490,ROW(OFFSET(nombres[],0,0,ROWS(nombres[]),1))-ROW(OFFSET(nombres[],0,0,1,1))+1,ROW(OFFSET(nombres[],ROWS(nombres[])-1,0,1,1))+1),$O1541:$O1560),3),"")</f>
        <v/>
      </c>
      <c r="FY1541" s="42" t="str">
        <f t="array" aca="1" ref="FY1541" ca="1">IFERROR(INDEX(nombres[],SMALL(IF(OFFSET(nombres[],0,0,ROWS(nombres[]),1)=FY$1490,ROW(OFFSET(nombres[],0,0,ROWS(nombres[]),1))-ROW(OFFSET(nombres[],0,0,1,1))+1,ROW(OFFSET(nombres[],ROWS(nombres[])-1,0,1,1))+1),$O1541:$O1560),3),"")</f>
        <v/>
      </c>
      <c r="FZ1541" s="42" t="str">
        <f t="array" aca="1" ref="FZ1541" ca="1">IFERROR(INDEX(nombres[],SMALL(IF(OFFSET(nombres[],0,0,ROWS(nombres[]),1)=FZ$1490,ROW(OFFSET(nombres[],0,0,ROWS(nombres[]),1))-ROW(OFFSET(nombres[],0,0,1,1))+1,ROW(OFFSET(nombres[],ROWS(nombres[])-1,0,1,1))+1),$O1541:$O1560),3),"")</f>
        <v/>
      </c>
      <c r="GA1541" s="42" t="str">
        <f t="array" aca="1" ref="GA1541" ca="1">IFERROR(INDEX(nombres[],SMALL(IF(OFFSET(nombres[],0,0,ROWS(nombres[]),1)=GA$1490,ROW(OFFSET(nombres[],0,0,ROWS(nombres[]),1))-ROW(OFFSET(nombres[],0,0,1,1))+1,ROW(OFFSET(nombres[],ROWS(nombres[])-1,0,1,1))+1),$O1541:$O1560),3),"")</f>
        <v/>
      </c>
      <c r="GB1541" s="42" t="str">
        <f t="array" aca="1" ref="GB1541" ca="1">IFERROR(INDEX(nombres[],SMALL(IF(OFFSET(nombres[],0,0,ROWS(nombres[]),1)=GB$1490,ROW(OFFSET(nombres[],0,0,ROWS(nombres[]),1))-ROW(OFFSET(nombres[],0,0,1,1))+1,ROW(OFFSET(nombres[],ROWS(nombres[])-1,0,1,1))+1),$O1541:$O1560),3),"")</f>
        <v/>
      </c>
      <c r="GC1541" s="42">
        <f t="array" aca="1" ref="GC1541" ca="1">IFERROR(INDEX(nombres[],SMALL(IF(OFFSET(nombres[],0,0,ROWS(nombres[]),1)=GC$1490,ROW(OFFSET(nombres[],0,0,ROWS(nombres[]),1))-ROW(OFFSET(nombres[],0,0,1,1))+1,ROW(OFFSET(nombres[],ROWS(nombres[])-1,0,1,1))+1),$O1541:$O1560),3),"")</f>
        <v>301</v>
      </c>
      <c r="GD1541" s="42" t="str">
        <f t="array" aca="1" ref="GD1541" ca="1">IFERROR(INDEX(nombres[],SMALL(IF(OFFSET(nombres[],0,0,ROWS(nombres[]),1)=GD$1490,ROW(OFFSET(nombres[],0,0,ROWS(nombres[]),1))-ROW(OFFSET(nombres[],0,0,1,1))+1,ROW(OFFSET(nombres[],ROWS(nombres[])-1,0,1,1))+1),$O1541:$O1560),3),"")</f>
        <v/>
      </c>
      <c r="GE1541" s="42" t="str">
        <f t="array" aca="1" ref="GE1541" ca="1">IFERROR(INDEX(nombres[],SMALL(IF(OFFSET(nombres[],0,0,ROWS(nombres[]),1)=GE$1490,ROW(OFFSET(nombres[],0,0,ROWS(nombres[]),1))-ROW(OFFSET(nombres[],0,0,1,1))+1,ROW(OFFSET(nombres[],ROWS(nombres[])-1,0,1,1))+1),$O1541:$O1560),3),"")</f>
        <v/>
      </c>
      <c r="GF1541" s="42">
        <f t="array" aca="1" ref="GF1541" ca="1">IFERROR(INDEX(nombres[],SMALL(IF(OFFSET(nombres[],0,0,ROWS(nombres[]),1)=GF$1490,ROW(OFFSET(nombres[],0,0,ROWS(nombres[]),1))-ROW(OFFSET(nombres[],0,0,1,1))+1,ROW(OFFSET(nombres[],ROWS(nombres[])-1,0,1,1))+1),$O1541:$O1560),3),"")</f>
        <v>250</v>
      </c>
      <c r="GG1541" s="42">
        <f t="array" aca="1" ref="GG1541" ca="1">IFERROR(INDEX(nombres[],SMALL(IF(OFFSET(nombres[],0,0,ROWS(nombres[]),1)=GG$1490,ROW(OFFSET(nombres[],0,0,ROWS(nombres[]),1))-ROW(OFFSET(nombres[],0,0,1,1))+1,ROW(OFFSET(nombres[],ROWS(nombres[])-1,0,1,1))+1),$O1541:$O1560),3),"")</f>
        <v>257</v>
      </c>
      <c r="GH1541" s="42" t="str">
        <f t="array" aca="1" ref="GH1541" ca="1">IFERROR(INDEX(nombres[],SMALL(IF(OFFSET(nombres[],0,0,ROWS(nombres[]),1)=GH$1490,ROW(OFFSET(nombres[],0,0,ROWS(nombres[]),1))-ROW(OFFSET(nombres[],0,0,1,1))+1,ROW(OFFSET(nombres[],ROWS(nombres[])-1,0,1,1))+1),$O1541:$O1560),3),"")</f>
        <v/>
      </c>
      <c r="GI1541" s="42">
        <f t="array" aca="1" ref="GI1541" ca="1">IFERROR(INDEX(nombres[],SMALL(IF(OFFSET(nombres[],0,0,ROWS(nombres[]),1)=GI$1490,ROW(OFFSET(nombres[],0,0,ROWS(nombres[]),1))-ROW(OFFSET(nombres[],0,0,1,1))+1,ROW(OFFSET(nombres[],ROWS(nombres[])-1,0,1,1))+1),$O1541:$O1560),3),"")</f>
        <v>266</v>
      </c>
      <c r="GJ1541" s="42" t="str">
        <f t="array" aca="1" ref="GJ1541" ca="1">IFERROR(INDEX(nombres[],SMALL(IF(OFFSET(nombres[],0,0,ROWS(nombres[]),1)=GJ$1490,ROW(OFFSET(nombres[],0,0,ROWS(nombres[]),1))-ROW(OFFSET(nombres[],0,0,1,1))+1,ROW(OFFSET(nombres[],ROWS(nombres[])-1,0,1,1))+1),$O1541:$O1560),3),"")</f>
        <v/>
      </c>
      <c r="GK1541" s="42" t="str">
        <f t="array" aca="1" ref="GK1541" ca="1">IFERROR(INDEX(nombres[],SMALL(IF(OFFSET(nombres[],0,0,ROWS(nombres[]),1)=GK$1490,ROW(OFFSET(nombres[],0,0,ROWS(nombres[]),1))-ROW(OFFSET(nombres[],0,0,1,1))+1,ROW(OFFSET(nombres[],ROWS(nombres[])-1,0,1,1))+1),$O1541:$O1560),3),"")</f>
        <v/>
      </c>
      <c r="GL1541" s="42" t="str">
        <f t="array" aca="1" ref="GL1541" ca="1">IFERROR(INDEX(nombres[],SMALL(IF(OFFSET(nombres[],0,0,ROWS(nombres[]),1)=GL$1490,ROW(OFFSET(nombres[],0,0,ROWS(nombres[]),1))-ROW(OFFSET(nombres[],0,0,1,1))+1,ROW(OFFSET(nombres[],ROWS(nombres[])-1,0,1,1))+1),$O1541:$O1560),3),"")</f>
        <v/>
      </c>
      <c r="GM1541" s="42" t="str">
        <f t="array" aca="1" ref="GM1541" ca="1">IFERROR(INDEX(nombres[],SMALL(IF(OFFSET(nombres[],0,0,ROWS(nombres[]),1)=GM$1490,ROW(OFFSET(nombres[],0,0,ROWS(nombres[]),1))-ROW(OFFSET(nombres[],0,0,1,1))+1,ROW(OFFSET(nombres[],ROWS(nombres[])-1,0,1,1))+1),$O1541:$O1560),3),"")</f>
        <v/>
      </c>
      <c r="GN1541" s="42" t="str">
        <f t="array" aca="1" ref="GN1541" ca="1">IFERROR(INDEX(nombres[],SMALL(IF(OFFSET(nombres[],0,0,ROWS(nombres[]),1)=GN$1490,ROW(OFFSET(nombres[],0,0,ROWS(nombres[]),1))-ROW(OFFSET(nombres[],0,0,1,1))+1,ROW(OFFSET(nombres[],ROWS(nombres[])-1,0,1,1))+1),$O1541:$O1560),3),"")</f>
        <v/>
      </c>
      <c r="GO1541" s="42" t="str">
        <f t="array" aca="1" ref="GO1541" ca="1">IFERROR(INDEX(nombres[],SMALL(IF(OFFSET(nombres[],0,0,ROWS(nombres[]),1)=GO$1490,ROW(OFFSET(nombres[],0,0,ROWS(nombres[]),1))-ROW(OFFSET(nombres[],0,0,1,1))+1,ROW(OFFSET(nombres[],ROWS(nombres[])-1,0,1,1))+1),$O1541:$O1560),3),"")</f>
        <v/>
      </c>
      <c r="GP1541" s="42" t="str">
        <f t="array" aca="1" ref="GP1541" ca="1">IFERROR(INDEX(nombres[],SMALL(IF(OFFSET(nombres[],0,0,ROWS(nombres[]),1)=GP$1490,ROW(OFFSET(nombres[],0,0,ROWS(nombres[]),1))-ROW(OFFSET(nombres[],0,0,1,1))+1,ROW(OFFSET(nombres[],ROWS(nombres[])-1,0,1,1))+1),$O1541:$O1560),3),"")</f>
        <v/>
      </c>
      <c r="GQ1541" s="42" t="str">
        <f t="array" aca="1" ref="GQ1541" ca="1">IFERROR(INDEX(nombres[],SMALL(IF(OFFSET(nombres[],0,0,ROWS(nombres[]),1)=GQ$1490,ROW(OFFSET(nombres[],0,0,ROWS(nombres[]),1))-ROW(OFFSET(nombres[],0,0,1,1))+1,ROW(OFFSET(nombres[],ROWS(nombres[])-1,0,1,1))+1),$O1541:$O1560),3),"")</f>
        <v/>
      </c>
      <c r="GR1541" s="42" t="str">
        <f t="array" aca="1" ref="GR1541" ca="1">IFERROR(INDEX(nombres[],SMALL(IF(OFFSET(nombres[],0,0,ROWS(nombres[]),1)=GR$1490,ROW(OFFSET(nombres[],0,0,ROWS(nombres[]),1))-ROW(OFFSET(nombres[],0,0,1,1))+1,ROW(OFFSET(nombres[],ROWS(nombres[])-1,0,1,1))+1),$O1541:$O1560),3),"")</f>
        <v/>
      </c>
      <c r="GS1541" s="42">
        <f t="array" aca="1" ref="GS1541" ca="1">IFERROR(INDEX(nombres[],SMALL(IF(OFFSET(nombres[],0,0,ROWS(nombres[]),1)=GS$1490,ROW(OFFSET(nombres[],0,0,ROWS(nombres[]),1))-ROW(OFFSET(nombres[],0,0,1,1))+1,ROW(OFFSET(nombres[],ROWS(nombres[])-1,0,1,1))+1),$O1541:$O1560),3),"")</f>
        <v>330</v>
      </c>
      <c r="GT1541" s="42" t="str">
        <f t="array" aca="1" ref="GT1541" ca="1">IFERROR(INDEX(nombres[],SMALL(IF(OFFSET(nombres[],0,0,ROWS(nombres[]),1)=GT$1490,ROW(OFFSET(nombres[],0,0,ROWS(nombres[]),1))-ROW(OFFSET(nombres[],0,0,1,1))+1,ROW(OFFSET(nombres[],ROWS(nombres[])-1,0,1,1))+1),$O1541:$O1560),3),"")</f>
        <v/>
      </c>
      <c r="GU1541" s="42" t="str">
        <f t="array" aca="1" ref="GU1541" ca="1">IFERROR(INDEX(nombres[],SMALL(IF(OFFSET(nombres[],0,0,ROWS(nombres[]),1)=GU$1490,ROW(OFFSET(nombres[],0,0,ROWS(nombres[]),1))-ROW(OFFSET(nombres[],0,0,1,1))+1,ROW(OFFSET(nombres[],ROWS(nombres[])-1,0,1,1))+1),$O1541:$O1560),3),"")</f>
        <v/>
      </c>
      <c r="GV1541" s="42">
        <f t="array" aca="1" ref="GV1541" ca="1">IFERROR(INDEX(nombres[],SMALL(IF(OFFSET(nombres[],0,0,ROWS(nombres[]),1)=GV$1490,ROW(OFFSET(nombres[],0,0,ROWS(nombres[]),1))-ROW(OFFSET(nombres[],0,0,1,1))+1,ROW(OFFSET(nombres[],ROWS(nombres[])-1,0,1,1))+1),$O1541:$O1560),3),"")</f>
        <v>341</v>
      </c>
      <c r="GW1541" s="42" t="str">
        <f t="array" aca="1" ref="GW1541" ca="1">IFERROR(INDEX(nombres[],SMALL(IF(OFFSET(nombres[],0,0,ROWS(nombres[]),1)=GW$1490,ROW(OFFSET(nombres[],0,0,ROWS(nombres[]),1))-ROW(OFFSET(nombres[],0,0,1,1))+1,ROW(OFFSET(nombres[],ROWS(nombres[])-1,0,1,1))+1),$O1541:$O1560),3),"")</f>
        <v/>
      </c>
      <c r="GX1541" s="42" t="str">
        <f t="array" aca="1" ref="GX1541" ca="1">IFERROR(INDEX(nombres[],SMALL(IF(OFFSET(nombres[],0,0,ROWS(nombres[]),1)=GX$1490,ROW(OFFSET(nombres[],0,0,ROWS(nombres[]),1))-ROW(OFFSET(nombres[],0,0,1,1))+1,ROW(OFFSET(nombres[],ROWS(nombres[])-1,0,1,1))+1),$O1541:$O1560),3),"")</f>
        <v/>
      </c>
      <c r="GY1541" s="42" t="str">
        <f t="array" aca="1" ref="GY1541" ca="1">IFERROR(INDEX(nombres[],SMALL(IF(OFFSET(nombres[],0,0,ROWS(nombres[]),1)=GY$1490,ROW(OFFSET(nombres[],0,0,ROWS(nombres[]),1))-ROW(OFFSET(nombres[],0,0,1,1))+1,ROW(OFFSET(nombres[],ROWS(nombres[])-1,0,1,1))+1),$O1541:$O1560),3),"")</f>
        <v/>
      </c>
      <c r="GZ1541" s="42" t="str">
        <f t="array" aca="1" ref="GZ1541" ca="1">IFERROR(INDEX(nombres[],SMALL(IF(OFFSET(nombres[],0,0,ROWS(nombres[]),1)=GZ$1490,ROW(OFFSET(nombres[],0,0,ROWS(nombres[]),1))-ROW(OFFSET(nombres[],0,0,1,1))+1,ROW(OFFSET(nombres[],ROWS(nombres[])-1,0,1,1))+1),$O1541:$O1560),3),"")</f>
        <v/>
      </c>
      <c r="HA1541" s="42" t="str">
        <f t="array" aca="1" ref="HA1541" ca="1">IFERROR(INDEX(nombres[],SMALL(IF(OFFSET(nombres[],0,0,ROWS(nombres[]),1)=HA$1490,ROW(OFFSET(nombres[],0,0,ROWS(nombres[]),1))-ROW(OFFSET(nombres[],0,0,1,1))+1,ROW(OFFSET(nombres[],ROWS(nombres[])-1,0,1,1))+1),$O1541:$O1560),3),"")</f>
        <v/>
      </c>
      <c r="HB1541" s="42" t="str">
        <f t="array" aca="1" ref="HB1541" ca="1">IFERROR(INDEX(nombres[],SMALL(IF(OFFSET(nombres[],0,0,ROWS(nombres[]),1)=HB$1490,ROW(OFFSET(nombres[],0,0,ROWS(nombres[]),1))-ROW(OFFSET(nombres[],0,0,1,1))+1,ROW(OFFSET(nombres[],ROWS(nombres[])-1,0,1,1))+1),$O1541:$O1560),3),"")</f>
        <v/>
      </c>
      <c r="HC1541" s="42" t="str">
        <f t="array" aca="1" ref="HC1541" ca="1">IFERROR(INDEX(nombres[],SMALL(IF(OFFSET(nombres[],0,0,ROWS(nombres[]),1)=HC$1490,ROW(OFFSET(nombres[],0,0,ROWS(nombres[]),1))-ROW(OFFSET(nombres[],0,0,1,1))+1,ROW(OFFSET(nombres[],ROWS(nombres[])-1,0,1,1))+1),$O1541:$O1560),3),"")</f>
        <v/>
      </c>
      <c r="HD1541" s="42">
        <f t="array" aca="1" ref="HD1541" ca="1">IFERROR(INDEX(nombres[],SMALL(IF(OFFSET(nombres[],0,0,ROWS(nombres[]),1)=HD$1490,ROW(OFFSET(nombres[],0,0,ROWS(nombres[]),1))-ROW(OFFSET(nombres[],0,0,1,1))+1,ROW(OFFSET(nombres[],ROWS(nombres[])-1,0,1,1))+1),$O1541:$O1560),3),"")</f>
        <v>366</v>
      </c>
      <c r="HE1541" s="42" t="str">
        <f t="array" aca="1" ref="HE1541" ca="1">IFERROR(INDEX(nombres[],SMALL(IF(OFFSET(nombres[],0,0,ROWS(nombres[]),1)=HE$1490,ROW(OFFSET(nombres[],0,0,ROWS(nombres[]),1))-ROW(OFFSET(nombres[],0,0,1,1))+1,ROW(OFFSET(nombres[],ROWS(nombres[])-1,0,1,1))+1),$O1541:$O1560),3),"")</f>
        <v/>
      </c>
      <c r="HF1541" s="42" t="str">
        <f t="array" aca="1" ref="HF1541" ca="1">IFERROR(INDEX(nombres[],SMALL(IF(OFFSET(nombres[],0,0,ROWS(nombres[]),1)=HF$1490,ROW(OFFSET(nombres[],0,0,ROWS(nombres[]),1))-ROW(OFFSET(nombres[],0,0,1,1))+1,ROW(OFFSET(nombres[],ROWS(nombres[])-1,0,1,1))+1),$O1541:$O1560),3),"")</f>
        <v/>
      </c>
      <c r="HG1541" s="42" t="str">
        <f t="array" aca="1" ref="HG1541" ca="1">IFERROR(INDEX(nombres[],SMALL(IF(OFFSET(nombres[],0,0,ROWS(nombres[]),1)=HG$1490,ROW(OFFSET(nombres[],0,0,ROWS(nombres[]),1))-ROW(OFFSET(nombres[],0,0,1,1))+1,ROW(OFFSET(nombres[],ROWS(nombres[])-1,0,1,1))+1),$O1541:$O1560),3),"")</f>
        <v/>
      </c>
      <c r="HH1541" s="42" t="str">
        <f t="array" aca="1" ref="HH1541" ca="1">IFERROR(INDEX(nombres[],SMALL(IF(OFFSET(nombres[],0,0,ROWS(nombres[]),1)=HH$1490,ROW(OFFSET(nombres[],0,0,ROWS(nombres[]),1))-ROW(OFFSET(nombres[],0,0,1,1))+1,ROW(OFFSET(nombres[],ROWS(nombres[])-1,0,1,1))+1),$O1541:$O1560),3),"")</f>
        <v/>
      </c>
      <c r="HI1541" s="42" t="str">
        <f t="array" aca="1" ref="HI1541" ca="1">IFERROR(INDEX(nombres[],SMALL(IF(OFFSET(nombres[],0,0,ROWS(nombres[]),1)=HI$1490,ROW(OFFSET(nombres[],0,0,ROWS(nombres[]),1))-ROW(OFFSET(nombres[],0,0,1,1))+1,ROW(OFFSET(nombres[],ROWS(nombres[])-1,0,1,1))+1),$O1541:$O1560),3),"")</f>
        <v/>
      </c>
      <c r="HJ1541" s="42" t="str">
        <f t="array" aca="1" ref="HJ1541" ca="1">IFERROR(INDEX(nombres[],SMALL(IF(OFFSET(nombres[],0,0,ROWS(nombres[]),1)=HJ$1490,ROW(OFFSET(nombres[],0,0,ROWS(nombres[]),1))-ROW(OFFSET(nombres[],0,0,1,1))+1,ROW(OFFSET(nombres[],ROWS(nombres[])-1,0,1,1))+1),$O1541:$O1560),3),"")</f>
        <v/>
      </c>
      <c r="HK1541" s="42" t="str">
        <f t="array" aca="1" ref="HK1541" ca="1">IFERROR(INDEX(nombres[],SMALL(IF(OFFSET(nombres[],0,0,ROWS(nombres[]),1)=HK$1490,ROW(OFFSET(nombres[],0,0,ROWS(nombres[]),1))-ROW(OFFSET(nombres[],0,0,1,1))+1,ROW(OFFSET(nombres[],ROWS(nombres[])-1,0,1,1))+1),$O1541:$O1560),3),"")</f>
        <v/>
      </c>
      <c r="HL1541" s="42" t="str">
        <f t="array" aca="1" ref="HL1541" ca="1">IFERROR(INDEX(nombres[],SMALL(IF(OFFSET(nombres[],0,0,ROWS(nombres[]),1)=HL$1490,ROW(OFFSET(nombres[],0,0,ROWS(nombres[]),1))-ROW(OFFSET(nombres[],0,0,1,1))+1,ROW(OFFSET(nombres[],ROWS(nombres[])-1,0,1,1))+1),$O1541:$O1560),3),"")</f>
        <v/>
      </c>
      <c r="HM1541" s="42">
        <f t="array" aca="1" ref="HM1541" ca="1">IFERROR(INDEX(nombres[],SMALL(IF(OFFSET(nombres[],0,0,ROWS(nombres[]),1)=HM$1490,ROW(OFFSET(nombres[],0,0,ROWS(nombres[]),1))-ROW(OFFSET(nombres[],0,0,1,1))+1,ROW(OFFSET(nombres[],ROWS(nombres[])-1,0,1,1))+1),$O1541:$O1560),3),"")</f>
        <v>352</v>
      </c>
      <c r="HN1541" s="42" t="str">
        <f t="array" aca="1" ref="HN1541" ca="1">IFERROR(INDEX(nombres[],SMALL(IF(OFFSET(nombres[],0,0,ROWS(nombres[]),1)=HN$1490,ROW(OFFSET(nombres[],0,0,ROWS(nombres[]),1))-ROW(OFFSET(nombres[],0,0,1,1))+1,ROW(OFFSET(nombres[],ROWS(nombres[])-1,0,1,1))+1),$O1541:$O1560),3),"")</f>
        <v/>
      </c>
      <c r="HO1541" s="42" t="str">
        <f t="array" aca="1" ref="HO1541" ca="1">IFERROR(INDEX(nombres[],SMALL(IF(OFFSET(nombres[],0,0,ROWS(nombres[]),1)=HO$1490,ROW(OFFSET(nombres[],0,0,ROWS(nombres[]),1))-ROW(OFFSET(nombres[],0,0,1,1))+1,ROW(OFFSET(nombres[],ROWS(nombres[])-1,0,1,1))+1),$O1541:$O1560),3),"")</f>
        <v/>
      </c>
      <c r="HP1541" s="42">
        <f t="array" aca="1" ref="HP1541" ca="1">IFERROR(INDEX(nombres[],SMALL(IF(OFFSET(nombres[],0,0,ROWS(nombres[]),1)=HP$1490,ROW(OFFSET(nombres[],0,0,ROWS(nombres[]),1))-ROW(OFFSET(nombres[],0,0,1,1))+1,ROW(OFFSET(nombres[],ROWS(nombres[])-1,0,1,1))+1),$O1541:$O1560),3),"")</f>
        <v>380</v>
      </c>
      <c r="HQ1541" s="42" t="str">
        <f t="array" aca="1" ref="HQ1541" ca="1">IFERROR(INDEX(nombres[],SMALL(IF(OFFSET(nombres[],0,0,ROWS(nombres[]),1)=HQ$1490,ROW(OFFSET(nombres[],0,0,ROWS(nombres[]),1))-ROW(OFFSET(nombres[],0,0,1,1))+1,ROW(OFFSET(nombres[],ROWS(nombres[])-1,0,1,1))+1),$O1541:$O1560),3),"")</f>
        <v/>
      </c>
      <c r="HR1541" s="42" t="str">
        <f t="array" aca="1" ref="HR1541" ca="1">IFERROR(INDEX(nombres[],SMALL(IF(OFFSET(nombres[],0,0,ROWS(nombres[]),1)=HR$1490,ROW(OFFSET(nombres[],0,0,ROWS(nombres[]),1))-ROW(OFFSET(nombres[],0,0,1,1))+1,ROW(OFFSET(nombres[],ROWS(nombres[])-1,0,1,1))+1),$O1541:$O1560),3),"")</f>
        <v/>
      </c>
      <c r="HS1541" s="42" t="str">
        <f t="array" aca="1" ref="HS1541" ca="1">IFERROR(INDEX(nombres[],SMALL(IF(OFFSET(nombres[],0,0,ROWS(nombres[]),1)=HS$1490,ROW(OFFSET(nombres[],0,0,ROWS(nombres[]),1))-ROW(OFFSET(nombres[],0,0,1,1))+1,ROW(OFFSET(nombres[],ROWS(nombres[])-1,0,1,1))+1),$O1541:$O1560),3),"")</f>
        <v/>
      </c>
      <c r="HT1541" s="42" t="str">
        <f t="array" aca="1" ref="HT1541" ca="1">IFERROR(INDEX(nombres[],SMALL(IF(OFFSET(nombres[],0,0,ROWS(nombres[]),1)=HT$1490,ROW(OFFSET(nombres[],0,0,ROWS(nombres[]),1))-ROW(OFFSET(nombres[],0,0,1,1))+1,ROW(OFFSET(nombres[],ROWS(nombres[])-1,0,1,1))+1),$O1541:$O1560),3),"")</f>
        <v/>
      </c>
      <c r="HU1541" s="42" t="str">
        <f t="array" aca="1" ref="HU1541" ca="1">IFERROR(INDEX(nombres[],SMALL(IF(OFFSET(nombres[],0,0,ROWS(nombres[]),1)=HU$1490,ROW(OFFSET(nombres[],0,0,ROWS(nombres[]),1))-ROW(OFFSET(nombres[],0,0,1,1))+1,ROW(OFFSET(nombres[],ROWS(nombres[])-1,0,1,1))+1),$O1541:$O1560),3),"")</f>
        <v/>
      </c>
      <c r="HV1541" s="42" t="str">
        <f t="array" aca="1" ref="HV1541" ca="1">IFERROR(INDEX(nombres[],SMALL(IF(OFFSET(nombres[],0,0,ROWS(nombres[]),1)=HV$1490,ROW(OFFSET(nombres[],0,0,ROWS(nombres[]),1))-ROW(OFFSET(nombres[],0,0,1,1))+1,ROW(OFFSET(nombres[],ROWS(nombres[])-1,0,1,1))+1),$O1541:$O1560),3),"")</f>
        <v/>
      </c>
      <c r="HW1541" s="42" t="str">
        <f t="array" aca="1" ref="HW1541" ca="1">IFERROR(INDEX(nombres[],SMALL(IF(OFFSET(nombres[],0,0,ROWS(nombres[]),1)=HW$1490,ROW(OFFSET(nombres[],0,0,ROWS(nombres[]),1))-ROW(OFFSET(nombres[],0,0,1,1))+1,ROW(OFFSET(nombres[],ROWS(nombres[])-1,0,1,1))+1),$O1541:$O1560),3),"")</f>
        <v/>
      </c>
      <c r="HX1541" s="42" t="str">
        <f t="array" aca="1" ref="HX1541" ca="1">IFERROR(INDEX(nombres[],SMALL(IF(OFFSET(nombres[],0,0,ROWS(nombres[]),1)=HX$1490,ROW(OFFSET(nombres[],0,0,ROWS(nombres[]),1))-ROW(OFFSET(nombres[],0,0,1,1))+1,ROW(OFFSET(nombres[],ROWS(nombres[])-1,0,1,1))+1),$O1541:$O1560),3),"")</f>
        <v/>
      </c>
      <c r="HY1541" s="42" t="str">
        <f t="array" aca="1" ref="HY1541" ca="1">IFERROR(INDEX(nombres[],SMALL(IF(OFFSET(nombres[],0,0,ROWS(nombres[]),1)=HY$1490,ROW(OFFSET(nombres[],0,0,ROWS(nombres[]),1))-ROW(OFFSET(nombres[],0,0,1,1))+1,ROW(OFFSET(nombres[],ROWS(nombres[])-1,0,1,1))+1),$O1541:$O1560),3),"")</f>
        <v/>
      </c>
      <c r="HZ1541" s="42" t="str">
        <f t="array" aca="1" ref="HZ1541" ca="1">IFERROR(INDEX(nombres[],SMALL(IF(OFFSET(nombres[],0,0,ROWS(nombres[]),1)=HZ$1490,ROW(OFFSET(nombres[],0,0,ROWS(nombres[]),1))-ROW(OFFSET(nombres[],0,0,1,1))+1,ROW(OFFSET(nombres[],ROWS(nombres[])-1,0,1,1))+1),$O1541:$O1560),3),"")</f>
        <v/>
      </c>
      <c r="IA1541" s="42" t="str">
        <f t="array" aca="1" ref="IA1541" ca="1">IFERROR(INDEX(nombres[],SMALL(IF(OFFSET(nombres[],0,0,ROWS(nombres[]),1)=IA$1490,ROW(OFFSET(nombres[],0,0,ROWS(nombres[]),1))-ROW(OFFSET(nombres[],0,0,1,1))+1,ROW(OFFSET(nombres[],ROWS(nombres[])-1,0,1,1))+1),$O1541:$O1560),3),"")</f>
        <v/>
      </c>
      <c r="IB1541" s="42">
        <f t="array" aca="1" ref="IB1541" ca="1">IFERROR(INDEX(nombres[],SMALL(IF(OFFSET(nombres[],0,0,ROWS(nombres[]),1)=IB$1490,ROW(OFFSET(nombres[],0,0,ROWS(nombres[]),1))-ROW(OFFSET(nombres[],0,0,1,1))+1,ROW(OFFSET(nombres[],ROWS(nombres[])-1,0,1,1))+1),$O1541:$O1560),3),"")</f>
        <v>389</v>
      </c>
      <c r="IC1541" s="42" t="str">
        <f t="array" aca="1" ref="IC1541" ca="1">IFERROR(INDEX(nombres[],SMALL(IF(OFFSET(nombres[],0,0,ROWS(nombres[]),1)=IC$1490,ROW(OFFSET(nombres[],0,0,ROWS(nombres[]),1))-ROW(OFFSET(nombres[],0,0,1,1))+1,ROW(OFFSET(nombres[],ROWS(nombres[])-1,0,1,1))+1),$O1541:$O1560),3),"")</f>
        <v/>
      </c>
      <c r="ID1541" s="42" t="str">
        <f t="array" aca="1" ref="ID1541" ca="1">IFERROR(INDEX(nombres[],SMALL(IF(OFFSET(nombres[],0,0,ROWS(nombres[]),1)=ID$1490,ROW(OFFSET(nombres[],0,0,ROWS(nombres[]),1))-ROW(OFFSET(nombres[],0,0,1,1))+1,ROW(OFFSET(nombres[],ROWS(nombres[])-1,0,1,1))+1),$O1541:$O1560),3),"")</f>
        <v/>
      </c>
      <c r="IE1541" s="42" t="str">
        <f t="array" aca="1" ref="IE1541" ca="1">IFERROR(INDEX(nombres[],SMALL(IF(OFFSET(nombres[],0,0,ROWS(nombres[]),1)=IE$1490,ROW(OFFSET(nombres[],0,0,ROWS(nombres[]),1))-ROW(OFFSET(nombres[],0,0,1,1))+1,ROW(OFFSET(nombres[],ROWS(nombres[])-1,0,1,1))+1),$O1541:$O1560),3),"")</f>
        <v/>
      </c>
      <c r="IF1541" s="42" t="str">
        <f t="array" aca="1" ref="IF1541" ca="1">IFERROR(INDEX(nombres[],SMALL(IF(OFFSET(nombres[],0,0,ROWS(nombres[]),1)=IF$1490,ROW(OFFSET(nombres[],0,0,ROWS(nombres[]),1))-ROW(OFFSET(nombres[],0,0,1,1))+1,ROW(OFFSET(nombres[],ROWS(nombres[])-1,0,1,1))+1),$O1541:$O1560),3),"")</f>
        <v/>
      </c>
      <c r="IG1541" s="42" t="str">
        <f t="array" aca="1" ref="IG1541" ca="1">IFERROR(INDEX(nombres[],SMALL(IF(OFFSET(nombres[],0,0,ROWS(nombres[]),1)=IG$1490,ROW(OFFSET(nombres[],0,0,ROWS(nombres[]),1))-ROW(OFFSET(nombres[],0,0,1,1))+1,ROW(OFFSET(nombres[],ROWS(nombres[])-1,0,1,1))+1),$O1541:$O1560),3),"")</f>
        <v/>
      </c>
      <c r="IH1541" s="42" t="str">
        <f t="array" aca="1" ref="IH1541" ca="1">IFERROR(INDEX(nombres[],SMALL(IF(OFFSET(nombres[],0,0,ROWS(nombres[]),1)=IH$1490,ROW(OFFSET(nombres[],0,0,ROWS(nombres[]),1))-ROW(OFFSET(nombres[],0,0,1,1))+1,ROW(OFFSET(nombres[],ROWS(nombres[])-1,0,1,1))+1),$O1541:$O1560),3),"")</f>
        <v/>
      </c>
      <c r="II1541" s="42" t="str">
        <f t="array" aca="1" ref="II1541" ca="1">IFERROR(INDEX(nombres[],SMALL(IF(OFFSET(nombres[],0,0,ROWS(nombres[]),1)=II$1490,ROW(OFFSET(nombres[],0,0,ROWS(nombres[]),1))-ROW(OFFSET(nombres[],0,0,1,1))+1,ROW(OFFSET(nombres[],ROWS(nombres[])-1,0,1,1))+1),$O1541:$O1560),3),"")</f>
        <v/>
      </c>
      <c r="IJ1541" s="42">
        <f t="array" aca="1" ref="IJ1541" ca="1">IFERROR(INDEX(nombres[],SMALL(IF(OFFSET(nombres[],0,0,ROWS(nombres[]),1)=IJ$1490,ROW(OFFSET(nombres[],0,0,ROWS(nombres[]),1))-ROW(OFFSET(nombres[],0,0,1,1))+1,ROW(OFFSET(nombres[],ROWS(nombres[])-1,0,1,1))+1),$O1541:$O1560),3),"")</f>
        <v>395</v>
      </c>
      <c r="IK1541" s="42" t="str">
        <f t="array" aca="1" ref="IK1541" ca="1">IFERROR(INDEX(nombres[],SMALL(IF(OFFSET(nombres[],0,0,ROWS(nombres[]),1)=IK$1490,ROW(OFFSET(nombres[],0,0,ROWS(nombres[]),1))-ROW(OFFSET(nombres[],0,0,1,1))+1,ROW(OFFSET(nombres[],ROWS(nombres[])-1,0,1,1))+1),$O1541:$O1560),3),"")</f>
        <v/>
      </c>
      <c r="IL1541" s="42" t="str">
        <f t="array" aca="1" ref="IL1541" ca="1">IFERROR(INDEX(nombres[],SMALL(IF(OFFSET(nombres[],0,0,ROWS(nombres[]),1)=IL$1490,ROW(OFFSET(nombres[],0,0,ROWS(nombres[]),1))-ROW(OFFSET(nombres[],0,0,1,1))+1,ROW(OFFSET(nombres[],ROWS(nombres[])-1,0,1,1))+1),$O1541:$O1560),3),"")</f>
        <v/>
      </c>
      <c r="IM1541" s="42" t="str">
        <f t="array" aca="1" ref="IM1541" ca="1">IFERROR(INDEX(nombres[],SMALL(IF(OFFSET(nombres[],0,0,ROWS(nombres[]),1)=IM$1490,ROW(OFFSET(nombres[],0,0,ROWS(nombres[]),1))-ROW(OFFSET(nombres[],0,0,1,1))+1,ROW(OFFSET(nombres[],ROWS(nombres[])-1,0,1,1))+1),$O1541:$O1560),3),"")</f>
        <v/>
      </c>
      <c r="IN1541" s="42" t="str">
        <f t="array" aca="1" ref="IN1541" ca="1">IFERROR(INDEX(nombres[],SMALL(IF(OFFSET(nombres[],0,0,ROWS(nombres[]),1)=IN$1490,ROW(OFFSET(nombres[],0,0,ROWS(nombres[]),1))-ROW(OFFSET(nombres[],0,0,1,1))+1,ROW(OFFSET(nombres[],ROWS(nombres[])-1,0,1,1))+1),$O1541:$O1560),3),"")</f>
        <v/>
      </c>
      <c r="IO1541" s="42" t="str">
        <f t="array" aca="1" ref="IO1541" ca="1">IFERROR(INDEX(nombres[],SMALL(IF(OFFSET(nombres[],0,0,ROWS(nombres[]),1)=IO$1490,ROW(OFFSET(nombres[],0,0,ROWS(nombres[]),1))-ROW(OFFSET(nombres[],0,0,1,1))+1,ROW(OFFSET(nombres[],ROWS(nombres[])-1,0,1,1))+1),$O1541:$O1560),3),"")</f>
        <v/>
      </c>
      <c r="IP1541" s="42" t="str">
        <f t="array" aca="1" ref="IP1541" ca="1">IFERROR(INDEX(nombres[],SMALL(IF(OFFSET(nombres[],0,0,ROWS(nombres[]),1)=IP$1490,ROW(OFFSET(nombres[],0,0,ROWS(nombres[]),1))-ROW(OFFSET(nombres[],0,0,1,1))+1,ROW(OFFSET(nombres[],ROWS(nombres[])-1,0,1,1))+1),$O1541:$O1560),3),"")</f>
        <v/>
      </c>
      <c r="IQ1541" s="42" t="str">
        <f t="array" aca="1" ref="IQ1541" ca="1">IFERROR(INDEX(nombres[],SMALL(IF(OFFSET(nombres[],0,0,ROWS(nombres[]),1)=IQ$1490,ROW(OFFSET(nombres[],0,0,ROWS(nombres[]),1))-ROW(OFFSET(nombres[],0,0,1,1))+1,ROW(OFFSET(nombres[],ROWS(nombres[])-1,0,1,1))+1),$O1541:$O1560),3),"")</f>
        <v/>
      </c>
      <c r="IR1541" s="42" t="str">
        <f t="array" aca="1" ref="IR1541" ca="1">IFERROR(INDEX(nombres[],SMALL(IF(OFFSET(nombres[],0,0,ROWS(nombres[]),1)=IR$1490,ROW(OFFSET(nombres[],0,0,ROWS(nombres[]),1))-ROW(OFFSET(nombres[],0,0,1,1))+1,ROW(OFFSET(nombres[],ROWS(nombres[])-1,0,1,1))+1),$O1541:$O1560),3),"")</f>
        <v/>
      </c>
      <c r="IS1541" s="42" t="str">
        <f t="array" aca="1" ref="IS1541" ca="1">IFERROR(INDEX(nombres[],SMALL(IF(OFFSET(nombres[],0,0,ROWS(nombres[]),1)=IS$1490,ROW(OFFSET(nombres[],0,0,ROWS(nombres[]),1))-ROW(OFFSET(nombres[],0,0,1,1))+1,ROW(OFFSET(nombres[],ROWS(nombres[])-1,0,1,1))+1),$O1541:$O1560),3),"")</f>
        <v/>
      </c>
      <c r="IT1541" s="42">
        <f t="array" aca="1" ref="IT1541" ca="1">IFERROR(INDEX(nombres[],SMALL(IF(OFFSET(nombres[],0,0,ROWS(nombres[]),1)=IT$1490,ROW(OFFSET(nombres[],0,0,ROWS(nombres[]),1))-ROW(OFFSET(nombres[],0,0,1,1))+1,ROW(OFFSET(nombres[],ROWS(nombres[])-1,0,1,1))+1),$O1541:$O1560),3),"")</f>
        <v>402</v>
      </c>
      <c r="IU1541" s="42" t="str">
        <f t="array" aca="1" ref="IU1541" ca="1">IFERROR(INDEX(nombres[],SMALL(IF(OFFSET(nombres[],0,0,ROWS(nombres[]),1)=IU$1490,ROW(OFFSET(nombres[],0,0,ROWS(nombres[]),1))-ROW(OFFSET(nombres[],0,0,1,1))+1,ROW(OFFSET(nombres[],ROWS(nombres[])-1,0,1,1))+1),$O1541:$O1560),3),"")</f>
        <v/>
      </c>
      <c r="IV1541" s="42" t="str">
        <f t="array" aca="1" ref="IV1541" ca="1">IFERROR(INDEX(nombres[],SMALL(IF(OFFSET(nombres[],0,0,ROWS(nombres[]),1)=IV$1490,ROW(OFFSET(nombres[],0,0,ROWS(nombres[]),1))-ROW(OFFSET(nombres[],0,0,1,1))+1,ROW(OFFSET(nombres[],ROWS(nombres[])-1,0,1,1))+1),$O1541:$O1560),3),"")</f>
        <v/>
      </c>
      <c r="IW1541" s="42" t="str">
        <f t="array" aca="1" ref="IW1541" ca="1">IFERROR(INDEX(nombres[],SMALL(IF(OFFSET(nombres[],0,0,ROWS(nombres[]),1)=IW$1490,ROW(OFFSET(nombres[],0,0,ROWS(nombres[]),1))-ROW(OFFSET(nombres[],0,0,1,1))+1,ROW(OFFSET(nombres[],ROWS(nombres[])-1,0,1,1))+1),$O1541:$O1560),3),"")</f>
        <v/>
      </c>
      <c r="IX1541" s="42" t="str">
        <f t="array" aca="1" ref="IX1541" ca="1">IFERROR(INDEX(nombres[],SMALL(IF(OFFSET(nombres[],0,0,ROWS(nombres[]),1)=IX$1490,ROW(OFFSET(nombres[],0,0,ROWS(nombres[]),1))-ROW(OFFSET(nombres[],0,0,1,1))+1,ROW(OFFSET(nombres[],ROWS(nombres[])-1,0,1,1))+1),$O1541:$O1560),3),"")</f>
        <v/>
      </c>
      <c r="IY1541" s="42" t="str">
        <f t="array" aca="1" ref="IY1541" ca="1">IFERROR(INDEX(nombres[],SMALL(IF(OFFSET(nombres[],0,0,ROWS(nombres[]),1)=IY$1490,ROW(OFFSET(nombres[],0,0,ROWS(nombres[]),1))-ROW(OFFSET(nombres[],0,0,1,1))+1,ROW(OFFSET(nombres[],ROWS(nombres[])-1,0,1,1))+1),$O1541:$O1560),3),"")</f>
        <v/>
      </c>
      <c r="IZ1541" s="42">
        <f t="array" aca="1" ref="IZ1541" ca="1">IFERROR(INDEX(nombres[],SMALL(IF(OFFSET(nombres[],0,0,ROWS(nombres[]),1)=IZ$1490,ROW(OFFSET(nombres[],0,0,ROWS(nombres[]),1))-ROW(OFFSET(nombres[],0,0,1,1))+1,ROW(OFFSET(nombres[],ROWS(nombres[])-1,0,1,1))+1),$O1541:$O1560),3),"")</f>
        <v>575</v>
      </c>
      <c r="JA1541" s="42" t="str">
        <f t="array" aca="1" ref="JA1541" ca="1">IFERROR(INDEX(nombres[],SMALL(IF(OFFSET(nombres[],0,0,ROWS(nombres[]),1)=JA$1490,ROW(OFFSET(nombres[],0,0,ROWS(nombres[]),1))-ROW(OFFSET(nombres[],0,0,1,1))+1,ROW(OFFSET(nombres[],ROWS(nombres[])-1,0,1,1))+1),$O1541:$O1560),3),"")</f>
        <v/>
      </c>
      <c r="JB1541" s="42">
        <f t="array" aca="1" ref="JB1541" ca="1">IFERROR(INDEX(nombres[],SMALL(IF(OFFSET(nombres[],0,0,ROWS(nombres[]),1)=JB$1490,ROW(OFFSET(nombres[],0,0,ROWS(nombres[]),1))-ROW(OFFSET(nombres[],0,0,1,1))+1,ROW(OFFSET(nombres[],ROWS(nombres[])-1,0,1,1))+1),$O1541:$O1560),3),"")</f>
        <v>431</v>
      </c>
      <c r="JC1541" s="42" t="str">
        <f t="array" aca="1" ref="JC1541" ca="1">IFERROR(INDEX(nombres[],SMALL(IF(OFFSET(nombres[],0,0,ROWS(nombres[]),1)=JC$1490,ROW(OFFSET(nombres[],0,0,ROWS(nombres[]),1))-ROW(OFFSET(nombres[],0,0,1,1))+1,ROW(OFFSET(nombres[],ROWS(nombres[])-1,0,1,1))+1),$O1541:$O1560),3),"")</f>
        <v/>
      </c>
      <c r="JD1541" s="42" t="str">
        <f t="array" aca="1" ref="JD1541" ca="1">IFERROR(INDEX(nombres[],SMALL(IF(OFFSET(nombres[],0,0,ROWS(nombres[]),1)=JD$1490,ROW(OFFSET(nombres[],0,0,ROWS(nombres[]),1))-ROW(OFFSET(nombres[],0,0,1,1))+1,ROW(OFFSET(nombres[],ROWS(nombres[])-1,0,1,1))+1),$O1541:$O1560),3),"")</f>
        <v/>
      </c>
      <c r="JE1541" s="42" t="str">
        <f t="array" aca="1" ref="JE1541" ca="1">IFERROR(INDEX(nombres[],SMALL(IF(OFFSET(nombres[],0,0,ROWS(nombres[]),1)=JE$1490,ROW(OFFSET(nombres[],0,0,ROWS(nombres[]),1))-ROW(OFFSET(nombres[],0,0,1,1))+1,ROW(OFFSET(nombres[],ROWS(nombres[])-1,0,1,1))+1),$O1541:$O1560),3),"")</f>
        <v/>
      </c>
      <c r="JF1541" s="42" t="str">
        <f t="array" aca="1" ref="JF1541" ca="1">IFERROR(INDEX(nombres[],SMALL(IF(OFFSET(nombres[],0,0,ROWS(nombres[]),1)=JF$1490,ROW(OFFSET(nombres[],0,0,ROWS(nombres[]),1))-ROW(OFFSET(nombres[],0,0,1,1))+1,ROW(OFFSET(nombres[],ROWS(nombres[])-1,0,1,1))+1),$O1541:$O1560),3),"")</f>
        <v/>
      </c>
      <c r="JG1541" s="42" t="str">
        <f t="array" aca="1" ref="JG1541" ca="1">IFERROR(INDEX(nombres[],SMALL(IF(OFFSET(nombres[],0,0,ROWS(nombres[]),1)=JG$1490,ROW(OFFSET(nombres[],0,0,ROWS(nombres[]),1))-ROW(OFFSET(nombres[],0,0,1,1))+1,ROW(OFFSET(nombres[],ROWS(nombres[])-1,0,1,1))+1),$O1541:$O1560),3),"")</f>
        <v/>
      </c>
      <c r="JH1541" s="42" t="str">
        <f t="array" aca="1" ref="JH1541" ca="1">IFERROR(INDEX(nombres[],SMALL(IF(OFFSET(nombres[],0,0,ROWS(nombres[]),1)=JH$1490,ROW(OFFSET(nombres[],0,0,ROWS(nombres[]),1))-ROW(OFFSET(nombres[],0,0,1,1))+1,ROW(OFFSET(nombres[],ROWS(nombres[])-1,0,1,1))+1),$O1541:$O1560),3),"")</f>
        <v/>
      </c>
      <c r="JI1541" s="42" t="str">
        <f t="array" aca="1" ref="JI1541" ca="1">IFERROR(INDEX(nombres[],SMALL(IF(OFFSET(nombres[],0,0,ROWS(nombres[]),1)=JI$1490,ROW(OFFSET(nombres[],0,0,ROWS(nombres[]),1))-ROW(OFFSET(nombres[],0,0,1,1))+1,ROW(OFFSET(nombres[],ROWS(nombres[])-1,0,1,1))+1),$O1541:$O1560),3),"")</f>
        <v/>
      </c>
      <c r="JJ1541" s="42" t="str">
        <f t="array" aca="1" ref="JJ1541" ca="1">IFERROR(INDEX(nombres[],SMALL(IF(OFFSET(nombres[],0,0,ROWS(nombres[]),1)=JJ$1490,ROW(OFFSET(nombres[],0,0,ROWS(nombres[]),1))-ROW(OFFSET(nombres[],0,0,1,1))+1,ROW(OFFSET(nombres[],ROWS(nombres[])-1,0,1,1))+1),$O1541:$O1560),3),"")</f>
        <v/>
      </c>
      <c r="JK1541" s="42" t="str">
        <f t="array" aca="1" ref="JK1541" ca="1">IFERROR(INDEX(nombres[],SMALL(IF(OFFSET(nombres[],0,0,ROWS(nombres[]),1)=JK$1490,ROW(OFFSET(nombres[],0,0,ROWS(nombres[]),1))-ROW(OFFSET(nombres[],0,0,1,1))+1,ROW(OFFSET(nombres[],ROWS(nombres[])-1,0,1,1))+1),$O1541:$O1560),3),"")</f>
        <v/>
      </c>
      <c r="JL1541" s="42" t="str">
        <f t="array" aca="1" ref="JL1541" ca="1">IFERROR(INDEX(nombres[],SMALL(IF(OFFSET(nombres[],0,0,ROWS(nombres[]),1)=JL$1490,ROW(OFFSET(nombres[],0,0,ROWS(nombres[]),1))-ROW(OFFSET(nombres[],0,0,1,1))+1,ROW(OFFSET(nombres[],ROWS(nombres[])-1,0,1,1))+1),$O1541:$O1560),3),"")</f>
        <v/>
      </c>
      <c r="JM1541" s="42" t="str">
        <f t="array" aca="1" ref="JM1541" ca="1">IFERROR(INDEX(nombres[],SMALL(IF(OFFSET(nombres[],0,0,ROWS(nombres[]),1)=JM$1490,ROW(OFFSET(nombres[],0,0,ROWS(nombres[]),1))-ROW(OFFSET(nombres[],0,0,1,1))+1,ROW(OFFSET(nombres[],ROWS(nombres[])-1,0,1,1))+1),$O1541:$O1560),3),"")</f>
        <v/>
      </c>
      <c r="JN1541" s="42" t="str">
        <f t="array" aca="1" ref="JN1541" ca="1">IFERROR(INDEX(nombres[],SMALL(IF(OFFSET(nombres[],0,0,ROWS(nombres[]),1)=JN$1490,ROW(OFFSET(nombres[],0,0,ROWS(nombres[]),1))-ROW(OFFSET(nombres[],0,0,1,1))+1,ROW(OFFSET(nombres[],ROWS(nombres[])-1,0,1,1))+1),$O1541:$O1560),3),"")</f>
        <v/>
      </c>
      <c r="JO1541" s="42" t="str">
        <f t="array" aca="1" ref="JO1541" ca="1">IFERROR(INDEX(nombres[],SMALL(IF(OFFSET(nombres[],0,0,ROWS(nombres[]),1)=JO$1490,ROW(OFFSET(nombres[],0,0,ROWS(nombres[]),1))-ROW(OFFSET(nombres[],0,0,1,1))+1,ROW(OFFSET(nombres[],ROWS(nombres[])-1,0,1,1))+1),$O1541:$O1560),3),"")</f>
        <v/>
      </c>
      <c r="JP1541" s="42" t="str">
        <f t="array" aca="1" ref="JP1541" ca="1">IFERROR(INDEX(nombres[],SMALL(IF(OFFSET(nombres[],0,0,ROWS(nombres[]),1)=JP$1490,ROW(OFFSET(nombres[],0,0,ROWS(nombres[]),1))-ROW(OFFSET(nombres[],0,0,1,1))+1,ROW(OFFSET(nombres[],ROWS(nombres[])-1,0,1,1))+1),$O1541:$O1560),3),"")</f>
        <v/>
      </c>
      <c r="JQ1541" s="42">
        <f t="array" aca="1" ref="JQ1541" ca="1">IFERROR(INDEX(nombres[],SMALL(IF(OFFSET(nombres[],0,0,ROWS(nombres[]),1)=JQ$1490,ROW(OFFSET(nombres[],0,0,ROWS(nombres[]),1))-ROW(OFFSET(nombres[],0,0,1,1))+1,ROW(OFFSET(nombres[],ROWS(nombres[])-1,0,1,1))+1),$O1541:$O1560),3),"")</f>
        <v>584</v>
      </c>
      <c r="JR1541" s="42" t="str">
        <f t="array" aca="1" ref="JR1541" ca="1">IFERROR(INDEX(nombres[],SMALL(IF(OFFSET(nombres[],0,0,ROWS(nombres[]),1)=JR$1490,ROW(OFFSET(nombres[],0,0,ROWS(nombres[]),1))-ROW(OFFSET(nombres[],0,0,1,1))+1,ROW(OFFSET(nombres[],ROWS(nombres[])-1,0,1,1))+1),$O1541:$O1560),3),"")</f>
        <v/>
      </c>
      <c r="JS1541" s="42">
        <f t="array" aca="1" ref="JS1541" ca="1">IFERROR(INDEX(nombres[],SMALL(IF(OFFSET(nombres[],0,0,ROWS(nombres[]),1)=JS$1490,ROW(OFFSET(nombres[],0,0,ROWS(nombres[]),1))-ROW(OFFSET(nombres[],0,0,1,1))+1,ROW(OFFSET(nombres[],ROWS(nombres[])-1,0,1,1))+1),$O1541:$O1560),3),"")</f>
        <v>564</v>
      </c>
      <c r="JT1541" s="42" t="str">
        <f t="array" aca="1" ref="JT1541" ca="1">IFERROR(INDEX(nombres[],SMALL(IF(OFFSET(nombres[],0,0,ROWS(nombres[]),1)=JT$1490,ROW(OFFSET(nombres[],0,0,ROWS(nombres[]),1))-ROW(OFFSET(nombres[],0,0,1,1))+1,ROW(OFFSET(nombres[],ROWS(nombres[])-1,0,1,1))+1),$O1541:$O1560),3),"")</f>
        <v/>
      </c>
      <c r="JU1541" s="42" t="str">
        <f t="array" aca="1" ref="JU1541" ca="1">IFERROR(INDEX(nombres[],SMALL(IF(OFFSET(nombres[],0,0,ROWS(nombres[]),1)=JU$1490,ROW(OFFSET(nombres[],0,0,ROWS(nombres[]),1))-ROW(OFFSET(nombres[],0,0,1,1))+1,ROW(OFFSET(nombres[],ROWS(nombres[])-1,0,1,1))+1),$O1541:$O1560),3),"")</f>
        <v/>
      </c>
      <c r="JV1541" s="42" t="str">
        <f t="array" aca="1" ref="JV1541" ca="1">IFERROR(INDEX(nombres[],SMALL(IF(OFFSET(nombres[],0,0,ROWS(nombres[]),1)=JV$1490,ROW(OFFSET(nombres[],0,0,ROWS(nombres[]),1))-ROW(OFFSET(nombres[],0,0,1,1))+1,ROW(OFFSET(nombres[],ROWS(nombres[])-1,0,1,1))+1),$O1541:$O1560),3),"")</f>
        <v/>
      </c>
      <c r="JW1541" s="42" t="str">
        <f t="array" aca="1" ref="JW1541" ca="1">IFERROR(INDEX(nombres[],SMALL(IF(OFFSET(nombres[],0,0,ROWS(nombres[]),1)=JW$1490,ROW(OFFSET(nombres[],0,0,ROWS(nombres[]),1))-ROW(OFFSET(nombres[],0,0,1,1))+1,ROW(OFFSET(nombres[],ROWS(nombres[])-1,0,1,1))+1),$O1541:$O1560),3),"")</f>
        <v/>
      </c>
      <c r="JX1541" s="42" t="str">
        <f t="array" aca="1" ref="JX1541" ca="1">IFERROR(INDEX(nombres[],SMALL(IF(OFFSET(nombres[],0,0,ROWS(nombres[]),1)=JX$1490,ROW(OFFSET(nombres[],0,0,ROWS(nombres[]),1))-ROW(OFFSET(nombres[],0,0,1,1))+1,ROW(OFFSET(nombres[],ROWS(nombres[])-1,0,1,1))+1),$O1541:$O1560),3),"")</f>
        <v/>
      </c>
      <c r="JY1541" s="42">
        <f t="array" aca="1" ref="JY1541" ca="1">IFERROR(INDEX(nombres[],SMALL(IF(OFFSET(nombres[],0,0,ROWS(nombres[]),1)=JY$1490,ROW(OFFSET(nombres[],0,0,ROWS(nombres[]),1))-ROW(OFFSET(nombres[],0,0,1,1))+1,ROW(OFFSET(nombres[],ROWS(nombres[])-1,0,1,1))+1),$O1541:$O1560),3),"")</f>
        <v>591</v>
      </c>
      <c r="JZ1541" s="42" t="str">
        <f t="array" aca="1" ref="JZ1541" ca="1">IFERROR(INDEX(nombres[],SMALL(IF(OFFSET(nombres[],0,0,ROWS(nombres[]),1)=JZ$1490,ROW(OFFSET(nombres[],0,0,ROWS(nombres[]),1))-ROW(OFFSET(nombres[],0,0,1,1))+1,ROW(OFFSET(nombres[],ROWS(nombres[])-1,0,1,1))+1),$O1541:$O1560),3),"")</f>
        <v/>
      </c>
      <c r="KA1541" s="42" t="str">
        <f t="array" aca="1" ref="KA1541" ca="1">IFERROR(INDEX(nombres[],SMALL(IF(OFFSET(nombres[],0,0,ROWS(nombres[]),1)=KA$1490,ROW(OFFSET(nombres[],0,0,ROWS(nombres[]),1))-ROW(OFFSET(nombres[],0,0,1,1))+1,ROW(OFFSET(nombres[],ROWS(nombres[])-1,0,1,1))+1),$O1541:$O1560),3),"")</f>
        <v/>
      </c>
      <c r="KB1541" s="42" t="str">
        <f t="array" aca="1" ref="KB1541" ca="1">IFERROR(INDEX(nombres[],SMALL(IF(OFFSET(nombres[],0,0,ROWS(nombres[]),1)=KB$1490,ROW(OFFSET(nombres[],0,0,ROWS(nombres[]),1))-ROW(OFFSET(nombres[],0,0,1,1))+1,ROW(OFFSET(nombres[],ROWS(nombres[])-1,0,1,1))+1),$O1541:$O1560),3),"")</f>
        <v/>
      </c>
      <c r="KC1541" s="42" t="str">
        <f t="array" aca="1" ref="KC1541" ca="1">IFERROR(INDEX(nombres[],SMALL(IF(OFFSET(nombres[],0,0,ROWS(nombres[]),1)=KC$1490,ROW(OFFSET(nombres[],0,0,ROWS(nombres[]),1))-ROW(OFFSET(nombres[],0,0,1,1))+1,ROW(OFFSET(nombres[],ROWS(nombres[])-1,0,1,1))+1),$O1541:$O1560),3),"")</f>
        <v/>
      </c>
      <c r="KD1541" s="42" t="str">
        <f t="array" aca="1" ref="KD1541" ca="1">IFERROR(INDEX(nombres[],SMALL(IF(OFFSET(nombres[],0,0,ROWS(nombres[]),1)=KD$1490,ROW(OFFSET(nombres[],0,0,ROWS(nombres[]),1))-ROW(OFFSET(nombres[],0,0,1,1))+1,ROW(OFFSET(nombres[],ROWS(nombres[])-1,0,1,1))+1),$O1541:$O1560),3),"")</f>
        <v/>
      </c>
      <c r="KE1541" s="42" t="str">
        <f t="array" aca="1" ref="KE1541" ca="1">IFERROR(INDEX(nombres[],SMALL(IF(OFFSET(nombres[],0,0,ROWS(nombres[]),1)=KE$1490,ROW(OFFSET(nombres[],0,0,ROWS(nombres[]),1))-ROW(OFFSET(nombres[],0,0,1,1))+1,ROW(OFFSET(nombres[],ROWS(nombres[])-1,0,1,1))+1),$O1541:$O1560),3),"")</f>
        <v/>
      </c>
      <c r="KF1541" s="42">
        <f t="array" aca="1" ref="KF1541" ca="1">IFERROR(INDEX(nombres[],SMALL(IF(OFFSET(nombres[],0,0,ROWS(nombres[]),1)=KF$1490,ROW(OFFSET(nombres[],0,0,ROWS(nombres[]),1))-ROW(OFFSET(nombres[],0,0,1,1))+1,ROW(OFFSET(nombres[],ROWS(nombres[])-1,0,1,1))+1),$O1541:$O1560),3),"")</f>
        <v>436</v>
      </c>
      <c r="KG1541" s="42" t="str">
        <f t="array" aca="1" ref="KG1541" ca="1">IFERROR(INDEX(nombres[],SMALL(IF(OFFSET(nombres[],0,0,ROWS(nombres[]),1)=KG$1490,ROW(OFFSET(nombres[],0,0,ROWS(nombres[]),1))-ROW(OFFSET(nombres[],0,0,1,1))+1,ROW(OFFSET(nombres[],ROWS(nombres[])-1,0,1,1))+1),$O1541:$O1560),3),"")</f>
        <v/>
      </c>
      <c r="KH1541" s="42" t="str">
        <f t="array" aca="1" ref="KH1541" ca="1">IFERROR(INDEX(nombres[],SMALL(IF(OFFSET(nombres[],0,0,ROWS(nombres[]),1)=KH$1490,ROW(OFFSET(nombres[],0,0,ROWS(nombres[]),1))-ROW(OFFSET(nombres[],0,0,1,1))+1,ROW(OFFSET(nombres[],ROWS(nombres[])-1,0,1,1))+1),$O1541:$O1560),3),"")</f>
        <v/>
      </c>
      <c r="KI1541" s="42" t="str">
        <f t="array" aca="1" ref="KI1541" ca="1">IFERROR(INDEX(nombres[],SMALL(IF(OFFSET(nombres[],0,0,ROWS(nombres[]),1)=KI$1490,ROW(OFFSET(nombres[],0,0,ROWS(nombres[]),1))-ROW(OFFSET(nombres[],0,0,1,1))+1,ROW(OFFSET(nombres[],ROWS(nombres[])-1,0,1,1))+1),$O1541:$O1560),3),"")</f>
        <v/>
      </c>
      <c r="KJ1541" s="42" t="str">
        <f t="array" aca="1" ref="KJ1541" ca="1">IFERROR(INDEX(nombres[],SMALL(IF(OFFSET(nombres[],0,0,ROWS(nombres[]),1)=KJ$1490,ROW(OFFSET(nombres[],0,0,ROWS(nombres[]),1))-ROW(OFFSET(nombres[],0,0,1,1))+1,ROW(OFFSET(nombres[],ROWS(nombres[])-1,0,1,1))+1),$O1541:$O1560),3),"")</f>
        <v/>
      </c>
      <c r="KK1541" s="42" t="str">
        <f t="array" aca="1" ref="KK1541" ca="1">IFERROR(INDEX(nombres[],SMALL(IF(OFFSET(nombres[],0,0,ROWS(nombres[]),1)=KK$1490,ROW(OFFSET(nombres[],0,0,ROWS(nombres[]),1))-ROW(OFFSET(nombres[],0,0,1,1))+1,ROW(OFFSET(nombres[],ROWS(nombres[])-1,0,1,1))+1),$O1541:$O1560),3),"")</f>
        <v/>
      </c>
      <c r="KL1541" s="42" t="str">
        <f t="array" aca="1" ref="KL1541" ca="1">IFERROR(INDEX(nombres[],SMALL(IF(OFFSET(nombres[],0,0,ROWS(nombres[]),1)=KL$1490,ROW(OFFSET(nombres[],0,0,ROWS(nombres[]),1))-ROW(OFFSET(nombres[],0,0,1,1))+1,ROW(OFFSET(nombres[],ROWS(nombres[])-1,0,1,1))+1),$O1541:$O1560),3),"")</f>
        <v/>
      </c>
      <c r="KM1541" s="42" t="str">
        <f t="array" aca="1" ref="KM1541" ca="1">IFERROR(INDEX(nombres[],SMALL(IF(OFFSET(nombres[],0,0,ROWS(nombres[]),1)=KM$1490,ROW(OFFSET(nombres[],0,0,ROWS(nombres[]),1))-ROW(OFFSET(nombres[],0,0,1,1))+1,ROW(OFFSET(nombres[],ROWS(nombres[])-1,0,1,1))+1),$O1541:$O1560),3),"")</f>
        <v/>
      </c>
      <c r="KN1541" s="42" t="str">
        <f t="array" aca="1" ref="KN1541" ca="1">IFERROR(INDEX(nombres[],SMALL(IF(OFFSET(nombres[],0,0,ROWS(nombres[]),1)=KN$1490,ROW(OFFSET(nombres[],0,0,ROWS(nombres[]),1))-ROW(OFFSET(nombres[],0,0,1,1))+1,ROW(OFFSET(nombres[],ROWS(nombres[])-1,0,1,1))+1),$O1541:$O1560),3),"")</f>
        <v/>
      </c>
      <c r="KO1541" s="42" t="str">
        <f t="array" aca="1" ref="KO1541" ca="1">IFERROR(INDEX(nombres[],SMALL(IF(OFFSET(nombres[],0,0,ROWS(nombres[]),1)=KO$1490,ROW(OFFSET(nombres[],0,0,ROWS(nombres[]),1))-ROW(OFFSET(nombres[],0,0,1,1))+1,ROW(OFFSET(nombres[],ROWS(nombres[])-1,0,1,1))+1),$O1541:$O1560),3),"")</f>
        <v/>
      </c>
      <c r="KP1541" s="42" t="str">
        <f t="array" aca="1" ref="KP1541" ca="1">IFERROR(INDEX(nombres[],SMALL(IF(OFFSET(nombres[],0,0,ROWS(nombres[]),1)=KP$1490,ROW(OFFSET(nombres[],0,0,ROWS(nombres[]),1))-ROW(OFFSET(nombres[],0,0,1,1))+1,ROW(OFFSET(nombres[],ROWS(nombres[])-1,0,1,1))+1),$O1541:$O1560),3),"")</f>
        <v/>
      </c>
      <c r="KQ1541" s="42" t="str">
        <f t="array" aca="1" ref="KQ1541" ca="1">IFERROR(INDEX(nombres[],SMALL(IF(OFFSET(nombres[],0,0,ROWS(nombres[]),1)=KQ$1490,ROW(OFFSET(nombres[],0,0,ROWS(nombres[]),1))-ROW(OFFSET(nombres[],0,0,1,1))+1,ROW(OFFSET(nombres[],ROWS(nombres[])-1,0,1,1))+1),$O1541:$O1560),3),"")</f>
        <v/>
      </c>
      <c r="KR1541" s="42">
        <f t="array" aca="1" ref="KR1541" ca="1">IFERROR(INDEX(nombres[],SMALL(IF(OFFSET(nombres[],0,0,ROWS(nombres[]),1)=KR$1490,ROW(OFFSET(nombres[],0,0,ROWS(nombres[]),1))-ROW(OFFSET(nombres[],0,0,1,1))+1,ROW(OFFSET(nombres[],ROWS(nombres[])-1,0,1,1))+1),$O1541:$O1560),3),"")</f>
        <v>467</v>
      </c>
      <c r="KS1541" s="42" t="str">
        <f t="array" aca="1" ref="KS1541" ca="1">IFERROR(INDEX(nombres[],SMALL(IF(OFFSET(nombres[],0,0,ROWS(nombres[]),1)=KS$1490,ROW(OFFSET(nombres[],0,0,ROWS(nombres[]),1))-ROW(OFFSET(nombres[],0,0,1,1))+1,ROW(OFFSET(nombres[],ROWS(nombres[])-1,0,1,1))+1),$O1541:$O1560),3),"")</f>
        <v/>
      </c>
      <c r="KT1541" s="42">
        <f t="array" aca="1" ref="KT1541" ca="1">IFERROR(INDEX(nombres[],SMALL(IF(OFFSET(nombres[],0,0,ROWS(nombres[]),1)=KT$1490,ROW(OFFSET(nombres[],0,0,ROWS(nombres[]),1))-ROW(OFFSET(nombres[],0,0,1,1))+1,ROW(OFFSET(nombres[],ROWS(nombres[])-1,0,1,1))+1),$O1541:$O1560),3),"")</f>
        <v>459</v>
      </c>
      <c r="KU1541" s="42" t="str">
        <f t="array" aca="1" ref="KU1541" ca="1">IFERROR(INDEX(nombres[],SMALL(IF(OFFSET(nombres[],0,0,ROWS(nombres[]),1)=KU$1490,ROW(OFFSET(nombres[],0,0,ROWS(nombres[]),1))-ROW(OFFSET(nombres[],0,0,1,1))+1,ROW(OFFSET(nombres[],ROWS(nombres[])-1,0,1,1))+1),$O1541:$O1560),3),"")</f>
        <v/>
      </c>
      <c r="KV1541" s="42" t="str">
        <f t="array" aca="1" ref="KV1541" ca="1">IFERROR(INDEX(nombres[],SMALL(IF(OFFSET(nombres[],0,0,ROWS(nombres[]),1)=KV$1490,ROW(OFFSET(nombres[],0,0,ROWS(nombres[]),1))-ROW(OFFSET(nombres[],0,0,1,1))+1,ROW(OFFSET(nombres[],ROWS(nombres[])-1,0,1,1))+1),$O1541:$O1560),3),"")</f>
        <v/>
      </c>
      <c r="KW1541" s="42">
        <f t="array" aca="1" ref="KW1541" ca="1">IFERROR(INDEX(nombres[],SMALL(IF(OFFSET(nombres[],0,0,ROWS(nombres[]),1)=KW$1490,ROW(OFFSET(nombres[],0,0,ROWS(nombres[]),1))-ROW(OFFSET(nombres[],0,0,1,1))+1,ROW(OFFSET(nombres[],ROWS(nombres[])-1,0,1,1))+1),$O1541:$O1560),3),"")</f>
        <v>473</v>
      </c>
      <c r="KX1541" s="42">
        <f t="array" aca="1" ref="KX1541" ca="1">IFERROR(INDEX(nombres[],SMALL(IF(OFFSET(nombres[],0,0,ROWS(nombres[]),1)=KX$1490,ROW(OFFSET(nombres[],0,0,ROWS(nombres[]),1))-ROW(OFFSET(nombres[],0,0,1,1))+1,ROW(OFFSET(nombres[],ROWS(nombres[])-1,0,1,1))+1),$O1541:$O1560),3),"")</f>
        <v>506</v>
      </c>
      <c r="KY1541" s="42" t="str">
        <f t="array" aca="1" ref="KY1541" ca="1">IFERROR(INDEX(nombres[],SMALL(IF(OFFSET(nombres[],0,0,ROWS(nombres[]),1)=KY$1490,ROW(OFFSET(nombres[],0,0,ROWS(nombres[]),1))-ROW(OFFSET(nombres[],0,0,1,1))+1,ROW(OFFSET(nombres[],ROWS(nombres[])-1,0,1,1))+1),$O1541:$O1560),3),"")</f>
        <v/>
      </c>
      <c r="KZ1541" s="42" t="str">
        <f t="array" aca="1" ref="KZ1541" ca="1">IFERROR(INDEX(nombres[],SMALL(IF(OFFSET(nombres[],0,0,ROWS(nombres[]),1)=KZ$1490,ROW(OFFSET(nombres[],0,0,ROWS(nombres[]),1))-ROW(OFFSET(nombres[],0,0,1,1))+1,ROW(OFFSET(nombres[],ROWS(nombres[])-1,0,1,1))+1),$O1541:$O1560),3),"")</f>
        <v/>
      </c>
      <c r="LA1541" s="42" t="str">
        <f t="array" aca="1" ref="LA1541" ca="1">IFERROR(INDEX(nombres[],SMALL(IF(OFFSET(nombres[],0,0,ROWS(nombres[]),1)=LA$1490,ROW(OFFSET(nombres[],0,0,ROWS(nombres[]),1))-ROW(OFFSET(nombres[],0,0,1,1))+1,ROW(OFFSET(nombres[],ROWS(nombres[])-1,0,1,1))+1),$O1541:$O1560),3),"")</f>
        <v/>
      </c>
      <c r="LB1541" s="42">
        <f t="array" aca="1" ref="LB1541" ca="1">IFERROR(INDEX(nombres[],SMALL(IF(OFFSET(nombres[],0,0,ROWS(nombres[]),1)=LB$1490,ROW(OFFSET(nombres[],0,0,ROWS(nombres[]),1))-ROW(OFFSET(nombres[],0,0,1,1))+1,ROW(OFFSET(nombres[],ROWS(nombres[])-1,0,1,1))+1),$O1541:$O1560),3),"")</f>
        <v>494</v>
      </c>
      <c r="LC1541" s="42" t="str">
        <f t="array" aca="1" ref="LC1541" ca="1">IFERROR(INDEX(nombres[],SMALL(IF(OFFSET(nombres[],0,0,ROWS(nombres[]),1)=LC$1490,ROW(OFFSET(nombres[],0,0,ROWS(nombres[]),1))-ROW(OFFSET(nombres[],0,0,1,1))+1,ROW(OFFSET(nombres[],ROWS(nombres[])-1,0,1,1))+1),$O1541:$O1560),3),"")</f>
        <v/>
      </c>
      <c r="LD1541" s="42" t="str">
        <f t="array" aca="1" ref="LD1541" ca="1">IFERROR(INDEX(nombres[],SMALL(IF(OFFSET(nombres[],0,0,ROWS(nombres[]),1)=LD$1490,ROW(OFFSET(nombres[],0,0,ROWS(nombres[]),1))-ROW(OFFSET(nombres[],0,0,1,1))+1,ROW(OFFSET(nombres[],ROWS(nombres[])-1,0,1,1))+1),$O1541:$O1560),3),"")</f>
        <v/>
      </c>
      <c r="LE1541" s="42">
        <f t="array" aca="1" ref="LE1541" ca="1">IFERROR(INDEX(nombres[],SMALL(IF(OFFSET(nombres[],0,0,ROWS(nombres[]),1)=LE$1490,ROW(OFFSET(nombres[],0,0,ROWS(nombres[]),1))-ROW(OFFSET(nombres[],0,0,1,1))+1,ROW(OFFSET(nombres[],ROWS(nombres[])-1,0,1,1))+1),$O1541:$O1560),3),"")</f>
        <v>522</v>
      </c>
      <c r="LF1541" s="42" t="str">
        <f t="array" aca="1" ref="LF1541" ca="1">IFERROR(INDEX(nombres[],SMALL(IF(OFFSET(nombres[],0,0,ROWS(nombres[]),1)=LF$1490,ROW(OFFSET(nombres[],0,0,ROWS(nombres[]),1))-ROW(OFFSET(nombres[],0,0,1,1))+1,ROW(OFFSET(nombres[],ROWS(nombres[])-1,0,1,1))+1),$O1541:$O1560),3),"")</f>
        <v/>
      </c>
      <c r="LG1541" s="42" t="str">
        <f t="array" aca="1" ref="LG1541" ca="1">IFERROR(INDEX(nombres[],SMALL(IF(OFFSET(nombres[],0,0,ROWS(nombres[]),1)=LG$1490,ROW(OFFSET(nombres[],0,0,ROWS(nombres[]),1))-ROW(OFFSET(nombres[],0,0,1,1))+1,ROW(OFFSET(nombres[],ROWS(nombres[])-1,0,1,1))+1),$O1541:$O1560),3),"")</f>
        <v/>
      </c>
      <c r="LH1541" s="42" t="str">
        <f t="array" aca="1" ref="LH1541" ca="1">IFERROR(INDEX(nombres[],SMALL(IF(OFFSET(nombres[],0,0,ROWS(nombres[]),1)=LH$1490,ROW(OFFSET(nombres[],0,0,ROWS(nombres[]),1))-ROW(OFFSET(nombres[],0,0,1,1))+1,ROW(OFFSET(nombres[],ROWS(nombres[])-1,0,1,1))+1),$O1541:$O1560),3),"")</f>
        <v/>
      </c>
      <c r="LI1541" s="42" t="str">
        <f t="array" aca="1" ref="LI1541" ca="1">IFERROR(INDEX(nombres[],SMALL(IF(OFFSET(nombres[],0,0,ROWS(nombres[]),1)=LI$1490,ROW(OFFSET(nombres[],0,0,ROWS(nombres[]),1))-ROW(OFFSET(nombres[],0,0,1,1))+1,ROW(OFFSET(nombres[],ROWS(nombres[])-1,0,1,1))+1),$O1541:$O1560),3),"")</f>
        <v/>
      </c>
      <c r="LJ1541" s="42" t="str">
        <f t="array" aca="1" ref="LJ1541" ca="1">IFERROR(INDEX(nombres[],SMALL(IF(OFFSET(nombres[],0,0,ROWS(nombres[]),1)=LJ$1490,ROW(OFFSET(nombres[],0,0,ROWS(nombres[]),1))-ROW(OFFSET(nombres[],0,0,1,1))+1,ROW(OFFSET(nombres[],ROWS(nombres[])-1,0,1,1))+1),$O1541:$O1560),3),"")</f>
        <v/>
      </c>
      <c r="LK1541" s="42" t="str">
        <f t="array" aca="1" ref="LK1541" ca="1">IFERROR(INDEX(nombres[],SMALL(IF(OFFSET(nombres[],0,0,ROWS(nombres[]),1)=LK$1490,ROW(OFFSET(nombres[],0,0,ROWS(nombres[]),1))-ROW(OFFSET(nombres[],0,0,1,1))+1,ROW(OFFSET(nombres[],ROWS(nombres[])-1,0,1,1))+1),$O1541:$O1560),3),"")</f>
        <v/>
      </c>
      <c r="LL1541" s="42" t="str">
        <f t="array" aca="1" ref="LL1541" ca="1">IFERROR(INDEX(nombres[],SMALL(IF(OFFSET(nombres[],0,0,ROWS(nombres[]),1)=LL$1490,ROW(OFFSET(nombres[],0,0,ROWS(nombres[]),1))-ROW(OFFSET(nombres[],0,0,1,1))+1,ROW(OFFSET(nombres[],ROWS(nombres[])-1,0,1,1))+1),$O1541:$O1560),3),"")</f>
        <v/>
      </c>
      <c r="LM1541" s="42" t="str">
        <f t="array" aca="1" ref="LM1541" ca="1">IFERROR(INDEX(nombres[],SMALL(IF(OFFSET(nombres[],0,0,ROWS(nombres[]),1)=LM$1490,ROW(OFFSET(nombres[],0,0,ROWS(nombres[]),1))-ROW(OFFSET(nombres[],0,0,1,1))+1,ROW(OFFSET(nombres[],ROWS(nombres[])-1,0,1,1))+1),$O1541:$O1560),3),"")</f>
        <v/>
      </c>
      <c r="LN1541" s="42" t="str">
        <f t="array" aca="1" ref="LN1541" ca="1">IFERROR(INDEX(nombres[],SMALL(IF(OFFSET(nombres[],0,0,ROWS(nombres[]),1)=LN$1490,ROW(OFFSET(nombres[],0,0,ROWS(nombres[]),1))-ROW(OFFSET(nombres[],0,0,1,1))+1,ROW(OFFSET(nombres[],ROWS(nombres[])-1,0,1,1))+1),$O1541:$O1560),3),"")</f>
        <v/>
      </c>
      <c r="LO1541" s="42" t="str">
        <f t="array" aca="1" ref="LO1541" ca="1">IFERROR(INDEX(nombres[],SMALL(IF(OFFSET(nombres[],0,0,ROWS(nombres[]),1)=LO$1490,ROW(OFFSET(nombres[],0,0,ROWS(nombres[]),1))-ROW(OFFSET(nombres[],0,0,1,1))+1,ROW(OFFSET(nombres[],ROWS(nombres[])-1,0,1,1))+1),$O1541:$O1560),3),"")</f>
        <v/>
      </c>
      <c r="LP1541" s="42" t="str">
        <f t="array" aca="1" ref="LP1541" ca="1">IFERROR(INDEX(nombres[],SMALL(IF(OFFSET(nombres[],0,0,ROWS(nombres[]),1)=LP$1490,ROW(OFFSET(nombres[],0,0,ROWS(nombres[]),1))-ROW(OFFSET(nombres[],0,0,1,1))+1,ROW(OFFSET(nombres[],ROWS(nombres[])-1,0,1,1))+1),$O1541:$O1560),3),"")</f>
        <v/>
      </c>
      <c r="LQ1541" s="42" t="str">
        <f t="array" aca="1" ref="LQ1541" ca="1">IFERROR(INDEX(nombres[],SMALL(IF(OFFSET(nombres[],0,0,ROWS(nombres[]),1)=LQ$1490,ROW(OFFSET(nombres[],0,0,ROWS(nombres[]),1))-ROW(OFFSET(nombres[],0,0,1,1))+1,ROW(OFFSET(nombres[],ROWS(nombres[])-1,0,1,1))+1),$O1541:$O1560),3),"")</f>
        <v/>
      </c>
      <c r="LR1541" s="42" t="str">
        <f t="array" aca="1" ref="LR1541" ca="1">IFERROR(INDEX(nombres[],SMALL(IF(OFFSET(nombres[],0,0,ROWS(nombres[]),1)=LR$1490,ROW(OFFSET(nombres[],0,0,ROWS(nombres[]),1))-ROW(OFFSET(nombres[],0,0,1,1))+1,ROW(OFFSET(nombres[],ROWS(nombres[])-1,0,1,1))+1),$O1541:$O1560),3),"")</f>
        <v/>
      </c>
      <c r="LS1541" s="42">
        <f t="array" aca="1" ref="LS1541" ca="1">IFERROR(INDEX(nombres[],SMALL(IF(OFFSET(nombres[],0,0,ROWS(nombres[]),1)=LS$1490,ROW(OFFSET(nombres[],0,0,ROWS(nombres[]),1))-ROW(OFFSET(nombres[],0,0,1,1))+1,ROW(OFFSET(nombres[],ROWS(nombres[])-1,0,1,1))+1),$O1541:$O1560),3),"")</f>
        <v>530</v>
      </c>
      <c r="LT1541" s="42" t="str">
        <f t="array" aca="1" ref="LT1541" ca="1">IFERROR(INDEX(nombres[],SMALL(IF(OFFSET(nombres[],0,0,ROWS(nombres[]),1)=LT$1490,ROW(OFFSET(nombres[],0,0,ROWS(nombres[]),1))-ROW(OFFSET(nombres[],0,0,1,1))+1,ROW(OFFSET(nombres[],ROWS(nombres[])-1,0,1,1))+1),$O1541:$O1560),3),"")</f>
        <v/>
      </c>
      <c r="LU1541" s="42" t="str">
        <f t="array" aca="1" ref="LU1541" ca="1">IFERROR(INDEX(nombres[],SMALL(IF(OFFSET(nombres[],0,0,ROWS(nombres[]),1)=LU$1490,ROW(OFFSET(nombres[],0,0,ROWS(nombres[]),1))-ROW(OFFSET(nombres[],0,0,1,1))+1,ROW(OFFSET(nombres[],ROWS(nombres[])-1,0,1,1))+1),$O1541:$O1560),3),"")</f>
        <v/>
      </c>
      <c r="LV1541" s="42" t="str">
        <f t="array" aca="1" ref="LV1541" ca="1">IFERROR(INDEX(nombres[],SMALL(IF(OFFSET(nombres[],0,0,ROWS(nombres[]),1)=LV$1490,ROW(OFFSET(nombres[],0,0,ROWS(nombres[]),1))-ROW(OFFSET(nombres[],0,0,1,1))+1,ROW(OFFSET(nombres[],ROWS(nombres[])-1,0,1,1))+1),$O1541:$O1560),3),"")</f>
        <v/>
      </c>
      <c r="LW1541" s="42" t="str">
        <f t="array" aca="1" ref="LW1541" ca="1">IFERROR(INDEX(nombres[],SMALL(IF(OFFSET(nombres[],0,0,ROWS(nombres[]),1)=LW$1490,ROW(OFFSET(nombres[],0,0,ROWS(nombres[]),1))-ROW(OFFSET(nombres[],0,0,1,1))+1,ROW(OFFSET(nombres[],ROWS(nombres[])-1,0,1,1))+1),$O1541:$O1560),3),"")</f>
        <v/>
      </c>
      <c r="LX1541" s="42" t="str">
        <f t="array" aca="1" ref="LX1541" ca="1">IFERROR(INDEX(nombres[],SMALL(IF(OFFSET(nombres[],0,0,ROWS(nombres[]),1)=LX$1490,ROW(OFFSET(nombres[],0,0,ROWS(nombres[]),1))-ROW(OFFSET(nombres[],0,0,1,1))+1,ROW(OFFSET(nombres[],ROWS(nombres[])-1,0,1,1))+1),$O1541:$O1560),3),"")</f>
        <v/>
      </c>
      <c r="LY1541" s="42" t="str">
        <f t="array" aca="1" ref="LY1541" ca="1">IFERROR(INDEX(nombres[],SMALL(IF(OFFSET(nombres[],0,0,ROWS(nombres[]),1)=LY$1490,ROW(OFFSET(nombres[],0,0,ROWS(nombres[]),1))-ROW(OFFSET(nombres[],0,0,1,1))+1,ROW(OFFSET(nombres[],ROWS(nombres[])-1,0,1,1))+1),$O1541:$O1560),3),"")</f>
        <v/>
      </c>
      <c r="LZ1541" s="42" t="str">
        <f t="array" aca="1" ref="LZ1541" ca="1">IFERROR(INDEX(nombres[],SMALL(IF(OFFSET(nombres[],0,0,ROWS(nombres[]),1)=LZ$1490,ROW(OFFSET(nombres[],0,0,ROWS(nombres[]),1))-ROW(OFFSET(nombres[],0,0,1,1))+1,ROW(OFFSET(nombres[],ROWS(nombres[])-1,0,1,1))+1),$O1541:$O1560),3),"")</f>
        <v/>
      </c>
      <c r="MA1541" s="42" t="str">
        <f t="array" aca="1" ref="MA1541" ca="1">IFERROR(INDEX(nombres[],SMALL(IF(OFFSET(nombres[],0,0,ROWS(nombres[]),1)=MA$1490,ROW(OFFSET(nombres[],0,0,ROWS(nombres[]),1))-ROW(OFFSET(nombres[],0,0,1,1))+1,ROW(OFFSET(nombres[],ROWS(nombres[])-1,0,1,1))+1),$O1541:$O1560),3),"")</f>
        <v/>
      </c>
      <c r="MB1541" s="42" t="str">
        <f t="array" aca="1" ref="MB1541" ca="1">IFERROR(INDEX(nombres[],SMALL(IF(OFFSET(nombres[],0,0,ROWS(nombres[]),1)=MB$1490,ROW(OFFSET(nombres[],0,0,ROWS(nombres[]),1))-ROW(OFFSET(nombres[],0,0,1,1))+1,ROW(OFFSET(nombres[],ROWS(nombres[])-1,0,1,1))+1),$O1541:$O1560),3),"")</f>
        <v/>
      </c>
      <c r="MC1541" s="42" t="str">
        <f t="array" aca="1" ref="MC1541" ca="1">IFERROR(INDEX(nombres[],SMALL(IF(OFFSET(nombres[],0,0,ROWS(nombres[]),1)=MC$1490,ROW(OFFSET(nombres[],0,0,ROWS(nombres[]),1))-ROW(OFFSET(nombres[],0,0,1,1))+1,ROW(OFFSET(nombres[],ROWS(nombres[])-1,0,1,1))+1),$O1541:$O1560),3),"")</f>
        <v/>
      </c>
      <c r="MD1541" s="42" t="str">
        <f t="array" aca="1" ref="MD1541" ca="1">IFERROR(INDEX(nombres[],SMALL(IF(OFFSET(nombres[],0,0,ROWS(nombres[]),1)=MD$1490,ROW(OFFSET(nombres[],0,0,ROWS(nombres[]),1))-ROW(OFFSET(nombres[],0,0,1,1))+1,ROW(OFFSET(nombres[],ROWS(nombres[])-1,0,1,1))+1),$O1541:$O1560),3),"")</f>
        <v/>
      </c>
      <c r="ME1541" s="42" t="str">
        <f t="array" aca="1" ref="ME1541" ca="1">IFERROR(INDEX(nombres[],SMALL(IF(OFFSET(nombres[],0,0,ROWS(nombres[]),1)=ME$1490,ROW(OFFSET(nombres[],0,0,ROWS(nombres[]),1))-ROW(OFFSET(nombres[],0,0,1,1))+1,ROW(OFFSET(nombres[],ROWS(nombres[])-1,0,1,1))+1),$O1541:$O1560),3),"")</f>
        <v/>
      </c>
      <c r="MF1541" s="42" t="str">
        <f t="array" aca="1" ref="MF1541" ca="1">IFERROR(INDEX(nombres[],SMALL(IF(OFFSET(nombres[],0,0,ROWS(nombres[]),1)=MF$1490,ROW(OFFSET(nombres[],0,0,ROWS(nombres[]),1))-ROW(OFFSET(nombres[],0,0,1,1))+1,ROW(OFFSET(nombres[],ROWS(nombres[])-1,0,1,1))+1),$O1541:$O1560),3),"")</f>
        <v/>
      </c>
      <c r="MG1541" s="42" t="str">
        <f t="array" aca="1" ref="MG1541" ca="1">IFERROR(INDEX(nombres[],SMALL(IF(OFFSET(nombres[],0,0,ROWS(nombres[]),1)=MG$1490,ROW(OFFSET(nombres[],0,0,ROWS(nombres[]),1))-ROW(OFFSET(nombres[],0,0,1,1))+1,ROW(OFFSET(nombres[],ROWS(nombres[])-1,0,1,1))+1),$O1541:$O1560),3),"")</f>
        <v/>
      </c>
      <c r="MH1541" s="42" t="str">
        <f t="array" aca="1" ref="MH1541" ca="1">IFERROR(INDEX(nombres[],SMALL(IF(OFFSET(nombres[],0,0,ROWS(nombres[]),1)=MH$1490,ROW(OFFSET(nombres[],0,0,ROWS(nombres[]),1))-ROW(OFFSET(nombres[],0,0,1,1))+1,ROW(OFFSET(nombres[],ROWS(nombres[])-1,0,1,1))+1),$O1541:$O1560),3),"")</f>
        <v/>
      </c>
      <c r="MI1541" s="42" t="str">
        <f t="array" aca="1" ref="MI1541" ca="1">IFERROR(INDEX(nombres[],SMALL(IF(OFFSET(nombres[],0,0,ROWS(nombres[]),1)=MI$1490,ROW(OFFSET(nombres[],0,0,ROWS(nombres[]),1))-ROW(OFFSET(nombres[],0,0,1,1))+1,ROW(OFFSET(nombres[],ROWS(nombres[])-1,0,1,1))+1),$O1541:$O1560),3),"")</f>
        <v/>
      </c>
      <c r="MJ1541" s="42" t="str">
        <f t="array" aca="1" ref="MJ1541" ca="1">IFERROR(INDEX(nombres[],SMALL(IF(OFFSET(nombres[],0,0,ROWS(nombres[]),1)=MJ$1490,ROW(OFFSET(nombres[],0,0,ROWS(nombres[]),1))-ROW(OFFSET(nombres[],0,0,1,1))+1,ROW(OFFSET(nombres[],ROWS(nombres[])-1,0,1,1))+1),$O1541:$O1560),3),"")</f>
        <v/>
      </c>
      <c r="MK1541" s="42" t="str">
        <f t="array" aca="1" ref="MK1541" ca="1">IFERROR(INDEX(nombres[],SMALL(IF(OFFSET(nombres[],0,0,ROWS(nombres[]),1)=MK$1490,ROW(OFFSET(nombres[],0,0,ROWS(nombres[]),1))-ROW(OFFSET(nombres[],0,0,1,1))+1,ROW(OFFSET(nombres[],ROWS(nombres[])-1,0,1,1))+1),$O1541:$O1560),3),"")</f>
        <v/>
      </c>
      <c r="ML1541" s="42" t="str">
        <f t="array" aca="1" ref="ML1541" ca="1">IFERROR(INDEX(nombres[],SMALL(IF(OFFSET(nombres[],0,0,ROWS(nombres[]),1)=ML$1490,ROW(OFFSET(nombres[],0,0,ROWS(nombres[]),1))-ROW(OFFSET(nombres[],0,0,1,1))+1,ROW(OFFSET(nombres[],ROWS(nombres[])-1,0,1,1))+1),$O1541:$O1560),3),"")</f>
        <v/>
      </c>
      <c r="MM1541" s="42" t="str">
        <f t="array" aca="1" ref="MM1541" ca="1">IFERROR(INDEX(nombres[],SMALL(IF(OFFSET(nombres[],0,0,ROWS(nombres[]),1)=MM$1490,ROW(OFFSET(nombres[],0,0,ROWS(nombres[]),1))-ROW(OFFSET(nombres[],0,0,1,1))+1,ROW(OFFSET(nombres[],ROWS(nombres[])-1,0,1,1))+1),$O1541:$O1560),3),"")</f>
        <v/>
      </c>
      <c r="MN1541" s="42" t="str">
        <f t="array" aca="1" ref="MN1541" ca="1">IFERROR(INDEX(nombres[],SMALL(IF(OFFSET(nombres[],0,0,ROWS(nombres[]),1)=MN$1490,ROW(OFFSET(nombres[],0,0,ROWS(nombres[]),1))-ROW(OFFSET(nombres[],0,0,1,1))+1,ROW(OFFSET(nombres[],ROWS(nombres[])-1,0,1,1))+1),$O1541:$O1560),3),"")</f>
        <v/>
      </c>
      <c r="MO1541" s="42" t="str">
        <f t="array" aca="1" ref="MO1541" ca="1">IFERROR(INDEX(nombres[],SMALL(IF(OFFSET(nombres[],0,0,ROWS(nombres[]),1)=MO$1490,ROW(OFFSET(nombres[],0,0,ROWS(nombres[]),1))-ROW(OFFSET(nombres[],0,0,1,1))+1,ROW(OFFSET(nombres[],ROWS(nombres[])-1,0,1,1))+1),$O1541:$O1560),3),"")</f>
        <v/>
      </c>
      <c r="MP1541" s="42" t="str">
        <f t="array" aca="1" ref="MP1541" ca="1">IFERROR(INDEX(nombres[],SMALL(IF(OFFSET(nombres[],0,0,ROWS(nombres[]),1)=MP$1490,ROW(OFFSET(nombres[],0,0,ROWS(nombres[]),1))-ROW(OFFSET(nombres[],0,0,1,1))+1,ROW(OFFSET(nombres[],ROWS(nombres[])-1,0,1,1))+1),$O1541:$O1560),3),"")</f>
        <v/>
      </c>
      <c r="MQ1541" s="42" t="str">
        <f t="array" aca="1" ref="MQ1541" ca="1">IFERROR(INDEX(nombres[],SMALL(IF(OFFSET(nombres[],0,0,ROWS(nombres[]),1)=MQ$1490,ROW(OFFSET(nombres[],0,0,ROWS(nombres[]),1))-ROW(OFFSET(nombres[],0,0,1,1))+1,ROW(OFFSET(nombres[],ROWS(nombres[])-1,0,1,1))+1),$O1541:$O1560),3),"")</f>
        <v/>
      </c>
      <c r="MR1541" s="42" t="str">
        <f t="array" aca="1" ref="MR1541" ca="1">IFERROR(INDEX(nombres[],SMALL(IF(OFFSET(nombres[],0,0,ROWS(nombres[]),1)=MR$1490,ROW(OFFSET(nombres[],0,0,ROWS(nombres[]),1))-ROW(OFFSET(nombres[],0,0,1,1))+1,ROW(OFFSET(nombres[],ROWS(nombres[])-1,0,1,1))+1),$O1541:$O1560),3),"")</f>
        <v/>
      </c>
      <c r="MS1541" s="42" t="str">
        <f t="array" aca="1" ref="MS1541" ca="1">IFERROR(INDEX(nombres[],SMALL(IF(OFFSET(nombres[],0,0,ROWS(nombres[]),1)=MS$1490,ROW(OFFSET(nombres[],0,0,ROWS(nombres[]),1))-ROW(OFFSET(nombres[],0,0,1,1))+1,ROW(OFFSET(nombres[],ROWS(nombres[])-1,0,1,1))+1),$O1541:$O1560),3),"")</f>
        <v/>
      </c>
      <c r="MT1541" s="42" t="str">
        <f t="array" aca="1" ref="MT1541" ca="1">IFERROR(INDEX(nombres[],SMALL(IF(OFFSET(nombres[],0,0,ROWS(nombres[]),1)=MT$1490,ROW(OFFSET(nombres[],0,0,ROWS(nombres[]),1))-ROW(OFFSET(nombres[],0,0,1,1))+1,ROW(OFFSET(nombres[],ROWS(nombres[])-1,0,1,1))+1),$O1541:$O1560),3),"")</f>
        <v/>
      </c>
      <c r="MU1541" s="42" t="str">
        <f t="array" aca="1" ref="MU1541" ca="1">IFERROR(INDEX(nombres[],SMALL(IF(OFFSET(nombres[],0,0,ROWS(nombres[]),1)=MU$1490,ROW(OFFSET(nombres[],0,0,ROWS(nombres[]),1))-ROW(OFFSET(nombres[],0,0,1,1))+1,ROW(OFFSET(nombres[],ROWS(nombres[])-1,0,1,1))+1),$O1541:$O1560),3),"")</f>
        <v/>
      </c>
      <c r="MV1541" s="42" t="str">
        <f t="array" aca="1" ref="MV1541" ca="1">IFERROR(INDEX(nombres[],SMALL(IF(OFFSET(nombres[],0,0,ROWS(nombres[]),1)=MV$1490,ROW(OFFSET(nombres[],0,0,ROWS(nombres[]),1))-ROW(OFFSET(nombres[],0,0,1,1))+1,ROW(OFFSET(nombres[],ROWS(nombres[])-1,0,1,1))+1),$O1541:$O1560),3),"")</f>
        <v/>
      </c>
      <c r="MW1541" s="42" t="str">
        <f t="array" aca="1" ref="MW1541" ca="1">IFERROR(INDEX(nombres[],SMALL(IF(OFFSET(nombres[],0,0,ROWS(nombres[]),1)=MW$1490,ROW(OFFSET(nombres[],0,0,ROWS(nombres[]),1))-ROW(OFFSET(nombres[],0,0,1,1))+1,ROW(OFFSET(nombres[],ROWS(nombres[])-1,0,1,1))+1),$O1541:$O1560),3),"")</f>
        <v/>
      </c>
      <c r="MX1541" s="42" t="str">
        <f t="array" aca="1" ref="MX1541" ca="1">IFERROR(INDEX(nombres[],SMALL(IF(OFFSET(nombres[],0,0,ROWS(nombres[]),1)=MX$1490,ROW(OFFSET(nombres[],0,0,ROWS(nombres[]),1))-ROW(OFFSET(nombres[],0,0,1,1))+1,ROW(OFFSET(nombres[],ROWS(nombres[])-1,0,1,1))+1),$O1541:$O1560),3),"")</f>
        <v/>
      </c>
      <c r="MY1541" s="42" t="str">
        <f t="array" aca="1" ref="MY1541" ca="1">IFERROR(INDEX(nombres[],SMALL(IF(OFFSET(nombres[],0,0,ROWS(nombres[]),1)=MY$1490,ROW(OFFSET(nombres[],0,0,ROWS(nombres[]),1))-ROW(OFFSET(nombres[],0,0,1,1))+1,ROW(OFFSET(nombres[],ROWS(nombres[])-1,0,1,1))+1),$O1541:$O1560),3),"")</f>
        <v/>
      </c>
      <c r="MZ1541" s="42" t="str">
        <f t="array" aca="1" ref="MZ1541" ca="1">IFERROR(INDEX(nombres[],SMALL(IF(OFFSET(nombres[],0,0,ROWS(nombres[]),1)=MZ$1490,ROW(OFFSET(nombres[],0,0,ROWS(nombres[]),1))-ROW(OFFSET(nombres[],0,0,1,1))+1,ROW(OFFSET(nombres[],ROWS(nombres[])-1,0,1,1))+1),$O1541:$O1560),3),"")</f>
        <v/>
      </c>
      <c r="NA1541" s="42" t="str">
        <f t="array" aca="1" ref="NA1541" ca="1">IFERROR(INDEX(nombres[],SMALL(IF(OFFSET(nombres[],0,0,ROWS(nombres[]),1)=NA$1490,ROW(OFFSET(nombres[],0,0,ROWS(nombres[]),1))-ROW(OFFSET(nombres[],0,0,1,1))+1,ROW(OFFSET(nombres[],ROWS(nombres[])-1,0,1,1))+1),$O1541:$O1560),3),"")</f>
        <v/>
      </c>
      <c r="NB1541" s="42" t="str">
        <f t="array" aca="1" ref="NB1541" ca="1">IFERROR(INDEX(nombres[],SMALL(IF(OFFSET(nombres[],0,0,ROWS(nombres[]),1)=NB$1490,ROW(OFFSET(nombres[],0,0,ROWS(nombres[]),1))-ROW(OFFSET(nombres[],0,0,1,1))+1,ROW(OFFSET(nombres[],ROWS(nombres[])-1,0,1,1))+1),$O1541:$O1560),3),"")</f>
        <v/>
      </c>
      <c r="NC1541" s="42" t="str">
        <f t="array" aca="1" ref="NC1541" ca="1">IFERROR(INDEX(nombres[],SMALL(IF(OFFSET(nombres[],0,0,ROWS(nombres[]),1)=NC$1490,ROW(OFFSET(nombres[],0,0,ROWS(nombres[]),1))-ROW(OFFSET(nombres[],0,0,1,1))+1,ROW(OFFSET(nombres[],ROWS(nombres[])-1,0,1,1))+1),$O1541:$O1560),3),"")</f>
        <v/>
      </c>
      <c r="ND1541" s="42" t="str">
        <f t="array" aca="1" ref="ND1541" ca="1">IFERROR(INDEX(nombres[],SMALL(IF(OFFSET(nombres[],0,0,ROWS(nombres[]),1)=ND$1490,ROW(OFFSET(nombres[],0,0,ROWS(nombres[]),1))-ROW(OFFSET(nombres[],0,0,1,1))+1,ROW(OFFSET(nombres[],ROWS(nombres[])-1,0,1,1))+1),$O1541:$O1560),3),"")</f>
        <v/>
      </c>
      <c r="NE1541" s="42" t="str">
        <f t="array" aca="1" ref="NE1541" ca="1">IFERROR(INDEX(nombres[],SMALL(IF(OFFSET(nombres[],0,0,ROWS(nombres[]),1)=NE$1490,ROW(OFFSET(nombres[],0,0,ROWS(nombres[]),1))-ROW(OFFSET(nombres[],0,0,1,1))+1,ROW(OFFSET(nombres[],ROWS(nombres[])-1,0,1,1))+1),$O1541:$O1560),3),"")</f>
        <v/>
      </c>
      <c r="NF1541" s="42" t="str">
        <f t="array" aca="1" ref="NF1541" ca="1">IFERROR(INDEX(nombres[],SMALL(IF(OFFSET(nombres[],0,0,ROWS(nombres[]),1)=NF$1490,ROW(OFFSET(nombres[],0,0,ROWS(nombres[]),1))-ROW(OFFSET(nombres[],0,0,1,1))+1,ROW(OFFSET(nombres[],ROWS(nombres[])-1,0,1,1))+1),$O1541:$O1560),3),"")</f>
        <v/>
      </c>
      <c r="NG1541" s="42" t="str">
        <f t="array" aca="1" ref="NG1541" ca="1">IFERROR(INDEX(nombres[],SMALL(IF(OFFSET(nombres[],0,0,ROWS(nombres[]),1)=NG$1490,ROW(OFFSET(nombres[],0,0,ROWS(nombres[]),1))-ROW(OFFSET(nombres[],0,0,1,1))+1,ROW(OFFSET(nombres[],ROWS(nombres[])-1,0,1,1))+1),$O1541:$O1560),3),"")</f>
        <v/>
      </c>
      <c r="NH1541" s="42" t="str">
        <f t="array" aca="1" ref="NH1541" ca="1">IFERROR(INDEX(nombres[],SMALL(IF(OFFSET(nombres[],0,0,ROWS(nombres[]),1)=NH$1490,ROW(OFFSET(nombres[],0,0,ROWS(nombres[]),1))-ROW(OFFSET(nombres[],0,0,1,1))+1,ROW(OFFSET(nombres[],ROWS(nombres[])-1,0,1,1))+1),$O1541:$O1560),3),"")</f>
        <v/>
      </c>
      <c r="NI1541" s="42" t="str">
        <f t="array" aca="1" ref="NI1541" ca="1">IFERROR(INDEX(nombres[],SMALL(IF(OFFSET(nombres[],0,0,ROWS(nombres[]),1)=NI$1490,ROW(OFFSET(nombres[],0,0,ROWS(nombres[]),1))-ROW(OFFSET(nombres[],0,0,1,1))+1,ROW(OFFSET(nombres[],ROWS(nombres[])-1,0,1,1))+1),$O1541:$O1560),3),"")</f>
        <v/>
      </c>
      <c r="NJ1541" s="42" t="str">
        <f t="array" aca="1" ref="NJ1541" ca="1">IFERROR(INDEX(nombres[],SMALL(IF(OFFSET(nombres[],0,0,ROWS(nombres[]),1)=NJ$1490,ROW(OFFSET(nombres[],0,0,ROWS(nombres[]),1))-ROW(OFFSET(nombres[],0,0,1,1))+1,ROW(OFFSET(nombres[],ROWS(nombres[])-1,0,1,1))+1),$O1541:$O1560),3),"")</f>
        <v/>
      </c>
      <c r="NK1541" s="42" t="str">
        <f t="array" aca="1" ref="NK1541" ca="1">IFERROR(INDEX(nombres[],SMALL(IF(OFFSET(nombres[],0,0,ROWS(nombres[]),1)=NK$1490,ROW(OFFSET(nombres[],0,0,ROWS(nombres[]),1))-ROW(OFFSET(nombres[],0,0,1,1))+1,ROW(OFFSET(nombres[],ROWS(nombres[])-1,0,1,1))+1),$O1541:$O1560),3),"")</f>
        <v/>
      </c>
      <c r="NL1541" s="42" t="str">
        <f t="array" aca="1" ref="NL1541" ca="1">IFERROR(INDEX(nombres[],SMALL(IF(OFFSET(nombres[],0,0,ROWS(nombres[]),1)=NL$1490,ROW(OFFSET(nombres[],0,0,ROWS(nombres[]),1))-ROW(OFFSET(nombres[],0,0,1,1))+1,ROW(OFFSET(nombres[],ROWS(nombres[])-1,0,1,1))+1),$O1541:$O1560),3),"")</f>
        <v/>
      </c>
      <c r="NM1541" s="42" t="str">
        <f t="array" aca="1" ref="NM1541" ca="1">IFERROR(INDEX(nombres[],SMALL(IF(OFFSET(nombres[],0,0,ROWS(nombres[]),1)=NM$1490,ROW(OFFSET(nombres[],0,0,ROWS(nombres[]),1))-ROW(OFFSET(nombres[],0,0,1,1))+1,ROW(OFFSET(nombres[],ROWS(nombres[])-1,0,1,1))+1),$O1541:$O1560),3),"")</f>
        <v/>
      </c>
      <c r="NN1541" s="42" t="str">
        <f t="array" aca="1" ref="NN1541" ca="1">IFERROR(INDEX(nombres[],SMALL(IF(OFFSET(nombres[],0,0,ROWS(nombres[]),1)=NN$1490,ROW(OFFSET(nombres[],0,0,ROWS(nombres[]),1))-ROW(OFFSET(nombres[],0,0,1,1))+1,ROW(OFFSET(nombres[],ROWS(nombres[])-1,0,1,1))+1),$O1541:$O1560),3),"")</f>
        <v/>
      </c>
      <c r="NO1541" s="42" t="str">
        <f t="array" aca="1" ref="NO1541" ca="1">IFERROR(INDEX(nombres[],SMALL(IF(OFFSET(nombres[],0,0,ROWS(nombres[]),1)=NO$1490,ROW(OFFSET(nombres[],0,0,ROWS(nombres[]),1))-ROW(OFFSET(nombres[],0,0,1,1))+1,ROW(OFFSET(nombres[],ROWS(nombres[])-1,0,1,1))+1),$O1541:$O1560),3),"")</f>
        <v/>
      </c>
      <c r="NP1541" s="42" t="str">
        <f t="array" aca="1" ref="NP1541" ca="1">IFERROR(INDEX(nombres[],SMALL(IF(OFFSET(nombres[],0,0,ROWS(nombres[]),1)=NP$1490,ROW(OFFSET(nombres[],0,0,ROWS(nombres[]),1))-ROW(OFFSET(nombres[],0,0,1,1))+1,ROW(OFFSET(nombres[],ROWS(nombres[])-1,0,1,1))+1),$O1541:$O1560),3),"")</f>
        <v/>
      </c>
      <c r="NQ1541" s="42" t="str">
        <f t="array" aca="1" ref="NQ1541" ca="1">IFERROR(INDEX(nombres[],SMALL(IF(OFFSET(nombres[],0,0,ROWS(nombres[]),1)=NQ$1490,ROW(OFFSET(nombres[],0,0,ROWS(nombres[]),1))-ROW(OFFSET(nombres[],0,0,1,1))+1,ROW(OFFSET(nombres[],ROWS(nombres[])-1,0,1,1))+1),$O1541:$O1560),3),"")</f>
        <v/>
      </c>
      <c r="NR1541" s="42" t="str">
        <f t="array" aca="1" ref="NR1541" ca="1">IFERROR(INDEX(nombres[],SMALL(IF(OFFSET(nombres[],0,0,ROWS(nombres[]),1)=NR$1490,ROW(OFFSET(nombres[],0,0,ROWS(nombres[]),1))-ROW(OFFSET(nombres[],0,0,1,1))+1,ROW(OFFSET(nombres[],ROWS(nombres[])-1,0,1,1))+1),$O1541:$O1560),3),"")</f>
        <v/>
      </c>
      <c r="NS1541" s="42" t="str">
        <f t="array" aca="1" ref="NS1541" ca="1">IFERROR(INDEX(nombres[],SMALL(IF(OFFSET(nombres[],0,0,ROWS(nombres[]),1)=NS$1490,ROW(OFFSET(nombres[],0,0,ROWS(nombres[]),1))-ROW(OFFSET(nombres[],0,0,1,1))+1,ROW(OFFSET(nombres[],ROWS(nombres[])-1,0,1,1))+1),$O1541:$O1560),3),"")</f>
        <v/>
      </c>
      <c r="NT1541" s="42" t="str">
        <f t="array" aca="1" ref="NT1541" ca="1">IFERROR(INDEX(nombres[],SMALL(IF(OFFSET(nombres[],0,0,ROWS(nombres[]),1)=NT$1490,ROW(OFFSET(nombres[],0,0,ROWS(nombres[]),1))-ROW(OFFSET(nombres[],0,0,1,1))+1,ROW(OFFSET(nombres[],ROWS(nombres[])-1,0,1,1))+1),$O1541:$O1560),3),"")</f>
        <v/>
      </c>
      <c r="NU1541" s="42" t="str">
        <f t="array" aca="1" ref="NU1541" ca="1">IFERROR(INDEX(nombres[],SMALL(IF(OFFSET(nombres[],0,0,ROWS(nombres[]),1)=NU$1490,ROW(OFFSET(nombres[],0,0,ROWS(nombres[]),1))-ROW(OFFSET(nombres[],0,0,1,1))+1,ROW(OFFSET(nombres[],ROWS(nombres[])-1,0,1,1))+1),$O1541:$O1560),3),"")</f>
        <v/>
      </c>
      <c r="NV1541" s="42" t="str">
        <f t="array" aca="1" ref="NV1541" ca="1">IFERROR(INDEX(nombres[],SMALL(IF(OFFSET(nombres[],0,0,ROWS(nombres[]),1)=NV$1490,ROW(OFFSET(nombres[],0,0,ROWS(nombres[]),1))-ROW(OFFSET(nombres[],0,0,1,1))+1,ROW(OFFSET(nombres[],ROWS(nombres[])-1,0,1,1))+1),$O1541:$O1560),3),"")</f>
        <v/>
      </c>
      <c r="NW1541" s="42" t="str">
        <f t="array" aca="1" ref="NW1541" ca="1">IFERROR(INDEX(nombres[],SMALL(IF(OFFSET(nombres[],0,0,ROWS(nombres[]),1)=NW$1490,ROW(OFFSET(nombres[],0,0,ROWS(nombres[]),1))-ROW(OFFSET(nombres[],0,0,1,1))+1,ROW(OFFSET(nombres[],ROWS(nombres[])-1,0,1,1))+1),$O1541:$O1560),3),"")</f>
        <v/>
      </c>
      <c r="NX1541" s="42" t="str">
        <f t="array" aca="1" ref="NX1541" ca="1">IFERROR(INDEX(nombres[],SMALL(IF(OFFSET(nombres[],0,0,ROWS(nombres[]),1)=NX$1490,ROW(OFFSET(nombres[],0,0,ROWS(nombres[]),1))-ROW(OFFSET(nombres[],0,0,1,1))+1,ROW(OFFSET(nombres[],ROWS(nombres[])-1,0,1,1))+1),$O1541:$O1560),3),"")</f>
        <v/>
      </c>
      <c r="NY1541" s="42" t="str">
        <f t="array" aca="1" ref="NY1541" ca="1">IFERROR(INDEX(nombres[],SMALL(IF(OFFSET(nombres[],0,0,ROWS(nombres[]),1)=NY$1490,ROW(OFFSET(nombres[],0,0,ROWS(nombres[]),1))-ROW(OFFSET(nombres[],0,0,1,1))+1,ROW(OFFSET(nombres[],ROWS(nombres[])-1,0,1,1))+1),$O1541:$O1560),3),"")</f>
        <v/>
      </c>
      <c r="NZ1541" s="42" t="str">
        <f t="array" aca="1" ref="NZ1541" ca="1">IFERROR(INDEX(nombres[],SMALL(IF(OFFSET(nombres[],0,0,ROWS(nombres[]),1)=NZ$1490,ROW(OFFSET(nombres[],0,0,ROWS(nombres[]),1))-ROW(OFFSET(nombres[],0,0,1,1))+1,ROW(OFFSET(nombres[],ROWS(nombres[])-1,0,1,1))+1),$O1541:$O1560),3),"")</f>
        <v/>
      </c>
      <c r="OA1541" s="42" t="str">
        <f t="array" aca="1" ref="OA1541" ca="1">IFERROR(INDEX(nombres[],SMALL(IF(OFFSET(nombres[],0,0,ROWS(nombres[]),1)=OA$1490,ROW(OFFSET(nombres[],0,0,ROWS(nombres[]),1))-ROW(OFFSET(nombres[],0,0,1,1))+1,ROW(OFFSET(nombres[],ROWS(nombres[])-1,0,1,1))+1),$O1541:$O1560),3),"")</f>
        <v/>
      </c>
      <c r="OB1541" s="42" t="str">
        <f t="array" aca="1" ref="OB1541" ca="1">IFERROR(INDEX(nombres[],SMALL(IF(OFFSET(nombres[],0,0,ROWS(nombres[]),1)=OB$1490,ROW(OFFSET(nombres[],0,0,ROWS(nombres[]),1))-ROW(OFFSET(nombres[],0,0,1,1))+1,ROW(OFFSET(nombres[],ROWS(nombres[])-1,0,1,1))+1),$O1541:$O1560),3),"")</f>
        <v/>
      </c>
      <c r="OC1541" s="42" t="str">
        <f t="array" aca="1" ref="OC1541" ca="1">IFERROR(INDEX(nombres[],SMALL(IF(OFFSET(nombres[],0,0,ROWS(nombres[]),1)=OC$1490,ROW(OFFSET(nombres[],0,0,ROWS(nombres[]),1))-ROW(OFFSET(nombres[],0,0,1,1))+1,ROW(OFFSET(nombres[],ROWS(nombres[])-1,0,1,1))+1),$O1541:$O1560),3),"")</f>
        <v/>
      </c>
      <c r="OD1541" s="42" t="str">
        <f t="array" aca="1" ref="OD1541" ca="1">IFERROR(INDEX(nombres[],SMALL(IF(OFFSET(nombres[],0,0,ROWS(nombres[]),1)=OD$1490,ROW(OFFSET(nombres[],0,0,ROWS(nombres[]),1))-ROW(OFFSET(nombres[],0,0,1,1))+1,ROW(OFFSET(nombres[],ROWS(nombres[])-1,0,1,1))+1),$O1541:$O1560),3),"")</f>
        <v/>
      </c>
      <c r="OE1541" s="42" t="str">
        <f t="array" aca="1" ref="OE1541" ca="1">IFERROR(INDEX(nombres[],SMALL(IF(OFFSET(nombres[],0,0,ROWS(nombres[]),1)=OE$1490,ROW(OFFSET(nombres[],0,0,ROWS(nombres[]),1))-ROW(OFFSET(nombres[],0,0,1,1))+1,ROW(OFFSET(nombres[],ROWS(nombres[])-1,0,1,1))+1),$O1541:$O1560),3),"")</f>
        <v/>
      </c>
      <c r="OF1541" s="42" t="str">
        <f t="array" aca="1" ref="OF1541" ca="1">IFERROR(INDEX(nombres[],SMALL(IF(OFFSET(nombres[],0,0,ROWS(nombres[]),1)=OF$1490,ROW(OFFSET(nombres[],0,0,ROWS(nombres[]),1))-ROW(OFFSET(nombres[],0,0,1,1))+1,ROW(OFFSET(nombres[],ROWS(nombres[])-1,0,1,1))+1),$O1541:$O1560),3),"")</f>
        <v/>
      </c>
      <c r="OG1541" s="42" t="str">
        <f t="array" aca="1" ref="OG1541" ca="1">IFERROR(INDEX(nombres[],SMALL(IF(OFFSET(nombres[],0,0,ROWS(nombres[]),1)=OG$1490,ROW(OFFSET(nombres[],0,0,ROWS(nombres[]),1))-ROW(OFFSET(nombres[],0,0,1,1))+1,ROW(OFFSET(nombres[],ROWS(nombres[])-1,0,1,1))+1),$O1541:$O1560),3),"")</f>
        <v/>
      </c>
      <c r="OH1541" s="42" t="str">
        <f t="array" aca="1" ref="OH1541" ca="1">IFERROR(INDEX(nombres[],SMALL(IF(OFFSET(nombres[],0,0,ROWS(nombres[]),1)=OH$1490,ROW(OFFSET(nombres[],0,0,ROWS(nombres[]),1))-ROW(OFFSET(nombres[],0,0,1,1))+1,ROW(OFFSET(nombres[],ROWS(nombres[])-1,0,1,1))+1),$O1541:$O1560),3),"")</f>
        <v/>
      </c>
      <c r="OI1541" s="42" t="str">
        <f t="array" aca="1" ref="OI1541" ca="1">IFERROR(INDEX(nombres[],SMALL(IF(OFFSET(nombres[],0,0,ROWS(nombres[]),1)=OI$1490,ROW(OFFSET(nombres[],0,0,ROWS(nombres[]),1))-ROW(OFFSET(nombres[],0,0,1,1))+1,ROW(OFFSET(nombres[],ROWS(nombres[])-1,0,1,1))+1),$O1541:$O1560),3),"")</f>
        <v/>
      </c>
      <c r="OJ1541" s="42" t="str">
        <f t="array" aca="1" ref="OJ1541" ca="1">IFERROR(INDEX(nombres[],SMALL(IF(OFFSET(nombres[],0,0,ROWS(nombres[]),1)=OJ$1490,ROW(OFFSET(nombres[],0,0,ROWS(nombres[]),1))-ROW(OFFSET(nombres[],0,0,1,1))+1,ROW(OFFSET(nombres[],ROWS(nombres[])-1,0,1,1))+1),$O1541:$O1560),3),"")</f>
        <v/>
      </c>
      <c r="OK1541" s="42" t="str">
        <f t="array" aca="1" ref="OK1541" ca="1">IFERROR(INDEX(nombres[],SMALL(IF(OFFSET(nombres[],0,0,ROWS(nombres[]),1)=OK$1490,ROW(OFFSET(nombres[],0,0,ROWS(nombres[]),1))-ROW(OFFSET(nombres[],0,0,1,1))+1,ROW(OFFSET(nombres[],ROWS(nombres[])-1,0,1,1))+1),$O1541:$O1560),3),"")</f>
        <v/>
      </c>
      <c r="OL1541" s="42" t="str">
        <f t="array" aca="1" ref="OL1541" ca="1">IFERROR(INDEX(nombres[],SMALL(IF(OFFSET(nombres[],0,0,ROWS(nombres[]),1)=OL$1490,ROW(OFFSET(nombres[],0,0,ROWS(nombres[]),1))-ROW(OFFSET(nombres[],0,0,1,1))+1,ROW(OFFSET(nombres[],ROWS(nombres[])-1,0,1,1))+1),$O1541:$O1560),3),"")</f>
        <v/>
      </c>
      <c r="OM1541" s="42" t="str">
        <f t="array" aca="1" ref="OM1541" ca="1">IFERROR(INDEX(nombres[],SMALL(IF(OFFSET(nombres[],0,0,ROWS(nombres[]),1)=OM$1490,ROW(OFFSET(nombres[],0,0,ROWS(nombres[]),1))-ROW(OFFSET(nombres[],0,0,1,1))+1,ROW(OFFSET(nombres[],ROWS(nombres[])-1,0,1,1))+1),$O1541:$O1560),3),"")</f>
        <v/>
      </c>
      <c r="ON1541" s="42" t="str">
        <f t="array" aca="1" ref="ON1541" ca="1">IFERROR(INDEX(nombres[],SMALL(IF(OFFSET(nombres[],0,0,ROWS(nombres[]),1)=ON$1490,ROW(OFFSET(nombres[],0,0,ROWS(nombres[]),1))-ROW(OFFSET(nombres[],0,0,1,1))+1,ROW(OFFSET(nombres[],ROWS(nombres[])-1,0,1,1))+1),$O1541:$O1560),3),"")</f>
        <v/>
      </c>
      <c r="OO1541" s="42" t="str">
        <f t="array" aca="1" ref="OO1541" ca="1">IFERROR(INDEX(nombres[],SMALL(IF(OFFSET(nombres[],0,0,ROWS(nombres[]),1)=OO$1490,ROW(OFFSET(nombres[],0,0,ROWS(nombres[]),1))-ROW(OFFSET(nombres[],0,0,1,1))+1,ROW(OFFSET(nombres[],ROWS(nombres[])-1,0,1,1))+1),$O1541:$O1560),3),"")</f>
        <v/>
      </c>
      <c r="OP1541" s="42" t="str">
        <f t="array" aca="1" ref="OP1541" ca="1">IFERROR(INDEX(nombres[],SMALL(IF(OFFSET(nombres[],0,0,ROWS(nombres[]),1)=OP$1490,ROW(OFFSET(nombres[],0,0,ROWS(nombres[]),1))-ROW(OFFSET(nombres[],0,0,1,1))+1,ROW(OFFSET(nombres[],ROWS(nombres[])-1,0,1,1))+1),$O1541:$O1560),3),"")</f>
        <v/>
      </c>
      <c r="OQ1541" s="42" t="str">
        <f t="array" aca="1" ref="OQ1541" ca="1">IFERROR(INDEX(nombres[],SMALL(IF(OFFSET(nombres[],0,0,ROWS(nombres[]),1)=OQ$1490,ROW(OFFSET(nombres[],0,0,ROWS(nombres[]),1))-ROW(OFFSET(nombres[],0,0,1,1))+1,ROW(OFFSET(nombres[],ROWS(nombres[])-1,0,1,1))+1),$O1541:$O1560),3),"")</f>
        <v/>
      </c>
      <c r="OR1541" s="42" t="str">
        <f t="array" aca="1" ref="OR1541" ca="1">IFERROR(INDEX(nombres[],SMALL(IF(OFFSET(nombres[],0,0,ROWS(nombres[]),1)=OR$1490,ROW(OFFSET(nombres[],0,0,ROWS(nombres[]),1))-ROW(OFFSET(nombres[],0,0,1,1))+1,ROW(OFFSET(nombres[],ROWS(nombres[])-1,0,1,1))+1),$O1541:$O1560),3),"")</f>
        <v/>
      </c>
      <c r="OS1541" s="42" t="str">
        <f t="array" aca="1" ref="OS1541" ca="1">IFERROR(INDEX(nombres[],SMALL(IF(OFFSET(nombres[],0,0,ROWS(nombres[]),1)=OS$1490,ROW(OFFSET(nombres[],0,0,ROWS(nombres[]),1))-ROW(OFFSET(nombres[],0,0,1,1))+1,ROW(OFFSET(nombres[],ROWS(nombres[])-1,0,1,1))+1),$O1541:$O1560),3),"")</f>
        <v/>
      </c>
      <c r="OT1541" s="42" t="str">
        <f t="array" aca="1" ref="OT1541" ca="1">IFERROR(INDEX(nombres[],SMALL(IF(OFFSET(nombres[],0,0,ROWS(nombres[]),1)=OT$1490,ROW(OFFSET(nombres[],0,0,ROWS(nombres[]),1))-ROW(OFFSET(nombres[],0,0,1,1))+1,ROW(OFFSET(nombres[],ROWS(nombres[])-1,0,1,1))+1),$O1541:$O1560),3),"")</f>
        <v/>
      </c>
      <c r="OU1541" s="42" t="str">
        <f t="array" aca="1" ref="OU1541" ca="1">IFERROR(INDEX(nombres[],SMALL(IF(OFFSET(nombres[],0,0,ROWS(nombres[]),1)=OU$1490,ROW(OFFSET(nombres[],0,0,ROWS(nombres[]),1))-ROW(OFFSET(nombres[],0,0,1,1))+1,ROW(OFFSET(nombres[],ROWS(nombres[])-1,0,1,1))+1),$O1541:$O1560),3),"")</f>
        <v/>
      </c>
      <c r="OV1541" s="42" t="str">
        <f t="array" aca="1" ref="OV1541" ca="1">IFERROR(INDEX(nombres[],SMALL(IF(OFFSET(nombres[],0,0,ROWS(nombres[]),1)=OV$1490,ROW(OFFSET(nombres[],0,0,ROWS(nombres[]),1))-ROW(OFFSET(nombres[],0,0,1,1))+1,ROW(OFFSET(nombres[],ROWS(nombres[])-1,0,1,1))+1),$O1541:$O1560),3),"")</f>
        <v/>
      </c>
      <c r="OW1541" s="42" t="str">
        <f t="array" aca="1" ref="OW1541" ca="1">IFERROR(INDEX(nombres[],SMALL(IF(OFFSET(nombres[],0,0,ROWS(nombres[]),1)=OW$1490,ROW(OFFSET(nombres[],0,0,ROWS(nombres[]),1))-ROW(OFFSET(nombres[],0,0,1,1))+1,ROW(OFFSET(nombres[],ROWS(nombres[])-1,0,1,1))+1),$O1541:$O1560),3),"")</f>
        <v/>
      </c>
      <c r="OX1541" s="42" t="str">
        <f t="array" aca="1" ref="OX1541" ca="1">IFERROR(INDEX(nombres[],SMALL(IF(OFFSET(nombres[],0,0,ROWS(nombres[]),1)=OX$1490,ROW(OFFSET(nombres[],0,0,ROWS(nombres[]),1))-ROW(OFFSET(nombres[],0,0,1,1))+1,ROW(OFFSET(nombres[],ROWS(nombres[])-1,0,1,1))+1),$O1541:$O1560),3),"")</f>
        <v/>
      </c>
      <c r="OY1541" s="42" t="str">
        <f t="array" aca="1" ref="OY1541" ca="1">IFERROR(INDEX(nombres[],SMALL(IF(OFFSET(nombres[],0,0,ROWS(nombres[]),1)=OY$1490,ROW(OFFSET(nombres[],0,0,ROWS(nombres[]),1))-ROW(OFFSET(nombres[],0,0,1,1))+1,ROW(OFFSET(nombres[],ROWS(nombres[])-1,0,1,1))+1),$O1541:$O1560),3),"")</f>
        <v/>
      </c>
      <c r="OZ1541" s="42" t="str">
        <f t="array" aca="1" ref="OZ1541" ca="1">IFERROR(INDEX(nombres[],SMALL(IF(OFFSET(nombres[],0,0,ROWS(nombres[]),1)=OZ$1490,ROW(OFFSET(nombres[],0,0,ROWS(nombres[]),1))-ROW(OFFSET(nombres[],0,0,1,1))+1,ROW(OFFSET(nombres[],ROWS(nombres[])-1,0,1,1))+1),$O1541:$O1560),3),"")</f>
        <v/>
      </c>
      <c r="PA1541" s="42" t="str">
        <f t="array" aca="1" ref="PA1541" ca="1">IFERROR(INDEX(nombres[],SMALL(IF(OFFSET(nombres[],0,0,ROWS(nombres[]),1)=PA$1490,ROW(OFFSET(nombres[],0,0,ROWS(nombres[]),1))-ROW(OFFSET(nombres[],0,0,1,1))+1,ROW(OFFSET(nombres[],ROWS(nombres[])-1,0,1,1))+1),$O1541:$O1560),3),"")</f>
        <v/>
      </c>
      <c r="PB1541" s="42" t="str">
        <f t="array" aca="1" ref="PB1541" ca="1">IFERROR(INDEX(nombres[],SMALL(IF(OFFSET(nombres[],0,0,ROWS(nombres[]),1)=PB$1490,ROW(OFFSET(nombres[],0,0,ROWS(nombres[]),1))-ROW(OFFSET(nombres[],0,0,1,1))+1,ROW(OFFSET(nombres[],ROWS(nombres[])-1,0,1,1))+1),$O1541:$O1560),3),"")</f>
        <v/>
      </c>
      <c r="PC1541" s="42" t="str">
        <f t="array" aca="1" ref="PC1541" ca="1">IFERROR(INDEX(nombres[],SMALL(IF(OFFSET(nombres[],0,0,ROWS(nombres[]),1)=PC$1490,ROW(OFFSET(nombres[],0,0,ROWS(nombres[]),1))-ROW(OFFSET(nombres[],0,0,1,1))+1,ROW(OFFSET(nombres[],ROWS(nombres[])-1,0,1,1))+1),$O1541:$O1560),3),"")</f>
        <v/>
      </c>
      <c r="PD1541" s="42" t="str">
        <f t="array" aca="1" ref="PD1541" ca="1">IFERROR(INDEX(nombres[],SMALL(IF(OFFSET(nombres[],0,0,ROWS(nombres[]),1)=PD$1490,ROW(OFFSET(nombres[],0,0,ROWS(nombres[]),1))-ROW(OFFSET(nombres[],0,0,1,1))+1,ROW(OFFSET(nombres[],ROWS(nombres[])-1,0,1,1))+1),$O1541:$O1560),3),"")</f>
        <v/>
      </c>
      <c r="PE1541" s="42" t="str">
        <f t="array" aca="1" ref="PE1541" ca="1">IFERROR(INDEX(nombres[],SMALL(IF(OFFSET(nombres[],0,0,ROWS(nombres[]),1)=PE$1490,ROW(OFFSET(nombres[],0,0,ROWS(nombres[]),1))-ROW(OFFSET(nombres[],0,0,1,1))+1,ROW(OFFSET(nombres[],ROWS(nombres[])-1,0,1,1))+1),$O1541:$O1560),3),"")</f>
        <v/>
      </c>
      <c r="PF1541" s="42" t="str">
        <f t="array" aca="1" ref="PF1541" ca="1">IFERROR(INDEX(nombres[],SMALL(IF(OFFSET(nombres[],0,0,ROWS(nombres[]),1)=PF$1490,ROW(OFFSET(nombres[],0,0,ROWS(nombres[]),1))-ROW(OFFSET(nombres[],0,0,1,1))+1,ROW(OFFSET(nombres[],ROWS(nombres[])-1,0,1,1))+1),$O1541:$O1560),3),"")</f>
        <v/>
      </c>
      <c r="PG1541" s="42" t="str">
        <f t="array" aca="1" ref="PG1541" ca="1">IFERROR(INDEX(nombres[],SMALL(IF(OFFSET(nombres[],0,0,ROWS(nombres[]),1)=PG$1490,ROW(OFFSET(nombres[],0,0,ROWS(nombres[]),1))-ROW(OFFSET(nombres[],0,0,1,1))+1,ROW(OFFSET(nombres[],ROWS(nombres[])-1,0,1,1))+1),$O1541:$O1560),3),"")</f>
        <v/>
      </c>
      <c r="PH1541" s="42" t="str">
        <f t="array" aca="1" ref="PH1541" ca="1">IFERROR(INDEX(nombres[],SMALL(IF(OFFSET(nombres[],0,0,ROWS(nombres[]),1)=PH$1490,ROW(OFFSET(nombres[],0,0,ROWS(nombres[]),1))-ROW(OFFSET(nombres[],0,0,1,1))+1,ROW(OFFSET(nombres[],ROWS(nombres[])-1,0,1,1))+1),$O1541:$O1560),3),"")</f>
        <v/>
      </c>
      <c r="PI1541" s="42" t="str">
        <f t="array" aca="1" ref="PI1541" ca="1">IFERROR(INDEX(nombres[],SMALL(IF(OFFSET(nombres[],0,0,ROWS(nombres[]),1)=PI$1490,ROW(OFFSET(nombres[],0,0,ROWS(nombres[]),1))-ROW(OFFSET(nombres[],0,0,1,1))+1,ROW(OFFSET(nombres[],ROWS(nombres[])-1,0,1,1))+1),$O1541:$O1560),3),"")</f>
        <v/>
      </c>
      <c r="PJ1541" s="42" t="str">
        <f t="array" aca="1" ref="PJ1541" ca="1">IFERROR(INDEX(nombres[],SMALL(IF(OFFSET(nombres[],0,0,ROWS(nombres[]),1)=PJ$1490,ROW(OFFSET(nombres[],0,0,ROWS(nombres[]),1))-ROW(OFFSET(nombres[],0,0,1,1))+1,ROW(OFFSET(nombres[],ROWS(nombres[])-1,0,1,1))+1),$O1541:$O1560),3),"")</f>
        <v/>
      </c>
      <c r="PK1541" s="42" t="str">
        <f t="array" aca="1" ref="PK1541" ca="1">IFERROR(INDEX(nombres[],SMALL(IF(OFFSET(nombres[],0,0,ROWS(nombres[]),1)=PK$1490,ROW(OFFSET(nombres[],0,0,ROWS(nombres[]),1))-ROW(OFFSET(nombres[],0,0,1,1))+1,ROW(OFFSET(nombres[],ROWS(nombres[])-1,0,1,1))+1),$O1541:$O1560),3),"")</f>
        <v/>
      </c>
      <c r="PL1541" s="42" t="str">
        <f t="array" aca="1" ref="PL1541" ca="1">IFERROR(INDEX(nombres[],SMALL(IF(OFFSET(nombres[],0,0,ROWS(nombres[]),1)=PL$1490,ROW(OFFSET(nombres[],0,0,ROWS(nombres[]),1))-ROW(OFFSET(nombres[],0,0,1,1))+1,ROW(OFFSET(nombres[],ROWS(nombres[])-1,0,1,1))+1),$O1541:$O1560),3),"")</f>
        <v/>
      </c>
      <c r="PM1541" s="42" t="str">
        <f t="array" aca="1" ref="PM1541" ca="1">IFERROR(INDEX(nombres[],SMALL(IF(OFFSET(nombres[],0,0,ROWS(nombres[]),1)=PM$1490,ROW(OFFSET(nombres[],0,0,ROWS(nombres[]),1))-ROW(OFFSET(nombres[],0,0,1,1))+1,ROW(OFFSET(nombres[],ROWS(nombres[])-1,0,1,1))+1),$O1541:$O1560),3),"")</f>
        <v/>
      </c>
      <c r="PN1541" s="42" t="str">
        <f t="array" aca="1" ref="PN1541" ca="1">IFERROR(INDEX(nombres[],SMALL(IF(OFFSET(nombres[],0,0,ROWS(nombres[]),1)=PN$1490,ROW(OFFSET(nombres[],0,0,ROWS(nombres[]),1))-ROW(OFFSET(nombres[],0,0,1,1))+1,ROW(OFFSET(nombres[],ROWS(nombres[])-1,0,1,1))+1),$O1541:$O1560),3),"")</f>
        <v/>
      </c>
      <c r="PO1541" s="42" t="str">
        <f t="array" aca="1" ref="PO1541" ca="1">IFERROR(INDEX(nombres[],SMALL(IF(OFFSET(nombres[],0,0,ROWS(nombres[]),1)=PO$1490,ROW(OFFSET(nombres[],0,0,ROWS(nombres[]),1))-ROW(OFFSET(nombres[],0,0,1,1))+1,ROW(OFFSET(nombres[],ROWS(nombres[])-1,0,1,1))+1),$O1541:$O1560),3),"")</f>
        <v/>
      </c>
      <c r="PP1541" s="42" t="str">
        <f t="array" aca="1" ref="PP1541" ca="1">IFERROR(INDEX(nombres[],SMALL(IF(OFFSET(nombres[],0,0,ROWS(nombres[]),1)=PP$1490,ROW(OFFSET(nombres[],0,0,ROWS(nombres[]),1))-ROW(OFFSET(nombres[],0,0,1,1))+1,ROW(OFFSET(nombres[],ROWS(nombres[])-1,0,1,1))+1),$O1541:$O1560),3),"")</f>
        <v/>
      </c>
      <c r="PQ1541" s="42" t="str">
        <f t="array" aca="1" ref="PQ1541" ca="1">IFERROR(INDEX(nombres[],SMALL(IF(OFFSET(nombres[],0,0,ROWS(nombres[]),1)=PQ$1490,ROW(OFFSET(nombres[],0,0,ROWS(nombres[]),1))-ROW(OFFSET(nombres[],0,0,1,1))+1,ROW(OFFSET(nombres[],ROWS(nombres[])-1,0,1,1))+1),$O1541:$O1560),3),"")</f>
        <v/>
      </c>
      <c r="PR1541" s="42" t="str">
        <f t="array" aca="1" ref="PR1541" ca="1">IFERROR(INDEX(nombres[],SMALL(IF(OFFSET(nombres[],0,0,ROWS(nombres[]),1)=PR$1490,ROW(OFFSET(nombres[],0,0,ROWS(nombres[]),1))-ROW(OFFSET(nombres[],0,0,1,1))+1,ROW(OFFSET(nombres[],ROWS(nombres[])-1,0,1,1))+1),$O1541:$O1560),3),"")</f>
        <v/>
      </c>
      <c r="PS1541" s="42" t="str">
        <f t="array" aca="1" ref="PS1541" ca="1">IFERROR(INDEX(nombres[],SMALL(IF(OFFSET(nombres[],0,0,ROWS(nombres[]),1)=PS$1490,ROW(OFFSET(nombres[],0,0,ROWS(nombres[]),1))-ROW(OFFSET(nombres[],0,0,1,1))+1,ROW(OFFSET(nombres[],ROWS(nombres[])-1,0,1,1))+1),$O1541:$O1560),3),"")</f>
        <v/>
      </c>
      <c r="PT1541" s="42" t="str">
        <f t="array" aca="1" ref="PT1541" ca="1">IFERROR(INDEX(nombres[],SMALL(IF(OFFSET(nombres[],0,0,ROWS(nombres[]),1)=PT$1490,ROW(OFFSET(nombres[],0,0,ROWS(nombres[]),1))-ROW(OFFSET(nombres[],0,0,1,1))+1,ROW(OFFSET(nombres[],ROWS(nombres[])-1,0,1,1))+1),$O1541:$O1560),3),"")</f>
        <v/>
      </c>
      <c r="PU1541" s="42" t="str">
        <f t="array" aca="1" ref="PU1541" ca="1">IFERROR(INDEX(nombres[],SMALL(IF(OFFSET(nombres[],0,0,ROWS(nombres[]),1)=PU$1490,ROW(OFFSET(nombres[],0,0,ROWS(nombres[]),1))-ROW(OFFSET(nombres[],0,0,1,1))+1,ROW(OFFSET(nombres[],ROWS(nombres[])-1,0,1,1))+1),$O1541:$O1560),3),"")</f>
        <v/>
      </c>
      <c r="PV1541" s="42" t="str">
        <f t="array" aca="1" ref="PV1541" ca="1">IFERROR(INDEX(nombres[],SMALL(IF(OFFSET(nombres[],0,0,ROWS(nombres[]),1)=PV$1490,ROW(OFFSET(nombres[],0,0,ROWS(nombres[]),1))-ROW(OFFSET(nombres[],0,0,1,1))+1,ROW(OFFSET(nombres[],ROWS(nombres[])-1,0,1,1))+1),$O1541:$O1560),3),"")</f>
        <v/>
      </c>
      <c r="PW1541" s="42" t="str">
        <f t="array" aca="1" ref="PW1541" ca="1">IFERROR(INDEX(nombres[],SMALL(IF(OFFSET(nombres[],0,0,ROWS(nombres[]),1)=PW$1490,ROW(OFFSET(nombres[],0,0,ROWS(nombres[]),1))-ROW(OFFSET(nombres[],0,0,1,1))+1,ROW(OFFSET(nombres[],ROWS(nombres[])-1,0,1,1))+1),$O1541:$O1560),3),"")</f>
        <v/>
      </c>
      <c r="PX1541" s="42" t="str">
        <f t="array" aca="1" ref="PX1541" ca="1">IFERROR(INDEX(nombres[],SMALL(IF(OFFSET(nombres[],0,0,ROWS(nombres[]),1)=PX$1490,ROW(OFFSET(nombres[],0,0,ROWS(nombres[]),1))-ROW(OFFSET(nombres[],0,0,1,1))+1,ROW(OFFSET(nombres[],ROWS(nombres[])-1,0,1,1))+1),$O1541:$O1560),3),"")</f>
        <v/>
      </c>
      <c r="PY1541" s="42" t="str">
        <f t="array" aca="1" ref="PY1541" ca="1">IFERROR(INDEX(nombres[],SMALL(IF(OFFSET(nombres[],0,0,ROWS(nombres[]),1)=PY$1490,ROW(OFFSET(nombres[],0,0,ROWS(nombres[]),1))-ROW(OFFSET(nombres[],0,0,1,1))+1,ROW(OFFSET(nombres[],ROWS(nombres[])-1,0,1,1))+1),$O1541:$O1560),3),"")</f>
        <v/>
      </c>
      <c r="PZ1541" s="42" t="str">
        <f t="array" aca="1" ref="PZ1541" ca="1">IFERROR(INDEX(nombres[],SMALL(IF(OFFSET(nombres[],0,0,ROWS(nombres[]),1)=PZ$1490,ROW(OFFSET(nombres[],0,0,ROWS(nombres[]),1))-ROW(OFFSET(nombres[],0,0,1,1))+1,ROW(OFFSET(nombres[],ROWS(nombres[])-1,0,1,1))+1),$O1541:$O1560),3),"")</f>
        <v/>
      </c>
      <c r="QA1541" s="42" t="str">
        <f t="array" aca="1" ref="QA1541" ca="1">IFERROR(INDEX(nombres[],SMALL(IF(OFFSET(nombres[],0,0,ROWS(nombres[]),1)=QA$1490,ROW(OFFSET(nombres[],0,0,ROWS(nombres[]),1))-ROW(OFFSET(nombres[],0,0,1,1))+1,ROW(OFFSET(nombres[],ROWS(nombres[])-1,0,1,1))+1),$O1541:$O1560),3),"")</f>
        <v/>
      </c>
      <c r="QB1541" s="42" t="str">
        <f t="array" aca="1" ref="QB1541" ca="1">IFERROR(INDEX(nombres[],SMALL(IF(OFFSET(nombres[],0,0,ROWS(nombres[]),1)=QB$1490,ROW(OFFSET(nombres[],0,0,ROWS(nombres[]),1))-ROW(OFFSET(nombres[],0,0,1,1))+1,ROW(OFFSET(nombres[],ROWS(nombres[])-1,0,1,1))+1),$O1541:$O1560),3),"")</f>
        <v/>
      </c>
      <c r="QC1541" s="42" t="str">
        <f t="array" aca="1" ref="QC1541" ca="1">IFERROR(INDEX(nombres[],SMALL(IF(OFFSET(nombres[],0,0,ROWS(nombres[]),1)=QC$1490,ROW(OFFSET(nombres[],0,0,ROWS(nombres[]),1))-ROW(OFFSET(nombres[],0,0,1,1))+1,ROW(OFFSET(nombres[],ROWS(nombres[])-1,0,1,1))+1),$O1541:$O1560),3),"")</f>
        <v/>
      </c>
      <c r="QD1541" s="42" t="str">
        <f t="array" aca="1" ref="QD1541" ca="1">IFERROR(INDEX(nombres[],SMALL(IF(OFFSET(nombres[],0,0,ROWS(nombres[]),1)=QD$1490,ROW(OFFSET(nombres[],0,0,ROWS(nombres[]),1))-ROW(OFFSET(nombres[],0,0,1,1))+1,ROW(OFFSET(nombres[],ROWS(nombres[])-1,0,1,1))+1),$O1541:$O1560),3),"")</f>
        <v/>
      </c>
      <c r="QE1541" s="42" t="str">
        <f t="array" aca="1" ref="QE1541" ca="1">IFERROR(INDEX(nombres[],SMALL(IF(OFFSET(nombres[],0,0,ROWS(nombres[]),1)=QE$1490,ROW(OFFSET(nombres[],0,0,ROWS(nombres[]),1))-ROW(OFFSET(nombres[],0,0,1,1))+1,ROW(OFFSET(nombres[],ROWS(nombres[])-1,0,1,1))+1),$O1541:$O1560),3),"")</f>
        <v/>
      </c>
      <c r="QF1541" s="42" t="str">
        <f t="array" aca="1" ref="QF1541" ca="1">IFERROR(INDEX(nombres[],SMALL(IF(OFFSET(nombres[],0,0,ROWS(nombres[]),1)=QF$1490,ROW(OFFSET(nombres[],0,0,ROWS(nombres[]),1))-ROW(OFFSET(nombres[],0,0,1,1))+1,ROW(OFFSET(nombres[],ROWS(nombres[])-1,0,1,1))+1),$O1541:$O1560),3),"")</f>
        <v/>
      </c>
      <c r="QG1541" s="42" t="str">
        <f t="array" aca="1" ref="QG1541" ca="1">IFERROR(INDEX(nombres[],SMALL(IF(OFFSET(nombres[],0,0,ROWS(nombres[]),1)=QG$1490,ROW(OFFSET(nombres[],0,0,ROWS(nombres[]),1))-ROW(OFFSET(nombres[],0,0,1,1))+1,ROW(OFFSET(nombres[],ROWS(nombres[])-1,0,1,1))+1),$O1541:$O1560),3),"")</f>
        <v/>
      </c>
      <c r="QH1541" s="42" t="str">
        <f t="array" aca="1" ref="QH1541" ca="1">IFERROR(INDEX(nombres[],SMALL(IF(OFFSET(nombres[],0,0,ROWS(nombres[]),1)=QH$1490,ROW(OFFSET(nombres[],0,0,ROWS(nombres[]),1))-ROW(OFFSET(nombres[],0,0,1,1))+1,ROW(OFFSET(nombres[],ROWS(nombres[])-1,0,1,1))+1),$O1541:$O1560),3),"")</f>
        <v/>
      </c>
      <c r="QI1541" s="42" t="str">
        <f t="array" aca="1" ref="QI1541" ca="1">IFERROR(INDEX(nombres[],SMALL(IF(OFFSET(nombres[],0,0,ROWS(nombres[]),1)=QI$1490,ROW(OFFSET(nombres[],0,0,ROWS(nombres[]),1))-ROW(OFFSET(nombres[],0,0,1,1))+1,ROW(OFFSET(nombres[],ROWS(nombres[])-1,0,1,1))+1),$O1541:$O1560),3),"")</f>
        <v/>
      </c>
      <c r="QJ1541" s="42" t="str">
        <f t="array" aca="1" ref="QJ1541" ca="1">IFERROR(INDEX(nombres[],SMALL(IF(OFFSET(nombres[],0,0,ROWS(nombres[]),1)=QJ$1490,ROW(OFFSET(nombres[],0,0,ROWS(nombres[]),1))-ROW(OFFSET(nombres[],0,0,1,1))+1,ROW(OFFSET(nombres[],ROWS(nombres[])-1,0,1,1))+1),$O1541:$O1560),3),"")</f>
        <v/>
      </c>
      <c r="QK1541" s="42" t="str">
        <f t="array" aca="1" ref="QK1541" ca="1">IFERROR(INDEX(nombres[],SMALL(IF(OFFSET(nombres[],0,0,ROWS(nombres[]),1)=QK$1490,ROW(OFFSET(nombres[],0,0,ROWS(nombres[]),1))-ROW(OFFSET(nombres[],0,0,1,1))+1,ROW(OFFSET(nombres[],ROWS(nombres[])-1,0,1,1))+1),$O1541:$O1560),3),"")</f>
        <v/>
      </c>
      <c r="QL1541" s="42" t="str">
        <f t="array" aca="1" ref="QL1541" ca="1">IFERROR(INDEX(nombres[],SMALL(IF(OFFSET(nombres[],0,0,ROWS(nombres[]),1)=QL$1490,ROW(OFFSET(nombres[],0,0,ROWS(nombres[]),1))-ROW(OFFSET(nombres[],0,0,1,1))+1,ROW(OFFSET(nombres[],ROWS(nombres[])-1,0,1,1))+1),$O1541:$O1560),3),"")</f>
        <v/>
      </c>
      <c r="QM1541" s="42" t="str">
        <f t="array" aca="1" ref="QM1541" ca="1">IFERROR(INDEX(nombres[],SMALL(IF(OFFSET(nombres[],0,0,ROWS(nombres[]),1)=QM$1490,ROW(OFFSET(nombres[],0,0,ROWS(nombres[]),1))-ROW(OFFSET(nombres[],0,0,1,1))+1,ROW(OFFSET(nombres[],ROWS(nombres[])-1,0,1,1))+1),$O1541:$O1560),3),"")</f>
        <v/>
      </c>
      <c r="QN1541" s="42" t="str">
        <f t="array" aca="1" ref="QN1541" ca="1">IFERROR(INDEX(nombres[],SMALL(IF(OFFSET(nombres[],0,0,ROWS(nombres[]),1)=QN$1490,ROW(OFFSET(nombres[],0,0,ROWS(nombres[]),1))-ROW(OFFSET(nombres[],0,0,1,1))+1,ROW(OFFSET(nombres[],ROWS(nombres[])-1,0,1,1))+1),$O1541:$O1560),3),"")</f>
        <v/>
      </c>
      <c r="QO1541" s="42" t="str">
        <f t="array" aca="1" ref="QO1541" ca="1">IFERROR(INDEX(nombres[],SMALL(IF(OFFSET(nombres[],0,0,ROWS(nombres[]),1)=QO$1490,ROW(OFFSET(nombres[],0,0,ROWS(nombres[]),1))-ROW(OFFSET(nombres[],0,0,1,1))+1,ROW(OFFSET(nombres[],ROWS(nombres[])-1,0,1,1))+1),$O1541:$O1560),3),"")</f>
        <v/>
      </c>
      <c r="QP1541" s="42" t="str">
        <f t="array" aca="1" ref="QP1541" ca="1">IFERROR(INDEX(nombres[],SMALL(IF(OFFSET(nombres[],0,0,ROWS(nombres[]),1)=QP$1490,ROW(OFFSET(nombres[],0,0,ROWS(nombres[]),1))-ROW(OFFSET(nombres[],0,0,1,1))+1,ROW(OFFSET(nombres[],ROWS(nombres[])-1,0,1,1))+1),$O1541:$O1560),3),"")</f>
        <v/>
      </c>
      <c r="QQ1541" s="42" t="str">
        <f t="array" aca="1" ref="QQ1541" ca="1">IFERROR(INDEX(nombres[],SMALL(IF(OFFSET(nombres[],0,0,ROWS(nombres[]),1)=QQ$1490,ROW(OFFSET(nombres[],0,0,ROWS(nombres[]),1))-ROW(OFFSET(nombres[],0,0,1,1))+1,ROW(OFFSET(nombres[],ROWS(nombres[])-1,0,1,1))+1),$O1541:$O1560),3),"")</f>
        <v/>
      </c>
      <c r="QR1541" s="42" t="str">
        <f t="array" aca="1" ref="QR1541" ca="1">IFERROR(INDEX(nombres[],SMALL(IF(OFFSET(nombres[],0,0,ROWS(nombres[]),1)=QR$1490,ROW(OFFSET(nombres[],0,0,ROWS(nombres[]),1))-ROW(OFFSET(nombres[],0,0,1,1))+1,ROW(OFFSET(nombres[],ROWS(nombres[])-1,0,1,1))+1),$O1541:$O1560),3),"")</f>
        <v/>
      </c>
      <c r="QS1541" s="42" t="str">
        <f t="array" aca="1" ref="QS1541" ca="1">IFERROR(INDEX(nombres[],SMALL(IF(OFFSET(nombres[],0,0,ROWS(nombres[]),1)=QS$1490,ROW(OFFSET(nombres[],0,0,ROWS(nombres[]),1))-ROW(OFFSET(nombres[],0,0,1,1))+1,ROW(OFFSET(nombres[],ROWS(nombres[])-1,0,1,1))+1),$O1541:$O1560),3),"")</f>
        <v/>
      </c>
      <c r="QT1541" s="42" t="str">
        <f t="array" aca="1" ref="QT1541" ca="1">IFERROR(INDEX(nombres[],SMALL(IF(OFFSET(nombres[],0,0,ROWS(nombres[]),1)=QT$1490,ROW(OFFSET(nombres[],0,0,ROWS(nombres[]),1))-ROW(OFFSET(nombres[],0,0,1,1))+1,ROW(OFFSET(nombres[],ROWS(nombres[])-1,0,1,1))+1),$O1541:$O1560),3),"")</f>
        <v/>
      </c>
      <c r="QU1541" s="42" t="str">
        <f t="array" aca="1" ref="QU1541" ca="1">IFERROR(INDEX(nombres[],SMALL(IF(OFFSET(nombres[],0,0,ROWS(nombres[]),1)=QU$1490,ROW(OFFSET(nombres[],0,0,ROWS(nombres[]),1))-ROW(OFFSET(nombres[],0,0,1,1))+1,ROW(OFFSET(nombres[],ROWS(nombres[])-1,0,1,1))+1),$O1541:$O1560),3),"")</f>
        <v/>
      </c>
      <c r="QV1541" s="42" t="str">
        <f t="array" aca="1" ref="QV1541" ca="1">IFERROR(INDEX(nombres[],SMALL(IF(OFFSET(nombres[],0,0,ROWS(nombres[]),1)=QV$1490,ROW(OFFSET(nombres[],0,0,ROWS(nombres[]),1))-ROW(OFFSET(nombres[],0,0,1,1))+1,ROW(OFFSET(nombres[],ROWS(nombres[])-1,0,1,1))+1),$O1541:$O1560),3),"")</f>
        <v/>
      </c>
      <c r="QW1541" s="42" t="str">
        <f t="array" aca="1" ref="QW1541" ca="1">IFERROR(INDEX(nombres[],SMALL(IF(OFFSET(nombres[],0,0,ROWS(nombres[]),1)=QW$1490,ROW(OFFSET(nombres[],0,0,ROWS(nombres[]),1))-ROW(OFFSET(nombres[],0,0,1,1))+1,ROW(OFFSET(nombres[],ROWS(nombres[])-1,0,1,1))+1),$O1541:$O1560),3),"")</f>
        <v/>
      </c>
      <c r="QX1541" s="42" t="str">
        <f t="array" aca="1" ref="QX1541" ca="1">IFERROR(INDEX(nombres[],SMALL(IF(OFFSET(nombres[],0,0,ROWS(nombres[]),1)=QX$1490,ROW(OFFSET(nombres[],0,0,ROWS(nombres[]),1))-ROW(OFFSET(nombres[],0,0,1,1))+1,ROW(OFFSET(nombres[],ROWS(nombres[])-1,0,1,1))+1),$O1541:$O1560),3),"")</f>
        <v/>
      </c>
      <c r="QY1541" s="42" t="str">
        <f t="array" aca="1" ref="QY1541" ca="1">IFERROR(INDEX(nombres[],SMALL(IF(OFFSET(nombres[],0,0,ROWS(nombres[]),1)=QY$1490,ROW(OFFSET(nombres[],0,0,ROWS(nombres[]),1))-ROW(OFFSET(nombres[],0,0,1,1))+1,ROW(OFFSET(nombres[],ROWS(nombres[])-1,0,1,1))+1),$O1541:$O1560),3),"")</f>
        <v/>
      </c>
      <c r="QZ1541" s="42" t="str">
        <f t="array" aca="1" ref="QZ1541" ca="1">IFERROR(INDEX(nombres[],SMALL(IF(OFFSET(nombres[],0,0,ROWS(nombres[]),1)=QZ$1490,ROW(OFFSET(nombres[],0,0,ROWS(nombres[]),1))-ROW(OFFSET(nombres[],0,0,1,1))+1,ROW(OFFSET(nombres[],ROWS(nombres[])-1,0,1,1))+1),$O1541:$O1560),3),"")</f>
        <v/>
      </c>
      <c r="RA1541" s="42" t="str">
        <f t="array" aca="1" ref="RA1541" ca="1">IFERROR(INDEX(nombres[],SMALL(IF(OFFSET(nombres[],0,0,ROWS(nombres[]),1)=RA$1490,ROW(OFFSET(nombres[],0,0,ROWS(nombres[]),1))-ROW(OFFSET(nombres[],0,0,1,1))+1,ROW(OFFSET(nombres[],ROWS(nombres[])-1,0,1,1))+1),$O1541:$O1560),3),"")</f>
        <v/>
      </c>
      <c r="RB1541" s="42" t="str">
        <f t="array" aca="1" ref="RB1541" ca="1">IFERROR(INDEX(nombres[],SMALL(IF(OFFSET(nombres[],0,0,ROWS(nombres[]),1)=RB$1490,ROW(OFFSET(nombres[],0,0,ROWS(nombres[]),1))-ROW(OFFSET(nombres[],0,0,1,1))+1,ROW(OFFSET(nombres[],ROWS(nombres[])-1,0,1,1))+1),$O1541:$O1560),3),"")</f>
        <v/>
      </c>
      <c r="RC1541" s="42" t="str">
        <f t="array" aca="1" ref="RC1541" ca="1">IFERROR(INDEX(nombres[],SMALL(IF(OFFSET(nombres[],0,0,ROWS(nombres[]),1)=RC$1490,ROW(OFFSET(nombres[],0,0,ROWS(nombres[]),1))-ROW(OFFSET(nombres[],0,0,1,1))+1,ROW(OFFSET(nombres[],ROWS(nombres[])-1,0,1,1))+1),$O1541:$O1560),3),"")</f>
        <v/>
      </c>
      <c r="RD1541" s="42" t="str">
        <f t="array" aca="1" ref="RD1541" ca="1">IFERROR(INDEX(nombres[],SMALL(IF(OFFSET(nombres[],0,0,ROWS(nombres[]),1)=RD$1490,ROW(OFFSET(nombres[],0,0,ROWS(nombres[]),1))-ROW(OFFSET(nombres[],0,0,1,1))+1,ROW(OFFSET(nombres[],ROWS(nombres[])-1,0,1,1))+1),$O1541:$O1560),3),"")</f>
        <v/>
      </c>
      <c r="RE1541" s="42" t="str">
        <f t="array" aca="1" ref="RE1541" ca="1">IFERROR(INDEX(nombres[],SMALL(IF(OFFSET(nombres[],0,0,ROWS(nombres[]),1)=RE$1490,ROW(OFFSET(nombres[],0,0,ROWS(nombres[]),1))-ROW(OFFSET(nombres[],0,0,1,1))+1,ROW(OFFSET(nombres[],ROWS(nombres[])-1,0,1,1))+1),$O1541:$O1560),3),"")</f>
        <v/>
      </c>
      <c r="RF1541" s="42" t="str">
        <f t="array" aca="1" ref="RF1541" ca="1">IFERROR(INDEX(nombres[],SMALL(IF(OFFSET(nombres[],0,0,ROWS(nombres[]),1)=RF$1490,ROW(OFFSET(nombres[],0,0,ROWS(nombres[]),1))-ROW(OFFSET(nombres[],0,0,1,1))+1,ROW(OFFSET(nombres[],ROWS(nombres[])-1,0,1,1))+1),$O1541:$O1560),3),"")</f>
        <v/>
      </c>
      <c r="RG1541" s="42" t="str">
        <f t="array" aca="1" ref="RG1541" ca="1">IFERROR(INDEX(nombres[],SMALL(IF(OFFSET(nombres[],0,0,ROWS(nombres[]),1)=RG$1490,ROW(OFFSET(nombres[],0,0,ROWS(nombres[]),1))-ROW(OFFSET(nombres[],0,0,1,1))+1,ROW(OFFSET(nombres[],ROWS(nombres[])-1,0,1,1))+1),$O1541:$O1560),3),"")</f>
        <v/>
      </c>
      <c r="RH1541" s="42" t="str">
        <f t="array" aca="1" ref="RH1541" ca="1">IFERROR(INDEX(nombres[],SMALL(IF(OFFSET(nombres[],0,0,ROWS(nombres[]),1)=RH$1490,ROW(OFFSET(nombres[],0,0,ROWS(nombres[]),1))-ROW(OFFSET(nombres[],0,0,1,1))+1,ROW(OFFSET(nombres[],ROWS(nombres[])-1,0,1,1))+1),$O1541:$O1560),3),"")</f>
        <v/>
      </c>
      <c r="RI1541" s="42" t="str">
        <f t="array" aca="1" ref="RI1541" ca="1">IFERROR(INDEX(nombres[],SMALL(IF(OFFSET(nombres[],0,0,ROWS(nombres[]),1)=RI$1490,ROW(OFFSET(nombres[],0,0,ROWS(nombres[]),1))-ROW(OFFSET(nombres[],0,0,1,1))+1,ROW(OFFSET(nombres[],ROWS(nombres[])-1,0,1,1))+1),$O1541:$O1560),3),"")</f>
        <v/>
      </c>
      <c r="RJ1541" s="42" t="str">
        <f t="array" aca="1" ref="RJ1541" ca="1">IFERROR(INDEX(nombres[],SMALL(IF(OFFSET(nombres[],0,0,ROWS(nombres[]),1)=RJ$1490,ROW(OFFSET(nombres[],0,0,ROWS(nombres[]),1))-ROW(OFFSET(nombres[],0,0,1,1))+1,ROW(OFFSET(nombres[],ROWS(nombres[])-1,0,1,1))+1),$O1541:$O1560),3),"")</f>
        <v/>
      </c>
      <c r="RK1541" s="42" t="str">
        <f t="array" aca="1" ref="RK1541" ca="1">IFERROR(INDEX(nombres[],SMALL(IF(OFFSET(nombres[],0,0,ROWS(nombres[]),1)=RK$1490,ROW(OFFSET(nombres[],0,0,ROWS(nombres[]),1))-ROW(OFFSET(nombres[],0,0,1,1))+1,ROW(OFFSET(nombres[],ROWS(nombres[])-1,0,1,1))+1),$O1541:$O1560),3),"")</f>
        <v/>
      </c>
      <c r="RL1541" s="42" t="str">
        <f t="array" aca="1" ref="RL1541" ca="1">IFERROR(INDEX(nombres[],SMALL(IF(OFFSET(nombres[],0,0,ROWS(nombres[]),1)=RL$1490,ROW(OFFSET(nombres[],0,0,ROWS(nombres[]),1))-ROW(OFFSET(nombres[],0,0,1,1))+1,ROW(OFFSET(nombres[],ROWS(nombres[])-1,0,1,1))+1),$O1541:$O1560),3),"")</f>
        <v/>
      </c>
      <c r="RM1541" s="42" t="str">
        <f t="array" aca="1" ref="RM1541" ca="1">IFERROR(INDEX(nombres[],SMALL(IF(OFFSET(nombres[],0,0,ROWS(nombres[]),1)=RM$1490,ROW(OFFSET(nombres[],0,0,ROWS(nombres[]),1))-ROW(OFFSET(nombres[],0,0,1,1))+1,ROW(OFFSET(nombres[],ROWS(nombres[])-1,0,1,1))+1),$O1541:$O1560),3),"")</f>
        <v/>
      </c>
      <c r="RN1541" s="42" t="str">
        <f t="array" aca="1" ref="RN1541" ca="1">IFERROR(INDEX(nombres[],SMALL(IF(OFFSET(nombres[],0,0,ROWS(nombres[]),1)=RN$1490,ROW(OFFSET(nombres[],0,0,ROWS(nombres[]),1))-ROW(OFFSET(nombres[],0,0,1,1))+1,ROW(OFFSET(nombres[],ROWS(nombres[])-1,0,1,1))+1),$O1541:$O1560),3),"")</f>
        <v/>
      </c>
      <c r="RO1541" s="42" t="str">
        <f t="array" aca="1" ref="RO1541" ca="1">IFERROR(INDEX(nombres[],SMALL(IF(OFFSET(nombres[],0,0,ROWS(nombres[]),1)=RO$1490,ROW(OFFSET(nombres[],0,0,ROWS(nombres[]),1))-ROW(OFFSET(nombres[],0,0,1,1))+1,ROW(OFFSET(nombres[],ROWS(nombres[])-1,0,1,1))+1),$O1541:$O1560),3),"")</f>
        <v/>
      </c>
      <c r="RP1541" s="42" t="str">
        <f t="array" aca="1" ref="RP1541" ca="1">IFERROR(INDEX(nombres[],SMALL(IF(OFFSET(nombres[],0,0,ROWS(nombres[]),1)=RP$1490,ROW(OFFSET(nombres[],0,0,ROWS(nombres[]),1))-ROW(OFFSET(nombres[],0,0,1,1))+1,ROW(OFFSET(nombres[],ROWS(nombres[])-1,0,1,1))+1),$O1541:$O1560),3),"")</f>
        <v/>
      </c>
      <c r="RQ1541" s="42" t="str">
        <f t="array" aca="1" ref="RQ1541" ca="1">IFERROR(INDEX(nombres[],SMALL(IF(OFFSET(nombres[],0,0,ROWS(nombres[]),1)=RQ$1490,ROW(OFFSET(nombres[],0,0,ROWS(nombres[]),1))-ROW(OFFSET(nombres[],0,0,1,1))+1,ROW(OFFSET(nombres[],ROWS(nombres[])-1,0,1,1))+1),$O1541:$O1560),3),"")</f>
        <v/>
      </c>
      <c r="RR1541" s="42" t="str">
        <f t="array" aca="1" ref="RR1541" ca="1">IFERROR(INDEX(nombres[],SMALL(IF(OFFSET(nombres[],0,0,ROWS(nombres[]),1)=RR$1490,ROW(OFFSET(nombres[],0,0,ROWS(nombres[]),1))-ROW(OFFSET(nombres[],0,0,1,1))+1,ROW(OFFSET(nombres[],ROWS(nombres[])-1,0,1,1))+1),$O1541:$O1560),3),"")</f>
        <v/>
      </c>
      <c r="RS1541" s="42" t="str">
        <f t="array" aca="1" ref="RS1541" ca="1">IFERROR(INDEX(nombres[],SMALL(IF(OFFSET(nombres[],0,0,ROWS(nombres[]),1)=RS$1490,ROW(OFFSET(nombres[],0,0,ROWS(nombres[]),1))-ROW(OFFSET(nombres[],0,0,1,1))+1,ROW(OFFSET(nombres[],ROWS(nombres[])-1,0,1,1))+1),$O1541:$O1560),3),"")</f>
        <v/>
      </c>
      <c r="RT1541" s="42" t="str">
        <f t="array" aca="1" ref="RT1541" ca="1">IFERROR(INDEX(nombres[],SMALL(IF(OFFSET(nombres[],0,0,ROWS(nombres[]),1)=RT$1490,ROW(OFFSET(nombres[],0,0,ROWS(nombres[]),1))-ROW(OFFSET(nombres[],0,0,1,1))+1,ROW(OFFSET(nombres[],ROWS(nombres[])-1,0,1,1))+1),$O1541:$O1560),3),"")</f>
        <v/>
      </c>
      <c r="RU1541" s="42" t="str">
        <f t="array" aca="1" ref="RU1541" ca="1">IFERROR(INDEX(nombres[],SMALL(IF(OFFSET(nombres[],0,0,ROWS(nombres[]),1)=RU$1490,ROW(OFFSET(nombres[],0,0,ROWS(nombres[]),1))-ROW(OFFSET(nombres[],0,0,1,1))+1,ROW(OFFSET(nombres[],ROWS(nombres[])-1,0,1,1))+1),$O1541:$O1560),3),"")</f>
        <v/>
      </c>
      <c r="RV1541" s="42" t="str">
        <f t="array" aca="1" ref="RV1541" ca="1">IFERROR(INDEX(nombres[],SMALL(IF(OFFSET(nombres[],0,0,ROWS(nombres[]),1)=RV$1490,ROW(OFFSET(nombres[],0,0,ROWS(nombres[]),1))-ROW(OFFSET(nombres[],0,0,1,1))+1,ROW(OFFSET(nombres[],ROWS(nombres[])-1,0,1,1))+1),$O1541:$O1560),3),"")</f>
        <v/>
      </c>
      <c r="RW1541" s="42" t="str">
        <f t="array" aca="1" ref="RW1541" ca="1">IFERROR(INDEX(nombres[],SMALL(IF(OFFSET(nombres[],0,0,ROWS(nombres[]),1)=RW$1490,ROW(OFFSET(nombres[],0,0,ROWS(nombres[]),1))-ROW(OFFSET(nombres[],0,0,1,1))+1,ROW(OFFSET(nombres[],ROWS(nombres[])-1,0,1,1))+1),$O1541:$O1560),3),"")</f>
        <v/>
      </c>
      <c r="RX1541" s="42" t="str">
        <f t="array" aca="1" ref="RX1541" ca="1">IFERROR(INDEX(nombres[],SMALL(IF(OFFSET(nombres[],0,0,ROWS(nombres[]),1)=RX$1490,ROW(OFFSET(nombres[],0,0,ROWS(nombres[]),1))-ROW(OFFSET(nombres[],0,0,1,1))+1,ROW(OFFSET(nombres[],ROWS(nombres[])-1,0,1,1))+1),$O1541:$O1560),3),"")</f>
        <v/>
      </c>
      <c r="RY1541" s="42" t="str">
        <f t="array" aca="1" ref="RY1541" ca="1">IFERROR(INDEX(nombres[],SMALL(IF(OFFSET(nombres[],0,0,ROWS(nombres[]),1)=RY$1490,ROW(OFFSET(nombres[],0,0,ROWS(nombres[]),1))-ROW(OFFSET(nombres[],0,0,1,1))+1,ROW(OFFSET(nombres[],ROWS(nombres[])-1,0,1,1))+1),$O1541:$O1560),3),"")</f>
        <v/>
      </c>
      <c r="RZ1541" s="42" t="str">
        <f t="array" aca="1" ref="RZ1541" ca="1">IFERROR(INDEX(nombres[],SMALL(IF(OFFSET(nombres[],0,0,ROWS(nombres[]),1)=RZ$1490,ROW(OFFSET(nombres[],0,0,ROWS(nombres[]),1))-ROW(OFFSET(nombres[],0,0,1,1))+1,ROW(OFFSET(nombres[],ROWS(nombres[])-1,0,1,1))+1),$O1541:$O1560),3),"")</f>
        <v/>
      </c>
      <c r="SA1541" s="42" t="str">
        <f t="array" aca="1" ref="SA1541" ca="1">IFERROR(INDEX(nombres[],SMALL(IF(OFFSET(nombres[],0,0,ROWS(nombres[]),1)=SA$1490,ROW(OFFSET(nombres[],0,0,ROWS(nombres[]),1))-ROW(OFFSET(nombres[],0,0,1,1))+1,ROW(OFFSET(nombres[],ROWS(nombres[])-1,0,1,1))+1),$O1541:$O1560),3),"")</f>
        <v/>
      </c>
      <c r="SB1541" s="42" t="str">
        <f t="array" aca="1" ref="SB1541" ca="1">IFERROR(INDEX(nombres[],SMALL(IF(OFFSET(nombres[],0,0,ROWS(nombres[]),1)=SB$1490,ROW(OFFSET(nombres[],0,0,ROWS(nombres[]),1))-ROW(OFFSET(nombres[],0,0,1,1))+1,ROW(OFFSET(nombres[],ROWS(nombres[])-1,0,1,1))+1),$O1541:$O1560),3),"")</f>
        <v/>
      </c>
      <c r="SC1541" s="42" t="str">
        <f t="array" aca="1" ref="SC1541" ca="1">IFERROR(INDEX(nombres[],SMALL(IF(OFFSET(nombres[],0,0,ROWS(nombres[]),1)=SC$1490,ROW(OFFSET(nombres[],0,0,ROWS(nombres[]),1))-ROW(OFFSET(nombres[],0,0,1,1))+1,ROW(OFFSET(nombres[],ROWS(nombres[])-1,0,1,1))+1),$O1541:$O1560),3),"")</f>
        <v/>
      </c>
      <c r="SD1541" s="42" t="str">
        <f t="array" aca="1" ref="SD1541" ca="1">IFERROR(INDEX(nombres[],SMALL(IF(OFFSET(nombres[],0,0,ROWS(nombres[]),1)=SD$1490,ROW(OFFSET(nombres[],0,0,ROWS(nombres[]),1))-ROW(OFFSET(nombres[],0,0,1,1))+1,ROW(OFFSET(nombres[],ROWS(nombres[])-1,0,1,1))+1),$O1541:$O1560),3),"")</f>
        <v/>
      </c>
      <c r="SE1541" s="42" t="str">
        <f t="array" aca="1" ref="SE1541" ca="1">IFERROR(INDEX(nombres[],SMALL(IF(OFFSET(nombres[],0,0,ROWS(nombres[]),1)=SE$1490,ROW(OFFSET(nombres[],0,0,ROWS(nombres[]),1))-ROW(OFFSET(nombres[],0,0,1,1))+1,ROW(OFFSET(nombres[],ROWS(nombres[])-1,0,1,1))+1),$O1541:$O1560),3),"")</f>
        <v/>
      </c>
      <c r="SF1541" s="42" t="str">
        <f t="array" aca="1" ref="SF1541" ca="1">IFERROR(INDEX(nombres[],SMALL(IF(OFFSET(nombres[],0,0,ROWS(nombres[]),1)=SF$1490,ROW(OFFSET(nombres[],0,0,ROWS(nombres[]),1))-ROW(OFFSET(nombres[],0,0,1,1))+1,ROW(OFFSET(nombres[],ROWS(nombres[])-1,0,1,1))+1),$O1541:$O1560),3),"")</f>
        <v/>
      </c>
      <c r="SG1541" s="42" t="str">
        <f t="array" aca="1" ref="SG1541" ca="1">IFERROR(INDEX(nombres[],SMALL(IF(OFFSET(nombres[],0,0,ROWS(nombres[]),1)=SG$1490,ROW(OFFSET(nombres[],0,0,ROWS(nombres[]),1))-ROW(OFFSET(nombres[],0,0,1,1))+1,ROW(OFFSET(nombres[],ROWS(nombres[])-1,0,1,1))+1),$O1541:$O1560),3),"")</f>
        <v/>
      </c>
      <c r="SH1541" s="42" t="str">
        <f t="array" aca="1" ref="SH1541" ca="1">IFERROR(INDEX(nombres[],SMALL(IF(OFFSET(nombres[],0,0,ROWS(nombres[]),1)=SH$1490,ROW(OFFSET(nombres[],0,0,ROWS(nombres[]),1))-ROW(OFFSET(nombres[],0,0,1,1))+1,ROW(OFFSET(nombres[],ROWS(nombres[])-1,0,1,1))+1),$O1541:$O1560),3),"")</f>
        <v/>
      </c>
      <c r="SI1541" s="42" t="str">
        <f t="array" aca="1" ref="SI1541" ca="1">IFERROR(INDEX(nombres[],SMALL(IF(OFFSET(nombres[],0,0,ROWS(nombres[]),1)=SI$1490,ROW(OFFSET(nombres[],0,0,ROWS(nombres[]),1))-ROW(OFFSET(nombres[],0,0,1,1))+1,ROW(OFFSET(nombres[],ROWS(nombres[])-1,0,1,1))+1),$O1541:$O1560),3),"")</f>
        <v/>
      </c>
      <c r="SJ1541" s="42" t="str">
        <f t="array" aca="1" ref="SJ1541" ca="1">IFERROR(INDEX(nombres[],SMALL(IF(OFFSET(nombres[],0,0,ROWS(nombres[]),1)=SJ$1490,ROW(OFFSET(nombres[],0,0,ROWS(nombres[]),1))-ROW(OFFSET(nombres[],0,0,1,1))+1,ROW(OFFSET(nombres[],ROWS(nombres[])-1,0,1,1))+1),$O1541:$O1560),3),"")</f>
        <v/>
      </c>
      <c r="SK1541" s="42" t="str">
        <f t="array" aca="1" ref="SK1541" ca="1">IFERROR(INDEX(nombres[],SMALL(IF(OFFSET(nombres[],0,0,ROWS(nombres[]),1)=SK$1490,ROW(OFFSET(nombres[],0,0,ROWS(nombres[]),1))-ROW(OFFSET(nombres[],0,0,1,1))+1,ROW(OFFSET(nombres[],ROWS(nombres[])-1,0,1,1))+1),$O1541:$O1560),3),"")</f>
        <v/>
      </c>
      <c r="SL1541" s="42" t="str">
        <f t="array" aca="1" ref="SL1541" ca="1">IFERROR(INDEX(nombres[],SMALL(IF(OFFSET(nombres[],0,0,ROWS(nombres[]),1)=SL$1490,ROW(OFFSET(nombres[],0,0,ROWS(nombres[]),1))-ROW(OFFSET(nombres[],0,0,1,1))+1,ROW(OFFSET(nombres[],ROWS(nombres[])-1,0,1,1))+1),$O1541:$O1560),3),"")</f>
        <v/>
      </c>
      <c r="SM1541" s="42" t="str">
        <f t="array" aca="1" ref="SM1541" ca="1">IFERROR(INDEX(nombres[],SMALL(IF(OFFSET(nombres[],0,0,ROWS(nombres[]),1)=SM$1490,ROW(OFFSET(nombres[],0,0,ROWS(nombres[]),1))-ROW(OFFSET(nombres[],0,0,1,1))+1,ROW(OFFSET(nombres[],ROWS(nombres[])-1,0,1,1))+1),$O1541:$O1560),3),"")</f>
        <v/>
      </c>
      <c r="SN1541" s="42" t="str">
        <f t="array" aca="1" ref="SN1541" ca="1">IFERROR(INDEX(nombres[],SMALL(IF(OFFSET(nombres[],0,0,ROWS(nombres[]),1)=SN$1490,ROW(OFFSET(nombres[],0,0,ROWS(nombres[]),1))-ROW(OFFSET(nombres[],0,0,1,1))+1,ROW(OFFSET(nombres[],ROWS(nombres[])-1,0,1,1))+1),$O1541:$O1560),3),"")</f>
        <v/>
      </c>
      <c r="SO1541" s="42" t="str">
        <f t="array" aca="1" ref="SO1541" ca="1">IFERROR(INDEX(nombres[],SMALL(IF(OFFSET(nombres[],0,0,ROWS(nombres[]),1)=SO$1490,ROW(OFFSET(nombres[],0,0,ROWS(nombres[]),1))-ROW(OFFSET(nombres[],0,0,1,1))+1,ROW(OFFSET(nombres[],ROWS(nombres[])-1,0,1,1))+1),$O1541:$O1560),3),"")</f>
        <v/>
      </c>
      <c r="SP1541" s="42" t="str">
        <f t="array" aca="1" ref="SP1541" ca="1">IFERROR(INDEX(nombres[],SMALL(IF(OFFSET(nombres[],0,0,ROWS(nombres[]),1)=SP$1490,ROW(OFFSET(nombres[],0,0,ROWS(nombres[]),1))-ROW(OFFSET(nombres[],0,0,1,1))+1,ROW(OFFSET(nombres[],ROWS(nombres[])-1,0,1,1))+1),$O1541:$O1560),3),"")</f>
        <v/>
      </c>
      <c r="SQ1541" s="42" t="str">
        <f t="array" aca="1" ref="SQ1541" ca="1">IFERROR(INDEX(nombres[],SMALL(IF(OFFSET(nombres[],0,0,ROWS(nombres[]),1)=SQ$1490,ROW(OFFSET(nombres[],0,0,ROWS(nombres[]),1))-ROW(OFFSET(nombres[],0,0,1,1))+1,ROW(OFFSET(nombres[],ROWS(nombres[])-1,0,1,1))+1),$O1541:$O1560),3),"")</f>
        <v/>
      </c>
      <c r="SR1541" s="42" t="str">
        <f t="array" aca="1" ref="SR1541" ca="1">IFERROR(INDEX(nombres[],SMALL(IF(OFFSET(nombres[],0,0,ROWS(nombres[]),1)=SR$1490,ROW(OFFSET(nombres[],0,0,ROWS(nombres[]),1))-ROW(OFFSET(nombres[],0,0,1,1))+1,ROW(OFFSET(nombres[],ROWS(nombres[])-1,0,1,1))+1),$O1541:$O1560),3),"")</f>
        <v/>
      </c>
      <c r="SS1541" s="42" t="str">
        <f t="array" aca="1" ref="SS1541" ca="1">IFERROR(INDEX(nombres[],SMALL(IF(OFFSET(nombres[],0,0,ROWS(nombres[]),1)=SS$1490,ROW(OFFSET(nombres[],0,0,ROWS(nombres[]),1))-ROW(OFFSET(nombres[],0,0,1,1))+1,ROW(OFFSET(nombres[],ROWS(nombres[])-1,0,1,1))+1),$O1541:$O1560),3),"")</f>
        <v/>
      </c>
      <c r="ST1541" s="42" t="str">
        <f t="array" aca="1" ref="ST1541" ca="1">IFERROR(INDEX(nombres[],SMALL(IF(OFFSET(nombres[],0,0,ROWS(nombres[]),1)=ST$1490,ROW(OFFSET(nombres[],0,0,ROWS(nombres[]),1))-ROW(OFFSET(nombres[],0,0,1,1))+1,ROW(OFFSET(nombres[],ROWS(nombres[])-1,0,1,1))+1),$O1541:$O1560),3),"")</f>
        <v/>
      </c>
      <c r="SU1541" s="42" t="str">
        <f t="array" aca="1" ref="SU1541" ca="1">IFERROR(INDEX(nombres[],SMALL(IF(OFFSET(nombres[],0,0,ROWS(nombres[]),1)=SU$1490,ROW(OFFSET(nombres[],0,0,ROWS(nombres[]),1))-ROW(OFFSET(nombres[],0,0,1,1))+1,ROW(OFFSET(nombres[],ROWS(nombres[])-1,0,1,1))+1),$O1541:$O1560),3),"")</f>
        <v/>
      </c>
      <c r="SV1541" s="42" t="str">
        <f t="array" aca="1" ref="SV1541" ca="1">IFERROR(INDEX(nombres[],SMALL(IF(OFFSET(nombres[],0,0,ROWS(nombres[]),1)=SV$1490,ROW(OFFSET(nombres[],0,0,ROWS(nombres[]),1))-ROW(OFFSET(nombres[],0,0,1,1))+1,ROW(OFFSET(nombres[],ROWS(nombres[])-1,0,1,1))+1),$O1541:$O1560),3),"")</f>
        <v/>
      </c>
      <c r="SW1541" s="42" t="str">
        <f t="array" aca="1" ref="SW1541" ca="1">IFERROR(INDEX(nombres[],SMALL(IF(OFFSET(nombres[],0,0,ROWS(nombres[]),1)=SW$1490,ROW(OFFSET(nombres[],0,0,ROWS(nombres[]),1))-ROW(OFFSET(nombres[],0,0,1,1))+1,ROW(OFFSET(nombres[],ROWS(nombres[])-1,0,1,1))+1),$O1541:$O1560),3),"")</f>
        <v/>
      </c>
      <c r="SX1541" s="42" t="str">
        <f t="array" aca="1" ref="SX1541" ca="1">IFERROR(INDEX(nombres[],SMALL(IF(OFFSET(nombres[],0,0,ROWS(nombres[]),1)=SX$1490,ROW(OFFSET(nombres[],0,0,ROWS(nombres[]),1))-ROW(OFFSET(nombres[],0,0,1,1))+1,ROW(OFFSET(nombres[],ROWS(nombres[])-1,0,1,1))+1),$O1541:$O1560),3),"")</f>
        <v/>
      </c>
      <c r="SY1541" s="42" t="str">
        <f t="array" aca="1" ref="SY1541" ca="1">IFERROR(INDEX(nombres[],SMALL(IF(OFFSET(nombres[],0,0,ROWS(nombres[]),1)=SY$1490,ROW(OFFSET(nombres[],0,0,ROWS(nombres[]),1))-ROW(OFFSET(nombres[],0,0,1,1))+1,ROW(OFFSET(nombres[],ROWS(nombres[])-1,0,1,1))+1),$O1541:$O1560),3),"")</f>
        <v/>
      </c>
      <c r="SZ1541" s="42" t="str">
        <f t="array" aca="1" ref="SZ1541" ca="1">IFERROR(INDEX(nombres[],SMALL(IF(OFFSET(nombres[],0,0,ROWS(nombres[]),1)=SZ$1490,ROW(OFFSET(nombres[],0,0,ROWS(nombres[]),1))-ROW(OFFSET(nombres[],0,0,1,1))+1,ROW(OFFSET(nombres[],ROWS(nombres[])-1,0,1,1))+1),$O1541:$O1560),3),"")</f>
        <v/>
      </c>
      <c r="TA1541" s="42" t="str">
        <f t="array" aca="1" ref="TA1541" ca="1">IFERROR(INDEX(nombres[],SMALL(IF(OFFSET(nombres[],0,0,ROWS(nombres[]),1)=TA$1490,ROW(OFFSET(nombres[],0,0,ROWS(nombres[]),1))-ROW(OFFSET(nombres[],0,0,1,1))+1,ROW(OFFSET(nombres[],ROWS(nombres[])-1,0,1,1))+1),$O1541:$O1560),3),"")</f>
        <v/>
      </c>
      <c r="TB1541" s="42" t="str">
        <f t="array" aca="1" ref="TB1541" ca="1">IFERROR(INDEX(nombres[],SMALL(IF(OFFSET(nombres[],0,0,ROWS(nombres[]),1)=TB$1490,ROW(OFFSET(nombres[],0,0,ROWS(nombres[]),1))-ROW(OFFSET(nombres[],0,0,1,1))+1,ROW(OFFSET(nombres[],ROWS(nombres[])-1,0,1,1))+1),$O1541:$O1560),3),"")</f>
        <v/>
      </c>
      <c r="TC1541" s="42" t="str">
        <f t="array" aca="1" ref="TC1541" ca="1">IFERROR(INDEX(nombres[],SMALL(IF(OFFSET(nombres[],0,0,ROWS(nombres[]),1)=TC$1490,ROW(OFFSET(nombres[],0,0,ROWS(nombres[]),1))-ROW(OFFSET(nombres[],0,0,1,1))+1,ROW(OFFSET(nombres[],ROWS(nombres[])-1,0,1,1))+1),$O1541:$O1560),3),"")</f>
        <v/>
      </c>
      <c r="TD1541" s="42" t="str">
        <f t="array" aca="1" ref="TD1541" ca="1">IFERROR(INDEX(nombres[],SMALL(IF(OFFSET(nombres[],0,0,ROWS(nombres[]),1)=TD$1490,ROW(OFFSET(nombres[],0,0,ROWS(nombres[]),1))-ROW(OFFSET(nombres[],0,0,1,1))+1,ROW(OFFSET(nombres[],ROWS(nombres[])-1,0,1,1))+1),$O1541:$O1560),3),"")</f>
        <v/>
      </c>
      <c r="TE1541" s="42" t="str">
        <f t="array" aca="1" ref="TE1541" ca="1">IFERROR(INDEX(nombres[],SMALL(IF(OFFSET(nombres[],0,0,ROWS(nombres[]),1)=TE$1490,ROW(OFFSET(nombres[],0,0,ROWS(nombres[]),1))-ROW(OFFSET(nombres[],0,0,1,1))+1,ROW(OFFSET(nombres[],ROWS(nombres[])-1,0,1,1))+1),$O1541:$O1560),3),"")</f>
        <v/>
      </c>
      <c r="TF1541" s="42" t="str">
        <f t="array" aca="1" ref="TF1541" ca="1">IFERROR(INDEX(nombres[],SMALL(IF(OFFSET(nombres[],0,0,ROWS(nombres[]),1)=TF$1490,ROW(OFFSET(nombres[],0,0,ROWS(nombres[]),1))-ROW(OFFSET(nombres[],0,0,1,1))+1,ROW(OFFSET(nombres[],ROWS(nombres[])-1,0,1,1))+1),$O1541:$O1560),3),"")</f>
        <v/>
      </c>
      <c r="TG1541" s="42" t="str">
        <f t="array" aca="1" ref="TG1541" ca="1">IFERROR(INDEX(nombres[],SMALL(IF(OFFSET(nombres[],0,0,ROWS(nombres[]),1)=TG$1490,ROW(OFFSET(nombres[],0,0,ROWS(nombres[]),1))-ROW(OFFSET(nombres[],0,0,1,1))+1,ROW(OFFSET(nombres[],ROWS(nombres[])-1,0,1,1))+1),$O1541:$O1560),3),"")</f>
        <v/>
      </c>
      <c r="TH1541" s="42" t="str">
        <f t="array" aca="1" ref="TH1541" ca="1">IFERROR(INDEX(nombres[],SMALL(IF(OFFSET(nombres[],0,0,ROWS(nombres[]),1)=TH$1490,ROW(OFFSET(nombres[],0,0,ROWS(nombres[]),1))-ROW(OFFSET(nombres[],0,0,1,1))+1,ROW(OFFSET(nombres[],ROWS(nombres[])-1,0,1,1))+1),$O1541:$O1560),3),"")</f>
        <v/>
      </c>
      <c r="TI1541" s="42" t="str">
        <f t="array" aca="1" ref="TI1541" ca="1">IFERROR(INDEX(nombres[],SMALL(IF(OFFSET(nombres[],0,0,ROWS(nombres[]),1)=TI$1490,ROW(OFFSET(nombres[],0,0,ROWS(nombres[]),1))-ROW(OFFSET(nombres[],0,0,1,1))+1,ROW(OFFSET(nombres[],ROWS(nombres[])-1,0,1,1))+1),$O1541:$O1560),3),"")</f>
        <v/>
      </c>
      <c r="TJ1541" s="42" t="str">
        <f t="array" aca="1" ref="TJ1541" ca="1">IFERROR(INDEX(nombres[],SMALL(IF(OFFSET(nombres[],0,0,ROWS(nombres[]),1)=TJ$1490,ROW(OFFSET(nombres[],0,0,ROWS(nombres[]),1))-ROW(OFFSET(nombres[],0,0,1,1))+1,ROW(OFFSET(nombres[],ROWS(nombres[])-1,0,1,1))+1),$O1541:$O1560),3),"")</f>
        <v/>
      </c>
      <c r="TK1541" s="42" t="str">
        <f t="array" aca="1" ref="TK1541" ca="1">IFERROR(INDEX(nombres[],SMALL(IF(OFFSET(nombres[],0,0,ROWS(nombres[]),1)=TK$1490,ROW(OFFSET(nombres[],0,0,ROWS(nombres[]),1))-ROW(OFFSET(nombres[],0,0,1,1))+1,ROW(OFFSET(nombres[],ROWS(nombres[])-1,0,1,1))+1),$O1541:$O1560),3),"")</f>
        <v/>
      </c>
      <c r="TL1541" s="42" t="str">
        <f t="array" aca="1" ref="TL1541" ca="1">IFERROR(INDEX(nombres[],SMALL(IF(OFFSET(nombres[],0,0,ROWS(nombres[]),1)=TL$1490,ROW(OFFSET(nombres[],0,0,ROWS(nombres[]),1))-ROW(OFFSET(nombres[],0,0,1,1))+1,ROW(OFFSET(nombres[],ROWS(nombres[])-1,0,1,1))+1),$O1541:$O1560),3),"")</f>
        <v/>
      </c>
      <c r="TM1541" s="42" t="str">
        <f t="array" aca="1" ref="TM1541" ca="1">IFERROR(INDEX(nombres[],SMALL(IF(OFFSET(nombres[],0,0,ROWS(nombres[]),1)=TM$1490,ROW(OFFSET(nombres[],0,0,ROWS(nombres[]),1))-ROW(OFFSET(nombres[],0,0,1,1))+1,ROW(OFFSET(nombres[],ROWS(nombres[])-1,0,1,1))+1),$O1541:$O1560),3),"")</f>
        <v/>
      </c>
      <c r="TN1541" s="42" t="str">
        <f t="array" aca="1" ref="TN1541" ca="1">IFERROR(INDEX(nombres[],SMALL(IF(OFFSET(nombres[],0,0,ROWS(nombres[]),1)=TN$1490,ROW(OFFSET(nombres[],0,0,ROWS(nombres[]),1))-ROW(OFFSET(nombres[],0,0,1,1))+1,ROW(OFFSET(nombres[],ROWS(nombres[])-1,0,1,1))+1),$O1541:$O1560),3),"")</f>
        <v/>
      </c>
      <c r="TO1541" s="42" t="str">
        <f t="array" aca="1" ref="TO1541" ca="1">IFERROR(INDEX(nombres[],SMALL(IF(OFFSET(nombres[],0,0,ROWS(nombres[]),1)=TO$1490,ROW(OFFSET(nombres[],0,0,ROWS(nombres[]),1))-ROW(OFFSET(nombres[],0,0,1,1))+1,ROW(OFFSET(nombres[],ROWS(nombres[])-1,0,1,1))+1),$O1541:$O1560),3),"")</f>
        <v/>
      </c>
      <c r="TP1541" s="42" t="str">
        <f t="array" aca="1" ref="TP1541" ca="1">IFERROR(INDEX(nombres[],SMALL(IF(OFFSET(nombres[],0,0,ROWS(nombres[]),1)=TP$1490,ROW(OFFSET(nombres[],0,0,ROWS(nombres[]),1))-ROW(OFFSET(nombres[],0,0,1,1))+1,ROW(OFFSET(nombres[],ROWS(nombres[])-1,0,1,1))+1),$O1541:$O1560),3),"")</f>
        <v/>
      </c>
      <c r="TQ1541" s="42" t="str">
        <f t="array" aca="1" ref="TQ1541" ca="1">IFERROR(INDEX(nombres[],SMALL(IF(OFFSET(nombres[],0,0,ROWS(nombres[]),1)=TQ$1490,ROW(OFFSET(nombres[],0,0,ROWS(nombres[]),1))-ROW(OFFSET(nombres[],0,0,1,1))+1,ROW(OFFSET(nombres[],ROWS(nombres[])-1,0,1,1))+1),$O1541:$O1560),3),"")</f>
        <v/>
      </c>
      <c r="TR1541" s="42" t="str">
        <f t="array" aca="1" ref="TR1541" ca="1">IFERROR(INDEX(nombres[],SMALL(IF(OFFSET(nombres[],0,0,ROWS(nombres[]),1)=TR$1490,ROW(OFFSET(nombres[],0,0,ROWS(nombres[]),1))-ROW(OFFSET(nombres[],0,0,1,1))+1,ROW(OFFSET(nombres[],ROWS(nombres[])-1,0,1,1))+1),$O1541:$O1560),3),"")</f>
        <v/>
      </c>
      <c r="TS1541" s="42" t="str">
        <f t="array" aca="1" ref="TS1541" ca="1">IFERROR(INDEX(nombres[],SMALL(IF(OFFSET(nombres[],0,0,ROWS(nombres[]),1)=TS$1490,ROW(OFFSET(nombres[],0,0,ROWS(nombres[]),1))-ROW(OFFSET(nombres[],0,0,1,1))+1,ROW(OFFSET(nombres[],ROWS(nombres[])-1,0,1,1))+1),$O1541:$O1560),3),"")</f>
        <v/>
      </c>
      <c r="TT1541" s="42" t="str">
        <f t="array" aca="1" ref="TT1541" ca="1">IFERROR(INDEX(nombres[],SMALL(IF(OFFSET(nombres[],0,0,ROWS(nombres[]),1)=TT$1490,ROW(OFFSET(nombres[],0,0,ROWS(nombres[]),1))-ROW(OFFSET(nombres[],0,0,1,1))+1,ROW(OFFSET(nombres[],ROWS(nombres[])-1,0,1,1))+1),$O1541:$O1560),3),"")</f>
        <v/>
      </c>
      <c r="TU1541" s="42" t="str">
        <f t="array" aca="1" ref="TU1541" ca="1">IFERROR(INDEX(nombres[],SMALL(IF(OFFSET(nombres[],0,0,ROWS(nombres[]),1)=TU$1490,ROW(OFFSET(nombres[],0,0,ROWS(nombres[]),1))-ROW(OFFSET(nombres[],0,0,1,1))+1,ROW(OFFSET(nombres[],ROWS(nombres[])-1,0,1,1))+1),$O1541:$O1560),3),"")</f>
        <v/>
      </c>
      <c r="TV1541" s="42" t="str">
        <f t="array" aca="1" ref="TV1541" ca="1">IFERROR(INDEX(nombres[],SMALL(IF(OFFSET(nombres[],0,0,ROWS(nombres[]),1)=TV$1490,ROW(OFFSET(nombres[],0,0,ROWS(nombres[]),1))-ROW(OFFSET(nombres[],0,0,1,1))+1,ROW(OFFSET(nombres[],ROWS(nombres[])-1,0,1,1))+1),$O1541:$O1560),3),"")</f>
        <v/>
      </c>
      <c r="TW1541" s="42" t="str">
        <f t="array" aca="1" ref="TW1541" ca="1">IFERROR(INDEX(nombres[],SMALL(IF(OFFSET(nombres[],0,0,ROWS(nombres[]),1)=TW$1490,ROW(OFFSET(nombres[],0,0,ROWS(nombres[]),1))-ROW(OFFSET(nombres[],0,0,1,1))+1,ROW(OFFSET(nombres[],ROWS(nombres[])-1,0,1,1))+1),$O1541:$O1560),3),"")</f>
        <v/>
      </c>
      <c r="TX1541" s="42" t="str">
        <f t="array" aca="1" ref="TX1541" ca="1">IFERROR(INDEX(nombres[],SMALL(IF(OFFSET(nombres[],0,0,ROWS(nombres[]),1)=TX$1490,ROW(OFFSET(nombres[],0,0,ROWS(nombres[]),1))-ROW(OFFSET(nombres[],0,0,1,1))+1,ROW(OFFSET(nombres[],ROWS(nombres[])-1,0,1,1))+1),$O1541:$O1560),3),"")</f>
        <v/>
      </c>
      <c r="TY1541" s="42" t="str">
        <f t="array" aca="1" ref="TY1541" ca="1">IFERROR(INDEX(nombres[],SMALL(IF(OFFSET(nombres[],0,0,ROWS(nombres[]),1)=TY$1490,ROW(OFFSET(nombres[],0,0,ROWS(nombres[]),1))-ROW(OFFSET(nombres[],0,0,1,1))+1,ROW(OFFSET(nombres[],ROWS(nombres[])-1,0,1,1))+1),$O1541:$O1560),3),"")</f>
        <v/>
      </c>
      <c r="TZ1541" s="42" t="str">
        <f t="array" aca="1" ref="TZ1541" ca="1">IFERROR(INDEX(nombres[],SMALL(IF(OFFSET(nombres[],0,0,ROWS(nombres[]),1)=TZ$1490,ROW(OFFSET(nombres[],0,0,ROWS(nombres[]),1))-ROW(OFFSET(nombres[],0,0,1,1))+1,ROW(OFFSET(nombres[],ROWS(nombres[])-1,0,1,1))+1),$O1541:$O1560),3),"")</f>
        <v/>
      </c>
      <c r="UA1541" s="42" t="str">
        <f t="array" aca="1" ref="UA1541" ca="1">IFERROR(INDEX(nombres[],SMALL(IF(OFFSET(nombres[],0,0,ROWS(nombres[]),1)=UA$1490,ROW(OFFSET(nombres[],0,0,ROWS(nombres[]),1))-ROW(OFFSET(nombres[],0,0,1,1))+1,ROW(OFFSET(nombres[],ROWS(nombres[])-1,0,1,1))+1),$O1541:$O1560),3),"")</f>
        <v/>
      </c>
      <c r="UB1541" s="42" t="str">
        <f t="array" aca="1" ref="UB1541" ca="1">IFERROR(INDEX(nombres[],SMALL(IF(OFFSET(nombres[],0,0,ROWS(nombres[]),1)=UB$1490,ROW(OFFSET(nombres[],0,0,ROWS(nombres[]),1))-ROW(OFFSET(nombres[],0,0,1,1))+1,ROW(OFFSET(nombres[],ROWS(nombres[])-1,0,1,1))+1),$O1541:$O1560),3),"")</f>
        <v/>
      </c>
      <c r="UC1541" s="42" t="str">
        <f t="array" aca="1" ref="UC1541" ca="1">IFERROR(INDEX(nombres[],SMALL(IF(OFFSET(nombres[],0,0,ROWS(nombres[]),1)=UC$1490,ROW(OFFSET(nombres[],0,0,ROWS(nombres[]),1))-ROW(OFFSET(nombres[],0,0,1,1))+1,ROW(OFFSET(nombres[],ROWS(nombres[])-1,0,1,1))+1),$O1541:$O1560),3),"")</f>
        <v/>
      </c>
      <c r="UD1541" s="42" t="str">
        <f t="array" aca="1" ref="UD1541" ca="1">IFERROR(INDEX(nombres[],SMALL(IF(OFFSET(nombres[],0,0,ROWS(nombres[]),1)=UD$1490,ROW(OFFSET(nombres[],0,0,ROWS(nombres[]),1))-ROW(OFFSET(nombres[],0,0,1,1))+1,ROW(OFFSET(nombres[],ROWS(nombres[])-1,0,1,1))+1),$O1541:$O1560),3),"")</f>
        <v/>
      </c>
      <c r="UE1541" s="42" t="str">
        <f t="array" aca="1" ref="UE1541" ca="1">IFERROR(INDEX(nombres[],SMALL(IF(OFFSET(nombres[],0,0,ROWS(nombres[]),1)=UE$1490,ROW(OFFSET(nombres[],0,0,ROWS(nombres[]),1))-ROW(OFFSET(nombres[],0,0,1,1))+1,ROW(OFFSET(nombres[],ROWS(nombres[])-1,0,1,1))+1),$O1541:$O1560),3),"")</f>
        <v/>
      </c>
      <c r="UF1541" s="42" t="str">
        <f t="array" aca="1" ref="UF1541" ca="1">IFERROR(INDEX(nombres[],SMALL(IF(OFFSET(nombres[],0,0,ROWS(nombres[]),1)=UF$1490,ROW(OFFSET(nombres[],0,0,ROWS(nombres[]),1))-ROW(OFFSET(nombres[],0,0,1,1))+1,ROW(OFFSET(nombres[],ROWS(nombres[])-1,0,1,1))+1),$O1541:$O1560),3),"")</f>
        <v/>
      </c>
      <c r="UG1541" s="42" t="str">
        <f t="array" aca="1" ref="UG1541" ca="1">IFERROR(INDEX(nombres[],SMALL(IF(OFFSET(nombres[],0,0,ROWS(nombres[]),1)=UG$1490,ROW(OFFSET(nombres[],0,0,ROWS(nombres[]),1))-ROW(OFFSET(nombres[],0,0,1,1))+1,ROW(OFFSET(nombres[],ROWS(nombres[])-1,0,1,1))+1),$O1541:$O1560),3),"")</f>
        <v/>
      </c>
      <c r="UH1541" s="42" t="str">
        <f t="array" aca="1" ref="UH1541" ca="1">IFERROR(INDEX(nombres[],SMALL(IF(OFFSET(nombres[],0,0,ROWS(nombres[]),1)=UH$1490,ROW(OFFSET(nombres[],0,0,ROWS(nombres[]),1))-ROW(OFFSET(nombres[],0,0,1,1))+1,ROW(OFFSET(nombres[],ROWS(nombres[])-1,0,1,1))+1),$O1541:$O1560),3),"")</f>
        <v/>
      </c>
      <c r="UI1541" s="42" t="str">
        <f t="array" aca="1" ref="UI1541" ca="1">IFERROR(INDEX(nombres[],SMALL(IF(OFFSET(nombres[],0,0,ROWS(nombres[]),1)=UI$1490,ROW(OFFSET(nombres[],0,0,ROWS(nombres[]),1))-ROW(OFFSET(nombres[],0,0,1,1))+1,ROW(OFFSET(nombres[],ROWS(nombres[])-1,0,1,1))+1),$O1541:$O1560),3),"")</f>
        <v/>
      </c>
      <c r="UJ1541" s="42" t="str">
        <f t="array" aca="1" ref="UJ1541" ca="1">IFERROR(INDEX(nombres[],SMALL(IF(OFFSET(nombres[],0,0,ROWS(nombres[]),1)=UJ$1490,ROW(OFFSET(nombres[],0,0,ROWS(nombres[]),1))-ROW(OFFSET(nombres[],0,0,1,1))+1,ROW(OFFSET(nombres[],ROWS(nombres[])-1,0,1,1))+1),$O1541:$O1560),3),"")</f>
        <v/>
      </c>
      <c r="UK1541" s="42" t="str">
        <f t="array" aca="1" ref="UK1541" ca="1">IFERROR(INDEX(nombres[],SMALL(IF(OFFSET(nombres[],0,0,ROWS(nombres[]),1)=UK$1490,ROW(OFFSET(nombres[],0,0,ROWS(nombres[]),1))-ROW(OFFSET(nombres[],0,0,1,1))+1,ROW(OFFSET(nombres[],ROWS(nombres[])-1,0,1,1))+1),$O1541:$O1560),3),"")</f>
        <v/>
      </c>
      <c r="UL1541" s="42" t="str">
        <f t="array" aca="1" ref="UL1541" ca="1">IFERROR(INDEX(nombres[],SMALL(IF(OFFSET(nombres[],0,0,ROWS(nombres[]),1)=UL$1490,ROW(OFFSET(nombres[],0,0,ROWS(nombres[]),1))-ROW(OFFSET(nombres[],0,0,1,1))+1,ROW(OFFSET(nombres[],ROWS(nombres[])-1,0,1,1))+1),$O1541:$O1560),3),"")</f>
        <v/>
      </c>
      <c r="UM1541" s="42" t="str">
        <f t="array" aca="1" ref="UM1541" ca="1">IFERROR(INDEX(nombres[],SMALL(IF(OFFSET(nombres[],0,0,ROWS(nombres[]),1)=UM$1490,ROW(OFFSET(nombres[],0,0,ROWS(nombres[]),1))-ROW(OFFSET(nombres[],0,0,1,1))+1,ROW(OFFSET(nombres[],ROWS(nombres[])-1,0,1,1))+1),$O1541:$O1560),3),"")</f>
        <v/>
      </c>
      <c r="UN1541" s="42" t="str">
        <f t="array" aca="1" ref="UN1541" ca="1">IFERROR(INDEX(nombres[],SMALL(IF(OFFSET(nombres[],0,0,ROWS(nombres[]),1)=UN$1490,ROW(OFFSET(nombres[],0,0,ROWS(nombres[]),1))-ROW(OFFSET(nombres[],0,0,1,1))+1,ROW(OFFSET(nombres[],ROWS(nombres[])-1,0,1,1))+1),$O1541:$O1560),3),"")</f>
        <v/>
      </c>
      <c r="UO1541" s="42" t="str">
        <f t="array" aca="1" ref="UO1541" ca="1">IFERROR(INDEX(nombres[],SMALL(IF(OFFSET(nombres[],0,0,ROWS(nombres[]),1)=UO$1490,ROW(OFFSET(nombres[],0,0,ROWS(nombres[]),1))-ROW(OFFSET(nombres[],0,0,1,1))+1,ROW(OFFSET(nombres[],ROWS(nombres[])-1,0,1,1))+1),$O1541:$O1560),3),"")</f>
        <v/>
      </c>
      <c r="UP1541" s="42" t="str">
        <f t="array" aca="1" ref="UP1541" ca="1">IFERROR(INDEX(nombres[],SMALL(IF(OFFSET(nombres[],0,0,ROWS(nombres[]),1)=UP$1490,ROW(OFFSET(nombres[],0,0,ROWS(nombres[]),1))-ROW(OFFSET(nombres[],0,0,1,1))+1,ROW(OFFSET(nombres[],ROWS(nombres[])-1,0,1,1))+1),$O1541:$O1560),3),"")</f>
        <v/>
      </c>
      <c r="UQ1541" s="42" t="str">
        <f t="array" aca="1" ref="UQ1541" ca="1">IFERROR(INDEX(nombres[],SMALL(IF(OFFSET(nombres[],0,0,ROWS(nombres[]),1)=UQ$1490,ROW(OFFSET(nombres[],0,0,ROWS(nombres[]),1))-ROW(OFFSET(nombres[],0,0,1,1))+1,ROW(OFFSET(nombres[],ROWS(nombres[])-1,0,1,1))+1),$O1541:$O1560),3),"")</f>
        <v/>
      </c>
      <c r="UR1541" s="42" t="str">
        <f t="array" aca="1" ref="UR1541" ca="1">IFERROR(INDEX(nombres[],SMALL(IF(OFFSET(nombres[],0,0,ROWS(nombres[]),1)=UR$1490,ROW(OFFSET(nombres[],0,0,ROWS(nombres[]),1))-ROW(OFFSET(nombres[],0,0,1,1))+1,ROW(OFFSET(nombres[],ROWS(nombres[])-1,0,1,1))+1),$O1541:$O1560),3),"")</f>
        <v/>
      </c>
      <c r="US1541" s="42" t="str">
        <f t="array" aca="1" ref="US1541" ca="1">IFERROR(INDEX(nombres[],SMALL(IF(OFFSET(nombres[],0,0,ROWS(nombres[]),1)=US$1490,ROW(OFFSET(nombres[],0,0,ROWS(nombres[]),1))-ROW(OFFSET(nombres[],0,0,1,1))+1,ROW(OFFSET(nombres[],ROWS(nombres[])-1,0,1,1))+1),$O1541:$O1560),3),"")</f>
        <v/>
      </c>
      <c r="UT1541" s="42" t="str">
        <f t="array" aca="1" ref="UT1541" ca="1">IFERROR(INDEX(nombres[],SMALL(IF(OFFSET(nombres[],0,0,ROWS(nombres[]),1)=UT$1490,ROW(OFFSET(nombres[],0,0,ROWS(nombres[]),1))-ROW(OFFSET(nombres[],0,0,1,1))+1,ROW(OFFSET(nombres[],ROWS(nombres[])-1,0,1,1))+1),$O1541:$O1560),3),"")</f>
        <v/>
      </c>
      <c r="UU1541" s="42" t="str">
        <f t="array" aca="1" ref="UU1541" ca="1">IFERROR(INDEX(nombres[],SMALL(IF(OFFSET(nombres[],0,0,ROWS(nombres[]),1)=UU$1490,ROW(OFFSET(nombres[],0,0,ROWS(nombres[]),1))-ROW(OFFSET(nombres[],0,0,1,1))+1,ROW(OFFSET(nombres[],ROWS(nombres[])-1,0,1,1))+1),$O1541:$O1560),3),"")</f>
        <v/>
      </c>
      <c r="UV1541" s="42" t="str">
        <f t="array" aca="1" ref="UV1541" ca="1">IFERROR(INDEX(nombres[],SMALL(IF(OFFSET(nombres[],0,0,ROWS(nombres[]),1)=UV$1490,ROW(OFFSET(nombres[],0,0,ROWS(nombres[]),1))-ROW(OFFSET(nombres[],0,0,1,1))+1,ROW(OFFSET(nombres[],ROWS(nombres[])-1,0,1,1))+1),$O1541:$O1560),3),"")</f>
        <v/>
      </c>
      <c r="UW1541" s="42" t="str">
        <f t="array" aca="1" ref="UW1541" ca="1">IFERROR(INDEX(nombres[],SMALL(IF(OFFSET(nombres[],0,0,ROWS(nombres[]),1)=UW$1490,ROW(OFFSET(nombres[],0,0,ROWS(nombres[]),1))-ROW(OFFSET(nombres[],0,0,1,1))+1,ROW(OFFSET(nombres[],ROWS(nombres[])-1,0,1,1))+1),$O1541:$O1560),3),"")</f>
        <v/>
      </c>
      <c r="UX1541" s="42" t="str">
        <f t="array" aca="1" ref="UX1541" ca="1">IFERROR(INDEX(nombres[],SMALL(IF(OFFSET(nombres[],0,0,ROWS(nombres[]),1)=UX$1490,ROW(OFFSET(nombres[],0,0,ROWS(nombres[]),1))-ROW(OFFSET(nombres[],0,0,1,1))+1,ROW(OFFSET(nombres[],ROWS(nombres[])-1,0,1,1))+1),$O1541:$O1560),3),"")</f>
        <v/>
      </c>
      <c r="UY1541" s="42" t="str">
        <f t="array" aca="1" ref="UY1541" ca="1">IFERROR(INDEX(nombres[],SMALL(IF(OFFSET(nombres[],0,0,ROWS(nombres[]),1)=UY$1490,ROW(OFFSET(nombres[],0,0,ROWS(nombres[]),1))-ROW(OFFSET(nombres[],0,0,1,1))+1,ROW(OFFSET(nombres[],ROWS(nombres[])-1,0,1,1))+1),$O1541:$O1560),3),"")</f>
        <v/>
      </c>
      <c r="UZ1541" s="42" t="str">
        <f t="array" aca="1" ref="UZ1541" ca="1">IFERROR(INDEX(nombres[],SMALL(IF(OFFSET(nombres[],0,0,ROWS(nombres[]),1)=UZ$1490,ROW(OFFSET(nombres[],0,0,ROWS(nombres[]),1))-ROW(OFFSET(nombres[],0,0,1,1))+1,ROW(OFFSET(nombres[],ROWS(nombres[])-1,0,1,1))+1),$O1541:$O1560),3),"")</f>
        <v/>
      </c>
      <c r="VA1541" s="42" t="str">
        <f t="array" aca="1" ref="VA1541" ca="1">IFERROR(INDEX(nombres[],SMALL(IF(OFFSET(nombres[],0,0,ROWS(nombres[]),1)=VA$1490,ROW(OFFSET(nombres[],0,0,ROWS(nombres[]),1))-ROW(OFFSET(nombres[],0,0,1,1))+1,ROW(OFFSET(nombres[],ROWS(nombres[])-1,0,1,1))+1),$O1541:$O1560),3),"")</f>
        <v/>
      </c>
      <c r="VB1541" s="42" t="str">
        <f t="array" aca="1" ref="VB1541" ca="1">IFERROR(INDEX(nombres[],SMALL(IF(OFFSET(nombres[],0,0,ROWS(nombres[]),1)=VB$1490,ROW(OFFSET(nombres[],0,0,ROWS(nombres[]),1))-ROW(OFFSET(nombres[],0,0,1,1))+1,ROW(OFFSET(nombres[],ROWS(nombres[])-1,0,1,1))+1),$O1541:$O1560),3),"")</f>
        <v/>
      </c>
      <c r="VC1541" s="42" t="str">
        <f t="array" aca="1" ref="VC1541" ca="1">IFERROR(INDEX(nombres[],SMALL(IF(OFFSET(nombres[],0,0,ROWS(nombres[]),1)=VC$1490,ROW(OFFSET(nombres[],0,0,ROWS(nombres[]),1))-ROW(OFFSET(nombres[],0,0,1,1))+1,ROW(OFFSET(nombres[],ROWS(nombres[])-1,0,1,1))+1),$O1541:$O1560),3),"")</f>
        <v/>
      </c>
      <c r="VD1541" s="42" t="str">
        <f t="array" aca="1" ref="VD1541" ca="1">IFERROR(INDEX(nombres[],SMALL(IF(OFFSET(nombres[],0,0,ROWS(nombres[]),1)=VD$1490,ROW(OFFSET(nombres[],0,0,ROWS(nombres[]),1))-ROW(OFFSET(nombres[],0,0,1,1))+1,ROW(OFFSET(nombres[],ROWS(nombres[])-1,0,1,1))+1),$O1541:$O1560),3),"")</f>
        <v/>
      </c>
      <c r="VE1541" s="42" t="str">
        <f t="array" aca="1" ref="VE1541" ca="1">IFERROR(INDEX(nombres[],SMALL(IF(OFFSET(nombres[],0,0,ROWS(nombres[]),1)=VE$1490,ROW(OFFSET(nombres[],0,0,ROWS(nombres[]),1))-ROW(OFFSET(nombres[],0,0,1,1))+1,ROW(OFFSET(nombres[],ROWS(nombres[])-1,0,1,1))+1),$O1541:$O1560),3),"")</f>
        <v/>
      </c>
      <c r="VF1541" s="42" t="str">
        <f t="array" aca="1" ref="VF1541" ca="1">IFERROR(INDEX(nombres[],SMALL(IF(OFFSET(nombres[],0,0,ROWS(nombres[]),1)=VF$1490,ROW(OFFSET(nombres[],0,0,ROWS(nombres[]),1))-ROW(OFFSET(nombres[],0,0,1,1))+1,ROW(OFFSET(nombres[],ROWS(nombres[])-1,0,1,1))+1),$O1541:$O1560),3),"")</f>
        <v/>
      </c>
      <c r="VG1541" s="42" t="str">
        <f t="array" aca="1" ref="VG1541" ca="1">IFERROR(INDEX(nombres[],SMALL(IF(OFFSET(nombres[],0,0,ROWS(nombres[]),1)=VG$1490,ROW(OFFSET(nombres[],0,0,ROWS(nombres[]),1))-ROW(OFFSET(nombres[],0,0,1,1))+1,ROW(OFFSET(nombres[],ROWS(nombres[])-1,0,1,1))+1),$O1541:$O1560),3),"")</f>
        <v/>
      </c>
      <c r="VH1541" s="42" t="str">
        <f t="array" aca="1" ref="VH1541" ca="1">IFERROR(INDEX(nombres[],SMALL(IF(OFFSET(nombres[],0,0,ROWS(nombres[]),1)=VH$1490,ROW(OFFSET(nombres[],0,0,ROWS(nombres[]),1))-ROW(OFFSET(nombres[],0,0,1,1))+1,ROW(OFFSET(nombres[],ROWS(nombres[])-1,0,1,1))+1),$O1541:$O1560),3),"")</f>
        <v/>
      </c>
      <c r="VI1541" s="42" t="str">
        <f t="array" aca="1" ref="VI1541" ca="1">IFERROR(INDEX(nombres[],SMALL(IF(OFFSET(nombres[],0,0,ROWS(nombres[]),1)=VI$1490,ROW(OFFSET(nombres[],0,0,ROWS(nombres[]),1))-ROW(OFFSET(nombres[],0,0,1,1))+1,ROW(OFFSET(nombres[],ROWS(nombres[])-1,0,1,1))+1),$O1541:$O1560),3),"")</f>
        <v/>
      </c>
      <c r="VJ1541" s="42" t="str">
        <f t="array" aca="1" ref="VJ1541" ca="1">IFERROR(INDEX(nombres[],SMALL(IF(OFFSET(nombres[],0,0,ROWS(nombres[]),1)=VJ$1490,ROW(OFFSET(nombres[],0,0,ROWS(nombres[]),1))-ROW(OFFSET(nombres[],0,0,1,1))+1,ROW(OFFSET(nombres[],ROWS(nombres[])-1,0,1,1))+1),$O1541:$O1560),3),"")</f>
        <v/>
      </c>
      <c r="VK1541" s="42" t="str">
        <f t="array" aca="1" ref="VK1541" ca="1">IFERROR(INDEX(nombres[],SMALL(IF(OFFSET(nombres[],0,0,ROWS(nombres[]),1)=VK$1490,ROW(OFFSET(nombres[],0,0,ROWS(nombres[]),1))-ROW(OFFSET(nombres[],0,0,1,1))+1,ROW(OFFSET(nombres[],ROWS(nombres[])-1,0,1,1))+1),$O1541:$O1560),3),"")</f>
        <v/>
      </c>
      <c r="VL1541" s="42" t="str">
        <f t="array" aca="1" ref="VL1541" ca="1">IFERROR(INDEX(nombres[],SMALL(IF(OFFSET(nombres[],0,0,ROWS(nombres[]),1)=VL$1490,ROW(OFFSET(nombres[],0,0,ROWS(nombres[]),1))-ROW(OFFSET(nombres[],0,0,1,1))+1,ROW(OFFSET(nombres[],ROWS(nombres[])-1,0,1,1))+1),$O1541:$O1560),3),"")</f>
        <v/>
      </c>
      <c r="VM1541" s="42" t="str">
        <f t="array" aca="1" ref="VM1541" ca="1">IFERROR(INDEX(nombres[],SMALL(IF(OFFSET(nombres[],0,0,ROWS(nombres[]),1)=VM$1490,ROW(OFFSET(nombres[],0,0,ROWS(nombres[]),1))-ROW(OFFSET(nombres[],0,0,1,1))+1,ROW(OFFSET(nombres[],ROWS(nombres[])-1,0,1,1))+1),$O1541:$O1560),3),"")</f>
        <v/>
      </c>
      <c r="VN1541" s="42" t="str">
        <f t="array" aca="1" ref="VN1541" ca="1">IFERROR(INDEX(nombres[],SMALL(IF(OFFSET(nombres[],0,0,ROWS(nombres[]),1)=VN$1490,ROW(OFFSET(nombres[],0,0,ROWS(nombres[]),1))-ROW(OFFSET(nombres[],0,0,1,1))+1,ROW(OFFSET(nombres[],ROWS(nombres[])-1,0,1,1))+1),$O1541:$O1560),3),"")</f>
        <v/>
      </c>
      <c r="VO1541" s="42" t="str">
        <f t="array" aca="1" ref="VO1541" ca="1">IFERROR(INDEX(nombres[],SMALL(IF(OFFSET(nombres[],0,0,ROWS(nombres[]),1)=VO$1490,ROW(OFFSET(nombres[],0,0,ROWS(nombres[]),1))-ROW(OFFSET(nombres[],0,0,1,1))+1,ROW(OFFSET(nombres[],ROWS(nombres[])-1,0,1,1))+1),$O1541:$O1560),3),"")</f>
        <v/>
      </c>
      <c r="VP1541" s="42" t="str">
        <f t="array" aca="1" ref="VP1541" ca="1">IFERROR(INDEX(nombres[],SMALL(IF(OFFSET(nombres[],0,0,ROWS(nombres[]),1)=VP$1490,ROW(OFFSET(nombres[],0,0,ROWS(nombres[]),1))-ROW(OFFSET(nombres[],0,0,1,1))+1,ROW(OFFSET(nombres[],ROWS(nombres[])-1,0,1,1))+1),$O1541:$O1560),3),"")</f>
        <v/>
      </c>
      <c r="VQ1541" s="42" t="str">
        <f t="array" aca="1" ref="VQ1541" ca="1">IFERROR(INDEX(nombres[],SMALL(IF(OFFSET(nombres[],0,0,ROWS(nombres[]),1)=VQ$1490,ROW(OFFSET(nombres[],0,0,ROWS(nombres[]),1))-ROW(OFFSET(nombres[],0,0,1,1))+1,ROW(OFFSET(nombres[],ROWS(nombres[])-1,0,1,1))+1),$O1541:$O1560),3),"")</f>
        <v/>
      </c>
      <c r="VR1541" s="42" t="str">
        <f t="array" aca="1" ref="VR1541" ca="1">IFERROR(INDEX(nombres[],SMALL(IF(OFFSET(nombres[],0,0,ROWS(nombres[]),1)=VR$1490,ROW(OFFSET(nombres[],0,0,ROWS(nombres[]),1))-ROW(OFFSET(nombres[],0,0,1,1))+1,ROW(OFFSET(nombres[],ROWS(nombres[])-1,0,1,1))+1),$O1541:$O1560),3),"")</f>
        <v/>
      </c>
      <c r="VS1541" s="42" t="str">
        <f t="array" aca="1" ref="VS1541" ca="1">IFERROR(INDEX(nombres[],SMALL(IF(OFFSET(nombres[],0,0,ROWS(nombres[]),1)=VS$1490,ROW(OFFSET(nombres[],0,0,ROWS(nombres[]),1))-ROW(OFFSET(nombres[],0,0,1,1))+1,ROW(OFFSET(nombres[],ROWS(nombres[])-1,0,1,1))+1),$O1541:$O1560),3),"")</f>
        <v/>
      </c>
      <c r="VT1541" s="42" t="str">
        <f t="array" aca="1" ref="VT1541" ca="1">IFERROR(INDEX(nombres[],SMALL(IF(OFFSET(nombres[],0,0,ROWS(nombres[]),1)=VT$1490,ROW(OFFSET(nombres[],0,0,ROWS(nombres[]),1))-ROW(OFFSET(nombres[],0,0,1,1))+1,ROW(OFFSET(nombres[],ROWS(nombres[])-1,0,1,1))+1),$O1541:$O1560),3),"")</f>
        <v/>
      </c>
      <c r="VU1541" s="42" t="str">
        <f t="array" aca="1" ref="VU1541" ca="1">IFERROR(INDEX(nombres[],SMALL(IF(OFFSET(nombres[],0,0,ROWS(nombres[]),1)=VU$1490,ROW(OFFSET(nombres[],0,0,ROWS(nombres[]),1))-ROW(OFFSET(nombres[],0,0,1,1))+1,ROW(OFFSET(nombres[],ROWS(nombres[])-1,0,1,1))+1),$O1541:$O1560),3),"")</f>
        <v/>
      </c>
      <c r="VV1541" s="42" t="str">
        <f t="array" aca="1" ref="VV1541" ca="1">IFERROR(INDEX(nombres[],SMALL(IF(OFFSET(nombres[],0,0,ROWS(nombres[]),1)=VV$1490,ROW(OFFSET(nombres[],0,0,ROWS(nombres[]),1))-ROW(OFFSET(nombres[],0,0,1,1))+1,ROW(OFFSET(nombres[],ROWS(nombres[])-1,0,1,1))+1),$O1541:$O1560),3),"")</f>
        <v/>
      </c>
      <c r="VW1541" s="42" t="str">
        <f t="array" aca="1" ref="VW1541" ca="1">IFERROR(INDEX(nombres[],SMALL(IF(OFFSET(nombres[],0,0,ROWS(nombres[]),1)=VW$1490,ROW(OFFSET(nombres[],0,0,ROWS(nombres[]),1))-ROW(OFFSET(nombres[],0,0,1,1))+1,ROW(OFFSET(nombres[],ROWS(nombres[])-1,0,1,1))+1),$O1541:$O1560),3),"")</f>
        <v/>
      </c>
      <c r="VX1541" s="42" t="str">
        <f t="array" aca="1" ref="VX1541" ca="1">IFERROR(INDEX(nombres[],SMALL(IF(OFFSET(nombres[],0,0,ROWS(nombres[]),1)=VX$1490,ROW(OFFSET(nombres[],0,0,ROWS(nombres[]),1))-ROW(OFFSET(nombres[],0,0,1,1))+1,ROW(OFFSET(nombres[],ROWS(nombres[])-1,0,1,1))+1),$O1541:$O1560),3),"")</f>
        <v/>
      </c>
      <c r="VY1541" s="42" t="str">
        <f t="array" aca="1" ref="VY1541" ca="1">IFERROR(INDEX(nombres[],SMALL(IF(OFFSET(nombres[],0,0,ROWS(nombres[]),1)=VY$1490,ROW(OFFSET(nombres[],0,0,ROWS(nombres[]),1))-ROW(OFFSET(nombres[],0,0,1,1))+1,ROW(OFFSET(nombres[],ROWS(nombres[])-1,0,1,1))+1),$O1541:$O1560),3),"")</f>
        <v/>
      </c>
      <c r="VZ1541" s="42" t="str">
        <f t="array" aca="1" ref="VZ1541" ca="1">IFERROR(INDEX(nombres[],SMALL(IF(OFFSET(nombres[],0,0,ROWS(nombres[]),1)=VZ$1490,ROW(OFFSET(nombres[],0,0,ROWS(nombres[]),1))-ROW(OFFSET(nombres[],0,0,1,1))+1,ROW(OFFSET(nombres[],ROWS(nombres[])-1,0,1,1))+1),$O1541:$O1560),3),"")</f>
        <v/>
      </c>
      <c r="WA1541" s="42" t="str">
        <f t="array" aca="1" ref="WA1541" ca="1">IFERROR(INDEX(nombres[],SMALL(IF(OFFSET(nombres[],0,0,ROWS(nombres[]),1)=WA$1490,ROW(OFFSET(nombres[],0,0,ROWS(nombres[]),1))-ROW(OFFSET(nombres[],0,0,1,1))+1,ROW(OFFSET(nombres[],ROWS(nombres[])-1,0,1,1))+1),$O1541:$O1560),3),"")</f>
        <v/>
      </c>
      <c r="WB1541" s="42" t="str">
        <f t="array" aca="1" ref="WB1541" ca="1">IFERROR(INDEX(nombres[],SMALL(IF(OFFSET(nombres[],0,0,ROWS(nombres[]),1)=WB$1490,ROW(OFFSET(nombres[],0,0,ROWS(nombres[]),1))-ROW(OFFSET(nombres[],0,0,1,1))+1,ROW(OFFSET(nombres[],ROWS(nombres[])-1,0,1,1))+1),$O1541:$O1560),3),"")</f>
        <v/>
      </c>
      <c r="WC1541" s="42" t="str">
        <f t="array" aca="1" ref="WC1541" ca="1">IFERROR(INDEX(nombres[],SMALL(IF(OFFSET(nombres[],0,0,ROWS(nombres[]),1)=WC$1490,ROW(OFFSET(nombres[],0,0,ROWS(nombres[]),1))-ROW(OFFSET(nombres[],0,0,1,1))+1,ROW(OFFSET(nombres[],ROWS(nombres[])-1,0,1,1))+1),$O1541:$O1560),3),"")</f>
        <v/>
      </c>
      <c r="WD1541" s="42" t="str">
        <f t="array" aca="1" ref="WD1541" ca="1">IFERROR(INDEX(nombres[],SMALL(IF(OFFSET(nombres[],0,0,ROWS(nombres[]),1)=WD$1490,ROW(OFFSET(nombres[],0,0,ROWS(nombres[]),1))-ROW(OFFSET(nombres[],0,0,1,1))+1,ROW(OFFSET(nombres[],ROWS(nombres[])-1,0,1,1))+1),$O1541:$O1560),3),"")</f>
        <v/>
      </c>
      <c r="WE1541" s="42" t="str">
        <f t="array" aca="1" ref="WE1541" ca="1">IFERROR(INDEX(nombres[],SMALL(IF(OFFSET(nombres[],0,0,ROWS(nombres[]),1)=WE$1490,ROW(OFFSET(nombres[],0,0,ROWS(nombres[]),1))-ROW(OFFSET(nombres[],0,0,1,1))+1,ROW(OFFSET(nombres[],ROWS(nombres[])-1,0,1,1))+1),$O1541:$O1560),3),"")</f>
        <v/>
      </c>
      <c r="WF1541" s="42" t="str">
        <f t="array" aca="1" ref="WF1541" ca="1">IFERROR(INDEX(nombres[],SMALL(IF(OFFSET(nombres[],0,0,ROWS(nombres[]),1)=WF$1490,ROW(OFFSET(nombres[],0,0,ROWS(nombres[]),1))-ROW(OFFSET(nombres[],0,0,1,1))+1,ROW(OFFSET(nombres[],ROWS(nombres[])-1,0,1,1))+1),$O1541:$O1560),3),"")</f>
        <v/>
      </c>
      <c r="WG1541" s="42" t="str">
        <f t="array" aca="1" ref="WG1541" ca="1">IFERROR(INDEX(nombres[],SMALL(IF(OFFSET(nombres[],0,0,ROWS(nombres[]),1)=WG$1490,ROW(OFFSET(nombres[],0,0,ROWS(nombres[]),1))-ROW(OFFSET(nombres[],0,0,1,1))+1,ROW(OFFSET(nombres[],ROWS(nombres[])-1,0,1,1))+1),$O1541:$O1560),3),"")</f>
        <v/>
      </c>
      <c r="WH1541" s="42" t="str">
        <f t="array" aca="1" ref="WH1541" ca="1">IFERROR(INDEX(nombres[],SMALL(IF(OFFSET(nombres[],0,0,ROWS(nombres[]),1)=WH$1490,ROW(OFFSET(nombres[],0,0,ROWS(nombres[]),1))-ROW(OFFSET(nombres[],0,0,1,1))+1,ROW(OFFSET(nombres[],ROWS(nombres[])-1,0,1,1))+1),$O1541:$O1560),3),"")</f>
        <v/>
      </c>
      <c r="WI1541" s="42" t="str">
        <f t="array" aca="1" ref="WI1541" ca="1">IFERROR(INDEX(nombres[],SMALL(IF(OFFSET(nombres[],0,0,ROWS(nombres[]),1)=WI$1490,ROW(OFFSET(nombres[],0,0,ROWS(nombres[]),1))-ROW(OFFSET(nombres[],0,0,1,1))+1,ROW(OFFSET(nombres[],ROWS(nombres[])-1,0,1,1))+1),$O1541:$O1560),3),"")</f>
        <v/>
      </c>
      <c r="WJ1541" s="42" t="str">
        <f t="array" aca="1" ref="WJ1541" ca="1">IFERROR(INDEX(nombres[],SMALL(IF(OFFSET(nombres[],0,0,ROWS(nombres[]),1)=WJ$1490,ROW(OFFSET(nombres[],0,0,ROWS(nombres[]),1))-ROW(OFFSET(nombres[],0,0,1,1))+1,ROW(OFFSET(nombres[],ROWS(nombres[])-1,0,1,1))+1),$O1541:$O1560),3),"")</f>
        <v/>
      </c>
      <c r="WK1541" s="42" t="str">
        <f t="array" aca="1" ref="WK1541" ca="1">IFERROR(INDEX(nombres[],SMALL(IF(OFFSET(nombres[],0,0,ROWS(nombres[]),1)=WK$1490,ROW(OFFSET(nombres[],0,0,ROWS(nombres[]),1))-ROW(OFFSET(nombres[],0,0,1,1))+1,ROW(OFFSET(nombres[],ROWS(nombres[])-1,0,1,1))+1),$O1541:$O1560),3),"")</f>
        <v/>
      </c>
      <c r="WL1541" s="42" t="str">
        <f t="array" aca="1" ref="WL1541" ca="1">IFERROR(INDEX(nombres[],SMALL(IF(OFFSET(nombres[],0,0,ROWS(nombres[]),1)=WL$1490,ROW(OFFSET(nombres[],0,0,ROWS(nombres[]),1))-ROW(OFFSET(nombres[],0,0,1,1))+1,ROW(OFFSET(nombres[],ROWS(nombres[])-1,0,1,1))+1),$O1541:$O1560),3),"")</f>
        <v/>
      </c>
      <c r="WM1541" s="42" t="str">
        <f t="array" aca="1" ref="WM1541" ca="1">IFERROR(INDEX(nombres[],SMALL(IF(OFFSET(nombres[],0,0,ROWS(nombres[]),1)=WM$1490,ROW(OFFSET(nombres[],0,0,ROWS(nombres[]),1))-ROW(OFFSET(nombres[],0,0,1,1))+1,ROW(OFFSET(nombres[],ROWS(nombres[])-1,0,1,1))+1),$O1541:$O1560),3),"")</f>
        <v/>
      </c>
      <c r="WN1541" s="42" t="str">
        <f t="array" aca="1" ref="WN1541" ca="1">IFERROR(INDEX(nombres[],SMALL(IF(OFFSET(nombres[],0,0,ROWS(nombres[]),1)=WN$1490,ROW(OFFSET(nombres[],0,0,ROWS(nombres[]),1))-ROW(OFFSET(nombres[],0,0,1,1))+1,ROW(OFFSET(nombres[],ROWS(nombres[])-1,0,1,1))+1),$O1541:$O1560),3),"")</f>
        <v/>
      </c>
      <c r="WO1541" s="42" t="str">
        <f t="array" aca="1" ref="WO1541" ca="1">IFERROR(INDEX(nombres[],SMALL(IF(OFFSET(nombres[],0,0,ROWS(nombres[]),1)=WO$1490,ROW(OFFSET(nombres[],0,0,ROWS(nombres[]),1))-ROW(OFFSET(nombres[],0,0,1,1))+1,ROW(OFFSET(nombres[],ROWS(nombres[])-1,0,1,1))+1),$O1541:$O1560),3),"")</f>
        <v/>
      </c>
      <c r="WP1541" s="42" t="str">
        <f t="array" aca="1" ref="WP1541" ca="1">IFERROR(INDEX(nombres[],SMALL(IF(OFFSET(nombres[],0,0,ROWS(nombres[]),1)=WP$1490,ROW(OFFSET(nombres[],0,0,ROWS(nombres[]),1))-ROW(OFFSET(nombres[],0,0,1,1))+1,ROW(OFFSET(nombres[],ROWS(nombres[])-1,0,1,1))+1),$O1541:$O1560),3),"")</f>
        <v/>
      </c>
      <c r="WQ1541" s="42" t="str">
        <f t="array" aca="1" ref="WQ1541" ca="1">IFERROR(INDEX(nombres[],SMALL(IF(OFFSET(nombres[],0,0,ROWS(nombres[]),1)=WQ$1490,ROW(OFFSET(nombres[],0,0,ROWS(nombres[]),1))-ROW(OFFSET(nombres[],0,0,1,1))+1,ROW(OFFSET(nombres[],ROWS(nombres[])-1,0,1,1))+1),$O1541:$O1560),3),"")</f>
        <v/>
      </c>
      <c r="WR1541" s="42" t="str">
        <f t="array" aca="1" ref="WR1541" ca="1">IFERROR(INDEX(nombres[],SMALL(IF(OFFSET(nombres[],0,0,ROWS(nombres[]),1)=WR$1490,ROW(OFFSET(nombres[],0,0,ROWS(nombres[]),1))-ROW(OFFSET(nombres[],0,0,1,1))+1,ROW(OFFSET(nombres[],ROWS(nombres[])-1,0,1,1))+1),$O1541:$O1560),3),"")</f>
        <v/>
      </c>
      <c r="WS1541" s="42" t="str">
        <f t="array" aca="1" ref="WS1541" ca="1">IFERROR(INDEX(nombres[],SMALL(IF(OFFSET(nombres[],0,0,ROWS(nombres[]),1)=WS$1490,ROW(OFFSET(nombres[],0,0,ROWS(nombres[]),1))-ROW(OFFSET(nombres[],0,0,1,1))+1,ROW(OFFSET(nombres[],ROWS(nombres[])-1,0,1,1))+1),$O1541:$O1560),3),"")</f>
        <v/>
      </c>
      <c r="WT1541" s="42" t="str">
        <f t="array" aca="1" ref="WT1541" ca="1">IFERROR(INDEX(nombres[],SMALL(IF(OFFSET(nombres[],0,0,ROWS(nombres[]),1)=WT$1490,ROW(OFFSET(nombres[],0,0,ROWS(nombres[]),1))-ROW(OFFSET(nombres[],0,0,1,1))+1,ROW(OFFSET(nombres[],ROWS(nombres[])-1,0,1,1))+1),$O1541:$O1560),3),"")</f>
        <v/>
      </c>
      <c r="WU1541" s="42" t="str">
        <f t="array" aca="1" ref="WU1541" ca="1">IFERROR(INDEX(nombres[],SMALL(IF(OFFSET(nombres[],0,0,ROWS(nombres[]),1)=WU$1490,ROW(OFFSET(nombres[],0,0,ROWS(nombres[]),1))-ROW(OFFSET(nombres[],0,0,1,1))+1,ROW(OFFSET(nombres[],ROWS(nombres[])-1,0,1,1))+1),$O1541:$O1560),3),"")</f>
        <v/>
      </c>
      <c r="WV1541" s="42" t="str">
        <f t="array" aca="1" ref="WV1541" ca="1">IFERROR(INDEX(nombres[],SMALL(IF(OFFSET(nombres[],0,0,ROWS(nombres[]),1)=WV$1490,ROW(OFFSET(nombres[],0,0,ROWS(nombres[]),1))-ROW(OFFSET(nombres[],0,0,1,1))+1,ROW(OFFSET(nombres[],ROWS(nombres[])-1,0,1,1))+1),$O1541:$O1560),3),"")</f>
        <v/>
      </c>
      <c r="WW1541" s="42" t="str">
        <f t="array" aca="1" ref="WW1541" ca="1">IFERROR(INDEX(nombres[],SMALL(IF(OFFSET(nombres[],0,0,ROWS(nombres[]),1)=WW$1490,ROW(OFFSET(nombres[],0,0,ROWS(nombres[]),1))-ROW(OFFSET(nombres[],0,0,1,1))+1,ROW(OFFSET(nombres[],ROWS(nombres[])-1,0,1,1))+1),$O1541:$O1560),3),"")</f>
        <v/>
      </c>
      <c r="WX1541" s="42" t="str">
        <f t="array" aca="1" ref="WX1541" ca="1">IFERROR(INDEX(nombres[],SMALL(IF(OFFSET(nombres[],0,0,ROWS(nombres[]),1)=WX$1490,ROW(OFFSET(nombres[],0,0,ROWS(nombres[]),1))-ROW(OFFSET(nombres[],0,0,1,1))+1,ROW(OFFSET(nombres[],ROWS(nombres[])-1,0,1,1))+1),$O1541:$O1560),3),"")</f>
        <v/>
      </c>
      <c r="WY1541" s="42" t="str">
        <f t="array" aca="1" ref="WY1541" ca="1">IFERROR(INDEX(nombres[],SMALL(IF(OFFSET(nombres[],0,0,ROWS(nombres[]),1)=WY$1490,ROW(OFFSET(nombres[],0,0,ROWS(nombres[]),1))-ROW(OFFSET(nombres[],0,0,1,1))+1,ROW(OFFSET(nombres[],ROWS(nombres[])-1,0,1,1))+1),$O1541:$O1560),3),"")</f>
        <v/>
      </c>
      <c r="WZ1541" s="42" t="str">
        <f t="array" aca="1" ref="WZ1541" ca="1">IFERROR(INDEX(nombres[],SMALL(IF(OFFSET(nombres[],0,0,ROWS(nombres[]),1)=WZ$1490,ROW(OFFSET(nombres[],0,0,ROWS(nombres[]),1))-ROW(OFFSET(nombres[],0,0,1,1))+1,ROW(OFFSET(nombres[],ROWS(nombres[])-1,0,1,1))+1),$O1541:$O1560),3),"")</f>
        <v/>
      </c>
      <c r="XA1541" s="42" t="str">
        <f t="array" aca="1" ref="XA1541" ca="1">IFERROR(INDEX(nombres[],SMALL(IF(OFFSET(nombres[],0,0,ROWS(nombres[]),1)=XA$1490,ROW(OFFSET(nombres[],0,0,ROWS(nombres[]),1))-ROW(OFFSET(nombres[],0,0,1,1))+1,ROW(OFFSET(nombres[],ROWS(nombres[])-1,0,1,1))+1),$O1541:$O1560),3),"")</f>
        <v/>
      </c>
      <c r="XB1541" s="42" t="str">
        <f t="array" aca="1" ref="XB1541" ca="1">IFERROR(INDEX(nombres[],SMALL(IF(OFFSET(nombres[],0,0,ROWS(nombres[]),1)=XB$1490,ROW(OFFSET(nombres[],0,0,ROWS(nombres[]),1))-ROW(OFFSET(nombres[],0,0,1,1))+1,ROW(OFFSET(nombres[],ROWS(nombres[])-1,0,1,1))+1),$O1541:$O1560),3),"")</f>
        <v/>
      </c>
      <c r="XC1541" s="42" t="str">
        <f t="array" aca="1" ref="XC1541" ca="1">IFERROR(INDEX(nombres[],SMALL(IF(OFFSET(nombres[],0,0,ROWS(nombres[]),1)=XC$1490,ROW(OFFSET(nombres[],0,0,ROWS(nombres[]),1))-ROW(OFFSET(nombres[],0,0,1,1))+1,ROW(OFFSET(nombres[],ROWS(nombres[])-1,0,1,1))+1),$O1541:$O1560),3),"")</f>
        <v/>
      </c>
      <c r="XD1541" s="42" t="str">
        <f t="array" aca="1" ref="XD1541" ca="1">IFERROR(INDEX(nombres[],SMALL(IF(OFFSET(nombres[],0,0,ROWS(nombres[]),1)=XD$1490,ROW(OFFSET(nombres[],0,0,ROWS(nombres[]),1))-ROW(OFFSET(nombres[],0,0,1,1))+1,ROW(OFFSET(nombres[],ROWS(nombres[])-1,0,1,1))+1),$O1541:$O1560),3),"")</f>
        <v/>
      </c>
      <c r="XE1541" s="42" t="str">
        <f t="array" aca="1" ref="XE1541" ca="1">IFERROR(INDEX(nombres[],SMALL(IF(OFFSET(nombres[],0,0,ROWS(nombres[]),1)=XE$1490,ROW(OFFSET(nombres[],0,0,ROWS(nombres[]),1))-ROW(OFFSET(nombres[],0,0,1,1))+1,ROW(OFFSET(nombres[],ROWS(nombres[])-1,0,1,1))+1),$O1541:$O1560),3),"")</f>
        <v/>
      </c>
      <c r="XF1541" s="42" t="str">
        <f t="array" aca="1" ref="XF1541" ca="1">IFERROR(INDEX(nombres[],SMALL(IF(OFFSET(nombres[],0,0,ROWS(nombres[]),1)=XF$1490,ROW(OFFSET(nombres[],0,0,ROWS(nombres[]),1))-ROW(OFFSET(nombres[],0,0,1,1))+1,ROW(OFFSET(nombres[],ROWS(nombres[])-1,0,1,1))+1),$O1541:$O1560),3),"")</f>
        <v/>
      </c>
      <c r="XG1541" s="42" t="str">
        <f t="array" aca="1" ref="XG1541" ca="1">IFERROR(INDEX(nombres[],SMALL(IF(OFFSET(nombres[],0,0,ROWS(nombres[]),1)=XG$1490,ROW(OFFSET(nombres[],0,0,ROWS(nombres[]),1))-ROW(OFFSET(nombres[],0,0,1,1))+1,ROW(OFFSET(nombres[],ROWS(nombres[])-1,0,1,1))+1),$O1541:$O1560),3),"")</f>
        <v/>
      </c>
      <c r="XH1541" s="42" t="str">
        <f t="array" aca="1" ref="XH1541" ca="1">IFERROR(INDEX(nombres[],SMALL(IF(OFFSET(nombres[],0,0,ROWS(nombres[]),1)=XH$1490,ROW(OFFSET(nombres[],0,0,ROWS(nombres[]),1))-ROW(OFFSET(nombres[],0,0,1,1))+1,ROW(OFFSET(nombres[],ROWS(nombres[])-1,0,1,1))+1),$O1541:$O1560),3),"")</f>
        <v/>
      </c>
      <c r="XI1541" s="42" t="str">
        <f t="array" aca="1" ref="XI1541" ca="1">IFERROR(INDEX(nombres[],SMALL(IF(OFFSET(nombres[],0,0,ROWS(nombres[]),1)=XI$1490,ROW(OFFSET(nombres[],0,0,ROWS(nombres[]),1))-ROW(OFFSET(nombres[],0,0,1,1))+1,ROW(OFFSET(nombres[],ROWS(nombres[])-1,0,1,1))+1),$O1541:$O1560),3),"")</f>
        <v/>
      </c>
      <c r="XJ1541" s="42" t="str">
        <f t="array" aca="1" ref="XJ1541" ca="1">IFERROR(INDEX(nombres[],SMALL(IF(OFFSET(nombres[],0,0,ROWS(nombres[]),1)=XJ$1490,ROW(OFFSET(nombres[],0,0,ROWS(nombres[]),1))-ROW(OFFSET(nombres[],0,0,1,1))+1,ROW(OFFSET(nombres[],ROWS(nombres[])-1,0,1,1))+1),$O1541:$O1560),3),"")</f>
        <v/>
      </c>
      <c r="XK1541" s="42" t="str">
        <f t="array" aca="1" ref="XK1541" ca="1">IFERROR(INDEX(nombres[],SMALL(IF(OFFSET(nombres[],0,0,ROWS(nombres[]),1)=XK$1490,ROW(OFFSET(nombres[],0,0,ROWS(nombres[]),1))-ROW(OFFSET(nombres[],0,0,1,1))+1,ROW(OFFSET(nombres[],ROWS(nombres[])-1,0,1,1))+1),$O1541:$O1560),3),"")</f>
        <v/>
      </c>
      <c r="XL1541" s="42" t="str">
        <f t="array" aca="1" ref="XL1541" ca="1">IFERROR(INDEX(nombres[],SMALL(IF(OFFSET(nombres[],0,0,ROWS(nombres[]),1)=XL$1490,ROW(OFFSET(nombres[],0,0,ROWS(nombres[]),1))-ROW(OFFSET(nombres[],0,0,1,1))+1,ROW(OFFSET(nombres[],ROWS(nombres[])-1,0,1,1))+1),$O1541:$O1560),3),"")</f>
        <v/>
      </c>
      <c r="XM1541" s="42" t="str">
        <f t="array" aca="1" ref="XM1541" ca="1">IFERROR(INDEX(nombres[],SMALL(IF(OFFSET(nombres[],0,0,ROWS(nombres[]),1)=XM$1490,ROW(OFFSET(nombres[],0,0,ROWS(nombres[]),1))-ROW(OFFSET(nombres[],0,0,1,1))+1,ROW(OFFSET(nombres[],ROWS(nombres[])-1,0,1,1))+1),$O1541:$O1560),3),"")</f>
        <v/>
      </c>
      <c r="XN1541" s="42" t="str">
        <f t="array" aca="1" ref="XN1541" ca="1">IFERROR(INDEX(nombres[],SMALL(IF(OFFSET(nombres[],0,0,ROWS(nombres[]),1)=XN$1490,ROW(OFFSET(nombres[],0,0,ROWS(nombres[]),1))-ROW(OFFSET(nombres[],0,0,1,1))+1,ROW(OFFSET(nombres[],ROWS(nombres[])-1,0,1,1))+1),$O1541:$O1560),3),"")</f>
        <v/>
      </c>
      <c r="XO1541" s="42" t="str">
        <f t="array" aca="1" ref="XO1541" ca="1">IFERROR(INDEX(nombres[],SMALL(IF(OFFSET(nombres[],0,0,ROWS(nombres[]),1)=XO$1490,ROW(OFFSET(nombres[],0,0,ROWS(nombres[]),1))-ROW(OFFSET(nombres[],0,0,1,1))+1,ROW(OFFSET(nombres[],ROWS(nombres[])-1,0,1,1))+1),$O1541:$O1560),3),"")</f>
        <v/>
      </c>
      <c r="XP1541" s="42" t="str">
        <f t="array" aca="1" ref="XP1541" ca="1">IFERROR(INDEX(nombres[],SMALL(IF(OFFSET(nombres[],0,0,ROWS(nombres[]),1)=XP$1490,ROW(OFFSET(nombres[],0,0,ROWS(nombres[]),1))-ROW(OFFSET(nombres[],0,0,1,1))+1,ROW(OFFSET(nombres[],ROWS(nombres[])-1,0,1,1))+1),$O1541:$O1560),3),"")</f>
        <v/>
      </c>
      <c r="XQ1541" s="42" t="str">
        <f t="array" aca="1" ref="XQ1541" ca="1">IFERROR(INDEX(nombres[],SMALL(IF(OFFSET(nombres[],0,0,ROWS(nombres[]),1)=XQ$1490,ROW(OFFSET(nombres[],0,0,ROWS(nombres[]),1))-ROW(OFFSET(nombres[],0,0,1,1))+1,ROW(OFFSET(nombres[],ROWS(nombres[])-1,0,1,1))+1),$O1541:$O1560),3),"")</f>
        <v/>
      </c>
      <c r="XR1541" s="42" t="str">
        <f t="array" aca="1" ref="XR1541" ca="1">IFERROR(INDEX(nombres[],SMALL(IF(OFFSET(nombres[],0,0,ROWS(nombres[]),1)=XR$1490,ROW(OFFSET(nombres[],0,0,ROWS(nombres[]),1))-ROW(OFFSET(nombres[],0,0,1,1))+1,ROW(OFFSET(nombres[],ROWS(nombres[])-1,0,1,1))+1),$O1541:$O1560),3),"")</f>
        <v/>
      </c>
      <c r="XS1541" s="42" t="str">
        <f t="array" aca="1" ref="XS1541" ca="1">IFERROR(INDEX(nombres[],SMALL(IF(OFFSET(nombres[],0,0,ROWS(nombres[]),1)=XS$1490,ROW(OFFSET(nombres[],0,0,ROWS(nombres[]),1))-ROW(OFFSET(nombres[],0,0,1,1))+1,ROW(OFFSET(nombres[],ROWS(nombres[])-1,0,1,1))+1),$O1541:$O1560),3),"")</f>
        <v/>
      </c>
      <c r="XT1541" s="42" t="str">
        <f t="array" aca="1" ref="XT1541" ca="1">IFERROR(INDEX(nombres[],SMALL(IF(OFFSET(nombres[],0,0,ROWS(nombres[]),1)=XT$1490,ROW(OFFSET(nombres[],0,0,ROWS(nombres[]),1))-ROW(OFFSET(nombres[],0,0,1,1))+1,ROW(OFFSET(nombres[],ROWS(nombres[])-1,0,1,1))+1),$O1541:$O1560),3),"")</f>
        <v/>
      </c>
      <c r="XU1541" s="42" t="str">
        <f t="array" aca="1" ref="XU1541" ca="1">IFERROR(INDEX(nombres[],SMALL(IF(OFFSET(nombres[],0,0,ROWS(nombres[]),1)=XU$1490,ROW(OFFSET(nombres[],0,0,ROWS(nombres[]),1))-ROW(OFFSET(nombres[],0,0,1,1))+1,ROW(OFFSET(nombres[],ROWS(nombres[])-1,0,1,1))+1),$O1541:$O1560),3),"")</f>
        <v/>
      </c>
      <c r="XV1541" s="42" t="str">
        <f t="array" aca="1" ref="XV1541" ca="1">IFERROR(INDEX(nombres[],SMALL(IF(OFFSET(nombres[],0,0,ROWS(nombres[]),1)=XV$1490,ROW(OFFSET(nombres[],0,0,ROWS(nombres[]),1))-ROW(OFFSET(nombres[],0,0,1,1))+1,ROW(OFFSET(nombres[],ROWS(nombres[])-1,0,1,1))+1),$O1541:$O1560),3),"")</f>
        <v/>
      </c>
      <c r="XW1541" s="42" t="str">
        <f t="array" aca="1" ref="XW1541" ca="1">IFERROR(INDEX(nombres[],SMALL(IF(OFFSET(nombres[],0,0,ROWS(nombres[]),1)=XW$1490,ROW(OFFSET(nombres[],0,0,ROWS(nombres[]),1))-ROW(OFFSET(nombres[],0,0,1,1))+1,ROW(OFFSET(nombres[],ROWS(nombres[])-1,0,1,1))+1),$O1541:$O1560),3),"")</f>
        <v/>
      </c>
      <c r="XX1541" s="42" t="str">
        <f t="array" aca="1" ref="XX1541" ca="1">IFERROR(INDEX(nombres[],SMALL(IF(OFFSET(nombres[],0,0,ROWS(nombres[]),1)=XX$1490,ROW(OFFSET(nombres[],0,0,ROWS(nombres[]),1))-ROW(OFFSET(nombres[],0,0,1,1))+1,ROW(OFFSET(nombres[],ROWS(nombres[])-1,0,1,1))+1),$O1541:$O1560),3),"")</f>
        <v/>
      </c>
      <c r="XY1541" s="42" t="str">
        <f t="array" aca="1" ref="XY1541" ca="1">IFERROR(INDEX(nombres[],SMALL(IF(OFFSET(nombres[],0,0,ROWS(nombres[]),1)=XY$1490,ROW(OFFSET(nombres[],0,0,ROWS(nombres[]),1))-ROW(OFFSET(nombres[],0,0,1,1))+1,ROW(OFFSET(nombres[],ROWS(nombres[])-1,0,1,1))+1),$O1541:$O1560),3),"")</f>
        <v/>
      </c>
      <c r="XZ1541" s="42" t="str">
        <f t="array" aca="1" ref="XZ1541" ca="1">IFERROR(INDEX(nombres[],SMALL(IF(OFFSET(nombres[],0,0,ROWS(nombres[]),1)=XZ$1490,ROW(OFFSET(nombres[],0,0,ROWS(nombres[]),1))-ROW(OFFSET(nombres[],0,0,1,1))+1,ROW(OFFSET(nombres[],ROWS(nombres[])-1,0,1,1))+1),$O1541:$O1560),3),"")</f>
        <v/>
      </c>
      <c r="YA1541" s="42" t="str">
        <f t="array" aca="1" ref="YA1541" ca="1">IFERROR(INDEX(nombres[],SMALL(IF(OFFSET(nombres[],0,0,ROWS(nombres[]),1)=YA$1490,ROW(OFFSET(nombres[],0,0,ROWS(nombres[]),1))-ROW(OFFSET(nombres[],0,0,1,1))+1,ROW(OFFSET(nombres[],ROWS(nombres[])-1,0,1,1))+1),$O1541:$O1560),3),"")</f>
        <v/>
      </c>
      <c r="YB1541" s="42" t="str">
        <f t="array" aca="1" ref="YB1541" ca="1">IFERROR(INDEX(nombres[],SMALL(IF(OFFSET(nombres[],0,0,ROWS(nombres[]),1)=YB$1490,ROW(OFFSET(nombres[],0,0,ROWS(nombres[]),1))-ROW(OFFSET(nombres[],0,0,1,1))+1,ROW(OFFSET(nombres[],ROWS(nombres[])-1,0,1,1))+1),$O1541:$O1560),3),"")</f>
        <v/>
      </c>
      <c r="YC1541" s="42" t="str">
        <f t="array" aca="1" ref="YC1541" ca="1">IFERROR(INDEX(nombres[],SMALL(IF(OFFSET(nombres[],0,0,ROWS(nombres[]),1)=YC$1490,ROW(OFFSET(nombres[],0,0,ROWS(nombres[]),1))-ROW(OFFSET(nombres[],0,0,1,1))+1,ROW(OFFSET(nombres[],ROWS(nombres[])-1,0,1,1))+1),$O1541:$O1560),3),"")</f>
        <v/>
      </c>
      <c r="YD1541" s="42" t="str">
        <f t="array" aca="1" ref="YD1541" ca="1">IFERROR(INDEX(nombres[],SMALL(IF(OFFSET(nombres[],0,0,ROWS(nombres[]),1)=YD$1490,ROW(OFFSET(nombres[],0,0,ROWS(nombres[]),1))-ROW(OFFSET(nombres[],0,0,1,1))+1,ROW(OFFSET(nombres[],ROWS(nombres[])-1,0,1,1))+1),$O1541:$O1560),3),"")</f>
        <v/>
      </c>
      <c r="YE1541" s="42" t="str">
        <f t="array" aca="1" ref="YE1541" ca="1">IFERROR(INDEX(nombres[],SMALL(IF(OFFSET(nombres[],0,0,ROWS(nombres[]),1)=YE$1490,ROW(OFFSET(nombres[],0,0,ROWS(nombres[]),1))-ROW(OFFSET(nombres[],0,0,1,1))+1,ROW(OFFSET(nombres[],ROWS(nombres[])-1,0,1,1))+1),$O1541:$O1560),3),"")</f>
        <v/>
      </c>
      <c r="YF1541" s="42" t="str">
        <f t="array" aca="1" ref="YF1541" ca="1">IFERROR(INDEX(nombres[],SMALL(IF(OFFSET(nombres[],0,0,ROWS(nombres[]),1)=YF$1490,ROW(OFFSET(nombres[],0,0,ROWS(nombres[]),1))-ROW(OFFSET(nombres[],0,0,1,1))+1,ROW(OFFSET(nombres[],ROWS(nombres[])-1,0,1,1))+1),$O1541:$O1560),3),"")</f>
        <v/>
      </c>
      <c r="YG1541" s="42" t="str">
        <f t="array" aca="1" ref="YG1541" ca="1">IFERROR(INDEX(nombres[],SMALL(IF(OFFSET(nombres[],0,0,ROWS(nombres[]),1)=YG$1490,ROW(OFFSET(nombres[],0,0,ROWS(nombres[]),1))-ROW(OFFSET(nombres[],0,0,1,1))+1,ROW(OFFSET(nombres[],ROWS(nombres[])-1,0,1,1))+1),$O1541:$O1560),3),"")</f>
        <v/>
      </c>
      <c r="YH1541" s="42" t="str">
        <f t="array" aca="1" ref="YH1541" ca="1">IFERROR(INDEX(nombres[],SMALL(IF(OFFSET(nombres[],0,0,ROWS(nombres[]),1)=YH$1490,ROW(OFFSET(nombres[],0,0,ROWS(nombres[]),1))-ROW(OFFSET(nombres[],0,0,1,1))+1,ROW(OFFSET(nombres[],ROWS(nombres[])-1,0,1,1))+1),$O1541:$O1560),3),"")</f>
        <v/>
      </c>
      <c r="YI1541" s="42" t="str">
        <f t="array" aca="1" ref="YI1541" ca="1">IFERROR(INDEX(nombres[],SMALL(IF(OFFSET(nombres[],0,0,ROWS(nombres[]),1)=YI$1490,ROW(OFFSET(nombres[],0,0,ROWS(nombres[]),1))-ROW(OFFSET(nombres[],0,0,1,1))+1,ROW(OFFSET(nombres[],ROWS(nombres[])-1,0,1,1))+1),$O1541:$O1560),3),"")</f>
        <v/>
      </c>
      <c r="YJ1541" s="42" t="str">
        <f t="array" aca="1" ref="YJ1541" ca="1">IFERROR(INDEX(nombres[],SMALL(IF(OFFSET(nombres[],0,0,ROWS(nombres[]),1)=YJ$1490,ROW(OFFSET(nombres[],0,0,ROWS(nombres[]),1))-ROW(OFFSET(nombres[],0,0,1,1))+1,ROW(OFFSET(nombres[],ROWS(nombres[])-1,0,1,1))+1),$O1541:$O1560),3),"")</f>
        <v/>
      </c>
      <c r="YK1541" s="42" t="str">
        <f t="array" aca="1" ref="YK1541" ca="1">IFERROR(INDEX(nombres[],SMALL(IF(OFFSET(nombres[],0,0,ROWS(nombres[]),1)=YK$1490,ROW(OFFSET(nombres[],0,0,ROWS(nombres[]),1))-ROW(OFFSET(nombres[],0,0,1,1))+1,ROW(OFFSET(nombres[],ROWS(nombres[])-1,0,1,1))+1),$O1541:$O1560),3),"")</f>
        <v/>
      </c>
      <c r="YL1541" s="42" t="str">
        <f t="array" aca="1" ref="YL1541" ca="1">IFERROR(INDEX(nombres[],SMALL(IF(OFFSET(nombres[],0,0,ROWS(nombres[]),1)=YL$1490,ROW(OFFSET(nombres[],0,0,ROWS(nombres[]),1))-ROW(OFFSET(nombres[],0,0,1,1))+1,ROW(OFFSET(nombres[],ROWS(nombres[])-1,0,1,1))+1),$O1541:$O1560),3),"")</f>
        <v/>
      </c>
      <c r="YM1541" s="42" t="str">
        <f t="array" aca="1" ref="YM1541" ca="1">IFERROR(INDEX(nombres[],SMALL(IF(OFFSET(nombres[],0,0,ROWS(nombres[]),1)=YM$1490,ROW(OFFSET(nombres[],0,0,ROWS(nombres[]),1))-ROW(OFFSET(nombres[],0,0,1,1))+1,ROW(OFFSET(nombres[],ROWS(nombres[])-1,0,1,1))+1),$O1541:$O1560),3),"")</f>
        <v/>
      </c>
      <c r="YN1541" s="42" t="str">
        <f t="array" aca="1" ref="YN1541" ca="1">IFERROR(INDEX(nombres[],SMALL(IF(OFFSET(nombres[],0,0,ROWS(nombres[]),1)=YN$1490,ROW(OFFSET(nombres[],0,0,ROWS(nombres[]),1))-ROW(OFFSET(nombres[],0,0,1,1))+1,ROW(OFFSET(nombres[],ROWS(nombres[])-1,0,1,1))+1),$O1541:$O1560),3),"")</f>
        <v/>
      </c>
      <c r="YO1541" s="42" t="str">
        <f t="array" aca="1" ref="YO1541" ca="1">IFERROR(INDEX(nombres[],SMALL(IF(OFFSET(nombres[],0,0,ROWS(nombres[]),1)=YO$1490,ROW(OFFSET(nombres[],0,0,ROWS(nombres[]),1))-ROW(OFFSET(nombres[],0,0,1,1))+1,ROW(OFFSET(nombres[],ROWS(nombres[])-1,0,1,1))+1),$O1541:$O1560),3),"")</f>
        <v/>
      </c>
      <c r="YP1541" s="42" t="str">
        <f t="array" aca="1" ref="YP1541" ca="1">IFERROR(INDEX(nombres[],SMALL(IF(OFFSET(nombres[],0,0,ROWS(nombres[]),1)=YP$1490,ROW(OFFSET(nombres[],0,0,ROWS(nombres[]),1))-ROW(OFFSET(nombres[],0,0,1,1))+1,ROW(OFFSET(nombres[],ROWS(nombres[])-1,0,1,1))+1),$O1541:$O1560),3),"")</f>
        <v/>
      </c>
      <c r="YQ1541" s="42" t="str">
        <f t="array" aca="1" ref="YQ1541" ca="1">IFERROR(INDEX(nombres[],SMALL(IF(OFFSET(nombres[],0,0,ROWS(nombres[]),1)=YQ$1490,ROW(OFFSET(nombres[],0,0,ROWS(nombres[]),1))-ROW(OFFSET(nombres[],0,0,1,1))+1,ROW(OFFSET(nombres[],ROWS(nombres[])-1,0,1,1))+1),$O1541:$O1560),3),"")</f>
        <v/>
      </c>
      <c r="YR1541" s="42" t="str">
        <f t="array" aca="1" ref="YR1541" ca="1">IFERROR(INDEX(nombres[],SMALL(IF(OFFSET(nombres[],0,0,ROWS(nombres[]),1)=YR$1490,ROW(OFFSET(nombres[],0,0,ROWS(nombres[]),1))-ROW(OFFSET(nombres[],0,0,1,1))+1,ROW(OFFSET(nombres[],ROWS(nombres[])-1,0,1,1))+1),$O1541:$O1560),3),"")</f>
        <v/>
      </c>
      <c r="YS1541" s="42" t="str">
        <f t="array" aca="1" ref="YS1541" ca="1">IFERROR(INDEX(nombres[],SMALL(IF(OFFSET(nombres[],0,0,ROWS(nombres[]),1)=YS$1490,ROW(OFFSET(nombres[],0,0,ROWS(nombres[]),1))-ROW(OFFSET(nombres[],0,0,1,1))+1,ROW(OFFSET(nombres[],ROWS(nombres[])-1,0,1,1))+1),$O1541:$O1560),3),"")</f>
        <v/>
      </c>
      <c r="YT1541" s="42" t="str">
        <f t="array" aca="1" ref="YT1541" ca="1">IFERROR(INDEX(nombres[],SMALL(IF(OFFSET(nombres[],0,0,ROWS(nombres[]),1)=YT$1490,ROW(OFFSET(nombres[],0,0,ROWS(nombres[]),1))-ROW(OFFSET(nombres[],0,0,1,1))+1,ROW(OFFSET(nombres[],ROWS(nombres[])-1,0,1,1))+1),$O1541:$O1560),3),"")</f>
        <v/>
      </c>
      <c r="YU1541" s="42" t="str">
        <f t="array" aca="1" ref="YU1541" ca="1">IFERROR(INDEX(nombres[],SMALL(IF(OFFSET(nombres[],0,0,ROWS(nombres[]),1)=YU$1490,ROW(OFFSET(nombres[],0,0,ROWS(nombres[]),1))-ROW(OFFSET(nombres[],0,0,1,1))+1,ROW(OFFSET(nombres[],ROWS(nombres[])-1,0,1,1))+1),$O1541:$O1560),3),"")</f>
        <v/>
      </c>
      <c r="YV1541" s="42" t="str">
        <f t="array" aca="1" ref="YV1541" ca="1">IFERROR(INDEX(nombres[],SMALL(IF(OFFSET(nombres[],0,0,ROWS(nombres[]),1)=YV$1490,ROW(OFFSET(nombres[],0,0,ROWS(nombres[]),1))-ROW(OFFSET(nombres[],0,0,1,1))+1,ROW(OFFSET(nombres[],ROWS(nombres[])-1,0,1,1))+1),$O1541:$O1560),3),"")</f>
        <v/>
      </c>
      <c r="YW1541" s="42" t="str">
        <f t="array" aca="1" ref="YW1541" ca="1">IFERROR(INDEX(nombres[],SMALL(IF(OFFSET(nombres[],0,0,ROWS(nombres[]),1)=YW$1490,ROW(OFFSET(nombres[],0,0,ROWS(nombres[]),1))-ROW(OFFSET(nombres[],0,0,1,1))+1,ROW(OFFSET(nombres[],ROWS(nombres[])-1,0,1,1))+1),$O1541:$O1560),3),"")</f>
        <v/>
      </c>
      <c r="YX1541" s="42" t="str">
        <f t="array" aca="1" ref="YX1541" ca="1">IFERROR(INDEX(nombres[],SMALL(IF(OFFSET(nombres[],0,0,ROWS(nombres[]),1)=YX$1490,ROW(OFFSET(nombres[],0,0,ROWS(nombres[]),1))-ROW(OFFSET(nombres[],0,0,1,1))+1,ROW(OFFSET(nombres[],ROWS(nombres[])-1,0,1,1))+1),$O1541:$O1560),3),"")</f>
        <v/>
      </c>
      <c r="YY1541" s="42" t="str">
        <f t="array" aca="1" ref="YY1541" ca="1">IFERROR(INDEX(nombres[],SMALL(IF(OFFSET(nombres[],0,0,ROWS(nombres[]),1)=YY$1490,ROW(OFFSET(nombres[],0,0,ROWS(nombres[]),1))-ROW(OFFSET(nombres[],0,0,1,1))+1,ROW(OFFSET(nombres[],ROWS(nombres[])-1,0,1,1))+1),$O1541:$O1560),3),"")</f>
        <v/>
      </c>
      <c r="YZ1541" s="42" t="str">
        <f t="array" aca="1" ref="YZ1541" ca="1">IFERROR(INDEX(nombres[],SMALL(IF(OFFSET(nombres[],0,0,ROWS(nombres[]),1)=YZ$1490,ROW(OFFSET(nombres[],0,0,ROWS(nombres[]),1))-ROW(OFFSET(nombres[],0,0,1,1))+1,ROW(OFFSET(nombres[],ROWS(nombres[])-1,0,1,1))+1),$O1541:$O1560),3),"")</f>
        <v/>
      </c>
      <c r="ZA1541" s="42" t="str">
        <f t="array" aca="1" ref="ZA1541" ca="1">IFERROR(INDEX(nombres[],SMALL(IF(OFFSET(nombres[],0,0,ROWS(nombres[]),1)=ZA$1490,ROW(OFFSET(nombres[],0,0,ROWS(nombres[]),1))-ROW(OFFSET(nombres[],0,0,1,1))+1,ROW(OFFSET(nombres[],ROWS(nombres[])-1,0,1,1))+1),$O1541:$O1560),3),"")</f>
        <v/>
      </c>
      <c r="ZB1541" s="42" t="str">
        <f t="array" aca="1" ref="ZB1541" ca="1">IFERROR(INDEX(nombres[],SMALL(IF(OFFSET(nombres[],0,0,ROWS(nombres[]),1)=ZB$1490,ROW(OFFSET(nombres[],0,0,ROWS(nombres[]),1))-ROW(OFFSET(nombres[],0,0,1,1))+1,ROW(OFFSET(nombres[],ROWS(nombres[])-1,0,1,1))+1),$O1541:$O1560),3),"")</f>
        <v/>
      </c>
      <c r="ZC1541" s="42" t="str">
        <f t="array" aca="1" ref="ZC1541" ca="1">IFERROR(INDEX(nombres[],SMALL(IF(OFFSET(nombres[],0,0,ROWS(nombres[]),1)=ZC$1490,ROW(OFFSET(nombres[],0,0,ROWS(nombres[]),1))-ROW(OFFSET(nombres[],0,0,1,1))+1,ROW(OFFSET(nombres[],ROWS(nombres[])-1,0,1,1))+1),$O1541:$O1560),3),"")</f>
        <v/>
      </c>
      <c r="ZD1541" s="42" t="str">
        <f t="array" aca="1" ref="ZD1541" ca="1">IFERROR(INDEX(nombres[],SMALL(IF(OFFSET(nombres[],0,0,ROWS(nombres[]),1)=ZD$1490,ROW(OFFSET(nombres[],0,0,ROWS(nombres[]),1))-ROW(OFFSET(nombres[],0,0,1,1))+1,ROW(OFFSET(nombres[],ROWS(nombres[])-1,0,1,1))+1),$O1541:$O1560),3),"")</f>
        <v/>
      </c>
      <c r="ZE1541" s="42" t="str">
        <f t="array" aca="1" ref="ZE1541" ca="1">IFERROR(INDEX(nombres[],SMALL(IF(OFFSET(nombres[],0,0,ROWS(nombres[]),1)=ZE$1490,ROW(OFFSET(nombres[],0,0,ROWS(nombres[]),1))-ROW(OFFSET(nombres[],0,0,1,1))+1,ROW(OFFSET(nombres[],ROWS(nombres[])-1,0,1,1))+1),$O1541:$O1560),3),"")</f>
        <v/>
      </c>
      <c r="ZF1541" s="42" t="str">
        <f t="array" aca="1" ref="ZF1541" ca="1">IFERROR(INDEX(nombres[],SMALL(IF(OFFSET(nombres[],0,0,ROWS(nombres[]),1)=ZF$1490,ROW(OFFSET(nombres[],0,0,ROWS(nombres[]),1))-ROW(OFFSET(nombres[],0,0,1,1))+1,ROW(OFFSET(nombres[],ROWS(nombres[])-1,0,1,1))+1),$O1541:$O1560),3),"")</f>
        <v/>
      </c>
      <c r="ZG1541" s="42" t="str">
        <f t="array" aca="1" ref="ZG1541" ca="1">IFERROR(INDEX(nombres[],SMALL(IF(OFFSET(nombres[],0,0,ROWS(nombres[]),1)=ZG$1490,ROW(OFFSET(nombres[],0,0,ROWS(nombres[]),1))-ROW(OFFSET(nombres[],0,0,1,1))+1,ROW(OFFSET(nombres[],ROWS(nombres[])-1,0,1,1))+1),$O1541:$O1560),3),"")</f>
        <v/>
      </c>
      <c r="ZH1541" s="42" t="str">
        <f t="array" aca="1" ref="ZH1541" ca="1">IFERROR(INDEX(nombres[],SMALL(IF(OFFSET(nombres[],0,0,ROWS(nombres[]),1)=ZH$1490,ROW(OFFSET(nombres[],0,0,ROWS(nombres[]),1))-ROW(OFFSET(nombres[],0,0,1,1))+1,ROW(OFFSET(nombres[],ROWS(nombres[])-1,0,1,1))+1),$O1541:$O1560),3),"")</f>
        <v/>
      </c>
      <c r="ZI1541" s="42" t="str">
        <f t="array" aca="1" ref="ZI1541" ca="1">IFERROR(INDEX(nombres[],SMALL(IF(OFFSET(nombres[],0,0,ROWS(nombres[]),1)=ZI$1490,ROW(OFFSET(nombres[],0,0,ROWS(nombres[]),1))-ROW(OFFSET(nombres[],0,0,1,1))+1,ROW(OFFSET(nombres[],ROWS(nombres[])-1,0,1,1))+1),$O1541:$O1560),3),"")</f>
        <v/>
      </c>
      <c r="ZJ1541" s="42" t="str">
        <f t="array" aca="1" ref="ZJ1541" ca="1">IFERROR(INDEX(nombres[],SMALL(IF(OFFSET(nombres[],0,0,ROWS(nombres[]),1)=ZJ$1490,ROW(OFFSET(nombres[],0,0,ROWS(nombres[]),1))-ROW(OFFSET(nombres[],0,0,1,1))+1,ROW(OFFSET(nombres[],ROWS(nombres[])-1,0,1,1))+1),$O1541:$O1560),3),"")</f>
        <v/>
      </c>
      <c r="ZK1541" s="42" t="str">
        <f t="array" aca="1" ref="ZK1541" ca="1">IFERROR(INDEX(nombres[],SMALL(IF(OFFSET(nombres[],0,0,ROWS(nombres[]),1)=ZK$1490,ROW(OFFSET(nombres[],0,0,ROWS(nombres[]),1))-ROW(OFFSET(nombres[],0,0,1,1))+1,ROW(OFFSET(nombres[],ROWS(nombres[])-1,0,1,1))+1),$O1541:$O1560),3),"")</f>
        <v/>
      </c>
      <c r="ZL1541" s="42" t="str">
        <f t="array" aca="1" ref="ZL1541" ca="1">IFERROR(INDEX(nombres[],SMALL(IF(OFFSET(nombres[],0,0,ROWS(nombres[]),1)=ZL$1490,ROW(OFFSET(nombres[],0,0,ROWS(nombres[]),1))-ROW(OFFSET(nombres[],0,0,1,1))+1,ROW(OFFSET(nombres[],ROWS(nombres[])-1,0,1,1))+1),$O1541:$O1560),3),"")</f>
        <v/>
      </c>
      <c r="ZM1541" s="42" t="str">
        <f t="array" aca="1" ref="ZM1541" ca="1">IFERROR(INDEX(nombres[],SMALL(IF(OFFSET(nombres[],0,0,ROWS(nombres[]),1)=ZM$1490,ROW(OFFSET(nombres[],0,0,ROWS(nombres[]),1))-ROW(OFFSET(nombres[],0,0,1,1))+1,ROW(OFFSET(nombres[],ROWS(nombres[])-1,0,1,1))+1),$O1541:$O1560),3),"")</f>
        <v/>
      </c>
      <c r="ZN1541" s="42" t="str">
        <f t="array" aca="1" ref="ZN1541" ca="1">IFERROR(INDEX(nombres[],SMALL(IF(OFFSET(nombres[],0,0,ROWS(nombres[]),1)=ZN$1490,ROW(OFFSET(nombres[],0,0,ROWS(nombres[]),1))-ROW(OFFSET(nombres[],0,0,1,1))+1,ROW(OFFSET(nombres[],ROWS(nombres[])-1,0,1,1))+1),$O1541:$O1560),3),"")</f>
        <v/>
      </c>
      <c r="ZO1541" s="42" t="str">
        <f t="array" aca="1" ref="ZO1541" ca="1">IFERROR(INDEX(nombres[],SMALL(IF(OFFSET(nombres[],0,0,ROWS(nombres[]),1)=ZO$1490,ROW(OFFSET(nombres[],0,0,ROWS(nombres[]),1))-ROW(OFFSET(nombres[],0,0,1,1))+1,ROW(OFFSET(nombres[],ROWS(nombres[])-1,0,1,1))+1),$O1541:$O1560),3),"")</f>
        <v/>
      </c>
      <c r="ZP1541" s="42" t="str">
        <f t="array" aca="1" ref="ZP1541" ca="1">IFERROR(INDEX(nombres[],SMALL(IF(OFFSET(nombres[],0,0,ROWS(nombres[]),1)=ZP$1490,ROW(OFFSET(nombres[],0,0,ROWS(nombres[]),1))-ROW(OFFSET(nombres[],0,0,1,1))+1,ROW(OFFSET(nombres[],ROWS(nombres[])-1,0,1,1))+1),$O1541:$O1560),3),"")</f>
        <v/>
      </c>
      <c r="ZQ1541" s="42" t="str">
        <f t="array" aca="1" ref="ZQ1541" ca="1">IFERROR(INDEX(nombres[],SMALL(IF(OFFSET(nombres[],0,0,ROWS(nombres[]),1)=ZQ$1490,ROW(OFFSET(nombres[],0,0,ROWS(nombres[]),1))-ROW(OFFSET(nombres[],0,0,1,1))+1,ROW(OFFSET(nombres[],ROWS(nombres[])-1,0,1,1))+1),$O1541:$O1560),3),"")</f>
        <v/>
      </c>
      <c r="ZR1541" s="42" t="str">
        <f t="array" aca="1" ref="ZR1541" ca="1">IFERROR(INDEX(nombres[],SMALL(IF(OFFSET(nombres[],0,0,ROWS(nombres[]),1)=ZR$1490,ROW(OFFSET(nombres[],0,0,ROWS(nombres[]),1))-ROW(OFFSET(nombres[],0,0,1,1))+1,ROW(OFFSET(nombres[],ROWS(nombres[])-1,0,1,1))+1),$O1541:$O1560),3),"")</f>
        <v/>
      </c>
      <c r="ZS1541" s="42" t="str">
        <f t="array" aca="1" ref="ZS1541" ca="1">IFERROR(INDEX(nombres[],SMALL(IF(OFFSET(nombres[],0,0,ROWS(nombres[]),1)=ZS$1490,ROW(OFFSET(nombres[],0,0,ROWS(nombres[]),1))-ROW(OFFSET(nombres[],0,0,1,1))+1,ROW(OFFSET(nombres[],ROWS(nombres[])-1,0,1,1))+1),$O1541:$O1560),3),"")</f>
        <v/>
      </c>
      <c r="ZT1541" s="42" t="str">
        <f t="array" aca="1" ref="ZT1541" ca="1">IFERROR(INDEX(nombres[],SMALL(IF(OFFSET(nombres[],0,0,ROWS(nombres[]),1)=ZT$1490,ROW(OFFSET(nombres[],0,0,ROWS(nombres[]),1))-ROW(OFFSET(nombres[],0,0,1,1))+1,ROW(OFFSET(nombres[],ROWS(nombres[])-1,0,1,1))+1),$O1541:$O1560),3),"")</f>
        <v/>
      </c>
      <c r="ZU1541" s="42" t="str">
        <f t="array" aca="1" ref="ZU1541" ca="1">IFERROR(INDEX(nombres[],SMALL(IF(OFFSET(nombres[],0,0,ROWS(nombres[]),1)=ZU$1490,ROW(OFFSET(nombres[],0,0,ROWS(nombres[]),1))-ROW(OFFSET(nombres[],0,0,1,1))+1,ROW(OFFSET(nombres[],ROWS(nombres[])-1,0,1,1))+1),$O1541:$O1560),3),"")</f>
        <v/>
      </c>
      <c r="ZV1541" s="42" t="str">
        <f t="array" aca="1" ref="ZV1541" ca="1">IFERROR(INDEX(nombres[],SMALL(IF(OFFSET(nombres[],0,0,ROWS(nombres[]),1)=ZV$1490,ROW(OFFSET(nombres[],0,0,ROWS(nombres[]),1))-ROW(OFFSET(nombres[],0,0,1,1))+1,ROW(OFFSET(nombres[],ROWS(nombres[])-1,0,1,1))+1),$O1541:$O1560),3),"")</f>
        <v/>
      </c>
      <c r="ZW1541" s="42" t="str">
        <f t="array" aca="1" ref="ZW1541" ca="1">IFERROR(INDEX(nombres[],SMALL(IF(OFFSET(nombres[],0,0,ROWS(nombres[]),1)=ZW$1490,ROW(OFFSET(nombres[],0,0,ROWS(nombres[]),1))-ROW(OFFSET(nombres[],0,0,1,1))+1,ROW(OFFSET(nombres[],ROWS(nombres[])-1,0,1,1))+1),$O1541:$O1560),3),"")</f>
        <v/>
      </c>
      <c r="ZX1541" s="42" t="str">
        <f t="array" aca="1" ref="ZX1541" ca="1">IFERROR(INDEX(nombres[],SMALL(IF(OFFSET(nombres[],0,0,ROWS(nombres[]),1)=ZX$1490,ROW(OFFSET(nombres[],0,0,ROWS(nombres[]),1))-ROW(OFFSET(nombres[],0,0,1,1))+1,ROW(OFFSET(nombres[],ROWS(nombres[])-1,0,1,1))+1),$O1541:$O1560),3),"")</f>
        <v/>
      </c>
      <c r="ZY1541" s="42" t="str">
        <f t="array" aca="1" ref="ZY1541" ca="1">IFERROR(INDEX(nombres[],SMALL(IF(OFFSET(nombres[],0,0,ROWS(nombres[]),1)=ZY$1490,ROW(OFFSET(nombres[],0,0,ROWS(nombres[]),1))-ROW(OFFSET(nombres[],0,0,1,1))+1,ROW(OFFSET(nombres[],ROWS(nombres[])-1,0,1,1))+1),$O1541:$O1560),3),"")</f>
        <v/>
      </c>
      <c r="ZZ1541" s="42" t="str">
        <f t="array" aca="1" ref="ZZ1541" ca="1">IFERROR(INDEX(nombres[],SMALL(IF(OFFSET(nombres[],0,0,ROWS(nombres[]),1)=ZZ$1490,ROW(OFFSET(nombres[],0,0,ROWS(nombres[]),1))-ROW(OFFSET(nombres[],0,0,1,1))+1,ROW(OFFSET(nombres[],ROWS(nombres[])-1,0,1,1))+1),$O1541:$O1560),3),"")</f>
        <v/>
      </c>
      <c r="AAA1541" s="42" t="str">
        <f t="array" aca="1" ref="AAA1541" ca="1">IFERROR(INDEX(nombres[],SMALL(IF(OFFSET(nombres[],0,0,ROWS(nombres[]),1)=AAA$1490,ROW(OFFSET(nombres[],0,0,ROWS(nombres[]),1))-ROW(OFFSET(nombres[],0,0,1,1))+1,ROW(OFFSET(nombres[],ROWS(nombres[])-1,0,1,1))+1),$O1541:$O1560),3),"")</f>
        <v/>
      </c>
      <c r="AAB1541" s="42" t="str">
        <f t="array" aca="1" ref="AAB1541" ca="1">IFERROR(INDEX(nombres[],SMALL(IF(OFFSET(nombres[],0,0,ROWS(nombres[]),1)=AAB$1490,ROW(OFFSET(nombres[],0,0,ROWS(nombres[]),1))-ROW(OFFSET(nombres[],0,0,1,1))+1,ROW(OFFSET(nombres[],ROWS(nombres[])-1,0,1,1))+1),$O1541:$O1560),3),"")</f>
        <v/>
      </c>
      <c r="AAC1541" s="42" t="str">
        <f t="array" aca="1" ref="AAC1541" ca="1">IFERROR(INDEX(nombres[],SMALL(IF(OFFSET(nombres[],0,0,ROWS(nombres[]),1)=AAC$1490,ROW(OFFSET(nombres[],0,0,ROWS(nombres[]),1))-ROW(OFFSET(nombres[],0,0,1,1))+1,ROW(OFFSET(nombres[],ROWS(nombres[])-1,0,1,1))+1),$O1541:$O1560),3),"")</f>
        <v/>
      </c>
      <c r="AAD1541" s="42" t="str">
        <f t="array" aca="1" ref="AAD1541" ca="1">IFERROR(INDEX(nombres[],SMALL(IF(OFFSET(nombres[],0,0,ROWS(nombres[]),1)=AAD$1490,ROW(OFFSET(nombres[],0,0,ROWS(nombres[]),1))-ROW(OFFSET(nombres[],0,0,1,1))+1,ROW(OFFSET(nombres[],ROWS(nombres[])-1,0,1,1))+1),$O1541:$O1560),3),"")</f>
        <v/>
      </c>
      <c r="AAE1541" s="42" t="str">
        <f t="array" aca="1" ref="AAE1541" ca="1">IFERROR(INDEX(nombres[],SMALL(IF(OFFSET(nombres[],0,0,ROWS(nombres[]),1)=AAE$1490,ROW(OFFSET(nombres[],0,0,ROWS(nombres[]),1))-ROW(OFFSET(nombres[],0,0,1,1))+1,ROW(OFFSET(nombres[],ROWS(nombres[])-1,0,1,1))+1),$O1541:$O1560),3),"")</f>
        <v/>
      </c>
      <c r="AAF1541" s="42" t="str">
        <f t="array" aca="1" ref="AAF1541" ca="1">IFERROR(INDEX(nombres[],SMALL(IF(OFFSET(nombres[],0,0,ROWS(nombres[]),1)=AAF$1490,ROW(OFFSET(nombres[],0,0,ROWS(nombres[]),1))-ROW(OFFSET(nombres[],0,0,1,1))+1,ROW(OFFSET(nombres[],ROWS(nombres[])-1,0,1,1))+1),$O1541:$O1560),3),"")</f>
        <v/>
      </c>
      <c r="AAG1541" s="42" t="str">
        <f t="array" aca="1" ref="AAG1541" ca="1">IFERROR(INDEX(nombres[],SMALL(IF(OFFSET(nombres[],0,0,ROWS(nombres[]),1)=AAG$1490,ROW(OFFSET(nombres[],0,0,ROWS(nombres[]),1))-ROW(OFFSET(nombres[],0,0,1,1))+1,ROW(OFFSET(nombres[],ROWS(nombres[])-1,0,1,1))+1),$O1541:$O1560),3),"")</f>
        <v/>
      </c>
      <c r="AAH1541" s="42" t="str">
        <f t="array" aca="1" ref="AAH1541" ca="1">IFERROR(INDEX(nombres[],SMALL(IF(OFFSET(nombres[],0,0,ROWS(nombres[]),1)=AAH$1490,ROW(OFFSET(nombres[],0,0,ROWS(nombres[]),1))-ROW(OFFSET(nombres[],0,0,1,1))+1,ROW(OFFSET(nombres[],ROWS(nombres[])-1,0,1,1))+1),$O1541:$O1560),3),"")</f>
        <v/>
      </c>
      <c r="AAI1541" s="42" t="str">
        <f t="array" aca="1" ref="AAI1541" ca="1">IFERROR(INDEX(nombres[],SMALL(IF(OFFSET(nombres[],0,0,ROWS(nombres[]),1)=AAI$1490,ROW(OFFSET(nombres[],0,0,ROWS(nombres[]),1))-ROW(OFFSET(nombres[],0,0,1,1))+1,ROW(OFFSET(nombres[],ROWS(nombres[])-1,0,1,1))+1),$O1541:$O1560),3),"")</f>
        <v/>
      </c>
      <c r="AAJ1541" s="42" t="str">
        <f t="array" aca="1" ref="AAJ1541" ca="1">IFERROR(INDEX(nombres[],SMALL(IF(OFFSET(nombres[],0,0,ROWS(nombres[]),1)=AAJ$1490,ROW(OFFSET(nombres[],0,0,ROWS(nombres[]),1))-ROW(OFFSET(nombres[],0,0,1,1))+1,ROW(OFFSET(nombres[],ROWS(nombres[])-1,0,1,1))+1),$O1541:$O1560),3),"")</f>
        <v/>
      </c>
      <c r="AAK1541" s="42" t="str">
        <f t="array" aca="1" ref="AAK1541" ca="1">IFERROR(INDEX(nombres[],SMALL(IF(OFFSET(nombres[],0,0,ROWS(nombres[]),1)=AAK$1490,ROW(OFFSET(nombres[],0,0,ROWS(nombres[]),1))-ROW(OFFSET(nombres[],0,0,1,1))+1,ROW(OFFSET(nombres[],ROWS(nombres[])-1,0,1,1))+1),$O1541:$O1560),3),"")</f>
        <v/>
      </c>
      <c r="AAL1541" s="42" t="str">
        <f t="array" aca="1" ref="AAL1541" ca="1">IFERROR(INDEX(nombres[],SMALL(IF(OFFSET(nombres[],0,0,ROWS(nombres[]),1)=AAL$1490,ROW(OFFSET(nombres[],0,0,ROWS(nombres[]),1))-ROW(OFFSET(nombres[],0,0,1,1))+1,ROW(OFFSET(nombres[],ROWS(nombres[])-1,0,1,1))+1),$O1541:$O1560),3),"")</f>
        <v/>
      </c>
      <c r="AAM1541" s="42" t="str">
        <f t="array" aca="1" ref="AAM1541" ca="1">IFERROR(INDEX(nombres[],SMALL(IF(OFFSET(nombres[],0,0,ROWS(nombres[]),1)=AAM$1490,ROW(OFFSET(nombres[],0,0,ROWS(nombres[]),1))-ROW(OFFSET(nombres[],0,0,1,1))+1,ROW(OFFSET(nombres[],ROWS(nombres[])-1,0,1,1))+1),$O1541:$O1560),3),"")</f>
        <v/>
      </c>
      <c r="AAN1541" s="42" t="str">
        <f t="array" aca="1" ref="AAN1541" ca="1">IFERROR(INDEX(nombres[],SMALL(IF(OFFSET(nombres[],0,0,ROWS(nombres[]),1)=AAN$1490,ROW(OFFSET(nombres[],0,0,ROWS(nombres[]),1))-ROW(OFFSET(nombres[],0,0,1,1))+1,ROW(OFFSET(nombres[],ROWS(nombres[])-1,0,1,1))+1),$O1541:$O1560),3),"")</f>
        <v/>
      </c>
      <c r="AAO1541" s="42" t="str">
        <f t="array" aca="1" ref="AAO1541" ca="1">IFERROR(INDEX(nombres[],SMALL(IF(OFFSET(nombres[],0,0,ROWS(nombres[]),1)=AAO$1490,ROW(OFFSET(nombres[],0,0,ROWS(nombres[]),1))-ROW(OFFSET(nombres[],0,0,1,1))+1,ROW(OFFSET(nombres[],ROWS(nombres[])-1,0,1,1))+1),$O1541:$O1560),3),"")</f>
        <v/>
      </c>
      <c r="AAP1541" s="42" t="str">
        <f t="array" aca="1" ref="AAP1541" ca="1">IFERROR(INDEX(nombres[],SMALL(IF(OFFSET(nombres[],0,0,ROWS(nombres[]),1)=AAP$1490,ROW(OFFSET(nombres[],0,0,ROWS(nombres[]),1))-ROW(OFFSET(nombres[],0,0,1,1))+1,ROW(OFFSET(nombres[],ROWS(nombres[])-1,0,1,1))+1),$O1541:$O1560),3),"")</f>
        <v/>
      </c>
      <c r="AAQ1541" s="42" t="str">
        <f t="array" aca="1" ref="AAQ1541" ca="1">IFERROR(INDEX(nombres[],SMALL(IF(OFFSET(nombres[],0,0,ROWS(nombres[]),1)=AAQ$1490,ROW(OFFSET(nombres[],0,0,ROWS(nombres[]),1))-ROW(OFFSET(nombres[],0,0,1,1))+1,ROW(OFFSET(nombres[],ROWS(nombres[])-1,0,1,1))+1),$O1541:$O1560),3),"")</f>
        <v/>
      </c>
      <c r="AAR1541" s="42" t="str">
        <f t="array" aca="1" ref="AAR1541" ca="1">IFERROR(INDEX(nombres[],SMALL(IF(OFFSET(nombres[],0,0,ROWS(nombres[]),1)=AAR$1490,ROW(OFFSET(nombres[],0,0,ROWS(nombres[]),1))-ROW(OFFSET(nombres[],0,0,1,1))+1,ROW(OFFSET(nombres[],ROWS(nombres[])-1,0,1,1))+1),$O1541:$O1560),3),"")</f>
        <v/>
      </c>
      <c r="AAS1541" s="42" t="str">
        <f t="array" aca="1" ref="AAS1541" ca="1">IFERROR(INDEX(nombres[],SMALL(IF(OFFSET(nombres[],0,0,ROWS(nombres[]),1)=AAS$1490,ROW(OFFSET(nombres[],0,0,ROWS(nombres[]),1))-ROW(OFFSET(nombres[],0,0,1,1))+1,ROW(OFFSET(nombres[],ROWS(nombres[])-1,0,1,1))+1),$O1541:$O1560),3),"")</f>
        <v/>
      </c>
      <c r="AAT1541" s="42" t="str">
        <f t="array" aca="1" ref="AAT1541" ca="1">IFERROR(INDEX(nombres[],SMALL(IF(OFFSET(nombres[],0,0,ROWS(nombres[]),1)=AAT$1490,ROW(OFFSET(nombres[],0,0,ROWS(nombres[]),1))-ROW(OFFSET(nombres[],0,0,1,1))+1,ROW(OFFSET(nombres[],ROWS(nombres[])-1,0,1,1))+1),$O1541:$O1560),3),"")</f>
        <v/>
      </c>
      <c r="AAU1541" s="42" t="str">
        <f t="array" aca="1" ref="AAU1541" ca="1">IFERROR(INDEX(nombres[],SMALL(IF(OFFSET(nombres[],0,0,ROWS(nombres[]),1)=AAU$1490,ROW(OFFSET(nombres[],0,0,ROWS(nombres[]),1))-ROW(OFFSET(nombres[],0,0,1,1))+1,ROW(OFFSET(nombres[],ROWS(nombres[])-1,0,1,1))+1),$O1541:$O1560),3),"")</f>
        <v/>
      </c>
      <c r="AAV1541" s="42" t="str">
        <f t="array" aca="1" ref="AAV1541" ca="1">IFERROR(INDEX(nombres[],SMALL(IF(OFFSET(nombres[],0,0,ROWS(nombres[]),1)=AAV$1490,ROW(OFFSET(nombres[],0,0,ROWS(nombres[]),1))-ROW(OFFSET(nombres[],0,0,1,1))+1,ROW(OFFSET(nombres[],ROWS(nombres[])-1,0,1,1))+1),$O1541:$O1560),3),"")</f>
        <v/>
      </c>
      <c r="AAW1541" s="42" t="str">
        <f t="array" aca="1" ref="AAW1541" ca="1">IFERROR(INDEX(nombres[],SMALL(IF(OFFSET(nombres[],0,0,ROWS(nombres[]),1)=AAW$1490,ROW(OFFSET(nombres[],0,0,ROWS(nombres[]),1))-ROW(OFFSET(nombres[],0,0,1,1))+1,ROW(OFFSET(nombres[],ROWS(nombres[])-1,0,1,1))+1),$O1541:$O1560),3),"")</f>
        <v/>
      </c>
      <c r="AAX1541" s="42" t="str">
        <f t="array" aca="1" ref="AAX1541" ca="1">IFERROR(INDEX(nombres[],SMALL(IF(OFFSET(nombres[],0,0,ROWS(nombres[]),1)=AAX$1490,ROW(OFFSET(nombres[],0,0,ROWS(nombres[]),1))-ROW(OFFSET(nombres[],0,0,1,1))+1,ROW(OFFSET(nombres[],ROWS(nombres[])-1,0,1,1))+1),$O1541:$O1560),3),"")</f>
        <v/>
      </c>
      <c r="AAY1541" s="42" t="str">
        <f t="array" aca="1" ref="AAY1541" ca="1">IFERROR(INDEX(nombres[],SMALL(IF(OFFSET(nombres[],0,0,ROWS(nombres[]),1)=AAY$1490,ROW(OFFSET(nombres[],0,0,ROWS(nombres[]),1))-ROW(OFFSET(nombres[],0,0,1,1))+1,ROW(OFFSET(nombres[],ROWS(nombres[])-1,0,1,1))+1),$O1541:$O1560),3),"")</f>
        <v/>
      </c>
      <c r="AAZ1541" s="42" t="str">
        <f t="array" aca="1" ref="AAZ1541" ca="1">IFERROR(INDEX(nombres[],SMALL(IF(OFFSET(nombres[],0,0,ROWS(nombres[]),1)=AAZ$1490,ROW(OFFSET(nombres[],0,0,ROWS(nombres[]),1))-ROW(OFFSET(nombres[],0,0,1,1))+1,ROW(OFFSET(nombres[],ROWS(nombres[])-1,0,1,1))+1),$O1541:$O1560),3),"")</f>
        <v/>
      </c>
      <c r="ABA1541" s="42" t="str">
        <f t="array" aca="1" ref="ABA1541" ca="1">IFERROR(INDEX(nombres[],SMALL(IF(OFFSET(nombres[],0,0,ROWS(nombres[]),1)=ABA$1490,ROW(OFFSET(nombres[],0,0,ROWS(nombres[]),1))-ROW(OFFSET(nombres[],0,0,1,1))+1,ROW(OFFSET(nombres[],ROWS(nombres[])-1,0,1,1))+1),$O1541:$O1560),3),"")</f>
        <v/>
      </c>
      <c r="ABB1541" s="42" t="str">
        <f t="array" aca="1" ref="ABB1541" ca="1">IFERROR(INDEX(nombres[],SMALL(IF(OFFSET(nombres[],0,0,ROWS(nombres[]),1)=ABB$1490,ROW(OFFSET(nombres[],0,0,ROWS(nombres[]),1))-ROW(OFFSET(nombres[],0,0,1,1))+1,ROW(OFFSET(nombres[],ROWS(nombres[])-1,0,1,1))+1),$O1541:$O1560),3),"")</f>
        <v/>
      </c>
      <c r="ABC1541" s="42" t="str">
        <f t="array" aca="1" ref="ABC1541" ca="1">IFERROR(INDEX(nombres[],SMALL(IF(OFFSET(nombres[],0,0,ROWS(nombres[]),1)=ABC$1490,ROW(OFFSET(nombres[],0,0,ROWS(nombres[]),1))-ROW(OFFSET(nombres[],0,0,1,1))+1,ROW(OFFSET(nombres[],ROWS(nombres[])-1,0,1,1))+1),$O1541:$O1560),3),"")</f>
        <v/>
      </c>
      <c r="ABD1541" s="42" t="str">
        <f t="array" aca="1" ref="ABD1541" ca="1">IFERROR(INDEX(nombres[],SMALL(IF(OFFSET(nombres[],0,0,ROWS(nombres[]),1)=ABD$1490,ROW(OFFSET(nombres[],0,0,ROWS(nombres[]),1))-ROW(OFFSET(nombres[],0,0,1,1))+1,ROW(OFFSET(nombres[],ROWS(nombres[])-1,0,1,1))+1),$O1541:$O1560),3),"")</f>
        <v/>
      </c>
      <c r="ABE1541" s="42" t="str">
        <f t="array" aca="1" ref="ABE1541" ca="1">IFERROR(INDEX(nombres[],SMALL(IF(OFFSET(nombres[],0,0,ROWS(nombres[]),1)=ABE$1490,ROW(OFFSET(nombres[],0,0,ROWS(nombres[]),1))-ROW(OFFSET(nombres[],0,0,1,1))+1,ROW(OFFSET(nombres[],ROWS(nombres[])-1,0,1,1))+1),$O1541:$O1560),3),"")</f>
        <v/>
      </c>
      <c r="ABF1541" s="42" t="str">
        <f t="array" aca="1" ref="ABF1541" ca="1">IFERROR(INDEX(nombres[],SMALL(IF(OFFSET(nombres[],0,0,ROWS(nombres[]),1)=ABF$1490,ROW(OFFSET(nombres[],0,0,ROWS(nombres[]),1))-ROW(OFFSET(nombres[],0,0,1,1))+1,ROW(OFFSET(nombres[],ROWS(nombres[])-1,0,1,1))+1),$O1541:$O1560),3),"")</f>
        <v/>
      </c>
      <c r="ABG1541" s="42" t="str">
        <f t="array" aca="1" ref="ABG1541" ca="1">IFERROR(INDEX(nombres[],SMALL(IF(OFFSET(nombres[],0,0,ROWS(nombres[]),1)=ABG$1490,ROW(OFFSET(nombres[],0,0,ROWS(nombres[]),1))-ROW(OFFSET(nombres[],0,0,1,1))+1,ROW(OFFSET(nombres[],ROWS(nombres[])-1,0,1,1))+1),$O1541:$O1560),3),"")</f>
        <v/>
      </c>
      <c r="ABH1541" s="42" t="str">
        <f t="array" aca="1" ref="ABH1541" ca="1">IFERROR(INDEX(nombres[],SMALL(IF(OFFSET(nombres[],0,0,ROWS(nombres[]),1)=ABH$1490,ROW(OFFSET(nombres[],0,0,ROWS(nombres[]),1))-ROW(OFFSET(nombres[],0,0,1,1))+1,ROW(OFFSET(nombres[],ROWS(nombres[])-1,0,1,1))+1),$O1541:$O1560),3),"")</f>
        <v/>
      </c>
      <c r="ABI1541" s="42" t="str">
        <f t="array" aca="1" ref="ABI1541" ca="1">IFERROR(INDEX(nombres[],SMALL(IF(OFFSET(nombres[],0,0,ROWS(nombres[]),1)=ABI$1490,ROW(OFFSET(nombres[],0,0,ROWS(nombres[]),1))-ROW(OFFSET(nombres[],0,0,1,1))+1,ROW(OFFSET(nombres[],ROWS(nombres[])-1,0,1,1))+1),$O1541:$O1560),3),"")</f>
        <v/>
      </c>
      <c r="ABJ1541" s="42" t="str">
        <f t="array" aca="1" ref="ABJ1541" ca="1">IFERROR(INDEX(nombres[],SMALL(IF(OFFSET(nombres[],0,0,ROWS(nombres[]),1)=ABJ$1490,ROW(OFFSET(nombres[],0,0,ROWS(nombres[]),1))-ROW(OFFSET(nombres[],0,0,1,1))+1,ROW(OFFSET(nombres[],ROWS(nombres[])-1,0,1,1))+1),$O1541:$O1560),3),"")</f>
        <v/>
      </c>
      <c r="ABK1541" s="42" t="str">
        <f t="array" aca="1" ref="ABK1541" ca="1">IFERROR(INDEX(nombres[],SMALL(IF(OFFSET(nombres[],0,0,ROWS(nombres[]),1)=ABK$1490,ROW(OFFSET(nombres[],0,0,ROWS(nombres[]),1))-ROW(OFFSET(nombres[],0,0,1,1))+1,ROW(OFFSET(nombres[],ROWS(nombres[])-1,0,1,1))+1),$O1541:$O1560),3),"")</f>
        <v/>
      </c>
      <c r="ABL1541" s="42" t="str">
        <f t="array" aca="1" ref="ABL1541" ca="1">IFERROR(INDEX(nombres[],SMALL(IF(OFFSET(nombres[],0,0,ROWS(nombres[]),1)=ABL$1490,ROW(OFFSET(nombres[],0,0,ROWS(nombres[]),1))-ROW(OFFSET(nombres[],0,0,1,1))+1,ROW(OFFSET(nombres[],ROWS(nombres[])-1,0,1,1))+1),$O1541:$O1560),3),"")</f>
        <v/>
      </c>
      <c r="ABM1541" s="42" t="str">
        <f t="array" aca="1" ref="ABM1541" ca="1">IFERROR(INDEX(nombres[],SMALL(IF(OFFSET(nombres[],0,0,ROWS(nombres[]),1)=ABM$1490,ROW(OFFSET(nombres[],0,0,ROWS(nombres[]),1))-ROW(OFFSET(nombres[],0,0,1,1))+1,ROW(OFFSET(nombres[],ROWS(nombres[])-1,0,1,1))+1),$O1541:$O1560),3),"")</f>
        <v/>
      </c>
      <c r="ABN1541" s="42" t="str">
        <f t="array" aca="1" ref="ABN1541" ca="1">IFERROR(INDEX(nombres[],SMALL(IF(OFFSET(nombres[],0,0,ROWS(nombres[]),1)=ABN$1490,ROW(OFFSET(nombres[],0,0,ROWS(nombres[]),1))-ROW(OFFSET(nombres[],0,0,1,1))+1,ROW(OFFSET(nombres[],ROWS(nombres[])-1,0,1,1))+1),$O1541:$O1560),3),"")</f>
        <v/>
      </c>
      <c r="ABO1541" s="42" t="str">
        <f t="array" aca="1" ref="ABO1541" ca="1">IFERROR(INDEX(nombres[],SMALL(IF(OFFSET(nombres[],0,0,ROWS(nombres[]),1)=ABO$1490,ROW(OFFSET(nombres[],0,0,ROWS(nombres[]),1))-ROW(OFFSET(nombres[],0,0,1,1))+1,ROW(OFFSET(nombres[],ROWS(nombres[])-1,0,1,1))+1),$O1541:$O1560),3),"")</f>
        <v/>
      </c>
      <c r="ABP1541" s="42" t="str">
        <f t="array" aca="1" ref="ABP1541" ca="1">IFERROR(INDEX(nombres[],SMALL(IF(OFFSET(nombres[],0,0,ROWS(nombres[]),1)=ABP$1490,ROW(OFFSET(nombres[],0,0,ROWS(nombres[]),1))-ROW(OFFSET(nombres[],0,0,1,1))+1,ROW(OFFSET(nombres[],ROWS(nombres[])-1,0,1,1))+1),$O1541:$O1560),3),"")</f>
        <v/>
      </c>
      <c r="ABQ1541" s="42" t="str">
        <f t="array" aca="1" ref="ABQ1541" ca="1">IFERROR(INDEX(nombres[],SMALL(IF(OFFSET(nombres[],0,0,ROWS(nombres[]),1)=ABQ$1490,ROW(OFFSET(nombres[],0,0,ROWS(nombres[]),1))-ROW(OFFSET(nombres[],0,0,1,1))+1,ROW(OFFSET(nombres[],ROWS(nombres[])-1,0,1,1))+1),$O1541:$O1560),3),"")</f>
        <v/>
      </c>
      <c r="ABR1541" s="42" t="str">
        <f t="array" aca="1" ref="ABR1541" ca="1">IFERROR(INDEX(nombres[],SMALL(IF(OFFSET(nombres[],0,0,ROWS(nombres[]),1)=ABR$1490,ROW(OFFSET(nombres[],0,0,ROWS(nombres[]),1))-ROW(OFFSET(nombres[],0,0,1,1))+1,ROW(OFFSET(nombres[],ROWS(nombres[])-1,0,1,1))+1),$O1541:$O1560),3),"")</f>
        <v/>
      </c>
      <c r="ABS1541" s="42" t="str">
        <f t="array" aca="1" ref="ABS1541" ca="1">IFERROR(INDEX(nombres[],SMALL(IF(OFFSET(nombres[],0,0,ROWS(nombres[]),1)=ABS$1490,ROW(OFFSET(nombres[],0,0,ROWS(nombres[]),1))-ROW(OFFSET(nombres[],0,0,1,1))+1,ROW(OFFSET(nombres[],ROWS(nombres[])-1,0,1,1))+1),$O1541:$O1560),3),"")</f>
        <v/>
      </c>
      <c r="ABT1541" s="42" t="str">
        <f t="array" aca="1" ref="ABT1541" ca="1">IFERROR(INDEX(nombres[],SMALL(IF(OFFSET(nombres[],0,0,ROWS(nombres[]),1)=ABT$1490,ROW(OFFSET(nombres[],0,0,ROWS(nombres[]),1))-ROW(OFFSET(nombres[],0,0,1,1))+1,ROW(OFFSET(nombres[],ROWS(nombres[])-1,0,1,1))+1),$O1541:$O1560),3),"")</f>
        <v/>
      </c>
      <c r="ABU1541" s="42" t="str">
        <f t="array" aca="1" ref="ABU1541" ca="1">IFERROR(INDEX(nombres[],SMALL(IF(OFFSET(nombres[],0,0,ROWS(nombres[]),1)=ABU$1490,ROW(OFFSET(nombres[],0,0,ROWS(nombres[]),1))-ROW(OFFSET(nombres[],0,0,1,1))+1,ROW(OFFSET(nombres[],ROWS(nombres[])-1,0,1,1))+1),$O1541:$O1560),3),"")</f>
        <v/>
      </c>
      <c r="ABV1541" s="42" t="str">
        <f t="array" aca="1" ref="ABV1541" ca="1">IFERROR(INDEX(nombres[],SMALL(IF(OFFSET(nombres[],0,0,ROWS(nombres[]),1)=ABV$1490,ROW(OFFSET(nombres[],0,0,ROWS(nombres[]),1))-ROW(OFFSET(nombres[],0,0,1,1))+1,ROW(OFFSET(nombres[],ROWS(nombres[])-1,0,1,1))+1),$O1541:$O1560),3),"")</f>
        <v/>
      </c>
      <c r="ABW1541" s="42" t="str">
        <f t="array" aca="1" ref="ABW1541" ca="1">IFERROR(INDEX(nombres[],SMALL(IF(OFFSET(nombres[],0,0,ROWS(nombres[]),1)=ABW$1490,ROW(OFFSET(nombres[],0,0,ROWS(nombres[]),1))-ROW(OFFSET(nombres[],0,0,1,1))+1,ROW(OFFSET(nombres[],ROWS(nombres[])-1,0,1,1))+1),$O1541:$O1560),3),"")</f>
        <v/>
      </c>
      <c r="ABX1541" s="42" t="str">
        <f t="array" aca="1" ref="ABX1541" ca="1">IFERROR(INDEX(nombres[],SMALL(IF(OFFSET(nombres[],0,0,ROWS(nombres[]),1)=ABX$1490,ROW(OFFSET(nombres[],0,0,ROWS(nombres[]),1))-ROW(OFFSET(nombres[],0,0,1,1))+1,ROW(OFFSET(nombres[],ROWS(nombres[])-1,0,1,1))+1),$O1541:$O1560),3),"")</f>
        <v/>
      </c>
      <c r="ABY1541" s="42" t="str">
        <f t="array" aca="1" ref="ABY1541" ca="1">IFERROR(INDEX(nombres[],SMALL(IF(OFFSET(nombres[],0,0,ROWS(nombres[]),1)=ABY$1490,ROW(OFFSET(nombres[],0,0,ROWS(nombres[]),1))-ROW(OFFSET(nombres[],0,0,1,1))+1,ROW(OFFSET(nombres[],ROWS(nombres[])-1,0,1,1))+1),$O1541:$O1560),3),"")</f>
        <v/>
      </c>
      <c r="ABZ1541" s="42" t="str">
        <f t="array" aca="1" ref="ABZ1541" ca="1">IFERROR(INDEX(nombres[],SMALL(IF(OFFSET(nombres[],0,0,ROWS(nombres[]),1)=ABZ$1490,ROW(OFFSET(nombres[],0,0,ROWS(nombres[]),1))-ROW(OFFSET(nombres[],0,0,1,1))+1,ROW(OFFSET(nombres[],ROWS(nombres[])-1,0,1,1))+1),$O1541:$O1560),3),"")</f>
        <v/>
      </c>
      <c r="ACA1541" s="42" t="str">
        <f t="array" aca="1" ref="ACA1541" ca="1">IFERROR(INDEX(nombres[],SMALL(IF(OFFSET(nombres[],0,0,ROWS(nombres[]),1)=ACA$1490,ROW(OFFSET(nombres[],0,0,ROWS(nombres[]),1))-ROW(OFFSET(nombres[],0,0,1,1))+1,ROW(OFFSET(nombres[],ROWS(nombres[])-1,0,1,1))+1),$O1541:$O1560),3),"")</f>
        <v/>
      </c>
      <c r="ACB1541" s="42" t="str">
        <f t="array" aca="1" ref="ACB1541" ca="1">IFERROR(INDEX(nombres[],SMALL(IF(OFFSET(nombres[],0,0,ROWS(nombres[]),1)=ACB$1490,ROW(OFFSET(nombres[],0,0,ROWS(nombres[]),1))-ROW(OFFSET(nombres[],0,0,1,1))+1,ROW(OFFSET(nombres[],ROWS(nombres[])-1,0,1,1))+1),$O1541:$O1560),3),"")</f>
        <v/>
      </c>
      <c r="ACC1541" s="42" t="str">
        <f t="array" aca="1" ref="ACC1541" ca="1">IFERROR(INDEX(nombres[],SMALL(IF(OFFSET(nombres[],0,0,ROWS(nombres[]),1)=ACC$1490,ROW(OFFSET(nombres[],0,0,ROWS(nombres[]),1))-ROW(OFFSET(nombres[],0,0,1,1))+1,ROW(OFFSET(nombres[],ROWS(nombres[])-1,0,1,1))+1),$O1541:$O1560),3),"")</f>
        <v/>
      </c>
      <c r="ACD1541" s="42" t="str">
        <f t="array" aca="1" ref="ACD1541" ca="1">IFERROR(INDEX(nombres[],SMALL(IF(OFFSET(nombres[],0,0,ROWS(nombres[]),1)=ACD$1490,ROW(OFFSET(nombres[],0,0,ROWS(nombres[]),1))-ROW(OFFSET(nombres[],0,0,1,1))+1,ROW(OFFSET(nombres[],ROWS(nombres[])-1,0,1,1))+1),$O1541:$O1560),3),"")</f>
        <v/>
      </c>
      <c r="ACE1541" s="42" t="str">
        <f t="array" aca="1" ref="ACE1541" ca="1">IFERROR(INDEX(nombres[],SMALL(IF(OFFSET(nombres[],0,0,ROWS(nombres[]),1)=ACE$1490,ROW(OFFSET(nombres[],0,0,ROWS(nombres[]),1))-ROW(OFFSET(nombres[],0,0,1,1))+1,ROW(OFFSET(nombres[],ROWS(nombres[])-1,0,1,1))+1),$O1541:$O1560),3),"")</f>
        <v/>
      </c>
      <c r="ACF1541" s="42" t="str">
        <f t="array" aca="1" ref="ACF1541" ca="1">IFERROR(INDEX(nombres[],SMALL(IF(OFFSET(nombres[],0,0,ROWS(nombres[]),1)=ACF$1490,ROW(OFFSET(nombres[],0,0,ROWS(nombres[]),1))-ROW(OFFSET(nombres[],0,0,1,1))+1,ROW(OFFSET(nombres[],ROWS(nombres[])-1,0,1,1))+1),$O1541:$O1560),3),"")</f>
        <v/>
      </c>
      <c r="ACG1541" s="42" t="str">
        <f t="array" aca="1" ref="ACG1541" ca="1">IFERROR(INDEX(nombres[],SMALL(IF(OFFSET(nombres[],0,0,ROWS(nombres[]),1)=ACG$1490,ROW(OFFSET(nombres[],0,0,ROWS(nombres[]),1))-ROW(OFFSET(nombres[],0,0,1,1))+1,ROW(OFFSET(nombres[],ROWS(nombres[])-1,0,1,1))+1),$O1541:$O1560),3),"")</f>
        <v/>
      </c>
      <c r="ACH1541" s="42" t="str">
        <f t="array" aca="1" ref="ACH1541" ca="1">IFERROR(INDEX(nombres[],SMALL(IF(OFFSET(nombres[],0,0,ROWS(nombres[]),1)=ACH$1490,ROW(OFFSET(nombres[],0,0,ROWS(nombres[]),1))-ROW(OFFSET(nombres[],0,0,1,1))+1,ROW(OFFSET(nombres[],ROWS(nombres[])-1,0,1,1))+1),$O1541:$O1560),3),"")</f>
        <v/>
      </c>
      <c r="ACI1541" s="42" t="str">
        <f t="array" aca="1" ref="ACI1541" ca="1">IFERROR(INDEX(nombres[],SMALL(IF(OFFSET(nombres[],0,0,ROWS(nombres[]),1)=ACI$1490,ROW(OFFSET(nombres[],0,0,ROWS(nombres[]),1))-ROW(OFFSET(nombres[],0,0,1,1))+1,ROW(OFFSET(nombres[],ROWS(nombres[])-1,0,1,1))+1),$O1541:$O1560),3),"")</f>
        <v/>
      </c>
      <c r="ACJ1541" s="42" t="str">
        <f t="array" aca="1" ref="ACJ1541" ca="1">IFERROR(INDEX(nombres[],SMALL(IF(OFFSET(nombres[],0,0,ROWS(nombres[]),1)=ACJ$1490,ROW(OFFSET(nombres[],0,0,ROWS(nombres[]),1))-ROW(OFFSET(nombres[],0,0,1,1))+1,ROW(OFFSET(nombres[],ROWS(nombres[])-1,0,1,1))+1),$O1541:$O1560),3),"")</f>
        <v/>
      </c>
      <c r="ACK1541" s="42" t="str">
        <f t="array" aca="1" ref="ACK1541" ca="1">IFERROR(INDEX(nombres[],SMALL(IF(OFFSET(nombres[],0,0,ROWS(nombres[]),1)=ACK$1490,ROW(OFFSET(nombres[],0,0,ROWS(nombres[]),1))-ROW(OFFSET(nombres[],0,0,1,1))+1,ROW(OFFSET(nombres[],ROWS(nombres[])-1,0,1,1))+1),$O1541:$O1560),3),"")</f>
        <v/>
      </c>
      <c r="ACL1541" s="42" t="str">
        <f t="array" aca="1" ref="ACL1541" ca="1">IFERROR(INDEX(nombres[],SMALL(IF(OFFSET(nombres[],0,0,ROWS(nombres[]),1)=ACL$1490,ROW(OFFSET(nombres[],0,0,ROWS(nombres[]),1))-ROW(OFFSET(nombres[],0,0,1,1))+1,ROW(OFFSET(nombres[],ROWS(nombres[])-1,0,1,1))+1),$O1541:$O1560),3),"")</f>
        <v/>
      </c>
      <c r="ACM1541" s="42" t="str">
        <f t="array" aca="1" ref="ACM1541" ca="1">IFERROR(INDEX(nombres[],SMALL(IF(OFFSET(nombres[],0,0,ROWS(nombres[]),1)=ACM$1490,ROW(OFFSET(nombres[],0,0,ROWS(nombres[]),1))-ROW(OFFSET(nombres[],0,0,1,1))+1,ROW(OFFSET(nombres[],ROWS(nombres[])-1,0,1,1))+1),$O1541:$O1560),3),"")</f>
        <v/>
      </c>
      <c r="ACN1541" s="42" t="str">
        <f t="array" aca="1" ref="ACN1541" ca="1">IFERROR(INDEX(nombres[],SMALL(IF(OFFSET(nombres[],0,0,ROWS(nombres[]),1)=ACN$1490,ROW(OFFSET(nombres[],0,0,ROWS(nombres[]),1))-ROW(OFFSET(nombres[],0,0,1,1))+1,ROW(OFFSET(nombres[],ROWS(nombres[])-1,0,1,1))+1),$O1541:$O1560),3),"")</f>
        <v/>
      </c>
      <c r="ACO1541" s="42" t="str">
        <f t="array" aca="1" ref="ACO1541" ca="1">IFERROR(INDEX(nombres[],SMALL(IF(OFFSET(nombres[],0,0,ROWS(nombres[]),1)=ACO$1490,ROW(OFFSET(nombres[],0,0,ROWS(nombres[]),1))-ROW(OFFSET(nombres[],0,0,1,1))+1,ROW(OFFSET(nombres[],ROWS(nombres[])-1,0,1,1))+1),$O1541:$O1560),3),"")</f>
        <v/>
      </c>
      <c r="ACP1541" s="42" t="str">
        <f t="array" aca="1" ref="ACP1541" ca="1">IFERROR(INDEX(nombres[],SMALL(IF(OFFSET(nombres[],0,0,ROWS(nombres[]),1)=ACP$1490,ROW(OFFSET(nombres[],0,0,ROWS(nombres[]),1))-ROW(OFFSET(nombres[],0,0,1,1))+1,ROW(OFFSET(nombres[],ROWS(nombres[])-1,0,1,1))+1),$O1541:$O1560),3),"")</f>
        <v/>
      </c>
      <c r="ACQ1541" s="42" t="str">
        <f t="array" aca="1" ref="ACQ1541" ca="1">IFERROR(INDEX(nombres[],SMALL(IF(OFFSET(nombres[],0,0,ROWS(nombres[]),1)=ACQ$1490,ROW(OFFSET(nombres[],0,0,ROWS(nombres[]),1))-ROW(OFFSET(nombres[],0,0,1,1))+1,ROW(OFFSET(nombres[],ROWS(nombres[])-1,0,1,1))+1),$O1541:$O1560),3),"")</f>
        <v/>
      </c>
      <c r="ACR1541" s="42" t="str">
        <f t="array" aca="1" ref="ACR1541" ca="1">IFERROR(INDEX(nombres[],SMALL(IF(OFFSET(nombres[],0,0,ROWS(nombres[]),1)=ACR$1490,ROW(OFFSET(nombres[],0,0,ROWS(nombres[]),1))-ROW(OFFSET(nombres[],0,0,1,1))+1,ROW(OFFSET(nombres[],ROWS(nombres[])-1,0,1,1))+1),$O1541:$O1560),3),"")</f>
        <v/>
      </c>
      <c r="ACS1541" s="42" t="str">
        <f t="array" aca="1" ref="ACS1541" ca="1">IFERROR(INDEX(nombres[],SMALL(IF(OFFSET(nombres[],0,0,ROWS(nombres[]),1)=ACS$1490,ROW(OFFSET(nombres[],0,0,ROWS(nombres[]),1))-ROW(OFFSET(nombres[],0,0,1,1))+1,ROW(OFFSET(nombres[],ROWS(nombres[])-1,0,1,1))+1),$O1541:$O1560),3),"")</f>
        <v/>
      </c>
      <c r="ACT1541" s="42" t="str">
        <f t="array" aca="1" ref="ACT1541" ca="1">IFERROR(INDEX(nombres[],SMALL(IF(OFFSET(nombres[],0,0,ROWS(nombres[]),1)=ACT$1490,ROW(OFFSET(nombres[],0,0,ROWS(nombres[]),1))-ROW(OFFSET(nombres[],0,0,1,1))+1,ROW(OFFSET(nombres[],ROWS(nombres[])-1,0,1,1))+1),$O1541:$O1560),3),"")</f>
        <v/>
      </c>
      <c r="ACU1541" s="42" t="str">
        <f t="array" aca="1" ref="ACU1541" ca="1">IFERROR(INDEX(nombres[],SMALL(IF(OFFSET(nombres[],0,0,ROWS(nombres[]),1)=ACU$1490,ROW(OFFSET(nombres[],0,0,ROWS(nombres[]),1))-ROW(OFFSET(nombres[],0,0,1,1))+1,ROW(OFFSET(nombres[],ROWS(nombres[])-1,0,1,1))+1),$O1541:$O1560),3),"")</f>
        <v/>
      </c>
      <c r="ACV1541" s="42" t="str">
        <f t="array" aca="1" ref="ACV1541" ca="1">IFERROR(INDEX(nombres[],SMALL(IF(OFFSET(nombres[],0,0,ROWS(nombres[]),1)=ACV$1490,ROW(OFFSET(nombres[],0,0,ROWS(nombres[]),1))-ROW(OFFSET(nombres[],0,0,1,1))+1,ROW(OFFSET(nombres[],ROWS(nombres[])-1,0,1,1))+1),$O1541:$O1560),3),"")</f>
        <v/>
      </c>
      <c r="ACW1541" s="42" t="str">
        <f t="array" aca="1" ref="ACW1541" ca="1">IFERROR(INDEX(nombres[],SMALL(IF(OFFSET(nombres[],0,0,ROWS(nombres[]),1)=ACW$1490,ROW(OFFSET(nombres[],0,0,ROWS(nombres[]),1))-ROW(OFFSET(nombres[],0,0,1,1))+1,ROW(OFFSET(nombres[],ROWS(nombres[])-1,0,1,1))+1),$O1541:$O1560),3),"")</f>
        <v/>
      </c>
      <c r="ACX1541" s="42" t="str">
        <f t="array" aca="1" ref="ACX1541" ca="1">IFERROR(INDEX(nombres[],SMALL(IF(OFFSET(nombres[],0,0,ROWS(nombres[]),1)=ACX$1490,ROW(OFFSET(nombres[],0,0,ROWS(nombres[]),1))-ROW(OFFSET(nombres[],0,0,1,1))+1,ROW(OFFSET(nombres[],ROWS(nombres[])-1,0,1,1))+1),$O1541:$O1560),3),"")</f>
        <v/>
      </c>
      <c r="ACY1541" s="42" t="str">
        <f t="array" aca="1" ref="ACY1541" ca="1">IFERROR(INDEX(nombres[],SMALL(IF(OFFSET(nombres[],0,0,ROWS(nombres[]),1)=ACY$1490,ROW(OFFSET(nombres[],0,0,ROWS(nombres[]),1))-ROW(OFFSET(nombres[],0,0,1,1))+1,ROW(OFFSET(nombres[],ROWS(nombres[])-1,0,1,1))+1),$O1541:$O1560),3),"")</f>
        <v/>
      </c>
      <c r="ACZ1541" s="42" t="str">
        <f t="array" aca="1" ref="ACZ1541" ca="1">IFERROR(INDEX(nombres[],SMALL(IF(OFFSET(nombres[],0,0,ROWS(nombres[]),1)=ACZ$1490,ROW(OFFSET(nombres[],0,0,ROWS(nombres[]),1))-ROW(OFFSET(nombres[],0,0,1,1))+1,ROW(OFFSET(nombres[],ROWS(nombres[])-1,0,1,1))+1),$O1541:$O1560),3),"")</f>
        <v/>
      </c>
      <c r="ADA1541" s="42" t="str">
        <f t="array" aca="1" ref="ADA1541" ca="1">IFERROR(INDEX(nombres[],SMALL(IF(OFFSET(nombres[],0,0,ROWS(nombres[]),1)=ADA$1490,ROW(OFFSET(nombres[],0,0,ROWS(nombres[]),1))-ROW(OFFSET(nombres[],0,0,1,1))+1,ROW(OFFSET(nombres[],ROWS(nombres[])-1,0,1,1))+1),$O1541:$O1560),3),"")</f>
        <v/>
      </c>
      <c r="ADB1541" s="42" t="str">
        <f t="array" aca="1" ref="ADB1541" ca="1">IFERROR(INDEX(nombres[],SMALL(IF(OFFSET(nombres[],0,0,ROWS(nombres[]),1)=ADB$1490,ROW(OFFSET(nombres[],0,0,ROWS(nombres[]),1))-ROW(OFFSET(nombres[],0,0,1,1))+1,ROW(OFFSET(nombres[],ROWS(nombres[])-1,0,1,1))+1),$O1541:$O1560),3),"")</f>
        <v/>
      </c>
      <c r="ADC1541" s="42" t="str">
        <f t="array" aca="1" ref="ADC1541" ca="1">IFERROR(INDEX(nombres[],SMALL(IF(OFFSET(nombres[],0,0,ROWS(nombres[]),1)=ADC$1490,ROW(OFFSET(nombres[],0,0,ROWS(nombres[]),1))-ROW(OFFSET(nombres[],0,0,1,1))+1,ROW(OFFSET(nombres[],ROWS(nombres[])-1,0,1,1))+1),$O1541:$O1560),3),"")</f>
        <v/>
      </c>
      <c r="ADD1541" s="42" t="str">
        <f t="array" aca="1" ref="ADD1541" ca="1">IFERROR(INDEX(nombres[],SMALL(IF(OFFSET(nombres[],0,0,ROWS(nombres[]),1)=ADD$1490,ROW(OFFSET(nombres[],0,0,ROWS(nombres[]),1))-ROW(OFFSET(nombres[],0,0,1,1))+1,ROW(OFFSET(nombres[],ROWS(nombres[])-1,0,1,1))+1),$O1541:$O1560),3),"")</f>
        <v/>
      </c>
      <c r="ADE1541" s="42" t="str">
        <f t="array" aca="1" ref="ADE1541" ca="1">IFERROR(INDEX(nombres[],SMALL(IF(OFFSET(nombres[],0,0,ROWS(nombres[]),1)=ADE$1490,ROW(OFFSET(nombres[],0,0,ROWS(nombres[]),1))-ROW(OFFSET(nombres[],0,0,1,1))+1,ROW(OFFSET(nombres[],ROWS(nombres[])-1,0,1,1))+1),$O1541:$O1560),3),"")</f>
        <v/>
      </c>
      <c r="ADF1541" s="42" t="str">
        <f t="array" aca="1" ref="ADF1541" ca="1">IFERROR(INDEX(nombres[],SMALL(IF(OFFSET(nombres[],0,0,ROWS(nombres[]),1)=ADF$1490,ROW(OFFSET(nombres[],0,0,ROWS(nombres[]),1))-ROW(OFFSET(nombres[],0,0,1,1))+1,ROW(OFFSET(nombres[],ROWS(nombres[])-1,0,1,1))+1),$O1541:$O1560),3),"")</f>
        <v/>
      </c>
      <c r="ADG1541" s="42" t="str">
        <f t="array" aca="1" ref="ADG1541" ca="1">IFERROR(INDEX(nombres[],SMALL(IF(OFFSET(nombres[],0,0,ROWS(nombres[]),1)=ADG$1490,ROW(OFFSET(nombres[],0,0,ROWS(nombres[]),1))-ROW(OFFSET(nombres[],0,0,1,1))+1,ROW(OFFSET(nombres[],ROWS(nombres[])-1,0,1,1))+1),$O1541:$O1560),3),"")</f>
        <v/>
      </c>
      <c r="ADH1541" s="42" t="str">
        <f t="array" aca="1" ref="ADH1541" ca="1">IFERROR(INDEX(nombres[],SMALL(IF(OFFSET(nombres[],0,0,ROWS(nombres[]),1)=ADH$1490,ROW(OFFSET(nombres[],0,0,ROWS(nombres[]),1))-ROW(OFFSET(nombres[],0,0,1,1))+1,ROW(OFFSET(nombres[],ROWS(nombres[])-1,0,1,1))+1),$O1541:$O1560),3),"")</f>
        <v/>
      </c>
      <c r="ADI1541" s="42" t="str">
        <f t="array" aca="1" ref="ADI1541" ca="1">IFERROR(INDEX(nombres[],SMALL(IF(OFFSET(nombres[],0,0,ROWS(nombres[]),1)=ADI$1490,ROW(OFFSET(nombres[],0,0,ROWS(nombres[]),1))-ROW(OFFSET(nombres[],0,0,1,1))+1,ROW(OFFSET(nombres[],ROWS(nombres[])-1,0,1,1))+1),$O1541:$O1560),3),"")</f>
        <v/>
      </c>
      <c r="ADJ1541" s="42" t="str">
        <f t="array" aca="1" ref="ADJ1541" ca="1">IFERROR(INDEX(nombres[],SMALL(IF(OFFSET(nombres[],0,0,ROWS(nombres[]),1)=ADJ$1490,ROW(OFFSET(nombres[],0,0,ROWS(nombres[]),1))-ROW(OFFSET(nombres[],0,0,1,1))+1,ROW(OFFSET(nombres[],ROWS(nombres[])-1,0,1,1))+1),$O1541:$O1560),3),"")</f>
        <v/>
      </c>
      <c r="ADK1541" s="42" t="str">
        <f t="array" aca="1" ref="ADK1541" ca="1">IFERROR(INDEX(nombres[],SMALL(IF(OFFSET(nombres[],0,0,ROWS(nombres[]),1)=ADK$1490,ROW(OFFSET(nombres[],0,0,ROWS(nombres[]),1))-ROW(OFFSET(nombres[],0,0,1,1))+1,ROW(OFFSET(nombres[],ROWS(nombres[])-1,0,1,1))+1),$O1541:$O1560),3),"")</f>
        <v/>
      </c>
      <c r="ADL1541" s="42" t="str">
        <f t="array" aca="1" ref="ADL1541" ca="1">IFERROR(INDEX(nombres[],SMALL(IF(OFFSET(nombres[],0,0,ROWS(nombres[]),1)=ADL$1490,ROW(OFFSET(nombres[],0,0,ROWS(nombres[]),1))-ROW(OFFSET(nombres[],0,0,1,1))+1,ROW(OFFSET(nombres[],ROWS(nombres[])-1,0,1,1))+1),$O1541:$O1560),3),"")</f>
        <v/>
      </c>
      <c r="ADM1541" s="42" t="str">
        <f t="array" aca="1" ref="ADM1541" ca="1">IFERROR(INDEX(nombres[],SMALL(IF(OFFSET(nombres[],0,0,ROWS(nombres[]),1)=ADM$1490,ROW(OFFSET(nombres[],0,0,ROWS(nombres[]),1))-ROW(OFFSET(nombres[],0,0,1,1))+1,ROW(OFFSET(nombres[],ROWS(nombres[])-1,0,1,1))+1),$O1541:$O1560),3),"")</f>
        <v/>
      </c>
      <c r="ADN1541" s="42" t="str">
        <f t="array" aca="1" ref="ADN1541" ca="1">IFERROR(INDEX(nombres[],SMALL(IF(OFFSET(nombres[],0,0,ROWS(nombres[]),1)=ADN$1490,ROW(OFFSET(nombres[],0,0,ROWS(nombres[]),1))-ROW(OFFSET(nombres[],0,0,1,1))+1,ROW(OFFSET(nombres[],ROWS(nombres[])-1,0,1,1))+1),$O1541:$O1560),3),"")</f>
        <v/>
      </c>
      <c r="ADO1541" s="42" t="str">
        <f t="array" aca="1" ref="ADO1541" ca="1">IFERROR(INDEX(nombres[],SMALL(IF(OFFSET(nombres[],0,0,ROWS(nombres[]),1)=ADO$1490,ROW(OFFSET(nombres[],0,0,ROWS(nombres[]),1))-ROW(OFFSET(nombres[],0,0,1,1))+1,ROW(OFFSET(nombres[],ROWS(nombres[])-1,0,1,1))+1),$O1541:$O1560),3),"")</f>
        <v/>
      </c>
      <c r="ADP1541" s="42" t="str">
        <f t="array" aca="1" ref="ADP1541" ca="1">IFERROR(INDEX(nombres[],SMALL(IF(OFFSET(nombres[],0,0,ROWS(nombres[]),1)=ADP$1490,ROW(OFFSET(nombres[],0,0,ROWS(nombres[]),1))-ROW(OFFSET(nombres[],0,0,1,1))+1,ROW(OFFSET(nombres[],ROWS(nombres[])-1,0,1,1))+1),$O1541:$O1560),3),"")</f>
        <v/>
      </c>
      <c r="ADQ1541" s="42" t="str">
        <f t="array" aca="1" ref="ADQ1541" ca="1">IFERROR(INDEX(nombres[],SMALL(IF(OFFSET(nombres[],0,0,ROWS(nombres[]),1)=ADQ$1490,ROW(OFFSET(nombres[],0,0,ROWS(nombres[]),1))-ROW(OFFSET(nombres[],0,0,1,1))+1,ROW(OFFSET(nombres[],ROWS(nombres[])-1,0,1,1))+1),$O1541:$O1560),3),"")</f>
        <v/>
      </c>
      <c r="ADR1541" s="42" t="str">
        <f t="array" aca="1" ref="ADR1541" ca="1">IFERROR(INDEX(nombres[],SMALL(IF(OFFSET(nombres[],0,0,ROWS(nombres[]),1)=ADR$1490,ROW(OFFSET(nombres[],0,0,ROWS(nombres[]),1))-ROW(OFFSET(nombres[],0,0,1,1))+1,ROW(OFFSET(nombres[],ROWS(nombres[])-1,0,1,1))+1),$O1541:$O1560),3),"")</f>
        <v/>
      </c>
      <c r="ADS1541" s="42" t="str">
        <f t="array" aca="1" ref="ADS1541" ca="1">IFERROR(INDEX(nombres[],SMALL(IF(OFFSET(nombres[],0,0,ROWS(nombres[]),1)=ADS$1490,ROW(OFFSET(nombres[],0,0,ROWS(nombres[]),1))-ROW(OFFSET(nombres[],0,0,1,1))+1,ROW(OFFSET(nombres[],ROWS(nombres[])-1,0,1,1))+1),$O1541:$O1560),3),"")</f>
        <v/>
      </c>
      <c r="ADT1541" s="42" t="str">
        <f t="array" aca="1" ref="ADT1541" ca="1">IFERROR(INDEX(nombres[],SMALL(IF(OFFSET(nombres[],0,0,ROWS(nombres[]),1)=ADT$1490,ROW(OFFSET(nombres[],0,0,ROWS(nombres[]),1))-ROW(OFFSET(nombres[],0,0,1,1))+1,ROW(OFFSET(nombres[],ROWS(nombres[])-1,0,1,1))+1),$O1541:$O1560),3),"")</f>
        <v/>
      </c>
      <c r="ADU1541" s="42" t="str">
        <f t="array" aca="1" ref="ADU1541" ca="1">IFERROR(INDEX(nombres[],SMALL(IF(OFFSET(nombres[],0,0,ROWS(nombres[]),1)=ADU$1490,ROW(OFFSET(nombres[],0,0,ROWS(nombres[]),1))-ROW(OFFSET(nombres[],0,0,1,1))+1,ROW(OFFSET(nombres[],ROWS(nombres[])-1,0,1,1))+1),$O1541:$O1560),3),"")</f>
        <v/>
      </c>
      <c r="ADV1541" s="42" t="str">
        <f t="array" aca="1" ref="ADV1541" ca="1">IFERROR(INDEX(nombres[],SMALL(IF(OFFSET(nombres[],0,0,ROWS(nombres[]),1)=ADV$1490,ROW(OFFSET(nombres[],0,0,ROWS(nombres[]),1))-ROW(OFFSET(nombres[],0,0,1,1))+1,ROW(OFFSET(nombres[],ROWS(nombres[])-1,0,1,1))+1),$O1541:$O1560),3),"")</f>
        <v/>
      </c>
      <c r="ADW1541" s="42" t="str">
        <f t="array" aca="1" ref="ADW1541" ca="1">IFERROR(INDEX(nombres[],SMALL(IF(OFFSET(nombres[],0,0,ROWS(nombres[]),1)=ADW$1490,ROW(OFFSET(nombres[],0,0,ROWS(nombres[]),1))-ROW(OFFSET(nombres[],0,0,1,1))+1,ROW(OFFSET(nombres[],ROWS(nombres[])-1,0,1,1))+1),$O1541:$O1560),3),"")</f>
        <v/>
      </c>
      <c r="ADX1541" s="42" t="str">
        <f t="array" aca="1" ref="ADX1541" ca="1">IFERROR(INDEX(nombres[],SMALL(IF(OFFSET(nombres[],0,0,ROWS(nombres[]),1)=ADX$1490,ROW(OFFSET(nombres[],0,0,ROWS(nombres[]),1))-ROW(OFFSET(nombres[],0,0,1,1))+1,ROW(OFFSET(nombres[],ROWS(nombres[])-1,0,1,1))+1),$O1541:$O1560),3),"")</f>
        <v/>
      </c>
      <c r="ADY1541" s="42" t="str">
        <f t="array" aca="1" ref="ADY1541" ca="1">IFERROR(INDEX(nombres[],SMALL(IF(OFFSET(nombres[],0,0,ROWS(nombres[]),1)=ADY$1490,ROW(OFFSET(nombres[],0,0,ROWS(nombres[]),1))-ROW(OFFSET(nombres[],0,0,1,1))+1,ROW(OFFSET(nombres[],ROWS(nombres[])-1,0,1,1))+1),$O1541:$O1560),3),"")</f>
        <v/>
      </c>
      <c r="ADZ1541" s="42" t="str">
        <f t="array" aca="1" ref="ADZ1541" ca="1">IFERROR(INDEX(nombres[],SMALL(IF(OFFSET(nombres[],0,0,ROWS(nombres[]),1)=ADZ$1490,ROW(OFFSET(nombres[],0,0,ROWS(nombres[]),1))-ROW(OFFSET(nombres[],0,0,1,1))+1,ROW(OFFSET(nombres[],ROWS(nombres[])-1,0,1,1))+1),$O1541:$O1560),3),"")</f>
        <v/>
      </c>
      <c r="AEA1541" s="42" t="str">
        <f t="array" aca="1" ref="AEA1541" ca="1">IFERROR(INDEX(nombres[],SMALL(IF(OFFSET(nombres[],0,0,ROWS(nombres[]),1)=AEA$1490,ROW(OFFSET(nombres[],0,0,ROWS(nombres[]),1))-ROW(OFFSET(nombres[],0,0,1,1))+1,ROW(OFFSET(nombres[],ROWS(nombres[])-1,0,1,1))+1),$O1541:$O1560),3),"")</f>
        <v/>
      </c>
      <c r="AEB1541" s="42" t="str">
        <f t="array" aca="1" ref="AEB1541" ca="1">IFERROR(INDEX(nombres[],SMALL(IF(OFFSET(nombres[],0,0,ROWS(nombres[]),1)=AEB$1490,ROW(OFFSET(nombres[],0,0,ROWS(nombres[]),1))-ROW(OFFSET(nombres[],0,0,1,1))+1,ROW(OFFSET(nombres[],ROWS(nombres[])-1,0,1,1))+1),$O1541:$O1560),3),"")</f>
        <v/>
      </c>
      <c r="AEC1541" s="42" t="str">
        <f t="array" aca="1" ref="AEC1541" ca="1">IFERROR(INDEX(nombres[],SMALL(IF(OFFSET(nombres[],0,0,ROWS(nombres[]),1)=AEC$1490,ROW(OFFSET(nombres[],0,0,ROWS(nombres[]),1))-ROW(OFFSET(nombres[],0,0,1,1))+1,ROW(OFFSET(nombres[],ROWS(nombres[])-1,0,1,1))+1),$O1541:$O1560),3),"")</f>
        <v/>
      </c>
      <c r="AED1541" s="42" t="str">
        <f t="array" aca="1" ref="AED1541" ca="1">IFERROR(INDEX(nombres[],SMALL(IF(OFFSET(nombres[],0,0,ROWS(nombres[]),1)=AED$1490,ROW(OFFSET(nombres[],0,0,ROWS(nombres[]),1))-ROW(OFFSET(nombres[],0,0,1,1))+1,ROW(OFFSET(nombres[],ROWS(nombres[])-1,0,1,1))+1),$O1541:$O1560),3),"")</f>
        <v/>
      </c>
      <c r="AEE1541" s="42" t="str">
        <f t="array" aca="1" ref="AEE1541" ca="1">IFERROR(INDEX(nombres[],SMALL(IF(OFFSET(nombres[],0,0,ROWS(nombres[]),1)=AEE$1490,ROW(OFFSET(nombres[],0,0,ROWS(nombres[]),1))-ROW(OFFSET(nombres[],0,0,1,1))+1,ROW(OFFSET(nombres[],ROWS(nombres[])-1,0,1,1))+1),$O1541:$O1560),3),"")</f>
        <v/>
      </c>
      <c r="AEF1541" s="42" t="str">
        <f t="array" aca="1" ref="AEF1541" ca="1">IFERROR(INDEX(nombres[],SMALL(IF(OFFSET(nombres[],0,0,ROWS(nombres[]),1)=AEF$1490,ROW(OFFSET(nombres[],0,0,ROWS(nombres[]),1))-ROW(OFFSET(nombres[],0,0,1,1))+1,ROW(OFFSET(nombres[],ROWS(nombres[])-1,0,1,1))+1),$O1541:$O1560),3),"")</f>
        <v/>
      </c>
      <c r="AEG1541" s="42" t="str">
        <f t="array" aca="1" ref="AEG1541" ca="1">IFERROR(INDEX(nombres[],SMALL(IF(OFFSET(nombres[],0,0,ROWS(nombres[]),1)=AEG$1490,ROW(OFFSET(nombres[],0,0,ROWS(nombres[]),1))-ROW(OFFSET(nombres[],0,0,1,1))+1,ROW(OFFSET(nombres[],ROWS(nombres[])-1,0,1,1))+1),$O1541:$O1560),3),"")</f>
        <v/>
      </c>
      <c r="AEH1541" s="42" t="str">
        <f t="array" aca="1" ref="AEH1541" ca="1">IFERROR(INDEX(nombres[],SMALL(IF(OFFSET(nombres[],0,0,ROWS(nombres[]),1)=AEH$1490,ROW(OFFSET(nombres[],0,0,ROWS(nombres[]),1))-ROW(OFFSET(nombres[],0,0,1,1))+1,ROW(OFFSET(nombres[],ROWS(nombres[])-1,0,1,1))+1),$O1541:$O1560),3),"")</f>
        <v/>
      </c>
      <c r="AEI1541" s="42" t="str">
        <f t="array" aca="1" ref="AEI1541" ca="1">IFERROR(INDEX(nombres[],SMALL(IF(OFFSET(nombres[],0,0,ROWS(nombres[]),1)=AEI$1490,ROW(OFFSET(nombres[],0,0,ROWS(nombres[]),1))-ROW(OFFSET(nombres[],0,0,1,1))+1,ROW(OFFSET(nombres[],ROWS(nombres[])-1,0,1,1))+1),$O1541:$O1560),3),"")</f>
        <v/>
      </c>
      <c r="AEJ1541" s="42" t="str">
        <f t="array" aca="1" ref="AEJ1541" ca="1">IFERROR(INDEX(nombres[],SMALL(IF(OFFSET(nombres[],0,0,ROWS(nombres[]),1)=AEJ$1490,ROW(OFFSET(nombres[],0,0,ROWS(nombres[]),1))-ROW(OFFSET(nombres[],0,0,1,1))+1,ROW(OFFSET(nombres[],ROWS(nombres[])-1,0,1,1))+1),$O1541:$O1560),3),"")</f>
        <v/>
      </c>
      <c r="AEK1541" s="42" t="str">
        <f t="array" aca="1" ref="AEK1541" ca="1">IFERROR(INDEX(nombres[],SMALL(IF(OFFSET(nombres[],0,0,ROWS(nombres[]),1)=AEK$1490,ROW(OFFSET(nombres[],0,0,ROWS(nombres[]),1))-ROW(OFFSET(nombres[],0,0,1,1))+1,ROW(OFFSET(nombres[],ROWS(nombres[])-1,0,1,1))+1),$O1541:$O1560),3),"")</f>
        <v/>
      </c>
      <c r="AEL1541" s="42" t="str">
        <f t="array" aca="1" ref="AEL1541" ca="1">IFERROR(INDEX(nombres[],SMALL(IF(OFFSET(nombres[],0,0,ROWS(nombres[]),1)=AEL$1490,ROW(OFFSET(nombres[],0,0,ROWS(nombres[]),1))-ROW(OFFSET(nombres[],0,0,1,1))+1,ROW(OFFSET(nombres[],ROWS(nombres[])-1,0,1,1))+1),$O1541:$O1560),3),"")</f>
        <v/>
      </c>
      <c r="AEM1541" s="42" t="str">
        <f t="array" aca="1" ref="AEM1541" ca="1">IFERROR(INDEX(nombres[],SMALL(IF(OFFSET(nombres[],0,0,ROWS(nombres[]),1)=AEM$1490,ROW(OFFSET(nombres[],0,0,ROWS(nombres[]),1))-ROW(OFFSET(nombres[],0,0,1,1))+1,ROW(OFFSET(nombres[],ROWS(nombres[])-1,0,1,1))+1),$O1541:$O1560),3),"")</f>
        <v/>
      </c>
      <c r="AEN1541" s="42" t="str">
        <f t="array" aca="1" ref="AEN1541" ca="1">IFERROR(INDEX(nombres[],SMALL(IF(OFFSET(nombres[],0,0,ROWS(nombres[]),1)=AEN$1490,ROW(OFFSET(nombres[],0,0,ROWS(nombres[]),1))-ROW(OFFSET(nombres[],0,0,1,1))+1,ROW(OFFSET(nombres[],ROWS(nombres[])-1,0,1,1))+1),$O1541:$O1560),3),"")</f>
        <v/>
      </c>
      <c r="AEO1541" s="42" t="str">
        <f t="array" aca="1" ref="AEO1541" ca="1">IFERROR(INDEX(nombres[],SMALL(IF(OFFSET(nombres[],0,0,ROWS(nombres[]),1)=AEO$1490,ROW(OFFSET(nombres[],0,0,ROWS(nombres[]),1))-ROW(OFFSET(nombres[],0,0,1,1))+1,ROW(OFFSET(nombres[],ROWS(nombres[])-1,0,1,1))+1),$O1541:$O1560),3),"")</f>
        <v/>
      </c>
      <c r="AEP1541" s="42" t="str">
        <f t="array" aca="1" ref="AEP1541" ca="1">IFERROR(INDEX(nombres[],SMALL(IF(OFFSET(nombres[],0,0,ROWS(nombres[]),1)=AEP$1490,ROW(OFFSET(nombres[],0,0,ROWS(nombres[]),1))-ROW(OFFSET(nombres[],0,0,1,1))+1,ROW(OFFSET(nombres[],ROWS(nombres[])-1,0,1,1))+1),$O1541:$O1560),3),"")</f>
        <v/>
      </c>
      <c r="AEQ1541" s="42" t="str">
        <f t="array" aca="1" ref="AEQ1541" ca="1">IFERROR(INDEX(nombres[],SMALL(IF(OFFSET(nombres[],0,0,ROWS(nombres[]),1)=AEQ$1490,ROW(OFFSET(nombres[],0,0,ROWS(nombres[]),1))-ROW(OFFSET(nombres[],0,0,1,1))+1,ROW(OFFSET(nombres[],ROWS(nombres[])-1,0,1,1))+1),$O1541:$O1560),3),"")</f>
        <v/>
      </c>
      <c r="AER1541" s="42" t="str">
        <f t="array" aca="1" ref="AER1541" ca="1">IFERROR(INDEX(nombres[],SMALL(IF(OFFSET(nombres[],0,0,ROWS(nombres[]),1)=AER$1490,ROW(OFFSET(nombres[],0,0,ROWS(nombres[]),1))-ROW(OFFSET(nombres[],0,0,1,1))+1,ROW(OFFSET(nombres[],ROWS(nombres[])-1,0,1,1))+1),$O1541:$O1560),3),"")</f>
        <v/>
      </c>
      <c r="AES1541" s="42" t="str">
        <f t="array" aca="1" ref="AES1541" ca="1">IFERROR(INDEX(nombres[],SMALL(IF(OFFSET(nombres[],0,0,ROWS(nombres[]),1)=AES$1490,ROW(OFFSET(nombres[],0,0,ROWS(nombres[]),1))-ROW(OFFSET(nombres[],0,0,1,1))+1,ROW(OFFSET(nombres[],ROWS(nombres[])-1,0,1,1))+1),$O1541:$O1560),3),"")</f>
        <v/>
      </c>
      <c r="AET1541" s="42" t="str">
        <f t="array" aca="1" ref="AET1541" ca="1">IFERROR(INDEX(nombres[],SMALL(IF(OFFSET(nombres[],0,0,ROWS(nombres[]),1)=AET$1490,ROW(OFFSET(nombres[],0,0,ROWS(nombres[]),1))-ROW(OFFSET(nombres[],0,0,1,1))+1,ROW(OFFSET(nombres[],ROWS(nombres[])-1,0,1,1))+1),$O1541:$O1560),3),"")</f>
        <v/>
      </c>
      <c r="AEU1541" s="42" t="str">
        <f t="array" aca="1" ref="AEU1541" ca="1">IFERROR(INDEX(nombres[],SMALL(IF(OFFSET(nombres[],0,0,ROWS(nombres[]),1)=AEU$1490,ROW(OFFSET(nombres[],0,0,ROWS(nombres[]),1))-ROW(OFFSET(nombres[],0,0,1,1))+1,ROW(OFFSET(nombres[],ROWS(nombres[])-1,0,1,1))+1),$O1541:$O1560),3),"")</f>
        <v/>
      </c>
      <c r="AEV1541" s="42" t="str">
        <f t="array" aca="1" ref="AEV1541" ca="1">IFERROR(INDEX(nombres[],SMALL(IF(OFFSET(nombres[],0,0,ROWS(nombres[]),1)=AEV$1490,ROW(OFFSET(nombres[],0,0,ROWS(nombres[]),1))-ROW(OFFSET(nombres[],0,0,1,1))+1,ROW(OFFSET(nombres[],ROWS(nombres[])-1,0,1,1))+1),$O1541:$O1560),3),"")</f>
        <v/>
      </c>
      <c r="AEW1541" s="42" t="str">
        <f t="array" aca="1" ref="AEW1541" ca="1">IFERROR(INDEX(nombres[],SMALL(IF(OFFSET(nombres[],0,0,ROWS(nombres[]),1)=AEW$1490,ROW(OFFSET(nombres[],0,0,ROWS(nombres[]),1))-ROW(OFFSET(nombres[],0,0,1,1))+1,ROW(OFFSET(nombres[],ROWS(nombres[])-1,0,1,1))+1),$O1541:$O1560),3),"")</f>
        <v/>
      </c>
      <c r="AEX1541" s="42" t="str">
        <f t="array" aca="1" ref="AEX1541" ca="1">IFERROR(INDEX(nombres[],SMALL(IF(OFFSET(nombres[],0,0,ROWS(nombres[]),1)=AEX$1490,ROW(OFFSET(nombres[],0,0,ROWS(nombres[]),1))-ROW(OFFSET(nombres[],0,0,1,1))+1,ROW(OFFSET(nombres[],ROWS(nombres[])-1,0,1,1))+1),$O1541:$O1560),3),"")</f>
        <v/>
      </c>
      <c r="AEY1541" s="42" t="str">
        <f t="array" aca="1" ref="AEY1541" ca="1">IFERROR(INDEX(nombres[],SMALL(IF(OFFSET(nombres[],0,0,ROWS(nombres[]),1)=AEY$1490,ROW(OFFSET(nombres[],0,0,ROWS(nombres[]),1))-ROW(OFFSET(nombres[],0,0,1,1))+1,ROW(OFFSET(nombres[],ROWS(nombres[])-1,0,1,1))+1),$O1541:$O1560),3),"")</f>
        <v/>
      </c>
      <c r="AEZ1541" s="42" t="str">
        <f t="array" aca="1" ref="AEZ1541" ca="1">IFERROR(INDEX(nombres[],SMALL(IF(OFFSET(nombres[],0,0,ROWS(nombres[]),1)=AEZ$1490,ROW(OFFSET(nombres[],0,0,ROWS(nombres[]),1))-ROW(OFFSET(nombres[],0,0,1,1))+1,ROW(OFFSET(nombres[],ROWS(nombres[])-1,0,1,1))+1),$O1541:$O1560),3),"")</f>
        <v/>
      </c>
      <c r="AFA1541" s="42" t="str">
        <f t="array" aca="1" ref="AFA1541" ca="1">IFERROR(INDEX(nombres[],SMALL(IF(OFFSET(nombres[],0,0,ROWS(nombres[]),1)=AFA$1490,ROW(OFFSET(nombres[],0,0,ROWS(nombres[]),1))-ROW(OFFSET(nombres[],0,0,1,1))+1,ROW(OFFSET(nombres[],ROWS(nombres[])-1,0,1,1))+1),$O1541:$O1560),3),"")</f>
        <v/>
      </c>
      <c r="AFB1541" s="42" t="str">
        <f t="array" aca="1" ref="AFB1541" ca="1">IFERROR(INDEX(nombres[],SMALL(IF(OFFSET(nombres[],0,0,ROWS(nombres[]),1)=AFB$1490,ROW(OFFSET(nombres[],0,0,ROWS(nombres[]),1))-ROW(OFFSET(nombres[],0,0,1,1))+1,ROW(OFFSET(nombres[],ROWS(nombres[])-1,0,1,1))+1),$O1541:$O1560),3),"")</f>
        <v/>
      </c>
      <c r="AFC1541" s="42" t="str">
        <f t="array" aca="1" ref="AFC1541" ca="1">IFERROR(INDEX(nombres[],SMALL(IF(OFFSET(nombres[],0,0,ROWS(nombres[]),1)=AFC$1490,ROW(OFFSET(nombres[],0,0,ROWS(nombres[]),1))-ROW(OFFSET(nombres[],0,0,1,1))+1,ROW(OFFSET(nombres[],ROWS(nombres[])-1,0,1,1))+1),$O1541:$O1560),3),"")</f>
        <v/>
      </c>
      <c r="AFD1541" s="42" t="str">
        <f t="array" aca="1" ref="AFD1541" ca="1">IFERROR(INDEX(nombres[],SMALL(IF(OFFSET(nombres[],0,0,ROWS(nombres[]),1)=AFD$1490,ROW(OFFSET(nombres[],0,0,ROWS(nombres[]),1))-ROW(OFFSET(nombres[],0,0,1,1))+1,ROW(OFFSET(nombres[],ROWS(nombres[])-1,0,1,1))+1),$O1541:$O1560),3),"")</f>
        <v/>
      </c>
      <c r="AFE1541" s="42" t="str">
        <f t="array" aca="1" ref="AFE1541" ca="1">IFERROR(INDEX(nombres[],SMALL(IF(OFFSET(nombres[],0,0,ROWS(nombres[]),1)=AFE$1490,ROW(OFFSET(nombres[],0,0,ROWS(nombres[]),1))-ROW(OFFSET(nombres[],0,0,1,1))+1,ROW(OFFSET(nombres[],ROWS(nombres[])-1,0,1,1))+1),$O1541:$O1560),3),"")</f>
        <v/>
      </c>
      <c r="AFF1541" s="42" t="str">
        <f t="array" aca="1" ref="AFF1541" ca="1">IFERROR(INDEX(nombres[],SMALL(IF(OFFSET(nombres[],0,0,ROWS(nombres[]),1)=AFF$1490,ROW(OFFSET(nombres[],0,0,ROWS(nombres[]),1))-ROW(OFFSET(nombres[],0,0,1,1))+1,ROW(OFFSET(nombres[],ROWS(nombres[])-1,0,1,1))+1),$O1541:$O1560),3),"")</f>
        <v/>
      </c>
      <c r="AFG1541" s="42" t="str">
        <f t="array" aca="1" ref="AFG1541" ca="1">IFERROR(INDEX(nombres[],SMALL(IF(OFFSET(nombres[],0,0,ROWS(nombres[]),1)=AFG$1490,ROW(OFFSET(nombres[],0,0,ROWS(nombres[]),1))-ROW(OFFSET(nombres[],0,0,1,1))+1,ROW(OFFSET(nombres[],ROWS(nombres[])-1,0,1,1))+1),$O1541:$O1560),3),"")</f>
        <v/>
      </c>
      <c r="AFH1541" s="42" t="str">
        <f t="array" aca="1" ref="AFH1541" ca="1">IFERROR(INDEX(nombres[],SMALL(IF(OFFSET(nombres[],0,0,ROWS(nombres[]),1)=AFH$1490,ROW(OFFSET(nombres[],0,0,ROWS(nombres[]),1))-ROW(OFFSET(nombres[],0,0,1,1))+1,ROW(OFFSET(nombres[],ROWS(nombres[])-1,0,1,1))+1),$O1541:$O1560),3),"")</f>
        <v/>
      </c>
      <c r="AFI1541" s="42" t="str">
        <f t="array" aca="1" ref="AFI1541" ca="1">IFERROR(INDEX(nombres[],SMALL(IF(OFFSET(nombres[],0,0,ROWS(nombres[]),1)=AFI$1490,ROW(OFFSET(nombres[],0,0,ROWS(nombres[]),1))-ROW(OFFSET(nombres[],0,0,1,1))+1,ROW(OFFSET(nombres[],ROWS(nombres[])-1,0,1,1))+1),$O1541:$O1560),3),"")</f>
        <v/>
      </c>
      <c r="AFJ1541" s="42" t="str">
        <f t="array" aca="1" ref="AFJ1541" ca="1">IFERROR(INDEX(nombres[],SMALL(IF(OFFSET(nombres[],0,0,ROWS(nombres[]),1)=AFJ$1490,ROW(OFFSET(nombres[],0,0,ROWS(nombres[]),1))-ROW(OFFSET(nombres[],0,0,1,1))+1,ROW(OFFSET(nombres[],ROWS(nombres[])-1,0,1,1))+1),$O1541:$O1560),3),"")</f>
        <v/>
      </c>
      <c r="AFK1541" s="42" t="str">
        <f t="array" aca="1" ref="AFK1541" ca="1">IFERROR(INDEX(nombres[],SMALL(IF(OFFSET(nombres[],0,0,ROWS(nombres[]),1)=AFK$1490,ROW(OFFSET(nombres[],0,0,ROWS(nombres[]),1))-ROW(OFFSET(nombres[],0,0,1,1))+1,ROW(OFFSET(nombres[],ROWS(nombres[])-1,0,1,1))+1),$O1541:$O1560),3),"")</f>
        <v/>
      </c>
      <c r="AFL1541" s="42" t="str">
        <f t="array" aca="1" ref="AFL1541" ca="1">IFERROR(INDEX(nombres[],SMALL(IF(OFFSET(nombres[],0,0,ROWS(nombres[]),1)=AFL$1490,ROW(OFFSET(nombres[],0,0,ROWS(nombres[]),1))-ROW(OFFSET(nombres[],0,0,1,1))+1,ROW(OFFSET(nombres[],ROWS(nombres[])-1,0,1,1))+1),$O1541:$O1560),3),"")</f>
        <v/>
      </c>
      <c r="AFM1541" s="42" t="str">
        <f t="array" aca="1" ref="AFM1541" ca="1">IFERROR(INDEX(nombres[],SMALL(IF(OFFSET(nombres[],0,0,ROWS(nombres[]),1)=AFM$1490,ROW(OFFSET(nombres[],0,0,ROWS(nombres[]),1))-ROW(OFFSET(nombres[],0,0,1,1))+1,ROW(OFFSET(nombres[],ROWS(nombres[])-1,0,1,1))+1),$O1541:$O1560),3),"")</f>
        <v/>
      </c>
      <c r="AFN1541" s="42" t="str">
        <f t="array" aca="1" ref="AFN1541" ca="1">IFERROR(INDEX(nombres[],SMALL(IF(OFFSET(nombres[],0,0,ROWS(nombres[]),1)=AFN$1490,ROW(OFFSET(nombres[],0,0,ROWS(nombres[]),1))-ROW(OFFSET(nombres[],0,0,1,1))+1,ROW(OFFSET(nombres[],ROWS(nombres[])-1,0,1,1))+1),$O1541:$O1560),3),"")</f>
        <v/>
      </c>
      <c r="AFO1541" s="42" t="str">
        <f t="array" aca="1" ref="AFO1541" ca="1">IFERROR(INDEX(nombres[],SMALL(IF(OFFSET(nombres[],0,0,ROWS(nombres[]),1)=AFO$1490,ROW(OFFSET(nombres[],0,0,ROWS(nombres[]),1))-ROW(OFFSET(nombres[],0,0,1,1))+1,ROW(OFFSET(nombres[],ROWS(nombres[])-1,0,1,1))+1),$O1541:$O1560),3),"")</f>
        <v/>
      </c>
      <c r="AFP1541" s="42" t="str">
        <f t="array" aca="1" ref="AFP1541" ca="1">IFERROR(INDEX(nombres[],SMALL(IF(OFFSET(nombres[],0,0,ROWS(nombres[]),1)=AFP$1490,ROW(OFFSET(nombres[],0,0,ROWS(nombres[]),1))-ROW(OFFSET(nombres[],0,0,1,1))+1,ROW(OFFSET(nombres[],ROWS(nombres[])-1,0,1,1))+1),$O1541:$O1560),3),"")</f>
        <v/>
      </c>
      <c r="AFQ1541" s="42" t="str">
        <f t="array" aca="1" ref="AFQ1541" ca="1">IFERROR(INDEX(nombres[],SMALL(IF(OFFSET(nombres[],0,0,ROWS(nombres[]),1)=AFQ$1490,ROW(OFFSET(nombres[],0,0,ROWS(nombres[]),1))-ROW(OFFSET(nombres[],0,0,1,1))+1,ROW(OFFSET(nombres[],ROWS(nombres[])-1,0,1,1))+1),$O1541:$O1560),3),"")</f>
        <v/>
      </c>
      <c r="AFR1541" s="42" t="str">
        <f t="array" aca="1" ref="AFR1541" ca="1">IFERROR(INDEX(nombres[],SMALL(IF(OFFSET(nombres[],0,0,ROWS(nombres[]),1)=AFR$1490,ROW(OFFSET(nombres[],0,0,ROWS(nombres[]),1))-ROW(OFFSET(nombres[],0,0,1,1))+1,ROW(OFFSET(nombres[],ROWS(nombres[])-1,0,1,1))+1),$O1541:$O1560),3),"")</f>
        <v/>
      </c>
      <c r="AFS1541" s="42" t="str">
        <f t="array" aca="1" ref="AFS1541" ca="1">IFERROR(INDEX(nombres[],SMALL(IF(OFFSET(nombres[],0,0,ROWS(nombres[]),1)=AFS$1490,ROW(OFFSET(nombres[],0,0,ROWS(nombres[]),1))-ROW(OFFSET(nombres[],0,0,1,1))+1,ROW(OFFSET(nombres[],ROWS(nombres[])-1,0,1,1))+1),$O1541:$O1560),3),"")</f>
        <v/>
      </c>
      <c r="AFT1541" s="42" t="str">
        <f t="array" aca="1" ref="AFT1541" ca="1">IFERROR(INDEX(nombres[],SMALL(IF(OFFSET(nombres[],0,0,ROWS(nombres[]),1)=AFT$1490,ROW(OFFSET(nombres[],0,0,ROWS(nombres[]),1))-ROW(OFFSET(nombres[],0,0,1,1))+1,ROW(OFFSET(nombres[],ROWS(nombres[])-1,0,1,1))+1),$O1541:$O1560),3),"")</f>
        <v/>
      </c>
      <c r="AFU1541" s="42" t="str">
        <f t="array" aca="1" ref="AFU1541" ca="1">IFERROR(INDEX(nombres[],SMALL(IF(OFFSET(nombres[],0,0,ROWS(nombres[]),1)=AFU$1490,ROW(OFFSET(nombres[],0,0,ROWS(nombres[]),1))-ROW(OFFSET(nombres[],0,0,1,1))+1,ROW(OFFSET(nombres[],ROWS(nombres[])-1,0,1,1))+1),$O1541:$O1560),3),"")</f>
        <v/>
      </c>
      <c r="AFV1541" s="42" t="str">
        <f t="array" aca="1" ref="AFV1541" ca="1">IFERROR(INDEX(nombres[],SMALL(IF(OFFSET(nombres[],0,0,ROWS(nombres[]),1)=AFV$1490,ROW(OFFSET(nombres[],0,0,ROWS(nombres[]),1))-ROW(OFFSET(nombres[],0,0,1,1))+1,ROW(OFFSET(nombres[],ROWS(nombres[])-1,0,1,1))+1),$O1541:$O1560),3),"")</f>
        <v/>
      </c>
      <c r="AFW1541" s="42" t="str">
        <f t="array" aca="1" ref="AFW1541" ca="1">IFERROR(INDEX(nombres[],SMALL(IF(OFFSET(nombres[],0,0,ROWS(nombres[]),1)=AFW$1490,ROW(OFFSET(nombres[],0,0,ROWS(nombres[]),1))-ROW(OFFSET(nombres[],0,0,1,1))+1,ROW(OFFSET(nombres[],ROWS(nombres[])-1,0,1,1))+1),$O1541:$O1560),3),"")</f>
        <v/>
      </c>
      <c r="AFX1541" s="42" t="str">
        <f t="array" aca="1" ref="AFX1541" ca="1">IFERROR(INDEX(nombres[],SMALL(IF(OFFSET(nombres[],0,0,ROWS(nombres[]),1)=AFX$1490,ROW(OFFSET(nombres[],0,0,ROWS(nombres[]),1))-ROW(OFFSET(nombres[],0,0,1,1))+1,ROW(OFFSET(nombres[],ROWS(nombres[])-1,0,1,1))+1),$O1541:$O1560),3),"")</f>
        <v/>
      </c>
      <c r="AFY1541" s="42" t="str">
        <f t="array" aca="1" ref="AFY1541" ca="1">IFERROR(INDEX(nombres[],SMALL(IF(OFFSET(nombres[],0,0,ROWS(nombres[]),1)=AFY$1490,ROW(OFFSET(nombres[],0,0,ROWS(nombres[]),1))-ROW(OFFSET(nombres[],0,0,1,1))+1,ROW(OFFSET(nombres[],ROWS(nombres[])-1,0,1,1))+1),$O1541:$O1560),3),"")</f>
        <v/>
      </c>
      <c r="AFZ1541" s="42" t="str">
        <f t="array" aca="1" ref="AFZ1541" ca="1">IFERROR(INDEX(nombres[],SMALL(IF(OFFSET(nombres[],0,0,ROWS(nombres[]),1)=AFZ$1490,ROW(OFFSET(nombres[],0,0,ROWS(nombres[]),1))-ROW(OFFSET(nombres[],0,0,1,1))+1,ROW(OFFSET(nombres[],ROWS(nombres[])-1,0,1,1))+1),$O1541:$O1560),3),"")</f>
        <v/>
      </c>
      <c r="AGA1541" s="42" t="str">
        <f t="array" aca="1" ref="AGA1541" ca="1">IFERROR(INDEX(nombres[],SMALL(IF(OFFSET(nombres[],0,0,ROWS(nombres[]),1)=AGA$1490,ROW(OFFSET(nombres[],0,0,ROWS(nombres[]),1))-ROW(OFFSET(nombres[],0,0,1,1))+1,ROW(OFFSET(nombres[],ROWS(nombres[])-1,0,1,1))+1),$O1541:$O1560),3),"")</f>
        <v/>
      </c>
      <c r="AGB1541" s="42" t="str">
        <f t="array" aca="1" ref="AGB1541" ca="1">IFERROR(INDEX(nombres[],SMALL(IF(OFFSET(nombres[],0,0,ROWS(nombres[]),1)=AGB$1490,ROW(OFFSET(nombres[],0,0,ROWS(nombres[]),1))-ROW(OFFSET(nombres[],0,0,1,1))+1,ROW(OFFSET(nombres[],ROWS(nombres[])-1,0,1,1))+1),$O1541:$O1560),3),"")</f>
        <v/>
      </c>
      <c r="AGC1541" s="42" t="str">
        <f t="array" aca="1" ref="AGC1541" ca="1">IFERROR(INDEX(nombres[],SMALL(IF(OFFSET(nombres[],0,0,ROWS(nombres[]),1)=AGC$1490,ROW(OFFSET(nombres[],0,0,ROWS(nombres[]),1))-ROW(OFFSET(nombres[],0,0,1,1))+1,ROW(OFFSET(nombres[],ROWS(nombres[])-1,0,1,1))+1),$O1541:$O1560),3),"")</f>
        <v/>
      </c>
      <c r="AGD1541" s="42" t="str">
        <f t="array" aca="1" ref="AGD1541" ca="1">IFERROR(INDEX(nombres[],SMALL(IF(OFFSET(nombres[],0,0,ROWS(nombres[]),1)=AGD$1490,ROW(OFFSET(nombres[],0,0,ROWS(nombres[]),1))-ROW(OFFSET(nombres[],0,0,1,1))+1,ROW(OFFSET(nombres[],ROWS(nombres[])-1,0,1,1))+1),$O1541:$O1560),3),"")</f>
        <v/>
      </c>
      <c r="AGE1541" s="42" t="str">
        <f t="array" aca="1" ref="AGE1541" ca="1">IFERROR(INDEX(nombres[],SMALL(IF(OFFSET(nombres[],0,0,ROWS(nombres[]),1)=AGE$1490,ROW(OFFSET(nombres[],0,0,ROWS(nombres[]),1))-ROW(OFFSET(nombres[],0,0,1,1))+1,ROW(OFFSET(nombres[],ROWS(nombres[])-1,0,1,1))+1),$O1541:$O1560),3),"")</f>
        <v/>
      </c>
      <c r="AGF1541" s="42" t="str">
        <f t="array" aca="1" ref="AGF1541" ca="1">IFERROR(INDEX(nombres[],SMALL(IF(OFFSET(nombres[],0,0,ROWS(nombres[]),1)=AGF$1490,ROW(OFFSET(nombres[],0,0,ROWS(nombres[]),1))-ROW(OFFSET(nombres[],0,0,1,1))+1,ROW(OFFSET(nombres[],ROWS(nombres[])-1,0,1,1))+1),$O1541:$O1560),3),"")</f>
        <v/>
      </c>
      <c r="AGG1541" s="42" t="str">
        <f t="array" aca="1" ref="AGG1541" ca="1">IFERROR(INDEX(nombres[],SMALL(IF(OFFSET(nombres[],0,0,ROWS(nombres[]),1)=AGG$1490,ROW(OFFSET(nombres[],0,0,ROWS(nombres[]),1))-ROW(OFFSET(nombres[],0,0,1,1))+1,ROW(OFFSET(nombres[],ROWS(nombres[])-1,0,1,1))+1),$O1541:$O1560),3),"")</f>
        <v/>
      </c>
      <c r="AGH1541" s="42" t="str">
        <f t="array" aca="1" ref="AGH1541" ca="1">IFERROR(INDEX(nombres[],SMALL(IF(OFFSET(nombres[],0,0,ROWS(nombres[]),1)=AGH$1490,ROW(OFFSET(nombres[],0,0,ROWS(nombres[]),1))-ROW(OFFSET(nombres[],0,0,1,1))+1,ROW(OFFSET(nombres[],ROWS(nombres[])-1,0,1,1))+1),$O1541:$O1560),3),"")</f>
        <v/>
      </c>
      <c r="AGI1541" s="42" t="str">
        <f t="array" aca="1" ref="AGI1541" ca="1">IFERROR(INDEX(nombres[],SMALL(IF(OFFSET(nombres[],0,0,ROWS(nombres[]),1)=AGI$1490,ROW(OFFSET(nombres[],0,0,ROWS(nombres[]),1))-ROW(OFFSET(nombres[],0,0,1,1))+1,ROW(OFFSET(nombres[],ROWS(nombres[])-1,0,1,1))+1),$O1541:$O1560),3),"")</f>
        <v/>
      </c>
      <c r="AGJ1541" s="42" t="str">
        <f t="array" aca="1" ref="AGJ1541" ca="1">IFERROR(INDEX(nombres[],SMALL(IF(OFFSET(nombres[],0,0,ROWS(nombres[]),1)=AGJ$1490,ROW(OFFSET(nombres[],0,0,ROWS(nombres[]),1))-ROW(OFFSET(nombres[],0,0,1,1))+1,ROW(OFFSET(nombres[],ROWS(nombres[])-1,0,1,1))+1),$O1541:$O1560),3),"")</f>
        <v/>
      </c>
      <c r="AGK1541" s="42" t="str">
        <f t="array" aca="1" ref="AGK1541" ca="1">IFERROR(INDEX(nombres[],SMALL(IF(OFFSET(nombres[],0,0,ROWS(nombres[]),1)=AGK$1490,ROW(OFFSET(nombres[],0,0,ROWS(nombres[]),1))-ROW(OFFSET(nombres[],0,0,1,1))+1,ROW(OFFSET(nombres[],ROWS(nombres[])-1,0,1,1))+1),$O1541:$O1560),3),"")</f>
        <v/>
      </c>
      <c r="AGL1541" s="42" t="str">
        <f t="array" aca="1" ref="AGL1541" ca="1">IFERROR(INDEX(nombres[],SMALL(IF(OFFSET(nombres[],0,0,ROWS(nombres[]),1)=AGL$1490,ROW(OFFSET(nombres[],0,0,ROWS(nombres[]),1))-ROW(OFFSET(nombres[],0,0,1,1))+1,ROW(OFFSET(nombres[],ROWS(nombres[])-1,0,1,1))+1),$O1541:$O1560),3),"")</f>
        <v/>
      </c>
      <c r="AGM1541" s="42" t="str">
        <f t="array" aca="1" ref="AGM1541" ca="1">IFERROR(INDEX(nombres[],SMALL(IF(OFFSET(nombres[],0,0,ROWS(nombres[]),1)=AGM$1490,ROW(OFFSET(nombres[],0,0,ROWS(nombres[]),1))-ROW(OFFSET(nombres[],0,0,1,1))+1,ROW(OFFSET(nombres[],ROWS(nombres[])-1,0,1,1))+1),$O1541:$O1560),3),"")</f>
        <v/>
      </c>
      <c r="AGN1541" s="42" t="str">
        <f t="array" aca="1" ref="AGN1541" ca="1">IFERROR(INDEX(nombres[],SMALL(IF(OFFSET(nombres[],0,0,ROWS(nombres[]),1)=AGN$1490,ROW(OFFSET(nombres[],0,0,ROWS(nombres[]),1))-ROW(OFFSET(nombres[],0,0,1,1))+1,ROW(OFFSET(nombres[],ROWS(nombres[])-1,0,1,1))+1),$O1541:$O1560),3),"")</f>
        <v/>
      </c>
    </row>
    <row r="1542" spans="15:872" x14ac:dyDescent="0.25">
      <c r="O1542" s="42">
        <v>6</v>
      </c>
      <c r="P1542" s="42" t="str">
        <f t="array" aca="1" ref="P1542" ca="1">IFERROR(INDEX(nombres[],SMALL(IF(OFFSET(nombres[],0,0,ROWS(nombres[]),1)=P$1490,ROW(OFFSET(nombres[],0,0,ROWS(nombres[]),1))-ROW(OFFSET(nombres[],0,0,1,1))+1,ROW(OFFSET(nombres[],ROWS(nombres[])-1,0,1,1))+1),$O1542:$O1561),3),"")</f>
        <v/>
      </c>
      <c r="Q1542" s="42" t="str">
        <f t="array" aca="1" ref="Q1542" ca="1">IFERROR(INDEX(nombres[],SMALL(IF(OFFSET(nombres[],0,0,ROWS(nombres[]),1)=Q$1490,ROW(OFFSET(nombres[],0,0,ROWS(nombres[]),1))-ROW(OFFSET(nombres[],0,0,1,1))+1,ROW(OFFSET(nombres[],ROWS(nombres[])-1,0,1,1))+1),$O1542:$O1561),3),"")</f>
        <v/>
      </c>
      <c r="R1542" s="42" t="str">
        <f t="array" aca="1" ref="R1542" ca="1">IFERROR(INDEX(nombres[],SMALL(IF(OFFSET(nombres[],0,0,ROWS(nombres[]),1)=R$1490,ROW(OFFSET(nombres[],0,0,ROWS(nombres[]),1))-ROW(OFFSET(nombres[],0,0,1,1))+1,ROW(OFFSET(nombres[],ROWS(nombres[])-1,0,1,1))+1),$O1542:$O1561),3),"")</f>
        <v/>
      </c>
      <c r="S1542" s="42" t="str">
        <f t="array" aca="1" ref="S1542" ca="1">IFERROR(INDEX(nombres[],SMALL(IF(OFFSET(nombres[],0,0,ROWS(nombres[]),1)=S$1490,ROW(OFFSET(nombres[],0,0,ROWS(nombres[]),1))-ROW(OFFSET(nombres[],0,0,1,1))+1,ROW(OFFSET(nombres[],ROWS(nombres[])-1,0,1,1))+1),$O1542:$O1561),3),"")</f>
        <v/>
      </c>
      <c r="T1542" s="42" t="str">
        <f t="array" aca="1" ref="T1542" ca="1">IFERROR(INDEX(nombres[],SMALL(IF(OFFSET(nombres[],0,0,ROWS(nombres[]),1)=T$1490,ROW(OFFSET(nombres[],0,0,ROWS(nombres[]),1))-ROW(OFFSET(nombres[],0,0,1,1))+1,ROW(OFFSET(nombres[],ROWS(nombres[])-1,0,1,1))+1),$O1542:$O1561),3),"")</f>
        <v/>
      </c>
      <c r="U1542" s="42" t="str">
        <f t="array" aca="1" ref="U1542" ca="1">IFERROR(INDEX(nombres[],SMALL(IF(OFFSET(nombres[],0,0,ROWS(nombres[]),1)=U$1490,ROW(OFFSET(nombres[],0,0,ROWS(nombres[]),1))-ROW(OFFSET(nombres[],0,0,1,1))+1,ROW(OFFSET(nombres[],ROWS(nombres[])-1,0,1,1))+1),$O1542:$O1561),3),"")</f>
        <v/>
      </c>
      <c r="V1542" s="42" t="str">
        <f t="array" aca="1" ref="V1542" ca="1">IFERROR(INDEX(nombres[],SMALL(IF(OFFSET(nombres[],0,0,ROWS(nombres[]),1)=V$1490,ROW(OFFSET(nombres[],0,0,ROWS(nombres[]),1))-ROW(OFFSET(nombres[],0,0,1,1))+1,ROW(OFFSET(nombres[],ROWS(nombres[])-1,0,1,1))+1),$O1542:$O1561),3),"")</f>
        <v/>
      </c>
      <c r="W1542" s="42" t="str">
        <f t="array" aca="1" ref="W1542" ca="1">IFERROR(INDEX(nombres[],SMALL(IF(OFFSET(nombres[],0,0,ROWS(nombres[]),1)=W$1490,ROW(OFFSET(nombres[],0,0,ROWS(nombres[]),1))-ROW(OFFSET(nombres[],0,0,1,1))+1,ROW(OFFSET(nombres[],ROWS(nombres[])-1,0,1,1))+1),$O1542:$O1561),3),"")</f>
        <v/>
      </c>
      <c r="X1542" s="42" t="str">
        <f t="array" aca="1" ref="X1542" ca="1">IFERROR(INDEX(nombres[],SMALL(IF(OFFSET(nombres[],0,0,ROWS(nombres[]),1)=X$1490,ROW(OFFSET(nombres[],0,0,ROWS(nombres[]),1))-ROW(OFFSET(nombres[],0,0,1,1))+1,ROW(OFFSET(nombres[],ROWS(nombres[])-1,0,1,1))+1),$O1542:$O1561),3),"")</f>
        <v/>
      </c>
      <c r="Y1542" s="42" t="str">
        <f t="array" aca="1" ref="Y1542" ca="1">IFERROR(INDEX(nombres[],SMALL(IF(OFFSET(nombres[],0,0,ROWS(nombres[]),1)=Y$1490,ROW(OFFSET(nombres[],0,0,ROWS(nombres[]),1))-ROW(OFFSET(nombres[],0,0,1,1))+1,ROW(OFFSET(nombres[],ROWS(nombres[])-1,0,1,1))+1),$O1542:$O1561),3),"")</f>
        <v/>
      </c>
      <c r="Z1542" s="42" t="str">
        <f t="array" aca="1" ref="Z1542" ca="1">IFERROR(INDEX(nombres[],SMALL(IF(OFFSET(nombres[],0,0,ROWS(nombres[]),1)=Z$1490,ROW(OFFSET(nombres[],0,0,ROWS(nombres[]),1))-ROW(OFFSET(nombres[],0,0,1,1))+1,ROW(OFFSET(nombres[],ROWS(nombres[])-1,0,1,1))+1),$O1542:$O1561),3),"")</f>
        <v/>
      </c>
      <c r="AA1542" s="42" t="str">
        <f t="array" aca="1" ref="AA1542" ca="1">IFERROR(INDEX(nombres[],SMALL(IF(OFFSET(nombres[],0,0,ROWS(nombres[]),1)=AA$1490,ROW(OFFSET(nombres[],0,0,ROWS(nombres[]),1))-ROW(OFFSET(nombres[],0,0,1,1))+1,ROW(OFFSET(nombres[],ROWS(nombres[])-1,0,1,1))+1),$O1542:$O1561),3),"")</f>
        <v/>
      </c>
      <c r="AB1542" s="42" t="str">
        <f t="array" aca="1" ref="AB1542" ca="1">IFERROR(INDEX(nombres[],SMALL(IF(OFFSET(nombres[],0,0,ROWS(nombres[]),1)=AB$1490,ROW(OFFSET(nombres[],0,0,ROWS(nombres[]),1))-ROW(OFFSET(nombres[],0,0,1,1))+1,ROW(OFFSET(nombres[],ROWS(nombres[])-1,0,1,1))+1),$O1542:$O1561),3),"")</f>
        <v/>
      </c>
      <c r="AC1542" s="42" t="str">
        <f t="array" aca="1" ref="AC1542" ca="1">IFERROR(INDEX(nombres[],SMALL(IF(OFFSET(nombres[],0,0,ROWS(nombres[]),1)=AC$1490,ROW(OFFSET(nombres[],0,0,ROWS(nombres[]),1))-ROW(OFFSET(nombres[],0,0,1,1))+1,ROW(OFFSET(nombres[],ROWS(nombres[])-1,0,1,1))+1),$O1542:$O1561),3),"")</f>
        <v/>
      </c>
      <c r="AD1542" s="42" t="str">
        <f t="array" aca="1" ref="AD1542" ca="1">IFERROR(INDEX(nombres[],SMALL(IF(OFFSET(nombres[],0,0,ROWS(nombres[]),1)=AD$1490,ROW(OFFSET(nombres[],0,0,ROWS(nombres[]),1))-ROW(OFFSET(nombres[],0,0,1,1))+1,ROW(OFFSET(nombres[],ROWS(nombres[])-1,0,1,1))+1),$O1542:$O1561),3),"")</f>
        <v/>
      </c>
      <c r="AE1542" s="42" t="str">
        <f t="array" aca="1" ref="AE1542" ca="1">IFERROR(INDEX(nombres[],SMALL(IF(OFFSET(nombres[],0,0,ROWS(nombres[]),1)=AE$1490,ROW(OFFSET(nombres[],0,0,ROWS(nombres[]),1))-ROW(OFFSET(nombres[],0,0,1,1))+1,ROW(OFFSET(nombres[],ROWS(nombres[])-1,0,1,1))+1),$O1542:$O1561),3),"")</f>
        <v/>
      </c>
      <c r="AF1542" s="42" t="str">
        <f t="array" aca="1" ref="AF1542" ca="1">IFERROR(INDEX(nombres[],SMALL(IF(OFFSET(nombres[],0,0,ROWS(nombres[]),1)=AF$1490,ROW(OFFSET(nombres[],0,0,ROWS(nombres[]),1))-ROW(OFFSET(nombres[],0,0,1,1))+1,ROW(OFFSET(nombres[],ROWS(nombres[])-1,0,1,1))+1),$O1542:$O1561),3),"")</f>
        <v/>
      </c>
      <c r="AG1542" s="42" t="str">
        <f t="array" aca="1" ref="AG1542" ca="1">IFERROR(INDEX(nombres[],SMALL(IF(OFFSET(nombres[],0,0,ROWS(nombres[]),1)=AG$1490,ROW(OFFSET(nombres[],0,0,ROWS(nombres[]),1))-ROW(OFFSET(nombres[],0,0,1,1))+1,ROW(OFFSET(nombres[],ROWS(nombres[])-1,0,1,1))+1),$O1542:$O1561),3),"")</f>
        <v/>
      </c>
      <c r="AH1542" s="42" t="str">
        <f t="array" aca="1" ref="AH1542" ca="1">IFERROR(INDEX(nombres[],SMALL(IF(OFFSET(nombres[],0,0,ROWS(nombres[]),1)=AH$1490,ROW(OFFSET(nombres[],0,0,ROWS(nombres[]),1))-ROW(OFFSET(nombres[],0,0,1,1))+1,ROW(OFFSET(nombres[],ROWS(nombres[])-1,0,1,1))+1),$O1542:$O1561),3),"")</f>
        <v/>
      </c>
      <c r="AI1542" s="42" t="str">
        <f t="array" aca="1" ref="AI1542" ca="1">IFERROR(INDEX(nombres[],SMALL(IF(OFFSET(nombres[],0,0,ROWS(nombres[]),1)=AI$1490,ROW(OFFSET(nombres[],0,0,ROWS(nombres[]),1))-ROW(OFFSET(nombres[],0,0,1,1))+1,ROW(OFFSET(nombres[],ROWS(nombres[])-1,0,1,1))+1),$O1542:$O1561),3),"")</f>
        <v/>
      </c>
      <c r="AJ1542" s="42">
        <f t="array" aca="1" ref="AJ1542" ca="1">IFERROR(INDEX(nombres[],SMALL(IF(OFFSET(nombres[],0,0,ROWS(nombres[]),1)=AJ$1490,ROW(OFFSET(nombres[],0,0,ROWS(nombres[]),1))-ROW(OFFSET(nombres[],0,0,1,1))+1,ROW(OFFSET(nombres[],ROWS(nombres[])-1,0,1,1))+1),$O1542:$O1561),3),"")</f>
        <v>17</v>
      </c>
      <c r="AK1542" s="42" t="str">
        <f t="array" aca="1" ref="AK1542" ca="1">IFERROR(INDEX(nombres[],SMALL(IF(OFFSET(nombres[],0,0,ROWS(nombres[]),1)=AK$1490,ROW(OFFSET(nombres[],0,0,ROWS(nombres[]),1))-ROW(OFFSET(nombres[],0,0,1,1))+1,ROW(OFFSET(nombres[],ROWS(nombres[])-1,0,1,1))+1),$O1542:$O1561),3),"")</f>
        <v/>
      </c>
      <c r="AL1542" s="42" t="str">
        <f t="array" aca="1" ref="AL1542" ca="1">IFERROR(INDEX(nombres[],SMALL(IF(OFFSET(nombres[],0,0,ROWS(nombres[]),1)=AL$1490,ROW(OFFSET(nombres[],0,0,ROWS(nombres[]),1))-ROW(OFFSET(nombres[],0,0,1,1))+1,ROW(OFFSET(nombres[],ROWS(nombres[])-1,0,1,1))+1),$O1542:$O1561),3),"")</f>
        <v/>
      </c>
      <c r="AM1542" s="42" t="str">
        <f t="array" aca="1" ref="AM1542" ca="1">IFERROR(INDEX(nombres[],SMALL(IF(OFFSET(nombres[],0,0,ROWS(nombres[]),1)=AM$1490,ROW(OFFSET(nombres[],0,0,ROWS(nombres[]),1))-ROW(OFFSET(nombres[],0,0,1,1))+1,ROW(OFFSET(nombres[],ROWS(nombres[])-1,0,1,1))+1),$O1542:$O1561),3),"")</f>
        <v/>
      </c>
      <c r="AN1542" s="42" t="str">
        <f t="array" aca="1" ref="AN1542" ca="1">IFERROR(INDEX(nombres[],SMALL(IF(OFFSET(nombres[],0,0,ROWS(nombres[]),1)=AN$1490,ROW(OFFSET(nombres[],0,0,ROWS(nombres[]),1))-ROW(OFFSET(nombres[],0,0,1,1))+1,ROW(OFFSET(nombres[],ROWS(nombres[])-1,0,1,1))+1),$O1542:$O1561),3),"")</f>
        <v/>
      </c>
      <c r="AO1542" s="42" t="str">
        <f t="array" aca="1" ref="AO1542" ca="1">IFERROR(INDEX(nombres[],SMALL(IF(OFFSET(nombres[],0,0,ROWS(nombres[]),1)=AO$1490,ROW(OFFSET(nombres[],0,0,ROWS(nombres[]),1))-ROW(OFFSET(nombres[],0,0,1,1))+1,ROW(OFFSET(nombres[],ROWS(nombres[])-1,0,1,1))+1),$O1542:$O1561),3),"")</f>
        <v/>
      </c>
      <c r="AP1542" s="42" t="str">
        <f t="array" aca="1" ref="AP1542" ca="1">IFERROR(INDEX(nombres[],SMALL(IF(OFFSET(nombres[],0,0,ROWS(nombres[]),1)=AP$1490,ROW(OFFSET(nombres[],0,0,ROWS(nombres[]),1))-ROW(OFFSET(nombres[],0,0,1,1))+1,ROW(OFFSET(nombres[],ROWS(nombres[])-1,0,1,1))+1),$O1542:$O1561),3),"")</f>
        <v/>
      </c>
      <c r="AQ1542" s="42" t="str">
        <f t="array" aca="1" ref="AQ1542" ca="1">IFERROR(INDEX(nombres[],SMALL(IF(OFFSET(nombres[],0,0,ROWS(nombres[]),1)=AQ$1490,ROW(OFFSET(nombres[],0,0,ROWS(nombres[]),1))-ROW(OFFSET(nombres[],0,0,1,1))+1,ROW(OFFSET(nombres[],ROWS(nombres[])-1,0,1,1))+1),$O1542:$O1561),3),"")</f>
        <v/>
      </c>
      <c r="AR1542" s="42" t="str">
        <f t="array" aca="1" ref="AR1542" ca="1">IFERROR(INDEX(nombres[],SMALL(IF(OFFSET(nombres[],0,0,ROWS(nombres[]),1)=AR$1490,ROW(OFFSET(nombres[],0,0,ROWS(nombres[]),1))-ROW(OFFSET(nombres[],0,0,1,1))+1,ROW(OFFSET(nombres[],ROWS(nombres[])-1,0,1,1))+1),$O1542:$O1561),3),"")</f>
        <v/>
      </c>
      <c r="AS1542" s="42" t="str">
        <f t="array" aca="1" ref="AS1542" ca="1">IFERROR(INDEX(nombres[],SMALL(IF(OFFSET(nombres[],0,0,ROWS(nombres[]),1)=AS$1490,ROW(OFFSET(nombres[],0,0,ROWS(nombres[]),1))-ROW(OFFSET(nombres[],0,0,1,1))+1,ROW(OFFSET(nombres[],ROWS(nombres[])-1,0,1,1))+1),$O1542:$O1561),3),"")</f>
        <v/>
      </c>
      <c r="AT1542" s="42" t="str">
        <f t="array" aca="1" ref="AT1542" ca="1">IFERROR(INDEX(nombres[],SMALL(IF(OFFSET(nombres[],0,0,ROWS(nombres[]),1)=AT$1490,ROW(OFFSET(nombres[],0,0,ROWS(nombres[]),1))-ROW(OFFSET(nombres[],0,0,1,1))+1,ROW(OFFSET(nombres[],ROWS(nombres[])-1,0,1,1))+1),$O1542:$O1561),3),"")</f>
        <v/>
      </c>
      <c r="AU1542" s="42" t="str">
        <f t="array" aca="1" ref="AU1542" ca="1">IFERROR(INDEX(nombres[],SMALL(IF(OFFSET(nombres[],0,0,ROWS(nombres[]),1)=AU$1490,ROW(OFFSET(nombres[],0,0,ROWS(nombres[]),1))-ROW(OFFSET(nombres[],0,0,1,1))+1,ROW(OFFSET(nombres[],ROWS(nombres[])-1,0,1,1))+1),$O1542:$O1561),3),"")</f>
        <v/>
      </c>
      <c r="AV1542" s="42" t="str">
        <f t="array" aca="1" ref="AV1542" ca="1">IFERROR(INDEX(nombres[],SMALL(IF(OFFSET(nombres[],0,0,ROWS(nombres[]),1)=AV$1490,ROW(OFFSET(nombres[],0,0,ROWS(nombres[]),1))-ROW(OFFSET(nombres[],0,0,1,1))+1,ROW(OFFSET(nombres[],ROWS(nombres[])-1,0,1,1))+1),$O1542:$O1561),3),"")</f>
        <v/>
      </c>
      <c r="AW1542" s="42" t="str">
        <f t="array" aca="1" ref="AW1542" ca="1">IFERROR(INDEX(nombres[],SMALL(IF(OFFSET(nombres[],0,0,ROWS(nombres[]),1)=AW$1490,ROW(OFFSET(nombres[],0,0,ROWS(nombres[]),1))-ROW(OFFSET(nombres[],0,0,1,1))+1,ROW(OFFSET(nombres[],ROWS(nombres[])-1,0,1,1))+1),$O1542:$O1561),3),"")</f>
        <v/>
      </c>
      <c r="AX1542" s="42" t="str">
        <f t="array" aca="1" ref="AX1542" ca="1">IFERROR(INDEX(nombres[],SMALL(IF(OFFSET(nombres[],0,0,ROWS(nombres[]),1)=AX$1490,ROW(OFFSET(nombres[],0,0,ROWS(nombres[]),1))-ROW(OFFSET(nombres[],0,0,1,1))+1,ROW(OFFSET(nombres[],ROWS(nombres[])-1,0,1,1))+1),$O1542:$O1561),3),"")</f>
        <v/>
      </c>
      <c r="AY1542" s="42">
        <f t="array" aca="1" ref="AY1542" ca="1">IFERROR(INDEX(nombres[],SMALL(IF(OFFSET(nombres[],0,0,ROWS(nombres[]),1)=AY$1490,ROW(OFFSET(nombres[],0,0,ROWS(nombres[]),1))-ROW(OFFSET(nombres[],0,0,1,1))+1,ROW(OFFSET(nombres[],ROWS(nombres[])-1,0,1,1))+1),$O1542:$O1561),3),"")</f>
        <v>66</v>
      </c>
      <c r="AZ1542" s="42" t="str">
        <f t="array" aca="1" ref="AZ1542" ca="1">IFERROR(INDEX(nombres[],SMALL(IF(OFFSET(nombres[],0,0,ROWS(nombres[]),1)=AZ$1490,ROW(OFFSET(nombres[],0,0,ROWS(nombres[]),1))-ROW(OFFSET(nombres[],0,0,1,1))+1,ROW(OFFSET(nombres[],ROWS(nombres[])-1,0,1,1))+1),$O1542:$O1561),3),"")</f>
        <v/>
      </c>
      <c r="BA1542" s="42">
        <f t="array" aca="1" ref="BA1542" ca="1">IFERROR(INDEX(nombres[],SMALL(IF(OFFSET(nombres[],0,0,ROWS(nombres[]),1)=BA$1490,ROW(OFFSET(nombres[],0,0,ROWS(nombres[]),1))-ROW(OFFSET(nombres[],0,0,1,1))+1,ROW(OFFSET(nombres[],ROWS(nombres[])-1,0,1,1))+1),$O1542:$O1561),3),"")</f>
        <v>46</v>
      </c>
      <c r="BB1542" s="42" t="str">
        <f t="array" aca="1" ref="BB1542" ca="1">IFERROR(INDEX(nombres[],SMALL(IF(OFFSET(nombres[],0,0,ROWS(nombres[]),1)=BB$1490,ROW(OFFSET(nombres[],0,0,ROWS(nombres[]),1))-ROW(OFFSET(nombres[],0,0,1,1))+1,ROW(OFFSET(nombres[],ROWS(nombres[])-1,0,1,1))+1),$O1542:$O1561),3),"")</f>
        <v/>
      </c>
      <c r="BC1542" s="42" t="str">
        <f t="array" aca="1" ref="BC1542" ca="1">IFERROR(INDEX(nombres[],SMALL(IF(OFFSET(nombres[],0,0,ROWS(nombres[]),1)=BC$1490,ROW(OFFSET(nombres[],0,0,ROWS(nombres[]),1))-ROW(OFFSET(nombres[],0,0,1,1))+1,ROW(OFFSET(nombres[],ROWS(nombres[])-1,0,1,1))+1),$O1542:$O1561),3),"")</f>
        <v/>
      </c>
      <c r="BD1542" s="42" t="str">
        <f t="array" aca="1" ref="BD1542" ca="1">IFERROR(INDEX(nombres[],SMALL(IF(OFFSET(nombres[],0,0,ROWS(nombres[]),1)=BD$1490,ROW(OFFSET(nombres[],0,0,ROWS(nombres[]),1))-ROW(OFFSET(nombres[],0,0,1,1))+1,ROW(OFFSET(nombres[],ROWS(nombres[])-1,0,1,1))+1),$O1542:$O1561),3),"")</f>
        <v/>
      </c>
      <c r="BE1542" s="42" t="str">
        <f t="array" aca="1" ref="BE1542" ca="1">IFERROR(INDEX(nombres[],SMALL(IF(OFFSET(nombres[],0,0,ROWS(nombres[]),1)=BE$1490,ROW(OFFSET(nombres[],0,0,ROWS(nombres[]),1))-ROW(OFFSET(nombres[],0,0,1,1))+1,ROW(OFFSET(nombres[],ROWS(nombres[])-1,0,1,1))+1),$O1542:$O1561),3),"")</f>
        <v/>
      </c>
      <c r="BF1542" s="42" t="str">
        <f t="array" aca="1" ref="BF1542" ca="1">IFERROR(INDEX(nombres[],SMALL(IF(OFFSET(nombres[],0,0,ROWS(nombres[]),1)=BF$1490,ROW(OFFSET(nombres[],0,0,ROWS(nombres[]),1))-ROW(OFFSET(nombres[],0,0,1,1))+1,ROW(OFFSET(nombres[],ROWS(nombres[])-1,0,1,1))+1),$O1542:$O1561),3),"")</f>
        <v/>
      </c>
      <c r="BG1542" s="42" t="str">
        <f t="array" aca="1" ref="BG1542" ca="1">IFERROR(INDEX(nombres[],SMALL(IF(OFFSET(nombres[],0,0,ROWS(nombres[]),1)=BG$1490,ROW(OFFSET(nombres[],0,0,ROWS(nombres[]),1))-ROW(OFFSET(nombres[],0,0,1,1))+1,ROW(OFFSET(nombres[],ROWS(nombres[])-1,0,1,1))+1),$O1542:$O1561),3),"")</f>
        <v/>
      </c>
      <c r="BH1542" s="42" t="str">
        <f t="array" aca="1" ref="BH1542" ca="1">IFERROR(INDEX(nombres[],SMALL(IF(OFFSET(nombres[],0,0,ROWS(nombres[]),1)=BH$1490,ROW(OFFSET(nombres[],0,0,ROWS(nombres[]),1))-ROW(OFFSET(nombres[],0,0,1,1))+1,ROW(OFFSET(nombres[],ROWS(nombres[])-1,0,1,1))+1),$O1542:$O1561),3),"")</f>
        <v/>
      </c>
      <c r="BI1542" s="42" t="str">
        <f t="array" aca="1" ref="BI1542" ca="1">IFERROR(INDEX(nombres[],SMALL(IF(OFFSET(nombres[],0,0,ROWS(nombres[]),1)=BI$1490,ROW(OFFSET(nombres[],0,0,ROWS(nombres[]),1))-ROW(OFFSET(nombres[],0,0,1,1))+1,ROW(OFFSET(nombres[],ROWS(nombres[])-1,0,1,1))+1),$O1542:$O1561),3),"")</f>
        <v/>
      </c>
      <c r="BJ1542" s="42" t="str">
        <f t="array" aca="1" ref="BJ1542" ca="1">IFERROR(INDEX(nombres[],SMALL(IF(OFFSET(nombres[],0,0,ROWS(nombres[]),1)=BJ$1490,ROW(OFFSET(nombres[],0,0,ROWS(nombres[]),1))-ROW(OFFSET(nombres[],0,0,1,1))+1,ROW(OFFSET(nombres[],ROWS(nombres[])-1,0,1,1))+1),$O1542:$O1561),3),"")</f>
        <v/>
      </c>
      <c r="BK1542" s="42" t="str">
        <f t="array" aca="1" ref="BK1542" ca="1">IFERROR(INDEX(nombres[],SMALL(IF(OFFSET(nombres[],0,0,ROWS(nombres[]),1)=BK$1490,ROW(OFFSET(nombres[],0,0,ROWS(nombres[]),1))-ROW(OFFSET(nombres[],0,0,1,1))+1,ROW(OFFSET(nombres[],ROWS(nombres[])-1,0,1,1))+1),$O1542:$O1561),3),"")</f>
        <v/>
      </c>
      <c r="BL1542" s="42" t="str">
        <f t="array" aca="1" ref="BL1542" ca="1">IFERROR(INDEX(nombres[],SMALL(IF(OFFSET(nombres[],0,0,ROWS(nombres[]),1)=BL$1490,ROW(OFFSET(nombres[],0,0,ROWS(nombres[]),1))-ROW(OFFSET(nombres[],0,0,1,1))+1,ROW(OFFSET(nombres[],ROWS(nombres[])-1,0,1,1))+1),$O1542:$O1561),3),"")</f>
        <v/>
      </c>
      <c r="BM1542" s="42" t="str">
        <f t="array" aca="1" ref="BM1542" ca="1">IFERROR(INDEX(nombres[],SMALL(IF(OFFSET(nombres[],0,0,ROWS(nombres[]),1)=BM$1490,ROW(OFFSET(nombres[],0,0,ROWS(nombres[]),1))-ROW(OFFSET(nombres[],0,0,1,1))+1,ROW(OFFSET(nombres[],ROWS(nombres[])-1,0,1,1))+1),$O1542:$O1561),3),"")</f>
        <v/>
      </c>
      <c r="BN1542" s="42" t="str">
        <f t="array" aca="1" ref="BN1542" ca="1">IFERROR(INDEX(nombres[],SMALL(IF(OFFSET(nombres[],0,0,ROWS(nombres[]),1)=BN$1490,ROW(OFFSET(nombres[],0,0,ROWS(nombres[]),1))-ROW(OFFSET(nombres[],0,0,1,1))+1,ROW(OFFSET(nombres[],ROWS(nombres[])-1,0,1,1))+1),$O1542:$O1561),3),"")</f>
        <v/>
      </c>
      <c r="BO1542" s="42" t="str">
        <f t="array" aca="1" ref="BO1542" ca="1">IFERROR(INDEX(nombres[],SMALL(IF(OFFSET(nombres[],0,0,ROWS(nombres[]),1)=BO$1490,ROW(OFFSET(nombres[],0,0,ROWS(nombres[]),1))-ROW(OFFSET(nombres[],0,0,1,1))+1,ROW(OFFSET(nombres[],ROWS(nombres[])-1,0,1,1))+1),$O1542:$O1561),3),"")</f>
        <v/>
      </c>
      <c r="BP1542" s="42" t="str">
        <f t="array" aca="1" ref="BP1542" ca="1">IFERROR(INDEX(nombres[],SMALL(IF(OFFSET(nombres[],0,0,ROWS(nombres[]),1)=BP$1490,ROW(OFFSET(nombres[],0,0,ROWS(nombres[]),1))-ROW(OFFSET(nombres[],0,0,1,1))+1,ROW(OFFSET(nombres[],ROWS(nombres[])-1,0,1,1))+1),$O1542:$O1561),3),"")</f>
        <v/>
      </c>
      <c r="BQ1542" s="42" t="str">
        <f t="array" aca="1" ref="BQ1542" ca="1">IFERROR(INDEX(nombres[],SMALL(IF(OFFSET(nombres[],0,0,ROWS(nombres[]),1)=BQ$1490,ROW(OFFSET(nombres[],0,0,ROWS(nombres[]),1))-ROW(OFFSET(nombres[],0,0,1,1))+1,ROW(OFFSET(nombres[],ROWS(nombres[])-1,0,1,1))+1),$O1542:$O1561),3),"")</f>
        <v/>
      </c>
      <c r="BR1542" s="42" t="str">
        <f t="array" aca="1" ref="BR1542" ca="1">IFERROR(INDEX(nombres[],SMALL(IF(OFFSET(nombres[],0,0,ROWS(nombres[]),1)=BR$1490,ROW(OFFSET(nombres[],0,0,ROWS(nombres[]),1))-ROW(OFFSET(nombres[],0,0,1,1))+1,ROW(OFFSET(nombres[],ROWS(nombres[])-1,0,1,1))+1),$O1542:$O1561),3),"")</f>
        <v/>
      </c>
      <c r="BS1542" s="42" t="str">
        <f t="array" aca="1" ref="BS1542" ca="1">IFERROR(INDEX(nombres[],SMALL(IF(OFFSET(nombres[],0,0,ROWS(nombres[]),1)=BS$1490,ROW(OFFSET(nombres[],0,0,ROWS(nombres[]),1))-ROW(OFFSET(nombres[],0,0,1,1))+1,ROW(OFFSET(nombres[],ROWS(nombres[])-1,0,1,1))+1),$O1542:$O1561),3),"")</f>
        <v/>
      </c>
      <c r="BT1542" s="42">
        <f t="array" aca="1" ref="BT1542" ca="1">IFERROR(INDEX(nombres[],SMALL(IF(OFFSET(nombres[],0,0,ROWS(nombres[]),1)=BT$1490,ROW(OFFSET(nombres[],0,0,ROWS(nombres[]),1))-ROW(OFFSET(nombres[],0,0,1,1))+1,ROW(OFFSET(nombres[],ROWS(nombres[])-1,0,1,1))+1),$O1542:$O1561),3),"")</f>
        <v>116</v>
      </c>
      <c r="BU1542" s="42" t="str">
        <f t="array" aca="1" ref="BU1542" ca="1">IFERROR(INDEX(nombres[],SMALL(IF(OFFSET(nombres[],0,0,ROWS(nombres[]),1)=BU$1490,ROW(OFFSET(nombres[],0,0,ROWS(nombres[]),1))-ROW(OFFSET(nombres[],0,0,1,1))+1,ROW(OFFSET(nombres[],ROWS(nombres[])-1,0,1,1))+1),$O1542:$O1561),3),"")</f>
        <v/>
      </c>
      <c r="BV1542" s="42" t="str">
        <f t="array" aca="1" ref="BV1542" ca="1">IFERROR(INDEX(nombres[],SMALL(IF(OFFSET(nombres[],0,0,ROWS(nombres[]),1)=BV$1490,ROW(OFFSET(nombres[],0,0,ROWS(nombres[]),1))-ROW(OFFSET(nombres[],0,0,1,1))+1,ROW(OFFSET(nombres[],ROWS(nombres[])-1,0,1,1))+1),$O1542:$O1561),3),"")</f>
        <v/>
      </c>
      <c r="BW1542" s="42" t="str">
        <f t="array" aca="1" ref="BW1542" ca="1">IFERROR(INDEX(nombres[],SMALL(IF(OFFSET(nombres[],0,0,ROWS(nombres[]),1)=BW$1490,ROW(OFFSET(nombres[],0,0,ROWS(nombres[]),1))-ROW(OFFSET(nombres[],0,0,1,1))+1,ROW(OFFSET(nombres[],ROWS(nombres[])-1,0,1,1))+1),$O1542:$O1561),3),"")</f>
        <v/>
      </c>
      <c r="BX1542" s="42" t="str">
        <f t="array" aca="1" ref="BX1542" ca="1">IFERROR(INDEX(nombres[],SMALL(IF(OFFSET(nombres[],0,0,ROWS(nombres[]),1)=BX$1490,ROW(OFFSET(nombres[],0,0,ROWS(nombres[]),1))-ROW(OFFSET(nombres[],0,0,1,1))+1,ROW(OFFSET(nombres[],ROWS(nombres[])-1,0,1,1))+1),$O1542:$O1561),3),"")</f>
        <v/>
      </c>
      <c r="BY1542" s="42" t="str">
        <f t="array" aca="1" ref="BY1542" ca="1">IFERROR(INDEX(nombres[],SMALL(IF(OFFSET(nombres[],0,0,ROWS(nombres[]),1)=BY$1490,ROW(OFFSET(nombres[],0,0,ROWS(nombres[]),1))-ROW(OFFSET(nombres[],0,0,1,1))+1,ROW(OFFSET(nombres[],ROWS(nombres[])-1,0,1,1))+1),$O1542:$O1561),3),"")</f>
        <v/>
      </c>
      <c r="BZ1542" s="42" t="str">
        <f t="array" aca="1" ref="BZ1542" ca="1">IFERROR(INDEX(nombres[],SMALL(IF(OFFSET(nombres[],0,0,ROWS(nombres[]),1)=BZ$1490,ROW(OFFSET(nombres[],0,0,ROWS(nombres[]),1))-ROW(OFFSET(nombres[],0,0,1,1))+1,ROW(OFFSET(nombres[],ROWS(nombres[])-1,0,1,1))+1),$O1542:$O1561),3),"")</f>
        <v/>
      </c>
      <c r="CA1542" s="42" t="str">
        <f t="array" aca="1" ref="CA1542" ca="1">IFERROR(INDEX(nombres[],SMALL(IF(OFFSET(nombres[],0,0,ROWS(nombres[]),1)=CA$1490,ROW(OFFSET(nombres[],0,0,ROWS(nombres[]),1))-ROW(OFFSET(nombres[],0,0,1,1))+1,ROW(OFFSET(nombres[],ROWS(nombres[])-1,0,1,1))+1),$O1542:$O1561),3),"")</f>
        <v/>
      </c>
      <c r="CB1542" s="42" t="str">
        <f t="array" aca="1" ref="CB1542" ca="1">IFERROR(INDEX(nombres[],SMALL(IF(OFFSET(nombres[],0,0,ROWS(nombres[]),1)=CB$1490,ROW(OFFSET(nombres[],0,0,ROWS(nombres[]),1))-ROW(OFFSET(nombres[],0,0,1,1))+1,ROW(OFFSET(nombres[],ROWS(nombres[])-1,0,1,1))+1),$O1542:$O1561),3),"")</f>
        <v/>
      </c>
      <c r="CC1542" s="42" t="str">
        <f t="array" aca="1" ref="CC1542" ca="1">IFERROR(INDEX(nombres[],SMALL(IF(OFFSET(nombres[],0,0,ROWS(nombres[]),1)=CC$1490,ROW(OFFSET(nombres[],0,0,ROWS(nombres[]),1))-ROW(OFFSET(nombres[],0,0,1,1))+1,ROW(OFFSET(nombres[],ROWS(nombres[])-1,0,1,1))+1),$O1542:$O1561),3),"")</f>
        <v/>
      </c>
      <c r="CD1542" s="42" t="str">
        <f t="array" aca="1" ref="CD1542" ca="1">IFERROR(INDEX(nombres[],SMALL(IF(OFFSET(nombres[],0,0,ROWS(nombres[]),1)=CD$1490,ROW(OFFSET(nombres[],0,0,ROWS(nombres[]),1))-ROW(OFFSET(nombres[],0,0,1,1))+1,ROW(OFFSET(nombres[],ROWS(nombres[])-1,0,1,1))+1),$O1542:$O1561),3),"")</f>
        <v/>
      </c>
      <c r="CE1542" s="42" t="str">
        <f t="array" aca="1" ref="CE1542" ca="1">IFERROR(INDEX(nombres[],SMALL(IF(OFFSET(nombres[],0,0,ROWS(nombres[]),1)=CE$1490,ROW(OFFSET(nombres[],0,0,ROWS(nombres[]),1))-ROW(OFFSET(nombres[],0,0,1,1))+1,ROW(OFFSET(nombres[],ROWS(nombres[])-1,0,1,1))+1),$O1542:$O1561),3),"")</f>
        <v/>
      </c>
      <c r="CF1542" s="42" t="str">
        <f t="array" aca="1" ref="CF1542" ca="1">IFERROR(INDEX(nombres[],SMALL(IF(OFFSET(nombres[],0,0,ROWS(nombres[]),1)=CF$1490,ROW(OFFSET(nombres[],0,0,ROWS(nombres[]),1))-ROW(OFFSET(nombres[],0,0,1,1))+1,ROW(OFFSET(nombres[],ROWS(nombres[])-1,0,1,1))+1),$O1542:$O1561),3),"")</f>
        <v/>
      </c>
      <c r="CG1542" s="42" t="str">
        <f t="array" aca="1" ref="CG1542" ca="1">IFERROR(INDEX(nombres[],SMALL(IF(OFFSET(nombres[],0,0,ROWS(nombres[]),1)=CG$1490,ROW(OFFSET(nombres[],0,0,ROWS(nombres[]),1))-ROW(OFFSET(nombres[],0,0,1,1))+1,ROW(OFFSET(nombres[],ROWS(nombres[])-1,0,1,1))+1),$O1542:$O1561),3),"")</f>
        <v/>
      </c>
      <c r="CH1542" s="42" t="str">
        <f t="array" aca="1" ref="CH1542" ca="1">IFERROR(INDEX(nombres[],SMALL(IF(OFFSET(nombres[],0,0,ROWS(nombres[]),1)=CH$1490,ROW(OFFSET(nombres[],0,0,ROWS(nombres[]),1))-ROW(OFFSET(nombres[],0,0,1,1))+1,ROW(OFFSET(nombres[],ROWS(nombres[])-1,0,1,1))+1),$O1542:$O1561),3),"")</f>
        <v/>
      </c>
      <c r="CI1542" s="42" t="str">
        <f t="array" aca="1" ref="CI1542" ca="1">IFERROR(INDEX(nombres[],SMALL(IF(OFFSET(nombres[],0,0,ROWS(nombres[]),1)=CI$1490,ROW(OFFSET(nombres[],0,0,ROWS(nombres[]),1))-ROW(OFFSET(nombres[],0,0,1,1))+1,ROW(OFFSET(nombres[],ROWS(nombres[])-1,0,1,1))+1),$O1542:$O1561),3),"")</f>
        <v/>
      </c>
      <c r="CJ1542" s="42" t="str">
        <f t="array" aca="1" ref="CJ1542" ca="1">IFERROR(INDEX(nombres[],SMALL(IF(OFFSET(nombres[],0,0,ROWS(nombres[]),1)=CJ$1490,ROW(OFFSET(nombres[],0,0,ROWS(nombres[]),1))-ROW(OFFSET(nombres[],0,0,1,1))+1,ROW(OFFSET(nombres[],ROWS(nombres[])-1,0,1,1))+1),$O1542:$O1561),3),"")</f>
        <v/>
      </c>
      <c r="CK1542" s="42" t="str">
        <f t="array" aca="1" ref="CK1542" ca="1">IFERROR(INDEX(nombres[],SMALL(IF(OFFSET(nombres[],0,0,ROWS(nombres[]),1)=CK$1490,ROW(OFFSET(nombres[],0,0,ROWS(nombres[]),1))-ROW(OFFSET(nombres[],0,0,1,1))+1,ROW(OFFSET(nombres[],ROWS(nombres[])-1,0,1,1))+1),$O1542:$O1561),3),"")</f>
        <v/>
      </c>
      <c r="CL1542" s="42" t="str">
        <f t="array" aca="1" ref="CL1542" ca="1">IFERROR(INDEX(nombres[],SMALL(IF(OFFSET(nombres[],0,0,ROWS(nombres[]),1)=CL$1490,ROW(OFFSET(nombres[],0,0,ROWS(nombres[]),1))-ROW(OFFSET(nombres[],0,0,1,1))+1,ROW(OFFSET(nombres[],ROWS(nombres[])-1,0,1,1))+1),$O1542:$O1561),3),"")</f>
        <v/>
      </c>
      <c r="CM1542" s="42" t="str">
        <f t="array" aca="1" ref="CM1542" ca="1">IFERROR(INDEX(nombres[],SMALL(IF(OFFSET(nombres[],0,0,ROWS(nombres[]),1)=CM$1490,ROW(OFFSET(nombres[],0,0,ROWS(nombres[]),1))-ROW(OFFSET(nombres[],0,0,1,1))+1,ROW(OFFSET(nombres[],ROWS(nombres[])-1,0,1,1))+1),$O1542:$O1561),3),"")</f>
        <v/>
      </c>
      <c r="CN1542" s="42" t="str">
        <f t="array" aca="1" ref="CN1542" ca="1">IFERROR(INDEX(nombres[],SMALL(IF(OFFSET(nombres[],0,0,ROWS(nombres[]),1)=CN$1490,ROW(OFFSET(nombres[],0,0,ROWS(nombres[]),1))-ROW(OFFSET(nombres[],0,0,1,1))+1,ROW(OFFSET(nombres[],ROWS(nombres[])-1,0,1,1))+1),$O1542:$O1561),3),"")</f>
        <v/>
      </c>
      <c r="CO1542" s="42" t="str">
        <f t="array" aca="1" ref="CO1542" ca="1">IFERROR(INDEX(nombres[],SMALL(IF(OFFSET(nombres[],0,0,ROWS(nombres[]),1)=CO$1490,ROW(OFFSET(nombres[],0,0,ROWS(nombres[]),1))-ROW(OFFSET(nombres[],0,0,1,1))+1,ROW(OFFSET(nombres[],ROWS(nombres[])-1,0,1,1))+1),$O1542:$O1561),3),"")</f>
        <v/>
      </c>
      <c r="CP1542" s="42" t="str">
        <f t="array" aca="1" ref="CP1542" ca="1">IFERROR(INDEX(nombres[],SMALL(IF(OFFSET(nombres[],0,0,ROWS(nombres[]),1)=CP$1490,ROW(OFFSET(nombres[],0,0,ROWS(nombres[]),1))-ROW(OFFSET(nombres[],0,0,1,1))+1,ROW(OFFSET(nombres[],ROWS(nombres[])-1,0,1,1))+1),$O1542:$O1561),3),"")</f>
        <v/>
      </c>
      <c r="CQ1542" s="42" t="str">
        <f t="array" aca="1" ref="CQ1542" ca="1">IFERROR(INDEX(nombres[],SMALL(IF(OFFSET(nombres[],0,0,ROWS(nombres[]),1)=CQ$1490,ROW(OFFSET(nombres[],0,0,ROWS(nombres[]),1))-ROW(OFFSET(nombres[],0,0,1,1))+1,ROW(OFFSET(nombres[],ROWS(nombres[])-1,0,1,1))+1),$O1542:$O1561),3),"")</f>
        <v/>
      </c>
      <c r="CR1542" s="42" t="str">
        <f t="array" aca="1" ref="CR1542" ca="1">IFERROR(INDEX(nombres[],SMALL(IF(OFFSET(nombres[],0,0,ROWS(nombres[]),1)=CR$1490,ROW(OFFSET(nombres[],0,0,ROWS(nombres[]),1))-ROW(OFFSET(nombres[],0,0,1,1))+1,ROW(OFFSET(nombres[],ROWS(nombres[])-1,0,1,1))+1),$O1542:$O1561),3),"")</f>
        <v/>
      </c>
      <c r="CS1542" s="42" t="str">
        <f t="array" aca="1" ref="CS1542" ca="1">IFERROR(INDEX(nombres[],SMALL(IF(OFFSET(nombres[],0,0,ROWS(nombres[]),1)=CS$1490,ROW(OFFSET(nombres[],0,0,ROWS(nombres[]),1))-ROW(OFFSET(nombres[],0,0,1,1))+1,ROW(OFFSET(nombres[],ROWS(nombres[])-1,0,1,1))+1),$O1542:$O1561),3),"")</f>
        <v/>
      </c>
      <c r="CT1542" s="42" t="str">
        <f t="array" aca="1" ref="CT1542" ca="1">IFERROR(INDEX(nombres[],SMALL(IF(OFFSET(nombres[],0,0,ROWS(nombres[]),1)=CT$1490,ROW(OFFSET(nombres[],0,0,ROWS(nombres[]),1))-ROW(OFFSET(nombres[],0,0,1,1))+1,ROW(OFFSET(nombres[],ROWS(nombres[])-1,0,1,1))+1),$O1542:$O1561),3),"")</f>
        <v/>
      </c>
      <c r="CU1542" s="42" t="str">
        <f t="array" aca="1" ref="CU1542" ca="1">IFERROR(INDEX(nombres[],SMALL(IF(OFFSET(nombres[],0,0,ROWS(nombres[]),1)=CU$1490,ROW(OFFSET(nombres[],0,0,ROWS(nombres[]),1))-ROW(OFFSET(nombres[],0,0,1,1))+1,ROW(OFFSET(nombres[],ROWS(nombres[])-1,0,1,1))+1),$O1542:$O1561),3),"")</f>
        <v/>
      </c>
      <c r="CV1542" s="42" t="str">
        <f t="array" aca="1" ref="CV1542" ca="1">IFERROR(INDEX(nombres[],SMALL(IF(OFFSET(nombres[],0,0,ROWS(nombres[]),1)=CV$1490,ROW(OFFSET(nombres[],0,0,ROWS(nombres[]),1))-ROW(OFFSET(nombres[],0,0,1,1))+1,ROW(OFFSET(nombres[],ROWS(nombres[])-1,0,1,1))+1),$O1542:$O1561),3),"")</f>
        <v/>
      </c>
      <c r="CW1542" s="42" t="str">
        <f t="array" aca="1" ref="CW1542" ca="1">IFERROR(INDEX(nombres[],SMALL(IF(OFFSET(nombres[],0,0,ROWS(nombres[]),1)=CW$1490,ROW(OFFSET(nombres[],0,0,ROWS(nombres[]),1))-ROW(OFFSET(nombres[],0,0,1,1))+1,ROW(OFFSET(nombres[],ROWS(nombres[])-1,0,1,1))+1),$O1542:$O1561),3),"")</f>
        <v/>
      </c>
      <c r="CX1542" s="42" t="str">
        <f t="array" aca="1" ref="CX1542" ca="1">IFERROR(INDEX(nombres[],SMALL(IF(OFFSET(nombres[],0,0,ROWS(nombres[]),1)=CX$1490,ROW(OFFSET(nombres[],0,0,ROWS(nombres[]),1))-ROW(OFFSET(nombres[],0,0,1,1))+1,ROW(OFFSET(nombres[],ROWS(nombres[])-1,0,1,1))+1),$O1542:$O1561),3),"")</f>
        <v/>
      </c>
      <c r="CY1542" s="42" t="str">
        <f t="array" aca="1" ref="CY1542" ca="1">IFERROR(INDEX(nombres[],SMALL(IF(OFFSET(nombres[],0,0,ROWS(nombres[]),1)=CY$1490,ROW(OFFSET(nombres[],0,0,ROWS(nombres[]),1))-ROW(OFFSET(nombres[],0,0,1,1))+1,ROW(OFFSET(nombres[],ROWS(nombres[])-1,0,1,1))+1),$O1542:$O1561),3),"")</f>
        <v/>
      </c>
      <c r="CZ1542" s="42" t="str">
        <f t="array" aca="1" ref="CZ1542" ca="1">IFERROR(INDEX(nombres[],SMALL(IF(OFFSET(nombres[],0,0,ROWS(nombres[]),1)=CZ$1490,ROW(OFFSET(nombres[],0,0,ROWS(nombres[]),1))-ROW(OFFSET(nombres[],0,0,1,1))+1,ROW(OFFSET(nombres[],ROWS(nombres[])-1,0,1,1))+1),$O1542:$O1561),3),"")</f>
        <v/>
      </c>
      <c r="DA1542" s="42" t="str">
        <f t="array" aca="1" ref="DA1542" ca="1">IFERROR(INDEX(nombres[],SMALL(IF(OFFSET(nombres[],0,0,ROWS(nombres[]),1)=DA$1490,ROW(OFFSET(nombres[],0,0,ROWS(nombres[]),1))-ROW(OFFSET(nombres[],0,0,1,1))+1,ROW(OFFSET(nombres[],ROWS(nombres[])-1,0,1,1))+1),$O1542:$O1561),3),"")</f>
        <v/>
      </c>
      <c r="DB1542" s="42" t="str">
        <f t="array" aca="1" ref="DB1542" ca="1">IFERROR(INDEX(nombres[],SMALL(IF(OFFSET(nombres[],0,0,ROWS(nombres[]),1)=DB$1490,ROW(OFFSET(nombres[],0,0,ROWS(nombres[]),1))-ROW(OFFSET(nombres[],0,0,1,1))+1,ROW(OFFSET(nombres[],ROWS(nombres[])-1,0,1,1))+1),$O1542:$O1561),3),"")</f>
        <v/>
      </c>
      <c r="DC1542" s="42" t="str">
        <f t="array" aca="1" ref="DC1542" ca="1">IFERROR(INDEX(nombres[],SMALL(IF(OFFSET(nombres[],0,0,ROWS(nombres[]),1)=DC$1490,ROW(OFFSET(nombres[],0,0,ROWS(nombres[]),1))-ROW(OFFSET(nombres[],0,0,1,1))+1,ROW(OFFSET(nombres[],ROWS(nombres[])-1,0,1,1))+1),$O1542:$O1561),3),"")</f>
        <v/>
      </c>
      <c r="DD1542" s="42" t="str">
        <f t="array" aca="1" ref="DD1542" ca="1">IFERROR(INDEX(nombres[],SMALL(IF(OFFSET(nombres[],0,0,ROWS(nombres[]),1)=DD$1490,ROW(OFFSET(nombres[],0,0,ROWS(nombres[]),1))-ROW(OFFSET(nombres[],0,0,1,1))+1,ROW(OFFSET(nombres[],ROWS(nombres[])-1,0,1,1))+1),$O1542:$O1561),3),"")</f>
        <v/>
      </c>
      <c r="DE1542" s="42" t="str">
        <f t="array" aca="1" ref="DE1542" ca="1">IFERROR(INDEX(nombres[],SMALL(IF(OFFSET(nombres[],0,0,ROWS(nombres[]),1)=DE$1490,ROW(OFFSET(nombres[],0,0,ROWS(nombres[]),1))-ROW(OFFSET(nombres[],0,0,1,1))+1,ROW(OFFSET(nombres[],ROWS(nombres[])-1,0,1,1))+1),$O1542:$O1561),3),"")</f>
        <v/>
      </c>
      <c r="DF1542" s="42" t="str">
        <f t="array" aca="1" ref="DF1542" ca="1">IFERROR(INDEX(nombres[],SMALL(IF(OFFSET(nombres[],0,0,ROWS(nombres[]),1)=DF$1490,ROW(OFFSET(nombres[],0,0,ROWS(nombres[]),1))-ROW(OFFSET(nombres[],0,0,1,1))+1,ROW(OFFSET(nombres[],ROWS(nombres[])-1,0,1,1))+1),$O1542:$O1561),3),"")</f>
        <v/>
      </c>
      <c r="DG1542" s="42" t="str">
        <f t="array" aca="1" ref="DG1542" ca="1">IFERROR(INDEX(nombres[],SMALL(IF(OFFSET(nombres[],0,0,ROWS(nombres[]),1)=DG$1490,ROW(OFFSET(nombres[],0,0,ROWS(nombres[]),1))-ROW(OFFSET(nombres[],0,0,1,1))+1,ROW(OFFSET(nombres[],ROWS(nombres[])-1,0,1,1))+1),$O1542:$O1561),3),"")</f>
        <v/>
      </c>
      <c r="DH1542" s="42" t="str">
        <f t="array" aca="1" ref="DH1542" ca="1">IFERROR(INDEX(nombres[],SMALL(IF(OFFSET(nombres[],0,0,ROWS(nombres[]),1)=DH$1490,ROW(OFFSET(nombres[],0,0,ROWS(nombres[]),1))-ROW(OFFSET(nombres[],0,0,1,1))+1,ROW(OFFSET(nombres[],ROWS(nombres[])-1,0,1,1))+1),$O1542:$O1561),3),"")</f>
        <v/>
      </c>
      <c r="DI1542" s="42" t="str">
        <f t="array" aca="1" ref="DI1542" ca="1">IFERROR(INDEX(nombres[],SMALL(IF(OFFSET(nombres[],0,0,ROWS(nombres[]),1)=DI$1490,ROW(OFFSET(nombres[],0,0,ROWS(nombres[]),1))-ROW(OFFSET(nombres[],0,0,1,1))+1,ROW(OFFSET(nombres[],ROWS(nombres[])-1,0,1,1))+1),$O1542:$O1561),3),"")</f>
        <v/>
      </c>
      <c r="DJ1542" s="42" t="str">
        <f t="array" aca="1" ref="DJ1542" ca="1">IFERROR(INDEX(nombres[],SMALL(IF(OFFSET(nombres[],0,0,ROWS(nombres[]),1)=DJ$1490,ROW(OFFSET(nombres[],0,0,ROWS(nombres[]),1))-ROW(OFFSET(nombres[],0,0,1,1))+1,ROW(OFFSET(nombres[],ROWS(nombres[])-1,0,1,1))+1),$O1542:$O1561),3),"")</f>
        <v/>
      </c>
      <c r="DK1542" s="42" t="str">
        <f t="array" aca="1" ref="DK1542" ca="1">IFERROR(INDEX(nombres[],SMALL(IF(OFFSET(nombres[],0,0,ROWS(nombres[]),1)=DK$1490,ROW(OFFSET(nombres[],0,0,ROWS(nombres[]),1))-ROW(OFFSET(nombres[],0,0,1,1))+1,ROW(OFFSET(nombres[],ROWS(nombres[])-1,0,1,1))+1),$O1542:$O1561),3),"")</f>
        <v/>
      </c>
      <c r="DL1542" s="42" t="str">
        <f t="array" aca="1" ref="DL1542" ca="1">IFERROR(INDEX(nombres[],SMALL(IF(OFFSET(nombres[],0,0,ROWS(nombres[]),1)=DL$1490,ROW(OFFSET(nombres[],0,0,ROWS(nombres[]),1))-ROW(OFFSET(nombres[],0,0,1,1))+1,ROW(OFFSET(nombres[],ROWS(nombres[])-1,0,1,1))+1),$O1542:$O1561),3),"")</f>
        <v/>
      </c>
      <c r="DM1542" s="42" t="str">
        <f t="array" aca="1" ref="DM1542" ca="1">IFERROR(INDEX(nombres[],SMALL(IF(OFFSET(nombres[],0,0,ROWS(nombres[]),1)=DM$1490,ROW(OFFSET(nombres[],0,0,ROWS(nombres[]),1))-ROW(OFFSET(nombres[],0,0,1,1))+1,ROW(OFFSET(nombres[],ROWS(nombres[])-1,0,1,1))+1),$O1542:$O1561),3),"")</f>
        <v/>
      </c>
      <c r="DN1542" s="42" t="str">
        <f t="array" aca="1" ref="DN1542" ca="1">IFERROR(INDEX(nombres[],SMALL(IF(OFFSET(nombres[],0,0,ROWS(nombres[]),1)=DN$1490,ROW(OFFSET(nombres[],0,0,ROWS(nombres[]),1))-ROW(OFFSET(nombres[],0,0,1,1))+1,ROW(OFFSET(nombres[],ROWS(nombres[])-1,0,1,1))+1),$O1542:$O1561),3),"")</f>
        <v/>
      </c>
      <c r="DO1542" s="42" t="str">
        <f t="array" aca="1" ref="DO1542" ca="1">IFERROR(INDEX(nombres[],SMALL(IF(OFFSET(nombres[],0,0,ROWS(nombres[]),1)=DO$1490,ROW(OFFSET(nombres[],0,0,ROWS(nombres[]),1))-ROW(OFFSET(nombres[],0,0,1,1))+1,ROW(OFFSET(nombres[],ROWS(nombres[])-1,0,1,1))+1),$O1542:$O1561),3),"")</f>
        <v/>
      </c>
      <c r="DP1542" s="42" t="str">
        <f t="array" aca="1" ref="DP1542" ca="1">IFERROR(INDEX(nombres[],SMALL(IF(OFFSET(nombres[],0,0,ROWS(nombres[]),1)=DP$1490,ROW(OFFSET(nombres[],0,0,ROWS(nombres[]),1))-ROW(OFFSET(nombres[],0,0,1,1))+1,ROW(OFFSET(nombres[],ROWS(nombres[])-1,0,1,1))+1),$O1542:$O1561),3),"")</f>
        <v/>
      </c>
      <c r="DQ1542" s="42" t="str">
        <f t="array" aca="1" ref="DQ1542" ca="1">IFERROR(INDEX(nombres[],SMALL(IF(OFFSET(nombres[],0,0,ROWS(nombres[]),1)=DQ$1490,ROW(OFFSET(nombres[],0,0,ROWS(nombres[]),1))-ROW(OFFSET(nombres[],0,0,1,1))+1,ROW(OFFSET(nombres[],ROWS(nombres[])-1,0,1,1))+1),$O1542:$O1561),3),"")</f>
        <v/>
      </c>
      <c r="DR1542" s="42" t="str">
        <f t="array" aca="1" ref="DR1542" ca="1">IFERROR(INDEX(nombres[],SMALL(IF(OFFSET(nombres[],0,0,ROWS(nombres[]),1)=DR$1490,ROW(OFFSET(nombres[],0,0,ROWS(nombres[]),1))-ROW(OFFSET(nombres[],0,0,1,1))+1,ROW(OFFSET(nombres[],ROWS(nombres[])-1,0,1,1))+1),$O1542:$O1561),3),"")</f>
        <v/>
      </c>
      <c r="DS1542" s="42" t="str">
        <f t="array" aca="1" ref="DS1542" ca="1">IFERROR(INDEX(nombres[],SMALL(IF(OFFSET(nombres[],0,0,ROWS(nombres[]),1)=DS$1490,ROW(OFFSET(nombres[],0,0,ROWS(nombres[]),1))-ROW(OFFSET(nombres[],0,0,1,1))+1,ROW(OFFSET(nombres[],ROWS(nombres[])-1,0,1,1))+1),$O1542:$O1561),3),"")</f>
        <v/>
      </c>
      <c r="DT1542" s="42" t="str">
        <f t="array" aca="1" ref="DT1542" ca="1">IFERROR(INDEX(nombres[],SMALL(IF(OFFSET(nombres[],0,0,ROWS(nombres[]),1)=DT$1490,ROW(OFFSET(nombres[],0,0,ROWS(nombres[]),1))-ROW(OFFSET(nombres[],0,0,1,1))+1,ROW(OFFSET(nombres[],ROWS(nombres[])-1,0,1,1))+1),$O1542:$O1561),3),"")</f>
        <v/>
      </c>
      <c r="DU1542" s="42" t="str">
        <f t="array" aca="1" ref="DU1542" ca="1">IFERROR(INDEX(nombres[],SMALL(IF(OFFSET(nombres[],0,0,ROWS(nombres[]),1)=DU$1490,ROW(OFFSET(nombres[],0,0,ROWS(nombres[]),1))-ROW(OFFSET(nombres[],0,0,1,1))+1,ROW(OFFSET(nombres[],ROWS(nombres[])-1,0,1,1))+1),$O1542:$O1561),3),"")</f>
        <v/>
      </c>
      <c r="DV1542" s="42" t="str">
        <f t="array" aca="1" ref="DV1542" ca="1">IFERROR(INDEX(nombres[],SMALL(IF(OFFSET(nombres[],0,0,ROWS(nombres[]),1)=DV$1490,ROW(OFFSET(nombres[],0,0,ROWS(nombres[]),1))-ROW(OFFSET(nombres[],0,0,1,1))+1,ROW(OFFSET(nombres[],ROWS(nombres[])-1,0,1,1))+1),$O1542:$O1561),3),"")</f>
        <v/>
      </c>
      <c r="DW1542" s="42" t="str">
        <f t="array" aca="1" ref="DW1542" ca="1">IFERROR(INDEX(nombres[],SMALL(IF(OFFSET(nombres[],0,0,ROWS(nombres[]),1)=DW$1490,ROW(OFFSET(nombres[],0,0,ROWS(nombres[]),1))-ROW(OFFSET(nombres[],0,0,1,1))+1,ROW(OFFSET(nombres[],ROWS(nombres[])-1,0,1,1))+1),$O1542:$O1561),3),"")</f>
        <v/>
      </c>
      <c r="DX1542" s="42" t="str">
        <f t="array" aca="1" ref="DX1542" ca="1">IFERROR(INDEX(nombres[],SMALL(IF(OFFSET(nombres[],0,0,ROWS(nombres[]),1)=DX$1490,ROW(OFFSET(nombres[],0,0,ROWS(nombres[]),1))-ROW(OFFSET(nombres[],0,0,1,1))+1,ROW(OFFSET(nombres[],ROWS(nombres[])-1,0,1,1))+1),$O1542:$O1561),3),"")</f>
        <v/>
      </c>
      <c r="DY1542" s="42" t="str">
        <f t="array" aca="1" ref="DY1542" ca="1">IFERROR(INDEX(nombres[],SMALL(IF(OFFSET(nombres[],0,0,ROWS(nombres[]),1)=DY$1490,ROW(OFFSET(nombres[],0,0,ROWS(nombres[]),1))-ROW(OFFSET(nombres[],0,0,1,1))+1,ROW(OFFSET(nombres[],ROWS(nombres[])-1,0,1,1))+1),$O1542:$O1561),3),"")</f>
        <v/>
      </c>
      <c r="DZ1542" s="42" t="str">
        <f t="array" aca="1" ref="DZ1542" ca="1">IFERROR(INDEX(nombres[],SMALL(IF(OFFSET(nombres[],0,0,ROWS(nombres[]),1)=DZ$1490,ROW(OFFSET(nombres[],0,0,ROWS(nombres[]),1))-ROW(OFFSET(nombres[],0,0,1,1))+1,ROW(OFFSET(nombres[],ROWS(nombres[])-1,0,1,1))+1),$O1542:$O1561),3),"")</f>
        <v/>
      </c>
      <c r="EA1542" s="42" t="str">
        <f t="array" aca="1" ref="EA1542" ca="1">IFERROR(INDEX(nombres[],SMALL(IF(OFFSET(nombres[],0,0,ROWS(nombres[]),1)=EA$1490,ROW(OFFSET(nombres[],0,0,ROWS(nombres[]),1))-ROW(OFFSET(nombres[],0,0,1,1))+1,ROW(OFFSET(nombres[],ROWS(nombres[])-1,0,1,1))+1),$O1542:$O1561),3),"")</f>
        <v/>
      </c>
      <c r="EB1542" s="42" t="str">
        <f t="array" aca="1" ref="EB1542" ca="1">IFERROR(INDEX(nombres[],SMALL(IF(OFFSET(nombres[],0,0,ROWS(nombres[]),1)=EB$1490,ROW(OFFSET(nombres[],0,0,ROWS(nombres[]),1))-ROW(OFFSET(nombres[],0,0,1,1))+1,ROW(OFFSET(nombres[],ROWS(nombres[])-1,0,1,1))+1),$O1542:$O1561),3),"")</f>
        <v/>
      </c>
      <c r="EC1542" s="42" t="str">
        <f t="array" aca="1" ref="EC1542" ca="1">IFERROR(INDEX(nombres[],SMALL(IF(OFFSET(nombres[],0,0,ROWS(nombres[]),1)=EC$1490,ROW(OFFSET(nombres[],0,0,ROWS(nombres[]),1))-ROW(OFFSET(nombres[],0,0,1,1))+1,ROW(OFFSET(nombres[],ROWS(nombres[])-1,0,1,1))+1),$O1542:$O1561),3),"")</f>
        <v/>
      </c>
      <c r="ED1542" s="42" t="str">
        <f t="array" aca="1" ref="ED1542" ca="1">IFERROR(INDEX(nombres[],SMALL(IF(OFFSET(nombres[],0,0,ROWS(nombres[]),1)=ED$1490,ROW(OFFSET(nombres[],0,0,ROWS(nombres[]),1))-ROW(OFFSET(nombres[],0,0,1,1))+1,ROW(OFFSET(nombres[],ROWS(nombres[])-1,0,1,1))+1),$O1542:$O1561),3),"")</f>
        <v/>
      </c>
      <c r="EE1542" s="42" t="str">
        <f t="array" aca="1" ref="EE1542" ca="1">IFERROR(INDEX(nombres[],SMALL(IF(OFFSET(nombres[],0,0,ROWS(nombres[]),1)=EE$1490,ROW(OFFSET(nombres[],0,0,ROWS(nombres[]),1))-ROW(OFFSET(nombres[],0,0,1,1))+1,ROW(OFFSET(nombres[],ROWS(nombres[])-1,0,1,1))+1),$O1542:$O1561),3),"")</f>
        <v/>
      </c>
      <c r="EF1542" s="42" t="str">
        <f t="array" aca="1" ref="EF1542" ca="1">IFERROR(INDEX(nombres[],SMALL(IF(OFFSET(nombres[],0,0,ROWS(nombres[]),1)=EF$1490,ROW(OFFSET(nombres[],0,0,ROWS(nombres[]),1))-ROW(OFFSET(nombres[],0,0,1,1))+1,ROW(OFFSET(nombres[],ROWS(nombres[])-1,0,1,1))+1),$O1542:$O1561),3),"")</f>
        <v/>
      </c>
      <c r="EG1542" s="42" t="str">
        <f t="array" aca="1" ref="EG1542" ca="1">IFERROR(INDEX(nombres[],SMALL(IF(OFFSET(nombres[],0,0,ROWS(nombres[]),1)=EG$1490,ROW(OFFSET(nombres[],0,0,ROWS(nombres[]),1))-ROW(OFFSET(nombres[],0,0,1,1))+1,ROW(OFFSET(nombres[],ROWS(nombres[])-1,0,1,1))+1),$O1542:$O1561),3),"")</f>
        <v/>
      </c>
      <c r="EH1542" s="42" t="str">
        <f t="array" aca="1" ref="EH1542" ca="1">IFERROR(INDEX(nombres[],SMALL(IF(OFFSET(nombres[],0,0,ROWS(nombres[]),1)=EH$1490,ROW(OFFSET(nombres[],0,0,ROWS(nombres[]),1))-ROW(OFFSET(nombres[],0,0,1,1))+1,ROW(OFFSET(nombres[],ROWS(nombres[])-1,0,1,1))+1),$O1542:$O1561),3),"")</f>
        <v/>
      </c>
      <c r="EI1542" s="42" t="str">
        <f t="array" aca="1" ref="EI1542" ca="1">IFERROR(INDEX(nombres[],SMALL(IF(OFFSET(nombres[],0,0,ROWS(nombres[]),1)=EI$1490,ROW(OFFSET(nombres[],0,0,ROWS(nombres[]),1))-ROW(OFFSET(nombres[],0,0,1,1))+1,ROW(OFFSET(nombres[],ROWS(nombres[])-1,0,1,1))+1),$O1542:$O1561),3),"")</f>
        <v/>
      </c>
      <c r="EJ1542" s="42" t="str">
        <f t="array" aca="1" ref="EJ1542" ca="1">IFERROR(INDEX(nombres[],SMALL(IF(OFFSET(nombres[],0,0,ROWS(nombres[]),1)=EJ$1490,ROW(OFFSET(nombres[],0,0,ROWS(nombres[]),1))-ROW(OFFSET(nombres[],0,0,1,1))+1,ROW(OFFSET(nombres[],ROWS(nombres[])-1,0,1,1))+1),$O1542:$O1561),3),"")</f>
        <v/>
      </c>
      <c r="EK1542" s="42" t="str">
        <f t="array" aca="1" ref="EK1542" ca="1">IFERROR(INDEX(nombres[],SMALL(IF(OFFSET(nombres[],0,0,ROWS(nombres[]),1)=EK$1490,ROW(OFFSET(nombres[],0,0,ROWS(nombres[]),1))-ROW(OFFSET(nombres[],0,0,1,1))+1,ROW(OFFSET(nombres[],ROWS(nombres[])-1,0,1,1))+1),$O1542:$O1561),3),"")</f>
        <v/>
      </c>
      <c r="EL1542" s="42" t="str">
        <f t="array" aca="1" ref="EL1542" ca="1">IFERROR(INDEX(nombres[],SMALL(IF(OFFSET(nombres[],0,0,ROWS(nombres[]),1)=EL$1490,ROW(OFFSET(nombres[],0,0,ROWS(nombres[]),1))-ROW(OFFSET(nombres[],0,0,1,1))+1,ROW(OFFSET(nombres[],ROWS(nombres[])-1,0,1,1))+1),$O1542:$O1561),3),"")</f>
        <v/>
      </c>
      <c r="EM1542" s="42" t="str">
        <f t="array" aca="1" ref="EM1542" ca="1">IFERROR(INDEX(nombres[],SMALL(IF(OFFSET(nombres[],0,0,ROWS(nombres[]),1)=EM$1490,ROW(OFFSET(nombres[],0,0,ROWS(nombres[]),1))-ROW(OFFSET(nombres[],0,0,1,1))+1,ROW(OFFSET(nombres[],ROWS(nombres[])-1,0,1,1))+1),$O1542:$O1561),3),"")</f>
        <v/>
      </c>
      <c r="EN1542" s="42" t="str">
        <f t="array" aca="1" ref="EN1542" ca="1">IFERROR(INDEX(nombres[],SMALL(IF(OFFSET(nombres[],0,0,ROWS(nombres[]),1)=EN$1490,ROW(OFFSET(nombres[],0,0,ROWS(nombres[]),1))-ROW(OFFSET(nombres[],0,0,1,1))+1,ROW(OFFSET(nombres[],ROWS(nombres[])-1,0,1,1))+1),$O1542:$O1561),3),"")</f>
        <v/>
      </c>
      <c r="EO1542" s="42" t="str">
        <f t="array" aca="1" ref="EO1542" ca="1">IFERROR(INDEX(nombres[],SMALL(IF(OFFSET(nombres[],0,0,ROWS(nombres[]),1)=EO$1490,ROW(OFFSET(nombres[],0,0,ROWS(nombres[]),1))-ROW(OFFSET(nombres[],0,0,1,1))+1,ROW(OFFSET(nombres[],ROWS(nombres[])-1,0,1,1))+1),$O1542:$O1561),3),"")</f>
        <v/>
      </c>
      <c r="EP1542" s="42" t="str">
        <f t="array" aca="1" ref="EP1542" ca="1">IFERROR(INDEX(nombres[],SMALL(IF(OFFSET(nombres[],0,0,ROWS(nombres[]),1)=EP$1490,ROW(OFFSET(nombres[],0,0,ROWS(nombres[]),1))-ROW(OFFSET(nombres[],0,0,1,1))+1,ROW(OFFSET(nombres[],ROWS(nombres[])-1,0,1,1))+1),$O1542:$O1561),3),"")</f>
        <v/>
      </c>
      <c r="EQ1542" s="42" t="str">
        <f t="array" aca="1" ref="EQ1542" ca="1">IFERROR(INDEX(nombres[],SMALL(IF(OFFSET(nombres[],0,0,ROWS(nombres[]),1)=EQ$1490,ROW(OFFSET(nombres[],0,0,ROWS(nombres[]),1))-ROW(OFFSET(nombres[],0,0,1,1))+1,ROW(OFFSET(nombres[],ROWS(nombres[])-1,0,1,1))+1),$O1542:$O1561),3),"")</f>
        <v/>
      </c>
      <c r="ER1542" s="42" t="str">
        <f t="array" aca="1" ref="ER1542" ca="1">IFERROR(INDEX(nombres[],SMALL(IF(OFFSET(nombres[],0,0,ROWS(nombres[]),1)=ER$1490,ROW(OFFSET(nombres[],0,0,ROWS(nombres[]),1))-ROW(OFFSET(nombres[],0,0,1,1))+1,ROW(OFFSET(nombres[],ROWS(nombres[])-1,0,1,1))+1),$O1542:$O1561),3),"")</f>
        <v/>
      </c>
      <c r="ES1542" s="42" t="str">
        <f t="array" aca="1" ref="ES1542" ca="1">IFERROR(INDEX(nombres[],SMALL(IF(OFFSET(nombres[],0,0,ROWS(nombres[]),1)=ES$1490,ROW(OFFSET(nombres[],0,0,ROWS(nombres[]),1))-ROW(OFFSET(nombres[],0,0,1,1))+1,ROW(OFFSET(nombres[],ROWS(nombres[])-1,0,1,1))+1),$O1542:$O1561),3),"")</f>
        <v/>
      </c>
      <c r="ET1542" s="42" t="str">
        <f t="array" aca="1" ref="ET1542" ca="1">IFERROR(INDEX(nombres[],SMALL(IF(OFFSET(nombres[],0,0,ROWS(nombres[]),1)=ET$1490,ROW(OFFSET(nombres[],0,0,ROWS(nombres[]),1))-ROW(OFFSET(nombres[],0,0,1,1))+1,ROW(OFFSET(nombres[],ROWS(nombres[])-1,0,1,1))+1),$O1542:$O1561),3),"")</f>
        <v/>
      </c>
      <c r="EU1542" s="42" t="str">
        <f t="array" aca="1" ref="EU1542" ca="1">IFERROR(INDEX(nombres[],SMALL(IF(OFFSET(nombres[],0,0,ROWS(nombres[]),1)=EU$1490,ROW(OFFSET(nombres[],0,0,ROWS(nombres[]),1))-ROW(OFFSET(nombres[],0,0,1,1))+1,ROW(OFFSET(nombres[],ROWS(nombres[])-1,0,1,1))+1),$O1542:$O1561),3),"")</f>
        <v/>
      </c>
      <c r="EV1542" s="42" t="str">
        <f t="array" aca="1" ref="EV1542" ca="1">IFERROR(INDEX(nombres[],SMALL(IF(OFFSET(nombres[],0,0,ROWS(nombres[]),1)=EV$1490,ROW(OFFSET(nombres[],0,0,ROWS(nombres[]),1))-ROW(OFFSET(nombres[],0,0,1,1))+1,ROW(OFFSET(nombres[],ROWS(nombres[])-1,0,1,1))+1),$O1542:$O1561),3),"")</f>
        <v/>
      </c>
      <c r="EW1542" s="42" t="str">
        <f t="array" aca="1" ref="EW1542" ca="1">IFERROR(INDEX(nombres[],SMALL(IF(OFFSET(nombres[],0,0,ROWS(nombres[]),1)=EW$1490,ROW(OFFSET(nombres[],0,0,ROWS(nombres[]),1))-ROW(OFFSET(nombres[],0,0,1,1))+1,ROW(OFFSET(nombres[],ROWS(nombres[])-1,0,1,1))+1),$O1542:$O1561),3),"")</f>
        <v/>
      </c>
      <c r="EX1542" s="42" t="str">
        <f t="array" aca="1" ref="EX1542" ca="1">IFERROR(INDEX(nombres[],SMALL(IF(OFFSET(nombres[],0,0,ROWS(nombres[]),1)=EX$1490,ROW(OFFSET(nombres[],0,0,ROWS(nombres[]),1))-ROW(OFFSET(nombres[],0,0,1,1))+1,ROW(OFFSET(nombres[],ROWS(nombres[])-1,0,1,1))+1),$O1542:$O1561),3),"")</f>
        <v/>
      </c>
      <c r="EY1542" s="42" t="str">
        <f t="array" aca="1" ref="EY1542" ca="1">IFERROR(INDEX(nombres[],SMALL(IF(OFFSET(nombres[],0,0,ROWS(nombres[]),1)=EY$1490,ROW(OFFSET(nombres[],0,0,ROWS(nombres[]),1))-ROW(OFFSET(nombres[],0,0,1,1))+1,ROW(OFFSET(nombres[],ROWS(nombres[])-1,0,1,1))+1),$O1542:$O1561),3),"")</f>
        <v/>
      </c>
      <c r="EZ1542" s="42" t="str">
        <f t="array" aca="1" ref="EZ1542" ca="1">IFERROR(INDEX(nombres[],SMALL(IF(OFFSET(nombres[],0,0,ROWS(nombres[]),1)=EZ$1490,ROW(OFFSET(nombres[],0,0,ROWS(nombres[]),1))-ROW(OFFSET(nombres[],0,0,1,1))+1,ROW(OFFSET(nombres[],ROWS(nombres[])-1,0,1,1))+1),$O1542:$O1561),3),"")</f>
        <v/>
      </c>
      <c r="FA1542" s="42">
        <f t="array" aca="1" ref="FA1542" ca="1">IFERROR(INDEX(nombres[],SMALL(IF(OFFSET(nombres[],0,0,ROWS(nombres[]),1)=FA$1490,ROW(OFFSET(nombres[],0,0,ROWS(nombres[]),1))-ROW(OFFSET(nombres[],0,0,1,1))+1,ROW(OFFSET(nombres[],ROWS(nombres[])-1,0,1,1))+1),$O1542:$O1561),3),"")</f>
        <v>211</v>
      </c>
      <c r="FB1542" s="42" t="str">
        <f t="array" aca="1" ref="FB1542" ca="1">IFERROR(INDEX(nombres[],SMALL(IF(OFFSET(nombres[],0,0,ROWS(nombres[]),1)=FB$1490,ROW(OFFSET(nombres[],0,0,ROWS(nombres[]),1))-ROW(OFFSET(nombres[],0,0,1,1))+1,ROW(OFFSET(nombres[],ROWS(nombres[])-1,0,1,1))+1),$O1542:$O1561),3),"")</f>
        <v/>
      </c>
      <c r="FC1542" s="42">
        <f t="array" aca="1" ref="FC1542" ca="1">IFERROR(INDEX(nombres[],SMALL(IF(OFFSET(nombres[],0,0,ROWS(nombres[]),1)=FC$1490,ROW(OFFSET(nombres[],0,0,ROWS(nombres[]),1))-ROW(OFFSET(nombres[],0,0,1,1))+1,ROW(OFFSET(nombres[],ROWS(nombres[])-1,0,1,1))+1),$O1542:$O1561),3),"")</f>
        <v>222</v>
      </c>
      <c r="FD1542" s="42" t="str">
        <f t="array" aca="1" ref="FD1542" ca="1">IFERROR(INDEX(nombres[],SMALL(IF(OFFSET(nombres[],0,0,ROWS(nombres[]),1)=FD$1490,ROW(OFFSET(nombres[],0,0,ROWS(nombres[]),1))-ROW(OFFSET(nombres[],0,0,1,1))+1,ROW(OFFSET(nombres[],ROWS(nombres[])-1,0,1,1))+1),$O1542:$O1561),3),"")</f>
        <v/>
      </c>
      <c r="FE1542" s="42" t="str">
        <f t="array" aca="1" ref="FE1542" ca="1">IFERROR(INDEX(nombres[],SMALL(IF(OFFSET(nombres[],0,0,ROWS(nombres[]),1)=FE$1490,ROW(OFFSET(nombres[],0,0,ROWS(nombres[]),1))-ROW(OFFSET(nombres[],0,0,1,1))+1,ROW(OFFSET(nombres[],ROWS(nombres[])-1,0,1,1))+1),$O1542:$O1561),3),"")</f>
        <v/>
      </c>
      <c r="FF1542" s="42" t="str">
        <f t="array" aca="1" ref="FF1542" ca="1">IFERROR(INDEX(nombres[],SMALL(IF(OFFSET(nombres[],0,0,ROWS(nombres[]),1)=FF$1490,ROW(OFFSET(nombres[],0,0,ROWS(nombres[]),1))-ROW(OFFSET(nombres[],0,0,1,1))+1,ROW(OFFSET(nombres[],ROWS(nombres[])-1,0,1,1))+1),$O1542:$O1561),3),"")</f>
        <v/>
      </c>
      <c r="FG1542" s="42" t="str">
        <f t="array" aca="1" ref="FG1542" ca="1">IFERROR(INDEX(nombres[],SMALL(IF(OFFSET(nombres[],0,0,ROWS(nombres[]),1)=FG$1490,ROW(OFFSET(nombres[],0,0,ROWS(nombres[]),1))-ROW(OFFSET(nombres[],0,0,1,1))+1,ROW(OFFSET(nombres[],ROWS(nombres[])-1,0,1,1))+1),$O1542:$O1561),3),"")</f>
        <v/>
      </c>
      <c r="FH1542" s="42" t="str">
        <f t="array" aca="1" ref="FH1542" ca="1">IFERROR(INDEX(nombres[],SMALL(IF(OFFSET(nombres[],0,0,ROWS(nombres[]),1)=FH$1490,ROW(OFFSET(nombres[],0,0,ROWS(nombres[]),1))-ROW(OFFSET(nombres[],0,0,1,1))+1,ROW(OFFSET(nombres[],ROWS(nombres[])-1,0,1,1))+1),$O1542:$O1561),3),"")</f>
        <v/>
      </c>
      <c r="FI1542" s="42">
        <f t="array" aca="1" ref="FI1542" ca="1">IFERROR(INDEX(nombres[],SMALL(IF(OFFSET(nombres[],0,0,ROWS(nombres[]),1)=FI$1490,ROW(OFFSET(nombres[],0,0,ROWS(nombres[]),1))-ROW(OFFSET(nombres[],0,0,1,1))+1,ROW(OFFSET(nombres[],ROWS(nombres[])-1,0,1,1))+1),$O1542:$O1561),3),"")</f>
        <v>238</v>
      </c>
      <c r="FJ1542" s="42" t="str">
        <f t="array" aca="1" ref="FJ1542" ca="1">IFERROR(INDEX(nombres[],SMALL(IF(OFFSET(nombres[],0,0,ROWS(nombres[]),1)=FJ$1490,ROW(OFFSET(nombres[],0,0,ROWS(nombres[]),1))-ROW(OFFSET(nombres[],0,0,1,1))+1,ROW(OFFSET(nombres[],ROWS(nombres[])-1,0,1,1))+1),$O1542:$O1561),3),"")</f>
        <v/>
      </c>
      <c r="FK1542" s="42" t="str">
        <f t="array" aca="1" ref="FK1542" ca="1">IFERROR(INDEX(nombres[],SMALL(IF(OFFSET(nombres[],0,0,ROWS(nombres[]),1)=FK$1490,ROW(OFFSET(nombres[],0,0,ROWS(nombres[]),1))-ROW(OFFSET(nombres[],0,0,1,1))+1,ROW(OFFSET(nombres[],ROWS(nombres[])-1,0,1,1))+1),$O1542:$O1561),3),"")</f>
        <v/>
      </c>
      <c r="FL1542" s="42" t="str">
        <f t="array" aca="1" ref="FL1542" ca="1">IFERROR(INDEX(nombres[],SMALL(IF(OFFSET(nombres[],0,0,ROWS(nombres[]),1)=FL$1490,ROW(OFFSET(nombres[],0,0,ROWS(nombres[]),1))-ROW(OFFSET(nombres[],0,0,1,1))+1,ROW(OFFSET(nombres[],ROWS(nombres[])-1,0,1,1))+1),$O1542:$O1561),3),"")</f>
        <v/>
      </c>
      <c r="FM1542" s="42" t="str">
        <f t="array" aca="1" ref="FM1542" ca="1">IFERROR(INDEX(nombres[],SMALL(IF(OFFSET(nombres[],0,0,ROWS(nombres[]),1)=FM$1490,ROW(OFFSET(nombres[],0,0,ROWS(nombres[]),1))-ROW(OFFSET(nombres[],0,0,1,1))+1,ROW(OFFSET(nombres[],ROWS(nombres[])-1,0,1,1))+1),$O1542:$O1561),3),"")</f>
        <v/>
      </c>
      <c r="FN1542" s="42" t="str">
        <f t="array" aca="1" ref="FN1542" ca="1">IFERROR(INDEX(nombres[],SMALL(IF(OFFSET(nombres[],0,0,ROWS(nombres[]),1)=FN$1490,ROW(OFFSET(nombres[],0,0,ROWS(nombres[]),1))-ROW(OFFSET(nombres[],0,0,1,1))+1,ROW(OFFSET(nombres[],ROWS(nombres[])-1,0,1,1))+1),$O1542:$O1561),3),"")</f>
        <v/>
      </c>
      <c r="FO1542" s="42" t="str">
        <f t="array" aca="1" ref="FO1542" ca="1">IFERROR(INDEX(nombres[],SMALL(IF(OFFSET(nombres[],0,0,ROWS(nombres[]),1)=FO$1490,ROW(OFFSET(nombres[],0,0,ROWS(nombres[]),1))-ROW(OFFSET(nombres[],0,0,1,1))+1,ROW(OFFSET(nombres[],ROWS(nombres[])-1,0,1,1))+1),$O1542:$O1561),3),"")</f>
        <v/>
      </c>
      <c r="FP1542" s="42" t="str">
        <f t="array" aca="1" ref="FP1542" ca="1">IFERROR(INDEX(nombres[],SMALL(IF(OFFSET(nombres[],0,0,ROWS(nombres[]),1)=FP$1490,ROW(OFFSET(nombres[],0,0,ROWS(nombres[]),1))-ROW(OFFSET(nombres[],0,0,1,1))+1,ROW(OFFSET(nombres[],ROWS(nombres[])-1,0,1,1))+1),$O1542:$O1561),3),"")</f>
        <v/>
      </c>
      <c r="FQ1542" s="42" t="str">
        <f t="array" aca="1" ref="FQ1542" ca="1">IFERROR(INDEX(nombres[],SMALL(IF(OFFSET(nombres[],0,0,ROWS(nombres[]),1)=FQ$1490,ROW(OFFSET(nombres[],0,0,ROWS(nombres[]),1))-ROW(OFFSET(nombres[],0,0,1,1))+1,ROW(OFFSET(nombres[],ROWS(nombres[])-1,0,1,1))+1),$O1542:$O1561),3),"")</f>
        <v/>
      </c>
      <c r="FR1542" s="42" t="str">
        <f t="array" aca="1" ref="FR1542" ca="1">IFERROR(INDEX(nombres[],SMALL(IF(OFFSET(nombres[],0,0,ROWS(nombres[]),1)=FR$1490,ROW(OFFSET(nombres[],0,0,ROWS(nombres[]),1))-ROW(OFFSET(nombres[],0,0,1,1))+1,ROW(OFFSET(nombres[],ROWS(nombres[])-1,0,1,1))+1),$O1542:$O1561),3),"")</f>
        <v/>
      </c>
      <c r="FS1542" s="42" t="str">
        <f t="array" aca="1" ref="FS1542" ca="1">IFERROR(INDEX(nombres[],SMALL(IF(OFFSET(nombres[],0,0,ROWS(nombres[]),1)=FS$1490,ROW(OFFSET(nombres[],0,0,ROWS(nombres[]),1))-ROW(OFFSET(nombres[],0,0,1,1))+1,ROW(OFFSET(nombres[],ROWS(nombres[])-1,0,1,1))+1),$O1542:$O1561),3),"")</f>
        <v/>
      </c>
      <c r="FT1542" s="42" t="str">
        <f t="array" aca="1" ref="FT1542" ca="1">IFERROR(INDEX(nombres[],SMALL(IF(OFFSET(nombres[],0,0,ROWS(nombres[]),1)=FT$1490,ROW(OFFSET(nombres[],0,0,ROWS(nombres[]),1))-ROW(OFFSET(nombres[],0,0,1,1))+1,ROW(OFFSET(nombres[],ROWS(nombres[])-1,0,1,1))+1),$O1542:$O1561),3),"")</f>
        <v/>
      </c>
      <c r="FU1542" s="42" t="str">
        <f t="array" aca="1" ref="FU1542" ca="1">IFERROR(INDEX(nombres[],SMALL(IF(OFFSET(nombres[],0,0,ROWS(nombres[]),1)=FU$1490,ROW(OFFSET(nombres[],0,0,ROWS(nombres[]),1))-ROW(OFFSET(nombres[],0,0,1,1))+1,ROW(OFFSET(nombres[],ROWS(nombres[])-1,0,1,1))+1),$O1542:$O1561),3),"")</f>
        <v/>
      </c>
      <c r="FV1542" s="42" t="str">
        <f t="array" aca="1" ref="FV1542" ca="1">IFERROR(INDEX(nombres[],SMALL(IF(OFFSET(nombres[],0,0,ROWS(nombres[]),1)=FV$1490,ROW(OFFSET(nombres[],0,0,ROWS(nombres[]),1))-ROW(OFFSET(nombres[],0,0,1,1))+1,ROW(OFFSET(nombres[],ROWS(nombres[])-1,0,1,1))+1),$O1542:$O1561),3),"")</f>
        <v/>
      </c>
      <c r="FW1542" s="42" t="str">
        <f t="array" aca="1" ref="FW1542" ca="1">IFERROR(INDEX(nombres[],SMALL(IF(OFFSET(nombres[],0,0,ROWS(nombres[]),1)=FW$1490,ROW(OFFSET(nombres[],0,0,ROWS(nombres[]),1))-ROW(OFFSET(nombres[],0,0,1,1))+1,ROW(OFFSET(nombres[],ROWS(nombres[])-1,0,1,1))+1),$O1542:$O1561),3),"")</f>
        <v/>
      </c>
      <c r="FX1542" s="42" t="str">
        <f t="array" aca="1" ref="FX1542" ca="1">IFERROR(INDEX(nombres[],SMALL(IF(OFFSET(nombres[],0,0,ROWS(nombres[]),1)=FX$1490,ROW(OFFSET(nombres[],0,0,ROWS(nombres[]),1))-ROW(OFFSET(nombres[],0,0,1,1))+1,ROW(OFFSET(nombres[],ROWS(nombres[])-1,0,1,1))+1),$O1542:$O1561),3),"")</f>
        <v/>
      </c>
      <c r="FY1542" s="42" t="str">
        <f t="array" aca="1" ref="FY1542" ca="1">IFERROR(INDEX(nombres[],SMALL(IF(OFFSET(nombres[],0,0,ROWS(nombres[]),1)=FY$1490,ROW(OFFSET(nombres[],0,0,ROWS(nombres[]),1))-ROW(OFFSET(nombres[],0,0,1,1))+1,ROW(OFFSET(nombres[],ROWS(nombres[])-1,0,1,1))+1),$O1542:$O1561),3),"")</f>
        <v/>
      </c>
      <c r="FZ1542" s="42" t="str">
        <f t="array" aca="1" ref="FZ1542" ca="1">IFERROR(INDEX(nombres[],SMALL(IF(OFFSET(nombres[],0,0,ROWS(nombres[]),1)=FZ$1490,ROW(OFFSET(nombres[],0,0,ROWS(nombres[]),1))-ROW(OFFSET(nombres[],0,0,1,1))+1,ROW(OFFSET(nombres[],ROWS(nombres[])-1,0,1,1))+1),$O1542:$O1561),3),"")</f>
        <v/>
      </c>
      <c r="GA1542" s="42" t="str">
        <f t="array" aca="1" ref="GA1542" ca="1">IFERROR(INDEX(nombres[],SMALL(IF(OFFSET(nombres[],0,0,ROWS(nombres[]),1)=GA$1490,ROW(OFFSET(nombres[],0,0,ROWS(nombres[]),1))-ROW(OFFSET(nombres[],0,0,1,1))+1,ROW(OFFSET(nombres[],ROWS(nombres[])-1,0,1,1))+1),$O1542:$O1561),3),"")</f>
        <v/>
      </c>
      <c r="GB1542" s="42" t="str">
        <f t="array" aca="1" ref="GB1542" ca="1">IFERROR(INDEX(nombres[],SMALL(IF(OFFSET(nombres[],0,0,ROWS(nombres[]),1)=GB$1490,ROW(OFFSET(nombres[],0,0,ROWS(nombres[]),1))-ROW(OFFSET(nombres[],0,0,1,1))+1,ROW(OFFSET(nombres[],ROWS(nombres[])-1,0,1,1))+1),$O1542:$O1561),3),"")</f>
        <v/>
      </c>
      <c r="GC1542" s="42">
        <f t="array" aca="1" ref="GC1542" ca="1">IFERROR(INDEX(nombres[],SMALL(IF(OFFSET(nombres[],0,0,ROWS(nombres[]),1)=GC$1490,ROW(OFFSET(nombres[],0,0,ROWS(nombres[]),1))-ROW(OFFSET(nombres[],0,0,1,1))+1,ROW(OFFSET(nombres[],ROWS(nombres[])-1,0,1,1))+1),$O1542:$O1561),3),"")</f>
        <v>300</v>
      </c>
      <c r="GD1542" s="42" t="str">
        <f t="array" aca="1" ref="GD1542" ca="1">IFERROR(INDEX(nombres[],SMALL(IF(OFFSET(nombres[],0,0,ROWS(nombres[]),1)=GD$1490,ROW(OFFSET(nombres[],0,0,ROWS(nombres[]),1))-ROW(OFFSET(nombres[],0,0,1,1))+1,ROW(OFFSET(nombres[],ROWS(nombres[])-1,0,1,1))+1),$O1542:$O1561),3),"")</f>
        <v/>
      </c>
      <c r="GE1542" s="42" t="str">
        <f t="array" aca="1" ref="GE1542" ca="1">IFERROR(INDEX(nombres[],SMALL(IF(OFFSET(nombres[],0,0,ROWS(nombres[]),1)=GE$1490,ROW(OFFSET(nombres[],0,0,ROWS(nombres[]),1))-ROW(OFFSET(nombres[],0,0,1,1))+1,ROW(OFFSET(nombres[],ROWS(nombres[])-1,0,1,1))+1),$O1542:$O1561),3),"")</f>
        <v/>
      </c>
      <c r="GF1542" s="42">
        <f t="array" aca="1" ref="GF1542" ca="1">IFERROR(INDEX(nombres[],SMALL(IF(OFFSET(nombres[],0,0,ROWS(nombres[]),1)=GF$1490,ROW(OFFSET(nombres[],0,0,ROWS(nombres[]),1))-ROW(OFFSET(nombres[],0,0,1,1))+1,ROW(OFFSET(nombres[],ROWS(nombres[])-1,0,1,1))+1),$O1542:$O1561),3),"")</f>
        <v>249</v>
      </c>
      <c r="GG1542" s="42">
        <f t="array" aca="1" ref="GG1542" ca="1">IFERROR(INDEX(nombres[],SMALL(IF(OFFSET(nombres[],0,0,ROWS(nombres[]),1)=GG$1490,ROW(OFFSET(nombres[],0,0,ROWS(nombres[]),1))-ROW(OFFSET(nombres[],0,0,1,1))+1,ROW(OFFSET(nombres[],ROWS(nombres[])-1,0,1,1))+1),$O1542:$O1561),3),"")</f>
        <v>256</v>
      </c>
      <c r="GH1542" s="42" t="str">
        <f t="array" aca="1" ref="GH1542" ca="1">IFERROR(INDEX(nombres[],SMALL(IF(OFFSET(nombres[],0,0,ROWS(nombres[]),1)=GH$1490,ROW(OFFSET(nombres[],0,0,ROWS(nombres[]),1))-ROW(OFFSET(nombres[],0,0,1,1))+1,ROW(OFFSET(nombres[],ROWS(nombres[])-1,0,1,1))+1),$O1542:$O1561),3),"")</f>
        <v/>
      </c>
      <c r="GI1542" s="42" t="str">
        <f t="array" aca="1" ref="GI1542" ca="1">IFERROR(INDEX(nombres[],SMALL(IF(OFFSET(nombres[],0,0,ROWS(nombres[]),1)=GI$1490,ROW(OFFSET(nombres[],0,0,ROWS(nombres[]),1))-ROW(OFFSET(nombres[],0,0,1,1))+1,ROW(OFFSET(nombres[],ROWS(nombres[])-1,0,1,1))+1),$O1542:$O1561),3),"")</f>
        <v/>
      </c>
      <c r="GJ1542" s="42" t="str">
        <f t="array" aca="1" ref="GJ1542" ca="1">IFERROR(INDEX(nombres[],SMALL(IF(OFFSET(nombres[],0,0,ROWS(nombres[]),1)=GJ$1490,ROW(OFFSET(nombres[],0,0,ROWS(nombres[]),1))-ROW(OFFSET(nombres[],0,0,1,1))+1,ROW(OFFSET(nombres[],ROWS(nombres[])-1,0,1,1))+1),$O1542:$O1561),3),"")</f>
        <v/>
      </c>
      <c r="GK1542" s="42" t="str">
        <f t="array" aca="1" ref="GK1542" ca="1">IFERROR(INDEX(nombres[],SMALL(IF(OFFSET(nombres[],0,0,ROWS(nombres[]),1)=GK$1490,ROW(OFFSET(nombres[],0,0,ROWS(nombres[]),1))-ROW(OFFSET(nombres[],0,0,1,1))+1,ROW(OFFSET(nombres[],ROWS(nombres[])-1,0,1,1))+1),$O1542:$O1561),3),"")</f>
        <v/>
      </c>
      <c r="GL1542" s="42" t="str">
        <f t="array" aca="1" ref="GL1542" ca="1">IFERROR(INDEX(nombres[],SMALL(IF(OFFSET(nombres[],0,0,ROWS(nombres[]),1)=GL$1490,ROW(OFFSET(nombres[],0,0,ROWS(nombres[]),1))-ROW(OFFSET(nombres[],0,0,1,1))+1,ROW(OFFSET(nombres[],ROWS(nombres[])-1,0,1,1))+1),$O1542:$O1561),3),"")</f>
        <v/>
      </c>
      <c r="GM1542" s="42" t="str">
        <f t="array" aca="1" ref="GM1542" ca="1">IFERROR(INDEX(nombres[],SMALL(IF(OFFSET(nombres[],0,0,ROWS(nombres[]),1)=GM$1490,ROW(OFFSET(nombres[],0,0,ROWS(nombres[]),1))-ROW(OFFSET(nombres[],0,0,1,1))+1,ROW(OFFSET(nombres[],ROWS(nombres[])-1,0,1,1))+1),$O1542:$O1561),3),"")</f>
        <v/>
      </c>
      <c r="GN1542" s="42" t="str">
        <f t="array" aca="1" ref="GN1542" ca="1">IFERROR(INDEX(nombres[],SMALL(IF(OFFSET(nombres[],0,0,ROWS(nombres[]),1)=GN$1490,ROW(OFFSET(nombres[],0,0,ROWS(nombres[]),1))-ROW(OFFSET(nombres[],0,0,1,1))+1,ROW(OFFSET(nombres[],ROWS(nombres[])-1,0,1,1))+1),$O1542:$O1561),3),"")</f>
        <v/>
      </c>
      <c r="GO1542" s="42" t="str">
        <f t="array" aca="1" ref="GO1542" ca="1">IFERROR(INDEX(nombres[],SMALL(IF(OFFSET(nombres[],0,0,ROWS(nombres[]),1)=GO$1490,ROW(OFFSET(nombres[],0,0,ROWS(nombres[]),1))-ROW(OFFSET(nombres[],0,0,1,1))+1,ROW(OFFSET(nombres[],ROWS(nombres[])-1,0,1,1))+1),$O1542:$O1561),3),"")</f>
        <v/>
      </c>
      <c r="GP1542" s="42" t="str">
        <f t="array" aca="1" ref="GP1542" ca="1">IFERROR(INDEX(nombres[],SMALL(IF(OFFSET(nombres[],0,0,ROWS(nombres[]),1)=GP$1490,ROW(OFFSET(nombres[],0,0,ROWS(nombres[]),1))-ROW(OFFSET(nombres[],0,0,1,1))+1,ROW(OFFSET(nombres[],ROWS(nombres[])-1,0,1,1))+1),$O1542:$O1561),3),"")</f>
        <v/>
      </c>
      <c r="GQ1542" s="42" t="str">
        <f t="array" aca="1" ref="GQ1542" ca="1">IFERROR(INDEX(nombres[],SMALL(IF(OFFSET(nombres[],0,0,ROWS(nombres[]),1)=GQ$1490,ROW(OFFSET(nombres[],0,0,ROWS(nombres[]),1))-ROW(OFFSET(nombres[],0,0,1,1))+1,ROW(OFFSET(nombres[],ROWS(nombres[])-1,0,1,1))+1),$O1542:$O1561),3),"")</f>
        <v/>
      </c>
      <c r="GR1542" s="42" t="str">
        <f t="array" aca="1" ref="GR1542" ca="1">IFERROR(INDEX(nombres[],SMALL(IF(OFFSET(nombres[],0,0,ROWS(nombres[]),1)=GR$1490,ROW(OFFSET(nombres[],0,0,ROWS(nombres[]),1))-ROW(OFFSET(nombres[],0,0,1,1))+1,ROW(OFFSET(nombres[],ROWS(nombres[])-1,0,1,1))+1),$O1542:$O1561),3),"")</f>
        <v/>
      </c>
      <c r="GS1542" s="42" t="str">
        <f t="array" aca="1" ref="GS1542" ca="1">IFERROR(INDEX(nombres[],SMALL(IF(OFFSET(nombres[],0,0,ROWS(nombres[]),1)=GS$1490,ROW(OFFSET(nombres[],0,0,ROWS(nombres[]),1))-ROW(OFFSET(nombres[],0,0,1,1))+1,ROW(OFFSET(nombres[],ROWS(nombres[])-1,0,1,1))+1),$O1542:$O1561),3),"")</f>
        <v/>
      </c>
      <c r="GT1542" s="42" t="str">
        <f t="array" aca="1" ref="GT1542" ca="1">IFERROR(INDEX(nombres[],SMALL(IF(OFFSET(nombres[],0,0,ROWS(nombres[]),1)=GT$1490,ROW(OFFSET(nombres[],0,0,ROWS(nombres[]),1))-ROW(OFFSET(nombres[],0,0,1,1))+1,ROW(OFFSET(nombres[],ROWS(nombres[])-1,0,1,1))+1),$O1542:$O1561),3),"")</f>
        <v/>
      </c>
      <c r="GU1542" s="42" t="str">
        <f t="array" aca="1" ref="GU1542" ca="1">IFERROR(INDEX(nombres[],SMALL(IF(OFFSET(nombres[],0,0,ROWS(nombres[]),1)=GU$1490,ROW(OFFSET(nombres[],0,0,ROWS(nombres[]),1))-ROW(OFFSET(nombres[],0,0,1,1))+1,ROW(OFFSET(nombres[],ROWS(nombres[])-1,0,1,1))+1),$O1542:$O1561),3),"")</f>
        <v/>
      </c>
      <c r="GV1542" s="42" t="str">
        <f t="array" aca="1" ref="GV1542" ca="1">IFERROR(INDEX(nombres[],SMALL(IF(OFFSET(nombres[],0,0,ROWS(nombres[]),1)=GV$1490,ROW(OFFSET(nombres[],0,0,ROWS(nombres[]),1))-ROW(OFFSET(nombres[],0,0,1,1))+1,ROW(OFFSET(nombres[],ROWS(nombres[])-1,0,1,1))+1),$O1542:$O1561),3),"")</f>
        <v/>
      </c>
      <c r="GW1542" s="42" t="str">
        <f t="array" aca="1" ref="GW1542" ca="1">IFERROR(INDEX(nombres[],SMALL(IF(OFFSET(nombres[],0,0,ROWS(nombres[]),1)=GW$1490,ROW(OFFSET(nombres[],0,0,ROWS(nombres[]),1))-ROW(OFFSET(nombres[],0,0,1,1))+1,ROW(OFFSET(nombres[],ROWS(nombres[])-1,0,1,1))+1),$O1542:$O1561),3),"")</f>
        <v/>
      </c>
      <c r="GX1542" s="42" t="str">
        <f t="array" aca="1" ref="GX1542" ca="1">IFERROR(INDEX(nombres[],SMALL(IF(OFFSET(nombres[],0,0,ROWS(nombres[]),1)=GX$1490,ROW(OFFSET(nombres[],0,0,ROWS(nombres[]),1))-ROW(OFFSET(nombres[],0,0,1,1))+1,ROW(OFFSET(nombres[],ROWS(nombres[])-1,0,1,1))+1),$O1542:$O1561),3),"")</f>
        <v/>
      </c>
      <c r="GY1542" s="42" t="str">
        <f t="array" aca="1" ref="GY1542" ca="1">IFERROR(INDEX(nombres[],SMALL(IF(OFFSET(nombres[],0,0,ROWS(nombres[]),1)=GY$1490,ROW(OFFSET(nombres[],0,0,ROWS(nombres[]),1))-ROW(OFFSET(nombres[],0,0,1,1))+1,ROW(OFFSET(nombres[],ROWS(nombres[])-1,0,1,1))+1),$O1542:$O1561),3),"")</f>
        <v/>
      </c>
      <c r="GZ1542" s="42" t="str">
        <f t="array" aca="1" ref="GZ1542" ca="1">IFERROR(INDEX(nombres[],SMALL(IF(OFFSET(nombres[],0,0,ROWS(nombres[]),1)=GZ$1490,ROW(OFFSET(nombres[],0,0,ROWS(nombres[]),1))-ROW(OFFSET(nombres[],0,0,1,1))+1,ROW(OFFSET(nombres[],ROWS(nombres[])-1,0,1,1))+1),$O1542:$O1561),3),"")</f>
        <v/>
      </c>
      <c r="HA1542" s="42" t="str">
        <f t="array" aca="1" ref="HA1542" ca="1">IFERROR(INDEX(nombres[],SMALL(IF(OFFSET(nombres[],0,0,ROWS(nombres[]),1)=HA$1490,ROW(OFFSET(nombres[],0,0,ROWS(nombres[]),1))-ROW(OFFSET(nombres[],0,0,1,1))+1,ROW(OFFSET(nombres[],ROWS(nombres[])-1,0,1,1))+1),$O1542:$O1561),3),"")</f>
        <v/>
      </c>
      <c r="HB1542" s="42" t="str">
        <f t="array" aca="1" ref="HB1542" ca="1">IFERROR(INDEX(nombres[],SMALL(IF(OFFSET(nombres[],0,0,ROWS(nombres[]),1)=HB$1490,ROW(OFFSET(nombres[],0,0,ROWS(nombres[]),1))-ROW(OFFSET(nombres[],0,0,1,1))+1,ROW(OFFSET(nombres[],ROWS(nombres[])-1,0,1,1))+1),$O1542:$O1561),3),"")</f>
        <v/>
      </c>
      <c r="HC1542" s="42" t="str">
        <f t="array" aca="1" ref="HC1542" ca="1">IFERROR(INDEX(nombres[],SMALL(IF(OFFSET(nombres[],0,0,ROWS(nombres[]),1)=HC$1490,ROW(OFFSET(nombres[],0,0,ROWS(nombres[]),1))-ROW(OFFSET(nombres[],0,0,1,1))+1,ROW(OFFSET(nombres[],ROWS(nombres[])-1,0,1,1))+1),$O1542:$O1561),3),"")</f>
        <v/>
      </c>
      <c r="HD1542" s="42" t="str">
        <f t="array" aca="1" ref="HD1542" ca="1">IFERROR(INDEX(nombres[],SMALL(IF(OFFSET(nombres[],0,0,ROWS(nombres[]),1)=HD$1490,ROW(OFFSET(nombres[],0,0,ROWS(nombres[]),1))-ROW(OFFSET(nombres[],0,0,1,1))+1,ROW(OFFSET(nombres[],ROWS(nombres[])-1,0,1,1))+1),$O1542:$O1561),3),"")</f>
        <v/>
      </c>
      <c r="HE1542" s="42" t="str">
        <f t="array" aca="1" ref="HE1542" ca="1">IFERROR(INDEX(nombres[],SMALL(IF(OFFSET(nombres[],0,0,ROWS(nombres[]),1)=HE$1490,ROW(OFFSET(nombres[],0,0,ROWS(nombres[]),1))-ROW(OFFSET(nombres[],0,0,1,1))+1,ROW(OFFSET(nombres[],ROWS(nombres[])-1,0,1,1))+1),$O1542:$O1561),3),"")</f>
        <v/>
      </c>
      <c r="HF1542" s="42" t="str">
        <f t="array" aca="1" ref="HF1542" ca="1">IFERROR(INDEX(nombres[],SMALL(IF(OFFSET(nombres[],0,0,ROWS(nombres[]),1)=HF$1490,ROW(OFFSET(nombres[],0,0,ROWS(nombres[]),1))-ROW(OFFSET(nombres[],0,0,1,1))+1,ROW(OFFSET(nombres[],ROWS(nombres[])-1,0,1,1))+1),$O1542:$O1561),3),"")</f>
        <v/>
      </c>
      <c r="HG1542" s="42" t="str">
        <f t="array" aca="1" ref="HG1542" ca="1">IFERROR(INDEX(nombres[],SMALL(IF(OFFSET(nombres[],0,0,ROWS(nombres[]),1)=HG$1490,ROW(OFFSET(nombres[],0,0,ROWS(nombres[]),1))-ROW(OFFSET(nombres[],0,0,1,1))+1,ROW(OFFSET(nombres[],ROWS(nombres[])-1,0,1,1))+1),$O1542:$O1561),3),"")</f>
        <v/>
      </c>
      <c r="HH1542" s="42" t="str">
        <f t="array" aca="1" ref="HH1542" ca="1">IFERROR(INDEX(nombres[],SMALL(IF(OFFSET(nombres[],0,0,ROWS(nombres[]),1)=HH$1490,ROW(OFFSET(nombres[],0,0,ROWS(nombres[]),1))-ROW(OFFSET(nombres[],0,0,1,1))+1,ROW(OFFSET(nombres[],ROWS(nombres[])-1,0,1,1))+1),$O1542:$O1561),3),"")</f>
        <v/>
      </c>
      <c r="HI1542" s="42" t="str">
        <f t="array" aca="1" ref="HI1542" ca="1">IFERROR(INDEX(nombres[],SMALL(IF(OFFSET(nombres[],0,0,ROWS(nombres[]),1)=HI$1490,ROW(OFFSET(nombres[],0,0,ROWS(nombres[]),1))-ROW(OFFSET(nombres[],0,0,1,1))+1,ROW(OFFSET(nombres[],ROWS(nombres[])-1,0,1,1))+1),$O1542:$O1561),3),"")</f>
        <v/>
      </c>
      <c r="HJ1542" s="42" t="str">
        <f t="array" aca="1" ref="HJ1542" ca="1">IFERROR(INDEX(nombres[],SMALL(IF(OFFSET(nombres[],0,0,ROWS(nombres[]),1)=HJ$1490,ROW(OFFSET(nombres[],0,0,ROWS(nombres[]),1))-ROW(OFFSET(nombres[],0,0,1,1))+1,ROW(OFFSET(nombres[],ROWS(nombres[])-1,0,1,1))+1),$O1542:$O1561),3),"")</f>
        <v/>
      </c>
      <c r="HK1542" s="42" t="str">
        <f t="array" aca="1" ref="HK1542" ca="1">IFERROR(INDEX(nombres[],SMALL(IF(OFFSET(nombres[],0,0,ROWS(nombres[]),1)=HK$1490,ROW(OFFSET(nombres[],0,0,ROWS(nombres[]),1))-ROW(OFFSET(nombres[],0,0,1,1))+1,ROW(OFFSET(nombres[],ROWS(nombres[])-1,0,1,1))+1),$O1542:$O1561),3),"")</f>
        <v/>
      </c>
      <c r="HL1542" s="42" t="str">
        <f t="array" aca="1" ref="HL1542" ca="1">IFERROR(INDEX(nombres[],SMALL(IF(OFFSET(nombres[],0,0,ROWS(nombres[]),1)=HL$1490,ROW(OFFSET(nombres[],0,0,ROWS(nombres[]),1))-ROW(OFFSET(nombres[],0,0,1,1))+1,ROW(OFFSET(nombres[],ROWS(nombres[])-1,0,1,1))+1),$O1542:$O1561),3),"")</f>
        <v/>
      </c>
      <c r="HM1542" s="42" t="str">
        <f t="array" aca="1" ref="HM1542" ca="1">IFERROR(INDEX(nombres[],SMALL(IF(OFFSET(nombres[],0,0,ROWS(nombres[]),1)=HM$1490,ROW(OFFSET(nombres[],0,0,ROWS(nombres[]),1))-ROW(OFFSET(nombres[],0,0,1,1))+1,ROW(OFFSET(nombres[],ROWS(nombres[])-1,0,1,1))+1),$O1542:$O1561),3),"")</f>
        <v/>
      </c>
      <c r="HN1542" s="42" t="str">
        <f t="array" aca="1" ref="HN1542" ca="1">IFERROR(INDEX(nombres[],SMALL(IF(OFFSET(nombres[],0,0,ROWS(nombres[]),1)=HN$1490,ROW(OFFSET(nombres[],0,0,ROWS(nombres[]),1))-ROW(OFFSET(nombres[],0,0,1,1))+1,ROW(OFFSET(nombres[],ROWS(nombres[])-1,0,1,1))+1),$O1542:$O1561),3),"")</f>
        <v/>
      </c>
      <c r="HO1542" s="42" t="str">
        <f t="array" aca="1" ref="HO1542" ca="1">IFERROR(INDEX(nombres[],SMALL(IF(OFFSET(nombres[],0,0,ROWS(nombres[]),1)=HO$1490,ROW(OFFSET(nombres[],0,0,ROWS(nombres[]),1))-ROW(OFFSET(nombres[],0,0,1,1))+1,ROW(OFFSET(nombres[],ROWS(nombres[])-1,0,1,1))+1),$O1542:$O1561),3),"")</f>
        <v/>
      </c>
      <c r="HP1542" s="42" t="str">
        <f t="array" aca="1" ref="HP1542" ca="1">IFERROR(INDEX(nombres[],SMALL(IF(OFFSET(nombres[],0,0,ROWS(nombres[]),1)=HP$1490,ROW(OFFSET(nombres[],0,0,ROWS(nombres[]),1))-ROW(OFFSET(nombres[],0,0,1,1))+1,ROW(OFFSET(nombres[],ROWS(nombres[])-1,0,1,1))+1),$O1542:$O1561),3),"")</f>
        <v/>
      </c>
      <c r="HQ1542" s="42" t="str">
        <f t="array" aca="1" ref="HQ1542" ca="1">IFERROR(INDEX(nombres[],SMALL(IF(OFFSET(nombres[],0,0,ROWS(nombres[]),1)=HQ$1490,ROW(OFFSET(nombres[],0,0,ROWS(nombres[]),1))-ROW(OFFSET(nombres[],0,0,1,1))+1,ROW(OFFSET(nombres[],ROWS(nombres[])-1,0,1,1))+1),$O1542:$O1561),3),"")</f>
        <v/>
      </c>
      <c r="HR1542" s="42" t="str">
        <f t="array" aca="1" ref="HR1542" ca="1">IFERROR(INDEX(nombres[],SMALL(IF(OFFSET(nombres[],0,0,ROWS(nombres[]),1)=HR$1490,ROW(OFFSET(nombres[],0,0,ROWS(nombres[]),1))-ROW(OFFSET(nombres[],0,0,1,1))+1,ROW(OFFSET(nombres[],ROWS(nombres[])-1,0,1,1))+1),$O1542:$O1561),3),"")</f>
        <v/>
      </c>
      <c r="HS1542" s="42" t="str">
        <f t="array" aca="1" ref="HS1542" ca="1">IFERROR(INDEX(nombres[],SMALL(IF(OFFSET(nombres[],0,0,ROWS(nombres[]),1)=HS$1490,ROW(OFFSET(nombres[],0,0,ROWS(nombres[]),1))-ROW(OFFSET(nombres[],0,0,1,1))+1,ROW(OFFSET(nombres[],ROWS(nombres[])-1,0,1,1))+1),$O1542:$O1561),3),"")</f>
        <v/>
      </c>
      <c r="HT1542" s="42" t="str">
        <f t="array" aca="1" ref="HT1542" ca="1">IFERROR(INDEX(nombres[],SMALL(IF(OFFSET(nombres[],0,0,ROWS(nombres[]),1)=HT$1490,ROW(OFFSET(nombres[],0,0,ROWS(nombres[]),1))-ROW(OFFSET(nombres[],0,0,1,1))+1,ROW(OFFSET(nombres[],ROWS(nombres[])-1,0,1,1))+1),$O1542:$O1561),3),"")</f>
        <v/>
      </c>
      <c r="HU1542" s="42" t="str">
        <f t="array" aca="1" ref="HU1542" ca="1">IFERROR(INDEX(nombres[],SMALL(IF(OFFSET(nombres[],0,0,ROWS(nombres[]),1)=HU$1490,ROW(OFFSET(nombres[],0,0,ROWS(nombres[]),1))-ROW(OFFSET(nombres[],0,0,1,1))+1,ROW(OFFSET(nombres[],ROWS(nombres[])-1,0,1,1))+1),$O1542:$O1561),3),"")</f>
        <v/>
      </c>
      <c r="HV1542" s="42" t="str">
        <f t="array" aca="1" ref="HV1542" ca="1">IFERROR(INDEX(nombres[],SMALL(IF(OFFSET(nombres[],0,0,ROWS(nombres[]),1)=HV$1490,ROW(OFFSET(nombres[],0,0,ROWS(nombres[]),1))-ROW(OFFSET(nombres[],0,0,1,1))+1,ROW(OFFSET(nombres[],ROWS(nombres[])-1,0,1,1))+1),$O1542:$O1561),3),"")</f>
        <v/>
      </c>
      <c r="HW1542" s="42" t="str">
        <f t="array" aca="1" ref="HW1542" ca="1">IFERROR(INDEX(nombres[],SMALL(IF(OFFSET(nombres[],0,0,ROWS(nombres[]),1)=HW$1490,ROW(OFFSET(nombres[],0,0,ROWS(nombres[]),1))-ROW(OFFSET(nombres[],0,0,1,1))+1,ROW(OFFSET(nombres[],ROWS(nombres[])-1,0,1,1))+1),$O1542:$O1561),3),"")</f>
        <v/>
      </c>
      <c r="HX1542" s="42" t="str">
        <f t="array" aca="1" ref="HX1542" ca="1">IFERROR(INDEX(nombres[],SMALL(IF(OFFSET(nombres[],0,0,ROWS(nombres[]),1)=HX$1490,ROW(OFFSET(nombres[],0,0,ROWS(nombres[]),1))-ROW(OFFSET(nombres[],0,0,1,1))+1,ROW(OFFSET(nombres[],ROWS(nombres[])-1,0,1,1))+1),$O1542:$O1561),3),"")</f>
        <v/>
      </c>
      <c r="HY1542" s="42" t="str">
        <f t="array" aca="1" ref="HY1542" ca="1">IFERROR(INDEX(nombres[],SMALL(IF(OFFSET(nombres[],0,0,ROWS(nombres[]),1)=HY$1490,ROW(OFFSET(nombres[],0,0,ROWS(nombres[]),1))-ROW(OFFSET(nombres[],0,0,1,1))+1,ROW(OFFSET(nombres[],ROWS(nombres[])-1,0,1,1))+1),$O1542:$O1561),3),"")</f>
        <v/>
      </c>
      <c r="HZ1542" s="42" t="str">
        <f t="array" aca="1" ref="HZ1542" ca="1">IFERROR(INDEX(nombres[],SMALL(IF(OFFSET(nombres[],0,0,ROWS(nombres[]),1)=HZ$1490,ROW(OFFSET(nombres[],0,0,ROWS(nombres[]),1))-ROW(OFFSET(nombres[],0,0,1,1))+1,ROW(OFFSET(nombres[],ROWS(nombres[])-1,0,1,1))+1),$O1542:$O1561),3),"")</f>
        <v/>
      </c>
      <c r="IA1542" s="42" t="str">
        <f t="array" aca="1" ref="IA1542" ca="1">IFERROR(INDEX(nombres[],SMALL(IF(OFFSET(nombres[],0,0,ROWS(nombres[]),1)=IA$1490,ROW(OFFSET(nombres[],0,0,ROWS(nombres[]),1))-ROW(OFFSET(nombres[],0,0,1,1))+1,ROW(OFFSET(nombres[],ROWS(nombres[])-1,0,1,1))+1),$O1542:$O1561),3),"")</f>
        <v/>
      </c>
      <c r="IB1542" s="42" t="str">
        <f t="array" aca="1" ref="IB1542" ca="1">IFERROR(INDEX(nombres[],SMALL(IF(OFFSET(nombres[],0,0,ROWS(nombres[]),1)=IB$1490,ROW(OFFSET(nombres[],0,0,ROWS(nombres[]),1))-ROW(OFFSET(nombres[],0,0,1,1))+1,ROW(OFFSET(nombres[],ROWS(nombres[])-1,0,1,1))+1),$O1542:$O1561),3),"")</f>
        <v/>
      </c>
      <c r="IC1542" s="42" t="str">
        <f t="array" aca="1" ref="IC1542" ca="1">IFERROR(INDEX(nombres[],SMALL(IF(OFFSET(nombres[],0,0,ROWS(nombres[]),1)=IC$1490,ROW(OFFSET(nombres[],0,0,ROWS(nombres[]),1))-ROW(OFFSET(nombres[],0,0,1,1))+1,ROW(OFFSET(nombres[],ROWS(nombres[])-1,0,1,1))+1),$O1542:$O1561),3),"")</f>
        <v/>
      </c>
      <c r="ID1542" s="42" t="str">
        <f t="array" aca="1" ref="ID1542" ca="1">IFERROR(INDEX(nombres[],SMALL(IF(OFFSET(nombres[],0,0,ROWS(nombres[]),1)=ID$1490,ROW(OFFSET(nombres[],0,0,ROWS(nombres[]),1))-ROW(OFFSET(nombres[],0,0,1,1))+1,ROW(OFFSET(nombres[],ROWS(nombres[])-1,0,1,1))+1),$O1542:$O1561),3),"")</f>
        <v/>
      </c>
      <c r="IE1542" s="42" t="str">
        <f t="array" aca="1" ref="IE1542" ca="1">IFERROR(INDEX(nombres[],SMALL(IF(OFFSET(nombres[],0,0,ROWS(nombres[]),1)=IE$1490,ROW(OFFSET(nombres[],0,0,ROWS(nombres[]),1))-ROW(OFFSET(nombres[],0,0,1,1))+1,ROW(OFFSET(nombres[],ROWS(nombres[])-1,0,1,1))+1),$O1542:$O1561),3),"")</f>
        <v/>
      </c>
      <c r="IF1542" s="42" t="str">
        <f t="array" aca="1" ref="IF1542" ca="1">IFERROR(INDEX(nombres[],SMALL(IF(OFFSET(nombres[],0,0,ROWS(nombres[]),1)=IF$1490,ROW(OFFSET(nombres[],0,0,ROWS(nombres[]),1))-ROW(OFFSET(nombres[],0,0,1,1))+1,ROW(OFFSET(nombres[],ROWS(nombres[])-1,0,1,1))+1),$O1542:$O1561),3),"")</f>
        <v/>
      </c>
      <c r="IG1542" s="42" t="str">
        <f t="array" aca="1" ref="IG1542" ca="1">IFERROR(INDEX(nombres[],SMALL(IF(OFFSET(nombres[],0,0,ROWS(nombres[]),1)=IG$1490,ROW(OFFSET(nombres[],0,0,ROWS(nombres[]),1))-ROW(OFFSET(nombres[],0,0,1,1))+1,ROW(OFFSET(nombres[],ROWS(nombres[])-1,0,1,1))+1),$O1542:$O1561),3),"")</f>
        <v/>
      </c>
      <c r="IH1542" s="42" t="str">
        <f t="array" aca="1" ref="IH1542" ca="1">IFERROR(INDEX(nombres[],SMALL(IF(OFFSET(nombres[],0,0,ROWS(nombres[]),1)=IH$1490,ROW(OFFSET(nombres[],0,0,ROWS(nombres[]),1))-ROW(OFFSET(nombres[],0,0,1,1))+1,ROW(OFFSET(nombres[],ROWS(nombres[])-1,0,1,1))+1),$O1542:$O1561),3),"")</f>
        <v/>
      </c>
      <c r="II1542" s="42" t="str">
        <f t="array" aca="1" ref="II1542" ca="1">IFERROR(INDEX(nombres[],SMALL(IF(OFFSET(nombres[],0,0,ROWS(nombres[]),1)=II$1490,ROW(OFFSET(nombres[],0,0,ROWS(nombres[]),1))-ROW(OFFSET(nombres[],0,0,1,1))+1,ROW(OFFSET(nombres[],ROWS(nombres[])-1,0,1,1))+1),$O1542:$O1561),3),"")</f>
        <v/>
      </c>
      <c r="IJ1542" s="42" t="str">
        <f t="array" aca="1" ref="IJ1542" ca="1">IFERROR(INDEX(nombres[],SMALL(IF(OFFSET(nombres[],0,0,ROWS(nombres[]),1)=IJ$1490,ROW(OFFSET(nombres[],0,0,ROWS(nombres[]),1))-ROW(OFFSET(nombres[],0,0,1,1))+1,ROW(OFFSET(nombres[],ROWS(nombres[])-1,0,1,1))+1),$O1542:$O1561),3),"")</f>
        <v/>
      </c>
      <c r="IK1542" s="42" t="str">
        <f t="array" aca="1" ref="IK1542" ca="1">IFERROR(INDEX(nombres[],SMALL(IF(OFFSET(nombres[],0,0,ROWS(nombres[]),1)=IK$1490,ROW(OFFSET(nombres[],0,0,ROWS(nombres[]),1))-ROW(OFFSET(nombres[],0,0,1,1))+1,ROW(OFFSET(nombres[],ROWS(nombres[])-1,0,1,1))+1),$O1542:$O1561),3),"")</f>
        <v/>
      </c>
      <c r="IL1542" s="42" t="str">
        <f t="array" aca="1" ref="IL1542" ca="1">IFERROR(INDEX(nombres[],SMALL(IF(OFFSET(nombres[],0,0,ROWS(nombres[]),1)=IL$1490,ROW(OFFSET(nombres[],0,0,ROWS(nombres[]),1))-ROW(OFFSET(nombres[],0,0,1,1))+1,ROW(OFFSET(nombres[],ROWS(nombres[])-1,0,1,1))+1),$O1542:$O1561),3),"")</f>
        <v/>
      </c>
      <c r="IM1542" s="42" t="str">
        <f t="array" aca="1" ref="IM1542" ca="1">IFERROR(INDEX(nombres[],SMALL(IF(OFFSET(nombres[],0,0,ROWS(nombres[]),1)=IM$1490,ROW(OFFSET(nombres[],0,0,ROWS(nombres[]),1))-ROW(OFFSET(nombres[],0,0,1,1))+1,ROW(OFFSET(nombres[],ROWS(nombres[])-1,0,1,1))+1),$O1542:$O1561),3),"")</f>
        <v/>
      </c>
      <c r="IN1542" s="42" t="str">
        <f t="array" aca="1" ref="IN1542" ca="1">IFERROR(INDEX(nombres[],SMALL(IF(OFFSET(nombres[],0,0,ROWS(nombres[]),1)=IN$1490,ROW(OFFSET(nombres[],0,0,ROWS(nombres[]),1))-ROW(OFFSET(nombres[],0,0,1,1))+1,ROW(OFFSET(nombres[],ROWS(nombres[])-1,0,1,1))+1),$O1542:$O1561),3),"")</f>
        <v/>
      </c>
      <c r="IO1542" s="42" t="str">
        <f t="array" aca="1" ref="IO1542" ca="1">IFERROR(INDEX(nombres[],SMALL(IF(OFFSET(nombres[],0,0,ROWS(nombres[]),1)=IO$1490,ROW(OFFSET(nombres[],0,0,ROWS(nombres[]),1))-ROW(OFFSET(nombres[],0,0,1,1))+1,ROW(OFFSET(nombres[],ROWS(nombres[])-1,0,1,1))+1),$O1542:$O1561),3),"")</f>
        <v/>
      </c>
      <c r="IP1542" s="42" t="str">
        <f t="array" aca="1" ref="IP1542" ca="1">IFERROR(INDEX(nombres[],SMALL(IF(OFFSET(nombres[],0,0,ROWS(nombres[]),1)=IP$1490,ROW(OFFSET(nombres[],0,0,ROWS(nombres[]),1))-ROW(OFFSET(nombres[],0,0,1,1))+1,ROW(OFFSET(nombres[],ROWS(nombres[])-1,0,1,1))+1),$O1542:$O1561),3),"")</f>
        <v/>
      </c>
      <c r="IQ1542" s="42" t="str">
        <f t="array" aca="1" ref="IQ1542" ca="1">IFERROR(INDEX(nombres[],SMALL(IF(OFFSET(nombres[],0,0,ROWS(nombres[]),1)=IQ$1490,ROW(OFFSET(nombres[],0,0,ROWS(nombres[]),1))-ROW(OFFSET(nombres[],0,0,1,1))+1,ROW(OFFSET(nombres[],ROWS(nombres[])-1,0,1,1))+1),$O1542:$O1561),3),"")</f>
        <v/>
      </c>
      <c r="IR1542" s="42" t="str">
        <f t="array" aca="1" ref="IR1542" ca="1">IFERROR(INDEX(nombres[],SMALL(IF(OFFSET(nombres[],0,0,ROWS(nombres[]),1)=IR$1490,ROW(OFFSET(nombres[],0,0,ROWS(nombres[]),1))-ROW(OFFSET(nombres[],0,0,1,1))+1,ROW(OFFSET(nombres[],ROWS(nombres[])-1,0,1,1))+1),$O1542:$O1561),3),"")</f>
        <v/>
      </c>
      <c r="IS1542" s="42" t="str">
        <f t="array" aca="1" ref="IS1542" ca="1">IFERROR(INDEX(nombres[],SMALL(IF(OFFSET(nombres[],0,0,ROWS(nombres[]),1)=IS$1490,ROW(OFFSET(nombres[],0,0,ROWS(nombres[]),1))-ROW(OFFSET(nombres[],0,0,1,1))+1,ROW(OFFSET(nombres[],ROWS(nombres[])-1,0,1,1))+1),$O1542:$O1561),3),"")</f>
        <v/>
      </c>
      <c r="IT1542" s="42" t="str">
        <f t="array" aca="1" ref="IT1542" ca="1">IFERROR(INDEX(nombres[],SMALL(IF(OFFSET(nombres[],0,0,ROWS(nombres[]),1)=IT$1490,ROW(OFFSET(nombres[],0,0,ROWS(nombres[]),1))-ROW(OFFSET(nombres[],0,0,1,1))+1,ROW(OFFSET(nombres[],ROWS(nombres[])-1,0,1,1))+1),$O1542:$O1561),3),"")</f>
        <v/>
      </c>
      <c r="IU1542" s="42" t="str">
        <f t="array" aca="1" ref="IU1542" ca="1">IFERROR(INDEX(nombres[],SMALL(IF(OFFSET(nombres[],0,0,ROWS(nombres[]),1)=IU$1490,ROW(OFFSET(nombres[],0,0,ROWS(nombres[]),1))-ROW(OFFSET(nombres[],0,0,1,1))+1,ROW(OFFSET(nombres[],ROWS(nombres[])-1,0,1,1))+1),$O1542:$O1561),3),"")</f>
        <v/>
      </c>
      <c r="IV1542" s="42" t="str">
        <f t="array" aca="1" ref="IV1542" ca="1">IFERROR(INDEX(nombres[],SMALL(IF(OFFSET(nombres[],0,0,ROWS(nombres[]),1)=IV$1490,ROW(OFFSET(nombres[],0,0,ROWS(nombres[]),1))-ROW(OFFSET(nombres[],0,0,1,1))+1,ROW(OFFSET(nombres[],ROWS(nombres[])-1,0,1,1))+1),$O1542:$O1561),3),"")</f>
        <v/>
      </c>
      <c r="IW1542" s="42" t="str">
        <f t="array" aca="1" ref="IW1542" ca="1">IFERROR(INDEX(nombres[],SMALL(IF(OFFSET(nombres[],0,0,ROWS(nombres[]),1)=IW$1490,ROW(OFFSET(nombres[],0,0,ROWS(nombres[]),1))-ROW(OFFSET(nombres[],0,0,1,1))+1,ROW(OFFSET(nombres[],ROWS(nombres[])-1,0,1,1))+1),$O1542:$O1561),3),"")</f>
        <v/>
      </c>
      <c r="IX1542" s="42" t="str">
        <f t="array" aca="1" ref="IX1542" ca="1">IFERROR(INDEX(nombres[],SMALL(IF(OFFSET(nombres[],0,0,ROWS(nombres[]),1)=IX$1490,ROW(OFFSET(nombres[],0,0,ROWS(nombres[]),1))-ROW(OFFSET(nombres[],0,0,1,1))+1,ROW(OFFSET(nombres[],ROWS(nombres[])-1,0,1,1))+1),$O1542:$O1561),3),"")</f>
        <v/>
      </c>
      <c r="IY1542" s="42" t="str">
        <f t="array" aca="1" ref="IY1542" ca="1">IFERROR(INDEX(nombres[],SMALL(IF(OFFSET(nombres[],0,0,ROWS(nombres[]),1)=IY$1490,ROW(OFFSET(nombres[],0,0,ROWS(nombres[]),1))-ROW(OFFSET(nombres[],0,0,1,1))+1,ROW(OFFSET(nombres[],ROWS(nombres[])-1,0,1,1))+1),$O1542:$O1561),3),"")</f>
        <v/>
      </c>
      <c r="IZ1542" s="42" t="str">
        <f t="array" aca="1" ref="IZ1542" ca="1">IFERROR(INDEX(nombres[],SMALL(IF(OFFSET(nombres[],0,0,ROWS(nombres[]),1)=IZ$1490,ROW(OFFSET(nombres[],0,0,ROWS(nombres[]),1))-ROW(OFFSET(nombres[],0,0,1,1))+1,ROW(OFFSET(nombres[],ROWS(nombres[])-1,0,1,1))+1),$O1542:$O1561),3),"")</f>
        <v/>
      </c>
      <c r="JA1542" s="42" t="str">
        <f t="array" aca="1" ref="JA1542" ca="1">IFERROR(INDEX(nombres[],SMALL(IF(OFFSET(nombres[],0,0,ROWS(nombres[]),1)=JA$1490,ROW(OFFSET(nombres[],0,0,ROWS(nombres[]),1))-ROW(OFFSET(nombres[],0,0,1,1))+1,ROW(OFFSET(nombres[],ROWS(nombres[])-1,0,1,1))+1),$O1542:$O1561),3),"")</f>
        <v/>
      </c>
      <c r="JB1542" s="42" t="str">
        <f t="array" aca="1" ref="JB1542" ca="1">IFERROR(INDEX(nombres[],SMALL(IF(OFFSET(nombres[],0,0,ROWS(nombres[]),1)=JB$1490,ROW(OFFSET(nombres[],0,0,ROWS(nombres[]),1))-ROW(OFFSET(nombres[],0,0,1,1))+1,ROW(OFFSET(nombres[],ROWS(nombres[])-1,0,1,1))+1),$O1542:$O1561),3),"")</f>
        <v/>
      </c>
      <c r="JC1542" s="42" t="str">
        <f t="array" aca="1" ref="JC1542" ca="1">IFERROR(INDEX(nombres[],SMALL(IF(OFFSET(nombres[],0,0,ROWS(nombres[]),1)=JC$1490,ROW(OFFSET(nombres[],0,0,ROWS(nombres[]),1))-ROW(OFFSET(nombres[],0,0,1,1))+1,ROW(OFFSET(nombres[],ROWS(nombres[])-1,0,1,1))+1),$O1542:$O1561),3),"")</f>
        <v/>
      </c>
      <c r="JD1542" s="42" t="str">
        <f t="array" aca="1" ref="JD1542" ca="1">IFERROR(INDEX(nombres[],SMALL(IF(OFFSET(nombres[],0,0,ROWS(nombres[]),1)=JD$1490,ROW(OFFSET(nombres[],0,0,ROWS(nombres[]),1))-ROW(OFFSET(nombres[],0,0,1,1))+1,ROW(OFFSET(nombres[],ROWS(nombres[])-1,0,1,1))+1),$O1542:$O1561),3),"")</f>
        <v/>
      </c>
      <c r="JE1542" s="42" t="str">
        <f t="array" aca="1" ref="JE1542" ca="1">IFERROR(INDEX(nombres[],SMALL(IF(OFFSET(nombres[],0,0,ROWS(nombres[]),1)=JE$1490,ROW(OFFSET(nombres[],0,0,ROWS(nombres[]),1))-ROW(OFFSET(nombres[],0,0,1,1))+1,ROW(OFFSET(nombres[],ROWS(nombres[])-1,0,1,1))+1),$O1542:$O1561),3),"")</f>
        <v/>
      </c>
      <c r="JF1542" s="42" t="str">
        <f t="array" aca="1" ref="JF1542" ca="1">IFERROR(INDEX(nombres[],SMALL(IF(OFFSET(nombres[],0,0,ROWS(nombres[]),1)=JF$1490,ROW(OFFSET(nombres[],0,0,ROWS(nombres[]),1))-ROW(OFFSET(nombres[],0,0,1,1))+1,ROW(OFFSET(nombres[],ROWS(nombres[])-1,0,1,1))+1),$O1542:$O1561),3),"")</f>
        <v/>
      </c>
      <c r="JG1542" s="42" t="str">
        <f t="array" aca="1" ref="JG1542" ca="1">IFERROR(INDEX(nombres[],SMALL(IF(OFFSET(nombres[],0,0,ROWS(nombres[]),1)=JG$1490,ROW(OFFSET(nombres[],0,0,ROWS(nombres[]),1))-ROW(OFFSET(nombres[],0,0,1,1))+1,ROW(OFFSET(nombres[],ROWS(nombres[])-1,0,1,1))+1),$O1542:$O1561),3),"")</f>
        <v/>
      </c>
      <c r="JH1542" s="42" t="str">
        <f t="array" aca="1" ref="JH1542" ca="1">IFERROR(INDEX(nombres[],SMALL(IF(OFFSET(nombres[],0,0,ROWS(nombres[]),1)=JH$1490,ROW(OFFSET(nombres[],0,0,ROWS(nombres[]),1))-ROW(OFFSET(nombres[],0,0,1,1))+1,ROW(OFFSET(nombres[],ROWS(nombres[])-1,0,1,1))+1),$O1542:$O1561),3),"")</f>
        <v/>
      </c>
      <c r="JI1542" s="42" t="str">
        <f t="array" aca="1" ref="JI1542" ca="1">IFERROR(INDEX(nombres[],SMALL(IF(OFFSET(nombres[],0,0,ROWS(nombres[]),1)=JI$1490,ROW(OFFSET(nombres[],0,0,ROWS(nombres[]),1))-ROW(OFFSET(nombres[],0,0,1,1))+1,ROW(OFFSET(nombres[],ROWS(nombres[])-1,0,1,1))+1),$O1542:$O1561),3),"")</f>
        <v/>
      </c>
      <c r="JJ1542" s="42" t="str">
        <f t="array" aca="1" ref="JJ1542" ca="1">IFERROR(INDEX(nombres[],SMALL(IF(OFFSET(nombres[],0,0,ROWS(nombres[]),1)=JJ$1490,ROW(OFFSET(nombres[],0,0,ROWS(nombres[]),1))-ROW(OFFSET(nombres[],0,0,1,1))+1,ROW(OFFSET(nombres[],ROWS(nombres[])-1,0,1,1))+1),$O1542:$O1561),3),"")</f>
        <v/>
      </c>
      <c r="JK1542" s="42" t="str">
        <f t="array" aca="1" ref="JK1542" ca="1">IFERROR(INDEX(nombres[],SMALL(IF(OFFSET(nombres[],0,0,ROWS(nombres[]),1)=JK$1490,ROW(OFFSET(nombres[],0,0,ROWS(nombres[]),1))-ROW(OFFSET(nombres[],0,0,1,1))+1,ROW(OFFSET(nombres[],ROWS(nombres[])-1,0,1,1))+1),$O1542:$O1561),3),"")</f>
        <v/>
      </c>
      <c r="JL1542" s="42" t="str">
        <f t="array" aca="1" ref="JL1542" ca="1">IFERROR(INDEX(nombres[],SMALL(IF(OFFSET(nombres[],0,0,ROWS(nombres[]),1)=JL$1490,ROW(OFFSET(nombres[],0,0,ROWS(nombres[]),1))-ROW(OFFSET(nombres[],0,0,1,1))+1,ROW(OFFSET(nombres[],ROWS(nombres[])-1,0,1,1))+1),$O1542:$O1561),3),"")</f>
        <v/>
      </c>
      <c r="JM1542" s="42" t="str">
        <f t="array" aca="1" ref="JM1542" ca="1">IFERROR(INDEX(nombres[],SMALL(IF(OFFSET(nombres[],0,0,ROWS(nombres[]),1)=JM$1490,ROW(OFFSET(nombres[],0,0,ROWS(nombres[]),1))-ROW(OFFSET(nombres[],0,0,1,1))+1,ROW(OFFSET(nombres[],ROWS(nombres[])-1,0,1,1))+1),$O1542:$O1561),3),"")</f>
        <v/>
      </c>
      <c r="JN1542" s="42" t="str">
        <f t="array" aca="1" ref="JN1542" ca="1">IFERROR(INDEX(nombres[],SMALL(IF(OFFSET(nombres[],0,0,ROWS(nombres[]),1)=JN$1490,ROW(OFFSET(nombres[],0,0,ROWS(nombres[]),1))-ROW(OFFSET(nombres[],0,0,1,1))+1,ROW(OFFSET(nombres[],ROWS(nombres[])-1,0,1,1))+1),$O1542:$O1561),3),"")</f>
        <v/>
      </c>
      <c r="JO1542" s="42" t="str">
        <f t="array" aca="1" ref="JO1542" ca="1">IFERROR(INDEX(nombres[],SMALL(IF(OFFSET(nombres[],0,0,ROWS(nombres[]),1)=JO$1490,ROW(OFFSET(nombres[],0,0,ROWS(nombres[]),1))-ROW(OFFSET(nombres[],0,0,1,1))+1,ROW(OFFSET(nombres[],ROWS(nombres[])-1,0,1,1))+1),$O1542:$O1561),3),"")</f>
        <v/>
      </c>
      <c r="JP1542" s="42" t="str">
        <f t="array" aca="1" ref="JP1542" ca="1">IFERROR(INDEX(nombres[],SMALL(IF(OFFSET(nombres[],0,0,ROWS(nombres[]),1)=JP$1490,ROW(OFFSET(nombres[],0,0,ROWS(nombres[]),1))-ROW(OFFSET(nombres[],0,0,1,1))+1,ROW(OFFSET(nombres[],ROWS(nombres[])-1,0,1,1))+1),$O1542:$O1561),3),"")</f>
        <v/>
      </c>
      <c r="JQ1542" s="42" t="str">
        <f t="array" aca="1" ref="JQ1542" ca="1">IFERROR(INDEX(nombres[],SMALL(IF(OFFSET(nombres[],0,0,ROWS(nombres[]),1)=JQ$1490,ROW(OFFSET(nombres[],0,0,ROWS(nombres[]),1))-ROW(OFFSET(nombres[],0,0,1,1))+1,ROW(OFFSET(nombres[],ROWS(nombres[])-1,0,1,1))+1),$O1542:$O1561),3),"")</f>
        <v/>
      </c>
      <c r="JR1542" s="42" t="str">
        <f t="array" aca="1" ref="JR1542" ca="1">IFERROR(INDEX(nombres[],SMALL(IF(OFFSET(nombres[],0,0,ROWS(nombres[]),1)=JR$1490,ROW(OFFSET(nombres[],0,0,ROWS(nombres[]),1))-ROW(OFFSET(nombres[],0,0,1,1))+1,ROW(OFFSET(nombres[],ROWS(nombres[])-1,0,1,1))+1),$O1542:$O1561),3),"")</f>
        <v/>
      </c>
      <c r="JS1542" s="42" t="str">
        <f t="array" aca="1" ref="JS1542" ca="1">IFERROR(INDEX(nombres[],SMALL(IF(OFFSET(nombres[],0,0,ROWS(nombres[]),1)=JS$1490,ROW(OFFSET(nombres[],0,0,ROWS(nombres[]),1))-ROW(OFFSET(nombres[],0,0,1,1))+1,ROW(OFFSET(nombres[],ROWS(nombres[])-1,0,1,1))+1),$O1542:$O1561),3),"")</f>
        <v/>
      </c>
      <c r="JT1542" s="42" t="str">
        <f t="array" aca="1" ref="JT1542" ca="1">IFERROR(INDEX(nombres[],SMALL(IF(OFFSET(nombres[],0,0,ROWS(nombres[]),1)=JT$1490,ROW(OFFSET(nombres[],0,0,ROWS(nombres[]),1))-ROW(OFFSET(nombres[],0,0,1,1))+1,ROW(OFFSET(nombres[],ROWS(nombres[])-1,0,1,1))+1),$O1542:$O1561),3),"")</f>
        <v/>
      </c>
      <c r="JU1542" s="42" t="str">
        <f t="array" aca="1" ref="JU1542" ca="1">IFERROR(INDEX(nombres[],SMALL(IF(OFFSET(nombres[],0,0,ROWS(nombres[]),1)=JU$1490,ROW(OFFSET(nombres[],0,0,ROWS(nombres[]),1))-ROW(OFFSET(nombres[],0,0,1,1))+1,ROW(OFFSET(nombres[],ROWS(nombres[])-1,0,1,1))+1),$O1542:$O1561),3),"")</f>
        <v/>
      </c>
      <c r="JV1542" s="42" t="str">
        <f t="array" aca="1" ref="JV1542" ca="1">IFERROR(INDEX(nombres[],SMALL(IF(OFFSET(nombres[],0,0,ROWS(nombres[]),1)=JV$1490,ROW(OFFSET(nombres[],0,0,ROWS(nombres[]),1))-ROW(OFFSET(nombres[],0,0,1,1))+1,ROW(OFFSET(nombres[],ROWS(nombres[])-1,0,1,1))+1),$O1542:$O1561),3),"")</f>
        <v/>
      </c>
      <c r="JW1542" s="42" t="str">
        <f t="array" aca="1" ref="JW1542" ca="1">IFERROR(INDEX(nombres[],SMALL(IF(OFFSET(nombres[],0,0,ROWS(nombres[]),1)=JW$1490,ROW(OFFSET(nombres[],0,0,ROWS(nombres[]),1))-ROW(OFFSET(nombres[],0,0,1,1))+1,ROW(OFFSET(nombres[],ROWS(nombres[])-1,0,1,1))+1),$O1542:$O1561),3),"")</f>
        <v/>
      </c>
      <c r="JX1542" s="42" t="str">
        <f t="array" aca="1" ref="JX1542" ca="1">IFERROR(INDEX(nombres[],SMALL(IF(OFFSET(nombres[],0,0,ROWS(nombres[]),1)=JX$1490,ROW(OFFSET(nombres[],0,0,ROWS(nombres[]),1))-ROW(OFFSET(nombres[],0,0,1,1))+1,ROW(OFFSET(nombres[],ROWS(nombres[])-1,0,1,1))+1),$O1542:$O1561),3),"")</f>
        <v/>
      </c>
      <c r="JY1542" s="42">
        <f t="array" aca="1" ref="JY1542" ca="1">IFERROR(INDEX(nombres[],SMALL(IF(OFFSET(nombres[],0,0,ROWS(nombres[]),1)=JY$1490,ROW(OFFSET(nombres[],0,0,ROWS(nombres[]),1))-ROW(OFFSET(nombres[],0,0,1,1))+1,ROW(OFFSET(nombres[],ROWS(nombres[])-1,0,1,1))+1),$O1542:$O1561),3),"")</f>
        <v>590</v>
      </c>
      <c r="JZ1542" s="42" t="str">
        <f t="array" aca="1" ref="JZ1542" ca="1">IFERROR(INDEX(nombres[],SMALL(IF(OFFSET(nombres[],0,0,ROWS(nombres[]),1)=JZ$1490,ROW(OFFSET(nombres[],0,0,ROWS(nombres[]),1))-ROW(OFFSET(nombres[],0,0,1,1))+1,ROW(OFFSET(nombres[],ROWS(nombres[])-1,0,1,1))+1),$O1542:$O1561),3),"")</f>
        <v/>
      </c>
      <c r="KA1542" s="42" t="str">
        <f t="array" aca="1" ref="KA1542" ca="1">IFERROR(INDEX(nombres[],SMALL(IF(OFFSET(nombres[],0,0,ROWS(nombres[]),1)=KA$1490,ROW(OFFSET(nombres[],0,0,ROWS(nombres[]),1))-ROW(OFFSET(nombres[],0,0,1,1))+1,ROW(OFFSET(nombres[],ROWS(nombres[])-1,0,1,1))+1),$O1542:$O1561),3),"")</f>
        <v/>
      </c>
      <c r="KB1542" s="42" t="str">
        <f t="array" aca="1" ref="KB1542" ca="1">IFERROR(INDEX(nombres[],SMALL(IF(OFFSET(nombres[],0,0,ROWS(nombres[]),1)=KB$1490,ROW(OFFSET(nombres[],0,0,ROWS(nombres[]),1))-ROW(OFFSET(nombres[],0,0,1,1))+1,ROW(OFFSET(nombres[],ROWS(nombres[])-1,0,1,1))+1),$O1542:$O1561),3),"")</f>
        <v/>
      </c>
      <c r="KC1542" s="42" t="str">
        <f t="array" aca="1" ref="KC1542" ca="1">IFERROR(INDEX(nombres[],SMALL(IF(OFFSET(nombres[],0,0,ROWS(nombres[]),1)=KC$1490,ROW(OFFSET(nombres[],0,0,ROWS(nombres[]),1))-ROW(OFFSET(nombres[],0,0,1,1))+1,ROW(OFFSET(nombres[],ROWS(nombres[])-1,0,1,1))+1),$O1542:$O1561),3),"")</f>
        <v/>
      </c>
      <c r="KD1542" s="42" t="str">
        <f t="array" aca="1" ref="KD1542" ca="1">IFERROR(INDEX(nombres[],SMALL(IF(OFFSET(nombres[],0,0,ROWS(nombres[]),1)=KD$1490,ROW(OFFSET(nombres[],0,0,ROWS(nombres[]),1))-ROW(OFFSET(nombres[],0,0,1,1))+1,ROW(OFFSET(nombres[],ROWS(nombres[])-1,0,1,1))+1),$O1542:$O1561),3),"")</f>
        <v/>
      </c>
      <c r="KE1542" s="42" t="str">
        <f t="array" aca="1" ref="KE1542" ca="1">IFERROR(INDEX(nombres[],SMALL(IF(OFFSET(nombres[],0,0,ROWS(nombres[]),1)=KE$1490,ROW(OFFSET(nombres[],0,0,ROWS(nombres[]),1))-ROW(OFFSET(nombres[],0,0,1,1))+1,ROW(OFFSET(nombres[],ROWS(nombres[])-1,0,1,1))+1),$O1542:$O1561),3),"")</f>
        <v/>
      </c>
      <c r="KF1542" s="42" t="str">
        <f t="array" aca="1" ref="KF1542" ca="1">IFERROR(INDEX(nombres[],SMALL(IF(OFFSET(nombres[],0,0,ROWS(nombres[]),1)=KF$1490,ROW(OFFSET(nombres[],0,0,ROWS(nombres[]),1))-ROW(OFFSET(nombres[],0,0,1,1))+1,ROW(OFFSET(nombres[],ROWS(nombres[])-1,0,1,1))+1),$O1542:$O1561),3),"")</f>
        <v/>
      </c>
      <c r="KG1542" s="42" t="str">
        <f t="array" aca="1" ref="KG1542" ca="1">IFERROR(INDEX(nombres[],SMALL(IF(OFFSET(nombres[],0,0,ROWS(nombres[]),1)=KG$1490,ROW(OFFSET(nombres[],0,0,ROWS(nombres[]),1))-ROW(OFFSET(nombres[],0,0,1,1))+1,ROW(OFFSET(nombres[],ROWS(nombres[])-1,0,1,1))+1),$O1542:$O1561),3),"")</f>
        <v/>
      </c>
      <c r="KH1542" s="42" t="str">
        <f t="array" aca="1" ref="KH1542" ca="1">IFERROR(INDEX(nombres[],SMALL(IF(OFFSET(nombres[],0,0,ROWS(nombres[]),1)=KH$1490,ROW(OFFSET(nombres[],0,0,ROWS(nombres[]),1))-ROW(OFFSET(nombres[],0,0,1,1))+1,ROW(OFFSET(nombres[],ROWS(nombres[])-1,0,1,1))+1),$O1542:$O1561),3),"")</f>
        <v/>
      </c>
      <c r="KI1542" s="42" t="str">
        <f t="array" aca="1" ref="KI1542" ca="1">IFERROR(INDEX(nombres[],SMALL(IF(OFFSET(nombres[],0,0,ROWS(nombres[]),1)=KI$1490,ROW(OFFSET(nombres[],0,0,ROWS(nombres[]),1))-ROW(OFFSET(nombres[],0,0,1,1))+1,ROW(OFFSET(nombres[],ROWS(nombres[])-1,0,1,1))+1),$O1542:$O1561),3),"")</f>
        <v/>
      </c>
      <c r="KJ1542" s="42" t="str">
        <f t="array" aca="1" ref="KJ1542" ca="1">IFERROR(INDEX(nombres[],SMALL(IF(OFFSET(nombres[],0,0,ROWS(nombres[]),1)=KJ$1490,ROW(OFFSET(nombres[],0,0,ROWS(nombres[]),1))-ROW(OFFSET(nombres[],0,0,1,1))+1,ROW(OFFSET(nombres[],ROWS(nombres[])-1,0,1,1))+1),$O1542:$O1561),3),"")</f>
        <v/>
      </c>
      <c r="KK1542" s="42" t="str">
        <f t="array" aca="1" ref="KK1542" ca="1">IFERROR(INDEX(nombres[],SMALL(IF(OFFSET(nombres[],0,0,ROWS(nombres[]),1)=KK$1490,ROW(OFFSET(nombres[],0,0,ROWS(nombres[]),1))-ROW(OFFSET(nombres[],0,0,1,1))+1,ROW(OFFSET(nombres[],ROWS(nombres[])-1,0,1,1))+1),$O1542:$O1561),3),"")</f>
        <v/>
      </c>
      <c r="KL1542" s="42" t="str">
        <f t="array" aca="1" ref="KL1542" ca="1">IFERROR(INDEX(nombres[],SMALL(IF(OFFSET(nombres[],0,0,ROWS(nombres[]),1)=KL$1490,ROW(OFFSET(nombres[],0,0,ROWS(nombres[]),1))-ROW(OFFSET(nombres[],0,0,1,1))+1,ROW(OFFSET(nombres[],ROWS(nombres[])-1,0,1,1))+1),$O1542:$O1561),3),"")</f>
        <v/>
      </c>
      <c r="KM1542" s="42" t="str">
        <f t="array" aca="1" ref="KM1542" ca="1">IFERROR(INDEX(nombres[],SMALL(IF(OFFSET(nombres[],0,0,ROWS(nombres[]),1)=KM$1490,ROW(OFFSET(nombres[],0,0,ROWS(nombres[]),1))-ROW(OFFSET(nombres[],0,0,1,1))+1,ROW(OFFSET(nombres[],ROWS(nombres[])-1,0,1,1))+1),$O1542:$O1561),3),"")</f>
        <v/>
      </c>
      <c r="KN1542" s="42" t="str">
        <f t="array" aca="1" ref="KN1542" ca="1">IFERROR(INDEX(nombres[],SMALL(IF(OFFSET(nombres[],0,0,ROWS(nombres[]),1)=KN$1490,ROW(OFFSET(nombres[],0,0,ROWS(nombres[]),1))-ROW(OFFSET(nombres[],0,0,1,1))+1,ROW(OFFSET(nombres[],ROWS(nombres[])-1,0,1,1))+1),$O1542:$O1561),3),"")</f>
        <v/>
      </c>
      <c r="KO1542" s="42" t="str">
        <f t="array" aca="1" ref="KO1542" ca="1">IFERROR(INDEX(nombres[],SMALL(IF(OFFSET(nombres[],0,0,ROWS(nombres[]),1)=KO$1490,ROW(OFFSET(nombres[],0,0,ROWS(nombres[]),1))-ROW(OFFSET(nombres[],0,0,1,1))+1,ROW(OFFSET(nombres[],ROWS(nombres[])-1,0,1,1))+1),$O1542:$O1561),3),"")</f>
        <v/>
      </c>
      <c r="KP1542" s="42" t="str">
        <f t="array" aca="1" ref="KP1542" ca="1">IFERROR(INDEX(nombres[],SMALL(IF(OFFSET(nombres[],0,0,ROWS(nombres[]),1)=KP$1490,ROW(OFFSET(nombres[],0,0,ROWS(nombres[]),1))-ROW(OFFSET(nombres[],0,0,1,1))+1,ROW(OFFSET(nombres[],ROWS(nombres[])-1,0,1,1))+1),$O1542:$O1561),3),"")</f>
        <v/>
      </c>
      <c r="KQ1542" s="42" t="str">
        <f t="array" aca="1" ref="KQ1542" ca="1">IFERROR(INDEX(nombres[],SMALL(IF(OFFSET(nombres[],0,0,ROWS(nombres[]),1)=KQ$1490,ROW(OFFSET(nombres[],0,0,ROWS(nombres[]),1))-ROW(OFFSET(nombres[],0,0,1,1))+1,ROW(OFFSET(nombres[],ROWS(nombres[])-1,0,1,1))+1),$O1542:$O1561),3),"")</f>
        <v/>
      </c>
      <c r="KR1542" s="42" t="str">
        <f t="array" aca="1" ref="KR1542" ca="1">IFERROR(INDEX(nombres[],SMALL(IF(OFFSET(nombres[],0,0,ROWS(nombres[]),1)=KR$1490,ROW(OFFSET(nombres[],0,0,ROWS(nombres[]),1))-ROW(OFFSET(nombres[],0,0,1,1))+1,ROW(OFFSET(nombres[],ROWS(nombres[])-1,0,1,1))+1),$O1542:$O1561),3),"")</f>
        <v/>
      </c>
      <c r="KS1542" s="42" t="str">
        <f t="array" aca="1" ref="KS1542" ca="1">IFERROR(INDEX(nombres[],SMALL(IF(OFFSET(nombres[],0,0,ROWS(nombres[]),1)=KS$1490,ROW(OFFSET(nombres[],0,0,ROWS(nombres[]),1))-ROW(OFFSET(nombres[],0,0,1,1))+1,ROW(OFFSET(nombres[],ROWS(nombres[])-1,0,1,1))+1),$O1542:$O1561),3),"")</f>
        <v/>
      </c>
      <c r="KT1542" s="42" t="str">
        <f t="array" aca="1" ref="KT1542" ca="1">IFERROR(INDEX(nombres[],SMALL(IF(OFFSET(nombres[],0,0,ROWS(nombres[]),1)=KT$1490,ROW(OFFSET(nombres[],0,0,ROWS(nombres[]),1))-ROW(OFFSET(nombres[],0,0,1,1))+1,ROW(OFFSET(nombres[],ROWS(nombres[])-1,0,1,1))+1),$O1542:$O1561),3),"")</f>
        <v/>
      </c>
      <c r="KU1542" s="42" t="str">
        <f t="array" aca="1" ref="KU1542" ca="1">IFERROR(INDEX(nombres[],SMALL(IF(OFFSET(nombres[],0,0,ROWS(nombres[]),1)=KU$1490,ROW(OFFSET(nombres[],0,0,ROWS(nombres[]),1))-ROW(OFFSET(nombres[],0,0,1,1))+1,ROW(OFFSET(nombres[],ROWS(nombres[])-1,0,1,1))+1),$O1542:$O1561),3),"")</f>
        <v/>
      </c>
      <c r="KV1542" s="42" t="str">
        <f t="array" aca="1" ref="KV1542" ca="1">IFERROR(INDEX(nombres[],SMALL(IF(OFFSET(nombres[],0,0,ROWS(nombres[]),1)=KV$1490,ROW(OFFSET(nombres[],0,0,ROWS(nombres[]),1))-ROW(OFFSET(nombres[],0,0,1,1))+1,ROW(OFFSET(nombres[],ROWS(nombres[])-1,0,1,1))+1),$O1542:$O1561),3),"")</f>
        <v/>
      </c>
      <c r="KW1542" s="42" t="str">
        <f t="array" aca="1" ref="KW1542" ca="1">IFERROR(INDEX(nombres[],SMALL(IF(OFFSET(nombres[],0,0,ROWS(nombres[]),1)=KW$1490,ROW(OFFSET(nombres[],0,0,ROWS(nombres[]),1))-ROW(OFFSET(nombres[],0,0,1,1))+1,ROW(OFFSET(nombres[],ROWS(nombres[])-1,0,1,1))+1),$O1542:$O1561),3),"")</f>
        <v/>
      </c>
      <c r="KX1542" s="42" t="str">
        <f t="array" aca="1" ref="KX1542" ca="1">IFERROR(INDEX(nombres[],SMALL(IF(OFFSET(nombres[],0,0,ROWS(nombres[]),1)=KX$1490,ROW(OFFSET(nombres[],0,0,ROWS(nombres[]),1))-ROW(OFFSET(nombres[],0,0,1,1))+1,ROW(OFFSET(nombres[],ROWS(nombres[])-1,0,1,1))+1),$O1542:$O1561),3),"")</f>
        <v/>
      </c>
      <c r="KY1542" s="42" t="str">
        <f t="array" aca="1" ref="KY1542" ca="1">IFERROR(INDEX(nombres[],SMALL(IF(OFFSET(nombres[],0,0,ROWS(nombres[]),1)=KY$1490,ROW(OFFSET(nombres[],0,0,ROWS(nombres[]),1))-ROW(OFFSET(nombres[],0,0,1,1))+1,ROW(OFFSET(nombres[],ROWS(nombres[])-1,0,1,1))+1),$O1542:$O1561),3),"")</f>
        <v/>
      </c>
      <c r="KZ1542" s="42" t="str">
        <f t="array" aca="1" ref="KZ1542" ca="1">IFERROR(INDEX(nombres[],SMALL(IF(OFFSET(nombres[],0,0,ROWS(nombres[]),1)=KZ$1490,ROW(OFFSET(nombres[],0,0,ROWS(nombres[]),1))-ROW(OFFSET(nombres[],0,0,1,1))+1,ROW(OFFSET(nombres[],ROWS(nombres[])-1,0,1,1))+1),$O1542:$O1561),3),"")</f>
        <v/>
      </c>
      <c r="LA1542" s="42" t="str">
        <f t="array" aca="1" ref="LA1542" ca="1">IFERROR(INDEX(nombres[],SMALL(IF(OFFSET(nombres[],0,0,ROWS(nombres[]),1)=LA$1490,ROW(OFFSET(nombres[],0,0,ROWS(nombres[]),1))-ROW(OFFSET(nombres[],0,0,1,1))+1,ROW(OFFSET(nombres[],ROWS(nombres[])-1,0,1,1))+1),$O1542:$O1561),3),"")</f>
        <v/>
      </c>
      <c r="LB1542" s="42">
        <f t="array" aca="1" ref="LB1542" ca="1">IFERROR(INDEX(nombres[],SMALL(IF(OFFSET(nombres[],0,0,ROWS(nombres[]),1)=LB$1490,ROW(OFFSET(nombres[],0,0,ROWS(nombres[]),1))-ROW(OFFSET(nombres[],0,0,1,1))+1,ROW(OFFSET(nombres[],ROWS(nombres[])-1,0,1,1))+1),$O1542:$O1561),3),"")</f>
        <v>493</v>
      </c>
      <c r="LC1542" s="42" t="str">
        <f t="array" aca="1" ref="LC1542" ca="1">IFERROR(INDEX(nombres[],SMALL(IF(OFFSET(nombres[],0,0,ROWS(nombres[]),1)=LC$1490,ROW(OFFSET(nombres[],0,0,ROWS(nombres[]),1))-ROW(OFFSET(nombres[],0,0,1,1))+1,ROW(OFFSET(nombres[],ROWS(nombres[])-1,0,1,1))+1),$O1542:$O1561),3),"")</f>
        <v/>
      </c>
      <c r="LD1542" s="42" t="str">
        <f t="array" aca="1" ref="LD1542" ca="1">IFERROR(INDEX(nombres[],SMALL(IF(OFFSET(nombres[],0,0,ROWS(nombres[]),1)=LD$1490,ROW(OFFSET(nombres[],0,0,ROWS(nombres[]),1))-ROW(OFFSET(nombres[],0,0,1,1))+1,ROW(OFFSET(nombres[],ROWS(nombres[])-1,0,1,1))+1),$O1542:$O1561),3),"")</f>
        <v/>
      </c>
      <c r="LE1542" s="42">
        <f t="array" aca="1" ref="LE1542" ca="1">IFERROR(INDEX(nombres[],SMALL(IF(OFFSET(nombres[],0,0,ROWS(nombres[]),1)=LE$1490,ROW(OFFSET(nombres[],0,0,ROWS(nombres[]),1))-ROW(OFFSET(nombres[],0,0,1,1))+1,ROW(OFFSET(nombres[],ROWS(nombres[])-1,0,1,1))+1),$O1542:$O1561),3),"")</f>
        <v>521</v>
      </c>
      <c r="LF1542" s="42" t="str">
        <f t="array" aca="1" ref="LF1542" ca="1">IFERROR(INDEX(nombres[],SMALL(IF(OFFSET(nombres[],0,0,ROWS(nombres[]),1)=LF$1490,ROW(OFFSET(nombres[],0,0,ROWS(nombres[]),1))-ROW(OFFSET(nombres[],0,0,1,1))+1,ROW(OFFSET(nombres[],ROWS(nombres[])-1,0,1,1))+1),$O1542:$O1561),3),"")</f>
        <v/>
      </c>
      <c r="LG1542" s="42" t="str">
        <f t="array" aca="1" ref="LG1542" ca="1">IFERROR(INDEX(nombres[],SMALL(IF(OFFSET(nombres[],0,0,ROWS(nombres[]),1)=LG$1490,ROW(OFFSET(nombres[],0,0,ROWS(nombres[]),1))-ROW(OFFSET(nombres[],0,0,1,1))+1,ROW(OFFSET(nombres[],ROWS(nombres[])-1,0,1,1))+1),$O1542:$O1561),3),"")</f>
        <v/>
      </c>
      <c r="LH1542" s="42" t="str">
        <f t="array" aca="1" ref="LH1542" ca="1">IFERROR(INDEX(nombres[],SMALL(IF(OFFSET(nombres[],0,0,ROWS(nombres[]),1)=LH$1490,ROW(OFFSET(nombres[],0,0,ROWS(nombres[]),1))-ROW(OFFSET(nombres[],0,0,1,1))+1,ROW(OFFSET(nombres[],ROWS(nombres[])-1,0,1,1))+1),$O1542:$O1561),3),"")</f>
        <v/>
      </c>
      <c r="LI1542" s="42" t="str">
        <f t="array" aca="1" ref="LI1542" ca="1">IFERROR(INDEX(nombres[],SMALL(IF(OFFSET(nombres[],0,0,ROWS(nombres[]),1)=LI$1490,ROW(OFFSET(nombres[],0,0,ROWS(nombres[]),1))-ROW(OFFSET(nombres[],0,0,1,1))+1,ROW(OFFSET(nombres[],ROWS(nombres[])-1,0,1,1))+1),$O1542:$O1561),3),"")</f>
        <v/>
      </c>
      <c r="LJ1542" s="42" t="str">
        <f t="array" aca="1" ref="LJ1542" ca="1">IFERROR(INDEX(nombres[],SMALL(IF(OFFSET(nombres[],0,0,ROWS(nombres[]),1)=LJ$1490,ROW(OFFSET(nombres[],0,0,ROWS(nombres[]),1))-ROW(OFFSET(nombres[],0,0,1,1))+1,ROW(OFFSET(nombres[],ROWS(nombres[])-1,0,1,1))+1),$O1542:$O1561),3),"")</f>
        <v/>
      </c>
      <c r="LK1542" s="42" t="str">
        <f t="array" aca="1" ref="LK1542" ca="1">IFERROR(INDEX(nombres[],SMALL(IF(OFFSET(nombres[],0,0,ROWS(nombres[]),1)=LK$1490,ROW(OFFSET(nombres[],0,0,ROWS(nombres[]),1))-ROW(OFFSET(nombres[],0,0,1,1))+1,ROW(OFFSET(nombres[],ROWS(nombres[])-1,0,1,1))+1),$O1542:$O1561),3),"")</f>
        <v/>
      </c>
      <c r="LL1542" s="42" t="str">
        <f t="array" aca="1" ref="LL1542" ca="1">IFERROR(INDEX(nombres[],SMALL(IF(OFFSET(nombres[],0,0,ROWS(nombres[]),1)=LL$1490,ROW(OFFSET(nombres[],0,0,ROWS(nombres[]),1))-ROW(OFFSET(nombres[],0,0,1,1))+1,ROW(OFFSET(nombres[],ROWS(nombres[])-1,0,1,1))+1),$O1542:$O1561),3),"")</f>
        <v/>
      </c>
      <c r="LM1542" s="42" t="str">
        <f t="array" aca="1" ref="LM1542" ca="1">IFERROR(INDEX(nombres[],SMALL(IF(OFFSET(nombres[],0,0,ROWS(nombres[]),1)=LM$1490,ROW(OFFSET(nombres[],0,0,ROWS(nombres[]),1))-ROW(OFFSET(nombres[],0,0,1,1))+1,ROW(OFFSET(nombres[],ROWS(nombres[])-1,0,1,1))+1),$O1542:$O1561),3),"")</f>
        <v/>
      </c>
      <c r="LN1542" s="42" t="str">
        <f t="array" aca="1" ref="LN1542" ca="1">IFERROR(INDEX(nombres[],SMALL(IF(OFFSET(nombres[],0,0,ROWS(nombres[]),1)=LN$1490,ROW(OFFSET(nombres[],0,0,ROWS(nombres[]),1))-ROW(OFFSET(nombres[],0,0,1,1))+1,ROW(OFFSET(nombres[],ROWS(nombres[])-1,0,1,1))+1),$O1542:$O1561),3),"")</f>
        <v/>
      </c>
      <c r="LO1542" s="42" t="str">
        <f t="array" aca="1" ref="LO1542" ca="1">IFERROR(INDEX(nombres[],SMALL(IF(OFFSET(nombres[],0,0,ROWS(nombres[]),1)=LO$1490,ROW(OFFSET(nombres[],0,0,ROWS(nombres[]),1))-ROW(OFFSET(nombres[],0,0,1,1))+1,ROW(OFFSET(nombres[],ROWS(nombres[])-1,0,1,1))+1),$O1542:$O1561),3),"")</f>
        <v/>
      </c>
      <c r="LP1542" s="42" t="str">
        <f t="array" aca="1" ref="LP1542" ca="1">IFERROR(INDEX(nombres[],SMALL(IF(OFFSET(nombres[],0,0,ROWS(nombres[]),1)=LP$1490,ROW(OFFSET(nombres[],0,0,ROWS(nombres[]),1))-ROW(OFFSET(nombres[],0,0,1,1))+1,ROW(OFFSET(nombres[],ROWS(nombres[])-1,0,1,1))+1),$O1542:$O1561),3),"")</f>
        <v/>
      </c>
      <c r="LQ1542" s="42" t="str">
        <f t="array" aca="1" ref="LQ1542" ca="1">IFERROR(INDEX(nombres[],SMALL(IF(OFFSET(nombres[],0,0,ROWS(nombres[]),1)=LQ$1490,ROW(OFFSET(nombres[],0,0,ROWS(nombres[]),1))-ROW(OFFSET(nombres[],0,0,1,1))+1,ROW(OFFSET(nombres[],ROWS(nombres[])-1,0,1,1))+1),$O1542:$O1561),3),"")</f>
        <v/>
      </c>
      <c r="LR1542" s="42" t="str">
        <f t="array" aca="1" ref="LR1542" ca="1">IFERROR(INDEX(nombres[],SMALL(IF(OFFSET(nombres[],0,0,ROWS(nombres[]),1)=LR$1490,ROW(OFFSET(nombres[],0,0,ROWS(nombres[]),1))-ROW(OFFSET(nombres[],0,0,1,1))+1,ROW(OFFSET(nombres[],ROWS(nombres[])-1,0,1,1))+1),$O1542:$O1561),3),"")</f>
        <v/>
      </c>
      <c r="LS1542" s="42" t="str">
        <f t="array" aca="1" ref="LS1542" ca="1">IFERROR(INDEX(nombres[],SMALL(IF(OFFSET(nombres[],0,0,ROWS(nombres[]),1)=LS$1490,ROW(OFFSET(nombres[],0,0,ROWS(nombres[]),1))-ROW(OFFSET(nombres[],0,0,1,1))+1,ROW(OFFSET(nombres[],ROWS(nombres[])-1,0,1,1))+1),$O1542:$O1561),3),"")</f>
        <v/>
      </c>
      <c r="LT1542" s="42" t="str">
        <f t="array" aca="1" ref="LT1542" ca="1">IFERROR(INDEX(nombres[],SMALL(IF(OFFSET(nombres[],0,0,ROWS(nombres[]),1)=LT$1490,ROW(OFFSET(nombres[],0,0,ROWS(nombres[]),1))-ROW(OFFSET(nombres[],0,0,1,1))+1,ROW(OFFSET(nombres[],ROWS(nombres[])-1,0,1,1))+1),$O1542:$O1561),3),"")</f>
        <v/>
      </c>
      <c r="LU1542" s="42" t="str">
        <f t="array" aca="1" ref="LU1542" ca="1">IFERROR(INDEX(nombres[],SMALL(IF(OFFSET(nombres[],0,0,ROWS(nombres[]),1)=LU$1490,ROW(OFFSET(nombres[],0,0,ROWS(nombres[]),1))-ROW(OFFSET(nombres[],0,0,1,1))+1,ROW(OFFSET(nombres[],ROWS(nombres[])-1,0,1,1))+1),$O1542:$O1561),3),"")</f>
        <v/>
      </c>
      <c r="LV1542" s="42" t="str">
        <f t="array" aca="1" ref="LV1542" ca="1">IFERROR(INDEX(nombres[],SMALL(IF(OFFSET(nombres[],0,0,ROWS(nombres[]),1)=LV$1490,ROW(OFFSET(nombres[],0,0,ROWS(nombres[]),1))-ROW(OFFSET(nombres[],0,0,1,1))+1,ROW(OFFSET(nombres[],ROWS(nombres[])-1,0,1,1))+1),$O1542:$O1561),3),"")</f>
        <v/>
      </c>
      <c r="LW1542" s="42" t="str">
        <f t="array" aca="1" ref="LW1542" ca="1">IFERROR(INDEX(nombres[],SMALL(IF(OFFSET(nombres[],0,0,ROWS(nombres[]),1)=LW$1490,ROW(OFFSET(nombres[],0,0,ROWS(nombres[]),1))-ROW(OFFSET(nombres[],0,0,1,1))+1,ROW(OFFSET(nombres[],ROWS(nombres[])-1,0,1,1))+1),$O1542:$O1561),3),"")</f>
        <v/>
      </c>
      <c r="LX1542" s="42" t="str">
        <f t="array" aca="1" ref="LX1542" ca="1">IFERROR(INDEX(nombres[],SMALL(IF(OFFSET(nombres[],0,0,ROWS(nombres[]),1)=LX$1490,ROW(OFFSET(nombres[],0,0,ROWS(nombres[]),1))-ROW(OFFSET(nombres[],0,0,1,1))+1,ROW(OFFSET(nombres[],ROWS(nombres[])-1,0,1,1))+1),$O1542:$O1561),3),"")</f>
        <v/>
      </c>
      <c r="LY1542" s="42" t="str">
        <f t="array" aca="1" ref="LY1542" ca="1">IFERROR(INDEX(nombres[],SMALL(IF(OFFSET(nombres[],0,0,ROWS(nombres[]),1)=LY$1490,ROW(OFFSET(nombres[],0,0,ROWS(nombres[]),1))-ROW(OFFSET(nombres[],0,0,1,1))+1,ROW(OFFSET(nombres[],ROWS(nombres[])-1,0,1,1))+1),$O1542:$O1561),3),"")</f>
        <v/>
      </c>
      <c r="LZ1542" s="42" t="str">
        <f t="array" aca="1" ref="LZ1542" ca="1">IFERROR(INDEX(nombres[],SMALL(IF(OFFSET(nombres[],0,0,ROWS(nombres[]),1)=LZ$1490,ROW(OFFSET(nombres[],0,0,ROWS(nombres[]),1))-ROW(OFFSET(nombres[],0,0,1,1))+1,ROW(OFFSET(nombres[],ROWS(nombres[])-1,0,1,1))+1),$O1542:$O1561),3),"")</f>
        <v/>
      </c>
      <c r="MA1542" s="42" t="str">
        <f t="array" aca="1" ref="MA1542" ca="1">IFERROR(INDEX(nombres[],SMALL(IF(OFFSET(nombres[],0,0,ROWS(nombres[]),1)=MA$1490,ROW(OFFSET(nombres[],0,0,ROWS(nombres[]),1))-ROW(OFFSET(nombres[],0,0,1,1))+1,ROW(OFFSET(nombres[],ROWS(nombres[])-1,0,1,1))+1),$O1542:$O1561),3),"")</f>
        <v/>
      </c>
      <c r="MB1542" s="42" t="str">
        <f t="array" aca="1" ref="MB1542" ca="1">IFERROR(INDEX(nombres[],SMALL(IF(OFFSET(nombres[],0,0,ROWS(nombres[]),1)=MB$1490,ROW(OFFSET(nombres[],0,0,ROWS(nombres[]),1))-ROW(OFFSET(nombres[],0,0,1,1))+1,ROW(OFFSET(nombres[],ROWS(nombres[])-1,0,1,1))+1),$O1542:$O1561),3),"")</f>
        <v/>
      </c>
      <c r="MC1542" s="42" t="str">
        <f t="array" aca="1" ref="MC1542" ca="1">IFERROR(INDEX(nombres[],SMALL(IF(OFFSET(nombres[],0,0,ROWS(nombres[]),1)=MC$1490,ROW(OFFSET(nombres[],0,0,ROWS(nombres[]),1))-ROW(OFFSET(nombres[],0,0,1,1))+1,ROW(OFFSET(nombres[],ROWS(nombres[])-1,0,1,1))+1),$O1542:$O1561),3),"")</f>
        <v/>
      </c>
      <c r="MD1542" s="42" t="str">
        <f t="array" aca="1" ref="MD1542" ca="1">IFERROR(INDEX(nombres[],SMALL(IF(OFFSET(nombres[],0,0,ROWS(nombres[]),1)=MD$1490,ROW(OFFSET(nombres[],0,0,ROWS(nombres[]),1))-ROW(OFFSET(nombres[],0,0,1,1))+1,ROW(OFFSET(nombres[],ROWS(nombres[])-1,0,1,1))+1),$O1542:$O1561),3),"")</f>
        <v/>
      </c>
      <c r="ME1542" s="42" t="str">
        <f t="array" aca="1" ref="ME1542" ca="1">IFERROR(INDEX(nombres[],SMALL(IF(OFFSET(nombres[],0,0,ROWS(nombres[]),1)=ME$1490,ROW(OFFSET(nombres[],0,0,ROWS(nombres[]),1))-ROW(OFFSET(nombres[],0,0,1,1))+1,ROW(OFFSET(nombres[],ROWS(nombres[])-1,0,1,1))+1),$O1542:$O1561),3),"")</f>
        <v/>
      </c>
      <c r="MF1542" s="42" t="str">
        <f t="array" aca="1" ref="MF1542" ca="1">IFERROR(INDEX(nombres[],SMALL(IF(OFFSET(nombres[],0,0,ROWS(nombres[]),1)=MF$1490,ROW(OFFSET(nombres[],0,0,ROWS(nombres[]),1))-ROW(OFFSET(nombres[],0,0,1,1))+1,ROW(OFFSET(nombres[],ROWS(nombres[])-1,0,1,1))+1),$O1542:$O1561),3),"")</f>
        <v/>
      </c>
      <c r="MG1542" s="42" t="str">
        <f t="array" aca="1" ref="MG1542" ca="1">IFERROR(INDEX(nombres[],SMALL(IF(OFFSET(nombres[],0,0,ROWS(nombres[]),1)=MG$1490,ROW(OFFSET(nombres[],0,0,ROWS(nombres[]),1))-ROW(OFFSET(nombres[],0,0,1,1))+1,ROW(OFFSET(nombres[],ROWS(nombres[])-1,0,1,1))+1),$O1542:$O1561),3),"")</f>
        <v/>
      </c>
      <c r="MH1542" s="42" t="str">
        <f t="array" aca="1" ref="MH1542" ca="1">IFERROR(INDEX(nombres[],SMALL(IF(OFFSET(nombres[],0,0,ROWS(nombres[]),1)=MH$1490,ROW(OFFSET(nombres[],0,0,ROWS(nombres[]),1))-ROW(OFFSET(nombres[],0,0,1,1))+1,ROW(OFFSET(nombres[],ROWS(nombres[])-1,0,1,1))+1),$O1542:$O1561),3),"")</f>
        <v/>
      </c>
      <c r="MI1542" s="42" t="str">
        <f t="array" aca="1" ref="MI1542" ca="1">IFERROR(INDEX(nombres[],SMALL(IF(OFFSET(nombres[],0,0,ROWS(nombres[]),1)=MI$1490,ROW(OFFSET(nombres[],0,0,ROWS(nombres[]),1))-ROW(OFFSET(nombres[],0,0,1,1))+1,ROW(OFFSET(nombres[],ROWS(nombres[])-1,0,1,1))+1),$O1542:$O1561),3),"")</f>
        <v/>
      </c>
      <c r="MJ1542" s="42" t="str">
        <f t="array" aca="1" ref="MJ1542" ca="1">IFERROR(INDEX(nombres[],SMALL(IF(OFFSET(nombres[],0,0,ROWS(nombres[]),1)=MJ$1490,ROW(OFFSET(nombres[],0,0,ROWS(nombres[]),1))-ROW(OFFSET(nombres[],0,0,1,1))+1,ROW(OFFSET(nombres[],ROWS(nombres[])-1,0,1,1))+1),$O1542:$O1561),3),"")</f>
        <v/>
      </c>
      <c r="MK1542" s="42" t="str">
        <f t="array" aca="1" ref="MK1542" ca="1">IFERROR(INDEX(nombres[],SMALL(IF(OFFSET(nombres[],0,0,ROWS(nombres[]),1)=MK$1490,ROW(OFFSET(nombres[],0,0,ROWS(nombres[]),1))-ROW(OFFSET(nombres[],0,0,1,1))+1,ROW(OFFSET(nombres[],ROWS(nombres[])-1,0,1,1))+1),$O1542:$O1561),3),"")</f>
        <v/>
      </c>
      <c r="ML1542" s="42" t="str">
        <f t="array" aca="1" ref="ML1542" ca="1">IFERROR(INDEX(nombres[],SMALL(IF(OFFSET(nombres[],0,0,ROWS(nombres[]),1)=ML$1490,ROW(OFFSET(nombres[],0,0,ROWS(nombres[]),1))-ROW(OFFSET(nombres[],0,0,1,1))+1,ROW(OFFSET(nombres[],ROWS(nombres[])-1,0,1,1))+1),$O1542:$O1561),3),"")</f>
        <v/>
      </c>
      <c r="MM1542" s="42" t="str">
        <f t="array" aca="1" ref="MM1542" ca="1">IFERROR(INDEX(nombres[],SMALL(IF(OFFSET(nombres[],0,0,ROWS(nombres[]),1)=MM$1490,ROW(OFFSET(nombres[],0,0,ROWS(nombres[]),1))-ROW(OFFSET(nombres[],0,0,1,1))+1,ROW(OFFSET(nombres[],ROWS(nombres[])-1,0,1,1))+1),$O1542:$O1561),3),"")</f>
        <v/>
      </c>
      <c r="MN1542" s="42" t="str">
        <f t="array" aca="1" ref="MN1542" ca="1">IFERROR(INDEX(nombres[],SMALL(IF(OFFSET(nombres[],0,0,ROWS(nombres[]),1)=MN$1490,ROW(OFFSET(nombres[],0,0,ROWS(nombres[]),1))-ROW(OFFSET(nombres[],0,0,1,1))+1,ROW(OFFSET(nombres[],ROWS(nombres[])-1,0,1,1))+1),$O1542:$O1561),3),"")</f>
        <v/>
      </c>
      <c r="MO1542" s="42" t="str">
        <f t="array" aca="1" ref="MO1542" ca="1">IFERROR(INDEX(nombres[],SMALL(IF(OFFSET(nombres[],0,0,ROWS(nombres[]),1)=MO$1490,ROW(OFFSET(nombres[],0,0,ROWS(nombres[]),1))-ROW(OFFSET(nombres[],0,0,1,1))+1,ROW(OFFSET(nombres[],ROWS(nombres[])-1,0,1,1))+1),$O1542:$O1561),3),"")</f>
        <v/>
      </c>
      <c r="MP1542" s="42" t="str">
        <f t="array" aca="1" ref="MP1542" ca="1">IFERROR(INDEX(nombres[],SMALL(IF(OFFSET(nombres[],0,0,ROWS(nombres[]),1)=MP$1490,ROW(OFFSET(nombres[],0,0,ROWS(nombres[]),1))-ROW(OFFSET(nombres[],0,0,1,1))+1,ROW(OFFSET(nombres[],ROWS(nombres[])-1,0,1,1))+1),$O1542:$O1561),3),"")</f>
        <v/>
      </c>
      <c r="MQ1542" s="42" t="str">
        <f t="array" aca="1" ref="MQ1542" ca="1">IFERROR(INDEX(nombres[],SMALL(IF(OFFSET(nombres[],0,0,ROWS(nombres[]),1)=MQ$1490,ROW(OFFSET(nombres[],0,0,ROWS(nombres[]),1))-ROW(OFFSET(nombres[],0,0,1,1))+1,ROW(OFFSET(nombres[],ROWS(nombres[])-1,0,1,1))+1),$O1542:$O1561),3),"")</f>
        <v/>
      </c>
      <c r="MR1542" s="42" t="str">
        <f t="array" aca="1" ref="MR1542" ca="1">IFERROR(INDEX(nombres[],SMALL(IF(OFFSET(nombres[],0,0,ROWS(nombres[]),1)=MR$1490,ROW(OFFSET(nombres[],0,0,ROWS(nombres[]),1))-ROW(OFFSET(nombres[],0,0,1,1))+1,ROW(OFFSET(nombres[],ROWS(nombres[])-1,0,1,1))+1),$O1542:$O1561),3),"")</f>
        <v/>
      </c>
      <c r="MS1542" s="42" t="str">
        <f t="array" aca="1" ref="MS1542" ca="1">IFERROR(INDEX(nombres[],SMALL(IF(OFFSET(nombres[],0,0,ROWS(nombres[]),1)=MS$1490,ROW(OFFSET(nombres[],0,0,ROWS(nombres[]),1))-ROW(OFFSET(nombres[],0,0,1,1))+1,ROW(OFFSET(nombres[],ROWS(nombres[])-1,0,1,1))+1),$O1542:$O1561),3),"")</f>
        <v/>
      </c>
      <c r="MT1542" s="42" t="str">
        <f t="array" aca="1" ref="MT1542" ca="1">IFERROR(INDEX(nombres[],SMALL(IF(OFFSET(nombres[],0,0,ROWS(nombres[]),1)=MT$1490,ROW(OFFSET(nombres[],0,0,ROWS(nombres[]),1))-ROW(OFFSET(nombres[],0,0,1,1))+1,ROW(OFFSET(nombres[],ROWS(nombres[])-1,0,1,1))+1),$O1542:$O1561),3),"")</f>
        <v/>
      </c>
      <c r="MU1542" s="42" t="str">
        <f t="array" aca="1" ref="MU1542" ca="1">IFERROR(INDEX(nombres[],SMALL(IF(OFFSET(nombres[],0,0,ROWS(nombres[]),1)=MU$1490,ROW(OFFSET(nombres[],0,0,ROWS(nombres[]),1))-ROW(OFFSET(nombres[],0,0,1,1))+1,ROW(OFFSET(nombres[],ROWS(nombres[])-1,0,1,1))+1),$O1542:$O1561),3),"")</f>
        <v/>
      </c>
      <c r="MV1542" s="42" t="str">
        <f t="array" aca="1" ref="MV1542" ca="1">IFERROR(INDEX(nombres[],SMALL(IF(OFFSET(nombres[],0,0,ROWS(nombres[]),1)=MV$1490,ROW(OFFSET(nombres[],0,0,ROWS(nombres[]),1))-ROW(OFFSET(nombres[],0,0,1,1))+1,ROW(OFFSET(nombres[],ROWS(nombres[])-1,0,1,1))+1),$O1542:$O1561),3),"")</f>
        <v/>
      </c>
      <c r="MW1542" s="42" t="str">
        <f t="array" aca="1" ref="MW1542" ca="1">IFERROR(INDEX(nombres[],SMALL(IF(OFFSET(nombres[],0,0,ROWS(nombres[]),1)=MW$1490,ROW(OFFSET(nombres[],0,0,ROWS(nombres[]),1))-ROW(OFFSET(nombres[],0,0,1,1))+1,ROW(OFFSET(nombres[],ROWS(nombres[])-1,0,1,1))+1),$O1542:$O1561),3),"")</f>
        <v/>
      </c>
      <c r="MX1542" s="42" t="str">
        <f t="array" aca="1" ref="MX1542" ca="1">IFERROR(INDEX(nombres[],SMALL(IF(OFFSET(nombres[],0,0,ROWS(nombres[]),1)=MX$1490,ROW(OFFSET(nombres[],0,0,ROWS(nombres[]),1))-ROW(OFFSET(nombres[],0,0,1,1))+1,ROW(OFFSET(nombres[],ROWS(nombres[])-1,0,1,1))+1),$O1542:$O1561),3),"")</f>
        <v/>
      </c>
      <c r="MY1542" s="42" t="str">
        <f t="array" aca="1" ref="MY1542" ca="1">IFERROR(INDEX(nombres[],SMALL(IF(OFFSET(nombres[],0,0,ROWS(nombres[]),1)=MY$1490,ROW(OFFSET(nombres[],0,0,ROWS(nombres[]),1))-ROW(OFFSET(nombres[],0,0,1,1))+1,ROW(OFFSET(nombres[],ROWS(nombres[])-1,0,1,1))+1),$O1542:$O1561),3),"")</f>
        <v/>
      </c>
      <c r="MZ1542" s="42" t="str">
        <f t="array" aca="1" ref="MZ1542" ca="1">IFERROR(INDEX(nombres[],SMALL(IF(OFFSET(nombres[],0,0,ROWS(nombres[]),1)=MZ$1490,ROW(OFFSET(nombres[],0,0,ROWS(nombres[]),1))-ROW(OFFSET(nombres[],0,0,1,1))+1,ROW(OFFSET(nombres[],ROWS(nombres[])-1,0,1,1))+1),$O1542:$O1561),3),"")</f>
        <v/>
      </c>
      <c r="NA1542" s="42" t="str">
        <f t="array" aca="1" ref="NA1542" ca="1">IFERROR(INDEX(nombres[],SMALL(IF(OFFSET(nombres[],0,0,ROWS(nombres[]),1)=NA$1490,ROW(OFFSET(nombres[],0,0,ROWS(nombres[]),1))-ROW(OFFSET(nombres[],0,0,1,1))+1,ROW(OFFSET(nombres[],ROWS(nombres[])-1,0,1,1))+1),$O1542:$O1561),3),"")</f>
        <v/>
      </c>
      <c r="NB1542" s="42" t="str">
        <f t="array" aca="1" ref="NB1542" ca="1">IFERROR(INDEX(nombres[],SMALL(IF(OFFSET(nombres[],0,0,ROWS(nombres[]),1)=NB$1490,ROW(OFFSET(nombres[],0,0,ROWS(nombres[]),1))-ROW(OFFSET(nombres[],0,0,1,1))+1,ROW(OFFSET(nombres[],ROWS(nombres[])-1,0,1,1))+1),$O1542:$O1561),3),"")</f>
        <v/>
      </c>
      <c r="NC1542" s="42" t="str">
        <f t="array" aca="1" ref="NC1542" ca="1">IFERROR(INDEX(nombres[],SMALL(IF(OFFSET(nombres[],0,0,ROWS(nombres[]),1)=NC$1490,ROW(OFFSET(nombres[],0,0,ROWS(nombres[]),1))-ROW(OFFSET(nombres[],0,0,1,1))+1,ROW(OFFSET(nombres[],ROWS(nombres[])-1,0,1,1))+1),$O1542:$O1561),3),"")</f>
        <v/>
      </c>
      <c r="ND1542" s="42" t="str">
        <f t="array" aca="1" ref="ND1542" ca="1">IFERROR(INDEX(nombres[],SMALL(IF(OFFSET(nombres[],0,0,ROWS(nombres[]),1)=ND$1490,ROW(OFFSET(nombres[],0,0,ROWS(nombres[]),1))-ROW(OFFSET(nombres[],0,0,1,1))+1,ROW(OFFSET(nombres[],ROWS(nombres[])-1,0,1,1))+1),$O1542:$O1561),3),"")</f>
        <v/>
      </c>
      <c r="NE1542" s="42" t="str">
        <f t="array" aca="1" ref="NE1542" ca="1">IFERROR(INDEX(nombres[],SMALL(IF(OFFSET(nombres[],0,0,ROWS(nombres[]),1)=NE$1490,ROW(OFFSET(nombres[],0,0,ROWS(nombres[]),1))-ROW(OFFSET(nombres[],0,0,1,1))+1,ROW(OFFSET(nombres[],ROWS(nombres[])-1,0,1,1))+1),$O1542:$O1561),3),"")</f>
        <v/>
      </c>
      <c r="NF1542" s="42" t="str">
        <f t="array" aca="1" ref="NF1542" ca="1">IFERROR(INDEX(nombres[],SMALL(IF(OFFSET(nombres[],0,0,ROWS(nombres[]),1)=NF$1490,ROW(OFFSET(nombres[],0,0,ROWS(nombres[]),1))-ROW(OFFSET(nombres[],0,0,1,1))+1,ROW(OFFSET(nombres[],ROWS(nombres[])-1,0,1,1))+1),$O1542:$O1561),3),"")</f>
        <v/>
      </c>
      <c r="NG1542" s="42" t="str">
        <f t="array" aca="1" ref="NG1542" ca="1">IFERROR(INDEX(nombres[],SMALL(IF(OFFSET(nombres[],0,0,ROWS(nombres[]),1)=NG$1490,ROW(OFFSET(nombres[],0,0,ROWS(nombres[]),1))-ROW(OFFSET(nombres[],0,0,1,1))+1,ROW(OFFSET(nombres[],ROWS(nombres[])-1,0,1,1))+1),$O1542:$O1561),3),"")</f>
        <v/>
      </c>
      <c r="NH1542" s="42" t="str">
        <f t="array" aca="1" ref="NH1542" ca="1">IFERROR(INDEX(nombres[],SMALL(IF(OFFSET(nombres[],0,0,ROWS(nombres[]),1)=NH$1490,ROW(OFFSET(nombres[],0,0,ROWS(nombres[]),1))-ROW(OFFSET(nombres[],0,0,1,1))+1,ROW(OFFSET(nombres[],ROWS(nombres[])-1,0,1,1))+1),$O1542:$O1561),3),"")</f>
        <v/>
      </c>
      <c r="NI1542" s="42" t="str">
        <f t="array" aca="1" ref="NI1542" ca="1">IFERROR(INDEX(nombres[],SMALL(IF(OFFSET(nombres[],0,0,ROWS(nombres[]),1)=NI$1490,ROW(OFFSET(nombres[],0,0,ROWS(nombres[]),1))-ROW(OFFSET(nombres[],0,0,1,1))+1,ROW(OFFSET(nombres[],ROWS(nombres[])-1,0,1,1))+1),$O1542:$O1561),3),"")</f>
        <v/>
      </c>
      <c r="NJ1542" s="42" t="str">
        <f t="array" aca="1" ref="NJ1542" ca="1">IFERROR(INDEX(nombres[],SMALL(IF(OFFSET(nombres[],0,0,ROWS(nombres[]),1)=NJ$1490,ROW(OFFSET(nombres[],0,0,ROWS(nombres[]),1))-ROW(OFFSET(nombres[],0,0,1,1))+1,ROW(OFFSET(nombres[],ROWS(nombres[])-1,0,1,1))+1),$O1542:$O1561),3),"")</f>
        <v/>
      </c>
      <c r="NK1542" s="42" t="str">
        <f t="array" aca="1" ref="NK1542" ca="1">IFERROR(INDEX(nombres[],SMALL(IF(OFFSET(nombres[],0,0,ROWS(nombres[]),1)=NK$1490,ROW(OFFSET(nombres[],0,0,ROWS(nombres[]),1))-ROW(OFFSET(nombres[],0,0,1,1))+1,ROW(OFFSET(nombres[],ROWS(nombres[])-1,0,1,1))+1),$O1542:$O1561),3),"")</f>
        <v/>
      </c>
      <c r="NL1542" s="42" t="str">
        <f t="array" aca="1" ref="NL1542" ca="1">IFERROR(INDEX(nombres[],SMALL(IF(OFFSET(nombres[],0,0,ROWS(nombres[]),1)=NL$1490,ROW(OFFSET(nombres[],0,0,ROWS(nombres[]),1))-ROW(OFFSET(nombres[],0,0,1,1))+1,ROW(OFFSET(nombres[],ROWS(nombres[])-1,0,1,1))+1),$O1542:$O1561),3),"")</f>
        <v/>
      </c>
      <c r="NM1542" s="42" t="str">
        <f t="array" aca="1" ref="NM1542" ca="1">IFERROR(INDEX(nombres[],SMALL(IF(OFFSET(nombres[],0,0,ROWS(nombres[]),1)=NM$1490,ROW(OFFSET(nombres[],0,0,ROWS(nombres[]),1))-ROW(OFFSET(nombres[],0,0,1,1))+1,ROW(OFFSET(nombres[],ROWS(nombres[])-1,0,1,1))+1),$O1542:$O1561),3),"")</f>
        <v/>
      </c>
      <c r="NN1542" s="42" t="str">
        <f t="array" aca="1" ref="NN1542" ca="1">IFERROR(INDEX(nombres[],SMALL(IF(OFFSET(nombres[],0,0,ROWS(nombres[]),1)=NN$1490,ROW(OFFSET(nombres[],0,0,ROWS(nombres[]),1))-ROW(OFFSET(nombres[],0,0,1,1))+1,ROW(OFFSET(nombres[],ROWS(nombres[])-1,0,1,1))+1),$O1542:$O1561),3),"")</f>
        <v/>
      </c>
      <c r="NO1542" s="42" t="str">
        <f t="array" aca="1" ref="NO1542" ca="1">IFERROR(INDEX(nombres[],SMALL(IF(OFFSET(nombres[],0,0,ROWS(nombres[]),1)=NO$1490,ROW(OFFSET(nombres[],0,0,ROWS(nombres[]),1))-ROW(OFFSET(nombres[],0,0,1,1))+1,ROW(OFFSET(nombres[],ROWS(nombres[])-1,0,1,1))+1),$O1542:$O1561),3),"")</f>
        <v/>
      </c>
      <c r="NP1542" s="42" t="str">
        <f t="array" aca="1" ref="NP1542" ca="1">IFERROR(INDEX(nombres[],SMALL(IF(OFFSET(nombres[],0,0,ROWS(nombres[]),1)=NP$1490,ROW(OFFSET(nombres[],0,0,ROWS(nombres[]),1))-ROW(OFFSET(nombres[],0,0,1,1))+1,ROW(OFFSET(nombres[],ROWS(nombres[])-1,0,1,1))+1),$O1542:$O1561),3),"")</f>
        <v/>
      </c>
      <c r="NQ1542" s="42" t="str">
        <f t="array" aca="1" ref="NQ1542" ca="1">IFERROR(INDEX(nombres[],SMALL(IF(OFFSET(nombres[],0,0,ROWS(nombres[]),1)=NQ$1490,ROW(OFFSET(nombres[],0,0,ROWS(nombres[]),1))-ROW(OFFSET(nombres[],0,0,1,1))+1,ROW(OFFSET(nombres[],ROWS(nombres[])-1,0,1,1))+1),$O1542:$O1561),3),"")</f>
        <v/>
      </c>
      <c r="NR1542" s="42" t="str">
        <f t="array" aca="1" ref="NR1542" ca="1">IFERROR(INDEX(nombres[],SMALL(IF(OFFSET(nombres[],0,0,ROWS(nombres[]),1)=NR$1490,ROW(OFFSET(nombres[],0,0,ROWS(nombres[]),1))-ROW(OFFSET(nombres[],0,0,1,1))+1,ROW(OFFSET(nombres[],ROWS(nombres[])-1,0,1,1))+1),$O1542:$O1561),3),"")</f>
        <v/>
      </c>
      <c r="NS1542" s="42" t="str">
        <f t="array" aca="1" ref="NS1542" ca="1">IFERROR(INDEX(nombres[],SMALL(IF(OFFSET(nombres[],0,0,ROWS(nombres[]),1)=NS$1490,ROW(OFFSET(nombres[],0,0,ROWS(nombres[]),1))-ROW(OFFSET(nombres[],0,0,1,1))+1,ROW(OFFSET(nombres[],ROWS(nombres[])-1,0,1,1))+1),$O1542:$O1561),3),"")</f>
        <v/>
      </c>
      <c r="NT1542" s="42" t="str">
        <f t="array" aca="1" ref="NT1542" ca="1">IFERROR(INDEX(nombres[],SMALL(IF(OFFSET(nombres[],0,0,ROWS(nombres[]),1)=NT$1490,ROW(OFFSET(nombres[],0,0,ROWS(nombres[]),1))-ROW(OFFSET(nombres[],0,0,1,1))+1,ROW(OFFSET(nombres[],ROWS(nombres[])-1,0,1,1))+1),$O1542:$O1561),3),"")</f>
        <v/>
      </c>
      <c r="NU1542" s="42" t="str">
        <f t="array" aca="1" ref="NU1542" ca="1">IFERROR(INDEX(nombres[],SMALL(IF(OFFSET(nombres[],0,0,ROWS(nombres[]),1)=NU$1490,ROW(OFFSET(nombres[],0,0,ROWS(nombres[]),1))-ROW(OFFSET(nombres[],0,0,1,1))+1,ROW(OFFSET(nombres[],ROWS(nombres[])-1,0,1,1))+1),$O1542:$O1561),3),"")</f>
        <v/>
      </c>
      <c r="NV1542" s="42" t="str">
        <f t="array" aca="1" ref="NV1542" ca="1">IFERROR(INDEX(nombres[],SMALL(IF(OFFSET(nombres[],0,0,ROWS(nombres[]),1)=NV$1490,ROW(OFFSET(nombres[],0,0,ROWS(nombres[]),1))-ROW(OFFSET(nombres[],0,0,1,1))+1,ROW(OFFSET(nombres[],ROWS(nombres[])-1,0,1,1))+1),$O1542:$O1561),3),"")</f>
        <v/>
      </c>
      <c r="NW1542" s="42" t="str">
        <f t="array" aca="1" ref="NW1542" ca="1">IFERROR(INDEX(nombres[],SMALL(IF(OFFSET(nombres[],0,0,ROWS(nombres[]),1)=NW$1490,ROW(OFFSET(nombres[],0,0,ROWS(nombres[]),1))-ROW(OFFSET(nombres[],0,0,1,1))+1,ROW(OFFSET(nombres[],ROWS(nombres[])-1,0,1,1))+1),$O1542:$O1561),3),"")</f>
        <v/>
      </c>
      <c r="NX1542" s="42" t="str">
        <f t="array" aca="1" ref="NX1542" ca="1">IFERROR(INDEX(nombres[],SMALL(IF(OFFSET(nombres[],0,0,ROWS(nombres[]),1)=NX$1490,ROW(OFFSET(nombres[],0,0,ROWS(nombres[]),1))-ROW(OFFSET(nombres[],0,0,1,1))+1,ROW(OFFSET(nombres[],ROWS(nombres[])-1,0,1,1))+1),$O1542:$O1561),3),"")</f>
        <v/>
      </c>
      <c r="NY1542" s="42" t="str">
        <f t="array" aca="1" ref="NY1542" ca="1">IFERROR(INDEX(nombres[],SMALL(IF(OFFSET(nombres[],0,0,ROWS(nombres[]),1)=NY$1490,ROW(OFFSET(nombres[],0,0,ROWS(nombres[]),1))-ROW(OFFSET(nombres[],0,0,1,1))+1,ROW(OFFSET(nombres[],ROWS(nombres[])-1,0,1,1))+1),$O1542:$O1561),3),"")</f>
        <v/>
      </c>
      <c r="NZ1542" s="42" t="str">
        <f t="array" aca="1" ref="NZ1542" ca="1">IFERROR(INDEX(nombres[],SMALL(IF(OFFSET(nombres[],0,0,ROWS(nombres[]),1)=NZ$1490,ROW(OFFSET(nombres[],0,0,ROWS(nombres[]),1))-ROW(OFFSET(nombres[],0,0,1,1))+1,ROW(OFFSET(nombres[],ROWS(nombres[])-1,0,1,1))+1),$O1542:$O1561),3),"")</f>
        <v/>
      </c>
      <c r="OA1542" s="42" t="str">
        <f t="array" aca="1" ref="OA1542" ca="1">IFERROR(INDEX(nombres[],SMALL(IF(OFFSET(nombres[],0,0,ROWS(nombres[]),1)=OA$1490,ROW(OFFSET(nombres[],0,0,ROWS(nombres[]),1))-ROW(OFFSET(nombres[],0,0,1,1))+1,ROW(OFFSET(nombres[],ROWS(nombres[])-1,0,1,1))+1),$O1542:$O1561),3),"")</f>
        <v/>
      </c>
      <c r="OB1542" s="42" t="str">
        <f t="array" aca="1" ref="OB1542" ca="1">IFERROR(INDEX(nombres[],SMALL(IF(OFFSET(nombres[],0,0,ROWS(nombres[]),1)=OB$1490,ROW(OFFSET(nombres[],0,0,ROWS(nombres[]),1))-ROW(OFFSET(nombres[],0,0,1,1))+1,ROW(OFFSET(nombres[],ROWS(nombres[])-1,0,1,1))+1),$O1542:$O1561),3),"")</f>
        <v/>
      </c>
      <c r="OC1542" s="42" t="str">
        <f t="array" aca="1" ref="OC1542" ca="1">IFERROR(INDEX(nombres[],SMALL(IF(OFFSET(nombres[],0,0,ROWS(nombres[]),1)=OC$1490,ROW(OFFSET(nombres[],0,0,ROWS(nombres[]),1))-ROW(OFFSET(nombres[],0,0,1,1))+1,ROW(OFFSET(nombres[],ROWS(nombres[])-1,0,1,1))+1),$O1542:$O1561),3),"")</f>
        <v/>
      </c>
      <c r="OD1542" s="42" t="str">
        <f t="array" aca="1" ref="OD1542" ca="1">IFERROR(INDEX(nombres[],SMALL(IF(OFFSET(nombres[],0,0,ROWS(nombres[]),1)=OD$1490,ROW(OFFSET(nombres[],0,0,ROWS(nombres[]),1))-ROW(OFFSET(nombres[],0,0,1,1))+1,ROW(OFFSET(nombres[],ROWS(nombres[])-1,0,1,1))+1),$O1542:$O1561),3),"")</f>
        <v/>
      </c>
      <c r="OE1542" s="42" t="str">
        <f t="array" aca="1" ref="OE1542" ca="1">IFERROR(INDEX(nombres[],SMALL(IF(OFFSET(nombres[],0,0,ROWS(nombres[]),1)=OE$1490,ROW(OFFSET(nombres[],0,0,ROWS(nombres[]),1))-ROW(OFFSET(nombres[],0,0,1,1))+1,ROW(OFFSET(nombres[],ROWS(nombres[])-1,0,1,1))+1),$O1542:$O1561),3),"")</f>
        <v/>
      </c>
      <c r="OF1542" s="42" t="str">
        <f t="array" aca="1" ref="OF1542" ca="1">IFERROR(INDEX(nombres[],SMALL(IF(OFFSET(nombres[],0,0,ROWS(nombres[]),1)=OF$1490,ROW(OFFSET(nombres[],0,0,ROWS(nombres[]),1))-ROW(OFFSET(nombres[],0,0,1,1))+1,ROW(OFFSET(nombres[],ROWS(nombres[])-1,0,1,1))+1),$O1542:$O1561),3),"")</f>
        <v/>
      </c>
      <c r="OG1542" s="42" t="str">
        <f t="array" aca="1" ref="OG1542" ca="1">IFERROR(INDEX(nombres[],SMALL(IF(OFFSET(nombres[],0,0,ROWS(nombres[]),1)=OG$1490,ROW(OFFSET(nombres[],0,0,ROWS(nombres[]),1))-ROW(OFFSET(nombres[],0,0,1,1))+1,ROW(OFFSET(nombres[],ROWS(nombres[])-1,0,1,1))+1),$O1542:$O1561),3),"")</f>
        <v/>
      </c>
      <c r="OH1542" s="42" t="str">
        <f t="array" aca="1" ref="OH1542" ca="1">IFERROR(INDEX(nombres[],SMALL(IF(OFFSET(nombres[],0,0,ROWS(nombres[]),1)=OH$1490,ROW(OFFSET(nombres[],0,0,ROWS(nombres[]),1))-ROW(OFFSET(nombres[],0,0,1,1))+1,ROW(OFFSET(nombres[],ROWS(nombres[])-1,0,1,1))+1),$O1542:$O1561),3),"")</f>
        <v/>
      </c>
      <c r="OI1542" s="42" t="str">
        <f t="array" aca="1" ref="OI1542" ca="1">IFERROR(INDEX(nombres[],SMALL(IF(OFFSET(nombres[],0,0,ROWS(nombres[]),1)=OI$1490,ROW(OFFSET(nombres[],0,0,ROWS(nombres[]),1))-ROW(OFFSET(nombres[],0,0,1,1))+1,ROW(OFFSET(nombres[],ROWS(nombres[])-1,0,1,1))+1),$O1542:$O1561),3),"")</f>
        <v/>
      </c>
      <c r="OJ1542" s="42" t="str">
        <f t="array" aca="1" ref="OJ1542" ca="1">IFERROR(INDEX(nombres[],SMALL(IF(OFFSET(nombres[],0,0,ROWS(nombres[]),1)=OJ$1490,ROW(OFFSET(nombres[],0,0,ROWS(nombres[]),1))-ROW(OFFSET(nombres[],0,0,1,1))+1,ROW(OFFSET(nombres[],ROWS(nombres[])-1,0,1,1))+1),$O1542:$O1561),3),"")</f>
        <v/>
      </c>
      <c r="OK1542" s="42" t="str">
        <f t="array" aca="1" ref="OK1542" ca="1">IFERROR(INDEX(nombres[],SMALL(IF(OFFSET(nombres[],0,0,ROWS(nombres[]),1)=OK$1490,ROW(OFFSET(nombres[],0,0,ROWS(nombres[]),1))-ROW(OFFSET(nombres[],0,0,1,1))+1,ROW(OFFSET(nombres[],ROWS(nombres[])-1,0,1,1))+1),$O1542:$O1561),3),"")</f>
        <v/>
      </c>
      <c r="OL1542" s="42" t="str">
        <f t="array" aca="1" ref="OL1542" ca="1">IFERROR(INDEX(nombres[],SMALL(IF(OFFSET(nombres[],0,0,ROWS(nombres[]),1)=OL$1490,ROW(OFFSET(nombres[],0,0,ROWS(nombres[]),1))-ROW(OFFSET(nombres[],0,0,1,1))+1,ROW(OFFSET(nombres[],ROWS(nombres[])-1,0,1,1))+1),$O1542:$O1561),3),"")</f>
        <v/>
      </c>
      <c r="OM1542" s="42" t="str">
        <f t="array" aca="1" ref="OM1542" ca="1">IFERROR(INDEX(nombres[],SMALL(IF(OFFSET(nombres[],0,0,ROWS(nombres[]),1)=OM$1490,ROW(OFFSET(nombres[],0,0,ROWS(nombres[]),1))-ROW(OFFSET(nombres[],0,0,1,1))+1,ROW(OFFSET(nombres[],ROWS(nombres[])-1,0,1,1))+1),$O1542:$O1561),3),"")</f>
        <v/>
      </c>
      <c r="ON1542" s="42" t="str">
        <f t="array" aca="1" ref="ON1542" ca="1">IFERROR(INDEX(nombres[],SMALL(IF(OFFSET(nombres[],0,0,ROWS(nombres[]),1)=ON$1490,ROW(OFFSET(nombres[],0,0,ROWS(nombres[]),1))-ROW(OFFSET(nombres[],0,0,1,1))+1,ROW(OFFSET(nombres[],ROWS(nombres[])-1,0,1,1))+1),$O1542:$O1561),3),"")</f>
        <v/>
      </c>
      <c r="OO1542" s="42" t="str">
        <f t="array" aca="1" ref="OO1542" ca="1">IFERROR(INDEX(nombres[],SMALL(IF(OFFSET(nombres[],0,0,ROWS(nombres[]),1)=OO$1490,ROW(OFFSET(nombres[],0,0,ROWS(nombres[]),1))-ROW(OFFSET(nombres[],0,0,1,1))+1,ROW(OFFSET(nombres[],ROWS(nombres[])-1,0,1,1))+1),$O1542:$O1561),3),"")</f>
        <v/>
      </c>
      <c r="OP1542" s="42" t="str">
        <f t="array" aca="1" ref="OP1542" ca="1">IFERROR(INDEX(nombres[],SMALL(IF(OFFSET(nombres[],0,0,ROWS(nombres[]),1)=OP$1490,ROW(OFFSET(nombres[],0,0,ROWS(nombres[]),1))-ROW(OFFSET(nombres[],0,0,1,1))+1,ROW(OFFSET(nombres[],ROWS(nombres[])-1,0,1,1))+1),$O1542:$O1561),3),"")</f>
        <v/>
      </c>
      <c r="OQ1542" s="42" t="str">
        <f t="array" aca="1" ref="OQ1542" ca="1">IFERROR(INDEX(nombres[],SMALL(IF(OFFSET(nombres[],0,0,ROWS(nombres[]),1)=OQ$1490,ROW(OFFSET(nombres[],0,0,ROWS(nombres[]),1))-ROW(OFFSET(nombres[],0,0,1,1))+1,ROW(OFFSET(nombres[],ROWS(nombres[])-1,0,1,1))+1),$O1542:$O1561),3),"")</f>
        <v/>
      </c>
      <c r="OR1542" s="42" t="str">
        <f t="array" aca="1" ref="OR1542" ca="1">IFERROR(INDEX(nombres[],SMALL(IF(OFFSET(nombres[],0,0,ROWS(nombres[]),1)=OR$1490,ROW(OFFSET(nombres[],0,0,ROWS(nombres[]),1))-ROW(OFFSET(nombres[],0,0,1,1))+1,ROW(OFFSET(nombres[],ROWS(nombres[])-1,0,1,1))+1),$O1542:$O1561),3),"")</f>
        <v/>
      </c>
      <c r="OS1542" s="42" t="str">
        <f t="array" aca="1" ref="OS1542" ca="1">IFERROR(INDEX(nombres[],SMALL(IF(OFFSET(nombres[],0,0,ROWS(nombres[]),1)=OS$1490,ROW(OFFSET(nombres[],0,0,ROWS(nombres[]),1))-ROW(OFFSET(nombres[],0,0,1,1))+1,ROW(OFFSET(nombres[],ROWS(nombres[])-1,0,1,1))+1),$O1542:$O1561),3),"")</f>
        <v/>
      </c>
      <c r="OT1542" s="42" t="str">
        <f t="array" aca="1" ref="OT1542" ca="1">IFERROR(INDEX(nombres[],SMALL(IF(OFFSET(nombres[],0,0,ROWS(nombres[]),1)=OT$1490,ROW(OFFSET(nombres[],0,0,ROWS(nombres[]),1))-ROW(OFFSET(nombres[],0,0,1,1))+1,ROW(OFFSET(nombres[],ROWS(nombres[])-1,0,1,1))+1),$O1542:$O1561),3),"")</f>
        <v/>
      </c>
      <c r="OU1542" s="42" t="str">
        <f t="array" aca="1" ref="OU1542" ca="1">IFERROR(INDEX(nombres[],SMALL(IF(OFFSET(nombres[],0,0,ROWS(nombres[]),1)=OU$1490,ROW(OFFSET(nombres[],0,0,ROWS(nombres[]),1))-ROW(OFFSET(nombres[],0,0,1,1))+1,ROW(OFFSET(nombres[],ROWS(nombres[])-1,0,1,1))+1),$O1542:$O1561),3),"")</f>
        <v/>
      </c>
      <c r="OV1542" s="42" t="str">
        <f t="array" aca="1" ref="OV1542" ca="1">IFERROR(INDEX(nombres[],SMALL(IF(OFFSET(nombres[],0,0,ROWS(nombres[]),1)=OV$1490,ROW(OFFSET(nombres[],0,0,ROWS(nombres[]),1))-ROW(OFFSET(nombres[],0,0,1,1))+1,ROW(OFFSET(nombres[],ROWS(nombres[])-1,0,1,1))+1),$O1542:$O1561),3),"")</f>
        <v/>
      </c>
      <c r="OW1542" s="42" t="str">
        <f t="array" aca="1" ref="OW1542" ca="1">IFERROR(INDEX(nombres[],SMALL(IF(OFFSET(nombres[],0,0,ROWS(nombres[]),1)=OW$1490,ROW(OFFSET(nombres[],0,0,ROWS(nombres[]),1))-ROW(OFFSET(nombres[],0,0,1,1))+1,ROW(OFFSET(nombres[],ROWS(nombres[])-1,0,1,1))+1),$O1542:$O1561),3),"")</f>
        <v/>
      </c>
      <c r="OX1542" s="42" t="str">
        <f t="array" aca="1" ref="OX1542" ca="1">IFERROR(INDEX(nombres[],SMALL(IF(OFFSET(nombres[],0,0,ROWS(nombres[]),1)=OX$1490,ROW(OFFSET(nombres[],0,0,ROWS(nombres[]),1))-ROW(OFFSET(nombres[],0,0,1,1))+1,ROW(OFFSET(nombres[],ROWS(nombres[])-1,0,1,1))+1),$O1542:$O1561),3),"")</f>
        <v/>
      </c>
      <c r="OY1542" s="42" t="str">
        <f t="array" aca="1" ref="OY1542" ca="1">IFERROR(INDEX(nombres[],SMALL(IF(OFFSET(nombres[],0,0,ROWS(nombres[]),1)=OY$1490,ROW(OFFSET(nombres[],0,0,ROWS(nombres[]),1))-ROW(OFFSET(nombres[],0,0,1,1))+1,ROW(OFFSET(nombres[],ROWS(nombres[])-1,0,1,1))+1),$O1542:$O1561),3),"")</f>
        <v/>
      </c>
      <c r="OZ1542" s="42" t="str">
        <f t="array" aca="1" ref="OZ1542" ca="1">IFERROR(INDEX(nombres[],SMALL(IF(OFFSET(nombres[],0,0,ROWS(nombres[]),1)=OZ$1490,ROW(OFFSET(nombres[],0,0,ROWS(nombres[]),1))-ROW(OFFSET(nombres[],0,0,1,1))+1,ROW(OFFSET(nombres[],ROWS(nombres[])-1,0,1,1))+1),$O1542:$O1561),3),"")</f>
        <v/>
      </c>
      <c r="PA1542" s="42" t="str">
        <f t="array" aca="1" ref="PA1542" ca="1">IFERROR(INDEX(nombres[],SMALL(IF(OFFSET(nombres[],0,0,ROWS(nombres[]),1)=PA$1490,ROW(OFFSET(nombres[],0,0,ROWS(nombres[]),1))-ROW(OFFSET(nombres[],0,0,1,1))+1,ROW(OFFSET(nombres[],ROWS(nombres[])-1,0,1,1))+1),$O1542:$O1561),3),"")</f>
        <v/>
      </c>
      <c r="PB1542" s="42" t="str">
        <f t="array" aca="1" ref="PB1542" ca="1">IFERROR(INDEX(nombres[],SMALL(IF(OFFSET(nombres[],0,0,ROWS(nombres[]),1)=PB$1490,ROW(OFFSET(nombres[],0,0,ROWS(nombres[]),1))-ROW(OFFSET(nombres[],0,0,1,1))+1,ROW(OFFSET(nombres[],ROWS(nombres[])-1,0,1,1))+1),$O1542:$O1561),3),"")</f>
        <v/>
      </c>
      <c r="PC1542" s="42" t="str">
        <f t="array" aca="1" ref="PC1542" ca="1">IFERROR(INDEX(nombres[],SMALL(IF(OFFSET(nombres[],0,0,ROWS(nombres[]),1)=PC$1490,ROW(OFFSET(nombres[],0,0,ROWS(nombres[]),1))-ROW(OFFSET(nombres[],0,0,1,1))+1,ROW(OFFSET(nombres[],ROWS(nombres[])-1,0,1,1))+1),$O1542:$O1561),3),"")</f>
        <v/>
      </c>
      <c r="PD1542" s="42" t="str">
        <f t="array" aca="1" ref="PD1542" ca="1">IFERROR(INDEX(nombres[],SMALL(IF(OFFSET(nombres[],0,0,ROWS(nombres[]),1)=PD$1490,ROW(OFFSET(nombres[],0,0,ROWS(nombres[]),1))-ROW(OFFSET(nombres[],0,0,1,1))+1,ROW(OFFSET(nombres[],ROWS(nombres[])-1,0,1,1))+1),$O1542:$O1561),3),"")</f>
        <v/>
      </c>
      <c r="PE1542" s="42" t="str">
        <f t="array" aca="1" ref="PE1542" ca="1">IFERROR(INDEX(nombres[],SMALL(IF(OFFSET(nombres[],0,0,ROWS(nombres[]),1)=PE$1490,ROW(OFFSET(nombres[],0,0,ROWS(nombres[]),1))-ROW(OFFSET(nombres[],0,0,1,1))+1,ROW(OFFSET(nombres[],ROWS(nombres[])-1,0,1,1))+1),$O1542:$O1561),3),"")</f>
        <v/>
      </c>
      <c r="PF1542" s="42" t="str">
        <f t="array" aca="1" ref="PF1542" ca="1">IFERROR(INDEX(nombres[],SMALL(IF(OFFSET(nombres[],0,0,ROWS(nombres[]),1)=PF$1490,ROW(OFFSET(nombres[],0,0,ROWS(nombres[]),1))-ROW(OFFSET(nombres[],0,0,1,1))+1,ROW(OFFSET(nombres[],ROWS(nombres[])-1,0,1,1))+1),$O1542:$O1561),3),"")</f>
        <v/>
      </c>
      <c r="PG1542" s="42" t="str">
        <f t="array" aca="1" ref="PG1542" ca="1">IFERROR(INDEX(nombres[],SMALL(IF(OFFSET(nombres[],0,0,ROWS(nombres[]),1)=PG$1490,ROW(OFFSET(nombres[],0,0,ROWS(nombres[]),1))-ROW(OFFSET(nombres[],0,0,1,1))+1,ROW(OFFSET(nombres[],ROWS(nombres[])-1,0,1,1))+1),$O1542:$O1561),3),"")</f>
        <v/>
      </c>
      <c r="PH1542" s="42" t="str">
        <f t="array" aca="1" ref="PH1542" ca="1">IFERROR(INDEX(nombres[],SMALL(IF(OFFSET(nombres[],0,0,ROWS(nombres[]),1)=PH$1490,ROW(OFFSET(nombres[],0,0,ROWS(nombres[]),1))-ROW(OFFSET(nombres[],0,0,1,1))+1,ROW(OFFSET(nombres[],ROWS(nombres[])-1,0,1,1))+1),$O1542:$O1561),3),"")</f>
        <v/>
      </c>
      <c r="PI1542" s="42" t="str">
        <f t="array" aca="1" ref="PI1542" ca="1">IFERROR(INDEX(nombres[],SMALL(IF(OFFSET(nombres[],0,0,ROWS(nombres[]),1)=PI$1490,ROW(OFFSET(nombres[],0,0,ROWS(nombres[]),1))-ROW(OFFSET(nombres[],0,0,1,1))+1,ROW(OFFSET(nombres[],ROWS(nombres[])-1,0,1,1))+1),$O1542:$O1561),3),"")</f>
        <v/>
      </c>
      <c r="PJ1542" s="42" t="str">
        <f t="array" aca="1" ref="PJ1542" ca="1">IFERROR(INDEX(nombres[],SMALL(IF(OFFSET(nombres[],0,0,ROWS(nombres[]),1)=PJ$1490,ROW(OFFSET(nombres[],0,0,ROWS(nombres[]),1))-ROW(OFFSET(nombres[],0,0,1,1))+1,ROW(OFFSET(nombres[],ROWS(nombres[])-1,0,1,1))+1),$O1542:$O1561),3),"")</f>
        <v/>
      </c>
      <c r="PK1542" s="42" t="str">
        <f t="array" aca="1" ref="PK1542" ca="1">IFERROR(INDEX(nombres[],SMALL(IF(OFFSET(nombres[],0,0,ROWS(nombres[]),1)=PK$1490,ROW(OFFSET(nombres[],0,0,ROWS(nombres[]),1))-ROW(OFFSET(nombres[],0,0,1,1))+1,ROW(OFFSET(nombres[],ROWS(nombres[])-1,0,1,1))+1),$O1542:$O1561),3),"")</f>
        <v/>
      </c>
      <c r="PL1542" s="42" t="str">
        <f t="array" aca="1" ref="PL1542" ca="1">IFERROR(INDEX(nombres[],SMALL(IF(OFFSET(nombres[],0,0,ROWS(nombres[]),1)=PL$1490,ROW(OFFSET(nombres[],0,0,ROWS(nombres[]),1))-ROW(OFFSET(nombres[],0,0,1,1))+1,ROW(OFFSET(nombres[],ROWS(nombres[])-1,0,1,1))+1),$O1542:$O1561),3),"")</f>
        <v/>
      </c>
      <c r="PM1542" s="42" t="str">
        <f t="array" aca="1" ref="PM1542" ca="1">IFERROR(INDEX(nombres[],SMALL(IF(OFFSET(nombres[],0,0,ROWS(nombres[]),1)=PM$1490,ROW(OFFSET(nombres[],0,0,ROWS(nombres[]),1))-ROW(OFFSET(nombres[],0,0,1,1))+1,ROW(OFFSET(nombres[],ROWS(nombres[])-1,0,1,1))+1),$O1542:$O1561),3),"")</f>
        <v/>
      </c>
      <c r="PN1542" s="42" t="str">
        <f t="array" aca="1" ref="PN1542" ca="1">IFERROR(INDEX(nombres[],SMALL(IF(OFFSET(nombres[],0,0,ROWS(nombres[]),1)=PN$1490,ROW(OFFSET(nombres[],0,0,ROWS(nombres[]),1))-ROW(OFFSET(nombres[],0,0,1,1))+1,ROW(OFFSET(nombres[],ROWS(nombres[])-1,0,1,1))+1),$O1542:$O1561),3),"")</f>
        <v/>
      </c>
      <c r="PO1542" s="42" t="str">
        <f t="array" aca="1" ref="PO1542" ca="1">IFERROR(INDEX(nombres[],SMALL(IF(OFFSET(nombres[],0,0,ROWS(nombres[]),1)=PO$1490,ROW(OFFSET(nombres[],0,0,ROWS(nombres[]),1))-ROW(OFFSET(nombres[],0,0,1,1))+1,ROW(OFFSET(nombres[],ROWS(nombres[])-1,0,1,1))+1),$O1542:$O1561),3),"")</f>
        <v/>
      </c>
      <c r="PP1542" s="42" t="str">
        <f t="array" aca="1" ref="PP1542" ca="1">IFERROR(INDEX(nombres[],SMALL(IF(OFFSET(nombres[],0,0,ROWS(nombres[]),1)=PP$1490,ROW(OFFSET(nombres[],0,0,ROWS(nombres[]),1))-ROW(OFFSET(nombres[],0,0,1,1))+1,ROW(OFFSET(nombres[],ROWS(nombres[])-1,0,1,1))+1),$O1542:$O1561),3),"")</f>
        <v/>
      </c>
      <c r="PQ1542" s="42" t="str">
        <f t="array" aca="1" ref="PQ1542" ca="1">IFERROR(INDEX(nombres[],SMALL(IF(OFFSET(nombres[],0,0,ROWS(nombres[]),1)=PQ$1490,ROW(OFFSET(nombres[],0,0,ROWS(nombres[]),1))-ROW(OFFSET(nombres[],0,0,1,1))+1,ROW(OFFSET(nombres[],ROWS(nombres[])-1,0,1,1))+1),$O1542:$O1561),3),"")</f>
        <v/>
      </c>
      <c r="PR1542" s="42" t="str">
        <f t="array" aca="1" ref="PR1542" ca="1">IFERROR(INDEX(nombres[],SMALL(IF(OFFSET(nombres[],0,0,ROWS(nombres[]),1)=PR$1490,ROW(OFFSET(nombres[],0,0,ROWS(nombres[]),1))-ROW(OFFSET(nombres[],0,0,1,1))+1,ROW(OFFSET(nombres[],ROWS(nombres[])-1,0,1,1))+1),$O1542:$O1561),3),"")</f>
        <v/>
      </c>
      <c r="PS1542" s="42" t="str">
        <f t="array" aca="1" ref="PS1542" ca="1">IFERROR(INDEX(nombres[],SMALL(IF(OFFSET(nombres[],0,0,ROWS(nombres[]),1)=PS$1490,ROW(OFFSET(nombres[],0,0,ROWS(nombres[]),1))-ROW(OFFSET(nombres[],0,0,1,1))+1,ROW(OFFSET(nombres[],ROWS(nombres[])-1,0,1,1))+1),$O1542:$O1561),3),"")</f>
        <v/>
      </c>
      <c r="PT1542" s="42" t="str">
        <f t="array" aca="1" ref="PT1542" ca="1">IFERROR(INDEX(nombres[],SMALL(IF(OFFSET(nombres[],0,0,ROWS(nombres[]),1)=PT$1490,ROW(OFFSET(nombres[],0,0,ROWS(nombres[]),1))-ROW(OFFSET(nombres[],0,0,1,1))+1,ROW(OFFSET(nombres[],ROWS(nombres[])-1,0,1,1))+1),$O1542:$O1561),3),"")</f>
        <v/>
      </c>
      <c r="PU1542" s="42" t="str">
        <f t="array" aca="1" ref="PU1542" ca="1">IFERROR(INDEX(nombres[],SMALL(IF(OFFSET(nombres[],0,0,ROWS(nombres[]),1)=PU$1490,ROW(OFFSET(nombres[],0,0,ROWS(nombres[]),1))-ROW(OFFSET(nombres[],0,0,1,1))+1,ROW(OFFSET(nombres[],ROWS(nombres[])-1,0,1,1))+1),$O1542:$O1561),3),"")</f>
        <v/>
      </c>
      <c r="PV1542" s="42" t="str">
        <f t="array" aca="1" ref="PV1542" ca="1">IFERROR(INDEX(nombres[],SMALL(IF(OFFSET(nombres[],0,0,ROWS(nombres[]),1)=PV$1490,ROW(OFFSET(nombres[],0,0,ROWS(nombres[]),1))-ROW(OFFSET(nombres[],0,0,1,1))+1,ROW(OFFSET(nombres[],ROWS(nombres[])-1,0,1,1))+1),$O1542:$O1561),3),"")</f>
        <v/>
      </c>
      <c r="PW1542" s="42" t="str">
        <f t="array" aca="1" ref="PW1542" ca="1">IFERROR(INDEX(nombres[],SMALL(IF(OFFSET(nombres[],0,0,ROWS(nombres[]),1)=PW$1490,ROW(OFFSET(nombres[],0,0,ROWS(nombres[]),1))-ROW(OFFSET(nombres[],0,0,1,1))+1,ROW(OFFSET(nombres[],ROWS(nombres[])-1,0,1,1))+1),$O1542:$O1561),3),"")</f>
        <v/>
      </c>
      <c r="PX1542" s="42" t="str">
        <f t="array" aca="1" ref="PX1542" ca="1">IFERROR(INDEX(nombres[],SMALL(IF(OFFSET(nombres[],0,0,ROWS(nombres[]),1)=PX$1490,ROW(OFFSET(nombres[],0,0,ROWS(nombres[]),1))-ROW(OFFSET(nombres[],0,0,1,1))+1,ROW(OFFSET(nombres[],ROWS(nombres[])-1,0,1,1))+1),$O1542:$O1561),3),"")</f>
        <v/>
      </c>
      <c r="PY1542" s="42" t="str">
        <f t="array" aca="1" ref="PY1542" ca="1">IFERROR(INDEX(nombres[],SMALL(IF(OFFSET(nombres[],0,0,ROWS(nombres[]),1)=PY$1490,ROW(OFFSET(nombres[],0,0,ROWS(nombres[]),1))-ROW(OFFSET(nombres[],0,0,1,1))+1,ROW(OFFSET(nombres[],ROWS(nombres[])-1,0,1,1))+1),$O1542:$O1561),3),"")</f>
        <v/>
      </c>
      <c r="PZ1542" s="42" t="str">
        <f t="array" aca="1" ref="PZ1542" ca="1">IFERROR(INDEX(nombres[],SMALL(IF(OFFSET(nombres[],0,0,ROWS(nombres[]),1)=PZ$1490,ROW(OFFSET(nombres[],0,0,ROWS(nombres[]),1))-ROW(OFFSET(nombres[],0,0,1,1))+1,ROW(OFFSET(nombres[],ROWS(nombres[])-1,0,1,1))+1),$O1542:$O1561),3),"")</f>
        <v/>
      </c>
      <c r="QA1542" s="42" t="str">
        <f t="array" aca="1" ref="QA1542" ca="1">IFERROR(INDEX(nombres[],SMALL(IF(OFFSET(nombres[],0,0,ROWS(nombres[]),1)=QA$1490,ROW(OFFSET(nombres[],0,0,ROWS(nombres[]),1))-ROW(OFFSET(nombres[],0,0,1,1))+1,ROW(OFFSET(nombres[],ROWS(nombres[])-1,0,1,1))+1),$O1542:$O1561),3),"")</f>
        <v/>
      </c>
      <c r="QB1542" s="42" t="str">
        <f t="array" aca="1" ref="QB1542" ca="1">IFERROR(INDEX(nombres[],SMALL(IF(OFFSET(nombres[],0,0,ROWS(nombres[]),1)=QB$1490,ROW(OFFSET(nombres[],0,0,ROWS(nombres[]),1))-ROW(OFFSET(nombres[],0,0,1,1))+1,ROW(OFFSET(nombres[],ROWS(nombres[])-1,0,1,1))+1),$O1542:$O1561),3),"")</f>
        <v/>
      </c>
      <c r="QC1542" s="42" t="str">
        <f t="array" aca="1" ref="QC1542" ca="1">IFERROR(INDEX(nombres[],SMALL(IF(OFFSET(nombres[],0,0,ROWS(nombres[]),1)=QC$1490,ROW(OFFSET(nombres[],0,0,ROWS(nombres[]),1))-ROW(OFFSET(nombres[],0,0,1,1))+1,ROW(OFFSET(nombres[],ROWS(nombres[])-1,0,1,1))+1),$O1542:$O1561),3),"")</f>
        <v/>
      </c>
      <c r="QD1542" s="42" t="str">
        <f t="array" aca="1" ref="QD1542" ca="1">IFERROR(INDEX(nombres[],SMALL(IF(OFFSET(nombres[],0,0,ROWS(nombres[]),1)=QD$1490,ROW(OFFSET(nombres[],0,0,ROWS(nombres[]),1))-ROW(OFFSET(nombres[],0,0,1,1))+1,ROW(OFFSET(nombres[],ROWS(nombres[])-1,0,1,1))+1),$O1542:$O1561),3),"")</f>
        <v/>
      </c>
      <c r="QE1542" s="42" t="str">
        <f t="array" aca="1" ref="QE1542" ca="1">IFERROR(INDEX(nombres[],SMALL(IF(OFFSET(nombres[],0,0,ROWS(nombres[]),1)=QE$1490,ROW(OFFSET(nombres[],0,0,ROWS(nombres[]),1))-ROW(OFFSET(nombres[],0,0,1,1))+1,ROW(OFFSET(nombres[],ROWS(nombres[])-1,0,1,1))+1),$O1542:$O1561),3),"")</f>
        <v/>
      </c>
      <c r="QF1542" s="42" t="str">
        <f t="array" aca="1" ref="QF1542" ca="1">IFERROR(INDEX(nombres[],SMALL(IF(OFFSET(nombres[],0,0,ROWS(nombres[]),1)=QF$1490,ROW(OFFSET(nombres[],0,0,ROWS(nombres[]),1))-ROW(OFFSET(nombres[],0,0,1,1))+1,ROW(OFFSET(nombres[],ROWS(nombres[])-1,0,1,1))+1),$O1542:$O1561),3),"")</f>
        <v/>
      </c>
      <c r="QG1542" s="42" t="str">
        <f t="array" aca="1" ref="QG1542" ca="1">IFERROR(INDEX(nombres[],SMALL(IF(OFFSET(nombres[],0,0,ROWS(nombres[]),1)=QG$1490,ROW(OFFSET(nombres[],0,0,ROWS(nombres[]),1))-ROW(OFFSET(nombres[],0,0,1,1))+1,ROW(OFFSET(nombres[],ROWS(nombres[])-1,0,1,1))+1),$O1542:$O1561),3),"")</f>
        <v/>
      </c>
      <c r="QH1542" s="42" t="str">
        <f t="array" aca="1" ref="QH1542" ca="1">IFERROR(INDEX(nombres[],SMALL(IF(OFFSET(nombres[],0,0,ROWS(nombres[]),1)=QH$1490,ROW(OFFSET(nombres[],0,0,ROWS(nombres[]),1))-ROW(OFFSET(nombres[],0,0,1,1))+1,ROW(OFFSET(nombres[],ROWS(nombres[])-1,0,1,1))+1),$O1542:$O1561),3),"")</f>
        <v/>
      </c>
      <c r="QI1542" s="42" t="str">
        <f t="array" aca="1" ref="QI1542" ca="1">IFERROR(INDEX(nombres[],SMALL(IF(OFFSET(nombres[],0,0,ROWS(nombres[]),1)=QI$1490,ROW(OFFSET(nombres[],0,0,ROWS(nombres[]),1))-ROW(OFFSET(nombres[],0,0,1,1))+1,ROW(OFFSET(nombres[],ROWS(nombres[])-1,0,1,1))+1),$O1542:$O1561),3),"")</f>
        <v/>
      </c>
      <c r="QJ1542" s="42" t="str">
        <f t="array" aca="1" ref="QJ1542" ca="1">IFERROR(INDEX(nombres[],SMALL(IF(OFFSET(nombres[],0,0,ROWS(nombres[]),1)=QJ$1490,ROW(OFFSET(nombres[],0,0,ROWS(nombres[]),1))-ROW(OFFSET(nombres[],0,0,1,1))+1,ROW(OFFSET(nombres[],ROWS(nombres[])-1,0,1,1))+1),$O1542:$O1561),3),"")</f>
        <v/>
      </c>
      <c r="QK1542" s="42" t="str">
        <f t="array" aca="1" ref="QK1542" ca="1">IFERROR(INDEX(nombres[],SMALL(IF(OFFSET(nombres[],0,0,ROWS(nombres[]),1)=QK$1490,ROW(OFFSET(nombres[],0,0,ROWS(nombres[]),1))-ROW(OFFSET(nombres[],0,0,1,1))+1,ROW(OFFSET(nombres[],ROWS(nombres[])-1,0,1,1))+1),$O1542:$O1561),3),"")</f>
        <v/>
      </c>
      <c r="QL1542" s="42" t="str">
        <f t="array" aca="1" ref="QL1542" ca="1">IFERROR(INDEX(nombres[],SMALL(IF(OFFSET(nombres[],0,0,ROWS(nombres[]),1)=QL$1490,ROW(OFFSET(nombres[],0,0,ROWS(nombres[]),1))-ROW(OFFSET(nombres[],0,0,1,1))+1,ROW(OFFSET(nombres[],ROWS(nombres[])-1,0,1,1))+1),$O1542:$O1561),3),"")</f>
        <v/>
      </c>
      <c r="QM1542" s="42" t="str">
        <f t="array" aca="1" ref="QM1542" ca="1">IFERROR(INDEX(nombres[],SMALL(IF(OFFSET(nombres[],0,0,ROWS(nombres[]),1)=QM$1490,ROW(OFFSET(nombres[],0,0,ROWS(nombres[]),1))-ROW(OFFSET(nombres[],0,0,1,1))+1,ROW(OFFSET(nombres[],ROWS(nombres[])-1,0,1,1))+1),$O1542:$O1561),3),"")</f>
        <v/>
      </c>
      <c r="QN1542" s="42" t="str">
        <f t="array" aca="1" ref="QN1542" ca="1">IFERROR(INDEX(nombres[],SMALL(IF(OFFSET(nombres[],0,0,ROWS(nombres[]),1)=QN$1490,ROW(OFFSET(nombres[],0,0,ROWS(nombres[]),1))-ROW(OFFSET(nombres[],0,0,1,1))+1,ROW(OFFSET(nombres[],ROWS(nombres[])-1,0,1,1))+1),$O1542:$O1561),3),"")</f>
        <v/>
      </c>
      <c r="QO1542" s="42" t="str">
        <f t="array" aca="1" ref="QO1542" ca="1">IFERROR(INDEX(nombres[],SMALL(IF(OFFSET(nombres[],0,0,ROWS(nombres[]),1)=QO$1490,ROW(OFFSET(nombres[],0,0,ROWS(nombres[]),1))-ROW(OFFSET(nombres[],0,0,1,1))+1,ROW(OFFSET(nombres[],ROWS(nombres[])-1,0,1,1))+1),$O1542:$O1561),3),"")</f>
        <v/>
      </c>
      <c r="QP1542" s="42" t="str">
        <f t="array" aca="1" ref="QP1542" ca="1">IFERROR(INDEX(nombres[],SMALL(IF(OFFSET(nombres[],0,0,ROWS(nombres[]),1)=QP$1490,ROW(OFFSET(nombres[],0,0,ROWS(nombres[]),1))-ROW(OFFSET(nombres[],0,0,1,1))+1,ROW(OFFSET(nombres[],ROWS(nombres[])-1,0,1,1))+1),$O1542:$O1561),3),"")</f>
        <v/>
      </c>
      <c r="QQ1542" s="42" t="str">
        <f t="array" aca="1" ref="QQ1542" ca="1">IFERROR(INDEX(nombres[],SMALL(IF(OFFSET(nombres[],0,0,ROWS(nombres[]),1)=QQ$1490,ROW(OFFSET(nombres[],0,0,ROWS(nombres[]),1))-ROW(OFFSET(nombres[],0,0,1,1))+1,ROW(OFFSET(nombres[],ROWS(nombres[])-1,0,1,1))+1),$O1542:$O1561),3),"")</f>
        <v/>
      </c>
      <c r="QR1542" s="42" t="str">
        <f t="array" aca="1" ref="QR1542" ca="1">IFERROR(INDEX(nombres[],SMALL(IF(OFFSET(nombres[],0,0,ROWS(nombres[]),1)=QR$1490,ROW(OFFSET(nombres[],0,0,ROWS(nombres[]),1))-ROW(OFFSET(nombres[],0,0,1,1))+1,ROW(OFFSET(nombres[],ROWS(nombres[])-1,0,1,1))+1),$O1542:$O1561),3),"")</f>
        <v/>
      </c>
      <c r="QS1542" s="42" t="str">
        <f t="array" aca="1" ref="QS1542" ca="1">IFERROR(INDEX(nombres[],SMALL(IF(OFFSET(nombres[],0,0,ROWS(nombres[]),1)=QS$1490,ROW(OFFSET(nombres[],0,0,ROWS(nombres[]),1))-ROW(OFFSET(nombres[],0,0,1,1))+1,ROW(OFFSET(nombres[],ROWS(nombres[])-1,0,1,1))+1),$O1542:$O1561),3),"")</f>
        <v/>
      </c>
      <c r="QT1542" s="42" t="str">
        <f t="array" aca="1" ref="QT1542" ca="1">IFERROR(INDEX(nombres[],SMALL(IF(OFFSET(nombres[],0,0,ROWS(nombres[]),1)=QT$1490,ROW(OFFSET(nombres[],0,0,ROWS(nombres[]),1))-ROW(OFFSET(nombres[],0,0,1,1))+1,ROW(OFFSET(nombres[],ROWS(nombres[])-1,0,1,1))+1),$O1542:$O1561),3),"")</f>
        <v/>
      </c>
      <c r="QU1542" s="42" t="str">
        <f t="array" aca="1" ref="QU1542" ca="1">IFERROR(INDEX(nombres[],SMALL(IF(OFFSET(nombres[],0,0,ROWS(nombres[]),1)=QU$1490,ROW(OFFSET(nombres[],0,0,ROWS(nombres[]),1))-ROW(OFFSET(nombres[],0,0,1,1))+1,ROW(OFFSET(nombres[],ROWS(nombres[])-1,0,1,1))+1),$O1542:$O1561),3),"")</f>
        <v/>
      </c>
      <c r="QV1542" s="42" t="str">
        <f t="array" aca="1" ref="QV1542" ca="1">IFERROR(INDEX(nombres[],SMALL(IF(OFFSET(nombres[],0,0,ROWS(nombres[]),1)=QV$1490,ROW(OFFSET(nombres[],0,0,ROWS(nombres[]),1))-ROW(OFFSET(nombres[],0,0,1,1))+1,ROW(OFFSET(nombres[],ROWS(nombres[])-1,0,1,1))+1),$O1542:$O1561),3),"")</f>
        <v/>
      </c>
      <c r="QW1542" s="42" t="str">
        <f t="array" aca="1" ref="QW1542" ca="1">IFERROR(INDEX(nombres[],SMALL(IF(OFFSET(nombres[],0,0,ROWS(nombres[]),1)=QW$1490,ROW(OFFSET(nombres[],0,0,ROWS(nombres[]),1))-ROW(OFFSET(nombres[],0,0,1,1))+1,ROW(OFFSET(nombres[],ROWS(nombres[])-1,0,1,1))+1),$O1542:$O1561),3),"")</f>
        <v/>
      </c>
      <c r="QX1542" s="42" t="str">
        <f t="array" aca="1" ref="QX1542" ca="1">IFERROR(INDEX(nombres[],SMALL(IF(OFFSET(nombres[],0,0,ROWS(nombres[]),1)=QX$1490,ROW(OFFSET(nombres[],0,0,ROWS(nombres[]),1))-ROW(OFFSET(nombres[],0,0,1,1))+1,ROW(OFFSET(nombres[],ROWS(nombres[])-1,0,1,1))+1),$O1542:$O1561),3),"")</f>
        <v/>
      </c>
      <c r="QY1542" s="42" t="str">
        <f t="array" aca="1" ref="QY1542" ca="1">IFERROR(INDEX(nombres[],SMALL(IF(OFFSET(nombres[],0,0,ROWS(nombres[]),1)=QY$1490,ROW(OFFSET(nombres[],0,0,ROWS(nombres[]),1))-ROW(OFFSET(nombres[],0,0,1,1))+1,ROW(OFFSET(nombres[],ROWS(nombres[])-1,0,1,1))+1),$O1542:$O1561),3),"")</f>
        <v/>
      </c>
      <c r="QZ1542" s="42" t="str">
        <f t="array" aca="1" ref="QZ1542" ca="1">IFERROR(INDEX(nombres[],SMALL(IF(OFFSET(nombres[],0,0,ROWS(nombres[]),1)=QZ$1490,ROW(OFFSET(nombres[],0,0,ROWS(nombres[]),1))-ROW(OFFSET(nombres[],0,0,1,1))+1,ROW(OFFSET(nombres[],ROWS(nombres[])-1,0,1,1))+1),$O1542:$O1561),3),"")</f>
        <v/>
      </c>
      <c r="RA1542" s="42" t="str">
        <f t="array" aca="1" ref="RA1542" ca="1">IFERROR(INDEX(nombres[],SMALL(IF(OFFSET(nombres[],0,0,ROWS(nombres[]),1)=RA$1490,ROW(OFFSET(nombres[],0,0,ROWS(nombres[]),1))-ROW(OFFSET(nombres[],0,0,1,1))+1,ROW(OFFSET(nombres[],ROWS(nombres[])-1,0,1,1))+1),$O1542:$O1561),3),"")</f>
        <v/>
      </c>
      <c r="RB1542" s="42" t="str">
        <f t="array" aca="1" ref="RB1542" ca="1">IFERROR(INDEX(nombres[],SMALL(IF(OFFSET(nombres[],0,0,ROWS(nombres[]),1)=RB$1490,ROW(OFFSET(nombres[],0,0,ROWS(nombres[]),1))-ROW(OFFSET(nombres[],0,0,1,1))+1,ROW(OFFSET(nombres[],ROWS(nombres[])-1,0,1,1))+1),$O1542:$O1561),3),"")</f>
        <v/>
      </c>
      <c r="RC1542" s="42" t="str">
        <f t="array" aca="1" ref="RC1542" ca="1">IFERROR(INDEX(nombres[],SMALL(IF(OFFSET(nombres[],0,0,ROWS(nombres[]),1)=RC$1490,ROW(OFFSET(nombres[],0,0,ROWS(nombres[]),1))-ROW(OFFSET(nombres[],0,0,1,1))+1,ROW(OFFSET(nombres[],ROWS(nombres[])-1,0,1,1))+1),$O1542:$O1561),3),"")</f>
        <v/>
      </c>
      <c r="RD1542" s="42" t="str">
        <f t="array" aca="1" ref="RD1542" ca="1">IFERROR(INDEX(nombres[],SMALL(IF(OFFSET(nombres[],0,0,ROWS(nombres[]),1)=RD$1490,ROW(OFFSET(nombres[],0,0,ROWS(nombres[]),1))-ROW(OFFSET(nombres[],0,0,1,1))+1,ROW(OFFSET(nombres[],ROWS(nombres[])-1,0,1,1))+1),$O1542:$O1561),3),"")</f>
        <v/>
      </c>
      <c r="RE1542" s="42" t="str">
        <f t="array" aca="1" ref="RE1542" ca="1">IFERROR(INDEX(nombres[],SMALL(IF(OFFSET(nombres[],0,0,ROWS(nombres[]),1)=RE$1490,ROW(OFFSET(nombres[],0,0,ROWS(nombres[]),1))-ROW(OFFSET(nombres[],0,0,1,1))+1,ROW(OFFSET(nombres[],ROWS(nombres[])-1,0,1,1))+1),$O1542:$O1561),3),"")</f>
        <v/>
      </c>
      <c r="RF1542" s="42" t="str">
        <f t="array" aca="1" ref="RF1542" ca="1">IFERROR(INDEX(nombres[],SMALL(IF(OFFSET(nombres[],0,0,ROWS(nombres[]),1)=RF$1490,ROW(OFFSET(nombres[],0,0,ROWS(nombres[]),1))-ROW(OFFSET(nombres[],0,0,1,1))+1,ROW(OFFSET(nombres[],ROWS(nombres[])-1,0,1,1))+1),$O1542:$O1561),3),"")</f>
        <v/>
      </c>
      <c r="RG1542" s="42" t="str">
        <f t="array" aca="1" ref="RG1542" ca="1">IFERROR(INDEX(nombres[],SMALL(IF(OFFSET(nombres[],0,0,ROWS(nombres[]),1)=RG$1490,ROW(OFFSET(nombres[],0,0,ROWS(nombres[]),1))-ROW(OFFSET(nombres[],0,0,1,1))+1,ROW(OFFSET(nombres[],ROWS(nombres[])-1,0,1,1))+1),$O1542:$O1561),3),"")</f>
        <v/>
      </c>
      <c r="RH1542" s="42" t="str">
        <f t="array" aca="1" ref="RH1542" ca="1">IFERROR(INDEX(nombres[],SMALL(IF(OFFSET(nombres[],0,0,ROWS(nombres[]),1)=RH$1490,ROW(OFFSET(nombres[],0,0,ROWS(nombres[]),1))-ROW(OFFSET(nombres[],0,0,1,1))+1,ROW(OFFSET(nombres[],ROWS(nombres[])-1,0,1,1))+1),$O1542:$O1561),3),"")</f>
        <v/>
      </c>
      <c r="RI1542" s="42" t="str">
        <f t="array" aca="1" ref="RI1542" ca="1">IFERROR(INDEX(nombres[],SMALL(IF(OFFSET(nombres[],0,0,ROWS(nombres[]),1)=RI$1490,ROW(OFFSET(nombres[],0,0,ROWS(nombres[]),1))-ROW(OFFSET(nombres[],0,0,1,1))+1,ROW(OFFSET(nombres[],ROWS(nombres[])-1,0,1,1))+1),$O1542:$O1561),3),"")</f>
        <v/>
      </c>
      <c r="RJ1542" s="42" t="str">
        <f t="array" aca="1" ref="RJ1542" ca="1">IFERROR(INDEX(nombres[],SMALL(IF(OFFSET(nombres[],0,0,ROWS(nombres[]),1)=RJ$1490,ROW(OFFSET(nombres[],0,0,ROWS(nombres[]),1))-ROW(OFFSET(nombres[],0,0,1,1))+1,ROW(OFFSET(nombres[],ROWS(nombres[])-1,0,1,1))+1),$O1542:$O1561),3),"")</f>
        <v/>
      </c>
      <c r="RK1542" s="42" t="str">
        <f t="array" aca="1" ref="RK1542" ca="1">IFERROR(INDEX(nombres[],SMALL(IF(OFFSET(nombres[],0,0,ROWS(nombres[]),1)=RK$1490,ROW(OFFSET(nombres[],0,0,ROWS(nombres[]),1))-ROW(OFFSET(nombres[],0,0,1,1))+1,ROW(OFFSET(nombres[],ROWS(nombres[])-1,0,1,1))+1),$O1542:$O1561),3),"")</f>
        <v/>
      </c>
      <c r="RL1542" s="42" t="str">
        <f t="array" aca="1" ref="RL1542" ca="1">IFERROR(INDEX(nombres[],SMALL(IF(OFFSET(nombres[],0,0,ROWS(nombres[]),1)=RL$1490,ROW(OFFSET(nombres[],0,0,ROWS(nombres[]),1))-ROW(OFFSET(nombres[],0,0,1,1))+1,ROW(OFFSET(nombres[],ROWS(nombres[])-1,0,1,1))+1),$O1542:$O1561),3),"")</f>
        <v/>
      </c>
      <c r="RM1542" s="42" t="str">
        <f t="array" aca="1" ref="RM1542" ca="1">IFERROR(INDEX(nombres[],SMALL(IF(OFFSET(nombres[],0,0,ROWS(nombres[]),1)=RM$1490,ROW(OFFSET(nombres[],0,0,ROWS(nombres[]),1))-ROW(OFFSET(nombres[],0,0,1,1))+1,ROW(OFFSET(nombres[],ROWS(nombres[])-1,0,1,1))+1),$O1542:$O1561),3),"")</f>
        <v/>
      </c>
      <c r="RN1542" s="42" t="str">
        <f t="array" aca="1" ref="RN1542" ca="1">IFERROR(INDEX(nombres[],SMALL(IF(OFFSET(nombres[],0,0,ROWS(nombres[]),1)=RN$1490,ROW(OFFSET(nombres[],0,0,ROWS(nombres[]),1))-ROW(OFFSET(nombres[],0,0,1,1))+1,ROW(OFFSET(nombres[],ROWS(nombres[])-1,0,1,1))+1),$O1542:$O1561),3),"")</f>
        <v/>
      </c>
      <c r="RO1542" s="42" t="str">
        <f t="array" aca="1" ref="RO1542" ca="1">IFERROR(INDEX(nombres[],SMALL(IF(OFFSET(nombres[],0,0,ROWS(nombres[]),1)=RO$1490,ROW(OFFSET(nombres[],0,0,ROWS(nombres[]),1))-ROW(OFFSET(nombres[],0,0,1,1))+1,ROW(OFFSET(nombres[],ROWS(nombres[])-1,0,1,1))+1),$O1542:$O1561),3),"")</f>
        <v/>
      </c>
      <c r="RP1542" s="42" t="str">
        <f t="array" aca="1" ref="RP1542" ca="1">IFERROR(INDEX(nombres[],SMALL(IF(OFFSET(nombres[],0,0,ROWS(nombres[]),1)=RP$1490,ROW(OFFSET(nombres[],0,0,ROWS(nombres[]),1))-ROW(OFFSET(nombres[],0,0,1,1))+1,ROW(OFFSET(nombres[],ROWS(nombres[])-1,0,1,1))+1),$O1542:$O1561),3),"")</f>
        <v/>
      </c>
      <c r="RQ1542" s="42" t="str">
        <f t="array" aca="1" ref="RQ1542" ca="1">IFERROR(INDEX(nombres[],SMALL(IF(OFFSET(nombres[],0,0,ROWS(nombres[]),1)=RQ$1490,ROW(OFFSET(nombres[],0,0,ROWS(nombres[]),1))-ROW(OFFSET(nombres[],0,0,1,1))+1,ROW(OFFSET(nombres[],ROWS(nombres[])-1,0,1,1))+1),$O1542:$O1561),3),"")</f>
        <v/>
      </c>
      <c r="RR1542" s="42" t="str">
        <f t="array" aca="1" ref="RR1542" ca="1">IFERROR(INDEX(nombres[],SMALL(IF(OFFSET(nombres[],0,0,ROWS(nombres[]),1)=RR$1490,ROW(OFFSET(nombres[],0,0,ROWS(nombres[]),1))-ROW(OFFSET(nombres[],0,0,1,1))+1,ROW(OFFSET(nombres[],ROWS(nombres[])-1,0,1,1))+1),$O1542:$O1561),3),"")</f>
        <v/>
      </c>
      <c r="RS1542" s="42" t="str">
        <f t="array" aca="1" ref="RS1542" ca="1">IFERROR(INDEX(nombres[],SMALL(IF(OFFSET(nombres[],0,0,ROWS(nombres[]),1)=RS$1490,ROW(OFFSET(nombres[],0,0,ROWS(nombres[]),1))-ROW(OFFSET(nombres[],0,0,1,1))+1,ROW(OFFSET(nombres[],ROWS(nombres[])-1,0,1,1))+1),$O1542:$O1561),3),"")</f>
        <v/>
      </c>
      <c r="RT1542" s="42" t="str">
        <f t="array" aca="1" ref="RT1542" ca="1">IFERROR(INDEX(nombres[],SMALL(IF(OFFSET(nombres[],0,0,ROWS(nombres[]),1)=RT$1490,ROW(OFFSET(nombres[],0,0,ROWS(nombres[]),1))-ROW(OFFSET(nombres[],0,0,1,1))+1,ROW(OFFSET(nombres[],ROWS(nombres[])-1,0,1,1))+1),$O1542:$O1561),3),"")</f>
        <v/>
      </c>
      <c r="RU1542" s="42" t="str">
        <f t="array" aca="1" ref="RU1542" ca="1">IFERROR(INDEX(nombres[],SMALL(IF(OFFSET(nombres[],0,0,ROWS(nombres[]),1)=RU$1490,ROW(OFFSET(nombres[],0,0,ROWS(nombres[]),1))-ROW(OFFSET(nombres[],0,0,1,1))+1,ROW(OFFSET(nombres[],ROWS(nombres[])-1,0,1,1))+1),$O1542:$O1561),3),"")</f>
        <v/>
      </c>
      <c r="RV1542" s="42" t="str">
        <f t="array" aca="1" ref="RV1542" ca="1">IFERROR(INDEX(nombres[],SMALL(IF(OFFSET(nombres[],0,0,ROWS(nombres[]),1)=RV$1490,ROW(OFFSET(nombres[],0,0,ROWS(nombres[]),1))-ROW(OFFSET(nombres[],0,0,1,1))+1,ROW(OFFSET(nombres[],ROWS(nombres[])-1,0,1,1))+1),$O1542:$O1561),3),"")</f>
        <v/>
      </c>
      <c r="RW1542" s="42" t="str">
        <f t="array" aca="1" ref="RW1542" ca="1">IFERROR(INDEX(nombres[],SMALL(IF(OFFSET(nombres[],0,0,ROWS(nombres[]),1)=RW$1490,ROW(OFFSET(nombres[],0,0,ROWS(nombres[]),1))-ROW(OFFSET(nombres[],0,0,1,1))+1,ROW(OFFSET(nombres[],ROWS(nombres[])-1,0,1,1))+1),$O1542:$O1561),3),"")</f>
        <v/>
      </c>
      <c r="RX1542" s="42" t="str">
        <f t="array" aca="1" ref="RX1542" ca="1">IFERROR(INDEX(nombres[],SMALL(IF(OFFSET(nombres[],0,0,ROWS(nombres[]),1)=RX$1490,ROW(OFFSET(nombres[],0,0,ROWS(nombres[]),1))-ROW(OFFSET(nombres[],0,0,1,1))+1,ROW(OFFSET(nombres[],ROWS(nombres[])-1,0,1,1))+1),$O1542:$O1561),3),"")</f>
        <v/>
      </c>
      <c r="RY1542" s="42" t="str">
        <f t="array" aca="1" ref="RY1542" ca="1">IFERROR(INDEX(nombres[],SMALL(IF(OFFSET(nombres[],0,0,ROWS(nombres[]),1)=RY$1490,ROW(OFFSET(nombres[],0,0,ROWS(nombres[]),1))-ROW(OFFSET(nombres[],0,0,1,1))+1,ROW(OFFSET(nombres[],ROWS(nombres[])-1,0,1,1))+1),$O1542:$O1561),3),"")</f>
        <v/>
      </c>
      <c r="RZ1542" s="42" t="str">
        <f t="array" aca="1" ref="RZ1542" ca="1">IFERROR(INDEX(nombres[],SMALL(IF(OFFSET(nombres[],0,0,ROWS(nombres[]),1)=RZ$1490,ROW(OFFSET(nombres[],0,0,ROWS(nombres[]),1))-ROW(OFFSET(nombres[],0,0,1,1))+1,ROW(OFFSET(nombres[],ROWS(nombres[])-1,0,1,1))+1),$O1542:$O1561),3),"")</f>
        <v/>
      </c>
      <c r="SA1542" s="42" t="str">
        <f t="array" aca="1" ref="SA1542" ca="1">IFERROR(INDEX(nombres[],SMALL(IF(OFFSET(nombres[],0,0,ROWS(nombres[]),1)=SA$1490,ROW(OFFSET(nombres[],0,0,ROWS(nombres[]),1))-ROW(OFFSET(nombres[],0,0,1,1))+1,ROW(OFFSET(nombres[],ROWS(nombres[])-1,0,1,1))+1),$O1542:$O1561),3),"")</f>
        <v/>
      </c>
      <c r="SB1542" s="42" t="str">
        <f t="array" aca="1" ref="SB1542" ca="1">IFERROR(INDEX(nombres[],SMALL(IF(OFFSET(nombres[],0,0,ROWS(nombres[]),1)=SB$1490,ROW(OFFSET(nombres[],0,0,ROWS(nombres[]),1))-ROW(OFFSET(nombres[],0,0,1,1))+1,ROW(OFFSET(nombres[],ROWS(nombres[])-1,0,1,1))+1),$O1542:$O1561),3),"")</f>
        <v/>
      </c>
      <c r="SC1542" s="42" t="str">
        <f t="array" aca="1" ref="SC1542" ca="1">IFERROR(INDEX(nombres[],SMALL(IF(OFFSET(nombres[],0,0,ROWS(nombres[]),1)=SC$1490,ROW(OFFSET(nombres[],0,0,ROWS(nombres[]),1))-ROW(OFFSET(nombres[],0,0,1,1))+1,ROW(OFFSET(nombres[],ROWS(nombres[])-1,0,1,1))+1),$O1542:$O1561),3),"")</f>
        <v/>
      </c>
      <c r="SD1542" s="42" t="str">
        <f t="array" aca="1" ref="SD1542" ca="1">IFERROR(INDEX(nombres[],SMALL(IF(OFFSET(nombres[],0,0,ROWS(nombres[]),1)=SD$1490,ROW(OFFSET(nombres[],0,0,ROWS(nombres[]),1))-ROW(OFFSET(nombres[],0,0,1,1))+1,ROW(OFFSET(nombres[],ROWS(nombres[])-1,0,1,1))+1),$O1542:$O1561),3),"")</f>
        <v/>
      </c>
      <c r="SE1542" s="42" t="str">
        <f t="array" aca="1" ref="SE1542" ca="1">IFERROR(INDEX(nombres[],SMALL(IF(OFFSET(nombres[],0,0,ROWS(nombres[]),1)=SE$1490,ROW(OFFSET(nombres[],0,0,ROWS(nombres[]),1))-ROW(OFFSET(nombres[],0,0,1,1))+1,ROW(OFFSET(nombres[],ROWS(nombres[])-1,0,1,1))+1),$O1542:$O1561),3),"")</f>
        <v/>
      </c>
      <c r="SF1542" s="42" t="str">
        <f t="array" aca="1" ref="SF1542" ca="1">IFERROR(INDEX(nombres[],SMALL(IF(OFFSET(nombres[],0,0,ROWS(nombres[]),1)=SF$1490,ROW(OFFSET(nombres[],0,0,ROWS(nombres[]),1))-ROW(OFFSET(nombres[],0,0,1,1))+1,ROW(OFFSET(nombres[],ROWS(nombres[])-1,0,1,1))+1),$O1542:$O1561),3),"")</f>
        <v/>
      </c>
      <c r="SG1542" s="42" t="str">
        <f t="array" aca="1" ref="SG1542" ca="1">IFERROR(INDEX(nombres[],SMALL(IF(OFFSET(nombres[],0,0,ROWS(nombres[]),1)=SG$1490,ROW(OFFSET(nombres[],0,0,ROWS(nombres[]),1))-ROW(OFFSET(nombres[],0,0,1,1))+1,ROW(OFFSET(nombres[],ROWS(nombres[])-1,0,1,1))+1),$O1542:$O1561),3),"")</f>
        <v/>
      </c>
      <c r="SH1542" s="42" t="str">
        <f t="array" aca="1" ref="SH1542" ca="1">IFERROR(INDEX(nombres[],SMALL(IF(OFFSET(nombres[],0,0,ROWS(nombres[]),1)=SH$1490,ROW(OFFSET(nombres[],0,0,ROWS(nombres[]),1))-ROW(OFFSET(nombres[],0,0,1,1))+1,ROW(OFFSET(nombres[],ROWS(nombres[])-1,0,1,1))+1),$O1542:$O1561),3),"")</f>
        <v/>
      </c>
      <c r="SI1542" s="42" t="str">
        <f t="array" aca="1" ref="SI1542" ca="1">IFERROR(INDEX(nombres[],SMALL(IF(OFFSET(nombres[],0,0,ROWS(nombres[]),1)=SI$1490,ROW(OFFSET(nombres[],0,0,ROWS(nombres[]),1))-ROW(OFFSET(nombres[],0,0,1,1))+1,ROW(OFFSET(nombres[],ROWS(nombres[])-1,0,1,1))+1),$O1542:$O1561),3),"")</f>
        <v/>
      </c>
      <c r="SJ1542" s="42" t="str">
        <f t="array" aca="1" ref="SJ1542" ca="1">IFERROR(INDEX(nombres[],SMALL(IF(OFFSET(nombres[],0,0,ROWS(nombres[]),1)=SJ$1490,ROW(OFFSET(nombres[],0,0,ROWS(nombres[]),1))-ROW(OFFSET(nombres[],0,0,1,1))+1,ROW(OFFSET(nombres[],ROWS(nombres[])-1,0,1,1))+1),$O1542:$O1561),3),"")</f>
        <v/>
      </c>
      <c r="SK1542" s="42" t="str">
        <f t="array" aca="1" ref="SK1542" ca="1">IFERROR(INDEX(nombres[],SMALL(IF(OFFSET(nombres[],0,0,ROWS(nombres[]),1)=SK$1490,ROW(OFFSET(nombres[],0,0,ROWS(nombres[]),1))-ROW(OFFSET(nombres[],0,0,1,1))+1,ROW(OFFSET(nombres[],ROWS(nombres[])-1,0,1,1))+1),$O1542:$O1561),3),"")</f>
        <v/>
      </c>
      <c r="SL1542" s="42" t="str">
        <f t="array" aca="1" ref="SL1542" ca="1">IFERROR(INDEX(nombres[],SMALL(IF(OFFSET(nombres[],0,0,ROWS(nombres[]),1)=SL$1490,ROW(OFFSET(nombres[],0,0,ROWS(nombres[]),1))-ROW(OFFSET(nombres[],0,0,1,1))+1,ROW(OFFSET(nombres[],ROWS(nombres[])-1,0,1,1))+1),$O1542:$O1561),3),"")</f>
        <v/>
      </c>
      <c r="SM1542" s="42" t="str">
        <f t="array" aca="1" ref="SM1542" ca="1">IFERROR(INDEX(nombres[],SMALL(IF(OFFSET(nombres[],0,0,ROWS(nombres[]),1)=SM$1490,ROW(OFFSET(nombres[],0,0,ROWS(nombres[]),1))-ROW(OFFSET(nombres[],0,0,1,1))+1,ROW(OFFSET(nombres[],ROWS(nombres[])-1,0,1,1))+1),$O1542:$O1561),3),"")</f>
        <v/>
      </c>
      <c r="SN1542" s="42" t="str">
        <f t="array" aca="1" ref="SN1542" ca="1">IFERROR(INDEX(nombres[],SMALL(IF(OFFSET(nombres[],0,0,ROWS(nombres[]),1)=SN$1490,ROW(OFFSET(nombres[],0,0,ROWS(nombres[]),1))-ROW(OFFSET(nombres[],0,0,1,1))+1,ROW(OFFSET(nombres[],ROWS(nombres[])-1,0,1,1))+1),$O1542:$O1561),3),"")</f>
        <v/>
      </c>
      <c r="SO1542" s="42" t="str">
        <f t="array" aca="1" ref="SO1542" ca="1">IFERROR(INDEX(nombres[],SMALL(IF(OFFSET(nombres[],0,0,ROWS(nombres[]),1)=SO$1490,ROW(OFFSET(nombres[],0,0,ROWS(nombres[]),1))-ROW(OFFSET(nombres[],0,0,1,1))+1,ROW(OFFSET(nombres[],ROWS(nombres[])-1,0,1,1))+1),$O1542:$O1561),3),"")</f>
        <v/>
      </c>
      <c r="SP1542" s="42" t="str">
        <f t="array" aca="1" ref="SP1542" ca="1">IFERROR(INDEX(nombres[],SMALL(IF(OFFSET(nombres[],0,0,ROWS(nombres[]),1)=SP$1490,ROW(OFFSET(nombres[],0,0,ROWS(nombres[]),1))-ROW(OFFSET(nombres[],0,0,1,1))+1,ROW(OFFSET(nombres[],ROWS(nombres[])-1,0,1,1))+1),$O1542:$O1561),3),"")</f>
        <v/>
      </c>
      <c r="SQ1542" s="42" t="str">
        <f t="array" aca="1" ref="SQ1542" ca="1">IFERROR(INDEX(nombres[],SMALL(IF(OFFSET(nombres[],0,0,ROWS(nombres[]),1)=SQ$1490,ROW(OFFSET(nombres[],0,0,ROWS(nombres[]),1))-ROW(OFFSET(nombres[],0,0,1,1))+1,ROW(OFFSET(nombres[],ROWS(nombres[])-1,0,1,1))+1),$O1542:$O1561),3),"")</f>
        <v/>
      </c>
      <c r="SR1542" s="42" t="str">
        <f t="array" aca="1" ref="SR1542" ca="1">IFERROR(INDEX(nombres[],SMALL(IF(OFFSET(nombres[],0,0,ROWS(nombres[]),1)=SR$1490,ROW(OFFSET(nombres[],0,0,ROWS(nombres[]),1))-ROW(OFFSET(nombres[],0,0,1,1))+1,ROW(OFFSET(nombres[],ROWS(nombres[])-1,0,1,1))+1),$O1542:$O1561),3),"")</f>
        <v/>
      </c>
      <c r="SS1542" s="42" t="str">
        <f t="array" aca="1" ref="SS1542" ca="1">IFERROR(INDEX(nombres[],SMALL(IF(OFFSET(nombres[],0,0,ROWS(nombres[]),1)=SS$1490,ROW(OFFSET(nombres[],0,0,ROWS(nombres[]),1))-ROW(OFFSET(nombres[],0,0,1,1))+1,ROW(OFFSET(nombres[],ROWS(nombres[])-1,0,1,1))+1),$O1542:$O1561),3),"")</f>
        <v/>
      </c>
      <c r="ST1542" s="42" t="str">
        <f t="array" aca="1" ref="ST1542" ca="1">IFERROR(INDEX(nombres[],SMALL(IF(OFFSET(nombres[],0,0,ROWS(nombres[]),1)=ST$1490,ROW(OFFSET(nombres[],0,0,ROWS(nombres[]),1))-ROW(OFFSET(nombres[],0,0,1,1))+1,ROW(OFFSET(nombres[],ROWS(nombres[])-1,0,1,1))+1),$O1542:$O1561),3),"")</f>
        <v/>
      </c>
      <c r="SU1542" s="42" t="str">
        <f t="array" aca="1" ref="SU1542" ca="1">IFERROR(INDEX(nombres[],SMALL(IF(OFFSET(nombres[],0,0,ROWS(nombres[]),1)=SU$1490,ROW(OFFSET(nombres[],0,0,ROWS(nombres[]),1))-ROW(OFFSET(nombres[],0,0,1,1))+1,ROW(OFFSET(nombres[],ROWS(nombres[])-1,0,1,1))+1),$O1542:$O1561),3),"")</f>
        <v/>
      </c>
      <c r="SV1542" s="42" t="str">
        <f t="array" aca="1" ref="SV1542" ca="1">IFERROR(INDEX(nombres[],SMALL(IF(OFFSET(nombres[],0,0,ROWS(nombres[]),1)=SV$1490,ROW(OFFSET(nombres[],0,0,ROWS(nombres[]),1))-ROW(OFFSET(nombres[],0,0,1,1))+1,ROW(OFFSET(nombres[],ROWS(nombres[])-1,0,1,1))+1),$O1542:$O1561),3),"")</f>
        <v/>
      </c>
      <c r="SW1542" s="42" t="str">
        <f t="array" aca="1" ref="SW1542" ca="1">IFERROR(INDEX(nombres[],SMALL(IF(OFFSET(nombres[],0,0,ROWS(nombres[]),1)=SW$1490,ROW(OFFSET(nombres[],0,0,ROWS(nombres[]),1))-ROW(OFFSET(nombres[],0,0,1,1))+1,ROW(OFFSET(nombres[],ROWS(nombres[])-1,0,1,1))+1),$O1542:$O1561),3),"")</f>
        <v/>
      </c>
      <c r="SX1542" s="42" t="str">
        <f t="array" aca="1" ref="SX1542" ca="1">IFERROR(INDEX(nombres[],SMALL(IF(OFFSET(nombres[],0,0,ROWS(nombres[]),1)=SX$1490,ROW(OFFSET(nombres[],0,0,ROWS(nombres[]),1))-ROW(OFFSET(nombres[],0,0,1,1))+1,ROW(OFFSET(nombres[],ROWS(nombres[])-1,0,1,1))+1),$O1542:$O1561),3),"")</f>
        <v/>
      </c>
      <c r="SY1542" s="42" t="str">
        <f t="array" aca="1" ref="SY1542" ca="1">IFERROR(INDEX(nombres[],SMALL(IF(OFFSET(nombres[],0,0,ROWS(nombres[]),1)=SY$1490,ROW(OFFSET(nombres[],0,0,ROWS(nombres[]),1))-ROW(OFFSET(nombres[],0,0,1,1))+1,ROW(OFFSET(nombres[],ROWS(nombres[])-1,0,1,1))+1),$O1542:$O1561),3),"")</f>
        <v/>
      </c>
      <c r="SZ1542" s="42" t="str">
        <f t="array" aca="1" ref="SZ1542" ca="1">IFERROR(INDEX(nombres[],SMALL(IF(OFFSET(nombres[],0,0,ROWS(nombres[]),1)=SZ$1490,ROW(OFFSET(nombres[],0,0,ROWS(nombres[]),1))-ROW(OFFSET(nombres[],0,0,1,1))+1,ROW(OFFSET(nombres[],ROWS(nombres[])-1,0,1,1))+1),$O1542:$O1561),3),"")</f>
        <v/>
      </c>
      <c r="TA1542" s="42" t="str">
        <f t="array" aca="1" ref="TA1542" ca="1">IFERROR(INDEX(nombres[],SMALL(IF(OFFSET(nombres[],0,0,ROWS(nombres[]),1)=TA$1490,ROW(OFFSET(nombres[],0,0,ROWS(nombres[]),1))-ROW(OFFSET(nombres[],0,0,1,1))+1,ROW(OFFSET(nombres[],ROWS(nombres[])-1,0,1,1))+1),$O1542:$O1561),3),"")</f>
        <v/>
      </c>
      <c r="TB1542" s="42" t="str">
        <f t="array" aca="1" ref="TB1542" ca="1">IFERROR(INDEX(nombres[],SMALL(IF(OFFSET(nombres[],0,0,ROWS(nombres[]),1)=TB$1490,ROW(OFFSET(nombres[],0,0,ROWS(nombres[]),1))-ROW(OFFSET(nombres[],0,0,1,1))+1,ROW(OFFSET(nombres[],ROWS(nombres[])-1,0,1,1))+1),$O1542:$O1561),3),"")</f>
        <v/>
      </c>
      <c r="TC1542" s="42" t="str">
        <f t="array" aca="1" ref="TC1542" ca="1">IFERROR(INDEX(nombres[],SMALL(IF(OFFSET(nombres[],0,0,ROWS(nombres[]),1)=TC$1490,ROW(OFFSET(nombres[],0,0,ROWS(nombres[]),1))-ROW(OFFSET(nombres[],0,0,1,1))+1,ROW(OFFSET(nombres[],ROWS(nombres[])-1,0,1,1))+1),$O1542:$O1561),3),"")</f>
        <v/>
      </c>
      <c r="TD1542" s="42" t="str">
        <f t="array" aca="1" ref="TD1542" ca="1">IFERROR(INDEX(nombres[],SMALL(IF(OFFSET(nombres[],0,0,ROWS(nombres[]),1)=TD$1490,ROW(OFFSET(nombres[],0,0,ROWS(nombres[]),1))-ROW(OFFSET(nombres[],0,0,1,1))+1,ROW(OFFSET(nombres[],ROWS(nombres[])-1,0,1,1))+1),$O1542:$O1561),3),"")</f>
        <v/>
      </c>
      <c r="TE1542" s="42" t="str">
        <f t="array" aca="1" ref="TE1542" ca="1">IFERROR(INDEX(nombres[],SMALL(IF(OFFSET(nombres[],0,0,ROWS(nombres[]),1)=TE$1490,ROW(OFFSET(nombres[],0,0,ROWS(nombres[]),1))-ROW(OFFSET(nombres[],0,0,1,1))+1,ROW(OFFSET(nombres[],ROWS(nombres[])-1,0,1,1))+1),$O1542:$O1561),3),"")</f>
        <v/>
      </c>
      <c r="TF1542" s="42" t="str">
        <f t="array" aca="1" ref="TF1542" ca="1">IFERROR(INDEX(nombres[],SMALL(IF(OFFSET(nombres[],0,0,ROWS(nombres[]),1)=TF$1490,ROW(OFFSET(nombres[],0,0,ROWS(nombres[]),1))-ROW(OFFSET(nombres[],0,0,1,1))+1,ROW(OFFSET(nombres[],ROWS(nombres[])-1,0,1,1))+1),$O1542:$O1561),3),"")</f>
        <v/>
      </c>
      <c r="TG1542" s="42" t="str">
        <f t="array" aca="1" ref="TG1542" ca="1">IFERROR(INDEX(nombres[],SMALL(IF(OFFSET(nombres[],0,0,ROWS(nombres[]),1)=TG$1490,ROW(OFFSET(nombres[],0,0,ROWS(nombres[]),1))-ROW(OFFSET(nombres[],0,0,1,1))+1,ROW(OFFSET(nombres[],ROWS(nombres[])-1,0,1,1))+1),$O1542:$O1561),3),"")</f>
        <v/>
      </c>
      <c r="TH1542" s="42" t="str">
        <f t="array" aca="1" ref="TH1542" ca="1">IFERROR(INDEX(nombres[],SMALL(IF(OFFSET(nombres[],0,0,ROWS(nombres[]),1)=TH$1490,ROW(OFFSET(nombres[],0,0,ROWS(nombres[]),1))-ROW(OFFSET(nombres[],0,0,1,1))+1,ROW(OFFSET(nombres[],ROWS(nombres[])-1,0,1,1))+1),$O1542:$O1561),3),"")</f>
        <v/>
      </c>
      <c r="TI1542" s="42" t="str">
        <f t="array" aca="1" ref="TI1542" ca="1">IFERROR(INDEX(nombres[],SMALL(IF(OFFSET(nombres[],0,0,ROWS(nombres[]),1)=TI$1490,ROW(OFFSET(nombres[],0,0,ROWS(nombres[]),1))-ROW(OFFSET(nombres[],0,0,1,1))+1,ROW(OFFSET(nombres[],ROWS(nombres[])-1,0,1,1))+1),$O1542:$O1561),3),"")</f>
        <v/>
      </c>
      <c r="TJ1542" s="42" t="str">
        <f t="array" aca="1" ref="TJ1542" ca="1">IFERROR(INDEX(nombres[],SMALL(IF(OFFSET(nombres[],0,0,ROWS(nombres[]),1)=TJ$1490,ROW(OFFSET(nombres[],0,0,ROWS(nombres[]),1))-ROW(OFFSET(nombres[],0,0,1,1))+1,ROW(OFFSET(nombres[],ROWS(nombres[])-1,0,1,1))+1),$O1542:$O1561),3),"")</f>
        <v/>
      </c>
      <c r="TK1542" s="42" t="str">
        <f t="array" aca="1" ref="TK1542" ca="1">IFERROR(INDEX(nombres[],SMALL(IF(OFFSET(nombres[],0,0,ROWS(nombres[]),1)=TK$1490,ROW(OFFSET(nombres[],0,0,ROWS(nombres[]),1))-ROW(OFFSET(nombres[],0,0,1,1))+1,ROW(OFFSET(nombres[],ROWS(nombres[])-1,0,1,1))+1),$O1542:$O1561),3),"")</f>
        <v/>
      </c>
      <c r="TL1542" s="42" t="str">
        <f t="array" aca="1" ref="TL1542" ca="1">IFERROR(INDEX(nombres[],SMALL(IF(OFFSET(nombres[],0,0,ROWS(nombres[]),1)=TL$1490,ROW(OFFSET(nombres[],0,0,ROWS(nombres[]),1))-ROW(OFFSET(nombres[],0,0,1,1))+1,ROW(OFFSET(nombres[],ROWS(nombres[])-1,0,1,1))+1),$O1542:$O1561),3),"")</f>
        <v/>
      </c>
      <c r="TM1542" s="42" t="str">
        <f t="array" aca="1" ref="TM1542" ca="1">IFERROR(INDEX(nombres[],SMALL(IF(OFFSET(nombres[],0,0,ROWS(nombres[]),1)=TM$1490,ROW(OFFSET(nombres[],0,0,ROWS(nombres[]),1))-ROW(OFFSET(nombres[],0,0,1,1))+1,ROW(OFFSET(nombres[],ROWS(nombres[])-1,0,1,1))+1),$O1542:$O1561),3),"")</f>
        <v/>
      </c>
      <c r="TN1542" s="42" t="str">
        <f t="array" aca="1" ref="TN1542" ca="1">IFERROR(INDEX(nombres[],SMALL(IF(OFFSET(nombres[],0,0,ROWS(nombres[]),1)=TN$1490,ROW(OFFSET(nombres[],0,0,ROWS(nombres[]),1))-ROW(OFFSET(nombres[],0,0,1,1))+1,ROW(OFFSET(nombres[],ROWS(nombres[])-1,0,1,1))+1),$O1542:$O1561),3),"")</f>
        <v/>
      </c>
      <c r="TO1542" s="42" t="str">
        <f t="array" aca="1" ref="TO1542" ca="1">IFERROR(INDEX(nombres[],SMALL(IF(OFFSET(nombres[],0,0,ROWS(nombres[]),1)=TO$1490,ROW(OFFSET(nombres[],0,0,ROWS(nombres[]),1))-ROW(OFFSET(nombres[],0,0,1,1))+1,ROW(OFFSET(nombres[],ROWS(nombres[])-1,0,1,1))+1),$O1542:$O1561),3),"")</f>
        <v/>
      </c>
      <c r="TP1542" s="42" t="str">
        <f t="array" aca="1" ref="TP1542" ca="1">IFERROR(INDEX(nombres[],SMALL(IF(OFFSET(nombres[],0,0,ROWS(nombres[]),1)=TP$1490,ROW(OFFSET(nombres[],0,0,ROWS(nombres[]),1))-ROW(OFFSET(nombres[],0,0,1,1))+1,ROW(OFFSET(nombres[],ROWS(nombres[])-1,0,1,1))+1),$O1542:$O1561),3),"")</f>
        <v/>
      </c>
      <c r="TQ1542" s="42" t="str">
        <f t="array" aca="1" ref="TQ1542" ca="1">IFERROR(INDEX(nombres[],SMALL(IF(OFFSET(nombres[],0,0,ROWS(nombres[]),1)=TQ$1490,ROW(OFFSET(nombres[],0,0,ROWS(nombres[]),1))-ROW(OFFSET(nombres[],0,0,1,1))+1,ROW(OFFSET(nombres[],ROWS(nombres[])-1,0,1,1))+1),$O1542:$O1561),3),"")</f>
        <v/>
      </c>
      <c r="TR1542" s="42" t="str">
        <f t="array" aca="1" ref="TR1542" ca="1">IFERROR(INDEX(nombres[],SMALL(IF(OFFSET(nombres[],0,0,ROWS(nombres[]),1)=TR$1490,ROW(OFFSET(nombres[],0,0,ROWS(nombres[]),1))-ROW(OFFSET(nombres[],0,0,1,1))+1,ROW(OFFSET(nombres[],ROWS(nombres[])-1,0,1,1))+1),$O1542:$O1561),3),"")</f>
        <v/>
      </c>
      <c r="TS1542" s="42" t="str">
        <f t="array" aca="1" ref="TS1542" ca="1">IFERROR(INDEX(nombres[],SMALL(IF(OFFSET(nombres[],0,0,ROWS(nombres[]),1)=TS$1490,ROW(OFFSET(nombres[],0,0,ROWS(nombres[]),1))-ROW(OFFSET(nombres[],0,0,1,1))+1,ROW(OFFSET(nombres[],ROWS(nombres[])-1,0,1,1))+1),$O1542:$O1561),3),"")</f>
        <v/>
      </c>
      <c r="TT1542" s="42" t="str">
        <f t="array" aca="1" ref="TT1542" ca="1">IFERROR(INDEX(nombres[],SMALL(IF(OFFSET(nombres[],0,0,ROWS(nombres[]),1)=TT$1490,ROW(OFFSET(nombres[],0,0,ROWS(nombres[]),1))-ROW(OFFSET(nombres[],0,0,1,1))+1,ROW(OFFSET(nombres[],ROWS(nombres[])-1,0,1,1))+1),$O1542:$O1561),3),"")</f>
        <v/>
      </c>
      <c r="TU1542" s="42" t="str">
        <f t="array" aca="1" ref="TU1542" ca="1">IFERROR(INDEX(nombres[],SMALL(IF(OFFSET(nombres[],0,0,ROWS(nombres[]),1)=TU$1490,ROW(OFFSET(nombres[],0,0,ROWS(nombres[]),1))-ROW(OFFSET(nombres[],0,0,1,1))+1,ROW(OFFSET(nombres[],ROWS(nombres[])-1,0,1,1))+1),$O1542:$O1561),3),"")</f>
        <v/>
      </c>
      <c r="TV1542" s="42" t="str">
        <f t="array" aca="1" ref="TV1542" ca="1">IFERROR(INDEX(nombres[],SMALL(IF(OFFSET(nombres[],0,0,ROWS(nombres[]),1)=TV$1490,ROW(OFFSET(nombres[],0,0,ROWS(nombres[]),1))-ROW(OFFSET(nombres[],0,0,1,1))+1,ROW(OFFSET(nombres[],ROWS(nombres[])-1,0,1,1))+1),$O1542:$O1561),3),"")</f>
        <v/>
      </c>
      <c r="TW1542" s="42" t="str">
        <f t="array" aca="1" ref="TW1542" ca="1">IFERROR(INDEX(nombres[],SMALL(IF(OFFSET(nombres[],0,0,ROWS(nombres[]),1)=TW$1490,ROW(OFFSET(nombres[],0,0,ROWS(nombres[]),1))-ROW(OFFSET(nombres[],0,0,1,1))+1,ROW(OFFSET(nombres[],ROWS(nombres[])-1,0,1,1))+1),$O1542:$O1561),3),"")</f>
        <v/>
      </c>
      <c r="TX1542" s="42" t="str">
        <f t="array" aca="1" ref="TX1542" ca="1">IFERROR(INDEX(nombres[],SMALL(IF(OFFSET(nombres[],0,0,ROWS(nombres[]),1)=TX$1490,ROW(OFFSET(nombres[],0,0,ROWS(nombres[]),1))-ROW(OFFSET(nombres[],0,0,1,1))+1,ROW(OFFSET(nombres[],ROWS(nombres[])-1,0,1,1))+1),$O1542:$O1561),3),"")</f>
        <v/>
      </c>
      <c r="TY1542" s="42" t="str">
        <f t="array" aca="1" ref="TY1542" ca="1">IFERROR(INDEX(nombres[],SMALL(IF(OFFSET(nombres[],0,0,ROWS(nombres[]),1)=TY$1490,ROW(OFFSET(nombres[],0,0,ROWS(nombres[]),1))-ROW(OFFSET(nombres[],0,0,1,1))+1,ROW(OFFSET(nombres[],ROWS(nombres[])-1,0,1,1))+1),$O1542:$O1561),3),"")</f>
        <v/>
      </c>
      <c r="TZ1542" s="42" t="str">
        <f t="array" aca="1" ref="TZ1542" ca="1">IFERROR(INDEX(nombres[],SMALL(IF(OFFSET(nombres[],0,0,ROWS(nombres[]),1)=TZ$1490,ROW(OFFSET(nombres[],0,0,ROWS(nombres[]),1))-ROW(OFFSET(nombres[],0,0,1,1))+1,ROW(OFFSET(nombres[],ROWS(nombres[])-1,0,1,1))+1),$O1542:$O1561),3),"")</f>
        <v/>
      </c>
      <c r="UA1542" s="42" t="str">
        <f t="array" aca="1" ref="UA1542" ca="1">IFERROR(INDEX(nombres[],SMALL(IF(OFFSET(nombres[],0,0,ROWS(nombres[]),1)=UA$1490,ROW(OFFSET(nombres[],0,0,ROWS(nombres[]),1))-ROW(OFFSET(nombres[],0,0,1,1))+1,ROW(OFFSET(nombres[],ROWS(nombres[])-1,0,1,1))+1),$O1542:$O1561),3),"")</f>
        <v/>
      </c>
      <c r="UB1542" s="42" t="str">
        <f t="array" aca="1" ref="UB1542" ca="1">IFERROR(INDEX(nombres[],SMALL(IF(OFFSET(nombres[],0,0,ROWS(nombres[]),1)=UB$1490,ROW(OFFSET(nombres[],0,0,ROWS(nombres[]),1))-ROW(OFFSET(nombres[],0,0,1,1))+1,ROW(OFFSET(nombres[],ROWS(nombres[])-1,0,1,1))+1),$O1542:$O1561),3),"")</f>
        <v/>
      </c>
      <c r="UC1542" s="42" t="str">
        <f t="array" aca="1" ref="UC1542" ca="1">IFERROR(INDEX(nombres[],SMALL(IF(OFFSET(nombres[],0,0,ROWS(nombres[]),1)=UC$1490,ROW(OFFSET(nombres[],0,0,ROWS(nombres[]),1))-ROW(OFFSET(nombres[],0,0,1,1))+1,ROW(OFFSET(nombres[],ROWS(nombres[])-1,0,1,1))+1),$O1542:$O1561),3),"")</f>
        <v/>
      </c>
      <c r="UD1542" s="42" t="str">
        <f t="array" aca="1" ref="UD1542" ca="1">IFERROR(INDEX(nombres[],SMALL(IF(OFFSET(nombres[],0,0,ROWS(nombres[]),1)=UD$1490,ROW(OFFSET(nombres[],0,0,ROWS(nombres[]),1))-ROW(OFFSET(nombres[],0,0,1,1))+1,ROW(OFFSET(nombres[],ROWS(nombres[])-1,0,1,1))+1),$O1542:$O1561),3),"")</f>
        <v/>
      </c>
      <c r="UE1542" s="42" t="str">
        <f t="array" aca="1" ref="UE1542" ca="1">IFERROR(INDEX(nombres[],SMALL(IF(OFFSET(nombres[],0,0,ROWS(nombres[]),1)=UE$1490,ROW(OFFSET(nombres[],0,0,ROWS(nombres[]),1))-ROW(OFFSET(nombres[],0,0,1,1))+1,ROW(OFFSET(nombres[],ROWS(nombres[])-1,0,1,1))+1),$O1542:$O1561),3),"")</f>
        <v/>
      </c>
      <c r="UF1542" s="42" t="str">
        <f t="array" aca="1" ref="UF1542" ca="1">IFERROR(INDEX(nombres[],SMALL(IF(OFFSET(nombres[],0,0,ROWS(nombres[]),1)=UF$1490,ROW(OFFSET(nombres[],0,0,ROWS(nombres[]),1))-ROW(OFFSET(nombres[],0,0,1,1))+1,ROW(OFFSET(nombres[],ROWS(nombres[])-1,0,1,1))+1),$O1542:$O1561),3),"")</f>
        <v/>
      </c>
      <c r="UG1542" s="42" t="str">
        <f t="array" aca="1" ref="UG1542" ca="1">IFERROR(INDEX(nombres[],SMALL(IF(OFFSET(nombres[],0,0,ROWS(nombres[]),1)=UG$1490,ROW(OFFSET(nombres[],0,0,ROWS(nombres[]),1))-ROW(OFFSET(nombres[],0,0,1,1))+1,ROW(OFFSET(nombres[],ROWS(nombres[])-1,0,1,1))+1),$O1542:$O1561),3),"")</f>
        <v/>
      </c>
      <c r="UH1542" s="42" t="str">
        <f t="array" aca="1" ref="UH1542" ca="1">IFERROR(INDEX(nombres[],SMALL(IF(OFFSET(nombres[],0,0,ROWS(nombres[]),1)=UH$1490,ROW(OFFSET(nombres[],0,0,ROWS(nombres[]),1))-ROW(OFFSET(nombres[],0,0,1,1))+1,ROW(OFFSET(nombres[],ROWS(nombres[])-1,0,1,1))+1),$O1542:$O1561),3),"")</f>
        <v/>
      </c>
      <c r="UI1542" s="42" t="str">
        <f t="array" aca="1" ref="UI1542" ca="1">IFERROR(INDEX(nombres[],SMALL(IF(OFFSET(nombres[],0,0,ROWS(nombres[]),1)=UI$1490,ROW(OFFSET(nombres[],0,0,ROWS(nombres[]),1))-ROW(OFFSET(nombres[],0,0,1,1))+1,ROW(OFFSET(nombres[],ROWS(nombres[])-1,0,1,1))+1),$O1542:$O1561),3),"")</f>
        <v/>
      </c>
      <c r="UJ1542" s="42" t="str">
        <f t="array" aca="1" ref="UJ1542" ca="1">IFERROR(INDEX(nombres[],SMALL(IF(OFFSET(nombres[],0,0,ROWS(nombres[]),1)=UJ$1490,ROW(OFFSET(nombres[],0,0,ROWS(nombres[]),1))-ROW(OFFSET(nombres[],0,0,1,1))+1,ROW(OFFSET(nombres[],ROWS(nombres[])-1,0,1,1))+1),$O1542:$O1561),3),"")</f>
        <v/>
      </c>
      <c r="UK1542" s="42" t="str">
        <f t="array" aca="1" ref="UK1542" ca="1">IFERROR(INDEX(nombres[],SMALL(IF(OFFSET(nombres[],0,0,ROWS(nombres[]),1)=UK$1490,ROW(OFFSET(nombres[],0,0,ROWS(nombres[]),1))-ROW(OFFSET(nombres[],0,0,1,1))+1,ROW(OFFSET(nombres[],ROWS(nombres[])-1,0,1,1))+1),$O1542:$O1561),3),"")</f>
        <v/>
      </c>
      <c r="UL1542" s="42" t="str">
        <f t="array" aca="1" ref="UL1542" ca="1">IFERROR(INDEX(nombres[],SMALL(IF(OFFSET(nombres[],0,0,ROWS(nombres[]),1)=UL$1490,ROW(OFFSET(nombres[],0,0,ROWS(nombres[]),1))-ROW(OFFSET(nombres[],0,0,1,1))+1,ROW(OFFSET(nombres[],ROWS(nombres[])-1,0,1,1))+1),$O1542:$O1561),3),"")</f>
        <v/>
      </c>
      <c r="UM1542" s="42" t="str">
        <f t="array" aca="1" ref="UM1542" ca="1">IFERROR(INDEX(nombres[],SMALL(IF(OFFSET(nombres[],0,0,ROWS(nombres[]),1)=UM$1490,ROW(OFFSET(nombres[],0,0,ROWS(nombres[]),1))-ROW(OFFSET(nombres[],0,0,1,1))+1,ROW(OFFSET(nombres[],ROWS(nombres[])-1,0,1,1))+1),$O1542:$O1561),3),"")</f>
        <v/>
      </c>
      <c r="UN1542" s="42" t="str">
        <f t="array" aca="1" ref="UN1542" ca="1">IFERROR(INDEX(nombres[],SMALL(IF(OFFSET(nombres[],0,0,ROWS(nombres[]),1)=UN$1490,ROW(OFFSET(nombres[],0,0,ROWS(nombres[]),1))-ROW(OFFSET(nombres[],0,0,1,1))+1,ROW(OFFSET(nombres[],ROWS(nombres[])-1,0,1,1))+1),$O1542:$O1561),3),"")</f>
        <v/>
      </c>
      <c r="UO1542" s="42" t="str">
        <f t="array" aca="1" ref="UO1542" ca="1">IFERROR(INDEX(nombres[],SMALL(IF(OFFSET(nombres[],0,0,ROWS(nombres[]),1)=UO$1490,ROW(OFFSET(nombres[],0,0,ROWS(nombres[]),1))-ROW(OFFSET(nombres[],0,0,1,1))+1,ROW(OFFSET(nombres[],ROWS(nombres[])-1,0,1,1))+1),$O1542:$O1561),3),"")</f>
        <v/>
      </c>
      <c r="UP1542" s="42" t="str">
        <f t="array" aca="1" ref="UP1542" ca="1">IFERROR(INDEX(nombres[],SMALL(IF(OFFSET(nombres[],0,0,ROWS(nombres[]),1)=UP$1490,ROW(OFFSET(nombres[],0,0,ROWS(nombres[]),1))-ROW(OFFSET(nombres[],0,0,1,1))+1,ROW(OFFSET(nombres[],ROWS(nombres[])-1,0,1,1))+1),$O1542:$O1561),3),"")</f>
        <v/>
      </c>
      <c r="UQ1542" s="42" t="str">
        <f t="array" aca="1" ref="UQ1542" ca="1">IFERROR(INDEX(nombres[],SMALL(IF(OFFSET(nombres[],0,0,ROWS(nombres[]),1)=UQ$1490,ROW(OFFSET(nombres[],0,0,ROWS(nombres[]),1))-ROW(OFFSET(nombres[],0,0,1,1))+1,ROW(OFFSET(nombres[],ROWS(nombres[])-1,0,1,1))+1),$O1542:$O1561),3),"")</f>
        <v/>
      </c>
      <c r="UR1542" s="42" t="str">
        <f t="array" aca="1" ref="UR1542" ca="1">IFERROR(INDEX(nombres[],SMALL(IF(OFFSET(nombres[],0,0,ROWS(nombres[]),1)=UR$1490,ROW(OFFSET(nombres[],0,0,ROWS(nombres[]),1))-ROW(OFFSET(nombres[],0,0,1,1))+1,ROW(OFFSET(nombres[],ROWS(nombres[])-1,0,1,1))+1),$O1542:$O1561),3),"")</f>
        <v/>
      </c>
      <c r="US1542" s="42" t="str">
        <f t="array" aca="1" ref="US1542" ca="1">IFERROR(INDEX(nombres[],SMALL(IF(OFFSET(nombres[],0,0,ROWS(nombres[]),1)=US$1490,ROW(OFFSET(nombres[],0,0,ROWS(nombres[]),1))-ROW(OFFSET(nombres[],0,0,1,1))+1,ROW(OFFSET(nombres[],ROWS(nombres[])-1,0,1,1))+1),$O1542:$O1561),3),"")</f>
        <v/>
      </c>
      <c r="UT1542" s="42" t="str">
        <f t="array" aca="1" ref="UT1542" ca="1">IFERROR(INDEX(nombres[],SMALL(IF(OFFSET(nombres[],0,0,ROWS(nombres[]),1)=UT$1490,ROW(OFFSET(nombres[],0,0,ROWS(nombres[]),1))-ROW(OFFSET(nombres[],0,0,1,1))+1,ROW(OFFSET(nombres[],ROWS(nombres[])-1,0,1,1))+1),$O1542:$O1561),3),"")</f>
        <v/>
      </c>
      <c r="UU1542" s="42" t="str">
        <f t="array" aca="1" ref="UU1542" ca="1">IFERROR(INDEX(nombres[],SMALL(IF(OFFSET(nombres[],0,0,ROWS(nombres[]),1)=UU$1490,ROW(OFFSET(nombres[],0,0,ROWS(nombres[]),1))-ROW(OFFSET(nombres[],0,0,1,1))+1,ROW(OFFSET(nombres[],ROWS(nombres[])-1,0,1,1))+1),$O1542:$O1561),3),"")</f>
        <v/>
      </c>
      <c r="UV1542" s="42" t="str">
        <f t="array" aca="1" ref="UV1542" ca="1">IFERROR(INDEX(nombres[],SMALL(IF(OFFSET(nombres[],0,0,ROWS(nombres[]),1)=UV$1490,ROW(OFFSET(nombres[],0,0,ROWS(nombres[]),1))-ROW(OFFSET(nombres[],0,0,1,1))+1,ROW(OFFSET(nombres[],ROWS(nombres[])-1,0,1,1))+1),$O1542:$O1561),3),"")</f>
        <v/>
      </c>
      <c r="UW1542" s="42" t="str">
        <f t="array" aca="1" ref="UW1542" ca="1">IFERROR(INDEX(nombres[],SMALL(IF(OFFSET(nombres[],0,0,ROWS(nombres[]),1)=UW$1490,ROW(OFFSET(nombres[],0,0,ROWS(nombres[]),1))-ROW(OFFSET(nombres[],0,0,1,1))+1,ROW(OFFSET(nombres[],ROWS(nombres[])-1,0,1,1))+1),$O1542:$O1561),3),"")</f>
        <v/>
      </c>
      <c r="UX1542" s="42" t="str">
        <f t="array" aca="1" ref="UX1542" ca="1">IFERROR(INDEX(nombres[],SMALL(IF(OFFSET(nombres[],0,0,ROWS(nombres[]),1)=UX$1490,ROW(OFFSET(nombres[],0,0,ROWS(nombres[]),1))-ROW(OFFSET(nombres[],0,0,1,1))+1,ROW(OFFSET(nombres[],ROWS(nombres[])-1,0,1,1))+1),$O1542:$O1561),3),"")</f>
        <v/>
      </c>
      <c r="UY1542" s="42" t="str">
        <f t="array" aca="1" ref="UY1542" ca="1">IFERROR(INDEX(nombres[],SMALL(IF(OFFSET(nombres[],0,0,ROWS(nombres[]),1)=UY$1490,ROW(OFFSET(nombres[],0,0,ROWS(nombres[]),1))-ROW(OFFSET(nombres[],0,0,1,1))+1,ROW(OFFSET(nombres[],ROWS(nombres[])-1,0,1,1))+1),$O1542:$O1561),3),"")</f>
        <v/>
      </c>
      <c r="UZ1542" s="42" t="str">
        <f t="array" aca="1" ref="UZ1542" ca="1">IFERROR(INDEX(nombres[],SMALL(IF(OFFSET(nombres[],0,0,ROWS(nombres[]),1)=UZ$1490,ROW(OFFSET(nombres[],0,0,ROWS(nombres[]),1))-ROW(OFFSET(nombres[],0,0,1,1))+1,ROW(OFFSET(nombres[],ROWS(nombres[])-1,0,1,1))+1),$O1542:$O1561),3),"")</f>
        <v/>
      </c>
      <c r="VA1542" s="42" t="str">
        <f t="array" aca="1" ref="VA1542" ca="1">IFERROR(INDEX(nombres[],SMALL(IF(OFFSET(nombres[],0,0,ROWS(nombres[]),1)=VA$1490,ROW(OFFSET(nombres[],0,0,ROWS(nombres[]),1))-ROW(OFFSET(nombres[],0,0,1,1))+1,ROW(OFFSET(nombres[],ROWS(nombres[])-1,0,1,1))+1),$O1542:$O1561),3),"")</f>
        <v/>
      </c>
      <c r="VB1542" s="42" t="str">
        <f t="array" aca="1" ref="VB1542" ca="1">IFERROR(INDEX(nombres[],SMALL(IF(OFFSET(nombres[],0,0,ROWS(nombres[]),1)=VB$1490,ROW(OFFSET(nombres[],0,0,ROWS(nombres[]),1))-ROW(OFFSET(nombres[],0,0,1,1))+1,ROW(OFFSET(nombres[],ROWS(nombres[])-1,0,1,1))+1),$O1542:$O1561),3),"")</f>
        <v/>
      </c>
      <c r="VC1542" s="42" t="str">
        <f t="array" aca="1" ref="VC1542" ca="1">IFERROR(INDEX(nombres[],SMALL(IF(OFFSET(nombres[],0,0,ROWS(nombres[]),1)=VC$1490,ROW(OFFSET(nombres[],0,0,ROWS(nombres[]),1))-ROW(OFFSET(nombres[],0,0,1,1))+1,ROW(OFFSET(nombres[],ROWS(nombres[])-1,0,1,1))+1),$O1542:$O1561),3),"")</f>
        <v/>
      </c>
      <c r="VD1542" s="42" t="str">
        <f t="array" aca="1" ref="VD1542" ca="1">IFERROR(INDEX(nombres[],SMALL(IF(OFFSET(nombres[],0,0,ROWS(nombres[]),1)=VD$1490,ROW(OFFSET(nombres[],0,0,ROWS(nombres[]),1))-ROW(OFFSET(nombres[],0,0,1,1))+1,ROW(OFFSET(nombres[],ROWS(nombres[])-1,0,1,1))+1),$O1542:$O1561),3),"")</f>
        <v/>
      </c>
      <c r="VE1542" s="42" t="str">
        <f t="array" aca="1" ref="VE1542" ca="1">IFERROR(INDEX(nombres[],SMALL(IF(OFFSET(nombres[],0,0,ROWS(nombres[]),1)=VE$1490,ROW(OFFSET(nombres[],0,0,ROWS(nombres[]),1))-ROW(OFFSET(nombres[],0,0,1,1))+1,ROW(OFFSET(nombres[],ROWS(nombres[])-1,0,1,1))+1),$O1542:$O1561),3),"")</f>
        <v/>
      </c>
      <c r="VF1542" s="42" t="str">
        <f t="array" aca="1" ref="VF1542" ca="1">IFERROR(INDEX(nombres[],SMALL(IF(OFFSET(nombres[],0,0,ROWS(nombres[]),1)=VF$1490,ROW(OFFSET(nombres[],0,0,ROWS(nombres[]),1))-ROW(OFFSET(nombres[],0,0,1,1))+1,ROW(OFFSET(nombres[],ROWS(nombres[])-1,0,1,1))+1),$O1542:$O1561),3),"")</f>
        <v/>
      </c>
      <c r="VG1542" s="42" t="str">
        <f t="array" aca="1" ref="VG1542" ca="1">IFERROR(INDEX(nombres[],SMALL(IF(OFFSET(nombres[],0,0,ROWS(nombres[]),1)=VG$1490,ROW(OFFSET(nombres[],0,0,ROWS(nombres[]),1))-ROW(OFFSET(nombres[],0,0,1,1))+1,ROW(OFFSET(nombres[],ROWS(nombres[])-1,0,1,1))+1),$O1542:$O1561),3),"")</f>
        <v/>
      </c>
      <c r="VH1542" s="42" t="str">
        <f t="array" aca="1" ref="VH1542" ca="1">IFERROR(INDEX(nombres[],SMALL(IF(OFFSET(nombres[],0,0,ROWS(nombres[]),1)=VH$1490,ROW(OFFSET(nombres[],0,0,ROWS(nombres[]),1))-ROW(OFFSET(nombres[],0,0,1,1))+1,ROW(OFFSET(nombres[],ROWS(nombres[])-1,0,1,1))+1),$O1542:$O1561),3),"")</f>
        <v/>
      </c>
      <c r="VI1542" s="42" t="str">
        <f t="array" aca="1" ref="VI1542" ca="1">IFERROR(INDEX(nombres[],SMALL(IF(OFFSET(nombres[],0,0,ROWS(nombres[]),1)=VI$1490,ROW(OFFSET(nombres[],0,0,ROWS(nombres[]),1))-ROW(OFFSET(nombres[],0,0,1,1))+1,ROW(OFFSET(nombres[],ROWS(nombres[])-1,0,1,1))+1),$O1542:$O1561),3),"")</f>
        <v/>
      </c>
      <c r="VJ1542" s="42" t="str">
        <f t="array" aca="1" ref="VJ1542" ca="1">IFERROR(INDEX(nombres[],SMALL(IF(OFFSET(nombres[],0,0,ROWS(nombres[]),1)=VJ$1490,ROW(OFFSET(nombres[],0,0,ROWS(nombres[]),1))-ROW(OFFSET(nombres[],0,0,1,1))+1,ROW(OFFSET(nombres[],ROWS(nombres[])-1,0,1,1))+1),$O1542:$O1561),3),"")</f>
        <v/>
      </c>
      <c r="VK1542" s="42" t="str">
        <f t="array" aca="1" ref="VK1542" ca="1">IFERROR(INDEX(nombres[],SMALL(IF(OFFSET(nombres[],0,0,ROWS(nombres[]),1)=VK$1490,ROW(OFFSET(nombres[],0,0,ROWS(nombres[]),1))-ROW(OFFSET(nombres[],0,0,1,1))+1,ROW(OFFSET(nombres[],ROWS(nombres[])-1,0,1,1))+1),$O1542:$O1561),3),"")</f>
        <v/>
      </c>
      <c r="VL1542" s="42" t="str">
        <f t="array" aca="1" ref="VL1542" ca="1">IFERROR(INDEX(nombres[],SMALL(IF(OFFSET(nombres[],0,0,ROWS(nombres[]),1)=VL$1490,ROW(OFFSET(nombres[],0,0,ROWS(nombres[]),1))-ROW(OFFSET(nombres[],0,0,1,1))+1,ROW(OFFSET(nombres[],ROWS(nombres[])-1,0,1,1))+1),$O1542:$O1561),3),"")</f>
        <v/>
      </c>
      <c r="VM1542" s="42" t="str">
        <f t="array" aca="1" ref="VM1542" ca="1">IFERROR(INDEX(nombres[],SMALL(IF(OFFSET(nombres[],0,0,ROWS(nombres[]),1)=VM$1490,ROW(OFFSET(nombres[],0,0,ROWS(nombres[]),1))-ROW(OFFSET(nombres[],0,0,1,1))+1,ROW(OFFSET(nombres[],ROWS(nombres[])-1,0,1,1))+1),$O1542:$O1561),3),"")</f>
        <v/>
      </c>
      <c r="VN1542" s="42" t="str">
        <f t="array" aca="1" ref="VN1542" ca="1">IFERROR(INDEX(nombres[],SMALL(IF(OFFSET(nombres[],0,0,ROWS(nombres[]),1)=VN$1490,ROW(OFFSET(nombres[],0,0,ROWS(nombres[]),1))-ROW(OFFSET(nombres[],0,0,1,1))+1,ROW(OFFSET(nombres[],ROWS(nombres[])-1,0,1,1))+1),$O1542:$O1561),3),"")</f>
        <v/>
      </c>
      <c r="VO1542" s="42" t="str">
        <f t="array" aca="1" ref="VO1542" ca="1">IFERROR(INDEX(nombres[],SMALL(IF(OFFSET(nombres[],0,0,ROWS(nombres[]),1)=VO$1490,ROW(OFFSET(nombres[],0,0,ROWS(nombres[]),1))-ROW(OFFSET(nombres[],0,0,1,1))+1,ROW(OFFSET(nombres[],ROWS(nombres[])-1,0,1,1))+1),$O1542:$O1561),3),"")</f>
        <v/>
      </c>
      <c r="VP1542" s="42" t="str">
        <f t="array" aca="1" ref="VP1542" ca="1">IFERROR(INDEX(nombres[],SMALL(IF(OFFSET(nombres[],0,0,ROWS(nombres[]),1)=VP$1490,ROW(OFFSET(nombres[],0,0,ROWS(nombres[]),1))-ROW(OFFSET(nombres[],0,0,1,1))+1,ROW(OFFSET(nombres[],ROWS(nombres[])-1,0,1,1))+1),$O1542:$O1561),3),"")</f>
        <v/>
      </c>
      <c r="VQ1542" s="42" t="str">
        <f t="array" aca="1" ref="VQ1542" ca="1">IFERROR(INDEX(nombres[],SMALL(IF(OFFSET(nombres[],0,0,ROWS(nombres[]),1)=VQ$1490,ROW(OFFSET(nombres[],0,0,ROWS(nombres[]),1))-ROW(OFFSET(nombres[],0,0,1,1))+1,ROW(OFFSET(nombres[],ROWS(nombres[])-1,0,1,1))+1),$O1542:$O1561),3),"")</f>
        <v/>
      </c>
      <c r="VR1542" s="42" t="str">
        <f t="array" aca="1" ref="VR1542" ca="1">IFERROR(INDEX(nombres[],SMALL(IF(OFFSET(nombres[],0,0,ROWS(nombres[]),1)=VR$1490,ROW(OFFSET(nombres[],0,0,ROWS(nombres[]),1))-ROW(OFFSET(nombres[],0,0,1,1))+1,ROW(OFFSET(nombres[],ROWS(nombres[])-1,0,1,1))+1),$O1542:$O1561),3),"")</f>
        <v/>
      </c>
      <c r="VS1542" s="42" t="str">
        <f t="array" aca="1" ref="VS1542" ca="1">IFERROR(INDEX(nombres[],SMALL(IF(OFFSET(nombres[],0,0,ROWS(nombres[]),1)=VS$1490,ROW(OFFSET(nombres[],0,0,ROWS(nombres[]),1))-ROW(OFFSET(nombres[],0,0,1,1))+1,ROW(OFFSET(nombres[],ROWS(nombres[])-1,0,1,1))+1),$O1542:$O1561),3),"")</f>
        <v/>
      </c>
      <c r="VT1542" s="42" t="str">
        <f t="array" aca="1" ref="VT1542" ca="1">IFERROR(INDEX(nombres[],SMALL(IF(OFFSET(nombres[],0,0,ROWS(nombres[]),1)=VT$1490,ROW(OFFSET(nombres[],0,0,ROWS(nombres[]),1))-ROW(OFFSET(nombres[],0,0,1,1))+1,ROW(OFFSET(nombres[],ROWS(nombres[])-1,0,1,1))+1),$O1542:$O1561),3),"")</f>
        <v/>
      </c>
      <c r="VU1542" s="42" t="str">
        <f t="array" aca="1" ref="VU1542" ca="1">IFERROR(INDEX(nombres[],SMALL(IF(OFFSET(nombres[],0,0,ROWS(nombres[]),1)=VU$1490,ROW(OFFSET(nombres[],0,0,ROWS(nombres[]),1))-ROW(OFFSET(nombres[],0,0,1,1))+1,ROW(OFFSET(nombres[],ROWS(nombres[])-1,0,1,1))+1),$O1542:$O1561),3),"")</f>
        <v/>
      </c>
      <c r="VV1542" s="42" t="str">
        <f t="array" aca="1" ref="VV1542" ca="1">IFERROR(INDEX(nombres[],SMALL(IF(OFFSET(nombres[],0,0,ROWS(nombres[]),1)=VV$1490,ROW(OFFSET(nombres[],0,0,ROWS(nombres[]),1))-ROW(OFFSET(nombres[],0,0,1,1))+1,ROW(OFFSET(nombres[],ROWS(nombres[])-1,0,1,1))+1),$O1542:$O1561),3),"")</f>
        <v/>
      </c>
      <c r="VW1542" s="42" t="str">
        <f t="array" aca="1" ref="VW1542" ca="1">IFERROR(INDEX(nombres[],SMALL(IF(OFFSET(nombres[],0,0,ROWS(nombres[]),1)=VW$1490,ROW(OFFSET(nombres[],0,0,ROWS(nombres[]),1))-ROW(OFFSET(nombres[],0,0,1,1))+1,ROW(OFFSET(nombres[],ROWS(nombres[])-1,0,1,1))+1),$O1542:$O1561),3),"")</f>
        <v/>
      </c>
      <c r="VX1542" s="42" t="str">
        <f t="array" aca="1" ref="VX1542" ca="1">IFERROR(INDEX(nombres[],SMALL(IF(OFFSET(nombres[],0,0,ROWS(nombres[]),1)=VX$1490,ROW(OFFSET(nombres[],0,0,ROWS(nombres[]),1))-ROW(OFFSET(nombres[],0,0,1,1))+1,ROW(OFFSET(nombres[],ROWS(nombres[])-1,0,1,1))+1),$O1542:$O1561),3),"")</f>
        <v/>
      </c>
      <c r="VY1542" s="42" t="str">
        <f t="array" aca="1" ref="VY1542" ca="1">IFERROR(INDEX(nombres[],SMALL(IF(OFFSET(nombres[],0,0,ROWS(nombres[]),1)=VY$1490,ROW(OFFSET(nombres[],0,0,ROWS(nombres[]),1))-ROW(OFFSET(nombres[],0,0,1,1))+1,ROW(OFFSET(nombres[],ROWS(nombres[])-1,0,1,1))+1),$O1542:$O1561),3),"")</f>
        <v/>
      </c>
      <c r="VZ1542" s="42" t="str">
        <f t="array" aca="1" ref="VZ1542" ca="1">IFERROR(INDEX(nombres[],SMALL(IF(OFFSET(nombres[],0,0,ROWS(nombres[]),1)=VZ$1490,ROW(OFFSET(nombres[],0,0,ROWS(nombres[]),1))-ROW(OFFSET(nombres[],0,0,1,1))+1,ROW(OFFSET(nombres[],ROWS(nombres[])-1,0,1,1))+1),$O1542:$O1561),3),"")</f>
        <v/>
      </c>
      <c r="WA1542" s="42" t="str">
        <f t="array" aca="1" ref="WA1542" ca="1">IFERROR(INDEX(nombres[],SMALL(IF(OFFSET(nombres[],0,0,ROWS(nombres[]),1)=WA$1490,ROW(OFFSET(nombres[],0,0,ROWS(nombres[]),1))-ROW(OFFSET(nombres[],0,0,1,1))+1,ROW(OFFSET(nombres[],ROWS(nombres[])-1,0,1,1))+1),$O1542:$O1561),3),"")</f>
        <v/>
      </c>
      <c r="WB1542" s="42" t="str">
        <f t="array" aca="1" ref="WB1542" ca="1">IFERROR(INDEX(nombres[],SMALL(IF(OFFSET(nombres[],0,0,ROWS(nombres[]),1)=WB$1490,ROW(OFFSET(nombres[],0,0,ROWS(nombres[]),1))-ROW(OFFSET(nombres[],0,0,1,1))+1,ROW(OFFSET(nombres[],ROWS(nombres[])-1,0,1,1))+1),$O1542:$O1561),3),"")</f>
        <v/>
      </c>
      <c r="WC1542" s="42" t="str">
        <f t="array" aca="1" ref="WC1542" ca="1">IFERROR(INDEX(nombres[],SMALL(IF(OFFSET(nombres[],0,0,ROWS(nombres[]),1)=WC$1490,ROW(OFFSET(nombres[],0,0,ROWS(nombres[]),1))-ROW(OFFSET(nombres[],0,0,1,1))+1,ROW(OFFSET(nombres[],ROWS(nombres[])-1,0,1,1))+1),$O1542:$O1561),3),"")</f>
        <v/>
      </c>
      <c r="WD1542" s="42" t="str">
        <f t="array" aca="1" ref="WD1542" ca="1">IFERROR(INDEX(nombres[],SMALL(IF(OFFSET(nombres[],0,0,ROWS(nombres[]),1)=WD$1490,ROW(OFFSET(nombres[],0,0,ROWS(nombres[]),1))-ROW(OFFSET(nombres[],0,0,1,1))+1,ROW(OFFSET(nombres[],ROWS(nombres[])-1,0,1,1))+1),$O1542:$O1561),3),"")</f>
        <v/>
      </c>
      <c r="WE1542" s="42" t="str">
        <f t="array" aca="1" ref="WE1542" ca="1">IFERROR(INDEX(nombres[],SMALL(IF(OFFSET(nombres[],0,0,ROWS(nombres[]),1)=WE$1490,ROW(OFFSET(nombres[],0,0,ROWS(nombres[]),1))-ROW(OFFSET(nombres[],0,0,1,1))+1,ROW(OFFSET(nombres[],ROWS(nombres[])-1,0,1,1))+1),$O1542:$O1561),3),"")</f>
        <v/>
      </c>
      <c r="WF1542" s="42" t="str">
        <f t="array" aca="1" ref="WF1542" ca="1">IFERROR(INDEX(nombres[],SMALL(IF(OFFSET(nombres[],0,0,ROWS(nombres[]),1)=WF$1490,ROW(OFFSET(nombres[],0,0,ROWS(nombres[]),1))-ROW(OFFSET(nombres[],0,0,1,1))+1,ROW(OFFSET(nombres[],ROWS(nombres[])-1,0,1,1))+1),$O1542:$O1561),3),"")</f>
        <v/>
      </c>
      <c r="WG1542" s="42" t="str">
        <f t="array" aca="1" ref="WG1542" ca="1">IFERROR(INDEX(nombres[],SMALL(IF(OFFSET(nombres[],0,0,ROWS(nombres[]),1)=WG$1490,ROW(OFFSET(nombres[],0,0,ROWS(nombres[]),1))-ROW(OFFSET(nombres[],0,0,1,1))+1,ROW(OFFSET(nombres[],ROWS(nombres[])-1,0,1,1))+1),$O1542:$O1561),3),"")</f>
        <v/>
      </c>
      <c r="WH1542" s="42" t="str">
        <f t="array" aca="1" ref="WH1542" ca="1">IFERROR(INDEX(nombres[],SMALL(IF(OFFSET(nombres[],0,0,ROWS(nombres[]),1)=WH$1490,ROW(OFFSET(nombres[],0,0,ROWS(nombres[]),1))-ROW(OFFSET(nombres[],0,0,1,1))+1,ROW(OFFSET(nombres[],ROWS(nombres[])-1,0,1,1))+1),$O1542:$O1561),3),"")</f>
        <v/>
      </c>
      <c r="WI1542" s="42" t="str">
        <f t="array" aca="1" ref="WI1542" ca="1">IFERROR(INDEX(nombres[],SMALL(IF(OFFSET(nombres[],0,0,ROWS(nombres[]),1)=WI$1490,ROW(OFFSET(nombres[],0,0,ROWS(nombres[]),1))-ROW(OFFSET(nombres[],0,0,1,1))+1,ROW(OFFSET(nombres[],ROWS(nombres[])-1,0,1,1))+1),$O1542:$O1561),3),"")</f>
        <v/>
      </c>
      <c r="WJ1542" s="42" t="str">
        <f t="array" aca="1" ref="WJ1542" ca="1">IFERROR(INDEX(nombres[],SMALL(IF(OFFSET(nombres[],0,0,ROWS(nombres[]),1)=WJ$1490,ROW(OFFSET(nombres[],0,0,ROWS(nombres[]),1))-ROW(OFFSET(nombres[],0,0,1,1))+1,ROW(OFFSET(nombres[],ROWS(nombres[])-1,0,1,1))+1),$O1542:$O1561),3),"")</f>
        <v/>
      </c>
      <c r="WK1542" s="42" t="str">
        <f t="array" aca="1" ref="WK1542" ca="1">IFERROR(INDEX(nombres[],SMALL(IF(OFFSET(nombres[],0,0,ROWS(nombres[]),1)=WK$1490,ROW(OFFSET(nombres[],0,0,ROWS(nombres[]),1))-ROW(OFFSET(nombres[],0,0,1,1))+1,ROW(OFFSET(nombres[],ROWS(nombres[])-1,0,1,1))+1),$O1542:$O1561),3),"")</f>
        <v/>
      </c>
      <c r="WL1542" s="42" t="str">
        <f t="array" aca="1" ref="WL1542" ca="1">IFERROR(INDEX(nombres[],SMALL(IF(OFFSET(nombres[],0,0,ROWS(nombres[]),1)=WL$1490,ROW(OFFSET(nombres[],0,0,ROWS(nombres[]),1))-ROW(OFFSET(nombres[],0,0,1,1))+1,ROW(OFFSET(nombres[],ROWS(nombres[])-1,0,1,1))+1),$O1542:$O1561),3),"")</f>
        <v/>
      </c>
      <c r="WM1542" s="42" t="str">
        <f t="array" aca="1" ref="WM1542" ca="1">IFERROR(INDEX(nombres[],SMALL(IF(OFFSET(nombres[],0,0,ROWS(nombres[]),1)=WM$1490,ROW(OFFSET(nombres[],0,0,ROWS(nombres[]),1))-ROW(OFFSET(nombres[],0,0,1,1))+1,ROW(OFFSET(nombres[],ROWS(nombres[])-1,0,1,1))+1),$O1542:$O1561),3),"")</f>
        <v/>
      </c>
      <c r="WN1542" s="42" t="str">
        <f t="array" aca="1" ref="WN1542" ca="1">IFERROR(INDEX(nombres[],SMALL(IF(OFFSET(nombres[],0,0,ROWS(nombres[]),1)=WN$1490,ROW(OFFSET(nombres[],0,0,ROWS(nombres[]),1))-ROW(OFFSET(nombres[],0,0,1,1))+1,ROW(OFFSET(nombres[],ROWS(nombres[])-1,0,1,1))+1),$O1542:$O1561),3),"")</f>
        <v/>
      </c>
      <c r="WO1542" s="42" t="str">
        <f t="array" aca="1" ref="WO1542" ca="1">IFERROR(INDEX(nombres[],SMALL(IF(OFFSET(nombres[],0,0,ROWS(nombres[]),1)=WO$1490,ROW(OFFSET(nombres[],0,0,ROWS(nombres[]),1))-ROW(OFFSET(nombres[],0,0,1,1))+1,ROW(OFFSET(nombres[],ROWS(nombres[])-1,0,1,1))+1),$O1542:$O1561),3),"")</f>
        <v/>
      </c>
      <c r="WP1542" s="42" t="str">
        <f t="array" aca="1" ref="WP1542" ca="1">IFERROR(INDEX(nombres[],SMALL(IF(OFFSET(nombres[],0,0,ROWS(nombres[]),1)=WP$1490,ROW(OFFSET(nombres[],0,0,ROWS(nombres[]),1))-ROW(OFFSET(nombres[],0,0,1,1))+1,ROW(OFFSET(nombres[],ROWS(nombres[])-1,0,1,1))+1),$O1542:$O1561),3),"")</f>
        <v/>
      </c>
      <c r="WQ1542" s="42" t="str">
        <f t="array" aca="1" ref="WQ1542" ca="1">IFERROR(INDEX(nombres[],SMALL(IF(OFFSET(nombres[],0,0,ROWS(nombres[]),1)=WQ$1490,ROW(OFFSET(nombres[],0,0,ROWS(nombres[]),1))-ROW(OFFSET(nombres[],0,0,1,1))+1,ROW(OFFSET(nombres[],ROWS(nombres[])-1,0,1,1))+1),$O1542:$O1561),3),"")</f>
        <v/>
      </c>
      <c r="WR1542" s="42" t="str">
        <f t="array" aca="1" ref="WR1542" ca="1">IFERROR(INDEX(nombres[],SMALL(IF(OFFSET(nombres[],0,0,ROWS(nombres[]),1)=WR$1490,ROW(OFFSET(nombres[],0,0,ROWS(nombres[]),1))-ROW(OFFSET(nombres[],0,0,1,1))+1,ROW(OFFSET(nombres[],ROWS(nombres[])-1,0,1,1))+1),$O1542:$O1561),3),"")</f>
        <v/>
      </c>
      <c r="WS1542" s="42" t="str">
        <f t="array" aca="1" ref="WS1542" ca="1">IFERROR(INDEX(nombres[],SMALL(IF(OFFSET(nombres[],0,0,ROWS(nombres[]),1)=WS$1490,ROW(OFFSET(nombres[],0,0,ROWS(nombres[]),1))-ROW(OFFSET(nombres[],0,0,1,1))+1,ROW(OFFSET(nombres[],ROWS(nombres[])-1,0,1,1))+1),$O1542:$O1561),3),"")</f>
        <v/>
      </c>
      <c r="WT1542" s="42" t="str">
        <f t="array" aca="1" ref="WT1542" ca="1">IFERROR(INDEX(nombres[],SMALL(IF(OFFSET(nombres[],0,0,ROWS(nombres[]),1)=WT$1490,ROW(OFFSET(nombres[],0,0,ROWS(nombres[]),1))-ROW(OFFSET(nombres[],0,0,1,1))+1,ROW(OFFSET(nombres[],ROWS(nombres[])-1,0,1,1))+1),$O1542:$O1561),3),"")</f>
        <v/>
      </c>
      <c r="WU1542" s="42" t="str">
        <f t="array" aca="1" ref="WU1542" ca="1">IFERROR(INDEX(nombres[],SMALL(IF(OFFSET(nombres[],0,0,ROWS(nombres[]),1)=WU$1490,ROW(OFFSET(nombres[],0,0,ROWS(nombres[]),1))-ROW(OFFSET(nombres[],0,0,1,1))+1,ROW(OFFSET(nombres[],ROWS(nombres[])-1,0,1,1))+1),$O1542:$O1561),3),"")</f>
        <v/>
      </c>
      <c r="WV1542" s="42" t="str">
        <f t="array" aca="1" ref="WV1542" ca="1">IFERROR(INDEX(nombres[],SMALL(IF(OFFSET(nombres[],0,0,ROWS(nombres[]),1)=WV$1490,ROW(OFFSET(nombres[],0,0,ROWS(nombres[]),1))-ROW(OFFSET(nombres[],0,0,1,1))+1,ROW(OFFSET(nombres[],ROWS(nombres[])-1,0,1,1))+1),$O1542:$O1561),3),"")</f>
        <v/>
      </c>
      <c r="WW1542" s="42" t="str">
        <f t="array" aca="1" ref="WW1542" ca="1">IFERROR(INDEX(nombres[],SMALL(IF(OFFSET(nombres[],0,0,ROWS(nombres[]),1)=WW$1490,ROW(OFFSET(nombres[],0,0,ROWS(nombres[]),1))-ROW(OFFSET(nombres[],0,0,1,1))+1,ROW(OFFSET(nombres[],ROWS(nombres[])-1,0,1,1))+1),$O1542:$O1561),3),"")</f>
        <v/>
      </c>
      <c r="WX1542" s="42" t="str">
        <f t="array" aca="1" ref="WX1542" ca="1">IFERROR(INDEX(nombres[],SMALL(IF(OFFSET(nombres[],0,0,ROWS(nombres[]),1)=WX$1490,ROW(OFFSET(nombres[],0,0,ROWS(nombres[]),1))-ROW(OFFSET(nombres[],0,0,1,1))+1,ROW(OFFSET(nombres[],ROWS(nombres[])-1,0,1,1))+1),$O1542:$O1561),3),"")</f>
        <v/>
      </c>
      <c r="WY1542" s="42" t="str">
        <f t="array" aca="1" ref="WY1542" ca="1">IFERROR(INDEX(nombres[],SMALL(IF(OFFSET(nombres[],0,0,ROWS(nombres[]),1)=WY$1490,ROW(OFFSET(nombres[],0,0,ROWS(nombres[]),1))-ROW(OFFSET(nombres[],0,0,1,1))+1,ROW(OFFSET(nombres[],ROWS(nombres[])-1,0,1,1))+1),$O1542:$O1561),3),"")</f>
        <v/>
      </c>
      <c r="WZ1542" s="42" t="str">
        <f t="array" aca="1" ref="WZ1542" ca="1">IFERROR(INDEX(nombres[],SMALL(IF(OFFSET(nombres[],0,0,ROWS(nombres[]),1)=WZ$1490,ROW(OFFSET(nombres[],0,0,ROWS(nombres[]),1))-ROW(OFFSET(nombres[],0,0,1,1))+1,ROW(OFFSET(nombres[],ROWS(nombres[])-1,0,1,1))+1),$O1542:$O1561),3),"")</f>
        <v/>
      </c>
      <c r="XA1542" s="42" t="str">
        <f t="array" aca="1" ref="XA1542" ca="1">IFERROR(INDEX(nombres[],SMALL(IF(OFFSET(nombres[],0,0,ROWS(nombres[]),1)=XA$1490,ROW(OFFSET(nombres[],0,0,ROWS(nombres[]),1))-ROW(OFFSET(nombres[],0,0,1,1))+1,ROW(OFFSET(nombres[],ROWS(nombres[])-1,0,1,1))+1),$O1542:$O1561),3),"")</f>
        <v/>
      </c>
      <c r="XB1542" s="42" t="str">
        <f t="array" aca="1" ref="XB1542" ca="1">IFERROR(INDEX(nombres[],SMALL(IF(OFFSET(nombres[],0,0,ROWS(nombres[]),1)=XB$1490,ROW(OFFSET(nombres[],0,0,ROWS(nombres[]),1))-ROW(OFFSET(nombres[],0,0,1,1))+1,ROW(OFFSET(nombres[],ROWS(nombres[])-1,0,1,1))+1),$O1542:$O1561),3),"")</f>
        <v/>
      </c>
      <c r="XC1542" s="42" t="str">
        <f t="array" aca="1" ref="XC1542" ca="1">IFERROR(INDEX(nombres[],SMALL(IF(OFFSET(nombres[],0,0,ROWS(nombres[]),1)=XC$1490,ROW(OFFSET(nombres[],0,0,ROWS(nombres[]),1))-ROW(OFFSET(nombres[],0,0,1,1))+1,ROW(OFFSET(nombres[],ROWS(nombres[])-1,0,1,1))+1),$O1542:$O1561),3),"")</f>
        <v/>
      </c>
      <c r="XD1542" s="42" t="str">
        <f t="array" aca="1" ref="XD1542" ca="1">IFERROR(INDEX(nombres[],SMALL(IF(OFFSET(nombres[],0,0,ROWS(nombres[]),1)=XD$1490,ROW(OFFSET(nombres[],0,0,ROWS(nombres[]),1))-ROW(OFFSET(nombres[],0,0,1,1))+1,ROW(OFFSET(nombres[],ROWS(nombres[])-1,0,1,1))+1),$O1542:$O1561),3),"")</f>
        <v/>
      </c>
      <c r="XE1542" s="42" t="str">
        <f t="array" aca="1" ref="XE1542" ca="1">IFERROR(INDEX(nombres[],SMALL(IF(OFFSET(nombres[],0,0,ROWS(nombres[]),1)=XE$1490,ROW(OFFSET(nombres[],0,0,ROWS(nombres[]),1))-ROW(OFFSET(nombres[],0,0,1,1))+1,ROW(OFFSET(nombres[],ROWS(nombres[])-1,0,1,1))+1),$O1542:$O1561),3),"")</f>
        <v/>
      </c>
      <c r="XF1542" s="42" t="str">
        <f t="array" aca="1" ref="XF1542" ca="1">IFERROR(INDEX(nombres[],SMALL(IF(OFFSET(nombres[],0,0,ROWS(nombres[]),1)=XF$1490,ROW(OFFSET(nombres[],0,0,ROWS(nombres[]),1))-ROW(OFFSET(nombres[],0,0,1,1))+1,ROW(OFFSET(nombres[],ROWS(nombres[])-1,0,1,1))+1),$O1542:$O1561),3),"")</f>
        <v/>
      </c>
      <c r="XG1542" s="42" t="str">
        <f t="array" aca="1" ref="XG1542" ca="1">IFERROR(INDEX(nombres[],SMALL(IF(OFFSET(nombres[],0,0,ROWS(nombres[]),1)=XG$1490,ROW(OFFSET(nombres[],0,0,ROWS(nombres[]),1))-ROW(OFFSET(nombres[],0,0,1,1))+1,ROW(OFFSET(nombres[],ROWS(nombres[])-1,0,1,1))+1),$O1542:$O1561),3),"")</f>
        <v/>
      </c>
      <c r="XH1542" s="42" t="str">
        <f t="array" aca="1" ref="XH1542" ca="1">IFERROR(INDEX(nombres[],SMALL(IF(OFFSET(nombres[],0,0,ROWS(nombres[]),1)=XH$1490,ROW(OFFSET(nombres[],0,0,ROWS(nombres[]),1))-ROW(OFFSET(nombres[],0,0,1,1))+1,ROW(OFFSET(nombres[],ROWS(nombres[])-1,0,1,1))+1),$O1542:$O1561),3),"")</f>
        <v/>
      </c>
      <c r="XI1542" s="42" t="str">
        <f t="array" aca="1" ref="XI1542" ca="1">IFERROR(INDEX(nombres[],SMALL(IF(OFFSET(nombres[],0,0,ROWS(nombres[]),1)=XI$1490,ROW(OFFSET(nombres[],0,0,ROWS(nombres[]),1))-ROW(OFFSET(nombres[],0,0,1,1))+1,ROW(OFFSET(nombres[],ROWS(nombres[])-1,0,1,1))+1),$O1542:$O1561),3),"")</f>
        <v/>
      </c>
      <c r="XJ1542" s="42" t="str">
        <f t="array" aca="1" ref="XJ1542" ca="1">IFERROR(INDEX(nombres[],SMALL(IF(OFFSET(nombres[],0,0,ROWS(nombres[]),1)=XJ$1490,ROW(OFFSET(nombres[],0,0,ROWS(nombres[]),1))-ROW(OFFSET(nombres[],0,0,1,1))+1,ROW(OFFSET(nombres[],ROWS(nombres[])-1,0,1,1))+1),$O1542:$O1561),3),"")</f>
        <v/>
      </c>
      <c r="XK1542" s="42" t="str">
        <f t="array" aca="1" ref="XK1542" ca="1">IFERROR(INDEX(nombres[],SMALL(IF(OFFSET(nombres[],0,0,ROWS(nombres[]),1)=XK$1490,ROW(OFFSET(nombres[],0,0,ROWS(nombres[]),1))-ROW(OFFSET(nombres[],0,0,1,1))+1,ROW(OFFSET(nombres[],ROWS(nombres[])-1,0,1,1))+1),$O1542:$O1561),3),"")</f>
        <v/>
      </c>
      <c r="XL1542" s="42" t="str">
        <f t="array" aca="1" ref="XL1542" ca="1">IFERROR(INDEX(nombres[],SMALL(IF(OFFSET(nombres[],0,0,ROWS(nombres[]),1)=XL$1490,ROW(OFFSET(nombres[],0,0,ROWS(nombres[]),1))-ROW(OFFSET(nombres[],0,0,1,1))+1,ROW(OFFSET(nombres[],ROWS(nombres[])-1,0,1,1))+1),$O1542:$O1561),3),"")</f>
        <v/>
      </c>
      <c r="XM1542" s="42" t="str">
        <f t="array" aca="1" ref="XM1542" ca="1">IFERROR(INDEX(nombres[],SMALL(IF(OFFSET(nombres[],0,0,ROWS(nombres[]),1)=XM$1490,ROW(OFFSET(nombres[],0,0,ROWS(nombres[]),1))-ROW(OFFSET(nombres[],0,0,1,1))+1,ROW(OFFSET(nombres[],ROWS(nombres[])-1,0,1,1))+1),$O1542:$O1561),3),"")</f>
        <v/>
      </c>
      <c r="XN1542" s="42" t="str">
        <f t="array" aca="1" ref="XN1542" ca="1">IFERROR(INDEX(nombres[],SMALL(IF(OFFSET(nombres[],0,0,ROWS(nombres[]),1)=XN$1490,ROW(OFFSET(nombres[],0,0,ROWS(nombres[]),1))-ROW(OFFSET(nombres[],0,0,1,1))+1,ROW(OFFSET(nombres[],ROWS(nombres[])-1,0,1,1))+1),$O1542:$O1561),3),"")</f>
        <v/>
      </c>
      <c r="XO1542" s="42" t="str">
        <f t="array" aca="1" ref="XO1542" ca="1">IFERROR(INDEX(nombres[],SMALL(IF(OFFSET(nombres[],0,0,ROWS(nombres[]),1)=XO$1490,ROW(OFFSET(nombres[],0,0,ROWS(nombres[]),1))-ROW(OFFSET(nombres[],0,0,1,1))+1,ROW(OFFSET(nombres[],ROWS(nombres[])-1,0,1,1))+1),$O1542:$O1561),3),"")</f>
        <v/>
      </c>
      <c r="XP1542" s="42" t="str">
        <f t="array" aca="1" ref="XP1542" ca="1">IFERROR(INDEX(nombres[],SMALL(IF(OFFSET(nombres[],0,0,ROWS(nombres[]),1)=XP$1490,ROW(OFFSET(nombres[],0,0,ROWS(nombres[]),1))-ROW(OFFSET(nombres[],0,0,1,1))+1,ROW(OFFSET(nombres[],ROWS(nombres[])-1,0,1,1))+1),$O1542:$O1561),3),"")</f>
        <v/>
      </c>
      <c r="XQ1542" s="42" t="str">
        <f t="array" aca="1" ref="XQ1542" ca="1">IFERROR(INDEX(nombres[],SMALL(IF(OFFSET(nombres[],0,0,ROWS(nombres[]),1)=XQ$1490,ROW(OFFSET(nombres[],0,0,ROWS(nombres[]),1))-ROW(OFFSET(nombres[],0,0,1,1))+1,ROW(OFFSET(nombres[],ROWS(nombres[])-1,0,1,1))+1),$O1542:$O1561),3),"")</f>
        <v/>
      </c>
      <c r="XR1542" s="42" t="str">
        <f t="array" aca="1" ref="XR1542" ca="1">IFERROR(INDEX(nombres[],SMALL(IF(OFFSET(nombres[],0,0,ROWS(nombres[]),1)=XR$1490,ROW(OFFSET(nombres[],0,0,ROWS(nombres[]),1))-ROW(OFFSET(nombres[],0,0,1,1))+1,ROW(OFFSET(nombres[],ROWS(nombres[])-1,0,1,1))+1),$O1542:$O1561),3),"")</f>
        <v/>
      </c>
      <c r="XS1542" s="42" t="str">
        <f t="array" aca="1" ref="XS1542" ca="1">IFERROR(INDEX(nombres[],SMALL(IF(OFFSET(nombres[],0,0,ROWS(nombres[]),1)=XS$1490,ROW(OFFSET(nombres[],0,0,ROWS(nombres[]),1))-ROW(OFFSET(nombres[],0,0,1,1))+1,ROW(OFFSET(nombres[],ROWS(nombres[])-1,0,1,1))+1),$O1542:$O1561),3),"")</f>
        <v/>
      </c>
      <c r="XT1542" s="42" t="str">
        <f t="array" aca="1" ref="XT1542" ca="1">IFERROR(INDEX(nombres[],SMALL(IF(OFFSET(nombres[],0,0,ROWS(nombres[]),1)=XT$1490,ROW(OFFSET(nombres[],0,0,ROWS(nombres[]),1))-ROW(OFFSET(nombres[],0,0,1,1))+1,ROW(OFFSET(nombres[],ROWS(nombres[])-1,0,1,1))+1),$O1542:$O1561),3),"")</f>
        <v/>
      </c>
      <c r="XU1542" s="42" t="str">
        <f t="array" aca="1" ref="XU1542" ca="1">IFERROR(INDEX(nombres[],SMALL(IF(OFFSET(nombres[],0,0,ROWS(nombres[]),1)=XU$1490,ROW(OFFSET(nombres[],0,0,ROWS(nombres[]),1))-ROW(OFFSET(nombres[],0,0,1,1))+1,ROW(OFFSET(nombres[],ROWS(nombres[])-1,0,1,1))+1),$O1542:$O1561),3),"")</f>
        <v/>
      </c>
      <c r="XV1542" s="42" t="str">
        <f t="array" aca="1" ref="XV1542" ca="1">IFERROR(INDEX(nombres[],SMALL(IF(OFFSET(nombres[],0,0,ROWS(nombres[]),1)=XV$1490,ROW(OFFSET(nombres[],0,0,ROWS(nombres[]),1))-ROW(OFFSET(nombres[],0,0,1,1))+1,ROW(OFFSET(nombres[],ROWS(nombres[])-1,0,1,1))+1),$O1542:$O1561),3),"")</f>
        <v/>
      </c>
      <c r="XW1542" s="42" t="str">
        <f t="array" aca="1" ref="XW1542" ca="1">IFERROR(INDEX(nombres[],SMALL(IF(OFFSET(nombres[],0,0,ROWS(nombres[]),1)=XW$1490,ROW(OFFSET(nombres[],0,0,ROWS(nombres[]),1))-ROW(OFFSET(nombres[],0,0,1,1))+1,ROW(OFFSET(nombres[],ROWS(nombres[])-1,0,1,1))+1),$O1542:$O1561),3),"")</f>
        <v/>
      </c>
      <c r="XX1542" s="42" t="str">
        <f t="array" aca="1" ref="XX1542" ca="1">IFERROR(INDEX(nombres[],SMALL(IF(OFFSET(nombres[],0,0,ROWS(nombres[]),1)=XX$1490,ROW(OFFSET(nombres[],0,0,ROWS(nombres[]),1))-ROW(OFFSET(nombres[],0,0,1,1))+1,ROW(OFFSET(nombres[],ROWS(nombres[])-1,0,1,1))+1),$O1542:$O1561),3),"")</f>
        <v/>
      </c>
      <c r="XY1542" s="42" t="str">
        <f t="array" aca="1" ref="XY1542" ca="1">IFERROR(INDEX(nombres[],SMALL(IF(OFFSET(nombres[],0,0,ROWS(nombres[]),1)=XY$1490,ROW(OFFSET(nombres[],0,0,ROWS(nombres[]),1))-ROW(OFFSET(nombres[],0,0,1,1))+1,ROW(OFFSET(nombres[],ROWS(nombres[])-1,0,1,1))+1),$O1542:$O1561),3),"")</f>
        <v/>
      </c>
      <c r="XZ1542" s="42" t="str">
        <f t="array" aca="1" ref="XZ1542" ca="1">IFERROR(INDEX(nombres[],SMALL(IF(OFFSET(nombres[],0,0,ROWS(nombres[]),1)=XZ$1490,ROW(OFFSET(nombres[],0,0,ROWS(nombres[]),1))-ROW(OFFSET(nombres[],0,0,1,1))+1,ROW(OFFSET(nombres[],ROWS(nombres[])-1,0,1,1))+1),$O1542:$O1561),3),"")</f>
        <v/>
      </c>
      <c r="YA1542" s="42" t="str">
        <f t="array" aca="1" ref="YA1542" ca="1">IFERROR(INDEX(nombres[],SMALL(IF(OFFSET(nombres[],0,0,ROWS(nombres[]),1)=YA$1490,ROW(OFFSET(nombres[],0,0,ROWS(nombres[]),1))-ROW(OFFSET(nombres[],0,0,1,1))+1,ROW(OFFSET(nombres[],ROWS(nombres[])-1,0,1,1))+1),$O1542:$O1561),3),"")</f>
        <v/>
      </c>
      <c r="YB1542" s="42" t="str">
        <f t="array" aca="1" ref="YB1542" ca="1">IFERROR(INDEX(nombres[],SMALL(IF(OFFSET(nombres[],0,0,ROWS(nombres[]),1)=YB$1490,ROW(OFFSET(nombres[],0,0,ROWS(nombres[]),1))-ROW(OFFSET(nombres[],0,0,1,1))+1,ROW(OFFSET(nombres[],ROWS(nombres[])-1,0,1,1))+1),$O1542:$O1561),3),"")</f>
        <v/>
      </c>
      <c r="YC1542" s="42" t="str">
        <f t="array" aca="1" ref="YC1542" ca="1">IFERROR(INDEX(nombres[],SMALL(IF(OFFSET(nombres[],0,0,ROWS(nombres[]),1)=YC$1490,ROW(OFFSET(nombres[],0,0,ROWS(nombres[]),1))-ROW(OFFSET(nombres[],0,0,1,1))+1,ROW(OFFSET(nombres[],ROWS(nombres[])-1,0,1,1))+1),$O1542:$O1561),3),"")</f>
        <v/>
      </c>
      <c r="YD1542" s="42" t="str">
        <f t="array" aca="1" ref="YD1542" ca="1">IFERROR(INDEX(nombres[],SMALL(IF(OFFSET(nombres[],0,0,ROWS(nombres[]),1)=YD$1490,ROW(OFFSET(nombres[],0,0,ROWS(nombres[]),1))-ROW(OFFSET(nombres[],0,0,1,1))+1,ROW(OFFSET(nombres[],ROWS(nombres[])-1,0,1,1))+1),$O1542:$O1561),3),"")</f>
        <v/>
      </c>
      <c r="YE1542" s="42" t="str">
        <f t="array" aca="1" ref="YE1542" ca="1">IFERROR(INDEX(nombres[],SMALL(IF(OFFSET(nombres[],0,0,ROWS(nombres[]),1)=YE$1490,ROW(OFFSET(nombres[],0,0,ROWS(nombres[]),1))-ROW(OFFSET(nombres[],0,0,1,1))+1,ROW(OFFSET(nombres[],ROWS(nombres[])-1,0,1,1))+1),$O1542:$O1561),3),"")</f>
        <v/>
      </c>
      <c r="YF1542" s="42" t="str">
        <f t="array" aca="1" ref="YF1542" ca="1">IFERROR(INDEX(nombres[],SMALL(IF(OFFSET(nombres[],0,0,ROWS(nombres[]),1)=YF$1490,ROW(OFFSET(nombres[],0,0,ROWS(nombres[]),1))-ROW(OFFSET(nombres[],0,0,1,1))+1,ROW(OFFSET(nombres[],ROWS(nombres[])-1,0,1,1))+1),$O1542:$O1561),3),"")</f>
        <v/>
      </c>
      <c r="YG1542" s="42" t="str">
        <f t="array" aca="1" ref="YG1542" ca="1">IFERROR(INDEX(nombres[],SMALL(IF(OFFSET(nombres[],0,0,ROWS(nombres[]),1)=YG$1490,ROW(OFFSET(nombres[],0,0,ROWS(nombres[]),1))-ROW(OFFSET(nombres[],0,0,1,1))+1,ROW(OFFSET(nombres[],ROWS(nombres[])-1,0,1,1))+1),$O1542:$O1561),3),"")</f>
        <v/>
      </c>
      <c r="YH1542" s="42" t="str">
        <f t="array" aca="1" ref="YH1542" ca="1">IFERROR(INDEX(nombres[],SMALL(IF(OFFSET(nombres[],0,0,ROWS(nombres[]),1)=YH$1490,ROW(OFFSET(nombres[],0,0,ROWS(nombres[]),1))-ROW(OFFSET(nombres[],0,0,1,1))+1,ROW(OFFSET(nombres[],ROWS(nombres[])-1,0,1,1))+1),$O1542:$O1561),3),"")</f>
        <v/>
      </c>
      <c r="YI1542" s="42" t="str">
        <f t="array" aca="1" ref="YI1542" ca="1">IFERROR(INDEX(nombres[],SMALL(IF(OFFSET(nombres[],0,0,ROWS(nombres[]),1)=YI$1490,ROW(OFFSET(nombres[],0,0,ROWS(nombres[]),1))-ROW(OFFSET(nombres[],0,0,1,1))+1,ROW(OFFSET(nombres[],ROWS(nombres[])-1,0,1,1))+1),$O1542:$O1561),3),"")</f>
        <v/>
      </c>
      <c r="YJ1542" s="42" t="str">
        <f t="array" aca="1" ref="YJ1542" ca="1">IFERROR(INDEX(nombres[],SMALL(IF(OFFSET(nombres[],0,0,ROWS(nombres[]),1)=YJ$1490,ROW(OFFSET(nombres[],0,0,ROWS(nombres[]),1))-ROW(OFFSET(nombres[],0,0,1,1))+1,ROW(OFFSET(nombres[],ROWS(nombres[])-1,0,1,1))+1),$O1542:$O1561),3),"")</f>
        <v/>
      </c>
      <c r="YK1542" s="42" t="str">
        <f t="array" aca="1" ref="YK1542" ca="1">IFERROR(INDEX(nombres[],SMALL(IF(OFFSET(nombres[],0,0,ROWS(nombres[]),1)=YK$1490,ROW(OFFSET(nombres[],0,0,ROWS(nombres[]),1))-ROW(OFFSET(nombres[],0,0,1,1))+1,ROW(OFFSET(nombres[],ROWS(nombres[])-1,0,1,1))+1),$O1542:$O1561),3),"")</f>
        <v/>
      </c>
      <c r="YL1542" s="42" t="str">
        <f t="array" aca="1" ref="YL1542" ca="1">IFERROR(INDEX(nombres[],SMALL(IF(OFFSET(nombres[],0,0,ROWS(nombres[]),1)=YL$1490,ROW(OFFSET(nombres[],0,0,ROWS(nombres[]),1))-ROW(OFFSET(nombres[],0,0,1,1))+1,ROW(OFFSET(nombres[],ROWS(nombres[])-1,0,1,1))+1),$O1542:$O1561),3),"")</f>
        <v/>
      </c>
      <c r="YM1542" s="42" t="str">
        <f t="array" aca="1" ref="YM1542" ca="1">IFERROR(INDEX(nombres[],SMALL(IF(OFFSET(nombres[],0,0,ROWS(nombres[]),1)=YM$1490,ROW(OFFSET(nombres[],0,0,ROWS(nombres[]),1))-ROW(OFFSET(nombres[],0,0,1,1))+1,ROW(OFFSET(nombres[],ROWS(nombres[])-1,0,1,1))+1),$O1542:$O1561),3),"")</f>
        <v/>
      </c>
      <c r="YN1542" s="42" t="str">
        <f t="array" aca="1" ref="YN1542" ca="1">IFERROR(INDEX(nombres[],SMALL(IF(OFFSET(nombres[],0,0,ROWS(nombres[]),1)=YN$1490,ROW(OFFSET(nombres[],0,0,ROWS(nombres[]),1))-ROW(OFFSET(nombres[],0,0,1,1))+1,ROW(OFFSET(nombres[],ROWS(nombres[])-1,0,1,1))+1),$O1542:$O1561),3),"")</f>
        <v/>
      </c>
      <c r="YO1542" s="42" t="str">
        <f t="array" aca="1" ref="YO1542" ca="1">IFERROR(INDEX(nombres[],SMALL(IF(OFFSET(nombres[],0,0,ROWS(nombres[]),1)=YO$1490,ROW(OFFSET(nombres[],0,0,ROWS(nombres[]),1))-ROW(OFFSET(nombres[],0,0,1,1))+1,ROW(OFFSET(nombres[],ROWS(nombres[])-1,0,1,1))+1),$O1542:$O1561),3),"")</f>
        <v/>
      </c>
      <c r="YP1542" s="42" t="str">
        <f t="array" aca="1" ref="YP1542" ca="1">IFERROR(INDEX(nombres[],SMALL(IF(OFFSET(nombres[],0,0,ROWS(nombres[]),1)=YP$1490,ROW(OFFSET(nombres[],0,0,ROWS(nombres[]),1))-ROW(OFFSET(nombres[],0,0,1,1))+1,ROW(OFFSET(nombres[],ROWS(nombres[])-1,0,1,1))+1),$O1542:$O1561),3),"")</f>
        <v/>
      </c>
      <c r="YQ1542" s="42" t="str">
        <f t="array" aca="1" ref="YQ1542" ca="1">IFERROR(INDEX(nombres[],SMALL(IF(OFFSET(nombres[],0,0,ROWS(nombres[]),1)=YQ$1490,ROW(OFFSET(nombres[],0,0,ROWS(nombres[]),1))-ROW(OFFSET(nombres[],0,0,1,1))+1,ROW(OFFSET(nombres[],ROWS(nombres[])-1,0,1,1))+1),$O1542:$O1561),3),"")</f>
        <v/>
      </c>
      <c r="YR1542" s="42" t="str">
        <f t="array" aca="1" ref="YR1542" ca="1">IFERROR(INDEX(nombres[],SMALL(IF(OFFSET(nombres[],0,0,ROWS(nombres[]),1)=YR$1490,ROW(OFFSET(nombres[],0,0,ROWS(nombres[]),1))-ROW(OFFSET(nombres[],0,0,1,1))+1,ROW(OFFSET(nombres[],ROWS(nombres[])-1,0,1,1))+1),$O1542:$O1561),3),"")</f>
        <v/>
      </c>
      <c r="YS1542" s="42" t="str">
        <f t="array" aca="1" ref="YS1542" ca="1">IFERROR(INDEX(nombres[],SMALL(IF(OFFSET(nombres[],0,0,ROWS(nombres[]),1)=YS$1490,ROW(OFFSET(nombres[],0,0,ROWS(nombres[]),1))-ROW(OFFSET(nombres[],0,0,1,1))+1,ROW(OFFSET(nombres[],ROWS(nombres[])-1,0,1,1))+1),$O1542:$O1561),3),"")</f>
        <v/>
      </c>
      <c r="YT1542" s="42" t="str">
        <f t="array" aca="1" ref="YT1542" ca="1">IFERROR(INDEX(nombres[],SMALL(IF(OFFSET(nombres[],0,0,ROWS(nombres[]),1)=YT$1490,ROW(OFFSET(nombres[],0,0,ROWS(nombres[]),1))-ROW(OFFSET(nombres[],0,0,1,1))+1,ROW(OFFSET(nombres[],ROWS(nombres[])-1,0,1,1))+1),$O1542:$O1561),3),"")</f>
        <v/>
      </c>
      <c r="YU1542" s="42" t="str">
        <f t="array" aca="1" ref="YU1542" ca="1">IFERROR(INDEX(nombres[],SMALL(IF(OFFSET(nombres[],0,0,ROWS(nombres[]),1)=YU$1490,ROW(OFFSET(nombres[],0,0,ROWS(nombres[]),1))-ROW(OFFSET(nombres[],0,0,1,1))+1,ROW(OFFSET(nombres[],ROWS(nombres[])-1,0,1,1))+1),$O1542:$O1561),3),"")</f>
        <v/>
      </c>
      <c r="YV1542" s="42" t="str">
        <f t="array" aca="1" ref="YV1542" ca="1">IFERROR(INDEX(nombres[],SMALL(IF(OFFSET(nombres[],0,0,ROWS(nombres[]),1)=YV$1490,ROW(OFFSET(nombres[],0,0,ROWS(nombres[]),1))-ROW(OFFSET(nombres[],0,0,1,1))+1,ROW(OFFSET(nombres[],ROWS(nombres[])-1,0,1,1))+1),$O1542:$O1561),3),"")</f>
        <v/>
      </c>
      <c r="YW1542" s="42" t="str">
        <f t="array" aca="1" ref="YW1542" ca="1">IFERROR(INDEX(nombres[],SMALL(IF(OFFSET(nombres[],0,0,ROWS(nombres[]),1)=YW$1490,ROW(OFFSET(nombres[],0,0,ROWS(nombres[]),1))-ROW(OFFSET(nombres[],0,0,1,1))+1,ROW(OFFSET(nombres[],ROWS(nombres[])-1,0,1,1))+1),$O1542:$O1561),3),"")</f>
        <v/>
      </c>
      <c r="YX1542" s="42" t="str">
        <f t="array" aca="1" ref="YX1542" ca="1">IFERROR(INDEX(nombres[],SMALL(IF(OFFSET(nombres[],0,0,ROWS(nombres[]),1)=YX$1490,ROW(OFFSET(nombres[],0,0,ROWS(nombres[]),1))-ROW(OFFSET(nombres[],0,0,1,1))+1,ROW(OFFSET(nombres[],ROWS(nombres[])-1,0,1,1))+1),$O1542:$O1561),3),"")</f>
        <v/>
      </c>
      <c r="YY1542" s="42" t="str">
        <f t="array" aca="1" ref="YY1542" ca="1">IFERROR(INDEX(nombres[],SMALL(IF(OFFSET(nombres[],0,0,ROWS(nombres[]),1)=YY$1490,ROW(OFFSET(nombres[],0,0,ROWS(nombres[]),1))-ROW(OFFSET(nombres[],0,0,1,1))+1,ROW(OFFSET(nombres[],ROWS(nombres[])-1,0,1,1))+1),$O1542:$O1561),3),"")</f>
        <v/>
      </c>
      <c r="YZ1542" s="42" t="str">
        <f t="array" aca="1" ref="YZ1542" ca="1">IFERROR(INDEX(nombres[],SMALL(IF(OFFSET(nombres[],0,0,ROWS(nombres[]),1)=YZ$1490,ROW(OFFSET(nombres[],0,0,ROWS(nombres[]),1))-ROW(OFFSET(nombres[],0,0,1,1))+1,ROW(OFFSET(nombres[],ROWS(nombres[])-1,0,1,1))+1),$O1542:$O1561),3),"")</f>
        <v/>
      </c>
      <c r="ZA1542" s="42" t="str">
        <f t="array" aca="1" ref="ZA1542" ca="1">IFERROR(INDEX(nombres[],SMALL(IF(OFFSET(nombres[],0,0,ROWS(nombres[]),1)=ZA$1490,ROW(OFFSET(nombres[],0,0,ROWS(nombres[]),1))-ROW(OFFSET(nombres[],0,0,1,1))+1,ROW(OFFSET(nombres[],ROWS(nombres[])-1,0,1,1))+1),$O1542:$O1561),3),"")</f>
        <v/>
      </c>
      <c r="ZB1542" s="42" t="str">
        <f t="array" aca="1" ref="ZB1542" ca="1">IFERROR(INDEX(nombres[],SMALL(IF(OFFSET(nombres[],0,0,ROWS(nombres[]),1)=ZB$1490,ROW(OFFSET(nombres[],0,0,ROWS(nombres[]),1))-ROW(OFFSET(nombres[],0,0,1,1))+1,ROW(OFFSET(nombres[],ROWS(nombres[])-1,0,1,1))+1),$O1542:$O1561),3),"")</f>
        <v/>
      </c>
      <c r="ZC1542" s="42" t="str">
        <f t="array" aca="1" ref="ZC1542" ca="1">IFERROR(INDEX(nombres[],SMALL(IF(OFFSET(nombres[],0,0,ROWS(nombres[]),1)=ZC$1490,ROW(OFFSET(nombres[],0,0,ROWS(nombres[]),1))-ROW(OFFSET(nombres[],0,0,1,1))+1,ROW(OFFSET(nombres[],ROWS(nombres[])-1,0,1,1))+1),$O1542:$O1561),3),"")</f>
        <v/>
      </c>
      <c r="ZD1542" s="42" t="str">
        <f t="array" aca="1" ref="ZD1542" ca="1">IFERROR(INDEX(nombres[],SMALL(IF(OFFSET(nombres[],0,0,ROWS(nombres[]),1)=ZD$1490,ROW(OFFSET(nombres[],0,0,ROWS(nombres[]),1))-ROW(OFFSET(nombres[],0,0,1,1))+1,ROW(OFFSET(nombres[],ROWS(nombres[])-1,0,1,1))+1),$O1542:$O1561),3),"")</f>
        <v/>
      </c>
      <c r="ZE1542" s="42" t="str">
        <f t="array" aca="1" ref="ZE1542" ca="1">IFERROR(INDEX(nombres[],SMALL(IF(OFFSET(nombres[],0,0,ROWS(nombres[]),1)=ZE$1490,ROW(OFFSET(nombres[],0,0,ROWS(nombres[]),1))-ROW(OFFSET(nombres[],0,0,1,1))+1,ROW(OFFSET(nombres[],ROWS(nombres[])-1,0,1,1))+1),$O1542:$O1561),3),"")</f>
        <v/>
      </c>
      <c r="ZF1542" s="42" t="str">
        <f t="array" aca="1" ref="ZF1542" ca="1">IFERROR(INDEX(nombres[],SMALL(IF(OFFSET(nombres[],0,0,ROWS(nombres[]),1)=ZF$1490,ROW(OFFSET(nombres[],0,0,ROWS(nombres[]),1))-ROW(OFFSET(nombres[],0,0,1,1))+1,ROW(OFFSET(nombres[],ROWS(nombres[])-1,0,1,1))+1),$O1542:$O1561),3),"")</f>
        <v/>
      </c>
      <c r="ZG1542" s="42" t="str">
        <f t="array" aca="1" ref="ZG1542" ca="1">IFERROR(INDEX(nombres[],SMALL(IF(OFFSET(nombres[],0,0,ROWS(nombres[]),1)=ZG$1490,ROW(OFFSET(nombres[],0,0,ROWS(nombres[]),1))-ROW(OFFSET(nombres[],0,0,1,1))+1,ROW(OFFSET(nombres[],ROWS(nombres[])-1,0,1,1))+1),$O1542:$O1561),3),"")</f>
        <v/>
      </c>
      <c r="ZH1542" s="42" t="str">
        <f t="array" aca="1" ref="ZH1542" ca="1">IFERROR(INDEX(nombres[],SMALL(IF(OFFSET(nombres[],0,0,ROWS(nombres[]),1)=ZH$1490,ROW(OFFSET(nombres[],0,0,ROWS(nombres[]),1))-ROW(OFFSET(nombres[],0,0,1,1))+1,ROW(OFFSET(nombres[],ROWS(nombres[])-1,0,1,1))+1),$O1542:$O1561),3),"")</f>
        <v/>
      </c>
      <c r="ZI1542" s="42" t="str">
        <f t="array" aca="1" ref="ZI1542" ca="1">IFERROR(INDEX(nombres[],SMALL(IF(OFFSET(nombres[],0,0,ROWS(nombres[]),1)=ZI$1490,ROW(OFFSET(nombres[],0,0,ROWS(nombres[]),1))-ROW(OFFSET(nombres[],0,0,1,1))+1,ROW(OFFSET(nombres[],ROWS(nombres[])-1,0,1,1))+1),$O1542:$O1561),3),"")</f>
        <v/>
      </c>
      <c r="ZJ1542" s="42" t="str">
        <f t="array" aca="1" ref="ZJ1542" ca="1">IFERROR(INDEX(nombres[],SMALL(IF(OFFSET(nombres[],0,0,ROWS(nombres[]),1)=ZJ$1490,ROW(OFFSET(nombres[],0,0,ROWS(nombres[]),1))-ROW(OFFSET(nombres[],0,0,1,1))+1,ROW(OFFSET(nombres[],ROWS(nombres[])-1,0,1,1))+1),$O1542:$O1561),3),"")</f>
        <v/>
      </c>
      <c r="ZK1542" s="42" t="str">
        <f t="array" aca="1" ref="ZK1542" ca="1">IFERROR(INDEX(nombres[],SMALL(IF(OFFSET(nombres[],0,0,ROWS(nombres[]),1)=ZK$1490,ROW(OFFSET(nombres[],0,0,ROWS(nombres[]),1))-ROW(OFFSET(nombres[],0,0,1,1))+1,ROW(OFFSET(nombres[],ROWS(nombres[])-1,0,1,1))+1),$O1542:$O1561),3),"")</f>
        <v/>
      </c>
      <c r="ZL1542" s="42" t="str">
        <f t="array" aca="1" ref="ZL1542" ca="1">IFERROR(INDEX(nombres[],SMALL(IF(OFFSET(nombres[],0,0,ROWS(nombres[]),1)=ZL$1490,ROW(OFFSET(nombres[],0,0,ROWS(nombres[]),1))-ROW(OFFSET(nombres[],0,0,1,1))+1,ROW(OFFSET(nombres[],ROWS(nombres[])-1,0,1,1))+1),$O1542:$O1561),3),"")</f>
        <v/>
      </c>
      <c r="ZM1542" s="42" t="str">
        <f t="array" aca="1" ref="ZM1542" ca="1">IFERROR(INDEX(nombres[],SMALL(IF(OFFSET(nombres[],0,0,ROWS(nombres[]),1)=ZM$1490,ROW(OFFSET(nombres[],0,0,ROWS(nombres[]),1))-ROW(OFFSET(nombres[],0,0,1,1))+1,ROW(OFFSET(nombres[],ROWS(nombres[])-1,0,1,1))+1),$O1542:$O1561),3),"")</f>
        <v/>
      </c>
      <c r="ZN1542" s="42" t="str">
        <f t="array" aca="1" ref="ZN1542" ca="1">IFERROR(INDEX(nombres[],SMALL(IF(OFFSET(nombres[],0,0,ROWS(nombres[]),1)=ZN$1490,ROW(OFFSET(nombres[],0,0,ROWS(nombres[]),1))-ROW(OFFSET(nombres[],0,0,1,1))+1,ROW(OFFSET(nombres[],ROWS(nombres[])-1,0,1,1))+1),$O1542:$O1561),3),"")</f>
        <v/>
      </c>
      <c r="ZO1542" s="42" t="str">
        <f t="array" aca="1" ref="ZO1542" ca="1">IFERROR(INDEX(nombres[],SMALL(IF(OFFSET(nombres[],0,0,ROWS(nombres[]),1)=ZO$1490,ROW(OFFSET(nombres[],0,0,ROWS(nombres[]),1))-ROW(OFFSET(nombres[],0,0,1,1))+1,ROW(OFFSET(nombres[],ROWS(nombres[])-1,0,1,1))+1),$O1542:$O1561),3),"")</f>
        <v/>
      </c>
      <c r="ZP1542" s="42" t="str">
        <f t="array" aca="1" ref="ZP1542" ca="1">IFERROR(INDEX(nombres[],SMALL(IF(OFFSET(nombres[],0,0,ROWS(nombres[]),1)=ZP$1490,ROW(OFFSET(nombres[],0,0,ROWS(nombres[]),1))-ROW(OFFSET(nombres[],0,0,1,1))+1,ROW(OFFSET(nombres[],ROWS(nombres[])-1,0,1,1))+1),$O1542:$O1561),3),"")</f>
        <v/>
      </c>
      <c r="ZQ1542" s="42" t="str">
        <f t="array" aca="1" ref="ZQ1542" ca="1">IFERROR(INDEX(nombres[],SMALL(IF(OFFSET(nombres[],0,0,ROWS(nombres[]),1)=ZQ$1490,ROW(OFFSET(nombres[],0,0,ROWS(nombres[]),1))-ROW(OFFSET(nombres[],0,0,1,1))+1,ROW(OFFSET(nombres[],ROWS(nombres[])-1,0,1,1))+1),$O1542:$O1561),3),"")</f>
        <v/>
      </c>
      <c r="ZR1542" s="42" t="str">
        <f t="array" aca="1" ref="ZR1542" ca="1">IFERROR(INDEX(nombres[],SMALL(IF(OFFSET(nombres[],0,0,ROWS(nombres[]),1)=ZR$1490,ROW(OFFSET(nombres[],0,0,ROWS(nombres[]),1))-ROW(OFFSET(nombres[],0,0,1,1))+1,ROW(OFFSET(nombres[],ROWS(nombres[])-1,0,1,1))+1),$O1542:$O1561),3),"")</f>
        <v/>
      </c>
      <c r="ZS1542" s="42" t="str">
        <f t="array" aca="1" ref="ZS1542" ca="1">IFERROR(INDEX(nombres[],SMALL(IF(OFFSET(nombres[],0,0,ROWS(nombres[]),1)=ZS$1490,ROW(OFFSET(nombres[],0,0,ROWS(nombres[]),1))-ROW(OFFSET(nombres[],0,0,1,1))+1,ROW(OFFSET(nombres[],ROWS(nombres[])-1,0,1,1))+1),$O1542:$O1561),3),"")</f>
        <v/>
      </c>
      <c r="ZT1542" s="42" t="str">
        <f t="array" aca="1" ref="ZT1542" ca="1">IFERROR(INDEX(nombres[],SMALL(IF(OFFSET(nombres[],0,0,ROWS(nombres[]),1)=ZT$1490,ROW(OFFSET(nombres[],0,0,ROWS(nombres[]),1))-ROW(OFFSET(nombres[],0,0,1,1))+1,ROW(OFFSET(nombres[],ROWS(nombres[])-1,0,1,1))+1),$O1542:$O1561),3),"")</f>
        <v/>
      </c>
      <c r="ZU1542" s="42" t="str">
        <f t="array" aca="1" ref="ZU1542" ca="1">IFERROR(INDEX(nombres[],SMALL(IF(OFFSET(nombres[],0,0,ROWS(nombres[]),1)=ZU$1490,ROW(OFFSET(nombres[],0,0,ROWS(nombres[]),1))-ROW(OFFSET(nombres[],0,0,1,1))+1,ROW(OFFSET(nombres[],ROWS(nombres[])-1,0,1,1))+1),$O1542:$O1561),3),"")</f>
        <v/>
      </c>
      <c r="ZV1542" s="42" t="str">
        <f t="array" aca="1" ref="ZV1542" ca="1">IFERROR(INDEX(nombres[],SMALL(IF(OFFSET(nombres[],0,0,ROWS(nombres[]),1)=ZV$1490,ROW(OFFSET(nombres[],0,0,ROWS(nombres[]),1))-ROW(OFFSET(nombres[],0,0,1,1))+1,ROW(OFFSET(nombres[],ROWS(nombres[])-1,0,1,1))+1),$O1542:$O1561),3),"")</f>
        <v/>
      </c>
      <c r="ZW1542" s="42" t="str">
        <f t="array" aca="1" ref="ZW1542" ca="1">IFERROR(INDEX(nombres[],SMALL(IF(OFFSET(nombres[],0,0,ROWS(nombres[]),1)=ZW$1490,ROW(OFFSET(nombres[],0,0,ROWS(nombres[]),1))-ROW(OFFSET(nombres[],0,0,1,1))+1,ROW(OFFSET(nombres[],ROWS(nombres[])-1,0,1,1))+1),$O1542:$O1561),3),"")</f>
        <v/>
      </c>
      <c r="ZX1542" s="42" t="str">
        <f t="array" aca="1" ref="ZX1542" ca="1">IFERROR(INDEX(nombres[],SMALL(IF(OFFSET(nombres[],0,0,ROWS(nombres[]),1)=ZX$1490,ROW(OFFSET(nombres[],0,0,ROWS(nombres[]),1))-ROW(OFFSET(nombres[],0,0,1,1))+1,ROW(OFFSET(nombres[],ROWS(nombres[])-1,0,1,1))+1),$O1542:$O1561),3),"")</f>
        <v/>
      </c>
      <c r="ZY1542" s="42" t="str">
        <f t="array" aca="1" ref="ZY1542" ca="1">IFERROR(INDEX(nombres[],SMALL(IF(OFFSET(nombres[],0,0,ROWS(nombres[]),1)=ZY$1490,ROW(OFFSET(nombres[],0,0,ROWS(nombres[]),1))-ROW(OFFSET(nombres[],0,0,1,1))+1,ROW(OFFSET(nombres[],ROWS(nombres[])-1,0,1,1))+1),$O1542:$O1561),3),"")</f>
        <v/>
      </c>
      <c r="ZZ1542" s="42" t="str">
        <f t="array" aca="1" ref="ZZ1542" ca="1">IFERROR(INDEX(nombres[],SMALL(IF(OFFSET(nombres[],0,0,ROWS(nombres[]),1)=ZZ$1490,ROW(OFFSET(nombres[],0,0,ROWS(nombres[]),1))-ROW(OFFSET(nombres[],0,0,1,1))+1,ROW(OFFSET(nombres[],ROWS(nombres[])-1,0,1,1))+1),$O1542:$O1561),3),"")</f>
        <v/>
      </c>
      <c r="AAA1542" s="42" t="str">
        <f t="array" aca="1" ref="AAA1542" ca="1">IFERROR(INDEX(nombres[],SMALL(IF(OFFSET(nombres[],0,0,ROWS(nombres[]),1)=AAA$1490,ROW(OFFSET(nombres[],0,0,ROWS(nombres[]),1))-ROW(OFFSET(nombres[],0,0,1,1))+1,ROW(OFFSET(nombres[],ROWS(nombres[])-1,0,1,1))+1),$O1542:$O1561),3),"")</f>
        <v/>
      </c>
      <c r="AAB1542" s="42" t="str">
        <f t="array" aca="1" ref="AAB1542" ca="1">IFERROR(INDEX(nombres[],SMALL(IF(OFFSET(nombres[],0,0,ROWS(nombres[]),1)=AAB$1490,ROW(OFFSET(nombres[],0,0,ROWS(nombres[]),1))-ROW(OFFSET(nombres[],0,0,1,1))+1,ROW(OFFSET(nombres[],ROWS(nombres[])-1,0,1,1))+1),$O1542:$O1561),3),"")</f>
        <v/>
      </c>
      <c r="AAC1542" s="42" t="str">
        <f t="array" aca="1" ref="AAC1542" ca="1">IFERROR(INDEX(nombres[],SMALL(IF(OFFSET(nombres[],0,0,ROWS(nombres[]),1)=AAC$1490,ROW(OFFSET(nombres[],0,0,ROWS(nombres[]),1))-ROW(OFFSET(nombres[],0,0,1,1))+1,ROW(OFFSET(nombres[],ROWS(nombres[])-1,0,1,1))+1),$O1542:$O1561),3),"")</f>
        <v/>
      </c>
      <c r="AAD1542" s="42" t="str">
        <f t="array" aca="1" ref="AAD1542" ca="1">IFERROR(INDEX(nombres[],SMALL(IF(OFFSET(nombres[],0,0,ROWS(nombres[]),1)=AAD$1490,ROW(OFFSET(nombres[],0,0,ROWS(nombres[]),1))-ROW(OFFSET(nombres[],0,0,1,1))+1,ROW(OFFSET(nombres[],ROWS(nombres[])-1,0,1,1))+1),$O1542:$O1561),3),"")</f>
        <v/>
      </c>
      <c r="AAE1542" s="42" t="str">
        <f t="array" aca="1" ref="AAE1542" ca="1">IFERROR(INDEX(nombres[],SMALL(IF(OFFSET(nombres[],0,0,ROWS(nombres[]),1)=AAE$1490,ROW(OFFSET(nombres[],0,0,ROWS(nombres[]),1))-ROW(OFFSET(nombres[],0,0,1,1))+1,ROW(OFFSET(nombres[],ROWS(nombres[])-1,0,1,1))+1),$O1542:$O1561),3),"")</f>
        <v/>
      </c>
      <c r="AAF1542" s="42" t="str">
        <f t="array" aca="1" ref="AAF1542" ca="1">IFERROR(INDEX(nombres[],SMALL(IF(OFFSET(nombres[],0,0,ROWS(nombres[]),1)=AAF$1490,ROW(OFFSET(nombres[],0,0,ROWS(nombres[]),1))-ROW(OFFSET(nombres[],0,0,1,1))+1,ROW(OFFSET(nombres[],ROWS(nombres[])-1,0,1,1))+1),$O1542:$O1561),3),"")</f>
        <v/>
      </c>
      <c r="AAG1542" s="42" t="str">
        <f t="array" aca="1" ref="AAG1542" ca="1">IFERROR(INDEX(nombres[],SMALL(IF(OFFSET(nombres[],0,0,ROWS(nombres[]),1)=AAG$1490,ROW(OFFSET(nombres[],0,0,ROWS(nombres[]),1))-ROW(OFFSET(nombres[],0,0,1,1))+1,ROW(OFFSET(nombres[],ROWS(nombres[])-1,0,1,1))+1),$O1542:$O1561),3),"")</f>
        <v/>
      </c>
      <c r="AAH1542" s="42" t="str">
        <f t="array" aca="1" ref="AAH1542" ca="1">IFERROR(INDEX(nombres[],SMALL(IF(OFFSET(nombres[],0,0,ROWS(nombres[]),1)=AAH$1490,ROW(OFFSET(nombres[],0,0,ROWS(nombres[]),1))-ROW(OFFSET(nombres[],0,0,1,1))+1,ROW(OFFSET(nombres[],ROWS(nombres[])-1,0,1,1))+1),$O1542:$O1561),3),"")</f>
        <v/>
      </c>
      <c r="AAI1542" s="42" t="str">
        <f t="array" aca="1" ref="AAI1542" ca="1">IFERROR(INDEX(nombres[],SMALL(IF(OFFSET(nombres[],0,0,ROWS(nombres[]),1)=AAI$1490,ROW(OFFSET(nombres[],0,0,ROWS(nombres[]),1))-ROW(OFFSET(nombres[],0,0,1,1))+1,ROW(OFFSET(nombres[],ROWS(nombres[])-1,0,1,1))+1),$O1542:$O1561),3),"")</f>
        <v/>
      </c>
      <c r="AAJ1542" s="42" t="str">
        <f t="array" aca="1" ref="AAJ1542" ca="1">IFERROR(INDEX(nombres[],SMALL(IF(OFFSET(nombres[],0,0,ROWS(nombres[]),1)=AAJ$1490,ROW(OFFSET(nombres[],0,0,ROWS(nombres[]),1))-ROW(OFFSET(nombres[],0,0,1,1))+1,ROW(OFFSET(nombres[],ROWS(nombres[])-1,0,1,1))+1),$O1542:$O1561),3),"")</f>
        <v/>
      </c>
      <c r="AAK1542" s="42" t="str">
        <f t="array" aca="1" ref="AAK1542" ca="1">IFERROR(INDEX(nombres[],SMALL(IF(OFFSET(nombres[],0,0,ROWS(nombres[]),1)=AAK$1490,ROW(OFFSET(nombres[],0,0,ROWS(nombres[]),1))-ROW(OFFSET(nombres[],0,0,1,1))+1,ROW(OFFSET(nombres[],ROWS(nombres[])-1,0,1,1))+1),$O1542:$O1561),3),"")</f>
        <v/>
      </c>
      <c r="AAL1542" s="42" t="str">
        <f t="array" aca="1" ref="AAL1542" ca="1">IFERROR(INDEX(nombres[],SMALL(IF(OFFSET(nombres[],0,0,ROWS(nombres[]),1)=AAL$1490,ROW(OFFSET(nombres[],0,0,ROWS(nombres[]),1))-ROW(OFFSET(nombres[],0,0,1,1))+1,ROW(OFFSET(nombres[],ROWS(nombres[])-1,0,1,1))+1),$O1542:$O1561),3),"")</f>
        <v/>
      </c>
      <c r="AAM1542" s="42" t="str">
        <f t="array" aca="1" ref="AAM1542" ca="1">IFERROR(INDEX(nombres[],SMALL(IF(OFFSET(nombres[],0,0,ROWS(nombres[]),1)=AAM$1490,ROW(OFFSET(nombres[],0,0,ROWS(nombres[]),1))-ROW(OFFSET(nombres[],0,0,1,1))+1,ROW(OFFSET(nombres[],ROWS(nombres[])-1,0,1,1))+1),$O1542:$O1561),3),"")</f>
        <v/>
      </c>
      <c r="AAN1542" s="42" t="str">
        <f t="array" aca="1" ref="AAN1542" ca="1">IFERROR(INDEX(nombres[],SMALL(IF(OFFSET(nombres[],0,0,ROWS(nombres[]),1)=AAN$1490,ROW(OFFSET(nombres[],0,0,ROWS(nombres[]),1))-ROW(OFFSET(nombres[],0,0,1,1))+1,ROW(OFFSET(nombres[],ROWS(nombres[])-1,0,1,1))+1),$O1542:$O1561),3),"")</f>
        <v/>
      </c>
      <c r="AAO1542" s="42" t="str">
        <f t="array" aca="1" ref="AAO1542" ca="1">IFERROR(INDEX(nombres[],SMALL(IF(OFFSET(nombres[],0,0,ROWS(nombres[]),1)=AAO$1490,ROW(OFFSET(nombres[],0,0,ROWS(nombres[]),1))-ROW(OFFSET(nombres[],0,0,1,1))+1,ROW(OFFSET(nombres[],ROWS(nombres[])-1,0,1,1))+1),$O1542:$O1561),3),"")</f>
        <v/>
      </c>
      <c r="AAP1542" s="42" t="str">
        <f t="array" aca="1" ref="AAP1542" ca="1">IFERROR(INDEX(nombres[],SMALL(IF(OFFSET(nombres[],0,0,ROWS(nombres[]),1)=AAP$1490,ROW(OFFSET(nombres[],0,0,ROWS(nombres[]),1))-ROW(OFFSET(nombres[],0,0,1,1))+1,ROW(OFFSET(nombres[],ROWS(nombres[])-1,0,1,1))+1),$O1542:$O1561),3),"")</f>
        <v/>
      </c>
      <c r="AAQ1542" s="42" t="str">
        <f t="array" aca="1" ref="AAQ1542" ca="1">IFERROR(INDEX(nombres[],SMALL(IF(OFFSET(nombres[],0,0,ROWS(nombres[]),1)=AAQ$1490,ROW(OFFSET(nombres[],0,0,ROWS(nombres[]),1))-ROW(OFFSET(nombres[],0,0,1,1))+1,ROW(OFFSET(nombres[],ROWS(nombres[])-1,0,1,1))+1),$O1542:$O1561),3),"")</f>
        <v/>
      </c>
      <c r="AAR1542" s="42" t="str">
        <f t="array" aca="1" ref="AAR1542" ca="1">IFERROR(INDEX(nombres[],SMALL(IF(OFFSET(nombres[],0,0,ROWS(nombres[]),1)=AAR$1490,ROW(OFFSET(nombres[],0,0,ROWS(nombres[]),1))-ROW(OFFSET(nombres[],0,0,1,1))+1,ROW(OFFSET(nombres[],ROWS(nombres[])-1,0,1,1))+1),$O1542:$O1561),3),"")</f>
        <v/>
      </c>
      <c r="AAS1542" s="42" t="str">
        <f t="array" aca="1" ref="AAS1542" ca="1">IFERROR(INDEX(nombres[],SMALL(IF(OFFSET(nombres[],0,0,ROWS(nombres[]),1)=AAS$1490,ROW(OFFSET(nombres[],0,0,ROWS(nombres[]),1))-ROW(OFFSET(nombres[],0,0,1,1))+1,ROW(OFFSET(nombres[],ROWS(nombres[])-1,0,1,1))+1),$O1542:$O1561),3),"")</f>
        <v/>
      </c>
      <c r="AAT1542" s="42" t="str">
        <f t="array" aca="1" ref="AAT1542" ca="1">IFERROR(INDEX(nombres[],SMALL(IF(OFFSET(nombres[],0,0,ROWS(nombres[]),1)=AAT$1490,ROW(OFFSET(nombres[],0,0,ROWS(nombres[]),1))-ROW(OFFSET(nombres[],0,0,1,1))+1,ROW(OFFSET(nombres[],ROWS(nombres[])-1,0,1,1))+1),$O1542:$O1561),3),"")</f>
        <v/>
      </c>
      <c r="AAU1542" s="42" t="str">
        <f t="array" aca="1" ref="AAU1542" ca="1">IFERROR(INDEX(nombres[],SMALL(IF(OFFSET(nombres[],0,0,ROWS(nombres[]),1)=AAU$1490,ROW(OFFSET(nombres[],0,0,ROWS(nombres[]),1))-ROW(OFFSET(nombres[],0,0,1,1))+1,ROW(OFFSET(nombres[],ROWS(nombres[])-1,0,1,1))+1),$O1542:$O1561),3),"")</f>
        <v/>
      </c>
      <c r="AAV1542" s="42" t="str">
        <f t="array" aca="1" ref="AAV1542" ca="1">IFERROR(INDEX(nombres[],SMALL(IF(OFFSET(nombres[],0,0,ROWS(nombres[]),1)=AAV$1490,ROW(OFFSET(nombres[],0,0,ROWS(nombres[]),1))-ROW(OFFSET(nombres[],0,0,1,1))+1,ROW(OFFSET(nombres[],ROWS(nombres[])-1,0,1,1))+1),$O1542:$O1561),3),"")</f>
        <v/>
      </c>
      <c r="AAW1542" s="42" t="str">
        <f t="array" aca="1" ref="AAW1542" ca="1">IFERROR(INDEX(nombres[],SMALL(IF(OFFSET(nombres[],0,0,ROWS(nombres[]),1)=AAW$1490,ROW(OFFSET(nombres[],0,0,ROWS(nombres[]),1))-ROW(OFFSET(nombres[],0,0,1,1))+1,ROW(OFFSET(nombres[],ROWS(nombres[])-1,0,1,1))+1),$O1542:$O1561),3),"")</f>
        <v/>
      </c>
      <c r="AAX1542" s="42" t="str">
        <f t="array" aca="1" ref="AAX1542" ca="1">IFERROR(INDEX(nombres[],SMALL(IF(OFFSET(nombres[],0,0,ROWS(nombres[]),1)=AAX$1490,ROW(OFFSET(nombres[],0,0,ROWS(nombres[]),1))-ROW(OFFSET(nombres[],0,0,1,1))+1,ROW(OFFSET(nombres[],ROWS(nombres[])-1,0,1,1))+1),$O1542:$O1561),3),"")</f>
        <v/>
      </c>
      <c r="AAY1542" s="42" t="str">
        <f t="array" aca="1" ref="AAY1542" ca="1">IFERROR(INDEX(nombres[],SMALL(IF(OFFSET(nombres[],0,0,ROWS(nombres[]),1)=AAY$1490,ROW(OFFSET(nombres[],0,0,ROWS(nombres[]),1))-ROW(OFFSET(nombres[],0,0,1,1))+1,ROW(OFFSET(nombres[],ROWS(nombres[])-1,0,1,1))+1),$O1542:$O1561),3),"")</f>
        <v/>
      </c>
      <c r="AAZ1542" s="42" t="str">
        <f t="array" aca="1" ref="AAZ1542" ca="1">IFERROR(INDEX(nombres[],SMALL(IF(OFFSET(nombres[],0,0,ROWS(nombres[]),1)=AAZ$1490,ROW(OFFSET(nombres[],0,0,ROWS(nombres[]),1))-ROW(OFFSET(nombres[],0,0,1,1))+1,ROW(OFFSET(nombres[],ROWS(nombres[])-1,0,1,1))+1),$O1542:$O1561),3),"")</f>
        <v/>
      </c>
      <c r="ABA1542" s="42" t="str">
        <f t="array" aca="1" ref="ABA1542" ca="1">IFERROR(INDEX(nombres[],SMALL(IF(OFFSET(nombres[],0,0,ROWS(nombres[]),1)=ABA$1490,ROW(OFFSET(nombres[],0,0,ROWS(nombres[]),1))-ROW(OFFSET(nombres[],0,0,1,1))+1,ROW(OFFSET(nombres[],ROWS(nombres[])-1,0,1,1))+1),$O1542:$O1561),3),"")</f>
        <v/>
      </c>
      <c r="ABB1542" s="42" t="str">
        <f t="array" aca="1" ref="ABB1542" ca="1">IFERROR(INDEX(nombres[],SMALL(IF(OFFSET(nombres[],0,0,ROWS(nombres[]),1)=ABB$1490,ROW(OFFSET(nombres[],0,0,ROWS(nombres[]),1))-ROW(OFFSET(nombres[],0,0,1,1))+1,ROW(OFFSET(nombres[],ROWS(nombres[])-1,0,1,1))+1),$O1542:$O1561),3),"")</f>
        <v/>
      </c>
      <c r="ABC1542" s="42" t="str">
        <f t="array" aca="1" ref="ABC1542" ca="1">IFERROR(INDEX(nombres[],SMALL(IF(OFFSET(nombres[],0,0,ROWS(nombres[]),1)=ABC$1490,ROW(OFFSET(nombres[],0,0,ROWS(nombres[]),1))-ROW(OFFSET(nombres[],0,0,1,1))+1,ROW(OFFSET(nombres[],ROWS(nombres[])-1,0,1,1))+1),$O1542:$O1561),3),"")</f>
        <v/>
      </c>
      <c r="ABD1542" s="42" t="str">
        <f t="array" aca="1" ref="ABD1542" ca="1">IFERROR(INDEX(nombres[],SMALL(IF(OFFSET(nombres[],0,0,ROWS(nombres[]),1)=ABD$1490,ROW(OFFSET(nombres[],0,0,ROWS(nombres[]),1))-ROW(OFFSET(nombres[],0,0,1,1))+1,ROW(OFFSET(nombres[],ROWS(nombres[])-1,0,1,1))+1),$O1542:$O1561),3),"")</f>
        <v/>
      </c>
      <c r="ABE1542" s="42" t="str">
        <f t="array" aca="1" ref="ABE1542" ca="1">IFERROR(INDEX(nombres[],SMALL(IF(OFFSET(nombres[],0,0,ROWS(nombres[]),1)=ABE$1490,ROW(OFFSET(nombres[],0,0,ROWS(nombres[]),1))-ROW(OFFSET(nombres[],0,0,1,1))+1,ROW(OFFSET(nombres[],ROWS(nombres[])-1,0,1,1))+1),$O1542:$O1561),3),"")</f>
        <v/>
      </c>
      <c r="ABF1542" s="42" t="str">
        <f t="array" aca="1" ref="ABF1542" ca="1">IFERROR(INDEX(nombres[],SMALL(IF(OFFSET(nombres[],0,0,ROWS(nombres[]),1)=ABF$1490,ROW(OFFSET(nombres[],0,0,ROWS(nombres[]),1))-ROW(OFFSET(nombres[],0,0,1,1))+1,ROW(OFFSET(nombres[],ROWS(nombres[])-1,0,1,1))+1),$O1542:$O1561),3),"")</f>
        <v/>
      </c>
      <c r="ABG1542" s="42" t="str">
        <f t="array" aca="1" ref="ABG1542" ca="1">IFERROR(INDEX(nombres[],SMALL(IF(OFFSET(nombres[],0,0,ROWS(nombres[]),1)=ABG$1490,ROW(OFFSET(nombres[],0,0,ROWS(nombres[]),1))-ROW(OFFSET(nombres[],0,0,1,1))+1,ROW(OFFSET(nombres[],ROWS(nombres[])-1,0,1,1))+1),$O1542:$O1561),3),"")</f>
        <v/>
      </c>
      <c r="ABH1542" s="42" t="str">
        <f t="array" aca="1" ref="ABH1542" ca="1">IFERROR(INDEX(nombres[],SMALL(IF(OFFSET(nombres[],0,0,ROWS(nombres[]),1)=ABH$1490,ROW(OFFSET(nombres[],0,0,ROWS(nombres[]),1))-ROW(OFFSET(nombres[],0,0,1,1))+1,ROW(OFFSET(nombres[],ROWS(nombres[])-1,0,1,1))+1),$O1542:$O1561),3),"")</f>
        <v/>
      </c>
      <c r="ABI1542" s="42" t="str">
        <f t="array" aca="1" ref="ABI1542" ca="1">IFERROR(INDEX(nombres[],SMALL(IF(OFFSET(nombres[],0,0,ROWS(nombres[]),1)=ABI$1490,ROW(OFFSET(nombres[],0,0,ROWS(nombres[]),1))-ROW(OFFSET(nombres[],0,0,1,1))+1,ROW(OFFSET(nombres[],ROWS(nombres[])-1,0,1,1))+1),$O1542:$O1561),3),"")</f>
        <v/>
      </c>
      <c r="ABJ1542" s="42" t="str">
        <f t="array" aca="1" ref="ABJ1542" ca="1">IFERROR(INDEX(nombres[],SMALL(IF(OFFSET(nombres[],0,0,ROWS(nombres[]),1)=ABJ$1490,ROW(OFFSET(nombres[],0,0,ROWS(nombres[]),1))-ROW(OFFSET(nombres[],0,0,1,1))+1,ROW(OFFSET(nombres[],ROWS(nombres[])-1,0,1,1))+1),$O1542:$O1561),3),"")</f>
        <v/>
      </c>
      <c r="ABK1542" s="42" t="str">
        <f t="array" aca="1" ref="ABK1542" ca="1">IFERROR(INDEX(nombres[],SMALL(IF(OFFSET(nombres[],0,0,ROWS(nombres[]),1)=ABK$1490,ROW(OFFSET(nombres[],0,0,ROWS(nombres[]),1))-ROW(OFFSET(nombres[],0,0,1,1))+1,ROW(OFFSET(nombres[],ROWS(nombres[])-1,0,1,1))+1),$O1542:$O1561),3),"")</f>
        <v/>
      </c>
      <c r="ABL1542" s="42" t="str">
        <f t="array" aca="1" ref="ABL1542" ca="1">IFERROR(INDEX(nombres[],SMALL(IF(OFFSET(nombres[],0,0,ROWS(nombres[]),1)=ABL$1490,ROW(OFFSET(nombres[],0,0,ROWS(nombres[]),1))-ROW(OFFSET(nombres[],0,0,1,1))+1,ROW(OFFSET(nombres[],ROWS(nombres[])-1,0,1,1))+1),$O1542:$O1561),3),"")</f>
        <v/>
      </c>
      <c r="ABM1542" s="42" t="str">
        <f t="array" aca="1" ref="ABM1542" ca="1">IFERROR(INDEX(nombres[],SMALL(IF(OFFSET(nombres[],0,0,ROWS(nombres[]),1)=ABM$1490,ROW(OFFSET(nombres[],0,0,ROWS(nombres[]),1))-ROW(OFFSET(nombres[],0,0,1,1))+1,ROW(OFFSET(nombres[],ROWS(nombres[])-1,0,1,1))+1),$O1542:$O1561),3),"")</f>
        <v/>
      </c>
      <c r="ABN1542" s="42" t="str">
        <f t="array" aca="1" ref="ABN1542" ca="1">IFERROR(INDEX(nombres[],SMALL(IF(OFFSET(nombres[],0,0,ROWS(nombres[]),1)=ABN$1490,ROW(OFFSET(nombres[],0,0,ROWS(nombres[]),1))-ROW(OFFSET(nombres[],0,0,1,1))+1,ROW(OFFSET(nombres[],ROWS(nombres[])-1,0,1,1))+1),$O1542:$O1561),3),"")</f>
        <v/>
      </c>
      <c r="ABO1542" s="42" t="str">
        <f t="array" aca="1" ref="ABO1542" ca="1">IFERROR(INDEX(nombres[],SMALL(IF(OFFSET(nombres[],0,0,ROWS(nombres[]),1)=ABO$1490,ROW(OFFSET(nombres[],0,0,ROWS(nombres[]),1))-ROW(OFFSET(nombres[],0,0,1,1))+1,ROW(OFFSET(nombres[],ROWS(nombres[])-1,0,1,1))+1),$O1542:$O1561),3),"")</f>
        <v/>
      </c>
      <c r="ABP1542" s="42" t="str">
        <f t="array" aca="1" ref="ABP1542" ca="1">IFERROR(INDEX(nombres[],SMALL(IF(OFFSET(nombres[],0,0,ROWS(nombres[]),1)=ABP$1490,ROW(OFFSET(nombres[],0,0,ROWS(nombres[]),1))-ROW(OFFSET(nombres[],0,0,1,1))+1,ROW(OFFSET(nombres[],ROWS(nombres[])-1,0,1,1))+1),$O1542:$O1561),3),"")</f>
        <v/>
      </c>
      <c r="ABQ1542" s="42" t="str">
        <f t="array" aca="1" ref="ABQ1542" ca="1">IFERROR(INDEX(nombres[],SMALL(IF(OFFSET(nombres[],0,0,ROWS(nombres[]),1)=ABQ$1490,ROW(OFFSET(nombres[],0,0,ROWS(nombres[]),1))-ROW(OFFSET(nombres[],0,0,1,1))+1,ROW(OFFSET(nombres[],ROWS(nombres[])-1,0,1,1))+1),$O1542:$O1561),3),"")</f>
        <v/>
      </c>
      <c r="ABR1542" s="42" t="str">
        <f t="array" aca="1" ref="ABR1542" ca="1">IFERROR(INDEX(nombres[],SMALL(IF(OFFSET(nombres[],0,0,ROWS(nombres[]),1)=ABR$1490,ROW(OFFSET(nombres[],0,0,ROWS(nombres[]),1))-ROW(OFFSET(nombres[],0,0,1,1))+1,ROW(OFFSET(nombres[],ROWS(nombres[])-1,0,1,1))+1),$O1542:$O1561),3),"")</f>
        <v/>
      </c>
      <c r="ABS1542" s="42" t="str">
        <f t="array" aca="1" ref="ABS1542" ca="1">IFERROR(INDEX(nombres[],SMALL(IF(OFFSET(nombres[],0,0,ROWS(nombres[]),1)=ABS$1490,ROW(OFFSET(nombres[],0,0,ROWS(nombres[]),1))-ROW(OFFSET(nombres[],0,0,1,1))+1,ROW(OFFSET(nombres[],ROWS(nombres[])-1,0,1,1))+1),$O1542:$O1561),3),"")</f>
        <v/>
      </c>
      <c r="ABT1542" s="42" t="str">
        <f t="array" aca="1" ref="ABT1542" ca="1">IFERROR(INDEX(nombres[],SMALL(IF(OFFSET(nombres[],0,0,ROWS(nombres[]),1)=ABT$1490,ROW(OFFSET(nombres[],0,0,ROWS(nombres[]),1))-ROW(OFFSET(nombres[],0,0,1,1))+1,ROW(OFFSET(nombres[],ROWS(nombres[])-1,0,1,1))+1),$O1542:$O1561),3),"")</f>
        <v/>
      </c>
      <c r="ABU1542" s="42" t="str">
        <f t="array" aca="1" ref="ABU1542" ca="1">IFERROR(INDEX(nombres[],SMALL(IF(OFFSET(nombres[],0,0,ROWS(nombres[]),1)=ABU$1490,ROW(OFFSET(nombres[],0,0,ROWS(nombres[]),1))-ROW(OFFSET(nombres[],0,0,1,1))+1,ROW(OFFSET(nombres[],ROWS(nombres[])-1,0,1,1))+1),$O1542:$O1561),3),"")</f>
        <v/>
      </c>
      <c r="ABV1542" s="42" t="str">
        <f t="array" aca="1" ref="ABV1542" ca="1">IFERROR(INDEX(nombres[],SMALL(IF(OFFSET(nombres[],0,0,ROWS(nombres[]),1)=ABV$1490,ROW(OFFSET(nombres[],0,0,ROWS(nombres[]),1))-ROW(OFFSET(nombres[],0,0,1,1))+1,ROW(OFFSET(nombres[],ROWS(nombres[])-1,0,1,1))+1),$O1542:$O1561),3),"")</f>
        <v/>
      </c>
      <c r="ABW1542" s="42" t="str">
        <f t="array" aca="1" ref="ABW1542" ca="1">IFERROR(INDEX(nombres[],SMALL(IF(OFFSET(nombres[],0,0,ROWS(nombres[]),1)=ABW$1490,ROW(OFFSET(nombres[],0,0,ROWS(nombres[]),1))-ROW(OFFSET(nombres[],0,0,1,1))+1,ROW(OFFSET(nombres[],ROWS(nombres[])-1,0,1,1))+1),$O1542:$O1561),3),"")</f>
        <v/>
      </c>
      <c r="ABX1542" s="42" t="str">
        <f t="array" aca="1" ref="ABX1542" ca="1">IFERROR(INDEX(nombres[],SMALL(IF(OFFSET(nombres[],0,0,ROWS(nombres[]),1)=ABX$1490,ROW(OFFSET(nombres[],0,0,ROWS(nombres[]),1))-ROW(OFFSET(nombres[],0,0,1,1))+1,ROW(OFFSET(nombres[],ROWS(nombres[])-1,0,1,1))+1),$O1542:$O1561),3),"")</f>
        <v/>
      </c>
      <c r="ABY1542" s="42" t="str">
        <f t="array" aca="1" ref="ABY1542" ca="1">IFERROR(INDEX(nombres[],SMALL(IF(OFFSET(nombres[],0,0,ROWS(nombres[]),1)=ABY$1490,ROW(OFFSET(nombres[],0,0,ROWS(nombres[]),1))-ROW(OFFSET(nombres[],0,0,1,1))+1,ROW(OFFSET(nombres[],ROWS(nombres[])-1,0,1,1))+1),$O1542:$O1561),3),"")</f>
        <v/>
      </c>
      <c r="ABZ1542" s="42" t="str">
        <f t="array" aca="1" ref="ABZ1542" ca="1">IFERROR(INDEX(nombres[],SMALL(IF(OFFSET(nombres[],0,0,ROWS(nombres[]),1)=ABZ$1490,ROW(OFFSET(nombres[],0,0,ROWS(nombres[]),1))-ROW(OFFSET(nombres[],0,0,1,1))+1,ROW(OFFSET(nombres[],ROWS(nombres[])-1,0,1,1))+1),$O1542:$O1561),3),"")</f>
        <v/>
      </c>
      <c r="ACA1542" s="42" t="str">
        <f t="array" aca="1" ref="ACA1542" ca="1">IFERROR(INDEX(nombres[],SMALL(IF(OFFSET(nombres[],0,0,ROWS(nombres[]),1)=ACA$1490,ROW(OFFSET(nombres[],0,0,ROWS(nombres[]),1))-ROW(OFFSET(nombres[],0,0,1,1))+1,ROW(OFFSET(nombres[],ROWS(nombres[])-1,0,1,1))+1),$O1542:$O1561),3),"")</f>
        <v/>
      </c>
      <c r="ACB1542" s="42" t="str">
        <f t="array" aca="1" ref="ACB1542" ca="1">IFERROR(INDEX(nombres[],SMALL(IF(OFFSET(nombres[],0,0,ROWS(nombres[]),1)=ACB$1490,ROW(OFFSET(nombres[],0,0,ROWS(nombres[]),1))-ROW(OFFSET(nombres[],0,0,1,1))+1,ROW(OFFSET(nombres[],ROWS(nombres[])-1,0,1,1))+1),$O1542:$O1561),3),"")</f>
        <v/>
      </c>
      <c r="ACC1542" s="42" t="str">
        <f t="array" aca="1" ref="ACC1542" ca="1">IFERROR(INDEX(nombres[],SMALL(IF(OFFSET(nombres[],0,0,ROWS(nombres[]),1)=ACC$1490,ROW(OFFSET(nombres[],0,0,ROWS(nombres[]),1))-ROW(OFFSET(nombres[],0,0,1,1))+1,ROW(OFFSET(nombres[],ROWS(nombres[])-1,0,1,1))+1),$O1542:$O1561),3),"")</f>
        <v/>
      </c>
      <c r="ACD1542" s="42" t="str">
        <f t="array" aca="1" ref="ACD1542" ca="1">IFERROR(INDEX(nombres[],SMALL(IF(OFFSET(nombres[],0,0,ROWS(nombres[]),1)=ACD$1490,ROW(OFFSET(nombres[],0,0,ROWS(nombres[]),1))-ROW(OFFSET(nombres[],0,0,1,1))+1,ROW(OFFSET(nombres[],ROWS(nombres[])-1,0,1,1))+1),$O1542:$O1561),3),"")</f>
        <v/>
      </c>
      <c r="ACE1542" s="42" t="str">
        <f t="array" aca="1" ref="ACE1542" ca="1">IFERROR(INDEX(nombres[],SMALL(IF(OFFSET(nombres[],0,0,ROWS(nombres[]),1)=ACE$1490,ROW(OFFSET(nombres[],0,0,ROWS(nombres[]),1))-ROW(OFFSET(nombres[],0,0,1,1))+1,ROW(OFFSET(nombres[],ROWS(nombres[])-1,0,1,1))+1),$O1542:$O1561),3),"")</f>
        <v/>
      </c>
      <c r="ACF1542" s="42" t="str">
        <f t="array" aca="1" ref="ACF1542" ca="1">IFERROR(INDEX(nombres[],SMALL(IF(OFFSET(nombres[],0,0,ROWS(nombres[]),1)=ACF$1490,ROW(OFFSET(nombres[],0,0,ROWS(nombres[]),1))-ROW(OFFSET(nombres[],0,0,1,1))+1,ROW(OFFSET(nombres[],ROWS(nombres[])-1,0,1,1))+1),$O1542:$O1561),3),"")</f>
        <v/>
      </c>
      <c r="ACG1542" s="42" t="str">
        <f t="array" aca="1" ref="ACG1542" ca="1">IFERROR(INDEX(nombres[],SMALL(IF(OFFSET(nombres[],0,0,ROWS(nombres[]),1)=ACG$1490,ROW(OFFSET(nombres[],0,0,ROWS(nombres[]),1))-ROW(OFFSET(nombres[],0,0,1,1))+1,ROW(OFFSET(nombres[],ROWS(nombres[])-1,0,1,1))+1),$O1542:$O1561),3),"")</f>
        <v/>
      </c>
      <c r="ACH1542" s="42" t="str">
        <f t="array" aca="1" ref="ACH1542" ca="1">IFERROR(INDEX(nombres[],SMALL(IF(OFFSET(nombres[],0,0,ROWS(nombres[]),1)=ACH$1490,ROW(OFFSET(nombres[],0,0,ROWS(nombres[]),1))-ROW(OFFSET(nombres[],0,0,1,1))+1,ROW(OFFSET(nombres[],ROWS(nombres[])-1,0,1,1))+1),$O1542:$O1561),3),"")</f>
        <v/>
      </c>
      <c r="ACI1542" s="42" t="str">
        <f t="array" aca="1" ref="ACI1542" ca="1">IFERROR(INDEX(nombres[],SMALL(IF(OFFSET(nombres[],0,0,ROWS(nombres[]),1)=ACI$1490,ROW(OFFSET(nombres[],0,0,ROWS(nombres[]),1))-ROW(OFFSET(nombres[],0,0,1,1))+1,ROW(OFFSET(nombres[],ROWS(nombres[])-1,0,1,1))+1),$O1542:$O1561),3),"")</f>
        <v/>
      </c>
      <c r="ACJ1542" s="42" t="str">
        <f t="array" aca="1" ref="ACJ1542" ca="1">IFERROR(INDEX(nombres[],SMALL(IF(OFFSET(nombres[],0,0,ROWS(nombres[]),1)=ACJ$1490,ROW(OFFSET(nombres[],0,0,ROWS(nombres[]),1))-ROW(OFFSET(nombres[],0,0,1,1))+1,ROW(OFFSET(nombres[],ROWS(nombres[])-1,0,1,1))+1),$O1542:$O1561),3),"")</f>
        <v/>
      </c>
      <c r="ACK1542" s="42" t="str">
        <f t="array" aca="1" ref="ACK1542" ca="1">IFERROR(INDEX(nombres[],SMALL(IF(OFFSET(nombres[],0,0,ROWS(nombres[]),1)=ACK$1490,ROW(OFFSET(nombres[],0,0,ROWS(nombres[]),1))-ROW(OFFSET(nombres[],0,0,1,1))+1,ROW(OFFSET(nombres[],ROWS(nombres[])-1,0,1,1))+1),$O1542:$O1561),3),"")</f>
        <v/>
      </c>
      <c r="ACL1542" s="42" t="str">
        <f t="array" aca="1" ref="ACL1542" ca="1">IFERROR(INDEX(nombres[],SMALL(IF(OFFSET(nombres[],0,0,ROWS(nombres[]),1)=ACL$1490,ROW(OFFSET(nombres[],0,0,ROWS(nombres[]),1))-ROW(OFFSET(nombres[],0,0,1,1))+1,ROW(OFFSET(nombres[],ROWS(nombres[])-1,0,1,1))+1),$O1542:$O1561),3),"")</f>
        <v/>
      </c>
      <c r="ACM1542" s="42" t="str">
        <f t="array" aca="1" ref="ACM1542" ca="1">IFERROR(INDEX(nombres[],SMALL(IF(OFFSET(nombres[],0,0,ROWS(nombres[]),1)=ACM$1490,ROW(OFFSET(nombres[],0,0,ROWS(nombres[]),1))-ROW(OFFSET(nombres[],0,0,1,1))+1,ROW(OFFSET(nombres[],ROWS(nombres[])-1,0,1,1))+1),$O1542:$O1561),3),"")</f>
        <v/>
      </c>
      <c r="ACN1542" s="42" t="str">
        <f t="array" aca="1" ref="ACN1542" ca="1">IFERROR(INDEX(nombres[],SMALL(IF(OFFSET(nombres[],0,0,ROWS(nombres[]),1)=ACN$1490,ROW(OFFSET(nombres[],0,0,ROWS(nombres[]),1))-ROW(OFFSET(nombres[],0,0,1,1))+1,ROW(OFFSET(nombres[],ROWS(nombres[])-1,0,1,1))+1),$O1542:$O1561),3),"")</f>
        <v/>
      </c>
      <c r="ACO1542" s="42" t="str">
        <f t="array" aca="1" ref="ACO1542" ca="1">IFERROR(INDEX(nombres[],SMALL(IF(OFFSET(nombres[],0,0,ROWS(nombres[]),1)=ACO$1490,ROW(OFFSET(nombres[],0,0,ROWS(nombres[]),1))-ROW(OFFSET(nombres[],0,0,1,1))+1,ROW(OFFSET(nombres[],ROWS(nombres[])-1,0,1,1))+1),$O1542:$O1561),3),"")</f>
        <v/>
      </c>
      <c r="ACP1542" s="42" t="str">
        <f t="array" aca="1" ref="ACP1542" ca="1">IFERROR(INDEX(nombres[],SMALL(IF(OFFSET(nombres[],0,0,ROWS(nombres[]),1)=ACP$1490,ROW(OFFSET(nombres[],0,0,ROWS(nombres[]),1))-ROW(OFFSET(nombres[],0,0,1,1))+1,ROW(OFFSET(nombres[],ROWS(nombres[])-1,0,1,1))+1),$O1542:$O1561),3),"")</f>
        <v/>
      </c>
      <c r="ACQ1542" s="42" t="str">
        <f t="array" aca="1" ref="ACQ1542" ca="1">IFERROR(INDEX(nombres[],SMALL(IF(OFFSET(nombres[],0,0,ROWS(nombres[]),1)=ACQ$1490,ROW(OFFSET(nombres[],0,0,ROWS(nombres[]),1))-ROW(OFFSET(nombres[],0,0,1,1))+1,ROW(OFFSET(nombres[],ROWS(nombres[])-1,0,1,1))+1),$O1542:$O1561),3),"")</f>
        <v/>
      </c>
      <c r="ACR1542" s="42" t="str">
        <f t="array" aca="1" ref="ACR1542" ca="1">IFERROR(INDEX(nombres[],SMALL(IF(OFFSET(nombres[],0,0,ROWS(nombres[]),1)=ACR$1490,ROW(OFFSET(nombres[],0,0,ROWS(nombres[]),1))-ROW(OFFSET(nombres[],0,0,1,1))+1,ROW(OFFSET(nombres[],ROWS(nombres[])-1,0,1,1))+1),$O1542:$O1561),3),"")</f>
        <v/>
      </c>
      <c r="ACS1542" s="42" t="str">
        <f t="array" aca="1" ref="ACS1542" ca="1">IFERROR(INDEX(nombres[],SMALL(IF(OFFSET(nombres[],0,0,ROWS(nombres[]),1)=ACS$1490,ROW(OFFSET(nombres[],0,0,ROWS(nombres[]),1))-ROW(OFFSET(nombres[],0,0,1,1))+1,ROW(OFFSET(nombres[],ROWS(nombres[])-1,0,1,1))+1),$O1542:$O1561),3),"")</f>
        <v/>
      </c>
      <c r="ACT1542" s="42" t="str">
        <f t="array" aca="1" ref="ACT1542" ca="1">IFERROR(INDEX(nombres[],SMALL(IF(OFFSET(nombres[],0,0,ROWS(nombres[]),1)=ACT$1490,ROW(OFFSET(nombres[],0,0,ROWS(nombres[]),1))-ROW(OFFSET(nombres[],0,0,1,1))+1,ROW(OFFSET(nombres[],ROWS(nombres[])-1,0,1,1))+1),$O1542:$O1561),3),"")</f>
        <v/>
      </c>
      <c r="ACU1542" s="42" t="str">
        <f t="array" aca="1" ref="ACU1542" ca="1">IFERROR(INDEX(nombres[],SMALL(IF(OFFSET(nombres[],0,0,ROWS(nombres[]),1)=ACU$1490,ROW(OFFSET(nombres[],0,0,ROWS(nombres[]),1))-ROW(OFFSET(nombres[],0,0,1,1))+1,ROW(OFFSET(nombres[],ROWS(nombres[])-1,0,1,1))+1),$O1542:$O1561),3),"")</f>
        <v/>
      </c>
      <c r="ACV1542" s="42" t="str">
        <f t="array" aca="1" ref="ACV1542" ca="1">IFERROR(INDEX(nombres[],SMALL(IF(OFFSET(nombres[],0,0,ROWS(nombres[]),1)=ACV$1490,ROW(OFFSET(nombres[],0,0,ROWS(nombres[]),1))-ROW(OFFSET(nombres[],0,0,1,1))+1,ROW(OFFSET(nombres[],ROWS(nombres[])-1,0,1,1))+1),$O1542:$O1561),3),"")</f>
        <v/>
      </c>
      <c r="ACW1542" s="42" t="str">
        <f t="array" aca="1" ref="ACW1542" ca="1">IFERROR(INDEX(nombres[],SMALL(IF(OFFSET(nombres[],0,0,ROWS(nombres[]),1)=ACW$1490,ROW(OFFSET(nombres[],0,0,ROWS(nombres[]),1))-ROW(OFFSET(nombres[],0,0,1,1))+1,ROW(OFFSET(nombres[],ROWS(nombres[])-1,0,1,1))+1),$O1542:$O1561),3),"")</f>
        <v/>
      </c>
      <c r="ACX1542" s="42" t="str">
        <f t="array" aca="1" ref="ACX1542" ca="1">IFERROR(INDEX(nombres[],SMALL(IF(OFFSET(nombres[],0,0,ROWS(nombres[]),1)=ACX$1490,ROW(OFFSET(nombres[],0,0,ROWS(nombres[]),1))-ROW(OFFSET(nombres[],0,0,1,1))+1,ROW(OFFSET(nombres[],ROWS(nombres[])-1,0,1,1))+1),$O1542:$O1561),3),"")</f>
        <v/>
      </c>
      <c r="ACY1542" s="42" t="str">
        <f t="array" aca="1" ref="ACY1542" ca="1">IFERROR(INDEX(nombres[],SMALL(IF(OFFSET(nombres[],0,0,ROWS(nombres[]),1)=ACY$1490,ROW(OFFSET(nombres[],0,0,ROWS(nombres[]),1))-ROW(OFFSET(nombres[],0,0,1,1))+1,ROW(OFFSET(nombres[],ROWS(nombres[])-1,0,1,1))+1),$O1542:$O1561),3),"")</f>
        <v/>
      </c>
      <c r="ACZ1542" s="42" t="str">
        <f t="array" aca="1" ref="ACZ1542" ca="1">IFERROR(INDEX(nombres[],SMALL(IF(OFFSET(nombres[],0,0,ROWS(nombres[]),1)=ACZ$1490,ROW(OFFSET(nombres[],0,0,ROWS(nombres[]),1))-ROW(OFFSET(nombres[],0,0,1,1))+1,ROW(OFFSET(nombres[],ROWS(nombres[])-1,0,1,1))+1),$O1542:$O1561),3),"")</f>
        <v/>
      </c>
      <c r="ADA1542" s="42" t="str">
        <f t="array" aca="1" ref="ADA1542" ca="1">IFERROR(INDEX(nombres[],SMALL(IF(OFFSET(nombres[],0,0,ROWS(nombres[]),1)=ADA$1490,ROW(OFFSET(nombres[],0,0,ROWS(nombres[]),1))-ROW(OFFSET(nombres[],0,0,1,1))+1,ROW(OFFSET(nombres[],ROWS(nombres[])-1,0,1,1))+1),$O1542:$O1561),3),"")</f>
        <v/>
      </c>
      <c r="ADB1542" s="42" t="str">
        <f t="array" aca="1" ref="ADB1542" ca="1">IFERROR(INDEX(nombres[],SMALL(IF(OFFSET(nombres[],0,0,ROWS(nombres[]),1)=ADB$1490,ROW(OFFSET(nombres[],0,0,ROWS(nombres[]),1))-ROW(OFFSET(nombres[],0,0,1,1))+1,ROW(OFFSET(nombres[],ROWS(nombres[])-1,0,1,1))+1),$O1542:$O1561),3),"")</f>
        <v/>
      </c>
      <c r="ADC1542" s="42" t="str">
        <f t="array" aca="1" ref="ADC1542" ca="1">IFERROR(INDEX(nombres[],SMALL(IF(OFFSET(nombres[],0,0,ROWS(nombres[]),1)=ADC$1490,ROW(OFFSET(nombres[],0,0,ROWS(nombres[]),1))-ROW(OFFSET(nombres[],0,0,1,1))+1,ROW(OFFSET(nombres[],ROWS(nombres[])-1,0,1,1))+1),$O1542:$O1561),3),"")</f>
        <v/>
      </c>
      <c r="ADD1542" s="42" t="str">
        <f t="array" aca="1" ref="ADD1542" ca="1">IFERROR(INDEX(nombres[],SMALL(IF(OFFSET(nombres[],0,0,ROWS(nombres[]),1)=ADD$1490,ROW(OFFSET(nombres[],0,0,ROWS(nombres[]),1))-ROW(OFFSET(nombres[],0,0,1,1))+1,ROW(OFFSET(nombres[],ROWS(nombres[])-1,0,1,1))+1),$O1542:$O1561),3),"")</f>
        <v/>
      </c>
      <c r="ADE1542" s="42" t="str">
        <f t="array" aca="1" ref="ADE1542" ca="1">IFERROR(INDEX(nombres[],SMALL(IF(OFFSET(nombres[],0,0,ROWS(nombres[]),1)=ADE$1490,ROW(OFFSET(nombres[],0,0,ROWS(nombres[]),1))-ROW(OFFSET(nombres[],0,0,1,1))+1,ROW(OFFSET(nombres[],ROWS(nombres[])-1,0,1,1))+1),$O1542:$O1561),3),"")</f>
        <v/>
      </c>
      <c r="ADF1542" s="42" t="str">
        <f t="array" aca="1" ref="ADF1542" ca="1">IFERROR(INDEX(nombres[],SMALL(IF(OFFSET(nombres[],0,0,ROWS(nombres[]),1)=ADF$1490,ROW(OFFSET(nombres[],0,0,ROWS(nombres[]),1))-ROW(OFFSET(nombres[],0,0,1,1))+1,ROW(OFFSET(nombres[],ROWS(nombres[])-1,0,1,1))+1),$O1542:$O1561),3),"")</f>
        <v/>
      </c>
      <c r="ADG1542" s="42" t="str">
        <f t="array" aca="1" ref="ADG1542" ca="1">IFERROR(INDEX(nombres[],SMALL(IF(OFFSET(nombres[],0,0,ROWS(nombres[]),1)=ADG$1490,ROW(OFFSET(nombres[],0,0,ROWS(nombres[]),1))-ROW(OFFSET(nombres[],0,0,1,1))+1,ROW(OFFSET(nombres[],ROWS(nombres[])-1,0,1,1))+1),$O1542:$O1561),3),"")</f>
        <v/>
      </c>
      <c r="ADH1542" s="42" t="str">
        <f t="array" aca="1" ref="ADH1542" ca="1">IFERROR(INDEX(nombres[],SMALL(IF(OFFSET(nombres[],0,0,ROWS(nombres[]),1)=ADH$1490,ROW(OFFSET(nombres[],0,0,ROWS(nombres[]),1))-ROW(OFFSET(nombres[],0,0,1,1))+1,ROW(OFFSET(nombres[],ROWS(nombres[])-1,0,1,1))+1),$O1542:$O1561),3),"")</f>
        <v/>
      </c>
      <c r="ADI1542" s="42" t="str">
        <f t="array" aca="1" ref="ADI1542" ca="1">IFERROR(INDEX(nombres[],SMALL(IF(OFFSET(nombres[],0,0,ROWS(nombres[]),1)=ADI$1490,ROW(OFFSET(nombres[],0,0,ROWS(nombres[]),1))-ROW(OFFSET(nombres[],0,0,1,1))+1,ROW(OFFSET(nombres[],ROWS(nombres[])-1,0,1,1))+1),$O1542:$O1561),3),"")</f>
        <v/>
      </c>
      <c r="ADJ1542" s="42" t="str">
        <f t="array" aca="1" ref="ADJ1542" ca="1">IFERROR(INDEX(nombres[],SMALL(IF(OFFSET(nombres[],0,0,ROWS(nombres[]),1)=ADJ$1490,ROW(OFFSET(nombres[],0,0,ROWS(nombres[]),1))-ROW(OFFSET(nombres[],0,0,1,1))+1,ROW(OFFSET(nombres[],ROWS(nombres[])-1,0,1,1))+1),$O1542:$O1561),3),"")</f>
        <v/>
      </c>
      <c r="ADK1542" s="42" t="str">
        <f t="array" aca="1" ref="ADK1542" ca="1">IFERROR(INDEX(nombres[],SMALL(IF(OFFSET(nombres[],0,0,ROWS(nombres[]),1)=ADK$1490,ROW(OFFSET(nombres[],0,0,ROWS(nombres[]),1))-ROW(OFFSET(nombres[],0,0,1,1))+1,ROW(OFFSET(nombres[],ROWS(nombres[])-1,0,1,1))+1),$O1542:$O1561),3),"")</f>
        <v/>
      </c>
      <c r="ADL1542" s="42" t="str">
        <f t="array" aca="1" ref="ADL1542" ca="1">IFERROR(INDEX(nombres[],SMALL(IF(OFFSET(nombres[],0,0,ROWS(nombres[]),1)=ADL$1490,ROW(OFFSET(nombres[],0,0,ROWS(nombres[]),1))-ROW(OFFSET(nombres[],0,0,1,1))+1,ROW(OFFSET(nombres[],ROWS(nombres[])-1,0,1,1))+1),$O1542:$O1561),3),"")</f>
        <v/>
      </c>
      <c r="ADM1542" s="42" t="str">
        <f t="array" aca="1" ref="ADM1542" ca="1">IFERROR(INDEX(nombres[],SMALL(IF(OFFSET(nombres[],0,0,ROWS(nombres[]),1)=ADM$1490,ROW(OFFSET(nombres[],0,0,ROWS(nombres[]),1))-ROW(OFFSET(nombres[],0,0,1,1))+1,ROW(OFFSET(nombres[],ROWS(nombres[])-1,0,1,1))+1),$O1542:$O1561),3),"")</f>
        <v/>
      </c>
      <c r="ADN1542" s="42" t="str">
        <f t="array" aca="1" ref="ADN1542" ca="1">IFERROR(INDEX(nombres[],SMALL(IF(OFFSET(nombres[],0,0,ROWS(nombres[]),1)=ADN$1490,ROW(OFFSET(nombres[],0,0,ROWS(nombres[]),1))-ROW(OFFSET(nombres[],0,0,1,1))+1,ROW(OFFSET(nombres[],ROWS(nombres[])-1,0,1,1))+1),$O1542:$O1561),3),"")</f>
        <v/>
      </c>
      <c r="ADO1542" s="42" t="str">
        <f t="array" aca="1" ref="ADO1542" ca="1">IFERROR(INDEX(nombres[],SMALL(IF(OFFSET(nombres[],0,0,ROWS(nombres[]),1)=ADO$1490,ROW(OFFSET(nombres[],0,0,ROWS(nombres[]),1))-ROW(OFFSET(nombres[],0,0,1,1))+1,ROW(OFFSET(nombres[],ROWS(nombres[])-1,0,1,1))+1),$O1542:$O1561),3),"")</f>
        <v/>
      </c>
      <c r="ADP1542" s="42" t="str">
        <f t="array" aca="1" ref="ADP1542" ca="1">IFERROR(INDEX(nombres[],SMALL(IF(OFFSET(nombres[],0,0,ROWS(nombres[]),1)=ADP$1490,ROW(OFFSET(nombres[],0,0,ROWS(nombres[]),1))-ROW(OFFSET(nombres[],0,0,1,1))+1,ROW(OFFSET(nombres[],ROWS(nombres[])-1,0,1,1))+1),$O1542:$O1561),3),"")</f>
        <v/>
      </c>
      <c r="ADQ1542" s="42" t="str">
        <f t="array" aca="1" ref="ADQ1542" ca="1">IFERROR(INDEX(nombres[],SMALL(IF(OFFSET(nombres[],0,0,ROWS(nombres[]),1)=ADQ$1490,ROW(OFFSET(nombres[],0,0,ROWS(nombres[]),1))-ROW(OFFSET(nombres[],0,0,1,1))+1,ROW(OFFSET(nombres[],ROWS(nombres[])-1,0,1,1))+1),$O1542:$O1561),3),"")</f>
        <v/>
      </c>
      <c r="ADR1542" s="42" t="str">
        <f t="array" aca="1" ref="ADR1542" ca="1">IFERROR(INDEX(nombres[],SMALL(IF(OFFSET(nombres[],0,0,ROWS(nombres[]),1)=ADR$1490,ROW(OFFSET(nombres[],0,0,ROWS(nombres[]),1))-ROW(OFFSET(nombres[],0,0,1,1))+1,ROW(OFFSET(nombres[],ROWS(nombres[])-1,0,1,1))+1),$O1542:$O1561),3),"")</f>
        <v/>
      </c>
      <c r="ADS1542" s="42" t="str">
        <f t="array" aca="1" ref="ADS1542" ca="1">IFERROR(INDEX(nombres[],SMALL(IF(OFFSET(nombres[],0,0,ROWS(nombres[]),1)=ADS$1490,ROW(OFFSET(nombres[],0,0,ROWS(nombres[]),1))-ROW(OFFSET(nombres[],0,0,1,1))+1,ROW(OFFSET(nombres[],ROWS(nombres[])-1,0,1,1))+1),$O1542:$O1561),3),"")</f>
        <v/>
      </c>
      <c r="ADT1542" s="42" t="str">
        <f t="array" aca="1" ref="ADT1542" ca="1">IFERROR(INDEX(nombres[],SMALL(IF(OFFSET(nombres[],0,0,ROWS(nombres[]),1)=ADT$1490,ROW(OFFSET(nombres[],0,0,ROWS(nombres[]),1))-ROW(OFFSET(nombres[],0,0,1,1))+1,ROW(OFFSET(nombres[],ROWS(nombres[])-1,0,1,1))+1),$O1542:$O1561),3),"")</f>
        <v/>
      </c>
      <c r="ADU1542" s="42" t="str">
        <f t="array" aca="1" ref="ADU1542" ca="1">IFERROR(INDEX(nombres[],SMALL(IF(OFFSET(nombres[],0,0,ROWS(nombres[]),1)=ADU$1490,ROW(OFFSET(nombres[],0,0,ROWS(nombres[]),1))-ROW(OFFSET(nombres[],0,0,1,1))+1,ROW(OFFSET(nombres[],ROWS(nombres[])-1,0,1,1))+1),$O1542:$O1561),3),"")</f>
        <v/>
      </c>
      <c r="ADV1542" s="42" t="str">
        <f t="array" aca="1" ref="ADV1542" ca="1">IFERROR(INDEX(nombres[],SMALL(IF(OFFSET(nombres[],0,0,ROWS(nombres[]),1)=ADV$1490,ROW(OFFSET(nombres[],0,0,ROWS(nombres[]),1))-ROW(OFFSET(nombres[],0,0,1,1))+1,ROW(OFFSET(nombres[],ROWS(nombres[])-1,0,1,1))+1),$O1542:$O1561),3),"")</f>
        <v/>
      </c>
      <c r="ADW1542" s="42" t="str">
        <f t="array" aca="1" ref="ADW1542" ca="1">IFERROR(INDEX(nombres[],SMALL(IF(OFFSET(nombres[],0,0,ROWS(nombres[]),1)=ADW$1490,ROW(OFFSET(nombres[],0,0,ROWS(nombres[]),1))-ROW(OFFSET(nombres[],0,0,1,1))+1,ROW(OFFSET(nombres[],ROWS(nombres[])-1,0,1,1))+1),$O1542:$O1561),3),"")</f>
        <v/>
      </c>
      <c r="ADX1542" s="42" t="str">
        <f t="array" aca="1" ref="ADX1542" ca="1">IFERROR(INDEX(nombres[],SMALL(IF(OFFSET(nombres[],0,0,ROWS(nombres[]),1)=ADX$1490,ROW(OFFSET(nombres[],0,0,ROWS(nombres[]),1))-ROW(OFFSET(nombres[],0,0,1,1))+1,ROW(OFFSET(nombres[],ROWS(nombres[])-1,0,1,1))+1),$O1542:$O1561),3),"")</f>
        <v/>
      </c>
      <c r="ADY1542" s="42" t="str">
        <f t="array" aca="1" ref="ADY1542" ca="1">IFERROR(INDEX(nombres[],SMALL(IF(OFFSET(nombres[],0,0,ROWS(nombres[]),1)=ADY$1490,ROW(OFFSET(nombres[],0,0,ROWS(nombres[]),1))-ROW(OFFSET(nombres[],0,0,1,1))+1,ROW(OFFSET(nombres[],ROWS(nombres[])-1,0,1,1))+1),$O1542:$O1561),3),"")</f>
        <v/>
      </c>
      <c r="ADZ1542" s="42" t="str">
        <f t="array" aca="1" ref="ADZ1542" ca="1">IFERROR(INDEX(nombres[],SMALL(IF(OFFSET(nombres[],0,0,ROWS(nombres[]),1)=ADZ$1490,ROW(OFFSET(nombres[],0,0,ROWS(nombres[]),1))-ROW(OFFSET(nombres[],0,0,1,1))+1,ROW(OFFSET(nombres[],ROWS(nombres[])-1,0,1,1))+1),$O1542:$O1561),3),"")</f>
        <v/>
      </c>
      <c r="AEA1542" s="42" t="str">
        <f t="array" aca="1" ref="AEA1542" ca="1">IFERROR(INDEX(nombres[],SMALL(IF(OFFSET(nombres[],0,0,ROWS(nombres[]),1)=AEA$1490,ROW(OFFSET(nombres[],0,0,ROWS(nombres[]),1))-ROW(OFFSET(nombres[],0,0,1,1))+1,ROW(OFFSET(nombres[],ROWS(nombres[])-1,0,1,1))+1),$O1542:$O1561),3),"")</f>
        <v/>
      </c>
      <c r="AEB1542" s="42" t="str">
        <f t="array" aca="1" ref="AEB1542" ca="1">IFERROR(INDEX(nombres[],SMALL(IF(OFFSET(nombres[],0,0,ROWS(nombres[]),1)=AEB$1490,ROW(OFFSET(nombres[],0,0,ROWS(nombres[]),1))-ROW(OFFSET(nombres[],0,0,1,1))+1,ROW(OFFSET(nombres[],ROWS(nombres[])-1,0,1,1))+1),$O1542:$O1561),3),"")</f>
        <v/>
      </c>
      <c r="AEC1542" s="42" t="str">
        <f t="array" aca="1" ref="AEC1542" ca="1">IFERROR(INDEX(nombres[],SMALL(IF(OFFSET(nombres[],0,0,ROWS(nombres[]),1)=AEC$1490,ROW(OFFSET(nombres[],0,0,ROWS(nombres[]),1))-ROW(OFFSET(nombres[],0,0,1,1))+1,ROW(OFFSET(nombres[],ROWS(nombres[])-1,0,1,1))+1),$O1542:$O1561),3),"")</f>
        <v/>
      </c>
      <c r="AED1542" s="42" t="str">
        <f t="array" aca="1" ref="AED1542" ca="1">IFERROR(INDEX(nombres[],SMALL(IF(OFFSET(nombres[],0,0,ROWS(nombres[]),1)=AED$1490,ROW(OFFSET(nombres[],0,0,ROWS(nombres[]),1))-ROW(OFFSET(nombres[],0,0,1,1))+1,ROW(OFFSET(nombres[],ROWS(nombres[])-1,0,1,1))+1),$O1542:$O1561),3),"")</f>
        <v/>
      </c>
      <c r="AEE1542" s="42" t="str">
        <f t="array" aca="1" ref="AEE1542" ca="1">IFERROR(INDEX(nombres[],SMALL(IF(OFFSET(nombres[],0,0,ROWS(nombres[]),1)=AEE$1490,ROW(OFFSET(nombres[],0,0,ROWS(nombres[]),1))-ROW(OFFSET(nombres[],0,0,1,1))+1,ROW(OFFSET(nombres[],ROWS(nombres[])-1,0,1,1))+1),$O1542:$O1561),3),"")</f>
        <v/>
      </c>
      <c r="AEF1542" s="42" t="str">
        <f t="array" aca="1" ref="AEF1542" ca="1">IFERROR(INDEX(nombres[],SMALL(IF(OFFSET(nombres[],0,0,ROWS(nombres[]),1)=AEF$1490,ROW(OFFSET(nombres[],0,0,ROWS(nombres[]),1))-ROW(OFFSET(nombres[],0,0,1,1))+1,ROW(OFFSET(nombres[],ROWS(nombres[])-1,0,1,1))+1),$O1542:$O1561),3),"")</f>
        <v/>
      </c>
      <c r="AEG1542" s="42" t="str">
        <f t="array" aca="1" ref="AEG1542" ca="1">IFERROR(INDEX(nombres[],SMALL(IF(OFFSET(nombres[],0,0,ROWS(nombres[]),1)=AEG$1490,ROW(OFFSET(nombres[],0,0,ROWS(nombres[]),1))-ROW(OFFSET(nombres[],0,0,1,1))+1,ROW(OFFSET(nombres[],ROWS(nombres[])-1,0,1,1))+1),$O1542:$O1561),3),"")</f>
        <v/>
      </c>
      <c r="AEH1542" s="42" t="str">
        <f t="array" aca="1" ref="AEH1542" ca="1">IFERROR(INDEX(nombres[],SMALL(IF(OFFSET(nombres[],0,0,ROWS(nombres[]),1)=AEH$1490,ROW(OFFSET(nombres[],0,0,ROWS(nombres[]),1))-ROW(OFFSET(nombres[],0,0,1,1))+1,ROW(OFFSET(nombres[],ROWS(nombres[])-1,0,1,1))+1),$O1542:$O1561),3),"")</f>
        <v/>
      </c>
      <c r="AEI1542" s="42" t="str">
        <f t="array" aca="1" ref="AEI1542" ca="1">IFERROR(INDEX(nombres[],SMALL(IF(OFFSET(nombres[],0,0,ROWS(nombres[]),1)=AEI$1490,ROW(OFFSET(nombres[],0,0,ROWS(nombres[]),1))-ROW(OFFSET(nombres[],0,0,1,1))+1,ROW(OFFSET(nombres[],ROWS(nombres[])-1,0,1,1))+1),$O1542:$O1561),3),"")</f>
        <v/>
      </c>
      <c r="AEJ1542" s="42" t="str">
        <f t="array" aca="1" ref="AEJ1542" ca="1">IFERROR(INDEX(nombres[],SMALL(IF(OFFSET(nombres[],0,0,ROWS(nombres[]),1)=AEJ$1490,ROW(OFFSET(nombres[],0,0,ROWS(nombres[]),1))-ROW(OFFSET(nombres[],0,0,1,1))+1,ROW(OFFSET(nombres[],ROWS(nombres[])-1,0,1,1))+1),$O1542:$O1561),3),"")</f>
        <v/>
      </c>
      <c r="AEK1542" s="42" t="str">
        <f t="array" aca="1" ref="AEK1542" ca="1">IFERROR(INDEX(nombres[],SMALL(IF(OFFSET(nombres[],0,0,ROWS(nombres[]),1)=AEK$1490,ROW(OFFSET(nombres[],0,0,ROWS(nombres[]),1))-ROW(OFFSET(nombres[],0,0,1,1))+1,ROW(OFFSET(nombres[],ROWS(nombres[])-1,0,1,1))+1),$O1542:$O1561),3),"")</f>
        <v/>
      </c>
      <c r="AEL1542" s="42" t="str">
        <f t="array" aca="1" ref="AEL1542" ca="1">IFERROR(INDEX(nombres[],SMALL(IF(OFFSET(nombres[],0,0,ROWS(nombres[]),1)=AEL$1490,ROW(OFFSET(nombres[],0,0,ROWS(nombres[]),1))-ROW(OFFSET(nombres[],0,0,1,1))+1,ROW(OFFSET(nombres[],ROWS(nombres[])-1,0,1,1))+1),$O1542:$O1561),3),"")</f>
        <v/>
      </c>
      <c r="AEM1542" s="42" t="str">
        <f t="array" aca="1" ref="AEM1542" ca="1">IFERROR(INDEX(nombres[],SMALL(IF(OFFSET(nombres[],0,0,ROWS(nombres[]),1)=AEM$1490,ROW(OFFSET(nombres[],0,0,ROWS(nombres[]),1))-ROW(OFFSET(nombres[],0,0,1,1))+1,ROW(OFFSET(nombres[],ROWS(nombres[])-1,0,1,1))+1),$O1542:$O1561),3),"")</f>
        <v/>
      </c>
      <c r="AEN1542" s="42" t="str">
        <f t="array" aca="1" ref="AEN1542" ca="1">IFERROR(INDEX(nombres[],SMALL(IF(OFFSET(nombres[],0,0,ROWS(nombres[]),1)=AEN$1490,ROW(OFFSET(nombres[],0,0,ROWS(nombres[]),1))-ROW(OFFSET(nombres[],0,0,1,1))+1,ROW(OFFSET(nombres[],ROWS(nombres[])-1,0,1,1))+1),$O1542:$O1561),3),"")</f>
        <v/>
      </c>
      <c r="AEO1542" s="42" t="str">
        <f t="array" aca="1" ref="AEO1542" ca="1">IFERROR(INDEX(nombres[],SMALL(IF(OFFSET(nombres[],0,0,ROWS(nombres[]),1)=AEO$1490,ROW(OFFSET(nombres[],0,0,ROWS(nombres[]),1))-ROW(OFFSET(nombres[],0,0,1,1))+1,ROW(OFFSET(nombres[],ROWS(nombres[])-1,0,1,1))+1),$O1542:$O1561),3),"")</f>
        <v/>
      </c>
      <c r="AEP1542" s="42" t="str">
        <f t="array" aca="1" ref="AEP1542" ca="1">IFERROR(INDEX(nombres[],SMALL(IF(OFFSET(nombres[],0,0,ROWS(nombres[]),1)=AEP$1490,ROW(OFFSET(nombres[],0,0,ROWS(nombres[]),1))-ROW(OFFSET(nombres[],0,0,1,1))+1,ROW(OFFSET(nombres[],ROWS(nombres[])-1,0,1,1))+1),$O1542:$O1561),3),"")</f>
        <v/>
      </c>
      <c r="AEQ1542" s="42" t="str">
        <f t="array" aca="1" ref="AEQ1542" ca="1">IFERROR(INDEX(nombres[],SMALL(IF(OFFSET(nombres[],0,0,ROWS(nombres[]),1)=AEQ$1490,ROW(OFFSET(nombres[],0,0,ROWS(nombres[]),1))-ROW(OFFSET(nombres[],0,0,1,1))+1,ROW(OFFSET(nombres[],ROWS(nombres[])-1,0,1,1))+1),$O1542:$O1561),3),"")</f>
        <v/>
      </c>
      <c r="AER1542" s="42" t="str">
        <f t="array" aca="1" ref="AER1542" ca="1">IFERROR(INDEX(nombres[],SMALL(IF(OFFSET(nombres[],0,0,ROWS(nombres[]),1)=AER$1490,ROW(OFFSET(nombres[],0,0,ROWS(nombres[]),1))-ROW(OFFSET(nombres[],0,0,1,1))+1,ROW(OFFSET(nombres[],ROWS(nombres[])-1,0,1,1))+1),$O1542:$O1561),3),"")</f>
        <v/>
      </c>
      <c r="AES1542" s="42" t="str">
        <f t="array" aca="1" ref="AES1542" ca="1">IFERROR(INDEX(nombres[],SMALL(IF(OFFSET(nombres[],0,0,ROWS(nombres[]),1)=AES$1490,ROW(OFFSET(nombres[],0,0,ROWS(nombres[]),1))-ROW(OFFSET(nombres[],0,0,1,1))+1,ROW(OFFSET(nombres[],ROWS(nombres[])-1,0,1,1))+1),$O1542:$O1561),3),"")</f>
        <v/>
      </c>
      <c r="AET1542" s="42" t="str">
        <f t="array" aca="1" ref="AET1542" ca="1">IFERROR(INDEX(nombres[],SMALL(IF(OFFSET(nombres[],0,0,ROWS(nombres[]),1)=AET$1490,ROW(OFFSET(nombres[],0,0,ROWS(nombres[]),1))-ROW(OFFSET(nombres[],0,0,1,1))+1,ROW(OFFSET(nombres[],ROWS(nombres[])-1,0,1,1))+1),$O1542:$O1561),3),"")</f>
        <v/>
      </c>
      <c r="AEU1542" s="42" t="str">
        <f t="array" aca="1" ref="AEU1542" ca="1">IFERROR(INDEX(nombres[],SMALL(IF(OFFSET(nombres[],0,0,ROWS(nombres[]),1)=AEU$1490,ROW(OFFSET(nombres[],0,0,ROWS(nombres[]),1))-ROW(OFFSET(nombres[],0,0,1,1))+1,ROW(OFFSET(nombres[],ROWS(nombres[])-1,0,1,1))+1),$O1542:$O1561),3),"")</f>
        <v/>
      </c>
      <c r="AEV1542" s="42" t="str">
        <f t="array" aca="1" ref="AEV1542" ca="1">IFERROR(INDEX(nombres[],SMALL(IF(OFFSET(nombres[],0,0,ROWS(nombres[]),1)=AEV$1490,ROW(OFFSET(nombres[],0,0,ROWS(nombres[]),1))-ROW(OFFSET(nombres[],0,0,1,1))+1,ROW(OFFSET(nombres[],ROWS(nombres[])-1,0,1,1))+1),$O1542:$O1561),3),"")</f>
        <v/>
      </c>
      <c r="AEW1542" s="42" t="str">
        <f t="array" aca="1" ref="AEW1542" ca="1">IFERROR(INDEX(nombres[],SMALL(IF(OFFSET(nombres[],0,0,ROWS(nombres[]),1)=AEW$1490,ROW(OFFSET(nombres[],0,0,ROWS(nombres[]),1))-ROW(OFFSET(nombres[],0,0,1,1))+1,ROW(OFFSET(nombres[],ROWS(nombres[])-1,0,1,1))+1),$O1542:$O1561),3),"")</f>
        <v/>
      </c>
      <c r="AEX1542" s="42" t="str">
        <f t="array" aca="1" ref="AEX1542" ca="1">IFERROR(INDEX(nombres[],SMALL(IF(OFFSET(nombres[],0,0,ROWS(nombres[]),1)=AEX$1490,ROW(OFFSET(nombres[],0,0,ROWS(nombres[]),1))-ROW(OFFSET(nombres[],0,0,1,1))+1,ROW(OFFSET(nombres[],ROWS(nombres[])-1,0,1,1))+1),$O1542:$O1561),3),"")</f>
        <v/>
      </c>
      <c r="AEY1542" s="42" t="str">
        <f t="array" aca="1" ref="AEY1542" ca="1">IFERROR(INDEX(nombres[],SMALL(IF(OFFSET(nombres[],0,0,ROWS(nombres[]),1)=AEY$1490,ROW(OFFSET(nombres[],0,0,ROWS(nombres[]),1))-ROW(OFFSET(nombres[],0,0,1,1))+1,ROW(OFFSET(nombres[],ROWS(nombres[])-1,0,1,1))+1),$O1542:$O1561),3),"")</f>
        <v/>
      </c>
      <c r="AEZ1542" s="42" t="str">
        <f t="array" aca="1" ref="AEZ1542" ca="1">IFERROR(INDEX(nombres[],SMALL(IF(OFFSET(nombres[],0,0,ROWS(nombres[]),1)=AEZ$1490,ROW(OFFSET(nombres[],0,0,ROWS(nombres[]),1))-ROW(OFFSET(nombres[],0,0,1,1))+1,ROW(OFFSET(nombres[],ROWS(nombres[])-1,0,1,1))+1),$O1542:$O1561),3),"")</f>
        <v/>
      </c>
      <c r="AFA1542" s="42" t="str">
        <f t="array" aca="1" ref="AFA1542" ca="1">IFERROR(INDEX(nombres[],SMALL(IF(OFFSET(nombres[],0,0,ROWS(nombres[]),1)=AFA$1490,ROW(OFFSET(nombres[],0,0,ROWS(nombres[]),1))-ROW(OFFSET(nombres[],0,0,1,1))+1,ROW(OFFSET(nombres[],ROWS(nombres[])-1,0,1,1))+1),$O1542:$O1561),3),"")</f>
        <v/>
      </c>
      <c r="AFB1542" s="42" t="str">
        <f t="array" aca="1" ref="AFB1542" ca="1">IFERROR(INDEX(nombres[],SMALL(IF(OFFSET(nombres[],0,0,ROWS(nombres[]),1)=AFB$1490,ROW(OFFSET(nombres[],0,0,ROWS(nombres[]),1))-ROW(OFFSET(nombres[],0,0,1,1))+1,ROW(OFFSET(nombres[],ROWS(nombres[])-1,0,1,1))+1),$O1542:$O1561),3),"")</f>
        <v/>
      </c>
      <c r="AFC1542" s="42" t="str">
        <f t="array" aca="1" ref="AFC1542" ca="1">IFERROR(INDEX(nombres[],SMALL(IF(OFFSET(nombres[],0,0,ROWS(nombres[]),1)=AFC$1490,ROW(OFFSET(nombres[],0,0,ROWS(nombres[]),1))-ROW(OFFSET(nombres[],0,0,1,1))+1,ROW(OFFSET(nombres[],ROWS(nombres[])-1,0,1,1))+1),$O1542:$O1561),3),"")</f>
        <v/>
      </c>
      <c r="AFD1542" s="42" t="str">
        <f t="array" aca="1" ref="AFD1542" ca="1">IFERROR(INDEX(nombres[],SMALL(IF(OFFSET(nombres[],0,0,ROWS(nombres[]),1)=AFD$1490,ROW(OFFSET(nombres[],0,0,ROWS(nombres[]),1))-ROW(OFFSET(nombres[],0,0,1,1))+1,ROW(OFFSET(nombres[],ROWS(nombres[])-1,0,1,1))+1),$O1542:$O1561),3),"")</f>
        <v/>
      </c>
      <c r="AFE1542" s="42" t="str">
        <f t="array" aca="1" ref="AFE1542" ca="1">IFERROR(INDEX(nombres[],SMALL(IF(OFFSET(nombres[],0,0,ROWS(nombres[]),1)=AFE$1490,ROW(OFFSET(nombres[],0,0,ROWS(nombres[]),1))-ROW(OFFSET(nombres[],0,0,1,1))+1,ROW(OFFSET(nombres[],ROWS(nombres[])-1,0,1,1))+1),$O1542:$O1561),3),"")</f>
        <v/>
      </c>
      <c r="AFF1542" s="42" t="str">
        <f t="array" aca="1" ref="AFF1542" ca="1">IFERROR(INDEX(nombres[],SMALL(IF(OFFSET(nombres[],0,0,ROWS(nombres[]),1)=AFF$1490,ROW(OFFSET(nombres[],0,0,ROWS(nombres[]),1))-ROW(OFFSET(nombres[],0,0,1,1))+1,ROW(OFFSET(nombres[],ROWS(nombres[])-1,0,1,1))+1),$O1542:$O1561),3),"")</f>
        <v/>
      </c>
      <c r="AFG1542" s="42" t="str">
        <f t="array" aca="1" ref="AFG1542" ca="1">IFERROR(INDEX(nombres[],SMALL(IF(OFFSET(nombres[],0,0,ROWS(nombres[]),1)=AFG$1490,ROW(OFFSET(nombres[],0,0,ROWS(nombres[]),1))-ROW(OFFSET(nombres[],0,0,1,1))+1,ROW(OFFSET(nombres[],ROWS(nombres[])-1,0,1,1))+1),$O1542:$O1561),3),"")</f>
        <v/>
      </c>
      <c r="AFH1542" s="42" t="str">
        <f t="array" aca="1" ref="AFH1542" ca="1">IFERROR(INDEX(nombres[],SMALL(IF(OFFSET(nombres[],0,0,ROWS(nombres[]),1)=AFH$1490,ROW(OFFSET(nombres[],0,0,ROWS(nombres[]),1))-ROW(OFFSET(nombres[],0,0,1,1))+1,ROW(OFFSET(nombres[],ROWS(nombres[])-1,0,1,1))+1),$O1542:$O1561),3),"")</f>
        <v/>
      </c>
      <c r="AFI1542" s="42" t="str">
        <f t="array" aca="1" ref="AFI1542" ca="1">IFERROR(INDEX(nombres[],SMALL(IF(OFFSET(nombres[],0,0,ROWS(nombres[]),1)=AFI$1490,ROW(OFFSET(nombres[],0,0,ROWS(nombres[]),1))-ROW(OFFSET(nombres[],0,0,1,1))+1,ROW(OFFSET(nombres[],ROWS(nombres[])-1,0,1,1))+1),$O1542:$O1561),3),"")</f>
        <v/>
      </c>
      <c r="AFJ1542" s="42" t="str">
        <f t="array" aca="1" ref="AFJ1542" ca="1">IFERROR(INDEX(nombres[],SMALL(IF(OFFSET(nombres[],0,0,ROWS(nombres[]),1)=AFJ$1490,ROW(OFFSET(nombres[],0,0,ROWS(nombres[]),1))-ROW(OFFSET(nombres[],0,0,1,1))+1,ROW(OFFSET(nombres[],ROWS(nombres[])-1,0,1,1))+1),$O1542:$O1561),3),"")</f>
        <v/>
      </c>
      <c r="AFK1542" s="42" t="str">
        <f t="array" aca="1" ref="AFK1542" ca="1">IFERROR(INDEX(nombres[],SMALL(IF(OFFSET(nombres[],0,0,ROWS(nombres[]),1)=AFK$1490,ROW(OFFSET(nombres[],0,0,ROWS(nombres[]),1))-ROW(OFFSET(nombres[],0,0,1,1))+1,ROW(OFFSET(nombres[],ROWS(nombres[])-1,0,1,1))+1),$O1542:$O1561),3),"")</f>
        <v/>
      </c>
      <c r="AFL1542" s="42" t="str">
        <f t="array" aca="1" ref="AFL1542" ca="1">IFERROR(INDEX(nombres[],SMALL(IF(OFFSET(nombres[],0,0,ROWS(nombres[]),1)=AFL$1490,ROW(OFFSET(nombres[],0,0,ROWS(nombres[]),1))-ROW(OFFSET(nombres[],0,0,1,1))+1,ROW(OFFSET(nombres[],ROWS(nombres[])-1,0,1,1))+1),$O1542:$O1561),3),"")</f>
        <v/>
      </c>
      <c r="AFM1542" s="42" t="str">
        <f t="array" aca="1" ref="AFM1542" ca="1">IFERROR(INDEX(nombres[],SMALL(IF(OFFSET(nombres[],0,0,ROWS(nombres[]),1)=AFM$1490,ROW(OFFSET(nombres[],0,0,ROWS(nombres[]),1))-ROW(OFFSET(nombres[],0,0,1,1))+1,ROW(OFFSET(nombres[],ROWS(nombres[])-1,0,1,1))+1),$O1542:$O1561),3),"")</f>
        <v/>
      </c>
      <c r="AFN1542" s="42" t="str">
        <f t="array" aca="1" ref="AFN1542" ca="1">IFERROR(INDEX(nombres[],SMALL(IF(OFFSET(nombres[],0,0,ROWS(nombres[]),1)=AFN$1490,ROW(OFFSET(nombres[],0,0,ROWS(nombres[]),1))-ROW(OFFSET(nombres[],0,0,1,1))+1,ROW(OFFSET(nombres[],ROWS(nombres[])-1,0,1,1))+1),$O1542:$O1561),3),"")</f>
        <v/>
      </c>
      <c r="AFO1542" s="42" t="str">
        <f t="array" aca="1" ref="AFO1542" ca="1">IFERROR(INDEX(nombres[],SMALL(IF(OFFSET(nombres[],0,0,ROWS(nombres[]),1)=AFO$1490,ROW(OFFSET(nombres[],0,0,ROWS(nombres[]),1))-ROW(OFFSET(nombres[],0,0,1,1))+1,ROW(OFFSET(nombres[],ROWS(nombres[])-1,0,1,1))+1),$O1542:$O1561),3),"")</f>
        <v/>
      </c>
      <c r="AFP1542" s="42" t="str">
        <f t="array" aca="1" ref="AFP1542" ca="1">IFERROR(INDEX(nombres[],SMALL(IF(OFFSET(nombres[],0,0,ROWS(nombres[]),1)=AFP$1490,ROW(OFFSET(nombres[],0,0,ROWS(nombres[]),1))-ROW(OFFSET(nombres[],0,0,1,1))+1,ROW(OFFSET(nombres[],ROWS(nombres[])-1,0,1,1))+1),$O1542:$O1561),3),"")</f>
        <v/>
      </c>
      <c r="AFQ1542" s="42" t="str">
        <f t="array" aca="1" ref="AFQ1542" ca="1">IFERROR(INDEX(nombres[],SMALL(IF(OFFSET(nombres[],0,0,ROWS(nombres[]),1)=AFQ$1490,ROW(OFFSET(nombres[],0,0,ROWS(nombres[]),1))-ROW(OFFSET(nombres[],0,0,1,1))+1,ROW(OFFSET(nombres[],ROWS(nombres[])-1,0,1,1))+1),$O1542:$O1561),3),"")</f>
        <v/>
      </c>
      <c r="AFR1542" s="42" t="str">
        <f t="array" aca="1" ref="AFR1542" ca="1">IFERROR(INDEX(nombres[],SMALL(IF(OFFSET(nombres[],0,0,ROWS(nombres[]),1)=AFR$1490,ROW(OFFSET(nombres[],0,0,ROWS(nombres[]),1))-ROW(OFFSET(nombres[],0,0,1,1))+1,ROW(OFFSET(nombres[],ROWS(nombres[])-1,0,1,1))+1),$O1542:$O1561),3),"")</f>
        <v/>
      </c>
      <c r="AFS1542" s="42" t="str">
        <f t="array" aca="1" ref="AFS1542" ca="1">IFERROR(INDEX(nombres[],SMALL(IF(OFFSET(nombres[],0,0,ROWS(nombres[]),1)=AFS$1490,ROW(OFFSET(nombres[],0,0,ROWS(nombres[]),1))-ROW(OFFSET(nombres[],0,0,1,1))+1,ROW(OFFSET(nombres[],ROWS(nombres[])-1,0,1,1))+1),$O1542:$O1561),3),"")</f>
        <v/>
      </c>
      <c r="AFT1542" s="42" t="str">
        <f t="array" aca="1" ref="AFT1542" ca="1">IFERROR(INDEX(nombres[],SMALL(IF(OFFSET(nombres[],0,0,ROWS(nombres[]),1)=AFT$1490,ROW(OFFSET(nombres[],0,0,ROWS(nombres[]),1))-ROW(OFFSET(nombres[],0,0,1,1))+1,ROW(OFFSET(nombres[],ROWS(nombres[])-1,0,1,1))+1),$O1542:$O1561),3),"")</f>
        <v/>
      </c>
      <c r="AFU1542" s="42" t="str">
        <f t="array" aca="1" ref="AFU1542" ca="1">IFERROR(INDEX(nombres[],SMALL(IF(OFFSET(nombres[],0,0,ROWS(nombres[]),1)=AFU$1490,ROW(OFFSET(nombres[],0,0,ROWS(nombres[]),1))-ROW(OFFSET(nombres[],0,0,1,1))+1,ROW(OFFSET(nombres[],ROWS(nombres[])-1,0,1,1))+1),$O1542:$O1561),3),"")</f>
        <v/>
      </c>
      <c r="AFV1542" s="42" t="str">
        <f t="array" aca="1" ref="AFV1542" ca="1">IFERROR(INDEX(nombres[],SMALL(IF(OFFSET(nombres[],0,0,ROWS(nombres[]),1)=AFV$1490,ROW(OFFSET(nombres[],0,0,ROWS(nombres[]),1))-ROW(OFFSET(nombres[],0,0,1,1))+1,ROW(OFFSET(nombres[],ROWS(nombres[])-1,0,1,1))+1),$O1542:$O1561),3),"")</f>
        <v/>
      </c>
      <c r="AFW1542" s="42" t="str">
        <f t="array" aca="1" ref="AFW1542" ca="1">IFERROR(INDEX(nombres[],SMALL(IF(OFFSET(nombres[],0,0,ROWS(nombres[]),1)=AFW$1490,ROW(OFFSET(nombres[],0,0,ROWS(nombres[]),1))-ROW(OFFSET(nombres[],0,0,1,1))+1,ROW(OFFSET(nombres[],ROWS(nombres[])-1,0,1,1))+1),$O1542:$O1561),3),"")</f>
        <v/>
      </c>
      <c r="AFX1542" s="42" t="str">
        <f t="array" aca="1" ref="AFX1542" ca="1">IFERROR(INDEX(nombres[],SMALL(IF(OFFSET(nombres[],0,0,ROWS(nombres[]),1)=AFX$1490,ROW(OFFSET(nombres[],0,0,ROWS(nombres[]),1))-ROW(OFFSET(nombres[],0,0,1,1))+1,ROW(OFFSET(nombres[],ROWS(nombres[])-1,0,1,1))+1),$O1542:$O1561),3),"")</f>
        <v/>
      </c>
      <c r="AFY1542" s="42" t="str">
        <f t="array" aca="1" ref="AFY1542" ca="1">IFERROR(INDEX(nombres[],SMALL(IF(OFFSET(nombres[],0,0,ROWS(nombres[]),1)=AFY$1490,ROW(OFFSET(nombres[],0,0,ROWS(nombres[]),1))-ROW(OFFSET(nombres[],0,0,1,1))+1,ROW(OFFSET(nombres[],ROWS(nombres[])-1,0,1,1))+1),$O1542:$O1561),3),"")</f>
        <v/>
      </c>
      <c r="AFZ1542" s="42" t="str">
        <f t="array" aca="1" ref="AFZ1542" ca="1">IFERROR(INDEX(nombres[],SMALL(IF(OFFSET(nombres[],0,0,ROWS(nombres[]),1)=AFZ$1490,ROW(OFFSET(nombres[],0,0,ROWS(nombres[]),1))-ROW(OFFSET(nombres[],0,0,1,1))+1,ROW(OFFSET(nombres[],ROWS(nombres[])-1,0,1,1))+1),$O1542:$O1561),3),"")</f>
        <v/>
      </c>
      <c r="AGA1542" s="42" t="str">
        <f t="array" aca="1" ref="AGA1542" ca="1">IFERROR(INDEX(nombres[],SMALL(IF(OFFSET(nombres[],0,0,ROWS(nombres[]),1)=AGA$1490,ROW(OFFSET(nombres[],0,0,ROWS(nombres[]),1))-ROW(OFFSET(nombres[],0,0,1,1))+1,ROW(OFFSET(nombres[],ROWS(nombres[])-1,0,1,1))+1),$O1542:$O1561),3),"")</f>
        <v/>
      </c>
      <c r="AGB1542" s="42" t="str">
        <f t="array" aca="1" ref="AGB1542" ca="1">IFERROR(INDEX(nombres[],SMALL(IF(OFFSET(nombres[],0,0,ROWS(nombres[]),1)=AGB$1490,ROW(OFFSET(nombres[],0,0,ROWS(nombres[]),1))-ROW(OFFSET(nombres[],0,0,1,1))+1,ROW(OFFSET(nombres[],ROWS(nombres[])-1,0,1,1))+1),$O1542:$O1561),3),"")</f>
        <v/>
      </c>
      <c r="AGC1542" s="42" t="str">
        <f t="array" aca="1" ref="AGC1542" ca="1">IFERROR(INDEX(nombres[],SMALL(IF(OFFSET(nombres[],0,0,ROWS(nombres[]),1)=AGC$1490,ROW(OFFSET(nombres[],0,0,ROWS(nombres[]),1))-ROW(OFFSET(nombres[],0,0,1,1))+1,ROW(OFFSET(nombres[],ROWS(nombres[])-1,0,1,1))+1),$O1542:$O1561),3),"")</f>
        <v/>
      </c>
      <c r="AGD1542" s="42" t="str">
        <f t="array" aca="1" ref="AGD1542" ca="1">IFERROR(INDEX(nombres[],SMALL(IF(OFFSET(nombres[],0,0,ROWS(nombres[]),1)=AGD$1490,ROW(OFFSET(nombres[],0,0,ROWS(nombres[]),1))-ROW(OFFSET(nombres[],0,0,1,1))+1,ROW(OFFSET(nombres[],ROWS(nombres[])-1,0,1,1))+1),$O1542:$O1561),3),"")</f>
        <v/>
      </c>
      <c r="AGE1542" s="42" t="str">
        <f t="array" aca="1" ref="AGE1542" ca="1">IFERROR(INDEX(nombres[],SMALL(IF(OFFSET(nombres[],0,0,ROWS(nombres[]),1)=AGE$1490,ROW(OFFSET(nombres[],0,0,ROWS(nombres[]),1))-ROW(OFFSET(nombres[],0,0,1,1))+1,ROW(OFFSET(nombres[],ROWS(nombres[])-1,0,1,1))+1),$O1542:$O1561),3),"")</f>
        <v/>
      </c>
      <c r="AGF1542" s="42" t="str">
        <f t="array" aca="1" ref="AGF1542" ca="1">IFERROR(INDEX(nombres[],SMALL(IF(OFFSET(nombres[],0,0,ROWS(nombres[]),1)=AGF$1490,ROW(OFFSET(nombres[],0,0,ROWS(nombres[]),1))-ROW(OFFSET(nombres[],0,0,1,1))+1,ROW(OFFSET(nombres[],ROWS(nombres[])-1,0,1,1))+1),$O1542:$O1561),3),"")</f>
        <v/>
      </c>
      <c r="AGG1542" s="42" t="str">
        <f t="array" aca="1" ref="AGG1542" ca="1">IFERROR(INDEX(nombres[],SMALL(IF(OFFSET(nombres[],0,0,ROWS(nombres[]),1)=AGG$1490,ROW(OFFSET(nombres[],0,0,ROWS(nombres[]),1))-ROW(OFFSET(nombres[],0,0,1,1))+1,ROW(OFFSET(nombres[],ROWS(nombres[])-1,0,1,1))+1),$O1542:$O1561),3),"")</f>
        <v/>
      </c>
      <c r="AGH1542" s="42" t="str">
        <f t="array" aca="1" ref="AGH1542" ca="1">IFERROR(INDEX(nombres[],SMALL(IF(OFFSET(nombres[],0,0,ROWS(nombres[]),1)=AGH$1490,ROW(OFFSET(nombres[],0,0,ROWS(nombres[]),1))-ROW(OFFSET(nombres[],0,0,1,1))+1,ROW(OFFSET(nombres[],ROWS(nombres[])-1,0,1,1))+1),$O1542:$O1561),3),"")</f>
        <v/>
      </c>
      <c r="AGI1542" s="42" t="str">
        <f t="array" aca="1" ref="AGI1542" ca="1">IFERROR(INDEX(nombres[],SMALL(IF(OFFSET(nombres[],0,0,ROWS(nombres[]),1)=AGI$1490,ROW(OFFSET(nombres[],0,0,ROWS(nombres[]),1))-ROW(OFFSET(nombres[],0,0,1,1))+1,ROW(OFFSET(nombres[],ROWS(nombres[])-1,0,1,1))+1),$O1542:$O1561),3),"")</f>
        <v/>
      </c>
      <c r="AGJ1542" s="42" t="str">
        <f t="array" aca="1" ref="AGJ1542" ca="1">IFERROR(INDEX(nombres[],SMALL(IF(OFFSET(nombres[],0,0,ROWS(nombres[]),1)=AGJ$1490,ROW(OFFSET(nombres[],0,0,ROWS(nombres[]),1))-ROW(OFFSET(nombres[],0,0,1,1))+1,ROW(OFFSET(nombres[],ROWS(nombres[])-1,0,1,1))+1),$O1542:$O1561),3),"")</f>
        <v/>
      </c>
      <c r="AGK1542" s="42" t="str">
        <f t="array" aca="1" ref="AGK1542" ca="1">IFERROR(INDEX(nombres[],SMALL(IF(OFFSET(nombres[],0,0,ROWS(nombres[]),1)=AGK$1490,ROW(OFFSET(nombres[],0,0,ROWS(nombres[]),1))-ROW(OFFSET(nombres[],0,0,1,1))+1,ROW(OFFSET(nombres[],ROWS(nombres[])-1,0,1,1))+1),$O1542:$O1561),3),"")</f>
        <v/>
      </c>
      <c r="AGL1542" s="42" t="str">
        <f t="array" aca="1" ref="AGL1542" ca="1">IFERROR(INDEX(nombres[],SMALL(IF(OFFSET(nombres[],0,0,ROWS(nombres[]),1)=AGL$1490,ROW(OFFSET(nombres[],0,0,ROWS(nombres[]),1))-ROW(OFFSET(nombres[],0,0,1,1))+1,ROW(OFFSET(nombres[],ROWS(nombres[])-1,0,1,1))+1),$O1542:$O1561),3),"")</f>
        <v/>
      </c>
      <c r="AGM1542" s="42" t="str">
        <f t="array" aca="1" ref="AGM1542" ca="1">IFERROR(INDEX(nombres[],SMALL(IF(OFFSET(nombres[],0,0,ROWS(nombres[]),1)=AGM$1490,ROW(OFFSET(nombres[],0,0,ROWS(nombres[]),1))-ROW(OFFSET(nombres[],0,0,1,1))+1,ROW(OFFSET(nombres[],ROWS(nombres[])-1,0,1,1))+1),$O1542:$O1561),3),"")</f>
        <v/>
      </c>
      <c r="AGN1542" s="42" t="str">
        <f t="array" aca="1" ref="AGN1542" ca="1">IFERROR(INDEX(nombres[],SMALL(IF(OFFSET(nombres[],0,0,ROWS(nombres[]),1)=AGN$1490,ROW(OFFSET(nombres[],0,0,ROWS(nombres[]),1))-ROW(OFFSET(nombres[],0,0,1,1))+1,ROW(OFFSET(nombres[],ROWS(nombres[])-1,0,1,1))+1),$O1542:$O1561),3),"")</f>
        <v/>
      </c>
    </row>
    <row r="1543" spans="15:872" x14ac:dyDescent="0.25">
      <c r="O1543" s="42">
        <v>7</v>
      </c>
      <c r="P1543" s="42" t="str">
        <f t="array" aca="1" ref="P1543" ca="1">IFERROR(INDEX(nombres[],SMALL(IF(OFFSET(nombres[],0,0,ROWS(nombres[]),1)=P$1490,ROW(OFFSET(nombres[],0,0,ROWS(nombres[]),1))-ROW(OFFSET(nombres[],0,0,1,1))+1,ROW(OFFSET(nombres[],ROWS(nombres[])-1,0,1,1))+1),$O1543:$O1562),3),"")</f>
        <v/>
      </c>
      <c r="Q1543" s="42" t="str">
        <f t="array" aca="1" ref="Q1543" ca="1">IFERROR(INDEX(nombres[],SMALL(IF(OFFSET(nombres[],0,0,ROWS(nombres[]),1)=Q$1490,ROW(OFFSET(nombres[],0,0,ROWS(nombres[]),1))-ROW(OFFSET(nombres[],0,0,1,1))+1,ROW(OFFSET(nombres[],ROWS(nombres[])-1,0,1,1))+1),$O1543:$O1562),3),"")</f>
        <v/>
      </c>
      <c r="R1543" s="42" t="str">
        <f t="array" aca="1" ref="R1543" ca="1">IFERROR(INDEX(nombres[],SMALL(IF(OFFSET(nombres[],0,0,ROWS(nombres[]),1)=R$1490,ROW(OFFSET(nombres[],0,0,ROWS(nombres[]),1))-ROW(OFFSET(nombres[],0,0,1,1))+1,ROW(OFFSET(nombres[],ROWS(nombres[])-1,0,1,1))+1),$O1543:$O1562),3),"")</f>
        <v/>
      </c>
      <c r="S1543" s="42" t="str">
        <f t="array" aca="1" ref="S1543" ca="1">IFERROR(INDEX(nombres[],SMALL(IF(OFFSET(nombres[],0,0,ROWS(nombres[]),1)=S$1490,ROW(OFFSET(nombres[],0,0,ROWS(nombres[]),1))-ROW(OFFSET(nombres[],0,0,1,1))+1,ROW(OFFSET(nombres[],ROWS(nombres[])-1,0,1,1))+1),$O1543:$O1562),3),"")</f>
        <v/>
      </c>
      <c r="T1543" s="42" t="str">
        <f t="array" aca="1" ref="T1543" ca="1">IFERROR(INDEX(nombres[],SMALL(IF(OFFSET(nombres[],0,0,ROWS(nombres[]),1)=T$1490,ROW(OFFSET(nombres[],0,0,ROWS(nombres[]),1))-ROW(OFFSET(nombres[],0,0,1,1))+1,ROW(OFFSET(nombres[],ROWS(nombres[])-1,0,1,1))+1),$O1543:$O1562),3),"")</f>
        <v/>
      </c>
      <c r="U1543" s="42" t="str">
        <f t="array" aca="1" ref="U1543" ca="1">IFERROR(INDEX(nombres[],SMALL(IF(OFFSET(nombres[],0,0,ROWS(nombres[]),1)=U$1490,ROW(OFFSET(nombres[],0,0,ROWS(nombres[]),1))-ROW(OFFSET(nombres[],0,0,1,1))+1,ROW(OFFSET(nombres[],ROWS(nombres[])-1,0,1,1))+1),$O1543:$O1562),3),"")</f>
        <v/>
      </c>
      <c r="V1543" s="42" t="str">
        <f t="array" aca="1" ref="V1543" ca="1">IFERROR(INDEX(nombres[],SMALL(IF(OFFSET(nombres[],0,0,ROWS(nombres[]),1)=V$1490,ROW(OFFSET(nombres[],0,0,ROWS(nombres[]),1))-ROW(OFFSET(nombres[],0,0,1,1))+1,ROW(OFFSET(nombres[],ROWS(nombres[])-1,0,1,1))+1),$O1543:$O1562),3),"")</f>
        <v/>
      </c>
      <c r="W1543" s="42" t="str">
        <f t="array" aca="1" ref="W1543" ca="1">IFERROR(INDEX(nombres[],SMALL(IF(OFFSET(nombres[],0,0,ROWS(nombres[]),1)=W$1490,ROW(OFFSET(nombres[],0,0,ROWS(nombres[]),1))-ROW(OFFSET(nombres[],0,0,1,1))+1,ROW(OFFSET(nombres[],ROWS(nombres[])-1,0,1,1))+1),$O1543:$O1562),3),"")</f>
        <v/>
      </c>
      <c r="X1543" s="42" t="str">
        <f t="array" aca="1" ref="X1543" ca="1">IFERROR(INDEX(nombres[],SMALL(IF(OFFSET(nombres[],0,0,ROWS(nombres[]),1)=X$1490,ROW(OFFSET(nombres[],0,0,ROWS(nombres[]),1))-ROW(OFFSET(nombres[],0,0,1,1))+1,ROW(OFFSET(nombres[],ROWS(nombres[])-1,0,1,1))+1),$O1543:$O1562),3),"")</f>
        <v/>
      </c>
      <c r="Y1543" s="42" t="str">
        <f t="array" aca="1" ref="Y1543" ca="1">IFERROR(INDEX(nombres[],SMALL(IF(OFFSET(nombres[],0,0,ROWS(nombres[]),1)=Y$1490,ROW(OFFSET(nombres[],0,0,ROWS(nombres[]),1))-ROW(OFFSET(nombres[],0,0,1,1))+1,ROW(OFFSET(nombres[],ROWS(nombres[])-1,0,1,1))+1),$O1543:$O1562),3),"")</f>
        <v/>
      </c>
      <c r="Z1543" s="42" t="str">
        <f t="array" aca="1" ref="Z1543" ca="1">IFERROR(INDEX(nombres[],SMALL(IF(OFFSET(nombres[],0,0,ROWS(nombres[]),1)=Z$1490,ROW(OFFSET(nombres[],0,0,ROWS(nombres[]),1))-ROW(OFFSET(nombres[],0,0,1,1))+1,ROW(OFFSET(nombres[],ROWS(nombres[])-1,0,1,1))+1),$O1543:$O1562),3),"")</f>
        <v/>
      </c>
      <c r="AA1543" s="42" t="str">
        <f t="array" aca="1" ref="AA1543" ca="1">IFERROR(INDEX(nombres[],SMALL(IF(OFFSET(nombres[],0,0,ROWS(nombres[]),1)=AA$1490,ROW(OFFSET(nombres[],0,0,ROWS(nombres[]),1))-ROW(OFFSET(nombres[],0,0,1,1))+1,ROW(OFFSET(nombres[],ROWS(nombres[])-1,0,1,1))+1),$O1543:$O1562),3),"")</f>
        <v/>
      </c>
      <c r="AB1543" s="42" t="str">
        <f t="array" aca="1" ref="AB1543" ca="1">IFERROR(INDEX(nombres[],SMALL(IF(OFFSET(nombres[],0,0,ROWS(nombres[]),1)=AB$1490,ROW(OFFSET(nombres[],0,0,ROWS(nombres[]),1))-ROW(OFFSET(nombres[],0,0,1,1))+1,ROW(OFFSET(nombres[],ROWS(nombres[])-1,0,1,1))+1),$O1543:$O1562),3),"")</f>
        <v/>
      </c>
      <c r="AC1543" s="42" t="str">
        <f t="array" aca="1" ref="AC1543" ca="1">IFERROR(INDEX(nombres[],SMALL(IF(OFFSET(nombres[],0,0,ROWS(nombres[]),1)=AC$1490,ROW(OFFSET(nombres[],0,0,ROWS(nombres[]),1))-ROW(OFFSET(nombres[],0,0,1,1))+1,ROW(OFFSET(nombres[],ROWS(nombres[])-1,0,1,1))+1),$O1543:$O1562),3),"")</f>
        <v/>
      </c>
      <c r="AD1543" s="42" t="str">
        <f t="array" aca="1" ref="AD1543" ca="1">IFERROR(INDEX(nombres[],SMALL(IF(OFFSET(nombres[],0,0,ROWS(nombres[]),1)=AD$1490,ROW(OFFSET(nombres[],0,0,ROWS(nombres[]),1))-ROW(OFFSET(nombres[],0,0,1,1))+1,ROW(OFFSET(nombres[],ROWS(nombres[])-1,0,1,1))+1),$O1543:$O1562),3),"")</f>
        <v/>
      </c>
      <c r="AE1543" s="42" t="str">
        <f t="array" aca="1" ref="AE1543" ca="1">IFERROR(INDEX(nombres[],SMALL(IF(OFFSET(nombres[],0,0,ROWS(nombres[]),1)=AE$1490,ROW(OFFSET(nombres[],0,0,ROWS(nombres[]),1))-ROW(OFFSET(nombres[],0,0,1,1))+1,ROW(OFFSET(nombres[],ROWS(nombres[])-1,0,1,1))+1),$O1543:$O1562),3),"")</f>
        <v/>
      </c>
      <c r="AF1543" s="42" t="str">
        <f t="array" aca="1" ref="AF1543" ca="1">IFERROR(INDEX(nombres[],SMALL(IF(OFFSET(nombres[],0,0,ROWS(nombres[]),1)=AF$1490,ROW(OFFSET(nombres[],0,0,ROWS(nombres[]),1))-ROW(OFFSET(nombres[],0,0,1,1))+1,ROW(OFFSET(nombres[],ROWS(nombres[])-1,0,1,1))+1),$O1543:$O1562),3),"")</f>
        <v/>
      </c>
      <c r="AG1543" s="42" t="str">
        <f t="array" aca="1" ref="AG1543" ca="1">IFERROR(INDEX(nombres[],SMALL(IF(OFFSET(nombres[],0,0,ROWS(nombres[]),1)=AG$1490,ROW(OFFSET(nombres[],0,0,ROWS(nombres[]),1))-ROW(OFFSET(nombres[],0,0,1,1))+1,ROW(OFFSET(nombres[],ROWS(nombres[])-1,0,1,1))+1),$O1543:$O1562),3),"")</f>
        <v/>
      </c>
      <c r="AH1543" s="42" t="str">
        <f t="array" aca="1" ref="AH1543" ca="1">IFERROR(INDEX(nombres[],SMALL(IF(OFFSET(nombres[],0,0,ROWS(nombres[]),1)=AH$1490,ROW(OFFSET(nombres[],0,0,ROWS(nombres[]),1))-ROW(OFFSET(nombres[],0,0,1,1))+1,ROW(OFFSET(nombres[],ROWS(nombres[])-1,0,1,1))+1),$O1543:$O1562),3),"")</f>
        <v/>
      </c>
      <c r="AI1543" s="42" t="str">
        <f t="array" aca="1" ref="AI1543" ca="1">IFERROR(INDEX(nombres[],SMALL(IF(OFFSET(nombres[],0,0,ROWS(nombres[]),1)=AI$1490,ROW(OFFSET(nombres[],0,0,ROWS(nombres[]),1))-ROW(OFFSET(nombres[],0,0,1,1))+1,ROW(OFFSET(nombres[],ROWS(nombres[])-1,0,1,1))+1),$O1543:$O1562),3),"")</f>
        <v/>
      </c>
      <c r="AJ1543" s="42">
        <f t="array" aca="1" ref="AJ1543" ca="1">IFERROR(INDEX(nombres[],SMALL(IF(OFFSET(nombres[],0,0,ROWS(nombres[]),1)=AJ$1490,ROW(OFFSET(nombres[],0,0,ROWS(nombres[]),1))-ROW(OFFSET(nombres[],0,0,1,1))+1,ROW(OFFSET(nombres[],ROWS(nombres[])-1,0,1,1))+1),$O1543:$O1562),3),"")</f>
        <v>16</v>
      </c>
      <c r="AK1543" s="42" t="str">
        <f t="array" aca="1" ref="AK1543" ca="1">IFERROR(INDEX(nombres[],SMALL(IF(OFFSET(nombres[],0,0,ROWS(nombres[]),1)=AK$1490,ROW(OFFSET(nombres[],0,0,ROWS(nombres[]),1))-ROW(OFFSET(nombres[],0,0,1,1))+1,ROW(OFFSET(nombres[],ROWS(nombres[])-1,0,1,1))+1),$O1543:$O1562),3),"")</f>
        <v/>
      </c>
      <c r="AL1543" s="42" t="str">
        <f t="array" aca="1" ref="AL1543" ca="1">IFERROR(INDEX(nombres[],SMALL(IF(OFFSET(nombres[],0,0,ROWS(nombres[]),1)=AL$1490,ROW(OFFSET(nombres[],0,0,ROWS(nombres[]),1))-ROW(OFFSET(nombres[],0,0,1,1))+1,ROW(OFFSET(nombres[],ROWS(nombres[])-1,0,1,1))+1),$O1543:$O1562),3),"")</f>
        <v/>
      </c>
      <c r="AM1543" s="42" t="str">
        <f t="array" aca="1" ref="AM1543" ca="1">IFERROR(INDEX(nombres[],SMALL(IF(OFFSET(nombres[],0,0,ROWS(nombres[]),1)=AM$1490,ROW(OFFSET(nombres[],0,0,ROWS(nombres[]),1))-ROW(OFFSET(nombres[],0,0,1,1))+1,ROW(OFFSET(nombres[],ROWS(nombres[])-1,0,1,1))+1),$O1543:$O1562),3),"")</f>
        <v/>
      </c>
      <c r="AN1543" s="42" t="str">
        <f t="array" aca="1" ref="AN1543" ca="1">IFERROR(INDEX(nombres[],SMALL(IF(OFFSET(nombres[],0,0,ROWS(nombres[]),1)=AN$1490,ROW(OFFSET(nombres[],0,0,ROWS(nombres[]),1))-ROW(OFFSET(nombres[],0,0,1,1))+1,ROW(OFFSET(nombres[],ROWS(nombres[])-1,0,1,1))+1),$O1543:$O1562),3),"")</f>
        <v/>
      </c>
      <c r="AO1543" s="42" t="str">
        <f t="array" aca="1" ref="AO1543" ca="1">IFERROR(INDEX(nombres[],SMALL(IF(OFFSET(nombres[],0,0,ROWS(nombres[]),1)=AO$1490,ROW(OFFSET(nombres[],0,0,ROWS(nombres[]),1))-ROW(OFFSET(nombres[],0,0,1,1))+1,ROW(OFFSET(nombres[],ROWS(nombres[])-1,0,1,1))+1),$O1543:$O1562),3),"")</f>
        <v/>
      </c>
      <c r="AP1543" s="42" t="str">
        <f t="array" aca="1" ref="AP1543" ca="1">IFERROR(INDEX(nombres[],SMALL(IF(OFFSET(nombres[],0,0,ROWS(nombres[]),1)=AP$1490,ROW(OFFSET(nombres[],0,0,ROWS(nombres[]),1))-ROW(OFFSET(nombres[],0,0,1,1))+1,ROW(OFFSET(nombres[],ROWS(nombres[])-1,0,1,1))+1),$O1543:$O1562),3),"")</f>
        <v/>
      </c>
      <c r="AQ1543" s="42" t="str">
        <f t="array" aca="1" ref="AQ1543" ca="1">IFERROR(INDEX(nombres[],SMALL(IF(OFFSET(nombres[],0,0,ROWS(nombres[]),1)=AQ$1490,ROW(OFFSET(nombres[],0,0,ROWS(nombres[]),1))-ROW(OFFSET(nombres[],0,0,1,1))+1,ROW(OFFSET(nombres[],ROWS(nombres[])-1,0,1,1))+1),$O1543:$O1562),3),"")</f>
        <v/>
      </c>
      <c r="AR1543" s="42" t="str">
        <f t="array" aca="1" ref="AR1543" ca="1">IFERROR(INDEX(nombres[],SMALL(IF(OFFSET(nombres[],0,0,ROWS(nombres[]),1)=AR$1490,ROW(OFFSET(nombres[],0,0,ROWS(nombres[]),1))-ROW(OFFSET(nombres[],0,0,1,1))+1,ROW(OFFSET(nombres[],ROWS(nombres[])-1,0,1,1))+1),$O1543:$O1562),3),"")</f>
        <v/>
      </c>
      <c r="AS1543" s="42" t="str">
        <f t="array" aca="1" ref="AS1543" ca="1">IFERROR(INDEX(nombres[],SMALL(IF(OFFSET(nombres[],0,0,ROWS(nombres[]),1)=AS$1490,ROW(OFFSET(nombres[],0,0,ROWS(nombres[]),1))-ROW(OFFSET(nombres[],0,0,1,1))+1,ROW(OFFSET(nombres[],ROWS(nombres[])-1,0,1,1))+1),$O1543:$O1562),3),"")</f>
        <v/>
      </c>
      <c r="AT1543" s="42" t="str">
        <f t="array" aca="1" ref="AT1543" ca="1">IFERROR(INDEX(nombres[],SMALL(IF(OFFSET(nombres[],0,0,ROWS(nombres[]),1)=AT$1490,ROW(OFFSET(nombres[],0,0,ROWS(nombres[]),1))-ROW(OFFSET(nombres[],0,0,1,1))+1,ROW(OFFSET(nombres[],ROWS(nombres[])-1,0,1,1))+1),$O1543:$O1562),3),"")</f>
        <v/>
      </c>
      <c r="AU1543" s="42" t="str">
        <f t="array" aca="1" ref="AU1543" ca="1">IFERROR(INDEX(nombres[],SMALL(IF(OFFSET(nombres[],0,0,ROWS(nombres[]),1)=AU$1490,ROW(OFFSET(nombres[],0,0,ROWS(nombres[]),1))-ROW(OFFSET(nombres[],0,0,1,1))+1,ROW(OFFSET(nombres[],ROWS(nombres[])-1,0,1,1))+1),$O1543:$O1562),3),"")</f>
        <v/>
      </c>
      <c r="AV1543" s="42" t="str">
        <f t="array" aca="1" ref="AV1543" ca="1">IFERROR(INDEX(nombres[],SMALL(IF(OFFSET(nombres[],0,0,ROWS(nombres[]),1)=AV$1490,ROW(OFFSET(nombres[],0,0,ROWS(nombres[]),1))-ROW(OFFSET(nombres[],0,0,1,1))+1,ROW(OFFSET(nombres[],ROWS(nombres[])-1,0,1,1))+1),$O1543:$O1562),3),"")</f>
        <v/>
      </c>
      <c r="AW1543" s="42" t="str">
        <f t="array" aca="1" ref="AW1543" ca="1">IFERROR(INDEX(nombres[],SMALL(IF(OFFSET(nombres[],0,0,ROWS(nombres[]),1)=AW$1490,ROW(OFFSET(nombres[],0,0,ROWS(nombres[]),1))-ROW(OFFSET(nombres[],0,0,1,1))+1,ROW(OFFSET(nombres[],ROWS(nombres[])-1,0,1,1))+1),$O1543:$O1562),3),"")</f>
        <v/>
      </c>
      <c r="AX1543" s="42" t="str">
        <f t="array" aca="1" ref="AX1543" ca="1">IFERROR(INDEX(nombres[],SMALL(IF(OFFSET(nombres[],0,0,ROWS(nombres[]),1)=AX$1490,ROW(OFFSET(nombres[],0,0,ROWS(nombres[]),1))-ROW(OFFSET(nombres[],0,0,1,1))+1,ROW(OFFSET(nombres[],ROWS(nombres[])-1,0,1,1))+1),$O1543:$O1562),3),"")</f>
        <v/>
      </c>
      <c r="AY1543" s="42" t="str">
        <f t="array" aca="1" ref="AY1543" ca="1">IFERROR(INDEX(nombres[],SMALL(IF(OFFSET(nombres[],0,0,ROWS(nombres[]),1)=AY$1490,ROW(OFFSET(nombres[],0,0,ROWS(nombres[]),1))-ROW(OFFSET(nombres[],0,0,1,1))+1,ROW(OFFSET(nombres[],ROWS(nombres[])-1,0,1,1))+1),$O1543:$O1562),3),"")</f>
        <v/>
      </c>
      <c r="AZ1543" s="42" t="str">
        <f t="array" aca="1" ref="AZ1543" ca="1">IFERROR(INDEX(nombres[],SMALL(IF(OFFSET(nombres[],0,0,ROWS(nombres[]),1)=AZ$1490,ROW(OFFSET(nombres[],0,0,ROWS(nombres[]),1))-ROW(OFFSET(nombres[],0,0,1,1))+1,ROW(OFFSET(nombres[],ROWS(nombres[])-1,0,1,1))+1),$O1543:$O1562),3),"")</f>
        <v/>
      </c>
      <c r="BA1543" s="42" t="str">
        <f t="array" aca="1" ref="BA1543" ca="1">IFERROR(INDEX(nombres[],SMALL(IF(OFFSET(nombres[],0,0,ROWS(nombres[]),1)=BA$1490,ROW(OFFSET(nombres[],0,0,ROWS(nombres[]),1))-ROW(OFFSET(nombres[],0,0,1,1))+1,ROW(OFFSET(nombres[],ROWS(nombres[])-1,0,1,1))+1),$O1543:$O1562),3),"")</f>
        <v/>
      </c>
      <c r="BB1543" s="42" t="str">
        <f t="array" aca="1" ref="BB1543" ca="1">IFERROR(INDEX(nombres[],SMALL(IF(OFFSET(nombres[],0,0,ROWS(nombres[]),1)=BB$1490,ROW(OFFSET(nombres[],0,0,ROWS(nombres[]),1))-ROW(OFFSET(nombres[],0,0,1,1))+1,ROW(OFFSET(nombres[],ROWS(nombres[])-1,0,1,1))+1),$O1543:$O1562),3),"")</f>
        <v/>
      </c>
      <c r="BC1543" s="42" t="str">
        <f t="array" aca="1" ref="BC1543" ca="1">IFERROR(INDEX(nombres[],SMALL(IF(OFFSET(nombres[],0,0,ROWS(nombres[]),1)=BC$1490,ROW(OFFSET(nombres[],0,0,ROWS(nombres[]),1))-ROW(OFFSET(nombres[],0,0,1,1))+1,ROW(OFFSET(nombres[],ROWS(nombres[])-1,0,1,1))+1),$O1543:$O1562),3),"")</f>
        <v/>
      </c>
      <c r="BD1543" s="42" t="str">
        <f t="array" aca="1" ref="BD1543" ca="1">IFERROR(INDEX(nombres[],SMALL(IF(OFFSET(nombres[],0,0,ROWS(nombres[]),1)=BD$1490,ROW(OFFSET(nombres[],0,0,ROWS(nombres[]),1))-ROW(OFFSET(nombres[],0,0,1,1))+1,ROW(OFFSET(nombres[],ROWS(nombres[])-1,0,1,1))+1),$O1543:$O1562),3),"")</f>
        <v/>
      </c>
      <c r="BE1543" s="42" t="str">
        <f t="array" aca="1" ref="BE1543" ca="1">IFERROR(INDEX(nombres[],SMALL(IF(OFFSET(nombres[],0,0,ROWS(nombres[]),1)=BE$1490,ROW(OFFSET(nombres[],0,0,ROWS(nombres[]),1))-ROW(OFFSET(nombres[],0,0,1,1))+1,ROW(OFFSET(nombres[],ROWS(nombres[])-1,0,1,1))+1),$O1543:$O1562),3),"")</f>
        <v/>
      </c>
      <c r="BF1543" s="42" t="str">
        <f t="array" aca="1" ref="BF1543" ca="1">IFERROR(INDEX(nombres[],SMALL(IF(OFFSET(nombres[],0,0,ROWS(nombres[]),1)=BF$1490,ROW(OFFSET(nombres[],0,0,ROWS(nombres[]),1))-ROW(OFFSET(nombres[],0,0,1,1))+1,ROW(OFFSET(nombres[],ROWS(nombres[])-1,0,1,1))+1),$O1543:$O1562),3),"")</f>
        <v/>
      </c>
      <c r="BG1543" s="42" t="str">
        <f t="array" aca="1" ref="BG1543" ca="1">IFERROR(INDEX(nombres[],SMALL(IF(OFFSET(nombres[],0,0,ROWS(nombres[]),1)=BG$1490,ROW(OFFSET(nombres[],0,0,ROWS(nombres[]),1))-ROW(OFFSET(nombres[],0,0,1,1))+1,ROW(OFFSET(nombres[],ROWS(nombres[])-1,0,1,1))+1),$O1543:$O1562),3),"")</f>
        <v/>
      </c>
      <c r="BH1543" s="42" t="str">
        <f t="array" aca="1" ref="BH1543" ca="1">IFERROR(INDEX(nombres[],SMALL(IF(OFFSET(nombres[],0,0,ROWS(nombres[]),1)=BH$1490,ROW(OFFSET(nombres[],0,0,ROWS(nombres[]),1))-ROW(OFFSET(nombres[],0,0,1,1))+1,ROW(OFFSET(nombres[],ROWS(nombres[])-1,0,1,1))+1),$O1543:$O1562),3),"")</f>
        <v/>
      </c>
      <c r="BI1543" s="42" t="str">
        <f t="array" aca="1" ref="BI1543" ca="1">IFERROR(INDEX(nombres[],SMALL(IF(OFFSET(nombres[],0,0,ROWS(nombres[]),1)=BI$1490,ROW(OFFSET(nombres[],0,0,ROWS(nombres[]),1))-ROW(OFFSET(nombres[],0,0,1,1))+1,ROW(OFFSET(nombres[],ROWS(nombres[])-1,0,1,1))+1),$O1543:$O1562),3),"")</f>
        <v/>
      </c>
      <c r="BJ1543" s="42" t="str">
        <f t="array" aca="1" ref="BJ1543" ca="1">IFERROR(INDEX(nombres[],SMALL(IF(OFFSET(nombres[],0,0,ROWS(nombres[]),1)=BJ$1490,ROW(OFFSET(nombres[],0,0,ROWS(nombres[]),1))-ROW(OFFSET(nombres[],0,0,1,1))+1,ROW(OFFSET(nombres[],ROWS(nombres[])-1,0,1,1))+1),$O1543:$O1562),3),"")</f>
        <v/>
      </c>
      <c r="BK1543" s="42" t="str">
        <f t="array" aca="1" ref="BK1543" ca="1">IFERROR(INDEX(nombres[],SMALL(IF(OFFSET(nombres[],0,0,ROWS(nombres[]),1)=BK$1490,ROW(OFFSET(nombres[],0,0,ROWS(nombres[]),1))-ROW(OFFSET(nombres[],0,0,1,1))+1,ROW(OFFSET(nombres[],ROWS(nombres[])-1,0,1,1))+1),$O1543:$O1562),3),"")</f>
        <v/>
      </c>
      <c r="BL1543" s="42" t="str">
        <f t="array" aca="1" ref="BL1543" ca="1">IFERROR(INDEX(nombres[],SMALL(IF(OFFSET(nombres[],0,0,ROWS(nombres[]),1)=BL$1490,ROW(OFFSET(nombres[],0,0,ROWS(nombres[]),1))-ROW(OFFSET(nombres[],0,0,1,1))+1,ROW(OFFSET(nombres[],ROWS(nombres[])-1,0,1,1))+1),$O1543:$O1562),3),"")</f>
        <v/>
      </c>
      <c r="BM1543" s="42" t="str">
        <f t="array" aca="1" ref="BM1543" ca="1">IFERROR(INDEX(nombres[],SMALL(IF(OFFSET(nombres[],0,0,ROWS(nombres[]),1)=BM$1490,ROW(OFFSET(nombres[],0,0,ROWS(nombres[]),1))-ROW(OFFSET(nombres[],0,0,1,1))+1,ROW(OFFSET(nombres[],ROWS(nombres[])-1,0,1,1))+1),$O1543:$O1562),3),"")</f>
        <v/>
      </c>
      <c r="BN1543" s="42" t="str">
        <f t="array" aca="1" ref="BN1543" ca="1">IFERROR(INDEX(nombres[],SMALL(IF(OFFSET(nombres[],0,0,ROWS(nombres[]),1)=BN$1490,ROW(OFFSET(nombres[],0,0,ROWS(nombres[]),1))-ROW(OFFSET(nombres[],0,0,1,1))+1,ROW(OFFSET(nombres[],ROWS(nombres[])-1,0,1,1))+1),$O1543:$O1562),3),"")</f>
        <v/>
      </c>
      <c r="BO1543" s="42" t="str">
        <f t="array" aca="1" ref="BO1543" ca="1">IFERROR(INDEX(nombres[],SMALL(IF(OFFSET(nombres[],0,0,ROWS(nombres[]),1)=BO$1490,ROW(OFFSET(nombres[],0,0,ROWS(nombres[]),1))-ROW(OFFSET(nombres[],0,0,1,1))+1,ROW(OFFSET(nombres[],ROWS(nombres[])-1,0,1,1))+1),$O1543:$O1562),3),"")</f>
        <v/>
      </c>
      <c r="BP1543" s="42" t="str">
        <f t="array" aca="1" ref="BP1543" ca="1">IFERROR(INDEX(nombres[],SMALL(IF(OFFSET(nombres[],0,0,ROWS(nombres[]),1)=BP$1490,ROW(OFFSET(nombres[],0,0,ROWS(nombres[]),1))-ROW(OFFSET(nombres[],0,0,1,1))+1,ROW(OFFSET(nombres[],ROWS(nombres[])-1,0,1,1))+1),$O1543:$O1562),3),"")</f>
        <v/>
      </c>
      <c r="BQ1543" s="42" t="str">
        <f t="array" aca="1" ref="BQ1543" ca="1">IFERROR(INDEX(nombres[],SMALL(IF(OFFSET(nombres[],0,0,ROWS(nombres[]),1)=BQ$1490,ROW(OFFSET(nombres[],0,0,ROWS(nombres[]),1))-ROW(OFFSET(nombres[],0,0,1,1))+1,ROW(OFFSET(nombres[],ROWS(nombres[])-1,0,1,1))+1),$O1543:$O1562),3),"")</f>
        <v/>
      </c>
      <c r="BR1543" s="42" t="str">
        <f t="array" aca="1" ref="BR1543" ca="1">IFERROR(INDEX(nombres[],SMALL(IF(OFFSET(nombres[],0,0,ROWS(nombres[]),1)=BR$1490,ROW(OFFSET(nombres[],0,0,ROWS(nombres[]),1))-ROW(OFFSET(nombres[],0,0,1,1))+1,ROW(OFFSET(nombres[],ROWS(nombres[])-1,0,1,1))+1),$O1543:$O1562),3),"")</f>
        <v/>
      </c>
      <c r="BS1543" s="42" t="str">
        <f t="array" aca="1" ref="BS1543" ca="1">IFERROR(INDEX(nombres[],SMALL(IF(OFFSET(nombres[],0,0,ROWS(nombres[]),1)=BS$1490,ROW(OFFSET(nombres[],0,0,ROWS(nombres[]),1))-ROW(OFFSET(nombres[],0,0,1,1))+1,ROW(OFFSET(nombres[],ROWS(nombres[])-1,0,1,1))+1),$O1543:$O1562),3),"")</f>
        <v/>
      </c>
      <c r="BT1543" s="42" t="str">
        <f t="array" aca="1" ref="BT1543" ca="1">IFERROR(INDEX(nombres[],SMALL(IF(OFFSET(nombres[],0,0,ROWS(nombres[]),1)=BT$1490,ROW(OFFSET(nombres[],0,0,ROWS(nombres[]),1))-ROW(OFFSET(nombres[],0,0,1,1))+1,ROW(OFFSET(nombres[],ROWS(nombres[])-1,0,1,1))+1),$O1543:$O1562),3),"")</f>
        <v/>
      </c>
      <c r="BU1543" s="42" t="str">
        <f t="array" aca="1" ref="BU1543" ca="1">IFERROR(INDEX(nombres[],SMALL(IF(OFFSET(nombres[],0,0,ROWS(nombres[]),1)=BU$1490,ROW(OFFSET(nombres[],0,0,ROWS(nombres[]),1))-ROW(OFFSET(nombres[],0,0,1,1))+1,ROW(OFFSET(nombres[],ROWS(nombres[])-1,0,1,1))+1),$O1543:$O1562),3),"")</f>
        <v/>
      </c>
      <c r="BV1543" s="42" t="str">
        <f t="array" aca="1" ref="BV1543" ca="1">IFERROR(INDEX(nombres[],SMALL(IF(OFFSET(nombres[],0,0,ROWS(nombres[]),1)=BV$1490,ROW(OFFSET(nombres[],0,0,ROWS(nombres[]),1))-ROW(OFFSET(nombres[],0,0,1,1))+1,ROW(OFFSET(nombres[],ROWS(nombres[])-1,0,1,1))+1),$O1543:$O1562),3),"")</f>
        <v/>
      </c>
      <c r="BW1543" s="42" t="str">
        <f t="array" aca="1" ref="BW1543" ca="1">IFERROR(INDEX(nombres[],SMALL(IF(OFFSET(nombres[],0,0,ROWS(nombres[]),1)=BW$1490,ROW(OFFSET(nombres[],0,0,ROWS(nombres[]),1))-ROW(OFFSET(nombres[],0,0,1,1))+1,ROW(OFFSET(nombres[],ROWS(nombres[])-1,0,1,1))+1),$O1543:$O1562),3),"")</f>
        <v/>
      </c>
      <c r="BX1543" s="42" t="str">
        <f t="array" aca="1" ref="BX1543" ca="1">IFERROR(INDEX(nombres[],SMALL(IF(OFFSET(nombres[],0,0,ROWS(nombres[]),1)=BX$1490,ROW(OFFSET(nombres[],0,0,ROWS(nombres[]),1))-ROW(OFFSET(nombres[],0,0,1,1))+1,ROW(OFFSET(nombres[],ROWS(nombres[])-1,0,1,1))+1),$O1543:$O1562),3),"")</f>
        <v/>
      </c>
      <c r="BY1543" s="42" t="str">
        <f t="array" aca="1" ref="BY1543" ca="1">IFERROR(INDEX(nombres[],SMALL(IF(OFFSET(nombres[],0,0,ROWS(nombres[]),1)=BY$1490,ROW(OFFSET(nombres[],0,0,ROWS(nombres[]),1))-ROW(OFFSET(nombres[],0,0,1,1))+1,ROW(OFFSET(nombres[],ROWS(nombres[])-1,0,1,1))+1),$O1543:$O1562),3),"")</f>
        <v/>
      </c>
      <c r="BZ1543" s="42" t="str">
        <f t="array" aca="1" ref="BZ1543" ca="1">IFERROR(INDEX(nombres[],SMALL(IF(OFFSET(nombres[],0,0,ROWS(nombres[]),1)=BZ$1490,ROW(OFFSET(nombres[],0,0,ROWS(nombres[]),1))-ROW(OFFSET(nombres[],0,0,1,1))+1,ROW(OFFSET(nombres[],ROWS(nombres[])-1,0,1,1))+1),$O1543:$O1562),3),"")</f>
        <v/>
      </c>
      <c r="CA1543" s="42" t="str">
        <f t="array" aca="1" ref="CA1543" ca="1">IFERROR(INDEX(nombres[],SMALL(IF(OFFSET(nombres[],0,0,ROWS(nombres[]),1)=CA$1490,ROW(OFFSET(nombres[],0,0,ROWS(nombres[]),1))-ROW(OFFSET(nombres[],0,0,1,1))+1,ROW(OFFSET(nombres[],ROWS(nombres[])-1,0,1,1))+1),$O1543:$O1562),3),"")</f>
        <v/>
      </c>
      <c r="CB1543" s="42" t="str">
        <f t="array" aca="1" ref="CB1543" ca="1">IFERROR(INDEX(nombres[],SMALL(IF(OFFSET(nombres[],0,0,ROWS(nombres[]),1)=CB$1490,ROW(OFFSET(nombres[],0,0,ROWS(nombres[]),1))-ROW(OFFSET(nombres[],0,0,1,1))+1,ROW(OFFSET(nombres[],ROWS(nombres[])-1,0,1,1))+1),$O1543:$O1562),3),"")</f>
        <v/>
      </c>
      <c r="CC1543" s="42" t="str">
        <f t="array" aca="1" ref="CC1543" ca="1">IFERROR(INDEX(nombres[],SMALL(IF(OFFSET(nombres[],0,0,ROWS(nombres[]),1)=CC$1490,ROW(OFFSET(nombres[],0,0,ROWS(nombres[]),1))-ROW(OFFSET(nombres[],0,0,1,1))+1,ROW(OFFSET(nombres[],ROWS(nombres[])-1,0,1,1))+1),$O1543:$O1562),3),"")</f>
        <v/>
      </c>
      <c r="CD1543" s="42" t="str">
        <f t="array" aca="1" ref="CD1543" ca="1">IFERROR(INDEX(nombres[],SMALL(IF(OFFSET(nombres[],0,0,ROWS(nombres[]),1)=CD$1490,ROW(OFFSET(nombres[],0,0,ROWS(nombres[]),1))-ROW(OFFSET(nombres[],0,0,1,1))+1,ROW(OFFSET(nombres[],ROWS(nombres[])-1,0,1,1))+1),$O1543:$O1562),3),"")</f>
        <v/>
      </c>
      <c r="CE1543" s="42" t="str">
        <f t="array" aca="1" ref="CE1543" ca="1">IFERROR(INDEX(nombres[],SMALL(IF(OFFSET(nombres[],0,0,ROWS(nombres[]),1)=CE$1490,ROW(OFFSET(nombres[],0,0,ROWS(nombres[]),1))-ROW(OFFSET(nombres[],0,0,1,1))+1,ROW(OFFSET(nombres[],ROWS(nombres[])-1,0,1,1))+1),$O1543:$O1562),3),"")</f>
        <v/>
      </c>
      <c r="CF1543" s="42" t="str">
        <f t="array" aca="1" ref="CF1543" ca="1">IFERROR(INDEX(nombres[],SMALL(IF(OFFSET(nombres[],0,0,ROWS(nombres[]),1)=CF$1490,ROW(OFFSET(nombres[],0,0,ROWS(nombres[]),1))-ROW(OFFSET(nombres[],0,0,1,1))+1,ROW(OFFSET(nombres[],ROWS(nombres[])-1,0,1,1))+1),$O1543:$O1562),3),"")</f>
        <v/>
      </c>
      <c r="CG1543" s="42" t="str">
        <f t="array" aca="1" ref="CG1543" ca="1">IFERROR(INDEX(nombres[],SMALL(IF(OFFSET(nombres[],0,0,ROWS(nombres[]),1)=CG$1490,ROW(OFFSET(nombres[],0,0,ROWS(nombres[]),1))-ROW(OFFSET(nombres[],0,0,1,1))+1,ROW(OFFSET(nombres[],ROWS(nombres[])-1,0,1,1))+1),$O1543:$O1562),3),"")</f>
        <v/>
      </c>
      <c r="CH1543" s="42" t="str">
        <f t="array" aca="1" ref="CH1543" ca="1">IFERROR(INDEX(nombres[],SMALL(IF(OFFSET(nombres[],0,0,ROWS(nombres[]),1)=CH$1490,ROW(OFFSET(nombres[],0,0,ROWS(nombres[]),1))-ROW(OFFSET(nombres[],0,0,1,1))+1,ROW(OFFSET(nombres[],ROWS(nombres[])-1,0,1,1))+1),$O1543:$O1562),3),"")</f>
        <v/>
      </c>
      <c r="CI1543" s="42" t="str">
        <f t="array" aca="1" ref="CI1543" ca="1">IFERROR(INDEX(nombres[],SMALL(IF(OFFSET(nombres[],0,0,ROWS(nombres[]),1)=CI$1490,ROW(OFFSET(nombres[],0,0,ROWS(nombres[]),1))-ROW(OFFSET(nombres[],0,0,1,1))+1,ROW(OFFSET(nombres[],ROWS(nombres[])-1,0,1,1))+1),$O1543:$O1562),3),"")</f>
        <v/>
      </c>
      <c r="CJ1543" s="42" t="str">
        <f t="array" aca="1" ref="CJ1543" ca="1">IFERROR(INDEX(nombres[],SMALL(IF(OFFSET(nombres[],0,0,ROWS(nombres[]),1)=CJ$1490,ROW(OFFSET(nombres[],0,0,ROWS(nombres[]),1))-ROW(OFFSET(nombres[],0,0,1,1))+1,ROW(OFFSET(nombres[],ROWS(nombres[])-1,0,1,1))+1),$O1543:$O1562),3),"")</f>
        <v/>
      </c>
      <c r="CK1543" s="42" t="str">
        <f t="array" aca="1" ref="CK1543" ca="1">IFERROR(INDEX(nombres[],SMALL(IF(OFFSET(nombres[],0,0,ROWS(nombres[]),1)=CK$1490,ROW(OFFSET(nombres[],0,0,ROWS(nombres[]),1))-ROW(OFFSET(nombres[],0,0,1,1))+1,ROW(OFFSET(nombres[],ROWS(nombres[])-1,0,1,1))+1),$O1543:$O1562),3),"")</f>
        <v/>
      </c>
      <c r="CL1543" s="42" t="str">
        <f t="array" aca="1" ref="CL1543" ca="1">IFERROR(INDEX(nombres[],SMALL(IF(OFFSET(nombres[],0,0,ROWS(nombres[]),1)=CL$1490,ROW(OFFSET(nombres[],0,0,ROWS(nombres[]),1))-ROW(OFFSET(nombres[],0,0,1,1))+1,ROW(OFFSET(nombres[],ROWS(nombres[])-1,0,1,1))+1),$O1543:$O1562),3),"")</f>
        <v/>
      </c>
      <c r="CM1543" s="42" t="str">
        <f t="array" aca="1" ref="CM1543" ca="1">IFERROR(INDEX(nombres[],SMALL(IF(OFFSET(nombres[],0,0,ROWS(nombres[]),1)=CM$1490,ROW(OFFSET(nombres[],0,0,ROWS(nombres[]),1))-ROW(OFFSET(nombres[],0,0,1,1))+1,ROW(OFFSET(nombres[],ROWS(nombres[])-1,0,1,1))+1),$O1543:$O1562),3),"")</f>
        <v/>
      </c>
      <c r="CN1543" s="42" t="str">
        <f t="array" aca="1" ref="CN1543" ca="1">IFERROR(INDEX(nombres[],SMALL(IF(OFFSET(nombres[],0,0,ROWS(nombres[]),1)=CN$1490,ROW(OFFSET(nombres[],0,0,ROWS(nombres[]),1))-ROW(OFFSET(nombres[],0,0,1,1))+1,ROW(OFFSET(nombres[],ROWS(nombres[])-1,0,1,1))+1),$O1543:$O1562),3),"")</f>
        <v/>
      </c>
      <c r="CO1543" s="42" t="str">
        <f t="array" aca="1" ref="CO1543" ca="1">IFERROR(INDEX(nombres[],SMALL(IF(OFFSET(nombres[],0,0,ROWS(nombres[]),1)=CO$1490,ROW(OFFSET(nombres[],0,0,ROWS(nombres[]),1))-ROW(OFFSET(nombres[],0,0,1,1))+1,ROW(OFFSET(nombres[],ROWS(nombres[])-1,0,1,1))+1),$O1543:$O1562),3),"")</f>
        <v/>
      </c>
      <c r="CP1543" s="42" t="str">
        <f t="array" aca="1" ref="CP1543" ca="1">IFERROR(INDEX(nombres[],SMALL(IF(OFFSET(nombres[],0,0,ROWS(nombres[]),1)=CP$1490,ROW(OFFSET(nombres[],0,0,ROWS(nombres[]),1))-ROW(OFFSET(nombres[],0,0,1,1))+1,ROW(OFFSET(nombres[],ROWS(nombres[])-1,0,1,1))+1),$O1543:$O1562),3),"")</f>
        <v/>
      </c>
      <c r="CQ1543" s="42" t="str">
        <f t="array" aca="1" ref="CQ1543" ca="1">IFERROR(INDEX(nombres[],SMALL(IF(OFFSET(nombres[],0,0,ROWS(nombres[]),1)=CQ$1490,ROW(OFFSET(nombres[],0,0,ROWS(nombres[]),1))-ROW(OFFSET(nombres[],0,0,1,1))+1,ROW(OFFSET(nombres[],ROWS(nombres[])-1,0,1,1))+1),$O1543:$O1562),3),"")</f>
        <v/>
      </c>
      <c r="CR1543" s="42" t="str">
        <f t="array" aca="1" ref="CR1543" ca="1">IFERROR(INDEX(nombres[],SMALL(IF(OFFSET(nombres[],0,0,ROWS(nombres[]),1)=CR$1490,ROW(OFFSET(nombres[],0,0,ROWS(nombres[]),1))-ROW(OFFSET(nombres[],0,0,1,1))+1,ROW(OFFSET(nombres[],ROWS(nombres[])-1,0,1,1))+1),$O1543:$O1562),3),"")</f>
        <v/>
      </c>
      <c r="CS1543" s="42" t="str">
        <f t="array" aca="1" ref="CS1543" ca="1">IFERROR(INDEX(nombres[],SMALL(IF(OFFSET(nombres[],0,0,ROWS(nombres[]),1)=CS$1490,ROW(OFFSET(nombres[],0,0,ROWS(nombres[]),1))-ROW(OFFSET(nombres[],0,0,1,1))+1,ROW(OFFSET(nombres[],ROWS(nombres[])-1,0,1,1))+1),$O1543:$O1562),3),"")</f>
        <v/>
      </c>
      <c r="CT1543" s="42" t="str">
        <f t="array" aca="1" ref="CT1543" ca="1">IFERROR(INDEX(nombres[],SMALL(IF(OFFSET(nombres[],0,0,ROWS(nombres[]),1)=CT$1490,ROW(OFFSET(nombres[],0,0,ROWS(nombres[]),1))-ROW(OFFSET(nombres[],0,0,1,1))+1,ROW(OFFSET(nombres[],ROWS(nombres[])-1,0,1,1))+1),$O1543:$O1562),3),"")</f>
        <v/>
      </c>
      <c r="CU1543" s="42" t="str">
        <f t="array" aca="1" ref="CU1543" ca="1">IFERROR(INDEX(nombres[],SMALL(IF(OFFSET(nombres[],0,0,ROWS(nombres[]),1)=CU$1490,ROW(OFFSET(nombres[],0,0,ROWS(nombres[]),1))-ROW(OFFSET(nombres[],0,0,1,1))+1,ROW(OFFSET(nombres[],ROWS(nombres[])-1,0,1,1))+1),$O1543:$O1562),3),"")</f>
        <v/>
      </c>
      <c r="CV1543" s="42" t="str">
        <f t="array" aca="1" ref="CV1543" ca="1">IFERROR(INDEX(nombres[],SMALL(IF(OFFSET(nombres[],0,0,ROWS(nombres[]),1)=CV$1490,ROW(OFFSET(nombres[],0,0,ROWS(nombres[]),1))-ROW(OFFSET(nombres[],0,0,1,1))+1,ROW(OFFSET(nombres[],ROWS(nombres[])-1,0,1,1))+1),$O1543:$O1562),3),"")</f>
        <v/>
      </c>
      <c r="CW1543" s="42" t="str">
        <f t="array" aca="1" ref="CW1543" ca="1">IFERROR(INDEX(nombres[],SMALL(IF(OFFSET(nombres[],0,0,ROWS(nombres[]),1)=CW$1490,ROW(OFFSET(nombres[],0,0,ROWS(nombres[]),1))-ROW(OFFSET(nombres[],0,0,1,1))+1,ROW(OFFSET(nombres[],ROWS(nombres[])-1,0,1,1))+1),$O1543:$O1562),3),"")</f>
        <v/>
      </c>
      <c r="CX1543" s="42" t="str">
        <f t="array" aca="1" ref="CX1543" ca="1">IFERROR(INDEX(nombres[],SMALL(IF(OFFSET(nombres[],0,0,ROWS(nombres[]),1)=CX$1490,ROW(OFFSET(nombres[],0,0,ROWS(nombres[]),1))-ROW(OFFSET(nombres[],0,0,1,1))+1,ROW(OFFSET(nombres[],ROWS(nombres[])-1,0,1,1))+1),$O1543:$O1562),3),"")</f>
        <v/>
      </c>
      <c r="CY1543" s="42" t="str">
        <f t="array" aca="1" ref="CY1543" ca="1">IFERROR(INDEX(nombres[],SMALL(IF(OFFSET(nombres[],0,0,ROWS(nombres[]),1)=CY$1490,ROW(OFFSET(nombres[],0,0,ROWS(nombres[]),1))-ROW(OFFSET(nombres[],0,0,1,1))+1,ROW(OFFSET(nombres[],ROWS(nombres[])-1,0,1,1))+1),$O1543:$O1562),3),"")</f>
        <v/>
      </c>
      <c r="CZ1543" s="42" t="str">
        <f t="array" aca="1" ref="CZ1543" ca="1">IFERROR(INDEX(nombres[],SMALL(IF(OFFSET(nombres[],0,0,ROWS(nombres[]),1)=CZ$1490,ROW(OFFSET(nombres[],0,0,ROWS(nombres[]),1))-ROW(OFFSET(nombres[],0,0,1,1))+1,ROW(OFFSET(nombres[],ROWS(nombres[])-1,0,1,1))+1),$O1543:$O1562),3),"")</f>
        <v/>
      </c>
      <c r="DA1543" s="42" t="str">
        <f t="array" aca="1" ref="DA1543" ca="1">IFERROR(INDEX(nombres[],SMALL(IF(OFFSET(nombres[],0,0,ROWS(nombres[]),1)=DA$1490,ROW(OFFSET(nombres[],0,0,ROWS(nombres[]),1))-ROW(OFFSET(nombres[],0,0,1,1))+1,ROW(OFFSET(nombres[],ROWS(nombres[])-1,0,1,1))+1),$O1543:$O1562),3),"")</f>
        <v/>
      </c>
      <c r="DB1543" s="42" t="str">
        <f t="array" aca="1" ref="DB1543" ca="1">IFERROR(INDEX(nombres[],SMALL(IF(OFFSET(nombres[],0,0,ROWS(nombres[]),1)=DB$1490,ROW(OFFSET(nombres[],0,0,ROWS(nombres[]),1))-ROW(OFFSET(nombres[],0,0,1,1))+1,ROW(OFFSET(nombres[],ROWS(nombres[])-1,0,1,1))+1),$O1543:$O1562),3),"")</f>
        <v/>
      </c>
      <c r="DC1543" s="42" t="str">
        <f t="array" aca="1" ref="DC1543" ca="1">IFERROR(INDEX(nombres[],SMALL(IF(OFFSET(nombres[],0,0,ROWS(nombres[]),1)=DC$1490,ROW(OFFSET(nombres[],0,0,ROWS(nombres[]),1))-ROW(OFFSET(nombres[],0,0,1,1))+1,ROW(OFFSET(nombres[],ROWS(nombres[])-1,0,1,1))+1),$O1543:$O1562),3),"")</f>
        <v/>
      </c>
      <c r="DD1543" s="42" t="str">
        <f t="array" aca="1" ref="DD1543" ca="1">IFERROR(INDEX(nombres[],SMALL(IF(OFFSET(nombres[],0,0,ROWS(nombres[]),1)=DD$1490,ROW(OFFSET(nombres[],0,0,ROWS(nombres[]),1))-ROW(OFFSET(nombres[],0,0,1,1))+1,ROW(OFFSET(nombres[],ROWS(nombres[])-1,0,1,1))+1),$O1543:$O1562),3),"")</f>
        <v/>
      </c>
      <c r="DE1543" s="42" t="str">
        <f t="array" aca="1" ref="DE1543" ca="1">IFERROR(INDEX(nombres[],SMALL(IF(OFFSET(nombres[],0,0,ROWS(nombres[]),1)=DE$1490,ROW(OFFSET(nombres[],0,0,ROWS(nombres[]),1))-ROW(OFFSET(nombres[],0,0,1,1))+1,ROW(OFFSET(nombres[],ROWS(nombres[])-1,0,1,1))+1),$O1543:$O1562),3),"")</f>
        <v/>
      </c>
      <c r="DF1543" s="42" t="str">
        <f t="array" aca="1" ref="DF1543" ca="1">IFERROR(INDEX(nombres[],SMALL(IF(OFFSET(nombres[],0,0,ROWS(nombres[]),1)=DF$1490,ROW(OFFSET(nombres[],0,0,ROWS(nombres[]),1))-ROW(OFFSET(nombres[],0,0,1,1))+1,ROW(OFFSET(nombres[],ROWS(nombres[])-1,0,1,1))+1),$O1543:$O1562),3),"")</f>
        <v/>
      </c>
      <c r="DG1543" s="42" t="str">
        <f t="array" aca="1" ref="DG1543" ca="1">IFERROR(INDEX(nombres[],SMALL(IF(OFFSET(nombres[],0,0,ROWS(nombres[]),1)=DG$1490,ROW(OFFSET(nombres[],0,0,ROWS(nombres[]),1))-ROW(OFFSET(nombres[],0,0,1,1))+1,ROW(OFFSET(nombres[],ROWS(nombres[])-1,0,1,1))+1),$O1543:$O1562),3),"")</f>
        <v/>
      </c>
      <c r="DH1543" s="42" t="str">
        <f t="array" aca="1" ref="DH1543" ca="1">IFERROR(INDEX(nombres[],SMALL(IF(OFFSET(nombres[],0,0,ROWS(nombres[]),1)=DH$1490,ROW(OFFSET(nombres[],0,0,ROWS(nombres[]),1))-ROW(OFFSET(nombres[],0,0,1,1))+1,ROW(OFFSET(nombres[],ROWS(nombres[])-1,0,1,1))+1),$O1543:$O1562),3),"")</f>
        <v/>
      </c>
      <c r="DI1543" s="42" t="str">
        <f t="array" aca="1" ref="DI1543" ca="1">IFERROR(INDEX(nombres[],SMALL(IF(OFFSET(nombres[],0,0,ROWS(nombres[]),1)=DI$1490,ROW(OFFSET(nombres[],0,0,ROWS(nombres[]),1))-ROW(OFFSET(nombres[],0,0,1,1))+1,ROW(OFFSET(nombres[],ROWS(nombres[])-1,0,1,1))+1),$O1543:$O1562),3),"")</f>
        <v/>
      </c>
      <c r="DJ1543" s="42" t="str">
        <f t="array" aca="1" ref="DJ1543" ca="1">IFERROR(INDEX(nombres[],SMALL(IF(OFFSET(nombres[],0,0,ROWS(nombres[]),1)=DJ$1490,ROW(OFFSET(nombres[],0,0,ROWS(nombres[]),1))-ROW(OFFSET(nombres[],0,0,1,1))+1,ROW(OFFSET(nombres[],ROWS(nombres[])-1,0,1,1))+1),$O1543:$O1562),3),"")</f>
        <v/>
      </c>
      <c r="DK1543" s="42" t="str">
        <f t="array" aca="1" ref="DK1543" ca="1">IFERROR(INDEX(nombres[],SMALL(IF(OFFSET(nombres[],0,0,ROWS(nombres[]),1)=DK$1490,ROW(OFFSET(nombres[],0,0,ROWS(nombres[]),1))-ROW(OFFSET(nombres[],0,0,1,1))+1,ROW(OFFSET(nombres[],ROWS(nombres[])-1,0,1,1))+1),$O1543:$O1562),3),"")</f>
        <v/>
      </c>
      <c r="DL1543" s="42" t="str">
        <f t="array" aca="1" ref="DL1543" ca="1">IFERROR(INDEX(nombres[],SMALL(IF(OFFSET(nombres[],0,0,ROWS(nombres[]),1)=DL$1490,ROW(OFFSET(nombres[],0,0,ROWS(nombres[]),1))-ROW(OFFSET(nombres[],0,0,1,1))+1,ROW(OFFSET(nombres[],ROWS(nombres[])-1,0,1,1))+1),$O1543:$O1562),3),"")</f>
        <v/>
      </c>
      <c r="DM1543" s="42" t="str">
        <f t="array" aca="1" ref="DM1543" ca="1">IFERROR(INDEX(nombres[],SMALL(IF(OFFSET(nombres[],0,0,ROWS(nombres[]),1)=DM$1490,ROW(OFFSET(nombres[],0,0,ROWS(nombres[]),1))-ROW(OFFSET(nombres[],0,0,1,1))+1,ROW(OFFSET(nombres[],ROWS(nombres[])-1,0,1,1))+1),$O1543:$O1562),3),"")</f>
        <v/>
      </c>
      <c r="DN1543" s="42" t="str">
        <f t="array" aca="1" ref="DN1543" ca="1">IFERROR(INDEX(nombres[],SMALL(IF(OFFSET(nombres[],0,0,ROWS(nombres[]),1)=DN$1490,ROW(OFFSET(nombres[],0,0,ROWS(nombres[]),1))-ROW(OFFSET(nombres[],0,0,1,1))+1,ROW(OFFSET(nombres[],ROWS(nombres[])-1,0,1,1))+1),$O1543:$O1562),3),"")</f>
        <v/>
      </c>
      <c r="DO1543" s="42" t="str">
        <f t="array" aca="1" ref="DO1543" ca="1">IFERROR(INDEX(nombres[],SMALL(IF(OFFSET(nombres[],0,0,ROWS(nombres[]),1)=DO$1490,ROW(OFFSET(nombres[],0,0,ROWS(nombres[]),1))-ROW(OFFSET(nombres[],0,0,1,1))+1,ROW(OFFSET(nombres[],ROWS(nombres[])-1,0,1,1))+1),$O1543:$O1562),3),"")</f>
        <v/>
      </c>
      <c r="DP1543" s="42" t="str">
        <f t="array" aca="1" ref="DP1543" ca="1">IFERROR(INDEX(nombres[],SMALL(IF(OFFSET(nombres[],0,0,ROWS(nombres[]),1)=DP$1490,ROW(OFFSET(nombres[],0,0,ROWS(nombres[]),1))-ROW(OFFSET(nombres[],0,0,1,1))+1,ROW(OFFSET(nombres[],ROWS(nombres[])-1,0,1,1))+1),$O1543:$O1562),3),"")</f>
        <v/>
      </c>
      <c r="DQ1543" s="42" t="str">
        <f t="array" aca="1" ref="DQ1543" ca="1">IFERROR(INDEX(nombres[],SMALL(IF(OFFSET(nombres[],0,0,ROWS(nombres[]),1)=DQ$1490,ROW(OFFSET(nombres[],0,0,ROWS(nombres[]),1))-ROW(OFFSET(nombres[],0,0,1,1))+1,ROW(OFFSET(nombres[],ROWS(nombres[])-1,0,1,1))+1),$O1543:$O1562),3),"")</f>
        <v/>
      </c>
      <c r="DR1543" s="42" t="str">
        <f t="array" aca="1" ref="DR1543" ca="1">IFERROR(INDEX(nombres[],SMALL(IF(OFFSET(nombres[],0,0,ROWS(nombres[]),1)=DR$1490,ROW(OFFSET(nombres[],0,0,ROWS(nombres[]),1))-ROW(OFFSET(nombres[],0,0,1,1))+1,ROW(OFFSET(nombres[],ROWS(nombres[])-1,0,1,1))+1),$O1543:$O1562),3),"")</f>
        <v/>
      </c>
      <c r="DS1543" s="42" t="str">
        <f t="array" aca="1" ref="DS1543" ca="1">IFERROR(INDEX(nombres[],SMALL(IF(OFFSET(nombres[],0,0,ROWS(nombres[]),1)=DS$1490,ROW(OFFSET(nombres[],0,0,ROWS(nombres[]),1))-ROW(OFFSET(nombres[],0,0,1,1))+1,ROW(OFFSET(nombres[],ROWS(nombres[])-1,0,1,1))+1),$O1543:$O1562),3),"")</f>
        <v/>
      </c>
      <c r="DT1543" s="42" t="str">
        <f t="array" aca="1" ref="DT1543" ca="1">IFERROR(INDEX(nombres[],SMALL(IF(OFFSET(nombres[],0,0,ROWS(nombres[]),1)=DT$1490,ROW(OFFSET(nombres[],0,0,ROWS(nombres[]),1))-ROW(OFFSET(nombres[],0,0,1,1))+1,ROW(OFFSET(nombres[],ROWS(nombres[])-1,0,1,1))+1),$O1543:$O1562),3),"")</f>
        <v/>
      </c>
      <c r="DU1543" s="42" t="str">
        <f t="array" aca="1" ref="DU1543" ca="1">IFERROR(INDEX(nombres[],SMALL(IF(OFFSET(nombres[],0,0,ROWS(nombres[]),1)=DU$1490,ROW(OFFSET(nombres[],0,0,ROWS(nombres[]),1))-ROW(OFFSET(nombres[],0,0,1,1))+1,ROW(OFFSET(nombres[],ROWS(nombres[])-1,0,1,1))+1),$O1543:$O1562),3),"")</f>
        <v/>
      </c>
      <c r="DV1543" s="42" t="str">
        <f t="array" aca="1" ref="DV1543" ca="1">IFERROR(INDEX(nombres[],SMALL(IF(OFFSET(nombres[],0,0,ROWS(nombres[]),1)=DV$1490,ROW(OFFSET(nombres[],0,0,ROWS(nombres[]),1))-ROW(OFFSET(nombres[],0,0,1,1))+1,ROW(OFFSET(nombres[],ROWS(nombres[])-1,0,1,1))+1),$O1543:$O1562),3),"")</f>
        <v/>
      </c>
      <c r="DW1543" s="42" t="str">
        <f t="array" aca="1" ref="DW1543" ca="1">IFERROR(INDEX(nombres[],SMALL(IF(OFFSET(nombres[],0,0,ROWS(nombres[]),1)=DW$1490,ROW(OFFSET(nombres[],0,0,ROWS(nombres[]),1))-ROW(OFFSET(nombres[],0,0,1,1))+1,ROW(OFFSET(nombres[],ROWS(nombres[])-1,0,1,1))+1),$O1543:$O1562),3),"")</f>
        <v/>
      </c>
      <c r="DX1543" s="42" t="str">
        <f t="array" aca="1" ref="DX1543" ca="1">IFERROR(INDEX(nombres[],SMALL(IF(OFFSET(nombres[],0,0,ROWS(nombres[]),1)=DX$1490,ROW(OFFSET(nombres[],0,0,ROWS(nombres[]),1))-ROW(OFFSET(nombres[],0,0,1,1))+1,ROW(OFFSET(nombres[],ROWS(nombres[])-1,0,1,1))+1),$O1543:$O1562),3),"")</f>
        <v/>
      </c>
      <c r="DY1543" s="42" t="str">
        <f t="array" aca="1" ref="DY1543" ca="1">IFERROR(INDEX(nombres[],SMALL(IF(OFFSET(nombres[],0,0,ROWS(nombres[]),1)=DY$1490,ROW(OFFSET(nombres[],0,0,ROWS(nombres[]),1))-ROW(OFFSET(nombres[],0,0,1,1))+1,ROW(OFFSET(nombres[],ROWS(nombres[])-1,0,1,1))+1),$O1543:$O1562),3),"")</f>
        <v/>
      </c>
      <c r="DZ1543" s="42" t="str">
        <f t="array" aca="1" ref="DZ1543" ca="1">IFERROR(INDEX(nombres[],SMALL(IF(OFFSET(nombres[],0,0,ROWS(nombres[]),1)=DZ$1490,ROW(OFFSET(nombres[],0,0,ROWS(nombres[]),1))-ROW(OFFSET(nombres[],0,0,1,1))+1,ROW(OFFSET(nombres[],ROWS(nombres[])-1,0,1,1))+1),$O1543:$O1562),3),"")</f>
        <v/>
      </c>
      <c r="EA1543" s="42" t="str">
        <f t="array" aca="1" ref="EA1543" ca="1">IFERROR(INDEX(nombres[],SMALL(IF(OFFSET(nombres[],0,0,ROWS(nombres[]),1)=EA$1490,ROW(OFFSET(nombres[],0,0,ROWS(nombres[]),1))-ROW(OFFSET(nombres[],0,0,1,1))+1,ROW(OFFSET(nombres[],ROWS(nombres[])-1,0,1,1))+1),$O1543:$O1562),3),"")</f>
        <v/>
      </c>
      <c r="EB1543" s="42" t="str">
        <f t="array" aca="1" ref="EB1543" ca="1">IFERROR(INDEX(nombres[],SMALL(IF(OFFSET(nombres[],0,0,ROWS(nombres[]),1)=EB$1490,ROW(OFFSET(nombres[],0,0,ROWS(nombres[]),1))-ROW(OFFSET(nombres[],0,0,1,1))+1,ROW(OFFSET(nombres[],ROWS(nombres[])-1,0,1,1))+1),$O1543:$O1562),3),"")</f>
        <v/>
      </c>
      <c r="EC1543" s="42" t="str">
        <f t="array" aca="1" ref="EC1543" ca="1">IFERROR(INDEX(nombres[],SMALL(IF(OFFSET(nombres[],0,0,ROWS(nombres[]),1)=EC$1490,ROW(OFFSET(nombres[],0,0,ROWS(nombres[]),1))-ROW(OFFSET(nombres[],0,0,1,1))+1,ROW(OFFSET(nombres[],ROWS(nombres[])-1,0,1,1))+1),$O1543:$O1562),3),"")</f>
        <v/>
      </c>
      <c r="ED1543" s="42" t="str">
        <f t="array" aca="1" ref="ED1543" ca="1">IFERROR(INDEX(nombres[],SMALL(IF(OFFSET(nombres[],0,0,ROWS(nombres[]),1)=ED$1490,ROW(OFFSET(nombres[],0,0,ROWS(nombres[]),1))-ROW(OFFSET(nombres[],0,0,1,1))+1,ROW(OFFSET(nombres[],ROWS(nombres[])-1,0,1,1))+1),$O1543:$O1562),3),"")</f>
        <v/>
      </c>
      <c r="EE1543" s="42" t="str">
        <f t="array" aca="1" ref="EE1543" ca="1">IFERROR(INDEX(nombres[],SMALL(IF(OFFSET(nombres[],0,0,ROWS(nombres[]),1)=EE$1490,ROW(OFFSET(nombres[],0,0,ROWS(nombres[]),1))-ROW(OFFSET(nombres[],0,0,1,1))+1,ROW(OFFSET(nombres[],ROWS(nombres[])-1,0,1,1))+1),$O1543:$O1562),3),"")</f>
        <v/>
      </c>
      <c r="EF1543" s="42" t="str">
        <f t="array" aca="1" ref="EF1543" ca="1">IFERROR(INDEX(nombres[],SMALL(IF(OFFSET(nombres[],0,0,ROWS(nombres[]),1)=EF$1490,ROW(OFFSET(nombres[],0,0,ROWS(nombres[]),1))-ROW(OFFSET(nombres[],0,0,1,1))+1,ROW(OFFSET(nombres[],ROWS(nombres[])-1,0,1,1))+1),$O1543:$O1562),3),"")</f>
        <v/>
      </c>
      <c r="EG1543" s="42" t="str">
        <f t="array" aca="1" ref="EG1543" ca="1">IFERROR(INDEX(nombres[],SMALL(IF(OFFSET(nombres[],0,0,ROWS(nombres[]),1)=EG$1490,ROW(OFFSET(nombres[],0,0,ROWS(nombres[]),1))-ROW(OFFSET(nombres[],0,0,1,1))+1,ROW(OFFSET(nombres[],ROWS(nombres[])-1,0,1,1))+1),$O1543:$O1562),3),"")</f>
        <v/>
      </c>
      <c r="EH1543" s="42" t="str">
        <f t="array" aca="1" ref="EH1543" ca="1">IFERROR(INDEX(nombres[],SMALL(IF(OFFSET(nombres[],0,0,ROWS(nombres[]),1)=EH$1490,ROW(OFFSET(nombres[],0,0,ROWS(nombres[]),1))-ROW(OFFSET(nombres[],0,0,1,1))+1,ROW(OFFSET(nombres[],ROWS(nombres[])-1,0,1,1))+1),$O1543:$O1562),3),"")</f>
        <v/>
      </c>
      <c r="EI1543" s="42" t="str">
        <f t="array" aca="1" ref="EI1543" ca="1">IFERROR(INDEX(nombres[],SMALL(IF(OFFSET(nombres[],0,0,ROWS(nombres[]),1)=EI$1490,ROW(OFFSET(nombres[],0,0,ROWS(nombres[]),1))-ROW(OFFSET(nombres[],0,0,1,1))+1,ROW(OFFSET(nombres[],ROWS(nombres[])-1,0,1,1))+1),$O1543:$O1562),3),"")</f>
        <v/>
      </c>
      <c r="EJ1543" s="42" t="str">
        <f t="array" aca="1" ref="EJ1543" ca="1">IFERROR(INDEX(nombres[],SMALL(IF(OFFSET(nombres[],0,0,ROWS(nombres[]),1)=EJ$1490,ROW(OFFSET(nombres[],0,0,ROWS(nombres[]),1))-ROW(OFFSET(nombres[],0,0,1,1))+1,ROW(OFFSET(nombres[],ROWS(nombres[])-1,0,1,1))+1),$O1543:$O1562),3),"")</f>
        <v/>
      </c>
      <c r="EK1543" s="42" t="str">
        <f t="array" aca="1" ref="EK1543" ca="1">IFERROR(INDEX(nombres[],SMALL(IF(OFFSET(nombres[],0,0,ROWS(nombres[]),1)=EK$1490,ROW(OFFSET(nombres[],0,0,ROWS(nombres[]),1))-ROW(OFFSET(nombres[],0,0,1,1))+1,ROW(OFFSET(nombres[],ROWS(nombres[])-1,0,1,1))+1),$O1543:$O1562),3),"")</f>
        <v/>
      </c>
      <c r="EL1543" s="42" t="str">
        <f t="array" aca="1" ref="EL1543" ca="1">IFERROR(INDEX(nombres[],SMALL(IF(OFFSET(nombres[],0,0,ROWS(nombres[]),1)=EL$1490,ROW(OFFSET(nombres[],0,0,ROWS(nombres[]),1))-ROW(OFFSET(nombres[],0,0,1,1))+1,ROW(OFFSET(nombres[],ROWS(nombres[])-1,0,1,1))+1),$O1543:$O1562),3),"")</f>
        <v/>
      </c>
      <c r="EM1543" s="42" t="str">
        <f t="array" aca="1" ref="EM1543" ca="1">IFERROR(INDEX(nombres[],SMALL(IF(OFFSET(nombres[],0,0,ROWS(nombres[]),1)=EM$1490,ROW(OFFSET(nombres[],0,0,ROWS(nombres[]),1))-ROW(OFFSET(nombres[],0,0,1,1))+1,ROW(OFFSET(nombres[],ROWS(nombres[])-1,0,1,1))+1),$O1543:$O1562),3),"")</f>
        <v/>
      </c>
      <c r="EN1543" s="42" t="str">
        <f t="array" aca="1" ref="EN1543" ca="1">IFERROR(INDEX(nombres[],SMALL(IF(OFFSET(nombres[],0,0,ROWS(nombres[]),1)=EN$1490,ROW(OFFSET(nombres[],0,0,ROWS(nombres[]),1))-ROW(OFFSET(nombres[],0,0,1,1))+1,ROW(OFFSET(nombres[],ROWS(nombres[])-1,0,1,1))+1),$O1543:$O1562),3),"")</f>
        <v/>
      </c>
      <c r="EO1543" s="42" t="str">
        <f t="array" aca="1" ref="EO1543" ca="1">IFERROR(INDEX(nombres[],SMALL(IF(OFFSET(nombres[],0,0,ROWS(nombres[]),1)=EO$1490,ROW(OFFSET(nombres[],0,0,ROWS(nombres[]),1))-ROW(OFFSET(nombres[],0,0,1,1))+1,ROW(OFFSET(nombres[],ROWS(nombres[])-1,0,1,1))+1),$O1543:$O1562),3),"")</f>
        <v/>
      </c>
      <c r="EP1543" s="42" t="str">
        <f t="array" aca="1" ref="EP1543" ca="1">IFERROR(INDEX(nombres[],SMALL(IF(OFFSET(nombres[],0,0,ROWS(nombres[]),1)=EP$1490,ROW(OFFSET(nombres[],0,0,ROWS(nombres[]),1))-ROW(OFFSET(nombres[],0,0,1,1))+1,ROW(OFFSET(nombres[],ROWS(nombres[])-1,0,1,1))+1),$O1543:$O1562),3),"")</f>
        <v/>
      </c>
      <c r="EQ1543" s="42" t="str">
        <f t="array" aca="1" ref="EQ1543" ca="1">IFERROR(INDEX(nombres[],SMALL(IF(OFFSET(nombres[],0,0,ROWS(nombres[]),1)=EQ$1490,ROW(OFFSET(nombres[],0,0,ROWS(nombres[]),1))-ROW(OFFSET(nombres[],0,0,1,1))+1,ROW(OFFSET(nombres[],ROWS(nombres[])-1,0,1,1))+1),$O1543:$O1562),3),"")</f>
        <v/>
      </c>
      <c r="ER1543" s="42" t="str">
        <f t="array" aca="1" ref="ER1543" ca="1">IFERROR(INDEX(nombres[],SMALL(IF(OFFSET(nombres[],0,0,ROWS(nombres[]),1)=ER$1490,ROW(OFFSET(nombres[],0,0,ROWS(nombres[]),1))-ROW(OFFSET(nombres[],0,0,1,1))+1,ROW(OFFSET(nombres[],ROWS(nombres[])-1,0,1,1))+1),$O1543:$O1562),3),"")</f>
        <v/>
      </c>
      <c r="ES1543" s="42" t="str">
        <f t="array" aca="1" ref="ES1543" ca="1">IFERROR(INDEX(nombres[],SMALL(IF(OFFSET(nombres[],0,0,ROWS(nombres[]),1)=ES$1490,ROW(OFFSET(nombres[],0,0,ROWS(nombres[]),1))-ROW(OFFSET(nombres[],0,0,1,1))+1,ROW(OFFSET(nombres[],ROWS(nombres[])-1,0,1,1))+1),$O1543:$O1562),3),"")</f>
        <v/>
      </c>
      <c r="ET1543" s="42" t="str">
        <f t="array" aca="1" ref="ET1543" ca="1">IFERROR(INDEX(nombres[],SMALL(IF(OFFSET(nombres[],0,0,ROWS(nombres[]),1)=ET$1490,ROW(OFFSET(nombres[],0,0,ROWS(nombres[]),1))-ROW(OFFSET(nombres[],0,0,1,1))+1,ROW(OFFSET(nombres[],ROWS(nombres[])-1,0,1,1))+1),$O1543:$O1562),3),"")</f>
        <v/>
      </c>
      <c r="EU1543" s="42" t="str">
        <f t="array" aca="1" ref="EU1543" ca="1">IFERROR(INDEX(nombres[],SMALL(IF(OFFSET(nombres[],0,0,ROWS(nombres[]),1)=EU$1490,ROW(OFFSET(nombres[],0,0,ROWS(nombres[]),1))-ROW(OFFSET(nombres[],0,0,1,1))+1,ROW(OFFSET(nombres[],ROWS(nombres[])-1,0,1,1))+1),$O1543:$O1562),3),"")</f>
        <v/>
      </c>
      <c r="EV1543" s="42" t="str">
        <f t="array" aca="1" ref="EV1543" ca="1">IFERROR(INDEX(nombres[],SMALL(IF(OFFSET(nombres[],0,0,ROWS(nombres[]),1)=EV$1490,ROW(OFFSET(nombres[],0,0,ROWS(nombres[]),1))-ROW(OFFSET(nombres[],0,0,1,1))+1,ROW(OFFSET(nombres[],ROWS(nombres[])-1,0,1,1))+1),$O1543:$O1562),3),"")</f>
        <v/>
      </c>
      <c r="EW1543" s="42" t="str">
        <f t="array" aca="1" ref="EW1543" ca="1">IFERROR(INDEX(nombres[],SMALL(IF(OFFSET(nombres[],0,0,ROWS(nombres[]),1)=EW$1490,ROW(OFFSET(nombres[],0,0,ROWS(nombres[]),1))-ROW(OFFSET(nombres[],0,0,1,1))+1,ROW(OFFSET(nombres[],ROWS(nombres[])-1,0,1,1))+1),$O1543:$O1562),3),"")</f>
        <v/>
      </c>
      <c r="EX1543" s="42" t="str">
        <f t="array" aca="1" ref="EX1543" ca="1">IFERROR(INDEX(nombres[],SMALL(IF(OFFSET(nombres[],0,0,ROWS(nombres[]),1)=EX$1490,ROW(OFFSET(nombres[],0,0,ROWS(nombres[]),1))-ROW(OFFSET(nombres[],0,0,1,1))+1,ROW(OFFSET(nombres[],ROWS(nombres[])-1,0,1,1))+1),$O1543:$O1562),3),"")</f>
        <v/>
      </c>
      <c r="EY1543" s="42" t="str">
        <f t="array" aca="1" ref="EY1543" ca="1">IFERROR(INDEX(nombres[],SMALL(IF(OFFSET(nombres[],0,0,ROWS(nombres[]),1)=EY$1490,ROW(OFFSET(nombres[],0,0,ROWS(nombres[]),1))-ROW(OFFSET(nombres[],0,0,1,1))+1,ROW(OFFSET(nombres[],ROWS(nombres[])-1,0,1,1))+1),$O1543:$O1562),3),"")</f>
        <v/>
      </c>
      <c r="EZ1543" s="42" t="str">
        <f t="array" aca="1" ref="EZ1543" ca="1">IFERROR(INDEX(nombres[],SMALL(IF(OFFSET(nombres[],0,0,ROWS(nombres[]),1)=EZ$1490,ROW(OFFSET(nombres[],0,0,ROWS(nombres[]),1))-ROW(OFFSET(nombres[],0,0,1,1))+1,ROW(OFFSET(nombres[],ROWS(nombres[])-1,0,1,1))+1),$O1543:$O1562),3),"")</f>
        <v/>
      </c>
      <c r="FA1543" s="42" t="str">
        <f t="array" aca="1" ref="FA1543" ca="1">IFERROR(INDEX(nombres[],SMALL(IF(OFFSET(nombres[],0,0,ROWS(nombres[]),1)=FA$1490,ROW(OFFSET(nombres[],0,0,ROWS(nombres[]),1))-ROW(OFFSET(nombres[],0,0,1,1))+1,ROW(OFFSET(nombres[],ROWS(nombres[])-1,0,1,1))+1),$O1543:$O1562),3),"")</f>
        <v/>
      </c>
      <c r="FB1543" s="42" t="str">
        <f t="array" aca="1" ref="FB1543" ca="1">IFERROR(INDEX(nombres[],SMALL(IF(OFFSET(nombres[],0,0,ROWS(nombres[]),1)=FB$1490,ROW(OFFSET(nombres[],0,0,ROWS(nombres[]),1))-ROW(OFFSET(nombres[],0,0,1,1))+1,ROW(OFFSET(nombres[],ROWS(nombres[])-1,0,1,1))+1),$O1543:$O1562),3),"")</f>
        <v/>
      </c>
      <c r="FC1543" s="42">
        <f t="array" aca="1" ref="FC1543" ca="1">IFERROR(INDEX(nombres[],SMALL(IF(OFFSET(nombres[],0,0,ROWS(nombres[]),1)=FC$1490,ROW(OFFSET(nombres[],0,0,ROWS(nombres[]),1))-ROW(OFFSET(nombres[],0,0,1,1))+1,ROW(OFFSET(nombres[],ROWS(nombres[])-1,0,1,1))+1),$O1543:$O1562),3),"")</f>
        <v>221</v>
      </c>
      <c r="FD1543" s="42" t="str">
        <f t="array" aca="1" ref="FD1543" ca="1">IFERROR(INDEX(nombres[],SMALL(IF(OFFSET(nombres[],0,0,ROWS(nombres[]),1)=FD$1490,ROW(OFFSET(nombres[],0,0,ROWS(nombres[]),1))-ROW(OFFSET(nombres[],0,0,1,1))+1,ROW(OFFSET(nombres[],ROWS(nombres[])-1,0,1,1))+1),$O1543:$O1562),3),"")</f>
        <v/>
      </c>
      <c r="FE1543" s="42" t="str">
        <f t="array" aca="1" ref="FE1543" ca="1">IFERROR(INDEX(nombres[],SMALL(IF(OFFSET(nombres[],0,0,ROWS(nombres[]),1)=FE$1490,ROW(OFFSET(nombres[],0,0,ROWS(nombres[]),1))-ROW(OFFSET(nombres[],0,0,1,1))+1,ROW(OFFSET(nombres[],ROWS(nombres[])-1,0,1,1))+1),$O1543:$O1562),3),"")</f>
        <v/>
      </c>
      <c r="FF1543" s="42" t="str">
        <f t="array" aca="1" ref="FF1543" ca="1">IFERROR(INDEX(nombres[],SMALL(IF(OFFSET(nombres[],0,0,ROWS(nombres[]),1)=FF$1490,ROW(OFFSET(nombres[],0,0,ROWS(nombres[]),1))-ROW(OFFSET(nombres[],0,0,1,1))+1,ROW(OFFSET(nombres[],ROWS(nombres[])-1,0,1,1))+1),$O1543:$O1562),3),"")</f>
        <v/>
      </c>
      <c r="FG1543" s="42" t="str">
        <f t="array" aca="1" ref="FG1543" ca="1">IFERROR(INDEX(nombres[],SMALL(IF(OFFSET(nombres[],0,0,ROWS(nombres[]),1)=FG$1490,ROW(OFFSET(nombres[],0,0,ROWS(nombres[]),1))-ROW(OFFSET(nombres[],0,0,1,1))+1,ROW(OFFSET(nombres[],ROWS(nombres[])-1,0,1,1))+1),$O1543:$O1562),3),"")</f>
        <v/>
      </c>
      <c r="FH1543" s="42" t="str">
        <f t="array" aca="1" ref="FH1543" ca="1">IFERROR(INDEX(nombres[],SMALL(IF(OFFSET(nombres[],0,0,ROWS(nombres[]),1)=FH$1490,ROW(OFFSET(nombres[],0,0,ROWS(nombres[]),1))-ROW(OFFSET(nombres[],0,0,1,1))+1,ROW(OFFSET(nombres[],ROWS(nombres[])-1,0,1,1))+1),$O1543:$O1562),3),"")</f>
        <v/>
      </c>
      <c r="FI1543" s="42" t="str">
        <f t="array" aca="1" ref="FI1543" ca="1">IFERROR(INDEX(nombres[],SMALL(IF(OFFSET(nombres[],0,0,ROWS(nombres[]),1)=FI$1490,ROW(OFFSET(nombres[],0,0,ROWS(nombres[]),1))-ROW(OFFSET(nombres[],0,0,1,1))+1,ROW(OFFSET(nombres[],ROWS(nombres[])-1,0,1,1))+1),$O1543:$O1562),3),"")</f>
        <v/>
      </c>
      <c r="FJ1543" s="42" t="str">
        <f t="array" aca="1" ref="FJ1543" ca="1">IFERROR(INDEX(nombres[],SMALL(IF(OFFSET(nombres[],0,0,ROWS(nombres[]),1)=FJ$1490,ROW(OFFSET(nombres[],0,0,ROWS(nombres[]),1))-ROW(OFFSET(nombres[],0,0,1,1))+1,ROW(OFFSET(nombres[],ROWS(nombres[])-1,0,1,1))+1),$O1543:$O1562),3),"")</f>
        <v/>
      </c>
      <c r="FK1543" s="42" t="str">
        <f t="array" aca="1" ref="FK1543" ca="1">IFERROR(INDEX(nombres[],SMALL(IF(OFFSET(nombres[],0,0,ROWS(nombres[]),1)=FK$1490,ROW(OFFSET(nombres[],0,0,ROWS(nombres[]),1))-ROW(OFFSET(nombres[],0,0,1,1))+1,ROW(OFFSET(nombres[],ROWS(nombres[])-1,0,1,1))+1),$O1543:$O1562),3),"")</f>
        <v/>
      </c>
      <c r="FL1543" s="42" t="str">
        <f t="array" aca="1" ref="FL1543" ca="1">IFERROR(INDEX(nombres[],SMALL(IF(OFFSET(nombres[],0,0,ROWS(nombres[]),1)=FL$1490,ROW(OFFSET(nombres[],0,0,ROWS(nombres[]),1))-ROW(OFFSET(nombres[],0,0,1,1))+1,ROW(OFFSET(nombres[],ROWS(nombres[])-1,0,1,1))+1),$O1543:$O1562),3),"")</f>
        <v/>
      </c>
      <c r="FM1543" s="42" t="str">
        <f t="array" aca="1" ref="FM1543" ca="1">IFERROR(INDEX(nombres[],SMALL(IF(OFFSET(nombres[],0,0,ROWS(nombres[]),1)=FM$1490,ROW(OFFSET(nombres[],0,0,ROWS(nombres[]),1))-ROW(OFFSET(nombres[],0,0,1,1))+1,ROW(OFFSET(nombres[],ROWS(nombres[])-1,0,1,1))+1),$O1543:$O1562),3),"")</f>
        <v/>
      </c>
      <c r="FN1543" s="42" t="str">
        <f t="array" aca="1" ref="FN1543" ca="1">IFERROR(INDEX(nombres[],SMALL(IF(OFFSET(nombres[],0,0,ROWS(nombres[]),1)=FN$1490,ROW(OFFSET(nombres[],0,0,ROWS(nombres[]),1))-ROW(OFFSET(nombres[],0,0,1,1))+1,ROW(OFFSET(nombres[],ROWS(nombres[])-1,0,1,1))+1),$O1543:$O1562),3),"")</f>
        <v/>
      </c>
      <c r="FO1543" s="42" t="str">
        <f t="array" aca="1" ref="FO1543" ca="1">IFERROR(INDEX(nombres[],SMALL(IF(OFFSET(nombres[],0,0,ROWS(nombres[]),1)=FO$1490,ROW(OFFSET(nombres[],0,0,ROWS(nombres[]),1))-ROW(OFFSET(nombres[],0,0,1,1))+1,ROW(OFFSET(nombres[],ROWS(nombres[])-1,0,1,1))+1),$O1543:$O1562),3),"")</f>
        <v/>
      </c>
      <c r="FP1543" s="42" t="str">
        <f t="array" aca="1" ref="FP1543" ca="1">IFERROR(INDEX(nombres[],SMALL(IF(OFFSET(nombres[],0,0,ROWS(nombres[]),1)=FP$1490,ROW(OFFSET(nombres[],0,0,ROWS(nombres[]),1))-ROW(OFFSET(nombres[],0,0,1,1))+1,ROW(OFFSET(nombres[],ROWS(nombres[])-1,0,1,1))+1),$O1543:$O1562),3),"")</f>
        <v/>
      </c>
      <c r="FQ1543" s="42" t="str">
        <f t="array" aca="1" ref="FQ1543" ca="1">IFERROR(INDEX(nombres[],SMALL(IF(OFFSET(nombres[],0,0,ROWS(nombres[]),1)=FQ$1490,ROW(OFFSET(nombres[],0,0,ROWS(nombres[]),1))-ROW(OFFSET(nombres[],0,0,1,1))+1,ROW(OFFSET(nombres[],ROWS(nombres[])-1,0,1,1))+1),$O1543:$O1562),3),"")</f>
        <v/>
      </c>
      <c r="FR1543" s="42" t="str">
        <f t="array" aca="1" ref="FR1543" ca="1">IFERROR(INDEX(nombres[],SMALL(IF(OFFSET(nombres[],0,0,ROWS(nombres[]),1)=FR$1490,ROW(OFFSET(nombres[],0,0,ROWS(nombres[]),1))-ROW(OFFSET(nombres[],0,0,1,1))+1,ROW(OFFSET(nombres[],ROWS(nombres[])-1,0,1,1))+1),$O1543:$O1562),3),"")</f>
        <v/>
      </c>
      <c r="FS1543" s="42" t="str">
        <f t="array" aca="1" ref="FS1543" ca="1">IFERROR(INDEX(nombres[],SMALL(IF(OFFSET(nombres[],0,0,ROWS(nombres[]),1)=FS$1490,ROW(OFFSET(nombres[],0,0,ROWS(nombres[]),1))-ROW(OFFSET(nombres[],0,0,1,1))+1,ROW(OFFSET(nombres[],ROWS(nombres[])-1,0,1,1))+1),$O1543:$O1562),3),"")</f>
        <v/>
      </c>
      <c r="FT1543" s="42" t="str">
        <f t="array" aca="1" ref="FT1543" ca="1">IFERROR(INDEX(nombres[],SMALL(IF(OFFSET(nombres[],0,0,ROWS(nombres[]),1)=FT$1490,ROW(OFFSET(nombres[],0,0,ROWS(nombres[]),1))-ROW(OFFSET(nombres[],0,0,1,1))+1,ROW(OFFSET(nombres[],ROWS(nombres[])-1,0,1,1))+1),$O1543:$O1562),3),"")</f>
        <v/>
      </c>
      <c r="FU1543" s="42" t="str">
        <f t="array" aca="1" ref="FU1543" ca="1">IFERROR(INDEX(nombres[],SMALL(IF(OFFSET(nombres[],0,0,ROWS(nombres[]),1)=FU$1490,ROW(OFFSET(nombres[],0,0,ROWS(nombres[]),1))-ROW(OFFSET(nombres[],0,0,1,1))+1,ROW(OFFSET(nombres[],ROWS(nombres[])-1,0,1,1))+1),$O1543:$O1562),3),"")</f>
        <v/>
      </c>
      <c r="FV1543" s="42" t="str">
        <f t="array" aca="1" ref="FV1543" ca="1">IFERROR(INDEX(nombres[],SMALL(IF(OFFSET(nombres[],0,0,ROWS(nombres[]),1)=FV$1490,ROW(OFFSET(nombres[],0,0,ROWS(nombres[]),1))-ROW(OFFSET(nombres[],0,0,1,1))+1,ROW(OFFSET(nombres[],ROWS(nombres[])-1,0,1,1))+1),$O1543:$O1562),3),"")</f>
        <v/>
      </c>
      <c r="FW1543" s="42" t="str">
        <f t="array" aca="1" ref="FW1543" ca="1">IFERROR(INDEX(nombres[],SMALL(IF(OFFSET(nombres[],0,0,ROWS(nombres[]),1)=FW$1490,ROW(OFFSET(nombres[],0,0,ROWS(nombres[]),1))-ROW(OFFSET(nombres[],0,0,1,1))+1,ROW(OFFSET(nombres[],ROWS(nombres[])-1,0,1,1))+1),$O1543:$O1562),3),"")</f>
        <v/>
      </c>
      <c r="FX1543" s="42" t="str">
        <f t="array" aca="1" ref="FX1543" ca="1">IFERROR(INDEX(nombres[],SMALL(IF(OFFSET(nombres[],0,0,ROWS(nombres[]),1)=FX$1490,ROW(OFFSET(nombres[],0,0,ROWS(nombres[]),1))-ROW(OFFSET(nombres[],0,0,1,1))+1,ROW(OFFSET(nombres[],ROWS(nombres[])-1,0,1,1))+1),$O1543:$O1562),3),"")</f>
        <v/>
      </c>
      <c r="FY1543" s="42" t="str">
        <f t="array" aca="1" ref="FY1543" ca="1">IFERROR(INDEX(nombres[],SMALL(IF(OFFSET(nombres[],0,0,ROWS(nombres[]),1)=FY$1490,ROW(OFFSET(nombres[],0,0,ROWS(nombres[]),1))-ROW(OFFSET(nombres[],0,0,1,1))+1,ROW(OFFSET(nombres[],ROWS(nombres[])-1,0,1,1))+1),$O1543:$O1562),3),"")</f>
        <v/>
      </c>
      <c r="FZ1543" s="42" t="str">
        <f t="array" aca="1" ref="FZ1543" ca="1">IFERROR(INDEX(nombres[],SMALL(IF(OFFSET(nombres[],0,0,ROWS(nombres[]),1)=FZ$1490,ROW(OFFSET(nombres[],0,0,ROWS(nombres[]),1))-ROW(OFFSET(nombres[],0,0,1,1))+1,ROW(OFFSET(nombres[],ROWS(nombres[])-1,0,1,1))+1),$O1543:$O1562),3),"")</f>
        <v/>
      </c>
      <c r="GA1543" s="42" t="str">
        <f t="array" aca="1" ref="GA1543" ca="1">IFERROR(INDEX(nombres[],SMALL(IF(OFFSET(nombres[],0,0,ROWS(nombres[]),1)=GA$1490,ROW(OFFSET(nombres[],0,0,ROWS(nombres[]),1))-ROW(OFFSET(nombres[],0,0,1,1))+1,ROW(OFFSET(nombres[],ROWS(nombres[])-1,0,1,1))+1),$O1543:$O1562),3),"")</f>
        <v/>
      </c>
      <c r="GB1543" s="42" t="str">
        <f t="array" aca="1" ref="GB1543" ca="1">IFERROR(INDEX(nombres[],SMALL(IF(OFFSET(nombres[],0,0,ROWS(nombres[]),1)=GB$1490,ROW(OFFSET(nombres[],0,0,ROWS(nombres[]),1))-ROW(OFFSET(nombres[],0,0,1,1))+1,ROW(OFFSET(nombres[],ROWS(nombres[])-1,0,1,1))+1),$O1543:$O1562),3),"")</f>
        <v/>
      </c>
      <c r="GC1543" s="42">
        <f t="array" aca="1" ref="GC1543" ca="1">IFERROR(INDEX(nombres[],SMALL(IF(OFFSET(nombres[],0,0,ROWS(nombres[]),1)=GC$1490,ROW(OFFSET(nombres[],0,0,ROWS(nombres[]),1))-ROW(OFFSET(nombres[],0,0,1,1))+1,ROW(OFFSET(nombres[],ROWS(nombres[])-1,0,1,1))+1),$O1543:$O1562),3),"")</f>
        <v>299</v>
      </c>
      <c r="GD1543" s="42" t="str">
        <f t="array" aca="1" ref="GD1543" ca="1">IFERROR(INDEX(nombres[],SMALL(IF(OFFSET(nombres[],0,0,ROWS(nombres[]),1)=GD$1490,ROW(OFFSET(nombres[],0,0,ROWS(nombres[]),1))-ROW(OFFSET(nombres[],0,0,1,1))+1,ROW(OFFSET(nombres[],ROWS(nombres[])-1,0,1,1))+1),$O1543:$O1562),3),"")</f>
        <v/>
      </c>
      <c r="GE1543" s="42" t="str">
        <f t="array" aca="1" ref="GE1543" ca="1">IFERROR(INDEX(nombres[],SMALL(IF(OFFSET(nombres[],0,0,ROWS(nombres[]),1)=GE$1490,ROW(OFFSET(nombres[],0,0,ROWS(nombres[]),1))-ROW(OFFSET(nombres[],0,0,1,1))+1,ROW(OFFSET(nombres[],ROWS(nombres[])-1,0,1,1))+1),$O1543:$O1562),3),"")</f>
        <v/>
      </c>
      <c r="GF1543" s="42" t="str">
        <f t="array" aca="1" ref="GF1543" ca="1">IFERROR(INDEX(nombres[],SMALL(IF(OFFSET(nombres[],0,0,ROWS(nombres[]),1)=GF$1490,ROW(OFFSET(nombres[],0,0,ROWS(nombres[]),1))-ROW(OFFSET(nombres[],0,0,1,1))+1,ROW(OFFSET(nombres[],ROWS(nombres[])-1,0,1,1))+1),$O1543:$O1562),3),"")</f>
        <v/>
      </c>
      <c r="GG1543" s="42">
        <f t="array" aca="1" ref="GG1543" ca="1">IFERROR(INDEX(nombres[],SMALL(IF(OFFSET(nombres[],0,0,ROWS(nombres[]),1)=GG$1490,ROW(OFFSET(nombres[],0,0,ROWS(nombres[]),1))-ROW(OFFSET(nombres[],0,0,1,1))+1,ROW(OFFSET(nombres[],ROWS(nombres[])-1,0,1,1))+1),$O1543:$O1562),3),"")</f>
        <v>255</v>
      </c>
      <c r="GH1543" s="42" t="str">
        <f t="array" aca="1" ref="GH1543" ca="1">IFERROR(INDEX(nombres[],SMALL(IF(OFFSET(nombres[],0,0,ROWS(nombres[]),1)=GH$1490,ROW(OFFSET(nombres[],0,0,ROWS(nombres[]),1))-ROW(OFFSET(nombres[],0,0,1,1))+1,ROW(OFFSET(nombres[],ROWS(nombres[])-1,0,1,1))+1),$O1543:$O1562),3),"")</f>
        <v/>
      </c>
      <c r="GI1543" s="42" t="str">
        <f t="array" aca="1" ref="GI1543" ca="1">IFERROR(INDEX(nombres[],SMALL(IF(OFFSET(nombres[],0,0,ROWS(nombres[]),1)=GI$1490,ROW(OFFSET(nombres[],0,0,ROWS(nombres[]),1))-ROW(OFFSET(nombres[],0,0,1,1))+1,ROW(OFFSET(nombres[],ROWS(nombres[])-1,0,1,1))+1),$O1543:$O1562),3),"")</f>
        <v/>
      </c>
      <c r="GJ1543" s="42" t="str">
        <f t="array" aca="1" ref="GJ1543" ca="1">IFERROR(INDEX(nombres[],SMALL(IF(OFFSET(nombres[],0,0,ROWS(nombres[]),1)=GJ$1490,ROW(OFFSET(nombres[],0,0,ROWS(nombres[]),1))-ROW(OFFSET(nombres[],0,0,1,1))+1,ROW(OFFSET(nombres[],ROWS(nombres[])-1,0,1,1))+1),$O1543:$O1562),3),"")</f>
        <v/>
      </c>
      <c r="GK1543" s="42" t="str">
        <f t="array" aca="1" ref="GK1543" ca="1">IFERROR(INDEX(nombres[],SMALL(IF(OFFSET(nombres[],0,0,ROWS(nombres[]),1)=GK$1490,ROW(OFFSET(nombres[],0,0,ROWS(nombres[]),1))-ROW(OFFSET(nombres[],0,0,1,1))+1,ROW(OFFSET(nombres[],ROWS(nombres[])-1,0,1,1))+1),$O1543:$O1562),3),"")</f>
        <v/>
      </c>
      <c r="GL1543" s="42" t="str">
        <f t="array" aca="1" ref="GL1543" ca="1">IFERROR(INDEX(nombres[],SMALL(IF(OFFSET(nombres[],0,0,ROWS(nombres[]),1)=GL$1490,ROW(OFFSET(nombres[],0,0,ROWS(nombres[]),1))-ROW(OFFSET(nombres[],0,0,1,1))+1,ROW(OFFSET(nombres[],ROWS(nombres[])-1,0,1,1))+1),$O1543:$O1562),3),"")</f>
        <v/>
      </c>
      <c r="GM1543" s="42" t="str">
        <f t="array" aca="1" ref="GM1543" ca="1">IFERROR(INDEX(nombres[],SMALL(IF(OFFSET(nombres[],0,0,ROWS(nombres[]),1)=GM$1490,ROW(OFFSET(nombres[],0,0,ROWS(nombres[]),1))-ROW(OFFSET(nombres[],0,0,1,1))+1,ROW(OFFSET(nombres[],ROWS(nombres[])-1,0,1,1))+1),$O1543:$O1562),3),"")</f>
        <v/>
      </c>
      <c r="GN1543" s="42" t="str">
        <f t="array" aca="1" ref="GN1543" ca="1">IFERROR(INDEX(nombres[],SMALL(IF(OFFSET(nombres[],0,0,ROWS(nombres[]),1)=GN$1490,ROW(OFFSET(nombres[],0,0,ROWS(nombres[]),1))-ROW(OFFSET(nombres[],0,0,1,1))+1,ROW(OFFSET(nombres[],ROWS(nombres[])-1,0,1,1))+1),$O1543:$O1562),3),"")</f>
        <v/>
      </c>
      <c r="GO1543" s="42" t="str">
        <f t="array" aca="1" ref="GO1543" ca="1">IFERROR(INDEX(nombres[],SMALL(IF(OFFSET(nombres[],0,0,ROWS(nombres[]),1)=GO$1490,ROW(OFFSET(nombres[],0,0,ROWS(nombres[]),1))-ROW(OFFSET(nombres[],0,0,1,1))+1,ROW(OFFSET(nombres[],ROWS(nombres[])-1,0,1,1))+1),$O1543:$O1562),3),"")</f>
        <v/>
      </c>
      <c r="GP1543" s="42" t="str">
        <f t="array" aca="1" ref="GP1543" ca="1">IFERROR(INDEX(nombres[],SMALL(IF(OFFSET(nombres[],0,0,ROWS(nombres[]),1)=GP$1490,ROW(OFFSET(nombres[],0,0,ROWS(nombres[]),1))-ROW(OFFSET(nombres[],0,0,1,1))+1,ROW(OFFSET(nombres[],ROWS(nombres[])-1,0,1,1))+1),$O1543:$O1562),3),"")</f>
        <v/>
      </c>
      <c r="GQ1543" s="42" t="str">
        <f t="array" aca="1" ref="GQ1543" ca="1">IFERROR(INDEX(nombres[],SMALL(IF(OFFSET(nombres[],0,0,ROWS(nombres[]),1)=GQ$1490,ROW(OFFSET(nombres[],0,0,ROWS(nombres[]),1))-ROW(OFFSET(nombres[],0,0,1,1))+1,ROW(OFFSET(nombres[],ROWS(nombres[])-1,0,1,1))+1),$O1543:$O1562),3),"")</f>
        <v/>
      </c>
      <c r="GR1543" s="42" t="str">
        <f t="array" aca="1" ref="GR1543" ca="1">IFERROR(INDEX(nombres[],SMALL(IF(OFFSET(nombres[],0,0,ROWS(nombres[]),1)=GR$1490,ROW(OFFSET(nombres[],0,0,ROWS(nombres[]),1))-ROW(OFFSET(nombres[],0,0,1,1))+1,ROW(OFFSET(nombres[],ROWS(nombres[])-1,0,1,1))+1),$O1543:$O1562),3),"")</f>
        <v/>
      </c>
      <c r="GS1543" s="42" t="str">
        <f t="array" aca="1" ref="GS1543" ca="1">IFERROR(INDEX(nombres[],SMALL(IF(OFFSET(nombres[],0,0,ROWS(nombres[]),1)=GS$1490,ROW(OFFSET(nombres[],0,0,ROWS(nombres[]),1))-ROW(OFFSET(nombres[],0,0,1,1))+1,ROW(OFFSET(nombres[],ROWS(nombres[])-1,0,1,1))+1),$O1543:$O1562),3),"")</f>
        <v/>
      </c>
      <c r="GT1543" s="42" t="str">
        <f t="array" aca="1" ref="GT1543" ca="1">IFERROR(INDEX(nombres[],SMALL(IF(OFFSET(nombres[],0,0,ROWS(nombres[]),1)=GT$1490,ROW(OFFSET(nombres[],0,0,ROWS(nombres[]),1))-ROW(OFFSET(nombres[],0,0,1,1))+1,ROW(OFFSET(nombres[],ROWS(nombres[])-1,0,1,1))+1),$O1543:$O1562),3),"")</f>
        <v/>
      </c>
      <c r="GU1543" s="42" t="str">
        <f t="array" aca="1" ref="GU1543" ca="1">IFERROR(INDEX(nombres[],SMALL(IF(OFFSET(nombres[],0,0,ROWS(nombres[]),1)=GU$1490,ROW(OFFSET(nombres[],0,0,ROWS(nombres[]),1))-ROW(OFFSET(nombres[],0,0,1,1))+1,ROW(OFFSET(nombres[],ROWS(nombres[])-1,0,1,1))+1),$O1543:$O1562),3),"")</f>
        <v/>
      </c>
      <c r="GV1543" s="42" t="str">
        <f t="array" aca="1" ref="GV1543" ca="1">IFERROR(INDEX(nombres[],SMALL(IF(OFFSET(nombres[],0,0,ROWS(nombres[]),1)=GV$1490,ROW(OFFSET(nombres[],0,0,ROWS(nombres[]),1))-ROW(OFFSET(nombres[],0,0,1,1))+1,ROW(OFFSET(nombres[],ROWS(nombres[])-1,0,1,1))+1),$O1543:$O1562),3),"")</f>
        <v/>
      </c>
      <c r="GW1543" s="42" t="str">
        <f t="array" aca="1" ref="GW1543" ca="1">IFERROR(INDEX(nombres[],SMALL(IF(OFFSET(nombres[],0,0,ROWS(nombres[]),1)=GW$1490,ROW(OFFSET(nombres[],0,0,ROWS(nombres[]),1))-ROW(OFFSET(nombres[],0,0,1,1))+1,ROW(OFFSET(nombres[],ROWS(nombres[])-1,0,1,1))+1),$O1543:$O1562),3),"")</f>
        <v/>
      </c>
      <c r="GX1543" s="42" t="str">
        <f t="array" aca="1" ref="GX1543" ca="1">IFERROR(INDEX(nombres[],SMALL(IF(OFFSET(nombres[],0,0,ROWS(nombres[]),1)=GX$1490,ROW(OFFSET(nombres[],0,0,ROWS(nombres[]),1))-ROW(OFFSET(nombres[],0,0,1,1))+1,ROW(OFFSET(nombres[],ROWS(nombres[])-1,0,1,1))+1),$O1543:$O1562),3),"")</f>
        <v/>
      </c>
      <c r="GY1543" s="42" t="str">
        <f t="array" aca="1" ref="GY1543" ca="1">IFERROR(INDEX(nombres[],SMALL(IF(OFFSET(nombres[],0,0,ROWS(nombres[]),1)=GY$1490,ROW(OFFSET(nombres[],0,0,ROWS(nombres[]),1))-ROW(OFFSET(nombres[],0,0,1,1))+1,ROW(OFFSET(nombres[],ROWS(nombres[])-1,0,1,1))+1),$O1543:$O1562),3),"")</f>
        <v/>
      </c>
      <c r="GZ1543" s="42" t="str">
        <f t="array" aca="1" ref="GZ1543" ca="1">IFERROR(INDEX(nombres[],SMALL(IF(OFFSET(nombres[],0,0,ROWS(nombres[]),1)=GZ$1490,ROW(OFFSET(nombres[],0,0,ROWS(nombres[]),1))-ROW(OFFSET(nombres[],0,0,1,1))+1,ROW(OFFSET(nombres[],ROWS(nombres[])-1,0,1,1))+1),$O1543:$O1562),3),"")</f>
        <v/>
      </c>
      <c r="HA1543" s="42" t="str">
        <f t="array" aca="1" ref="HA1543" ca="1">IFERROR(INDEX(nombres[],SMALL(IF(OFFSET(nombres[],0,0,ROWS(nombres[]),1)=HA$1490,ROW(OFFSET(nombres[],0,0,ROWS(nombres[]),1))-ROW(OFFSET(nombres[],0,0,1,1))+1,ROW(OFFSET(nombres[],ROWS(nombres[])-1,0,1,1))+1),$O1543:$O1562),3),"")</f>
        <v/>
      </c>
      <c r="HB1543" s="42" t="str">
        <f t="array" aca="1" ref="HB1543" ca="1">IFERROR(INDEX(nombres[],SMALL(IF(OFFSET(nombres[],0,0,ROWS(nombres[]),1)=HB$1490,ROW(OFFSET(nombres[],0,0,ROWS(nombres[]),1))-ROW(OFFSET(nombres[],0,0,1,1))+1,ROW(OFFSET(nombres[],ROWS(nombres[])-1,0,1,1))+1),$O1543:$O1562),3),"")</f>
        <v/>
      </c>
      <c r="HC1543" s="42" t="str">
        <f t="array" aca="1" ref="HC1543" ca="1">IFERROR(INDEX(nombres[],SMALL(IF(OFFSET(nombres[],0,0,ROWS(nombres[]),1)=HC$1490,ROW(OFFSET(nombres[],0,0,ROWS(nombres[]),1))-ROW(OFFSET(nombres[],0,0,1,1))+1,ROW(OFFSET(nombres[],ROWS(nombres[])-1,0,1,1))+1),$O1543:$O1562),3),"")</f>
        <v/>
      </c>
      <c r="HD1543" s="42" t="str">
        <f t="array" aca="1" ref="HD1543" ca="1">IFERROR(INDEX(nombres[],SMALL(IF(OFFSET(nombres[],0,0,ROWS(nombres[]),1)=HD$1490,ROW(OFFSET(nombres[],0,0,ROWS(nombres[]),1))-ROW(OFFSET(nombres[],0,0,1,1))+1,ROW(OFFSET(nombres[],ROWS(nombres[])-1,0,1,1))+1),$O1543:$O1562),3),"")</f>
        <v/>
      </c>
      <c r="HE1543" s="42" t="str">
        <f t="array" aca="1" ref="HE1543" ca="1">IFERROR(INDEX(nombres[],SMALL(IF(OFFSET(nombres[],0,0,ROWS(nombres[]),1)=HE$1490,ROW(OFFSET(nombres[],0,0,ROWS(nombres[]),1))-ROW(OFFSET(nombres[],0,0,1,1))+1,ROW(OFFSET(nombres[],ROWS(nombres[])-1,0,1,1))+1),$O1543:$O1562),3),"")</f>
        <v/>
      </c>
      <c r="HF1543" s="42" t="str">
        <f t="array" aca="1" ref="HF1543" ca="1">IFERROR(INDEX(nombres[],SMALL(IF(OFFSET(nombres[],0,0,ROWS(nombres[]),1)=HF$1490,ROW(OFFSET(nombres[],0,0,ROWS(nombres[]),1))-ROW(OFFSET(nombres[],0,0,1,1))+1,ROW(OFFSET(nombres[],ROWS(nombres[])-1,0,1,1))+1),$O1543:$O1562),3),"")</f>
        <v/>
      </c>
      <c r="HG1543" s="42" t="str">
        <f t="array" aca="1" ref="HG1543" ca="1">IFERROR(INDEX(nombres[],SMALL(IF(OFFSET(nombres[],0,0,ROWS(nombres[]),1)=HG$1490,ROW(OFFSET(nombres[],0,0,ROWS(nombres[]),1))-ROW(OFFSET(nombres[],0,0,1,1))+1,ROW(OFFSET(nombres[],ROWS(nombres[])-1,0,1,1))+1),$O1543:$O1562),3),"")</f>
        <v/>
      </c>
      <c r="HH1543" s="42" t="str">
        <f t="array" aca="1" ref="HH1543" ca="1">IFERROR(INDEX(nombres[],SMALL(IF(OFFSET(nombres[],0,0,ROWS(nombres[]),1)=HH$1490,ROW(OFFSET(nombres[],0,0,ROWS(nombres[]),1))-ROW(OFFSET(nombres[],0,0,1,1))+1,ROW(OFFSET(nombres[],ROWS(nombres[])-1,0,1,1))+1),$O1543:$O1562),3),"")</f>
        <v/>
      </c>
      <c r="HI1543" s="42" t="str">
        <f t="array" aca="1" ref="HI1543" ca="1">IFERROR(INDEX(nombres[],SMALL(IF(OFFSET(nombres[],0,0,ROWS(nombres[]),1)=HI$1490,ROW(OFFSET(nombres[],0,0,ROWS(nombres[]),1))-ROW(OFFSET(nombres[],0,0,1,1))+1,ROW(OFFSET(nombres[],ROWS(nombres[])-1,0,1,1))+1),$O1543:$O1562),3),"")</f>
        <v/>
      </c>
      <c r="HJ1543" s="42" t="str">
        <f t="array" aca="1" ref="HJ1543" ca="1">IFERROR(INDEX(nombres[],SMALL(IF(OFFSET(nombres[],0,0,ROWS(nombres[]),1)=HJ$1490,ROW(OFFSET(nombres[],0,0,ROWS(nombres[]),1))-ROW(OFFSET(nombres[],0,0,1,1))+1,ROW(OFFSET(nombres[],ROWS(nombres[])-1,0,1,1))+1),$O1543:$O1562),3),"")</f>
        <v/>
      </c>
      <c r="HK1543" s="42" t="str">
        <f t="array" aca="1" ref="HK1543" ca="1">IFERROR(INDEX(nombres[],SMALL(IF(OFFSET(nombres[],0,0,ROWS(nombres[]),1)=HK$1490,ROW(OFFSET(nombres[],0,0,ROWS(nombres[]),1))-ROW(OFFSET(nombres[],0,0,1,1))+1,ROW(OFFSET(nombres[],ROWS(nombres[])-1,0,1,1))+1),$O1543:$O1562),3),"")</f>
        <v/>
      </c>
      <c r="HL1543" s="42" t="str">
        <f t="array" aca="1" ref="HL1543" ca="1">IFERROR(INDEX(nombres[],SMALL(IF(OFFSET(nombres[],0,0,ROWS(nombres[]),1)=HL$1490,ROW(OFFSET(nombres[],0,0,ROWS(nombres[]),1))-ROW(OFFSET(nombres[],0,0,1,1))+1,ROW(OFFSET(nombres[],ROWS(nombres[])-1,0,1,1))+1),$O1543:$O1562),3),"")</f>
        <v/>
      </c>
      <c r="HM1543" s="42" t="str">
        <f t="array" aca="1" ref="HM1543" ca="1">IFERROR(INDEX(nombres[],SMALL(IF(OFFSET(nombres[],0,0,ROWS(nombres[]),1)=HM$1490,ROW(OFFSET(nombres[],0,0,ROWS(nombres[]),1))-ROW(OFFSET(nombres[],0,0,1,1))+1,ROW(OFFSET(nombres[],ROWS(nombres[])-1,0,1,1))+1),$O1543:$O1562),3),"")</f>
        <v/>
      </c>
      <c r="HN1543" s="42" t="str">
        <f t="array" aca="1" ref="HN1543" ca="1">IFERROR(INDEX(nombres[],SMALL(IF(OFFSET(nombres[],0,0,ROWS(nombres[]),1)=HN$1490,ROW(OFFSET(nombres[],0,0,ROWS(nombres[]),1))-ROW(OFFSET(nombres[],0,0,1,1))+1,ROW(OFFSET(nombres[],ROWS(nombres[])-1,0,1,1))+1),$O1543:$O1562),3),"")</f>
        <v/>
      </c>
      <c r="HO1543" s="42" t="str">
        <f t="array" aca="1" ref="HO1543" ca="1">IFERROR(INDEX(nombres[],SMALL(IF(OFFSET(nombres[],0,0,ROWS(nombres[]),1)=HO$1490,ROW(OFFSET(nombres[],0,0,ROWS(nombres[]),1))-ROW(OFFSET(nombres[],0,0,1,1))+1,ROW(OFFSET(nombres[],ROWS(nombres[])-1,0,1,1))+1),$O1543:$O1562),3),"")</f>
        <v/>
      </c>
      <c r="HP1543" s="42" t="str">
        <f t="array" aca="1" ref="HP1543" ca="1">IFERROR(INDEX(nombres[],SMALL(IF(OFFSET(nombres[],0,0,ROWS(nombres[]),1)=HP$1490,ROW(OFFSET(nombres[],0,0,ROWS(nombres[]),1))-ROW(OFFSET(nombres[],0,0,1,1))+1,ROW(OFFSET(nombres[],ROWS(nombres[])-1,0,1,1))+1),$O1543:$O1562),3),"")</f>
        <v/>
      </c>
      <c r="HQ1543" s="42" t="str">
        <f t="array" aca="1" ref="HQ1543" ca="1">IFERROR(INDEX(nombres[],SMALL(IF(OFFSET(nombres[],0,0,ROWS(nombres[]),1)=HQ$1490,ROW(OFFSET(nombres[],0,0,ROWS(nombres[]),1))-ROW(OFFSET(nombres[],0,0,1,1))+1,ROW(OFFSET(nombres[],ROWS(nombres[])-1,0,1,1))+1),$O1543:$O1562),3),"")</f>
        <v/>
      </c>
      <c r="HR1543" s="42" t="str">
        <f t="array" aca="1" ref="HR1543" ca="1">IFERROR(INDEX(nombres[],SMALL(IF(OFFSET(nombres[],0,0,ROWS(nombres[]),1)=HR$1490,ROW(OFFSET(nombres[],0,0,ROWS(nombres[]),1))-ROW(OFFSET(nombres[],0,0,1,1))+1,ROW(OFFSET(nombres[],ROWS(nombres[])-1,0,1,1))+1),$O1543:$O1562),3),"")</f>
        <v/>
      </c>
      <c r="HS1543" s="42" t="str">
        <f t="array" aca="1" ref="HS1543" ca="1">IFERROR(INDEX(nombres[],SMALL(IF(OFFSET(nombres[],0,0,ROWS(nombres[]),1)=HS$1490,ROW(OFFSET(nombres[],0,0,ROWS(nombres[]),1))-ROW(OFFSET(nombres[],0,0,1,1))+1,ROW(OFFSET(nombres[],ROWS(nombres[])-1,0,1,1))+1),$O1543:$O1562),3),"")</f>
        <v/>
      </c>
      <c r="HT1543" s="42" t="str">
        <f t="array" aca="1" ref="HT1543" ca="1">IFERROR(INDEX(nombres[],SMALL(IF(OFFSET(nombres[],0,0,ROWS(nombres[]),1)=HT$1490,ROW(OFFSET(nombres[],0,0,ROWS(nombres[]),1))-ROW(OFFSET(nombres[],0,0,1,1))+1,ROW(OFFSET(nombres[],ROWS(nombres[])-1,0,1,1))+1),$O1543:$O1562),3),"")</f>
        <v/>
      </c>
      <c r="HU1543" s="42" t="str">
        <f t="array" aca="1" ref="HU1543" ca="1">IFERROR(INDEX(nombres[],SMALL(IF(OFFSET(nombres[],0,0,ROWS(nombres[]),1)=HU$1490,ROW(OFFSET(nombres[],0,0,ROWS(nombres[]),1))-ROW(OFFSET(nombres[],0,0,1,1))+1,ROW(OFFSET(nombres[],ROWS(nombres[])-1,0,1,1))+1),$O1543:$O1562),3),"")</f>
        <v/>
      </c>
      <c r="HV1543" s="42" t="str">
        <f t="array" aca="1" ref="HV1543" ca="1">IFERROR(INDEX(nombres[],SMALL(IF(OFFSET(nombres[],0,0,ROWS(nombres[]),1)=HV$1490,ROW(OFFSET(nombres[],0,0,ROWS(nombres[]),1))-ROW(OFFSET(nombres[],0,0,1,1))+1,ROW(OFFSET(nombres[],ROWS(nombres[])-1,0,1,1))+1),$O1543:$O1562),3),"")</f>
        <v/>
      </c>
      <c r="HW1543" s="42" t="str">
        <f t="array" aca="1" ref="HW1543" ca="1">IFERROR(INDEX(nombres[],SMALL(IF(OFFSET(nombres[],0,0,ROWS(nombres[]),1)=HW$1490,ROW(OFFSET(nombres[],0,0,ROWS(nombres[]),1))-ROW(OFFSET(nombres[],0,0,1,1))+1,ROW(OFFSET(nombres[],ROWS(nombres[])-1,0,1,1))+1),$O1543:$O1562),3),"")</f>
        <v/>
      </c>
      <c r="HX1543" s="42" t="str">
        <f t="array" aca="1" ref="HX1543" ca="1">IFERROR(INDEX(nombres[],SMALL(IF(OFFSET(nombres[],0,0,ROWS(nombres[]),1)=HX$1490,ROW(OFFSET(nombres[],0,0,ROWS(nombres[]),1))-ROW(OFFSET(nombres[],0,0,1,1))+1,ROW(OFFSET(nombres[],ROWS(nombres[])-1,0,1,1))+1),$O1543:$O1562),3),"")</f>
        <v/>
      </c>
      <c r="HY1543" s="42" t="str">
        <f t="array" aca="1" ref="HY1543" ca="1">IFERROR(INDEX(nombres[],SMALL(IF(OFFSET(nombres[],0,0,ROWS(nombres[]),1)=HY$1490,ROW(OFFSET(nombres[],0,0,ROWS(nombres[]),1))-ROW(OFFSET(nombres[],0,0,1,1))+1,ROW(OFFSET(nombres[],ROWS(nombres[])-1,0,1,1))+1),$O1543:$O1562),3),"")</f>
        <v/>
      </c>
      <c r="HZ1543" s="42" t="str">
        <f t="array" aca="1" ref="HZ1543" ca="1">IFERROR(INDEX(nombres[],SMALL(IF(OFFSET(nombres[],0,0,ROWS(nombres[]),1)=HZ$1490,ROW(OFFSET(nombres[],0,0,ROWS(nombres[]),1))-ROW(OFFSET(nombres[],0,0,1,1))+1,ROW(OFFSET(nombres[],ROWS(nombres[])-1,0,1,1))+1),$O1543:$O1562),3),"")</f>
        <v/>
      </c>
      <c r="IA1543" s="42" t="str">
        <f t="array" aca="1" ref="IA1543" ca="1">IFERROR(INDEX(nombres[],SMALL(IF(OFFSET(nombres[],0,0,ROWS(nombres[]),1)=IA$1490,ROW(OFFSET(nombres[],0,0,ROWS(nombres[]),1))-ROW(OFFSET(nombres[],0,0,1,1))+1,ROW(OFFSET(nombres[],ROWS(nombres[])-1,0,1,1))+1),$O1543:$O1562),3),"")</f>
        <v/>
      </c>
      <c r="IB1543" s="42" t="str">
        <f t="array" aca="1" ref="IB1543" ca="1">IFERROR(INDEX(nombres[],SMALL(IF(OFFSET(nombres[],0,0,ROWS(nombres[]),1)=IB$1490,ROW(OFFSET(nombres[],0,0,ROWS(nombres[]),1))-ROW(OFFSET(nombres[],0,0,1,1))+1,ROW(OFFSET(nombres[],ROWS(nombres[])-1,0,1,1))+1),$O1543:$O1562),3),"")</f>
        <v/>
      </c>
      <c r="IC1543" s="42" t="str">
        <f t="array" aca="1" ref="IC1543" ca="1">IFERROR(INDEX(nombres[],SMALL(IF(OFFSET(nombres[],0,0,ROWS(nombres[]),1)=IC$1490,ROW(OFFSET(nombres[],0,0,ROWS(nombres[]),1))-ROW(OFFSET(nombres[],0,0,1,1))+1,ROW(OFFSET(nombres[],ROWS(nombres[])-1,0,1,1))+1),$O1543:$O1562),3),"")</f>
        <v/>
      </c>
      <c r="ID1543" s="42" t="str">
        <f t="array" aca="1" ref="ID1543" ca="1">IFERROR(INDEX(nombres[],SMALL(IF(OFFSET(nombres[],0,0,ROWS(nombres[]),1)=ID$1490,ROW(OFFSET(nombres[],0,0,ROWS(nombres[]),1))-ROW(OFFSET(nombres[],0,0,1,1))+1,ROW(OFFSET(nombres[],ROWS(nombres[])-1,0,1,1))+1),$O1543:$O1562),3),"")</f>
        <v/>
      </c>
      <c r="IE1543" s="42" t="str">
        <f t="array" aca="1" ref="IE1543" ca="1">IFERROR(INDEX(nombres[],SMALL(IF(OFFSET(nombres[],0,0,ROWS(nombres[]),1)=IE$1490,ROW(OFFSET(nombres[],0,0,ROWS(nombres[]),1))-ROW(OFFSET(nombres[],0,0,1,1))+1,ROW(OFFSET(nombres[],ROWS(nombres[])-1,0,1,1))+1),$O1543:$O1562),3),"")</f>
        <v/>
      </c>
      <c r="IF1543" s="42" t="str">
        <f t="array" aca="1" ref="IF1543" ca="1">IFERROR(INDEX(nombres[],SMALL(IF(OFFSET(nombres[],0,0,ROWS(nombres[]),1)=IF$1490,ROW(OFFSET(nombres[],0,0,ROWS(nombres[]),1))-ROW(OFFSET(nombres[],0,0,1,1))+1,ROW(OFFSET(nombres[],ROWS(nombres[])-1,0,1,1))+1),$O1543:$O1562),3),"")</f>
        <v/>
      </c>
      <c r="IG1543" s="42" t="str">
        <f t="array" aca="1" ref="IG1543" ca="1">IFERROR(INDEX(nombres[],SMALL(IF(OFFSET(nombres[],0,0,ROWS(nombres[]),1)=IG$1490,ROW(OFFSET(nombres[],0,0,ROWS(nombres[]),1))-ROW(OFFSET(nombres[],0,0,1,1))+1,ROW(OFFSET(nombres[],ROWS(nombres[])-1,0,1,1))+1),$O1543:$O1562),3),"")</f>
        <v/>
      </c>
      <c r="IH1543" s="42" t="str">
        <f t="array" aca="1" ref="IH1543" ca="1">IFERROR(INDEX(nombres[],SMALL(IF(OFFSET(nombres[],0,0,ROWS(nombres[]),1)=IH$1490,ROW(OFFSET(nombres[],0,0,ROWS(nombres[]),1))-ROW(OFFSET(nombres[],0,0,1,1))+1,ROW(OFFSET(nombres[],ROWS(nombres[])-1,0,1,1))+1),$O1543:$O1562),3),"")</f>
        <v/>
      </c>
      <c r="II1543" s="42" t="str">
        <f t="array" aca="1" ref="II1543" ca="1">IFERROR(INDEX(nombres[],SMALL(IF(OFFSET(nombres[],0,0,ROWS(nombres[]),1)=II$1490,ROW(OFFSET(nombres[],0,0,ROWS(nombres[]),1))-ROW(OFFSET(nombres[],0,0,1,1))+1,ROW(OFFSET(nombres[],ROWS(nombres[])-1,0,1,1))+1),$O1543:$O1562),3),"")</f>
        <v/>
      </c>
      <c r="IJ1543" s="42" t="str">
        <f t="array" aca="1" ref="IJ1543" ca="1">IFERROR(INDEX(nombres[],SMALL(IF(OFFSET(nombres[],0,0,ROWS(nombres[]),1)=IJ$1490,ROW(OFFSET(nombres[],0,0,ROWS(nombres[]),1))-ROW(OFFSET(nombres[],0,0,1,1))+1,ROW(OFFSET(nombres[],ROWS(nombres[])-1,0,1,1))+1),$O1543:$O1562),3),"")</f>
        <v/>
      </c>
      <c r="IK1543" s="42" t="str">
        <f t="array" aca="1" ref="IK1543" ca="1">IFERROR(INDEX(nombres[],SMALL(IF(OFFSET(nombres[],0,0,ROWS(nombres[]),1)=IK$1490,ROW(OFFSET(nombres[],0,0,ROWS(nombres[]),1))-ROW(OFFSET(nombres[],0,0,1,1))+1,ROW(OFFSET(nombres[],ROWS(nombres[])-1,0,1,1))+1),$O1543:$O1562),3),"")</f>
        <v/>
      </c>
      <c r="IL1543" s="42" t="str">
        <f t="array" aca="1" ref="IL1543" ca="1">IFERROR(INDEX(nombres[],SMALL(IF(OFFSET(nombres[],0,0,ROWS(nombres[]),1)=IL$1490,ROW(OFFSET(nombres[],0,0,ROWS(nombres[]),1))-ROW(OFFSET(nombres[],0,0,1,1))+1,ROW(OFFSET(nombres[],ROWS(nombres[])-1,0,1,1))+1),$O1543:$O1562),3),"")</f>
        <v/>
      </c>
      <c r="IM1543" s="42" t="str">
        <f t="array" aca="1" ref="IM1543" ca="1">IFERROR(INDEX(nombres[],SMALL(IF(OFFSET(nombres[],0,0,ROWS(nombres[]),1)=IM$1490,ROW(OFFSET(nombres[],0,0,ROWS(nombres[]),1))-ROW(OFFSET(nombres[],0,0,1,1))+1,ROW(OFFSET(nombres[],ROWS(nombres[])-1,0,1,1))+1),$O1543:$O1562),3),"")</f>
        <v/>
      </c>
      <c r="IN1543" s="42" t="str">
        <f t="array" aca="1" ref="IN1543" ca="1">IFERROR(INDEX(nombres[],SMALL(IF(OFFSET(nombres[],0,0,ROWS(nombres[]),1)=IN$1490,ROW(OFFSET(nombres[],0,0,ROWS(nombres[]),1))-ROW(OFFSET(nombres[],0,0,1,1))+1,ROW(OFFSET(nombres[],ROWS(nombres[])-1,0,1,1))+1),$O1543:$O1562),3),"")</f>
        <v/>
      </c>
      <c r="IO1543" s="42" t="str">
        <f t="array" aca="1" ref="IO1543" ca="1">IFERROR(INDEX(nombres[],SMALL(IF(OFFSET(nombres[],0,0,ROWS(nombres[]),1)=IO$1490,ROW(OFFSET(nombres[],0,0,ROWS(nombres[]),1))-ROW(OFFSET(nombres[],0,0,1,1))+1,ROW(OFFSET(nombres[],ROWS(nombres[])-1,0,1,1))+1),$O1543:$O1562),3),"")</f>
        <v/>
      </c>
      <c r="IP1543" s="42" t="str">
        <f t="array" aca="1" ref="IP1543" ca="1">IFERROR(INDEX(nombres[],SMALL(IF(OFFSET(nombres[],0,0,ROWS(nombres[]),1)=IP$1490,ROW(OFFSET(nombres[],0,0,ROWS(nombres[]),1))-ROW(OFFSET(nombres[],0,0,1,1))+1,ROW(OFFSET(nombres[],ROWS(nombres[])-1,0,1,1))+1),$O1543:$O1562),3),"")</f>
        <v/>
      </c>
      <c r="IQ1543" s="42" t="str">
        <f t="array" aca="1" ref="IQ1543" ca="1">IFERROR(INDEX(nombres[],SMALL(IF(OFFSET(nombres[],0,0,ROWS(nombres[]),1)=IQ$1490,ROW(OFFSET(nombres[],0,0,ROWS(nombres[]),1))-ROW(OFFSET(nombres[],0,0,1,1))+1,ROW(OFFSET(nombres[],ROWS(nombres[])-1,0,1,1))+1),$O1543:$O1562),3),"")</f>
        <v/>
      </c>
      <c r="IR1543" s="42" t="str">
        <f t="array" aca="1" ref="IR1543" ca="1">IFERROR(INDEX(nombres[],SMALL(IF(OFFSET(nombres[],0,0,ROWS(nombres[]),1)=IR$1490,ROW(OFFSET(nombres[],0,0,ROWS(nombres[]),1))-ROW(OFFSET(nombres[],0,0,1,1))+1,ROW(OFFSET(nombres[],ROWS(nombres[])-1,0,1,1))+1),$O1543:$O1562),3),"")</f>
        <v/>
      </c>
      <c r="IS1543" s="42" t="str">
        <f t="array" aca="1" ref="IS1543" ca="1">IFERROR(INDEX(nombres[],SMALL(IF(OFFSET(nombres[],0,0,ROWS(nombres[]),1)=IS$1490,ROW(OFFSET(nombres[],0,0,ROWS(nombres[]),1))-ROW(OFFSET(nombres[],0,0,1,1))+1,ROW(OFFSET(nombres[],ROWS(nombres[])-1,0,1,1))+1),$O1543:$O1562),3),"")</f>
        <v/>
      </c>
      <c r="IT1543" s="42" t="str">
        <f t="array" aca="1" ref="IT1543" ca="1">IFERROR(INDEX(nombres[],SMALL(IF(OFFSET(nombres[],0,0,ROWS(nombres[]),1)=IT$1490,ROW(OFFSET(nombres[],0,0,ROWS(nombres[]),1))-ROW(OFFSET(nombres[],0,0,1,1))+1,ROW(OFFSET(nombres[],ROWS(nombres[])-1,0,1,1))+1),$O1543:$O1562),3),"")</f>
        <v/>
      </c>
      <c r="IU1543" s="42" t="str">
        <f t="array" aca="1" ref="IU1543" ca="1">IFERROR(INDEX(nombres[],SMALL(IF(OFFSET(nombres[],0,0,ROWS(nombres[]),1)=IU$1490,ROW(OFFSET(nombres[],0,0,ROWS(nombres[]),1))-ROW(OFFSET(nombres[],0,0,1,1))+1,ROW(OFFSET(nombres[],ROWS(nombres[])-1,0,1,1))+1),$O1543:$O1562),3),"")</f>
        <v/>
      </c>
      <c r="IV1543" s="42" t="str">
        <f t="array" aca="1" ref="IV1543" ca="1">IFERROR(INDEX(nombres[],SMALL(IF(OFFSET(nombres[],0,0,ROWS(nombres[]),1)=IV$1490,ROW(OFFSET(nombres[],0,0,ROWS(nombres[]),1))-ROW(OFFSET(nombres[],0,0,1,1))+1,ROW(OFFSET(nombres[],ROWS(nombres[])-1,0,1,1))+1),$O1543:$O1562),3),"")</f>
        <v/>
      </c>
      <c r="IW1543" s="42" t="str">
        <f t="array" aca="1" ref="IW1543" ca="1">IFERROR(INDEX(nombres[],SMALL(IF(OFFSET(nombres[],0,0,ROWS(nombres[]),1)=IW$1490,ROW(OFFSET(nombres[],0,0,ROWS(nombres[]),1))-ROW(OFFSET(nombres[],0,0,1,1))+1,ROW(OFFSET(nombres[],ROWS(nombres[])-1,0,1,1))+1),$O1543:$O1562),3),"")</f>
        <v/>
      </c>
      <c r="IX1543" s="42" t="str">
        <f t="array" aca="1" ref="IX1543" ca="1">IFERROR(INDEX(nombres[],SMALL(IF(OFFSET(nombres[],0,0,ROWS(nombres[]),1)=IX$1490,ROW(OFFSET(nombres[],0,0,ROWS(nombres[]),1))-ROW(OFFSET(nombres[],0,0,1,1))+1,ROW(OFFSET(nombres[],ROWS(nombres[])-1,0,1,1))+1),$O1543:$O1562),3),"")</f>
        <v/>
      </c>
      <c r="IY1543" s="42" t="str">
        <f t="array" aca="1" ref="IY1543" ca="1">IFERROR(INDEX(nombres[],SMALL(IF(OFFSET(nombres[],0,0,ROWS(nombres[]),1)=IY$1490,ROW(OFFSET(nombres[],0,0,ROWS(nombres[]),1))-ROW(OFFSET(nombres[],0,0,1,1))+1,ROW(OFFSET(nombres[],ROWS(nombres[])-1,0,1,1))+1),$O1543:$O1562),3),"")</f>
        <v/>
      </c>
      <c r="IZ1543" s="42" t="str">
        <f t="array" aca="1" ref="IZ1543" ca="1">IFERROR(INDEX(nombres[],SMALL(IF(OFFSET(nombres[],0,0,ROWS(nombres[]),1)=IZ$1490,ROW(OFFSET(nombres[],0,0,ROWS(nombres[]),1))-ROW(OFFSET(nombres[],0,0,1,1))+1,ROW(OFFSET(nombres[],ROWS(nombres[])-1,0,1,1))+1),$O1543:$O1562),3),"")</f>
        <v/>
      </c>
      <c r="JA1543" s="42" t="str">
        <f t="array" aca="1" ref="JA1543" ca="1">IFERROR(INDEX(nombres[],SMALL(IF(OFFSET(nombres[],0,0,ROWS(nombres[]),1)=JA$1490,ROW(OFFSET(nombres[],0,0,ROWS(nombres[]),1))-ROW(OFFSET(nombres[],0,0,1,1))+1,ROW(OFFSET(nombres[],ROWS(nombres[])-1,0,1,1))+1),$O1543:$O1562),3),"")</f>
        <v/>
      </c>
      <c r="JB1543" s="42" t="str">
        <f t="array" aca="1" ref="JB1543" ca="1">IFERROR(INDEX(nombres[],SMALL(IF(OFFSET(nombres[],0,0,ROWS(nombres[]),1)=JB$1490,ROW(OFFSET(nombres[],0,0,ROWS(nombres[]),1))-ROW(OFFSET(nombres[],0,0,1,1))+1,ROW(OFFSET(nombres[],ROWS(nombres[])-1,0,1,1))+1),$O1543:$O1562),3),"")</f>
        <v/>
      </c>
      <c r="JC1543" s="42" t="str">
        <f t="array" aca="1" ref="JC1543" ca="1">IFERROR(INDEX(nombres[],SMALL(IF(OFFSET(nombres[],0,0,ROWS(nombres[]),1)=JC$1490,ROW(OFFSET(nombres[],0,0,ROWS(nombres[]),1))-ROW(OFFSET(nombres[],0,0,1,1))+1,ROW(OFFSET(nombres[],ROWS(nombres[])-1,0,1,1))+1),$O1543:$O1562),3),"")</f>
        <v/>
      </c>
      <c r="JD1543" s="42" t="str">
        <f t="array" aca="1" ref="JD1543" ca="1">IFERROR(INDEX(nombres[],SMALL(IF(OFFSET(nombres[],0,0,ROWS(nombres[]),1)=JD$1490,ROW(OFFSET(nombres[],0,0,ROWS(nombres[]),1))-ROW(OFFSET(nombres[],0,0,1,1))+1,ROW(OFFSET(nombres[],ROWS(nombres[])-1,0,1,1))+1),$O1543:$O1562),3),"")</f>
        <v/>
      </c>
      <c r="JE1543" s="42" t="str">
        <f t="array" aca="1" ref="JE1543" ca="1">IFERROR(INDEX(nombres[],SMALL(IF(OFFSET(nombres[],0,0,ROWS(nombres[]),1)=JE$1490,ROW(OFFSET(nombres[],0,0,ROWS(nombres[]),1))-ROW(OFFSET(nombres[],0,0,1,1))+1,ROW(OFFSET(nombres[],ROWS(nombres[])-1,0,1,1))+1),$O1543:$O1562),3),"")</f>
        <v/>
      </c>
      <c r="JF1543" s="42" t="str">
        <f t="array" aca="1" ref="JF1543" ca="1">IFERROR(INDEX(nombres[],SMALL(IF(OFFSET(nombres[],0,0,ROWS(nombres[]),1)=JF$1490,ROW(OFFSET(nombres[],0,0,ROWS(nombres[]),1))-ROW(OFFSET(nombres[],0,0,1,1))+1,ROW(OFFSET(nombres[],ROWS(nombres[])-1,0,1,1))+1),$O1543:$O1562),3),"")</f>
        <v/>
      </c>
      <c r="JG1543" s="42" t="str">
        <f t="array" aca="1" ref="JG1543" ca="1">IFERROR(INDEX(nombres[],SMALL(IF(OFFSET(nombres[],0,0,ROWS(nombres[]),1)=JG$1490,ROW(OFFSET(nombres[],0,0,ROWS(nombres[]),1))-ROW(OFFSET(nombres[],0,0,1,1))+1,ROW(OFFSET(nombres[],ROWS(nombres[])-1,0,1,1))+1),$O1543:$O1562),3),"")</f>
        <v/>
      </c>
      <c r="JH1543" s="42" t="str">
        <f t="array" aca="1" ref="JH1543" ca="1">IFERROR(INDEX(nombres[],SMALL(IF(OFFSET(nombres[],0,0,ROWS(nombres[]),1)=JH$1490,ROW(OFFSET(nombres[],0,0,ROWS(nombres[]),1))-ROW(OFFSET(nombres[],0,0,1,1))+1,ROW(OFFSET(nombres[],ROWS(nombres[])-1,0,1,1))+1),$O1543:$O1562),3),"")</f>
        <v/>
      </c>
      <c r="JI1543" s="42" t="str">
        <f t="array" aca="1" ref="JI1543" ca="1">IFERROR(INDEX(nombres[],SMALL(IF(OFFSET(nombres[],0,0,ROWS(nombres[]),1)=JI$1490,ROW(OFFSET(nombres[],0,0,ROWS(nombres[]),1))-ROW(OFFSET(nombres[],0,0,1,1))+1,ROW(OFFSET(nombres[],ROWS(nombres[])-1,0,1,1))+1),$O1543:$O1562),3),"")</f>
        <v/>
      </c>
      <c r="JJ1543" s="42" t="str">
        <f t="array" aca="1" ref="JJ1543" ca="1">IFERROR(INDEX(nombres[],SMALL(IF(OFFSET(nombres[],0,0,ROWS(nombres[]),1)=JJ$1490,ROW(OFFSET(nombres[],0,0,ROWS(nombres[]),1))-ROW(OFFSET(nombres[],0,0,1,1))+1,ROW(OFFSET(nombres[],ROWS(nombres[])-1,0,1,1))+1),$O1543:$O1562),3),"")</f>
        <v/>
      </c>
      <c r="JK1543" s="42" t="str">
        <f t="array" aca="1" ref="JK1543" ca="1">IFERROR(INDEX(nombres[],SMALL(IF(OFFSET(nombres[],0,0,ROWS(nombres[]),1)=JK$1490,ROW(OFFSET(nombres[],0,0,ROWS(nombres[]),1))-ROW(OFFSET(nombres[],0,0,1,1))+1,ROW(OFFSET(nombres[],ROWS(nombres[])-1,0,1,1))+1),$O1543:$O1562),3),"")</f>
        <v/>
      </c>
      <c r="JL1543" s="42" t="str">
        <f t="array" aca="1" ref="JL1543" ca="1">IFERROR(INDEX(nombres[],SMALL(IF(OFFSET(nombres[],0,0,ROWS(nombres[]),1)=JL$1490,ROW(OFFSET(nombres[],0,0,ROWS(nombres[]),1))-ROW(OFFSET(nombres[],0,0,1,1))+1,ROW(OFFSET(nombres[],ROWS(nombres[])-1,0,1,1))+1),$O1543:$O1562),3),"")</f>
        <v/>
      </c>
      <c r="JM1543" s="42" t="str">
        <f t="array" aca="1" ref="JM1543" ca="1">IFERROR(INDEX(nombres[],SMALL(IF(OFFSET(nombres[],0,0,ROWS(nombres[]),1)=JM$1490,ROW(OFFSET(nombres[],0,0,ROWS(nombres[]),1))-ROW(OFFSET(nombres[],0,0,1,1))+1,ROW(OFFSET(nombres[],ROWS(nombres[])-1,0,1,1))+1),$O1543:$O1562),3),"")</f>
        <v/>
      </c>
      <c r="JN1543" s="42" t="str">
        <f t="array" aca="1" ref="JN1543" ca="1">IFERROR(INDEX(nombres[],SMALL(IF(OFFSET(nombres[],0,0,ROWS(nombres[]),1)=JN$1490,ROW(OFFSET(nombres[],0,0,ROWS(nombres[]),1))-ROW(OFFSET(nombres[],0,0,1,1))+1,ROW(OFFSET(nombres[],ROWS(nombres[])-1,0,1,1))+1),$O1543:$O1562),3),"")</f>
        <v/>
      </c>
      <c r="JO1543" s="42" t="str">
        <f t="array" aca="1" ref="JO1543" ca="1">IFERROR(INDEX(nombres[],SMALL(IF(OFFSET(nombres[],0,0,ROWS(nombres[]),1)=JO$1490,ROW(OFFSET(nombres[],0,0,ROWS(nombres[]),1))-ROW(OFFSET(nombres[],0,0,1,1))+1,ROW(OFFSET(nombres[],ROWS(nombres[])-1,0,1,1))+1),$O1543:$O1562),3),"")</f>
        <v/>
      </c>
      <c r="JP1543" s="42" t="str">
        <f t="array" aca="1" ref="JP1543" ca="1">IFERROR(INDEX(nombres[],SMALL(IF(OFFSET(nombres[],0,0,ROWS(nombres[]),1)=JP$1490,ROW(OFFSET(nombres[],0,0,ROWS(nombres[]),1))-ROW(OFFSET(nombres[],0,0,1,1))+1,ROW(OFFSET(nombres[],ROWS(nombres[])-1,0,1,1))+1),$O1543:$O1562),3),"")</f>
        <v/>
      </c>
      <c r="JQ1543" s="42" t="str">
        <f t="array" aca="1" ref="JQ1543" ca="1">IFERROR(INDEX(nombres[],SMALL(IF(OFFSET(nombres[],0,0,ROWS(nombres[]),1)=JQ$1490,ROW(OFFSET(nombres[],0,0,ROWS(nombres[]),1))-ROW(OFFSET(nombres[],0,0,1,1))+1,ROW(OFFSET(nombres[],ROWS(nombres[])-1,0,1,1))+1),$O1543:$O1562),3),"")</f>
        <v/>
      </c>
      <c r="JR1543" s="42" t="str">
        <f t="array" aca="1" ref="JR1543" ca="1">IFERROR(INDEX(nombres[],SMALL(IF(OFFSET(nombres[],0,0,ROWS(nombres[]),1)=JR$1490,ROW(OFFSET(nombres[],0,0,ROWS(nombres[]),1))-ROW(OFFSET(nombres[],0,0,1,1))+1,ROW(OFFSET(nombres[],ROWS(nombres[])-1,0,1,1))+1),$O1543:$O1562),3),"")</f>
        <v/>
      </c>
      <c r="JS1543" s="42" t="str">
        <f t="array" aca="1" ref="JS1543" ca="1">IFERROR(INDEX(nombres[],SMALL(IF(OFFSET(nombres[],0,0,ROWS(nombres[]),1)=JS$1490,ROW(OFFSET(nombres[],0,0,ROWS(nombres[]),1))-ROW(OFFSET(nombres[],0,0,1,1))+1,ROW(OFFSET(nombres[],ROWS(nombres[])-1,0,1,1))+1),$O1543:$O1562),3),"")</f>
        <v/>
      </c>
      <c r="JT1543" s="42" t="str">
        <f t="array" aca="1" ref="JT1543" ca="1">IFERROR(INDEX(nombres[],SMALL(IF(OFFSET(nombres[],0,0,ROWS(nombres[]),1)=JT$1490,ROW(OFFSET(nombres[],0,0,ROWS(nombres[]),1))-ROW(OFFSET(nombres[],0,0,1,1))+1,ROW(OFFSET(nombres[],ROWS(nombres[])-1,0,1,1))+1),$O1543:$O1562),3),"")</f>
        <v/>
      </c>
      <c r="JU1543" s="42" t="str">
        <f t="array" aca="1" ref="JU1543" ca="1">IFERROR(INDEX(nombres[],SMALL(IF(OFFSET(nombres[],0,0,ROWS(nombres[]),1)=JU$1490,ROW(OFFSET(nombres[],0,0,ROWS(nombres[]),1))-ROW(OFFSET(nombres[],0,0,1,1))+1,ROW(OFFSET(nombres[],ROWS(nombres[])-1,0,1,1))+1),$O1543:$O1562),3),"")</f>
        <v/>
      </c>
      <c r="JV1543" s="42" t="str">
        <f t="array" aca="1" ref="JV1543" ca="1">IFERROR(INDEX(nombres[],SMALL(IF(OFFSET(nombres[],0,0,ROWS(nombres[]),1)=JV$1490,ROW(OFFSET(nombres[],0,0,ROWS(nombres[]),1))-ROW(OFFSET(nombres[],0,0,1,1))+1,ROW(OFFSET(nombres[],ROWS(nombres[])-1,0,1,1))+1),$O1543:$O1562),3),"")</f>
        <v/>
      </c>
      <c r="JW1543" s="42" t="str">
        <f t="array" aca="1" ref="JW1543" ca="1">IFERROR(INDEX(nombres[],SMALL(IF(OFFSET(nombres[],0,0,ROWS(nombres[]),1)=JW$1490,ROW(OFFSET(nombres[],0,0,ROWS(nombres[]),1))-ROW(OFFSET(nombres[],0,0,1,1))+1,ROW(OFFSET(nombres[],ROWS(nombres[])-1,0,1,1))+1),$O1543:$O1562),3),"")</f>
        <v/>
      </c>
      <c r="JX1543" s="42" t="str">
        <f t="array" aca="1" ref="JX1543" ca="1">IFERROR(INDEX(nombres[],SMALL(IF(OFFSET(nombres[],0,0,ROWS(nombres[]),1)=JX$1490,ROW(OFFSET(nombres[],0,0,ROWS(nombres[]),1))-ROW(OFFSET(nombres[],0,0,1,1))+1,ROW(OFFSET(nombres[],ROWS(nombres[])-1,0,1,1))+1),$O1543:$O1562),3),"")</f>
        <v/>
      </c>
      <c r="JY1543" s="42">
        <f t="array" aca="1" ref="JY1543" ca="1">IFERROR(INDEX(nombres[],SMALL(IF(OFFSET(nombres[],0,0,ROWS(nombres[]),1)=JY$1490,ROW(OFFSET(nombres[],0,0,ROWS(nombres[]),1))-ROW(OFFSET(nombres[],0,0,1,1))+1,ROW(OFFSET(nombres[],ROWS(nombres[])-1,0,1,1))+1),$O1543:$O1562),3),"")</f>
        <v>589</v>
      </c>
      <c r="JZ1543" s="42" t="str">
        <f t="array" aca="1" ref="JZ1543" ca="1">IFERROR(INDEX(nombres[],SMALL(IF(OFFSET(nombres[],0,0,ROWS(nombres[]),1)=JZ$1490,ROW(OFFSET(nombres[],0,0,ROWS(nombres[]),1))-ROW(OFFSET(nombres[],0,0,1,1))+1,ROW(OFFSET(nombres[],ROWS(nombres[])-1,0,1,1))+1),$O1543:$O1562),3),"")</f>
        <v/>
      </c>
      <c r="KA1543" s="42" t="str">
        <f t="array" aca="1" ref="KA1543" ca="1">IFERROR(INDEX(nombres[],SMALL(IF(OFFSET(nombres[],0,0,ROWS(nombres[]),1)=KA$1490,ROW(OFFSET(nombres[],0,0,ROWS(nombres[]),1))-ROW(OFFSET(nombres[],0,0,1,1))+1,ROW(OFFSET(nombres[],ROWS(nombres[])-1,0,1,1))+1),$O1543:$O1562),3),"")</f>
        <v/>
      </c>
      <c r="KB1543" s="42" t="str">
        <f t="array" aca="1" ref="KB1543" ca="1">IFERROR(INDEX(nombres[],SMALL(IF(OFFSET(nombres[],0,0,ROWS(nombres[]),1)=KB$1490,ROW(OFFSET(nombres[],0,0,ROWS(nombres[]),1))-ROW(OFFSET(nombres[],0,0,1,1))+1,ROW(OFFSET(nombres[],ROWS(nombres[])-1,0,1,1))+1),$O1543:$O1562),3),"")</f>
        <v/>
      </c>
      <c r="KC1543" s="42" t="str">
        <f t="array" aca="1" ref="KC1543" ca="1">IFERROR(INDEX(nombres[],SMALL(IF(OFFSET(nombres[],0,0,ROWS(nombres[]),1)=KC$1490,ROW(OFFSET(nombres[],0,0,ROWS(nombres[]),1))-ROW(OFFSET(nombres[],0,0,1,1))+1,ROW(OFFSET(nombres[],ROWS(nombres[])-1,0,1,1))+1),$O1543:$O1562),3),"")</f>
        <v/>
      </c>
      <c r="KD1543" s="42" t="str">
        <f t="array" aca="1" ref="KD1543" ca="1">IFERROR(INDEX(nombres[],SMALL(IF(OFFSET(nombres[],0,0,ROWS(nombres[]),1)=KD$1490,ROW(OFFSET(nombres[],0,0,ROWS(nombres[]),1))-ROW(OFFSET(nombres[],0,0,1,1))+1,ROW(OFFSET(nombres[],ROWS(nombres[])-1,0,1,1))+1),$O1543:$O1562),3),"")</f>
        <v/>
      </c>
      <c r="KE1543" s="42" t="str">
        <f t="array" aca="1" ref="KE1543" ca="1">IFERROR(INDEX(nombres[],SMALL(IF(OFFSET(nombres[],0,0,ROWS(nombres[]),1)=KE$1490,ROW(OFFSET(nombres[],0,0,ROWS(nombres[]),1))-ROW(OFFSET(nombres[],0,0,1,1))+1,ROW(OFFSET(nombres[],ROWS(nombres[])-1,0,1,1))+1),$O1543:$O1562),3),"")</f>
        <v/>
      </c>
      <c r="KF1543" s="42" t="str">
        <f t="array" aca="1" ref="KF1543" ca="1">IFERROR(INDEX(nombres[],SMALL(IF(OFFSET(nombres[],0,0,ROWS(nombres[]),1)=KF$1490,ROW(OFFSET(nombres[],0,0,ROWS(nombres[]),1))-ROW(OFFSET(nombres[],0,0,1,1))+1,ROW(OFFSET(nombres[],ROWS(nombres[])-1,0,1,1))+1),$O1543:$O1562),3),"")</f>
        <v/>
      </c>
      <c r="KG1543" s="42" t="str">
        <f t="array" aca="1" ref="KG1543" ca="1">IFERROR(INDEX(nombres[],SMALL(IF(OFFSET(nombres[],0,0,ROWS(nombres[]),1)=KG$1490,ROW(OFFSET(nombres[],0,0,ROWS(nombres[]),1))-ROW(OFFSET(nombres[],0,0,1,1))+1,ROW(OFFSET(nombres[],ROWS(nombres[])-1,0,1,1))+1),$O1543:$O1562),3),"")</f>
        <v/>
      </c>
      <c r="KH1543" s="42" t="str">
        <f t="array" aca="1" ref="KH1543" ca="1">IFERROR(INDEX(nombres[],SMALL(IF(OFFSET(nombres[],0,0,ROWS(nombres[]),1)=KH$1490,ROW(OFFSET(nombres[],0,0,ROWS(nombres[]),1))-ROW(OFFSET(nombres[],0,0,1,1))+1,ROW(OFFSET(nombres[],ROWS(nombres[])-1,0,1,1))+1),$O1543:$O1562),3),"")</f>
        <v/>
      </c>
      <c r="KI1543" s="42" t="str">
        <f t="array" aca="1" ref="KI1543" ca="1">IFERROR(INDEX(nombres[],SMALL(IF(OFFSET(nombres[],0,0,ROWS(nombres[]),1)=KI$1490,ROW(OFFSET(nombres[],0,0,ROWS(nombres[]),1))-ROW(OFFSET(nombres[],0,0,1,1))+1,ROW(OFFSET(nombres[],ROWS(nombres[])-1,0,1,1))+1),$O1543:$O1562),3),"")</f>
        <v/>
      </c>
      <c r="KJ1543" s="42" t="str">
        <f t="array" aca="1" ref="KJ1543" ca="1">IFERROR(INDEX(nombres[],SMALL(IF(OFFSET(nombres[],0,0,ROWS(nombres[]),1)=KJ$1490,ROW(OFFSET(nombres[],0,0,ROWS(nombres[]),1))-ROW(OFFSET(nombres[],0,0,1,1))+1,ROW(OFFSET(nombres[],ROWS(nombres[])-1,0,1,1))+1),$O1543:$O1562),3),"")</f>
        <v/>
      </c>
      <c r="KK1543" s="42" t="str">
        <f t="array" aca="1" ref="KK1543" ca="1">IFERROR(INDEX(nombres[],SMALL(IF(OFFSET(nombres[],0,0,ROWS(nombres[]),1)=KK$1490,ROW(OFFSET(nombres[],0,0,ROWS(nombres[]),1))-ROW(OFFSET(nombres[],0,0,1,1))+1,ROW(OFFSET(nombres[],ROWS(nombres[])-1,0,1,1))+1),$O1543:$O1562),3),"")</f>
        <v/>
      </c>
      <c r="KL1543" s="42" t="str">
        <f t="array" aca="1" ref="KL1543" ca="1">IFERROR(INDEX(nombres[],SMALL(IF(OFFSET(nombres[],0,0,ROWS(nombres[]),1)=KL$1490,ROW(OFFSET(nombres[],0,0,ROWS(nombres[]),1))-ROW(OFFSET(nombres[],0,0,1,1))+1,ROW(OFFSET(nombres[],ROWS(nombres[])-1,0,1,1))+1),$O1543:$O1562),3),"")</f>
        <v/>
      </c>
      <c r="KM1543" s="42" t="str">
        <f t="array" aca="1" ref="KM1543" ca="1">IFERROR(INDEX(nombres[],SMALL(IF(OFFSET(nombres[],0,0,ROWS(nombres[]),1)=KM$1490,ROW(OFFSET(nombres[],0,0,ROWS(nombres[]),1))-ROW(OFFSET(nombres[],0,0,1,1))+1,ROW(OFFSET(nombres[],ROWS(nombres[])-1,0,1,1))+1),$O1543:$O1562),3),"")</f>
        <v/>
      </c>
      <c r="KN1543" s="42" t="str">
        <f t="array" aca="1" ref="KN1543" ca="1">IFERROR(INDEX(nombres[],SMALL(IF(OFFSET(nombres[],0,0,ROWS(nombres[]),1)=KN$1490,ROW(OFFSET(nombres[],0,0,ROWS(nombres[]),1))-ROW(OFFSET(nombres[],0,0,1,1))+1,ROW(OFFSET(nombres[],ROWS(nombres[])-1,0,1,1))+1),$O1543:$O1562),3),"")</f>
        <v/>
      </c>
      <c r="KO1543" s="42" t="str">
        <f t="array" aca="1" ref="KO1543" ca="1">IFERROR(INDEX(nombres[],SMALL(IF(OFFSET(nombres[],0,0,ROWS(nombres[]),1)=KO$1490,ROW(OFFSET(nombres[],0,0,ROWS(nombres[]),1))-ROW(OFFSET(nombres[],0,0,1,1))+1,ROW(OFFSET(nombres[],ROWS(nombres[])-1,0,1,1))+1),$O1543:$O1562),3),"")</f>
        <v/>
      </c>
      <c r="KP1543" s="42" t="str">
        <f t="array" aca="1" ref="KP1543" ca="1">IFERROR(INDEX(nombres[],SMALL(IF(OFFSET(nombres[],0,0,ROWS(nombres[]),1)=KP$1490,ROW(OFFSET(nombres[],0,0,ROWS(nombres[]),1))-ROW(OFFSET(nombres[],0,0,1,1))+1,ROW(OFFSET(nombres[],ROWS(nombres[])-1,0,1,1))+1),$O1543:$O1562),3),"")</f>
        <v/>
      </c>
      <c r="KQ1543" s="42" t="str">
        <f t="array" aca="1" ref="KQ1543" ca="1">IFERROR(INDEX(nombres[],SMALL(IF(OFFSET(nombres[],0,0,ROWS(nombres[]),1)=KQ$1490,ROW(OFFSET(nombres[],0,0,ROWS(nombres[]),1))-ROW(OFFSET(nombres[],0,0,1,1))+1,ROW(OFFSET(nombres[],ROWS(nombres[])-1,0,1,1))+1),$O1543:$O1562),3),"")</f>
        <v/>
      </c>
      <c r="KR1543" s="42" t="str">
        <f t="array" aca="1" ref="KR1543" ca="1">IFERROR(INDEX(nombres[],SMALL(IF(OFFSET(nombres[],0,0,ROWS(nombres[]),1)=KR$1490,ROW(OFFSET(nombres[],0,0,ROWS(nombres[]),1))-ROW(OFFSET(nombres[],0,0,1,1))+1,ROW(OFFSET(nombres[],ROWS(nombres[])-1,0,1,1))+1),$O1543:$O1562),3),"")</f>
        <v/>
      </c>
      <c r="KS1543" s="42" t="str">
        <f t="array" aca="1" ref="KS1543" ca="1">IFERROR(INDEX(nombres[],SMALL(IF(OFFSET(nombres[],0,0,ROWS(nombres[]),1)=KS$1490,ROW(OFFSET(nombres[],0,0,ROWS(nombres[]),1))-ROW(OFFSET(nombres[],0,0,1,1))+1,ROW(OFFSET(nombres[],ROWS(nombres[])-1,0,1,1))+1),$O1543:$O1562),3),"")</f>
        <v/>
      </c>
      <c r="KT1543" s="42" t="str">
        <f t="array" aca="1" ref="KT1543" ca="1">IFERROR(INDEX(nombres[],SMALL(IF(OFFSET(nombres[],0,0,ROWS(nombres[]),1)=KT$1490,ROW(OFFSET(nombres[],0,0,ROWS(nombres[]),1))-ROW(OFFSET(nombres[],0,0,1,1))+1,ROW(OFFSET(nombres[],ROWS(nombres[])-1,0,1,1))+1),$O1543:$O1562),3),"")</f>
        <v/>
      </c>
      <c r="KU1543" s="42" t="str">
        <f t="array" aca="1" ref="KU1543" ca="1">IFERROR(INDEX(nombres[],SMALL(IF(OFFSET(nombres[],0,0,ROWS(nombres[]),1)=KU$1490,ROW(OFFSET(nombres[],0,0,ROWS(nombres[]),1))-ROW(OFFSET(nombres[],0,0,1,1))+1,ROW(OFFSET(nombres[],ROWS(nombres[])-1,0,1,1))+1),$O1543:$O1562),3),"")</f>
        <v/>
      </c>
      <c r="KV1543" s="42" t="str">
        <f t="array" aca="1" ref="KV1543" ca="1">IFERROR(INDEX(nombres[],SMALL(IF(OFFSET(nombres[],0,0,ROWS(nombres[]),1)=KV$1490,ROW(OFFSET(nombres[],0,0,ROWS(nombres[]),1))-ROW(OFFSET(nombres[],0,0,1,1))+1,ROW(OFFSET(nombres[],ROWS(nombres[])-1,0,1,1))+1),$O1543:$O1562),3),"")</f>
        <v/>
      </c>
      <c r="KW1543" s="42" t="str">
        <f t="array" aca="1" ref="KW1543" ca="1">IFERROR(INDEX(nombres[],SMALL(IF(OFFSET(nombres[],0,0,ROWS(nombres[]),1)=KW$1490,ROW(OFFSET(nombres[],0,0,ROWS(nombres[]),1))-ROW(OFFSET(nombres[],0,0,1,1))+1,ROW(OFFSET(nombres[],ROWS(nombres[])-1,0,1,1))+1),$O1543:$O1562),3),"")</f>
        <v/>
      </c>
      <c r="KX1543" s="42" t="str">
        <f t="array" aca="1" ref="KX1543" ca="1">IFERROR(INDEX(nombres[],SMALL(IF(OFFSET(nombres[],0,0,ROWS(nombres[]),1)=KX$1490,ROW(OFFSET(nombres[],0,0,ROWS(nombres[]),1))-ROW(OFFSET(nombres[],0,0,1,1))+1,ROW(OFFSET(nombres[],ROWS(nombres[])-1,0,1,1))+1),$O1543:$O1562),3),"")</f>
        <v/>
      </c>
      <c r="KY1543" s="42" t="str">
        <f t="array" aca="1" ref="KY1543" ca="1">IFERROR(INDEX(nombres[],SMALL(IF(OFFSET(nombres[],0,0,ROWS(nombres[]),1)=KY$1490,ROW(OFFSET(nombres[],0,0,ROWS(nombres[]),1))-ROW(OFFSET(nombres[],0,0,1,1))+1,ROW(OFFSET(nombres[],ROWS(nombres[])-1,0,1,1))+1),$O1543:$O1562),3),"")</f>
        <v/>
      </c>
      <c r="KZ1543" s="42" t="str">
        <f t="array" aca="1" ref="KZ1543" ca="1">IFERROR(INDEX(nombres[],SMALL(IF(OFFSET(nombres[],0,0,ROWS(nombres[]),1)=KZ$1490,ROW(OFFSET(nombres[],0,0,ROWS(nombres[]),1))-ROW(OFFSET(nombres[],0,0,1,1))+1,ROW(OFFSET(nombres[],ROWS(nombres[])-1,0,1,1))+1),$O1543:$O1562),3),"")</f>
        <v/>
      </c>
      <c r="LA1543" s="42" t="str">
        <f t="array" aca="1" ref="LA1543" ca="1">IFERROR(INDEX(nombres[],SMALL(IF(OFFSET(nombres[],0,0,ROWS(nombres[]),1)=LA$1490,ROW(OFFSET(nombres[],0,0,ROWS(nombres[]),1))-ROW(OFFSET(nombres[],0,0,1,1))+1,ROW(OFFSET(nombres[],ROWS(nombres[])-1,0,1,1))+1),$O1543:$O1562),3),"")</f>
        <v/>
      </c>
      <c r="LB1543" s="42">
        <f t="array" aca="1" ref="LB1543" ca="1">IFERROR(INDEX(nombres[],SMALL(IF(OFFSET(nombres[],0,0,ROWS(nombres[]),1)=LB$1490,ROW(OFFSET(nombres[],0,0,ROWS(nombres[]),1))-ROW(OFFSET(nombres[],0,0,1,1))+1,ROW(OFFSET(nombres[],ROWS(nombres[])-1,0,1,1))+1),$O1543:$O1562),3),"")</f>
        <v>492</v>
      </c>
      <c r="LC1543" s="42" t="str">
        <f t="array" aca="1" ref="LC1543" ca="1">IFERROR(INDEX(nombres[],SMALL(IF(OFFSET(nombres[],0,0,ROWS(nombres[]),1)=LC$1490,ROW(OFFSET(nombres[],0,0,ROWS(nombres[]),1))-ROW(OFFSET(nombres[],0,0,1,1))+1,ROW(OFFSET(nombres[],ROWS(nombres[])-1,0,1,1))+1),$O1543:$O1562),3),"")</f>
        <v/>
      </c>
      <c r="LD1543" s="42" t="str">
        <f t="array" aca="1" ref="LD1543" ca="1">IFERROR(INDEX(nombres[],SMALL(IF(OFFSET(nombres[],0,0,ROWS(nombres[]),1)=LD$1490,ROW(OFFSET(nombres[],0,0,ROWS(nombres[]),1))-ROW(OFFSET(nombres[],0,0,1,1))+1,ROW(OFFSET(nombres[],ROWS(nombres[])-1,0,1,1))+1),$O1543:$O1562),3),"")</f>
        <v/>
      </c>
      <c r="LE1543" s="42">
        <f t="array" aca="1" ref="LE1543" ca="1">IFERROR(INDEX(nombres[],SMALL(IF(OFFSET(nombres[],0,0,ROWS(nombres[]),1)=LE$1490,ROW(OFFSET(nombres[],0,0,ROWS(nombres[]),1))-ROW(OFFSET(nombres[],0,0,1,1))+1,ROW(OFFSET(nombres[],ROWS(nombres[])-1,0,1,1))+1),$O1543:$O1562),3),"")</f>
        <v>520</v>
      </c>
      <c r="LF1543" s="42" t="str">
        <f t="array" aca="1" ref="LF1543" ca="1">IFERROR(INDEX(nombres[],SMALL(IF(OFFSET(nombres[],0,0,ROWS(nombres[]),1)=LF$1490,ROW(OFFSET(nombres[],0,0,ROWS(nombres[]),1))-ROW(OFFSET(nombres[],0,0,1,1))+1,ROW(OFFSET(nombres[],ROWS(nombres[])-1,0,1,1))+1),$O1543:$O1562),3),"")</f>
        <v/>
      </c>
      <c r="LG1543" s="42" t="str">
        <f t="array" aca="1" ref="LG1543" ca="1">IFERROR(INDEX(nombres[],SMALL(IF(OFFSET(nombres[],0,0,ROWS(nombres[]),1)=LG$1490,ROW(OFFSET(nombres[],0,0,ROWS(nombres[]),1))-ROW(OFFSET(nombres[],0,0,1,1))+1,ROW(OFFSET(nombres[],ROWS(nombres[])-1,0,1,1))+1),$O1543:$O1562),3),"")</f>
        <v/>
      </c>
      <c r="LH1543" s="42" t="str">
        <f t="array" aca="1" ref="LH1543" ca="1">IFERROR(INDEX(nombres[],SMALL(IF(OFFSET(nombres[],0,0,ROWS(nombres[]),1)=LH$1490,ROW(OFFSET(nombres[],0,0,ROWS(nombres[]),1))-ROW(OFFSET(nombres[],0,0,1,1))+1,ROW(OFFSET(nombres[],ROWS(nombres[])-1,0,1,1))+1),$O1543:$O1562),3),"")</f>
        <v/>
      </c>
      <c r="LI1543" s="42" t="str">
        <f t="array" aca="1" ref="LI1543" ca="1">IFERROR(INDEX(nombres[],SMALL(IF(OFFSET(nombres[],0,0,ROWS(nombres[]),1)=LI$1490,ROW(OFFSET(nombres[],0,0,ROWS(nombres[]),1))-ROW(OFFSET(nombres[],0,0,1,1))+1,ROW(OFFSET(nombres[],ROWS(nombres[])-1,0,1,1))+1),$O1543:$O1562),3),"")</f>
        <v/>
      </c>
      <c r="LJ1543" s="42" t="str">
        <f t="array" aca="1" ref="LJ1543" ca="1">IFERROR(INDEX(nombres[],SMALL(IF(OFFSET(nombres[],0,0,ROWS(nombres[]),1)=LJ$1490,ROW(OFFSET(nombres[],0,0,ROWS(nombres[]),1))-ROW(OFFSET(nombres[],0,0,1,1))+1,ROW(OFFSET(nombres[],ROWS(nombres[])-1,0,1,1))+1),$O1543:$O1562),3),"")</f>
        <v/>
      </c>
      <c r="LK1543" s="42" t="str">
        <f t="array" aca="1" ref="LK1543" ca="1">IFERROR(INDEX(nombres[],SMALL(IF(OFFSET(nombres[],0,0,ROWS(nombres[]),1)=LK$1490,ROW(OFFSET(nombres[],0,0,ROWS(nombres[]),1))-ROW(OFFSET(nombres[],0,0,1,1))+1,ROW(OFFSET(nombres[],ROWS(nombres[])-1,0,1,1))+1),$O1543:$O1562),3),"")</f>
        <v/>
      </c>
      <c r="LL1543" s="42" t="str">
        <f t="array" aca="1" ref="LL1543" ca="1">IFERROR(INDEX(nombres[],SMALL(IF(OFFSET(nombres[],0,0,ROWS(nombres[]),1)=LL$1490,ROW(OFFSET(nombres[],0,0,ROWS(nombres[]),1))-ROW(OFFSET(nombres[],0,0,1,1))+1,ROW(OFFSET(nombres[],ROWS(nombres[])-1,0,1,1))+1),$O1543:$O1562),3),"")</f>
        <v/>
      </c>
      <c r="LM1543" s="42" t="str">
        <f t="array" aca="1" ref="LM1543" ca="1">IFERROR(INDEX(nombres[],SMALL(IF(OFFSET(nombres[],0,0,ROWS(nombres[]),1)=LM$1490,ROW(OFFSET(nombres[],0,0,ROWS(nombres[]),1))-ROW(OFFSET(nombres[],0,0,1,1))+1,ROW(OFFSET(nombres[],ROWS(nombres[])-1,0,1,1))+1),$O1543:$O1562),3),"")</f>
        <v/>
      </c>
      <c r="LN1543" s="42" t="str">
        <f t="array" aca="1" ref="LN1543" ca="1">IFERROR(INDEX(nombres[],SMALL(IF(OFFSET(nombres[],0,0,ROWS(nombres[]),1)=LN$1490,ROW(OFFSET(nombres[],0,0,ROWS(nombres[]),1))-ROW(OFFSET(nombres[],0,0,1,1))+1,ROW(OFFSET(nombres[],ROWS(nombres[])-1,0,1,1))+1),$O1543:$O1562),3),"")</f>
        <v/>
      </c>
      <c r="LO1543" s="42" t="str">
        <f t="array" aca="1" ref="LO1543" ca="1">IFERROR(INDEX(nombres[],SMALL(IF(OFFSET(nombres[],0,0,ROWS(nombres[]),1)=LO$1490,ROW(OFFSET(nombres[],0,0,ROWS(nombres[]),1))-ROW(OFFSET(nombres[],0,0,1,1))+1,ROW(OFFSET(nombres[],ROWS(nombres[])-1,0,1,1))+1),$O1543:$O1562),3),"")</f>
        <v/>
      </c>
      <c r="LP1543" s="42" t="str">
        <f t="array" aca="1" ref="LP1543" ca="1">IFERROR(INDEX(nombres[],SMALL(IF(OFFSET(nombres[],0,0,ROWS(nombres[]),1)=LP$1490,ROW(OFFSET(nombres[],0,0,ROWS(nombres[]),1))-ROW(OFFSET(nombres[],0,0,1,1))+1,ROW(OFFSET(nombres[],ROWS(nombres[])-1,0,1,1))+1),$O1543:$O1562),3),"")</f>
        <v/>
      </c>
      <c r="LQ1543" s="42" t="str">
        <f t="array" aca="1" ref="LQ1543" ca="1">IFERROR(INDEX(nombres[],SMALL(IF(OFFSET(nombres[],0,0,ROWS(nombres[]),1)=LQ$1490,ROW(OFFSET(nombres[],0,0,ROWS(nombres[]),1))-ROW(OFFSET(nombres[],0,0,1,1))+1,ROW(OFFSET(nombres[],ROWS(nombres[])-1,0,1,1))+1),$O1543:$O1562),3),"")</f>
        <v/>
      </c>
      <c r="LR1543" s="42" t="str">
        <f t="array" aca="1" ref="LR1543" ca="1">IFERROR(INDEX(nombres[],SMALL(IF(OFFSET(nombres[],0,0,ROWS(nombres[]),1)=LR$1490,ROW(OFFSET(nombres[],0,0,ROWS(nombres[]),1))-ROW(OFFSET(nombres[],0,0,1,1))+1,ROW(OFFSET(nombres[],ROWS(nombres[])-1,0,1,1))+1),$O1543:$O1562),3),"")</f>
        <v/>
      </c>
      <c r="LS1543" s="42" t="str">
        <f t="array" aca="1" ref="LS1543" ca="1">IFERROR(INDEX(nombres[],SMALL(IF(OFFSET(nombres[],0,0,ROWS(nombres[]),1)=LS$1490,ROW(OFFSET(nombres[],0,0,ROWS(nombres[]),1))-ROW(OFFSET(nombres[],0,0,1,1))+1,ROW(OFFSET(nombres[],ROWS(nombres[])-1,0,1,1))+1),$O1543:$O1562),3),"")</f>
        <v/>
      </c>
      <c r="LT1543" s="42" t="str">
        <f t="array" aca="1" ref="LT1543" ca="1">IFERROR(INDEX(nombres[],SMALL(IF(OFFSET(nombres[],0,0,ROWS(nombres[]),1)=LT$1490,ROW(OFFSET(nombres[],0,0,ROWS(nombres[]),1))-ROW(OFFSET(nombres[],0,0,1,1))+1,ROW(OFFSET(nombres[],ROWS(nombres[])-1,0,1,1))+1),$O1543:$O1562),3),"")</f>
        <v/>
      </c>
      <c r="LU1543" s="42" t="str">
        <f t="array" aca="1" ref="LU1543" ca="1">IFERROR(INDEX(nombres[],SMALL(IF(OFFSET(nombres[],0,0,ROWS(nombres[]),1)=LU$1490,ROW(OFFSET(nombres[],0,0,ROWS(nombres[]),1))-ROW(OFFSET(nombres[],0,0,1,1))+1,ROW(OFFSET(nombres[],ROWS(nombres[])-1,0,1,1))+1),$O1543:$O1562),3),"")</f>
        <v/>
      </c>
      <c r="LV1543" s="42" t="str">
        <f t="array" aca="1" ref="LV1543" ca="1">IFERROR(INDEX(nombres[],SMALL(IF(OFFSET(nombres[],0,0,ROWS(nombres[]),1)=LV$1490,ROW(OFFSET(nombres[],0,0,ROWS(nombres[]),1))-ROW(OFFSET(nombres[],0,0,1,1))+1,ROW(OFFSET(nombres[],ROWS(nombres[])-1,0,1,1))+1),$O1543:$O1562),3),"")</f>
        <v/>
      </c>
      <c r="LW1543" s="42" t="str">
        <f t="array" aca="1" ref="LW1543" ca="1">IFERROR(INDEX(nombres[],SMALL(IF(OFFSET(nombres[],0,0,ROWS(nombres[]),1)=LW$1490,ROW(OFFSET(nombres[],0,0,ROWS(nombres[]),1))-ROW(OFFSET(nombres[],0,0,1,1))+1,ROW(OFFSET(nombres[],ROWS(nombres[])-1,0,1,1))+1),$O1543:$O1562),3),"")</f>
        <v/>
      </c>
      <c r="LX1543" s="42" t="str">
        <f t="array" aca="1" ref="LX1543" ca="1">IFERROR(INDEX(nombres[],SMALL(IF(OFFSET(nombres[],0,0,ROWS(nombres[]),1)=LX$1490,ROW(OFFSET(nombres[],0,0,ROWS(nombres[]),1))-ROW(OFFSET(nombres[],0,0,1,1))+1,ROW(OFFSET(nombres[],ROWS(nombres[])-1,0,1,1))+1),$O1543:$O1562),3),"")</f>
        <v/>
      </c>
      <c r="LY1543" s="42" t="str">
        <f t="array" aca="1" ref="LY1543" ca="1">IFERROR(INDEX(nombres[],SMALL(IF(OFFSET(nombres[],0,0,ROWS(nombres[]),1)=LY$1490,ROW(OFFSET(nombres[],0,0,ROWS(nombres[]),1))-ROW(OFFSET(nombres[],0,0,1,1))+1,ROW(OFFSET(nombres[],ROWS(nombres[])-1,0,1,1))+1),$O1543:$O1562),3),"")</f>
        <v/>
      </c>
      <c r="LZ1543" s="42" t="str">
        <f t="array" aca="1" ref="LZ1543" ca="1">IFERROR(INDEX(nombres[],SMALL(IF(OFFSET(nombres[],0,0,ROWS(nombres[]),1)=LZ$1490,ROW(OFFSET(nombres[],0,0,ROWS(nombres[]),1))-ROW(OFFSET(nombres[],0,0,1,1))+1,ROW(OFFSET(nombres[],ROWS(nombres[])-1,0,1,1))+1),$O1543:$O1562),3),"")</f>
        <v/>
      </c>
      <c r="MA1543" s="42" t="str">
        <f t="array" aca="1" ref="MA1543" ca="1">IFERROR(INDEX(nombres[],SMALL(IF(OFFSET(nombres[],0,0,ROWS(nombres[]),1)=MA$1490,ROW(OFFSET(nombres[],0,0,ROWS(nombres[]),1))-ROW(OFFSET(nombres[],0,0,1,1))+1,ROW(OFFSET(nombres[],ROWS(nombres[])-1,0,1,1))+1),$O1543:$O1562),3),"")</f>
        <v/>
      </c>
      <c r="MB1543" s="42" t="str">
        <f t="array" aca="1" ref="MB1543" ca="1">IFERROR(INDEX(nombres[],SMALL(IF(OFFSET(nombres[],0,0,ROWS(nombres[]),1)=MB$1490,ROW(OFFSET(nombres[],0,0,ROWS(nombres[]),1))-ROW(OFFSET(nombres[],0,0,1,1))+1,ROW(OFFSET(nombres[],ROWS(nombres[])-1,0,1,1))+1),$O1543:$O1562),3),"")</f>
        <v/>
      </c>
      <c r="MC1543" s="42" t="str">
        <f t="array" aca="1" ref="MC1543" ca="1">IFERROR(INDEX(nombres[],SMALL(IF(OFFSET(nombres[],0,0,ROWS(nombres[]),1)=MC$1490,ROW(OFFSET(nombres[],0,0,ROWS(nombres[]),1))-ROW(OFFSET(nombres[],0,0,1,1))+1,ROW(OFFSET(nombres[],ROWS(nombres[])-1,0,1,1))+1),$O1543:$O1562),3),"")</f>
        <v/>
      </c>
      <c r="MD1543" s="42" t="str">
        <f t="array" aca="1" ref="MD1543" ca="1">IFERROR(INDEX(nombres[],SMALL(IF(OFFSET(nombres[],0,0,ROWS(nombres[]),1)=MD$1490,ROW(OFFSET(nombres[],0,0,ROWS(nombres[]),1))-ROW(OFFSET(nombres[],0,0,1,1))+1,ROW(OFFSET(nombres[],ROWS(nombres[])-1,0,1,1))+1),$O1543:$O1562),3),"")</f>
        <v/>
      </c>
      <c r="ME1543" s="42" t="str">
        <f t="array" aca="1" ref="ME1543" ca="1">IFERROR(INDEX(nombres[],SMALL(IF(OFFSET(nombres[],0,0,ROWS(nombres[]),1)=ME$1490,ROW(OFFSET(nombres[],0,0,ROWS(nombres[]),1))-ROW(OFFSET(nombres[],0,0,1,1))+1,ROW(OFFSET(nombres[],ROWS(nombres[])-1,0,1,1))+1),$O1543:$O1562),3),"")</f>
        <v/>
      </c>
      <c r="MF1543" s="42" t="str">
        <f t="array" aca="1" ref="MF1543" ca="1">IFERROR(INDEX(nombres[],SMALL(IF(OFFSET(nombres[],0,0,ROWS(nombres[]),1)=MF$1490,ROW(OFFSET(nombres[],0,0,ROWS(nombres[]),1))-ROW(OFFSET(nombres[],0,0,1,1))+1,ROW(OFFSET(nombres[],ROWS(nombres[])-1,0,1,1))+1),$O1543:$O1562),3),"")</f>
        <v/>
      </c>
      <c r="MG1543" s="42" t="str">
        <f t="array" aca="1" ref="MG1543" ca="1">IFERROR(INDEX(nombres[],SMALL(IF(OFFSET(nombres[],0,0,ROWS(nombres[]),1)=MG$1490,ROW(OFFSET(nombres[],0,0,ROWS(nombres[]),1))-ROW(OFFSET(nombres[],0,0,1,1))+1,ROW(OFFSET(nombres[],ROWS(nombres[])-1,0,1,1))+1),$O1543:$O1562),3),"")</f>
        <v/>
      </c>
      <c r="MH1543" s="42" t="str">
        <f t="array" aca="1" ref="MH1543" ca="1">IFERROR(INDEX(nombres[],SMALL(IF(OFFSET(nombres[],0,0,ROWS(nombres[]),1)=MH$1490,ROW(OFFSET(nombres[],0,0,ROWS(nombres[]),1))-ROW(OFFSET(nombres[],0,0,1,1))+1,ROW(OFFSET(nombres[],ROWS(nombres[])-1,0,1,1))+1),$O1543:$O1562),3),"")</f>
        <v/>
      </c>
      <c r="MI1543" s="42" t="str">
        <f t="array" aca="1" ref="MI1543" ca="1">IFERROR(INDEX(nombres[],SMALL(IF(OFFSET(nombres[],0,0,ROWS(nombres[]),1)=MI$1490,ROW(OFFSET(nombres[],0,0,ROWS(nombres[]),1))-ROW(OFFSET(nombres[],0,0,1,1))+1,ROW(OFFSET(nombres[],ROWS(nombres[])-1,0,1,1))+1),$O1543:$O1562),3),"")</f>
        <v/>
      </c>
      <c r="MJ1543" s="42" t="str">
        <f t="array" aca="1" ref="MJ1543" ca="1">IFERROR(INDEX(nombres[],SMALL(IF(OFFSET(nombres[],0,0,ROWS(nombres[]),1)=MJ$1490,ROW(OFFSET(nombres[],0,0,ROWS(nombres[]),1))-ROW(OFFSET(nombres[],0,0,1,1))+1,ROW(OFFSET(nombres[],ROWS(nombres[])-1,0,1,1))+1),$O1543:$O1562),3),"")</f>
        <v/>
      </c>
      <c r="MK1543" s="42" t="str">
        <f t="array" aca="1" ref="MK1543" ca="1">IFERROR(INDEX(nombres[],SMALL(IF(OFFSET(nombres[],0,0,ROWS(nombres[]),1)=MK$1490,ROW(OFFSET(nombres[],0,0,ROWS(nombres[]),1))-ROW(OFFSET(nombres[],0,0,1,1))+1,ROW(OFFSET(nombres[],ROWS(nombres[])-1,0,1,1))+1),$O1543:$O1562),3),"")</f>
        <v/>
      </c>
      <c r="ML1543" s="42" t="str">
        <f t="array" aca="1" ref="ML1543" ca="1">IFERROR(INDEX(nombres[],SMALL(IF(OFFSET(nombres[],0,0,ROWS(nombres[]),1)=ML$1490,ROW(OFFSET(nombres[],0,0,ROWS(nombres[]),1))-ROW(OFFSET(nombres[],0,0,1,1))+1,ROW(OFFSET(nombres[],ROWS(nombres[])-1,0,1,1))+1),$O1543:$O1562),3),"")</f>
        <v/>
      </c>
      <c r="MM1543" s="42" t="str">
        <f t="array" aca="1" ref="MM1543" ca="1">IFERROR(INDEX(nombres[],SMALL(IF(OFFSET(nombres[],0,0,ROWS(nombres[]),1)=MM$1490,ROW(OFFSET(nombres[],0,0,ROWS(nombres[]),1))-ROW(OFFSET(nombres[],0,0,1,1))+1,ROW(OFFSET(nombres[],ROWS(nombres[])-1,0,1,1))+1),$O1543:$O1562),3),"")</f>
        <v/>
      </c>
      <c r="MN1543" s="42" t="str">
        <f t="array" aca="1" ref="MN1543" ca="1">IFERROR(INDEX(nombres[],SMALL(IF(OFFSET(nombres[],0,0,ROWS(nombres[]),1)=MN$1490,ROW(OFFSET(nombres[],0,0,ROWS(nombres[]),1))-ROW(OFFSET(nombres[],0,0,1,1))+1,ROW(OFFSET(nombres[],ROWS(nombres[])-1,0,1,1))+1),$O1543:$O1562),3),"")</f>
        <v/>
      </c>
      <c r="MO1543" s="42" t="str">
        <f t="array" aca="1" ref="MO1543" ca="1">IFERROR(INDEX(nombres[],SMALL(IF(OFFSET(nombres[],0,0,ROWS(nombres[]),1)=MO$1490,ROW(OFFSET(nombres[],0,0,ROWS(nombres[]),1))-ROW(OFFSET(nombres[],0,0,1,1))+1,ROW(OFFSET(nombres[],ROWS(nombres[])-1,0,1,1))+1),$O1543:$O1562),3),"")</f>
        <v/>
      </c>
      <c r="MP1543" s="42" t="str">
        <f t="array" aca="1" ref="MP1543" ca="1">IFERROR(INDEX(nombres[],SMALL(IF(OFFSET(nombres[],0,0,ROWS(nombres[]),1)=MP$1490,ROW(OFFSET(nombres[],0,0,ROWS(nombres[]),1))-ROW(OFFSET(nombres[],0,0,1,1))+1,ROW(OFFSET(nombres[],ROWS(nombres[])-1,0,1,1))+1),$O1543:$O1562),3),"")</f>
        <v/>
      </c>
      <c r="MQ1543" s="42" t="str">
        <f t="array" aca="1" ref="MQ1543" ca="1">IFERROR(INDEX(nombres[],SMALL(IF(OFFSET(nombres[],0,0,ROWS(nombres[]),1)=MQ$1490,ROW(OFFSET(nombres[],0,0,ROWS(nombres[]),1))-ROW(OFFSET(nombres[],0,0,1,1))+1,ROW(OFFSET(nombres[],ROWS(nombres[])-1,0,1,1))+1),$O1543:$O1562),3),"")</f>
        <v/>
      </c>
      <c r="MR1543" s="42" t="str">
        <f t="array" aca="1" ref="MR1543" ca="1">IFERROR(INDEX(nombres[],SMALL(IF(OFFSET(nombres[],0,0,ROWS(nombres[]),1)=MR$1490,ROW(OFFSET(nombres[],0,0,ROWS(nombres[]),1))-ROW(OFFSET(nombres[],0,0,1,1))+1,ROW(OFFSET(nombres[],ROWS(nombres[])-1,0,1,1))+1),$O1543:$O1562),3),"")</f>
        <v/>
      </c>
      <c r="MS1543" s="42" t="str">
        <f t="array" aca="1" ref="MS1543" ca="1">IFERROR(INDEX(nombres[],SMALL(IF(OFFSET(nombres[],0,0,ROWS(nombres[]),1)=MS$1490,ROW(OFFSET(nombres[],0,0,ROWS(nombres[]),1))-ROW(OFFSET(nombres[],0,0,1,1))+1,ROW(OFFSET(nombres[],ROWS(nombres[])-1,0,1,1))+1),$O1543:$O1562),3),"")</f>
        <v/>
      </c>
      <c r="MT1543" s="42" t="str">
        <f t="array" aca="1" ref="MT1543" ca="1">IFERROR(INDEX(nombres[],SMALL(IF(OFFSET(nombres[],0,0,ROWS(nombres[]),1)=MT$1490,ROW(OFFSET(nombres[],0,0,ROWS(nombres[]),1))-ROW(OFFSET(nombres[],0,0,1,1))+1,ROW(OFFSET(nombres[],ROWS(nombres[])-1,0,1,1))+1),$O1543:$O1562),3),"")</f>
        <v/>
      </c>
      <c r="MU1543" s="42" t="str">
        <f t="array" aca="1" ref="MU1543" ca="1">IFERROR(INDEX(nombres[],SMALL(IF(OFFSET(nombres[],0,0,ROWS(nombres[]),1)=MU$1490,ROW(OFFSET(nombres[],0,0,ROWS(nombres[]),1))-ROW(OFFSET(nombres[],0,0,1,1))+1,ROW(OFFSET(nombres[],ROWS(nombres[])-1,0,1,1))+1),$O1543:$O1562),3),"")</f>
        <v/>
      </c>
      <c r="MV1543" s="42" t="str">
        <f t="array" aca="1" ref="MV1543" ca="1">IFERROR(INDEX(nombres[],SMALL(IF(OFFSET(nombres[],0,0,ROWS(nombres[]),1)=MV$1490,ROW(OFFSET(nombres[],0,0,ROWS(nombres[]),1))-ROW(OFFSET(nombres[],0,0,1,1))+1,ROW(OFFSET(nombres[],ROWS(nombres[])-1,0,1,1))+1),$O1543:$O1562),3),"")</f>
        <v/>
      </c>
      <c r="MW1543" s="42" t="str">
        <f t="array" aca="1" ref="MW1543" ca="1">IFERROR(INDEX(nombres[],SMALL(IF(OFFSET(nombres[],0,0,ROWS(nombres[]),1)=MW$1490,ROW(OFFSET(nombres[],0,0,ROWS(nombres[]),1))-ROW(OFFSET(nombres[],0,0,1,1))+1,ROW(OFFSET(nombres[],ROWS(nombres[])-1,0,1,1))+1),$O1543:$O1562),3),"")</f>
        <v/>
      </c>
      <c r="MX1543" s="42" t="str">
        <f t="array" aca="1" ref="MX1543" ca="1">IFERROR(INDEX(nombres[],SMALL(IF(OFFSET(nombres[],0,0,ROWS(nombres[]),1)=MX$1490,ROW(OFFSET(nombres[],0,0,ROWS(nombres[]),1))-ROW(OFFSET(nombres[],0,0,1,1))+1,ROW(OFFSET(nombres[],ROWS(nombres[])-1,0,1,1))+1),$O1543:$O1562),3),"")</f>
        <v/>
      </c>
      <c r="MY1543" s="42" t="str">
        <f t="array" aca="1" ref="MY1543" ca="1">IFERROR(INDEX(nombres[],SMALL(IF(OFFSET(nombres[],0,0,ROWS(nombres[]),1)=MY$1490,ROW(OFFSET(nombres[],0,0,ROWS(nombres[]),1))-ROW(OFFSET(nombres[],0,0,1,1))+1,ROW(OFFSET(nombres[],ROWS(nombres[])-1,0,1,1))+1),$O1543:$O1562),3),"")</f>
        <v/>
      </c>
      <c r="MZ1543" s="42" t="str">
        <f t="array" aca="1" ref="MZ1543" ca="1">IFERROR(INDEX(nombres[],SMALL(IF(OFFSET(nombres[],0,0,ROWS(nombres[]),1)=MZ$1490,ROW(OFFSET(nombres[],0,0,ROWS(nombres[]),1))-ROW(OFFSET(nombres[],0,0,1,1))+1,ROW(OFFSET(nombres[],ROWS(nombres[])-1,0,1,1))+1),$O1543:$O1562),3),"")</f>
        <v/>
      </c>
      <c r="NA1543" s="42" t="str">
        <f t="array" aca="1" ref="NA1543" ca="1">IFERROR(INDEX(nombres[],SMALL(IF(OFFSET(nombres[],0,0,ROWS(nombres[]),1)=NA$1490,ROW(OFFSET(nombres[],0,0,ROWS(nombres[]),1))-ROW(OFFSET(nombres[],0,0,1,1))+1,ROW(OFFSET(nombres[],ROWS(nombres[])-1,0,1,1))+1),$O1543:$O1562),3),"")</f>
        <v/>
      </c>
      <c r="NB1543" s="42" t="str">
        <f t="array" aca="1" ref="NB1543" ca="1">IFERROR(INDEX(nombres[],SMALL(IF(OFFSET(nombres[],0,0,ROWS(nombres[]),1)=NB$1490,ROW(OFFSET(nombres[],0,0,ROWS(nombres[]),1))-ROW(OFFSET(nombres[],0,0,1,1))+1,ROW(OFFSET(nombres[],ROWS(nombres[])-1,0,1,1))+1),$O1543:$O1562),3),"")</f>
        <v/>
      </c>
      <c r="NC1543" s="42" t="str">
        <f t="array" aca="1" ref="NC1543" ca="1">IFERROR(INDEX(nombres[],SMALL(IF(OFFSET(nombres[],0,0,ROWS(nombres[]),1)=NC$1490,ROW(OFFSET(nombres[],0,0,ROWS(nombres[]),1))-ROW(OFFSET(nombres[],0,0,1,1))+1,ROW(OFFSET(nombres[],ROWS(nombres[])-1,0,1,1))+1),$O1543:$O1562),3),"")</f>
        <v/>
      </c>
      <c r="ND1543" s="42" t="str">
        <f t="array" aca="1" ref="ND1543" ca="1">IFERROR(INDEX(nombres[],SMALL(IF(OFFSET(nombres[],0,0,ROWS(nombres[]),1)=ND$1490,ROW(OFFSET(nombres[],0,0,ROWS(nombres[]),1))-ROW(OFFSET(nombres[],0,0,1,1))+1,ROW(OFFSET(nombres[],ROWS(nombres[])-1,0,1,1))+1),$O1543:$O1562),3),"")</f>
        <v/>
      </c>
      <c r="NE1543" s="42" t="str">
        <f t="array" aca="1" ref="NE1543" ca="1">IFERROR(INDEX(nombres[],SMALL(IF(OFFSET(nombres[],0,0,ROWS(nombres[]),1)=NE$1490,ROW(OFFSET(nombres[],0,0,ROWS(nombres[]),1))-ROW(OFFSET(nombres[],0,0,1,1))+1,ROW(OFFSET(nombres[],ROWS(nombres[])-1,0,1,1))+1),$O1543:$O1562),3),"")</f>
        <v/>
      </c>
      <c r="NF1543" s="42" t="str">
        <f t="array" aca="1" ref="NF1543" ca="1">IFERROR(INDEX(nombres[],SMALL(IF(OFFSET(nombres[],0,0,ROWS(nombres[]),1)=NF$1490,ROW(OFFSET(nombres[],0,0,ROWS(nombres[]),1))-ROW(OFFSET(nombres[],0,0,1,1))+1,ROW(OFFSET(nombres[],ROWS(nombres[])-1,0,1,1))+1),$O1543:$O1562),3),"")</f>
        <v/>
      </c>
      <c r="NG1543" s="42" t="str">
        <f t="array" aca="1" ref="NG1543" ca="1">IFERROR(INDEX(nombres[],SMALL(IF(OFFSET(nombres[],0,0,ROWS(nombres[]),1)=NG$1490,ROW(OFFSET(nombres[],0,0,ROWS(nombres[]),1))-ROW(OFFSET(nombres[],0,0,1,1))+1,ROW(OFFSET(nombres[],ROWS(nombres[])-1,0,1,1))+1),$O1543:$O1562),3),"")</f>
        <v/>
      </c>
      <c r="NH1543" s="42" t="str">
        <f t="array" aca="1" ref="NH1543" ca="1">IFERROR(INDEX(nombres[],SMALL(IF(OFFSET(nombres[],0,0,ROWS(nombres[]),1)=NH$1490,ROW(OFFSET(nombres[],0,0,ROWS(nombres[]),1))-ROW(OFFSET(nombres[],0,0,1,1))+1,ROW(OFFSET(nombres[],ROWS(nombres[])-1,0,1,1))+1),$O1543:$O1562),3),"")</f>
        <v/>
      </c>
      <c r="NI1543" s="42" t="str">
        <f t="array" aca="1" ref="NI1543" ca="1">IFERROR(INDEX(nombres[],SMALL(IF(OFFSET(nombres[],0,0,ROWS(nombres[]),1)=NI$1490,ROW(OFFSET(nombres[],0,0,ROWS(nombres[]),1))-ROW(OFFSET(nombres[],0,0,1,1))+1,ROW(OFFSET(nombres[],ROWS(nombres[])-1,0,1,1))+1),$O1543:$O1562),3),"")</f>
        <v/>
      </c>
      <c r="NJ1543" s="42" t="str">
        <f t="array" aca="1" ref="NJ1543" ca="1">IFERROR(INDEX(nombres[],SMALL(IF(OFFSET(nombres[],0,0,ROWS(nombres[]),1)=NJ$1490,ROW(OFFSET(nombres[],0,0,ROWS(nombres[]),1))-ROW(OFFSET(nombres[],0,0,1,1))+1,ROW(OFFSET(nombres[],ROWS(nombres[])-1,0,1,1))+1),$O1543:$O1562),3),"")</f>
        <v/>
      </c>
      <c r="NK1543" s="42" t="str">
        <f t="array" aca="1" ref="NK1543" ca="1">IFERROR(INDEX(nombres[],SMALL(IF(OFFSET(nombres[],0,0,ROWS(nombres[]),1)=NK$1490,ROW(OFFSET(nombres[],0,0,ROWS(nombres[]),1))-ROW(OFFSET(nombres[],0,0,1,1))+1,ROW(OFFSET(nombres[],ROWS(nombres[])-1,0,1,1))+1),$O1543:$O1562),3),"")</f>
        <v/>
      </c>
      <c r="NL1543" s="42" t="str">
        <f t="array" aca="1" ref="NL1543" ca="1">IFERROR(INDEX(nombres[],SMALL(IF(OFFSET(nombres[],0,0,ROWS(nombres[]),1)=NL$1490,ROW(OFFSET(nombres[],0,0,ROWS(nombres[]),1))-ROW(OFFSET(nombres[],0,0,1,1))+1,ROW(OFFSET(nombres[],ROWS(nombres[])-1,0,1,1))+1),$O1543:$O1562),3),"")</f>
        <v/>
      </c>
      <c r="NM1543" s="42" t="str">
        <f t="array" aca="1" ref="NM1543" ca="1">IFERROR(INDEX(nombres[],SMALL(IF(OFFSET(nombres[],0,0,ROWS(nombres[]),1)=NM$1490,ROW(OFFSET(nombres[],0,0,ROWS(nombres[]),1))-ROW(OFFSET(nombres[],0,0,1,1))+1,ROW(OFFSET(nombres[],ROWS(nombres[])-1,0,1,1))+1),$O1543:$O1562),3),"")</f>
        <v/>
      </c>
      <c r="NN1543" s="42" t="str">
        <f t="array" aca="1" ref="NN1543" ca="1">IFERROR(INDEX(nombres[],SMALL(IF(OFFSET(nombres[],0,0,ROWS(nombres[]),1)=NN$1490,ROW(OFFSET(nombres[],0,0,ROWS(nombres[]),1))-ROW(OFFSET(nombres[],0,0,1,1))+1,ROW(OFFSET(nombres[],ROWS(nombres[])-1,0,1,1))+1),$O1543:$O1562),3),"")</f>
        <v/>
      </c>
      <c r="NO1543" s="42" t="str">
        <f t="array" aca="1" ref="NO1543" ca="1">IFERROR(INDEX(nombres[],SMALL(IF(OFFSET(nombres[],0,0,ROWS(nombres[]),1)=NO$1490,ROW(OFFSET(nombres[],0,0,ROWS(nombres[]),1))-ROW(OFFSET(nombres[],0,0,1,1))+1,ROW(OFFSET(nombres[],ROWS(nombres[])-1,0,1,1))+1),$O1543:$O1562),3),"")</f>
        <v/>
      </c>
      <c r="NP1543" s="42" t="str">
        <f t="array" aca="1" ref="NP1543" ca="1">IFERROR(INDEX(nombres[],SMALL(IF(OFFSET(nombres[],0,0,ROWS(nombres[]),1)=NP$1490,ROW(OFFSET(nombres[],0,0,ROWS(nombres[]),1))-ROW(OFFSET(nombres[],0,0,1,1))+1,ROW(OFFSET(nombres[],ROWS(nombres[])-1,0,1,1))+1),$O1543:$O1562),3),"")</f>
        <v/>
      </c>
      <c r="NQ1543" s="42" t="str">
        <f t="array" aca="1" ref="NQ1543" ca="1">IFERROR(INDEX(nombres[],SMALL(IF(OFFSET(nombres[],0,0,ROWS(nombres[]),1)=NQ$1490,ROW(OFFSET(nombres[],0,0,ROWS(nombres[]),1))-ROW(OFFSET(nombres[],0,0,1,1))+1,ROW(OFFSET(nombres[],ROWS(nombres[])-1,0,1,1))+1),$O1543:$O1562),3),"")</f>
        <v/>
      </c>
      <c r="NR1543" s="42" t="str">
        <f t="array" aca="1" ref="NR1543" ca="1">IFERROR(INDEX(nombres[],SMALL(IF(OFFSET(nombres[],0,0,ROWS(nombres[]),1)=NR$1490,ROW(OFFSET(nombres[],0,0,ROWS(nombres[]),1))-ROW(OFFSET(nombres[],0,0,1,1))+1,ROW(OFFSET(nombres[],ROWS(nombres[])-1,0,1,1))+1),$O1543:$O1562),3),"")</f>
        <v/>
      </c>
      <c r="NS1543" s="42" t="str">
        <f t="array" aca="1" ref="NS1543" ca="1">IFERROR(INDEX(nombres[],SMALL(IF(OFFSET(nombres[],0,0,ROWS(nombres[]),1)=NS$1490,ROW(OFFSET(nombres[],0,0,ROWS(nombres[]),1))-ROW(OFFSET(nombres[],0,0,1,1))+1,ROW(OFFSET(nombres[],ROWS(nombres[])-1,0,1,1))+1),$O1543:$O1562),3),"")</f>
        <v/>
      </c>
      <c r="NT1543" s="42" t="str">
        <f t="array" aca="1" ref="NT1543" ca="1">IFERROR(INDEX(nombres[],SMALL(IF(OFFSET(nombres[],0,0,ROWS(nombres[]),1)=NT$1490,ROW(OFFSET(nombres[],0,0,ROWS(nombres[]),1))-ROW(OFFSET(nombres[],0,0,1,1))+1,ROW(OFFSET(nombres[],ROWS(nombres[])-1,0,1,1))+1),$O1543:$O1562),3),"")</f>
        <v/>
      </c>
      <c r="NU1543" s="42" t="str">
        <f t="array" aca="1" ref="NU1543" ca="1">IFERROR(INDEX(nombres[],SMALL(IF(OFFSET(nombres[],0,0,ROWS(nombres[]),1)=NU$1490,ROW(OFFSET(nombres[],0,0,ROWS(nombres[]),1))-ROW(OFFSET(nombres[],0,0,1,1))+1,ROW(OFFSET(nombres[],ROWS(nombres[])-1,0,1,1))+1),$O1543:$O1562),3),"")</f>
        <v/>
      </c>
      <c r="NV1543" s="42" t="str">
        <f t="array" aca="1" ref="NV1543" ca="1">IFERROR(INDEX(nombres[],SMALL(IF(OFFSET(nombres[],0,0,ROWS(nombres[]),1)=NV$1490,ROW(OFFSET(nombres[],0,0,ROWS(nombres[]),1))-ROW(OFFSET(nombres[],0,0,1,1))+1,ROW(OFFSET(nombres[],ROWS(nombres[])-1,0,1,1))+1),$O1543:$O1562),3),"")</f>
        <v/>
      </c>
      <c r="NW1543" s="42" t="str">
        <f t="array" aca="1" ref="NW1543" ca="1">IFERROR(INDEX(nombres[],SMALL(IF(OFFSET(nombres[],0,0,ROWS(nombres[]),1)=NW$1490,ROW(OFFSET(nombres[],0,0,ROWS(nombres[]),1))-ROW(OFFSET(nombres[],0,0,1,1))+1,ROW(OFFSET(nombres[],ROWS(nombres[])-1,0,1,1))+1),$O1543:$O1562),3),"")</f>
        <v/>
      </c>
      <c r="NX1543" s="42" t="str">
        <f t="array" aca="1" ref="NX1543" ca="1">IFERROR(INDEX(nombres[],SMALL(IF(OFFSET(nombres[],0,0,ROWS(nombres[]),1)=NX$1490,ROW(OFFSET(nombres[],0,0,ROWS(nombres[]),1))-ROW(OFFSET(nombres[],0,0,1,1))+1,ROW(OFFSET(nombres[],ROWS(nombres[])-1,0,1,1))+1),$O1543:$O1562),3),"")</f>
        <v/>
      </c>
      <c r="NY1543" s="42" t="str">
        <f t="array" aca="1" ref="NY1543" ca="1">IFERROR(INDEX(nombres[],SMALL(IF(OFFSET(nombres[],0,0,ROWS(nombres[]),1)=NY$1490,ROW(OFFSET(nombres[],0,0,ROWS(nombres[]),1))-ROW(OFFSET(nombres[],0,0,1,1))+1,ROW(OFFSET(nombres[],ROWS(nombres[])-1,0,1,1))+1),$O1543:$O1562),3),"")</f>
        <v/>
      </c>
      <c r="NZ1543" s="42" t="str">
        <f t="array" aca="1" ref="NZ1543" ca="1">IFERROR(INDEX(nombres[],SMALL(IF(OFFSET(nombres[],0,0,ROWS(nombres[]),1)=NZ$1490,ROW(OFFSET(nombres[],0,0,ROWS(nombres[]),1))-ROW(OFFSET(nombres[],0,0,1,1))+1,ROW(OFFSET(nombres[],ROWS(nombres[])-1,0,1,1))+1),$O1543:$O1562),3),"")</f>
        <v/>
      </c>
      <c r="OA1543" s="42" t="str">
        <f t="array" aca="1" ref="OA1543" ca="1">IFERROR(INDEX(nombres[],SMALL(IF(OFFSET(nombres[],0,0,ROWS(nombres[]),1)=OA$1490,ROW(OFFSET(nombres[],0,0,ROWS(nombres[]),1))-ROW(OFFSET(nombres[],0,0,1,1))+1,ROW(OFFSET(nombres[],ROWS(nombres[])-1,0,1,1))+1),$O1543:$O1562),3),"")</f>
        <v/>
      </c>
      <c r="OB1543" s="42" t="str">
        <f t="array" aca="1" ref="OB1543" ca="1">IFERROR(INDEX(nombres[],SMALL(IF(OFFSET(nombres[],0,0,ROWS(nombres[]),1)=OB$1490,ROW(OFFSET(nombres[],0,0,ROWS(nombres[]),1))-ROW(OFFSET(nombres[],0,0,1,1))+1,ROW(OFFSET(nombres[],ROWS(nombres[])-1,0,1,1))+1),$O1543:$O1562),3),"")</f>
        <v/>
      </c>
      <c r="OC1543" s="42" t="str">
        <f t="array" aca="1" ref="OC1543" ca="1">IFERROR(INDEX(nombres[],SMALL(IF(OFFSET(nombres[],0,0,ROWS(nombres[]),1)=OC$1490,ROW(OFFSET(nombres[],0,0,ROWS(nombres[]),1))-ROW(OFFSET(nombres[],0,0,1,1))+1,ROW(OFFSET(nombres[],ROWS(nombres[])-1,0,1,1))+1),$O1543:$O1562),3),"")</f>
        <v/>
      </c>
      <c r="OD1543" s="42" t="str">
        <f t="array" aca="1" ref="OD1543" ca="1">IFERROR(INDEX(nombres[],SMALL(IF(OFFSET(nombres[],0,0,ROWS(nombres[]),1)=OD$1490,ROW(OFFSET(nombres[],0,0,ROWS(nombres[]),1))-ROW(OFFSET(nombres[],0,0,1,1))+1,ROW(OFFSET(nombres[],ROWS(nombres[])-1,0,1,1))+1),$O1543:$O1562),3),"")</f>
        <v/>
      </c>
      <c r="OE1543" s="42" t="str">
        <f t="array" aca="1" ref="OE1543" ca="1">IFERROR(INDEX(nombres[],SMALL(IF(OFFSET(nombres[],0,0,ROWS(nombres[]),1)=OE$1490,ROW(OFFSET(nombres[],0,0,ROWS(nombres[]),1))-ROW(OFFSET(nombres[],0,0,1,1))+1,ROW(OFFSET(nombres[],ROWS(nombres[])-1,0,1,1))+1),$O1543:$O1562),3),"")</f>
        <v/>
      </c>
      <c r="OF1543" s="42" t="str">
        <f t="array" aca="1" ref="OF1543" ca="1">IFERROR(INDEX(nombres[],SMALL(IF(OFFSET(nombres[],0,0,ROWS(nombres[]),1)=OF$1490,ROW(OFFSET(nombres[],0,0,ROWS(nombres[]),1))-ROW(OFFSET(nombres[],0,0,1,1))+1,ROW(OFFSET(nombres[],ROWS(nombres[])-1,0,1,1))+1),$O1543:$O1562),3),"")</f>
        <v/>
      </c>
      <c r="OG1543" s="42" t="str">
        <f t="array" aca="1" ref="OG1543" ca="1">IFERROR(INDEX(nombres[],SMALL(IF(OFFSET(nombres[],0,0,ROWS(nombres[]),1)=OG$1490,ROW(OFFSET(nombres[],0,0,ROWS(nombres[]),1))-ROW(OFFSET(nombres[],0,0,1,1))+1,ROW(OFFSET(nombres[],ROWS(nombres[])-1,0,1,1))+1),$O1543:$O1562),3),"")</f>
        <v/>
      </c>
      <c r="OH1543" s="42" t="str">
        <f t="array" aca="1" ref="OH1543" ca="1">IFERROR(INDEX(nombres[],SMALL(IF(OFFSET(nombres[],0,0,ROWS(nombres[]),1)=OH$1490,ROW(OFFSET(nombres[],0,0,ROWS(nombres[]),1))-ROW(OFFSET(nombres[],0,0,1,1))+1,ROW(OFFSET(nombres[],ROWS(nombres[])-1,0,1,1))+1),$O1543:$O1562),3),"")</f>
        <v/>
      </c>
      <c r="OI1543" s="42" t="str">
        <f t="array" aca="1" ref="OI1543" ca="1">IFERROR(INDEX(nombres[],SMALL(IF(OFFSET(nombres[],0,0,ROWS(nombres[]),1)=OI$1490,ROW(OFFSET(nombres[],0,0,ROWS(nombres[]),1))-ROW(OFFSET(nombres[],0,0,1,1))+1,ROW(OFFSET(nombres[],ROWS(nombres[])-1,0,1,1))+1),$O1543:$O1562),3),"")</f>
        <v/>
      </c>
      <c r="OJ1543" s="42" t="str">
        <f t="array" aca="1" ref="OJ1543" ca="1">IFERROR(INDEX(nombres[],SMALL(IF(OFFSET(nombres[],0,0,ROWS(nombres[]),1)=OJ$1490,ROW(OFFSET(nombres[],0,0,ROWS(nombres[]),1))-ROW(OFFSET(nombres[],0,0,1,1))+1,ROW(OFFSET(nombres[],ROWS(nombres[])-1,0,1,1))+1),$O1543:$O1562),3),"")</f>
        <v/>
      </c>
      <c r="OK1543" s="42" t="str">
        <f t="array" aca="1" ref="OK1543" ca="1">IFERROR(INDEX(nombres[],SMALL(IF(OFFSET(nombres[],0,0,ROWS(nombres[]),1)=OK$1490,ROW(OFFSET(nombres[],0,0,ROWS(nombres[]),1))-ROW(OFFSET(nombres[],0,0,1,1))+1,ROW(OFFSET(nombres[],ROWS(nombres[])-1,0,1,1))+1),$O1543:$O1562),3),"")</f>
        <v/>
      </c>
      <c r="OL1543" s="42" t="str">
        <f t="array" aca="1" ref="OL1543" ca="1">IFERROR(INDEX(nombres[],SMALL(IF(OFFSET(nombres[],0,0,ROWS(nombres[]),1)=OL$1490,ROW(OFFSET(nombres[],0,0,ROWS(nombres[]),1))-ROW(OFFSET(nombres[],0,0,1,1))+1,ROW(OFFSET(nombres[],ROWS(nombres[])-1,0,1,1))+1),$O1543:$O1562),3),"")</f>
        <v/>
      </c>
      <c r="OM1543" s="42" t="str">
        <f t="array" aca="1" ref="OM1543" ca="1">IFERROR(INDEX(nombres[],SMALL(IF(OFFSET(nombres[],0,0,ROWS(nombres[]),1)=OM$1490,ROW(OFFSET(nombres[],0,0,ROWS(nombres[]),1))-ROW(OFFSET(nombres[],0,0,1,1))+1,ROW(OFFSET(nombres[],ROWS(nombres[])-1,0,1,1))+1),$O1543:$O1562),3),"")</f>
        <v/>
      </c>
      <c r="ON1543" s="42" t="str">
        <f t="array" aca="1" ref="ON1543" ca="1">IFERROR(INDEX(nombres[],SMALL(IF(OFFSET(nombres[],0,0,ROWS(nombres[]),1)=ON$1490,ROW(OFFSET(nombres[],0,0,ROWS(nombres[]),1))-ROW(OFFSET(nombres[],0,0,1,1))+1,ROW(OFFSET(nombres[],ROWS(nombres[])-1,0,1,1))+1),$O1543:$O1562),3),"")</f>
        <v/>
      </c>
      <c r="OO1543" s="42" t="str">
        <f t="array" aca="1" ref="OO1543" ca="1">IFERROR(INDEX(nombres[],SMALL(IF(OFFSET(nombres[],0,0,ROWS(nombres[]),1)=OO$1490,ROW(OFFSET(nombres[],0,0,ROWS(nombres[]),1))-ROW(OFFSET(nombres[],0,0,1,1))+1,ROW(OFFSET(nombres[],ROWS(nombres[])-1,0,1,1))+1),$O1543:$O1562),3),"")</f>
        <v/>
      </c>
      <c r="OP1543" s="42" t="str">
        <f t="array" aca="1" ref="OP1543" ca="1">IFERROR(INDEX(nombres[],SMALL(IF(OFFSET(nombres[],0,0,ROWS(nombres[]),1)=OP$1490,ROW(OFFSET(nombres[],0,0,ROWS(nombres[]),1))-ROW(OFFSET(nombres[],0,0,1,1))+1,ROW(OFFSET(nombres[],ROWS(nombres[])-1,0,1,1))+1),$O1543:$O1562),3),"")</f>
        <v/>
      </c>
      <c r="OQ1543" s="42" t="str">
        <f t="array" aca="1" ref="OQ1543" ca="1">IFERROR(INDEX(nombres[],SMALL(IF(OFFSET(nombres[],0,0,ROWS(nombres[]),1)=OQ$1490,ROW(OFFSET(nombres[],0,0,ROWS(nombres[]),1))-ROW(OFFSET(nombres[],0,0,1,1))+1,ROW(OFFSET(nombres[],ROWS(nombres[])-1,0,1,1))+1),$O1543:$O1562),3),"")</f>
        <v/>
      </c>
      <c r="OR1543" s="42" t="str">
        <f t="array" aca="1" ref="OR1543" ca="1">IFERROR(INDEX(nombres[],SMALL(IF(OFFSET(nombres[],0,0,ROWS(nombres[]),1)=OR$1490,ROW(OFFSET(nombres[],0,0,ROWS(nombres[]),1))-ROW(OFFSET(nombres[],0,0,1,1))+1,ROW(OFFSET(nombres[],ROWS(nombres[])-1,0,1,1))+1),$O1543:$O1562),3),"")</f>
        <v/>
      </c>
      <c r="OS1543" s="42" t="str">
        <f t="array" aca="1" ref="OS1543" ca="1">IFERROR(INDEX(nombres[],SMALL(IF(OFFSET(nombres[],0,0,ROWS(nombres[]),1)=OS$1490,ROW(OFFSET(nombres[],0,0,ROWS(nombres[]),1))-ROW(OFFSET(nombres[],0,0,1,1))+1,ROW(OFFSET(nombres[],ROWS(nombres[])-1,0,1,1))+1),$O1543:$O1562),3),"")</f>
        <v/>
      </c>
      <c r="OT1543" s="42" t="str">
        <f t="array" aca="1" ref="OT1543" ca="1">IFERROR(INDEX(nombres[],SMALL(IF(OFFSET(nombres[],0,0,ROWS(nombres[]),1)=OT$1490,ROW(OFFSET(nombres[],0,0,ROWS(nombres[]),1))-ROW(OFFSET(nombres[],0,0,1,1))+1,ROW(OFFSET(nombres[],ROWS(nombres[])-1,0,1,1))+1),$O1543:$O1562),3),"")</f>
        <v/>
      </c>
      <c r="OU1543" s="42" t="str">
        <f t="array" aca="1" ref="OU1543" ca="1">IFERROR(INDEX(nombres[],SMALL(IF(OFFSET(nombres[],0,0,ROWS(nombres[]),1)=OU$1490,ROW(OFFSET(nombres[],0,0,ROWS(nombres[]),1))-ROW(OFFSET(nombres[],0,0,1,1))+1,ROW(OFFSET(nombres[],ROWS(nombres[])-1,0,1,1))+1),$O1543:$O1562),3),"")</f>
        <v/>
      </c>
      <c r="OV1543" s="42" t="str">
        <f t="array" aca="1" ref="OV1543" ca="1">IFERROR(INDEX(nombres[],SMALL(IF(OFFSET(nombres[],0,0,ROWS(nombres[]),1)=OV$1490,ROW(OFFSET(nombres[],0,0,ROWS(nombres[]),1))-ROW(OFFSET(nombres[],0,0,1,1))+1,ROW(OFFSET(nombres[],ROWS(nombres[])-1,0,1,1))+1),$O1543:$O1562),3),"")</f>
        <v/>
      </c>
      <c r="OW1543" s="42" t="str">
        <f t="array" aca="1" ref="OW1543" ca="1">IFERROR(INDEX(nombres[],SMALL(IF(OFFSET(nombres[],0,0,ROWS(nombres[]),1)=OW$1490,ROW(OFFSET(nombres[],0,0,ROWS(nombres[]),1))-ROW(OFFSET(nombres[],0,0,1,1))+1,ROW(OFFSET(nombres[],ROWS(nombres[])-1,0,1,1))+1),$O1543:$O1562),3),"")</f>
        <v/>
      </c>
      <c r="OX1543" s="42" t="str">
        <f t="array" aca="1" ref="OX1543" ca="1">IFERROR(INDEX(nombres[],SMALL(IF(OFFSET(nombres[],0,0,ROWS(nombres[]),1)=OX$1490,ROW(OFFSET(nombres[],0,0,ROWS(nombres[]),1))-ROW(OFFSET(nombres[],0,0,1,1))+1,ROW(OFFSET(nombres[],ROWS(nombres[])-1,0,1,1))+1),$O1543:$O1562),3),"")</f>
        <v/>
      </c>
      <c r="OY1543" s="42" t="str">
        <f t="array" aca="1" ref="OY1543" ca="1">IFERROR(INDEX(nombres[],SMALL(IF(OFFSET(nombres[],0,0,ROWS(nombres[]),1)=OY$1490,ROW(OFFSET(nombres[],0,0,ROWS(nombres[]),1))-ROW(OFFSET(nombres[],0,0,1,1))+1,ROW(OFFSET(nombres[],ROWS(nombres[])-1,0,1,1))+1),$O1543:$O1562),3),"")</f>
        <v/>
      </c>
      <c r="OZ1543" s="42" t="str">
        <f t="array" aca="1" ref="OZ1543" ca="1">IFERROR(INDEX(nombres[],SMALL(IF(OFFSET(nombres[],0,0,ROWS(nombres[]),1)=OZ$1490,ROW(OFFSET(nombres[],0,0,ROWS(nombres[]),1))-ROW(OFFSET(nombres[],0,0,1,1))+1,ROW(OFFSET(nombres[],ROWS(nombres[])-1,0,1,1))+1),$O1543:$O1562),3),"")</f>
        <v/>
      </c>
      <c r="PA1543" s="42" t="str">
        <f t="array" aca="1" ref="PA1543" ca="1">IFERROR(INDEX(nombres[],SMALL(IF(OFFSET(nombres[],0,0,ROWS(nombres[]),1)=PA$1490,ROW(OFFSET(nombres[],0,0,ROWS(nombres[]),1))-ROW(OFFSET(nombres[],0,0,1,1))+1,ROW(OFFSET(nombres[],ROWS(nombres[])-1,0,1,1))+1),$O1543:$O1562),3),"")</f>
        <v/>
      </c>
      <c r="PB1543" s="42" t="str">
        <f t="array" aca="1" ref="PB1543" ca="1">IFERROR(INDEX(nombres[],SMALL(IF(OFFSET(nombres[],0,0,ROWS(nombres[]),1)=PB$1490,ROW(OFFSET(nombres[],0,0,ROWS(nombres[]),1))-ROW(OFFSET(nombres[],0,0,1,1))+1,ROW(OFFSET(nombres[],ROWS(nombres[])-1,0,1,1))+1),$O1543:$O1562),3),"")</f>
        <v/>
      </c>
      <c r="PC1543" s="42" t="str">
        <f t="array" aca="1" ref="PC1543" ca="1">IFERROR(INDEX(nombres[],SMALL(IF(OFFSET(nombres[],0,0,ROWS(nombres[]),1)=PC$1490,ROW(OFFSET(nombres[],0,0,ROWS(nombres[]),1))-ROW(OFFSET(nombres[],0,0,1,1))+1,ROW(OFFSET(nombres[],ROWS(nombres[])-1,0,1,1))+1),$O1543:$O1562),3),"")</f>
        <v/>
      </c>
      <c r="PD1543" s="42" t="str">
        <f t="array" aca="1" ref="PD1543" ca="1">IFERROR(INDEX(nombres[],SMALL(IF(OFFSET(nombres[],0,0,ROWS(nombres[]),1)=PD$1490,ROW(OFFSET(nombres[],0,0,ROWS(nombres[]),1))-ROW(OFFSET(nombres[],0,0,1,1))+1,ROW(OFFSET(nombres[],ROWS(nombres[])-1,0,1,1))+1),$O1543:$O1562),3),"")</f>
        <v/>
      </c>
      <c r="PE1543" s="42" t="str">
        <f t="array" aca="1" ref="PE1543" ca="1">IFERROR(INDEX(nombres[],SMALL(IF(OFFSET(nombres[],0,0,ROWS(nombres[]),1)=PE$1490,ROW(OFFSET(nombres[],0,0,ROWS(nombres[]),1))-ROW(OFFSET(nombres[],0,0,1,1))+1,ROW(OFFSET(nombres[],ROWS(nombres[])-1,0,1,1))+1),$O1543:$O1562),3),"")</f>
        <v/>
      </c>
      <c r="PF1543" s="42" t="str">
        <f t="array" aca="1" ref="PF1543" ca="1">IFERROR(INDEX(nombres[],SMALL(IF(OFFSET(nombres[],0,0,ROWS(nombres[]),1)=PF$1490,ROW(OFFSET(nombres[],0,0,ROWS(nombres[]),1))-ROW(OFFSET(nombres[],0,0,1,1))+1,ROW(OFFSET(nombres[],ROWS(nombres[])-1,0,1,1))+1),$O1543:$O1562),3),"")</f>
        <v/>
      </c>
      <c r="PG1543" s="42" t="str">
        <f t="array" aca="1" ref="PG1543" ca="1">IFERROR(INDEX(nombres[],SMALL(IF(OFFSET(nombres[],0,0,ROWS(nombres[]),1)=PG$1490,ROW(OFFSET(nombres[],0,0,ROWS(nombres[]),1))-ROW(OFFSET(nombres[],0,0,1,1))+1,ROW(OFFSET(nombres[],ROWS(nombres[])-1,0,1,1))+1),$O1543:$O1562),3),"")</f>
        <v/>
      </c>
      <c r="PH1543" s="42" t="str">
        <f t="array" aca="1" ref="PH1543" ca="1">IFERROR(INDEX(nombres[],SMALL(IF(OFFSET(nombres[],0,0,ROWS(nombres[]),1)=PH$1490,ROW(OFFSET(nombres[],0,0,ROWS(nombres[]),1))-ROW(OFFSET(nombres[],0,0,1,1))+1,ROW(OFFSET(nombres[],ROWS(nombres[])-1,0,1,1))+1),$O1543:$O1562),3),"")</f>
        <v/>
      </c>
      <c r="PI1543" s="42" t="str">
        <f t="array" aca="1" ref="PI1543" ca="1">IFERROR(INDEX(nombres[],SMALL(IF(OFFSET(nombres[],0,0,ROWS(nombres[]),1)=PI$1490,ROW(OFFSET(nombres[],0,0,ROWS(nombres[]),1))-ROW(OFFSET(nombres[],0,0,1,1))+1,ROW(OFFSET(nombres[],ROWS(nombres[])-1,0,1,1))+1),$O1543:$O1562),3),"")</f>
        <v/>
      </c>
      <c r="PJ1543" s="42" t="str">
        <f t="array" aca="1" ref="PJ1543" ca="1">IFERROR(INDEX(nombres[],SMALL(IF(OFFSET(nombres[],0,0,ROWS(nombres[]),1)=PJ$1490,ROW(OFFSET(nombres[],0,0,ROWS(nombres[]),1))-ROW(OFFSET(nombres[],0,0,1,1))+1,ROW(OFFSET(nombres[],ROWS(nombres[])-1,0,1,1))+1),$O1543:$O1562),3),"")</f>
        <v/>
      </c>
      <c r="PK1543" s="42" t="str">
        <f t="array" aca="1" ref="PK1543" ca="1">IFERROR(INDEX(nombres[],SMALL(IF(OFFSET(nombres[],0,0,ROWS(nombres[]),1)=PK$1490,ROW(OFFSET(nombres[],0,0,ROWS(nombres[]),1))-ROW(OFFSET(nombres[],0,0,1,1))+1,ROW(OFFSET(nombres[],ROWS(nombres[])-1,0,1,1))+1),$O1543:$O1562),3),"")</f>
        <v/>
      </c>
      <c r="PL1543" s="42" t="str">
        <f t="array" aca="1" ref="PL1543" ca="1">IFERROR(INDEX(nombres[],SMALL(IF(OFFSET(nombres[],0,0,ROWS(nombres[]),1)=PL$1490,ROW(OFFSET(nombres[],0,0,ROWS(nombres[]),1))-ROW(OFFSET(nombres[],0,0,1,1))+1,ROW(OFFSET(nombres[],ROWS(nombres[])-1,0,1,1))+1),$O1543:$O1562),3),"")</f>
        <v/>
      </c>
      <c r="PM1543" s="42" t="str">
        <f t="array" aca="1" ref="PM1543" ca="1">IFERROR(INDEX(nombres[],SMALL(IF(OFFSET(nombres[],0,0,ROWS(nombres[]),1)=PM$1490,ROW(OFFSET(nombres[],0,0,ROWS(nombres[]),1))-ROW(OFFSET(nombres[],0,0,1,1))+1,ROW(OFFSET(nombres[],ROWS(nombres[])-1,0,1,1))+1),$O1543:$O1562),3),"")</f>
        <v/>
      </c>
      <c r="PN1543" s="42" t="str">
        <f t="array" aca="1" ref="PN1543" ca="1">IFERROR(INDEX(nombres[],SMALL(IF(OFFSET(nombres[],0,0,ROWS(nombres[]),1)=PN$1490,ROW(OFFSET(nombres[],0,0,ROWS(nombres[]),1))-ROW(OFFSET(nombres[],0,0,1,1))+1,ROW(OFFSET(nombres[],ROWS(nombres[])-1,0,1,1))+1),$O1543:$O1562),3),"")</f>
        <v/>
      </c>
      <c r="PO1543" s="42" t="str">
        <f t="array" aca="1" ref="PO1543" ca="1">IFERROR(INDEX(nombres[],SMALL(IF(OFFSET(nombres[],0,0,ROWS(nombres[]),1)=PO$1490,ROW(OFFSET(nombres[],0,0,ROWS(nombres[]),1))-ROW(OFFSET(nombres[],0,0,1,1))+1,ROW(OFFSET(nombres[],ROWS(nombres[])-1,0,1,1))+1),$O1543:$O1562),3),"")</f>
        <v/>
      </c>
      <c r="PP1543" s="42" t="str">
        <f t="array" aca="1" ref="PP1543" ca="1">IFERROR(INDEX(nombres[],SMALL(IF(OFFSET(nombres[],0,0,ROWS(nombres[]),1)=PP$1490,ROW(OFFSET(nombres[],0,0,ROWS(nombres[]),1))-ROW(OFFSET(nombres[],0,0,1,1))+1,ROW(OFFSET(nombres[],ROWS(nombres[])-1,0,1,1))+1),$O1543:$O1562),3),"")</f>
        <v/>
      </c>
      <c r="PQ1543" s="42" t="str">
        <f t="array" aca="1" ref="PQ1543" ca="1">IFERROR(INDEX(nombres[],SMALL(IF(OFFSET(nombres[],0,0,ROWS(nombres[]),1)=PQ$1490,ROW(OFFSET(nombres[],0,0,ROWS(nombres[]),1))-ROW(OFFSET(nombres[],0,0,1,1))+1,ROW(OFFSET(nombres[],ROWS(nombres[])-1,0,1,1))+1),$O1543:$O1562),3),"")</f>
        <v/>
      </c>
      <c r="PR1543" s="42" t="str">
        <f t="array" aca="1" ref="PR1543" ca="1">IFERROR(INDEX(nombres[],SMALL(IF(OFFSET(nombres[],0,0,ROWS(nombres[]),1)=PR$1490,ROW(OFFSET(nombres[],0,0,ROWS(nombres[]),1))-ROW(OFFSET(nombres[],0,0,1,1))+1,ROW(OFFSET(nombres[],ROWS(nombres[])-1,0,1,1))+1),$O1543:$O1562),3),"")</f>
        <v/>
      </c>
      <c r="PS1543" s="42" t="str">
        <f t="array" aca="1" ref="PS1543" ca="1">IFERROR(INDEX(nombres[],SMALL(IF(OFFSET(nombres[],0,0,ROWS(nombres[]),1)=PS$1490,ROW(OFFSET(nombres[],0,0,ROWS(nombres[]),1))-ROW(OFFSET(nombres[],0,0,1,1))+1,ROW(OFFSET(nombres[],ROWS(nombres[])-1,0,1,1))+1),$O1543:$O1562),3),"")</f>
        <v/>
      </c>
      <c r="PT1543" s="42" t="str">
        <f t="array" aca="1" ref="PT1543" ca="1">IFERROR(INDEX(nombres[],SMALL(IF(OFFSET(nombres[],0,0,ROWS(nombres[]),1)=PT$1490,ROW(OFFSET(nombres[],0,0,ROWS(nombres[]),1))-ROW(OFFSET(nombres[],0,0,1,1))+1,ROW(OFFSET(nombres[],ROWS(nombres[])-1,0,1,1))+1),$O1543:$O1562),3),"")</f>
        <v/>
      </c>
      <c r="PU1543" s="42" t="str">
        <f t="array" aca="1" ref="PU1543" ca="1">IFERROR(INDEX(nombres[],SMALL(IF(OFFSET(nombres[],0,0,ROWS(nombres[]),1)=PU$1490,ROW(OFFSET(nombres[],0,0,ROWS(nombres[]),1))-ROW(OFFSET(nombres[],0,0,1,1))+1,ROW(OFFSET(nombres[],ROWS(nombres[])-1,0,1,1))+1),$O1543:$O1562),3),"")</f>
        <v/>
      </c>
      <c r="PV1543" s="42" t="str">
        <f t="array" aca="1" ref="PV1543" ca="1">IFERROR(INDEX(nombres[],SMALL(IF(OFFSET(nombres[],0,0,ROWS(nombres[]),1)=PV$1490,ROW(OFFSET(nombres[],0,0,ROWS(nombres[]),1))-ROW(OFFSET(nombres[],0,0,1,1))+1,ROW(OFFSET(nombres[],ROWS(nombres[])-1,0,1,1))+1),$O1543:$O1562),3),"")</f>
        <v/>
      </c>
      <c r="PW1543" s="42" t="str">
        <f t="array" aca="1" ref="PW1543" ca="1">IFERROR(INDEX(nombres[],SMALL(IF(OFFSET(nombres[],0,0,ROWS(nombres[]),1)=PW$1490,ROW(OFFSET(nombres[],0,0,ROWS(nombres[]),1))-ROW(OFFSET(nombres[],0,0,1,1))+1,ROW(OFFSET(nombres[],ROWS(nombres[])-1,0,1,1))+1),$O1543:$O1562),3),"")</f>
        <v/>
      </c>
      <c r="PX1543" s="42" t="str">
        <f t="array" aca="1" ref="PX1543" ca="1">IFERROR(INDEX(nombres[],SMALL(IF(OFFSET(nombres[],0,0,ROWS(nombres[]),1)=PX$1490,ROW(OFFSET(nombres[],0,0,ROWS(nombres[]),1))-ROW(OFFSET(nombres[],0,0,1,1))+1,ROW(OFFSET(nombres[],ROWS(nombres[])-1,0,1,1))+1),$O1543:$O1562),3),"")</f>
        <v/>
      </c>
      <c r="PY1543" s="42" t="str">
        <f t="array" aca="1" ref="PY1543" ca="1">IFERROR(INDEX(nombres[],SMALL(IF(OFFSET(nombres[],0,0,ROWS(nombres[]),1)=PY$1490,ROW(OFFSET(nombres[],0,0,ROWS(nombres[]),1))-ROW(OFFSET(nombres[],0,0,1,1))+1,ROW(OFFSET(nombres[],ROWS(nombres[])-1,0,1,1))+1),$O1543:$O1562),3),"")</f>
        <v/>
      </c>
      <c r="PZ1543" s="42" t="str">
        <f t="array" aca="1" ref="PZ1543" ca="1">IFERROR(INDEX(nombres[],SMALL(IF(OFFSET(nombres[],0,0,ROWS(nombres[]),1)=PZ$1490,ROW(OFFSET(nombres[],0,0,ROWS(nombres[]),1))-ROW(OFFSET(nombres[],0,0,1,1))+1,ROW(OFFSET(nombres[],ROWS(nombres[])-1,0,1,1))+1),$O1543:$O1562),3),"")</f>
        <v/>
      </c>
      <c r="QA1543" s="42" t="str">
        <f t="array" aca="1" ref="QA1543" ca="1">IFERROR(INDEX(nombres[],SMALL(IF(OFFSET(nombres[],0,0,ROWS(nombres[]),1)=QA$1490,ROW(OFFSET(nombres[],0,0,ROWS(nombres[]),1))-ROW(OFFSET(nombres[],0,0,1,1))+1,ROW(OFFSET(nombres[],ROWS(nombres[])-1,0,1,1))+1),$O1543:$O1562),3),"")</f>
        <v/>
      </c>
      <c r="QB1543" s="42" t="str">
        <f t="array" aca="1" ref="QB1543" ca="1">IFERROR(INDEX(nombres[],SMALL(IF(OFFSET(nombres[],0,0,ROWS(nombres[]),1)=QB$1490,ROW(OFFSET(nombres[],0,0,ROWS(nombres[]),1))-ROW(OFFSET(nombres[],0,0,1,1))+1,ROW(OFFSET(nombres[],ROWS(nombres[])-1,0,1,1))+1),$O1543:$O1562),3),"")</f>
        <v/>
      </c>
      <c r="QC1543" s="42" t="str">
        <f t="array" aca="1" ref="QC1543" ca="1">IFERROR(INDEX(nombres[],SMALL(IF(OFFSET(nombres[],0,0,ROWS(nombres[]),1)=QC$1490,ROW(OFFSET(nombres[],0,0,ROWS(nombres[]),1))-ROW(OFFSET(nombres[],0,0,1,1))+1,ROW(OFFSET(nombres[],ROWS(nombres[])-1,0,1,1))+1),$O1543:$O1562),3),"")</f>
        <v/>
      </c>
      <c r="QD1543" s="42" t="str">
        <f t="array" aca="1" ref="QD1543" ca="1">IFERROR(INDEX(nombres[],SMALL(IF(OFFSET(nombres[],0,0,ROWS(nombres[]),1)=QD$1490,ROW(OFFSET(nombres[],0,0,ROWS(nombres[]),1))-ROW(OFFSET(nombres[],0,0,1,1))+1,ROW(OFFSET(nombres[],ROWS(nombres[])-1,0,1,1))+1),$O1543:$O1562),3),"")</f>
        <v/>
      </c>
      <c r="QE1543" s="42" t="str">
        <f t="array" aca="1" ref="QE1543" ca="1">IFERROR(INDEX(nombres[],SMALL(IF(OFFSET(nombres[],0,0,ROWS(nombres[]),1)=QE$1490,ROW(OFFSET(nombres[],0,0,ROWS(nombres[]),1))-ROW(OFFSET(nombres[],0,0,1,1))+1,ROW(OFFSET(nombres[],ROWS(nombres[])-1,0,1,1))+1),$O1543:$O1562),3),"")</f>
        <v/>
      </c>
      <c r="QF1543" s="42" t="str">
        <f t="array" aca="1" ref="QF1543" ca="1">IFERROR(INDEX(nombres[],SMALL(IF(OFFSET(nombres[],0,0,ROWS(nombres[]),1)=QF$1490,ROW(OFFSET(nombres[],0,0,ROWS(nombres[]),1))-ROW(OFFSET(nombres[],0,0,1,1))+1,ROW(OFFSET(nombres[],ROWS(nombres[])-1,0,1,1))+1),$O1543:$O1562),3),"")</f>
        <v/>
      </c>
      <c r="QG1543" s="42" t="str">
        <f t="array" aca="1" ref="QG1543" ca="1">IFERROR(INDEX(nombres[],SMALL(IF(OFFSET(nombres[],0,0,ROWS(nombres[]),1)=QG$1490,ROW(OFFSET(nombres[],0,0,ROWS(nombres[]),1))-ROW(OFFSET(nombres[],0,0,1,1))+1,ROW(OFFSET(nombres[],ROWS(nombres[])-1,0,1,1))+1),$O1543:$O1562),3),"")</f>
        <v/>
      </c>
      <c r="QH1543" s="42" t="str">
        <f t="array" aca="1" ref="QH1543" ca="1">IFERROR(INDEX(nombres[],SMALL(IF(OFFSET(nombres[],0,0,ROWS(nombres[]),1)=QH$1490,ROW(OFFSET(nombres[],0,0,ROWS(nombres[]),1))-ROW(OFFSET(nombres[],0,0,1,1))+1,ROW(OFFSET(nombres[],ROWS(nombres[])-1,0,1,1))+1),$O1543:$O1562),3),"")</f>
        <v/>
      </c>
      <c r="QI1543" s="42" t="str">
        <f t="array" aca="1" ref="QI1543" ca="1">IFERROR(INDEX(nombres[],SMALL(IF(OFFSET(nombres[],0,0,ROWS(nombres[]),1)=QI$1490,ROW(OFFSET(nombres[],0,0,ROWS(nombres[]),1))-ROW(OFFSET(nombres[],0,0,1,1))+1,ROW(OFFSET(nombres[],ROWS(nombres[])-1,0,1,1))+1),$O1543:$O1562),3),"")</f>
        <v/>
      </c>
      <c r="QJ1543" s="42" t="str">
        <f t="array" aca="1" ref="QJ1543" ca="1">IFERROR(INDEX(nombres[],SMALL(IF(OFFSET(nombres[],0,0,ROWS(nombres[]),1)=QJ$1490,ROW(OFFSET(nombres[],0,0,ROWS(nombres[]),1))-ROW(OFFSET(nombres[],0,0,1,1))+1,ROW(OFFSET(nombres[],ROWS(nombres[])-1,0,1,1))+1),$O1543:$O1562),3),"")</f>
        <v/>
      </c>
      <c r="QK1543" s="42" t="str">
        <f t="array" aca="1" ref="QK1543" ca="1">IFERROR(INDEX(nombres[],SMALL(IF(OFFSET(nombres[],0,0,ROWS(nombres[]),1)=QK$1490,ROW(OFFSET(nombres[],0,0,ROWS(nombres[]),1))-ROW(OFFSET(nombres[],0,0,1,1))+1,ROW(OFFSET(nombres[],ROWS(nombres[])-1,0,1,1))+1),$O1543:$O1562),3),"")</f>
        <v/>
      </c>
      <c r="QL1543" s="42" t="str">
        <f t="array" aca="1" ref="QL1543" ca="1">IFERROR(INDEX(nombres[],SMALL(IF(OFFSET(nombres[],0,0,ROWS(nombres[]),1)=QL$1490,ROW(OFFSET(nombres[],0,0,ROWS(nombres[]),1))-ROW(OFFSET(nombres[],0,0,1,1))+1,ROW(OFFSET(nombres[],ROWS(nombres[])-1,0,1,1))+1),$O1543:$O1562),3),"")</f>
        <v/>
      </c>
      <c r="QM1543" s="42" t="str">
        <f t="array" aca="1" ref="QM1543" ca="1">IFERROR(INDEX(nombres[],SMALL(IF(OFFSET(nombres[],0,0,ROWS(nombres[]),1)=QM$1490,ROW(OFFSET(nombres[],0,0,ROWS(nombres[]),1))-ROW(OFFSET(nombres[],0,0,1,1))+1,ROW(OFFSET(nombres[],ROWS(nombres[])-1,0,1,1))+1),$O1543:$O1562),3),"")</f>
        <v/>
      </c>
      <c r="QN1543" s="42" t="str">
        <f t="array" aca="1" ref="QN1543" ca="1">IFERROR(INDEX(nombres[],SMALL(IF(OFFSET(nombres[],0,0,ROWS(nombres[]),1)=QN$1490,ROW(OFFSET(nombres[],0,0,ROWS(nombres[]),1))-ROW(OFFSET(nombres[],0,0,1,1))+1,ROW(OFFSET(nombres[],ROWS(nombres[])-1,0,1,1))+1),$O1543:$O1562),3),"")</f>
        <v/>
      </c>
      <c r="QO1543" s="42" t="str">
        <f t="array" aca="1" ref="QO1543" ca="1">IFERROR(INDEX(nombres[],SMALL(IF(OFFSET(nombres[],0,0,ROWS(nombres[]),1)=QO$1490,ROW(OFFSET(nombres[],0,0,ROWS(nombres[]),1))-ROW(OFFSET(nombres[],0,0,1,1))+1,ROW(OFFSET(nombres[],ROWS(nombres[])-1,0,1,1))+1),$O1543:$O1562),3),"")</f>
        <v/>
      </c>
      <c r="QP1543" s="42" t="str">
        <f t="array" aca="1" ref="QP1543" ca="1">IFERROR(INDEX(nombres[],SMALL(IF(OFFSET(nombres[],0,0,ROWS(nombres[]),1)=QP$1490,ROW(OFFSET(nombres[],0,0,ROWS(nombres[]),1))-ROW(OFFSET(nombres[],0,0,1,1))+1,ROW(OFFSET(nombres[],ROWS(nombres[])-1,0,1,1))+1),$O1543:$O1562),3),"")</f>
        <v/>
      </c>
      <c r="QQ1543" s="42" t="str">
        <f t="array" aca="1" ref="QQ1543" ca="1">IFERROR(INDEX(nombres[],SMALL(IF(OFFSET(nombres[],0,0,ROWS(nombres[]),1)=QQ$1490,ROW(OFFSET(nombres[],0,0,ROWS(nombres[]),1))-ROW(OFFSET(nombres[],0,0,1,1))+1,ROW(OFFSET(nombres[],ROWS(nombres[])-1,0,1,1))+1),$O1543:$O1562),3),"")</f>
        <v/>
      </c>
      <c r="QR1543" s="42" t="str">
        <f t="array" aca="1" ref="QR1543" ca="1">IFERROR(INDEX(nombres[],SMALL(IF(OFFSET(nombres[],0,0,ROWS(nombres[]),1)=QR$1490,ROW(OFFSET(nombres[],0,0,ROWS(nombres[]),1))-ROW(OFFSET(nombres[],0,0,1,1))+1,ROW(OFFSET(nombres[],ROWS(nombres[])-1,0,1,1))+1),$O1543:$O1562),3),"")</f>
        <v/>
      </c>
      <c r="QS1543" s="42" t="str">
        <f t="array" aca="1" ref="QS1543" ca="1">IFERROR(INDEX(nombres[],SMALL(IF(OFFSET(nombres[],0,0,ROWS(nombres[]),1)=QS$1490,ROW(OFFSET(nombres[],0,0,ROWS(nombres[]),1))-ROW(OFFSET(nombres[],0,0,1,1))+1,ROW(OFFSET(nombres[],ROWS(nombres[])-1,0,1,1))+1),$O1543:$O1562),3),"")</f>
        <v/>
      </c>
      <c r="QT1543" s="42" t="str">
        <f t="array" aca="1" ref="QT1543" ca="1">IFERROR(INDEX(nombres[],SMALL(IF(OFFSET(nombres[],0,0,ROWS(nombres[]),1)=QT$1490,ROW(OFFSET(nombres[],0,0,ROWS(nombres[]),1))-ROW(OFFSET(nombres[],0,0,1,1))+1,ROW(OFFSET(nombres[],ROWS(nombres[])-1,0,1,1))+1),$O1543:$O1562),3),"")</f>
        <v/>
      </c>
      <c r="QU1543" s="42" t="str">
        <f t="array" aca="1" ref="QU1543" ca="1">IFERROR(INDEX(nombres[],SMALL(IF(OFFSET(nombres[],0,0,ROWS(nombres[]),1)=QU$1490,ROW(OFFSET(nombres[],0,0,ROWS(nombres[]),1))-ROW(OFFSET(nombres[],0,0,1,1))+1,ROW(OFFSET(nombres[],ROWS(nombres[])-1,0,1,1))+1),$O1543:$O1562),3),"")</f>
        <v/>
      </c>
      <c r="QV1543" s="42" t="str">
        <f t="array" aca="1" ref="QV1543" ca="1">IFERROR(INDEX(nombres[],SMALL(IF(OFFSET(nombres[],0,0,ROWS(nombres[]),1)=QV$1490,ROW(OFFSET(nombres[],0,0,ROWS(nombres[]),1))-ROW(OFFSET(nombres[],0,0,1,1))+1,ROW(OFFSET(nombres[],ROWS(nombres[])-1,0,1,1))+1),$O1543:$O1562),3),"")</f>
        <v/>
      </c>
      <c r="QW1543" s="42" t="str">
        <f t="array" aca="1" ref="QW1543" ca="1">IFERROR(INDEX(nombres[],SMALL(IF(OFFSET(nombres[],0,0,ROWS(nombres[]),1)=QW$1490,ROW(OFFSET(nombres[],0,0,ROWS(nombres[]),1))-ROW(OFFSET(nombres[],0,0,1,1))+1,ROW(OFFSET(nombres[],ROWS(nombres[])-1,0,1,1))+1),$O1543:$O1562),3),"")</f>
        <v/>
      </c>
      <c r="QX1543" s="42" t="str">
        <f t="array" aca="1" ref="QX1543" ca="1">IFERROR(INDEX(nombres[],SMALL(IF(OFFSET(nombres[],0,0,ROWS(nombres[]),1)=QX$1490,ROW(OFFSET(nombres[],0,0,ROWS(nombres[]),1))-ROW(OFFSET(nombres[],0,0,1,1))+1,ROW(OFFSET(nombres[],ROWS(nombres[])-1,0,1,1))+1),$O1543:$O1562),3),"")</f>
        <v/>
      </c>
      <c r="QY1543" s="42" t="str">
        <f t="array" aca="1" ref="QY1543" ca="1">IFERROR(INDEX(nombres[],SMALL(IF(OFFSET(nombres[],0,0,ROWS(nombres[]),1)=QY$1490,ROW(OFFSET(nombres[],0,0,ROWS(nombres[]),1))-ROW(OFFSET(nombres[],0,0,1,1))+1,ROW(OFFSET(nombres[],ROWS(nombres[])-1,0,1,1))+1),$O1543:$O1562),3),"")</f>
        <v/>
      </c>
      <c r="QZ1543" s="42" t="str">
        <f t="array" aca="1" ref="QZ1543" ca="1">IFERROR(INDEX(nombres[],SMALL(IF(OFFSET(nombres[],0,0,ROWS(nombres[]),1)=QZ$1490,ROW(OFFSET(nombres[],0,0,ROWS(nombres[]),1))-ROW(OFFSET(nombres[],0,0,1,1))+1,ROW(OFFSET(nombres[],ROWS(nombres[])-1,0,1,1))+1),$O1543:$O1562),3),"")</f>
        <v/>
      </c>
      <c r="RA1543" s="42" t="str">
        <f t="array" aca="1" ref="RA1543" ca="1">IFERROR(INDEX(nombres[],SMALL(IF(OFFSET(nombres[],0,0,ROWS(nombres[]),1)=RA$1490,ROW(OFFSET(nombres[],0,0,ROWS(nombres[]),1))-ROW(OFFSET(nombres[],0,0,1,1))+1,ROW(OFFSET(nombres[],ROWS(nombres[])-1,0,1,1))+1),$O1543:$O1562),3),"")</f>
        <v/>
      </c>
      <c r="RB1543" s="42" t="str">
        <f t="array" aca="1" ref="RB1543" ca="1">IFERROR(INDEX(nombres[],SMALL(IF(OFFSET(nombres[],0,0,ROWS(nombres[]),1)=RB$1490,ROW(OFFSET(nombres[],0,0,ROWS(nombres[]),1))-ROW(OFFSET(nombres[],0,0,1,1))+1,ROW(OFFSET(nombres[],ROWS(nombres[])-1,0,1,1))+1),$O1543:$O1562),3),"")</f>
        <v/>
      </c>
      <c r="RC1543" s="42" t="str">
        <f t="array" aca="1" ref="RC1543" ca="1">IFERROR(INDEX(nombres[],SMALL(IF(OFFSET(nombres[],0,0,ROWS(nombres[]),1)=RC$1490,ROW(OFFSET(nombres[],0,0,ROWS(nombres[]),1))-ROW(OFFSET(nombres[],0,0,1,1))+1,ROW(OFFSET(nombres[],ROWS(nombres[])-1,0,1,1))+1),$O1543:$O1562),3),"")</f>
        <v/>
      </c>
      <c r="RD1543" s="42" t="str">
        <f t="array" aca="1" ref="RD1543" ca="1">IFERROR(INDEX(nombres[],SMALL(IF(OFFSET(nombres[],0,0,ROWS(nombres[]),1)=RD$1490,ROW(OFFSET(nombres[],0,0,ROWS(nombres[]),1))-ROW(OFFSET(nombres[],0,0,1,1))+1,ROW(OFFSET(nombres[],ROWS(nombres[])-1,0,1,1))+1),$O1543:$O1562),3),"")</f>
        <v/>
      </c>
      <c r="RE1543" s="42" t="str">
        <f t="array" aca="1" ref="RE1543" ca="1">IFERROR(INDEX(nombres[],SMALL(IF(OFFSET(nombres[],0,0,ROWS(nombres[]),1)=RE$1490,ROW(OFFSET(nombres[],0,0,ROWS(nombres[]),1))-ROW(OFFSET(nombres[],0,0,1,1))+1,ROW(OFFSET(nombres[],ROWS(nombres[])-1,0,1,1))+1),$O1543:$O1562),3),"")</f>
        <v/>
      </c>
      <c r="RF1543" s="42" t="str">
        <f t="array" aca="1" ref="RF1543" ca="1">IFERROR(INDEX(nombres[],SMALL(IF(OFFSET(nombres[],0,0,ROWS(nombres[]),1)=RF$1490,ROW(OFFSET(nombres[],0,0,ROWS(nombres[]),1))-ROW(OFFSET(nombres[],0,0,1,1))+1,ROW(OFFSET(nombres[],ROWS(nombres[])-1,0,1,1))+1),$O1543:$O1562),3),"")</f>
        <v/>
      </c>
      <c r="RG1543" s="42" t="str">
        <f t="array" aca="1" ref="RG1543" ca="1">IFERROR(INDEX(nombres[],SMALL(IF(OFFSET(nombres[],0,0,ROWS(nombres[]),1)=RG$1490,ROW(OFFSET(nombres[],0,0,ROWS(nombres[]),1))-ROW(OFFSET(nombres[],0,0,1,1))+1,ROW(OFFSET(nombres[],ROWS(nombres[])-1,0,1,1))+1),$O1543:$O1562),3),"")</f>
        <v/>
      </c>
      <c r="RH1543" s="42" t="str">
        <f t="array" aca="1" ref="RH1543" ca="1">IFERROR(INDEX(nombres[],SMALL(IF(OFFSET(nombres[],0,0,ROWS(nombres[]),1)=RH$1490,ROW(OFFSET(nombres[],0,0,ROWS(nombres[]),1))-ROW(OFFSET(nombres[],0,0,1,1))+1,ROW(OFFSET(nombres[],ROWS(nombres[])-1,0,1,1))+1),$O1543:$O1562),3),"")</f>
        <v/>
      </c>
      <c r="RI1543" s="42" t="str">
        <f t="array" aca="1" ref="RI1543" ca="1">IFERROR(INDEX(nombres[],SMALL(IF(OFFSET(nombres[],0,0,ROWS(nombres[]),1)=RI$1490,ROW(OFFSET(nombres[],0,0,ROWS(nombres[]),1))-ROW(OFFSET(nombres[],0,0,1,1))+1,ROW(OFFSET(nombres[],ROWS(nombres[])-1,0,1,1))+1),$O1543:$O1562),3),"")</f>
        <v/>
      </c>
      <c r="RJ1543" s="42" t="str">
        <f t="array" aca="1" ref="RJ1543" ca="1">IFERROR(INDEX(nombres[],SMALL(IF(OFFSET(nombres[],0,0,ROWS(nombres[]),1)=RJ$1490,ROW(OFFSET(nombres[],0,0,ROWS(nombres[]),1))-ROW(OFFSET(nombres[],0,0,1,1))+1,ROW(OFFSET(nombres[],ROWS(nombres[])-1,0,1,1))+1),$O1543:$O1562),3),"")</f>
        <v/>
      </c>
      <c r="RK1543" s="42" t="str">
        <f t="array" aca="1" ref="RK1543" ca="1">IFERROR(INDEX(nombres[],SMALL(IF(OFFSET(nombres[],0,0,ROWS(nombres[]),1)=RK$1490,ROW(OFFSET(nombres[],0,0,ROWS(nombres[]),1))-ROW(OFFSET(nombres[],0,0,1,1))+1,ROW(OFFSET(nombres[],ROWS(nombres[])-1,0,1,1))+1),$O1543:$O1562),3),"")</f>
        <v/>
      </c>
      <c r="RL1543" s="42" t="str">
        <f t="array" aca="1" ref="RL1543" ca="1">IFERROR(INDEX(nombres[],SMALL(IF(OFFSET(nombres[],0,0,ROWS(nombres[]),1)=RL$1490,ROW(OFFSET(nombres[],0,0,ROWS(nombres[]),1))-ROW(OFFSET(nombres[],0,0,1,1))+1,ROW(OFFSET(nombres[],ROWS(nombres[])-1,0,1,1))+1),$O1543:$O1562),3),"")</f>
        <v/>
      </c>
      <c r="RM1543" s="42" t="str">
        <f t="array" aca="1" ref="RM1543" ca="1">IFERROR(INDEX(nombres[],SMALL(IF(OFFSET(nombres[],0,0,ROWS(nombres[]),1)=RM$1490,ROW(OFFSET(nombres[],0,0,ROWS(nombres[]),1))-ROW(OFFSET(nombres[],0,0,1,1))+1,ROW(OFFSET(nombres[],ROWS(nombres[])-1,0,1,1))+1),$O1543:$O1562),3),"")</f>
        <v/>
      </c>
      <c r="RN1543" s="42" t="str">
        <f t="array" aca="1" ref="RN1543" ca="1">IFERROR(INDEX(nombres[],SMALL(IF(OFFSET(nombres[],0,0,ROWS(nombres[]),1)=RN$1490,ROW(OFFSET(nombres[],0,0,ROWS(nombres[]),1))-ROW(OFFSET(nombres[],0,0,1,1))+1,ROW(OFFSET(nombres[],ROWS(nombres[])-1,0,1,1))+1),$O1543:$O1562),3),"")</f>
        <v/>
      </c>
      <c r="RO1543" s="42" t="str">
        <f t="array" aca="1" ref="RO1543" ca="1">IFERROR(INDEX(nombres[],SMALL(IF(OFFSET(nombres[],0,0,ROWS(nombres[]),1)=RO$1490,ROW(OFFSET(nombres[],0,0,ROWS(nombres[]),1))-ROW(OFFSET(nombres[],0,0,1,1))+1,ROW(OFFSET(nombres[],ROWS(nombres[])-1,0,1,1))+1),$O1543:$O1562),3),"")</f>
        <v/>
      </c>
      <c r="RP1543" s="42" t="str">
        <f t="array" aca="1" ref="RP1543" ca="1">IFERROR(INDEX(nombres[],SMALL(IF(OFFSET(nombres[],0,0,ROWS(nombres[]),1)=RP$1490,ROW(OFFSET(nombres[],0,0,ROWS(nombres[]),1))-ROW(OFFSET(nombres[],0,0,1,1))+1,ROW(OFFSET(nombres[],ROWS(nombres[])-1,0,1,1))+1),$O1543:$O1562),3),"")</f>
        <v/>
      </c>
      <c r="RQ1543" s="42" t="str">
        <f t="array" aca="1" ref="RQ1543" ca="1">IFERROR(INDEX(nombres[],SMALL(IF(OFFSET(nombres[],0,0,ROWS(nombres[]),1)=RQ$1490,ROW(OFFSET(nombres[],0,0,ROWS(nombres[]),1))-ROW(OFFSET(nombres[],0,0,1,1))+1,ROW(OFFSET(nombres[],ROWS(nombres[])-1,0,1,1))+1),$O1543:$O1562),3),"")</f>
        <v/>
      </c>
      <c r="RR1543" s="42" t="str">
        <f t="array" aca="1" ref="RR1543" ca="1">IFERROR(INDEX(nombres[],SMALL(IF(OFFSET(nombres[],0,0,ROWS(nombres[]),1)=RR$1490,ROW(OFFSET(nombres[],0,0,ROWS(nombres[]),1))-ROW(OFFSET(nombres[],0,0,1,1))+1,ROW(OFFSET(nombres[],ROWS(nombres[])-1,0,1,1))+1),$O1543:$O1562),3),"")</f>
        <v/>
      </c>
      <c r="RS1543" s="42" t="str">
        <f t="array" aca="1" ref="RS1543" ca="1">IFERROR(INDEX(nombres[],SMALL(IF(OFFSET(nombres[],0,0,ROWS(nombres[]),1)=RS$1490,ROW(OFFSET(nombres[],0,0,ROWS(nombres[]),1))-ROW(OFFSET(nombres[],0,0,1,1))+1,ROW(OFFSET(nombres[],ROWS(nombres[])-1,0,1,1))+1),$O1543:$O1562),3),"")</f>
        <v/>
      </c>
      <c r="RT1543" s="42" t="str">
        <f t="array" aca="1" ref="RT1543" ca="1">IFERROR(INDEX(nombres[],SMALL(IF(OFFSET(nombres[],0,0,ROWS(nombres[]),1)=RT$1490,ROW(OFFSET(nombres[],0,0,ROWS(nombres[]),1))-ROW(OFFSET(nombres[],0,0,1,1))+1,ROW(OFFSET(nombres[],ROWS(nombres[])-1,0,1,1))+1),$O1543:$O1562),3),"")</f>
        <v/>
      </c>
      <c r="RU1543" s="42" t="str">
        <f t="array" aca="1" ref="RU1543" ca="1">IFERROR(INDEX(nombres[],SMALL(IF(OFFSET(nombres[],0,0,ROWS(nombres[]),1)=RU$1490,ROW(OFFSET(nombres[],0,0,ROWS(nombres[]),1))-ROW(OFFSET(nombres[],0,0,1,1))+1,ROW(OFFSET(nombres[],ROWS(nombres[])-1,0,1,1))+1),$O1543:$O1562),3),"")</f>
        <v/>
      </c>
      <c r="RV1543" s="42" t="str">
        <f t="array" aca="1" ref="RV1543" ca="1">IFERROR(INDEX(nombres[],SMALL(IF(OFFSET(nombres[],0,0,ROWS(nombres[]),1)=RV$1490,ROW(OFFSET(nombres[],0,0,ROWS(nombres[]),1))-ROW(OFFSET(nombres[],0,0,1,1))+1,ROW(OFFSET(nombres[],ROWS(nombres[])-1,0,1,1))+1),$O1543:$O1562),3),"")</f>
        <v/>
      </c>
      <c r="RW1543" s="42" t="str">
        <f t="array" aca="1" ref="RW1543" ca="1">IFERROR(INDEX(nombres[],SMALL(IF(OFFSET(nombres[],0,0,ROWS(nombres[]),1)=RW$1490,ROW(OFFSET(nombres[],0,0,ROWS(nombres[]),1))-ROW(OFFSET(nombres[],0,0,1,1))+1,ROW(OFFSET(nombres[],ROWS(nombres[])-1,0,1,1))+1),$O1543:$O1562),3),"")</f>
        <v/>
      </c>
      <c r="RX1543" s="42" t="str">
        <f t="array" aca="1" ref="RX1543" ca="1">IFERROR(INDEX(nombres[],SMALL(IF(OFFSET(nombres[],0,0,ROWS(nombres[]),1)=RX$1490,ROW(OFFSET(nombres[],0,0,ROWS(nombres[]),1))-ROW(OFFSET(nombres[],0,0,1,1))+1,ROW(OFFSET(nombres[],ROWS(nombres[])-1,0,1,1))+1),$O1543:$O1562),3),"")</f>
        <v/>
      </c>
      <c r="RY1543" s="42" t="str">
        <f t="array" aca="1" ref="RY1543" ca="1">IFERROR(INDEX(nombres[],SMALL(IF(OFFSET(nombres[],0,0,ROWS(nombres[]),1)=RY$1490,ROW(OFFSET(nombres[],0,0,ROWS(nombres[]),1))-ROW(OFFSET(nombres[],0,0,1,1))+1,ROW(OFFSET(nombres[],ROWS(nombres[])-1,0,1,1))+1),$O1543:$O1562),3),"")</f>
        <v/>
      </c>
      <c r="RZ1543" s="42" t="str">
        <f t="array" aca="1" ref="RZ1543" ca="1">IFERROR(INDEX(nombres[],SMALL(IF(OFFSET(nombres[],0,0,ROWS(nombres[]),1)=RZ$1490,ROW(OFFSET(nombres[],0,0,ROWS(nombres[]),1))-ROW(OFFSET(nombres[],0,0,1,1))+1,ROW(OFFSET(nombres[],ROWS(nombres[])-1,0,1,1))+1),$O1543:$O1562),3),"")</f>
        <v/>
      </c>
      <c r="SA1543" s="42" t="str">
        <f t="array" aca="1" ref="SA1543" ca="1">IFERROR(INDEX(nombres[],SMALL(IF(OFFSET(nombres[],0,0,ROWS(nombres[]),1)=SA$1490,ROW(OFFSET(nombres[],0,0,ROWS(nombres[]),1))-ROW(OFFSET(nombres[],0,0,1,1))+1,ROW(OFFSET(nombres[],ROWS(nombres[])-1,0,1,1))+1),$O1543:$O1562),3),"")</f>
        <v/>
      </c>
      <c r="SB1543" s="42" t="str">
        <f t="array" aca="1" ref="SB1543" ca="1">IFERROR(INDEX(nombres[],SMALL(IF(OFFSET(nombres[],0,0,ROWS(nombres[]),1)=SB$1490,ROW(OFFSET(nombres[],0,0,ROWS(nombres[]),1))-ROW(OFFSET(nombres[],0,0,1,1))+1,ROW(OFFSET(nombres[],ROWS(nombres[])-1,0,1,1))+1),$O1543:$O1562),3),"")</f>
        <v/>
      </c>
      <c r="SC1543" s="42" t="str">
        <f t="array" aca="1" ref="SC1543" ca="1">IFERROR(INDEX(nombres[],SMALL(IF(OFFSET(nombres[],0,0,ROWS(nombres[]),1)=SC$1490,ROW(OFFSET(nombres[],0,0,ROWS(nombres[]),1))-ROW(OFFSET(nombres[],0,0,1,1))+1,ROW(OFFSET(nombres[],ROWS(nombres[])-1,0,1,1))+1),$O1543:$O1562),3),"")</f>
        <v/>
      </c>
      <c r="SD1543" s="42" t="str">
        <f t="array" aca="1" ref="SD1543" ca="1">IFERROR(INDEX(nombres[],SMALL(IF(OFFSET(nombres[],0,0,ROWS(nombres[]),1)=SD$1490,ROW(OFFSET(nombres[],0,0,ROWS(nombres[]),1))-ROW(OFFSET(nombres[],0,0,1,1))+1,ROW(OFFSET(nombres[],ROWS(nombres[])-1,0,1,1))+1),$O1543:$O1562),3),"")</f>
        <v/>
      </c>
      <c r="SE1543" s="42" t="str">
        <f t="array" aca="1" ref="SE1543" ca="1">IFERROR(INDEX(nombres[],SMALL(IF(OFFSET(nombres[],0,0,ROWS(nombres[]),1)=SE$1490,ROW(OFFSET(nombres[],0,0,ROWS(nombres[]),1))-ROW(OFFSET(nombres[],0,0,1,1))+1,ROW(OFFSET(nombres[],ROWS(nombres[])-1,0,1,1))+1),$O1543:$O1562),3),"")</f>
        <v/>
      </c>
      <c r="SF1543" s="42" t="str">
        <f t="array" aca="1" ref="SF1543" ca="1">IFERROR(INDEX(nombres[],SMALL(IF(OFFSET(nombres[],0,0,ROWS(nombres[]),1)=SF$1490,ROW(OFFSET(nombres[],0,0,ROWS(nombres[]),1))-ROW(OFFSET(nombres[],0,0,1,1))+1,ROW(OFFSET(nombres[],ROWS(nombres[])-1,0,1,1))+1),$O1543:$O1562),3),"")</f>
        <v/>
      </c>
      <c r="SG1543" s="42" t="str">
        <f t="array" aca="1" ref="SG1543" ca="1">IFERROR(INDEX(nombres[],SMALL(IF(OFFSET(nombres[],0,0,ROWS(nombres[]),1)=SG$1490,ROW(OFFSET(nombres[],0,0,ROWS(nombres[]),1))-ROW(OFFSET(nombres[],0,0,1,1))+1,ROW(OFFSET(nombres[],ROWS(nombres[])-1,0,1,1))+1),$O1543:$O1562),3),"")</f>
        <v/>
      </c>
      <c r="SH1543" s="42" t="str">
        <f t="array" aca="1" ref="SH1543" ca="1">IFERROR(INDEX(nombres[],SMALL(IF(OFFSET(nombres[],0,0,ROWS(nombres[]),1)=SH$1490,ROW(OFFSET(nombres[],0,0,ROWS(nombres[]),1))-ROW(OFFSET(nombres[],0,0,1,1))+1,ROW(OFFSET(nombres[],ROWS(nombres[])-1,0,1,1))+1),$O1543:$O1562),3),"")</f>
        <v/>
      </c>
      <c r="SI1543" s="42" t="str">
        <f t="array" aca="1" ref="SI1543" ca="1">IFERROR(INDEX(nombres[],SMALL(IF(OFFSET(nombres[],0,0,ROWS(nombres[]),1)=SI$1490,ROW(OFFSET(nombres[],0,0,ROWS(nombres[]),1))-ROW(OFFSET(nombres[],0,0,1,1))+1,ROW(OFFSET(nombres[],ROWS(nombres[])-1,0,1,1))+1),$O1543:$O1562),3),"")</f>
        <v/>
      </c>
      <c r="SJ1543" s="42" t="str">
        <f t="array" aca="1" ref="SJ1543" ca="1">IFERROR(INDEX(nombres[],SMALL(IF(OFFSET(nombres[],0,0,ROWS(nombres[]),1)=SJ$1490,ROW(OFFSET(nombres[],0,0,ROWS(nombres[]),1))-ROW(OFFSET(nombres[],0,0,1,1))+1,ROW(OFFSET(nombres[],ROWS(nombres[])-1,0,1,1))+1),$O1543:$O1562),3),"")</f>
        <v/>
      </c>
      <c r="SK1543" s="42" t="str">
        <f t="array" aca="1" ref="SK1543" ca="1">IFERROR(INDEX(nombres[],SMALL(IF(OFFSET(nombres[],0,0,ROWS(nombres[]),1)=SK$1490,ROW(OFFSET(nombres[],0,0,ROWS(nombres[]),1))-ROW(OFFSET(nombres[],0,0,1,1))+1,ROW(OFFSET(nombres[],ROWS(nombres[])-1,0,1,1))+1),$O1543:$O1562),3),"")</f>
        <v/>
      </c>
      <c r="SL1543" s="42" t="str">
        <f t="array" aca="1" ref="SL1543" ca="1">IFERROR(INDEX(nombres[],SMALL(IF(OFFSET(nombres[],0,0,ROWS(nombres[]),1)=SL$1490,ROW(OFFSET(nombres[],0,0,ROWS(nombres[]),1))-ROW(OFFSET(nombres[],0,0,1,1))+1,ROW(OFFSET(nombres[],ROWS(nombres[])-1,0,1,1))+1),$O1543:$O1562),3),"")</f>
        <v/>
      </c>
      <c r="SM1543" s="42" t="str">
        <f t="array" aca="1" ref="SM1543" ca="1">IFERROR(INDEX(nombres[],SMALL(IF(OFFSET(nombres[],0,0,ROWS(nombres[]),1)=SM$1490,ROW(OFFSET(nombres[],0,0,ROWS(nombres[]),1))-ROW(OFFSET(nombres[],0,0,1,1))+1,ROW(OFFSET(nombres[],ROWS(nombres[])-1,0,1,1))+1),$O1543:$O1562),3),"")</f>
        <v/>
      </c>
      <c r="SN1543" s="42" t="str">
        <f t="array" aca="1" ref="SN1543" ca="1">IFERROR(INDEX(nombres[],SMALL(IF(OFFSET(nombres[],0,0,ROWS(nombres[]),1)=SN$1490,ROW(OFFSET(nombres[],0,0,ROWS(nombres[]),1))-ROW(OFFSET(nombres[],0,0,1,1))+1,ROW(OFFSET(nombres[],ROWS(nombres[])-1,0,1,1))+1),$O1543:$O1562),3),"")</f>
        <v/>
      </c>
      <c r="SO1543" s="42" t="str">
        <f t="array" aca="1" ref="SO1543" ca="1">IFERROR(INDEX(nombres[],SMALL(IF(OFFSET(nombres[],0,0,ROWS(nombres[]),1)=SO$1490,ROW(OFFSET(nombres[],0,0,ROWS(nombres[]),1))-ROW(OFFSET(nombres[],0,0,1,1))+1,ROW(OFFSET(nombres[],ROWS(nombres[])-1,0,1,1))+1),$O1543:$O1562),3),"")</f>
        <v/>
      </c>
      <c r="SP1543" s="42" t="str">
        <f t="array" aca="1" ref="SP1543" ca="1">IFERROR(INDEX(nombres[],SMALL(IF(OFFSET(nombres[],0,0,ROWS(nombres[]),1)=SP$1490,ROW(OFFSET(nombres[],0,0,ROWS(nombres[]),1))-ROW(OFFSET(nombres[],0,0,1,1))+1,ROW(OFFSET(nombres[],ROWS(nombres[])-1,0,1,1))+1),$O1543:$O1562),3),"")</f>
        <v/>
      </c>
      <c r="SQ1543" s="42" t="str">
        <f t="array" aca="1" ref="SQ1543" ca="1">IFERROR(INDEX(nombres[],SMALL(IF(OFFSET(nombres[],0,0,ROWS(nombres[]),1)=SQ$1490,ROW(OFFSET(nombres[],0,0,ROWS(nombres[]),1))-ROW(OFFSET(nombres[],0,0,1,1))+1,ROW(OFFSET(nombres[],ROWS(nombres[])-1,0,1,1))+1),$O1543:$O1562),3),"")</f>
        <v/>
      </c>
      <c r="SR1543" s="42" t="str">
        <f t="array" aca="1" ref="SR1543" ca="1">IFERROR(INDEX(nombres[],SMALL(IF(OFFSET(nombres[],0,0,ROWS(nombres[]),1)=SR$1490,ROW(OFFSET(nombres[],0,0,ROWS(nombres[]),1))-ROW(OFFSET(nombres[],0,0,1,1))+1,ROW(OFFSET(nombres[],ROWS(nombres[])-1,0,1,1))+1),$O1543:$O1562),3),"")</f>
        <v/>
      </c>
      <c r="SS1543" s="42" t="str">
        <f t="array" aca="1" ref="SS1543" ca="1">IFERROR(INDEX(nombres[],SMALL(IF(OFFSET(nombres[],0,0,ROWS(nombres[]),1)=SS$1490,ROW(OFFSET(nombres[],0,0,ROWS(nombres[]),1))-ROW(OFFSET(nombres[],0,0,1,1))+1,ROW(OFFSET(nombres[],ROWS(nombres[])-1,0,1,1))+1),$O1543:$O1562),3),"")</f>
        <v/>
      </c>
      <c r="ST1543" s="42" t="str">
        <f t="array" aca="1" ref="ST1543" ca="1">IFERROR(INDEX(nombres[],SMALL(IF(OFFSET(nombres[],0,0,ROWS(nombres[]),1)=ST$1490,ROW(OFFSET(nombres[],0,0,ROWS(nombres[]),1))-ROW(OFFSET(nombres[],0,0,1,1))+1,ROW(OFFSET(nombres[],ROWS(nombres[])-1,0,1,1))+1),$O1543:$O1562),3),"")</f>
        <v/>
      </c>
      <c r="SU1543" s="42" t="str">
        <f t="array" aca="1" ref="SU1543" ca="1">IFERROR(INDEX(nombres[],SMALL(IF(OFFSET(nombres[],0,0,ROWS(nombres[]),1)=SU$1490,ROW(OFFSET(nombres[],0,0,ROWS(nombres[]),1))-ROW(OFFSET(nombres[],0,0,1,1))+1,ROW(OFFSET(nombres[],ROWS(nombres[])-1,0,1,1))+1),$O1543:$O1562),3),"")</f>
        <v/>
      </c>
      <c r="SV1543" s="42" t="str">
        <f t="array" aca="1" ref="SV1543" ca="1">IFERROR(INDEX(nombres[],SMALL(IF(OFFSET(nombres[],0,0,ROWS(nombres[]),1)=SV$1490,ROW(OFFSET(nombres[],0,0,ROWS(nombres[]),1))-ROW(OFFSET(nombres[],0,0,1,1))+1,ROW(OFFSET(nombres[],ROWS(nombres[])-1,0,1,1))+1),$O1543:$O1562),3),"")</f>
        <v/>
      </c>
      <c r="SW1543" s="42" t="str">
        <f t="array" aca="1" ref="SW1543" ca="1">IFERROR(INDEX(nombres[],SMALL(IF(OFFSET(nombres[],0,0,ROWS(nombres[]),1)=SW$1490,ROW(OFFSET(nombres[],0,0,ROWS(nombres[]),1))-ROW(OFFSET(nombres[],0,0,1,1))+1,ROW(OFFSET(nombres[],ROWS(nombres[])-1,0,1,1))+1),$O1543:$O1562),3),"")</f>
        <v/>
      </c>
      <c r="SX1543" s="42" t="str">
        <f t="array" aca="1" ref="SX1543" ca="1">IFERROR(INDEX(nombres[],SMALL(IF(OFFSET(nombres[],0,0,ROWS(nombres[]),1)=SX$1490,ROW(OFFSET(nombres[],0,0,ROWS(nombres[]),1))-ROW(OFFSET(nombres[],0,0,1,1))+1,ROW(OFFSET(nombres[],ROWS(nombres[])-1,0,1,1))+1),$O1543:$O1562),3),"")</f>
        <v/>
      </c>
      <c r="SY1543" s="42" t="str">
        <f t="array" aca="1" ref="SY1543" ca="1">IFERROR(INDEX(nombres[],SMALL(IF(OFFSET(nombres[],0,0,ROWS(nombres[]),1)=SY$1490,ROW(OFFSET(nombres[],0,0,ROWS(nombres[]),1))-ROW(OFFSET(nombres[],0,0,1,1))+1,ROW(OFFSET(nombres[],ROWS(nombres[])-1,0,1,1))+1),$O1543:$O1562),3),"")</f>
        <v/>
      </c>
      <c r="SZ1543" s="42" t="str">
        <f t="array" aca="1" ref="SZ1543" ca="1">IFERROR(INDEX(nombres[],SMALL(IF(OFFSET(nombres[],0,0,ROWS(nombres[]),1)=SZ$1490,ROW(OFFSET(nombres[],0,0,ROWS(nombres[]),1))-ROW(OFFSET(nombres[],0,0,1,1))+1,ROW(OFFSET(nombres[],ROWS(nombres[])-1,0,1,1))+1),$O1543:$O1562),3),"")</f>
        <v/>
      </c>
      <c r="TA1543" s="42" t="str">
        <f t="array" aca="1" ref="TA1543" ca="1">IFERROR(INDEX(nombres[],SMALL(IF(OFFSET(nombres[],0,0,ROWS(nombres[]),1)=TA$1490,ROW(OFFSET(nombres[],0,0,ROWS(nombres[]),1))-ROW(OFFSET(nombres[],0,0,1,1))+1,ROW(OFFSET(nombres[],ROWS(nombres[])-1,0,1,1))+1),$O1543:$O1562),3),"")</f>
        <v/>
      </c>
      <c r="TB1543" s="42" t="str">
        <f t="array" aca="1" ref="TB1543" ca="1">IFERROR(INDEX(nombres[],SMALL(IF(OFFSET(nombres[],0,0,ROWS(nombres[]),1)=TB$1490,ROW(OFFSET(nombres[],0,0,ROWS(nombres[]),1))-ROW(OFFSET(nombres[],0,0,1,1))+1,ROW(OFFSET(nombres[],ROWS(nombres[])-1,0,1,1))+1),$O1543:$O1562),3),"")</f>
        <v/>
      </c>
      <c r="TC1543" s="42" t="str">
        <f t="array" aca="1" ref="TC1543" ca="1">IFERROR(INDEX(nombres[],SMALL(IF(OFFSET(nombres[],0,0,ROWS(nombres[]),1)=TC$1490,ROW(OFFSET(nombres[],0,0,ROWS(nombres[]),1))-ROW(OFFSET(nombres[],0,0,1,1))+1,ROW(OFFSET(nombres[],ROWS(nombres[])-1,0,1,1))+1),$O1543:$O1562),3),"")</f>
        <v/>
      </c>
      <c r="TD1543" s="42" t="str">
        <f t="array" aca="1" ref="TD1543" ca="1">IFERROR(INDEX(nombres[],SMALL(IF(OFFSET(nombres[],0,0,ROWS(nombres[]),1)=TD$1490,ROW(OFFSET(nombres[],0,0,ROWS(nombres[]),1))-ROW(OFFSET(nombres[],0,0,1,1))+1,ROW(OFFSET(nombres[],ROWS(nombres[])-1,0,1,1))+1),$O1543:$O1562),3),"")</f>
        <v/>
      </c>
      <c r="TE1543" s="42" t="str">
        <f t="array" aca="1" ref="TE1543" ca="1">IFERROR(INDEX(nombres[],SMALL(IF(OFFSET(nombres[],0,0,ROWS(nombres[]),1)=TE$1490,ROW(OFFSET(nombres[],0,0,ROWS(nombres[]),1))-ROW(OFFSET(nombres[],0,0,1,1))+1,ROW(OFFSET(nombres[],ROWS(nombres[])-1,0,1,1))+1),$O1543:$O1562),3),"")</f>
        <v/>
      </c>
      <c r="TF1543" s="42" t="str">
        <f t="array" aca="1" ref="TF1543" ca="1">IFERROR(INDEX(nombres[],SMALL(IF(OFFSET(nombres[],0,0,ROWS(nombres[]),1)=TF$1490,ROW(OFFSET(nombres[],0,0,ROWS(nombres[]),1))-ROW(OFFSET(nombres[],0,0,1,1))+1,ROW(OFFSET(nombres[],ROWS(nombres[])-1,0,1,1))+1),$O1543:$O1562),3),"")</f>
        <v/>
      </c>
      <c r="TG1543" s="42" t="str">
        <f t="array" aca="1" ref="TG1543" ca="1">IFERROR(INDEX(nombres[],SMALL(IF(OFFSET(nombres[],0,0,ROWS(nombres[]),1)=TG$1490,ROW(OFFSET(nombres[],0,0,ROWS(nombres[]),1))-ROW(OFFSET(nombres[],0,0,1,1))+1,ROW(OFFSET(nombres[],ROWS(nombres[])-1,0,1,1))+1),$O1543:$O1562),3),"")</f>
        <v/>
      </c>
      <c r="TH1543" s="42" t="str">
        <f t="array" aca="1" ref="TH1543" ca="1">IFERROR(INDEX(nombres[],SMALL(IF(OFFSET(nombres[],0,0,ROWS(nombres[]),1)=TH$1490,ROW(OFFSET(nombres[],0,0,ROWS(nombres[]),1))-ROW(OFFSET(nombres[],0,0,1,1))+1,ROW(OFFSET(nombres[],ROWS(nombres[])-1,0,1,1))+1),$O1543:$O1562),3),"")</f>
        <v/>
      </c>
      <c r="TI1543" s="42" t="str">
        <f t="array" aca="1" ref="TI1543" ca="1">IFERROR(INDEX(nombres[],SMALL(IF(OFFSET(nombres[],0,0,ROWS(nombres[]),1)=TI$1490,ROW(OFFSET(nombres[],0,0,ROWS(nombres[]),1))-ROW(OFFSET(nombres[],0,0,1,1))+1,ROW(OFFSET(nombres[],ROWS(nombres[])-1,0,1,1))+1),$O1543:$O1562),3),"")</f>
        <v/>
      </c>
      <c r="TJ1543" s="42" t="str">
        <f t="array" aca="1" ref="TJ1543" ca="1">IFERROR(INDEX(nombres[],SMALL(IF(OFFSET(nombres[],0,0,ROWS(nombres[]),1)=TJ$1490,ROW(OFFSET(nombres[],0,0,ROWS(nombres[]),1))-ROW(OFFSET(nombres[],0,0,1,1))+1,ROW(OFFSET(nombres[],ROWS(nombres[])-1,0,1,1))+1),$O1543:$O1562),3),"")</f>
        <v/>
      </c>
      <c r="TK1543" s="42" t="str">
        <f t="array" aca="1" ref="TK1543" ca="1">IFERROR(INDEX(nombres[],SMALL(IF(OFFSET(nombres[],0,0,ROWS(nombres[]),1)=TK$1490,ROW(OFFSET(nombres[],0,0,ROWS(nombres[]),1))-ROW(OFFSET(nombres[],0,0,1,1))+1,ROW(OFFSET(nombres[],ROWS(nombres[])-1,0,1,1))+1),$O1543:$O1562),3),"")</f>
        <v/>
      </c>
      <c r="TL1543" s="42" t="str">
        <f t="array" aca="1" ref="TL1543" ca="1">IFERROR(INDEX(nombres[],SMALL(IF(OFFSET(nombres[],0,0,ROWS(nombres[]),1)=TL$1490,ROW(OFFSET(nombres[],0,0,ROWS(nombres[]),1))-ROW(OFFSET(nombres[],0,0,1,1))+1,ROW(OFFSET(nombres[],ROWS(nombres[])-1,0,1,1))+1),$O1543:$O1562),3),"")</f>
        <v/>
      </c>
      <c r="TM1543" s="42" t="str">
        <f t="array" aca="1" ref="TM1543" ca="1">IFERROR(INDEX(nombres[],SMALL(IF(OFFSET(nombres[],0,0,ROWS(nombres[]),1)=TM$1490,ROW(OFFSET(nombres[],0,0,ROWS(nombres[]),1))-ROW(OFFSET(nombres[],0,0,1,1))+1,ROW(OFFSET(nombres[],ROWS(nombres[])-1,0,1,1))+1),$O1543:$O1562),3),"")</f>
        <v/>
      </c>
      <c r="TN1543" s="42" t="str">
        <f t="array" aca="1" ref="TN1543" ca="1">IFERROR(INDEX(nombres[],SMALL(IF(OFFSET(nombres[],0,0,ROWS(nombres[]),1)=TN$1490,ROW(OFFSET(nombres[],0,0,ROWS(nombres[]),1))-ROW(OFFSET(nombres[],0,0,1,1))+1,ROW(OFFSET(nombres[],ROWS(nombres[])-1,0,1,1))+1),$O1543:$O1562),3),"")</f>
        <v/>
      </c>
      <c r="TO1543" s="42" t="str">
        <f t="array" aca="1" ref="TO1543" ca="1">IFERROR(INDEX(nombres[],SMALL(IF(OFFSET(nombres[],0,0,ROWS(nombres[]),1)=TO$1490,ROW(OFFSET(nombres[],0,0,ROWS(nombres[]),1))-ROW(OFFSET(nombres[],0,0,1,1))+1,ROW(OFFSET(nombres[],ROWS(nombres[])-1,0,1,1))+1),$O1543:$O1562),3),"")</f>
        <v/>
      </c>
      <c r="TP1543" s="42" t="str">
        <f t="array" aca="1" ref="TP1543" ca="1">IFERROR(INDEX(nombres[],SMALL(IF(OFFSET(nombres[],0,0,ROWS(nombres[]),1)=TP$1490,ROW(OFFSET(nombres[],0,0,ROWS(nombres[]),1))-ROW(OFFSET(nombres[],0,0,1,1))+1,ROW(OFFSET(nombres[],ROWS(nombres[])-1,0,1,1))+1),$O1543:$O1562),3),"")</f>
        <v/>
      </c>
      <c r="TQ1543" s="42" t="str">
        <f t="array" aca="1" ref="TQ1543" ca="1">IFERROR(INDEX(nombres[],SMALL(IF(OFFSET(nombres[],0,0,ROWS(nombres[]),1)=TQ$1490,ROW(OFFSET(nombres[],0,0,ROWS(nombres[]),1))-ROW(OFFSET(nombres[],0,0,1,1))+1,ROW(OFFSET(nombres[],ROWS(nombres[])-1,0,1,1))+1),$O1543:$O1562),3),"")</f>
        <v/>
      </c>
      <c r="TR1543" s="42" t="str">
        <f t="array" aca="1" ref="TR1543" ca="1">IFERROR(INDEX(nombres[],SMALL(IF(OFFSET(nombres[],0,0,ROWS(nombres[]),1)=TR$1490,ROW(OFFSET(nombres[],0,0,ROWS(nombres[]),1))-ROW(OFFSET(nombres[],0,0,1,1))+1,ROW(OFFSET(nombres[],ROWS(nombres[])-1,0,1,1))+1),$O1543:$O1562),3),"")</f>
        <v/>
      </c>
      <c r="TS1543" s="42" t="str">
        <f t="array" aca="1" ref="TS1543" ca="1">IFERROR(INDEX(nombres[],SMALL(IF(OFFSET(nombres[],0,0,ROWS(nombres[]),1)=TS$1490,ROW(OFFSET(nombres[],0,0,ROWS(nombres[]),1))-ROW(OFFSET(nombres[],0,0,1,1))+1,ROW(OFFSET(nombres[],ROWS(nombres[])-1,0,1,1))+1),$O1543:$O1562),3),"")</f>
        <v/>
      </c>
      <c r="TT1543" s="42" t="str">
        <f t="array" aca="1" ref="TT1543" ca="1">IFERROR(INDEX(nombres[],SMALL(IF(OFFSET(nombres[],0,0,ROWS(nombres[]),1)=TT$1490,ROW(OFFSET(nombres[],0,0,ROWS(nombres[]),1))-ROW(OFFSET(nombres[],0,0,1,1))+1,ROW(OFFSET(nombres[],ROWS(nombres[])-1,0,1,1))+1),$O1543:$O1562),3),"")</f>
        <v/>
      </c>
      <c r="TU1543" s="42" t="str">
        <f t="array" aca="1" ref="TU1543" ca="1">IFERROR(INDEX(nombres[],SMALL(IF(OFFSET(nombres[],0,0,ROWS(nombres[]),1)=TU$1490,ROW(OFFSET(nombres[],0,0,ROWS(nombres[]),1))-ROW(OFFSET(nombres[],0,0,1,1))+1,ROW(OFFSET(nombres[],ROWS(nombres[])-1,0,1,1))+1),$O1543:$O1562),3),"")</f>
        <v/>
      </c>
      <c r="TV1543" s="42" t="str">
        <f t="array" aca="1" ref="TV1543" ca="1">IFERROR(INDEX(nombres[],SMALL(IF(OFFSET(nombres[],0,0,ROWS(nombres[]),1)=TV$1490,ROW(OFFSET(nombres[],0,0,ROWS(nombres[]),1))-ROW(OFFSET(nombres[],0,0,1,1))+1,ROW(OFFSET(nombres[],ROWS(nombres[])-1,0,1,1))+1),$O1543:$O1562),3),"")</f>
        <v/>
      </c>
      <c r="TW1543" s="42" t="str">
        <f t="array" aca="1" ref="TW1543" ca="1">IFERROR(INDEX(nombres[],SMALL(IF(OFFSET(nombres[],0,0,ROWS(nombres[]),1)=TW$1490,ROW(OFFSET(nombres[],0,0,ROWS(nombres[]),1))-ROW(OFFSET(nombres[],0,0,1,1))+1,ROW(OFFSET(nombres[],ROWS(nombres[])-1,0,1,1))+1),$O1543:$O1562),3),"")</f>
        <v/>
      </c>
      <c r="TX1543" s="42" t="str">
        <f t="array" aca="1" ref="TX1543" ca="1">IFERROR(INDEX(nombres[],SMALL(IF(OFFSET(nombres[],0,0,ROWS(nombres[]),1)=TX$1490,ROW(OFFSET(nombres[],0,0,ROWS(nombres[]),1))-ROW(OFFSET(nombres[],0,0,1,1))+1,ROW(OFFSET(nombres[],ROWS(nombres[])-1,0,1,1))+1),$O1543:$O1562),3),"")</f>
        <v/>
      </c>
      <c r="TY1543" s="42" t="str">
        <f t="array" aca="1" ref="TY1543" ca="1">IFERROR(INDEX(nombres[],SMALL(IF(OFFSET(nombres[],0,0,ROWS(nombres[]),1)=TY$1490,ROW(OFFSET(nombres[],0,0,ROWS(nombres[]),1))-ROW(OFFSET(nombres[],0,0,1,1))+1,ROW(OFFSET(nombres[],ROWS(nombres[])-1,0,1,1))+1),$O1543:$O1562),3),"")</f>
        <v/>
      </c>
      <c r="TZ1543" s="42" t="str">
        <f t="array" aca="1" ref="TZ1543" ca="1">IFERROR(INDEX(nombres[],SMALL(IF(OFFSET(nombres[],0,0,ROWS(nombres[]),1)=TZ$1490,ROW(OFFSET(nombres[],0,0,ROWS(nombres[]),1))-ROW(OFFSET(nombres[],0,0,1,1))+1,ROW(OFFSET(nombres[],ROWS(nombres[])-1,0,1,1))+1),$O1543:$O1562),3),"")</f>
        <v/>
      </c>
      <c r="UA1543" s="42" t="str">
        <f t="array" aca="1" ref="UA1543" ca="1">IFERROR(INDEX(nombres[],SMALL(IF(OFFSET(nombres[],0,0,ROWS(nombres[]),1)=UA$1490,ROW(OFFSET(nombres[],0,0,ROWS(nombres[]),1))-ROW(OFFSET(nombres[],0,0,1,1))+1,ROW(OFFSET(nombres[],ROWS(nombres[])-1,0,1,1))+1),$O1543:$O1562),3),"")</f>
        <v/>
      </c>
      <c r="UB1543" s="42" t="str">
        <f t="array" aca="1" ref="UB1543" ca="1">IFERROR(INDEX(nombres[],SMALL(IF(OFFSET(nombres[],0,0,ROWS(nombres[]),1)=UB$1490,ROW(OFFSET(nombres[],0,0,ROWS(nombres[]),1))-ROW(OFFSET(nombres[],0,0,1,1))+1,ROW(OFFSET(nombres[],ROWS(nombres[])-1,0,1,1))+1),$O1543:$O1562),3),"")</f>
        <v/>
      </c>
      <c r="UC1543" s="42" t="str">
        <f t="array" aca="1" ref="UC1543" ca="1">IFERROR(INDEX(nombres[],SMALL(IF(OFFSET(nombres[],0,0,ROWS(nombres[]),1)=UC$1490,ROW(OFFSET(nombres[],0,0,ROWS(nombres[]),1))-ROW(OFFSET(nombres[],0,0,1,1))+1,ROW(OFFSET(nombres[],ROWS(nombres[])-1,0,1,1))+1),$O1543:$O1562),3),"")</f>
        <v/>
      </c>
      <c r="UD1543" s="42" t="str">
        <f t="array" aca="1" ref="UD1543" ca="1">IFERROR(INDEX(nombres[],SMALL(IF(OFFSET(nombres[],0,0,ROWS(nombres[]),1)=UD$1490,ROW(OFFSET(nombres[],0,0,ROWS(nombres[]),1))-ROW(OFFSET(nombres[],0,0,1,1))+1,ROW(OFFSET(nombres[],ROWS(nombres[])-1,0,1,1))+1),$O1543:$O1562),3),"")</f>
        <v/>
      </c>
      <c r="UE1543" s="42" t="str">
        <f t="array" aca="1" ref="UE1543" ca="1">IFERROR(INDEX(nombres[],SMALL(IF(OFFSET(nombres[],0,0,ROWS(nombres[]),1)=UE$1490,ROW(OFFSET(nombres[],0,0,ROWS(nombres[]),1))-ROW(OFFSET(nombres[],0,0,1,1))+1,ROW(OFFSET(nombres[],ROWS(nombres[])-1,0,1,1))+1),$O1543:$O1562),3),"")</f>
        <v/>
      </c>
      <c r="UF1543" s="42" t="str">
        <f t="array" aca="1" ref="UF1543" ca="1">IFERROR(INDEX(nombres[],SMALL(IF(OFFSET(nombres[],0,0,ROWS(nombres[]),1)=UF$1490,ROW(OFFSET(nombres[],0,0,ROWS(nombres[]),1))-ROW(OFFSET(nombres[],0,0,1,1))+1,ROW(OFFSET(nombres[],ROWS(nombres[])-1,0,1,1))+1),$O1543:$O1562),3),"")</f>
        <v/>
      </c>
      <c r="UG1543" s="42" t="str">
        <f t="array" aca="1" ref="UG1543" ca="1">IFERROR(INDEX(nombres[],SMALL(IF(OFFSET(nombres[],0,0,ROWS(nombres[]),1)=UG$1490,ROW(OFFSET(nombres[],0,0,ROWS(nombres[]),1))-ROW(OFFSET(nombres[],0,0,1,1))+1,ROW(OFFSET(nombres[],ROWS(nombres[])-1,0,1,1))+1),$O1543:$O1562),3),"")</f>
        <v/>
      </c>
      <c r="UH1543" s="42" t="str">
        <f t="array" aca="1" ref="UH1543" ca="1">IFERROR(INDEX(nombres[],SMALL(IF(OFFSET(nombres[],0,0,ROWS(nombres[]),1)=UH$1490,ROW(OFFSET(nombres[],0,0,ROWS(nombres[]),1))-ROW(OFFSET(nombres[],0,0,1,1))+1,ROW(OFFSET(nombres[],ROWS(nombres[])-1,0,1,1))+1),$O1543:$O1562),3),"")</f>
        <v/>
      </c>
      <c r="UI1543" s="42" t="str">
        <f t="array" aca="1" ref="UI1543" ca="1">IFERROR(INDEX(nombres[],SMALL(IF(OFFSET(nombres[],0,0,ROWS(nombres[]),1)=UI$1490,ROW(OFFSET(nombres[],0,0,ROWS(nombres[]),1))-ROW(OFFSET(nombres[],0,0,1,1))+1,ROW(OFFSET(nombres[],ROWS(nombres[])-1,0,1,1))+1),$O1543:$O1562),3),"")</f>
        <v/>
      </c>
      <c r="UJ1543" s="42" t="str">
        <f t="array" aca="1" ref="UJ1543" ca="1">IFERROR(INDEX(nombres[],SMALL(IF(OFFSET(nombres[],0,0,ROWS(nombres[]),1)=UJ$1490,ROW(OFFSET(nombres[],0,0,ROWS(nombres[]),1))-ROW(OFFSET(nombres[],0,0,1,1))+1,ROW(OFFSET(nombres[],ROWS(nombres[])-1,0,1,1))+1),$O1543:$O1562),3),"")</f>
        <v/>
      </c>
      <c r="UK1543" s="42" t="str">
        <f t="array" aca="1" ref="UK1543" ca="1">IFERROR(INDEX(nombres[],SMALL(IF(OFFSET(nombres[],0,0,ROWS(nombres[]),1)=UK$1490,ROW(OFFSET(nombres[],0,0,ROWS(nombres[]),1))-ROW(OFFSET(nombres[],0,0,1,1))+1,ROW(OFFSET(nombres[],ROWS(nombres[])-1,0,1,1))+1),$O1543:$O1562),3),"")</f>
        <v/>
      </c>
      <c r="UL1543" s="42" t="str">
        <f t="array" aca="1" ref="UL1543" ca="1">IFERROR(INDEX(nombres[],SMALL(IF(OFFSET(nombres[],0,0,ROWS(nombres[]),1)=UL$1490,ROW(OFFSET(nombres[],0,0,ROWS(nombres[]),1))-ROW(OFFSET(nombres[],0,0,1,1))+1,ROW(OFFSET(nombres[],ROWS(nombres[])-1,0,1,1))+1),$O1543:$O1562),3),"")</f>
        <v/>
      </c>
      <c r="UM1543" s="42" t="str">
        <f t="array" aca="1" ref="UM1543" ca="1">IFERROR(INDEX(nombres[],SMALL(IF(OFFSET(nombres[],0,0,ROWS(nombres[]),1)=UM$1490,ROW(OFFSET(nombres[],0,0,ROWS(nombres[]),1))-ROW(OFFSET(nombres[],0,0,1,1))+1,ROW(OFFSET(nombres[],ROWS(nombres[])-1,0,1,1))+1),$O1543:$O1562),3),"")</f>
        <v/>
      </c>
      <c r="UN1543" s="42" t="str">
        <f t="array" aca="1" ref="UN1543" ca="1">IFERROR(INDEX(nombres[],SMALL(IF(OFFSET(nombres[],0,0,ROWS(nombres[]),1)=UN$1490,ROW(OFFSET(nombres[],0,0,ROWS(nombres[]),1))-ROW(OFFSET(nombres[],0,0,1,1))+1,ROW(OFFSET(nombres[],ROWS(nombres[])-1,0,1,1))+1),$O1543:$O1562),3),"")</f>
        <v/>
      </c>
      <c r="UO1543" s="42" t="str">
        <f t="array" aca="1" ref="UO1543" ca="1">IFERROR(INDEX(nombres[],SMALL(IF(OFFSET(nombres[],0,0,ROWS(nombres[]),1)=UO$1490,ROW(OFFSET(nombres[],0,0,ROWS(nombres[]),1))-ROW(OFFSET(nombres[],0,0,1,1))+1,ROW(OFFSET(nombres[],ROWS(nombres[])-1,0,1,1))+1),$O1543:$O1562),3),"")</f>
        <v/>
      </c>
      <c r="UP1543" s="42" t="str">
        <f t="array" aca="1" ref="UP1543" ca="1">IFERROR(INDEX(nombres[],SMALL(IF(OFFSET(nombres[],0,0,ROWS(nombres[]),1)=UP$1490,ROW(OFFSET(nombres[],0,0,ROWS(nombres[]),1))-ROW(OFFSET(nombres[],0,0,1,1))+1,ROW(OFFSET(nombres[],ROWS(nombres[])-1,0,1,1))+1),$O1543:$O1562),3),"")</f>
        <v/>
      </c>
      <c r="UQ1543" s="42" t="str">
        <f t="array" aca="1" ref="UQ1543" ca="1">IFERROR(INDEX(nombres[],SMALL(IF(OFFSET(nombres[],0,0,ROWS(nombres[]),1)=UQ$1490,ROW(OFFSET(nombres[],0,0,ROWS(nombres[]),1))-ROW(OFFSET(nombres[],0,0,1,1))+1,ROW(OFFSET(nombres[],ROWS(nombres[])-1,0,1,1))+1),$O1543:$O1562),3),"")</f>
        <v/>
      </c>
      <c r="UR1543" s="42" t="str">
        <f t="array" aca="1" ref="UR1543" ca="1">IFERROR(INDEX(nombres[],SMALL(IF(OFFSET(nombres[],0,0,ROWS(nombres[]),1)=UR$1490,ROW(OFFSET(nombres[],0,0,ROWS(nombres[]),1))-ROW(OFFSET(nombres[],0,0,1,1))+1,ROW(OFFSET(nombres[],ROWS(nombres[])-1,0,1,1))+1),$O1543:$O1562),3),"")</f>
        <v/>
      </c>
      <c r="US1543" s="42" t="str">
        <f t="array" aca="1" ref="US1543" ca="1">IFERROR(INDEX(nombres[],SMALL(IF(OFFSET(nombres[],0,0,ROWS(nombres[]),1)=US$1490,ROW(OFFSET(nombres[],0,0,ROWS(nombres[]),1))-ROW(OFFSET(nombres[],0,0,1,1))+1,ROW(OFFSET(nombres[],ROWS(nombres[])-1,0,1,1))+1),$O1543:$O1562),3),"")</f>
        <v/>
      </c>
      <c r="UT1543" s="42" t="str">
        <f t="array" aca="1" ref="UT1543" ca="1">IFERROR(INDEX(nombres[],SMALL(IF(OFFSET(nombres[],0,0,ROWS(nombres[]),1)=UT$1490,ROW(OFFSET(nombres[],0,0,ROWS(nombres[]),1))-ROW(OFFSET(nombres[],0,0,1,1))+1,ROW(OFFSET(nombres[],ROWS(nombres[])-1,0,1,1))+1),$O1543:$O1562),3),"")</f>
        <v/>
      </c>
      <c r="UU1543" s="42" t="str">
        <f t="array" aca="1" ref="UU1543" ca="1">IFERROR(INDEX(nombres[],SMALL(IF(OFFSET(nombres[],0,0,ROWS(nombres[]),1)=UU$1490,ROW(OFFSET(nombres[],0,0,ROWS(nombres[]),1))-ROW(OFFSET(nombres[],0,0,1,1))+1,ROW(OFFSET(nombres[],ROWS(nombres[])-1,0,1,1))+1),$O1543:$O1562),3),"")</f>
        <v/>
      </c>
      <c r="UV1543" s="42" t="str">
        <f t="array" aca="1" ref="UV1543" ca="1">IFERROR(INDEX(nombres[],SMALL(IF(OFFSET(nombres[],0,0,ROWS(nombres[]),1)=UV$1490,ROW(OFFSET(nombres[],0,0,ROWS(nombres[]),1))-ROW(OFFSET(nombres[],0,0,1,1))+1,ROW(OFFSET(nombres[],ROWS(nombres[])-1,0,1,1))+1),$O1543:$O1562),3),"")</f>
        <v/>
      </c>
      <c r="UW1543" s="42" t="str">
        <f t="array" aca="1" ref="UW1543" ca="1">IFERROR(INDEX(nombres[],SMALL(IF(OFFSET(nombres[],0,0,ROWS(nombres[]),1)=UW$1490,ROW(OFFSET(nombres[],0,0,ROWS(nombres[]),1))-ROW(OFFSET(nombres[],0,0,1,1))+1,ROW(OFFSET(nombres[],ROWS(nombres[])-1,0,1,1))+1),$O1543:$O1562),3),"")</f>
        <v/>
      </c>
      <c r="UX1543" s="42" t="str">
        <f t="array" aca="1" ref="UX1543" ca="1">IFERROR(INDEX(nombres[],SMALL(IF(OFFSET(nombres[],0,0,ROWS(nombres[]),1)=UX$1490,ROW(OFFSET(nombres[],0,0,ROWS(nombres[]),1))-ROW(OFFSET(nombres[],0,0,1,1))+1,ROW(OFFSET(nombres[],ROWS(nombres[])-1,0,1,1))+1),$O1543:$O1562),3),"")</f>
        <v/>
      </c>
      <c r="UY1543" s="42" t="str">
        <f t="array" aca="1" ref="UY1543" ca="1">IFERROR(INDEX(nombres[],SMALL(IF(OFFSET(nombres[],0,0,ROWS(nombres[]),1)=UY$1490,ROW(OFFSET(nombres[],0,0,ROWS(nombres[]),1))-ROW(OFFSET(nombres[],0,0,1,1))+1,ROW(OFFSET(nombres[],ROWS(nombres[])-1,0,1,1))+1),$O1543:$O1562),3),"")</f>
        <v/>
      </c>
      <c r="UZ1543" s="42" t="str">
        <f t="array" aca="1" ref="UZ1543" ca="1">IFERROR(INDEX(nombres[],SMALL(IF(OFFSET(nombres[],0,0,ROWS(nombres[]),1)=UZ$1490,ROW(OFFSET(nombres[],0,0,ROWS(nombres[]),1))-ROW(OFFSET(nombres[],0,0,1,1))+1,ROW(OFFSET(nombres[],ROWS(nombres[])-1,0,1,1))+1),$O1543:$O1562),3),"")</f>
        <v/>
      </c>
      <c r="VA1543" s="42" t="str">
        <f t="array" aca="1" ref="VA1543" ca="1">IFERROR(INDEX(nombres[],SMALL(IF(OFFSET(nombres[],0,0,ROWS(nombres[]),1)=VA$1490,ROW(OFFSET(nombres[],0,0,ROWS(nombres[]),1))-ROW(OFFSET(nombres[],0,0,1,1))+1,ROW(OFFSET(nombres[],ROWS(nombres[])-1,0,1,1))+1),$O1543:$O1562),3),"")</f>
        <v/>
      </c>
      <c r="VB1543" s="42" t="str">
        <f t="array" aca="1" ref="VB1543" ca="1">IFERROR(INDEX(nombres[],SMALL(IF(OFFSET(nombres[],0,0,ROWS(nombres[]),1)=VB$1490,ROW(OFFSET(nombres[],0,0,ROWS(nombres[]),1))-ROW(OFFSET(nombres[],0,0,1,1))+1,ROW(OFFSET(nombres[],ROWS(nombres[])-1,0,1,1))+1),$O1543:$O1562),3),"")</f>
        <v/>
      </c>
      <c r="VC1543" s="42" t="str">
        <f t="array" aca="1" ref="VC1543" ca="1">IFERROR(INDEX(nombres[],SMALL(IF(OFFSET(nombres[],0,0,ROWS(nombres[]),1)=VC$1490,ROW(OFFSET(nombres[],0,0,ROWS(nombres[]),1))-ROW(OFFSET(nombres[],0,0,1,1))+1,ROW(OFFSET(nombres[],ROWS(nombres[])-1,0,1,1))+1),$O1543:$O1562),3),"")</f>
        <v/>
      </c>
      <c r="VD1543" s="42" t="str">
        <f t="array" aca="1" ref="VD1543" ca="1">IFERROR(INDEX(nombres[],SMALL(IF(OFFSET(nombres[],0,0,ROWS(nombres[]),1)=VD$1490,ROW(OFFSET(nombres[],0,0,ROWS(nombres[]),1))-ROW(OFFSET(nombres[],0,0,1,1))+1,ROW(OFFSET(nombres[],ROWS(nombres[])-1,0,1,1))+1),$O1543:$O1562),3),"")</f>
        <v/>
      </c>
      <c r="VE1543" s="42" t="str">
        <f t="array" aca="1" ref="VE1543" ca="1">IFERROR(INDEX(nombres[],SMALL(IF(OFFSET(nombres[],0,0,ROWS(nombres[]),1)=VE$1490,ROW(OFFSET(nombres[],0,0,ROWS(nombres[]),1))-ROW(OFFSET(nombres[],0,0,1,1))+1,ROW(OFFSET(nombres[],ROWS(nombres[])-1,0,1,1))+1),$O1543:$O1562),3),"")</f>
        <v/>
      </c>
      <c r="VF1543" s="42" t="str">
        <f t="array" aca="1" ref="VF1543" ca="1">IFERROR(INDEX(nombres[],SMALL(IF(OFFSET(nombres[],0,0,ROWS(nombres[]),1)=VF$1490,ROW(OFFSET(nombres[],0,0,ROWS(nombres[]),1))-ROW(OFFSET(nombres[],0,0,1,1))+1,ROW(OFFSET(nombres[],ROWS(nombres[])-1,0,1,1))+1),$O1543:$O1562),3),"")</f>
        <v/>
      </c>
      <c r="VG1543" s="42" t="str">
        <f t="array" aca="1" ref="VG1543" ca="1">IFERROR(INDEX(nombres[],SMALL(IF(OFFSET(nombres[],0,0,ROWS(nombres[]),1)=VG$1490,ROW(OFFSET(nombres[],0,0,ROWS(nombres[]),1))-ROW(OFFSET(nombres[],0,0,1,1))+1,ROW(OFFSET(nombres[],ROWS(nombres[])-1,0,1,1))+1),$O1543:$O1562),3),"")</f>
        <v/>
      </c>
      <c r="VH1543" s="42" t="str">
        <f t="array" aca="1" ref="VH1543" ca="1">IFERROR(INDEX(nombres[],SMALL(IF(OFFSET(nombres[],0,0,ROWS(nombres[]),1)=VH$1490,ROW(OFFSET(nombres[],0,0,ROWS(nombres[]),1))-ROW(OFFSET(nombres[],0,0,1,1))+1,ROW(OFFSET(nombres[],ROWS(nombres[])-1,0,1,1))+1),$O1543:$O1562),3),"")</f>
        <v/>
      </c>
      <c r="VI1543" s="42" t="str">
        <f t="array" aca="1" ref="VI1543" ca="1">IFERROR(INDEX(nombres[],SMALL(IF(OFFSET(nombres[],0,0,ROWS(nombres[]),1)=VI$1490,ROW(OFFSET(nombres[],0,0,ROWS(nombres[]),1))-ROW(OFFSET(nombres[],0,0,1,1))+1,ROW(OFFSET(nombres[],ROWS(nombres[])-1,0,1,1))+1),$O1543:$O1562),3),"")</f>
        <v/>
      </c>
      <c r="VJ1543" s="42" t="str">
        <f t="array" aca="1" ref="VJ1543" ca="1">IFERROR(INDEX(nombres[],SMALL(IF(OFFSET(nombres[],0,0,ROWS(nombres[]),1)=VJ$1490,ROW(OFFSET(nombres[],0,0,ROWS(nombres[]),1))-ROW(OFFSET(nombres[],0,0,1,1))+1,ROW(OFFSET(nombres[],ROWS(nombres[])-1,0,1,1))+1),$O1543:$O1562),3),"")</f>
        <v/>
      </c>
      <c r="VK1543" s="42" t="str">
        <f t="array" aca="1" ref="VK1543" ca="1">IFERROR(INDEX(nombres[],SMALL(IF(OFFSET(nombres[],0,0,ROWS(nombres[]),1)=VK$1490,ROW(OFFSET(nombres[],0,0,ROWS(nombres[]),1))-ROW(OFFSET(nombres[],0,0,1,1))+1,ROW(OFFSET(nombres[],ROWS(nombres[])-1,0,1,1))+1),$O1543:$O1562),3),"")</f>
        <v/>
      </c>
      <c r="VL1543" s="42" t="str">
        <f t="array" aca="1" ref="VL1543" ca="1">IFERROR(INDEX(nombres[],SMALL(IF(OFFSET(nombres[],0,0,ROWS(nombres[]),1)=VL$1490,ROW(OFFSET(nombres[],0,0,ROWS(nombres[]),1))-ROW(OFFSET(nombres[],0,0,1,1))+1,ROW(OFFSET(nombres[],ROWS(nombres[])-1,0,1,1))+1),$O1543:$O1562),3),"")</f>
        <v/>
      </c>
      <c r="VM1543" s="42" t="str">
        <f t="array" aca="1" ref="VM1543" ca="1">IFERROR(INDEX(nombres[],SMALL(IF(OFFSET(nombres[],0,0,ROWS(nombres[]),1)=VM$1490,ROW(OFFSET(nombres[],0,0,ROWS(nombres[]),1))-ROW(OFFSET(nombres[],0,0,1,1))+1,ROW(OFFSET(nombres[],ROWS(nombres[])-1,0,1,1))+1),$O1543:$O1562),3),"")</f>
        <v/>
      </c>
      <c r="VN1543" s="42" t="str">
        <f t="array" aca="1" ref="VN1543" ca="1">IFERROR(INDEX(nombres[],SMALL(IF(OFFSET(nombres[],0,0,ROWS(nombres[]),1)=VN$1490,ROW(OFFSET(nombres[],0,0,ROWS(nombres[]),1))-ROW(OFFSET(nombres[],0,0,1,1))+1,ROW(OFFSET(nombres[],ROWS(nombres[])-1,0,1,1))+1),$O1543:$O1562),3),"")</f>
        <v/>
      </c>
      <c r="VO1543" s="42" t="str">
        <f t="array" aca="1" ref="VO1543" ca="1">IFERROR(INDEX(nombres[],SMALL(IF(OFFSET(nombres[],0,0,ROWS(nombres[]),1)=VO$1490,ROW(OFFSET(nombres[],0,0,ROWS(nombres[]),1))-ROW(OFFSET(nombres[],0,0,1,1))+1,ROW(OFFSET(nombres[],ROWS(nombres[])-1,0,1,1))+1),$O1543:$O1562),3),"")</f>
        <v/>
      </c>
      <c r="VP1543" s="42" t="str">
        <f t="array" aca="1" ref="VP1543" ca="1">IFERROR(INDEX(nombres[],SMALL(IF(OFFSET(nombres[],0,0,ROWS(nombres[]),1)=VP$1490,ROW(OFFSET(nombres[],0,0,ROWS(nombres[]),1))-ROW(OFFSET(nombres[],0,0,1,1))+1,ROW(OFFSET(nombres[],ROWS(nombres[])-1,0,1,1))+1),$O1543:$O1562),3),"")</f>
        <v/>
      </c>
      <c r="VQ1543" s="42" t="str">
        <f t="array" aca="1" ref="VQ1543" ca="1">IFERROR(INDEX(nombres[],SMALL(IF(OFFSET(nombres[],0,0,ROWS(nombres[]),1)=VQ$1490,ROW(OFFSET(nombres[],0,0,ROWS(nombres[]),1))-ROW(OFFSET(nombres[],0,0,1,1))+1,ROW(OFFSET(nombres[],ROWS(nombres[])-1,0,1,1))+1),$O1543:$O1562),3),"")</f>
        <v/>
      </c>
      <c r="VR1543" s="42" t="str">
        <f t="array" aca="1" ref="VR1543" ca="1">IFERROR(INDEX(nombres[],SMALL(IF(OFFSET(nombres[],0,0,ROWS(nombres[]),1)=VR$1490,ROW(OFFSET(nombres[],0,0,ROWS(nombres[]),1))-ROW(OFFSET(nombres[],0,0,1,1))+1,ROW(OFFSET(nombres[],ROWS(nombres[])-1,0,1,1))+1),$O1543:$O1562),3),"")</f>
        <v/>
      </c>
      <c r="VS1543" s="42" t="str">
        <f t="array" aca="1" ref="VS1543" ca="1">IFERROR(INDEX(nombres[],SMALL(IF(OFFSET(nombres[],0,0,ROWS(nombres[]),1)=VS$1490,ROW(OFFSET(nombres[],0,0,ROWS(nombres[]),1))-ROW(OFFSET(nombres[],0,0,1,1))+1,ROW(OFFSET(nombres[],ROWS(nombres[])-1,0,1,1))+1),$O1543:$O1562),3),"")</f>
        <v/>
      </c>
      <c r="VT1543" s="42" t="str">
        <f t="array" aca="1" ref="VT1543" ca="1">IFERROR(INDEX(nombres[],SMALL(IF(OFFSET(nombres[],0,0,ROWS(nombres[]),1)=VT$1490,ROW(OFFSET(nombres[],0,0,ROWS(nombres[]),1))-ROW(OFFSET(nombres[],0,0,1,1))+1,ROW(OFFSET(nombres[],ROWS(nombres[])-1,0,1,1))+1),$O1543:$O1562),3),"")</f>
        <v/>
      </c>
      <c r="VU1543" s="42" t="str">
        <f t="array" aca="1" ref="VU1543" ca="1">IFERROR(INDEX(nombres[],SMALL(IF(OFFSET(nombres[],0,0,ROWS(nombres[]),1)=VU$1490,ROW(OFFSET(nombres[],0,0,ROWS(nombres[]),1))-ROW(OFFSET(nombres[],0,0,1,1))+1,ROW(OFFSET(nombres[],ROWS(nombres[])-1,0,1,1))+1),$O1543:$O1562),3),"")</f>
        <v/>
      </c>
      <c r="VV1543" s="42" t="str">
        <f t="array" aca="1" ref="VV1543" ca="1">IFERROR(INDEX(nombres[],SMALL(IF(OFFSET(nombres[],0,0,ROWS(nombres[]),1)=VV$1490,ROW(OFFSET(nombres[],0,0,ROWS(nombres[]),1))-ROW(OFFSET(nombres[],0,0,1,1))+1,ROW(OFFSET(nombres[],ROWS(nombres[])-1,0,1,1))+1),$O1543:$O1562),3),"")</f>
        <v/>
      </c>
      <c r="VW1543" s="42" t="str">
        <f t="array" aca="1" ref="VW1543" ca="1">IFERROR(INDEX(nombres[],SMALL(IF(OFFSET(nombres[],0,0,ROWS(nombres[]),1)=VW$1490,ROW(OFFSET(nombres[],0,0,ROWS(nombres[]),1))-ROW(OFFSET(nombres[],0,0,1,1))+1,ROW(OFFSET(nombres[],ROWS(nombres[])-1,0,1,1))+1),$O1543:$O1562),3),"")</f>
        <v/>
      </c>
      <c r="VX1543" s="42" t="str">
        <f t="array" aca="1" ref="VX1543" ca="1">IFERROR(INDEX(nombres[],SMALL(IF(OFFSET(nombres[],0,0,ROWS(nombres[]),1)=VX$1490,ROW(OFFSET(nombres[],0,0,ROWS(nombres[]),1))-ROW(OFFSET(nombres[],0,0,1,1))+1,ROW(OFFSET(nombres[],ROWS(nombres[])-1,0,1,1))+1),$O1543:$O1562),3),"")</f>
        <v/>
      </c>
      <c r="VY1543" s="42" t="str">
        <f t="array" aca="1" ref="VY1543" ca="1">IFERROR(INDEX(nombres[],SMALL(IF(OFFSET(nombres[],0,0,ROWS(nombres[]),1)=VY$1490,ROW(OFFSET(nombres[],0,0,ROWS(nombres[]),1))-ROW(OFFSET(nombres[],0,0,1,1))+1,ROW(OFFSET(nombres[],ROWS(nombres[])-1,0,1,1))+1),$O1543:$O1562),3),"")</f>
        <v/>
      </c>
      <c r="VZ1543" s="42" t="str">
        <f t="array" aca="1" ref="VZ1543" ca="1">IFERROR(INDEX(nombres[],SMALL(IF(OFFSET(nombres[],0,0,ROWS(nombres[]),1)=VZ$1490,ROW(OFFSET(nombres[],0,0,ROWS(nombres[]),1))-ROW(OFFSET(nombres[],0,0,1,1))+1,ROW(OFFSET(nombres[],ROWS(nombres[])-1,0,1,1))+1),$O1543:$O1562),3),"")</f>
        <v/>
      </c>
      <c r="WA1543" s="42" t="str">
        <f t="array" aca="1" ref="WA1543" ca="1">IFERROR(INDEX(nombres[],SMALL(IF(OFFSET(nombres[],0,0,ROWS(nombres[]),1)=WA$1490,ROW(OFFSET(nombres[],0,0,ROWS(nombres[]),1))-ROW(OFFSET(nombres[],0,0,1,1))+1,ROW(OFFSET(nombres[],ROWS(nombres[])-1,0,1,1))+1),$O1543:$O1562),3),"")</f>
        <v/>
      </c>
      <c r="WB1543" s="42" t="str">
        <f t="array" aca="1" ref="WB1543" ca="1">IFERROR(INDEX(nombres[],SMALL(IF(OFFSET(nombres[],0,0,ROWS(nombres[]),1)=WB$1490,ROW(OFFSET(nombres[],0,0,ROWS(nombres[]),1))-ROW(OFFSET(nombres[],0,0,1,1))+1,ROW(OFFSET(nombres[],ROWS(nombres[])-1,0,1,1))+1),$O1543:$O1562),3),"")</f>
        <v/>
      </c>
      <c r="WC1543" s="42" t="str">
        <f t="array" aca="1" ref="WC1543" ca="1">IFERROR(INDEX(nombres[],SMALL(IF(OFFSET(nombres[],0,0,ROWS(nombres[]),1)=WC$1490,ROW(OFFSET(nombres[],0,0,ROWS(nombres[]),1))-ROW(OFFSET(nombres[],0,0,1,1))+1,ROW(OFFSET(nombres[],ROWS(nombres[])-1,0,1,1))+1),$O1543:$O1562),3),"")</f>
        <v/>
      </c>
      <c r="WD1543" s="42" t="str">
        <f t="array" aca="1" ref="WD1543" ca="1">IFERROR(INDEX(nombres[],SMALL(IF(OFFSET(nombres[],0,0,ROWS(nombres[]),1)=WD$1490,ROW(OFFSET(nombres[],0,0,ROWS(nombres[]),1))-ROW(OFFSET(nombres[],0,0,1,1))+1,ROW(OFFSET(nombres[],ROWS(nombres[])-1,0,1,1))+1),$O1543:$O1562),3),"")</f>
        <v/>
      </c>
      <c r="WE1543" s="42" t="str">
        <f t="array" aca="1" ref="WE1543" ca="1">IFERROR(INDEX(nombres[],SMALL(IF(OFFSET(nombres[],0,0,ROWS(nombres[]),1)=WE$1490,ROW(OFFSET(nombres[],0,0,ROWS(nombres[]),1))-ROW(OFFSET(nombres[],0,0,1,1))+1,ROW(OFFSET(nombres[],ROWS(nombres[])-1,0,1,1))+1),$O1543:$O1562),3),"")</f>
        <v/>
      </c>
      <c r="WF1543" s="42" t="str">
        <f t="array" aca="1" ref="WF1543" ca="1">IFERROR(INDEX(nombres[],SMALL(IF(OFFSET(nombres[],0,0,ROWS(nombres[]),1)=WF$1490,ROW(OFFSET(nombres[],0,0,ROWS(nombres[]),1))-ROW(OFFSET(nombres[],0,0,1,1))+1,ROW(OFFSET(nombres[],ROWS(nombres[])-1,0,1,1))+1),$O1543:$O1562),3),"")</f>
        <v/>
      </c>
      <c r="WG1543" s="42" t="str">
        <f t="array" aca="1" ref="WG1543" ca="1">IFERROR(INDEX(nombres[],SMALL(IF(OFFSET(nombres[],0,0,ROWS(nombres[]),1)=WG$1490,ROW(OFFSET(nombres[],0,0,ROWS(nombres[]),1))-ROW(OFFSET(nombres[],0,0,1,1))+1,ROW(OFFSET(nombres[],ROWS(nombres[])-1,0,1,1))+1),$O1543:$O1562),3),"")</f>
        <v/>
      </c>
      <c r="WH1543" s="42" t="str">
        <f t="array" aca="1" ref="WH1543" ca="1">IFERROR(INDEX(nombres[],SMALL(IF(OFFSET(nombres[],0,0,ROWS(nombres[]),1)=WH$1490,ROW(OFFSET(nombres[],0,0,ROWS(nombres[]),1))-ROW(OFFSET(nombres[],0,0,1,1))+1,ROW(OFFSET(nombres[],ROWS(nombres[])-1,0,1,1))+1),$O1543:$O1562),3),"")</f>
        <v/>
      </c>
      <c r="WI1543" s="42" t="str">
        <f t="array" aca="1" ref="WI1543" ca="1">IFERROR(INDEX(nombres[],SMALL(IF(OFFSET(nombres[],0,0,ROWS(nombres[]),1)=WI$1490,ROW(OFFSET(nombres[],0,0,ROWS(nombres[]),1))-ROW(OFFSET(nombres[],0,0,1,1))+1,ROW(OFFSET(nombres[],ROWS(nombres[])-1,0,1,1))+1),$O1543:$O1562),3),"")</f>
        <v/>
      </c>
      <c r="WJ1543" s="42" t="str">
        <f t="array" aca="1" ref="WJ1543" ca="1">IFERROR(INDEX(nombres[],SMALL(IF(OFFSET(nombres[],0,0,ROWS(nombres[]),1)=WJ$1490,ROW(OFFSET(nombres[],0,0,ROWS(nombres[]),1))-ROW(OFFSET(nombres[],0,0,1,1))+1,ROW(OFFSET(nombres[],ROWS(nombres[])-1,0,1,1))+1),$O1543:$O1562),3),"")</f>
        <v/>
      </c>
      <c r="WK1543" s="42" t="str">
        <f t="array" aca="1" ref="WK1543" ca="1">IFERROR(INDEX(nombres[],SMALL(IF(OFFSET(nombres[],0,0,ROWS(nombres[]),1)=WK$1490,ROW(OFFSET(nombres[],0,0,ROWS(nombres[]),1))-ROW(OFFSET(nombres[],0,0,1,1))+1,ROW(OFFSET(nombres[],ROWS(nombres[])-1,0,1,1))+1),$O1543:$O1562),3),"")</f>
        <v/>
      </c>
      <c r="WL1543" s="42" t="str">
        <f t="array" aca="1" ref="WL1543" ca="1">IFERROR(INDEX(nombres[],SMALL(IF(OFFSET(nombres[],0,0,ROWS(nombres[]),1)=WL$1490,ROW(OFFSET(nombres[],0,0,ROWS(nombres[]),1))-ROW(OFFSET(nombres[],0,0,1,1))+1,ROW(OFFSET(nombres[],ROWS(nombres[])-1,0,1,1))+1),$O1543:$O1562),3),"")</f>
        <v/>
      </c>
      <c r="WM1543" s="42" t="str">
        <f t="array" aca="1" ref="WM1543" ca="1">IFERROR(INDEX(nombres[],SMALL(IF(OFFSET(nombres[],0,0,ROWS(nombres[]),1)=WM$1490,ROW(OFFSET(nombres[],0,0,ROWS(nombres[]),1))-ROW(OFFSET(nombres[],0,0,1,1))+1,ROW(OFFSET(nombres[],ROWS(nombres[])-1,0,1,1))+1),$O1543:$O1562),3),"")</f>
        <v/>
      </c>
      <c r="WN1543" s="42" t="str">
        <f t="array" aca="1" ref="WN1543" ca="1">IFERROR(INDEX(nombres[],SMALL(IF(OFFSET(nombres[],0,0,ROWS(nombres[]),1)=WN$1490,ROW(OFFSET(nombres[],0,0,ROWS(nombres[]),1))-ROW(OFFSET(nombres[],0,0,1,1))+1,ROW(OFFSET(nombres[],ROWS(nombres[])-1,0,1,1))+1),$O1543:$O1562),3),"")</f>
        <v/>
      </c>
      <c r="WO1543" s="42" t="str">
        <f t="array" aca="1" ref="WO1543" ca="1">IFERROR(INDEX(nombres[],SMALL(IF(OFFSET(nombres[],0,0,ROWS(nombres[]),1)=WO$1490,ROW(OFFSET(nombres[],0,0,ROWS(nombres[]),1))-ROW(OFFSET(nombres[],0,0,1,1))+1,ROW(OFFSET(nombres[],ROWS(nombres[])-1,0,1,1))+1),$O1543:$O1562),3),"")</f>
        <v/>
      </c>
      <c r="WP1543" s="42" t="str">
        <f t="array" aca="1" ref="WP1543" ca="1">IFERROR(INDEX(nombres[],SMALL(IF(OFFSET(nombres[],0,0,ROWS(nombres[]),1)=WP$1490,ROW(OFFSET(nombres[],0,0,ROWS(nombres[]),1))-ROW(OFFSET(nombres[],0,0,1,1))+1,ROW(OFFSET(nombres[],ROWS(nombres[])-1,0,1,1))+1),$O1543:$O1562),3),"")</f>
        <v/>
      </c>
      <c r="WQ1543" s="42" t="str">
        <f t="array" aca="1" ref="WQ1543" ca="1">IFERROR(INDEX(nombres[],SMALL(IF(OFFSET(nombres[],0,0,ROWS(nombres[]),1)=WQ$1490,ROW(OFFSET(nombres[],0,0,ROWS(nombres[]),1))-ROW(OFFSET(nombres[],0,0,1,1))+1,ROW(OFFSET(nombres[],ROWS(nombres[])-1,0,1,1))+1),$O1543:$O1562),3),"")</f>
        <v/>
      </c>
      <c r="WR1543" s="42" t="str">
        <f t="array" aca="1" ref="WR1543" ca="1">IFERROR(INDEX(nombres[],SMALL(IF(OFFSET(nombres[],0,0,ROWS(nombres[]),1)=WR$1490,ROW(OFFSET(nombres[],0,0,ROWS(nombres[]),1))-ROW(OFFSET(nombres[],0,0,1,1))+1,ROW(OFFSET(nombres[],ROWS(nombres[])-1,0,1,1))+1),$O1543:$O1562),3),"")</f>
        <v/>
      </c>
      <c r="WS1543" s="42" t="str">
        <f t="array" aca="1" ref="WS1543" ca="1">IFERROR(INDEX(nombres[],SMALL(IF(OFFSET(nombres[],0,0,ROWS(nombres[]),1)=WS$1490,ROW(OFFSET(nombres[],0,0,ROWS(nombres[]),1))-ROW(OFFSET(nombres[],0,0,1,1))+1,ROW(OFFSET(nombres[],ROWS(nombres[])-1,0,1,1))+1),$O1543:$O1562),3),"")</f>
        <v/>
      </c>
      <c r="WT1543" s="42" t="str">
        <f t="array" aca="1" ref="WT1543" ca="1">IFERROR(INDEX(nombres[],SMALL(IF(OFFSET(nombres[],0,0,ROWS(nombres[]),1)=WT$1490,ROW(OFFSET(nombres[],0,0,ROWS(nombres[]),1))-ROW(OFFSET(nombres[],0,0,1,1))+1,ROW(OFFSET(nombres[],ROWS(nombres[])-1,0,1,1))+1),$O1543:$O1562),3),"")</f>
        <v/>
      </c>
      <c r="WU1543" s="42" t="str">
        <f t="array" aca="1" ref="WU1543" ca="1">IFERROR(INDEX(nombres[],SMALL(IF(OFFSET(nombres[],0,0,ROWS(nombres[]),1)=WU$1490,ROW(OFFSET(nombres[],0,0,ROWS(nombres[]),1))-ROW(OFFSET(nombres[],0,0,1,1))+1,ROW(OFFSET(nombres[],ROWS(nombres[])-1,0,1,1))+1),$O1543:$O1562),3),"")</f>
        <v/>
      </c>
      <c r="WV1543" s="42" t="str">
        <f t="array" aca="1" ref="WV1543" ca="1">IFERROR(INDEX(nombres[],SMALL(IF(OFFSET(nombres[],0,0,ROWS(nombres[]),1)=WV$1490,ROW(OFFSET(nombres[],0,0,ROWS(nombres[]),1))-ROW(OFFSET(nombres[],0,0,1,1))+1,ROW(OFFSET(nombres[],ROWS(nombres[])-1,0,1,1))+1),$O1543:$O1562),3),"")</f>
        <v/>
      </c>
      <c r="WW1543" s="42" t="str">
        <f t="array" aca="1" ref="WW1543" ca="1">IFERROR(INDEX(nombres[],SMALL(IF(OFFSET(nombres[],0,0,ROWS(nombres[]),1)=WW$1490,ROW(OFFSET(nombres[],0,0,ROWS(nombres[]),1))-ROW(OFFSET(nombres[],0,0,1,1))+1,ROW(OFFSET(nombres[],ROWS(nombres[])-1,0,1,1))+1),$O1543:$O1562),3),"")</f>
        <v/>
      </c>
      <c r="WX1543" s="42" t="str">
        <f t="array" aca="1" ref="WX1543" ca="1">IFERROR(INDEX(nombres[],SMALL(IF(OFFSET(nombres[],0,0,ROWS(nombres[]),1)=WX$1490,ROW(OFFSET(nombres[],0,0,ROWS(nombres[]),1))-ROW(OFFSET(nombres[],0,0,1,1))+1,ROW(OFFSET(nombres[],ROWS(nombres[])-1,0,1,1))+1),$O1543:$O1562),3),"")</f>
        <v/>
      </c>
      <c r="WY1543" s="42" t="str">
        <f t="array" aca="1" ref="WY1543" ca="1">IFERROR(INDEX(nombres[],SMALL(IF(OFFSET(nombres[],0,0,ROWS(nombres[]),1)=WY$1490,ROW(OFFSET(nombres[],0,0,ROWS(nombres[]),1))-ROW(OFFSET(nombres[],0,0,1,1))+1,ROW(OFFSET(nombres[],ROWS(nombres[])-1,0,1,1))+1),$O1543:$O1562),3),"")</f>
        <v/>
      </c>
      <c r="WZ1543" s="42" t="str">
        <f t="array" aca="1" ref="WZ1543" ca="1">IFERROR(INDEX(nombres[],SMALL(IF(OFFSET(nombres[],0,0,ROWS(nombres[]),1)=WZ$1490,ROW(OFFSET(nombres[],0,0,ROWS(nombres[]),1))-ROW(OFFSET(nombres[],0,0,1,1))+1,ROW(OFFSET(nombres[],ROWS(nombres[])-1,0,1,1))+1),$O1543:$O1562),3),"")</f>
        <v/>
      </c>
      <c r="XA1543" s="42" t="str">
        <f t="array" aca="1" ref="XA1543" ca="1">IFERROR(INDEX(nombres[],SMALL(IF(OFFSET(nombres[],0,0,ROWS(nombres[]),1)=XA$1490,ROW(OFFSET(nombres[],0,0,ROWS(nombres[]),1))-ROW(OFFSET(nombres[],0,0,1,1))+1,ROW(OFFSET(nombres[],ROWS(nombres[])-1,0,1,1))+1),$O1543:$O1562),3),"")</f>
        <v/>
      </c>
      <c r="XB1543" s="42" t="str">
        <f t="array" aca="1" ref="XB1543" ca="1">IFERROR(INDEX(nombres[],SMALL(IF(OFFSET(nombres[],0,0,ROWS(nombres[]),1)=XB$1490,ROW(OFFSET(nombres[],0,0,ROWS(nombres[]),1))-ROW(OFFSET(nombres[],0,0,1,1))+1,ROW(OFFSET(nombres[],ROWS(nombres[])-1,0,1,1))+1),$O1543:$O1562),3),"")</f>
        <v/>
      </c>
      <c r="XC1543" s="42" t="str">
        <f t="array" aca="1" ref="XC1543" ca="1">IFERROR(INDEX(nombres[],SMALL(IF(OFFSET(nombres[],0,0,ROWS(nombres[]),1)=XC$1490,ROW(OFFSET(nombres[],0,0,ROWS(nombres[]),1))-ROW(OFFSET(nombres[],0,0,1,1))+1,ROW(OFFSET(nombres[],ROWS(nombres[])-1,0,1,1))+1),$O1543:$O1562),3),"")</f>
        <v/>
      </c>
      <c r="XD1543" s="42" t="str">
        <f t="array" aca="1" ref="XD1543" ca="1">IFERROR(INDEX(nombres[],SMALL(IF(OFFSET(nombres[],0,0,ROWS(nombres[]),1)=XD$1490,ROW(OFFSET(nombres[],0,0,ROWS(nombres[]),1))-ROW(OFFSET(nombres[],0,0,1,1))+1,ROW(OFFSET(nombres[],ROWS(nombres[])-1,0,1,1))+1),$O1543:$O1562),3),"")</f>
        <v/>
      </c>
      <c r="XE1543" s="42" t="str">
        <f t="array" aca="1" ref="XE1543" ca="1">IFERROR(INDEX(nombres[],SMALL(IF(OFFSET(nombres[],0,0,ROWS(nombres[]),1)=XE$1490,ROW(OFFSET(nombres[],0,0,ROWS(nombres[]),1))-ROW(OFFSET(nombres[],0,0,1,1))+1,ROW(OFFSET(nombres[],ROWS(nombres[])-1,0,1,1))+1),$O1543:$O1562),3),"")</f>
        <v/>
      </c>
      <c r="XF1543" s="42" t="str">
        <f t="array" aca="1" ref="XF1543" ca="1">IFERROR(INDEX(nombres[],SMALL(IF(OFFSET(nombres[],0,0,ROWS(nombres[]),1)=XF$1490,ROW(OFFSET(nombres[],0,0,ROWS(nombres[]),1))-ROW(OFFSET(nombres[],0,0,1,1))+1,ROW(OFFSET(nombres[],ROWS(nombres[])-1,0,1,1))+1),$O1543:$O1562),3),"")</f>
        <v/>
      </c>
      <c r="XG1543" s="42" t="str">
        <f t="array" aca="1" ref="XG1543" ca="1">IFERROR(INDEX(nombres[],SMALL(IF(OFFSET(nombres[],0,0,ROWS(nombres[]),1)=XG$1490,ROW(OFFSET(nombres[],0,0,ROWS(nombres[]),1))-ROW(OFFSET(nombres[],0,0,1,1))+1,ROW(OFFSET(nombres[],ROWS(nombres[])-1,0,1,1))+1),$O1543:$O1562),3),"")</f>
        <v/>
      </c>
      <c r="XH1543" s="42" t="str">
        <f t="array" aca="1" ref="XH1543" ca="1">IFERROR(INDEX(nombres[],SMALL(IF(OFFSET(nombres[],0,0,ROWS(nombres[]),1)=XH$1490,ROW(OFFSET(nombres[],0,0,ROWS(nombres[]),1))-ROW(OFFSET(nombres[],0,0,1,1))+1,ROW(OFFSET(nombres[],ROWS(nombres[])-1,0,1,1))+1),$O1543:$O1562),3),"")</f>
        <v/>
      </c>
      <c r="XI1543" s="42" t="str">
        <f t="array" aca="1" ref="XI1543" ca="1">IFERROR(INDEX(nombres[],SMALL(IF(OFFSET(nombres[],0,0,ROWS(nombres[]),1)=XI$1490,ROW(OFFSET(nombres[],0,0,ROWS(nombres[]),1))-ROW(OFFSET(nombres[],0,0,1,1))+1,ROW(OFFSET(nombres[],ROWS(nombres[])-1,0,1,1))+1),$O1543:$O1562),3),"")</f>
        <v/>
      </c>
      <c r="XJ1543" s="42" t="str">
        <f t="array" aca="1" ref="XJ1543" ca="1">IFERROR(INDEX(nombres[],SMALL(IF(OFFSET(nombres[],0,0,ROWS(nombres[]),1)=XJ$1490,ROW(OFFSET(nombres[],0,0,ROWS(nombres[]),1))-ROW(OFFSET(nombres[],0,0,1,1))+1,ROW(OFFSET(nombres[],ROWS(nombres[])-1,0,1,1))+1),$O1543:$O1562),3),"")</f>
        <v/>
      </c>
      <c r="XK1543" s="42" t="str">
        <f t="array" aca="1" ref="XK1543" ca="1">IFERROR(INDEX(nombres[],SMALL(IF(OFFSET(nombres[],0,0,ROWS(nombres[]),1)=XK$1490,ROW(OFFSET(nombres[],0,0,ROWS(nombres[]),1))-ROW(OFFSET(nombres[],0,0,1,1))+1,ROW(OFFSET(nombres[],ROWS(nombres[])-1,0,1,1))+1),$O1543:$O1562),3),"")</f>
        <v/>
      </c>
      <c r="XL1543" s="42" t="str">
        <f t="array" aca="1" ref="XL1543" ca="1">IFERROR(INDEX(nombres[],SMALL(IF(OFFSET(nombres[],0,0,ROWS(nombres[]),1)=XL$1490,ROW(OFFSET(nombres[],0,0,ROWS(nombres[]),1))-ROW(OFFSET(nombres[],0,0,1,1))+1,ROW(OFFSET(nombres[],ROWS(nombres[])-1,0,1,1))+1),$O1543:$O1562),3),"")</f>
        <v/>
      </c>
      <c r="XM1543" s="42" t="str">
        <f t="array" aca="1" ref="XM1543" ca="1">IFERROR(INDEX(nombres[],SMALL(IF(OFFSET(nombres[],0,0,ROWS(nombres[]),1)=XM$1490,ROW(OFFSET(nombres[],0,0,ROWS(nombres[]),1))-ROW(OFFSET(nombres[],0,0,1,1))+1,ROW(OFFSET(nombres[],ROWS(nombres[])-1,0,1,1))+1),$O1543:$O1562),3),"")</f>
        <v/>
      </c>
      <c r="XN1543" s="42" t="str">
        <f t="array" aca="1" ref="XN1543" ca="1">IFERROR(INDEX(nombres[],SMALL(IF(OFFSET(nombres[],0,0,ROWS(nombres[]),1)=XN$1490,ROW(OFFSET(nombres[],0,0,ROWS(nombres[]),1))-ROW(OFFSET(nombres[],0,0,1,1))+1,ROW(OFFSET(nombres[],ROWS(nombres[])-1,0,1,1))+1),$O1543:$O1562),3),"")</f>
        <v/>
      </c>
      <c r="XO1543" s="42" t="str">
        <f t="array" aca="1" ref="XO1543" ca="1">IFERROR(INDEX(nombres[],SMALL(IF(OFFSET(nombres[],0,0,ROWS(nombres[]),1)=XO$1490,ROW(OFFSET(nombres[],0,0,ROWS(nombres[]),1))-ROW(OFFSET(nombres[],0,0,1,1))+1,ROW(OFFSET(nombres[],ROWS(nombres[])-1,0,1,1))+1),$O1543:$O1562),3),"")</f>
        <v/>
      </c>
      <c r="XP1543" s="42" t="str">
        <f t="array" aca="1" ref="XP1543" ca="1">IFERROR(INDEX(nombres[],SMALL(IF(OFFSET(nombres[],0,0,ROWS(nombres[]),1)=XP$1490,ROW(OFFSET(nombres[],0,0,ROWS(nombres[]),1))-ROW(OFFSET(nombres[],0,0,1,1))+1,ROW(OFFSET(nombres[],ROWS(nombres[])-1,0,1,1))+1),$O1543:$O1562),3),"")</f>
        <v/>
      </c>
      <c r="XQ1543" s="42" t="str">
        <f t="array" aca="1" ref="XQ1543" ca="1">IFERROR(INDEX(nombres[],SMALL(IF(OFFSET(nombres[],0,0,ROWS(nombres[]),1)=XQ$1490,ROW(OFFSET(nombres[],0,0,ROWS(nombres[]),1))-ROW(OFFSET(nombres[],0,0,1,1))+1,ROW(OFFSET(nombres[],ROWS(nombres[])-1,0,1,1))+1),$O1543:$O1562),3),"")</f>
        <v/>
      </c>
      <c r="XR1543" s="42" t="str">
        <f t="array" aca="1" ref="XR1543" ca="1">IFERROR(INDEX(nombres[],SMALL(IF(OFFSET(nombres[],0,0,ROWS(nombres[]),1)=XR$1490,ROW(OFFSET(nombres[],0,0,ROWS(nombres[]),1))-ROW(OFFSET(nombres[],0,0,1,1))+1,ROW(OFFSET(nombres[],ROWS(nombres[])-1,0,1,1))+1),$O1543:$O1562),3),"")</f>
        <v/>
      </c>
      <c r="XS1543" s="42" t="str">
        <f t="array" aca="1" ref="XS1543" ca="1">IFERROR(INDEX(nombres[],SMALL(IF(OFFSET(nombres[],0,0,ROWS(nombres[]),1)=XS$1490,ROW(OFFSET(nombres[],0,0,ROWS(nombres[]),1))-ROW(OFFSET(nombres[],0,0,1,1))+1,ROW(OFFSET(nombres[],ROWS(nombres[])-1,0,1,1))+1),$O1543:$O1562),3),"")</f>
        <v/>
      </c>
      <c r="XT1543" s="42" t="str">
        <f t="array" aca="1" ref="XT1543" ca="1">IFERROR(INDEX(nombres[],SMALL(IF(OFFSET(nombres[],0,0,ROWS(nombres[]),1)=XT$1490,ROW(OFFSET(nombres[],0,0,ROWS(nombres[]),1))-ROW(OFFSET(nombres[],0,0,1,1))+1,ROW(OFFSET(nombres[],ROWS(nombres[])-1,0,1,1))+1),$O1543:$O1562),3),"")</f>
        <v/>
      </c>
      <c r="XU1543" s="42" t="str">
        <f t="array" aca="1" ref="XU1543" ca="1">IFERROR(INDEX(nombres[],SMALL(IF(OFFSET(nombres[],0,0,ROWS(nombres[]),1)=XU$1490,ROW(OFFSET(nombres[],0,0,ROWS(nombres[]),1))-ROW(OFFSET(nombres[],0,0,1,1))+1,ROW(OFFSET(nombres[],ROWS(nombres[])-1,0,1,1))+1),$O1543:$O1562),3),"")</f>
        <v/>
      </c>
      <c r="XV1543" s="42" t="str">
        <f t="array" aca="1" ref="XV1543" ca="1">IFERROR(INDEX(nombres[],SMALL(IF(OFFSET(nombres[],0,0,ROWS(nombres[]),1)=XV$1490,ROW(OFFSET(nombres[],0,0,ROWS(nombres[]),1))-ROW(OFFSET(nombres[],0,0,1,1))+1,ROW(OFFSET(nombres[],ROWS(nombres[])-1,0,1,1))+1),$O1543:$O1562),3),"")</f>
        <v/>
      </c>
      <c r="XW1543" s="42" t="str">
        <f t="array" aca="1" ref="XW1543" ca="1">IFERROR(INDEX(nombres[],SMALL(IF(OFFSET(nombres[],0,0,ROWS(nombres[]),1)=XW$1490,ROW(OFFSET(nombres[],0,0,ROWS(nombres[]),1))-ROW(OFFSET(nombres[],0,0,1,1))+1,ROW(OFFSET(nombres[],ROWS(nombres[])-1,0,1,1))+1),$O1543:$O1562),3),"")</f>
        <v/>
      </c>
      <c r="XX1543" s="42" t="str">
        <f t="array" aca="1" ref="XX1543" ca="1">IFERROR(INDEX(nombres[],SMALL(IF(OFFSET(nombres[],0,0,ROWS(nombres[]),1)=XX$1490,ROW(OFFSET(nombres[],0,0,ROWS(nombres[]),1))-ROW(OFFSET(nombres[],0,0,1,1))+1,ROW(OFFSET(nombres[],ROWS(nombres[])-1,0,1,1))+1),$O1543:$O1562),3),"")</f>
        <v/>
      </c>
      <c r="XY1543" s="42" t="str">
        <f t="array" aca="1" ref="XY1543" ca="1">IFERROR(INDEX(nombres[],SMALL(IF(OFFSET(nombres[],0,0,ROWS(nombres[]),1)=XY$1490,ROW(OFFSET(nombres[],0,0,ROWS(nombres[]),1))-ROW(OFFSET(nombres[],0,0,1,1))+1,ROW(OFFSET(nombres[],ROWS(nombres[])-1,0,1,1))+1),$O1543:$O1562),3),"")</f>
        <v/>
      </c>
      <c r="XZ1543" s="42" t="str">
        <f t="array" aca="1" ref="XZ1543" ca="1">IFERROR(INDEX(nombres[],SMALL(IF(OFFSET(nombres[],0,0,ROWS(nombres[]),1)=XZ$1490,ROW(OFFSET(nombres[],0,0,ROWS(nombres[]),1))-ROW(OFFSET(nombres[],0,0,1,1))+1,ROW(OFFSET(nombres[],ROWS(nombres[])-1,0,1,1))+1),$O1543:$O1562),3),"")</f>
        <v/>
      </c>
      <c r="YA1543" s="42" t="str">
        <f t="array" aca="1" ref="YA1543" ca="1">IFERROR(INDEX(nombres[],SMALL(IF(OFFSET(nombres[],0,0,ROWS(nombres[]),1)=YA$1490,ROW(OFFSET(nombres[],0,0,ROWS(nombres[]),1))-ROW(OFFSET(nombres[],0,0,1,1))+1,ROW(OFFSET(nombres[],ROWS(nombres[])-1,0,1,1))+1),$O1543:$O1562),3),"")</f>
        <v/>
      </c>
      <c r="YB1543" s="42" t="str">
        <f t="array" aca="1" ref="YB1543" ca="1">IFERROR(INDEX(nombres[],SMALL(IF(OFFSET(nombres[],0,0,ROWS(nombres[]),1)=YB$1490,ROW(OFFSET(nombres[],0,0,ROWS(nombres[]),1))-ROW(OFFSET(nombres[],0,0,1,1))+1,ROW(OFFSET(nombres[],ROWS(nombres[])-1,0,1,1))+1),$O1543:$O1562),3),"")</f>
        <v/>
      </c>
      <c r="YC1543" s="42" t="str">
        <f t="array" aca="1" ref="YC1543" ca="1">IFERROR(INDEX(nombres[],SMALL(IF(OFFSET(nombres[],0,0,ROWS(nombres[]),1)=YC$1490,ROW(OFFSET(nombres[],0,0,ROWS(nombres[]),1))-ROW(OFFSET(nombres[],0,0,1,1))+1,ROW(OFFSET(nombres[],ROWS(nombres[])-1,0,1,1))+1),$O1543:$O1562),3),"")</f>
        <v/>
      </c>
      <c r="YD1543" s="42" t="str">
        <f t="array" aca="1" ref="YD1543" ca="1">IFERROR(INDEX(nombres[],SMALL(IF(OFFSET(nombres[],0,0,ROWS(nombres[]),1)=YD$1490,ROW(OFFSET(nombres[],0,0,ROWS(nombres[]),1))-ROW(OFFSET(nombres[],0,0,1,1))+1,ROW(OFFSET(nombres[],ROWS(nombres[])-1,0,1,1))+1),$O1543:$O1562),3),"")</f>
        <v/>
      </c>
      <c r="YE1543" s="42" t="str">
        <f t="array" aca="1" ref="YE1543" ca="1">IFERROR(INDEX(nombres[],SMALL(IF(OFFSET(nombres[],0,0,ROWS(nombres[]),1)=YE$1490,ROW(OFFSET(nombres[],0,0,ROWS(nombres[]),1))-ROW(OFFSET(nombres[],0,0,1,1))+1,ROW(OFFSET(nombres[],ROWS(nombres[])-1,0,1,1))+1),$O1543:$O1562),3),"")</f>
        <v/>
      </c>
      <c r="YF1543" s="42" t="str">
        <f t="array" aca="1" ref="YF1543" ca="1">IFERROR(INDEX(nombres[],SMALL(IF(OFFSET(nombres[],0,0,ROWS(nombres[]),1)=YF$1490,ROW(OFFSET(nombres[],0,0,ROWS(nombres[]),1))-ROW(OFFSET(nombres[],0,0,1,1))+1,ROW(OFFSET(nombres[],ROWS(nombres[])-1,0,1,1))+1),$O1543:$O1562),3),"")</f>
        <v/>
      </c>
      <c r="YG1543" s="42" t="str">
        <f t="array" aca="1" ref="YG1543" ca="1">IFERROR(INDEX(nombres[],SMALL(IF(OFFSET(nombres[],0,0,ROWS(nombres[]),1)=YG$1490,ROW(OFFSET(nombres[],0,0,ROWS(nombres[]),1))-ROW(OFFSET(nombres[],0,0,1,1))+1,ROW(OFFSET(nombres[],ROWS(nombres[])-1,0,1,1))+1),$O1543:$O1562),3),"")</f>
        <v/>
      </c>
      <c r="YH1543" s="42" t="str">
        <f t="array" aca="1" ref="YH1543" ca="1">IFERROR(INDEX(nombres[],SMALL(IF(OFFSET(nombres[],0,0,ROWS(nombres[]),1)=YH$1490,ROW(OFFSET(nombres[],0,0,ROWS(nombres[]),1))-ROW(OFFSET(nombres[],0,0,1,1))+1,ROW(OFFSET(nombres[],ROWS(nombres[])-1,0,1,1))+1),$O1543:$O1562),3),"")</f>
        <v/>
      </c>
      <c r="YI1543" s="42" t="str">
        <f t="array" aca="1" ref="YI1543" ca="1">IFERROR(INDEX(nombres[],SMALL(IF(OFFSET(nombres[],0,0,ROWS(nombres[]),1)=YI$1490,ROW(OFFSET(nombres[],0,0,ROWS(nombres[]),1))-ROW(OFFSET(nombres[],0,0,1,1))+1,ROW(OFFSET(nombres[],ROWS(nombres[])-1,0,1,1))+1),$O1543:$O1562),3),"")</f>
        <v/>
      </c>
      <c r="YJ1543" s="42" t="str">
        <f t="array" aca="1" ref="YJ1543" ca="1">IFERROR(INDEX(nombres[],SMALL(IF(OFFSET(nombres[],0,0,ROWS(nombres[]),1)=YJ$1490,ROW(OFFSET(nombres[],0,0,ROWS(nombres[]),1))-ROW(OFFSET(nombres[],0,0,1,1))+1,ROW(OFFSET(nombres[],ROWS(nombres[])-1,0,1,1))+1),$O1543:$O1562),3),"")</f>
        <v/>
      </c>
      <c r="YK1543" s="42" t="str">
        <f t="array" aca="1" ref="YK1543" ca="1">IFERROR(INDEX(nombres[],SMALL(IF(OFFSET(nombres[],0,0,ROWS(nombres[]),1)=YK$1490,ROW(OFFSET(nombres[],0,0,ROWS(nombres[]),1))-ROW(OFFSET(nombres[],0,0,1,1))+1,ROW(OFFSET(nombres[],ROWS(nombres[])-1,0,1,1))+1),$O1543:$O1562),3),"")</f>
        <v/>
      </c>
      <c r="YL1543" s="42" t="str">
        <f t="array" aca="1" ref="YL1543" ca="1">IFERROR(INDEX(nombres[],SMALL(IF(OFFSET(nombres[],0,0,ROWS(nombres[]),1)=YL$1490,ROW(OFFSET(nombres[],0,0,ROWS(nombres[]),1))-ROW(OFFSET(nombres[],0,0,1,1))+1,ROW(OFFSET(nombres[],ROWS(nombres[])-1,0,1,1))+1),$O1543:$O1562),3),"")</f>
        <v/>
      </c>
      <c r="YM1543" s="42" t="str">
        <f t="array" aca="1" ref="YM1543" ca="1">IFERROR(INDEX(nombres[],SMALL(IF(OFFSET(nombres[],0,0,ROWS(nombres[]),1)=YM$1490,ROW(OFFSET(nombres[],0,0,ROWS(nombres[]),1))-ROW(OFFSET(nombres[],0,0,1,1))+1,ROW(OFFSET(nombres[],ROWS(nombres[])-1,0,1,1))+1),$O1543:$O1562),3),"")</f>
        <v/>
      </c>
      <c r="YN1543" s="42" t="str">
        <f t="array" aca="1" ref="YN1543" ca="1">IFERROR(INDEX(nombres[],SMALL(IF(OFFSET(nombres[],0,0,ROWS(nombres[]),1)=YN$1490,ROW(OFFSET(nombres[],0,0,ROWS(nombres[]),1))-ROW(OFFSET(nombres[],0,0,1,1))+1,ROW(OFFSET(nombres[],ROWS(nombres[])-1,0,1,1))+1),$O1543:$O1562),3),"")</f>
        <v/>
      </c>
      <c r="YO1543" s="42" t="str">
        <f t="array" aca="1" ref="YO1543" ca="1">IFERROR(INDEX(nombres[],SMALL(IF(OFFSET(nombres[],0,0,ROWS(nombres[]),1)=YO$1490,ROW(OFFSET(nombres[],0,0,ROWS(nombres[]),1))-ROW(OFFSET(nombres[],0,0,1,1))+1,ROW(OFFSET(nombres[],ROWS(nombres[])-1,0,1,1))+1),$O1543:$O1562),3),"")</f>
        <v/>
      </c>
      <c r="YP1543" s="42" t="str">
        <f t="array" aca="1" ref="YP1543" ca="1">IFERROR(INDEX(nombres[],SMALL(IF(OFFSET(nombres[],0,0,ROWS(nombres[]),1)=YP$1490,ROW(OFFSET(nombres[],0,0,ROWS(nombres[]),1))-ROW(OFFSET(nombres[],0,0,1,1))+1,ROW(OFFSET(nombres[],ROWS(nombres[])-1,0,1,1))+1),$O1543:$O1562),3),"")</f>
        <v/>
      </c>
      <c r="YQ1543" s="42" t="str">
        <f t="array" aca="1" ref="YQ1543" ca="1">IFERROR(INDEX(nombres[],SMALL(IF(OFFSET(nombres[],0,0,ROWS(nombres[]),1)=YQ$1490,ROW(OFFSET(nombres[],0,0,ROWS(nombres[]),1))-ROW(OFFSET(nombres[],0,0,1,1))+1,ROW(OFFSET(nombres[],ROWS(nombres[])-1,0,1,1))+1),$O1543:$O1562),3),"")</f>
        <v/>
      </c>
      <c r="YR1543" s="42" t="str">
        <f t="array" aca="1" ref="YR1543" ca="1">IFERROR(INDEX(nombres[],SMALL(IF(OFFSET(nombres[],0,0,ROWS(nombres[]),1)=YR$1490,ROW(OFFSET(nombres[],0,0,ROWS(nombres[]),1))-ROW(OFFSET(nombres[],0,0,1,1))+1,ROW(OFFSET(nombres[],ROWS(nombres[])-1,0,1,1))+1),$O1543:$O1562),3),"")</f>
        <v/>
      </c>
      <c r="YS1543" s="42" t="str">
        <f t="array" aca="1" ref="YS1543" ca="1">IFERROR(INDEX(nombres[],SMALL(IF(OFFSET(nombres[],0,0,ROWS(nombres[]),1)=YS$1490,ROW(OFFSET(nombres[],0,0,ROWS(nombres[]),1))-ROW(OFFSET(nombres[],0,0,1,1))+1,ROW(OFFSET(nombres[],ROWS(nombres[])-1,0,1,1))+1),$O1543:$O1562),3),"")</f>
        <v/>
      </c>
      <c r="YT1543" s="42" t="str">
        <f t="array" aca="1" ref="YT1543" ca="1">IFERROR(INDEX(nombres[],SMALL(IF(OFFSET(nombres[],0,0,ROWS(nombres[]),1)=YT$1490,ROW(OFFSET(nombres[],0,0,ROWS(nombres[]),1))-ROW(OFFSET(nombres[],0,0,1,1))+1,ROW(OFFSET(nombres[],ROWS(nombres[])-1,0,1,1))+1),$O1543:$O1562),3),"")</f>
        <v/>
      </c>
      <c r="YU1543" s="42" t="str">
        <f t="array" aca="1" ref="YU1543" ca="1">IFERROR(INDEX(nombres[],SMALL(IF(OFFSET(nombres[],0,0,ROWS(nombres[]),1)=YU$1490,ROW(OFFSET(nombres[],0,0,ROWS(nombres[]),1))-ROW(OFFSET(nombres[],0,0,1,1))+1,ROW(OFFSET(nombres[],ROWS(nombres[])-1,0,1,1))+1),$O1543:$O1562),3),"")</f>
        <v/>
      </c>
      <c r="YV1543" s="42" t="str">
        <f t="array" aca="1" ref="YV1543" ca="1">IFERROR(INDEX(nombres[],SMALL(IF(OFFSET(nombres[],0,0,ROWS(nombres[]),1)=YV$1490,ROW(OFFSET(nombres[],0,0,ROWS(nombres[]),1))-ROW(OFFSET(nombres[],0,0,1,1))+1,ROW(OFFSET(nombres[],ROWS(nombres[])-1,0,1,1))+1),$O1543:$O1562),3),"")</f>
        <v/>
      </c>
      <c r="YW1543" s="42" t="str">
        <f t="array" aca="1" ref="YW1543" ca="1">IFERROR(INDEX(nombres[],SMALL(IF(OFFSET(nombres[],0,0,ROWS(nombres[]),1)=YW$1490,ROW(OFFSET(nombres[],0,0,ROWS(nombres[]),1))-ROW(OFFSET(nombres[],0,0,1,1))+1,ROW(OFFSET(nombres[],ROWS(nombres[])-1,0,1,1))+1),$O1543:$O1562),3),"")</f>
        <v/>
      </c>
      <c r="YX1543" s="42" t="str">
        <f t="array" aca="1" ref="YX1543" ca="1">IFERROR(INDEX(nombres[],SMALL(IF(OFFSET(nombres[],0,0,ROWS(nombres[]),1)=YX$1490,ROW(OFFSET(nombres[],0,0,ROWS(nombres[]),1))-ROW(OFFSET(nombres[],0,0,1,1))+1,ROW(OFFSET(nombres[],ROWS(nombres[])-1,0,1,1))+1),$O1543:$O1562),3),"")</f>
        <v/>
      </c>
      <c r="YY1543" s="42" t="str">
        <f t="array" aca="1" ref="YY1543" ca="1">IFERROR(INDEX(nombres[],SMALL(IF(OFFSET(nombres[],0,0,ROWS(nombres[]),1)=YY$1490,ROW(OFFSET(nombres[],0,0,ROWS(nombres[]),1))-ROW(OFFSET(nombres[],0,0,1,1))+1,ROW(OFFSET(nombres[],ROWS(nombres[])-1,0,1,1))+1),$O1543:$O1562),3),"")</f>
        <v/>
      </c>
      <c r="YZ1543" s="42" t="str">
        <f t="array" aca="1" ref="YZ1543" ca="1">IFERROR(INDEX(nombres[],SMALL(IF(OFFSET(nombres[],0,0,ROWS(nombres[]),1)=YZ$1490,ROW(OFFSET(nombres[],0,0,ROWS(nombres[]),1))-ROW(OFFSET(nombres[],0,0,1,1))+1,ROW(OFFSET(nombres[],ROWS(nombres[])-1,0,1,1))+1),$O1543:$O1562),3),"")</f>
        <v/>
      </c>
      <c r="ZA1543" s="42" t="str">
        <f t="array" aca="1" ref="ZA1543" ca="1">IFERROR(INDEX(nombres[],SMALL(IF(OFFSET(nombres[],0,0,ROWS(nombres[]),1)=ZA$1490,ROW(OFFSET(nombres[],0,0,ROWS(nombres[]),1))-ROW(OFFSET(nombres[],0,0,1,1))+1,ROW(OFFSET(nombres[],ROWS(nombres[])-1,0,1,1))+1),$O1543:$O1562),3),"")</f>
        <v/>
      </c>
      <c r="ZB1543" s="42" t="str">
        <f t="array" aca="1" ref="ZB1543" ca="1">IFERROR(INDEX(nombres[],SMALL(IF(OFFSET(nombres[],0,0,ROWS(nombres[]),1)=ZB$1490,ROW(OFFSET(nombres[],0,0,ROWS(nombres[]),1))-ROW(OFFSET(nombres[],0,0,1,1))+1,ROW(OFFSET(nombres[],ROWS(nombres[])-1,0,1,1))+1),$O1543:$O1562),3),"")</f>
        <v/>
      </c>
      <c r="ZC1543" s="42" t="str">
        <f t="array" aca="1" ref="ZC1543" ca="1">IFERROR(INDEX(nombres[],SMALL(IF(OFFSET(nombres[],0,0,ROWS(nombres[]),1)=ZC$1490,ROW(OFFSET(nombres[],0,0,ROWS(nombres[]),1))-ROW(OFFSET(nombres[],0,0,1,1))+1,ROW(OFFSET(nombres[],ROWS(nombres[])-1,0,1,1))+1),$O1543:$O1562),3),"")</f>
        <v/>
      </c>
      <c r="ZD1543" s="42" t="str">
        <f t="array" aca="1" ref="ZD1543" ca="1">IFERROR(INDEX(nombres[],SMALL(IF(OFFSET(nombres[],0,0,ROWS(nombres[]),1)=ZD$1490,ROW(OFFSET(nombres[],0,0,ROWS(nombres[]),1))-ROW(OFFSET(nombres[],0,0,1,1))+1,ROW(OFFSET(nombres[],ROWS(nombres[])-1,0,1,1))+1),$O1543:$O1562),3),"")</f>
        <v/>
      </c>
      <c r="ZE1543" s="42" t="str">
        <f t="array" aca="1" ref="ZE1543" ca="1">IFERROR(INDEX(nombres[],SMALL(IF(OFFSET(nombres[],0,0,ROWS(nombres[]),1)=ZE$1490,ROW(OFFSET(nombres[],0,0,ROWS(nombres[]),1))-ROW(OFFSET(nombres[],0,0,1,1))+1,ROW(OFFSET(nombres[],ROWS(nombres[])-1,0,1,1))+1),$O1543:$O1562),3),"")</f>
        <v/>
      </c>
      <c r="ZF1543" s="42" t="str">
        <f t="array" aca="1" ref="ZF1543" ca="1">IFERROR(INDEX(nombres[],SMALL(IF(OFFSET(nombres[],0,0,ROWS(nombres[]),1)=ZF$1490,ROW(OFFSET(nombres[],0,0,ROWS(nombres[]),1))-ROW(OFFSET(nombres[],0,0,1,1))+1,ROW(OFFSET(nombres[],ROWS(nombres[])-1,0,1,1))+1),$O1543:$O1562),3),"")</f>
        <v/>
      </c>
      <c r="ZG1543" s="42" t="str">
        <f t="array" aca="1" ref="ZG1543" ca="1">IFERROR(INDEX(nombres[],SMALL(IF(OFFSET(nombres[],0,0,ROWS(nombres[]),1)=ZG$1490,ROW(OFFSET(nombres[],0,0,ROWS(nombres[]),1))-ROW(OFFSET(nombres[],0,0,1,1))+1,ROW(OFFSET(nombres[],ROWS(nombres[])-1,0,1,1))+1),$O1543:$O1562),3),"")</f>
        <v/>
      </c>
      <c r="ZH1543" s="42" t="str">
        <f t="array" aca="1" ref="ZH1543" ca="1">IFERROR(INDEX(nombres[],SMALL(IF(OFFSET(nombres[],0,0,ROWS(nombres[]),1)=ZH$1490,ROW(OFFSET(nombres[],0,0,ROWS(nombres[]),1))-ROW(OFFSET(nombres[],0,0,1,1))+1,ROW(OFFSET(nombres[],ROWS(nombres[])-1,0,1,1))+1),$O1543:$O1562),3),"")</f>
        <v/>
      </c>
      <c r="ZI1543" s="42" t="str">
        <f t="array" aca="1" ref="ZI1543" ca="1">IFERROR(INDEX(nombres[],SMALL(IF(OFFSET(nombres[],0,0,ROWS(nombres[]),1)=ZI$1490,ROW(OFFSET(nombres[],0,0,ROWS(nombres[]),1))-ROW(OFFSET(nombres[],0,0,1,1))+1,ROW(OFFSET(nombres[],ROWS(nombres[])-1,0,1,1))+1),$O1543:$O1562),3),"")</f>
        <v/>
      </c>
      <c r="ZJ1543" s="42" t="str">
        <f t="array" aca="1" ref="ZJ1543" ca="1">IFERROR(INDEX(nombres[],SMALL(IF(OFFSET(nombres[],0,0,ROWS(nombres[]),1)=ZJ$1490,ROW(OFFSET(nombres[],0,0,ROWS(nombres[]),1))-ROW(OFFSET(nombres[],0,0,1,1))+1,ROW(OFFSET(nombres[],ROWS(nombres[])-1,0,1,1))+1),$O1543:$O1562),3),"")</f>
        <v/>
      </c>
      <c r="ZK1543" s="42" t="str">
        <f t="array" aca="1" ref="ZK1543" ca="1">IFERROR(INDEX(nombres[],SMALL(IF(OFFSET(nombres[],0,0,ROWS(nombres[]),1)=ZK$1490,ROW(OFFSET(nombres[],0,0,ROWS(nombres[]),1))-ROW(OFFSET(nombres[],0,0,1,1))+1,ROW(OFFSET(nombres[],ROWS(nombres[])-1,0,1,1))+1),$O1543:$O1562),3),"")</f>
        <v/>
      </c>
      <c r="ZL1543" s="42" t="str">
        <f t="array" aca="1" ref="ZL1543" ca="1">IFERROR(INDEX(nombres[],SMALL(IF(OFFSET(nombres[],0,0,ROWS(nombres[]),1)=ZL$1490,ROW(OFFSET(nombres[],0,0,ROWS(nombres[]),1))-ROW(OFFSET(nombres[],0,0,1,1))+1,ROW(OFFSET(nombres[],ROWS(nombres[])-1,0,1,1))+1),$O1543:$O1562),3),"")</f>
        <v/>
      </c>
      <c r="ZM1543" s="42" t="str">
        <f t="array" aca="1" ref="ZM1543" ca="1">IFERROR(INDEX(nombres[],SMALL(IF(OFFSET(nombres[],0,0,ROWS(nombres[]),1)=ZM$1490,ROW(OFFSET(nombres[],0,0,ROWS(nombres[]),1))-ROW(OFFSET(nombres[],0,0,1,1))+1,ROW(OFFSET(nombres[],ROWS(nombres[])-1,0,1,1))+1),$O1543:$O1562),3),"")</f>
        <v/>
      </c>
      <c r="ZN1543" s="42" t="str">
        <f t="array" aca="1" ref="ZN1543" ca="1">IFERROR(INDEX(nombres[],SMALL(IF(OFFSET(nombres[],0,0,ROWS(nombres[]),1)=ZN$1490,ROW(OFFSET(nombres[],0,0,ROWS(nombres[]),1))-ROW(OFFSET(nombres[],0,0,1,1))+1,ROW(OFFSET(nombres[],ROWS(nombres[])-1,0,1,1))+1),$O1543:$O1562),3),"")</f>
        <v/>
      </c>
      <c r="ZO1543" s="42" t="str">
        <f t="array" aca="1" ref="ZO1543" ca="1">IFERROR(INDEX(nombres[],SMALL(IF(OFFSET(nombres[],0,0,ROWS(nombres[]),1)=ZO$1490,ROW(OFFSET(nombres[],0,0,ROWS(nombres[]),1))-ROW(OFFSET(nombres[],0,0,1,1))+1,ROW(OFFSET(nombres[],ROWS(nombres[])-1,0,1,1))+1),$O1543:$O1562),3),"")</f>
        <v/>
      </c>
      <c r="ZP1543" s="42" t="str">
        <f t="array" aca="1" ref="ZP1543" ca="1">IFERROR(INDEX(nombres[],SMALL(IF(OFFSET(nombres[],0,0,ROWS(nombres[]),1)=ZP$1490,ROW(OFFSET(nombres[],0,0,ROWS(nombres[]),1))-ROW(OFFSET(nombres[],0,0,1,1))+1,ROW(OFFSET(nombres[],ROWS(nombres[])-1,0,1,1))+1),$O1543:$O1562),3),"")</f>
        <v/>
      </c>
      <c r="ZQ1543" s="42" t="str">
        <f t="array" aca="1" ref="ZQ1543" ca="1">IFERROR(INDEX(nombres[],SMALL(IF(OFFSET(nombres[],0,0,ROWS(nombres[]),1)=ZQ$1490,ROW(OFFSET(nombres[],0,0,ROWS(nombres[]),1))-ROW(OFFSET(nombres[],0,0,1,1))+1,ROW(OFFSET(nombres[],ROWS(nombres[])-1,0,1,1))+1),$O1543:$O1562),3),"")</f>
        <v/>
      </c>
      <c r="ZR1543" s="42" t="str">
        <f t="array" aca="1" ref="ZR1543" ca="1">IFERROR(INDEX(nombres[],SMALL(IF(OFFSET(nombres[],0,0,ROWS(nombres[]),1)=ZR$1490,ROW(OFFSET(nombres[],0,0,ROWS(nombres[]),1))-ROW(OFFSET(nombres[],0,0,1,1))+1,ROW(OFFSET(nombres[],ROWS(nombres[])-1,0,1,1))+1),$O1543:$O1562),3),"")</f>
        <v/>
      </c>
      <c r="ZS1543" s="42" t="str">
        <f t="array" aca="1" ref="ZS1543" ca="1">IFERROR(INDEX(nombres[],SMALL(IF(OFFSET(nombres[],0,0,ROWS(nombres[]),1)=ZS$1490,ROW(OFFSET(nombres[],0,0,ROWS(nombres[]),1))-ROW(OFFSET(nombres[],0,0,1,1))+1,ROW(OFFSET(nombres[],ROWS(nombres[])-1,0,1,1))+1),$O1543:$O1562),3),"")</f>
        <v/>
      </c>
      <c r="ZT1543" s="42" t="str">
        <f t="array" aca="1" ref="ZT1543" ca="1">IFERROR(INDEX(nombres[],SMALL(IF(OFFSET(nombres[],0,0,ROWS(nombres[]),1)=ZT$1490,ROW(OFFSET(nombres[],0,0,ROWS(nombres[]),1))-ROW(OFFSET(nombres[],0,0,1,1))+1,ROW(OFFSET(nombres[],ROWS(nombres[])-1,0,1,1))+1),$O1543:$O1562),3),"")</f>
        <v/>
      </c>
      <c r="ZU1543" s="42" t="str">
        <f t="array" aca="1" ref="ZU1543" ca="1">IFERROR(INDEX(nombres[],SMALL(IF(OFFSET(nombres[],0,0,ROWS(nombres[]),1)=ZU$1490,ROW(OFFSET(nombres[],0,0,ROWS(nombres[]),1))-ROW(OFFSET(nombres[],0,0,1,1))+1,ROW(OFFSET(nombres[],ROWS(nombres[])-1,0,1,1))+1),$O1543:$O1562),3),"")</f>
        <v/>
      </c>
      <c r="ZV1543" s="42" t="str">
        <f t="array" aca="1" ref="ZV1543" ca="1">IFERROR(INDEX(nombres[],SMALL(IF(OFFSET(nombres[],0,0,ROWS(nombres[]),1)=ZV$1490,ROW(OFFSET(nombres[],0,0,ROWS(nombres[]),1))-ROW(OFFSET(nombres[],0,0,1,1))+1,ROW(OFFSET(nombres[],ROWS(nombres[])-1,0,1,1))+1),$O1543:$O1562),3),"")</f>
        <v/>
      </c>
      <c r="ZW1543" s="42" t="str">
        <f t="array" aca="1" ref="ZW1543" ca="1">IFERROR(INDEX(nombres[],SMALL(IF(OFFSET(nombres[],0,0,ROWS(nombres[]),1)=ZW$1490,ROW(OFFSET(nombres[],0,0,ROWS(nombres[]),1))-ROW(OFFSET(nombres[],0,0,1,1))+1,ROW(OFFSET(nombres[],ROWS(nombres[])-1,0,1,1))+1),$O1543:$O1562),3),"")</f>
        <v/>
      </c>
      <c r="ZX1543" s="42" t="str">
        <f t="array" aca="1" ref="ZX1543" ca="1">IFERROR(INDEX(nombres[],SMALL(IF(OFFSET(nombres[],0,0,ROWS(nombres[]),1)=ZX$1490,ROW(OFFSET(nombres[],0,0,ROWS(nombres[]),1))-ROW(OFFSET(nombres[],0,0,1,1))+1,ROW(OFFSET(nombres[],ROWS(nombres[])-1,0,1,1))+1),$O1543:$O1562),3),"")</f>
        <v/>
      </c>
      <c r="ZY1543" s="42" t="str">
        <f t="array" aca="1" ref="ZY1543" ca="1">IFERROR(INDEX(nombres[],SMALL(IF(OFFSET(nombres[],0,0,ROWS(nombres[]),1)=ZY$1490,ROW(OFFSET(nombres[],0,0,ROWS(nombres[]),1))-ROW(OFFSET(nombres[],0,0,1,1))+1,ROW(OFFSET(nombres[],ROWS(nombres[])-1,0,1,1))+1),$O1543:$O1562),3),"")</f>
        <v/>
      </c>
      <c r="ZZ1543" s="42" t="str">
        <f t="array" aca="1" ref="ZZ1543" ca="1">IFERROR(INDEX(nombres[],SMALL(IF(OFFSET(nombres[],0,0,ROWS(nombres[]),1)=ZZ$1490,ROW(OFFSET(nombres[],0,0,ROWS(nombres[]),1))-ROW(OFFSET(nombres[],0,0,1,1))+1,ROW(OFFSET(nombres[],ROWS(nombres[])-1,0,1,1))+1),$O1543:$O1562),3),"")</f>
        <v/>
      </c>
      <c r="AAA1543" s="42" t="str">
        <f t="array" aca="1" ref="AAA1543" ca="1">IFERROR(INDEX(nombres[],SMALL(IF(OFFSET(nombres[],0,0,ROWS(nombres[]),1)=AAA$1490,ROW(OFFSET(nombres[],0,0,ROWS(nombres[]),1))-ROW(OFFSET(nombres[],0,0,1,1))+1,ROW(OFFSET(nombres[],ROWS(nombres[])-1,0,1,1))+1),$O1543:$O1562),3),"")</f>
        <v/>
      </c>
      <c r="AAB1543" s="42" t="str">
        <f t="array" aca="1" ref="AAB1543" ca="1">IFERROR(INDEX(nombres[],SMALL(IF(OFFSET(nombres[],0,0,ROWS(nombres[]),1)=AAB$1490,ROW(OFFSET(nombres[],0,0,ROWS(nombres[]),1))-ROW(OFFSET(nombres[],0,0,1,1))+1,ROW(OFFSET(nombres[],ROWS(nombres[])-1,0,1,1))+1),$O1543:$O1562),3),"")</f>
        <v/>
      </c>
      <c r="AAC1543" s="42" t="str">
        <f t="array" aca="1" ref="AAC1543" ca="1">IFERROR(INDEX(nombres[],SMALL(IF(OFFSET(nombres[],0,0,ROWS(nombres[]),1)=AAC$1490,ROW(OFFSET(nombres[],0,0,ROWS(nombres[]),1))-ROW(OFFSET(nombres[],0,0,1,1))+1,ROW(OFFSET(nombres[],ROWS(nombres[])-1,0,1,1))+1),$O1543:$O1562),3),"")</f>
        <v/>
      </c>
      <c r="AAD1543" s="42" t="str">
        <f t="array" aca="1" ref="AAD1543" ca="1">IFERROR(INDEX(nombres[],SMALL(IF(OFFSET(nombres[],0,0,ROWS(nombres[]),1)=AAD$1490,ROW(OFFSET(nombres[],0,0,ROWS(nombres[]),1))-ROW(OFFSET(nombres[],0,0,1,1))+1,ROW(OFFSET(nombres[],ROWS(nombres[])-1,0,1,1))+1),$O1543:$O1562),3),"")</f>
        <v/>
      </c>
      <c r="AAE1543" s="42" t="str">
        <f t="array" aca="1" ref="AAE1543" ca="1">IFERROR(INDEX(nombres[],SMALL(IF(OFFSET(nombres[],0,0,ROWS(nombres[]),1)=AAE$1490,ROW(OFFSET(nombres[],0,0,ROWS(nombres[]),1))-ROW(OFFSET(nombres[],0,0,1,1))+1,ROW(OFFSET(nombres[],ROWS(nombres[])-1,0,1,1))+1),$O1543:$O1562),3),"")</f>
        <v/>
      </c>
      <c r="AAF1543" s="42" t="str">
        <f t="array" aca="1" ref="AAF1543" ca="1">IFERROR(INDEX(nombres[],SMALL(IF(OFFSET(nombres[],0,0,ROWS(nombres[]),1)=AAF$1490,ROW(OFFSET(nombres[],0,0,ROWS(nombres[]),1))-ROW(OFFSET(nombres[],0,0,1,1))+1,ROW(OFFSET(nombres[],ROWS(nombres[])-1,0,1,1))+1),$O1543:$O1562),3),"")</f>
        <v/>
      </c>
      <c r="AAG1543" s="42" t="str">
        <f t="array" aca="1" ref="AAG1543" ca="1">IFERROR(INDEX(nombres[],SMALL(IF(OFFSET(nombres[],0,0,ROWS(nombres[]),1)=AAG$1490,ROW(OFFSET(nombres[],0,0,ROWS(nombres[]),1))-ROW(OFFSET(nombres[],0,0,1,1))+1,ROW(OFFSET(nombres[],ROWS(nombres[])-1,0,1,1))+1),$O1543:$O1562),3),"")</f>
        <v/>
      </c>
      <c r="AAH1543" s="42" t="str">
        <f t="array" aca="1" ref="AAH1543" ca="1">IFERROR(INDEX(nombres[],SMALL(IF(OFFSET(nombres[],0,0,ROWS(nombres[]),1)=AAH$1490,ROW(OFFSET(nombres[],0,0,ROWS(nombres[]),1))-ROW(OFFSET(nombres[],0,0,1,1))+1,ROW(OFFSET(nombres[],ROWS(nombres[])-1,0,1,1))+1),$O1543:$O1562),3),"")</f>
        <v/>
      </c>
      <c r="AAI1543" s="42" t="str">
        <f t="array" aca="1" ref="AAI1543" ca="1">IFERROR(INDEX(nombres[],SMALL(IF(OFFSET(nombres[],0,0,ROWS(nombres[]),1)=AAI$1490,ROW(OFFSET(nombres[],0,0,ROWS(nombres[]),1))-ROW(OFFSET(nombres[],0,0,1,1))+1,ROW(OFFSET(nombres[],ROWS(nombres[])-1,0,1,1))+1),$O1543:$O1562),3),"")</f>
        <v/>
      </c>
      <c r="AAJ1543" s="42" t="str">
        <f t="array" aca="1" ref="AAJ1543" ca="1">IFERROR(INDEX(nombres[],SMALL(IF(OFFSET(nombres[],0,0,ROWS(nombres[]),1)=AAJ$1490,ROW(OFFSET(nombres[],0,0,ROWS(nombres[]),1))-ROW(OFFSET(nombres[],0,0,1,1))+1,ROW(OFFSET(nombres[],ROWS(nombres[])-1,0,1,1))+1),$O1543:$O1562),3),"")</f>
        <v/>
      </c>
      <c r="AAK1543" s="42" t="str">
        <f t="array" aca="1" ref="AAK1543" ca="1">IFERROR(INDEX(nombres[],SMALL(IF(OFFSET(nombres[],0,0,ROWS(nombres[]),1)=AAK$1490,ROW(OFFSET(nombres[],0,0,ROWS(nombres[]),1))-ROW(OFFSET(nombres[],0,0,1,1))+1,ROW(OFFSET(nombres[],ROWS(nombres[])-1,0,1,1))+1),$O1543:$O1562),3),"")</f>
        <v/>
      </c>
      <c r="AAL1543" s="42" t="str">
        <f t="array" aca="1" ref="AAL1543" ca="1">IFERROR(INDEX(nombres[],SMALL(IF(OFFSET(nombres[],0,0,ROWS(nombres[]),1)=AAL$1490,ROW(OFFSET(nombres[],0,0,ROWS(nombres[]),1))-ROW(OFFSET(nombres[],0,0,1,1))+1,ROW(OFFSET(nombres[],ROWS(nombres[])-1,0,1,1))+1),$O1543:$O1562),3),"")</f>
        <v/>
      </c>
      <c r="AAM1543" s="42" t="str">
        <f t="array" aca="1" ref="AAM1543" ca="1">IFERROR(INDEX(nombres[],SMALL(IF(OFFSET(nombres[],0,0,ROWS(nombres[]),1)=AAM$1490,ROW(OFFSET(nombres[],0,0,ROWS(nombres[]),1))-ROW(OFFSET(nombres[],0,0,1,1))+1,ROW(OFFSET(nombres[],ROWS(nombres[])-1,0,1,1))+1),$O1543:$O1562),3),"")</f>
        <v/>
      </c>
      <c r="AAN1543" s="42" t="str">
        <f t="array" aca="1" ref="AAN1543" ca="1">IFERROR(INDEX(nombres[],SMALL(IF(OFFSET(nombres[],0,0,ROWS(nombres[]),1)=AAN$1490,ROW(OFFSET(nombres[],0,0,ROWS(nombres[]),1))-ROW(OFFSET(nombres[],0,0,1,1))+1,ROW(OFFSET(nombres[],ROWS(nombres[])-1,0,1,1))+1),$O1543:$O1562),3),"")</f>
        <v/>
      </c>
      <c r="AAO1543" s="42" t="str">
        <f t="array" aca="1" ref="AAO1543" ca="1">IFERROR(INDEX(nombres[],SMALL(IF(OFFSET(nombres[],0,0,ROWS(nombres[]),1)=AAO$1490,ROW(OFFSET(nombres[],0,0,ROWS(nombres[]),1))-ROW(OFFSET(nombres[],0,0,1,1))+1,ROW(OFFSET(nombres[],ROWS(nombres[])-1,0,1,1))+1),$O1543:$O1562),3),"")</f>
        <v/>
      </c>
      <c r="AAP1543" s="42" t="str">
        <f t="array" aca="1" ref="AAP1543" ca="1">IFERROR(INDEX(nombres[],SMALL(IF(OFFSET(nombres[],0,0,ROWS(nombres[]),1)=AAP$1490,ROW(OFFSET(nombres[],0,0,ROWS(nombres[]),1))-ROW(OFFSET(nombres[],0,0,1,1))+1,ROW(OFFSET(nombres[],ROWS(nombres[])-1,0,1,1))+1),$O1543:$O1562),3),"")</f>
        <v/>
      </c>
      <c r="AAQ1543" s="42" t="str">
        <f t="array" aca="1" ref="AAQ1543" ca="1">IFERROR(INDEX(nombres[],SMALL(IF(OFFSET(nombres[],0,0,ROWS(nombres[]),1)=AAQ$1490,ROW(OFFSET(nombres[],0,0,ROWS(nombres[]),1))-ROW(OFFSET(nombres[],0,0,1,1))+1,ROW(OFFSET(nombres[],ROWS(nombres[])-1,0,1,1))+1),$O1543:$O1562),3),"")</f>
        <v/>
      </c>
      <c r="AAR1543" s="42" t="str">
        <f t="array" aca="1" ref="AAR1543" ca="1">IFERROR(INDEX(nombres[],SMALL(IF(OFFSET(nombres[],0,0,ROWS(nombres[]),1)=AAR$1490,ROW(OFFSET(nombres[],0,0,ROWS(nombres[]),1))-ROW(OFFSET(nombres[],0,0,1,1))+1,ROW(OFFSET(nombres[],ROWS(nombres[])-1,0,1,1))+1),$O1543:$O1562),3),"")</f>
        <v/>
      </c>
      <c r="AAS1543" s="42" t="str">
        <f t="array" aca="1" ref="AAS1543" ca="1">IFERROR(INDEX(nombres[],SMALL(IF(OFFSET(nombres[],0,0,ROWS(nombres[]),1)=AAS$1490,ROW(OFFSET(nombres[],0,0,ROWS(nombres[]),1))-ROW(OFFSET(nombres[],0,0,1,1))+1,ROW(OFFSET(nombres[],ROWS(nombres[])-1,0,1,1))+1),$O1543:$O1562),3),"")</f>
        <v/>
      </c>
      <c r="AAT1543" s="42" t="str">
        <f t="array" aca="1" ref="AAT1543" ca="1">IFERROR(INDEX(nombres[],SMALL(IF(OFFSET(nombres[],0,0,ROWS(nombres[]),1)=AAT$1490,ROW(OFFSET(nombres[],0,0,ROWS(nombres[]),1))-ROW(OFFSET(nombres[],0,0,1,1))+1,ROW(OFFSET(nombres[],ROWS(nombres[])-1,0,1,1))+1),$O1543:$O1562),3),"")</f>
        <v/>
      </c>
      <c r="AAU1543" s="42" t="str">
        <f t="array" aca="1" ref="AAU1543" ca="1">IFERROR(INDEX(nombres[],SMALL(IF(OFFSET(nombres[],0,0,ROWS(nombres[]),1)=AAU$1490,ROW(OFFSET(nombres[],0,0,ROWS(nombres[]),1))-ROW(OFFSET(nombres[],0,0,1,1))+1,ROW(OFFSET(nombres[],ROWS(nombres[])-1,0,1,1))+1),$O1543:$O1562),3),"")</f>
        <v/>
      </c>
      <c r="AAV1543" s="42" t="str">
        <f t="array" aca="1" ref="AAV1543" ca="1">IFERROR(INDEX(nombres[],SMALL(IF(OFFSET(nombres[],0,0,ROWS(nombres[]),1)=AAV$1490,ROW(OFFSET(nombres[],0,0,ROWS(nombres[]),1))-ROW(OFFSET(nombres[],0,0,1,1))+1,ROW(OFFSET(nombres[],ROWS(nombres[])-1,0,1,1))+1),$O1543:$O1562),3),"")</f>
        <v/>
      </c>
      <c r="AAW1543" s="42" t="str">
        <f t="array" aca="1" ref="AAW1543" ca="1">IFERROR(INDEX(nombres[],SMALL(IF(OFFSET(nombres[],0,0,ROWS(nombres[]),1)=AAW$1490,ROW(OFFSET(nombres[],0,0,ROWS(nombres[]),1))-ROW(OFFSET(nombres[],0,0,1,1))+1,ROW(OFFSET(nombres[],ROWS(nombres[])-1,0,1,1))+1),$O1543:$O1562),3),"")</f>
        <v/>
      </c>
      <c r="AAX1543" s="42" t="str">
        <f t="array" aca="1" ref="AAX1543" ca="1">IFERROR(INDEX(nombres[],SMALL(IF(OFFSET(nombres[],0,0,ROWS(nombres[]),1)=AAX$1490,ROW(OFFSET(nombres[],0,0,ROWS(nombres[]),1))-ROW(OFFSET(nombres[],0,0,1,1))+1,ROW(OFFSET(nombres[],ROWS(nombres[])-1,0,1,1))+1),$O1543:$O1562),3),"")</f>
        <v/>
      </c>
      <c r="AAY1543" s="42" t="str">
        <f t="array" aca="1" ref="AAY1543" ca="1">IFERROR(INDEX(nombres[],SMALL(IF(OFFSET(nombres[],0,0,ROWS(nombres[]),1)=AAY$1490,ROW(OFFSET(nombres[],0,0,ROWS(nombres[]),1))-ROW(OFFSET(nombres[],0,0,1,1))+1,ROW(OFFSET(nombres[],ROWS(nombres[])-1,0,1,1))+1),$O1543:$O1562),3),"")</f>
        <v/>
      </c>
      <c r="AAZ1543" s="42" t="str">
        <f t="array" aca="1" ref="AAZ1543" ca="1">IFERROR(INDEX(nombres[],SMALL(IF(OFFSET(nombres[],0,0,ROWS(nombres[]),1)=AAZ$1490,ROW(OFFSET(nombres[],0,0,ROWS(nombres[]),1))-ROW(OFFSET(nombres[],0,0,1,1))+1,ROW(OFFSET(nombres[],ROWS(nombres[])-1,0,1,1))+1),$O1543:$O1562),3),"")</f>
        <v/>
      </c>
      <c r="ABA1543" s="42" t="str">
        <f t="array" aca="1" ref="ABA1543" ca="1">IFERROR(INDEX(nombres[],SMALL(IF(OFFSET(nombres[],0,0,ROWS(nombres[]),1)=ABA$1490,ROW(OFFSET(nombres[],0,0,ROWS(nombres[]),1))-ROW(OFFSET(nombres[],0,0,1,1))+1,ROW(OFFSET(nombres[],ROWS(nombres[])-1,0,1,1))+1),$O1543:$O1562),3),"")</f>
        <v/>
      </c>
      <c r="ABB1543" s="42" t="str">
        <f t="array" aca="1" ref="ABB1543" ca="1">IFERROR(INDEX(nombres[],SMALL(IF(OFFSET(nombres[],0,0,ROWS(nombres[]),1)=ABB$1490,ROW(OFFSET(nombres[],0,0,ROWS(nombres[]),1))-ROW(OFFSET(nombres[],0,0,1,1))+1,ROW(OFFSET(nombres[],ROWS(nombres[])-1,0,1,1))+1),$O1543:$O1562),3),"")</f>
        <v/>
      </c>
      <c r="ABC1543" s="42" t="str">
        <f t="array" aca="1" ref="ABC1543" ca="1">IFERROR(INDEX(nombres[],SMALL(IF(OFFSET(nombres[],0,0,ROWS(nombres[]),1)=ABC$1490,ROW(OFFSET(nombres[],0,0,ROWS(nombres[]),1))-ROW(OFFSET(nombres[],0,0,1,1))+1,ROW(OFFSET(nombres[],ROWS(nombres[])-1,0,1,1))+1),$O1543:$O1562),3),"")</f>
        <v/>
      </c>
      <c r="ABD1543" s="42" t="str">
        <f t="array" aca="1" ref="ABD1543" ca="1">IFERROR(INDEX(nombres[],SMALL(IF(OFFSET(nombres[],0,0,ROWS(nombres[]),1)=ABD$1490,ROW(OFFSET(nombres[],0,0,ROWS(nombres[]),1))-ROW(OFFSET(nombres[],0,0,1,1))+1,ROW(OFFSET(nombres[],ROWS(nombres[])-1,0,1,1))+1),$O1543:$O1562),3),"")</f>
        <v/>
      </c>
      <c r="ABE1543" s="42" t="str">
        <f t="array" aca="1" ref="ABE1543" ca="1">IFERROR(INDEX(nombres[],SMALL(IF(OFFSET(nombres[],0,0,ROWS(nombres[]),1)=ABE$1490,ROW(OFFSET(nombres[],0,0,ROWS(nombres[]),1))-ROW(OFFSET(nombres[],0,0,1,1))+1,ROW(OFFSET(nombres[],ROWS(nombres[])-1,0,1,1))+1),$O1543:$O1562),3),"")</f>
        <v/>
      </c>
      <c r="ABF1543" s="42" t="str">
        <f t="array" aca="1" ref="ABF1543" ca="1">IFERROR(INDEX(nombres[],SMALL(IF(OFFSET(nombres[],0,0,ROWS(nombres[]),1)=ABF$1490,ROW(OFFSET(nombres[],0,0,ROWS(nombres[]),1))-ROW(OFFSET(nombres[],0,0,1,1))+1,ROW(OFFSET(nombres[],ROWS(nombres[])-1,0,1,1))+1),$O1543:$O1562),3),"")</f>
        <v/>
      </c>
      <c r="ABG1543" s="42" t="str">
        <f t="array" aca="1" ref="ABG1543" ca="1">IFERROR(INDEX(nombres[],SMALL(IF(OFFSET(nombres[],0,0,ROWS(nombres[]),1)=ABG$1490,ROW(OFFSET(nombres[],0,0,ROWS(nombres[]),1))-ROW(OFFSET(nombres[],0,0,1,1))+1,ROW(OFFSET(nombres[],ROWS(nombres[])-1,0,1,1))+1),$O1543:$O1562),3),"")</f>
        <v/>
      </c>
      <c r="ABH1543" s="42" t="str">
        <f t="array" aca="1" ref="ABH1543" ca="1">IFERROR(INDEX(nombres[],SMALL(IF(OFFSET(nombres[],0,0,ROWS(nombres[]),1)=ABH$1490,ROW(OFFSET(nombres[],0,0,ROWS(nombres[]),1))-ROW(OFFSET(nombres[],0,0,1,1))+1,ROW(OFFSET(nombres[],ROWS(nombres[])-1,0,1,1))+1),$O1543:$O1562),3),"")</f>
        <v/>
      </c>
      <c r="ABI1543" s="42" t="str">
        <f t="array" aca="1" ref="ABI1543" ca="1">IFERROR(INDEX(nombres[],SMALL(IF(OFFSET(nombres[],0,0,ROWS(nombres[]),1)=ABI$1490,ROW(OFFSET(nombres[],0,0,ROWS(nombres[]),1))-ROW(OFFSET(nombres[],0,0,1,1))+1,ROW(OFFSET(nombres[],ROWS(nombres[])-1,0,1,1))+1),$O1543:$O1562),3),"")</f>
        <v/>
      </c>
      <c r="ABJ1543" s="42" t="str">
        <f t="array" aca="1" ref="ABJ1543" ca="1">IFERROR(INDEX(nombres[],SMALL(IF(OFFSET(nombres[],0,0,ROWS(nombres[]),1)=ABJ$1490,ROW(OFFSET(nombres[],0,0,ROWS(nombres[]),1))-ROW(OFFSET(nombres[],0,0,1,1))+1,ROW(OFFSET(nombres[],ROWS(nombres[])-1,0,1,1))+1),$O1543:$O1562),3),"")</f>
        <v/>
      </c>
      <c r="ABK1543" s="42" t="str">
        <f t="array" aca="1" ref="ABK1543" ca="1">IFERROR(INDEX(nombres[],SMALL(IF(OFFSET(nombres[],0,0,ROWS(nombres[]),1)=ABK$1490,ROW(OFFSET(nombres[],0,0,ROWS(nombres[]),1))-ROW(OFFSET(nombres[],0,0,1,1))+1,ROW(OFFSET(nombres[],ROWS(nombres[])-1,0,1,1))+1),$O1543:$O1562),3),"")</f>
        <v/>
      </c>
      <c r="ABL1543" s="42" t="str">
        <f t="array" aca="1" ref="ABL1543" ca="1">IFERROR(INDEX(nombres[],SMALL(IF(OFFSET(nombres[],0,0,ROWS(nombres[]),1)=ABL$1490,ROW(OFFSET(nombres[],0,0,ROWS(nombres[]),1))-ROW(OFFSET(nombres[],0,0,1,1))+1,ROW(OFFSET(nombres[],ROWS(nombres[])-1,0,1,1))+1),$O1543:$O1562),3),"")</f>
        <v/>
      </c>
      <c r="ABM1543" s="42" t="str">
        <f t="array" aca="1" ref="ABM1543" ca="1">IFERROR(INDEX(nombres[],SMALL(IF(OFFSET(nombres[],0,0,ROWS(nombres[]),1)=ABM$1490,ROW(OFFSET(nombres[],0,0,ROWS(nombres[]),1))-ROW(OFFSET(nombres[],0,0,1,1))+1,ROW(OFFSET(nombres[],ROWS(nombres[])-1,0,1,1))+1),$O1543:$O1562),3),"")</f>
        <v/>
      </c>
      <c r="ABN1543" s="42" t="str">
        <f t="array" aca="1" ref="ABN1543" ca="1">IFERROR(INDEX(nombres[],SMALL(IF(OFFSET(nombres[],0,0,ROWS(nombres[]),1)=ABN$1490,ROW(OFFSET(nombres[],0,0,ROWS(nombres[]),1))-ROW(OFFSET(nombres[],0,0,1,1))+1,ROW(OFFSET(nombres[],ROWS(nombres[])-1,0,1,1))+1),$O1543:$O1562),3),"")</f>
        <v/>
      </c>
      <c r="ABO1543" s="42" t="str">
        <f t="array" aca="1" ref="ABO1543" ca="1">IFERROR(INDEX(nombres[],SMALL(IF(OFFSET(nombres[],0,0,ROWS(nombres[]),1)=ABO$1490,ROW(OFFSET(nombres[],0,0,ROWS(nombres[]),1))-ROW(OFFSET(nombres[],0,0,1,1))+1,ROW(OFFSET(nombres[],ROWS(nombres[])-1,0,1,1))+1),$O1543:$O1562),3),"")</f>
        <v/>
      </c>
      <c r="ABP1543" s="42" t="str">
        <f t="array" aca="1" ref="ABP1543" ca="1">IFERROR(INDEX(nombres[],SMALL(IF(OFFSET(nombres[],0,0,ROWS(nombres[]),1)=ABP$1490,ROW(OFFSET(nombres[],0,0,ROWS(nombres[]),1))-ROW(OFFSET(nombres[],0,0,1,1))+1,ROW(OFFSET(nombres[],ROWS(nombres[])-1,0,1,1))+1),$O1543:$O1562),3),"")</f>
        <v/>
      </c>
      <c r="ABQ1543" s="42" t="str">
        <f t="array" aca="1" ref="ABQ1543" ca="1">IFERROR(INDEX(nombres[],SMALL(IF(OFFSET(nombres[],0,0,ROWS(nombres[]),1)=ABQ$1490,ROW(OFFSET(nombres[],0,0,ROWS(nombres[]),1))-ROW(OFFSET(nombres[],0,0,1,1))+1,ROW(OFFSET(nombres[],ROWS(nombres[])-1,0,1,1))+1),$O1543:$O1562),3),"")</f>
        <v/>
      </c>
      <c r="ABR1543" s="42" t="str">
        <f t="array" aca="1" ref="ABR1543" ca="1">IFERROR(INDEX(nombres[],SMALL(IF(OFFSET(nombres[],0,0,ROWS(nombres[]),1)=ABR$1490,ROW(OFFSET(nombres[],0,0,ROWS(nombres[]),1))-ROW(OFFSET(nombres[],0,0,1,1))+1,ROW(OFFSET(nombres[],ROWS(nombres[])-1,0,1,1))+1),$O1543:$O1562),3),"")</f>
        <v/>
      </c>
      <c r="ABS1543" s="42" t="str">
        <f t="array" aca="1" ref="ABS1543" ca="1">IFERROR(INDEX(nombres[],SMALL(IF(OFFSET(nombres[],0,0,ROWS(nombres[]),1)=ABS$1490,ROW(OFFSET(nombres[],0,0,ROWS(nombres[]),1))-ROW(OFFSET(nombres[],0,0,1,1))+1,ROW(OFFSET(nombres[],ROWS(nombres[])-1,0,1,1))+1),$O1543:$O1562),3),"")</f>
        <v/>
      </c>
      <c r="ABT1543" s="42" t="str">
        <f t="array" aca="1" ref="ABT1543" ca="1">IFERROR(INDEX(nombres[],SMALL(IF(OFFSET(nombres[],0,0,ROWS(nombres[]),1)=ABT$1490,ROW(OFFSET(nombres[],0,0,ROWS(nombres[]),1))-ROW(OFFSET(nombres[],0,0,1,1))+1,ROW(OFFSET(nombres[],ROWS(nombres[])-1,0,1,1))+1),$O1543:$O1562),3),"")</f>
        <v/>
      </c>
      <c r="ABU1543" s="42" t="str">
        <f t="array" aca="1" ref="ABU1543" ca="1">IFERROR(INDEX(nombres[],SMALL(IF(OFFSET(nombres[],0,0,ROWS(nombres[]),1)=ABU$1490,ROW(OFFSET(nombres[],0,0,ROWS(nombres[]),1))-ROW(OFFSET(nombres[],0,0,1,1))+1,ROW(OFFSET(nombres[],ROWS(nombres[])-1,0,1,1))+1),$O1543:$O1562),3),"")</f>
        <v/>
      </c>
      <c r="ABV1543" s="42" t="str">
        <f t="array" aca="1" ref="ABV1543" ca="1">IFERROR(INDEX(nombres[],SMALL(IF(OFFSET(nombres[],0,0,ROWS(nombres[]),1)=ABV$1490,ROW(OFFSET(nombres[],0,0,ROWS(nombres[]),1))-ROW(OFFSET(nombres[],0,0,1,1))+1,ROW(OFFSET(nombres[],ROWS(nombres[])-1,0,1,1))+1),$O1543:$O1562),3),"")</f>
        <v/>
      </c>
      <c r="ABW1543" s="42" t="str">
        <f t="array" aca="1" ref="ABW1543" ca="1">IFERROR(INDEX(nombres[],SMALL(IF(OFFSET(nombres[],0,0,ROWS(nombres[]),1)=ABW$1490,ROW(OFFSET(nombres[],0,0,ROWS(nombres[]),1))-ROW(OFFSET(nombres[],0,0,1,1))+1,ROW(OFFSET(nombres[],ROWS(nombres[])-1,0,1,1))+1),$O1543:$O1562),3),"")</f>
        <v/>
      </c>
      <c r="ABX1543" s="42" t="str">
        <f t="array" aca="1" ref="ABX1543" ca="1">IFERROR(INDEX(nombres[],SMALL(IF(OFFSET(nombres[],0,0,ROWS(nombres[]),1)=ABX$1490,ROW(OFFSET(nombres[],0,0,ROWS(nombres[]),1))-ROW(OFFSET(nombres[],0,0,1,1))+1,ROW(OFFSET(nombres[],ROWS(nombres[])-1,0,1,1))+1),$O1543:$O1562),3),"")</f>
        <v/>
      </c>
      <c r="ABY1543" s="42" t="str">
        <f t="array" aca="1" ref="ABY1543" ca="1">IFERROR(INDEX(nombres[],SMALL(IF(OFFSET(nombres[],0,0,ROWS(nombres[]),1)=ABY$1490,ROW(OFFSET(nombres[],0,0,ROWS(nombres[]),1))-ROW(OFFSET(nombres[],0,0,1,1))+1,ROW(OFFSET(nombres[],ROWS(nombres[])-1,0,1,1))+1),$O1543:$O1562),3),"")</f>
        <v/>
      </c>
      <c r="ABZ1543" s="42" t="str">
        <f t="array" aca="1" ref="ABZ1543" ca="1">IFERROR(INDEX(nombres[],SMALL(IF(OFFSET(nombres[],0,0,ROWS(nombres[]),1)=ABZ$1490,ROW(OFFSET(nombres[],0,0,ROWS(nombres[]),1))-ROW(OFFSET(nombres[],0,0,1,1))+1,ROW(OFFSET(nombres[],ROWS(nombres[])-1,0,1,1))+1),$O1543:$O1562),3),"")</f>
        <v/>
      </c>
      <c r="ACA1543" s="42" t="str">
        <f t="array" aca="1" ref="ACA1543" ca="1">IFERROR(INDEX(nombres[],SMALL(IF(OFFSET(nombres[],0,0,ROWS(nombres[]),1)=ACA$1490,ROW(OFFSET(nombres[],0,0,ROWS(nombres[]),1))-ROW(OFFSET(nombres[],0,0,1,1))+1,ROW(OFFSET(nombres[],ROWS(nombres[])-1,0,1,1))+1),$O1543:$O1562),3),"")</f>
        <v/>
      </c>
      <c r="ACB1543" s="42" t="str">
        <f t="array" aca="1" ref="ACB1543" ca="1">IFERROR(INDEX(nombres[],SMALL(IF(OFFSET(nombres[],0,0,ROWS(nombres[]),1)=ACB$1490,ROW(OFFSET(nombres[],0,0,ROWS(nombres[]),1))-ROW(OFFSET(nombres[],0,0,1,1))+1,ROW(OFFSET(nombres[],ROWS(nombres[])-1,0,1,1))+1),$O1543:$O1562),3),"")</f>
        <v/>
      </c>
      <c r="ACC1543" s="42" t="str">
        <f t="array" aca="1" ref="ACC1543" ca="1">IFERROR(INDEX(nombres[],SMALL(IF(OFFSET(nombres[],0,0,ROWS(nombres[]),1)=ACC$1490,ROW(OFFSET(nombres[],0,0,ROWS(nombres[]),1))-ROW(OFFSET(nombres[],0,0,1,1))+1,ROW(OFFSET(nombres[],ROWS(nombres[])-1,0,1,1))+1),$O1543:$O1562),3),"")</f>
        <v/>
      </c>
      <c r="ACD1543" s="42" t="str">
        <f t="array" aca="1" ref="ACD1543" ca="1">IFERROR(INDEX(nombres[],SMALL(IF(OFFSET(nombres[],0,0,ROWS(nombres[]),1)=ACD$1490,ROW(OFFSET(nombres[],0,0,ROWS(nombres[]),1))-ROW(OFFSET(nombres[],0,0,1,1))+1,ROW(OFFSET(nombres[],ROWS(nombres[])-1,0,1,1))+1),$O1543:$O1562),3),"")</f>
        <v/>
      </c>
      <c r="ACE1543" s="42" t="str">
        <f t="array" aca="1" ref="ACE1543" ca="1">IFERROR(INDEX(nombres[],SMALL(IF(OFFSET(nombres[],0,0,ROWS(nombres[]),1)=ACE$1490,ROW(OFFSET(nombres[],0,0,ROWS(nombres[]),1))-ROW(OFFSET(nombres[],0,0,1,1))+1,ROW(OFFSET(nombres[],ROWS(nombres[])-1,0,1,1))+1),$O1543:$O1562),3),"")</f>
        <v/>
      </c>
      <c r="ACF1543" s="42" t="str">
        <f t="array" aca="1" ref="ACF1543" ca="1">IFERROR(INDEX(nombres[],SMALL(IF(OFFSET(nombres[],0,0,ROWS(nombres[]),1)=ACF$1490,ROW(OFFSET(nombres[],0,0,ROWS(nombres[]),1))-ROW(OFFSET(nombres[],0,0,1,1))+1,ROW(OFFSET(nombres[],ROWS(nombres[])-1,0,1,1))+1),$O1543:$O1562),3),"")</f>
        <v/>
      </c>
      <c r="ACG1543" s="42" t="str">
        <f t="array" aca="1" ref="ACG1543" ca="1">IFERROR(INDEX(nombres[],SMALL(IF(OFFSET(nombres[],0,0,ROWS(nombres[]),1)=ACG$1490,ROW(OFFSET(nombres[],0,0,ROWS(nombres[]),1))-ROW(OFFSET(nombres[],0,0,1,1))+1,ROW(OFFSET(nombres[],ROWS(nombres[])-1,0,1,1))+1),$O1543:$O1562),3),"")</f>
        <v/>
      </c>
      <c r="ACH1543" s="42" t="str">
        <f t="array" aca="1" ref="ACH1543" ca="1">IFERROR(INDEX(nombres[],SMALL(IF(OFFSET(nombres[],0,0,ROWS(nombres[]),1)=ACH$1490,ROW(OFFSET(nombres[],0,0,ROWS(nombres[]),1))-ROW(OFFSET(nombres[],0,0,1,1))+1,ROW(OFFSET(nombres[],ROWS(nombres[])-1,0,1,1))+1),$O1543:$O1562),3),"")</f>
        <v/>
      </c>
      <c r="ACI1543" s="42" t="str">
        <f t="array" aca="1" ref="ACI1543" ca="1">IFERROR(INDEX(nombres[],SMALL(IF(OFFSET(nombres[],0,0,ROWS(nombres[]),1)=ACI$1490,ROW(OFFSET(nombres[],0,0,ROWS(nombres[]),1))-ROW(OFFSET(nombres[],0,0,1,1))+1,ROW(OFFSET(nombres[],ROWS(nombres[])-1,0,1,1))+1),$O1543:$O1562),3),"")</f>
        <v/>
      </c>
      <c r="ACJ1543" s="42" t="str">
        <f t="array" aca="1" ref="ACJ1543" ca="1">IFERROR(INDEX(nombres[],SMALL(IF(OFFSET(nombres[],0,0,ROWS(nombres[]),1)=ACJ$1490,ROW(OFFSET(nombres[],0,0,ROWS(nombres[]),1))-ROW(OFFSET(nombres[],0,0,1,1))+1,ROW(OFFSET(nombres[],ROWS(nombres[])-1,0,1,1))+1),$O1543:$O1562),3),"")</f>
        <v/>
      </c>
      <c r="ACK1543" s="42" t="str">
        <f t="array" aca="1" ref="ACK1543" ca="1">IFERROR(INDEX(nombres[],SMALL(IF(OFFSET(nombres[],0,0,ROWS(nombres[]),1)=ACK$1490,ROW(OFFSET(nombres[],0,0,ROWS(nombres[]),1))-ROW(OFFSET(nombres[],0,0,1,1))+1,ROW(OFFSET(nombres[],ROWS(nombres[])-1,0,1,1))+1),$O1543:$O1562),3),"")</f>
        <v/>
      </c>
      <c r="ACL1543" s="42" t="str">
        <f t="array" aca="1" ref="ACL1543" ca="1">IFERROR(INDEX(nombres[],SMALL(IF(OFFSET(nombres[],0,0,ROWS(nombres[]),1)=ACL$1490,ROW(OFFSET(nombres[],0,0,ROWS(nombres[]),1))-ROW(OFFSET(nombres[],0,0,1,1))+1,ROW(OFFSET(nombres[],ROWS(nombres[])-1,0,1,1))+1),$O1543:$O1562),3),"")</f>
        <v/>
      </c>
      <c r="ACM1543" s="42" t="str">
        <f t="array" aca="1" ref="ACM1543" ca="1">IFERROR(INDEX(nombres[],SMALL(IF(OFFSET(nombres[],0,0,ROWS(nombres[]),1)=ACM$1490,ROW(OFFSET(nombres[],0,0,ROWS(nombres[]),1))-ROW(OFFSET(nombres[],0,0,1,1))+1,ROW(OFFSET(nombres[],ROWS(nombres[])-1,0,1,1))+1),$O1543:$O1562),3),"")</f>
        <v/>
      </c>
      <c r="ACN1543" s="42" t="str">
        <f t="array" aca="1" ref="ACN1543" ca="1">IFERROR(INDEX(nombres[],SMALL(IF(OFFSET(nombres[],0,0,ROWS(nombres[]),1)=ACN$1490,ROW(OFFSET(nombres[],0,0,ROWS(nombres[]),1))-ROW(OFFSET(nombres[],0,0,1,1))+1,ROW(OFFSET(nombres[],ROWS(nombres[])-1,0,1,1))+1),$O1543:$O1562),3),"")</f>
        <v/>
      </c>
      <c r="ACO1543" s="42" t="str">
        <f t="array" aca="1" ref="ACO1543" ca="1">IFERROR(INDEX(nombres[],SMALL(IF(OFFSET(nombres[],0,0,ROWS(nombres[]),1)=ACO$1490,ROW(OFFSET(nombres[],0,0,ROWS(nombres[]),1))-ROW(OFFSET(nombres[],0,0,1,1))+1,ROW(OFFSET(nombres[],ROWS(nombres[])-1,0,1,1))+1),$O1543:$O1562),3),"")</f>
        <v/>
      </c>
      <c r="ACP1543" s="42" t="str">
        <f t="array" aca="1" ref="ACP1543" ca="1">IFERROR(INDEX(nombres[],SMALL(IF(OFFSET(nombres[],0,0,ROWS(nombres[]),1)=ACP$1490,ROW(OFFSET(nombres[],0,0,ROWS(nombres[]),1))-ROW(OFFSET(nombres[],0,0,1,1))+1,ROW(OFFSET(nombres[],ROWS(nombres[])-1,0,1,1))+1),$O1543:$O1562),3),"")</f>
        <v/>
      </c>
      <c r="ACQ1543" s="42" t="str">
        <f t="array" aca="1" ref="ACQ1543" ca="1">IFERROR(INDEX(nombres[],SMALL(IF(OFFSET(nombres[],0,0,ROWS(nombres[]),1)=ACQ$1490,ROW(OFFSET(nombres[],0,0,ROWS(nombres[]),1))-ROW(OFFSET(nombres[],0,0,1,1))+1,ROW(OFFSET(nombres[],ROWS(nombres[])-1,0,1,1))+1),$O1543:$O1562),3),"")</f>
        <v/>
      </c>
      <c r="ACR1543" s="42" t="str">
        <f t="array" aca="1" ref="ACR1543" ca="1">IFERROR(INDEX(nombres[],SMALL(IF(OFFSET(nombres[],0,0,ROWS(nombres[]),1)=ACR$1490,ROW(OFFSET(nombres[],0,0,ROWS(nombres[]),1))-ROW(OFFSET(nombres[],0,0,1,1))+1,ROW(OFFSET(nombres[],ROWS(nombres[])-1,0,1,1))+1),$O1543:$O1562),3),"")</f>
        <v/>
      </c>
      <c r="ACS1543" s="42" t="str">
        <f t="array" aca="1" ref="ACS1543" ca="1">IFERROR(INDEX(nombres[],SMALL(IF(OFFSET(nombres[],0,0,ROWS(nombres[]),1)=ACS$1490,ROW(OFFSET(nombres[],0,0,ROWS(nombres[]),1))-ROW(OFFSET(nombres[],0,0,1,1))+1,ROW(OFFSET(nombres[],ROWS(nombres[])-1,0,1,1))+1),$O1543:$O1562),3),"")</f>
        <v/>
      </c>
      <c r="ACT1543" s="42" t="str">
        <f t="array" aca="1" ref="ACT1543" ca="1">IFERROR(INDEX(nombres[],SMALL(IF(OFFSET(nombres[],0,0,ROWS(nombres[]),1)=ACT$1490,ROW(OFFSET(nombres[],0,0,ROWS(nombres[]),1))-ROW(OFFSET(nombres[],0,0,1,1))+1,ROW(OFFSET(nombres[],ROWS(nombres[])-1,0,1,1))+1),$O1543:$O1562),3),"")</f>
        <v/>
      </c>
      <c r="ACU1543" s="42" t="str">
        <f t="array" aca="1" ref="ACU1543" ca="1">IFERROR(INDEX(nombres[],SMALL(IF(OFFSET(nombres[],0,0,ROWS(nombres[]),1)=ACU$1490,ROW(OFFSET(nombres[],0,0,ROWS(nombres[]),1))-ROW(OFFSET(nombres[],0,0,1,1))+1,ROW(OFFSET(nombres[],ROWS(nombres[])-1,0,1,1))+1),$O1543:$O1562),3),"")</f>
        <v/>
      </c>
      <c r="ACV1543" s="42" t="str">
        <f t="array" aca="1" ref="ACV1543" ca="1">IFERROR(INDEX(nombres[],SMALL(IF(OFFSET(nombres[],0,0,ROWS(nombres[]),1)=ACV$1490,ROW(OFFSET(nombres[],0,0,ROWS(nombres[]),1))-ROW(OFFSET(nombres[],0,0,1,1))+1,ROW(OFFSET(nombres[],ROWS(nombres[])-1,0,1,1))+1),$O1543:$O1562),3),"")</f>
        <v/>
      </c>
      <c r="ACW1543" s="42" t="str">
        <f t="array" aca="1" ref="ACW1543" ca="1">IFERROR(INDEX(nombres[],SMALL(IF(OFFSET(nombres[],0,0,ROWS(nombres[]),1)=ACW$1490,ROW(OFFSET(nombres[],0,0,ROWS(nombres[]),1))-ROW(OFFSET(nombres[],0,0,1,1))+1,ROW(OFFSET(nombres[],ROWS(nombres[])-1,0,1,1))+1),$O1543:$O1562),3),"")</f>
        <v/>
      </c>
      <c r="ACX1543" s="42" t="str">
        <f t="array" aca="1" ref="ACX1543" ca="1">IFERROR(INDEX(nombres[],SMALL(IF(OFFSET(nombres[],0,0,ROWS(nombres[]),1)=ACX$1490,ROW(OFFSET(nombres[],0,0,ROWS(nombres[]),1))-ROW(OFFSET(nombres[],0,0,1,1))+1,ROW(OFFSET(nombres[],ROWS(nombres[])-1,0,1,1))+1),$O1543:$O1562),3),"")</f>
        <v/>
      </c>
      <c r="ACY1543" s="42" t="str">
        <f t="array" aca="1" ref="ACY1543" ca="1">IFERROR(INDEX(nombres[],SMALL(IF(OFFSET(nombres[],0,0,ROWS(nombres[]),1)=ACY$1490,ROW(OFFSET(nombres[],0,0,ROWS(nombres[]),1))-ROW(OFFSET(nombres[],0,0,1,1))+1,ROW(OFFSET(nombres[],ROWS(nombres[])-1,0,1,1))+1),$O1543:$O1562),3),"")</f>
        <v/>
      </c>
      <c r="ACZ1543" s="42" t="str">
        <f t="array" aca="1" ref="ACZ1543" ca="1">IFERROR(INDEX(nombres[],SMALL(IF(OFFSET(nombres[],0,0,ROWS(nombres[]),1)=ACZ$1490,ROW(OFFSET(nombres[],0,0,ROWS(nombres[]),1))-ROW(OFFSET(nombres[],0,0,1,1))+1,ROW(OFFSET(nombres[],ROWS(nombres[])-1,0,1,1))+1),$O1543:$O1562),3),"")</f>
        <v/>
      </c>
      <c r="ADA1543" s="42" t="str">
        <f t="array" aca="1" ref="ADA1543" ca="1">IFERROR(INDEX(nombres[],SMALL(IF(OFFSET(nombres[],0,0,ROWS(nombres[]),1)=ADA$1490,ROW(OFFSET(nombres[],0,0,ROWS(nombres[]),1))-ROW(OFFSET(nombres[],0,0,1,1))+1,ROW(OFFSET(nombres[],ROWS(nombres[])-1,0,1,1))+1),$O1543:$O1562),3),"")</f>
        <v/>
      </c>
      <c r="ADB1543" s="42" t="str">
        <f t="array" aca="1" ref="ADB1543" ca="1">IFERROR(INDEX(nombres[],SMALL(IF(OFFSET(nombres[],0,0,ROWS(nombres[]),1)=ADB$1490,ROW(OFFSET(nombres[],0,0,ROWS(nombres[]),1))-ROW(OFFSET(nombres[],0,0,1,1))+1,ROW(OFFSET(nombres[],ROWS(nombres[])-1,0,1,1))+1),$O1543:$O1562),3),"")</f>
        <v/>
      </c>
      <c r="ADC1543" s="42" t="str">
        <f t="array" aca="1" ref="ADC1543" ca="1">IFERROR(INDEX(nombres[],SMALL(IF(OFFSET(nombres[],0,0,ROWS(nombres[]),1)=ADC$1490,ROW(OFFSET(nombres[],0,0,ROWS(nombres[]),1))-ROW(OFFSET(nombres[],0,0,1,1))+1,ROW(OFFSET(nombres[],ROWS(nombres[])-1,0,1,1))+1),$O1543:$O1562),3),"")</f>
        <v/>
      </c>
      <c r="ADD1543" s="42" t="str">
        <f t="array" aca="1" ref="ADD1543" ca="1">IFERROR(INDEX(nombres[],SMALL(IF(OFFSET(nombres[],0,0,ROWS(nombres[]),1)=ADD$1490,ROW(OFFSET(nombres[],0,0,ROWS(nombres[]),1))-ROW(OFFSET(nombres[],0,0,1,1))+1,ROW(OFFSET(nombres[],ROWS(nombres[])-1,0,1,1))+1),$O1543:$O1562),3),"")</f>
        <v/>
      </c>
      <c r="ADE1543" s="42" t="str">
        <f t="array" aca="1" ref="ADE1543" ca="1">IFERROR(INDEX(nombres[],SMALL(IF(OFFSET(nombres[],0,0,ROWS(nombres[]),1)=ADE$1490,ROW(OFFSET(nombres[],0,0,ROWS(nombres[]),1))-ROW(OFFSET(nombres[],0,0,1,1))+1,ROW(OFFSET(nombres[],ROWS(nombres[])-1,0,1,1))+1),$O1543:$O1562),3),"")</f>
        <v/>
      </c>
      <c r="ADF1543" s="42" t="str">
        <f t="array" aca="1" ref="ADF1543" ca="1">IFERROR(INDEX(nombres[],SMALL(IF(OFFSET(nombres[],0,0,ROWS(nombres[]),1)=ADF$1490,ROW(OFFSET(nombres[],0,0,ROWS(nombres[]),1))-ROW(OFFSET(nombres[],0,0,1,1))+1,ROW(OFFSET(nombres[],ROWS(nombres[])-1,0,1,1))+1),$O1543:$O1562),3),"")</f>
        <v/>
      </c>
      <c r="ADG1543" s="42" t="str">
        <f t="array" aca="1" ref="ADG1543" ca="1">IFERROR(INDEX(nombres[],SMALL(IF(OFFSET(nombres[],0,0,ROWS(nombres[]),1)=ADG$1490,ROW(OFFSET(nombres[],0,0,ROWS(nombres[]),1))-ROW(OFFSET(nombres[],0,0,1,1))+1,ROW(OFFSET(nombres[],ROWS(nombres[])-1,0,1,1))+1),$O1543:$O1562),3),"")</f>
        <v/>
      </c>
      <c r="ADH1543" s="42" t="str">
        <f t="array" aca="1" ref="ADH1543" ca="1">IFERROR(INDEX(nombres[],SMALL(IF(OFFSET(nombres[],0,0,ROWS(nombres[]),1)=ADH$1490,ROW(OFFSET(nombres[],0,0,ROWS(nombres[]),1))-ROW(OFFSET(nombres[],0,0,1,1))+1,ROW(OFFSET(nombres[],ROWS(nombres[])-1,0,1,1))+1),$O1543:$O1562),3),"")</f>
        <v/>
      </c>
      <c r="ADI1543" s="42" t="str">
        <f t="array" aca="1" ref="ADI1543" ca="1">IFERROR(INDEX(nombres[],SMALL(IF(OFFSET(nombres[],0,0,ROWS(nombres[]),1)=ADI$1490,ROW(OFFSET(nombres[],0,0,ROWS(nombres[]),1))-ROW(OFFSET(nombres[],0,0,1,1))+1,ROW(OFFSET(nombres[],ROWS(nombres[])-1,0,1,1))+1),$O1543:$O1562),3),"")</f>
        <v/>
      </c>
      <c r="ADJ1543" s="42" t="str">
        <f t="array" aca="1" ref="ADJ1543" ca="1">IFERROR(INDEX(nombres[],SMALL(IF(OFFSET(nombres[],0,0,ROWS(nombres[]),1)=ADJ$1490,ROW(OFFSET(nombres[],0,0,ROWS(nombres[]),1))-ROW(OFFSET(nombres[],0,0,1,1))+1,ROW(OFFSET(nombres[],ROWS(nombres[])-1,0,1,1))+1),$O1543:$O1562),3),"")</f>
        <v/>
      </c>
      <c r="ADK1543" s="42" t="str">
        <f t="array" aca="1" ref="ADK1543" ca="1">IFERROR(INDEX(nombres[],SMALL(IF(OFFSET(nombres[],0,0,ROWS(nombres[]),1)=ADK$1490,ROW(OFFSET(nombres[],0,0,ROWS(nombres[]),1))-ROW(OFFSET(nombres[],0,0,1,1))+1,ROW(OFFSET(nombres[],ROWS(nombres[])-1,0,1,1))+1),$O1543:$O1562),3),"")</f>
        <v/>
      </c>
      <c r="ADL1543" s="42" t="str">
        <f t="array" aca="1" ref="ADL1543" ca="1">IFERROR(INDEX(nombres[],SMALL(IF(OFFSET(nombres[],0,0,ROWS(nombres[]),1)=ADL$1490,ROW(OFFSET(nombres[],0,0,ROWS(nombres[]),1))-ROW(OFFSET(nombres[],0,0,1,1))+1,ROW(OFFSET(nombres[],ROWS(nombres[])-1,0,1,1))+1),$O1543:$O1562),3),"")</f>
        <v/>
      </c>
      <c r="ADM1543" s="42" t="str">
        <f t="array" aca="1" ref="ADM1543" ca="1">IFERROR(INDEX(nombres[],SMALL(IF(OFFSET(nombres[],0,0,ROWS(nombres[]),1)=ADM$1490,ROW(OFFSET(nombres[],0,0,ROWS(nombres[]),1))-ROW(OFFSET(nombres[],0,0,1,1))+1,ROW(OFFSET(nombres[],ROWS(nombres[])-1,0,1,1))+1),$O1543:$O1562),3),"")</f>
        <v/>
      </c>
      <c r="ADN1543" s="42" t="str">
        <f t="array" aca="1" ref="ADN1543" ca="1">IFERROR(INDEX(nombres[],SMALL(IF(OFFSET(nombres[],0,0,ROWS(nombres[]),1)=ADN$1490,ROW(OFFSET(nombres[],0,0,ROWS(nombres[]),1))-ROW(OFFSET(nombres[],0,0,1,1))+1,ROW(OFFSET(nombres[],ROWS(nombres[])-1,0,1,1))+1),$O1543:$O1562),3),"")</f>
        <v/>
      </c>
      <c r="ADO1543" s="42" t="str">
        <f t="array" aca="1" ref="ADO1543" ca="1">IFERROR(INDEX(nombres[],SMALL(IF(OFFSET(nombres[],0,0,ROWS(nombres[]),1)=ADO$1490,ROW(OFFSET(nombres[],0,0,ROWS(nombres[]),1))-ROW(OFFSET(nombres[],0,0,1,1))+1,ROW(OFFSET(nombres[],ROWS(nombres[])-1,0,1,1))+1),$O1543:$O1562),3),"")</f>
        <v/>
      </c>
      <c r="ADP1543" s="42" t="str">
        <f t="array" aca="1" ref="ADP1543" ca="1">IFERROR(INDEX(nombres[],SMALL(IF(OFFSET(nombres[],0,0,ROWS(nombres[]),1)=ADP$1490,ROW(OFFSET(nombres[],0,0,ROWS(nombres[]),1))-ROW(OFFSET(nombres[],0,0,1,1))+1,ROW(OFFSET(nombres[],ROWS(nombres[])-1,0,1,1))+1),$O1543:$O1562),3),"")</f>
        <v/>
      </c>
      <c r="ADQ1543" s="42" t="str">
        <f t="array" aca="1" ref="ADQ1543" ca="1">IFERROR(INDEX(nombres[],SMALL(IF(OFFSET(nombres[],0,0,ROWS(nombres[]),1)=ADQ$1490,ROW(OFFSET(nombres[],0,0,ROWS(nombres[]),1))-ROW(OFFSET(nombres[],0,0,1,1))+1,ROW(OFFSET(nombres[],ROWS(nombres[])-1,0,1,1))+1),$O1543:$O1562),3),"")</f>
        <v/>
      </c>
      <c r="ADR1543" s="42" t="str">
        <f t="array" aca="1" ref="ADR1543" ca="1">IFERROR(INDEX(nombres[],SMALL(IF(OFFSET(nombres[],0,0,ROWS(nombres[]),1)=ADR$1490,ROW(OFFSET(nombres[],0,0,ROWS(nombres[]),1))-ROW(OFFSET(nombres[],0,0,1,1))+1,ROW(OFFSET(nombres[],ROWS(nombres[])-1,0,1,1))+1),$O1543:$O1562),3),"")</f>
        <v/>
      </c>
      <c r="ADS1543" s="42" t="str">
        <f t="array" aca="1" ref="ADS1543" ca="1">IFERROR(INDEX(nombres[],SMALL(IF(OFFSET(nombres[],0,0,ROWS(nombres[]),1)=ADS$1490,ROW(OFFSET(nombres[],0,0,ROWS(nombres[]),1))-ROW(OFFSET(nombres[],0,0,1,1))+1,ROW(OFFSET(nombres[],ROWS(nombres[])-1,0,1,1))+1),$O1543:$O1562),3),"")</f>
        <v/>
      </c>
      <c r="ADT1543" s="42" t="str">
        <f t="array" aca="1" ref="ADT1543" ca="1">IFERROR(INDEX(nombres[],SMALL(IF(OFFSET(nombres[],0,0,ROWS(nombres[]),1)=ADT$1490,ROW(OFFSET(nombres[],0,0,ROWS(nombres[]),1))-ROW(OFFSET(nombres[],0,0,1,1))+1,ROW(OFFSET(nombres[],ROWS(nombres[])-1,0,1,1))+1),$O1543:$O1562),3),"")</f>
        <v/>
      </c>
      <c r="ADU1543" s="42" t="str">
        <f t="array" aca="1" ref="ADU1543" ca="1">IFERROR(INDEX(nombres[],SMALL(IF(OFFSET(nombres[],0,0,ROWS(nombres[]),1)=ADU$1490,ROW(OFFSET(nombres[],0,0,ROWS(nombres[]),1))-ROW(OFFSET(nombres[],0,0,1,1))+1,ROW(OFFSET(nombres[],ROWS(nombres[])-1,0,1,1))+1),$O1543:$O1562),3),"")</f>
        <v/>
      </c>
      <c r="ADV1543" s="42" t="str">
        <f t="array" aca="1" ref="ADV1543" ca="1">IFERROR(INDEX(nombres[],SMALL(IF(OFFSET(nombres[],0,0,ROWS(nombres[]),1)=ADV$1490,ROW(OFFSET(nombres[],0,0,ROWS(nombres[]),1))-ROW(OFFSET(nombres[],0,0,1,1))+1,ROW(OFFSET(nombres[],ROWS(nombres[])-1,0,1,1))+1),$O1543:$O1562),3),"")</f>
        <v/>
      </c>
      <c r="ADW1543" s="42" t="str">
        <f t="array" aca="1" ref="ADW1543" ca="1">IFERROR(INDEX(nombres[],SMALL(IF(OFFSET(nombres[],0,0,ROWS(nombres[]),1)=ADW$1490,ROW(OFFSET(nombres[],0,0,ROWS(nombres[]),1))-ROW(OFFSET(nombres[],0,0,1,1))+1,ROW(OFFSET(nombres[],ROWS(nombres[])-1,0,1,1))+1),$O1543:$O1562),3),"")</f>
        <v/>
      </c>
      <c r="ADX1543" s="42" t="str">
        <f t="array" aca="1" ref="ADX1543" ca="1">IFERROR(INDEX(nombres[],SMALL(IF(OFFSET(nombres[],0,0,ROWS(nombres[]),1)=ADX$1490,ROW(OFFSET(nombres[],0,0,ROWS(nombres[]),1))-ROW(OFFSET(nombres[],0,0,1,1))+1,ROW(OFFSET(nombres[],ROWS(nombres[])-1,0,1,1))+1),$O1543:$O1562),3),"")</f>
        <v/>
      </c>
      <c r="ADY1543" s="42" t="str">
        <f t="array" aca="1" ref="ADY1543" ca="1">IFERROR(INDEX(nombres[],SMALL(IF(OFFSET(nombres[],0,0,ROWS(nombres[]),1)=ADY$1490,ROW(OFFSET(nombres[],0,0,ROWS(nombres[]),1))-ROW(OFFSET(nombres[],0,0,1,1))+1,ROW(OFFSET(nombres[],ROWS(nombres[])-1,0,1,1))+1),$O1543:$O1562),3),"")</f>
        <v/>
      </c>
      <c r="ADZ1543" s="42" t="str">
        <f t="array" aca="1" ref="ADZ1543" ca="1">IFERROR(INDEX(nombres[],SMALL(IF(OFFSET(nombres[],0,0,ROWS(nombres[]),1)=ADZ$1490,ROW(OFFSET(nombres[],0,0,ROWS(nombres[]),1))-ROW(OFFSET(nombres[],0,0,1,1))+1,ROW(OFFSET(nombres[],ROWS(nombres[])-1,0,1,1))+1),$O1543:$O1562),3),"")</f>
        <v/>
      </c>
      <c r="AEA1543" s="42" t="str">
        <f t="array" aca="1" ref="AEA1543" ca="1">IFERROR(INDEX(nombres[],SMALL(IF(OFFSET(nombres[],0,0,ROWS(nombres[]),1)=AEA$1490,ROW(OFFSET(nombres[],0,0,ROWS(nombres[]),1))-ROW(OFFSET(nombres[],0,0,1,1))+1,ROW(OFFSET(nombres[],ROWS(nombres[])-1,0,1,1))+1),$O1543:$O1562),3),"")</f>
        <v/>
      </c>
      <c r="AEB1543" s="42" t="str">
        <f t="array" aca="1" ref="AEB1543" ca="1">IFERROR(INDEX(nombres[],SMALL(IF(OFFSET(nombres[],0,0,ROWS(nombres[]),1)=AEB$1490,ROW(OFFSET(nombres[],0,0,ROWS(nombres[]),1))-ROW(OFFSET(nombres[],0,0,1,1))+1,ROW(OFFSET(nombres[],ROWS(nombres[])-1,0,1,1))+1),$O1543:$O1562),3),"")</f>
        <v/>
      </c>
      <c r="AEC1543" s="42" t="str">
        <f t="array" aca="1" ref="AEC1543" ca="1">IFERROR(INDEX(nombres[],SMALL(IF(OFFSET(nombres[],0,0,ROWS(nombres[]),1)=AEC$1490,ROW(OFFSET(nombres[],0,0,ROWS(nombres[]),1))-ROW(OFFSET(nombres[],0,0,1,1))+1,ROW(OFFSET(nombres[],ROWS(nombres[])-1,0,1,1))+1),$O1543:$O1562),3),"")</f>
        <v/>
      </c>
      <c r="AED1543" s="42" t="str">
        <f t="array" aca="1" ref="AED1543" ca="1">IFERROR(INDEX(nombres[],SMALL(IF(OFFSET(nombres[],0,0,ROWS(nombres[]),1)=AED$1490,ROW(OFFSET(nombres[],0,0,ROWS(nombres[]),1))-ROW(OFFSET(nombres[],0,0,1,1))+1,ROW(OFFSET(nombres[],ROWS(nombres[])-1,0,1,1))+1),$O1543:$O1562),3),"")</f>
        <v/>
      </c>
      <c r="AEE1543" s="42" t="str">
        <f t="array" aca="1" ref="AEE1543" ca="1">IFERROR(INDEX(nombres[],SMALL(IF(OFFSET(nombres[],0,0,ROWS(nombres[]),1)=AEE$1490,ROW(OFFSET(nombres[],0,0,ROWS(nombres[]),1))-ROW(OFFSET(nombres[],0,0,1,1))+1,ROW(OFFSET(nombres[],ROWS(nombres[])-1,0,1,1))+1),$O1543:$O1562),3),"")</f>
        <v/>
      </c>
      <c r="AEF1543" s="42" t="str">
        <f t="array" aca="1" ref="AEF1543" ca="1">IFERROR(INDEX(nombres[],SMALL(IF(OFFSET(nombres[],0,0,ROWS(nombres[]),1)=AEF$1490,ROW(OFFSET(nombres[],0,0,ROWS(nombres[]),1))-ROW(OFFSET(nombres[],0,0,1,1))+1,ROW(OFFSET(nombres[],ROWS(nombres[])-1,0,1,1))+1),$O1543:$O1562),3),"")</f>
        <v/>
      </c>
      <c r="AEG1543" s="42" t="str">
        <f t="array" aca="1" ref="AEG1543" ca="1">IFERROR(INDEX(nombres[],SMALL(IF(OFFSET(nombres[],0,0,ROWS(nombres[]),1)=AEG$1490,ROW(OFFSET(nombres[],0,0,ROWS(nombres[]),1))-ROW(OFFSET(nombres[],0,0,1,1))+1,ROW(OFFSET(nombres[],ROWS(nombres[])-1,0,1,1))+1),$O1543:$O1562),3),"")</f>
        <v/>
      </c>
      <c r="AEH1543" s="42" t="str">
        <f t="array" aca="1" ref="AEH1543" ca="1">IFERROR(INDEX(nombres[],SMALL(IF(OFFSET(nombres[],0,0,ROWS(nombres[]),1)=AEH$1490,ROW(OFFSET(nombres[],0,0,ROWS(nombres[]),1))-ROW(OFFSET(nombres[],0,0,1,1))+1,ROW(OFFSET(nombres[],ROWS(nombres[])-1,0,1,1))+1),$O1543:$O1562),3),"")</f>
        <v/>
      </c>
      <c r="AEI1543" s="42" t="str">
        <f t="array" aca="1" ref="AEI1543" ca="1">IFERROR(INDEX(nombres[],SMALL(IF(OFFSET(nombres[],0,0,ROWS(nombres[]),1)=AEI$1490,ROW(OFFSET(nombres[],0,0,ROWS(nombres[]),1))-ROW(OFFSET(nombres[],0,0,1,1))+1,ROW(OFFSET(nombres[],ROWS(nombres[])-1,0,1,1))+1),$O1543:$O1562),3),"")</f>
        <v/>
      </c>
      <c r="AEJ1543" s="42" t="str">
        <f t="array" aca="1" ref="AEJ1543" ca="1">IFERROR(INDEX(nombres[],SMALL(IF(OFFSET(nombres[],0,0,ROWS(nombres[]),1)=AEJ$1490,ROW(OFFSET(nombres[],0,0,ROWS(nombres[]),1))-ROW(OFFSET(nombres[],0,0,1,1))+1,ROW(OFFSET(nombres[],ROWS(nombres[])-1,0,1,1))+1),$O1543:$O1562),3),"")</f>
        <v/>
      </c>
      <c r="AEK1543" s="42" t="str">
        <f t="array" aca="1" ref="AEK1543" ca="1">IFERROR(INDEX(nombres[],SMALL(IF(OFFSET(nombres[],0,0,ROWS(nombres[]),1)=AEK$1490,ROW(OFFSET(nombres[],0,0,ROWS(nombres[]),1))-ROW(OFFSET(nombres[],0,0,1,1))+1,ROW(OFFSET(nombres[],ROWS(nombres[])-1,0,1,1))+1),$O1543:$O1562),3),"")</f>
        <v/>
      </c>
      <c r="AEL1543" s="42" t="str">
        <f t="array" aca="1" ref="AEL1543" ca="1">IFERROR(INDEX(nombres[],SMALL(IF(OFFSET(nombres[],0,0,ROWS(nombres[]),1)=AEL$1490,ROW(OFFSET(nombres[],0,0,ROWS(nombres[]),1))-ROW(OFFSET(nombres[],0,0,1,1))+1,ROW(OFFSET(nombres[],ROWS(nombres[])-1,0,1,1))+1),$O1543:$O1562),3),"")</f>
        <v/>
      </c>
      <c r="AEM1543" s="42" t="str">
        <f t="array" aca="1" ref="AEM1543" ca="1">IFERROR(INDEX(nombres[],SMALL(IF(OFFSET(nombres[],0,0,ROWS(nombres[]),1)=AEM$1490,ROW(OFFSET(nombres[],0,0,ROWS(nombres[]),1))-ROW(OFFSET(nombres[],0,0,1,1))+1,ROW(OFFSET(nombres[],ROWS(nombres[])-1,0,1,1))+1),$O1543:$O1562),3),"")</f>
        <v/>
      </c>
      <c r="AEN1543" s="42" t="str">
        <f t="array" aca="1" ref="AEN1543" ca="1">IFERROR(INDEX(nombres[],SMALL(IF(OFFSET(nombres[],0,0,ROWS(nombres[]),1)=AEN$1490,ROW(OFFSET(nombres[],0,0,ROWS(nombres[]),1))-ROW(OFFSET(nombres[],0,0,1,1))+1,ROW(OFFSET(nombres[],ROWS(nombres[])-1,0,1,1))+1),$O1543:$O1562),3),"")</f>
        <v/>
      </c>
      <c r="AEO1543" s="42" t="str">
        <f t="array" aca="1" ref="AEO1543" ca="1">IFERROR(INDEX(nombres[],SMALL(IF(OFFSET(nombres[],0,0,ROWS(nombres[]),1)=AEO$1490,ROW(OFFSET(nombres[],0,0,ROWS(nombres[]),1))-ROW(OFFSET(nombres[],0,0,1,1))+1,ROW(OFFSET(nombres[],ROWS(nombres[])-1,0,1,1))+1),$O1543:$O1562),3),"")</f>
        <v/>
      </c>
      <c r="AEP1543" s="42" t="str">
        <f t="array" aca="1" ref="AEP1543" ca="1">IFERROR(INDEX(nombres[],SMALL(IF(OFFSET(nombres[],0,0,ROWS(nombres[]),1)=AEP$1490,ROW(OFFSET(nombres[],0,0,ROWS(nombres[]),1))-ROW(OFFSET(nombres[],0,0,1,1))+1,ROW(OFFSET(nombres[],ROWS(nombres[])-1,0,1,1))+1),$O1543:$O1562),3),"")</f>
        <v/>
      </c>
      <c r="AEQ1543" s="42" t="str">
        <f t="array" aca="1" ref="AEQ1543" ca="1">IFERROR(INDEX(nombres[],SMALL(IF(OFFSET(nombres[],0,0,ROWS(nombres[]),1)=AEQ$1490,ROW(OFFSET(nombres[],0,0,ROWS(nombres[]),1))-ROW(OFFSET(nombres[],0,0,1,1))+1,ROW(OFFSET(nombres[],ROWS(nombres[])-1,0,1,1))+1),$O1543:$O1562),3),"")</f>
        <v/>
      </c>
      <c r="AER1543" s="42" t="str">
        <f t="array" aca="1" ref="AER1543" ca="1">IFERROR(INDEX(nombres[],SMALL(IF(OFFSET(nombres[],0,0,ROWS(nombres[]),1)=AER$1490,ROW(OFFSET(nombres[],0,0,ROWS(nombres[]),1))-ROW(OFFSET(nombres[],0,0,1,1))+1,ROW(OFFSET(nombres[],ROWS(nombres[])-1,0,1,1))+1),$O1543:$O1562),3),"")</f>
        <v/>
      </c>
      <c r="AES1543" s="42" t="str">
        <f t="array" aca="1" ref="AES1543" ca="1">IFERROR(INDEX(nombres[],SMALL(IF(OFFSET(nombres[],0,0,ROWS(nombres[]),1)=AES$1490,ROW(OFFSET(nombres[],0,0,ROWS(nombres[]),1))-ROW(OFFSET(nombres[],0,0,1,1))+1,ROW(OFFSET(nombres[],ROWS(nombres[])-1,0,1,1))+1),$O1543:$O1562),3),"")</f>
        <v/>
      </c>
      <c r="AET1543" s="42" t="str">
        <f t="array" aca="1" ref="AET1543" ca="1">IFERROR(INDEX(nombres[],SMALL(IF(OFFSET(nombres[],0,0,ROWS(nombres[]),1)=AET$1490,ROW(OFFSET(nombres[],0,0,ROWS(nombres[]),1))-ROW(OFFSET(nombres[],0,0,1,1))+1,ROW(OFFSET(nombres[],ROWS(nombres[])-1,0,1,1))+1),$O1543:$O1562),3),"")</f>
        <v/>
      </c>
      <c r="AEU1543" s="42" t="str">
        <f t="array" aca="1" ref="AEU1543" ca="1">IFERROR(INDEX(nombres[],SMALL(IF(OFFSET(nombres[],0,0,ROWS(nombres[]),1)=AEU$1490,ROW(OFFSET(nombres[],0,0,ROWS(nombres[]),1))-ROW(OFFSET(nombres[],0,0,1,1))+1,ROW(OFFSET(nombres[],ROWS(nombres[])-1,0,1,1))+1),$O1543:$O1562),3),"")</f>
        <v/>
      </c>
      <c r="AEV1543" s="42" t="str">
        <f t="array" aca="1" ref="AEV1543" ca="1">IFERROR(INDEX(nombres[],SMALL(IF(OFFSET(nombres[],0,0,ROWS(nombres[]),1)=AEV$1490,ROW(OFFSET(nombres[],0,0,ROWS(nombres[]),1))-ROW(OFFSET(nombres[],0,0,1,1))+1,ROW(OFFSET(nombres[],ROWS(nombres[])-1,0,1,1))+1),$O1543:$O1562),3),"")</f>
        <v/>
      </c>
      <c r="AEW1543" s="42" t="str">
        <f t="array" aca="1" ref="AEW1543" ca="1">IFERROR(INDEX(nombres[],SMALL(IF(OFFSET(nombres[],0,0,ROWS(nombres[]),1)=AEW$1490,ROW(OFFSET(nombres[],0,0,ROWS(nombres[]),1))-ROW(OFFSET(nombres[],0,0,1,1))+1,ROW(OFFSET(nombres[],ROWS(nombres[])-1,0,1,1))+1),$O1543:$O1562),3),"")</f>
        <v/>
      </c>
      <c r="AEX1543" s="42" t="str">
        <f t="array" aca="1" ref="AEX1543" ca="1">IFERROR(INDEX(nombres[],SMALL(IF(OFFSET(nombres[],0,0,ROWS(nombres[]),1)=AEX$1490,ROW(OFFSET(nombres[],0,0,ROWS(nombres[]),1))-ROW(OFFSET(nombres[],0,0,1,1))+1,ROW(OFFSET(nombres[],ROWS(nombres[])-1,0,1,1))+1),$O1543:$O1562),3),"")</f>
        <v/>
      </c>
      <c r="AEY1543" s="42" t="str">
        <f t="array" aca="1" ref="AEY1543" ca="1">IFERROR(INDEX(nombres[],SMALL(IF(OFFSET(nombres[],0,0,ROWS(nombres[]),1)=AEY$1490,ROW(OFFSET(nombres[],0,0,ROWS(nombres[]),1))-ROW(OFFSET(nombres[],0,0,1,1))+1,ROW(OFFSET(nombres[],ROWS(nombres[])-1,0,1,1))+1),$O1543:$O1562),3),"")</f>
        <v/>
      </c>
      <c r="AEZ1543" s="42" t="str">
        <f t="array" aca="1" ref="AEZ1543" ca="1">IFERROR(INDEX(nombres[],SMALL(IF(OFFSET(nombres[],0,0,ROWS(nombres[]),1)=AEZ$1490,ROW(OFFSET(nombres[],0,0,ROWS(nombres[]),1))-ROW(OFFSET(nombres[],0,0,1,1))+1,ROW(OFFSET(nombres[],ROWS(nombres[])-1,0,1,1))+1),$O1543:$O1562),3),"")</f>
        <v/>
      </c>
      <c r="AFA1543" s="42" t="str">
        <f t="array" aca="1" ref="AFA1543" ca="1">IFERROR(INDEX(nombres[],SMALL(IF(OFFSET(nombres[],0,0,ROWS(nombres[]),1)=AFA$1490,ROW(OFFSET(nombres[],0,0,ROWS(nombres[]),1))-ROW(OFFSET(nombres[],0,0,1,1))+1,ROW(OFFSET(nombres[],ROWS(nombres[])-1,0,1,1))+1),$O1543:$O1562),3),"")</f>
        <v/>
      </c>
      <c r="AFB1543" s="42" t="str">
        <f t="array" aca="1" ref="AFB1543" ca="1">IFERROR(INDEX(nombres[],SMALL(IF(OFFSET(nombres[],0,0,ROWS(nombres[]),1)=AFB$1490,ROW(OFFSET(nombres[],0,0,ROWS(nombres[]),1))-ROW(OFFSET(nombres[],0,0,1,1))+1,ROW(OFFSET(nombres[],ROWS(nombres[])-1,0,1,1))+1),$O1543:$O1562),3),"")</f>
        <v/>
      </c>
      <c r="AFC1543" s="42" t="str">
        <f t="array" aca="1" ref="AFC1543" ca="1">IFERROR(INDEX(nombres[],SMALL(IF(OFFSET(nombres[],0,0,ROWS(nombres[]),1)=AFC$1490,ROW(OFFSET(nombres[],0,0,ROWS(nombres[]),1))-ROW(OFFSET(nombres[],0,0,1,1))+1,ROW(OFFSET(nombres[],ROWS(nombres[])-1,0,1,1))+1),$O1543:$O1562),3),"")</f>
        <v/>
      </c>
      <c r="AFD1543" s="42" t="str">
        <f t="array" aca="1" ref="AFD1543" ca="1">IFERROR(INDEX(nombres[],SMALL(IF(OFFSET(nombres[],0,0,ROWS(nombres[]),1)=AFD$1490,ROW(OFFSET(nombres[],0,0,ROWS(nombres[]),1))-ROW(OFFSET(nombres[],0,0,1,1))+1,ROW(OFFSET(nombres[],ROWS(nombres[])-1,0,1,1))+1),$O1543:$O1562),3),"")</f>
        <v/>
      </c>
      <c r="AFE1543" s="42" t="str">
        <f t="array" aca="1" ref="AFE1543" ca="1">IFERROR(INDEX(nombres[],SMALL(IF(OFFSET(nombres[],0,0,ROWS(nombres[]),1)=AFE$1490,ROW(OFFSET(nombres[],0,0,ROWS(nombres[]),1))-ROW(OFFSET(nombres[],0,0,1,1))+1,ROW(OFFSET(nombres[],ROWS(nombres[])-1,0,1,1))+1),$O1543:$O1562),3),"")</f>
        <v/>
      </c>
      <c r="AFF1543" s="42" t="str">
        <f t="array" aca="1" ref="AFF1543" ca="1">IFERROR(INDEX(nombres[],SMALL(IF(OFFSET(nombres[],0,0,ROWS(nombres[]),1)=AFF$1490,ROW(OFFSET(nombres[],0,0,ROWS(nombres[]),1))-ROW(OFFSET(nombres[],0,0,1,1))+1,ROW(OFFSET(nombres[],ROWS(nombres[])-1,0,1,1))+1),$O1543:$O1562),3),"")</f>
        <v/>
      </c>
      <c r="AFG1543" s="42" t="str">
        <f t="array" aca="1" ref="AFG1543" ca="1">IFERROR(INDEX(nombres[],SMALL(IF(OFFSET(nombres[],0,0,ROWS(nombres[]),1)=AFG$1490,ROW(OFFSET(nombres[],0,0,ROWS(nombres[]),1))-ROW(OFFSET(nombres[],0,0,1,1))+1,ROW(OFFSET(nombres[],ROWS(nombres[])-1,0,1,1))+1),$O1543:$O1562),3),"")</f>
        <v/>
      </c>
      <c r="AFH1543" s="42" t="str">
        <f t="array" aca="1" ref="AFH1543" ca="1">IFERROR(INDEX(nombres[],SMALL(IF(OFFSET(nombres[],0,0,ROWS(nombres[]),1)=AFH$1490,ROW(OFFSET(nombres[],0,0,ROWS(nombres[]),1))-ROW(OFFSET(nombres[],0,0,1,1))+1,ROW(OFFSET(nombres[],ROWS(nombres[])-1,0,1,1))+1),$O1543:$O1562),3),"")</f>
        <v/>
      </c>
      <c r="AFI1543" s="42" t="str">
        <f t="array" aca="1" ref="AFI1543" ca="1">IFERROR(INDEX(nombres[],SMALL(IF(OFFSET(nombres[],0,0,ROWS(nombres[]),1)=AFI$1490,ROW(OFFSET(nombres[],0,0,ROWS(nombres[]),1))-ROW(OFFSET(nombres[],0,0,1,1))+1,ROW(OFFSET(nombres[],ROWS(nombres[])-1,0,1,1))+1),$O1543:$O1562),3),"")</f>
        <v/>
      </c>
      <c r="AFJ1543" s="42" t="str">
        <f t="array" aca="1" ref="AFJ1543" ca="1">IFERROR(INDEX(nombres[],SMALL(IF(OFFSET(nombres[],0,0,ROWS(nombres[]),1)=AFJ$1490,ROW(OFFSET(nombres[],0,0,ROWS(nombres[]),1))-ROW(OFFSET(nombres[],0,0,1,1))+1,ROW(OFFSET(nombres[],ROWS(nombres[])-1,0,1,1))+1),$O1543:$O1562),3),"")</f>
        <v/>
      </c>
      <c r="AFK1543" s="42" t="str">
        <f t="array" aca="1" ref="AFK1543" ca="1">IFERROR(INDEX(nombres[],SMALL(IF(OFFSET(nombres[],0,0,ROWS(nombres[]),1)=AFK$1490,ROW(OFFSET(nombres[],0,0,ROWS(nombres[]),1))-ROW(OFFSET(nombres[],0,0,1,1))+1,ROW(OFFSET(nombres[],ROWS(nombres[])-1,0,1,1))+1),$O1543:$O1562),3),"")</f>
        <v/>
      </c>
      <c r="AFL1543" s="42" t="str">
        <f t="array" aca="1" ref="AFL1543" ca="1">IFERROR(INDEX(nombres[],SMALL(IF(OFFSET(nombres[],0,0,ROWS(nombres[]),1)=AFL$1490,ROW(OFFSET(nombres[],0,0,ROWS(nombres[]),1))-ROW(OFFSET(nombres[],0,0,1,1))+1,ROW(OFFSET(nombres[],ROWS(nombres[])-1,0,1,1))+1),$O1543:$O1562),3),"")</f>
        <v/>
      </c>
      <c r="AFM1543" s="42" t="str">
        <f t="array" aca="1" ref="AFM1543" ca="1">IFERROR(INDEX(nombres[],SMALL(IF(OFFSET(nombres[],0,0,ROWS(nombres[]),1)=AFM$1490,ROW(OFFSET(nombres[],0,0,ROWS(nombres[]),1))-ROW(OFFSET(nombres[],0,0,1,1))+1,ROW(OFFSET(nombres[],ROWS(nombres[])-1,0,1,1))+1),$O1543:$O1562),3),"")</f>
        <v/>
      </c>
      <c r="AFN1543" s="42" t="str">
        <f t="array" aca="1" ref="AFN1543" ca="1">IFERROR(INDEX(nombres[],SMALL(IF(OFFSET(nombres[],0,0,ROWS(nombres[]),1)=AFN$1490,ROW(OFFSET(nombres[],0,0,ROWS(nombres[]),1))-ROW(OFFSET(nombres[],0,0,1,1))+1,ROW(OFFSET(nombres[],ROWS(nombres[])-1,0,1,1))+1),$O1543:$O1562),3),"")</f>
        <v/>
      </c>
      <c r="AFO1543" s="42" t="str">
        <f t="array" aca="1" ref="AFO1543" ca="1">IFERROR(INDEX(nombres[],SMALL(IF(OFFSET(nombres[],0,0,ROWS(nombres[]),1)=AFO$1490,ROW(OFFSET(nombres[],0,0,ROWS(nombres[]),1))-ROW(OFFSET(nombres[],0,0,1,1))+1,ROW(OFFSET(nombres[],ROWS(nombres[])-1,0,1,1))+1),$O1543:$O1562),3),"")</f>
        <v/>
      </c>
      <c r="AFP1543" s="42" t="str">
        <f t="array" aca="1" ref="AFP1543" ca="1">IFERROR(INDEX(nombres[],SMALL(IF(OFFSET(nombres[],0,0,ROWS(nombres[]),1)=AFP$1490,ROW(OFFSET(nombres[],0,0,ROWS(nombres[]),1))-ROW(OFFSET(nombres[],0,0,1,1))+1,ROW(OFFSET(nombres[],ROWS(nombres[])-1,0,1,1))+1),$O1543:$O1562),3),"")</f>
        <v/>
      </c>
      <c r="AFQ1543" s="42" t="str">
        <f t="array" aca="1" ref="AFQ1543" ca="1">IFERROR(INDEX(nombres[],SMALL(IF(OFFSET(nombres[],0,0,ROWS(nombres[]),1)=AFQ$1490,ROW(OFFSET(nombres[],0,0,ROWS(nombres[]),1))-ROW(OFFSET(nombres[],0,0,1,1))+1,ROW(OFFSET(nombres[],ROWS(nombres[])-1,0,1,1))+1),$O1543:$O1562),3),"")</f>
        <v/>
      </c>
      <c r="AFR1543" s="42" t="str">
        <f t="array" aca="1" ref="AFR1543" ca="1">IFERROR(INDEX(nombres[],SMALL(IF(OFFSET(nombres[],0,0,ROWS(nombres[]),1)=AFR$1490,ROW(OFFSET(nombres[],0,0,ROWS(nombres[]),1))-ROW(OFFSET(nombres[],0,0,1,1))+1,ROW(OFFSET(nombres[],ROWS(nombres[])-1,0,1,1))+1),$O1543:$O1562),3),"")</f>
        <v/>
      </c>
      <c r="AFS1543" s="42" t="str">
        <f t="array" aca="1" ref="AFS1543" ca="1">IFERROR(INDEX(nombres[],SMALL(IF(OFFSET(nombres[],0,0,ROWS(nombres[]),1)=AFS$1490,ROW(OFFSET(nombres[],0,0,ROWS(nombres[]),1))-ROW(OFFSET(nombres[],0,0,1,1))+1,ROW(OFFSET(nombres[],ROWS(nombres[])-1,0,1,1))+1),$O1543:$O1562),3),"")</f>
        <v/>
      </c>
      <c r="AFT1543" s="42" t="str">
        <f t="array" aca="1" ref="AFT1543" ca="1">IFERROR(INDEX(nombres[],SMALL(IF(OFFSET(nombres[],0,0,ROWS(nombres[]),1)=AFT$1490,ROW(OFFSET(nombres[],0,0,ROWS(nombres[]),1))-ROW(OFFSET(nombres[],0,0,1,1))+1,ROW(OFFSET(nombres[],ROWS(nombres[])-1,0,1,1))+1),$O1543:$O1562),3),"")</f>
        <v/>
      </c>
      <c r="AFU1543" s="42" t="str">
        <f t="array" aca="1" ref="AFU1543" ca="1">IFERROR(INDEX(nombres[],SMALL(IF(OFFSET(nombres[],0,0,ROWS(nombres[]),1)=AFU$1490,ROW(OFFSET(nombres[],0,0,ROWS(nombres[]),1))-ROW(OFFSET(nombres[],0,0,1,1))+1,ROW(OFFSET(nombres[],ROWS(nombres[])-1,0,1,1))+1),$O1543:$O1562),3),"")</f>
        <v/>
      </c>
      <c r="AFV1543" s="42" t="str">
        <f t="array" aca="1" ref="AFV1543" ca="1">IFERROR(INDEX(nombres[],SMALL(IF(OFFSET(nombres[],0,0,ROWS(nombres[]),1)=AFV$1490,ROW(OFFSET(nombres[],0,0,ROWS(nombres[]),1))-ROW(OFFSET(nombres[],0,0,1,1))+1,ROW(OFFSET(nombres[],ROWS(nombres[])-1,0,1,1))+1),$O1543:$O1562),3),"")</f>
        <v/>
      </c>
      <c r="AFW1543" s="42" t="str">
        <f t="array" aca="1" ref="AFW1543" ca="1">IFERROR(INDEX(nombres[],SMALL(IF(OFFSET(nombres[],0,0,ROWS(nombres[]),1)=AFW$1490,ROW(OFFSET(nombres[],0,0,ROWS(nombres[]),1))-ROW(OFFSET(nombres[],0,0,1,1))+1,ROW(OFFSET(nombres[],ROWS(nombres[])-1,0,1,1))+1),$O1543:$O1562),3),"")</f>
        <v/>
      </c>
      <c r="AFX1543" s="42" t="str">
        <f t="array" aca="1" ref="AFX1543" ca="1">IFERROR(INDEX(nombres[],SMALL(IF(OFFSET(nombres[],0,0,ROWS(nombres[]),1)=AFX$1490,ROW(OFFSET(nombres[],0,0,ROWS(nombres[]),1))-ROW(OFFSET(nombres[],0,0,1,1))+1,ROW(OFFSET(nombres[],ROWS(nombres[])-1,0,1,1))+1),$O1543:$O1562),3),"")</f>
        <v/>
      </c>
      <c r="AFY1543" s="42" t="str">
        <f t="array" aca="1" ref="AFY1543" ca="1">IFERROR(INDEX(nombres[],SMALL(IF(OFFSET(nombres[],0,0,ROWS(nombres[]),1)=AFY$1490,ROW(OFFSET(nombres[],0,0,ROWS(nombres[]),1))-ROW(OFFSET(nombres[],0,0,1,1))+1,ROW(OFFSET(nombres[],ROWS(nombres[])-1,0,1,1))+1),$O1543:$O1562),3),"")</f>
        <v/>
      </c>
      <c r="AFZ1543" s="42" t="str">
        <f t="array" aca="1" ref="AFZ1543" ca="1">IFERROR(INDEX(nombres[],SMALL(IF(OFFSET(nombres[],0,0,ROWS(nombres[]),1)=AFZ$1490,ROW(OFFSET(nombres[],0,0,ROWS(nombres[]),1))-ROW(OFFSET(nombres[],0,0,1,1))+1,ROW(OFFSET(nombres[],ROWS(nombres[])-1,0,1,1))+1),$O1543:$O1562),3),"")</f>
        <v/>
      </c>
      <c r="AGA1543" s="42" t="str">
        <f t="array" aca="1" ref="AGA1543" ca="1">IFERROR(INDEX(nombres[],SMALL(IF(OFFSET(nombres[],0,0,ROWS(nombres[]),1)=AGA$1490,ROW(OFFSET(nombres[],0,0,ROWS(nombres[]),1))-ROW(OFFSET(nombres[],0,0,1,1))+1,ROW(OFFSET(nombres[],ROWS(nombres[])-1,0,1,1))+1),$O1543:$O1562),3),"")</f>
        <v/>
      </c>
      <c r="AGB1543" s="42" t="str">
        <f t="array" aca="1" ref="AGB1543" ca="1">IFERROR(INDEX(nombres[],SMALL(IF(OFFSET(nombres[],0,0,ROWS(nombres[]),1)=AGB$1490,ROW(OFFSET(nombres[],0,0,ROWS(nombres[]),1))-ROW(OFFSET(nombres[],0,0,1,1))+1,ROW(OFFSET(nombres[],ROWS(nombres[])-1,0,1,1))+1),$O1543:$O1562),3),"")</f>
        <v/>
      </c>
      <c r="AGC1543" s="42" t="str">
        <f t="array" aca="1" ref="AGC1543" ca="1">IFERROR(INDEX(nombres[],SMALL(IF(OFFSET(nombres[],0,0,ROWS(nombres[]),1)=AGC$1490,ROW(OFFSET(nombres[],0,0,ROWS(nombres[]),1))-ROW(OFFSET(nombres[],0,0,1,1))+1,ROW(OFFSET(nombres[],ROWS(nombres[])-1,0,1,1))+1),$O1543:$O1562),3),"")</f>
        <v/>
      </c>
      <c r="AGD1543" s="42" t="str">
        <f t="array" aca="1" ref="AGD1543" ca="1">IFERROR(INDEX(nombres[],SMALL(IF(OFFSET(nombres[],0,0,ROWS(nombres[]),1)=AGD$1490,ROW(OFFSET(nombres[],0,0,ROWS(nombres[]),1))-ROW(OFFSET(nombres[],0,0,1,1))+1,ROW(OFFSET(nombres[],ROWS(nombres[])-1,0,1,1))+1),$O1543:$O1562),3),"")</f>
        <v/>
      </c>
      <c r="AGE1543" s="42" t="str">
        <f t="array" aca="1" ref="AGE1543" ca="1">IFERROR(INDEX(nombres[],SMALL(IF(OFFSET(nombres[],0,0,ROWS(nombres[]),1)=AGE$1490,ROW(OFFSET(nombres[],0,0,ROWS(nombres[]),1))-ROW(OFFSET(nombres[],0,0,1,1))+1,ROW(OFFSET(nombres[],ROWS(nombres[])-1,0,1,1))+1),$O1543:$O1562),3),"")</f>
        <v/>
      </c>
      <c r="AGF1543" s="42" t="str">
        <f t="array" aca="1" ref="AGF1543" ca="1">IFERROR(INDEX(nombres[],SMALL(IF(OFFSET(nombres[],0,0,ROWS(nombres[]),1)=AGF$1490,ROW(OFFSET(nombres[],0,0,ROWS(nombres[]),1))-ROW(OFFSET(nombres[],0,0,1,1))+1,ROW(OFFSET(nombres[],ROWS(nombres[])-1,0,1,1))+1),$O1543:$O1562),3),"")</f>
        <v/>
      </c>
      <c r="AGG1543" s="42" t="str">
        <f t="array" aca="1" ref="AGG1543" ca="1">IFERROR(INDEX(nombres[],SMALL(IF(OFFSET(nombres[],0,0,ROWS(nombres[]),1)=AGG$1490,ROW(OFFSET(nombres[],0,0,ROWS(nombres[]),1))-ROW(OFFSET(nombres[],0,0,1,1))+1,ROW(OFFSET(nombres[],ROWS(nombres[])-1,0,1,1))+1),$O1543:$O1562),3),"")</f>
        <v/>
      </c>
      <c r="AGH1543" s="42" t="str">
        <f t="array" aca="1" ref="AGH1543" ca="1">IFERROR(INDEX(nombres[],SMALL(IF(OFFSET(nombres[],0,0,ROWS(nombres[]),1)=AGH$1490,ROW(OFFSET(nombres[],0,0,ROWS(nombres[]),1))-ROW(OFFSET(nombres[],0,0,1,1))+1,ROW(OFFSET(nombres[],ROWS(nombres[])-1,0,1,1))+1),$O1543:$O1562),3),"")</f>
        <v/>
      </c>
      <c r="AGI1543" s="42" t="str">
        <f t="array" aca="1" ref="AGI1543" ca="1">IFERROR(INDEX(nombres[],SMALL(IF(OFFSET(nombres[],0,0,ROWS(nombres[]),1)=AGI$1490,ROW(OFFSET(nombres[],0,0,ROWS(nombres[]),1))-ROW(OFFSET(nombres[],0,0,1,1))+1,ROW(OFFSET(nombres[],ROWS(nombres[])-1,0,1,1))+1),$O1543:$O1562),3),"")</f>
        <v/>
      </c>
      <c r="AGJ1543" s="42" t="str">
        <f t="array" aca="1" ref="AGJ1543" ca="1">IFERROR(INDEX(nombres[],SMALL(IF(OFFSET(nombres[],0,0,ROWS(nombres[]),1)=AGJ$1490,ROW(OFFSET(nombres[],0,0,ROWS(nombres[]),1))-ROW(OFFSET(nombres[],0,0,1,1))+1,ROW(OFFSET(nombres[],ROWS(nombres[])-1,0,1,1))+1),$O1543:$O1562),3),"")</f>
        <v/>
      </c>
      <c r="AGK1543" s="42" t="str">
        <f t="array" aca="1" ref="AGK1543" ca="1">IFERROR(INDEX(nombres[],SMALL(IF(OFFSET(nombres[],0,0,ROWS(nombres[]),1)=AGK$1490,ROW(OFFSET(nombres[],0,0,ROWS(nombres[]),1))-ROW(OFFSET(nombres[],0,0,1,1))+1,ROW(OFFSET(nombres[],ROWS(nombres[])-1,0,1,1))+1),$O1543:$O1562),3),"")</f>
        <v/>
      </c>
      <c r="AGL1543" s="42" t="str">
        <f t="array" aca="1" ref="AGL1543" ca="1">IFERROR(INDEX(nombres[],SMALL(IF(OFFSET(nombres[],0,0,ROWS(nombres[]),1)=AGL$1490,ROW(OFFSET(nombres[],0,0,ROWS(nombres[]),1))-ROW(OFFSET(nombres[],0,0,1,1))+1,ROW(OFFSET(nombres[],ROWS(nombres[])-1,0,1,1))+1),$O1543:$O1562),3),"")</f>
        <v/>
      </c>
      <c r="AGM1543" s="42" t="str">
        <f t="array" aca="1" ref="AGM1543" ca="1">IFERROR(INDEX(nombres[],SMALL(IF(OFFSET(nombres[],0,0,ROWS(nombres[]),1)=AGM$1490,ROW(OFFSET(nombres[],0,0,ROWS(nombres[]),1))-ROW(OFFSET(nombres[],0,0,1,1))+1,ROW(OFFSET(nombres[],ROWS(nombres[])-1,0,1,1))+1),$O1543:$O1562),3),"")</f>
        <v/>
      </c>
      <c r="AGN1543" s="42" t="str">
        <f t="array" aca="1" ref="AGN1543" ca="1">IFERROR(INDEX(nombres[],SMALL(IF(OFFSET(nombres[],0,0,ROWS(nombres[]),1)=AGN$1490,ROW(OFFSET(nombres[],0,0,ROWS(nombres[]),1))-ROW(OFFSET(nombres[],0,0,1,1))+1,ROW(OFFSET(nombres[],ROWS(nombres[])-1,0,1,1))+1),$O1543:$O1562),3),"")</f>
        <v/>
      </c>
    </row>
    <row r="1544" spans="15:872" x14ac:dyDescent="0.25">
      <c r="O1544" s="42">
        <v>8</v>
      </c>
      <c r="P1544" s="42" t="str">
        <f t="array" aca="1" ref="P1544" ca="1">IFERROR(INDEX(nombres[],SMALL(IF(OFFSET(nombres[],0,0,ROWS(nombres[]),1)=P$1490,ROW(OFFSET(nombres[],0,0,ROWS(nombres[]),1))-ROW(OFFSET(nombres[],0,0,1,1))+1,ROW(OFFSET(nombres[],ROWS(nombres[])-1,0,1,1))+1),$O1544:$O1563),3),"")</f>
        <v/>
      </c>
      <c r="Q1544" s="42" t="str">
        <f t="array" aca="1" ref="Q1544" ca="1">IFERROR(INDEX(nombres[],SMALL(IF(OFFSET(nombres[],0,0,ROWS(nombres[]),1)=Q$1490,ROW(OFFSET(nombres[],0,0,ROWS(nombres[]),1))-ROW(OFFSET(nombres[],0,0,1,1))+1,ROW(OFFSET(nombres[],ROWS(nombres[])-1,0,1,1))+1),$O1544:$O1563),3),"")</f>
        <v/>
      </c>
      <c r="R1544" s="42" t="str">
        <f t="array" aca="1" ref="R1544" ca="1">IFERROR(INDEX(nombres[],SMALL(IF(OFFSET(nombres[],0,0,ROWS(nombres[]),1)=R$1490,ROW(OFFSET(nombres[],0,0,ROWS(nombres[]),1))-ROW(OFFSET(nombres[],0,0,1,1))+1,ROW(OFFSET(nombres[],ROWS(nombres[])-1,0,1,1))+1),$O1544:$O1563),3),"")</f>
        <v/>
      </c>
      <c r="S1544" s="42" t="str">
        <f t="array" aca="1" ref="S1544" ca="1">IFERROR(INDEX(nombres[],SMALL(IF(OFFSET(nombres[],0,0,ROWS(nombres[]),1)=S$1490,ROW(OFFSET(nombres[],0,0,ROWS(nombres[]),1))-ROW(OFFSET(nombres[],0,0,1,1))+1,ROW(OFFSET(nombres[],ROWS(nombres[])-1,0,1,1))+1),$O1544:$O1563),3),"")</f>
        <v/>
      </c>
      <c r="T1544" s="42" t="str">
        <f t="array" aca="1" ref="T1544" ca="1">IFERROR(INDEX(nombres[],SMALL(IF(OFFSET(nombres[],0,0,ROWS(nombres[]),1)=T$1490,ROW(OFFSET(nombres[],0,0,ROWS(nombres[]),1))-ROW(OFFSET(nombres[],0,0,1,1))+1,ROW(OFFSET(nombres[],ROWS(nombres[])-1,0,1,1))+1),$O1544:$O1563),3),"")</f>
        <v/>
      </c>
      <c r="U1544" s="42" t="str">
        <f t="array" aca="1" ref="U1544" ca="1">IFERROR(INDEX(nombres[],SMALL(IF(OFFSET(nombres[],0,0,ROWS(nombres[]),1)=U$1490,ROW(OFFSET(nombres[],0,0,ROWS(nombres[]),1))-ROW(OFFSET(nombres[],0,0,1,1))+1,ROW(OFFSET(nombres[],ROWS(nombres[])-1,0,1,1))+1),$O1544:$O1563),3),"")</f>
        <v/>
      </c>
      <c r="V1544" s="42" t="str">
        <f t="array" aca="1" ref="V1544" ca="1">IFERROR(INDEX(nombres[],SMALL(IF(OFFSET(nombres[],0,0,ROWS(nombres[]),1)=V$1490,ROW(OFFSET(nombres[],0,0,ROWS(nombres[]),1))-ROW(OFFSET(nombres[],0,0,1,1))+1,ROW(OFFSET(nombres[],ROWS(nombres[])-1,0,1,1))+1),$O1544:$O1563),3),"")</f>
        <v/>
      </c>
      <c r="W1544" s="42" t="str">
        <f t="array" aca="1" ref="W1544" ca="1">IFERROR(INDEX(nombres[],SMALL(IF(OFFSET(nombres[],0,0,ROWS(nombres[]),1)=W$1490,ROW(OFFSET(nombres[],0,0,ROWS(nombres[]),1))-ROW(OFFSET(nombres[],0,0,1,1))+1,ROW(OFFSET(nombres[],ROWS(nombres[])-1,0,1,1))+1),$O1544:$O1563),3),"")</f>
        <v/>
      </c>
      <c r="X1544" s="42" t="str">
        <f t="array" aca="1" ref="X1544" ca="1">IFERROR(INDEX(nombres[],SMALL(IF(OFFSET(nombres[],0,0,ROWS(nombres[]),1)=X$1490,ROW(OFFSET(nombres[],0,0,ROWS(nombres[]),1))-ROW(OFFSET(nombres[],0,0,1,1))+1,ROW(OFFSET(nombres[],ROWS(nombres[])-1,0,1,1))+1),$O1544:$O1563),3),"")</f>
        <v/>
      </c>
      <c r="Y1544" s="42" t="str">
        <f t="array" aca="1" ref="Y1544" ca="1">IFERROR(INDEX(nombres[],SMALL(IF(OFFSET(nombres[],0,0,ROWS(nombres[]),1)=Y$1490,ROW(OFFSET(nombres[],0,0,ROWS(nombres[]),1))-ROW(OFFSET(nombres[],0,0,1,1))+1,ROW(OFFSET(nombres[],ROWS(nombres[])-1,0,1,1))+1),$O1544:$O1563),3),"")</f>
        <v/>
      </c>
      <c r="Z1544" s="42" t="str">
        <f t="array" aca="1" ref="Z1544" ca="1">IFERROR(INDEX(nombres[],SMALL(IF(OFFSET(nombres[],0,0,ROWS(nombres[]),1)=Z$1490,ROW(OFFSET(nombres[],0,0,ROWS(nombres[]),1))-ROW(OFFSET(nombres[],0,0,1,1))+1,ROW(OFFSET(nombres[],ROWS(nombres[])-1,0,1,1))+1),$O1544:$O1563),3),"")</f>
        <v/>
      </c>
      <c r="AA1544" s="42" t="str">
        <f t="array" aca="1" ref="AA1544" ca="1">IFERROR(INDEX(nombres[],SMALL(IF(OFFSET(nombres[],0,0,ROWS(nombres[]),1)=AA$1490,ROW(OFFSET(nombres[],0,0,ROWS(nombres[]),1))-ROW(OFFSET(nombres[],0,0,1,1))+1,ROW(OFFSET(nombres[],ROWS(nombres[])-1,0,1,1))+1),$O1544:$O1563),3),"")</f>
        <v/>
      </c>
      <c r="AB1544" s="42" t="str">
        <f t="array" aca="1" ref="AB1544" ca="1">IFERROR(INDEX(nombres[],SMALL(IF(OFFSET(nombres[],0,0,ROWS(nombres[]),1)=AB$1490,ROW(OFFSET(nombres[],0,0,ROWS(nombres[]),1))-ROW(OFFSET(nombres[],0,0,1,1))+1,ROW(OFFSET(nombres[],ROWS(nombres[])-1,0,1,1))+1),$O1544:$O1563),3),"")</f>
        <v/>
      </c>
      <c r="AC1544" s="42" t="str">
        <f t="array" aca="1" ref="AC1544" ca="1">IFERROR(INDEX(nombres[],SMALL(IF(OFFSET(nombres[],0,0,ROWS(nombres[]),1)=AC$1490,ROW(OFFSET(nombres[],0,0,ROWS(nombres[]),1))-ROW(OFFSET(nombres[],0,0,1,1))+1,ROW(OFFSET(nombres[],ROWS(nombres[])-1,0,1,1))+1),$O1544:$O1563),3),"")</f>
        <v/>
      </c>
      <c r="AD1544" s="42" t="str">
        <f t="array" aca="1" ref="AD1544" ca="1">IFERROR(INDEX(nombres[],SMALL(IF(OFFSET(nombres[],0,0,ROWS(nombres[]),1)=AD$1490,ROW(OFFSET(nombres[],0,0,ROWS(nombres[]),1))-ROW(OFFSET(nombres[],0,0,1,1))+1,ROW(OFFSET(nombres[],ROWS(nombres[])-1,0,1,1))+1),$O1544:$O1563),3),"")</f>
        <v/>
      </c>
      <c r="AE1544" s="42" t="str">
        <f t="array" aca="1" ref="AE1544" ca="1">IFERROR(INDEX(nombres[],SMALL(IF(OFFSET(nombres[],0,0,ROWS(nombres[]),1)=AE$1490,ROW(OFFSET(nombres[],0,0,ROWS(nombres[]),1))-ROW(OFFSET(nombres[],0,0,1,1))+1,ROW(OFFSET(nombres[],ROWS(nombres[])-1,0,1,1))+1),$O1544:$O1563),3),"")</f>
        <v/>
      </c>
      <c r="AF1544" s="42" t="str">
        <f t="array" aca="1" ref="AF1544" ca="1">IFERROR(INDEX(nombres[],SMALL(IF(OFFSET(nombres[],0,0,ROWS(nombres[]),1)=AF$1490,ROW(OFFSET(nombres[],0,0,ROWS(nombres[]),1))-ROW(OFFSET(nombres[],0,0,1,1))+1,ROW(OFFSET(nombres[],ROWS(nombres[])-1,0,1,1))+1),$O1544:$O1563),3),"")</f>
        <v/>
      </c>
      <c r="AG1544" s="42" t="str">
        <f t="array" aca="1" ref="AG1544" ca="1">IFERROR(INDEX(nombres[],SMALL(IF(OFFSET(nombres[],0,0,ROWS(nombres[]),1)=AG$1490,ROW(OFFSET(nombres[],0,0,ROWS(nombres[]),1))-ROW(OFFSET(nombres[],0,0,1,1))+1,ROW(OFFSET(nombres[],ROWS(nombres[])-1,0,1,1))+1),$O1544:$O1563),3),"")</f>
        <v/>
      </c>
      <c r="AH1544" s="42" t="str">
        <f t="array" aca="1" ref="AH1544" ca="1">IFERROR(INDEX(nombres[],SMALL(IF(OFFSET(nombres[],0,0,ROWS(nombres[]),1)=AH$1490,ROW(OFFSET(nombres[],0,0,ROWS(nombres[]),1))-ROW(OFFSET(nombres[],0,0,1,1))+1,ROW(OFFSET(nombres[],ROWS(nombres[])-1,0,1,1))+1),$O1544:$O1563),3),"")</f>
        <v/>
      </c>
      <c r="AI1544" s="42" t="str">
        <f t="array" aca="1" ref="AI1544" ca="1">IFERROR(INDEX(nombres[],SMALL(IF(OFFSET(nombres[],0,0,ROWS(nombres[]),1)=AI$1490,ROW(OFFSET(nombres[],0,0,ROWS(nombres[]),1))-ROW(OFFSET(nombres[],0,0,1,1))+1,ROW(OFFSET(nombres[],ROWS(nombres[])-1,0,1,1))+1),$O1544:$O1563),3),"")</f>
        <v/>
      </c>
      <c r="AJ1544" s="42" t="str">
        <f t="array" aca="1" ref="AJ1544" ca="1">IFERROR(INDEX(nombres[],SMALL(IF(OFFSET(nombres[],0,0,ROWS(nombres[]),1)=AJ$1490,ROW(OFFSET(nombres[],0,0,ROWS(nombres[]),1))-ROW(OFFSET(nombres[],0,0,1,1))+1,ROW(OFFSET(nombres[],ROWS(nombres[])-1,0,1,1))+1),$O1544:$O1563),3),"")</f>
        <v/>
      </c>
      <c r="AK1544" s="42" t="str">
        <f t="array" aca="1" ref="AK1544" ca="1">IFERROR(INDEX(nombres[],SMALL(IF(OFFSET(nombres[],0,0,ROWS(nombres[]),1)=AK$1490,ROW(OFFSET(nombres[],0,0,ROWS(nombres[]),1))-ROW(OFFSET(nombres[],0,0,1,1))+1,ROW(OFFSET(nombres[],ROWS(nombres[])-1,0,1,1))+1),$O1544:$O1563),3),"")</f>
        <v/>
      </c>
      <c r="AL1544" s="42" t="str">
        <f t="array" aca="1" ref="AL1544" ca="1">IFERROR(INDEX(nombres[],SMALL(IF(OFFSET(nombres[],0,0,ROWS(nombres[]),1)=AL$1490,ROW(OFFSET(nombres[],0,0,ROWS(nombres[]),1))-ROW(OFFSET(nombres[],0,0,1,1))+1,ROW(OFFSET(nombres[],ROWS(nombres[])-1,0,1,1))+1),$O1544:$O1563),3),"")</f>
        <v/>
      </c>
      <c r="AM1544" s="42" t="str">
        <f t="array" aca="1" ref="AM1544" ca="1">IFERROR(INDEX(nombres[],SMALL(IF(OFFSET(nombres[],0,0,ROWS(nombres[]),1)=AM$1490,ROW(OFFSET(nombres[],0,0,ROWS(nombres[]),1))-ROW(OFFSET(nombres[],0,0,1,1))+1,ROW(OFFSET(nombres[],ROWS(nombres[])-1,0,1,1))+1),$O1544:$O1563),3),"")</f>
        <v/>
      </c>
      <c r="AN1544" s="42" t="str">
        <f t="array" aca="1" ref="AN1544" ca="1">IFERROR(INDEX(nombres[],SMALL(IF(OFFSET(nombres[],0,0,ROWS(nombres[]),1)=AN$1490,ROW(OFFSET(nombres[],0,0,ROWS(nombres[]),1))-ROW(OFFSET(nombres[],0,0,1,1))+1,ROW(OFFSET(nombres[],ROWS(nombres[])-1,0,1,1))+1),$O1544:$O1563),3),"")</f>
        <v/>
      </c>
      <c r="AO1544" s="42" t="str">
        <f t="array" aca="1" ref="AO1544" ca="1">IFERROR(INDEX(nombres[],SMALL(IF(OFFSET(nombres[],0,0,ROWS(nombres[]),1)=AO$1490,ROW(OFFSET(nombres[],0,0,ROWS(nombres[]),1))-ROW(OFFSET(nombres[],0,0,1,1))+1,ROW(OFFSET(nombres[],ROWS(nombres[])-1,0,1,1))+1),$O1544:$O1563),3),"")</f>
        <v/>
      </c>
      <c r="AP1544" s="42" t="str">
        <f t="array" aca="1" ref="AP1544" ca="1">IFERROR(INDEX(nombres[],SMALL(IF(OFFSET(nombres[],0,0,ROWS(nombres[]),1)=AP$1490,ROW(OFFSET(nombres[],0,0,ROWS(nombres[]),1))-ROW(OFFSET(nombres[],0,0,1,1))+1,ROW(OFFSET(nombres[],ROWS(nombres[])-1,0,1,1))+1),$O1544:$O1563),3),"")</f>
        <v/>
      </c>
      <c r="AQ1544" s="42" t="str">
        <f t="array" aca="1" ref="AQ1544" ca="1">IFERROR(INDEX(nombres[],SMALL(IF(OFFSET(nombres[],0,0,ROWS(nombres[]),1)=AQ$1490,ROW(OFFSET(nombres[],0,0,ROWS(nombres[]),1))-ROW(OFFSET(nombres[],0,0,1,1))+1,ROW(OFFSET(nombres[],ROWS(nombres[])-1,0,1,1))+1),$O1544:$O1563),3),"")</f>
        <v/>
      </c>
      <c r="AR1544" s="42" t="str">
        <f t="array" aca="1" ref="AR1544" ca="1">IFERROR(INDEX(nombres[],SMALL(IF(OFFSET(nombres[],0,0,ROWS(nombres[]),1)=AR$1490,ROW(OFFSET(nombres[],0,0,ROWS(nombres[]),1))-ROW(OFFSET(nombres[],0,0,1,1))+1,ROW(OFFSET(nombres[],ROWS(nombres[])-1,0,1,1))+1),$O1544:$O1563),3),"")</f>
        <v/>
      </c>
      <c r="AS1544" s="42" t="str">
        <f t="array" aca="1" ref="AS1544" ca="1">IFERROR(INDEX(nombres[],SMALL(IF(OFFSET(nombres[],0,0,ROWS(nombres[]),1)=AS$1490,ROW(OFFSET(nombres[],0,0,ROWS(nombres[]),1))-ROW(OFFSET(nombres[],0,0,1,1))+1,ROW(OFFSET(nombres[],ROWS(nombres[])-1,0,1,1))+1),$O1544:$O1563),3),"")</f>
        <v/>
      </c>
      <c r="AT1544" s="42" t="str">
        <f t="array" aca="1" ref="AT1544" ca="1">IFERROR(INDEX(nombres[],SMALL(IF(OFFSET(nombres[],0,0,ROWS(nombres[]),1)=AT$1490,ROW(OFFSET(nombres[],0,0,ROWS(nombres[]),1))-ROW(OFFSET(nombres[],0,0,1,1))+1,ROW(OFFSET(nombres[],ROWS(nombres[])-1,0,1,1))+1),$O1544:$O1563),3),"")</f>
        <v/>
      </c>
      <c r="AU1544" s="42" t="str">
        <f t="array" aca="1" ref="AU1544" ca="1">IFERROR(INDEX(nombres[],SMALL(IF(OFFSET(nombres[],0,0,ROWS(nombres[]),1)=AU$1490,ROW(OFFSET(nombres[],0,0,ROWS(nombres[]),1))-ROW(OFFSET(nombres[],0,0,1,1))+1,ROW(OFFSET(nombres[],ROWS(nombres[])-1,0,1,1))+1),$O1544:$O1563),3),"")</f>
        <v/>
      </c>
      <c r="AV1544" s="42" t="str">
        <f t="array" aca="1" ref="AV1544" ca="1">IFERROR(INDEX(nombres[],SMALL(IF(OFFSET(nombres[],0,0,ROWS(nombres[]),1)=AV$1490,ROW(OFFSET(nombres[],0,0,ROWS(nombres[]),1))-ROW(OFFSET(nombres[],0,0,1,1))+1,ROW(OFFSET(nombres[],ROWS(nombres[])-1,0,1,1))+1),$O1544:$O1563),3),"")</f>
        <v/>
      </c>
      <c r="AW1544" s="42" t="str">
        <f t="array" aca="1" ref="AW1544" ca="1">IFERROR(INDEX(nombres[],SMALL(IF(OFFSET(nombres[],0,0,ROWS(nombres[]),1)=AW$1490,ROW(OFFSET(nombres[],0,0,ROWS(nombres[]),1))-ROW(OFFSET(nombres[],0,0,1,1))+1,ROW(OFFSET(nombres[],ROWS(nombres[])-1,0,1,1))+1),$O1544:$O1563),3),"")</f>
        <v/>
      </c>
      <c r="AX1544" s="42" t="str">
        <f t="array" aca="1" ref="AX1544" ca="1">IFERROR(INDEX(nombres[],SMALL(IF(OFFSET(nombres[],0,0,ROWS(nombres[]),1)=AX$1490,ROW(OFFSET(nombres[],0,0,ROWS(nombres[]),1))-ROW(OFFSET(nombres[],0,0,1,1))+1,ROW(OFFSET(nombres[],ROWS(nombres[])-1,0,1,1))+1),$O1544:$O1563),3),"")</f>
        <v/>
      </c>
      <c r="AY1544" s="42" t="str">
        <f t="array" aca="1" ref="AY1544" ca="1">IFERROR(INDEX(nombres[],SMALL(IF(OFFSET(nombres[],0,0,ROWS(nombres[]),1)=AY$1490,ROW(OFFSET(nombres[],0,0,ROWS(nombres[]),1))-ROW(OFFSET(nombres[],0,0,1,1))+1,ROW(OFFSET(nombres[],ROWS(nombres[])-1,0,1,1))+1),$O1544:$O1563),3),"")</f>
        <v/>
      </c>
      <c r="AZ1544" s="42" t="str">
        <f t="array" aca="1" ref="AZ1544" ca="1">IFERROR(INDEX(nombres[],SMALL(IF(OFFSET(nombres[],0,0,ROWS(nombres[]),1)=AZ$1490,ROW(OFFSET(nombres[],0,0,ROWS(nombres[]),1))-ROW(OFFSET(nombres[],0,0,1,1))+1,ROW(OFFSET(nombres[],ROWS(nombres[])-1,0,1,1))+1),$O1544:$O1563),3),"")</f>
        <v/>
      </c>
      <c r="BA1544" s="42" t="str">
        <f t="array" aca="1" ref="BA1544" ca="1">IFERROR(INDEX(nombres[],SMALL(IF(OFFSET(nombres[],0,0,ROWS(nombres[]),1)=BA$1490,ROW(OFFSET(nombres[],0,0,ROWS(nombres[]),1))-ROW(OFFSET(nombres[],0,0,1,1))+1,ROW(OFFSET(nombres[],ROWS(nombres[])-1,0,1,1))+1),$O1544:$O1563),3),"")</f>
        <v/>
      </c>
      <c r="BB1544" s="42" t="str">
        <f t="array" aca="1" ref="BB1544" ca="1">IFERROR(INDEX(nombres[],SMALL(IF(OFFSET(nombres[],0,0,ROWS(nombres[]),1)=BB$1490,ROW(OFFSET(nombres[],0,0,ROWS(nombres[]),1))-ROW(OFFSET(nombres[],0,0,1,1))+1,ROW(OFFSET(nombres[],ROWS(nombres[])-1,0,1,1))+1),$O1544:$O1563),3),"")</f>
        <v/>
      </c>
      <c r="BC1544" s="42" t="str">
        <f t="array" aca="1" ref="BC1544" ca="1">IFERROR(INDEX(nombres[],SMALL(IF(OFFSET(nombres[],0,0,ROWS(nombres[]),1)=BC$1490,ROW(OFFSET(nombres[],0,0,ROWS(nombres[]),1))-ROW(OFFSET(nombres[],0,0,1,1))+1,ROW(OFFSET(nombres[],ROWS(nombres[])-1,0,1,1))+1),$O1544:$O1563),3),"")</f>
        <v/>
      </c>
      <c r="BD1544" s="42" t="str">
        <f t="array" aca="1" ref="BD1544" ca="1">IFERROR(INDEX(nombres[],SMALL(IF(OFFSET(nombres[],0,0,ROWS(nombres[]),1)=BD$1490,ROW(OFFSET(nombres[],0,0,ROWS(nombres[]),1))-ROW(OFFSET(nombres[],0,0,1,1))+1,ROW(OFFSET(nombres[],ROWS(nombres[])-1,0,1,1))+1),$O1544:$O1563),3),"")</f>
        <v/>
      </c>
      <c r="BE1544" s="42" t="str">
        <f t="array" aca="1" ref="BE1544" ca="1">IFERROR(INDEX(nombres[],SMALL(IF(OFFSET(nombres[],0,0,ROWS(nombres[]),1)=BE$1490,ROW(OFFSET(nombres[],0,0,ROWS(nombres[]),1))-ROW(OFFSET(nombres[],0,0,1,1))+1,ROW(OFFSET(nombres[],ROWS(nombres[])-1,0,1,1))+1),$O1544:$O1563),3),"")</f>
        <v/>
      </c>
      <c r="BF1544" s="42" t="str">
        <f t="array" aca="1" ref="BF1544" ca="1">IFERROR(INDEX(nombres[],SMALL(IF(OFFSET(nombres[],0,0,ROWS(nombres[]),1)=BF$1490,ROW(OFFSET(nombres[],0,0,ROWS(nombres[]),1))-ROW(OFFSET(nombres[],0,0,1,1))+1,ROW(OFFSET(nombres[],ROWS(nombres[])-1,0,1,1))+1),$O1544:$O1563),3),"")</f>
        <v/>
      </c>
      <c r="BG1544" s="42" t="str">
        <f t="array" aca="1" ref="BG1544" ca="1">IFERROR(INDEX(nombres[],SMALL(IF(OFFSET(nombres[],0,0,ROWS(nombres[]),1)=BG$1490,ROW(OFFSET(nombres[],0,0,ROWS(nombres[]),1))-ROW(OFFSET(nombres[],0,0,1,1))+1,ROW(OFFSET(nombres[],ROWS(nombres[])-1,0,1,1))+1),$O1544:$O1563),3),"")</f>
        <v/>
      </c>
      <c r="BH1544" s="42" t="str">
        <f t="array" aca="1" ref="BH1544" ca="1">IFERROR(INDEX(nombres[],SMALL(IF(OFFSET(nombres[],0,0,ROWS(nombres[]),1)=BH$1490,ROW(OFFSET(nombres[],0,0,ROWS(nombres[]),1))-ROW(OFFSET(nombres[],0,0,1,1))+1,ROW(OFFSET(nombres[],ROWS(nombres[])-1,0,1,1))+1),$O1544:$O1563),3),"")</f>
        <v/>
      </c>
      <c r="BI1544" s="42" t="str">
        <f t="array" aca="1" ref="BI1544" ca="1">IFERROR(INDEX(nombres[],SMALL(IF(OFFSET(nombres[],0,0,ROWS(nombres[]),1)=BI$1490,ROW(OFFSET(nombres[],0,0,ROWS(nombres[]),1))-ROW(OFFSET(nombres[],0,0,1,1))+1,ROW(OFFSET(nombres[],ROWS(nombres[])-1,0,1,1))+1),$O1544:$O1563),3),"")</f>
        <v/>
      </c>
      <c r="BJ1544" s="42" t="str">
        <f t="array" aca="1" ref="BJ1544" ca="1">IFERROR(INDEX(nombres[],SMALL(IF(OFFSET(nombres[],0,0,ROWS(nombres[]),1)=BJ$1490,ROW(OFFSET(nombres[],0,0,ROWS(nombres[]),1))-ROW(OFFSET(nombres[],0,0,1,1))+1,ROW(OFFSET(nombres[],ROWS(nombres[])-1,0,1,1))+1),$O1544:$O1563),3),"")</f>
        <v/>
      </c>
      <c r="BK1544" s="42" t="str">
        <f t="array" aca="1" ref="BK1544" ca="1">IFERROR(INDEX(nombres[],SMALL(IF(OFFSET(nombres[],0,0,ROWS(nombres[]),1)=BK$1490,ROW(OFFSET(nombres[],0,0,ROWS(nombres[]),1))-ROW(OFFSET(nombres[],0,0,1,1))+1,ROW(OFFSET(nombres[],ROWS(nombres[])-1,0,1,1))+1),$O1544:$O1563),3),"")</f>
        <v/>
      </c>
      <c r="BL1544" s="42" t="str">
        <f t="array" aca="1" ref="BL1544" ca="1">IFERROR(INDEX(nombres[],SMALL(IF(OFFSET(nombres[],0,0,ROWS(nombres[]),1)=BL$1490,ROW(OFFSET(nombres[],0,0,ROWS(nombres[]),1))-ROW(OFFSET(nombres[],0,0,1,1))+1,ROW(OFFSET(nombres[],ROWS(nombres[])-1,0,1,1))+1),$O1544:$O1563),3),"")</f>
        <v/>
      </c>
      <c r="BM1544" s="42" t="str">
        <f t="array" aca="1" ref="BM1544" ca="1">IFERROR(INDEX(nombres[],SMALL(IF(OFFSET(nombres[],0,0,ROWS(nombres[]),1)=BM$1490,ROW(OFFSET(nombres[],0,0,ROWS(nombres[]),1))-ROW(OFFSET(nombres[],0,0,1,1))+1,ROW(OFFSET(nombres[],ROWS(nombres[])-1,0,1,1))+1),$O1544:$O1563),3),"")</f>
        <v/>
      </c>
      <c r="BN1544" s="42" t="str">
        <f t="array" aca="1" ref="BN1544" ca="1">IFERROR(INDEX(nombres[],SMALL(IF(OFFSET(nombres[],0,0,ROWS(nombres[]),1)=BN$1490,ROW(OFFSET(nombres[],0,0,ROWS(nombres[]),1))-ROW(OFFSET(nombres[],0,0,1,1))+1,ROW(OFFSET(nombres[],ROWS(nombres[])-1,0,1,1))+1),$O1544:$O1563),3),"")</f>
        <v/>
      </c>
      <c r="BO1544" s="42" t="str">
        <f t="array" aca="1" ref="BO1544" ca="1">IFERROR(INDEX(nombres[],SMALL(IF(OFFSET(nombres[],0,0,ROWS(nombres[]),1)=BO$1490,ROW(OFFSET(nombres[],0,0,ROWS(nombres[]),1))-ROW(OFFSET(nombres[],0,0,1,1))+1,ROW(OFFSET(nombres[],ROWS(nombres[])-1,0,1,1))+1),$O1544:$O1563),3),"")</f>
        <v/>
      </c>
      <c r="BP1544" s="42" t="str">
        <f t="array" aca="1" ref="BP1544" ca="1">IFERROR(INDEX(nombres[],SMALL(IF(OFFSET(nombres[],0,0,ROWS(nombres[]),1)=BP$1490,ROW(OFFSET(nombres[],0,0,ROWS(nombres[]),1))-ROW(OFFSET(nombres[],0,0,1,1))+1,ROW(OFFSET(nombres[],ROWS(nombres[])-1,0,1,1))+1),$O1544:$O1563),3),"")</f>
        <v/>
      </c>
      <c r="BQ1544" s="42" t="str">
        <f t="array" aca="1" ref="BQ1544" ca="1">IFERROR(INDEX(nombres[],SMALL(IF(OFFSET(nombres[],0,0,ROWS(nombres[]),1)=BQ$1490,ROW(OFFSET(nombres[],0,0,ROWS(nombres[]),1))-ROW(OFFSET(nombres[],0,0,1,1))+1,ROW(OFFSET(nombres[],ROWS(nombres[])-1,0,1,1))+1),$O1544:$O1563),3),"")</f>
        <v/>
      </c>
      <c r="BR1544" s="42" t="str">
        <f t="array" aca="1" ref="BR1544" ca="1">IFERROR(INDEX(nombres[],SMALL(IF(OFFSET(nombres[],0,0,ROWS(nombres[]),1)=BR$1490,ROW(OFFSET(nombres[],0,0,ROWS(nombres[]),1))-ROW(OFFSET(nombres[],0,0,1,1))+1,ROW(OFFSET(nombres[],ROWS(nombres[])-1,0,1,1))+1),$O1544:$O1563),3),"")</f>
        <v/>
      </c>
      <c r="BS1544" s="42" t="str">
        <f t="array" aca="1" ref="BS1544" ca="1">IFERROR(INDEX(nombres[],SMALL(IF(OFFSET(nombres[],0,0,ROWS(nombres[]),1)=BS$1490,ROW(OFFSET(nombres[],0,0,ROWS(nombres[]),1))-ROW(OFFSET(nombres[],0,0,1,1))+1,ROW(OFFSET(nombres[],ROWS(nombres[])-1,0,1,1))+1),$O1544:$O1563),3),"")</f>
        <v/>
      </c>
      <c r="BT1544" s="42" t="str">
        <f t="array" aca="1" ref="BT1544" ca="1">IFERROR(INDEX(nombres[],SMALL(IF(OFFSET(nombres[],0,0,ROWS(nombres[]),1)=BT$1490,ROW(OFFSET(nombres[],0,0,ROWS(nombres[]),1))-ROW(OFFSET(nombres[],0,0,1,1))+1,ROW(OFFSET(nombres[],ROWS(nombres[])-1,0,1,1))+1),$O1544:$O1563),3),"")</f>
        <v/>
      </c>
      <c r="BU1544" s="42" t="str">
        <f t="array" aca="1" ref="BU1544" ca="1">IFERROR(INDEX(nombres[],SMALL(IF(OFFSET(nombres[],0,0,ROWS(nombres[]),1)=BU$1490,ROW(OFFSET(nombres[],0,0,ROWS(nombres[]),1))-ROW(OFFSET(nombres[],0,0,1,1))+1,ROW(OFFSET(nombres[],ROWS(nombres[])-1,0,1,1))+1),$O1544:$O1563),3),"")</f>
        <v/>
      </c>
      <c r="BV1544" s="42" t="str">
        <f t="array" aca="1" ref="BV1544" ca="1">IFERROR(INDEX(nombres[],SMALL(IF(OFFSET(nombres[],0,0,ROWS(nombres[]),1)=BV$1490,ROW(OFFSET(nombres[],0,0,ROWS(nombres[]),1))-ROW(OFFSET(nombres[],0,0,1,1))+1,ROW(OFFSET(nombres[],ROWS(nombres[])-1,0,1,1))+1),$O1544:$O1563),3),"")</f>
        <v/>
      </c>
      <c r="BW1544" s="42" t="str">
        <f t="array" aca="1" ref="BW1544" ca="1">IFERROR(INDEX(nombres[],SMALL(IF(OFFSET(nombres[],0,0,ROWS(nombres[]),1)=BW$1490,ROW(OFFSET(nombres[],0,0,ROWS(nombres[]),1))-ROW(OFFSET(nombres[],0,0,1,1))+1,ROW(OFFSET(nombres[],ROWS(nombres[])-1,0,1,1))+1),$O1544:$O1563),3),"")</f>
        <v/>
      </c>
      <c r="BX1544" s="42" t="str">
        <f t="array" aca="1" ref="BX1544" ca="1">IFERROR(INDEX(nombres[],SMALL(IF(OFFSET(nombres[],0,0,ROWS(nombres[]),1)=BX$1490,ROW(OFFSET(nombres[],0,0,ROWS(nombres[]),1))-ROW(OFFSET(nombres[],0,0,1,1))+1,ROW(OFFSET(nombres[],ROWS(nombres[])-1,0,1,1))+1),$O1544:$O1563),3),"")</f>
        <v/>
      </c>
      <c r="BY1544" s="42" t="str">
        <f t="array" aca="1" ref="BY1544" ca="1">IFERROR(INDEX(nombres[],SMALL(IF(OFFSET(nombres[],0,0,ROWS(nombres[]),1)=BY$1490,ROW(OFFSET(nombres[],0,0,ROWS(nombres[]),1))-ROW(OFFSET(nombres[],0,0,1,1))+1,ROW(OFFSET(nombres[],ROWS(nombres[])-1,0,1,1))+1),$O1544:$O1563),3),"")</f>
        <v/>
      </c>
      <c r="BZ1544" s="42" t="str">
        <f t="array" aca="1" ref="BZ1544" ca="1">IFERROR(INDEX(nombres[],SMALL(IF(OFFSET(nombres[],0,0,ROWS(nombres[]),1)=BZ$1490,ROW(OFFSET(nombres[],0,0,ROWS(nombres[]),1))-ROW(OFFSET(nombres[],0,0,1,1))+1,ROW(OFFSET(nombres[],ROWS(nombres[])-1,0,1,1))+1),$O1544:$O1563),3),"")</f>
        <v/>
      </c>
      <c r="CA1544" s="42" t="str">
        <f t="array" aca="1" ref="CA1544" ca="1">IFERROR(INDEX(nombres[],SMALL(IF(OFFSET(nombres[],0,0,ROWS(nombres[]),1)=CA$1490,ROW(OFFSET(nombres[],0,0,ROWS(nombres[]),1))-ROW(OFFSET(nombres[],0,0,1,1))+1,ROW(OFFSET(nombres[],ROWS(nombres[])-1,0,1,1))+1),$O1544:$O1563),3),"")</f>
        <v/>
      </c>
      <c r="CB1544" s="42" t="str">
        <f t="array" aca="1" ref="CB1544" ca="1">IFERROR(INDEX(nombres[],SMALL(IF(OFFSET(nombres[],0,0,ROWS(nombres[]),1)=CB$1490,ROW(OFFSET(nombres[],0,0,ROWS(nombres[]),1))-ROW(OFFSET(nombres[],0,0,1,1))+1,ROW(OFFSET(nombres[],ROWS(nombres[])-1,0,1,1))+1),$O1544:$O1563),3),"")</f>
        <v/>
      </c>
      <c r="CC1544" s="42" t="str">
        <f t="array" aca="1" ref="CC1544" ca="1">IFERROR(INDEX(nombres[],SMALL(IF(OFFSET(nombres[],0,0,ROWS(nombres[]),1)=CC$1490,ROW(OFFSET(nombres[],0,0,ROWS(nombres[]),1))-ROW(OFFSET(nombres[],0,0,1,1))+1,ROW(OFFSET(nombres[],ROWS(nombres[])-1,0,1,1))+1),$O1544:$O1563),3),"")</f>
        <v/>
      </c>
      <c r="CD1544" s="42" t="str">
        <f t="array" aca="1" ref="CD1544" ca="1">IFERROR(INDEX(nombres[],SMALL(IF(OFFSET(nombres[],0,0,ROWS(nombres[]),1)=CD$1490,ROW(OFFSET(nombres[],0,0,ROWS(nombres[]),1))-ROW(OFFSET(nombres[],0,0,1,1))+1,ROW(OFFSET(nombres[],ROWS(nombres[])-1,0,1,1))+1),$O1544:$O1563),3),"")</f>
        <v/>
      </c>
      <c r="CE1544" s="42" t="str">
        <f t="array" aca="1" ref="CE1544" ca="1">IFERROR(INDEX(nombres[],SMALL(IF(OFFSET(nombres[],0,0,ROWS(nombres[]),1)=CE$1490,ROW(OFFSET(nombres[],0,0,ROWS(nombres[]),1))-ROW(OFFSET(nombres[],0,0,1,1))+1,ROW(OFFSET(nombres[],ROWS(nombres[])-1,0,1,1))+1),$O1544:$O1563),3),"")</f>
        <v/>
      </c>
      <c r="CF1544" s="42" t="str">
        <f t="array" aca="1" ref="CF1544" ca="1">IFERROR(INDEX(nombres[],SMALL(IF(OFFSET(nombres[],0,0,ROWS(nombres[]),1)=CF$1490,ROW(OFFSET(nombres[],0,0,ROWS(nombres[]),1))-ROW(OFFSET(nombres[],0,0,1,1))+1,ROW(OFFSET(nombres[],ROWS(nombres[])-1,0,1,1))+1),$O1544:$O1563),3),"")</f>
        <v/>
      </c>
      <c r="CG1544" s="42" t="str">
        <f t="array" aca="1" ref="CG1544" ca="1">IFERROR(INDEX(nombres[],SMALL(IF(OFFSET(nombres[],0,0,ROWS(nombres[]),1)=CG$1490,ROW(OFFSET(nombres[],0,0,ROWS(nombres[]),1))-ROW(OFFSET(nombres[],0,0,1,1))+1,ROW(OFFSET(nombres[],ROWS(nombres[])-1,0,1,1))+1),$O1544:$O1563),3),"")</f>
        <v/>
      </c>
      <c r="CH1544" s="42" t="str">
        <f t="array" aca="1" ref="CH1544" ca="1">IFERROR(INDEX(nombres[],SMALL(IF(OFFSET(nombres[],0,0,ROWS(nombres[]),1)=CH$1490,ROW(OFFSET(nombres[],0,0,ROWS(nombres[]),1))-ROW(OFFSET(nombres[],0,0,1,1))+1,ROW(OFFSET(nombres[],ROWS(nombres[])-1,0,1,1))+1),$O1544:$O1563),3),"")</f>
        <v/>
      </c>
      <c r="CI1544" s="42" t="str">
        <f t="array" aca="1" ref="CI1544" ca="1">IFERROR(INDEX(nombres[],SMALL(IF(OFFSET(nombres[],0,0,ROWS(nombres[]),1)=CI$1490,ROW(OFFSET(nombres[],0,0,ROWS(nombres[]),1))-ROW(OFFSET(nombres[],0,0,1,1))+1,ROW(OFFSET(nombres[],ROWS(nombres[])-1,0,1,1))+1),$O1544:$O1563),3),"")</f>
        <v/>
      </c>
      <c r="CJ1544" s="42" t="str">
        <f t="array" aca="1" ref="CJ1544" ca="1">IFERROR(INDEX(nombres[],SMALL(IF(OFFSET(nombres[],0,0,ROWS(nombres[]),1)=CJ$1490,ROW(OFFSET(nombres[],0,0,ROWS(nombres[]),1))-ROW(OFFSET(nombres[],0,0,1,1))+1,ROW(OFFSET(nombres[],ROWS(nombres[])-1,0,1,1))+1),$O1544:$O1563),3),"")</f>
        <v/>
      </c>
      <c r="CK1544" s="42" t="str">
        <f t="array" aca="1" ref="CK1544" ca="1">IFERROR(INDEX(nombres[],SMALL(IF(OFFSET(nombres[],0,0,ROWS(nombres[]),1)=CK$1490,ROW(OFFSET(nombres[],0,0,ROWS(nombres[]),1))-ROW(OFFSET(nombres[],0,0,1,1))+1,ROW(OFFSET(nombres[],ROWS(nombres[])-1,0,1,1))+1),$O1544:$O1563),3),"")</f>
        <v/>
      </c>
      <c r="CL1544" s="42" t="str">
        <f t="array" aca="1" ref="CL1544" ca="1">IFERROR(INDEX(nombres[],SMALL(IF(OFFSET(nombres[],0,0,ROWS(nombres[]),1)=CL$1490,ROW(OFFSET(nombres[],0,0,ROWS(nombres[]),1))-ROW(OFFSET(nombres[],0,0,1,1))+1,ROW(OFFSET(nombres[],ROWS(nombres[])-1,0,1,1))+1),$O1544:$O1563),3),"")</f>
        <v/>
      </c>
      <c r="CM1544" s="42" t="str">
        <f t="array" aca="1" ref="CM1544" ca="1">IFERROR(INDEX(nombres[],SMALL(IF(OFFSET(nombres[],0,0,ROWS(nombres[]),1)=CM$1490,ROW(OFFSET(nombres[],0,0,ROWS(nombres[]),1))-ROW(OFFSET(nombres[],0,0,1,1))+1,ROW(OFFSET(nombres[],ROWS(nombres[])-1,0,1,1))+1),$O1544:$O1563),3),"")</f>
        <v/>
      </c>
      <c r="CN1544" s="42" t="str">
        <f t="array" aca="1" ref="CN1544" ca="1">IFERROR(INDEX(nombres[],SMALL(IF(OFFSET(nombres[],0,0,ROWS(nombres[]),1)=CN$1490,ROW(OFFSET(nombres[],0,0,ROWS(nombres[]),1))-ROW(OFFSET(nombres[],0,0,1,1))+1,ROW(OFFSET(nombres[],ROWS(nombres[])-1,0,1,1))+1),$O1544:$O1563),3),"")</f>
        <v/>
      </c>
      <c r="CO1544" s="42" t="str">
        <f t="array" aca="1" ref="CO1544" ca="1">IFERROR(INDEX(nombres[],SMALL(IF(OFFSET(nombres[],0,0,ROWS(nombres[]),1)=CO$1490,ROW(OFFSET(nombres[],0,0,ROWS(nombres[]),1))-ROW(OFFSET(nombres[],0,0,1,1))+1,ROW(OFFSET(nombres[],ROWS(nombres[])-1,0,1,1))+1),$O1544:$O1563),3),"")</f>
        <v/>
      </c>
      <c r="CP1544" s="42" t="str">
        <f t="array" aca="1" ref="CP1544" ca="1">IFERROR(INDEX(nombres[],SMALL(IF(OFFSET(nombres[],0,0,ROWS(nombres[]),1)=CP$1490,ROW(OFFSET(nombres[],0,0,ROWS(nombres[]),1))-ROW(OFFSET(nombres[],0,0,1,1))+1,ROW(OFFSET(nombres[],ROWS(nombres[])-1,0,1,1))+1),$O1544:$O1563),3),"")</f>
        <v/>
      </c>
      <c r="CQ1544" s="42" t="str">
        <f t="array" aca="1" ref="CQ1544" ca="1">IFERROR(INDEX(nombres[],SMALL(IF(OFFSET(nombres[],0,0,ROWS(nombres[]),1)=CQ$1490,ROW(OFFSET(nombres[],0,0,ROWS(nombres[]),1))-ROW(OFFSET(nombres[],0,0,1,1))+1,ROW(OFFSET(nombres[],ROWS(nombres[])-1,0,1,1))+1),$O1544:$O1563),3),"")</f>
        <v/>
      </c>
      <c r="CR1544" s="42" t="str">
        <f t="array" aca="1" ref="CR1544" ca="1">IFERROR(INDEX(nombres[],SMALL(IF(OFFSET(nombres[],0,0,ROWS(nombres[]),1)=CR$1490,ROW(OFFSET(nombres[],0,0,ROWS(nombres[]),1))-ROW(OFFSET(nombres[],0,0,1,1))+1,ROW(OFFSET(nombres[],ROWS(nombres[])-1,0,1,1))+1),$O1544:$O1563),3),"")</f>
        <v/>
      </c>
      <c r="CS1544" s="42" t="str">
        <f t="array" aca="1" ref="CS1544" ca="1">IFERROR(INDEX(nombres[],SMALL(IF(OFFSET(nombres[],0,0,ROWS(nombres[]),1)=CS$1490,ROW(OFFSET(nombres[],0,0,ROWS(nombres[]),1))-ROW(OFFSET(nombres[],0,0,1,1))+1,ROW(OFFSET(nombres[],ROWS(nombres[])-1,0,1,1))+1),$O1544:$O1563),3),"")</f>
        <v/>
      </c>
      <c r="CT1544" s="42" t="str">
        <f t="array" aca="1" ref="CT1544" ca="1">IFERROR(INDEX(nombres[],SMALL(IF(OFFSET(nombres[],0,0,ROWS(nombres[]),1)=CT$1490,ROW(OFFSET(nombres[],0,0,ROWS(nombres[]),1))-ROW(OFFSET(nombres[],0,0,1,1))+1,ROW(OFFSET(nombres[],ROWS(nombres[])-1,0,1,1))+1),$O1544:$O1563),3),"")</f>
        <v/>
      </c>
      <c r="CU1544" s="42" t="str">
        <f t="array" aca="1" ref="CU1544" ca="1">IFERROR(INDEX(nombres[],SMALL(IF(OFFSET(nombres[],0,0,ROWS(nombres[]),1)=CU$1490,ROW(OFFSET(nombres[],0,0,ROWS(nombres[]),1))-ROW(OFFSET(nombres[],0,0,1,1))+1,ROW(OFFSET(nombres[],ROWS(nombres[])-1,0,1,1))+1),$O1544:$O1563),3),"")</f>
        <v/>
      </c>
      <c r="CV1544" s="42" t="str">
        <f t="array" aca="1" ref="CV1544" ca="1">IFERROR(INDEX(nombres[],SMALL(IF(OFFSET(nombres[],0,0,ROWS(nombres[]),1)=CV$1490,ROW(OFFSET(nombres[],0,0,ROWS(nombres[]),1))-ROW(OFFSET(nombres[],0,0,1,1))+1,ROW(OFFSET(nombres[],ROWS(nombres[])-1,0,1,1))+1),$O1544:$O1563),3),"")</f>
        <v/>
      </c>
      <c r="CW1544" s="42" t="str">
        <f t="array" aca="1" ref="CW1544" ca="1">IFERROR(INDEX(nombres[],SMALL(IF(OFFSET(nombres[],0,0,ROWS(nombres[]),1)=CW$1490,ROW(OFFSET(nombres[],0,0,ROWS(nombres[]),1))-ROW(OFFSET(nombres[],0,0,1,1))+1,ROW(OFFSET(nombres[],ROWS(nombres[])-1,0,1,1))+1),$O1544:$O1563),3),"")</f>
        <v/>
      </c>
      <c r="CX1544" s="42" t="str">
        <f t="array" aca="1" ref="CX1544" ca="1">IFERROR(INDEX(nombres[],SMALL(IF(OFFSET(nombres[],0,0,ROWS(nombres[]),1)=CX$1490,ROW(OFFSET(nombres[],0,0,ROWS(nombres[]),1))-ROW(OFFSET(nombres[],0,0,1,1))+1,ROW(OFFSET(nombres[],ROWS(nombres[])-1,0,1,1))+1),$O1544:$O1563),3),"")</f>
        <v/>
      </c>
      <c r="CY1544" s="42" t="str">
        <f t="array" aca="1" ref="CY1544" ca="1">IFERROR(INDEX(nombres[],SMALL(IF(OFFSET(nombres[],0,0,ROWS(nombres[]),1)=CY$1490,ROW(OFFSET(nombres[],0,0,ROWS(nombres[]),1))-ROW(OFFSET(nombres[],0,0,1,1))+1,ROW(OFFSET(nombres[],ROWS(nombres[])-1,0,1,1))+1),$O1544:$O1563),3),"")</f>
        <v/>
      </c>
      <c r="CZ1544" s="42" t="str">
        <f t="array" aca="1" ref="CZ1544" ca="1">IFERROR(INDEX(nombres[],SMALL(IF(OFFSET(nombres[],0,0,ROWS(nombres[]),1)=CZ$1490,ROW(OFFSET(nombres[],0,0,ROWS(nombres[]),1))-ROW(OFFSET(nombres[],0,0,1,1))+1,ROW(OFFSET(nombres[],ROWS(nombres[])-1,0,1,1))+1),$O1544:$O1563),3),"")</f>
        <v/>
      </c>
      <c r="DA1544" s="42" t="str">
        <f t="array" aca="1" ref="DA1544" ca="1">IFERROR(INDEX(nombres[],SMALL(IF(OFFSET(nombres[],0,0,ROWS(nombres[]),1)=DA$1490,ROW(OFFSET(nombres[],0,0,ROWS(nombres[]),1))-ROW(OFFSET(nombres[],0,0,1,1))+1,ROW(OFFSET(nombres[],ROWS(nombres[])-1,0,1,1))+1),$O1544:$O1563),3),"")</f>
        <v/>
      </c>
      <c r="DB1544" s="42" t="str">
        <f t="array" aca="1" ref="DB1544" ca="1">IFERROR(INDEX(nombres[],SMALL(IF(OFFSET(nombres[],0,0,ROWS(nombres[]),1)=DB$1490,ROW(OFFSET(nombres[],0,0,ROWS(nombres[]),1))-ROW(OFFSET(nombres[],0,0,1,1))+1,ROW(OFFSET(nombres[],ROWS(nombres[])-1,0,1,1))+1),$O1544:$O1563),3),"")</f>
        <v/>
      </c>
      <c r="DC1544" s="42" t="str">
        <f t="array" aca="1" ref="DC1544" ca="1">IFERROR(INDEX(nombres[],SMALL(IF(OFFSET(nombres[],0,0,ROWS(nombres[]),1)=DC$1490,ROW(OFFSET(nombres[],0,0,ROWS(nombres[]),1))-ROW(OFFSET(nombres[],0,0,1,1))+1,ROW(OFFSET(nombres[],ROWS(nombres[])-1,0,1,1))+1),$O1544:$O1563),3),"")</f>
        <v/>
      </c>
      <c r="DD1544" s="42" t="str">
        <f t="array" aca="1" ref="DD1544" ca="1">IFERROR(INDEX(nombres[],SMALL(IF(OFFSET(nombres[],0,0,ROWS(nombres[]),1)=DD$1490,ROW(OFFSET(nombres[],0,0,ROWS(nombres[]),1))-ROW(OFFSET(nombres[],0,0,1,1))+1,ROW(OFFSET(nombres[],ROWS(nombres[])-1,0,1,1))+1),$O1544:$O1563),3),"")</f>
        <v/>
      </c>
      <c r="DE1544" s="42" t="str">
        <f t="array" aca="1" ref="DE1544" ca="1">IFERROR(INDEX(nombres[],SMALL(IF(OFFSET(nombres[],0,0,ROWS(nombres[]),1)=DE$1490,ROW(OFFSET(nombres[],0,0,ROWS(nombres[]),1))-ROW(OFFSET(nombres[],0,0,1,1))+1,ROW(OFFSET(nombres[],ROWS(nombres[])-1,0,1,1))+1),$O1544:$O1563),3),"")</f>
        <v/>
      </c>
      <c r="DF1544" s="42" t="str">
        <f t="array" aca="1" ref="DF1544" ca="1">IFERROR(INDEX(nombres[],SMALL(IF(OFFSET(nombres[],0,0,ROWS(nombres[]),1)=DF$1490,ROW(OFFSET(nombres[],0,0,ROWS(nombres[]),1))-ROW(OFFSET(nombres[],0,0,1,1))+1,ROW(OFFSET(nombres[],ROWS(nombres[])-1,0,1,1))+1),$O1544:$O1563),3),"")</f>
        <v/>
      </c>
      <c r="DG1544" s="42" t="str">
        <f t="array" aca="1" ref="DG1544" ca="1">IFERROR(INDEX(nombres[],SMALL(IF(OFFSET(nombres[],0,0,ROWS(nombres[]),1)=DG$1490,ROW(OFFSET(nombres[],0,0,ROWS(nombres[]),1))-ROW(OFFSET(nombres[],0,0,1,1))+1,ROW(OFFSET(nombres[],ROWS(nombres[])-1,0,1,1))+1),$O1544:$O1563),3),"")</f>
        <v/>
      </c>
      <c r="DH1544" s="42" t="str">
        <f t="array" aca="1" ref="DH1544" ca="1">IFERROR(INDEX(nombres[],SMALL(IF(OFFSET(nombres[],0,0,ROWS(nombres[]),1)=DH$1490,ROW(OFFSET(nombres[],0,0,ROWS(nombres[]),1))-ROW(OFFSET(nombres[],0,0,1,1))+1,ROW(OFFSET(nombres[],ROWS(nombres[])-1,0,1,1))+1),$O1544:$O1563),3),"")</f>
        <v/>
      </c>
      <c r="DI1544" s="42" t="str">
        <f t="array" aca="1" ref="DI1544" ca="1">IFERROR(INDEX(nombres[],SMALL(IF(OFFSET(nombres[],0,0,ROWS(nombres[]),1)=DI$1490,ROW(OFFSET(nombres[],0,0,ROWS(nombres[]),1))-ROW(OFFSET(nombres[],0,0,1,1))+1,ROW(OFFSET(nombres[],ROWS(nombres[])-1,0,1,1))+1),$O1544:$O1563),3),"")</f>
        <v/>
      </c>
      <c r="DJ1544" s="42" t="str">
        <f t="array" aca="1" ref="DJ1544" ca="1">IFERROR(INDEX(nombres[],SMALL(IF(OFFSET(nombres[],0,0,ROWS(nombres[]),1)=DJ$1490,ROW(OFFSET(nombres[],0,0,ROWS(nombres[]),1))-ROW(OFFSET(nombres[],0,0,1,1))+1,ROW(OFFSET(nombres[],ROWS(nombres[])-1,0,1,1))+1),$O1544:$O1563),3),"")</f>
        <v/>
      </c>
      <c r="DK1544" s="42" t="str">
        <f t="array" aca="1" ref="DK1544" ca="1">IFERROR(INDEX(nombres[],SMALL(IF(OFFSET(nombres[],0,0,ROWS(nombres[]),1)=DK$1490,ROW(OFFSET(nombres[],0,0,ROWS(nombres[]),1))-ROW(OFFSET(nombres[],0,0,1,1))+1,ROW(OFFSET(nombres[],ROWS(nombres[])-1,0,1,1))+1),$O1544:$O1563),3),"")</f>
        <v/>
      </c>
      <c r="DL1544" s="42" t="str">
        <f t="array" aca="1" ref="DL1544" ca="1">IFERROR(INDEX(nombres[],SMALL(IF(OFFSET(nombres[],0,0,ROWS(nombres[]),1)=DL$1490,ROW(OFFSET(nombres[],0,0,ROWS(nombres[]),1))-ROW(OFFSET(nombres[],0,0,1,1))+1,ROW(OFFSET(nombres[],ROWS(nombres[])-1,0,1,1))+1),$O1544:$O1563),3),"")</f>
        <v/>
      </c>
      <c r="DM1544" s="42" t="str">
        <f t="array" aca="1" ref="DM1544" ca="1">IFERROR(INDEX(nombres[],SMALL(IF(OFFSET(nombres[],0,0,ROWS(nombres[]),1)=DM$1490,ROW(OFFSET(nombres[],0,0,ROWS(nombres[]),1))-ROW(OFFSET(nombres[],0,0,1,1))+1,ROW(OFFSET(nombres[],ROWS(nombres[])-1,0,1,1))+1),$O1544:$O1563),3),"")</f>
        <v/>
      </c>
      <c r="DN1544" s="42" t="str">
        <f t="array" aca="1" ref="DN1544" ca="1">IFERROR(INDEX(nombres[],SMALL(IF(OFFSET(nombres[],0,0,ROWS(nombres[]),1)=DN$1490,ROW(OFFSET(nombres[],0,0,ROWS(nombres[]),1))-ROW(OFFSET(nombres[],0,0,1,1))+1,ROW(OFFSET(nombres[],ROWS(nombres[])-1,0,1,1))+1),$O1544:$O1563),3),"")</f>
        <v/>
      </c>
      <c r="DO1544" s="42" t="str">
        <f t="array" aca="1" ref="DO1544" ca="1">IFERROR(INDEX(nombres[],SMALL(IF(OFFSET(nombres[],0,0,ROWS(nombres[]),1)=DO$1490,ROW(OFFSET(nombres[],0,0,ROWS(nombres[]),1))-ROW(OFFSET(nombres[],0,0,1,1))+1,ROW(OFFSET(nombres[],ROWS(nombres[])-1,0,1,1))+1),$O1544:$O1563),3),"")</f>
        <v/>
      </c>
      <c r="DP1544" s="42" t="str">
        <f t="array" aca="1" ref="DP1544" ca="1">IFERROR(INDEX(nombres[],SMALL(IF(OFFSET(nombres[],0,0,ROWS(nombres[]),1)=DP$1490,ROW(OFFSET(nombres[],0,0,ROWS(nombres[]),1))-ROW(OFFSET(nombres[],0,0,1,1))+1,ROW(OFFSET(nombres[],ROWS(nombres[])-1,0,1,1))+1),$O1544:$O1563),3),"")</f>
        <v/>
      </c>
      <c r="DQ1544" s="42" t="str">
        <f t="array" aca="1" ref="DQ1544" ca="1">IFERROR(INDEX(nombres[],SMALL(IF(OFFSET(nombres[],0,0,ROWS(nombres[]),1)=DQ$1490,ROW(OFFSET(nombres[],0,0,ROWS(nombres[]),1))-ROW(OFFSET(nombres[],0,0,1,1))+1,ROW(OFFSET(nombres[],ROWS(nombres[])-1,0,1,1))+1),$O1544:$O1563),3),"")</f>
        <v/>
      </c>
      <c r="DR1544" s="42" t="str">
        <f t="array" aca="1" ref="DR1544" ca="1">IFERROR(INDEX(nombres[],SMALL(IF(OFFSET(nombres[],0,0,ROWS(nombres[]),1)=DR$1490,ROW(OFFSET(nombres[],0,0,ROWS(nombres[]),1))-ROW(OFFSET(nombres[],0,0,1,1))+1,ROW(OFFSET(nombres[],ROWS(nombres[])-1,0,1,1))+1),$O1544:$O1563),3),"")</f>
        <v/>
      </c>
      <c r="DS1544" s="42" t="str">
        <f t="array" aca="1" ref="DS1544" ca="1">IFERROR(INDEX(nombres[],SMALL(IF(OFFSET(nombres[],0,0,ROWS(nombres[]),1)=DS$1490,ROW(OFFSET(nombres[],0,0,ROWS(nombres[]),1))-ROW(OFFSET(nombres[],0,0,1,1))+1,ROW(OFFSET(nombres[],ROWS(nombres[])-1,0,1,1))+1),$O1544:$O1563),3),"")</f>
        <v/>
      </c>
      <c r="DT1544" s="42" t="str">
        <f t="array" aca="1" ref="DT1544" ca="1">IFERROR(INDEX(nombres[],SMALL(IF(OFFSET(nombres[],0,0,ROWS(nombres[]),1)=DT$1490,ROW(OFFSET(nombres[],0,0,ROWS(nombres[]),1))-ROW(OFFSET(nombres[],0,0,1,1))+1,ROW(OFFSET(nombres[],ROWS(nombres[])-1,0,1,1))+1),$O1544:$O1563),3),"")</f>
        <v/>
      </c>
      <c r="DU1544" s="42" t="str">
        <f t="array" aca="1" ref="DU1544" ca="1">IFERROR(INDEX(nombres[],SMALL(IF(OFFSET(nombres[],0,0,ROWS(nombres[]),1)=DU$1490,ROW(OFFSET(nombres[],0,0,ROWS(nombres[]),1))-ROW(OFFSET(nombres[],0,0,1,1))+1,ROW(OFFSET(nombres[],ROWS(nombres[])-1,0,1,1))+1),$O1544:$O1563),3),"")</f>
        <v/>
      </c>
      <c r="DV1544" s="42" t="str">
        <f t="array" aca="1" ref="DV1544" ca="1">IFERROR(INDEX(nombres[],SMALL(IF(OFFSET(nombres[],0,0,ROWS(nombres[]),1)=DV$1490,ROW(OFFSET(nombres[],0,0,ROWS(nombres[]),1))-ROW(OFFSET(nombres[],0,0,1,1))+1,ROW(OFFSET(nombres[],ROWS(nombres[])-1,0,1,1))+1),$O1544:$O1563),3),"")</f>
        <v/>
      </c>
      <c r="DW1544" s="42" t="str">
        <f t="array" aca="1" ref="DW1544" ca="1">IFERROR(INDEX(nombres[],SMALL(IF(OFFSET(nombres[],0,0,ROWS(nombres[]),1)=DW$1490,ROW(OFFSET(nombres[],0,0,ROWS(nombres[]),1))-ROW(OFFSET(nombres[],0,0,1,1))+1,ROW(OFFSET(nombres[],ROWS(nombres[])-1,0,1,1))+1),$O1544:$O1563),3),"")</f>
        <v/>
      </c>
      <c r="DX1544" s="42" t="str">
        <f t="array" aca="1" ref="DX1544" ca="1">IFERROR(INDEX(nombres[],SMALL(IF(OFFSET(nombres[],0,0,ROWS(nombres[]),1)=DX$1490,ROW(OFFSET(nombres[],0,0,ROWS(nombres[]),1))-ROW(OFFSET(nombres[],0,0,1,1))+1,ROW(OFFSET(nombres[],ROWS(nombres[])-1,0,1,1))+1),$O1544:$O1563),3),"")</f>
        <v/>
      </c>
      <c r="DY1544" s="42" t="str">
        <f t="array" aca="1" ref="DY1544" ca="1">IFERROR(INDEX(nombres[],SMALL(IF(OFFSET(nombres[],0,0,ROWS(nombres[]),1)=DY$1490,ROW(OFFSET(nombres[],0,0,ROWS(nombres[]),1))-ROW(OFFSET(nombres[],0,0,1,1))+1,ROW(OFFSET(nombres[],ROWS(nombres[])-1,0,1,1))+1),$O1544:$O1563),3),"")</f>
        <v/>
      </c>
      <c r="DZ1544" s="42" t="str">
        <f t="array" aca="1" ref="DZ1544" ca="1">IFERROR(INDEX(nombres[],SMALL(IF(OFFSET(nombres[],0,0,ROWS(nombres[]),1)=DZ$1490,ROW(OFFSET(nombres[],0,0,ROWS(nombres[]),1))-ROW(OFFSET(nombres[],0,0,1,1))+1,ROW(OFFSET(nombres[],ROWS(nombres[])-1,0,1,1))+1),$O1544:$O1563),3),"")</f>
        <v/>
      </c>
      <c r="EA1544" s="42" t="str">
        <f t="array" aca="1" ref="EA1544" ca="1">IFERROR(INDEX(nombres[],SMALL(IF(OFFSET(nombres[],0,0,ROWS(nombres[]),1)=EA$1490,ROW(OFFSET(nombres[],0,0,ROWS(nombres[]),1))-ROW(OFFSET(nombres[],0,0,1,1))+1,ROW(OFFSET(nombres[],ROWS(nombres[])-1,0,1,1))+1),$O1544:$O1563),3),"")</f>
        <v/>
      </c>
      <c r="EB1544" s="42" t="str">
        <f t="array" aca="1" ref="EB1544" ca="1">IFERROR(INDEX(nombres[],SMALL(IF(OFFSET(nombres[],0,0,ROWS(nombres[]),1)=EB$1490,ROW(OFFSET(nombres[],0,0,ROWS(nombres[]),1))-ROW(OFFSET(nombres[],0,0,1,1))+1,ROW(OFFSET(nombres[],ROWS(nombres[])-1,0,1,1))+1),$O1544:$O1563),3),"")</f>
        <v/>
      </c>
      <c r="EC1544" s="42" t="str">
        <f t="array" aca="1" ref="EC1544" ca="1">IFERROR(INDEX(nombres[],SMALL(IF(OFFSET(nombres[],0,0,ROWS(nombres[]),1)=EC$1490,ROW(OFFSET(nombres[],0,0,ROWS(nombres[]),1))-ROW(OFFSET(nombres[],0,0,1,1))+1,ROW(OFFSET(nombres[],ROWS(nombres[])-1,0,1,1))+1),$O1544:$O1563),3),"")</f>
        <v/>
      </c>
      <c r="ED1544" s="42" t="str">
        <f t="array" aca="1" ref="ED1544" ca="1">IFERROR(INDEX(nombres[],SMALL(IF(OFFSET(nombres[],0,0,ROWS(nombres[]),1)=ED$1490,ROW(OFFSET(nombres[],0,0,ROWS(nombres[]),1))-ROW(OFFSET(nombres[],0,0,1,1))+1,ROW(OFFSET(nombres[],ROWS(nombres[])-1,0,1,1))+1),$O1544:$O1563),3),"")</f>
        <v/>
      </c>
      <c r="EE1544" s="42" t="str">
        <f t="array" aca="1" ref="EE1544" ca="1">IFERROR(INDEX(nombres[],SMALL(IF(OFFSET(nombres[],0,0,ROWS(nombres[]),1)=EE$1490,ROW(OFFSET(nombres[],0,0,ROWS(nombres[]),1))-ROW(OFFSET(nombres[],0,0,1,1))+1,ROW(OFFSET(nombres[],ROWS(nombres[])-1,0,1,1))+1),$O1544:$O1563),3),"")</f>
        <v/>
      </c>
      <c r="EF1544" s="42" t="str">
        <f t="array" aca="1" ref="EF1544" ca="1">IFERROR(INDEX(nombres[],SMALL(IF(OFFSET(nombres[],0,0,ROWS(nombres[]),1)=EF$1490,ROW(OFFSET(nombres[],0,0,ROWS(nombres[]),1))-ROW(OFFSET(nombres[],0,0,1,1))+1,ROW(OFFSET(nombres[],ROWS(nombres[])-1,0,1,1))+1),$O1544:$O1563),3),"")</f>
        <v/>
      </c>
      <c r="EG1544" s="42" t="str">
        <f t="array" aca="1" ref="EG1544" ca="1">IFERROR(INDEX(nombres[],SMALL(IF(OFFSET(nombres[],0,0,ROWS(nombres[]),1)=EG$1490,ROW(OFFSET(nombres[],0,0,ROWS(nombres[]),1))-ROW(OFFSET(nombres[],0,0,1,1))+1,ROW(OFFSET(nombres[],ROWS(nombres[])-1,0,1,1))+1),$O1544:$O1563),3),"")</f>
        <v/>
      </c>
      <c r="EH1544" s="42" t="str">
        <f t="array" aca="1" ref="EH1544" ca="1">IFERROR(INDEX(nombres[],SMALL(IF(OFFSET(nombres[],0,0,ROWS(nombres[]),1)=EH$1490,ROW(OFFSET(nombres[],0,0,ROWS(nombres[]),1))-ROW(OFFSET(nombres[],0,0,1,1))+1,ROW(OFFSET(nombres[],ROWS(nombres[])-1,0,1,1))+1),$O1544:$O1563),3),"")</f>
        <v/>
      </c>
      <c r="EI1544" s="42" t="str">
        <f t="array" aca="1" ref="EI1544" ca="1">IFERROR(INDEX(nombres[],SMALL(IF(OFFSET(nombres[],0,0,ROWS(nombres[]),1)=EI$1490,ROW(OFFSET(nombres[],0,0,ROWS(nombres[]),1))-ROW(OFFSET(nombres[],0,0,1,1))+1,ROW(OFFSET(nombres[],ROWS(nombres[])-1,0,1,1))+1),$O1544:$O1563),3),"")</f>
        <v/>
      </c>
      <c r="EJ1544" s="42" t="str">
        <f t="array" aca="1" ref="EJ1544" ca="1">IFERROR(INDEX(nombres[],SMALL(IF(OFFSET(nombres[],0,0,ROWS(nombres[]),1)=EJ$1490,ROW(OFFSET(nombres[],0,0,ROWS(nombres[]),1))-ROW(OFFSET(nombres[],0,0,1,1))+1,ROW(OFFSET(nombres[],ROWS(nombres[])-1,0,1,1))+1),$O1544:$O1563),3),"")</f>
        <v/>
      </c>
      <c r="EK1544" s="42" t="str">
        <f t="array" aca="1" ref="EK1544" ca="1">IFERROR(INDEX(nombres[],SMALL(IF(OFFSET(nombres[],0,0,ROWS(nombres[]),1)=EK$1490,ROW(OFFSET(nombres[],0,0,ROWS(nombres[]),1))-ROW(OFFSET(nombres[],0,0,1,1))+1,ROW(OFFSET(nombres[],ROWS(nombres[])-1,0,1,1))+1),$O1544:$O1563),3),"")</f>
        <v/>
      </c>
      <c r="EL1544" s="42" t="str">
        <f t="array" aca="1" ref="EL1544" ca="1">IFERROR(INDEX(nombres[],SMALL(IF(OFFSET(nombres[],0,0,ROWS(nombres[]),1)=EL$1490,ROW(OFFSET(nombres[],0,0,ROWS(nombres[]),1))-ROW(OFFSET(nombres[],0,0,1,1))+1,ROW(OFFSET(nombres[],ROWS(nombres[])-1,0,1,1))+1),$O1544:$O1563),3),"")</f>
        <v/>
      </c>
      <c r="EM1544" s="42" t="str">
        <f t="array" aca="1" ref="EM1544" ca="1">IFERROR(INDEX(nombres[],SMALL(IF(OFFSET(nombres[],0,0,ROWS(nombres[]),1)=EM$1490,ROW(OFFSET(nombres[],0,0,ROWS(nombres[]),1))-ROW(OFFSET(nombres[],0,0,1,1))+1,ROW(OFFSET(nombres[],ROWS(nombres[])-1,0,1,1))+1),$O1544:$O1563),3),"")</f>
        <v/>
      </c>
      <c r="EN1544" s="42" t="str">
        <f t="array" aca="1" ref="EN1544" ca="1">IFERROR(INDEX(nombres[],SMALL(IF(OFFSET(nombres[],0,0,ROWS(nombres[]),1)=EN$1490,ROW(OFFSET(nombres[],0,0,ROWS(nombres[]),1))-ROW(OFFSET(nombres[],0,0,1,1))+1,ROW(OFFSET(nombres[],ROWS(nombres[])-1,0,1,1))+1),$O1544:$O1563),3),"")</f>
        <v/>
      </c>
      <c r="EO1544" s="42" t="str">
        <f t="array" aca="1" ref="EO1544" ca="1">IFERROR(INDEX(nombres[],SMALL(IF(OFFSET(nombres[],0,0,ROWS(nombres[]),1)=EO$1490,ROW(OFFSET(nombres[],0,0,ROWS(nombres[]),1))-ROW(OFFSET(nombres[],0,0,1,1))+1,ROW(OFFSET(nombres[],ROWS(nombres[])-1,0,1,1))+1),$O1544:$O1563),3),"")</f>
        <v/>
      </c>
      <c r="EP1544" s="42" t="str">
        <f t="array" aca="1" ref="EP1544" ca="1">IFERROR(INDEX(nombres[],SMALL(IF(OFFSET(nombres[],0,0,ROWS(nombres[]),1)=EP$1490,ROW(OFFSET(nombres[],0,0,ROWS(nombres[]),1))-ROW(OFFSET(nombres[],0,0,1,1))+1,ROW(OFFSET(nombres[],ROWS(nombres[])-1,0,1,1))+1),$O1544:$O1563),3),"")</f>
        <v/>
      </c>
      <c r="EQ1544" s="42" t="str">
        <f t="array" aca="1" ref="EQ1544" ca="1">IFERROR(INDEX(nombres[],SMALL(IF(OFFSET(nombres[],0,0,ROWS(nombres[]),1)=EQ$1490,ROW(OFFSET(nombres[],0,0,ROWS(nombres[]),1))-ROW(OFFSET(nombres[],0,0,1,1))+1,ROW(OFFSET(nombres[],ROWS(nombres[])-1,0,1,1))+1),$O1544:$O1563),3),"")</f>
        <v/>
      </c>
      <c r="ER1544" s="42" t="str">
        <f t="array" aca="1" ref="ER1544" ca="1">IFERROR(INDEX(nombres[],SMALL(IF(OFFSET(nombres[],0,0,ROWS(nombres[]),1)=ER$1490,ROW(OFFSET(nombres[],0,0,ROWS(nombres[]),1))-ROW(OFFSET(nombres[],0,0,1,1))+1,ROW(OFFSET(nombres[],ROWS(nombres[])-1,0,1,1))+1),$O1544:$O1563),3),"")</f>
        <v/>
      </c>
      <c r="ES1544" s="42" t="str">
        <f t="array" aca="1" ref="ES1544" ca="1">IFERROR(INDEX(nombres[],SMALL(IF(OFFSET(nombres[],0,0,ROWS(nombres[]),1)=ES$1490,ROW(OFFSET(nombres[],0,0,ROWS(nombres[]),1))-ROW(OFFSET(nombres[],0,0,1,1))+1,ROW(OFFSET(nombres[],ROWS(nombres[])-1,0,1,1))+1),$O1544:$O1563),3),"")</f>
        <v/>
      </c>
      <c r="ET1544" s="42" t="str">
        <f t="array" aca="1" ref="ET1544" ca="1">IFERROR(INDEX(nombres[],SMALL(IF(OFFSET(nombres[],0,0,ROWS(nombres[]),1)=ET$1490,ROW(OFFSET(nombres[],0,0,ROWS(nombres[]),1))-ROW(OFFSET(nombres[],0,0,1,1))+1,ROW(OFFSET(nombres[],ROWS(nombres[])-1,0,1,1))+1),$O1544:$O1563),3),"")</f>
        <v/>
      </c>
      <c r="EU1544" s="42" t="str">
        <f t="array" aca="1" ref="EU1544" ca="1">IFERROR(INDEX(nombres[],SMALL(IF(OFFSET(nombres[],0,0,ROWS(nombres[]),1)=EU$1490,ROW(OFFSET(nombres[],0,0,ROWS(nombres[]),1))-ROW(OFFSET(nombres[],0,0,1,1))+1,ROW(OFFSET(nombres[],ROWS(nombres[])-1,0,1,1))+1),$O1544:$O1563),3),"")</f>
        <v/>
      </c>
      <c r="EV1544" s="42" t="str">
        <f t="array" aca="1" ref="EV1544" ca="1">IFERROR(INDEX(nombres[],SMALL(IF(OFFSET(nombres[],0,0,ROWS(nombres[]),1)=EV$1490,ROW(OFFSET(nombres[],0,0,ROWS(nombres[]),1))-ROW(OFFSET(nombres[],0,0,1,1))+1,ROW(OFFSET(nombres[],ROWS(nombres[])-1,0,1,1))+1),$O1544:$O1563),3),"")</f>
        <v/>
      </c>
      <c r="EW1544" s="42" t="str">
        <f t="array" aca="1" ref="EW1544" ca="1">IFERROR(INDEX(nombres[],SMALL(IF(OFFSET(nombres[],0,0,ROWS(nombres[]),1)=EW$1490,ROW(OFFSET(nombres[],0,0,ROWS(nombres[]),1))-ROW(OFFSET(nombres[],0,0,1,1))+1,ROW(OFFSET(nombres[],ROWS(nombres[])-1,0,1,1))+1),$O1544:$O1563),3),"")</f>
        <v/>
      </c>
      <c r="EX1544" s="42" t="str">
        <f t="array" aca="1" ref="EX1544" ca="1">IFERROR(INDEX(nombres[],SMALL(IF(OFFSET(nombres[],0,0,ROWS(nombres[]),1)=EX$1490,ROW(OFFSET(nombres[],0,0,ROWS(nombres[]),1))-ROW(OFFSET(nombres[],0,0,1,1))+1,ROW(OFFSET(nombres[],ROWS(nombres[])-1,0,1,1))+1),$O1544:$O1563),3),"")</f>
        <v/>
      </c>
      <c r="EY1544" s="42" t="str">
        <f t="array" aca="1" ref="EY1544" ca="1">IFERROR(INDEX(nombres[],SMALL(IF(OFFSET(nombres[],0,0,ROWS(nombres[]),1)=EY$1490,ROW(OFFSET(nombres[],0,0,ROWS(nombres[]),1))-ROW(OFFSET(nombres[],0,0,1,1))+1,ROW(OFFSET(nombres[],ROWS(nombres[])-1,0,1,1))+1),$O1544:$O1563),3),"")</f>
        <v/>
      </c>
      <c r="EZ1544" s="42" t="str">
        <f t="array" aca="1" ref="EZ1544" ca="1">IFERROR(INDEX(nombres[],SMALL(IF(OFFSET(nombres[],0,0,ROWS(nombres[]),1)=EZ$1490,ROW(OFFSET(nombres[],0,0,ROWS(nombres[]),1))-ROW(OFFSET(nombres[],0,0,1,1))+1,ROW(OFFSET(nombres[],ROWS(nombres[])-1,0,1,1))+1),$O1544:$O1563),3),"")</f>
        <v/>
      </c>
      <c r="FA1544" s="42" t="str">
        <f t="array" aca="1" ref="FA1544" ca="1">IFERROR(INDEX(nombres[],SMALL(IF(OFFSET(nombres[],0,0,ROWS(nombres[]),1)=FA$1490,ROW(OFFSET(nombres[],0,0,ROWS(nombres[]),1))-ROW(OFFSET(nombres[],0,0,1,1))+1,ROW(OFFSET(nombres[],ROWS(nombres[])-1,0,1,1))+1),$O1544:$O1563),3),"")</f>
        <v/>
      </c>
      <c r="FB1544" s="42" t="str">
        <f t="array" aca="1" ref="FB1544" ca="1">IFERROR(INDEX(nombres[],SMALL(IF(OFFSET(nombres[],0,0,ROWS(nombres[]),1)=FB$1490,ROW(OFFSET(nombres[],0,0,ROWS(nombres[]),1))-ROW(OFFSET(nombres[],0,0,1,1))+1,ROW(OFFSET(nombres[],ROWS(nombres[])-1,0,1,1))+1),$O1544:$O1563),3),"")</f>
        <v/>
      </c>
      <c r="FC1544" s="42" t="str">
        <f t="array" aca="1" ref="FC1544" ca="1">IFERROR(INDEX(nombres[],SMALL(IF(OFFSET(nombres[],0,0,ROWS(nombres[]),1)=FC$1490,ROW(OFFSET(nombres[],0,0,ROWS(nombres[]),1))-ROW(OFFSET(nombres[],0,0,1,1))+1,ROW(OFFSET(nombres[],ROWS(nombres[])-1,0,1,1))+1),$O1544:$O1563),3),"")</f>
        <v/>
      </c>
      <c r="FD1544" s="42" t="str">
        <f t="array" aca="1" ref="FD1544" ca="1">IFERROR(INDEX(nombres[],SMALL(IF(OFFSET(nombres[],0,0,ROWS(nombres[]),1)=FD$1490,ROW(OFFSET(nombres[],0,0,ROWS(nombres[]),1))-ROW(OFFSET(nombres[],0,0,1,1))+1,ROW(OFFSET(nombres[],ROWS(nombres[])-1,0,1,1))+1),$O1544:$O1563),3),"")</f>
        <v/>
      </c>
      <c r="FE1544" s="42" t="str">
        <f t="array" aca="1" ref="FE1544" ca="1">IFERROR(INDEX(nombres[],SMALL(IF(OFFSET(nombres[],0,0,ROWS(nombres[]),1)=FE$1490,ROW(OFFSET(nombres[],0,0,ROWS(nombres[]),1))-ROW(OFFSET(nombres[],0,0,1,1))+1,ROW(OFFSET(nombres[],ROWS(nombres[])-1,0,1,1))+1),$O1544:$O1563),3),"")</f>
        <v/>
      </c>
      <c r="FF1544" s="42" t="str">
        <f t="array" aca="1" ref="FF1544" ca="1">IFERROR(INDEX(nombres[],SMALL(IF(OFFSET(nombres[],0,0,ROWS(nombres[]),1)=FF$1490,ROW(OFFSET(nombres[],0,0,ROWS(nombres[]),1))-ROW(OFFSET(nombres[],0,0,1,1))+1,ROW(OFFSET(nombres[],ROWS(nombres[])-1,0,1,1))+1),$O1544:$O1563),3),"")</f>
        <v/>
      </c>
      <c r="FG1544" s="42" t="str">
        <f t="array" aca="1" ref="FG1544" ca="1">IFERROR(INDEX(nombres[],SMALL(IF(OFFSET(nombres[],0,0,ROWS(nombres[]),1)=FG$1490,ROW(OFFSET(nombres[],0,0,ROWS(nombres[]),1))-ROW(OFFSET(nombres[],0,0,1,1))+1,ROW(OFFSET(nombres[],ROWS(nombres[])-1,0,1,1))+1),$O1544:$O1563),3),"")</f>
        <v/>
      </c>
      <c r="FH1544" s="42" t="str">
        <f t="array" aca="1" ref="FH1544" ca="1">IFERROR(INDEX(nombres[],SMALL(IF(OFFSET(nombres[],0,0,ROWS(nombres[]),1)=FH$1490,ROW(OFFSET(nombres[],0,0,ROWS(nombres[]),1))-ROW(OFFSET(nombres[],0,0,1,1))+1,ROW(OFFSET(nombres[],ROWS(nombres[])-1,0,1,1))+1),$O1544:$O1563),3),"")</f>
        <v/>
      </c>
      <c r="FI1544" s="42" t="str">
        <f t="array" aca="1" ref="FI1544" ca="1">IFERROR(INDEX(nombres[],SMALL(IF(OFFSET(nombres[],0,0,ROWS(nombres[]),1)=FI$1490,ROW(OFFSET(nombres[],0,0,ROWS(nombres[]),1))-ROW(OFFSET(nombres[],0,0,1,1))+1,ROW(OFFSET(nombres[],ROWS(nombres[])-1,0,1,1))+1),$O1544:$O1563),3),"")</f>
        <v/>
      </c>
      <c r="FJ1544" s="42" t="str">
        <f t="array" aca="1" ref="FJ1544" ca="1">IFERROR(INDEX(nombres[],SMALL(IF(OFFSET(nombres[],0,0,ROWS(nombres[]),1)=FJ$1490,ROW(OFFSET(nombres[],0,0,ROWS(nombres[]),1))-ROW(OFFSET(nombres[],0,0,1,1))+1,ROW(OFFSET(nombres[],ROWS(nombres[])-1,0,1,1))+1),$O1544:$O1563),3),"")</f>
        <v/>
      </c>
      <c r="FK1544" s="42" t="str">
        <f t="array" aca="1" ref="FK1544" ca="1">IFERROR(INDEX(nombres[],SMALL(IF(OFFSET(nombres[],0,0,ROWS(nombres[]),1)=FK$1490,ROW(OFFSET(nombres[],0,0,ROWS(nombres[]),1))-ROW(OFFSET(nombres[],0,0,1,1))+1,ROW(OFFSET(nombres[],ROWS(nombres[])-1,0,1,1))+1),$O1544:$O1563),3),"")</f>
        <v/>
      </c>
      <c r="FL1544" s="42" t="str">
        <f t="array" aca="1" ref="FL1544" ca="1">IFERROR(INDEX(nombres[],SMALL(IF(OFFSET(nombres[],0,0,ROWS(nombres[]),1)=FL$1490,ROW(OFFSET(nombres[],0,0,ROWS(nombres[]),1))-ROW(OFFSET(nombres[],0,0,1,1))+1,ROW(OFFSET(nombres[],ROWS(nombres[])-1,0,1,1))+1),$O1544:$O1563),3),"")</f>
        <v/>
      </c>
      <c r="FM1544" s="42" t="str">
        <f t="array" aca="1" ref="FM1544" ca="1">IFERROR(INDEX(nombres[],SMALL(IF(OFFSET(nombres[],0,0,ROWS(nombres[]),1)=FM$1490,ROW(OFFSET(nombres[],0,0,ROWS(nombres[]),1))-ROW(OFFSET(nombres[],0,0,1,1))+1,ROW(OFFSET(nombres[],ROWS(nombres[])-1,0,1,1))+1),$O1544:$O1563),3),"")</f>
        <v/>
      </c>
      <c r="FN1544" s="42" t="str">
        <f t="array" aca="1" ref="FN1544" ca="1">IFERROR(INDEX(nombres[],SMALL(IF(OFFSET(nombres[],0,0,ROWS(nombres[]),1)=FN$1490,ROW(OFFSET(nombres[],0,0,ROWS(nombres[]),1))-ROW(OFFSET(nombres[],0,0,1,1))+1,ROW(OFFSET(nombres[],ROWS(nombres[])-1,0,1,1))+1),$O1544:$O1563),3),"")</f>
        <v/>
      </c>
      <c r="FO1544" s="42" t="str">
        <f t="array" aca="1" ref="FO1544" ca="1">IFERROR(INDEX(nombres[],SMALL(IF(OFFSET(nombres[],0,0,ROWS(nombres[]),1)=FO$1490,ROW(OFFSET(nombres[],0,0,ROWS(nombres[]),1))-ROW(OFFSET(nombres[],0,0,1,1))+1,ROW(OFFSET(nombres[],ROWS(nombres[])-1,0,1,1))+1),$O1544:$O1563),3),"")</f>
        <v/>
      </c>
      <c r="FP1544" s="42" t="str">
        <f t="array" aca="1" ref="FP1544" ca="1">IFERROR(INDEX(nombres[],SMALL(IF(OFFSET(nombres[],0,0,ROWS(nombres[]),1)=FP$1490,ROW(OFFSET(nombres[],0,0,ROWS(nombres[]),1))-ROW(OFFSET(nombres[],0,0,1,1))+1,ROW(OFFSET(nombres[],ROWS(nombres[])-1,0,1,1))+1),$O1544:$O1563),3),"")</f>
        <v/>
      </c>
      <c r="FQ1544" s="42" t="str">
        <f t="array" aca="1" ref="FQ1544" ca="1">IFERROR(INDEX(nombres[],SMALL(IF(OFFSET(nombres[],0,0,ROWS(nombres[]),1)=FQ$1490,ROW(OFFSET(nombres[],0,0,ROWS(nombres[]),1))-ROW(OFFSET(nombres[],0,0,1,1))+1,ROW(OFFSET(nombres[],ROWS(nombres[])-1,0,1,1))+1),$O1544:$O1563),3),"")</f>
        <v/>
      </c>
      <c r="FR1544" s="42" t="str">
        <f t="array" aca="1" ref="FR1544" ca="1">IFERROR(INDEX(nombres[],SMALL(IF(OFFSET(nombres[],0,0,ROWS(nombres[]),1)=FR$1490,ROW(OFFSET(nombres[],0,0,ROWS(nombres[]),1))-ROW(OFFSET(nombres[],0,0,1,1))+1,ROW(OFFSET(nombres[],ROWS(nombres[])-1,0,1,1))+1),$O1544:$O1563),3),"")</f>
        <v/>
      </c>
      <c r="FS1544" s="42" t="str">
        <f t="array" aca="1" ref="FS1544" ca="1">IFERROR(INDEX(nombres[],SMALL(IF(OFFSET(nombres[],0,0,ROWS(nombres[]),1)=FS$1490,ROW(OFFSET(nombres[],0,0,ROWS(nombres[]),1))-ROW(OFFSET(nombres[],0,0,1,1))+1,ROW(OFFSET(nombres[],ROWS(nombres[])-1,0,1,1))+1),$O1544:$O1563),3),"")</f>
        <v/>
      </c>
      <c r="FT1544" s="42" t="str">
        <f t="array" aca="1" ref="FT1544" ca="1">IFERROR(INDEX(nombres[],SMALL(IF(OFFSET(nombres[],0,0,ROWS(nombres[]),1)=FT$1490,ROW(OFFSET(nombres[],0,0,ROWS(nombres[]),1))-ROW(OFFSET(nombres[],0,0,1,1))+1,ROW(OFFSET(nombres[],ROWS(nombres[])-1,0,1,1))+1),$O1544:$O1563),3),"")</f>
        <v/>
      </c>
      <c r="FU1544" s="42" t="str">
        <f t="array" aca="1" ref="FU1544" ca="1">IFERROR(INDEX(nombres[],SMALL(IF(OFFSET(nombres[],0,0,ROWS(nombres[]),1)=FU$1490,ROW(OFFSET(nombres[],0,0,ROWS(nombres[]),1))-ROW(OFFSET(nombres[],0,0,1,1))+1,ROW(OFFSET(nombres[],ROWS(nombres[])-1,0,1,1))+1),$O1544:$O1563),3),"")</f>
        <v/>
      </c>
      <c r="FV1544" s="42" t="str">
        <f t="array" aca="1" ref="FV1544" ca="1">IFERROR(INDEX(nombres[],SMALL(IF(OFFSET(nombres[],0,0,ROWS(nombres[]),1)=FV$1490,ROW(OFFSET(nombres[],0,0,ROWS(nombres[]),1))-ROW(OFFSET(nombres[],0,0,1,1))+1,ROW(OFFSET(nombres[],ROWS(nombres[])-1,0,1,1))+1),$O1544:$O1563),3),"")</f>
        <v/>
      </c>
      <c r="FW1544" s="42" t="str">
        <f t="array" aca="1" ref="FW1544" ca="1">IFERROR(INDEX(nombres[],SMALL(IF(OFFSET(nombres[],0,0,ROWS(nombres[]),1)=FW$1490,ROW(OFFSET(nombres[],0,0,ROWS(nombres[]),1))-ROW(OFFSET(nombres[],0,0,1,1))+1,ROW(OFFSET(nombres[],ROWS(nombres[])-1,0,1,1))+1),$O1544:$O1563),3),"")</f>
        <v/>
      </c>
      <c r="FX1544" s="42" t="str">
        <f t="array" aca="1" ref="FX1544" ca="1">IFERROR(INDEX(nombres[],SMALL(IF(OFFSET(nombres[],0,0,ROWS(nombres[]),1)=FX$1490,ROW(OFFSET(nombres[],0,0,ROWS(nombres[]),1))-ROW(OFFSET(nombres[],0,0,1,1))+1,ROW(OFFSET(nombres[],ROWS(nombres[])-1,0,1,1))+1),$O1544:$O1563),3),"")</f>
        <v/>
      </c>
      <c r="FY1544" s="42" t="str">
        <f t="array" aca="1" ref="FY1544" ca="1">IFERROR(INDEX(nombres[],SMALL(IF(OFFSET(nombres[],0,0,ROWS(nombres[]),1)=FY$1490,ROW(OFFSET(nombres[],0,0,ROWS(nombres[]),1))-ROW(OFFSET(nombres[],0,0,1,1))+1,ROW(OFFSET(nombres[],ROWS(nombres[])-1,0,1,1))+1),$O1544:$O1563),3),"")</f>
        <v/>
      </c>
      <c r="FZ1544" s="42" t="str">
        <f t="array" aca="1" ref="FZ1544" ca="1">IFERROR(INDEX(nombres[],SMALL(IF(OFFSET(nombres[],0,0,ROWS(nombres[]),1)=FZ$1490,ROW(OFFSET(nombres[],0,0,ROWS(nombres[]),1))-ROW(OFFSET(nombres[],0,0,1,1))+1,ROW(OFFSET(nombres[],ROWS(nombres[])-1,0,1,1))+1),$O1544:$O1563),3),"")</f>
        <v/>
      </c>
      <c r="GA1544" s="42" t="str">
        <f t="array" aca="1" ref="GA1544" ca="1">IFERROR(INDEX(nombres[],SMALL(IF(OFFSET(nombres[],0,0,ROWS(nombres[]),1)=GA$1490,ROW(OFFSET(nombres[],0,0,ROWS(nombres[]),1))-ROW(OFFSET(nombres[],0,0,1,1))+1,ROW(OFFSET(nombres[],ROWS(nombres[])-1,0,1,1))+1),$O1544:$O1563),3),"")</f>
        <v/>
      </c>
      <c r="GB1544" s="42" t="str">
        <f t="array" aca="1" ref="GB1544" ca="1">IFERROR(INDEX(nombres[],SMALL(IF(OFFSET(nombres[],0,0,ROWS(nombres[]),1)=GB$1490,ROW(OFFSET(nombres[],0,0,ROWS(nombres[]),1))-ROW(OFFSET(nombres[],0,0,1,1))+1,ROW(OFFSET(nombres[],ROWS(nombres[])-1,0,1,1))+1),$O1544:$O1563),3),"")</f>
        <v/>
      </c>
      <c r="GC1544" s="42" t="str">
        <f t="array" aca="1" ref="GC1544" ca="1">IFERROR(INDEX(nombres[],SMALL(IF(OFFSET(nombres[],0,0,ROWS(nombres[]),1)=GC$1490,ROW(OFFSET(nombres[],0,0,ROWS(nombres[]),1))-ROW(OFFSET(nombres[],0,0,1,1))+1,ROW(OFFSET(nombres[],ROWS(nombres[])-1,0,1,1))+1),$O1544:$O1563),3),"")</f>
        <v/>
      </c>
      <c r="GD1544" s="42" t="str">
        <f t="array" aca="1" ref="GD1544" ca="1">IFERROR(INDEX(nombres[],SMALL(IF(OFFSET(nombres[],0,0,ROWS(nombres[]),1)=GD$1490,ROW(OFFSET(nombres[],0,0,ROWS(nombres[]),1))-ROW(OFFSET(nombres[],0,0,1,1))+1,ROW(OFFSET(nombres[],ROWS(nombres[])-1,0,1,1))+1),$O1544:$O1563),3),"")</f>
        <v/>
      </c>
      <c r="GE1544" s="42" t="str">
        <f t="array" aca="1" ref="GE1544" ca="1">IFERROR(INDEX(nombres[],SMALL(IF(OFFSET(nombres[],0,0,ROWS(nombres[]),1)=GE$1490,ROW(OFFSET(nombres[],0,0,ROWS(nombres[]),1))-ROW(OFFSET(nombres[],0,0,1,1))+1,ROW(OFFSET(nombres[],ROWS(nombres[])-1,0,1,1))+1),$O1544:$O1563),3),"")</f>
        <v/>
      </c>
      <c r="GF1544" s="42" t="str">
        <f t="array" aca="1" ref="GF1544" ca="1">IFERROR(INDEX(nombres[],SMALL(IF(OFFSET(nombres[],0,0,ROWS(nombres[]),1)=GF$1490,ROW(OFFSET(nombres[],0,0,ROWS(nombres[]),1))-ROW(OFFSET(nombres[],0,0,1,1))+1,ROW(OFFSET(nombres[],ROWS(nombres[])-1,0,1,1))+1),$O1544:$O1563),3),"")</f>
        <v/>
      </c>
      <c r="GG1544" s="42" t="str">
        <f t="array" aca="1" ref="GG1544" ca="1">IFERROR(INDEX(nombres[],SMALL(IF(OFFSET(nombres[],0,0,ROWS(nombres[]),1)=GG$1490,ROW(OFFSET(nombres[],0,0,ROWS(nombres[]),1))-ROW(OFFSET(nombres[],0,0,1,1))+1,ROW(OFFSET(nombres[],ROWS(nombres[])-1,0,1,1))+1),$O1544:$O1563),3),"")</f>
        <v/>
      </c>
      <c r="GH1544" s="42" t="str">
        <f t="array" aca="1" ref="GH1544" ca="1">IFERROR(INDEX(nombres[],SMALL(IF(OFFSET(nombres[],0,0,ROWS(nombres[]),1)=GH$1490,ROW(OFFSET(nombres[],0,0,ROWS(nombres[]),1))-ROW(OFFSET(nombres[],0,0,1,1))+1,ROW(OFFSET(nombres[],ROWS(nombres[])-1,0,1,1))+1),$O1544:$O1563),3),"")</f>
        <v/>
      </c>
      <c r="GI1544" s="42" t="str">
        <f t="array" aca="1" ref="GI1544" ca="1">IFERROR(INDEX(nombres[],SMALL(IF(OFFSET(nombres[],0,0,ROWS(nombres[]),1)=GI$1490,ROW(OFFSET(nombres[],0,0,ROWS(nombres[]),1))-ROW(OFFSET(nombres[],0,0,1,1))+1,ROW(OFFSET(nombres[],ROWS(nombres[])-1,0,1,1))+1),$O1544:$O1563),3),"")</f>
        <v/>
      </c>
      <c r="GJ1544" s="42" t="str">
        <f t="array" aca="1" ref="GJ1544" ca="1">IFERROR(INDEX(nombres[],SMALL(IF(OFFSET(nombres[],0,0,ROWS(nombres[]),1)=GJ$1490,ROW(OFFSET(nombres[],0,0,ROWS(nombres[]),1))-ROW(OFFSET(nombres[],0,0,1,1))+1,ROW(OFFSET(nombres[],ROWS(nombres[])-1,0,1,1))+1),$O1544:$O1563),3),"")</f>
        <v/>
      </c>
      <c r="GK1544" s="42" t="str">
        <f t="array" aca="1" ref="GK1544" ca="1">IFERROR(INDEX(nombres[],SMALL(IF(OFFSET(nombres[],0,0,ROWS(nombres[]),1)=GK$1490,ROW(OFFSET(nombres[],0,0,ROWS(nombres[]),1))-ROW(OFFSET(nombres[],0,0,1,1))+1,ROW(OFFSET(nombres[],ROWS(nombres[])-1,0,1,1))+1),$O1544:$O1563),3),"")</f>
        <v/>
      </c>
      <c r="GL1544" s="42" t="str">
        <f t="array" aca="1" ref="GL1544" ca="1">IFERROR(INDEX(nombres[],SMALL(IF(OFFSET(nombres[],0,0,ROWS(nombres[]),1)=GL$1490,ROW(OFFSET(nombres[],0,0,ROWS(nombres[]),1))-ROW(OFFSET(nombres[],0,0,1,1))+1,ROW(OFFSET(nombres[],ROWS(nombres[])-1,0,1,1))+1),$O1544:$O1563),3),"")</f>
        <v/>
      </c>
      <c r="GM1544" s="42" t="str">
        <f t="array" aca="1" ref="GM1544" ca="1">IFERROR(INDEX(nombres[],SMALL(IF(OFFSET(nombres[],0,0,ROWS(nombres[]),1)=GM$1490,ROW(OFFSET(nombres[],0,0,ROWS(nombres[]),1))-ROW(OFFSET(nombres[],0,0,1,1))+1,ROW(OFFSET(nombres[],ROWS(nombres[])-1,0,1,1))+1),$O1544:$O1563),3),"")</f>
        <v/>
      </c>
      <c r="GN1544" s="42" t="str">
        <f t="array" aca="1" ref="GN1544" ca="1">IFERROR(INDEX(nombres[],SMALL(IF(OFFSET(nombres[],0,0,ROWS(nombres[]),1)=GN$1490,ROW(OFFSET(nombres[],0,0,ROWS(nombres[]),1))-ROW(OFFSET(nombres[],0,0,1,1))+1,ROW(OFFSET(nombres[],ROWS(nombres[])-1,0,1,1))+1),$O1544:$O1563),3),"")</f>
        <v/>
      </c>
      <c r="GO1544" s="42" t="str">
        <f t="array" aca="1" ref="GO1544" ca="1">IFERROR(INDEX(nombres[],SMALL(IF(OFFSET(nombres[],0,0,ROWS(nombres[]),1)=GO$1490,ROW(OFFSET(nombres[],0,0,ROWS(nombres[]),1))-ROW(OFFSET(nombres[],0,0,1,1))+1,ROW(OFFSET(nombres[],ROWS(nombres[])-1,0,1,1))+1),$O1544:$O1563),3),"")</f>
        <v/>
      </c>
      <c r="GP1544" s="42" t="str">
        <f t="array" aca="1" ref="GP1544" ca="1">IFERROR(INDEX(nombres[],SMALL(IF(OFFSET(nombres[],0,0,ROWS(nombres[]),1)=GP$1490,ROW(OFFSET(nombres[],0,0,ROWS(nombres[]),1))-ROW(OFFSET(nombres[],0,0,1,1))+1,ROW(OFFSET(nombres[],ROWS(nombres[])-1,0,1,1))+1),$O1544:$O1563),3),"")</f>
        <v/>
      </c>
      <c r="GQ1544" s="42" t="str">
        <f t="array" aca="1" ref="GQ1544" ca="1">IFERROR(INDEX(nombres[],SMALL(IF(OFFSET(nombres[],0,0,ROWS(nombres[]),1)=GQ$1490,ROW(OFFSET(nombres[],0,0,ROWS(nombres[]),1))-ROW(OFFSET(nombres[],0,0,1,1))+1,ROW(OFFSET(nombres[],ROWS(nombres[])-1,0,1,1))+1),$O1544:$O1563),3),"")</f>
        <v/>
      </c>
      <c r="GR1544" s="42" t="str">
        <f t="array" aca="1" ref="GR1544" ca="1">IFERROR(INDEX(nombres[],SMALL(IF(OFFSET(nombres[],0,0,ROWS(nombres[]),1)=GR$1490,ROW(OFFSET(nombres[],0,0,ROWS(nombres[]),1))-ROW(OFFSET(nombres[],0,0,1,1))+1,ROW(OFFSET(nombres[],ROWS(nombres[])-1,0,1,1))+1),$O1544:$O1563),3),"")</f>
        <v/>
      </c>
      <c r="GS1544" s="42" t="str">
        <f t="array" aca="1" ref="GS1544" ca="1">IFERROR(INDEX(nombres[],SMALL(IF(OFFSET(nombres[],0,0,ROWS(nombres[]),1)=GS$1490,ROW(OFFSET(nombres[],0,0,ROWS(nombres[]),1))-ROW(OFFSET(nombres[],0,0,1,1))+1,ROW(OFFSET(nombres[],ROWS(nombres[])-1,0,1,1))+1),$O1544:$O1563),3),"")</f>
        <v/>
      </c>
      <c r="GT1544" s="42" t="str">
        <f t="array" aca="1" ref="GT1544" ca="1">IFERROR(INDEX(nombres[],SMALL(IF(OFFSET(nombres[],0,0,ROWS(nombres[]),1)=GT$1490,ROW(OFFSET(nombres[],0,0,ROWS(nombres[]),1))-ROW(OFFSET(nombres[],0,0,1,1))+1,ROW(OFFSET(nombres[],ROWS(nombres[])-1,0,1,1))+1),$O1544:$O1563),3),"")</f>
        <v/>
      </c>
      <c r="GU1544" s="42" t="str">
        <f t="array" aca="1" ref="GU1544" ca="1">IFERROR(INDEX(nombres[],SMALL(IF(OFFSET(nombres[],0,0,ROWS(nombres[]),1)=GU$1490,ROW(OFFSET(nombres[],0,0,ROWS(nombres[]),1))-ROW(OFFSET(nombres[],0,0,1,1))+1,ROW(OFFSET(nombres[],ROWS(nombres[])-1,0,1,1))+1),$O1544:$O1563),3),"")</f>
        <v/>
      </c>
      <c r="GV1544" s="42" t="str">
        <f t="array" aca="1" ref="GV1544" ca="1">IFERROR(INDEX(nombres[],SMALL(IF(OFFSET(nombres[],0,0,ROWS(nombres[]),1)=GV$1490,ROW(OFFSET(nombres[],0,0,ROWS(nombres[]),1))-ROW(OFFSET(nombres[],0,0,1,1))+1,ROW(OFFSET(nombres[],ROWS(nombres[])-1,0,1,1))+1),$O1544:$O1563),3),"")</f>
        <v/>
      </c>
      <c r="GW1544" s="42" t="str">
        <f t="array" aca="1" ref="GW1544" ca="1">IFERROR(INDEX(nombres[],SMALL(IF(OFFSET(nombres[],0,0,ROWS(nombres[]),1)=GW$1490,ROW(OFFSET(nombres[],0,0,ROWS(nombres[]),1))-ROW(OFFSET(nombres[],0,0,1,1))+1,ROW(OFFSET(nombres[],ROWS(nombres[])-1,0,1,1))+1),$O1544:$O1563),3),"")</f>
        <v/>
      </c>
      <c r="GX1544" s="42" t="str">
        <f t="array" aca="1" ref="GX1544" ca="1">IFERROR(INDEX(nombres[],SMALL(IF(OFFSET(nombres[],0,0,ROWS(nombres[]),1)=GX$1490,ROW(OFFSET(nombres[],0,0,ROWS(nombres[]),1))-ROW(OFFSET(nombres[],0,0,1,1))+1,ROW(OFFSET(nombres[],ROWS(nombres[])-1,0,1,1))+1),$O1544:$O1563),3),"")</f>
        <v/>
      </c>
      <c r="GY1544" s="42" t="str">
        <f t="array" aca="1" ref="GY1544" ca="1">IFERROR(INDEX(nombres[],SMALL(IF(OFFSET(nombres[],0,0,ROWS(nombres[]),1)=GY$1490,ROW(OFFSET(nombres[],0,0,ROWS(nombres[]),1))-ROW(OFFSET(nombres[],0,0,1,1))+1,ROW(OFFSET(nombres[],ROWS(nombres[])-1,0,1,1))+1),$O1544:$O1563),3),"")</f>
        <v/>
      </c>
      <c r="GZ1544" s="42" t="str">
        <f t="array" aca="1" ref="GZ1544" ca="1">IFERROR(INDEX(nombres[],SMALL(IF(OFFSET(nombres[],0,0,ROWS(nombres[]),1)=GZ$1490,ROW(OFFSET(nombres[],0,0,ROWS(nombres[]),1))-ROW(OFFSET(nombres[],0,0,1,1))+1,ROW(OFFSET(nombres[],ROWS(nombres[])-1,0,1,1))+1),$O1544:$O1563),3),"")</f>
        <v/>
      </c>
      <c r="HA1544" s="42" t="str">
        <f t="array" aca="1" ref="HA1544" ca="1">IFERROR(INDEX(nombres[],SMALL(IF(OFFSET(nombres[],0,0,ROWS(nombres[]),1)=HA$1490,ROW(OFFSET(nombres[],0,0,ROWS(nombres[]),1))-ROW(OFFSET(nombres[],0,0,1,1))+1,ROW(OFFSET(nombres[],ROWS(nombres[])-1,0,1,1))+1),$O1544:$O1563),3),"")</f>
        <v/>
      </c>
      <c r="HB1544" s="42" t="str">
        <f t="array" aca="1" ref="HB1544" ca="1">IFERROR(INDEX(nombres[],SMALL(IF(OFFSET(nombres[],0,0,ROWS(nombres[]),1)=HB$1490,ROW(OFFSET(nombres[],0,0,ROWS(nombres[]),1))-ROW(OFFSET(nombres[],0,0,1,1))+1,ROW(OFFSET(nombres[],ROWS(nombres[])-1,0,1,1))+1),$O1544:$O1563),3),"")</f>
        <v/>
      </c>
      <c r="HC1544" s="42" t="str">
        <f t="array" aca="1" ref="HC1544" ca="1">IFERROR(INDEX(nombres[],SMALL(IF(OFFSET(nombres[],0,0,ROWS(nombres[]),1)=HC$1490,ROW(OFFSET(nombres[],0,0,ROWS(nombres[]),1))-ROW(OFFSET(nombres[],0,0,1,1))+1,ROW(OFFSET(nombres[],ROWS(nombres[])-1,0,1,1))+1),$O1544:$O1563),3),"")</f>
        <v/>
      </c>
      <c r="HD1544" s="42" t="str">
        <f t="array" aca="1" ref="HD1544" ca="1">IFERROR(INDEX(nombres[],SMALL(IF(OFFSET(nombres[],0,0,ROWS(nombres[]),1)=HD$1490,ROW(OFFSET(nombres[],0,0,ROWS(nombres[]),1))-ROW(OFFSET(nombres[],0,0,1,1))+1,ROW(OFFSET(nombres[],ROWS(nombres[])-1,0,1,1))+1),$O1544:$O1563),3),"")</f>
        <v/>
      </c>
      <c r="HE1544" s="42" t="str">
        <f t="array" aca="1" ref="HE1544" ca="1">IFERROR(INDEX(nombres[],SMALL(IF(OFFSET(nombres[],0,0,ROWS(nombres[]),1)=HE$1490,ROW(OFFSET(nombres[],0,0,ROWS(nombres[]),1))-ROW(OFFSET(nombres[],0,0,1,1))+1,ROW(OFFSET(nombres[],ROWS(nombres[])-1,0,1,1))+1),$O1544:$O1563),3),"")</f>
        <v/>
      </c>
      <c r="HF1544" s="42" t="str">
        <f t="array" aca="1" ref="HF1544" ca="1">IFERROR(INDEX(nombres[],SMALL(IF(OFFSET(nombres[],0,0,ROWS(nombres[]),1)=HF$1490,ROW(OFFSET(nombres[],0,0,ROWS(nombres[]),1))-ROW(OFFSET(nombres[],0,0,1,1))+1,ROW(OFFSET(nombres[],ROWS(nombres[])-1,0,1,1))+1),$O1544:$O1563),3),"")</f>
        <v/>
      </c>
      <c r="HG1544" s="42" t="str">
        <f t="array" aca="1" ref="HG1544" ca="1">IFERROR(INDEX(nombres[],SMALL(IF(OFFSET(nombres[],0,0,ROWS(nombres[]),1)=HG$1490,ROW(OFFSET(nombres[],0,0,ROWS(nombres[]),1))-ROW(OFFSET(nombres[],0,0,1,1))+1,ROW(OFFSET(nombres[],ROWS(nombres[])-1,0,1,1))+1),$O1544:$O1563),3),"")</f>
        <v/>
      </c>
      <c r="HH1544" s="42" t="str">
        <f t="array" aca="1" ref="HH1544" ca="1">IFERROR(INDEX(nombres[],SMALL(IF(OFFSET(nombres[],0,0,ROWS(nombres[]),1)=HH$1490,ROW(OFFSET(nombres[],0,0,ROWS(nombres[]),1))-ROW(OFFSET(nombres[],0,0,1,1))+1,ROW(OFFSET(nombres[],ROWS(nombres[])-1,0,1,1))+1),$O1544:$O1563),3),"")</f>
        <v/>
      </c>
      <c r="HI1544" s="42" t="str">
        <f t="array" aca="1" ref="HI1544" ca="1">IFERROR(INDEX(nombres[],SMALL(IF(OFFSET(nombres[],0,0,ROWS(nombres[]),1)=HI$1490,ROW(OFFSET(nombres[],0,0,ROWS(nombres[]),1))-ROW(OFFSET(nombres[],0,0,1,1))+1,ROW(OFFSET(nombres[],ROWS(nombres[])-1,0,1,1))+1),$O1544:$O1563),3),"")</f>
        <v/>
      </c>
      <c r="HJ1544" s="42" t="str">
        <f t="array" aca="1" ref="HJ1544" ca="1">IFERROR(INDEX(nombres[],SMALL(IF(OFFSET(nombres[],0,0,ROWS(nombres[]),1)=HJ$1490,ROW(OFFSET(nombres[],0,0,ROWS(nombres[]),1))-ROW(OFFSET(nombres[],0,0,1,1))+1,ROW(OFFSET(nombres[],ROWS(nombres[])-1,0,1,1))+1),$O1544:$O1563),3),"")</f>
        <v/>
      </c>
      <c r="HK1544" s="42" t="str">
        <f t="array" aca="1" ref="HK1544" ca="1">IFERROR(INDEX(nombres[],SMALL(IF(OFFSET(nombres[],0,0,ROWS(nombres[]),1)=HK$1490,ROW(OFFSET(nombres[],0,0,ROWS(nombres[]),1))-ROW(OFFSET(nombres[],0,0,1,1))+1,ROW(OFFSET(nombres[],ROWS(nombres[])-1,0,1,1))+1),$O1544:$O1563),3),"")</f>
        <v/>
      </c>
      <c r="HL1544" s="42" t="str">
        <f t="array" aca="1" ref="HL1544" ca="1">IFERROR(INDEX(nombres[],SMALL(IF(OFFSET(nombres[],0,0,ROWS(nombres[]),1)=HL$1490,ROW(OFFSET(nombres[],0,0,ROWS(nombres[]),1))-ROW(OFFSET(nombres[],0,0,1,1))+1,ROW(OFFSET(nombres[],ROWS(nombres[])-1,0,1,1))+1),$O1544:$O1563),3),"")</f>
        <v/>
      </c>
      <c r="HM1544" s="42" t="str">
        <f t="array" aca="1" ref="HM1544" ca="1">IFERROR(INDEX(nombres[],SMALL(IF(OFFSET(nombres[],0,0,ROWS(nombres[]),1)=HM$1490,ROW(OFFSET(nombres[],0,0,ROWS(nombres[]),1))-ROW(OFFSET(nombres[],0,0,1,1))+1,ROW(OFFSET(nombres[],ROWS(nombres[])-1,0,1,1))+1),$O1544:$O1563),3),"")</f>
        <v/>
      </c>
      <c r="HN1544" s="42" t="str">
        <f t="array" aca="1" ref="HN1544" ca="1">IFERROR(INDEX(nombres[],SMALL(IF(OFFSET(nombres[],0,0,ROWS(nombres[]),1)=HN$1490,ROW(OFFSET(nombres[],0,0,ROWS(nombres[]),1))-ROW(OFFSET(nombres[],0,0,1,1))+1,ROW(OFFSET(nombres[],ROWS(nombres[])-1,0,1,1))+1),$O1544:$O1563),3),"")</f>
        <v/>
      </c>
      <c r="HO1544" s="42" t="str">
        <f t="array" aca="1" ref="HO1544" ca="1">IFERROR(INDEX(nombres[],SMALL(IF(OFFSET(nombres[],0,0,ROWS(nombres[]),1)=HO$1490,ROW(OFFSET(nombres[],0,0,ROWS(nombres[]),1))-ROW(OFFSET(nombres[],0,0,1,1))+1,ROW(OFFSET(nombres[],ROWS(nombres[])-1,0,1,1))+1),$O1544:$O1563),3),"")</f>
        <v/>
      </c>
      <c r="HP1544" s="42" t="str">
        <f t="array" aca="1" ref="HP1544" ca="1">IFERROR(INDEX(nombres[],SMALL(IF(OFFSET(nombres[],0,0,ROWS(nombres[]),1)=HP$1490,ROW(OFFSET(nombres[],0,0,ROWS(nombres[]),1))-ROW(OFFSET(nombres[],0,0,1,1))+1,ROW(OFFSET(nombres[],ROWS(nombres[])-1,0,1,1))+1),$O1544:$O1563),3),"")</f>
        <v/>
      </c>
      <c r="HQ1544" s="42" t="str">
        <f t="array" aca="1" ref="HQ1544" ca="1">IFERROR(INDEX(nombres[],SMALL(IF(OFFSET(nombres[],0,0,ROWS(nombres[]),1)=HQ$1490,ROW(OFFSET(nombres[],0,0,ROWS(nombres[]),1))-ROW(OFFSET(nombres[],0,0,1,1))+1,ROW(OFFSET(nombres[],ROWS(nombres[])-1,0,1,1))+1),$O1544:$O1563),3),"")</f>
        <v/>
      </c>
      <c r="HR1544" s="42" t="str">
        <f t="array" aca="1" ref="HR1544" ca="1">IFERROR(INDEX(nombres[],SMALL(IF(OFFSET(nombres[],0,0,ROWS(nombres[]),1)=HR$1490,ROW(OFFSET(nombres[],0,0,ROWS(nombres[]),1))-ROW(OFFSET(nombres[],0,0,1,1))+1,ROW(OFFSET(nombres[],ROWS(nombres[])-1,0,1,1))+1),$O1544:$O1563),3),"")</f>
        <v/>
      </c>
      <c r="HS1544" s="42" t="str">
        <f t="array" aca="1" ref="HS1544" ca="1">IFERROR(INDEX(nombres[],SMALL(IF(OFFSET(nombres[],0,0,ROWS(nombres[]),1)=HS$1490,ROW(OFFSET(nombres[],0,0,ROWS(nombres[]),1))-ROW(OFFSET(nombres[],0,0,1,1))+1,ROW(OFFSET(nombres[],ROWS(nombres[])-1,0,1,1))+1),$O1544:$O1563),3),"")</f>
        <v/>
      </c>
      <c r="HT1544" s="42" t="str">
        <f t="array" aca="1" ref="HT1544" ca="1">IFERROR(INDEX(nombres[],SMALL(IF(OFFSET(nombres[],0,0,ROWS(nombres[]),1)=HT$1490,ROW(OFFSET(nombres[],0,0,ROWS(nombres[]),1))-ROW(OFFSET(nombres[],0,0,1,1))+1,ROW(OFFSET(nombres[],ROWS(nombres[])-1,0,1,1))+1),$O1544:$O1563),3),"")</f>
        <v/>
      </c>
      <c r="HU1544" s="42" t="str">
        <f t="array" aca="1" ref="HU1544" ca="1">IFERROR(INDEX(nombres[],SMALL(IF(OFFSET(nombres[],0,0,ROWS(nombres[]),1)=HU$1490,ROW(OFFSET(nombres[],0,0,ROWS(nombres[]),1))-ROW(OFFSET(nombres[],0,0,1,1))+1,ROW(OFFSET(nombres[],ROWS(nombres[])-1,0,1,1))+1),$O1544:$O1563),3),"")</f>
        <v/>
      </c>
      <c r="HV1544" s="42" t="str">
        <f t="array" aca="1" ref="HV1544" ca="1">IFERROR(INDEX(nombres[],SMALL(IF(OFFSET(nombres[],0,0,ROWS(nombres[]),1)=HV$1490,ROW(OFFSET(nombres[],0,0,ROWS(nombres[]),1))-ROW(OFFSET(nombres[],0,0,1,1))+1,ROW(OFFSET(nombres[],ROWS(nombres[])-1,0,1,1))+1),$O1544:$O1563),3),"")</f>
        <v/>
      </c>
      <c r="HW1544" s="42" t="str">
        <f t="array" aca="1" ref="HW1544" ca="1">IFERROR(INDEX(nombres[],SMALL(IF(OFFSET(nombres[],0,0,ROWS(nombres[]),1)=HW$1490,ROW(OFFSET(nombres[],0,0,ROWS(nombres[]),1))-ROW(OFFSET(nombres[],0,0,1,1))+1,ROW(OFFSET(nombres[],ROWS(nombres[])-1,0,1,1))+1),$O1544:$O1563),3),"")</f>
        <v/>
      </c>
      <c r="HX1544" s="42" t="str">
        <f t="array" aca="1" ref="HX1544" ca="1">IFERROR(INDEX(nombres[],SMALL(IF(OFFSET(nombres[],0,0,ROWS(nombres[]),1)=HX$1490,ROW(OFFSET(nombres[],0,0,ROWS(nombres[]),1))-ROW(OFFSET(nombres[],0,0,1,1))+1,ROW(OFFSET(nombres[],ROWS(nombres[])-1,0,1,1))+1),$O1544:$O1563),3),"")</f>
        <v/>
      </c>
      <c r="HY1544" s="42" t="str">
        <f t="array" aca="1" ref="HY1544" ca="1">IFERROR(INDEX(nombres[],SMALL(IF(OFFSET(nombres[],0,0,ROWS(nombres[]),1)=HY$1490,ROW(OFFSET(nombres[],0,0,ROWS(nombres[]),1))-ROW(OFFSET(nombres[],0,0,1,1))+1,ROW(OFFSET(nombres[],ROWS(nombres[])-1,0,1,1))+1),$O1544:$O1563),3),"")</f>
        <v/>
      </c>
      <c r="HZ1544" s="42" t="str">
        <f t="array" aca="1" ref="HZ1544" ca="1">IFERROR(INDEX(nombres[],SMALL(IF(OFFSET(nombres[],0,0,ROWS(nombres[]),1)=HZ$1490,ROW(OFFSET(nombres[],0,0,ROWS(nombres[]),1))-ROW(OFFSET(nombres[],0,0,1,1))+1,ROW(OFFSET(nombres[],ROWS(nombres[])-1,0,1,1))+1),$O1544:$O1563),3),"")</f>
        <v/>
      </c>
      <c r="IA1544" s="42" t="str">
        <f t="array" aca="1" ref="IA1544" ca="1">IFERROR(INDEX(nombres[],SMALL(IF(OFFSET(nombres[],0,0,ROWS(nombres[]),1)=IA$1490,ROW(OFFSET(nombres[],0,0,ROWS(nombres[]),1))-ROW(OFFSET(nombres[],0,0,1,1))+1,ROW(OFFSET(nombres[],ROWS(nombres[])-1,0,1,1))+1),$O1544:$O1563),3),"")</f>
        <v/>
      </c>
      <c r="IB1544" s="42" t="str">
        <f t="array" aca="1" ref="IB1544" ca="1">IFERROR(INDEX(nombres[],SMALL(IF(OFFSET(nombres[],0,0,ROWS(nombres[]),1)=IB$1490,ROW(OFFSET(nombres[],0,0,ROWS(nombres[]),1))-ROW(OFFSET(nombres[],0,0,1,1))+1,ROW(OFFSET(nombres[],ROWS(nombres[])-1,0,1,1))+1),$O1544:$O1563),3),"")</f>
        <v/>
      </c>
      <c r="IC1544" s="42" t="str">
        <f t="array" aca="1" ref="IC1544" ca="1">IFERROR(INDEX(nombres[],SMALL(IF(OFFSET(nombres[],0,0,ROWS(nombres[]),1)=IC$1490,ROW(OFFSET(nombres[],0,0,ROWS(nombres[]),1))-ROW(OFFSET(nombres[],0,0,1,1))+1,ROW(OFFSET(nombres[],ROWS(nombres[])-1,0,1,1))+1),$O1544:$O1563),3),"")</f>
        <v/>
      </c>
      <c r="ID1544" s="42" t="str">
        <f t="array" aca="1" ref="ID1544" ca="1">IFERROR(INDEX(nombres[],SMALL(IF(OFFSET(nombres[],0,0,ROWS(nombres[]),1)=ID$1490,ROW(OFFSET(nombres[],0,0,ROWS(nombres[]),1))-ROW(OFFSET(nombres[],0,0,1,1))+1,ROW(OFFSET(nombres[],ROWS(nombres[])-1,0,1,1))+1),$O1544:$O1563),3),"")</f>
        <v/>
      </c>
      <c r="IE1544" s="42" t="str">
        <f t="array" aca="1" ref="IE1544" ca="1">IFERROR(INDEX(nombres[],SMALL(IF(OFFSET(nombres[],0,0,ROWS(nombres[]),1)=IE$1490,ROW(OFFSET(nombres[],0,0,ROWS(nombres[]),1))-ROW(OFFSET(nombres[],0,0,1,1))+1,ROW(OFFSET(nombres[],ROWS(nombres[])-1,0,1,1))+1),$O1544:$O1563),3),"")</f>
        <v/>
      </c>
      <c r="IF1544" s="42" t="str">
        <f t="array" aca="1" ref="IF1544" ca="1">IFERROR(INDEX(nombres[],SMALL(IF(OFFSET(nombres[],0,0,ROWS(nombres[]),1)=IF$1490,ROW(OFFSET(nombres[],0,0,ROWS(nombres[]),1))-ROW(OFFSET(nombres[],0,0,1,1))+1,ROW(OFFSET(nombres[],ROWS(nombres[])-1,0,1,1))+1),$O1544:$O1563),3),"")</f>
        <v/>
      </c>
      <c r="IG1544" s="42" t="str">
        <f t="array" aca="1" ref="IG1544" ca="1">IFERROR(INDEX(nombres[],SMALL(IF(OFFSET(nombres[],0,0,ROWS(nombres[]),1)=IG$1490,ROW(OFFSET(nombres[],0,0,ROWS(nombres[]),1))-ROW(OFFSET(nombres[],0,0,1,1))+1,ROW(OFFSET(nombres[],ROWS(nombres[])-1,0,1,1))+1),$O1544:$O1563),3),"")</f>
        <v/>
      </c>
      <c r="IH1544" s="42" t="str">
        <f t="array" aca="1" ref="IH1544" ca="1">IFERROR(INDEX(nombres[],SMALL(IF(OFFSET(nombres[],0,0,ROWS(nombres[]),1)=IH$1490,ROW(OFFSET(nombres[],0,0,ROWS(nombres[]),1))-ROW(OFFSET(nombres[],0,0,1,1))+1,ROW(OFFSET(nombres[],ROWS(nombres[])-1,0,1,1))+1),$O1544:$O1563),3),"")</f>
        <v/>
      </c>
      <c r="II1544" s="42" t="str">
        <f t="array" aca="1" ref="II1544" ca="1">IFERROR(INDEX(nombres[],SMALL(IF(OFFSET(nombres[],0,0,ROWS(nombres[]),1)=II$1490,ROW(OFFSET(nombres[],0,0,ROWS(nombres[]),1))-ROW(OFFSET(nombres[],0,0,1,1))+1,ROW(OFFSET(nombres[],ROWS(nombres[])-1,0,1,1))+1),$O1544:$O1563),3),"")</f>
        <v/>
      </c>
      <c r="IJ1544" s="42" t="str">
        <f t="array" aca="1" ref="IJ1544" ca="1">IFERROR(INDEX(nombres[],SMALL(IF(OFFSET(nombres[],0,0,ROWS(nombres[]),1)=IJ$1490,ROW(OFFSET(nombres[],0,0,ROWS(nombres[]),1))-ROW(OFFSET(nombres[],0,0,1,1))+1,ROW(OFFSET(nombres[],ROWS(nombres[])-1,0,1,1))+1),$O1544:$O1563),3),"")</f>
        <v/>
      </c>
      <c r="IK1544" s="42" t="str">
        <f t="array" aca="1" ref="IK1544" ca="1">IFERROR(INDEX(nombres[],SMALL(IF(OFFSET(nombres[],0,0,ROWS(nombres[]),1)=IK$1490,ROW(OFFSET(nombres[],0,0,ROWS(nombres[]),1))-ROW(OFFSET(nombres[],0,0,1,1))+1,ROW(OFFSET(nombres[],ROWS(nombres[])-1,0,1,1))+1),$O1544:$O1563),3),"")</f>
        <v/>
      </c>
      <c r="IL1544" s="42" t="str">
        <f t="array" aca="1" ref="IL1544" ca="1">IFERROR(INDEX(nombres[],SMALL(IF(OFFSET(nombres[],0,0,ROWS(nombres[]),1)=IL$1490,ROW(OFFSET(nombres[],0,0,ROWS(nombres[]),1))-ROW(OFFSET(nombres[],0,0,1,1))+1,ROW(OFFSET(nombres[],ROWS(nombres[])-1,0,1,1))+1),$O1544:$O1563),3),"")</f>
        <v/>
      </c>
      <c r="IM1544" s="42" t="str">
        <f t="array" aca="1" ref="IM1544" ca="1">IFERROR(INDEX(nombres[],SMALL(IF(OFFSET(nombres[],0,0,ROWS(nombres[]),1)=IM$1490,ROW(OFFSET(nombres[],0,0,ROWS(nombres[]),1))-ROW(OFFSET(nombres[],0,0,1,1))+1,ROW(OFFSET(nombres[],ROWS(nombres[])-1,0,1,1))+1),$O1544:$O1563),3),"")</f>
        <v/>
      </c>
      <c r="IN1544" s="42" t="str">
        <f t="array" aca="1" ref="IN1544" ca="1">IFERROR(INDEX(nombres[],SMALL(IF(OFFSET(nombres[],0,0,ROWS(nombres[]),1)=IN$1490,ROW(OFFSET(nombres[],0,0,ROWS(nombres[]),1))-ROW(OFFSET(nombres[],0,0,1,1))+1,ROW(OFFSET(nombres[],ROWS(nombres[])-1,0,1,1))+1),$O1544:$O1563),3),"")</f>
        <v/>
      </c>
      <c r="IO1544" s="42" t="str">
        <f t="array" aca="1" ref="IO1544" ca="1">IFERROR(INDEX(nombres[],SMALL(IF(OFFSET(nombres[],0,0,ROWS(nombres[]),1)=IO$1490,ROW(OFFSET(nombres[],0,0,ROWS(nombres[]),1))-ROW(OFFSET(nombres[],0,0,1,1))+1,ROW(OFFSET(nombres[],ROWS(nombres[])-1,0,1,1))+1),$O1544:$O1563),3),"")</f>
        <v/>
      </c>
      <c r="IP1544" s="42" t="str">
        <f t="array" aca="1" ref="IP1544" ca="1">IFERROR(INDEX(nombres[],SMALL(IF(OFFSET(nombres[],0,0,ROWS(nombres[]),1)=IP$1490,ROW(OFFSET(nombres[],0,0,ROWS(nombres[]),1))-ROW(OFFSET(nombres[],0,0,1,1))+1,ROW(OFFSET(nombres[],ROWS(nombres[])-1,0,1,1))+1),$O1544:$O1563),3),"")</f>
        <v/>
      </c>
      <c r="IQ1544" s="42" t="str">
        <f t="array" aca="1" ref="IQ1544" ca="1">IFERROR(INDEX(nombres[],SMALL(IF(OFFSET(nombres[],0,0,ROWS(nombres[]),1)=IQ$1490,ROW(OFFSET(nombres[],0,0,ROWS(nombres[]),1))-ROW(OFFSET(nombres[],0,0,1,1))+1,ROW(OFFSET(nombres[],ROWS(nombres[])-1,0,1,1))+1),$O1544:$O1563),3),"")</f>
        <v/>
      </c>
      <c r="IR1544" s="42" t="str">
        <f t="array" aca="1" ref="IR1544" ca="1">IFERROR(INDEX(nombres[],SMALL(IF(OFFSET(nombres[],0,0,ROWS(nombres[]),1)=IR$1490,ROW(OFFSET(nombres[],0,0,ROWS(nombres[]),1))-ROW(OFFSET(nombres[],0,0,1,1))+1,ROW(OFFSET(nombres[],ROWS(nombres[])-1,0,1,1))+1),$O1544:$O1563),3),"")</f>
        <v/>
      </c>
      <c r="IS1544" s="42" t="str">
        <f t="array" aca="1" ref="IS1544" ca="1">IFERROR(INDEX(nombres[],SMALL(IF(OFFSET(nombres[],0,0,ROWS(nombres[]),1)=IS$1490,ROW(OFFSET(nombres[],0,0,ROWS(nombres[]),1))-ROW(OFFSET(nombres[],0,0,1,1))+1,ROW(OFFSET(nombres[],ROWS(nombres[])-1,0,1,1))+1),$O1544:$O1563),3),"")</f>
        <v/>
      </c>
      <c r="IT1544" s="42" t="str">
        <f t="array" aca="1" ref="IT1544" ca="1">IFERROR(INDEX(nombres[],SMALL(IF(OFFSET(nombres[],0,0,ROWS(nombres[]),1)=IT$1490,ROW(OFFSET(nombres[],0,0,ROWS(nombres[]),1))-ROW(OFFSET(nombres[],0,0,1,1))+1,ROW(OFFSET(nombres[],ROWS(nombres[])-1,0,1,1))+1),$O1544:$O1563),3),"")</f>
        <v/>
      </c>
      <c r="IU1544" s="42" t="str">
        <f t="array" aca="1" ref="IU1544" ca="1">IFERROR(INDEX(nombres[],SMALL(IF(OFFSET(nombres[],0,0,ROWS(nombres[]),1)=IU$1490,ROW(OFFSET(nombres[],0,0,ROWS(nombres[]),1))-ROW(OFFSET(nombres[],0,0,1,1))+1,ROW(OFFSET(nombres[],ROWS(nombres[])-1,0,1,1))+1),$O1544:$O1563),3),"")</f>
        <v/>
      </c>
      <c r="IV1544" s="42" t="str">
        <f t="array" aca="1" ref="IV1544" ca="1">IFERROR(INDEX(nombres[],SMALL(IF(OFFSET(nombres[],0,0,ROWS(nombres[]),1)=IV$1490,ROW(OFFSET(nombres[],0,0,ROWS(nombres[]),1))-ROW(OFFSET(nombres[],0,0,1,1))+1,ROW(OFFSET(nombres[],ROWS(nombres[])-1,0,1,1))+1),$O1544:$O1563),3),"")</f>
        <v/>
      </c>
      <c r="IW1544" s="42" t="str">
        <f t="array" aca="1" ref="IW1544" ca="1">IFERROR(INDEX(nombres[],SMALL(IF(OFFSET(nombres[],0,0,ROWS(nombres[]),1)=IW$1490,ROW(OFFSET(nombres[],0,0,ROWS(nombres[]),1))-ROW(OFFSET(nombres[],0,0,1,1))+1,ROW(OFFSET(nombres[],ROWS(nombres[])-1,0,1,1))+1),$O1544:$O1563),3),"")</f>
        <v/>
      </c>
      <c r="IX1544" s="42" t="str">
        <f t="array" aca="1" ref="IX1544" ca="1">IFERROR(INDEX(nombres[],SMALL(IF(OFFSET(nombres[],0,0,ROWS(nombres[]),1)=IX$1490,ROW(OFFSET(nombres[],0,0,ROWS(nombres[]),1))-ROW(OFFSET(nombres[],0,0,1,1))+1,ROW(OFFSET(nombres[],ROWS(nombres[])-1,0,1,1))+1),$O1544:$O1563),3),"")</f>
        <v/>
      </c>
      <c r="IY1544" s="42" t="str">
        <f t="array" aca="1" ref="IY1544" ca="1">IFERROR(INDEX(nombres[],SMALL(IF(OFFSET(nombres[],0,0,ROWS(nombres[]),1)=IY$1490,ROW(OFFSET(nombres[],0,0,ROWS(nombres[]),1))-ROW(OFFSET(nombres[],0,0,1,1))+1,ROW(OFFSET(nombres[],ROWS(nombres[])-1,0,1,1))+1),$O1544:$O1563),3),"")</f>
        <v/>
      </c>
      <c r="IZ1544" s="42" t="str">
        <f t="array" aca="1" ref="IZ1544" ca="1">IFERROR(INDEX(nombres[],SMALL(IF(OFFSET(nombres[],0,0,ROWS(nombres[]),1)=IZ$1490,ROW(OFFSET(nombres[],0,0,ROWS(nombres[]),1))-ROW(OFFSET(nombres[],0,0,1,1))+1,ROW(OFFSET(nombres[],ROWS(nombres[])-1,0,1,1))+1),$O1544:$O1563),3),"")</f>
        <v/>
      </c>
      <c r="JA1544" s="42" t="str">
        <f t="array" aca="1" ref="JA1544" ca="1">IFERROR(INDEX(nombres[],SMALL(IF(OFFSET(nombres[],0,0,ROWS(nombres[]),1)=JA$1490,ROW(OFFSET(nombres[],0,0,ROWS(nombres[]),1))-ROW(OFFSET(nombres[],0,0,1,1))+1,ROW(OFFSET(nombres[],ROWS(nombres[])-1,0,1,1))+1),$O1544:$O1563),3),"")</f>
        <v/>
      </c>
      <c r="JB1544" s="42" t="str">
        <f t="array" aca="1" ref="JB1544" ca="1">IFERROR(INDEX(nombres[],SMALL(IF(OFFSET(nombres[],0,0,ROWS(nombres[]),1)=JB$1490,ROW(OFFSET(nombres[],0,0,ROWS(nombres[]),1))-ROW(OFFSET(nombres[],0,0,1,1))+1,ROW(OFFSET(nombres[],ROWS(nombres[])-1,0,1,1))+1),$O1544:$O1563),3),"")</f>
        <v/>
      </c>
      <c r="JC1544" s="42" t="str">
        <f t="array" aca="1" ref="JC1544" ca="1">IFERROR(INDEX(nombres[],SMALL(IF(OFFSET(nombres[],0,0,ROWS(nombres[]),1)=JC$1490,ROW(OFFSET(nombres[],0,0,ROWS(nombres[]),1))-ROW(OFFSET(nombres[],0,0,1,1))+1,ROW(OFFSET(nombres[],ROWS(nombres[])-1,0,1,1))+1),$O1544:$O1563),3),"")</f>
        <v/>
      </c>
      <c r="JD1544" s="42" t="str">
        <f t="array" aca="1" ref="JD1544" ca="1">IFERROR(INDEX(nombres[],SMALL(IF(OFFSET(nombres[],0,0,ROWS(nombres[]),1)=JD$1490,ROW(OFFSET(nombres[],0,0,ROWS(nombres[]),1))-ROW(OFFSET(nombres[],0,0,1,1))+1,ROW(OFFSET(nombres[],ROWS(nombres[])-1,0,1,1))+1),$O1544:$O1563),3),"")</f>
        <v/>
      </c>
      <c r="JE1544" s="42" t="str">
        <f t="array" aca="1" ref="JE1544" ca="1">IFERROR(INDEX(nombres[],SMALL(IF(OFFSET(nombres[],0,0,ROWS(nombres[]),1)=JE$1490,ROW(OFFSET(nombres[],0,0,ROWS(nombres[]),1))-ROW(OFFSET(nombres[],0,0,1,1))+1,ROW(OFFSET(nombres[],ROWS(nombres[])-1,0,1,1))+1),$O1544:$O1563),3),"")</f>
        <v/>
      </c>
      <c r="JF1544" s="42" t="str">
        <f t="array" aca="1" ref="JF1544" ca="1">IFERROR(INDEX(nombres[],SMALL(IF(OFFSET(nombres[],0,0,ROWS(nombres[]),1)=JF$1490,ROW(OFFSET(nombres[],0,0,ROWS(nombres[]),1))-ROW(OFFSET(nombres[],0,0,1,1))+1,ROW(OFFSET(nombres[],ROWS(nombres[])-1,0,1,1))+1),$O1544:$O1563),3),"")</f>
        <v/>
      </c>
      <c r="JG1544" s="42" t="str">
        <f t="array" aca="1" ref="JG1544" ca="1">IFERROR(INDEX(nombres[],SMALL(IF(OFFSET(nombres[],0,0,ROWS(nombres[]),1)=JG$1490,ROW(OFFSET(nombres[],0,0,ROWS(nombres[]),1))-ROW(OFFSET(nombres[],0,0,1,1))+1,ROW(OFFSET(nombres[],ROWS(nombres[])-1,0,1,1))+1),$O1544:$O1563),3),"")</f>
        <v/>
      </c>
      <c r="JH1544" s="42" t="str">
        <f t="array" aca="1" ref="JH1544" ca="1">IFERROR(INDEX(nombres[],SMALL(IF(OFFSET(nombres[],0,0,ROWS(nombres[]),1)=JH$1490,ROW(OFFSET(nombres[],0,0,ROWS(nombres[]),1))-ROW(OFFSET(nombres[],0,0,1,1))+1,ROW(OFFSET(nombres[],ROWS(nombres[])-1,0,1,1))+1),$O1544:$O1563),3),"")</f>
        <v/>
      </c>
      <c r="JI1544" s="42" t="str">
        <f t="array" aca="1" ref="JI1544" ca="1">IFERROR(INDEX(nombres[],SMALL(IF(OFFSET(nombres[],0,0,ROWS(nombres[]),1)=JI$1490,ROW(OFFSET(nombres[],0,0,ROWS(nombres[]),1))-ROW(OFFSET(nombres[],0,0,1,1))+1,ROW(OFFSET(nombres[],ROWS(nombres[])-1,0,1,1))+1),$O1544:$O1563),3),"")</f>
        <v/>
      </c>
      <c r="JJ1544" s="42" t="str">
        <f t="array" aca="1" ref="JJ1544" ca="1">IFERROR(INDEX(nombres[],SMALL(IF(OFFSET(nombres[],0,0,ROWS(nombres[]),1)=JJ$1490,ROW(OFFSET(nombres[],0,0,ROWS(nombres[]),1))-ROW(OFFSET(nombres[],0,0,1,1))+1,ROW(OFFSET(nombres[],ROWS(nombres[])-1,0,1,1))+1),$O1544:$O1563),3),"")</f>
        <v/>
      </c>
      <c r="JK1544" s="42" t="str">
        <f t="array" aca="1" ref="JK1544" ca="1">IFERROR(INDEX(nombres[],SMALL(IF(OFFSET(nombres[],0,0,ROWS(nombres[]),1)=JK$1490,ROW(OFFSET(nombres[],0,0,ROWS(nombres[]),1))-ROW(OFFSET(nombres[],0,0,1,1))+1,ROW(OFFSET(nombres[],ROWS(nombres[])-1,0,1,1))+1),$O1544:$O1563),3),"")</f>
        <v/>
      </c>
      <c r="JL1544" s="42" t="str">
        <f t="array" aca="1" ref="JL1544" ca="1">IFERROR(INDEX(nombres[],SMALL(IF(OFFSET(nombres[],0,0,ROWS(nombres[]),1)=JL$1490,ROW(OFFSET(nombres[],0,0,ROWS(nombres[]),1))-ROW(OFFSET(nombres[],0,0,1,1))+1,ROW(OFFSET(nombres[],ROWS(nombres[])-1,0,1,1))+1),$O1544:$O1563),3),"")</f>
        <v/>
      </c>
      <c r="JM1544" s="42" t="str">
        <f t="array" aca="1" ref="JM1544" ca="1">IFERROR(INDEX(nombres[],SMALL(IF(OFFSET(nombres[],0,0,ROWS(nombres[]),1)=JM$1490,ROW(OFFSET(nombres[],0,0,ROWS(nombres[]),1))-ROW(OFFSET(nombres[],0,0,1,1))+1,ROW(OFFSET(nombres[],ROWS(nombres[])-1,0,1,1))+1),$O1544:$O1563),3),"")</f>
        <v/>
      </c>
      <c r="JN1544" s="42" t="str">
        <f t="array" aca="1" ref="JN1544" ca="1">IFERROR(INDEX(nombres[],SMALL(IF(OFFSET(nombres[],0,0,ROWS(nombres[]),1)=JN$1490,ROW(OFFSET(nombres[],0,0,ROWS(nombres[]),1))-ROW(OFFSET(nombres[],0,0,1,1))+1,ROW(OFFSET(nombres[],ROWS(nombres[])-1,0,1,1))+1),$O1544:$O1563),3),"")</f>
        <v/>
      </c>
      <c r="JO1544" s="42" t="str">
        <f t="array" aca="1" ref="JO1544" ca="1">IFERROR(INDEX(nombres[],SMALL(IF(OFFSET(nombres[],0,0,ROWS(nombres[]),1)=JO$1490,ROW(OFFSET(nombres[],0,0,ROWS(nombres[]),1))-ROW(OFFSET(nombres[],0,0,1,1))+1,ROW(OFFSET(nombres[],ROWS(nombres[])-1,0,1,1))+1),$O1544:$O1563),3),"")</f>
        <v/>
      </c>
      <c r="JP1544" s="42" t="str">
        <f t="array" aca="1" ref="JP1544" ca="1">IFERROR(INDEX(nombres[],SMALL(IF(OFFSET(nombres[],0,0,ROWS(nombres[]),1)=JP$1490,ROW(OFFSET(nombres[],0,0,ROWS(nombres[]),1))-ROW(OFFSET(nombres[],0,0,1,1))+1,ROW(OFFSET(nombres[],ROWS(nombres[])-1,0,1,1))+1),$O1544:$O1563),3),"")</f>
        <v/>
      </c>
      <c r="JQ1544" s="42" t="str">
        <f t="array" aca="1" ref="JQ1544" ca="1">IFERROR(INDEX(nombres[],SMALL(IF(OFFSET(nombres[],0,0,ROWS(nombres[]),1)=JQ$1490,ROW(OFFSET(nombres[],0,0,ROWS(nombres[]),1))-ROW(OFFSET(nombres[],0,0,1,1))+1,ROW(OFFSET(nombres[],ROWS(nombres[])-1,0,1,1))+1),$O1544:$O1563),3),"")</f>
        <v/>
      </c>
      <c r="JR1544" s="42" t="str">
        <f t="array" aca="1" ref="JR1544" ca="1">IFERROR(INDEX(nombres[],SMALL(IF(OFFSET(nombres[],0,0,ROWS(nombres[]),1)=JR$1490,ROW(OFFSET(nombres[],0,0,ROWS(nombres[]),1))-ROW(OFFSET(nombres[],0,0,1,1))+1,ROW(OFFSET(nombres[],ROWS(nombres[])-1,0,1,1))+1),$O1544:$O1563),3),"")</f>
        <v/>
      </c>
      <c r="JS1544" s="42" t="str">
        <f t="array" aca="1" ref="JS1544" ca="1">IFERROR(INDEX(nombres[],SMALL(IF(OFFSET(nombres[],0,0,ROWS(nombres[]),1)=JS$1490,ROW(OFFSET(nombres[],0,0,ROWS(nombres[]),1))-ROW(OFFSET(nombres[],0,0,1,1))+1,ROW(OFFSET(nombres[],ROWS(nombres[])-1,0,1,1))+1),$O1544:$O1563),3),"")</f>
        <v/>
      </c>
      <c r="JT1544" s="42" t="str">
        <f t="array" aca="1" ref="JT1544" ca="1">IFERROR(INDEX(nombres[],SMALL(IF(OFFSET(nombres[],0,0,ROWS(nombres[]),1)=JT$1490,ROW(OFFSET(nombres[],0,0,ROWS(nombres[]),1))-ROW(OFFSET(nombres[],0,0,1,1))+1,ROW(OFFSET(nombres[],ROWS(nombres[])-1,0,1,1))+1),$O1544:$O1563),3),"")</f>
        <v/>
      </c>
      <c r="JU1544" s="42" t="str">
        <f t="array" aca="1" ref="JU1544" ca="1">IFERROR(INDEX(nombres[],SMALL(IF(OFFSET(nombres[],0,0,ROWS(nombres[]),1)=JU$1490,ROW(OFFSET(nombres[],0,0,ROWS(nombres[]),1))-ROW(OFFSET(nombres[],0,0,1,1))+1,ROW(OFFSET(nombres[],ROWS(nombres[])-1,0,1,1))+1),$O1544:$O1563),3),"")</f>
        <v/>
      </c>
      <c r="JV1544" s="42" t="str">
        <f t="array" aca="1" ref="JV1544" ca="1">IFERROR(INDEX(nombres[],SMALL(IF(OFFSET(nombres[],0,0,ROWS(nombres[]),1)=JV$1490,ROW(OFFSET(nombres[],0,0,ROWS(nombres[]),1))-ROW(OFFSET(nombres[],0,0,1,1))+1,ROW(OFFSET(nombres[],ROWS(nombres[])-1,0,1,1))+1),$O1544:$O1563),3),"")</f>
        <v/>
      </c>
      <c r="JW1544" s="42" t="str">
        <f t="array" aca="1" ref="JW1544" ca="1">IFERROR(INDEX(nombres[],SMALL(IF(OFFSET(nombres[],0,0,ROWS(nombres[]),1)=JW$1490,ROW(OFFSET(nombres[],0,0,ROWS(nombres[]),1))-ROW(OFFSET(nombres[],0,0,1,1))+1,ROW(OFFSET(nombres[],ROWS(nombres[])-1,0,1,1))+1),$O1544:$O1563),3),"")</f>
        <v/>
      </c>
      <c r="JX1544" s="42" t="str">
        <f t="array" aca="1" ref="JX1544" ca="1">IFERROR(INDEX(nombres[],SMALL(IF(OFFSET(nombres[],0,0,ROWS(nombres[]),1)=JX$1490,ROW(OFFSET(nombres[],0,0,ROWS(nombres[]),1))-ROW(OFFSET(nombres[],0,0,1,1))+1,ROW(OFFSET(nombres[],ROWS(nombres[])-1,0,1,1))+1),$O1544:$O1563),3),"")</f>
        <v/>
      </c>
      <c r="JY1544" s="42" t="str">
        <f t="array" aca="1" ref="JY1544" ca="1">IFERROR(INDEX(nombres[],SMALL(IF(OFFSET(nombres[],0,0,ROWS(nombres[]),1)=JY$1490,ROW(OFFSET(nombres[],0,0,ROWS(nombres[]),1))-ROW(OFFSET(nombres[],0,0,1,1))+1,ROW(OFFSET(nombres[],ROWS(nombres[])-1,0,1,1))+1),$O1544:$O1563),3),"")</f>
        <v/>
      </c>
      <c r="JZ1544" s="42" t="str">
        <f t="array" aca="1" ref="JZ1544" ca="1">IFERROR(INDEX(nombres[],SMALL(IF(OFFSET(nombres[],0,0,ROWS(nombres[]),1)=JZ$1490,ROW(OFFSET(nombres[],0,0,ROWS(nombres[]),1))-ROW(OFFSET(nombres[],0,0,1,1))+1,ROW(OFFSET(nombres[],ROWS(nombres[])-1,0,1,1))+1),$O1544:$O1563),3),"")</f>
        <v/>
      </c>
      <c r="KA1544" s="42" t="str">
        <f t="array" aca="1" ref="KA1544" ca="1">IFERROR(INDEX(nombres[],SMALL(IF(OFFSET(nombres[],0,0,ROWS(nombres[]),1)=KA$1490,ROW(OFFSET(nombres[],0,0,ROWS(nombres[]),1))-ROW(OFFSET(nombres[],0,0,1,1))+1,ROW(OFFSET(nombres[],ROWS(nombres[])-1,0,1,1))+1),$O1544:$O1563),3),"")</f>
        <v/>
      </c>
      <c r="KB1544" s="42" t="str">
        <f t="array" aca="1" ref="KB1544" ca="1">IFERROR(INDEX(nombres[],SMALL(IF(OFFSET(nombres[],0,0,ROWS(nombres[]),1)=KB$1490,ROW(OFFSET(nombres[],0,0,ROWS(nombres[]),1))-ROW(OFFSET(nombres[],0,0,1,1))+1,ROW(OFFSET(nombres[],ROWS(nombres[])-1,0,1,1))+1),$O1544:$O1563),3),"")</f>
        <v/>
      </c>
      <c r="KC1544" s="42" t="str">
        <f t="array" aca="1" ref="KC1544" ca="1">IFERROR(INDEX(nombres[],SMALL(IF(OFFSET(nombres[],0,0,ROWS(nombres[]),1)=KC$1490,ROW(OFFSET(nombres[],0,0,ROWS(nombres[]),1))-ROW(OFFSET(nombres[],0,0,1,1))+1,ROW(OFFSET(nombres[],ROWS(nombres[])-1,0,1,1))+1),$O1544:$O1563),3),"")</f>
        <v/>
      </c>
      <c r="KD1544" s="42" t="str">
        <f t="array" aca="1" ref="KD1544" ca="1">IFERROR(INDEX(nombres[],SMALL(IF(OFFSET(nombres[],0,0,ROWS(nombres[]),1)=KD$1490,ROW(OFFSET(nombres[],0,0,ROWS(nombres[]),1))-ROW(OFFSET(nombres[],0,0,1,1))+1,ROW(OFFSET(nombres[],ROWS(nombres[])-1,0,1,1))+1),$O1544:$O1563),3),"")</f>
        <v/>
      </c>
      <c r="KE1544" s="42" t="str">
        <f t="array" aca="1" ref="KE1544" ca="1">IFERROR(INDEX(nombres[],SMALL(IF(OFFSET(nombres[],0,0,ROWS(nombres[]),1)=KE$1490,ROW(OFFSET(nombres[],0,0,ROWS(nombres[]),1))-ROW(OFFSET(nombres[],0,0,1,1))+1,ROW(OFFSET(nombres[],ROWS(nombres[])-1,0,1,1))+1),$O1544:$O1563),3),"")</f>
        <v/>
      </c>
      <c r="KF1544" s="42" t="str">
        <f t="array" aca="1" ref="KF1544" ca="1">IFERROR(INDEX(nombres[],SMALL(IF(OFFSET(nombres[],0,0,ROWS(nombres[]),1)=KF$1490,ROW(OFFSET(nombres[],0,0,ROWS(nombres[]),1))-ROW(OFFSET(nombres[],0,0,1,1))+1,ROW(OFFSET(nombres[],ROWS(nombres[])-1,0,1,1))+1),$O1544:$O1563),3),"")</f>
        <v/>
      </c>
      <c r="KG1544" s="42" t="str">
        <f t="array" aca="1" ref="KG1544" ca="1">IFERROR(INDEX(nombres[],SMALL(IF(OFFSET(nombres[],0,0,ROWS(nombres[]),1)=KG$1490,ROW(OFFSET(nombres[],0,0,ROWS(nombres[]),1))-ROW(OFFSET(nombres[],0,0,1,1))+1,ROW(OFFSET(nombres[],ROWS(nombres[])-1,0,1,1))+1),$O1544:$O1563),3),"")</f>
        <v/>
      </c>
      <c r="KH1544" s="42" t="str">
        <f t="array" aca="1" ref="KH1544" ca="1">IFERROR(INDEX(nombres[],SMALL(IF(OFFSET(nombres[],0,0,ROWS(nombres[]),1)=KH$1490,ROW(OFFSET(nombres[],0,0,ROWS(nombres[]),1))-ROW(OFFSET(nombres[],0,0,1,1))+1,ROW(OFFSET(nombres[],ROWS(nombres[])-1,0,1,1))+1),$O1544:$O1563),3),"")</f>
        <v/>
      </c>
      <c r="KI1544" s="42" t="str">
        <f t="array" aca="1" ref="KI1544" ca="1">IFERROR(INDEX(nombres[],SMALL(IF(OFFSET(nombres[],0,0,ROWS(nombres[]),1)=KI$1490,ROW(OFFSET(nombres[],0,0,ROWS(nombres[]),1))-ROW(OFFSET(nombres[],0,0,1,1))+1,ROW(OFFSET(nombres[],ROWS(nombres[])-1,0,1,1))+1),$O1544:$O1563),3),"")</f>
        <v/>
      </c>
      <c r="KJ1544" s="42" t="str">
        <f t="array" aca="1" ref="KJ1544" ca="1">IFERROR(INDEX(nombres[],SMALL(IF(OFFSET(nombres[],0,0,ROWS(nombres[]),1)=KJ$1490,ROW(OFFSET(nombres[],0,0,ROWS(nombres[]),1))-ROW(OFFSET(nombres[],0,0,1,1))+1,ROW(OFFSET(nombres[],ROWS(nombres[])-1,0,1,1))+1),$O1544:$O1563),3),"")</f>
        <v/>
      </c>
      <c r="KK1544" s="42" t="str">
        <f t="array" aca="1" ref="KK1544" ca="1">IFERROR(INDEX(nombres[],SMALL(IF(OFFSET(nombres[],0,0,ROWS(nombres[]),1)=KK$1490,ROW(OFFSET(nombres[],0,0,ROWS(nombres[]),1))-ROW(OFFSET(nombres[],0,0,1,1))+1,ROW(OFFSET(nombres[],ROWS(nombres[])-1,0,1,1))+1),$O1544:$O1563),3),"")</f>
        <v/>
      </c>
      <c r="KL1544" s="42" t="str">
        <f t="array" aca="1" ref="KL1544" ca="1">IFERROR(INDEX(nombres[],SMALL(IF(OFFSET(nombres[],0,0,ROWS(nombres[]),1)=KL$1490,ROW(OFFSET(nombres[],0,0,ROWS(nombres[]),1))-ROW(OFFSET(nombres[],0,0,1,1))+1,ROW(OFFSET(nombres[],ROWS(nombres[])-1,0,1,1))+1),$O1544:$O1563),3),"")</f>
        <v/>
      </c>
      <c r="KM1544" s="42" t="str">
        <f t="array" aca="1" ref="KM1544" ca="1">IFERROR(INDEX(nombres[],SMALL(IF(OFFSET(nombres[],0,0,ROWS(nombres[]),1)=KM$1490,ROW(OFFSET(nombres[],0,0,ROWS(nombres[]),1))-ROW(OFFSET(nombres[],0,0,1,1))+1,ROW(OFFSET(nombres[],ROWS(nombres[])-1,0,1,1))+1),$O1544:$O1563),3),"")</f>
        <v/>
      </c>
      <c r="KN1544" s="42" t="str">
        <f t="array" aca="1" ref="KN1544" ca="1">IFERROR(INDEX(nombres[],SMALL(IF(OFFSET(nombres[],0,0,ROWS(nombres[]),1)=KN$1490,ROW(OFFSET(nombres[],0,0,ROWS(nombres[]),1))-ROW(OFFSET(nombres[],0,0,1,1))+1,ROW(OFFSET(nombres[],ROWS(nombres[])-1,0,1,1))+1),$O1544:$O1563),3),"")</f>
        <v/>
      </c>
      <c r="KO1544" s="42" t="str">
        <f t="array" aca="1" ref="KO1544" ca="1">IFERROR(INDEX(nombres[],SMALL(IF(OFFSET(nombres[],0,0,ROWS(nombres[]),1)=KO$1490,ROW(OFFSET(nombres[],0,0,ROWS(nombres[]),1))-ROW(OFFSET(nombres[],0,0,1,1))+1,ROW(OFFSET(nombres[],ROWS(nombres[])-1,0,1,1))+1),$O1544:$O1563),3),"")</f>
        <v/>
      </c>
      <c r="KP1544" s="42" t="str">
        <f t="array" aca="1" ref="KP1544" ca="1">IFERROR(INDEX(nombres[],SMALL(IF(OFFSET(nombres[],0,0,ROWS(nombres[]),1)=KP$1490,ROW(OFFSET(nombres[],0,0,ROWS(nombres[]),1))-ROW(OFFSET(nombres[],0,0,1,1))+1,ROW(OFFSET(nombres[],ROWS(nombres[])-1,0,1,1))+1),$O1544:$O1563),3),"")</f>
        <v/>
      </c>
      <c r="KQ1544" s="42" t="str">
        <f t="array" aca="1" ref="KQ1544" ca="1">IFERROR(INDEX(nombres[],SMALL(IF(OFFSET(nombres[],0,0,ROWS(nombres[]),1)=KQ$1490,ROW(OFFSET(nombres[],0,0,ROWS(nombres[]),1))-ROW(OFFSET(nombres[],0,0,1,1))+1,ROW(OFFSET(nombres[],ROWS(nombres[])-1,0,1,1))+1),$O1544:$O1563),3),"")</f>
        <v/>
      </c>
      <c r="KR1544" s="42" t="str">
        <f t="array" aca="1" ref="KR1544" ca="1">IFERROR(INDEX(nombres[],SMALL(IF(OFFSET(nombres[],0,0,ROWS(nombres[]),1)=KR$1490,ROW(OFFSET(nombres[],0,0,ROWS(nombres[]),1))-ROW(OFFSET(nombres[],0,0,1,1))+1,ROW(OFFSET(nombres[],ROWS(nombres[])-1,0,1,1))+1),$O1544:$O1563),3),"")</f>
        <v/>
      </c>
      <c r="KS1544" s="42" t="str">
        <f t="array" aca="1" ref="KS1544" ca="1">IFERROR(INDEX(nombres[],SMALL(IF(OFFSET(nombres[],0,0,ROWS(nombres[]),1)=KS$1490,ROW(OFFSET(nombres[],0,0,ROWS(nombres[]),1))-ROW(OFFSET(nombres[],0,0,1,1))+1,ROW(OFFSET(nombres[],ROWS(nombres[])-1,0,1,1))+1),$O1544:$O1563),3),"")</f>
        <v/>
      </c>
      <c r="KT1544" s="42" t="str">
        <f t="array" aca="1" ref="KT1544" ca="1">IFERROR(INDEX(nombres[],SMALL(IF(OFFSET(nombres[],0,0,ROWS(nombres[]),1)=KT$1490,ROW(OFFSET(nombres[],0,0,ROWS(nombres[]),1))-ROW(OFFSET(nombres[],0,0,1,1))+1,ROW(OFFSET(nombres[],ROWS(nombres[])-1,0,1,1))+1),$O1544:$O1563),3),"")</f>
        <v/>
      </c>
      <c r="KU1544" s="42" t="str">
        <f t="array" aca="1" ref="KU1544" ca="1">IFERROR(INDEX(nombres[],SMALL(IF(OFFSET(nombres[],0,0,ROWS(nombres[]),1)=KU$1490,ROW(OFFSET(nombres[],0,0,ROWS(nombres[]),1))-ROW(OFFSET(nombres[],0,0,1,1))+1,ROW(OFFSET(nombres[],ROWS(nombres[])-1,0,1,1))+1),$O1544:$O1563),3),"")</f>
        <v/>
      </c>
      <c r="KV1544" s="42" t="str">
        <f t="array" aca="1" ref="KV1544" ca="1">IFERROR(INDEX(nombres[],SMALL(IF(OFFSET(nombres[],0,0,ROWS(nombres[]),1)=KV$1490,ROW(OFFSET(nombres[],0,0,ROWS(nombres[]),1))-ROW(OFFSET(nombres[],0,0,1,1))+1,ROW(OFFSET(nombres[],ROWS(nombres[])-1,0,1,1))+1),$O1544:$O1563),3),"")</f>
        <v/>
      </c>
      <c r="KW1544" s="42" t="str">
        <f t="array" aca="1" ref="KW1544" ca="1">IFERROR(INDEX(nombres[],SMALL(IF(OFFSET(nombres[],0,0,ROWS(nombres[]),1)=KW$1490,ROW(OFFSET(nombres[],0,0,ROWS(nombres[]),1))-ROW(OFFSET(nombres[],0,0,1,1))+1,ROW(OFFSET(nombres[],ROWS(nombres[])-1,0,1,1))+1),$O1544:$O1563),3),"")</f>
        <v/>
      </c>
      <c r="KX1544" s="42" t="str">
        <f t="array" aca="1" ref="KX1544" ca="1">IFERROR(INDEX(nombres[],SMALL(IF(OFFSET(nombres[],0,0,ROWS(nombres[]),1)=KX$1490,ROW(OFFSET(nombres[],0,0,ROWS(nombres[]),1))-ROW(OFFSET(nombres[],0,0,1,1))+1,ROW(OFFSET(nombres[],ROWS(nombres[])-1,0,1,1))+1),$O1544:$O1563),3),"")</f>
        <v/>
      </c>
      <c r="KY1544" s="42" t="str">
        <f t="array" aca="1" ref="KY1544" ca="1">IFERROR(INDEX(nombres[],SMALL(IF(OFFSET(nombres[],0,0,ROWS(nombres[]),1)=KY$1490,ROW(OFFSET(nombres[],0,0,ROWS(nombres[]),1))-ROW(OFFSET(nombres[],0,0,1,1))+1,ROW(OFFSET(nombres[],ROWS(nombres[])-1,0,1,1))+1),$O1544:$O1563),3),"")</f>
        <v/>
      </c>
      <c r="KZ1544" s="42" t="str">
        <f t="array" aca="1" ref="KZ1544" ca="1">IFERROR(INDEX(nombres[],SMALL(IF(OFFSET(nombres[],0,0,ROWS(nombres[]),1)=KZ$1490,ROW(OFFSET(nombres[],0,0,ROWS(nombres[]),1))-ROW(OFFSET(nombres[],0,0,1,1))+1,ROW(OFFSET(nombres[],ROWS(nombres[])-1,0,1,1))+1),$O1544:$O1563),3),"")</f>
        <v/>
      </c>
      <c r="LA1544" s="42" t="str">
        <f t="array" aca="1" ref="LA1544" ca="1">IFERROR(INDEX(nombres[],SMALL(IF(OFFSET(nombres[],0,0,ROWS(nombres[]),1)=LA$1490,ROW(OFFSET(nombres[],0,0,ROWS(nombres[]),1))-ROW(OFFSET(nombres[],0,0,1,1))+1,ROW(OFFSET(nombres[],ROWS(nombres[])-1,0,1,1))+1),$O1544:$O1563),3),"")</f>
        <v/>
      </c>
      <c r="LB1544" s="42" t="str">
        <f t="array" aca="1" ref="LB1544" ca="1">IFERROR(INDEX(nombres[],SMALL(IF(OFFSET(nombres[],0,0,ROWS(nombres[]),1)=LB$1490,ROW(OFFSET(nombres[],0,0,ROWS(nombres[]),1))-ROW(OFFSET(nombres[],0,0,1,1))+1,ROW(OFFSET(nombres[],ROWS(nombres[])-1,0,1,1))+1),$O1544:$O1563),3),"")</f>
        <v/>
      </c>
      <c r="LC1544" s="42" t="str">
        <f t="array" aca="1" ref="LC1544" ca="1">IFERROR(INDEX(nombres[],SMALL(IF(OFFSET(nombres[],0,0,ROWS(nombres[]),1)=LC$1490,ROW(OFFSET(nombres[],0,0,ROWS(nombres[]),1))-ROW(OFFSET(nombres[],0,0,1,1))+1,ROW(OFFSET(nombres[],ROWS(nombres[])-1,0,1,1))+1),$O1544:$O1563),3),"")</f>
        <v/>
      </c>
      <c r="LD1544" s="42" t="str">
        <f t="array" aca="1" ref="LD1544" ca="1">IFERROR(INDEX(nombres[],SMALL(IF(OFFSET(nombres[],0,0,ROWS(nombres[]),1)=LD$1490,ROW(OFFSET(nombres[],0,0,ROWS(nombres[]),1))-ROW(OFFSET(nombres[],0,0,1,1))+1,ROW(OFFSET(nombres[],ROWS(nombres[])-1,0,1,1))+1),$O1544:$O1563),3),"")</f>
        <v/>
      </c>
      <c r="LE1544" s="42" t="str">
        <f t="array" aca="1" ref="LE1544" ca="1">IFERROR(INDEX(nombres[],SMALL(IF(OFFSET(nombres[],0,0,ROWS(nombres[]),1)=LE$1490,ROW(OFFSET(nombres[],0,0,ROWS(nombres[]),1))-ROW(OFFSET(nombres[],0,0,1,1))+1,ROW(OFFSET(nombres[],ROWS(nombres[])-1,0,1,1))+1),$O1544:$O1563),3),"")</f>
        <v/>
      </c>
      <c r="LF1544" s="42" t="str">
        <f t="array" aca="1" ref="LF1544" ca="1">IFERROR(INDEX(nombres[],SMALL(IF(OFFSET(nombres[],0,0,ROWS(nombres[]),1)=LF$1490,ROW(OFFSET(nombres[],0,0,ROWS(nombres[]),1))-ROW(OFFSET(nombres[],0,0,1,1))+1,ROW(OFFSET(nombres[],ROWS(nombres[])-1,0,1,1))+1),$O1544:$O1563),3),"")</f>
        <v/>
      </c>
      <c r="LG1544" s="42" t="str">
        <f t="array" aca="1" ref="LG1544" ca="1">IFERROR(INDEX(nombres[],SMALL(IF(OFFSET(nombres[],0,0,ROWS(nombres[]),1)=LG$1490,ROW(OFFSET(nombres[],0,0,ROWS(nombres[]),1))-ROW(OFFSET(nombres[],0,0,1,1))+1,ROW(OFFSET(nombres[],ROWS(nombres[])-1,0,1,1))+1),$O1544:$O1563),3),"")</f>
        <v/>
      </c>
      <c r="LH1544" s="42" t="str">
        <f t="array" aca="1" ref="LH1544" ca="1">IFERROR(INDEX(nombres[],SMALL(IF(OFFSET(nombres[],0,0,ROWS(nombres[]),1)=LH$1490,ROW(OFFSET(nombres[],0,0,ROWS(nombres[]),1))-ROW(OFFSET(nombres[],0,0,1,1))+1,ROW(OFFSET(nombres[],ROWS(nombres[])-1,0,1,1))+1),$O1544:$O1563),3),"")</f>
        <v/>
      </c>
      <c r="LI1544" s="42" t="str">
        <f t="array" aca="1" ref="LI1544" ca="1">IFERROR(INDEX(nombres[],SMALL(IF(OFFSET(nombres[],0,0,ROWS(nombres[]),1)=LI$1490,ROW(OFFSET(nombres[],0,0,ROWS(nombres[]),1))-ROW(OFFSET(nombres[],0,0,1,1))+1,ROW(OFFSET(nombres[],ROWS(nombres[])-1,0,1,1))+1),$O1544:$O1563),3),"")</f>
        <v/>
      </c>
      <c r="LJ1544" s="42" t="str">
        <f t="array" aca="1" ref="LJ1544" ca="1">IFERROR(INDEX(nombres[],SMALL(IF(OFFSET(nombres[],0,0,ROWS(nombres[]),1)=LJ$1490,ROW(OFFSET(nombres[],0,0,ROWS(nombres[]),1))-ROW(OFFSET(nombres[],0,0,1,1))+1,ROW(OFFSET(nombres[],ROWS(nombres[])-1,0,1,1))+1),$O1544:$O1563),3),"")</f>
        <v/>
      </c>
      <c r="LK1544" s="42" t="str">
        <f t="array" aca="1" ref="LK1544" ca="1">IFERROR(INDEX(nombres[],SMALL(IF(OFFSET(nombres[],0,0,ROWS(nombres[]),1)=LK$1490,ROW(OFFSET(nombres[],0,0,ROWS(nombres[]),1))-ROW(OFFSET(nombres[],0,0,1,1))+1,ROW(OFFSET(nombres[],ROWS(nombres[])-1,0,1,1))+1),$O1544:$O1563),3),"")</f>
        <v/>
      </c>
      <c r="LL1544" s="42" t="str">
        <f t="array" aca="1" ref="LL1544" ca="1">IFERROR(INDEX(nombres[],SMALL(IF(OFFSET(nombres[],0,0,ROWS(nombres[]),1)=LL$1490,ROW(OFFSET(nombres[],0,0,ROWS(nombres[]),1))-ROW(OFFSET(nombres[],0,0,1,1))+1,ROW(OFFSET(nombres[],ROWS(nombres[])-1,0,1,1))+1),$O1544:$O1563),3),"")</f>
        <v/>
      </c>
      <c r="LM1544" s="42" t="str">
        <f t="array" aca="1" ref="LM1544" ca="1">IFERROR(INDEX(nombres[],SMALL(IF(OFFSET(nombres[],0,0,ROWS(nombres[]),1)=LM$1490,ROW(OFFSET(nombres[],0,0,ROWS(nombres[]),1))-ROW(OFFSET(nombres[],0,0,1,1))+1,ROW(OFFSET(nombres[],ROWS(nombres[])-1,0,1,1))+1),$O1544:$O1563),3),"")</f>
        <v/>
      </c>
      <c r="LN1544" s="42" t="str">
        <f t="array" aca="1" ref="LN1544" ca="1">IFERROR(INDEX(nombres[],SMALL(IF(OFFSET(nombres[],0,0,ROWS(nombres[]),1)=LN$1490,ROW(OFFSET(nombres[],0,0,ROWS(nombres[]),1))-ROW(OFFSET(nombres[],0,0,1,1))+1,ROW(OFFSET(nombres[],ROWS(nombres[])-1,0,1,1))+1),$O1544:$O1563),3),"")</f>
        <v/>
      </c>
      <c r="LO1544" s="42" t="str">
        <f t="array" aca="1" ref="LO1544" ca="1">IFERROR(INDEX(nombres[],SMALL(IF(OFFSET(nombres[],0,0,ROWS(nombres[]),1)=LO$1490,ROW(OFFSET(nombres[],0,0,ROWS(nombres[]),1))-ROW(OFFSET(nombres[],0,0,1,1))+1,ROW(OFFSET(nombres[],ROWS(nombres[])-1,0,1,1))+1),$O1544:$O1563),3),"")</f>
        <v/>
      </c>
      <c r="LP1544" s="42" t="str">
        <f t="array" aca="1" ref="LP1544" ca="1">IFERROR(INDEX(nombres[],SMALL(IF(OFFSET(nombres[],0,0,ROWS(nombres[]),1)=LP$1490,ROW(OFFSET(nombres[],0,0,ROWS(nombres[]),1))-ROW(OFFSET(nombres[],0,0,1,1))+1,ROW(OFFSET(nombres[],ROWS(nombres[])-1,0,1,1))+1),$O1544:$O1563),3),"")</f>
        <v/>
      </c>
      <c r="LQ1544" s="42" t="str">
        <f t="array" aca="1" ref="LQ1544" ca="1">IFERROR(INDEX(nombres[],SMALL(IF(OFFSET(nombres[],0,0,ROWS(nombres[]),1)=LQ$1490,ROW(OFFSET(nombres[],0,0,ROWS(nombres[]),1))-ROW(OFFSET(nombres[],0,0,1,1))+1,ROW(OFFSET(nombres[],ROWS(nombres[])-1,0,1,1))+1),$O1544:$O1563),3),"")</f>
        <v/>
      </c>
      <c r="LR1544" s="42" t="str">
        <f t="array" aca="1" ref="LR1544" ca="1">IFERROR(INDEX(nombres[],SMALL(IF(OFFSET(nombres[],0,0,ROWS(nombres[]),1)=LR$1490,ROW(OFFSET(nombres[],0,0,ROWS(nombres[]),1))-ROW(OFFSET(nombres[],0,0,1,1))+1,ROW(OFFSET(nombres[],ROWS(nombres[])-1,0,1,1))+1),$O1544:$O1563),3),"")</f>
        <v/>
      </c>
      <c r="LS1544" s="42" t="str">
        <f t="array" aca="1" ref="LS1544" ca="1">IFERROR(INDEX(nombres[],SMALL(IF(OFFSET(nombres[],0,0,ROWS(nombres[]),1)=LS$1490,ROW(OFFSET(nombres[],0,0,ROWS(nombres[]),1))-ROW(OFFSET(nombres[],0,0,1,1))+1,ROW(OFFSET(nombres[],ROWS(nombres[])-1,0,1,1))+1),$O1544:$O1563),3),"")</f>
        <v/>
      </c>
      <c r="LT1544" s="42" t="str">
        <f t="array" aca="1" ref="LT1544" ca="1">IFERROR(INDEX(nombres[],SMALL(IF(OFFSET(nombres[],0,0,ROWS(nombres[]),1)=LT$1490,ROW(OFFSET(nombres[],0,0,ROWS(nombres[]),1))-ROW(OFFSET(nombres[],0,0,1,1))+1,ROW(OFFSET(nombres[],ROWS(nombres[])-1,0,1,1))+1),$O1544:$O1563),3),"")</f>
        <v/>
      </c>
      <c r="LU1544" s="42" t="str">
        <f t="array" aca="1" ref="LU1544" ca="1">IFERROR(INDEX(nombres[],SMALL(IF(OFFSET(nombres[],0,0,ROWS(nombres[]),1)=LU$1490,ROW(OFFSET(nombres[],0,0,ROWS(nombres[]),1))-ROW(OFFSET(nombres[],0,0,1,1))+1,ROW(OFFSET(nombres[],ROWS(nombres[])-1,0,1,1))+1),$O1544:$O1563),3),"")</f>
        <v/>
      </c>
      <c r="LV1544" s="42" t="str">
        <f t="array" aca="1" ref="LV1544" ca="1">IFERROR(INDEX(nombres[],SMALL(IF(OFFSET(nombres[],0,0,ROWS(nombres[]),1)=LV$1490,ROW(OFFSET(nombres[],0,0,ROWS(nombres[]),1))-ROW(OFFSET(nombres[],0,0,1,1))+1,ROW(OFFSET(nombres[],ROWS(nombres[])-1,0,1,1))+1),$O1544:$O1563),3),"")</f>
        <v/>
      </c>
      <c r="LW1544" s="42" t="str">
        <f t="array" aca="1" ref="LW1544" ca="1">IFERROR(INDEX(nombres[],SMALL(IF(OFFSET(nombres[],0,0,ROWS(nombres[]),1)=LW$1490,ROW(OFFSET(nombres[],0,0,ROWS(nombres[]),1))-ROW(OFFSET(nombres[],0,0,1,1))+1,ROW(OFFSET(nombres[],ROWS(nombres[])-1,0,1,1))+1),$O1544:$O1563),3),"")</f>
        <v/>
      </c>
      <c r="LX1544" s="42" t="str">
        <f t="array" aca="1" ref="LX1544" ca="1">IFERROR(INDEX(nombres[],SMALL(IF(OFFSET(nombres[],0,0,ROWS(nombres[]),1)=LX$1490,ROW(OFFSET(nombres[],0,0,ROWS(nombres[]),1))-ROW(OFFSET(nombres[],0,0,1,1))+1,ROW(OFFSET(nombres[],ROWS(nombres[])-1,0,1,1))+1),$O1544:$O1563),3),"")</f>
        <v/>
      </c>
      <c r="LY1544" s="42" t="str">
        <f t="array" aca="1" ref="LY1544" ca="1">IFERROR(INDEX(nombres[],SMALL(IF(OFFSET(nombres[],0,0,ROWS(nombres[]),1)=LY$1490,ROW(OFFSET(nombres[],0,0,ROWS(nombres[]),1))-ROW(OFFSET(nombres[],0,0,1,1))+1,ROW(OFFSET(nombres[],ROWS(nombres[])-1,0,1,1))+1),$O1544:$O1563),3),"")</f>
        <v/>
      </c>
      <c r="LZ1544" s="42" t="str">
        <f t="array" aca="1" ref="LZ1544" ca="1">IFERROR(INDEX(nombres[],SMALL(IF(OFFSET(nombres[],0,0,ROWS(nombres[]),1)=LZ$1490,ROW(OFFSET(nombres[],0,0,ROWS(nombres[]),1))-ROW(OFFSET(nombres[],0,0,1,1))+1,ROW(OFFSET(nombres[],ROWS(nombres[])-1,0,1,1))+1),$O1544:$O1563),3),"")</f>
        <v/>
      </c>
      <c r="MA1544" s="42" t="str">
        <f t="array" aca="1" ref="MA1544" ca="1">IFERROR(INDEX(nombres[],SMALL(IF(OFFSET(nombres[],0,0,ROWS(nombres[]),1)=MA$1490,ROW(OFFSET(nombres[],0,0,ROWS(nombres[]),1))-ROW(OFFSET(nombres[],0,0,1,1))+1,ROW(OFFSET(nombres[],ROWS(nombres[])-1,0,1,1))+1),$O1544:$O1563),3),"")</f>
        <v/>
      </c>
      <c r="MB1544" s="42" t="str">
        <f t="array" aca="1" ref="MB1544" ca="1">IFERROR(INDEX(nombres[],SMALL(IF(OFFSET(nombres[],0,0,ROWS(nombres[]),1)=MB$1490,ROW(OFFSET(nombres[],0,0,ROWS(nombres[]),1))-ROW(OFFSET(nombres[],0,0,1,1))+1,ROW(OFFSET(nombres[],ROWS(nombres[])-1,0,1,1))+1),$O1544:$O1563),3),"")</f>
        <v/>
      </c>
      <c r="MC1544" s="42" t="str">
        <f t="array" aca="1" ref="MC1544" ca="1">IFERROR(INDEX(nombres[],SMALL(IF(OFFSET(nombres[],0,0,ROWS(nombres[]),1)=MC$1490,ROW(OFFSET(nombres[],0,0,ROWS(nombres[]),1))-ROW(OFFSET(nombres[],0,0,1,1))+1,ROW(OFFSET(nombres[],ROWS(nombres[])-1,0,1,1))+1),$O1544:$O1563),3),"")</f>
        <v/>
      </c>
      <c r="MD1544" s="42" t="str">
        <f t="array" aca="1" ref="MD1544" ca="1">IFERROR(INDEX(nombres[],SMALL(IF(OFFSET(nombres[],0,0,ROWS(nombres[]),1)=MD$1490,ROW(OFFSET(nombres[],0,0,ROWS(nombres[]),1))-ROW(OFFSET(nombres[],0,0,1,1))+1,ROW(OFFSET(nombres[],ROWS(nombres[])-1,0,1,1))+1),$O1544:$O1563),3),"")</f>
        <v/>
      </c>
      <c r="ME1544" s="42" t="str">
        <f t="array" aca="1" ref="ME1544" ca="1">IFERROR(INDEX(nombres[],SMALL(IF(OFFSET(nombres[],0,0,ROWS(nombres[]),1)=ME$1490,ROW(OFFSET(nombres[],0,0,ROWS(nombres[]),1))-ROW(OFFSET(nombres[],0,0,1,1))+1,ROW(OFFSET(nombres[],ROWS(nombres[])-1,0,1,1))+1),$O1544:$O1563),3),"")</f>
        <v/>
      </c>
      <c r="MF1544" s="42" t="str">
        <f t="array" aca="1" ref="MF1544" ca="1">IFERROR(INDEX(nombres[],SMALL(IF(OFFSET(nombres[],0,0,ROWS(nombres[]),1)=MF$1490,ROW(OFFSET(nombres[],0,0,ROWS(nombres[]),1))-ROW(OFFSET(nombres[],0,0,1,1))+1,ROW(OFFSET(nombres[],ROWS(nombres[])-1,0,1,1))+1),$O1544:$O1563),3),"")</f>
        <v/>
      </c>
      <c r="MG1544" s="42" t="str">
        <f t="array" aca="1" ref="MG1544" ca="1">IFERROR(INDEX(nombres[],SMALL(IF(OFFSET(nombres[],0,0,ROWS(nombres[]),1)=MG$1490,ROW(OFFSET(nombres[],0,0,ROWS(nombres[]),1))-ROW(OFFSET(nombres[],0,0,1,1))+1,ROW(OFFSET(nombres[],ROWS(nombres[])-1,0,1,1))+1),$O1544:$O1563),3),"")</f>
        <v/>
      </c>
      <c r="MH1544" s="42" t="str">
        <f t="array" aca="1" ref="MH1544" ca="1">IFERROR(INDEX(nombres[],SMALL(IF(OFFSET(nombres[],0,0,ROWS(nombres[]),1)=MH$1490,ROW(OFFSET(nombres[],0,0,ROWS(nombres[]),1))-ROW(OFFSET(nombres[],0,0,1,1))+1,ROW(OFFSET(nombres[],ROWS(nombres[])-1,0,1,1))+1),$O1544:$O1563),3),"")</f>
        <v/>
      </c>
      <c r="MI1544" s="42" t="str">
        <f t="array" aca="1" ref="MI1544" ca="1">IFERROR(INDEX(nombres[],SMALL(IF(OFFSET(nombres[],0,0,ROWS(nombres[]),1)=MI$1490,ROW(OFFSET(nombres[],0,0,ROWS(nombres[]),1))-ROW(OFFSET(nombres[],0,0,1,1))+1,ROW(OFFSET(nombres[],ROWS(nombres[])-1,0,1,1))+1),$O1544:$O1563),3),"")</f>
        <v/>
      </c>
      <c r="MJ1544" s="42" t="str">
        <f t="array" aca="1" ref="MJ1544" ca="1">IFERROR(INDEX(nombres[],SMALL(IF(OFFSET(nombres[],0,0,ROWS(nombres[]),1)=MJ$1490,ROW(OFFSET(nombres[],0,0,ROWS(nombres[]),1))-ROW(OFFSET(nombres[],0,0,1,1))+1,ROW(OFFSET(nombres[],ROWS(nombres[])-1,0,1,1))+1),$O1544:$O1563),3),"")</f>
        <v/>
      </c>
      <c r="MK1544" s="42" t="str">
        <f t="array" aca="1" ref="MK1544" ca="1">IFERROR(INDEX(nombres[],SMALL(IF(OFFSET(nombres[],0,0,ROWS(nombres[]),1)=MK$1490,ROW(OFFSET(nombres[],0,0,ROWS(nombres[]),1))-ROW(OFFSET(nombres[],0,0,1,1))+1,ROW(OFFSET(nombres[],ROWS(nombres[])-1,0,1,1))+1),$O1544:$O1563),3),"")</f>
        <v/>
      </c>
      <c r="ML1544" s="42" t="str">
        <f t="array" aca="1" ref="ML1544" ca="1">IFERROR(INDEX(nombres[],SMALL(IF(OFFSET(nombres[],0,0,ROWS(nombres[]),1)=ML$1490,ROW(OFFSET(nombres[],0,0,ROWS(nombres[]),1))-ROW(OFFSET(nombres[],0,0,1,1))+1,ROW(OFFSET(nombres[],ROWS(nombres[])-1,0,1,1))+1),$O1544:$O1563),3),"")</f>
        <v/>
      </c>
      <c r="MM1544" s="42" t="str">
        <f t="array" aca="1" ref="MM1544" ca="1">IFERROR(INDEX(nombres[],SMALL(IF(OFFSET(nombres[],0,0,ROWS(nombres[]),1)=MM$1490,ROW(OFFSET(nombres[],0,0,ROWS(nombres[]),1))-ROW(OFFSET(nombres[],0,0,1,1))+1,ROW(OFFSET(nombres[],ROWS(nombres[])-1,0,1,1))+1),$O1544:$O1563),3),"")</f>
        <v/>
      </c>
      <c r="MN1544" s="42" t="str">
        <f t="array" aca="1" ref="MN1544" ca="1">IFERROR(INDEX(nombres[],SMALL(IF(OFFSET(nombres[],0,0,ROWS(nombres[]),1)=MN$1490,ROW(OFFSET(nombres[],0,0,ROWS(nombres[]),1))-ROW(OFFSET(nombres[],0,0,1,1))+1,ROW(OFFSET(nombres[],ROWS(nombres[])-1,0,1,1))+1),$O1544:$O1563),3),"")</f>
        <v/>
      </c>
      <c r="MO1544" s="42" t="str">
        <f t="array" aca="1" ref="MO1544" ca="1">IFERROR(INDEX(nombres[],SMALL(IF(OFFSET(nombres[],0,0,ROWS(nombres[]),1)=MO$1490,ROW(OFFSET(nombres[],0,0,ROWS(nombres[]),1))-ROW(OFFSET(nombres[],0,0,1,1))+1,ROW(OFFSET(nombres[],ROWS(nombres[])-1,0,1,1))+1),$O1544:$O1563),3),"")</f>
        <v/>
      </c>
      <c r="MP1544" s="42" t="str">
        <f t="array" aca="1" ref="MP1544" ca="1">IFERROR(INDEX(nombres[],SMALL(IF(OFFSET(nombres[],0,0,ROWS(nombres[]),1)=MP$1490,ROW(OFFSET(nombres[],0,0,ROWS(nombres[]),1))-ROW(OFFSET(nombres[],0,0,1,1))+1,ROW(OFFSET(nombres[],ROWS(nombres[])-1,0,1,1))+1),$O1544:$O1563),3),"")</f>
        <v/>
      </c>
      <c r="MQ1544" s="42" t="str">
        <f t="array" aca="1" ref="MQ1544" ca="1">IFERROR(INDEX(nombres[],SMALL(IF(OFFSET(nombres[],0,0,ROWS(nombres[]),1)=MQ$1490,ROW(OFFSET(nombres[],0,0,ROWS(nombres[]),1))-ROW(OFFSET(nombres[],0,0,1,1))+1,ROW(OFFSET(nombres[],ROWS(nombres[])-1,0,1,1))+1),$O1544:$O1563),3),"")</f>
        <v/>
      </c>
      <c r="MR1544" s="42" t="str">
        <f t="array" aca="1" ref="MR1544" ca="1">IFERROR(INDEX(nombres[],SMALL(IF(OFFSET(nombres[],0,0,ROWS(nombres[]),1)=MR$1490,ROW(OFFSET(nombres[],0,0,ROWS(nombres[]),1))-ROW(OFFSET(nombres[],0,0,1,1))+1,ROW(OFFSET(nombres[],ROWS(nombres[])-1,0,1,1))+1),$O1544:$O1563),3),"")</f>
        <v/>
      </c>
      <c r="MS1544" s="42" t="str">
        <f t="array" aca="1" ref="MS1544" ca="1">IFERROR(INDEX(nombres[],SMALL(IF(OFFSET(nombres[],0,0,ROWS(nombres[]),1)=MS$1490,ROW(OFFSET(nombres[],0,0,ROWS(nombres[]),1))-ROW(OFFSET(nombres[],0,0,1,1))+1,ROW(OFFSET(nombres[],ROWS(nombres[])-1,0,1,1))+1),$O1544:$O1563),3),"")</f>
        <v/>
      </c>
      <c r="MT1544" s="42" t="str">
        <f t="array" aca="1" ref="MT1544" ca="1">IFERROR(INDEX(nombres[],SMALL(IF(OFFSET(nombres[],0,0,ROWS(nombres[]),1)=MT$1490,ROW(OFFSET(nombres[],0,0,ROWS(nombres[]),1))-ROW(OFFSET(nombres[],0,0,1,1))+1,ROW(OFFSET(nombres[],ROWS(nombres[])-1,0,1,1))+1),$O1544:$O1563),3),"")</f>
        <v/>
      </c>
      <c r="MU1544" s="42" t="str">
        <f t="array" aca="1" ref="MU1544" ca="1">IFERROR(INDEX(nombres[],SMALL(IF(OFFSET(nombres[],0,0,ROWS(nombres[]),1)=MU$1490,ROW(OFFSET(nombres[],0,0,ROWS(nombres[]),1))-ROW(OFFSET(nombres[],0,0,1,1))+1,ROW(OFFSET(nombres[],ROWS(nombres[])-1,0,1,1))+1),$O1544:$O1563),3),"")</f>
        <v/>
      </c>
      <c r="MV1544" s="42" t="str">
        <f t="array" aca="1" ref="MV1544" ca="1">IFERROR(INDEX(nombres[],SMALL(IF(OFFSET(nombres[],0,0,ROWS(nombres[]),1)=MV$1490,ROW(OFFSET(nombres[],0,0,ROWS(nombres[]),1))-ROW(OFFSET(nombres[],0,0,1,1))+1,ROW(OFFSET(nombres[],ROWS(nombres[])-1,0,1,1))+1),$O1544:$O1563),3),"")</f>
        <v/>
      </c>
      <c r="MW1544" s="42" t="str">
        <f t="array" aca="1" ref="MW1544" ca="1">IFERROR(INDEX(nombres[],SMALL(IF(OFFSET(nombres[],0,0,ROWS(nombres[]),1)=MW$1490,ROW(OFFSET(nombres[],0,0,ROWS(nombres[]),1))-ROW(OFFSET(nombres[],0,0,1,1))+1,ROW(OFFSET(nombres[],ROWS(nombres[])-1,0,1,1))+1),$O1544:$O1563),3),"")</f>
        <v/>
      </c>
      <c r="MX1544" s="42" t="str">
        <f t="array" aca="1" ref="MX1544" ca="1">IFERROR(INDEX(nombres[],SMALL(IF(OFFSET(nombres[],0,0,ROWS(nombres[]),1)=MX$1490,ROW(OFFSET(nombres[],0,0,ROWS(nombres[]),1))-ROW(OFFSET(nombres[],0,0,1,1))+1,ROW(OFFSET(nombres[],ROWS(nombres[])-1,0,1,1))+1),$O1544:$O1563),3),"")</f>
        <v/>
      </c>
      <c r="MY1544" s="42" t="str">
        <f t="array" aca="1" ref="MY1544" ca="1">IFERROR(INDEX(nombres[],SMALL(IF(OFFSET(nombres[],0,0,ROWS(nombres[]),1)=MY$1490,ROW(OFFSET(nombres[],0,0,ROWS(nombres[]),1))-ROW(OFFSET(nombres[],0,0,1,1))+1,ROW(OFFSET(nombres[],ROWS(nombres[])-1,0,1,1))+1),$O1544:$O1563),3),"")</f>
        <v/>
      </c>
      <c r="MZ1544" s="42" t="str">
        <f t="array" aca="1" ref="MZ1544" ca="1">IFERROR(INDEX(nombres[],SMALL(IF(OFFSET(nombres[],0,0,ROWS(nombres[]),1)=MZ$1490,ROW(OFFSET(nombres[],0,0,ROWS(nombres[]),1))-ROW(OFFSET(nombres[],0,0,1,1))+1,ROW(OFFSET(nombres[],ROWS(nombres[])-1,0,1,1))+1),$O1544:$O1563),3),"")</f>
        <v/>
      </c>
      <c r="NA1544" s="42" t="str">
        <f t="array" aca="1" ref="NA1544" ca="1">IFERROR(INDEX(nombres[],SMALL(IF(OFFSET(nombres[],0,0,ROWS(nombres[]),1)=NA$1490,ROW(OFFSET(nombres[],0,0,ROWS(nombres[]),1))-ROW(OFFSET(nombres[],0,0,1,1))+1,ROW(OFFSET(nombres[],ROWS(nombres[])-1,0,1,1))+1),$O1544:$O1563),3),"")</f>
        <v/>
      </c>
      <c r="NB1544" s="42" t="str">
        <f t="array" aca="1" ref="NB1544" ca="1">IFERROR(INDEX(nombres[],SMALL(IF(OFFSET(nombres[],0,0,ROWS(nombres[]),1)=NB$1490,ROW(OFFSET(nombres[],0,0,ROWS(nombres[]),1))-ROW(OFFSET(nombres[],0,0,1,1))+1,ROW(OFFSET(nombres[],ROWS(nombres[])-1,0,1,1))+1),$O1544:$O1563),3),"")</f>
        <v/>
      </c>
      <c r="NC1544" s="42" t="str">
        <f t="array" aca="1" ref="NC1544" ca="1">IFERROR(INDEX(nombres[],SMALL(IF(OFFSET(nombres[],0,0,ROWS(nombres[]),1)=NC$1490,ROW(OFFSET(nombres[],0,0,ROWS(nombres[]),1))-ROW(OFFSET(nombres[],0,0,1,1))+1,ROW(OFFSET(nombres[],ROWS(nombres[])-1,0,1,1))+1),$O1544:$O1563),3),"")</f>
        <v/>
      </c>
      <c r="ND1544" s="42" t="str">
        <f t="array" aca="1" ref="ND1544" ca="1">IFERROR(INDEX(nombres[],SMALL(IF(OFFSET(nombres[],0,0,ROWS(nombres[]),1)=ND$1490,ROW(OFFSET(nombres[],0,0,ROWS(nombres[]),1))-ROW(OFFSET(nombres[],0,0,1,1))+1,ROW(OFFSET(nombres[],ROWS(nombres[])-1,0,1,1))+1),$O1544:$O1563),3),"")</f>
        <v/>
      </c>
      <c r="NE1544" s="42" t="str">
        <f t="array" aca="1" ref="NE1544" ca="1">IFERROR(INDEX(nombres[],SMALL(IF(OFFSET(nombres[],0,0,ROWS(nombres[]),1)=NE$1490,ROW(OFFSET(nombres[],0,0,ROWS(nombres[]),1))-ROW(OFFSET(nombres[],0,0,1,1))+1,ROW(OFFSET(nombres[],ROWS(nombres[])-1,0,1,1))+1),$O1544:$O1563),3),"")</f>
        <v/>
      </c>
      <c r="NF1544" s="42" t="str">
        <f t="array" aca="1" ref="NF1544" ca="1">IFERROR(INDEX(nombres[],SMALL(IF(OFFSET(nombres[],0,0,ROWS(nombres[]),1)=NF$1490,ROW(OFFSET(nombres[],0,0,ROWS(nombres[]),1))-ROW(OFFSET(nombres[],0,0,1,1))+1,ROW(OFFSET(nombres[],ROWS(nombres[])-1,0,1,1))+1),$O1544:$O1563),3),"")</f>
        <v/>
      </c>
      <c r="NG1544" s="42" t="str">
        <f t="array" aca="1" ref="NG1544" ca="1">IFERROR(INDEX(nombres[],SMALL(IF(OFFSET(nombres[],0,0,ROWS(nombres[]),1)=NG$1490,ROW(OFFSET(nombres[],0,0,ROWS(nombres[]),1))-ROW(OFFSET(nombres[],0,0,1,1))+1,ROW(OFFSET(nombres[],ROWS(nombres[])-1,0,1,1))+1),$O1544:$O1563),3),"")</f>
        <v/>
      </c>
      <c r="NH1544" s="42" t="str">
        <f t="array" aca="1" ref="NH1544" ca="1">IFERROR(INDEX(nombres[],SMALL(IF(OFFSET(nombres[],0,0,ROWS(nombres[]),1)=NH$1490,ROW(OFFSET(nombres[],0,0,ROWS(nombres[]),1))-ROW(OFFSET(nombres[],0,0,1,1))+1,ROW(OFFSET(nombres[],ROWS(nombres[])-1,0,1,1))+1),$O1544:$O1563),3),"")</f>
        <v/>
      </c>
      <c r="NI1544" s="42" t="str">
        <f t="array" aca="1" ref="NI1544" ca="1">IFERROR(INDEX(nombres[],SMALL(IF(OFFSET(nombres[],0,0,ROWS(nombres[]),1)=NI$1490,ROW(OFFSET(nombres[],0,0,ROWS(nombres[]),1))-ROW(OFFSET(nombres[],0,0,1,1))+1,ROW(OFFSET(nombres[],ROWS(nombres[])-1,0,1,1))+1),$O1544:$O1563),3),"")</f>
        <v/>
      </c>
      <c r="NJ1544" s="42" t="str">
        <f t="array" aca="1" ref="NJ1544" ca="1">IFERROR(INDEX(nombres[],SMALL(IF(OFFSET(nombres[],0,0,ROWS(nombres[]),1)=NJ$1490,ROW(OFFSET(nombres[],0,0,ROWS(nombres[]),1))-ROW(OFFSET(nombres[],0,0,1,1))+1,ROW(OFFSET(nombres[],ROWS(nombres[])-1,0,1,1))+1),$O1544:$O1563),3),"")</f>
        <v/>
      </c>
      <c r="NK1544" s="42" t="str">
        <f t="array" aca="1" ref="NK1544" ca="1">IFERROR(INDEX(nombres[],SMALL(IF(OFFSET(nombres[],0,0,ROWS(nombres[]),1)=NK$1490,ROW(OFFSET(nombres[],0,0,ROWS(nombres[]),1))-ROW(OFFSET(nombres[],0,0,1,1))+1,ROW(OFFSET(nombres[],ROWS(nombres[])-1,0,1,1))+1),$O1544:$O1563),3),"")</f>
        <v/>
      </c>
      <c r="NL1544" s="42" t="str">
        <f t="array" aca="1" ref="NL1544" ca="1">IFERROR(INDEX(nombres[],SMALL(IF(OFFSET(nombres[],0,0,ROWS(nombres[]),1)=NL$1490,ROW(OFFSET(nombres[],0,0,ROWS(nombres[]),1))-ROW(OFFSET(nombres[],0,0,1,1))+1,ROW(OFFSET(nombres[],ROWS(nombres[])-1,0,1,1))+1),$O1544:$O1563),3),"")</f>
        <v/>
      </c>
      <c r="NM1544" s="42" t="str">
        <f t="array" aca="1" ref="NM1544" ca="1">IFERROR(INDEX(nombres[],SMALL(IF(OFFSET(nombres[],0,0,ROWS(nombres[]),1)=NM$1490,ROW(OFFSET(nombres[],0,0,ROWS(nombres[]),1))-ROW(OFFSET(nombres[],0,0,1,1))+1,ROW(OFFSET(nombres[],ROWS(nombres[])-1,0,1,1))+1),$O1544:$O1563),3),"")</f>
        <v/>
      </c>
      <c r="NN1544" s="42" t="str">
        <f t="array" aca="1" ref="NN1544" ca="1">IFERROR(INDEX(nombres[],SMALL(IF(OFFSET(nombres[],0,0,ROWS(nombres[]),1)=NN$1490,ROW(OFFSET(nombres[],0,0,ROWS(nombres[]),1))-ROW(OFFSET(nombres[],0,0,1,1))+1,ROW(OFFSET(nombres[],ROWS(nombres[])-1,0,1,1))+1),$O1544:$O1563),3),"")</f>
        <v/>
      </c>
      <c r="NO1544" s="42" t="str">
        <f t="array" aca="1" ref="NO1544" ca="1">IFERROR(INDEX(nombres[],SMALL(IF(OFFSET(nombres[],0,0,ROWS(nombres[]),1)=NO$1490,ROW(OFFSET(nombres[],0,0,ROWS(nombres[]),1))-ROW(OFFSET(nombres[],0,0,1,1))+1,ROW(OFFSET(nombres[],ROWS(nombres[])-1,0,1,1))+1),$O1544:$O1563),3),"")</f>
        <v/>
      </c>
      <c r="NP1544" s="42" t="str">
        <f t="array" aca="1" ref="NP1544" ca="1">IFERROR(INDEX(nombres[],SMALL(IF(OFFSET(nombres[],0,0,ROWS(nombres[]),1)=NP$1490,ROW(OFFSET(nombres[],0,0,ROWS(nombres[]),1))-ROW(OFFSET(nombres[],0,0,1,1))+1,ROW(OFFSET(nombres[],ROWS(nombres[])-1,0,1,1))+1),$O1544:$O1563),3),"")</f>
        <v/>
      </c>
      <c r="NQ1544" s="42" t="str">
        <f t="array" aca="1" ref="NQ1544" ca="1">IFERROR(INDEX(nombres[],SMALL(IF(OFFSET(nombres[],0,0,ROWS(nombres[]),1)=NQ$1490,ROW(OFFSET(nombres[],0,0,ROWS(nombres[]),1))-ROW(OFFSET(nombres[],0,0,1,1))+1,ROW(OFFSET(nombres[],ROWS(nombres[])-1,0,1,1))+1),$O1544:$O1563),3),"")</f>
        <v/>
      </c>
      <c r="NR1544" s="42" t="str">
        <f t="array" aca="1" ref="NR1544" ca="1">IFERROR(INDEX(nombres[],SMALL(IF(OFFSET(nombres[],0,0,ROWS(nombres[]),1)=NR$1490,ROW(OFFSET(nombres[],0,0,ROWS(nombres[]),1))-ROW(OFFSET(nombres[],0,0,1,1))+1,ROW(OFFSET(nombres[],ROWS(nombres[])-1,0,1,1))+1),$O1544:$O1563),3),"")</f>
        <v/>
      </c>
      <c r="NS1544" s="42" t="str">
        <f t="array" aca="1" ref="NS1544" ca="1">IFERROR(INDEX(nombres[],SMALL(IF(OFFSET(nombres[],0,0,ROWS(nombres[]),1)=NS$1490,ROW(OFFSET(nombres[],0,0,ROWS(nombres[]),1))-ROW(OFFSET(nombres[],0,0,1,1))+1,ROW(OFFSET(nombres[],ROWS(nombres[])-1,0,1,1))+1),$O1544:$O1563),3),"")</f>
        <v/>
      </c>
      <c r="NT1544" s="42" t="str">
        <f t="array" aca="1" ref="NT1544" ca="1">IFERROR(INDEX(nombres[],SMALL(IF(OFFSET(nombres[],0,0,ROWS(nombres[]),1)=NT$1490,ROW(OFFSET(nombres[],0,0,ROWS(nombres[]),1))-ROW(OFFSET(nombres[],0,0,1,1))+1,ROW(OFFSET(nombres[],ROWS(nombres[])-1,0,1,1))+1),$O1544:$O1563),3),"")</f>
        <v/>
      </c>
      <c r="NU1544" s="42" t="str">
        <f t="array" aca="1" ref="NU1544" ca="1">IFERROR(INDEX(nombres[],SMALL(IF(OFFSET(nombres[],0,0,ROWS(nombres[]),1)=NU$1490,ROW(OFFSET(nombres[],0,0,ROWS(nombres[]),1))-ROW(OFFSET(nombres[],0,0,1,1))+1,ROW(OFFSET(nombres[],ROWS(nombres[])-1,0,1,1))+1),$O1544:$O1563),3),"")</f>
        <v/>
      </c>
      <c r="NV1544" s="42" t="str">
        <f t="array" aca="1" ref="NV1544" ca="1">IFERROR(INDEX(nombres[],SMALL(IF(OFFSET(nombres[],0,0,ROWS(nombres[]),1)=NV$1490,ROW(OFFSET(nombres[],0,0,ROWS(nombres[]),1))-ROW(OFFSET(nombres[],0,0,1,1))+1,ROW(OFFSET(nombres[],ROWS(nombres[])-1,0,1,1))+1),$O1544:$O1563),3),"")</f>
        <v/>
      </c>
      <c r="NW1544" s="42" t="str">
        <f t="array" aca="1" ref="NW1544" ca="1">IFERROR(INDEX(nombres[],SMALL(IF(OFFSET(nombres[],0,0,ROWS(nombres[]),1)=NW$1490,ROW(OFFSET(nombres[],0,0,ROWS(nombres[]),1))-ROW(OFFSET(nombres[],0,0,1,1))+1,ROW(OFFSET(nombres[],ROWS(nombres[])-1,0,1,1))+1),$O1544:$O1563),3),"")</f>
        <v/>
      </c>
      <c r="NX1544" s="42" t="str">
        <f t="array" aca="1" ref="NX1544" ca="1">IFERROR(INDEX(nombres[],SMALL(IF(OFFSET(nombres[],0,0,ROWS(nombres[]),1)=NX$1490,ROW(OFFSET(nombres[],0,0,ROWS(nombres[]),1))-ROW(OFFSET(nombres[],0,0,1,1))+1,ROW(OFFSET(nombres[],ROWS(nombres[])-1,0,1,1))+1),$O1544:$O1563),3),"")</f>
        <v/>
      </c>
      <c r="NY1544" s="42" t="str">
        <f t="array" aca="1" ref="NY1544" ca="1">IFERROR(INDEX(nombres[],SMALL(IF(OFFSET(nombres[],0,0,ROWS(nombres[]),1)=NY$1490,ROW(OFFSET(nombres[],0,0,ROWS(nombres[]),1))-ROW(OFFSET(nombres[],0,0,1,1))+1,ROW(OFFSET(nombres[],ROWS(nombres[])-1,0,1,1))+1),$O1544:$O1563),3),"")</f>
        <v/>
      </c>
      <c r="NZ1544" s="42" t="str">
        <f t="array" aca="1" ref="NZ1544" ca="1">IFERROR(INDEX(nombres[],SMALL(IF(OFFSET(nombres[],0,0,ROWS(nombres[]),1)=NZ$1490,ROW(OFFSET(nombres[],0,0,ROWS(nombres[]),1))-ROW(OFFSET(nombres[],0,0,1,1))+1,ROW(OFFSET(nombres[],ROWS(nombres[])-1,0,1,1))+1),$O1544:$O1563),3),"")</f>
        <v/>
      </c>
      <c r="OA1544" s="42" t="str">
        <f t="array" aca="1" ref="OA1544" ca="1">IFERROR(INDEX(nombres[],SMALL(IF(OFFSET(nombres[],0,0,ROWS(nombres[]),1)=OA$1490,ROW(OFFSET(nombres[],0,0,ROWS(nombres[]),1))-ROW(OFFSET(nombres[],0,0,1,1))+1,ROW(OFFSET(nombres[],ROWS(nombres[])-1,0,1,1))+1),$O1544:$O1563),3),"")</f>
        <v/>
      </c>
      <c r="OB1544" s="42" t="str">
        <f t="array" aca="1" ref="OB1544" ca="1">IFERROR(INDEX(nombres[],SMALL(IF(OFFSET(nombres[],0,0,ROWS(nombres[]),1)=OB$1490,ROW(OFFSET(nombres[],0,0,ROWS(nombres[]),1))-ROW(OFFSET(nombres[],0,0,1,1))+1,ROW(OFFSET(nombres[],ROWS(nombres[])-1,0,1,1))+1),$O1544:$O1563),3),"")</f>
        <v/>
      </c>
      <c r="OC1544" s="42" t="str">
        <f t="array" aca="1" ref="OC1544" ca="1">IFERROR(INDEX(nombres[],SMALL(IF(OFFSET(nombres[],0,0,ROWS(nombres[]),1)=OC$1490,ROW(OFFSET(nombres[],0,0,ROWS(nombres[]),1))-ROW(OFFSET(nombres[],0,0,1,1))+1,ROW(OFFSET(nombres[],ROWS(nombres[])-1,0,1,1))+1),$O1544:$O1563),3),"")</f>
        <v/>
      </c>
      <c r="OD1544" s="42" t="str">
        <f t="array" aca="1" ref="OD1544" ca="1">IFERROR(INDEX(nombres[],SMALL(IF(OFFSET(nombres[],0,0,ROWS(nombres[]),1)=OD$1490,ROW(OFFSET(nombres[],0,0,ROWS(nombres[]),1))-ROW(OFFSET(nombres[],0,0,1,1))+1,ROW(OFFSET(nombres[],ROWS(nombres[])-1,0,1,1))+1),$O1544:$O1563),3),"")</f>
        <v/>
      </c>
      <c r="OE1544" s="42" t="str">
        <f t="array" aca="1" ref="OE1544" ca="1">IFERROR(INDEX(nombres[],SMALL(IF(OFFSET(nombres[],0,0,ROWS(nombres[]),1)=OE$1490,ROW(OFFSET(nombres[],0,0,ROWS(nombres[]),1))-ROW(OFFSET(nombres[],0,0,1,1))+1,ROW(OFFSET(nombres[],ROWS(nombres[])-1,0,1,1))+1),$O1544:$O1563),3),"")</f>
        <v/>
      </c>
      <c r="OF1544" s="42" t="str">
        <f t="array" aca="1" ref="OF1544" ca="1">IFERROR(INDEX(nombres[],SMALL(IF(OFFSET(nombres[],0,0,ROWS(nombres[]),1)=OF$1490,ROW(OFFSET(nombres[],0,0,ROWS(nombres[]),1))-ROW(OFFSET(nombres[],0,0,1,1))+1,ROW(OFFSET(nombres[],ROWS(nombres[])-1,0,1,1))+1),$O1544:$O1563),3),"")</f>
        <v/>
      </c>
      <c r="OG1544" s="42" t="str">
        <f t="array" aca="1" ref="OG1544" ca="1">IFERROR(INDEX(nombres[],SMALL(IF(OFFSET(nombres[],0,0,ROWS(nombres[]),1)=OG$1490,ROW(OFFSET(nombres[],0,0,ROWS(nombres[]),1))-ROW(OFFSET(nombres[],0,0,1,1))+1,ROW(OFFSET(nombres[],ROWS(nombres[])-1,0,1,1))+1),$O1544:$O1563),3),"")</f>
        <v/>
      </c>
      <c r="OH1544" s="42" t="str">
        <f t="array" aca="1" ref="OH1544" ca="1">IFERROR(INDEX(nombres[],SMALL(IF(OFFSET(nombres[],0,0,ROWS(nombres[]),1)=OH$1490,ROW(OFFSET(nombres[],0,0,ROWS(nombres[]),1))-ROW(OFFSET(nombres[],0,0,1,1))+1,ROW(OFFSET(nombres[],ROWS(nombres[])-1,0,1,1))+1),$O1544:$O1563),3),"")</f>
        <v/>
      </c>
      <c r="OI1544" s="42" t="str">
        <f t="array" aca="1" ref="OI1544" ca="1">IFERROR(INDEX(nombres[],SMALL(IF(OFFSET(nombres[],0,0,ROWS(nombres[]),1)=OI$1490,ROW(OFFSET(nombres[],0,0,ROWS(nombres[]),1))-ROW(OFFSET(nombres[],0,0,1,1))+1,ROW(OFFSET(nombres[],ROWS(nombres[])-1,0,1,1))+1),$O1544:$O1563),3),"")</f>
        <v/>
      </c>
      <c r="OJ1544" s="42" t="str">
        <f t="array" aca="1" ref="OJ1544" ca="1">IFERROR(INDEX(nombres[],SMALL(IF(OFFSET(nombres[],0,0,ROWS(nombres[]),1)=OJ$1490,ROW(OFFSET(nombres[],0,0,ROWS(nombres[]),1))-ROW(OFFSET(nombres[],0,0,1,1))+1,ROW(OFFSET(nombres[],ROWS(nombres[])-1,0,1,1))+1),$O1544:$O1563),3),"")</f>
        <v/>
      </c>
      <c r="OK1544" s="42" t="str">
        <f t="array" aca="1" ref="OK1544" ca="1">IFERROR(INDEX(nombres[],SMALL(IF(OFFSET(nombres[],0,0,ROWS(nombres[]),1)=OK$1490,ROW(OFFSET(nombres[],0,0,ROWS(nombres[]),1))-ROW(OFFSET(nombres[],0,0,1,1))+1,ROW(OFFSET(nombres[],ROWS(nombres[])-1,0,1,1))+1),$O1544:$O1563),3),"")</f>
        <v/>
      </c>
      <c r="OL1544" s="42" t="str">
        <f t="array" aca="1" ref="OL1544" ca="1">IFERROR(INDEX(nombres[],SMALL(IF(OFFSET(nombres[],0,0,ROWS(nombres[]),1)=OL$1490,ROW(OFFSET(nombres[],0,0,ROWS(nombres[]),1))-ROW(OFFSET(nombres[],0,0,1,1))+1,ROW(OFFSET(nombres[],ROWS(nombres[])-1,0,1,1))+1),$O1544:$O1563),3),"")</f>
        <v/>
      </c>
      <c r="OM1544" s="42" t="str">
        <f t="array" aca="1" ref="OM1544" ca="1">IFERROR(INDEX(nombres[],SMALL(IF(OFFSET(nombres[],0,0,ROWS(nombres[]),1)=OM$1490,ROW(OFFSET(nombres[],0,0,ROWS(nombres[]),1))-ROW(OFFSET(nombres[],0,0,1,1))+1,ROW(OFFSET(nombres[],ROWS(nombres[])-1,0,1,1))+1),$O1544:$O1563),3),"")</f>
        <v/>
      </c>
      <c r="ON1544" s="42" t="str">
        <f t="array" aca="1" ref="ON1544" ca="1">IFERROR(INDEX(nombres[],SMALL(IF(OFFSET(nombres[],0,0,ROWS(nombres[]),1)=ON$1490,ROW(OFFSET(nombres[],0,0,ROWS(nombres[]),1))-ROW(OFFSET(nombres[],0,0,1,1))+1,ROW(OFFSET(nombres[],ROWS(nombres[])-1,0,1,1))+1),$O1544:$O1563),3),"")</f>
        <v/>
      </c>
      <c r="OO1544" s="42" t="str">
        <f t="array" aca="1" ref="OO1544" ca="1">IFERROR(INDEX(nombres[],SMALL(IF(OFFSET(nombres[],0,0,ROWS(nombres[]),1)=OO$1490,ROW(OFFSET(nombres[],0,0,ROWS(nombres[]),1))-ROW(OFFSET(nombres[],0,0,1,1))+1,ROW(OFFSET(nombres[],ROWS(nombres[])-1,0,1,1))+1),$O1544:$O1563),3),"")</f>
        <v/>
      </c>
      <c r="OP1544" s="42" t="str">
        <f t="array" aca="1" ref="OP1544" ca="1">IFERROR(INDEX(nombres[],SMALL(IF(OFFSET(nombres[],0,0,ROWS(nombres[]),1)=OP$1490,ROW(OFFSET(nombres[],0,0,ROWS(nombres[]),1))-ROW(OFFSET(nombres[],0,0,1,1))+1,ROW(OFFSET(nombres[],ROWS(nombres[])-1,0,1,1))+1),$O1544:$O1563),3),"")</f>
        <v/>
      </c>
      <c r="OQ1544" s="42" t="str">
        <f t="array" aca="1" ref="OQ1544" ca="1">IFERROR(INDEX(nombres[],SMALL(IF(OFFSET(nombres[],0,0,ROWS(nombres[]),1)=OQ$1490,ROW(OFFSET(nombres[],0,0,ROWS(nombres[]),1))-ROW(OFFSET(nombres[],0,0,1,1))+1,ROW(OFFSET(nombres[],ROWS(nombres[])-1,0,1,1))+1),$O1544:$O1563),3),"")</f>
        <v/>
      </c>
      <c r="OR1544" s="42" t="str">
        <f t="array" aca="1" ref="OR1544" ca="1">IFERROR(INDEX(nombres[],SMALL(IF(OFFSET(nombres[],0,0,ROWS(nombres[]),1)=OR$1490,ROW(OFFSET(nombres[],0,0,ROWS(nombres[]),1))-ROW(OFFSET(nombres[],0,0,1,1))+1,ROW(OFFSET(nombres[],ROWS(nombres[])-1,0,1,1))+1),$O1544:$O1563),3),"")</f>
        <v/>
      </c>
      <c r="OS1544" s="42" t="str">
        <f t="array" aca="1" ref="OS1544" ca="1">IFERROR(INDEX(nombres[],SMALL(IF(OFFSET(nombres[],0,0,ROWS(nombres[]),1)=OS$1490,ROW(OFFSET(nombres[],0,0,ROWS(nombres[]),1))-ROW(OFFSET(nombres[],0,0,1,1))+1,ROW(OFFSET(nombres[],ROWS(nombres[])-1,0,1,1))+1),$O1544:$O1563),3),"")</f>
        <v/>
      </c>
      <c r="OT1544" s="42" t="str">
        <f t="array" aca="1" ref="OT1544" ca="1">IFERROR(INDEX(nombres[],SMALL(IF(OFFSET(nombres[],0,0,ROWS(nombres[]),1)=OT$1490,ROW(OFFSET(nombres[],0,0,ROWS(nombres[]),1))-ROW(OFFSET(nombres[],0,0,1,1))+1,ROW(OFFSET(nombres[],ROWS(nombres[])-1,0,1,1))+1),$O1544:$O1563),3),"")</f>
        <v/>
      </c>
      <c r="OU1544" s="42" t="str">
        <f t="array" aca="1" ref="OU1544" ca="1">IFERROR(INDEX(nombres[],SMALL(IF(OFFSET(nombres[],0,0,ROWS(nombres[]),1)=OU$1490,ROW(OFFSET(nombres[],0,0,ROWS(nombres[]),1))-ROW(OFFSET(nombres[],0,0,1,1))+1,ROW(OFFSET(nombres[],ROWS(nombres[])-1,0,1,1))+1),$O1544:$O1563),3),"")</f>
        <v/>
      </c>
      <c r="OV1544" s="42" t="str">
        <f t="array" aca="1" ref="OV1544" ca="1">IFERROR(INDEX(nombres[],SMALL(IF(OFFSET(nombres[],0,0,ROWS(nombres[]),1)=OV$1490,ROW(OFFSET(nombres[],0,0,ROWS(nombres[]),1))-ROW(OFFSET(nombres[],0,0,1,1))+1,ROW(OFFSET(nombres[],ROWS(nombres[])-1,0,1,1))+1),$O1544:$O1563),3),"")</f>
        <v/>
      </c>
      <c r="OW1544" s="42" t="str">
        <f t="array" aca="1" ref="OW1544" ca="1">IFERROR(INDEX(nombres[],SMALL(IF(OFFSET(nombres[],0,0,ROWS(nombres[]),1)=OW$1490,ROW(OFFSET(nombres[],0,0,ROWS(nombres[]),1))-ROW(OFFSET(nombres[],0,0,1,1))+1,ROW(OFFSET(nombres[],ROWS(nombres[])-1,0,1,1))+1),$O1544:$O1563),3),"")</f>
        <v/>
      </c>
      <c r="OX1544" s="42" t="str">
        <f t="array" aca="1" ref="OX1544" ca="1">IFERROR(INDEX(nombres[],SMALL(IF(OFFSET(nombres[],0,0,ROWS(nombres[]),1)=OX$1490,ROW(OFFSET(nombres[],0,0,ROWS(nombres[]),1))-ROW(OFFSET(nombres[],0,0,1,1))+1,ROW(OFFSET(nombres[],ROWS(nombres[])-1,0,1,1))+1),$O1544:$O1563),3),"")</f>
        <v/>
      </c>
      <c r="OY1544" s="42" t="str">
        <f t="array" aca="1" ref="OY1544" ca="1">IFERROR(INDEX(nombres[],SMALL(IF(OFFSET(nombres[],0,0,ROWS(nombres[]),1)=OY$1490,ROW(OFFSET(nombres[],0,0,ROWS(nombres[]),1))-ROW(OFFSET(nombres[],0,0,1,1))+1,ROW(OFFSET(nombres[],ROWS(nombres[])-1,0,1,1))+1),$O1544:$O1563),3),"")</f>
        <v/>
      </c>
      <c r="OZ1544" s="42" t="str">
        <f t="array" aca="1" ref="OZ1544" ca="1">IFERROR(INDEX(nombres[],SMALL(IF(OFFSET(nombres[],0,0,ROWS(nombres[]),1)=OZ$1490,ROW(OFFSET(nombres[],0,0,ROWS(nombres[]),1))-ROW(OFFSET(nombres[],0,0,1,1))+1,ROW(OFFSET(nombres[],ROWS(nombres[])-1,0,1,1))+1),$O1544:$O1563),3),"")</f>
        <v/>
      </c>
      <c r="PA1544" s="42" t="str">
        <f t="array" aca="1" ref="PA1544" ca="1">IFERROR(INDEX(nombres[],SMALL(IF(OFFSET(nombres[],0,0,ROWS(nombres[]),1)=PA$1490,ROW(OFFSET(nombres[],0,0,ROWS(nombres[]),1))-ROW(OFFSET(nombres[],0,0,1,1))+1,ROW(OFFSET(nombres[],ROWS(nombres[])-1,0,1,1))+1),$O1544:$O1563),3),"")</f>
        <v/>
      </c>
      <c r="PB1544" s="42" t="str">
        <f t="array" aca="1" ref="PB1544" ca="1">IFERROR(INDEX(nombres[],SMALL(IF(OFFSET(nombres[],0,0,ROWS(nombres[]),1)=PB$1490,ROW(OFFSET(nombres[],0,0,ROWS(nombres[]),1))-ROW(OFFSET(nombres[],0,0,1,1))+1,ROW(OFFSET(nombres[],ROWS(nombres[])-1,0,1,1))+1),$O1544:$O1563),3),"")</f>
        <v/>
      </c>
      <c r="PC1544" s="42" t="str">
        <f t="array" aca="1" ref="PC1544" ca="1">IFERROR(INDEX(nombres[],SMALL(IF(OFFSET(nombres[],0,0,ROWS(nombres[]),1)=PC$1490,ROW(OFFSET(nombres[],0,0,ROWS(nombres[]),1))-ROW(OFFSET(nombres[],0,0,1,1))+1,ROW(OFFSET(nombres[],ROWS(nombres[])-1,0,1,1))+1),$O1544:$O1563),3),"")</f>
        <v/>
      </c>
      <c r="PD1544" s="42" t="str">
        <f t="array" aca="1" ref="PD1544" ca="1">IFERROR(INDEX(nombres[],SMALL(IF(OFFSET(nombres[],0,0,ROWS(nombres[]),1)=PD$1490,ROW(OFFSET(nombres[],0,0,ROWS(nombres[]),1))-ROW(OFFSET(nombres[],0,0,1,1))+1,ROW(OFFSET(nombres[],ROWS(nombres[])-1,0,1,1))+1),$O1544:$O1563),3),"")</f>
        <v/>
      </c>
      <c r="PE1544" s="42" t="str">
        <f t="array" aca="1" ref="PE1544" ca="1">IFERROR(INDEX(nombres[],SMALL(IF(OFFSET(nombres[],0,0,ROWS(nombres[]),1)=PE$1490,ROW(OFFSET(nombres[],0,0,ROWS(nombres[]),1))-ROW(OFFSET(nombres[],0,0,1,1))+1,ROW(OFFSET(nombres[],ROWS(nombres[])-1,0,1,1))+1),$O1544:$O1563),3),"")</f>
        <v/>
      </c>
      <c r="PF1544" s="42" t="str">
        <f t="array" aca="1" ref="PF1544" ca="1">IFERROR(INDEX(nombres[],SMALL(IF(OFFSET(nombres[],0,0,ROWS(nombres[]),1)=PF$1490,ROW(OFFSET(nombres[],0,0,ROWS(nombres[]),1))-ROW(OFFSET(nombres[],0,0,1,1))+1,ROW(OFFSET(nombres[],ROWS(nombres[])-1,0,1,1))+1),$O1544:$O1563),3),"")</f>
        <v/>
      </c>
      <c r="PG1544" s="42" t="str">
        <f t="array" aca="1" ref="PG1544" ca="1">IFERROR(INDEX(nombres[],SMALL(IF(OFFSET(nombres[],0,0,ROWS(nombres[]),1)=PG$1490,ROW(OFFSET(nombres[],0,0,ROWS(nombres[]),1))-ROW(OFFSET(nombres[],0,0,1,1))+1,ROW(OFFSET(nombres[],ROWS(nombres[])-1,0,1,1))+1),$O1544:$O1563),3),"")</f>
        <v/>
      </c>
      <c r="PH1544" s="42" t="str">
        <f t="array" aca="1" ref="PH1544" ca="1">IFERROR(INDEX(nombres[],SMALL(IF(OFFSET(nombres[],0,0,ROWS(nombres[]),1)=PH$1490,ROW(OFFSET(nombres[],0,0,ROWS(nombres[]),1))-ROW(OFFSET(nombres[],0,0,1,1))+1,ROW(OFFSET(nombres[],ROWS(nombres[])-1,0,1,1))+1),$O1544:$O1563),3),"")</f>
        <v/>
      </c>
      <c r="PI1544" s="42" t="str">
        <f t="array" aca="1" ref="PI1544" ca="1">IFERROR(INDEX(nombres[],SMALL(IF(OFFSET(nombres[],0,0,ROWS(nombres[]),1)=PI$1490,ROW(OFFSET(nombres[],0,0,ROWS(nombres[]),1))-ROW(OFFSET(nombres[],0,0,1,1))+1,ROW(OFFSET(nombres[],ROWS(nombres[])-1,0,1,1))+1),$O1544:$O1563),3),"")</f>
        <v/>
      </c>
      <c r="PJ1544" s="42" t="str">
        <f t="array" aca="1" ref="PJ1544" ca="1">IFERROR(INDEX(nombres[],SMALL(IF(OFFSET(nombres[],0,0,ROWS(nombres[]),1)=PJ$1490,ROW(OFFSET(nombres[],0,0,ROWS(nombres[]),1))-ROW(OFFSET(nombres[],0,0,1,1))+1,ROW(OFFSET(nombres[],ROWS(nombres[])-1,0,1,1))+1),$O1544:$O1563),3),"")</f>
        <v/>
      </c>
      <c r="PK1544" s="42" t="str">
        <f t="array" aca="1" ref="PK1544" ca="1">IFERROR(INDEX(nombres[],SMALL(IF(OFFSET(nombres[],0,0,ROWS(nombres[]),1)=PK$1490,ROW(OFFSET(nombres[],0,0,ROWS(nombres[]),1))-ROW(OFFSET(nombres[],0,0,1,1))+1,ROW(OFFSET(nombres[],ROWS(nombres[])-1,0,1,1))+1),$O1544:$O1563),3),"")</f>
        <v/>
      </c>
      <c r="PL1544" s="42" t="str">
        <f t="array" aca="1" ref="PL1544" ca="1">IFERROR(INDEX(nombres[],SMALL(IF(OFFSET(nombres[],0,0,ROWS(nombres[]),1)=PL$1490,ROW(OFFSET(nombres[],0,0,ROWS(nombres[]),1))-ROW(OFFSET(nombres[],0,0,1,1))+1,ROW(OFFSET(nombres[],ROWS(nombres[])-1,0,1,1))+1),$O1544:$O1563),3),"")</f>
        <v/>
      </c>
      <c r="PM1544" s="42" t="str">
        <f t="array" aca="1" ref="PM1544" ca="1">IFERROR(INDEX(nombres[],SMALL(IF(OFFSET(nombres[],0,0,ROWS(nombres[]),1)=PM$1490,ROW(OFFSET(nombres[],0,0,ROWS(nombres[]),1))-ROW(OFFSET(nombres[],0,0,1,1))+1,ROW(OFFSET(nombres[],ROWS(nombres[])-1,0,1,1))+1),$O1544:$O1563),3),"")</f>
        <v/>
      </c>
      <c r="PN1544" s="42" t="str">
        <f t="array" aca="1" ref="PN1544" ca="1">IFERROR(INDEX(nombres[],SMALL(IF(OFFSET(nombres[],0,0,ROWS(nombres[]),1)=PN$1490,ROW(OFFSET(nombres[],0,0,ROWS(nombres[]),1))-ROW(OFFSET(nombres[],0,0,1,1))+1,ROW(OFFSET(nombres[],ROWS(nombres[])-1,0,1,1))+1),$O1544:$O1563),3),"")</f>
        <v/>
      </c>
      <c r="PO1544" s="42" t="str">
        <f t="array" aca="1" ref="PO1544" ca="1">IFERROR(INDEX(nombres[],SMALL(IF(OFFSET(nombres[],0,0,ROWS(nombres[]),1)=PO$1490,ROW(OFFSET(nombres[],0,0,ROWS(nombres[]),1))-ROW(OFFSET(nombres[],0,0,1,1))+1,ROW(OFFSET(nombres[],ROWS(nombres[])-1,0,1,1))+1),$O1544:$O1563),3),"")</f>
        <v/>
      </c>
      <c r="PP1544" s="42" t="str">
        <f t="array" aca="1" ref="PP1544" ca="1">IFERROR(INDEX(nombres[],SMALL(IF(OFFSET(nombres[],0,0,ROWS(nombres[]),1)=PP$1490,ROW(OFFSET(nombres[],0,0,ROWS(nombres[]),1))-ROW(OFFSET(nombres[],0,0,1,1))+1,ROW(OFFSET(nombres[],ROWS(nombres[])-1,0,1,1))+1),$O1544:$O1563),3),"")</f>
        <v/>
      </c>
      <c r="PQ1544" s="42" t="str">
        <f t="array" aca="1" ref="PQ1544" ca="1">IFERROR(INDEX(nombres[],SMALL(IF(OFFSET(nombres[],0,0,ROWS(nombres[]),1)=PQ$1490,ROW(OFFSET(nombres[],0,0,ROWS(nombres[]),1))-ROW(OFFSET(nombres[],0,0,1,1))+1,ROW(OFFSET(nombres[],ROWS(nombres[])-1,0,1,1))+1),$O1544:$O1563),3),"")</f>
        <v/>
      </c>
      <c r="PR1544" s="42" t="str">
        <f t="array" aca="1" ref="PR1544" ca="1">IFERROR(INDEX(nombres[],SMALL(IF(OFFSET(nombres[],0,0,ROWS(nombres[]),1)=PR$1490,ROW(OFFSET(nombres[],0,0,ROWS(nombres[]),1))-ROW(OFFSET(nombres[],0,0,1,1))+1,ROW(OFFSET(nombres[],ROWS(nombres[])-1,0,1,1))+1),$O1544:$O1563),3),"")</f>
        <v/>
      </c>
      <c r="PS1544" s="42" t="str">
        <f t="array" aca="1" ref="PS1544" ca="1">IFERROR(INDEX(nombres[],SMALL(IF(OFFSET(nombres[],0,0,ROWS(nombres[]),1)=PS$1490,ROW(OFFSET(nombres[],0,0,ROWS(nombres[]),1))-ROW(OFFSET(nombres[],0,0,1,1))+1,ROW(OFFSET(nombres[],ROWS(nombres[])-1,0,1,1))+1),$O1544:$O1563),3),"")</f>
        <v/>
      </c>
      <c r="PT1544" s="42" t="str">
        <f t="array" aca="1" ref="PT1544" ca="1">IFERROR(INDEX(nombres[],SMALL(IF(OFFSET(nombres[],0,0,ROWS(nombres[]),1)=PT$1490,ROW(OFFSET(nombres[],0,0,ROWS(nombres[]),1))-ROW(OFFSET(nombres[],0,0,1,1))+1,ROW(OFFSET(nombres[],ROWS(nombres[])-1,0,1,1))+1),$O1544:$O1563),3),"")</f>
        <v/>
      </c>
      <c r="PU1544" s="42" t="str">
        <f t="array" aca="1" ref="PU1544" ca="1">IFERROR(INDEX(nombres[],SMALL(IF(OFFSET(nombres[],0,0,ROWS(nombres[]),1)=PU$1490,ROW(OFFSET(nombres[],0,0,ROWS(nombres[]),1))-ROW(OFFSET(nombres[],0,0,1,1))+1,ROW(OFFSET(nombres[],ROWS(nombres[])-1,0,1,1))+1),$O1544:$O1563),3),"")</f>
        <v/>
      </c>
      <c r="PV1544" s="42" t="str">
        <f t="array" aca="1" ref="PV1544" ca="1">IFERROR(INDEX(nombres[],SMALL(IF(OFFSET(nombres[],0,0,ROWS(nombres[]),1)=PV$1490,ROW(OFFSET(nombres[],0,0,ROWS(nombres[]),1))-ROW(OFFSET(nombres[],0,0,1,1))+1,ROW(OFFSET(nombres[],ROWS(nombres[])-1,0,1,1))+1),$O1544:$O1563),3),"")</f>
        <v/>
      </c>
      <c r="PW1544" s="42" t="str">
        <f t="array" aca="1" ref="PW1544" ca="1">IFERROR(INDEX(nombres[],SMALL(IF(OFFSET(nombres[],0,0,ROWS(nombres[]),1)=PW$1490,ROW(OFFSET(nombres[],0,0,ROWS(nombres[]),1))-ROW(OFFSET(nombres[],0,0,1,1))+1,ROW(OFFSET(nombres[],ROWS(nombres[])-1,0,1,1))+1),$O1544:$O1563),3),"")</f>
        <v/>
      </c>
      <c r="PX1544" s="42" t="str">
        <f t="array" aca="1" ref="PX1544" ca="1">IFERROR(INDEX(nombres[],SMALL(IF(OFFSET(nombres[],0,0,ROWS(nombres[]),1)=PX$1490,ROW(OFFSET(nombres[],0,0,ROWS(nombres[]),1))-ROW(OFFSET(nombres[],0,0,1,1))+1,ROW(OFFSET(nombres[],ROWS(nombres[])-1,0,1,1))+1),$O1544:$O1563),3),"")</f>
        <v/>
      </c>
      <c r="PY1544" s="42" t="str">
        <f t="array" aca="1" ref="PY1544" ca="1">IFERROR(INDEX(nombres[],SMALL(IF(OFFSET(nombres[],0,0,ROWS(nombres[]),1)=PY$1490,ROW(OFFSET(nombres[],0,0,ROWS(nombres[]),1))-ROW(OFFSET(nombres[],0,0,1,1))+1,ROW(OFFSET(nombres[],ROWS(nombres[])-1,0,1,1))+1),$O1544:$O1563),3),"")</f>
        <v/>
      </c>
      <c r="PZ1544" s="42" t="str">
        <f t="array" aca="1" ref="PZ1544" ca="1">IFERROR(INDEX(nombres[],SMALL(IF(OFFSET(nombres[],0,0,ROWS(nombres[]),1)=PZ$1490,ROW(OFFSET(nombres[],0,0,ROWS(nombres[]),1))-ROW(OFFSET(nombres[],0,0,1,1))+1,ROW(OFFSET(nombres[],ROWS(nombres[])-1,0,1,1))+1),$O1544:$O1563),3),"")</f>
        <v/>
      </c>
      <c r="QA1544" s="42" t="str">
        <f t="array" aca="1" ref="QA1544" ca="1">IFERROR(INDEX(nombres[],SMALL(IF(OFFSET(nombres[],0,0,ROWS(nombres[]),1)=QA$1490,ROW(OFFSET(nombres[],0,0,ROWS(nombres[]),1))-ROW(OFFSET(nombres[],0,0,1,1))+1,ROW(OFFSET(nombres[],ROWS(nombres[])-1,0,1,1))+1),$O1544:$O1563),3),"")</f>
        <v/>
      </c>
      <c r="QB1544" s="42" t="str">
        <f t="array" aca="1" ref="QB1544" ca="1">IFERROR(INDEX(nombres[],SMALL(IF(OFFSET(nombres[],0,0,ROWS(nombres[]),1)=QB$1490,ROW(OFFSET(nombres[],0,0,ROWS(nombres[]),1))-ROW(OFFSET(nombres[],0,0,1,1))+1,ROW(OFFSET(nombres[],ROWS(nombres[])-1,0,1,1))+1),$O1544:$O1563),3),"")</f>
        <v/>
      </c>
      <c r="QC1544" s="42" t="str">
        <f t="array" aca="1" ref="QC1544" ca="1">IFERROR(INDEX(nombres[],SMALL(IF(OFFSET(nombres[],0,0,ROWS(nombres[]),1)=QC$1490,ROW(OFFSET(nombres[],0,0,ROWS(nombres[]),1))-ROW(OFFSET(nombres[],0,0,1,1))+1,ROW(OFFSET(nombres[],ROWS(nombres[])-1,0,1,1))+1),$O1544:$O1563),3),"")</f>
        <v/>
      </c>
      <c r="QD1544" s="42" t="str">
        <f t="array" aca="1" ref="QD1544" ca="1">IFERROR(INDEX(nombres[],SMALL(IF(OFFSET(nombres[],0,0,ROWS(nombres[]),1)=QD$1490,ROW(OFFSET(nombres[],0,0,ROWS(nombres[]),1))-ROW(OFFSET(nombres[],0,0,1,1))+1,ROW(OFFSET(nombres[],ROWS(nombres[])-1,0,1,1))+1),$O1544:$O1563),3),"")</f>
        <v/>
      </c>
      <c r="QE1544" s="42" t="str">
        <f t="array" aca="1" ref="QE1544" ca="1">IFERROR(INDEX(nombres[],SMALL(IF(OFFSET(nombres[],0,0,ROWS(nombres[]),1)=QE$1490,ROW(OFFSET(nombres[],0,0,ROWS(nombres[]),1))-ROW(OFFSET(nombres[],0,0,1,1))+1,ROW(OFFSET(nombres[],ROWS(nombres[])-1,0,1,1))+1),$O1544:$O1563),3),"")</f>
        <v/>
      </c>
      <c r="QF1544" s="42" t="str">
        <f t="array" aca="1" ref="QF1544" ca="1">IFERROR(INDEX(nombres[],SMALL(IF(OFFSET(nombres[],0,0,ROWS(nombres[]),1)=QF$1490,ROW(OFFSET(nombres[],0,0,ROWS(nombres[]),1))-ROW(OFFSET(nombres[],0,0,1,1))+1,ROW(OFFSET(nombres[],ROWS(nombres[])-1,0,1,1))+1),$O1544:$O1563),3),"")</f>
        <v/>
      </c>
      <c r="QG1544" s="42" t="str">
        <f t="array" aca="1" ref="QG1544" ca="1">IFERROR(INDEX(nombres[],SMALL(IF(OFFSET(nombres[],0,0,ROWS(nombres[]),1)=QG$1490,ROW(OFFSET(nombres[],0,0,ROWS(nombres[]),1))-ROW(OFFSET(nombres[],0,0,1,1))+1,ROW(OFFSET(nombres[],ROWS(nombres[])-1,0,1,1))+1),$O1544:$O1563),3),"")</f>
        <v/>
      </c>
      <c r="QH1544" s="42" t="str">
        <f t="array" aca="1" ref="QH1544" ca="1">IFERROR(INDEX(nombres[],SMALL(IF(OFFSET(nombres[],0,0,ROWS(nombres[]),1)=QH$1490,ROW(OFFSET(nombres[],0,0,ROWS(nombres[]),1))-ROW(OFFSET(nombres[],0,0,1,1))+1,ROW(OFFSET(nombres[],ROWS(nombres[])-1,0,1,1))+1),$O1544:$O1563),3),"")</f>
        <v/>
      </c>
      <c r="QI1544" s="42" t="str">
        <f t="array" aca="1" ref="QI1544" ca="1">IFERROR(INDEX(nombres[],SMALL(IF(OFFSET(nombres[],0,0,ROWS(nombres[]),1)=QI$1490,ROW(OFFSET(nombres[],0,0,ROWS(nombres[]),1))-ROW(OFFSET(nombres[],0,0,1,1))+1,ROW(OFFSET(nombres[],ROWS(nombres[])-1,0,1,1))+1),$O1544:$O1563),3),"")</f>
        <v/>
      </c>
      <c r="QJ1544" s="42" t="str">
        <f t="array" aca="1" ref="QJ1544" ca="1">IFERROR(INDEX(nombres[],SMALL(IF(OFFSET(nombres[],0,0,ROWS(nombres[]),1)=QJ$1490,ROW(OFFSET(nombres[],0,0,ROWS(nombres[]),1))-ROW(OFFSET(nombres[],0,0,1,1))+1,ROW(OFFSET(nombres[],ROWS(nombres[])-1,0,1,1))+1),$O1544:$O1563),3),"")</f>
        <v/>
      </c>
      <c r="QK1544" s="42" t="str">
        <f t="array" aca="1" ref="QK1544" ca="1">IFERROR(INDEX(nombres[],SMALL(IF(OFFSET(nombres[],0,0,ROWS(nombres[]),1)=QK$1490,ROW(OFFSET(nombres[],0,0,ROWS(nombres[]),1))-ROW(OFFSET(nombres[],0,0,1,1))+1,ROW(OFFSET(nombres[],ROWS(nombres[])-1,0,1,1))+1),$O1544:$O1563),3),"")</f>
        <v/>
      </c>
      <c r="QL1544" s="42" t="str">
        <f t="array" aca="1" ref="QL1544" ca="1">IFERROR(INDEX(nombres[],SMALL(IF(OFFSET(nombres[],0,0,ROWS(nombres[]),1)=QL$1490,ROW(OFFSET(nombres[],0,0,ROWS(nombres[]),1))-ROW(OFFSET(nombres[],0,0,1,1))+1,ROW(OFFSET(nombres[],ROWS(nombres[])-1,0,1,1))+1),$O1544:$O1563),3),"")</f>
        <v/>
      </c>
      <c r="QM1544" s="42" t="str">
        <f t="array" aca="1" ref="QM1544" ca="1">IFERROR(INDEX(nombres[],SMALL(IF(OFFSET(nombres[],0,0,ROWS(nombres[]),1)=QM$1490,ROW(OFFSET(nombres[],0,0,ROWS(nombres[]),1))-ROW(OFFSET(nombres[],0,0,1,1))+1,ROW(OFFSET(nombres[],ROWS(nombres[])-1,0,1,1))+1),$O1544:$O1563),3),"")</f>
        <v/>
      </c>
      <c r="QN1544" s="42" t="str">
        <f t="array" aca="1" ref="QN1544" ca="1">IFERROR(INDEX(nombres[],SMALL(IF(OFFSET(nombres[],0,0,ROWS(nombres[]),1)=QN$1490,ROW(OFFSET(nombres[],0,0,ROWS(nombres[]),1))-ROW(OFFSET(nombres[],0,0,1,1))+1,ROW(OFFSET(nombres[],ROWS(nombres[])-1,0,1,1))+1),$O1544:$O1563),3),"")</f>
        <v/>
      </c>
      <c r="QO1544" s="42" t="str">
        <f t="array" aca="1" ref="QO1544" ca="1">IFERROR(INDEX(nombres[],SMALL(IF(OFFSET(nombres[],0,0,ROWS(nombres[]),1)=QO$1490,ROW(OFFSET(nombres[],0,0,ROWS(nombres[]),1))-ROW(OFFSET(nombres[],0,0,1,1))+1,ROW(OFFSET(nombres[],ROWS(nombres[])-1,0,1,1))+1),$O1544:$O1563),3),"")</f>
        <v/>
      </c>
      <c r="QP1544" s="42" t="str">
        <f t="array" aca="1" ref="QP1544" ca="1">IFERROR(INDEX(nombres[],SMALL(IF(OFFSET(nombres[],0,0,ROWS(nombres[]),1)=QP$1490,ROW(OFFSET(nombres[],0,0,ROWS(nombres[]),1))-ROW(OFFSET(nombres[],0,0,1,1))+1,ROW(OFFSET(nombres[],ROWS(nombres[])-1,0,1,1))+1),$O1544:$O1563),3),"")</f>
        <v/>
      </c>
      <c r="QQ1544" s="42" t="str">
        <f t="array" aca="1" ref="QQ1544" ca="1">IFERROR(INDEX(nombres[],SMALL(IF(OFFSET(nombres[],0,0,ROWS(nombres[]),1)=QQ$1490,ROW(OFFSET(nombres[],0,0,ROWS(nombres[]),1))-ROW(OFFSET(nombres[],0,0,1,1))+1,ROW(OFFSET(nombres[],ROWS(nombres[])-1,0,1,1))+1),$O1544:$O1563),3),"")</f>
        <v/>
      </c>
      <c r="QR1544" s="42" t="str">
        <f t="array" aca="1" ref="QR1544" ca="1">IFERROR(INDEX(nombres[],SMALL(IF(OFFSET(nombres[],0,0,ROWS(nombres[]),1)=QR$1490,ROW(OFFSET(nombres[],0,0,ROWS(nombres[]),1))-ROW(OFFSET(nombres[],0,0,1,1))+1,ROW(OFFSET(nombres[],ROWS(nombres[])-1,0,1,1))+1),$O1544:$O1563),3),"")</f>
        <v/>
      </c>
      <c r="QS1544" s="42" t="str">
        <f t="array" aca="1" ref="QS1544" ca="1">IFERROR(INDEX(nombres[],SMALL(IF(OFFSET(nombres[],0,0,ROWS(nombres[]),1)=QS$1490,ROW(OFFSET(nombres[],0,0,ROWS(nombres[]),1))-ROW(OFFSET(nombres[],0,0,1,1))+1,ROW(OFFSET(nombres[],ROWS(nombres[])-1,0,1,1))+1),$O1544:$O1563),3),"")</f>
        <v/>
      </c>
      <c r="QT1544" s="42" t="str">
        <f t="array" aca="1" ref="QT1544" ca="1">IFERROR(INDEX(nombres[],SMALL(IF(OFFSET(nombres[],0,0,ROWS(nombres[]),1)=QT$1490,ROW(OFFSET(nombres[],0,0,ROWS(nombres[]),1))-ROW(OFFSET(nombres[],0,0,1,1))+1,ROW(OFFSET(nombres[],ROWS(nombres[])-1,0,1,1))+1),$O1544:$O1563),3),"")</f>
        <v/>
      </c>
      <c r="QU1544" s="42" t="str">
        <f t="array" aca="1" ref="QU1544" ca="1">IFERROR(INDEX(nombres[],SMALL(IF(OFFSET(nombres[],0,0,ROWS(nombres[]),1)=QU$1490,ROW(OFFSET(nombres[],0,0,ROWS(nombres[]),1))-ROW(OFFSET(nombres[],0,0,1,1))+1,ROW(OFFSET(nombres[],ROWS(nombres[])-1,0,1,1))+1),$O1544:$O1563),3),"")</f>
        <v/>
      </c>
      <c r="QV1544" s="42" t="str">
        <f t="array" aca="1" ref="QV1544" ca="1">IFERROR(INDEX(nombres[],SMALL(IF(OFFSET(nombres[],0,0,ROWS(nombres[]),1)=QV$1490,ROW(OFFSET(nombres[],0,0,ROWS(nombres[]),1))-ROW(OFFSET(nombres[],0,0,1,1))+1,ROW(OFFSET(nombres[],ROWS(nombres[])-1,0,1,1))+1),$O1544:$O1563),3),"")</f>
        <v/>
      </c>
      <c r="QW1544" s="42" t="str">
        <f t="array" aca="1" ref="QW1544" ca="1">IFERROR(INDEX(nombres[],SMALL(IF(OFFSET(nombres[],0,0,ROWS(nombres[]),1)=QW$1490,ROW(OFFSET(nombres[],0,0,ROWS(nombres[]),1))-ROW(OFFSET(nombres[],0,0,1,1))+1,ROW(OFFSET(nombres[],ROWS(nombres[])-1,0,1,1))+1),$O1544:$O1563),3),"")</f>
        <v/>
      </c>
      <c r="QX1544" s="42" t="str">
        <f t="array" aca="1" ref="QX1544" ca="1">IFERROR(INDEX(nombres[],SMALL(IF(OFFSET(nombres[],0,0,ROWS(nombres[]),1)=QX$1490,ROW(OFFSET(nombres[],0,0,ROWS(nombres[]),1))-ROW(OFFSET(nombres[],0,0,1,1))+1,ROW(OFFSET(nombres[],ROWS(nombres[])-1,0,1,1))+1),$O1544:$O1563),3),"")</f>
        <v/>
      </c>
      <c r="QY1544" s="42" t="str">
        <f t="array" aca="1" ref="QY1544" ca="1">IFERROR(INDEX(nombres[],SMALL(IF(OFFSET(nombres[],0,0,ROWS(nombres[]),1)=QY$1490,ROW(OFFSET(nombres[],0,0,ROWS(nombres[]),1))-ROW(OFFSET(nombres[],0,0,1,1))+1,ROW(OFFSET(nombres[],ROWS(nombres[])-1,0,1,1))+1),$O1544:$O1563),3),"")</f>
        <v/>
      </c>
      <c r="QZ1544" s="42" t="str">
        <f t="array" aca="1" ref="QZ1544" ca="1">IFERROR(INDEX(nombres[],SMALL(IF(OFFSET(nombres[],0,0,ROWS(nombres[]),1)=QZ$1490,ROW(OFFSET(nombres[],0,0,ROWS(nombres[]),1))-ROW(OFFSET(nombres[],0,0,1,1))+1,ROW(OFFSET(nombres[],ROWS(nombres[])-1,0,1,1))+1),$O1544:$O1563),3),"")</f>
        <v/>
      </c>
      <c r="RA1544" s="42" t="str">
        <f t="array" aca="1" ref="RA1544" ca="1">IFERROR(INDEX(nombres[],SMALL(IF(OFFSET(nombres[],0,0,ROWS(nombres[]),1)=RA$1490,ROW(OFFSET(nombres[],0,0,ROWS(nombres[]),1))-ROW(OFFSET(nombres[],0,0,1,1))+1,ROW(OFFSET(nombres[],ROWS(nombres[])-1,0,1,1))+1),$O1544:$O1563),3),"")</f>
        <v/>
      </c>
      <c r="RB1544" s="42" t="str">
        <f t="array" aca="1" ref="RB1544" ca="1">IFERROR(INDEX(nombres[],SMALL(IF(OFFSET(nombres[],0,0,ROWS(nombres[]),1)=RB$1490,ROW(OFFSET(nombres[],0,0,ROWS(nombres[]),1))-ROW(OFFSET(nombres[],0,0,1,1))+1,ROW(OFFSET(nombres[],ROWS(nombres[])-1,0,1,1))+1),$O1544:$O1563),3),"")</f>
        <v/>
      </c>
      <c r="RC1544" s="42" t="str">
        <f t="array" aca="1" ref="RC1544" ca="1">IFERROR(INDEX(nombres[],SMALL(IF(OFFSET(nombres[],0,0,ROWS(nombres[]),1)=RC$1490,ROW(OFFSET(nombres[],0,0,ROWS(nombres[]),1))-ROW(OFFSET(nombres[],0,0,1,1))+1,ROW(OFFSET(nombres[],ROWS(nombres[])-1,0,1,1))+1),$O1544:$O1563),3),"")</f>
        <v/>
      </c>
      <c r="RD1544" s="42" t="str">
        <f t="array" aca="1" ref="RD1544" ca="1">IFERROR(INDEX(nombres[],SMALL(IF(OFFSET(nombres[],0,0,ROWS(nombres[]),1)=RD$1490,ROW(OFFSET(nombres[],0,0,ROWS(nombres[]),1))-ROW(OFFSET(nombres[],0,0,1,1))+1,ROW(OFFSET(nombres[],ROWS(nombres[])-1,0,1,1))+1),$O1544:$O1563),3),"")</f>
        <v/>
      </c>
      <c r="RE1544" s="42" t="str">
        <f t="array" aca="1" ref="RE1544" ca="1">IFERROR(INDEX(nombres[],SMALL(IF(OFFSET(nombres[],0,0,ROWS(nombres[]),1)=RE$1490,ROW(OFFSET(nombres[],0,0,ROWS(nombres[]),1))-ROW(OFFSET(nombres[],0,0,1,1))+1,ROW(OFFSET(nombres[],ROWS(nombres[])-1,0,1,1))+1),$O1544:$O1563),3),"")</f>
        <v/>
      </c>
      <c r="RF1544" s="42" t="str">
        <f t="array" aca="1" ref="RF1544" ca="1">IFERROR(INDEX(nombres[],SMALL(IF(OFFSET(nombres[],0,0,ROWS(nombres[]),1)=RF$1490,ROW(OFFSET(nombres[],0,0,ROWS(nombres[]),1))-ROW(OFFSET(nombres[],0,0,1,1))+1,ROW(OFFSET(nombres[],ROWS(nombres[])-1,0,1,1))+1),$O1544:$O1563),3),"")</f>
        <v/>
      </c>
      <c r="RG1544" s="42" t="str">
        <f t="array" aca="1" ref="RG1544" ca="1">IFERROR(INDEX(nombres[],SMALL(IF(OFFSET(nombres[],0,0,ROWS(nombres[]),1)=RG$1490,ROW(OFFSET(nombres[],0,0,ROWS(nombres[]),1))-ROW(OFFSET(nombres[],0,0,1,1))+1,ROW(OFFSET(nombres[],ROWS(nombres[])-1,0,1,1))+1),$O1544:$O1563),3),"")</f>
        <v/>
      </c>
      <c r="RH1544" s="42" t="str">
        <f t="array" aca="1" ref="RH1544" ca="1">IFERROR(INDEX(nombres[],SMALL(IF(OFFSET(nombres[],0,0,ROWS(nombres[]),1)=RH$1490,ROW(OFFSET(nombres[],0,0,ROWS(nombres[]),1))-ROW(OFFSET(nombres[],0,0,1,1))+1,ROW(OFFSET(nombres[],ROWS(nombres[])-1,0,1,1))+1),$O1544:$O1563),3),"")</f>
        <v/>
      </c>
      <c r="RI1544" s="42" t="str">
        <f t="array" aca="1" ref="RI1544" ca="1">IFERROR(INDEX(nombres[],SMALL(IF(OFFSET(nombres[],0,0,ROWS(nombres[]),1)=RI$1490,ROW(OFFSET(nombres[],0,0,ROWS(nombres[]),1))-ROW(OFFSET(nombres[],0,0,1,1))+1,ROW(OFFSET(nombres[],ROWS(nombres[])-1,0,1,1))+1),$O1544:$O1563),3),"")</f>
        <v/>
      </c>
      <c r="RJ1544" s="42" t="str">
        <f t="array" aca="1" ref="RJ1544" ca="1">IFERROR(INDEX(nombres[],SMALL(IF(OFFSET(nombres[],0,0,ROWS(nombres[]),1)=RJ$1490,ROW(OFFSET(nombres[],0,0,ROWS(nombres[]),1))-ROW(OFFSET(nombres[],0,0,1,1))+1,ROW(OFFSET(nombres[],ROWS(nombres[])-1,0,1,1))+1),$O1544:$O1563),3),"")</f>
        <v/>
      </c>
      <c r="RK1544" s="42" t="str">
        <f t="array" aca="1" ref="RK1544" ca="1">IFERROR(INDEX(nombres[],SMALL(IF(OFFSET(nombres[],0,0,ROWS(nombres[]),1)=RK$1490,ROW(OFFSET(nombres[],0,0,ROWS(nombres[]),1))-ROW(OFFSET(nombres[],0,0,1,1))+1,ROW(OFFSET(nombres[],ROWS(nombres[])-1,0,1,1))+1),$O1544:$O1563),3),"")</f>
        <v/>
      </c>
      <c r="RL1544" s="42" t="str">
        <f t="array" aca="1" ref="RL1544" ca="1">IFERROR(INDEX(nombres[],SMALL(IF(OFFSET(nombres[],0,0,ROWS(nombres[]),1)=RL$1490,ROW(OFFSET(nombres[],0,0,ROWS(nombres[]),1))-ROW(OFFSET(nombres[],0,0,1,1))+1,ROW(OFFSET(nombres[],ROWS(nombres[])-1,0,1,1))+1),$O1544:$O1563),3),"")</f>
        <v/>
      </c>
      <c r="RM1544" s="42" t="str">
        <f t="array" aca="1" ref="RM1544" ca="1">IFERROR(INDEX(nombres[],SMALL(IF(OFFSET(nombres[],0,0,ROWS(nombres[]),1)=RM$1490,ROW(OFFSET(nombres[],0,0,ROWS(nombres[]),1))-ROW(OFFSET(nombres[],0,0,1,1))+1,ROW(OFFSET(nombres[],ROWS(nombres[])-1,0,1,1))+1),$O1544:$O1563),3),"")</f>
        <v/>
      </c>
      <c r="RN1544" s="42" t="str">
        <f t="array" aca="1" ref="RN1544" ca="1">IFERROR(INDEX(nombres[],SMALL(IF(OFFSET(nombres[],0,0,ROWS(nombres[]),1)=RN$1490,ROW(OFFSET(nombres[],0,0,ROWS(nombres[]),1))-ROW(OFFSET(nombres[],0,0,1,1))+1,ROW(OFFSET(nombres[],ROWS(nombres[])-1,0,1,1))+1),$O1544:$O1563),3),"")</f>
        <v/>
      </c>
      <c r="RO1544" s="42" t="str">
        <f t="array" aca="1" ref="RO1544" ca="1">IFERROR(INDEX(nombres[],SMALL(IF(OFFSET(nombres[],0,0,ROWS(nombres[]),1)=RO$1490,ROW(OFFSET(nombres[],0,0,ROWS(nombres[]),1))-ROW(OFFSET(nombres[],0,0,1,1))+1,ROW(OFFSET(nombres[],ROWS(nombres[])-1,0,1,1))+1),$O1544:$O1563),3),"")</f>
        <v/>
      </c>
      <c r="RP1544" s="42" t="str">
        <f t="array" aca="1" ref="RP1544" ca="1">IFERROR(INDEX(nombres[],SMALL(IF(OFFSET(nombres[],0,0,ROWS(nombres[]),1)=RP$1490,ROW(OFFSET(nombres[],0,0,ROWS(nombres[]),1))-ROW(OFFSET(nombres[],0,0,1,1))+1,ROW(OFFSET(nombres[],ROWS(nombres[])-1,0,1,1))+1),$O1544:$O1563),3),"")</f>
        <v/>
      </c>
      <c r="RQ1544" s="42" t="str">
        <f t="array" aca="1" ref="RQ1544" ca="1">IFERROR(INDEX(nombres[],SMALL(IF(OFFSET(nombres[],0,0,ROWS(nombres[]),1)=RQ$1490,ROW(OFFSET(nombres[],0,0,ROWS(nombres[]),1))-ROW(OFFSET(nombres[],0,0,1,1))+1,ROW(OFFSET(nombres[],ROWS(nombres[])-1,0,1,1))+1),$O1544:$O1563),3),"")</f>
        <v/>
      </c>
      <c r="RR1544" s="42" t="str">
        <f t="array" aca="1" ref="RR1544" ca="1">IFERROR(INDEX(nombres[],SMALL(IF(OFFSET(nombres[],0,0,ROWS(nombres[]),1)=RR$1490,ROW(OFFSET(nombres[],0,0,ROWS(nombres[]),1))-ROW(OFFSET(nombres[],0,0,1,1))+1,ROW(OFFSET(nombres[],ROWS(nombres[])-1,0,1,1))+1),$O1544:$O1563),3),"")</f>
        <v/>
      </c>
      <c r="RS1544" s="42" t="str">
        <f t="array" aca="1" ref="RS1544" ca="1">IFERROR(INDEX(nombres[],SMALL(IF(OFFSET(nombres[],0,0,ROWS(nombres[]),1)=RS$1490,ROW(OFFSET(nombres[],0,0,ROWS(nombres[]),1))-ROW(OFFSET(nombres[],0,0,1,1))+1,ROW(OFFSET(nombres[],ROWS(nombres[])-1,0,1,1))+1),$O1544:$O1563),3),"")</f>
        <v/>
      </c>
      <c r="RT1544" s="42" t="str">
        <f t="array" aca="1" ref="RT1544" ca="1">IFERROR(INDEX(nombres[],SMALL(IF(OFFSET(nombres[],0,0,ROWS(nombres[]),1)=RT$1490,ROW(OFFSET(nombres[],0,0,ROWS(nombres[]),1))-ROW(OFFSET(nombres[],0,0,1,1))+1,ROW(OFFSET(nombres[],ROWS(nombres[])-1,0,1,1))+1),$O1544:$O1563),3),"")</f>
        <v/>
      </c>
      <c r="RU1544" s="42" t="str">
        <f t="array" aca="1" ref="RU1544" ca="1">IFERROR(INDEX(nombres[],SMALL(IF(OFFSET(nombres[],0,0,ROWS(nombres[]),1)=RU$1490,ROW(OFFSET(nombres[],0,0,ROWS(nombres[]),1))-ROW(OFFSET(nombres[],0,0,1,1))+1,ROW(OFFSET(nombres[],ROWS(nombres[])-1,0,1,1))+1),$O1544:$O1563),3),"")</f>
        <v/>
      </c>
      <c r="RV1544" s="42" t="str">
        <f t="array" aca="1" ref="RV1544" ca="1">IFERROR(INDEX(nombres[],SMALL(IF(OFFSET(nombres[],0,0,ROWS(nombres[]),1)=RV$1490,ROW(OFFSET(nombres[],0,0,ROWS(nombres[]),1))-ROW(OFFSET(nombres[],0,0,1,1))+1,ROW(OFFSET(nombres[],ROWS(nombres[])-1,0,1,1))+1),$O1544:$O1563),3),"")</f>
        <v/>
      </c>
      <c r="RW1544" s="42" t="str">
        <f t="array" aca="1" ref="RW1544" ca="1">IFERROR(INDEX(nombres[],SMALL(IF(OFFSET(nombres[],0,0,ROWS(nombres[]),1)=RW$1490,ROW(OFFSET(nombres[],0,0,ROWS(nombres[]),1))-ROW(OFFSET(nombres[],0,0,1,1))+1,ROW(OFFSET(nombres[],ROWS(nombres[])-1,0,1,1))+1),$O1544:$O1563),3),"")</f>
        <v/>
      </c>
      <c r="RX1544" s="42" t="str">
        <f t="array" aca="1" ref="RX1544" ca="1">IFERROR(INDEX(nombres[],SMALL(IF(OFFSET(nombres[],0,0,ROWS(nombres[]),1)=RX$1490,ROW(OFFSET(nombres[],0,0,ROWS(nombres[]),1))-ROW(OFFSET(nombres[],0,0,1,1))+1,ROW(OFFSET(nombres[],ROWS(nombres[])-1,0,1,1))+1),$O1544:$O1563),3),"")</f>
        <v/>
      </c>
      <c r="RY1544" s="42" t="str">
        <f t="array" aca="1" ref="RY1544" ca="1">IFERROR(INDEX(nombres[],SMALL(IF(OFFSET(nombres[],0,0,ROWS(nombres[]),1)=RY$1490,ROW(OFFSET(nombres[],0,0,ROWS(nombres[]),1))-ROW(OFFSET(nombres[],0,0,1,1))+1,ROW(OFFSET(nombres[],ROWS(nombres[])-1,0,1,1))+1),$O1544:$O1563),3),"")</f>
        <v/>
      </c>
      <c r="RZ1544" s="42" t="str">
        <f t="array" aca="1" ref="RZ1544" ca="1">IFERROR(INDEX(nombres[],SMALL(IF(OFFSET(nombres[],0,0,ROWS(nombres[]),1)=RZ$1490,ROW(OFFSET(nombres[],0,0,ROWS(nombres[]),1))-ROW(OFFSET(nombres[],0,0,1,1))+1,ROW(OFFSET(nombres[],ROWS(nombres[])-1,0,1,1))+1),$O1544:$O1563),3),"")</f>
        <v/>
      </c>
      <c r="SA1544" s="42" t="str">
        <f t="array" aca="1" ref="SA1544" ca="1">IFERROR(INDEX(nombres[],SMALL(IF(OFFSET(nombres[],0,0,ROWS(nombres[]),1)=SA$1490,ROW(OFFSET(nombres[],0,0,ROWS(nombres[]),1))-ROW(OFFSET(nombres[],0,0,1,1))+1,ROW(OFFSET(nombres[],ROWS(nombres[])-1,0,1,1))+1),$O1544:$O1563),3),"")</f>
        <v/>
      </c>
      <c r="SB1544" s="42" t="str">
        <f t="array" aca="1" ref="SB1544" ca="1">IFERROR(INDEX(nombres[],SMALL(IF(OFFSET(nombres[],0,0,ROWS(nombres[]),1)=SB$1490,ROW(OFFSET(nombres[],0,0,ROWS(nombres[]),1))-ROW(OFFSET(nombres[],0,0,1,1))+1,ROW(OFFSET(nombres[],ROWS(nombres[])-1,0,1,1))+1),$O1544:$O1563),3),"")</f>
        <v/>
      </c>
      <c r="SC1544" s="42" t="str">
        <f t="array" aca="1" ref="SC1544" ca="1">IFERROR(INDEX(nombres[],SMALL(IF(OFFSET(nombres[],0,0,ROWS(nombres[]),1)=SC$1490,ROW(OFFSET(nombres[],0,0,ROWS(nombres[]),1))-ROW(OFFSET(nombres[],0,0,1,1))+1,ROW(OFFSET(nombres[],ROWS(nombres[])-1,0,1,1))+1),$O1544:$O1563),3),"")</f>
        <v/>
      </c>
      <c r="SD1544" s="42" t="str">
        <f t="array" aca="1" ref="SD1544" ca="1">IFERROR(INDEX(nombres[],SMALL(IF(OFFSET(nombres[],0,0,ROWS(nombres[]),1)=SD$1490,ROW(OFFSET(nombres[],0,0,ROWS(nombres[]),1))-ROW(OFFSET(nombres[],0,0,1,1))+1,ROW(OFFSET(nombres[],ROWS(nombres[])-1,0,1,1))+1),$O1544:$O1563),3),"")</f>
        <v/>
      </c>
      <c r="SE1544" s="42" t="str">
        <f t="array" aca="1" ref="SE1544" ca="1">IFERROR(INDEX(nombres[],SMALL(IF(OFFSET(nombres[],0,0,ROWS(nombres[]),1)=SE$1490,ROW(OFFSET(nombres[],0,0,ROWS(nombres[]),1))-ROW(OFFSET(nombres[],0,0,1,1))+1,ROW(OFFSET(nombres[],ROWS(nombres[])-1,0,1,1))+1),$O1544:$O1563),3),"")</f>
        <v/>
      </c>
      <c r="SF1544" s="42" t="str">
        <f t="array" aca="1" ref="SF1544" ca="1">IFERROR(INDEX(nombres[],SMALL(IF(OFFSET(nombres[],0,0,ROWS(nombres[]),1)=SF$1490,ROW(OFFSET(nombres[],0,0,ROWS(nombres[]),1))-ROW(OFFSET(nombres[],0,0,1,1))+1,ROW(OFFSET(nombres[],ROWS(nombres[])-1,0,1,1))+1),$O1544:$O1563),3),"")</f>
        <v/>
      </c>
      <c r="SG1544" s="42" t="str">
        <f t="array" aca="1" ref="SG1544" ca="1">IFERROR(INDEX(nombres[],SMALL(IF(OFFSET(nombres[],0,0,ROWS(nombres[]),1)=SG$1490,ROW(OFFSET(nombres[],0,0,ROWS(nombres[]),1))-ROW(OFFSET(nombres[],0,0,1,1))+1,ROW(OFFSET(nombres[],ROWS(nombres[])-1,0,1,1))+1),$O1544:$O1563),3),"")</f>
        <v/>
      </c>
      <c r="SH1544" s="42" t="str">
        <f t="array" aca="1" ref="SH1544" ca="1">IFERROR(INDEX(nombres[],SMALL(IF(OFFSET(nombres[],0,0,ROWS(nombres[]),1)=SH$1490,ROW(OFFSET(nombres[],0,0,ROWS(nombres[]),1))-ROW(OFFSET(nombres[],0,0,1,1))+1,ROW(OFFSET(nombres[],ROWS(nombres[])-1,0,1,1))+1),$O1544:$O1563),3),"")</f>
        <v/>
      </c>
      <c r="SI1544" s="42" t="str">
        <f t="array" aca="1" ref="SI1544" ca="1">IFERROR(INDEX(nombres[],SMALL(IF(OFFSET(nombres[],0,0,ROWS(nombres[]),1)=SI$1490,ROW(OFFSET(nombres[],0,0,ROWS(nombres[]),1))-ROW(OFFSET(nombres[],0,0,1,1))+1,ROW(OFFSET(nombres[],ROWS(nombres[])-1,0,1,1))+1),$O1544:$O1563),3),"")</f>
        <v/>
      </c>
      <c r="SJ1544" s="42" t="str">
        <f t="array" aca="1" ref="SJ1544" ca="1">IFERROR(INDEX(nombres[],SMALL(IF(OFFSET(nombres[],0,0,ROWS(nombres[]),1)=SJ$1490,ROW(OFFSET(nombres[],0,0,ROWS(nombres[]),1))-ROW(OFFSET(nombres[],0,0,1,1))+1,ROW(OFFSET(nombres[],ROWS(nombres[])-1,0,1,1))+1),$O1544:$O1563),3),"")</f>
        <v/>
      </c>
      <c r="SK1544" s="42" t="str">
        <f t="array" aca="1" ref="SK1544" ca="1">IFERROR(INDEX(nombres[],SMALL(IF(OFFSET(nombres[],0,0,ROWS(nombres[]),1)=SK$1490,ROW(OFFSET(nombres[],0,0,ROWS(nombres[]),1))-ROW(OFFSET(nombres[],0,0,1,1))+1,ROW(OFFSET(nombres[],ROWS(nombres[])-1,0,1,1))+1),$O1544:$O1563),3),"")</f>
        <v/>
      </c>
      <c r="SL1544" s="42" t="str">
        <f t="array" aca="1" ref="SL1544" ca="1">IFERROR(INDEX(nombres[],SMALL(IF(OFFSET(nombres[],0,0,ROWS(nombres[]),1)=SL$1490,ROW(OFFSET(nombres[],0,0,ROWS(nombres[]),1))-ROW(OFFSET(nombres[],0,0,1,1))+1,ROW(OFFSET(nombres[],ROWS(nombres[])-1,0,1,1))+1),$O1544:$O1563),3),"")</f>
        <v/>
      </c>
      <c r="SM1544" s="42" t="str">
        <f t="array" aca="1" ref="SM1544" ca="1">IFERROR(INDEX(nombres[],SMALL(IF(OFFSET(nombres[],0,0,ROWS(nombres[]),1)=SM$1490,ROW(OFFSET(nombres[],0,0,ROWS(nombres[]),1))-ROW(OFFSET(nombres[],0,0,1,1))+1,ROW(OFFSET(nombres[],ROWS(nombres[])-1,0,1,1))+1),$O1544:$O1563),3),"")</f>
        <v/>
      </c>
      <c r="SN1544" s="42" t="str">
        <f t="array" aca="1" ref="SN1544" ca="1">IFERROR(INDEX(nombres[],SMALL(IF(OFFSET(nombres[],0,0,ROWS(nombres[]),1)=SN$1490,ROW(OFFSET(nombres[],0,0,ROWS(nombres[]),1))-ROW(OFFSET(nombres[],0,0,1,1))+1,ROW(OFFSET(nombres[],ROWS(nombres[])-1,0,1,1))+1),$O1544:$O1563),3),"")</f>
        <v/>
      </c>
      <c r="SO1544" s="42" t="str">
        <f t="array" aca="1" ref="SO1544" ca="1">IFERROR(INDEX(nombres[],SMALL(IF(OFFSET(nombres[],0,0,ROWS(nombres[]),1)=SO$1490,ROW(OFFSET(nombres[],0,0,ROWS(nombres[]),1))-ROW(OFFSET(nombres[],0,0,1,1))+1,ROW(OFFSET(nombres[],ROWS(nombres[])-1,0,1,1))+1),$O1544:$O1563),3),"")</f>
        <v/>
      </c>
      <c r="SP1544" s="42" t="str">
        <f t="array" aca="1" ref="SP1544" ca="1">IFERROR(INDEX(nombres[],SMALL(IF(OFFSET(nombres[],0,0,ROWS(nombres[]),1)=SP$1490,ROW(OFFSET(nombres[],0,0,ROWS(nombres[]),1))-ROW(OFFSET(nombres[],0,0,1,1))+1,ROW(OFFSET(nombres[],ROWS(nombres[])-1,0,1,1))+1),$O1544:$O1563),3),"")</f>
        <v/>
      </c>
      <c r="SQ1544" s="42" t="str">
        <f t="array" aca="1" ref="SQ1544" ca="1">IFERROR(INDEX(nombres[],SMALL(IF(OFFSET(nombres[],0,0,ROWS(nombres[]),1)=SQ$1490,ROW(OFFSET(nombres[],0,0,ROWS(nombres[]),1))-ROW(OFFSET(nombres[],0,0,1,1))+1,ROW(OFFSET(nombres[],ROWS(nombres[])-1,0,1,1))+1),$O1544:$O1563),3),"")</f>
        <v/>
      </c>
      <c r="SR1544" s="42" t="str">
        <f t="array" aca="1" ref="SR1544" ca="1">IFERROR(INDEX(nombres[],SMALL(IF(OFFSET(nombres[],0,0,ROWS(nombres[]),1)=SR$1490,ROW(OFFSET(nombres[],0,0,ROWS(nombres[]),1))-ROW(OFFSET(nombres[],0,0,1,1))+1,ROW(OFFSET(nombres[],ROWS(nombres[])-1,0,1,1))+1),$O1544:$O1563),3),"")</f>
        <v/>
      </c>
      <c r="SS1544" s="42" t="str">
        <f t="array" aca="1" ref="SS1544" ca="1">IFERROR(INDEX(nombres[],SMALL(IF(OFFSET(nombres[],0,0,ROWS(nombres[]),1)=SS$1490,ROW(OFFSET(nombres[],0,0,ROWS(nombres[]),1))-ROW(OFFSET(nombres[],0,0,1,1))+1,ROW(OFFSET(nombres[],ROWS(nombres[])-1,0,1,1))+1),$O1544:$O1563),3),"")</f>
        <v/>
      </c>
      <c r="ST1544" s="42" t="str">
        <f t="array" aca="1" ref="ST1544" ca="1">IFERROR(INDEX(nombres[],SMALL(IF(OFFSET(nombres[],0,0,ROWS(nombres[]),1)=ST$1490,ROW(OFFSET(nombres[],0,0,ROWS(nombres[]),1))-ROW(OFFSET(nombres[],0,0,1,1))+1,ROW(OFFSET(nombres[],ROWS(nombres[])-1,0,1,1))+1),$O1544:$O1563),3),"")</f>
        <v/>
      </c>
      <c r="SU1544" s="42" t="str">
        <f t="array" aca="1" ref="SU1544" ca="1">IFERROR(INDEX(nombres[],SMALL(IF(OFFSET(nombres[],0,0,ROWS(nombres[]),1)=SU$1490,ROW(OFFSET(nombres[],0,0,ROWS(nombres[]),1))-ROW(OFFSET(nombres[],0,0,1,1))+1,ROW(OFFSET(nombres[],ROWS(nombres[])-1,0,1,1))+1),$O1544:$O1563),3),"")</f>
        <v/>
      </c>
      <c r="SV1544" s="42" t="str">
        <f t="array" aca="1" ref="SV1544" ca="1">IFERROR(INDEX(nombres[],SMALL(IF(OFFSET(nombres[],0,0,ROWS(nombres[]),1)=SV$1490,ROW(OFFSET(nombres[],0,0,ROWS(nombres[]),1))-ROW(OFFSET(nombres[],0,0,1,1))+1,ROW(OFFSET(nombres[],ROWS(nombres[])-1,0,1,1))+1),$O1544:$O1563),3),"")</f>
        <v/>
      </c>
      <c r="SW1544" s="42" t="str">
        <f t="array" aca="1" ref="SW1544" ca="1">IFERROR(INDEX(nombres[],SMALL(IF(OFFSET(nombres[],0,0,ROWS(nombres[]),1)=SW$1490,ROW(OFFSET(nombres[],0,0,ROWS(nombres[]),1))-ROW(OFFSET(nombres[],0,0,1,1))+1,ROW(OFFSET(nombres[],ROWS(nombres[])-1,0,1,1))+1),$O1544:$O1563),3),"")</f>
        <v/>
      </c>
      <c r="SX1544" s="42" t="str">
        <f t="array" aca="1" ref="SX1544" ca="1">IFERROR(INDEX(nombres[],SMALL(IF(OFFSET(nombres[],0,0,ROWS(nombres[]),1)=SX$1490,ROW(OFFSET(nombres[],0,0,ROWS(nombres[]),1))-ROW(OFFSET(nombres[],0,0,1,1))+1,ROW(OFFSET(nombres[],ROWS(nombres[])-1,0,1,1))+1),$O1544:$O1563),3),"")</f>
        <v/>
      </c>
      <c r="SY1544" s="42" t="str">
        <f t="array" aca="1" ref="SY1544" ca="1">IFERROR(INDEX(nombres[],SMALL(IF(OFFSET(nombres[],0,0,ROWS(nombres[]),1)=SY$1490,ROW(OFFSET(nombres[],0,0,ROWS(nombres[]),1))-ROW(OFFSET(nombres[],0,0,1,1))+1,ROW(OFFSET(nombres[],ROWS(nombres[])-1,0,1,1))+1),$O1544:$O1563),3),"")</f>
        <v/>
      </c>
      <c r="SZ1544" s="42" t="str">
        <f t="array" aca="1" ref="SZ1544" ca="1">IFERROR(INDEX(nombres[],SMALL(IF(OFFSET(nombres[],0,0,ROWS(nombres[]),1)=SZ$1490,ROW(OFFSET(nombres[],0,0,ROWS(nombres[]),1))-ROW(OFFSET(nombres[],0,0,1,1))+1,ROW(OFFSET(nombres[],ROWS(nombres[])-1,0,1,1))+1),$O1544:$O1563),3),"")</f>
        <v/>
      </c>
      <c r="TA1544" s="42" t="str">
        <f t="array" aca="1" ref="TA1544" ca="1">IFERROR(INDEX(nombres[],SMALL(IF(OFFSET(nombres[],0,0,ROWS(nombres[]),1)=TA$1490,ROW(OFFSET(nombres[],0,0,ROWS(nombres[]),1))-ROW(OFFSET(nombres[],0,0,1,1))+1,ROW(OFFSET(nombres[],ROWS(nombres[])-1,0,1,1))+1),$O1544:$O1563),3),"")</f>
        <v/>
      </c>
      <c r="TB1544" s="42" t="str">
        <f t="array" aca="1" ref="TB1544" ca="1">IFERROR(INDEX(nombres[],SMALL(IF(OFFSET(nombres[],0,0,ROWS(nombres[]),1)=TB$1490,ROW(OFFSET(nombres[],0,0,ROWS(nombres[]),1))-ROW(OFFSET(nombres[],0,0,1,1))+1,ROW(OFFSET(nombres[],ROWS(nombres[])-1,0,1,1))+1),$O1544:$O1563),3),"")</f>
        <v/>
      </c>
      <c r="TC1544" s="42" t="str">
        <f t="array" aca="1" ref="TC1544" ca="1">IFERROR(INDEX(nombres[],SMALL(IF(OFFSET(nombres[],0,0,ROWS(nombres[]),1)=TC$1490,ROW(OFFSET(nombres[],0,0,ROWS(nombres[]),1))-ROW(OFFSET(nombres[],0,0,1,1))+1,ROW(OFFSET(nombres[],ROWS(nombres[])-1,0,1,1))+1),$O1544:$O1563),3),"")</f>
        <v/>
      </c>
      <c r="TD1544" s="42" t="str">
        <f t="array" aca="1" ref="TD1544" ca="1">IFERROR(INDEX(nombres[],SMALL(IF(OFFSET(nombres[],0,0,ROWS(nombres[]),1)=TD$1490,ROW(OFFSET(nombres[],0,0,ROWS(nombres[]),1))-ROW(OFFSET(nombres[],0,0,1,1))+1,ROW(OFFSET(nombres[],ROWS(nombres[])-1,0,1,1))+1),$O1544:$O1563),3),"")</f>
        <v/>
      </c>
      <c r="TE1544" s="42" t="str">
        <f t="array" aca="1" ref="TE1544" ca="1">IFERROR(INDEX(nombres[],SMALL(IF(OFFSET(nombres[],0,0,ROWS(nombres[]),1)=TE$1490,ROW(OFFSET(nombres[],0,0,ROWS(nombres[]),1))-ROW(OFFSET(nombres[],0,0,1,1))+1,ROW(OFFSET(nombres[],ROWS(nombres[])-1,0,1,1))+1),$O1544:$O1563),3),"")</f>
        <v/>
      </c>
      <c r="TF1544" s="42" t="str">
        <f t="array" aca="1" ref="TF1544" ca="1">IFERROR(INDEX(nombres[],SMALL(IF(OFFSET(nombres[],0,0,ROWS(nombres[]),1)=TF$1490,ROW(OFFSET(nombres[],0,0,ROWS(nombres[]),1))-ROW(OFFSET(nombres[],0,0,1,1))+1,ROW(OFFSET(nombres[],ROWS(nombres[])-1,0,1,1))+1),$O1544:$O1563),3),"")</f>
        <v/>
      </c>
      <c r="TG1544" s="42" t="str">
        <f t="array" aca="1" ref="TG1544" ca="1">IFERROR(INDEX(nombres[],SMALL(IF(OFFSET(nombres[],0,0,ROWS(nombres[]),1)=TG$1490,ROW(OFFSET(nombres[],0,0,ROWS(nombres[]),1))-ROW(OFFSET(nombres[],0,0,1,1))+1,ROW(OFFSET(nombres[],ROWS(nombres[])-1,0,1,1))+1),$O1544:$O1563),3),"")</f>
        <v/>
      </c>
      <c r="TH1544" s="42" t="str">
        <f t="array" aca="1" ref="TH1544" ca="1">IFERROR(INDEX(nombres[],SMALL(IF(OFFSET(nombres[],0,0,ROWS(nombres[]),1)=TH$1490,ROW(OFFSET(nombres[],0,0,ROWS(nombres[]),1))-ROW(OFFSET(nombres[],0,0,1,1))+1,ROW(OFFSET(nombres[],ROWS(nombres[])-1,0,1,1))+1),$O1544:$O1563),3),"")</f>
        <v/>
      </c>
      <c r="TI1544" s="42" t="str">
        <f t="array" aca="1" ref="TI1544" ca="1">IFERROR(INDEX(nombres[],SMALL(IF(OFFSET(nombres[],0,0,ROWS(nombres[]),1)=TI$1490,ROW(OFFSET(nombres[],0,0,ROWS(nombres[]),1))-ROW(OFFSET(nombres[],0,0,1,1))+1,ROW(OFFSET(nombres[],ROWS(nombres[])-1,0,1,1))+1),$O1544:$O1563),3),"")</f>
        <v/>
      </c>
      <c r="TJ1544" s="42" t="str">
        <f t="array" aca="1" ref="TJ1544" ca="1">IFERROR(INDEX(nombres[],SMALL(IF(OFFSET(nombres[],0,0,ROWS(nombres[]),1)=TJ$1490,ROW(OFFSET(nombres[],0,0,ROWS(nombres[]),1))-ROW(OFFSET(nombres[],0,0,1,1))+1,ROW(OFFSET(nombres[],ROWS(nombres[])-1,0,1,1))+1),$O1544:$O1563),3),"")</f>
        <v/>
      </c>
      <c r="TK1544" s="42" t="str">
        <f t="array" aca="1" ref="TK1544" ca="1">IFERROR(INDEX(nombres[],SMALL(IF(OFFSET(nombres[],0,0,ROWS(nombres[]),1)=TK$1490,ROW(OFFSET(nombres[],0,0,ROWS(nombres[]),1))-ROW(OFFSET(nombres[],0,0,1,1))+1,ROW(OFFSET(nombres[],ROWS(nombres[])-1,0,1,1))+1),$O1544:$O1563),3),"")</f>
        <v/>
      </c>
      <c r="TL1544" s="42" t="str">
        <f t="array" aca="1" ref="TL1544" ca="1">IFERROR(INDEX(nombres[],SMALL(IF(OFFSET(nombres[],0,0,ROWS(nombres[]),1)=TL$1490,ROW(OFFSET(nombres[],0,0,ROWS(nombres[]),1))-ROW(OFFSET(nombres[],0,0,1,1))+1,ROW(OFFSET(nombres[],ROWS(nombres[])-1,0,1,1))+1),$O1544:$O1563),3),"")</f>
        <v/>
      </c>
      <c r="TM1544" s="42" t="str">
        <f t="array" aca="1" ref="TM1544" ca="1">IFERROR(INDEX(nombres[],SMALL(IF(OFFSET(nombres[],0,0,ROWS(nombres[]),1)=TM$1490,ROW(OFFSET(nombres[],0,0,ROWS(nombres[]),1))-ROW(OFFSET(nombres[],0,0,1,1))+1,ROW(OFFSET(nombres[],ROWS(nombres[])-1,0,1,1))+1),$O1544:$O1563),3),"")</f>
        <v/>
      </c>
      <c r="TN1544" s="42" t="str">
        <f t="array" aca="1" ref="TN1544" ca="1">IFERROR(INDEX(nombres[],SMALL(IF(OFFSET(nombres[],0,0,ROWS(nombres[]),1)=TN$1490,ROW(OFFSET(nombres[],0,0,ROWS(nombres[]),1))-ROW(OFFSET(nombres[],0,0,1,1))+1,ROW(OFFSET(nombres[],ROWS(nombres[])-1,0,1,1))+1),$O1544:$O1563),3),"")</f>
        <v/>
      </c>
      <c r="TO1544" s="42" t="str">
        <f t="array" aca="1" ref="TO1544" ca="1">IFERROR(INDEX(nombres[],SMALL(IF(OFFSET(nombres[],0,0,ROWS(nombres[]),1)=TO$1490,ROW(OFFSET(nombres[],0,0,ROWS(nombres[]),1))-ROW(OFFSET(nombres[],0,0,1,1))+1,ROW(OFFSET(nombres[],ROWS(nombres[])-1,0,1,1))+1),$O1544:$O1563),3),"")</f>
        <v/>
      </c>
      <c r="TP1544" s="42" t="str">
        <f t="array" aca="1" ref="TP1544" ca="1">IFERROR(INDEX(nombres[],SMALL(IF(OFFSET(nombres[],0,0,ROWS(nombres[]),1)=TP$1490,ROW(OFFSET(nombres[],0,0,ROWS(nombres[]),1))-ROW(OFFSET(nombres[],0,0,1,1))+1,ROW(OFFSET(nombres[],ROWS(nombres[])-1,0,1,1))+1),$O1544:$O1563),3),"")</f>
        <v/>
      </c>
      <c r="TQ1544" s="42" t="str">
        <f t="array" aca="1" ref="TQ1544" ca="1">IFERROR(INDEX(nombres[],SMALL(IF(OFFSET(nombres[],0,0,ROWS(nombres[]),1)=TQ$1490,ROW(OFFSET(nombres[],0,0,ROWS(nombres[]),1))-ROW(OFFSET(nombres[],0,0,1,1))+1,ROW(OFFSET(nombres[],ROWS(nombres[])-1,0,1,1))+1),$O1544:$O1563),3),"")</f>
        <v/>
      </c>
      <c r="TR1544" s="42" t="str">
        <f t="array" aca="1" ref="TR1544" ca="1">IFERROR(INDEX(nombres[],SMALL(IF(OFFSET(nombres[],0,0,ROWS(nombres[]),1)=TR$1490,ROW(OFFSET(nombres[],0,0,ROWS(nombres[]),1))-ROW(OFFSET(nombres[],0,0,1,1))+1,ROW(OFFSET(nombres[],ROWS(nombres[])-1,0,1,1))+1),$O1544:$O1563),3),"")</f>
        <v/>
      </c>
      <c r="TS1544" s="42" t="str">
        <f t="array" aca="1" ref="TS1544" ca="1">IFERROR(INDEX(nombres[],SMALL(IF(OFFSET(nombres[],0,0,ROWS(nombres[]),1)=TS$1490,ROW(OFFSET(nombres[],0,0,ROWS(nombres[]),1))-ROW(OFFSET(nombres[],0,0,1,1))+1,ROW(OFFSET(nombres[],ROWS(nombres[])-1,0,1,1))+1),$O1544:$O1563),3),"")</f>
        <v/>
      </c>
      <c r="TT1544" s="42" t="str">
        <f t="array" aca="1" ref="TT1544" ca="1">IFERROR(INDEX(nombres[],SMALL(IF(OFFSET(nombres[],0,0,ROWS(nombres[]),1)=TT$1490,ROW(OFFSET(nombres[],0,0,ROWS(nombres[]),1))-ROW(OFFSET(nombres[],0,0,1,1))+1,ROW(OFFSET(nombres[],ROWS(nombres[])-1,0,1,1))+1),$O1544:$O1563),3),"")</f>
        <v/>
      </c>
      <c r="TU1544" s="42" t="str">
        <f t="array" aca="1" ref="TU1544" ca="1">IFERROR(INDEX(nombres[],SMALL(IF(OFFSET(nombres[],0,0,ROWS(nombres[]),1)=TU$1490,ROW(OFFSET(nombres[],0,0,ROWS(nombres[]),1))-ROW(OFFSET(nombres[],0,0,1,1))+1,ROW(OFFSET(nombres[],ROWS(nombres[])-1,0,1,1))+1),$O1544:$O1563),3),"")</f>
        <v/>
      </c>
      <c r="TV1544" s="42" t="str">
        <f t="array" aca="1" ref="TV1544" ca="1">IFERROR(INDEX(nombres[],SMALL(IF(OFFSET(nombres[],0,0,ROWS(nombres[]),1)=TV$1490,ROW(OFFSET(nombres[],0,0,ROWS(nombres[]),1))-ROW(OFFSET(nombres[],0,0,1,1))+1,ROW(OFFSET(nombres[],ROWS(nombres[])-1,0,1,1))+1),$O1544:$O1563),3),"")</f>
        <v/>
      </c>
      <c r="TW1544" s="42" t="str">
        <f t="array" aca="1" ref="TW1544" ca="1">IFERROR(INDEX(nombres[],SMALL(IF(OFFSET(nombres[],0,0,ROWS(nombres[]),1)=TW$1490,ROW(OFFSET(nombres[],0,0,ROWS(nombres[]),1))-ROW(OFFSET(nombres[],0,0,1,1))+1,ROW(OFFSET(nombres[],ROWS(nombres[])-1,0,1,1))+1),$O1544:$O1563),3),"")</f>
        <v/>
      </c>
      <c r="TX1544" s="42" t="str">
        <f t="array" aca="1" ref="TX1544" ca="1">IFERROR(INDEX(nombres[],SMALL(IF(OFFSET(nombres[],0,0,ROWS(nombres[]),1)=TX$1490,ROW(OFFSET(nombres[],0,0,ROWS(nombres[]),1))-ROW(OFFSET(nombres[],0,0,1,1))+1,ROW(OFFSET(nombres[],ROWS(nombres[])-1,0,1,1))+1),$O1544:$O1563),3),"")</f>
        <v/>
      </c>
      <c r="TY1544" s="42" t="str">
        <f t="array" aca="1" ref="TY1544" ca="1">IFERROR(INDEX(nombres[],SMALL(IF(OFFSET(nombres[],0,0,ROWS(nombres[]),1)=TY$1490,ROW(OFFSET(nombres[],0,0,ROWS(nombres[]),1))-ROW(OFFSET(nombres[],0,0,1,1))+1,ROW(OFFSET(nombres[],ROWS(nombres[])-1,0,1,1))+1),$O1544:$O1563),3),"")</f>
        <v/>
      </c>
      <c r="TZ1544" s="42" t="str">
        <f t="array" aca="1" ref="TZ1544" ca="1">IFERROR(INDEX(nombres[],SMALL(IF(OFFSET(nombres[],0,0,ROWS(nombres[]),1)=TZ$1490,ROW(OFFSET(nombres[],0,0,ROWS(nombres[]),1))-ROW(OFFSET(nombres[],0,0,1,1))+1,ROW(OFFSET(nombres[],ROWS(nombres[])-1,0,1,1))+1),$O1544:$O1563),3),"")</f>
        <v/>
      </c>
      <c r="UA1544" s="42" t="str">
        <f t="array" aca="1" ref="UA1544" ca="1">IFERROR(INDEX(nombres[],SMALL(IF(OFFSET(nombres[],0,0,ROWS(nombres[]),1)=UA$1490,ROW(OFFSET(nombres[],0,0,ROWS(nombres[]),1))-ROW(OFFSET(nombres[],0,0,1,1))+1,ROW(OFFSET(nombres[],ROWS(nombres[])-1,0,1,1))+1),$O1544:$O1563),3),"")</f>
        <v/>
      </c>
      <c r="UB1544" s="42" t="str">
        <f t="array" aca="1" ref="UB1544" ca="1">IFERROR(INDEX(nombres[],SMALL(IF(OFFSET(nombres[],0,0,ROWS(nombres[]),1)=UB$1490,ROW(OFFSET(nombres[],0,0,ROWS(nombres[]),1))-ROW(OFFSET(nombres[],0,0,1,1))+1,ROW(OFFSET(nombres[],ROWS(nombres[])-1,0,1,1))+1),$O1544:$O1563),3),"")</f>
        <v/>
      </c>
      <c r="UC1544" s="42" t="str">
        <f t="array" aca="1" ref="UC1544" ca="1">IFERROR(INDEX(nombres[],SMALL(IF(OFFSET(nombres[],0,0,ROWS(nombres[]),1)=UC$1490,ROW(OFFSET(nombres[],0,0,ROWS(nombres[]),1))-ROW(OFFSET(nombres[],0,0,1,1))+1,ROW(OFFSET(nombres[],ROWS(nombres[])-1,0,1,1))+1),$O1544:$O1563),3),"")</f>
        <v/>
      </c>
      <c r="UD1544" s="42" t="str">
        <f t="array" aca="1" ref="UD1544" ca="1">IFERROR(INDEX(nombres[],SMALL(IF(OFFSET(nombres[],0,0,ROWS(nombres[]),1)=UD$1490,ROW(OFFSET(nombres[],0,0,ROWS(nombres[]),1))-ROW(OFFSET(nombres[],0,0,1,1))+1,ROW(OFFSET(nombres[],ROWS(nombres[])-1,0,1,1))+1),$O1544:$O1563),3),"")</f>
        <v/>
      </c>
      <c r="UE1544" s="42" t="str">
        <f t="array" aca="1" ref="UE1544" ca="1">IFERROR(INDEX(nombres[],SMALL(IF(OFFSET(nombres[],0,0,ROWS(nombres[]),1)=UE$1490,ROW(OFFSET(nombres[],0,0,ROWS(nombres[]),1))-ROW(OFFSET(nombres[],0,0,1,1))+1,ROW(OFFSET(nombres[],ROWS(nombres[])-1,0,1,1))+1),$O1544:$O1563),3),"")</f>
        <v/>
      </c>
      <c r="UF1544" s="42" t="str">
        <f t="array" aca="1" ref="UF1544" ca="1">IFERROR(INDEX(nombres[],SMALL(IF(OFFSET(nombres[],0,0,ROWS(nombres[]),1)=UF$1490,ROW(OFFSET(nombres[],0,0,ROWS(nombres[]),1))-ROW(OFFSET(nombres[],0,0,1,1))+1,ROW(OFFSET(nombres[],ROWS(nombres[])-1,0,1,1))+1),$O1544:$O1563),3),"")</f>
        <v/>
      </c>
      <c r="UG1544" s="42" t="str">
        <f t="array" aca="1" ref="UG1544" ca="1">IFERROR(INDEX(nombres[],SMALL(IF(OFFSET(nombres[],0,0,ROWS(nombres[]),1)=UG$1490,ROW(OFFSET(nombres[],0,0,ROWS(nombres[]),1))-ROW(OFFSET(nombres[],0,0,1,1))+1,ROW(OFFSET(nombres[],ROWS(nombres[])-1,0,1,1))+1),$O1544:$O1563),3),"")</f>
        <v/>
      </c>
      <c r="UH1544" s="42" t="str">
        <f t="array" aca="1" ref="UH1544" ca="1">IFERROR(INDEX(nombres[],SMALL(IF(OFFSET(nombres[],0,0,ROWS(nombres[]),1)=UH$1490,ROW(OFFSET(nombres[],0,0,ROWS(nombres[]),1))-ROW(OFFSET(nombres[],0,0,1,1))+1,ROW(OFFSET(nombres[],ROWS(nombres[])-1,0,1,1))+1),$O1544:$O1563),3),"")</f>
        <v/>
      </c>
      <c r="UI1544" s="42" t="str">
        <f t="array" aca="1" ref="UI1544" ca="1">IFERROR(INDEX(nombres[],SMALL(IF(OFFSET(nombres[],0,0,ROWS(nombres[]),1)=UI$1490,ROW(OFFSET(nombres[],0,0,ROWS(nombres[]),1))-ROW(OFFSET(nombres[],0,0,1,1))+1,ROW(OFFSET(nombres[],ROWS(nombres[])-1,0,1,1))+1),$O1544:$O1563),3),"")</f>
        <v/>
      </c>
      <c r="UJ1544" s="42" t="str">
        <f t="array" aca="1" ref="UJ1544" ca="1">IFERROR(INDEX(nombres[],SMALL(IF(OFFSET(nombres[],0,0,ROWS(nombres[]),1)=UJ$1490,ROW(OFFSET(nombres[],0,0,ROWS(nombres[]),1))-ROW(OFFSET(nombres[],0,0,1,1))+1,ROW(OFFSET(nombres[],ROWS(nombres[])-1,0,1,1))+1),$O1544:$O1563),3),"")</f>
        <v/>
      </c>
      <c r="UK1544" s="42" t="str">
        <f t="array" aca="1" ref="UK1544" ca="1">IFERROR(INDEX(nombres[],SMALL(IF(OFFSET(nombres[],0,0,ROWS(nombres[]),1)=UK$1490,ROW(OFFSET(nombres[],0,0,ROWS(nombres[]),1))-ROW(OFFSET(nombres[],0,0,1,1))+1,ROW(OFFSET(nombres[],ROWS(nombres[])-1,0,1,1))+1),$O1544:$O1563),3),"")</f>
        <v/>
      </c>
      <c r="UL1544" s="42" t="str">
        <f t="array" aca="1" ref="UL1544" ca="1">IFERROR(INDEX(nombres[],SMALL(IF(OFFSET(nombres[],0,0,ROWS(nombres[]),1)=UL$1490,ROW(OFFSET(nombres[],0,0,ROWS(nombres[]),1))-ROW(OFFSET(nombres[],0,0,1,1))+1,ROW(OFFSET(nombres[],ROWS(nombres[])-1,0,1,1))+1),$O1544:$O1563),3),"")</f>
        <v/>
      </c>
      <c r="UM1544" s="42" t="str">
        <f t="array" aca="1" ref="UM1544" ca="1">IFERROR(INDEX(nombres[],SMALL(IF(OFFSET(nombres[],0,0,ROWS(nombres[]),1)=UM$1490,ROW(OFFSET(nombres[],0,0,ROWS(nombres[]),1))-ROW(OFFSET(nombres[],0,0,1,1))+1,ROW(OFFSET(nombres[],ROWS(nombres[])-1,0,1,1))+1),$O1544:$O1563),3),"")</f>
        <v/>
      </c>
      <c r="UN1544" s="42" t="str">
        <f t="array" aca="1" ref="UN1544" ca="1">IFERROR(INDEX(nombres[],SMALL(IF(OFFSET(nombres[],0,0,ROWS(nombres[]),1)=UN$1490,ROW(OFFSET(nombres[],0,0,ROWS(nombres[]),1))-ROW(OFFSET(nombres[],0,0,1,1))+1,ROW(OFFSET(nombres[],ROWS(nombres[])-1,0,1,1))+1),$O1544:$O1563),3),"")</f>
        <v/>
      </c>
      <c r="UO1544" s="42" t="str">
        <f t="array" aca="1" ref="UO1544" ca="1">IFERROR(INDEX(nombres[],SMALL(IF(OFFSET(nombres[],0,0,ROWS(nombres[]),1)=UO$1490,ROW(OFFSET(nombres[],0,0,ROWS(nombres[]),1))-ROW(OFFSET(nombres[],0,0,1,1))+1,ROW(OFFSET(nombres[],ROWS(nombres[])-1,0,1,1))+1),$O1544:$O1563),3),"")</f>
        <v/>
      </c>
      <c r="UP1544" s="42" t="str">
        <f t="array" aca="1" ref="UP1544" ca="1">IFERROR(INDEX(nombres[],SMALL(IF(OFFSET(nombres[],0,0,ROWS(nombres[]),1)=UP$1490,ROW(OFFSET(nombres[],0,0,ROWS(nombres[]),1))-ROW(OFFSET(nombres[],0,0,1,1))+1,ROW(OFFSET(nombres[],ROWS(nombres[])-1,0,1,1))+1),$O1544:$O1563),3),"")</f>
        <v/>
      </c>
      <c r="UQ1544" s="42" t="str">
        <f t="array" aca="1" ref="UQ1544" ca="1">IFERROR(INDEX(nombres[],SMALL(IF(OFFSET(nombres[],0,0,ROWS(nombres[]),1)=UQ$1490,ROW(OFFSET(nombres[],0,0,ROWS(nombres[]),1))-ROW(OFFSET(nombres[],0,0,1,1))+1,ROW(OFFSET(nombres[],ROWS(nombres[])-1,0,1,1))+1),$O1544:$O1563),3),"")</f>
        <v/>
      </c>
      <c r="UR1544" s="42" t="str">
        <f t="array" aca="1" ref="UR1544" ca="1">IFERROR(INDEX(nombres[],SMALL(IF(OFFSET(nombres[],0,0,ROWS(nombres[]),1)=UR$1490,ROW(OFFSET(nombres[],0,0,ROWS(nombres[]),1))-ROW(OFFSET(nombres[],0,0,1,1))+1,ROW(OFFSET(nombres[],ROWS(nombres[])-1,0,1,1))+1),$O1544:$O1563),3),"")</f>
        <v/>
      </c>
      <c r="US1544" s="42" t="str">
        <f t="array" aca="1" ref="US1544" ca="1">IFERROR(INDEX(nombres[],SMALL(IF(OFFSET(nombres[],0,0,ROWS(nombres[]),1)=US$1490,ROW(OFFSET(nombres[],0,0,ROWS(nombres[]),1))-ROW(OFFSET(nombres[],0,0,1,1))+1,ROW(OFFSET(nombres[],ROWS(nombres[])-1,0,1,1))+1),$O1544:$O1563),3),"")</f>
        <v/>
      </c>
      <c r="UT1544" s="42" t="str">
        <f t="array" aca="1" ref="UT1544" ca="1">IFERROR(INDEX(nombres[],SMALL(IF(OFFSET(nombres[],0,0,ROWS(nombres[]),1)=UT$1490,ROW(OFFSET(nombres[],0,0,ROWS(nombres[]),1))-ROW(OFFSET(nombres[],0,0,1,1))+1,ROW(OFFSET(nombres[],ROWS(nombres[])-1,0,1,1))+1),$O1544:$O1563),3),"")</f>
        <v/>
      </c>
      <c r="UU1544" s="42" t="str">
        <f t="array" aca="1" ref="UU1544" ca="1">IFERROR(INDEX(nombres[],SMALL(IF(OFFSET(nombres[],0,0,ROWS(nombres[]),1)=UU$1490,ROW(OFFSET(nombres[],0,0,ROWS(nombres[]),1))-ROW(OFFSET(nombres[],0,0,1,1))+1,ROW(OFFSET(nombres[],ROWS(nombres[])-1,0,1,1))+1),$O1544:$O1563),3),"")</f>
        <v/>
      </c>
      <c r="UV1544" s="42" t="str">
        <f t="array" aca="1" ref="UV1544" ca="1">IFERROR(INDEX(nombres[],SMALL(IF(OFFSET(nombres[],0,0,ROWS(nombres[]),1)=UV$1490,ROW(OFFSET(nombres[],0,0,ROWS(nombres[]),1))-ROW(OFFSET(nombres[],0,0,1,1))+1,ROW(OFFSET(nombres[],ROWS(nombres[])-1,0,1,1))+1),$O1544:$O1563),3),"")</f>
        <v/>
      </c>
      <c r="UW1544" s="42" t="str">
        <f t="array" aca="1" ref="UW1544" ca="1">IFERROR(INDEX(nombres[],SMALL(IF(OFFSET(nombres[],0,0,ROWS(nombres[]),1)=UW$1490,ROW(OFFSET(nombres[],0,0,ROWS(nombres[]),1))-ROW(OFFSET(nombres[],0,0,1,1))+1,ROW(OFFSET(nombres[],ROWS(nombres[])-1,0,1,1))+1),$O1544:$O1563),3),"")</f>
        <v/>
      </c>
      <c r="UX1544" s="42" t="str">
        <f t="array" aca="1" ref="UX1544" ca="1">IFERROR(INDEX(nombres[],SMALL(IF(OFFSET(nombres[],0,0,ROWS(nombres[]),1)=UX$1490,ROW(OFFSET(nombres[],0,0,ROWS(nombres[]),1))-ROW(OFFSET(nombres[],0,0,1,1))+1,ROW(OFFSET(nombres[],ROWS(nombres[])-1,0,1,1))+1),$O1544:$O1563),3),"")</f>
        <v/>
      </c>
      <c r="UY1544" s="42" t="str">
        <f t="array" aca="1" ref="UY1544" ca="1">IFERROR(INDEX(nombres[],SMALL(IF(OFFSET(nombres[],0,0,ROWS(nombres[]),1)=UY$1490,ROW(OFFSET(nombres[],0,0,ROWS(nombres[]),1))-ROW(OFFSET(nombres[],0,0,1,1))+1,ROW(OFFSET(nombres[],ROWS(nombres[])-1,0,1,1))+1),$O1544:$O1563),3),"")</f>
        <v/>
      </c>
      <c r="UZ1544" s="42" t="str">
        <f t="array" aca="1" ref="UZ1544" ca="1">IFERROR(INDEX(nombres[],SMALL(IF(OFFSET(nombres[],0,0,ROWS(nombres[]),1)=UZ$1490,ROW(OFFSET(nombres[],0,0,ROWS(nombres[]),1))-ROW(OFFSET(nombres[],0,0,1,1))+1,ROW(OFFSET(nombres[],ROWS(nombres[])-1,0,1,1))+1),$O1544:$O1563),3),"")</f>
        <v/>
      </c>
      <c r="VA1544" s="42" t="str">
        <f t="array" aca="1" ref="VA1544" ca="1">IFERROR(INDEX(nombres[],SMALL(IF(OFFSET(nombres[],0,0,ROWS(nombres[]),1)=VA$1490,ROW(OFFSET(nombres[],0,0,ROWS(nombres[]),1))-ROW(OFFSET(nombres[],0,0,1,1))+1,ROW(OFFSET(nombres[],ROWS(nombres[])-1,0,1,1))+1),$O1544:$O1563),3),"")</f>
        <v/>
      </c>
      <c r="VB1544" s="42" t="str">
        <f t="array" aca="1" ref="VB1544" ca="1">IFERROR(INDEX(nombres[],SMALL(IF(OFFSET(nombres[],0,0,ROWS(nombres[]),1)=VB$1490,ROW(OFFSET(nombres[],0,0,ROWS(nombres[]),1))-ROW(OFFSET(nombres[],0,0,1,1))+1,ROW(OFFSET(nombres[],ROWS(nombres[])-1,0,1,1))+1),$O1544:$O1563),3),"")</f>
        <v/>
      </c>
      <c r="VC1544" s="42" t="str">
        <f t="array" aca="1" ref="VC1544" ca="1">IFERROR(INDEX(nombres[],SMALL(IF(OFFSET(nombres[],0,0,ROWS(nombres[]),1)=VC$1490,ROW(OFFSET(nombres[],0,0,ROWS(nombres[]),1))-ROW(OFFSET(nombres[],0,0,1,1))+1,ROW(OFFSET(nombres[],ROWS(nombres[])-1,0,1,1))+1),$O1544:$O1563),3),"")</f>
        <v/>
      </c>
      <c r="VD1544" s="42" t="str">
        <f t="array" aca="1" ref="VD1544" ca="1">IFERROR(INDEX(nombres[],SMALL(IF(OFFSET(nombres[],0,0,ROWS(nombres[]),1)=VD$1490,ROW(OFFSET(nombres[],0,0,ROWS(nombres[]),1))-ROW(OFFSET(nombres[],0,0,1,1))+1,ROW(OFFSET(nombres[],ROWS(nombres[])-1,0,1,1))+1),$O1544:$O1563),3),"")</f>
        <v/>
      </c>
      <c r="VE1544" s="42" t="str">
        <f t="array" aca="1" ref="VE1544" ca="1">IFERROR(INDEX(nombres[],SMALL(IF(OFFSET(nombres[],0,0,ROWS(nombres[]),1)=VE$1490,ROW(OFFSET(nombres[],0,0,ROWS(nombres[]),1))-ROW(OFFSET(nombres[],0,0,1,1))+1,ROW(OFFSET(nombres[],ROWS(nombres[])-1,0,1,1))+1),$O1544:$O1563),3),"")</f>
        <v/>
      </c>
      <c r="VF1544" s="42" t="str">
        <f t="array" aca="1" ref="VF1544" ca="1">IFERROR(INDEX(nombres[],SMALL(IF(OFFSET(nombres[],0,0,ROWS(nombres[]),1)=VF$1490,ROW(OFFSET(nombres[],0,0,ROWS(nombres[]),1))-ROW(OFFSET(nombres[],0,0,1,1))+1,ROW(OFFSET(nombres[],ROWS(nombres[])-1,0,1,1))+1),$O1544:$O1563),3),"")</f>
        <v/>
      </c>
      <c r="VG1544" s="42" t="str">
        <f t="array" aca="1" ref="VG1544" ca="1">IFERROR(INDEX(nombres[],SMALL(IF(OFFSET(nombres[],0,0,ROWS(nombres[]),1)=VG$1490,ROW(OFFSET(nombres[],0,0,ROWS(nombres[]),1))-ROW(OFFSET(nombres[],0,0,1,1))+1,ROW(OFFSET(nombres[],ROWS(nombres[])-1,0,1,1))+1),$O1544:$O1563),3),"")</f>
        <v/>
      </c>
      <c r="VH1544" s="42" t="str">
        <f t="array" aca="1" ref="VH1544" ca="1">IFERROR(INDEX(nombres[],SMALL(IF(OFFSET(nombres[],0,0,ROWS(nombres[]),1)=VH$1490,ROW(OFFSET(nombres[],0,0,ROWS(nombres[]),1))-ROW(OFFSET(nombres[],0,0,1,1))+1,ROW(OFFSET(nombres[],ROWS(nombres[])-1,0,1,1))+1),$O1544:$O1563),3),"")</f>
        <v/>
      </c>
      <c r="VI1544" s="42" t="str">
        <f t="array" aca="1" ref="VI1544" ca="1">IFERROR(INDEX(nombres[],SMALL(IF(OFFSET(nombres[],0,0,ROWS(nombres[]),1)=VI$1490,ROW(OFFSET(nombres[],0,0,ROWS(nombres[]),1))-ROW(OFFSET(nombres[],0,0,1,1))+1,ROW(OFFSET(nombres[],ROWS(nombres[])-1,0,1,1))+1),$O1544:$O1563),3),"")</f>
        <v/>
      </c>
      <c r="VJ1544" s="42" t="str">
        <f t="array" aca="1" ref="VJ1544" ca="1">IFERROR(INDEX(nombres[],SMALL(IF(OFFSET(nombres[],0,0,ROWS(nombres[]),1)=VJ$1490,ROW(OFFSET(nombres[],0,0,ROWS(nombres[]),1))-ROW(OFFSET(nombres[],0,0,1,1))+1,ROW(OFFSET(nombres[],ROWS(nombres[])-1,0,1,1))+1),$O1544:$O1563),3),"")</f>
        <v/>
      </c>
      <c r="VK1544" s="42" t="str">
        <f t="array" aca="1" ref="VK1544" ca="1">IFERROR(INDEX(nombres[],SMALL(IF(OFFSET(nombres[],0,0,ROWS(nombres[]),1)=VK$1490,ROW(OFFSET(nombres[],0,0,ROWS(nombres[]),1))-ROW(OFFSET(nombres[],0,0,1,1))+1,ROW(OFFSET(nombres[],ROWS(nombres[])-1,0,1,1))+1),$O1544:$O1563),3),"")</f>
        <v/>
      </c>
      <c r="VL1544" s="42" t="str">
        <f t="array" aca="1" ref="VL1544" ca="1">IFERROR(INDEX(nombres[],SMALL(IF(OFFSET(nombres[],0,0,ROWS(nombres[]),1)=VL$1490,ROW(OFFSET(nombres[],0,0,ROWS(nombres[]),1))-ROW(OFFSET(nombres[],0,0,1,1))+1,ROW(OFFSET(nombres[],ROWS(nombres[])-1,0,1,1))+1),$O1544:$O1563),3),"")</f>
        <v/>
      </c>
      <c r="VM1544" s="42" t="str">
        <f t="array" aca="1" ref="VM1544" ca="1">IFERROR(INDEX(nombres[],SMALL(IF(OFFSET(nombres[],0,0,ROWS(nombres[]),1)=VM$1490,ROW(OFFSET(nombres[],0,0,ROWS(nombres[]),1))-ROW(OFFSET(nombres[],0,0,1,1))+1,ROW(OFFSET(nombres[],ROWS(nombres[])-1,0,1,1))+1),$O1544:$O1563),3),"")</f>
        <v/>
      </c>
      <c r="VN1544" s="42" t="str">
        <f t="array" aca="1" ref="VN1544" ca="1">IFERROR(INDEX(nombres[],SMALL(IF(OFFSET(nombres[],0,0,ROWS(nombres[]),1)=VN$1490,ROW(OFFSET(nombres[],0,0,ROWS(nombres[]),1))-ROW(OFFSET(nombres[],0,0,1,1))+1,ROW(OFFSET(nombres[],ROWS(nombres[])-1,0,1,1))+1),$O1544:$O1563),3),"")</f>
        <v/>
      </c>
      <c r="VO1544" s="42" t="str">
        <f t="array" aca="1" ref="VO1544" ca="1">IFERROR(INDEX(nombres[],SMALL(IF(OFFSET(nombres[],0,0,ROWS(nombres[]),1)=VO$1490,ROW(OFFSET(nombres[],0,0,ROWS(nombres[]),1))-ROW(OFFSET(nombres[],0,0,1,1))+1,ROW(OFFSET(nombres[],ROWS(nombres[])-1,0,1,1))+1),$O1544:$O1563),3),"")</f>
        <v/>
      </c>
      <c r="VP1544" s="42" t="str">
        <f t="array" aca="1" ref="VP1544" ca="1">IFERROR(INDEX(nombres[],SMALL(IF(OFFSET(nombres[],0,0,ROWS(nombres[]),1)=VP$1490,ROW(OFFSET(nombres[],0,0,ROWS(nombres[]),1))-ROW(OFFSET(nombres[],0,0,1,1))+1,ROW(OFFSET(nombres[],ROWS(nombres[])-1,0,1,1))+1),$O1544:$O1563),3),"")</f>
        <v/>
      </c>
      <c r="VQ1544" s="42" t="str">
        <f t="array" aca="1" ref="VQ1544" ca="1">IFERROR(INDEX(nombres[],SMALL(IF(OFFSET(nombres[],0,0,ROWS(nombres[]),1)=VQ$1490,ROW(OFFSET(nombres[],0,0,ROWS(nombres[]),1))-ROW(OFFSET(nombres[],0,0,1,1))+1,ROW(OFFSET(nombres[],ROWS(nombres[])-1,0,1,1))+1),$O1544:$O1563),3),"")</f>
        <v/>
      </c>
      <c r="VR1544" s="42" t="str">
        <f t="array" aca="1" ref="VR1544" ca="1">IFERROR(INDEX(nombres[],SMALL(IF(OFFSET(nombres[],0,0,ROWS(nombres[]),1)=VR$1490,ROW(OFFSET(nombres[],0,0,ROWS(nombres[]),1))-ROW(OFFSET(nombres[],0,0,1,1))+1,ROW(OFFSET(nombres[],ROWS(nombres[])-1,0,1,1))+1),$O1544:$O1563),3),"")</f>
        <v/>
      </c>
      <c r="VS1544" s="42" t="str">
        <f t="array" aca="1" ref="VS1544" ca="1">IFERROR(INDEX(nombres[],SMALL(IF(OFFSET(nombres[],0,0,ROWS(nombres[]),1)=VS$1490,ROW(OFFSET(nombres[],0,0,ROWS(nombres[]),1))-ROW(OFFSET(nombres[],0,0,1,1))+1,ROW(OFFSET(nombres[],ROWS(nombres[])-1,0,1,1))+1),$O1544:$O1563),3),"")</f>
        <v/>
      </c>
      <c r="VT1544" s="42" t="str">
        <f t="array" aca="1" ref="VT1544" ca="1">IFERROR(INDEX(nombres[],SMALL(IF(OFFSET(nombres[],0,0,ROWS(nombres[]),1)=VT$1490,ROW(OFFSET(nombres[],0,0,ROWS(nombres[]),1))-ROW(OFFSET(nombres[],0,0,1,1))+1,ROW(OFFSET(nombres[],ROWS(nombres[])-1,0,1,1))+1),$O1544:$O1563),3),"")</f>
        <v/>
      </c>
      <c r="VU1544" s="42" t="str">
        <f t="array" aca="1" ref="VU1544" ca="1">IFERROR(INDEX(nombres[],SMALL(IF(OFFSET(nombres[],0,0,ROWS(nombres[]),1)=VU$1490,ROW(OFFSET(nombres[],0,0,ROWS(nombres[]),1))-ROW(OFFSET(nombres[],0,0,1,1))+1,ROW(OFFSET(nombres[],ROWS(nombres[])-1,0,1,1))+1),$O1544:$O1563),3),"")</f>
        <v/>
      </c>
      <c r="VV1544" s="42" t="str">
        <f t="array" aca="1" ref="VV1544" ca="1">IFERROR(INDEX(nombres[],SMALL(IF(OFFSET(nombres[],0,0,ROWS(nombres[]),1)=VV$1490,ROW(OFFSET(nombres[],0,0,ROWS(nombres[]),1))-ROW(OFFSET(nombres[],0,0,1,1))+1,ROW(OFFSET(nombres[],ROWS(nombres[])-1,0,1,1))+1),$O1544:$O1563),3),"")</f>
        <v/>
      </c>
      <c r="VW1544" s="42" t="str">
        <f t="array" aca="1" ref="VW1544" ca="1">IFERROR(INDEX(nombres[],SMALL(IF(OFFSET(nombres[],0,0,ROWS(nombres[]),1)=VW$1490,ROW(OFFSET(nombres[],0,0,ROWS(nombres[]),1))-ROW(OFFSET(nombres[],0,0,1,1))+1,ROW(OFFSET(nombres[],ROWS(nombres[])-1,0,1,1))+1),$O1544:$O1563),3),"")</f>
        <v/>
      </c>
      <c r="VX1544" s="42" t="str">
        <f t="array" aca="1" ref="VX1544" ca="1">IFERROR(INDEX(nombres[],SMALL(IF(OFFSET(nombres[],0,0,ROWS(nombres[]),1)=VX$1490,ROW(OFFSET(nombres[],0,0,ROWS(nombres[]),1))-ROW(OFFSET(nombres[],0,0,1,1))+1,ROW(OFFSET(nombres[],ROWS(nombres[])-1,0,1,1))+1),$O1544:$O1563),3),"")</f>
        <v/>
      </c>
      <c r="VY1544" s="42" t="str">
        <f t="array" aca="1" ref="VY1544" ca="1">IFERROR(INDEX(nombres[],SMALL(IF(OFFSET(nombres[],0,0,ROWS(nombres[]),1)=VY$1490,ROW(OFFSET(nombres[],0,0,ROWS(nombres[]),1))-ROW(OFFSET(nombres[],0,0,1,1))+1,ROW(OFFSET(nombres[],ROWS(nombres[])-1,0,1,1))+1),$O1544:$O1563),3),"")</f>
        <v/>
      </c>
      <c r="VZ1544" s="42" t="str">
        <f t="array" aca="1" ref="VZ1544" ca="1">IFERROR(INDEX(nombres[],SMALL(IF(OFFSET(nombres[],0,0,ROWS(nombres[]),1)=VZ$1490,ROW(OFFSET(nombres[],0,0,ROWS(nombres[]),1))-ROW(OFFSET(nombres[],0,0,1,1))+1,ROW(OFFSET(nombres[],ROWS(nombres[])-1,0,1,1))+1),$O1544:$O1563),3),"")</f>
        <v/>
      </c>
      <c r="WA1544" s="42" t="str">
        <f t="array" aca="1" ref="WA1544" ca="1">IFERROR(INDEX(nombres[],SMALL(IF(OFFSET(nombres[],0,0,ROWS(nombres[]),1)=WA$1490,ROW(OFFSET(nombres[],0,0,ROWS(nombres[]),1))-ROW(OFFSET(nombres[],0,0,1,1))+1,ROW(OFFSET(nombres[],ROWS(nombres[])-1,0,1,1))+1),$O1544:$O1563),3),"")</f>
        <v/>
      </c>
      <c r="WB1544" s="42" t="str">
        <f t="array" aca="1" ref="WB1544" ca="1">IFERROR(INDEX(nombres[],SMALL(IF(OFFSET(nombres[],0,0,ROWS(nombres[]),1)=WB$1490,ROW(OFFSET(nombres[],0,0,ROWS(nombres[]),1))-ROW(OFFSET(nombres[],0,0,1,1))+1,ROW(OFFSET(nombres[],ROWS(nombres[])-1,0,1,1))+1),$O1544:$O1563),3),"")</f>
        <v/>
      </c>
      <c r="WC1544" s="42" t="str">
        <f t="array" aca="1" ref="WC1544" ca="1">IFERROR(INDEX(nombres[],SMALL(IF(OFFSET(nombres[],0,0,ROWS(nombres[]),1)=WC$1490,ROW(OFFSET(nombres[],0,0,ROWS(nombres[]),1))-ROW(OFFSET(nombres[],0,0,1,1))+1,ROW(OFFSET(nombres[],ROWS(nombres[])-1,0,1,1))+1),$O1544:$O1563),3),"")</f>
        <v/>
      </c>
      <c r="WD1544" s="42" t="str">
        <f t="array" aca="1" ref="WD1544" ca="1">IFERROR(INDEX(nombres[],SMALL(IF(OFFSET(nombres[],0,0,ROWS(nombres[]),1)=WD$1490,ROW(OFFSET(nombres[],0,0,ROWS(nombres[]),1))-ROW(OFFSET(nombres[],0,0,1,1))+1,ROW(OFFSET(nombres[],ROWS(nombres[])-1,0,1,1))+1),$O1544:$O1563),3),"")</f>
        <v/>
      </c>
      <c r="WE1544" s="42" t="str">
        <f t="array" aca="1" ref="WE1544" ca="1">IFERROR(INDEX(nombres[],SMALL(IF(OFFSET(nombres[],0,0,ROWS(nombres[]),1)=WE$1490,ROW(OFFSET(nombres[],0,0,ROWS(nombres[]),1))-ROW(OFFSET(nombres[],0,0,1,1))+1,ROW(OFFSET(nombres[],ROWS(nombres[])-1,0,1,1))+1),$O1544:$O1563),3),"")</f>
        <v/>
      </c>
      <c r="WF1544" s="42" t="str">
        <f t="array" aca="1" ref="WF1544" ca="1">IFERROR(INDEX(nombres[],SMALL(IF(OFFSET(nombres[],0,0,ROWS(nombres[]),1)=WF$1490,ROW(OFFSET(nombres[],0,0,ROWS(nombres[]),1))-ROW(OFFSET(nombres[],0,0,1,1))+1,ROW(OFFSET(nombres[],ROWS(nombres[])-1,0,1,1))+1),$O1544:$O1563),3),"")</f>
        <v/>
      </c>
      <c r="WG1544" s="42" t="str">
        <f t="array" aca="1" ref="WG1544" ca="1">IFERROR(INDEX(nombres[],SMALL(IF(OFFSET(nombres[],0,0,ROWS(nombres[]),1)=WG$1490,ROW(OFFSET(nombres[],0,0,ROWS(nombres[]),1))-ROW(OFFSET(nombres[],0,0,1,1))+1,ROW(OFFSET(nombres[],ROWS(nombres[])-1,0,1,1))+1),$O1544:$O1563),3),"")</f>
        <v/>
      </c>
      <c r="WH1544" s="42" t="str">
        <f t="array" aca="1" ref="WH1544" ca="1">IFERROR(INDEX(nombres[],SMALL(IF(OFFSET(nombres[],0,0,ROWS(nombres[]),1)=WH$1490,ROW(OFFSET(nombres[],0,0,ROWS(nombres[]),1))-ROW(OFFSET(nombres[],0,0,1,1))+1,ROW(OFFSET(nombres[],ROWS(nombres[])-1,0,1,1))+1),$O1544:$O1563),3),"")</f>
        <v/>
      </c>
      <c r="WI1544" s="42" t="str">
        <f t="array" aca="1" ref="WI1544" ca="1">IFERROR(INDEX(nombres[],SMALL(IF(OFFSET(nombres[],0,0,ROWS(nombres[]),1)=WI$1490,ROW(OFFSET(nombres[],0,0,ROWS(nombres[]),1))-ROW(OFFSET(nombres[],0,0,1,1))+1,ROW(OFFSET(nombres[],ROWS(nombres[])-1,0,1,1))+1),$O1544:$O1563),3),"")</f>
        <v/>
      </c>
      <c r="WJ1544" s="42" t="str">
        <f t="array" aca="1" ref="WJ1544" ca="1">IFERROR(INDEX(nombres[],SMALL(IF(OFFSET(nombres[],0,0,ROWS(nombres[]),1)=WJ$1490,ROW(OFFSET(nombres[],0,0,ROWS(nombres[]),1))-ROW(OFFSET(nombres[],0,0,1,1))+1,ROW(OFFSET(nombres[],ROWS(nombres[])-1,0,1,1))+1),$O1544:$O1563),3),"")</f>
        <v/>
      </c>
      <c r="WK1544" s="42" t="str">
        <f t="array" aca="1" ref="WK1544" ca="1">IFERROR(INDEX(nombres[],SMALL(IF(OFFSET(nombres[],0,0,ROWS(nombres[]),1)=WK$1490,ROW(OFFSET(nombres[],0,0,ROWS(nombres[]),1))-ROW(OFFSET(nombres[],0,0,1,1))+1,ROW(OFFSET(nombres[],ROWS(nombres[])-1,0,1,1))+1),$O1544:$O1563),3),"")</f>
        <v/>
      </c>
      <c r="WL1544" s="42" t="str">
        <f t="array" aca="1" ref="WL1544" ca="1">IFERROR(INDEX(nombres[],SMALL(IF(OFFSET(nombres[],0,0,ROWS(nombres[]),1)=WL$1490,ROW(OFFSET(nombres[],0,0,ROWS(nombres[]),1))-ROW(OFFSET(nombres[],0,0,1,1))+1,ROW(OFFSET(nombres[],ROWS(nombres[])-1,0,1,1))+1),$O1544:$O1563),3),"")</f>
        <v/>
      </c>
      <c r="WM1544" s="42" t="str">
        <f t="array" aca="1" ref="WM1544" ca="1">IFERROR(INDEX(nombres[],SMALL(IF(OFFSET(nombres[],0,0,ROWS(nombres[]),1)=WM$1490,ROW(OFFSET(nombres[],0,0,ROWS(nombres[]),1))-ROW(OFFSET(nombres[],0,0,1,1))+1,ROW(OFFSET(nombres[],ROWS(nombres[])-1,0,1,1))+1),$O1544:$O1563),3),"")</f>
        <v/>
      </c>
      <c r="WN1544" s="42" t="str">
        <f t="array" aca="1" ref="WN1544" ca="1">IFERROR(INDEX(nombres[],SMALL(IF(OFFSET(nombres[],0,0,ROWS(nombres[]),1)=WN$1490,ROW(OFFSET(nombres[],0,0,ROWS(nombres[]),1))-ROW(OFFSET(nombres[],0,0,1,1))+1,ROW(OFFSET(nombres[],ROWS(nombres[])-1,0,1,1))+1),$O1544:$O1563),3),"")</f>
        <v/>
      </c>
      <c r="WO1544" s="42" t="str">
        <f t="array" aca="1" ref="WO1544" ca="1">IFERROR(INDEX(nombres[],SMALL(IF(OFFSET(nombres[],0,0,ROWS(nombres[]),1)=WO$1490,ROW(OFFSET(nombres[],0,0,ROWS(nombres[]),1))-ROW(OFFSET(nombres[],0,0,1,1))+1,ROW(OFFSET(nombres[],ROWS(nombres[])-1,0,1,1))+1),$O1544:$O1563),3),"")</f>
        <v/>
      </c>
      <c r="WP1544" s="42" t="str">
        <f t="array" aca="1" ref="WP1544" ca="1">IFERROR(INDEX(nombres[],SMALL(IF(OFFSET(nombres[],0,0,ROWS(nombres[]),1)=WP$1490,ROW(OFFSET(nombres[],0,0,ROWS(nombres[]),1))-ROW(OFFSET(nombres[],0,0,1,1))+1,ROW(OFFSET(nombres[],ROWS(nombres[])-1,0,1,1))+1),$O1544:$O1563),3),"")</f>
        <v/>
      </c>
      <c r="WQ1544" s="42" t="str">
        <f t="array" aca="1" ref="WQ1544" ca="1">IFERROR(INDEX(nombres[],SMALL(IF(OFFSET(nombres[],0,0,ROWS(nombres[]),1)=WQ$1490,ROW(OFFSET(nombres[],0,0,ROWS(nombres[]),1))-ROW(OFFSET(nombres[],0,0,1,1))+1,ROW(OFFSET(nombres[],ROWS(nombres[])-1,0,1,1))+1),$O1544:$O1563),3),"")</f>
        <v/>
      </c>
      <c r="WR1544" s="42" t="str">
        <f t="array" aca="1" ref="WR1544" ca="1">IFERROR(INDEX(nombres[],SMALL(IF(OFFSET(nombres[],0,0,ROWS(nombres[]),1)=WR$1490,ROW(OFFSET(nombres[],0,0,ROWS(nombres[]),1))-ROW(OFFSET(nombres[],0,0,1,1))+1,ROW(OFFSET(nombres[],ROWS(nombres[])-1,0,1,1))+1),$O1544:$O1563),3),"")</f>
        <v/>
      </c>
      <c r="WS1544" s="42" t="str">
        <f t="array" aca="1" ref="WS1544" ca="1">IFERROR(INDEX(nombres[],SMALL(IF(OFFSET(nombres[],0,0,ROWS(nombres[]),1)=WS$1490,ROW(OFFSET(nombres[],0,0,ROWS(nombres[]),1))-ROW(OFFSET(nombres[],0,0,1,1))+1,ROW(OFFSET(nombres[],ROWS(nombres[])-1,0,1,1))+1),$O1544:$O1563),3),"")</f>
        <v/>
      </c>
      <c r="WT1544" s="42" t="str">
        <f t="array" aca="1" ref="WT1544" ca="1">IFERROR(INDEX(nombres[],SMALL(IF(OFFSET(nombres[],0,0,ROWS(nombres[]),1)=WT$1490,ROW(OFFSET(nombres[],0,0,ROWS(nombres[]),1))-ROW(OFFSET(nombres[],0,0,1,1))+1,ROW(OFFSET(nombres[],ROWS(nombres[])-1,0,1,1))+1),$O1544:$O1563),3),"")</f>
        <v/>
      </c>
      <c r="WU1544" s="42" t="str">
        <f t="array" aca="1" ref="WU1544" ca="1">IFERROR(INDEX(nombres[],SMALL(IF(OFFSET(nombres[],0,0,ROWS(nombres[]),1)=WU$1490,ROW(OFFSET(nombres[],0,0,ROWS(nombres[]),1))-ROW(OFFSET(nombres[],0,0,1,1))+1,ROW(OFFSET(nombres[],ROWS(nombres[])-1,0,1,1))+1),$O1544:$O1563),3),"")</f>
        <v/>
      </c>
      <c r="WV1544" s="42" t="str">
        <f t="array" aca="1" ref="WV1544" ca="1">IFERROR(INDEX(nombres[],SMALL(IF(OFFSET(nombres[],0,0,ROWS(nombres[]),1)=WV$1490,ROW(OFFSET(nombres[],0,0,ROWS(nombres[]),1))-ROW(OFFSET(nombres[],0,0,1,1))+1,ROW(OFFSET(nombres[],ROWS(nombres[])-1,0,1,1))+1),$O1544:$O1563),3),"")</f>
        <v/>
      </c>
      <c r="WW1544" s="42" t="str">
        <f t="array" aca="1" ref="WW1544" ca="1">IFERROR(INDEX(nombres[],SMALL(IF(OFFSET(nombres[],0,0,ROWS(nombres[]),1)=WW$1490,ROW(OFFSET(nombres[],0,0,ROWS(nombres[]),1))-ROW(OFFSET(nombres[],0,0,1,1))+1,ROW(OFFSET(nombres[],ROWS(nombres[])-1,0,1,1))+1),$O1544:$O1563),3),"")</f>
        <v/>
      </c>
      <c r="WX1544" s="42" t="str">
        <f t="array" aca="1" ref="WX1544" ca="1">IFERROR(INDEX(nombres[],SMALL(IF(OFFSET(nombres[],0,0,ROWS(nombres[]),1)=WX$1490,ROW(OFFSET(nombres[],0,0,ROWS(nombres[]),1))-ROW(OFFSET(nombres[],0,0,1,1))+1,ROW(OFFSET(nombres[],ROWS(nombres[])-1,0,1,1))+1),$O1544:$O1563),3),"")</f>
        <v/>
      </c>
      <c r="WY1544" s="42" t="str">
        <f t="array" aca="1" ref="WY1544" ca="1">IFERROR(INDEX(nombres[],SMALL(IF(OFFSET(nombres[],0,0,ROWS(nombres[]),1)=WY$1490,ROW(OFFSET(nombres[],0,0,ROWS(nombres[]),1))-ROW(OFFSET(nombres[],0,0,1,1))+1,ROW(OFFSET(nombres[],ROWS(nombres[])-1,0,1,1))+1),$O1544:$O1563),3),"")</f>
        <v/>
      </c>
      <c r="WZ1544" s="42" t="str">
        <f t="array" aca="1" ref="WZ1544" ca="1">IFERROR(INDEX(nombres[],SMALL(IF(OFFSET(nombres[],0,0,ROWS(nombres[]),1)=WZ$1490,ROW(OFFSET(nombres[],0,0,ROWS(nombres[]),1))-ROW(OFFSET(nombres[],0,0,1,1))+1,ROW(OFFSET(nombres[],ROWS(nombres[])-1,0,1,1))+1),$O1544:$O1563),3),"")</f>
        <v/>
      </c>
      <c r="XA1544" s="42" t="str">
        <f t="array" aca="1" ref="XA1544" ca="1">IFERROR(INDEX(nombres[],SMALL(IF(OFFSET(nombres[],0,0,ROWS(nombres[]),1)=XA$1490,ROW(OFFSET(nombres[],0,0,ROWS(nombres[]),1))-ROW(OFFSET(nombres[],0,0,1,1))+1,ROW(OFFSET(nombres[],ROWS(nombres[])-1,0,1,1))+1),$O1544:$O1563),3),"")</f>
        <v/>
      </c>
      <c r="XB1544" s="42" t="str">
        <f t="array" aca="1" ref="XB1544" ca="1">IFERROR(INDEX(nombres[],SMALL(IF(OFFSET(nombres[],0,0,ROWS(nombres[]),1)=XB$1490,ROW(OFFSET(nombres[],0,0,ROWS(nombres[]),1))-ROW(OFFSET(nombres[],0,0,1,1))+1,ROW(OFFSET(nombres[],ROWS(nombres[])-1,0,1,1))+1),$O1544:$O1563),3),"")</f>
        <v/>
      </c>
      <c r="XC1544" s="42" t="str">
        <f t="array" aca="1" ref="XC1544" ca="1">IFERROR(INDEX(nombres[],SMALL(IF(OFFSET(nombres[],0,0,ROWS(nombres[]),1)=XC$1490,ROW(OFFSET(nombres[],0,0,ROWS(nombres[]),1))-ROW(OFFSET(nombres[],0,0,1,1))+1,ROW(OFFSET(nombres[],ROWS(nombres[])-1,0,1,1))+1),$O1544:$O1563),3),"")</f>
        <v/>
      </c>
      <c r="XD1544" s="42" t="str">
        <f t="array" aca="1" ref="XD1544" ca="1">IFERROR(INDEX(nombres[],SMALL(IF(OFFSET(nombres[],0,0,ROWS(nombres[]),1)=XD$1490,ROW(OFFSET(nombres[],0,0,ROWS(nombres[]),1))-ROW(OFFSET(nombres[],0,0,1,1))+1,ROW(OFFSET(nombres[],ROWS(nombres[])-1,0,1,1))+1),$O1544:$O1563),3),"")</f>
        <v/>
      </c>
      <c r="XE1544" s="42" t="str">
        <f t="array" aca="1" ref="XE1544" ca="1">IFERROR(INDEX(nombres[],SMALL(IF(OFFSET(nombres[],0,0,ROWS(nombres[]),1)=XE$1490,ROW(OFFSET(nombres[],0,0,ROWS(nombres[]),1))-ROW(OFFSET(nombres[],0,0,1,1))+1,ROW(OFFSET(nombres[],ROWS(nombres[])-1,0,1,1))+1),$O1544:$O1563),3),"")</f>
        <v/>
      </c>
      <c r="XF1544" s="42" t="str">
        <f t="array" aca="1" ref="XF1544" ca="1">IFERROR(INDEX(nombres[],SMALL(IF(OFFSET(nombres[],0,0,ROWS(nombres[]),1)=XF$1490,ROW(OFFSET(nombres[],0,0,ROWS(nombres[]),1))-ROW(OFFSET(nombres[],0,0,1,1))+1,ROW(OFFSET(nombres[],ROWS(nombres[])-1,0,1,1))+1),$O1544:$O1563),3),"")</f>
        <v/>
      </c>
      <c r="XG1544" s="42" t="str">
        <f t="array" aca="1" ref="XG1544" ca="1">IFERROR(INDEX(nombres[],SMALL(IF(OFFSET(nombres[],0,0,ROWS(nombres[]),1)=XG$1490,ROW(OFFSET(nombres[],0,0,ROWS(nombres[]),1))-ROW(OFFSET(nombres[],0,0,1,1))+1,ROW(OFFSET(nombres[],ROWS(nombres[])-1,0,1,1))+1),$O1544:$O1563),3),"")</f>
        <v/>
      </c>
      <c r="XH1544" s="42" t="str">
        <f t="array" aca="1" ref="XH1544" ca="1">IFERROR(INDEX(nombres[],SMALL(IF(OFFSET(nombres[],0,0,ROWS(nombres[]),1)=XH$1490,ROW(OFFSET(nombres[],0,0,ROWS(nombres[]),1))-ROW(OFFSET(nombres[],0,0,1,1))+1,ROW(OFFSET(nombres[],ROWS(nombres[])-1,0,1,1))+1),$O1544:$O1563),3),"")</f>
        <v/>
      </c>
      <c r="XI1544" s="42" t="str">
        <f t="array" aca="1" ref="XI1544" ca="1">IFERROR(INDEX(nombres[],SMALL(IF(OFFSET(nombres[],0,0,ROWS(nombres[]),1)=XI$1490,ROW(OFFSET(nombres[],0,0,ROWS(nombres[]),1))-ROW(OFFSET(nombres[],0,0,1,1))+1,ROW(OFFSET(nombres[],ROWS(nombres[])-1,0,1,1))+1),$O1544:$O1563),3),"")</f>
        <v/>
      </c>
      <c r="XJ1544" s="42" t="str">
        <f t="array" aca="1" ref="XJ1544" ca="1">IFERROR(INDEX(nombres[],SMALL(IF(OFFSET(nombres[],0,0,ROWS(nombres[]),1)=XJ$1490,ROW(OFFSET(nombres[],0,0,ROWS(nombres[]),1))-ROW(OFFSET(nombres[],0,0,1,1))+1,ROW(OFFSET(nombres[],ROWS(nombres[])-1,0,1,1))+1),$O1544:$O1563),3),"")</f>
        <v/>
      </c>
      <c r="XK1544" s="42" t="str">
        <f t="array" aca="1" ref="XK1544" ca="1">IFERROR(INDEX(nombres[],SMALL(IF(OFFSET(nombres[],0,0,ROWS(nombres[]),1)=XK$1490,ROW(OFFSET(nombres[],0,0,ROWS(nombres[]),1))-ROW(OFFSET(nombres[],0,0,1,1))+1,ROW(OFFSET(nombres[],ROWS(nombres[])-1,0,1,1))+1),$O1544:$O1563),3),"")</f>
        <v/>
      </c>
      <c r="XL1544" s="42" t="str">
        <f t="array" aca="1" ref="XL1544" ca="1">IFERROR(INDEX(nombres[],SMALL(IF(OFFSET(nombres[],0,0,ROWS(nombres[]),1)=XL$1490,ROW(OFFSET(nombres[],0,0,ROWS(nombres[]),1))-ROW(OFFSET(nombres[],0,0,1,1))+1,ROW(OFFSET(nombres[],ROWS(nombres[])-1,0,1,1))+1),$O1544:$O1563),3),"")</f>
        <v/>
      </c>
      <c r="XM1544" s="42" t="str">
        <f t="array" aca="1" ref="XM1544" ca="1">IFERROR(INDEX(nombres[],SMALL(IF(OFFSET(nombres[],0,0,ROWS(nombres[]),1)=XM$1490,ROW(OFFSET(nombres[],0,0,ROWS(nombres[]),1))-ROW(OFFSET(nombres[],0,0,1,1))+1,ROW(OFFSET(nombres[],ROWS(nombres[])-1,0,1,1))+1),$O1544:$O1563),3),"")</f>
        <v/>
      </c>
      <c r="XN1544" s="42" t="str">
        <f t="array" aca="1" ref="XN1544" ca="1">IFERROR(INDEX(nombres[],SMALL(IF(OFFSET(nombres[],0,0,ROWS(nombres[]),1)=XN$1490,ROW(OFFSET(nombres[],0,0,ROWS(nombres[]),1))-ROW(OFFSET(nombres[],0,0,1,1))+1,ROW(OFFSET(nombres[],ROWS(nombres[])-1,0,1,1))+1),$O1544:$O1563),3),"")</f>
        <v/>
      </c>
      <c r="XO1544" s="42" t="str">
        <f t="array" aca="1" ref="XO1544" ca="1">IFERROR(INDEX(nombres[],SMALL(IF(OFFSET(nombres[],0,0,ROWS(nombres[]),1)=XO$1490,ROW(OFFSET(nombres[],0,0,ROWS(nombres[]),1))-ROW(OFFSET(nombres[],0,0,1,1))+1,ROW(OFFSET(nombres[],ROWS(nombres[])-1,0,1,1))+1),$O1544:$O1563),3),"")</f>
        <v/>
      </c>
      <c r="XP1544" s="42" t="str">
        <f t="array" aca="1" ref="XP1544" ca="1">IFERROR(INDEX(nombres[],SMALL(IF(OFFSET(nombres[],0,0,ROWS(nombres[]),1)=XP$1490,ROW(OFFSET(nombres[],0,0,ROWS(nombres[]),1))-ROW(OFFSET(nombres[],0,0,1,1))+1,ROW(OFFSET(nombres[],ROWS(nombres[])-1,0,1,1))+1),$O1544:$O1563),3),"")</f>
        <v/>
      </c>
      <c r="XQ1544" s="42" t="str">
        <f t="array" aca="1" ref="XQ1544" ca="1">IFERROR(INDEX(nombres[],SMALL(IF(OFFSET(nombres[],0,0,ROWS(nombres[]),1)=XQ$1490,ROW(OFFSET(nombres[],0,0,ROWS(nombres[]),1))-ROW(OFFSET(nombres[],0,0,1,1))+1,ROW(OFFSET(nombres[],ROWS(nombres[])-1,0,1,1))+1),$O1544:$O1563),3),"")</f>
        <v/>
      </c>
      <c r="XR1544" s="42" t="str">
        <f t="array" aca="1" ref="XR1544" ca="1">IFERROR(INDEX(nombres[],SMALL(IF(OFFSET(nombres[],0,0,ROWS(nombres[]),1)=XR$1490,ROW(OFFSET(nombres[],0,0,ROWS(nombres[]),1))-ROW(OFFSET(nombres[],0,0,1,1))+1,ROW(OFFSET(nombres[],ROWS(nombres[])-1,0,1,1))+1),$O1544:$O1563),3),"")</f>
        <v/>
      </c>
      <c r="XS1544" s="42" t="str">
        <f t="array" aca="1" ref="XS1544" ca="1">IFERROR(INDEX(nombres[],SMALL(IF(OFFSET(nombres[],0,0,ROWS(nombres[]),1)=XS$1490,ROW(OFFSET(nombres[],0,0,ROWS(nombres[]),1))-ROW(OFFSET(nombres[],0,0,1,1))+1,ROW(OFFSET(nombres[],ROWS(nombres[])-1,0,1,1))+1),$O1544:$O1563),3),"")</f>
        <v/>
      </c>
      <c r="XT1544" s="42" t="str">
        <f t="array" aca="1" ref="XT1544" ca="1">IFERROR(INDEX(nombres[],SMALL(IF(OFFSET(nombres[],0,0,ROWS(nombres[]),1)=XT$1490,ROW(OFFSET(nombres[],0,0,ROWS(nombres[]),1))-ROW(OFFSET(nombres[],0,0,1,1))+1,ROW(OFFSET(nombres[],ROWS(nombres[])-1,0,1,1))+1),$O1544:$O1563),3),"")</f>
        <v/>
      </c>
      <c r="XU1544" s="42" t="str">
        <f t="array" aca="1" ref="XU1544" ca="1">IFERROR(INDEX(nombres[],SMALL(IF(OFFSET(nombres[],0,0,ROWS(nombres[]),1)=XU$1490,ROW(OFFSET(nombres[],0,0,ROWS(nombres[]),1))-ROW(OFFSET(nombres[],0,0,1,1))+1,ROW(OFFSET(nombres[],ROWS(nombres[])-1,0,1,1))+1),$O1544:$O1563),3),"")</f>
        <v/>
      </c>
      <c r="XV1544" s="42" t="str">
        <f t="array" aca="1" ref="XV1544" ca="1">IFERROR(INDEX(nombres[],SMALL(IF(OFFSET(nombres[],0,0,ROWS(nombres[]),1)=XV$1490,ROW(OFFSET(nombres[],0,0,ROWS(nombres[]),1))-ROW(OFFSET(nombres[],0,0,1,1))+1,ROW(OFFSET(nombres[],ROWS(nombres[])-1,0,1,1))+1),$O1544:$O1563),3),"")</f>
        <v/>
      </c>
      <c r="XW1544" s="42" t="str">
        <f t="array" aca="1" ref="XW1544" ca="1">IFERROR(INDEX(nombres[],SMALL(IF(OFFSET(nombres[],0,0,ROWS(nombres[]),1)=XW$1490,ROW(OFFSET(nombres[],0,0,ROWS(nombres[]),1))-ROW(OFFSET(nombres[],0,0,1,1))+1,ROW(OFFSET(nombres[],ROWS(nombres[])-1,0,1,1))+1),$O1544:$O1563),3),"")</f>
        <v/>
      </c>
      <c r="XX1544" s="42" t="str">
        <f t="array" aca="1" ref="XX1544" ca="1">IFERROR(INDEX(nombres[],SMALL(IF(OFFSET(nombres[],0,0,ROWS(nombres[]),1)=XX$1490,ROW(OFFSET(nombres[],0,0,ROWS(nombres[]),1))-ROW(OFFSET(nombres[],0,0,1,1))+1,ROW(OFFSET(nombres[],ROWS(nombres[])-1,0,1,1))+1),$O1544:$O1563),3),"")</f>
        <v/>
      </c>
      <c r="XY1544" s="42" t="str">
        <f t="array" aca="1" ref="XY1544" ca="1">IFERROR(INDEX(nombres[],SMALL(IF(OFFSET(nombres[],0,0,ROWS(nombres[]),1)=XY$1490,ROW(OFFSET(nombres[],0,0,ROWS(nombres[]),1))-ROW(OFFSET(nombres[],0,0,1,1))+1,ROW(OFFSET(nombres[],ROWS(nombres[])-1,0,1,1))+1),$O1544:$O1563),3),"")</f>
        <v/>
      </c>
      <c r="XZ1544" s="42" t="str">
        <f t="array" aca="1" ref="XZ1544" ca="1">IFERROR(INDEX(nombres[],SMALL(IF(OFFSET(nombres[],0,0,ROWS(nombres[]),1)=XZ$1490,ROW(OFFSET(nombres[],0,0,ROWS(nombres[]),1))-ROW(OFFSET(nombres[],0,0,1,1))+1,ROW(OFFSET(nombres[],ROWS(nombres[])-1,0,1,1))+1),$O1544:$O1563),3),"")</f>
        <v/>
      </c>
      <c r="YA1544" s="42" t="str">
        <f t="array" aca="1" ref="YA1544" ca="1">IFERROR(INDEX(nombres[],SMALL(IF(OFFSET(nombres[],0,0,ROWS(nombres[]),1)=YA$1490,ROW(OFFSET(nombres[],0,0,ROWS(nombres[]),1))-ROW(OFFSET(nombres[],0,0,1,1))+1,ROW(OFFSET(nombres[],ROWS(nombres[])-1,0,1,1))+1),$O1544:$O1563),3),"")</f>
        <v/>
      </c>
      <c r="YB1544" s="42" t="str">
        <f t="array" aca="1" ref="YB1544" ca="1">IFERROR(INDEX(nombres[],SMALL(IF(OFFSET(nombres[],0,0,ROWS(nombres[]),1)=YB$1490,ROW(OFFSET(nombres[],0,0,ROWS(nombres[]),1))-ROW(OFFSET(nombres[],0,0,1,1))+1,ROW(OFFSET(nombres[],ROWS(nombres[])-1,0,1,1))+1),$O1544:$O1563),3),"")</f>
        <v/>
      </c>
      <c r="YC1544" s="42" t="str">
        <f t="array" aca="1" ref="YC1544" ca="1">IFERROR(INDEX(nombres[],SMALL(IF(OFFSET(nombres[],0,0,ROWS(nombres[]),1)=YC$1490,ROW(OFFSET(nombres[],0,0,ROWS(nombres[]),1))-ROW(OFFSET(nombres[],0,0,1,1))+1,ROW(OFFSET(nombres[],ROWS(nombres[])-1,0,1,1))+1),$O1544:$O1563),3),"")</f>
        <v/>
      </c>
      <c r="YD1544" s="42" t="str">
        <f t="array" aca="1" ref="YD1544" ca="1">IFERROR(INDEX(nombres[],SMALL(IF(OFFSET(nombres[],0,0,ROWS(nombres[]),1)=YD$1490,ROW(OFFSET(nombres[],0,0,ROWS(nombres[]),1))-ROW(OFFSET(nombres[],0,0,1,1))+1,ROW(OFFSET(nombres[],ROWS(nombres[])-1,0,1,1))+1),$O1544:$O1563),3),"")</f>
        <v/>
      </c>
      <c r="YE1544" s="42" t="str">
        <f t="array" aca="1" ref="YE1544" ca="1">IFERROR(INDEX(nombres[],SMALL(IF(OFFSET(nombres[],0,0,ROWS(nombres[]),1)=YE$1490,ROW(OFFSET(nombres[],0,0,ROWS(nombres[]),1))-ROW(OFFSET(nombres[],0,0,1,1))+1,ROW(OFFSET(nombres[],ROWS(nombres[])-1,0,1,1))+1),$O1544:$O1563),3),"")</f>
        <v/>
      </c>
      <c r="YF1544" s="42" t="str">
        <f t="array" aca="1" ref="YF1544" ca="1">IFERROR(INDEX(nombres[],SMALL(IF(OFFSET(nombres[],0,0,ROWS(nombres[]),1)=YF$1490,ROW(OFFSET(nombres[],0,0,ROWS(nombres[]),1))-ROW(OFFSET(nombres[],0,0,1,1))+1,ROW(OFFSET(nombres[],ROWS(nombres[])-1,0,1,1))+1),$O1544:$O1563),3),"")</f>
        <v/>
      </c>
      <c r="YG1544" s="42" t="str">
        <f t="array" aca="1" ref="YG1544" ca="1">IFERROR(INDEX(nombres[],SMALL(IF(OFFSET(nombres[],0,0,ROWS(nombres[]),1)=YG$1490,ROW(OFFSET(nombres[],0,0,ROWS(nombres[]),1))-ROW(OFFSET(nombres[],0,0,1,1))+1,ROW(OFFSET(nombres[],ROWS(nombres[])-1,0,1,1))+1),$O1544:$O1563),3),"")</f>
        <v/>
      </c>
      <c r="YH1544" s="42" t="str">
        <f t="array" aca="1" ref="YH1544" ca="1">IFERROR(INDEX(nombres[],SMALL(IF(OFFSET(nombres[],0,0,ROWS(nombres[]),1)=YH$1490,ROW(OFFSET(nombres[],0,0,ROWS(nombres[]),1))-ROW(OFFSET(nombres[],0,0,1,1))+1,ROW(OFFSET(nombres[],ROWS(nombres[])-1,0,1,1))+1),$O1544:$O1563),3),"")</f>
        <v/>
      </c>
      <c r="YI1544" s="42" t="str">
        <f t="array" aca="1" ref="YI1544" ca="1">IFERROR(INDEX(nombres[],SMALL(IF(OFFSET(nombres[],0,0,ROWS(nombres[]),1)=YI$1490,ROW(OFFSET(nombres[],0,0,ROWS(nombres[]),1))-ROW(OFFSET(nombres[],0,0,1,1))+1,ROW(OFFSET(nombres[],ROWS(nombres[])-1,0,1,1))+1),$O1544:$O1563),3),"")</f>
        <v/>
      </c>
      <c r="YJ1544" s="42" t="str">
        <f t="array" aca="1" ref="YJ1544" ca="1">IFERROR(INDEX(nombres[],SMALL(IF(OFFSET(nombres[],0,0,ROWS(nombres[]),1)=YJ$1490,ROW(OFFSET(nombres[],0,0,ROWS(nombres[]),1))-ROW(OFFSET(nombres[],0,0,1,1))+1,ROW(OFFSET(nombres[],ROWS(nombres[])-1,0,1,1))+1),$O1544:$O1563),3),"")</f>
        <v/>
      </c>
      <c r="YK1544" s="42" t="str">
        <f t="array" aca="1" ref="YK1544" ca="1">IFERROR(INDEX(nombres[],SMALL(IF(OFFSET(nombres[],0,0,ROWS(nombres[]),1)=YK$1490,ROW(OFFSET(nombres[],0,0,ROWS(nombres[]),1))-ROW(OFFSET(nombres[],0,0,1,1))+1,ROW(OFFSET(nombres[],ROWS(nombres[])-1,0,1,1))+1),$O1544:$O1563),3),"")</f>
        <v/>
      </c>
      <c r="YL1544" s="42" t="str">
        <f t="array" aca="1" ref="YL1544" ca="1">IFERROR(INDEX(nombres[],SMALL(IF(OFFSET(nombres[],0,0,ROWS(nombres[]),1)=YL$1490,ROW(OFFSET(nombres[],0,0,ROWS(nombres[]),1))-ROW(OFFSET(nombres[],0,0,1,1))+1,ROW(OFFSET(nombres[],ROWS(nombres[])-1,0,1,1))+1),$O1544:$O1563),3),"")</f>
        <v/>
      </c>
      <c r="YM1544" s="42" t="str">
        <f t="array" aca="1" ref="YM1544" ca="1">IFERROR(INDEX(nombres[],SMALL(IF(OFFSET(nombres[],0,0,ROWS(nombres[]),1)=YM$1490,ROW(OFFSET(nombres[],0,0,ROWS(nombres[]),1))-ROW(OFFSET(nombres[],0,0,1,1))+1,ROW(OFFSET(nombres[],ROWS(nombres[])-1,0,1,1))+1),$O1544:$O1563),3),"")</f>
        <v/>
      </c>
      <c r="YN1544" s="42" t="str">
        <f t="array" aca="1" ref="YN1544" ca="1">IFERROR(INDEX(nombres[],SMALL(IF(OFFSET(nombres[],0,0,ROWS(nombres[]),1)=YN$1490,ROW(OFFSET(nombres[],0,0,ROWS(nombres[]),1))-ROW(OFFSET(nombres[],0,0,1,1))+1,ROW(OFFSET(nombres[],ROWS(nombres[])-1,0,1,1))+1),$O1544:$O1563),3),"")</f>
        <v/>
      </c>
      <c r="YO1544" s="42" t="str">
        <f t="array" aca="1" ref="YO1544" ca="1">IFERROR(INDEX(nombres[],SMALL(IF(OFFSET(nombres[],0,0,ROWS(nombres[]),1)=YO$1490,ROW(OFFSET(nombres[],0,0,ROWS(nombres[]),1))-ROW(OFFSET(nombres[],0,0,1,1))+1,ROW(OFFSET(nombres[],ROWS(nombres[])-1,0,1,1))+1),$O1544:$O1563),3),"")</f>
        <v/>
      </c>
      <c r="YP1544" s="42" t="str">
        <f t="array" aca="1" ref="YP1544" ca="1">IFERROR(INDEX(nombres[],SMALL(IF(OFFSET(nombres[],0,0,ROWS(nombres[]),1)=YP$1490,ROW(OFFSET(nombres[],0,0,ROWS(nombres[]),1))-ROW(OFFSET(nombres[],0,0,1,1))+1,ROW(OFFSET(nombres[],ROWS(nombres[])-1,0,1,1))+1),$O1544:$O1563),3),"")</f>
        <v/>
      </c>
      <c r="YQ1544" s="42" t="str">
        <f t="array" aca="1" ref="YQ1544" ca="1">IFERROR(INDEX(nombres[],SMALL(IF(OFFSET(nombres[],0,0,ROWS(nombres[]),1)=YQ$1490,ROW(OFFSET(nombres[],0,0,ROWS(nombres[]),1))-ROW(OFFSET(nombres[],0,0,1,1))+1,ROW(OFFSET(nombres[],ROWS(nombres[])-1,0,1,1))+1),$O1544:$O1563),3),"")</f>
        <v/>
      </c>
      <c r="YR1544" s="42" t="str">
        <f t="array" aca="1" ref="YR1544" ca="1">IFERROR(INDEX(nombres[],SMALL(IF(OFFSET(nombres[],0,0,ROWS(nombres[]),1)=YR$1490,ROW(OFFSET(nombres[],0,0,ROWS(nombres[]),1))-ROW(OFFSET(nombres[],0,0,1,1))+1,ROW(OFFSET(nombres[],ROWS(nombres[])-1,0,1,1))+1),$O1544:$O1563),3),"")</f>
        <v/>
      </c>
      <c r="YS1544" s="42" t="str">
        <f t="array" aca="1" ref="YS1544" ca="1">IFERROR(INDEX(nombres[],SMALL(IF(OFFSET(nombres[],0,0,ROWS(nombres[]),1)=YS$1490,ROW(OFFSET(nombres[],0,0,ROWS(nombres[]),1))-ROW(OFFSET(nombres[],0,0,1,1))+1,ROW(OFFSET(nombres[],ROWS(nombres[])-1,0,1,1))+1),$O1544:$O1563),3),"")</f>
        <v/>
      </c>
      <c r="YT1544" s="42" t="str">
        <f t="array" aca="1" ref="YT1544" ca="1">IFERROR(INDEX(nombres[],SMALL(IF(OFFSET(nombres[],0,0,ROWS(nombres[]),1)=YT$1490,ROW(OFFSET(nombres[],0,0,ROWS(nombres[]),1))-ROW(OFFSET(nombres[],0,0,1,1))+1,ROW(OFFSET(nombres[],ROWS(nombres[])-1,0,1,1))+1),$O1544:$O1563),3),"")</f>
        <v/>
      </c>
      <c r="YU1544" s="42" t="str">
        <f t="array" aca="1" ref="YU1544" ca="1">IFERROR(INDEX(nombres[],SMALL(IF(OFFSET(nombres[],0,0,ROWS(nombres[]),1)=YU$1490,ROW(OFFSET(nombres[],0,0,ROWS(nombres[]),1))-ROW(OFFSET(nombres[],0,0,1,1))+1,ROW(OFFSET(nombres[],ROWS(nombres[])-1,0,1,1))+1),$O1544:$O1563),3),"")</f>
        <v/>
      </c>
      <c r="YV1544" s="42" t="str">
        <f t="array" aca="1" ref="YV1544" ca="1">IFERROR(INDEX(nombres[],SMALL(IF(OFFSET(nombres[],0,0,ROWS(nombres[]),1)=YV$1490,ROW(OFFSET(nombres[],0,0,ROWS(nombres[]),1))-ROW(OFFSET(nombres[],0,0,1,1))+1,ROW(OFFSET(nombres[],ROWS(nombres[])-1,0,1,1))+1),$O1544:$O1563),3),"")</f>
        <v/>
      </c>
      <c r="YW1544" s="42" t="str">
        <f t="array" aca="1" ref="YW1544" ca="1">IFERROR(INDEX(nombres[],SMALL(IF(OFFSET(nombres[],0,0,ROWS(nombres[]),1)=YW$1490,ROW(OFFSET(nombres[],0,0,ROWS(nombres[]),1))-ROW(OFFSET(nombres[],0,0,1,1))+1,ROW(OFFSET(nombres[],ROWS(nombres[])-1,0,1,1))+1),$O1544:$O1563),3),"")</f>
        <v/>
      </c>
      <c r="YX1544" s="42" t="str">
        <f t="array" aca="1" ref="YX1544" ca="1">IFERROR(INDEX(nombres[],SMALL(IF(OFFSET(nombres[],0,0,ROWS(nombres[]),1)=YX$1490,ROW(OFFSET(nombres[],0,0,ROWS(nombres[]),1))-ROW(OFFSET(nombres[],0,0,1,1))+1,ROW(OFFSET(nombres[],ROWS(nombres[])-1,0,1,1))+1),$O1544:$O1563),3),"")</f>
        <v/>
      </c>
      <c r="YY1544" s="42" t="str">
        <f t="array" aca="1" ref="YY1544" ca="1">IFERROR(INDEX(nombres[],SMALL(IF(OFFSET(nombres[],0,0,ROWS(nombres[]),1)=YY$1490,ROW(OFFSET(nombres[],0,0,ROWS(nombres[]),1))-ROW(OFFSET(nombres[],0,0,1,1))+1,ROW(OFFSET(nombres[],ROWS(nombres[])-1,0,1,1))+1),$O1544:$O1563),3),"")</f>
        <v/>
      </c>
      <c r="YZ1544" s="42" t="str">
        <f t="array" aca="1" ref="YZ1544" ca="1">IFERROR(INDEX(nombres[],SMALL(IF(OFFSET(nombres[],0,0,ROWS(nombres[]),1)=YZ$1490,ROW(OFFSET(nombres[],0,0,ROWS(nombres[]),1))-ROW(OFFSET(nombres[],0,0,1,1))+1,ROW(OFFSET(nombres[],ROWS(nombres[])-1,0,1,1))+1),$O1544:$O1563),3),"")</f>
        <v/>
      </c>
      <c r="ZA1544" s="42" t="str">
        <f t="array" aca="1" ref="ZA1544" ca="1">IFERROR(INDEX(nombres[],SMALL(IF(OFFSET(nombres[],0,0,ROWS(nombres[]),1)=ZA$1490,ROW(OFFSET(nombres[],0,0,ROWS(nombres[]),1))-ROW(OFFSET(nombres[],0,0,1,1))+1,ROW(OFFSET(nombres[],ROWS(nombres[])-1,0,1,1))+1),$O1544:$O1563),3),"")</f>
        <v/>
      </c>
      <c r="ZB1544" s="42" t="str">
        <f t="array" aca="1" ref="ZB1544" ca="1">IFERROR(INDEX(nombres[],SMALL(IF(OFFSET(nombres[],0,0,ROWS(nombres[]),1)=ZB$1490,ROW(OFFSET(nombres[],0,0,ROWS(nombres[]),1))-ROW(OFFSET(nombres[],0,0,1,1))+1,ROW(OFFSET(nombres[],ROWS(nombres[])-1,0,1,1))+1),$O1544:$O1563),3),"")</f>
        <v/>
      </c>
      <c r="ZC1544" s="42" t="str">
        <f t="array" aca="1" ref="ZC1544" ca="1">IFERROR(INDEX(nombres[],SMALL(IF(OFFSET(nombres[],0,0,ROWS(nombres[]),1)=ZC$1490,ROW(OFFSET(nombres[],0,0,ROWS(nombres[]),1))-ROW(OFFSET(nombres[],0,0,1,1))+1,ROW(OFFSET(nombres[],ROWS(nombres[])-1,0,1,1))+1),$O1544:$O1563),3),"")</f>
        <v/>
      </c>
      <c r="ZD1544" s="42" t="str">
        <f t="array" aca="1" ref="ZD1544" ca="1">IFERROR(INDEX(nombres[],SMALL(IF(OFFSET(nombres[],0,0,ROWS(nombres[]),1)=ZD$1490,ROW(OFFSET(nombres[],0,0,ROWS(nombres[]),1))-ROW(OFFSET(nombres[],0,0,1,1))+1,ROW(OFFSET(nombres[],ROWS(nombres[])-1,0,1,1))+1),$O1544:$O1563),3),"")</f>
        <v/>
      </c>
      <c r="ZE1544" s="42" t="str">
        <f t="array" aca="1" ref="ZE1544" ca="1">IFERROR(INDEX(nombres[],SMALL(IF(OFFSET(nombres[],0,0,ROWS(nombres[]),1)=ZE$1490,ROW(OFFSET(nombres[],0,0,ROWS(nombres[]),1))-ROW(OFFSET(nombres[],0,0,1,1))+1,ROW(OFFSET(nombres[],ROWS(nombres[])-1,0,1,1))+1),$O1544:$O1563),3),"")</f>
        <v/>
      </c>
      <c r="ZF1544" s="42" t="str">
        <f t="array" aca="1" ref="ZF1544" ca="1">IFERROR(INDEX(nombres[],SMALL(IF(OFFSET(nombres[],0,0,ROWS(nombres[]),1)=ZF$1490,ROW(OFFSET(nombres[],0,0,ROWS(nombres[]),1))-ROW(OFFSET(nombres[],0,0,1,1))+1,ROW(OFFSET(nombres[],ROWS(nombres[])-1,0,1,1))+1),$O1544:$O1563),3),"")</f>
        <v/>
      </c>
      <c r="ZG1544" s="42" t="str">
        <f t="array" aca="1" ref="ZG1544" ca="1">IFERROR(INDEX(nombres[],SMALL(IF(OFFSET(nombres[],0,0,ROWS(nombres[]),1)=ZG$1490,ROW(OFFSET(nombres[],0,0,ROWS(nombres[]),1))-ROW(OFFSET(nombres[],0,0,1,1))+1,ROW(OFFSET(nombres[],ROWS(nombres[])-1,0,1,1))+1),$O1544:$O1563),3),"")</f>
        <v/>
      </c>
      <c r="ZH1544" s="42" t="str">
        <f t="array" aca="1" ref="ZH1544" ca="1">IFERROR(INDEX(nombres[],SMALL(IF(OFFSET(nombres[],0,0,ROWS(nombres[]),1)=ZH$1490,ROW(OFFSET(nombres[],0,0,ROWS(nombres[]),1))-ROW(OFFSET(nombres[],0,0,1,1))+1,ROW(OFFSET(nombres[],ROWS(nombres[])-1,0,1,1))+1),$O1544:$O1563),3),"")</f>
        <v/>
      </c>
      <c r="ZI1544" s="42" t="str">
        <f t="array" aca="1" ref="ZI1544" ca="1">IFERROR(INDEX(nombres[],SMALL(IF(OFFSET(nombres[],0,0,ROWS(nombres[]),1)=ZI$1490,ROW(OFFSET(nombres[],0,0,ROWS(nombres[]),1))-ROW(OFFSET(nombres[],0,0,1,1))+1,ROW(OFFSET(nombres[],ROWS(nombres[])-1,0,1,1))+1),$O1544:$O1563),3),"")</f>
        <v/>
      </c>
      <c r="ZJ1544" s="42" t="str">
        <f t="array" aca="1" ref="ZJ1544" ca="1">IFERROR(INDEX(nombres[],SMALL(IF(OFFSET(nombres[],0,0,ROWS(nombres[]),1)=ZJ$1490,ROW(OFFSET(nombres[],0,0,ROWS(nombres[]),1))-ROW(OFFSET(nombres[],0,0,1,1))+1,ROW(OFFSET(nombres[],ROWS(nombres[])-1,0,1,1))+1),$O1544:$O1563),3),"")</f>
        <v/>
      </c>
      <c r="ZK1544" s="42" t="str">
        <f t="array" aca="1" ref="ZK1544" ca="1">IFERROR(INDEX(nombres[],SMALL(IF(OFFSET(nombres[],0,0,ROWS(nombres[]),1)=ZK$1490,ROW(OFFSET(nombres[],0,0,ROWS(nombres[]),1))-ROW(OFFSET(nombres[],0,0,1,1))+1,ROW(OFFSET(nombres[],ROWS(nombres[])-1,0,1,1))+1),$O1544:$O1563),3),"")</f>
        <v/>
      </c>
      <c r="ZL1544" s="42" t="str">
        <f t="array" aca="1" ref="ZL1544" ca="1">IFERROR(INDEX(nombres[],SMALL(IF(OFFSET(nombres[],0,0,ROWS(nombres[]),1)=ZL$1490,ROW(OFFSET(nombres[],0,0,ROWS(nombres[]),1))-ROW(OFFSET(nombres[],0,0,1,1))+1,ROW(OFFSET(nombres[],ROWS(nombres[])-1,0,1,1))+1),$O1544:$O1563),3),"")</f>
        <v/>
      </c>
      <c r="ZM1544" s="42" t="str">
        <f t="array" aca="1" ref="ZM1544" ca="1">IFERROR(INDEX(nombres[],SMALL(IF(OFFSET(nombres[],0,0,ROWS(nombres[]),1)=ZM$1490,ROW(OFFSET(nombres[],0,0,ROWS(nombres[]),1))-ROW(OFFSET(nombres[],0,0,1,1))+1,ROW(OFFSET(nombres[],ROWS(nombres[])-1,0,1,1))+1),$O1544:$O1563),3),"")</f>
        <v/>
      </c>
      <c r="ZN1544" s="42" t="str">
        <f t="array" aca="1" ref="ZN1544" ca="1">IFERROR(INDEX(nombres[],SMALL(IF(OFFSET(nombres[],0,0,ROWS(nombres[]),1)=ZN$1490,ROW(OFFSET(nombres[],0,0,ROWS(nombres[]),1))-ROW(OFFSET(nombres[],0,0,1,1))+1,ROW(OFFSET(nombres[],ROWS(nombres[])-1,0,1,1))+1),$O1544:$O1563),3),"")</f>
        <v/>
      </c>
      <c r="ZO1544" s="42" t="str">
        <f t="array" aca="1" ref="ZO1544" ca="1">IFERROR(INDEX(nombres[],SMALL(IF(OFFSET(nombres[],0,0,ROWS(nombres[]),1)=ZO$1490,ROW(OFFSET(nombres[],0,0,ROWS(nombres[]),1))-ROW(OFFSET(nombres[],0,0,1,1))+1,ROW(OFFSET(nombres[],ROWS(nombres[])-1,0,1,1))+1),$O1544:$O1563),3),"")</f>
        <v/>
      </c>
      <c r="ZP1544" s="42" t="str">
        <f t="array" aca="1" ref="ZP1544" ca="1">IFERROR(INDEX(nombres[],SMALL(IF(OFFSET(nombres[],0,0,ROWS(nombres[]),1)=ZP$1490,ROW(OFFSET(nombres[],0,0,ROWS(nombres[]),1))-ROW(OFFSET(nombres[],0,0,1,1))+1,ROW(OFFSET(nombres[],ROWS(nombres[])-1,0,1,1))+1),$O1544:$O1563),3),"")</f>
        <v/>
      </c>
      <c r="ZQ1544" s="42" t="str">
        <f t="array" aca="1" ref="ZQ1544" ca="1">IFERROR(INDEX(nombres[],SMALL(IF(OFFSET(nombres[],0,0,ROWS(nombres[]),1)=ZQ$1490,ROW(OFFSET(nombres[],0,0,ROWS(nombres[]),1))-ROW(OFFSET(nombres[],0,0,1,1))+1,ROW(OFFSET(nombres[],ROWS(nombres[])-1,0,1,1))+1),$O1544:$O1563),3),"")</f>
        <v/>
      </c>
      <c r="ZR1544" s="42" t="str">
        <f t="array" aca="1" ref="ZR1544" ca="1">IFERROR(INDEX(nombres[],SMALL(IF(OFFSET(nombres[],0,0,ROWS(nombres[]),1)=ZR$1490,ROW(OFFSET(nombres[],0,0,ROWS(nombres[]),1))-ROW(OFFSET(nombres[],0,0,1,1))+1,ROW(OFFSET(nombres[],ROWS(nombres[])-1,0,1,1))+1),$O1544:$O1563),3),"")</f>
        <v/>
      </c>
      <c r="ZS1544" s="42" t="str">
        <f t="array" aca="1" ref="ZS1544" ca="1">IFERROR(INDEX(nombres[],SMALL(IF(OFFSET(nombres[],0,0,ROWS(nombres[]),1)=ZS$1490,ROW(OFFSET(nombres[],0,0,ROWS(nombres[]),1))-ROW(OFFSET(nombres[],0,0,1,1))+1,ROW(OFFSET(nombres[],ROWS(nombres[])-1,0,1,1))+1),$O1544:$O1563),3),"")</f>
        <v/>
      </c>
      <c r="ZT1544" s="42" t="str">
        <f t="array" aca="1" ref="ZT1544" ca="1">IFERROR(INDEX(nombres[],SMALL(IF(OFFSET(nombres[],0,0,ROWS(nombres[]),1)=ZT$1490,ROW(OFFSET(nombres[],0,0,ROWS(nombres[]),1))-ROW(OFFSET(nombres[],0,0,1,1))+1,ROW(OFFSET(nombres[],ROWS(nombres[])-1,0,1,1))+1),$O1544:$O1563),3),"")</f>
        <v/>
      </c>
      <c r="ZU1544" s="42" t="str">
        <f t="array" aca="1" ref="ZU1544" ca="1">IFERROR(INDEX(nombres[],SMALL(IF(OFFSET(nombres[],0,0,ROWS(nombres[]),1)=ZU$1490,ROW(OFFSET(nombres[],0,0,ROWS(nombres[]),1))-ROW(OFFSET(nombres[],0,0,1,1))+1,ROW(OFFSET(nombres[],ROWS(nombres[])-1,0,1,1))+1),$O1544:$O1563),3),"")</f>
        <v/>
      </c>
      <c r="ZV1544" s="42" t="str">
        <f t="array" aca="1" ref="ZV1544" ca="1">IFERROR(INDEX(nombres[],SMALL(IF(OFFSET(nombres[],0,0,ROWS(nombres[]),1)=ZV$1490,ROW(OFFSET(nombres[],0,0,ROWS(nombres[]),1))-ROW(OFFSET(nombres[],0,0,1,1))+1,ROW(OFFSET(nombres[],ROWS(nombres[])-1,0,1,1))+1),$O1544:$O1563),3),"")</f>
        <v/>
      </c>
      <c r="ZW1544" s="42" t="str">
        <f t="array" aca="1" ref="ZW1544" ca="1">IFERROR(INDEX(nombres[],SMALL(IF(OFFSET(nombres[],0,0,ROWS(nombres[]),1)=ZW$1490,ROW(OFFSET(nombres[],0,0,ROWS(nombres[]),1))-ROW(OFFSET(nombres[],0,0,1,1))+1,ROW(OFFSET(nombres[],ROWS(nombres[])-1,0,1,1))+1),$O1544:$O1563),3),"")</f>
        <v/>
      </c>
      <c r="ZX1544" s="42" t="str">
        <f t="array" aca="1" ref="ZX1544" ca="1">IFERROR(INDEX(nombres[],SMALL(IF(OFFSET(nombres[],0,0,ROWS(nombres[]),1)=ZX$1490,ROW(OFFSET(nombres[],0,0,ROWS(nombres[]),1))-ROW(OFFSET(nombres[],0,0,1,1))+1,ROW(OFFSET(nombres[],ROWS(nombres[])-1,0,1,1))+1),$O1544:$O1563),3),"")</f>
        <v/>
      </c>
      <c r="ZY1544" s="42" t="str">
        <f t="array" aca="1" ref="ZY1544" ca="1">IFERROR(INDEX(nombres[],SMALL(IF(OFFSET(nombres[],0,0,ROWS(nombres[]),1)=ZY$1490,ROW(OFFSET(nombres[],0,0,ROWS(nombres[]),1))-ROW(OFFSET(nombres[],0,0,1,1))+1,ROW(OFFSET(nombres[],ROWS(nombres[])-1,0,1,1))+1),$O1544:$O1563),3),"")</f>
        <v/>
      </c>
      <c r="ZZ1544" s="42" t="str">
        <f t="array" aca="1" ref="ZZ1544" ca="1">IFERROR(INDEX(nombres[],SMALL(IF(OFFSET(nombres[],0,0,ROWS(nombres[]),1)=ZZ$1490,ROW(OFFSET(nombres[],0,0,ROWS(nombres[]),1))-ROW(OFFSET(nombres[],0,0,1,1))+1,ROW(OFFSET(nombres[],ROWS(nombres[])-1,0,1,1))+1),$O1544:$O1563),3),"")</f>
        <v/>
      </c>
      <c r="AAA1544" s="42" t="str">
        <f t="array" aca="1" ref="AAA1544" ca="1">IFERROR(INDEX(nombres[],SMALL(IF(OFFSET(nombres[],0,0,ROWS(nombres[]),1)=AAA$1490,ROW(OFFSET(nombres[],0,0,ROWS(nombres[]),1))-ROW(OFFSET(nombres[],0,0,1,1))+1,ROW(OFFSET(nombres[],ROWS(nombres[])-1,0,1,1))+1),$O1544:$O1563),3),"")</f>
        <v/>
      </c>
      <c r="AAB1544" s="42" t="str">
        <f t="array" aca="1" ref="AAB1544" ca="1">IFERROR(INDEX(nombres[],SMALL(IF(OFFSET(nombres[],0,0,ROWS(nombres[]),1)=AAB$1490,ROW(OFFSET(nombres[],0,0,ROWS(nombres[]),1))-ROW(OFFSET(nombres[],0,0,1,1))+1,ROW(OFFSET(nombres[],ROWS(nombres[])-1,0,1,1))+1),$O1544:$O1563),3),"")</f>
        <v/>
      </c>
      <c r="AAC1544" s="42" t="str">
        <f t="array" aca="1" ref="AAC1544" ca="1">IFERROR(INDEX(nombres[],SMALL(IF(OFFSET(nombres[],0,0,ROWS(nombres[]),1)=AAC$1490,ROW(OFFSET(nombres[],0,0,ROWS(nombres[]),1))-ROW(OFFSET(nombres[],0,0,1,1))+1,ROW(OFFSET(nombres[],ROWS(nombres[])-1,0,1,1))+1),$O1544:$O1563),3),"")</f>
        <v/>
      </c>
      <c r="AAD1544" s="42" t="str">
        <f t="array" aca="1" ref="AAD1544" ca="1">IFERROR(INDEX(nombres[],SMALL(IF(OFFSET(nombres[],0,0,ROWS(nombres[]),1)=AAD$1490,ROW(OFFSET(nombres[],0,0,ROWS(nombres[]),1))-ROW(OFFSET(nombres[],0,0,1,1))+1,ROW(OFFSET(nombres[],ROWS(nombres[])-1,0,1,1))+1),$O1544:$O1563),3),"")</f>
        <v/>
      </c>
      <c r="AAE1544" s="42" t="str">
        <f t="array" aca="1" ref="AAE1544" ca="1">IFERROR(INDEX(nombres[],SMALL(IF(OFFSET(nombres[],0,0,ROWS(nombres[]),1)=AAE$1490,ROW(OFFSET(nombres[],0,0,ROWS(nombres[]),1))-ROW(OFFSET(nombres[],0,0,1,1))+1,ROW(OFFSET(nombres[],ROWS(nombres[])-1,0,1,1))+1),$O1544:$O1563),3),"")</f>
        <v/>
      </c>
      <c r="AAF1544" s="42" t="str">
        <f t="array" aca="1" ref="AAF1544" ca="1">IFERROR(INDEX(nombres[],SMALL(IF(OFFSET(nombres[],0,0,ROWS(nombres[]),1)=AAF$1490,ROW(OFFSET(nombres[],0,0,ROWS(nombres[]),1))-ROW(OFFSET(nombres[],0,0,1,1))+1,ROW(OFFSET(nombres[],ROWS(nombres[])-1,0,1,1))+1),$O1544:$O1563),3),"")</f>
        <v/>
      </c>
      <c r="AAG1544" s="42" t="str">
        <f t="array" aca="1" ref="AAG1544" ca="1">IFERROR(INDEX(nombres[],SMALL(IF(OFFSET(nombres[],0,0,ROWS(nombres[]),1)=AAG$1490,ROW(OFFSET(nombres[],0,0,ROWS(nombres[]),1))-ROW(OFFSET(nombres[],0,0,1,1))+1,ROW(OFFSET(nombres[],ROWS(nombres[])-1,0,1,1))+1),$O1544:$O1563),3),"")</f>
        <v/>
      </c>
      <c r="AAH1544" s="42" t="str">
        <f t="array" aca="1" ref="AAH1544" ca="1">IFERROR(INDEX(nombres[],SMALL(IF(OFFSET(nombres[],0,0,ROWS(nombres[]),1)=AAH$1490,ROW(OFFSET(nombres[],0,0,ROWS(nombres[]),1))-ROW(OFFSET(nombres[],0,0,1,1))+1,ROW(OFFSET(nombres[],ROWS(nombres[])-1,0,1,1))+1),$O1544:$O1563),3),"")</f>
        <v/>
      </c>
      <c r="AAI1544" s="42" t="str">
        <f t="array" aca="1" ref="AAI1544" ca="1">IFERROR(INDEX(nombres[],SMALL(IF(OFFSET(nombres[],0,0,ROWS(nombres[]),1)=AAI$1490,ROW(OFFSET(nombres[],0,0,ROWS(nombres[]),1))-ROW(OFFSET(nombres[],0,0,1,1))+1,ROW(OFFSET(nombres[],ROWS(nombres[])-1,0,1,1))+1),$O1544:$O1563),3),"")</f>
        <v/>
      </c>
      <c r="AAJ1544" s="42" t="str">
        <f t="array" aca="1" ref="AAJ1544" ca="1">IFERROR(INDEX(nombres[],SMALL(IF(OFFSET(nombres[],0,0,ROWS(nombres[]),1)=AAJ$1490,ROW(OFFSET(nombres[],0,0,ROWS(nombres[]),1))-ROW(OFFSET(nombres[],0,0,1,1))+1,ROW(OFFSET(nombres[],ROWS(nombres[])-1,0,1,1))+1),$O1544:$O1563),3),"")</f>
        <v/>
      </c>
      <c r="AAK1544" s="42" t="str">
        <f t="array" aca="1" ref="AAK1544" ca="1">IFERROR(INDEX(nombres[],SMALL(IF(OFFSET(nombres[],0,0,ROWS(nombres[]),1)=AAK$1490,ROW(OFFSET(nombres[],0,0,ROWS(nombres[]),1))-ROW(OFFSET(nombres[],0,0,1,1))+1,ROW(OFFSET(nombres[],ROWS(nombres[])-1,0,1,1))+1),$O1544:$O1563),3),"")</f>
        <v/>
      </c>
      <c r="AAL1544" s="42" t="str">
        <f t="array" aca="1" ref="AAL1544" ca="1">IFERROR(INDEX(nombres[],SMALL(IF(OFFSET(nombres[],0,0,ROWS(nombres[]),1)=AAL$1490,ROW(OFFSET(nombres[],0,0,ROWS(nombres[]),1))-ROW(OFFSET(nombres[],0,0,1,1))+1,ROW(OFFSET(nombres[],ROWS(nombres[])-1,0,1,1))+1),$O1544:$O1563),3),"")</f>
        <v/>
      </c>
      <c r="AAM1544" s="42" t="str">
        <f t="array" aca="1" ref="AAM1544" ca="1">IFERROR(INDEX(nombres[],SMALL(IF(OFFSET(nombres[],0,0,ROWS(nombres[]),1)=AAM$1490,ROW(OFFSET(nombres[],0,0,ROWS(nombres[]),1))-ROW(OFFSET(nombres[],0,0,1,1))+1,ROW(OFFSET(nombres[],ROWS(nombres[])-1,0,1,1))+1),$O1544:$O1563),3),"")</f>
        <v/>
      </c>
      <c r="AAN1544" s="42" t="str">
        <f t="array" aca="1" ref="AAN1544" ca="1">IFERROR(INDEX(nombres[],SMALL(IF(OFFSET(nombres[],0,0,ROWS(nombres[]),1)=AAN$1490,ROW(OFFSET(nombres[],0,0,ROWS(nombres[]),1))-ROW(OFFSET(nombres[],0,0,1,1))+1,ROW(OFFSET(nombres[],ROWS(nombres[])-1,0,1,1))+1),$O1544:$O1563),3),"")</f>
        <v/>
      </c>
      <c r="AAO1544" s="42" t="str">
        <f t="array" aca="1" ref="AAO1544" ca="1">IFERROR(INDEX(nombres[],SMALL(IF(OFFSET(nombres[],0,0,ROWS(nombres[]),1)=AAO$1490,ROW(OFFSET(nombres[],0,0,ROWS(nombres[]),1))-ROW(OFFSET(nombres[],0,0,1,1))+1,ROW(OFFSET(nombres[],ROWS(nombres[])-1,0,1,1))+1),$O1544:$O1563),3),"")</f>
        <v/>
      </c>
      <c r="AAP1544" s="42" t="str">
        <f t="array" aca="1" ref="AAP1544" ca="1">IFERROR(INDEX(nombres[],SMALL(IF(OFFSET(nombres[],0,0,ROWS(nombres[]),1)=AAP$1490,ROW(OFFSET(nombres[],0,0,ROWS(nombres[]),1))-ROW(OFFSET(nombres[],0,0,1,1))+1,ROW(OFFSET(nombres[],ROWS(nombres[])-1,0,1,1))+1),$O1544:$O1563),3),"")</f>
        <v/>
      </c>
      <c r="AAQ1544" s="42" t="str">
        <f t="array" aca="1" ref="AAQ1544" ca="1">IFERROR(INDEX(nombres[],SMALL(IF(OFFSET(nombres[],0,0,ROWS(nombres[]),1)=AAQ$1490,ROW(OFFSET(nombres[],0,0,ROWS(nombres[]),1))-ROW(OFFSET(nombres[],0,0,1,1))+1,ROW(OFFSET(nombres[],ROWS(nombres[])-1,0,1,1))+1),$O1544:$O1563),3),"")</f>
        <v/>
      </c>
      <c r="AAR1544" s="42" t="str">
        <f t="array" aca="1" ref="AAR1544" ca="1">IFERROR(INDEX(nombres[],SMALL(IF(OFFSET(nombres[],0,0,ROWS(nombres[]),1)=AAR$1490,ROW(OFFSET(nombres[],0,0,ROWS(nombres[]),1))-ROW(OFFSET(nombres[],0,0,1,1))+1,ROW(OFFSET(nombres[],ROWS(nombres[])-1,0,1,1))+1),$O1544:$O1563),3),"")</f>
        <v/>
      </c>
      <c r="AAS1544" s="42" t="str">
        <f t="array" aca="1" ref="AAS1544" ca="1">IFERROR(INDEX(nombres[],SMALL(IF(OFFSET(nombres[],0,0,ROWS(nombres[]),1)=AAS$1490,ROW(OFFSET(nombres[],0,0,ROWS(nombres[]),1))-ROW(OFFSET(nombres[],0,0,1,1))+1,ROW(OFFSET(nombres[],ROWS(nombres[])-1,0,1,1))+1),$O1544:$O1563),3),"")</f>
        <v/>
      </c>
      <c r="AAT1544" s="42" t="str">
        <f t="array" aca="1" ref="AAT1544" ca="1">IFERROR(INDEX(nombres[],SMALL(IF(OFFSET(nombres[],0,0,ROWS(nombres[]),1)=AAT$1490,ROW(OFFSET(nombres[],0,0,ROWS(nombres[]),1))-ROW(OFFSET(nombres[],0,0,1,1))+1,ROW(OFFSET(nombres[],ROWS(nombres[])-1,0,1,1))+1),$O1544:$O1563),3),"")</f>
        <v/>
      </c>
      <c r="AAU1544" s="42" t="str">
        <f t="array" aca="1" ref="AAU1544" ca="1">IFERROR(INDEX(nombres[],SMALL(IF(OFFSET(nombres[],0,0,ROWS(nombres[]),1)=AAU$1490,ROW(OFFSET(nombres[],0,0,ROWS(nombres[]),1))-ROW(OFFSET(nombres[],0,0,1,1))+1,ROW(OFFSET(nombres[],ROWS(nombres[])-1,0,1,1))+1),$O1544:$O1563),3),"")</f>
        <v/>
      </c>
      <c r="AAV1544" s="42" t="str">
        <f t="array" aca="1" ref="AAV1544" ca="1">IFERROR(INDEX(nombres[],SMALL(IF(OFFSET(nombres[],0,0,ROWS(nombres[]),1)=AAV$1490,ROW(OFFSET(nombres[],0,0,ROWS(nombres[]),1))-ROW(OFFSET(nombres[],0,0,1,1))+1,ROW(OFFSET(nombres[],ROWS(nombres[])-1,0,1,1))+1),$O1544:$O1563),3),"")</f>
        <v/>
      </c>
      <c r="AAW1544" s="42" t="str">
        <f t="array" aca="1" ref="AAW1544" ca="1">IFERROR(INDEX(nombres[],SMALL(IF(OFFSET(nombres[],0,0,ROWS(nombres[]),1)=AAW$1490,ROW(OFFSET(nombres[],0,0,ROWS(nombres[]),1))-ROW(OFFSET(nombres[],0,0,1,1))+1,ROW(OFFSET(nombres[],ROWS(nombres[])-1,0,1,1))+1),$O1544:$O1563),3),"")</f>
        <v/>
      </c>
      <c r="AAX1544" s="42" t="str">
        <f t="array" aca="1" ref="AAX1544" ca="1">IFERROR(INDEX(nombres[],SMALL(IF(OFFSET(nombres[],0,0,ROWS(nombres[]),1)=AAX$1490,ROW(OFFSET(nombres[],0,0,ROWS(nombres[]),1))-ROW(OFFSET(nombres[],0,0,1,1))+1,ROW(OFFSET(nombres[],ROWS(nombres[])-1,0,1,1))+1),$O1544:$O1563),3),"")</f>
        <v/>
      </c>
      <c r="AAY1544" s="42" t="str">
        <f t="array" aca="1" ref="AAY1544" ca="1">IFERROR(INDEX(nombres[],SMALL(IF(OFFSET(nombres[],0,0,ROWS(nombres[]),1)=AAY$1490,ROW(OFFSET(nombres[],0,0,ROWS(nombres[]),1))-ROW(OFFSET(nombres[],0,0,1,1))+1,ROW(OFFSET(nombres[],ROWS(nombres[])-1,0,1,1))+1),$O1544:$O1563),3),"")</f>
        <v/>
      </c>
      <c r="AAZ1544" s="42" t="str">
        <f t="array" aca="1" ref="AAZ1544" ca="1">IFERROR(INDEX(nombres[],SMALL(IF(OFFSET(nombres[],0,0,ROWS(nombres[]),1)=AAZ$1490,ROW(OFFSET(nombres[],0,0,ROWS(nombres[]),1))-ROW(OFFSET(nombres[],0,0,1,1))+1,ROW(OFFSET(nombres[],ROWS(nombres[])-1,0,1,1))+1),$O1544:$O1563),3),"")</f>
        <v/>
      </c>
      <c r="ABA1544" s="42" t="str">
        <f t="array" aca="1" ref="ABA1544" ca="1">IFERROR(INDEX(nombres[],SMALL(IF(OFFSET(nombres[],0,0,ROWS(nombres[]),1)=ABA$1490,ROW(OFFSET(nombres[],0,0,ROWS(nombres[]),1))-ROW(OFFSET(nombres[],0,0,1,1))+1,ROW(OFFSET(nombres[],ROWS(nombres[])-1,0,1,1))+1),$O1544:$O1563),3),"")</f>
        <v/>
      </c>
      <c r="ABB1544" s="42" t="str">
        <f t="array" aca="1" ref="ABB1544" ca="1">IFERROR(INDEX(nombres[],SMALL(IF(OFFSET(nombres[],0,0,ROWS(nombres[]),1)=ABB$1490,ROW(OFFSET(nombres[],0,0,ROWS(nombres[]),1))-ROW(OFFSET(nombres[],0,0,1,1))+1,ROW(OFFSET(nombres[],ROWS(nombres[])-1,0,1,1))+1),$O1544:$O1563),3),"")</f>
        <v/>
      </c>
      <c r="ABC1544" s="42" t="str">
        <f t="array" aca="1" ref="ABC1544" ca="1">IFERROR(INDEX(nombres[],SMALL(IF(OFFSET(nombres[],0,0,ROWS(nombres[]),1)=ABC$1490,ROW(OFFSET(nombres[],0,0,ROWS(nombres[]),1))-ROW(OFFSET(nombres[],0,0,1,1))+1,ROW(OFFSET(nombres[],ROWS(nombres[])-1,0,1,1))+1),$O1544:$O1563),3),"")</f>
        <v/>
      </c>
      <c r="ABD1544" s="42" t="str">
        <f t="array" aca="1" ref="ABD1544" ca="1">IFERROR(INDEX(nombres[],SMALL(IF(OFFSET(nombres[],0,0,ROWS(nombres[]),1)=ABD$1490,ROW(OFFSET(nombres[],0,0,ROWS(nombres[]),1))-ROW(OFFSET(nombres[],0,0,1,1))+1,ROW(OFFSET(nombres[],ROWS(nombres[])-1,0,1,1))+1),$O1544:$O1563),3),"")</f>
        <v/>
      </c>
      <c r="ABE1544" s="42" t="str">
        <f t="array" aca="1" ref="ABE1544" ca="1">IFERROR(INDEX(nombres[],SMALL(IF(OFFSET(nombres[],0,0,ROWS(nombres[]),1)=ABE$1490,ROW(OFFSET(nombres[],0,0,ROWS(nombres[]),1))-ROW(OFFSET(nombres[],0,0,1,1))+1,ROW(OFFSET(nombres[],ROWS(nombres[])-1,0,1,1))+1),$O1544:$O1563),3),"")</f>
        <v/>
      </c>
      <c r="ABF1544" s="42" t="str">
        <f t="array" aca="1" ref="ABF1544" ca="1">IFERROR(INDEX(nombres[],SMALL(IF(OFFSET(nombres[],0,0,ROWS(nombres[]),1)=ABF$1490,ROW(OFFSET(nombres[],0,0,ROWS(nombres[]),1))-ROW(OFFSET(nombres[],0,0,1,1))+1,ROW(OFFSET(nombres[],ROWS(nombres[])-1,0,1,1))+1),$O1544:$O1563),3),"")</f>
        <v/>
      </c>
      <c r="ABG1544" s="42" t="str">
        <f t="array" aca="1" ref="ABG1544" ca="1">IFERROR(INDEX(nombres[],SMALL(IF(OFFSET(nombres[],0,0,ROWS(nombres[]),1)=ABG$1490,ROW(OFFSET(nombres[],0,0,ROWS(nombres[]),1))-ROW(OFFSET(nombres[],0,0,1,1))+1,ROW(OFFSET(nombres[],ROWS(nombres[])-1,0,1,1))+1),$O1544:$O1563),3),"")</f>
        <v/>
      </c>
      <c r="ABH1544" s="42" t="str">
        <f t="array" aca="1" ref="ABH1544" ca="1">IFERROR(INDEX(nombres[],SMALL(IF(OFFSET(nombres[],0,0,ROWS(nombres[]),1)=ABH$1490,ROW(OFFSET(nombres[],0,0,ROWS(nombres[]),1))-ROW(OFFSET(nombres[],0,0,1,1))+1,ROW(OFFSET(nombres[],ROWS(nombres[])-1,0,1,1))+1),$O1544:$O1563),3),"")</f>
        <v/>
      </c>
      <c r="ABI1544" s="42" t="str">
        <f t="array" aca="1" ref="ABI1544" ca="1">IFERROR(INDEX(nombres[],SMALL(IF(OFFSET(nombres[],0,0,ROWS(nombres[]),1)=ABI$1490,ROW(OFFSET(nombres[],0,0,ROWS(nombres[]),1))-ROW(OFFSET(nombres[],0,0,1,1))+1,ROW(OFFSET(nombres[],ROWS(nombres[])-1,0,1,1))+1),$O1544:$O1563),3),"")</f>
        <v/>
      </c>
      <c r="ABJ1544" s="42" t="str">
        <f t="array" aca="1" ref="ABJ1544" ca="1">IFERROR(INDEX(nombres[],SMALL(IF(OFFSET(nombres[],0,0,ROWS(nombres[]),1)=ABJ$1490,ROW(OFFSET(nombres[],0,0,ROWS(nombres[]),1))-ROW(OFFSET(nombres[],0,0,1,1))+1,ROW(OFFSET(nombres[],ROWS(nombres[])-1,0,1,1))+1),$O1544:$O1563),3),"")</f>
        <v/>
      </c>
      <c r="ABK1544" s="42" t="str">
        <f t="array" aca="1" ref="ABK1544" ca="1">IFERROR(INDEX(nombres[],SMALL(IF(OFFSET(nombres[],0,0,ROWS(nombres[]),1)=ABK$1490,ROW(OFFSET(nombres[],0,0,ROWS(nombres[]),1))-ROW(OFFSET(nombres[],0,0,1,1))+1,ROW(OFFSET(nombres[],ROWS(nombres[])-1,0,1,1))+1),$O1544:$O1563),3),"")</f>
        <v/>
      </c>
      <c r="ABL1544" s="42" t="str">
        <f t="array" aca="1" ref="ABL1544" ca="1">IFERROR(INDEX(nombres[],SMALL(IF(OFFSET(nombres[],0,0,ROWS(nombres[]),1)=ABL$1490,ROW(OFFSET(nombres[],0,0,ROWS(nombres[]),1))-ROW(OFFSET(nombres[],0,0,1,1))+1,ROW(OFFSET(nombres[],ROWS(nombres[])-1,0,1,1))+1),$O1544:$O1563),3),"")</f>
        <v/>
      </c>
      <c r="ABM1544" s="42" t="str">
        <f t="array" aca="1" ref="ABM1544" ca="1">IFERROR(INDEX(nombres[],SMALL(IF(OFFSET(nombres[],0,0,ROWS(nombres[]),1)=ABM$1490,ROW(OFFSET(nombres[],0,0,ROWS(nombres[]),1))-ROW(OFFSET(nombres[],0,0,1,1))+1,ROW(OFFSET(nombres[],ROWS(nombres[])-1,0,1,1))+1),$O1544:$O1563),3),"")</f>
        <v/>
      </c>
      <c r="ABN1544" s="42" t="str">
        <f t="array" aca="1" ref="ABN1544" ca="1">IFERROR(INDEX(nombres[],SMALL(IF(OFFSET(nombres[],0,0,ROWS(nombres[]),1)=ABN$1490,ROW(OFFSET(nombres[],0,0,ROWS(nombres[]),1))-ROW(OFFSET(nombres[],0,0,1,1))+1,ROW(OFFSET(nombres[],ROWS(nombres[])-1,0,1,1))+1),$O1544:$O1563),3),"")</f>
        <v/>
      </c>
      <c r="ABO1544" s="42" t="str">
        <f t="array" aca="1" ref="ABO1544" ca="1">IFERROR(INDEX(nombres[],SMALL(IF(OFFSET(nombres[],0,0,ROWS(nombres[]),1)=ABO$1490,ROW(OFFSET(nombres[],0,0,ROWS(nombres[]),1))-ROW(OFFSET(nombres[],0,0,1,1))+1,ROW(OFFSET(nombres[],ROWS(nombres[])-1,0,1,1))+1),$O1544:$O1563),3),"")</f>
        <v/>
      </c>
      <c r="ABP1544" s="42" t="str">
        <f t="array" aca="1" ref="ABP1544" ca="1">IFERROR(INDEX(nombres[],SMALL(IF(OFFSET(nombres[],0,0,ROWS(nombres[]),1)=ABP$1490,ROW(OFFSET(nombres[],0,0,ROWS(nombres[]),1))-ROW(OFFSET(nombres[],0,0,1,1))+1,ROW(OFFSET(nombres[],ROWS(nombres[])-1,0,1,1))+1),$O1544:$O1563),3),"")</f>
        <v/>
      </c>
      <c r="ABQ1544" s="42" t="str">
        <f t="array" aca="1" ref="ABQ1544" ca="1">IFERROR(INDEX(nombres[],SMALL(IF(OFFSET(nombres[],0,0,ROWS(nombres[]),1)=ABQ$1490,ROW(OFFSET(nombres[],0,0,ROWS(nombres[]),1))-ROW(OFFSET(nombres[],0,0,1,1))+1,ROW(OFFSET(nombres[],ROWS(nombres[])-1,0,1,1))+1),$O1544:$O1563),3),"")</f>
        <v/>
      </c>
      <c r="ABR1544" s="42" t="str">
        <f t="array" aca="1" ref="ABR1544" ca="1">IFERROR(INDEX(nombres[],SMALL(IF(OFFSET(nombres[],0,0,ROWS(nombres[]),1)=ABR$1490,ROW(OFFSET(nombres[],0,0,ROWS(nombres[]),1))-ROW(OFFSET(nombres[],0,0,1,1))+1,ROW(OFFSET(nombres[],ROWS(nombres[])-1,0,1,1))+1),$O1544:$O1563),3),"")</f>
        <v/>
      </c>
      <c r="ABS1544" s="42" t="str">
        <f t="array" aca="1" ref="ABS1544" ca="1">IFERROR(INDEX(nombres[],SMALL(IF(OFFSET(nombres[],0,0,ROWS(nombres[]),1)=ABS$1490,ROW(OFFSET(nombres[],0,0,ROWS(nombres[]),1))-ROW(OFFSET(nombres[],0,0,1,1))+1,ROW(OFFSET(nombres[],ROWS(nombres[])-1,0,1,1))+1),$O1544:$O1563),3),"")</f>
        <v/>
      </c>
      <c r="ABT1544" s="42" t="str">
        <f t="array" aca="1" ref="ABT1544" ca="1">IFERROR(INDEX(nombres[],SMALL(IF(OFFSET(nombres[],0,0,ROWS(nombres[]),1)=ABT$1490,ROW(OFFSET(nombres[],0,0,ROWS(nombres[]),1))-ROW(OFFSET(nombres[],0,0,1,1))+1,ROW(OFFSET(nombres[],ROWS(nombres[])-1,0,1,1))+1),$O1544:$O1563),3),"")</f>
        <v/>
      </c>
      <c r="ABU1544" s="42" t="str">
        <f t="array" aca="1" ref="ABU1544" ca="1">IFERROR(INDEX(nombres[],SMALL(IF(OFFSET(nombres[],0,0,ROWS(nombres[]),1)=ABU$1490,ROW(OFFSET(nombres[],0,0,ROWS(nombres[]),1))-ROW(OFFSET(nombres[],0,0,1,1))+1,ROW(OFFSET(nombres[],ROWS(nombres[])-1,0,1,1))+1),$O1544:$O1563),3),"")</f>
        <v/>
      </c>
      <c r="ABV1544" s="42" t="str">
        <f t="array" aca="1" ref="ABV1544" ca="1">IFERROR(INDEX(nombres[],SMALL(IF(OFFSET(nombres[],0,0,ROWS(nombres[]),1)=ABV$1490,ROW(OFFSET(nombres[],0,0,ROWS(nombres[]),1))-ROW(OFFSET(nombres[],0,0,1,1))+1,ROW(OFFSET(nombres[],ROWS(nombres[])-1,0,1,1))+1),$O1544:$O1563),3),"")</f>
        <v/>
      </c>
      <c r="ABW1544" s="42" t="str">
        <f t="array" aca="1" ref="ABW1544" ca="1">IFERROR(INDEX(nombres[],SMALL(IF(OFFSET(nombres[],0,0,ROWS(nombres[]),1)=ABW$1490,ROW(OFFSET(nombres[],0,0,ROWS(nombres[]),1))-ROW(OFFSET(nombres[],0,0,1,1))+1,ROW(OFFSET(nombres[],ROWS(nombres[])-1,0,1,1))+1),$O1544:$O1563),3),"")</f>
        <v/>
      </c>
      <c r="ABX1544" s="42" t="str">
        <f t="array" aca="1" ref="ABX1544" ca="1">IFERROR(INDEX(nombres[],SMALL(IF(OFFSET(nombres[],0,0,ROWS(nombres[]),1)=ABX$1490,ROW(OFFSET(nombres[],0,0,ROWS(nombres[]),1))-ROW(OFFSET(nombres[],0,0,1,1))+1,ROW(OFFSET(nombres[],ROWS(nombres[])-1,0,1,1))+1),$O1544:$O1563),3),"")</f>
        <v/>
      </c>
      <c r="ABY1544" s="42" t="str">
        <f t="array" aca="1" ref="ABY1544" ca="1">IFERROR(INDEX(nombres[],SMALL(IF(OFFSET(nombres[],0,0,ROWS(nombres[]),1)=ABY$1490,ROW(OFFSET(nombres[],0,0,ROWS(nombres[]),1))-ROW(OFFSET(nombres[],0,0,1,1))+1,ROW(OFFSET(nombres[],ROWS(nombres[])-1,0,1,1))+1),$O1544:$O1563),3),"")</f>
        <v/>
      </c>
      <c r="ABZ1544" s="42" t="str">
        <f t="array" aca="1" ref="ABZ1544" ca="1">IFERROR(INDEX(nombres[],SMALL(IF(OFFSET(nombres[],0,0,ROWS(nombres[]),1)=ABZ$1490,ROW(OFFSET(nombres[],0,0,ROWS(nombres[]),1))-ROW(OFFSET(nombres[],0,0,1,1))+1,ROW(OFFSET(nombres[],ROWS(nombres[])-1,0,1,1))+1),$O1544:$O1563),3),"")</f>
        <v/>
      </c>
      <c r="ACA1544" s="42" t="str">
        <f t="array" aca="1" ref="ACA1544" ca="1">IFERROR(INDEX(nombres[],SMALL(IF(OFFSET(nombres[],0,0,ROWS(nombres[]),1)=ACA$1490,ROW(OFFSET(nombres[],0,0,ROWS(nombres[]),1))-ROW(OFFSET(nombres[],0,0,1,1))+1,ROW(OFFSET(nombres[],ROWS(nombres[])-1,0,1,1))+1),$O1544:$O1563),3),"")</f>
        <v/>
      </c>
      <c r="ACB1544" s="42" t="str">
        <f t="array" aca="1" ref="ACB1544" ca="1">IFERROR(INDEX(nombres[],SMALL(IF(OFFSET(nombres[],0,0,ROWS(nombres[]),1)=ACB$1490,ROW(OFFSET(nombres[],0,0,ROWS(nombres[]),1))-ROW(OFFSET(nombres[],0,0,1,1))+1,ROW(OFFSET(nombres[],ROWS(nombres[])-1,0,1,1))+1),$O1544:$O1563),3),"")</f>
        <v/>
      </c>
      <c r="ACC1544" s="42" t="str">
        <f t="array" aca="1" ref="ACC1544" ca="1">IFERROR(INDEX(nombres[],SMALL(IF(OFFSET(nombres[],0,0,ROWS(nombres[]),1)=ACC$1490,ROW(OFFSET(nombres[],0,0,ROWS(nombres[]),1))-ROW(OFFSET(nombres[],0,0,1,1))+1,ROW(OFFSET(nombres[],ROWS(nombres[])-1,0,1,1))+1),$O1544:$O1563),3),"")</f>
        <v/>
      </c>
      <c r="ACD1544" s="42" t="str">
        <f t="array" aca="1" ref="ACD1544" ca="1">IFERROR(INDEX(nombres[],SMALL(IF(OFFSET(nombres[],0,0,ROWS(nombres[]),1)=ACD$1490,ROW(OFFSET(nombres[],0,0,ROWS(nombres[]),1))-ROW(OFFSET(nombres[],0,0,1,1))+1,ROW(OFFSET(nombres[],ROWS(nombres[])-1,0,1,1))+1),$O1544:$O1563),3),"")</f>
        <v/>
      </c>
      <c r="ACE1544" s="42" t="str">
        <f t="array" aca="1" ref="ACE1544" ca="1">IFERROR(INDEX(nombres[],SMALL(IF(OFFSET(nombres[],0,0,ROWS(nombres[]),1)=ACE$1490,ROW(OFFSET(nombres[],0,0,ROWS(nombres[]),1))-ROW(OFFSET(nombres[],0,0,1,1))+1,ROW(OFFSET(nombres[],ROWS(nombres[])-1,0,1,1))+1),$O1544:$O1563),3),"")</f>
        <v/>
      </c>
      <c r="ACF1544" s="42" t="str">
        <f t="array" aca="1" ref="ACF1544" ca="1">IFERROR(INDEX(nombres[],SMALL(IF(OFFSET(nombres[],0,0,ROWS(nombres[]),1)=ACF$1490,ROW(OFFSET(nombres[],0,0,ROWS(nombres[]),1))-ROW(OFFSET(nombres[],0,0,1,1))+1,ROW(OFFSET(nombres[],ROWS(nombres[])-1,0,1,1))+1),$O1544:$O1563),3),"")</f>
        <v/>
      </c>
      <c r="ACG1544" s="42" t="str">
        <f t="array" aca="1" ref="ACG1544" ca="1">IFERROR(INDEX(nombres[],SMALL(IF(OFFSET(nombres[],0,0,ROWS(nombres[]),1)=ACG$1490,ROW(OFFSET(nombres[],0,0,ROWS(nombres[]),1))-ROW(OFFSET(nombres[],0,0,1,1))+1,ROW(OFFSET(nombres[],ROWS(nombres[])-1,0,1,1))+1),$O1544:$O1563),3),"")</f>
        <v/>
      </c>
      <c r="ACH1544" s="42" t="str">
        <f t="array" aca="1" ref="ACH1544" ca="1">IFERROR(INDEX(nombres[],SMALL(IF(OFFSET(nombres[],0,0,ROWS(nombres[]),1)=ACH$1490,ROW(OFFSET(nombres[],0,0,ROWS(nombres[]),1))-ROW(OFFSET(nombres[],0,0,1,1))+1,ROW(OFFSET(nombres[],ROWS(nombres[])-1,0,1,1))+1),$O1544:$O1563),3),"")</f>
        <v/>
      </c>
      <c r="ACI1544" s="42" t="str">
        <f t="array" aca="1" ref="ACI1544" ca="1">IFERROR(INDEX(nombres[],SMALL(IF(OFFSET(nombres[],0,0,ROWS(nombres[]),1)=ACI$1490,ROW(OFFSET(nombres[],0,0,ROWS(nombres[]),1))-ROW(OFFSET(nombres[],0,0,1,1))+1,ROW(OFFSET(nombres[],ROWS(nombres[])-1,0,1,1))+1),$O1544:$O1563),3),"")</f>
        <v/>
      </c>
      <c r="ACJ1544" s="42" t="str">
        <f t="array" aca="1" ref="ACJ1544" ca="1">IFERROR(INDEX(nombres[],SMALL(IF(OFFSET(nombres[],0,0,ROWS(nombres[]),1)=ACJ$1490,ROW(OFFSET(nombres[],0,0,ROWS(nombres[]),1))-ROW(OFFSET(nombres[],0,0,1,1))+1,ROW(OFFSET(nombres[],ROWS(nombres[])-1,0,1,1))+1),$O1544:$O1563),3),"")</f>
        <v/>
      </c>
      <c r="ACK1544" s="42" t="str">
        <f t="array" aca="1" ref="ACK1544" ca="1">IFERROR(INDEX(nombres[],SMALL(IF(OFFSET(nombres[],0,0,ROWS(nombres[]),1)=ACK$1490,ROW(OFFSET(nombres[],0,0,ROWS(nombres[]),1))-ROW(OFFSET(nombres[],0,0,1,1))+1,ROW(OFFSET(nombres[],ROWS(nombres[])-1,0,1,1))+1),$O1544:$O1563),3),"")</f>
        <v/>
      </c>
      <c r="ACL1544" s="42" t="str">
        <f t="array" aca="1" ref="ACL1544" ca="1">IFERROR(INDEX(nombres[],SMALL(IF(OFFSET(nombres[],0,0,ROWS(nombres[]),1)=ACL$1490,ROW(OFFSET(nombres[],0,0,ROWS(nombres[]),1))-ROW(OFFSET(nombres[],0,0,1,1))+1,ROW(OFFSET(nombres[],ROWS(nombres[])-1,0,1,1))+1),$O1544:$O1563),3),"")</f>
        <v/>
      </c>
      <c r="ACM1544" s="42" t="str">
        <f t="array" aca="1" ref="ACM1544" ca="1">IFERROR(INDEX(nombres[],SMALL(IF(OFFSET(nombres[],0,0,ROWS(nombres[]),1)=ACM$1490,ROW(OFFSET(nombres[],0,0,ROWS(nombres[]),1))-ROW(OFFSET(nombres[],0,0,1,1))+1,ROW(OFFSET(nombres[],ROWS(nombres[])-1,0,1,1))+1),$O1544:$O1563),3),"")</f>
        <v/>
      </c>
      <c r="ACN1544" s="42" t="str">
        <f t="array" aca="1" ref="ACN1544" ca="1">IFERROR(INDEX(nombres[],SMALL(IF(OFFSET(nombres[],0,0,ROWS(nombres[]),1)=ACN$1490,ROW(OFFSET(nombres[],0,0,ROWS(nombres[]),1))-ROW(OFFSET(nombres[],0,0,1,1))+1,ROW(OFFSET(nombres[],ROWS(nombres[])-1,0,1,1))+1),$O1544:$O1563),3),"")</f>
        <v/>
      </c>
      <c r="ACO1544" s="42" t="str">
        <f t="array" aca="1" ref="ACO1544" ca="1">IFERROR(INDEX(nombres[],SMALL(IF(OFFSET(nombres[],0,0,ROWS(nombres[]),1)=ACO$1490,ROW(OFFSET(nombres[],0,0,ROWS(nombres[]),1))-ROW(OFFSET(nombres[],0,0,1,1))+1,ROW(OFFSET(nombres[],ROWS(nombres[])-1,0,1,1))+1),$O1544:$O1563),3),"")</f>
        <v/>
      </c>
      <c r="ACP1544" s="42" t="str">
        <f t="array" aca="1" ref="ACP1544" ca="1">IFERROR(INDEX(nombres[],SMALL(IF(OFFSET(nombres[],0,0,ROWS(nombres[]),1)=ACP$1490,ROW(OFFSET(nombres[],0,0,ROWS(nombres[]),1))-ROW(OFFSET(nombres[],0,0,1,1))+1,ROW(OFFSET(nombres[],ROWS(nombres[])-1,0,1,1))+1),$O1544:$O1563),3),"")</f>
        <v/>
      </c>
      <c r="ACQ1544" s="42" t="str">
        <f t="array" aca="1" ref="ACQ1544" ca="1">IFERROR(INDEX(nombres[],SMALL(IF(OFFSET(nombres[],0,0,ROWS(nombres[]),1)=ACQ$1490,ROW(OFFSET(nombres[],0,0,ROWS(nombres[]),1))-ROW(OFFSET(nombres[],0,0,1,1))+1,ROW(OFFSET(nombres[],ROWS(nombres[])-1,0,1,1))+1),$O1544:$O1563),3),"")</f>
        <v/>
      </c>
      <c r="ACR1544" s="42" t="str">
        <f t="array" aca="1" ref="ACR1544" ca="1">IFERROR(INDEX(nombres[],SMALL(IF(OFFSET(nombres[],0,0,ROWS(nombres[]),1)=ACR$1490,ROW(OFFSET(nombres[],0,0,ROWS(nombres[]),1))-ROW(OFFSET(nombres[],0,0,1,1))+1,ROW(OFFSET(nombres[],ROWS(nombres[])-1,0,1,1))+1),$O1544:$O1563),3),"")</f>
        <v/>
      </c>
      <c r="ACS1544" s="42" t="str">
        <f t="array" aca="1" ref="ACS1544" ca="1">IFERROR(INDEX(nombres[],SMALL(IF(OFFSET(nombres[],0,0,ROWS(nombres[]),1)=ACS$1490,ROW(OFFSET(nombres[],0,0,ROWS(nombres[]),1))-ROW(OFFSET(nombres[],0,0,1,1))+1,ROW(OFFSET(nombres[],ROWS(nombres[])-1,0,1,1))+1),$O1544:$O1563),3),"")</f>
        <v/>
      </c>
      <c r="ACT1544" s="42" t="str">
        <f t="array" aca="1" ref="ACT1544" ca="1">IFERROR(INDEX(nombres[],SMALL(IF(OFFSET(nombres[],0,0,ROWS(nombres[]),1)=ACT$1490,ROW(OFFSET(nombres[],0,0,ROWS(nombres[]),1))-ROW(OFFSET(nombres[],0,0,1,1))+1,ROW(OFFSET(nombres[],ROWS(nombres[])-1,0,1,1))+1),$O1544:$O1563),3),"")</f>
        <v/>
      </c>
      <c r="ACU1544" s="42" t="str">
        <f t="array" aca="1" ref="ACU1544" ca="1">IFERROR(INDEX(nombres[],SMALL(IF(OFFSET(nombres[],0,0,ROWS(nombres[]),1)=ACU$1490,ROW(OFFSET(nombres[],0,0,ROWS(nombres[]),1))-ROW(OFFSET(nombres[],0,0,1,1))+1,ROW(OFFSET(nombres[],ROWS(nombres[])-1,0,1,1))+1),$O1544:$O1563),3),"")</f>
        <v/>
      </c>
      <c r="ACV1544" s="42" t="str">
        <f t="array" aca="1" ref="ACV1544" ca="1">IFERROR(INDEX(nombres[],SMALL(IF(OFFSET(nombres[],0,0,ROWS(nombres[]),1)=ACV$1490,ROW(OFFSET(nombres[],0,0,ROWS(nombres[]),1))-ROW(OFFSET(nombres[],0,0,1,1))+1,ROW(OFFSET(nombres[],ROWS(nombres[])-1,0,1,1))+1),$O1544:$O1563),3),"")</f>
        <v/>
      </c>
      <c r="ACW1544" s="42" t="str">
        <f t="array" aca="1" ref="ACW1544" ca="1">IFERROR(INDEX(nombres[],SMALL(IF(OFFSET(nombres[],0,0,ROWS(nombres[]),1)=ACW$1490,ROW(OFFSET(nombres[],0,0,ROWS(nombres[]),1))-ROW(OFFSET(nombres[],0,0,1,1))+1,ROW(OFFSET(nombres[],ROWS(nombres[])-1,0,1,1))+1),$O1544:$O1563),3),"")</f>
        <v/>
      </c>
      <c r="ACX1544" s="42" t="str">
        <f t="array" aca="1" ref="ACX1544" ca="1">IFERROR(INDEX(nombres[],SMALL(IF(OFFSET(nombres[],0,0,ROWS(nombres[]),1)=ACX$1490,ROW(OFFSET(nombres[],0,0,ROWS(nombres[]),1))-ROW(OFFSET(nombres[],0,0,1,1))+1,ROW(OFFSET(nombres[],ROWS(nombres[])-1,0,1,1))+1),$O1544:$O1563),3),"")</f>
        <v/>
      </c>
      <c r="ACY1544" s="42" t="str">
        <f t="array" aca="1" ref="ACY1544" ca="1">IFERROR(INDEX(nombres[],SMALL(IF(OFFSET(nombres[],0,0,ROWS(nombres[]),1)=ACY$1490,ROW(OFFSET(nombres[],0,0,ROWS(nombres[]),1))-ROW(OFFSET(nombres[],0,0,1,1))+1,ROW(OFFSET(nombres[],ROWS(nombres[])-1,0,1,1))+1),$O1544:$O1563),3),"")</f>
        <v/>
      </c>
      <c r="ACZ1544" s="42" t="str">
        <f t="array" aca="1" ref="ACZ1544" ca="1">IFERROR(INDEX(nombres[],SMALL(IF(OFFSET(nombres[],0,0,ROWS(nombres[]),1)=ACZ$1490,ROW(OFFSET(nombres[],0,0,ROWS(nombres[]),1))-ROW(OFFSET(nombres[],0,0,1,1))+1,ROW(OFFSET(nombres[],ROWS(nombres[])-1,0,1,1))+1),$O1544:$O1563),3),"")</f>
        <v/>
      </c>
      <c r="ADA1544" s="42" t="str">
        <f t="array" aca="1" ref="ADA1544" ca="1">IFERROR(INDEX(nombres[],SMALL(IF(OFFSET(nombres[],0,0,ROWS(nombres[]),1)=ADA$1490,ROW(OFFSET(nombres[],0,0,ROWS(nombres[]),1))-ROW(OFFSET(nombres[],0,0,1,1))+1,ROW(OFFSET(nombres[],ROWS(nombres[])-1,0,1,1))+1),$O1544:$O1563),3),"")</f>
        <v/>
      </c>
      <c r="ADB1544" s="42" t="str">
        <f t="array" aca="1" ref="ADB1544" ca="1">IFERROR(INDEX(nombres[],SMALL(IF(OFFSET(nombres[],0,0,ROWS(nombres[]),1)=ADB$1490,ROW(OFFSET(nombres[],0,0,ROWS(nombres[]),1))-ROW(OFFSET(nombres[],0,0,1,1))+1,ROW(OFFSET(nombres[],ROWS(nombres[])-1,0,1,1))+1),$O1544:$O1563),3),"")</f>
        <v/>
      </c>
      <c r="ADC1544" s="42" t="str">
        <f t="array" aca="1" ref="ADC1544" ca="1">IFERROR(INDEX(nombres[],SMALL(IF(OFFSET(nombres[],0,0,ROWS(nombres[]),1)=ADC$1490,ROW(OFFSET(nombres[],0,0,ROWS(nombres[]),1))-ROW(OFFSET(nombres[],0,0,1,1))+1,ROW(OFFSET(nombres[],ROWS(nombres[])-1,0,1,1))+1),$O1544:$O1563),3),"")</f>
        <v/>
      </c>
      <c r="ADD1544" s="42" t="str">
        <f t="array" aca="1" ref="ADD1544" ca="1">IFERROR(INDEX(nombres[],SMALL(IF(OFFSET(nombres[],0,0,ROWS(nombres[]),1)=ADD$1490,ROW(OFFSET(nombres[],0,0,ROWS(nombres[]),1))-ROW(OFFSET(nombres[],0,0,1,1))+1,ROW(OFFSET(nombres[],ROWS(nombres[])-1,0,1,1))+1),$O1544:$O1563),3),"")</f>
        <v/>
      </c>
      <c r="ADE1544" s="42" t="str">
        <f t="array" aca="1" ref="ADE1544" ca="1">IFERROR(INDEX(nombres[],SMALL(IF(OFFSET(nombres[],0,0,ROWS(nombres[]),1)=ADE$1490,ROW(OFFSET(nombres[],0,0,ROWS(nombres[]),1))-ROW(OFFSET(nombres[],0,0,1,1))+1,ROW(OFFSET(nombres[],ROWS(nombres[])-1,0,1,1))+1),$O1544:$O1563),3),"")</f>
        <v/>
      </c>
      <c r="ADF1544" s="42" t="str">
        <f t="array" aca="1" ref="ADF1544" ca="1">IFERROR(INDEX(nombres[],SMALL(IF(OFFSET(nombres[],0,0,ROWS(nombres[]),1)=ADF$1490,ROW(OFFSET(nombres[],0,0,ROWS(nombres[]),1))-ROW(OFFSET(nombres[],0,0,1,1))+1,ROW(OFFSET(nombres[],ROWS(nombres[])-1,0,1,1))+1),$O1544:$O1563),3),"")</f>
        <v/>
      </c>
      <c r="ADG1544" s="42" t="str">
        <f t="array" aca="1" ref="ADG1544" ca="1">IFERROR(INDEX(nombres[],SMALL(IF(OFFSET(nombres[],0,0,ROWS(nombres[]),1)=ADG$1490,ROW(OFFSET(nombres[],0,0,ROWS(nombres[]),1))-ROW(OFFSET(nombres[],0,0,1,1))+1,ROW(OFFSET(nombres[],ROWS(nombres[])-1,0,1,1))+1),$O1544:$O1563),3),"")</f>
        <v/>
      </c>
      <c r="ADH1544" s="42" t="str">
        <f t="array" aca="1" ref="ADH1544" ca="1">IFERROR(INDEX(nombres[],SMALL(IF(OFFSET(nombres[],0,0,ROWS(nombres[]),1)=ADH$1490,ROW(OFFSET(nombres[],0,0,ROWS(nombres[]),1))-ROW(OFFSET(nombres[],0,0,1,1))+1,ROW(OFFSET(nombres[],ROWS(nombres[])-1,0,1,1))+1),$O1544:$O1563),3),"")</f>
        <v/>
      </c>
      <c r="ADI1544" s="42" t="str">
        <f t="array" aca="1" ref="ADI1544" ca="1">IFERROR(INDEX(nombres[],SMALL(IF(OFFSET(nombres[],0,0,ROWS(nombres[]),1)=ADI$1490,ROW(OFFSET(nombres[],0,0,ROWS(nombres[]),1))-ROW(OFFSET(nombres[],0,0,1,1))+1,ROW(OFFSET(nombres[],ROWS(nombres[])-1,0,1,1))+1),$O1544:$O1563),3),"")</f>
        <v/>
      </c>
      <c r="ADJ1544" s="42" t="str">
        <f t="array" aca="1" ref="ADJ1544" ca="1">IFERROR(INDEX(nombres[],SMALL(IF(OFFSET(nombres[],0,0,ROWS(nombres[]),1)=ADJ$1490,ROW(OFFSET(nombres[],0,0,ROWS(nombres[]),1))-ROW(OFFSET(nombres[],0,0,1,1))+1,ROW(OFFSET(nombres[],ROWS(nombres[])-1,0,1,1))+1),$O1544:$O1563),3),"")</f>
        <v/>
      </c>
      <c r="ADK1544" s="42" t="str">
        <f t="array" aca="1" ref="ADK1544" ca="1">IFERROR(INDEX(nombres[],SMALL(IF(OFFSET(nombres[],0,0,ROWS(nombres[]),1)=ADK$1490,ROW(OFFSET(nombres[],0,0,ROWS(nombres[]),1))-ROW(OFFSET(nombres[],0,0,1,1))+1,ROW(OFFSET(nombres[],ROWS(nombres[])-1,0,1,1))+1),$O1544:$O1563),3),"")</f>
        <v/>
      </c>
      <c r="ADL1544" s="42" t="str">
        <f t="array" aca="1" ref="ADL1544" ca="1">IFERROR(INDEX(nombres[],SMALL(IF(OFFSET(nombres[],0,0,ROWS(nombres[]),1)=ADL$1490,ROW(OFFSET(nombres[],0,0,ROWS(nombres[]),1))-ROW(OFFSET(nombres[],0,0,1,1))+1,ROW(OFFSET(nombres[],ROWS(nombres[])-1,0,1,1))+1),$O1544:$O1563),3),"")</f>
        <v/>
      </c>
      <c r="ADM1544" s="42" t="str">
        <f t="array" aca="1" ref="ADM1544" ca="1">IFERROR(INDEX(nombres[],SMALL(IF(OFFSET(nombres[],0,0,ROWS(nombres[]),1)=ADM$1490,ROW(OFFSET(nombres[],0,0,ROWS(nombres[]),1))-ROW(OFFSET(nombres[],0,0,1,1))+1,ROW(OFFSET(nombres[],ROWS(nombres[])-1,0,1,1))+1),$O1544:$O1563),3),"")</f>
        <v/>
      </c>
      <c r="ADN1544" s="42" t="str">
        <f t="array" aca="1" ref="ADN1544" ca="1">IFERROR(INDEX(nombres[],SMALL(IF(OFFSET(nombres[],0,0,ROWS(nombres[]),1)=ADN$1490,ROW(OFFSET(nombres[],0,0,ROWS(nombres[]),1))-ROW(OFFSET(nombres[],0,0,1,1))+1,ROW(OFFSET(nombres[],ROWS(nombres[])-1,0,1,1))+1),$O1544:$O1563),3),"")</f>
        <v/>
      </c>
      <c r="ADO1544" s="42" t="str">
        <f t="array" aca="1" ref="ADO1544" ca="1">IFERROR(INDEX(nombres[],SMALL(IF(OFFSET(nombres[],0,0,ROWS(nombres[]),1)=ADO$1490,ROW(OFFSET(nombres[],0,0,ROWS(nombres[]),1))-ROW(OFFSET(nombres[],0,0,1,1))+1,ROW(OFFSET(nombres[],ROWS(nombres[])-1,0,1,1))+1),$O1544:$O1563),3),"")</f>
        <v/>
      </c>
      <c r="ADP1544" s="42" t="str">
        <f t="array" aca="1" ref="ADP1544" ca="1">IFERROR(INDEX(nombres[],SMALL(IF(OFFSET(nombres[],0,0,ROWS(nombres[]),1)=ADP$1490,ROW(OFFSET(nombres[],0,0,ROWS(nombres[]),1))-ROW(OFFSET(nombres[],0,0,1,1))+1,ROW(OFFSET(nombres[],ROWS(nombres[])-1,0,1,1))+1),$O1544:$O1563),3),"")</f>
        <v/>
      </c>
      <c r="ADQ1544" s="42" t="str">
        <f t="array" aca="1" ref="ADQ1544" ca="1">IFERROR(INDEX(nombres[],SMALL(IF(OFFSET(nombres[],0,0,ROWS(nombres[]),1)=ADQ$1490,ROW(OFFSET(nombres[],0,0,ROWS(nombres[]),1))-ROW(OFFSET(nombres[],0,0,1,1))+1,ROW(OFFSET(nombres[],ROWS(nombres[])-1,0,1,1))+1),$O1544:$O1563),3),"")</f>
        <v/>
      </c>
      <c r="ADR1544" s="42" t="str">
        <f t="array" aca="1" ref="ADR1544" ca="1">IFERROR(INDEX(nombres[],SMALL(IF(OFFSET(nombres[],0,0,ROWS(nombres[]),1)=ADR$1490,ROW(OFFSET(nombres[],0,0,ROWS(nombres[]),1))-ROW(OFFSET(nombres[],0,0,1,1))+1,ROW(OFFSET(nombres[],ROWS(nombres[])-1,0,1,1))+1),$O1544:$O1563),3),"")</f>
        <v/>
      </c>
      <c r="ADS1544" s="42" t="str">
        <f t="array" aca="1" ref="ADS1544" ca="1">IFERROR(INDEX(nombres[],SMALL(IF(OFFSET(nombres[],0,0,ROWS(nombres[]),1)=ADS$1490,ROW(OFFSET(nombres[],0,0,ROWS(nombres[]),1))-ROW(OFFSET(nombres[],0,0,1,1))+1,ROW(OFFSET(nombres[],ROWS(nombres[])-1,0,1,1))+1),$O1544:$O1563),3),"")</f>
        <v/>
      </c>
      <c r="ADT1544" s="42" t="str">
        <f t="array" aca="1" ref="ADT1544" ca="1">IFERROR(INDEX(nombres[],SMALL(IF(OFFSET(nombres[],0,0,ROWS(nombres[]),1)=ADT$1490,ROW(OFFSET(nombres[],0,0,ROWS(nombres[]),1))-ROW(OFFSET(nombres[],0,0,1,1))+1,ROW(OFFSET(nombres[],ROWS(nombres[])-1,0,1,1))+1),$O1544:$O1563),3),"")</f>
        <v/>
      </c>
      <c r="ADU1544" s="42" t="str">
        <f t="array" aca="1" ref="ADU1544" ca="1">IFERROR(INDEX(nombres[],SMALL(IF(OFFSET(nombres[],0,0,ROWS(nombres[]),1)=ADU$1490,ROW(OFFSET(nombres[],0,0,ROWS(nombres[]),1))-ROW(OFFSET(nombres[],0,0,1,1))+1,ROW(OFFSET(nombres[],ROWS(nombres[])-1,0,1,1))+1),$O1544:$O1563),3),"")</f>
        <v/>
      </c>
      <c r="ADV1544" s="42" t="str">
        <f t="array" aca="1" ref="ADV1544" ca="1">IFERROR(INDEX(nombres[],SMALL(IF(OFFSET(nombres[],0,0,ROWS(nombres[]),1)=ADV$1490,ROW(OFFSET(nombres[],0,0,ROWS(nombres[]),1))-ROW(OFFSET(nombres[],0,0,1,1))+1,ROW(OFFSET(nombres[],ROWS(nombres[])-1,0,1,1))+1),$O1544:$O1563),3),"")</f>
        <v/>
      </c>
      <c r="ADW1544" s="42" t="str">
        <f t="array" aca="1" ref="ADW1544" ca="1">IFERROR(INDEX(nombres[],SMALL(IF(OFFSET(nombres[],0,0,ROWS(nombres[]),1)=ADW$1490,ROW(OFFSET(nombres[],0,0,ROWS(nombres[]),1))-ROW(OFFSET(nombres[],0,0,1,1))+1,ROW(OFFSET(nombres[],ROWS(nombres[])-1,0,1,1))+1),$O1544:$O1563),3),"")</f>
        <v/>
      </c>
      <c r="ADX1544" s="42" t="str">
        <f t="array" aca="1" ref="ADX1544" ca="1">IFERROR(INDEX(nombres[],SMALL(IF(OFFSET(nombres[],0,0,ROWS(nombres[]),1)=ADX$1490,ROW(OFFSET(nombres[],0,0,ROWS(nombres[]),1))-ROW(OFFSET(nombres[],0,0,1,1))+1,ROW(OFFSET(nombres[],ROWS(nombres[])-1,0,1,1))+1),$O1544:$O1563),3),"")</f>
        <v/>
      </c>
      <c r="ADY1544" s="42" t="str">
        <f t="array" aca="1" ref="ADY1544" ca="1">IFERROR(INDEX(nombres[],SMALL(IF(OFFSET(nombres[],0,0,ROWS(nombres[]),1)=ADY$1490,ROW(OFFSET(nombres[],0,0,ROWS(nombres[]),1))-ROW(OFFSET(nombres[],0,0,1,1))+1,ROW(OFFSET(nombres[],ROWS(nombres[])-1,0,1,1))+1),$O1544:$O1563),3),"")</f>
        <v/>
      </c>
      <c r="ADZ1544" s="42" t="str">
        <f t="array" aca="1" ref="ADZ1544" ca="1">IFERROR(INDEX(nombres[],SMALL(IF(OFFSET(nombres[],0,0,ROWS(nombres[]),1)=ADZ$1490,ROW(OFFSET(nombres[],0,0,ROWS(nombres[]),1))-ROW(OFFSET(nombres[],0,0,1,1))+1,ROW(OFFSET(nombres[],ROWS(nombres[])-1,0,1,1))+1),$O1544:$O1563),3),"")</f>
        <v/>
      </c>
      <c r="AEA1544" s="42" t="str">
        <f t="array" aca="1" ref="AEA1544" ca="1">IFERROR(INDEX(nombres[],SMALL(IF(OFFSET(nombres[],0,0,ROWS(nombres[]),1)=AEA$1490,ROW(OFFSET(nombres[],0,0,ROWS(nombres[]),1))-ROW(OFFSET(nombres[],0,0,1,1))+1,ROW(OFFSET(nombres[],ROWS(nombres[])-1,0,1,1))+1),$O1544:$O1563),3),"")</f>
        <v/>
      </c>
      <c r="AEB1544" s="42" t="str">
        <f t="array" aca="1" ref="AEB1544" ca="1">IFERROR(INDEX(nombres[],SMALL(IF(OFFSET(nombres[],0,0,ROWS(nombres[]),1)=AEB$1490,ROW(OFFSET(nombres[],0,0,ROWS(nombres[]),1))-ROW(OFFSET(nombres[],0,0,1,1))+1,ROW(OFFSET(nombres[],ROWS(nombres[])-1,0,1,1))+1),$O1544:$O1563),3),"")</f>
        <v/>
      </c>
      <c r="AEC1544" s="42" t="str">
        <f t="array" aca="1" ref="AEC1544" ca="1">IFERROR(INDEX(nombres[],SMALL(IF(OFFSET(nombres[],0,0,ROWS(nombres[]),1)=AEC$1490,ROW(OFFSET(nombres[],0,0,ROWS(nombres[]),1))-ROW(OFFSET(nombres[],0,0,1,1))+1,ROW(OFFSET(nombres[],ROWS(nombres[])-1,0,1,1))+1),$O1544:$O1563),3),"")</f>
        <v/>
      </c>
      <c r="AED1544" s="42" t="str">
        <f t="array" aca="1" ref="AED1544" ca="1">IFERROR(INDEX(nombres[],SMALL(IF(OFFSET(nombres[],0,0,ROWS(nombres[]),1)=AED$1490,ROW(OFFSET(nombres[],0,0,ROWS(nombres[]),1))-ROW(OFFSET(nombres[],0,0,1,1))+1,ROW(OFFSET(nombres[],ROWS(nombres[])-1,0,1,1))+1),$O1544:$O1563),3),"")</f>
        <v/>
      </c>
      <c r="AEE1544" s="42" t="str">
        <f t="array" aca="1" ref="AEE1544" ca="1">IFERROR(INDEX(nombres[],SMALL(IF(OFFSET(nombres[],0,0,ROWS(nombres[]),1)=AEE$1490,ROW(OFFSET(nombres[],0,0,ROWS(nombres[]),1))-ROW(OFFSET(nombres[],0,0,1,1))+1,ROW(OFFSET(nombres[],ROWS(nombres[])-1,0,1,1))+1),$O1544:$O1563),3),"")</f>
        <v/>
      </c>
      <c r="AEF1544" s="42" t="str">
        <f t="array" aca="1" ref="AEF1544" ca="1">IFERROR(INDEX(nombres[],SMALL(IF(OFFSET(nombres[],0,0,ROWS(nombres[]),1)=AEF$1490,ROW(OFFSET(nombres[],0,0,ROWS(nombres[]),1))-ROW(OFFSET(nombres[],0,0,1,1))+1,ROW(OFFSET(nombres[],ROWS(nombres[])-1,0,1,1))+1),$O1544:$O1563),3),"")</f>
        <v/>
      </c>
      <c r="AEG1544" s="42" t="str">
        <f t="array" aca="1" ref="AEG1544" ca="1">IFERROR(INDEX(nombres[],SMALL(IF(OFFSET(nombres[],0,0,ROWS(nombres[]),1)=AEG$1490,ROW(OFFSET(nombres[],0,0,ROWS(nombres[]),1))-ROW(OFFSET(nombres[],0,0,1,1))+1,ROW(OFFSET(nombres[],ROWS(nombres[])-1,0,1,1))+1),$O1544:$O1563),3),"")</f>
        <v/>
      </c>
      <c r="AEH1544" s="42" t="str">
        <f t="array" aca="1" ref="AEH1544" ca="1">IFERROR(INDEX(nombres[],SMALL(IF(OFFSET(nombres[],0,0,ROWS(nombres[]),1)=AEH$1490,ROW(OFFSET(nombres[],0,0,ROWS(nombres[]),1))-ROW(OFFSET(nombres[],0,0,1,1))+1,ROW(OFFSET(nombres[],ROWS(nombres[])-1,0,1,1))+1),$O1544:$O1563),3),"")</f>
        <v/>
      </c>
      <c r="AEI1544" s="42" t="str">
        <f t="array" aca="1" ref="AEI1544" ca="1">IFERROR(INDEX(nombres[],SMALL(IF(OFFSET(nombres[],0,0,ROWS(nombres[]),1)=AEI$1490,ROW(OFFSET(nombres[],0,0,ROWS(nombres[]),1))-ROW(OFFSET(nombres[],0,0,1,1))+1,ROW(OFFSET(nombres[],ROWS(nombres[])-1,0,1,1))+1),$O1544:$O1563),3),"")</f>
        <v/>
      </c>
      <c r="AEJ1544" s="42" t="str">
        <f t="array" aca="1" ref="AEJ1544" ca="1">IFERROR(INDEX(nombres[],SMALL(IF(OFFSET(nombres[],0,0,ROWS(nombres[]),1)=AEJ$1490,ROW(OFFSET(nombres[],0,0,ROWS(nombres[]),1))-ROW(OFFSET(nombres[],0,0,1,1))+1,ROW(OFFSET(nombres[],ROWS(nombres[])-1,0,1,1))+1),$O1544:$O1563),3),"")</f>
        <v/>
      </c>
      <c r="AEK1544" s="42" t="str">
        <f t="array" aca="1" ref="AEK1544" ca="1">IFERROR(INDEX(nombres[],SMALL(IF(OFFSET(nombres[],0,0,ROWS(nombres[]),1)=AEK$1490,ROW(OFFSET(nombres[],0,0,ROWS(nombres[]),1))-ROW(OFFSET(nombres[],0,0,1,1))+1,ROW(OFFSET(nombres[],ROWS(nombres[])-1,0,1,1))+1),$O1544:$O1563),3),"")</f>
        <v/>
      </c>
      <c r="AEL1544" s="42" t="str">
        <f t="array" aca="1" ref="AEL1544" ca="1">IFERROR(INDEX(nombres[],SMALL(IF(OFFSET(nombres[],0,0,ROWS(nombres[]),1)=AEL$1490,ROW(OFFSET(nombres[],0,0,ROWS(nombres[]),1))-ROW(OFFSET(nombres[],0,0,1,1))+1,ROW(OFFSET(nombres[],ROWS(nombres[])-1,0,1,1))+1),$O1544:$O1563),3),"")</f>
        <v/>
      </c>
      <c r="AEM1544" s="42" t="str">
        <f t="array" aca="1" ref="AEM1544" ca="1">IFERROR(INDEX(nombres[],SMALL(IF(OFFSET(nombres[],0,0,ROWS(nombres[]),1)=AEM$1490,ROW(OFFSET(nombres[],0,0,ROWS(nombres[]),1))-ROW(OFFSET(nombres[],0,0,1,1))+1,ROW(OFFSET(nombres[],ROWS(nombres[])-1,0,1,1))+1),$O1544:$O1563),3),"")</f>
        <v/>
      </c>
      <c r="AEN1544" s="42" t="str">
        <f t="array" aca="1" ref="AEN1544" ca="1">IFERROR(INDEX(nombres[],SMALL(IF(OFFSET(nombres[],0,0,ROWS(nombres[]),1)=AEN$1490,ROW(OFFSET(nombres[],0,0,ROWS(nombres[]),1))-ROW(OFFSET(nombres[],0,0,1,1))+1,ROW(OFFSET(nombres[],ROWS(nombres[])-1,0,1,1))+1),$O1544:$O1563),3),"")</f>
        <v/>
      </c>
      <c r="AEO1544" s="42" t="str">
        <f t="array" aca="1" ref="AEO1544" ca="1">IFERROR(INDEX(nombres[],SMALL(IF(OFFSET(nombres[],0,0,ROWS(nombres[]),1)=AEO$1490,ROW(OFFSET(nombres[],0,0,ROWS(nombres[]),1))-ROW(OFFSET(nombres[],0,0,1,1))+1,ROW(OFFSET(nombres[],ROWS(nombres[])-1,0,1,1))+1),$O1544:$O1563),3),"")</f>
        <v/>
      </c>
      <c r="AEP1544" s="42" t="str">
        <f t="array" aca="1" ref="AEP1544" ca="1">IFERROR(INDEX(nombres[],SMALL(IF(OFFSET(nombres[],0,0,ROWS(nombres[]),1)=AEP$1490,ROW(OFFSET(nombres[],0,0,ROWS(nombres[]),1))-ROW(OFFSET(nombres[],0,0,1,1))+1,ROW(OFFSET(nombres[],ROWS(nombres[])-1,0,1,1))+1),$O1544:$O1563),3),"")</f>
        <v/>
      </c>
      <c r="AEQ1544" s="42" t="str">
        <f t="array" aca="1" ref="AEQ1544" ca="1">IFERROR(INDEX(nombres[],SMALL(IF(OFFSET(nombres[],0,0,ROWS(nombres[]),1)=AEQ$1490,ROW(OFFSET(nombres[],0,0,ROWS(nombres[]),1))-ROW(OFFSET(nombres[],0,0,1,1))+1,ROW(OFFSET(nombres[],ROWS(nombres[])-1,0,1,1))+1),$O1544:$O1563),3),"")</f>
        <v/>
      </c>
      <c r="AER1544" s="42" t="str">
        <f t="array" aca="1" ref="AER1544" ca="1">IFERROR(INDEX(nombres[],SMALL(IF(OFFSET(nombres[],0,0,ROWS(nombres[]),1)=AER$1490,ROW(OFFSET(nombres[],0,0,ROWS(nombres[]),1))-ROW(OFFSET(nombres[],0,0,1,1))+1,ROW(OFFSET(nombres[],ROWS(nombres[])-1,0,1,1))+1),$O1544:$O1563),3),"")</f>
        <v/>
      </c>
      <c r="AES1544" s="42" t="str">
        <f t="array" aca="1" ref="AES1544" ca="1">IFERROR(INDEX(nombres[],SMALL(IF(OFFSET(nombres[],0,0,ROWS(nombres[]),1)=AES$1490,ROW(OFFSET(nombres[],0,0,ROWS(nombres[]),1))-ROW(OFFSET(nombres[],0,0,1,1))+1,ROW(OFFSET(nombres[],ROWS(nombres[])-1,0,1,1))+1),$O1544:$O1563),3),"")</f>
        <v/>
      </c>
      <c r="AET1544" s="42" t="str">
        <f t="array" aca="1" ref="AET1544" ca="1">IFERROR(INDEX(nombres[],SMALL(IF(OFFSET(nombres[],0,0,ROWS(nombres[]),1)=AET$1490,ROW(OFFSET(nombres[],0,0,ROWS(nombres[]),1))-ROW(OFFSET(nombres[],0,0,1,1))+1,ROW(OFFSET(nombres[],ROWS(nombres[])-1,0,1,1))+1),$O1544:$O1563),3),"")</f>
        <v/>
      </c>
      <c r="AEU1544" s="42" t="str">
        <f t="array" aca="1" ref="AEU1544" ca="1">IFERROR(INDEX(nombres[],SMALL(IF(OFFSET(nombres[],0,0,ROWS(nombres[]),1)=AEU$1490,ROW(OFFSET(nombres[],0,0,ROWS(nombres[]),1))-ROW(OFFSET(nombres[],0,0,1,1))+1,ROW(OFFSET(nombres[],ROWS(nombres[])-1,0,1,1))+1),$O1544:$O1563),3),"")</f>
        <v/>
      </c>
      <c r="AEV1544" s="42" t="str">
        <f t="array" aca="1" ref="AEV1544" ca="1">IFERROR(INDEX(nombres[],SMALL(IF(OFFSET(nombres[],0,0,ROWS(nombres[]),1)=AEV$1490,ROW(OFFSET(nombres[],0,0,ROWS(nombres[]),1))-ROW(OFFSET(nombres[],0,0,1,1))+1,ROW(OFFSET(nombres[],ROWS(nombres[])-1,0,1,1))+1),$O1544:$O1563),3),"")</f>
        <v/>
      </c>
      <c r="AEW1544" s="42" t="str">
        <f t="array" aca="1" ref="AEW1544" ca="1">IFERROR(INDEX(nombres[],SMALL(IF(OFFSET(nombres[],0,0,ROWS(nombres[]),1)=AEW$1490,ROW(OFFSET(nombres[],0,0,ROWS(nombres[]),1))-ROW(OFFSET(nombres[],0,0,1,1))+1,ROW(OFFSET(nombres[],ROWS(nombres[])-1,0,1,1))+1),$O1544:$O1563),3),"")</f>
        <v/>
      </c>
      <c r="AEX1544" s="42" t="str">
        <f t="array" aca="1" ref="AEX1544" ca="1">IFERROR(INDEX(nombres[],SMALL(IF(OFFSET(nombres[],0,0,ROWS(nombres[]),1)=AEX$1490,ROW(OFFSET(nombres[],0,0,ROWS(nombres[]),1))-ROW(OFFSET(nombres[],0,0,1,1))+1,ROW(OFFSET(nombres[],ROWS(nombres[])-1,0,1,1))+1),$O1544:$O1563),3),"")</f>
        <v/>
      </c>
      <c r="AEY1544" s="42" t="str">
        <f t="array" aca="1" ref="AEY1544" ca="1">IFERROR(INDEX(nombres[],SMALL(IF(OFFSET(nombres[],0,0,ROWS(nombres[]),1)=AEY$1490,ROW(OFFSET(nombres[],0,0,ROWS(nombres[]),1))-ROW(OFFSET(nombres[],0,0,1,1))+1,ROW(OFFSET(nombres[],ROWS(nombres[])-1,0,1,1))+1),$O1544:$O1563),3),"")</f>
        <v/>
      </c>
      <c r="AEZ1544" s="42" t="str">
        <f t="array" aca="1" ref="AEZ1544" ca="1">IFERROR(INDEX(nombres[],SMALL(IF(OFFSET(nombres[],0,0,ROWS(nombres[]),1)=AEZ$1490,ROW(OFFSET(nombres[],0,0,ROWS(nombres[]),1))-ROW(OFFSET(nombres[],0,0,1,1))+1,ROW(OFFSET(nombres[],ROWS(nombres[])-1,0,1,1))+1),$O1544:$O1563),3),"")</f>
        <v/>
      </c>
      <c r="AFA1544" s="42" t="str">
        <f t="array" aca="1" ref="AFA1544" ca="1">IFERROR(INDEX(nombres[],SMALL(IF(OFFSET(nombres[],0,0,ROWS(nombres[]),1)=AFA$1490,ROW(OFFSET(nombres[],0,0,ROWS(nombres[]),1))-ROW(OFFSET(nombres[],0,0,1,1))+1,ROW(OFFSET(nombres[],ROWS(nombres[])-1,0,1,1))+1),$O1544:$O1563),3),"")</f>
        <v/>
      </c>
      <c r="AFB1544" s="42" t="str">
        <f t="array" aca="1" ref="AFB1544" ca="1">IFERROR(INDEX(nombres[],SMALL(IF(OFFSET(nombres[],0,0,ROWS(nombres[]),1)=AFB$1490,ROW(OFFSET(nombres[],0,0,ROWS(nombres[]),1))-ROW(OFFSET(nombres[],0,0,1,1))+1,ROW(OFFSET(nombres[],ROWS(nombres[])-1,0,1,1))+1),$O1544:$O1563),3),"")</f>
        <v/>
      </c>
      <c r="AFC1544" s="42" t="str">
        <f t="array" aca="1" ref="AFC1544" ca="1">IFERROR(INDEX(nombres[],SMALL(IF(OFFSET(nombres[],0,0,ROWS(nombres[]),1)=AFC$1490,ROW(OFFSET(nombres[],0,0,ROWS(nombres[]),1))-ROW(OFFSET(nombres[],0,0,1,1))+1,ROW(OFFSET(nombres[],ROWS(nombres[])-1,0,1,1))+1),$O1544:$O1563),3),"")</f>
        <v/>
      </c>
      <c r="AFD1544" s="42" t="str">
        <f t="array" aca="1" ref="AFD1544" ca="1">IFERROR(INDEX(nombres[],SMALL(IF(OFFSET(nombres[],0,0,ROWS(nombres[]),1)=AFD$1490,ROW(OFFSET(nombres[],0,0,ROWS(nombres[]),1))-ROW(OFFSET(nombres[],0,0,1,1))+1,ROW(OFFSET(nombres[],ROWS(nombres[])-1,0,1,1))+1),$O1544:$O1563),3),"")</f>
        <v/>
      </c>
      <c r="AFE1544" s="42" t="str">
        <f t="array" aca="1" ref="AFE1544" ca="1">IFERROR(INDEX(nombres[],SMALL(IF(OFFSET(nombres[],0,0,ROWS(nombres[]),1)=AFE$1490,ROW(OFFSET(nombres[],0,0,ROWS(nombres[]),1))-ROW(OFFSET(nombres[],0,0,1,1))+1,ROW(OFFSET(nombres[],ROWS(nombres[])-1,0,1,1))+1),$O1544:$O1563),3),"")</f>
        <v/>
      </c>
      <c r="AFF1544" s="42" t="str">
        <f t="array" aca="1" ref="AFF1544" ca="1">IFERROR(INDEX(nombres[],SMALL(IF(OFFSET(nombres[],0,0,ROWS(nombres[]),1)=AFF$1490,ROW(OFFSET(nombres[],0,0,ROWS(nombres[]),1))-ROW(OFFSET(nombres[],0,0,1,1))+1,ROW(OFFSET(nombres[],ROWS(nombres[])-1,0,1,1))+1),$O1544:$O1563),3),"")</f>
        <v/>
      </c>
      <c r="AFG1544" s="42" t="str">
        <f t="array" aca="1" ref="AFG1544" ca="1">IFERROR(INDEX(nombres[],SMALL(IF(OFFSET(nombres[],0,0,ROWS(nombres[]),1)=AFG$1490,ROW(OFFSET(nombres[],0,0,ROWS(nombres[]),1))-ROW(OFFSET(nombres[],0,0,1,1))+1,ROW(OFFSET(nombres[],ROWS(nombres[])-1,0,1,1))+1),$O1544:$O1563),3),"")</f>
        <v/>
      </c>
      <c r="AFH1544" s="42" t="str">
        <f t="array" aca="1" ref="AFH1544" ca="1">IFERROR(INDEX(nombres[],SMALL(IF(OFFSET(nombres[],0,0,ROWS(nombres[]),1)=AFH$1490,ROW(OFFSET(nombres[],0,0,ROWS(nombres[]),1))-ROW(OFFSET(nombres[],0,0,1,1))+1,ROW(OFFSET(nombres[],ROWS(nombres[])-1,0,1,1))+1),$O1544:$O1563),3),"")</f>
        <v/>
      </c>
      <c r="AFI1544" s="42" t="str">
        <f t="array" aca="1" ref="AFI1544" ca="1">IFERROR(INDEX(nombres[],SMALL(IF(OFFSET(nombres[],0,0,ROWS(nombres[]),1)=AFI$1490,ROW(OFFSET(nombres[],0,0,ROWS(nombres[]),1))-ROW(OFFSET(nombres[],0,0,1,1))+1,ROW(OFFSET(nombres[],ROWS(nombres[])-1,0,1,1))+1),$O1544:$O1563),3),"")</f>
        <v/>
      </c>
      <c r="AFJ1544" s="42" t="str">
        <f t="array" aca="1" ref="AFJ1544" ca="1">IFERROR(INDEX(nombres[],SMALL(IF(OFFSET(nombres[],0,0,ROWS(nombres[]),1)=AFJ$1490,ROW(OFFSET(nombres[],0,0,ROWS(nombres[]),1))-ROW(OFFSET(nombres[],0,0,1,1))+1,ROW(OFFSET(nombres[],ROWS(nombres[])-1,0,1,1))+1),$O1544:$O1563),3),"")</f>
        <v/>
      </c>
      <c r="AFK1544" s="42" t="str">
        <f t="array" aca="1" ref="AFK1544" ca="1">IFERROR(INDEX(nombres[],SMALL(IF(OFFSET(nombres[],0,0,ROWS(nombres[]),1)=AFK$1490,ROW(OFFSET(nombres[],0,0,ROWS(nombres[]),1))-ROW(OFFSET(nombres[],0,0,1,1))+1,ROW(OFFSET(nombres[],ROWS(nombres[])-1,0,1,1))+1),$O1544:$O1563),3),"")</f>
        <v/>
      </c>
      <c r="AFL1544" s="42" t="str">
        <f t="array" aca="1" ref="AFL1544" ca="1">IFERROR(INDEX(nombres[],SMALL(IF(OFFSET(nombres[],0,0,ROWS(nombres[]),1)=AFL$1490,ROW(OFFSET(nombres[],0,0,ROWS(nombres[]),1))-ROW(OFFSET(nombres[],0,0,1,1))+1,ROW(OFFSET(nombres[],ROWS(nombres[])-1,0,1,1))+1),$O1544:$O1563),3),"")</f>
        <v/>
      </c>
      <c r="AFM1544" s="42" t="str">
        <f t="array" aca="1" ref="AFM1544" ca="1">IFERROR(INDEX(nombres[],SMALL(IF(OFFSET(nombres[],0,0,ROWS(nombres[]),1)=AFM$1490,ROW(OFFSET(nombres[],0,0,ROWS(nombres[]),1))-ROW(OFFSET(nombres[],0,0,1,1))+1,ROW(OFFSET(nombres[],ROWS(nombres[])-1,0,1,1))+1),$O1544:$O1563),3),"")</f>
        <v/>
      </c>
      <c r="AFN1544" s="42" t="str">
        <f t="array" aca="1" ref="AFN1544" ca="1">IFERROR(INDEX(nombres[],SMALL(IF(OFFSET(nombres[],0,0,ROWS(nombres[]),1)=AFN$1490,ROW(OFFSET(nombres[],0,0,ROWS(nombres[]),1))-ROW(OFFSET(nombres[],0,0,1,1))+1,ROW(OFFSET(nombres[],ROWS(nombres[])-1,0,1,1))+1),$O1544:$O1563),3),"")</f>
        <v/>
      </c>
      <c r="AFO1544" s="42" t="str">
        <f t="array" aca="1" ref="AFO1544" ca="1">IFERROR(INDEX(nombres[],SMALL(IF(OFFSET(nombres[],0,0,ROWS(nombres[]),1)=AFO$1490,ROW(OFFSET(nombres[],0,0,ROWS(nombres[]),1))-ROW(OFFSET(nombres[],0,0,1,1))+1,ROW(OFFSET(nombres[],ROWS(nombres[])-1,0,1,1))+1),$O1544:$O1563),3),"")</f>
        <v/>
      </c>
      <c r="AFP1544" s="42" t="str">
        <f t="array" aca="1" ref="AFP1544" ca="1">IFERROR(INDEX(nombres[],SMALL(IF(OFFSET(nombres[],0,0,ROWS(nombres[]),1)=AFP$1490,ROW(OFFSET(nombres[],0,0,ROWS(nombres[]),1))-ROW(OFFSET(nombres[],0,0,1,1))+1,ROW(OFFSET(nombres[],ROWS(nombres[])-1,0,1,1))+1),$O1544:$O1563),3),"")</f>
        <v/>
      </c>
      <c r="AFQ1544" s="42" t="str">
        <f t="array" aca="1" ref="AFQ1544" ca="1">IFERROR(INDEX(nombres[],SMALL(IF(OFFSET(nombres[],0,0,ROWS(nombres[]),1)=AFQ$1490,ROW(OFFSET(nombres[],0,0,ROWS(nombres[]),1))-ROW(OFFSET(nombres[],0,0,1,1))+1,ROW(OFFSET(nombres[],ROWS(nombres[])-1,0,1,1))+1),$O1544:$O1563),3),"")</f>
        <v/>
      </c>
      <c r="AFR1544" s="42" t="str">
        <f t="array" aca="1" ref="AFR1544" ca="1">IFERROR(INDEX(nombres[],SMALL(IF(OFFSET(nombres[],0,0,ROWS(nombres[]),1)=AFR$1490,ROW(OFFSET(nombres[],0,0,ROWS(nombres[]),1))-ROW(OFFSET(nombres[],0,0,1,1))+1,ROW(OFFSET(nombres[],ROWS(nombres[])-1,0,1,1))+1),$O1544:$O1563),3),"")</f>
        <v/>
      </c>
      <c r="AFS1544" s="42" t="str">
        <f t="array" aca="1" ref="AFS1544" ca="1">IFERROR(INDEX(nombres[],SMALL(IF(OFFSET(nombres[],0,0,ROWS(nombres[]),1)=AFS$1490,ROW(OFFSET(nombres[],0,0,ROWS(nombres[]),1))-ROW(OFFSET(nombres[],0,0,1,1))+1,ROW(OFFSET(nombres[],ROWS(nombres[])-1,0,1,1))+1),$O1544:$O1563),3),"")</f>
        <v/>
      </c>
      <c r="AFT1544" s="42" t="str">
        <f t="array" aca="1" ref="AFT1544" ca="1">IFERROR(INDEX(nombres[],SMALL(IF(OFFSET(nombres[],0,0,ROWS(nombres[]),1)=AFT$1490,ROW(OFFSET(nombres[],0,0,ROWS(nombres[]),1))-ROW(OFFSET(nombres[],0,0,1,1))+1,ROW(OFFSET(nombres[],ROWS(nombres[])-1,0,1,1))+1),$O1544:$O1563),3),"")</f>
        <v/>
      </c>
      <c r="AFU1544" s="42" t="str">
        <f t="array" aca="1" ref="AFU1544" ca="1">IFERROR(INDEX(nombres[],SMALL(IF(OFFSET(nombres[],0,0,ROWS(nombres[]),1)=AFU$1490,ROW(OFFSET(nombres[],0,0,ROWS(nombres[]),1))-ROW(OFFSET(nombres[],0,0,1,1))+1,ROW(OFFSET(nombres[],ROWS(nombres[])-1,0,1,1))+1),$O1544:$O1563),3),"")</f>
        <v/>
      </c>
      <c r="AFV1544" s="42" t="str">
        <f t="array" aca="1" ref="AFV1544" ca="1">IFERROR(INDEX(nombres[],SMALL(IF(OFFSET(nombres[],0,0,ROWS(nombres[]),1)=AFV$1490,ROW(OFFSET(nombres[],0,0,ROWS(nombres[]),1))-ROW(OFFSET(nombres[],0,0,1,1))+1,ROW(OFFSET(nombres[],ROWS(nombres[])-1,0,1,1))+1),$O1544:$O1563),3),"")</f>
        <v/>
      </c>
      <c r="AFW1544" s="42" t="str">
        <f t="array" aca="1" ref="AFW1544" ca="1">IFERROR(INDEX(nombres[],SMALL(IF(OFFSET(nombres[],0,0,ROWS(nombres[]),1)=AFW$1490,ROW(OFFSET(nombres[],0,0,ROWS(nombres[]),1))-ROW(OFFSET(nombres[],0,0,1,1))+1,ROW(OFFSET(nombres[],ROWS(nombres[])-1,0,1,1))+1),$O1544:$O1563),3),"")</f>
        <v/>
      </c>
      <c r="AFX1544" s="42" t="str">
        <f t="array" aca="1" ref="AFX1544" ca="1">IFERROR(INDEX(nombres[],SMALL(IF(OFFSET(nombres[],0,0,ROWS(nombres[]),1)=AFX$1490,ROW(OFFSET(nombres[],0,0,ROWS(nombres[]),1))-ROW(OFFSET(nombres[],0,0,1,1))+1,ROW(OFFSET(nombres[],ROWS(nombres[])-1,0,1,1))+1),$O1544:$O1563),3),"")</f>
        <v/>
      </c>
      <c r="AFY1544" s="42" t="str">
        <f t="array" aca="1" ref="AFY1544" ca="1">IFERROR(INDEX(nombres[],SMALL(IF(OFFSET(nombres[],0,0,ROWS(nombres[]),1)=AFY$1490,ROW(OFFSET(nombres[],0,0,ROWS(nombres[]),1))-ROW(OFFSET(nombres[],0,0,1,1))+1,ROW(OFFSET(nombres[],ROWS(nombres[])-1,0,1,1))+1),$O1544:$O1563),3),"")</f>
        <v/>
      </c>
      <c r="AFZ1544" s="42" t="str">
        <f t="array" aca="1" ref="AFZ1544" ca="1">IFERROR(INDEX(nombres[],SMALL(IF(OFFSET(nombres[],0,0,ROWS(nombres[]),1)=AFZ$1490,ROW(OFFSET(nombres[],0,0,ROWS(nombres[]),1))-ROW(OFFSET(nombres[],0,0,1,1))+1,ROW(OFFSET(nombres[],ROWS(nombres[])-1,0,1,1))+1),$O1544:$O1563),3),"")</f>
        <v/>
      </c>
      <c r="AGA1544" s="42" t="str">
        <f t="array" aca="1" ref="AGA1544" ca="1">IFERROR(INDEX(nombres[],SMALL(IF(OFFSET(nombres[],0,0,ROWS(nombres[]),1)=AGA$1490,ROW(OFFSET(nombres[],0,0,ROWS(nombres[]),1))-ROW(OFFSET(nombres[],0,0,1,1))+1,ROW(OFFSET(nombres[],ROWS(nombres[])-1,0,1,1))+1),$O1544:$O1563),3),"")</f>
        <v/>
      </c>
      <c r="AGB1544" s="42" t="str">
        <f t="array" aca="1" ref="AGB1544" ca="1">IFERROR(INDEX(nombres[],SMALL(IF(OFFSET(nombres[],0,0,ROWS(nombres[]),1)=AGB$1490,ROW(OFFSET(nombres[],0,0,ROWS(nombres[]),1))-ROW(OFFSET(nombres[],0,0,1,1))+1,ROW(OFFSET(nombres[],ROWS(nombres[])-1,0,1,1))+1),$O1544:$O1563),3),"")</f>
        <v/>
      </c>
      <c r="AGC1544" s="42" t="str">
        <f t="array" aca="1" ref="AGC1544" ca="1">IFERROR(INDEX(nombres[],SMALL(IF(OFFSET(nombres[],0,0,ROWS(nombres[]),1)=AGC$1490,ROW(OFFSET(nombres[],0,0,ROWS(nombres[]),1))-ROW(OFFSET(nombres[],0,0,1,1))+1,ROW(OFFSET(nombres[],ROWS(nombres[])-1,0,1,1))+1),$O1544:$O1563),3),"")</f>
        <v/>
      </c>
      <c r="AGD1544" s="42" t="str">
        <f t="array" aca="1" ref="AGD1544" ca="1">IFERROR(INDEX(nombres[],SMALL(IF(OFFSET(nombres[],0,0,ROWS(nombres[]),1)=AGD$1490,ROW(OFFSET(nombres[],0,0,ROWS(nombres[]),1))-ROW(OFFSET(nombres[],0,0,1,1))+1,ROW(OFFSET(nombres[],ROWS(nombres[])-1,0,1,1))+1),$O1544:$O1563),3),"")</f>
        <v/>
      </c>
      <c r="AGE1544" s="42" t="str">
        <f t="array" aca="1" ref="AGE1544" ca="1">IFERROR(INDEX(nombres[],SMALL(IF(OFFSET(nombres[],0,0,ROWS(nombres[]),1)=AGE$1490,ROW(OFFSET(nombres[],0,0,ROWS(nombres[]),1))-ROW(OFFSET(nombres[],0,0,1,1))+1,ROW(OFFSET(nombres[],ROWS(nombres[])-1,0,1,1))+1),$O1544:$O1563),3),"")</f>
        <v/>
      </c>
      <c r="AGF1544" s="42" t="str">
        <f t="array" aca="1" ref="AGF1544" ca="1">IFERROR(INDEX(nombres[],SMALL(IF(OFFSET(nombres[],0,0,ROWS(nombres[]),1)=AGF$1490,ROW(OFFSET(nombres[],0,0,ROWS(nombres[]),1))-ROW(OFFSET(nombres[],0,0,1,1))+1,ROW(OFFSET(nombres[],ROWS(nombres[])-1,0,1,1))+1),$O1544:$O1563),3),"")</f>
        <v/>
      </c>
      <c r="AGG1544" s="42" t="str">
        <f t="array" aca="1" ref="AGG1544" ca="1">IFERROR(INDEX(nombres[],SMALL(IF(OFFSET(nombres[],0,0,ROWS(nombres[]),1)=AGG$1490,ROW(OFFSET(nombres[],0,0,ROWS(nombres[]),1))-ROW(OFFSET(nombres[],0,0,1,1))+1,ROW(OFFSET(nombres[],ROWS(nombres[])-1,0,1,1))+1),$O1544:$O1563),3),"")</f>
        <v/>
      </c>
      <c r="AGH1544" s="42" t="str">
        <f t="array" aca="1" ref="AGH1544" ca="1">IFERROR(INDEX(nombres[],SMALL(IF(OFFSET(nombres[],0,0,ROWS(nombres[]),1)=AGH$1490,ROW(OFFSET(nombres[],0,0,ROWS(nombres[]),1))-ROW(OFFSET(nombres[],0,0,1,1))+1,ROW(OFFSET(nombres[],ROWS(nombres[])-1,0,1,1))+1),$O1544:$O1563),3),"")</f>
        <v/>
      </c>
      <c r="AGI1544" s="42" t="str">
        <f t="array" aca="1" ref="AGI1544" ca="1">IFERROR(INDEX(nombres[],SMALL(IF(OFFSET(nombres[],0,0,ROWS(nombres[]),1)=AGI$1490,ROW(OFFSET(nombres[],0,0,ROWS(nombres[]),1))-ROW(OFFSET(nombres[],0,0,1,1))+1,ROW(OFFSET(nombres[],ROWS(nombres[])-1,0,1,1))+1),$O1544:$O1563),3),"")</f>
        <v/>
      </c>
      <c r="AGJ1544" s="42" t="str">
        <f t="array" aca="1" ref="AGJ1544" ca="1">IFERROR(INDEX(nombres[],SMALL(IF(OFFSET(nombres[],0,0,ROWS(nombres[]),1)=AGJ$1490,ROW(OFFSET(nombres[],0,0,ROWS(nombres[]),1))-ROW(OFFSET(nombres[],0,0,1,1))+1,ROW(OFFSET(nombres[],ROWS(nombres[])-1,0,1,1))+1),$O1544:$O1563),3),"")</f>
        <v/>
      </c>
      <c r="AGK1544" s="42" t="str">
        <f t="array" aca="1" ref="AGK1544" ca="1">IFERROR(INDEX(nombres[],SMALL(IF(OFFSET(nombres[],0,0,ROWS(nombres[]),1)=AGK$1490,ROW(OFFSET(nombres[],0,0,ROWS(nombres[]),1))-ROW(OFFSET(nombres[],0,0,1,1))+1,ROW(OFFSET(nombres[],ROWS(nombres[])-1,0,1,1))+1),$O1544:$O1563),3),"")</f>
        <v/>
      </c>
      <c r="AGL1544" s="42" t="str">
        <f t="array" aca="1" ref="AGL1544" ca="1">IFERROR(INDEX(nombres[],SMALL(IF(OFFSET(nombres[],0,0,ROWS(nombres[]),1)=AGL$1490,ROW(OFFSET(nombres[],0,0,ROWS(nombres[]),1))-ROW(OFFSET(nombres[],0,0,1,1))+1,ROW(OFFSET(nombres[],ROWS(nombres[])-1,0,1,1))+1),$O1544:$O1563),3),"")</f>
        <v/>
      </c>
      <c r="AGM1544" s="42" t="str">
        <f t="array" aca="1" ref="AGM1544" ca="1">IFERROR(INDEX(nombres[],SMALL(IF(OFFSET(nombres[],0,0,ROWS(nombres[]),1)=AGM$1490,ROW(OFFSET(nombres[],0,0,ROWS(nombres[]),1))-ROW(OFFSET(nombres[],0,0,1,1))+1,ROW(OFFSET(nombres[],ROWS(nombres[])-1,0,1,1))+1),$O1544:$O1563),3),"")</f>
        <v/>
      </c>
      <c r="AGN1544" s="42" t="str">
        <f t="array" aca="1" ref="AGN1544" ca="1">IFERROR(INDEX(nombres[],SMALL(IF(OFFSET(nombres[],0,0,ROWS(nombres[]),1)=AGN$1490,ROW(OFFSET(nombres[],0,0,ROWS(nombres[]),1))-ROW(OFFSET(nombres[],0,0,1,1))+1,ROW(OFFSET(nombres[],ROWS(nombres[])-1,0,1,1))+1),$O1544:$O1563),3),"")</f>
        <v/>
      </c>
    </row>
    <row r="1545" spans="15:872" x14ac:dyDescent="0.25">
      <c r="O1545" s="42">
        <v>9</v>
      </c>
      <c r="P1545" s="42" t="str">
        <f t="array" aca="1" ref="P1545" ca="1">IFERROR(INDEX(nombres[],SMALL(IF(OFFSET(nombres[],0,0,ROWS(nombres[]),1)=P$1490,ROW(OFFSET(nombres[],0,0,ROWS(nombres[]),1))-ROW(OFFSET(nombres[],0,0,1,1))+1,ROW(OFFSET(nombres[],ROWS(nombres[])-1,0,1,1))+1),$O1545:$O1564),3),"")</f>
        <v/>
      </c>
      <c r="Q1545" s="42" t="str">
        <f t="array" aca="1" ref="Q1545" ca="1">IFERROR(INDEX(nombres[],SMALL(IF(OFFSET(nombres[],0,0,ROWS(nombres[]),1)=Q$1490,ROW(OFFSET(nombres[],0,0,ROWS(nombres[]),1))-ROW(OFFSET(nombres[],0,0,1,1))+1,ROW(OFFSET(nombres[],ROWS(nombres[])-1,0,1,1))+1),$O1545:$O1564),3),"")</f>
        <v/>
      </c>
      <c r="R1545" s="42" t="str">
        <f t="array" aca="1" ref="R1545" ca="1">IFERROR(INDEX(nombres[],SMALL(IF(OFFSET(nombres[],0,0,ROWS(nombres[]),1)=R$1490,ROW(OFFSET(nombres[],0,0,ROWS(nombres[]),1))-ROW(OFFSET(nombres[],0,0,1,1))+1,ROW(OFFSET(nombres[],ROWS(nombres[])-1,0,1,1))+1),$O1545:$O1564),3),"")</f>
        <v/>
      </c>
      <c r="S1545" s="42" t="str">
        <f t="array" aca="1" ref="S1545" ca="1">IFERROR(INDEX(nombres[],SMALL(IF(OFFSET(nombres[],0,0,ROWS(nombres[]),1)=S$1490,ROW(OFFSET(nombres[],0,0,ROWS(nombres[]),1))-ROW(OFFSET(nombres[],0,0,1,1))+1,ROW(OFFSET(nombres[],ROWS(nombres[])-1,0,1,1))+1),$O1545:$O1564),3),"")</f>
        <v/>
      </c>
      <c r="T1545" s="42" t="str">
        <f t="array" aca="1" ref="T1545" ca="1">IFERROR(INDEX(nombres[],SMALL(IF(OFFSET(nombres[],0,0,ROWS(nombres[]),1)=T$1490,ROW(OFFSET(nombres[],0,0,ROWS(nombres[]),1))-ROW(OFFSET(nombres[],0,0,1,1))+1,ROW(OFFSET(nombres[],ROWS(nombres[])-1,0,1,1))+1),$O1545:$O1564),3),"")</f>
        <v/>
      </c>
      <c r="U1545" s="42" t="str">
        <f t="array" aca="1" ref="U1545" ca="1">IFERROR(INDEX(nombres[],SMALL(IF(OFFSET(nombres[],0,0,ROWS(nombres[]),1)=U$1490,ROW(OFFSET(nombres[],0,0,ROWS(nombres[]),1))-ROW(OFFSET(nombres[],0,0,1,1))+1,ROW(OFFSET(nombres[],ROWS(nombres[])-1,0,1,1))+1),$O1545:$O1564),3),"")</f>
        <v/>
      </c>
      <c r="V1545" s="42" t="str">
        <f t="array" aca="1" ref="V1545" ca="1">IFERROR(INDEX(nombres[],SMALL(IF(OFFSET(nombres[],0,0,ROWS(nombres[]),1)=V$1490,ROW(OFFSET(nombres[],0,0,ROWS(nombres[]),1))-ROW(OFFSET(nombres[],0,0,1,1))+1,ROW(OFFSET(nombres[],ROWS(nombres[])-1,0,1,1))+1),$O1545:$O1564),3),"")</f>
        <v/>
      </c>
      <c r="W1545" s="42" t="str">
        <f t="array" aca="1" ref="W1545" ca="1">IFERROR(INDEX(nombres[],SMALL(IF(OFFSET(nombres[],0,0,ROWS(nombres[]),1)=W$1490,ROW(OFFSET(nombres[],0,0,ROWS(nombres[]),1))-ROW(OFFSET(nombres[],0,0,1,1))+1,ROW(OFFSET(nombres[],ROWS(nombres[])-1,0,1,1))+1),$O1545:$O1564),3),"")</f>
        <v/>
      </c>
      <c r="X1545" s="42" t="str">
        <f t="array" aca="1" ref="X1545" ca="1">IFERROR(INDEX(nombres[],SMALL(IF(OFFSET(nombres[],0,0,ROWS(nombres[]),1)=X$1490,ROW(OFFSET(nombres[],0,0,ROWS(nombres[]),1))-ROW(OFFSET(nombres[],0,0,1,1))+1,ROW(OFFSET(nombres[],ROWS(nombres[])-1,0,1,1))+1),$O1545:$O1564),3),"")</f>
        <v/>
      </c>
      <c r="Y1545" s="42" t="str">
        <f t="array" aca="1" ref="Y1545" ca="1">IFERROR(INDEX(nombres[],SMALL(IF(OFFSET(nombres[],0,0,ROWS(nombres[]),1)=Y$1490,ROW(OFFSET(nombres[],0,0,ROWS(nombres[]),1))-ROW(OFFSET(nombres[],0,0,1,1))+1,ROW(OFFSET(nombres[],ROWS(nombres[])-1,0,1,1))+1),$O1545:$O1564),3),"")</f>
        <v/>
      </c>
      <c r="Z1545" s="42" t="str">
        <f t="array" aca="1" ref="Z1545" ca="1">IFERROR(INDEX(nombres[],SMALL(IF(OFFSET(nombres[],0,0,ROWS(nombres[]),1)=Z$1490,ROW(OFFSET(nombres[],0,0,ROWS(nombres[]),1))-ROW(OFFSET(nombres[],0,0,1,1))+1,ROW(OFFSET(nombres[],ROWS(nombres[])-1,0,1,1))+1),$O1545:$O1564),3),"")</f>
        <v/>
      </c>
      <c r="AA1545" s="42" t="str">
        <f t="array" aca="1" ref="AA1545" ca="1">IFERROR(INDEX(nombres[],SMALL(IF(OFFSET(nombres[],0,0,ROWS(nombres[]),1)=AA$1490,ROW(OFFSET(nombres[],0,0,ROWS(nombres[]),1))-ROW(OFFSET(nombres[],0,0,1,1))+1,ROW(OFFSET(nombres[],ROWS(nombres[])-1,0,1,1))+1),$O1545:$O1564),3),"")</f>
        <v/>
      </c>
      <c r="AB1545" s="42" t="str">
        <f t="array" aca="1" ref="AB1545" ca="1">IFERROR(INDEX(nombres[],SMALL(IF(OFFSET(nombres[],0,0,ROWS(nombres[]),1)=AB$1490,ROW(OFFSET(nombres[],0,0,ROWS(nombres[]),1))-ROW(OFFSET(nombres[],0,0,1,1))+1,ROW(OFFSET(nombres[],ROWS(nombres[])-1,0,1,1))+1),$O1545:$O1564),3),"")</f>
        <v/>
      </c>
      <c r="AC1545" s="42" t="str">
        <f t="array" aca="1" ref="AC1545" ca="1">IFERROR(INDEX(nombres[],SMALL(IF(OFFSET(nombres[],0,0,ROWS(nombres[]),1)=AC$1490,ROW(OFFSET(nombres[],0,0,ROWS(nombres[]),1))-ROW(OFFSET(nombres[],0,0,1,1))+1,ROW(OFFSET(nombres[],ROWS(nombres[])-1,0,1,1))+1),$O1545:$O1564),3),"")</f>
        <v/>
      </c>
      <c r="AD1545" s="42" t="str">
        <f t="array" aca="1" ref="AD1545" ca="1">IFERROR(INDEX(nombres[],SMALL(IF(OFFSET(nombres[],0,0,ROWS(nombres[]),1)=AD$1490,ROW(OFFSET(nombres[],0,0,ROWS(nombres[]),1))-ROW(OFFSET(nombres[],0,0,1,1))+1,ROW(OFFSET(nombres[],ROWS(nombres[])-1,0,1,1))+1),$O1545:$O1564),3),"")</f>
        <v/>
      </c>
      <c r="AE1545" s="42" t="str">
        <f t="array" aca="1" ref="AE1545" ca="1">IFERROR(INDEX(nombres[],SMALL(IF(OFFSET(nombres[],0,0,ROWS(nombres[]),1)=AE$1490,ROW(OFFSET(nombres[],0,0,ROWS(nombres[]),1))-ROW(OFFSET(nombres[],0,0,1,1))+1,ROW(OFFSET(nombres[],ROWS(nombres[])-1,0,1,1))+1),$O1545:$O1564),3),"")</f>
        <v/>
      </c>
      <c r="AF1545" s="42" t="str">
        <f t="array" aca="1" ref="AF1545" ca="1">IFERROR(INDEX(nombres[],SMALL(IF(OFFSET(nombres[],0,0,ROWS(nombres[]),1)=AF$1490,ROW(OFFSET(nombres[],0,0,ROWS(nombres[]),1))-ROW(OFFSET(nombres[],0,0,1,1))+1,ROW(OFFSET(nombres[],ROWS(nombres[])-1,0,1,1))+1),$O1545:$O1564),3),"")</f>
        <v/>
      </c>
      <c r="AG1545" s="42" t="str">
        <f t="array" aca="1" ref="AG1545" ca="1">IFERROR(INDEX(nombres[],SMALL(IF(OFFSET(nombres[],0,0,ROWS(nombres[]),1)=AG$1490,ROW(OFFSET(nombres[],0,0,ROWS(nombres[]),1))-ROW(OFFSET(nombres[],0,0,1,1))+1,ROW(OFFSET(nombres[],ROWS(nombres[])-1,0,1,1))+1),$O1545:$O1564),3),"")</f>
        <v/>
      </c>
      <c r="AH1545" s="42" t="str">
        <f t="array" aca="1" ref="AH1545" ca="1">IFERROR(INDEX(nombres[],SMALL(IF(OFFSET(nombres[],0,0,ROWS(nombres[]),1)=AH$1490,ROW(OFFSET(nombres[],0,0,ROWS(nombres[]),1))-ROW(OFFSET(nombres[],0,0,1,1))+1,ROW(OFFSET(nombres[],ROWS(nombres[])-1,0,1,1))+1),$O1545:$O1564),3),"")</f>
        <v/>
      </c>
      <c r="AI1545" s="42" t="str">
        <f t="array" aca="1" ref="AI1545" ca="1">IFERROR(INDEX(nombres[],SMALL(IF(OFFSET(nombres[],0,0,ROWS(nombres[]),1)=AI$1490,ROW(OFFSET(nombres[],0,0,ROWS(nombres[]),1))-ROW(OFFSET(nombres[],0,0,1,1))+1,ROW(OFFSET(nombres[],ROWS(nombres[])-1,0,1,1))+1),$O1545:$O1564),3),"")</f>
        <v/>
      </c>
      <c r="AJ1545" s="42" t="str">
        <f t="array" aca="1" ref="AJ1545" ca="1">IFERROR(INDEX(nombres[],SMALL(IF(OFFSET(nombres[],0,0,ROWS(nombres[]),1)=AJ$1490,ROW(OFFSET(nombres[],0,0,ROWS(nombres[]),1))-ROW(OFFSET(nombres[],0,0,1,1))+1,ROW(OFFSET(nombres[],ROWS(nombres[])-1,0,1,1))+1),$O1545:$O1564),3),"")</f>
        <v/>
      </c>
      <c r="AK1545" s="42" t="str">
        <f t="array" aca="1" ref="AK1545" ca="1">IFERROR(INDEX(nombres[],SMALL(IF(OFFSET(nombres[],0,0,ROWS(nombres[]),1)=AK$1490,ROW(OFFSET(nombres[],0,0,ROWS(nombres[]),1))-ROW(OFFSET(nombres[],0,0,1,1))+1,ROW(OFFSET(nombres[],ROWS(nombres[])-1,0,1,1))+1),$O1545:$O1564),3),"")</f>
        <v/>
      </c>
      <c r="AL1545" s="42" t="str">
        <f t="array" aca="1" ref="AL1545" ca="1">IFERROR(INDEX(nombres[],SMALL(IF(OFFSET(nombres[],0,0,ROWS(nombres[]),1)=AL$1490,ROW(OFFSET(nombres[],0,0,ROWS(nombres[]),1))-ROW(OFFSET(nombres[],0,0,1,1))+1,ROW(OFFSET(nombres[],ROWS(nombres[])-1,0,1,1))+1),$O1545:$O1564),3),"")</f>
        <v/>
      </c>
      <c r="AM1545" s="42" t="str">
        <f t="array" aca="1" ref="AM1545" ca="1">IFERROR(INDEX(nombres[],SMALL(IF(OFFSET(nombres[],0,0,ROWS(nombres[]),1)=AM$1490,ROW(OFFSET(nombres[],0,0,ROWS(nombres[]),1))-ROW(OFFSET(nombres[],0,0,1,1))+1,ROW(OFFSET(nombres[],ROWS(nombres[])-1,0,1,1))+1),$O1545:$O1564),3),"")</f>
        <v/>
      </c>
      <c r="AN1545" s="42" t="str">
        <f t="array" aca="1" ref="AN1545" ca="1">IFERROR(INDEX(nombres[],SMALL(IF(OFFSET(nombres[],0,0,ROWS(nombres[]),1)=AN$1490,ROW(OFFSET(nombres[],0,0,ROWS(nombres[]),1))-ROW(OFFSET(nombres[],0,0,1,1))+1,ROW(OFFSET(nombres[],ROWS(nombres[])-1,0,1,1))+1),$O1545:$O1564),3),"")</f>
        <v/>
      </c>
      <c r="AO1545" s="42" t="str">
        <f t="array" aca="1" ref="AO1545" ca="1">IFERROR(INDEX(nombres[],SMALL(IF(OFFSET(nombres[],0,0,ROWS(nombres[]),1)=AO$1490,ROW(OFFSET(nombres[],0,0,ROWS(nombres[]),1))-ROW(OFFSET(nombres[],0,0,1,1))+1,ROW(OFFSET(nombres[],ROWS(nombres[])-1,0,1,1))+1),$O1545:$O1564),3),"")</f>
        <v/>
      </c>
      <c r="AP1545" s="42" t="str">
        <f t="array" aca="1" ref="AP1545" ca="1">IFERROR(INDEX(nombres[],SMALL(IF(OFFSET(nombres[],0,0,ROWS(nombres[]),1)=AP$1490,ROW(OFFSET(nombres[],0,0,ROWS(nombres[]),1))-ROW(OFFSET(nombres[],0,0,1,1))+1,ROW(OFFSET(nombres[],ROWS(nombres[])-1,0,1,1))+1),$O1545:$O1564),3),"")</f>
        <v/>
      </c>
      <c r="AQ1545" s="42" t="str">
        <f t="array" aca="1" ref="AQ1545" ca="1">IFERROR(INDEX(nombres[],SMALL(IF(OFFSET(nombres[],0,0,ROWS(nombres[]),1)=AQ$1490,ROW(OFFSET(nombres[],0,0,ROWS(nombres[]),1))-ROW(OFFSET(nombres[],0,0,1,1))+1,ROW(OFFSET(nombres[],ROWS(nombres[])-1,0,1,1))+1),$O1545:$O1564),3),"")</f>
        <v/>
      </c>
      <c r="AR1545" s="42" t="str">
        <f t="array" aca="1" ref="AR1545" ca="1">IFERROR(INDEX(nombres[],SMALL(IF(OFFSET(nombres[],0,0,ROWS(nombres[]),1)=AR$1490,ROW(OFFSET(nombres[],0,0,ROWS(nombres[]),1))-ROW(OFFSET(nombres[],0,0,1,1))+1,ROW(OFFSET(nombres[],ROWS(nombres[])-1,0,1,1))+1),$O1545:$O1564),3),"")</f>
        <v/>
      </c>
      <c r="AS1545" s="42" t="str">
        <f t="array" aca="1" ref="AS1545" ca="1">IFERROR(INDEX(nombres[],SMALL(IF(OFFSET(nombres[],0,0,ROWS(nombres[]),1)=AS$1490,ROW(OFFSET(nombres[],0,0,ROWS(nombres[]),1))-ROW(OFFSET(nombres[],0,0,1,1))+1,ROW(OFFSET(nombres[],ROWS(nombres[])-1,0,1,1))+1),$O1545:$O1564),3),"")</f>
        <v/>
      </c>
      <c r="AT1545" s="42" t="str">
        <f t="array" aca="1" ref="AT1545" ca="1">IFERROR(INDEX(nombres[],SMALL(IF(OFFSET(nombres[],0,0,ROWS(nombres[]),1)=AT$1490,ROW(OFFSET(nombres[],0,0,ROWS(nombres[]),1))-ROW(OFFSET(nombres[],0,0,1,1))+1,ROW(OFFSET(nombres[],ROWS(nombres[])-1,0,1,1))+1),$O1545:$O1564),3),"")</f>
        <v/>
      </c>
      <c r="AU1545" s="42" t="str">
        <f t="array" aca="1" ref="AU1545" ca="1">IFERROR(INDEX(nombres[],SMALL(IF(OFFSET(nombres[],0,0,ROWS(nombres[]),1)=AU$1490,ROW(OFFSET(nombres[],0,0,ROWS(nombres[]),1))-ROW(OFFSET(nombres[],0,0,1,1))+1,ROW(OFFSET(nombres[],ROWS(nombres[])-1,0,1,1))+1),$O1545:$O1564),3),"")</f>
        <v/>
      </c>
      <c r="AV1545" s="42" t="str">
        <f t="array" aca="1" ref="AV1545" ca="1">IFERROR(INDEX(nombres[],SMALL(IF(OFFSET(nombres[],0,0,ROWS(nombres[]),1)=AV$1490,ROW(OFFSET(nombres[],0,0,ROWS(nombres[]),1))-ROW(OFFSET(nombres[],0,0,1,1))+1,ROW(OFFSET(nombres[],ROWS(nombres[])-1,0,1,1))+1),$O1545:$O1564),3),"")</f>
        <v/>
      </c>
      <c r="AW1545" s="42" t="str">
        <f t="array" aca="1" ref="AW1545" ca="1">IFERROR(INDEX(nombres[],SMALL(IF(OFFSET(nombres[],0,0,ROWS(nombres[]),1)=AW$1490,ROW(OFFSET(nombres[],0,0,ROWS(nombres[]),1))-ROW(OFFSET(nombres[],0,0,1,1))+1,ROW(OFFSET(nombres[],ROWS(nombres[])-1,0,1,1))+1),$O1545:$O1564),3),"")</f>
        <v/>
      </c>
      <c r="AX1545" s="42" t="str">
        <f t="array" aca="1" ref="AX1545" ca="1">IFERROR(INDEX(nombres[],SMALL(IF(OFFSET(nombres[],0,0,ROWS(nombres[]),1)=AX$1490,ROW(OFFSET(nombres[],0,0,ROWS(nombres[]),1))-ROW(OFFSET(nombres[],0,0,1,1))+1,ROW(OFFSET(nombres[],ROWS(nombres[])-1,0,1,1))+1),$O1545:$O1564),3),"")</f>
        <v/>
      </c>
      <c r="AY1545" s="42" t="str">
        <f t="array" aca="1" ref="AY1545" ca="1">IFERROR(INDEX(nombres[],SMALL(IF(OFFSET(nombres[],0,0,ROWS(nombres[]),1)=AY$1490,ROW(OFFSET(nombres[],0,0,ROWS(nombres[]),1))-ROW(OFFSET(nombres[],0,0,1,1))+1,ROW(OFFSET(nombres[],ROWS(nombres[])-1,0,1,1))+1),$O1545:$O1564),3),"")</f>
        <v/>
      </c>
      <c r="AZ1545" s="42" t="str">
        <f t="array" aca="1" ref="AZ1545" ca="1">IFERROR(INDEX(nombres[],SMALL(IF(OFFSET(nombres[],0,0,ROWS(nombres[]),1)=AZ$1490,ROW(OFFSET(nombres[],0,0,ROWS(nombres[]),1))-ROW(OFFSET(nombres[],0,0,1,1))+1,ROW(OFFSET(nombres[],ROWS(nombres[])-1,0,1,1))+1),$O1545:$O1564),3),"")</f>
        <v/>
      </c>
      <c r="BA1545" s="42" t="str">
        <f t="array" aca="1" ref="BA1545" ca="1">IFERROR(INDEX(nombres[],SMALL(IF(OFFSET(nombres[],0,0,ROWS(nombres[]),1)=BA$1490,ROW(OFFSET(nombres[],0,0,ROWS(nombres[]),1))-ROW(OFFSET(nombres[],0,0,1,1))+1,ROW(OFFSET(nombres[],ROWS(nombres[])-1,0,1,1))+1),$O1545:$O1564),3),"")</f>
        <v/>
      </c>
      <c r="BB1545" s="42" t="str">
        <f t="array" aca="1" ref="BB1545" ca="1">IFERROR(INDEX(nombres[],SMALL(IF(OFFSET(nombres[],0,0,ROWS(nombres[]),1)=BB$1490,ROW(OFFSET(nombres[],0,0,ROWS(nombres[]),1))-ROW(OFFSET(nombres[],0,0,1,1))+1,ROW(OFFSET(nombres[],ROWS(nombres[])-1,0,1,1))+1),$O1545:$O1564),3),"")</f>
        <v/>
      </c>
      <c r="BC1545" s="42" t="str">
        <f t="array" aca="1" ref="BC1545" ca="1">IFERROR(INDEX(nombres[],SMALL(IF(OFFSET(nombres[],0,0,ROWS(nombres[]),1)=BC$1490,ROW(OFFSET(nombres[],0,0,ROWS(nombres[]),1))-ROW(OFFSET(nombres[],0,0,1,1))+1,ROW(OFFSET(nombres[],ROWS(nombres[])-1,0,1,1))+1),$O1545:$O1564),3),"")</f>
        <v/>
      </c>
      <c r="BD1545" s="42" t="str">
        <f t="array" aca="1" ref="BD1545" ca="1">IFERROR(INDEX(nombres[],SMALL(IF(OFFSET(nombres[],0,0,ROWS(nombres[]),1)=BD$1490,ROW(OFFSET(nombres[],0,0,ROWS(nombres[]),1))-ROW(OFFSET(nombres[],0,0,1,1))+1,ROW(OFFSET(nombres[],ROWS(nombres[])-1,0,1,1))+1),$O1545:$O1564),3),"")</f>
        <v/>
      </c>
      <c r="BE1545" s="42" t="str">
        <f t="array" aca="1" ref="BE1545" ca="1">IFERROR(INDEX(nombres[],SMALL(IF(OFFSET(nombres[],0,0,ROWS(nombres[]),1)=BE$1490,ROW(OFFSET(nombres[],0,0,ROWS(nombres[]),1))-ROW(OFFSET(nombres[],0,0,1,1))+1,ROW(OFFSET(nombres[],ROWS(nombres[])-1,0,1,1))+1),$O1545:$O1564),3),"")</f>
        <v/>
      </c>
      <c r="BF1545" s="42" t="str">
        <f t="array" aca="1" ref="BF1545" ca="1">IFERROR(INDEX(nombres[],SMALL(IF(OFFSET(nombres[],0,0,ROWS(nombres[]),1)=BF$1490,ROW(OFFSET(nombres[],0,0,ROWS(nombres[]),1))-ROW(OFFSET(nombres[],0,0,1,1))+1,ROW(OFFSET(nombres[],ROWS(nombres[])-1,0,1,1))+1),$O1545:$O1564),3),"")</f>
        <v/>
      </c>
      <c r="BG1545" s="42" t="str">
        <f t="array" aca="1" ref="BG1545" ca="1">IFERROR(INDEX(nombres[],SMALL(IF(OFFSET(nombres[],0,0,ROWS(nombres[]),1)=BG$1490,ROW(OFFSET(nombres[],0,0,ROWS(nombres[]),1))-ROW(OFFSET(nombres[],0,0,1,1))+1,ROW(OFFSET(nombres[],ROWS(nombres[])-1,0,1,1))+1),$O1545:$O1564),3),"")</f>
        <v/>
      </c>
      <c r="BH1545" s="42" t="str">
        <f t="array" aca="1" ref="BH1545" ca="1">IFERROR(INDEX(nombres[],SMALL(IF(OFFSET(nombres[],0,0,ROWS(nombres[]),1)=BH$1490,ROW(OFFSET(nombres[],0,0,ROWS(nombres[]),1))-ROW(OFFSET(nombres[],0,0,1,1))+1,ROW(OFFSET(nombres[],ROWS(nombres[])-1,0,1,1))+1),$O1545:$O1564),3),"")</f>
        <v/>
      </c>
      <c r="BI1545" s="42" t="str">
        <f t="array" aca="1" ref="BI1545" ca="1">IFERROR(INDEX(nombres[],SMALL(IF(OFFSET(nombres[],0,0,ROWS(nombres[]),1)=BI$1490,ROW(OFFSET(nombres[],0,0,ROWS(nombres[]),1))-ROW(OFFSET(nombres[],0,0,1,1))+1,ROW(OFFSET(nombres[],ROWS(nombres[])-1,0,1,1))+1),$O1545:$O1564),3),"")</f>
        <v/>
      </c>
      <c r="BJ1545" s="42" t="str">
        <f t="array" aca="1" ref="BJ1545" ca="1">IFERROR(INDEX(nombres[],SMALL(IF(OFFSET(nombres[],0,0,ROWS(nombres[]),1)=BJ$1490,ROW(OFFSET(nombres[],0,0,ROWS(nombres[]),1))-ROW(OFFSET(nombres[],0,0,1,1))+1,ROW(OFFSET(nombres[],ROWS(nombres[])-1,0,1,1))+1),$O1545:$O1564),3),"")</f>
        <v/>
      </c>
      <c r="BK1545" s="42" t="str">
        <f t="array" aca="1" ref="BK1545" ca="1">IFERROR(INDEX(nombres[],SMALL(IF(OFFSET(nombres[],0,0,ROWS(nombres[]),1)=BK$1490,ROW(OFFSET(nombres[],0,0,ROWS(nombres[]),1))-ROW(OFFSET(nombres[],0,0,1,1))+1,ROW(OFFSET(nombres[],ROWS(nombres[])-1,0,1,1))+1),$O1545:$O1564),3),"")</f>
        <v/>
      </c>
      <c r="BL1545" s="42" t="str">
        <f t="array" aca="1" ref="BL1545" ca="1">IFERROR(INDEX(nombres[],SMALL(IF(OFFSET(nombres[],0,0,ROWS(nombres[]),1)=BL$1490,ROW(OFFSET(nombres[],0,0,ROWS(nombres[]),1))-ROW(OFFSET(nombres[],0,0,1,1))+1,ROW(OFFSET(nombres[],ROWS(nombres[])-1,0,1,1))+1),$O1545:$O1564),3),"")</f>
        <v/>
      </c>
      <c r="BM1545" s="42" t="str">
        <f t="array" aca="1" ref="BM1545" ca="1">IFERROR(INDEX(nombres[],SMALL(IF(OFFSET(nombres[],0,0,ROWS(nombres[]),1)=BM$1490,ROW(OFFSET(nombres[],0,0,ROWS(nombres[]),1))-ROW(OFFSET(nombres[],0,0,1,1))+1,ROW(OFFSET(nombres[],ROWS(nombres[])-1,0,1,1))+1),$O1545:$O1564),3),"")</f>
        <v/>
      </c>
      <c r="BN1545" s="42" t="str">
        <f t="array" aca="1" ref="BN1545" ca="1">IFERROR(INDEX(nombres[],SMALL(IF(OFFSET(nombres[],0,0,ROWS(nombres[]),1)=BN$1490,ROW(OFFSET(nombres[],0,0,ROWS(nombres[]),1))-ROW(OFFSET(nombres[],0,0,1,1))+1,ROW(OFFSET(nombres[],ROWS(nombres[])-1,0,1,1))+1),$O1545:$O1564),3),"")</f>
        <v/>
      </c>
      <c r="BO1545" s="42" t="str">
        <f t="array" aca="1" ref="BO1545" ca="1">IFERROR(INDEX(nombres[],SMALL(IF(OFFSET(nombres[],0,0,ROWS(nombres[]),1)=BO$1490,ROW(OFFSET(nombres[],0,0,ROWS(nombres[]),1))-ROW(OFFSET(nombres[],0,0,1,1))+1,ROW(OFFSET(nombres[],ROWS(nombres[])-1,0,1,1))+1),$O1545:$O1564),3),"")</f>
        <v/>
      </c>
      <c r="BP1545" s="42" t="str">
        <f t="array" aca="1" ref="BP1545" ca="1">IFERROR(INDEX(nombres[],SMALL(IF(OFFSET(nombres[],0,0,ROWS(nombres[]),1)=BP$1490,ROW(OFFSET(nombres[],0,0,ROWS(nombres[]),1))-ROW(OFFSET(nombres[],0,0,1,1))+1,ROW(OFFSET(nombres[],ROWS(nombres[])-1,0,1,1))+1),$O1545:$O1564),3),"")</f>
        <v/>
      </c>
      <c r="BQ1545" s="42" t="str">
        <f t="array" aca="1" ref="BQ1545" ca="1">IFERROR(INDEX(nombres[],SMALL(IF(OFFSET(nombres[],0,0,ROWS(nombres[]),1)=BQ$1490,ROW(OFFSET(nombres[],0,0,ROWS(nombres[]),1))-ROW(OFFSET(nombres[],0,0,1,1))+1,ROW(OFFSET(nombres[],ROWS(nombres[])-1,0,1,1))+1),$O1545:$O1564),3),"")</f>
        <v/>
      </c>
      <c r="BR1545" s="42" t="str">
        <f t="array" aca="1" ref="BR1545" ca="1">IFERROR(INDEX(nombres[],SMALL(IF(OFFSET(nombres[],0,0,ROWS(nombres[]),1)=BR$1490,ROW(OFFSET(nombres[],0,0,ROWS(nombres[]),1))-ROW(OFFSET(nombres[],0,0,1,1))+1,ROW(OFFSET(nombres[],ROWS(nombres[])-1,0,1,1))+1),$O1545:$O1564),3),"")</f>
        <v/>
      </c>
      <c r="BS1545" s="42" t="str">
        <f t="array" aca="1" ref="BS1545" ca="1">IFERROR(INDEX(nombres[],SMALL(IF(OFFSET(nombres[],0,0,ROWS(nombres[]),1)=BS$1490,ROW(OFFSET(nombres[],0,0,ROWS(nombres[]),1))-ROW(OFFSET(nombres[],0,0,1,1))+1,ROW(OFFSET(nombres[],ROWS(nombres[])-1,0,1,1))+1),$O1545:$O1564),3),"")</f>
        <v/>
      </c>
      <c r="BT1545" s="42" t="str">
        <f t="array" aca="1" ref="BT1545" ca="1">IFERROR(INDEX(nombres[],SMALL(IF(OFFSET(nombres[],0,0,ROWS(nombres[]),1)=BT$1490,ROW(OFFSET(nombres[],0,0,ROWS(nombres[]),1))-ROW(OFFSET(nombres[],0,0,1,1))+1,ROW(OFFSET(nombres[],ROWS(nombres[])-1,0,1,1))+1),$O1545:$O1564),3),"")</f>
        <v/>
      </c>
      <c r="BU1545" s="42" t="str">
        <f t="array" aca="1" ref="BU1545" ca="1">IFERROR(INDEX(nombres[],SMALL(IF(OFFSET(nombres[],0,0,ROWS(nombres[]),1)=BU$1490,ROW(OFFSET(nombres[],0,0,ROWS(nombres[]),1))-ROW(OFFSET(nombres[],0,0,1,1))+1,ROW(OFFSET(nombres[],ROWS(nombres[])-1,0,1,1))+1),$O1545:$O1564),3),"")</f>
        <v/>
      </c>
      <c r="BV1545" s="42" t="str">
        <f t="array" aca="1" ref="BV1545" ca="1">IFERROR(INDEX(nombres[],SMALL(IF(OFFSET(nombres[],0,0,ROWS(nombres[]),1)=BV$1490,ROW(OFFSET(nombres[],0,0,ROWS(nombres[]),1))-ROW(OFFSET(nombres[],0,0,1,1))+1,ROW(OFFSET(nombres[],ROWS(nombres[])-1,0,1,1))+1),$O1545:$O1564),3),"")</f>
        <v/>
      </c>
      <c r="BW1545" s="42" t="str">
        <f t="array" aca="1" ref="BW1545" ca="1">IFERROR(INDEX(nombres[],SMALL(IF(OFFSET(nombres[],0,0,ROWS(nombres[]),1)=BW$1490,ROW(OFFSET(nombres[],0,0,ROWS(nombres[]),1))-ROW(OFFSET(nombres[],0,0,1,1))+1,ROW(OFFSET(nombres[],ROWS(nombres[])-1,0,1,1))+1),$O1545:$O1564),3),"")</f>
        <v/>
      </c>
      <c r="BX1545" s="42" t="str">
        <f t="array" aca="1" ref="BX1545" ca="1">IFERROR(INDEX(nombres[],SMALL(IF(OFFSET(nombres[],0,0,ROWS(nombres[]),1)=BX$1490,ROW(OFFSET(nombres[],0,0,ROWS(nombres[]),1))-ROW(OFFSET(nombres[],0,0,1,1))+1,ROW(OFFSET(nombres[],ROWS(nombres[])-1,0,1,1))+1),$O1545:$O1564),3),"")</f>
        <v/>
      </c>
      <c r="BY1545" s="42" t="str">
        <f t="array" aca="1" ref="BY1545" ca="1">IFERROR(INDEX(nombres[],SMALL(IF(OFFSET(nombres[],0,0,ROWS(nombres[]),1)=BY$1490,ROW(OFFSET(nombres[],0,0,ROWS(nombres[]),1))-ROW(OFFSET(nombres[],0,0,1,1))+1,ROW(OFFSET(nombres[],ROWS(nombres[])-1,0,1,1))+1),$O1545:$O1564),3),"")</f>
        <v/>
      </c>
      <c r="BZ1545" s="42" t="str">
        <f t="array" aca="1" ref="BZ1545" ca="1">IFERROR(INDEX(nombres[],SMALL(IF(OFFSET(nombres[],0,0,ROWS(nombres[]),1)=BZ$1490,ROW(OFFSET(nombres[],0,0,ROWS(nombres[]),1))-ROW(OFFSET(nombres[],0,0,1,1))+1,ROW(OFFSET(nombres[],ROWS(nombres[])-1,0,1,1))+1),$O1545:$O1564),3),"")</f>
        <v/>
      </c>
      <c r="CA1545" s="42" t="str">
        <f t="array" aca="1" ref="CA1545" ca="1">IFERROR(INDEX(nombres[],SMALL(IF(OFFSET(nombres[],0,0,ROWS(nombres[]),1)=CA$1490,ROW(OFFSET(nombres[],0,0,ROWS(nombres[]),1))-ROW(OFFSET(nombres[],0,0,1,1))+1,ROW(OFFSET(nombres[],ROWS(nombres[])-1,0,1,1))+1),$O1545:$O1564),3),"")</f>
        <v/>
      </c>
      <c r="CB1545" s="42" t="str">
        <f t="array" aca="1" ref="CB1545" ca="1">IFERROR(INDEX(nombres[],SMALL(IF(OFFSET(nombres[],0,0,ROWS(nombres[]),1)=CB$1490,ROW(OFFSET(nombres[],0,0,ROWS(nombres[]),1))-ROW(OFFSET(nombres[],0,0,1,1))+1,ROW(OFFSET(nombres[],ROWS(nombres[])-1,0,1,1))+1),$O1545:$O1564),3),"")</f>
        <v/>
      </c>
      <c r="CC1545" s="42" t="str">
        <f t="array" aca="1" ref="CC1545" ca="1">IFERROR(INDEX(nombres[],SMALL(IF(OFFSET(nombres[],0,0,ROWS(nombres[]),1)=CC$1490,ROW(OFFSET(nombres[],0,0,ROWS(nombres[]),1))-ROW(OFFSET(nombres[],0,0,1,1))+1,ROW(OFFSET(nombres[],ROWS(nombres[])-1,0,1,1))+1),$O1545:$O1564),3),"")</f>
        <v/>
      </c>
      <c r="CD1545" s="42" t="str">
        <f t="array" aca="1" ref="CD1545" ca="1">IFERROR(INDEX(nombres[],SMALL(IF(OFFSET(nombres[],0,0,ROWS(nombres[]),1)=CD$1490,ROW(OFFSET(nombres[],0,0,ROWS(nombres[]),1))-ROW(OFFSET(nombres[],0,0,1,1))+1,ROW(OFFSET(nombres[],ROWS(nombres[])-1,0,1,1))+1),$O1545:$O1564),3),"")</f>
        <v/>
      </c>
      <c r="CE1545" s="42" t="str">
        <f t="array" aca="1" ref="CE1545" ca="1">IFERROR(INDEX(nombres[],SMALL(IF(OFFSET(nombres[],0,0,ROWS(nombres[]),1)=CE$1490,ROW(OFFSET(nombres[],0,0,ROWS(nombres[]),1))-ROW(OFFSET(nombres[],0,0,1,1))+1,ROW(OFFSET(nombres[],ROWS(nombres[])-1,0,1,1))+1),$O1545:$O1564),3),"")</f>
        <v/>
      </c>
      <c r="CF1545" s="42" t="str">
        <f t="array" aca="1" ref="CF1545" ca="1">IFERROR(INDEX(nombres[],SMALL(IF(OFFSET(nombres[],0,0,ROWS(nombres[]),1)=CF$1490,ROW(OFFSET(nombres[],0,0,ROWS(nombres[]),1))-ROW(OFFSET(nombres[],0,0,1,1))+1,ROW(OFFSET(nombres[],ROWS(nombres[])-1,0,1,1))+1),$O1545:$O1564),3),"")</f>
        <v/>
      </c>
      <c r="CG1545" s="42" t="str">
        <f t="array" aca="1" ref="CG1545" ca="1">IFERROR(INDEX(nombres[],SMALL(IF(OFFSET(nombres[],0,0,ROWS(nombres[]),1)=CG$1490,ROW(OFFSET(nombres[],0,0,ROWS(nombres[]),1))-ROW(OFFSET(nombres[],0,0,1,1))+1,ROW(OFFSET(nombres[],ROWS(nombres[])-1,0,1,1))+1),$O1545:$O1564),3),"")</f>
        <v/>
      </c>
      <c r="CH1545" s="42" t="str">
        <f t="array" aca="1" ref="CH1545" ca="1">IFERROR(INDEX(nombres[],SMALL(IF(OFFSET(nombres[],0,0,ROWS(nombres[]),1)=CH$1490,ROW(OFFSET(nombres[],0,0,ROWS(nombres[]),1))-ROW(OFFSET(nombres[],0,0,1,1))+1,ROW(OFFSET(nombres[],ROWS(nombres[])-1,0,1,1))+1),$O1545:$O1564),3),"")</f>
        <v/>
      </c>
      <c r="CI1545" s="42" t="str">
        <f t="array" aca="1" ref="CI1545" ca="1">IFERROR(INDEX(nombres[],SMALL(IF(OFFSET(nombres[],0,0,ROWS(nombres[]),1)=CI$1490,ROW(OFFSET(nombres[],0,0,ROWS(nombres[]),1))-ROW(OFFSET(nombres[],0,0,1,1))+1,ROW(OFFSET(nombres[],ROWS(nombres[])-1,0,1,1))+1),$O1545:$O1564),3),"")</f>
        <v/>
      </c>
      <c r="CJ1545" s="42" t="str">
        <f t="array" aca="1" ref="CJ1545" ca="1">IFERROR(INDEX(nombres[],SMALL(IF(OFFSET(nombres[],0,0,ROWS(nombres[]),1)=CJ$1490,ROW(OFFSET(nombres[],0,0,ROWS(nombres[]),1))-ROW(OFFSET(nombres[],0,0,1,1))+1,ROW(OFFSET(nombres[],ROWS(nombres[])-1,0,1,1))+1),$O1545:$O1564),3),"")</f>
        <v/>
      </c>
      <c r="CK1545" s="42" t="str">
        <f t="array" aca="1" ref="CK1545" ca="1">IFERROR(INDEX(nombres[],SMALL(IF(OFFSET(nombres[],0,0,ROWS(nombres[]),1)=CK$1490,ROW(OFFSET(nombres[],0,0,ROWS(nombres[]),1))-ROW(OFFSET(nombres[],0,0,1,1))+1,ROW(OFFSET(nombres[],ROWS(nombres[])-1,0,1,1))+1),$O1545:$O1564),3),"")</f>
        <v/>
      </c>
      <c r="CL1545" s="42" t="str">
        <f t="array" aca="1" ref="CL1545" ca="1">IFERROR(INDEX(nombres[],SMALL(IF(OFFSET(nombres[],0,0,ROWS(nombres[]),1)=CL$1490,ROW(OFFSET(nombres[],0,0,ROWS(nombres[]),1))-ROW(OFFSET(nombres[],0,0,1,1))+1,ROW(OFFSET(nombres[],ROWS(nombres[])-1,0,1,1))+1),$O1545:$O1564),3),"")</f>
        <v/>
      </c>
      <c r="CM1545" s="42" t="str">
        <f t="array" aca="1" ref="CM1545" ca="1">IFERROR(INDEX(nombres[],SMALL(IF(OFFSET(nombres[],0,0,ROWS(nombres[]),1)=CM$1490,ROW(OFFSET(nombres[],0,0,ROWS(nombres[]),1))-ROW(OFFSET(nombres[],0,0,1,1))+1,ROW(OFFSET(nombres[],ROWS(nombres[])-1,0,1,1))+1),$O1545:$O1564),3),"")</f>
        <v/>
      </c>
      <c r="CN1545" s="42" t="str">
        <f t="array" aca="1" ref="CN1545" ca="1">IFERROR(INDEX(nombres[],SMALL(IF(OFFSET(nombres[],0,0,ROWS(nombres[]),1)=CN$1490,ROW(OFFSET(nombres[],0,0,ROWS(nombres[]),1))-ROW(OFFSET(nombres[],0,0,1,1))+1,ROW(OFFSET(nombres[],ROWS(nombres[])-1,0,1,1))+1),$O1545:$O1564),3),"")</f>
        <v/>
      </c>
      <c r="CO1545" s="42" t="str">
        <f t="array" aca="1" ref="CO1545" ca="1">IFERROR(INDEX(nombres[],SMALL(IF(OFFSET(nombres[],0,0,ROWS(nombres[]),1)=CO$1490,ROW(OFFSET(nombres[],0,0,ROWS(nombres[]),1))-ROW(OFFSET(nombres[],0,0,1,1))+1,ROW(OFFSET(nombres[],ROWS(nombres[])-1,0,1,1))+1),$O1545:$O1564),3),"")</f>
        <v/>
      </c>
      <c r="CP1545" s="42" t="str">
        <f t="array" aca="1" ref="CP1545" ca="1">IFERROR(INDEX(nombres[],SMALL(IF(OFFSET(nombres[],0,0,ROWS(nombres[]),1)=CP$1490,ROW(OFFSET(nombres[],0,0,ROWS(nombres[]),1))-ROW(OFFSET(nombres[],0,0,1,1))+1,ROW(OFFSET(nombres[],ROWS(nombres[])-1,0,1,1))+1),$O1545:$O1564),3),"")</f>
        <v/>
      </c>
      <c r="CQ1545" s="42" t="str">
        <f t="array" aca="1" ref="CQ1545" ca="1">IFERROR(INDEX(nombres[],SMALL(IF(OFFSET(nombres[],0,0,ROWS(nombres[]),1)=CQ$1490,ROW(OFFSET(nombres[],0,0,ROWS(nombres[]),1))-ROW(OFFSET(nombres[],0,0,1,1))+1,ROW(OFFSET(nombres[],ROWS(nombres[])-1,0,1,1))+1),$O1545:$O1564),3),"")</f>
        <v/>
      </c>
      <c r="CR1545" s="42" t="str">
        <f t="array" aca="1" ref="CR1545" ca="1">IFERROR(INDEX(nombres[],SMALL(IF(OFFSET(nombres[],0,0,ROWS(nombres[]),1)=CR$1490,ROW(OFFSET(nombres[],0,0,ROWS(nombres[]),1))-ROW(OFFSET(nombres[],0,0,1,1))+1,ROW(OFFSET(nombres[],ROWS(nombres[])-1,0,1,1))+1),$O1545:$O1564),3),"")</f>
        <v/>
      </c>
      <c r="CS1545" s="42" t="str">
        <f t="array" aca="1" ref="CS1545" ca="1">IFERROR(INDEX(nombres[],SMALL(IF(OFFSET(nombres[],0,0,ROWS(nombres[]),1)=CS$1490,ROW(OFFSET(nombres[],0,0,ROWS(nombres[]),1))-ROW(OFFSET(nombres[],0,0,1,1))+1,ROW(OFFSET(nombres[],ROWS(nombres[])-1,0,1,1))+1),$O1545:$O1564),3),"")</f>
        <v/>
      </c>
      <c r="CT1545" s="42" t="str">
        <f t="array" aca="1" ref="CT1545" ca="1">IFERROR(INDEX(nombres[],SMALL(IF(OFFSET(nombres[],0,0,ROWS(nombres[]),1)=CT$1490,ROW(OFFSET(nombres[],0,0,ROWS(nombres[]),1))-ROW(OFFSET(nombres[],0,0,1,1))+1,ROW(OFFSET(nombres[],ROWS(nombres[])-1,0,1,1))+1),$O1545:$O1564),3),"")</f>
        <v/>
      </c>
      <c r="CU1545" s="42" t="str">
        <f t="array" aca="1" ref="CU1545" ca="1">IFERROR(INDEX(nombres[],SMALL(IF(OFFSET(nombres[],0,0,ROWS(nombres[]),1)=CU$1490,ROW(OFFSET(nombres[],0,0,ROWS(nombres[]),1))-ROW(OFFSET(nombres[],0,0,1,1))+1,ROW(OFFSET(nombres[],ROWS(nombres[])-1,0,1,1))+1),$O1545:$O1564),3),"")</f>
        <v/>
      </c>
      <c r="CV1545" s="42" t="str">
        <f t="array" aca="1" ref="CV1545" ca="1">IFERROR(INDEX(nombres[],SMALL(IF(OFFSET(nombres[],0,0,ROWS(nombres[]),1)=CV$1490,ROW(OFFSET(nombres[],0,0,ROWS(nombres[]),1))-ROW(OFFSET(nombres[],0,0,1,1))+1,ROW(OFFSET(nombres[],ROWS(nombres[])-1,0,1,1))+1),$O1545:$O1564),3),"")</f>
        <v/>
      </c>
      <c r="CW1545" s="42" t="str">
        <f t="array" aca="1" ref="CW1545" ca="1">IFERROR(INDEX(nombres[],SMALL(IF(OFFSET(nombres[],0,0,ROWS(nombres[]),1)=CW$1490,ROW(OFFSET(nombres[],0,0,ROWS(nombres[]),1))-ROW(OFFSET(nombres[],0,0,1,1))+1,ROW(OFFSET(nombres[],ROWS(nombres[])-1,0,1,1))+1),$O1545:$O1564),3),"")</f>
        <v/>
      </c>
      <c r="CX1545" s="42" t="str">
        <f t="array" aca="1" ref="CX1545" ca="1">IFERROR(INDEX(nombres[],SMALL(IF(OFFSET(nombres[],0,0,ROWS(nombres[]),1)=CX$1490,ROW(OFFSET(nombres[],0,0,ROWS(nombres[]),1))-ROW(OFFSET(nombres[],0,0,1,1))+1,ROW(OFFSET(nombres[],ROWS(nombres[])-1,0,1,1))+1),$O1545:$O1564),3),"")</f>
        <v/>
      </c>
      <c r="CY1545" s="42" t="str">
        <f t="array" aca="1" ref="CY1545" ca="1">IFERROR(INDEX(nombres[],SMALL(IF(OFFSET(nombres[],0,0,ROWS(nombres[]),1)=CY$1490,ROW(OFFSET(nombres[],0,0,ROWS(nombres[]),1))-ROW(OFFSET(nombres[],0,0,1,1))+1,ROW(OFFSET(nombres[],ROWS(nombres[])-1,0,1,1))+1),$O1545:$O1564),3),"")</f>
        <v/>
      </c>
      <c r="CZ1545" s="42" t="str">
        <f t="array" aca="1" ref="CZ1545" ca="1">IFERROR(INDEX(nombres[],SMALL(IF(OFFSET(nombres[],0,0,ROWS(nombres[]),1)=CZ$1490,ROW(OFFSET(nombres[],0,0,ROWS(nombres[]),1))-ROW(OFFSET(nombres[],0,0,1,1))+1,ROW(OFFSET(nombres[],ROWS(nombres[])-1,0,1,1))+1),$O1545:$O1564),3),"")</f>
        <v/>
      </c>
      <c r="DA1545" s="42" t="str">
        <f t="array" aca="1" ref="DA1545" ca="1">IFERROR(INDEX(nombres[],SMALL(IF(OFFSET(nombres[],0,0,ROWS(nombres[]),1)=DA$1490,ROW(OFFSET(nombres[],0,0,ROWS(nombres[]),1))-ROW(OFFSET(nombres[],0,0,1,1))+1,ROW(OFFSET(nombres[],ROWS(nombres[])-1,0,1,1))+1),$O1545:$O1564),3),"")</f>
        <v/>
      </c>
      <c r="DB1545" s="42" t="str">
        <f t="array" aca="1" ref="DB1545" ca="1">IFERROR(INDEX(nombres[],SMALL(IF(OFFSET(nombres[],0,0,ROWS(nombres[]),1)=DB$1490,ROW(OFFSET(nombres[],0,0,ROWS(nombres[]),1))-ROW(OFFSET(nombres[],0,0,1,1))+1,ROW(OFFSET(nombres[],ROWS(nombres[])-1,0,1,1))+1),$O1545:$O1564),3),"")</f>
        <v/>
      </c>
      <c r="DC1545" s="42" t="str">
        <f t="array" aca="1" ref="DC1545" ca="1">IFERROR(INDEX(nombres[],SMALL(IF(OFFSET(nombres[],0,0,ROWS(nombres[]),1)=DC$1490,ROW(OFFSET(nombres[],0,0,ROWS(nombres[]),1))-ROW(OFFSET(nombres[],0,0,1,1))+1,ROW(OFFSET(nombres[],ROWS(nombres[])-1,0,1,1))+1),$O1545:$O1564),3),"")</f>
        <v/>
      </c>
      <c r="DD1545" s="42" t="str">
        <f t="array" aca="1" ref="DD1545" ca="1">IFERROR(INDEX(nombres[],SMALL(IF(OFFSET(nombres[],0,0,ROWS(nombres[]),1)=DD$1490,ROW(OFFSET(nombres[],0,0,ROWS(nombres[]),1))-ROW(OFFSET(nombres[],0,0,1,1))+1,ROW(OFFSET(nombres[],ROWS(nombres[])-1,0,1,1))+1),$O1545:$O1564),3),"")</f>
        <v/>
      </c>
      <c r="DE1545" s="42" t="str">
        <f t="array" aca="1" ref="DE1545" ca="1">IFERROR(INDEX(nombres[],SMALL(IF(OFFSET(nombres[],0,0,ROWS(nombres[]),1)=DE$1490,ROW(OFFSET(nombres[],0,0,ROWS(nombres[]),1))-ROW(OFFSET(nombres[],0,0,1,1))+1,ROW(OFFSET(nombres[],ROWS(nombres[])-1,0,1,1))+1),$O1545:$O1564),3),"")</f>
        <v/>
      </c>
      <c r="DF1545" s="42" t="str">
        <f t="array" aca="1" ref="DF1545" ca="1">IFERROR(INDEX(nombres[],SMALL(IF(OFFSET(nombres[],0,0,ROWS(nombres[]),1)=DF$1490,ROW(OFFSET(nombres[],0,0,ROWS(nombres[]),1))-ROW(OFFSET(nombres[],0,0,1,1))+1,ROW(OFFSET(nombres[],ROWS(nombres[])-1,0,1,1))+1),$O1545:$O1564),3),"")</f>
        <v/>
      </c>
      <c r="DG1545" s="42" t="str">
        <f t="array" aca="1" ref="DG1545" ca="1">IFERROR(INDEX(nombres[],SMALL(IF(OFFSET(nombres[],0,0,ROWS(nombres[]),1)=DG$1490,ROW(OFFSET(nombres[],0,0,ROWS(nombres[]),1))-ROW(OFFSET(nombres[],0,0,1,1))+1,ROW(OFFSET(nombres[],ROWS(nombres[])-1,0,1,1))+1),$O1545:$O1564),3),"")</f>
        <v/>
      </c>
      <c r="DH1545" s="42" t="str">
        <f t="array" aca="1" ref="DH1545" ca="1">IFERROR(INDEX(nombres[],SMALL(IF(OFFSET(nombres[],0,0,ROWS(nombres[]),1)=DH$1490,ROW(OFFSET(nombres[],0,0,ROWS(nombres[]),1))-ROW(OFFSET(nombres[],0,0,1,1))+1,ROW(OFFSET(nombres[],ROWS(nombres[])-1,0,1,1))+1),$O1545:$O1564),3),"")</f>
        <v/>
      </c>
      <c r="DI1545" s="42" t="str">
        <f t="array" aca="1" ref="DI1545" ca="1">IFERROR(INDEX(nombres[],SMALL(IF(OFFSET(nombres[],0,0,ROWS(nombres[]),1)=DI$1490,ROW(OFFSET(nombres[],0,0,ROWS(nombres[]),1))-ROW(OFFSET(nombres[],0,0,1,1))+1,ROW(OFFSET(nombres[],ROWS(nombres[])-1,0,1,1))+1),$O1545:$O1564),3),"")</f>
        <v/>
      </c>
      <c r="DJ1545" s="42" t="str">
        <f t="array" aca="1" ref="DJ1545" ca="1">IFERROR(INDEX(nombres[],SMALL(IF(OFFSET(nombres[],0,0,ROWS(nombres[]),1)=DJ$1490,ROW(OFFSET(nombres[],0,0,ROWS(nombres[]),1))-ROW(OFFSET(nombres[],0,0,1,1))+1,ROW(OFFSET(nombres[],ROWS(nombres[])-1,0,1,1))+1),$O1545:$O1564),3),"")</f>
        <v/>
      </c>
      <c r="DK1545" s="42" t="str">
        <f t="array" aca="1" ref="DK1545" ca="1">IFERROR(INDEX(nombres[],SMALL(IF(OFFSET(nombres[],0,0,ROWS(nombres[]),1)=DK$1490,ROW(OFFSET(nombres[],0,0,ROWS(nombres[]),1))-ROW(OFFSET(nombres[],0,0,1,1))+1,ROW(OFFSET(nombres[],ROWS(nombres[])-1,0,1,1))+1),$O1545:$O1564),3),"")</f>
        <v/>
      </c>
      <c r="DL1545" s="42" t="str">
        <f t="array" aca="1" ref="DL1545" ca="1">IFERROR(INDEX(nombres[],SMALL(IF(OFFSET(nombres[],0,0,ROWS(nombres[]),1)=DL$1490,ROW(OFFSET(nombres[],0,0,ROWS(nombres[]),1))-ROW(OFFSET(nombres[],0,0,1,1))+1,ROW(OFFSET(nombres[],ROWS(nombres[])-1,0,1,1))+1),$O1545:$O1564),3),"")</f>
        <v/>
      </c>
      <c r="DM1545" s="42" t="str">
        <f t="array" aca="1" ref="DM1545" ca="1">IFERROR(INDEX(nombres[],SMALL(IF(OFFSET(nombres[],0,0,ROWS(nombres[]),1)=DM$1490,ROW(OFFSET(nombres[],0,0,ROWS(nombres[]),1))-ROW(OFFSET(nombres[],0,0,1,1))+1,ROW(OFFSET(nombres[],ROWS(nombres[])-1,0,1,1))+1),$O1545:$O1564),3),"")</f>
        <v/>
      </c>
      <c r="DN1545" s="42" t="str">
        <f t="array" aca="1" ref="DN1545" ca="1">IFERROR(INDEX(nombres[],SMALL(IF(OFFSET(nombres[],0,0,ROWS(nombres[]),1)=DN$1490,ROW(OFFSET(nombres[],0,0,ROWS(nombres[]),1))-ROW(OFFSET(nombres[],0,0,1,1))+1,ROW(OFFSET(nombres[],ROWS(nombres[])-1,0,1,1))+1),$O1545:$O1564),3),"")</f>
        <v/>
      </c>
      <c r="DO1545" s="42" t="str">
        <f t="array" aca="1" ref="DO1545" ca="1">IFERROR(INDEX(nombres[],SMALL(IF(OFFSET(nombres[],0,0,ROWS(nombres[]),1)=DO$1490,ROW(OFFSET(nombres[],0,0,ROWS(nombres[]),1))-ROW(OFFSET(nombres[],0,0,1,1))+1,ROW(OFFSET(nombres[],ROWS(nombres[])-1,0,1,1))+1),$O1545:$O1564),3),"")</f>
        <v/>
      </c>
      <c r="DP1545" s="42" t="str">
        <f t="array" aca="1" ref="DP1545" ca="1">IFERROR(INDEX(nombres[],SMALL(IF(OFFSET(nombres[],0,0,ROWS(nombres[]),1)=DP$1490,ROW(OFFSET(nombres[],0,0,ROWS(nombres[]),1))-ROW(OFFSET(nombres[],0,0,1,1))+1,ROW(OFFSET(nombres[],ROWS(nombres[])-1,0,1,1))+1),$O1545:$O1564),3),"")</f>
        <v/>
      </c>
      <c r="DQ1545" s="42" t="str">
        <f t="array" aca="1" ref="DQ1545" ca="1">IFERROR(INDEX(nombres[],SMALL(IF(OFFSET(nombres[],0,0,ROWS(nombres[]),1)=DQ$1490,ROW(OFFSET(nombres[],0,0,ROWS(nombres[]),1))-ROW(OFFSET(nombres[],0,0,1,1))+1,ROW(OFFSET(nombres[],ROWS(nombres[])-1,0,1,1))+1),$O1545:$O1564),3),"")</f>
        <v/>
      </c>
      <c r="DR1545" s="42" t="str">
        <f t="array" aca="1" ref="DR1545" ca="1">IFERROR(INDEX(nombres[],SMALL(IF(OFFSET(nombres[],0,0,ROWS(nombres[]),1)=DR$1490,ROW(OFFSET(nombres[],0,0,ROWS(nombres[]),1))-ROW(OFFSET(nombres[],0,0,1,1))+1,ROW(OFFSET(nombres[],ROWS(nombres[])-1,0,1,1))+1),$O1545:$O1564),3),"")</f>
        <v/>
      </c>
      <c r="DS1545" s="42" t="str">
        <f t="array" aca="1" ref="DS1545" ca="1">IFERROR(INDEX(nombres[],SMALL(IF(OFFSET(nombres[],0,0,ROWS(nombres[]),1)=DS$1490,ROW(OFFSET(nombres[],0,0,ROWS(nombres[]),1))-ROW(OFFSET(nombres[],0,0,1,1))+1,ROW(OFFSET(nombres[],ROWS(nombres[])-1,0,1,1))+1),$O1545:$O1564),3),"")</f>
        <v/>
      </c>
      <c r="DT1545" s="42" t="str">
        <f t="array" aca="1" ref="DT1545" ca="1">IFERROR(INDEX(nombres[],SMALL(IF(OFFSET(nombres[],0,0,ROWS(nombres[]),1)=DT$1490,ROW(OFFSET(nombres[],0,0,ROWS(nombres[]),1))-ROW(OFFSET(nombres[],0,0,1,1))+1,ROW(OFFSET(nombres[],ROWS(nombres[])-1,0,1,1))+1),$O1545:$O1564),3),"")</f>
        <v/>
      </c>
      <c r="DU1545" s="42" t="str">
        <f t="array" aca="1" ref="DU1545" ca="1">IFERROR(INDEX(nombres[],SMALL(IF(OFFSET(nombres[],0,0,ROWS(nombres[]),1)=DU$1490,ROW(OFFSET(nombres[],0,0,ROWS(nombres[]),1))-ROW(OFFSET(nombres[],0,0,1,1))+1,ROW(OFFSET(nombres[],ROWS(nombres[])-1,0,1,1))+1),$O1545:$O1564),3),"")</f>
        <v/>
      </c>
      <c r="DV1545" s="42" t="str">
        <f t="array" aca="1" ref="DV1545" ca="1">IFERROR(INDEX(nombres[],SMALL(IF(OFFSET(nombres[],0,0,ROWS(nombres[]),1)=DV$1490,ROW(OFFSET(nombres[],0,0,ROWS(nombres[]),1))-ROW(OFFSET(nombres[],0,0,1,1))+1,ROW(OFFSET(nombres[],ROWS(nombres[])-1,0,1,1))+1),$O1545:$O1564),3),"")</f>
        <v/>
      </c>
      <c r="DW1545" s="42" t="str">
        <f t="array" aca="1" ref="DW1545" ca="1">IFERROR(INDEX(nombres[],SMALL(IF(OFFSET(nombres[],0,0,ROWS(nombres[]),1)=DW$1490,ROW(OFFSET(nombres[],0,0,ROWS(nombres[]),1))-ROW(OFFSET(nombres[],0,0,1,1))+1,ROW(OFFSET(nombres[],ROWS(nombres[])-1,0,1,1))+1),$O1545:$O1564),3),"")</f>
        <v/>
      </c>
      <c r="DX1545" s="42" t="str">
        <f t="array" aca="1" ref="DX1545" ca="1">IFERROR(INDEX(nombres[],SMALL(IF(OFFSET(nombres[],0,0,ROWS(nombres[]),1)=DX$1490,ROW(OFFSET(nombres[],0,0,ROWS(nombres[]),1))-ROW(OFFSET(nombres[],0,0,1,1))+1,ROW(OFFSET(nombres[],ROWS(nombres[])-1,0,1,1))+1),$O1545:$O1564),3),"")</f>
        <v/>
      </c>
      <c r="DY1545" s="42" t="str">
        <f t="array" aca="1" ref="DY1545" ca="1">IFERROR(INDEX(nombres[],SMALL(IF(OFFSET(nombres[],0,0,ROWS(nombres[]),1)=DY$1490,ROW(OFFSET(nombres[],0,0,ROWS(nombres[]),1))-ROW(OFFSET(nombres[],0,0,1,1))+1,ROW(OFFSET(nombres[],ROWS(nombres[])-1,0,1,1))+1),$O1545:$O1564),3),"")</f>
        <v/>
      </c>
      <c r="DZ1545" s="42" t="str">
        <f t="array" aca="1" ref="DZ1545" ca="1">IFERROR(INDEX(nombres[],SMALL(IF(OFFSET(nombres[],0,0,ROWS(nombres[]),1)=DZ$1490,ROW(OFFSET(nombres[],0,0,ROWS(nombres[]),1))-ROW(OFFSET(nombres[],0,0,1,1))+1,ROW(OFFSET(nombres[],ROWS(nombres[])-1,0,1,1))+1),$O1545:$O1564),3),"")</f>
        <v/>
      </c>
      <c r="EA1545" s="42" t="str">
        <f t="array" aca="1" ref="EA1545" ca="1">IFERROR(INDEX(nombres[],SMALL(IF(OFFSET(nombres[],0,0,ROWS(nombres[]),1)=EA$1490,ROW(OFFSET(nombres[],0,0,ROWS(nombres[]),1))-ROW(OFFSET(nombres[],0,0,1,1))+1,ROW(OFFSET(nombres[],ROWS(nombres[])-1,0,1,1))+1),$O1545:$O1564),3),"")</f>
        <v/>
      </c>
      <c r="EB1545" s="42" t="str">
        <f t="array" aca="1" ref="EB1545" ca="1">IFERROR(INDEX(nombres[],SMALL(IF(OFFSET(nombres[],0,0,ROWS(nombres[]),1)=EB$1490,ROW(OFFSET(nombres[],0,0,ROWS(nombres[]),1))-ROW(OFFSET(nombres[],0,0,1,1))+1,ROW(OFFSET(nombres[],ROWS(nombres[])-1,0,1,1))+1),$O1545:$O1564),3),"")</f>
        <v/>
      </c>
      <c r="EC1545" s="42" t="str">
        <f t="array" aca="1" ref="EC1545" ca="1">IFERROR(INDEX(nombres[],SMALL(IF(OFFSET(nombres[],0,0,ROWS(nombres[]),1)=EC$1490,ROW(OFFSET(nombres[],0,0,ROWS(nombres[]),1))-ROW(OFFSET(nombres[],0,0,1,1))+1,ROW(OFFSET(nombres[],ROWS(nombres[])-1,0,1,1))+1),$O1545:$O1564),3),"")</f>
        <v/>
      </c>
      <c r="ED1545" s="42" t="str">
        <f t="array" aca="1" ref="ED1545" ca="1">IFERROR(INDEX(nombres[],SMALL(IF(OFFSET(nombres[],0,0,ROWS(nombres[]),1)=ED$1490,ROW(OFFSET(nombres[],0,0,ROWS(nombres[]),1))-ROW(OFFSET(nombres[],0,0,1,1))+1,ROW(OFFSET(nombres[],ROWS(nombres[])-1,0,1,1))+1),$O1545:$O1564),3),"")</f>
        <v/>
      </c>
      <c r="EE1545" s="42" t="str">
        <f t="array" aca="1" ref="EE1545" ca="1">IFERROR(INDEX(nombres[],SMALL(IF(OFFSET(nombres[],0,0,ROWS(nombres[]),1)=EE$1490,ROW(OFFSET(nombres[],0,0,ROWS(nombres[]),1))-ROW(OFFSET(nombres[],0,0,1,1))+1,ROW(OFFSET(nombres[],ROWS(nombres[])-1,0,1,1))+1),$O1545:$O1564),3),"")</f>
        <v/>
      </c>
      <c r="EF1545" s="42" t="str">
        <f t="array" aca="1" ref="EF1545" ca="1">IFERROR(INDEX(nombres[],SMALL(IF(OFFSET(nombres[],0,0,ROWS(nombres[]),1)=EF$1490,ROW(OFFSET(nombres[],0,0,ROWS(nombres[]),1))-ROW(OFFSET(nombres[],0,0,1,1))+1,ROW(OFFSET(nombres[],ROWS(nombres[])-1,0,1,1))+1),$O1545:$O1564),3),"")</f>
        <v/>
      </c>
      <c r="EG1545" s="42" t="str">
        <f t="array" aca="1" ref="EG1545" ca="1">IFERROR(INDEX(nombres[],SMALL(IF(OFFSET(nombres[],0,0,ROWS(nombres[]),1)=EG$1490,ROW(OFFSET(nombres[],0,0,ROWS(nombres[]),1))-ROW(OFFSET(nombres[],0,0,1,1))+1,ROW(OFFSET(nombres[],ROWS(nombres[])-1,0,1,1))+1),$O1545:$O1564),3),"")</f>
        <v/>
      </c>
      <c r="EH1545" s="42" t="str">
        <f t="array" aca="1" ref="EH1545" ca="1">IFERROR(INDEX(nombres[],SMALL(IF(OFFSET(nombres[],0,0,ROWS(nombres[]),1)=EH$1490,ROW(OFFSET(nombres[],0,0,ROWS(nombres[]),1))-ROW(OFFSET(nombres[],0,0,1,1))+1,ROW(OFFSET(nombres[],ROWS(nombres[])-1,0,1,1))+1),$O1545:$O1564),3),"")</f>
        <v/>
      </c>
      <c r="EI1545" s="42" t="str">
        <f t="array" aca="1" ref="EI1545" ca="1">IFERROR(INDEX(nombres[],SMALL(IF(OFFSET(nombres[],0,0,ROWS(nombres[]),1)=EI$1490,ROW(OFFSET(nombres[],0,0,ROWS(nombres[]),1))-ROW(OFFSET(nombres[],0,0,1,1))+1,ROW(OFFSET(nombres[],ROWS(nombres[])-1,0,1,1))+1),$O1545:$O1564),3),"")</f>
        <v/>
      </c>
      <c r="EJ1545" s="42" t="str">
        <f t="array" aca="1" ref="EJ1545" ca="1">IFERROR(INDEX(nombres[],SMALL(IF(OFFSET(nombres[],0,0,ROWS(nombres[]),1)=EJ$1490,ROW(OFFSET(nombres[],0,0,ROWS(nombres[]),1))-ROW(OFFSET(nombres[],0,0,1,1))+1,ROW(OFFSET(nombres[],ROWS(nombres[])-1,0,1,1))+1),$O1545:$O1564),3),"")</f>
        <v/>
      </c>
      <c r="EK1545" s="42" t="str">
        <f t="array" aca="1" ref="EK1545" ca="1">IFERROR(INDEX(nombres[],SMALL(IF(OFFSET(nombres[],0,0,ROWS(nombres[]),1)=EK$1490,ROW(OFFSET(nombres[],0,0,ROWS(nombres[]),1))-ROW(OFFSET(nombres[],0,0,1,1))+1,ROW(OFFSET(nombres[],ROWS(nombres[])-1,0,1,1))+1),$O1545:$O1564),3),"")</f>
        <v/>
      </c>
      <c r="EL1545" s="42" t="str">
        <f t="array" aca="1" ref="EL1545" ca="1">IFERROR(INDEX(nombres[],SMALL(IF(OFFSET(nombres[],0,0,ROWS(nombres[]),1)=EL$1490,ROW(OFFSET(nombres[],0,0,ROWS(nombres[]),1))-ROW(OFFSET(nombres[],0,0,1,1))+1,ROW(OFFSET(nombres[],ROWS(nombres[])-1,0,1,1))+1),$O1545:$O1564),3),"")</f>
        <v/>
      </c>
      <c r="EM1545" s="42" t="str">
        <f t="array" aca="1" ref="EM1545" ca="1">IFERROR(INDEX(nombres[],SMALL(IF(OFFSET(nombres[],0,0,ROWS(nombres[]),1)=EM$1490,ROW(OFFSET(nombres[],0,0,ROWS(nombres[]),1))-ROW(OFFSET(nombres[],0,0,1,1))+1,ROW(OFFSET(nombres[],ROWS(nombres[])-1,0,1,1))+1),$O1545:$O1564),3),"")</f>
        <v/>
      </c>
      <c r="EN1545" s="42" t="str">
        <f t="array" aca="1" ref="EN1545" ca="1">IFERROR(INDEX(nombres[],SMALL(IF(OFFSET(nombres[],0,0,ROWS(nombres[]),1)=EN$1490,ROW(OFFSET(nombres[],0,0,ROWS(nombres[]),1))-ROW(OFFSET(nombres[],0,0,1,1))+1,ROW(OFFSET(nombres[],ROWS(nombres[])-1,0,1,1))+1),$O1545:$O1564),3),"")</f>
        <v/>
      </c>
      <c r="EO1545" s="42" t="str">
        <f t="array" aca="1" ref="EO1545" ca="1">IFERROR(INDEX(nombres[],SMALL(IF(OFFSET(nombres[],0,0,ROWS(nombres[]),1)=EO$1490,ROW(OFFSET(nombres[],0,0,ROWS(nombres[]),1))-ROW(OFFSET(nombres[],0,0,1,1))+1,ROW(OFFSET(nombres[],ROWS(nombres[])-1,0,1,1))+1),$O1545:$O1564),3),"")</f>
        <v/>
      </c>
      <c r="EP1545" s="42" t="str">
        <f t="array" aca="1" ref="EP1545" ca="1">IFERROR(INDEX(nombres[],SMALL(IF(OFFSET(nombres[],0,0,ROWS(nombres[]),1)=EP$1490,ROW(OFFSET(nombres[],0,0,ROWS(nombres[]),1))-ROW(OFFSET(nombres[],0,0,1,1))+1,ROW(OFFSET(nombres[],ROWS(nombres[])-1,0,1,1))+1),$O1545:$O1564),3),"")</f>
        <v/>
      </c>
      <c r="EQ1545" s="42" t="str">
        <f t="array" aca="1" ref="EQ1545" ca="1">IFERROR(INDEX(nombres[],SMALL(IF(OFFSET(nombres[],0,0,ROWS(nombres[]),1)=EQ$1490,ROW(OFFSET(nombres[],0,0,ROWS(nombres[]),1))-ROW(OFFSET(nombres[],0,0,1,1))+1,ROW(OFFSET(nombres[],ROWS(nombres[])-1,0,1,1))+1),$O1545:$O1564),3),"")</f>
        <v/>
      </c>
      <c r="ER1545" s="42" t="str">
        <f t="array" aca="1" ref="ER1545" ca="1">IFERROR(INDEX(nombres[],SMALL(IF(OFFSET(nombres[],0,0,ROWS(nombres[]),1)=ER$1490,ROW(OFFSET(nombres[],0,0,ROWS(nombres[]),1))-ROW(OFFSET(nombres[],0,0,1,1))+1,ROW(OFFSET(nombres[],ROWS(nombres[])-1,0,1,1))+1),$O1545:$O1564),3),"")</f>
        <v/>
      </c>
      <c r="ES1545" s="42" t="str">
        <f t="array" aca="1" ref="ES1545" ca="1">IFERROR(INDEX(nombres[],SMALL(IF(OFFSET(nombres[],0,0,ROWS(nombres[]),1)=ES$1490,ROW(OFFSET(nombres[],0,0,ROWS(nombres[]),1))-ROW(OFFSET(nombres[],0,0,1,1))+1,ROW(OFFSET(nombres[],ROWS(nombres[])-1,0,1,1))+1),$O1545:$O1564),3),"")</f>
        <v/>
      </c>
      <c r="ET1545" s="42" t="str">
        <f t="array" aca="1" ref="ET1545" ca="1">IFERROR(INDEX(nombres[],SMALL(IF(OFFSET(nombres[],0,0,ROWS(nombres[]),1)=ET$1490,ROW(OFFSET(nombres[],0,0,ROWS(nombres[]),1))-ROW(OFFSET(nombres[],0,0,1,1))+1,ROW(OFFSET(nombres[],ROWS(nombres[])-1,0,1,1))+1),$O1545:$O1564),3),"")</f>
        <v/>
      </c>
      <c r="EU1545" s="42" t="str">
        <f t="array" aca="1" ref="EU1545" ca="1">IFERROR(INDEX(nombres[],SMALL(IF(OFFSET(nombres[],0,0,ROWS(nombres[]),1)=EU$1490,ROW(OFFSET(nombres[],0,0,ROWS(nombres[]),1))-ROW(OFFSET(nombres[],0,0,1,1))+1,ROW(OFFSET(nombres[],ROWS(nombres[])-1,0,1,1))+1),$O1545:$O1564),3),"")</f>
        <v/>
      </c>
      <c r="EV1545" s="42" t="str">
        <f t="array" aca="1" ref="EV1545" ca="1">IFERROR(INDEX(nombres[],SMALL(IF(OFFSET(nombres[],0,0,ROWS(nombres[]),1)=EV$1490,ROW(OFFSET(nombres[],0,0,ROWS(nombres[]),1))-ROW(OFFSET(nombres[],0,0,1,1))+1,ROW(OFFSET(nombres[],ROWS(nombres[])-1,0,1,1))+1),$O1545:$O1564),3),"")</f>
        <v/>
      </c>
      <c r="EW1545" s="42" t="str">
        <f t="array" aca="1" ref="EW1545" ca="1">IFERROR(INDEX(nombres[],SMALL(IF(OFFSET(nombres[],0,0,ROWS(nombres[]),1)=EW$1490,ROW(OFFSET(nombres[],0,0,ROWS(nombres[]),1))-ROW(OFFSET(nombres[],0,0,1,1))+1,ROW(OFFSET(nombres[],ROWS(nombres[])-1,0,1,1))+1),$O1545:$O1564),3),"")</f>
        <v/>
      </c>
      <c r="EX1545" s="42" t="str">
        <f t="array" aca="1" ref="EX1545" ca="1">IFERROR(INDEX(nombres[],SMALL(IF(OFFSET(nombres[],0,0,ROWS(nombres[]),1)=EX$1490,ROW(OFFSET(nombres[],0,0,ROWS(nombres[]),1))-ROW(OFFSET(nombres[],0,0,1,1))+1,ROW(OFFSET(nombres[],ROWS(nombres[])-1,0,1,1))+1),$O1545:$O1564),3),"")</f>
        <v/>
      </c>
      <c r="EY1545" s="42" t="str">
        <f t="array" aca="1" ref="EY1545" ca="1">IFERROR(INDEX(nombres[],SMALL(IF(OFFSET(nombres[],0,0,ROWS(nombres[]),1)=EY$1490,ROW(OFFSET(nombres[],0,0,ROWS(nombres[]),1))-ROW(OFFSET(nombres[],0,0,1,1))+1,ROW(OFFSET(nombres[],ROWS(nombres[])-1,0,1,1))+1),$O1545:$O1564),3),"")</f>
        <v/>
      </c>
      <c r="EZ1545" s="42" t="str">
        <f t="array" aca="1" ref="EZ1545" ca="1">IFERROR(INDEX(nombres[],SMALL(IF(OFFSET(nombres[],0,0,ROWS(nombres[]),1)=EZ$1490,ROW(OFFSET(nombres[],0,0,ROWS(nombres[]),1))-ROW(OFFSET(nombres[],0,0,1,1))+1,ROW(OFFSET(nombres[],ROWS(nombres[])-1,0,1,1))+1),$O1545:$O1564),3),"")</f>
        <v/>
      </c>
      <c r="FA1545" s="42" t="str">
        <f t="array" aca="1" ref="FA1545" ca="1">IFERROR(INDEX(nombres[],SMALL(IF(OFFSET(nombres[],0,0,ROWS(nombres[]),1)=FA$1490,ROW(OFFSET(nombres[],0,0,ROWS(nombres[]),1))-ROW(OFFSET(nombres[],0,0,1,1))+1,ROW(OFFSET(nombres[],ROWS(nombres[])-1,0,1,1))+1),$O1545:$O1564),3),"")</f>
        <v/>
      </c>
      <c r="FB1545" s="42" t="str">
        <f t="array" aca="1" ref="FB1545" ca="1">IFERROR(INDEX(nombres[],SMALL(IF(OFFSET(nombres[],0,0,ROWS(nombres[]),1)=FB$1490,ROW(OFFSET(nombres[],0,0,ROWS(nombres[]),1))-ROW(OFFSET(nombres[],0,0,1,1))+1,ROW(OFFSET(nombres[],ROWS(nombres[])-1,0,1,1))+1),$O1545:$O1564),3),"")</f>
        <v/>
      </c>
      <c r="FC1545" s="42" t="str">
        <f t="array" aca="1" ref="FC1545" ca="1">IFERROR(INDEX(nombres[],SMALL(IF(OFFSET(nombres[],0,0,ROWS(nombres[]),1)=FC$1490,ROW(OFFSET(nombres[],0,0,ROWS(nombres[]),1))-ROW(OFFSET(nombres[],0,0,1,1))+1,ROW(OFFSET(nombres[],ROWS(nombres[])-1,0,1,1))+1),$O1545:$O1564),3),"")</f>
        <v/>
      </c>
      <c r="FD1545" s="42" t="str">
        <f t="array" aca="1" ref="FD1545" ca="1">IFERROR(INDEX(nombres[],SMALL(IF(OFFSET(nombres[],0,0,ROWS(nombres[]),1)=FD$1490,ROW(OFFSET(nombres[],0,0,ROWS(nombres[]),1))-ROW(OFFSET(nombres[],0,0,1,1))+1,ROW(OFFSET(nombres[],ROWS(nombres[])-1,0,1,1))+1),$O1545:$O1564),3),"")</f>
        <v/>
      </c>
      <c r="FE1545" s="42" t="str">
        <f t="array" aca="1" ref="FE1545" ca="1">IFERROR(INDEX(nombres[],SMALL(IF(OFFSET(nombres[],0,0,ROWS(nombres[]),1)=FE$1490,ROW(OFFSET(nombres[],0,0,ROWS(nombres[]),1))-ROW(OFFSET(nombres[],0,0,1,1))+1,ROW(OFFSET(nombres[],ROWS(nombres[])-1,0,1,1))+1),$O1545:$O1564),3),"")</f>
        <v/>
      </c>
      <c r="FF1545" s="42" t="str">
        <f t="array" aca="1" ref="FF1545" ca="1">IFERROR(INDEX(nombres[],SMALL(IF(OFFSET(nombres[],0,0,ROWS(nombres[]),1)=FF$1490,ROW(OFFSET(nombres[],0,0,ROWS(nombres[]),1))-ROW(OFFSET(nombres[],0,0,1,1))+1,ROW(OFFSET(nombres[],ROWS(nombres[])-1,0,1,1))+1),$O1545:$O1564),3),"")</f>
        <v/>
      </c>
      <c r="FG1545" s="42" t="str">
        <f t="array" aca="1" ref="FG1545" ca="1">IFERROR(INDEX(nombres[],SMALL(IF(OFFSET(nombres[],0,0,ROWS(nombres[]),1)=FG$1490,ROW(OFFSET(nombres[],0,0,ROWS(nombres[]),1))-ROW(OFFSET(nombres[],0,0,1,1))+1,ROW(OFFSET(nombres[],ROWS(nombres[])-1,0,1,1))+1),$O1545:$O1564),3),"")</f>
        <v/>
      </c>
      <c r="FH1545" s="42" t="str">
        <f t="array" aca="1" ref="FH1545" ca="1">IFERROR(INDEX(nombres[],SMALL(IF(OFFSET(nombres[],0,0,ROWS(nombres[]),1)=FH$1490,ROW(OFFSET(nombres[],0,0,ROWS(nombres[]),1))-ROW(OFFSET(nombres[],0,0,1,1))+1,ROW(OFFSET(nombres[],ROWS(nombres[])-1,0,1,1))+1),$O1545:$O1564),3),"")</f>
        <v/>
      </c>
      <c r="FI1545" s="42" t="str">
        <f t="array" aca="1" ref="FI1545" ca="1">IFERROR(INDEX(nombres[],SMALL(IF(OFFSET(nombres[],0,0,ROWS(nombres[]),1)=FI$1490,ROW(OFFSET(nombres[],0,0,ROWS(nombres[]),1))-ROW(OFFSET(nombres[],0,0,1,1))+1,ROW(OFFSET(nombres[],ROWS(nombres[])-1,0,1,1))+1),$O1545:$O1564),3),"")</f>
        <v/>
      </c>
      <c r="FJ1545" s="42" t="str">
        <f t="array" aca="1" ref="FJ1545" ca="1">IFERROR(INDEX(nombres[],SMALL(IF(OFFSET(nombres[],0,0,ROWS(nombres[]),1)=FJ$1490,ROW(OFFSET(nombres[],0,0,ROWS(nombres[]),1))-ROW(OFFSET(nombres[],0,0,1,1))+1,ROW(OFFSET(nombres[],ROWS(nombres[])-1,0,1,1))+1),$O1545:$O1564),3),"")</f>
        <v/>
      </c>
      <c r="FK1545" s="42" t="str">
        <f t="array" aca="1" ref="FK1545" ca="1">IFERROR(INDEX(nombres[],SMALL(IF(OFFSET(nombres[],0,0,ROWS(nombres[]),1)=FK$1490,ROW(OFFSET(nombres[],0,0,ROWS(nombres[]),1))-ROW(OFFSET(nombres[],0,0,1,1))+1,ROW(OFFSET(nombres[],ROWS(nombres[])-1,0,1,1))+1),$O1545:$O1564),3),"")</f>
        <v/>
      </c>
      <c r="FL1545" s="42" t="str">
        <f t="array" aca="1" ref="FL1545" ca="1">IFERROR(INDEX(nombres[],SMALL(IF(OFFSET(nombres[],0,0,ROWS(nombres[]),1)=FL$1490,ROW(OFFSET(nombres[],0,0,ROWS(nombres[]),1))-ROW(OFFSET(nombres[],0,0,1,1))+1,ROW(OFFSET(nombres[],ROWS(nombres[])-1,0,1,1))+1),$O1545:$O1564),3),"")</f>
        <v/>
      </c>
      <c r="FM1545" s="42" t="str">
        <f t="array" aca="1" ref="FM1545" ca="1">IFERROR(INDEX(nombres[],SMALL(IF(OFFSET(nombres[],0,0,ROWS(nombres[]),1)=FM$1490,ROW(OFFSET(nombres[],0,0,ROWS(nombres[]),1))-ROW(OFFSET(nombres[],0,0,1,1))+1,ROW(OFFSET(nombres[],ROWS(nombres[])-1,0,1,1))+1),$O1545:$O1564),3),"")</f>
        <v/>
      </c>
      <c r="FN1545" s="42" t="str">
        <f t="array" aca="1" ref="FN1545" ca="1">IFERROR(INDEX(nombres[],SMALL(IF(OFFSET(nombres[],0,0,ROWS(nombres[]),1)=FN$1490,ROW(OFFSET(nombres[],0,0,ROWS(nombres[]),1))-ROW(OFFSET(nombres[],0,0,1,1))+1,ROW(OFFSET(nombres[],ROWS(nombres[])-1,0,1,1))+1),$O1545:$O1564),3),"")</f>
        <v/>
      </c>
      <c r="FO1545" s="42" t="str">
        <f t="array" aca="1" ref="FO1545" ca="1">IFERROR(INDEX(nombres[],SMALL(IF(OFFSET(nombres[],0,0,ROWS(nombres[]),1)=FO$1490,ROW(OFFSET(nombres[],0,0,ROWS(nombres[]),1))-ROW(OFFSET(nombres[],0,0,1,1))+1,ROW(OFFSET(nombres[],ROWS(nombres[])-1,0,1,1))+1),$O1545:$O1564),3),"")</f>
        <v/>
      </c>
      <c r="FP1545" s="42" t="str">
        <f t="array" aca="1" ref="FP1545" ca="1">IFERROR(INDEX(nombres[],SMALL(IF(OFFSET(nombres[],0,0,ROWS(nombres[]),1)=FP$1490,ROW(OFFSET(nombres[],0,0,ROWS(nombres[]),1))-ROW(OFFSET(nombres[],0,0,1,1))+1,ROW(OFFSET(nombres[],ROWS(nombres[])-1,0,1,1))+1),$O1545:$O1564),3),"")</f>
        <v/>
      </c>
      <c r="FQ1545" s="42" t="str">
        <f t="array" aca="1" ref="FQ1545" ca="1">IFERROR(INDEX(nombres[],SMALL(IF(OFFSET(nombres[],0,0,ROWS(nombres[]),1)=FQ$1490,ROW(OFFSET(nombres[],0,0,ROWS(nombres[]),1))-ROW(OFFSET(nombres[],0,0,1,1))+1,ROW(OFFSET(nombres[],ROWS(nombres[])-1,0,1,1))+1),$O1545:$O1564),3),"")</f>
        <v/>
      </c>
      <c r="FR1545" s="42" t="str">
        <f t="array" aca="1" ref="FR1545" ca="1">IFERROR(INDEX(nombres[],SMALL(IF(OFFSET(nombres[],0,0,ROWS(nombres[]),1)=FR$1490,ROW(OFFSET(nombres[],0,0,ROWS(nombres[]),1))-ROW(OFFSET(nombres[],0,0,1,1))+1,ROW(OFFSET(nombres[],ROWS(nombres[])-1,0,1,1))+1),$O1545:$O1564),3),"")</f>
        <v/>
      </c>
      <c r="FS1545" s="42" t="str">
        <f t="array" aca="1" ref="FS1545" ca="1">IFERROR(INDEX(nombres[],SMALL(IF(OFFSET(nombres[],0,0,ROWS(nombres[]),1)=FS$1490,ROW(OFFSET(nombres[],0,0,ROWS(nombres[]),1))-ROW(OFFSET(nombres[],0,0,1,1))+1,ROW(OFFSET(nombres[],ROWS(nombres[])-1,0,1,1))+1),$O1545:$O1564),3),"")</f>
        <v/>
      </c>
      <c r="FT1545" s="42" t="str">
        <f t="array" aca="1" ref="FT1545" ca="1">IFERROR(INDEX(nombres[],SMALL(IF(OFFSET(nombres[],0,0,ROWS(nombres[]),1)=FT$1490,ROW(OFFSET(nombres[],0,0,ROWS(nombres[]),1))-ROW(OFFSET(nombres[],0,0,1,1))+1,ROW(OFFSET(nombres[],ROWS(nombres[])-1,0,1,1))+1),$O1545:$O1564),3),"")</f>
        <v/>
      </c>
      <c r="FU1545" s="42" t="str">
        <f t="array" aca="1" ref="FU1545" ca="1">IFERROR(INDEX(nombres[],SMALL(IF(OFFSET(nombres[],0,0,ROWS(nombres[]),1)=FU$1490,ROW(OFFSET(nombres[],0,0,ROWS(nombres[]),1))-ROW(OFFSET(nombres[],0,0,1,1))+1,ROW(OFFSET(nombres[],ROWS(nombres[])-1,0,1,1))+1),$O1545:$O1564),3),"")</f>
        <v/>
      </c>
      <c r="FV1545" s="42" t="str">
        <f t="array" aca="1" ref="FV1545" ca="1">IFERROR(INDEX(nombres[],SMALL(IF(OFFSET(nombres[],0,0,ROWS(nombres[]),1)=FV$1490,ROW(OFFSET(nombres[],0,0,ROWS(nombres[]),1))-ROW(OFFSET(nombres[],0,0,1,1))+1,ROW(OFFSET(nombres[],ROWS(nombres[])-1,0,1,1))+1),$O1545:$O1564),3),"")</f>
        <v/>
      </c>
      <c r="FW1545" s="42" t="str">
        <f t="array" aca="1" ref="FW1545" ca="1">IFERROR(INDEX(nombres[],SMALL(IF(OFFSET(nombres[],0,0,ROWS(nombres[]),1)=FW$1490,ROW(OFFSET(nombres[],0,0,ROWS(nombres[]),1))-ROW(OFFSET(nombres[],0,0,1,1))+1,ROW(OFFSET(nombres[],ROWS(nombres[])-1,0,1,1))+1),$O1545:$O1564),3),"")</f>
        <v/>
      </c>
      <c r="FX1545" s="42" t="str">
        <f t="array" aca="1" ref="FX1545" ca="1">IFERROR(INDEX(nombres[],SMALL(IF(OFFSET(nombres[],0,0,ROWS(nombres[]),1)=FX$1490,ROW(OFFSET(nombres[],0,0,ROWS(nombres[]),1))-ROW(OFFSET(nombres[],0,0,1,1))+1,ROW(OFFSET(nombres[],ROWS(nombres[])-1,0,1,1))+1),$O1545:$O1564),3),"")</f>
        <v/>
      </c>
      <c r="FY1545" s="42" t="str">
        <f t="array" aca="1" ref="FY1545" ca="1">IFERROR(INDEX(nombres[],SMALL(IF(OFFSET(nombres[],0,0,ROWS(nombres[]),1)=FY$1490,ROW(OFFSET(nombres[],0,0,ROWS(nombres[]),1))-ROW(OFFSET(nombres[],0,0,1,1))+1,ROW(OFFSET(nombres[],ROWS(nombres[])-1,0,1,1))+1),$O1545:$O1564),3),"")</f>
        <v/>
      </c>
      <c r="FZ1545" s="42" t="str">
        <f t="array" aca="1" ref="FZ1545" ca="1">IFERROR(INDEX(nombres[],SMALL(IF(OFFSET(nombres[],0,0,ROWS(nombres[]),1)=FZ$1490,ROW(OFFSET(nombres[],0,0,ROWS(nombres[]),1))-ROW(OFFSET(nombres[],0,0,1,1))+1,ROW(OFFSET(nombres[],ROWS(nombres[])-1,0,1,1))+1),$O1545:$O1564),3),"")</f>
        <v/>
      </c>
      <c r="GA1545" s="42" t="str">
        <f t="array" aca="1" ref="GA1545" ca="1">IFERROR(INDEX(nombres[],SMALL(IF(OFFSET(nombres[],0,0,ROWS(nombres[]),1)=GA$1490,ROW(OFFSET(nombres[],0,0,ROWS(nombres[]),1))-ROW(OFFSET(nombres[],0,0,1,1))+1,ROW(OFFSET(nombres[],ROWS(nombres[])-1,0,1,1))+1),$O1545:$O1564),3),"")</f>
        <v/>
      </c>
      <c r="GB1545" s="42" t="str">
        <f t="array" aca="1" ref="GB1545" ca="1">IFERROR(INDEX(nombres[],SMALL(IF(OFFSET(nombres[],0,0,ROWS(nombres[]),1)=GB$1490,ROW(OFFSET(nombres[],0,0,ROWS(nombres[]),1))-ROW(OFFSET(nombres[],0,0,1,1))+1,ROW(OFFSET(nombres[],ROWS(nombres[])-1,0,1,1))+1),$O1545:$O1564),3),"")</f>
        <v/>
      </c>
      <c r="GC1545" s="42" t="str">
        <f t="array" aca="1" ref="GC1545" ca="1">IFERROR(INDEX(nombres[],SMALL(IF(OFFSET(nombres[],0,0,ROWS(nombres[]),1)=GC$1490,ROW(OFFSET(nombres[],0,0,ROWS(nombres[]),1))-ROW(OFFSET(nombres[],0,0,1,1))+1,ROW(OFFSET(nombres[],ROWS(nombres[])-1,0,1,1))+1),$O1545:$O1564),3),"")</f>
        <v/>
      </c>
      <c r="GD1545" s="42" t="str">
        <f t="array" aca="1" ref="GD1545" ca="1">IFERROR(INDEX(nombres[],SMALL(IF(OFFSET(nombres[],0,0,ROWS(nombres[]),1)=GD$1490,ROW(OFFSET(nombres[],0,0,ROWS(nombres[]),1))-ROW(OFFSET(nombres[],0,0,1,1))+1,ROW(OFFSET(nombres[],ROWS(nombres[])-1,0,1,1))+1),$O1545:$O1564),3),"")</f>
        <v/>
      </c>
      <c r="GE1545" s="42" t="str">
        <f t="array" aca="1" ref="GE1545" ca="1">IFERROR(INDEX(nombres[],SMALL(IF(OFFSET(nombres[],0,0,ROWS(nombres[]),1)=GE$1490,ROW(OFFSET(nombres[],0,0,ROWS(nombres[]),1))-ROW(OFFSET(nombres[],0,0,1,1))+1,ROW(OFFSET(nombres[],ROWS(nombres[])-1,0,1,1))+1),$O1545:$O1564),3),"")</f>
        <v/>
      </c>
      <c r="GF1545" s="42" t="str">
        <f t="array" aca="1" ref="GF1545" ca="1">IFERROR(INDEX(nombres[],SMALL(IF(OFFSET(nombres[],0,0,ROWS(nombres[]),1)=GF$1490,ROW(OFFSET(nombres[],0,0,ROWS(nombres[]),1))-ROW(OFFSET(nombres[],0,0,1,1))+1,ROW(OFFSET(nombres[],ROWS(nombres[])-1,0,1,1))+1),$O1545:$O1564),3),"")</f>
        <v/>
      </c>
      <c r="GG1545" s="42" t="str">
        <f t="array" aca="1" ref="GG1545" ca="1">IFERROR(INDEX(nombres[],SMALL(IF(OFFSET(nombres[],0,0,ROWS(nombres[]),1)=GG$1490,ROW(OFFSET(nombres[],0,0,ROWS(nombres[]),1))-ROW(OFFSET(nombres[],0,0,1,1))+1,ROW(OFFSET(nombres[],ROWS(nombres[])-1,0,1,1))+1),$O1545:$O1564),3),"")</f>
        <v/>
      </c>
      <c r="GH1545" s="42" t="str">
        <f t="array" aca="1" ref="GH1545" ca="1">IFERROR(INDEX(nombres[],SMALL(IF(OFFSET(nombres[],0,0,ROWS(nombres[]),1)=GH$1490,ROW(OFFSET(nombres[],0,0,ROWS(nombres[]),1))-ROW(OFFSET(nombres[],0,0,1,1))+1,ROW(OFFSET(nombres[],ROWS(nombres[])-1,0,1,1))+1),$O1545:$O1564),3),"")</f>
        <v/>
      </c>
      <c r="GI1545" s="42" t="str">
        <f t="array" aca="1" ref="GI1545" ca="1">IFERROR(INDEX(nombres[],SMALL(IF(OFFSET(nombres[],0,0,ROWS(nombres[]),1)=GI$1490,ROW(OFFSET(nombres[],0,0,ROWS(nombres[]),1))-ROW(OFFSET(nombres[],0,0,1,1))+1,ROW(OFFSET(nombres[],ROWS(nombres[])-1,0,1,1))+1),$O1545:$O1564),3),"")</f>
        <v/>
      </c>
      <c r="GJ1545" s="42" t="str">
        <f t="array" aca="1" ref="GJ1545" ca="1">IFERROR(INDEX(nombres[],SMALL(IF(OFFSET(nombres[],0,0,ROWS(nombres[]),1)=GJ$1490,ROW(OFFSET(nombres[],0,0,ROWS(nombres[]),1))-ROW(OFFSET(nombres[],0,0,1,1))+1,ROW(OFFSET(nombres[],ROWS(nombres[])-1,0,1,1))+1),$O1545:$O1564),3),"")</f>
        <v/>
      </c>
      <c r="GK1545" s="42" t="str">
        <f t="array" aca="1" ref="GK1545" ca="1">IFERROR(INDEX(nombres[],SMALL(IF(OFFSET(nombres[],0,0,ROWS(nombres[]),1)=GK$1490,ROW(OFFSET(nombres[],0,0,ROWS(nombres[]),1))-ROW(OFFSET(nombres[],0,0,1,1))+1,ROW(OFFSET(nombres[],ROWS(nombres[])-1,0,1,1))+1),$O1545:$O1564),3),"")</f>
        <v/>
      </c>
      <c r="GL1545" s="42" t="str">
        <f t="array" aca="1" ref="GL1545" ca="1">IFERROR(INDEX(nombres[],SMALL(IF(OFFSET(nombres[],0,0,ROWS(nombres[]),1)=GL$1490,ROW(OFFSET(nombres[],0,0,ROWS(nombres[]),1))-ROW(OFFSET(nombres[],0,0,1,1))+1,ROW(OFFSET(nombres[],ROWS(nombres[])-1,0,1,1))+1),$O1545:$O1564),3),"")</f>
        <v/>
      </c>
      <c r="GM1545" s="42" t="str">
        <f t="array" aca="1" ref="GM1545" ca="1">IFERROR(INDEX(nombres[],SMALL(IF(OFFSET(nombres[],0,0,ROWS(nombres[]),1)=GM$1490,ROW(OFFSET(nombres[],0,0,ROWS(nombres[]),1))-ROW(OFFSET(nombres[],0,0,1,1))+1,ROW(OFFSET(nombres[],ROWS(nombres[])-1,0,1,1))+1),$O1545:$O1564),3),"")</f>
        <v/>
      </c>
      <c r="GN1545" s="42" t="str">
        <f t="array" aca="1" ref="GN1545" ca="1">IFERROR(INDEX(nombres[],SMALL(IF(OFFSET(nombres[],0,0,ROWS(nombres[]),1)=GN$1490,ROW(OFFSET(nombres[],0,0,ROWS(nombres[]),1))-ROW(OFFSET(nombres[],0,0,1,1))+1,ROW(OFFSET(nombres[],ROWS(nombres[])-1,0,1,1))+1),$O1545:$O1564),3),"")</f>
        <v/>
      </c>
      <c r="GO1545" s="42" t="str">
        <f t="array" aca="1" ref="GO1545" ca="1">IFERROR(INDEX(nombres[],SMALL(IF(OFFSET(nombres[],0,0,ROWS(nombres[]),1)=GO$1490,ROW(OFFSET(nombres[],0,0,ROWS(nombres[]),1))-ROW(OFFSET(nombres[],0,0,1,1))+1,ROW(OFFSET(nombres[],ROWS(nombres[])-1,0,1,1))+1),$O1545:$O1564),3),"")</f>
        <v/>
      </c>
      <c r="GP1545" s="42" t="str">
        <f t="array" aca="1" ref="GP1545" ca="1">IFERROR(INDEX(nombres[],SMALL(IF(OFFSET(nombres[],0,0,ROWS(nombres[]),1)=GP$1490,ROW(OFFSET(nombres[],0,0,ROWS(nombres[]),1))-ROW(OFFSET(nombres[],0,0,1,1))+1,ROW(OFFSET(nombres[],ROWS(nombres[])-1,0,1,1))+1),$O1545:$O1564),3),"")</f>
        <v/>
      </c>
      <c r="GQ1545" s="42" t="str">
        <f t="array" aca="1" ref="GQ1545" ca="1">IFERROR(INDEX(nombres[],SMALL(IF(OFFSET(nombres[],0,0,ROWS(nombres[]),1)=GQ$1490,ROW(OFFSET(nombres[],0,0,ROWS(nombres[]),1))-ROW(OFFSET(nombres[],0,0,1,1))+1,ROW(OFFSET(nombres[],ROWS(nombres[])-1,0,1,1))+1),$O1545:$O1564),3),"")</f>
        <v/>
      </c>
      <c r="GR1545" s="42" t="str">
        <f t="array" aca="1" ref="GR1545" ca="1">IFERROR(INDEX(nombres[],SMALL(IF(OFFSET(nombres[],0,0,ROWS(nombres[]),1)=GR$1490,ROW(OFFSET(nombres[],0,0,ROWS(nombres[]),1))-ROW(OFFSET(nombres[],0,0,1,1))+1,ROW(OFFSET(nombres[],ROWS(nombres[])-1,0,1,1))+1),$O1545:$O1564),3),"")</f>
        <v/>
      </c>
      <c r="GS1545" s="42" t="str">
        <f t="array" aca="1" ref="GS1545" ca="1">IFERROR(INDEX(nombres[],SMALL(IF(OFFSET(nombres[],0,0,ROWS(nombres[]),1)=GS$1490,ROW(OFFSET(nombres[],0,0,ROWS(nombres[]),1))-ROW(OFFSET(nombres[],0,0,1,1))+1,ROW(OFFSET(nombres[],ROWS(nombres[])-1,0,1,1))+1),$O1545:$O1564),3),"")</f>
        <v/>
      </c>
      <c r="GT1545" s="42" t="str">
        <f t="array" aca="1" ref="GT1545" ca="1">IFERROR(INDEX(nombres[],SMALL(IF(OFFSET(nombres[],0,0,ROWS(nombres[]),1)=GT$1490,ROW(OFFSET(nombres[],0,0,ROWS(nombres[]),1))-ROW(OFFSET(nombres[],0,0,1,1))+1,ROW(OFFSET(nombres[],ROWS(nombres[])-1,0,1,1))+1),$O1545:$O1564),3),"")</f>
        <v/>
      </c>
      <c r="GU1545" s="42" t="str">
        <f t="array" aca="1" ref="GU1545" ca="1">IFERROR(INDEX(nombres[],SMALL(IF(OFFSET(nombres[],0,0,ROWS(nombres[]),1)=GU$1490,ROW(OFFSET(nombres[],0,0,ROWS(nombres[]),1))-ROW(OFFSET(nombres[],0,0,1,1))+1,ROW(OFFSET(nombres[],ROWS(nombres[])-1,0,1,1))+1),$O1545:$O1564),3),"")</f>
        <v/>
      </c>
      <c r="GV1545" s="42" t="str">
        <f t="array" aca="1" ref="GV1545" ca="1">IFERROR(INDEX(nombres[],SMALL(IF(OFFSET(nombres[],0,0,ROWS(nombres[]),1)=GV$1490,ROW(OFFSET(nombres[],0,0,ROWS(nombres[]),1))-ROW(OFFSET(nombres[],0,0,1,1))+1,ROW(OFFSET(nombres[],ROWS(nombres[])-1,0,1,1))+1),$O1545:$O1564),3),"")</f>
        <v/>
      </c>
      <c r="GW1545" s="42" t="str">
        <f t="array" aca="1" ref="GW1545" ca="1">IFERROR(INDEX(nombres[],SMALL(IF(OFFSET(nombres[],0,0,ROWS(nombres[]),1)=GW$1490,ROW(OFFSET(nombres[],0,0,ROWS(nombres[]),1))-ROW(OFFSET(nombres[],0,0,1,1))+1,ROW(OFFSET(nombres[],ROWS(nombres[])-1,0,1,1))+1),$O1545:$O1564),3),"")</f>
        <v/>
      </c>
      <c r="GX1545" s="42" t="str">
        <f t="array" aca="1" ref="GX1545" ca="1">IFERROR(INDEX(nombres[],SMALL(IF(OFFSET(nombres[],0,0,ROWS(nombres[]),1)=GX$1490,ROW(OFFSET(nombres[],0,0,ROWS(nombres[]),1))-ROW(OFFSET(nombres[],0,0,1,1))+1,ROW(OFFSET(nombres[],ROWS(nombres[])-1,0,1,1))+1),$O1545:$O1564),3),"")</f>
        <v/>
      </c>
      <c r="GY1545" s="42" t="str">
        <f t="array" aca="1" ref="GY1545" ca="1">IFERROR(INDEX(nombres[],SMALL(IF(OFFSET(nombres[],0,0,ROWS(nombres[]),1)=GY$1490,ROW(OFFSET(nombres[],0,0,ROWS(nombres[]),1))-ROW(OFFSET(nombres[],0,0,1,1))+1,ROW(OFFSET(nombres[],ROWS(nombres[])-1,0,1,1))+1),$O1545:$O1564),3),"")</f>
        <v/>
      </c>
      <c r="GZ1545" s="42" t="str">
        <f t="array" aca="1" ref="GZ1545" ca="1">IFERROR(INDEX(nombres[],SMALL(IF(OFFSET(nombres[],0,0,ROWS(nombres[]),1)=GZ$1490,ROW(OFFSET(nombres[],0,0,ROWS(nombres[]),1))-ROW(OFFSET(nombres[],0,0,1,1))+1,ROW(OFFSET(nombres[],ROWS(nombres[])-1,0,1,1))+1),$O1545:$O1564),3),"")</f>
        <v/>
      </c>
      <c r="HA1545" s="42" t="str">
        <f t="array" aca="1" ref="HA1545" ca="1">IFERROR(INDEX(nombres[],SMALL(IF(OFFSET(nombres[],0,0,ROWS(nombres[]),1)=HA$1490,ROW(OFFSET(nombres[],0,0,ROWS(nombres[]),1))-ROW(OFFSET(nombres[],0,0,1,1))+1,ROW(OFFSET(nombres[],ROWS(nombres[])-1,0,1,1))+1),$O1545:$O1564),3),"")</f>
        <v/>
      </c>
      <c r="HB1545" s="42" t="str">
        <f t="array" aca="1" ref="HB1545" ca="1">IFERROR(INDEX(nombres[],SMALL(IF(OFFSET(nombres[],0,0,ROWS(nombres[]),1)=HB$1490,ROW(OFFSET(nombres[],0,0,ROWS(nombres[]),1))-ROW(OFFSET(nombres[],0,0,1,1))+1,ROW(OFFSET(nombres[],ROWS(nombres[])-1,0,1,1))+1),$O1545:$O1564),3),"")</f>
        <v/>
      </c>
      <c r="HC1545" s="42" t="str">
        <f t="array" aca="1" ref="HC1545" ca="1">IFERROR(INDEX(nombres[],SMALL(IF(OFFSET(nombres[],0,0,ROWS(nombres[]),1)=HC$1490,ROW(OFFSET(nombres[],0,0,ROWS(nombres[]),1))-ROW(OFFSET(nombres[],0,0,1,1))+1,ROW(OFFSET(nombres[],ROWS(nombres[])-1,0,1,1))+1),$O1545:$O1564),3),"")</f>
        <v/>
      </c>
      <c r="HD1545" s="42" t="str">
        <f t="array" aca="1" ref="HD1545" ca="1">IFERROR(INDEX(nombres[],SMALL(IF(OFFSET(nombres[],0,0,ROWS(nombres[]),1)=HD$1490,ROW(OFFSET(nombres[],0,0,ROWS(nombres[]),1))-ROW(OFFSET(nombres[],0,0,1,1))+1,ROW(OFFSET(nombres[],ROWS(nombres[])-1,0,1,1))+1),$O1545:$O1564),3),"")</f>
        <v/>
      </c>
      <c r="HE1545" s="42" t="str">
        <f t="array" aca="1" ref="HE1545" ca="1">IFERROR(INDEX(nombres[],SMALL(IF(OFFSET(nombres[],0,0,ROWS(nombres[]),1)=HE$1490,ROW(OFFSET(nombres[],0,0,ROWS(nombres[]),1))-ROW(OFFSET(nombres[],0,0,1,1))+1,ROW(OFFSET(nombres[],ROWS(nombres[])-1,0,1,1))+1),$O1545:$O1564),3),"")</f>
        <v/>
      </c>
      <c r="HF1545" s="42" t="str">
        <f t="array" aca="1" ref="HF1545" ca="1">IFERROR(INDEX(nombres[],SMALL(IF(OFFSET(nombres[],0,0,ROWS(nombres[]),1)=HF$1490,ROW(OFFSET(nombres[],0,0,ROWS(nombres[]),1))-ROW(OFFSET(nombres[],0,0,1,1))+1,ROW(OFFSET(nombres[],ROWS(nombres[])-1,0,1,1))+1),$O1545:$O1564),3),"")</f>
        <v/>
      </c>
      <c r="HG1545" s="42" t="str">
        <f t="array" aca="1" ref="HG1545" ca="1">IFERROR(INDEX(nombres[],SMALL(IF(OFFSET(nombres[],0,0,ROWS(nombres[]),1)=HG$1490,ROW(OFFSET(nombres[],0,0,ROWS(nombres[]),1))-ROW(OFFSET(nombres[],0,0,1,1))+1,ROW(OFFSET(nombres[],ROWS(nombres[])-1,0,1,1))+1),$O1545:$O1564),3),"")</f>
        <v/>
      </c>
      <c r="HH1545" s="42" t="str">
        <f t="array" aca="1" ref="HH1545" ca="1">IFERROR(INDEX(nombres[],SMALL(IF(OFFSET(nombres[],0,0,ROWS(nombres[]),1)=HH$1490,ROW(OFFSET(nombres[],0,0,ROWS(nombres[]),1))-ROW(OFFSET(nombres[],0,0,1,1))+1,ROW(OFFSET(nombres[],ROWS(nombres[])-1,0,1,1))+1),$O1545:$O1564),3),"")</f>
        <v/>
      </c>
      <c r="HI1545" s="42" t="str">
        <f t="array" aca="1" ref="HI1545" ca="1">IFERROR(INDEX(nombres[],SMALL(IF(OFFSET(nombres[],0,0,ROWS(nombres[]),1)=HI$1490,ROW(OFFSET(nombres[],0,0,ROWS(nombres[]),1))-ROW(OFFSET(nombres[],0,0,1,1))+1,ROW(OFFSET(nombres[],ROWS(nombres[])-1,0,1,1))+1),$O1545:$O1564),3),"")</f>
        <v/>
      </c>
      <c r="HJ1545" s="42" t="str">
        <f t="array" aca="1" ref="HJ1545" ca="1">IFERROR(INDEX(nombres[],SMALL(IF(OFFSET(nombres[],0,0,ROWS(nombres[]),1)=HJ$1490,ROW(OFFSET(nombres[],0,0,ROWS(nombres[]),1))-ROW(OFFSET(nombres[],0,0,1,1))+1,ROW(OFFSET(nombres[],ROWS(nombres[])-1,0,1,1))+1),$O1545:$O1564),3),"")</f>
        <v/>
      </c>
      <c r="HK1545" s="42" t="str">
        <f t="array" aca="1" ref="HK1545" ca="1">IFERROR(INDEX(nombres[],SMALL(IF(OFFSET(nombres[],0,0,ROWS(nombres[]),1)=HK$1490,ROW(OFFSET(nombres[],0,0,ROWS(nombres[]),1))-ROW(OFFSET(nombres[],0,0,1,1))+1,ROW(OFFSET(nombres[],ROWS(nombres[])-1,0,1,1))+1),$O1545:$O1564),3),"")</f>
        <v/>
      </c>
      <c r="HL1545" s="42" t="str">
        <f t="array" aca="1" ref="HL1545" ca="1">IFERROR(INDEX(nombres[],SMALL(IF(OFFSET(nombres[],0,0,ROWS(nombres[]),1)=HL$1490,ROW(OFFSET(nombres[],0,0,ROWS(nombres[]),1))-ROW(OFFSET(nombres[],0,0,1,1))+1,ROW(OFFSET(nombres[],ROWS(nombres[])-1,0,1,1))+1),$O1545:$O1564),3),"")</f>
        <v/>
      </c>
      <c r="HM1545" s="42" t="str">
        <f t="array" aca="1" ref="HM1545" ca="1">IFERROR(INDEX(nombres[],SMALL(IF(OFFSET(nombres[],0,0,ROWS(nombres[]),1)=HM$1490,ROW(OFFSET(nombres[],0,0,ROWS(nombres[]),1))-ROW(OFFSET(nombres[],0,0,1,1))+1,ROW(OFFSET(nombres[],ROWS(nombres[])-1,0,1,1))+1),$O1545:$O1564),3),"")</f>
        <v/>
      </c>
      <c r="HN1545" s="42" t="str">
        <f t="array" aca="1" ref="HN1545" ca="1">IFERROR(INDEX(nombres[],SMALL(IF(OFFSET(nombres[],0,0,ROWS(nombres[]),1)=HN$1490,ROW(OFFSET(nombres[],0,0,ROWS(nombres[]),1))-ROW(OFFSET(nombres[],0,0,1,1))+1,ROW(OFFSET(nombres[],ROWS(nombres[])-1,0,1,1))+1),$O1545:$O1564),3),"")</f>
        <v/>
      </c>
      <c r="HO1545" s="42" t="str">
        <f t="array" aca="1" ref="HO1545" ca="1">IFERROR(INDEX(nombres[],SMALL(IF(OFFSET(nombres[],0,0,ROWS(nombres[]),1)=HO$1490,ROW(OFFSET(nombres[],0,0,ROWS(nombres[]),1))-ROW(OFFSET(nombres[],0,0,1,1))+1,ROW(OFFSET(nombres[],ROWS(nombres[])-1,0,1,1))+1),$O1545:$O1564),3),"")</f>
        <v/>
      </c>
      <c r="HP1545" s="42" t="str">
        <f t="array" aca="1" ref="HP1545" ca="1">IFERROR(INDEX(nombres[],SMALL(IF(OFFSET(nombres[],0,0,ROWS(nombres[]),1)=HP$1490,ROW(OFFSET(nombres[],0,0,ROWS(nombres[]),1))-ROW(OFFSET(nombres[],0,0,1,1))+1,ROW(OFFSET(nombres[],ROWS(nombres[])-1,0,1,1))+1),$O1545:$O1564),3),"")</f>
        <v/>
      </c>
      <c r="HQ1545" s="42" t="str">
        <f t="array" aca="1" ref="HQ1545" ca="1">IFERROR(INDEX(nombres[],SMALL(IF(OFFSET(nombres[],0,0,ROWS(nombres[]),1)=HQ$1490,ROW(OFFSET(nombres[],0,0,ROWS(nombres[]),1))-ROW(OFFSET(nombres[],0,0,1,1))+1,ROW(OFFSET(nombres[],ROWS(nombres[])-1,0,1,1))+1),$O1545:$O1564),3),"")</f>
        <v/>
      </c>
      <c r="HR1545" s="42" t="str">
        <f t="array" aca="1" ref="HR1545" ca="1">IFERROR(INDEX(nombres[],SMALL(IF(OFFSET(nombres[],0,0,ROWS(nombres[]),1)=HR$1490,ROW(OFFSET(nombres[],0,0,ROWS(nombres[]),1))-ROW(OFFSET(nombres[],0,0,1,1))+1,ROW(OFFSET(nombres[],ROWS(nombres[])-1,0,1,1))+1),$O1545:$O1564),3),"")</f>
        <v/>
      </c>
      <c r="HS1545" s="42" t="str">
        <f t="array" aca="1" ref="HS1545" ca="1">IFERROR(INDEX(nombres[],SMALL(IF(OFFSET(nombres[],0,0,ROWS(nombres[]),1)=HS$1490,ROW(OFFSET(nombres[],0,0,ROWS(nombres[]),1))-ROW(OFFSET(nombres[],0,0,1,1))+1,ROW(OFFSET(nombres[],ROWS(nombres[])-1,0,1,1))+1),$O1545:$O1564),3),"")</f>
        <v/>
      </c>
      <c r="HT1545" s="42" t="str">
        <f t="array" aca="1" ref="HT1545" ca="1">IFERROR(INDEX(nombres[],SMALL(IF(OFFSET(nombres[],0,0,ROWS(nombres[]),1)=HT$1490,ROW(OFFSET(nombres[],0,0,ROWS(nombres[]),1))-ROW(OFFSET(nombres[],0,0,1,1))+1,ROW(OFFSET(nombres[],ROWS(nombres[])-1,0,1,1))+1),$O1545:$O1564),3),"")</f>
        <v/>
      </c>
      <c r="HU1545" s="42" t="str">
        <f t="array" aca="1" ref="HU1545" ca="1">IFERROR(INDEX(nombres[],SMALL(IF(OFFSET(nombres[],0,0,ROWS(nombres[]),1)=HU$1490,ROW(OFFSET(nombres[],0,0,ROWS(nombres[]),1))-ROW(OFFSET(nombres[],0,0,1,1))+1,ROW(OFFSET(nombres[],ROWS(nombres[])-1,0,1,1))+1),$O1545:$O1564),3),"")</f>
        <v/>
      </c>
      <c r="HV1545" s="42" t="str">
        <f t="array" aca="1" ref="HV1545" ca="1">IFERROR(INDEX(nombres[],SMALL(IF(OFFSET(nombres[],0,0,ROWS(nombres[]),1)=HV$1490,ROW(OFFSET(nombres[],0,0,ROWS(nombres[]),1))-ROW(OFFSET(nombres[],0,0,1,1))+1,ROW(OFFSET(nombres[],ROWS(nombres[])-1,0,1,1))+1),$O1545:$O1564),3),"")</f>
        <v/>
      </c>
      <c r="HW1545" s="42" t="str">
        <f t="array" aca="1" ref="HW1545" ca="1">IFERROR(INDEX(nombres[],SMALL(IF(OFFSET(nombres[],0,0,ROWS(nombres[]),1)=HW$1490,ROW(OFFSET(nombres[],0,0,ROWS(nombres[]),1))-ROW(OFFSET(nombres[],0,0,1,1))+1,ROW(OFFSET(nombres[],ROWS(nombres[])-1,0,1,1))+1),$O1545:$O1564),3),"")</f>
        <v/>
      </c>
      <c r="HX1545" s="42" t="str">
        <f t="array" aca="1" ref="HX1545" ca="1">IFERROR(INDEX(nombres[],SMALL(IF(OFFSET(nombres[],0,0,ROWS(nombres[]),1)=HX$1490,ROW(OFFSET(nombres[],0,0,ROWS(nombres[]),1))-ROW(OFFSET(nombres[],0,0,1,1))+1,ROW(OFFSET(nombres[],ROWS(nombres[])-1,0,1,1))+1),$O1545:$O1564),3),"")</f>
        <v/>
      </c>
      <c r="HY1545" s="42" t="str">
        <f t="array" aca="1" ref="HY1545" ca="1">IFERROR(INDEX(nombres[],SMALL(IF(OFFSET(nombres[],0,0,ROWS(nombres[]),1)=HY$1490,ROW(OFFSET(nombres[],0,0,ROWS(nombres[]),1))-ROW(OFFSET(nombres[],0,0,1,1))+1,ROW(OFFSET(nombres[],ROWS(nombres[])-1,0,1,1))+1),$O1545:$O1564),3),"")</f>
        <v/>
      </c>
      <c r="HZ1545" s="42" t="str">
        <f t="array" aca="1" ref="HZ1545" ca="1">IFERROR(INDEX(nombres[],SMALL(IF(OFFSET(nombres[],0,0,ROWS(nombres[]),1)=HZ$1490,ROW(OFFSET(nombres[],0,0,ROWS(nombres[]),1))-ROW(OFFSET(nombres[],0,0,1,1))+1,ROW(OFFSET(nombres[],ROWS(nombres[])-1,0,1,1))+1),$O1545:$O1564),3),"")</f>
        <v/>
      </c>
      <c r="IA1545" s="42" t="str">
        <f t="array" aca="1" ref="IA1545" ca="1">IFERROR(INDEX(nombres[],SMALL(IF(OFFSET(nombres[],0,0,ROWS(nombres[]),1)=IA$1490,ROW(OFFSET(nombres[],0,0,ROWS(nombres[]),1))-ROW(OFFSET(nombres[],0,0,1,1))+1,ROW(OFFSET(nombres[],ROWS(nombres[])-1,0,1,1))+1),$O1545:$O1564),3),"")</f>
        <v/>
      </c>
      <c r="IB1545" s="42" t="str">
        <f t="array" aca="1" ref="IB1545" ca="1">IFERROR(INDEX(nombres[],SMALL(IF(OFFSET(nombres[],0,0,ROWS(nombres[]),1)=IB$1490,ROW(OFFSET(nombres[],0,0,ROWS(nombres[]),1))-ROW(OFFSET(nombres[],0,0,1,1))+1,ROW(OFFSET(nombres[],ROWS(nombres[])-1,0,1,1))+1),$O1545:$O1564),3),"")</f>
        <v/>
      </c>
      <c r="IC1545" s="42" t="str">
        <f t="array" aca="1" ref="IC1545" ca="1">IFERROR(INDEX(nombres[],SMALL(IF(OFFSET(nombres[],0,0,ROWS(nombres[]),1)=IC$1490,ROW(OFFSET(nombres[],0,0,ROWS(nombres[]),1))-ROW(OFFSET(nombres[],0,0,1,1))+1,ROW(OFFSET(nombres[],ROWS(nombres[])-1,0,1,1))+1),$O1545:$O1564),3),"")</f>
        <v/>
      </c>
      <c r="ID1545" s="42" t="str">
        <f t="array" aca="1" ref="ID1545" ca="1">IFERROR(INDEX(nombres[],SMALL(IF(OFFSET(nombres[],0,0,ROWS(nombres[]),1)=ID$1490,ROW(OFFSET(nombres[],0,0,ROWS(nombres[]),1))-ROW(OFFSET(nombres[],0,0,1,1))+1,ROW(OFFSET(nombres[],ROWS(nombres[])-1,0,1,1))+1),$O1545:$O1564),3),"")</f>
        <v/>
      </c>
      <c r="IE1545" s="42" t="str">
        <f t="array" aca="1" ref="IE1545" ca="1">IFERROR(INDEX(nombres[],SMALL(IF(OFFSET(nombres[],0,0,ROWS(nombres[]),1)=IE$1490,ROW(OFFSET(nombres[],0,0,ROWS(nombres[]),1))-ROW(OFFSET(nombres[],0,0,1,1))+1,ROW(OFFSET(nombres[],ROWS(nombres[])-1,0,1,1))+1),$O1545:$O1564),3),"")</f>
        <v/>
      </c>
      <c r="IF1545" s="42" t="str">
        <f t="array" aca="1" ref="IF1545" ca="1">IFERROR(INDEX(nombres[],SMALL(IF(OFFSET(nombres[],0,0,ROWS(nombres[]),1)=IF$1490,ROW(OFFSET(nombres[],0,0,ROWS(nombres[]),1))-ROW(OFFSET(nombres[],0,0,1,1))+1,ROW(OFFSET(nombres[],ROWS(nombres[])-1,0,1,1))+1),$O1545:$O1564),3),"")</f>
        <v/>
      </c>
      <c r="IG1545" s="42" t="str">
        <f t="array" aca="1" ref="IG1545" ca="1">IFERROR(INDEX(nombres[],SMALL(IF(OFFSET(nombres[],0,0,ROWS(nombres[]),1)=IG$1490,ROW(OFFSET(nombres[],0,0,ROWS(nombres[]),1))-ROW(OFFSET(nombres[],0,0,1,1))+1,ROW(OFFSET(nombres[],ROWS(nombres[])-1,0,1,1))+1),$O1545:$O1564),3),"")</f>
        <v/>
      </c>
      <c r="IH1545" s="42" t="str">
        <f t="array" aca="1" ref="IH1545" ca="1">IFERROR(INDEX(nombres[],SMALL(IF(OFFSET(nombres[],0,0,ROWS(nombres[]),1)=IH$1490,ROW(OFFSET(nombres[],0,0,ROWS(nombres[]),1))-ROW(OFFSET(nombres[],0,0,1,1))+1,ROW(OFFSET(nombres[],ROWS(nombres[])-1,0,1,1))+1),$O1545:$O1564),3),"")</f>
        <v/>
      </c>
      <c r="II1545" s="42" t="str">
        <f t="array" aca="1" ref="II1545" ca="1">IFERROR(INDEX(nombres[],SMALL(IF(OFFSET(nombres[],0,0,ROWS(nombres[]),1)=II$1490,ROW(OFFSET(nombres[],0,0,ROWS(nombres[]),1))-ROW(OFFSET(nombres[],0,0,1,1))+1,ROW(OFFSET(nombres[],ROWS(nombres[])-1,0,1,1))+1),$O1545:$O1564),3),"")</f>
        <v/>
      </c>
      <c r="IJ1545" s="42" t="str">
        <f t="array" aca="1" ref="IJ1545" ca="1">IFERROR(INDEX(nombres[],SMALL(IF(OFFSET(nombres[],0,0,ROWS(nombres[]),1)=IJ$1490,ROW(OFFSET(nombres[],0,0,ROWS(nombres[]),1))-ROW(OFFSET(nombres[],0,0,1,1))+1,ROW(OFFSET(nombres[],ROWS(nombres[])-1,0,1,1))+1),$O1545:$O1564),3),"")</f>
        <v/>
      </c>
      <c r="IK1545" s="42" t="str">
        <f t="array" aca="1" ref="IK1545" ca="1">IFERROR(INDEX(nombres[],SMALL(IF(OFFSET(nombres[],0,0,ROWS(nombres[]),1)=IK$1490,ROW(OFFSET(nombres[],0,0,ROWS(nombres[]),1))-ROW(OFFSET(nombres[],0,0,1,1))+1,ROW(OFFSET(nombres[],ROWS(nombres[])-1,0,1,1))+1),$O1545:$O1564),3),"")</f>
        <v/>
      </c>
      <c r="IL1545" s="42" t="str">
        <f t="array" aca="1" ref="IL1545" ca="1">IFERROR(INDEX(nombres[],SMALL(IF(OFFSET(nombres[],0,0,ROWS(nombres[]),1)=IL$1490,ROW(OFFSET(nombres[],0,0,ROWS(nombres[]),1))-ROW(OFFSET(nombres[],0,0,1,1))+1,ROW(OFFSET(nombres[],ROWS(nombres[])-1,0,1,1))+1),$O1545:$O1564),3),"")</f>
        <v/>
      </c>
      <c r="IM1545" s="42" t="str">
        <f t="array" aca="1" ref="IM1545" ca="1">IFERROR(INDEX(nombres[],SMALL(IF(OFFSET(nombres[],0,0,ROWS(nombres[]),1)=IM$1490,ROW(OFFSET(nombres[],0,0,ROWS(nombres[]),1))-ROW(OFFSET(nombres[],0,0,1,1))+1,ROW(OFFSET(nombres[],ROWS(nombres[])-1,0,1,1))+1),$O1545:$O1564),3),"")</f>
        <v/>
      </c>
      <c r="IN1545" s="42" t="str">
        <f t="array" aca="1" ref="IN1545" ca="1">IFERROR(INDEX(nombres[],SMALL(IF(OFFSET(nombres[],0,0,ROWS(nombres[]),1)=IN$1490,ROW(OFFSET(nombres[],0,0,ROWS(nombres[]),1))-ROW(OFFSET(nombres[],0,0,1,1))+1,ROW(OFFSET(nombres[],ROWS(nombres[])-1,0,1,1))+1),$O1545:$O1564),3),"")</f>
        <v/>
      </c>
      <c r="IO1545" s="42" t="str">
        <f t="array" aca="1" ref="IO1545" ca="1">IFERROR(INDEX(nombres[],SMALL(IF(OFFSET(nombres[],0,0,ROWS(nombres[]),1)=IO$1490,ROW(OFFSET(nombres[],0,0,ROWS(nombres[]),1))-ROW(OFFSET(nombres[],0,0,1,1))+1,ROW(OFFSET(nombres[],ROWS(nombres[])-1,0,1,1))+1),$O1545:$O1564),3),"")</f>
        <v/>
      </c>
      <c r="IP1545" s="42" t="str">
        <f t="array" aca="1" ref="IP1545" ca="1">IFERROR(INDEX(nombres[],SMALL(IF(OFFSET(nombres[],0,0,ROWS(nombres[]),1)=IP$1490,ROW(OFFSET(nombres[],0,0,ROWS(nombres[]),1))-ROW(OFFSET(nombres[],0,0,1,1))+1,ROW(OFFSET(nombres[],ROWS(nombres[])-1,0,1,1))+1),$O1545:$O1564),3),"")</f>
        <v/>
      </c>
      <c r="IQ1545" s="42" t="str">
        <f t="array" aca="1" ref="IQ1545" ca="1">IFERROR(INDEX(nombres[],SMALL(IF(OFFSET(nombres[],0,0,ROWS(nombres[]),1)=IQ$1490,ROW(OFFSET(nombres[],0,0,ROWS(nombres[]),1))-ROW(OFFSET(nombres[],0,0,1,1))+1,ROW(OFFSET(nombres[],ROWS(nombres[])-1,0,1,1))+1),$O1545:$O1564),3),"")</f>
        <v/>
      </c>
      <c r="IR1545" s="42" t="str">
        <f t="array" aca="1" ref="IR1545" ca="1">IFERROR(INDEX(nombres[],SMALL(IF(OFFSET(nombres[],0,0,ROWS(nombres[]),1)=IR$1490,ROW(OFFSET(nombres[],0,0,ROWS(nombres[]),1))-ROW(OFFSET(nombres[],0,0,1,1))+1,ROW(OFFSET(nombres[],ROWS(nombres[])-1,0,1,1))+1),$O1545:$O1564),3),"")</f>
        <v/>
      </c>
      <c r="IS1545" s="42" t="str">
        <f t="array" aca="1" ref="IS1545" ca="1">IFERROR(INDEX(nombres[],SMALL(IF(OFFSET(nombres[],0,0,ROWS(nombres[]),1)=IS$1490,ROW(OFFSET(nombres[],0,0,ROWS(nombres[]),1))-ROW(OFFSET(nombres[],0,0,1,1))+1,ROW(OFFSET(nombres[],ROWS(nombres[])-1,0,1,1))+1),$O1545:$O1564),3),"")</f>
        <v/>
      </c>
      <c r="IT1545" s="42" t="str">
        <f t="array" aca="1" ref="IT1545" ca="1">IFERROR(INDEX(nombres[],SMALL(IF(OFFSET(nombres[],0,0,ROWS(nombres[]),1)=IT$1490,ROW(OFFSET(nombres[],0,0,ROWS(nombres[]),1))-ROW(OFFSET(nombres[],0,0,1,1))+1,ROW(OFFSET(nombres[],ROWS(nombres[])-1,0,1,1))+1),$O1545:$O1564),3),"")</f>
        <v/>
      </c>
      <c r="IU1545" s="42" t="str">
        <f t="array" aca="1" ref="IU1545" ca="1">IFERROR(INDEX(nombres[],SMALL(IF(OFFSET(nombres[],0,0,ROWS(nombres[]),1)=IU$1490,ROW(OFFSET(nombres[],0,0,ROWS(nombres[]),1))-ROW(OFFSET(nombres[],0,0,1,1))+1,ROW(OFFSET(nombres[],ROWS(nombres[])-1,0,1,1))+1),$O1545:$O1564),3),"")</f>
        <v/>
      </c>
      <c r="IV1545" s="42" t="str">
        <f t="array" aca="1" ref="IV1545" ca="1">IFERROR(INDEX(nombres[],SMALL(IF(OFFSET(nombres[],0,0,ROWS(nombres[]),1)=IV$1490,ROW(OFFSET(nombres[],0,0,ROWS(nombres[]),1))-ROW(OFFSET(nombres[],0,0,1,1))+1,ROW(OFFSET(nombres[],ROWS(nombres[])-1,0,1,1))+1),$O1545:$O1564),3),"")</f>
        <v/>
      </c>
      <c r="IW1545" s="42" t="str">
        <f t="array" aca="1" ref="IW1545" ca="1">IFERROR(INDEX(nombres[],SMALL(IF(OFFSET(nombres[],0,0,ROWS(nombres[]),1)=IW$1490,ROW(OFFSET(nombres[],0,0,ROWS(nombres[]),1))-ROW(OFFSET(nombres[],0,0,1,1))+1,ROW(OFFSET(nombres[],ROWS(nombres[])-1,0,1,1))+1),$O1545:$O1564),3),"")</f>
        <v/>
      </c>
      <c r="IX1545" s="42" t="str">
        <f t="array" aca="1" ref="IX1545" ca="1">IFERROR(INDEX(nombres[],SMALL(IF(OFFSET(nombres[],0,0,ROWS(nombres[]),1)=IX$1490,ROW(OFFSET(nombres[],0,0,ROWS(nombres[]),1))-ROW(OFFSET(nombres[],0,0,1,1))+1,ROW(OFFSET(nombres[],ROWS(nombres[])-1,0,1,1))+1),$O1545:$O1564),3),"")</f>
        <v/>
      </c>
      <c r="IY1545" s="42" t="str">
        <f t="array" aca="1" ref="IY1545" ca="1">IFERROR(INDEX(nombres[],SMALL(IF(OFFSET(nombres[],0,0,ROWS(nombres[]),1)=IY$1490,ROW(OFFSET(nombres[],0,0,ROWS(nombres[]),1))-ROW(OFFSET(nombres[],0,0,1,1))+1,ROW(OFFSET(nombres[],ROWS(nombres[])-1,0,1,1))+1),$O1545:$O1564),3),"")</f>
        <v/>
      </c>
      <c r="IZ1545" s="42" t="str">
        <f t="array" aca="1" ref="IZ1545" ca="1">IFERROR(INDEX(nombres[],SMALL(IF(OFFSET(nombres[],0,0,ROWS(nombres[]),1)=IZ$1490,ROW(OFFSET(nombres[],0,0,ROWS(nombres[]),1))-ROW(OFFSET(nombres[],0,0,1,1))+1,ROW(OFFSET(nombres[],ROWS(nombres[])-1,0,1,1))+1),$O1545:$O1564),3),"")</f>
        <v/>
      </c>
      <c r="JA1545" s="42" t="str">
        <f t="array" aca="1" ref="JA1545" ca="1">IFERROR(INDEX(nombres[],SMALL(IF(OFFSET(nombres[],0,0,ROWS(nombres[]),1)=JA$1490,ROW(OFFSET(nombres[],0,0,ROWS(nombres[]),1))-ROW(OFFSET(nombres[],0,0,1,1))+1,ROW(OFFSET(nombres[],ROWS(nombres[])-1,0,1,1))+1),$O1545:$O1564),3),"")</f>
        <v/>
      </c>
      <c r="JB1545" s="42" t="str">
        <f t="array" aca="1" ref="JB1545" ca="1">IFERROR(INDEX(nombres[],SMALL(IF(OFFSET(nombres[],0,0,ROWS(nombres[]),1)=JB$1490,ROW(OFFSET(nombres[],0,0,ROWS(nombres[]),1))-ROW(OFFSET(nombres[],0,0,1,1))+1,ROW(OFFSET(nombres[],ROWS(nombres[])-1,0,1,1))+1),$O1545:$O1564),3),"")</f>
        <v/>
      </c>
      <c r="JC1545" s="42" t="str">
        <f t="array" aca="1" ref="JC1545" ca="1">IFERROR(INDEX(nombres[],SMALL(IF(OFFSET(nombres[],0,0,ROWS(nombres[]),1)=JC$1490,ROW(OFFSET(nombres[],0,0,ROWS(nombres[]),1))-ROW(OFFSET(nombres[],0,0,1,1))+1,ROW(OFFSET(nombres[],ROWS(nombres[])-1,0,1,1))+1),$O1545:$O1564),3),"")</f>
        <v/>
      </c>
      <c r="JD1545" s="42" t="str">
        <f t="array" aca="1" ref="JD1545" ca="1">IFERROR(INDEX(nombres[],SMALL(IF(OFFSET(nombres[],0,0,ROWS(nombres[]),1)=JD$1490,ROW(OFFSET(nombres[],0,0,ROWS(nombres[]),1))-ROW(OFFSET(nombres[],0,0,1,1))+1,ROW(OFFSET(nombres[],ROWS(nombres[])-1,0,1,1))+1),$O1545:$O1564),3),"")</f>
        <v/>
      </c>
      <c r="JE1545" s="42" t="str">
        <f t="array" aca="1" ref="JE1545" ca="1">IFERROR(INDEX(nombres[],SMALL(IF(OFFSET(nombres[],0,0,ROWS(nombres[]),1)=JE$1490,ROW(OFFSET(nombres[],0,0,ROWS(nombres[]),1))-ROW(OFFSET(nombres[],0,0,1,1))+1,ROW(OFFSET(nombres[],ROWS(nombres[])-1,0,1,1))+1),$O1545:$O1564),3),"")</f>
        <v/>
      </c>
      <c r="JF1545" s="42" t="str">
        <f t="array" aca="1" ref="JF1545" ca="1">IFERROR(INDEX(nombres[],SMALL(IF(OFFSET(nombres[],0,0,ROWS(nombres[]),1)=JF$1490,ROW(OFFSET(nombres[],0,0,ROWS(nombres[]),1))-ROW(OFFSET(nombres[],0,0,1,1))+1,ROW(OFFSET(nombres[],ROWS(nombres[])-1,0,1,1))+1),$O1545:$O1564),3),"")</f>
        <v/>
      </c>
      <c r="JG1545" s="42" t="str">
        <f t="array" aca="1" ref="JG1545" ca="1">IFERROR(INDEX(nombres[],SMALL(IF(OFFSET(nombres[],0,0,ROWS(nombres[]),1)=JG$1490,ROW(OFFSET(nombres[],0,0,ROWS(nombres[]),1))-ROW(OFFSET(nombres[],0,0,1,1))+1,ROW(OFFSET(nombres[],ROWS(nombres[])-1,0,1,1))+1),$O1545:$O1564),3),"")</f>
        <v/>
      </c>
      <c r="JH1545" s="42" t="str">
        <f t="array" aca="1" ref="JH1545" ca="1">IFERROR(INDEX(nombres[],SMALL(IF(OFFSET(nombres[],0,0,ROWS(nombres[]),1)=JH$1490,ROW(OFFSET(nombres[],0,0,ROWS(nombres[]),1))-ROW(OFFSET(nombres[],0,0,1,1))+1,ROW(OFFSET(nombres[],ROWS(nombres[])-1,0,1,1))+1),$O1545:$O1564),3),"")</f>
        <v/>
      </c>
      <c r="JI1545" s="42" t="str">
        <f t="array" aca="1" ref="JI1545" ca="1">IFERROR(INDEX(nombres[],SMALL(IF(OFFSET(nombres[],0,0,ROWS(nombres[]),1)=JI$1490,ROW(OFFSET(nombres[],0,0,ROWS(nombres[]),1))-ROW(OFFSET(nombres[],0,0,1,1))+1,ROW(OFFSET(nombres[],ROWS(nombres[])-1,0,1,1))+1),$O1545:$O1564),3),"")</f>
        <v/>
      </c>
      <c r="JJ1545" s="42" t="str">
        <f t="array" aca="1" ref="JJ1545" ca="1">IFERROR(INDEX(nombres[],SMALL(IF(OFFSET(nombres[],0,0,ROWS(nombres[]),1)=JJ$1490,ROW(OFFSET(nombres[],0,0,ROWS(nombres[]),1))-ROW(OFFSET(nombres[],0,0,1,1))+1,ROW(OFFSET(nombres[],ROWS(nombres[])-1,0,1,1))+1),$O1545:$O1564),3),"")</f>
        <v/>
      </c>
      <c r="JK1545" s="42" t="str">
        <f t="array" aca="1" ref="JK1545" ca="1">IFERROR(INDEX(nombres[],SMALL(IF(OFFSET(nombres[],0,0,ROWS(nombres[]),1)=JK$1490,ROW(OFFSET(nombres[],0,0,ROWS(nombres[]),1))-ROW(OFFSET(nombres[],0,0,1,1))+1,ROW(OFFSET(nombres[],ROWS(nombres[])-1,0,1,1))+1),$O1545:$O1564),3),"")</f>
        <v/>
      </c>
      <c r="JL1545" s="42" t="str">
        <f t="array" aca="1" ref="JL1545" ca="1">IFERROR(INDEX(nombres[],SMALL(IF(OFFSET(nombres[],0,0,ROWS(nombres[]),1)=JL$1490,ROW(OFFSET(nombres[],0,0,ROWS(nombres[]),1))-ROW(OFFSET(nombres[],0,0,1,1))+1,ROW(OFFSET(nombres[],ROWS(nombres[])-1,0,1,1))+1),$O1545:$O1564),3),"")</f>
        <v/>
      </c>
      <c r="JM1545" s="42" t="str">
        <f t="array" aca="1" ref="JM1545" ca="1">IFERROR(INDEX(nombres[],SMALL(IF(OFFSET(nombres[],0,0,ROWS(nombres[]),1)=JM$1490,ROW(OFFSET(nombres[],0,0,ROWS(nombres[]),1))-ROW(OFFSET(nombres[],0,0,1,1))+1,ROW(OFFSET(nombres[],ROWS(nombres[])-1,0,1,1))+1),$O1545:$O1564),3),"")</f>
        <v/>
      </c>
      <c r="JN1545" s="42" t="str">
        <f t="array" aca="1" ref="JN1545" ca="1">IFERROR(INDEX(nombres[],SMALL(IF(OFFSET(nombres[],0,0,ROWS(nombres[]),1)=JN$1490,ROW(OFFSET(nombres[],0,0,ROWS(nombres[]),1))-ROW(OFFSET(nombres[],0,0,1,1))+1,ROW(OFFSET(nombres[],ROWS(nombres[])-1,0,1,1))+1),$O1545:$O1564),3),"")</f>
        <v/>
      </c>
      <c r="JO1545" s="42" t="str">
        <f t="array" aca="1" ref="JO1545" ca="1">IFERROR(INDEX(nombres[],SMALL(IF(OFFSET(nombres[],0,0,ROWS(nombres[]),1)=JO$1490,ROW(OFFSET(nombres[],0,0,ROWS(nombres[]),1))-ROW(OFFSET(nombres[],0,0,1,1))+1,ROW(OFFSET(nombres[],ROWS(nombres[])-1,0,1,1))+1),$O1545:$O1564),3),"")</f>
        <v/>
      </c>
      <c r="JP1545" s="42" t="str">
        <f t="array" aca="1" ref="JP1545" ca="1">IFERROR(INDEX(nombres[],SMALL(IF(OFFSET(nombres[],0,0,ROWS(nombres[]),1)=JP$1490,ROW(OFFSET(nombres[],0,0,ROWS(nombres[]),1))-ROW(OFFSET(nombres[],0,0,1,1))+1,ROW(OFFSET(nombres[],ROWS(nombres[])-1,0,1,1))+1),$O1545:$O1564),3),"")</f>
        <v/>
      </c>
      <c r="JQ1545" s="42" t="str">
        <f t="array" aca="1" ref="JQ1545" ca="1">IFERROR(INDEX(nombres[],SMALL(IF(OFFSET(nombres[],0,0,ROWS(nombres[]),1)=JQ$1490,ROW(OFFSET(nombres[],0,0,ROWS(nombres[]),1))-ROW(OFFSET(nombres[],0,0,1,1))+1,ROW(OFFSET(nombres[],ROWS(nombres[])-1,0,1,1))+1),$O1545:$O1564),3),"")</f>
        <v/>
      </c>
      <c r="JR1545" s="42" t="str">
        <f t="array" aca="1" ref="JR1545" ca="1">IFERROR(INDEX(nombres[],SMALL(IF(OFFSET(nombres[],0,0,ROWS(nombres[]),1)=JR$1490,ROW(OFFSET(nombres[],0,0,ROWS(nombres[]),1))-ROW(OFFSET(nombres[],0,0,1,1))+1,ROW(OFFSET(nombres[],ROWS(nombres[])-1,0,1,1))+1),$O1545:$O1564),3),"")</f>
        <v/>
      </c>
      <c r="JS1545" s="42" t="str">
        <f t="array" aca="1" ref="JS1545" ca="1">IFERROR(INDEX(nombres[],SMALL(IF(OFFSET(nombres[],0,0,ROWS(nombres[]),1)=JS$1490,ROW(OFFSET(nombres[],0,0,ROWS(nombres[]),1))-ROW(OFFSET(nombres[],0,0,1,1))+1,ROW(OFFSET(nombres[],ROWS(nombres[])-1,0,1,1))+1),$O1545:$O1564),3),"")</f>
        <v/>
      </c>
      <c r="JT1545" s="42" t="str">
        <f t="array" aca="1" ref="JT1545" ca="1">IFERROR(INDEX(nombres[],SMALL(IF(OFFSET(nombres[],0,0,ROWS(nombres[]),1)=JT$1490,ROW(OFFSET(nombres[],0,0,ROWS(nombres[]),1))-ROW(OFFSET(nombres[],0,0,1,1))+1,ROW(OFFSET(nombres[],ROWS(nombres[])-1,0,1,1))+1),$O1545:$O1564),3),"")</f>
        <v/>
      </c>
      <c r="JU1545" s="42" t="str">
        <f t="array" aca="1" ref="JU1545" ca="1">IFERROR(INDEX(nombres[],SMALL(IF(OFFSET(nombres[],0,0,ROWS(nombres[]),1)=JU$1490,ROW(OFFSET(nombres[],0,0,ROWS(nombres[]),1))-ROW(OFFSET(nombres[],0,0,1,1))+1,ROW(OFFSET(nombres[],ROWS(nombres[])-1,0,1,1))+1),$O1545:$O1564),3),"")</f>
        <v/>
      </c>
      <c r="JV1545" s="42" t="str">
        <f t="array" aca="1" ref="JV1545" ca="1">IFERROR(INDEX(nombres[],SMALL(IF(OFFSET(nombres[],0,0,ROWS(nombres[]),1)=JV$1490,ROW(OFFSET(nombres[],0,0,ROWS(nombres[]),1))-ROW(OFFSET(nombres[],0,0,1,1))+1,ROW(OFFSET(nombres[],ROWS(nombres[])-1,0,1,1))+1),$O1545:$O1564),3),"")</f>
        <v/>
      </c>
      <c r="JW1545" s="42" t="str">
        <f t="array" aca="1" ref="JW1545" ca="1">IFERROR(INDEX(nombres[],SMALL(IF(OFFSET(nombres[],0,0,ROWS(nombres[]),1)=JW$1490,ROW(OFFSET(nombres[],0,0,ROWS(nombres[]),1))-ROW(OFFSET(nombres[],0,0,1,1))+1,ROW(OFFSET(nombres[],ROWS(nombres[])-1,0,1,1))+1),$O1545:$O1564),3),"")</f>
        <v/>
      </c>
      <c r="JX1545" s="42" t="str">
        <f t="array" aca="1" ref="JX1545" ca="1">IFERROR(INDEX(nombres[],SMALL(IF(OFFSET(nombres[],0,0,ROWS(nombres[]),1)=JX$1490,ROW(OFFSET(nombres[],0,0,ROWS(nombres[]),1))-ROW(OFFSET(nombres[],0,0,1,1))+1,ROW(OFFSET(nombres[],ROWS(nombres[])-1,0,1,1))+1),$O1545:$O1564),3),"")</f>
        <v/>
      </c>
      <c r="JY1545" s="42" t="str">
        <f t="array" aca="1" ref="JY1545" ca="1">IFERROR(INDEX(nombres[],SMALL(IF(OFFSET(nombres[],0,0,ROWS(nombres[]),1)=JY$1490,ROW(OFFSET(nombres[],0,0,ROWS(nombres[]),1))-ROW(OFFSET(nombres[],0,0,1,1))+1,ROW(OFFSET(nombres[],ROWS(nombres[])-1,0,1,1))+1),$O1545:$O1564),3),"")</f>
        <v/>
      </c>
      <c r="JZ1545" s="42" t="str">
        <f t="array" aca="1" ref="JZ1545" ca="1">IFERROR(INDEX(nombres[],SMALL(IF(OFFSET(nombres[],0,0,ROWS(nombres[]),1)=JZ$1490,ROW(OFFSET(nombres[],0,0,ROWS(nombres[]),1))-ROW(OFFSET(nombres[],0,0,1,1))+1,ROW(OFFSET(nombres[],ROWS(nombres[])-1,0,1,1))+1),$O1545:$O1564),3),"")</f>
        <v/>
      </c>
      <c r="KA1545" s="42" t="str">
        <f t="array" aca="1" ref="KA1545" ca="1">IFERROR(INDEX(nombres[],SMALL(IF(OFFSET(nombres[],0,0,ROWS(nombres[]),1)=KA$1490,ROW(OFFSET(nombres[],0,0,ROWS(nombres[]),1))-ROW(OFFSET(nombres[],0,0,1,1))+1,ROW(OFFSET(nombres[],ROWS(nombres[])-1,0,1,1))+1),$O1545:$O1564),3),"")</f>
        <v/>
      </c>
      <c r="KB1545" s="42" t="str">
        <f t="array" aca="1" ref="KB1545" ca="1">IFERROR(INDEX(nombres[],SMALL(IF(OFFSET(nombres[],0,0,ROWS(nombres[]),1)=KB$1490,ROW(OFFSET(nombres[],0,0,ROWS(nombres[]),1))-ROW(OFFSET(nombres[],0,0,1,1))+1,ROW(OFFSET(nombres[],ROWS(nombres[])-1,0,1,1))+1),$O1545:$O1564),3),"")</f>
        <v/>
      </c>
      <c r="KC1545" s="42" t="str">
        <f t="array" aca="1" ref="KC1545" ca="1">IFERROR(INDEX(nombres[],SMALL(IF(OFFSET(nombres[],0,0,ROWS(nombres[]),1)=KC$1490,ROW(OFFSET(nombres[],0,0,ROWS(nombres[]),1))-ROW(OFFSET(nombres[],0,0,1,1))+1,ROW(OFFSET(nombres[],ROWS(nombres[])-1,0,1,1))+1),$O1545:$O1564),3),"")</f>
        <v/>
      </c>
      <c r="KD1545" s="42" t="str">
        <f t="array" aca="1" ref="KD1545" ca="1">IFERROR(INDEX(nombres[],SMALL(IF(OFFSET(nombres[],0,0,ROWS(nombres[]),1)=KD$1490,ROW(OFFSET(nombres[],0,0,ROWS(nombres[]),1))-ROW(OFFSET(nombres[],0,0,1,1))+1,ROW(OFFSET(nombres[],ROWS(nombres[])-1,0,1,1))+1),$O1545:$O1564),3),"")</f>
        <v/>
      </c>
      <c r="KE1545" s="42" t="str">
        <f t="array" aca="1" ref="KE1545" ca="1">IFERROR(INDEX(nombres[],SMALL(IF(OFFSET(nombres[],0,0,ROWS(nombres[]),1)=KE$1490,ROW(OFFSET(nombres[],0,0,ROWS(nombres[]),1))-ROW(OFFSET(nombres[],0,0,1,1))+1,ROW(OFFSET(nombres[],ROWS(nombres[])-1,0,1,1))+1),$O1545:$O1564),3),"")</f>
        <v/>
      </c>
      <c r="KF1545" s="42" t="str">
        <f t="array" aca="1" ref="KF1545" ca="1">IFERROR(INDEX(nombres[],SMALL(IF(OFFSET(nombres[],0,0,ROWS(nombres[]),1)=KF$1490,ROW(OFFSET(nombres[],0,0,ROWS(nombres[]),1))-ROW(OFFSET(nombres[],0,0,1,1))+1,ROW(OFFSET(nombres[],ROWS(nombres[])-1,0,1,1))+1),$O1545:$O1564),3),"")</f>
        <v/>
      </c>
      <c r="KG1545" s="42" t="str">
        <f t="array" aca="1" ref="KG1545" ca="1">IFERROR(INDEX(nombres[],SMALL(IF(OFFSET(nombres[],0,0,ROWS(nombres[]),1)=KG$1490,ROW(OFFSET(nombres[],0,0,ROWS(nombres[]),1))-ROW(OFFSET(nombres[],0,0,1,1))+1,ROW(OFFSET(nombres[],ROWS(nombres[])-1,0,1,1))+1),$O1545:$O1564),3),"")</f>
        <v/>
      </c>
      <c r="KH1545" s="42" t="str">
        <f t="array" aca="1" ref="KH1545" ca="1">IFERROR(INDEX(nombres[],SMALL(IF(OFFSET(nombres[],0,0,ROWS(nombres[]),1)=KH$1490,ROW(OFFSET(nombres[],0,0,ROWS(nombres[]),1))-ROW(OFFSET(nombres[],0,0,1,1))+1,ROW(OFFSET(nombres[],ROWS(nombres[])-1,0,1,1))+1),$O1545:$O1564),3),"")</f>
        <v/>
      </c>
      <c r="KI1545" s="42" t="str">
        <f t="array" aca="1" ref="KI1545" ca="1">IFERROR(INDEX(nombres[],SMALL(IF(OFFSET(nombres[],0,0,ROWS(nombres[]),1)=KI$1490,ROW(OFFSET(nombres[],0,0,ROWS(nombres[]),1))-ROW(OFFSET(nombres[],0,0,1,1))+1,ROW(OFFSET(nombres[],ROWS(nombres[])-1,0,1,1))+1),$O1545:$O1564),3),"")</f>
        <v/>
      </c>
      <c r="KJ1545" s="42" t="str">
        <f t="array" aca="1" ref="KJ1545" ca="1">IFERROR(INDEX(nombres[],SMALL(IF(OFFSET(nombres[],0,0,ROWS(nombres[]),1)=KJ$1490,ROW(OFFSET(nombres[],0,0,ROWS(nombres[]),1))-ROW(OFFSET(nombres[],0,0,1,1))+1,ROW(OFFSET(nombres[],ROWS(nombres[])-1,0,1,1))+1),$O1545:$O1564),3),"")</f>
        <v/>
      </c>
      <c r="KK1545" s="42" t="str">
        <f t="array" aca="1" ref="KK1545" ca="1">IFERROR(INDEX(nombres[],SMALL(IF(OFFSET(nombres[],0,0,ROWS(nombres[]),1)=KK$1490,ROW(OFFSET(nombres[],0,0,ROWS(nombres[]),1))-ROW(OFFSET(nombres[],0,0,1,1))+1,ROW(OFFSET(nombres[],ROWS(nombres[])-1,0,1,1))+1),$O1545:$O1564),3),"")</f>
        <v/>
      </c>
      <c r="KL1545" s="42" t="str">
        <f t="array" aca="1" ref="KL1545" ca="1">IFERROR(INDEX(nombres[],SMALL(IF(OFFSET(nombres[],0,0,ROWS(nombres[]),1)=KL$1490,ROW(OFFSET(nombres[],0,0,ROWS(nombres[]),1))-ROW(OFFSET(nombres[],0,0,1,1))+1,ROW(OFFSET(nombres[],ROWS(nombres[])-1,0,1,1))+1),$O1545:$O1564),3),"")</f>
        <v/>
      </c>
      <c r="KM1545" s="42" t="str">
        <f t="array" aca="1" ref="KM1545" ca="1">IFERROR(INDEX(nombres[],SMALL(IF(OFFSET(nombres[],0,0,ROWS(nombres[]),1)=KM$1490,ROW(OFFSET(nombres[],0,0,ROWS(nombres[]),1))-ROW(OFFSET(nombres[],0,0,1,1))+1,ROW(OFFSET(nombres[],ROWS(nombres[])-1,0,1,1))+1),$O1545:$O1564),3),"")</f>
        <v/>
      </c>
      <c r="KN1545" s="42" t="str">
        <f t="array" aca="1" ref="KN1545" ca="1">IFERROR(INDEX(nombres[],SMALL(IF(OFFSET(nombres[],0,0,ROWS(nombres[]),1)=KN$1490,ROW(OFFSET(nombres[],0,0,ROWS(nombres[]),1))-ROW(OFFSET(nombres[],0,0,1,1))+1,ROW(OFFSET(nombres[],ROWS(nombres[])-1,0,1,1))+1),$O1545:$O1564),3),"")</f>
        <v/>
      </c>
      <c r="KO1545" s="42" t="str">
        <f t="array" aca="1" ref="KO1545" ca="1">IFERROR(INDEX(nombres[],SMALL(IF(OFFSET(nombres[],0,0,ROWS(nombres[]),1)=KO$1490,ROW(OFFSET(nombres[],0,0,ROWS(nombres[]),1))-ROW(OFFSET(nombres[],0,0,1,1))+1,ROW(OFFSET(nombres[],ROWS(nombres[])-1,0,1,1))+1),$O1545:$O1564),3),"")</f>
        <v/>
      </c>
      <c r="KP1545" s="42" t="str">
        <f t="array" aca="1" ref="KP1545" ca="1">IFERROR(INDEX(nombres[],SMALL(IF(OFFSET(nombres[],0,0,ROWS(nombres[]),1)=KP$1490,ROW(OFFSET(nombres[],0,0,ROWS(nombres[]),1))-ROW(OFFSET(nombres[],0,0,1,1))+1,ROW(OFFSET(nombres[],ROWS(nombres[])-1,0,1,1))+1),$O1545:$O1564),3),"")</f>
        <v/>
      </c>
      <c r="KQ1545" s="42" t="str">
        <f t="array" aca="1" ref="KQ1545" ca="1">IFERROR(INDEX(nombres[],SMALL(IF(OFFSET(nombres[],0,0,ROWS(nombres[]),1)=KQ$1490,ROW(OFFSET(nombres[],0,0,ROWS(nombres[]),1))-ROW(OFFSET(nombres[],0,0,1,1))+1,ROW(OFFSET(nombres[],ROWS(nombres[])-1,0,1,1))+1),$O1545:$O1564),3),"")</f>
        <v/>
      </c>
      <c r="KR1545" s="42" t="str">
        <f t="array" aca="1" ref="KR1545" ca="1">IFERROR(INDEX(nombres[],SMALL(IF(OFFSET(nombres[],0,0,ROWS(nombres[]),1)=KR$1490,ROW(OFFSET(nombres[],0,0,ROWS(nombres[]),1))-ROW(OFFSET(nombres[],0,0,1,1))+1,ROW(OFFSET(nombres[],ROWS(nombres[])-1,0,1,1))+1),$O1545:$O1564),3),"")</f>
        <v/>
      </c>
      <c r="KS1545" s="42" t="str">
        <f t="array" aca="1" ref="KS1545" ca="1">IFERROR(INDEX(nombres[],SMALL(IF(OFFSET(nombres[],0,0,ROWS(nombres[]),1)=KS$1490,ROW(OFFSET(nombres[],0,0,ROWS(nombres[]),1))-ROW(OFFSET(nombres[],0,0,1,1))+1,ROW(OFFSET(nombres[],ROWS(nombres[])-1,0,1,1))+1),$O1545:$O1564),3),"")</f>
        <v/>
      </c>
      <c r="KT1545" s="42" t="str">
        <f t="array" aca="1" ref="KT1545" ca="1">IFERROR(INDEX(nombres[],SMALL(IF(OFFSET(nombres[],0,0,ROWS(nombres[]),1)=KT$1490,ROW(OFFSET(nombres[],0,0,ROWS(nombres[]),1))-ROW(OFFSET(nombres[],0,0,1,1))+1,ROW(OFFSET(nombres[],ROWS(nombres[])-1,0,1,1))+1),$O1545:$O1564),3),"")</f>
        <v/>
      </c>
      <c r="KU1545" s="42" t="str">
        <f t="array" aca="1" ref="KU1545" ca="1">IFERROR(INDEX(nombres[],SMALL(IF(OFFSET(nombres[],0,0,ROWS(nombres[]),1)=KU$1490,ROW(OFFSET(nombres[],0,0,ROWS(nombres[]),1))-ROW(OFFSET(nombres[],0,0,1,1))+1,ROW(OFFSET(nombres[],ROWS(nombres[])-1,0,1,1))+1),$O1545:$O1564),3),"")</f>
        <v/>
      </c>
      <c r="KV1545" s="42" t="str">
        <f t="array" aca="1" ref="KV1545" ca="1">IFERROR(INDEX(nombres[],SMALL(IF(OFFSET(nombres[],0,0,ROWS(nombres[]),1)=KV$1490,ROW(OFFSET(nombres[],0,0,ROWS(nombres[]),1))-ROW(OFFSET(nombres[],0,0,1,1))+1,ROW(OFFSET(nombres[],ROWS(nombres[])-1,0,1,1))+1),$O1545:$O1564),3),"")</f>
        <v/>
      </c>
      <c r="KW1545" s="42" t="str">
        <f t="array" aca="1" ref="KW1545" ca="1">IFERROR(INDEX(nombres[],SMALL(IF(OFFSET(nombres[],0,0,ROWS(nombres[]),1)=KW$1490,ROW(OFFSET(nombres[],0,0,ROWS(nombres[]),1))-ROW(OFFSET(nombres[],0,0,1,1))+1,ROW(OFFSET(nombres[],ROWS(nombres[])-1,0,1,1))+1),$O1545:$O1564),3),"")</f>
        <v/>
      </c>
      <c r="KX1545" s="42" t="str">
        <f t="array" aca="1" ref="KX1545" ca="1">IFERROR(INDEX(nombres[],SMALL(IF(OFFSET(nombres[],0,0,ROWS(nombres[]),1)=KX$1490,ROW(OFFSET(nombres[],0,0,ROWS(nombres[]),1))-ROW(OFFSET(nombres[],0,0,1,1))+1,ROW(OFFSET(nombres[],ROWS(nombres[])-1,0,1,1))+1),$O1545:$O1564),3),"")</f>
        <v/>
      </c>
      <c r="KY1545" s="42" t="str">
        <f t="array" aca="1" ref="KY1545" ca="1">IFERROR(INDEX(nombres[],SMALL(IF(OFFSET(nombres[],0,0,ROWS(nombres[]),1)=KY$1490,ROW(OFFSET(nombres[],0,0,ROWS(nombres[]),1))-ROW(OFFSET(nombres[],0,0,1,1))+1,ROW(OFFSET(nombres[],ROWS(nombres[])-1,0,1,1))+1),$O1545:$O1564),3),"")</f>
        <v/>
      </c>
      <c r="KZ1545" s="42" t="str">
        <f t="array" aca="1" ref="KZ1545" ca="1">IFERROR(INDEX(nombres[],SMALL(IF(OFFSET(nombres[],0,0,ROWS(nombres[]),1)=KZ$1490,ROW(OFFSET(nombres[],0,0,ROWS(nombres[]),1))-ROW(OFFSET(nombres[],0,0,1,1))+1,ROW(OFFSET(nombres[],ROWS(nombres[])-1,0,1,1))+1),$O1545:$O1564),3),"")</f>
        <v/>
      </c>
      <c r="LA1545" s="42" t="str">
        <f t="array" aca="1" ref="LA1545" ca="1">IFERROR(INDEX(nombres[],SMALL(IF(OFFSET(nombres[],0,0,ROWS(nombres[]),1)=LA$1490,ROW(OFFSET(nombres[],0,0,ROWS(nombres[]),1))-ROW(OFFSET(nombres[],0,0,1,1))+1,ROW(OFFSET(nombres[],ROWS(nombres[])-1,0,1,1))+1),$O1545:$O1564),3),"")</f>
        <v/>
      </c>
      <c r="LB1545" s="42" t="str">
        <f t="array" aca="1" ref="LB1545" ca="1">IFERROR(INDEX(nombres[],SMALL(IF(OFFSET(nombres[],0,0,ROWS(nombres[]),1)=LB$1490,ROW(OFFSET(nombres[],0,0,ROWS(nombres[]),1))-ROW(OFFSET(nombres[],0,0,1,1))+1,ROW(OFFSET(nombres[],ROWS(nombres[])-1,0,1,1))+1),$O1545:$O1564),3),"")</f>
        <v/>
      </c>
      <c r="LC1545" s="42" t="str">
        <f t="array" aca="1" ref="LC1545" ca="1">IFERROR(INDEX(nombres[],SMALL(IF(OFFSET(nombres[],0,0,ROWS(nombres[]),1)=LC$1490,ROW(OFFSET(nombres[],0,0,ROWS(nombres[]),1))-ROW(OFFSET(nombres[],0,0,1,1))+1,ROW(OFFSET(nombres[],ROWS(nombres[])-1,0,1,1))+1),$O1545:$O1564),3),"")</f>
        <v/>
      </c>
      <c r="LD1545" s="42" t="str">
        <f t="array" aca="1" ref="LD1545" ca="1">IFERROR(INDEX(nombres[],SMALL(IF(OFFSET(nombres[],0,0,ROWS(nombres[]),1)=LD$1490,ROW(OFFSET(nombres[],0,0,ROWS(nombres[]),1))-ROW(OFFSET(nombres[],0,0,1,1))+1,ROW(OFFSET(nombres[],ROWS(nombres[])-1,0,1,1))+1),$O1545:$O1564),3),"")</f>
        <v/>
      </c>
      <c r="LE1545" s="42" t="str">
        <f t="array" aca="1" ref="LE1545" ca="1">IFERROR(INDEX(nombres[],SMALL(IF(OFFSET(nombres[],0,0,ROWS(nombres[]),1)=LE$1490,ROW(OFFSET(nombres[],0,0,ROWS(nombres[]),1))-ROW(OFFSET(nombres[],0,0,1,1))+1,ROW(OFFSET(nombres[],ROWS(nombres[])-1,0,1,1))+1),$O1545:$O1564),3),"")</f>
        <v/>
      </c>
      <c r="LF1545" s="42" t="str">
        <f t="array" aca="1" ref="LF1545" ca="1">IFERROR(INDEX(nombres[],SMALL(IF(OFFSET(nombres[],0,0,ROWS(nombres[]),1)=LF$1490,ROW(OFFSET(nombres[],0,0,ROWS(nombres[]),1))-ROW(OFFSET(nombres[],0,0,1,1))+1,ROW(OFFSET(nombres[],ROWS(nombres[])-1,0,1,1))+1),$O1545:$O1564),3),"")</f>
        <v/>
      </c>
      <c r="LG1545" s="42" t="str">
        <f t="array" aca="1" ref="LG1545" ca="1">IFERROR(INDEX(nombres[],SMALL(IF(OFFSET(nombres[],0,0,ROWS(nombres[]),1)=LG$1490,ROW(OFFSET(nombres[],0,0,ROWS(nombres[]),1))-ROW(OFFSET(nombres[],0,0,1,1))+1,ROW(OFFSET(nombres[],ROWS(nombres[])-1,0,1,1))+1),$O1545:$O1564),3),"")</f>
        <v/>
      </c>
      <c r="LH1545" s="42" t="str">
        <f t="array" aca="1" ref="LH1545" ca="1">IFERROR(INDEX(nombres[],SMALL(IF(OFFSET(nombres[],0,0,ROWS(nombres[]),1)=LH$1490,ROW(OFFSET(nombres[],0,0,ROWS(nombres[]),1))-ROW(OFFSET(nombres[],0,0,1,1))+1,ROW(OFFSET(nombres[],ROWS(nombres[])-1,0,1,1))+1),$O1545:$O1564),3),"")</f>
        <v/>
      </c>
      <c r="LI1545" s="42" t="str">
        <f t="array" aca="1" ref="LI1545" ca="1">IFERROR(INDEX(nombres[],SMALL(IF(OFFSET(nombres[],0,0,ROWS(nombres[]),1)=LI$1490,ROW(OFFSET(nombres[],0,0,ROWS(nombres[]),1))-ROW(OFFSET(nombres[],0,0,1,1))+1,ROW(OFFSET(nombres[],ROWS(nombres[])-1,0,1,1))+1),$O1545:$O1564),3),"")</f>
        <v/>
      </c>
      <c r="LJ1545" s="42" t="str">
        <f t="array" aca="1" ref="LJ1545" ca="1">IFERROR(INDEX(nombres[],SMALL(IF(OFFSET(nombres[],0,0,ROWS(nombres[]),1)=LJ$1490,ROW(OFFSET(nombres[],0,0,ROWS(nombres[]),1))-ROW(OFFSET(nombres[],0,0,1,1))+1,ROW(OFFSET(nombres[],ROWS(nombres[])-1,0,1,1))+1),$O1545:$O1564),3),"")</f>
        <v/>
      </c>
      <c r="LK1545" s="42" t="str">
        <f t="array" aca="1" ref="LK1545" ca="1">IFERROR(INDEX(nombres[],SMALL(IF(OFFSET(nombres[],0,0,ROWS(nombres[]),1)=LK$1490,ROW(OFFSET(nombres[],0,0,ROWS(nombres[]),1))-ROW(OFFSET(nombres[],0,0,1,1))+1,ROW(OFFSET(nombres[],ROWS(nombres[])-1,0,1,1))+1),$O1545:$O1564),3),"")</f>
        <v/>
      </c>
      <c r="LL1545" s="42" t="str">
        <f t="array" aca="1" ref="LL1545" ca="1">IFERROR(INDEX(nombres[],SMALL(IF(OFFSET(nombres[],0,0,ROWS(nombres[]),1)=LL$1490,ROW(OFFSET(nombres[],0,0,ROWS(nombres[]),1))-ROW(OFFSET(nombres[],0,0,1,1))+1,ROW(OFFSET(nombres[],ROWS(nombres[])-1,0,1,1))+1),$O1545:$O1564),3),"")</f>
        <v/>
      </c>
      <c r="LM1545" s="42" t="str">
        <f t="array" aca="1" ref="LM1545" ca="1">IFERROR(INDEX(nombres[],SMALL(IF(OFFSET(nombres[],0,0,ROWS(nombres[]),1)=LM$1490,ROW(OFFSET(nombres[],0,0,ROWS(nombres[]),1))-ROW(OFFSET(nombres[],0,0,1,1))+1,ROW(OFFSET(nombres[],ROWS(nombres[])-1,0,1,1))+1),$O1545:$O1564),3),"")</f>
        <v/>
      </c>
      <c r="LN1545" s="42" t="str">
        <f t="array" aca="1" ref="LN1545" ca="1">IFERROR(INDEX(nombres[],SMALL(IF(OFFSET(nombres[],0,0,ROWS(nombres[]),1)=LN$1490,ROW(OFFSET(nombres[],0,0,ROWS(nombres[]),1))-ROW(OFFSET(nombres[],0,0,1,1))+1,ROW(OFFSET(nombres[],ROWS(nombres[])-1,0,1,1))+1),$O1545:$O1564),3),"")</f>
        <v/>
      </c>
      <c r="LO1545" s="42" t="str">
        <f t="array" aca="1" ref="LO1545" ca="1">IFERROR(INDEX(nombres[],SMALL(IF(OFFSET(nombres[],0,0,ROWS(nombres[]),1)=LO$1490,ROW(OFFSET(nombres[],0,0,ROWS(nombres[]),1))-ROW(OFFSET(nombres[],0,0,1,1))+1,ROW(OFFSET(nombres[],ROWS(nombres[])-1,0,1,1))+1),$O1545:$O1564),3),"")</f>
        <v/>
      </c>
      <c r="LP1545" s="42" t="str">
        <f t="array" aca="1" ref="LP1545" ca="1">IFERROR(INDEX(nombres[],SMALL(IF(OFFSET(nombres[],0,0,ROWS(nombres[]),1)=LP$1490,ROW(OFFSET(nombres[],0,0,ROWS(nombres[]),1))-ROW(OFFSET(nombres[],0,0,1,1))+1,ROW(OFFSET(nombres[],ROWS(nombres[])-1,0,1,1))+1),$O1545:$O1564),3),"")</f>
        <v/>
      </c>
      <c r="LQ1545" s="42" t="str">
        <f t="array" aca="1" ref="LQ1545" ca="1">IFERROR(INDEX(nombres[],SMALL(IF(OFFSET(nombres[],0,0,ROWS(nombres[]),1)=LQ$1490,ROW(OFFSET(nombres[],0,0,ROWS(nombres[]),1))-ROW(OFFSET(nombres[],0,0,1,1))+1,ROW(OFFSET(nombres[],ROWS(nombres[])-1,0,1,1))+1),$O1545:$O1564),3),"")</f>
        <v/>
      </c>
      <c r="LR1545" s="42" t="str">
        <f t="array" aca="1" ref="LR1545" ca="1">IFERROR(INDEX(nombres[],SMALL(IF(OFFSET(nombres[],0,0,ROWS(nombres[]),1)=LR$1490,ROW(OFFSET(nombres[],0,0,ROWS(nombres[]),1))-ROW(OFFSET(nombres[],0,0,1,1))+1,ROW(OFFSET(nombres[],ROWS(nombres[])-1,0,1,1))+1),$O1545:$O1564),3),"")</f>
        <v/>
      </c>
      <c r="LS1545" s="42" t="str">
        <f t="array" aca="1" ref="LS1545" ca="1">IFERROR(INDEX(nombres[],SMALL(IF(OFFSET(nombres[],0,0,ROWS(nombres[]),1)=LS$1490,ROW(OFFSET(nombres[],0,0,ROWS(nombres[]),1))-ROW(OFFSET(nombres[],0,0,1,1))+1,ROW(OFFSET(nombres[],ROWS(nombres[])-1,0,1,1))+1),$O1545:$O1564),3),"")</f>
        <v/>
      </c>
      <c r="LT1545" s="42" t="str">
        <f t="array" aca="1" ref="LT1545" ca="1">IFERROR(INDEX(nombres[],SMALL(IF(OFFSET(nombres[],0,0,ROWS(nombres[]),1)=LT$1490,ROW(OFFSET(nombres[],0,0,ROWS(nombres[]),1))-ROW(OFFSET(nombres[],0,0,1,1))+1,ROW(OFFSET(nombres[],ROWS(nombres[])-1,0,1,1))+1),$O1545:$O1564),3),"")</f>
        <v/>
      </c>
      <c r="LU1545" s="42" t="str">
        <f t="array" aca="1" ref="LU1545" ca="1">IFERROR(INDEX(nombres[],SMALL(IF(OFFSET(nombres[],0,0,ROWS(nombres[]),1)=LU$1490,ROW(OFFSET(nombres[],0,0,ROWS(nombres[]),1))-ROW(OFFSET(nombres[],0,0,1,1))+1,ROW(OFFSET(nombres[],ROWS(nombres[])-1,0,1,1))+1),$O1545:$O1564),3),"")</f>
        <v/>
      </c>
      <c r="LV1545" s="42" t="str">
        <f t="array" aca="1" ref="LV1545" ca="1">IFERROR(INDEX(nombres[],SMALL(IF(OFFSET(nombres[],0,0,ROWS(nombres[]),1)=LV$1490,ROW(OFFSET(nombres[],0,0,ROWS(nombres[]),1))-ROW(OFFSET(nombres[],0,0,1,1))+1,ROW(OFFSET(nombres[],ROWS(nombres[])-1,0,1,1))+1),$O1545:$O1564),3),"")</f>
        <v/>
      </c>
      <c r="LW1545" s="42" t="str">
        <f t="array" aca="1" ref="LW1545" ca="1">IFERROR(INDEX(nombres[],SMALL(IF(OFFSET(nombres[],0,0,ROWS(nombres[]),1)=LW$1490,ROW(OFFSET(nombres[],0,0,ROWS(nombres[]),1))-ROW(OFFSET(nombres[],0,0,1,1))+1,ROW(OFFSET(nombres[],ROWS(nombres[])-1,0,1,1))+1),$O1545:$O1564),3),"")</f>
        <v/>
      </c>
      <c r="LX1545" s="42" t="str">
        <f t="array" aca="1" ref="LX1545" ca="1">IFERROR(INDEX(nombres[],SMALL(IF(OFFSET(nombres[],0,0,ROWS(nombres[]),1)=LX$1490,ROW(OFFSET(nombres[],0,0,ROWS(nombres[]),1))-ROW(OFFSET(nombres[],0,0,1,1))+1,ROW(OFFSET(nombres[],ROWS(nombres[])-1,0,1,1))+1),$O1545:$O1564),3),"")</f>
        <v/>
      </c>
      <c r="LY1545" s="42" t="str">
        <f t="array" aca="1" ref="LY1545" ca="1">IFERROR(INDEX(nombres[],SMALL(IF(OFFSET(nombres[],0,0,ROWS(nombres[]),1)=LY$1490,ROW(OFFSET(nombres[],0,0,ROWS(nombres[]),1))-ROW(OFFSET(nombres[],0,0,1,1))+1,ROW(OFFSET(nombres[],ROWS(nombres[])-1,0,1,1))+1),$O1545:$O1564),3),"")</f>
        <v/>
      </c>
      <c r="LZ1545" s="42" t="str">
        <f t="array" aca="1" ref="LZ1545" ca="1">IFERROR(INDEX(nombres[],SMALL(IF(OFFSET(nombres[],0,0,ROWS(nombres[]),1)=LZ$1490,ROW(OFFSET(nombres[],0,0,ROWS(nombres[]),1))-ROW(OFFSET(nombres[],0,0,1,1))+1,ROW(OFFSET(nombres[],ROWS(nombres[])-1,0,1,1))+1),$O1545:$O1564),3),"")</f>
        <v/>
      </c>
      <c r="MA1545" s="42" t="str">
        <f t="array" aca="1" ref="MA1545" ca="1">IFERROR(INDEX(nombres[],SMALL(IF(OFFSET(nombres[],0,0,ROWS(nombres[]),1)=MA$1490,ROW(OFFSET(nombres[],0,0,ROWS(nombres[]),1))-ROW(OFFSET(nombres[],0,0,1,1))+1,ROW(OFFSET(nombres[],ROWS(nombres[])-1,0,1,1))+1),$O1545:$O1564),3),"")</f>
        <v/>
      </c>
      <c r="MB1545" s="42" t="str">
        <f t="array" aca="1" ref="MB1545" ca="1">IFERROR(INDEX(nombres[],SMALL(IF(OFFSET(nombres[],0,0,ROWS(nombres[]),1)=MB$1490,ROW(OFFSET(nombres[],0,0,ROWS(nombres[]),1))-ROW(OFFSET(nombres[],0,0,1,1))+1,ROW(OFFSET(nombres[],ROWS(nombres[])-1,0,1,1))+1),$O1545:$O1564),3),"")</f>
        <v/>
      </c>
      <c r="MC1545" s="42" t="str">
        <f t="array" aca="1" ref="MC1545" ca="1">IFERROR(INDEX(nombres[],SMALL(IF(OFFSET(nombres[],0,0,ROWS(nombres[]),1)=MC$1490,ROW(OFFSET(nombres[],0,0,ROWS(nombres[]),1))-ROW(OFFSET(nombres[],0,0,1,1))+1,ROW(OFFSET(nombres[],ROWS(nombres[])-1,0,1,1))+1),$O1545:$O1564),3),"")</f>
        <v/>
      </c>
      <c r="MD1545" s="42" t="str">
        <f t="array" aca="1" ref="MD1545" ca="1">IFERROR(INDEX(nombres[],SMALL(IF(OFFSET(nombres[],0,0,ROWS(nombres[]),1)=MD$1490,ROW(OFFSET(nombres[],0,0,ROWS(nombres[]),1))-ROW(OFFSET(nombres[],0,0,1,1))+1,ROW(OFFSET(nombres[],ROWS(nombres[])-1,0,1,1))+1),$O1545:$O1564),3),"")</f>
        <v/>
      </c>
      <c r="ME1545" s="42" t="str">
        <f t="array" aca="1" ref="ME1545" ca="1">IFERROR(INDEX(nombres[],SMALL(IF(OFFSET(nombres[],0,0,ROWS(nombres[]),1)=ME$1490,ROW(OFFSET(nombres[],0,0,ROWS(nombres[]),1))-ROW(OFFSET(nombres[],0,0,1,1))+1,ROW(OFFSET(nombres[],ROWS(nombres[])-1,0,1,1))+1),$O1545:$O1564),3),"")</f>
        <v/>
      </c>
      <c r="MF1545" s="42" t="str">
        <f t="array" aca="1" ref="MF1545" ca="1">IFERROR(INDEX(nombres[],SMALL(IF(OFFSET(nombres[],0,0,ROWS(nombres[]),1)=MF$1490,ROW(OFFSET(nombres[],0,0,ROWS(nombres[]),1))-ROW(OFFSET(nombres[],0,0,1,1))+1,ROW(OFFSET(nombres[],ROWS(nombres[])-1,0,1,1))+1),$O1545:$O1564),3),"")</f>
        <v/>
      </c>
      <c r="MG1545" s="42" t="str">
        <f t="array" aca="1" ref="MG1545" ca="1">IFERROR(INDEX(nombres[],SMALL(IF(OFFSET(nombres[],0,0,ROWS(nombres[]),1)=MG$1490,ROW(OFFSET(nombres[],0,0,ROWS(nombres[]),1))-ROW(OFFSET(nombres[],0,0,1,1))+1,ROW(OFFSET(nombres[],ROWS(nombres[])-1,0,1,1))+1),$O1545:$O1564),3),"")</f>
        <v/>
      </c>
      <c r="MH1545" s="42" t="str">
        <f t="array" aca="1" ref="MH1545" ca="1">IFERROR(INDEX(nombres[],SMALL(IF(OFFSET(nombres[],0,0,ROWS(nombres[]),1)=MH$1490,ROW(OFFSET(nombres[],0,0,ROWS(nombres[]),1))-ROW(OFFSET(nombres[],0,0,1,1))+1,ROW(OFFSET(nombres[],ROWS(nombres[])-1,0,1,1))+1),$O1545:$O1564),3),"")</f>
        <v/>
      </c>
      <c r="MI1545" s="42" t="str">
        <f t="array" aca="1" ref="MI1545" ca="1">IFERROR(INDEX(nombres[],SMALL(IF(OFFSET(nombres[],0,0,ROWS(nombres[]),1)=MI$1490,ROW(OFFSET(nombres[],0,0,ROWS(nombres[]),1))-ROW(OFFSET(nombres[],0,0,1,1))+1,ROW(OFFSET(nombres[],ROWS(nombres[])-1,0,1,1))+1),$O1545:$O1564),3),"")</f>
        <v/>
      </c>
      <c r="MJ1545" s="42" t="str">
        <f t="array" aca="1" ref="MJ1545" ca="1">IFERROR(INDEX(nombres[],SMALL(IF(OFFSET(nombres[],0,0,ROWS(nombres[]),1)=MJ$1490,ROW(OFFSET(nombres[],0,0,ROWS(nombres[]),1))-ROW(OFFSET(nombres[],0,0,1,1))+1,ROW(OFFSET(nombres[],ROWS(nombres[])-1,0,1,1))+1),$O1545:$O1564),3),"")</f>
        <v/>
      </c>
      <c r="MK1545" s="42" t="str">
        <f t="array" aca="1" ref="MK1545" ca="1">IFERROR(INDEX(nombres[],SMALL(IF(OFFSET(nombres[],0,0,ROWS(nombres[]),1)=MK$1490,ROW(OFFSET(nombres[],0,0,ROWS(nombres[]),1))-ROW(OFFSET(nombres[],0,0,1,1))+1,ROW(OFFSET(nombres[],ROWS(nombres[])-1,0,1,1))+1),$O1545:$O1564),3),"")</f>
        <v/>
      </c>
      <c r="ML1545" s="42" t="str">
        <f t="array" aca="1" ref="ML1545" ca="1">IFERROR(INDEX(nombres[],SMALL(IF(OFFSET(nombres[],0,0,ROWS(nombres[]),1)=ML$1490,ROW(OFFSET(nombres[],0,0,ROWS(nombres[]),1))-ROW(OFFSET(nombres[],0,0,1,1))+1,ROW(OFFSET(nombres[],ROWS(nombres[])-1,0,1,1))+1),$O1545:$O1564),3),"")</f>
        <v/>
      </c>
      <c r="MM1545" s="42" t="str">
        <f t="array" aca="1" ref="MM1545" ca="1">IFERROR(INDEX(nombres[],SMALL(IF(OFFSET(nombres[],0,0,ROWS(nombres[]),1)=MM$1490,ROW(OFFSET(nombres[],0,0,ROWS(nombres[]),1))-ROW(OFFSET(nombres[],0,0,1,1))+1,ROW(OFFSET(nombres[],ROWS(nombres[])-1,0,1,1))+1),$O1545:$O1564),3),"")</f>
        <v/>
      </c>
      <c r="MN1545" s="42" t="str">
        <f t="array" aca="1" ref="MN1545" ca="1">IFERROR(INDEX(nombres[],SMALL(IF(OFFSET(nombres[],0,0,ROWS(nombres[]),1)=MN$1490,ROW(OFFSET(nombres[],0,0,ROWS(nombres[]),1))-ROW(OFFSET(nombres[],0,0,1,1))+1,ROW(OFFSET(nombres[],ROWS(nombres[])-1,0,1,1))+1),$O1545:$O1564),3),"")</f>
        <v/>
      </c>
      <c r="MO1545" s="42" t="str">
        <f t="array" aca="1" ref="MO1545" ca="1">IFERROR(INDEX(nombres[],SMALL(IF(OFFSET(nombres[],0,0,ROWS(nombres[]),1)=MO$1490,ROW(OFFSET(nombres[],0,0,ROWS(nombres[]),1))-ROW(OFFSET(nombres[],0,0,1,1))+1,ROW(OFFSET(nombres[],ROWS(nombres[])-1,0,1,1))+1),$O1545:$O1564),3),"")</f>
        <v/>
      </c>
      <c r="MP1545" s="42" t="str">
        <f t="array" aca="1" ref="MP1545" ca="1">IFERROR(INDEX(nombres[],SMALL(IF(OFFSET(nombres[],0,0,ROWS(nombres[]),1)=MP$1490,ROW(OFFSET(nombres[],0,0,ROWS(nombres[]),1))-ROW(OFFSET(nombres[],0,0,1,1))+1,ROW(OFFSET(nombres[],ROWS(nombres[])-1,0,1,1))+1),$O1545:$O1564),3),"")</f>
        <v/>
      </c>
      <c r="MQ1545" s="42" t="str">
        <f t="array" aca="1" ref="MQ1545" ca="1">IFERROR(INDEX(nombres[],SMALL(IF(OFFSET(nombres[],0,0,ROWS(nombres[]),1)=MQ$1490,ROW(OFFSET(nombres[],0,0,ROWS(nombres[]),1))-ROW(OFFSET(nombres[],0,0,1,1))+1,ROW(OFFSET(nombres[],ROWS(nombres[])-1,0,1,1))+1),$O1545:$O1564),3),"")</f>
        <v/>
      </c>
      <c r="MR1545" s="42" t="str">
        <f t="array" aca="1" ref="MR1545" ca="1">IFERROR(INDEX(nombres[],SMALL(IF(OFFSET(nombres[],0,0,ROWS(nombres[]),1)=MR$1490,ROW(OFFSET(nombres[],0,0,ROWS(nombres[]),1))-ROW(OFFSET(nombres[],0,0,1,1))+1,ROW(OFFSET(nombres[],ROWS(nombres[])-1,0,1,1))+1),$O1545:$O1564),3),"")</f>
        <v/>
      </c>
      <c r="MS1545" s="42" t="str">
        <f t="array" aca="1" ref="MS1545" ca="1">IFERROR(INDEX(nombres[],SMALL(IF(OFFSET(nombres[],0,0,ROWS(nombres[]),1)=MS$1490,ROW(OFFSET(nombres[],0,0,ROWS(nombres[]),1))-ROW(OFFSET(nombres[],0,0,1,1))+1,ROW(OFFSET(nombres[],ROWS(nombres[])-1,0,1,1))+1),$O1545:$O1564),3),"")</f>
        <v/>
      </c>
      <c r="MT1545" s="42" t="str">
        <f t="array" aca="1" ref="MT1545" ca="1">IFERROR(INDEX(nombres[],SMALL(IF(OFFSET(nombres[],0,0,ROWS(nombres[]),1)=MT$1490,ROW(OFFSET(nombres[],0,0,ROWS(nombres[]),1))-ROW(OFFSET(nombres[],0,0,1,1))+1,ROW(OFFSET(nombres[],ROWS(nombres[])-1,0,1,1))+1),$O1545:$O1564),3),"")</f>
        <v/>
      </c>
      <c r="MU1545" s="42" t="str">
        <f t="array" aca="1" ref="MU1545" ca="1">IFERROR(INDEX(nombres[],SMALL(IF(OFFSET(nombres[],0,0,ROWS(nombres[]),1)=MU$1490,ROW(OFFSET(nombres[],0,0,ROWS(nombres[]),1))-ROW(OFFSET(nombres[],0,0,1,1))+1,ROW(OFFSET(nombres[],ROWS(nombres[])-1,0,1,1))+1),$O1545:$O1564),3),"")</f>
        <v/>
      </c>
      <c r="MV1545" s="42" t="str">
        <f t="array" aca="1" ref="MV1545" ca="1">IFERROR(INDEX(nombres[],SMALL(IF(OFFSET(nombres[],0,0,ROWS(nombres[]),1)=MV$1490,ROW(OFFSET(nombres[],0,0,ROWS(nombres[]),1))-ROW(OFFSET(nombres[],0,0,1,1))+1,ROW(OFFSET(nombres[],ROWS(nombres[])-1,0,1,1))+1),$O1545:$O1564),3),"")</f>
        <v/>
      </c>
      <c r="MW1545" s="42" t="str">
        <f t="array" aca="1" ref="MW1545" ca="1">IFERROR(INDEX(nombres[],SMALL(IF(OFFSET(nombres[],0,0,ROWS(nombres[]),1)=MW$1490,ROW(OFFSET(nombres[],0,0,ROWS(nombres[]),1))-ROW(OFFSET(nombres[],0,0,1,1))+1,ROW(OFFSET(nombres[],ROWS(nombres[])-1,0,1,1))+1),$O1545:$O1564),3),"")</f>
        <v/>
      </c>
      <c r="MX1545" s="42" t="str">
        <f t="array" aca="1" ref="MX1545" ca="1">IFERROR(INDEX(nombres[],SMALL(IF(OFFSET(nombres[],0,0,ROWS(nombres[]),1)=MX$1490,ROW(OFFSET(nombres[],0,0,ROWS(nombres[]),1))-ROW(OFFSET(nombres[],0,0,1,1))+1,ROW(OFFSET(nombres[],ROWS(nombres[])-1,0,1,1))+1),$O1545:$O1564),3),"")</f>
        <v/>
      </c>
      <c r="MY1545" s="42" t="str">
        <f t="array" aca="1" ref="MY1545" ca="1">IFERROR(INDEX(nombres[],SMALL(IF(OFFSET(nombres[],0,0,ROWS(nombres[]),1)=MY$1490,ROW(OFFSET(nombres[],0,0,ROWS(nombres[]),1))-ROW(OFFSET(nombres[],0,0,1,1))+1,ROW(OFFSET(nombres[],ROWS(nombres[])-1,0,1,1))+1),$O1545:$O1564),3),"")</f>
        <v/>
      </c>
      <c r="MZ1545" s="42" t="str">
        <f t="array" aca="1" ref="MZ1545" ca="1">IFERROR(INDEX(nombres[],SMALL(IF(OFFSET(nombres[],0,0,ROWS(nombres[]),1)=MZ$1490,ROW(OFFSET(nombres[],0,0,ROWS(nombres[]),1))-ROW(OFFSET(nombres[],0,0,1,1))+1,ROW(OFFSET(nombres[],ROWS(nombres[])-1,0,1,1))+1),$O1545:$O1564),3),"")</f>
        <v/>
      </c>
      <c r="NA1545" s="42" t="str">
        <f t="array" aca="1" ref="NA1545" ca="1">IFERROR(INDEX(nombres[],SMALL(IF(OFFSET(nombres[],0,0,ROWS(nombres[]),1)=NA$1490,ROW(OFFSET(nombres[],0,0,ROWS(nombres[]),1))-ROW(OFFSET(nombres[],0,0,1,1))+1,ROW(OFFSET(nombres[],ROWS(nombres[])-1,0,1,1))+1),$O1545:$O1564),3),"")</f>
        <v/>
      </c>
      <c r="NB1545" s="42" t="str">
        <f t="array" aca="1" ref="NB1545" ca="1">IFERROR(INDEX(nombres[],SMALL(IF(OFFSET(nombres[],0,0,ROWS(nombres[]),1)=NB$1490,ROW(OFFSET(nombres[],0,0,ROWS(nombres[]),1))-ROW(OFFSET(nombres[],0,0,1,1))+1,ROW(OFFSET(nombres[],ROWS(nombres[])-1,0,1,1))+1),$O1545:$O1564),3),"")</f>
        <v/>
      </c>
      <c r="NC1545" s="42" t="str">
        <f t="array" aca="1" ref="NC1545" ca="1">IFERROR(INDEX(nombres[],SMALL(IF(OFFSET(nombres[],0,0,ROWS(nombres[]),1)=NC$1490,ROW(OFFSET(nombres[],0,0,ROWS(nombres[]),1))-ROW(OFFSET(nombres[],0,0,1,1))+1,ROW(OFFSET(nombres[],ROWS(nombres[])-1,0,1,1))+1),$O1545:$O1564),3),"")</f>
        <v/>
      </c>
      <c r="ND1545" s="42" t="str">
        <f t="array" aca="1" ref="ND1545" ca="1">IFERROR(INDEX(nombres[],SMALL(IF(OFFSET(nombres[],0,0,ROWS(nombres[]),1)=ND$1490,ROW(OFFSET(nombres[],0,0,ROWS(nombres[]),1))-ROW(OFFSET(nombres[],0,0,1,1))+1,ROW(OFFSET(nombres[],ROWS(nombres[])-1,0,1,1))+1),$O1545:$O1564),3),"")</f>
        <v/>
      </c>
      <c r="NE1545" s="42" t="str">
        <f t="array" aca="1" ref="NE1545" ca="1">IFERROR(INDEX(nombres[],SMALL(IF(OFFSET(nombres[],0,0,ROWS(nombres[]),1)=NE$1490,ROW(OFFSET(nombres[],0,0,ROWS(nombres[]),1))-ROW(OFFSET(nombres[],0,0,1,1))+1,ROW(OFFSET(nombres[],ROWS(nombres[])-1,0,1,1))+1),$O1545:$O1564),3),"")</f>
        <v/>
      </c>
      <c r="NF1545" s="42" t="str">
        <f t="array" aca="1" ref="NF1545" ca="1">IFERROR(INDEX(nombres[],SMALL(IF(OFFSET(nombres[],0,0,ROWS(nombres[]),1)=NF$1490,ROW(OFFSET(nombres[],0,0,ROWS(nombres[]),1))-ROW(OFFSET(nombres[],0,0,1,1))+1,ROW(OFFSET(nombres[],ROWS(nombres[])-1,0,1,1))+1),$O1545:$O1564),3),"")</f>
        <v/>
      </c>
      <c r="NG1545" s="42" t="str">
        <f t="array" aca="1" ref="NG1545" ca="1">IFERROR(INDEX(nombres[],SMALL(IF(OFFSET(nombres[],0,0,ROWS(nombres[]),1)=NG$1490,ROW(OFFSET(nombres[],0,0,ROWS(nombres[]),1))-ROW(OFFSET(nombres[],0,0,1,1))+1,ROW(OFFSET(nombres[],ROWS(nombres[])-1,0,1,1))+1),$O1545:$O1564),3),"")</f>
        <v/>
      </c>
      <c r="NH1545" s="42" t="str">
        <f t="array" aca="1" ref="NH1545" ca="1">IFERROR(INDEX(nombres[],SMALL(IF(OFFSET(nombres[],0,0,ROWS(nombres[]),1)=NH$1490,ROW(OFFSET(nombres[],0,0,ROWS(nombres[]),1))-ROW(OFFSET(nombres[],0,0,1,1))+1,ROW(OFFSET(nombres[],ROWS(nombres[])-1,0,1,1))+1),$O1545:$O1564),3),"")</f>
        <v/>
      </c>
      <c r="NI1545" s="42" t="str">
        <f t="array" aca="1" ref="NI1545" ca="1">IFERROR(INDEX(nombres[],SMALL(IF(OFFSET(nombres[],0,0,ROWS(nombres[]),1)=NI$1490,ROW(OFFSET(nombres[],0,0,ROWS(nombres[]),1))-ROW(OFFSET(nombres[],0,0,1,1))+1,ROW(OFFSET(nombres[],ROWS(nombres[])-1,0,1,1))+1),$O1545:$O1564),3),"")</f>
        <v/>
      </c>
      <c r="NJ1545" s="42" t="str">
        <f t="array" aca="1" ref="NJ1545" ca="1">IFERROR(INDEX(nombres[],SMALL(IF(OFFSET(nombres[],0,0,ROWS(nombres[]),1)=NJ$1490,ROW(OFFSET(nombres[],0,0,ROWS(nombres[]),1))-ROW(OFFSET(nombres[],0,0,1,1))+1,ROW(OFFSET(nombres[],ROWS(nombres[])-1,0,1,1))+1),$O1545:$O1564),3),"")</f>
        <v/>
      </c>
      <c r="NK1545" s="42" t="str">
        <f t="array" aca="1" ref="NK1545" ca="1">IFERROR(INDEX(nombres[],SMALL(IF(OFFSET(nombres[],0,0,ROWS(nombres[]),1)=NK$1490,ROW(OFFSET(nombres[],0,0,ROWS(nombres[]),1))-ROW(OFFSET(nombres[],0,0,1,1))+1,ROW(OFFSET(nombres[],ROWS(nombres[])-1,0,1,1))+1),$O1545:$O1564),3),"")</f>
        <v/>
      </c>
      <c r="NL1545" s="42" t="str">
        <f t="array" aca="1" ref="NL1545" ca="1">IFERROR(INDEX(nombres[],SMALL(IF(OFFSET(nombres[],0,0,ROWS(nombres[]),1)=NL$1490,ROW(OFFSET(nombres[],0,0,ROWS(nombres[]),1))-ROW(OFFSET(nombres[],0,0,1,1))+1,ROW(OFFSET(nombres[],ROWS(nombres[])-1,0,1,1))+1),$O1545:$O1564),3),"")</f>
        <v/>
      </c>
      <c r="NM1545" s="42" t="str">
        <f t="array" aca="1" ref="NM1545" ca="1">IFERROR(INDEX(nombres[],SMALL(IF(OFFSET(nombres[],0,0,ROWS(nombres[]),1)=NM$1490,ROW(OFFSET(nombres[],0,0,ROWS(nombres[]),1))-ROW(OFFSET(nombres[],0,0,1,1))+1,ROW(OFFSET(nombres[],ROWS(nombres[])-1,0,1,1))+1),$O1545:$O1564),3),"")</f>
        <v/>
      </c>
      <c r="NN1545" s="42" t="str">
        <f t="array" aca="1" ref="NN1545" ca="1">IFERROR(INDEX(nombres[],SMALL(IF(OFFSET(nombres[],0,0,ROWS(nombres[]),1)=NN$1490,ROW(OFFSET(nombres[],0,0,ROWS(nombres[]),1))-ROW(OFFSET(nombres[],0,0,1,1))+1,ROW(OFFSET(nombres[],ROWS(nombres[])-1,0,1,1))+1),$O1545:$O1564),3),"")</f>
        <v/>
      </c>
      <c r="NO1545" s="42" t="str">
        <f t="array" aca="1" ref="NO1545" ca="1">IFERROR(INDEX(nombres[],SMALL(IF(OFFSET(nombres[],0,0,ROWS(nombres[]),1)=NO$1490,ROW(OFFSET(nombres[],0,0,ROWS(nombres[]),1))-ROW(OFFSET(nombres[],0,0,1,1))+1,ROW(OFFSET(nombres[],ROWS(nombres[])-1,0,1,1))+1),$O1545:$O1564),3),"")</f>
        <v/>
      </c>
      <c r="NP1545" s="42" t="str">
        <f t="array" aca="1" ref="NP1545" ca="1">IFERROR(INDEX(nombres[],SMALL(IF(OFFSET(nombres[],0,0,ROWS(nombres[]),1)=NP$1490,ROW(OFFSET(nombres[],0,0,ROWS(nombres[]),1))-ROW(OFFSET(nombres[],0,0,1,1))+1,ROW(OFFSET(nombres[],ROWS(nombres[])-1,0,1,1))+1),$O1545:$O1564),3),"")</f>
        <v/>
      </c>
      <c r="NQ1545" s="42" t="str">
        <f t="array" aca="1" ref="NQ1545" ca="1">IFERROR(INDEX(nombres[],SMALL(IF(OFFSET(nombres[],0,0,ROWS(nombres[]),1)=NQ$1490,ROW(OFFSET(nombres[],0,0,ROWS(nombres[]),1))-ROW(OFFSET(nombres[],0,0,1,1))+1,ROW(OFFSET(nombres[],ROWS(nombres[])-1,0,1,1))+1),$O1545:$O1564),3),"")</f>
        <v/>
      </c>
      <c r="NR1545" s="42" t="str">
        <f t="array" aca="1" ref="NR1545" ca="1">IFERROR(INDEX(nombres[],SMALL(IF(OFFSET(nombres[],0,0,ROWS(nombres[]),1)=NR$1490,ROW(OFFSET(nombres[],0,0,ROWS(nombres[]),1))-ROW(OFFSET(nombres[],0,0,1,1))+1,ROW(OFFSET(nombres[],ROWS(nombres[])-1,0,1,1))+1),$O1545:$O1564),3),"")</f>
        <v/>
      </c>
      <c r="NS1545" s="42" t="str">
        <f t="array" aca="1" ref="NS1545" ca="1">IFERROR(INDEX(nombres[],SMALL(IF(OFFSET(nombres[],0,0,ROWS(nombres[]),1)=NS$1490,ROW(OFFSET(nombres[],0,0,ROWS(nombres[]),1))-ROW(OFFSET(nombres[],0,0,1,1))+1,ROW(OFFSET(nombres[],ROWS(nombres[])-1,0,1,1))+1),$O1545:$O1564),3),"")</f>
        <v/>
      </c>
      <c r="NT1545" s="42" t="str">
        <f t="array" aca="1" ref="NT1545" ca="1">IFERROR(INDEX(nombres[],SMALL(IF(OFFSET(nombres[],0,0,ROWS(nombres[]),1)=NT$1490,ROW(OFFSET(nombres[],0,0,ROWS(nombres[]),1))-ROW(OFFSET(nombres[],0,0,1,1))+1,ROW(OFFSET(nombres[],ROWS(nombres[])-1,0,1,1))+1),$O1545:$O1564),3),"")</f>
        <v/>
      </c>
      <c r="NU1545" s="42" t="str">
        <f t="array" aca="1" ref="NU1545" ca="1">IFERROR(INDEX(nombres[],SMALL(IF(OFFSET(nombres[],0,0,ROWS(nombres[]),1)=NU$1490,ROW(OFFSET(nombres[],0,0,ROWS(nombres[]),1))-ROW(OFFSET(nombres[],0,0,1,1))+1,ROW(OFFSET(nombres[],ROWS(nombres[])-1,0,1,1))+1),$O1545:$O1564),3),"")</f>
        <v/>
      </c>
      <c r="NV1545" s="42" t="str">
        <f t="array" aca="1" ref="NV1545" ca="1">IFERROR(INDEX(nombres[],SMALL(IF(OFFSET(nombres[],0,0,ROWS(nombres[]),1)=NV$1490,ROW(OFFSET(nombres[],0,0,ROWS(nombres[]),1))-ROW(OFFSET(nombres[],0,0,1,1))+1,ROW(OFFSET(nombres[],ROWS(nombres[])-1,0,1,1))+1),$O1545:$O1564),3),"")</f>
        <v/>
      </c>
      <c r="NW1545" s="42" t="str">
        <f t="array" aca="1" ref="NW1545" ca="1">IFERROR(INDEX(nombres[],SMALL(IF(OFFSET(nombres[],0,0,ROWS(nombres[]),1)=NW$1490,ROW(OFFSET(nombres[],0,0,ROWS(nombres[]),1))-ROW(OFFSET(nombres[],0,0,1,1))+1,ROW(OFFSET(nombres[],ROWS(nombres[])-1,0,1,1))+1),$O1545:$O1564),3),"")</f>
        <v/>
      </c>
      <c r="NX1545" s="42" t="str">
        <f t="array" aca="1" ref="NX1545" ca="1">IFERROR(INDEX(nombres[],SMALL(IF(OFFSET(nombres[],0,0,ROWS(nombres[]),1)=NX$1490,ROW(OFFSET(nombres[],0,0,ROWS(nombres[]),1))-ROW(OFFSET(nombres[],0,0,1,1))+1,ROW(OFFSET(nombres[],ROWS(nombres[])-1,0,1,1))+1),$O1545:$O1564),3),"")</f>
        <v/>
      </c>
      <c r="NY1545" s="42" t="str">
        <f t="array" aca="1" ref="NY1545" ca="1">IFERROR(INDEX(nombres[],SMALL(IF(OFFSET(nombres[],0,0,ROWS(nombres[]),1)=NY$1490,ROW(OFFSET(nombres[],0,0,ROWS(nombres[]),1))-ROW(OFFSET(nombres[],0,0,1,1))+1,ROW(OFFSET(nombres[],ROWS(nombres[])-1,0,1,1))+1),$O1545:$O1564),3),"")</f>
        <v/>
      </c>
      <c r="NZ1545" s="42" t="str">
        <f t="array" aca="1" ref="NZ1545" ca="1">IFERROR(INDEX(nombres[],SMALL(IF(OFFSET(nombres[],0,0,ROWS(nombres[]),1)=NZ$1490,ROW(OFFSET(nombres[],0,0,ROWS(nombres[]),1))-ROW(OFFSET(nombres[],0,0,1,1))+1,ROW(OFFSET(nombres[],ROWS(nombres[])-1,0,1,1))+1),$O1545:$O1564),3),"")</f>
        <v/>
      </c>
      <c r="OA1545" s="42" t="str">
        <f t="array" aca="1" ref="OA1545" ca="1">IFERROR(INDEX(nombres[],SMALL(IF(OFFSET(nombres[],0,0,ROWS(nombres[]),1)=OA$1490,ROW(OFFSET(nombres[],0,0,ROWS(nombres[]),1))-ROW(OFFSET(nombres[],0,0,1,1))+1,ROW(OFFSET(nombres[],ROWS(nombres[])-1,0,1,1))+1),$O1545:$O1564),3),"")</f>
        <v/>
      </c>
      <c r="OB1545" s="42" t="str">
        <f t="array" aca="1" ref="OB1545" ca="1">IFERROR(INDEX(nombres[],SMALL(IF(OFFSET(nombres[],0,0,ROWS(nombres[]),1)=OB$1490,ROW(OFFSET(nombres[],0,0,ROWS(nombres[]),1))-ROW(OFFSET(nombres[],0,0,1,1))+1,ROW(OFFSET(nombres[],ROWS(nombres[])-1,0,1,1))+1),$O1545:$O1564),3),"")</f>
        <v/>
      </c>
      <c r="OC1545" s="42" t="str">
        <f t="array" aca="1" ref="OC1545" ca="1">IFERROR(INDEX(nombres[],SMALL(IF(OFFSET(nombres[],0,0,ROWS(nombres[]),1)=OC$1490,ROW(OFFSET(nombres[],0,0,ROWS(nombres[]),1))-ROW(OFFSET(nombres[],0,0,1,1))+1,ROW(OFFSET(nombres[],ROWS(nombres[])-1,0,1,1))+1),$O1545:$O1564),3),"")</f>
        <v/>
      </c>
      <c r="OD1545" s="42" t="str">
        <f t="array" aca="1" ref="OD1545" ca="1">IFERROR(INDEX(nombres[],SMALL(IF(OFFSET(nombres[],0,0,ROWS(nombres[]),1)=OD$1490,ROW(OFFSET(nombres[],0,0,ROWS(nombres[]),1))-ROW(OFFSET(nombres[],0,0,1,1))+1,ROW(OFFSET(nombres[],ROWS(nombres[])-1,0,1,1))+1),$O1545:$O1564),3),"")</f>
        <v/>
      </c>
      <c r="OE1545" s="42" t="str">
        <f t="array" aca="1" ref="OE1545" ca="1">IFERROR(INDEX(nombres[],SMALL(IF(OFFSET(nombres[],0,0,ROWS(nombres[]),1)=OE$1490,ROW(OFFSET(nombres[],0,0,ROWS(nombres[]),1))-ROW(OFFSET(nombres[],0,0,1,1))+1,ROW(OFFSET(nombres[],ROWS(nombres[])-1,0,1,1))+1),$O1545:$O1564),3),"")</f>
        <v/>
      </c>
      <c r="OF1545" s="42" t="str">
        <f t="array" aca="1" ref="OF1545" ca="1">IFERROR(INDEX(nombres[],SMALL(IF(OFFSET(nombres[],0,0,ROWS(nombres[]),1)=OF$1490,ROW(OFFSET(nombres[],0,0,ROWS(nombres[]),1))-ROW(OFFSET(nombres[],0,0,1,1))+1,ROW(OFFSET(nombres[],ROWS(nombres[])-1,0,1,1))+1),$O1545:$O1564),3),"")</f>
        <v/>
      </c>
      <c r="OG1545" s="42" t="str">
        <f t="array" aca="1" ref="OG1545" ca="1">IFERROR(INDEX(nombres[],SMALL(IF(OFFSET(nombres[],0,0,ROWS(nombres[]),1)=OG$1490,ROW(OFFSET(nombres[],0,0,ROWS(nombres[]),1))-ROW(OFFSET(nombres[],0,0,1,1))+1,ROW(OFFSET(nombres[],ROWS(nombres[])-1,0,1,1))+1),$O1545:$O1564),3),"")</f>
        <v/>
      </c>
      <c r="OH1545" s="42" t="str">
        <f t="array" aca="1" ref="OH1545" ca="1">IFERROR(INDEX(nombres[],SMALL(IF(OFFSET(nombres[],0,0,ROWS(nombres[]),1)=OH$1490,ROW(OFFSET(nombres[],0,0,ROWS(nombres[]),1))-ROW(OFFSET(nombres[],0,0,1,1))+1,ROW(OFFSET(nombres[],ROWS(nombres[])-1,0,1,1))+1),$O1545:$O1564),3),"")</f>
        <v/>
      </c>
      <c r="OI1545" s="42" t="str">
        <f t="array" aca="1" ref="OI1545" ca="1">IFERROR(INDEX(nombres[],SMALL(IF(OFFSET(nombres[],0,0,ROWS(nombres[]),1)=OI$1490,ROW(OFFSET(nombres[],0,0,ROWS(nombres[]),1))-ROW(OFFSET(nombres[],0,0,1,1))+1,ROW(OFFSET(nombres[],ROWS(nombres[])-1,0,1,1))+1),$O1545:$O1564),3),"")</f>
        <v/>
      </c>
      <c r="OJ1545" s="42" t="str">
        <f t="array" aca="1" ref="OJ1545" ca="1">IFERROR(INDEX(nombres[],SMALL(IF(OFFSET(nombres[],0,0,ROWS(nombres[]),1)=OJ$1490,ROW(OFFSET(nombres[],0,0,ROWS(nombres[]),1))-ROW(OFFSET(nombres[],0,0,1,1))+1,ROW(OFFSET(nombres[],ROWS(nombres[])-1,0,1,1))+1),$O1545:$O1564),3),"")</f>
        <v/>
      </c>
      <c r="OK1545" s="42" t="str">
        <f t="array" aca="1" ref="OK1545" ca="1">IFERROR(INDEX(nombres[],SMALL(IF(OFFSET(nombres[],0,0,ROWS(nombres[]),1)=OK$1490,ROW(OFFSET(nombres[],0,0,ROWS(nombres[]),1))-ROW(OFFSET(nombres[],0,0,1,1))+1,ROW(OFFSET(nombres[],ROWS(nombres[])-1,0,1,1))+1),$O1545:$O1564),3),"")</f>
        <v/>
      </c>
      <c r="OL1545" s="42" t="str">
        <f t="array" aca="1" ref="OL1545" ca="1">IFERROR(INDEX(nombres[],SMALL(IF(OFFSET(nombres[],0,0,ROWS(nombres[]),1)=OL$1490,ROW(OFFSET(nombres[],0,0,ROWS(nombres[]),1))-ROW(OFFSET(nombres[],0,0,1,1))+1,ROW(OFFSET(nombres[],ROWS(nombres[])-1,0,1,1))+1),$O1545:$O1564),3),"")</f>
        <v/>
      </c>
      <c r="OM1545" s="42" t="str">
        <f t="array" aca="1" ref="OM1545" ca="1">IFERROR(INDEX(nombres[],SMALL(IF(OFFSET(nombres[],0,0,ROWS(nombres[]),1)=OM$1490,ROW(OFFSET(nombres[],0,0,ROWS(nombres[]),1))-ROW(OFFSET(nombres[],0,0,1,1))+1,ROW(OFFSET(nombres[],ROWS(nombres[])-1,0,1,1))+1),$O1545:$O1564),3),"")</f>
        <v/>
      </c>
      <c r="ON1545" s="42" t="str">
        <f t="array" aca="1" ref="ON1545" ca="1">IFERROR(INDEX(nombres[],SMALL(IF(OFFSET(nombres[],0,0,ROWS(nombres[]),1)=ON$1490,ROW(OFFSET(nombres[],0,0,ROWS(nombres[]),1))-ROW(OFFSET(nombres[],0,0,1,1))+1,ROW(OFFSET(nombres[],ROWS(nombres[])-1,0,1,1))+1),$O1545:$O1564),3),"")</f>
        <v/>
      </c>
      <c r="OO1545" s="42" t="str">
        <f t="array" aca="1" ref="OO1545" ca="1">IFERROR(INDEX(nombres[],SMALL(IF(OFFSET(nombres[],0,0,ROWS(nombres[]),1)=OO$1490,ROW(OFFSET(nombres[],0,0,ROWS(nombres[]),1))-ROW(OFFSET(nombres[],0,0,1,1))+1,ROW(OFFSET(nombres[],ROWS(nombres[])-1,0,1,1))+1),$O1545:$O1564),3),"")</f>
        <v/>
      </c>
      <c r="OP1545" s="42" t="str">
        <f t="array" aca="1" ref="OP1545" ca="1">IFERROR(INDEX(nombres[],SMALL(IF(OFFSET(nombres[],0,0,ROWS(nombres[]),1)=OP$1490,ROW(OFFSET(nombres[],0,0,ROWS(nombres[]),1))-ROW(OFFSET(nombres[],0,0,1,1))+1,ROW(OFFSET(nombres[],ROWS(nombres[])-1,0,1,1))+1),$O1545:$O1564),3),"")</f>
        <v/>
      </c>
      <c r="OQ1545" s="42" t="str">
        <f t="array" aca="1" ref="OQ1545" ca="1">IFERROR(INDEX(nombres[],SMALL(IF(OFFSET(nombres[],0,0,ROWS(nombres[]),1)=OQ$1490,ROW(OFFSET(nombres[],0,0,ROWS(nombres[]),1))-ROW(OFFSET(nombres[],0,0,1,1))+1,ROW(OFFSET(nombres[],ROWS(nombres[])-1,0,1,1))+1),$O1545:$O1564),3),"")</f>
        <v/>
      </c>
      <c r="OR1545" s="42" t="str">
        <f t="array" aca="1" ref="OR1545" ca="1">IFERROR(INDEX(nombres[],SMALL(IF(OFFSET(nombres[],0,0,ROWS(nombres[]),1)=OR$1490,ROW(OFFSET(nombres[],0,0,ROWS(nombres[]),1))-ROW(OFFSET(nombres[],0,0,1,1))+1,ROW(OFFSET(nombres[],ROWS(nombres[])-1,0,1,1))+1),$O1545:$O1564),3),"")</f>
        <v/>
      </c>
      <c r="OS1545" s="42" t="str">
        <f t="array" aca="1" ref="OS1545" ca="1">IFERROR(INDEX(nombres[],SMALL(IF(OFFSET(nombres[],0,0,ROWS(nombres[]),1)=OS$1490,ROW(OFFSET(nombres[],0,0,ROWS(nombres[]),1))-ROW(OFFSET(nombres[],0,0,1,1))+1,ROW(OFFSET(nombres[],ROWS(nombres[])-1,0,1,1))+1),$O1545:$O1564),3),"")</f>
        <v/>
      </c>
      <c r="OT1545" s="42" t="str">
        <f t="array" aca="1" ref="OT1545" ca="1">IFERROR(INDEX(nombres[],SMALL(IF(OFFSET(nombres[],0,0,ROWS(nombres[]),1)=OT$1490,ROW(OFFSET(nombres[],0,0,ROWS(nombres[]),1))-ROW(OFFSET(nombres[],0,0,1,1))+1,ROW(OFFSET(nombres[],ROWS(nombres[])-1,0,1,1))+1),$O1545:$O1564),3),"")</f>
        <v/>
      </c>
      <c r="OU1545" s="42" t="str">
        <f t="array" aca="1" ref="OU1545" ca="1">IFERROR(INDEX(nombres[],SMALL(IF(OFFSET(nombres[],0,0,ROWS(nombres[]),1)=OU$1490,ROW(OFFSET(nombres[],0,0,ROWS(nombres[]),1))-ROW(OFFSET(nombres[],0,0,1,1))+1,ROW(OFFSET(nombres[],ROWS(nombres[])-1,0,1,1))+1),$O1545:$O1564),3),"")</f>
        <v/>
      </c>
      <c r="OV1545" s="42" t="str">
        <f t="array" aca="1" ref="OV1545" ca="1">IFERROR(INDEX(nombres[],SMALL(IF(OFFSET(nombres[],0,0,ROWS(nombres[]),1)=OV$1490,ROW(OFFSET(nombres[],0,0,ROWS(nombres[]),1))-ROW(OFFSET(nombres[],0,0,1,1))+1,ROW(OFFSET(nombres[],ROWS(nombres[])-1,0,1,1))+1),$O1545:$O1564),3),"")</f>
        <v/>
      </c>
      <c r="OW1545" s="42" t="str">
        <f t="array" aca="1" ref="OW1545" ca="1">IFERROR(INDEX(nombres[],SMALL(IF(OFFSET(nombres[],0,0,ROWS(nombres[]),1)=OW$1490,ROW(OFFSET(nombres[],0,0,ROWS(nombres[]),1))-ROW(OFFSET(nombres[],0,0,1,1))+1,ROW(OFFSET(nombres[],ROWS(nombres[])-1,0,1,1))+1),$O1545:$O1564),3),"")</f>
        <v/>
      </c>
      <c r="OX1545" s="42" t="str">
        <f t="array" aca="1" ref="OX1545" ca="1">IFERROR(INDEX(nombres[],SMALL(IF(OFFSET(nombres[],0,0,ROWS(nombres[]),1)=OX$1490,ROW(OFFSET(nombres[],0,0,ROWS(nombres[]),1))-ROW(OFFSET(nombres[],0,0,1,1))+1,ROW(OFFSET(nombres[],ROWS(nombres[])-1,0,1,1))+1),$O1545:$O1564),3),"")</f>
        <v/>
      </c>
      <c r="OY1545" s="42" t="str">
        <f t="array" aca="1" ref="OY1545" ca="1">IFERROR(INDEX(nombres[],SMALL(IF(OFFSET(nombres[],0,0,ROWS(nombres[]),1)=OY$1490,ROW(OFFSET(nombres[],0,0,ROWS(nombres[]),1))-ROW(OFFSET(nombres[],0,0,1,1))+1,ROW(OFFSET(nombres[],ROWS(nombres[])-1,0,1,1))+1),$O1545:$O1564),3),"")</f>
        <v/>
      </c>
      <c r="OZ1545" s="42" t="str">
        <f t="array" aca="1" ref="OZ1545" ca="1">IFERROR(INDEX(nombres[],SMALL(IF(OFFSET(nombres[],0,0,ROWS(nombres[]),1)=OZ$1490,ROW(OFFSET(nombres[],0,0,ROWS(nombres[]),1))-ROW(OFFSET(nombres[],0,0,1,1))+1,ROW(OFFSET(nombres[],ROWS(nombres[])-1,0,1,1))+1),$O1545:$O1564),3),"")</f>
        <v/>
      </c>
      <c r="PA1545" s="42" t="str">
        <f t="array" aca="1" ref="PA1545" ca="1">IFERROR(INDEX(nombres[],SMALL(IF(OFFSET(nombres[],0,0,ROWS(nombres[]),1)=PA$1490,ROW(OFFSET(nombres[],0,0,ROWS(nombres[]),1))-ROW(OFFSET(nombres[],0,0,1,1))+1,ROW(OFFSET(nombres[],ROWS(nombres[])-1,0,1,1))+1),$O1545:$O1564),3),"")</f>
        <v/>
      </c>
      <c r="PB1545" s="42" t="str">
        <f t="array" aca="1" ref="PB1545" ca="1">IFERROR(INDEX(nombres[],SMALL(IF(OFFSET(nombres[],0,0,ROWS(nombres[]),1)=PB$1490,ROW(OFFSET(nombres[],0,0,ROWS(nombres[]),1))-ROW(OFFSET(nombres[],0,0,1,1))+1,ROW(OFFSET(nombres[],ROWS(nombres[])-1,0,1,1))+1),$O1545:$O1564),3),"")</f>
        <v/>
      </c>
      <c r="PC1545" s="42" t="str">
        <f t="array" aca="1" ref="PC1545" ca="1">IFERROR(INDEX(nombres[],SMALL(IF(OFFSET(nombres[],0,0,ROWS(nombres[]),1)=PC$1490,ROW(OFFSET(nombres[],0,0,ROWS(nombres[]),1))-ROW(OFFSET(nombres[],0,0,1,1))+1,ROW(OFFSET(nombres[],ROWS(nombres[])-1,0,1,1))+1),$O1545:$O1564),3),"")</f>
        <v/>
      </c>
      <c r="PD1545" s="42" t="str">
        <f t="array" aca="1" ref="PD1545" ca="1">IFERROR(INDEX(nombres[],SMALL(IF(OFFSET(nombres[],0,0,ROWS(nombres[]),1)=PD$1490,ROW(OFFSET(nombres[],0,0,ROWS(nombres[]),1))-ROW(OFFSET(nombres[],0,0,1,1))+1,ROW(OFFSET(nombres[],ROWS(nombres[])-1,0,1,1))+1),$O1545:$O1564),3),"")</f>
        <v/>
      </c>
      <c r="PE1545" s="42" t="str">
        <f t="array" aca="1" ref="PE1545" ca="1">IFERROR(INDEX(nombres[],SMALL(IF(OFFSET(nombres[],0,0,ROWS(nombres[]),1)=PE$1490,ROW(OFFSET(nombres[],0,0,ROWS(nombres[]),1))-ROW(OFFSET(nombres[],0,0,1,1))+1,ROW(OFFSET(nombres[],ROWS(nombres[])-1,0,1,1))+1),$O1545:$O1564),3),"")</f>
        <v/>
      </c>
      <c r="PF1545" s="42" t="str">
        <f t="array" aca="1" ref="PF1545" ca="1">IFERROR(INDEX(nombres[],SMALL(IF(OFFSET(nombres[],0,0,ROWS(nombres[]),1)=PF$1490,ROW(OFFSET(nombres[],0,0,ROWS(nombres[]),1))-ROW(OFFSET(nombres[],0,0,1,1))+1,ROW(OFFSET(nombres[],ROWS(nombres[])-1,0,1,1))+1),$O1545:$O1564),3),"")</f>
        <v/>
      </c>
      <c r="PG1545" s="42" t="str">
        <f t="array" aca="1" ref="PG1545" ca="1">IFERROR(INDEX(nombres[],SMALL(IF(OFFSET(nombres[],0,0,ROWS(nombres[]),1)=PG$1490,ROW(OFFSET(nombres[],0,0,ROWS(nombres[]),1))-ROW(OFFSET(nombres[],0,0,1,1))+1,ROW(OFFSET(nombres[],ROWS(nombres[])-1,0,1,1))+1),$O1545:$O1564),3),"")</f>
        <v/>
      </c>
      <c r="PH1545" s="42" t="str">
        <f t="array" aca="1" ref="PH1545" ca="1">IFERROR(INDEX(nombres[],SMALL(IF(OFFSET(nombres[],0,0,ROWS(nombres[]),1)=PH$1490,ROW(OFFSET(nombres[],0,0,ROWS(nombres[]),1))-ROW(OFFSET(nombres[],0,0,1,1))+1,ROW(OFFSET(nombres[],ROWS(nombres[])-1,0,1,1))+1),$O1545:$O1564),3),"")</f>
        <v/>
      </c>
      <c r="PI1545" s="42" t="str">
        <f t="array" aca="1" ref="PI1545" ca="1">IFERROR(INDEX(nombres[],SMALL(IF(OFFSET(nombres[],0,0,ROWS(nombres[]),1)=PI$1490,ROW(OFFSET(nombres[],0,0,ROWS(nombres[]),1))-ROW(OFFSET(nombres[],0,0,1,1))+1,ROW(OFFSET(nombres[],ROWS(nombres[])-1,0,1,1))+1),$O1545:$O1564),3),"")</f>
        <v/>
      </c>
      <c r="PJ1545" s="42" t="str">
        <f t="array" aca="1" ref="PJ1545" ca="1">IFERROR(INDEX(nombres[],SMALL(IF(OFFSET(nombres[],0,0,ROWS(nombres[]),1)=PJ$1490,ROW(OFFSET(nombres[],0,0,ROWS(nombres[]),1))-ROW(OFFSET(nombres[],0,0,1,1))+1,ROW(OFFSET(nombres[],ROWS(nombres[])-1,0,1,1))+1),$O1545:$O1564),3),"")</f>
        <v/>
      </c>
      <c r="PK1545" s="42" t="str">
        <f t="array" aca="1" ref="PK1545" ca="1">IFERROR(INDEX(nombres[],SMALL(IF(OFFSET(nombres[],0,0,ROWS(nombres[]),1)=PK$1490,ROW(OFFSET(nombres[],0,0,ROWS(nombres[]),1))-ROW(OFFSET(nombres[],0,0,1,1))+1,ROW(OFFSET(nombres[],ROWS(nombres[])-1,0,1,1))+1),$O1545:$O1564),3),"")</f>
        <v/>
      </c>
      <c r="PL1545" s="42" t="str">
        <f t="array" aca="1" ref="PL1545" ca="1">IFERROR(INDEX(nombres[],SMALL(IF(OFFSET(nombres[],0,0,ROWS(nombres[]),1)=PL$1490,ROW(OFFSET(nombres[],0,0,ROWS(nombres[]),1))-ROW(OFFSET(nombres[],0,0,1,1))+1,ROW(OFFSET(nombres[],ROWS(nombres[])-1,0,1,1))+1),$O1545:$O1564),3),"")</f>
        <v/>
      </c>
      <c r="PM1545" s="42" t="str">
        <f t="array" aca="1" ref="PM1545" ca="1">IFERROR(INDEX(nombres[],SMALL(IF(OFFSET(nombres[],0,0,ROWS(nombres[]),1)=PM$1490,ROW(OFFSET(nombres[],0,0,ROWS(nombres[]),1))-ROW(OFFSET(nombres[],0,0,1,1))+1,ROW(OFFSET(nombres[],ROWS(nombres[])-1,0,1,1))+1),$O1545:$O1564),3),"")</f>
        <v/>
      </c>
      <c r="PN1545" s="42" t="str">
        <f t="array" aca="1" ref="PN1545" ca="1">IFERROR(INDEX(nombres[],SMALL(IF(OFFSET(nombres[],0,0,ROWS(nombres[]),1)=PN$1490,ROW(OFFSET(nombres[],0,0,ROWS(nombres[]),1))-ROW(OFFSET(nombres[],0,0,1,1))+1,ROW(OFFSET(nombres[],ROWS(nombres[])-1,0,1,1))+1),$O1545:$O1564),3),"")</f>
        <v/>
      </c>
      <c r="PO1545" s="42" t="str">
        <f t="array" aca="1" ref="PO1545" ca="1">IFERROR(INDEX(nombres[],SMALL(IF(OFFSET(nombres[],0,0,ROWS(nombres[]),1)=PO$1490,ROW(OFFSET(nombres[],0,0,ROWS(nombres[]),1))-ROW(OFFSET(nombres[],0,0,1,1))+1,ROW(OFFSET(nombres[],ROWS(nombres[])-1,0,1,1))+1),$O1545:$O1564),3),"")</f>
        <v/>
      </c>
      <c r="PP1545" s="42" t="str">
        <f t="array" aca="1" ref="PP1545" ca="1">IFERROR(INDEX(nombres[],SMALL(IF(OFFSET(nombres[],0,0,ROWS(nombres[]),1)=PP$1490,ROW(OFFSET(nombres[],0,0,ROWS(nombres[]),1))-ROW(OFFSET(nombres[],0,0,1,1))+1,ROW(OFFSET(nombres[],ROWS(nombres[])-1,0,1,1))+1),$O1545:$O1564),3),"")</f>
        <v/>
      </c>
      <c r="PQ1545" s="42" t="str">
        <f t="array" aca="1" ref="PQ1545" ca="1">IFERROR(INDEX(nombres[],SMALL(IF(OFFSET(nombres[],0,0,ROWS(nombres[]),1)=PQ$1490,ROW(OFFSET(nombres[],0,0,ROWS(nombres[]),1))-ROW(OFFSET(nombres[],0,0,1,1))+1,ROW(OFFSET(nombres[],ROWS(nombres[])-1,0,1,1))+1),$O1545:$O1564),3),"")</f>
        <v/>
      </c>
      <c r="PR1545" s="42" t="str">
        <f t="array" aca="1" ref="PR1545" ca="1">IFERROR(INDEX(nombres[],SMALL(IF(OFFSET(nombres[],0,0,ROWS(nombres[]),1)=PR$1490,ROW(OFFSET(nombres[],0,0,ROWS(nombres[]),1))-ROW(OFFSET(nombres[],0,0,1,1))+1,ROW(OFFSET(nombres[],ROWS(nombres[])-1,0,1,1))+1),$O1545:$O1564),3),"")</f>
        <v/>
      </c>
      <c r="PS1545" s="42" t="str">
        <f t="array" aca="1" ref="PS1545" ca="1">IFERROR(INDEX(nombres[],SMALL(IF(OFFSET(nombres[],0,0,ROWS(nombres[]),1)=PS$1490,ROW(OFFSET(nombres[],0,0,ROWS(nombres[]),1))-ROW(OFFSET(nombres[],0,0,1,1))+1,ROW(OFFSET(nombres[],ROWS(nombres[])-1,0,1,1))+1),$O1545:$O1564),3),"")</f>
        <v/>
      </c>
      <c r="PT1545" s="42" t="str">
        <f t="array" aca="1" ref="PT1545" ca="1">IFERROR(INDEX(nombres[],SMALL(IF(OFFSET(nombres[],0,0,ROWS(nombres[]),1)=PT$1490,ROW(OFFSET(nombres[],0,0,ROWS(nombres[]),1))-ROW(OFFSET(nombres[],0,0,1,1))+1,ROW(OFFSET(nombres[],ROWS(nombres[])-1,0,1,1))+1),$O1545:$O1564),3),"")</f>
        <v/>
      </c>
      <c r="PU1545" s="42" t="str">
        <f t="array" aca="1" ref="PU1545" ca="1">IFERROR(INDEX(nombres[],SMALL(IF(OFFSET(nombres[],0,0,ROWS(nombres[]),1)=PU$1490,ROW(OFFSET(nombres[],0,0,ROWS(nombres[]),1))-ROW(OFFSET(nombres[],0,0,1,1))+1,ROW(OFFSET(nombres[],ROWS(nombres[])-1,0,1,1))+1),$O1545:$O1564),3),"")</f>
        <v/>
      </c>
      <c r="PV1545" s="42" t="str">
        <f t="array" aca="1" ref="PV1545" ca="1">IFERROR(INDEX(nombres[],SMALL(IF(OFFSET(nombres[],0,0,ROWS(nombres[]),1)=PV$1490,ROW(OFFSET(nombres[],0,0,ROWS(nombres[]),1))-ROW(OFFSET(nombres[],0,0,1,1))+1,ROW(OFFSET(nombres[],ROWS(nombres[])-1,0,1,1))+1),$O1545:$O1564),3),"")</f>
        <v/>
      </c>
      <c r="PW1545" s="42" t="str">
        <f t="array" aca="1" ref="PW1545" ca="1">IFERROR(INDEX(nombres[],SMALL(IF(OFFSET(nombres[],0,0,ROWS(nombres[]),1)=PW$1490,ROW(OFFSET(nombres[],0,0,ROWS(nombres[]),1))-ROW(OFFSET(nombres[],0,0,1,1))+1,ROW(OFFSET(nombres[],ROWS(nombres[])-1,0,1,1))+1),$O1545:$O1564),3),"")</f>
        <v/>
      </c>
      <c r="PX1545" s="42" t="str">
        <f t="array" aca="1" ref="PX1545" ca="1">IFERROR(INDEX(nombres[],SMALL(IF(OFFSET(nombres[],0,0,ROWS(nombres[]),1)=PX$1490,ROW(OFFSET(nombres[],0,0,ROWS(nombres[]),1))-ROW(OFFSET(nombres[],0,0,1,1))+1,ROW(OFFSET(nombres[],ROWS(nombres[])-1,0,1,1))+1),$O1545:$O1564),3),"")</f>
        <v/>
      </c>
      <c r="PY1545" s="42" t="str">
        <f t="array" aca="1" ref="PY1545" ca="1">IFERROR(INDEX(nombres[],SMALL(IF(OFFSET(nombres[],0,0,ROWS(nombres[]),1)=PY$1490,ROW(OFFSET(nombres[],0,0,ROWS(nombres[]),1))-ROW(OFFSET(nombres[],0,0,1,1))+1,ROW(OFFSET(nombres[],ROWS(nombres[])-1,0,1,1))+1),$O1545:$O1564),3),"")</f>
        <v/>
      </c>
      <c r="PZ1545" s="42" t="str">
        <f t="array" aca="1" ref="PZ1545" ca="1">IFERROR(INDEX(nombres[],SMALL(IF(OFFSET(nombres[],0,0,ROWS(nombres[]),1)=PZ$1490,ROW(OFFSET(nombres[],0,0,ROWS(nombres[]),1))-ROW(OFFSET(nombres[],0,0,1,1))+1,ROW(OFFSET(nombres[],ROWS(nombres[])-1,0,1,1))+1),$O1545:$O1564),3),"")</f>
        <v/>
      </c>
      <c r="QA1545" s="42" t="str">
        <f t="array" aca="1" ref="QA1545" ca="1">IFERROR(INDEX(nombres[],SMALL(IF(OFFSET(nombres[],0,0,ROWS(nombres[]),1)=QA$1490,ROW(OFFSET(nombres[],0,0,ROWS(nombres[]),1))-ROW(OFFSET(nombres[],0,0,1,1))+1,ROW(OFFSET(nombres[],ROWS(nombres[])-1,0,1,1))+1),$O1545:$O1564),3),"")</f>
        <v/>
      </c>
      <c r="QB1545" s="42" t="str">
        <f t="array" aca="1" ref="QB1545" ca="1">IFERROR(INDEX(nombres[],SMALL(IF(OFFSET(nombres[],0,0,ROWS(nombres[]),1)=QB$1490,ROW(OFFSET(nombres[],0,0,ROWS(nombres[]),1))-ROW(OFFSET(nombres[],0,0,1,1))+1,ROW(OFFSET(nombres[],ROWS(nombres[])-1,0,1,1))+1),$O1545:$O1564),3),"")</f>
        <v/>
      </c>
      <c r="QC1545" s="42" t="str">
        <f t="array" aca="1" ref="QC1545" ca="1">IFERROR(INDEX(nombres[],SMALL(IF(OFFSET(nombres[],0,0,ROWS(nombres[]),1)=QC$1490,ROW(OFFSET(nombres[],0,0,ROWS(nombres[]),1))-ROW(OFFSET(nombres[],0,0,1,1))+1,ROW(OFFSET(nombres[],ROWS(nombres[])-1,0,1,1))+1),$O1545:$O1564),3),"")</f>
        <v/>
      </c>
      <c r="QD1545" s="42" t="str">
        <f t="array" aca="1" ref="QD1545" ca="1">IFERROR(INDEX(nombres[],SMALL(IF(OFFSET(nombres[],0,0,ROWS(nombres[]),1)=QD$1490,ROW(OFFSET(nombres[],0,0,ROWS(nombres[]),1))-ROW(OFFSET(nombres[],0,0,1,1))+1,ROW(OFFSET(nombres[],ROWS(nombres[])-1,0,1,1))+1),$O1545:$O1564),3),"")</f>
        <v/>
      </c>
      <c r="QE1545" s="42" t="str">
        <f t="array" aca="1" ref="QE1545" ca="1">IFERROR(INDEX(nombres[],SMALL(IF(OFFSET(nombres[],0,0,ROWS(nombres[]),1)=QE$1490,ROW(OFFSET(nombres[],0,0,ROWS(nombres[]),1))-ROW(OFFSET(nombres[],0,0,1,1))+1,ROW(OFFSET(nombres[],ROWS(nombres[])-1,0,1,1))+1),$O1545:$O1564),3),"")</f>
        <v/>
      </c>
      <c r="QF1545" s="42" t="str">
        <f t="array" aca="1" ref="QF1545" ca="1">IFERROR(INDEX(nombres[],SMALL(IF(OFFSET(nombres[],0,0,ROWS(nombres[]),1)=QF$1490,ROW(OFFSET(nombres[],0,0,ROWS(nombres[]),1))-ROW(OFFSET(nombres[],0,0,1,1))+1,ROW(OFFSET(nombres[],ROWS(nombres[])-1,0,1,1))+1),$O1545:$O1564),3),"")</f>
        <v/>
      </c>
      <c r="QG1545" s="42" t="str">
        <f t="array" aca="1" ref="QG1545" ca="1">IFERROR(INDEX(nombres[],SMALL(IF(OFFSET(nombres[],0,0,ROWS(nombres[]),1)=QG$1490,ROW(OFFSET(nombres[],0,0,ROWS(nombres[]),1))-ROW(OFFSET(nombres[],0,0,1,1))+1,ROW(OFFSET(nombres[],ROWS(nombres[])-1,0,1,1))+1),$O1545:$O1564),3),"")</f>
        <v/>
      </c>
      <c r="QH1545" s="42" t="str">
        <f t="array" aca="1" ref="QH1545" ca="1">IFERROR(INDEX(nombres[],SMALL(IF(OFFSET(nombres[],0,0,ROWS(nombres[]),1)=QH$1490,ROW(OFFSET(nombres[],0,0,ROWS(nombres[]),1))-ROW(OFFSET(nombres[],0,0,1,1))+1,ROW(OFFSET(nombres[],ROWS(nombres[])-1,0,1,1))+1),$O1545:$O1564),3),"")</f>
        <v/>
      </c>
      <c r="QI1545" s="42" t="str">
        <f t="array" aca="1" ref="QI1545" ca="1">IFERROR(INDEX(nombres[],SMALL(IF(OFFSET(nombres[],0,0,ROWS(nombres[]),1)=QI$1490,ROW(OFFSET(nombres[],0,0,ROWS(nombres[]),1))-ROW(OFFSET(nombres[],0,0,1,1))+1,ROW(OFFSET(nombres[],ROWS(nombres[])-1,0,1,1))+1),$O1545:$O1564),3),"")</f>
        <v/>
      </c>
      <c r="QJ1545" s="42" t="str">
        <f t="array" aca="1" ref="QJ1545" ca="1">IFERROR(INDEX(nombres[],SMALL(IF(OFFSET(nombres[],0,0,ROWS(nombres[]),1)=QJ$1490,ROW(OFFSET(nombres[],0,0,ROWS(nombres[]),1))-ROW(OFFSET(nombres[],0,0,1,1))+1,ROW(OFFSET(nombres[],ROWS(nombres[])-1,0,1,1))+1),$O1545:$O1564),3),"")</f>
        <v/>
      </c>
      <c r="QK1545" s="42" t="str">
        <f t="array" aca="1" ref="QK1545" ca="1">IFERROR(INDEX(nombres[],SMALL(IF(OFFSET(nombres[],0,0,ROWS(nombres[]),1)=QK$1490,ROW(OFFSET(nombres[],0,0,ROWS(nombres[]),1))-ROW(OFFSET(nombres[],0,0,1,1))+1,ROW(OFFSET(nombres[],ROWS(nombres[])-1,0,1,1))+1),$O1545:$O1564),3),"")</f>
        <v/>
      </c>
      <c r="QL1545" s="42" t="str">
        <f t="array" aca="1" ref="QL1545" ca="1">IFERROR(INDEX(nombres[],SMALL(IF(OFFSET(nombres[],0,0,ROWS(nombres[]),1)=QL$1490,ROW(OFFSET(nombres[],0,0,ROWS(nombres[]),1))-ROW(OFFSET(nombres[],0,0,1,1))+1,ROW(OFFSET(nombres[],ROWS(nombres[])-1,0,1,1))+1),$O1545:$O1564),3),"")</f>
        <v/>
      </c>
      <c r="QM1545" s="42" t="str">
        <f t="array" aca="1" ref="QM1545" ca="1">IFERROR(INDEX(nombres[],SMALL(IF(OFFSET(nombres[],0,0,ROWS(nombres[]),1)=QM$1490,ROW(OFFSET(nombres[],0,0,ROWS(nombres[]),1))-ROW(OFFSET(nombres[],0,0,1,1))+1,ROW(OFFSET(nombres[],ROWS(nombres[])-1,0,1,1))+1),$O1545:$O1564),3),"")</f>
        <v/>
      </c>
      <c r="QN1545" s="42" t="str">
        <f t="array" aca="1" ref="QN1545" ca="1">IFERROR(INDEX(nombres[],SMALL(IF(OFFSET(nombres[],0,0,ROWS(nombres[]),1)=QN$1490,ROW(OFFSET(nombres[],0,0,ROWS(nombres[]),1))-ROW(OFFSET(nombres[],0,0,1,1))+1,ROW(OFFSET(nombres[],ROWS(nombres[])-1,0,1,1))+1),$O1545:$O1564),3),"")</f>
        <v/>
      </c>
      <c r="QO1545" s="42" t="str">
        <f t="array" aca="1" ref="QO1545" ca="1">IFERROR(INDEX(nombres[],SMALL(IF(OFFSET(nombres[],0,0,ROWS(nombres[]),1)=QO$1490,ROW(OFFSET(nombres[],0,0,ROWS(nombres[]),1))-ROW(OFFSET(nombres[],0,0,1,1))+1,ROW(OFFSET(nombres[],ROWS(nombres[])-1,0,1,1))+1),$O1545:$O1564),3),"")</f>
        <v/>
      </c>
      <c r="QP1545" s="42" t="str">
        <f t="array" aca="1" ref="QP1545" ca="1">IFERROR(INDEX(nombres[],SMALL(IF(OFFSET(nombres[],0,0,ROWS(nombres[]),1)=QP$1490,ROW(OFFSET(nombres[],0,0,ROWS(nombres[]),1))-ROW(OFFSET(nombres[],0,0,1,1))+1,ROW(OFFSET(nombres[],ROWS(nombres[])-1,0,1,1))+1),$O1545:$O1564),3),"")</f>
        <v/>
      </c>
      <c r="QQ1545" s="42" t="str">
        <f t="array" aca="1" ref="QQ1545" ca="1">IFERROR(INDEX(nombres[],SMALL(IF(OFFSET(nombres[],0,0,ROWS(nombres[]),1)=QQ$1490,ROW(OFFSET(nombres[],0,0,ROWS(nombres[]),1))-ROW(OFFSET(nombres[],0,0,1,1))+1,ROW(OFFSET(nombres[],ROWS(nombres[])-1,0,1,1))+1),$O1545:$O1564),3),"")</f>
        <v/>
      </c>
      <c r="QR1545" s="42" t="str">
        <f t="array" aca="1" ref="QR1545" ca="1">IFERROR(INDEX(nombres[],SMALL(IF(OFFSET(nombres[],0,0,ROWS(nombres[]),1)=QR$1490,ROW(OFFSET(nombres[],0,0,ROWS(nombres[]),1))-ROW(OFFSET(nombres[],0,0,1,1))+1,ROW(OFFSET(nombres[],ROWS(nombres[])-1,0,1,1))+1),$O1545:$O1564),3),"")</f>
        <v/>
      </c>
      <c r="QS1545" s="42" t="str">
        <f t="array" aca="1" ref="QS1545" ca="1">IFERROR(INDEX(nombres[],SMALL(IF(OFFSET(nombres[],0,0,ROWS(nombres[]),1)=QS$1490,ROW(OFFSET(nombres[],0,0,ROWS(nombres[]),1))-ROW(OFFSET(nombres[],0,0,1,1))+1,ROW(OFFSET(nombres[],ROWS(nombres[])-1,0,1,1))+1),$O1545:$O1564),3),"")</f>
        <v/>
      </c>
      <c r="QT1545" s="42" t="str">
        <f t="array" aca="1" ref="QT1545" ca="1">IFERROR(INDEX(nombres[],SMALL(IF(OFFSET(nombres[],0,0,ROWS(nombres[]),1)=QT$1490,ROW(OFFSET(nombres[],0,0,ROWS(nombres[]),1))-ROW(OFFSET(nombres[],0,0,1,1))+1,ROW(OFFSET(nombres[],ROWS(nombres[])-1,0,1,1))+1),$O1545:$O1564),3),"")</f>
        <v/>
      </c>
      <c r="QU1545" s="42" t="str">
        <f t="array" aca="1" ref="QU1545" ca="1">IFERROR(INDEX(nombres[],SMALL(IF(OFFSET(nombres[],0,0,ROWS(nombres[]),1)=QU$1490,ROW(OFFSET(nombres[],0,0,ROWS(nombres[]),1))-ROW(OFFSET(nombres[],0,0,1,1))+1,ROW(OFFSET(nombres[],ROWS(nombres[])-1,0,1,1))+1),$O1545:$O1564),3),"")</f>
        <v/>
      </c>
      <c r="QV1545" s="42" t="str">
        <f t="array" aca="1" ref="QV1545" ca="1">IFERROR(INDEX(nombres[],SMALL(IF(OFFSET(nombres[],0,0,ROWS(nombres[]),1)=QV$1490,ROW(OFFSET(nombres[],0,0,ROWS(nombres[]),1))-ROW(OFFSET(nombres[],0,0,1,1))+1,ROW(OFFSET(nombres[],ROWS(nombres[])-1,0,1,1))+1),$O1545:$O1564),3),"")</f>
        <v/>
      </c>
      <c r="QW1545" s="42" t="str">
        <f t="array" aca="1" ref="QW1545" ca="1">IFERROR(INDEX(nombres[],SMALL(IF(OFFSET(nombres[],0,0,ROWS(nombres[]),1)=QW$1490,ROW(OFFSET(nombres[],0,0,ROWS(nombres[]),1))-ROW(OFFSET(nombres[],0,0,1,1))+1,ROW(OFFSET(nombres[],ROWS(nombres[])-1,0,1,1))+1),$O1545:$O1564),3),"")</f>
        <v/>
      </c>
      <c r="QX1545" s="42" t="str">
        <f t="array" aca="1" ref="QX1545" ca="1">IFERROR(INDEX(nombres[],SMALL(IF(OFFSET(nombres[],0,0,ROWS(nombres[]),1)=QX$1490,ROW(OFFSET(nombres[],0,0,ROWS(nombres[]),1))-ROW(OFFSET(nombres[],0,0,1,1))+1,ROW(OFFSET(nombres[],ROWS(nombres[])-1,0,1,1))+1),$O1545:$O1564),3),"")</f>
        <v/>
      </c>
      <c r="QY1545" s="42" t="str">
        <f t="array" aca="1" ref="QY1545" ca="1">IFERROR(INDEX(nombres[],SMALL(IF(OFFSET(nombres[],0,0,ROWS(nombres[]),1)=QY$1490,ROW(OFFSET(nombres[],0,0,ROWS(nombres[]),1))-ROW(OFFSET(nombres[],0,0,1,1))+1,ROW(OFFSET(nombres[],ROWS(nombres[])-1,0,1,1))+1),$O1545:$O1564),3),"")</f>
        <v/>
      </c>
      <c r="QZ1545" s="42" t="str">
        <f t="array" aca="1" ref="QZ1545" ca="1">IFERROR(INDEX(nombres[],SMALL(IF(OFFSET(nombres[],0,0,ROWS(nombres[]),1)=QZ$1490,ROW(OFFSET(nombres[],0,0,ROWS(nombres[]),1))-ROW(OFFSET(nombres[],0,0,1,1))+1,ROW(OFFSET(nombres[],ROWS(nombres[])-1,0,1,1))+1),$O1545:$O1564),3),"")</f>
        <v/>
      </c>
      <c r="RA1545" s="42" t="str">
        <f t="array" aca="1" ref="RA1545" ca="1">IFERROR(INDEX(nombres[],SMALL(IF(OFFSET(nombres[],0,0,ROWS(nombres[]),1)=RA$1490,ROW(OFFSET(nombres[],0,0,ROWS(nombres[]),1))-ROW(OFFSET(nombres[],0,0,1,1))+1,ROW(OFFSET(nombres[],ROWS(nombres[])-1,0,1,1))+1),$O1545:$O1564),3),"")</f>
        <v/>
      </c>
      <c r="RB1545" s="42" t="str">
        <f t="array" aca="1" ref="RB1545" ca="1">IFERROR(INDEX(nombres[],SMALL(IF(OFFSET(nombres[],0,0,ROWS(nombres[]),1)=RB$1490,ROW(OFFSET(nombres[],0,0,ROWS(nombres[]),1))-ROW(OFFSET(nombres[],0,0,1,1))+1,ROW(OFFSET(nombres[],ROWS(nombres[])-1,0,1,1))+1),$O1545:$O1564),3),"")</f>
        <v/>
      </c>
      <c r="RC1545" s="42" t="str">
        <f t="array" aca="1" ref="RC1545" ca="1">IFERROR(INDEX(nombres[],SMALL(IF(OFFSET(nombres[],0,0,ROWS(nombres[]),1)=RC$1490,ROW(OFFSET(nombres[],0,0,ROWS(nombres[]),1))-ROW(OFFSET(nombres[],0,0,1,1))+1,ROW(OFFSET(nombres[],ROWS(nombres[])-1,0,1,1))+1),$O1545:$O1564),3),"")</f>
        <v/>
      </c>
      <c r="RD1545" s="42" t="str">
        <f t="array" aca="1" ref="RD1545" ca="1">IFERROR(INDEX(nombres[],SMALL(IF(OFFSET(nombres[],0,0,ROWS(nombres[]),1)=RD$1490,ROW(OFFSET(nombres[],0,0,ROWS(nombres[]),1))-ROW(OFFSET(nombres[],0,0,1,1))+1,ROW(OFFSET(nombres[],ROWS(nombres[])-1,0,1,1))+1),$O1545:$O1564),3),"")</f>
        <v/>
      </c>
      <c r="RE1545" s="42" t="str">
        <f t="array" aca="1" ref="RE1545" ca="1">IFERROR(INDEX(nombres[],SMALL(IF(OFFSET(nombres[],0,0,ROWS(nombres[]),1)=RE$1490,ROW(OFFSET(nombres[],0,0,ROWS(nombres[]),1))-ROW(OFFSET(nombres[],0,0,1,1))+1,ROW(OFFSET(nombres[],ROWS(nombres[])-1,0,1,1))+1),$O1545:$O1564),3),"")</f>
        <v/>
      </c>
      <c r="RF1545" s="42" t="str">
        <f t="array" aca="1" ref="RF1545" ca="1">IFERROR(INDEX(nombres[],SMALL(IF(OFFSET(nombres[],0,0,ROWS(nombres[]),1)=RF$1490,ROW(OFFSET(nombres[],0,0,ROWS(nombres[]),1))-ROW(OFFSET(nombres[],0,0,1,1))+1,ROW(OFFSET(nombres[],ROWS(nombres[])-1,0,1,1))+1),$O1545:$O1564),3),"")</f>
        <v/>
      </c>
      <c r="RG1545" s="42" t="str">
        <f t="array" aca="1" ref="RG1545" ca="1">IFERROR(INDEX(nombres[],SMALL(IF(OFFSET(nombres[],0,0,ROWS(nombres[]),1)=RG$1490,ROW(OFFSET(nombres[],0,0,ROWS(nombres[]),1))-ROW(OFFSET(nombres[],0,0,1,1))+1,ROW(OFFSET(nombres[],ROWS(nombres[])-1,0,1,1))+1),$O1545:$O1564),3),"")</f>
        <v/>
      </c>
      <c r="RH1545" s="42" t="str">
        <f t="array" aca="1" ref="RH1545" ca="1">IFERROR(INDEX(nombres[],SMALL(IF(OFFSET(nombres[],0,0,ROWS(nombres[]),1)=RH$1490,ROW(OFFSET(nombres[],0,0,ROWS(nombres[]),1))-ROW(OFFSET(nombres[],0,0,1,1))+1,ROW(OFFSET(nombres[],ROWS(nombres[])-1,0,1,1))+1),$O1545:$O1564),3),"")</f>
        <v/>
      </c>
      <c r="RI1545" s="42" t="str">
        <f t="array" aca="1" ref="RI1545" ca="1">IFERROR(INDEX(nombres[],SMALL(IF(OFFSET(nombres[],0,0,ROWS(nombres[]),1)=RI$1490,ROW(OFFSET(nombres[],0,0,ROWS(nombres[]),1))-ROW(OFFSET(nombres[],0,0,1,1))+1,ROW(OFFSET(nombres[],ROWS(nombres[])-1,0,1,1))+1),$O1545:$O1564),3),"")</f>
        <v/>
      </c>
      <c r="RJ1545" s="42" t="str">
        <f t="array" aca="1" ref="RJ1545" ca="1">IFERROR(INDEX(nombres[],SMALL(IF(OFFSET(nombres[],0,0,ROWS(nombres[]),1)=RJ$1490,ROW(OFFSET(nombres[],0,0,ROWS(nombres[]),1))-ROW(OFFSET(nombres[],0,0,1,1))+1,ROW(OFFSET(nombres[],ROWS(nombres[])-1,0,1,1))+1),$O1545:$O1564),3),"")</f>
        <v/>
      </c>
      <c r="RK1545" s="42" t="str">
        <f t="array" aca="1" ref="RK1545" ca="1">IFERROR(INDEX(nombres[],SMALL(IF(OFFSET(nombres[],0,0,ROWS(nombres[]),1)=RK$1490,ROW(OFFSET(nombres[],0,0,ROWS(nombres[]),1))-ROW(OFFSET(nombres[],0,0,1,1))+1,ROW(OFFSET(nombres[],ROWS(nombres[])-1,0,1,1))+1),$O1545:$O1564),3),"")</f>
        <v/>
      </c>
      <c r="RL1545" s="42" t="str">
        <f t="array" aca="1" ref="RL1545" ca="1">IFERROR(INDEX(nombres[],SMALL(IF(OFFSET(nombres[],0,0,ROWS(nombres[]),1)=RL$1490,ROW(OFFSET(nombres[],0,0,ROWS(nombres[]),1))-ROW(OFFSET(nombres[],0,0,1,1))+1,ROW(OFFSET(nombres[],ROWS(nombres[])-1,0,1,1))+1),$O1545:$O1564),3),"")</f>
        <v/>
      </c>
      <c r="RM1545" s="42" t="str">
        <f t="array" aca="1" ref="RM1545" ca="1">IFERROR(INDEX(nombres[],SMALL(IF(OFFSET(nombres[],0,0,ROWS(nombres[]),1)=RM$1490,ROW(OFFSET(nombres[],0,0,ROWS(nombres[]),1))-ROW(OFFSET(nombres[],0,0,1,1))+1,ROW(OFFSET(nombres[],ROWS(nombres[])-1,0,1,1))+1),$O1545:$O1564),3),"")</f>
        <v/>
      </c>
      <c r="RN1545" s="42" t="str">
        <f t="array" aca="1" ref="RN1545" ca="1">IFERROR(INDEX(nombres[],SMALL(IF(OFFSET(nombres[],0,0,ROWS(nombres[]),1)=RN$1490,ROW(OFFSET(nombres[],0,0,ROWS(nombres[]),1))-ROW(OFFSET(nombres[],0,0,1,1))+1,ROW(OFFSET(nombres[],ROWS(nombres[])-1,0,1,1))+1),$O1545:$O1564),3),"")</f>
        <v/>
      </c>
      <c r="RO1545" s="42" t="str">
        <f t="array" aca="1" ref="RO1545" ca="1">IFERROR(INDEX(nombres[],SMALL(IF(OFFSET(nombres[],0,0,ROWS(nombres[]),1)=RO$1490,ROW(OFFSET(nombres[],0,0,ROWS(nombres[]),1))-ROW(OFFSET(nombres[],0,0,1,1))+1,ROW(OFFSET(nombres[],ROWS(nombres[])-1,0,1,1))+1),$O1545:$O1564),3),"")</f>
        <v/>
      </c>
      <c r="RP1545" s="42" t="str">
        <f t="array" aca="1" ref="RP1545" ca="1">IFERROR(INDEX(nombres[],SMALL(IF(OFFSET(nombres[],0,0,ROWS(nombres[]),1)=RP$1490,ROW(OFFSET(nombres[],0,0,ROWS(nombres[]),1))-ROW(OFFSET(nombres[],0,0,1,1))+1,ROW(OFFSET(nombres[],ROWS(nombres[])-1,0,1,1))+1),$O1545:$O1564),3),"")</f>
        <v/>
      </c>
      <c r="RQ1545" s="42" t="str">
        <f t="array" aca="1" ref="RQ1545" ca="1">IFERROR(INDEX(nombres[],SMALL(IF(OFFSET(nombres[],0,0,ROWS(nombres[]),1)=RQ$1490,ROW(OFFSET(nombres[],0,0,ROWS(nombres[]),1))-ROW(OFFSET(nombres[],0,0,1,1))+1,ROW(OFFSET(nombres[],ROWS(nombres[])-1,0,1,1))+1),$O1545:$O1564),3),"")</f>
        <v/>
      </c>
      <c r="RR1545" s="42" t="str">
        <f t="array" aca="1" ref="RR1545" ca="1">IFERROR(INDEX(nombres[],SMALL(IF(OFFSET(nombres[],0,0,ROWS(nombres[]),1)=RR$1490,ROW(OFFSET(nombres[],0,0,ROWS(nombres[]),1))-ROW(OFFSET(nombres[],0,0,1,1))+1,ROW(OFFSET(nombres[],ROWS(nombres[])-1,0,1,1))+1),$O1545:$O1564),3),"")</f>
        <v/>
      </c>
      <c r="RS1545" s="42" t="str">
        <f t="array" aca="1" ref="RS1545" ca="1">IFERROR(INDEX(nombres[],SMALL(IF(OFFSET(nombres[],0,0,ROWS(nombres[]),1)=RS$1490,ROW(OFFSET(nombres[],0,0,ROWS(nombres[]),1))-ROW(OFFSET(nombres[],0,0,1,1))+1,ROW(OFFSET(nombres[],ROWS(nombres[])-1,0,1,1))+1),$O1545:$O1564),3),"")</f>
        <v/>
      </c>
      <c r="RT1545" s="42" t="str">
        <f t="array" aca="1" ref="RT1545" ca="1">IFERROR(INDEX(nombres[],SMALL(IF(OFFSET(nombres[],0,0,ROWS(nombres[]),1)=RT$1490,ROW(OFFSET(nombres[],0,0,ROWS(nombres[]),1))-ROW(OFFSET(nombres[],0,0,1,1))+1,ROW(OFFSET(nombres[],ROWS(nombres[])-1,0,1,1))+1),$O1545:$O1564),3),"")</f>
        <v/>
      </c>
      <c r="RU1545" s="42" t="str">
        <f t="array" aca="1" ref="RU1545" ca="1">IFERROR(INDEX(nombres[],SMALL(IF(OFFSET(nombres[],0,0,ROWS(nombres[]),1)=RU$1490,ROW(OFFSET(nombres[],0,0,ROWS(nombres[]),1))-ROW(OFFSET(nombres[],0,0,1,1))+1,ROW(OFFSET(nombres[],ROWS(nombres[])-1,0,1,1))+1),$O1545:$O1564),3),"")</f>
        <v/>
      </c>
      <c r="RV1545" s="42" t="str">
        <f t="array" aca="1" ref="RV1545" ca="1">IFERROR(INDEX(nombres[],SMALL(IF(OFFSET(nombres[],0,0,ROWS(nombres[]),1)=RV$1490,ROW(OFFSET(nombres[],0,0,ROWS(nombres[]),1))-ROW(OFFSET(nombres[],0,0,1,1))+1,ROW(OFFSET(nombres[],ROWS(nombres[])-1,0,1,1))+1),$O1545:$O1564),3),"")</f>
        <v/>
      </c>
      <c r="RW1545" s="42" t="str">
        <f t="array" aca="1" ref="RW1545" ca="1">IFERROR(INDEX(nombres[],SMALL(IF(OFFSET(nombres[],0,0,ROWS(nombres[]),1)=RW$1490,ROW(OFFSET(nombres[],0,0,ROWS(nombres[]),1))-ROW(OFFSET(nombres[],0,0,1,1))+1,ROW(OFFSET(nombres[],ROWS(nombres[])-1,0,1,1))+1),$O1545:$O1564),3),"")</f>
        <v/>
      </c>
      <c r="RX1545" s="42" t="str">
        <f t="array" aca="1" ref="RX1545" ca="1">IFERROR(INDEX(nombres[],SMALL(IF(OFFSET(nombres[],0,0,ROWS(nombres[]),1)=RX$1490,ROW(OFFSET(nombres[],0,0,ROWS(nombres[]),1))-ROW(OFFSET(nombres[],0,0,1,1))+1,ROW(OFFSET(nombres[],ROWS(nombres[])-1,0,1,1))+1),$O1545:$O1564),3),"")</f>
        <v/>
      </c>
      <c r="RY1545" s="42" t="str">
        <f t="array" aca="1" ref="RY1545" ca="1">IFERROR(INDEX(nombres[],SMALL(IF(OFFSET(nombres[],0,0,ROWS(nombres[]),1)=RY$1490,ROW(OFFSET(nombres[],0,0,ROWS(nombres[]),1))-ROW(OFFSET(nombres[],0,0,1,1))+1,ROW(OFFSET(nombres[],ROWS(nombres[])-1,0,1,1))+1),$O1545:$O1564),3),"")</f>
        <v/>
      </c>
      <c r="RZ1545" s="42" t="str">
        <f t="array" aca="1" ref="RZ1545" ca="1">IFERROR(INDEX(nombres[],SMALL(IF(OFFSET(nombres[],0,0,ROWS(nombres[]),1)=RZ$1490,ROW(OFFSET(nombres[],0,0,ROWS(nombres[]),1))-ROW(OFFSET(nombres[],0,0,1,1))+1,ROW(OFFSET(nombres[],ROWS(nombres[])-1,0,1,1))+1),$O1545:$O1564),3),"")</f>
        <v/>
      </c>
      <c r="SA1545" s="42" t="str">
        <f t="array" aca="1" ref="SA1545" ca="1">IFERROR(INDEX(nombres[],SMALL(IF(OFFSET(nombres[],0,0,ROWS(nombres[]),1)=SA$1490,ROW(OFFSET(nombres[],0,0,ROWS(nombres[]),1))-ROW(OFFSET(nombres[],0,0,1,1))+1,ROW(OFFSET(nombres[],ROWS(nombres[])-1,0,1,1))+1),$O1545:$O1564),3),"")</f>
        <v/>
      </c>
      <c r="SB1545" s="42" t="str">
        <f t="array" aca="1" ref="SB1545" ca="1">IFERROR(INDEX(nombres[],SMALL(IF(OFFSET(nombres[],0,0,ROWS(nombres[]),1)=SB$1490,ROW(OFFSET(nombres[],0,0,ROWS(nombres[]),1))-ROW(OFFSET(nombres[],0,0,1,1))+1,ROW(OFFSET(nombres[],ROWS(nombres[])-1,0,1,1))+1),$O1545:$O1564),3),"")</f>
        <v/>
      </c>
      <c r="SC1545" s="42" t="str">
        <f t="array" aca="1" ref="SC1545" ca="1">IFERROR(INDEX(nombres[],SMALL(IF(OFFSET(nombres[],0,0,ROWS(nombres[]),1)=SC$1490,ROW(OFFSET(nombres[],0,0,ROWS(nombres[]),1))-ROW(OFFSET(nombres[],0,0,1,1))+1,ROW(OFFSET(nombres[],ROWS(nombres[])-1,0,1,1))+1),$O1545:$O1564),3),"")</f>
        <v/>
      </c>
      <c r="SD1545" s="42" t="str">
        <f t="array" aca="1" ref="SD1545" ca="1">IFERROR(INDEX(nombres[],SMALL(IF(OFFSET(nombres[],0,0,ROWS(nombres[]),1)=SD$1490,ROW(OFFSET(nombres[],0,0,ROWS(nombres[]),1))-ROW(OFFSET(nombres[],0,0,1,1))+1,ROW(OFFSET(nombres[],ROWS(nombres[])-1,0,1,1))+1),$O1545:$O1564),3),"")</f>
        <v/>
      </c>
      <c r="SE1545" s="42" t="str">
        <f t="array" aca="1" ref="SE1545" ca="1">IFERROR(INDEX(nombres[],SMALL(IF(OFFSET(nombres[],0,0,ROWS(nombres[]),1)=SE$1490,ROW(OFFSET(nombres[],0,0,ROWS(nombres[]),1))-ROW(OFFSET(nombres[],0,0,1,1))+1,ROW(OFFSET(nombres[],ROWS(nombres[])-1,0,1,1))+1),$O1545:$O1564),3),"")</f>
        <v/>
      </c>
      <c r="SF1545" s="42" t="str">
        <f t="array" aca="1" ref="SF1545" ca="1">IFERROR(INDEX(nombres[],SMALL(IF(OFFSET(nombres[],0,0,ROWS(nombres[]),1)=SF$1490,ROW(OFFSET(nombres[],0,0,ROWS(nombres[]),1))-ROW(OFFSET(nombres[],0,0,1,1))+1,ROW(OFFSET(nombres[],ROWS(nombres[])-1,0,1,1))+1),$O1545:$O1564),3),"")</f>
        <v/>
      </c>
      <c r="SG1545" s="42" t="str">
        <f t="array" aca="1" ref="SG1545" ca="1">IFERROR(INDEX(nombres[],SMALL(IF(OFFSET(nombres[],0,0,ROWS(nombres[]),1)=SG$1490,ROW(OFFSET(nombres[],0,0,ROWS(nombres[]),1))-ROW(OFFSET(nombres[],0,0,1,1))+1,ROW(OFFSET(nombres[],ROWS(nombres[])-1,0,1,1))+1),$O1545:$O1564),3),"")</f>
        <v/>
      </c>
      <c r="SH1545" s="42" t="str">
        <f t="array" aca="1" ref="SH1545" ca="1">IFERROR(INDEX(nombres[],SMALL(IF(OFFSET(nombres[],0,0,ROWS(nombres[]),1)=SH$1490,ROW(OFFSET(nombres[],0,0,ROWS(nombres[]),1))-ROW(OFFSET(nombres[],0,0,1,1))+1,ROW(OFFSET(nombres[],ROWS(nombres[])-1,0,1,1))+1),$O1545:$O1564),3),"")</f>
        <v/>
      </c>
      <c r="SI1545" s="42" t="str">
        <f t="array" aca="1" ref="SI1545" ca="1">IFERROR(INDEX(nombres[],SMALL(IF(OFFSET(nombres[],0,0,ROWS(nombres[]),1)=SI$1490,ROW(OFFSET(nombres[],0,0,ROWS(nombres[]),1))-ROW(OFFSET(nombres[],0,0,1,1))+1,ROW(OFFSET(nombres[],ROWS(nombres[])-1,0,1,1))+1),$O1545:$O1564),3),"")</f>
        <v/>
      </c>
      <c r="SJ1545" s="42" t="str">
        <f t="array" aca="1" ref="SJ1545" ca="1">IFERROR(INDEX(nombres[],SMALL(IF(OFFSET(nombres[],0,0,ROWS(nombres[]),1)=SJ$1490,ROW(OFFSET(nombres[],0,0,ROWS(nombres[]),1))-ROW(OFFSET(nombres[],0,0,1,1))+1,ROW(OFFSET(nombres[],ROWS(nombres[])-1,0,1,1))+1),$O1545:$O1564),3),"")</f>
        <v/>
      </c>
      <c r="SK1545" s="42" t="str">
        <f t="array" aca="1" ref="SK1545" ca="1">IFERROR(INDEX(nombres[],SMALL(IF(OFFSET(nombres[],0,0,ROWS(nombres[]),1)=SK$1490,ROW(OFFSET(nombres[],0,0,ROWS(nombres[]),1))-ROW(OFFSET(nombres[],0,0,1,1))+1,ROW(OFFSET(nombres[],ROWS(nombres[])-1,0,1,1))+1),$O1545:$O1564),3),"")</f>
        <v/>
      </c>
      <c r="SL1545" s="42" t="str">
        <f t="array" aca="1" ref="SL1545" ca="1">IFERROR(INDEX(nombres[],SMALL(IF(OFFSET(nombres[],0,0,ROWS(nombres[]),1)=SL$1490,ROW(OFFSET(nombres[],0,0,ROWS(nombres[]),1))-ROW(OFFSET(nombres[],0,0,1,1))+1,ROW(OFFSET(nombres[],ROWS(nombres[])-1,0,1,1))+1),$O1545:$O1564),3),"")</f>
        <v/>
      </c>
      <c r="SM1545" s="42" t="str">
        <f t="array" aca="1" ref="SM1545" ca="1">IFERROR(INDEX(nombres[],SMALL(IF(OFFSET(nombres[],0,0,ROWS(nombres[]),1)=SM$1490,ROW(OFFSET(nombres[],0,0,ROWS(nombres[]),1))-ROW(OFFSET(nombres[],0,0,1,1))+1,ROW(OFFSET(nombres[],ROWS(nombres[])-1,0,1,1))+1),$O1545:$O1564),3),"")</f>
        <v/>
      </c>
      <c r="SN1545" s="42" t="str">
        <f t="array" aca="1" ref="SN1545" ca="1">IFERROR(INDEX(nombres[],SMALL(IF(OFFSET(nombres[],0,0,ROWS(nombres[]),1)=SN$1490,ROW(OFFSET(nombres[],0,0,ROWS(nombres[]),1))-ROW(OFFSET(nombres[],0,0,1,1))+1,ROW(OFFSET(nombres[],ROWS(nombres[])-1,0,1,1))+1),$O1545:$O1564),3),"")</f>
        <v/>
      </c>
      <c r="SO1545" s="42" t="str">
        <f t="array" aca="1" ref="SO1545" ca="1">IFERROR(INDEX(nombres[],SMALL(IF(OFFSET(nombres[],0,0,ROWS(nombres[]),1)=SO$1490,ROW(OFFSET(nombres[],0,0,ROWS(nombres[]),1))-ROW(OFFSET(nombres[],0,0,1,1))+1,ROW(OFFSET(nombres[],ROWS(nombres[])-1,0,1,1))+1),$O1545:$O1564),3),"")</f>
        <v/>
      </c>
      <c r="SP1545" s="42" t="str">
        <f t="array" aca="1" ref="SP1545" ca="1">IFERROR(INDEX(nombres[],SMALL(IF(OFFSET(nombres[],0,0,ROWS(nombres[]),1)=SP$1490,ROW(OFFSET(nombres[],0,0,ROWS(nombres[]),1))-ROW(OFFSET(nombres[],0,0,1,1))+1,ROW(OFFSET(nombres[],ROWS(nombres[])-1,0,1,1))+1),$O1545:$O1564),3),"")</f>
        <v/>
      </c>
      <c r="SQ1545" s="42" t="str">
        <f t="array" aca="1" ref="SQ1545" ca="1">IFERROR(INDEX(nombres[],SMALL(IF(OFFSET(nombres[],0,0,ROWS(nombres[]),1)=SQ$1490,ROW(OFFSET(nombres[],0,0,ROWS(nombres[]),1))-ROW(OFFSET(nombres[],0,0,1,1))+1,ROW(OFFSET(nombres[],ROWS(nombres[])-1,0,1,1))+1),$O1545:$O1564),3),"")</f>
        <v/>
      </c>
      <c r="SR1545" s="42" t="str">
        <f t="array" aca="1" ref="SR1545" ca="1">IFERROR(INDEX(nombres[],SMALL(IF(OFFSET(nombres[],0,0,ROWS(nombres[]),1)=SR$1490,ROW(OFFSET(nombres[],0,0,ROWS(nombres[]),1))-ROW(OFFSET(nombres[],0,0,1,1))+1,ROW(OFFSET(nombres[],ROWS(nombres[])-1,0,1,1))+1),$O1545:$O1564),3),"")</f>
        <v/>
      </c>
      <c r="SS1545" s="42" t="str">
        <f t="array" aca="1" ref="SS1545" ca="1">IFERROR(INDEX(nombres[],SMALL(IF(OFFSET(nombres[],0,0,ROWS(nombres[]),1)=SS$1490,ROW(OFFSET(nombres[],0,0,ROWS(nombres[]),1))-ROW(OFFSET(nombres[],0,0,1,1))+1,ROW(OFFSET(nombres[],ROWS(nombres[])-1,0,1,1))+1),$O1545:$O1564),3),"")</f>
        <v/>
      </c>
      <c r="ST1545" s="42" t="str">
        <f t="array" aca="1" ref="ST1545" ca="1">IFERROR(INDEX(nombres[],SMALL(IF(OFFSET(nombres[],0,0,ROWS(nombres[]),1)=ST$1490,ROW(OFFSET(nombres[],0,0,ROWS(nombres[]),1))-ROW(OFFSET(nombres[],0,0,1,1))+1,ROW(OFFSET(nombres[],ROWS(nombres[])-1,0,1,1))+1),$O1545:$O1564),3),"")</f>
        <v/>
      </c>
      <c r="SU1545" s="42" t="str">
        <f t="array" aca="1" ref="SU1545" ca="1">IFERROR(INDEX(nombres[],SMALL(IF(OFFSET(nombres[],0,0,ROWS(nombres[]),1)=SU$1490,ROW(OFFSET(nombres[],0,0,ROWS(nombres[]),1))-ROW(OFFSET(nombres[],0,0,1,1))+1,ROW(OFFSET(nombres[],ROWS(nombres[])-1,0,1,1))+1),$O1545:$O1564),3),"")</f>
        <v/>
      </c>
      <c r="SV1545" s="42" t="str">
        <f t="array" aca="1" ref="SV1545" ca="1">IFERROR(INDEX(nombres[],SMALL(IF(OFFSET(nombres[],0,0,ROWS(nombres[]),1)=SV$1490,ROW(OFFSET(nombres[],0,0,ROWS(nombres[]),1))-ROW(OFFSET(nombres[],0,0,1,1))+1,ROW(OFFSET(nombres[],ROWS(nombres[])-1,0,1,1))+1),$O1545:$O1564),3),"")</f>
        <v/>
      </c>
      <c r="SW1545" s="42" t="str">
        <f t="array" aca="1" ref="SW1545" ca="1">IFERROR(INDEX(nombres[],SMALL(IF(OFFSET(nombres[],0,0,ROWS(nombres[]),1)=SW$1490,ROW(OFFSET(nombres[],0,0,ROWS(nombres[]),1))-ROW(OFFSET(nombres[],0,0,1,1))+1,ROW(OFFSET(nombres[],ROWS(nombres[])-1,0,1,1))+1),$O1545:$O1564),3),"")</f>
        <v/>
      </c>
      <c r="SX1545" s="42" t="str">
        <f t="array" aca="1" ref="SX1545" ca="1">IFERROR(INDEX(nombres[],SMALL(IF(OFFSET(nombres[],0,0,ROWS(nombres[]),1)=SX$1490,ROW(OFFSET(nombres[],0,0,ROWS(nombres[]),1))-ROW(OFFSET(nombres[],0,0,1,1))+1,ROW(OFFSET(nombres[],ROWS(nombres[])-1,0,1,1))+1),$O1545:$O1564),3),"")</f>
        <v/>
      </c>
      <c r="SY1545" s="42" t="str">
        <f t="array" aca="1" ref="SY1545" ca="1">IFERROR(INDEX(nombres[],SMALL(IF(OFFSET(nombres[],0,0,ROWS(nombres[]),1)=SY$1490,ROW(OFFSET(nombres[],0,0,ROWS(nombres[]),1))-ROW(OFFSET(nombres[],0,0,1,1))+1,ROW(OFFSET(nombres[],ROWS(nombres[])-1,0,1,1))+1),$O1545:$O1564),3),"")</f>
        <v/>
      </c>
      <c r="SZ1545" s="42" t="str">
        <f t="array" aca="1" ref="SZ1545" ca="1">IFERROR(INDEX(nombres[],SMALL(IF(OFFSET(nombres[],0,0,ROWS(nombres[]),1)=SZ$1490,ROW(OFFSET(nombres[],0,0,ROWS(nombres[]),1))-ROW(OFFSET(nombres[],0,0,1,1))+1,ROW(OFFSET(nombres[],ROWS(nombres[])-1,0,1,1))+1),$O1545:$O1564),3),"")</f>
        <v/>
      </c>
      <c r="TA1545" s="42" t="str">
        <f t="array" aca="1" ref="TA1545" ca="1">IFERROR(INDEX(nombres[],SMALL(IF(OFFSET(nombres[],0,0,ROWS(nombres[]),1)=TA$1490,ROW(OFFSET(nombres[],0,0,ROWS(nombres[]),1))-ROW(OFFSET(nombres[],0,0,1,1))+1,ROW(OFFSET(nombres[],ROWS(nombres[])-1,0,1,1))+1),$O1545:$O1564),3),"")</f>
        <v/>
      </c>
      <c r="TB1545" s="42" t="str">
        <f t="array" aca="1" ref="TB1545" ca="1">IFERROR(INDEX(nombres[],SMALL(IF(OFFSET(nombres[],0,0,ROWS(nombres[]),1)=TB$1490,ROW(OFFSET(nombres[],0,0,ROWS(nombres[]),1))-ROW(OFFSET(nombres[],0,0,1,1))+1,ROW(OFFSET(nombres[],ROWS(nombres[])-1,0,1,1))+1),$O1545:$O1564),3),"")</f>
        <v/>
      </c>
      <c r="TC1545" s="42" t="str">
        <f t="array" aca="1" ref="TC1545" ca="1">IFERROR(INDEX(nombres[],SMALL(IF(OFFSET(nombres[],0,0,ROWS(nombres[]),1)=TC$1490,ROW(OFFSET(nombres[],0,0,ROWS(nombres[]),1))-ROW(OFFSET(nombres[],0,0,1,1))+1,ROW(OFFSET(nombres[],ROWS(nombres[])-1,0,1,1))+1),$O1545:$O1564),3),"")</f>
        <v/>
      </c>
      <c r="TD1545" s="42" t="str">
        <f t="array" aca="1" ref="TD1545" ca="1">IFERROR(INDEX(nombres[],SMALL(IF(OFFSET(nombres[],0,0,ROWS(nombres[]),1)=TD$1490,ROW(OFFSET(nombres[],0,0,ROWS(nombres[]),1))-ROW(OFFSET(nombres[],0,0,1,1))+1,ROW(OFFSET(nombres[],ROWS(nombres[])-1,0,1,1))+1),$O1545:$O1564),3),"")</f>
        <v/>
      </c>
      <c r="TE1545" s="42" t="str">
        <f t="array" aca="1" ref="TE1545" ca="1">IFERROR(INDEX(nombres[],SMALL(IF(OFFSET(nombres[],0,0,ROWS(nombres[]),1)=TE$1490,ROW(OFFSET(nombres[],0,0,ROWS(nombres[]),1))-ROW(OFFSET(nombres[],0,0,1,1))+1,ROW(OFFSET(nombres[],ROWS(nombres[])-1,0,1,1))+1),$O1545:$O1564),3),"")</f>
        <v/>
      </c>
      <c r="TF1545" s="42" t="str">
        <f t="array" aca="1" ref="TF1545" ca="1">IFERROR(INDEX(nombres[],SMALL(IF(OFFSET(nombres[],0,0,ROWS(nombres[]),1)=TF$1490,ROW(OFFSET(nombres[],0,0,ROWS(nombres[]),1))-ROW(OFFSET(nombres[],0,0,1,1))+1,ROW(OFFSET(nombres[],ROWS(nombres[])-1,0,1,1))+1),$O1545:$O1564),3),"")</f>
        <v/>
      </c>
      <c r="TG1545" s="42" t="str">
        <f t="array" aca="1" ref="TG1545" ca="1">IFERROR(INDEX(nombres[],SMALL(IF(OFFSET(nombres[],0,0,ROWS(nombres[]),1)=TG$1490,ROW(OFFSET(nombres[],0,0,ROWS(nombres[]),1))-ROW(OFFSET(nombres[],0,0,1,1))+1,ROW(OFFSET(nombres[],ROWS(nombres[])-1,0,1,1))+1),$O1545:$O1564),3),"")</f>
        <v/>
      </c>
      <c r="TH1545" s="42" t="str">
        <f t="array" aca="1" ref="TH1545" ca="1">IFERROR(INDEX(nombres[],SMALL(IF(OFFSET(nombres[],0,0,ROWS(nombres[]),1)=TH$1490,ROW(OFFSET(nombres[],0,0,ROWS(nombres[]),1))-ROW(OFFSET(nombres[],0,0,1,1))+1,ROW(OFFSET(nombres[],ROWS(nombres[])-1,0,1,1))+1),$O1545:$O1564),3),"")</f>
        <v/>
      </c>
      <c r="TI1545" s="42" t="str">
        <f t="array" aca="1" ref="TI1545" ca="1">IFERROR(INDEX(nombres[],SMALL(IF(OFFSET(nombres[],0,0,ROWS(nombres[]),1)=TI$1490,ROW(OFFSET(nombres[],0,0,ROWS(nombres[]),1))-ROW(OFFSET(nombres[],0,0,1,1))+1,ROW(OFFSET(nombres[],ROWS(nombres[])-1,0,1,1))+1),$O1545:$O1564),3),"")</f>
        <v/>
      </c>
      <c r="TJ1545" s="42" t="str">
        <f t="array" aca="1" ref="TJ1545" ca="1">IFERROR(INDEX(nombres[],SMALL(IF(OFFSET(nombres[],0,0,ROWS(nombres[]),1)=TJ$1490,ROW(OFFSET(nombres[],0,0,ROWS(nombres[]),1))-ROW(OFFSET(nombres[],0,0,1,1))+1,ROW(OFFSET(nombres[],ROWS(nombres[])-1,0,1,1))+1),$O1545:$O1564),3),"")</f>
        <v/>
      </c>
      <c r="TK1545" s="42" t="str">
        <f t="array" aca="1" ref="TK1545" ca="1">IFERROR(INDEX(nombres[],SMALL(IF(OFFSET(nombres[],0,0,ROWS(nombres[]),1)=TK$1490,ROW(OFFSET(nombres[],0,0,ROWS(nombres[]),1))-ROW(OFFSET(nombres[],0,0,1,1))+1,ROW(OFFSET(nombres[],ROWS(nombres[])-1,0,1,1))+1),$O1545:$O1564),3),"")</f>
        <v/>
      </c>
      <c r="TL1545" s="42" t="str">
        <f t="array" aca="1" ref="TL1545" ca="1">IFERROR(INDEX(nombres[],SMALL(IF(OFFSET(nombres[],0,0,ROWS(nombres[]),1)=TL$1490,ROW(OFFSET(nombres[],0,0,ROWS(nombres[]),1))-ROW(OFFSET(nombres[],0,0,1,1))+1,ROW(OFFSET(nombres[],ROWS(nombres[])-1,0,1,1))+1),$O1545:$O1564),3),"")</f>
        <v/>
      </c>
      <c r="TM1545" s="42" t="str">
        <f t="array" aca="1" ref="TM1545" ca="1">IFERROR(INDEX(nombres[],SMALL(IF(OFFSET(nombres[],0,0,ROWS(nombres[]),1)=TM$1490,ROW(OFFSET(nombres[],0,0,ROWS(nombres[]),1))-ROW(OFFSET(nombres[],0,0,1,1))+1,ROW(OFFSET(nombres[],ROWS(nombres[])-1,0,1,1))+1),$O1545:$O1564),3),"")</f>
        <v/>
      </c>
      <c r="TN1545" s="42" t="str">
        <f t="array" aca="1" ref="TN1545" ca="1">IFERROR(INDEX(nombres[],SMALL(IF(OFFSET(nombres[],0,0,ROWS(nombres[]),1)=TN$1490,ROW(OFFSET(nombres[],0,0,ROWS(nombres[]),1))-ROW(OFFSET(nombres[],0,0,1,1))+1,ROW(OFFSET(nombres[],ROWS(nombres[])-1,0,1,1))+1),$O1545:$O1564),3),"")</f>
        <v/>
      </c>
      <c r="TO1545" s="42" t="str">
        <f t="array" aca="1" ref="TO1545" ca="1">IFERROR(INDEX(nombres[],SMALL(IF(OFFSET(nombres[],0,0,ROWS(nombres[]),1)=TO$1490,ROW(OFFSET(nombres[],0,0,ROWS(nombres[]),1))-ROW(OFFSET(nombres[],0,0,1,1))+1,ROW(OFFSET(nombres[],ROWS(nombres[])-1,0,1,1))+1),$O1545:$O1564),3),"")</f>
        <v/>
      </c>
      <c r="TP1545" s="42" t="str">
        <f t="array" aca="1" ref="TP1545" ca="1">IFERROR(INDEX(nombres[],SMALL(IF(OFFSET(nombres[],0,0,ROWS(nombres[]),1)=TP$1490,ROW(OFFSET(nombres[],0,0,ROWS(nombres[]),1))-ROW(OFFSET(nombres[],0,0,1,1))+1,ROW(OFFSET(nombres[],ROWS(nombres[])-1,0,1,1))+1),$O1545:$O1564),3),"")</f>
        <v/>
      </c>
      <c r="TQ1545" s="42" t="str">
        <f t="array" aca="1" ref="TQ1545" ca="1">IFERROR(INDEX(nombres[],SMALL(IF(OFFSET(nombres[],0,0,ROWS(nombres[]),1)=TQ$1490,ROW(OFFSET(nombres[],0,0,ROWS(nombres[]),1))-ROW(OFFSET(nombres[],0,0,1,1))+1,ROW(OFFSET(nombres[],ROWS(nombres[])-1,0,1,1))+1),$O1545:$O1564),3),"")</f>
        <v/>
      </c>
      <c r="TR1545" s="42" t="str">
        <f t="array" aca="1" ref="TR1545" ca="1">IFERROR(INDEX(nombres[],SMALL(IF(OFFSET(nombres[],0,0,ROWS(nombres[]),1)=TR$1490,ROW(OFFSET(nombres[],0,0,ROWS(nombres[]),1))-ROW(OFFSET(nombres[],0,0,1,1))+1,ROW(OFFSET(nombres[],ROWS(nombres[])-1,0,1,1))+1),$O1545:$O1564),3),"")</f>
        <v/>
      </c>
      <c r="TS1545" s="42" t="str">
        <f t="array" aca="1" ref="TS1545" ca="1">IFERROR(INDEX(nombres[],SMALL(IF(OFFSET(nombres[],0,0,ROWS(nombres[]),1)=TS$1490,ROW(OFFSET(nombres[],0,0,ROWS(nombres[]),1))-ROW(OFFSET(nombres[],0,0,1,1))+1,ROW(OFFSET(nombres[],ROWS(nombres[])-1,0,1,1))+1),$O1545:$O1564),3),"")</f>
        <v/>
      </c>
      <c r="TT1545" s="42" t="str">
        <f t="array" aca="1" ref="TT1545" ca="1">IFERROR(INDEX(nombres[],SMALL(IF(OFFSET(nombres[],0,0,ROWS(nombres[]),1)=TT$1490,ROW(OFFSET(nombres[],0,0,ROWS(nombres[]),1))-ROW(OFFSET(nombres[],0,0,1,1))+1,ROW(OFFSET(nombres[],ROWS(nombres[])-1,0,1,1))+1),$O1545:$O1564),3),"")</f>
        <v/>
      </c>
      <c r="TU1545" s="42" t="str">
        <f t="array" aca="1" ref="TU1545" ca="1">IFERROR(INDEX(nombres[],SMALL(IF(OFFSET(nombres[],0,0,ROWS(nombres[]),1)=TU$1490,ROW(OFFSET(nombres[],0,0,ROWS(nombres[]),1))-ROW(OFFSET(nombres[],0,0,1,1))+1,ROW(OFFSET(nombres[],ROWS(nombres[])-1,0,1,1))+1),$O1545:$O1564),3),"")</f>
        <v/>
      </c>
      <c r="TV1545" s="42" t="str">
        <f t="array" aca="1" ref="TV1545" ca="1">IFERROR(INDEX(nombres[],SMALL(IF(OFFSET(nombres[],0,0,ROWS(nombres[]),1)=TV$1490,ROW(OFFSET(nombres[],0,0,ROWS(nombres[]),1))-ROW(OFFSET(nombres[],0,0,1,1))+1,ROW(OFFSET(nombres[],ROWS(nombres[])-1,0,1,1))+1),$O1545:$O1564),3),"")</f>
        <v/>
      </c>
      <c r="TW1545" s="42" t="str">
        <f t="array" aca="1" ref="TW1545" ca="1">IFERROR(INDEX(nombres[],SMALL(IF(OFFSET(nombres[],0,0,ROWS(nombres[]),1)=TW$1490,ROW(OFFSET(nombres[],0,0,ROWS(nombres[]),1))-ROW(OFFSET(nombres[],0,0,1,1))+1,ROW(OFFSET(nombres[],ROWS(nombres[])-1,0,1,1))+1),$O1545:$O1564),3),"")</f>
        <v/>
      </c>
      <c r="TX1545" s="42" t="str">
        <f t="array" aca="1" ref="TX1545" ca="1">IFERROR(INDEX(nombres[],SMALL(IF(OFFSET(nombres[],0,0,ROWS(nombres[]),1)=TX$1490,ROW(OFFSET(nombres[],0,0,ROWS(nombres[]),1))-ROW(OFFSET(nombres[],0,0,1,1))+1,ROW(OFFSET(nombres[],ROWS(nombres[])-1,0,1,1))+1),$O1545:$O1564),3),"")</f>
        <v/>
      </c>
      <c r="TY1545" s="42" t="str">
        <f t="array" aca="1" ref="TY1545" ca="1">IFERROR(INDEX(nombres[],SMALL(IF(OFFSET(nombres[],0,0,ROWS(nombres[]),1)=TY$1490,ROW(OFFSET(nombres[],0,0,ROWS(nombres[]),1))-ROW(OFFSET(nombres[],0,0,1,1))+1,ROW(OFFSET(nombres[],ROWS(nombres[])-1,0,1,1))+1),$O1545:$O1564),3),"")</f>
        <v/>
      </c>
      <c r="TZ1545" s="42" t="str">
        <f t="array" aca="1" ref="TZ1545" ca="1">IFERROR(INDEX(nombres[],SMALL(IF(OFFSET(nombres[],0,0,ROWS(nombres[]),1)=TZ$1490,ROW(OFFSET(nombres[],0,0,ROWS(nombres[]),1))-ROW(OFFSET(nombres[],0,0,1,1))+1,ROW(OFFSET(nombres[],ROWS(nombres[])-1,0,1,1))+1),$O1545:$O1564),3),"")</f>
        <v/>
      </c>
      <c r="UA1545" s="42" t="str">
        <f t="array" aca="1" ref="UA1545" ca="1">IFERROR(INDEX(nombres[],SMALL(IF(OFFSET(nombres[],0,0,ROWS(nombres[]),1)=UA$1490,ROW(OFFSET(nombres[],0,0,ROWS(nombres[]),1))-ROW(OFFSET(nombres[],0,0,1,1))+1,ROW(OFFSET(nombres[],ROWS(nombres[])-1,0,1,1))+1),$O1545:$O1564),3),"")</f>
        <v/>
      </c>
      <c r="UB1545" s="42" t="str">
        <f t="array" aca="1" ref="UB1545" ca="1">IFERROR(INDEX(nombres[],SMALL(IF(OFFSET(nombres[],0,0,ROWS(nombres[]),1)=UB$1490,ROW(OFFSET(nombres[],0,0,ROWS(nombres[]),1))-ROW(OFFSET(nombres[],0,0,1,1))+1,ROW(OFFSET(nombres[],ROWS(nombres[])-1,0,1,1))+1),$O1545:$O1564),3),"")</f>
        <v/>
      </c>
      <c r="UC1545" s="42" t="str">
        <f t="array" aca="1" ref="UC1545" ca="1">IFERROR(INDEX(nombres[],SMALL(IF(OFFSET(nombres[],0,0,ROWS(nombres[]),1)=UC$1490,ROW(OFFSET(nombres[],0,0,ROWS(nombres[]),1))-ROW(OFFSET(nombres[],0,0,1,1))+1,ROW(OFFSET(nombres[],ROWS(nombres[])-1,0,1,1))+1),$O1545:$O1564),3),"")</f>
        <v/>
      </c>
      <c r="UD1545" s="42" t="str">
        <f t="array" aca="1" ref="UD1545" ca="1">IFERROR(INDEX(nombres[],SMALL(IF(OFFSET(nombres[],0,0,ROWS(nombres[]),1)=UD$1490,ROW(OFFSET(nombres[],0,0,ROWS(nombres[]),1))-ROW(OFFSET(nombres[],0,0,1,1))+1,ROW(OFFSET(nombres[],ROWS(nombres[])-1,0,1,1))+1),$O1545:$O1564),3),"")</f>
        <v/>
      </c>
      <c r="UE1545" s="42" t="str">
        <f t="array" aca="1" ref="UE1545" ca="1">IFERROR(INDEX(nombres[],SMALL(IF(OFFSET(nombres[],0,0,ROWS(nombres[]),1)=UE$1490,ROW(OFFSET(nombres[],0,0,ROWS(nombres[]),1))-ROW(OFFSET(nombres[],0,0,1,1))+1,ROW(OFFSET(nombres[],ROWS(nombres[])-1,0,1,1))+1),$O1545:$O1564),3),"")</f>
        <v/>
      </c>
      <c r="UF1545" s="42" t="str">
        <f t="array" aca="1" ref="UF1545" ca="1">IFERROR(INDEX(nombres[],SMALL(IF(OFFSET(nombres[],0,0,ROWS(nombres[]),1)=UF$1490,ROW(OFFSET(nombres[],0,0,ROWS(nombres[]),1))-ROW(OFFSET(nombres[],0,0,1,1))+1,ROW(OFFSET(nombres[],ROWS(nombres[])-1,0,1,1))+1),$O1545:$O1564),3),"")</f>
        <v/>
      </c>
      <c r="UG1545" s="42" t="str">
        <f t="array" aca="1" ref="UG1545" ca="1">IFERROR(INDEX(nombres[],SMALL(IF(OFFSET(nombres[],0,0,ROWS(nombres[]),1)=UG$1490,ROW(OFFSET(nombres[],0,0,ROWS(nombres[]),1))-ROW(OFFSET(nombres[],0,0,1,1))+1,ROW(OFFSET(nombres[],ROWS(nombres[])-1,0,1,1))+1),$O1545:$O1564),3),"")</f>
        <v/>
      </c>
      <c r="UH1545" s="42" t="str">
        <f t="array" aca="1" ref="UH1545" ca="1">IFERROR(INDEX(nombres[],SMALL(IF(OFFSET(nombres[],0,0,ROWS(nombres[]),1)=UH$1490,ROW(OFFSET(nombres[],0,0,ROWS(nombres[]),1))-ROW(OFFSET(nombres[],0,0,1,1))+1,ROW(OFFSET(nombres[],ROWS(nombres[])-1,0,1,1))+1),$O1545:$O1564),3),"")</f>
        <v/>
      </c>
      <c r="UI1545" s="42" t="str">
        <f t="array" aca="1" ref="UI1545" ca="1">IFERROR(INDEX(nombres[],SMALL(IF(OFFSET(nombres[],0,0,ROWS(nombres[]),1)=UI$1490,ROW(OFFSET(nombres[],0,0,ROWS(nombres[]),1))-ROW(OFFSET(nombres[],0,0,1,1))+1,ROW(OFFSET(nombres[],ROWS(nombres[])-1,0,1,1))+1),$O1545:$O1564),3),"")</f>
        <v/>
      </c>
      <c r="UJ1545" s="42" t="str">
        <f t="array" aca="1" ref="UJ1545" ca="1">IFERROR(INDEX(nombres[],SMALL(IF(OFFSET(nombres[],0,0,ROWS(nombres[]),1)=UJ$1490,ROW(OFFSET(nombres[],0,0,ROWS(nombres[]),1))-ROW(OFFSET(nombres[],0,0,1,1))+1,ROW(OFFSET(nombres[],ROWS(nombres[])-1,0,1,1))+1),$O1545:$O1564),3),"")</f>
        <v/>
      </c>
      <c r="UK1545" s="42" t="str">
        <f t="array" aca="1" ref="UK1545" ca="1">IFERROR(INDEX(nombres[],SMALL(IF(OFFSET(nombres[],0,0,ROWS(nombres[]),1)=UK$1490,ROW(OFFSET(nombres[],0,0,ROWS(nombres[]),1))-ROW(OFFSET(nombres[],0,0,1,1))+1,ROW(OFFSET(nombres[],ROWS(nombres[])-1,0,1,1))+1),$O1545:$O1564),3),"")</f>
        <v/>
      </c>
      <c r="UL1545" s="42" t="str">
        <f t="array" aca="1" ref="UL1545" ca="1">IFERROR(INDEX(nombres[],SMALL(IF(OFFSET(nombres[],0,0,ROWS(nombres[]),1)=UL$1490,ROW(OFFSET(nombres[],0,0,ROWS(nombres[]),1))-ROW(OFFSET(nombres[],0,0,1,1))+1,ROW(OFFSET(nombres[],ROWS(nombres[])-1,0,1,1))+1),$O1545:$O1564),3),"")</f>
        <v/>
      </c>
      <c r="UM1545" s="42" t="str">
        <f t="array" aca="1" ref="UM1545" ca="1">IFERROR(INDEX(nombres[],SMALL(IF(OFFSET(nombres[],0,0,ROWS(nombres[]),1)=UM$1490,ROW(OFFSET(nombres[],0,0,ROWS(nombres[]),1))-ROW(OFFSET(nombres[],0,0,1,1))+1,ROW(OFFSET(nombres[],ROWS(nombres[])-1,0,1,1))+1),$O1545:$O1564),3),"")</f>
        <v/>
      </c>
      <c r="UN1545" s="42" t="str">
        <f t="array" aca="1" ref="UN1545" ca="1">IFERROR(INDEX(nombres[],SMALL(IF(OFFSET(nombres[],0,0,ROWS(nombres[]),1)=UN$1490,ROW(OFFSET(nombres[],0,0,ROWS(nombres[]),1))-ROW(OFFSET(nombres[],0,0,1,1))+1,ROW(OFFSET(nombres[],ROWS(nombres[])-1,0,1,1))+1),$O1545:$O1564),3),"")</f>
        <v/>
      </c>
      <c r="UO1545" s="42" t="str">
        <f t="array" aca="1" ref="UO1545" ca="1">IFERROR(INDEX(nombres[],SMALL(IF(OFFSET(nombres[],0,0,ROWS(nombres[]),1)=UO$1490,ROW(OFFSET(nombres[],0,0,ROWS(nombres[]),1))-ROW(OFFSET(nombres[],0,0,1,1))+1,ROW(OFFSET(nombres[],ROWS(nombres[])-1,0,1,1))+1),$O1545:$O1564),3),"")</f>
        <v/>
      </c>
      <c r="UP1545" s="42" t="str">
        <f t="array" aca="1" ref="UP1545" ca="1">IFERROR(INDEX(nombres[],SMALL(IF(OFFSET(nombres[],0,0,ROWS(nombres[]),1)=UP$1490,ROW(OFFSET(nombres[],0,0,ROWS(nombres[]),1))-ROW(OFFSET(nombres[],0,0,1,1))+1,ROW(OFFSET(nombres[],ROWS(nombres[])-1,0,1,1))+1),$O1545:$O1564),3),"")</f>
        <v/>
      </c>
      <c r="UQ1545" s="42" t="str">
        <f t="array" aca="1" ref="UQ1545" ca="1">IFERROR(INDEX(nombres[],SMALL(IF(OFFSET(nombres[],0,0,ROWS(nombres[]),1)=UQ$1490,ROW(OFFSET(nombres[],0,0,ROWS(nombres[]),1))-ROW(OFFSET(nombres[],0,0,1,1))+1,ROW(OFFSET(nombres[],ROWS(nombres[])-1,0,1,1))+1),$O1545:$O1564),3),"")</f>
        <v/>
      </c>
      <c r="UR1545" s="42" t="str">
        <f t="array" aca="1" ref="UR1545" ca="1">IFERROR(INDEX(nombres[],SMALL(IF(OFFSET(nombres[],0,0,ROWS(nombres[]),1)=UR$1490,ROW(OFFSET(nombres[],0,0,ROWS(nombres[]),1))-ROW(OFFSET(nombres[],0,0,1,1))+1,ROW(OFFSET(nombres[],ROWS(nombres[])-1,0,1,1))+1),$O1545:$O1564),3),"")</f>
        <v/>
      </c>
      <c r="US1545" s="42" t="str">
        <f t="array" aca="1" ref="US1545" ca="1">IFERROR(INDEX(nombres[],SMALL(IF(OFFSET(nombres[],0,0,ROWS(nombres[]),1)=US$1490,ROW(OFFSET(nombres[],0,0,ROWS(nombres[]),1))-ROW(OFFSET(nombres[],0,0,1,1))+1,ROW(OFFSET(nombres[],ROWS(nombres[])-1,0,1,1))+1),$O1545:$O1564),3),"")</f>
        <v/>
      </c>
      <c r="UT1545" s="42" t="str">
        <f t="array" aca="1" ref="UT1545" ca="1">IFERROR(INDEX(nombres[],SMALL(IF(OFFSET(nombres[],0,0,ROWS(nombres[]),1)=UT$1490,ROW(OFFSET(nombres[],0,0,ROWS(nombres[]),1))-ROW(OFFSET(nombres[],0,0,1,1))+1,ROW(OFFSET(nombres[],ROWS(nombres[])-1,0,1,1))+1),$O1545:$O1564),3),"")</f>
        <v/>
      </c>
      <c r="UU1545" s="42" t="str">
        <f t="array" aca="1" ref="UU1545" ca="1">IFERROR(INDEX(nombres[],SMALL(IF(OFFSET(nombres[],0,0,ROWS(nombres[]),1)=UU$1490,ROW(OFFSET(nombres[],0,0,ROWS(nombres[]),1))-ROW(OFFSET(nombres[],0,0,1,1))+1,ROW(OFFSET(nombres[],ROWS(nombres[])-1,0,1,1))+1),$O1545:$O1564),3),"")</f>
        <v/>
      </c>
      <c r="UV1545" s="42" t="str">
        <f t="array" aca="1" ref="UV1545" ca="1">IFERROR(INDEX(nombres[],SMALL(IF(OFFSET(nombres[],0,0,ROWS(nombres[]),1)=UV$1490,ROW(OFFSET(nombres[],0,0,ROWS(nombres[]),1))-ROW(OFFSET(nombres[],0,0,1,1))+1,ROW(OFFSET(nombres[],ROWS(nombres[])-1,0,1,1))+1),$O1545:$O1564),3),"")</f>
        <v/>
      </c>
      <c r="UW1545" s="42" t="str">
        <f t="array" aca="1" ref="UW1545" ca="1">IFERROR(INDEX(nombres[],SMALL(IF(OFFSET(nombres[],0,0,ROWS(nombres[]),1)=UW$1490,ROW(OFFSET(nombres[],0,0,ROWS(nombres[]),1))-ROW(OFFSET(nombres[],0,0,1,1))+1,ROW(OFFSET(nombres[],ROWS(nombres[])-1,0,1,1))+1),$O1545:$O1564),3),"")</f>
        <v/>
      </c>
      <c r="UX1545" s="42" t="str">
        <f t="array" aca="1" ref="UX1545" ca="1">IFERROR(INDEX(nombres[],SMALL(IF(OFFSET(nombres[],0,0,ROWS(nombres[]),1)=UX$1490,ROW(OFFSET(nombres[],0,0,ROWS(nombres[]),1))-ROW(OFFSET(nombres[],0,0,1,1))+1,ROW(OFFSET(nombres[],ROWS(nombres[])-1,0,1,1))+1),$O1545:$O1564),3),"")</f>
        <v/>
      </c>
      <c r="UY1545" s="42" t="str">
        <f t="array" aca="1" ref="UY1545" ca="1">IFERROR(INDEX(nombres[],SMALL(IF(OFFSET(nombres[],0,0,ROWS(nombres[]),1)=UY$1490,ROW(OFFSET(nombres[],0,0,ROWS(nombres[]),1))-ROW(OFFSET(nombres[],0,0,1,1))+1,ROW(OFFSET(nombres[],ROWS(nombres[])-1,0,1,1))+1),$O1545:$O1564),3),"")</f>
        <v/>
      </c>
      <c r="UZ1545" s="42" t="str">
        <f t="array" aca="1" ref="UZ1545" ca="1">IFERROR(INDEX(nombres[],SMALL(IF(OFFSET(nombres[],0,0,ROWS(nombres[]),1)=UZ$1490,ROW(OFFSET(nombres[],0,0,ROWS(nombres[]),1))-ROW(OFFSET(nombres[],0,0,1,1))+1,ROW(OFFSET(nombres[],ROWS(nombres[])-1,0,1,1))+1),$O1545:$O1564),3),"")</f>
        <v/>
      </c>
      <c r="VA1545" s="42" t="str">
        <f t="array" aca="1" ref="VA1545" ca="1">IFERROR(INDEX(nombres[],SMALL(IF(OFFSET(nombres[],0,0,ROWS(nombres[]),1)=VA$1490,ROW(OFFSET(nombres[],0,0,ROWS(nombres[]),1))-ROW(OFFSET(nombres[],0,0,1,1))+1,ROW(OFFSET(nombres[],ROWS(nombres[])-1,0,1,1))+1),$O1545:$O1564),3),"")</f>
        <v/>
      </c>
      <c r="VB1545" s="42" t="str">
        <f t="array" aca="1" ref="VB1545" ca="1">IFERROR(INDEX(nombres[],SMALL(IF(OFFSET(nombres[],0,0,ROWS(nombres[]),1)=VB$1490,ROW(OFFSET(nombres[],0,0,ROWS(nombres[]),1))-ROW(OFFSET(nombres[],0,0,1,1))+1,ROW(OFFSET(nombres[],ROWS(nombres[])-1,0,1,1))+1),$O1545:$O1564),3),"")</f>
        <v/>
      </c>
      <c r="VC1545" s="42" t="str">
        <f t="array" aca="1" ref="VC1545" ca="1">IFERROR(INDEX(nombres[],SMALL(IF(OFFSET(nombres[],0,0,ROWS(nombres[]),1)=VC$1490,ROW(OFFSET(nombres[],0,0,ROWS(nombres[]),1))-ROW(OFFSET(nombres[],0,0,1,1))+1,ROW(OFFSET(nombres[],ROWS(nombres[])-1,0,1,1))+1),$O1545:$O1564),3),"")</f>
        <v/>
      </c>
      <c r="VD1545" s="42" t="str">
        <f t="array" aca="1" ref="VD1545" ca="1">IFERROR(INDEX(nombres[],SMALL(IF(OFFSET(nombres[],0,0,ROWS(nombres[]),1)=VD$1490,ROW(OFFSET(nombres[],0,0,ROWS(nombres[]),1))-ROW(OFFSET(nombres[],0,0,1,1))+1,ROW(OFFSET(nombres[],ROWS(nombres[])-1,0,1,1))+1),$O1545:$O1564),3),"")</f>
        <v/>
      </c>
      <c r="VE1545" s="42" t="str">
        <f t="array" aca="1" ref="VE1545" ca="1">IFERROR(INDEX(nombres[],SMALL(IF(OFFSET(nombres[],0,0,ROWS(nombres[]),1)=VE$1490,ROW(OFFSET(nombres[],0,0,ROWS(nombres[]),1))-ROW(OFFSET(nombres[],0,0,1,1))+1,ROW(OFFSET(nombres[],ROWS(nombres[])-1,0,1,1))+1),$O1545:$O1564),3),"")</f>
        <v/>
      </c>
      <c r="VF1545" s="42" t="str">
        <f t="array" aca="1" ref="VF1545" ca="1">IFERROR(INDEX(nombres[],SMALL(IF(OFFSET(nombres[],0,0,ROWS(nombres[]),1)=VF$1490,ROW(OFFSET(nombres[],0,0,ROWS(nombres[]),1))-ROW(OFFSET(nombres[],0,0,1,1))+1,ROW(OFFSET(nombres[],ROWS(nombres[])-1,0,1,1))+1),$O1545:$O1564),3),"")</f>
        <v/>
      </c>
      <c r="VG1545" s="42" t="str">
        <f t="array" aca="1" ref="VG1545" ca="1">IFERROR(INDEX(nombres[],SMALL(IF(OFFSET(nombres[],0,0,ROWS(nombres[]),1)=VG$1490,ROW(OFFSET(nombres[],0,0,ROWS(nombres[]),1))-ROW(OFFSET(nombres[],0,0,1,1))+1,ROW(OFFSET(nombres[],ROWS(nombres[])-1,0,1,1))+1),$O1545:$O1564),3),"")</f>
        <v/>
      </c>
      <c r="VH1545" s="42" t="str">
        <f t="array" aca="1" ref="VH1545" ca="1">IFERROR(INDEX(nombres[],SMALL(IF(OFFSET(nombres[],0,0,ROWS(nombres[]),1)=VH$1490,ROW(OFFSET(nombres[],0,0,ROWS(nombres[]),1))-ROW(OFFSET(nombres[],0,0,1,1))+1,ROW(OFFSET(nombres[],ROWS(nombres[])-1,0,1,1))+1),$O1545:$O1564),3),"")</f>
        <v/>
      </c>
      <c r="VI1545" s="42" t="str">
        <f t="array" aca="1" ref="VI1545" ca="1">IFERROR(INDEX(nombres[],SMALL(IF(OFFSET(nombres[],0,0,ROWS(nombres[]),1)=VI$1490,ROW(OFFSET(nombres[],0,0,ROWS(nombres[]),1))-ROW(OFFSET(nombres[],0,0,1,1))+1,ROW(OFFSET(nombres[],ROWS(nombres[])-1,0,1,1))+1),$O1545:$O1564),3),"")</f>
        <v/>
      </c>
      <c r="VJ1545" s="42" t="str">
        <f t="array" aca="1" ref="VJ1545" ca="1">IFERROR(INDEX(nombres[],SMALL(IF(OFFSET(nombres[],0,0,ROWS(nombres[]),1)=VJ$1490,ROW(OFFSET(nombres[],0,0,ROWS(nombres[]),1))-ROW(OFFSET(nombres[],0,0,1,1))+1,ROW(OFFSET(nombres[],ROWS(nombres[])-1,0,1,1))+1),$O1545:$O1564),3),"")</f>
        <v/>
      </c>
      <c r="VK1545" s="42" t="str">
        <f t="array" aca="1" ref="VK1545" ca="1">IFERROR(INDEX(nombres[],SMALL(IF(OFFSET(nombres[],0,0,ROWS(nombres[]),1)=VK$1490,ROW(OFFSET(nombres[],0,0,ROWS(nombres[]),1))-ROW(OFFSET(nombres[],0,0,1,1))+1,ROW(OFFSET(nombres[],ROWS(nombres[])-1,0,1,1))+1),$O1545:$O1564),3),"")</f>
        <v/>
      </c>
      <c r="VL1545" s="42" t="str">
        <f t="array" aca="1" ref="VL1545" ca="1">IFERROR(INDEX(nombres[],SMALL(IF(OFFSET(nombres[],0,0,ROWS(nombres[]),1)=VL$1490,ROW(OFFSET(nombres[],0,0,ROWS(nombres[]),1))-ROW(OFFSET(nombres[],0,0,1,1))+1,ROW(OFFSET(nombres[],ROWS(nombres[])-1,0,1,1))+1),$O1545:$O1564),3),"")</f>
        <v/>
      </c>
      <c r="VM1545" s="42" t="str">
        <f t="array" aca="1" ref="VM1545" ca="1">IFERROR(INDEX(nombres[],SMALL(IF(OFFSET(nombres[],0,0,ROWS(nombres[]),1)=VM$1490,ROW(OFFSET(nombres[],0,0,ROWS(nombres[]),1))-ROW(OFFSET(nombres[],0,0,1,1))+1,ROW(OFFSET(nombres[],ROWS(nombres[])-1,0,1,1))+1),$O1545:$O1564),3),"")</f>
        <v/>
      </c>
      <c r="VN1545" s="42" t="str">
        <f t="array" aca="1" ref="VN1545" ca="1">IFERROR(INDEX(nombres[],SMALL(IF(OFFSET(nombres[],0,0,ROWS(nombres[]),1)=VN$1490,ROW(OFFSET(nombres[],0,0,ROWS(nombres[]),1))-ROW(OFFSET(nombres[],0,0,1,1))+1,ROW(OFFSET(nombres[],ROWS(nombres[])-1,0,1,1))+1),$O1545:$O1564),3),"")</f>
        <v/>
      </c>
      <c r="VO1545" s="42" t="str">
        <f t="array" aca="1" ref="VO1545" ca="1">IFERROR(INDEX(nombres[],SMALL(IF(OFFSET(nombres[],0,0,ROWS(nombres[]),1)=VO$1490,ROW(OFFSET(nombres[],0,0,ROWS(nombres[]),1))-ROW(OFFSET(nombres[],0,0,1,1))+1,ROW(OFFSET(nombres[],ROWS(nombres[])-1,0,1,1))+1),$O1545:$O1564),3),"")</f>
        <v/>
      </c>
      <c r="VP1545" s="42" t="str">
        <f t="array" aca="1" ref="VP1545" ca="1">IFERROR(INDEX(nombres[],SMALL(IF(OFFSET(nombres[],0,0,ROWS(nombres[]),1)=VP$1490,ROW(OFFSET(nombres[],0,0,ROWS(nombres[]),1))-ROW(OFFSET(nombres[],0,0,1,1))+1,ROW(OFFSET(nombres[],ROWS(nombres[])-1,0,1,1))+1),$O1545:$O1564),3),"")</f>
        <v/>
      </c>
      <c r="VQ1545" s="42" t="str">
        <f t="array" aca="1" ref="VQ1545" ca="1">IFERROR(INDEX(nombres[],SMALL(IF(OFFSET(nombres[],0,0,ROWS(nombres[]),1)=VQ$1490,ROW(OFFSET(nombres[],0,0,ROWS(nombres[]),1))-ROW(OFFSET(nombres[],0,0,1,1))+1,ROW(OFFSET(nombres[],ROWS(nombres[])-1,0,1,1))+1),$O1545:$O1564),3),"")</f>
        <v/>
      </c>
      <c r="VR1545" s="42" t="str">
        <f t="array" aca="1" ref="VR1545" ca="1">IFERROR(INDEX(nombres[],SMALL(IF(OFFSET(nombres[],0,0,ROWS(nombres[]),1)=VR$1490,ROW(OFFSET(nombres[],0,0,ROWS(nombres[]),1))-ROW(OFFSET(nombres[],0,0,1,1))+1,ROW(OFFSET(nombres[],ROWS(nombres[])-1,0,1,1))+1),$O1545:$O1564),3),"")</f>
        <v/>
      </c>
      <c r="VS1545" s="42" t="str">
        <f t="array" aca="1" ref="VS1545" ca="1">IFERROR(INDEX(nombres[],SMALL(IF(OFFSET(nombres[],0,0,ROWS(nombres[]),1)=VS$1490,ROW(OFFSET(nombres[],0,0,ROWS(nombres[]),1))-ROW(OFFSET(nombres[],0,0,1,1))+1,ROW(OFFSET(nombres[],ROWS(nombres[])-1,0,1,1))+1),$O1545:$O1564),3),"")</f>
        <v/>
      </c>
      <c r="VT1545" s="42" t="str">
        <f t="array" aca="1" ref="VT1545" ca="1">IFERROR(INDEX(nombres[],SMALL(IF(OFFSET(nombres[],0,0,ROWS(nombres[]),1)=VT$1490,ROW(OFFSET(nombres[],0,0,ROWS(nombres[]),1))-ROW(OFFSET(nombres[],0,0,1,1))+1,ROW(OFFSET(nombres[],ROWS(nombres[])-1,0,1,1))+1),$O1545:$O1564),3),"")</f>
        <v/>
      </c>
      <c r="VU1545" s="42" t="str">
        <f t="array" aca="1" ref="VU1545" ca="1">IFERROR(INDEX(nombres[],SMALL(IF(OFFSET(nombres[],0,0,ROWS(nombres[]),1)=VU$1490,ROW(OFFSET(nombres[],0,0,ROWS(nombres[]),1))-ROW(OFFSET(nombres[],0,0,1,1))+1,ROW(OFFSET(nombres[],ROWS(nombres[])-1,0,1,1))+1),$O1545:$O1564),3),"")</f>
        <v/>
      </c>
      <c r="VV1545" s="42" t="str">
        <f t="array" aca="1" ref="VV1545" ca="1">IFERROR(INDEX(nombres[],SMALL(IF(OFFSET(nombres[],0,0,ROWS(nombres[]),1)=VV$1490,ROW(OFFSET(nombres[],0,0,ROWS(nombres[]),1))-ROW(OFFSET(nombres[],0,0,1,1))+1,ROW(OFFSET(nombres[],ROWS(nombres[])-1,0,1,1))+1),$O1545:$O1564),3),"")</f>
        <v/>
      </c>
      <c r="VW1545" s="42" t="str">
        <f t="array" aca="1" ref="VW1545" ca="1">IFERROR(INDEX(nombres[],SMALL(IF(OFFSET(nombres[],0,0,ROWS(nombres[]),1)=VW$1490,ROW(OFFSET(nombres[],0,0,ROWS(nombres[]),1))-ROW(OFFSET(nombres[],0,0,1,1))+1,ROW(OFFSET(nombres[],ROWS(nombres[])-1,0,1,1))+1),$O1545:$O1564),3),"")</f>
        <v/>
      </c>
      <c r="VX1545" s="42" t="str">
        <f t="array" aca="1" ref="VX1545" ca="1">IFERROR(INDEX(nombres[],SMALL(IF(OFFSET(nombres[],0,0,ROWS(nombres[]),1)=VX$1490,ROW(OFFSET(nombres[],0,0,ROWS(nombres[]),1))-ROW(OFFSET(nombres[],0,0,1,1))+1,ROW(OFFSET(nombres[],ROWS(nombres[])-1,0,1,1))+1),$O1545:$O1564),3),"")</f>
        <v/>
      </c>
      <c r="VY1545" s="42" t="str">
        <f t="array" aca="1" ref="VY1545" ca="1">IFERROR(INDEX(nombres[],SMALL(IF(OFFSET(nombres[],0,0,ROWS(nombres[]),1)=VY$1490,ROW(OFFSET(nombres[],0,0,ROWS(nombres[]),1))-ROW(OFFSET(nombres[],0,0,1,1))+1,ROW(OFFSET(nombres[],ROWS(nombres[])-1,0,1,1))+1),$O1545:$O1564),3),"")</f>
        <v/>
      </c>
      <c r="VZ1545" s="42" t="str">
        <f t="array" aca="1" ref="VZ1545" ca="1">IFERROR(INDEX(nombres[],SMALL(IF(OFFSET(nombres[],0,0,ROWS(nombres[]),1)=VZ$1490,ROW(OFFSET(nombres[],0,0,ROWS(nombres[]),1))-ROW(OFFSET(nombres[],0,0,1,1))+1,ROW(OFFSET(nombres[],ROWS(nombres[])-1,0,1,1))+1),$O1545:$O1564),3),"")</f>
        <v/>
      </c>
      <c r="WA1545" s="42" t="str">
        <f t="array" aca="1" ref="WA1545" ca="1">IFERROR(INDEX(nombres[],SMALL(IF(OFFSET(nombres[],0,0,ROWS(nombres[]),1)=WA$1490,ROW(OFFSET(nombres[],0,0,ROWS(nombres[]),1))-ROW(OFFSET(nombres[],0,0,1,1))+1,ROW(OFFSET(nombres[],ROWS(nombres[])-1,0,1,1))+1),$O1545:$O1564),3),"")</f>
        <v/>
      </c>
      <c r="WB1545" s="42" t="str">
        <f t="array" aca="1" ref="WB1545" ca="1">IFERROR(INDEX(nombres[],SMALL(IF(OFFSET(nombres[],0,0,ROWS(nombres[]),1)=WB$1490,ROW(OFFSET(nombres[],0,0,ROWS(nombres[]),1))-ROW(OFFSET(nombres[],0,0,1,1))+1,ROW(OFFSET(nombres[],ROWS(nombres[])-1,0,1,1))+1),$O1545:$O1564),3),"")</f>
        <v/>
      </c>
      <c r="WC1545" s="42" t="str">
        <f t="array" aca="1" ref="WC1545" ca="1">IFERROR(INDEX(nombres[],SMALL(IF(OFFSET(nombres[],0,0,ROWS(nombres[]),1)=WC$1490,ROW(OFFSET(nombres[],0,0,ROWS(nombres[]),1))-ROW(OFFSET(nombres[],0,0,1,1))+1,ROW(OFFSET(nombres[],ROWS(nombres[])-1,0,1,1))+1),$O1545:$O1564),3),"")</f>
        <v/>
      </c>
      <c r="WD1545" s="42" t="str">
        <f t="array" aca="1" ref="WD1545" ca="1">IFERROR(INDEX(nombres[],SMALL(IF(OFFSET(nombres[],0,0,ROWS(nombres[]),1)=WD$1490,ROW(OFFSET(nombres[],0,0,ROWS(nombres[]),1))-ROW(OFFSET(nombres[],0,0,1,1))+1,ROW(OFFSET(nombres[],ROWS(nombres[])-1,0,1,1))+1),$O1545:$O1564),3),"")</f>
        <v/>
      </c>
      <c r="WE1545" s="42" t="str">
        <f t="array" aca="1" ref="WE1545" ca="1">IFERROR(INDEX(nombres[],SMALL(IF(OFFSET(nombres[],0,0,ROWS(nombres[]),1)=WE$1490,ROW(OFFSET(nombres[],0,0,ROWS(nombres[]),1))-ROW(OFFSET(nombres[],0,0,1,1))+1,ROW(OFFSET(nombres[],ROWS(nombres[])-1,0,1,1))+1),$O1545:$O1564),3),"")</f>
        <v/>
      </c>
      <c r="WF1545" s="42" t="str">
        <f t="array" aca="1" ref="WF1545" ca="1">IFERROR(INDEX(nombres[],SMALL(IF(OFFSET(nombres[],0,0,ROWS(nombres[]),1)=WF$1490,ROW(OFFSET(nombres[],0,0,ROWS(nombres[]),1))-ROW(OFFSET(nombres[],0,0,1,1))+1,ROW(OFFSET(nombres[],ROWS(nombres[])-1,0,1,1))+1),$O1545:$O1564),3),"")</f>
        <v/>
      </c>
      <c r="WG1545" s="42" t="str">
        <f t="array" aca="1" ref="WG1545" ca="1">IFERROR(INDEX(nombres[],SMALL(IF(OFFSET(nombres[],0,0,ROWS(nombres[]),1)=WG$1490,ROW(OFFSET(nombres[],0,0,ROWS(nombres[]),1))-ROW(OFFSET(nombres[],0,0,1,1))+1,ROW(OFFSET(nombres[],ROWS(nombres[])-1,0,1,1))+1),$O1545:$O1564),3),"")</f>
        <v/>
      </c>
      <c r="WH1545" s="42" t="str">
        <f t="array" aca="1" ref="WH1545" ca="1">IFERROR(INDEX(nombres[],SMALL(IF(OFFSET(nombres[],0,0,ROWS(nombres[]),1)=WH$1490,ROW(OFFSET(nombres[],0,0,ROWS(nombres[]),1))-ROW(OFFSET(nombres[],0,0,1,1))+1,ROW(OFFSET(nombres[],ROWS(nombres[])-1,0,1,1))+1),$O1545:$O1564),3),"")</f>
        <v/>
      </c>
      <c r="WI1545" s="42" t="str">
        <f t="array" aca="1" ref="WI1545" ca="1">IFERROR(INDEX(nombres[],SMALL(IF(OFFSET(nombres[],0,0,ROWS(nombres[]),1)=WI$1490,ROW(OFFSET(nombres[],0,0,ROWS(nombres[]),1))-ROW(OFFSET(nombres[],0,0,1,1))+1,ROW(OFFSET(nombres[],ROWS(nombres[])-1,0,1,1))+1),$O1545:$O1564),3),"")</f>
        <v/>
      </c>
      <c r="WJ1545" s="42" t="str">
        <f t="array" aca="1" ref="WJ1545" ca="1">IFERROR(INDEX(nombres[],SMALL(IF(OFFSET(nombres[],0,0,ROWS(nombres[]),1)=WJ$1490,ROW(OFFSET(nombres[],0,0,ROWS(nombres[]),1))-ROW(OFFSET(nombres[],0,0,1,1))+1,ROW(OFFSET(nombres[],ROWS(nombres[])-1,0,1,1))+1),$O1545:$O1564),3),"")</f>
        <v/>
      </c>
      <c r="WK1545" s="42" t="str">
        <f t="array" aca="1" ref="WK1545" ca="1">IFERROR(INDEX(nombres[],SMALL(IF(OFFSET(nombres[],0,0,ROWS(nombres[]),1)=WK$1490,ROW(OFFSET(nombres[],0,0,ROWS(nombres[]),1))-ROW(OFFSET(nombres[],0,0,1,1))+1,ROW(OFFSET(nombres[],ROWS(nombres[])-1,0,1,1))+1),$O1545:$O1564),3),"")</f>
        <v/>
      </c>
      <c r="WL1545" s="42" t="str">
        <f t="array" aca="1" ref="WL1545" ca="1">IFERROR(INDEX(nombres[],SMALL(IF(OFFSET(nombres[],0,0,ROWS(nombres[]),1)=WL$1490,ROW(OFFSET(nombres[],0,0,ROWS(nombres[]),1))-ROW(OFFSET(nombres[],0,0,1,1))+1,ROW(OFFSET(nombres[],ROWS(nombres[])-1,0,1,1))+1),$O1545:$O1564),3),"")</f>
        <v/>
      </c>
      <c r="WM1545" s="42" t="str">
        <f t="array" aca="1" ref="WM1545" ca="1">IFERROR(INDEX(nombres[],SMALL(IF(OFFSET(nombres[],0,0,ROWS(nombres[]),1)=WM$1490,ROW(OFFSET(nombres[],0,0,ROWS(nombres[]),1))-ROW(OFFSET(nombres[],0,0,1,1))+1,ROW(OFFSET(nombres[],ROWS(nombres[])-1,0,1,1))+1),$O1545:$O1564),3),"")</f>
        <v/>
      </c>
      <c r="WN1545" s="42" t="str">
        <f t="array" aca="1" ref="WN1545" ca="1">IFERROR(INDEX(nombres[],SMALL(IF(OFFSET(nombres[],0,0,ROWS(nombres[]),1)=WN$1490,ROW(OFFSET(nombres[],0,0,ROWS(nombres[]),1))-ROW(OFFSET(nombres[],0,0,1,1))+1,ROW(OFFSET(nombres[],ROWS(nombres[])-1,0,1,1))+1),$O1545:$O1564),3),"")</f>
        <v/>
      </c>
      <c r="WO1545" s="42" t="str">
        <f t="array" aca="1" ref="WO1545" ca="1">IFERROR(INDEX(nombres[],SMALL(IF(OFFSET(nombres[],0,0,ROWS(nombres[]),1)=WO$1490,ROW(OFFSET(nombres[],0,0,ROWS(nombres[]),1))-ROW(OFFSET(nombres[],0,0,1,1))+1,ROW(OFFSET(nombres[],ROWS(nombres[])-1,0,1,1))+1),$O1545:$O1564),3),"")</f>
        <v/>
      </c>
      <c r="WP1545" s="42" t="str">
        <f t="array" aca="1" ref="WP1545" ca="1">IFERROR(INDEX(nombres[],SMALL(IF(OFFSET(nombres[],0,0,ROWS(nombres[]),1)=WP$1490,ROW(OFFSET(nombres[],0,0,ROWS(nombres[]),1))-ROW(OFFSET(nombres[],0,0,1,1))+1,ROW(OFFSET(nombres[],ROWS(nombres[])-1,0,1,1))+1),$O1545:$O1564),3),"")</f>
        <v/>
      </c>
      <c r="WQ1545" s="42" t="str">
        <f t="array" aca="1" ref="WQ1545" ca="1">IFERROR(INDEX(nombres[],SMALL(IF(OFFSET(nombres[],0,0,ROWS(nombres[]),1)=WQ$1490,ROW(OFFSET(nombres[],0,0,ROWS(nombres[]),1))-ROW(OFFSET(nombres[],0,0,1,1))+1,ROW(OFFSET(nombres[],ROWS(nombres[])-1,0,1,1))+1),$O1545:$O1564),3),"")</f>
        <v/>
      </c>
      <c r="WR1545" s="42" t="str">
        <f t="array" aca="1" ref="WR1545" ca="1">IFERROR(INDEX(nombres[],SMALL(IF(OFFSET(nombres[],0,0,ROWS(nombres[]),1)=WR$1490,ROW(OFFSET(nombres[],0,0,ROWS(nombres[]),1))-ROW(OFFSET(nombres[],0,0,1,1))+1,ROW(OFFSET(nombres[],ROWS(nombres[])-1,0,1,1))+1),$O1545:$O1564),3),"")</f>
        <v/>
      </c>
      <c r="WS1545" s="42" t="str">
        <f t="array" aca="1" ref="WS1545" ca="1">IFERROR(INDEX(nombres[],SMALL(IF(OFFSET(nombres[],0,0,ROWS(nombres[]),1)=WS$1490,ROW(OFFSET(nombres[],0,0,ROWS(nombres[]),1))-ROW(OFFSET(nombres[],0,0,1,1))+1,ROW(OFFSET(nombres[],ROWS(nombres[])-1,0,1,1))+1),$O1545:$O1564),3),"")</f>
        <v/>
      </c>
      <c r="WT1545" s="42" t="str">
        <f t="array" aca="1" ref="WT1545" ca="1">IFERROR(INDEX(nombres[],SMALL(IF(OFFSET(nombres[],0,0,ROWS(nombres[]),1)=WT$1490,ROW(OFFSET(nombres[],0,0,ROWS(nombres[]),1))-ROW(OFFSET(nombres[],0,0,1,1))+1,ROW(OFFSET(nombres[],ROWS(nombres[])-1,0,1,1))+1),$O1545:$O1564),3),"")</f>
        <v/>
      </c>
      <c r="WU1545" s="42" t="str">
        <f t="array" aca="1" ref="WU1545" ca="1">IFERROR(INDEX(nombres[],SMALL(IF(OFFSET(nombres[],0,0,ROWS(nombres[]),1)=WU$1490,ROW(OFFSET(nombres[],0,0,ROWS(nombres[]),1))-ROW(OFFSET(nombres[],0,0,1,1))+1,ROW(OFFSET(nombres[],ROWS(nombres[])-1,0,1,1))+1),$O1545:$O1564),3),"")</f>
        <v/>
      </c>
      <c r="WV1545" s="42" t="str">
        <f t="array" aca="1" ref="WV1545" ca="1">IFERROR(INDEX(nombres[],SMALL(IF(OFFSET(nombres[],0,0,ROWS(nombres[]),1)=WV$1490,ROW(OFFSET(nombres[],0,0,ROWS(nombres[]),1))-ROW(OFFSET(nombres[],0,0,1,1))+1,ROW(OFFSET(nombres[],ROWS(nombres[])-1,0,1,1))+1),$O1545:$O1564),3),"")</f>
        <v/>
      </c>
      <c r="WW1545" s="42" t="str">
        <f t="array" aca="1" ref="WW1545" ca="1">IFERROR(INDEX(nombres[],SMALL(IF(OFFSET(nombres[],0,0,ROWS(nombres[]),1)=WW$1490,ROW(OFFSET(nombres[],0,0,ROWS(nombres[]),1))-ROW(OFFSET(nombres[],0,0,1,1))+1,ROW(OFFSET(nombres[],ROWS(nombres[])-1,0,1,1))+1),$O1545:$O1564),3),"")</f>
        <v/>
      </c>
      <c r="WX1545" s="42" t="str">
        <f t="array" aca="1" ref="WX1545" ca="1">IFERROR(INDEX(nombres[],SMALL(IF(OFFSET(nombres[],0,0,ROWS(nombres[]),1)=WX$1490,ROW(OFFSET(nombres[],0,0,ROWS(nombres[]),1))-ROW(OFFSET(nombres[],0,0,1,1))+1,ROW(OFFSET(nombres[],ROWS(nombres[])-1,0,1,1))+1),$O1545:$O1564),3),"")</f>
        <v/>
      </c>
      <c r="WY1545" s="42" t="str">
        <f t="array" aca="1" ref="WY1545" ca="1">IFERROR(INDEX(nombres[],SMALL(IF(OFFSET(nombres[],0,0,ROWS(nombres[]),1)=WY$1490,ROW(OFFSET(nombres[],0,0,ROWS(nombres[]),1))-ROW(OFFSET(nombres[],0,0,1,1))+1,ROW(OFFSET(nombres[],ROWS(nombres[])-1,0,1,1))+1),$O1545:$O1564),3),"")</f>
        <v/>
      </c>
      <c r="WZ1545" s="42" t="str">
        <f t="array" aca="1" ref="WZ1545" ca="1">IFERROR(INDEX(nombres[],SMALL(IF(OFFSET(nombres[],0,0,ROWS(nombres[]),1)=WZ$1490,ROW(OFFSET(nombres[],0,0,ROWS(nombres[]),1))-ROW(OFFSET(nombres[],0,0,1,1))+1,ROW(OFFSET(nombres[],ROWS(nombres[])-1,0,1,1))+1),$O1545:$O1564),3),"")</f>
        <v/>
      </c>
      <c r="XA1545" s="42" t="str">
        <f t="array" aca="1" ref="XA1545" ca="1">IFERROR(INDEX(nombres[],SMALL(IF(OFFSET(nombres[],0,0,ROWS(nombres[]),1)=XA$1490,ROW(OFFSET(nombres[],0,0,ROWS(nombres[]),1))-ROW(OFFSET(nombres[],0,0,1,1))+1,ROW(OFFSET(nombres[],ROWS(nombres[])-1,0,1,1))+1),$O1545:$O1564),3),"")</f>
        <v/>
      </c>
      <c r="XB1545" s="42" t="str">
        <f t="array" aca="1" ref="XB1545" ca="1">IFERROR(INDEX(nombres[],SMALL(IF(OFFSET(nombres[],0,0,ROWS(nombres[]),1)=XB$1490,ROW(OFFSET(nombres[],0,0,ROWS(nombres[]),1))-ROW(OFFSET(nombres[],0,0,1,1))+1,ROW(OFFSET(nombres[],ROWS(nombres[])-1,0,1,1))+1),$O1545:$O1564),3),"")</f>
        <v/>
      </c>
      <c r="XC1545" s="42" t="str">
        <f t="array" aca="1" ref="XC1545" ca="1">IFERROR(INDEX(nombres[],SMALL(IF(OFFSET(nombres[],0,0,ROWS(nombres[]),1)=XC$1490,ROW(OFFSET(nombres[],0,0,ROWS(nombres[]),1))-ROW(OFFSET(nombres[],0,0,1,1))+1,ROW(OFFSET(nombres[],ROWS(nombres[])-1,0,1,1))+1),$O1545:$O1564),3),"")</f>
        <v/>
      </c>
      <c r="XD1545" s="42" t="str">
        <f t="array" aca="1" ref="XD1545" ca="1">IFERROR(INDEX(nombres[],SMALL(IF(OFFSET(nombres[],0,0,ROWS(nombres[]),1)=XD$1490,ROW(OFFSET(nombres[],0,0,ROWS(nombres[]),1))-ROW(OFFSET(nombres[],0,0,1,1))+1,ROW(OFFSET(nombres[],ROWS(nombres[])-1,0,1,1))+1),$O1545:$O1564),3),"")</f>
        <v/>
      </c>
      <c r="XE1545" s="42" t="str">
        <f t="array" aca="1" ref="XE1545" ca="1">IFERROR(INDEX(nombres[],SMALL(IF(OFFSET(nombres[],0,0,ROWS(nombres[]),1)=XE$1490,ROW(OFFSET(nombres[],0,0,ROWS(nombres[]),1))-ROW(OFFSET(nombres[],0,0,1,1))+1,ROW(OFFSET(nombres[],ROWS(nombres[])-1,0,1,1))+1),$O1545:$O1564),3),"")</f>
        <v/>
      </c>
      <c r="XF1545" s="42" t="str">
        <f t="array" aca="1" ref="XF1545" ca="1">IFERROR(INDEX(nombres[],SMALL(IF(OFFSET(nombres[],0,0,ROWS(nombres[]),1)=XF$1490,ROW(OFFSET(nombres[],0,0,ROWS(nombres[]),1))-ROW(OFFSET(nombres[],0,0,1,1))+1,ROW(OFFSET(nombres[],ROWS(nombres[])-1,0,1,1))+1),$O1545:$O1564),3),"")</f>
        <v/>
      </c>
      <c r="XG1545" s="42" t="str">
        <f t="array" aca="1" ref="XG1545" ca="1">IFERROR(INDEX(nombres[],SMALL(IF(OFFSET(nombres[],0,0,ROWS(nombres[]),1)=XG$1490,ROW(OFFSET(nombres[],0,0,ROWS(nombres[]),1))-ROW(OFFSET(nombres[],0,0,1,1))+1,ROW(OFFSET(nombres[],ROWS(nombres[])-1,0,1,1))+1),$O1545:$O1564),3),"")</f>
        <v/>
      </c>
      <c r="XH1545" s="42" t="str">
        <f t="array" aca="1" ref="XH1545" ca="1">IFERROR(INDEX(nombres[],SMALL(IF(OFFSET(nombres[],0,0,ROWS(nombres[]),1)=XH$1490,ROW(OFFSET(nombres[],0,0,ROWS(nombres[]),1))-ROW(OFFSET(nombres[],0,0,1,1))+1,ROW(OFFSET(nombres[],ROWS(nombres[])-1,0,1,1))+1),$O1545:$O1564),3),"")</f>
        <v/>
      </c>
      <c r="XI1545" s="42" t="str">
        <f t="array" aca="1" ref="XI1545" ca="1">IFERROR(INDEX(nombres[],SMALL(IF(OFFSET(nombres[],0,0,ROWS(nombres[]),1)=XI$1490,ROW(OFFSET(nombres[],0,0,ROWS(nombres[]),1))-ROW(OFFSET(nombres[],0,0,1,1))+1,ROW(OFFSET(nombres[],ROWS(nombres[])-1,0,1,1))+1),$O1545:$O1564),3),"")</f>
        <v/>
      </c>
      <c r="XJ1545" s="42" t="str">
        <f t="array" aca="1" ref="XJ1545" ca="1">IFERROR(INDEX(nombres[],SMALL(IF(OFFSET(nombres[],0,0,ROWS(nombres[]),1)=XJ$1490,ROW(OFFSET(nombres[],0,0,ROWS(nombres[]),1))-ROW(OFFSET(nombres[],0,0,1,1))+1,ROW(OFFSET(nombres[],ROWS(nombres[])-1,0,1,1))+1),$O1545:$O1564),3),"")</f>
        <v/>
      </c>
      <c r="XK1545" s="42" t="str">
        <f t="array" aca="1" ref="XK1545" ca="1">IFERROR(INDEX(nombres[],SMALL(IF(OFFSET(nombres[],0,0,ROWS(nombres[]),1)=XK$1490,ROW(OFFSET(nombres[],0,0,ROWS(nombres[]),1))-ROW(OFFSET(nombres[],0,0,1,1))+1,ROW(OFFSET(nombres[],ROWS(nombres[])-1,0,1,1))+1),$O1545:$O1564),3),"")</f>
        <v/>
      </c>
      <c r="XL1545" s="42" t="str">
        <f t="array" aca="1" ref="XL1545" ca="1">IFERROR(INDEX(nombres[],SMALL(IF(OFFSET(nombres[],0,0,ROWS(nombres[]),1)=XL$1490,ROW(OFFSET(nombres[],0,0,ROWS(nombres[]),1))-ROW(OFFSET(nombres[],0,0,1,1))+1,ROW(OFFSET(nombres[],ROWS(nombres[])-1,0,1,1))+1),$O1545:$O1564),3),"")</f>
        <v/>
      </c>
      <c r="XM1545" s="42" t="str">
        <f t="array" aca="1" ref="XM1545" ca="1">IFERROR(INDEX(nombres[],SMALL(IF(OFFSET(nombres[],0,0,ROWS(nombres[]),1)=XM$1490,ROW(OFFSET(nombres[],0,0,ROWS(nombres[]),1))-ROW(OFFSET(nombres[],0,0,1,1))+1,ROW(OFFSET(nombres[],ROWS(nombres[])-1,0,1,1))+1),$O1545:$O1564),3),"")</f>
        <v/>
      </c>
      <c r="XN1545" s="42" t="str">
        <f t="array" aca="1" ref="XN1545" ca="1">IFERROR(INDEX(nombres[],SMALL(IF(OFFSET(nombres[],0,0,ROWS(nombres[]),1)=XN$1490,ROW(OFFSET(nombres[],0,0,ROWS(nombres[]),1))-ROW(OFFSET(nombres[],0,0,1,1))+1,ROW(OFFSET(nombres[],ROWS(nombres[])-1,0,1,1))+1),$O1545:$O1564),3),"")</f>
        <v/>
      </c>
      <c r="XO1545" s="42" t="str">
        <f t="array" aca="1" ref="XO1545" ca="1">IFERROR(INDEX(nombres[],SMALL(IF(OFFSET(nombres[],0,0,ROWS(nombres[]),1)=XO$1490,ROW(OFFSET(nombres[],0,0,ROWS(nombres[]),1))-ROW(OFFSET(nombres[],0,0,1,1))+1,ROW(OFFSET(nombres[],ROWS(nombres[])-1,0,1,1))+1),$O1545:$O1564),3),"")</f>
        <v/>
      </c>
      <c r="XP1545" s="42" t="str">
        <f t="array" aca="1" ref="XP1545" ca="1">IFERROR(INDEX(nombres[],SMALL(IF(OFFSET(nombres[],0,0,ROWS(nombres[]),1)=XP$1490,ROW(OFFSET(nombres[],0,0,ROWS(nombres[]),1))-ROW(OFFSET(nombres[],0,0,1,1))+1,ROW(OFFSET(nombres[],ROWS(nombres[])-1,0,1,1))+1),$O1545:$O1564),3),"")</f>
        <v/>
      </c>
      <c r="XQ1545" s="42" t="str">
        <f t="array" aca="1" ref="XQ1545" ca="1">IFERROR(INDEX(nombres[],SMALL(IF(OFFSET(nombres[],0,0,ROWS(nombres[]),1)=XQ$1490,ROW(OFFSET(nombres[],0,0,ROWS(nombres[]),1))-ROW(OFFSET(nombres[],0,0,1,1))+1,ROW(OFFSET(nombres[],ROWS(nombres[])-1,0,1,1))+1),$O1545:$O1564),3),"")</f>
        <v/>
      </c>
      <c r="XR1545" s="42" t="str">
        <f t="array" aca="1" ref="XR1545" ca="1">IFERROR(INDEX(nombres[],SMALL(IF(OFFSET(nombres[],0,0,ROWS(nombres[]),1)=XR$1490,ROW(OFFSET(nombres[],0,0,ROWS(nombres[]),1))-ROW(OFFSET(nombres[],0,0,1,1))+1,ROW(OFFSET(nombres[],ROWS(nombres[])-1,0,1,1))+1),$O1545:$O1564),3),"")</f>
        <v/>
      </c>
      <c r="XS1545" s="42" t="str">
        <f t="array" aca="1" ref="XS1545" ca="1">IFERROR(INDEX(nombres[],SMALL(IF(OFFSET(nombres[],0,0,ROWS(nombres[]),1)=XS$1490,ROW(OFFSET(nombres[],0,0,ROWS(nombres[]),1))-ROW(OFFSET(nombres[],0,0,1,1))+1,ROW(OFFSET(nombres[],ROWS(nombres[])-1,0,1,1))+1),$O1545:$O1564),3),"")</f>
        <v/>
      </c>
      <c r="XT1545" s="42" t="str">
        <f t="array" aca="1" ref="XT1545" ca="1">IFERROR(INDEX(nombres[],SMALL(IF(OFFSET(nombres[],0,0,ROWS(nombres[]),1)=XT$1490,ROW(OFFSET(nombres[],0,0,ROWS(nombres[]),1))-ROW(OFFSET(nombres[],0,0,1,1))+1,ROW(OFFSET(nombres[],ROWS(nombres[])-1,0,1,1))+1),$O1545:$O1564),3),"")</f>
        <v/>
      </c>
      <c r="XU1545" s="42" t="str">
        <f t="array" aca="1" ref="XU1545" ca="1">IFERROR(INDEX(nombres[],SMALL(IF(OFFSET(nombres[],0,0,ROWS(nombres[]),1)=XU$1490,ROW(OFFSET(nombres[],0,0,ROWS(nombres[]),1))-ROW(OFFSET(nombres[],0,0,1,1))+1,ROW(OFFSET(nombres[],ROWS(nombres[])-1,0,1,1))+1),$O1545:$O1564),3),"")</f>
        <v/>
      </c>
      <c r="XV1545" s="42" t="str">
        <f t="array" aca="1" ref="XV1545" ca="1">IFERROR(INDEX(nombres[],SMALL(IF(OFFSET(nombres[],0,0,ROWS(nombres[]),1)=XV$1490,ROW(OFFSET(nombres[],0,0,ROWS(nombres[]),1))-ROW(OFFSET(nombres[],0,0,1,1))+1,ROW(OFFSET(nombres[],ROWS(nombres[])-1,0,1,1))+1),$O1545:$O1564),3),"")</f>
        <v/>
      </c>
      <c r="XW1545" s="42" t="str">
        <f t="array" aca="1" ref="XW1545" ca="1">IFERROR(INDEX(nombres[],SMALL(IF(OFFSET(nombres[],0,0,ROWS(nombres[]),1)=XW$1490,ROW(OFFSET(nombres[],0,0,ROWS(nombres[]),1))-ROW(OFFSET(nombres[],0,0,1,1))+1,ROW(OFFSET(nombres[],ROWS(nombres[])-1,0,1,1))+1),$O1545:$O1564),3),"")</f>
        <v/>
      </c>
      <c r="XX1545" s="42" t="str">
        <f t="array" aca="1" ref="XX1545" ca="1">IFERROR(INDEX(nombres[],SMALL(IF(OFFSET(nombres[],0,0,ROWS(nombres[]),1)=XX$1490,ROW(OFFSET(nombres[],0,0,ROWS(nombres[]),1))-ROW(OFFSET(nombres[],0,0,1,1))+1,ROW(OFFSET(nombres[],ROWS(nombres[])-1,0,1,1))+1),$O1545:$O1564),3),"")</f>
        <v/>
      </c>
      <c r="XY1545" s="42" t="str">
        <f t="array" aca="1" ref="XY1545" ca="1">IFERROR(INDEX(nombres[],SMALL(IF(OFFSET(nombres[],0,0,ROWS(nombres[]),1)=XY$1490,ROW(OFFSET(nombres[],0,0,ROWS(nombres[]),1))-ROW(OFFSET(nombres[],0,0,1,1))+1,ROW(OFFSET(nombres[],ROWS(nombres[])-1,0,1,1))+1),$O1545:$O1564),3),"")</f>
        <v/>
      </c>
      <c r="XZ1545" s="42" t="str">
        <f t="array" aca="1" ref="XZ1545" ca="1">IFERROR(INDEX(nombres[],SMALL(IF(OFFSET(nombres[],0,0,ROWS(nombres[]),1)=XZ$1490,ROW(OFFSET(nombres[],0,0,ROWS(nombres[]),1))-ROW(OFFSET(nombres[],0,0,1,1))+1,ROW(OFFSET(nombres[],ROWS(nombres[])-1,0,1,1))+1),$O1545:$O1564),3),"")</f>
        <v/>
      </c>
      <c r="YA1545" s="42" t="str">
        <f t="array" aca="1" ref="YA1545" ca="1">IFERROR(INDEX(nombres[],SMALL(IF(OFFSET(nombres[],0,0,ROWS(nombres[]),1)=YA$1490,ROW(OFFSET(nombres[],0,0,ROWS(nombres[]),1))-ROW(OFFSET(nombres[],0,0,1,1))+1,ROW(OFFSET(nombres[],ROWS(nombres[])-1,0,1,1))+1),$O1545:$O1564),3),"")</f>
        <v/>
      </c>
      <c r="YB1545" s="42" t="str">
        <f t="array" aca="1" ref="YB1545" ca="1">IFERROR(INDEX(nombres[],SMALL(IF(OFFSET(nombres[],0,0,ROWS(nombres[]),1)=YB$1490,ROW(OFFSET(nombres[],0,0,ROWS(nombres[]),1))-ROW(OFFSET(nombres[],0,0,1,1))+1,ROW(OFFSET(nombres[],ROWS(nombres[])-1,0,1,1))+1),$O1545:$O1564),3),"")</f>
        <v/>
      </c>
      <c r="YC1545" s="42" t="str">
        <f t="array" aca="1" ref="YC1545" ca="1">IFERROR(INDEX(nombres[],SMALL(IF(OFFSET(nombres[],0,0,ROWS(nombres[]),1)=YC$1490,ROW(OFFSET(nombres[],0,0,ROWS(nombres[]),1))-ROW(OFFSET(nombres[],0,0,1,1))+1,ROW(OFFSET(nombres[],ROWS(nombres[])-1,0,1,1))+1),$O1545:$O1564),3),"")</f>
        <v/>
      </c>
      <c r="YD1545" s="42" t="str">
        <f t="array" aca="1" ref="YD1545" ca="1">IFERROR(INDEX(nombres[],SMALL(IF(OFFSET(nombres[],0,0,ROWS(nombres[]),1)=YD$1490,ROW(OFFSET(nombres[],0,0,ROWS(nombres[]),1))-ROW(OFFSET(nombres[],0,0,1,1))+1,ROW(OFFSET(nombres[],ROWS(nombres[])-1,0,1,1))+1),$O1545:$O1564),3),"")</f>
        <v/>
      </c>
      <c r="YE1545" s="42" t="str">
        <f t="array" aca="1" ref="YE1545" ca="1">IFERROR(INDEX(nombres[],SMALL(IF(OFFSET(nombres[],0,0,ROWS(nombres[]),1)=YE$1490,ROW(OFFSET(nombres[],0,0,ROWS(nombres[]),1))-ROW(OFFSET(nombres[],0,0,1,1))+1,ROW(OFFSET(nombres[],ROWS(nombres[])-1,0,1,1))+1),$O1545:$O1564),3),"")</f>
        <v/>
      </c>
      <c r="YF1545" s="42" t="str">
        <f t="array" aca="1" ref="YF1545" ca="1">IFERROR(INDEX(nombres[],SMALL(IF(OFFSET(nombres[],0,0,ROWS(nombres[]),1)=YF$1490,ROW(OFFSET(nombres[],0,0,ROWS(nombres[]),1))-ROW(OFFSET(nombres[],0,0,1,1))+1,ROW(OFFSET(nombres[],ROWS(nombres[])-1,0,1,1))+1),$O1545:$O1564),3),"")</f>
        <v/>
      </c>
      <c r="YG1545" s="42" t="str">
        <f t="array" aca="1" ref="YG1545" ca="1">IFERROR(INDEX(nombres[],SMALL(IF(OFFSET(nombres[],0,0,ROWS(nombres[]),1)=YG$1490,ROW(OFFSET(nombres[],0,0,ROWS(nombres[]),1))-ROW(OFFSET(nombres[],0,0,1,1))+1,ROW(OFFSET(nombres[],ROWS(nombres[])-1,0,1,1))+1),$O1545:$O1564),3),"")</f>
        <v/>
      </c>
      <c r="YH1545" s="42" t="str">
        <f t="array" aca="1" ref="YH1545" ca="1">IFERROR(INDEX(nombres[],SMALL(IF(OFFSET(nombres[],0,0,ROWS(nombres[]),1)=YH$1490,ROW(OFFSET(nombres[],0,0,ROWS(nombres[]),1))-ROW(OFFSET(nombres[],0,0,1,1))+1,ROW(OFFSET(nombres[],ROWS(nombres[])-1,0,1,1))+1),$O1545:$O1564),3),"")</f>
        <v/>
      </c>
      <c r="YI1545" s="42" t="str">
        <f t="array" aca="1" ref="YI1545" ca="1">IFERROR(INDEX(nombres[],SMALL(IF(OFFSET(nombres[],0,0,ROWS(nombres[]),1)=YI$1490,ROW(OFFSET(nombres[],0,0,ROWS(nombres[]),1))-ROW(OFFSET(nombres[],0,0,1,1))+1,ROW(OFFSET(nombres[],ROWS(nombres[])-1,0,1,1))+1),$O1545:$O1564),3),"")</f>
        <v/>
      </c>
      <c r="YJ1545" s="42" t="str">
        <f t="array" aca="1" ref="YJ1545" ca="1">IFERROR(INDEX(nombres[],SMALL(IF(OFFSET(nombres[],0,0,ROWS(nombres[]),1)=YJ$1490,ROW(OFFSET(nombres[],0,0,ROWS(nombres[]),1))-ROW(OFFSET(nombres[],0,0,1,1))+1,ROW(OFFSET(nombres[],ROWS(nombres[])-1,0,1,1))+1),$O1545:$O1564),3),"")</f>
        <v/>
      </c>
      <c r="YK1545" s="42" t="str">
        <f t="array" aca="1" ref="YK1545" ca="1">IFERROR(INDEX(nombres[],SMALL(IF(OFFSET(nombres[],0,0,ROWS(nombres[]),1)=YK$1490,ROW(OFFSET(nombres[],0,0,ROWS(nombres[]),1))-ROW(OFFSET(nombres[],0,0,1,1))+1,ROW(OFFSET(nombres[],ROWS(nombres[])-1,0,1,1))+1),$O1545:$O1564),3),"")</f>
        <v/>
      </c>
      <c r="YL1545" s="42" t="str">
        <f t="array" aca="1" ref="YL1545" ca="1">IFERROR(INDEX(nombres[],SMALL(IF(OFFSET(nombres[],0,0,ROWS(nombres[]),1)=YL$1490,ROW(OFFSET(nombres[],0,0,ROWS(nombres[]),1))-ROW(OFFSET(nombres[],0,0,1,1))+1,ROW(OFFSET(nombres[],ROWS(nombres[])-1,0,1,1))+1),$O1545:$O1564),3),"")</f>
        <v/>
      </c>
      <c r="YM1545" s="42" t="str">
        <f t="array" aca="1" ref="YM1545" ca="1">IFERROR(INDEX(nombres[],SMALL(IF(OFFSET(nombres[],0,0,ROWS(nombres[]),1)=YM$1490,ROW(OFFSET(nombres[],0,0,ROWS(nombres[]),1))-ROW(OFFSET(nombres[],0,0,1,1))+1,ROW(OFFSET(nombres[],ROWS(nombres[])-1,0,1,1))+1),$O1545:$O1564),3),"")</f>
        <v/>
      </c>
      <c r="YN1545" s="42" t="str">
        <f t="array" aca="1" ref="YN1545" ca="1">IFERROR(INDEX(nombres[],SMALL(IF(OFFSET(nombres[],0,0,ROWS(nombres[]),1)=YN$1490,ROW(OFFSET(nombres[],0,0,ROWS(nombres[]),1))-ROW(OFFSET(nombres[],0,0,1,1))+1,ROW(OFFSET(nombres[],ROWS(nombres[])-1,0,1,1))+1),$O1545:$O1564),3),"")</f>
        <v/>
      </c>
      <c r="YO1545" s="42" t="str">
        <f t="array" aca="1" ref="YO1545" ca="1">IFERROR(INDEX(nombres[],SMALL(IF(OFFSET(nombres[],0,0,ROWS(nombres[]),1)=YO$1490,ROW(OFFSET(nombres[],0,0,ROWS(nombres[]),1))-ROW(OFFSET(nombres[],0,0,1,1))+1,ROW(OFFSET(nombres[],ROWS(nombres[])-1,0,1,1))+1),$O1545:$O1564),3),"")</f>
        <v/>
      </c>
      <c r="YP1545" s="42" t="str">
        <f t="array" aca="1" ref="YP1545" ca="1">IFERROR(INDEX(nombres[],SMALL(IF(OFFSET(nombres[],0,0,ROWS(nombres[]),1)=YP$1490,ROW(OFFSET(nombres[],0,0,ROWS(nombres[]),1))-ROW(OFFSET(nombres[],0,0,1,1))+1,ROW(OFFSET(nombres[],ROWS(nombres[])-1,0,1,1))+1),$O1545:$O1564),3),"")</f>
        <v/>
      </c>
      <c r="YQ1545" s="42" t="str">
        <f t="array" aca="1" ref="YQ1545" ca="1">IFERROR(INDEX(nombres[],SMALL(IF(OFFSET(nombres[],0,0,ROWS(nombres[]),1)=YQ$1490,ROW(OFFSET(nombres[],0,0,ROWS(nombres[]),1))-ROW(OFFSET(nombres[],0,0,1,1))+1,ROW(OFFSET(nombres[],ROWS(nombres[])-1,0,1,1))+1),$O1545:$O1564),3),"")</f>
        <v/>
      </c>
      <c r="YR1545" s="42" t="str">
        <f t="array" aca="1" ref="YR1545" ca="1">IFERROR(INDEX(nombres[],SMALL(IF(OFFSET(nombres[],0,0,ROWS(nombres[]),1)=YR$1490,ROW(OFFSET(nombres[],0,0,ROWS(nombres[]),1))-ROW(OFFSET(nombres[],0,0,1,1))+1,ROW(OFFSET(nombres[],ROWS(nombres[])-1,0,1,1))+1),$O1545:$O1564),3),"")</f>
        <v/>
      </c>
      <c r="YS1545" s="42" t="str">
        <f t="array" aca="1" ref="YS1545" ca="1">IFERROR(INDEX(nombres[],SMALL(IF(OFFSET(nombres[],0,0,ROWS(nombres[]),1)=YS$1490,ROW(OFFSET(nombres[],0,0,ROWS(nombres[]),1))-ROW(OFFSET(nombres[],0,0,1,1))+1,ROW(OFFSET(nombres[],ROWS(nombres[])-1,0,1,1))+1),$O1545:$O1564),3),"")</f>
        <v/>
      </c>
      <c r="YT1545" s="42" t="str">
        <f t="array" aca="1" ref="YT1545" ca="1">IFERROR(INDEX(nombres[],SMALL(IF(OFFSET(nombres[],0,0,ROWS(nombres[]),1)=YT$1490,ROW(OFFSET(nombres[],0,0,ROWS(nombres[]),1))-ROW(OFFSET(nombres[],0,0,1,1))+1,ROW(OFFSET(nombres[],ROWS(nombres[])-1,0,1,1))+1),$O1545:$O1564),3),"")</f>
        <v/>
      </c>
      <c r="YU1545" s="42" t="str">
        <f t="array" aca="1" ref="YU1545" ca="1">IFERROR(INDEX(nombres[],SMALL(IF(OFFSET(nombres[],0,0,ROWS(nombres[]),1)=YU$1490,ROW(OFFSET(nombres[],0,0,ROWS(nombres[]),1))-ROW(OFFSET(nombres[],0,0,1,1))+1,ROW(OFFSET(nombres[],ROWS(nombres[])-1,0,1,1))+1),$O1545:$O1564),3),"")</f>
        <v/>
      </c>
      <c r="YV1545" s="42" t="str">
        <f t="array" aca="1" ref="YV1545" ca="1">IFERROR(INDEX(nombres[],SMALL(IF(OFFSET(nombres[],0,0,ROWS(nombres[]),1)=YV$1490,ROW(OFFSET(nombres[],0,0,ROWS(nombres[]),1))-ROW(OFFSET(nombres[],0,0,1,1))+1,ROW(OFFSET(nombres[],ROWS(nombres[])-1,0,1,1))+1),$O1545:$O1564),3),"")</f>
        <v/>
      </c>
      <c r="YW1545" s="42" t="str">
        <f t="array" aca="1" ref="YW1545" ca="1">IFERROR(INDEX(nombres[],SMALL(IF(OFFSET(nombres[],0,0,ROWS(nombres[]),1)=YW$1490,ROW(OFFSET(nombres[],0,0,ROWS(nombres[]),1))-ROW(OFFSET(nombres[],0,0,1,1))+1,ROW(OFFSET(nombres[],ROWS(nombres[])-1,0,1,1))+1),$O1545:$O1564),3),"")</f>
        <v/>
      </c>
      <c r="YX1545" s="42" t="str">
        <f t="array" aca="1" ref="YX1545" ca="1">IFERROR(INDEX(nombres[],SMALL(IF(OFFSET(nombres[],0,0,ROWS(nombres[]),1)=YX$1490,ROW(OFFSET(nombres[],0,0,ROWS(nombres[]),1))-ROW(OFFSET(nombres[],0,0,1,1))+1,ROW(OFFSET(nombres[],ROWS(nombres[])-1,0,1,1))+1),$O1545:$O1564),3),"")</f>
        <v/>
      </c>
      <c r="YY1545" s="42" t="str">
        <f t="array" aca="1" ref="YY1545" ca="1">IFERROR(INDEX(nombres[],SMALL(IF(OFFSET(nombres[],0,0,ROWS(nombres[]),1)=YY$1490,ROW(OFFSET(nombres[],0,0,ROWS(nombres[]),1))-ROW(OFFSET(nombres[],0,0,1,1))+1,ROW(OFFSET(nombres[],ROWS(nombres[])-1,0,1,1))+1),$O1545:$O1564),3),"")</f>
        <v/>
      </c>
      <c r="YZ1545" s="42" t="str">
        <f t="array" aca="1" ref="YZ1545" ca="1">IFERROR(INDEX(nombres[],SMALL(IF(OFFSET(nombres[],0,0,ROWS(nombres[]),1)=YZ$1490,ROW(OFFSET(nombres[],0,0,ROWS(nombres[]),1))-ROW(OFFSET(nombres[],0,0,1,1))+1,ROW(OFFSET(nombres[],ROWS(nombres[])-1,0,1,1))+1),$O1545:$O1564),3),"")</f>
        <v/>
      </c>
      <c r="ZA1545" s="42" t="str">
        <f t="array" aca="1" ref="ZA1545" ca="1">IFERROR(INDEX(nombres[],SMALL(IF(OFFSET(nombres[],0,0,ROWS(nombres[]),1)=ZA$1490,ROW(OFFSET(nombres[],0,0,ROWS(nombres[]),1))-ROW(OFFSET(nombres[],0,0,1,1))+1,ROW(OFFSET(nombres[],ROWS(nombres[])-1,0,1,1))+1),$O1545:$O1564),3),"")</f>
        <v/>
      </c>
      <c r="ZB1545" s="42" t="str">
        <f t="array" aca="1" ref="ZB1545" ca="1">IFERROR(INDEX(nombres[],SMALL(IF(OFFSET(nombres[],0,0,ROWS(nombres[]),1)=ZB$1490,ROW(OFFSET(nombres[],0,0,ROWS(nombres[]),1))-ROW(OFFSET(nombres[],0,0,1,1))+1,ROW(OFFSET(nombres[],ROWS(nombres[])-1,0,1,1))+1),$O1545:$O1564),3),"")</f>
        <v/>
      </c>
      <c r="ZC1545" s="42" t="str">
        <f t="array" aca="1" ref="ZC1545" ca="1">IFERROR(INDEX(nombres[],SMALL(IF(OFFSET(nombres[],0,0,ROWS(nombres[]),1)=ZC$1490,ROW(OFFSET(nombres[],0,0,ROWS(nombres[]),1))-ROW(OFFSET(nombres[],0,0,1,1))+1,ROW(OFFSET(nombres[],ROWS(nombres[])-1,0,1,1))+1),$O1545:$O1564),3),"")</f>
        <v/>
      </c>
      <c r="ZD1545" s="42" t="str">
        <f t="array" aca="1" ref="ZD1545" ca="1">IFERROR(INDEX(nombres[],SMALL(IF(OFFSET(nombres[],0,0,ROWS(nombres[]),1)=ZD$1490,ROW(OFFSET(nombres[],0,0,ROWS(nombres[]),1))-ROW(OFFSET(nombres[],0,0,1,1))+1,ROW(OFFSET(nombres[],ROWS(nombres[])-1,0,1,1))+1),$O1545:$O1564),3),"")</f>
        <v/>
      </c>
      <c r="ZE1545" s="42" t="str">
        <f t="array" aca="1" ref="ZE1545" ca="1">IFERROR(INDEX(nombres[],SMALL(IF(OFFSET(nombres[],0,0,ROWS(nombres[]),1)=ZE$1490,ROW(OFFSET(nombres[],0,0,ROWS(nombres[]),1))-ROW(OFFSET(nombres[],0,0,1,1))+1,ROW(OFFSET(nombres[],ROWS(nombres[])-1,0,1,1))+1),$O1545:$O1564),3),"")</f>
        <v/>
      </c>
      <c r="ZF1545" s="42" t="str">
        <f t="array" aca="1" ref="ZF1545" ca="1">IFERROR(INDEX(nombres[],SMALL(IF(OFFSET(nombres[],0,0,ROWS(nombres[]),1)=ZF$1490,ROW(OFFSET(nombres[],0,0,ROWS(nombres[]),1))-ROW(OFFSET(nombres[],0,0,1,1))+1,ROW(OFFSET(nombres[],ROWS(nombres[])-1,0,1,1))+1),$O1545:$O1564),3),"")</f>
        <v/>
      </c>
      <c r="ZG1545" s="42" t="str">
        <f t="array" aca="1" ref="ZG1545" ca="1">IFERROR(INDEX(nombres[],SMALL(IF(OFFSET(nombres[],0,0,ROWS(nombres[]),1)=ZG$1490,ROW(OFFSET(nombres[],0,0,ROWS(nombres[]),1))-ROW(OFFSET(nombres[],0,0,1,1))+1,ROW(OFFSET(nombres[],ROWS(nombres[])-1,0,1,1))+1),$O1545:$O1564),3),"")</f>
        <v/>
      </c>
      <c r="ZH1545" s="42" t="str">
        <f t="array" aca="1" ref="ZH1545" ca="1">IFERROR(INDEX(nombres[],SMALL(IF(OFFSET(nombres[],0,0,ROWS(nombres[]),1)=ZH$1490,ROW(OFFSET(nombres[],0,0,ROWS(nombres[]),1))-ROW(OFFSET(nombres[],0,0,1,1))+1,ROW(OFFSET(nombres[],ROWS(nombres[])-1,0,1,1))+1),$O1545:$O1564),3),"")</f>
        <v/>
      </c>
      <c r="ZI1545" s="42" t="str">
        <f t="array" aca="1" ref="ZI1545" ca="1">IFERROR(INDEX(nombres[],SMALL(IF(OFFSET(nombres[],0,0,ROWS(nombres[]),1)=ZI$1490,ROW(OFFSET(nombres[],0,0,ROWS(nombres[]),1))-ROW(OFFSET(nombres[],0,0,1,1))+1,ROW(OFFSET(nombres[],ROWS(nombres[])-1,0,1,1))+1),$O1545:$O1564),3),"")</f>
        <v/>
      </c>
      <c r="ZJ1545" s="42" t="str">
        <f t="array" aca="1" ref="ZJ1545" ca="1">IFERROR(INDEX(nombres[],SMALL(IF(OFFSET(nombres[],0,0,ROWS(nombres[]),1)=ZJ$1490,ROW(OFFSET(nombres[],0,0,ROWS(nombres[]),1))-ROW(OFFSET(nombres[],0,0,1,1))+1,ROW(OFFSET(nombres[],ROWS(nombres[])-1,0,1,1))+1),$O1545:$O1564),3),"")</f>
        <v/>
      </c>
      <c r="ZK1545" s="42" t="str">
        <f t="array" aca="1" ref="ZK1545" ca="1">IFERROR(INDEX(nombres[],SMALL(IF(OFFSET(nombres[],0,0,ROWS(nombres[]),1)=ZK$1490,ROW(OFFSET(nombres[],0,0,ROWS(nombres[]),1))-ROW(OFFSET(nombres[],0,0,1,1))+1,ROW(OFFSET(nombres[],ROWS(nombres[])-1,0,1,1))+1),$O1545:$O1564),3),"")</f>
        <v/>
      </c>
      <c r="ZL1545" s="42" t="str">
        <f t="array" aca="1" ref="ZL1545" ca="1">IFERROR(INDEX(nombres[],SMALL(IF(OFFSET(nombres[],0,0,ROWS(nombres[]),1)=ZL$1490,ROW(OFFSET(nombres[],0,0,ROWS(nombres[]),1))-ROW(OFFSET(nombres[],0,0,1,1))+1,ROW(OFFSET(nombres[],ROWS(nombres[])-1,0,1,1))+1),$O1545:$O1564),3),"")</f>
        <v/>
      </c>
      <c r="ZM1545" s="42" t="str">
        <f t="array" aca="1" ref="ZM1545" ca="1">IFERROR(INDEX(nombres[],SMALL(IF(OFFSET(nombres[],0,0,ROWS(nombres[]),1)=ZM$1490,ROW(OFFSET(nombres[],0,0,ROWS(nombres[]),1))-ROW(OFFSET(nombres[],0,0,1,1))+1,ROW(OFFSET(nombres[],ROWS(nombres[])-1,0,1,1))+1),$O1545:$O1564),3),"")</f>
        <v/>
      </c>
      <c r="ZN1545" s="42" t="str">
        <f t="array" aca="1" ref="ZN1545" ca="1">IFERROR(INDEX(nombres[],SMALL(IF(OFFSET(nombres[],0,0,ROWS(nombres[]),1)=ZN$1490,ROW(OFFSET(nombres[],0,0,ROWS(nombres[]),1))-ROW(OFFSET(nombres[],0,0,1,1))+1,ROW(OFFSET(nombres[],ROWS(nombres[])-1,0,1,1))+1),$O1545:$O1564),3),"")</f>
        <v/>
      </c>
      <c r="ZO1545" s="42" t="str">
        <f t="array" aca="1" ref="ZO1545" ca="1">IFERROR(INDEX(nombres[],SMALL(IF(OFFSET(nombres[],0,0,ROWS(nombres[]),1)=ZO$1490,ROW(OFFSET(nombres[],0,0,ROWS(nombres[]),1))-ROW(OFFSET(nombres[],0,0,1,1))+1,ROW(OFFSET(nombres[],ROWS(nombres[])-1,0,1,1))+1),$O1545:$O1564),3),"")</f>
        <v/>
      </c>
      <c r="ZP1545" s="42" t="str">
        <f t="array" aca="1" ref="ZP1545" ca="1">IFERROR(INDEX(nombres[],SMALL(IF(OFFSET(nombres[],0,0,ROWS(nombres[]),1)=ZP$1490,ROW(OFFSET(nombres[],0,0,ROWS(nombres[]),1))-ROW(OFFSET(nombres[],0,0,1,1))+1,ROW(OFFSET(nombres[],ROWS(nombres[])-1,0,1,1))+1),$O1545:$O1564),3),"")</f>
        <v/>
      </c>
      <c r="ZQ1545" s="42" t="str">
        <f t="array" aca="1" ref="ZQ1545" ca="1">IFERROR(INDEX(nombres[],SMALL(IF(OFFSET(nombres[],0,0,ROWS(nombres[]),1)=ZQ$1490,ROW(OFFSET(nombres[],0,0,ROWS(nombres[]),1))-ROW(OFFSET(nombres[],0,0,1,1))+1,ROW(OFFSET(nombres[],ROWS(nombres[])-1,0,1,1))+1),$O1545:$O1564),3),"")</f>
        <v/>
      </c>
      <c r="ZR1545" s="42" t="str">
        <f t="array" aca="1" ref="ZR1545" ca="1">IFERROR(INDEX(nombres[],SMALL(IF(OFFSET(nombres[],0,0,ROWS(nombres[]),1)=ZR$1490,ROW(OFFSET(nombres[],0,0,ROWS(nombres[]),1))-ROW(OFFSET(nombres[],0,0,1,1))+1,ROW(OFFSET(nombres[],ROWS(nombres[])-1,0,1,1))+1),$O1545:$O1564),3),"")</f>
        <v/>
      </c>
      <c r="ZS1545" s="42" t="str">
        <f t="array" aca="1" ref="ZS1545" ca="1">IFERROR(INDEX(nombres[],SMALL(IF(OFFSET(nombres[],0,0,ROWS(nombres[]),1)=ZS$1490,ROW(OFFSET(nombres[],0,0,ROWS(nombres[]),1))-ROW(OFFSET(nombres[],0,0,1,1))+1,ROW(OFFSET(nombres[],ROWS(nombres[])-1,0,1,1))+1),$O1545:$O1564),3),"")</f>
        <v/>
      </c>
      <c r="ZT1545" s="42" t="str">
        <f t="array" aca="1" ref="ZT1545" ca="1">IFERROR(INDEX(nombres[],SMALL(IF(OFFSET(nombres[],0,0,ROWS(nombres[]),1)=ZT$1490,ROW(OFFSET(nombres[],0,0,ROWS(nombres[]),1))-ROW(OFFSET(nombres[],0,0,1,1))+1,ROW(OFFSET(nombres[],ROWS(nombres[])-1,0,1,1))+1),$O1545:$O1564),3),"")</f>
        <v/>
      </c>
      <c r="ZU1545" s="42" t="str">
        <f t="array" aca="1" ref="ZU1545" ca="1">IFERROR(INDEX(nombres[],SMALL(IF(OFFSET(nombres[],0,0,ROWS(nombres[]),1)=ZU$1490,ROW(OFFSET(nombres[],0,0,ROWS(nombres[]),1))-ROW(OFFSET(nombres[],0,0,1,1))+1,ROW(OFFSET(nombres[],ROWS(nombres[])-1,0,1,1))+1),$O1545:$O1564),3),"")</f>
        <v/>
      </c>
      <c r="ZV1545" s="42" t="str">
        <f t="array" aca="1" ref="ZV1545" ca="1">IFERROR(INDEX(nombres[],SMALL(IF(OFFSET(nombres[],0,0,ROWS(nombres[]),1)=ZV$1490,ROW(OFFSET(nombres[],0,0,ROWS(nombres[]),1))-ROW(OFFSET(nombres[],0,0,1,1))+1,ROW(OFFSET(nombres[],ROWS(nombres[])-1,0,1,1))+1),$O1545:$O1564),3),"")</f>
        <v/>
      </c>
      <c r="ZW1545" s="42" t="str">
        <f t="array" aca="1" ref="ZW1545" ca="1">IFERROR(INDEX(nombres[],SMALL(IF(OFFSET(nombres[],0,0,ROWS(nombres[]),1)=ZW$1490,ROW(OFFSET(nombres[],0,0,ROWS(nombres[]),1))-ROW(OFFSET(nombres[],0,0,1,1))+1,ROW(OFFSET(nombres[],ROWS(nombres[])-1,0,1,1))+1),$O1545:$O1564),3),"")</f>
        <v/>
      </c>
      <c r="ZX1545" s="42" t="str">
        <f t="array" aca="1" ref="ZX1545" ca="1">IFERROR(INDEX(nombres[],SMALL(IF(OFFSET(nombres[],0,0,ROWS(nombres[]),1)=ZX$1490,ROW(OFFSET(nombres[],0,0,ROWS(nombres[]),1))-ROW(OFFSET(nombres[],0,0,1,1))+1,ROW(OFFSET(nombres[],ROWS(nombres[])-1,0,1,1))+1),$O1545:$O1564),3),"")</f>
        <v/>
      </c>
      <c r="ZY1545" s="42" t="str">
        <f t="array" aca="1" ref="ZY1545" ca="1">IFERROR(INDEX(nombres[],SMALL(IF(OFFSET(nombres[],0,0,ROWS(nombres[]),1)=ZY$1490,ROW(OFFSET(nombres[],0,0,ROWS(nombres[]),1))-ROW(OFFSET(nombres[],0,0,1,1))+1,ROW(OFFSET(nombres[],ROWS(nombres[])-1,0,1,1))+1),$O1545:$O1564),3),"")</f>
        <v/>
      </c>
      <c r="ZZ1545" s="42" t="str">
        <f t="array" aca="1" ref="ZZ1545" ca="1">IFERROR(INDEX(nombres[],SMALL(IF(OFFSET(nombres[],0,0,ROWS(nombres[]),1)=ZZ$1490,ROW(OFFSET(nombres[],0,0,ROWS(nombres[]),1))-ROW(OFFSET(nombres[],0,0,1,1))+1,ROW(OFFSET(nombres[],ROWS(nombres[])-1,0,1,1))+1),$O1545:$O1564),3),"")</f>
        <v/>
      </c>
      <c r="AAA1545" s="42" t="str">
        <f t="array" aca="1" ref="AAA1545" ca="1">IFERROR(INDEX(nombres[],SMALL(IF(OFFSET(nombres[],0,0,ROWS(nombres[]),1)=AAA$1490,ROW(OFFSET(nombres[],0,0,ROWS(nombres[]),1))-ROW(OFFSET(nombres[],0,0,1,1))+1,ROW(OFFSET(nombres[],ROWS(nombres[])-1,0,1,1))+1),$O1545:$O1564),3),"")</f>
        <v/>
      </c>
      <c r="AAB1545" s="42" t="str">
        <f t="array" aca="1" ref="AAB1545" ca="1">IFERROR(INDEX(nombres[],SMALL(IF(OFFSET(nombres[],0,0,ROWS(nombres[]),1)=AAB$1490,ROW(OFFSET(nombres[],0,0,ROWS(nombres[]),1))-ROW(OFFSET(nombres[],0,0,1,1))+1,ROW(OFFSET(nombres[],ROWS(nombres[])-1,0,1,1))+1),$O1545:$O1564),3),"")</f>
        <v/>
      </c>
      <c r="AAC1545" s="42" t="str">
        <f t="array" aca="1" ref="AAC1545" ca="1">IFERROR(INDEX(nombres[],SMALL(IF(OFFSET(nombres[],0,0,ROWS(nombres[]),1)=AAC$1490,ROW(OFFSET(nombres[],0,0,ROWS(nombres[]),1))-ROW(OFFSET(nombres[],0,0,1,1))+1,ROW(OFFSET(nombres[],ROWS(nombres[])-1,0,1,1))+1),$O1545:$O1564),3),"")</f>
        <v/>
      </c>
      <c r="AAD1545" s="42" t="str">
        <f t="array" aca="1" ref="AAD1545" ca="1">IFERROR(INDEX(nombres[],SMALL(IF(OFFSET(nombres[],0,0,ROWS(nombres[]),1)=AAD$1490,ROW(OFFSET(nombres[],0,0,ROWS(nombres[]),1))-ROW(OFFSET(nombres[],0,0,1,1))+1,ROW(OFFSET(nombres[],ROWS(nombres[])-1,0,1,1))+1),$O1545:$O1564),3),"")</f>
        <v/>
      </c>
      <c r="AAE1545" s="42" t="str">
        <f t="array" aca="1" ref="AAE1545" ca="1">IFERROR(INDEX(nombres[],SMALL(IF(OFFSET(nombres[],0,0,ROWS(nombres[]),1)=AAE$1490,ROW(OFFSET(nombres[],0,0,ROWS(nombres[]),1))-ROW(OFFSET(nombres[],0,0,1,1))+1,ROW(OFFSET(nombres[],ROWS(nombres[])-1,0,1,1))+1),$O1545:$O1564),3),"")</f>
        <v/>
      </c>
      <c r="AAF1545" s="42" t="str">
        <f t="array" aca="1" ref="AAF1545" ca="1">IFERROR(INDEX(nombres[],SMALL(IF(OFFSET(nombres[],0,0,ROWS(nombres[]),1)=AAF$1490,ROW(OFFSET(nombres[],0,0,ROWS(nombres[]),1))-ROW(OFFSET(nombres[],0,0,1,1))+1,ROW(OFFSET(nombres[],ROWS(nombres[])-1,0,1,1))+1),$O1545:$O1564),3),"")</f>
        <v/>
      </c>
      <c r="AAG1545" s="42" t="str">
        <f t="array" aca="1" ref="AAG1545" ca="1">IFERROR(INDEX(nombres[],SMALL(IF(OFFSET(nombres[],0,0,ROWS(nombres[]),1)=AAG$1490,ROW(OFFSET(nombres[],0,0,ROWS(nombres[]),1))-ROW(OFFSET(nombres[],0,0,1,1))+1,ROW(OFFSET(nombres[],ROWS(nombres[])-1,0,1,1))+1),$O1545:$O1564),3),"")</f>
        <v/>
      </c>
      <c r="AAH1545" s="42" t="str">
        <f t="array" aca="1" ref="AAH1545" ca="1">IFERROR(INDEX(nombres[],SMALL(IF(OFFSET(nombres[],0,0,ROWS(nombres[]),1)=AAH$1490,ROW(OFFSET(nombres[],0,0,ROWS(nombres[]),1))-ROW(OFFSET(nombres[],0,0,1,1))+1,ROW(OFFSET(nombres[],ROWS(nombres[])-1,0,1,1))+1),$O1545:$O1564),3),"")</f>
        <v/>
      </c>
      <c r="AAI1545" s="42" t="str">
        <f t="array" aca="1" ref="AAI1545" ca="1">IFERROR(INDEX(nombres[],SMALL(IF(OFFSET(nombres[],0,0,ROWS(nombres[]),1)=AAI$1490,ROW(OFFSET(nombres[],0,0,ROWS(nombres[]),1))-ROW(OFFSET(nombres[],0,0,1,1))+1,ROW(OFFSET(nombres[],ROWS(nombres[])-1,0,1,1))+1),$O1545:$O1564),3),"")</f>
        <v/>
      </c>
      <c r="AAJ1545" s="42" t="str">
        <f t="array" aca="1" ref="AAJ1545" ca="1">IFERROR(INDEX(nombres[],SMALL(IF(OFFSET(nombres[],0,0,ROWS(nombres[]),1)=AAJ$1490,ROW(OFFSET(nombres[],0,0,ROWS(nombres[]),1))-ROW(OFFSET(nombres[],0,0,1,1))+1,ROW(OFFSET(nombres[],ROWS(nombres[])-1,0,1,1))+1),$O1545:$O1564),3),"")</f>
        <v/>
      </c>
      <c r="AAK1545" s="42" t="str">
        <f t="array" aca="1" ref="AAK1545" ca="1">IFERROR(INDEX(nombres[],SMALL(IF(OFFSET(nombres[],0,0,ROWS(nombres[]),1)=AAK$1490,ROW(OFFSET(nombres[],0,0,ROWS(nombres[]),1))-ROW(OFFSET(nombres[],0,0,1,1))+1,ROW(OFFSET(nombres[],ROWS(nombres[])-1,0,1,1))+1),$O1545:$O1564),3),"")</f>
        <v/>
      </c>
      <c r="AAL1545" s="42" t="str">
        <f t="array" aca="1" ref="AAL1545" ca="1">IFERROR(INDEX(nombres[],SMALL(IF(OFFSET(nombres[],0,0,ROWS(nombres[]),1)=AAL$1490,ROW(OFFSET(nombres[],0,0,ROWS(nombres[]),1))-ROW(OFFSET(nombres[],0,0,1,1))+1,ROW(OFFSET(nombres[],ROWS(nombres[])-1,0,1,1))+1),$O1545:$O1564),3),"")</f>
        <v/>
      </c>
      <c r="AAM1545" s="42" t="str">
        <f t="array" aca="1" ref="AAM1545" ca="1">IFERROR(INDEX(nombres[],SMALL(IF(OFFSET(nombres[],0,0,ROWS(nombres[]),1)=AAM$1490,ROW(OFFSET(nombres[],0,0,ROWS(nombres[]),1))-ROW(OFFSET(nombres[],0,0,1,1))+1,ROW(OFFSET(nombres[],ROWS(nombres[])-1,0,1,1))+1),$O1545:$O1564),3),"")</f>
        <v/>
      </c>
      <c r="AAN1545" s="42" t="str">
        <f t="array" aca="1" ref="AAN1545" ca="1">IFERROR(INDEX(nombres[],SMALL(IF(OFFSET(nombres[],0,0,ROWS(nombres[]),1)=AAN$1490,ROW(OFFSET(nombres[],0,0,ROWS(nombres[]),1))-ROW(OFFSET(nombres[],0,0,1,1))+1,ROW(OFFSET(nombres[],ROWS(nombres[])-1,0,1,1))+1),$O1545:$O1564),3),"")</f>
        <v/>
      </c>
      <c r="AAO1545" s="42" t="str">
        <f t="array" aca="1" ref="AAO1545" ca="1">IFERROR(INDEX(nombres[],SMALL(IF(OFFSET(nombres[],0,0,ROWS(nombres[]),1)=AAO$1490,ROW(OFFSET(nombres[],0,0,ROWS(nombres[]),1))-ROW(OFFSET(nombres[],0,0,1,1))+1,ROW(OFFSET(nombres[],ROWS(nombres[])-1,0,1,1))+1),$O1545:$O1564),3),"")</f>
        <v/>
      </c>
      <c r="AAP1545" s="42" t="str">
        <f t="array" aca="1" ref="AAP1545" ca="1">IFERROR(INDEX(nombres[],SMALL(IF(OFFSET(nombres[],0,0,ROWS(nombres[]),1)=AAP$1490,ROW(OFFSET(nombres[],0,0,ROWS(nombres[]),1))-ROW(OFFSET(nombres[],0,0,1,1))+1,ROW(OFFSET(nombres[],ROWS(nombres[])-1,0,1,1))+1),$O1545:$O1564),3),"")</f>
        <v/>
      </c>
      <c r="AAQ1545" s="42" t="str">
        <f t="array" aca="1" ref="AAQ1545" ca="1">IFERROR(INDEX(nombres[],SMALL(IF(OFFSET(nombres[],0,0,ROWS(nombres[]),1)=AAQ$1490,ROW(OFFSET(nombres[],0,0,ROWS(nombres[]),1))-ROW(OFFSET(nombres[],0,0,1,1))+1,ROW(OFFSET(nombres[],ROWS(nombres[])-1,0,1,1))+1),$O1545:$O1564),3),"")</f>
        <v/>
      </c>
      <c r="AAR1545" s="42" t="str">
        <f t="array" aca="1" ref="AAR1545" ca="1">IFERROR(INDEX(nombres[],SMALL(IF(OFFSET(nombres[],0,0,ROWS(nombres[]),1)=AAR$1490,ROW(OFFSET(nombres[],0,0,ROWS(nombres[]),1))-ROW(OFFSET(nombres[],0,0,1,1))+1,ROW(OFFSET(nombres[],ROWS(nombres[])-1,0,1,1))+1),$O1545:$O1564),3),"")</f>
        <v/>
      </c>
      <c r="AAS1545" s="42" t="str">
        <f t="array" aca="1" ref="AAS1545" ca="1">IFERROR(INDEX(nombres[],SMALL(IF(OFFSET(nombres[],0,0,ROWS(nombres[]),1)=AAS$1490,ROW(OFFSET(nombres[],0,0,ROWS(nombres[]),1))-ROW(OFFSET(nombres[],0,0,1,1))+1,ROW(OFFSET(nombres[],ROWS(nombres[])-1,0,1,1))+1),$O1545:$O1564),3),"")</f>
        <v/>
      </c>
      <c r="AAT1545" s="42" t="str">
        <f t="array" aca="1" ref="AAT1545" ca="1">IFERROR(INDEX(nombres[],SMALL(IF(OFFSET(nombres[],0,0,ROWS(nombres[]),1)=AAT$1490,ROW(OFFSET(nombres[],0,0,ROWS(nombres[]),1))-ROW(OFFSET(nombres[],0,0,1,1))+1,ROW(OFFSET(nombres[],ROWS(nombres[])-1,0,1,1))+1),$O1545:$O1564),3),"")</f>
        <v/>
      </c>
      <c r="AAU1545" s="42" t="str">
        <f t="array" aca="1" ref="AAU1545" ca="1">IFERROR(INDEX(nombres[],SMALL(IF(OFFSET(nombres[],0,0,ROWS(nombres[]),1)=AAU$1490,ROW(OFFSET(nombres[],0,0,ROWS(nombres[]),1))-ROW(OFFSET(nombres[],0,0,1,1))+1,ROW(OFFSET(nombres[],ROWS(nombres[])-1,0,1,1))+1),$O1545:$O1564),3),"")</f>
        <v/>
      </c>
      <c r="AAV1545" s="42" t="str">
        <f t="array" aca="1" ref="AAV1545" ca="1">IFERROR(INDEX(nombres[],SMALL(IF(OFFSET(nombres[],0,0,ROWS(nombres[]),1)=AAV$1490,ROW(OFFSET(nombres[],0,0,ROWS(nombres[]),1))-ROW(OFFSET(nombres[],0,0,1,1))+1,ROW(OFFSET(nombres[],ROWS(nombres[])-1,0,1,1))+1),$O1545:$O1564),3),"")</f>
        <v/>
      </c>
      <c r="AAW1545" s="42" t="str">
        <f t="array" aca="1" ref="AAW1545" ca="1">IFERROR(INDEX(nombres[],SMALL(IF(OFFSET(nombres[],0,0,ROWS(nombres[]),1)=AAW$1490,ROW(OFFSET(nombres[],0,0,ROWS(nombres[]),1))-ROW(OFFSET(nombres[],0,0,1,1))+1,ROW(OFFSET(nombres[],ROWS(nombres[])-1,0,1,1))+1),$O1545:$O1564),3),"")</f>
        <v/>
      </c>
      <c r="AAX1545" s="42" t="str">
        <f t="array" aca="1" ref="AAX1545" ca="1">IFERROR(INDEX(nombres[],SMALL(IF(OFFSET(nombres[],0,0,ROWS(nombres[]),1)=AAX$1490,ROW(OFFSET(nombres[],0,0,ROWS(nombres[]),1))-ROW(OFFSET(nombres[],0,0,1,1))+1,ROW(OFFSET(nombres[],ROWS(nombres[])-1,0,1,1))+1),$O1545:$O1564),3),"")</f>
        <v/>
      </c>
      <c r="AAY1545" s="42" t="str">
        <f t="array" aca="1" ref="AAY1545" ca="1">IFERROR(INDEX(nombres[],SMALL(IF(OFFSET(nombres[],0,0,ROWS(nombres[]),1)=AAY$1490,ROW(OFFSET(nombres[],0,0,ROWS(nombres[]),1))-ROW(OFFSET(nombres[],0,0,1,1))+1,ROW(OFFSET(nombres[],ROWS(nombres[])-1,0,1,1))+1),$O1545:$O1564),3),"")</f>
        <v/>
      </c>
      <c r="AAZ1545" s="42" t="str">
        <f t="array" aca="1" ref="AAZ1545" ca="1">IFERROR(INDEX(nombres[],SMALL(IF(OFFSET(nombres[],0,0,ROWS(nombres[]),1)=AAZ$1490,ROW(OFFSET(nombres[],0,0,ROWS(nombres[]),1))-ROW(OFFSET(nombres[],0,0,1,1))+1,ROW(OFFSET(nombres[],ROWS(nombres[])-1,0,1,1))+1),$O1545:$O1564),3),"")</f>
        <v/>
      </c>
      <c r="ABA1545" s="42" t="str">
        <f t="array" aca="1" ref="ABA1545" ca="1">IFERROR(INDEX(nombres[],SMALL(IF(OFFSET(nombres[],0,0,ROWS(nombres[]),1)=ABA$1490,ROW(OFFSET(nombres[],0,0,ROWS(nombres[]),1))-ROW(OFFSET(nombres[],0,0,1,1))+1,ROW(OFFSET(nombres[],ROWS(nombres[])-1,0,1,1))+1),$O1545:$O1564),3),"")</f>
        <v/>
      </c>
      <c r="ABB1545" s="42" t="str">
        <f t="array" aca="1" ref="ABB1545" ca="1">IFERROR(INDEX(nombres[],SMALL(IF(OFFSET(nombres[],0,0,ROWS(nombres[]),1)=ABB$1490,ROW(OFFSET(nombres[],0,0,ROWS(nombres[]),1))-ROW(OFFSET(nombres[],0,0,1,1))+1,ROW(OFFSET(nombres[],ROWS(nombres[])-1,0,1,1))+1),$O1545:$O1564),3),"")</f>
        <v/>
      </c>
      <c r="ABC1545" s="42" t="str">
        <f t="array" aca="1" ref="ABC1545" ca="1">IFERROR(INDEX(nombres[],SMALL(IF(OFFSET(nombres[],0,0,ROWS(nombres[]),1)=ABC$1490,ROW(OFFSET(nombres[],0,0,ROWS(nombres[]),1))-ROW(OFFSET(nombres[],0,0,1,1))+1,ROW(OFFSET(nombres[],ROWS(nombres[])-1,0,1,1))+1),$O1545:$O1564),3),"")</f>
        <v/>
      </c>
      <c r="ABD1545" s="42" t="str">
        <f t="array" aca="1" ref="ABD1545" ca="1">IFERROR(INDEX(nombres[],SMALL(IF(OFFSET(nombres[],0,0,ROWS(nombres[]),1)=ABD$1490,ROW(OFFSET(nombres[],0,0,ROWS(nombres[]),1))-ROW(OFFSET(nombres[],0,0,1,1))+1,ROW(OFFSET(nombres[],ROWS(nombres[])-1,0,1,1))+1),$O1545:$O1564),3),"")</f>
        <v/>
      </c>
      <c r="ABE1545" s="42" t="str">
        <f t="array" aca="1" ref="ABE1545" ca="1">IFERROR(INDEX(nombres[],SMALL(IF(OFFSET(nombres[],0,0,ROWS(nombres[]),1)=ABE$1490,ROW(OFFSET(nombres[],0,0,ROWS(nombres[]),1))-ROW(OFFSET(nombres[],0,0,1,1))+1,ROW(OFFSET(nombres[],ROWS(nombres[])-1,0,1,1))+1),$O1545:$O1564),3),"")</f>
        <v/>
      </c>
      <c r="ABF1545" s="42" t="str">
        <f t="array" aca="1" ref="ABF1545" ca="1">IFERROR(INDEX(nombres[],SMALL(IF(OFFSET(nombres[],0,0,ROWS(nombres[]),1)=ABF$1490,ROW(OFFSET(nombres[],0,0,ROWS(nombres[]),1))-ROW(OFFSET(nombres[],0,0,1,1))+1,ROW(OFFSET(nombres[],ROWS(nombres[])-1,0,1,1))+1),$O1545:$O1564),3),"")</f>
        <v/>
      </c>
      <c r="ABG1545" s="42" t="str">
        <f t="array" aca="1" ref="ABG1545" ca="1">IFERROR(INDEX(nombres[],SMALL(IF(OFFSET(nombres[],0,0,ROWS(nombres[]),1)=ABG$1490,ROW(OFFSET(nombres[],0,0,ROWS(nombres[]),1))-ROW(OFFSET(nombres[],0,0,1,1))+1,ROW(OFFSET(nombres[],ROWS(nombres[])-1,0,1,1))+1),$O1545:$O1564),3),"")</f>
        <v/>
      </c>
      <c r="ABH1545" s="42" t="str">
        <f t="array" aca="1" ref="ABH1545" ca="1">IFERROR(INDEX(nombres[],SMALL(IF(OFFSET(nombres[],0,0,ROWS(nombres[]),1)=ABH$1490,ROW(OFFSET(nombres[],0,0,ROWS(nombres[]),1))-ROW(OFFSET(nombres[],0,0,1,1))+1,ROW(OFFSET(nombres[],ROWS(nombres[])-1,0,1,1))+1),$O1545:$O1564),3),"")</f>
        <v/>
      </c>
      <c r="ABI1545" s="42" t="str">
        <f t="array" aca="1" ref="ABI1545" ca="1">IFERROR(INDEX(nombres[],SMALL(IF(OFFSET(nombres[],0,0,ROWS(nombres[]),1)=ABI$1490,ROW(OFFSET(nombres[],0,0,ROWS(nombres[]),1))-ROW(OFFSET(nombres[],0,0,1,1))+1,ROW(OFFSET(nombres[],ROWS(nombres[])-1,0,1,1))+1),$O1545:$O1564),3),"")</f>
        <v/>
      </c>
      <c r="ABJ1545" s="42" t="str">
        <f t="array" aca="1" ref="ABJ1545" ca="1">IFERROR(INDEX(nombres[],SMALL(IF(OFFSET(nombres[],0,0,ROWS(nombres[]),1)=ABJ$1490,ROW(OFFSET(nombres[],0,0,ROWS(nombres[]),1))-ROW(OFFSET(nombres[],0,0,1,1))+1,ROW(OFFSET(nombres[],ROWS(nombres[])-1,0,1,1))+1),$O1545:$O1564),3),"")</f>
        <v/>
      </c>
      <c r="ABK1545" s="42" t="str">
        <f t="array" aca="1" ref="ABK1545" ca="1">IFERROR(INDEX(nombres[],SMALL(IF(OFFSET(nombres[],0,0,ROWS(nombres[]),1)=ABK$1490,ROW(OFFSET(nombres[],0,0,ROWS(nombres[]),1))-ROW(OFFSET(nombres[],0,0,1,1))+1,ROW(OFFSET(nombres[],ROWS(nombres[])-1,0,1,1))+1),$O1545:$O1564),3),"")</f>
        <v/>
      </c>
      <c r="ABL1545" s="42" t="str">
        <f t="array" aca="1" ref="ABL1545" ca="1">IFERROR(INDEX(nombres[],SMALL(IF(OFFSET(nombres[],0,0,ROWS(nombres[]),1)=ABL$1490,ROW(OFFSET(nombres[],0,0,ROWS(nombres[]),1))-ROW(OFFSET(nombres[],0,0,1,1))+1,ROW(OFFSET(nombres[],ROWS(nombres[])-1,0,1,1))+1),$O1545:$O1564),3),"")</f>
        <v/>
      </c>
      <c r="ABM1545" s="42" t="str">
        <f t="array" aca="1" ref="ABM1545" ca="1">IFERROR(INDEX(nombres[],SMALL(IF(OFFSET(nombres[],0,0,ROWS(nombres[]),1)=ABM$1490,ROW(OFFSET(nombres[],0,0,ROWS(nombres[]),1))-ROW(OFFSET(nombres[],0,0,1,1))+1,ROW(OFFSET(nombres[],ROWS(nombres[])-1,0,1,1))+1),$O1545:$O1564),3),"")</f>
        <v/>
      </c>
      <c r="ABN1545" s="42" t="str">
        <f t="array" aca="1" ref="ABN1545" ca="1">IFERROR(INDEX(nombres[],SMALL(IF(OFFSET(nombres[],0,0,ROWS(nombres[]),1)=ABN$1490,ROW(OFFSET(nombres[],0,0,ROWS(nombres[]),1))-ROW(OFFSET(nombres[],0,0,1,1))+1,ROW(OFFSET(nombres[],ROWS(nombres[])-1,0,1,1))+1),$O1545:$O1564),3),"")</f>
        <v/>
      </c>
      <c r="ABO1545" s="42" t="str">
        <f t="array" aca="1" ref="ABO1545" ca="1">IFERROR(INDEX(nombres[],SMALL(IF(OFFSET(nombres[],0,0,ROWS(nombres[]),1)=ABO$1490,ROW(OFFSET(nombres[],0,0,ROWS(nombres[]),1))-ROW(OFFSET(nombres[],0,0,1,1))+1,ROW(OFFSET(nombres[],ROWS(nombres[])-1,0,1,1))+1),$O1545:$O1564),3),"")</f>
        <v/>
      </c>
      <c r="ABP1545" s="42" t="str">
        <f t="array" aca="1" ref="ABP1545" ca="1">IFERROR(INDEX(nombres[],SMALL(IF(OFFSET(nombres[],0,0,ROWS(nombres[]),1)=ABP$1490,ROW(OFFSET(nombres[],0,0,ROWS(nombres[]),1))-ROW(OFFSET(nombres[],0,0,1,1))+1,ROW(OFFSET(nombres[],ROWS(nombres[])-1,0,1,1))+1),$O1545:$O1564),3),"")</f>
        <v/>
      </c>
      <c r="ABQ1545" s="42" t="str">
        <f t="array" aca="1" ref="ABQ1545" ca="1">IFERROR(INDEX(nombres[],SMALL(IF(OFFSET(nombres[],0,0,ROWS(nombres[]),1)=ABQ$1490,ROW(OFFSET(nombres[],0,0,ROWS(nombres[]),1))-ROW(OFFSET(nombres[],0,0,1,1))+1,ROW(OFFSET(nombres[],ROWS(nombres[])-1,0,1,1))+1),$O1545:$O1564),3),"")</f>
        <v/>
      </c>
      <c r="ABR1545" s="42" t="str">
        <f t="array" aca="1" ref="ABR1545" ca="1">IFERROR(INDEX(nombres[],SMALL(IF(OFFSET(nombres[],0,0,ROWS(nombres[]),1)=ABR$1490,ROW(OFFSET(nombres[],0,0,ROWS(nombres[]),1))-ROW(OFFSET(nombres[],0,0,1,1))+1,ROW(OFFSET(nombres[],ROWS(nombres[])-1,0,1,1))+1),$O1545:$O1564),3),"")</f>
        <v/>
      </c>
      <c r="ABS1545" s="42" t="str">
        <f t="array" aca="1" ref="ABS1545" ca="1">IFERROR(INDEX(nombres[],SMALL(IF(OFFSET(nombres[],0,0,ROWS(nombres[]),1)=ABS$1490,ROW(OFFSET(nombres[],0,0,ROWS(nombres[]),1))-ROW(OFFSET(nombres[],0,0,1,1))+1,ROW(OFFSET(nombres[],ROWS(nombres[])-1,0,1,1))+1),$O1545:$O1564),3),"")</f>
        <v/>
      </c>
      <c r="ABT1545" s="42" t="str">
        <f t="array" aca="1" ref="ABT1545" ca="1">IFERROR(INDEX(nombres[],SMALL(IF(OFFSET(nombres[],0,0,ROWS(nombres[]),1)=ABT$1490,ROW(OFFSET(nombres[],0,0,ROWS(nombres[]),1))-ROW(OFFSET(nombres[],0,0,1,1))+1,ROW(OFFSET(nombres[],ROWS(nombres[])-1,0,1,1))+1),$O1545:$O1564),3),"")</f>
        <v/>
      </c>
      <c r="ABU1545" s="42" t="str">
        <f t="array" aca="1" ref="ABU1545" ca="1">IFERROR(INDEX(nombres[],SMALL(IF(OFFSET(nombres[],0,0,ROWS(nombres[]),1)=ABU$1490,ROW(OFFSET(nombres[],0,0,ROWS(nombres[]),1))-ROW(OFFSET(nombres[],0,0,1,1))+1,ROW(OFFSET(nombres[],ROWS(nombres[])-1,0,1,1))+1),$O1545:$O1564),3),"")</f>
        <v/>
      </c>
      <c r="ABV1545" s="42" t="str">
        <f t="array" aca="1" ref="ABV1545" ca="1">IFERROR(INDEX(nombres[],SMALL(IF(OFFSET(nombres[],0,0,ROWS(nombres[]),1)=ABV$1490,ROW(OFFSET(nombres[],0,0,ROWS(nombres[]),1))-ROW(OFFSET(nombres[],0,0,1,1))+1,ROW(OFFSET(nombres[],ROWS(nombres[])-1,0,1,1))+1),$O1545:$O1564),3),"")</f>
        <v/>
      </c>
      <c r="ABW1545" s="42" t="str">
        <f t="array" aca="1" ref="ABW1545" ca="1">IFERROR(INDEX(nombres[],SMALL(IF(OFFSET(nombres[],0,0,ROWS(nombres[]),1)=ABW$1490,ROW(OFFSET(nombres[],0,0,ROWS(nombres[]),1))-ROW(OFFSET(nombres[],0,0,1,1))+1,ROW(OFFSET(nombres[],ROWS(nombres[])-1,0,1,1))+1),$O1545:$O1564),3),"")</f>
        <v/>
      </c>
      <c r="ABX1545" s="42" t="str">
        <f t="array" aca="1" ref="ABX1545" ca="1">IFERROR(INDEX(nombres[],SMALL(IF(OFFSET(nombres[],0,0,ROWS(nombres[]),1)=ABX$1490,ROW(OFFSET(nombres[],0,0,ROWS(nombres[]),1))-ROW(OFFSET(nombres[],0,0,1,1))+1,ROW(OFFSET(nombres[],ROWS(nombres[])-1,0,1,1))+1),$O1545:$O1564),3),"")</f>
        <v/>
      </c>
      <c r="ABY1545" s="42" t="str">
        <f t="array" aca="1" ref="ABY1545" ca="1">IFERROR(INDEX(nombres[],SMALL(IF(OFFSET(nombres[],0,0,ROWS(nombres[]),1)=ABY$1490,ROW(OFFSET(nombres[],0,0,ROWS(nombres[]),1))-ROW(OFFSET(nombres[],0,0,1,1))+1,ROW(OFFSET(nombres[],ROWS(nombres[])-1,0,1,1))+1),$O1545:$O1564),3),"")</f>
        <v/>
      </c>
      <c r="ABZ1545" s="42" t="str">
        <f t="array" aca="1" ref="ABZ1545" ca="1">IFERROR(INDEX(nombres[],SMALL(IF(OFFSET(nombres[],0,0,ROWS(nombres[]),1)=ABZ$1490,ROW(OFFSET(nombres[],0,0,ROWS(nombres[]),1))-ROW(OFFSET(nombres[],0,0,1,1))+1,ROW(OFFSET(nombres[],ROWS(nombres[])-1,0,1,1))+1),$O1545:$O1564),3),"")</f>
        <v/>
      </c>
      <c r="ACA1545" s="42" t="str">
        <f t="array" aca="1" ref="ACA1545" ca="1">IFERROR(INDEX(nombres[],SMALL(IF(OFFSET(nombres[],0,0,ROWS(nombres[]),1)=ACA$1490,ROW(OFFSET(nombres[],0,0,ROWS(nombres[]),1))-ROW(OFFSET(nombres[],0,0,1,1))+1,ROW(OFFSET(nombres[],ROWS(nombres[])-1,0,1,1))+1),$O1545:$O1564),3),"")</f>
        <v/>
      </c>
      <c r="ACB1545" s="42" t="str">
        <f t="array" aca="1" ref="ACB1545" ca="1">IFERROR(INDEX(nombres[],SMALL(IF(OFFSET(nombres[],0,0,ROWS(nombres[]),1)=ACB$1490,ROW(OFFSET(nombres[],0,0,ROWS(nombres[]),1))-ROW(OFFSET(nombres[],0,0,1,1))+1,ROW(OFFSET(nombres[],ROWS(nombres[])-1,0,1,1))+1),$O1545:$O1564),3),"")</f>
        <v/>
      </c>
      <c r="ACC1545" s="42" t="str">
        <f t="array" aca="1" ref="ACC1545" ca="1">IFERROR(INDEX(nombres[],SMALL(IF(OFFSET(nombres[],0,0,ROWS(nombres[]),1)=ACC$1490,ROW(OFFSET(nombres[],0,0,ROWS(nombres[]),1))-ROW(OFFSET(nombres[],0,0,1,1))+1,ROW(OFFSET(nombres[],ROWS(nombres[])-1,0,1,1))+1),$O1545:$O1564),3),"")</f>
        <v/>
      </c>
      <c r="ACD1545" s="42" t="str">
        <f t="array" aca="1" ref="ACD1545" ca="1">IFERROR(INDEX(nombres[],SMALL(IF(OFFSET(nombres[],0,0,ROWS(nombres[]),1)=ACD$1490,ROW(OFFSET(nombres[],0,0,ROWS(nombres[]),1))-ROW(OFFSET(nombres[],0,0,1,1))+1,ROW(OFFSET(nombres[],ROWS(nombres[])-1,0,1,1))+1),$O1545:$O1564),3),"")</f>
        <v/>
      </c>
      <c r="ACE1545" s="42" t="str">
        <f t="array" aca="1" ref="ACE1545" ca="1">IFERROR(INDEX(nombres[],SMALL(IF(OFFSET(nombres[],0,0,ROWS(nombres[]),1)=ACE$1490,ROW(OFFSET(nombres[],0,0,ROWS(nombres[]),1))-ROW(OFFSET(nombres[],0,0,1,1))+1,ROW(OFFSET(nombres[],ROWS(nombres[])-1,0,1,1))+1),$O1545:$O1564),3),"")</f>
        <v/>
      </c>
      <c r="ACF1545" s="42" t="str">
        <f t="array" aca="1" ref="ACF1545" ca="1">IFERROR(INDEX(nombres[],SMALL(IF(OFFSET(nombres[],0,0,ROWS(nombres[]),1)=ACF$1490,ROW(OFFSET(nombres[],0,0,ROWS(nombres[]),1))-ROW(OFFSET(nombres[],0,0,1,1))+1,ROW(OFFSET(nombres[],ROWS(nombres[])-1,0,1,1))+1),$O1545:$O1564),3),"")</f>
        <v/>
      </c>
      <c r="ACG1545" s="42" t="str">
        <f t="array" aca="1" ref="ACG1545" ca="1">IFERROR(INDEX(nombres[],SMALL(IF(OFFSET(nombres[],0,0,ROWS(nombres[]),1)=ACG$1490,ROW(OFFSET(nombres[],0,0,ROWS(nombres[]),1))-ROW(OFFSET(nombres[],0,0,1,1))+1,ROW(OFFSET(nombres[],ROWS(nombres[])-1,0,1,1))+1),$O1545:$O1564),3),"")</f>
        <v/>
      </c>
      <c r="ACH1545" s="42" t="str">
        <f t="array" aca="1" ref="ACH1545" ca="1">IFERROR(INDEX(nombres[],SMALL(IF(OFFSET(nombres[],0,0,ROWS(nombres[]),1)=ACH$1490,ROW(OFFSET(nombres[],0,0,ROWS(nombres[]),1))-ROW(OFFSET(nombres[],0,0,1,1))+1,ROW(OFFSET(nombres[],ROWS(nombres[])-1,0,1,1))+1),$O1545:$O1564),3),"")</f>
        <v/>
      </c>
      <c r="ACI1545" s="42" t="str">
        <f t="array" aca="1" ref="ACI1545" ca="1">IFERROR(INDEX(nombres[],SMALL(IF(OFFSET(nombres[],0,0,ROWS(nombres[]),1)=ACI$1490,ROW(OFFSET(nombres[],0,0,ROWS(nombres[]),1))-ROW(OFFSET(nombres[],0,0,1,1))+1,ROW(OFFSET(nombres[],ROWS(nombres[])-1,0,1,1))+1),$O1545:$O1564),3),"")</f>
        <v/>
      </c>
      <c r="ACJ1545" s="42" t="str">
        <f t="array" aca="1" ref="ACJ1545" ca="1">IFERROR(INDEX(nombres[],SMALL(IF(OFFSET(nombres[],0,0,ROWS(nombres[]),1)=ACJ$1490,ROW(OFFSET(nombres[],0,0,ROWS(nombres[]),1))-ROW(OFFSET(nombres[],0,0,1,1))+1,ROW(OFFSET(nombres[],ROWS(nombres[])-1,0,1,1))+1),$O1545:$O1564),3),"")</f>
        <v/>
      </c>
      <c r="ACK1545" s="42" t="str">
        <f t="array" aca="1" ref="ACK1545" ca="1">IFERROR(INDEX(nombres[],SMALL(IF(OFFSET(nombres[],0,0,ROWS(nombres[]),1)=ACK$1490,ROW(OFFSET(nombres[],0,0,ROWS(nombres[]),1))-ROW(OFFSET(nombres[],0,0,1,1))+1,ROW(OFFSET(nombres[],ROWS(nombres[])-1,0,1,1))+1),$O1545:$O1564),3),"")</f>
        <v/>
      </c>
      <c r="ACL1545" s="42" t="str">
        <f t="array" aca="1" ref="ACL1545" ca="1">IFERROR(INDEX(nombres[],SMALL(IF(OFFSET(nombres[],0,0,ROWS(nombres[]),1)=ACL$1490,ROW(OFFSET(nombres[],0,0,ROWS(nombres[]),1))-ROW(OFFSET(nombres[],0,0,1,1))+1,ROW(OFFSET(nombres[],ROWS(nombres[])-1,0,1,1))+1),$O1545:$O1564),3),"")</f>
        <v/>
      </c>
      <c r="ACM1545" s="42" t="str">
        <f t="array" aca="1" ref="ACM1545" ca="1">IFERROR(INDEX(nombres[],SMALL(IF(OFFSET(nombres[],0,0,ROWS(nombres[]),1)=ACM$1490,ROW(OFFSET(nombres[],0,0,ROWS(nombres[]),1))-ROW(OFFSET(nombres[],0,0,1,1))+1,ROW(OFFSET(nombres[],ROWS(nombres[])-1,0,1,1))+1),$O1545:$O1564),3),"")</f>
        <v/>
      </c>
      <c r="ACN1545" s="42" t="str">
        <f t="array" aca="1" ref="ACN1545" ca="1">IFERROR(INDEX(nombres[],SMALL(IF(OFFSET(nombres[],0,0,ROWS(nombres[]),1)=ACN$1490,ROW(OFFSET(nombres[],0,0,ROWS(nombres[]),1))-ROW(OFFSET(nombres[],0,0,1,1))+1,ROW(OFFSET(nombres[],ROWS(nombres[])-1,0,1,1))+1),$O1545:$O1564),3),"")</f>
        <v/>
      </c>
      <c r="ACO1545" s="42" t="str">
        <f t="array" aca="1" ref="ACO1545" ca="1">IFERROR(INDEX(nombres[],SMALL(IF(OFFSET(nombres[],0,0,ROWS(nombres[]),1)=ACO$1490,ROW(OFFSET(nombres[],0,0,ROWS(nombres[]),1))-ROW(OFFSET(nombres[],0,0,1,1))+1,ROW(OFFSET(nombres[],ROWS(nombres[])-1,0,1,1))+1),$O1545:$O1564),3),"")</f>
        <v/>
      </c>
      <c r="ACP1545" s="42" t="str">
        <f t="array" aca="1" ref="ACP1545" ca="1">IFERROR(INDEX(nombres[],SMALL(IF(OFFSET(nombres[],0,0,ROWS(nombres[]),1)=ACP$1490,ROW(OFFSET(nombres[],0,0,ROWS(nombres[]),1))-ROW(OFFSET(nombres[],0,0,1,1))+1,ROW(OFFSET(nombres[],ROWS(nombres[])-1,0,1,1))+1),$O1545:$O1564),3),"")</f>
        <v/>
      </c>
      <c r="ACQ1545" s="42" t="str">
        <f t="array" aca="1" ref="ACQ1545" ca="1">IFERROR(INDEX(nombres[],SMALL(IF(OFFSET(nombres[],0,0,ROWS(nombres[]),1)=ACQ$1490,ROW(OFFSET(nombres[],0,0,ROWS(nombres[]),1))-ROW(OFFSET(nombres[],0,0,1,1))+1,ROW(OFFSET(nombres[],ROWS(nombres[])-1,0,1,1))+1),$O1545:$O1564),3),"")</f>
        <v/>
      </c>
      <c r="ACR1545" s="42" t="str">
        <f t="array" aca="1" ref="ACR1545" ca="1">IFERROR(INDEX(nombres[],SMALL(IF(OFFSET(nombres[],0,0,ROWS(nombres[]),1)=ACR$1490,ROW(OFFSET(nombres[],0,0,ROWS(nombres[]),1))-ROW(OFFSET(nombres[],0,0,1,1))+1,ROW(OFFSET(nombres[],ROWS(nombres[])-1,0,1,1))+1),$O1545:$O1564),3),"")</f>
        <v/>
      </c>
      <c r="ACS1545" s="42" t="str">
        <f t="array" aca="1" ref="ACS1545" ca="1">IFERROR(INDEX(nombres[],SMALL(IF(OFFSET(nombres[],0,0,ROWS(nombres[]),1)=ACS$1490,ROW(OFFSET(nombres[],0,0,ROWS(nombres[]),1))-ROW(OFFSET(nombres[],0,0,1,1))+1,ROW(OFFSET(nombres[],ROWS(nombres[])-1,0,1,1))+1),$O1545:$O1564),3),"")</f>
        <v/>
      </c>
      <c r="ACT1545" s="42" t="str">
        <f t="array" aca="1" ref="ACT1545" ca="1">IFERROR(INDEX(nombres[],SMALL(IF(OFFSET(nombres[],0,0,ROWS(nombres[]),1)=ACT$1490,ROW(OFFSET(nombres[],0,0,ROWS(nombres[]),1))-ROW(OFFSET(nombres[],0,0,1,1))+1,ROW(OFFSET(nombres[],ROWS(nombres[])-1,0,1,1))+1),$O1545:$O1564),3),"")</f>
        <v/>
      </c>
      <c r="ACU1545" s="42" t="str">
        <f t="array" aca="1" ref="ACU1545" ca="1">IFERROR(INDEX(nombres[],SMALL(IF(OFFSET(nombres[],0,0,ROWS(nombres[]),1)=ACU$1490,ROW(OFFSET(nombres[],0,0,ROWS(nombres[]),1))-ROW(OFFSET(nombres[],0,0,1,1))+1,ROW(OFFSET(nombres[],ROWS(nombres[])-1,0,1,1))+1),$O1545:$O1564),3),"")</f>
        <v/>
      </c>
      <c r="ACV1545" s="42" t="str">
        <f t="array" aca="1" ref="ACV1545" ca="1">IFERROR(INDEX(nombres[],SMALL(IF(OFFSET(nombres[],0,0,ROWS(nombres[]),1)=ACV$1490,ROW(OFFSET(nombres[],0,0,ROWS(nombres[]),1))-ROW(OFFSET(nombres[],0,0,1,1))+1,ROW(OFFSET(nombres[],ROWS(nombres[])-1,0,1,1))+1),$O1545:$O1564),3),"")</f>
        <v/>
      </c>
      <c r="ACW1545" s="42" t="str">
        <f t="array" aca="1" ref="ACW1545" ca="1">IFERROR(INDEX(nombres[],SMALL(IF(OFFSET(nombres[],0,0,ROWS(nombres[]),1)=ACW$1490,ROW(OFFSET(nombres[],0,0,ROWS(nombres[]),1))-ROW(OFFSET(nombres[],0,0,1,1))+1,ROW(OFFSET(nombres[],ROWS(nombres[])-1,0,1,1))+1),$O1545:$O1564),3),"")</f>
        <v/>
      </c>
      <c r="ACX1545" s="42" t="str">
        <f t="array" aca="1" ref="ACX1545" ca="1">IFERROR(INDEX(nombres[],SMALL(IF(OFFSET(nombres[],0,0,ROWS(nombres[]),1)=ACX$1490,ROW(OFFSET(nombres[],0,0,ROWS(nombres[]),1))-ROW(OFFSET(nombres[],0,0,1,1))+1,ROW(OFFSET(nombres[],ROWS(nombres[])-1,0,1,1))+1),$O1545:$O1564),3),"")</f>
        <v/>
      </c>
      <c r="ACY1545" s="42" t="str">
        <f t="array" aca="1" ref="ACY1545" ca="1">IFERROR(INDEX(nombres[],SMALL(IF(OFFSET(nombres[],0,0,ROWS(nombres[]),1)=ACY$1490,ROW(OFFSET(nombres[],0,0,ROWS(nombres[]),1))-ROW(OFFSET(nombres[],0,0,1,1))+1,ROW(OFFSET(nombres[],ROWS(nombres[])-1,0,1,1))+1),$O1545:$O1564),3),"")</f>
        <v/>
      </c>
      <c r="ACZ1545" s="42" t="str">
        <f t="array" aca="1" ref="ACZ1545" ca="1">IFERROR(INDEX(nombres[],SMALL(IF(OFFSET(nombres[],0,0,ROWS(nombres[]),1)=ACZ$1490,ROW(OFFSET(nombres[],0,0,ROWS(nombres[]),1))-ROW(OFFSET(nombres[],0,0,1,1))+1,ROW(OFFSET(nombres[],ROWS(nombres[])-1,0,1,1))+1),$O1545:$O1564),3),"")</f>
        <v/>
      </c>
      <c r="ADA1545" s="42" t="str">
        <f t="array" aca="1" ref="ADA1545" ca="1">IFERROR(INDEX(nombres[],SMALL(IF(OFFSET(nombres[],0,0,ROWS(nombres[]),1)=ADA$1490,ROW(OFFSET(nombres[],0,0,ROWS(nombres[]),1))-ROW(OFFSET(nombres[],0,0,1,1))+1,ROW(OFFSET(nombres[],ROWS(nombres[])-1,0,1,1))+1),$O1545:$O1564),3),"")</f>
        <v/>
      </c>
      <c r="ADB1545" s="42" t="str">
        <f t="array" aca="1" ref="ADB1545" ca="1">IFERROR(INDEX(nombres[],SMALL(IF(OFFSET(nombres[],0,0,ROWS(nombres[]),1)=ADB$1490,ROW(OFFSET(nombres[],0,0,ROWS(nombres[]),1))-ROW(OFFSET(nombres[],0,0,1,1))+1,ROW(OFFSET(nombres[],ROWS(nombres[])-1,0,1,1))+1),$O1545:$O1564),3),"")</f>
        <v/>
      </c>
      <c r="ADC1545" s="42" t="str">
        <f t="array" aca="1" ref="ADC1545" ca="1">IFERROR(INDEX(nombres[],SMALL(IF(OFFSET(nombres[],0,0,ROWS(nombres[]),1)=ADC$1490,ROW(OFFSET(nombres[],0,0,ROWS(nombres[]),1))-ROW(OFFSET(nombres[],0,0,1,1))+1,ROW(OFFSET(nombres[],ROWS(nombres[])-1,0,1,1))+1),$O1545:$O1564),3),"")</f>
        <v/>
      </c>
      <c r="ADD1545" s="42" t="str">
        <f t="array" aca="1" ref="ADD1545" ca="1">IFERROR(INDEX(nombres[],SMALL(IF(OFFSET(nombres[],0,0,ROWS(nombres[]),1)=ADD$1490,ROW(OFFSET(nombres[],0,0,ROWS(nombres[]),1))-ROW(OFFSET(nombres[],0,0,1,1))+1,ROW(OFFSET(nombres[],ROWS(nombres[])-1,0,1,1))+1),$O1545:$O1564),3),"")</f>
        <v/>
      </c>
      <c r="ADE1545" s="42" t="str">
        <f t="array" aca="1" ref="ADE1545" ca="1">IFERROR(INDEX(nombres[],SMALL(IF(OFFSET(nombres[],0,0,ROWS(nombres[]),1)=ADE$1490,ROW(OFFSET(nombres[],0,0,ROWS(nombres[]),1))-ROW(OFFSET(nombres[],0,0,1,1))+1,ROW(OFFSET(nombres[],ROWS(nombres[])-1,0,1,1))+1),$O1545:$O1564),3),"")</f>
        <v/>
      </c>
      <c r="ADF1545" s="42" t="str">
        <f t="array" aca="1" ref="ADF1545" ca="1">IFERROR(INDEX(nombres[],SMALL(IF(OFFSET(nombres[],0,0,ROWS(nombres[]),1)=ADF$1490,ROW(OFFSET(nombres[],0,0,ROWS(nombres[]),1))-ROW(OFFSET(nombres[],0,0,1,1))+1,ROW(OFFSET(nombres[],ROWS(nombres[])-1,0,1,1))+1),$O1545:$O1564),3),"")</f>
        <v/>
      </c>
      <c r="ADG1545" s="42" t="str">
        <f t="array" aca="1" ref="ADG1545" ca="1">IFERROR(INDEX(nombres[],SMALL(IF(OFFSET(nombres[],0,0,ROWS(nombres[]),1)=ADG$1490,ROW(OFFSET(nombres[],0,0,ROWS(nombres[]),1))-ROW(OFFSET(nombres[],0,0,1,1))+1,ROW(OFFSET(nombres[],ROWS(nombres[])-1,0,1,1))+1),$O1545:$O1564),3),"")</f>
        <v/>
      </c>
      <c r="ADH1545" s="42" t="str">
        <f t="array" aca="1" ref="ADH1545" ca="1">IFERROR(INDEX(nombres[],SMALL(IF(OFFSET(nombres[],0,0,ROWS(nombres[]),1)=ADH$1490,ROW(OFFSET(nombres[],0,0,ROWS(nombres[]),1))-ROW(OFFSET(nombres[],0,0,1,1))+1,ROW(OFFSET(nombres[],ROWS(nombres[])-1,0,1,1))+1),$O1545:$O1564),3),"")</f>
        <v/>
      </c>
      <c r="ADI1545" s="42" t="str">
        <f t="array" aca="1" ref="ADI1545" ca="1">IFERROR(INDEX(nombres[],SMALL(IF(OFFSET(nombres[],0,0,ROWS(nombres[]),1)=ADI$1490,ROW(OFFSET(nombres[],0,0,ROWS(nombres[]),1))-ROW(OFFSET(nombres[],0,0,1,1))+1,ROW(OFFSET(nombres[],ROWS(nombres[])-1,0,1,1))+1),$O1545:$O1564),3),"")</f>
        <v/>
      </c>
      <c r="ADJ1545" s="42" t="str">
        <f t="array" aca="1" ref="ADJ1545" ca="1">IFERROR(INDEX(nombres[],SMALL(IF(OFFSET(nombres[],0,0,ROWS(nombres[]),1)=ADJ$1490,ROW(OFFSET(nombres[],0,0,ROWS(nombres[]),1))-ROW(OFFSET(nombres[],0,0,1,1))+1,ROW(OFFSET(nombres[],ROWS(nombres[])-1,0,1,1))+1),$O1545:$O1564),3),"")</f>
        <v/>
      </c>
      <c r="ADK1545" s="42" t="str">
        <f t="array" aca="1" ref="ADK1545" ca="1">IFERROR(INDEX(nombres[],SMALL(IF(OFFSET(nombres[],0,0,ROWS(nombres[]),1)=ADK$1490,ROW(OFFSET(nombres[],0,0,ROWS(nombres[]),1))-ROW(OFFSET(nombres[],0,0,1,1))+1,ROW(OFFSET(nombres[],ROWS(nombres[])-1,0,1,1))+1),$O1545:$O1564),3),"")</f>
        <v/>
      </c>
      <c r="ADL1545" s="42" t="str">
        <f t="array" aca="1" ref="ADL1545" ca="1">IFERROR(INDEX(nombres[],SMALL(IF(OFFSET(nombres[],0,0,ROWS(nombres[]),1)=ADL$1490,ROW(OFFSET(nombres[],0,0,ROWS(nombres[]),1))-ROW(OFFSET(nombres[],0,0,1,1))+1,ROW(OFFSET(nombres[],ROWS(nombres[])-1,0,1,1))+1),$O1545:$O1564),3),"")</f>
        <v/>
      </c>
      <c r="ADM1545" s="42" t="str">
        <f t="array" aca="1" ref="ADM1545" ca="1">IFERROR(INDEX(nombres[],SMALL(IF(OFFSET(nombres[],0,0,ROWS(nombres[]),1)=ADM$1490,ROW(OFFSET(nombres[],0,0,ROWS(nombres[]),1))-ROW(OFFSET(nombres[],0,0,1,1))+1,ROW(OFFSET(nombres[],ROWS(nombres[])-1,0,1,1))+1),$O1545:$O1564),3),"")</f>
        <v/>
      </c>
      <c r="ADN1545" s="42" t="str">
        <f t="array" aca="1" ref="ADN1545" ca="1">IFERROR(INDEX(nombres[],SMALL(IF(OFFSET(nombres[],0,0,ROWS(nombres[]),1)=ADN$1490,ROW(OFFSET(nombres[],0,0,ROWS(nombres[]),1))-ROW(OFFSET(nombres[],0,0,1,1))+1,ROW(OFFSET(nombres[],ROWS(nombres[])-1,0,1,1))+1),$O1545:$O1564),3),"")</f>
        <v/>
      </c>
      <c r="ADO1545" s="42" t="str">
        <f t="array" aca="1" ref="ADO1545" ca="1">IFERROR(INDEX(nombres[],SMALL(IF(OFFSET(nombres[],0,0,ROWS(nombres[]),1)=ADO$1490,ROW(OFFSET(nombres[],0,0,ROWS(nombres[]),1))-ROW(OFFSET(nombres[],0,0,1,1))+1,ROW(OFFSET(nombres[],ROWS(nombres[])-1,0,1,1))+1),$O1545:$O1564),3),"")</f>
        <v/>
      </c>
      <c r="ADP1545" s="42" t="str">
        <f t="array" aca="1" ref="ADP1545" ca="1">IFERROR(INDEX(nombres[],SMALL(IF(OFFSET(nombres[],0,0,ROWS(nombres[]),1)=ADP$1490,ROW(OFFSET(nombres[],0,0,ROWS(nombres[]),1))-ROW(OFFSET(nombres[],0,0,1,1))+1,ROW(OFFSET(nombres[],ROWS(nombres[])-1,0,1,1))+1),$O1545:$O1564),3),"")</f>
        <v/>
      </c>
      <c r="ADQ1545" s="42" t="str">
        <f t="array" aca="1" ref="ADQ1545" ca="1">IFERROR(INDEX(nombres[],SMALL(IF(OFFSET(nombres[],0,0,ROWS(nombres[]),1)=ADQ$1490,ROW(OFFSET(nombres[],0,0,ROWS(nombres[]),1))-ROW(OFFSET(nombres[],0,0,1,1))+1,ROW(OFFSET(nombres[],ROWS(nombres[])-1,0,1,1))+1),$O1545:$O1564),3),"")</f>
        <v/>
      </c>
      <c r="ADR1545" s="42" t="str">
        <f t="array" aca="1" ref="ADR1545" ca="1">IFERROR(INDEX(nombres[],SMALL(IF(OFFSET(nombres[],0,0,ROWS(nombres[]),1)=ADR$1490,ROW(OFFSET(nombres[],0,0,ROWS(nombres[]),1))-ROW(OFFSET(nombres[],0,0,1,1))+1,ROW(OFFSET(nombres[],ROWS(nombres[])-1,0,1,1))+1),$O1545:$O1564),3),"")</f>
        <v/>
      </c>
      <c r="ADS1545" s="42" t="str">
        <f t="array" aca="1" ref="ADS1545" ca="1">IFERROR(INDEX(nombres[],SMALL(IF(OFFSET(nombres[],0,0,ROWS(nombres[]),1)=ADS$1490,ROW(OFFSET(nombres[],0,0,ROWS(nombres[]),1))-ROW(OFFSET(nombres[],0,0,1,1))+1,ROW(OFFSET(nombres[],ROWS(nombres[])-1,0,1,1))+1),$O1545:$O1564),3),"")</f>
        <v/>
      </c>
      <c r="ADT1545" s="42" t="str">
        <f t="array" aca="1" ref="ADT1545" ca="1">IFERROR(INDEX(nombres[],SMALL(IF(OFFSET(nombres[],0,0,ROWS(nombres[]),1)=ADT$1490,ROW(OFFSET(nombres[],0,0,ROWS(nombres[]),1))-ROW(OFFSET(nombres[],0,0,1,1))+1,ROW(OFFSET(nombres[],ROWS(nombres[])-1,0,1,1))+1),$O1545:$O1564),3),"")</f>
        <v/>
      </c>
      <c r="ADU1545" s="42" t="str">
        <f t="array" aca="1" ref="ADU1545" ca="1">IFERROR(INDEX(nombres[],SMALL(IF(OFFSET(nombres[],0,0,ROWS(nombres[]),1)=ADU$1490,ROW(OFFSET(nombres[],0,0,ROWS(nombres[]),1))-ROW(OFFSET(nombres[],0,0,1,1))+1,ROW(OFFSET(nombres[],ROWS(nombres[])-1,0,1,1))+1),$O1545:$O1564),3),"")</f>
        <v/>
      </c>
      <c r="ADV1545" s="42" t="str">
        <f t="array" aca="1" ref="ADV1545" ca="1">IFERROR(INDEX(nombres[],SMALL(IF(OFFSET(nombres[],0,0,ROWS(nombres[]),1)=ADV$1490,ROW(OFFSET(nombres[],0,0,ROWS(nombres[]),1))-ROW(OFFSET(nombres[],0,0,1,1))+1,ROW(OFFSET(nombres[],ROWS(nombres[])-1,0,1,1))+1),$O1545:$O1564),3),"")</f>
        <v/>
      </c>
      <c r="ADW1545" s="42" t="str">
        <f t="array" aca="1" ref="ADW1545" ca="1">IFERROR(INDEX(nombres[],SMALL(IF(OFFSET(nombres[],0,0,ROWS(nombres[]),1)=ADW$1490,ROW(OFFSET(nombres[],0,0,ROWS(nombres[]),1))-ROW(OFFSET(nombres[],0,0,1,1))+1,ROW(OFFSET(nombres[],ROWS(nombres[])-1,0,1,1))+1),$O1545:$O1564),3),"")</f>
        <v/>
      </c>
      <c r="ADX1545" s="42" t="str">
        <f t="array" aca="1" ref="ADX1545" ca="1">IFERROR(INDEX(nombres[],SMALL(IF(OFFSET(nombres[],0,0,ROWS(nombres[]),1)=ADX$1490,ROW(OFFSET(nombres[],0,0,ROWS(nombres[]),1))-ROW(OFFSET(nombres[],0,0,1,1))+1,ROW(OFFSET(nombres[],ROWS(nombres[])-1,0,1,1))+1),$O1545:$O1564),3),"")</f>
        <v/>
      </c>
      <c r="ADY1545" s="42" t="str">
        <f t="array" aca="1" ref="ADY1545" ca="1">IFERROR(INDEX(nombres[],SMALL(IF(OFFSET(nombres[],0,0,ROWS(nombres[]),1)=ADY$1490,ROW(OFFSET(nombres[],0,0,ROWS(nombres[]),1))-ROW(OFFSET(nombres[],0,0,1,1))+1,ROW(OFFSET(nombres[],ROWS(nombres[])-1,0,1,1))+1),$O1545:$O1564),3),"")</f>
        <v/>
      </c>
      <c r="ADZ1545" s="42" t="str">
        <f t="array" aca="1" ref="ADZ1545" ca="1">IFERROR(INDEX(nombres[],SMALL(IF(OFFSET(nombres[],0,0,ROWS(nombres[]),1)=ADZ$1490,ROW(OFFSET(nombres[],0,0,ROWS(nombres[]),1))-ROW(OFFSET(nombres[],0,0,1,1))+1,ROW(OFFSET(nombres[],ROWS(nombres[])-1,0,1,1))+1),$O1545:$O1564),3),"")</f>
        <v/>
      </c>
      <c r="AEA1545" s="42" t="str">
        <f t="array" aca="1" ref="AEA1545" ca="1">IFERROR(INDEX(nombres[],SMALL(IF(OFFSET(nombres[],0,0,ROWS(nombres[]),1)=AEA$1490,ROW(OFFSET(nombres[],0,0,ROWS(nombres[]),1))-ROW(OFFSET(nombres[],0,0,1,1))+1,ROW(OFFSET(nombres[],ROWS(nombres[])-1,0,1,1))+1),$O1545:$O1564),3),"")</f>
        <v/>
      </c>
      <c r="AEB1545" s="42" t="str">
        <f t="array" aca="1" ref="AEB1545" ca="1">IFERROR(INDEX(nombres[],SMALL(IF(OFFSET(nombres[],0,0,ROWS(nombres[]),1)=AEB$1490,ROW(OFFSET(nombres[],0,0,ROWS(nombres[]),1))-ROW(OFFSET(nombres[],0,0,1,1))+1,ROW(OFFSET(nombres[],ROWS(nombres[])-1,0,1,1))+1),$O1545:$O1564),3),"")</f>
        <v/>
      </c>
      <c r="AEC1545" s="42" t="str">
        <f t="array" aca="1" ref="AEC1545" ca="1">IFERROR(INDEX(nombres[],SMALL(IF(OFFSET(nombres[],0,0,ROWS(nombres[]),1)=AEC$1490,ROW(OFFSET(nombres[],0,0,ROWS(nombres[]),1))-ROW(OFFSET(nombres[],0,0,1,1))+1,ROW(OFFSET(nombres[],ROWS(nombres[])-1,0,1,1))+1),$O1545:$O1564),3),"")</f>
        <v/>
      </c>
      <c r="AED1545" s="42" t="str">
        <f t="array" aca="1" ref="AED1545" ca="1">IFERROR(INDEX(nombres[],SMALL(IF(OFFSET(nombres[],0,0,ROWS(nombres[]),1)=AED$1490,ROW(OFFSET(nombres[],0,0,ROWS(nombres[]),1))-ROW(OFFSET(nombres[],0,0,1,1))+1,ROW(OFFSET(nombres[],ROWS(nombres[])-1,0,1,1))+1),$O1545:$O1564),3),"")</f>
        <v/>
      </c>
      <c r="AEE1545" s="42" t="str">
        <f t="array" aca="1" ref="AEE1545" ca="1">IFERROR(INDEX(nombres[],SMALL(IF(OFFSET(nombres[],0,0,ROWS(nombres[]),1)=AEE$1490,ROW(OFFSET(nombres[],0,0,ROWS(nombres[]),1))-ROW(OFFSET(nombres[],0,0,1,1))+1,ROW(OFFSET(nombres[],ROWS(nombres[])-1,0,1,1))+1),$O1545:$O1564),3),"")</f>
        <v/>
      </c>
      <c r="AEF1545" s="42" t="str">
        <f t="array" aca="1" ref="AEF1545" ca="1">IFERROR(INDEX(nombres[],SMALL(IF(OFFSET(nombres[],0,0,ROWS(nombres[]),1)=AEF$1490,ROW(OFFSET(nombres[],0,0,ROWS(nombres[]),1))-ROW(OFFSET(nombres[],0,0,1,1))+1,ROW(OFFSET(nombres[],ROWS(nombres[])-1,0,1,1))+1),$O1545:$O1564),3),"")</f>
        <v/>
      </c>
      <c r="AEG1545" s="42" t="str">
        <f t="array" aca="1" ref="AEG1545" ca="1">IFERROR(INDEX(nombres[],SMALL(IF(OFFSET(nombres[],0,0,ROWS(nombres[]),1)=AEG$1490,ROW(OFFSET(nombres[],0,0,ROWS(nombres[]),1))-ROW(OFFSET(nombres[],0,0,1,1))+1,ROW(OFFSET(nombres[],ROWS(nombres[])-1,0,1,1))+1),$O1545:$O1564),3),"")</f>
        <v/>
      </c>
      <c r="AEH1545" s="42" t="str">
        <f t="array" aca="1" ref="AEH1545" ca="1">IFERROR(INDEX(nombres[],SMALL(IF(OFFSET(nombres[],0,0,ROWS(nombres[]),1)=AEH$1490,ROW(OFFSET(nombres[],0,0,ROWS(nombres[]),1))-ROW(OFFSET(nombres[],0,0,1,1))+1,ROW(OFFSET(nombres[],ROWS(nombres[])-1,0,1,1))+1),$O1545:$O1564),3),"")</f>
        <v/>
      </c>
      <c r="AEI1545" s="42" t="str">
        <f t="array" aca="1" ref="AEI1545" ca="1">IFERROR(INDEX(nombres[],SMALL(IF(OFFSET(nombres[],0,0,ROWS(nombres[]),1)=AEI$1490,ROW(OFFSET(nombres[],0,0,ROWS(nombres[]),1))-ROW(OFFSET(nombres[],0,0,1,1))+1,ROW(OFFSET(nombres[],ROWS(nombres[])-1,0,1,1))+1),$O1545:$O1564),3),"")</f>
        <v/>
      </c>
      <c r="AEJ1545" s="42" t="str">
        <f t="array" aca="1" ref="AEJ1545" ca="1">IFERROR(INDEX(nombres[],SMALL(IF(OFFSET(nombres[],0,0,ROWS(nombres[]),1)=AEJ$1490,ROW(OFFSET(nombres[],0,0,ROWS(nombres[]),1))-ROW(OFFSET(nombres[],0,0,1,1))+1,ROW(OFFSET(nombres[],ROWS(nombres[])-1,0,1,1))+1),$O1545:$O1564),3),"")</f>
        <v/>
      </c>
      <c r="AEK1545" s="42" t="str">
        <f t="array" aca="1" ref="AEK1545" ca="1">IFERROR(INDEX(nombres[],SMALL(IF(OFFSET(nombres[],0,0,ROWS(nombres[]),1)=AEK$1490,ROW(OFFSET(nombres[],0,0,ROWS(nombres[]),1))-ROW(OFFSET(nombres[],0,0,1,1))+1,ROW(OFFSET(nombres[],ROWS(nombres[])-1,0,1,1))+1),$O1545:$O1564),3),"")</f>
        <v/>
      </c>
      <c r="AEL1545" s="42" t="str">
        <f t="array" aca="1" ref="AEL1545" ca="1">IFERROR(INDEX(nombres[],SMALL(IF(OFFSET(nombres[],0,0,ROWS(nombres[]),1)=AEL$1490,ROW(OFFSET(nombres[],0,0,ROWS(nombres[]),1))-ROW(OFFSET(nombres[],0,0,1,1))+1,ROW(OFFSET(nombres[],ROWS(nombres[])-1,0,1,1))+1),$O1545:$O1564),3),"")</f>
        <v/>
      </c>
      <c r="AEM1545" s="42" t="str">
        <f t="array" aca="1" ref="AEM1545" ca="1">IFERROR(INDEX(nombres[],SMALL(IF(OFFSET(nombres[],0,0,ROWS(nombres[]),1)=AEM$1490,ROW(OFFSET(nombres[],0,0,ROWS(nombres[]),1))-ROW(OFFSET(nombres[],0,0,1,1))+1,ROW(OFFSET(nombres[],ROWS(nombres[])-1,0,1,1))+1),$O1545:$O1564),3),"")</f>
        <v/>
      </c>
      <c r="AEN1545" s="42" t="str">
        <f t="array" aca="1" ref="AEN1545" ca="1">IFERROR(INDEX(nombres[],SMALL(IF(OFFSET(nombres[],0,0,ROWS(nombres[]),1)=AEN$1490,ROW(OFFSET(nombres[],0,0,ROWS(nombres[]),1))-ROW(OFFSET(nombres[],0,0,1,1))+1,ROW(OFFSET(nombres[],ROWS(nombres[])-1,0,1,1))+1),$O1545:$O1564),3),"")</f>
        <v/>
      </c>
      <c r="AEO1545" s="42" t="str">
        <f t="array" aca="1" ref="AEO1545" ca="1">IFERROR(INDEX(nombres[],SMALL(IF(OFFSET(nombres[],0,0,ROWS(nombres[]),1)=AEO$1490,ROW(OFFSET(nombres[],0,0,ROWS(nombres[]),1))-ROW(OFFSET(nombres[],0,0,1,1))+1,ROW(OFFSET(nombres[],ROWS(nombres[])-1,0,1,1))+1),$O1545:$O1564),3),"")</f>
        <v/>
      </c>
      <c r="AEP1545" s="42" t="str">
        <f t="array" aca="1" ref="AEP1545" ca="1">IFERROR(INDEX(nombres[],SMALL(IF(OFFSET(nombres[],0,0,ROWS(nombres[]),1)=AEP$1490,ROW(OFFSET(nombres[],0,0,ROWS(nombres[]),1))-ROW(OFFSET(nombres[],0,0,1,1))+1,ROW(OFFSET(nombres[],ROWS(nombres[])-1,0,1,1))+1),$O1545:$O1564),3),"")</f>
        <v/>
      </c>
      <c r="AEQ1545" s="42" t="str">
        <f t="array" aca="1" ref="AEQ1545" ca="1">IFERROR(INDEX(nombres[],SMALL(IF(OFFSET(nombres[],0,0,ROWS(nombres[]),1)=AEQ$1490,ROW(OFFSET(nombres[],0,0,ROWS(nombres[]),1))-ROW(OFFSET(nombres[],0,0,1,1))+1,ROW(OFFSET(nombres[],ROWS(nombres[])-1,0,1,1))+1),$O1545:$O1564),3),"")</f>
        <v/>
      </c>
      <c r="AER1545" s="42" t="str">
        <f t="array" aca="1" ref="AER1545" ca="1">IFERROR(INDEX(nombres[],SMALL(IF(OFFSET(nombres[],0,0,ROWS(nombres[]),1)=AER$1490,ROW(OFFSET(nombres[],0,0,ROWS(nombres[]),1))-ROW(OFFSET(nombres[],0,0,1,1))+1,ROW(OFFSET(nombres[],ROWS(nombres[])-1,0,1,1))+1),$O1545:$O1564),3),"")</f>
        <v/>
      </c>
      <c r="AES1545" s="42" t="str">
        <f t="array" aca="1" ref="AES1545" ca="1">IFERROR(INDEX(nombres[],SMALL(IF(OFFSET(nombres[],0,0,ROWS(nombres[]),1)=AES$1490,ROW(OFFSET(nombres[],0,0,ROWS(nombres[]),1))-ROW(OFFSET(nombres[],0,0,1,1))+1,ROW(OFFSET(nombres[],ROWS(nombres[])-1,0,1,1))+1),$O1545:$O1564),3),"")</f>
        <v/>
      </c>
      <c r="AET1545" s="42" t="str">
        <f t="array" aca="1" ref="AET1545" ca="1">IFERROR(INDEX(nombres[],SMALL(IF(OFFSET(nombres[],0,0,ROWS(nombres[]),1)=AET$1490,ROW(OFFSET(nombres[],0,0,ROWS(nombres[]),1))-ROW(OFFSET(nombres[],0,0,1,1))+1,ROW(OFFSET(nombres[],ROWS(nombres[])-1,0,1,1))+1),$O1545:$O1564),3),"")</f>
        <v/>
      </c>
      <c r="AEU1545" s="42" t="str">
        <f t="array" aca="1" ref="AEU1545" ca="1">IFERROR(INDEX(nombres[],SMALL(IF(OFFSET(nombres[],0,0,ROWS(nombres[]),1)=AEU$1490,ROW(OFFSET(nombres[],0,0,ROWS(nombres[]),1))-ROW(OFFSET(nombres[],0,0,1,1))+1,ROW(OFFSET(nombres[],ROWS(nombres[])-1,0,1,1))+1),$O1545:$O1564),3),"")</f>
        <v/>
      </c>
      <c r="AEV1545" s="42" t="str">
        <f t="array" aca="1" ref="AEV1545" ca="1">IFERROR(INDEX(nombres[],SMALL(IF(OFFSET(nombres[],0,0,ROWS(nombres[]),1)=AEV$1490,ROW(OFFSET(nombres[],0,0,ROWS(nombres[]),1))-ROW(OFFSET(nombres[],0,0,1,1))+1,ROW(OFFSET(nombres[],ROWS(nombres[])-1,0,1,1))+1),$O1545:$O1564),3),"")</f>
        <v/>
      </c>
      <c r="AEW1545" s="42" t="str">
        <f t="array" aca="1" ref="AEW1545" ca="1">IFERROR(INDEX(nombres[],SMALL(IF(OFFSET(nombres[],0,0,ROWS(nombres[]),1)=AEW$1490,ROW(OFFSET(nombres[],0,0,ROWS(nombres[]),1))-ROW(OFFSET(nombres[],0,0,1,1))+1,ROW(OFFSET(nombres[],ROWS(nombres[])-1,0,1,1))+1),$O1545:$O1564),3),"")</f>
        <v/>
      </c>
      <c r="AEX1545" s="42" t="str">
        <f t="array" aca="1" ref="AEX1545" ca="1">IFERROR(INDEX(nombres[],SMALL(IF(OFFSET(nombres[],0,0,ROWS(nombres[]),1)=AEX$1490,ROW(OFFSET(nombres[],0,0,ROWS(nombres[]),1))-ROW(OFFSET(nombres[],0,0,1,1))+1,ROW(OFFSET(nombres[],ROWS(nombres[])-1,0,1,1))+1),$O1545:$O1564),3),"")</f>
        <v/>
      </c>
      <c r="AEY1545" s="42" t="str">
        <f t="array" aca="1" ref="AEY1545" ca="1">IFERROR(INDEX(nombres[],SMALL(IF(OFFSET(nombres[],0,0,ROWS(nombres[]),1)=AEY$1490,ROW(OFFSET(nombres[],0,0,ROWS(nombres[]),1))-ROW(OFFSET(nombres[],0,0,1,1))+1,ROW(OFFSET(nombres[],ROWS(nombres[])-1,0,1,1))+1),$O1545:$O1564),3),"")</f>
        <v/>
      </c>
      <c r="AEZ1545" s="42" t="str">
        <f t="array" aca="1" ref="AEZ1545" ca="1">IFERROR(INDEX(nombres[],SMALL(IF(OFFSET(nombres[],0,0,ROWS(nombres[]),1)=AEZ$1490,ROW(OFFSET(nombres[],0,0,ROWS(nombres[]),1))-ROW(OFFSET(nombres[],0,0,1,1))+1,ROW(OFFSET(nombres[],ROWS(nombres[])-1,0,1,1))+1),$O1545:$O1564),3),"")</f>
        <v/>
      </c>
      <c r="AFA1545" s="42" t="str">
        <f t="array" aca="1" ref="AFA1545" ca="1">IFERROR(INDEX(nombres[],SMALL(IF(OFFSET(nombres[],0,0,ROWS(nombres[]),1)=AFA$1490,ROW(OFFSET(nombres[],0,0,ROWS(nombres[]),1))-ROW(OFFSET(nombres[],0,0,1,1))+1,ROW(OFFSET(nombres[],ROWS(nombres[])-1,0,1,1))+1),$O1545:$O1564),3),"")</f>
        <v/>
      </c>
      <c r="AFB1545" s="42" t="str">
        <f t="array" aca="1" ref="AFB1545" ca="1">IFERROR(INDEX(nombres[],SMALL(IF(OFFSET(nombres[],0,0,ROWS(nombres[]),1)=AFB$1490,ROW(OFFSET(nombres[],0,0,ROWS(nombres[]),1))-ROW(OFFSET(nombres[],0,0,1,1))+1,ROW(OFFSET(nombres[],ROWS(nombres[])-1,0,1,1))+1),$O1545:$O1564),3),"")</f>
        <v/>
      </c>
      <c r="AFC1545" s="42" t="str">
        <f t="array" aca="1" ref="AFC1545" ca="1">IFERROR(INDEX(nombres[],SMALL(IF(OFFSET(nombres[],0,0,ROWS(nombres[]),1)=AFC$1490,ROW(OFFSET(nombres[],0,0,ROWS(nombres[]),1))-ROW(OFFSET(nombres[],0,0,1,1))+1,ROW(OFFSET(nombres[],ROWS(nombres[])-1,0,1,1))+1),$O1545:$O1564),3),"")</f>
        <v/>
      </c>
      <c r="AFD1545" s="42" t="str">
        <f t="array" aca="1" ref="AFD1545" ca="1">IFERROR(INDEX(nombres[],SMALL(IF(OFFSET(nombres[],0,0,ROWS(nombres[]),1)=AFD$1490,ROW(OFFSET(nombres[],0,0,ROWS(nombres[]),1))-ROW(OFFSET(nombres[],0,0,1,1))+1,ROW(OFFSET(nombres[],ROWS(nombres[])-1,0,1,1))+1),$O1545:$O1564),3),"")</f>
        <v/>
      </c>
      <c r="AFE1545" s="42" t="str">
        <f t="array" aca="1" ref="AFE1545" ca="1">IFERROR(INDEX(nombres[],SMALL(IF(OFFSET(nombres[],0,0,ROWS(nombres[]),1)=AFE$1490,ROW(OFFSET(nombres[],0,0,ROWS(nombres[]),1))-ROW(OFFSET(nombres[],0,0,1,1))+1,ROW(OFFSET(nombres[],ROWS(nombres[])-1,0,1,1))+1),$O1545:$O1564),3),"")</f>
        <v/>
      </c>
      <c r="AFF1545" s="42" t="str">
        <f t="array" aca="1" ref="AFF1545" ca="1">IFERROR(INDEX(nombres[],SMALL(IF(OFFSET(nombres[],0,0,ROWS(nombres[]),1)=AFF$1490,ROW(OFFSET(nombres[],0,0,ROWS(nombres[]),1))-ROW(OFFSET(nombres[],0,0,1,1))+1,ROW(OFFSET(nombres[],ROWS(nombres[])-1,0,1,1))+1),$O1545:$O1564),3),"")</f>
        <v/>
      </c>
      <c r="AFG1545" s="42" t="str">
        <f t="array" aca="1" ref="AFG1545" ca="1">IFERROR(INDEX(nombres[],SMALL(IF(OFFSET(nombres[],0,0,ROWS(nombres[]),1)=AFG$1490,ROW(OFFSET(nombres[],0,0,ROWS(nombres[]),1))-ROW(OFFSET(nombres[],0,0,1,1))+1,ROW(OFFSET(nombres[],ROWS(nombres[])-1,0,1,1))+1),$O1545:$O1564),3),"")</f>
        <v/>
      </c>
      <c r="AFH1545" s="42" t="str">
        <f t="array" aca="1" ref="AFH1545" ca="1">IFERROR(INDEX(nombres[],SMALL(IF(OFFSET(nombres[],0,0,ROWS(nombres[]),1)=AFH$1490,ROW(OFFSET(nombres[],0,0,ROWS(nombres[]),1))-ROW(OFFSET(nombres[],0,0,1,1))+1,ROW(OFFSET(nombres[],ROWS(nombres[])-1,0,1,1))+1),$O1545:$O1564),3),"")</f>
        <v/>
      </c>
      <c r="AFI1545" s="42" t="str">
        <f t="array" aca="1" ref="AFI1545" ca="1">IFERROR(INDEX(nombres[],SMALL(IF(OFFSET(nombres[],0,0,ROWS(nombres[]),1)=AFI$1490,ROW(OFFSET(nombres[],0,0,ROWS(nombres[]),1))-ROW(OFFSET(nombres[],0,0,1,1))+1,ROW(OFFSET(nombres[],ROWS(nombres[])-1,0,1,1))+1),$O1545:$O1564),3),"")</f>
        <v/>
      </c>
      <c r="AFJ1545" s="42" t="str">
        <f t="array" aca="1" ref="AFJ1545" ca="1">IFERROR(INDEX(nombres[],SMALL(IF(OFFSET(nombres[],0,0,ROWS(nombres[]),1)=AFJ$1490,ROW(OFFSET(nombres[],0,0,ROWS(nombres[]),1))-ROW(OFFSET(nombres[],0,0,1,1))+1,ROW(OFFSET(nombres[],ROWS(nombres[])-1,0,1,1))+1),$O1545:$O1564),3),"")</f>
        <v/>
      </c>
      <c r="AFK1545" s="42" t="str">
        <f t="array" aca="1" ref="AFK1545" ca="1">IFERROR(INDEX(nombres[],SMALL(IF(OFFSET(nombres[],0,0,ROWS(nombres[]),1)=AFK$1490,ROW(OFFSET(nombres[],0,0,ROWS(nombres[]),1))-ROW(OFFSET(nombres[],0,0,1,1))+1,ROW(OFFSET(nombres[],ROWS(nombres[])-1,0,1,1))+1),$O1545:$O1564),3),"")</f>
        <v/>
      </c>
      <c r="AFL1545" s="42" t="str">
        <f t="array" aca="1" ref="AFL1545" ca="1">IFERROR(INDEX(nombres[],SMALL(IF(OFFSET(nombres[],0,0,ROWS(nombres[]),1)=AFL$1490,ROW(OFFSET(nombres[],0,0,ROWS(nombres[]),1))-ROW(OFFSET(nombres[],0,0,1,1))+1,ROW(OFFSET(nombres[],ROWS(nombres[])-1,0,1,1))+1),$O1545:$O1564),3),"")</f>
        <v/>
      </c>
      <c r="AFM1545" s="42" t="str">
        <f t="array" aca="1" ref="AFM1545" ca="1">IFERROR(INDEX(nombres[],SMALL(IF(OFFSET(nombres[],0,0,ROWS(nombres[]),1)=AFM$1490,ROW(OFFSET(nombres[],0,0,ROWS(nombres[]),1))-ROW(OFFSET(nombres[],0,0,1,1))+1,ROW(OFFSET(nombres[],ROWS(nombres[])-1,0,1,1))+1),$O1545:$O1564),3),"")</f>
        <v/>
      </c>
      <c r="AFN1545" s="42" t="str">
        <f t="array" aca="1" ref="AFN1545" ca="1">IFERROR(INDEX(nombres[],SMALL(IF(OFFSET(nombres[],0,0,ROWS(nombres[]),1)=AFN$1490,ROW(OFFSET(nombres[],0,0,ROWS(nombres[]),1))-ROW(OFFSET(nombres[],0,0,1,1))+1,ROW(OFFSET(nombres[],ROWS(nombres[])-1,0,1,1))+1),$O1545:$O1564),3),"")</f>
        <v/>
      </c>
      <c r="AFO1545" s="42" t="str">
        <f t="array" aca="1" ref="AFO1545" ca="1">IFERROR(INDEX(nombres[],SMALL(IF(OFFSET(nombres[],0,0,ROWS(nombres[]),1)=AFO$1490,ROW(OFFSET(nombres[],0,0,ROWS(nombres[]),1))-ROW(OFFSET(nombres[],0,0,1,1))+1,ROW(OFFSET(nombres[],ROWS(nombres[])-1,0,1,1))+1),$O1545:$O1564),3),"")</f>
        <v/>
      </c>
      <c r="AFP1545" s="42" t="str">
        <f t="array" aca="1" ref="AFP1545" ca="1">IFERROR(INDEX(nombres[],SMALL(IF(OFFSET(nombres[],0,0,ROWS(nombres[]),1)=AFP$1490,ROW(OFFSET(nombres[],0,0,ROWS(nombres[]),1))-ROW(OFFSET(nombres[],0,0,1,1))+1,ROW(OFFSET(nombres[],ROWS(nombres[])-1,0,1,1))+1),$O1545:$O1564),3),"")</f>
        <v/>
      </c>
      <c r="AFQ1545" s="42" t="str">
        <f t="array" aca="1" ref="AFQ1545" ca="1">IFERROR(INDEX(nombres[],SMALL(IF(OFFSET(nombres[],0,0,ROWS(nombres[]),1)=AFQ$1490,ROW(OFFSET(nombres[],0,0,ROWS(nombres[]),1))-ROW(OFFSET(nombres[],0,0,1,1))+1,ROW(OFFSET(nombres[],ROWS(nombres[])-1,0,1,1))+1),$O1545:$O1564),3),"")</f>
        <v/>
      </c>
      <c r="AFR1545" s="42" t="str">
        <f t="array" aca="1" ref="AFR1545" ca="1">IFERROR(INDEX(nombres[],SMALL(IF(OFFSET(nombres[],0,0,ROWS(nombres[]),1)=AFR$1490,ROW(OFFSET(nombres[],0,0,ROWS(nombres[]),1))-ROW(OFFSET(nombres[],0,0,1,1))+1,ROW(OFFSET(nombres[],ROWS(nombres[])-1,0,1,1))+1),$O1545:$O1564),3),"")</f>
        <v/>
      </c>
      <c r="AFS1545" s="42" t="str">
        <f t="array" aca="1" ref="AFS1545" ca="1">IFERROR(INDEX(nombres[],SMALL(IF(OFFSET(nombres[],0,0,ROWS(nombres[]),1)=AFS$1490,ROW(OFFSET(nombres[],0,0,ROWS(nombres[]),1))-ROW(OFFSET(nombres[],0,0,1,1))+1,ROW(OFFSET(nombres[],ROWS(nombres[])-1,0,1,1))+1),$O1545:$O1564),3),"")</f>
        <v/>
      </c>
      <c r="AFT1545" s="42" t="str">
        <f t="array" aca="1" ref="AFT1545" ca="1">IFERROR(INDEX(nombres[],SMALL(IF(OFFSET(nombres[],0,0,ROWS(nombres[]),1)=AFT$1490,ROW(OFFSET(nombres[],0,0,ROWS(nombres[]),1))-ROW(OFFSET(nombres[],0,0,1,1))+1,ROW(OFFSET(nombres[],ROWS(nombres[])-1,0,1,1))+1),$O1545:$O1564),3),"")</f>
        <v/>
      </c>
      <c r="AFU1545" s="42" t="str">
        <f t="array" aca="1" ref="AFU1545" ca="1">IFERROR(INDEX(nombres[],SMALL(IF(OFFSET(nombres[],0,0,ROWS(nombres[]),1)=AFU$1490,ROW(OFFSET(nombres[],0,0,ROWS(nombres[]),1))-ROW(OFFSET(nombres[],0,0,1,1))+1,ROW(OFFSET(nombres[],ROWS(nombres[])-1,0,1,1))+1),$O1545:$O1564),3),"")</f>
        <v/>
      </c>
      <c r="AFV1545" s="42" t="str">
        <f t="array" aca="1" ref="AFV1545" ca="1">IFERROR(INDEX(nombres[],SMALL(IF(OFFSET(nombres[],0,0,ROWS(nombres[]),1)=AFV$1490,ROW(OFFSET(nombres[],0,0,ROWS(nombres[]),1))-ROW(OFFSET(nombres[],0,0,1,1))+1,ROW(OFFSET(nombres[],ROWS(nombres[])-1,0,1,1))+1),$O1545:$O1564),3),"")</f>
        <v/>
      </c>
      <c r="AFW1545" s="42" t="str">
        <f t="array" aca="1" ref="AFW1545" ca="1">IFERROR(INDEX(nombres[],SMALL(IF(OFFSET(nombres[],0,0,ROWS(nombres[]),1)=AFW$1490,ROW(OFFSET(nombres[],0,0,ROWS(nombres[]),1))-ROW(OFFSET(nombres[],0,0,1,1))+1,ROW(OFFSET(nombres[],ROWS(nombres[])-1,0,1,1))+1),$O1545:$O1564),3),"")</f>
        <v/>
      </c>
      <c r="AFX1545" s="42" t="str">
        <f t="array" aca="1" ref="AFX1545" ca="1">IFERROR(INDEX(nombres[],SMALL(IF(OFFSET(nombres[],0,0,ROWS(nombres[]),1)=AFX$1490,ROW(OFFSET(nombres[],0,0,ROWS(nombres[]),1))-ROW(OFFSET(nombres[],0,0,1,1))+1,ROW(OFFSET(nombres[],ROWS(nombres[])-1,0,1,1))+1),$O1545:$O1564),3),"")</f>
        <v/>
      </c>
      <c r="AFY1545" s="42" t="str">
        <f t="array" aca="1" ref="AFY1545" ca="1">IFERROR(INDEX(nombres[],SMALL(IF(OFFSET(nombres[],0,0,ROWS(nombres[]),1)=AFY$1490,ROW(OFFSET(nombres[],0,0,ROWS(nombres[]),1))-ROW(OFFSET(nombres[],0,0,1,1))+1,ROW(OFFSET(nombres[],ROWS(nombres[])-1,0,1,1))+1),$O1545:$O1564),3),"")</f>
        <v/>
      </c>
      <c r="AFZ1545" s="42" t="str">
        <f t="array" aca="1" ref="AFZ1545" ca="1">IFERROR(INDEX(nombres[],SMALL(IF(OFFSET(nombres[],0,0,ROWS(nombres[]),1)=AFZ$1490,ROW(OFFSET(nombres[],0,0,ROWS(nombres[]),1))-ROW(OFFSET(nombres[],0,0,1,1))+1,ROW(OFFSET(nombres[],ROWS(nombres[])-1,0,1,1))+1),$O1545:$O1564),3),"")</f>
        <v/>
      </c>
      <c r="AGA1545" s="42" t="str">
        <f t="array" aca="1" ref="AGA1545" ca="1">IFERROR(INDEX(nombres[],SMALL(IF(OFFSET(nombres[],0,0,ROWS(nombres[]),1)=AGA$1490,ROW(OFFSET(nombres[],0,0,ROWS(nombres[]),1))-ROW(OFFSET(nombres[],0,0,1,1))+1,ROW(OFFSET(nombres[],ROWS(nombres[])-1,0,1,1))+1),$O1545:$O1564),3),"")</f>
        <v/>
      </c>
      <c r="AGB1545" s="42" t="str">
        <f t="array" aca="1" ref="AGB1545" ca="1">IFERROR(INDEX(nombres[],SMALL(IF(OFFSET(nombres[],0,0,ROWS(nombres[]),1)=AGB$1490,ROW(OFFSET(nombres[],0,0,ROWS(nombres[]),1))-ROW(OFFSET(nombres[],0,0,1,1))+1,ROW(OFFSET(nombres[],ROWS(nombres[])-1,0,1,1))+1),$O1545:$O1564),3),"")</f>
        <v/>
      </c>
      <c r="AGC1545" s="42" t="str">
        <f t="array" aca="1" ref="AGC1545" ca="1">IFERROR(INDEX(nombres[],SMALL(IF(OFFSET(nombres[],0,0,ROWS(nombres[]),1)=AGC$1490,ROW(OFFSET(nombres[],0,0,ROWS(nombres[]),1))-ROW(OFFSET(nombres[],0,0,1,1))+1,ROW(OFFSET(nombres[],ROWS(nombres[])-1,0,1,1))+1),$O1545:$O1564),3),"")</f>
        <v/>
      </c>
      <c r="AGD1545" s="42" t="str">
        <f t="array" aca="1" ref="AGD1545" ca="1">IFERROR(INDEX(nombres[],SMALL(IF(OFFSET(nombres[],0,0,ROWS(nombres[]),1)=AGD$1490,ROW(OFFSET(nombres[],0,0,ROWS(nombres[]),1))-ROW(OFFSET(nombres[],0,0,1,1))+1,ROW(OFFSET(nombres[],ROWS(nombres[])-1,0,1,1))+1),$O1545:$O1564),3),"")</f>
        <v/>
      </c>
      <c r="AGE1545" s="42" t="str">
        <f t="array" aca="1" ref="AGE1545" ca="1">IFERROR(INDEX(nombres[],SMALL(IF(OFFSET(nombres[],0,0,ROWS(nombres[]),1)=AGE$1490,ROW(OFFSET(nombres[],0,0,ROWS(nombres[]),1))-ROW(OFFSET(nombres[],0,0,1,1))+1,ROW(OFFSET(nombres[],ROWS(nombres[])-1,0,1,1))+1),$O1545:$O1564),3),"")</f>
        <v/>
      </c>
      <c r="AGF1545" s="42" t="str">
        <f t="array" aca="1" ref="AGF1545" ca="1">IFERROR(INDEX(nombres[],SMALL(IF(OFFSET(nombres[],0,0,ROWS(nombres[]),1)=AGF$1490,ROW(OFFSET(nombres[],0,0,ROWS(nombres[]),1))-ROW(OFFSET(nombres[],0,0,1,1))+1,ROW(OFFSET(nombres[],ROWS(nombres[])-1,0,1,1))+1),$O1545:$O1564),3),"")</f>
        <v/>
      </c>
      <c r="AGG1545" s="42" t="str">
        <f t="array" aca="1" ref="AGG1545" ca="1">IFERROR(INDEX(nombres[],SMALL(IF(OFFSET(nombres[],0,0,ROWS(nombres[]),1)=AGG$1490,ROW(OFFSET(nombres[],0,0,ROWS(nombres[]),1))-ROW(OFFSET(nombres[],0,0,1,1))+1,ROW(OFFSET(nombres[],ROWS(nombres[])-1,0,1,1))+1),$O1545:$O1564),3),"")</f>
        <v/>
      </c>
      <c r="AGH1545" s="42" t="str">
        <f t="array" aca="1" ref="AGH1545" ca="1">IFERROR(INDEX(nombres[],SMALL(IF(OFFSET(nombres[],0,0,ROWS(nombres[]),1)=AGH$1490,ROW(OFFSET(nombres[],0,0,ROWS(nombres[]),1))-ROW(OFFSET(nombres[],0,0,1,1))+1,ROW(OFFSET(nombres[],ROWS(nombres[])-1,0,1,1))+1),$O1545:$O1564),3),"")</f>
        <v/>
      </c>
      <c r="AGI1545" s="42" t="str">
        <f t="array" aca="1" ref="AGI1545" ca="1">IFERROR(INDEX(nombres[],SMALL(IF(OFFSET(nombres[],0,0,ROWS(nombres[]),1)=AGI$1490,ROW(OFFSET(nombres[],0,0,ROWS(nombres[]),1))-ROW(OFFSET(nombres[],0,0,1,1))+1,ROW(OFFSET(nombres[],ROWS(nombres[])-1,0,1,1))+1),$O1545:$O1564),3),"")</f>
        <v/>
      </c>
      <c r="AGJ1545" s="42" t="str">
        <f t="array" aca="1" ref="AGJ1545" ca="1">IFERROR(INDEX(nombres[],SMALL(IF(OFFSET(nombres[],0,0,ROWS(nombres[]),1)=AGJ$1490,ROW(OFFSET(nombres[],0,0,ROWS(nombres[]),1))-ROW(OFFSET(nombres[],0,0,1,1))+1,ROW(OFFSET(nombres[],ROWS(nombres[])-1,0,1,1))+1),$O1545:$O1564),3),"")</f>
        <v/>
      </c>
      <c r="AGK1545" s="42" t="str">
        <f t="array" aca="1" ref="AGK1545" ca="1">IFERROR(INDEX(nombres[],SMALL(IF(OFFSET(nombres[],0,0,ROWS(nombres[]),1)=AGK$1490,ROW(OFFSET(nombres[],0,0,ROWS(nombres[]),1))-ROW(OFFSET(nombres[],0,0,1,1))+1,ROW(OFFSET(nombres[],ROWS(nombres[])-1,0,1,1))+1),$O1545:$O1564),3),"")</f>
        <v/>
      </c>
      <c r="AGL1545" s="42" t="str">
        <f t="array" aca="1" ref="AGL1545" ca="1">IFERROR(INDEX(nombres[],SMALL(IF(OFFSET(nombres[],0,0,ROWS(nombres[]),1)=AGL$1490,ROW(OFFSET(nombres[],0,0,ROWS(nombres[]),1))-ROW(OFFSET(nombres[],0,0,1,1))+1,ROW(OFFSET(nombres[],ROWS(nombres[])-1,0,1,1))+1),$O1545:$O1564),3),"")</f>
        <v/>
      </c>
      <c r="AGM1545" s="42" t="str">
        <f t="array" aca="1" ref="AGM1545" ca="1">IFERROR(INDEX(nombres[],SMALL(IF(OFFSET(nombres[],0,0,ROWS(nombres[]),1)=AGM$1490,ROW(OFFSET(nombres[],0,0,ROWS(nombres[]),1))-ROW(OFFSET(nombres[],0,0,1,1))+1,ROW(OFFSET(nombres[],ROWS(nombres[])-1,0,1,1))+1),$O1545:$O1564),3),"")</f>
        <v/>
      </c>
      <c r="AGN1545" s="42" t="str">
        <f t="array" aca="1" ref="AGN1545" ca="1">IFERROR(INDEX(nombres[],SMALL(IF(OFFSET(nombres[],0,0,ROWS(nombres[]),1)=AGN$1490,ROW(OFFSET(nombres[],0,0,ROWS(nombres[]),1))-ROW(OFFSET(nombres[],0,0,1,1))+1,ROW(OFFSET(nombres[],ROWS(nombres[])-1,0,1,1))+1),$O1545:$O1564),3),"")</f>
        <v/>
      </c>
    </row>
    <row r="1546" spans="15:872" x14ac:dyDescent="0.25">
      <c r="O1546" s="42">
        <v>10</v>
      </c>
      <c r="P1546" s="42" t="str">
        <f t="array" aca="1" ref="P1546" ca="1">IFERROR(INDEX(nombres[],SMALL(IF(OFFSET(nombres[],0,0,ROWS(nombres[]),1)=P$1490,ROW(OFFSET(nombres[],0,0,ROWS(nombres[]),1))-ROW(OFFSET(nombres[],0,0,1,1))+1,ROW(OFFSET(nombres[],ROWS(nombres[])-1,0,1,1))+1),$O1546:$O1565),3),"")</f>
        <v/>
      </c>
      <c r="Q1546" s="42" t="str">
        <f t="array" aca="1" ref="Q1546" ca="1">IFERROR(INDEX(nombres[],SMALL(IF(OFFSET(nombres[],0,0,ROWS(nombres[]),1)=Q$1490,ROW(OFFSET(nombres[],0,0,ROWS(nombres[]),1))-ROW(OFFSET(nombres[],0,0,1,1))+1,ROW(OFFSET(nombres[],ROWS(nombres[])-1,0,1,1))+1),$O1546:$O1565),3),"")</f>
        <v/>
      </c>
      <c r="R1546" s="42" t="str">
        <f t="array" aca="1" ref="R1546" ca="1">IFERROR(INDEX(nombres[],SMALL(IF(OFFSET(nombres[],0,0,ROWS(nombres[]),1)=R$1490,ROW(OFFSET(nombres[],0,0,ROWS(nombres[]),1))-ROW(OFFSET(nombres[],0,0,1,1))+1,ROW(OFFSET(nombres[],ROWS(nombres[])-1,0,1,1))+1),$O1546:$O1565),3),"")</f>
        <v/>
      </c>
      <c r="S1546" s="42" t="str">
        <f t="array" aca="1" ref="S1546" ca="1">IFERROR(INDEX(nombres[],SMALL(IF(OFFSET(nombres[],0,0,ROWS(nombres[]),1)=S$1490,ROW(OFFSET(nombres[],0,0,ROWS(nombres[]),1))-ROW(OFFSET(nombres[],0,0,1,1))+1,ROW(OFFSET(nombres[],ROWS(nombres[])-1,0,1,1))+1),$O1546:$O1565),3),"")</f>
        <v/>
      </c>
      <c r="T1546" s="42" t="str">
        <f t="array" aca="1" ref="T1546" ca="1">IFERROR(INDEX(nombres[],SMALL(IF(OFFSET(nombres[],0,0,ROWS(nombres[]),1)=T$1490,ROW(OFFSET(nombres[],0,0,ROWS(nombres[]),1))-ROW(OFFSET(nombres[],0,0,1,1))+1,ROW(OFFSET(nombres[],ROWS(nombres[])-1,0,1,1))+1),$O1546:$O1565),3),"")</f>
        <v/>
      </c>
      <c r="U1546" s="42" t="str">
        <f t="array" aca="1" ref="U1546" ca="1">IFERROR(INDEX(nombres[],SMALL(IF(OFFSET(nombres[],0,0,ROWS(nombres[]),1)=U$1490,ROW(OFFSET(nombres[],0,0,ROWS(nombres[]),1))-ROW(OFFSET(nombres[],0,0,1,1))+1,ROW(OFFSET(nombres[],ROWS(nombres[])-1,0,1,1))+1),$O1546:$O1565),3),"")</f>
        <v/>
      </c>
      <c r="V1546" s="42" t="str">
        <f t="array" aca="1" ref="V1546" ca="1">IFERROR(INDEX(nombres[],SMALL(IF(OFFSET(nombres[],0,0,ROWS(nombres[]),1)=V$1490,ROW(OFFSET(nombres[],0,0,ROWS(nombres[]),1))-ROW(OFFSET(nombres[],0,0,1,1))+1,ROW(OFFSET(nombres[],ROWS(nombres[])-1,0,1,1))+1),$O1546:$O1565),3),"")</f>
        <v/>
      </c>
      <c r="W1546" s="42" t="str">
        <f t="array" aca="1" ref="W1546" ca="1">IFERROR(INDEX(nombres[],SMALL(IF(OFFSET(nombres[],0,0,ROWS(nombres[]),1)=W$1490,ROW(OFFSET(nombres[],0,0,ROWS(nombres[]),1))-ROW(OFFSET(nombres[],0,0,1,1))+1,ROW(OFFSET(nombres[],ROWS(nombres[])-1,0,1,1))+1),$O1546:$O1565),3),"")</f>
        <v/>
      </c>
      <c r="X1546" s="42" t="str">
        <f t="array" aca="1" ref="X1546" ca="1">IFERROR(INDEX(nombres[],SMALL(IF(OFFSET(nombres[],0,0,ROWS(nombres[]),1)=X$1490,ROW(OFFSET(nombres[],0,0,ROWS(nombres[]),1))-ROW(OFFSET(nombres[],0,0,1,1))+1,ROW(OFFSET(nombres[],ROWS(nombres[])-1,0,1,1))+1),$O1546:$O1565),3),"")</f>
        <v/>
      </c>
      <c r="Y1546" s="42" t="str">
        <f t="array" aca="1" ref="Y1546" ca="1">IFERROR(INDEX(nombres[],SMALL(IF(OFFSET(nombres[],0,0,ROWS(nombres[]),1)=Y$1490,ROW(OFFSET(nombres[],0,0,ROWS(nombres[]),1))-ROW(OFFSET(nombres[],0,0,1,1))+1,ROW(OFFSET(nombres[],ROWS(nombres[])-1,0,1,1))+1),$O1546:$O1565),3),"")</f>
        <v/>
      </c>
      <c r="Z1546" s="42" t="str">
        <f t="array" aca="1" ref="Z1546" ca="1">IFERROR(INDEX(nombres[],SMALL(IF(OFFSET(nombres[],0,0,ROWS(nombres[]),1)=Z$1490,ROW(OFFSET(nombres[],0,0,ROWS(nombres[]),1))-ROW(OFFSET(nombres[],0,0,1,1))+1,ROW(OFFSET(nombres[],ROWS(nombres[])-1,0,1,1))+1),$O1546:$O1565),3),"")</f>
        <v/>
      </c>
      <c r="AA1546" s="42" t="str">
        <f t="array" aca="1" ref="AA1546" ca="1">IFERROR(INDEX(nombres[],SMALL(IF(OFFSET(nombres[],0,0,ROWS(nombres[]),1)=AA$1490,ROW(OFFSET(nombres[],0,0,ROWS(nombres[]),1))-ROW(OFFSET(nombres[],0,0,1,1))+1,ROW(OFFSET(nombres[],ROWS(nombres[])-1,0,1,1))+1),$O1546:$O1565),3),"")</f>
        <v/>
      </c>
      <c r="AB1546" s="42" t="str">
        <f t="array" aca="1" ref="AB1546" ca="1">IFERROR(INDEX(nombres[],SMALL(IF(OFFSET(nombres[],0,0,ROWS(nombres[]),1)=AB$1490,ROW(OFFSET(nombres[],0,0,ROWS(nombres[]),1))-ROW(OFFSET(nombres[],0,0,1,1))+1,ROW(OFFSET(nombres[],ROWS(nombres[])-1,0,1,1))+1),$O1546:$O1565),3),"")</f>
        <v/>
      </c>
      <c r="AC1546" s="42" t="str">
        <f t="array" aca="1" ref="AC1546" ca="1">IFERROR(INDEX(nombres[],SMALL(IF(OFFSET(nombres[],0,0,ROWS(nombres[]),1)=AC$1490,ROW(OFFSET(nombres[],0,0,ROWS(nombres[]),1))-ROW(OFFSET(nombres[],0,0,1,1))+1,ROW(OFFSET(nombres[],ROWS(nombres[])-1,0,1,1))+1),$O1546:$O1565),3),"")</f>
        <v/>
      </c>
      <c r="AD1546" s="42" t="str">
        <f t="array" aca="1" ref="AD1546" ca="1">IFERROR(INDEX(nombres[],SMALL(IF(OFFSET(nombres[],0,0,ROWS(nombres[]),1)=AD$1490,ROW(OFFSET(nombres[],0,0,ROWS(nombres[]),1))-ROW(OFFSET(nombres[],0,0,1,1))+1,ROW(OFFSET(nombres[],ROWS(nombres[])-1,0,1,1))+1),$O1546:$O1565),3),"")</f>
        <v/>
      </c>
      <c r="AE1546" s="42" t="str">
        <f t="array" aca="1" ref="AE1546" ca="1">IFERROR(INDEX(nombres[],SMALL(IF(OFFSET(nombres[],0,0,ROWS(nombres[]),1)=AE$1490,ROW(OFFSET(nombres[],0,0,ROWS(nombres[]),1))-ROW(OFFSET(nombres[],0,0,1,1))+1,ROW(OFFSET(nombres[],ROWS(nombres[])-1,0,1,1))+1),$O1546:$O1565),3),"")</f>
        <v/>
      </c>
      <c r="AF1546" s="42" t="str">
        <f t="array" aca="1" ref="AF1546" ca="1">IFERROR(INDEX(nombres[],SMALL(IF(OFFSET(nombres[],0,0,ROWS(nombres[]),1)=AF$1490,ROW(OFFSET(nombres[],0,0,ROWS(nombres[]),1))-ROW(OFFSET(nombres[],0,0,1,1))+1,ROW(OFFSET(nombres[],ROWS(nombres[])-1,0,1,1))+1),$O1546:$O1565),3),"")</f>
        <v/>
      </c>
      <c r="AG1546" s="42" t="str">
        <f t="array" aca="1" ref="AG1546" ca="1">IFERROR(INDEX(nombres[],SMALL(IF(OFFSET(nombres[],0,0,ROWS(nombres[]),1)=AG$1490,ROW(OFFSET(nombres[],0,0,ROWS(nombres[]),1))-ROW(OFFSET(nombres[],0,0,1,1))+1,ROW(OFFSET(nombres[],ROWS(nombres[])-1,0,1,1))+1),$O1546:$O1565),3),"")</f>
        <v/>
      </c>
      <c r="AH1546" s="42" t="str">
        <f t="array" aca="1" ref="AH1546" ca="1">IFERROR(INDEX(nombres[],SMALL(IF(OFFSET(nombres[],0,0,ROWS(nombres[]),1)=AH$1490,ROW(OFFSET(nombres[],0,0,ROWS(nombres[]),1))-ROW(OFFSET(nombres[],0,0,1,1))+1,ROW(OFFSET(nombres[],ROWS(nombres[])-1,0,1,1))+1),$O1546:$O1565),3),"")</f>
        <v/>
      </c>
      <c r="AI1546" s="42" t="str">
        <f t="array" aca="1" ref="AI1546" ca="1">IFERROR(INDEX(nombres[],SMALL(IF(OFFSET(nombres[],0,0,ROWS(nombres[]),1)=AI$1490,ROW(OFFSET(nombres[],0,0,ROWS(nombres[]),1))-ROW(OFFSET(nombres[],0,0,1,1))+1,ROW(OFFSET(nombres[],ROWS(nombres[])-1,0,1,1))+1),$O1546:$O1565),3),"")</f>
        <v/>
      </c>
      <c r="AJ1546" s="42" t="str">
        <f t="array" aca="1" ref="AJ1546" ca="1">IFERROR(INDEX(nombres[],SMALL(IF(OFFSET(nombres[],0,0,ROWS(nombres[]),1)=AJ$1490,ROW(OFFSET(nombres[],0,0,ROWS(nombres[]),1))-ROW(OFFSET(nombres[],0,0,1,1))+1,ROW(OFFSET(nombres[],ROWS(nombres[])-1,0,1,1))+1),$O1546:$O1565),3),"")</f>
        <v/>
      </c>
      <c r="AK1546" s="42" t="str">
        <f t="array" aca="1" ref="AK1546" ca="1">IFERROR(INDEX(nombres[],SMALL(IF(OFFSET(nombres[],0,0,ROWS(nombres[]),1)=AK$1490,ROW(OFFSET(nombres[],0,0,ROWS(nombres[]),1))-ROW(OFFSET(nombres[],0,0,1,1))+1,ROW(OFFSET(nombres[],ROWS(nombres[])-1,0,1,1))+1),$O1546:$O1565),3),"")</f>
        <v/>
      </c>
      <c r="AL1546" s="42" t="str">
        <f t="array" aca="1" ref="AL1546" ca="1">IFERROR(INDEX(nombres[],SMALL(IF(OFFSET(nombres[],0,0,ROWS(nombres[]),1)=AL$1490,ROW(OFFSET(nombres[],0,0,ROWS(nombres[]),1))-ROW(OFFSET(nombres[],0,0,1,1))+1,ROW(OFFSET(nombres[],ROWS(nombres[])-1,0,1,1))+1),$O1546:$O1565),3),"")</f>
        <v/>
      </c>
      <c r="AM1546" s="42" t="str">
        <f t="array" aca="1" ref="AM1546" ca="1">IFERROR(INDEX(nombres[],SMALL(IF(OFFSET(nombres[],0,0,ROWS(nombres[]),1)=AM$1490,ROW(OFFSET(nombres[],0,0,ROWS(nombres[]),1))-ROW(OFFSET(nombres[],0,0,1,1))+1,ROW(OFFSET(nombres[],ROWS(nombres[])-1,0,1,1))+1),$O1546:$O1565),3),"")</f>
        <v/>
      </c>
      <c r="AN1546" s="42" t="str">
        <f t="array" aca="1" ref="AN1546" ca="1">IFERROR(INDEX(nombres[],SMALL(IF(OFFSET(nombres[],0,0,ROWS(nombres[]),1)=AN$1490,ROW(OFFSET(nombres[],0,0,ROWS(nombres[]),1))-ROW(OFFSET(nombres[],0,0,1,1))+1,ROW(OFFSET(nombres[],ROWS(nombres[])-1,0,1,1))+1),$O1546:$O1565),3),"")</f>
        <v/>
      </c>
      <c r="AO1546" s="42" t="str">
        <f t="array" aca="1" ref="AO1546" ca="1">IFERROR(INDEX(nombres[],SMALL(IF(OFFSET(nombres[],0,0,ROWS(nombres[]),1)=AO$1490,ROW(OFFSET(nombres[],0,0,ROWS(nombres[]),1))-ROW(OFFSET(nombres[],0,0,1,1))+1,ROW(OFFSET(nombres[],ROWS(nombres[])-1,0,1,1))+1),$O1546:$O1565),3),"")</f>
        <v/>
      </c>
      <c r="AP1546" s="42" t="str">
        <f t="array" aca="1" ref="AP1546" ca="1">IFERROR(INDEX(nombres[],SMALL(IF(OFFSET(nombres[],0,0,ROWS(nombres[]),1)=AP$1490,ROW(OFFSET(nombres[],0,0,ROWS(nombres[]),1))-ROW(OFFSET(nombres[],0,0,1,1))+1,ROW(OFFSET(nombres[],ROWS(nombres[])-1,0,1,1))+1),$O1546:$O1565),3),"")</f>
        <v/>
      </c>
      <c r="AQ1546" s="42" t="str">
        <f t="array" aca="1" ref="AQ1546" ca="1">IFERROR(INDEX(nombres[],SMALL(IF(OFFSET(nombres[],0,0,ROWS(nombres[]),1)=AQ$1490,ROW(OFFSET(nombres[],0,0,ROWS(nombres[]),1))-ROW(OFFSET(nombres[],0,0,1,1))+1,ROW(OFFSET(nombres[],ROWS(nombres[])-1,0,1,1))+1),$O1546:$O1565),3),"")</f>
        <v/>
      </c>
      <c r="AR1546" s="42" t="str">
        <f t="array" aca="1" ref="AR1546" ca="1">IFERROR(INDEX(nombres[],SMALL(IF(OFFSET(nombres[],0,0,ROWS(nombres[]),1)=AR$1490,ROW(OFFSET(nombres[],0,0,ROWS(nombres[]),1))-ROW(OFFSET(nombres[],0,0,1,1))+1,ROW(OFFSET(nombres[],ROWS(nombres[])-1,0,1,1))+1),$O1546:$O1565),3),"")</f>
        <v/>
      </c>
      <c r="AS1546" s="42" t="str">
        <f t="array" aca="1" ref="AS1546" ca="1">IFERROR(INDEX(nombres[],SMALL(IF(OFFSET(nombres[],0,0,ROWS(nombres[]),1)=AS$1490,ROW(OFFSET(nombres[],0,0,ROWS(nombres[]),1))-ROW(OFFSET(nombres[],0,0,1,1))+1,ROW(OFFSET(nombres[],ROWS(nombres[])-1,0,1,1))+1),$O1546:$O1565),3),"")</f>
        <v/>
      </c>
      <c r="AT1546" s="42" t="str">
        <f t="array" aca="1" ref="AT1546" ca="1">IFERROR(INDEX(nombres[],SMALL(IF(OFFSET(nombres[],0,0,ROWS(nombres[]),1)=AT$1490,ROW(OFFSET(nombres[],0,0,ROWS(nombres[]),1))-ROW(OFFSET(nombres[],0,0,1,1))+1,ROW(OFFSET(nombres[],ROWS(nombres[])-1,0,1,1))+1),$O1546:$O1565),3),"")</f>
        <v/>
      </c>
      <c r="AU1546" s="42" t="str">
        <f t="array" aca="1" ref="AU1546" ca="1">IFERROR(INDEX(nombres[],SMALL(IF(OFFSET(nombres[],0,0,ROWS(nombres[]),1)=AU$1490,ROW(OFFSET(nombres[],0,0,ROWS(nombres[]),1))-ROW(OFFSET(nombres[],0,0,1,1))+1,ROW(OFFSET(nombres[],ROWS(nombres[])-1,0,1,1))+1),$O1546:$O1565),3),"")</f>
        <v/>
      </c>
      <c r="AV1546" s="42" t="str">
        <f t="array" aca="1" ref="AV1546" ca="1">IFERROR(INDEX(nombres[],SMALL(IF(OFFSET(nombres[],0,0,ROWS(nombres[]),1)=AV$1490,ROW(OFFSET(nombres[],0,0,ROWS(nombres[]),1))-ROW(OFFSET(nombres[],0,0,1,1))+1,ROW(OFFSET(nombres[],ROWS(nombres[])-1,0,1,1))+1),$O1546:$O1565),3),"")</f>
        <v/>
      </c>
      <c r="AW1546" s="42" t="str">
        <f t="array" aca="1" ref="AW1546" ca="1">IFERROR(INDEX(nombres[],SMALL(IF(OFFSET(nombres[],0,0,ROWS(nombres[]),1)=AW$1490,ROW(OFFSET(nombres[],0,0,ROWS(nombres[]),1))-ROW(OFFSET(nombres[],0,0,1,1))+1,ROW(OFFSET(nombres[],ROWS(nombres[])-1,0,1,1))+1),$O1546:$O1565),3),"")</f>
        <v/>
      </c>
      <c r="AX1546" s="42" t="str">
        <f t="array" aca="1" ref="AX1546" ca="1">IFERROR(INDEX(nombres[],SMALL(IF(OFFSET(nombres[],0,0,ROWS(nombres[]),1)=AX$1490,ROW(OFFSET(nombres[],0,0,ROWS(nombres[]),1))-ROW(OFFSET(nombres[],0,0,1,1))+1,ROW(OFFSET(nombres[],ROWS(nombres[])-1,0,1,1))+1),$O1546:$O1565),3),"")</f>
        <v/>
      </c>
      <c r="AY1546" s="42" t="str">
        <f t="array" aca="1" ref="AY1546" ca="1">IFERROR(INDEX(nombres[],SMALL(IF(OFFSET(nombres[],0,0,ROWS(nombres[]),1)=AY$1490,ROW(OFFSET(nombres[],0,0,ROWS(nombres[]),1))-ROW(OFFSET(nombres[],0,0,1,1))+1,ROW(OFFSET(nombres[],ROWS(nombres[])-1,0,1,1))+1),$O1546:$O1565),3),"")</f>
        <v/>
      </c>
      <c r="AZ1546" s="42" t="str">
        <f t="array" aca="1" ref="AZ1546" ca="1">IFERROR(INDEX(nombres[],SMALL(IF(OFFSET(nombres[],0,0,ROWS(nombres[]),1)=AZ$1490,ROW(OFFSET(nombres[],0,0,ROWS(nombres[]),1))-ROW(OFFSET(nombres[],0,0,1,1))+1,ROW(OFFSET(nombres[],ROWS(nombres[])-1,0,1,1))+1),$O1546:$O1565),3),"")</f>
        <v/>
      </c>
      <c r="BA1546" s="42" t="str">
        <f t="array" aca="1" ref="BA1546" ca="1">IFERROR(INDEX(nombres[],SMALL(IF(OFFSET(nombres[],0,0,ROWS(nombres[]),1)=BA$1490,ROW(OFFSET(nombres[],0,0,ROWS(nombres[]),1))-ROW(OFFSET(nombres[],0,0,1,1))+1,ROW(OFFSET(nombres[],ROWS(nombres[])-1,0,1,1))+1),$O1546:$O1565),3),"")</f>
        <v/>
      </c>
      <c r="BB1546" s="42" t="str">
        <f t="array" aca="1" ref="BB1546" ca="1">IFERROR(INDEX(nombres[],SMALL(IF(OFFSET(nombres[],0,0,ROWS(nombres[]),1)=BB$1490,ROW(OFFSET(nombres[],0,0,ROWS(nombres[]),1))-ROW(OFFSET(nombres[],0,0,1,1))+1,ROW(OFFSET(nombres[],ROWS(nombres[])-1,0,1,1))+1),$O1546:$O1565),3),"")</f>
        <v/>
      </c>
      <c r="BC1546" s="42" t="str">
        <f t="array" aca="1" ref="BC1546" ca="1">IFERROR(INDEX(nombres[],SMALL(IF(OFFSET(nombres[],0,0,ROWS(nombres[]),1)=BC$1490,ROW(OFFSET(nombres[],0,0,ROWS(nombres[]),1))-ROW(OFFSET(nombres[],0,0,1,1))+1,ROW(OFFSET(nombres[],ROWS(nombres[])-1,0,1,1))+1),$O1546:$O1565),3),"")</f>
        <v/>
      </c>
      <c r="BD1546" s="42" t="str">
        <f t="array" aca="1" ref="BD1546" ca="1">IFERROR(INDEX(nombres[],SMALL(IF(OFFSET(nombres[],0,0,ROWS(nombres[]),1)=BD$1490,ROW(OFFSET(nombres[],0,0,ROWS(nombres[]),1))-ROW(OFFSET(nombres[],0,0,1,1))+1,ROW(OFFSET(nombres[],ROWS(nombres[])-1,0,1,1))+1),$O1546:$O1565),3),"")</f>
        <v/>
      </c>
      <c r="BE1546" s="42" t="str">
        <f t="array" aca="1" ref="BE1546" ca="1">IFERROR(INDEX(nombres[],SMALL(IF(OFFSET(nombres[],0,0,ROWS(nombres[]),1)=BE$1490,ROW(OFFSET(nombres[],0,0,ROWS(nombres[]),1))-ROW(OFFSET(nombres[],0,0,1,1))+1,ROW(OFFSET(nombres[],ROWS(nombres[])-1,0,1,1))+1),$O1546:$O1565),3),"")</f>
        <v/>
      </c>
      <c r="BF1546" s="42" t="str">
        <f t="array" aca="1" ref="BF1546" ca="1">IFERROR(INDEX(nombres[],SMALL(IF(OFFSET(nombres[],0,0,ROWS(nombres[]),1)=BF$1490,ROW(OFFSET(nombres[],0,0,ROWS(nombres[]),1))-ROW(OFFSET(nombres[],0,0,1,1))+1,ROW(OFFSET(nombres[],ROWS(nombres[])-1,0,1,1))+1),$O1546:$O1565),3),"")</f>
        <v/>
      </c>
      <c r="BG1546" s="42" t="str">
        <f t="array" aca="1" ref="BG1546" ca="1">IFERROR(INDEX(nombres[],SMALL(IF(OFFSET(nombres[],0,0,ROWS(nombres[]),1)=BG$1490,ROW(OFFSET(nombres[],0,0,ROWS(nombres[]),1))-ROW(OFFSET(nombres[],0,0,1,1))+1,ROW(OFFSET(nombres[],ROWS(nombres[])-1,0,1,1))+1),$O1546:$O1565),3),"")</f>
        <v/>
      </c>
      <c r="BH1546" s="42" t="str">
        <f t="array" aca="1" ref="BH1546" ca="1">IFERROR(INDEX(nombres[],SMALL(IF(OFFSET(nombres[],0,0,ROWS(nombres[]),1)=BH$1490,ROW(OFFSET(nombres[],0,0,ROWS(nombres[]),1))-ROW(OFFSET(nombres[],0,0,1,1))+1,ROW(OFFSET(nombres[],ROWS(nombres[])-1,0,1,1))+1),$O1546:$O1565),3),"")</f>
        <v/>
      </c>
      <c r="BI1546" s="42" t="str">
        <f t="array" aca="1" ref="BI1546" ca="1">IFERROR(INDEX(nombres[],SMALL(IF(OFFSET(nombres[],0,0,ROWS(nombres[]),1)=BI$1490,ROW(OFFSET(nombres[],0,0,ROWS(nombres[]),1))-ROW(OFFSET(nombres[],0,0,1,1))+1,ROW(OFFSET(nombres[],ROWS(nombres[])-1,0,1,1))+1),$O1546:$O1565),3),"")</f>
        <v/>
      </c>
      <c r="BJ1546" s="42" t="str">
        <f t="array" aca="1" ref="BJ1546" ca="1">IFERROR(INDEX(nombres[],SMALL(IF(OFFSET(nombres[],0,0,ROWS(nombres[]),1)=BJ$1490,ROW(OFFSET(nombres[],0,0,ROWS(nombres[]),1))-ROW(OFFSET(nombres[],0,0,1,1))+1,ROW(OFFSET(nombres[],ROWS(nombres[])-1,0,1,1))+1),$O1546:$O1565),3),"")</f>
        <v/>
      </c>
      <c r="BK1546" s="42" t="str">
        <f t="array" aca="1" ref="BK1546" ca="1">IFERROR(INDEX(nombres[],SMALL(IF(OFFSET(nombres[],0,0,ROWS(nombres[]),1)=BK$1490,ROW(OFFSET(nombres[],0,0,ROWS(nombres[]),1))-ROW(OFFSET(nombres[],0,0,1,1))+1,ROW(OFFSET(nombres[],ROWS(nombres[])-1,0,1,1))+1),$O1546:$O1565),3),"")</f>
        <v/>
      </c>
      <c r="BL1546" s="42" t="str">
        <f t="array" aca="1" ref="BL1546" ca="1">IFERROR(INDEX(nombres[],SMALL(IF(OFFSET(nombres[],0,0,ROWS(nombres[]),1)=BL$1490,ROW(OFFSET(nombres[],0,0,ROWS(nombres[]),1))-ROW(OFFSET(nombres[],0,0,1,1))+1,ROW(OFFSET(nombres[],ROWS(nombres[])-1,0,1,1))+1),$O1546:$O1565),3),"")</f>
        <v/>
      </c>
      <c r="BM1546" s="42" t="str">
        <f t="array" aca="1" ref="BM1546" ca="1">IFERROR(INDEX(nombres[],SMALL(IF(OFFSET(nombres[],0,0,ROWS(nombres[]),1)=BM$1490,ROW(OFFSET(nombres[],0,0,ROWS(nombres[]),1))-ROW(OFFSET(nombres[],0,0,1,1))+1,ROW(OFFSET(nombres[],ROWS(nombres[])-1,0,1,1))+1),$O1546:$O1565),3),"")</f>
        <v/>
      </c>
      <c r="BN1546" s="42" t="str">
        <f t="array" aca="1" ref="BN1546" ca="1">IFERROR(INDEX(nombres[],SMALL(IF(OFFSET(nombres[],0,0,ROWS(nombres[]),1)=BN$1490,ROW(OFFSET(nombres[],0,0,ROWS(nombres[]),1))-ROW(OFFSET(nombres[],0,0,1,1))+1,ROW(OFFSET(nombres[],ROWS(nombres[])-1,0,1,1))+1),$O1546:$O1565),3),"")</f>
        <v/>
      </c>
      <c r="BO1546" s="42" t="str">
        <f t="array" aca="1" ref="BO1546" ca="1">IFERROR(INDEX(nombres[],SMALL(IF(OFFSET(nombres[],0,0,ROWS(nombres[]),1)=BO$1490,ROW(OFFSET(nombres[],0,0,ROWS(nombres[]),1))-ROW(OFFSET(nombres[],0,0,1,1))+1,ROW(OFFSET(nombres[],ROWS(nombres[])-1,0,1,1))+1),$O1546:$O1565),3),"")</f>
        <v/>
      </c>
      <c r="BP1546" s="42" t="str">
        <f t="array" aca="1" ref="BP1546" ca="1">IFERROR(INDEX(nombres[],SMALL(IF(OFFSET(nombres[],0,0,ROWS(nombres[]),1)=BP$1490,ROW(OFFSET(nombres[],0,0,ROWS(nombres[]),1))-ROW(OFFSET(nombres[],0,0,1,1))+1,ROW(OFFSET(nombres[],ROWS(nombres[])-1,0,1,1))+1),$O1546:$O1565),3),"")</f>
        <v/>
      </c>
      <c r="BQ1546" s="42" t="str">
        <f t="array" aca="1" ref="BQ1546" ca="1">IFERROR(INDEX(nombres[],SMALL(IF(OFFSET(nombres[],0,0,ROWS(nombres[]),1)=BQ$1490,ROW(OFFSET(nombres[],0,0,ROWS(nombres[]),1))-ROW(OFFSET(nombres[],0,0,1,1))+1,ROW(OFFSET(nombres[],ROWS(nombres[])-1,0,1,1))+1),$O1546:$O1565),3),"")</f>
        <v/>
      </c>
      <c r="BR1546" s="42" t="str">
        <f t="array" aca="1" ref="BR1546" ca="1">IFERROR(INDEX(nombres[],SMALL(IF(OFFSET(nombres[],0,0,ROWS(nombres[]),1)=BR$1490,ROW(OFFSET(nombres[],0,0,ROWS(nombres[]),1))-ROW(OFFSET(nombres[],0,0,1,1))+1,ROW(OFFSET(nombres[],ROWS(nombres[])-1,0,1,1))+1),$O1546:$O1565),3),"")</f>
        <v/>
      </c>
      <c r="BS1546" s="42" t="str">
        <f t="array" aca="1" ref="BS1546" ca="1">IFERROR(INDEX(nombres[],SMALL(IF(OFFSET(nombres[],0,0,ROWS(nombres[]),1)=BS$1490,ROW(OFFSET(nombres[],0,0,ROWS(nombres[]),1))-ROW(OFFSET(nombres[],0,0,1,1))+1,ROW(OFFSET(nombres[],ROWS(nombres[])-1,0,1,1))+1),$O1546:$O1565),3),"")</f>
        <v/>
      </c>
      <c r="BT1546" s="42" t="str">
        <f t="array" aca="1" ref="BT1546" ca="1">IFERROR(INDEX(nombres[],SMALL(IF(OFFSET(nombres[],0,0,ROWS(nombres[]),1)=BT$1490,ROW(OFFSET(nombres[],0,0,ROWS(nombres[]),1))-ROW(OFFSET(nombres[],0,0,1,1))+1,ROW(OFFSET(nombres[],ROWS(nombres[])-1,0,1,1))+1),$O1546:$O1565),3),"")</f>
        <v/>
      </c>
      <c r="BU1546" s="42" t="str">
        <f t="array" aca="1" ref="BU1546" ca="1">IFERROR(INDEX(nombres[],SMALL(IF(OFFSET(nombres[],0,0,ROWS(nombres[]),1)=BU$1490,ROW(OFFSET(nombres[],0,0,ROWS(nombres[]),1))-ROW(OFFSET(nombres[],0,0,1,1))+1,ROW(OFFSET(nombres[],ROWS(nombres[])-1,0,1,1))+1),$O1546:$O1565),3),"")</f>
        <v/>
      </c>
      <c r="BV1546" s="42" t="str">
        <f t="array" aca="1" ref="BV1546" ca="1">IFERROR(INDEX(nombres[],SMALL(IF(OFFSET(nombres[],0,0,ROWS(nombres[]),1)=BV$1490,ROW(OFFSET(nombres[],0,0,ROWS(nombres[]),1))-ROW(OFFSET(nombres[],0,0,1,1))+1,ROW(OFFSET(nombres[],ROWS(nombres[])-1,0,1,1))+1),$O1546:$O1565),3),"")</f>
        <v/>
      </c>
      <c r="BW1546" s="42" t="str">
        <f t="array" aca="1" ref="BW1546" ca="1">IFERROR(INDEX(nombres[],SMALL(IF(OFFSET(nombres[],0,0,ROWS(nombres[]),1)=BW$1490,ROW(OFFSET(nombres[],0,0,ROWS(nombres[]),1))-ROW(OFFSET(nombres[],0,0,1,1))+1,ROW(OFFSET(nombres[],ROWS(nombres[])-1,0,1,1))+1),$O1546:$O1565),3),"")</f>
        <v/>
      </c>
      <c r="BX1546" s="42" t="str">
        <f t="array" aca="1" ref="BX1546" ca="1">IFERROR(INDEX(nombres[],SMALL(IF(OFFSET(nombres[],0,0,ROWS(nombres[]),1)=BX$1490,ROW(OFFSET(nombres[],0,0,ROWS(nombres[]),1))-ROW(OFFSET(nombres[],0,0,1,1))+1,ROW(OFFSET(nombres[],ROWS(nombres[])-1,0,1,1))+1),$O1546:$O1565),3),"")</f>
        <v/>
      </c>
      <c r="BY1546" s="42" t="str">
        <f t="array" aca="1" ref="BY1546" ca="1">IFERROR(INDEX(nombres[],SMALL(IF(OFFSET(nombres[],0,0,ROWS(nombres[]),1)=BY$1490,ROW(OFFSET(nombres[],0,0,ROWS(nombres[]),1))-ROW(OFFSET(nombres[],0,0,1,1))+1,ROW(OFFSET(nombres[],ROWS(nombres[])-1,0,1,1))+1),$O1546:$O1565),3),"")</f>
        <v/>
      </c>
      <c r="BZ1546" s="42" t="str">
        <f t="array" aca="1" ref="BZ1546" ca="1">IFERROR(INDEX(nombres[],SMALL(IF(OFFSET(nombres[],0,0,ROWS(nombres[]),1)=BZ$1490,ROW(OFFSET(nombres[],0,0,ROWS(nombres[]),1))-ROW(OFFSET(nombres[],0,0,1,1))+1,ROW(OFFSET(nombres[],ROWS(nombres[])-1,0,1,1))+1),$O1546:$O1565),3),"")</f>
        <v/>
      </c>
      <c r="CA1546" s="42" t="str">
        <f t="array" aca="1" ref="CA1546" ca="1">IFERROR(INDEX(nombres[],SMALL(IF(OFFSET(nombres[],0,0,ROWS(nombres[]),1)=CA$1490,ROW(OFFSET(nombres[],0,0,ROWS(nombres[]),1))-ROW(OFFSET(nombres[],0,0,1,1))+1,ROW(OFFSET(nombres[],ROWS(nombres[])-1,0,1,1))+1),$O1546:$O1565),3),"")</f>
        <v/>
      </c>
      <c r="CB1546" s="42" t="str">
        <f t="array" aca="1" ref="CB1546" ca="1">IFERROR(INDEX(nombres[],SMALL(IF(OFFSET(nombres[],0,0,ROWS(nombres[]),1)=CB$1490,ROW(OFFSET(nombres[],0,0,ROWS(nombres[]),1))-ROW(OFFSET(nombres[],0,0,1,1))+1,ROW(OFFSET(nombres[],ROWS(nombres[])-1,0,1,1))+1),$O1546:$O1565),3),"")</f>
        <v/>
      </c>
      <c r="CC1546" s="42" t="str">
        <f t="array" aca="1" ref="CC1546" ca="1">IFERROR(INDEX(nombres[],SMALL(IF(OFFSET(nombres[],0,0,ROWS(nombres[]),1)=CC$1490,ROW(OFFSET(nombres[],0,0,ROWS(nombres[]),1))-ROW(OFFSET(nombres[],0,0,1,1))+1,ROW(OFFSET(nombres[],ROWS(nombres[])-1,0,1,1))+1),$O1546:$O1565),3),"")</f>
        <v/>
      </c>
      <c r="CD1546" s="42" t="str">
        <f t="array" aca="1" ref="CD1546" ca="1">IFERROR(INDEX(nombres[],SMALL(IF(OFFSET(nombres[],0,0,ROWS(nombres[]),1)=CD$1490,ROW(OFFSET(nombres[],0,0,ROWS(nombres[]),1))-ROW(OFFSET(nombres[],0,0,1,1))+1,ROW(OFFSET(nombres[],ROWS(nombres[])-1,0,1,1))+1),$O1546:$O1565),3),"")</f>
        <v/>
      </c>
      <c r="CE1546" s="42" t="str">
        <f t="array" aca="1" ref="CE1546" ca="1">IFERROR(INDEX(nombres[],SMALL(IF(OFFSET(nombres[],0,0,ROWS(nombres[]),1)=CE$1490,ROW(OFFSET(nombres[],0,0,ROWS(nombres[]),1))-ROW(OFFSET(nombres[],0,0,1,1))+1,ROW(OFFSET(nombres[],ROWS(nombres[])-1,0,1,1))+1),$O1546:$O1565),3),"")</f>
        <v/>
      </c>
      <c r="CF1546" s="42" t="str">
        <f t="array" aca="1" ref="CF1546" ca="1">IFERROR(INDEX(nombres[],SMALL(IF(OFFSET(nombres[],0,0,ROWS(nombres[]),1)=CF$1490,ROW(OFFSET(nombres[],0,0,ROWS(nombres[]),1))-ROW(OFFSET(nombres[],0,0,1,1))+1,ROW(OFFSET(nombres[],ROWS(nombres[])-1,0,1,1))+1),$O1546:$O1565),3),"")</f>
        <v/>
      </c>
      <c r="CG1546" s="42" t="str">
        <f t="array" aca="1" ref="CG1546" ca="1">IFERROR(INDEX(nombres[],SMALL(IF(OFFSET(nombres[],0,0,ROWS(nombres[]),1)=CG$1490,ROW(OFFSET(nombres[],0,0,ROWS(nombres[]),1))-ROW(OFFSET(nombres[],0,0,1,1))+1,ROW(OFFSET(nombres[],ROWS(nombres[])-1,0,1,1))+1),$O1546:$O1565),3),"")</f>
        <v/>
      </c>
      <c r="CH1546" s="42" t="str">
        <f t="array" aca="1" ref="CH1546" ca="1">IFERROR(INDEX(nombres[],SMALL(IF(OFFSET(nombres[],0,0,ROWS(nombres[]),1)=CH$1490,ROW(OFFSET(nombres[],0,0,ROWS(nombres[]),1))-ROW(OFFSET(nombres[],0,0,1,1))+1,ROW(OFFSET(nombres[],ROWS(nombres[])-1,0,1,1))+1),$O1546:$O1565),3),"")</f>
        <v/>
      </c>
      <c r="CI1546" s="42" t="str">
        <f t="array" aca="1" ref="CI1546" ca="1">IFERROR(INDEX(nombres[],SMALL(IF(OFFSET(nombres[],0,0,ROWS(nombres[]),1)=CI$1490,ROW(OFFSET(nombres[],0,0,ROWS(nombres[]),1))-ROW(OFFSET(nombres[],0,0,1,1))+1,ROW(OFFSET(nombres[],ROWS(nombres[])-1,0,1,1))+1),$O1546:$O1565),3),"")</f>
        <v/>
      </c>
      <c r="CJ1546" s="42" t="str">
        <f t="array" aca="1" ref="CJ1546" ca="1">IFERROR(INDEX(nombres[],SMALL(IF(OFFSET(nombres[],0,0,ROWS(nombres[]),1)=CJ$1490,ROW(OFFSET(nombres[],0,0,ROWS(nombres[]),1))-ROW(OFFSET(nombres[],0,0,1,1))+1,ROW(OFFSET(nombres[],ROWS(nombres[])-1,0,1,1))+1),$O1546:$O1565),3),"")</f>
        <v/>
      </c>
      <c r="CK1546" s="42" t="str">
        <f t="array" aca="1" ref="CK1546" ca="1">IFERROR(INDEX(nombres[],SMALL(IF(OFFSET(nombres[],0,0,ROWS(nombres[]),1)=CK$1490,ROW(OFFSET(nombres[],0,0,ROWS(nombres[]),1))-ROW(OFFSET(nombres[],0,0,1,1))+1,ROW(OFFSET(nombres[],ROWS(nombres[])-1,0,1,1))+1),$O1546:$O1565),3),"")</f>
        <v/>
      </c>
      <c r="CL1546" s="42" t="str">
        <f t="array" aca="1" ref="CL1546" ca="1">IFERROR(INDEX(nombres[],SMALL(IF(OFFSET(nombres[],0,0,ROWS(nombres[]),1)=CL$1490,ROW(OFFSET(nombres[],0,0,ROWS(nombres[]),1))-ROW(OFFSET(nombres[],0,0,1,1))+1,ROW(OFFSET(nombres[],ROWS(nombres[])-1,0,1,1))+1),$O1546:$O1565),3),"")</f>
        <v/>
      </c>
      <c r="CM1546" s="42" t="str">
        <f t="array" aca="1" ref="CM1546" ca="1">IFERROR(INDEX(nombres[],SMALL(IF(OFFSET(nombres[],0,0,ROWS(nombres[]),1)=CM$1490,ROW(OFFSET(nombres[],0,0,ROWS(nombres[]),1))-ROW(OFFSET(nombres[],0,0,1,1))+1,ROW(OFFSET(nombres[],ROWS(nombres[])-1,0,1,1))+1),$O1546:$O1565),3),"")</f>
        <v/>
      </c>
      <c r="CN1546" s="42" t="str">
        <f t="array" aca="1" ref="CN1546" ca="1">IFERROR(INDEX(nombres[],SMALL(IF(OFFSET(nombres[],0,0,ROWS(nombres[]),1)=CN$1490,ROW(OFFSET(nombres[],0,0,ROWS(nombres[]),1))-ROW(OFFSET(nombres[],0,0,1,1))+1,ROW(OFFSET(nombres[],ROWS(nombres[])-1,0,1,1))+1),$O1546:$O1565),3),"")</f>
        <v/>
      </c>
      <c r="CO1546" s="42" t="str">
        <f t="array" aca="1" ref="CO1546" ca="1">IFERROR(INDEX(nombres[],SMALL(IF(OFFSET(nombres[],0,0,ROWS(nombres[]),1)=CO$1490,ROW(OFFSET(nombres[],0,0,ROWS(nombres[]),1))-ROW(OFFSET(nombres[],0,0,1,1))+1,ROW(OFFSET(nombres[],ROWS(nombres[])-1,0,1,1))+1),$O1546:$O1565),3),"")</f>
        <v/>
      </c>
      <c r="CP1546" s="42" t="str">
        <f t="array" aca="1" ref="CP1546" ca="1">IFERROR(INDEX(nombres[],SMALL(IF(OFFSET(nombres[],0,0,ROWS(nombres[]),1)=CP$1490,ROW(OFFSET(nombres[],0,0,ROWS(nombres[]),1))-ROW(OFFSET(nombres[],0,0,1,1))+1,ROW(OFFSET(nombres[],ROWS(nombres[])-1,0,1,1))+1),$O1546:$O1565),3),"")</f>
        <v/>
      </c>
      <c r="CQ1546" s="42" t="str">
        <f t="array" aca="1" ref="CQ1546" ca="1">IFERROR(INDEX(nombres[],SMALL(IF(OFFSET(nombres[],0,0,ROWS(nombres[]),1)=CQ$1490,ROW(OFFSET(nombres[],0,0,ROWS(nombres[]),1))-ROW(OFFSET(nombres[],0,0,1,1))+1,ROW(OFFSET(nombres[],ROWS(nombres[])-1,0,1,1))+1),$O1546:$O1565),3),"")</f>
        <v/>
      </c>
      <c r="CR1546" s="42" t="str">
        <f t="array" aca="1" ref="CR1546" ca="1">IFERROR(INDEX(nombres[],SMALL(IF(OFFSET(nombres[],0,0,ROWS(nombres[]),1)=CR$1490,ROW(OFFSET(nombres[],0,0,ROWS(nombres[]),1))-ROW(OFFSET(nombres[],0,0,1,1))+1,ROW(OFFSET(nombres[],ROWS(nombres[])-1,0,1,1))+1),$O1546:$O1565),3),"")</f>
        <v/>
      </c>
      <c r="CS1546" s="42" t="str">
        <f t="array" aca="1" ref="CS1546" ca="1">IFERROR(INDEX(nombres[],SMALL(IF(OFFSET(nombres[],0,0,ROWS(nombres[]),1)=CS$1490,ROW(OFFSET(nombres[],0,0,ROWS(nombres[]),1))-ROW(OFFSET(nombres[],0,0,1,1))+1,ROW(OFFSET(nombres[],ROWS(nombres[])-1,0,1,1))+1),$O1546:$O1565),3),"")</f>
        <v/>
      </c>
      <c r="CT1546" s="42" t="str">
        <f t="array" aca="1" ref="CT1546" ca="1">IFERROR(INDEX(nombres[],SMALL(IF(OFFSET(nombres[],0,0,ROWS(nombres[]),1)=CT$1490,ROW(OFFSET(nombres[],0,0,ROWS(nombres[]),1))-ROW(OFFSET(nombres[],0,0,1,1))+1,ROW(OFFSET(nombres[],ROWS(nombres[])-1,0,1,1))+1),$O1546:$O1565),3),"")</f>
        <v/>
      </c>
      <c r="CU1546" s="42" t="str">
        <f t="array" aca="1" ref="CU1546" ca="1">IFERROR(INDEX(nombres[],SMALL(IF(OFFSET(nombres[],0,0,ROWS(nombres[]),1)=CU$1490,ROW(OFFSET(nombres[],0,0,ROWS(nombres[]),1))-ROW(OFFSET(nombres[],0,0,1,1))+1,ROW(OFFSET(nombres[],ROWS(nombres[])-1,0,1,1))+1),$O1546:$O1565),3),"")</f>
        <v/>
      </c>
      <c r="CV1546" s="42" t="str">
        <f t="array" aca="1" ref="CV1546" ca="1">IFERROR(INDEX(nombres[],SMALL(IF(OFFSET(nombres[],0,0,ROWS(nombres[]),1)=CV$1490,ROW(OFFSET(nombres[],0,0,ROWS(nombres[]),1))-ROW(OFFSET(nombres[],0,0,1,1))+1,ROW(OFFSET(nombres[],ROWS(nombres[])-1,0,1,1))+1),$O1546:$O1565),3),"")</f>
        <v/>
      </c>
      <c r="CW1546" s="42" t="str">
        <f t="array" aca="1" ref="CW1546" ca="1">IFERROR(INDEX(nombres[],SMALL(IF(OFFSET(nombres[],0,0,ROWS(nombres[]),1)=CW$1490,ROW(OFFSET(nombres[],0,0,ROWS(nombres[]),1))-ROW(OFFSET(nombres[],0,0,1,1))+1,ROW(OFFSET(nombres[],ROWS(nombres[])-1,0,1,1))+1),$O1546:$O1565),3),"")</f>
        <v/>
      </c>
      <c r="CX1546" s="42" t="str">
        <f t="array" aca="1" ref="CX1546" ca="1">IFERROR(INDEX(nombres[],SMALL(IF(OFFSET(nombres[],0,0,ROWS(nombres[]),1)=CX$1490,ROW(OFFSET(nombres[],0,0,ROWS(nombres[]),1))-ROW(OFFSET(nombres[],0,0,1,1))+1,ROW(OFFSET(nombres[],ROWS(nombres[])-1,0,1,1))+1),$O1546:$O1565),3),"")</f>
        <v/>
      </c>
      <c r="CY1546" s="42" t="str">
        <f t="array" aca="1" ref="CY1546" ca="1">IFERROR(INDEX(nombres[],SMALL(IF(OFFSET(nombres[],0,0,ROWS(nombres[]),1)=CY$1490,ROW(OFFSET(nombres[],0,0,ROWS(nombres[]),1))-ROW(OFFSET(nombres[],0,0,1,1))+1,ROW(OFFSET(nombres[],ROWS(nombres[])-1,0,1,1))+1),$O1546:$O1565),3),"")</f>
        <v/>
      </c>
      <c r="CZ1546" s="42" t="str">
        <f t="array" aca="1" ref="CZ1546" ca="1">IFERROR(INDEX(nombres[],SMALL(IF(OFFSET(nombres[],0,0,ROWS(nombres[]),1)=CZ$1490,ROW(OFFSET(nombres[],0,0,ROWS(nombres[]),1))-ROW(OFFSET(nombres[],0,0,1,1))+1,ROW(OFFSET(nombres[],ROWS(nombres[])-1,0,1,1))+1),$O1546:$O1565),3),"")</f>
        <v/>
      </c>
      <c r="DA1546" s="42" t="str">
        <f t="array" aca="1" ref="DA1546" ca="1">IFERROR(INDEX(nombres[],SMALL(IF(OFFSET(nombres[],0,0,ROWS(nombres[]),1)=DA$1490,ROW(OFFSET(nombres[],0,0,ROWS(nombres[]),1))-ROW(OFFSET(nombres[],0,0,1,1))+1,ROW(OFFSET(nombres[],ROWS(nombres[])-1,0,1,1))+1),$O1546:$O1565),3),"")</f>
        <v/>
      </c>
      <c r="DB1546" s="42" t="str">
        <f t="array" aca="1" ref="DB1546" ca="1">IFERROR(INDEX(nombres[],SMALL(IF(OFFSET(nombres[],0,0,ROWS(nombres[]),1)=DB$1490,ROW(OFFSET(nombres[],0,0,ROWS(nombres[]),1))-ROW(OFFSET(nombres[],0,0,1,1))+1,ROW(OFFSET(nombres[],ROWS(nombres[])-1,0,1,1))+1),$O1546:$O1565),3),"")</f>
        <v/>
      </c>
      <c r="DC1546" s="42" t="str">
        <f t="array" aca="1" ref="DC1546" ca="1">IFERROR(INDEX(nombres[],SMALL(IF(OFFSET(nombres[],0,0,ROWS(nombres[]),1)=DC$1490,ROW(OFFSET(nombres[],0,0,ROWS(nombres[]),1))-ROW(OFFSET(nombres[],0,0,1,1))+1,ROW(OFFSET(nombres[],ROWS(nombres[])-1,0,1,1))+1),$O1546:$O1565),3),"")</f>
        <v/>
      </c>
      <c r="DD1546" s="42" t="str">
        <f t="array" aca="1" ref="DD1546" ca="1">IFERROR(INDEX(nombres[],SMALL(IF(OFFSET(nombres[],0,0,ROWS(nombres[]),1)=DD$1490,ROW(OFFSET(nombres[],0,0,ROWS(nombres[]),1))-ROW(OFFSET(nombres[],0,0,1,1))+1,ROW(OFFSET(nombres[],ROWS(nombres[])-1,0,1,1))+1),$O1546:$O1565),3),"")</f>
        <v/>
      </c>
      <c r="DE1546" s="42" t="str">
        <f t="array" aca="1" ref="DE1546" ca="1">IFERROR(INDEX(nombres[],SMALL(IF(OFFSET(nombres[],0,0,ROWS(nombres[]),1)=DE$1490,ROW(OFFSET(nombres[],0,0,ROWS(nombres[]),1))-ROW(OFFSET(nombres[],0,0,1,1))+1,ROW(OFFSET(nombres[],ROWS(nombres[])-1,0,1,1))+1),$O1546:$O1565),3),"")</f>
        <v/>
      </c>
      <c r="DF1546" s="42" t="str">
        <f t="array" aca="1" ref="DF1546" ca="1">IFERROR(INDEX(nombres[],SMALL(IF(OFFSET(nombres[],0,0,ROWS(nombres[]),1)=DF$1490,ROW(OFFSET(nombres[],0,0,ROWS(nombres[]),1))-ROW(OFFSET(nombres[],0,0,1,1))+1,ROW(OFFSET(nombres[],ROWS(nombres[])-1,0,1,1))+1),$O1546:$O1565),3),"")</f>
        <v/>
      </c>
      <c r="DG1546" s="42" t="str">
        <f t="array" aca="1" ref="DG1546" ca="1">IFERROR(INDEX(nombres[],SMALL(IF(OFFSET(nombres[],0,0,ROWS(nombres[]),1)=DG$1490,ROW(OFFSET(nombres[],0,0,ROWS(nombres[]),1))-ROW(OFFSET(nombres[],0,0,1,1))+1,ROW(OFFSET(nombres[],ROWS(nombres[])-1,0,1,1))+1),$O1546:$O1565),3),"")</f>
        <v/>
      </c>
      <c r="DH1546" s="42" t="str">
        <f t="array" aca="1" ref="DH1546" ca="1">IFERROR(INDEX(nombres[],SMALL(IF(OFFSET(nombres[],0,0,ROWS(nombres[]),1)=DH$1490,ROW(OFFSET(nombres[],0,0,ROWS(nombres[]),1))-ROW(OFFSET(nombres[],0,0,1,1))+1,ROW(OFFSET(nombres[],ROWS(nombres[])-1,0,1,1))+1),$O1546:$O1565),3),"")</f>
        <v/>
      </c>
      <c r="DI1546" s="42" t="str">
        <f t="array" aca="1" ref="DI1546" ca="1">IFERROR(INDEX(nombres[],SMALL(IF(OFFSET(nombres[],0,0,ROWS(nombres[]),1)=DI$1490,ROW(OFFSET(nombres[],0,0,ROWS(nombres[]),1))-ROW(OFFSET(nombres[],0,0,1,1))+1,ROW(OFFSET(nombres[],ROWS(nombres[])-1,0,1,1))+1),$O1546:$O1565),3),"")</f>
        <v/>
      </c>
      <c r="DJ1546" s="42" t="str">
        <f t="array" aca="1" ref="DJ1546" ca="1">IFERROR(INDEX(nombres[],SMALL(IF(OFFSET(nombres[],0,0,ROWS(nombres[]),1)=DJ$1490,ROW(OFFSET(nombres[],0,0,ROWS(nombres[]),1))-ROW(OFFSET(nombres[],0,0,1,1))+1,ROW(OFFSET(nombres[],ROWS(nombres[])-1,0,1,1))+1),$O1546:$O1565),3),"")</f>
        <v/>
      </c>
      <c r="DK1546" s="42" t="str">
        <f t="array" aca="1" ref="DK1546" ca="1">IFERROR(INDEX(nombres[],SMALL(IF(OFFSET(nombres[],0,0,ROWS(nombres[]),1)=DK$1490,ROW(OFFSET(nombres[],0,0,ROWS(nombres[]),1))-ROW(OFFSET(nombres[],0,0,1,1))+1,ROW(OFFSET(nombres[],ROWS(nombres[])-1,0,1,1))+1),$O1546:$O1565),3),"")</f>
        <v/>
      </c>
      <c r="DL1546" s="42" t="str">
        <f t="array" aca="1" ref="DL1546" ca="1">IFERROR(INDEX(nombres[],SMALL(IF(OFFSET(nombres[],0,0,ROWS(nombres[]),1)=DL$1490,ROW(OFFSET(nombres[],0,0,ROWS(nombres[]),1))-ROW(OFFSET(nombres[],0,0,1,1))+1,ROW(OFFSET(nombres[],ROWS(nombres[])-1,0,1,1))+1),$O1546:$O1565),3),"")</f>
        <v/>
      </c>
      <c r="DM1546" s="42" t="str">
        <f t="array" aca="1" ref="DM1546" ca="1">IFERROR(INDEX(nombres[],SMALL(IF(OFFSET(nombres[],0,0,ROWS(nombres[]),1)=DM$1490,ROW(OFFSET(nombres[],0,0,ROWS(nombres[]),1))-ROW(OFFSET(nombres[],0,0,1,1))+1,ROW(OFFSET(nombres[],ROWS(nombres[])-1,0,1,1))+1),$O1546:$O1565),3),"")</f>
        <v/>
      </c>
      <c r="DN1546" s="42" t="str">
        <f t="array" aca="1" ref="DN1546" ca="1">IFERROR(INDEX(nombres[],SMALL(IF(OFFSET(nombres[],0,0,ROWS(nombres[]),1)=DN$1490,ROW(OFFSET(nombres[],0,0,ROWS(nombres[]),1))-ROW(OFFSET(nombres[],0,0,1,1))+1,ROW(OFFSET(nombres[],ROWS(nombres[])-1,0,1,1))+1),$O1546:$O1565),3),"")</f>
        <v/>
      </c>
      <c r="DO1546" s="42" t="str">
        <f t="array" aca="1" ref="DO1546" ca="1">IFERROR(INDEX(nombres[],SMALL(IF(OFFSET(nombres[],0,0,ROWS(nombres[]),1)=DO$1490,ROW(OFFSET(nombres[],0,0,ROWS(nombres[]),1))-ROW(OFFSET(nombres[],0,0,1,1))+1,ROW(OFFSET(nombres[],ROWS(nombres[])-1,0,1,1))+1),$O1546:$O1565),3),"")</f>
        <v/>
      </c>
      <c r="DP1546" s="42" t="str">
        <f t="array" aca="1" ref="DP1546" ca="1">IFERROR(INDEX(nombres[],SMALL(IF(OFFSET(nombres[],0,0,ROWS(nombres[]),1)=DP$1490,ROW(OFFSET(nombres[],0,0,ROWS(nombres[]),1))-ROW(OFFSET(nombres[],0,0,1,1))+1,ROW(OFFSET(nombres[],ROWS(nombres[])-1,0,1,1))+1),$O1546:$O1565),3),"")</f>
        <v/>
      </c>
      <c r="DQ1546" s="42" t="str">
        <f t="array" aca="1" ref="DQ1546" ca="1">IFERROR(INDEX(nombres[],SMALL(IF(OFFSET(nombres[],0,0,ROWS(nombres[]),1)=DQ$1490,ROW(OFFSET(nombres[],0,0,ROWS(nombres[]),1))-ROW(OFFSET(nombres[],0,0,1,1))+1,ROW(OFFSET(nombres[],ROWS(nombres[])-1,0,1,1))+1),$O1546:$O1565),3),"")</f>
        <v/>
      </c>
      <c r="DR1546" s="42" t="str">
        <f t="array" aca="1" ref="DR1546" ca="1">IFERROR(INDEX(nombres[],SMALL(IF(OFFSET(nombres[],0,0,ROWS(nombres[]),1)=DR$1490,ROW(OFFSET(nombres[],0,0,ROWS(nombres[]),1))-ROW(OFFSET(nombres[],0,0,1,1))+1,ROW(OFFSET(nombres[],ROWS(nombres[])-1,0,1,1))+1),$O1546:$O1565),3),"")</f>
        <v/>
      </c>
      <c r="DS1546" s="42" t="str">
        <f t="array" aca="1" ref="DS1546" ca="1">IFERROR(INDEX(nombres[],SMALL(IF(OFFSET(nombres[],0,0,ROWS(nombres[]),1)=DS$1490,ROW(OFFSET(nombres[],0,0,ROWS(nombres[]),1))-ROW(OFFSET(nombres[],0,0,1,1))+1,ROW(OFFSET(nombres[],ROWS(nombres[])-1,0,1,1))+1),$O1546:$O1565),3),"")</f>
        <v/>
      </c>
      <c r="DT1546" s="42" t="str">
        <f t="array" aca="1" ref="DT1546" ca="1">IFERROR(INDEX(nombres[],SMALL(IF(OFFSET(nombres[],0,0,ROWS(nombres[]),1)=DT$1490,ROW(OFFSET(nombres[],0,0,ROWS(nombres[]),1))-ROW(OFFSET(nombres[],0,0,1,1))+1,ROW(OFFSET(nombres[],ROWS(nombres[])-1,0,1,1))+1),$O1546:$O1565),3),"")</f>
        <v/>
      </c>
      <c r="DU1546" s="42" t="str">
        <f t="array" aca="1" ref="DU1546" ca="1">IFERROR(INDEX(nombres[],SMALL(IF(OFFSET(nombres[],0,0,ROWS(nombres[]),1)=DU$1490,ROW(OFFSET(nombres[],0,0,ROWS(nombres[]),1))-ROW(OFFSET(nombres[],0,0,1,1))+1,ROW(OFFSET(nombres[],ROWS(nombres[])-1,0,1,1))+1),$O1546:$O1565),3),"")</f>
        <v/>
      </c>
      <c r="DV1546" s="42" t="str">
        <f t="array" aca="1" ref="DV1546" ca="1">IFERROR(INDEX(nombres[],SMALL(IF(OFFSET(nombres[],0,0,ROWS(nombres[]),1)=DV$1490,ROW(OFFSET(nombres[],0,0,ROWS(nombres[]),1))-ROW(OFFSET(nombres[],0,0,1,1))+1,ROW(OFFSET(nombres[],ROWS(nombres[])-1,0,1,1))+1),$O1546:$O1565),3),"")</f>
        <v/>
      </c>
      <c r="DW1546" s="42" t="str">
        <f t="array" aca="1" ref="DW1546" ca="1">IFERROR(INDEX(nombres[],SMALL(IF(OFFSET(nombres[],0,0,ROWS(nombres[]),1)=DW$1490,ROW(OFFSET(nombres[],0,0,ROWS(nombres[]),1))-ROW(OFFSET(nombres[],0,0,1,1))+1,ROW(OFFSET(nombres[],ROWS(nombres[])-1,0,1,1))+1),$O1546:$O1565),3),"")</f>
        <v/>
      </c>
      <c r="DX1546" s="42" t="str">
        <f t="array" aca="1" ref="DX1546" ca="1">IFERROR(INDEX(nombres[],SMALL(IF(OFFSET(nombres[],0,0,ROWS(nombres[]),1)=DX$1490,ROW(OFFSET(nombres[],0,0,ROWS(nombres[]),1))-ROW(OFFSET(nombres[],0,0,1,1))+1,ROW(OFFSET(nombres[],ROWS(nombres[])-1,0,1,1))+1),$O1546:$O1565),3),"")</f>
        <v/>
      </c>
      <c r="DY1546" s="42" t="str">
        <f t="array" aca="1" ref="DY1546" ca="1">IFERROR(INDEX(nombres[],SMALL(IF(OFFSET(nombres[],0,0,ROWS(nombres[]),1)=DY$1490,ROW(OFFSET(nombres[],0,0,ROWS(nombres[]),1))-ROW(OFFSET(nombres[],0,0,1,1))+1,ROW(OFFSET(nombres[],ROWS(nombres[])-1,0,1,1))+1),$O1546:$O1565),3),"")</f>
        <v/>
      </c>
      <c r="DZ1546" s="42" t="str">
        <f t="array" aca="1" ref="DZ1546" ca="1">IFERROR(INDEX(nombres[],SMALL(IF(OFFSET(nombres[],0,0,ROWS(nombres[]),1)=DZ$1490,ROW(OFFSET(nombres[],0,0,ROWS(nombres[]),1))-ROW(OFFSET(nombres[],0,0,1,1))+1,ROW(OFFSET(nombres[],ROWS(nombres[])-1,0,1,1))+1),$O1546:$O1565),3),"")</f>
        <v/>
      </c>
      <c r="EA1546" s="42" t="str">
        <f t="array" aca="1" ref="EA1546" ca="1">IFERROR(INDEX(nombres[],SMALL(IF(OFFSET(nombres[],0,0,ROWS(nombres[]),1)=EA$1490,ROW(OFFSET(nombres[],0,0,ROWS(nombres[]),1))-ROW(OFFSET(nombres[],0,0,1,1))+1,ROW(OFFSET(nombres[],ROWS(nombres[])-1,0,1,1))+1),$O1546:$O1565),3),"")</f>
        <v/>
      </c>
      <c r="EB1546" s="42" t="str">
        <f t="array" aca="1" ref="EB1546" ca="1">IFERROR(INDEX(nombres[],SMALL(IF(OFFSET(nombres[],0,0,ROWS(nombres[]),1)=EB$1490,ROW(OFFSET(nombres[],0,0,ROWS(nombres[]),1))-ROW(OFFSET(nombres[],0,0,1,1))+1,ROW(OFFSET(nombres[],ROWS(nombres[])-1,0,1,1))+1),$O1546:$O1565),3),"")</f>
        <v/>
      </c>
      <c r="EC1546" s="42" t="str">
        <f t="array" aca="1" ref="EC1546" ca="1">IFERROR(INDEX(nombres[],SMALL(IF(OFFSET(nombres[],0,0,ROWS(nombres[]),1)=EC$1490,ROW(OFFSET(nombres[],0,0,ROWS(nombres[]),1))-ROW(OFFSET(nombres[],0,0,1,1))+1,ROW(OFFSET(nombres[],ROWS(nombres[])-1,0,1,1))+1),$O1546:$O1565),3),"")</f>
        <v/>
      </c>
      <c r="ED1546" s="42" t="str">
        <f t="array" aca="1" ref="ED1546" ca="1">IFERROR(INDEX(nombres[],SMALL(IF(OFFSET(nombres[],0,0,ROWS(nombres[]),1)=ED$1490,ROW(OFFSET(nombres[],0,0,ROWS(nombres[]),1))-ROW(OFFSET(nombres[],0,0,1,1))+1,ROW(OFFSET(nombres[],ROWS(nombres[])-1,0,1,1))+1),$O1546:$O1565),3),"")</f>
        <v/>
      </c>
      <c r="EE1546" s="42" t="str">
        <f t="array" aca="1" ref="EE1546" ca="1">IFERROR(INDEX(nombres[],SMALL(IF(OFFSET(nombres[],0,0,ROWS(nombres[]),1)=EE$1490,ROW(OFFSET(nombres[],0,0,ROWS(nombres[]),1))-ROW(OFFSET(nombres[],0,0,1,1))+1,ROW(OFFSET(nombres[],ROWS(nombres[])-1,0,1,1))+1),$O1546:$O1565),3),"")</f>
        <v/>
      </c>
      <c r="EF1546" s="42" t="str">
        <f t="array" aca="1" ref="EF1546" ca="1">IFERROR(INDEX(nombres[],SMALL(IF(OFFSET(nombres[],0,0,ROWS(nombres[]),1)=EF$1490,ROW(OFFSET(nombres[],0,0,ROWS(nombres[]),1))-ROW(OFFSET(nombres[],0,0,1,1))+1,ROW(OFFSET(nombres[],ROWS(nombres[])-1,0,1,1))+1),$O1546:$O1565),3),"")</f>
        <v/>
      </c>
      <c r="EG1546" s="42" t="str">
        <f t="array" aca="1" ref="EG1546" ca="1">IFERROR(INDEX(nombres[],SMALL(IF(OFFSET(nombres[],0,0,ROWS(nombres[]),1)=EG$1490,ROW(OFFSET(nombres[],0,0,ROWS(nombres[]),1))-ROW(OFFSET(nombres[],0,0,1,1))+1,ROW(OFFSET(nombres[],ROWS(nombres[])-1,0,1,1))+1),$O1546:$O1565),3),"")</f>
        <v/>
      </c>
      <c r="EH1546" s="42" t="str">
        <f t="array" aca="1" ref="EH1546" ca="1">IFERROR(INDEX(nombres[],SMALL(IF(OFFSET(nombres[],0,0,ROWS(nombres[]),1)=EH$1490,ROW(OFFSET(nombres[],0,0,ROWS(nombres[]),1))-ROW(OFFSET(nombres[],0,0,1,1))+1,ROW(OFFSET(nombres[],ROWS(nombres[])-1,0,1,1))+1),$O1546:$O1565),3),"")</f>
        <v/>
      </c>
      <c r="EI1546" s="42" t="str">
        <f t="array" aca="1" ref="EI1546" ca="1">IFERROR(INDEX(nombres[],SMALL(IF(OFFSET(nombres[],0,0,ROWS(nombres[]),1)=EI$1490,ROW(OFFSET(nombres[],0,0,ROWS(nombres[]),1))-ROW(OFFSET(nombres[],0,0,1,1))+1,ROW(OFFSET(nombres[],ROWS(nombres[])-1,0,1,1))+1),$O1546:$O1565),3),"")</f>
        <v/>
      </c>
      <c r="EJ1546" s="42" t="str">
        <f t="array" aca="1" ref="EJ1546" ca="1">IFERROR(INDEX(nombres[],SMALL(IF(OFFSET(nombres[],0,0,ROWS(nombres[]),1)=EJ$1490,ROW(OFFSET(nombres[],0,0,ROWS(nombres[]),1))-ROW(OFFSET(nombres[],0,0,1,1))+1,ROW(OFFSET(nombres[],ROWS(nombres[])-1,0,1,1))+1),$O1546:$O1565),3),"")</f>
        <v/>
      </c>
      <c r="EK1546" s="42" t="str">
        <f t="array" aca="1" ref="EK1546" ca="1">IFERROR(INDEX(nombres[],SMALL(IF(OFFSET(nombres[],0,0,ROWS(nombres[]),1)=EK$1490,ROW(OFFSET(nombres[],0,0,ROWS(nombres[]),1))-ROW(OFFSET(nombres[],0,0,1,1))+1,ROW(OFFSET(nombres[],ROWS(nombres[])-1,0,1,1))+1),$O1546:$O1565),3),"")</f>
        <v/>
      </c>
      <c r="EL1546" s="42" t="str">
        <f t="array" aca="1" ref="EL1546" ca="1">IFERROR(INDEX(nombres[],SMALL(IF(OFFSET(nombres[],0,0,ROWS(nombres[]),1)=EL$1490,ROW(OFFSET(nombres[],0,0,ROWS(nombres[]),1))-ROW(OFFSET(nombres[],0,0,1,1))+1,ROW(OFFSET(nombres[],ROWS(nombres[])-1,0,1,1))+1),$O1546:$O1565),3),"")</f>
        <v/>
      </c>
      <c r="EM1546" s="42" t="str">
        <f t="array" aca="1" ref="EM1546" ca="1">IFERROR(INDEX(nombres[],SMALL(IF(OFFSET(nombres[],0,0,ROWS(nombres[]),1)=EM$1490,ROW(OFFSET(nombres[],0,0,ROWS(nombres[]),1))-ROW(OFFSET(nombres[],0,0,1,1))+1,ROW(OFFSET(nombres[],ROWS(nombres[])-1,0,1,1))+1),$O1546:$O1565),3),"")</f>
        <v/>
      </c>
      <c r="EN1546" s="42" t="str">
        <f t="array" aca="1" ref="EN1546" ca="1">IFERROR(INDEX(nombres[],SMALL(IF(OFFSET(nombres[],0,0,ROWS(nombres[]),1)=EN$1490,ROW(OFFSET(nombres[],0,0,ROWS(nombres[]),1))-ROW(OFFSET(nombres[],0,0,1,1))+1,ROW(OFFSET(nombres[],ROWS(nombres[])-1,0,1,1))+1),$O1546:$O1565),3),"")</f>
        <v/>
      </c>
      <c r="EO1546" s="42" t="str">
        <f t="array" aca="1" ref="EO1546" ca="1">IFERROR(INDEX(nombres[],SMALL(IF(OFFSET(nombres[],0,0,ROWS(nombres[]),1)=EO$1490,ROW(OFFSET(nombres[],0,0,ROWS(nombres[]),1))-ROW(OFFSET(nombres[],0,0,1,1))+1,ROW(OFFSET(nombres[],ROWS(nombres[])-1,0,1,1))+1),$O1546:$O1565),3),"")</f>
        <v/>
      </c>
      <c r="EP1546" s="42" t="str">
        <f t="array" aca="1" ref="EP1546" ca="1">IFERROR(INDEX(nombres[],SMALL(IF(OFFSET(nombres[],0,0,ROWS(nombres[]),1)=EP$1490,ROW(OFFSET(nombres[],0,0,ROWS(nombres[]),1))-ROW(OFFSET(nombres[],0,0,1,1))+1,ROW(OFFSET(nombres[],ROWS(nombres[])-1,0,1,1))+1),$O1546:$O1565),3),"")</f>
        <v/>
      </c>
      <c r="EQ1546" s="42" t="str">
        <f t="array" aca="1" ref="EQ1546" ca="1">IFERROR(INDEX(nombres[],SMALL(IF(OFFSET(nombres[],0,0,ROWS(nombres[]),1)=EQ$1490,ROW(OFFSET(nombres[],0,0,ROWS(nombres[]),1))-ROW(OFFSET(nombres[],0,0,1,1))+1,ROW(OFFSET(nombres[],ROWS(nombres[])-1,0,1,1))+1),$O1546:$O1565),3),"")</f>
        <v/>
      </c>
      <c r="ER1546" s="42" t="str">
        <f t="array" aca="1" ref="ER1546" ca="1">IFERROR(INDEX(nombres[],SMALL(IF(OFFSET(nombres[],0,0,ROWS(nombres[]),1)=ER$1490,ROW(OFFSET(nombres[],0,0,ROWS(nombres[]),1))-ROW(OFFSET(nombres[],0,0,1,1))+1,ROW(OFFSET(nombres[],ROWS(nombres[])-1,0,1,1))+1),$O1546:$O1565),3),"")</f>
        <v/>
      </c>
      <c r="ES1546" s="42" t="str">
        <f t="array" aca="1" ref="ES1546" ca="1">IFERROR(INDEX(nombres[],SMALL(IF(OFFSET(nombres[],0,0,ROWS(nombres[]),1)=ES$1490,ROW(OFFSET(nombres[],0,0,ROWS(nombres[]),1))-ROW(OFFSET(nombres[],0,0,1,1))+1,ROW(OFFSET(nombres[],ROWS(nombres[])-1,0,1,1))+1),$O1546:$O1565),3),"")</f>
        <v/>
      </c>
      <c r="ET1546" s="42" t="str">
        <f t="array" aca="1" ref="ET1546" ca="1">IFERROR(INDEX(nombres[],SMALL(IF(OFFSET(nombres[],0,0,ROWS(nombres[]),1)=ET$1490,ROW(OFFSET(nombres[],0,0,ROWS(nombres[]),1))-ROW(OFFSET(nombres[],0,0,1,1))+1,ROW(OFFSET(nombres[],ROWS(nombres[])-1,0,1,1))+1),$O1546:$O1565),3),"")</f>
        <v/>
      </c>
      <c r="EU1546" s="42" t="str">
        <f t="array" aca="1" ref="EU1546" ca="1">IFERROR(INDEX(nombres[],SMALL(IF(OFFSET(nombres[],0,0,ROWS(nombres[]),1)=EU$1490,ROW(OFFSET(nombres[],0,0,ROWS(nombres[]),1))-ROW(OFFSET(nombres[],0,0,1,1))+1,ROW(OFFSET(nombres[],ROWS(nombres[])-1,0,1,1))+1),$O1546:$O1565),3),"")</f>
        <v/>
      </c>
      <c r="EV1546" s="42" t="str">
        <f t="array" aca="1" ref="EV1546" ca="1">IFERROR(INDEX(nombres[],SMALL(IF(OFFSET(nombres[],0,0,ROWS(nombres[]),1)=EV$1490,ROW(OFFSET(nombres[],0,0,ROWS(nombres[]),1))-ROW(OFFSET(nombres[],0,0,1,1))+1,ROW(OFFSET(nombres[],ROWS(nombres[])-1,0,1,1))+1),$O1546:$O1565),3),"")</f>
        <v/>
      </c>
      <c r="EW1546" s="42" t="str">
        <f t="array" aca="1" ref="EW1546" ca="1">IFERROR(INDEX(nombres[],SMALL(IF(OFFSET(nombres[],0,0,ROWS(nombres[]),1)=EW$1490,ROW(OFFSET(nombres[],0,0,ROWS(nombres[]),1))-ROW(OFFSET(nombres[],0,0,1,1))+1,ROW(OFFSET(nombres[],ROWS(nombres[])-1,0,1,1))+1),$O1546:$O1565),3),"")</f>
        <v/>
      </c>
      <c r="EX1546" s="42" t="str">
        <f t="array" aca="1" ref="EX1546" ca="1">IFERROR(INDEX(nombres[],SMALL(IF(OFFSET(nombres[],0,0,ROWS(nombres[]),1)=EX$1490,ROW(OFFSET(nombres[],0,0,ROWS(nombres[]),1))-ROW(OFFSET(nombres[],0,0,1,1))+1,ROW(OFFSET(nombres[],ROWS(nombres[])-1,0,1,1))+1),$O1546:$O1565),3),"")</f>
        <v/>
      </c>
      <c r="EY1546" s="42" t="str">
        <f t="array" aca="1" ref="EY1546" ca="1">IFERROR(INDEX(nombres[],SMALL(IF(OFFSET(nombres[],0,0,ROWS(nombres[]),1)=EY$1490,ROW(OFFSET(nombres[],0,0,ROWS(nombres[]),1))-ROW(OFFSET(nombres[],0,0,1,1))+1,ROW(OFFSET(nombres[],ROWS(nombres[])-1,0,1,1))+1),$O1546:$O1565),3),"")</f>
        <v/>
      </c>
      <c r="EZ1546" s="42" t="str">
        <f t="array" aca="1" ref="EZ1546" ca="1">IFERROR(INDEX(nombres[],SMALL(IF(OFFSET(nombres[],0,0,ROWS(nombres[]),1)=EZ$1490,ROW(OFFSET(nombres[],0,0,ROWS(nombres[]),1))-ROW(OFFSET(nombres[],0,0,1,1))+1,ROW(OFFSET(nombres[],ROWS(nombres[])-1,0,1,1))+1),$O1546:$O1565),3),"")</f>
        <v/>
      </c>
      <c r="FA1546" s="42" t="str">
        <f t="array" aca="1" ref="FA1546" ca="1">IFERROR(INDEX(nombres[],SMALL(IF(OFFSET(nombres[],0,0,ROWS(nombres[]),1)=FA$1490,ROW(OFFSET(nombres[],0,0,ROWS(nombres[]),1))-ROW(OFFSET(nombres[],0,0,1,1))+1,ROW(OFFSET(nombres[],ROWS(nombres[])-1,0,1,1))+1),$O1546:$O1565),3),"")</f>
        <v/>
      </c>
      <c r="FB1546" s="42" t="str">
        <f t="array" aca="1" ref="FB1546" ca="1">IFERROR(INDEX(nombres[],SMALL(IF(OFFSET(nombres[],0,0,ROWS(nombres[]),1)=FB$1490,ROW(OFFSET(nombres[],0,0,ROWS(nombres[]),1))-ROW(OFFSET(nombres[],0,0,1,1))+1,ROW(OFFSET(nombres[],ROWS(nombres[])-1,0,1,1))+1),$O1546:$O1565),3),"")</f>
        <v/>
      </c>
      <c r="FC1546" s="42" t="str">
        <f t="array" aca="1" ref="FC1546" ca="1">IFERROR(INDEX(nombres[],SMALL(IF(OFFSET(nombres[],0,0,ROWS(nombres[]),1)=FC$1490,ROW(OFFSET(nombres[],0,0,ROWS(nombres[]),1))-ROW(OFFSET(nombres[],0,0,1,1))+1,ROW(OFFSET(nombres[],ROWS(nombres[])-1,0,1,1))+1),$O1546:$O1565),3),"")</f>
        <v/>
      </c>
      <c r="FD1546" s="42" t="str">
        <f t="array" aca="1" ref="FD1546" ca="1">IFERROR(INDEX(nombres[],SMALL(IF(OFFSET(nombres[],0,0,ROWS(nombres[]),1)=FD$1490,ROW(OFFSET(nombres[],0,0,ROWS(nombres[]),1))-ROW(OFFSET(nombres[],0,0,1,1))+1,ROW(OFFSET(nombres[],ROWS(nombres[])-1,0,1,1))+1),$O1546:$O1565),3),"")</f>
        <v/>
      </c>
      <c r="FE1546" s="42" t="str">
        <f t="array" aca="1" ref="FE1546" ca="1">IFERROR(INDEX(nombres[],SMALL(IF(OFFSET(nombres[],0,0,ROWS(nombres[]),1)=FE$1490,ROW(OFFSET(nombres[],0,0,ROWS(nombres[]),1))-ROW(OFFSET(nombres[],0,0,1,1))+1,ROW(OFFSET(nombres[],ROWS(nombres[])-1,0,1,1))+1),$O1546:$O1565),3),"")</f>
        <v/>
      </c>
      <c r="FF1546" s="42" t="str">
        <f t="array" aca="1" ref="FF1546" ca="1">IFERROR(INDEX(nombres[],SMALL(IF(OFFSET(nombres[],0,0,ROWS(nombres[]),1)=FF$1490,ROW(OFFSET(nombres[],0,0,ROWS(nombres[]),1))-ROW(OFFSET(nombres[],0,0,1,1))+1,ROW(OFFSET(nombres[],ROWS(nombres[])-1,0,1,1))+1),$O1546:$O1565),3),"")</f>
        <v/>
      </c>
      <c r="FG1546" s="42" t="str">
        <f t="array" aca="1" ref="FG1546" ca="1">IFERROR(INDEX(nombres[],SMALL(IF(OFFSET(nombres[],0,0,ROWS(nombres[]),1)=FG$1490,ROW(OFFSET(nombres[],0,0,ROWS(nombres[]),1))-ROW(OFFSET(nombres[],0,0,1,1))+1,ROW(OFFSET(nombres[],ROWS(nombres[])-1,0,1,1))+1),$O1546:$O1565),3),"")</f>
        <v/>
      </c>
      <c r="FH1546" s="42" t="str">
        <f t="array" aca="1" ref="FH1546" ca="1">IFERROR(INDEX(nombres[],SMALL(IF(OFFSET(nombres[],0,0,ROWS(nombres[]),1)=FH$1490,ROW(OFFSET(nombres[],0,0,ROWS(nombres[]),1))-ROW(OFFSET(nombres[],0,0,1,1))+1,ROW(OFFSET(nombres[],ROWS(nombres[])-1,0,1,1))+1),$O1546:$O1565),3),"")</f>
        <v/>
      </c>
      <c r="FI1546" s="42" t="str">
        <f t="array" aca="1" ref="FI1546" ca="1">IFERROR(INDEX(nombres[],SMALL(IF(OFFSET(nombres[],0,0,ROWS(nombres[]),1)=FI$1490,ROW(OFFSET(nombres[],0,0,ROWS(nombres[]),1))-ROW(OFFSET(nombres[],0,0,1,1))+1,ROW(OFFSET(nombres[],ROWS(nombres[])-1,0,1,1))+1),$O1546:$O1565),3),"")</f>
        <v/>
      </c>
      <c r="FJ1546" s="42" t="str">
        <f t="array" aca="1" ref="FJ1546" ca="1">IFERROR(INDEX(nombres[],SMALL(IF(OFFSET(nombres[],0,0,ROWS(nombres[]),1)=FJ$1490,ROW(OFFSET(nombres[],0,0,ROWS(nombres[]),1))-ROW(OFFSET(nombres[],0,0,1,1))+1,ROW(OFFSET(nombres[],ROWS(nombres[])-1,0,1,1))+1),$O1546:$O1565),3),"")</f>
        <v/>
      </c>
      <c r="FK1546" s="42" t="str">
        <f t="array" aca="1" ref="FK1546" ca="1">IFERROR(INDEX(nombres[],SMALL(IF(OFFSET(nombres[],0,0,ROWS(nombres[]),1)=FK$1490,ROW(OFFSET(nombres[],0,0,ROWS(nombres[]),1))-ROW(OFFSET(nombres[],0,0,1,1))+1,ROW(OFFSET(nombres[],ROWS(nombres[])-1,0,1,1))+1),$O1546:$O1565),3),"")</f>
        <v/>
      </c>
      <c r="FL1546" s="42" t="str">
        <f t="array" aca="1" ref="FL1546" ca="1">IFERROR(INDEX(nombres[],SMALL(IF(OFFSET(nombres[],0,0,ROWS(nombres[]),1)=FL$1490,ROW(OFFSET(nombres[],0,0,ROWS(nombres[]),1))-ROW(OFFSET(nombres[],0,0,1,1))+1,ROW(OFFSET(nombres[],ROWS(nombres[])-1,0,1,1))+1),$O1546:$O1565),3),"")</f>
        <v/>
      </c>
      <c r="FM1546" s="42" t="str">
        <f t="array" aca="1" ref="FM1546" ca="1">IFERROR(INDEX(nombres[],SMALL(IF(OFFSET(nombres[],0,0,ROWS(nombres[]),1)=FM$1490,ROW(OFFSET(nombres[],0,0,ROWS(nombres[]),1))-ROW(OFFSET(nombres[],0,0,1,1))+1,ROW(OFFSET(nombres[],ROWS(nombres[])-1,0,1,1))+1),$O1546:$O1565),3),"")</f>
        <v/>
      </c>
      <c r="FN1546" s="42" t="str">
        <f t="array" aca="1" ref="FN1546" ca="1">IFERROR(INDEX(nombres[],SMALL(IF(OFFSET(nombres[],0,0,ROWS(nombres[]),1)=FN$1490,ROW(OFFSET(nombres[],0,0,ROWS(nombres[]),1))-ROW(OFFSET(nombres[],0,0,1,1))+1,ROW(OFFSET(nombres[],ROWS(nombres[])-1,0,1,1))+1),$O1546:$O1565),3),"")</f>
        <v/>
      </c>
      <c r="FO1546" s="42" t="str">
        <f t="array" aca="1" ref="FO1546" ca="1">IFERROR(INDEX(nombres[],SMALL(IF(OFFSET(nombres[],0,0,ROWS(nombres[]),1)=FO$1490,ROW(OFFSET(nombres[],0,0,ROWS(nombres[]),1))-ROW(OFFSET(nombres[],0,0,1,1))+1,ROW(OFFSET(nombres[],ROWS(nombres[])-1,0,1,1))+1),$O1546:$O1565),3),"")</f>
        <v/>
      </c>
      <c r="FP1546" s="42" t="str">
        <f t="array" aca="1" ref="FP1546" ca="1">IFERROR(INDEX(nombres[],SMALL(IF(OFFSET(nombres[],0,0,ROWS(nombres[]),1)=FP$1490,ROW(OFFSET(nombres[],0,0,ROWS(nombres[]),1))-ROW(OFFSET(nombres[],0,0,1,1))+1,ROW(OFFSET(nombres[],ROWS(nombres[])-1,0,1,1))+1),$O1546:$O1565),3),"")</f>
        <v/>
      </c>
      <c r="FQ1546" s="42" t="str">
        <f t="array" aca="1" ref="FQ1546" ca="1">IFERROR(INDEX(nombres[],SMALL(IF(OFFSET(nombres[],0,0,ROWS(nombres[]),1)=FQ$1490,ROW(OFFSET(nombres[],0,0,ROWS(nombres[]),1))-ROW(OFFSET(nombres[],0,0,1,1))+1,ROW(OFFSET(nombres[],ROWS(nombres[])-1,0,1,1))+1),$O1546:$O1565),3),"")</f>
        <v/>
      </c>
      <c r="FR1546" s="42" t="str">
        <f t="array" aca="1" ref="FR1546" ca="1">IFERROR(INDEX(nombres[],SMALL(IF(OFFSET(nombres[],0,0,ROWS(nombres[]),1)=FR$1490,ROW(OFFSET(nombres[],0,0,ROWS(nombres[]),1))-ROW(OFFSET(nombres[],0,0,1,1))+1,ROW(OFFSET(nombres[],ROWS(nombres[])-1,0,1,1))+1),$O1546:$O1565),3),"")</f>
        <v/>
      </c>
      <c r="FS1546" s="42" t="str">
        <f t="array" aca="1" ref="FS1546" ca="1">IFERROR(INDEX(nombres[],SMALL(IF(OFFSET(nombres[],0,0,ROWS(nombres[]),1)=FS$1490,ROW(OFFSET(nombres[],0,0,ROWS(nombres[]),1))-ROW(OFFSET(nombres[],0,0,1,1))+1,ROW(OFFSET(nombres[],ROWS(nombres[])-1,0,1,1))+1),$O1546:$O1565),3),"")</f>
        <v/>
      </c>
      <c r="FT1546" s="42" t="str">
        <f t="array" aca="1" ref="FT1546" ca="1">IFERROR(INDEX(nombres[],SMALL(IF(OFFSET(nombres[],0,0,ROWS(nombres[]),1)=FT$1490,ROW(OFFSET(nombres[],0,0,ROWS(nombres[]),1))-ROW(OFFSET(nombres[],0,0,1,1))+1,ROW(OFFSET(nombres[],ROWS(nombres[])-1,0,1,1))+1),$O1546:$O1565),3),"")</f>
        <v/>
      </c>
      <c r="FU1546" s="42" t="str">
        <f t="array" aca="1" ref="FU1546" ca="1">IFERROR(INDEX(nombres[],SMALL(IF(OFFSET(nombres[],0,0,ROWS(nombres[]),1)=FU$1490,ROW(OFFSET(nombres[],0,0,ROWS(nombres[]),1))-ROW(OFFSET(nombres[],0,0,1,1))+1,ROW(OFFSET(nombres[],ROWS(nombres[])-1,0,1,1))+1),$O1546:$O1565),3),"")</f>
        <v/>
      </c>
      <c r="FV1546" s="42" t="str">
        <f t="array" aca="1" ref="FV1546" ca="1">IFERROR(INDEX(nombres[],SMALL(IF(OFFSET(nombres[],0,0,ROWS(nombres[]),1)=FV$1490,ROW(OFFSET(nombres[],0,0,ROWS(nombres[]),1))-ROW(OFFSET(nombres[],0,0,1,1))+1,ROW(OFFSET(nombres[],ROWS(nombres[])-1,0,1,1))+1),$O1546:$O1565),3),"")</f>
        <v/>
      </c>
      <c r="FW1546" s="42" t="str">
        <f t="array" aca="1" ref="FW1546" ca="1">IFERROR(INDEX(nombres[],SMALL(IF(OFFSET(nombres[],0,0,ROWS(nombres[]),1)=FW$1490,ROW(OFFSET(nombres[],0,0,ROWS(nombres[]),1))-ROW(OFFSET(nombres[],0,0,1,1))+1,ROW(OFFSET(nombres[],ROWS(nombres[])-1,0,1,1))+1),$O1546:$O1565),3),"")</f>
        <v/>
      </c>
      <c r="FX1546" s="42" t="str">
        <f t="array" aca="1" ref="FX1546" ca="1">IFERROR(INDEX(nombres[],SMALL(IF(OFFSET(nombres[],0,0,ROWS(nombres[]),1)=FX$1490,ROW(OFFSET(nombres[],0,0,ROWS(nombres[]),1))-ROW(OFFSET(nombres[],0,0,1,1))+1,ROW(OFFSET(nombres[],ROWS(nombres[])-1,0,1,1))+1),$O1546:$O1565),3),"")</f>
        <v/>
      </c>
      <c r="FY1546" s="42" t="str">
        <f t="array" aca="1" ref="FY1546" ca="1">IFERROR(INDEX(nombres[],SMALL(IF(OFFSET(nombres[],0,0,ROWS(nombres[]),1)=FY$1490,ROW(OFFSET(nombres[],0,0,ROWS(nombres[]),1))-ROW(OFFSET(nombres[],0,0,1,1))+1,ROW(OFFSET(nombres[],ROWS(nombres[])-1,0,1,1))+1),$O1546:$O1565),3),"")</f>
        <v/>
      </c>
      <c r="FZ1546" s="42" t="str">
        <f t="array" aca="1" ref="FZ1546" ca="1">IFERROR(INDEX(nombres[],SMALL(IF(OFFSET(nombres[],0,0,ROWS(nombres[]),1)=FZ$1490,ROW(OFFSET(nombres[],0,0,ROWS(nombres[]),1))-ROW(OFFSET(nombres[],0,0,1,1))+1,ROW(OFFSET(nombres[],ROWS(nombres[])-1,0,1,1))+1),$O1546:$O1565),3),"")</f>
        <v/>
      </c>
      <c r="GA1546" s="42" t="str">
        <f t="array" aca="1" ref="GA1546" ca="1">IFERROR(INDEX(nombres[],SMALL(IF(OFFSET(nombres[],0,0,ROWS(nombres[]),1)=GA$1490,ROW(OFFSET(nombres[],0,0,ROWS(nombres[]),1))-ROW(OFFSET(nombres[],0,0,1,1))+1,ROW(OFFSET(nombres[],ROWS(nombres[])-1,0,1,1))+1),$O1546:$O1565),3),"")</f>
        <v/>
      </c>
      <c r="GB1546" s="42" t="str">
        <f t="array" aca="1" ref="GB1546" ca="1">IFERROR(INDEX(nombres[],SMALL(IF(OFFSET(nombres[],0,0,ROWS(nombres[]),1)=GB$1490,ROW(OFFSET(nombres[],0,0,ROWS(nombres[]),1))-ROW(OFFSET(nombres[],0,0,1,1))+1,ROW(OFFSET(nombres[],ROWS(nombres[])-1,0,1,1))+1),$O1546:$O1565),3),"")</f>
        <v/>
      </c>
      <c r="GC1546" s="42" t="str">
        <f t="array" aca="1" ref="GC1546" ca="1">IFERROR(INDEX(nombres[],SMALL(IF(OFFSET(nombres[],0,0,ROWS(nombres[]),1)=GC$1490,ROW(OFFSET(nombres[],0,0,ROWS(nombres[]),1))-ROW(OFFSET(nombres[],0,0,1,1))+1,ROW(OFFSET(nombres[],ROWS(nombres[])-1,0,1,1))+1),$O1546:$O1565),3),"")</f>
        <v/>
      </c>
      <c r="GD1546" s="42" t="str">
        <f t="array" aca="1" ref="GD1546" ca="1">IFERROR(INDEX(nombres[],SMALL(IF(OFFSET(nombres[],0,0,ROWS(nombres[]),1)=GD$1490,ROW(OFFSET(nombres[],0,0,ROWS(nombres[]),1))-ROW(OFFSET(nombres[],0,0,1,1))+1,ROW(OFFSET(nombres[],ROWS(nombres[])-1,0,1,1))+1),$O1546:$O1565),3),"")</f>
        <v/>
      </c>
      <c r="GE1546" s="42" t="str">
        <f t="array" aca="1" ref="GE1546" ca="1">IFERROR(INDEX(nombres[],SMALL(IF(OFFSET(nombres[],0,0,ROWS(nombres[]),1)=GE$1490,ROW(OFFSET(nombres[],0,0,ROWS(nombres[]),1))-ROW(OFFSET(nombres[],0,0,1,1))+1,ROW(OFFSET(nombres[],ROWS(nombres[])-1,0,1,1))+1),$O1546:$O1565),3),"")</f>
        <v/>
      </c>
      <c r="GF1546" s="42" t="str">
        <f t="array" aca="1" ref="GF1546" ca="1">IFERROR(INDEX(nombres[],SMALL(IF(OFFSET(nombres[],0,0,ROWS(nombres[]),1)=GF$1490,ROW(OFFSET(nombres[],0,0,ROWS(nombres[]),1))-ROW(OFFSET(nombres[],0,0,1,1))+1,ROW(OFFSET(nombres[],ROWS(nombres[])-1,0,1,1))+1),$O1546:$O1565),3),"")</f>
        <v/>
      </c>
      <c r="GG1546" s="42" t="str">
        <f t="array" aca="1" ref="GG1546" ca="1">IFERROR(INDEX(nombres[],SMALL(IF(OFFSET(nombres[],0,0,ROWS(nombres[]),1)=GG$1490,ROW(OFFSET(nombres[],0,0,ROWS(nombres[]),1))-ROW(OFFSET(nombres[],0,0,1,1))+1,ROW(OFFSET(nombres[],ROWS(nombres[])-1,0,1,1))+1),$O1546:$O1565),3),"")</f>
        <v/>
      </c>
      <c r="GH1546" s="42" t="str">
        <f t="array" aca="1" ref="GH1546" ca="1">IFERROR(INDEX(nombres[],SMALL(IF(OFFSET(nombres[],0,0,ROWS(nombres[]),1)=GH$1490,ROW(OFFSET(nombres[],0,0,ROWS(nombres[]),1))-ROW(OFFSET(nombres[],0,0,1,1))+1,ROW(OFFSET(nombres[],ROWS(nombres[])-1,0,1,1))+1),$O1546:$O1565),3),"")</f>
        <v/>
      </c>
      <c r="GI1546" s="42" t="str">
        <f t="array" aca="1" ref="GI1546" ca="1">IFERROR(INDEX(nombres[],SMALL(IF(OFFSET(nombres[],0,0,ROWS(nombres[]),1)=GI$1490,ROW(OFFSET(nombres[],0,0,ROWS(nombres[]),1))-ROW(OFFSET(nombres[],0,0,1,1))+1,ROW(OFFSET(nombres[],ROWS(nombres[])-1,0,1,1))+1),$O1546:$O1565),3),"")</f>
        <v/>
      </c>
      <c r="GJ1546" s="42" t="str">
        <f t="array" aca="1" ref="GJ1546" ca="1">IFERROR(INDEX(nombres[],SMALL(IF(OFFSET(nombres[],0,0,ROWS(nombres[]),1)=GJ$1490,ROW(OFFSET(nombres[],0,0,ROWS(nombres[]),1))-ROW(OFFSET(nombres[],0,0,1,1))+1,ROW(OFFSET(nombres[],ROWS(nombres[])-1,0,1,1))+1),$O1546:$O1565),3),"")</f>
        <v/>
      </c>
      <c r="GK1546" s="42" t="str">
        <f t="array" aca="1" ref="GK1546" ca="1">IFERROR(INDEX(nombres[],SMALL(IF(OFFSET(nombres[],0,0,ROWS(nombres[]),1)=GK$1490,ROW(OFFSET(nombres[],0,0,ROWS(nombres[]),1))-ROW(OFFSET(nombres[],0,0,1,1))+1,ROW(OFFSET(nombres[],ROWS(nombres[])-1,0,1,1))+1),$O1546:$O1565),3),"")</f>
        <v/>
      </c>
      <c r="GL1546" s="42" t="str">
        <f t="array" aca="1" ref="GL1546" ca="1">IFERROR(INDEX(nombres[],SMALL(IF(OFFSET(nombres[],0,0,ROWS(nombres[]),1)=GL$1490,ROW(OFFSET(nombres[],0,0,ROWS(nombres[]),1))-ROW(OFFSET(nombres[],0,0,1,1))+1,ROW(OFFSET(nombres[],ROWS(nombres[])-1,0,1,1))+1),$O1546:$O1565),3),"")</f>
        <v/>
      </c>
      <c r="GM1546" s="42" t="str">
        <f t="array" aca="1" ref="GM1546" ca="1">IFERROR(INDEX(nombres[],SMALL(IF(OFFSET(nombres[],0,0,ROWS(nombres[]),1)=GM$1490,ROW(OFFSET(nombres[],0,0,ROWS(nombres[]),1))-ROW(OFFSET(nombres[],0,0,1,1))+1,ROW(OFFSET(nombres[],ROWS(nombres[])-1,0,1,1))+1),$O1546:$O1565),3),"")</f>
        <v/>
      </c>
      <c r="GN1546" s="42" t="str">
        <f t="array" aca="1" ref="GN1546" ca="1">IFERROR(INDEX(nombres[],SMALL(IF(OFFSET(nombres[],0,0,ROWS(nombres[]),1)=GN$1490,ROW(OFFSET(nombres[],0,0,ROWS(nombres[]),1))-ROW(OFFSET(nombres[],0,0,1,1))+1,ROW(OFFSET(nombres[],ROWS(nombres[])-1,0,1,1))+1),$O1546:$O1565),3),"")</f>
        <v/>
      </c>
      <c r="GO1546" s="42" t="str">
        <f t="array" aca="1" ref="GO1546" ca="1">IFERROR(INDEX(nombres[],SMALL(IF(OFFSET(nombres[],0,0,ROWS(nombres[]),1)=GO$1490,ROW(OFFSET(nombres[],0,0,ROWS(nombres[]),1))-ROW(OFFSET(nombres[],0,0,1,1))+1,ROW(OFFSET(nombres[],ROWS(nombres[])-1,0,1,1))+1),$O1546:$O1565),3),"")</f>
        <v/>
      </c>
      <c r="GP1546" s="42" t="str">
        <f t="array" aca="1" ref="GP1546" ca="1">IFERROR(INDEX(nombres[],SMALL(IF(OFFSET(nombres[],0,0,ROWS(nombres[]),1)=GP$1490,ROW(OFFSET(nombres[],0,0,ROWS(nombres[]),1))-ROW(OFFSET(nombres[],0,0,1,1))+1,ROW(OFFSET(nombres[],ROWS(nombres[])-1,0,1,1))+1),$O1546:$O1565),3),"")</f>
        <v/>
      </c>
      <c r="GQ1546" s="42" t="str">
        <f t="array" aca="1" ref="GQ1546" ca="1">IFERROR(INDEX(nombres[],SMALL(IF(OFFSET(nombres[],0,0,ROWS(nombres[]),1)=GQ$1490,ROW(OFFSET(nombres[],0,0,ROWS(nombres[]),1))-ROW(OFFSET(nombres[],0,0,1,1))+1,ROW(OFFSET(nombres[],ROWS(nombres[])-1,0,1,1))+1),$O1546:$O1565),3),"")</f>
        <v/>
      </c>
      <c r="GR1546" s="42" t="str">
        <f t="array" aca="1" ref="GR1546" ca="1">IFERROR(INDEX(nombres[],SMALL(IF(OFFSET(nombres[],0,0,ROWS(nombres[]),1)=GR$1490,ROW(OFFSET(nombres[],0,0,ROWS(nombres[]),1))-ROW(OFFSET(nombres[],0,0,1,1))+1,ROW(OFFSET(nombres[],ROWS(nombres[])-1,0,1,1))+1),$O1546:$O1565),3),"")</f>
        <v/>
      </c>
      <c r="GS1546" s="42" t="str">
        <f t="array" aca="1" ref="GS1546" ca="1">IFERROR(INDEX(nombres[],SMALL(IF(OFFSET(nombres[],0,0,ROWS(nombres[]),1)=GS$1490,ROW(OFFSET(nombres[],0,0,ROWS(nombres[]),1))-ROW(OFFSET(nombres[],0,0,1,1))+1,ROW(OFFSET(nombres[],ROWS(nombres[])-1,0,1,1))+1),$O1546:$O1565),3),"")</f>
        <v/>
      </c>
      <c r="GT1546" s="42" t="str">
        <f t="array" aca="1" ref="GT1546" ca="1">IFERROR(INDEX(nombres[],SMALL(IF(OFFSET(nombres[],0,0,ROWS(nombres[]),1)=GT$1490,ROW(OFFSET(nombres[],0,0,ROWS(nombres[]),1))-ROW(OFFSET(nombres[],0,0,1,1))+1,ROW(OFFSET(nombres[],ROWS(nombres[])-1,0,1,1))+1),$O1546:$O1565),3),"")</f>
        <v/>
      </c>
      <c r="GU1546" s="42" t="str">
        <f t="array" aca="1" ref="GU1546" ca="1">IFERROR(INDEX(nombres[],SMALL(IF(OFFSET(nombres[],0,0,ROWS(nombres[]),1)=GU$1490,ROW(OFFSET(nombres[],0,0,ROWS(nombres[]),1))-ROW(OFFSET(nombres[],0,0,1,1))+1,ROW(OFFSET(nombres[],ROWS(nombres[])-1,0,1,1))+1),$O1546:$O1565),3),"")</f>
        <v/>
      </c>
      <c r="GV1546" s="42" t="str">
        <f t="array" aca="1" ref="GV1546" ca="1">IFERROR(INDEX(nombres[],SMALL(IF(OFFSET(nombres[],0,0,ROWS(nombres[]),1)=GV$1490,ROW(OFFSET(nombres[],0,0,ROWS(nombres[]),1))-ROW(OFFSET(nombres[],0,0,1,1))+1,ROW(OFFSET(nombres[],ROWS(nombres[])-1,0,1,1))+1),$O1546:$O1565),3),"")</f>
        <v/>
      </c>
      <c r="GW1546" s="42" t="str">
        <f t="array" aca="1" ref="GW1546" ca="1">IFERROR(INDEX(nombres[],SMALL(IF(OFFSET(nombres[],0,0,ROWS(nombres[]),1)=GW$1490,ROW(OFFSET(nombres[],0,0,ROWS(nombres[]),1))-ROW(OFFSET(nombres[],0,0,1,1))+1,ROW(OFFSET(nombres[],ROWS(nombres[])-1,0,1,1))+1),$O1546:$O1565),3),"")</f>
        <v/>
      </c>
      <c r="GX1546" s="42" t="str">
        <f t="array" aca="1" ref="GX1546" ca="1">IFERROR(INDEX(nombres[],SMALL(IF(OFFSET(nombres[],0,0,ROWS(nombres[]),1)=GX$1490,ROW(OFFSET(nombres[],0,0,ROWS(nombres[]),1))-ROW(OFFSET(nombres[],0,0,1,1))+1,ROW(OFFSET(nombres[],ROWS(nombres[])-1,0,1,1))+1),$O1546:$O1565),3),"")</f>
        <v/>
      </c>
      <c r="GY1546" s="42" t="str">
        <f t="array" aca="1" ref="GY1546" ca="1">IFERROR(INDEX(nombres[],SMALL(IF(OFFSET(nombres[],0,0,ROWS(nombres[]),1)=GY$1490,ROW(OFFSET(nombres[],0,0,ROWS(nombres[]),1))-ROW(OFFSET(nombres[],0,0,1,1))+1,ROW(OFFSET(nombres[],ROWS(nombres[])-1,0,1,1))+1),$O1546:$O1565),3),"")</f>
        <v/>
      </c>
      <c r="GZ1546" s="42" t="str">
        <f t="array" aca="1" ref="GZ1546" ca="1">IFERROR(INDEX(nombres[],SMALL(IF(OFFSET(nombres[],0,0,ROWS(nombres[]),1)=GZ$1490,ROW(OFFSET(nombres[],0,0,ROWS(nombres[]),1))-ROW(OFFSET(nombres[],0,0,1,1))+1,ROW(OFFSET(nombres[],ROWS(nombres[])-1,0,1,1))+1),$O1546:$O1565),3),"")</f>
        <v/>
      </c>
      <c r="HA1546" s="42" t="str">
        <f t="array" aca="1" ref="HA1546" ca="1">IFERROR(INDEX(nombres[],SMALL(IF(OFFSET(nombres[],0,0,ROWS(nombres[]),1)=HA$1490,ROW(OFFSET(nombres[],0,0,ROWS(nombres[]),1))-ROW(OFFSET(nombres[],0,0,1,1))+1,ROW(OFFSET(nombres[],ROWS(nombres[])-1,0,1,1))+1),$O1546:$O1565),3),"")</f>
        <v/>
      </c>
      <c r="HB1546" s="42" t="str">
        <f t="array" aca="1" ref="HB1546" ca="1">IFERROR(INDEX(nombres[],SMALL(IF(OFFSET(nombres[],0,0,ROWS(nombres[]),1)=HB$1490,ROW(OFFSET(nombres[],0,0,ROWS(nombres[]),1))-ROW(OFFSET(nombres[],0,0,1,1))+1,ROW(OFFSET(nombres[],ROWS(nombres[])-1,0,1,1))+1),$O1546:$O1565),3),"")</f>
        <v/>
      </c>
      <c r="HC1546" s="42" t="str">
        <f t="array" aca="1" ref="HC1546" ca="1">IFERROR(INDEX(nombres[],SMALL(IF(OFFSET(nombres[],0,0,ROWS(nombres[]),1)=HC$1490,ROW(OFFSET(nombres[],0,0,ROWS(nombres[]),1))-ROW(OFFSET(nombres[],0,0,1,1))+1,ROW(OFFSET(nombres[],ROWS(nombres[])-1,0,1,1))+1),$O1546:$O1565),3),"")</f>
        <v/>
      </c>
      <c r="HD1546" s="42" t="str">
        <f t="array" aca="1" ref="HD1546" ca="1">IFERROR(INDEX(nombres[],SMALL(IF(OFFSET(nombres[],0,0,ROWS(nombres[]),1)=HD$1490,ROW(OFFSET(nombres[],0,0,ROWS(nombres[]),1))-ROW(OFFSET(nombres[],0,0,1,1))+1,ROW(OFFSET(nombres[],ROWS(nombres[])-1,0,1,1))+1),$O1546:$O1565),3),"")</f>
        <v/>
      </c>
      <c r="HE1546" s="42" t="str">
        <f t="array" aca="1" ref="HE1546" ca="1">IFERROR(INDEX(nombres[],SMALL(IF(OFFSET(nombres[],0,0,ROWS(nombres[]),1)=HE$1490,ROW(OFFSET(nombres[],0,0,ROWS(nombres[]),1))-ROW(OFFSET(nombres[],0,0,1,1))+1,ROW(OFFSET(nombres[],ROWS(nombres[])-1,0,1,1))+1),$O1546:$O1565),3),"")</f>
        <v/>
      </c>
      <c r="HF1546" s="42" t="str">
        <f t="array" aca="1" ref="HF1546" ca="1">IFERROR(INDEX(nombres[],SMALL(IF(OFFSET(nombres[],0,0,ROWS(nombres[]),1)=HF$1490,ROW(OFFSET(nombres[],0,0,ROWS(nombres[]),1))-ROW(OFFSET(nombres[],0,0,1,1))+1,ROW(OFFSET(nombres[],ROWS(nombres[])-1,0,1,1))+1),$O1546:$O1565),3),"")</f>
        <v/>
      </c>
      <c r="HG1546" s="42" t="str">
        <f t="array" aca="1" ref="HG1546" ca="1">IFERROR(INDEX(nombres[],SMALL(IF(OFFSET(nombres[],0,0,ROWS(nombres[]),1)=HG$1490,ROW(OFFSET(nombres[],0,0,ROWS(nombres[]),1))-ROW(OFFSET(nombres[],0,0,1,1))+1,ROW(OFFSET(nombres[],ROWS(nombres[])-1,0,1,1))+1),$O1546:$O1565),3),"")</f>
        <v/>
      </c>
      <c r="HH1546" s="42" t="str">
        <f t="array" aca="1" ref="HH1546" ca="1">IFERROR(INDEX(nombres[],SMALL(IF(OFFSET(nombres[],0,0,ROWS(nombres[]),1)=HH$1490,ROW(OFFSET(nombres[],0,0,ROWS(nombres[]),1))-ROW(OFFSET(nombres[],0,0,1,1))+1,ROW(OFFSET(nombres[],ROWS(nombres[])-1,0,1,1))+1),$O1546:$O1565),3),"")</f>
        <v/>
      </c>
      <c r="HI1546" s="42" t="str">
        <f t="array" aca="1" ref="HI1546" ca="1">IFERROR(INDEX(nombres[],SMALL(IF(OFFSET(nombres[],0,0,ROWS(nombres[]),1)=HI$1490,ROW(OFFSET(nombres[],0,0,ROWS(nombres[]),1))-ROW(OFFSET(nombres[],0,0,1,1))+1,ROW(OFFSET(nombres[],ROWS(nombres[])-1,0,1,1))+1),$O1546:$O1565),3),"")</f>
        <v/>
      </c>
      <c r="HJ1546" s="42" t="str">
        <f t="array" aca="1" ref="HJ1546" ca="1">IFERROR(INDEX(nombres[],SMALL(IF(OFFSET(nombres[],0,0,ROWS(nombres[]),1)=HJ$1490,ROW(OFFSET(nombres[],0,0,ROWS(nombres[]),1))-ROW(OFFSET(nombres[],0,0,1,1))+1,ROW(OFFSET(nombres[],ROWS(nombres[])-1,0,1,1))+1),$O1546:$O1565),3),"")</f>
        <v/>
      </c>
      <c r="HK1546" s="42" t="str">
        <f t="array" aca="1" ref="HK1546" ca="1">IFERROR(INDEX(nombres[],SMALL(IF(OFFSET(nombres[],0,0,ROWS(nombres[]),1)=HK$1490,ROW(OFFSET(nombres[],0,0,ROWS(nombres[]),1))-ROW(OFFSET(nombres[],0,0,1,1))+1,ROW(OFFSET(nombres[],ROWS(nombres[])-1,0,1,1))+1),$O1546:$O1565),3),"")</f>
        <v/>
      </c>
      <c r="HL1546" s="42" t="str">
        <f t="array" aca="1" ref="HL1546" ca="1">IFERROR(INDEX(nombres[],SMALL(IF(OFFSET(nombres[],0,0,ROWS(nombres[]),1)=HL$1490,ROW(OFFSET(nombres[],0,0,ROWS(nombres[]),1))-ROW(OFFSET(nombres[],0,0,1,1))+1,ROW(OFFSET(nombres[],ROWS(nombres[])-1,0,1,1))+1),$O1546:$O1565),3),"")</f>
        <v/>
      </c>
      <c r="HM1546" s="42" t="str">
        <f t="array" aca="1" ref="HM1546" ca="1">IFERROR(INDEX(nombres[],SMALL(IF(OFFSET(nombres[],0,0,ROWS(nombres[]),1)=HM$1490,ROW(OFFSET(nombres[],0,0,ROWS(nombres[]),1))-ROW(OFFSET(nombres[],0,0,1,1))+1,ROW(OFFSET(nombres[],ROWS(nombres[])-1,0,1,1))+1),$O1546:$O1565),3),"")</f>
        <v/>
      </c>
      <c r="HN1546" s="42" t="str">
        <f t="array" aca="1" ref="HN1546" ca="1">IFERROR(INDEX(nombres[],SMALL(IF(OFFSET(nombres[],0,0,ROWS(nombres[]),1)=HN$1490,ROW(OFFSET(nombres[],0,0,ROWS(nombres[]),1))-ROW(OFFSET(nombres[],0,0,1,1))+1,ROW(OFFSET(nombres[],ROWS(nombres[])-1,0,1,1))+1),$O1546:$O1565),3),"")</f>
        <v/>
      </c>
      <c r="HO1546" s="42" t="str">
        <f t="array" aca="1" ref="HO1546" ca="1">IFERROR(INDEX(nombres[],SMALL(IF(OFFSET(nombres[],0,0,ROWS(nombres[]),1)=HO$1490,ROW(OFFSET(nombres[],0,0,ROWS(nombres[]),1))-ROW(OFFSET(nombres[],0,0,1,1))+1,ROW(OFFSET(nombres[],ROWS(nombres[])-1,0,1,1))+1),$O1546:$O1565),3),"")</f>
        <v/>
      </c>
      <c r="HP1546" s="42" t="str">
        <f t="array" aca="1" ref="HP1546" ca="1">IFERROR(INDEX(nombres[],SMALL(IF(OFFSET(nombres[],0,0,ROWS(nombres[]),1)=HP$1490,ROW(OFFSET(nombres[],0,0,ROWS(nombres[]),1))-ROW(OFFSET(nombres[],0,0,1,1))+1,ROW(OFFSET(nombres[],ROWS(nombres[])-1,0,1,1))+1),$O1546:$O1565),3),"")</f>
        <v/>
      </c>
      <c r="HQ1546" s="42" t="str">
        <f t="array" aca="1" ref="HQ1546" ca="1">IFERROR(INDEX(nombres[],SMALL(IF(OFFSET(nombres[],0,0,ROWS(nombres[]),1)=HQ$1490,ROW(OFFSET(nombres[],0,0,ROWS(nombres[]),1))-ROW(OFFSET(nombres[],0,0,1,1))+1,ROW(OFFSET(nombres[],ROWS(nombres[])-1,0,1,1))+1),$O1546:$O1565),3),"")</f>
        <v/>
      </c>
      <c r="HR1546" s="42" t="str">
        <f t="array" aca="1" ref="HR1546" ca="1">IFERROR(INDEX(nombres[],SMALL(IF(OFFSET(nombres[],0,0,ROWS(nombres[]),1)=HR$1490,ROW(OFFSET(nombres[],0,0,ROWS(nombres[]),1))-ROW(OFFSET(nombres[],0,0,1,1))+1,ROW(OFFSET(nombres[],ROWS(nombres[])-1,0,1,1))+1),$O1546:$O1565),3),"")</f>
        <v/>
      </c>
      <c r="HS1546" s="42" t="str">
        <f t="array" aca="1" ref="HS1546" ca="1">IFERROR(INDEX(nombres[],SMALL(IF(OFFSET(nombres[],0,0,ROWS(nombres[]),1)=HS$1490,ROW(OFFSET(nombres[],0,0,ROWS(nombres[]),1))-ROW(OFFSET(nombres[],0,0,1,1))+1,ROW(OFFSET(nombres[],ROWS(nombres[])-1,0,1,1))+1),$O1546:$O1565),3),"")</f>
        <v/>
      </c>
      <c r="HT1546" s="42" t="str">
        <f t="array" aca="1" ref="HT1546" ca="1">IFERROR(INDEX(nombres[],SMALL(IF(OFFSET(nombres[],0,0,ROWS(nombres[]),1)=HT$1490,ROW(OFFSET(nombres[],0,0,ROWS(nombres[]),1))-ROW(OFFSET(nombres[],0,0,1,1))+1,ROW(OFFSET(nombres[],ROWS(nombres[])-1,0,1,1))+1),$O1546:$O1565),3),"")</f>
        <v/>
      </c>
      <c r="HU1546" s="42" t="str">
        <f t="array" aca="1" ref="HU1546" ca="1">IFERROR(INDEX(nombres[],SMALL(IF(OFFSET(nombres[],0,0,ROWS(nombres[]),1)=HU$1490,ROW(OFFSET(nombres[],0,0,ROWS(nombres[]),1))-ROW(OFFSET(nombres[],0,0,1,1))+1,ROW(OFFSET(nombres[],ROWS(nombres[])-1,0,1,1))+1),$O1546:$O1565),3),"")</f>
        <v/>
      </c>
      <c r="HV1546" s="42" t="str">
        <f t="array" aca="1" ref="HV1546" ca="1">IFERROR(INDEX(nombres[],SMALL(IF(OFFSET(nombres[],0,0,ROWS(nombres[]),1)=HV$1490,ROW(OFFSET(nombres[],0,0,ROWS(nombres[]),1))-ROW(OFFSET(nombres[],0,0,1,1))+1,ROW(OFFSET(nombres[],ROWS(nombres[])-1,0,1,1))+1),$O1546:$O1565),3),"")</f>
        <v/>
      </c>
      <c r="HW1546" s="42" t="str">
        <f t="array" aca="1" ref="HW1546" ca="1">IFERROR(INDEX(nombres[],SMALL(IF(OFFSET(nombres[],0,0,ROWS(nombres[]),1)=HW$1490,ROW(OFFSET(nombres[],0,0,ROWS(nombres[]),1))-ROW(OFFSET(nombres[],0,0,1,1))+1,ROW(OFFSET(nombres[],ROWS(nombres[])-1,0,1,1))+1),$O1546:$O1565),3),"")</f>
        <v/>
      </c>
      <c r="HX1546" s="42" t="str">
        <f t="array" aca="1" ref="HX1546" ca="1">IFERROR(INDEX(nombres[],SMALL(IF(OFFSET(nombres[],0,0,ROWS(nombres[]),1)=HX$1490,ROW(OFFSET(nombres[],0,0,ROWS(nombres[]),1))-ROW(OFFSET(nombres[],0,0,1,1))+1,ROW(OFFSET(nombres[],ROWS(nombres[])-1,0,1,1))+1),$O1546:$O1565),3),"")</f>
        <v/>
      </c>
      <c r="HY1546" s="42" t="str">
        <f t="array" aca="1" ref="HY1546" ca="1">IFERROR(INDEX(nombres[],SMALL(IF(OFFSET(nombres[],0,0,ROWS(nombres[]),1)=HY$1490,ROW(OFFSET(nombres[],0,0,ROWS(nombres[]),1))-ROW(OFFSET(nombres[],0,0,1,1))+1,ROW(OFFSET(nombres[],ROWS(nombres[])-1,0,1,1))+1),$O1546:$O1565),3),"")</f>
        <v/>
      </c>
      <c r="HZ1546" s="42" t="str">
        <f t="array" aca="1" ref="HZ1546" ca="1">IFERROR(INDEX(nombres[],SMALL(IF(OFFSET(nombres[],0,0,ROWS(nombres[]),1)=HZ$1490,ROW(OFFSET(nombres[],0,0,ROWS(nombres[]),1))-ROW(OFFSET(nombres[],0,0,1,1))+1,ROW(OFFSET(nombres[],ROWS(nombres[])-1,0,1,1))+1),$O1546:$O1565),3),"")</f>
        <v/>
      </c>
      <c r="IA1546" s="42" t="str">
        <f t="array" aca="1" ref="IA1546" ca="1">IFERROR(INDEX(nombres[],SMALL(IF(OFFSET(nombres[],0,0,ROWS(nombres[]),1)=IA$1490,ROW(OFFSET(nombres[],0,0,ROWS(nombres[]),1))-ROW(OFFSET(nombres[],0,0,1,1))+1,ROW(OFFSET(nombres[],ROWS(nombres[])-1,0,1,1))+1),$O1546:$O1565),3),"")</f>
        <v/>
      </c>
      <c r="IB1546" s="42" t="str">
        <f t="array" aca="1" ref="IB1546" ca="1">IFERROR(INDEX(nombres[],SMALL(IF(OFFSET(nombres[],0,0,ROWS(nombres[]),1)=IB$1490,ROW(OFFSET(nombres[],0,0,ROWS(nombres[]),1))-ROW(OFFSET(nombres[],0,0,1,1))+1,ROW(OFFSET(nombres[],ROWS(nombres[])-1,0,1,1))+1),$O1546:$O1565),3),"")</f>
        <v/>
      </c>
      <c r="IC1546" s="42" t="str">
        <f t="array" aca="1" ref="IC1546" ca="1">IFERROR(INDEX(nombres[],SMALL(IF(OFFSET(nombres[],0,0,ROWS(nombres[]),1)=IC$1490,ROW(OFFSET(nombres[],0,0,ROWS(nombres[]),1))-ROW(OFFSET(nombres[],0,0,1,1))+1,ROW(OFFSET(nombres[],ROWS(nombres[])-1,0,1,1))+1),$O1546:$O1565),3),"")</f>
        <v/>
      </c>
      <c r="ID1546" s="42" t="str">
        <f t="array" aca="1" ref="ID1546" ca="1">IFERROR(INDEX(nombres[],SMALL(IF(OFFSET(nombres[],0,0,ROWS(nombres[]),1)=ID$1490,ROW(OFFSET(nombres[],0,0,ROWS(nombres[]),1))-ROW(OFFSET(nombres[],0,0,1,1))+1,ROW(OFFSET(nombres[],ROWS(nombres[])-1,0,1,1))+1),$O1546:$O1565),3),"")</f>
        <v/>
      </c>
      <c r="IE1546" s="42" t="str">
        <f t="array" aca="1" ref="IE1546" ca="1">IFERROR(INDEX(nombres[],SMALL(IF(OFFSET(nombres[],0,0,ROWS(nombres[]),1)=IE$1490,ROW(OFFSET(nombres[],0,0,ROWS(nombres[]),1))-ROW(OFFSET(nombres[],0,0,1,1))+1,ROW(OFFSET(nombres[],ROWS(nombres[])-1,0,1,1))+1),$O1546:$O1565),3),"")</f>
        <v/>
      </c>
      <c r="IF1546" s="42" t="str">
        <f t="array" aca="1" ref="IF1546" ca="1">IFERROR(INDEX(nombres[],SMALL(IF(OFFSET(nombres[],0,0,ROWS(nombres[]),1)=IF$1490,ROW(OFFSET(nombres[],0,0,ROWS(nombres[]),1))-ROW(OFFSET(nombres[],0,0,1,1))+1,ROW(OFFSET(nombres[],ROWS(nombres[])-1,0,1,1))+1),$O1546:$O1565),3),"")</f>
        <v/>
      </c>
      <c r="IG1546" s="42" t="str">
        <f t="array" aca="1" ref="IG1546" ca="1">IFERROR(INDEX(nombres[],SMALL(IF(OFFSET(nombres[],0,0,ROWS(nombres[]),1)=IG$1490,ROW(OFFSET(nombres[],0,0,ROWS(nombres[]),1))-ROW(OFFSET(nombres[],0,0,1,1))+1,ROW(OFFSET(nombres[],ROWS(nombres[])-1,0,1,1))+1),$O1546:$O1565),3),"")</f>
        <v/>
      </c>
      <c r="IH1546" s="42" t="str">
        <f t="array" aca="1" ref="IH1546" ca="1">IFERROR(INDEX(nombres[],SMALL(IF(OFFSET(nombres[],0,0,ROWS(nombres[]),1)=IH$1490,ROW(OFFSET(nombres[],0,0,ROWS(nombres[]),1))-ROW(OFFSET(nombres[],0,0,1,1))+1,ROW(OFFSET(nombres[],ROWS(nombres[])-1,0,1,1))+1),$O1546:$O1565),3),"")</f>
        <v/>
      </c>
      <c r="II1546" s="42" t="str">
        <f t="array" aca="1" ref="II1546" ca="1">IFERROR(INDEX(nombres[],SMALL(IF(OFFSET(nombres[],0,0,ROWS(nombres[]),1)=II$1490,ROW(OFFSET(nombres[],0,0,ROWS(nombres[]),1))-ROW(OFFSET(nombres[],0,0,1,1))+1,ROW(OFFSET(nombres[],ROWS(nombres[])-1,0,1,1))+1),$O1546:$O1565),3),"")</f>
        <v/>
      </c>
      <c r="IJ1546" s="42" t="str">
        <f t="array" aca="1" ref="IJ1546" ca="1">IFERROR(INDEX(nombres[],SMALL(IF(OFFSET(nombres[],0,0,ROWS(nombres[]),1)=IJ$1490,ROW(OFFSET(nombres[],0,0,ROWS(nombres[]),1))-ROW(OFFSET(nombres[],0,0,1,1))+1,ROW(OFFSET(nombres[],ROWS(nombres[])-1,0,1,1))+1),$O1546:$O1565),3),"")</f>
        <v/>
      </c>
      <c r="IK1546" s="42" t="str">
        <f t="array" aca="1" ref="IK1546" ca="1">IFERROR(INDEX(nombres[],SMALL(IF(OFFSET(nombres[],0,0,ROWS(nombres[]),1)=IK$1490,ROW(OFFSET(nombres[],0,0,ROWS(nombres[]),1))-ROW(OFFSET(nombres[],0,0,1,1))+1,ROW(OFFSET(nombres[],ROWS(nombres[])-1,0,1,1))+1),$O1546:$O1565),3),"")</f>
        <v/>
      </c>
      <c r="IL1546" s="42" t="str">
        <f t="array" aca="1" ref="IL1546" ca="1">IFERROR(INDEX(nombres[],SMALL(IF(OFFSET(nombres[],0,0,ROWS(nombres[]),1)=IL$1490,ROW(OFFSET(nombres[],0,0,ROWS(nombres[]),1))-ROW(OFFSET(nombres[],0,0,1,1))+1,ROW(OFFSET(nombres[],ROWS(nombres[])-1,0,1,1))+1),$O1546:$O1565),3),"")</f>
        <v/>
      </c>
      <c r="IM1546" s="42" t="str">
        <f t="array" aca="1" ref="IM1546" ca="1">IFERROR(INDEX(nombres[],SMALL(IF(OFFSET(nombres[],0,0,ROWS(nombres[]),1)=IM$1490,ROW(OFFSET(nombres[],0,0,ROWS(nombres[]),1))-ROW(OFFSET(nombres[],0,0,1,1))+1,ROW(OFFSET(nombres[],ROWS(nombres[])-1,0,1,1))+1),$O1546:$O1565),3),"")</f>
        <v/>
      </c>
      <c r="IN1546" s="42" t="str">
        <f t="array" aca="1" ref="IN1546" ca="1">IFERROR(INDEX(nombres[],SMALL(IF(OFFSET(nombres[],0,0,ROWS(nombres[]),1)=IN$1490,ROW(OFFSET(nombres[],0,0,ROWS(nombres[]),1))-ROW(OFFSET(nombres[],0,0,1,1))+1,ROW(OFFSET(nombres[],ROWS(nombres[])-1,0,1,1))+1),$O1546:$O1565),3),"")</f>
        <v/>
      </c>
      <c r="IO1546" s="42" t="str">
        <f t="array" aca="1" ref="IO1546" ca="1">IFERROR(INDEX(nombres[],SMALL(IF(OFFSET(nombres[],0,0,ROWS(nombres[]),1)=IO$1490,ROW(OFFSET(nombres[],0,0,ROWS(nombres[]),1))-ROW(OFFSET(nombres[],0,0,1,1))+1,ROW(OFFSET(nombres[],ROWS(nombres[])-1,0,1,1))+1),$O1546:$O1565),3),"")</f>
        <v/>
      </c>
      <c r="IP1546" s="42" t="str">
        <f t="array" aca="1" ref="IP1546" ca="1">IFERROR(INDEX(nombres[],SMALL(IF(OFFSET(nombres[],0,0,ROWS(nombres[]),1)=IP$1490,ROW(OFFSET(nombres[],0,0,ROWS(nombres[]),1))-ROW(OFFSET(nombres[],0,0,1,1))+1,ROW(OFFSET(nombres[],ROWS(nombres[])-1,0,1,1))+1),$O1546:$O1565),3),"")</f>
        <v/>
      </c>
      <c r="IQ1546" s="42" t="str">
        <f t="array" aca="1" ref="IQ1546" ca="1">IFERROR(INDEX(nombres[],SMALL(IF(OFFSET(nombres[],0,0,ROWS(nombres[]),1)=IQ$1490,ROW(OFFSET(nombres[],0,0,ROWS(nombres[]),1))-ROW(OFFSET(nombres[],0,0,1,1))+1,ROW(OFFSET(nombres[],ROWS(nombres[])-1,0,1,1))+1),$O1546:$O1565),3),"")</f>
        <v/>
      </c>
      <c r="IR1546" s="42" t="str">
        <f t="array" aca="1" ref="IR1546" ca="1">IFERROR(INDEX(nombres[],SMALL(IF(OFFSET(nombres[],0,0,ROWS(nombres[]),1)=IR$1490,ROW(OFFSET(nombres[],0,0,ROWS(nombres[]),1))-ROW(OFFSET(nombres[],0,0,1,1))+1,ROW(OFFSET(nombres[],ROWS(nombres[])-1,0,1,1))+1),$O1546:$O1565),3),"")</f>
        <v/>
      </c>
      <c r="IS1546" s="42" t="str">
        <f t="array" aca="1" ref="IS1546" ca="1">IFERROR(INDEX(nombres[],SMALL(IF(OFFSET(nombres[],0,0,ROWS(nombres[]),1)=IS$1490,ROW(OFFSET(nombres[],0,0,ROWS(nombres[]),1))-ROW(OFFSET(nombres[],0,0,1,1))+1,ROW(OFFSET(nombres[],ROWS(nombres[])-1,0,1,1))+1),$O1546:$O1565),3),"")</f>
        <v/>
      </c>
      <c r="IT1546" s="42" t="str">
        <f t="array" aca="1" ref="IT1546" ca="1">IFERROR(INDEX(nombres[],SMALL(IF(OFFSET(nombres[],0,0,ROWS(nombres[]),1)=IT$1490,ROW(OFFSET(nombres[],0,0,ROWS(nombres[]),1))-ROW(OFFSET(nombres[],0,0,1,1))+1,ROW(OFFSET(nombres[],ROWS(nombres[])-1,0,1,1))+1),$O1546:$O1565),3),"")</f>
        <v/>
      </c>
      <c r="IU1546" s="42" t="str">
        <f t="array" aca="1" ref="IU1546" ca="1">IFERROR(INDEX(nombres[],SMALL(IF(OFFSET(nombres[],0,0,ROWS(nombres[]),1)=IU$1490,ROW(OFFSET(nombres[],0,0,ROWS(nombres[]),1))-ROW(OFFSET(nombres[],0,0,1,1))+1,ROW(OFFSET(nombres[],ROWS(nombres[])-1,0,1,1))+1),$O1546:$O1565),3),"")</f>
        <v/>
      </c>
      <c r="IV1546" s="42" t="str">
        <f t="array" aca="1" ref="IV1546" ca="1">IFERROR(INDEX(nombres[],SMALL(IF(OFFSET(nombres[],0,0,ROWS(nombres[]),1)=IV$1490,ROW(OFFSET(nombres[],0,0,ROWS(nombres[]),1))-ROW(OFFSET(nombres[],0,0,1,1))+1,ROW(OFFSET(nombres[],ROWS(nombres[])-1,0,1,1))+1),$O1546:$O1565),3),"")</f>
        <v/>
      </c>
      <c r="IW1546" s="42" t="str">
        <f t="array" aca="1" ref="IW1546" ca="1">IFERROR(INDEX(nombres[],SMALL(IF(OFFSET(nombres[],0,0,ROWS(nombres[]),1)=IW$1490,ROW(OFFSET(nombres[],0,0,ROWS(nombres[]),1))-ROW(OFFSET(nombres[],0,0,1,1))+1,ROW(OFFSET(nombres[],ROWS(nombres[])-1,0,1,1))+1),$O1546:$O1565),3),"")</f>
        <v/>
      </c>
      <c r="IX1546" s="42" t="str">
        <f t="array" aca="1" ref="IX1546" ca="1">IFERROR(INDEX(nombres[],SMALL(IF(OFFSET(nombres[],0,0,ROWS(nombres[]),1)=IX$1490,ROW(OFFSET(nombres[],0,0,ROWS(nombres[]),1))-ROW(OFFSET(nombres[],0,0,1,1))+1,ROW(OFFSET(nombres[],ROWS(nombres[])-1,0,1,1))+1),$O1546:$O1565),3),"")</f>
        <v/>
      </c>
      <c r="IY1546" s="42" t="str">
        <f t="array" aca="1" ref="IY1546" ca="1">IFERROR(INDEX(nombres[],SMALL(IF(OFFSET(nombres[],0,0,ROWS(nombres[]),1)=IY$1490,ROW(OFFSET(nombres[],0,0,ROWS(nombres[]),1))-ROW(OFFSET(nombres[],0,0,1,1))+1,ROW(OFFSET(nombres[],ROWS(nombres[])-1,0,1,1))+1),$O1546:$O1565),3),"")</f>
        <v/>
      </c>
      <c r="IZ1546" s="42" t="str">
        <f t="array" aca="1" ref="IZ1546" ca="1">IFERROR(INDEX(nombres[],SMALL(IF(OFFSET(nombres[],0,0,ROWS(nombres[]),1)=IZ$1490,ROW(OFFSET(nombres[],0,0,ROWS(nombres[]),1))-ROW(OFFSET(nombres[],0,0,1,1))+1,ROW(OFFSET(nombres[],ROWS(nombres[])-1,0,1,1))+1),$O1546:$O1565),3),"")</f>
        <v/>
      </c>
      <c r="JA1546" s="42" t="str">
        <f t="array" aca="1" ref="JA1546" ca="1">IFERROR(INDEX(nombres[],SMALL(IF(OFFSET(nombres[],0,0,ROWS(nombres[]),1)=JA$1490,ROW(OFFSET(nombres[],0,0,ROWS(nombres[]),1))-ROW(OFFSET(nombres[],0,0,1,1))+1,ROW(OFFSET(nombres[],ROWS(nombres[])-1,0,1,1))+1),$O1546:$O1565),3),"")</f>
        <v/>
      </c>
      <c r="JB1546" s="42" t="str">
        <f t="array" aca="1" ref="JB1546" ca="1">IFERROR(INDEX(nombres[],SMALL(IF(OFFSET(nombres[],0,0,ROWS(nombres[]),1)=JB$1490,ROW(OFFSET(nombres[],0,0,ROWS(nombres[]),1))-ROW(OFFSET(nombres[],0,0,1,1))+1,ROW(OFFSET(nombres[],ROWS(nombres[])-1,0,1,1))+1),$O1546:$O1565),3),"")</f>
        <v/>
      </c>
      <c r="JC1546" s="42" t="str">
        <f t="array" aca="1" ref="JC1546" ca="1">IFERROR(INDEX(nombres[],SMALL(IF(OFFSET(nombres[],0,0,ROWS(nombres[]),1)=JC$1490,ROW(OFFSET(nombres[],0,0,ROWS(nombres[]),1))-ROW(OFFSET(nombres[],0,0,1,1))+1,ROW(OFFSET(nombres[],ROWS(nombres[])-1,0,1,1))+1),$O1546:$O1565),3),"")</f>
        <v/>
      </c>
      <c r="JD1546" s="42" t="str">
        <f t="array" aca="1" ref="JD1546" ca="1">IFERROR(INDEX(nombres[],SMALL(IF(OFFSET(nombres[],0,0,ROWS(nombres[]),1)=JD$1490,ROW(OFFSET(nombres[],0,0,ROWS(nombres[]),1))-ROW(OFFSET(nombres[],0,0,1,1))+1,ROW(OFFSET(nombres[],ROWS(nombres[])-1,0,1,1))+1),$O1546:$O1565),3),"")</f>
        <v/>
      </c>
      <c r="JE1546" s="42" t="str">
        <f t="array" aca="1" ref="JE1546" ca="1">IFERROR(INDEX(nombres[],SMALL(IF(OFFSET(nombres[],0,0,ROWS(nombres[]),1)=JE$1490,ROW(OFFSET(nombres[],0,0,ROWS(nombres[]),1))-ROW(OFFSET(nombres[],0,0,1,1))+1,ROW(OFFSET(nombres[],ROWS(nombres[])-1,0,1,1))+1),$O1546:$O1565),3),"")</f>
        <v/>
      </c>
      <c r="JF1546" s="42" t="str">
        <f t="array" aca="1" ref="JF1546" ca="1">IFERROR(INDEX(nombres[],SMALL(IF(OFFSET(nombres[],0,0,ROWS(nombres[]),1)=JF$1490,ROW(OFFSET(nombres[],0,0,ROWS(nombres[]),1))-ROW(OFFSET(nombres[],0,0,1,1))+1,ROW(OFFSET(nombres[],ROWS(nombres[])-1,0,1,1))+1),$O1546:$O1565),3),"")</f>
        <v/>
      </c>
      <c r="JG1546" s="42" t="str">
        <f t="array" aca="1" ref="JG1546" ca="1">IFERROR(INDEX(nombres[],SMALL(IF(OFFSET(nombres[],0,0,ROWS(nombres[]),1)=JG$1490,ROW(OFFSET(nombres[],0,0,ROWS(nombres[]),1))-ROW(OFFSET(nombres[],0,0,1,1))+1,ROW(OFFSET(nombres[],ROWS(nombres[])-1,0,1,1))+1),$O1546:$O1565),3),"")</f>
        <v/>
      </c>
      <c r="JH1546" s="42" t="str">
        <f t="array" aca="1" ref="JH1546" ca="1">IFERROR(INDEX(nombres[],SMALL(IF(OFFSET(nombres[],0,0,ROWS(nombres[]),1)=JH$1490,ROW(OFFSET(nombres[],0,0,ROWS(nombres[]),1))-ROW(OFFSET(nombres[],0,0,1,1))+1,ROW(OFFSET(nombres[],ROWS(nombres[])-1,0,1,1))+1),$O1546:$O1565),3),"")</f>
        <v/>
      </c>
      <c r="JI1546" s="42" t="str">
        <f t="array" aca="1" ref="JI1546" ca="1">IFERROR(INDEX(nombres[],SMALL(IF(OFFSET(nombres[],0,0,ROWS(nombres[]),1)=JI$1490,ROW(OFFSET(nombres[],0,0,ROWS(nombres[]),1))-ROW(OFFSET(nombres[],0,0,1,1))+1,ROW(OFFSET(nombres[],ROWS(nombres[])-1,0,1,1))+1),$O1546:$O1565),3),"")</f>
        <v/>
      </c>
      <c r="JJ1546" s="42" t="str">
        <f t="array" aca="1" ref="JJ1546" ca="1">IFERROR(INDEX(nombres[],SMALL(IF(OFFSET(nombres[],0,0,ROWS(nombres[]),1)=JJ$1490,ROW(OFFSET(nombres[],0,0,ROWS(nombres[]),1))-ROW(OFFSET(nombres[],0,0,1,1))+1,ROW(OFFSET(nombres[],ROWS(nombres[])-1,0,1,1))+1),$O1546:$O1565),3),"")</f>
        <v/>
      </c>
      <c r="JK1546" s="42" t="str">
        <f t="array" aca="1" ref="JK1546" ca="1">IFERROR(INDEX(nombres[],SMALL(IF(OFFSET(nombres[],0,0,ROWS(nombres[]),1)=JK$1490,ROW(OFFSET(nombres[],0,0,ROWS(nombres[]),1))-ROW(OFFSET(nombres[],0,0,1,1))+1,ROW(OFFSET(nombres[],ROWS(nombres[])-1,0,1,1))+1),$O1546:$O1565),3),"")</f>
        <v/>
      </c>
      <c r="JL1546" s="42" t="str">
        <f t="array" aca="1" ref="JL1546" ca="1">IFERROR(INDEX(nombres[],SMALL(IF(OFFSET(nombres[],0,0,ROWS(nombres[]),1)=JL$1490,ROW(OFFSET(nombres[],0,0,ROWS(nombres[]),1))-ROW(OFFSET(nombres[],0,0,1,1))+1,ROW(OFFSET(nombres[],ROWS(nombres[])-1,0,1,1))+1),$O1546:$O1565),3),"")</f>
        <v/>
      </c>
      <c r="JM1546" s="42" t="str">
        <f t="array" aca="1" ref="JM1546" ca="1">IFERROR(INDEX(nombres[],SMALL(IF(OFFSET(nombres[],0,0,ROWS(nombres[]),1)=JM$1490,ROW(OFFSET(nombres[],0,0,ROWS(nombres[]),1))-ROW(OFFSET(nombres[],0,0,1,1))+1,ROW(OFFSET(nombres[],ROWS(nombres[])-1,0,1,1))+1),$O1546:$O1565),3),"")</f>
        <v/>
      </c>
      <c r="JN1546" s="42" t="str">
        <f t="array" aca="1" ref="JN1546" ca="1">IFERROR(INDEX(nombres[],SMALL(IF(OFFSET(nombres[],0,0,ROWS(nombres[]),1)=JN$1490,ROW(OFFSET(nombres[],0,0,ROWS(nombres[]),1))-ROW(OFFSET(nombres[],0,0,1,1))+1,ROW(OFFSET(nombres[],ROWS(nombres[])-1,0,1,1))+1),$O1546:$O1565),3),"")</f>
        <v/>
      </c>
      <c r="JO1546" s="42" t="str">
        <f t="array" aca="1" ref="JO1546" ca="1">IFERROR(INDEX(nombres[],SMALL(IF(OFFSET(nombres[],0,0,ROWS(nombres[]),1)=JO$1490,ROW(OFFSET(nombres[],0,0,ROWS(nombres[]),1))-ROW(OFFSET(nombres[],0,0,1,1))+1,ROW(OFFSET(nombres[],ROWS(nombres[])-1,0,1,1))+1),$O1546:$O1565),3),"")</f>
        <v/>
      </c>
      <c r="JP1546" s="42" t="str">
        <f t="array" aca="1" ref="JP1546" ca="1">IFERROR(INDEX(nombres[],SMALL(IF(OFFSET(nombres[],0,0,ROWS(nombres[]),1)=JP$1490,ROW(OFFSET(nombres[],0,0,ROWS(nombres[]),1))-ROW(OFFSET(nombres[],0,0,1,1))+1,ROW(OFFSET(nombres[],ROWS(nombres[])-1,0,1,1))+1),$O1546:$O1565),3),"")</f>
        <v/>
      </c>
      <c r="JQ1546" s="42" t="str">
        <f t="array" aca="1" ref="JQ1546" ca="1">IFERROR(INDEX(nombres[],SMALL(IF(OFFSET(nombres[],0,0,ROWS(nombres[]),1)=JQ$1490,ROW(OFFSET(nombres[],0,0,ROWS(nombres[]),1))-ROW(OFFSET(nombres[],0,0,1,1))+1,ROW(OFFSET(nombres[],ROWS(nombres[])-1,0,1,1))+1),$O1546:$O1565),3),"")</f>
        <v/>
      </c>
      <c r="JR1546" s="42" t="str">
        <f t="array" aca="1" ref="JR1546" ca="1">IFERROR(INDEX(nombres[],SMALL(IF(OFFSET(nombres[],0,0,ROWS(nombres[]),1)=JR$1490,ROW(OFFSET(nombres[],0,0,ROWS(nombres[]),1))-ROW(OFFSET(nombres[],0,0,1,1))+1,ROW(OFFSET(nombres[],ROWS(nombres[])-1,0,1,1))+1),$O1546:$O1565),3),"")</f>
        <v/>
      </c>
      <c r="JS1546" s="42" t="str">
        <f t="array" aca="1" ref="JS1546" ca="1">IFERROR(INDEX(nombres[],SMALL(IF(OFFSET(nombres[],0,0,ROWS(nombres[]),1)=JS$1490,ROW(OFFSET(nombres[],0,0,ROWS(nombres[]),1))-ROW(OFFSET(nombres[],0,0,1,1))+1,ROW(OFFSET(nombres[],ROWS(nombres[])-1,0,1,1))+1),$O1546:$O1565),3),"")</f>
        <v/>
      </c>
      <c r="JT1546" s="42" t="str">
        <f t="array" aca="1" ref="JT1546" ca="1">IFERROR(INDEX(nombres[],SMALL(IF(OFFSET(nombres[],0,0,ROWS(nombres[]),1)=JT$1490,ROW(OFFSET(nombres[],0,0,ROWS(nombres[]),1))-ROW(OFFSET(nombres[],0,0,1,1))+1,ROW(OFFSET(nombres[],ROWS(nombres[])-1,0,1,1))+1),$O1546:$O1565),3),"")</f>
        <v/>
      </c>
      <c r="JU1546" s="42" t="str">
        <f t="array" aca="1" ref="JU1546" ca="1">IFERROR(INDEX(nombres[],SMALL(IF(OFFSET(nombres[],0,0,ROWS(nombres[]),1)=JU$1490,ROW(OFFSET(nombres[],0,0,ROWS(nombres[]),1))-ROW(OFFSET(nombres[],0,0,1,1))+1,ROW(OFFSET(nombres[],ROWS(nombres[])-1,0,1,1))+1),$O1546:$O1565),3),"")</f>
        <v/>
      </c>
      <c r="JV1546" s="42" t="str">
        <f t="array" aca="1" ref="JV1546" ca="1">IFERROR(INDEX(nombres[],SMALL(IF(OFFSET(nombres[],0,0,ROWS(nombres[]),1)=JV$1490,ROW(OFFSET(nombres[],0,0,ROWS(nombres[]),1))-ROW(OFFSET(nombres[],0,0,1,1))+1,ROW(OFFSET(nombres[],ROWS(nombres[])-1,0,1,1))+1),$O1546:$O1565),3),"")</f>
        <v/>
      </c>
      <c r="JW1546" s="42" t="str">
        <f t="array" aca="1" ref="JW1546" ca="1">IFERROR(INDEX(nombres[],SMALL(IF(OFFSET(nombres[],0,0,ROWS(nombres[]),1)=JW$1490,ROW(OFFSET(nombres[],0,0,ROWS(nombres[]),1))-ROW(OFFSET(nombres[],0,0,1,1))+1,ROW(OFFSET(nombres[],ROWS(nombres[])-1,0,1,1))+1),$O1546:$O1565),3),"")</f>
        <v/>
      </c>
      <c r="JX1546" s="42" t="str">
        <f t="array" aca="1" ref="JX1546" ca="1">IFERROR(INDEX(nombres[],SMALL(IF(OFFSET(nombres[],0,0,ROWS(nombres[]),1)=JX$1490,ROW(OFFSET(nombres[],0,0,ROWS(nombres[]),1))-ROW(OFFSET(nombres[],0,0,1,1))+1,ROW(OFFSET(nombres[],ROWS(nombres[])-1,0,1,1))+1),$O1546:$O1565),3),"")</f>
        <v/>
      </c>
      <c r="JY1546" s="42" t="str">
        <f t="array" aca="1" ref="JY1546" ca="1">IFERROR(INDEX(nombres[],SMALL(IF(OFFSET(nombres[],0,0,ROWS(nombres[]),1)=JY$1490,ROW(OFFSET(nombres[],0,0,ROWS(nombres[]),1))-ROW(OFFSET(nombres[],0,0,1,1))+1,ROW(OFFSET(nombres[],ROWS(nombres[])-1,0,1,1))+1),$O1546:$O1565),3),"")</f>
        <v/>
      </c>
      <c r="JZ1546" s="42" t="str">
        <f t="array" aca="1" ref="JZ1546" ca="1">IFERROR(INDEX(nombres[],SMALL(IF(OFFSET(nombres[],0,0,ROWS(nombres[]),1)=JZ$1490,ROW(OFFSET(nombres[],0,0,ROWS(nombres[]),1))-ROW(OFFSET(nombres[],0,0,1,1))+1,ROW(OFFSET(nombres[],ROWS(nombres[])-1,0,1,1))+1),$O1546:$O1565),3),"")</f>
        <v/>
      </c>
      <c r="KA1546" s="42" t="str">
        <f t="array" aca="1" ref="KA1546" ca="1">IFERROR(INDEX(nombres[],SMALL(IF(OFFSET(nombres[],0,0,ROWS(nombres[]),1)=KA$1490,ROW(OFFSET(nombres[],0,0,ROWS(nombres[]),1))-ROW(OFFSET(nombres[],0,0,1,1))+1,ROW(OFFSET(nombres[],ROWS(nombres[])-1,0,1,1))+1),$O1546:$O1565),3),"")</f>
        <v/>
      </c>
      <c r="KB1546" s="42" t="str">
        <f t="array" aca="1" ref="KB1546" ca="1">IFERROR(INDEX(nombres[],SMALL(IF(OFFSET(nombres[],0,0,ROWS(nombres[]),1)=KB$1490,ROW(OFFSET(nombres[],0,0,ROWS(nombres[]),1))-ROW(OFFSET(nombres[],0,0,1,1))+1,ROW(OFFSET(nombres[],ROWS(nombres[])-1,0,1,1))+1),$O1546:$O1565),3),"")</f>
        <v/>
      </c>
      <c r="KC1546" s="42" t="str">
        <f t="array" aca="1" ref="KC1546" ca="1">IFERROR(INDEX(nombres[],SMALL(IF(OFFSET(nombres[],0,0,ROWS(nombres[]),1)=KC$1490,ROW(OFFSET(nombres[],0,0,ROWS(nombres[]),1))-ROW(OFFSET(nombres[],0,0,1,1))+1,ROW(OFFSET(nombres[],ROWS(nombres[])-1,0,1,1))+1),$O1546:$O1565),3),"")</f>
        <v/>
      </c>
      <c r="KD1546" s="42" t="str">
        <f t="array" aca="1" ref="KD1546" ca="1">IFERROR(INDEX(nombres[],SMALL(IF(OFFSET(nombres[],0,0,ROWS(nombres[]),1)=KD$1490,ROW(OFFSET(nombres[],0,0,ROWS(nombres[]),1))-ROW(OFFSET(nombres[],0,0,1,1))+1,ROW(OFFSET(nombres[],ROWS(nombres[])-1,0,1,1))+1),$O1546:$O1565),3),"")</f>
        <v/>
      </c>
      <c r="KE1546" s="42" t="str">
        <f t="array" aca="1" ref="KE1546" ca="1">IFERROR(INDEX(nombres[],SMALL(IF(OFFSET(nombres[],0,0,ROWS(nombres[]),1)=KE$1490,ROW(OFFSET(nombres[],0,0,ROWS(nombres[]),1))-ROW(OFFSET(nombres[],0,0,1,1))+1,ROW(OFFSET(nombres[],ROWS(nombres[])-1,0,1,1))+1),$O1546:$O1565),3),"")</f>
        <v/>
      </c>
      <c r="KF1546" s="42" t="str">
        <f t="array" aca="1" ref="KF1546" ca="1">IFERROR(INDEX(nombres[],SMALL(IF(OFFSET(nombres[],0,0,ROWS(nombres[]),1)=KF$1490,ROW(OFFSET(nombres[],0,0,ROWS(nombres[]),1))-ROW(OFFSET(nombres[],0,0,1,1))+1,ROW(OFFSET(nombres[],ROWS(nombres[])-1,0,1,1))+1),$O1546:$O1565),3),"")</f>
        <v/>
      </c>
      <c r="KG1546" s="42" t="str">
        <f t="array" aca="1" ref="KG1546" ca="1">IFERROR(INDEX(nombres[],SMALL(IF(OFFSET(nombres[],0,0,ROWS(nombres[]),1)=KG$1490,ROW(OFFSET(nombres[],0,0,ROWS(nombres[]),1))-ROW(OFFSET(nombres[],0,0,1,1))+1,ROW(OFFSET(nombres[],ROWS(nombres[])-1,0,1,1))+1),$O1546:$O1565),3),"")</f>
        <v/>
      </c>
      <c r="KH1546" s="42" t="str">
        <f t="array" aca="1" ref="KH1546" ca="1">IFERROR(INDEX(nombres[],SMALL(IF(OFFSET(nombres[],0,0,ROWS(nombres[]),1)=KH$1490,ROW(OFFSET(nombres[],0,0,ROWS(nombres[]),1))-ROW(OFFSET(nombres[],0,0,1,1))+1,ROW(OFFSET(nombres[],ROWS(nombres[])-1,0,1,1))+1),$O1546:$O1565),3),"")</f>
        <v/>
      </c>
      <c r="KI1546" s="42" t="str">
        <f t="array" aca="1" ref="KI1546" ca="1">IFERROR(INDEX(nombres[],SMALL(IF(OFFSET(nombres[],0,0,ROWS(nombres[]),1)=KI$1490,ROW(OFFSET(nombres[],0,0,ROWS(nombres[]),1))-ROW(OFFSET(nombres[],0,0,1,1))+1,ROW(OFFSET(nombres[],ROWS(nombres[])-1,0,1,1))+1),$O1546:$O1565),3),"")</f>
        <v/>
      </c>
      <c r="KJ1546" s="42" t="str">
        <f t="array" aca="1" ref="KJ1546" ca="1">IFERROR(INDEX(nombres[],SMALL(IF(OFFSET(nombres[],0,0,ROWS(nombres[]),1)=KJ$1490,ROW(OFFSET(nombres[],0,0,ROWS(nombres[]),1))-ROW(OFFSET(nombres[],0,0,1,1))+1,ROW(OFFSET(nombres[],ROWS(nombres[])-1,0,1,1))+1),$O1546:$O1565),3),"")</f>
        <v/>
      </c>
      <c r="KK1546" s="42" t="str">
        <f t="array" aca="1" ref="KK1546" ca="1">IFERROR(INDEX(nombres[],SMALL(IF(OFFSET(nombres[],0,0,ROWS(nombres[]),1)=KK$1490,ROW(OFFSET(nombres[],0,0,ROWS(nombres[]),1))-ROW(OFFSET(nombres[],0,0,1,1))+1,ROW(OFFSET(nombres[],ROWS(nombres[])-1,0,1,1))+1),$O1546:$O1565),3),"")</f>
        <v/>
      </c>
      <c r="KL1546" s="42" t="str">
        <f t="array" aca="1" ref="KL1546" ca="1">IFERROR(INDEX(nombres[],SMALL(IF(OFFSET(nombres[],0,0,ROWS(nombres[]),1)=KL$1490,ROW(OFFSET(nombres[],0,0,ROWS(nombres[]),1))-ROW(OFFSET(nombres[],0,0,1,1))+1,ROW(OFFSET(nombres[],ROWS(nombres[])-1,0,1,1))+1),$O1546:$O1565),3),"")</f>
        <v/>
      </c>
      <c r="KM1546" s="42" t="str">
        <f t="array" aca="1" ref="KM1546" ca="1">IFERROR(INDEX(nombres[],SMALL(IF(OFFSET(nombres[],0,0,ROWS(nombres[]),1)=KM$1490,ROW(OFFSET(nombres[],0,0,ROWS(nombres[]),1))-ROW(OFFSET(nombres[],0,0,1,1))+1,ROW(OFFSET(nombres[],ROWS(nombres[])-1,0,1,1))+1),$O1546:$O1565),3),"")</f>
        <v/>
      </c>
      <c r="KN1546" s="42" t="str">
        <f t="array" aca="1" ref="KN1546" ca="1">IFERROR(INDEX(nombres[],SMALL(IF(OFFSET(nombres[],0,0,ROWS(nombres[]),1)=KN$1490,ROW(OFFSET(nombres[],0,0,ROWS(nombres[]),1))-ROW(OFFSET(nombres[],0,0,1,1))+1,ROW(OFFSET(nombres[],ROWS(nombres[])-1,0,1,1))+1),$O1546:$O1565),3),"")</f>
        <v/>
      </c>
      <c r="KO1546" s="42" t="str">
        <f t="array" aca="1" ref="KO1546" ca="1">IFERROR(INDEX(nombres[],SMALL(IF(OFFSET(nombres[],0,0,ROWS(nombres[]),1)=KO$1490,ROW(OFFSET(nombres[],0,0,ROWS(nombres[]),1))-ROW(OFFSET(nombres[],0,0,1,1))+1,ROW(OFFSET(nombres[],ROWS(nombres[])-1,0,1,1))+1),$O1546:$O1565),3),"")</f>
        <v/>
      </c>
      <c r="KP1546" s="42" t="str">
        <f t="array" aca="1" ref="KP1546" ca="1">IFERROR(INDEX(nombres[],SMALL(IF(OFFSET(nombres[],0,0,ROWS(nombres[]),1)=KP$1490,ROW(OFFSET(nombres[],0,0,ROWS(nombres[]),1))-ROW(OFFSET(nombres[],0,0,1,1))+1,ROW(OFFSET(nombres[],ROWS(nombres[])-1,0,1,1))+1),$O1546:$O1565),3),"")</f>
        <v/>
      </c>
      <c r="KQ1546" s="42" t="str">
        <f t="array" aca="1" ref="KQ1546" ca="1">IFERROR(INDEX(nombres[],SMALL(IF(OFFSET(nombres[],0,0,ROWS(nombres[]),1)=KQ$1490,ROW(OFFSET(nombres[],0,0,ROWS(nombres[]),1))-ROW(OFFSET(nombres[],0,0,1,1))+1,ROW(OFFSET(nombres[],ROWS(nombres[])-1,0,1,1))+1),$O1546:$O1565),3),"")</f>
        <v/>
      </c>
      <c r="KR1546" s="42" t="str">
        <f t="array" aca="1" ref="KR1546" ca="1">IFERROR(INDEX(nombres[],SMALL(IF(OFFSET(nombres[],0,0,ROWS(nombres[]),1)=KR$1490,ROW(OFFSET(nombres[],0,0,ROWS(nombres[]),1))-ROW(OFFSET(nombres[],0,0,1,1))+1,ROW(OFFSET(nombres[],ROWS(nombres[])-1,0,1,1))+1),$O1546:$O1565),3),"")</f>
        <v/>
      </c>
      <c r="KS1546" s="42" t="str">
        <f t="array" aca="1" ref="KS1546" ca="1">IFERROR(INDEX(nombres[],SMALL(IF(OFFSET(nombres[],0,0,ROWS(nombres[]),1)=KS$1490,ROW(OFFSET(nombres[],0,0,ROWS(nombres[]),1))-ROW(OFFSET(nombres[],0,0,1,1))+1,ROW(OFFSET(nombres[],ROWS(nombres[])-1,0,1,1))+1),$O1546:$O1565),3),"")</f>
        <v/>
      </c>
      <c r="KT1546" s="42" t="str">
        <f t="array" aca="1" ref="KT1546" ca="1">IFERROR(INDEX(nombres[],SMALL(IF(OFFSET(nombres[],0,0,ROWS(nombres[]),1)=KT$1490,ROW(OFFSET(nombres[],0,0,ROWS(nombres[]),1))-ROW(OFFSET(nombres[],0,0,1,1))+1,ROW(OFFSET(nombres[],ROWS(nombres[])-1,0,1,1))+1),$O1546:$O1565),3),"")</f>
        <v/>
      </c>
      <c r="KU1546" s="42" t="str">
        <f t="array" aca="1" ref="KU1546" ca="1">IFERROR(INDEX(nombres[],SMALL(IF(OFFSET(nombres[],0,0,ROWS(nombres[]),1)=KU$1490,ROW(OFFSET(nombres[],0,0,ROWS(nombres[]),1))-ROW(OFFSET(nombres[],0,0,1,1))+1,ROW(OFFSET(nombres[],ROWS(nombres[])-1,0,1,1))+1),$O1546:$O1565),3),"")</f>
        <v/>
      </c>
      <c r="KV1546" s="42" t="str">
        <f t="array" aca="1" ref="KV1546" ca="1">IFERROR(INDEX(nombres[],SMALL(IF(OFFSET(nombres[],0,0,ROWS(nombres[]),1)=KV$1490,ROW(OFFSET(nombres[],0,0,ROWS(nombres[]),1))-ROW(OFFSET(nombres[],0,0,1,1))+1,ROW(OFFSET(nombres[],ROWS(nombres[])-1,0,1,1))+1),$O1546:$O1565),3),"")</f>
        <v/>
      </c>
      <c r="KW1546" s="42" t="str">
        <f t="array" aca="1" ref="KW1546" ca="1">IFERROR(INDEX(nombres[],SMALL(IF(OFFSET(nombres[],0,0,ROWS(nombres[]),1)=KW$1490,ROW(OFFSET(nombres[],0,0,ROWS(nombres[]),1))-ROW(OFFSET(nombres[],0,0,1,1))+1,ROW(OFFSET(nombres[],ROWS(nombres[])-1,0,1,1))+1),$O1546:$O1565),3),"")</f>
        <v/>
      </c>
      <c r="KX1546" s="42" t="str">
        <f t="array" aca="1" ref="KX1546" ca="1">IFERROR(INDEX(nombres[],SMALL(IF(OFFSET(nombres[],0,0,ROWS(nombres[]),1)=KX$1490,ROW(OFFSET(nombres[],0,0,ROWS(nombres[]),1))-ROW(OFFSET(nombres[],0,0,1,1))+1,ROW(OFFSET(nombres[],ROWS(nombres[])-1,0,1,1))+1),$O1546:$O1565),3),"")</f>
        <v/>
      </c>
      <c r="KY1546" s="42" t="str">
        <f t="array" aca="1" ref="KY1546" ca="1">IFERROR(INDEX(nombres[],SMALL(IF(OFFSET(nombres[],0,0,ROWS(nombres[]),1)=KY$1490,ROW(OFFSET(nombres[],0,0,ROWS(nombres[]),1))-ROW(OFFSET(nombres[],0,0,1,1))+1,ROW(OFFSET(nombres[],ROWS(nombres[])-1,0,1,1))+1),$O1546:$O1565),3),"")</f>
        <v/>
      </c>
      <c r="KZ1546" s="42" t="str">
        <f t="array" aca="1" ref="KZ1546" ca="1">IFERROR(INDEX(nombres[],SMALL(IF(OFFSET(nombres[],0,0,ROWS(nombres[]),1)=KZ$1490,ROW(OFFSET(nombres[],0,0,ROWS(nombres[]),1))-ROW(OFFSET(nombres[],0,0,1,1))+1,ROW(OFFSET(nombres[],ROWS(nombres[])-1,0,1,1))+1),$O1546:$O1565),3),"")</f>
        <v/>
      </c>
      <c r="LA1546" s="42" t="str">
        <f t="array" aca="1" ref="LA1546" ca="1">IFERROR(INDEX(nombres[],SMALL(IF(OFFSET(nombres[],0,0,ROWS(nombres[]),1)=LA$1490,ROW(OFFSET(nombres[],0,0,ROWS(nombres[]),1))-ROW(OFFSET(nombres[],0,0,1,1))+1,ROW(OFFSET(nombres[],ROWS(nombres[])-1,0,1,1))+1),$O1546:$O1565),3),"")</f>
        <v/>
      </c>
      <c r="LB1546" s="42" t="str">
        <f t="array" aca="1" ref="LB1546" ca="1">IFERROR(INDEX(nombres[],SMALL(IF(OFFSET(nombres[],0,0,ROWS(nombres[]),1)=LB$1490,ROW(OFFSET(nombres[],0,0,ROWS(nombres[]),1))-ROW(OFFSET(nombres[],0,0,1,1))+1,ROW(OFFSET(nombres[],ROWS(nombres[])-1,0,1,1))+1),$O1546:$O1565),3),"")</f>
        <v/>
      </c>
      <c r="LC1546" s="42" t="str">
        <f t="array" aca="1" ref="LC1546" ca="1">IFERROR(INDEX(nombres[],SMALL(IF(OFFSET(nombres[],0,0,ROWS(nombres[]),1)=LC$1490,ROW(OFFSET(nombres[],0,0,ROWS(nombres[]),1))-ROW(OFFSET(nombres[],0,0,1,1))+1,ROW(OFFSET(nombres[],ROWS(nombres[])-1,0,1,1))+1),$O1546:$O1565),3),"")</f>
        <v/>
      </c>
      <c r="LD1546" s="42" t="str">
        <f t="array" aca="1" ref="LD1546" ca="1">IFERROR(INDEX(nombres[],SMALL(IF(OFFSET(nombres[],0,0,ROWS(nombres[]),1)=LD$1490,ROW(OFFSET(nombres[],0,0,ROWS(nombres[]),1))-ROW(OFFSET(nombres[],0,0,1,1))+1,ROW(OFFSET(nombres[],ROWS(nombres[])-1,0,1,1))+1),$O1546:$O1565),3),"")</f>
        <v/>
      </c>
      <c r="LE1546" s="42" t="str">
        <f t="array" aca="1" ref="LE1546" ca="1">IFERROR(INDEX(nombres[],SMALL(IF(OFFSET(nombres[],0,0,ROWS(nombres[]),1)=LE$1490,ROW(OFFSET(nombres[],0,0,ROWS(nombres[]),1))-ROW(OFFSET(nombres[],0,0,1,1))+1,ROW(OFFSET(nombres[],ROWS(nombres[])-1,0,1,1))+1),$O1546:$O1565),3),"")</f>
        <v/>
      </c>
      <c r="LF1546" s="42" t="str">
        <f t="array" aca="1" ref="LF1546" ca="1">IFERROR(INDEX(nombres[],SMALL(IF(OFFSET(nombres[],0,0,ROWS(nombres[]),1)=LF$1490,ROW(OFFSET(nombres[],0,0,ROWS(nombres[]),1))-ROW(OFFSET(nombres[],0,0,1,1))+1,ROW(OFFSET(nombres[],ROWS(nombres[])-1,0,1,1))+1),$O1546:$O1565),3),"")</f>
        <v/>
      </c>
      <c r="LG1546" s="42" t="str">
        <f t="array" aca="1" ref="LG1546" ca="1">IFERROR(INDEX(nombres[],SMALL(IF(OFFSET(nombres[],0,0,ROWS(nombres[]),1)=LG$1490,ROW(OFFSET(nombres[],0,0,ROWS(nombres[]),1))-ROW(OFFSET(nombres[],0,0,1,1))+1,ROW(OFFSET(nombres[],ROWS(nombres[])-1,0,1,1))+1),$O1546:$O1565),3),"")</f>
        <v/>
      </c>
      <c r="LH1546" s="42" t="str">
        <f t="array" aca="1" ref="LH1546" ca="1">IFERROR(INDEX(nombres[],SMALL(IF(OFFSET(nombres[],0,0,ROWS(nombres[]),1)=LH$1490,ROW(OFFSET(nombres[],0,0,ROWS(nombres[]),1))-ROW(OFFSET(nombres[],0,0,1,1))+1,ROW(OFFSET(nombres[],ROWS(nombres[])-1,0,1,1))+1),$O1546:$O1565),3),"")</f>
        <v/>
      </c>
      <c r="LI1546" s="42" t="str">
        <f t="array" aca="1" ref="LI1546" ca="1">IFERROR(INDEX(nombres[],SMALL(IF(OFFSET(nombres[],0,0,ROWS(nombres[]),1)=LI$1490,ROW(OFFSET(nombres[],0,0,ROWS(nombres[]),1))-ROW(OFFSET(nombres[],0,0,1,1))+1,ROW(OFFSET(nombres[],ROWS(nombres[])-1,0,1,1))+1),$O1546:$O1565),3),"")</f>
        <v/>
      </c>
      <c r="LJ1546" s="42" t="str">
        <f t="array" aca="1" ref="LJ1546" ca="1">IFERROR(INDEX(nombres[],SMALL(IF(OFFSET(nombres[],0,0,ROWS(nombres[]),1)=LJ$1490,ROW(OFFSET(nombres[],0,0,ROWS(nombres[]),1))-ROW(OFFSET(nombres[],0,0,1,1))+1,ROW(OFFSET(nombres[],ROWS(nombres[])-1,0,1,1))+1),$O1546:$O1565),3),"")</f>
        <v/>
      </c>
      <c r="LK1546" s="42" t="str">
        <f t="array" aca="1" ref="LK1546" ca="1">IFERROR(INDEX(nombres[],SMALL(IF(OFFSET(nombres[],0,0,ROWS(nombres[]),1)=LK$1490,ROW(OFFSET(nombres[],0,0,ROWS(nombres[]),1))-ROW(OFFSET(nombres[],0,0,1,1))+1,ROW(OFFSET(nombres[],ROWS(nombres[])-1,0,1,1))+1),$O1546:$O1565),3),"")</f>
        <v/>
      </c>
      <c r="LL1546" s="42" t="str">
        <f t="array" aca="1" ref="LL1546" ca="1">IFERROR(INDEX(nombres[],SMALL(IF(OFFSET(nombres[],0,0,ROWS(nombres[]),1)=LL$1490,ROW(OFFSET(nombres[],0,0,ROWS(nombres[]),1))-ROW(OFFSET(nombres[],0,0,1,1))+1,ROW(OFFSET(nombres[],ROWS(nombres[])-1,0,1,1))+1),$O1546:$O1565),3),"")</f>
        <v/>
      </c>
      <c r="LM1546" s="42" t="str">
        <f t="array" aca="1" ref="LM1546" ca="1">IFERROR(INDEX(nombres[],SMALL(IF(OFFSET(nombres[],0,0,ROWS(nombres[]),1)=LM$1490,ROW(OFFSET(nombres[],0,0,ROWS(nombres[]),1))-ROW(OFFSET(nombres[],0,0,1,1))+1,ROW(OFFSET(nombres[],ROWS(nombres[])-1,0,1,1))+1),$O1546:$O1565),3),"")</f>
        <v/>
      </c>
      <c r="LN1546" s="42" t="str">
        <f t="array" aca="1" ref="LN1546" ca="1">IFERROR(INDEX(nombres[],SMALL(IF(OFFSET(nombres[],0,0,ROWS(nombres[]),1)=LN$1490,ROW(OFFSET(nombres[],0,0,ROWS(nombres[]),1))-ROW(OFFSET(nombres[],0,0,1,1))+1,ROW(OFFSET(nombres[],ROWS(nombres[])-1,0,1,1))+1),$O1546:$O1565),3),"")</f>
        <v/>
      </c>
      <c r="LO1546" s="42" t="str">
        <f t="array" aca="1" ref="LO1546" ca="1">IFERROR(INDEX(nombres[],SMALL(IF(OFFSET(nombres[],0,0,ROWS(nombres[]),1)=LO$1490,ROW(OFFSET(nombres[],0,0,ROWS(nombres[]),1))-ROW(OFFSET(nombres[],0,0,1,1))+1,ROW(OFFSET(nombres[],ROWS(nombres[])-1,0,1,1))+1),$O1546:$O1565),3),"")</f>
        <v/>
      </c>
      <c r="LP1546" s="42" t="str">
        <f t="array" aca="1" ref="LP1546" ca="1">IFERROR(INDEX(nombres[],SMALL(IF(OFFSET(nombres[],0,0,ROWS(nombres[]),1)=LP$1490,ROW(OFFSET(nombres[],0,0,ROWS(nombres[]),1))-ROW(OFFSET(nombres[],0,0,1,1))+1,ROW(OFFSET(nombres[],ROWS(nombres[])-1,0,1,1))+1),$O1546:$O1565),3),"")</f>
        <v/>
      </c>
      <c r="LQ1546" s="42" t="str">
        <f t="array" aca="1" ref="LQ1546" ca="1">IFERROR(INDEX(nombres[],SMALL(IF(OFFSET(nombres[],0,0,ROWS(nombres[]),1)=LQ$1490,ROW(OFFSET(nombres[],0,0,ROWS(nombres[]),1))-ROW(OFFSET(nombres[],0,0,1,1))+1,ROW(OFFSET(nombres[],ROWS(nombres[])-1,0,1,1))+1),$O1546:$O1565),3),"")</f>
        <v/>
      </c>
      <c r="LR1546" s="42" t="str">
        <f t="array" aca="1" ref="LR1546" ca="1">IFERROR(INDEX(nombres[],SMALL(IF(OFFSET(nombres[],0,0,ROWS(nombres[]),1)=LR$1490,ROW(OFFSET(nombres[],0,0,ROWS(nombres[]),1))-ROW(OFFSET(nombres[],0,0,1,1))+1,ROW(OFFSET(nombres[],ROWS(nombres[])-1,0,1,1))+1),$O1546:$O1565),3),"")</f>
        <v/>
      </c>
      <c r="LS1546" s="42" t="str">
        <f t="array" aca="1" ref="LS1546" ca="1">IFERROR(INDEX(nombres[],SMALL(IF(OFFSET(nombres[],0,0,ROWS(nombres[]),1)=LS$1490,ROW(OFFSET(nombres[],0,0,ROWS(nombres[]),1))-ROW(OFFSET(nombres[],0,0,1,1))+1,ROW(OFFSET(nombres[],ROWS(nombres[])-1,0,1,1))+1),$O1546:$O1565),3),"")</f>
        <v/>
      </c>
      <c r="LT1546" s="42" t="str">
        <f t="array" aca="1" ref="LT1546" ca="1">IFERROR(INDEX(nombres[],SMALL(IF(OFFSET(nombres[],0,0,ROWS(nombres[]),1)=LT$1490,ROW(OFFSET(nombres[],0,0,ROWS(nombres[]),1))-ROW(OFFSET(nombres[],0,0,1,1))+1,ROW(OFFSET(nombres[],ROWS(nombres[])-1,0,1,1))+1),$O1546:$O1565),3),"")</f>
        <v/>
      </c>
      <c r="LU1546" s="42" t="str">
        <f t="array" aca="1" ref="LU1546" ca="1">IFERROR(INDEX(nombres[],SMALL(IF(OFFSET(nombres[],0,0,ROWS(nombres[]),1)=LU$1490,ROW(OFFSET(nombres[],0,0,ROWS(nombres[]),1))-ROW(OFFSET(nombres[],0,0,1,1))+1,ROW(OFFSET(nombres[],ROWS(nombres[])-1,0,1,1))+1),$O1546:$O1565),3),"")</f>
        <v/>
      </c>
      <c r="LV1546" s="42" t="str">
        <f t="array" aca="1" ref="LV1546" ca="1">IFERROR(INDEX(nombres[],SMALL(IF(OFFSET(nombres[],0,0,ROWS(nombres[]),1)=LV$1490,ROW(OFFSET(nombres[],0,0,ROWS(nombres[]),1))-ROW(OFFSET(nombres[],0,0,1,1))+1,ROW(OFFSET(nombres[],ROWS(nombres[])-1,0,1,1))+1),$O1546:$O1565),3),"")</f>
        <v/>
      </c>
      <c r="LW1546" s="42" t="str">
        <f t="array" aca="1" ref="LW1546" ca="1">IFERROR(INDEX(nombres[],SMALL(IF(OFFSET(nombres[],0,0,ROWS(nombres[]),1)=LW$1490,ROW(OFFSET(nombres[],0,0,ROWS(nombres[]),1))-ROW(OFFSET(nombres[],0,0,1,1))+1,ROW(OFFSET(nombres[],ROWS(nombres[])-1,0,1,1))+1),$O1546:$O1565),3),"")</f>
        <v/>
      </c>
      <c r="LX1546" s="42" t="str">
        <f t="array" aca="1" ref="LX1546" ca="1">IFERROR(INDEX(nombres[],SMALL(IF(OFFSET(nombres[],0,0,ROWS(nombres[]),1)=LX$1490,ROW(OFFSET(nombres[],0,0,ROWS(nombres[]),1))-ROW(OFFSET(nombres[],0,0,1,1))+1,ROW(OFFSET(nombres[],ROWS(nombres[])-1,0,1,1))+1),$O1546:$O1565),3),"")</f>
        <v/>
      </c>
      <c r="LY1546" s="42" t="str">
        <f t="array" aca="1" ref="LY1546" ca="1">IFERROR(INDEX(nombres[],SMALL(IF(OFFSET(nombres[],0,0,ROWS(nombres[]),1)=LY$1490,ROW(OFFSET(nombres[],0,0,ROWS(nombres[]),1))-ROW(OFFSET(nombres[],0,0,1,1))+1,ROW(OFFSET(nombres[],ROWS(nombres[])-1,0,1,1))+1),$O1546:$O1565),3),"")</f>
        <v/>
      </c>
      <c r="LZ1546" s="42" t="str">
        <f t="array" aca="1" ref="LZ1546" ca="1">IFERROR(INDEX(nombres[],SMALL(IF(OFFSET(nombres[],0,0,ROWS(nombres[]),1)=LZ$1490,ROW(OFFSET(nombres[],0,0,ROWS(nombres[]),1))-ROW(OFFSET(nombres[],0,0,1,1))+1,ROW(OFFSET(nombres[],ROWS(nombres[])-1,0,1,1))+1),$O1546:$O1565),3),"")</f>
        <v/>
      </c>
      <c r="MA1546" s="42" t="str">
        <f t="array" aca="1" ref="MA1546" ca="1">IFERROR(INDEX(nombres[],SMALL(IF(OFFSET(nombres[],0,0,ROWS(nombres[]),1)=MA$1490,ROW(OFFSET(nombres[],0,0,ROWS(nombres[]),1))-ROW(OFFSET(nombres[],0,0,1,1))+1,ROW(OFFSET(nombres[],ROWS(nombres[])-1,0,1,1))+1),$O1546:$O1565),3),"")</f>
        <v/>
      </c>
      <c r="MB1546" s="42" t="str">
        <f t="array" aca="1" ref="MB1546" ca="1">IFERROR(INDEX(nombres[],SMALL(IF(OFFSET(nombres[],0,0,ROWS(nombres[]),1)=MB$1490,ROW(OFFSET(nombres[],0,0,ROWS(nombres[]),1))-ROW(OFFSET(nombres[],0,0,1,1))+1,ROW(OFFSET(nombres[],ROWS(nombres[])-1,0,1,1))+1),$O1546:$O1565),3),"")</f>
        <v/>
      </c>
      <c r="MC1546" s="42" t="str">
        <f t="array" aca="1" ref="MC1546" ca="1">IFERROR(INDEX(nombres[],SMALL(IF(OFFSET(nombres[],0,0,ROWS(nombres[]),1)=MC$1490,ROW(OFFSET(nombres[],0,0,ROWS(nombres[]),1))-ROW(OFFSET(nombres[],0,0,1,1))+1,ROW(OFFSET(nombres[],ROWS(nombres[])-1,0,1,1))+1),$O1546:$O1565),3),"")</f>
        <v/>
      </c>
      <c r="MD1546" s="42" t="str">
        <f t="array" aca="1" ref="MD1546" ca="1">IFERROR(INDEX(nombres[],SMALL(IF(OFFSET(nombres[],0,0,ROWS(nombres[]),1)=MD$1490,ROW(OFFSET(nombres[],0,0,ROWS(nombres[]),1))-ROW(OFFSET(nombres[],0,0,1,1))+1,ROW(OFFSET(nombres[],ROWS(nombres[])-1,0,1,1))+1),$O1546:$O1565),3),"")</f>
        <v/>
      </c>
      <c r="ME1546" s="42" t="str">
        <f t="array" aca="1" ref="ME1546" ca="1">IFERROR(INDEX(nombres[],SMALL(IF(OFFSET(nombres[],0,0,ROWS(nombres[]),1)=ME$1490,ROW(OFFSET(nombres[],0,0,ROWS(nombres[]),1))-ROW(OFFSET(nombres[],0,0,1,1))+1,ROW(OFFSET(nombres[],ROWS(nombres[])-1,0,1,1))+1),$O1546:$O1565),3),"")</f>
        <v/>
      </c>
      <c r="MF1546" s="42" t="str">
        <f t="array" aca="1" ref="MF1546" ca="1">IFERROR(INDEX(nombres[],SMALL(IF(OFFSET(nombres[],0,0,ROWS(nombres[]),1)=MF$1490,ROW(OFFSET(nombres[],0,0,ROWS(nombres[]),1))-ROW(OFFSET(nombres[],0,0,1,1))+1,ROW(OFFSET(nombres[],ROWS(nombres[])-1,0,1,1))+1),$O1546:$O1565),3),"")</f>
        <v/>
      </c>
      <c r="MG1546" s="42" t="str">
        <f t="array" aca="1" ref="MG1546" ca="1">IFERROR(INDEX(nombres[],SMALL(IF(OFFSET(nombres[],0,0,ROWS(nombres[]),1)=MG$1490,ROW(OFFSET(nombres[],0,0,ROWS(nombres[]),1))-ROW(OFFSET(nombres[],0,0,1,1))+1,ROW(OFFSET(nombres[],ROWS(nombres[])-1,0,1,1))+1),$O1546:$O1565),3),"")</f>
        <v/>
      </c>
      <c r="MH1546" s="42" t="str">
        <f t="array" aca="1" ref="MH1546" ca="1">IFERROR(INDEX(nombres[],SMALL(IF(OFFSET(nombres[],0,0,ROWS(nombres[]),1)=MH$1490,ROW(OFFSET(nombres[],0,0,ROWS(nombres[]),1))-ROW(OFFSET(nombres[],0,0,1,1))+1,ROW(OFFSET(nombres[],ROWS(nombres[])-1,0,1,1))+1),$O1546:$O1565),3),"")</f>
        <v/>
      </c>
      <c r="MI1546" s="42" t="str">
        <f t="array" aca="1" ref="MI1546" ca="1">IFERROR(INDEX(nombres[],SMALL(IF(OFFSET(nombres[],0,0,ROWS(nombres[]),1)=MI$1490,ROW(OFFSET(nombres[],0,0,ROWS(nombres[]),1))-ROW(OFFSET(nombres[],0,0,1,1))+1,ROW(OFFSET(nombres[],ROWS(nombres[])-1,0,1,1))+1),$O1546:$O1565),3),"")</f>
        <v/>
      </c>
      <c r="MJ1546" s="42" t="str">
        <f t="array" aca="1" ref="MJ1546" ca="1">IFERROR(INDEX(nombres[],SMALL(IF(OFFSET(nombres[],0,0,ROWS(nombres[]),1)=MJ$1490,ROW(OFFSET(nombres[],0,0,ROWS(nombres[]),1))-ROW(OFFSET(nombres[],0,0,1,1))+1,ROW(OFFSET(nombres[],ROWS(nombres[])-1,0,1,1))+1),$O1546:$O1565),3),"")</f>
        <v/>
      </c>
      <c r="MK1546" s="42" t="str">
        <f t="array" aca="1" ref="MK1546" ca="1">IFERROR(INDEX(nombres[],SMALL(IF(OFFSET(nombres[],0,0,ROWS(nombres[]),1)=MK$1490,ROW(OFFSET(nombres[],0,0,ROWS(nombres[]),1))-ROW(OFFSET(nombres[],0,0,1,1))+1,ROW(OFFSET(nombres[],ROWS(nombres[])-1,0,1,1))+1),$O1546:$O1565),3),"")</f>
        <v/>
      </c>
      <c r="ML1546" s="42" t="str">
        <f t="array" aca="1" ref="ML1546" ca="1">IFERROR(INDEX(nombres[],SMALL(IF(OFFSET(nombres[],0,0,ROWS(nombres[]),1)=ML$1490,ROW(OFFSET(nombres[],0,0,ROWS(nombres[]),1))-ROW(OFFSET(nombres[],0,0,1,1))+1,ROW(OFFSET(nombres[],ROWS(nombres[])-1,0,1,1))+1),$O1546:$O1565),3),"")</f>
        <v/>
      </c>
      <c r="MM1546" s="42" t="str">
        <f t="array" aca="1" ref="MM1546" ca="1">IFERROR(INDEX(nombres[],SMALL(IF(OFFSET(nombres[],0,0,ROWS(nombres[]),1)=MM$1490,ROW(OFFSET(nombres[],0,0,ROWS(nombres[]),1))-ROW(OFFSET(nombres[],0,0,1,1))+1,ROW(OFFSET(nombres[],ROWS(nombres[])-1,0,1,1))+1),$O1546:$O1565),3),"")</f>
        <v/>
      </c>
      <c r="MN1546" s="42" t="str">
        <f t="array" aca="1" ref="MN1546" ca="1">IFERROR(INDEX(nombres[],SMALL(IF(OFFSET(nombres[],0,0,ROWS(nombres[]),1)=MN$1490,ROW(OFFSET(nombres[],0,0,ROWS(nombres[]),1))-ROW(OFFSET(nombres[],0,0,1,1))+1,ROW(OFFSET(nombres[],ROWS(nombres[])-1,0,1,1))+1),$O1546:$O1565),3),"")</f>
        <v/>
      </c>
      <c r="MO1546" s="42" t="str">
        <f t="array" aca="1" ref="MO1546" ca="1">IFERROR(INDEX(nombres[],SMALL(IF(OFFSET(nombres[],0,0,ROWS(nombres[]),1)=MO$1490,ROW(OFFSET(nombres[],0,0,ROWS(nombres[]),1))-ROW(OFFSET(nombres[],0,0,1,1))+1,ROW(OFFSET(nombres[],ROWS(nombres[])-1,0,1,1))+1),$O1546:$O1565),3),"")</f>
        <v/>
      </c>
      <c r="MP1546" s="42" t="str">
        <f t="array" aca="1" ref="MP1546" ca="1">IFERROR(INDEX(nombres[],SMALL(IF(OFFSET(nombres[],0,0,ROWS(nombres[]),1)=MP$1490,ROW(OFFSET(nombres[],0,0,ROWS(nombres[]),1))-ROW(OFFSET(nombres[],0,0,1,1))+1,ROW(OFFSET(nombres[],ROWS(nombres[])-1,0,1,1))+1),$O1546:$O1565),3),"")</f>
        <v/>
      </c>
      <c r="MQ1546" s="42" t="str">
        <f t="array" aca="1" ref="MQ1546" ca="1">IFERROR(INDEX(nombres[],SMALL(IF(OFFSET(nombres[],0,0,ROWS(nombres[]),1)=MQ$1490,ROW(OFFSET(nombres[],0,0,ROWS(nombres[]),1))-ROW(OFFSET(nombres[],0,0,1,1))+1,ROW(OFFSET(nombres[],ROWS(nombres[])-1,0,1,1))+1),$O1546:$O1565),3),"")</f>
        <v/>
      </c>
      <c r="MR1546" s="42" t="str">
        <f t="array" aca="1" ref="MR1546" ca="1">IFERROR(INDEX(nombres[],SMALL(IF(OFFSET(nombres[],0,0,ROWS(nombres[]),1)=MR$1490,ROW(OFFSET(nombres[],0,0,ROWS(nombres[]),1))-ROW(OFFSET(nombres[],0,0,1,1))+1,ROW(OFFSET(nombres[],ROWS(nombres[])-1,0,1,1))+1),$O1546:$O1565),3),"")</f>
        <v/>
      </c>
      <c r="MS1546" s="42" t="str">
        <f t="array" aca="1" ref="MS1546" ca="1">IFERROR(INDEX(nombres[],SMALL(IF(OFFSET(nombres[],0,0,ROWS(nombres[]),1)=MS$1490,ROW(OFFSET(nombres[],0,0,ROWS(nombres[]),1))-ROW(OFFSET(nombres[],0,0,1,1))+1,ROW(OFFSET(nombres[],ROWS(nombres[])-1,0,1,1))+1),$O1546:$O1565),3),"")</f>
        <v/>
      </c>
      <c r="MT1546" s="42" t="str">
        <f t="array" aca="1" ref="MT1546" ca="1">IFERROR(INDEX(nombres[],SMALL(IF(OFFSET(nombres[],0,0,ROWS(nombres[]),1)=MT$1490,ROW(OFFSET(nombres[],0,0,ROWS(nombres[]),1))-ROW(OFFSET(nombres[],0,0,1,1))+1,ROW(OFFSET(nombres[],ROWS(nombres[])-1,0,1,1))+1),$O1546:$O1565),3),"")</f>
        <v/>
      </c>
      <c r="MU1546" s="42" t="str">
        <f t="array" aca="1" ref="MU1546" ca="1">IFERROR(INDEX(nombres[],SMALL(IF(OFFSET(nombres[],0,0,ROWS(nombres[]),1)=MU$1490,ROW(OFFSET(nombres[],0,0,ROWS(nombres[]),1))-ROW(OFFSET(nombres[],0,0,1,1))+1,ROW(OFFSET(nombres[],ROWS(nombres[])-1,0,1,1))+1),$O1546:$O1565),3),"")</f>
        <v/>
      </c>
      <c r="MV1546" s="42" t="str">
        <f t="array" aca="1" ref="MV1546" ca="1">IFERROR(INDEX(nombres[],SMALL(IF(OFFSET(nombres[],0,0,ROWS(nombres[]),1)=MV$1490,ROW(OFFSET(nombres[],0,0,ROWS(nombres[]),1))-ROW(OFFSET(nombres[],0,0,1,1))+1,ROW(OFFSET(nombres[],ROWS(nombres[])-1,0,1,1))+1),$O1546:$O1565),3),"")</f>
        <v/>
      </c>
      <c r="MW1546" s="42" t="str">
        <f t="array" aca="1" ref="MW1546" ca="1">IFERROR(INDEX(nombres[],SMALL(IF(OFFSET(nombres[],0,0,ROWS(nombres[]),1)=MW$1490,ROW(OFFSET(nombres[],0,0,ROWS(nombres[]),1))-ROW(OFFSET(nombres[],0,0,1,1))+1,ROW(OFFSET(nombres[],ROWS(nombres[])-1,0,1,1))+1),$O1546:$O1565),3),"")</f>
        <v/>
      </c>
      <c r="MX1546" s="42" t="str">
        <f t="array" aca="1" ref="MX1546" ca="1">IFERROR(INDEX(nombres[],SMALL(IF(OFFSET(nombres[],0,0,ROWS(nombres[]),1)=MX$1490,ROW(OFFSET(nombres[],0,0,ROWS(nombres[]),1))-ROW(OFFSET(nombres[],0,0,1,1))+1,ROW(OFFSET(nombres[],ROWS(nombres[])-1,0,1,1))+1),$O1546:$O1565),3),"")</f>
        <v/>
      </c>
      <c r="MY1546" s="42" t="str">
        <f t="array" aca="1" ref="MY1546" ca="1">IFERROR(INDEX(nombres[],SMALL(IF(OFFSET(nombres[],0,0,ROWS(nombres[]),1)=MY$1490,ROW(OFFSET(nombres[],0,0,ROWS(nombres[]),1))-ROW(OFFSET(nombres[],0,0,1,1))+1,ROW(OFFSET(nombres[],ROWS(nombres[])-1,0,1,1))+1),$O1546:$O1565),3),"")</f>
        <v/>
      </c>
      <c r="MZ1546" s="42" t="str">
        <f t="array" aca="1" ref="MZ1546" ca="1">IFERROR(INDEX(nombres[],SMALL(IF(OFFSET(nombres[],0,0,ROWS(nombres[]),1)=MZ$1490,ROW(OFFSET(nombres[],0,0,ROWS(nombres[]),1))-ROW(OFFSET(nombres[],0,0,1,1))+1,ROW(OFFSET(nombres[],ROWS(nombres[])-1,0,1,1))+1),$O1546:$O1565),3),"")</f>
        <v/>
      </c>
      <c r="NA1546" s="42" t="str">
        <f t="array" aca="1" ref="NA1546" ca="1">IFERROR(INDEX(nombres[],SMALL(IF(OFFSET(nombres[],0,0,ROWS(nombres[]),1)=NA$1490,ROW(OFFSET(nombres[],0,0,ROWS(nombres[]),1))-ROW(OFFSET(nombres[],0,0,1,1))+1,ROW(OFFSET(nombres[],ROWS(nombres[])-1,0,1,1))+1),$O1546:$O1565),3),"")</f>
        <v/>
      </c>
      <c r="NB1546" s="42" t="str">
        <f t="array" aca="1" ref="NB1546" ca="1">IFERROR(INDEX(nombres[],SMALL(IF(OFFSET(nombres[],0,0,ROWS(nombres[]),1)=NB$1490,ROW(OFFSET(nombres[],0,0,ROWS(nombres[]),1))-ROW(OFFSET(nombres[],0,0,1,1))+1,ROW(OFFSET(nombres[],ROWS(nombres[])-1,0,1,1))+1),$O1546:$O1565),3),"")</f>
        <v/>
      </c>
      <c r="NC1546" s="42" t="str">
        <f t="array" aca="1" ref="NC1546" ca="1">IFERROR(INDEX(nombres[],SMALL(IF(OFFSET(nombres[],0,0,ROWS(nombres[]),1)=NC$1490,ROW(OFFSET(nombres[],0,0,ROWS(nombres[]),1))-ROW(OFFSET(nombres[],0,0,1,1))+1,ROW(OFFSET(nombres[],ROWS(nombres[])-1,0,1,1))+1),$O1546:$O1565),3),"")</f>
        <v/>
      </c>
      <c r="ND1546" s="42" t="str">
        <f t="array" aca="1" ref="ND1546" ca="1">IFERROR(INDEX(nombres[],SMALL(IF(OFFSET(nombres[],0,0,ROWS(nombres[]),1)=ND$1490,ROW(OFFSET(nombres[],0,0,ROWS(nombres[]),1))-ROW(OFFSET(nombres[],0,0,1,1))+1,ROW(OFFSET(nombres[],ROWS(nombres[])-1,0,1,1))+1),$O1546:$O1565),3),"")</f>
        <v/>
      </c>
      <c r="NE1546" s="42" t="str">
        <f t="array" aca="1" ref="NE1546" ca="1">IFERROR(INDEX(nombres[],SMALL(IF(OFFSET(nombres[],0,0,ROWS(nombres[]),1)=NE$1490,ROW(OFFSET(nombres[],0,0,ROWS(nombres[]),1))-ROW(OFFSET(nombres[],0,0,1,1))+1,ROW(OFFSET(nombres[],ROWS(nombres[])-1,0,1,1))+1),$O1546:$O1565),3),"")</f>
        <v/>
      </c>
      <c r="NF1546" s="42" t="str">
        <f t="array" aca="1" ref="NF1546" ca="1">IFERROR(INDEX(nombres[],SMALL(IF(OFFSET(nombres[],0,0,ROWS(nombres[]),1)=NF$1490,ROW(OFFSET(nombres[],0,0,ROWS(nombres[]),1))-ROW(OFFSET(nombres[],0,0,1,1))+1,ROW(OFFSET(nombres[],ROWS(nombres[])-1,0,1,1))+1),$O1546:$O1565),3),"")</f>
        <v/>
      </c>
      <c r="NG1546" s="42" t="str">
        <f t="array" aca="1" ref="NG1546" ca="1">IFERROR(INDEX(nombres[],SMALL(IF(OFFSET(nombres[],0,0,ROWS(nombres[]),1)=NG$1490,ROW(OFFSET(nombres[],0,0,ROWS(nombres[]),1))-ROW(OFFSET(nombres[],0,0,1,1))+1,ROW(OFFSET(nombres[],ROWS(nombres[])-1,0,1,1))+1),$O1546:$O1565),3),"")</f>
        <v/>
      </c>
      <c r="NH1546" s="42" t="str">
        <f t="array" aca="1" ref="NH1546" ca="1">IFERROR(INDEX(nombres[],SMALL(IF(OFFSET(nombres[],0,0,ROWS(nombres[]),1)=NH$1490,ROW(OFFSET(nombres[],0,0,ROWS(nombres[]),1))-ROW(OFFSET(nombres[],0,0,1,1))+1,ROW(OFFSET(nombres[],ROWS(nombres[])-1,0,1,1))+1),$O1546:$O1565),3),"")</f>
        <v/>
      </c>
      <c r="NI1546" s="42" t="str">
        <f t="array" aca="1" ref="NI1546" ca="1">IFERROR(INDEX(nombres[],SMALL(IF(OFFSET(nombres[],0,0,ROWS(nombres[]),1)=NI$1490,ROW(OFFSET(nombres[],0,0,ROWS(nombres[]),1))-ROW(OFFSET(nombres[],0,0,1,1))+1,ROW(OFFSET(nombres[],ROWS(nombres[])-1,0,1,1))+1),$O1546:$O1565),3),"")</f>
        <v/>
      </c>
      <c r="NJ1546" s="42" t="str">
        <f t="array" aca="1" ref="NJ1546" ca="1">IFERROR(INDEX(nombres[],SMALL(IF(OFFSET(nombres[],0,0,ROWS(nombres[]),1)=NJ$1490,ROW(OFFSET(nombres[],0,0,ROWS(nombres[]),1))-ROW(OFFSET(nombres[],0,0,1,1))+1,ROW(OFFSET(nombres[],ROWS(nombres[])-1,0,1,1))+1),$O1546:$O1565),3),"")</f>
        <v/>
      </c>
      <c r="NK1546" s="42" t="str">
        <f t="array" aca="1" ref="NK1546" ca="1">IFERROR(INDEX(nombres[],SMALL(IF(OFFSET(nombres[],0,0,ROWS(nombres[]),1)=NK$1490,ROW(OFFSET(nombres[],0,0,ROWS(nombres[]),1))-ROW(OFFSET(nombres[],0,0,1,1))+1,ROW(OFFSET(nombres[],ROWS(nombres[])-1,0,1,1))+1),$O1546:$O1565),3),"")</f>
        <v/>
      </c>
      <c r="NL1546" s="42" t="str">
        <f t="array" aca="1" ref="NL1546" ca="1">IFERROR(INDEX(nombres[],SMALL(IF(OFFSET(nombres[],0,0,ROWS(nombres[]),1)=NL$1490,ROW(OFFSET(nombres[],0,0,ROWS(nombres[]),1))-ROW(OFFSET(nombres[],0,0,1,1))+1,ROW(OFFSET(nombres[],ROWS(nombres[])-1,0,1,1))+1),$O1546:$O1565),3),"")</f>
        <v/>
      </c>
      <c r="NM1546" s="42" t="str">
        <f t="array" aca="1" ref="NM1546" ca="1">IFERROR(INDEX(nombres[],SMALL(IF(OFFSET(nombres[],0,0,ROWS(nombres[]),1)=NM$1490,ROW(OFFSET(nombres[],0,0,ROWS(nombres[]),1))-ROW(OFFSET(nombres[],0,0,1,1))+1,ROW(OFFSET(nombres[],ROWS(nombres[])-1,0,1,1))+1),$O1546:$O1565),3),"")</f>
        <v/>
      </c>
      <c r="NN1546" s="42" t="str">
        <f t="array" aca="1" ref="NN1546" ca="1">IFERROR(INDEX(nombres[],SMALL(IF(OFFSET(nombres[],0,0,ROWS(nombres[]),1)=NN$1490,ROW(OFFSET(nombres[],0,0,ROWS(nombres[]),1))-ROW(OFFSET(nombres[],0,0,1,1))+1,ROW(OFFSET(nombres[],ROWS(nombres[])-1,0,1,1))+1),$O1546:$O1565),3),"")</f>
        <v/>
      </c>
      <c r="NO1546" s="42" t="str">
        <f t="array" aca="1" ref="NO1546" ca="1">IFERROR(INDEX(nombres[],SMALL(IF(OFFSET(nombres[],0,0,ROWS(nombres[]),1)=NO$1490,ROW(OFFSET(nombres[],0,0,ROWS(nombres[]),1))-ROW(OFFSET(nombres[],0,0,1,1))+1,ROW(OFFSET(nombres[],ROWS(nombres[])-1,0,1,1))+1),$O1546:$O1565),3),"")</f>
        <v/>
      </c>
      <c r="NP1546" s="42" t="str">
        <f t="array" aca="1" ref="NP1546" ca="1">IFERROR(INDEX(nombres[],SMALL(IF(OFFSET(nombres[],0,0,ROWS(nombres[]),1)=NP$1490,ROW(OFFSET(nombres[],0,0,ROWS(nombres[]),1))-ROW(OFFSET(nombres[],0,0,1,1))+1,ROW(OFFSET(nombres[],ROWS(nombres[])-1,0,1,1))+1),$O1546:$O1565),3),"")</f>
        <v/>
      </c>
      <c r="NQ1546" s="42" t="str">
        <f t="array" aca="1" ref="NQ1546" ca="1">IFERROR(INDEX(nombres[],SMALL(IF(OFFSET(nombres[],0,0,ROWS(nombres[]),1)=NQ$1490,ROW(OFFSET(nombres[],0,0,ROWS(nombres[]),1))-ROW(OFFSET(nombres[],0,0,1,1))+1,ROW(OFFSET(nombres[],ROWS(nombres[])-1,0,1,1))+1),$O1546:$O1565),3),"")</f>
        <v/>
      </c>
      <c r="NR1546" s="42" t="str">
        <f t="array" aca="1" ref="NR1546" ca="1">IFERROR(INDEX(nombres[],SMALL(IF(OFFSET(nombres[],0,0,ROWS(nombres[]),1)=NR$1490,ROW(OFFSET(nombres[],0,0,ROWS(nombres[]),1))-ROW(OFFSET(nombres[],0,0,1,1))+1,ROW(OFFSET(nombres[],ROWS(nombres[])-1,0,1,1))+1),$O1546:$O1565),3),"")</f>
        <v/>
      </c>
      <c r="NS1546" s="42" t="str">
        <f t="array" aca="1" ref="NS1546" ca="1">IFERROR(INDEX(nombres[],SMALL(IF(OFFSET(nombres[],0,0,ROWS(nombres[]),1)=NS$1490,ROW(OFFSET(nombres[],0,0,ROWS(nombres[]),1))-ROW(OFFSET(nombres[],0,0,1,1))+1,ROW(OFFSET(nombres[],ROWS(nombres[])-1,0,1,1))+1),$O1546:$O1565),3),"")</f>
        <v/>
      </c>
      <c r="NT1546" s="42" t="str">
        <f t="array" aca="1" ref="NT1546" ca="1">IFERROR(INDEX(nombres[],SMALL(IF(OFFSET(nombres[],0,0,ROWS(nombres[]),1)=NT$1490,ROW(OFFSET(nombres[],0,0,ROWS(nombres[]),1))-ROW(OFFSET(nombres[],0,0,1,1))+1,ROW(OFFSET(nombres[],ROWS(nombres[])-1,0,1,1))+1),$O1546:$O1565),3),"")</f>
        <v/>
      </c>
      <c r="NU1546" s="42" t="str">
        <f t="array" aca="1" ref="NU1546" ca="1">IFERROR(INDEX(nombres[],SMALL(IF(OFFSET(nombres[],0,0,ROWS(nombres[]),1)=NU$1490,ROW(OFFSET(nombres[],0,0,ROWS(nombres[]),1))-ROW(OFFSET(nombres[],0,0,1,1))+1,ROW(OFFSET(nombres[],ROWS(nombres[])-1,0,1,1))+1),$O1546:$O1565),3),"")</f>
        <v/>
      </c>
      <c r="NV1546" s="42" t="str">
        <f t="array" aca="1" ref="NV1546" ca="1">IFERROR(INDEX(nombres[],SMALL(IF(OFFSET(nombres[],0,0,ROWS(nombres[]),1)=NV$1490,ROW(OFFSET(nombres[],0,0,ROWS(nombres[]),1))-ROW(OFFSET(nombres[],0,0,1,1))+1,ROW(OFFSET(nombres[],ROWS(nombres[])-1,0,1,1))+1),$O1546:$O1565),3),"")</f>
        <v/>
      </c>
      <c r="NW1546" s="42" t="str">
        <f t="array" aca="1" ref="NW1546" ca="1">IFERROR(INDEX(nombres[],SMALL(IF(OFFSET(nombres[],0,0,ROWS(nombres[]),1)=NW$1490,ROW(OFFSET(nombres[],0,0,ROWS(nombres[]),1))-ROW(OFFSET(nombres[],0,0,1,1))+1,ROW(OFFSET(nombres[],ROWS(nombres[])-1,0,1,1))+1),$O1546:$O1565),3),"")</f>
        <v/>
      </c>
      <c r="NX1546" s="42" t="str">
        <f t="array" aca="1" ref="NX1546" ca="1">IFERROR(INDEX(nombres[],SMALL(IF(OFFSET(nombres[],0,0,ROWS(nombres[]),1)=NX$1490,ROW(OFFSET(nombres[],0,0,ROWS(nombres[]),1))-ROW(OFFSET(nombres[],0,0,1,1))+1,ROW(OFFSET(nombres[],ROWS(nombres[])-1,0,1,1))+1),$O1546:$O1565),3),"")</f>
        <v/>
      </c>
      <c r="NY1546" s="42" t="str">
        <f t="array" aca="1" ref="NY1546" ca="1">IFERROR(INDEX(nombres[],SMALL(IF(OFFSET(nombres[],0,0,ROWS(nombres[]),1)=NY$1490,ROW(OFFSET(nombres[],0,0,ROWS(nombres[]),1))-ROW(OFFSET(nombres[],0,0,1,1))+1,ROW(OFFSET(nombres[],ROWS(nombres[])-1,0,1,1))+1),$O1546:$O1565),3),"")</f>
        <v/>
      </c>
      <c r="NZ1546" s="42" t="str">
        <f t="array" aca="1" ref="NZ1546" ca="1">IFERROR(INDEX(nombres[],SMALL(IF(OFFSET(nombres[],0,0,ROWS(nombres[]),1)=NZ$1490,ROW(OFFSET(nombres[],0,0,ROWS(nombres[]),1))-ROW(OFFSET(nombres[],0,0,1,1))+1,ROW(OFFSET(nombres[],ROWS(nombres[])-1,0,1,1))+1),$O1546:$O1565),3),"")</f>
        <v/>
      </c>
      <c r="OA1546" s="42" t="str">
        <f t="array" aca="1" ref="OA1546" ca="1">IFERROR(INDEX(nombres[],SMALL(IF(OFFSET(nombres[],0,0,ROWS(nombres[]),1)=OA$1490,ROW(OFFSET(nombres[],0,0,ROWS(nombres[]),1))-ROW(OFFSET(nombres[],0,0,1,1))+1,ROW(OFFSET(nombres[],ROWS(nombres[])-1,0,1,1))+1),$O1546:$O1565),3),"")</f>
        <v/>
      </c>
      <c r="OB1546" s="42" t="str">
        <f t="array" aca="1" ref="OB1546" ca="1">IFERROR(INDEX(nombres[],SMALL(IF(OFFSET(nombres[],0,0,ROWS(nombres[]),1)=OB$1490,ROW(OFFSET(nombres[],0,0,ROWS(nombres[]),1))-ROW(OFFSET(nombres[],0,0,1,1))+1,ROW(OFFSET(nombres[],ROWS(nombres[])-1,0,1,1))+1),$O1546:$O1565),3),"")</f>
        <v/>
      </c>
      <c r="OC1546" s="42" t="str">
        <f t="array" aca="1" ref="OC1546" ca="1">IFERROR(INDEX(nombres[],SMALL(IF(OFFSET(nombres[],0,0,ROWS(nombres[]),1)=OC$1490,ROW(OFFSET(nombres[],0,0,ROWS(nombres[]),1))-ROW(OFFSET(nombres[],0,0,1,1))+1,ROW(OFFSET(nombres[],ROWS(nombres[])-1,0,1,1))+1),$O1546:$O1565),3),"")</f>
        <v/>
      </c>
      <c r="OD1546" s="42" t="str">
        <f t="array" aca="1" ref="OD1546" ca="1">IFERROR(INDEX(nombres[],SMALL(IF(OFFSET(nombres[],0,0,ROWS(nombres[]),1)=OD$1490,ROW(OFFSET(nombres[],0,0,ROWS(nombres[]),1))-ROW(OFFSET(nombres[],0,0,1,1))+1,ROW(OFFSET(nombres[],ROWS(nombres[])-1,0,1,1))+1),$O1546:$O1565),3),"")</f>
        <v/>
      </c>
      <c r="OE1546" s="42" t="str">
        <f t="array" aca="1" ref="OE1546" ca="1">IFERROR(INDEX(nombres[],SMALL(IF(OFFSET(nombres[],0,0,ROWS(nombres[]),1)=OE$1490,ROW(OFFSET(nombres[],0,0,ROWS(nombres[]),1))-ROW(OFFSET(nombres[],0,0,1,1))+1,ROW(OFFSET(nombres[],ROWS(nombres[])-1,0,1,1))+1),$O1546:$O1565),3),"")</f>
        <v/>
      </c>
      <c r="OF1546" s="42" t="str">
        <f t="array" aca="1" ref="OF1546" ca="1">IFERROR(INDEX(nombres[],SMALL(IF(OFFSET(nombres[],0,0,ROWS(nombres[]),1)=OF$1490,ROW(OFFSET(nombres[],0,0,ROWS(nombres[]),1))-ROW(OFFSET(nombres[],0,0,1,1))+1,ROW(OFFSET(nombres[],ROWS(nombres[])-1,0,1,1))+1),$O1546:$O1565),3),"")</f>
        <v/>
      </c>
      <c r="OG1546" s="42" t="str">
        <f t="array" aca="1" ref="OG1546" ca="1">IFERROR(INDEX(nombres[],SMALL(IF(OFFSET(nombres[],0,0,ROWS(nombres[]),1)=OG$1490,ROW(OFFSET(nombres[],0,0,ROWS(nombres[]),1))-ROW(OFFSET(nombres[],0,0,1,1))+1,ROW(OFFSET(nombres[],ROWS(nombres[])-1,0,1,1))+1),$O1546:$O1565),3),"")</f>
        <v/>
      </c>
      <c r="OH1546" s="42" t="str">
        <f t="array" aca="1" ref="OH1546" ca="1">IFERROR(INDEX(nombres[],SMALL(IF(OFFSET(nombres[],0,0,ROWS(nombres[]),1)=OH$1490,ROW(OFFSET(nombres[],0,0,ROWS(nombres[]),1))-ROW(OFFSET(nombres[],0,0,1,1))+1,ROW(OFFSET(nombres[],ROWS(nombres[])-1,0,1,1))+1),$O1546:$O1565),3),"")</f>
        <v/>
      </c>
      <c r="OI1546" s="42" t="str">
        <f t="array" aca="1" ref="OI1546" ca="1">IFERROR(INDEX(nombres[],SMALL(IF(OFFSET(nombres[],0,0,ROWS(nombres[]),1)=OI$1490,ROW(OFFSET(nombres[],0,0,ROWS(nombres[]),1))-ROW(OFFSET(nombres[],0,0,1,1))+1,ROW(OFFSET(nombres[],ROWS(nombres[])-1,0,1,1))+1),$O1546:$O1565),3),"")</f>
        <v/>
      </c>
      <c r="OJ1546" s="42" t="str">
        <f t="array" aca="1" ref="OJ1546" ca="1">IFERROR(INDEX(nombres[],SMALL(IF(OFFSET(nombres[],0,0,ROWS(nombres[]),1)=OJ$1490,ROW(OFFSET(nombres[],0,0,ROWS(nombres[]),1))-ROW(OFFSET(nombres[],0,0,1,1))+1,ROW(OFFSET(nombres[],ROWS(nombres[])-1,0,1,1))+1),$O1546:$O1565),3),"")</f>
        <v/>
      </c>
      <c r="OK1546" s="42" t="str">
        <f t="array" aca="1" ref="OK1546" ca="1">IFERROR(INDEX(nombres[],SMALL(IF(OFFSET(nombres[],0,0,ROWS(nombres[]),1)=OK$1490,ROW(OFFSET(nombres[],0,0,ROWS(nombres[]),1))-ROW(OFFSET(nombres[],0,0,1,1))+1,ROW(OFFSET(nombres[],ROWS(nombres[])-1,0,1,1))+1),$O1546:$O1565),3),"")</f>
        <v/>
      </c>
      <c r="OL1546" s="42" t="str">
        <f t="array" aca="1" ref="OL1546" ca="1">IFERROR(INDEX(nombres[],SMALL(IF(OFFSET(nombres[],0,0,ROWS(nombres[]),1)=OL$1490,ROW(OFFSET(nombres[],0,0,ROWS(nombres[]),1))-ROW(OFFSET(nombres[],0,0,1,1))+1,ROW(OFFSET(nombres[],ROWS(nombres[])-1,0,1,1))+1),$O1546:$O1565),3),"")</f>
        <v/>
      </c>
      <c r="OM1546" s="42" t="str">
        <f t="array" aca="1" ref="OM1546" ca="1">IFERROR(INDEX(nombres[],SMALL(IF(OFFSET(nombres[],0,0,ROWS(nombres[]),1)=OM$1490,ROW(OFFSET(nombres[],0,0,ROWS(nombres[]),1))-ROW(OFFSET(nombres[],0,0,1,1))+1,ROW(OFFSET(nombres[],ROWS(nombres[])-1,0,1,1))+1),$O1546:$O1565),3),"")</f>
        <v/>
      </c>
      <c r="ON1546" s="42" t="str">
        <f t="array" aca="1" ref="ON1546" ca="1">IFERROR(INDEX(nombres[],SMALL(IF(OFFSET(nombres[],0,0,ROWS(nombres[]),1)=ON$1490,ROW(OFFSET(nombres[],0,0,ROWS(nombres[]),1))-ROW(OFFSET(nombres[],0,0,1,1))+1,ROW(OFFSET(nombres[],ROWS(nombres[])-1,0,1,1))+1),$O1546:$O1565),3),"")</f>
        <v/>
      </c>
      <c r="OO1546" s="42" t="str">
        <f t="array" aca="1" ref="OO1546" ca="1">IFERROR(INDEX(nombres[],SMALL(IF(OFFSET(nombres[],0,0,ROWS(nombres[]),1)=OO$1490,ROW(OFFSET(nombres[],0,0,ROWS(nombres[]),1))-ROW(OFFSET(nombres[],0,0,1,1))+1,ROW(OFFSET(nombres[],ROWS(nombres[])-1,0,1,1))+1),$O1546:$O1565),3),"")</f>
        <v/>
      </c>
      <c r="OP1546" s="42" t="str">
        <f t="array" aca="1" ref="OP1546" ca="1">IFERROR(INDEX(nombres[],SMALL(IF(OFFSET(nombres[],0,0,ROWS(nombres[]),1)=OP$1490,ROW(OFFSET(nombres[],0,0,ROWS(nombres[]),1))-ROW(OFFSET(nombres[],0,0,1,1))+1,ROW(OFFSET(nombres[],ROWS(nombres[])-1,0,1,1))+1),$O1546:$O1565),3),"")</f>
        <v/>
      </c>
      <c r="OQ1546" s="42" t="str">
        <f t="array" aca="1" ref="OQ1546" ca="1">IFERROR(INDEX(nombres[],SMALL(IF(OFFSET(nombres[],0,0,ROWS(nombres[]),1)=OQ$1490,ROW(OFFSET(nombres[],0,0,ROWS(nombres[]),1))-ROW(OFFSET(nombres[],0,0,1,1))+1,ROW(OFFSET(nombres[],ROWS(nombres[])-1,0,1,1))+1),$O1546:$O1565),3),"")</f>
        <v/>
      </c>
      <c r="OR1546" s="42" t="str">
        <f t="array" aca="1" ref="OR1546" ca="1">IFERROR(INDEX(nombres[],SMALL(IF(OFFSET(nombres[],0,0,ROWS(nombres[]),1)=OR$1490,ROW(OFFSET(nombres[],0,0,ROWS(nombres[]),1))-ROW(OFFSET(nombres[],0,0,1,1))+1,ROW(OFFSET(nombres[],ROWS(nombres[])-1,0,1,1))+1),$O1546:$O1565),3),"")</f>
        <v/>
      </c>
      <c r="OS1546" s="42" t="str">
        <f t="array" aca="1" ref="OS1546" ca="1">IFERROR(INDEX(nombres[],SMALL(IF(OFFSET(nombres[],0,0,ROWS(nombres[]),1)=OS$1490,ROW(OFFSET(nombres[],0,0,ROWS(nombres[]),1))-ROW(OFFSET(nombres[],0,0,1,1))+1,ROW(OFFSET(nombres[],ROWS(nombres[])-1,0,1,1))+1),$O1546:$O1565),3),"")</f>
        <v/>
      </c>
      <c r="OT1546" s="42" t="str">
        <f t="array" aca="1" ref="OT1546" ca="1">IFERROR(INDEX(nombres[],SMALL(IF(OFFSET(nombres[],0,0,ROWS(nombres[]),1)=OT$1490,ROW(OFFSET(nombres[],0,0,ROWS(nombres[]),1))-ROW(OFFSET(nombres[],0,0,1,1))+1,ROW(OFFSET(nombres[],ROWS(nombres[])-1,0,1,1))+1),$O1546:$O1565),3),"")</f>
        <v/>
      </c>
      <c r="OU1546" s="42" t="str">
        <f t="array" aca="1" ref="OU1546" ca="1">IFERROR(INDEX(nombres[],SMALL(IF(OFFSET(nombres[],0,0,ROWS(nombres[]),1)=OU$1490,ROW(OFFSET(nombres[],0,0,ROWS(nombres[]),1))-ROW(OFFSET(nombres[],0,0,1,1))+1,ROW(OFFSET(nombres[],ROWS(nombres[])-1,0,1,1))+1),$O1546:$O1565),3),"")</f>
        <v/>
      </c>
      <c r="OV1546" s="42" t="str">
        <f t="array" aca="1" ref="OV1546" ca="1">IFERROR(INDEX(nombres[],SMALL(IF(OFFSET(nombres[],0,0,ROWS(nombres[]),1)=OV$1490,ROW(OFFSET(nombres[],0,0,ROWS(nombres[]),1))-ROW(OFFSET(nombres[],0,0,1,1))+1,ROW(OFFSET(nombres[],ROWS(nombres[])-1,0,1,1))+1),$O1546:$O1565),3),"")</f>
        <v/>
      </c>
      <c r="OW1546" s="42" t="str">
        <f t="array" aca="1" ref="OW1546" ca="1">IFERROR(INDEX(nombres[],SMALL(IF(OFFSET(nombres[],0,0,ROWS(nombres[]),1)=OW$1490,ROW(OFFSET(nombres[],0,0,ROWS(nombres[]),1))-ROW(OFFSET(nombres[],0,0,1,1))+1,ROW(OFFSET(nombres[],ROWS(nombres[])-1,0,1,1))+1),$O1546:$O1565),3),"")</f>
        <v/>
      </c>
      <c r="OX1546" s="42" t="str">
        <f t="array" aca="1" ref="OX1546" ca="1">IFERROR(INDEX(nombres[],SMALL(IF(OFFSET(nombres[],0,0,ROWS(nombres[]),1)=OX$1490,ROW(OFFSET(nombres[],0,0,ROWS(nombres[]),1))-ROW(OFFSET(nombres[],0,0,1,1))+1,ROW(OFFSET(nombres[],ROWS(nombres[])-1,0,1,1))+1),$O1546:$O1565),3),"")</f>
        <v/>
      </c>
      <c r="OY1546" s="42" t="str">
        <f t="array" aca="1" ref="OY1546" ca="1">IFERROR(INDEX(nombres[],SMALL(IF(OFFSET(nombres[],0,0,ROWS(nombres[]),1)=OY$1490,ROW(OFFSET(nombres[],0,0,ROWS(nombres[]),1))-ROW(OFFSET(nombres[],0,0,1,1))+1,ROW(OFFSET(nombres[],ROWS(nombres[])-1,0,1,1))+1),$O1546:$O1565),3),"")</f>
        <v/>
      </c>
      <c r="OZ1546" s="42" t="str">
        <f t="array" aca="1" ref="OZ1546" ca="1">IFERROR(INDEX(nombres[],SMALL(IF(OFFSET(nombres[],0,0,ROWS(nombres[]),1)=OZ$1490,ROW(OFFSET(nombres[],0,0,ROWS(nombres[]),1))-ROW(OFFSET(nombres[],0,0,1,1))+1,ROW(OFFSET(nombres[],ROWS(nombres[])-1,0,1,1))+1),$O1546:$O1565),3),"")</f>
        <v/>
      </c>
      <c r="PA1546" s="42" t="str">
        <f t="array" aca="1" ref="PA1546" ca="1">IFERROR(INDEX(nombres[],SMALL(IF(OFFSET(nombres[],0,0,ROWS(nombres[]),1)=PA$1490,ROW(OFFSET(nombres[],0,0,ROWS(nombres[]),1))-ROW(OFFSET(nombres[],0,0,1,1))+1,ROW(OFFSET(nombres[],ROWS(nombres[])-1,0,1,1))+1),$O1546:$O1565),3),"")</f>
        <v/>
      </c>
      <c r="PB1546" s="42" t="str">
        <f t="array" aca="1" ref="PB1546" ca="1">IFERROR(INDEX(nombres[],SMALL(IF(OFFSET(nombres[],0,0,ROWS(nombres[]),1)=PB$1490,ROW(OFFSET(nombres[],0,0,ROWS(nombres[]),1))-ROW(OFFSET(nombres[],0,0,1,1))+1,ROW(OFFSET(nombres[],ROWS(nombres[])-1,0,1,1))+1),$O1546:$O1565),3),"")</f>
        <v/>
      </c>
      <c r="PC1546" s="42" t="str">
        <f t="array" aca="1" ref="PC1546" ca="1">IFERROR(INDEX(nombres[],SMALL(IF(OFFSET(nombres[],0,0,ROWS(nombres[]),1)=PC$1490,ROW(OFFSET(nombres[],0,0,ROWS(nombres[]),1))-ROW(OFFSET(nombres[],0,0,1,1))+1,ROW(OFFSET(nombres[],ROWS(nombres[])-1,0,1,1))+1),$O1546:$O1565),3),"")</f>
        <v/>
      </c>
      <c r="PD1546" s="42" t="str">
        <f t="array" aca="1" ref="PD1546" ca="1">IFERROR(INDEX(nombres[],SMALL(IF(OFFSET(nombres[],0,0,ROWS(nombres[]),1)=PD$1490,ROW(OFFSET(nombres[],0,0,ROWS(nombres[]),1))-ROW(OFFSET(nombres[],0,0,1,1))+1,ROW(OFFSET(nombres[],ROWS(nombres[])-1,0,1,1))+1),$O1546:$O1565),3),"")</f>
        <v/>
      </c>
      <c r="PE1546" s="42" t="str">
        <f t="array" aca="1" ref="PE1546" ca="1">IFERROR(INDEX(nombres[],SMALL(IF(OFFSET(nombres[],0,0,ROWS(nombres[]),1)=PE$1490,ROW(OFFSET(nombres[],0,0,ROWS(nombres[]),1))-ROW(OFFSET(nombres[],0,0,1,1))+1,ROW(OFFSET(nombres[],ROWS(nombres[])-1,0,1,1))+1),$O1546:$O1565),3),"")</f>
        <v/>
      </c>
      <c r="PF1546" s="42" t="str">
        <f t="array" aca="1" ref="PF1546" ca="1">IFERROR(INDEX(nombres[],SMALL(IF(OFFSET(nombres[],0,0,ROWS(nombres[]),1)=PF$1490,ROW(OFFSET(nombres[],0,0,ROWS(nombres[]),1))-ROW(OFFSET(nombres[],0,0,1,1))+1,ROW(OFFSET(nombres[],ROWS(nombres[])-1,0,1,1))+1),$O1546:$O1565),3),"")</f>
        <v/>
      </c>
      <c r="PG1546" s="42" t="str">
        <f t="array" aca="1" ref="PG1546" ca="1">IFERROR(INDEX(nombres[],SMALL(IF(OFFSET(nombres[],0,0,ROWS(nombres[]),1)=PG$1490,ROW(OFFSET(nombres[],0,0,ROWS(nombres[]),1))-ROW(OFFSET(nombres[],0,0,1,1))+1,ROW(OFFSET(nombres[],ROWS(nombres[])-1,0,1,1))+1),$O1546:$O1565),3),"")</f>
        <v/>
      </c>
      <c r="PH1546" s="42" t="str">
        <f t="array" aca="1" ref="PH1546" ca="1">IFERROR(INDEX(nombres[],SMALL(IF(OFFSET(nombres[],0,0,ROWS(nombres[]),1)=PH$1490,ROW(OFFSET(nombres[],0,0,ROWS(nombres[]),1))-ROW(OFFSET(nombres[],0,0,1,1))+1,ROW(OFFSET(nombres[],ROWS(nombres[])-1,0,1,1))+1),$O1546:$O1565),3),"")</f>
        <v/>
      </c>
      <c r="PI1546" s="42" t="str">
        <f t="array" aca="1" ref="PI1546" ca="1">IFERROR(INDEX(nombres[],SMALL(IF(OFFSET(nombres[],0,0,ROWS(nombres[]),1)=PI$1490,ROW(OFFSET(nombres[],0,0,ROWS(nombres[]),1))-ROW(OFFSET(nombres[],0,0,1,1))+1,ROW(OFFSET(nombres[],ROWS(nombres[])-1,0,1,1))+1),$O1546:$O1565),3),"")</f>
        <v/>
      </c>
      <c r="PJ1546" s="42" t="str">
        <f t="array" aca="1" ref="PJ1546" ca="1">IFERROR(INDEX(nombres[],SMALL(IF(OFFSET(nombres[],0,0,ROWS(nombres[]),1)=PJ$1490,ROW(OFFSET(nombres[],0,0,ROWS(nombres[]),1))-ROW(OFFSET(nombres[],0,0,1,1))+1,ROW(OFFSET(nombres[],ROWS(nombres[])-1,0,1,1))+1),$O1546:$O1565),3),"")</f>
        <v/>
      </c>
      <c r="PK1546" s="42" t="str">
        <f t="array" aca="1" ref="PK1546" ca="1">IFERROR(INDEX(nombres[],SMALL(IF(OFFSET(nombres[],0,0,ROWS(nombres[]),1)=PK$1490,ROW(OFFSET(nombres[],0,0,ROWS(nombres[]),1))-ROW(OFFSET(nombres[],0,0,1,1))+1,ROW(OFFSET(nombres[],ROWS(nombres[])-1,0,1,1))+1),$O1546:$O1565),3),"")</f>
        <v/>
      </c>
      <c r="PL1546" s="42" t="str">
        <f t="array" aca="1" ref="PL1546" ca="1">IFERROR(INDEX(nombres[],SMALL(IF(OFFSET(nombres[],0,0,ROWS(nombres[]),1)=PL$1490,ROW(OFFSET(nombres[],0,0,ROWS(nombres[]),1))-ROW(OFFSET(nombres[],0,0,1,1))+1,ROW(OFFSET(nombres[],ROWS(nombres[])-1,0,1,1))+1),$O1546:$O1565),3),"")</f>
        <v/>
      </c>
      <c r="PM1546" s="42" t="str">
        <f t="array" aca="1" ref="PM1546" ca="1">IFERROR(INDEX(nombres[],SMALL(IF(OFFSET(nombres[],0,0,ROWS(nombres[]),1)=PM$1490,ROW(OFFSET(nombres[],0,0,ROWS(nombres[]),1))-ROW(OFFSET(nombres[],0,0,1,1))+1,ROW(OFFSET(nombres[],ROWS(nombres[])-1,0,1,1))+1),$O1546:$O1565),3),"")</f>
        <v/>
      </c>
      <c r="PN1546" s="42" t="str">
        <f t="array" aca="1" ref="PN1546" ca="1">IFERROR(INDEX(nombres[],SMALL(IF(OFFSET(nombres[],0,0,ROWS(nombres[]),1)=PN$1490,ROW(OFFSET(nombres[],0,0,ROWS(nombres[]),1))-ROW(OFFSET(nombres[],0,0,1,1))+1,ROW(OFFSET(nombres[],ROWS(nombres[])-1,0,1,1))+1),$O1546:$O1565),3),"")</f>
        <v/>
      </c>
      <c r="PO1546" s="42" t="str">
        <f t="array" aca="1" ref="PO1546" ca="1">IFERROR(INDEX(nombres[],SMALL(IF(OFFSET(nombres[],0,0,ROWS(nombres[]),1)=PO$1490,ROW(OFFSET(nombres[],0,0,ROWS(nombres[]),1))-ROW(OFFSET(nombres[],0,0,1,1))+1,ROW(OFFSET(nombres[],ROWS(nombres[])-1,0,1,1))+1),$O1546:$O1565),3),"")</f>
        <v/>
      </c>
      <c r="PP1546" s="42" t="str">
        <f t="array" aca="1" ref="PP1546" ca="1">IFERROR(INDEX(nombres[],SMALL(IF(OFFSET(nombres[],0,0,ROWS(nombres[]),1)=PP$1490,ROW(OFFSET(nombres[],0,0,ROWS(nombres[]),1))-ROW(OFFSET(nombres[],0,0,1,1))+1,ROW(OFFSET(nombres[],ROWS(nombres[])-1,0,1,1))+1),$O1546:$O1565),3),"")</f>
        <v/>
      </c>
      <c r="PQ1546" s="42" t="str">
        <f t="array" aca="1" ref="PQ1546" ca="1">IFERROR(INDEX(nombres[],SMALL(IF(OFFSET(nombres[],0,0,ROWS(nombres[]),1)=PQ$1490,ROW(OFFSET(nombres[],0,0,ROWS(nombres[]),1))-ROW(OFFSET(nombres[],0,0,1,1))+1,ROW(OFFSET(nombres[],ROWS(nombres[])-1,0,1,1))+1),$O1546:$O1565),3),"")</f>
        <v/>
      </c>
      <c r="PR1546" s="42" t="str">
        <f t="array" aca="1" ref="PR1546" ca="1">IFERROR(INDEX(nombres[],SMALL(IF(OFFSET(nombres[],0,0,ROWS(nombres[]),1)=PR$1490,ROW(OFFSET(nombres[],0,0,ROWS(nombres[]),1))-ROW(OFFSET(nombres[],0,0,1,1))+1,ROW(OFFSET(nombres[],ROWS(nombres[])-1,0,1,1))+1),$O1546:$O1565),3),"")</f>
        <v/>
      </c>
      <c r="PS1546" s="42" t="str">
        <f t="array" aca="1" ref="PS1546" ca="1">IFERROR(INDEX(nombres[],SMALL(IF(OFFSET(nombres[],0,0,ROWS(nombres[]),1)=PS$1490,ROW(OFFSET(nombres[],0,0,ROWS(nombres[]),1))-ROW(OFFSET(nombres[],0,0,1,1))+1,ROW(OFFSET(nombres[],ROWS(nombres[])-1,0,1,1))+1),$O1546:$O1565),3),"")</f>
        <v/>
      </c>
      <c r="PT1546" s="42" t="str">
        <f t="array" aca="1" ref="PT1546" ca="1">IFERROR(INDEX(nombres[],SMALL(IF(OFFSET(nombres[],0,0,ROWS(nombres[]),1)=PT$1490,ROW(OFFSET(nombres[],0,0,ROWS(nombres[]),1))-ROW(OFFSET(nombres[],0,0,1,1))+1,ROW(OFFSET(nombres[],ROWS(nombres[])-1,0,1,1))+1),$O1546:$O1565),3),"")</f>
        <v/>
      </c>
      <c r="PU1546" s="42" t="str">
        <f t="array" aca="1" ref="PU1546" ca="1">IFERROR(INDEX(nombres[],SMALL(IF(OFFSET(nombres[],0,0,ROWS(nombres[]),1)=PU$1490,ROW(OFFSET(nombres[],0,0,ROWS(nombres[]),1))-ROW(OFFSET(nombres[],0,0,1,1))+1,ROW(OFFSET(nombres[],ROWS(nombres[])-1,0,1,1))+1),$O1546:$O1565),3),"")</f>
        <v/>
      </c>
      <c r="PV1546" s="42" t="str">
        <f t="array" aca="1" ref="PV1546" ca="1">IFERROR(INDEX(nombres[],SMALL(IF(OFFSET(nombres[],0,0,ROWS(nombres[]),1)=PV$1490,ROW(OFFSET(nombres[],0,0,ROWS(nombres[]),1))-ROW(OFFSET(nombres[],0,0,1,1))+1,ROW(OFFSET(nombres[],ROWS(nombres[])-1,0,1,1))+1),$O1546:$O1565),3),"")</f>
        <v/>
      </c>
      <c r="PW1546" s="42" t="str">
        <f t="array" aca="1" ref="PW1546" ca="1">IFERROR(INDEX(nombres[],SMALL(IF(OFFSET(nombres[],0,0,ROWS(nombres[]),1)=PW$1490,ROW(OFFSET(nombres[],0,0,ROWS(nombres[]),1))-ROW(OFFSET(nombres[],0,0,1,1))+1,ROW(OFFSET(nombres[],ROWS(nombres[])-1,0,1,1))+1),$O1546:$O1565),3),"")</f>
        <v/>
      </c>
      <c r="PX1546" s="42" t="str">
        <f t="array" aca="1" ref="PX1546" ca="1">IFERROR(INDEX(nombres[],SMALL(IF(OFFSET(nombres[],0,0,ROWS(nombres[]),1)=PX$1490,ROW(OFFSET(nombres[],0,0,ROWS(nombres[]),1))-ROW(OFFSET(nombres[],0,0,1,1))+1,ROW(OFFSET(nombres[],ROWS(nombres[])-1,0,1,1))+1),$O1546:$O1565),3),"")</f>
        <v/>
      </c>
      <c r="PY1546" s="42" t="str">
        <f t="array" aca="1" ref="PY1546" ca="1">IFERROR(INDEX(nombres[],SMALL(IF(OFFSET(nombres[],0,0,ROWS(nombres[]),1)=PY$1490,ROW(OFFSET(nombres[],0,0,ROWS(nombres[]),1))-ROW(OFFSET(nombres[],0,0,1,1))+1,ROW(OFFSET(nombres[],ROWS(nombres[])-1,0,1,1))+1),$O1546:$O1565),3),"")</f>
        <v/>
      </c>
      <c r="PZ1546" s="42" t="str">
        <f t="array" aca="1" ref="PZ1546" ca="1">IFERROR(INDEX(nombres[],SMALL(IF(OFFSET(nombres[],0,0,ROWS(nombres[]),1)=PZ$1490,ROW(OFFSET(nombres[],0,0,ROWS(nombres[]),1))-ROW(OFFSET(nombres[],0,0,1,1))+1,ROW(OFFSET(nombres[],ROWS(nombres[])-1,0,1,1))+1),$O1546:$O1565),3),"")</f>
        <v/>
      </c>
      <c r="QA1546" s="42" t="str">
        <f t="array" aca="1" ref="QA1546" ca="1">IFERROR(INDEX(nombres[],SMALL(IF(OFFSET(nombres[],0,0,ROWS(nombres[]),1)=QA$1490,ROW(OFFSET(nombres[],0,0,ROWS(nombres[]),1))-ROW(OFFSET(nombres[],0,0,1,1))+1,ROW(OFFSET(nombres[],ROWS(nombres[])-1,0,1,1))+1),$O1546:$O1565),3),"")</f>
        <v/>
      </c>
      <c r="QB1546" s="42" t="str">
        <f t="array" aca="1" ref="QB1546" ca="1">IFERROR(INDEX(nombres[],SMALL(IF(OFFSET(nombres[],0,0,ROWS(nombres[]),1)=QB$1490,ROW(OFFSET(nombres[],0,0,ROWS(nombres[]),1))-ROW(OFFSET(nombres[],0,0,1,1))+1,ROW(OFFSET(nombres[],ROWS(nombres[])-1,0,1,1))+1),$O1546:$O1565),3),"")</f>
        <v/>
      </c>
      <c r="QC1546" s="42" t="str">
        <f t="array" aca="1" ref="QC1546" ca="1">IFERROR(INDEX(nombres[],SMALL(IF(OFFSET(nombres[],0,0,ROWS(nombres[]),1)=QC$1490,ROW(OFFSET(nombres[],0,0,ROWS(nombres[]),1))-ROW(OFFSET(nombres[],0,0,1,1))+1,ROW(OFFSET(nombres[],ROWS(nombres[])-1,0,1,1))+1),$O1546:$O1565),3),"")</f>
        <v/>
      </c>
      <c r="QD1546" s="42" t="str">
        <f t="array" aca="1" ref="QD1546" ca="1">IFERROR(INDEX(nombres[],SMALL(IF(OFFSET(nombres[],0,0,ROWS(nombres[]),1)=QD$1490,ROW(OFFSET(nombres[],0,0,ROWS(nombres[]),1))-ROW(OFFSET(nombres[],0,0,1,1))+1,ROW(OFFSET(nombres[],ROWS(nombres[])-1,0,1,1))+1),$O1546:$O1565),3),"")</f>
        <v/>
      </c>
      <c r="QE1546" s="42" t="str">
        <f t="array" aca="1" ref="QE1546" ca="1">IFERROR(INDEX(nombres[],SMALL(IF(OFFSET(nombres[],0,0,ROWS(nombres[]),1)=QE$1490,ROW(OFFSET(nombres[],0,0,ROWS(nombres[]),1))-ROW(OFFSET(nombres[],0,0,1,1))+1,ROW(OFFSET(nombres[],ROWS(nombres[])-1,0,1,1))+1),$O1546:$O1565),3),"")</f>
        <v/>
      </c>
      <c r="QF1546" s="42" t="str">
        <f t="array" aca="1" ref="QF1546" ca="1">IFERROR(INDEX(nombres[],SMALL(IF(OFFSET(nombres[],0,0,ROWS(nombres[]),1)=QF$1490,ROW(OFFSET(nombres[],0,0,ROWS(nombres[]),1))-ROW(OFFSET(nombres[],0,0,1,1))+1,ROW(OFFSET(nombres[],ROWS(nombres[])-1,0,1,1))+1),$O1546:$O1565),3),"")</f>
        <v/>
      </c>
      <c r="QG1546" s="42" t="str">
        <f t="array" aca="1" ref="QG1546" ca="1">IFERROR(INDEX(nombres[],SMALL(IF(OFFSET(nombres[],0,0,ROWS(nombres[]),1)=QG$1490,ROW(OFFSET(nombres[],0,0,ROWS(nombres[]),1))-ROW(OFFSET(nombres[],0,0,1,1))+1,ROW(OFFSET(nombres[],ROWS(nombres[])-1,0,1,1))+1),$O1546:$O1565),3),"")</f>
        <v/>
      </c>
      <c r="QH1546" s="42" t="str">
        <f t="array" aca="1" ref="QH1546" ca="1">IFERROR(INDEX(nombres[],SMALL(IF(OFFSET(nombres[],0,0,ROWS(nombres[]),1)=QH$1490,ROW(OFFSET(nombres[],0,0,ROWS(nombres[]),1))-ROW(OFFSET(nombres[],0,0,1,1))+1,ROW(OFFSET(nombres[],ROWS(nombres[])-1,0,1,1))+1),$O1546:$O1565),3),"")</f>
        <v/>
      </c>
      <c r="QI1546" s="42" t="str">
        <f t="array" aca="1" ref="QI1546" ca="1">IFERROR(INDEX(nombres[],SMALL(IF(OFFSET(nombres[],0,0,ROWS(nombres[]),1)=QI$1490,ROW(OFFSET(nombres[],0,0,ROWS(nombres[]),1))-ROW(OFFSET(nombres[],0,0,1,1))+1,ROW(OFFSET(nombres[],ROWS(nombres[])-1,0,1,1))+1),$O1546:$O1565),3),"")</f>
        <v/>
      </c>
      <c r="QJ1546" s="42" t="str">
        <f t="array" aca="1" ref="QJ1546" ca="1">IFERROR(INDEX(nombres[],SMALL(IF(OFFSET(nombres[],0,0,ROWS(nombres[]),1)=QJ$1490,ROW(OFFSET(nombres[],0,0,ROWS(nombres[]),1))-ROW(OFFSET(nombres[],0,0,1,1))+1,ROW(OFFSET(nombres[],ROWS(nombres[])-1,0,1,1))+1),$O1546:$O1565),3),"")</f>
        <v/>
      </c>
      <c r="QK1546" s="42" t="str">
        <f t="array" aca="1" ref="QK1546" ca="1">IFERROR(INDEX(nombres[],SMALL(IF(OFFSET(nombres[],0,0,ROWS(nombres[]),1)=QK$1490,ROW(OFFSET(nombres[],0,0,ROWS(nombres[]),1))-ROW(OFFSET(nombres[],0,0,1,1))+1,ROW(OFFSET(nombres[],ROWS(nombres[])-1,0,1,1))+1),$O1546:$O1565),3),"")</f>
        <v/>
      </c>
      <c r="QL1546" s="42" t="str">
        <f t="array" aca="1" ref="QL1546" ca="1">IFERROR(INDEX(nombres[],SMALL(IF(OFFSET(nombres[],0,0,ROWS(nombres[]),1)=QL$1490,ROW(OFFSET(nombres[],0,0,ROWS(nombres[]),1))-ROW(OFFSET(nombres[],0,0,1,1))+1,ROW(OFFSET(nombres[],ROWS(nombres[])-1,0,1,1))+1),$O1546:$O1565),3),"")</f>
        <v/>
      </c>
      <c r="QM1546" s="42" t="str">
        <f t="array" aca="1" ref="QM1546" ca="1">IFERROR(INDEX(nombres[],SMALL(IF(OFFSET(nombres[],0,0,ROWS(nombres[]),1)=QM$1490,ROW(OFFSET(nombres[],0,0,ROWS(nombres[]),1))-ROW(OFFSET(nombres[],0,0,1,1))+1,ROW(OFFSET(nombres[],ROWS(nombres[])-1,0,1,1))+1),$O1546:$O1565),3),"")</f>
        <v/>
      </c>
      <c r="QN1546" s="42" t="str">
        <f t="array" aca="1" ref="QN1546" ca="1">IFERROR(INDEX(nombres[],SMALL(IF(OFFSET(nombres[],0,0,ROWS(nombres[]),1)=QN$1490,ROW(OFFSET(nombres[],0,0,ROWS(nombres[]),1))-ROW(OFFSET(nombres[],0,0,1,1))+1,ROW(OFFSET(nombres[],ROWS(nombres[])-1,0,1,1))+1),$O1546:$O1565),3),"")</f>
        <v/>
      </c>
      <c r="QO1546" s="42" t="str">
        <f t="array" aca="1" ref="QO1546" ca="1">IFERROR(INDEX(nombres[],SMALL(IF(OFFSET(nombres[],0,0,ROWS(nombres[]),1)=QO$1490,ROW(OFFSET(nombres[],0,0,ROWS(nombres[]),1))-ROW(OFFSET(nombres[],0,0,1,1))+1,ROW(OFFSET(nombres[],ROWS(nombres[])-1,0,1,1))+1),$O1546:$O1565),3),"")</f>
        <v/>
      </c>
      <c r="QP1546" s="42" t="str">
        <f t="array" aca="1" ref="QP1546" ca="1">IFERROR(INDEX(nombres[],SMALL(IF(OFFSET(nombres[],0,0,ROWS(nombres[]),1)=QP$1490,ROW(OFFSET(nombres[],0,0,ROWS(nombres[]),1))-ROW(OFFSET(nombres[],0,0,1,1))+1,ROW(OFFSET(nombres[],ROWS(nombres[])-1,0,1,1))+1),$O1546:$O1565),3),"")</f>
        <v/>
      </c>
      <c r="QQ1546" s="42" t="str">
        <f t="array" aca="1" ref="QQ1546" ca="1">IFERROR(INDEX(nombres[],SMALL(IF(OFFSET(nombres[],0,0,ROWS(nombres[]),1)=QQ$1490,ROW(OFFSET(nombres[],0,0,ROWS(nombres[]),1))-ROW(OFFSET(nombres[],0,0,1,1))+1,ROW(OFFSET(nombres[],ROWS(nombres[])-1,0,1,1))+1),$O1546:$O1565),3),"")</f>
        <v/>
      </c>
      <c r="QR1546" s="42" t="str">
        <f t="array" aca="1" ref="QR1546" ca="1">IFERROR(INDEX(nombres[],SMALL(IF(OFFSET(nombres[],0,0,ROWS(nombres[]),1)=QR$1490,ROW(OFFSET(nombres[],0,0,ROWS(nombres[]),1))-ROW(OFFSET(nombres[],0,0,1,1))+1,ROW(OFFSET(nombres[],ROWS(nombres[])-1,0,1,1))+1),$O1546:$O1565),3),"")</f>
        <v/>
      </c>
      <c r="QS1546" s="42" t="str">
        <f t="array" aca="1" ref="QS1546" ca="1">IFERROR(INDEX(nombres[],SMALL(IF(OFFSET(nombres[],0,0,ROWS(nombres[]),1)=QS$1490,ROW(OFFSET(nombres[],0,0,ROWS(nombres[]),1))-ROW(OFFSET(nombres[],0,0,1,1))+1,ROW(OFFSET(nombres[],ROWS(nombres[])-1,0,1,1))+1),$O1546:$O1565),3),"")</f>
        <v/>
      </c>
      <c r="QT1546" s="42" t="str">
        <f t="array" aca="1" ref="QT1546" ca="1">IFERROR(INDEX(nombres[],SMALL(IF(OFFSET(nombres[],0,0,ROWS(nombres[]),1)=QT$1490,ROW(OFFSET(nombres[],0,0,ROWS(nombres[]),1))-ROW(OFFSET(nombres[],0,0,1,1))+1,ROW(OFFSET(nombres[],ROWS(nombres[])-1,0,1,1))+1),$O1546:$O1565),3),"")</f>
        <v/>
      </c>
      <c r="QU1546" s="42" t="str">
        <f t="array" aca="1" ref="QU1546" ca="1">IFERROR(INDEX(nombres[],SMALL(IF(OFFSET(nombres[],0,0,ROWS(nombres[]),1)=QU$1490,ROW(OFFSET(nombres[],0,0,ROWS(nombres[]),1))-ROW(OFFSET(nombres[],0,0,1,1))+1,ROW(OFFSET(nombres[],ROWS(nombres[])-1,0,1,1))+1),$O1546:$O1565),3),"")</f>
        <v/>
      </c>
      <c r="QV1546" s="42" t="str">
        <f t="array" aca="1" ref="QV1546" ca="1">IFERROR(INDEX(nombres[],SMALL(IF(OFFSET(nombres[],0,0,ROWS(nombres[]),1)=QV$1490,ROW(OFFSET(nombres[],0,0,ROWS(nombres[]),1))-ROW(OFFSET(nombres[],0,0,1,1))+1,ROW(OFFSET(nombres[],ROWS(nombres[])-1,0,1,1))+1),$O1546:$O1565),3),"")</f>
        <v/>
      </c>
      <c r="QW1546" s="42" t="str">
        <f t="array" aca="1" ref="QW1546" ca="1">IFERROR(INDEX(nombres[],SMALL(IF(OFFSET(nombres[],0,0,ROWS(nombres[]),1)=QW$1490,ROW(OFFSET(nombres[],0,0,ROWS(nombres[]),1))-ROW(OFFSET(nombres[],0,0,1,1))+1,ROW(OFFSET(nombres[],ROWS(nombres[])-1,0,1,1))+1),$O1546:$O1565),3),"")</f>
        <v/>
      </c>
      <c r="QX1546" s="42" t="str">
        <f t="array" aca="1" ref="QX1546" ca="1">IFERROR(INDEX(nombres[],SMALL(IF(OFFSET(nombres[],0,0,ROWS(nombres[]),1)=QX$1490,ROW(OFFSET(nombres[],0,0,ROWS(nombres[]),1))-ROW(OFFSET(nombres[],0,0,1,1))+1,ROW(OFFSET(nombres[],ROWS(nombres[])-1,0,1,1))+1),$O1546:$O1565),3),"")</f>
        <v/>
      </c>
      <c r="QY1546" s="42" t="str">
        <f t="array" aca="1" ref="QY1546" ca="1">IFERROR(INDEX(nombres[],SMALL(IF(OFFSET(nombres[],0,0,ROWS(nombres[]),1)=QY$1490,ROW(OFFSET(nombres[],0,0,ROWS(nombres[]),1))-ROW(OFFSET(nombres[],0,0,1,1))+1,ROW(OFFSET(nombres[],ROWS(nombres[])-1,0,1,1))+1),$O1546:$O1565),3),"")</f>
        <v/>
      </c>
      <c r="QZ1546" s="42" t="str">
        <f t="array" aca="1" ref="QZ1546" ca="1">IFERROR(INDEX(nombres[],SMALL(IF(OFFSET(nombres[],0,0,ROWS(nombres[]),1)=QZ$1490,ROW(OFFSET(nombres[],0,0,ROWS(nombres[]),1))-ROW(OFFSET(nombres[],0,0,1,1))+1,ROW(OFFSET(nombres[],ROWS(nombres[])-1,0,1,1))+1),$O1546:$O1565),3),"")</f>
        <v/>
      </c>
      <c r="RA1546" s="42" t="str">
        <f t="array" aca="1" ref="RA1546" ca="1">IFERROR(INDEX(nombres[],SMALL(IF(OFFSET(nombres[],0,0,ROWS(nombres[]),1)=RA$1490,ROW(OFFSET(nombres[],0,0,ROWS(nombres[]),1))-ROW(OFFSET(nombres[],0,0,1,1))+1,ROW(OFFSET(nombres[],ROWS(nombres[])-1,0,1,1))+1),$O1546:$O1565),3),"")</f>
        <v/>
      </c>
      <c r="RB1546" s="42" t="str">
        <f t="array" aca="1" ref="RB1546" ca="1">IFERROR(INDEX(nombres[],SMALL(IF(OFFSET(nombres[],0,0,ROWS(nombres[]),1)=RB$1490,ROW(OFFSET(nombres[],0,0,ROWS(nombres[]),1))-ROW(OFFSET(nombres[],0,0,1,1))+1,ROW(OFFSET(nombres[],ROWS(nombres[])-1,0,1,1))+1),$O1546:$O1565),3),"")</f>
        <v/>
      </c>
      <c r="RC1546" s="42" t="str">
        <f t="array" aca="1" ref="RC1546" ca="1">IFERROR(INDEX(nombres[],SMALL(IF(OFFSET(nombres[],0,0,ROWS(nombres[]),1)=RC$1490,ROW(OFFSET(nombres[],0,0,ROWS(nombres[]),1))-ROW(OFFSET(nombres[],0,0,1,1))+1,ROW(OFFSET(nombres[],ROWS(nombres[])-1,0,1,1))+1),$O1546:$O1565),3),"")</f>
        <v/>
      </c>
      <c r="RD1546" s="42" t="str">
        <f t="array" aca="1" ref="RD1546" ca="1">IFERROR(INDEX(nombres[],SMALL(IF(OFFSET(nombres[],0,0,ROWS(nombres[]),1)=RD$1490,ROW(OFFSET(nombres[],0,0,ROWS(nombres[]),1))-ROW(OFFSET(nombres[],0,0,1,1))+1,ROW(OFFSET(nombres[],ROWS(nombres[])-1,0,1,1))+1),$O1546:$O1565),3),"")</f>
        <v/>
      </c>
      <c r="RE1546" s="42" t="str">
        <f t="array" aca="1" ref="RE1546" ca="1">IFERROR(INDEX(nombres[],SMALL(IF(OFFSET(nombres[],0,0,ROWS(nombres[]),1)=RE$1490,ROW(OFFSET(nombres[],0,0,ROWS(nombres[]),1))-ROW(OFFSET(nombres[],0,0,1,1))+1,ROW(OFFSET(nombres[],ROWS(nombres[])-1,0,1,1))+1),$O1546:$O1565),3),"")</f>
        <v/>
      </c>
      <c r="RF1546" s="42" t="str">
        <f t="array" aca="1" ref="RF1546" ca="1">IFERROR(INDEX(nombres[],SMALL(IF(OFFSET(nombres[],0,0,ROWS(nombres[]),1)=RF$1490,ROW(OFFSET(nombres[],0,0,ROWS(nombres[]),1))-ROW(OFFSET(nombres[],0,0,1,1))+1,ROW(OFFSET(nombres[],ROWS(nombres[])-1,0,1,1))+1),$O1546:$O1565),3),"")</f>
        <v/>
      </c>
      <c r="RG1546" s="42" t="str">
        <f t="array" aca="1" ref="RG1546" ca="1">IFERROR(INDEX(nombres[],SMALL(IF(OFFSET(nombres[],0,0,ROWS(nombres[]),1)=RG$1490,ROW(OFFSET(nombres[],0,0,ROWS(nombres[]),1))-ROW(OFFSET(nombres[],0,0,1,1))+1,ROW(OFFSET(nombres[],ROWS(nombres[])-1,0,1,1))+1),$O1546:$O1565),3),"")</f>
        <v/>
      </c>
      <c r="RH1546" s="42" t="str">
        <f t="array" aca="1" ref="RH1546" ca="1">IFERROR(INDEX(nombres[],SMALL(IF(OFFSET(nombres[],0,0,ROWS(nombres[]),1)=RH$1490,ROW(OFFSET(nombres[],0,0,ROWS(nombres[]),1))-ROW(OFFSET(nombres[],0,0,1,1))+1,ROW(OFFSET(nombres[],ROWS(nombres[])-1,0,1,1))+1),$O1546:$O1565),3),"")</f>
        <v/>
      </c>
      <c r="RI1546" s="42" t="str">
        <f t="array" aca="1" ref="RI1546" ca="1">IFERROR(INDEX(nombres[],SMALL(IF(OFFSET(nombres[],0,0,ROWS(nombres[]),1)=RI$1490,ROW(OFFSET(nombres[],0,0,ROWS(nombres[]),1))-ROW(OFFSET(nombres[],0,0,1,1))+1,ROW(OFFSET(nombres[],ROWS(nombres[])-1,0,1,1))+1),$O1546:$O1565),3),"")</f>
        <v/>
      </c>
      <c r="RJ1546" s="42" t="str">
        <f t="array" aca="1" ref="RJ1546" ca="1">IFERROR(INDEX(nombres[],SMALL(IF(OFFSET(nombres[],0,0,ROWS(nombres[]),1)=RJ$1490,ROW(OFFSET(nombres[],0,0,ROWS(nombres[]),1))-ROW(OFFSET(nombres[],0,0,1,1))+1,ROW(OFFSET(nombres[],ROWS(nombres[])-1,0,1,1))+1),$O1546:$O1565),3),"")</f>
        <v/>
      </c>
      <c r="RK1546" s="42" t="str">
        <f t="array" aca="1" ref="RK1546" ca="1">IFERROR(INDEX(nombres[],SMALL(IF(OFFSET(nombres[],0,0,ROWS(nombres[]),1)=RK$1490,ROW(OFFSET(nombres[],0,0,ROWS(nombres[]),1))-ROW(OFFSET(nombres[],0,0,1,1))+1,ROW(OFFSET(nombres[],ROWS(nombres[])-1,0,1,1))+1),$O1546:$O1565),3),"")</f>
        <v/>
      </c>
      <c r="RL1546" s="42" t="str">
        <f t="array" aca="1" ref="RL1546" ca="1">IFERROR(INDEX(nombres[],SMALL(IF(OFFSET(nombres[],0,0,ROWS(nombres[]),1)=RL$1490,ROW(OFFSET(nombres[],0,0,ROWS(nombres[]),1))-ROW(OFFSET(nombres[],0,0,1,1))+1,ROW(OFFSET(nombres[],ROWS(nombres[])-1,0,1,1))+1),$O1546:$O1565),3),"")</f>
        <v/>
      </c>
      <c r="RM1546" s="42" t="str">
        <f t="array" aca="1" ref="RM1546" ca="1">IFERROR(INDEX(nombres[],SMALL(IF(OFFSET(nombres[],0,0,ROWS(nombres[]),1)=RM$1490,ROW(OFFSET(nombres[],0,0,ROWS(nombres[]),1))-ROW(OFFSET(nombres[],0,0,1,1))+1,ROW(OFFSET(nombres[],ROWS(nombres[])-1,0,1,1))+1),$O1546:$O1565),3),"")</f>
        <v/>
      </c>
      <c r="RN1546" s="42" t="str">
        <f t="array" aca="1" ref="RN1546" ca="1">IFERROR(INDEX(nombres[],SMALL(IF(OFFSET(nombres[],0,0,ROWS(nombres[]),1)=RN$1490,ROW(OFFSET(nombres[],0,0,ROWS(nombres[]),1))-ROW(OFFSET(nombres[],0,0,1,1))+1,ROW(OFFSET(nombres[],ROWS(nombres[])-1,0,1,1))+1),$O1546:$O1565),3),"")</f>
        <v/>
      </c>
      <c r="RO1546" s="42" t="str">
        <f t="array" aca="1" ref="RO1546" ca="1">IFERROR(INDEX(nombres[],SMALL(IF(OFFSET(nombres[],0,0,ROWS(nombres[]),1)=RO$1490,ROW(OFFSET(nombres[],0,0,ROWS(nombres[]),1))-ROW(OFFSET(nombres[],0,0,1,1))+1,ROW(OFFSET(nombres[],ROWS(nombres[])-1,0,1,1))+1),$O1546:$O1565),3),"")</f>
        <v/>
      </c>
      <c r="RP1546" s="42" t="str">
        <f t="array" aca="1" ref="RP1546" ca="1">IFERROR(INDEX(nombres[],SMALL(IF(OFFSET(nombres[],0,0,ROWS(nombres[]),1)=RP$1490,ROW(OFFSET(nombres[],0,0,ROWS(nombres[]),1))-ROW(OFFSET(nombres[],0,0,1,1))+1,ROW(OFFSET(nombres[],ROWS(nombres[])-1,0,1,1))+1),$O1546:$O1565),3),"")</f>
        <v/>
      </c>
      <c r="RQ1546" s="42" t="str">
        <f t="array" aca="1" ref="RQ1546" ca="1">IFERROR(INDEX(nombres[],SMALL(IF(OFFSET(nombres[],0,0,ROWS(nombres[]),1)=RQ$1490,ROW(OFFSET(nombres[],0,0,ROWS(nombres[]),1))-ROW(OFFSET(nombres[],0,0,1,1))+1,ROW(OFFSET(nombres[],ROWS(nombres[])-1,0,1,1))+1),$O1546:$O1565),3),"")</f>
        <v/>
      </c>
      <c r="RR1546" s="42" t="str">
        <f t="array" aca="1" ref="RR1546" ca="1">IFERROR(INDEX(nombres[],SMALL(IF(OFFSET(nombres[],0,0,ROWS(nombres[]),1)=RR$1490,ROW(OFFSET(nombres[],0,0,ROWS(nombres[]),1))-ROW(OFFSET(nombres[],0,0,1,1))+1,ROW(OFFSET(nombres[],ROWS(nombres[])-1,0,1,1))+1),$O1546:$O1565),3),"")</f>
        <v/>
      </c>
      <c r="RS1546" s="42" t="str">
        <f t="array" aca="1" ref="RS1546" ca="1">IFERROR(INDEX(nombres[],SMALL(IF(OFFSET(nombres[],0,0,ROWS(nombres[]),1)=RS$1490,ROW(OFFSET(nombres[],0,0,ROWS(nombres[]),1))-ROW(OFFSET(nombres[],0,0,1,1))+1,ROW(OFFSET(nombres[],ROWS(nombres[])-1,0,1,1))+1),$O1546:$O1565),3),"")</f>
        <v/>
      </c>
      <c r="RT1546" s="42" t="str">
        <f t="array" aca="1" ref="RT1546" ca="1">IFERROR(INDEX(nombres[],SMALL(IF(OFFSET(nombres[],0,0,ROWS(nombres[]),1)=RT$1490,ROW(OFFSET(nombres[],0,0,ROWS(nombres[]),1))-ROW(OFFSET(nombres[],0,0,1,1))+1,ROW(OFFSET(nombres[],ROWS(nombres[])-1,0,1,1))+1),$O1546:$O1565),3),"")</f>
        <v/>
      </c>
      <c r="RU1546" s="42" t="str">
        <f t="array" aca="1" ref="RU1546" ca="1">IFERROR(INDEX(nombres[],SMALL(IF(OFFSET(nombres[],0,0,ROWS(nombres[]),1)=RU$1490,ROW(OFFSET(nombres[],0,0,ROWS(nombres[]),1))-ROW(OFFSET(nombres[],0,0,1,1))+1,ROW(OFFSET(nombres[],ROWS(nombres[])-1,0,1,1))+1),$O1546:$O1565),3),"")</f>
        <v/>
      </c>
      <c r="RV1546" s="42" t="str">
        <f t="array" aca="1" ref="RV1546" ca="1">IFERROR(INDEX(nombres[],SMALL(IF(OFFSET(nombres[],0,0,ROWS(nombres[]),1)=RV$1490,ROW(OFFSET(nombres[],0,0,ROWS(nombres[]),1))-ROW(OFFSET(nombres[],0,0,1,1))+1,ROW(OFFSET(nombres[],ROWS(nombres[])-1,0,1,1))+1),$O1546:$O1565),3),"")</f>
        <v/>
      </c>
      <c r="RW1546" s="42" t="str">
        <f t="array" aca="1" ref="RW1546" ca="1">IFERROR(INDEX(nombres[],SMALL(IF(OFFSET(nombres[],0,0,ROWS(nombres[]),1)=RW$1490,ROW(OFFSET(nombres[],0,0,ROWS(nombres[]),1))-ROW(OFFSET(nombres[],0,0,1,1))+1,ROW(OFFSET(nombres[],ROWS(nombres[])-1,0,1,1))+1),$O1546:$O1565),3),"")</f>
        <v/>
      </c>
      <c r="RX1546" s="42" t="str">
        <f t="array" aca="1" ref="RX1546" ca="1">IFERROR(INDEX(nombres[],SMALL(IF(OFFSET(nombres[],0,0,ROWS(nombres[]),1)=RX$1490,ROW(OFFSET(nombres[],0,0,ROWS(nombres[]),1))-ROW(OFFSET(nombres[],0,0,1,1))+1,ROW(OFFSET(nombres[],ROWS(nombres[])-1,0,1,1))+1),$O1546:$O1565),3),"")</f>
        <v/>
      </c>
      <c r="RY1546" s="42" t="str">
        <f t="array" aca="1" ref="RY1546" ca="1">IFERROR(INDEX(nombres[],SMALL(IF(OFFSET(nombres[],0,0,ROWS(nombres[]),1)=RY$1490,ROW(OFFSET(nombres[],0,0,ROWS(nombres[]),1))-ROW(OFFSET(nombres[],0,0,1,1))+1,ROW(OFFSET(nombres[],ROWS(nombres[])-1,0,1,1))+1),$O1546:$O1565),3),"")</f>
        <v/>
      </c>
      <c r="RZ1546" s="42" t="str">
        <f t="array" aca="1" ref="RZ1546" ca="1">IFERROR(INDEX(nombres[],SMALL(IF(OFFSET(nombres[],0,0,ROWS(nombres[]),1)=RZ$1490,ROW(OFFSET(nombres[],0,0,ROWS(nombres[]),1))-ROW(OFFSET(nombres[],0,0,1,1))+1,ROW(OFFSET(nombres[],ROWS(nombres[])-1,0,1,1))+1),$O1546:$O1565),3),"")</f>
        <v/>
      </c>
      <c r="SA1546" s="42" t="str">
        <f t="array" aca="1" ref="SA1546" ca="1">IFERROR(INDEX(nombres[],SMALL(IF(OFFSET(nombres[],0,0,ROWS(nombres[]),1)=SA$1490,ROW(OFFSET(nombres[],0,0,ROWS(nombres[]),1))-ROW(OFFSET(nombres[],0,0,1,1))+1,ROW(OFFSET(nombres[],ROWS(nombres[])-1,0,1,1))+1),$O1546:$O1565),3),"")</f>
        <v/>
      </c>
      <c r="SB1546" s="42" t="str">
        <f t="array" aca="1" ref="SB1546" ca="1">IFERROR(INDEX(nombres[],SMALL(IF(OFFSET(nombres[],0,0,ROWS(nombres[]),1)=SB$1490,ROW(OFFSET(nombres[],0,0,ROWS(nombres[]),1))-ROW(OFFSET(nombres[],0,0,1,1))+1,ROW(OFFSET(nombres[],ROWS(nombres[])-1,0,1,1))+1),$O1546:$O1565),3),"")</f>
        <v/>
      </c>
      <c r="SC1546" s="42" t="str">
        <f t="array" aca="1" ref="SC1546" ca="1">IFERROR(INDEX(nombres[],SMALL(IF(OFFSET(nombres[],0,0,ROWS(nombres[]),1)=SC$1490,ROW(OFFSET(nombres[],0,0,ROWS(nombres[]),1))-ROW(OFFSET(nombres[],0,0,1,1))+1,ROW(OFFSET(nombres[],ROWS(nombres[])-1,0,1,1))+1),$O1546:$O1565),3),"")</f>
        <v/>
      </c>
      <c r="SD1546" s="42" t="str">
        <f t="array" aca="1" ref="SD1546" ca="1">IFERROR(INDEX(nombres[],SMALL(IF(OFFSET(nombres[],0,0,ROWS(nombres[]),1)=SD$1490,ROW(OFFSET(nombres[],0,0,ROWS(nombres[]),1))-ROW(OFFSET(nombres[],0,0,1,1))+1,ROW(OFFSET(nombres[],ROWS(nombres[])-1,0,1,1))+1),$O1546:$O1565),3),"")</f>
        <v/>
      </c>
      <c r="SE1546" s="42" t="str">
        <f t="array" aca="1" ref="SE1546" ca="1">IFERROR(INDEX(nombres[],SMALL(IF(OFFSET(nombres[],0,0,ROWS(nombres[]),1)=SE$1490,ROW(OFFSET(nombres[],0,0,ROWS(nombres[]),1))-ROW(OFFSET(nombres[],0,0,1,1))+1,ROW(OFFSET(nombres[],ROWS(nombres[])-1,0,1,1))+1),$O1546:$O1565),3),"")</f>
        <v/>
      </c>
      <c r="SF1546" s="42" t="str">
        <f t="array" aca="1" ref="SF1546" ca="1">IFERROR(INDEX(nombres[],SMALL(IF(OFFSET(nombres[],0,0,ROWS(nombres[]),1)=SF$1490,ROW(OFFSET(nombres[],0,0,ROWS(nombres[]),1))-ROW(OFFSET(nombres[],0,0,1,1))+1,ROW(OFFSET(nombres[],ROWS(nombres[])-1,0,1,1))+1),$O1546:$O1565),3),"")</f>
        <v/>
      </c>
      <c r="SG1546" s="42" t="str">
        <f t="array" aca="1" ref="SG1546" ca="1">IFERROR(INDEX(nombres[],SMALL(IF(OFFSET(nombres[],0,0,ROWS(nombres[]),1)=SG$1490,ROW(OFFSET(nombres[],0,0,ROWS(nombres[]),1))-ROW(OFFSET(nombres[],0,0,1,1))+1,ROW(OFFSET(nombres[],ROWS(nombres[])-1,0,1,1))+1),$O1546:$O1565),3),"")</f>
        <v/>
      </c>
      <c r="SH1546" s="42" t="str">
        <f t="array" aca="1" ref="SH1546" ca="1">IFERROR(INDEX(nombres[],SMALL(IF(OFFSET(nombres[],0,0,ROWS(nombres[]),1)=SH$1490,ROW(OFFSET(nombres[],0,0,ROWS(nombres[]),1))-ROW(OFFSET(nombres[],0,0,1,1))+1,ROW(OFFSET(nombres[],ROWS(nombres[])-1,0,1,1))+1),$O1546:$O1565),3),"")</f>
        <v/>
      </c>
      <c r="SI1546" s="42" t="str">
        <f t="array" aca="1" ref="SI1546" ca="1">IFERROR(INDEX(nombres[],SMALL(IF(OFFSET(nombres[],0,0,ROWS(nombres[]),1)=SI$1490,ROW(OFFSET(nombres[],0,0,ROWS(nombres[]),1))-ROW(OFFSET(nombres[],0,0,1,1))+1,ROW(OFFSET(nombres[],ROWS(nombres[])-1,0,1,1))+1),$O1546:$O1565),3),"")</f>
        <v/>
      </c>
      <c r="SJ1546" s="42" t="str">
        <f t="array" aca="1" ref="SJ1546" ca="1">IFERROR(INDEX(nombres[],SMALL(IF(OFFSET(nombres[],0,0,ROWS(nombres[]),1)=SJ$1490,ROW(OFFSET(nombres[],0,0,ROWS(nombres[]),1))-ROW(OFFSET(nombres[],0,0,1,1))+1,ROW(OFFSET(nombres[],ROWS(nombres[])-1,0,1,1))+1),$O1546:$O1565),3),"")</f>
        <v/>
      </c>
      <c r="SK1546" s="42" t="str">
        <f t="array" aca="1" ref="SK1546" ca="1">IFERROR(INDEX(nombres[],SMALL(IF(OFFSET(nombres[],0,0,ROWS(nombres[]),1)=SK$1490,ROW(OFFSET(nombres[],0,0,ROWS(nombres[]),1))-ROW(OFFSET(nombres[],0,0,1,1))+1,ROW(OFFSET(nombres[],ROWS(nombres[])-1,0,1,1))+1),$O1546:$O1565),3),"")</f>
        <v/>
      </c>
      <c r="SL1546" s="42" t="str">
        <f t="array" aca="1" ref="SL1546" ca="1">IFERROR(INDEX(nombres[],SMALL(IF(OFFSET(nombres[],0,0,ROWS(nombres[]),1)=SL$1490,ROW(OFFSET(nombres[],0,0,ROWS(nombres[]),1))-ROW(OFFSET(nombres[],0,0,1,1))+1,ROW(OFFSET(nombres[],ROWS(nombres[])-1,0,1,1))+1),$O1546:$O1565),3),"")</f>
        <v/>
      </c>
      <c r="SM1546" s="42" t="str">
        <f t="array" aca="1" ref="SM1546" ca="1">IFERROR(INDEX(nombres[],SMALL(IF(OFFSET(nombres[],0,0,ROWS(nombres[]),1)=SM$1490,ROW(OFFSET(nombres[],0,0,ROWS(nombres[]),1))-ROW(OFFSET(nombres[],0,0,1,1))+1,ROW(OFFSET(nombres[],ROWS(nombres[])-1,0,1,1))+1),$O1546:$O1565),3),"")</f>
        <v/>
      </c>
      <c r="SN1546" s="42" t="str">
        <f t="array" aca="1" ref="SN1546" ca="1">IFERROR(INDEX(nombres[],SMALL(IF(OFFSET(nombres[],0,0,ROWS(nombres[]),1)=SN$1490,ROW(OFFSET(nombres[],0,0,ROWS(nombres[]),1))-ROW(OFFSET(nombres[],0,0,1,1))+1,ROW(OFFSET(nombres[],ROWS(nombres[])-1,0,1,1))+1),$O1546:$O1565),3),"")</f>
        <v/>
      </c>
      <c r="SO1546" s="42" t="str">
        <f t="array" aca="1" ref="SO1546" ca="1">IFERROR(INDEX(nombres[],SMALL(IF(OFFSET(nombres[],0,0,ROWS(nombres[]),1)=SO$1490,ROW(OFFSET(nombres[],0,0,ROWS(nombres[]),1))-ROW(OFFSET(nombres[],0,0,1,1))+1,ROW(OFFSET(nombres[],ROWS(nombres[])-1,0,1,1))+1),$O1546:$O1565),3),"")</f>
        <v/>
      </c>
      <c r="SP1546" s="42" t="str">
        <f t="array" aca="1" ref="SP1546" ca="1">IFERROR(INDEX(nombres[],SMALL(IF(OFFSET(nombres[],0,0,ROWS(nombres[]),1)=SP$1490,ROW(OFFSET(nombres[],0,0,ROWS(nombres[]),1))-ROW(OFFSET(nombres[],0,0,1,1))+1,ROW(OFFSET(nombres[],ROWS(nombres[])-1,0,1,1))+1),$O1546:$O1565),3),"")</f>
        <v/>
      </c>
      <c r="SQ1546" s="42" t="str">
        <f t="array" aca="1" ref="SQ1546" ca="1">IFERROR(INDEX(nombres[],SMALL(IF(OFFSET(nombres[],0,0,ROWS(nombres[]),1)=SQ$1490,ROW(OFFSET(nombres[],0,0,ROWS(nombres[]),1))-ROW(OFFSET(nombres[],0,0,1,1))+1,ROW(OFFSET(nombres[],ROWS(nombres[])-1,0,1,1))+1),$O1546:$O1565),3),"")</f>
        <v/>
      </c>
      <c r="SR1546" s="42" t="str">
        <f t="array" aca="1" ref="SR1546" ca="1">IFERROR(INDEX(nombres[],SMALL(IF(OFFSET(nombres[],0,0,ROWS(nombres[]),1)=SR$1490,ROW(OFFSET(nombres[],0,0,ROWS(nombres[]),1))-ROW(OFFSET(nombres[],0,0,1,1))+1,ROW(OFFSET(nombres[],ROWS(nombres[])-1,0,1,1))+1),$O1546:$O1565),3),"")</f>
        <v/>
      </c>
      <c r="SS1546" s="42" t="str">
        <f t="array" aca="1" ref="SS1546" ca="1">IFERROR(INDEX(nombres[],SMALL(IF(OFFSET(nombres[],0,0,ROWS(nombres[]),1)=SS$1490,ROW(OFFSET(nombres[],0,0,ROWS(nombres[]),1))-ROW(OFFSET(nombres[],0,0,1,1))+1,ROW(OFFSET(nombres[],ROWS(nombres[])-1,0,1,1))+1),$O1546:$O1565),3),"")</f>
        <v/>
      </c>
      <c r="ST1546" s="42" t="str">
        <f t="array" aca="1" ref="ST1546" ca="1">IFERROR(INDEX(nombres[],SMALL(IF(OFFSET(nombres[],0,0,ROWS(nombres[]),1)=ST$1490,ROW(OFFSET(nombres[],0,0,ROWS(nombres[]),1))-ROW(OFFSET(nombres[],0,0,1,1))+1,ROW(OFFSET(nombres[],ROWS(nombres[])-1,0,1,1))+1),$O1546:$O1565),3),"")</f>
        <v/>
      </c>
      <c r="SU1546" s="42" t="str">
        <f t="array" aca="1" ref="SU1546" ca="1">IFERROR(INDEX(nombres[],SMALL(IF(OFFSET(nombres[],0,0,ROWS(nombres[]),1)=SU$1490,ROW(OFFSET(nombres[],0,0,ROWS(nombres[]),1))-ROW(OFFSET(nombres[],0,0,1,1))+1,ROW(OFFSET(nombres[],ROWS(nombres[])-1,0,1,1))+1),$O1546:$O1565),3),"")</f>
        <v/>
      </c>
      <c r="SV1546" s="42" t="str">
        <f t="array" aca="1" ref="SV1546" ca="1">IFERROR(INDEX(nombres[],SMALL(IF(OFFSET(nombres[],0,0,ROWS(nombres[]),1)=SV$1490,ROW(OFFSET(nombres[],0,0,ROWS(nombres[]),1))-ROW(OFFSET(nombres[],0,0,1,1))+1,ROW(OFFSET(nombres[],ROWS(nombres[])-1,0,1,1))+1),$O1546:$O1565),3),"")</f>
        <v/>
      </c>
      <c r="SW1546" s="42" t="str">
        <f t="array" aca="1" ref="SW1546" ca="1">IFERROR(INDEX(nombres[],SMALL(IF(OFFSET(nombres[],0,0,ROWS(nombres[]),1)=SW$1490,ROW(OFFSET(nombres[],0,0,ROWS(nombres[]),1))-ROW(OFFSET(nombres[],0,0,1,1))+1,ROW(OFFSET(nombres[],ROWS(nombres[])-1,0,1,1))+1),$O1546:$O1565),3),"")</f>
        <v/>
      </c>
      <c r="SX1546" s="42" t="str">
        <f t="array" aca="1" ref="SX1546" ca="1">IFERROR(INDEX(nombres[],SMALL(IF(OFFSET(nombres[],0,0,ROWS(nombres[]),1)=SX$1490,ROW(OFFSET(nombres[],0,0,ROWS(nombres[]),1))-ROW(OFFSET(nombres[],0,0,1,1))+1,ROW(OFFSET(nombres[],ROWS(nombres[])-1,0,1,1))+1),$O1546:$O1565),3),"")</f>
        <v/>
      </c>
      <c r="SY1546" s="42" t="str">
        <f t="array" aca="1" ref="SY1546" ca="1">IFERROR(INDEX(nombres[],SMALL(IF(OFFSET(nombres[],0,0,ROWS(nombres[]),1)=SY$1490,ROW(OFFSET(nombres[],0,0,ROWS(nombres[]),1))-ROW(OFFSET(nombres[],0,0,1,1))+1,ROW(OFFSET(nombres[],ROWS(nombres[])-1,0,1,1))+1),$O1546:$O1565),3),"")</f>
        <v/>
      </c>
      <c r="SZ1546" s="42" t="str">
        <f t="array" aca="1" ref="SZ1546" ca="1">IFERROR(INDEX(nombres[],SMALL(IF(OFFSET(nombres[],0,0,ROWS(nombres[]),1)=SZ$1490,ROW(OFFSET(nombres[],0,0,ROWS(nombres[]),1))-ROW(OFFSET(nombres[],0,0,1,1))+1,ROW(OFFSET(nombres[],ROWS(nombres[])-1,0,1,1))+1),$O1546:$O1565),3),"")</f>
        <v/>
      </c>
      <c r="TA1546" s="42" t="str">
        <f t="array" aca="1" ref="TA1546" ca="1">IFERROR(INDEX(nombres[],SMALL(IF(OFFSET(nombres[],0,0,ROWS(nombres[]),1)=TA$1490,ROW(OFFSET(nombres[],0,0,ROWS(nombres[]),1))-ROW(OFFSET(nombres[],0,0,1,1))+1,ROW(OFFSET(nombres[],ROWS(nombres[])-1,0,1,1))+1),$O1546:$O1565),3),"")</f>
        <v/>
      </c>
      <c r="TB1546" s="42" t="str">
        <f t="array" aca="1" ref="TB1546" ca="1">IFERROR(INDEX(nombres[],SMALL(IF(OFFSET(nombres[],0,0,ROWS(nombres[]),1)=TB$1490,ROW(OFFSET(nombres[],0,0,ROWS(nombres[]),1))-ROW(OFFSET(nombres[],0,0,1,1))+1,ROW(OFFSET(nombres[],ROWS(nombres[])-1,0,1,1))+1),$O1546:$O1565),3),"")</f>
        <v/>
      </c>
      <c r="TC1546" s="42" t="str">
        <f t="array" aca="1" ref="TC1546" ca="1">IFERROR(INDEX(nombres[],SMALL(IF(OFFSET(nombres[],0,0,ROWS(nombres[]),1)=TC$1490,ROW(OFFSET(nombres[],0,0,ROWS(nombres[]),1))-ROW(OFFSET(nombres[],0,0,1,1))+1,ROW(OFFSET(nombres[],ROWS(nombres[])-1,0,1,1))+1),$O1546:$O1565),3),"")</f>
        <v/>
      </c>
      <c r="TD1546" s="42" t="str">
        <f t="array" aca="1" ref="TD1546" ca="1">IFERROR(INDEX(nombres[],SMALL(IF(OFFSET(nombres[],0,0,ROWS(nombres[]),1)=TD$1490,ROW(OFFSET(nombres[],0,0,ROWS(nombres[]),1))-ROW(OFFSET(nombres[],0,0,1,1))+1,ROW(OFFSET(nombres[],ROWS(nombres[])-1,0,1,1))+1),$O1546:$O1565),3),"")</f>
        <v/>
      </c>
      <c r="TE1546" s="42" t="str">
        <f t="array" aca="1" ref="TE1546" ca="1">IFERROR(INDEX(nombres[],SMALL(IF(OFFSET(nombres[],0,0,ROWS(nombres[]),1)=TE$1490,ROW(OFFSET(nombres[],0,0,ROWS(nombres[]),1))-ROW(OFFSET(nombres[],0,0,1,1))+1,ROW(OFFSET(nombres[],ROWS(nombres[])-1,0,1,1))+1),$O1546:$O1565),3),"")</f>
        <v/>
      </c>
      <c r="TF1546" s="42" t="str">
        <f t="array" aca="1" ref="TF1546" ca="1">IFERROR(INDEX(nombres[],SMALL(IF(OFFSET(nombres[],0,0,ROWS(nombres[]),1)=TF$1490,ROW(OFFSET(nombres[],0,0,ROWS(nombres[]),1))-ROW(OFFSET(nombres[],0,0,1,1))+1,ROW(OFFSET(nombres[],ROWS(nombres[])-1,0,1,1))+1),$O1546:$O1565),3),"")</f>
        <v/>
      </c>
      <c r="TG1546" s="42" t="str">
        <f t="array" aca="1" ref="TG1546" ca="1">IFERROR(INDEX(nombres[],SMALL(IF(OFFSET(nombres[],0,0,ROWS(nombres[]),1)=TG$1490,ROW(OFFSET(nombres[],0,0,ROWS(nombres[]),1))-ROW(OFFSET(nombres[],0,0,1,1))+1,ROW(OFFSET(nombres[],ROWS(nombres[])-1,0,1,1))+1),$O1546:$O1565),3),"")</f>
        <v/>
      </c>
      <c r="TH1546" s="42" t="str">
        <f t="array" aca="1" ref="TH1546" ca="1">IFERROR(INDEX(nombres[],SMALL(IF(OFFSET(nombres[],0,0,ROWS(nombres[]),1)=TH$1490,ROW(OFFSET(nombres[],0,0,ROWS(nombres[]),1))-ROW(OFFSET(nombres[],0,0,1,1))+1,ROW(OFFSET(nombres[],ROWS(nombres[])-1,0,1,1))+1),$O1546:$O1565),3),"")</f>
        <v/>
      </c>
      <c r="TI1546" s="42" t="str">
        <f t="array" aca="1" ref="TI1546" ca="1">IFERROR(INDEX(nombres[],SMALL(IF(OFFSET(nombres[],0,0,ROWS(nombres[]),1)=TI$1490,ROW(OFFSET(nombres[],0,0,ROWS(nombres[]),1))-ROW(OFFSET(nombres[],0,0,1,1))+1,ROW(OFFSET(nombres[],ROWS(nombres[])-1,0,1,1))+1),$O1546:$O1565),3),"")</f>
        <v/>
      </c>
      <c r="TJ1546" s="42" t="str">
        <f t="array" aca="1" ref="TJ1546" ca="1">IFERROR(INDEX(nombres[],SMALL(IF(OFFSET(nombres[],0,0,ROWS(nombres[]),1)=TJ$1490,ROW(OFFSET(nombres[],0,0,ROWS(nombres[]),1))-ROW(OFFSET(nombres[],0,0,1,1))+1,ROW(OFFSET(nombres[],ROWS(nombres[])-1,0,1,1))+1),$O1546:$O1565),3),"")</f>
        <v/>
      </c>
      <c r="TK1546" s="42" t="str">
        <f t="array" aca="1" ref="TK1546" ca="1">IFERROR(INDEX(nombres[],SMALL(IF(OFFSET(nombres[],0,0,ROWS(nombres[]),1)=TK$1490,ROW(OFFSET(nombres[],0,0,ROWS(nombres[]),1))-ROW(OFFSET(nombres[],0,0,1,1))+1,ROW(OFFSET(nombres[],ROWS(nombres[])-1,0,1,1))+1),$O1546:$O1565),3),"")</f>
        <v/>
      </c>
      <c r="TL1546" s="42" t="str">
        <f t="array" aca="1" ref="TL1546" ca="1">IFERROR(INDEX(nombres[],SMALL(IF(OFFSET(nombres[],0,0,ROWS(nombres[]),1)=TL$1490,ROW(OFFSET(nombres[],0,0,ROWS(nombres[]),1))-ROW(OFFSET(nombres[],0,0,1,1))+1,ROW(OFFSET(nombres[],ROWS(nombres[])-1,0,1,1))+1),$O1546:$O1565),3),"")</f>
        <v/>
      </c>
      <c r="TM1546" s="42" t="str">
        <f t="array" aca="1" ref="TM1546" ca="1">IFERROR(INDEX(nombres[],SMALL(IF(OFFSET(nombres[],0,0,ROWS(nombres[]),1)=TM$1490,ROW(OFFSET(nombres[],0,0,ROWS(nombres[]),1))-ROW(OFFSET(nombres[],0,0,1,1))+1,ROW(OFFSET(nombres[],ROWS(nombres[])-1,0,1,1))+1),$O1546:$O1565),3),"")</f>
        <v/>
      </c>
      <c r="TN1546" s="42" t="str">
        <f t="array" aca="1" ref="TN1546" ca="1">IFERROR(INDEX(nombres[],SMALL(IF(OFFSET(nombres[],0,0,ROWS(nombres[]),1)=TN$1490,ROW(OFFSET(nombres[],0,0,ROWS(nombres[]),1))-ROW(OFFSET(nombres[],0,0,1,1))+1,ROW(OFFSET(nombres[],ROWS(nombres[])-1,0,1,1))+1),$O1546:$O1565),3),"")</f>
        <v/>
      </c>
      <c r="TO1546" s="42" t="str">
        <f t="array" aca="1" ref="TO1546" ca="1">IFERROR(INDEX(nombres[],SMALL(IF(OFFSET(nombres[],0,0,ROWS(nombres[]),1)=TO$1490,ROW(OFFSET(nombres[],0,0,ROWS(nombres[]),1))-ROW(OFFSET(nombres[],0,0,1,1))+1,ROW(OFFSET(nombres[],ROWS(nombres[])-1,0,1,1))+1),$O1546:$O1565),3),"")</f>
        <v/>
      </c>
      <c r="TP1546" s="42" t="str">
        <f t="array" aca="1" ref="TP1546" ca="1">IFERROR(INDEX(nombres[],SMALL(IF(OFFSET(nombres[],0,0,ROWS(nombres[]),1)=TP$1490,ROW(OFFSET(nombres[],0,0,ROWS(nombres[]),1))-ROW(OFFSET(nombres[],0,0,1,1))+1,ROW(OFFSET(nombres[],ROWS(nombres[])-1,0,1,1))+1),$O1546:$O1565),3),"")</f>
        <v/>
      </c>
      <c r="TQ1546" s="42" t="str">
        <f t="array" aca="1" ref="TQ1546" ca="1">IFERROR(INDEX(nombres[],SMALL(IF(OFFSET(nombres[],0,0,ROWS(nombres[]),1)=TQ$1490,ROW(OFFSET(nombres[],0,0,ROWS(nombres[]),1))-ROW(OFFSET(nombres[],0,0,1,1))+1,ROW(OFFSET(nombres[],ROWS(nombres[])-1,0,1,1))+1),$O1546:$O1565),3),"")</f>
        <v/>
      </c>
      <c r="TR1546" s="42" t="str">
        <f t="array" aca="1" ref="TR1546" ca="1">IFERROR(INDEX(nombres[],SMALL(IF(OFFSET(nombres[],0,0,ROWS(nombres[]),1)=TR$1490,ROW(OFFSET(nombres[],0,0,ROWS(nombres[]),1))-ROW(OFFSET(nombres[],0,0,1,1))+1,ROW(OFFSET(nombres[],ROWS(nombres[])-1,0,1,1))+1),$O1546:$O1565),3),"")</f>
        <v/>
      </c>
      <c r="TS1546" s="42" t="str">
        <f t="array" aca="1" ref="TS1546" ca="1">IFERROR(INDEX(nombres[],SMALL(IF(OFFSET(nombres[],0,0,ROWS(nombres[]),1)=TS$1490,ROW(OFFSET(nombres[],0,0,ROWS(nombres[]),1))-ROW(OFFSET(nombres[],0,0,1,1))+1,ROW(OFFSET(nombres[],ROWS(nombres[])-1,0,1,1))+1),$O1546:$O1565),3),"")</f>
        <v/>
      </c>
      <c r="TT1546" s="42" t="str">
        <f t="array" aca="1" ref="TT1546" ca="1">IFERROR(INDEX(nombres[],SMALL(IF(OFFSET(nombres[],0,0,ROWS(nombres[]),1)=TT$1490,ROW(OFFSET(nombres[],0,0,ROWS(nombres[]),1))-ROW(OFFSET(nombres[],0,0,1,1))+1,ROW(OFFSET(nombres[],ROWS(nombres[])-1,0,1,1))+1),$O1546:$O1565),3),"")</f>
        <v/>
      </c>
      <c r="TU1546" s="42" t="str">
        <f t="array" aca="1" ref="TU1546" ca="1">IFERROR(INDEX(nombres[],SMALL(IF(OFFSET(nombres[],0,0,ROWS(nombres[]),1)=TU$1490,ROW(OFFSET(nombres[],0,0,ROWS(nombres[]),1))-ROW(OFFSET(nombres[],0,0,1,1))+1,ROW(OFFSET(nombres[],ROWS(nombres[])-1,0,1,1))+1),$O1546:$O1565),3),"")</f>
        <v/>
      </c>
      <c r="TV1546" s="42" t="str">
        <f t="array" aca="1" ref="TV1546" ca="1">IFERROR(INDEX(nombres[],SMALL(IF(OFFSET(nombres[],0,0,ROWS(nombres[]),1)=TV$1490,ROW(OFFSET(nombres[],0,0,ROWS(nombres[]),1))-ROW(OFFSET(nombres[],0,0,1,1))+1,ROW(OFFSET(nombres[],ROWS(nombres[])-1,0,1,1))+1),$O1546:$O1565),3),"")</f>
        <v/>
      </c>
      <c r="TW1546" s="42" t="str">
        <f t="array" aca="1" ref="TW1546" ca="1">IFERROR(INDEX(nombres[],SMALL(IF(OFFSET(nombres[],0,0,ROWS(nombres[]),1)=TW$1490,ROW(OFFSET(nombres[],0,0,ROWS(nombres[]),1))-ROW(OFFSET(nombres[],0,0,1,1))+1,ROW(OFFSET(nombres[],ROWS(nombres[])-1,0,1,1))+1),$O1546:$O1565),3),"")</f>
        <v/>
      </c>
      <c r="TX1546" s="42" t="str">
        <f t="array" aca="1" ref="TX1546" ca="1">IFERROR(INDEX(nombres[],SMALL(IF(OFFSET(nombres[],0,0,ROWS(nombres[]),1)=TX$1490,ROW(OFFSET(nombres[],0,0,ROWS(nombres[]),1))-ROW(OFFSET(nombres[],0,0,1,1))+1,ROW(OFFSET(nombres[],ROWS(nombres[])-1,0,1,1))+1),$O1546:$O1565),3),"")</f>
        <v/>
      </c>
      <c r="TY1546" s="42" t="str">
        <f t="array" aca="1" ref="TY1546" ca="1">IFERROR(INDEX(nombres[],SMALL(IF(OFFSET(nombres[],0,0,ROWS(nombres[]),1)=TY$1490,ROW(OFFSET(nombres[],0,0,ROWS(nombres[]),1))-ROW(OFFSET(nombres[],0,0,1,1))+1,ROW(OFFSET(nombres[],ROWS(nombres[])-1,0,1,1))+1),$O1546:$O1565),3),"")</f>
        <v/>
      </c>
      <c r="TZ1546" s="42" t="str">
        <f t="array" aca="1" ref="TZ1546" ca="1">IFERROR(INDEX(nombres[],SMALL(IF(OFFSET(nombres[],0,0,ROWS(nombres[]),1)=TZ$1490,ROW(OFFSET(nombres[],0,0,ROWS(nombres[]),1))-ROW(OFFSET(nombres[],0,0,1,1))+1,ROW(OFFSET(nombres[],ROWS(nombres[])-1,0,1,1))+1),$O1546:$O1565),3),"")</f>
        <v/>
      </c>
      <c r="UA1546" s="42" t="str">
        <f t="array" aca="1" ref="UA1546" ca="1">IFERROR(INDEX(nombres[],SMALL(IF(OFFSET(nombres[],0,0,ROWS(nombres[]),1)=UA$1490,ROW(OFFSET(nombres[],0,0,ROWS(nombres[]),1))-ROW(OFFSET(nombres[],0,0,1,1))+1,ROW(OFFSET(nombres[],ROWS(nombres[])-1,0,1,1))+1),$O1546:$O1565),3),"")</f>
        <v/>
      </c>
      <c r="UB1546" s="42" t="str">
        <f t="array" aca="1" ref="UB1546" ca="1">IFERROR(INDEX(nombres[],SMALL(IF(OFFSET(nombres[],0,0,ROWS(nombres[]),1)=UB$1490,ROW(OFFSET(nombres[],0,0,ROWS(nombres[]),1))-ROW(OFFSET(nombres[],0,0,1,1))+1,ROW(OFFSET(nombres[],ROWS(nombres[])-1,0,1,1))+1),$O1546:$O1565),3),"")</f>
        <v/>
      </c>
      <c r="UC1546" s="42" t="str">
        <f t="array" aca="1" ref="UC1546" ca="1">IFERROR(INDEX(nombres[],SMALL(IF(OFFSET(nombres[],0,0,ROWS(nombres[]),1)=UC$1490,ROW(OFFSET(nombres[],0,0,ROWS(nombres[]),1))-ROW(OFFSET(nombres[],0,0,1,1))+1,ROW(OFFSET(nombres[],ROWS(nombres[])-1,0,1,1))+1),$O1546:$O1565),3),"")</f>
        <v/>
      </c>
      <c r="UD1546" s="42" t="str">
        <f t="array" aca="1" ref="UD1546" ca="1">IFERROR(INDEX(nombres[],SMALL(IF(OFFSET(nombres[],0,0,ROWS(nombres[]),1)=UD$1490,ROW(OFFSET(nombres[],0,0,ROWS(nombres[]),1))-ROW(OFFSET(nombres[],0,0,1,1))+1,ROW(OFFSET(nombres[],ROWS(nombres[])-1,0,1,1))+1),$O1546:$O1565),3),"")</f>
        <v/>
      </c>
      <c r="UE1546" s="42" t="str">
        <f t="array" aca="1" ref="UE1546" ca="1">IFERROR(INDEX(nombres[],SMALL(IF(OFFSET(nombres[],0,0,ROWS(nombres[]),1)=UE$1490,ROW(OFFSET(nombres[],0,0,ROWS(nombres[]),1))-ROW(OFFSET(nombres[],0,0,1,1))+1,ROW(OFFSET(nombres[],ROWS(nombres[])-1,0,1,1))+1),$O1546:$O1565),3),"")</f>
        <v/>
      </c>
      <c r="UF1546" s="42" t="str">
        <f t="array" aca="1" ref="UF1546" ca="1">IFERROR(INDEX(nombres[],SMALL(IF(OFFSET(nombres[],0,0,ROWS(nombres[]),1)=UF$1490,ROW(OFFSET(nombres[],0,0,ROWS(nombres[]),1))-ROW(OFFSET(nombres[],0,0,1,1))+1,ROW(OFFSET(nombres[],ROWS(nombres[])-1,0,1,1))+1),$O1546:$O1565),3),"")</f>
        <v/>
      </c>
      <c r="UG1546" s="42" t="str">
        <f t="array" aca="1" ref="UG1546" ca="1">IFERROR(INDEX(nombres[],SMALL(IF(OFFSET(nombres[],0,0,ROWS(nombres[]),1)=UG$1490,ROW(OFFSET(nombres[],0,0,ROWS(nombres[]),1))-ROW(OFFSET(nombres[],0,0,1,1))+1,ROW(OFFSET(nombres[],ROWS(nombres[])-1,0,1,1))+1),$O1546:$O1565),3),"")</f>
        <v/>
      </c>
      <c r="UH1546" s="42" t="str">
        <f t="array" aca="1" ref="UH1546" ca="1">IFERROR(INDEX(nombres[],SMALL(IF(OFFSET(nombres[],0,0,ROWS(nombres[]),1)=UH$1490,ROW(OFFSET(nombres[],0,0,ROWS(nombres[]),1))-ROW(OFFSET(nombres[],0,0,1,1))+1,ROW(OFFSET(nombres[],ROWS(nombres[])-1,0,1,1))+1),$O1546:$O1565),3),"")</f>
        <v/>
      </c>
      <c r="UI1546" s="42" t="str">
        <f t="array" aca="1" ref="UI1546" ca="1">IFERROR(INDEX(nombres[],SMALL(IF(OFFSET(nombres[],0,0,ROWS(nombres[]),1)=UI$1490,ROW(OFFSET(nombres[],0,0,ROWS(nombres[]),1))-ROW(OFFSET(nombres[],0,0,1,1))+1,ROW(OFFSET(nombres[],ROWS(nombres[])-1,0,1,1))+1),$O1546:$O1565),3),"")</f>
        <v/>
      </c>
      <c r="UJ1546" s="42" t="str">
        <f t="array" aca="1" ref="UJ1546" ca="1">IFERROR(INDEX(nombres[],SMALL(IF(OFFSET(nombres[],0,0,ROWS(nombres[]),1)=UJ$1490,ROW(OFFSET(nombres[],0,0,ROWS(nombres[]),1))-ROW(OFFSET(nombres[],0,0,1,1))+1,ROW(OFFSET(nombres[],ROWS(nombres[])-1,0,1,1))+1),$O1546:$O1565),3),"")</f>
        <v/>
      </c>
      <c r="UK1546" s="42" t="str">
        <f t="array" aca="1" ref="UK1546" ca="1">IFERROR(INDEX(nombres[],SMALL(IF(OFFSET(nombres[],0,0,ROWS(nombres[]),1)=UK$1490,ROW(OFFSET(nombres[],0,0,ROWS(nombres[]),1))-ROW(OFFSET(nombres[],0,0,1,1))+1,ROW(OFFSET(nombres[],ROWS(nombres[])-1,0,1,1))+1),$O1546:$O1565),3),"")</f>
        <v/>
      </c>
      <c r="UL1546" s="42" t="str">
        <f t="array" aca="1" ref="UL1546" ca="1">IFERROR(INDEX(nombres[],SMALL(IF(OFFSET(nombres[],0,0,ROWS(nombres[]),1)=UL$1490,ROW(OFFSET(nombres[],0,0,ROWS(nombres[]),1))-ROW(OFFSET(nombres[],0,0,1,1))+1,ROW(OFFSET(nombres[],ROWS(nombres[])-1,0,1,1))+1),$O1546:$O1565),3),"")</f>
        <v/>
      </c>
      <c r="UM1546" s="42" t="str">
        <f t="array" aca="1" ref="UM1546" ca="1">IFERROR(INDEX(nombres[],SMALL(IF(OFFSET(nombres[],0,0,ROWS(nombres[]),1)=UM$1490,ROW(OFFSET(nombres[],0,0,ROWS(nombres[]),1))-ROW(OFFSET(nombres[],0,0,1,1))+1,ROW(OFFSET(nombres[],ROWS(nombres[])-1,0,1,1))+1),$O1546:$O1565),3),"")</f>
        <v/>
      </c>
      <c r="UN1546" s="42" t="str">
        <f t="array" aca="1" ref="UN1546" ca="1">IFERROR(INDEX(nombres[],SMALL(IF(OFFSET(nombres[],0,0,ROWS(nombres[]),1)=UN$1490,ROW(OFFSET(nombres[],0,0,ROWS(nombres[]),1))-ROW(OFFSET(nombres[],0,0,1,1))+1,ROW(OFFSET(nombres[],ROWS(nombres[])-1,0,1,1))+1),$O1546:$O1565),3),"")</f>
        <v/>
      </c>
      <c r="UO1546" s="42" t="str">
        <f t="array" aca="1" ref="UO1546" ca="1">IFERROR(INDEX(nombres[],SMALL(IF(OFFSET(nombres[],0,0,ROWS(nombres[]),1)=UO$1490,ROW(OFFSET(nombres[],0,0,ROWS(nombres[]),1))-ROW(OFFSET(nombres[],0,0,1,1))+1,ROW(OFFSET(nombres[],ROWS(nombres[])-1,0,1,1))+1),$O1546:$O1565),3),"")</f>
        <v/>
      </c>
      <c r="UP1546" s="42" t="str">
        <f t="array" aca="1" ref="UP1546" ca="1">IFERROR(INDEX(nombres[],SMALL(IF(OFFSET(nombres[],0,0,ROWS(nombres[]),1)=UP$1490,ROW(OFFSET(nombres[],0,0,ROWS(nombres[]),1))-ROW(OFFSET(nombres[],0,0,1,1))+1,ROW(OFFSET(nombres[],ROWS(nombres[])-1,0,1,1))+1),$O1546:$O1565),3),"")</f>
        <v/>
      </c>
      <c r="UQ1546" s="42" t="str">
        <f t="array" aca="1" ref="UQ1546" ca="1">IFERROR(INDEX(nombres[],SMALL(IF(OFFSET(nombres[],0,0,ROWS(nombres[]),1)=UQ$1490,ROW(OFFSET(nombres[],0,0,ROWS(nombres[]),1))-ROW(OFFSET(nombres[],0,0,1,1))+1,ROW(OFFSET(nombres[],ROWS(nombres[])-1,0,1,1))+1),$O1546:$O1565),3),"")</f>
        <v/>
      </c>
      <c r="UR1546" s="42" t="str">
        <f t="array" aca="1" ref="UR1546" ca="1">IFERROR(INDEX(nombres[],SMALL(IF(OFFSET(nombres[],0,0,ROWS(nombres[]),1)=UR$1490,ROW(OFFSET(nombres[],0,0,ROWS(nombres[]),1))-ROW(OFFSET(nombres[],0,0,1,1))+1,ROW(OFFSET(nombres[],ROWS(nombres[])-1,0,1,1))+1),$O1546:$O1565),3),"")</f>
        <v/>
      </c>
      <c r="US1546" s="42" t="str">
        <f t="array" aca="1" ref="US1546" ca="1">IFERROR(INDEX(nombres[],SMALL(IF(OFFSET(nombres[],0,0,ROWS(nombres[]),1)=US$1490,ROW(OFFSET(nombres[],0,0,ROWS(nombres[]),1))-ROW(OFFSET(nombres[],0,0,1,1))+1,ROW(OFFSET(nombres[],ROWS(nombres[])-1,0,1,1))+1),$O1546:$O1565),3),"")</f>
        <v/>
      </c>
      <c r="UT1546" s="42" t="str">
        <f t="array" aca="1" ref="UT1546" ca="1">IFERROR(INDEX(nombres[],SMALL(IF(OFFSET(nombres[],0,0,ROWS(nombres[]),1)=UT$1490,ROW(OFFSET(nombres[],0,0,ROWS(nombres[]),1))-ROW(OFFSET(nombres[],0,0,1,1))+1,ROW(OFFSET(nombres[],ROWS(nombres[])-1,0,1,1))+1),$O1546:$O1565),3),"")</f>
        <v/>
      </c>
      <c r="UU1546" s="42" t="str">
        <f t="array" aca="1" ref="UU1546" ca="1">IFERROR(INDEX(nombres[],SMALL(IF(OFFSET(nombres[],0,0,ROWS(nombres[]),1)=UU$1490,ROW(OFFSET(nombres[],0,0,ROWS(nombres[]),1))-ROW(OFFSET(nombres[],0,0,1,1))+1,ROW(OFFSET(nombres[],ROWS(nombres[])-1,0,1,1))+1),$O1546:$O1565),3),"")</f>
        <v/>
      </c>
      <c r="UV1546" s="42" t="str">
        <f t="array" aca="1" ref="UV1546" ca="1">IFERROR(INDEX(nombres[],SMALL(IF(OFFSET(nombres[],0,0,ROWS(nombres[]),1)=UV$1490,ROW(OFFSET(nombres[],0,0,ROWS(nombres[]),1))-ROW(OFFSET(nombres[],0,0,1,1))+1,ROW(OFFSET(nombres[],ROWS(nombres[])-1,0,1,1))+1),$O1546:$O1565),3),"")</f>
        <v/>
      </c>
      <c r="UW1546" s="42" t="str">
        <f t="array" aca="1" ref="UW1546" ca="1">IFERROR(INDEX(nombres[],SMALL(IF(OFFSET(nombres[],0,0,ROWS(nombres[]),1)=UW$1490,ROW(OFFSET(nombres[],0,0,ROWS(nombres[]),1))-ROW(OFFSET(nombres[],0,0,1,1))+1,ROW(OFFSET(nombres[],ROWS(nombres[])-1,0,1,1))+1),$O1546:$O1565),3),"")</f>
        <v/>
      </c>
      <c r="UX1546" s="42" t="str">
        <f t="array" aca="1" ref="UX1546" ca="1">IFERROR(INDEX(nombres[],SMALL(IF(OFFSET(nombres[],0,0,ROWS(nombres[]),1)=UX$1490,ROW(OFFSET(nombres[],0,0,ROWS(nombres[]),1))-ROW(OFFSET(nombres[],0,0,1,1))+1,ROW(OFFSET(nombres[],ROWS(nombres[])-1,0,1,1))+1),$O1546:$O1565),3),"")</f>
        <v/>
      </c>
      <c r="UY1546" s="42" t="str">
        <f t="array" aca="1" ref="UY1546" ca="1">IFERROR(INDEX(nombres[],SMALL(IF(OFFSET(nombres[],0,0,ROWS(nombres[]),1)=UY$1490,ROW(OFFSET(nombres[],0,0,ROWS(nombres[]),1))-ROW(OFFSET(nombres[],0,0,1,1))+1,ROW(OFFSET(nombres[],ROWS(nombres[])-1,0,1,1))+1),$O1546:$O1565),3),"")</f>
        <v/>
      </c>
      <c r="UZ1546" s="42" t="str">
        <f t="array" aca="1" ref="UZ1546" ca="1">IFERROR(INDEX(nombres[],SMALL(IF(OFFSET(nombres[],0,0,ROWS(nombres[]),1)=UZ$1490,ROW(OFFSET(nombres[],0,0,ROWS(nombres[]),1))-ROW(OFFSET(nombres[],0,0,1,1))+1,ROW(OFFSET(nombres[],ROWS(nombres[])-1,0,1,1))+1),$O1546:$O1565),3),"")</f>
        <v/>
      </c>
      <c r="VA1546" s="42" t="str">
        <f t="array" aca="1" ref="VA1546" ca="1">IFERROR(INDEX(nombres[],SMALL(IF(OFFSET(nombres[],0,0,ROWS(nombres[]),1)=VA$1490,ROW(OFFSET(nombres[],0,0,ROWS(nombres[]),1))-ROW(OFFSET(nombres[],0,0,1,1))+1,ROW(OFFSET(nombres[],ROWS(nombres[])-1,0,1,1))+1),$O1546:$O1565),3),"")</f>
        <v/>
      </c>
      <c r="VB1546" s="42" t="str">
        <f t="array" aca="1" ref="VB1546" ca="1">IFERROR(INDEX(nombres[],SMALL(IF(OFFSET(nombres[],0,0,ROWS(nombres[]),1)=VB$1490,ROW(OFFSET(nombres[],0,0,ROWS(nombres[]),1))-ROW(OFFSET(nombres[],0,0,1,1))+1,ROW(OFFSET(nombres[],ROWS(nombres[])-1,0,1,1))+1),$O1546:$O1565),3),"")</f>
        <v/>
      </c>
      <c r="VC1546" s="42" t="str">
        <f t="array" aca="1" ref="VC1546" ca="1">IFERROR(INDEX(nombres[],SMALL(IF(OFFSET(nombres[],0,0,ROWS(nombres[]),1)=VC$1490,ROW(OFFSET(nombres[],0,0,ROWS(nombres[]),1))-ROW(OFFSET(nombres[],0,0,1,1))+1,ROW(OFFSET(nombres[],ROWS(nombres[])-1,0,1,1))+1),$O1546:$O1565),3),"")</f>
        <v/>
      </c>
      <c r="VD1546" s="42" t="str">
        <f t="array" aca="1" ref="VD1546" ca="1">IFERROR(INDEX(nombres[],SMALL(IF(OFFSET(nombres[],0,0,ROWS(nombres[]),1)=VD$1490,ROW(OFFSET(nombres[],0,0,ROWS(nombres[]),1))-ROW(OFFSET(nombres[],0,0,1,1))+1,ROW(OFFSET(nombres[],ROWS(nombres[])-1,0,1,1))+1),$O1546:$O1565),3),"")</f>
        <v/>
      </c>
      <c r="VE1546" s="42" t="str">
        <f t="array" aca="1" ref="VE1546" ca="1">IFERROR(INDEX(nombres[],SMALL(IF(OFFSET(nombres[],0,0,ROWS(nombres[]),1)=VE$1490,ROW(OFFSET(nombres[],0,0,ROWS(nombres[]),1))-ROW(OFFSET(nombres[],0,0,1,1))+1,ROW(OFFSET(nombres[],ROWS(nombres[])-1,0,1,1))+1),$O1546:$O1565),3),"")</f>
        <v/>
      </c>
      <c r="VF1546" s="42" t="str">
        <f t="array" aca="1" ref="VF1546" ca="1">IFERROR(INDEX(nombres[],SMALL(IF(OFFSET(nombres[],0,0,ROWS(nombres[]),1)=VF$1490,ROW(OFFSET(nombres[],0,0,ROWS(nombres[]),1))-ROW(OFFSET(nombres[],0,0,1,1))+1,ROW(OFFSET(nombres[],ROWS(nombres[])-1,0,1,1))+1),$O1546:$O1565),3),"")</f>
        <v/>
      </c>
      <c r="VG1546" s="42" t="str">
        <f t="array" aca="1" ref="VG1546" ca="1">IFERROR(INDEX(nombres[],SMALL(IF(OFFSET(nombres[],0,0,ROWS(nombres[]),1)=VG$1490,ROW(OFFSET(nombres[],0,0,ROWS(nombres[]),1))-ROW(OFFSET(nombres[],0,0,1,1))+1,ROW(OFFSET(nombres[],ROWS(nombres[])-1,0,1,1))+1),$O1546:$O1565),3),"")</f>
        <v/>
      </c>
      <c r="VH1546" s="42" t="str">
        <f t="array" aca="1" ref="VH1546" ca="1">IFERROR(INDEX(nombres[],SMALL(IF(OFFSET(nombres[],0,0,ROWS(nombres[]),1)=VH$1490,ROW(OFFSET(nombres[],0,0,ROWS(nombres[]),1))-ROW(OFFSET(nombres[],0,0,1,1))+1,ROW(OFFSET(nombres[],ROWS(nombres[])-1,0,1,1))+1),$O1546:$O1565),3),"")</f>
        <v/>
      </c>
      <c r="VI1546" s="42" t="str">
        <f t="array" aca="1" ref="VI1546" ca="1">IFERROR(INDEX(nombres[],SMALL(IF(OFFSET(nombres[],0,0,ROWS(nombres[]),1)=VI$1490,ROW(OFFSET(nombres[],0,0,ROWS(nombres[]),1))-ROW(OFFSET(nombres[],0,0,1,1))+1,ROW(OFFSET(nombres[],ROWS(nombres[])-1,0,1,1))+1),$O1546:$O1565),3),"")</f>
        <v/>
      </c>
      <c r="VJ1546" s="42" t="str">
        <f t="array" aca="1" ref="VJ1546" ca="1">IFERROR(INDEX(nombres[],SMALL(IF(OFFSET(nombres[],0,0,ROWS(nombres[]),1)=VJ$1490,ROW(OFFSET(nombres[],0,0,ROWS(nombres[]),1))-ROW(OFFSET(nombres[],0,0,1,1))+1,ROW(OFFSET(nombres[],ROWS(nombres[])-1,0,1,1))+1),$O1546:$O1565),3),"")</f>
        <v/>
      </c>
      <c r="VK1546" s="42" t="str">
        <f t="array" aca="1" ref="VK1546" ca="1">IFERROR(INDEX(nombres[],SMALL(IF(OFFSET(nombres[],0,0,ROWS(nombres[]),1)=VK$1490,ROW(OFFSET(nombres[],0,0,ROWS(nombres[]),1))-ROW(OFFSET(nombres[],0,0,1,1))+1,ROW(OFFSET(nombres[],ROWS(nombres[])-1,0,1,1))+1),$O1546:$O1565),3),"")</f>
        <v/>
      </c>
      <c r="VL1546" s="42" t="str">
        <f t="array" aca="1" ref="VL1546" ca="1">IFERROR(INDEX(nombres[],SMALL(IF(OFFSET(nombres[],0,0,ROWS(nombres[]),1)=VL$1490,ROW(OFFSET(nombres[],0,0,ROWS(nombres[]),1))-ROW(OFFSET(nombres[],0,0,1,1))+1,ROW(OFFSET(nombres[],ROWS(nombres[])-1,0,1,1))+1),$O1546:$O1565),3),"")</f>
        <v/>
      </c>
      <c r="VM1546" s="42" t="str">
        <f t="array" aca="1" ref="VM1546" ca="1">IFERROR(INDEX(nombres[],SMALL(IF(OFFSET(nombres[],0,0,ROWS(nombres[]),1)=VM$1490,ROW(OFFSET(nombres[],0,0,ROWS(nombres[]),1))-ROW(OFFSET(nombres[],0,0,1,1))+1,ROW(OFFSET(nombres[],ROWS(nombres[])-1,0,1,1))+1),$O1546:$O1565),3),"")</f>
        <v/>
      </c>
      <c r="VN1546" s="42" t="str">
        <f t="array" aca="1" ref="VN1546" ca="1">IFERROR(INDEX(nombres[],SMALL(IF(OFFSET(nombres[],0,0,ROWS(nombres[]),1)=VN$1490,ROW(OFFSET(nombres[],0,0,ROWS(nombres[]),1))-ROW(OFFSET(nombres[],0,0,1,1))+1,ROW(OFFSET(nombres[],ROWS(nombres[])-1,0,1,1))+1),$O1546:$O1565),3),"")</f>
        <v/>
      </c>
      <c r="VO1546" s="42" t="str">
        <f t="array" aca="1" ref="VO1546" ca="1">IFERROR(INDEX(nombres[],SMALL(IF(OFFSET(nombres[],0,0,ROWS(nombres[]),1)=VO$1490,ROW(OFFSET(nombres[],0,0,ROWS(nombres[]),1))-ROW(OFFSET(nombres[],0,0,1,1))+1,ROW(OFFSET(nombres[],ROWS(nombres[])-1,0,1,1))+1),$O1546:$O1565),3),"")</f>
        <v/>
      </c>
      <c r="VP1546" s="42" t="str">
        <f t="array" aca="1" ref="VP1546" ca="1">IFERROR(INDEX(nombres[],SMALL(IF(OFFSET(nombres[],0,0,ROWS(nombres[]),1)=VP$1490,ROW(OFFSET(nombres[],0,0,ROWS(nombres[]),1))-ROW(OFFSET(nombres[],0,0,1,1))+1,ROW(OFFSET(nombres[],ROWS(nombres[])-1,0,1,1))+1),$O1546:$O1565),3),"")</f>
        <v/>
      </c>
      <c r="VQ1546" s="42" t="str">
        <f t="array" aca="1" ref="VQ1546" ca="1">IFERROR(INDEX(nombres[],SMALL(IF(OFFSET(nombres[],0,0,ROWS(nombres[]),1)=VQ$1490,ROW(OFFSET(nombres[],0,0,ROWS(nombres[]),1))-ROW(OFFSET(nombres[],0,0,1,1))+1,ROW(OFFSET(nombres[],ROWS(nombres[])-1,0,1,1))+1),$O1546:$O1565),3),"")</f>
        <v/>
      </c>
      <c r="VR1546" s="42" t="str">
        <f t="array" aca="1" ref="VR1546" ca="1">IFERROR(INDEX(nombres[],SMALL(IF(OFFSET(nombres[],0,0,ROWS(nombres[]),1)=VR$1490,ROW(OFFSET(nombres[],0,0,ROWS(nombres[]),1))-ROW(OFFSET(nombres[],0,0,1,1))+1,ROW(OFFSET(nombres[],ROWS(nombres[])-1,0,1,1))+1),$O1546:$O1565),3),"")</f>
        <v/>
      </c>
      <c r="VS1546" s="42" t="str">
        <f t="array" aca="1" ref="VS1546" ca="1">IFERROR(INDEX(nombres[],SMALL(IF(OFFSET(nombres[],0,0,ROWS(nombres[]),1)=VS$1490,ROW(OFFSET(nombres[],0,0,ROWS(nombres[]),1))-ROW(OFFSET(nombres[],0,0,1,1))+1,ROW(OFFSET(nombres[],ROWS(nombres[])-1,0,1,1))+1),$O1546:$O1565),3),"")</f>
        <v/>
      </c>
      <c r="VT1546" s="42" t="str">
        <f t="array" aca="1" ref="VT1546" ca="1">IFERROR(INDEX(nombres[],SMALL(IF(OFFSET(nombres[],0,0,ROWS(nombres[]),1)=VT$1490,ROW(OFFSET(nombres[],0,0,ROWS(nombres[]),1))-ROW(OFFSET(nombres[],0,0,1,1))+1,ROW(OFFSET(nombres[],ROWS(nombres[])-1,0,1,1))+1),$O1546:$O1565),3),"")</f>
        <v/>
      </c>
      <c r="VU1546" s="42" t="str">
        <f t="array" aca="1" ref="VU1546" ca="1">IFERROR(INDEX(nombres[],SMALL(IF(OFFSET(nombres[],0,0,ROWS(nombres[]),1)=VU$1490,ROW(OFFSET(nombres[],0,0,ROWS(nombres[]),1))-ROW(OFFSET(nombres[],0,0,1,1))+1,ROW(OFFSET(nombres[],ROWS(nombres[])-1,0,1,1))+1),$O1546:$O1565),3),"")</f>
        <v/>
      </c>
      <c r="VV1546" s="42" t="str">
        <f t="array" aca="1" ref="VV1546" ca="1">IFERROR(INDEX(nombres[],SMALL(IF(OFFSET(nombres[],0,0,ROWS(nombres[]),1)=VV$1490,ROW(OFFSET(nombres[],0,0,ROWS(nombres[]),1))-ROW(OFFSET(nombres[],0,0,1,1))+1,ROW(OFFSET(nombres[],ROWS(nombres[])-1,0,1,1))+1),$O1546:$O1565),3),"")</f>
        <v/>
      </c>
      <c r="VW1546" s="42" t="str">
        <f t="array" aca="1" ref="VW1546" ca="1">IFERROR(INDEX(nombres[],SMALL(IF(OFFSET(nombres[],0,0,ROWS(nombres[]),1)=VW$1490,ROW(OFFSET(nombres[],0,0,ROWS(nombres[]),1))-ROW(OFFSET(nombres[],0,0,1,1))+1,ROW(OFFSET(nombres[],ROWS(nombres[])-1,0,1,1))+1),$O1546:$O1565),3),"")</f>
        <v/>
      </c>
      <c r="VX1546" s="42" t="str">
        <f t="array" aca="1" ref="VX1546" ca="1">IFERROR(INDEX(nombres[],SMALL(IF(OFFSET(nombres[],0,0,ROWS(nombres[]),1)=VX$1490,ROW(OFFSET(nombres[],0,0,ROWS(nombres[]),1))-ROW(OFFSET(nombres[],0,0,1,1))+1,ROW(OFFSET(nombres[],ROWS(nombres[])-1,0,1,1))+1),$O1546:$O1565),3),"")</f>
        <v/>
      </c>
      <c r="VY1546" s="42" t="str">
        <f t="array" aca="1" ref="VY1546" ca="1">IFERROR(INDEX(nombres[],SMALL(IF(OFFSET(nombres[],0,0,ROWS(nombres[]),1)=VY$1490,ROW(OFFSET(nombres[],0,0,ROWS(nombres[]),1))-ROW(OFFSET(nombres[],0,0,1,1))+1,ROW(OFFSET(nombres[],ROWS(nombres[])-1,0,1,1))+1),$O1546:$O1565),3),"")</f>
        <v/>
      </c>
      <c r="VZ1546" s="42" t="str">
        <f t="array" aca="1" ref="VZ1546" ca="1">IFERROR(INDEX(nombres[],SMALL(IF(OFFSET(nombres[],0,0,ROWS(nombres[]),1)=VZ$1490,ROW(OFFSET(nombres[],0,0,ROWS(nombres[]),1))-ROW(OFFSET(nombres[],0,0,1,1))+1,ROW(OFFSET(nombres[],ROWS(nombres[])-1,0,1,1))+1),$O1546:$O1565),3),"")</f>
        <v/>
      </c>
      <c r="WA1546" s="42" t="str">
        <f t="array" aca="1" ref="WA1546" ca="1">IFERROR(INDEX(nombres[],SMALL(IF(OFFSET(nombres[],0,0,ROWS(nombres[]),1)=WA$1490,ROW(OFFSET(nombres[],0,0,ROWS(nombres[]),1))-ROW(OFFSET(nombres[],0,0,1,1))+1,ROW(OFFSET(nombres[],ROWS(nombres[])-1,0,1,1))+1),$O1546:$O1565),3),"")</f>
        <v/>
      </c>
      <c r="WB1546" s="42" t="str">
        <f t="array" aca="1" ref="WB1546" ca="1">IFERROR(INDEX(nombres[],SMALL(IF(OFFSET(nombres[],0,0,ROWS(nombres[]),1)=WB$1490,ROW(OFFSET(nombres[],0,0,ROWS(nombres[]),1))-ROW(OFFSET(nombres[],0,0,1,1))+1,ROW(OFFSET(nombres[],ROWS(nombres[])-1,0,1,1))+1),$O1546:$O1565),3),"")</f>
        <v/>
      </c>
      <c r="WC1546" s="42" t="str">
        <f t="array" aca="1" ref="WC1546" ca="1">IFERROR(INDEX(nombres[],SMALL(IF(OFFSET(nombres[],0,0,ROWS(nombres[]),1)=WC$1490,ROW(OFFSET(nombres[],0,0,ROWS(nombres[]),1))-ROW(OFFSET(nombres[],0,0,1,1))+1,ROW(OFFSET(nombres[],ROWS(nombres[])-1,0,1,1))+1),$O1546:$O1565),3),"")</f>
        <v/>
      </c>
      <c r="WD1546" s="42" t="str">
        <f t="array" aca="1" ref="WD1546" ca="1">IFERROR(INDEX(nombres[],SMALL(IF(OFFSET(nombres[],0,0,ROWS(nombres[]),1)=WD$1490,ROW(OFFSET(nombres[],0,0,ROWS(nombres[]),1))-ROW(OFFSET(nombres[],0,0,1,1))+1,ROW(OFFSET(nombres[],ROWS(nombres[])-1,0,1,1))+1),$O1546:$O1565),3),"")</f>
        <v/>
      </c>
      <c r="WE1546" s="42" t="str">
        <f t="array" aca="1" ref="WE1546" ca="1">IFERROR(INDEX(nombres[],SMALL(IF(OFFSET(nombres[],0,0,ROWS(nombres[]),1)=WE$1490,ROW(OFFSET(nombres[],0,0,ROWS(nombres[]),1))-ROW(OFFSET(nombres[],0,0,1,1))+1,ROW(OFFSET(nombres[],ROWS(nombres[])-1,0,1,1))+1),$O1546:$O1565),3),"")</f>
        <v/>
      </c>
      <c r="WF1546" s="42" t="str">
        <f t="array" aca="1" ref="WF1546" ca="1">IFERROR(INDEX(nombres[],SMALL(IF(OFFSET(nombres[],0,0,ROWS(nombres[]),1)=WF$1490,ROW(OFFSET(nombres[],0,0,ROWS(nombres[]),1))-ROW(OFFSET(nombres[],0,0,1,1))+1,ROW(OFFSET(nombres[],ROWS(nombres[])-1,0,1,1))+1),$O1546:$O1565),3),"")</f>
        <v/>
      </c>
      <c r="WG1546" s="42" t="str">
        <f t="array" aca="1" ref="WG1546" ca="1">IFERROR(INDEX(nombres[],SMALL(IF(OFFSET(nombres[],0,0,ROWS(nombres[]),1)=WG$1490,ROW(OFFSET(nombres[],0,0,ROWS(nombres[]),1))-ROW(OFFSET(nombres[],0,0,1,1))+1,ROW(OFFSET(nombres[],ROWS(nombres[])-1,0,1,1))+1),$O1546:$O1565),3),"")</f>
        <v/>
      </c>
      <c r="WH1546" s="42" t="str">
        <f t="array" aca="1" ref="WH1546" ca="1">IFERROR(INDEX(nombres[],SMALL(IF(OFFSET(nombres[],0,0,ROWS(nombres[]),1)=WH$1490,ROW(OFFSET(nombres[],0,0,ROWS(nombres[]),1))-ROW(OFFSET(nombres[],0,0,1,1))+1,ROW(OFFSET(nombres[],ROWS(nombres[])-1,0,1,1))+1),$O1546:$O1565),3),"")</f>
        <v/>
      </c>
      <c r="WI1546" s="42" t="str">
        <f t="array" aca="1" ref="WI1546" ca="1">IFERROR(INDEX(nombres[],SMALL(IF(OFFSET(nombres[],0,0,ROWS(nombres[]),1)=WI$1490,ROW(OFFSET(nombres[],0,0,ROWS(nombres[]),1))-ROW(OFFSET(nombres[],0,0,1,1))+1,ROW(OFFSET(nombres[],ROWS(nombres[])-1,0,1,1))+1),$O1546:$O1565),3),"")</f>
        <v/>
      </c>
      <c r="WJ1546" s="42" t="str">
        <f t="array" aca="1" ref="WJ1546" ca="1">IFERROR(INDEX(nombres[],SMALL(IF(OFFSET(nombres[],0,0,ROWS(nombres[]),1)=WJ$1490,ROW(OFFSET(nombres[],0,0,ROWS(nombres[]),1))-ROW(OFFSET(nombres[],0,0,1,1))+1,ROW(OFFSET(nombres[],ROWS(nombres[])-1,0,1,1))+1),$O1546:$O1565),3),"")</f>
        <v/>
      </c>
      <c r="WK1546" s="42" t="str">
        <f t="array" aca="1" ref="WK1546" ca="1">IFERROR(INDEX(nombres[],SMALL(IF(OFFSET(nombres[],0,0,ROWS(nombres[]),1)=WK$1490,ROW(OFFSET(nombres[],0,0,ROWS(nombres[]),1))-ROW(OFFSET(nombres[],0,0,1,1))+1,ROW(OFFSET(nombres[],ROWS(nombres[])-1,0,1,1))+1),$O1546:$O1565),3),"")</f>
        <v/>
      </c>
      <c r="WL1546" s="42" t="str">
        <f t="array" aca="1" ref="WL1546" ca="1">IFERROR(INDEX(nombres[],SMALL(IF(OFFSET(nombres[],0,0,ROWS(nombres[]),1)=WL$1490,ROW(OFFSET(nombres[],0,0,ROWS(nombres[]),1))-ROW(OFFSET(nombres[],0,0,1,1))+1,ROW(OFFSET(nombres[],ROWS(nombres[])-1,0,1,1))+1),$O1546:$O1565),3),"")</f>
        <v/>
      </c>
      <c r="WM1546" s="42" t="str">
        <f t="array" aca="1" ref="WM1546" ca="1">IFERROR(INDEX(nombres[],SMALL(IF(OFFSET(nombres[],0,0,ROWS(nombres[]),1)=WM$1490,ROW(OFFSET(nombres[],0,0,ROWS(nombres[]),1))-ROW(OFFSET(nombres[],0,0,1,1))+1,ROW(OFFSET(nombres[],ROWS(nombres[])-1,0,1,1))+1),$O1546:$O1565),3),"")</f>
        <v/>
      </c>
      <c r="WN1546" s="42" t="str">
        <f t="array" aca="1" ref="WN1546" ca="1">IFERROR(INDEX(nombres[],SMALL(IF(OFFSET(nombres[],0,0,ROWS(nombres[]),1)=WN$1490,ROW(OFFSET(nombres[],0,0,ROWS(nombres[]),1))-ROW(OFFSET(nombres[],0,0,1,1))+1,ROW(OFFSET(nombres[],ROWS(nombres[])-1,0,1,1))+1),$O1546:$O1565),3),"")</f>
        <v/>
      </c>
      <c r="WO1546" s="42" t="str">
        <f t="array" aca="1" ref="WO1546" ca="1">IFERROR(INDEX(nombres[],SMALL(IF(OFFSET(nombres[],0,0,ROWS(nombres[]),1)=WO$1490,ROW(OFFSET(nombres[],0,0,ROWS(nombres[]),1))-ROW(OFFSET(nombres[],0,0,1,1))+1,ROW(OFFSET(nombres[],ROWS(nombres[])-1,0,1,1))+1),$O1546:$O1565),3),"")</f>
        <v/>
      </c>
      <c r="WP1546" s="42" t="str">
        <f t="array" aca="1" ref="WP1546" ca="1">IFERROR(INDEX(nombres[],SMALL(IF(OFFSET(nombres[],0,0,ROWS(nombres[]),1)=WP$1490,ROW(OFFSET(nombres[],0,0,ROWS(nombres[]),1))-ROW(OFFSET(nombres[],0,0,1,1))+1,ROW(OFFSET(nombres[],ROWS(nombres[])-1,0,1,1))+1),$O1546:$O1565),3),"")</f>
        <v/>
      </c>
      <c r="WQ1546" s="42" t="str">
        <f t="array" aca="1" ref="WQ1546" ca="1">IFERROR(INDEX(nombres[],SMALL(IF(OFFSET(nombres[],0,0,ROWS(nombres[]),1)=WQ$1490,ROW(OFFSET(nombres[],0,0,ROWS(nombres[]),1))-ROW(OFFSET(nombres[],0,0,1,1))+1,ROW(OFFSET(nombres[],ROWS(nombres[])-1,0,1,1))+1),$O1546:$O1565),3),"")</f>
        <v/>
      </c>
      <c r="WR1546" s="42" t="str">
        <f t="array" aca="1" ref="WR1546" ca="1">IFERROR(INDEX(nombres[],SMALL(IF(OFFSET(nombres[],0,0,ROWS(nombres[]),1)=WR$1490,ROW(OFFSET(nombres[],0,0,ROWS(nombres[]),1))-ROW(OFFSET(nombres[],0,0,1,1))+1,ROW(OFFSET(nombres[],ROWS(nombres[])-1,0,1,1))+1),$O1546:$O1565),3),"")</f>
        <v/>
      </c>
      <c r="WS1546" s="42" t="str">
        <f t="array" aca="1" ref="WS1546" ca="1">IFERROR(INDEX(nombres[],SMALL(IF(OFFSET(nombres[],0,0,ROWS(nombres[]),1)=WS$1490,ROW(OFFSET(nombres[],0,0,ROWS(nombres[]),1))-ROW(OFFSET(nombres[],0,0,1,1))+1,ROW(OFFSET(nombres[],ROWS(nombres[])-1,0,1,1))+1),$O1546:$O1565),3),"")</f>
        <v/>
      </c>
      <c r="WT1546" s="42" t="str">
        <f t="array" aca="1" ref="WT1546" ca="1">IFERROR(INDEX(nombres[],SMALL(IF(OFFSET(nombres[],0,0,ROWS(nombres[]),1)=WT$1490,ROW(OFFSET(nombres[],0,0,ROWS(nombres[]),1))-ROW(OFFSET(nombres[],0,0,1,1))+1,ROW(OFFSET(nombres[],ROWS(nombres[])-1,0,1,1))+1),$O1546:$O1565),3),"")</f>
        <v/>
      </c>
      <c r="WU1546" s="42" t="str">
        <f t="array" aca="1" ref="WU1546" ca="1">IFERROR(INDEX(nombres[],SMALL(IF(OFFSET(nombres[],0,0,ROWS(nombres[]),1)=WU$1490,ROW(OFFSET(nombres[],0,0,ROWS(nombres[]),1))-ROW(OFFSET(nombres[],0,0,1,1))+1,ROW(OFFSET(nombres[],ROWS(nombres[])-1,0,1,1))+1),$O1546:$O1565),3),"")</f>
        <v/>
      </c>
      <c r="WV1546" s="42" t="str">
        <f t="array" aca="1" ref="WV1546" ca="1">IFERROR(INDEX(nombres[],SMALL(IF(OFFSET(nombres[],0,0,ROWS(nombres[]),1)=WV$1490,ROW(OFFSET(nombres[],0,0,ROWS(nombres[]),1))-ROW(OFFSET(nombres[],0,0,1,1))+1,ROW(OFFSET(nombres[],ROWS(nombres[])-1,0,1,1))+1),$O1546:$O1565),3),"")</f>
        <v/>
      </c>
      <c r="WW1546" s="42" t="str">
        <f t="array" aca="1" ref="WW1546" ca="1">IFERROR(INDEX(nombres[],SMALL(IF(OFFSET(nombres[],0,0,ROWS(nombres[]),1)=WW$1490,ROW(OFFSET(nombres[],0,0,ROWS(nombres[]),1))-ROW(OFFSET(nombres[],0,0,1,1))+1,ROW(OFFSET(nombres[],ROWS(nombres[])-1,0,1,1))+1),$O1546:$O1565),3),"")</f>
        <v/>
      </c>
      <c r="WX1546" s="42" t="str">
        <f t="array" aca="1" ref="WX1546" ca="1">IFERROR(INDEX(nombres[],SMALL(IF(OFFSET(nombres[],0,0,ROWS(nombres[]),1)=WX$1490,ROW(OFFSET(nombres[],0,0,ROWS(nombres[]),1))-ROW(OFFSET(nombres[],0,0,1,1))+1,ROW(OFFSET(nombres[],ROWS(nombres[])-1,0,1,1))+1),$O1546:$O1565),3),"")</f>
        <v/>
      </c>
      <c r="WY1546" s="42" t="str">
        <f t="array" aca="1" ref="WY1546" ca="1">IFERROR(INDEX(nombres[],SMALL(IF(OFFSET(nombres[],0,0,ROWS(nombres[]),1)=WY$1490,ROW(OFFSET(nombres[],0,0,ROWS(nombres[]),1))-ROW(OFFSET(nombres[],0,0,1,1))+1,ROW(OFFSET(nombres[],ROWS(nombres[])-1,0,1,1))+1),$O1546:$O1565),3),"")</f>
        <v/>
      </c>
      <c r="WZ1546" s="42" t="str">
        <f t="array" aca="1" ref="WZ1546" ca="1">IFERROR(INDEX(nombres[],SMALL(IF(OFFSET(nombres[],0,0,ROWS(nombres[]),1)=WZ$1490,ROW(OFFSET(nombres[],0,0,ROWS(nombres[]),1))-ROW(OFFSET(nombres[],0,0,1,1))+1,ROW(OFFSET(nombres[],ROWS(nombres[])-1,0,1,1))+1),$O1546:$O1565),3),"")</f>
        <v/>
      </c>
      <c r="XA1546" s="42" t="str">
        <f t="array" aca="1" ref="XA1546" ca="1">IFERROR(INDEX(nombres[],SMALL(IF(OFFSET(nombres[],0,0,ROWS(nombres[]),1)=XA$1490,ROW(OFFSET(nombres[],0,0,ROWS(nombres[]),1))-ROW(OFFSET(nombres[],0,0,1,1))+1,ROW(OFFSET(nombres[],ROWS(nombres[])-1,0,1,1))+1),$O1546:$O1565),3),"")</f>
        <v/>
      </c>
      <c r="XB1546" s="42" t="str">
        <f t="array" aca="1" ref="XB1546" ca="1">IFERROR(INDEX(nombres[],SMALL(IF(OFFSET(nombres[],0,0,ROWS(nombres[]),1)=XB$1490,ROW(OFFSET(nombres[],0,0,ROWS(nombres[]),1))-ROW(OFFSET(nombres[],0,0,1,1))+1,ROW(OFFSET(nombres[],ROWS(nombres[])-1,0,1,1))+1),$O1546:$O1565),3),"")</f>
        <v/>
      </c>
      <c r="XC1546" s="42" t="str">
        <f t="array" aca="1" ref="XC1546" ca="1">IFERROR(INDEX(nombres[],SMALL(IF(OFFSET(nombres[],0,0,ROWS(nombres[]),1)=XC$1490,ROW(OFFSET(nombres[],0,0,ROWS(nombres[]),1))-ROW(OFFSET(nombres[],0,0,1,1))+1,ROW(OFFSET(nombres[],ROWS(nombres[])-1,0,1,1))+1),$O1546:$O1565),3),"")</f>
        <v/>
      </c>
      <c r="XD1546" s="42" t="str">
        <f t="array" aca="1" ref="XD1546" ca="1">IFERROR(INDEX(nombres[],SMALL(IF(OFFSET(nombres[],0,0,ROWS(nombres[]),1)=XD$1490,ROW(OFFSET(nombres[],0,0,ROWS(nombres[]),1))-ROW(OFFSET(nombres[],0,0,1,1))+1,ROW(OFFSET(nombres[],ROWS(nombres[])-1,0,1,1))+1),$O1546:$O1565),3),"")</f>
        <v/>
      </c>
      <c r="XE1546" s="42" t="str">
        <f t="array" aca="1" ref="XE1546" ca="1">IFERROR(INDEX(nombres[],SMALL(IF(OFFSET(nombres[],0,0,ROWS(nombres[]),1)=XE$1490,ROW(OFFSET(nombres[],0,0,ROWS(nombres[]),1))-ROW(OFFSET(nombres[],0,0,1,1))+1,ROW(OFFSET(nombres[],ROWS(nombres[])-1,0,1,1))+1),$O1546:$O1565),3),"")</f>
        <v/>
      </c>
      <c r="XF1546" s="42" t="str">
        <f t="array" aca="1" ref="XF1546" ca="1">IFERROR(INDEX(nombres[],SMALL(IF(OFFSET(nombres[],0,0,ROWS(nombres[]),1)=XF$1490,ROW(OFFSET(nombres[],0,0,ROWS(nombres[]),1))-ROW(OFFSET(nombres[],0,0,1,1))+1,ROW(OFFSET(nombres[],ROWS(nombres[])-1,0,1,1))+1),$O1546:$O1565),3),"")</f>
        <v/>
      </c>
      <c r="XG1546" s="42" t="str">
        <f t="array" aca="1" ref="XG1546" ca="1">IFERROR(INDEX(nombres[],SMALL(IF(OFFSET(nombres[],0,0,ROWS(nombres[]),1)=XG$1490,ROW(OFFSET(nombres[],0,0,ROWS(nombres[]),1))-ROW(OFFSET(nombres[],0,0,1,1))+1,ROW(OFFSET(nombres[],ROWS(nombres[])-1,0,1,1))+1),$O1546:$O1565),3),"")</f>
        <v/>
      </c>
      <c r="XH1546" s="42" t="str">
        <f t="array" aca="1" ref="XH1546" ca="1">IFERROR(INDEX(nombres[],SMALL(IF(OFFSET(nombres[],0,0,ROWS(nombres[]),1)=XH$1490,ROW(OFFSET(nombres[],0,0,ROWS(nombres[]),1))-ROW(OFFSET(nombres[],0,0,1,1))+1,ROW(OFFSET(nombres[],ROWS(nombres[])-1,0,1,1))+1),$O1546:$O1565),3),"")</f>
        <v/>
      </c>
      <c r="XI1546" s="42" t="str">
        <f t="array" aca="1" ref="XI1546" ca="1">IFERROR(INDEX(nombres[],SMALL(IF(OFFSET(nombres[],0,0,ROWS(nombres[]),1)=XI$1490,ROW(OFFSET(nombres[],0,0,ROWS(nombres[]),1))-ROW(OFFSET(nombres[],0,0,1,1))+1,ROW(OFFSET(nombres[],ROWS(nombres[])-1,0,1,1))+1),$O1546:$O1565),3),"")</f>
        <v/>
      </c>
      <c r="XJ1546" s="42" t="str">
        <f t="array" aca="1" ref="XJ1546" ca="1">IFERROR(INDEX(nombres[],SMALL(IF(OFFSET(nombres[],0,0,ROWS(nombres[]),1)=XJ$1490,ROW(OFFSET(nombres[],0,0,ROWS(nombres[]),1))-ROW(OFFSET(nombres[],0,0,1,1))+1,ROW(OFFSET(nombres[],ROWS(nombres[])-1,0,1,1))+1),$O1546:$O1565),3),"")</f>
        <v/>
      </c>
      <c r="XK1546" s="42" t="str">
        <f t="array" aca="1" ref="XK1546" ca="1">IFERROR(INDEX(nombres[],SMALL(IF(OFFSET(nombres[],0,0,ROWS(nombres[]),1)=XK$1490,ROW(OFFSET(nombres[],0,0,ROWS(nombres[]),1))-ROW(OFFSET(nombres[],0,0,1,1))+1,ROW(OFFSET(nombres[],ROWS(nombres[])-1,0,1,1))+1),$O1546:$O1565),3),"")</f>
        <v/>
      </c>
      <c r="XL1546" s="42" t="str">
        <f t="array" aca="1" ref="XL1546" ca="1">IFERROR(INDEX(nombres[],SMALL(IF(OFFSET(nombres[],0,0,ROWS(nombres[]),1)=XL$1490,ROW(OFFSET(nombres[],0,0,ROWS(nombres[]),1))-ROW(OFFSET(nombres[],0,0,1,1))+1,ROW(OFFSET(nombres[],ROWS(nombres[])-1,0,1,1))+1),$O1546:$O1565),3),"")</f>
        <v/>
      </c>
      <c r="XM1546" s="42" t="str">
        <f t="array" aca="1" ref="XM1546" ca="1">IFERROR(INDEX(nombres[],SMALL(IF(OFFSET(nombres[],0,0,ROWS(nombres[]),1)=XM$1490,ROW(OFFSET(nombres[],0,0,ROWS(nombres[]),1))-ROW(OFFSET(nombres[],0,0,1,1))+1,ROW(OFFSET(nombres[],ROWS(nombres[])-1,0,1,1))+1),$O1546:$O1565),3),"")</f>
        <v/>
      </c>
      <c r="XN1546" s="42" t="str">
        <f t="array" aca="1" ref="XN1546" ca="1">IFERROR(INDEX(nombres[],SMALL(IF(OFFSET(nombres[],0,0,ROWS(nombres[]),1)=XN$1490,ROW(OFFSET(nombres[],0,0,ROWS(nombres[]),1))-ROW(OFFSET(nombres[],0,0,1,1))+1,ROW(OFFSET(nombres[],ROWS(nombres[])-1,0,1,1))+1),$O1546:$O1565),3),"")</f>
        <v/>
      </c>
      <c r="XO1546" s="42" t="str">
        <f t="array" aca="1" ref="XO1546" ca="1">IFERROR(INDEX(nombres[],SMALL(IF(OFFSET(nombres[],0,0,ROWS(nombres[]),1)=XO$1490,ROW(OFFSET(nombres[],0,0,ROWS(nombres[]),1))-ROW(OFFSET(nombres[],0,0,1,1))+1,ROW(OFFSET(nombres[],ROWS(nombres[])-1,0,1,1))+1),$O1546:$O1565),3),"")</f>
        <v/>
      </c>
      <c r="XP1546" s="42" t="str">
        <f t="array" aca="1" ref="XP1546" ca="1">IFERROR(INDEX(nombres[],SMALL(IF(OFFSET(nombres[],0,0,ROWS(nombres[]),1)=XP$1490,ROW(OFFSET(nombres[],0,0,ROWS(nombres[]),1))-ROW(OFFSET(nombres[],0,0,1,1))+1,ROW(OFFSET(nombres[],ROWS(nombres[])-1,0,1,1))+1),$O1546:$O1565),3),"")</f>
        <v/>
      </c>
      <c r="XQ1546" s="42" t="str">
        <f t="array" aca="1" ref="XQ1546" ca="1">IFERROR(INDEX(nombres[],SMALL(IF(OFFSET(nombres[],0,0,ROWS(nombres[]),1)=XQ$1490,ROW(OFFSET(nombres[],0,0,ROWS(nombres[]),1))-ROW(OFFSET(nombres[],0,0,1,1))+1,ROW(OFFSET(nombres[],ROWS(nombres[])-1,0,1,1))+1),$O1546:$O1565),3),"")</f>
        <v/>
      </c>
      <c r="XR1546" s="42" t="str">
        <f t="array" aca="1" ref="XR1546" ca="1">IFERROR(INDEX(nombres[],SMALL(IF(OFFSET(nombres[],0,0,ROWS(nombres[]),1)=XR$1490,ROW(OFFSET(nombres[],0,0,ROWS(nombres[]),1))-ROW(OFFSET(nombres[],0,0,1,1))+1,ROW(OFFSET(nombres[],ROWS(nombres[])-1,0,1,1))+1),$O1546:$O1565),3),"")</f>
        <v/>
      </c>
      <c r="XS1546" s="42" t="str">
        <f t="array" aca="1" ref="XS1546" ca="1">IFERROR(INDEX(nombres[],SMALL(IF(OFFSET(nombres[],0,0,ROWS(nombres[]),1)=XS$1490,ROW(OFFSET(nombres[],0,0,ROWS(nombres[]),1))-ROW(OFFSET(nombres[],0,0,1,1))+1,ROW(OFFSET(nombres[],ROWS(nombres[])-1,0,1,1))+1),$O1546:$O1565),3),"")</f>
        <v/>
      </c>
      <c r="XT1546" s="42" t="str">
        <f t="array" aca="1" ref="XT1546" ca="1">IFERROR(INDEX(nombres[],SMALL(IF(OFFSET(nombres[],0,0,ROWS(nombres[]),1)=XT$1490,ROW(OFFSET(nombres[],0,0,ROWS(nombres[]),1))-ROW(OFFSET(nombres[],0,0,1,1))+1,ROW(OFFSET(nombres[],ROWS(nombres[])-1,0,1,1))+1),$O1546:$O1565),3),"")</f>
        <v/>
      </c>
      <c r="XU1546" s="42" t="str">
        <f t="array" aca="1" ref="XU1546" ca="1">IFERROR(INDEX(nombres[],SMALL(IF(OFFSET(nombres[],0,0,ROWS(nombres[]),1)=XU$1490,ROW(OFFSET(nombres[],0,0,ROWS(nombres[]),1))-ROW(OFFSET(nombres[],0,0,1,1))+1,ROW(OFFSET(nombres[],ROWS(nombres[])-1,0,1,1))+1),$O1546:$O1565),3),"")</f>
        <v/>
      </c>
      <c r="XV1546" s="42" t="str">
        <f t="array" aca="1" ref="XV1546" ca="1">IFERROR(INDEX(nombres[],SMALL(IF(OFFSET(nombres[],0,0,ROWS(nombres[]),1)=XV$1490,ROW(OFFSET(nombres[],0,0,ROWS(nombres[]),1))-ROW(OFFSET(nombres[],0,0,1,1))+1,ROW(OFFSET(nombres[],ROWS(nombres[])-1,0,1,1))+1),$O1546:$O1565),3),"")</f>
        <v/>
      </c>
      <c r="XW1546" s="42" t="str">
        <f t="array" aca="1" ref="XW1546" ca="1">IFERROR(INDEX(nombres[],SMALL(IF(OFFSET(nombres[],0,0,ROWS(nombres[]),1)=XW$1490,ROW(OFFSET(nombres[],0,0,ROWS(nombres[]),1))-ROW(OFFSET(nombres[],0,0,1,1))+1,ROW(OFFSET(nombres[],ROWS(nombres[])-1,0,1,1))+1),$O1546:$O1565),3),"")</f>
        <v/>
      </c>
      <c r="XX1546" s="42" t="str">
        <f t="array" aca="1" ref="XX1546" ca="1">IFERROR(INDEX(nombres[],SMALL(IF(OFFSET(nombres[],0,0,ROWS(nombres[]),1)=XX$1490,ROW(OFFSET(nombres[],0,0,ROWS(nombres[]),1))-ROW(OFFSET(nombres[],0,0,1,1))+1,ROW(OFFSET(nombres[],ROWS(nombres[])-1,0,1,1))+1),$O1546:$O1565),3),"")</f>
        <v/>
      </c>
      <c r="XY1546" s="42" t="str">
        <f t="array" aca="1" ref="XY1546" ca="1">IFERROR(INDEX(nombres[],SMALL(IF(OFFSET(nombres[],0,0,ROWS(nombres[]),1)=XY$1490,ROW(OFFSET(nombres[],0,0,ROWS(nombres[]),1))-ROW(OFFSET(nombres[],0,0,1,1))+1,ROW(OFFSET(nombres[],ROWS(nombres[])-1,0,1,1))+1),$O1546:$O1565),3),"")</f>
        <v/>
      </c>
      <c r="XZ1546" s="42" t="str">
        <f t="array" aca="1" ref="XZ1546" ca="1">IFERROR(INDEX(nombres[],SMALL(IF(OFFSET(nombres[],0,0,ROWS(nombres[]),1)=XZ$1490,ROW(OFFSET(nombres[],0,0,ROWS(nombres[]),1))-ROW(OFFSET(nombres[],0,0,1,1))+1,ROW(OFFSET(nombres[],ROWS(nombres[])-1,0,1,1))+1),$O1546:$O1565),3),"")</f>
        <v/>
      </c>
      <c r="YA1546" s="42" t="str">
        <f t="array" aca="1" ref="YA1546" ca="1">IFERROR(INDEX(nombres[],SMALL(IF(OFFSET(nombres[],0,0,ROWS(nombres[]),1)=YA$1490,ROW(OFFSET(nombres[],0,0,ROWS(nombres[]),1))-ROW(OFFSET(nombres[],0,0,1,1))+1,ROW(OFFSET(nombres[],ROWS(nombres[])-1,0,1,1))+1),$O1546:$O1565),3),"")</f>
        <v/>
      </c>
      <c r="YB1546" s="42" t="str">
        <f t="array" aca="1" ref="YB1546" ca="1">IFERROR(INDEX(nombres[],SMALL(IF(OFFSET(nombres[],0,0,ROWS(nombres[]),1)=YB$1490,ROW(OFFSET(nombres[],0,0,ROWS(nombres[]),1))-ROW(OFFSET(nombres[],0,0,1,1))+1,ROW(OFFSET(nombres[],ROWS(nombres[])-1,0,1,1))+1),$O1546:$O1565),3),"")</f>
        <v/>
      </c>
      <c r="YC1546" s="42" t="str">
        <f t="array" aca="1" ref="YC1546" ca="1">IFERROR(INDEX(nombres[],SMALL(IF(OFFSET(nombres[],0,0,ROWS(nombres[]),1)=YC$1490,ROW(OFFSET(nombres[],0,0,ROWS(nombres[]),1))-ROW(OFFSET(nombres[],0,0,1,1))+1,ROW(OFFSET(nombres[],ROWS(nombres[])-1,0,1,1))+1),$O1546:$O1565),3),"")</f>
        <v/>
      </c>
      <c r="YD1546" s="42" t="str">
        <f t="array" aca="1" ref="YD1546" ca="1">IFERROR(INDEX(nombres[],SMALL(IF(OFFSET(nombres[],0,0,ROWS(nombres[]),1)=YD$1490,ROW(OFFSET(nombres[],0,0,ROWS(nombres[]),1))-ROW(OFFSET(nombres[],0,0,1,1))+1,ROW(OFFSET(nombres[],ROWS(nombres[])-1,0,1,1))+1),$O1546:$O1565),3),"")</f>
        <v/>
      </c>
      <c r="YE1546" s="42" t="str">
        <f t="array" aca="1" ref="YE1546" ca="1">IFERROR(INDEX(nombres[],SMALL(IF(OFFSET(nombres[],0,0,ROWS(nombres[]),1)=YE$1490,ROW(OFFSET(nombres[],0,0,ROWS(nombres[]),1))-ROW(OFFSET(nombres[],0,0,1,1))+1,ROW(OFFSET(nombres[],ROWS(nombres[])-1,0,1,1))+1),$O1546:$O1565),3),"")</f>
        <v/>
      </c>
      <c r="YF1546" s="42" t="str">
        <f t="array" aca="1" ref="YF1546" ca="1">IFERROR(INDEX(nombres[],SMALL(IF(OFFSET(nombres[],0,0,ROWS(nombres[]),1)=YF$1490,ROW(OFFSET(nombres[],0,0,ROWS(nombres[]),1))-ROW(OFFSET(nombres[],0,0,1,1))+1,ROW(OFFSET(nombres[],ROWS(nombres[])-1,0,1,1))+1),$O1546:$O1565),3),"")</f>
        <v/>
      </c>
      <c r="YG1546" s="42" t="str">
        <f t="array" aca="1" ref="YG1546" ca="1">IFERROR(INDEX(nombres[],SMALL(IF(OFFSET(nombres[],0,0,ROWS(nombres[]),1)=YG$1490,ROW(OFFSET(nombres[],0,0,ROWS(nombres[]),1))-ROW(OFFSET(nombres[],0,0,1,1))+1,ROW(OFFSET(nombres[],ROWS(nombres[])-1,0,1,1))+1),$O1546:$O1565),3),"")</f>
        <v/>
      </c>
      <c r="YH1546" s="42" t="str">
        <f t="array" aca="1" ref="YH1546" ca="1">IFERROR(INDEX(nombres[],SMALL(IF(OFFSET(nombres[],0,0,ROWS(nombres[]),1)=YH$1490,ROW(OFFSET(nombres[],0,0,ROWS(nombres[]),1))-ROW(OFFSET(nombres[],0,0,1,1))+1,ROW(OFFSET(nombres[],ROWS(nombres[])-1,0,1,1))+1),$O1546:$O1565),3),"")</f>
        <v/>
      </c>
      <c r="YI1546" s="42" t="str">
        <f t="array" aca="1" ref="YI1546" ca="1">IFERROR(INDEX(nombres[],SMALL(IF(OFFSET(nombres[],0,0,ROWS(nombres[]),1)=YI$1490,ROW(OFFSET(nombres[],0,0,ROWS(nombres[]),1))-ROW(OFFSET(nombres[],0,0,1,1))+1,ROW(OFFSET(nombres[],ROWS(nombres[])-1,0,1,1))+1),$O1546:$O1565),3),"")</f>
        <v/>
      </c>
      <c r="YJ1546" s="42" t="str">
        <f t="array" aca="1" ref="YJ1546" ca="1">IFERROR(INDEX(nombres[],SMALL(IF(OFFSET(nombres[],0,0,ROWS(nombres[]),1)=YJ$1490,ROW(OFFSET(nombres[],0,0,ROWS(nombres[]),1))-ROW(OFFSET(nombres[],0,0,1,1))+1,ROW(OFFSET(nombres[],ROWS(nombres[])-1,0,1,1))+1),$O1546:$O1565),3),"")</f>
        <v/>
      </c>
      <c r="YK1546" s="42" t="str">
        <f t="array" aca="1" ref="YK1546" ca="1">IFERROR(INDEX(nombres[],SMALL(IF(OFFSET(nombres[],0,0,ROWS(nombres[]),1)=YK$1490,ROW(OFFSET(nombres[],0,0,ROWS(nombres[]),1))-ROW(OFFSET(nombres[],0,0,1,1))+1,ROW(OFFSET(nombres[],ROWS(nombres[])-1,0,1,1))+1),$O1546:$O1565),3),"")</f>
        <v/>
      </c>
      <c r="YL1546" s="42" t="str">
        <f t="array" aca="1" ref="YL1546" ca="1">IFERROR(INDEX(nombres[],SMALL(IF(OFFSET(nombres[],0,0,ROWS(nombres[]),1)=YL$1490,ROW(OFFSET(nombres[],0,0,ROWS(nombres[]),1))-ROW(OFFSET(nombres[],0,0,1,1))+1,ROW(OFFSET(nombres[],ROWS(nombres[])-1,0,1,1))+1),$O1546:$O1565),3),"")</f>
        <v/>
      </c>
      <c r="YM1546" s="42" t="str">
        <f t="array" aca="1" ref="YM1546" ca="1">IFERROR(INDEX(nombres[],SMALL(IF(OFFSET(nombres[],0,0,ROWS(nombres[]),1)=YM$1490,ROW(OFFSET(nombres[],0,0,ROWS(nombres[]),1))-ROW(OFFSET(nombres[],0,0,1,1))+1,ROW(OFFSET(nombres[],ROWS(nombres[])-1,0,1,1))+1),$O1546:$O1565),3),"")</f>
        <v/>
      </c>
      <c r="YN1546" s="42" t="str">
        <f t="array" aca="1" ref="YN1546" ca="1">IFERROR(INDEX(nombres[],SMALL(IF(OFFSET(nombres[],0,0,ROWS(nombres[]),1)=YN$1490,ROW(OFFSET(nombres[],0,0,ROWS(nombres[]),1))-ROW(OFFSET(nombres[],0,0,1,1))+1,ROW(OFFSET(nombres[],ROWS(nombres[])-1,0,1,1))+1),$O1546:$O1565),3),"")</f>
        <v/>
      </c>
      <c r="YO1546" s="42" t="str">
        <f t="array" aca="1" ref="YO1546" ca="1">IFERROR(INDEX(nombres[],SMALL(IF(OFFSET(nombres[],0,0,ROWS(nombres[]),1)=YO$1490,ROW(OFFSET(nombres[],0,0,ROWS(nombres[]),1))-ROW(OFFSET(nombres[],0,0,1,1))+1,ROW(OFFSET(nombres[],ROWS(nombres[])-1,0,1,1))+1),$O1546:$O1565),3),"")</f>
        <v/>
      </c>
      <c r="YP1546" s="42" t="str">
        <f t="array" aca="1" ref="YP1546" ca="1">IFERROR(INDEX(nombres[],SMALL(IF(OFFSET(nombres[],0,0,ROWS(nombres[]),1)=YP$1490,ROW(OFFSET(nombres[],0,0,ROWS(nombres[]),1))-ROW(OFFSET(nombres[],0,0,1,1))+1,ROW(OFFSET(nombres[],ROWS(nombres[])-1,0,1,1))+1),$O1546:$O1565),3),"")</f>
        <v/>
      </c>
      <c r="YQ1546" s="42" t="str">
        <f t="array" aca="1" ref="YQ1546" ca="1">IFERROR(INDEX(nombres[],SMALL(IF(OFFSET(nombres[],0,0,ROWS(nombres[]),1)=YQ$1490,ROW(OFFSET(nombres[],0,0,ROWS(nombres[]),1))-ROW(OFFSET(nombres[],0,0,1,1))+1,ROW(OFFSET(nombres[],ROWS(nombres[])-1,0,1,1))+1),$O1546:$O1565),3),"")</f>
        <v/>
      </c>
      <c r="YR1546" s="42" t="str">
        <f t="array" aca="1" ref="YR1546" ca="1">IFERROR(INDEX(nombres[],SMALL(IF(OFFSET(nombres[],0,0,ROWS(nombres[]),1)=YR$1490,ROW(OFFSET(nombres[],0,0,ROWS(nombres[]),1))-ROW(OFFSET(nombres[],0,0,1,1))+1,ROW(OFFSET(nombres[],ROWS(nombres[])-1,0,1,1))+1),$O1546:$O1565),3),"")</f>
        <v/>
      </c>
      <c r="YS1546" s="42" t="str">
        <f t="array" aca="1" ref="YS1546" ca="1">IFERROR(INDEX(nombres[],SMALL(IF(OFFSET(nombres[],0,0,ROWS(nombres[]),1)=YS$1490,ROW(OFFSET(nombres[],0,0,ROWS(nombres[]),1))-ROW(OFFSET(nombres[],0,0,1,1))+1,ROW(OFFSET(nombres[],ROWS(nombres[])-1,0,1,1))+1),$O1546:$O1565),3),"")</f>
        <v/>
      </c>
      <c r="YT1546" s="42" t="str">
        <f t="array" aca="1" ref="YT1546" ca="1">IFERROR(INDEX(nombres[],SMALL(IF(OFFSET(nombres[],0,0,ROWS(nombres[]),1)=YT$1490,ROW(OFFSET(nombres[],0,0,ROWS(nombres[]),1))-ROW(OFFSET(nombres[],0,0,1,1))+1,ROW(OFFSET(nombres[],ROWS(nombres[])-1,0,1,1))+1),$O1546:$O1565),3),"")</f>
        <v/>
      </c>
      <c r="YU1546" s="42" t="str">
        <f t="array" aca="1" ref="YU1546" ca="1">IFERROR(INDEX(nombres[],SMALL(IF(OFFSET(nombres[],0,0,ROWS(nombres[]),1)=YU$1490,ROW(OFFSET(nombres[],0,0,ROWS(nombres[]),1))-ROW(OFFSET(nombres[],0,0,1,1))+1,ROW(OFFSET(nombres[],ROWS(nombres[])-1,0,1,1))+1),$O1546:$O1565),3),"")</f>
        <v/>
      </c>
      <c r="YV1546" s="42" t="str">
        <f t="array" aca="1" ref="YV1546" ca="1">IFERROR(INDEX(nombres[],SMALL(IF(OFFSET(nombres[],0,0,ROWS(nombres[]),1)=YV$1490,ROW(OFFSET(nombres[],0,0,ROWS(nombres[]),1))-ROW(OFFSET(nombres[],0,0,1,1))+1,ROW(OFFSET(nombres[],ROWS(nombres[])-1,0,1,1))+1),$O1546:$O1565),3),"")</f>
        <v/>
      </c>
      <c r="YW1546" s="42" t="str">
        <f t="array" aca="1" ref="YW1546" ca="1">IFERROR(INDEX(nombres[],SMALL(IF(OFFSET(nombres[],0,0,ROWS(nombres[]),1)=YW$1490,ROW(OFFSET(nombres[],0,0,ROWS(nombres[]),1))-ROW(OFFSET(nombres[],0,0,1,1))+1,ROW(OFFSET(nombres[],ROWS(nombres[])-1,0,1,1))+1),$O1546:$O1565),3),"")</f>
        <v/>
      </c>
      <c r="YX1546" s="42" t="str">
        <f t="array" aca="1" ref="YX1546" ca="1">IFERROR(INDEX(nombres[],SMALL(IF(OFFSET(nombres[],0,0,ROWS(nombres[]),1)=YX$1490,ROW(OFFSET(nombres[],0,0,ROWS(nombres[]),1))-ROW(OFFSET(nombres[],0,0,1,1))+1,ROW(OFFSET(nombres[],ROWS(nombres[])-1,0,1,1))+1),$O1546:$O1565),3),"")</f>
        <v/>
      </c>
      <c r="YY1546" s="42" t="str">
        <f t="array" aca="1" ref="YY1546" ca="1">IFERROR(INDEX(nombres[],SMALL(IF(OFFSET(nombres[],0,0,ROWS(nombres[]),1)=YY$1490,ROW(OFFSET(nombres[],0,0,ROWS(nombres[]),1))-ROW(OFFSET(nombres[],0,0,1,1))+1,ROW(OFFSET(nombres[],ROWS(nombres[])-1,0,1,1))+1),$O1546:$O1565),3),"")</f>
        <v/>
      </c>
      <c r="YZ1546" s="42" t="str">
        <f t="array" aca="1" ref="YZ1546" ca="1">IFERROR(INDEX(nombres[],SMALL(IF(OFFSET(nombres[],0,0,ROWS(nombres[]),1)=YZ$1490,ROW(OFFSET(nombres[],0,0,ROWS(nombres[]),1))-ROW(OFFSET(nombres[],0,0,1,1))+1,ROW(OFFSET(nombres[],ROWS(nombres[])-1,0,1,1))+1),$O1546:$O1565),3),"")</f>
        <v/>
      </c>
      <c r="ZA1546" s="42" t="str">
        <f t="array" aca="1" ref="ZA1546" ca="1">IFERROR(INDEX(nombres[],SMALL(IF(OFFSET(nombres[],0,0,ROWS(nombres[]),1)=ZA$1490,ROW(OFFSET(nombres[],0,0,ROWS(nombres[]),1))-ROW(OFFSET(nombres[],0,0,1,1))+1,ROW(OFFSET(nombres[],ROWS(nombres[])-1,0,1,1))+1),$O1546:$O1565),3),"")</f>
        <v/>
      </c>
      <c r="ZB1546" s="42" t="str">
        <f t="array" aca="1" ref="ZB1546" ca="1">IFERROR(INDEX(nombres[],SMALL(IF(OFFSET(nombres[],0,0,ROWS(nombres[]),1)=ZB$1490,ROW(OFFSET(nombres[],0,0,ROWS(nombres[]),1))-ROW(OFFSET(nombres[],0,0,1,1))+1,ROW(OFFSET(nombres[],ROWS(nombres[])-1,0,1,1))+1),$O1546:$O1565),3),"")</f>
        <v/>
      </c>
      <c r="ZC1546" s="42" t="str">
        <f t="array" aca="1" ref="ZC1546" ca="1">IFERROR(INDEX(nombres[],SMALL(IF(OFFSET(nombres[],0,0,ROWS(nombres[]),1)=ZC$1490,ROW(OFFSET(nombres[],0,0,ROWS(nombres[]),1))-ROW(OFFSET(nombres[],0,0,1,1))+1,ROW(OFFSET(nombres[],ROWS(nombres[])-1,0,1,1))+1),$O1546:$O1565),3),"")</f>
        <v/>
      </c>
      <c r="ZD1546" s="42" t="str">
        <f t="array" aca="1" ref="ZD1546" ca="1">IFERROR(INDEX(nombres[],SMALL(IF(OFFSET(nombres[],0,0,ROWS(nombres[]),1)=ZD$1490,ROW(OFFSET(nombres[],0,0,ROWS(nombres[]),1))-ROW(OFFSET(nombres[],0,0,1,1))+1,ROW(OFFSET(nombres[],ROWS(nombres[])-1,0,1,1))+1),$O1546:$O1565),3),"")</f>
        <v/>
      </c>
      <c r="ZE1546" s="42" t="str">
        <f t="array" aca="1" ref="ZE1546" ca="1">IFERROR(INDEX(nombres[],SMALL(IF(OFFSET(nombres[],0,0,ROWS(nombres[]),1)=ZE$1490,ROW(OFFSET(nombres[],0,0,ROWS(nombres[]),1))-ROW(OFFSET(nombres[],0,0,1,1))+1,ROW(OFFSET(nombres[],ROWS(nombres[])-1,0,1,1))+1),$O1546:$O1565),3),"")</f>
        <v/>
      </c>
      <c r="ZF1546" s="42" t="str">
        <f t="array" aca="1" ref="ZF1546" ca="1">IFERROR(INDEX(nombres[],SMALL(IF(OFFSET(nombres[],0,0,ROWS(nombres[]),1)=ZF$1490,ROW(OFFSET(nombres[],0,0,ROWS(nombres[]),1))-ROW(OFFSET(nombres[],0,0,1,1))+1,ROW(OFFSET(nombres[],ROWS(nombres[])-1,0,1,1))+1),$O1546:$O1565),3),"")</f>
        <v/>
      </c>
      <c r="ZG1546" s="42" t="str">
        <f t="array" aca="1" ref="ZG1546" ca="1">IFERROR(INDEX(nombres[],SMALL(IF(OFFSET(nombres[],0,0,ROWS(nombres[]),1)=ZG$1490,ROW(OFFSET(nombres[],0,0,ROWS(nombres[]),1))-ROW(OFFSET(nombres[],0,0,1,1))+1,ROW(OFFSET(nombres[],ROWS(nombres[])-1,0,1,1))+1),$O1546:$O1565),3),"")</f>
        <v/>
      </c>
      <c r="ZH1546" s="42" t="str">
        <f t="array" aca="1" ref="ZH1546" ca="1">IFERROR(INDEX(nombres[],SMALL(IF(OFFSET(nombres[],0,0,ROWS(nombres[]),1)=ZH$1490,ROW(OFFSET(nombres[],0,0,ROWS(nombres[]),1))-ROW(OFFSET(nombres[],0,0,1,1))+1,ROW(OFFSET(nombres[],ROWS(nombres[])-1,0,1,1))+1),$O1546:$O1565),3),"")</f>
        <v/>
      </c>
      <c r="ZI1546" s="42" t="str">
        <f t="array" aca="1" ref="ZI1546" ca="1">IFERROR(INDEX(nombres[],SMALL(IF(OFFSET(nombres[],0,0,ROWS(nombres[]),1)=ZI$1490,ROW(OFFSET(nombres[],0,0,ROWS(nombres[]),1))-ROW(OFFSET(nombres[],0,0,1,1))+1,ROW(OFFSET(nombres[],ROWS(nombres[])-1,0,1,1))+1),$O1546:$O1565),3),"")</f>
        <v/>
      </c>
      <c r="ZJ1546" s="42" t="str">
        <f t="array" aca="1" ref="ZJ1546" ca="1">IFERROR(INDEX(nombres[],SMALL(IF(OFFSET(nombres[],0,0,ROWS(nombres[]),1)=ZJ$1490,ROW(OFFSET(nombres[],0,0,ROWS(nombres[]),1))-ROW(OFFSET(nombres[],0,0,1,1))+1,ROW(OFFSET(nombres[],ROWS(nombres[])-1,0,1,1))+1),$O1546:$O1565),3),"")</f>
        <v/>
      </c>
      <c r="ZK1546" s="42" t="str">
        <f t="array" aca="1" ref="ZK1546" ca="1">IFERROR(INDEX(nombres[],SMALL(IF(OFFSET(nombres[],0,0,ROWS(nombres[]),1)=ZK$1490,ROW(OFFSET(nombres[],0,0,ROWS(nombres[]),1))-ROW(OFFSET(nombres[],0,0,1,1))+1,ROW(OFFSET(nombres[],ROWS(nombres[])-1,0,1,1))+1),$O1546:$O1565),3),"")</f>
        <v/>
      </c>
      <c r="ZL1546" s="42" t="str">
        <f t="array" aca="1" ref="ZL1546" ca="1">IFERROR(INDEX(nombres[],SMALL(IF(OFFSET(nombres[],0,0,ROWS(nombres[]),1)=ZL$1490,ROW(OFFSET(nombres[],0,0,ROWS(nombres[]),1))-ROW(OFFSET(nombres[],0,0,1,1))+1,ROW(OFFSET(nombres[],ROWS(nombres[])-1,0,1,1))+1),$O1546:$O1565),3),"")</f>
        <v/>
      </c>
      <c r="ZM1546" s="42" t="str">
        <f t="array" aca="1" ref="ZM1546" ca="1">IFERROR(INDEX(nombres[],SMALL(IF(OFFSET(nombres[],0,0,ROWS(nombres[]),1)=ZM$1490,ROW(OFFSET(nombres[],0,0,ROWS(nombres[]),1))-ROW(OFFSET(nombres[],0,0,1,1))+1,ROW(OFFSET(nombres[],ROWS(nombres[])-1,0,1,1))+1),$O1546:$O1565),3),"")</f>
        <v/>
      </c>
      <c r="ZN1546" s="42" t="str">
        <f t="array" aca="1" ref="ZN1546" ca="1">IFERROR(INDEX(nombres[],SMALL(IF(OFFSET(nombres[],0,0,ROWS(nombres[]),1)=ZN$1490,ROW(OFFSET(nombres[],0,0,ROWS(nombres[]),1))-ROW(OFFSET(nombres[],0,0,1,1))+1,ROW(OFFSET(nombres[],ROWS(nombres[])-1,0,1,1))+1),$O1546:$O1565),3),"")</f>
        <v/>
      </c>
      <c r="ZO1546" s="42" t="str">
        <f t="array" aca="1" ref="ZO1546" ca="1">IFERROR(INDEX(nombres[],SMALL(IF(OFFSET(nombres[],0,0,ROWS(nombres[]),1)=ZO$1490,ROW(OFFSET(nombres[],0,0,ROWS(nombres[]),1))-ROW(OFFSET(nombres[],0,0,1,1))+1,ROW(OFFSET(nombres[],ROWS(nombres[])-1,0,1,1))+1),$O1546:$O1565),3),"")</f>
        <v/>
      </c>
      <c r="ZP1546" s="42" t="str">
        <f t="array" aca="1" ref="ZP1546" ca="1">IFERROR(INDEX(nombres[],SMALL(IF(OFFSET(nombres[],0,0,ROWS(nombres[]),1)=ZP$1490,ROW(OFFSET(nombres[],0,0,ROWS(nombres[]),1))-ROW(OFFSET(nombres[],0,0,1,1))+1,ROW(OFFSET(nombres[],ROWS(nombres[])-1,0,1,1))+1),$O1546:$O1565),3),"")</f>
        <v/>
      </c>
      <c r="ZQ1546" s="42" t="str">
        <f t="array" aca="1" ref="ZQ1546" ca="1">IFERROR(INDEX(nombres[],SMALL(IF(OFFSET(nombres[],0,0,ROWS(nombres[]),1)=ZQ$1490,ROW(OFFSET(nombres[],0,0,ROWS(nombres[]),1))-ROW(OFFSET(nombres[],0,0,1,1))+1,ROW(OFFSET(nombres[],ROWS(nombres[])-1,0,1,1))+1),$O1546:$O1565),3),"")</f>
        <v/>
      </c>
      <c r="ZR1546" s="42" t="str">
        <f t="array" aca="1" ref="ZR1546" ca="1">IFERROR(INDEX(nombres[],SMALL(IF(OFFSET(nombres[],0,0,ROWS(nombres[]),1)=ZR$1490,ROW(OFFSET(nombres[],0,0,ROWS(nombres[]),1))-ROW(OFFSET(nombres[],0,0,1,1))+1,ROW(OFFSET(nombres[],ROWS(nombres[])-1,0,1,1))+1),$O1546:$O1565),3),"")</f>
        <v/>
      </c>
      <c r="ZS1546" s="42" t="str">
        <f t="array" aca="1" ref="ZS1546" ca="1">IFERROR(INDEX(nombres[],SMALL(IF(OFFSET(nombres[],0,0,ROWS(nombres[]),1)=ZS$1490,ROW(OFFSET(nombres[],0,0,ROWS(nombres[]),1))-ROW(OFFSET(nombres[],0,0,1,1))+1,ROW(OFFSET(nombres[],ROWS(nombres[])-1,0,1,1))+1),$O1546:$O1565),3),"")</f>
        <v/>
      </c>
      <c r="ZT1546" s="42" t="str">
        <f t="array" aca="1" ref="ZT1546" ca="1">IFERROR(INDEX(nombres[],SMALL(IF(OFFSET(nombres[],0,0,ROWS(nombres[]),1)=ZT$1490,ROW(OFFSET(nombres[],0,0,ROWS(nombres[]),1))-ROW(OFFSET(nombres[],0,0,1,1))+1,ROW(OFFSET(nombres[],ROWS(nombres[])-1,0,1,1))+1),$O1546:$O1565),3),"")</f>
        <v/>
      </c>
      <c r="ZU1546" s="42" t="str">
        <f t="array" aca="1" ref="ZU1546" ca="1">IFERROR(INDEX(nombres[],SMALL(IF(OFFSET(nombres[],0,0,ROWS(nombres[]),1)=ZU$1490,ROW(OFFSET(nombres[],0,0,ROWS(nombres[]),1))-ROW(OFFSET(nombres[],0,0,1,1))+1,ROW(OFFSET(nombres[],ROWS(nombres[])-1,0,1,1))+1),$O1546:$O1565),3),"")</f>
        <v/>
      </c>
      <c r="ZV1546" s="42" t="str">
        <f t="array" aca="1" ref="ZV1546" ca="1">IFERROR(INDEX(nombres[],SMALL(IF(OFFSET(nombres[],0,0,ROWS(nombres[]),1)=ZV$1490,ROW(OFFSET(nombres[],0,0,ROWS(nombres[]),1))-ROW(OFFSET(nombres[],0,0,1,1))+1,ROW(OFFSET(nombres[],ROWS(nombres[])-1,0,1,1))+1),$O1546:$O1565),3),"")</f>
        <v/>
      </c>
      <c r="ZW1546" s="42" t="str">
        <f t="array" aca="1" ref="ZW1546" ca="1">IFERROR(INDEX(nombres[],SMALL(IF(OFFSET(nombres[],0,0,ROWS(nombres[]),1)=ZW$1490,ROW(OFFSET(nombres[],0,0,ROWS(nombres[]),1))-ROW(OFFSET(nombres[],0,0,1,1))+1,ROW(OFFSET(nombres[],ROWS(nombres[])-1,0,1,1))+1),$O1546:$O1565),3),"")</f>
        <v/>
      </c>
      <c r="ZX1546" s="42" t="str">
        <f t="array" aca="1" ref="ZX1546" ca="1">IFERROR(INDEX(nombres[],SMALL(IF(OFFSET(nombres[],0,0,ROWS(nombres[]),1)=ZX$1490,ROW(OFFSET(nombres[],0,0,ROWS(nombres[]),1))-ROW(OFFSET(nombres[],0,0,1,1))+1,ROW(OFFSET(nombres[],ROWS(nombres[])-1,0,1,1))+1),$O1546:$O1565),3),"")</f>
        <v/>
      </c>
      <c r="ZY1546" s="42" t="str">
        <f t="array" aca="1" ref="ZY1546" ca="1">IFERROR(INDEX(nombres[],SMALL(IF(OFFSET(nombres[],0,0,ROWS(nombres[]),1)=ZY$1490,ROW(OFFSET(nombres[],0,0,ROWS(nombres[]),1))-ROW(OFFSET(nombres[],0,0,1,1))+1,ROW(OFFSET(nombres[],ROWS(nombres[])-1,0,1,1))+1),$O1546:$O1565),3),"")</f>
        <v/>
      </c>
      <c r="ZZ1546" s="42" t="str">
        <f t="array" aca="1" ref="ZZ1546" ca="1">IFERROR(INDEX(nombres[],SMALL(IF(OFFSET(nombres[],0,0,ROWS(nombres[]),1)=ZZ$1490,ROW(OFFSET(nombres[],0,0,ROWS(nombres[]),1))-ROW(OFFSET(nombres[],0,0,1,1))+1,ROW(OFFSET(nombres[],ROWS(nombres[])-1,0,1,1))+1),$O1546:$O1565),3),"")</f>
        <v/>
      </c>
      <c r="AAA1546" s="42" t="str">
        <f t="array" aca="1" ref="AAA1546" ca="1">IFERROR(INDEX(nombres[],SMALL(IF(OFFSET(nombres[],0,0,ROWS(nombres[]),1)=AAA$1490,ROW(OFFSET(nombres[],0,0,ROWS(nombres[]),1))-ROW(OFFSET(nombres[],0,0,1,1))+1,ROW(OFFSET(nombres[],ROWS(nombres[])-1,0,1,1))+1),$O1546:$O1565),3),"")</f>
        <v/>
      </c>
      <c r="AAB1546" s="42" t="str">
        <f t="array" aca="1" ref="AAB1546" ca="1">IFERROR(INDEX(nombres[],SMALL(IF(OFFSET(nombres[],0,0,ROWS(nombres[]),1)=AAB$1490,ROW(OFFSET(nombres[],0,0,ROWS(nombres[]),1))-ROW(OFFSET(nombres[],0,0,1,1))+1,ROW(OFFSET(nombres[],ROWS(nombres[])-1,0,1,1))+1),$O1546:$O1565),3),"")</f>
        <v/>
      </c>
      <c r="AAC1546" s="42" t="str">
        <f t="array" aca="1" ref="AAC1546" ca="1">IFERROR(INDEX(nombres[],SMALL(IF(OFFSET(nombres[],0,0,ROWS(nombres[]),1)=AAC$1490,ROW(OFFSET(nombres[],0,0,ROWS(nombres[]),1))-ROW(OFFSET(nombres[],0,0,1,1))+1,ROW(OFFSET(nombres[],ROWS(nombres[])-1,0,1,1))+1),$O1546:$O1565),3),"")</f>
        <v/>
      </c>
      <c r="AAD1546" s="42" t="str">
        <f t="array" aca="1" ref="AAD1546" ca="1">IFERROR(INDEX(nombres[],SMALL(IF(OFFSET(nombres[],0,0,ROWS(nombres[]),1)=AAD$1490,ROW(OFFSET(nombres[],0,0,ROWS(nombres[]),1))-ROW(OFFSET(nombres[],0,0,1,1))+1,ROW(OFFSET(nombres[],ROWS(nombres[])-1,0,1,1))+1),$O1546:$O1565),3),"")</f>
        <v/>
      </c>
      <c r="AAE1546" s="42" t="str">
        <f t="array" aca="1" ref="AAE1546" ca="1">IFERROR(INDEX(nombres[],SMALL(IF(OFFSET(nombres[],0,0,ROWS(nombres[]),1)=AAE$1490,ROW(OFFSET(nombres[],0,0,ROWS(nombres[]),1))-ROW(OFFSET(nombres[],0,0,1,1))+1,ROW(OFFSET(nombres[],ROWS(nombres[])-1,0,1,1))+1),$O1546:$O1565),3),"")</f>
        <v/>
      </c>
      <c r="AAF1546" s="42" t="str">
        <f t="array" aca="1" ref="AAF1546" ca="1">IFERROR(INDEX(nombres[],SMALL(IF(OFFSET(nombres[],0,0,ROWS(nombres[]),1)=AAF$1490,ROW(OFFSET(nombres[],0,0,ROWS(nombres[]),1))-ROW(OFFSET(nombres[],0,0,1,1))+1,ROW(OFFSET(nombres[],ROWS(nombres[])-1,0,1,1))+1),$O1546:$O1565),3),"")</f>
        <v/>
      </c>
      <c r="AAG1546" s="42" t="str">
        <f t="array" aca="1" ref="AAG1546" ca="1">IFERROR(INDEX(nombres[],SMALL(IF(OFFSET(nombres[],0,0,ROWS(nombres[]),1)=AAG$1490,ROW(OFFSET(nombres[],0,0,ROWS(nombres[]),1))-ROW(OFFSET(nombres[],0,0,1,1))+1,ROW(OFFSET(nombres[],ROWS(nombres[])-1,0,1,1))+1),$O1546:$O1565),3),"")</f>
        <v/>
      </c>
      <c r="AAH1546" s="42" t="str">
        <f t="array" aca="1" ref="AAH1546" ca="1">IFERROR(INDEX(nombres[],SMALL(IF(OFFSET(nombres[],0,0,ROWS(nombres[]),1)=AAH$1490,ROW(OFFSET(nombres[],0,0,ROWS(nombres[]),1))-ROW(OFFSET(nombres[],0,0,1,1))+1,ROW(OFFSET(nombres[],ROWS(nombres[])-1,0,1,1))+1),$O1546:$O1565),3),"")</f>
        <v/>
      </c>
      <c r="AAI1546" s="42" t="str">
        <f t="array" aca="1" ref="AAI1546" ca="1">IFERROR(INDEX(nombres[],SMALL(IF(OFFSET(nombres[],0,0,ROWS(nombres[]),1)=AAI$1490,ROW(OFFSET(nombres[],0,0,ROWS(nombres[]),1))-ROW(OFFSET(nombres[],0,0,1,1))+1,ROW(OFFSET(nombres[],ROWS(nombres[])-1,0,1,1))+1),$O1546:$O1565),3),"")</f>
        <v/>
      </c>
      <c r="AAJ1546" s="42" t="str">
        <f t="array" aca="1" ref="AAJ1546" ca="1">IFERROR(INDEX(nombres[],SMALL(IF(OFFSET(nombres[],0,0,ROWS(nombres[]),1)=AAJ$1490,ROW(OFFSET(nombres[],0,0,ROWS(nombres[]),1))-ROW(OFFSET(nombres[],0,0,1,1))+1,ROW(OFFSET(nombres[],ROWS(nombres[])-1,0,1,1))+1),$O1546:$O1565),3),"")</f>
        <v/>
      </c>
      <c r="AAK1546" s="42" t="str">
        <f t="array" aca="1" ref="AAK1546" ca="1">IFERROR(INDEX(nombres[],SMALL(IF(OFFSET(nombres[],0,0,ROWS(nombres[]),1)=AAK$1490,ROW(OFFSET(nombres[],0,0,ROWS(nombres[]),1))-ROW(OFFSET(nombres[],0,0,1,1))+1,ROW(OFFSET(nombres[],ROWS(nombres[])-1,0,1,1))+1),$O1546:$O1565),3),"")</f>
        <v/>
      </c>
      <c r="AAL1546" s="42" t="str">
        <f t="array" aca="1" ref="AAL1546" ca="1">IFERROR(INDEX(nombres[],SMALL(IF(OFFSET(nombres[],0,0,ROWS(nombres[]),1)=AAL$1490,ROW(OFFSET(nombres[],0,0,ROWS(nombres[]),1))-ROW(OFFSET(nombres[],0,0,1,1))+1,ROW(OFFSET(nombres[],ROWS(nombres[])-1,0,1,1))+1),$O1546:$O1565),3),"")</f>
        <v/>
      </c>
      <c r="AAM1546" s="42" t="str">
        <f t="array" aca="1" ref="AAM1546" ca="1">IFERROR(INDEX(nombres[],SMALL(IF(OFFSET(nombres[],0,0,ROWS(nombres[]),1)=AAM$1490,ROW(OFFSET(nombres[],0,0,ROWS(nombres[]),1))-ROW(OFFSET(nombres[],0,0,1,1))+1,ROW(OFFSET(nombres[],ROWS(nombres[])-1,0,1,1))+1),$O1546:$O1565),3),"")</f>
        <v/>
      </c>
      <c r="AAN1546" s="42" t="str">
        <f t="array" aca="1" ref="AAN1546" ca="1">IFERROR(INDEX(nombres[],SMALL(IF(OFFSET(nombres[],0,0,ROWS(nombres[]),1)=AAN$1490,ROW(OFFSET(nombres[],0,0,ROWS(nombres[]),1))-ROW(OFFSET(nombres[],0,0,1,1))+1,ROW(OFFSET(nombres[],ROWS(nombres[])-1,0,1,1))+1),$O1546:$O1565),3),"")</f>
        <v/>
      </c>
      <c r="AAO1546" s="42" t="str">
        <f t="array" aca="1" ref="AAO1546" ca="1">IFERROR(INDEX(nombres[],SMALL(IF(OFFSET(nombres[],0,0,ROWS(nombres[]),1)=AAO$1490,ROW(OFFSET(nombres[],0,0,ROWS(nombres[]),1))-ROW(OFFSET(nombres[],0,0,1,1))+1,ROW(OFFSET(nombres[],ROWS(nombres[])-1,0,1,1))+1),$O1546:$O1565),3),"")</f>
        <v/>
      </c>
      <c r="AAP1546" s="42" t="str">
        <f t="array" aca="1" ref="AAP1546" ca="1">IFERROR(INDEX(nombres[],SMALL(IF(OFFSET(nombres[],0,0,ROWS(nombres[]),1)=AAP$1490,ROW(OFFSET(nombres[],0,0,ROWS(nombres[]),1))-ROW(OFFSET(nombres[],0,0,1,1))+1,ROW(OFFSET(nombres[],ROWS(nombres[])-1,0,1,1))+1),$O1546:$O1565),3),"")</f>
        <v/>
      </c>
      <c r="AAQ1546" s="42" t="str">
        <f t="array" aca="1" ref="AAQ1546" ca="1">IFERROR(INDEX(nombres[],SMALL(IF(OFFSET(nombres[],0,0,ROWS(nombres[]),1)=AAQ$1490,ROW(OFFSET(nombres[],0,0,ROWS(nombres[]),1))-ROW(OFFSET(nombres[],0,0,1,1))+1,ROW(OFFSET(nombres[],ROWS(nombres[])-1,0,1,1))+1),$O1546:$O1565),3),"")</f>
        <v/>
      </c>
      <c r="AAR1546" s="42" t="str">
        <f t="array" aca="1" ref="AAR1546" ca="1">IFERROR(INDEX(nombres[],SMALL(IF(OFFSET(nombres[],0,0,ROWS(nombres[]),1)=AAR$1490,ROW(OFFSET(nombres[],0,0,ROWS(nombres[]),1))-ROW(OFFSET(nombres[],0,0,1,1))+1,ROW(OFFSET(nombres[],ROWS(nombres[])-1,0,1,1))+1),$O1546:$O1565),3),"")</f>
        <v/>
      </c>
      <c r="AAS1546" s="42" t="str">
        <f t="array" aca="1" ref="AAS1546" ca="1">IFERROR(INDEX(nombres[],SMALL(IF(OFFSET(nombres[],0,0,ROWS(nombres[]),1)=AAS$1490,ROW(OFFSET(nombres[],0,0,ROWS(nombres[]),1))-ROW(OFFSET(nombres[],0,0,1,1))+1,ROW(OFFSET(nombres[],ROWS(nombres[])-1,0,1,1))+1),$O1546:$O1565),3),"")</f>
        <v/>
      </c>
      <c r="AAT1546" s="42" t="str">
        <f t="array" aca="1" ref="AAT1546" ca="1">IFERROR(INDEX(nombres[],SMALL(IF(OFFSET(nombres[],0,0,ROWS(nombres[]),1)=AAT$1490,ROW(OFFSET(nombres[],0,0,ROWS(nombres[]),1))-ROW(OFFSET(nombres[],0,0,1,1))+1,ROW(OFFSET(nombres[],ROWS(nombres[])-1,0,1,1))+1),$O1546:$O1565),3),"")</f>
        <v/>
      </c>
      <c r="AAU1546" s="42" t="str">
        <f t="array" aca="1" ref="AAU1546" ca="1">IFERROR(INDEX(nombres[],SMALL(IF(OFFSET(nombres[],0,0,ROWS(nombres[]),1)=AAU$1490,ROW(OFFSET(nombres[],0,0,ROWS(nombres[]),1))-ROW(OFFSET(nombres[],0,0,1,1))+1,ROW(OFFSET(nombres[],ROWS(nombres[])-1,0,1,1))+1),$O1546:$O1565),3),"")</f>
        <v/>
      </c>
      <c r="AAV1546" s="42" t="str">
        <f t="array" aca="1" ref="AAV1546" ca="1">IFERROR(INDEX(nombres[],SMALL(IF(OFFSET(nombres[],0,0,ROWS(nombres[]),1)=AAV$1490,ROW(OFFSET(nombres[],0,0,ROWS(nombres[]),1))-ROW(OFFSET(nombres[],0,0,1,1))+1,ROW(OFFSET(nombres[],ROWS(nombres[])-1,0,1,1))+1),$O1546:$O1565),3),"")</f>
        <v/>
      </c>
      <c r="AAW1546" s="42" t="str">
        <f t="array" aca="1" ref="AAW1546" ca="1">IFERROR(INDEX(nombres[],SMALL(IF(OFFSET(nombres[],0,0,ROWS(nombres[]),1)=AAW$1490,ROW(OFFSET(nombres[],0,0,ROWS(nombres[]),1))-ROW(OFFSET(nombres[],0,0,1,1))+1,ROW(OFFSET(nombres[],ROWS(nombres[])-1,0,1,1))+1),$O1546:$O1565),3),"")</f>
        <v/>
      </c>
      <c r="AAX1546" s="42" t="str">
        <f t="array" aca="1" ref="AAX1546" ca="1">IFERROR(INDEX(nombres[],SMALL(IF(OFFSET(nombres[],0,0,ROWS(nombres[]),1)=AAX$1490,ROW(OFFSET(nombres[],0,0,ROWS(nombres[]),1))-ROW(OFFSET(nombres[],0,0,1,1))+1,ROW(OFFSET(nombres[],ROWS(nombres[])-1,0,1,1))+1),$O1546:$O1565),3),"")</f>
        <v/>
      </c>
      <c r="AAY1546" s="42" t="str">
        <f t="array" aca="1" ref="AAY1546" ca="1">IFERROR(INDEX(nombres[],SMALL(IF(OFFSET(nombres[],0,0,ROWS(nombres[]),1)=AAY$1490,ROW(OFFSET(nombres[],0,0,ROWS(nombres[]),1))-ROW(OFFSET(nombres[],0,0,1,1))+1,ROW(OFFSET(nombres[],ROWS(nombres[])-1,0,1,1))+1),$O1546:$O1565),3),"")</f>
        <v/>
      </c>
      <c r="AAZ1546" s="42" t="str">
        <f t="array" aca="1" ref="AAZ1546" ca="1">IFERROR(INDEX(nombres[],SMALL(IF(OFFSET(nombres[],0,0,ROWS(nombres[]),1)=AAZ$1490,ROW(OFFSET(nombres[],0,0,ROWS(nombres[]),1))-ROW(OFFSET(nombres[],0,0,1,1))+1,ROW(OFFSET(nombres[],ROWS(nombres[])-1,0,1,1))+1),$O1546:$O1565),3),"")</f>
        <v/>
      </c>
      <c r="ABA1546" s="42" t="str">
        <f t="array" aca="1" ref="ABA1546" ca="1">IFERROR(INDEX(nombres[],SMALL(IF(OFFSET(nombres[],0,0,ROWS(nombres[]),1)=ABA$1490,ROW(OFFSET(nombres[],0,0,ROWS(nombres[]),1))-ROW(OFFSET(nombres[],0,0,1,1))+1,ROW(OFFSET(nombres[],ROWS(nombres[])-1,0,1,1))+1),$O1546:$O1565),3),"")</f>
        <v/>
      </c>
      <c r="ABB1546" s="42" t="str">
        <f t="array" aca="1" ref="ABB1546" ca="1">IFERROR(INDEX(nombres[],SMALL(IF(OFFSET(nombres[],0,0,ROWS(nombres[]),1)=ABB$1490,ROW(OFFSET(nombres[],0,0,ROWS(nombres[]),1))-ROW(OFFSET(nombres[],0,0,1,1))+1,ROW(OFFSET(nombres[],ROWS(nombres[])-1,0,1,1))+1),$O1546:$O1565),3),"")</f>
        <v/>
      </c>
      <c r="ABC1546" s="42" t="str">
        <f t="array" aca="1" ref="ABC1546" ca="1">IFERROR(INDEX(nombres[],SMALL(IF(OFFSET(nombres[],0,0,ROWS(nombres[]),1)=ABC$1490,ROW(OFFSET(nombres[],0,0,ROWS(nombres[]),1))-ROW(OFFSET(nombres[],0,0,1,1))+1,ROW(OFFSET(nombres[],ROWS(nombres[])-1,0,1,1))+1),$O1546:$O1565),3),"")</f>
        <v/>
      </c>
      <c r="ABD1546" s="42" t="str">
        <f t="array" aca="1" ref="ABD1546" ca="1">IFERROR(INDEX(nombres[],SMALL(IF(OFFSET(nombres[],0,0,ROWS(nombres[]),1)=ABD$1490,ROW(OFFSET(nombres[],0,0,ROWS(nombres[]),1))-ROW(OFFSET(nombres[],0,0,1,1))+1,ROW(OFFSET(nombres[],ROWS(nombres[])-1,0,1,1))+1),$O1546:$O1565),3),"")</f>
        <v/>
      </c>
      <c r="ABE1546" s="42" t="str">
        <f t="array" aca="1" ref="ABE1546" ca="1">IFERROR(INDEX(nombres[],SMALL(IF(OFFSET(nombres[],0,0,ROWS(nombres[]),1)=ABE$1490,ROW(OFFSET(nombres[],0,0,ROWS(nombres[]),1))-ROW(OFFSET(nombres[],0,0,1,1))+1,ROW(OFFSET(nombres[],ROWS(nombres[])-1,0,1,1))+1),$O1546:$O1565),3),"")</f>
        <v/>
      </c>
      <c r="ABF1546" s="42" t="str">
        <f t="array" aca="1" ref="ABF1546" ca="1">IFERROR(INDEX(nombres[],SMALL(IF(OFFSET(nombres[],0,0,ROWS(nombres[]),1)=ABF$1490,ROW(OFFSET(nombres[],0,0,ROWS(nombres[]),1))-ROW(OFFSET(nombres[],0,0,1,1))+1,ROW(OFFSET(nombres[],ROWS(nombres[])-1,0,1,1))+1),$O1546:$O1565),3),"")</f>
        <v/>
      </c>
      <c r="ABG1546" s="42" t="str">
        <f t="array" aca="1" ref="ABG1546" ca="1">IFERROR(INDEX(nombres[],SMALL(IF(OFFSET(nombres[],0,0,ROWS(nombres[]),1)=ABG$1490,ROW(OFFSET(nombres[],0,0,ROWS(nombres[]),1))-ROW(OFFSET(nombres[],0,0,1,1))+1,ROW(OFFSET(nombres[],ROWS(nombres[])-1,0,1,1))+1),$O1546:$O1565),3),"")</f>
        <v/>
      </c>
      <c r="ABH1546" s="42" t="str">
        <f t="array" aca="1" ref="ABH1546" ca="1">IFERROR(INDEX(nombres[],SMALL(IF(OFFSET(nombres[],0,0,ROWS(nombres[]),1)=ABH$1490,ROW(OFFSET(nombres[],0,0,ROWS(nombres[]),1))-ROW(OFFSET(nombres[],0,0,1,1))+1,ROW(OFFSET(nombres[],ROWS(nombres[])-1,0,1,1))+1),$O1546:$O1565),3),"")</f>
        <v/>
      </c>
      <c r="ABI1546" s="42" t="str">
        <f t="array" aca="1" ref="ABI1546" ca="1">IFERROR(INDEX(nombres[],SMALL(IF(OFFSET(nombres[],0,0,ROWS(nombres[]),1)=ABI$1490,ROW(OFFSET(nombres[],0,0,ROWS(nombres[]),1))-ROW(OFFSET(nombres[],0,0,1,1))+1,ROW(OFFSET(nombres[],ROWS(nombres[])-1,0,1,1))+1),$O1546:$O1565),3),"")</f>
        <v/>
      </c>
      <c r="ABJ1546" s="42" t="str">
        <f t="array" aca="1" ref="ABJ1546" ca="1">IFERROR(INDEX(nombres[],SMALL(IF(OFFSET(nombres[],0,0,ROWS(nombres[]),1)=ABJ$1490,ROW(OFFSET(nombres[],0,0,ROWS(nombres[]),1))-ROW(OFFSET(nombres[],0,0,1,1))+1,ROW(OFFSET(nombres[],ROWS(nombres[])-1,0,1,1))+1),$O1546:$O1565),3),"")</f>
        <v/>
      </c>
      <c r="ABK1546" s="42" t="str">
        <f t="array" aca="1" ref="ABK1546" ca="1">IFERROR(INDEX(nombres[],SMALL(IF(OFFSET(nombres[],0,0,ROWS(nombres[]),1)=ABK$1490,ROW(OFFSET(nombres[],0,0,ROWS(nombres[]),1))-ROW(OFFSET(nombres[],0,0,1,1))+1,ROW(OFFSET(nombres[],ROWS(nombres[])-1,0,1,1))+1),$O1546:$O1565),3),"")</f>
        <v/>
      </c>
      <c r="ABL1546" s="42" t="str">
        <f t="array" aca="1" ref="ABL1546" ca="1">IFERROR(INDEX(nombres[],SMALL(IF(OFFSET(nombres[],0,0,ROWS(nombres[]),1)=ABL$1490,ROW(OFFSET(nombres[],0,0,ROWS(nombres[]),1))-ROW(OFFSET(nombres[],0,0,1,1))+1,ROW(OFFSET(nombres[],ROWS(nombres[])-1,0,1,1))+1),$O1546:$O1565),3),"")</f>
        <v/>
      </c>
      <c r="ABM1546" s="42" t="str">
        <f t="array" aca="1" ref="ABM1546" ca="1">IFERROR(INDEX(nombres[],SMALL(IF(OFFSET(nombres[],0,0,ROWS(nombres[]),1)=ABM$1490,ROW(OFFSET(nombres[],0,0,ROWS(nombres[]),1))-ROW(OFFSET(nombres[],0,0,1,1))+1,ROW(OFFSET(nombres[],ROWS(nombres[])-1,0,1,1))+1),$O1546:$O1565),3),"")</f>
        <v/>
      </c>
      <c r="ABN1546" s="42" t="str">
        <f t="array" aca="1" ref="ABN1546" ca="1">IFERROR(INDEX(nombres[],SMALL(IF(OFFSET(nombres[],0,0,ROWS(nombres[]),1)=ABN$1490,ROW(OFFSET(nombres[],0,0,ROWS(nombres[]),1))-ROW(OFFSET(nombres[],0,0,1,1))+1,ROW(OFFSET(nombres[],ROWS(nombres[])-1,0,1,1))+1),$O1546:$O1565),3),"")</f>
        <v/>
      </c>
      <c r="ABO1546" s="42" t="str">
        <f t="array" aca="1" ref="ABO1546" ca="1">IFERROR(INDEX(nombres[],SMALL(IF(OFFSET(nombres[],0,0,ROWS(nombres[]),1)=ABO$1490,ROW(OFFSET(nombres[],0,0,ROWS(nombres[]),1))-ROW(OFFSET(nombres[],0,0,1,1))+1,ROW(OFFSET(nombres[],ROWS(nombres[])-1,0,1,1))+1),$O1546:$O1565),3),"")</f>
        <v/>
      </c>
      <c r="ABP1546" s="42" t="str">
        <f t="array" aca="1" ref="ABP1546" ca="1">IFERROR(INDEX(nombres[],SMALL(IF(OFFSET(nombres[],0,0,ROWS(nombres[]),1)=ABP$1490,ROW(OFFSET(nombres[],0,0,ROWS(nombres[]),1))-ROW(OFFSET(nombres[],0,0,1,1))+1,ROW(OFFSET(nombres[],ROWS(nombres[])-1,0,1,1))+1),$O1546:$O1565),3),"")</f>
        <v/>
      </c>
      <c r="ABQ1546" s="42" t="str">
        <f t="array" aca="1" ref="ABQ1546" ca="1">IFERROR(INDEX(nombres[],SMALL(IF(OFFSET(nombres[],0,0,ROWS(nombres[]),1)=ABQ$1490,ROW(OFFSET(nombres[],0,0,ROWS(nombres[]),1))-ROW(OFFSET(nombres[],0,0,1,1))+1,ROW(OFFSET(nombres[],ROWS(nombres[])-1,0,1,1))+1),$O1546:$O1565),3),"")</f>
        <v/>
      </c>
      <c r="ABR1546" s="42" t="str">
        <f t="array" aca="1" ref="ABR1546" ca="1">IFERROR(INDEX(nombres[],SMALL(IF(OFFSET(nombres[],0,0,ROWS(nombres[]),1)=ABR$1490,ROW(OFFSET(nombres[],0,0,ROWS(nombres[]),1))-ROW(OFFSET(nombres[],0,0,1,1))+1,ROW(OFFSET(nombres[],ROWS(nombres[])-1,0,1,1))+1),$O1546:$O1565),3),"")</f>
        <v/>
      </c>
      <c r="ABS1546" s="42" t="str">
        <f t="array" aca="1" ref="ABS1546" ca="1">IFERROR(INDEX(nombres[],SMALL(IF(OFFSET(nombres[],0,0,ROWS(nombres[]),1)=ABS$1490,ROW(OFFSET(nombres[],0,0,ROWS(nombres[]),1))-ROW(OFFSET(nombres[],0,0,1,1))+1,ROW(OFFSET(nombres[],ROWS(nombres[])-1,0,1,1))+1),$O1546:$O1565),3),"")</f>
        <v/>
      </c>
      <c r="ABT1546" s="42" t="str">
        <f t="array" aca="1" ref="ABT1546" ca="1">IFERROR(INDEX(nombres[],SMALL(IF(OFFSET(nombres[],0,0,ROWS(nombres[]),1)=ABT$1490,ROW(OFFSET(nombres[],0,0,ROWS(nombres[]),1))-ROW(OFFSET(nombres[],0,0,1,1))+1,ROW(OFFSET(nombres[],ROWS(nombres[])-1,0,1,1))+1),$O1546:$O1565),3),"")</f>
        <v/>
      </c>
      <c r="ABU1546" s="42" t="str">
        <f t="array" aca="1" ref="ABU1546" ca="1">IFERROR(INDEX(nombres[],SMALL(IF(OFFSET(nombres[],0,0,ROWS(nombres[]),1)=ABU$1490,ROW(OFFSET(nombres[],0,0,ROWS(nombres[]),1))-ROW(OFFSET(nombres[],0,0,1,1))+1,ROW(OFFSET(nombres[],ROWS(nombres[])-1,0,1,1))+1),$O1546:$O1565),3),"")</f>
        <v/>
      </c>
      <c r="ABV1546" s="42" t="str">
        <f t="array" aca="1" ref="ABV1546" ca="1">IFERROR(INDEX(nombres[],SMALL(IF(OFFSET(nombres[],0,0,ROWS(nombres[]),1)=ABV$1490,ROW(OFFSET(nombres[],0,0,ROWS(nombres[]),1))-ROW(OFFSET(nombres[],0,0,1,1))+1,ROW(OFFSET(nombres[],ROWS(nombres[])-1,0,1,1))+1),$O1546:$O1565),3),"")</f>
        <v/>
      </c>
      <c r="ABW1546" s="42" t="str">
        <f t="array" aca="1" ref="ABW1546" ca="1">IFERROR(INDEX(nombres[],SMALL(IF(OFFSET(nombres[],0,0,ROWS(nombres[]),1)=ABW$1490,ROW(OFFSET(nombres[],0,0,ROWS(nombres[]),1))-ROW(OFFSET(nombres[],0,0,1,1))+1,ROW(OFFSET(nombres[],ROWS(nombres[])-1,0,1,1))+1),$O1546:$O1565),3),"")</f>
        <v/>
      </c>
      <c r="ABX1546" s="42" t="str">
        <f t="array" aca="1" ref="ABX1546" ca="1">IFERROR(INDEX(nombres[],SMALL(IF(OFFSET(nombres[],0,0,ROWS(nombres[]),1)=ABX$1490,ROW(OFFSET(nombres[],0,0,ROWS(nombres[]),1))-ROW(OFFSET(nombres[],0,0,1,1))+1,ROW(OFFSET(nombres[],ROWS(nombres[])-1,0,1,1))+1),$O1546:$O1565),3),"")</f>
        <v/>
      </c>
      <c r="ABY1546" s="42" t="str">
        <f t="array" aca="1" ref="ABY1546" ca="1">IFERROR(INDEX(nombres[],SMALL(IF(OFFSET(nombres[],0,0,ROWS(nombres[]),1)=ABY$1490,ROW(OFFSET(nombres[],0,0,ROWS(nombres[]),1))-ROW(OFFSET(nombres[],0,0,1,1))+1,ROW(OFFSET(nombres[],ROWS(nombres[])-1,0,1,1))+1),$O1546:$O1565),3),"")</f>
        <v/>
      </c>
      <c r="ABZ1546" s="42" t="str">
        <f t="array" aca="1" ref="ABZ1546" ca="1">IFERROR(INDEX(nombres[],SMALL(IF(OFFSET(nombres[],0,0,ROWS(nombres[]),1)=ABZ$1490,ROW(OFFSET(nombres[],0,0,ROWS(nombres[]),1))-ROW(OFFSET(nombres[],0,0,1,1))+1,ROW(OFFSET(nombres[],ROWS(nombres[])-1,0,1,1))+1),$O1546:$O1565),3),"")</f>
        <v/>
      </c>
      <c r="ACA1546" s="42" t="str">
        <f t="array" aca="1" ref="ACA1546" ca="1">IFERROR(INDEX(nombres[],SMALL(IF(OFFSET(nombres[],0,0,ROWS(nombres[]),1)=ACA$1490,ROW(OFFSET(nombres[],0,0,ROWS(nombres[]),1))-ROW(OFFSET(nombres[],0,0,1,1))+1,ROW(OFFSET(nombres[],ROWS(nombres[])-1,0,1,1))+1),$O1546:$O1565),3),"")</f>
        <v/>
      </c>
      <c r="ACB1546" s="42" t="str">
        <f t="array" aca="1" ref="ACB1546" ca="1">IFERROR(INDEX(nombres[],SMALL(IF(OFFSET(nombres[],0,0,ROWS(nombres[]),1)=ACB$1490,ROW(OFFSET(nombres[],0,0,ROWS(nombres[]),1))-ROW(OFFSET(nombres[],0,0,1,1))+1,ROW(OFFSET(nombres[],ROWS(nombres[])-1,0,1,1))+1),$O1546:$O1565),3),"")</f>
        <v/>
      </c>
      <c r="ACC1546" s="42" t="str">
        <f t="array" aca="1" ref="ACC1546" ca="1">IFERROR(INDEX(nombres[],SMALL(IF(OFFSET(nombres[],0,0,ROWS(nombres[]),1)=ACC$1490,ROW(OFFSET(nombres[],0,0,ROWS(nombres[]),1))-ROW(OFFSET(nombres[],0,0,1,1))+1,ROW(OFFSET(nombres[],ROWS(nombres[])-1,0,1,1))+1),$O1546:$O1565),3),"")</f>
        <v/>
      </c>
      <c r="ACD1546" s="42" t="str">
        <f t="array" aca="1" ref="ACD1546" ca="1">IFERROR(INDEX(nombres[],SMALL(IF(OFFSET(nombres[],0,0,ROWS(nombres[]),1)=ACD$1490,ROW(OFFSET(nombres[],0,0,ROWS(nombres[]),1))-ROW(OFFSET(nombres[],0,0,1,1))+1,ROW(OFFSET(nombres[],ROWS(nombres[])-1,0,1,1))+1),$O1546:$O1565),3),"")</f>
        <v/>
      </c>
      <c r="ACE1546" s="42" t="str">
        <f t="array" aca="1" ref="ACE1546" ca="1">IFERROR(INDEX(nombres[],SMALL(IF(OFFSET(nombres[],0,0,ROWS(nombres[]),1)=ACE$1490,ROW(OFFSET(nombres[],0,0,ROWS(nombres[]),1))-ROW(OFFSET(nombres[],0,0,1,1))+1,ROW(OFFSET(nombres[],ROWS(nombres[])-1,0,1,1))+1),$O1546:$O1565),3),"")</f>
        <v/>
      </c>
      <c r="ACF1546" s="42" t="str">
        <f t="array" aca="1" ref="ACF1546" ca="1">IFERROR(INDEX(nombres[],SMALL(IF(OFFSET(nombres[],0,0,ROWS(nombres[]),1)=ACF$1490,ROW(OFFSET(nombres[],0,0,ROWS(nombres[]),1))-ROW(OFFSET(nombres[],0,0,1,1))+1,ROW(OFFSET(nombres[],ROWS(nombres[])-1,0,1,1))+1),$O1546:$O1565),3),"")</f>
        <v/>
      </c>
      <c r="ACG1546" s="42" t="str">
        <f t="array" aca="1" ref="ACG1546" ca="1">IFERROR(INDEX(nombres[],SMALL(IF(OFFSET(nombres[],0,0,ROWS(nombres[]),1)=ACG$1490,ROW(OFFSET(nombres[],0,0,ROWS(nombres[]),1))-ROW(OFFSET(nombres[],0,0,1,1))+1,ROW(OFFSET(nombres[],ROWS(nombres[])-1,0,1,1))+1),$O1546:$O1565),3),"")</f>
        <v/>
      </c>
      <c r="ACH1546" s="42" t="str">
        <f t="array" aca="1" ref="ACH1546" ca="1">IFERROR(INDEX(nombres[],SMALL(IF(OFFSET(nombres[],0,0,ROWS(nombres[]),1)=ACH$1490,ROW(OFFSET(nombres[],0,0,ROWS(nombres[]),1))-ROW(OFFSET(nombres[],0,0,1,1))+1,ROW(OFFSET(nombres[],ROWS(nombres[])-1,0,1,1))+1),$O1546:$O1565),3),"")</f>
        <v/>
      </c>
      <c r="ACI1546" s="42" t="str">
        <f t="array" aca="1" ref="ACI1546" ca="1">IFERROR(INDEX(nombres[],SMALL(IF(OFFSET(nombres[],0,0,ROWS(nombres[]),1)=ACI$1490,ROW(OFFSET(nombres[],0,0,ROWS(nombres[]),1))-ROW(OFFSET(nombres[],0,0,1,1))+1,ROW(OFFSET(nombres[],ROWS(nombres[])-1,0,1,1))+1),$O1546:$O1565),3),"")</f>
        <v/>
      </c>
      <c r="ACJ1546" s="42" t="str">
        <f t="array" aca="1" ref="ACJ1546" ca="1">IFERROR(INDEX(nombres[],SMALL(IF(OFFSET(nombres[],0,0,ROWS(nombres[]),1)=ACJ$1490,ROW(OFFSET(nombres[],0,0,ROWS(nombres[]),1))-ROW(OFFSET(nombres[],0,0,1,1))+1,ROW(OFFSET(nombres[],ROWS(nombres[])-1,0,1,1))+1),$O1546:$O1565),3),"")</f>
        <v/>
      </c>
      <c r="ACK1546" s="42" t="str">
        <f t="array" aca="1" ref="ACK1546" ca="1">IFERROR(INDEX(nombres[],SMALL(IF(OFFSET(nombres[],0,0,ROWS(nombres[]),1)=ACK$1490,ROW(OFFSET(nombres[],0,0,ROWS(nombres[]),1))-ROW(OFFSET(nombres[],0,0,1,1))+1,ROW(OFFSET(nombres[],ROWS(nombres[])-1,0,1,1))+1),$O1546:$O1565),3),"")</f>
        <v/>
      </c>
      <c r="ACL1546" s="42" t="str">
        <f t="array" aca="1" ref="ACL1546" ca="1">IFERROR(INDEX(nombres[],SMALL(IF(OFFSET(nombres[],0,0,ROWS(nombres[]),1)=ACL$1490,ROW(OFFSET(nombres[],0,0,ROWS(nombres[]),1))-ROW(OFFSET(nombres[],0,0,1,1))+1,ROW(OFFSET(nombres[],ROWS(nombres[])-1,0,1,1))+1),$O1546:$O1565),3),"")</f>
        <v/>
      </c>
      <c r="ACM1546" s="42" t="str">
        <f t="array" aca="1" ref="ACM1546" ca="1">IFERROR(INDEX(nombres[],SMALL(IF(OFFSET(nombres[],0,0,ROWS(nombres[]),1)=ACM$1490,ROW(OFFSET(nombres[],0,0,ROWS(nombres[]),1))-ROW(OFFSET(nombres[],0,0,1,1))+1,ROW(OFFSET(nombres[],ROWS(nombres[])-1,0,1,1))+1),$O1546:$O1565),3),"")</f>
        <v/>
      </c>
      <c r="ACN1546" s="42" t="str">
        <f t="array" aca="1" ref="ACN1546" ca="1">IFERROR(INDEX(nombres[],SMALL(IF(OFFSET(nombres[],0,0,ROWS(nombres[]),1)=ACN$1490,ROW(OFFSET(nombres[],0,0,ROWS(nombres[]),1))-ROW(OFFSET(nombres[],0,0,1,1))+1,ROW(OFFSET(nombres[],ROWS(nombres[])-1,0,1,1))+1),$O1546:$O1565),3),"")</f>
        <v/>
      </c>
      <c r="ACO1546" s="42" t="str">
        <f t="array" aca="1" ref="ACO1546" ca="1">IFERROR(INDEX(nombres[],SMALL(IF(OFFSET(nombres[],0,0,ROWS(nombres[]),1)=ACO$1490,ROW(OFFSET(nombres[],0,0,ROWS(nombres[]),1))-ROW(OFFSET(nombres[],0,0,1,1))+1,ROW(OFFSET(nombres[],ROWS(nombres[])-1,0,1,1))+1),$O1546:$O1565),3),"")</f>
        <v/>
      </c>
      <c r="ACP1546" s="42" t="str">
        <f t="array" aca="1" ref="ACP1546" ca="1">IFERROR(INDEX(nombres[],SMALL(IF(OFFSET(nombres[],0,0,ROWS(nombres[]),1)=ACP$1490,ROW(OFFSET(nombres[],0,0,ROWS(nombres[]),1))-ROW(OFFSET(nombres[],0,0,1,1))+1,ROW(OFFSET(nombres[],ROWS(nombres[])-1,0,1,1))+1),$O1546:$O1565),3),"")</f>
        <v/>
      </c>
      <c r="ACQ1546" s="42" t="str">
        <f t="array" aca="1" ref="ACQ1546" ca="1">IFERROR(INDEX(nombres[],SMALL(IF(OFFSET(nombres[],0,0,ROWS(nombres[]),1)=ACQ$1490,ROW(OFFSET(nombres[],0,0,ROWS(nombres[]),1))-ROW(OFFSET(nombres[],0,0,1,1))+1,ROW(OFFSET(nombres[],ROWS(nombres[])-1,0,1,1))+1),$O1546:$O1565),3),"")</f>
        <v/>
      </c>
      <c r="ACR1546" s="42" t="str">
        <f t="array" aca="1" ref="ACR1546" ca="1">IFERROR(INDEX(nombres[],SMALL(IF(OFFSET(nombres[],0,0,ROWS(nombres[]),1)=ACR$1490,ROW(OFFSET(nombres[],0,0,ROWS(nombres[]),1))-ROW(OFFSET(nombres[],0,0,1,1))+1,ROW(OFFSET(nombres[],ROWS(nombres[])-1,0,1,1))+1),$O1546:$O1565),3),"")</f>
        <v/>
      </c>
      <c r="ACS1546" s="42" t="str">
        <f t="array" aca="1" ref="ACS1546" ca="1">IFERROR(INDEX(nombres[],SMALL(IF(OFFSET(nombres[],0,0,ROWS(nombres[]),1)=ACS$1490,ROW(OFFSET(nombres[],0,0,ROWS(nombres[]),1))-ROW(OFFSET(nombres[],0,0,1,1))+1,ROW(OFFSET(nombres[],ROWS(nombres[])-1,0,1,1))+1),$O1546:$O1565),3),"")</f>
        <v/>
      </c>
      <c r="ACT1546" s="42" t="str">
        <f t="array" aca="1" ref="ACT1546" ca="1">IFERROR(INDEX(nombres[],SMALL(IF(OFFSET(nombres[],0,0,ROWS(nombres[]),1)=ACT$1490,ROW(OFFSET(nombres[],0,0,ROWS(nombres[]),1))-ROW(OFFSET(nombres[],0,0,1,1))+1,ROW(OFFSET(nombres[],ROWS(nombres[])-1,0,1,1))+1),$O1546:$O1565),3),"")</f>
        <v/>
      </c>
      <c r="ACU1546" s="42" t="str">
        <f t="array" aca="1" ref="ACU1546" ca="1">IFERROR(INDEX(nombres[],SMALL(IF(OFFSET(nombres[],0,0,ROWS(nombres[]),1)=ACU$1490,ROW(OFFSET(nombres[],0,0,ROWS(nombres[]),1))-ROW(OFFSET(nombres[],0,0,1,1))+1,ROW(OFFSET(nombres[],ROWS(nombres[])-1,0,1,1))+1),$O1546:$O1565),3),"")</f>
        <v/>
      </c>
      <c r="ACV1546" s="42" t="str">
        <f t="array" aca="1" ref="ACV1546" ca="1">IFERROR(INDEX(nombres[],SMALL(IF(OFFSET(nombres[],0,0,ROWS(nombres[]),1)=ACV$1490,ROW(OFFSET(nombres[],0,0,ROWS(nombres[]),1))-ROW(OFFSET(nombres[],0,0,1,1))+1,ROW(OFFSET(nombres[],ROWS(nombres[])-1,0,1,1))+1),$O1546:$O1565),3),"")</f>
        <v/>
      </c>
      <c r="ACW1546" s="42" t="str">
        <f t="array" aca="1" ref="ACW1546" ca="1">IFERROR(INDEX(nombres[],SMALL(IF(OFFSET(nombres[],0,0,ROWS(nombres[]),1)=ACW$1490,ROW(OFFSET(nombres[],0,0,ROWS(nombres[]),1))-ROW(OFFSET(nombres[],0,0,1,1))+1,ROW(OFFSET(nombres[],ROWS(nombres[])-1,0,1,1))+1),$O1546:$O1565),3),"")</f>
        <v/>
      </c>
      <c r="ACX1546" s="42" t="str">
        <f t="array" aca="1" ref="ACX1546" ca="1">IFERROR(INDEX(nombres[],SMALL(IF(OFFSET(nombres[],0,0,ROWS(nombres[]),1)=ACX$1490,ROW(OFFSET(nombres[],0,0,ROWS(nombres[]),1))-ROW(OFFSET(nombres[],0,0,1,1))+1,ROW(OFFSET(nombres[],ROWS(nombres[])-1,0,1,1))+1),$O1546:$O1565),3),"")</f>
        <v/>
      </c>
      <c r="ACY1546" s="42" t="str">
        <f t="array" aca="1" ref="ACY1546" ca="1">IFERROR(INDEX(nombres[],SMALL(IF(OFFSET(nombres[],0,0,ROWS(nombres[]),1)=ACY$1490,ROW(OFFSET(nombres[],0,0,ROWS(nombres[]),1))-ROW(OFFSET(nombres[],0,0,1,1))+1,ROW(OFFSET(nombres[],ROWS(nombres[])-1,0,1,1))+1),$O1546:$O1565),3),"")</f>
        <v/>
      </c>
      <c r="ACZ1546" s="42" t="str">
        <f t="array" aca="1" ref="ACZ1546" ca="1">IFERROR(INDEX(nombres[],SMALL(IF(OFFSET(nombres[],0,0,ROWS(nombres[]),1)=ACZ$1490,ROW(OFFSET(nombres[],0,0,ROWS(nombres[]),1))-ROW(OFFSET(nombres[],0,0,1,1))+1,ROW(OFFSET(nombres[],ROWS(nombres[])-1,0,1,1))+1),$O1546:$O1565),3),"")</f>
        <v/>
      </c>
      <c r="ADA1546" s="42" t="str">
        <f t="array" aca="1" ref="ADA1546" ca="1">IFERROR(INDEX(nombres[],SMALL(IF(OFFSET(nombres[],0,0,ROWS(nombres[]),1)=ADA$1490,ROW(OFFSET(nombres[],0,0,ROWS(nombres[]),1))-ROW(OFFSET(nombres[],0,0,1,1))+1,ROW(OFFSET(nombres[],ROWS(nombres[])-1,0,1,1))+1),$O1546:$O1565),3),"")</f>
        <v/>
      </c>
      <c r="ADB1546" s="42" t="str">
        <f t="array" aca="1" ref="ADB1546" ca="1">IFERROR(INDEX(nombres[],SMALL(IF(OFFSET(nombres[],0,0,ROWS(nombres[]),1)=ADB$1490,ROW(OFFSET(nombres[],0,0,ROWS(nombres[]),1))-ROW(OFFSET(nombres[],0,0,1,1))+1,ROW(OFFSET(nombres[],ROWS(nombres[])-1,0,1,1))+1),$O1546:$O1565),3),"")</f>
        <v/>
      </c>
      <c r="ADC1546" s="42" t="str">
        <f t="array" aca="1" ref="ADC1546" ca="1">IFERROR(INDEX(nombres[],SMALL(IF(OFFSET(nombres[],0,0,ROWS(nombres[]),1)=ADC$1490,ROW(OFFSET(nombres[],0,0,ROWS(nombres[]),1))-ROW(OFFSET(nombres[],0,0,1,1))+1,ROW(OFFSET(nombres[],ROWS(nombres[])-1,0,1,1))+1),$O1546:$O1565),3),"")</f>
        <v/>
      </c>
      <c r="ADD1546" s="42" t="str">
        <f t="array" aca="1" ref="ADD1546" ca="1">IFERROR(INDEX(nombres[],SMALL(IF(OFFSET(nombres[],0,0,ROWS(nombres[]),1)=ADD$1490,ROW(OFFSET(nombres[],0,0,ROWS(nombres[]),1))-ROW(OFFSET(nombres[],0,0,1,1))+1,ROW(OFFSET(nombres[],ROWS(nombres[])-1,0,1,1))+1),$O1546:$O1565),3),"")</f>
        <v/>
      </c>
      <c r="ADE1546" s="42" t="str">
        <f t="array" aca="1" ref="ADE1546" ca="1">IFERROR(INDEX(nombres[],SMALL(IF(OFFSET(nombres[],0,0,ROWS(nombres[]),1)=ADE$1490,ROW(OFFSET(nombres[],0,0,ROWS(nombres[]),1))-ROW(OFFSET(nombres[],0,0,1,1))+1,ROW(OFFSET(nombres[],ROWS(nombres[])-1,0,1,1))+1),$O1546:$O1565),3),"")</f>
        <v/>
      </c>
      <c r="ADF1546" s="42" t="str">
        <f t="array" aca="1" ref="ADF1546" ca="1">IFERROR(INDEX(nombres[],SMALL(IF(OFFSET(nombres[],0,0,ROWS(nombres[]),1)=ADF$1490,ROW(OFFSET(nombres[],0,0,ROWS(nombres[]),1))-ROW(OFFSET(nombres[],0,0,1,1))+1,ROW(OFFSET(nombres[],ROWS(nombres[])-1,0,1,1))+1),$O1546:$O1565),3),"")</f>
        <v/>
      </c>
      <c r="ADG1546" s="42" t="str">
        <f t="array" aca="1" ref="ADG1546" ca="1">IFERROR(INDEX(nombres[],SMALL(IF(OFFSET(nombres[],0,0,ROWS(nombres[]),1)=ADG$1490,ROW(OFFSET(nombres[],0,0,ROWS(nombres[]),1))-ROW(OFFSET(nombres[],0,0,1,1))+1,ROW(OFFSET(nombres[],ROWS(nombres[])-1,0,1,1))+1),$O1546:$O1565),3),"")</f>
        <v/>
      </c>
      <c r="ADH1546" s="42" t="str">
        <f t="array" aca="1" ref="ADH1546" ca="1">IFERROR(INDEX(nombres[],SMALL(IF(OFFSET(nombres[],0,0,ROWS(nombres[]),1)=ADH$1490,ROW(OFFSET(nombres[],0,0,ROWS(nombres[]),1))-ROW(OFFSET(nombres[],0,0,1,1))+1,ROW(OFFSET(nombres[],ROWS(nombres[])-1,0,1,1))+1),$O1546:$O1565),3),"")</f>
        <v/>
      </c>
      <c r="ADI1546" s="42" t="str">
        <f t="array" aca="1" ref="ADI1546" ca="1">IFERROR(INDEX(nombres[],SMALL(IF(OFFSET(nombres[],0,0,ROWS(nombres[]),1)=ADI$1490,ROW(OFFSET(nombres[],0,0,ROWS(nombres[]),1))-ROW(OFFSET(nombres[],0,0,1,1))+1,ROW(OFFSET(nombres[],ROWS(nombres[])-1,0,1,1))+1),$O1546:$O1565),3),"")</f>
        <v/>
      </c>
      <c r="ADJ1546" s="42" t="str">
        <f t="array" aca="1" ref="ADJ1546" ca="1">IFERROR(INDEX(nombres[],SMALL(IF(OFFSET(nombres[],0,0,ROWS(nombres[]),1)=ADJ$1490,ROW(OFFSET(nombres[],0,0,ROWS(nombres[]),1))-ROW(OFFSET(nombres[],0,0,1,1))+1,ROW(OFFSET(nombres[],ROWS(nombres[])-1,0,1,1))+1),$O1546:$O1565),3),"")</f>
        <v/>
      </c>
      <c r="ADK1546" s="42" t="str">
        <f t="array" aca="1" ref="ADK1546" ca="1">IFERROR(INDEX(nombres[],SMALL(IF(OFFSET(nombres[],0,0,ROWS(nombres[]),1)=ADK$1490,ROW(OFFSET(nombres[],0,0,ROWS(nombres[]),1))-ROW(OFFSET(nombres[],0,0,1,1))+1,ROW(OFFSET(nombres[],ROWS(nombres[])-1,0,1,1))+1),$O1546:$O1565),3),"")</f>
        <v/>
      </c>
      <c r="ADL1546" s="42" t="str">
        <f t="array" aca="1" ref="ADL1546" ca="1">IFERROR(INDEX(nombres[],SMALL(IF(OFFSET(nombres[],0,0,ROWS(nombres[]),1)=ADL$1490,ROW(OFFSET(nombres[],0,0,ROWS(nombres[]),1))-ROW(OFFSET(nombres[],0,0,1,1))+1,ROW(OFFSET(nombres[],ROWS(nombres[])-1,0,1,1))+1),$O1546:$O1565),3),"")</f>
        <v/>
      </c>
      <c r="ADM1546" s="42" t="str">
        <f t="array" aca="1" ref="ADM1546" ca="1">IFERROR(INDEX(nombres[],SMALL(IF(OFFSET(nombres[],0,0,ROWS(nombres[]),1)=ADM$1490,ROW(OFFSET(nombres[],0,0,ROWS(nombres[]),1))-ROW(OFFSET(nombres[],0,0,1,1))+1,ROW(OFFSET(nombres[],ROWS(nombres[])-1,0,1,1))+1),$O1546:$O1565),3),"")</f>
        <v/>
      </c>
      <c r="ADN1546" s="42" t="str">
        <f t="array" aca="1" ref="ADN1546" ca="1">IFERROR(INDEX(nombres[],SMALL(IF(OFFSET(nombres[],0,0,ROWS(nombres[]),1)=ADN$1490,ROW(OFFSET(nombres[],0,0,ROWS(nombres[]),1))-ROW(OFFSET(nombres[],0,0,1,1))+1,ROW(OFFSET(nombres[],ROWS(nombres[])-1,0,1,1))+1),$O1546:$O1565),3),"")</f>
        <v/>
      </c>
      <c r="ADO1546" s="42" t="str">
        <f t="array" aca="1" ref="ADO1546" ca="1">IFERROR(INDEX(nombres[],SMALL(IF(OFFSET(nombres[],0,0,ROWS(nombres[]),1)=ADO$1490,ROW(OFFSET(nombres[],0,0,ROWS(nombres[]),1))-ROW(OFFSET(nombres[],0,0,1,1))+1,ROW(OFFSET(nombres[],ROWS(nombres[])-1,0,1,1))+1),$O1546:$O1565),3),"")</f>
        <v/>
      </c>
      <c r="ADP1546" s="42" t="str">
        <f t="array" aca="1" ref="ADP1546" ca="1">IFERROR(INDEX(nombres[],SMALL(IF(OFFSET(nombres[],0,0,ROWS(nombres[]),1)=ADP$1490,ROW(OFFSET(nombres[],0,0,ROWS(nombres[]),1))-ROW(OFFSET(nombres[],0,0,1,1))+1,ROW(OFFSET(nombres[],ROWS(nombres[])-1,0,1,1))+1),$O1546:$O1565),3),"")</f>
        <v/>
      </c>
      <c r="ADQ1546" s="42" t="str">
        <f t="array" aca="1" ref="ADQ1546" ca="1">IFERROR(INDEX(nombres[],SMALL(IF(OFFSET(nombres[],0,0,ROWS(nombres[]),1)=ADQ$1490,ROW(OFFSET(nombres[],0,0,ROWS(nombres[]),1))-ROW(OFFSET(nombres[],0,0,1,1))+1,ROW(OFFSET(nombres[],ROWS(nombres[])-1,0,1,1))+1),$O1546:$O1565),3),"")</f>
        <v/>
      </c>
      <c r="ADR1546" s="42" t="str">
        <f t="array" aca="1" ref="ADR1546" ca="1">IFERROR(INDEX(nombres[],SMALL(IF(OFFSET(nombres[],0,0,ROWS(nombres[]),1)=ADR$1490,ROW(OFFSET(nombres[],0,0,ROWS(nombres[]),1))-ROW(OFFSET(nombres[],0,0,1,1))+1,ROW(OFFSET(nombres[],ROWS(nombres[])-1,0,1,1))+1),$O1546:$O1565),3),"")</f>
        <v/>
      </c>
      <c r="ADS1546" s="42" t="str">
        <f t="array" aca="1" ref="ADS1546" ca="1">IFERROR(INDEX(nombres[],SMALL(IF(OFFSET(nombres[],0,0,ROWS(nombres[]),1)=ADS$1490,ROW(OFFSET(nombres[],0,0,ROWS(nombres[]),1))-ROW(OFFSET(nombres[],0,0,1,1))+1,ROW(OFFSET(nombres[],ROWS(nombres[])-1,0,1,1))+1),$O1546:$O1565),3),"")</f>
        <v/>
      </c>
      <c r="ADT1546" s="42" t="str">
        <f t="array" aca="1" ref="ADT1546" ca="1">IFERROR(INDEX(nombres[],SMALL(IF(OFFSET(nombres[],0,0,ROWS(nombres[]),1)=ADT$1490,ROW(OFFSET(nombres[],0,0,ROWS(nombres[]),1))-ROW(OFFSET(nombres[],0,0,1,1))+1,ROW(OFFSET(nombres[],ROWS(nombres[])-1,0,1,1))+1),$O1546:$O1565),3),"")</f>
        <v/>
      </c>
      <c r="ADU1546" s="42" t="str">
        <f t="array" aca="1" ref="ADU1546" ca="1">IFERROR(INDEX(nombres[],SMALL(IF(OFFSET(nombres[],0,0,ROWS(nombres[]),1)=ADU$1490,ROW(OFFSET(nombres[],0,0,ROWS(nombres[]),1))-ROW(OFFSET(nombres[],0,0,1,1))+1,ROW(OFFSET(nombres[],ROWS(nombres[])-1,0,1,1))+1),$O1546:$O1565),3),"")</f>
        <v/>
      </c>
      <c r="ADV1546" s="42" t="str">
        <f t="array" aca="1" ref="ADV1546" ca="1">IFERROR(INDEX(nombres[],SMALL(IF(OFFSET(nombres[],0,0,ROWS(nombres[]),1)=ADV$1490,ROW(OFFSET(nombres[],0,0,ROWS(nombres[]),1))-ROW(OFFSET(nombres[],0,0,1,1))+1,ROW(OFFSET(nombres[],ROWS(nombres[])-1,0,1,1))+1),$O1546:$O1565),3),"")</f>
        <v/>
      </c>
      <c r="ADW1546" s="42" t="str">
        <f t="array" aca="1" ref="ADW1546" ca="1">IFERROR(INDEX(nombres[],SMALL(IF(OFFSET(nombres[],0,0,ROWS(nombres[]),1)=ADW$1490,ROW(OFFSET(nombres[],0,0,ROWS(nombres[]),1))-ROW(OFFSET(nombres[],0,0,1,1))+1,ROW(OFFSET(nombres[],ROWS(nombres[])-1,0,1,1))+1),$O1546:$O1565),3),"")</f>
        <v/>
      </c>
      <c r="ADX1546" s="42" t="str">
        <f t="array" aca="1" ref="ADX1546" ca="1">IFERROR(INDEX(nombres[],SMALL(IF(OFFSET(nombres[],0,0,ROWS(nombres[]),1)=ADX$1490,ROW(OFFSET(nombres[],0,0,ROWS(nombres[]),1))-ROW(OFFSET(nombres[],0,0,1,1))+1,ROW(OFFSET(nombres[],ROWS(nombres[])-1,0,1,1))+1),$O1546:$O1565),3),"")</f>
        <v/>
      </c>
      <c r="ADY1546" s="42" t="str">
        <f t="array" aca="1" ref="ADY1546" ca="1">IFERROR(INDEX(nombres[],SMALL(IF(OFFSET(nombres[],0,0,ROWS(nombres[]),1)=ADY$1490,ROW(OFFSET(nombres[],0,0,ROWS(nombres[]),1))-ROW(OFFSET(nombres[],0,0,1,1))+1,ROW(OFFSET(nombres[],ROWS(nombres[])-1,0,1,1))+1),$O1546:$O1565),3),"")</f>
        <v/>
      </c>
      <c r="ADZ1546" s="42" t="str">
        <f t="array" aca="1" ref="ADZ1546" ca="1">IFERROR(INDEX(nombres[],SMALL(IF(OFFSET(nombres[],0,0,ROWS(nombres[]),1)=ADZ$1490,ROW(OFFSET(nombres[],0,0,ROWS(nombres[]),1))-ROW(OFFSET(nombres[],0,0,1,1))+1,ROW(OFFSET(nombres[],ROWS(nombres[])-1,0,1,1))+1),$O1546:$O1565),3),"")</f>
        <v/>
      </c>
      <c r="AEA1546" s="42" t="str">
        <f t="array" aca="1" ref="AEA1546" ca="1">IFERROR(INDEX(nombres[],SMALL(IF(OFFSET(nombres[],0,0,ROWS(nombres[]),1)=AEA$1490,ROW(OFFSET(nombres[],0,0,ROWS(nombres[]),1))-ROW(OFFSET(nombres[],0,0,1,1))+1,ROW(OFFSET(nombres[],ROWS(nombres[])-1,0,1,1))+1),$O1546:$O1565),3),"")</f>
        <v/>
      </c>
      <c r="AEB1546" s="42" t="str">
        <f t="array" aca="1" ref="AEB1546" ca="1">IFERROR(INDEX(nombres[],SMALL(IF(OFFSET(nombres[],0,0,ROWS(nombres[]),1)=AEB$1490,ROW(OFFSET(nombres[],0,0,ROWS(nombres[]),1))-ROW(OFFSET(nombres[],0,0,1,1))+1,ROW(OFFSET(nombres[],ROWS(nombres[])-1,0,1,1))+1),$O1546:$O1565),3),"")</f>
        <v/>
      </c>
      <c r="AEC1546" s="42" t="str">
        <f t="array" aca="1" ref="AEC1546" ca="1">IFERROR(INDEX(nombres[],SMALL(IF(OFFSET(nombres[],0,0,ROWS(nombres[]),1)=AEC$1490,ROW(OFFSET(nombres[],0,0,ROWS(nombres[]),1))-ROW(OFFSET(nombres[],0,0,1,1))+1,ROW(OFFSET(nombres[],ROWS(nombres[])-1,0,1,1))+1),$O1546:$O1565),3),"")</f>
        <v/>
      </c>
      <c r="AED1546" s="42" t="str">
        <f t="array" aca="1" ref="AED1546" ca="1">IFERROR(INDEX(nombres[],SMALL(IF(OFFSET(nombres[],0,0,ROWS(nombres[]),1)=AED$1490,ROW(OFFSET(nombres[],0,0,ROWS(nombres[]),1))-ROW(OFFSET(nombres[],0,0,1,1))+1,ROW(OFFSET(nombres[],ROWS(nombres[])-1,0,1,1))+1),$O1546:$O1565),3),"")</f>
        <v/>
      </c>
      <c r="AEE1546" s="42" t="str">
        <f t="array" aca="1" ref="AEE1546" ca="1">IFERROR(INDEX(nombres[],SMALL(IF(OFFSET(nombres[],0,0,ROWS(nombres[]),1)=AEE$1490,ROW(OFFSET(nombres[],0,0,ROWS(nombres[]),1))-ROW(OFFSET(nombres[],0,0,1,1))+1,ROW(OFFSET(nombres[],ROWS(nombres[])-1,0,1,1))+1),$O1546:$O1565),3),"")</f>
        <v/>
      </c>
      <c r="AEF1546" s="42" t="str">
        <f t="array" aca="1" ref="AEF1546" ca="1">IFERROR(INDEX(nombres[],SMALL(IF(OFFSET(nombres[],0,0,ROWS(nombres[]),1)=AEF$1490,ROW(OFFSET(nombres[],0,0,ROWS(nombres[]),1))-ROW(OFFSET(nombres[],0,0,1,1))+1,ROW(OFFSET(nombres[],ROWS(nombres[])-1,0,1,1))+1),$O1546:$O1565),3),"")</f>
        <v/>
      </c>
      <c r="AEG1546" s="42" t="str">
        <f t="array" aca="1" ref="AEG1546" ca="1">IFERROR(INDEX(nombres[],SMALL(IF(OFFSET(nombres[],0,0,ROWS(nombres[]),1)=AEG$1490,ROW(OFFSET(nombres[],0,0,ROWS(nombres[]),1))-ROW(OFFSET(nombres[],0,0,1,1))+1,ROW(OFFSET(nombres[],ROWS(nombres[])-1,0,1,1))+1),$O1546:$O1565),3),"")</f>
        <v/>
      </c>
      <c r="AEH1546" s="42" t="str">
        <f t="array" aca="1" ref="AEH1546" ca="1">IFERROR(INDEX(nombres[],SMALL(IF(OFFSET(nombres[],0,0,ROWS(nombres[]),1)=AEH$1490,ROW(OFFSET(nombres[],0,0,ROWS(nombres[]),1))-ROW(OFFSET(nombres[],0,0,1,1))+1,ROW(OFFSET(nombres[],ROWS(nombres[])-1,0,1,1))+1),$O1546:$O1565),3),"")</f>
        <v/>
      </c>
      <c r="AEI1546" s="42" t="str">
        <f t="array" aca="1" ref="AEI1546" ca="1">IFERROR(INDEX(nombres[],SMALL(IF(OFFSET(nombres[],0,0,ROWS(nombres[]),1)=AEI$1490,ROW(OFFSET(nombres[],0,0,ROWS(nombres[]),1))-ROW(OFFSET(nombres[],0,0,1,1))+1,ROW(OFFSET(nombres[],ROWS(nombres[])-1,0,1,1))+1),$O1546:$O1565),3),"")</f>
        <v/>
      </c>
      <c r="AEJ1546" s="42" t="str">
        <f t="array" aca="1" ref="AEJ1546" ca="1">IFERROR(INDEX(nombres[],SMALL(IF(OFFSET(nombres[],0,0,ROWS(nombres[]),1)=AEJ$1490,ROW(OFFSET(nombres[],0,0,ROWS(nombres[]),1))-ROW(OFFSET(nombres[],0,0,1,1))+1,ROW(OFFSET(nombres[],ROWS(nombres[])-1,0,1,1))+1),$O1546:$O1565),3),"")</f>
        <v/>
      </c>
      <c r="AEK1546" s="42" t="str">
        <f t="array" aca="1" ref="AEK1546" ca="1">IFERROR(INDEX(nombres[],SMALL(IF(OFFSET(nombres[],0,0,ROWS(nombres[]),1)=AEK$1490,ROW(OFFSET(nombres[],0,0,ROWS(nombres[]),1))-ROW(OFFSET(nombres[],0,0,1,1))+1,ROW(OFFSET(nombres[],ROWS(nombres[])-1,0,1,1))+1),$O1546:$O1565),3),"")</f>
        <v/>
      </c>
      <c r="AEL1546" s="42" t="str">
        <f t="array" aca="1" ref="AEL1546" ca="1">IFERROR(INDEX(nombres[],SMALL(IF(OFFSET(nombres[],0,0,ROWS(nombres[]),1)=AEL$1490,ROW(OFFSET(nombres[],0,0,ROWS(nombres[]),1))-ROW(OFFSET(nombres[],0,0,1,1))+1,ROW(OFFSET(nombres[],ROWS(nombres[])-1,0,1,1))+1),$O1546:$O1565),3),"")</f>
        <v/>
      </c>
      <c r="AEM1546" s="42" t="str">
        <f t="array" aca="1" ref="AEM1546" ca="1">IFERROR(INDEX(nombres[],SMALL(IF(OFFSET(nombres[],0,0,ROWS(nombres[]),1)=AEM$1490,ROW(OFFSET(nombres[],0,0,ROWS(nombres[]),1))-ROW(OFFSET(nombres[],0,0,1,1))+1,ROW(OFFSET(nombres[],ROWS(nombres[])-1,0,1,1))+1),$O1546:$O1565),3),"")</f>
        <v/>
      </c>
      <c r="AEN1546" s="42" t="str">
        <f t="array" aca="1" ref="AEN1546" ca="1">IFERROR(INDEX(nombres[],SMALL(IF(OFFSET(nombres[],0,0,ROWS(nombres[]),1)=AEN$1490,ROW(OFFSET(nombres[],0,0,ROWS(nombres[]),1))-ROW(OFFSET(nombres[],0,0,1,1))+1,ROW(OFFSET(nombres[],ROWS(nombres[])-1,0,1,1))+1),$O1546:$O1565),3),"")</f>
        <v/>
      </c>
      <c r="AEO1546" s="42" t="str">
        <f t="array" aca="1" ref="AEO1546" ca="1">IFERROR(INDEX(nombres[],SMALL(IF(OFFSET(nombres[],0,0,ROWS(nombres[]),1)=AEO$1490,ROW(OFFSET(nombres[],0,0,ROWS(nombres[]),1))-ROW(OFFSET(nombres[],0,0,1,1))+1,ROW(OFFSET(nombres[],ROWS(nombres[])-1,0,1,1))+1),$O1546:$O1565),3),"")</f>
        <v/>
      </c>
      <c r="AEP1546" s="42" t="str">
        <f t="array" aca="1" ref="AEP1546" ca="1">IFERROR(INDEX(nombres[],SMALL(IF(OFFSET(nombres[],0,0,ROWS(nombres[]),1)=AEP$1490,ROW(OFFSET(nombres[],0,0,ROWS(nombres[]),1))-ROW(OFFSET(nombres[],0,0,1,1))+1,ROW(OFFSET(nombres[],ROWS(nombres[])-1,0,1,1))+1),$O1546:$O1565),3),"")</f>
        <v/>
      </c>
      <c r="AEQ1546" s="42" t="str">
        <f t="array" aca="1" ref="AEQ1546" ca="1">IFERROR(INDEX(nombres[],SMALL(IF(OFFSET(nombres[],0,0,ROWS(nombres[]),1)=AEQ$1490,ROW(OFFSET(nombres[],0,0,ROWS(nombres[]),1))-ROW(OFFSET(nombres[],0,0,1,1))+1,ROW(OFFSET(nombres[],ROWS(nombres[])-1,0,1,1))+1),$O1546:$O1565),3),"")</f>
        <v/>
      </c>
      <c r="AER1546" s="42" t="str">
        <f t="array" aca="1" ref="AER1546" ca="1">IFERROR(INDEX(nombres[],SMALL(IF(OFFSET(nombres[],0,0,ROWS(nombres[]),1)=AER$1490,ROW(OFFSET(nombres[],0,0,ROWS(nombres[]),1))-ROW(OFFSET(nombres[],0,0,1,1))+1,ROW(OFFSET(nombres[],ROWS(nombres[])-1,0,1,1))+1),$O1546:$O1565),3),"")</f>
        <v/>
      </c>
      <c r="AES1546" s="42" t="str">
        <f t="array" aca="1" ref="AES1546" ca="1">IFERROR(INDEX(nombres[],SMALL(IF(OFFSET(nombres[],0,0,ROWS(nombres[]),1)=AES$1490,ROW(OFFSET(nombres[],0,0,ROWS(nombres[]),1))-ROW(OFFSET(nombres[],0,0,1,1))+1,ROW(OFFSET(nombres[],ROWS(nombres[])-1,0,1,1))+1),$O1546:$O1565),3),"")</f>
        <v/>
      </c>
      <c r="AET1546" s="42" t="str">
        <f t="array" aca="1" ref="AET1546" ca="1">IFERROR(INDEX(nombres[],SMALL(IF(OFFSET(nombres[],0,0,ROWS(nombres[]),1)=AET$1490,ROW(OFFSET(nombres[],0,0,ROWS(nombres[]),1))-ROW(OFFSET(nombres[],0,0,1,1))+1,ROW(OFFSET(nombres[],ROWS(nombres[])-1,0,1,1))+1),$O1546:$O1565),3),"")</f>
        <v/>
      </c>
      <c r="AEU1546" s="42" t="str">
        <f t="array" aca="1" ref="AEU1546" ca="1">IFERROR(INDEX(nombres[],SMALL(IF(OFFSET(nombres[],0,0,ROWS(nombres[]),1)=AEU$1490,ROW(OFFSET(nombres[],0,0,ROWS(nombres[]),1))-ROW(OFFSET(nombres[],0,0,1,1))+1,ROW(OFFSET(nombres[],ROWS(nombres[])-1,0,1,1))+1),$O1546:$O1565),3),"")</f>
        <v/>
      </c>
      <c r="AEV1546" s="42" t="str">
        <f t="array" aca="1" ref="AEV1546" ca="1">IFERROR(INDEX(nombres[],SMALL(IF(OFFSET(nombres[],0,0,ROWS(nombres[]),1)=AEV$1490,ROW(OFFSET(nombres[],0,0,ROWS(nombres[]),1))-ROW(OFFSET(nombres[],0,0,1,1))+1,ROW(OFFSET(nombres[],ROWS(nombres[])-1,0,1,1))+1),$O1546:$O1565),3),"")</f>
        <v/>
      </c>
      <c r="AEW1546" s="42" t="str">
        <f t="array" aca="1" ref="AEW1546" ca="1">IFERROR(INDEX(nombres[],SMALL(IF(OFFSET(nombres[],0,0,ROWS(nombres[]),1)=AEW$1490,ROW(OFFSET(nombres[],0,0,ROWS(nombres[]),1))-ROW(OFFSET(nombres[],0,0,1,1))+1,ROW(OFFSET(nombres[],ROWS(nombres[])-1,0,1,1))+1),$O1546:$O1565),3),"")</f>
        <v/>
      </c>
      <c r="AEX1546" s="42" t="str">
        <f t="array" aca="1" ref="AEX1546" ca="1">IFERROR(INDEX(nombres[],SMALL(IF(OFFSET(nombres[],0,0,ROWS(nombres[]),1)=AEX$1490,ROW(OFFSET(nombres[],0,0,ROWS(nombres[]),1))-ROW(OFFSET(nombres[],0,0,1,1))+1,ROW(OFFSET(nombres[],ROWS(nombres[])-1,0,1,1))+1),$O1546:$O1565),3),"")</f>
        <v/>
      </c>
      <c r="AEY1546" s="42" t="str">
        <f t="array" aca="1" ref="AEY1546" ca="1">IFERROR(INDEX(nombres[],SMALL(IF(OFFSET(nombres[],0,0,ROWS(nombres[]),1)=AEY$1490,ROW(OFFSET(nombres[],0,0,ROWS(nombres[]),1))-ROW(OFFSET(nombres[],0,0,1,1))+1,ROW(OFFSET(nombres[],ROWS(nombres[])-1,0,1,1))+1),$O1546:$O1565),3),"")</f>
        <v/>
      </c>
      <c r="AEZ1546" s="42" t="str">
        <f t="array" aca="1" ref="AEZ1546" ca="1">IFERROR(INDEX(nombres[],SMALL(IF(OFFSET(nombres[],0,0,ROWS(nombres[]),1)=AEZ$1490,ROW(OFFSET(nombres[],0,0,ROWS(nombres[]),1))-ROW(OFFSET(nombres[],0,0,1,1))+1,ROW(OFFSET(nombres[],ROWS(nombres[])-1,0,1,1))+1),$O1546:$O1565),3),"")</f>
        <v/>
      </c>
      <c r="AFA1546" s="42" t="str">
        <f t="array" aca="1" ref="AFA1546" ca="1">IFERROR(INDEX(nombres[],SMALL(IF(OFFSET(nombres[],0,0,ROWS(nombres[]),1)=AFA$1490,ROW(OFFSET(nombres[],0,0,ROWS(nombres[]),1))-ROW(OFFSET(nombres[],0,0,1,1))+1,ROW(OFFSET(nombres[],ROWS(nombres[])-1,0,1,1))+1),$O1546:$O1565),3),"")</f>
        <v/>
      </c>
      <c r="AFB1546" s="42" t="str">
        <f t="array" aca="1" ref="AFB1546" ca="1">IFERROR(INDEX(nombres[],SMALL(IF(OFFSET(nombres[],0,0,ROWS(nombres[]),1)=AFB$1490,ROW(OFFSET(nombres[],0,0,ROWS(nombres[]),1))-ROW(OFFSET(nombres[],0,0,1,1))+1,ROW(OFFSET(nombres[],ROWS(nombres[])-1,0,1,1))+1),$O1546:$O1565),3),"")</f>
        <v/>
      </c>
      <c r="AFC1546" s="42" t="str">
        <f t="array" aca="1" ref="AFC1546" ca="1">IFERROR(INDEX(nombres[],SMALL(IF(OFFSET(nombres[],0,0,ROWS(nombres[]),1)=AFC$1490,ROW(OFFSET(nombres[],0,0,ROWS(nombres[]),1))-ROW(OFFSET(nombres[],0,0,1,1))+1,ROW(OFFSET(nombres[],ROWS(nombres[])-1,0,1,1))+1),$O1546:$O1565),3),"")</f>
        <v/>
      </c>
      <c r="AFD1546" s="42" t="str">
        <f t="array" aca="1" ref="AFD1546" ca="1">IFERROR(INDEX(nombres[],SMALL(IF(OFFSET(nombres[],0,0,ROWS(nombres[]),1)=AFD$1490,ROW(OFFSET(nombres[],0,0,ROWS(nombres[]),1))-ROW(OFFSET(nombres[],0,0,1,1))+1,ROW(OFFSET(nombres[],ROWS(nombres[])-1,0,1,1))+1),$O1546:$O1565),3),"")</f>
        <v/>
      </c>
      <c r="AFE1546" s="42" t="str">
        <f t="array" aca="1" ref="AFE1546" ca="1">IFERROR(INDEX(nombres[],SMALL(IF(OFFSET(nombres[],0,0,ROWS(nombres[]),1)=AFE$1490,ROW(OFFSET(nombres[],0,0,ROWS(nombres[]),1))-ROW(OFFSET(nombres[],0,0,1,1))+1,ROW(OFFSET(nombres[],ROWS(nombres[])-1,0,1,1))+1),$O1546:$O1565),3),"")</f>
        <v/>
      </c>
      <c r="AFF1546" s="42" t="str">
        <f t="array" aca="1" ref="AFF1546" ca="1">IFERROR(INDEX(nombres[],SMALL(IF(OFFSET(nombres[],0,0,ROWS(nombres[]),1)=AFF$1490,ROW(OFFSET(nombres[],0,0,ROWS(nombres[]),1))-ROW(OFFSET(nombres[],0,0,1,1))+1,ROW(OFFSET(nombres[],ROWS(nombres[])-1,0,1,1))+1),$O1546:$O1565),3),"")</f>
        <v/>
      </c>
      <c r="AFG1546" s="42" t="str">
        <f t="array" aca="1" ref="AFG1546" ca="1">IFERROR(INDEX(nombres[],SMALL(IF(OFFSET(nombres[],0,0,ROWS(nombres[]),1)=AFG$1490,ROW(OFFSET(nombres[],0,0,ROWS(nombres[]),1))-ROW(OFFSET(nombres[],0,0,1,1))+1,ROW(OFFSET(nombres[],ROWS(nombres[])-1,0,1,1))+1),$O1546:$O1565),3),"")</f>
        <v/>
      </c>
      <c r="AFH1546" s="42" t="str">
        <f t="array" aca="1" ref="AFH1546" ca="1">IFERROR(INDEX(nombres[],SMALL(IF(OFFSET(nombres[],0,0,ROWS(nombres[]),1)=AFH$1490,ROW(OFFSET(nombres[],0,0,ROWS(nombres[]),1))-ROW(OFFSET(nombres[],0,0,1,1))+1,ROW(OFFSET(nombres[],ROWS(nombres[])-1,0,1,1))+1),$O1546:$O1565),3),"")</f>
        <v/>
      </c>
      <c r="AFI1546" s="42" t="str">
        <f t="array" aca="1" ref="AFI1546" ca="1">IFERROR(INDEX(nombres[],SMALL(IF(OFFSET(nombres[],0,0,ROWS(nombres[]),1)=AFI$1490,ROW(OFFSET(nombres[],0,0,ROWS(nombres[]),1))-ROW(OFFSET(nombres[],0,0,1,1))+1,ROW(OFFSET(nombres[],ROWS(nombres[])-1,0,1,1))+1),$O1546:$O1565),3),"")</f>
        <v/>
      </c>
      <c r="AFJ1546" s="42" t="str">
        <f t="array" aca="1" ref="AFJ1546" ca="1">IFERROR(INDEX(nombres[],SMALL(IF(OFFSET(nombres[],0,0,ROWS(nombres[]),1)=AFJ$1490,ROW(OFFSET(nombres[],0,0,ROWS(nombres[]),1))-ROW(OFFSET(nombres[],0,0,1,1))+1,ROW(OFFSET(nombres[],ROWS(nombres[])-1,0,1,1))+1),$O1546:$O1565),3),"")</f>
        <v/>
      </c>
      <c r="AFK1546" s="42" t="str">
        <f t="array" aca="1" ref="AFK1546" ca="1">IFERROR(INDEX(nombres[],SMALL(IF(OFFSET(nombres[],0,0,ROWS(nombres[]),1)=AFK$1490,ROW(OFFSET(nombres[],0,0,ROWS(nombres[]),1))-ROW(OFFSET(nombres[],0,0,1,1))+1,ROW(OFFSET(nombres[],ROWS(nombres[])-1,0,1,1))+1),$O1546:$O1565),3),"")</f>
        <v/>
      </c>
      <c r="AFL1546" s="42" t="str">
        <f t="array" aca="1" ref="AFL1546" ca="1">IFERROR(INDEX(nombres[],SMALL(IF(OFFSET(nombres[],0,0,ROWS(nombres[]),1)=AFL$1490,ROW(OFFSET(nombres[],0,0,ROWS(nombres[]),1))-ROW(OFFSET(nombres[],0,0,1,1))+1,ROW(OFFSET(nombres[],ROWS(nombres[])-1,0,1,1))+1),$O1546:$O1565),3),"")</f>
        <v/>
      </c>
      <c r="AFM1546" s="42" t="str">
        <f t="array" aca="1" ref="AFM1546" ca="1">IFERROR(INDEX(nombres[],SMALL(IF(OFFSET(nombres[],0,0,ROWS(nombres[]),1)=AFM$1490,ROW(OFFSET(nombres[],0,0,ROWS(nombres[]),1))-ROW(OFFSET(nombres[],0,0,1,1))+1,ROW(OFFSET(nombres[],ROWS(nombres[])-1,0,1,1))+1),$O1546:$O1565),3),"")</f>
        <v/>
      </c>
      <c r="AFN1546" s="42" t="str">
        <f t="array" aca="1" ref="AFN1546" ca="1">IFERROR(INDEX(nombres[],SMALL(IF(OFFSET(nombres[],0,0,ROWS(nombres[]),1)=AFN$1490,ROW(OFFSET(nombres[],0,0,ROWS(nombres[]),1))-ROW(OFFSET(nombres[],0,0,1,1))+1,ROW(OFFSET(nombres[],ROWS(nombres[])-1,0,1,1))+1),$O1546:$O1565),3),"")</f>
        <v/>
      </c>
      <c r="AFO1546" s="42" t="str">
        <f t="array" aca="1" ref="AFO1546" ca="1">IFERROR(INDEX(nombres[],SMALL(IF(OFFSET(nombres[],0,0,ROWS(nombres[]),1)=AFO$1490,ROW(OFFSET(nombres[],0,0,ROWS(nombres[]),1))-ROW(OFFSET(nombres[],0,0,1,1))+1,ROW(OFFSET(nombres[],ROWS(nombres[])-1,0,1,1))+1),$O1546:$O1565),3),"")</f>
        <v/>
      </c>
      <c r="AFP1546" s="42" t="str">
        <f t="array" aca="1" ref="AFP1546" ca="1">IFERROR(INDEX(nombres[],SMALL(IF(OFFSET(nombres[],0,0,ROWS(nombres[]),1)=AFP$1490,ROW(OFFSET(nombres[],0,0,ROWS(nombres[]),1))-ROW(OFFSET(nombres[],0,0,1,1))+1,ROW(OFFSET(nombres[],ROWS(nombres[])-1,0,1,1))+1),$O1546:$O1565),3),"")</f>
        <v/>
      </c>
      <c r="AFQ1546" s="42" t="str">
        <f t="array" aca="1" ref="AFQ1546" ca="1">IFERROR(INDEX(nombres[],SMALL(IF(OFFSET(nombres[],0,0,ROWS(nombres[]),1)=AFQ$1490,ROW(OFFSET(nombres[],0,0,ROWS(nombres[]),1))-ROW(OFFSET(nombres[],0,0,1,1))+1,ROW(OFFSET(nombres[],ROWS(nombres[])-1,0,1,1))+1),$O1546:$O1565),3),"")</f>
        <v/>
      </c>
      <c r="AFR1546" s="42" t="str">
        <f t="array" aca="1" ref="AFR1546" ca="1">IFERROR(INDEX(nombres[],SMALL(IF(OFFSET(nombres[],0,0,ROWS(nombres[]),1)=AFR$1490,ROW(OFFSET(nombres[],0,0,ROWS(nombres[]),1))-ROW(OFFSET(nombres[],0,0,1,1))+1,ROW(OFFSET(nombres[],ROWS(nombres[])-1,0,1,1))+1),$O1546:$O1565),3),"")</f>
        <v/>
      </c>
      <c r="AFS1546" s="42" t="str">
        <f t="array" aca="1" ref="AFS1546" ca="1">IFERROR(INDEX(nombres[],SMALL(IF(OFFSET(nombres[],0,0,ROWS(nombres[]),1)=AFS$1490,ROW(OFFSET(nombres[],0,0,ROWS(nombres[]),1))-ROW(OFFSET(nombres[],0,0,1,1))+1,ROW(OFFSET(nombres[],ROWS(nombres[])-1,0,1,1))+1),$O1546:$O1565),3),"")</f>
        <v/>
      </c>
      <c r="AFT1546" s="42" t="str">
        <f t="array" aca="1" ref="AFT1546" ca="1">IFERROR(INDEX(nombres[],SMALL(IF(OFFSET(nombres[],0,0,ROWS(nombres[]),1)=AFT$1490,ROW(OFFSET(nombres[],0,0,ROWS(nombres[]),1))-ROW(OFFSET(nombres[],0,0,1,1))+1,ROW(OFFSET(nombres[],ROWS(nombres[])-1,0,1,1))+1),$O1546:$O1565),3),"")</f>
        <v/>
      </c>
      <c r="AFU1546" s="42" t="str">
        <f t="array" aca="1" ref="AFU1546" ca="1">IFERROR(INDEX(nombres[],SMALL(IF(OFFSET(nombres[],0,0,ROWS(nombres[]),1)=AFU$1490,ROW(OFFSET(nombres[],0,0,ROWS(nombres[]),1))-ROW(OFFSET(nombres[],0,0,1,1))+1,ROW(OFFSET(nombres[],ROWS(nombres[])-1,0,1,1))+1),$O1546:$O1565),3),"")</f>
        <v/>
      </c>
      <c r="AFV1546" s="42" t="str">
        <f t="array" aca="1" ref="AFV1546" ca="1">IFERROR(INDEX(nombres[],SMALL(IF(OFFSET(nombres[],0,0,ROWS(nombres[]),1)=AFV$1490,ROW(OFFSET(nombres[],0,0,ROWS(nombres[]),1))-ROW(OFFSET(nombres[],0,0,1,1))+1,ROW(OFFSET(nombres[],ROWS(nombres[])-1,0,1,1))+1),$O1546:$O1565),3),"")</f>
        <v/>
      </c>
      <c r="AFW1546" s="42" t="str">
        <f t="array" aca="1" ref="AFW1546" ca="1">IFERROR(INDEX(nombres[],SMALL(IF(OFFSET(nombres[],0,0,ROWS(nombres[]),1)=AFW$1490,ROW(OFFSET(nombres[],0,0,ROWS(nombres[]),1))-ROW(OFFSET(nombres[],0,0,1,1))+1,ROW(OFFSET(nombres[],ROWS(nombres[])-1,0,1,1))+1),$O1546:$O1565),3),"")</f>
        <v/>
      </c>
      <c r="AFX1546" s="42" t="str">
        <f t="array" aca="1" ref="AFX1546" ca="1">IFERROR(INDEX(nombres[],SMALL(IF(OFFSET(nombres[],0,0,ROWS(nombres[]),1)=AFX$1490,ROW(OFFSET(nombres[],0,0,ROWS(nombres[]),1))-ROW(OFFSET(nombres[],0,0,1,1))+1,ROW(OFFSET(nombres[],ROWS(nombres[])-1,0,1,1))+1),$O1546:$O1565),3),"")</f>
        <v/>
      </c>
      <c r="AFY1546" s="42" t="str">
        <f t="array" aca="1" ref="AFY1546" ca="1">IFERROR(INDEX(nombres[],SMALL(IF(OFFSET(nombres[],0,0,ROWS(nombres[]),1)=AFY$1490,ROW(OFFSET(nombres[],0,0,ROWS(nombres[]),1))-ROW(OFFSET(nombres[],0,0,1,1))+1,ROW(OFFSET(nombres[],ROWS(nombres[])-1,0,1,1))+1),$O1546:$O1565),3),"")</f>
        <v/>
      </c>
      <c r="AFZ1546" s="42" t="str">
        <f t="array" aca="1" ref="AFZ1546" ca="1">IFERROR(INDEX(nombres[],SMALL(IF(OFFSET(nombres[],0,0,ROWS(nombres[]),1)=AFZ$1490,ROW(OFFSET(nombres[],0,0,ROWS(nombres[]),1))-ROW(OFFSET(nombres[],0,0,1,1))+1,ROW(OFFSET(nombres[],ROWS(nombres[])-1,0,1,1))+1),$O1546:$O1565),3),"")</f>
        <v/>
      </c>
      <c r="AGA1546" s="42" t="str">
        <f t="array" aca="1" ref="AGA1546" ca="1">IFERROR(INDEX(nombres[],SMALL(IF(OFFSET(nombres[],0,0,ROWS(nombres[]),1)=AGA$1490,ROW(OFFSET(nombres[],0,0,ROWS(nombres[]),1))-ROW(OFFSET(nombres[],0,0,1,1))+1,ROW(OFFSET(nombres[],ROWS(nombres[])-1,0,1,1))+1),$O1546:$O1565),3),"")</f>
        <v/>
      </c>
      <c r="AGB1546" s="42" t="str">
        <f t="array" aca="1" ref="AGB1546" ca="1">IFERROR(INDEX(nombres[],SMALL(IF(OFFSET(nombres[],0,0,ROWS(nombres[]),1)=AGB$1490,ROW(OFFSET(nombres[],0,0,ROWS(nombres[]),1))-ROW(OFFSET(nombres[],0,0,1,1))+1,ROW(OFFSET(nombres[],ROWS(nombres[])-1,0,1,1))+1),$O1546:$O1565),3),"")</f>
        <v/>
      </c>
      <c r="AGC1546" s="42" t="str">
        <f t="array" aca="1" ref="AGC1546" ca="1">IFERROR(INDEX(nombres[],SMALL(IF(OFFSET(nombres[],0,0,ROWS(nombres[]),1)=AGC$1490,ROW(OFFSET(nombres[],0,0,ROWS(nombres[]),1))-ROW(OFFSET(nombres[],0,0,1,1))+1,ROW(OFFSET(nombres[],ROWS(nombres[])-1,0,1,1))+1),$O1546:$O1565),3),"")</f>
        <v/>
      </c>
      <c r="AGD1546" s="42" t="str">
        <f t="array" aca="1" ref="AGD1546" ca="1">IFERROR(INDEX(nombres[],SMALL(IF(OFFSET(nombres[],0,0,ROWS(nombres[]),1)=AGD$1490,ROW(OFFSET(nombres[],0,0,ROWS(nombres[]),1))-ROW(OFFSET(nombres[],0,0,1,1))+1,ROW(OFFSET(nombres[],ROWS(nombres[])-1,0,1,1))+1),$O1546:$O1565),3),"")</f>
        <v/>
      </c>
      <c r="AGE1546" s="42" t="str">
        <f t="array" aca="1" ref="AGE1546" ca="1">IFERROR(INDEX(nombres[],SMALL(IF(OFFSET(nombres[],0,0,ROWS(nombres[]),1)=AGE$1490,ROW(OFFSET(nombres[],0,0,ROWS(nombres[]),1))-ROW(OFFSET(nombres[],0,0,1,1))+1,ROW(OFFSET(nombres[],ROWS(nombres[])-1,0,1,1))+1),$O1546:$O1565),3),"")</f>
        <v/>
      </c>
      <c r="AGF1546" s="42" t="str">
        <f t="array" aca="1" ref="AGF1546" ca="1">IFERROR(INDEX(nombres[],SMALL(IF(OFFSET(nombres[],0,0,ROWS(nombres[]),1)=AGF$1490,ROW(OFFSET(nombres[],0,0,ROWS(nombres[]),1))-ROW(OFFSET(nombres[],0,0,1,1))+1,ROW(OFFSET(nombres[],ROWS(nombres[])-1,0,1,1))+1),$O1546:$O1565),3),"")</f>
        <v/>
      </c>
      <c r="AGG1546" s="42" t="str">
        <f t="array" aca="1" ref="AGG1546" ca="1">IFERROR(INDEX(nombres[],SMALL(IF(OFFSET(nombres[],0,0,ROWS(nombres[]),1)=AGG$1490,ROW(OFFSET(nombres[],0,0,ROWS(nombres[]),1))-ROW(OFFSET(nombres[],0,0,1,1))+1,ROW(OFFSET(nombres[],ROWS(nombres[])-1,0,1,1))+1),$O1546:$O1565),3),"")</f>
        <v/>
      </c>
      <c r="AGH1546" s="42" t="str">
        <f t="array" aca="1" ref="AGH1546" ca="1">IFERROR(INDEX(nombres[],SMALL(IF(OFFSET(nombres[],0,0,ROWS(nombres[]),1)=AGH$1490,ROW(OFFSET(nombres[],0,0,ROWS(nombres[]),1))-ROW(OFFSET(nombres[],0,0,1,1))+1,ROW(OFFSET(nombres[],ROWS(nombres[])-1,0,1,1))+1),$O1546:$O1565),3),"")</f>
        <v/>
      </c>
      <c r="AGI1546" s="42" t="str">
        <f t="array" aca="1" ref="AGI1546" ca="1">IFERROR(INDEX(nombres[],SMALL(IF(OFFSET(nombres[],0,0,ROWS(nombres[]),1)=AGI$1490,ROW(OFFSET(nombres[],0,0,ROWS(nombres[]),1))-ROW(OFFSET(nombres[],0,0,1,1))+1,ROW(OFFSET(nombres[],ROWS(nombres[])-1,0,1,1))+1),$O1546:$O1565),3),"")</f>
        <v/>
      </c>
      <c r="AGJ1546" s="42" t="str">
        <f t="array" aca="1" ref="AGJ1546" ca="1">IFERROR(INDEX(nombres[],SMALL(IF(OFFSET(nombres[],0,0,ROWS(nombres[]),1)=AGJ$1490,ROW(OFFSET(nombres[],0,0,ROWS(nombres[]),1))-ROW(OFFSET(nombres[],0,0,1,1))+1,ROW(OFFSET(nombres[],ROWS(nombres[])-1,0,1,1))+1),$O1546:$O1565),3),"")</f>
        <v/>
      </c>
      <c r="AGK1546" s="42" t="str">
        <f t="array" aca="1" ref="AGK1546" ca="1">IFERROR(INDEX(nombres[],SMALL(IF(OFFSET(nombres[],0,0,ROWS(nombres[]),1)=AGK$1490,ROW(OFFSET(nombres[],0,0,ROWS(nombres[]),1))-ROW(OFFSET(nombres[],0,0,1,1))+1,ROW(OFFSET(nombres[],ROWS(nombres[])-1,0,1,1))+1),$O1546:$O1565),3),"")</f>
        <v/>
      </c>
      <c r="AGL1546" s="42" t="str">
        <f t="array" aca="1" ref="AGL1546" ca="1">IFERROR(INDEX(nombres[],SMALL(IF(OFFSET(nombres[],0,0,ROWS(nombres[]),1)=AGL$1490,ROW(OFFSET(nombres[],0,0,ROWS(nombres[]),1))-ROW(OFFSET(nombres[],0,0,1,1))+1,ROW(OFFSET(nombres[],ROWS(nombres[])-1,0,1,1))+1),$O1546:$O1565),3),"")</f>
        <v/>
      </c>
      <c r="AGM1546" s="42" t="str">
        <f t="array" aca="1" ref="AGM1546" ca="1">IFERROR(INDEX(nombres[],SMALL(IF(OFFSET(nombres[],0,0,ROWS(nombres[]),1)=AGM$1490,ROW(OFFSET(nombres[],0,0,ROWS(nombres[]),1))-ROW(OFFSET(nombres[],0,0,1,1))+1,ROW(OFFSET(nombres[],ROWS(nombres[])-1,0,1,1))+1),$O1546:$O1565),3),"")</f>
        <v/>
      </c>
      <c r="AGN1546" s="42" t="str">
        <f t="array" aca="1" ref="AGN1546" ca="1">IFERROR(INDEX(nombres[],SMALL(IF(OFFSET(nombres[],0,0,ROWS(nombres[]),1)=AGN$1490,ROW(OFFSET(nombres[],0,0,ROWS(nombres[]),1))-ROW(OFFSET(nombres[],0,0,1,1))+1,ROW(OFFSET(nombres[],ROWS(nombres[])-1,0,1,1))+1),$O1546:$O1565),3),"")</f>
        <v/>
      </c>
    </row>
    <row r="1547" spans="15:872" x14ac:dyDescent="0.25">
      <c r="O1547" s="42">
        <v>11</v>
      </c>
      <c r="P1547" s="42" t="str">
        <f t="array" aca="1" ref="P1547" ca="1">IFERROR(INDEX(nombres[],SMALL(IF(OFFSET(nombres[],0,0,ROWS(nombres[]),1)=P$1490,ROW(OFFSET(nombres[],0,0,ROWS(nombres[]),1))-ROW(OFFSET(nombres[],0,0,1,1))+1,ROW(OFFSET(nombres[],ROWS(nombres[])-1,0,1,1))+1),$O1547:$O1566),3),"")</f>
        <v/>
      </c>
      <c r="Q1547" s="42" t="str">
        <f t="array" aca="1" ref="Q1547" ca="1">IFERROR(INDEX(nombres[],SMALL(IF(OFFSET(nombres[],0,0,ROWS(nombres[]),1)=Q$1490,ROW(OFFSET(nombres[],0,0,ROWS(nombres[]),1))-ROW(OFFSET(nombres[],0,0,1,1))+1,ROW(OFFSET(nombres[],ROWS(nombres[])-1,0,1,1))+1),$O1547:$O1566),3),"")</f>
        <v/>
      </c>
      <c r="R1547" s="42" t="str">
        <f t="array" aca="1" ref="R1547" ca="1">IFERROR(INDEX(nombres[],SMALL(IF(OFFSET(nombres[],0,0,ROWS(nombres[]),1)=R$1490,ROW(OFFSET(nombres[],0,0,ROWS(nombres[]),1))-ROW(OFFSET(nombres[],0,0,1,1))+1,ROW(OFFSET(nombres[],ROWS(nombres[])-1,0,1,1))+1),$O1547:$O1566),3),"")</f>
        <v/>
      </c>
      <c r="S1547" s="42" t="str">
        <f t="array" aca="1" ref="S1547" ca="1">IFERROR(INDEX(nombres[],SMALL(IF(OFFSET(nombres[],0,0,ROWS(nombres[]),1)=S$1490,ROW(OFFSET(nombres[],0,0,ROWS(nombres[]),1))-ROW(OFFSET(nombres[],0,0,1,1))+1,ROW(OFFSET(nombres[],ROWS(nombres[])-1,0,1,1))+1),$O1547:$O1566),3),"")</f>
        <v/>
      </c>
      <c r="T1547" s="42" t="str">
        <f t="array" aca="1" ref="T1547" ca="1">IFERROR(INDEX(nombres[],SMALL(IF(OFFSET(nombres[],0,0,ROWS(nombres[]),1)=T$1490,ROW(OFFSET(nombres[],0,0,ROWS(nombres[]),1))-ROW(OFFSET(nombres[],0,0,1,1))+1,ROW(OFFSET(nombres[],ROWS(nombres[])-1,0,1,1))+1),$O1547:$O1566),3),"")</f>
        <v/>
      </c>
      <c r="U1547" s="42" t="str">
        <f t="array" aca="1" ref="U1547" ca="1">IFERROR(INDEX(nombres[],SMALL(IF(OFFSET(nombres[],0,0,ROWS(nombres[]),1)=U$1490,ROW(OFFSET(nombres[],0,0,ROWS(nombres[]),1))-ROW(OFFSET(nombres[],0,0,1,1))+1,ROW(OFFSET(nombres[],ROWS(nombres[])-1,0,1,1))+1),$O1547:$O1566),3),"")</f>
        <v/>
      </c>
      <c r="V1547" s="42" t="str">
        <f t="array" aca="1" ref="V1547" ca="1">IFERROR(INDEX(nombres[],SMALL(IF(OFFSET(nombres[],0,0,ROWS(nombres[]),1)=V$1490,ROW(OFFSET(nombres[],0,0,ROWS(nombres[]),1))-ROW(OFFSET(nombres[],0,0,1,1))+1,ROW(OFFSET(nombres[],ROWS(nombres[])-1,0,1,1))+1),$O1547:$O1566),3),"")</f>
        <v/>
      </c>
      <c r="W1547" s="42" t="str">
        <f t="array" aca="1" ref="W1547" ca="1">IFERROR(INDEX(nombres[],SMALL(IF(OFFSET(nombres[],0,0,ROWS(nombres[]),1)=W$1490,ROW(OFFSET(nombres[],0,0,ROWS(nombres[]),1))-ROW(OFFSET(nombres[],0,0,1,1))+1,ROW(OFFSET(nombres[],ROWS(nombres[])-1,0,1,1))+1),$O1547:$O1566),3),"")</f>
        <v/>
      </c>
      <c r="X1547" s="42" t="str">
        <f t="array" aca="1" ref="X1547" ca="1">IFERROR(INDEX(nombres[],SMALL(IF(OFFSET(nombres[],0,0,ROWS(nombres[]),1)=X$1490,ROW(OFFSET(nombres[],0,0,ROWS(nombres[]),1))-ROW(OFFSET(nombres[],0,0,1,1))+1,ROW(OFFSET(nombres[],ROWS(nombres[])-1,0,1,1))+1),$O1547:$O1566),3),"")</f>
        <v/>
      </c>
      <c r="Y1547" s="42" t="str">
        <f t="array" aca="1" ref="Y1547" ca="1">IFERROR(INDEX(nombres[],SMALL(IF(OFFSET(nombres[],0,0,ROWS(nombres[]),1)=Y$1490,ROW(OFFSET(nombres[],0,0,ROWS(nombres[]),1))-ROW(OFFSET(nombres[],0,0,1,1))+1,ROW(OFFSET(nombres[],ROWS(nombres[])-1,0,1,1))+1),$O1547:$O1566),3),"")</f>
        <v/>
      </c>
      <c r="Z1547" s="42" t="str">
        <f t="array" aca="1" ref="Z1547" ca="1">IFERROR(INDEX(nombres[],SMALL(IF(OFFSET(nombres[],0,0,ROWS(nombres[]),1)=Z$1490,ROW(OFFSET(nombres[],0,0,ROWS(nombres[]),1))-ROW(OFFSET(nombres[],0,0,1,1))+1,ROW(OFFSET(nombres[],ROWS(nombres[])-1,0,1,1))+1),$O1547:$O1566),3),"")</f>
        <v/>
      </c>
      <c r="AA1547" s="42" t="str">
        <f t="array" aca="1" ref="AA1547" ca="1">IFERROR(INDEX(nombres[],SMALL(IF(OFFSET(nombres[],0,0,ROWS(nombres[]),1)=AA$1490,ROW(OFFSET(nombres[],0,0,ROWS(nombres[]),1))-ROW(OFFSET(nombres[],0,0,1,1))+1,ROW(OFFSET(nombres[],ROWS(nombres[])-1,0,1,1))+1),$O1547:$O1566),3),"")</f>
        <v/>
      </c>
      <c r="AB1547" s="42" t="str">
        <f t="array" aca="1" ref="AB1547" ca="1">IFERROR(INDEX(nombres[],SMALL(IF(OFFSET(nombres[],0,0,ROWS(nombres[]),1)=AB$1490,ROW(OFFSET(nombres[],0,0,ROWS(nombres[]),1))-ROW(OFFSET(nombres[],0,0,1,1))+1,ROW(OFFSET(nombres[],ROWS(nombres[])-1,0,1,1))+1),$O1547:$O1566),3),"")</f>
        <v/>
      </c>
      <c r="AC1547" s="42" t="str">
        <f t="array" aca="1" ref="AC1547" ca="1">IFERROR(INDEX(nombres[],SMALL(IF(OFFSET(nombres[],0,0,ROWS(nombres[]),1)=AC$1490,ROW(OFFSET(nombres[],0,0,ROWS(nombres[]),1))-ROW(OFFSET(nombres[],0,0,1,1))+1,ROW(OFFSET(nombres[],ROWS(nombres[])-1,0,1,1))+1),$O1547:$O1566),3),"")</f>
        <v/>
      </c>
      <c r="AD1547" s="42" t="str">
        <f t="array" aca="1" ref="AD1547" ca="1">IFERROR(INDEX(nombres[],SMALL(IF(OFFSET(nombres[],0,0,ROWS(nombres[]),1)=AD$1490,ROW(OFFSET(nombres[],0,0,ROWS(nombres[]),1))-ROW(OFFSET(nombres[],0,0,1,1))+1,ROW(OFFSET(nombres[],ROWS(nombres[])-1,0,1,1))+1),$O1547:$O1566),3),"")</f>
        <v/>
      </c>
      <c r="AE1547" s="42" t="str">
        <f t="array" aca="1" ref="AE1547" ca="1">IFERROR(INDEX(nombres[],SMALL(IF(OFFSET(nombres[],0,0,ROWS(nombres[]),1)=AE$1490,ROW(OFFSET(nombres[],0,0,ROWS(nombres[]),1))-ROW(OFFSET(nombres[],0,0,1,1))+1,ROW(OFFSET(nombres[],ROWS(nombres[])-1,0,1,1))+1),$O1547:$O1566),3),"")</f>
        <v/>
      </c>
      <c r="AF1547" s="42" t="str">
        <f t="array" aca="1" ref="AF1547" ca="1">IFERROR(INDEX(nombres[],SMALL(IF(OFFSET(nombres[],0,0,ROWS(nombres[]),1)=AF$1490,ROW(OFFSET(nombres[],0,0,ROWS(nombres[]),1))-ROW(OFFSET(nombres[],0,0,1,1))+1,ROW(OFFSET(nombres[],ROWS(nombres[])-1,0,1,1))+1),$O1547:$O1566),3),"")</f>
        <v/>
      </c>
      <c r="AG1547" s="42" t="str">
        <f t="array" aca="1" ref="AG1547" ca="1">IFERROR(INDEX(nombres[],SMALL(IF(OFFSET(nombres[],0,0,ROWS(nombres[]),1)=AG$1490,ROW(OFFSET(nombres[],0,0,ROWS(nombres[]),1))-ROW(OFFSET(nombres[],0,0,1,1))+1,ROW(OFFSET(nombres[],ROWS(nombres[])-1,0,1,1))+1),$O1547:$O1566),3),"")</f>
        <v/>
      </c>
      <c r="AH1547" s="42" t="str">
        <f t="array" aca="1" ref="AH1547" ca="1">IFERROR(INDEX(nombres[],SMALL(IF(OFFSET(nombres[],0,0,ROWS(nombres[]),1)=AH$1490,ROW(OFFSET(nombres[],0,0,ROWS(nombres[]),1))-ROW(OFFSET(nombres[],0,0,1,1))+1,ROW(OFFSET(nombres[],ROWS(nombres[])-1,0,1,1))+1),$O1547:$O1566),3),"")</f>
        <v/>
      </c>
      <c r="AI1547" s="42" t="str">
        <f t="array" aca="1" ref="AI1547" ca="1">IFERROR(INDEX(nombres[],SMALL(IF(OFFSET(nombres[],0,0,ROWS(nombres[]),1)=AI$1490,ROW(OFFSET(nombres[],0,0,ROWS(nombres[]),1))-ROW(OFFSET(nombres[],0,0,1,1))+1,ROW(OFFSET(nombres[],ROWS(nombres[])-1,0,1,1))+1),$O1547:$O1566),3),"")</f>
        <v/>
      </c>
      <c r="AJ1547" s="42" t="str">
        <f t="array" aca="1" ref="AJ1547" ca="1">IFERROR(INDEX(nombres[],SMALL(IF(OFFSET(nombres[],0,0,ROWS(nombres[]),1)=AJ$1490,ROW(OFFSET(nombres[],0,0,ROWS(nombres[]),1))-ROW(OFFSET(nombres[],0,0,1,1))+1,ROW(OFFSET(nombres[],ROWS(nombres[])-1,0,1,1))+1),$O1547:$O1566),3),"")</f>
        <v/>
      </c>
      <c r="AK1547" s="42" t="str">
        <f t="array" aca="1" ref="AK1547" ca="1">IFERROR(INDEX(nombres[],SMALL(IF(OFFSET(nombres[],0,0,ROWS(nombres[]),1)=AK$1490,ROW(OFFSET(nombres[],0,0,ROWS(nombres[]),1))-ROW(OFFSET(nombres[],0,0,1,1))+1,ROW(OFFSET(nombres[],ROWS(nombres[])-1,0,1,1))+1),$O1547:$O1566),3),"")</f>
        <v/>
      </c>
      <c r="AL1547" s="42" t="str">
        <f t="array" aca="1" ref="AL1547" ca="1">IFERROR(INDEX(nombres[],SMALL(IF(OFFSET(nombres[],0,0,ROWS(nombres[]),1)=AL$1490,ROW(OFFSET(nombres[],0,0,ROWS(nombres[]),1))-ROW(OFFSET(nombres[],0,0,1,1))+1,ROW(OFFSET(nombres[],ROWS(nombres[])-1,0,1,1))+1),$O1547:$O1566),3),"")</f>
        <v/>
      </c>
      <c r="AM1547" s="42" t="str">
        <f t="array" aca="1" ref="AM1547" ca="1">IFERROR(INDEX(nombres[],SMALL(IF(OFFSET(nombres[],0,0,ROWS(nombres[]),1)=AM$1490,ROW(OFFSET(nombres[],0,0,ROWS(nombres[]),1))-ROW(OFFSET(nombres[],0,0,1,1))+1,ROW(OFFSET(nombres[],ROWS(nombres[])-1,0,1,1))+1),$O1547:$O1566),3),"")</f>
        <v/>
      </c>
      <c r="AN1547" s="42" t="str">
        <f t="array" aca="1" ref="AN1547" ca="1">IFERROR(INDEX(nombres[],SMALL(IF(OFFSET(nombres[],0,0,ROWS(nombres[]),1)=AN$1490,ROW(OFFSET(nombres[],0,0,ROWS(nombres[]),1))-ROW(OFFSET(nombres[],0,0,1,1))+1,ROW(OFFSET(nombres[],ROWS(nombres[])-1,0,1,1))+1),$O1547:$O1566),3),"")</f>
        <v/>
      </c>
      <c r="AO1547" s="42" t="str">
        <f t="array" aca="1" ref="AO1547" ca="1">IFERROR(INDEX(nombres[],SMALL(IF(OFFSET(nombres[],0,0,ROWS(nombres[]),1)=AO$1490,ROW(OFFSET(nombres[],0,0,ROWS(nombres[]),1))-ROW(OFFSET(nombres[],0,0,1,1))+1,ROW(OFFSET(nombres[],ROWS(nombres[])-1,0,1,1))+1),$O1547:$O1566),3),"")</f>
        <v/>
      </c>
      <c r="AP1547" s="42" t="str">
        <f t="array" aca="1" ref="AP1547" ca="1">IFERROR(INDEX(nombres[],SMALL(IF(OFFSET(nombres[],0,0,ROWS(nombres[]),1)=AP$1490,ROW(OFFSET(nombres[],0,0,ROWS(nombres[]),1))-ROW(OFFSET(nombres[],0,0,1,1))+1,ROW(OFFSET(nombres[],ROWS(nombres[])-1,0,1,1))+1),$O1547:$O1566),3),"")</f>
        <v/>
      </c>
      <c r="AQ1547" s="42" t="str">
        <f t="array" aca="1" ref="AQ1547" ca="1">IFERROR(INDEX(nombres[],SMALL(IF(OFFSET(nombres[],0,0,ROWS(nombres[]),1)=AQ$1490,ROW(OFFSET(nombres[],0,0,ROWS(nombres[]),1))-ROW(OFFSET(nombres[],0,0,1,1))+1,ROW(OFFSET(nombres[],ROWS(nombres[])-1,0,1,1))+1),$O1547:$O1566),3),"")</f>
        <v/>
      </c>
      <c r="AR1547" s="42" t="str">
        <f t="array" aca="1" ref="AR1547" ca="1">IFERROR(INDEX(nombres[],SMALL(IF(OFFSET(nombres[],0,0,ROWS(nombres[]),1)=AR$1490,ROW(OFFSET(nombres[],0,0,ROWS(nombres[]),1))-ROW(OFFSET(nombres[],0,0,1,1))+1,ROW(OFFSET(nombres[],ROWS(nombres[])-1,0,1,1))+1),$O1547:$O1566),3),"")</f>
        <v/>
      </c>
      <c r="AS1547" s="42" t="str">
        <f t="array" aca="1" ref="AS1547" ca="1">IFERROR(INDEX(nombres[],SMALL(IF(OFFSET(nombres[],0,0,ROWS(nombres[]),1)=AS$1490,ROW(OFFSET(nombres[],0,0,ROWS(nombres[]),1))-ROW(OFFSET(nombres[],0,0,1,1))+1,ROW(OFFSET(nombres[],ROWS(nombres[])-1,0,1,1))+1),$O1547:$O1566),3),"")</f>
        <v/>
      </c>
      <c r="AT1547" s="42" t="str">
        <f t="array" aca="1" ref="AT1547" ca="1">IFERROR(INDEX(nombres[],SMALL(IF(OFFSET(nombres[],0,0,ROWS(nombres[]),1)=AT$1490,ROW(OFFSET(nombres[],0,0,ROWS(nombres[]),1))-ROW(OFFSET(nombres[],0,0,1,1))+1,ROW(OFFSET(nombres[],ROWS(nombres[])-1,0,1,1))+1),$O1547:$O1566),3),"")</f>
        <v/>
      </c>
      <c r="AU1547" s="42" t="str">
        <f t="array" aca="1" ref="AU1547" ca="1">IFERROR(INDEX(nombres[],SMALL(IF(OFFSET(nombres[],0,0,ROWS(nombres[]),1)=AU$1490,ROW(OFFSET(nombres[],0,0,ROWS(nombres[]),1))-ROW(OFFSET(nombres[],0,0,1,1))+1,ROW(OFFSET(nombres[],ROWS(nombres[])-1,0,1,1))+1),$O1547:$O1566),3),"")</f>
        <v/>
      </c>
      <c r="AV1547" s="42" t="str">
        <f t="array" aca="1" ref="AV1547" ca="1">IFERROR(INDEX(nombres[],SMALL(IF(OFFSET(nombres[],0,0,ROWS(nombres[]),1)=AV$1490,ROW(OFFSET(nombres[],0,0,ROWS(nombres[]),1))-ROW(OFFSET(nombres[],0,0,1,1))+1,ROW(OFFSET(nombres[],ROWS(nombres[])-1,0,1,1))+1),$O1547:$O1566),3),"")</f>
        <v/>
      </c>
      <c r="AW1547" s="42" t="str">
        <f t="array" aca="1" ref="AW1547" ca="1">IFERROR(INDEX(nombres[],SMALL(IF(OFFSET(nombres[],0,0,ROWS(nombres[]),1)=AW$1490,ROW(OFFSET(nombres[],0,0,ROWS(nombres[]),1))-ROW(OFFSET(nombres[],0,0,1,1))+1,ROW(OFFSET(nombres[],ROWS(nombres[])-1,0,1,1))+1),$O1547:$O1566),3),"")</f>
        <v/>
      </c>
      <c r="AX1547" s="42" t="str">
        <f t="array" aca="1" ref="AX1547" ca="1">IFERROR(INDEX(nombres[],SMALL(IF(OFFSET(nombres[],0,0,ROWS(nombres[]),1)=AX$1490,ROW(OFFSET(nombres[],0,0,ROWS(nombres[]),1))-ROW(OFFSET(nombres[],0,0,1,1))+1,ROW(OFFSET(nombres[],ROWS(nombres[])-1,0,1,1))+1),$O1547:$O1566),3),"")</f>
        <v/>
      </c>
      <c r="AY1547" s="42" t="str">
        <f t="array" aca="1" ref="AY1547" ca="1">IFERROR(INDEX(nombres[],SMALL(IF(OFFSET(nombres[],0,0,ROWS(nombres[]),1)=AY$1490,ROW(OFFSET(nombres[],0,0,ROWS(nombres[]),1))-ROW(OFFSET(nombres[],0,0,1,1))+1,ROW(OFFSET(nombres[],ROWS(nombres[])-1,0,1,1))+1),$O1547:$O1566),3),"")</f>
        <v/>
      </c>
      <c r="AZ1547" s="42" t="str">
        <f t="array" aca="1" ref="AZ1547" ca="1">IFERROR(INDEX(nombres[],SMALL(IF(OFFSET(nombres[],0,0,ROWS(nombres[]),1)=AZ$1490,ROW(OFFSET(nombres[],0,0,ROWS(nombres[]),1))-ROW(OFFSET(nombres[],0,0,1,1))+1,ROW(OFFSET(nombres[],ROWS(nombres[])-1,0,1,1))+1),$O1547:$O1566),3),"")</f>
        <v/>
      </c>
      <c r="BA1547" s="42" t="str">
        <f t="array" aca="1" ref="BA1547" ca="1">IFERROR(INDEX(nombres[],SMALL(IF(OFFSET(nombres[],0,0,ROWS(nombres[]),1)=BA$1490,ROW(OFFSET(nombres[],0,0,ROWS(nombres[]),1))-ROW(OFFSET(nombres[],0,0,1,1))+1,ROW(OFFSET(nombres[],ROWS(nombres[])-1,0,1,1))+1),$O1547:$O1566),3),"")</f>
        <v/>
      </c>
      <c r="BB1547" s="42" t="str">
        <f t="array" aca="1" ref="BB1547" ca="1">IFERROR(INDEX(nombres[],SMALL(IF(OFFSET(nombres[],0,0,ROWS(nombres[]),1)=BB$1490,ROW(OFFSET(nombres[],0,0,ROWS(nombres[]),1))-ROW(OFFSET(nombres[],0,0,1,1))+1,ROW(OFFSET(nombres[],ROWS(nombres[])-1,0,1,1))+1),$O1547:$O1566),3),"")</f>
        <v/>
      </c>
      <c r="BC1547" s="42" t="str">
        <f t="array" aca="1" ref="BC1547" ca="1">IFERROR(INDEX(nombres[],SMALL(IF(OFFSET(nombres[],0,0,ROWS(nombres[]),1)=BC$1490,ROW(OFFSET(nombres[],0,0,ROWS(nombres[]),1))-ROW(OFFSET(nombres[],0,0,1,1))+1,ROW(OFFSET(nombres[],ROWS(nombres[])-1,0,1,1))+1),$O1547:$O1566),3),"")</f>
        <v/>
      </c>
      <c r="BD1547" s="42" t="str">
        <f t="array" aca="1" ref="BD1547" ca="1">IFERROR(INDEX(nombres[],SMALL(IF(OFFSET(nombres[],0,0,ROWS(nombres[]),1)=BD$1490,ROW(OFFSET(nombres[],0,0,ROWS(nombres[]),1))-ROW(OFFSET(nombres[],0,0,1,1))+1,ROW(OFFSET(nombres[],ROWS(nombres[])-1,0,1,1))+1),$O1547:$O1566),3),"")</f>
        <v/>
      </c>
      <c r="BE1547" s="42" t="str">
        <f t="array" aca="1" ref="BE1547" ca="1">IFERROR(INDEX(nombres[],SMALL(IF(OFFSET(nombres[],0,0,ROWS(nombres[]),1)=BE$1490,ROW(OFFSET(nombres[],0,0,ROWS(nombres[]),1))-ROW(OFFSET(nombres[],0,0,1,1))+1,ROW(OFFSET(nombres[],ROWS(nombres[])-1,0,1,1))+1),$O1547:$O1566),3),"")</f>
        <v/>
      </c>
      <c r="BF1547" s="42" t="str">
        <f t="array" aca="1" ref="BF1547" ca="1">IFERROR(INDEX(nombres[],SMALL(IF(OFFSET(nombres[],0,0,ROWS(nombres[]),1)=BF$1490,ROW(OFFSET(nombres[],0,0,ROWS(nombres[]),1))-ROW(OFFSET(nombres[],0,0,1,1))+1,ROW(OFFSET(nombres[],ROWS(nombres[])-1,0,1,1))+1),$O1547:$O1566),3),"")</f>
        <v/>
      </c>
      <c r="BG1547" s="42" t="str">
        <f t="array" aca="1" ref="BG1547" ca="1">IFERROR(INDEX(nombres[],SMALL(IF(OFFSET(nombres[],0,0,ROWS(nombres[]),1)=BG$1490,ROW(OFFSET(nombres[],0,0,ROWS(nombres[]),1))-ROW(OFFSET(nombres[],0,0,1,1))+1,ROW(OFFSET(nombres[],ROWS(nombres[])-1,0,1,1))+1),$O1547:$O1566),3),"")</f>
        <v/>
      </c>
      <c r="BH1547" s="42" t="str">
        <f t="array" aca="1" ref="BH1547" ca="1">IFERROR(INDEX(nombres[],SMALL(IF(OFFSET(nombres[],0,0,ROWS(nombres[]),1)=BH$1490,ROW(OFFSET(nombres[],0,0,ROWS(nombres[]),1))-ROW(OFFSET(nombres[],0,0,1,1))+1,ROW(OFFSET(nombres[],ROWS(nombres[])-1,0,1,1))+1),$O1547:$O1566),3),"")</f>
        <v/>
      </c>
      <c r="BI1547" s="42" t="str">
        <f t="array" aca="1" ref="BI1547" ca="1">IFERROR(INDEX(nombres[],SMALL(IF(OFFSET(nombres[],0,0,ROWS(nombres[]),1)=BI$1490,ROW(OFFSET(nombres[],0,0,ROWS(nombres[]),1))-ROW(OFFSET(nombres[],0,0,1,1))+1,ROW(OFFSET(nombres[],ROWS(nombres[])-1,0,1,1))+1),$O1547:$O1566),3),"")</f>
        <v/>
      </c>
      <c r="BJ1547" s="42" t="str">
        <f t="array" aca="1" ref="BJ1547" ca="1">IFERROR(INDEX(nombres[],SMALL(IF(OFFSET(nombres[],0,0,ROWS(nombres[]),1)=BJ$1490,ROW(OFFSET(nombres[],0,0,ROWS(nombres[]),1))-ROW(OFFSET(nombres[],0,0,1,1))+1,ROW(OFFSET(nombres[],ROWS(nombres[])-1,0,1,1))+1),$O1547:$O1566),3),"")</f>
        <v/>
      </c>
      <c r="BK1547" s="42" t="str">
        <f t="array" aca="1" ref="BK1547" ca="1">IFERROR(INDEX(nombres[],SMALL(IF(OFFSET(nombres[],0,0,ROWS(nombres[]),1)=BK$1490,ROW(OFFSET(nombres[],0,0,ROWS(nombres[]),1))-ROW(OFFSET(nombres[],0,0,1,1))+1,ROW(OFFSET(nombres[],ROWS(nombres[])-1,0,1,1))+1),$O1547:$O1566),3),"")</f>
        <v/>
      </c>
      <c r="BL1547" s="42" t="str">
        <f t="array" aca="1" ref="BL1547" ca="1">IFERROR(INDEX(nombres[],SMALL(IF(OFFSET(nombres[],0,0,ROWS(nombres[]),1)=BL$1490,ROW(OFFSET(nombres[],0,0,ROWS(nombres[]),1))-ROW(OFFSET(nombres[],0,0,1,1))+1,ROW(OFFSET(nombres[],ROWS(nombres[])-1,0,1,1))+1),$O1547:$O1566),3),"")</f>
        <v/>
      </c>
      <c r="BM1547" s="42" t="str">
        <f t="array" aca="1" ref="BM1547" ca="1">IFERROR(INDEX(nombres[],SMALL(IF(OFFSET(nombres[],0,0,ROWS(nombres[]),1)=BM$1490,ROW(OFFSET(nombres[],0,0,ROWS(nombres[]),1))-ROW(OFFSET(nombres[],0,0,1,1))+1,ROW(OFFSET(nombres[],ROWS(nombres[])-1,0,1,1))+1),$O1547:$O1566),3),"")</f>
        <v/>
      </c>
      <c r="BN1547" s="42" t="str">
        <f t="array" aca="1" ref="BN1547" ca="1">IFERROR(INDEX(nombres[],SMALL(IF(OFFSET(nombres[],0,0,ROWS(nombres[]),1)=BN$1490,ROW(OFFSET(nombres[],0,0,ROWS(nombres[]),1))-ROW(OFFSET(nombres[],0,0,1,1))+1,ROW(OFFSET(nombres[],ROWS(nombres[])-1,0,1,1))+1),$O1547:$O1566),3),"")</f>
        <v/>
      </c>
      <c r="BO1547" s="42" t="str">
        <f t="array" aca="1" ref="BO1547" ca="1">IFERROR(INDEX(nombres[],SMALL(IF(OFFSET(nombres[],0,0,ROWS(nombres[]),1)=BO$1490,ROW(OFFSET(nombres[],0,0,ROWS(nombres[]),1))-ROW(OFFSET(nombres[],0,0,1,1))+1,ROW(OFFSET(nombres[],ROWS(nombres[])-1,0,1,1))+1),$O1547:$O1566),3),"")</f>
        <v/>
      </c>
      <c r="BP1547" s="42" t="str">
        <f t="array" aca="1" ref="BP1547" ca="1">IFERROR(INDEX(nombres[],SMALL(IF(OFFSET(nombres[],0,0,ROWS(nombres[]),1)=BP$1490,ROW(OFFSET(nombres[],0,0,ROWS(nombres[]),1))-ROW(OFFSET(nombres[],0,0,1,1))+1,ROW(OFFSET(nombres[],ROWS(nombres[])-1,0,1,1))+1),$O1547:$O1566),3),"")</f>
        <v/>
      </c>
      <c r="BQ1547" s="42" t="str">
        <f t="array" aca="1" ref="BQ1547" ca="1">IFERROR(INDEX(nombres[],SMALL(IF(OFFSET(nombres[],0,0,ROWS(nombres[]),1)=BQ$1490,ROW(OFFSET(nombres[],0,0,ROWS(nombres[]),1))-ROW(OFFSET(nombres[],0,0,1,1))+1,ROW(OFFSET(nombres[],ROWS(nombres[])-1,0,1,1))+1),$O1547:$O1566),3),"")</f>
        <v/>
      </c>
      <c r="BR1547" s="42" t="str">
        <f t="array" aca="1" ref="BR1547" ca="1">IFERROR(INDEX(nombres[],SMALL(IF(OFFSET(nombres[],0,0,ROWS(nombres[]),1)=BR$1490,ROW(OFFSET(nombres[],0,0,ROWS(nombres[]),1))-ROW(OFFSET(nombres[],0,0,1,1))+1,ROW(OFFSET(nombres[],ROWS(nombres[])-1,0,1,1))+1),$O1547:$O1566),3),"")</f>
        <v/>
      </c>
      <c r="BS1547" s="42" t="str">
        <f t="array" aca="1" ref="BS1547" ca="1">IFERROR(INDEX(nombres[],SMALL(IF(OFFSET(nombres[],0,0,ROWS(nombres[]),1)=BS$1490,ROW(OFFSET(nombres[],0,0,ROWS(nombres[]),1))-ROW(OFFSET(nombres[],0,0,1,1))+1,ROW(OFFSET(nombres[],ROWS(nombres[])-1,0,1,1))+1),$O1547:$O1566),3),"")</f>
        <v/>
      </c>
      <c r="BT1547" s="42" t="str">
        <f t="array" aca="1" ref="BT1547" ca="1">IFERROR(INDEX(nombres[],SMALL(IF(OFFSET(nombres[],0,0,ROWS(nombres[]),1)=BT$1490,ROW(OFFSET(nombres[],0,0,ROWS(nombres[]),1))-ROW(OFFSET(nombres[],0,0,1,1))+1,ROW(OFFSET(nombres[],ROWS(nombres[])-1,0,1,1))+1),$O1547:$O1566),3),"")</f>
        <v/>
      </c>
      <c r="BU1547" s="42" t="str">
        <f t="array" aca="1" ref="BU1547" ca="1">IFERROR(INDEX(nombres[],SMALL(IF(OFFSET(nombres[],0,0,ROWS(nombres[]),1)=BU$1490,ROW(OFFSET(nombres[],0,0,ROWS(nombres[]),1))-ROW(OFFSET(nombres[],0,0,1,1))+1,ROW(OFFSET(nombres[],ROWS(nombres[])-1,0,1,1))+1),$O1547:$O1566),3),"")</f>
        <v/>
      </c>
      <c r="BV1547" s="42" t="str">
        <f t="array" aca="1" ref="BV1547" ca="1">IFERROR(INDEX(nombres[],SMALL(IF(OFFSET(nombres[],0,0,ROWS(nombres[]),1)=BV$1490,ROW(OFFSET(nombres[],0,0,ROWS(nombres[]),1))-ROW(OFFSET(nombres[],0,0,1,1))+1,ROW(OFFSET(nombres[],ROWS(nombres[])-1,0,1,1))+1),$O1547:$O1566),3),"")</f>
        <v/>
      </c>
      <c r="BW1547" s="42" t="str">
        <f t="array" aca="1" ref="BW1547" ca="1">IFERROR(INDEX(nombres[],SMALL(IF(OFFSET(nombres[],0,0,ROWS(nombres[]),1)=BW$1490,ROW(OFFSET(nombres[],0,0,ROWS(nombres[]),1))-ROW(OFFSET(nombres[],0,0,1,1))+1,ROW(OFFSET(nombres[],ROWS(nombres[])-1,0,1,1))+1),$O1547:$O1566),3),"")</f>
        <v/>
      </c>
      <c r="BX1547" s="42" t="str">
        <f t="array" aca="1" ref="BX1547" ca="1">IFERROR(INDEX(nombres[],SMALL(IF(OFFSET(nombres[],0,0,ROWS(nombres[]),1)=BX$1490,ROW(OFFSET(nombres[],0,0,ROWS(nombres[]),1))-ROW(OFFSET(nombres[],0,0,1,1))+1,ROW(OFFSET(nombres[],ROWS(nombres[])-1,0,1,1))+1),$O1547:$O1566),3),"")</f>
        <v/>
      </c>
      <c r="BY1547" s="42" t="str">
        <f t="array" aca="1" ref="BY1547" ca="1">IFERROR(INDEX(nombres[],SMALL(IF(OFFSET(nombres[],0,0,ROWS(nombres[]),1)=BY$1490,ROW(OFFSET(nombres[],0,0,ROWS(nombres[]),1))-ROW(OFFSET(nombres[],0,0,1,1))+1,ROW(OFFSET(nombres[],ROWS(nombres[])-1,0,1,1))+1),$O1547:$O1566),3),"")</f>
        <v/>
      </c>
      <c r="BZ1547" s="42" t="str">
        <f t="array" aca="1" ref="BZ1547" ca="1">IFERROR(INDEX(nombres[],SMALL(IF(OFFSET(nombres[],0,0,ROWS(nombres[]),1)=BZ$1490,ROW(OFFSET(nombres[],0,0,ROWS(nombres[]),1))-ROW(OFFSET(nombres[],0,0,1,1))+1,ROW(OFFSET(nombres[],ROWS(nombres[])-1,0,1,1))+1),$O1547:$O1566),3),"")</f>
        <v/>
      </c>
      <c r="CA1547" s="42" t="str">
        <f t="array" aca="1" ref="CA1547" ca="1">IFERROR(INDEX(nombres[],SMALL(IF(OFFSET(nombres[],0,0,ROWS(nombres[]),1)=CA$1490,ROW(OFFSET(nombres[],0,0,ROWS(nombres[]),1))-ROW(OFFSET(nombres[],0,0,1,1))+1,ROW(OFFSET(nombres[],ROWS(nombres[])-1,0,1,1))+1),$O1547:$O1566),3),"")</f>
        <v/>
      </c>
      <c r="CB1547" s="42" t="str">
        <f t="array" aca="1" ref="CB1547" ca="1">IFERROR(INDEX(nombres[],SMALL(IF(OFFSET(nombres[],0,0,ROWS(nombres[]),1)=CB$1490,ROW(OFFSET(nombres[],0,0,ROWS(nombres[]),1))-ROW(OFFSET(nombres[],0,0,1,1))+1,ROW(OFFSET(nombres[],ROWS(nombres[])-1,0,1,1))+1),$O1547:$O1566),3),"")</f>
        <v/>
      </c>
      <c r="CC1547" s="42" t="str">
        <f t="array" aca="1" ref="CC1547" ca="1">IFERROR(INDEX(nombres[],SMALL(IF(OFFSET(nombres[],0,0,ROWS(nombres[]),1)=CC$1490,ROW(OFFSET(nombres[],0,0,ROWS(nombres[]),1))-ROW(OFFSET(nombres[],0,0,1,1))+1,ROW(OFFSET(nombres[],ROWS(nombres[])-1,0,1,1))+1),$O1547:$O1566),3),"")</f>
        <v/>
      </c>
      <c r="CD1547" s="42" t="str">
        <f t="array" aca="1" ref="CD1547" ca="1">IFERROR(INDEX(nombres[],SMALL(IF(OFFSET(nombres[],0,0,ROWS(nombres[]),1)=CD$1490,ROW(OFFSET(nombres[],0,0,ROWS(nombres[]),1))-ROW(OFFSET(nombres[],0,0,1,1))+1,ROW(OFFSET(nombres[],ROWS(nombres[])-1,0,1,1))+1),$O1547:$O1566),3),"")</f>
        <v/>
      </c>
      <c r="CE1547" s="42" t="str">
        <f t="array" aca="1" ref="CE1547" ca="1">IFERROR(INDEX(nombres[],SMALL(IF(OFFSET(nombres[],0,0,ROWS(nombres[]),1)=CE$1490,ROW(OFFSET(nombres[],0,0,ROWS(nombres[]),1))-ROW(OFFSET(nombres[],0,0,1,1))+1,ROW(OFFSET(nombres[],ROWS(nombres[])-1,0,1,1))+1),$O1547:$O1566),3),"")</f>
        <v/>
      </c>
      <c r="CF1547" s="42" t="str">
        <f t="array" aca="1" ref="CF1547" ca="1">IFERROR(INDEX(nombres[],SMALL(IF(OFFSET(nombres[],0,0,ROWS(nombres[]),1)=CF$1490,ROW(OFFSET(nombres[],0,0,ROWS(nombres[]),1))-ROW(OFFSET(nombres[],0,0,1,1))+1,ROW(OFFSET(nombres[],ROWS(nombres[])-1,0,1,1))+1),$O1547:$O1566),3),"")</f>
        <v/>
      </c>
      <c r="CG1547" s="42" t="str">
        <f t="array" aca="1" ref="CG1547" ca="1">IFERROR(INDEX(nombres[],SMALL(IF(OFFSET(nombres[],0,0,ROWS(nombres[]),1)=CG$1490,ROW(OFFSET(nombres[],0,0,ROWS(nombres[]),1))-ROW(OFFSET(nombres[],0,0,1,1))+1,ROW(OFFSET(nombres[],ROWS(nombres[])-1,0,1,1))+1),$O1547:$O1566),3),"")</f>
        <v/>
      </c>
      <c r="CH1547" s="42" t="str">
        <f t="array" aca="1" ref="CH1547" ca="1">IFERROR(INDEX(nombres[],SMALL(IF(OFFSET(nombres[],0,0,ROWS(nombres[]),1)=CH$1490,ROW(OFFSET(nombres[],0,0,ROWS(nombres[]),1))-ROW(OFFSET(nombres[],0,0,1,1))+1,ROW(OFFSET(nombres[],ROWS(nombres[])-1,0,1,1))+1),$O1547:$O1566),3),"")</f>
        <v/>
      </c>
      <c r="CI1547" s="42" t="str">
        <f t="array" aca="1" ref="CI1547" ca="1">IFERROR(INDEX(nombres[],SMALL(IF(OFFSET(nombres[],0,0,ROWS(nombres[]),1)=CI$1490,ROW(OFFSET(nombres[],0,0,ROWS(nombres[]),1))-ROW(OFFSET(nombres[],0,0,1,1))+1,ROW(OFFSET(nombres[],ROWS(nombres[])-1,0,1,1))+1),$O1547:$O1566),3),"")</f>
        <v/>
      </c>
      <c r="CJ1547" s="42" t="str">
        <f t="array" aca="1" ref="CJ1547" ca="1">IFERROR(INDEX(nombres[],SMALL(IF(OFFSET(nombres[],0,0,ROWS(nombres[]),1)=CJ$1490,ROW(OFFSET(nombres[],0,0,ROWS(nombres[]),1))-ROW(OFFSET(nombres[],0,0,1,1))+1,ROW(OFFSET(nombres[],ROWS(nombres[])-1,0,1,1))+1),$O1547:$O1566),3),"")</f>
        <v/>
      </c>
      <c r="CK1547" s="42" t="str">
        <f t="array" aca="1" ref="CK1547" ca="1">IFERROR(INDEX(nombres[],SMALL(IF(OFFSET(nombres[],0,0,ROWS(nombres[]),1)=CK$1490,ROW(OFFSET(nombres[],0,0,ROWS(nombres[]),1))-ROW(OFFSET(nombres[],0,0,1,1))+1,ROW(OFFSET(nombres[],ROWS(nombres[])-1,0,1,1))+1),$O1547:$O1566),3),"")</f>
        <v/>
      </c>
      <c r="CL1547" s="42" t="str">
        <f t="array" aca="1" ref="CL1547" ca="1">IFERROR(INDEX(nombres[],SMALL(IF(OFFSET(nombres[],0,0,ROWS(nombres[]),1)=CL$1490,ROW(OFFSET(nombres[],0,0,ROWS(nombres[]),1))-ROW(OFFSET(nombres[],0,0,1,1))+1,ROW(OFFSET(nombres[],ROWS(nombres[])-1,0,1,1))+1),$O1547:$O1566),3),"")</f>
        <v/>
      </c>
      <c r="CM1547" s="42" t="str">
        <f t="array" aca="1" ref="CM1547" ca="1">IFERROR(INDEX(nombres[],SMALL(IF(OFFSET(nombres[],0,0,ROWS(nombres[]),1)=CM$1490,ROW(OFFSET(nombres[],0,0,ROWS(nombres[]),1))-ROW(OFFSET(nombres[],0,0,1,1))+1,ROW(OFFSET(nombres[],ROWS(nombres[])-1,0,1,1))+1),$O1547:$O1566),3),"")</f>
        <v/>
      </c>
      <c r="CN1547" s="42" t="str">
        <f t="array" aca="1" ref="CN1547" ca="1">IFERROR(INDEX(nombres[],SMALL(IF(OFFSET(nombres[],0,0,ROWS(nombres[]),1)=CN$1490,ROW(OFFSET(nombres[],0,0,ROWS(nombres[]),1))-ROW(OFFSET(nombres[],0,0,1,1))+1,ROW(OFFSET(nombres[],ROWS(nombres[])-1,0,1,1))+1),$O1547:$O1566),3),"")</f>
        <v/>
      </c>
      <c r="CO1547" s="42" t="str">
        <f t="array" aca="1" ref="CO1547" ca="1">IFERROR(INDEX(nombres[],SMALL(IF(OFFSET(nombres[],0,0,ROWS(nombres[]),1)=CO$1490,ROW(OFFSET(nombres[],0,0,ROWS(nombres[]),1))-ROW(OFFSET(nombres[],0,0,1,1))+1,ROW(OFFSET(nombres[],ROWS(nombres[])-1,0,1,1))+1),$O1547:$O1566),3),"")</f>
        <v/>
      </c>
      <c r="CP1547" s="42" t="str">
        <f t="array" aca="1" ref="CP1547" ca="1">IFERROR(INDEX(nombres[],SMALL(IF(OFFSET(nombres[],0,0,ROWS(nombres[]),1)=CP$1490,ROW(OFFSET(nombres[],0,0,ROWS(nombres[]),1))-ROW(OFFSET(nombres[],0,0,1,1))+1,ROW(OFFSET(nombres[],ROWS(nombres[])-1,0,1,1))+1),$O1547:$O1566),3),"")</f>
        <v/>
      </c>
      <c r="CQ1547" s="42" t="str">
        <f t="array" aca="1" ref="CQ1547" ca="1">IFERROR(INDEX(nombres[],SMALL(IF(OFFSET(nombres[],0,0,ROWS(nombres[]),1)=CQ$1490,ROW(OFFSET(nombres[],0,0,ROWS(nombres[]),1))-ROW(OFFSET(nombres[],0,0,1,1))+1,ROW(OFFSET(nombres[],ROWS(nombres[])-1,0,1,1))+1),$O1547:$O1566),3),"")</f>
        <v/>
      </c>
      <c r="CR1547" s="42" t="str">
        <f t="array" aca="1" ref="CR1547" ca="1">IFERROR(INDEX(nombres[],SMALL(IF(OFFSET(nombres[],0,0,ROWS(nombres[]),1)=CR$1490,ROW(OFFSET(nombres[],0,0,ROWS(nombres[]),1))-ROW(OFFSET(nombres[],0,0,1,1))+1,ROW(OFFSET(nombres[],ROWS(nombres[])-1,0,1,1))+1),$O1547:$O1566),3),"")</f>
        <v/>
      </c>
      <c r="CS1547" s="42" t="str">
        <f t="array" aca="1" ref="CS1547" ca="1">IFERROR(INDEX(nombres[],SMALL(IF(OFFSET(nombres[],0,0,ROWS(nombres[]),1)=CS$1490,ROW(OFFSET(nombres[],0,0,ROWS(nombres[]),1))-ROW(OFFSET(nombres[],0,0,1,1))+1,ROW(OFFSET(nombres[],ROWS(nombres[])-1,0,1,1))+1),$O1547:$O1566),3),"")</f>
        <v/>
      </c>
      <c r="CT1547" s="42" t="str">
        <f t="array" aca="1" ref="CT1547" ca="1">IFERROR(INDEX(nombres[],SMALL(IF(OFFSET(nombres[],0,0,ROWS(nombres[]),1)=CT$1490,ROW(OFFSET(nombres[],0,0,ROWS(nombres[]),1))-ROW(OFFSET(nombres[],0,0,1,1))+1,ROW(OFFSET(nombres[],ROWS(nombres[])-1,0,1,1))+1),$O1547:$O1566),3),"")</f>
        <v/>
      </c>
      <c r="CU1547" s="42" t="str">
        <f t="array" aca="1" ref="CU1547" ca="1">IFERROR(INDEX(nombres[],SMALL(IF(OFFSET(nombres[],0,0,ROWS(nombres[]),1)=CU$1490,ROW(OFFSET(nombres[],0,0,ROWS(nombres[]),1))-ROW(OFFSET(nombres[],0,0,1,1))+1,ROW(OFFSET(nombres[],ROWS(nombres[])-1,0,1,1))+1),$O1547:$O1566),3),"")</f>
        <v/>
      </c>
      <c r="CV1547" s="42" t="str">
        <f t="array" aca="1" ref="CV1547" ca="1">IFERROR(INDEX(nombres[],SMALL(IF(OFFSET(nombres[],0,0,ROWS(nombres[]),1)=CV$1490,ROW(OFFSET(nombres[],0,0,ROWS(nombres[]),1))-ROW(OFFSET(nombres[],0,0,1,1))+1,ROW(OFFSET(nombres[],ROWS(nombres[])-1,0,1,1))+1),$O1547:$O1566),3),"")</f>
        <v/>
      </c>
      <c r="CW1547" s="42" t="str">
        <f t="array" aca="1" ref="CW1547" ca="1">IFERROR(INDEX(nombres[],SMALL(IF(OFFSET(nombres[],0,0,ROWS(nombres[]),1)=CW$1490,ROW(OFFSET(nombres[],0,0,ROWS(nombres[]),1))-ROW(OFFSET(nombres[],0,0,1,1))+1,ROW(OFFSET(nombres[],ROWS(nombres[])-1,0,1,1))+1),$O1547:$O1566),3),"")</f>
        <v/>
      </c>
      <c r="CX1547" s="42" t="str">
        <f t="array" aca="1" ref="CX1547" ca="1">IFERROR(INDEX(nombres[],SMALL(IF(OFFSET(nombres[],0,0,ROWS(nombres[]),1)=CX$1490,ROW(OFFSET(nombres[],0,0,ROWS(nombres[]),1))-ROW(OFFSET(nombres[],0,0,1,1))+1,ROW(OFFSET(nombres[],ROWS(nombres[])-1,0,1,1))+1),$O1547:$O1566),3),"")</f>
        <v/>
      </c>
      <c r="CY1547" s="42" t="str">
        <f t="array" aca="1" ref="CY1547" ca="1">IFERROR(INDEX(nombres[],SMALL(IF(OFFSET(nombres[],0,0,ROWS(nombres[]),1)=CY$1490,ROW(OFFSET(nombres[],0,0,ROWS(nombres[]),1))-ROW(OFFSET(nombres[],0,0,1,1))+1,ROW(OFFSET(nombres[],ROWS(nombres[])-1,0,1,1))+1),$O1547:$O1566),3),"")</f>
        <v/>
      </c>
      <c r="CZ1547" s="42" t="str">
        <f t="array" aca="1" ref="CZ1547" ca="1">IFERROR(INDEX(nombres[],SMALL(IF(OFFSET(nombres[],0,0,ROWS(nombres[]),1)=CZ$1490,ROW(OFFSET(nombres[],0,0,ROWS(nombres[]),1))-ROW(OFFSET(nombres[],0,0,1,1))+1,ROW(OFFSET(nombres[],ROWS(nombres[])-1,0,1,1))+1),$O1547:$O1566),3),"")</f>
        <v/>
      </c>
      <c r="DA1547" s="42" t="str">
        <f t="array" aca="1" ref="DA1547" ca="1">IFERROR(INDEX(nombres[],SMALL(IF(OFFSET(nombres[],0,0,ROWS(nombres[]),1)=DA$1490,ROW(OFFSET(nombres[],0,0,ROWS(nombres[]),1))-ROW(OFFSET(nombres[],0,0,1,1))+1,ROW(OFFSET(nombres[],ROWS(nombres[])-1,0,1,1))+1),$O1547:$O1566),3),"")</f>
        <v/>
      </c>
      <c r="DB1547" s="42" t="str">
        <f t="array" aca="1" ref="DB1547" ca="1">IFERROR(INDEX(nombres[],SMALL(IF(OFFSET(nombres[],0,0,ROWS(nombres[]),1)=DB$1490,ROW(OFFSET(nombres[],0,0,ROWS(nombres[]),1))-ROW(OFFSET(nombres[],0,0,1,1))+1,ROW(OFFSET(nombres[],ROWS(nombres[])-1,0,1,1))+1),$O1547:$O1566),3),"")</f>
        <v/>
      </c>
      <c r="DC1547" s="42" t="str">
        <f t="array" aca="1" ref="DC1547" ca="1">IFERROR(INDEX(nombres[],SMALL(IF(OFFSET(nombres[],0,0,ROWS(nombres[]),1)=DC$1490,ROW(OFFSET(nombres[],0,0,ROWS(nombres[]),1))-ROW(OFFSET(nombres[],0,0,1,1))+1,ROW(OFFSET(nombres[],ROWS(nombres[])-1,0,1,1))+1),$O1547:$O1566),3),"")</f>
        <v/>
      </c>
      <c r="DD1547" s="42" t="str">
        <f t="array" aca="1" ref="DD1547" ca="1">IFERROR(INDEX(nombres[],SMALL(IF(OFFSET(nombres[],0,0,ROWS(nombres[]),1)=DD$1490,ROW(OFFSET(nombres[],0,0,ROWS(nombres[]),1))-ROW(OFFSET(nombres[],0,0,1,1))+1,ROW(OFFSET(nombres[],ROWS(nombres[])-1,0,1,1))+1),$O1547:$O1566),3),"")</f>
        <v/>
      </c>
      <c r="DE1547" s="42" t="str">
        <f t="array" aca="1" ref="DE1547" ca="1">IFERROR(INDEX(nombres[],SMALL(IF(OFFSET(nombres[],0,0,ROWS(nombres[]),1)=DE$1490,ROW(OFFSET(nombres[],0,0,ROWS(nombres[]),1))-ROW(OFFSET(nombres[],0,0,1,1))+1,ROW(OFFSET(nombres[],ROWS(nombres[])-1,0,1,1))+1),$O1547:$O1566),3),"")</f>
        <v/>
      </c>
      <c r="DF1547" s="42" t="str">
        <f t="array" aca="1" ref="DF1547" ca="1">IFERROR(INDEX(nombres[],SMALL(IF(OFFSET(nombres[],0,0,ROWS(nombres[]),1)=DF$1490,ROW(OFFSET(nombres[],0,0,ROWS(nombres[]),1))-ROW(OFFSET(nombres[],0,0,1,1))+1,ROW(OFFSET(nombres[],ROWS(nombres[])-1,0,1,1))+1),$O1547:$O1566),3),"")</f>
        <v/>
      </c>
      <c r="DG1547" s="42" t="str">
        <f t="array" aca="1" ref="DG1547" ca="1">IFERROR(INDEX(nombres[],SMALL(IF(OFFSET(nombres[],0,0,ROWS(nombres[]),1)=DG$1490,ROW(OFFSET(nombres[],0,0,ROWS(nombres[]),1))-ROW(OFFSET(nombres[],0,0,1,1))+1,ROW(OFFSET(nombres[],ROWS(nombres[])-1,0,1,1))+1),$O1547:$O1566),3),"")</f>
        <v/>
      </c>
      <c r="DH1547" s="42" t="str">
        <f t="array" aca="1" ref="DH1547" ca="1">IFERROR(INDEX(nombres[],SMALL(IF(OFFSET(nombres[],0,0,ROWS(nombres[]),1)=DH$1490,ROW(OFFSET(nombres[],0,0,ROWS(nombres[]),1))-ROW(OFFSET(nombres[],0,0,1,1))+1,ROW(OFFSET(nombres[],ROWS(nombres[])-1,0,1,1))+1),$O1547:$O1566),3),"")</f>
        <v/>
      </c>
      <c r="DI1547" s="42" t="str">
        <f t="array" aca="1" ref="DI1547" ca="1">IFERROR(INDEX(nombres[],SMALL(IF(OFFSET(nombres[],0,0,ROWS(nombres[]),1)=DI$1490,ROW(OFFSET(nombres[],0,0,ROWS(nombres[]),1))-ROW(OFFSET(nombres[],0,0,1,1))+1,ROW(OFFSET(nombres[],ROWS(nombres[])-1,0,1,1))+1),$O1547:$O1566),3),"")</f>
        <v/>
      </c>
      <c r="DJ1547" s="42" t="str">
        <f t="array" aca="1" ref="DJ1547" ca="1">IFERROR(INDEX(nombres[],SMALL(IF(OFFSET(nombres[],0,0,ROWS(nombres[]),1)=DJ$1490,ROW(OFFSET(nombres[],0,0,ROWS(nombres[]),1))-ROW(OFFSET(nombres[],0,0,1,1))+1,ROW(OFFSET(nombres[],ROWS(nombres[])-1,0,1,1))+1),$O1547:$O1566),3),"")</f>
        <v/>
      </c>
      <c r="DK1547" s="42" t="str">
        <f t="array" aca="1" ref="DK1547" ca="1">IFERROR(INDEX(nombres[],SMALL(IF(OFFSET(nombres[],0,0,ROWS(nombres[]),1)=DK$1490,ROW(OFFSET(nombres[],0,0,ROWS(nombres[]),1))-ROW(OFFSET(nombres[],0,0,1,1))+1,ROW(OFFSET(nombres[],ROWS(nombres[])-1,0,1,1))+1),$O1547:$O1566),3),"")</f>
        <v/>
      </c>
      <c r="DL1547" s="42" t="str">
        <f t="array" aca="1" ref="DL1547" ca="1">IFERROR(INDEX(nombres[],SMALL(IF(OFFSET(nombres[],0,0,ROWS(nombres[]),1)=DL$1490,ROW(OFFSET(nombres[],0,0,ROWS(nombres[]),1))-ROW(OFFSET(nombres[],0,0,1,1))+1,ROW(OFFSET(nombres[],ROWS(nombres[])-1,0,1,1))+1),$O1547:$O1566),3),"")</f>
        <v/>
      </c>
      <c r="DM1547" s="42" t="str">
        <f t="array" aca="1" ref="DM1547" ca="1">IFERROR(INDEX(nombres[],SMALL(IF(OFFSET(nombres[],0,0,ROWS(nombres[]),1)=DM$1490,ROW(OFFSET(nombres[],0,0,ROWS(nombres[]),1))-ROW(OFFSET(nombres[],0,0,1,1))+1,ROW(OFFSET(nombres[],ROWS(nombres[])-1,0,1,1))+1),$O1547:$O1566),3),"")</f>
        <v/>
      </c>
      <c r="DN1547" s="42" t="str">
        <f t="array" aca="1" ref="DN1547" ca="1">IFERROR(INDEX(nombres[],SMALL(IF(OFFSET(nombres[],0,0,ROWS(nombres[]),1)=DN$1490,ROW(OFFSET(nombres[],0,0,ROWS(nombres[]),1))-ROW(OFFSET(nombres[],0,0,1,1))+1,ROW(OFFSET(nombres[],ROWS(nombres[])-1,0,1,1))+1),$O1547:$O1566),3),"")</f>
        <v/>
      </c>
      <c r="DO1547" s="42" t="str">
        <f t="array" aca="1" ref="DO1547" ca="1">IFERROR(INDEX(nombres[],SMALL(IF(OFFSET(nombres[],0,0,ROWS(nombres[]),1)=DO$1490,ROW(OFFSET(nombres[],0,0,ROWS(nombres[]),1))-ROW(OFFSET(nombres[],0,0,1,1))+1,ROW(OFFSET(nombres[],ROWS(nombres[])-1,0,1,1))+1),$O1547:$O1566),3),"")</f>
        <v/>
      </c>
      <c r="DP1547" s="42" t="str">
        <f t="array" aca="1" ref="DP1547" ca="1">IFERROR(INDEX(nombres[],SMALL(IF(OFFSET(nombres[],0,0,ROWS(nombres[]),1)=DP$1490,ROW(OFFSET(nombres[],0,0,ROWS(nombres[]),1))-ROW(OFFSET(nombres[],0,0,1,1))+1,ROW(OFFSET(nombres[],ROWS(nombres[])-1,0,1,1))+1),$O1547:$O1566),3),"")</f>
        <v/>
      </c>
      <c r="DQ1547" s="42" t="str">
        <f t="array" aca="1" ref="DQ1547" ca="1">IFERROR(INDEX(nombres[],SMALL(IF(OFFSET(nombres[],0,0,ROWS(nombres[]),1)=DQ$1490,ROW(OFFSET(nombres[],0,0,ROWS(nombres[]),1))-ROW(OFFSET(nombres[],0,0,1,1))+1,ROW(OFFSET(nombres[],ROWS(nombres[])-1,0,1,1))+1),$O1547:$O1566),3),"")</f>
        <v/>
      </c>
      <c r="DR1547" s="42" t="str">
        <f t="array" aca="1" ref="DR1547" ca="1">IFERROR(INDEX(nombres[],SMALL(IF(OFFSET(nombres[],0,0,ROWS(nombres[]),1)=DR$1490,ROW(OFFSET(nombres[],0,0,ROWS(nombres[]),1))-ROW(OFFSET(nombres[],0,0,1,1))+1,ROW(OFFSET(nombres[],ROWS(nombres[])-1,0,1,1))+1),$O1547:$O1566),3),"")</f>
        <v/>
      </c>
      <c r="DS1547" s="42" t="str">
        <f t="array" aca="1" ref="DS1547" ca="1">IFERROR(INDEX(nombres[],SMALL(IF(OFFSET(nombres[],0,0,ROWS(nombres[]),1)=DS$1490,ROW(OFFSET(nombres[],0,0,ROWS(nombres[]),1))-ROW(OFFSET(nombres[],0,0,1,1))+1,ROW(OFFSET(nombres[],ROWS(nombres[])-1,0,1,1))+1),$O1547:$O1566),3),"")</f>
        <v/>
      </c>
      <c r="DT1547" s="42" t="str">
        <f t="array" aca="1" ref="DT1547" ca="1">IFERROR(INDEX(nombres[],SMALL(IF(OFFSET(nombres[],0,0,ROWS(nombres[]),1)=DT$1490,ROW(OFFSET(nombres[],0,0,ROWS(nombres[]),1))-ROW(OFFSET(nombres[],0,0,1,1))+1,ROW(OFFSET(nombres[],ROWS(nombres[])-1,0,1,1))+1),$O1547:$O1566),3),"")</f>
        <v/>
      </c>
      <c r="DU1547" s="42" t="str">
        <f t="array" aca="1" ref="DU1547" ca="1">IFERROR(INDEX(nombres[],SMALL(IF(OFFSET(nombres[],0,0,ROWS(nombres[]),1)=DU$1490,ROW(OFFSET(nombres[],0,0,ROWS(nombres[]),1))-ROW(OFFSET(nombres[],0,0,1,1))+1,ROW(OFFSET(nombres[],ROWS(nombres[])-1,0,1,1))+1),$O1547:$O1566),3),"")</f>
        <v/>
      </c>
      <c r="DV1547" s="42" t="str">
        <f t="array" aca="1" ref="DV1547" ca="1">IFERROR(INDEX(nombres[],SMALL(IF(OFFSET(nombres[],0,0,ROWS(nombres[]),1)=DV$1490,ROW(OFFSET(nombres[],0,0,ROWS(nombres[]),1))-ROW(OFFSET(nombres[],0,0,1,1))+1,ROW(OFFSET(nombres[],ROWS(nombres[])-1,0,1,1))+1),$O1547:$O1566),3),"")</f>
        <v/>
      </c>
      <c r="DW1547" s="42" t="str">
        <f t="array" aca="1" ref="DW1547" ca="1">IFERROR(INDEX(nombres[],SMALL(IF(OFFSET(nombres[],0,0,ROWS(nombres[]),1)=DW$1490,ROW(OFFSET(nombres[],0,0,ROWS(nombres[]),1))-ROW(OFFSET(nombres[],0,0,1,1))+1,ROW(OFFSET(nombres[],ROWS(nombres[])-1,0,1,1))+1),$O1547:$O1566),3),"")</f>
        <v/>
      </c>
      <c r="DX1547" s="42" t="str">
        <f t="array" aca="1" ref="DX1547" ca="1">IFERROR(INDEX(nombres[],SMALL(IF(OFFSET(nombres[],0,0,ROWS(nombres[]),1)=DX$1490,ROW(OFFSET(nombres[],0,0,ROWS(nombres[]),1))-ROW(OFFSET(nombres[],0,0,1,1))+1,ROW(OFFSET(nombres[],ROWS(nombres[])-1,0,1,1))+1),$O1547:$O1566),3),"")</f>
        <v/>
      </c>
      <c r="DY1547" s="42" t="str">
        <f t="array" aca="1" ref="DY1547" ca="1">IFERROR(INDEX(nombres[],SMALL(IF(OFFSET(nombres[],0,0,ROWS(nombres[]),1)=DY$1490,ROW(OFFSET(nombres[],0,0,ROWS(nombres[]),1))-ROW(OFFSET(nombres[],0,0,1,1))+1,ROW(OFFSET(nombres[],ROWS(nombres[])-1,0,1,1))+1),$O1547:$O1566),3),"")</f>
        <v/>
      </c>
      <c r="DZ1547" s="42" t="str">
        <f t="array" aca="1" ref="DZ1547" ca="1">IFERROR(INDEX(nombres[],SMALL(IF(OFFSET(nombres[],0,0,ROWS(nombres[]),1)=DZ$1490,ROW(OFFSET(nombres[],0,0,ROWS(nombres[]),1))-ROW(OFFSET(nombres[],0,0,1,1))+1,ROW(OFFSET(nombres[],ROWS(nombres[])-1,0,1,1))+1),$O1547:$O1566),3),"")</f>
        <v/>
      </c>
      <c r="EA1547" s="42" t="str">
        <f t="array" aca="1" ref="EA1547" ca="1">IFERROR(INDEX(nombres[],SMALL(IF(OFFSET(nombres[],0,0,ROWS(nombres[]),1)=EA$1490,ROW(OFFSET(nombres[],0,0,ROWS(nombres[]),1))-ROW(OFFSET(nombres[],0,0,1,1))+1,ROW(OFFSET(nombres[],ROWS(nombres[])-1,0,1,1))+1),$O1547:$O1566),3),"")</f>
        <v/>
      </c>
      <c r="EB1547" s="42" t="str">
        <f t="array" aca="1" ref="EB1547" ca="1">IFERROR(INDEX(nombres[],SMALL(IF(OFFSET(nombres[],0,0,ROWS(nombres[]),1)=EB$1490,ROW(OFFSET(nombres[],0,0,ROWS(nombres[]),1))-ROW(OFFSET(nombres[],0,0,1,1))+1,ROW(OFFSET(nombres[],ROWS(nombres[])-1,0,1,1))+1),$O1547:$O1566),3),"")</f>
        <v/>
      </c>
      <c r="EC1547" s="42" t="str">
        <f t="array" aca="1" ref="EC1547" ca="1">IFERROR(INDEX(nombres[],SMALL(IF(OFFSET(nombres[],0,0,ROWS(nombres[]),1)=EC$1490,ROW(OFFSET(nombres[],0,0,ROWS(nombres[]),1))-ROW(OFFSET(nombres[],0,0,1,1))+1,ROW(OFFSET(nombres[],ROWS(nombres[])-1,0,1,1))+1),$O1547:$O1566),3),"")</f>
        <v/>
      </c>
      <c r="ED1547" s="42" t="str">
        <f t="array" aca="1" ref="ED1547" ca="1">IFERROR(INDEX(nombres[],SMALL(IF(OFFSET(nombres[],0,0,ROWS(nombres[]),1)=ED$1490,ROW(OFFSET(nombres[],0,0,ROWS(nombres[]),1))-ROW(OFFSET(nombres[],0,0,1,1))+1,ROW(OFFSET(nombres[],ROWS(nombres[])-1,0,1,1))+1),$O1547:$O1566),3),"")</f>
        <v/>
      </c>
      <c r="EE1547" s="42" t="str">
        <f t="array" aca="1" ref="EE1547" ca="1">IFERROR(INDEX(nombres[],SMALL(IF(OFFSET(nombres[],0,0,ROWS(nombres[]),1)=EE$1490,ROW(OFFSET(nombres[],0,0,ROWS(nombres[]),1))-ROW(OFFSET(nombres[],0,0,1,1))+1,ROW(OFFSET(nombres[],ROWS(nombres[])-1,0,1,1))+1),$O1547:$O1566),3),"")</f>
        <v/>
      </c>
      <c r="EF1547" s="42" t="str">
        <f t="array" aca="1" ref="EF1547" ca="1">IFERROR(INDEX(nombres[],SMALL(IF(OFFSET(nombres[],0,0,ROWS(nombres[]),1)=EF$1490,ROW(OFFSET(nombres[],0,0,ROWS(nombres[]),1))-ROW(OFFSET(nombres[],0,0,1,1))+1,ROW(OFFSET(nombres[],ROWS(nombres[])-1,0,1,1))+1),$O1547:$O1566),3),"")</f>
        <v/>
      </c>
      <c r="EG1547" s="42" t="str">
        <f t="array" aca="1" ref="EG1547" ca="1">IFERROR(INDEX(nombres[],SMALL(IF(OFFSET(nombres[],0,0,ROWS(nombres[]),1)=EG$1490,ROW(OFFSET(nombres[],0,0,ROWS(nombres[]),1))-ROW(OFFSET(nombres[],0,0,1,1))+1,ROW(OFFSET(nombres[],ROWS(nombres[])-1,0,1,1))+1),$O1547:$O1566),3),"")</f>
        <v/>
      </c>
      <c r="EH1547" s="42" t="str">
        <f t="array" aca="1" ref="EH1547" ca="1">IFERROR(INDEX(nombres[],SMALL(IF(OFFSET(nombres[],0,0,ROWS(nombres[]),1)=EH$1490,ROW(OFFSET(nombres[],0,0,ROWS(nombres[]),1))-ROW(OFFSET(nombres[],0,0,1,1))+1,ROW(OFFSET(nombres[],ROWS(nombres[])-1,0,1,1))+1),$O1547:$O1566),3),"")</f>
        <v/>
      </c>
      <c r="EI1547" s="42" t="str">
        <f t="array" aca="1" ref="EI1547" ca="1">IFERROR(INDEX(nombres[],SMALL(IF(OFFSET(nombres[],0,0,ROWS(nombres[]),1)=EI$1490,ROW(OFFSET(nombres[],0,0,ROWS(nombres[]),1))-ROW(OFFSET(nombres[],0,0,1,1))+1,ROW(OFFSET(nombres[],ROWS(nombres[])-1,0,1,1))+1),$O1547:$O1566),3),"")</f>
        <v/>
      </c>
      <c r="EJ1547" s="42" t="str">
        <f t="array" aca="1" ref="EJ1547" ca="1">IFERROR(INDEX(nombres[],SMALL(IF(OFFSET(nombres[],0,0,ROWS(nombres[]),1)=EJ$1490,ROW(OFFSET(nombres[],0,0,ROWS(nombres[]),1))-ROW(OFFSET(nombres[],0,0,1,1))+1,ROW(OFFSET(nombres[],ROWS(nombres[])-1,0,1,1))+1),$O1547:$O1566),3),"")</f>
        <v/>
      </c>
      <c r="EK1547" s="42" t="str">
        <f t="array" aca="1" ref="EK1547" ca="1">IFERROR(INDEX(nombres[],SMALL(IF(OFFSET(nombres[],0,0,ROWS(nombres[]),1)=EK$1490,ROW(OFFSET(nombres[],0,0,ROWS(nombres[]),1))-ROW(OFFSET(nombres[],0,0,1,1))+1,ROW(OFFSET(nombres[],ROWS(nombres[])-1,0,1,1))+1),$O1547:$O1566),3),"")</f>
        <v/>
      </c>
      <c r="EL1547" s="42" t="str">
        <f t="array" aca="1" ref="EL1547" ca="1">IFERROR(INDEX(nombres[],SMALL(IF(OFFSET(nombres[],0,0,ROWS(nombres[]),1)=EL$1490,ROW(OFFSET(nombres[],0,0,ROWS(nombres[]),1))-ROW(OFFSET(nombres[],0,0,1,1))+1,ROW(OFFSET(nombres[],ROWS(nombres[])-1,0,1,1))+1),$O1547:$O1566),3),"")</f>
        <v/>
      </c>
      <c r="EM1547" s="42" t="str">
        <f t="array" aca="1" ref="EM1547" ca="1">IFERROR(INDEX(nombres[],SMALL(IF(OFFSET(nombres[],0,0,ROWS(nombres[]),1)=EM$1490,ROW(OFFSET(nombres[],0,0,ROWS(nombres[]),1))-ROW(OFFSET(nombres[],0,0,1,1))+1,ROW(OFFSET(nombres[],ROWS(nombres[])-1,0,1,1))+1),$O1547:$O1566),3),"")</f>
        <v/>
      </c>
      <c r="EN1547" s="42" t="str">
        <f t="array" aca="1" ref="EN1547" ca="1">IFERROR(INDEX(nombres[],SMALL(IF(OFFSET(nombres[],0,0,ROWS(nombres[]),1)=EN$1490,ROW(OFFSET(nombres[],0,0,ROWS(nombres[]),1))-ROW(OFFSET(nombres[],0,0,1,1))+1,ROW(OFFSET(nombres[],ROWS(nombres[])-1,0,1,1))+1),$O1547:$O1566),3),"")</f>
        <v/>
      </c>
      <c r="EO1547" s="42" t="str">
        <f t="array" aca="1" ref="EO1547" ca="1">IFERROR(INDEX(nombres[],SMALL(IF(OFFSET(nombres[],0,0,ROWS(nombres[]),1)=EO$1490,ROW(OFFSET(nombres[],0,0,ROWS(nombres[]),1))-ROW(OFFSET(nombres[],0,0,1,1))+1,ROW(OFFSET(nombres[],ROWS(nombres[])-1,0,1,1))+1),$O1547:$O1566),3),"")</f>
        <v/>
      </c>
      <c r="EP1547" s="42" t="str">
        <f t="array" aca="1" ref="EP1547" ca="1">IFERROR(INDEX(nombres[],SMALL(IF(OFFSET(nombres[],0,0,ROWS(nombres[]),1)=EP$1490,ROW(OFFSET(nombres[],0,0,ROWS(nombres[]),1))-ROW(OFFSET(nombres[],0,0,1,1))+1,ROW(OFFSET(nombres[],ROWS(nombres[])-1,0,1,1))+1),$O1547:$O1566),3),"")</f>
        <v/>
      </c>
      <c r="EQ1547" s="42" t="str">
        <f t="array" aca="1" ref="EQ1547" ca="1">IFERROR(INDEX(nombres[],SMALL(IF(OFFSET(nombres[],0,0,ROWS(nombres[]),1)=EQ$1490,ROW(OFFSET(nombres[],0,0,ROWS(nombres[]),1))-ROW(OFFSET(nombres[],0,0,1,1))+1,ROW(OFFSET(nombres[],ROWS(nombres[])-1,0,1,1))+1),$O1547:$O1566),3),"")</f>
        <v/>
      </c>
      <c r="ER1547" s="42" t="str">
        <f t="array" aca="1" ref="ER1547" ca="1">IFERROR(INDEX(nombres[],SMALL(IF(OFFSET(nombres[],0,0,ROWS(nombres[]),1)=ER$1490,ROW(OFFSET(nombres[],0,0,ROWS(nombres[]),1))-ROW(OFFSET(nombres[],0,0,1,1))+1,ROW(OFFSET(nombres[],ROWS(nombres[])-1,0,1,1))+1),$O1547:$O1566),3),"")</f>
        <v/>
      </c>
      <c r="ES1547" s="42" t="str">
        <f t="array" aca="1" ref="ES1547" ca="1">IFERROR(INDEX(nombres[],SMALL(IF(OFFSET(nombres[],0,0,ROWS(nombres[]),1)=ES$1490,ROW(OFFSET(nombres[],0,0,ROWS(nombres[]),1))-ROW(OFFSET(nombres[],0,0,1,1))+1,ROW(OFFSET(nombres[],ROWS(nombres[])-1,0,1,1))+1),$O1547:$O1566),3),"")</f>
        <v/>
      </c>
      <c r="ET1547" s="42" t="str">
        <f t="array" aca="1" ref="ET1547" ca="1">IFERROR(INDEX(nombres[],SMALL(IF(OFFSET(nombres[],0,0,ROWS(nombres[]),1)=ET$1490,ROW(OFFSET(nombres[],0,0,ROWS(nombres[]),1))-ROW(OFFSET(nombres[],0,0,1,1))+1,ROW(OFFSET(nombres[],ROWS(nombres[])-1,0,1,1))+1),$O1547:$O1566),3),"")</f>
        <v/>
      </c>
      <c r="EU1547" s="42" t="str">
        <f t="array" aca="1" ref="EU1547" ca="1">IFERROR(INDEX(nombres[],SMALL(IF(OFFSET(nombres[],0,0,ROWS(nombres[]),1)=EU$1490,ROW(OFFSET(nombres[],0,0,ROWS(nombres[]),1))-ROW(OFFSET(nombres[],0,0,1,1))+1,ROW(OFFSET(nombres[],ROWS(nombres[])-1,0,1,1))+1),$O1547:$O1566),3),"")</f>
        <v/>
      </c>
      <c r="EV1547" s="42" t="str">
        <f t="array" aca="1" ref="EV1547" ca="1">IFERROR(INDEX(nombres[],SMALL(IF(OFFSET(nombres[],0,0,ROWS(nombres[]),1)=EV$1490,ROW(OFFSET(nombres[],0,0,ROWS(nombres[]),1))-ROW(OFFSET(nombres[],0,0,1,1))+1,ROW(OFFSET(nombres[],ROWS(nombres[])-1,0,1,1))+1),$O1547:$O1566),3),"")</f>
        <v/>
      </c>
      <c r="EW1547" s="42" t="str">
        <f t="array" aca="1" ref="EW1547" ca="1">IFERROR(INDEX(nombres[],SMALL(IF(OFFSET(nombres[],0,0,ROWS(nombres[]),1)=EW$1490,ROW(OFFSET(nombres[],0,0,ROWS(nombres[]),1))-ROW(OFFSET(nombres[],0,0,1,1))+1,ROW(OFFSET(nombres[],ROWS(nombres[])-1,0,1,1))+1),$O1547:$O1566),3),"")</f>
        <v/>
      </c>
      <c r="EX1547" s="42" t="str">
        <f t="array" aca="1" ref="EX1547" ca="1">IFERROR(INDEX(nombres[],SMALL(IF(OFFSET(nombres[],0,0,ROWS(nombres[]),1)=EX$1490,ROW(OFFSET(nombres[],0,0,ROWS(nombres[]),1))-ROW(OFFSET(nombres[],0,0,1,1))+1,ROW(OFFSET(nombres[],ROWS(nombres[])-1,0,1,1))+1),$O1547:$O1566),3),"")</f>
        <v/>
      </c>
      <c r="EY1547" s="42" t="str">
        <f t="array" aca="1" ref="EY1547" ca="1">IFERROR(INDEX(nombres[],SMALL(IF(OFFSET(nombres[],0,0,ROWS(nombres[]),1)=EY$1490,ROW(OFFSET(nombres[],0,0,ROWS(nombres[]),1))-ROW(OFFSET(nombres[],0,0,1,1))+1,ROW(OFFSET(nombres[],ROWS(nombres[])-1,0,1,1))+1),$O1547:$O1566),3),"")</f>
        <v/>
      </c>
      <c r="EZ1547" s="42" t="str">
        <f t="array" aca="1" ref="EZ1547" ca="1">IFERROR(INDEX(nombres[],SMALL(IF(OFFSET(nombres[],0,0,ROWS(nombres[]),1)=EZ$1490,ROW(OFFSET(nombres[],0,0,ROWS(nombres[]),1))-ROW(OFFSET(nombres[],0,0,1,1))+1,ROW(OFFSET(nombres[],ROWS(nombres[])-1,0,1,1))+1),$O1547:$O1566),3),"")</f>
        <v/>
      </c>
      <c r="FA1547" s="42" t="str">
        <f t="array" aca="1" ref="FA1547" ca="1">IFERROR(INDEX(nombres[],SMALL(IF(OFFSET(nombres[],0,0,ROWS(nombres[]),1)=FA$1490,ROW(OFFSET(nombres[],0,0,ROWS(nombres[]),1))-ROW(OFFSET(nombres[],0,0,1,1))+1,ROW(OFFSET(nombres[],ROWS(nombres[])-1,0,1,1))+1),$O1547:$O1566),3),"")</f>
        <v/>
      </c>
      <c r="FB1547" s="42" t="str">
        <f t="array" aca="1" ref="FB1547" ca="1">IFERROR(INDEX(nombres[],SMALL(IF(OFFSET(nombres[],0,0,ROWS(nombres[]),1)=FB$1490,ROW(OFFSET(nombres[],0,0,ROWS(nombres[]),1))-ROW(OFFSET(nombres[],0,0,1,1))+1,ROW(OFFSET(nombres[],ROWS(nombres[])-1,0,1,1))+1),$O1547:$O1566),3),"")</f>
        <v/>
      </c>
      <c r="FC1547" s="42" t="str">
        <f t="array" aca="1" ref="FC1547" ca="1">IFERROR(INDEX(nombres[],SMALL(IF(OFFSET(nombres[],0,0,ROWS(nombres[]),1)=FC$1490,ROW(OFFSET(nombres[],0,0,ROWS(nombres[]),1))-ROW(OFFSET(nombres[],0,0,1,1))+1,ROW(OFFSET(nombres[],ROWS(nombres[])-1,0,1,1))+1),$O1547:$O1566),3),"")</f>
        <v/>
      </c>
      <c r="FD1547" s="42" t="str">
        <f t="array" aca="1" ref="FD1547" ca="1">IFERROR(INDEX(nombres[],SMALL(IF(OFFSET(nombres[],0,0,ROWS(nombres[]),1)=FD$1490,ROW(OFFSET(nombres[],0,0,ROWS(nombres[]),1))-ROW(OFFSET(nombres[],0,0,1,1))+1,ROW(OFFSET(nombres[],ROWS(nombres[])-1,0,1,1))+1),$O1547:$O1566),3),"")</f>
        <v/>
      </c>
      <c r="FE1547" s="42" t="str">
        <f t="array" aca="1" ref="FE1547" ca="1">IFERROR(INDEX(nombres[],SMALL(IF(OFFSET(nombres[],0,0,ROWS(nombres[]),1)=FE$1490,ROW(OFFSET(nombres[],0,0,ROWS(nombres[]),1))-ROW(OFFSET(nombres[],0,0,1,1))+1,ROW(OFFSET(nombres[],ROWS(nombres[])-1,0,1,1))+1),$O1547:$O1566),3),"")</f>
        <v/>
      </c>
      <c r="FF1547" s="42" t="str">
        <f t="array" aca="1" ref="FF1547" ca="1">IFERROR(INDEX(nombres[],SMALL(IF(OFFSET(nombres[],0,0,ROWS(nombres[]),1)=FF$1490,ROW(OFFSET(nombres[],0,0,ROWS(nombres[]),1))-ROW(OFFSET(nombres[],0,0,1,1))+1,ROW(OFFSET(nombres[],ROWS(nombres[])-1,0,1,1))+1),$O1547:$O1566),3),"")</f>
        <v/>
      </c>
      <c r="FG1547" s="42" t="str">
        <f t="array" aca="1" ref="FG1547" ca="1">IFERROR(INDEX(nombres[],SMALL(IF(OFFSET(nombres[],0,0,ROWS(nombres[]),1)=FG$1490,ROW(OFFSET(nombres[],0,0,ROWS(nombres[]),1))-ROW(OFFSET(nombres[],0,0,1,1))+1,ROW(OFFSET(nombres[],ROWS(nombres[])-1,0,1,1))+1),$O1547:$O1566),3),"")</f>
        <v/>
      </c>
      <c r="FH1547" s="42" t="str">
        <f t="array" aca="1" ref="FH1547" ca="1">IFERROR(INDEX(nombres[],SMALL(IF(OFFSET(nombres[],0,0,ROWS(nombres[]),1)=FH$1490,ROW(OFFSET(nombres[],0,0,ROWS(nombres[]),1))-ROW(OFFSET(nombres[],0,0,1,1))+1,ROW(OFFSET(nombres[],ROWS(nombres[])-1,0,1,1))+1),$O1547:$O1566),3),"")</f>
        <v/>
      </c>
      <c r="FI1547" s="42" t="str">
        <f t="array" aca="1" ref="FI1547" ca="1">IFERROR(INDEX(nombres[],SMALL(IF(OFFSET(nombres[],0,0,ROWS(nombres[]),1)=FI$1490,ROW(OFFSET(nombres[],0,0,ROWS(nombres[]),1))-ROW(OFFSET(nombres[],0,0,1,1))+1,ROW(OFFSET(nombres[],ROWS(nombres[])-1,0,1,1))+1),$O1547:$O1566),3),"")</f>
        <v/>
      </c>
      <c r="FJ1547" s="42" t="str">
        <f t="array" aca="1" ref="FJ1547" ca="1">IFERROR(INDEX(nombres[],SMALL(IF(OFFSET(nombres[],0,0,ROWS(nombres[]),1)=FJ$1490,ROW(OFFSET(nombres[],0,0,ROWS(nombres[]),1))-ROW(OFFSET(nombres[],0,0,1,1))+1,ROW(OFFSET(nombres[],ROWS(nombres[])-1,0,1,1))+1),$O1547:$O1566),3),"")</f>
        <v/>
      </c>
      <c r="FK1547" s="42" t="str">
        <f t="array" aca="1" ref="FK1547" ca="1">IFERROR(INDEX(nombres[],SMALL(IF(OFFSET(nombres[],0,0,ROWS(nombres[]),1)=FK$1490,ROW(OFFSET(nombres[],0,0,ROWS(nombres[]),1))-ROW(OFFSET(nombres[],0,0,1,1))+1,ROW(OFFSET(nombres[],ROWS(nombres[])-1,0,1,1))+1),$O1547:$O1566),3),"")</f>
        <v/>
      </c>
      <c r="FL1547" s="42" t="str">
        <f t="array" aca="1" ref="FL1547" ca="1">IFERROR(INDEX(nombres[],SMALL(IF(OFFSET(nombres[],0,0,ROWS(nombres[]),1)=FL$1490,ROW(OFFSET(nombres[],0,0,ROWS(nombres[]),1))-ROW(OFFSET(nombres[],0,0,1,1))+1,ROW(OFFSET(nombres[],ROWS(nombres[])-1,0,1,1))+1),$O1547:$O1566),3),"")</f>
        <v/>
      </c>
      <c r="FM1547" s="42" t="str">
        <f t="array" aca="1" ref="FM1547" ca="1">IFERROR(INDEX(nombres[],SMALL(IF(OFFSET(nombres[],0,0,ROWS(nombres[]),1)=FM$1490,ROW(OFFSET(nombres[],0,0,ROWS(nombres[]),1))-ROW(OFFSET(nombres[],0,0,1,1))+1,ROW(OFFSET(nombres[],ROWS(nombres[])-1,0,1,1))+1),$O1547:$O1566),3),"")</f>
        <v/>
      </c>
      <c r="FN1547" s="42" t="str">
        <f t="array" aca="1" ref="FN1547" ca="1">IFERROR(INDEX(nombres[],SMALL(IF(OFFSET(nombres[],0,0,ROWS(nombres[]),1)=FN$1490,ROW(OFFSET(nombres[],0,0,ROWS(nombres[]),1))-ROW(OFFSET(nombres[],0,0,1,1))+1,ROW(OFFSET(nombres[],ROWS(nombres[])-1,0,1,1))+1),$O1547:$O1566),3),"")</f>
        <v/>
      </c>
      <c r="FO1547" s="42" t="str">
        <f t="array" aca="1" ref="FO1547" ca="1">IFERROR(INDEX(nombres[],SMALL(IF(OFFSET(nombres[],0,0,ROWS(nombres[]),1)=FO$1490,ROW(OFFSET(nombres[],0,0,ROWS(nombres[]),1))-ROW(OFFSET(nombres[],0,0,1,1))+1,ROW(OFFSET(nombres[],ROWS(nombres[])-1,0,1,1))+1),$O1547:$O1566),3),"")</f>
        <v/>
      </c>
      <c r="FP1547" s="42" t="str">
        <f t="array" aca="1" ref="FP1547" ca="1">IFERROR(INDEX(nombres[],SMALL(IF(OFFSET(nombres[],0,0,ROWS(nombres[]),1)=FP$1490,ROW(OFFSET(nombres[],0,0,ROWS(nombres[]),1))-ROW(OFFSET(nombres[],0,0,1,1))+1,ROW(OFFSET(nombres[],ROWS(nombres[])-1,0,1,1))+1),$O1547:$O1566),3),"")</f>
        <v/>
      </c>
      <c r="FQ1547" s="42" t="str">
        <f t="array" aca="1" ref="FQ1547" ca="1">IFERROR(INDEX(nombres[],SMALL(IF(OFFSET(nombres[],0,0,ROWS(nombres[]),1)=FQ$1490,ROW(OFFSET(nombres[],0,0,ROWS(nombres[]),1))-ROW(OFFSET(nombres[],0,0,1,1))+1,ROW(OFFSET(nombres[],ROWS(nombres[])-1,0,1,1))+1),$O1547:$O1566),3),"")</f>
        <v/>
      </c>
      <c r="FR1547" s="42" t="str">
        <f t="array" aca="1" ref="FR1547" ca="1">IFERROR(INDEX(nombres[],SMALL(IF(OFFSET(nombres[],0,0,ROWS(nombres[]),1)=FR$1490,ROW(OFFSET(nombres[],0,0,ROWS(nombres[]),1))-ROW(OFFSET(nombres[],0,0,1,1))+1,ROW(OFFSET(nombres[],ROWS(nombres[])-1,0,1,1))+1),$O1547:$O1566),3),"")</f>
        <v/>
      </c>
      <c r="FS1547" s="42" t="str">
        <f t="array" aca="1" ref="FS1547" ca="1">IFERROR(INDEX(nombres[],SMALL(IF(OFFSET(nombres[],0,0,ROWS(nombres[]),1)=FS$1490,ROW(OFFSET(nombres[],0,0,ROWS(nombres[]),1))-ROW(OFFSET(nombres[],0,0,1,1))+1,ROW(OFFSET(nombres[],ROWS(nombres[])-1,0,1,1))+1),$O1547:$O1566),3),"")</f>
        <v/>
      </c>
      <c r="FT1547" s="42" t="str">
        <f t="array" aca="1" ref="FT1547" ca="1">IFERROR(INDEX(nombres[],SMALL(IF(OFFSET(nombres[],0,0,ROWS(nombres[]),1)=FT$1490,ROW(OFFSET(nombres[],0,0,ROWS(nombres[]),1))-ROW(OFFSET(nombres[],0,0,1,1))+1,ROW(OFFSET(nombres[],ROWS(nombres[])-1,0,1,1))+1),$O1547:$O1566),3),"")</f>
        <v/>
      </c>
      <c r="FU1547" s="42" t="str">
        <f t="array" aca="1" ref="FU1547" ca="1">IFERROR(INDEX(nombres[],SMALL(IF(OFFSET(nombres[],0,0,ROWS(nombres[]),1)=FU$1490,ROW(OFFSET(nombres[],0,0,ROWS(nombres[]),1))-ROW(OFFSET(nombres[],0,0,1,1))+1,ROW(OFFSET(nombres[],ROWS(nombres[])-1,0,1,1))+1),$O1547:$O1566),3),"")</f>
        <v/>
      </c>
      <c r="FV1547" s="42" t="str">
        <f t="array" aca="1" ref="FV1547" ca="1">IFERROR(INDEX(nombres[],SMALL(IF(OFFSET(nombres[],0,0,ROWS(nombres[]),1)=FV$1490,ROW(OFFSET(nombres[],0,0,ROWS(nombres[]),1))-ROW(OFFSET(nombres[],0,0,1,1))+1,ROW(OFFSET(nombres[],ROWS(nombres[])-1,0,1,1))+1),$O1547:$O1566),3),"")</f>
        <v/>
      </c>
      <c r="FW1547" s="42" t="str">
        <f t="array" aca="1" ref="FW1547" ca="1">IFERROR(INDEX(nombres[],SMALL(IF(OFFSET(nombres[],0,0,ROWS(nombres[]),1)=FW$1490,ROW(OFFSET(nombres[],0,0,ROWS(nombres[]),1))-ROW(OFFSET(nombres[],0,0,1,1))+1,ROW(OFFSET(nombres[],ROWS(nombres[])-1,0,1,1))+1),$O1547:$O1566),3),"")</f>
        <v/>
      </c>
      <c r="FX1547" s="42" t="str">
        <f t="array" aca="1" ref="FX1547" ca="1">IFERROR(INDEX(nombres[],SMALL(IF(OFFSET(nombres[],0,0,ROWS(nombres[]),1)=FX$1490,ROW(OFFSET(nombres[],0,0,ROWS(nombres[]),1))-ROW(OFFSET(nombres[],0,0,1,1))+1,ROW(OFFSET(nombres[],ROWS(nombres[])-1,0,1,1))+1),$O1547:$O1566),3),"")</f>
        <v/>
      </c>
      <c r="FY1547" s="42" t="str">
        <f t="array" aca="1" ref="FY1547" ca="1">IFERROR(INDEX(nombres[],SMALL(IF(OFFSET(nombres[],0,0,ROWS(nombres[]),1)=FY$1490,ROW(OFFSET(nombres[],0,0,ROWS(nombres[]),1))-ROW(OFFSET(nombres[],0,0,1,1))+1,ROW(OFFSET(nombres[],ROWS(nombres[])-1,0,1,1))+1),$O1547:$O1566),3),"")</f>
        <v/>
      </c>
      <c r="FZ1547" s="42" t="str">
        <f t="array" aca="1" ref="FZ1547" ca="1">IFERROR(INDEX(nombres[],SMALL(IF(OFFSET(nombres[],0,0,ROWS(nombres[]),1)=FZ$1490,ROW(OFFSET(nombres[],0,0,ROWS(nombres[]),1))-ROW(OFFSET(nombres[],0,0,1,1))+1,ROW(OFFSET(nombres[],ROWS(nombres[])-1,0,1,1))+1),$O1547:$O1566),3),"")</f>
        <v/>
      </c>
      <c r="GA1547" s="42" t="str">
        <f t="array" aca="1" ref="GA1547" ca="1">IFERROR(INDEX(nombres[],SMALL(IF(OFFSET(nombres[],0,0,ROWS(nombres[]),1)=GA$1490,ROW(OFFSET(nombres[],0,0,ROWS(nombres[]),1))-ROW(OFFSET(nombres[],0,0,1,1))+1,ROW(OFFSET(nombres[],ROWS(nombres[])-1,0,1,1))+1),$O1547:$O1566),3),"")</f>
        <v/>
      </c>
      <c r="GB1547" s="42" t="str">
        <f t="array" aca="1" ref="GB1547" ca="1">IFERROR(INDEX(nombres[],SMALL(IF(OFFSET(nombres[],0,0,ROWS(nombres[]),1)=GB$1490,ROW(OFFSET(nombres[],0,0,ROWS(nombres[]),1))-ROW(OFFSET(nombres[],0,0,1,1))+1,ROW(OFFSET(nombres[],ROWS(nombres[])-1,0,1,1))+1),$O1547:$O1566),3),"")</f>
        <v/>
      </c>
      <c r="GC1547" s="42" t="str">
        <f t="array" aca="1" ref="GC1547" ca="1">IFERROR(INDEX(nombres[],SMALL(IF(OFFSET(nombres[],0,0,ROWS(nombres[]),1)=GC$1490,ROW(OFFSET(nombres[],0,0,ROWS(nombres[]),1))-ROW(OFFSET(nombres[],0,0,1,1))+1,ROW(OFFSET(nombres[],ROWS(nombres[])-1,0,1,1))+1),$O1547:$O1566),3),"")</f>
        <v/>
      </c>
      <c r="GD1547" s="42" t="str">
        <f t="array" aca="1" ref="GD1547" ca="1">IFERROR(INDEX(nombres[],SMALL(IF(OFFSET(nombres[],0,0,ROWS(nombres[]),1)=GD$1490,ROW(OFFSET(nombres[],0,0,ROWS(nombres[]),1))-ROW(OFFSET(nombres[],0,0,1,1))+1,ROW(OFFSET(nombres[],ROWS(nombres[])-1,0,1,1))+1),$O1547:$O1566),3),"")</f>
        <v/>
      </c>
      <c r="GE1547" s="42" t="str">
        <f t="array" aca="1" ref="GE1547" ca="1">IFERROR(INDEX(nombres[],SMALL(IF(OFFSET(nombres[],0,0,ROWS(nombres[]),1)=GE$1490,ROW(OFFSET(nombres[],0,0,ROWS(nombres[]),1))-ROW(OFFSET(nombres[],0,0,1,1))+1,ROW(OFFSET(nombres[],ROWS(nombres[])-1,0,1,1))+1),$O1547:$O1566),3),"")</f>
        <v/>
      </c>
      <c r="GF1547" s="42" t="str">
        <f t="array" aca="1" ref="GF1547" ca="1">IFERROR(INDEX(nombres[],SMALL(IF(OFFSET(nombres[],0,0,ROWS(nombres[]),1)=GF$1490,ROW(OFFSET(nombres[],0,0,ROWS(nombres[]),1))-ROW(OFFSET(nombres[],0,0,1,1))+1,ROW(OFFSET(nombres[],ROWS(nombres[])-1,0,1,1))+1),$O1547:$O1566),3),"")</f>
        <v/>
      </c>
      <c r="GG1547" s="42" t="str">
        <f t="array" aca="1" ref="GG1547" ca="1">IFERROR(INDEX(nombres[],SMALL(IF(OFFSET(nombres[],0,0,ROWS(nombres[]),1)=GG$1490,ROW(OFFSET(nombres[],0,0,ROWS(nombres[]),1))-ROW(OFFSET(nombres[],0,0,1,1))+1,ROW(OFFSET(nombres[],ROWS(nombres[])-1,0,1,1))+1),$O1547:$O1566),3),"")</f>
        <v/>
      </c>
      <c r="GH1547" s="42" t="str">
        <f t="array" aca="1" ref="GH1547" ca="1">IFERROR(INDEX(nombres[],SMALL(IF(OFFSET(nombres[],0,0,ROWS(nombres[]),1)=GH$1490,ROW(OFFSET(nombres[],0,0,ROWS(nombres[]),1))-ROW(OFFSET(nombres[],0,0,1,1))+1,ROW(OFFSET(nombres[],ROWS(nombres[])-1,0,1,1))+1),$O1547:$O1566),3),"")</f>
        <v/>
      </c>
      <c r="GI1547" s="42" t="str">
        <f t="array" aca="1" ref="GI1547" ca="1">IFERROR(INDEX(nombres[],SMALL(IF(OFFSET(nombres[],0,0,ROWS(nombres[]),1)=GI$1490,ROW(OFFSET(nombres[],0,0,ROWS(nombres[]),1))-ROW(OFFSET(nombres[],0,0,1,1))+1,ROW(OFFSET(nombres[],ROWS(nombres[])-1,0,1,1))+1),$O1547:$O1566),3),"")</f>
        <v/>
      </c>
      <c r="GJ1547" s="42" t="str">
        <f t="array" aca="1" ref="GJ1547" ca="1">IFERROR(INDEX(nombres[],SMALL(IF(OFFSET(nombres[],0,0,ROWS(nombres[]),1)=GJ$1490,ROW(OFFSET(nombres[],0,0,ROWS(nombres[]),1))-ROW(OFFSET(nombres[],0,0,1,1))+1,ROW(OFFSET(nombres[],ROWS(nombres[])-1,0,1,1))+1),$O1547:$O1566),3),"")</f>
        <v/>
      </c>
      <c r="GK1547" s="42" t="str">
        <f t="array" aca="1" ref="GK1547" ca="1">IFERROR(INDEX(nombres[],SMALL(IF(OFFSET(nombres[],0,0,ROWS(nombres[]),1)=GK$1490,ROW(OFFSET(nombres[],0,0,ROWS(nombres[]),1))-ROW(OFFSET(nombres[],0,0,1,1))+1,ROW(OFFSET(nombres[],ROWS(nombres[])-1,0,1,1))+1),$O1547:$O1566),3),"")</f>
        <v/>
      </c>
      <c r="GL1547" s="42" t="str">
        <f t="array" aca="1" ref="GL1547" ca="1">IFERROR(INDEX(nombres[],SMALL(IF(OFFSET(nombres[],0,0,ROWS(nombres[]),1)=GL$1490,ROW(OFFSET(nombres[],0,0,ROWS(nombres[]),1))-ROW(OFFSET(nombres[],0,0,1,1))+1,ROW(OFFSET(nombres[],ROWS(nombres[])-1,0,1,1))+1),$O1547:$O1566),3),"")</f>
        <v/>
      </c>
      <c r="GM1547" s="42" t="str">
        <f t="array" aca="1" ref="GM1547" ca="1">IFERROR(INDEX(nombres[],SMALL(IF(OFFSET(nombres[],0,0,ROWS(nombres[]),1)=GM$1490,ROW(OFFSET(nombres[],0,0,ROWS(nombres[]),1))-ROW(OFFSET(nombres[],0,0,1,1))+1,ROW(OFFSET(nombres[],ROWS(nombres[])-1,0,1,1))+1),$O1547:$O1566),3),"")</f>
        <v/>
      </c>
      <c r="GN1547" s="42" t="str">
        <f t="array" aca="1" ref="GN1547" ca="1">IFERROR(INDEX(nombres[],SMALL(IF(OFFSET(nombres[],0,0,ROWS(nombres[]),1)=GN$1490,ROW(OFFSET(nombres[],0,0,ROWS(nombres[]),1))-ROW(OFFSET(nombres[],0,0,1,1))+1,ROW(OFFSET(nombres[],ROWS(nombres[])-1,0,1,1))+1),$O1547:$O1566),3),"")</f>
        <v/>
      </c>
      <c r="GO1547" s="42" t="str">
        <f t="array" aca="1" ref="GO1547" ca="1">IFERROR(INDEX(nombres[],SMALL(IF(OFFSET(nombres[],0,0,ROWS(nombres[]),1)=GO$1490,ROW(OFFSET(nombres[],0,0,ROWS(nombres[]),1))-ROW(OFFSET(nombres[],0,0,1,1))+1,ROW(OFFSET(nombres[],ROWS(nombres[])-1,0,1,1))+1),$O1547:$O1566),3),"")</f>
        <v/>
      </c>
      <c r="GP1547" s="42" t="str">
        <f t="array" aca="1" ref="GP1547" ca="1">IFERROR(INDEX(nombres[],SMALL(IF(OFFSET(nombres[],0,0,ROWS(nombres[]),1)=GP$1490,ROW(OFFSET(nombres[],0,0,ROWS(nombres[]),1))-ROW(OFFSET(nombres[],0,0,1,1))+1,ROW(OFFSET(nombres[],ROWS(nombres[])-1,0,1,1))+1),$O1547:$O1566),3),"")</f>
        <v/>
      </c>
      <c r="GQ1547" s="42" t="str">
        <f t="array" aca="1" ref="GQ1547" ca="1">IFERROR(INDEX(nombres[],SMALL(IF(OFFSET(nombres[],0,0,ROWS(nombres[]),1)=GQ$1490,ROW(OFFSET(nombres[],0,0,ROWS(nombres[]),1))-ROW(OFFSET(nombres[],0,0,1,1))+1,ROW(OFFSET(nombres[],ROWS(nombres[])-1,0,1,1))+1),$O1547:$O1566),3),"")</f>
        <v/>
      </c>
      <c r="GR1547" s="42" t="str">
        <f t="array" aca="1" ref="GR1547" ca="1">IFERROR(INDEX(nombres[],SMALL(IF(OFFSET(nombres[],0,0,ROWS(nombres[]),1)=GR$1490,ROW(OFFSET(nombres[],0,0,ROWS(nombres[]),1))-ROW(OFFSET(nombres[],0,0,1,1))+1,ROW(OFFSET(nombres[],ROWS(nombres[])-1,0,1,1))+1),$O1547:$O1566),3),"")</f>
        <v/>
      </c>
      <c r="GS1547" s="42" t="str">
        <f t="array" aca="1" ref="GS1547" ca="1">IFERROR(INDEX(nombres[],SMALL(IF(OFFSET(nombres[],0,0,ROWS(nombres[]),1)=GS$1490,ROW(OFFSET(nombres[],0,0,ROWS(nombres[]),1))-ROW(OFFSET(nombres[],0,0,1,1))+1,ROW(OFFSET(nombres[],ROWS(nombres[])-1,0,1,1))+1),$O1547:$O1566),3),"")</f>
        <v/>
      </c>
      <c r="GT1547" s="42" t="str">
        <f t="array" aca="1" ref="GT1547" ca="1">IFERROR(INDEX(nombres[],SMALL(IF(OFFSET(nombres[],0,0,ROWS(nombres[]),1)=GT$1490,ROW(OFFSET(nombres[],0,0,ROWS(nombres[]),1))-ROW(OFFSET(nombres[],0,0,1,1))+1,ROW(OFFSET(nombres[],ROWS(nombres[])-1,0,1,1))+1),$O1547:$O1566),3),"")</f>
        <v/>
      </c>
      <c r="GU1547" s="42" t="str">
        <f t="array" aca="1" ref="GU1547" ca="1">IFERROR(INDEX(nombres[],SMALL(IF(OFFSET(nombres[],0,0,ROWS(nombres[]),1)=GU$1490,ROW(OFFSET(nombres[],0,0,ROWS(nombres[]),1))-ROW(OFFSET(nombres[],0,0,1,1))+1,ROW(OFFSET(nombres[],ROWS(nombres[])-1,0,1,1))+1),$O1547:$O1566),3),"")</f>
        <v/>
      </c>
      <c r="GV1547" s="42" t="str">
        <f t="array" aca="1" ref="GV1547" ca="1">IFERROR(INDEX(nombres[],SMALL(IF(OFFSET(nombres[],0,0,ROWS(nombres[]),1)=GV$1490,ROW(OFFSET(nombres[],0,0,ROWS(nombres[]),1))-ROW(OFFSET(nombres[],0,0,1,1))+1,ROW(OFFSET(nombres[],ROWS(nombres[])-1,0,1,1))+1),$O1547:$O1566),3),"")</f>
        <v/>
      </c>
      <c r="GW1547" s="42" t="str">
        <f t="array" aca="1" ref="GW1547" ca="1">IFERROR(INDEX(nombres[],SMALL(IF(OFFSET(nombres[],0,0,ROWS(nombres[]),1)=GW$1490,ROW(OFFSET(nombres[],0,0,ROWS(nombres[]),1))-ROW(OFFSET(nombres[],0,0,1,1))+1,ROW(OFFSET(nombres[],ROWS(nombres[])-1,0,1,1))+1),$O1547:$O1566),3),"")</f>
        <v/>
      </c>
      <c r="GX1547" s="42" t="str">
        <f t="array" aca="1" ref="GX1547" ca="1">IFERROR(INDEX(nombres[],SMALL(IF(OFFSET(nombres[],0,0,ROWS(nombres[]),1)=GX$1490,ROW(OFFSET(nombres[],0,0,ROWS(nombres[]),1))-ROW(OFFSET(nombres[],0,0,1,1))+1,ROW(OFFSET(nombres[],ROWS(nombres[])-1,0,1,1))+1),$O1547:$O1566),3),"")</f>
        <v/>
      </c>
      <c r="GY1547" s="42" t="str">
        <f t="array" aca="1" ref="GY1547" ca="1">IFERROR(INDEX(nombres[],SMALL(IF(OFFSET(nombres[],0,0,ROWS(nombres[]),1)=GY$1490,ROW(OFFSET(nombres[],0,0,ROWS(nombres[]),1))-ROW(OFFSET(nombres[],0,0,1,1))+1,ROW(OFFSET(nombres[],ROWS(nombres[])-1,0,1,1))+1),$O1547:$O1566),3),"")</f>
        <v/>
      </c>
      <c r="GZ1547" s="42" t="str">
        <f t="array" aca="1" ref="GZ1547" ca="1">IFERROR(INDEX(nombres[],SMALL(IF(OFFSET(nombres[],0,0,ROWS(nombres[]),1)=GZ$1490,ROW(OFFSET(nombres[],0,0,ROWS(nombres[]),1))-ROW(OFFSET(nombres[],0,0,1,1))+1,ROW(OFFSET(nombres[],ROWS(nombres[])-1,0,1,1))+1),$O1547:$O1566),3),"")</f>
        <v/>
      </c>
      <c r="HA1547" s="42" t="str">
        <f t="array" aca="1" ref="HA1547" ca="1">IFERROR(INDEX(nombres[],SMALL(IF(OFFSET(nombres[],0,0,ROWS(nombres[]),1)=HA$1490,ROW(OFFSET(nombres[],0,0,ROWS(nombres[]),1))-ROW(OFFSET(nombres[],0,0,1,1))+1,ROW(OFFSET(nombres[],ROWS(nombres[])-1,0,1,1))+1),$O1547:$O1566),3),"")</f>
        <v/>
      </c>
      <c r="HB1547" s="42" t="str">
        <f t="array" aca="1" ref="HB1547" ca="1">IFERROR(INDEX(nombres[],SMALL(IF(OFFSET(nombres[],0,0,ROWS(nombres[]),1)=HB$1490,ROW(OFFSET(nombres[],0,0,ROWS(nombres[]),1))-ROW(OFFSET(nombres[],0,0,1,1))+1,ROW(OFFSET(nombres[],ROWS(nombres[])-1,0,1,1))+1),$O1547:$O1566),3),"")</f>
        <v/>
      </c>
      <c r="HC1547" s="42" t="str">
        <f t="array" aca="1" ref="HC1547" ca="1">IFERROR(INDEX(nombres[],SMALL(IF(OFFSET(nombres[],0,0,ROWS(nombres[]),1)=HC$1490,ROW(OFFSET(nombres[],0,0,ROWS(nombres[]),1))-ROW(OFFSET(nombres[],0,0,1,1))+1,ROW(OFFSET(nombres[],ROWS(nombres[])-1,0,1,1))+1),$O1547:$O1566),3),"")</f>
        <v/>
      </c>
      <c r="HD1547" s="42" t="str">
        <f t="array" aca="1" ref="HD1547" ca="1">IFERROR(INDEX(nombres[],SMALL(IF(OFFSET(nombres[],0,0,ROWS(nombres[]),1)=HD$1490,ROW(OFFSET(nombres[],0,0,ROWS(nombres[]),1))-ROW(OFFSET(nombres[],0,0,1,1))+1,ROW(OFFSET(nombres[],ROWS(nombres[])-1,0,1,1))+1),$O1547:$O1566),3),"")</f>
        <v/>
      </c>
      <c r="HE1547" s="42" t="str">
        <f t="array" aca="1" ref="HE1547" ca="1">IFERROR(INDEX(nombres[],SMALL(IF(OFFSET(nombres[],0,0,ROWS(nombres[]),1)=HE$1490,ROW(OFFSET(nombres[],0,0,ROWS(nombres[]),1))-ROW(OFFSET(nombres[],0,0,1,1))+1,ROW(OFFSET(nombres[],ROWS(nombres[])-1,0,1,1))+1),$O1547:$O1566),3),"")</f>
        <v/>
      </c>
      <c r="HF1547" s="42" t="str">
        <f t="array" aca="1" ref="HF1547" ca="1">IFERROR(INDEX(nombres[],SMALL(IF(OFFSET(nombres[],0,0,ROWS(nombres[]),1)=HF$1490,ROW(OFFSET(nombres[],0,0,ROWS(nombres[]),1))-ROW(OFFSET(nombres[],0,0,1,1))+1,ROW(OFFSET(nombres[],ROWS(nombres[])-1,0,1,1))+1),$O1547:$O1566),3),"")</f>
        <v/>
      </c>
      <c r="HG1547" s="42" t="str">
        <f t="array" aca="1" ref="HG1547" ca="1">IFERROR(INDEX(nombres[],SMALL(IF(OFFSET(nombres[],0,0,ROWS(nombres[]),1)=HG$1490,ROW(OFFSET(nombres[],0,0,ROWS(nombres[]),1))-ROW(OFFSET(nombres[],0,0,1,1))+1,ROW(OFFSET(nombres[],ROWS(nombres[])-1,0,1,1))+1),$O1547:$O1566),3),"")</f>
        <v/>
      </c>
      <c r="HH1547" s="42" t="str">
        <f t="array" aca="1" ref="HH1547" ca="1">IFERROR(INDEX(nombres[],SMALL(IF(OFFSET(nombres[],0,0,ROWS(nombres[]),1)=HH$1490,ROW(OFFSET(nombres[],0,0,ROWS(nombres[]),1))-ROW(OFFSET(nombres[],0,0,1,1))+1,ROW(OFFSET(nombres[],ROWS(nombres[])-1,0,1,1))+1),$O1547:$O1566),3),"")</f>
        <v/>
      </c>
      <c r="HI1547" s="42" t="str">
        <f t="array" aca="1" ref="HI1547" ca="1">IFERROR(INDEX(nombres[],SMALL(IF(OFFSET(nombres[],0,0,ROWS(nombres[]),1)=HI$1490,ROW(OFFSET(nombres[],0,0,ROWS(nombres[]),1))-ROW(OFFSET(nombres[],0,0,1,1))+1,ROW(OFFSET(nombres[],ROWS(nombres[])-1,0,1,1))+1),$O1547:$O1566),3),"")</f>
        <v/>
      </c>
      <c r="HJ1547" s="42" t="str">
        <f t="array" aca="1" ref="HJ1547" ca="1">IFERROR(INDEX(nombres[],SMALL(IF(OFFSET(nombres[],0,0,ROWS(nombres[]),1)=HJ$1490,ROW(OFFSET(nombres[],0,0,ROWS(nombres[]),1))-ROW(OFFSET(nombres[],0,0,1,1))+1,ROW(OFFSET(nombres[],ROWS(nombres[])-1,0,1,1))+1),$O1547:$O1566),3),"")</f>
        <v/>
      </c>
      <c r="HK1547" s="42" t="str">
        <f t="array" aca="1" ref="HK1547" ca="1">IFERROR(INDEX(nombres[],SMALL(IF(OFFSET(nombres[],0,0,ROWS(nombres[]),1)=HK$1490,ROW(OFFSET(nombres[],0,0,ROWS(nombres[]),1))-ROW(OFFSET(nombres[],0,0,1,1))+1,ROW(OFFSET(nombres[],ROWS(nombres[])-1,0,1,1))+1),$O1547:$O1566),3),"")</f>
        <v/>
      </c>
      <c r="HL1547" s="42" t="str">
        <f t="array" aca="1" ref="HL1547" ca="1">IFERROR(INDEX(nombres[],SMALL(IF(OFFSET(nombres[],0,0,ROWS(nombres[]),1)=HL$1490,ROW(OFFSET(nombres[],0,0,ROWS(nombres[]),1))-ROW(OFFSET(nombres[],0,0,1,1))+1,ROW(OFFSET(nombres[],ROWS(nombres[])-1,0,1,1))+1),$O1547:$O1566),3),"")</f>
        <v/>
      </c>
      <c r="HM1547" s="42" t="str">
        <f t="array" aca="1" ref="HM1547" ca="1">IFERROR(INDEX(nombres[],SMALL(IF(OFFSET(nombres[],0,0,ROWS(nombres[]),1)=HM$1490,ROW(OFFSET(nombres[],0,0,ROWS(nombres[]),1))-ROW(OFFSET(nombres[],0,0,1,1))+1,ROW(OFFSET(nombres[],ROWS(nombres[])-1,0,1,1))+1),$O1547:$O1566),3),"")</f>
        <v/>
      </c>
      <c r="HN1547" s="42" t="str">
        <f t="array" aca="1" ref="HN1547" ca="1">IFERROR(INDEX(nombres[],SMALL(IF(OFFSET(nombres[],0,0,ROWS(nombres[]),1)=HN$1490,ROW(OFFSET(nombres[],0,0,ROWS(nombres[]),1))-ROW(OFFSET(nombres[],0,0,1,1))+1,ROW(OFFSET(nombres[],ROWS(nombres[])-1,0,1,1))+1),$O1547:$O1566),3),"")</f>
        <v/>
      </c>
      <c r="HO1547" s="42" t="str">
        <f t="array" aca="1" ref="HO1547" ca="1">IFERROR(INDEX(nombres[],SMALL(IF(OFFSET(nombres[],0,0,ROWS(nombres[]),1)=HO$1490,ROW(OFFSET(nombres[],0,0,ROWS(nombres[]),1))-ROW(OFFSET(nombres[],0,0,1,1))+1,ROW(OFFSET(nombres[],ROWS(nombres[])-1,0,1,1))+1),$O1547:$O1566),3),"")</f>
        <v/>
      </c>
      <c r="HP1547" s="42" t="str">
        <f t="array" aca="1" ref="HP1547" ca="1">IFERROR(INDEX(nombres[],SMALL(IF(OFFSET(nombres[],0,0,ROWS(nombres[]),1)=HP$1490,ROW(OFFSET(nombres[],0,0,ROWS(nombres[]),1))-ROW(OFFSET(nombres[],0,0,1,1))+1,ROW(OFFSET(nombres[],ROWS(nombres[])-1,0,1,1))+1),$O1547:$O1566),3),"")</f>
        <v/>
      </c>
      <c r="HQ1547" s="42" t="str">
        <f t="array" aca="1" ref="HQ1547" ca="1">IFERROR(INDEX(nombres[],SMALL(IF(OFFSET(nombres[],0,0,ROWS(nombres[]),1)=HQ$1490,ROW(OFFSET(nombres[],0,0,ROWS(nombres[]),1))-ROW(OFFSET(nombres[],0,0,1,1))+1,ROW(OFFSET(nombres[],ROWS(nombres[])-1,0,1,1))+1),$O1547:$O1566),3),"")</f>
        <v/>
      </c>
      <c r="HR1547" s="42" t="str">
        <f t="array" aca="1" ref="HR1547" ca="1">IFERROR(INDEX(nombres[],SMALL(IF(OFFSET(nombres[],0,0,ROWS(nombres[]),1)=HR$1490,ROW(OFFSET(nombres[],0,0,ROWS(nombres[]),1))-ROW(OFFSET(nombres[],0,0,1,1))+1,ROW(OFFSET(nombres[],ROWS(nombres[])-1,0,1,1))+1),$O1547:$O1566),3),"")</f>
        <v/>
      </c>
      <c r="HS1547" s="42" t="str">
        <f t="array" aca="1" ref="HS1547" ca="1">IFERROR(INDEX(nombres[],SMALL(IF(OFFSET(nombres[],0,0,ROWS(nombres[]),1)=HS$1490,ROW(OFFSET(nombres[],0,0,ROWS(nombres[]),1))-ROW(OFFSET(nombres[],0,0,1,1))+1,ROW(OFFSET(nombres[],ROWS(nombres[])-1,0,1,1))+1),$O1547:$O1566),3),"")</f>
        <v/>
      </c>
      <c r="HT1547" s="42" t="str">
        <f t="array" aca="1" ref="HT1547" ca="1">IFERROR(INDEX(nombres[],SMALL(IF(OFFSET(nombres[],0,0,ROWS(nombres[]),1)=HT$1490,ROW(OFFSET(nombres[],0,0,ROWS(nombres[]),1))-ROW(OFFSET(nombres[],0,0,1,1))+1,ROW(OFFSET(nombres[],ROWS(nombres[])-1,0,1,1))+1),$O1547:$O1566),3),"")</f>
        <v/>
      </c>
      <c r="HU1547" s="42" t="str">
        <f t="array" aca="1" ref="HU1547" ca="1">IFERROR(INDEX(nombres[],SMALL(IF(OFFSET(nombres[],0,0,ROWS(nombres[]),1)=HU$1490,ROW(OFFSET(nombres[],0,0,ROWS(nombres[]),1))-ROW(OFFSET(nombres[],0,0,1,1))+1,ROW(OFFSET(nombres[],ROWS(nombres[])-1,0,1,1))+1),$O1547:$O1566),3),"")</f>
        <v/>
      </c>
      <c r="HV1547" s="42" t="str">
        <f t="array" aca="1" ref="HV1547" ca="1">IFERROR(INDEX(nombres[],SMALL(IF(OFFSET(nombres[],0,0,ROWS(nombres[]),1)=HV$1490,ROW(OFFSET(nombres[],0,0,ROWS(nombres[]),1))-ROW(OFFSET(nombres[],0,0,1,1))+1,ROW(OFFSET(nombres[],ROWS(nombres[])-1,0,1,1))+1),$O1547:$O1566),3),"")</f>
        <v/>
      </c>
      <c r="HW1547" s="42" t="str">
        <f t="array" aca="1" ref="HW1547" ca="1">IFERROR(INDEX(nombres[],SMALL(IF(OFFSET(nombres[],0,0,ROWS(nombres[]),1)=HW$1490,ROW(OFFSET(nombres[],0,0,ROWS(nombres[]),1))-ROW(OFFSET(nombres[],0,0,1,1))+1,ROW(OFFSET(nombres[],ROWS(nombres[])-1,0,1,1))+1),$O1547:$O1566),3),"")</f>
        <v/>
      </c>
      <c r="HX1547" s="42" t="str">
        <f t="array" aca="1" ref="HX1547" ca="1">IFERROR(INDEX(nombres[],SMALL(IF(OFFSET(nombres[],0,0,ROWS(nombres[]),1)=HX$1490,ROW(OFFSET(nombres[],0,0,ROWS(nombres[]),1))-ROW(OFFSET(nombres[],0,0,1,1))+1,ROW(OFFSET(nombres[],ROWS(nombres[])-1,0,1,1))+1),$O1547:$O1566),3),"")</f>
        <v/>
      </c>
      <c r="HY1547" s="42" t="str">
        <f t="array" aca="1" ref="HY1547" ca="1">IFERROR(INDEX(nombres[],SMALL(IF(OFFSET(nombres[],0,0,ROWS(nombres[]),1)=HY$1490,ROW(OFFSET(nombres[],0,0,ROWS(nombres[]),1))-ROW(OFFSET(nombres[],0,0,1,1))+1,ROW(OFFSET(nombres[],ROWS(nombres[])-1,0,1,1))+1),$O1547:$O1566),3),"")</f>
        <v/>
      </c>
      <c r="HZ1547" s="42" t="str">
        <f t="array" aca="1" ref="HZ1547" ca="1">IFERROR(INDEX(nombres[],SMALL(IF(OFFSET(nombres[],0,0,ROWS(nombres[]),1)=HZ$1490,ROW(OFFSET(nombres[],0,0,ROWS(nombres[]),1))-ROW(OFFSET(nombres[],0,0,1,1))+1,ROW(OFFSET(nombres[],ROWS(nombres[])-1,0,1,1))+1),$O1547:$O1566),3),"")</f>
        <v/>
      </c>
      <c r="IA1547" s="42" t="str">
        <f t="array" aca="1" ref="IA1547" ca="1">IFERROR(INDEX(nombres[],SMALL(IF(OFFSET(nombres[],0,0,ROWS(nombres[]),1)=IA$1490,ROW(OFFSET(nombres[],0,0,ROWS(nombres[]),1))-ROW(OFFSET(nombres[],0,0,1,1))+1,ROW(OFFSET(nombres[],ROWS(nombres[])-1,0,1,1))+1),$O1547:$O1566),3),"")</f>
        <v/>
      </c>
      <c r="IB1547" s="42" t="str">
        <f t="array" aca="1" ref="IB1547" ca="1">IFERROR(INDEX(nombres[],SMALL(IF(OFFSET(nombres[],0,0,ROWS(nombres[]),1)=IB$1490,ROW(OFFSET(nombres[],0,0,ROWS(nombres[]),1))-ROW(OFFSET(nombres[],0,0,1,1))+1,ROW(OFFSET(nombres[],ROWS(nombres[])-1,0,1,1))+1),$O1547:$O1566),3),"")</f>
        <v/>
      </c>
      <c r="IC1547" s="42" t="str">
        <f t="array" aca="1" ref="IC1547" ca="1">IFERROR(INDEX(nombres[],SMALL(IF(OFFSET(nombres[],0,0,ROWS(nombres[]),1)=IC$1490,ROW(OFFSET(nombres[],0,0,ROWS(nombres[]),1))-ROW(OFFSET(nombres[],0,0,1,1))+1,ROW(OFFSET(nombres[],ROWS(nombres[])-1,0,1,1))+1),$O1547:$O1566),3),"")</f>
        <v/>
      </c>
      <c r="ID1547" s="42" t="str">
        <f t="array" aca="1" ref="ID1547" ca="1">IFERROR(INDEX(nombres[],SMALL(IF(OFFSET(nombres[],0,0,ROWS(nombres[]),1)=ID$1490,ROW(OFFSET(nombres[],0,0,ROWS(nombres[]),1))-ROW(OFFSET(nombres[],0,0,1,1))+1,ROW(OFFSET(nombres[],ROWS(nombres[])-1,0,1,1))+1),$O1547:$O1566),3),"")</f>
        <v/>
      </c>
      <c r="IE1547" s="42" t="str">
        <f t="array" aca="1" ref="IE1547" ca="1">IFERROR(INDEX(nombres[],SMALL(IF(OFFSET(nombres[],0,0,ROWS(nombres[]),1)=IE$1490,ROW(OFFSET(nombres[],0,0,ROWS(nombres[]),1))-ROW(OFFSET(nombres[],0,0,1,1))+1,ROW(OFFSET(nombres[],ROWS(nombres[])-1,0,1,1))+1),$O1547:$O1566),3),"")</f>
        <v/>
      </c>
      <c r="IF1547" s="42" t="str">
        <f t="array" aca="1" ref="IF1547" ca="1">IFERROR(INDEX(nombres[],SMALL(IF(OFFSET(nombres[],0,0,ROWS(nombres[]),1)=IF$1490,ROW(OFFSET(nombres[],0,0,ROWS(nombres[]),1))-ROW(OFFSET(nombres[],0,0,1,1))+1,ROW(OFFSET(nombres[],ROWS(nombres[])-1,0,1,1))+1),$O1547:$O1566),3),"")</f>
        <v/>
      </c>
      <c r="IG1547" s="42" t="str">
        <f t="array" aca="1" ref="IG1547" ca="1">IFERROR(INDEX(nombres[],SMALL(IF(OFFSET(nombres[],0,0,ROWS(nombres[]),1)=IG$1490,ROW(OFFSET(nombres[],0,0,ROWS(nombres[]),1))-ROW(OFFSET(nombres[],0,0,1,1))+1,ROW(OFFSET(nombres[],ROWS(nombres[])-1,0,1,1))+1),$O1547:$O1566),3),"")</f>
        <v/>
      </c>
      <c r="IH1547" s="42" t="str">
        <f t="array" aca="1" ref="IH1547" ca="1">IFERROR(INDEX(nombres[],SMALL(IF(OFFSET(nombres[],0,0,ROWS(nombres[]),1)=IH$1490,ROW(OFFSET(nombres[],0,0,ROWS(nombres[]),1))-ROW(OFFSET(nombres[],0,0,1,1))+1,ROW(OFFSET(nombres[],ROWS(nombres[])-1,0,1,1))+1),$O1547:$O1566),3),"")</f>
        <v/>
      </c>
      <c r="II1547" s="42" t="str">
        <f t="array" aca="1" ref="II1547" ca="1">IFERROR(INDEX(nombres[],SMALL(IF(OFFSET(nombres[],0,0,ROWS(nombres[]),1)=II$1490,ROW(OFFSET(nombres[],0,0,ROWS(nombres[]),1))-ROW(OFFSET(nombres[],0,0,1,1))+1,ROW(OFFSET(nombres[],ROWS(nombres[])-1,0,1,1))+1),$O1547:$O1566),3),"")</f>
        <v/>
      </c>
      <c r="IJ1547" s="42" t="str">
        <f t="array" aca="1" ref="IJ1547" ca="1">IFERROR(INDEX(nombres[],SMALL(IF(OFFSET(nombres[],0,0,ROWS(nombres[]),1)=IJ$1490,ROW(OFFSET(nombres[],0,0,ROWS(nombres[]),1))-ROW(OFFSET(nombres[],0,0,1,1))+1,ROW(OFFSET(nombres[],ROWS(nombres[])-1,0,1,1))+1),$O1547:$O1566),3),"")</f>
        <v/>
      </c>
      <c r="IK1547" s="42" t="str">
        <f t="array" aca="1" ref="IK1547" ca="1">IFERROR(INDEX(nombres[],SMALL(IF(OFFSET(nombres[],0,0,ROWS(nombres[]),1)=IK$1490,ROW(OFFSET(nombres[],0,0,ROWS(nombres[]),1))-ROW(OFFSET(nombres[],0,0,1,1))+1,ROW(OFFSET(nombres[],ROWS(nombres[])-1,0,1,1))+1),$O1547:$O1566),3),"")</f>
        <v/>
      </c>
      <c r="IL1547" s="42" t="str">
        <f t="array" aca="1" ref="IL1547" ca="1">IFERROR(INDEX(nombres[],SMALL(IF(OFFSET(nombres[],0,0,ROWS(nombres[]),1)=IL$1490,ROW(OFFSET(nombres[],0,0,ROWS(nombres[]),1))-ROW(OFFSET(nombres[],0,0,1,1))+1,ROW(OFFSET(nombres[],ROWS(nombres[])-1,0,1,1))+1),$O1547:$O1566),3),"")</f>
        <v/>
      </c>
      <c r="IM1547" s="42" t="str">
        <f t="array" aca="1" ref="IM1547" ca="1">IFERROR(INDEX(nombres[],SMALL(IF(OFFSET(nombres[],0,0,ROWS(nombres[]),1)=IM$1490,ROW(OFFSET(nombres[],0,0,ROWS(nombres[]),1))-ROW(OFFSET(nombres[],0,0,1,1))+1,ROW(OFFSET(nombres[],ROWS(nombres[])-1,0,1,1))+1),$O1547:$O1566),3),"")</f>
        <v/>
      </c>
      <c r="IN1547" s="42" t="str">
        <f t="array" aca="1" ref="IN1547" ca="1">IFERROR(INDEX(nombres[],SMALL(IF(OFFSET(nombres[],0,0,ROWS(nombres[]),1)=IN$1490,ROW(OFFSET(nombres[],0,0,ROWS(nombres[]),1))-ROW(OFFSET(nombres[],0,0,1,1))+1,ROW(OFFSET(nombres[],ROWS(nombres[])-1,0,1,1))+1),$O1547:$O1566),3),"")</f>
        <v/>
      </c>
      <c r="IO1547" s="42" t="str">
        <f t="array" aca="1" ref="IO1547" ca="1">IFERROR(INDEX(nombres[],SMALL(IF(OFFSET(nombres[],0,0,ROWS(nombres[]),1)=IO$1490,ROW(OFFSET(nombres[],0,0,ROWS(nombres[]),1))-ROW(OFFSET(nombres[],0,0,1,1))+1,ROW(OFFSET(nombres[],ROWS(nombres[])-1,0,1,1))+1),$O1547:$O1566),3),"")</f>
        <v/>
      </c>
      <c r="IP1547" s="42" t="str">
        <f t="array" aca="1" ref="IP1547" ca="1">IFERROR(INDEX(nombres[],SMALL(IF(OFFSET(nombres[],0,0,ROWS(nombres[]),1)=IP$1490,ROW(OFFSET(nombres[],0,0,ROWS(nombres[]),1))-ROW(OFFSET(nombres[],0,0,1,1))+1,ROW(OFFSET(nombres[],ROWS(nombres[])-1,0,1,1))+1),$O1547:$O1566),3),"")</f>
        <v/>
      </c>
      <c r="IQ1547" s="42" t="str">
        <f t="array" aca="1" ref="IQ1547" ca="1">IFERROR(INDEX(nombres[],SMALL(IF(OFFSET(nombres[],0,0,ROWS(nombres[]),1)=IQ$1490,ROW(OFFSET(nombres[],0,0,ROWS(nombres[]),1))-ROW(OFFSET(nombres[],0,0,1,1))+1,ROW(OFFSET(nombres[],ROWS(nombres[])-1,0,1,1))+1),$O1547:$O1566),3),"")</f>
        <v/>
      </c>
      <c r="IR1547" s="42" t="str">
        <f t="array" aca="1" ref="IR1547" ca="1">IFERROR(INDEX(nombres[],SMALL(IF(OFFSET(nombres[],0,0,ROWS(nombres[]),1)=IR$1490,ROW(OFFSET(nombres[],0,0,ROWS(nombres[]),1))-ROW(OFFSET(nombres[],0,0,1,1))+1,ROW(OFFSET(nombres[],ROWS(nombres[])-1,0,1,1))+1),$O1547:$O1566),3),"")</f>
        <v/>
      </c>
      <c r="IS1547" s="42" t="str">
        <f t="array" aca="1" ref="IS1547" ca="1">IFERROR(INDEX(nombres[],SMALL(IF(OFFSET(nombres[],0,0,ROWS(nombres[]),1)=IS$1490,ROW(OFFSET(nombres[],0,0,ROWS(nombres[]),1))-ROW(OFFSET(nombres[],0,0,1,1))+1,ROW(OFFSET(nombres[],ROWS(nombres[])-1,0,1,1))+1),$O1547:$O1566),3),"")</f>
        <v/>
      </c>
      <c r="IT1547" s="42" t="str">
        <f t="array" aca="1" ref="IT1547" ca="1">IFERROR(INDEX(nombres[],SMALL(IF(OFFSET(nombres[],0,0,ROWS(nombres[]),1)=IT$1490,ROW(OFFSET(nombres[],0,0,ROWS(nombres[]),1))-ROW(OFFSET(nombres[],0,0,1,1))+1,ROW(OFFSET(nombres[],ROWS(nombres[])-1,0,1,1))+1),$O1547:$O1566),3),"")</f>
        <v/>
      </c>
      <c r="IU1547" s="42" t="str">
        <f t="array" aca="1" ref="IU1547" ca="1">IFERROR(INDEX(nombres[],SMALL(IF(OFFSET(nombres[],0,0,ROWS(nombres[]),1)=IU$1490,ROW(OFFSET(nombres[],0,0,ROWS(nombres[]),1))-ROW(OFFSET(nombres[],0,0,1,1))+1,ROW(OFFSET(nombres[],ROWS(nombres[])-1,0,1,1))+1),$O1547:$O1566),3),"")</f>
        <v/>
      </c>
      <c r="IV1547" s="42" t="str">
        <f t="array" aca="1" ref="IV1547" ca="1">IFERROR(INDEX(nombres[],SMALL(IF(OFFSET(nombres[],0,0,ROWS(nombres[]),1)=IV$1490,ROW(OFFSET(nombres[],0,0,ROWS(nombres[]),1))-ROW(OFFSET(nombres[],0,0,1,1))+1,ROW(OFFSET(nombres[],ROWS(nombres[])-1,0,1,1))+1),$O1547:$O1566),3),"")</f>
        <v/>
      </c>
      <c r="IW1547" s="42" t="str">
        <f t="array" aca="1" ref="IW1547" ca="1">IFERROR(INDEX(nombres[],SMALL(IF(OFFSET(nombres[],0,0,ROWS(nombres[]),1)=IW$1490,ROW(OFFSET(nombres[],0,0,ROWS(nombres[]),1))-ROW(OFFSET(nombres[],0,0,1,1))+1,ROW(OFFSET(nombres[],ROWS(nombres[])-1,0,1,1))+1),$O1547:$O1566),3),"")</f>
        <v/>
      </c>
      <c r="IX1547" s="42" t="str">
        <f t="array" aca="1" ref="IX1547" ca="1">IFERROR(INDEX(nombres[],SMALL(IF(OFFSET(nombres[],0,0,ROWS(nombres[]),1)=IX$1490,ROW(OFFSET(nombres[],0,0,ROWS(nombres[]),1))-ROW(OFFSET(nombres[],0,0,1,1))+1,ROW(OFFSET(nombres[],ROWS(nombres[])-1,0,1,1))+1),$O1547:$O1566),3),"")</f>
        <v/>
      </c>
      <c r="IY1547" s="42" t="str">
        <f t="array" aca="1" ref="IY1547" ca="1">IFERROR(INDEX(nombres[],SMALL(IF(OFFSET(nombres[],0,0,ROWS(nombres[]),1)=IY$1490,ROW(OFFSET(nombres[],0,0,ROWS(nombres[]),1))-ROW(OFFSET(nombres[],0,0,1,1))+1,ROW(OFFSET(nombres[],ROWS(nombres[])-1,0,1,1))+1),$O1547:$O1566),3),"")</f>
        <v/>
      </c>
      <c r="IZ1547" s="42" t="str">
        <f t="array" aca="1" ref="IZ1547" ca="1">IFERROR(INDEX(nombres[],SMALL(IF(OFFSET(nombres[],0,0,ROWS(nombres[]),1)=IZ$1490,ROW(OFFSET(nombres[],0,0,ROWS(nombres[]),1))-ROW(OFFSET(nombres[],0,0,1,1))+1,ROW(OFFSET(nombres[],ROWS(nombres[])-1,0,1,1))+1),$O1547:$O1566),3),"")</f>
        <v/>
      </c>
      <c r="JA1547" s="42" t="str">
        <f t="array" aca="1" ref="JA1547" ca="1">IFERROR(INDEX(nombres[],SMALL(IF(OFFSET(nombres[],0,0,ROWS(nombres[]),1)=JA$1490,ROW(OFFSET(nombres[],0,0,ROWS(nombres[]),1))-ROW(OFFSET(nombres[],0,0,1,1))+1,ROW(OFFSET(nombres[],ROWS(nombres[])-1,0,1,1))+1),$O1547:$O1566),3),"")</f>
        <v/>
      </c>
      <c r="JB1547" s="42" t="str">
        <f t="array" aca="1" ref="JB1547" ca="1">IFERROR(INDEX(nombres[],SMALL(IF(OFFSET(nombres[],0,0,ROWS(nombres[]),1)=JB$1490,ROW(OFFSET(nombres[],0,0,ROWS(nombres[]),1))-ROW(OFFSET(nombres[],0,0,1,1))+1,ROW(OFFSET(nombres[],ROWS(nombres[])-1,0,1,1))+1),$O1547:$O1566),3),"")</f>
        <v/>
      </c>
      <c r="JC1547" s="42" t="str">
        <f t="array" aca="1" ref="JC1547" ca="1">IFERROR(INDEX(nombres[],SMALL(IF(OFFSET(nombres[],0,0,ROWS(nombres[]),1)=JC$1490,ROW(OFFSET(nombres[],0,0,ROWS(nombres[]),1))-ROW(OFFSET(nombres[],0,0,1,1))+1,ROW(OFFSET(nombres[],ROWS(nombres[])-1,0,1,1))+1),$O1547:$O1566),3),"")</f>
        <v/>
      </c>
      <c r="JD1547" s="42" t="str">
        <f t="array" aca="1" ref="JD1547" ca="1">IFERROR(INDEX(nombres[],SMALL(IF(OFFSET(nombres[],0,0,ROWS(nombres[]),1)=JD$1490,ROW(OFFSET(nombres[],0,0,ROWS(nombres[]),1))-ROW(OFFSET(nombres[],0,0,1,1))+1,ROW(OFFSET(nombres[],ROWS(nombres[])-1,0,1,1))+1),$O1547:$O1566),3),"")</f>
        <v/>
      </c>
      <c r="JE1547" s="42" t="str">
        <f t="array" aca="1" ref="JE1547" ca="1">IFERROR(INDEX(nombres[],SMALL(IF(OFFSET(nombres[],0,0,ROWS(nombres[]),1)=JE$1490,ROW(OFFSET(nombres[],0,0,ROWS(nombres[]),1))-ROW(OFFSET(nombres[],0,0,1,1))+1,ROW(OFFSET(nombres[],ROWS(nombres[])-1,0,1,1))+1),$O1547:$O1566),3),"")</f>
        <v/>
      </c>
      <c r="JF1547" s="42" t="str">
        <f t="array" aca="1" ref="JF1547" ca="1">IFERROR(INDEX(nombres[],SMALL(IF(OFFSET(nombres[],0,0,ROWS(nombres[]),1)=JF$1490,ROW(OFFSET(nombres[],0,0,ROWS(nombres[]),1))-ROW(OFFSET(nombres[],0,0,1,1))+1,ROW(OFFSET(nombres[],ROWS(nombres[])-1,0,1,1))+1),$O1547:$O1566),3),"")</f>
        <v/>
      </c>
      <c r="JG1547" s="42" t="str">
        <f t="array" aca="1" ref="JG1547" ca="1">IFERROR(INDEX(nombres[],SMALL(IF(OFFSET(nombres[],0,0,ROWS(nombres[]),1)=JG$1490,ROW(OFFSET(nombres[],0,0,ROWS(nombres[]),1))-ROW(OFFSET(nombres[],0,0,1,1))+1,ROW(OFFSET(nombres[],ROWS(nombres[])-1,0,1,1))+1),$O1547:$O1566),3),"")</f>
        <v/>
      </c>
      <c r="JH1547" s="42" t="str">
        <f t="array" aca="1" ref="JH1547" ca="1">IFERROR(INDEX(nombres[],SMALL(IF(OFFSET(nombres[],0,0,ROWS(nombres[]),1)=JH$1490,ROW(OFFSET(nombres[],0,0,ROWS(nombres[]),1))-ROW(OFFSET(nombres[],0,0,1,1))+1,ROW(OFFSET(nombres[],ROWS(nombres[])-1,0,1,1))+1),$O1547:$O1566),3),"")</f>
        <v/>
      </c>
      <c r="JI1547" s="42" t="str">
        <f t="array" aca="1" ref="JI1547" ca="1">IFERROR(INDEX(nombres[],SMALL(IF(OFFSET(nombres[],0,0,ROWS(nombres[]),1)=JI$1490,ROW(OFFSET(nombres[],0,0,ROWS(nombres[]),1))-ROW(OFFSET(nombres[],0,0,1,1))+1,ROW(OFFSET(nombres[],ROWS(nombres[])-1,0,1,1))+1),$O1547:$O1566),3),"")</f>
        <v/>
      </c>
      <c r="JJ1547" s="42" t="str">
        <f t="array" aca="1" ref="JJ1547" ca="1">IFERROR(INDEX(nombres[],SMALL(IF(OFFSET(nombres[],0,0,ROWS(nombres[]),1)=JJ$1490,ROW(OFFSET(nombres[],0,0,ROWS(nombres[]),1))-ROW(OFFSET(nombres[],0,0,1,1))+1,ROW(OFFSET(nombres[],ROWS(nombres[])-1,0,1,1))+1),$O1547:$O1566),3),"")</f>
        <v/>
      </c>
      <c r="JK1547" s="42" t="str">
        <f t="array" aca="1" ref="JK1547" ca="1">IFERROR(INDEX(nombres[],SMALL(IF(OFFSET(nombres[],0,0,ROWS(nombres[]),1)=JK$1490,ROW(OFFSET(nombres[],0,0,ROWS(nombres[]),1))-ROW(OFFSET(nombres[],0,0,1,1))+1,ROW(OFFSET(nombres[],ROWS(nombres[])-1,0,1,1))+1),$O1547:$O1566),3),"")</f>
        <v/>
      </c>
      <c r="JL1547" s="42" t="str">
        <f t="array" aca="1" ref="JL1547" ca="1">IFERROR(INDEX(nombres[],SMALL(IF(OFFSET(nombres[],0,0,ROWS(nombres[]),1)=JL$1490,ROW(OFFSET(nombres[],0,0,ROWS(nombres[]),1))-ROW(OFFSET(nombres[],0,0,1,1))+1,ROW(OFFSET(nombres[],ROWS(nombres[])-1,0,1,1))+1),$O1547:$O1566),3),"")</f>
        <v/>
      </c>
      <c r="JM1547" s="42" t="str">
        <f t="array" aca="1" ref="JM1547" ca="1">IFERROR(INDEX(nombres[],SMALL(IF(OFFSET(nombres[],0,0,ROWS(nombres[]),1)=JM$1490,ROW(OFFSET(nombres[],0,0,ROWS(nombres[]),1))-ROW(OFFSET(nombres[],0,0,1,1))+1,ROW(OFFSET(nombres[],ROWS(nombres[])-1,0,1,1))+1),$O1547:$O1566),3),"")</f>
        <v/>
      </c>
      <c r="JN1547" s="42" t="str">
        <f t="array" aca="1" ref="JN1547" ca="1">IFERROR(INDEX(nombres[],SMALL(IF(OFFSET(nombres[],0,0,ROWS(nombres[]),1)=JN$1490,ROW(OFFSET(nombres[],0,0,ROWS(nombres[]),1))-ROW(OFFSET(nombres[],0,0,1,1))+1,ROW(OFFSET(nombres[],ROWS(nombres[])-1,0,1,1))+1),$O1547:$O1566),3),"")</f>
        <v/>
      </c>
      <c r="JO1547" s="42" t="str">
        <f t="array" aca="1" ref="JO1547" ca="1">IFERROR(INDEX(nombres[],SMALL(IF(OFFSET(nombres[],0,0,ROWS(nombres[]),1)=JO$1490,ROW(OFFSET(nombres[],0,0,ROWS(nombres[]),1))-ROW(OFFSET(nombres[],0,0,1,1))+1,ROW(OFFSET(nombres[],ROWS(nombres[])-1,0,1,1))+1),$O1547:$O1566),3),"")</f>
        <v/>
      </c>
      <c r="JP1547" s="42" t="str">
        <f t="array" aca="1" ref="JP1547" ca="1">IFERROR(INDEX(nombres[],SMALL(IF(OFFSET(nombres[],0,0,ROWS(nombres[]),1)=JP$1490,ROW(OFFSET(nombres[],0,0,ROWS(nombres[]),1))-ROW(OFFSET(nombres[],0,0,1,1))+1,ROW(OFFSET(nombres[],ROWS(nombres[])-1,0,1,1))+1),$O1547:$O1566),3),"")</f>
        <v/>
      </c>
      <c r="JQ1547" s="42" t="str">
        <f t="array" aca="1" ref="JQ1547" ca="1">IFERROR(INDEX(nombres[],SMALL(IF(OFFSET(nombres[],0,0,ROWS(nombres[]),1)=JQ$1490,ROW(OFFSET(nombres[],0,0,ROWS(nombres[]),1))-ROW(OFFSET(nombres[],0,0,1,1))+1,ROW(OFFSET(nombres[],ROWS(nombres[])-1,0,1,1))+1),$O1547:$O1566),3),"")</f>
        <v/>
      </c>
      <c r="JR1547" s="42" t="str">
        <f t="array" aca="1" ref="JR1547" ca="1">IFERROR(INDEX(nombres[],SMALL(IF(OFFSET(nombres[],0,0,ROWS(nombres[]),1)=JR$1490,ROW(OFFSET(nombres[],0,0,ROWS(nombres[]),1))-ROW(OFFSET(nombres[],0,0,1,1))+1,ROW(OFFSET(nombres[],ROWS(nombres[])-1,0,1,1))+1),$O1547:$O1566),3),"")</f>
        <v/>
      </c>
      <c r="JS1547" s="42" t="str">
        <f t="array" aca="1" ref="JS1547" ca="1">IFERROR(INDEX(nombres[],SMALL(IF(OFFSET(nombres[],0,0,ROWS(nombres[]),1)=JS$1490,ROW(OFFSET(nombres[],0,0,ROWS(nombres[]),1))-ROW(OFFSET(nombres[],0,0,1,1))+1,ROW(OFFSET(nombres[],ROWS(nombres[])-1,0,1,1))+1),$O1547:$O1566),3),"")</f>
        <v/>
      </c>
      <c r="JT1547" s="42" t="str">
        <f t="array" aca="1" ref="JT1547" ca="1">IFERROR(INDEX(nombres[],SMALL(IF(OFFSET(nombres[],0,0,ROWS(nombres[]),1)=JT$1490,ROW(OFFSET(nombres[],0,0,ROWS(nombres[]),1))-ROW(OFFSET(nombres[],0,0,1,1))+1,ROW(OFFSET(nombres[],ROWS(nombres[])-1,0,1,1))+1),$O1547:$O1566),3),"")</f>
        <v/>
      </c>
      <c r="JU1547" s="42" t="str">
        <f t="array" aca="1" ref="JU1547" ca="1">IFERROR(INDEX(nombres[],SMALL(IF(OFFSET(nombres[],0,0,ROWS(nombres[]),1)=JU$1490,ROW(OFFSET(nombres[],0,0,ROWS(nombres[]),1))-ROW(OFFSET(nombres[],0,0,1,1))+1,ROW(OFFSET(nombres[],ROWS(nombres[])-1,0,1,1))+1),$O1547:$O1566),3),"")</f>
        <v/>
      </c>
      <c r="JV1547" s="42" t="str">
        <f t="array" aca="1" ref="JV1547" ca="1">IFERROR(INDEX(nombres[],SMALL(IF(OFFSET(nombres[],0,0,ROWS(nombres[]),1)=JV$1490,ROW(OFFSET(nombres[],0,0,ROWS(nombres[]),1))-ROW(OFFSET(nombres[],0,0,1,1))+1,ROW(OFFSET(nombres[],ROWS(nombres[])-1,0,1,1))+1),$O1547:$O1566),3),"")</f>
        <v/>
      </c>
      <c r="JW1547" s="42" t="str">
        <f t="array" aca="1" ref="JW1547" ca="1">IFERROR(INDEX(nombres[],SMALL(IF(OFFSET(nombres[],0,0,ROWS(nombres[]),1)=JW$1490,ROW(OFFSET(nombres[],0,0,ROWS(nombres[]),1))-ROW(OFFSET(nombres[],0,0,1,1))+1,ROW(OFFSET(nombres[],ROWS(nombres[])-1,0,1,1))+1),$O1547:$O1566),3),"")</f>
        <v/>
      </c>
      <c r="JX1547" s="42" t="str">
        <f t="array" aca="1" ref="JX1547" ca="1">IFERROR(INDEX(nombres[],SMALL(IF(OFFSET(nombres[],0,0,ROWS(nombres[]),1)=JX$1490,ROW(OFFSET(nombres[],0,0,ROWS(nombres[]),1))-ROW(OFFSET(nombres[],0,0,1,1))+1,ROW(OFFSET(nombres[],ROWS(nombres[])-1,0,1,1))+1),$O1547:$O1566),3),"")</f>
        <v/>
      </c>
      <c r="JY1547" s="42" t="str">
        <f t="array" aca="1" ref="JY1547" ca="1">IFERROR(INDEX(nombres[],SMALL(IF(OFFSET(nombres[],0,0,ROWS(nombres[]),1)=JY$1490,ROW(OFFSET(nombres[],0,0,ROWS(nombres[]),1))-ROW(OFFSET(nombres[],0,0,1,1))+1,ROW(OFFSET(nombres[],ROWS(nombres[])-1,0,1,1))+1),$O1547:$O1566),3),"")</f>
        <v/>
      </c>
      <c r="JZ1547" s="42" t="str">
        <f t="array" aca="1" ref="JZ1547" ca="1">IFERROR(INDEX(nombres[],SMALL(IF(OFFSET(nombres[],0,0,ROWS(nombres[]),1)=JZ$1490,ROW(OFFSET(nombres[],0,0,ROWS(nombres[]),1))-ROW(OFFSET(nombres[],0,0,1,1))+1,ROW(OFFSET(nombres[],ROWS(nombres[])-1,0,1,1))+1),$O1547:$O1566),3),"")</f>
        <v/>
      </c>
      <c r="KA1547" s="42" t="str">
        <f t="array" aca="1" ref="KA1547" ca="1">IFERROR(INDEX(nombres[],SMALL(IF(OFFSET(nombres[],0,0,ROWS(nombres[]),1)=KA$1490,ROW(OFFSET(nombres[],0,0,ROWS(nombres[]),1))-ROW(OFFSET(nombres[],0,0,1,1))+1,ROW(OFFSET(nombres[],ROWS(nombres[])-1,0,1,1))+1),$O1547:$O1566),3),"")</f>
        <v/>
      </c>
      <c r="KB1547" s="42" t="str">
        <f t="array" aca="1" ref="KB1547" ca="1">IFERROR(INDEX(nombres[],SMALL(IF(OFFSET(nombres[],0,0,ROWS(nombres[]),1)=KB$1490,ROW(OFFSET(nombres[],0,0,ROWS(nombres[]),1))-ROW(OFFSET(nombres[],0,0,1,1))+1,ROW(OFFSET(nombres[],ROWS(nombres[])-1,0,1,1))+1),$O1547:$O1566),3),"")</f>
        <v/>
      </c>
      <c r="KC1547" s="42" t="str">
        <f t="array" aca="1" ref="KC1547" ca="1">IFERROR(INDEX(nombres[],SMALL(IF(OFFSET(nombres[],0,0,ROWS(nombres[]),1)=KC$1490,ROW(OFFSET(nombres[],0,0,ROWS(nombres[]),1))-ROW(OFFSET(nombres[],0,0,1,1))+1,ROW(OFFSET(nombres[],ROWS(nombres[])-1,0,1,1))+1),$O1547:$O1566),3),"")</f>
        <v/>
      </c>
      <c r="KD1547" s="42" t="str">
        <f t="array" aca="1" ref="KD1547" ca="1">IFERROR(INDEX(nombres[],SMALL(IF(OFFSET(nombres[],0,0,ROWS(nombres[]),1)=KD$1490,ROW(OFFSET(nombres[],0,0,ROWS(nombres[]),1))-ROW(OFFSET(nombres[],0,0,1,1))+1,ROW(OFFSET(nombres[],ROWS(nombres[])-1,0,1,1))+1),$O1547:$O1566),3),"")</f>
        <v/>
      </c>
      <c r="KE1547" s="42" t="str">
        <f t="array" aca="1" ref="KE1547" ca="1">IFERROR(INDEX(nombres[],SMALL(IF(OFFSET(nombres[],0,0,ROWS(nombres[]),1)=KE$1490,ROW(OFFSET(nombres[],0,0,ROWS(nombres[]),1))-ROW(OFFSET(nombres[],0,0,1,1))+1,ROW(OFFSET(nombres[],ROWS(nombres[])-1,0,1,1))+1),$O1547:$O1566),3),"")</f>
        <v/>
      </c>
      <c r="KF1547" s="42" t="str">
        <f t="array" aca="1" ref="KF1547" ca="1">IFERROR(INDEX(nombres[],SMALL(IF(OFFSET(nombres[],0,0,ROWS(nombres[]),1)=KF$1490,ROW(OFFSET(nombres[],0,0,ROWS(nombres[]),1))-ROW(OFFSET(nombres[],0,0,1,1))+1,ROW(OFFSET(nombres[],ROWS(nombres[])-1,0,1,1))+1),$O1547:$O1566),3),"")</f>
        <v/>
      </c>
      <c r="KG1547" s="42" t="str">
        <f t="array" aca="1" ref="KG1547" ca="1">IFERROR(INDEX(nombres[],SMALL(IF(OFFSET(nombres[],0,0,ROWS(nombres[]),1)=KG$1490,ROW(OFFSET(nombres[],0,0,ROWS(nombres[]),1))-ROW(OFFSET(nombres[],0,0,1,1))+1,ROW(OFFSET(nombres[],ROWS(nombres[])-1,0,1,1))+1),$O1547:$O1566),3),"")</f>
        <v/>
      </c>
      <c r="KH1547" s="42" t="str">
        <f t="array" aca="1" ref="KH1547" ca="1">IFERROR(INDEX(nombres[],SMALL(IF(OFFSET(nombres[],0,0,ROWS(nombres[]),1)=KH$1490,ROW(OFFSET(nombres[],0,0,ROWS(nombres[]),1))-ROW(OFFSET(nombres[],0,0,1,1))+1,ROW(OFFSET(nombres[],ROWS(nombres[])-1,0,1,1))+1),$O1547:$O1566),3),"")</f>
        <v/>
      </c>
      <c r="KI1547" s="42" t="str">
        <f t="array" aca="1" ref="KI1547" ca="1">IFERROR(INDEX(nombres[],SMALL(IF(OFFSET(nombres[],0,0,ROWS(nombres[]),1)=KI$1490,ROW(OFFSET(nombres[],0,0,ROWS(nombres[]),1))-ROW(OFFSET(nombres[],0,0,1,1))+1,ROW(OFFSET(nombres[],ROWS(nombres[])-1,0,1,1))+1),$O1547:$O1566),3),"")</f>
        <v/>
      </c>
      <c r="KJ1547" s="42" t="str">
        <f t="array" aca="1" ref="KJ1547" ca="1">IFERROR(INDEX(nombres[],SMALL(IF(OFFSET(nombres[],0,0,ROWS(nombres[]),1)=KJ$1490,ROW(OFFSET(nombres[],0,0,ROWS(nombres[]),1))-ROW(OFFSET(nombres[],0,0,1,1))+1,ROW(OFFSET(nombres[],ROWS(nombres[])-1,0,1,1))+1),$O1547:$O1566),3),"")</f>
        <v/>
      </c>
      <c r="KK1547" s="42" t="str">
        <f t="array" aca="1" ref="KK1547" ca="1">IFERROR(INDEX(nombres[],SMALL(IF(OFFSET(nombres[],0,0,ROWS(nombres[]),1)=KK$1490,ROW(OFFSET(nombres[],0,0,ROWS(nombres[]),1))-ROW(OFFSET(nombres[],0,0,1,1))+1,ROW(OFFSET(nombres[],ROWS(nombres[])-1,0,1,1))+1),$O1547:$O1566),3),"")</f>
        <v/>
      </c>
      <c r="KL1547" s="42" t="str">
        <f t="array" aca="1" ref="KL1547" ca="1">IFERROR(INDEX(nombres[],SMALL(IF(OFFSET(nombres[],0,0,ROWS(nombres[]),1)=KL$1490,ROW(OFFSET(nombres[],0,0,ROWS(nombres[]),1))-ROW(OFFSET(nombres[],0,0,1,1))+1,ROW(OFFSET(nombres[],ROWS(nombres[])-1,0,1,1))+1),$O1547:$O1566),3),"")</f>
        <v/>
      </c>
      <c r="KM1547" s="42" t="str">
        <f t="array" aca="1" ref="KM1547" ca="1">IFERROR(INDEX(nombres[],SMALL(IF(OFFSET(nombres[],0,0,ROWS(nombres[]),1)=KM$1490,ROW(OFFSET(nombres[],0,0,ROWS(nombres[]),1))-ROW(OFFSET(nombres[],0,0,1,1))+1,ROW(OFFSET(nombres[],ROWS(nombres[])-1,0,1,1))+1),$O1547:$O1566),3),"")</f>
        <v/>
      </c>
      <c r="KN1547" s="42" t="str">
        <f t="array" aca="1" ref="KN1547" ca="1">IFERROR(INDEX(nombres[],SMALL(IF(OFFSET(nombres[],0,0,ROWS(nombres[]),1)=KN$1490,ROW(OFFSET(nombres[],0,0,ROWS(nombres[]),1))-ROW(OFFSET(nombres[],0,0,1,1))+1,ROW(OFFSET(nombres[],ROWS(nombres[])-1,0,1,1))+1),$O1547:$O1566),3),"")</f>
        <v/>
      </c>
      <c r="KO1547" s="42" t="str">
        <f t="array" aca="1" ref="KO1547" ca="1">IFERROR(INDEX(nombres[],SMALL(IF(OFFSET(nombres[],0,0,ROWS(nombres[]),1)=KO$1490,ROW(OFFSET(nombres[],0,0,ROWS(nombres[]),1))-ROW(OFFSET(nombres[],0,0,1,1))+1,ROW(OFFSET(nombres[],ROWS(nombres[])-1,0,1,1))+1),$O1547:$O1566),3),"")</f>
        <v/>
      </c>
      <c r="KP1547" s="42" t="str">
        <f t="array" aca="1" ref="KP1547" ca="1">IFERROR(INDEX(nombres[],SMALL(IF(OFFSET(nombres[],0,0,ROWS(nombres[]),1)=KP$1490,ROW(OFFSET(nombres[],0,0,ROWS(nombres[]),1))-ROW(OFFSET(nombres[],0,0,1,1))+1,ROW(OFFSET(nombres[],ROWS(nombres[])-1,0,1,1))+1),$O1547:$O1566),3),"")</f>
        <v/>
      </c>
      <c r="KQ1547" s="42" t="str">
        <f t="array" aca="1" ref="KQ1547" ca="1">IFERROR(INDEX(nombres[],SMALL(IF(OFFSET(nombres[],0,0,ROWS(nombres[]),1)=KQ$1490,ROW(OFFSET(nombres[],0,0,ROWS(nombres[]),1))-ROW(OFFSET(nombres[],0,0,1,1))+1,ROW(OFFSET(nombres[],ROWS(nombres[])-1,0,1,1))+1),$O1547:$O1566),3),"")</f>
        <v/>
      </c>
      <c r="KR1547" s="42" t="str">
        <f t="array" aca="1" ref="KR1547" ca="1">IFERROR(INDEX(nombres[],SMALL(IF(OFFSET(nombres[],0,0,ROWS(nombres[]),1)=KR$1490,ROW(OFFSET(nombres[],0,0,ROWS(nombres[]),1))-ROW(OFFSET(nombres[],0,0,1,1))+1,ROW(OFFSET(nombres[],ROWS(nombres[])-1,0,1,1))+1),$O1547:$O1566),3),"")</f>
        <v/>
      </c>
      <c r="KS1547" s="42" t="str">
        <f t="array" aca="1" ref="KS1547" ca="1">IFERROR(INDEX(nombres[],SMALL(IF(OFFSET(nombres[],0,0,ROWS(nombres[]),1)=KS$1490,ROW(OFFSET(nombres[],0,0,ROWS(nombres[]),1))-ROW(OFFSET(nombres[],0,0,1,1))+1,ROW(OFFSET(nombres[],ROWS(nombres[])-1,0,1,1))+1),$O1547:$O1566),3),"")</f>
        <v/>
      </c>
      <c r="KT1547" s="42" t="str">
        <f t="array" aca="1" ref="KT1547" ca="1">IFERROR(INDEX(nombres[],SMALL(IF(OFFSET(nombres[],0,0,ROWS(nombres[]),1)=KT$1490,ROW(OFFSET(nombres[],0,0,ROWS(nombres[]),1))-ROW(OFFSET(nombres[],0,0,1,1))+1,ROW(OFFSET(nombres[],ROWS(nombres[])-1,0,1,1))+1),$O1547:$O1566),3),"")</f>
        <v/>
      </c>
      <c r="KU1547" s="42" t="str">
        <f t="array" aca="1" ref="KU1547" ca="1">IFERROR(INDEX(nombres[],SMALL(IF(OFFSET(nombres[],0,0,ROWS(nombres[]),1)=KU$1490,ROW(OFFSET(nombres[],0,0,ROWS(nombres[]),1))-ROW(OFFSET(nombres[],0,0,1,1))+1,ROW(OFFSET(nombres[],ROWS(nombres[])-1,0,1,1))+1),$O1547:$O1566),3),"")</f>
        <v/>
      </c>
      <c r="KV1547" s="42" t="str">
        <f t="array" aca="1" ref="KV1547" ca="1">IFERROR(INDEX(nombres[],SMALL(IF(OFFSET(nombres[],0,0,ROWS(nombres[]),1)=KV$1490,ROW(OFFSET(nombres[],0,0,ROWS(nombres[]),1))-ROW(OFFSET(nombres[],0,0,1,1))+1,ROW(OFFSET(nombres[],ROWS(nombres[])-1,0,1,1))+1),$O1547:$O1566),3),"")</f>
        <v/>
      </c>
      <c r="KW1547" s="42" t="str">
        <f t="array" aca="1" ref="KW1547" ca="1">IFERROR(INDEX(nombres[],SMALL(IF(OFFSET(nombres[],0,0,ROWS(nombres[]),1)=KW$1490,ROW(OFFSET(nombres[],0,0,ROWS(nombres[]),1))-ROW(OFFSET(nombres[],0,0,1,1))+1,ROW(OFFSET(nombres[],ROWS(nombres[])-1,0,1,1))+1),$O1547:$O1566),3),"")</f>
        <v/>
      </c>
      <c r="KX1547" s="42" t="str">
        <f t="array" aca="1" ref="KX1547" ca="1">IFERROR(INDEX(nombres[],SMALL(IF(OFFSET(nombres[],0,0,ROWS(nombres[]),1)=KX$1490,ROW(OFFSET(nombres[],0,0,ROWS(nombres[]),1))-ROW(OFFSET(nombres[],0,0,1,1))+1,ROW(OFFSET(nombres[],ROWS(nombres[])-1,0,1,1))+1),$O1547:$O1566),3),"")</f>
        <v/>
      </c>
      <c r="KY1547" s="42" t="str">
        <f t="array" aca="1" ref="KY1547" ca="1">IFERROR(INDEX(nombres[],SMALL(IF(OFFSET(nombres[],0,0,ROWS(nombres[]),1)=KY$1490,ROW(OFFSET(nombres[],0,0,ROWS(nombres[]),1))-ROW(OFFSET(nombres[],0,0,1,1))+1,ROW(OFFSET(nombres[],ROWS(nombres[])-1,0,1,1))+1),$O1547:$O1566),3),"")</f>
        <v/>
      </c>
      <c r="KZ1547" s="42" t="str">
        <f t="array" aca="1" ref="KZ1547" ca="1">IFERROR(INDEX(nombres[],SMALL(IF(OFFSET(nombres[],0,0,ROWS(nombres[]),1)=KZ$1490,ROW(OFFSET(nombres[],0,0,ROWS(nombres[]),1))-ROW(OFFSET(nombres[],0,0,1,1))+1,ROW(OFFSET(nombres[],ROWS(nombres[])-1,0,1,1))+1),$O1547:$O1566),3),"")</f>
        <v/>
      </c>
      <c r="LA1547" s="42" t="str">
        <f t="array" aca="1" ref="LA1547" ca="1">IFERROR(INDEX(nombres[],SMALL(IF(OFFSET(nombres[],0,0,ROWS(nombres[]),1)=LA$1490,ROW(OFFSET(nombres[],0,0,ROWS(nombres[]),1))-ROW(OFFSET(nombres[],0,0,1,1))+1,ROW(OFFSET(nombres[],ROWS(nombres[])-1,0,1,1))+1),$O1547:$O1566),3),"")</f>
        <v/>
      </c>
      <c r="LB1547" s="42" t="str">
        <f t="array" aca="1" ref="LB1547" ca="1">IFERROR(INDEX(nombres[],SMALL(IF(OFFSET(nombres[],0,0,ROWS(nombres[]),1)=LB$1490,ROW(OFFSET(nombres[],0,0,ROWS(nombres[]),1))-ROW(OFFSET(nombres[],0,0,1,1))+1,ROW(OFFSET(nombres[],ROWS(nombres[])-1,0,1,1))+1),$O1547:$O1566),3),"")</f>
        <v/>
      </c>
      <c r="LC1547" s="42" t="str">
        <f t="array" aca="1" ref="LC1547" ca="1">IFERROR(INDEX(nombres[],SMALL(IF(OFFSET(nombres[],0,0,ROWS(nombres[]),1)=LC$1490,ROW(OFFSET(nombres[],0,0,ROWS(nombres[]),1))-ROW(OFFSET(nombres[],0,0,1,1))+1,ROW(OFFSET(nombres[],ROWS(nombres[])-1,0,1,1))+1),$O1547:$O1566),3),"")</f>
        <v/>
      </c>
      <c r="LD1547" s="42" t="str">
        <f t="array" aca="1" ref="LD1547" ca="1">IFERROR(INDEX(nombres[],SMALL(IF(OFFSET(nombres[],0,0,ROWS(nombres[]),1)=LD$1490,ROW(OFFSET(nombres[],0,0,ROWS(nombres[]),1))-ROW(OFFSET(nombres[],0,0,1,1))+1,ROW(OFFSET(nombres[],ROWS(nombres[])-1,0,1,1))+1),$O1547:$O1566),3),"")</f>
        <v/>
      </c>
      <c r="LE1547" s="42" t="str">
        <f t="array" aca="1" ref="LE1547" ca="1">IFERROR(INDEX(nombres[],SMALL(IF(OFFSET(nombres[],0,0,ROWS(nombres[]),1)=LE$1490,ROW(OFFSET(nombres[],0,0,ROWS(nombres[]),1))-ROW(OFFSET(nombres[],0,0,1,1))+1,ROW(OFFSET(nombres[],ROWS(nombres[])-1,0,1,1))+1),$O1547:$O1566),3),"")</f>
        <v/>
      </c>
      <c r="LF1547" s="42" t="str">
        <f t="array" aca="1" ref="LF1547" ca="1">IFERROR(INDEX(nombres[],SMALL(IF(OFFSET(nombres[],0,0,ROWS(nombres[]),1)=LF$1490,ROW(OFFSET(nombres[],0,0,ROWS(nombres[]),1))-ROW(OFFSET(nombres[],0,0,1,1))+1,ROW(OFFSET(nombres[],ROWS(nombres[])-1,0,1,1))+1),$O1547:$O1566),3),"")</f>
        <v/>
      </c>
      <c r="LG1547" s="42" t="str">
        <f t="array" aca="1" ref="LG1547" ca="1">IFERROR(INDEX(nombres[],SMALL(IF(OFFSET(nombres[],0,0,ROWS(nombres[]),1)=LG$1490,ROW(OFFSET(nombres[],0,0,ROWS(nombres[]),1))-ROW(OFFSET(nombres[],0,0,1,1))+1,ROW(OFFSET(nombres[],ROWS(nombres[])-1,0,1,1))+1),$O1547:$O1566),3),"")</f>
        <v/>
      </c>
      <c r="LH1547" s="42" t="str">
        <f t="array" aca="1" ref="LH1547" ca="1">IFERROR(INDEX(nombres[],SMALL(IF(OFFSET(nombres[],0,0,ROWS(nombres[]),1)=LH$1490,ROW(OFFSET(nombres[],0,0,ROWS(nombres[]),1))-ROW(OFFSET(nombres[],0,0,1,1))+1,ROW(OFFSET(nombres[],ROWS(nombres[])-1,0,1,1))+1),$O1547:$O1566),3),"")</f>
        <v/>
      </c>
      <c r="LI1547" s="42" t="str">
        <f t="array" aca="1" ref="LI1547" ca="1">IFERROR(INDEX(nombres[],SMALL(IF(OFFSET(nombres[],0,0,ROWS(nombres[]),1)=LI$1490,ROW(OFFSET(nombres[],0,0,ROWS(nombres[]),1))-ROW(OFFSET(nombres[],0,0,1,1))+1,ROW(OFFSET(nombres[],ROWS(nombres[])-1,0,1,1))+1),$O1547:$O1566),3),"")</f>
        <v/>
      </c>
      <c r="LJ1547" s="42" t="str">
        <f t="array" aca="1" ref="LJ1547" ca="1">IFERROR(INDEX(nombres[],SMALL(IF(OFFSET(nombres[],0,0,ROWS(nombres[]),1)=LJ$1490,ROW(OFFSET(nombres[],0,0,ROWS(nombres[]),1))-ROW(OFFSET(nombres[],0,0,1,1))+1,ROW(OFFSET(nombres[],ROWS(nombres[])-1,0,1,1))+1),$O1547:$O1566),3),"")</f>
        <v/>
      </c>
      <c r="LK1547" s="42" t="str">
        <f t="array" aca="1" ref="LK1547" ca="1">IFERROR(INDEX(nombres[],SMALL(IF(OFFSET(nombres[],0,0,ROWS(nombres[]),1)=LK$1490,ROW(OFFSET(nombres[],0,0,ROWS(nombres[]),1))-ROW(OFFSET(nombres[],0,0,1,1))+1,ROW(OFFSET(nombres[],ROWS(nombres[])-1,0,1,1))+1),$O1547:$O1566),3),"")</f>
        <v/>
      </c>
      <c r="LL1547" s="42" t="str">
        <f t="array" aca="1" ref="LL1547" ca="1">IFERROR(INDEX(nombres[],SMALL(IF(OFFSET(nombres[],0,0,ROWS(nombres[]),1)=LL$1490,ROW(OFFSET(nombres[],0,0,ROWS(nombres[]),1))-ROW(OFFSET(nombres[],0,0,1,1))+1,ROW(OFFSET(nombres[],ROWS(nombres[])-1,0,1,1))+1),$O1547:$O1566),3),"")</f>
        <v/>
      </c>
      <c r="LM1547" s="42" t="str">
        <f t="array" aca="1" ref="LM1547" ca="1">IFERROR(INDEX(nombres[],SMALL(IF(OFFSET(nombres[],0,0,ROWS(nombres[]),1)=LM$1490,ROW(OFFSET(nombres[],0,0,ROWS(nombres[]),1))-ROW(OFFSET(nombres[],0,0,1,1))+1,ROW(OFFSET(nombres[],ROWS(nombres[])-1,0,1,1))+1),$O1547:$O1566),3),"")</f>
        <v/>
      </c>
      <c r="LN1547" s="42" t="str">
        <f t="array" aca="1" ref="LN1547" ca="1">IFERROR(INDEX(nombres[],SMALL(IF(OFFSET(nombres[],0,0,ROWS(nombres[]),1)=LN$1490,ROW(OFFSET(nombres[],0,0,ROWS(nombres[]),1))-ROW(OFFSET(nombres[],0,0,1,1))+1,ROW(OFFSET(nombres[],ROWS(nombres[])-1,0,1,1))+1),$O1547:$O1566),3),"")</f>
        <v/>
      </c>
      <c r="LO1547" s="42" t="str">
        <f t="array" aca="1" ref="LO1547" ca="1">IFERROR(INDEX(nombres[],SMALL(IF(OFFSET(nombres[],0,0,ROWS(nombres[]),1)=LO$1490,ROW(OFFSET(nombres[],0,0,ROWS(nombres[]),1))-ROW(OFFSET(nombres[],0,0,1,1))+1,ROW(OFFSET(nombres[],ROWS(nombres[])-1,0,1,1))+1),$O1547:$O1566),3),"")</f>
        <v/>
      </c>
      <c r="LP1547" s="42" t="str">
        <f t="array" aca="1" ref="LP1547" ca="1">IFERROR(INDEX(nombres[],SMALL(IF(OFFSET(nombres[],0,0,ROWS(nombres[]),1)=LP$1490,ROW(OFFSET(nombres[],0,0,ROWS(nombres[]),1))-ROW(OFFSET(nombres[],0,0,1,1))+1,ROW(OFFSET(nombres[],ROWS(nombres[])-1,0,1,1))+1),$O1547:$O1566),3),"")</f>
        <v/>
      </c>
      <c r="LQ1547" s="42" t="str">
        <f t="array" aca="1" ref="LQ1547" ca="1">IFERROR(INDEX(nombres[],SMALL(IF(OFFSET(nombres[],0,0,ROWS(nombres[]),1)=LQ$1490,ROW(OFFSET(nombres[],0,0,ROWS(nombres[]),1))-ROW(OFFSET(nombres[],0,0,1,1))+1,ROW(OFFSET(nombres[],ROWS(nombres[])-1,0,1,1))+1),$O1547:$O1566),3),"")</f>
        <v/>
      </c>
      <c r="LR1547" s="42" t="str">
        <f t="array" aca="1" ref="LR1547" ca="1">IFERROR(INDEX(nombres[],SMALL(IF(OFFSET(nombres[],0,0,ROWS(nombres[]),1)=LR$1490,ROW(OFFSET(nombres[],0,0,ROWS(nombres[]),1))-ROW(OFFSET(nombres[],0,0,1,1))+1,ROW(OFFSET(nombres[],ROWS(nombres[])-1,0,1,1))+1),$O1547:$O1566),3),"")</f>
        <v/>
      </c>
      <c r="LS1547" s="42" t="str">
        <f t="array" aca="1" ref="LS1547" ca="1">IFERROR(INDEX(nombres[],SMALL(IF(OFFSET(nombres[],0,0,ROWS(nombres[]),1)=LS$1490,ROW(OFFSET(nombres[],0,0,ROWS(nombres[]),1))-ROW(OFFSET(nombres[],0,0,1,1))+1,ROW(OFFSET(nombres[],ROWS(nombres[])-1,0,1,1))+1),$O1547:$O1566),3),"")</f>
        <v/>
      </c>
      <c r="LT1547" s="42" t="str">
        <f t="array" aca="1" ref="LT1547" ca="1">IFERROR(INDEX(nombres[],SMALL(IF(OFFSET(nombres[],0,0,ROWS(nombres[]),1)=LT$1490,ROW(OFFSET(nombres[],0,0,ROWS(nombres[]),1))-ROW(OFFSET(nombres[],0,0,1,1))+1,ROW(OFFSET(nombres[],ROWS(nombres[])-1,0,1,1))+1),$O1547:$O1566),3),"")</f>
        <v/>
      </c>
      <c r="LU1547" s="42" t="str">
        <f t="array" aca="1" ref="LU1547" ca="1">IFERROR(INDEX(nombres[],SMALL(IF(OFFSET(nombres[],0,0,ROWS(nombres[]),1)=LU$1490,ROW(OFFSET(nombres[],0,0,ROWS(nombres[]),1))-ROW(OFFSET(nombres[],0,0,1,1))+1,ROW(OFFSET(nombres[],ROWS(nombres[])-1,0,1,1))+1),$O1547:$O1566),3),"")</f>
        <v/>
      </c>
      <c r="LV1547" s="42" t="str">
        <f t="array" aca="1" ref="LV1547" ca="1">IFERROR(INDEX(nombres[],SMALL(IF(OFFSET(nombres[],0,0,ROWS(nombres[]),1)=LV$1490,ROW(OFFSET(nombres[],0,0,ROWS(nombres[]),1))-ROW(OFFSET(nombres[],0,0,1,1))+1,ROW(OFFSET(nombres[],ROWS(nombres[])-1,0,1,1))+1),$O1547:$O1566),3),"")</f>
        <v/>
      </c>
      <c r="LW1547" s="42" t="str">
        <f t="array" aca="1" ref="LW1547" ca="1">IFERROR(INDEX(nombres[],SMALL(IF(OFFSET(nombres[],0,0,ROWS(nombres[]),1)=LW$1490,ROW(OFFSET(nombres[],0,0,ROWS(nombres[]),1))-ROW(OFFSET(nombres[],0,0,1,1))+1,ROW(OFFSET(nombres[],ROWS(nombres[])-1,0,1,1))+1),$O1547:$O1566),3),"")</f>
        <v/>
      </c>
      <c r="LX1547" s="42" t="str">
        <f t="array" aca="1" ref="LX1547" ca="1">IFERROR(INDEX(nombres[],SMALL(IF(OFFSET(nombres[],0,0,ROWS(nombres[]),1)=LX$1490,ROW(OFFSET(nombres[],0,0,ROWS(nombres[]),1))-ROW(OFFSET(nombres[],0,0,1,1))+1,ROW(OFFSET(nombres[],ROWS(nombres[])-1,0,1,1))+1),$O1547:$O1566),3),"")</f>
        <v/>
      </c>
      <c r="LY1547" s="42" t="str">
        <f t="array" aca="1" ref="LY1547" ca="1">IFERROR(INDEX(nombres[],SMALL(IF(OFFSET(nombres[],0,0,ROWS(nombres[]),1)=LY$1490,ROW(OFFSET(nombres[],0,0,ROWS(nombres[]),1))-ROW(OFFSET(nombres[],0,0,1,1))+1,ROW(OFFSET(nombres[],ROWS(nombres[])-1,0,1,1))+1),$O1547:$O1566),3),"")</f>
        <v/>
      </c>
      <c r="LZ1547" s="42" t="str">
        <f t="array" aca="1" ref="LZ1547" ca="1">IFERROR(INDEX(nombres[],SMALL(IF(OFFSET(nombres[],0,0,ROWS(nombres[]),1)=LZ$1490,ROW(OFFSET(nombres[],0,0,ROWS(nombres[]),1))-ROW(OFFSET(nombres[],0,0,1,1))+1,ROW(OFFSET(nombres[],ROWS(nombres[])-1,0,1,1))+1),$O1547:$O1566),3),"")</f>
        <v/>
      </c>
      <c r="MA1547" s="42" t="str">
        <f t="array" aca="1" ref="MA1547" ca="1">IFERROR(INDEX(nombres[],SMALL(IF(OFFSET(nombres[],0,0,ROWS(nombres[]),1)=MA$1490,ROW(OFFSET(nombres[],0,0,ROWS(nombres[]),1))-ROW(OFFSET(nombres[],0,0,1,1))+1,ROW(OFFSET(nombres[],ROWS(nombres[])-1,0,1,1))+1),$O1547:$O1566),3),"")</f>
        <v/>
      </c>
      <c r="MB1547" s="42" t="str">
        <f t="array" aca="1" ref="MB1547" ca="1">IFERROR(INDEX(nombres[],SMALL(IF(OFFSET(nombres[],0,0,ROWS(nombres[]),1)=MB$1490,ROW(OFFSET(nombres[],0,0,ROWS(nombres[]),1))-ROW(OFFSET(nombres[],0,0,1,1))+1,ROW(OFFSET(nombres[],ROWS(nombres[])-1,0,1,1))+1),$O1547:$O1566),3),"")</f>
        <v/>
      </c>
      <c r="MC1547" s="42" t="str">
        <f t="array" aca="1" ref="MC1547" ca="1">IFERROR(INDEX(nombres[],SMALL(IF(OFFSET(nombres[],0,0,ROWS(nombres[]),1)=MC$1490,ROW(OFFSET(nombres[],0,0,ROWS(nombres[]),1))-ROW(OFFSET(nombres[],0,0,1,1))+1,ROW(OFFSET(nombres[],ROWS(nombres[])-1,0,1,1))+1),$O1547:$O1566),3),"")</f>
        <v/>
      </c>
      <c r="MD1547" s="42" t="str">
        <f t="array" aca="1" ref="MD1547" ca="1">IFERROR(INDEX(nombres[],SMALL(IF(OFFSET(nombres[],0,0,ROWS(nombres[]),1)=MD$1490,ROW(OFFSET(nombres[],0,0,ROWS(nombres[]),1))-ROW(OFFSET(nombres[],0,0,1,1))+1,ROW(OFFSET(nombres[],ROWS(nombres[])-1,0,1,1))+1),$O1547:$O1566),3),"")</f>
        <v/>
      </c>
      <c r="ME1547" s="42" t="str">
        <f t="array" aca="1" ref="ME1547" ca="1">IFERROR(INDEX(nombres[],SMALL(IF(OFFSET(nombres[],0,0,ROWS(nombres[]),1)=ME$1490,ROW(OFFSET(nombres[],0,0,ROWS(nombres[]),1))-ROW(OFFSET(nombres[],0,0,1,1))+1,ROW(OFFSET(nombres[],ROWS(nombres[])-1,0,1,1))+1),$O1547:$O1566),3),"")</f>
        <v/>
      </c>
      <c r="MF1547" s="42" t="str">
        <f t="array" aca="1" ref="MF1547" ca="1">IFERROR(INDEX(nombres[],SMALL(IF(OFFSET(nombres[],0,0,ROWS(nombres[]),1)=MF$1490,ROW(OFFSET(nombres[],0,0,ROWS(nombres[]),1))-ROW(OFFSET(nombres[],0,0,1,1))+1,ROW(OFFSET(nombres[],ROWS(nombres[])-1,0,1,1))+1),$O1547:$O1566),3),"")</f>
        <v/>
      </c>
      <c r="MG1547" s="42" t="str">
        <f t="array" aca="1" ref="MG1547" ca="1">IFERROR(INDEX(nombres[],SMALL(IF(OFFSET(nombres[],0,0,ROWS(nombres[]),1)=MG$1490,ROW(OFFSET(nombres[],0,0,ROWS(nombres[]),1))-ROW(OFFSET(nombres[],0,0,1,1))+1,ROW(OFFSET(nombres[],ROWS(nombres[])-1,0,1,1))+1),$O1547:$O1566),3),"")</f>
        <v/>
      </c>
      <c r="MH1547" s="42" t="str">
        <f t="array" aca="1" ref="MH1547" ca="1">IFERROR(INDEX(nombres[],SMALL(IF(OFFSET(nombres[],0,0,ROWS(nombres[]),1)=MH$1490,ROW(OFFSET(nombres[],0,0,ROWS(nombres[]),1))-ROW(OFFSET(nombres[],0,0,1,1))+1,ROW(OFFSET(nombres[],ROWS(nombres[])-1,0,1,1))+1),$O1547:$O1566),3),"")</f>
        <v/>
      </c>
      <c r="MI1547" s="42" t="str">
        <f t="array" aca="1" ref="MI1547" ca="1">IFERROR(INDEX(nombres[],SMALL(IF(OFFSET(nombres[],0,0,ROWS(nombres[]),1)=MI$1490,ROW(OFFSET(nombres[],0,0,ROWS(nombres[]),1))-ROW(OFFSET(nombres[],0,0,1,1))+1,ROW(OFFSET(nombres[],ROWS(nombres[])-1,0,1,1))+1),$O1547:$O1566),3),"")</f>
        <v/>
      </c>
      <c r="MJ1547" s="42" t="str">
        <f t="array" aca="1" ref="MJ1547" ca="1">IFERROR(INDEX(nombres[],SMALL(IF(OFFSET(nombres[],0,0,ROWS(nombres[]),1)=MJ$1490,ROW(OFFSET(nombres[],0,0,ROWS(nombres[]),1))-ROW(OFFSET(nombres[],0,0,1,1))+1,ROW(OFFSET(nombres[],ROWS(nombres[])-1,0,1,1))+1),$O1547:$O1566),3),"")</f>
        <v/>
      </c>
      <c r="MK1547" s="42" t="str">
        <f t="array" aca="1" ref="MK1547" ca="1">IFERROR(INDEX(nombres[],SMALL(IF(OFFSET(nombres[],0,0,ROWS(nombres[]),1)=MK$1490,ROW(OFFSET(nombres[],0,0,ROWS(nombres[]),1))-ROW(OFFSET(nombres[],0,0,1,1))+1,ROW(OFFSET(nombres[],ROWS(nombres[])-1,0,1,1))+1),$O1547:$O1566),3),"")</f>
        <v/>
      </c>
      <c r="ML1547" s="42" t="str">
        <f t="array" aca="1" ref="ML1547" ca="1">IFERROR(INDEX(nombres[],SMALL(IF(OFFSET(nombres[],0,0,ROWS(nombres[]),1)=ML$1490,ROW(OFFSET(nombres[],0,0,ROWS(nombres[]),1))-ROW(OFFSET(nombres[],0,0,1,1))+1,ROW(OFFSET(nombres[],ROWS(nombres[])-1,0,1,1))+1),$O1547:$O1566),3),"")</f>
        <v/>
      </c>
      <c r="MM1547" s="42" t="str">
        <f t="array" aca="1" ref="MM1547" ca="1">IFERROR(INDEX(nombres[],SMALL(IF(OFFSET(nombres[],0,0,ROWS(nombres[]),1)=MM$1490,ROW(OFFSET(nombres[],0,0,ROWS(nombres[]),1))-ROW(OFFSET(nombres[],0,0,1,1))+1,ROW(OFFSET(nombres[],ROWS(nombres[])-1,0,1,1))+1),$O1547:$O1566),3),"")</f>
        <v/>
      </c>
      <c r="MN1547" s="42" t="str">
        <f t="array" aca="1" ref="MN1547" ca="1">IFERROR(INDEX(nombres[],SMALL(IF(OFFSET(nombres[],0,0,ROWS(nombres[]),1)=MN$1490,ROW(OFFSET(nombres[],0,0,ROWS(nombres[]),1))-ROW(OFFSET(nombres[],0,0,1,1))+1,ROW(OFFSET(nombres[],ROWS(nombres[])-1,0,1,1))+1),$O1547:$O1566),3),"")</f>
        <v/>
      </c>
      <c r="MO1547" s="42" t="str">
        <f t="array" aca="1" ref="MO1547" ca="1">IFERROR(INDEX(nombres[],SMALL(IF(OFFSET(nombres[],0,0,ROWS(nombres[]),1)=MO$1490,ROW(OFFSET(nombres[],0,0,ROWS(nombres[]),1))-ROW(OFFSET(nombres[],0,0,1,1))+1,ROW(OFFSET(nombres[],ROWS(nombres[])-1,0,1,1))+1),$O1547:$O1566),3),"")</f>
        <v/>
      </c>
      <c r="MP1547" s="42" t="str">
        <f t="array" aca="1" ref="MP1547" ca="1">IFERROR(INDEX(nombres[],SMALL(IF(OFFSET(nombres[],0,0,ROWS(nombres[]),1)=MP$1490,ROW(OFFSET(nombres[],0,0,ROWS(nombres[]),1))-ROW(OFFSET(nombres[],0,0,1,1))+1,ROW(OFFSET(nombres[],ROWS(nombres[])-1,0,1,1))+1),$O1547:$O1566),3),"")</f>
        <v/>
      </c>
      <c r="MQ1547" s="42" t="str">
        <f t="array" aca="1" ref="MQ1547" ca="1">IFERROR(INDEX(nombres[],SMALL(IF(OFFSET(nombres[],0,0,ROWS(nombres[]),1)=MQ$1490,ROW(OFFSET(nombres[],0,0,ROWS(nombres[]),1))-ROW(OFFSET(nombres[],0,0,1,1))+1,ROW(OFFSET(nombres[],ROWS(nombres[])-1,0,1,1))+1),$O1547:$O1566),3),"")</f>
        <v/>
      </c>
      <c r="MR1547" s="42" t="str">
        <f t="array" aca="1" ref="MR1547" ca="1">IFERROR(INDEX(nombres[],SMALL(IF(OFFSET(nombres[],0,0,ROWS(nombres[]),1)=MR$1490,ROW(OFFSET(nombres[],0,0,ROWS(nombres[]),1))-ROW(OFFSET(nombres[],0,0,1,1))+1,ROW(OFFSET(nombres[],ROWS(nombres[])-1,0,1,1))+1),$O1547:$O1566),3),"")</f>
        <v/>
      </c>
      <c r="MS1547" s="42" t="str">
        <f t="array" aca="1" ref="MS1547" ca="1">IFERROR(INDEX(nombres[],SMALL(IF(OFFSET(nombres[],0,0,ROWS(nombres[]),1)=MS$1490,ROW(OFFSET(nombres[],0,0,ROWS(nombres[]),1))-ROW(OFFSET(nombres[],0,0,1,1))+1,ROW(OFFSET(nombres[],ROWS(nombres[])-1,0,1,1))+1),$O1547:$O1566),3),"")</f>
        <v/>
      </c>
      <c r="MT1547" s="42" t="str">
        <f t="array" aca="1" ref="MT1547" ca="1">IFERROR(INDEX(nombres[],SMALL(IF(OFFSET(nombres[],0,0,ROWS(nombres[]),1)=MT$1490,ROW(OFFSET(nombres[],0,0,ROWS(nombres[]),1))-ROW(OFFSET(nombres[],0,0,1,1))+1,ROW(OFFSET(nombres[],ROWS(nombres[])-1,0,1,1))+1),$O1547:$O1566),3),"")</f>
        <v/>
      </c>
      <c r="MU1547" s="42" t="str">
        <f t="array" aca="1" ref="MU1547" ca="1">IFERROR(INDEX(nombres[],SMALL(IF(OFFSET(nombres[],0,0,ROWS(nombres[]),1)=MU$1490,ROW(OFFSET(nombres[],0,0,ROWS(nombres[]),1))-ROW(OFFSET(nombres[],0,0,1,1))+1,ROW(OFFSET(nombres[],ROWS(nombres[])-1,0,1,1))+1),$O1547:$O1566),3),"")</f>
        <v/>
      </c>
      <c r="MV1547" s="42" t="str">
        <f t="array" aca="1" ref="MV1547" ca="1">IFERROR(INDEX(nombres[],SMALL(IF(OFFSET(nombres[],0,0,ROWS(nombres[]),1)=MV$1490,ROW(OFFSET(nombres[],0,0,ROWS(nombres[]),1))-ROW(OFFSET(nombres[],0,0,1,1))+1,ROW(OFFSET(nombres[],ROWS(nombres[])-1,0,1,1))+1),$O1547:$O1566),3),"")</f>
        <v/>
      </c>
      <c r="MW1547" s="42" t="str">
        <f t="array" aca="1" ref="MW1547" ca="1">IFERROR(INDEX(nombres[],SMALL(IF(OFFSET(nombres[],0,0,ROWS(nombres[]),1)=MW$1490,ROW(OFFSET(nombres[],0,0,ROWS(nombres[]),1))-ROW(OFFSET(nombres[],0,0,1,1))+1,ROW(OFFSET(nombres[],ROWS(nombres[])-1,0,1,1))+1),$O1547:$O1566),3),"")</f>
        <v/>
      </c>
      <c r="MX1547" s="42" t="str">
        <f t="array" aca="1" ref="MX1547" ca="1">IFERROR(INDEX(nombres[],SMALL(IF(OFFSET(nombres[],0,0,ROWS(nombres[]),1)=MX$1490,ROW(OFFSET(nombres[],0,0,ROWS(nombres[]),1))-ROW(OFFSET(nombres[],0,0,1,1))+1,ROW(OFFSET(nombres[],ROWS(nombres[])-1,0,1,1))+1),$O1547:$O1566),3),"")</f>
        <v/>
      </c>
      <c r="MY1547" s="42" t="str">
        <f t="array" aca="1" ref="MY1547" ca="1">IFERROR(INDEX(nombres[],SMALL(IF(OFFSET(nombres[],0,0,ROWS(nombres[]),1)=MY$1490,ROW(OFFSET(nombres[],0,0,ROWS(nombres[]),1))-ROW(OFFSET(nombres[],0,0,1,1))+1,ROW(OFFSET(nombres[],ROWS(nombres[])-1,0,1,1))+1),$O1547:$O1566),3),"")</f>
        <v/>
      </c>
      <c r="MZ1547" s="42" t="str">
        <f t="array" aca="1" ref="MZ1547" ca="1">IFERROR(INDEX(nombres[],SMALL(IF(OFFSET(nombres[],0,0,ROWS(nombres[]),1)=MZ$1490,ROW(OFFSET(nombres[],0,0,ROWS(nombres[]),1))-ROW(OFFSET(nombres[],0,0,1,1))+1,ROW(OFFSET(nombres[],ROWS(nombres[])-1,0,1,1))+1),$O1547:$O1566),3),"")</f>
        <v/>
      </c>
      <c r="NA1547" s="42" t="str">
        <f t="array" aca="1" ref="NA1547" ca="1">IFERROR(INDEX(nombres[],SMALL(IF(OFFSET(nombres[],0,0,ROWS(nombres[]),1)=NA$1490,ROW(OFFSET(nombres[],0,0,ROWS(nombres[]),1))-ROW(OFFSET(nombres[],0,0,1,1))+1,ROW(OFFSET(nombres[],ROWS(nombres[])-1,0,1,1))+1),$O1547:$O1566),3),"")</f>
        <v/>
      </c>
      <c r="NB1547" s="42" t="str">
        <f t="array" aca="1" ref="NB1547" ca="1">IFERROR(INDEX(nombres[],SMALL(IF(OFFSET(nombres[],0,0,ROWS(nombres[]),1)=NB$1490,ROW(OFFSET(nombres[],0,0,ROWS(nombres[]),1))-ROW(OFFSET(nombres[],0,0,1,1))+1,ROW(OFFSET(nombres[],ROWS(nombres[])-1,0,1,1))+1),$O1547:$O1566),3),"")</f>
        <v/>
      </c>
      <c r="NC1547" s="42" t="str">
        <f t="array" aca="1" ref="NC1547" ca="1">IFERROR(INDEX(nombres[],SMALL(IF(OFFSET(nombres[],0,0,ROWS(nombres[]),1)=NC$1490,ROW(OFFSET(nombres[],0,0,ROWS(nombres[]),1))-ROW(OFFSET(nombres[],0,0,1,1))+1,ROW(OFFSET(nombres[],ROWS(nombres[])-1,0,1,1))+1),$O1547:$O1566),3),"")</f>
        <v/>
      </c>
      <c r="ND1547" s="42" t="str">
        <f t="array" aca="1" ref="ND1547" ca="1">IFERROR(INDEX(nombres[],SMALL(IF(OFFSET(nombres[],0,0,ROWS(nombres[]),1)=ND$1490,ROW(OFFSET(nombres[],0,0,ROWS(nombres[]),1))-ROW(OFFSET(nombres[],0,0,1,1))+1,ROW(OFFSET(nombres[],ROWS(nombres[])-1,0,1,1))+1),$O1547:$O1566),3),"")</f>
        <v/>
      </c>
      <c r="NE1547" s="42" t="str">
        <f t="array" aca="1" ref="NE1547" ca="1">IFERROR(INDEX(nombres[],SMALL(IF(OFFSET(nombres[],0,0,ROWS(nombres[]),1)=NE$1490,ROW(OFFSET(nombres[],0,0,ROWS(nombres[]),1))-ROW(OFFSET(nombres[],0,0,1,1))+1,ROW(OFFSET(nombres[],ROWS(nombres[])-1,0,1,1))+1),$O1547:$O1566),3),"")</f>
        <v/>
      </c>
      <c r="NF1547" s="42" t="str">
        <f t="array" aca="1" ref="NF1547" ca="1">IFERROR(INDEX(nombres[],SMALL(IF(OFFSET(nombres[],0,0,ROWS(nombres[]),1)=NF$1490,ROW(OFFSET(nombres[],0,0,ROWS(nombres[]),1))-ROW(OFFSET(nombres[],0,0,1,1))+1,ROW(OFFSET(nombres[],ROWS(nombres[])-1,0,1,1))+1),$O1547:$O1566),3),"")</f>
        <v/>
      </c>
      <c r="NG1547" s="42" t="str">
        <f t="array" aca="1" ref="NG1547" ca="1">IFERROR(INDEX(nombres[],SMALL(IF(OFFSET(nombres[],0,0,ROWS(nombres[]),1)=NG$1490,ROW(OFFSET(nombres[],0,0,ROWS(nombres[]),1))-ROW(OFFSET(nombres[],0,0,1,1))+1,ROW(OFFSET(nombres[],ROWS(nombres[])-1,0,1,1))+1),$O1547:$O1566),3),"")</f>
        <v/>
      </c>
      <c r="NH1547" s="42" t="str">
        <f t="array" aca="1" ref="NH1547" ca="1">IFERROR(INDEX(nombres[],SMALL(IF(OFFSET(nombres[],0,0,ROWS(nombres[]),1)=NH$1490,ROW(OFFSET(nombres[],0,0,ROWS(nombres[]),1))-ROW(OFFSET(nombres[],0,0,1,1))+1,ROW(OFFSET(nombres[],ROWS(nombres[])-1,0,1,1))+1),$O1547:$O1566),3),"")</f>
        <v/>
      </c>
      <c r="NI1547" s="42" t="str">
        <f t="array" aca="1" ref="NI1547" ca="1">IFERROR(INDEX(nombres[],SMALL(IF(OFFSET(nombres[],0,0,ROWS(nombres[]),1)=NI$1490,ROW(OFFSET(nombres[],0,0,ROWS(nombres[]),1))-ROW(OFFSET(nombres[],0,0,1,1))+1,ROW(OFFSET(nombres[],ROWS(nombres[])-1,0,1,1))+1),$O1547:$O1566),3),"")</f>
        <v/>
      </c>
      <c r="NJ1547" s="42" t="str">
        <f t="array" aca="1" ref="NJ1547" ca="1">IFERROR(INDEX(nombres[],SMALL(IF(OFFSET(nombres[],0,0,ROWS(nombres[]),1)=NJ$1490,ROW(OFFSET(nombres[],0,0,ROWS(nombres[]),1))-ROW(OFFSET(nombres[],0,0,1,1))+1,ROW(OFFSET(nombres[],ROWS(nombres[])-1,0,1,1))+1),$O1547:$O1566),3),"")</f>
        <v/>
      </c>
      <c r="NK1547" s="42" t="str">
        <f t="array" aca="1" ref="NK1547" ca="1">IFERROR(INDEX(nombres[],SMALL(IF(OFFSET(nombres[],0,0,ROWS(nombres[]),1)=NK$1490,ROW(OFFSET(nombres[],0,0,ROWS(nombres[]),1))-ROW(OFFSET(nombres[],0,0,1,1))+1,ROW(OFFSET(nombres[],ROWS(nombres[])-1,0,1,1))+1),$O1547:$O1566),3),"")</f>
        <v/>
      </c>
      <c r="NL1547" s="42" t="str">
        <f t="array" aca="1" ref="NL1547" ca="1">IFERROR(INDEX(nombres[],SMALL(IF(OFFSET(nombres[],0,0,ROWS(nombres[]),1)=NL$1490,ROW(OFFSET(nombres[],0,0,ROWS(nombres[]),1))-ROW(OFFSET(nombres[],0,0,1,1))+1,ROW(OFFSET(nombres[],ROWS(nombres[])-1,0,1,1))+1),$O1547:$O1566),3),"")</f>
        <v/>
      </c>
      <c r="NM1547" s="42" t="str">
        <f t="array" aca="1" ref="NM1547" ca="1">IFERROR(INDEX(nombres[],SMALL(IF(OFFSET(nombres[],0,0,ROWS(nombres[]),1)=NM$1490,ROW(OFFSET(nombres[],0,0,ROWS(nombres[]),1))-ROW(OFFSET(nombres[],0,0,1,1))+1,ROW(OFFSET(nombres[],ROWS(nombres[])-1,0,1,1))+1),$O1547:$O1566),3),"")</f>
        <v/>
      </c>
      <c r="NN1547" s="42" t="str">
        <f t="array" aca="1" ref="NN1547" ca="1">IFERROR(INDEX(nombres[],SMALL(IF(OFFSET(nombres[],0,0,ROWS(nombres[]),1)=NN$1490,ROW(OFFSET(nombres[],0,0,ROWS(nombres[]),1))-ROW(OFFSET(nombres[],0,0,1,1))+1,ROW(OFFSET(nombres[],ROWS(nombres[])-1,0,1,1))+1),$O1547:$O1566),3),"")</f>
        <v/>
      </c>
      <c r="NO1547" s="42" t="str">
        <f t="array" aca="1" ref="NO1547" ca="1">IFERROR(INDEX(nombres[],SMALL(IF(OFFSET(nombres[],0,0,ROWS(nombres[]),1)=NO$1490,ROW(OFFSET(nombres[],0,0,ROWS(nombres[]),1))-ROW(OFFSET(nombres[],0,0,1,1))+1,ROW(OFFSET(nombres[],ROWS(nombres[])-1,0,1,1))+1),$O1547:$O1566),3),"")</f>
        <v/>
      </c>
      <c r="NP1547" s="42" t="str">
        <f t="array" aca="1" ref="NP1547" ca="1">IFERROR(INDEX(nombres[],SMALL(IF(OFFSET(nombres[],0,0,ROWS(nombres[]),1)=NP$1490,ROW(OFFSET(nombres[],0,0,ROWS(nombres[]),1))-ROW(OFFSET(nombres[],0,0,1,1))+1,ROW(OFFSET(nombres[],ROWS(nombres[])-1,0,1,1))+1),$O1547:$O1566),3),"")</f>
        <v/>
      </c>
      <c r="NQ1547" s="42" t="str">
        <f t="array" aca="1" ref="NQ1547" ca="1">IFERROR(INDEX(nombres[],SMALL(IF(OFFSET(nombres[],0,0,ROWS(nombres[]),1)=NQ$1490,ROW(OFFSET(nombres[],0,0,ROWS(nombres[]),1))-ROW(OFFSET(nombres[],0,0,1,1))+1,ROW(OFFSET(nombres[],ROWS(nombres[])-1,0,1,1))+1),$O1547:$O1566),3),"")</f>
        <v/>
      </c>
      <c r="NR1547" s="42" t="str">
        <f t="array" aca="1" ref="NR1547" ca="1">IFERROR(INDEX(nombres[],SMALL(IF(OFFSET(nombres[],0,0,ROWS(nombres[]),1)=NR$1490,ROW(OFFSET(nombres[],0,0,ROWS(nombres[]),1))-ROW(OFFSET(nombres[],0,0,1,1))+1,ROW(OFFSET(nombres[],ROWS(nombres[])-1,0,1,1))+1),$O1547:$O1566),3),"")</f>
        <v/>
      </c>
      <c r="NS1547" s="42" t="str">
        <f t="array" aca="1" ref="NS1547" ca="1">IFERROR(INDEX(nombres[],SMALL(IF(OFFSET(nombres[],0,0,ROWS(nombres[]),1)=NS$1490,ROW(OFFSET(nombres[],0,0,ROWS(nombres[]),1))-ROW(OFFSET(nombres[],0,0,1,1))+1,ROW(OFFSET(nombres[],ROWS(nombres[])-1,0,1,1))+1),$O1547:$O1566),3),"")</f>
        <v/>
      </c>
      <c r="NT1547" s="42" t="str">
        <f t="array" aca="1" ref="NT1547" ca="1">IFERROR(INDEX(nombres[],SMALL(IF(OFFSET(nombres[],0,0,ROWS(nombres[]),1)=NT$1490,ROW(OFFSET(nombres[],0,0,ROWS(nombres[]),1))-ROW(OFFSET(nombres[],0,0,1,1))+1,ROW(OFFSET(nombres[],ROWS(nombres[])-1,0,1,1))+1),$O1547:$O1566),3),"")</f>
        <v/>
      </c>
      <c r="NU1547" s="42" t="str">
        <f t="array" aca="1" ref="NU1547" ca="1">IFERROR(INDEX(nombres[],SMALL(IF(OFFSET(nombres[],0,0,ROWS(nombres[]),1)=NU$1490,ROW(OFFSET(nombres[],0,0,ROWS(nombres[]),1))-ROW(OFFSET(nombres[],0,0,1,1))+1,ROW(OFFSET(nombres[],ROWS(nombres[])-1,0,1,1))+1),$O1547:$O1566),3),"")</f>
        <v/>
      </c>
      <c r="NV1547" s="42" t="str">
        <f t="array" aca="1" ref="NV1547" ca="1">IFERROR(INDEX(nombres[],SMALL(IF(OFFSET(nombres[],0,0,ROWS(nombres[]),1)=NV$1490,ROW(OFFSET(nombres[],0,0,ROWS(nombres[]),1))-ROW(OFFSET(nombres[],0,0,1,1))+1,ROW(OFFSET(nombres[],ROWS(nombres[])-1,0,1,1))+1),$O1547:$O1566),3),"")</f>
        <v/>
      </c>
      <c r="NW1547" s="42" t="str">
        <f t="array" aca="1" ref="NW1547" ca="1">IFERROR(INDEX(nombres[],SMALL(IF(OFFSET(nombres[],0,0,ROWS(nombres[]),1)=NW$1490,ROW(OFFSET(nombres[],0,0,ROWS(nombres[]),1))-ROW(OFFSET(nombres[],0,0,1,1))+1,ROW(OFFSET(nombres[],ROWS(nombres[])-1,0,1,1))+1),$O1547:$O1566),3),"")</f>
        <v/>
      </c>
      <c r="NX1547" s="42" t="str">
        <f t="array" aca="1" ref="NX1547" ca="1">IFERROR(INDEX(nombres[],SMALL(IF(OFFSET(nombres[],0,0,ROWS(nombres[]),1)=NX$1490,ROW(OFFSET(nombres[],0,0,ROWS(nombres[]),1))-ROW(OFFSET(nombres[],0,0,1,1))+1,ROW(OFFSET(nombres[],ROWS(nombres[])-1,0,1,1))+1),$O1547:$O1566),3),"")</f>
        <v/>
      </c>
      <c r="NY1547" s="42" t="str">
        <f t="array" aca="1" ref="NY1547" ca="1">IFERROR(INDEX(nombres[],SMALL(IF(OFFSET(nombres[],0,0,ROWS(nombres[]),1)=NY$1490,ROW(OFFSET(nombres[],0,0,ROWS(nombres[]),1))-ROW(OFFSET(nombres[],0,0,1,1))+1,ROW(OFFSET(nombres[],ROWS(nombres[])-1,0,1,1))+1),$O1547:$O1566),3),"")</f>
        <v/>
      </c>
      <c r="NZ1547" s="42" t="str">
        <f t="array" aca="1" ref="NZ1547" ca="1">IFERROR(INDEX(nombres[],SMALL(IF(OFFSET(nombres[],0,0,ROWS(nombres[]),1)=NZ$1490,ROW(OFFSET(nombres[],0,0,ROWS(nombres[]),1))-ROW(OFFSET(nombres[],0,0,1,1))+1,ROW(OFFSET(nombres[],ROWS(nombres[])-1,0,1,1))+1),$O1547:$O1566),3),"")</f>
        <v/>
      </c>
      <c r="OA1547" s="42" t="str">
        <f t="array" aca="1" ref="OA1547" ca="1">IFERROR(INDEX(nombres[],SMALL(IF(OFFSET(nombres[],0,0,ROWS(nombres[]),1)=OA$1490,ROW(OFFSET(nombres[],0,0,ROWS(nombres[]),1))-ROW(OFFSET(nombres[],0,0,1,1))+1,ROW(OFFSET(nombres[],ROWS(nombres[])-1,0,1,1))+1),$O1547:$O1566),3),"")</f>
        <v/>
      </c>
      <c r="OB1547" s="42" t="str">
        <f t="array" aca="1" ref="OB1547" ca="1">IFERROR(INDEX(nombres[],SMALL(IF(OFFSET(nombres[],0,0,ROWS(nombres[]),1)=OB$1490,ROW(OFFSET(nombres[],0,0,ROWS(nombres[]),1))-ROW(OFFSET(nombres[],0,0,1,1))+1,ROW(OFFSET(nombres[],ROWS(nombres[])-1,0,1,1))+1),$O1547:$O1566),3),"")</f>
        <v/>
      </c>
      <c r="OC1547" s="42" t="str">
        <f t="array" aca="1" ref="OC1547" ca="1">IFERROR(INDEX(nombres[],SMALL(IF(OFFSET(nombres[],0,0,ROWS(nombres[]),1)=OC$1490,ROW(OFFSET(nombres[],0,0,ROWS(nombres[]),1))-ROW(OFFSET(nombres[],0,0,1,1))+1,ROW(OFFSET(nombres[],ROWS(nombres[])-1,0,1,1))+1),$O1547:$O1566),3),"")</f>
        <v/>
      </c>
      <c r="OD1547" s="42" t="str">
        <f t="array" aca="1" ref="OD1547" ca="1">IFERROR(INDEX(nombres[],SMALL(IF(OFFSET(nombres[],0,0,ROWS(nombres[]),1)=OD$1490,ROW(OFFSET(nombres[],0,0,ROWS(nombres[]),1))-ROW(OFFSET(nombres[],0,0,1,1))+1,ROW(OFFSET(nombres[],ROWS(nombres[])-1,0,1,1))+1),$O1547:$O1566),3),"")</f>
        <v/>
      </c>
      <c r="OE1547" s="42" t="str">
        <f t="array" aca="1" ref="OE1547" ca="1">IFERROR(INDEX(nombres[],SMALL(IF(OFFSET(nombres[],0,0,ROWS(nombres[]),1)=OE$1490,ROW(OFFSET(nombres[],0,0,ROWS(nombres[]),1))-ROW(OFFSET(nombres[],0,0,1,1))+1,ROW(OFFSET(nombres[],ROWS(nombres[])-1,0,1,1))+1),$O1547:$O1566),3),"")</f>
        <v/>
      </c>
      <c r="OF1547" s="42" t="str">
        <f t="array" aca="1" ref="OF1547" ca="1">IFERROR(INDEX(nombres[],SMALL(IF(OFFSET(nombres[],0,0,ROWS(nombres[]),1)=OF$1490,ROW(OFFSET(nombres[],0,0,ROWS(nombres[]),1))-ROW(OFFSET(nombres[],0,0,1,1))+1,ROW(OFFSET(nombres[],ROWS(nombres[])-1,0,1,1))+1),$O1547:$O1566),3),"")</f>
        <v/>
      </c>
      <c r="OG1547" s="42" t="str">
        <f t="array" aca="1" ref="OG1547" ca="1">IFERROR(INDEX(nombres[],SMALL(IF(OFFSET(nombres[],0,0,ROWS(nombres[]),1)=OG$1490,ROW(OFFSET(nombres[],0,0,ROWS(nombres[]),1))-ROW(OFFSET(nombres[],0,0,1,1))+1,ROW(OFFSET(nombres[],ROWS(nombres[])-1,0,1,1))+1),$O1547:$O1566),3),"")</f>
        <v/>
      </c>
      <c r="OH1547" s="42" t="str">
        <f t="array" aca="1" ref="OH1547" ca="1">IFERROR(INDEX(nombres[],SMALL(IF(OFFSET(nombres[],0,0,ROWS(nombres[]),1)=OH$1490,ROW(OFFSET(nombres[],0,0,ROWS(nombres[]),1))-ROW(OFFSET(nombres[],0,0,1,1))+1,ROW(OFFSET(nombres[],ROWS(nombres[])-1,0,1,1))+1),$O1547:$O1566),3),"")</f>
        <v/>
      </c>
      <c r="OI1547" s="42" t="str">
        <f t="array" aca="1" ref="OI1547" ca="1">IFERROR(INDEX(nombres[],SMALL(IF(OFFSET(nombres[],0,0,ROWS(nombres[]),1)=OI$1490,ROW(OFFSET(nombres[],0,0,ROWS(nombres[]),1))-ROW(OFFSET(nombres[],0,0,1,1))+1,ROW(OFFSET(nombres[],ROWS(nombres[])-1,0,1,1))+1),$O1547:$O1566),3),"")</f>
        <v/>
      </c>
      <c r="OJ1547" s="42" t="str">
        <f t="array" aca="1" ref="OJ1547" ca="1">IFERROR(INDEX(nombres[],SMALL(IF(OFFSET(nombres[],0,0,ROWS(nombres[]),1)=OJ$1490,ROW(OFFSET(nombres[],0,0,ROWS(nombres[]),1))-ROW(OFFSET(nombres[],0,0,1,1))+1,ROW(OFFSET(nombres[],ROWS(nombres[])-1,0,1,1))+1),$O1547:$O1566),3),"")</f>
        <v/>
      </c>
      <c r="OK1547" s="42" t="str">
        <f t="array" aca="1" ref="OK1547" ca="1">IFERROR(INDEX(nombres[],SMALL(IF(OFFSET(nombres[],0,0,ROWS(nombres[]),1)=OK$1490,ROW(OFFSET(nombres[],0,0,ROWS(nombres[]),1))-ROW(OFFSET(nombres[],0,0,1,1))+1,ROW(OFFSET(nombres[],ROWS(nombres[])-1,0,1,1))+1),$O1547:$O1566),3),"")</f>
        <v/>
      </c>
      <c r="OL1547" s="42" t="str">
        <f t="array" aca="1" ref="OL1547" ca="1">IFERROR(INDEX(nombres[],SMALL(IF(OFFSET(nombres[],0,0,ROWS(nombres[]),1)=OL$1490,ROW(OFFSET(nombres[],0,0,ROWS(nombres[]),1))-ROW(OFFSET(nombres[],0,0,1,1))+1,ROW(OFFSET(nombres[],ROWS(nombres[])-1,0,1,1))+1),$O1547:$O1566),3),"")</f>
        <v/>
      </c>
      <c r="OM1547" s="42" t="str">
        <f t="array" aca="1" ref="OM1547" ca="1">IFERROR(INDEX(nombres[],SMALL(IF(OFFSET(nombres[],0,0,ROWS(nombres[]),1)=OM$1490,ROW(OFFSET(nombres[],0,0,ROWS(nombres[]),1))-ROW(OFFSET(nombres[],0,0,1,1))+1,ROW(OFFSET(nombres[],ROWS(nombres[])-1,0,1,1))+1),$O1547:$O1566),3),"")</f>
        <v/>
      </c>
      <c r="ON1547" s="42" t="str">
        <f t="array" aca="1" ref="ON1547" ca="1">IFERROR(INDEX(nombres[],SMALL(IF(OFFSET(nombres[],0,0,ROWS(nombres[]),1)=ON$1490,ROW(OFFSET(nombres[],0,0,ROWS(nombres[]),1))-ROW(OFFSET(nombres[],0,0,1,1))+1,ROW(OFFSET(nombres[],ROWS(nombres[])-1,0,1,1))+1),$O1547:$O1566),3),"")</f>
        <v/>
      </c>
      <c r="OO1547" s="42" t="str">
        <f t="array" aca="1" ref="OO1547" ca="1">IFERROR(INDEX(nombres[],SMALL(IF(OFFSET(nombres[],0,0,ROWS(nombres[]),1)=OO$1490,ROW(OFFSET(nombres[],0,0,ROWS(nombres[]),1))-ROW(OFFSET(nombres[],0,0,1,1))+1,ROW(OFFSET(nombres[],ROWS(nombres[])-1,0,1,1))+1),$O1547:$O1566),3),"")</f>
        <v/>
      </c>
      <c r="OP1547" s="42" t="str">
        <f t="array" aca="1" ref="OP1547" ca="1">IFERROR(INDEX(nombres[],SMALL(IF(OFFSET(nombres[],0,0,ROWS(nombres[]),1)=OP$1490,ROW(OFFSET(nombres[],0,0,ROWS(nombres[]),1))-ROW(OFFSET(nombres[],0,0,1,1))+1,ROW(OFFSET(nombres[],ROWS(nombres[])-1,0,1,1))+1),$O1547:$O1566),3),"")</f>
        <v/>
      </c>
      <c r="OQ1547" s="42" t="str">
        <f t="array" aca="1" ref="OQ1547" ca="1">IFERROR(INDEX(nombres[],SMALL(IF(OFFSET(nombres[],0,0,ROWS(nombres[]),1)=OQ$1490,ROW(OFFSET(nombres[],0,0,ROWS(nombres[]),1))-ROW(OFFSET(nombres[],0,0,1,1))+1,ROW(OFFSET(nombres[],ROWS(nombres[])-1,0,1,1))+1),$O1547:$O1566),3),"")</f>
        <v/>
      </c>
      <c r="OR1547" s="42" t="str">
        <f t="array" aca="1" ref="OR1547" ca="1">IFERROR(INDEX(nombres[],SMALL(IF(OFFSET(nombres[],0,0,ROWS(nombres[]),1)=OR$1490,ROW(OFFSET(nombres[],0,0,ROWS(nombres[]),1))-ROW(OFFSET(nombres[],0,0,1,1))+1,ROW(OFFSET(nombres[],ROWS(nombres[])-1,0,1,1))+1),$O1547:$O1566),3),"")</f>
        <v/>
      </c>
      <c r="OS1547" s="42" t="str">
        <f t="array" aca="1" ref="OS1547" ca="1">IFERROR(INDEX(nombres[],SMALL(IF(OFFSET(nombres[],0,0,ROWS(nombres[]),1)=OS$1490,ROW(OFFSET(nombres[],0,0,ROWS(nombres[]),1))-ROW(OFFSET(nombres[],0,0,1,1))+1,ROW(OFFSET(nombres[],ROWS(nombres[])-1,0,1,1))+1),$O1547:$O1566),3),"")</f>
        <v/>
      </c>
      <c r="OT1547" s="42" t="str">
        <f t="array" aca="1" ref="OT1547" ca="1">IFERROR(INDEX(nombres[],SMALL(IF(OFFSET(nombres[],0,0,ROWS(nombres[]),1)=OT$1490,ROW(OFFSET(nombres[],0,0,ROWS(nombres[]),1))-ROW(OFFSET(nombres[],0,0,1,1))+1,ROW(OFFSET(nombres[],ROWS(nombres[])-1,0,1,1))+1),$O1547:$O1566),3),"")</f>
        <v/>
      </c>
      <c r="OU1547" s="42" t="str">
        <f t="array" aca="1" ref="OU1547" ca="1">IFERROR(INDEX(nombres[],SMALL(IF(OFFSET(nombres[],0,0,ROWS(nombres[]),1)=OU$1490,ROW(OFFSET(nombres[],0,0,ROWS(nombres[]),1))-ROW(OFFSET(nombres[],0,0,1,1))+1,ROW(OFFSET(nombres[],ROWS(nombres[])-1,0,1,1))+1),$O1547:$O1566),3),"")</f>
        <v/>
      </c>
      <c r="OV1547" s="42" t="str">
        <f t="array" aca="1" ref="OV1547" ca="1">IFERROR(INDEX(nombres[],SMALL(IF(OFFSET(nombres[],0,0,ROWS(nombres[]),1)=OV$1490,ROW(OFFSET(nombres[],0,0,ROWS(nombres[]),1))-ROW(OFFSET(nombres[],0,0,1,1))+1,ROW(OFFSET(nombres[],ROWS(nombres[])-1,0,1,1))+1),$O1547:$O1566),3),"")</f>
        <v/>
      </c>
      <c r="OW1547" s="42" t="str">
        <f t="array" aca="1" ref="OW1547" ca="1">IFERROR(INDEX(nombres[],SMALL(IF(OFFSET(nombres[],0,0,ROWS(nombres[]),1)=OW$1490,ROW(OFFSET(nombres[],0,0,ROWS(nombres[]),1))-ROW(OFFSET(nombres[],0,0,1,1))+1,ROW(OFFSET(nombres[],ROWS(nombres[])-1,0,1,1))+1),$O1547:$O1566),3),"")</f>
        <v/>
      </c>
      <c r="OX1547" s="42" t="str">
        <f t="array" aca="1" ref="OX1547" ca="1">IFERROR(INDEX(nombres[],SMALL(IF(OFFSET(nombres[],0,0,ROWS(nombres[]),1)=OX$1490,ROW(OFFSET(nombres[],0,0,ROWS(nombres[]),1))-ROW(OFFSET(nombres[],0,0,1,1))+1,ROW(OFFSET(nombres[],ROWS(nombres[])-1,0,1,1))+1),$O1547:$O1566),3),"")</f>
        <v/>
      </c>
      <c r="OY1547" s="42" t="str">
        <f t="array" aca="1" ref="OY1547" ca="1">IFERROR(INDEX(nombres[],SMALL(IF(OFFSET(nombres[],0,0,ROWS(nombres[]),1)=OY$1490,ROW(OFFSET(nombres[],0,0,ROWS(nombres[]),1))-ROW(OFFSET(nombres[],0,0,1,1))+1,ROW(OFFSET(nombres[],ROWS(nombres[])-1,0,1,1))+1),$O1547:$O1566),3),"")</f>
        <v/>
      </c>
      <c r="OZ1547" s="42" t="str">
        <f t="array" aca="1" ref="OZ1547" ca="1">IFERROR(INDEX(nombres[],SMALL(IF(OFFSET(nombres[],0,0,ROWS(nombres[]),1)=OZ$1490,ROW(OFFSET(nombres[],0,0,ROWS(nombres[]),1))-ROW(OFFSET(nombres[],0,0,1,1))+1,ROW(OFFSET(nombres[],ROWS(nombres[])-1,0,1,1))+1),$O1547:$O1566),3),"")</f>
        <v/>
      </c>
      <c r="PA1547" s="42" t="str">
        <f t="array" aca="1" ref="PA1547" ca="1">IFERROR(INDEX(nombres[],SMALL(IF(OFFSET(nombres[],0,0,ROWS(nombres[]),1)=PA$1490,ROW(OFFSET(nombres[],0,0,ROWS(nombres[]),1))-ROW(OFFSET(nombres[],0,0,1,1))+1,ROW(OFFSET(nombres[],ROWS(nombres[])-1,0,1,1))+1),$O1547:$O1566),3),"")</f>
        <v/>
      </c>
      <c r="PB1547" s="42" t="str">
        <f t="array" aca="1" ref="PB1547" ca="1">IFERROR(INDEX(nombres[],SMALL(IF(OFFSET(nombres[],0,0,ROWS(nombres[]),1)=PB$1490,ROW(OFFSET(nombres[],0,0,ROWS(nombres[]),1))-ROW(OFFSET(nombres[],0,0,1,1))+1,ROW(OFFSET(nombres[],ROWS(nombres[])-1,0,1,1))+1),$O1547:$O1566),3),"")</f>
        <v/>
      </c>
      <c r="PC1547" s="42" t="str">
        <f t="array" aca="1" ref="PC1547" ca="1">IFERROR(INDEX(nombres[],SMALL(IF(OFFSET(nombres[],0,0,ROWS(nombres[]),1)=PC$1490,ROW(OFFSET(nombres[],0,0,ROWS(nombres[]),1))-ROW(OFFSET(nombres[],0,0,1,1))+1,ROW(OFFSET(nombres[],ROWS(nombres[])-1,0,1,1))+1),$O1547:$O1566),3),"")</f>
        <v/>
      </c>
      <c r="PD1547" s="42" t="str">
        <f t="array" aca="1" ref="PD1547" ca="1">IFERROR(INDEX(nombres[],SMALL(IF(OFFSET(nombres[],0,0,ROWS(nombres[]),1)=PD$1490,ROW(OFFSET(nombres[],0,0,ROWS(nombres[]),1))-ROW(OFFSET(nombres[],0,0,1,1))+1,ROW(OFFSET(nombres[],ROWS(nombres[])-1,0,1,1))+1),$O1547:$O1566),3),"")</f>
        <v/>
      </c>
      <c r="PE1547" s="42" t="str">
        <f t="array" aca="1" ref="PE1547" ca="1">IFERROR(INDEX(nombres[],SMALL(IF(OFFSET(nombres[],0,0,ROWS(nombres[]),1)=PE$1490,ROW(OFFSET(nombres[],0,0,ROWS(nombres[]),1))-ROW(OFFSET(nombres[],0,0,1,1))+1,ROW(OFFSET(nombres[],ROWS(nombres[])-1,0,1,1))+1),$O1547:$O1566),3),"")</f>
        <v/>
      </c>
      <c r="PF1547" s="42" t="str">
        <f t="array" aca="1" ref="PF1547" ca="1">IFERROR(INDEX(nombres[],SMALL(IF(OFFSET(nombres[],0,0,ROWS(nombres[]),1)=PF$1490,ROW(OFFSET(nombres[],0,0,ROWS(nombres[]),1))-ROW(OFFSET(nombres[],0,0,1,1))+1,ROW(OFFSET(nombres[],ROWS(nombres[])-1,0,1,1))+1),$O1547:$O1566),3),"")</f>
        <v/>
      </c>
      <c r="PG1547" s="42" t="str">
        <f t="array" aca="1" ref="PG1547" ca="1">IFERROR(INDEX(nombres[],SMALL(IF(OFFSET(nombres[],0,0,ROWS(nombres[]),1)=PG$1490,ROW(OFFSET(nombres[],0,0,ROWS(nombres[]),1))-ROW(OFFSET(nombres[],0,0,1,1))+1,ROW(OFFSET(nombres[],ROWS(nombres[])-1,0,1,1))+1),$O1547:$O1566),3),"")</f>
        <v/>
      </c>
      <c r="PH1547" s="42" t="str">
        <f t="array" aca="1" ref="PH1547" ca="1">IFERROR(INDEX(nombres[],SMALL(IF(OFFSET(nombres[],0,0,ROWS(nombres[]),1)=PH$1490,ROW(OFFSET(nombres[],0,0,ROWS(nombres[]),1))-ROW(OFFSET(nombres[],0,0,1,1))+1,ROW(OFFSET(nombres[],ROWS(nombres[])-1,0,1,1))+1),$O1547:$O1566),3),"")</f>
        <v/>
      </c>
      <c r="PI1547" s="42" t="str">
        <f t="array" aca="1" ref="PI1547" ca="1">IFERROR(INDEX(nombres[],SMALL(IF(OFFSET(nombres[],0,0,ROWS(nombres[]),1)=PI$1490,ROW(OFFSET(nombres[],0,0,ROWS(nombres[]),1))-ROW(OFFSET(nombres[],0,0,1,1))+1,ROW(OFFSET(nombres[],ROWS(nombres[])-1,0,1,1))+1),$O1547:$O1566),3),"")</f>
        <v/>
      </c>
      <c r="PJ1547" s="42" t="str">
        <f t="array" aca="1" ref="PJ1547" ca="1">IFERROR(INDEX(nombres[],SMALL(IF(OFFSET(nombres[],0,0,ROWS(nombres[]),1)=PJ$1490,ROW(OFFSET(nombres[],0,0,ROWS(nombres[]),1))-ROW(OFFSET(nombres[],0,0,1,1))+1,ROW(OFFSET(nombres[],ROWS(nombres[])-1,0,1,1))+1),$O1547:$O1566),3),"")</f>
        <v/>
      </c>
      <c r="PK1547" s="42" t="str">
        <f t="array" aca="1" ref="PK1547" ca="1">IFERROR(INDEX(nombres[],SMALL(IF(OFFSET(nombres[],0,0,ROWS(nombres[]),1)=PK$1490,ROW(OFFSET(nombres[],0,0,ROWS(nombres[]),1))-ROW(OFFSET(nombres[],0,0,1,1))+1,ROW(OFFSET(nombres[],ROWS(nombres[])-1,0,1,1))+1),$O1547:$O1566),3),"")</f>
        <v/>
      </c>
      <c r="PL1547" s="42" t="str">
        <f t="array" aca="1" ref="PL1547" ca="1">IFERROR(INDEX(nombres[],SMALL(IF(OFFSET(nombres[],0,0,ROWS(nombres[]),1)=PL$1490,ROW(OFFSET(nombres[],0,0,ROWS(nombres[]),1))-ROW(OFFSET(nombres[],0,0,1,1))+1,ROW(OFFSET(nombres[],ROWS(nombres[])-1,0,1,1))+1),$O1547:$O1566),3),"")</f>
        <v/>
      </c>
      <c r="PM1547" s="42" t="str">
        <f t="array" aca="1" ref="PM1547" ca="1">IFERROR(INDEX(nombres[],SMALL(IF(OFFSET(nombres[],0,0,ROWS(nombres[]),1)=PM$1490,ROW(OFFSET(nombres[],0,0,ROWS(nombres[]),1))-ROW(OFFSET(nombres[],0,0,1,1))+1,ROW(OFFSET(nombres[],ROWS(nombres[])-1,0,1,1))+1),$O1547:$O1566),3),"")</f>
        <v/>
      </c>
      <c r="PN1547" s="42" t="str">
        <f t="array" aca="1" ref="PN1547" ca="1">IFERROR(INDEX(nombres[],SMALL(IF(OFFSET(nombres[],0,0,ROWS(nombres[]),1)=PN$1490,ROW(OFFSET(nombres[],0,0,ROWS(nombres[]),1))-ROW(OFFSET(nombres[],0,0,1,1))+1,ROW(OFFSET(nombres[],ROWS(nombres[])-1,0,1,1))+1),$O1547:$O1566),3),"")</f>
        <v/>
      </c>
      <c r="PO1547" s="42" t="str">
        <f t="array" aca="1" ref="PO1547" ca="1">IFERROR(INDEX(nombres[],SMALL(IF(OFFSET(nombres[],0,0,ROWS(nombres[]),1)=PO$1490,ROW(OFFSET(nombres[],0,0,ROWS(nombres[]),1))-ROW(OFFSET(nombres[],0,0,1,1))+1,ROW(OFFSET(nombres[],ROWS(nombres[])-1,0,1,1))+1),$O1547:$O1566),3),"")</f>
        <v/>
      </c>
      <c r="PP1547" s="42" t="str">
        <f t="array" aca="1" ref="PP1547" ca="1">IFERROR(INDEX(nombres[],SMALL(IF(OFFSET(nombres[],0,0,ROWS(nombres[]),1)=PP$1490,ROW(OFFSET(nombres[],0,0,ROWS(nombres[]),1))-ROW(OFFSET(nombres[],0,0,1,1))+1,ROW(OFFSET(nombres[],ROWS(nombres[])-1,0,1,1))+1),$O1547:$O1566),3),"")</f>
        <v/>
      </c>
      <c r="PQ1547" s="42" t="str">
        <f t="array" aca="1" ref="PQ1547" ca="1">IFERROR(INDEX(nombres[],SMALL(IF(OFFSET(nombres[],0,0,ROWS(nombres[]),1)=PQ$1490,ROW(OFFSET(nombres[],0,0,ROWS(nombres[]),1))-ROW(OFFSET(nombres[],0,0,1,1))+1,ROW(OFFSET(nombres[],ROWS(nombres[])-1,0,1,1))+1),$O1547:$O1566),3),"")</f>
        <v/>
      </c>
      <c r="PR1547" s="42" t="str">
        <f t="array" aca="1" ref="PR1547" ca="1">IFERROR(INDEX(nombres[],SMALL(IF(OFFSET(nombres[],0,0,ROWS(nombres[]),1)=PR$1490,ROW(OFFSET(nombres[],0,0,ROWS(nombres[]),1))-ROW(OFFSET(nombres[],0,0,1,1))+1,ROW(OFFSET(nombres[],ROWS(nombres[])-1,0,1,1))+1),$O1547:$O1566),3),"")</f>
        <v/>
      </c>
      <c r="PS1547" s="42" t="str">
        <f t="array" aca="1" ref="PS1547" ca="1">IFERROR(INDEX(nombres[],SMALL(IF(OFFSET(nombres[],0,0,ROWS(nombres[]),1)=PS$1490,ROW(OFFSET(nombres[],0,0,ROWS(nombres[]),1))-ROW(OFFSET(nombres[],0,0,1,1))+1,ROW(OFFSET(nombres[],ROWS(nombres[])-1,0,1,1))+1),$O1547:$O1566),3),"")</f>
        <v/>
      </c>
      <c r="PT1547" s="42" t="str">
        <f t="array" aca="1" ref="PT1547" ca="1">IFERROR(INDEX(nombres[],SMALL(IF(OFFSET(nombres[],0,0,ROWS(nombres[]),1)=PT$1490,ROW(OFFSET(nombres[],0,0,ROWS(nombres[]),1))-ROW(OFFSET(nombres[],0,0,1,1))+1,ROW(OFFSET(nombres[],ROWS(nombres[])-1,0,1,1))+1),$O1547:$O1566),3),"")</f>
        <v/>
      </c>
      <c r="PU1547" s="42" t="str">
        <f t="array" aca="1" ref="PU1547" ca="1">IFERROR(INDEX(nombres[],SMALL(IF(OFFSET(nombres[],0,0,ROWS(nombres[]),1)=PU$1490,ROW(OFFSET(nombres[],0,0,ROWS(nombres[]),1))-ROW(OFFSET(nombres[],0,0,1,1))+1,ROW(OFFSET(nombres[],ROWS(nombres[])-1,0,1,1))+1),$O1547:$O1566),3),"")</f>
        <v/>
      </c>
      <c r="PV1547" s="42" t="str">
        <f t="array" aca="1" ref="PV1547" ca="1">IFERROR(INDEX(nombres[],SMALL(IF(OFFSET(nombres[],0,0,ROWS(nombres[]),1)=PV$1490,ROW(OFFSET(nombres[],0,0,ROWS(nombres[]),1))-ROW(OFFSET(nombres[],0,0,1,1))+1,ROW(OFFSET(nombres[],ROWS(nombres[])-1,0,1,1))+1),$O1547:$O1566),3),"")</f>
        <v/>
      </c>
      <c r="PW1547" s="42" t="str">
        <f t="array" aca="1" ref="PW1547" ca="1">IFERROR(INDEX(nombres[],SMALL(IF(OFFSET(nombres[],0,0,ROWS(nombres[]),1)=PW$1490,ROW(OFFSET(nombres[],0,0,ROWS(nombres[]),1))-ROW(OFFSET(nombres[],0,0,1,1))+1,ROW(OFFSET(nombres[],ROWS(nombres[])-1,0,1,1))+1),$O1547:$O1566),3),"")</f>
        <v/>
      </c>
      <c r="PX1547" s="42" t="str">
        <f t="array" aca="1" ref="PX1547" ca="1">IFERROR(INDEX(nombres[],SMALL(IF(OFFSET(nombres[],0,0,ROWS(nombres[]),1)=PX$1490,ROW(OFFSET(nombres[],0,0,ROWS(nombres[]),1))-ROW(OFFSET(nombres[],0,0,1,1))+1,ROW(OFFSET(nombres[],ROWS(nombres[])-1,0,1,1))+1),$O1547:$O1566),3),"")</f>
        <v/>
      </c>
      <c r="PY1547" s="42" t="str">
        <f t="array" aca="1" ref="PY1547" ca="1">IFERROR(INDEX(nombres[],SMALL(IF(OFFSET(nombres[],0,0,ROWS(nombres[]),1)=PY$1490,ROW(OFFSET(nombres[],0,0,ROWS(nombres[]),1))-ROW(OFFSET(nombres[],0,0,1,1))+1,ROW(OFFSET(nombres[],ROWS(nombres[])-1,0,1,1))+1),$O1547:$O1566),3),"")</f>
        <v/>
      </c>
      <c r="PZ1547" s="42" t="str">
        <f t="array" aca="1" ref="PZ1547" ca="1">IFERROR(INDEX(nombres[],SMALL(IF(OFFSET(nombres[],0,0,ROWS(nombres[]),1)=PZ$1490,ROW(OFFSET(nombres[],0,0,ROWS(nombres[]),1))-ROW(OFFSET(nombres[],0,0,1,1))+1,ROW(OFFSET(nombres[],ROWS(nombres[])-1,0,1,1))+1),$O1547:$O1566),3),"")</f>
        <v/>
      </c>
      <c r="QA1547" s="42" t="str">
        <f t="array" aca="1" ref="QA1547" ca="1">IFERROR(INDEX(nombres[],SMALL(IF(OFFSET(nombres[],0,0,ROWS(nombres[]),1)=QA$1490,ROW(OFFSET(nombres[],0,0,ROWS(nombres[]),1))-ROW(OFFSET(nombres[],0,0,1,1))+1,ROW(OFFSET(nombres[],ROWS(nombres[])-1,0,1,1))+1),$O1547:$O1566),3),"")</f>
        <v/>
      </c>
      <c r="QB1547" s="42" t="str">
        <f t="array" aca="1" ref="QB1547" ca="1">IFERROR(INDEX(nombres[],SMALL(IF(OFFSET(nombres[],0,0,ROWS(nombres[]),1)=QB$1490,ROW(OFFSET(nombres[],0,0,ROWS(nombres[]),1))-ROW(OFFSET(nombres[],0,0,1,1))+1,ROW(OFFSET(nombres[],ROWS(nombres[])-1,0,1,1))+1),$O1547:$O1566),3),"")</f>
        <v/>
      </c>
      <c r="QC1547" s="42" t="str">
        <f t="array" aca="1" ref="QC1547" ca="1">IFERROR(INDEX(nombres[],SMALL(IF(OFFSET(nombres[],0,0,ROWS(nombres[]),1)=QC$1490,ROW(OFFSET(nombres[],0,0,ROWS(nombres[]),1))-ROW(OFFSET(nombres[],0,0,1,1))+1,ROW(OFFSET(nombres[],ROWS(nombres[])-1,0,1,1))+1),$O1547:$O1566),3),"")</f>
        <v/>
      </c>
      <c r="QD1547" s="42" t="str">
        <f t="array" aca="1" ref="QD1547" ca="1">IFERROR(INDEX(nombres[],SMALL(IF(OFFSET(nombres[],0,0,ROWS(nombres[]),1)=QD$1490,ROW(OFFSET(nombres[],0,0,ROWS(nombres[]),1))-ROW(OFFSET(nombres[],0,0,1,1))+1,ROW(OFFSET(nombres[],ROWS(nombres[])-1,0,1,1))+1),$O1547:$O1566),3),"")</f>
        <v/>
      </c>
      <c r="QE1547" s="42" t="str">
        <f t="array" aca="1" ref="QE1547" ca="1">IFERROR(INDEX(nombres[],SMALL(IF(OFFSET(nombres[],0,0,ROWS(nombres[]),1)=QE$1490,ROW(OFFSET(nombres[],0,0,ROWS(nombres[]),1))-ROW(OFFSET(nombres[],0,0,1,1))+1,ROW(OFFSET(nombres[],ROWS(nombres[])-1,0,1,1))+1),$O1547:$O1566),3),"")</f>
        <v/>
      </c>
      <c r="QF1547" s="42" t="str">
        <f t="array" aca="1" ref="QF1547" ca="1">IFERROR(INDEX(nombres[],SMALL(IF(OFFSET(nombres[],0,0,ROWS(nombres[]),1)=QF$1490,ROW(OFFSET(nombres[],0,0,ROWS(nombres[]),1))-ROW(OFFSET(nombres[],0,0,1,1))+1,ROW(OFFSET(nombres[],ROWS(nombres[])-1,0,1,1))+1),$O1547:$O1566),3),"")</f>
        <v/>
      </c>
      <c r="QG1547" s="42" t="str">
        <f t="array" aca="1" ref="QG1547" ca="1">IFERROR(INDEX(nombres[],SMALL(IF(OFFSET(nombres[],0,0,ROWS(nombres[]),1)=QG$1490,ROW(OFFSET(nombres[],0,0,ROWS(nombres[]),1))-ROW(OFFSET(nombres[],0,0,1,1))+1,ROW(OFFSET(nombres[],ROWS(nombres[])-1,0,1,1))+1),$O1547:$O1566),3),"")</f>
        <v/>
      </c>
      <c r="QH1547" s="42" t="str">
        <f t="array" aca="1" ref="QH1547" ca="1">IFERROR(INDEX(nombres[],SMALL(IF(OFFSET(nombres[],0,0,ROWS(nombres[]),1)=QH$1490,ROW(OFFSET(nombres[],0,0,ROWS(nombres[]),1))-ROW(OFFSET(nombres[],0,0,1,1))+1,ROW(OFFSET(nombres[],ROWS(nombres[])-1,0,1,1))+1),$O1547:$O1566),3),"")</f>
        <v/>
      </c>
      <c r="QI1547" s="42" t="str">
        <f t="array" aca="1" ref="QI1547" ca="1">IFERROR(INDEX(nombres[],SMALL(IF(OFFSET(nombres[],0,0,ROWS(nombres[]),1)=QI$1490,ROW(OFFSET(nombres[],0,0,ROWS(nombres[]),1))-ROW(OFFSET(nombres[],0,0,1,1))+1,ROW(OFFSET(nombres[],ROWS(nombres[])-1,0,1,1))+1),$O1547:$O1566),3),"")</f>
        <v/>
      </c>
      <c r="QJ1547" s="42" t="str">
        <f t="array" aca="1" ref="QJ1547" ca="1">IFERROR(INDEX(nombres[],SMALL(IF(OFFSET(nombres[],0,0,ROWS(nombres[]),1)=QJ$1490,ROW(OFFSET(nombres[],0,0,ROWS(nombres[]),1))-ROW(OFFSET(nombres[],0,0,1,1))+1,ROW(OFFSET(nombres[],ROWS(nombres[])-1,0,1,1))+1),$O1547:$O1566),3),"")</f>
        <v/>
      </c>
      <c r="QK1547" s="42" t="str">
        <f t="array" aca="1" ref="QK1547" ca="1">IFERROR(INDEX(nombres[],SMALL(IF(OFFSET(nombres[],0,0,ROWS(nombres[]),1)=QK$1490,ROW(OFFSET(nombres[],0,0,ROWS(nombres[]),1))-ROW(OFFSET(nombres[],0,0,1,1))+1,ROW(OFFSET(nombres[],ROWS(nombres[])-1,0,1,1))+1),$O1547:$O1566),3),"")</f>
        <v/>
      </c>
      <c r="QL1547" s="42" t="str">
        <f t="array" aca="1" ref="QL1547" ca="1">IFERROR(INDEX(nombres[],SMALL(IF(OFFSET(nombres[],0,0,ROWS(nombres[]),1)=QL$1490,ROW(OFFSET(nombres[],0,0,ROWS(nombres[]),1))-ROW(OFFSET(nombres[],0,0,1,1))+1,ROW(OFFSET(nombres[],ROWS(nombres[])-1,0,1,1))+1),$O1547:$O1566),3),"")</f>
        <v/>
      </c>
      <c r="QM1547" s="42" t="str">
        <f t="array" aca="1" ref="QM1547" ca="1">IFERROR(INDEX(nombres[],SMALL(IF(OFFSET(nombres[],0,0,ROWS(nombres[]),1)=QM$1490,ROW(OFFSET(nombres[],0,0,ROWS(nombres[]),1))-ROW(OFFSET(nombres[],0,0,1,1))+1,ROW(OFFSET(nombres[],ROWS(nombres[])-1,0,1,1))+1),$O1547:$O1566),3),"")</f>
        <v/>
      </c>
      <c r="QN1547" s="42" t="str">
        <f t="array" aca="1" ref="QN1547" ca="1">IFERROR(INDEX(nombres[],SMALL(IF(OFFSET(nombres[],0,0,ROWS(nombres[]),1)=QN$1490,ROW(OFFSET(nombres[],0,0,ROWS(nombres[]),1))-ROW(OFFSET(nombres[],0,0,1,1))+1,ROW(OFFSET(nombres[],ROWS(nombres[])-1,0,1,1))+1),$O1547:$O1566),3),"")</f>
        <v/>
      </c>
      <c r="QO1547" s="42" t="str">
        <f t="array" aca="1" ref="QO1547" ca="1">IFERROR(INDEX(nombres[],SMALL(IF(OFFSET(nombres[],0,0,ROWS(nombres[]),1)=QO$1490,ROW(OFFSET(nombres[],0,0,ROWS(nombres[]),1))-ROW(OFFSET(nombres[],0,0,1,1))+1,ROW(OFFSET(nombres[],ROWS(nombres[])-1,0,1,1))+1),$O1547:$O1566),3),"")</f>
        <v/>
      </c>
      <c r="QP1547" s="42" t="str">
        <f t="array" aca="1" ref="QP1547" ca="1">IFERROR(INDEX(nombres[],SMALL(IF(OFFSET(nombres[],0,0,ROWS(nombres[]),1)=QP$1490,ROW(OFFSET(nombres[],0,0,ROWS(nombres[]),1))-ROW(OFFSET(nombres[],0,0,1,1))+1,ROW(OFFSET(nombres[],ROWS(nombres[])-1,0,1,1))+1),$O1547:$O1566),3),"")</f>
        <v/>
      </c>
      <c r="QQ1547" s="42" t="str">
        <f t="array" aca="1" ref="QQ1547" ca="1">IFERROR(INDEX(nombres[],SMALL(IF(OFFSET(nombres[],0,0,ROWS(nombres[]),1)=QQ$1490,ROW(OFFSET(nombres[],0,0,ROWS(nombres[]),1))-ROW(OFFSET(nombres[],0,0,1,1))+1,ROW(OFFSET(nombres[],ROWS(nombres[])-1,0,1,1))+1),$O1547:$O1566),3),"")</f>
        <v/>
      </c>
      <c r="QR1547" s="42" t="str">
        <f t="array" aca="1" ref="QR1547" ca="1">IFERROR(INDEX(nombres[],SMALL(IF(OFFSET(nombres[],0,0,ROWS(nombres[]),1)=QR$1490,ROW(OFFSET(nombres[],0,0,ROWS(nombres[]),1))-ROW(OFFSET(nombres[],0,0,1,1))+1,ROW(OFFSET(nombres[],ROWS(nombres[])-1,0,1,1))+1),$O1547:$O1566),3),"")</f>
        <v/>
      </c>
      <c r="QS1547" s="42" t="str">
        <f t="array" aca="1" ref="QS1547" ca="1">IFERROR(INDEX(nombres[],SMALL(IF(OFFSET(nombres[],0,0,ROWS(nombres[]),1)=QS$1490,ROW(OFFSET(nombres[],0,0,ROWS(nombres[]),1))-ROW(OFFSET(nombres[],0,0,1,1))+1,ROW(OFFSET(nombres[],ROWS(nombres[])-1,0,1,1))+1),$O1547:$O1566),3),"")</f>
        <v/>
      </c>
      <c r="QT1547" s="42" t="str">
        <f t="array" aca="1" ref="QT1547" ca="1">IFERROR(INDEX(nombres[],SMALL(IF(OFFSET(nombres[],0,0,ROWS(nombres[]),1)=QT$1490,ROW(OFFSET(nombres[],0,0,ROWS(nombres[]),1))-ROW(OFFSET(nombres[],0,0,1,1))+1,ROW(OFFSET(nombres[],ROWS(nombres[])-1,0,1,1))+1),$O1547:$O1566),3),"")</f>
        <v/>
      </c>
      <c r="QU1547" s="42" t="str">
        <f t="array" aca="1" ref="QU1547" ca="1">IFERROR(INDEX(nombres[],SMALL(IF(OFFSET(nombres[],0,0,ROWS(nombres[]),1)=QU$1490,ROW(OFFSET(nombres[],0,0,ROWS(nombres[]),1))-ROW(OFFSET(nombres[],0,0,1,1))+1,ROW(OFFSET(nombres[],ROWS(nombres[])-1,0,1,1))+1),$O1547:$O1566),3),"")</f>
        <v/>
      </c>
      <c r="QV1547" s="42" t="str">
        <f t="array" aca="1" ref="QV1547" ca="1">IFERROR(INDEX(nombres[],SMALL(IF(OFFSET(nombres[],0,0,ROWS(nombres[]),1)=QV$1490,ROW(OFFSET(nombres[],0,0,ROWS(nombres[]),1))-ROW(OFFSET(nombres[],0,0,1,1))+1,ROW(OFFSET(nombres[],ROWS(nombres[])-1,0,1,1))+1),$O1547:$O1566),3),"")</f>
        <v/>
      </c>
      <c r="QW1547" s="42" t="str">
        <f t="array" aca="1" ref="QW1547" ca="1">IFERROR(INDEX(nombres[],SMALL(IF(OFFSET(nombres[],0,0,ROWS(nombres[]),1)=QW$1490,ROW(OFFSET(nombres[],0,0,ROWS(nombres[]),1))-ROW(OFFSET(nombres[],0,0,1,1))+1,ROW(OFFSET(nombres[],ROWS(nombres[])-1,0,1,1))+1),$O1547:$O1566),3),"")</f>
        <v/>
      </c>
      <c r="QX1547" s="42" t="str">
        <f t="array" aca="1" ref="QX1547" ca="1">IFERROR(INDEX(nombres[],SMALL(IF(OFFSET(nombres[],0,0,ROWS(nombres[]),1)=QX$1490,ROW(OFFSET(nombres[],0,0,ROWS(nombres[]),1))-ROW(OFFSET(nombres[],0,0,1,1))+1,ROW(OFFSET(nombres[],ROWS(nombres[])-1,0,1,1))+1),$O1547:$O1566),3),"")</f>
        <v/>
      </c>
      <c r="QY1547" s="42" t="str">
        <f t="array" aca="1" ref="QY1547" ca="1">IFERROR(INDEX(nombres[],SMALL(IF(OFFSET(nombres[],0,0,ROWS(nombres[]),1)=QY$1490,ROW(OFFSET(nombres[],0,0,ROWS(nombres[]),1))-ROW(OFFSET(nombres[],0,0,1,1))+1,ROW(OFFSET(nombres[],ROWS(nombres[])-1,0,1,1))+1),$O1547:$O1566),3),"")</f>
        <v/>
      </c>
      <c r="QZ1547" s="42" t="str">
        <f t="array" aca="1" ref="QZ1547" ca="1">IFERROR(INDEX(nombres[],SMALL(IF(OFFSET(nombres[],0,0,ROWS(nombres[]),1)=QZ$1490,ROW(OFFSET(nombres[],0,0,ROWS(nombres[]),1))-ROW(OFFSET(nombres[],0,0,1,1))+1,ROW(OFFSET(nombres[],ROWS(nombres[])-1,0,1,1))+1),$O1547:$O1566),3),"")</f>
        <v/>
      </c>
      <c r="RA1547" s="42" t="str">
        <f t="array" aca="1" ref="RA1547" ca="1">IFERROR(INDEX(nombres[],SMALL(IF(OFFSET(nombres[],0,0,ROWS(nombres[]),1)=RA$1490,ROW(OFFSET(nombres[],0,0,ROWS(nombres[]),1))-ROW(OFFSET(nombres[],0,0,1,1))+1,ROW(OFFSET(nombres[],ROWS(nombres[])-1,0,1,1))+1),$O1547:$O1566),3),"")</f>
        <v/>
      </c>
      <c r="RB1547" s="42" t="str">
        <f t="array" aca="1" ref="RB1547" ca="1">IFERROR(INDEX(nombres[],SMALL(IF(OFFSET(nombres[],0,0,ROWS(nombres[]),1)=RB$1490,ROW(OFFSET(nombres[],0,0,ROWS(nombres[]),1))-ROW(OFFSET(nombres[],0,0,1,1))+1,ROW(OFFSET(nombres[],ROWS(nombres[])-1,0,1,1))+1),$O1547:$O1566),3),"")</f>
        <v/>
      </c>
      <c r="RC1547" s="42" t="str">
        <f t="array" aca="1" ref="RC1547" ca="1">IFERROR(INDEX(nombres[],SMALL(IF(OFFSET(nombres[],0,0,ROWS(nombres[]),1)=RC$1490,ROW(OFFSET(nombres[],0,0,ROWS(nombres[]),1))-ROW(OFFSET(nombres[],0,0,1,1))+1,ROW(OFFSET(nombres[],ROWS(nombres[])-1,0,1,1))+1),$O1547:$O1566),3),"")</f>
        <v/>
      </c>
      <c r="RD1547" s="42" t="str">
        <f t="array" aca="1" ref="RD1547" ca="1">IFERROR(INDEX(nombres[],SMALL(IF(OFFSET(nombres[],0,0,ROWS(nombres[]),1)=RD$1490,ROW(OFFSET(nombres[],0,0,ROWS(nombres[]),1))-ROW(OFFSET(nombres[],0,0,1,1))+1,ROW(OFFSET(nombres[],ROWS(nombres[])-1,0,1,1))+1),$O1547:$O1566),3),"")</f>
        <v/>
      </c>
      <c r="RE1547" s="42" t="str">
        <f t="array" aca="1" ref="RE1547" ca="1">IFERROR(INDEX(nombres[],SMALL(IF(OFFSET(nombres[],0,0,ROWS(nombres[]),1)=RE$1490,ROW(OFFSET(nombres[],0,0,ROWS(nombres[]),1))-ROW(OFFSET(nombres[],0,0,1,1))+1,ROW(OFFSET(nombres[],ROWS(nombres[])-1,0,1,1))+1),$O1547:$O1566),3),"")</f>
        <v/>
      </c>
      <c r="RF1547" s="42" t="str">
        <f t="array" aca="1" ref="RF1547" ca="1">IFERROR(INDEX(nombres[],SMALL(IF(OFFSET(nombres[],0,0,ROWS(nombres[]),1)=RF$1490,ROW(OFFSET(nombres[],0,0,ROWS(nombres[]),1))-ROW(OFFSET(nombres[],0,0,1,1))+1,ROW(OFFSET(nombres[],ROWS(nombres[])-1,0,1,1))+1),$O1547:$O1566),3),"")</f>
        <v/>
      </c>
      <c r="RG1547" s="42" t="str">
        <f t="array" aca="1" ref="RG1547" ca="1">IFERROR(INDEX(nombres[],SMALL(IF(OFFSET(nombres[],0,0,ROWS(nombres[]),1)=RG$1490,ROW(OFFSET(nombres[],0,0,ROWS(nombres[]),1))-ROW(OFFSET(nombres[],0,0,1,1))+1,ROW(OFFSET(nombres[],ROWS(nombres[])-1,0,1,1))+1),$O1547:$O1566),3),"")</f>
        <v/>
      </c>
      <c r="RH1547" s="42" t="str">
        <f t="array" aca="1" ref="RH1547" ca="1">IFERROR(INDEX(nombres[],SMALL(IF(OFFSET(nombres[],0,0,ROWS(nombres[]),1)=RH$1490,ROW(OFFSET(nombres[],0,0,ROWS(nombres[]),1))-ROW(OFFSET(nombres[],0,0,1,1))+1,ROW(OFFSET(nombres[],ROWS(nombres[])-1,0,1,1))+1),$O1547:$O1566),3),"")</f>
        <v/>
      </c>
      <c r="RI1547" s="42" t="str">
        <f t="array" aca="1" ref="RI1547" ca="1">IFERROR(INDEX(nombres[],SMALL(IF(OFFSET(nombres[],0,0,ROWS(nombres[]),1)=RI$1490,ROW(OFFSET(nombres[],0,0,ROWS(nombres[]),1))-ROW(OFFSET(nombres[],0,0,1,1))+1,ROW(OFFSET(nombres[],ROWS(nombres[])-1,0,1,1))+1),$O1547:$O1566),3),"")</f>
        <v/>
      </c>
      <c r="RJ1547" s="42" t="str">
        <f t="array" aca="1" ref="RJ1547" ca="1">IFERROR(INDEX(nombres[],SMALL(IF(OFFSET(nombres[],0,0,ROWS(nombres[]),1)=RJ$1490,ROW(OFFSET(nombres[],0,0,ROWS(nombres[]),1))-ROW(OFFSET(nombres[],0,0,1,1))+1,ROW(OFFSET(nombres[],ROWS(nombres[])-1,0,1,1))+1),$O1547:$O1566),3),"")</f>
        <v/>
      </c>
      <c r="RK1547" s="42" t="str">
        <f t="array" aca="1" ref="RK1547" ca="1">IFERROR(INDEX(nombres[],SMALL(IF(OFFSET(nombres[],0,0,ROWS(nombres[]),1)=RK$1490,ROW(OFFSET(nombres[],0,0,ROWS(nombres[]),1))-ROW(OFFSET(nombres[],0,0,1,1))+1,ROW(OFFSET(nombres[],ROWS(nombres[])-1,0,1,1))+1),$O1547:$O1566),3),"")</f>
        <v/>
      </c>
      <c r="RL1547" s="42" t="str">
        <f t="array" aca="1" ref="RL1547" ca="1">IFERROR(INDEX(nombres[],SMALL(IF(OFFSET(nombres[],0,0,ROWS(nombres[]),1)=RL$1490,ROW(OFFSET(nombres[],0,0,ROWS(nombres[]),1))-ROW(OFFSET(nombres[],0,0,1,1))+1,ROW(OFFSET(nombres[],ROWS(nombres[])-1,0,1,1))+1),$O1547:$O1566),3),"")</f>
        <v/>
      </c>
      <c r="RM1547" s="42" t="str">
        <f t="array" aca="1" ref="RM1547" ca="1">IFERROR(INDEX(nombres[],SMALL(IF(OFFSET(nombres[],0,0,ROWS(nombres[]),1)=RM$1490,ROW(OFFSET(nombres[],0,0,ROWS(nombres[]),1))-ROW(OFFSET(nombres[],0,0,1,1))+1,ROW(OFFSET(nombres[],ROWS(nombres[])-1,0,1,1))+1),$O1547:$O1566),3),"")</f>
        <v/>
      </c>
      <c r="RN1547" s="42" t="str">
        <f t="array" aca="1" ref="RN1547" ca="1">IFERROR(INDEX(nombres[],SMALL(IF(OFFSET(nombres[],0,0,ROWS(nombres[]),1)=RN$1490,ROW(OFFSET(nombres[],0,0,ROWS(nombres[]),1))-ROW(OFFSET(nombres[],0,0,1,1))+1,ROW(OFFSET(nombres[],ROWS(nombres[])-1,0,1,1))+1),$O1547:$O1566),3),"")</f>
        <v/>
      </c>
      <c r="RO1547" s="42" t="str">
        <f t="array" aca="1" ref="RO1547" ca="1">IFERROR(INDEX(nombres[],SMALL(IF(OFFSET(nombres[],0,0,ROWS(nombres[]),1)=RO$1490,ROW(OFFSET(nombres[],0,0,ROWS(nombres[]),1))-ROW(OFFSET(nombres[],0,0,1,1))+1,ROW(OFFSET(nombres[],ROWS(nombres[])-1,0,1,1))+1),$O1547:$O1566),3),"")</f>
        <v/>
      </c>
      <c r="RP1547" s="42" t="str">
        <f t="array" aca="1" ref="RP1547" ca="1">IFERROR(INDEX(nombres[],SMALL(IF(OFFSET(nombres[],0,0,ROWS(nombres[]),1)=RP$1490,ROW(OFFSET(nombres[],0,0,ROWS(nombres[]),1))-ROW(OFFSET(nombres[],0,0,1,1))+1,ROW(OFFSET(nombres[],ROWS(nombres[])-1,0,1,1))+1),$O1547:$O1566),3),"")</f>
        <v/>
      </c>
      <c r="RQ1547" s="42" t="str">
        <f t="array" aca="1" ref="RQ1547" ca="1">IFERROR(INDEX(nombres[],SMALL(IF(OFFSET(nombres[],0,0,ROWS(nombres[]),1)=RQ$1490,ROW(OFFSET(nombres[],0,0,ROWS(nombres[]),1))-ROW(OFFSET(nombres[],0,0,1,1))+1,ROW(OFFSET(nombres[],ROWS(nombres[])-1,0,1,1))+1),$O1547:$O1566),3),"")</f>
        <v/>
      </c>
      <c r="RR1547" s="42" t="str">
        <f t="array" aca="1" ref="RR1547" ca="1">IFERROR(INDEX(nombres[],SMALL(IF(OFFSET(nombres[],0,0,ROWS(nombres[]),1)=RR$1490,ROW(OFFSET(nombres[],0,0,ROWS(nombres[]),1))-ROW(OFFSET(nombres[],0,0,1,1))+1,ROW(OFFSET(nombres[],ROWS(nombres[])-1,0,1,1))+1),$O1547:$O1566),3),"")</f>
        <v/>
      </c>
      <c r="RS1547" s="42" t="str">
        <f t="array" aca="1" ref="RS1547" ca="1">IFERROR(INDEX(nombres[],SMALL(IF(OFFSET(nombres[],0,0,ROWS(nombres[]),1)=RS$1490,ROW(OFFSET(nombres[],0,0,ROWS(nombres[]),1))-ROW(OFFSET(nombres[],0,0,1,1))+1,ROW(OFFSET(nombres[],ROWS(nombres[])-1,0,1,1))+1),$O1547:$O1566),3),"")</f>
        <v/>
      </c>
      <c r="RT1547" s="42" t="str">
        <f t="array" aca="1" ref="RT1547" ca="1">IFERROR(INDEX(nombres[],SMALL(IF(OFFSET(nombres[],0,0,ROWS(nombres[]),1)=RT$1490,ROW(OFFSET(nombres[],0,0,ROWS(nombres[]),1))-ROW(OFFSET(nombres[],0,0,1,1))+1,ROW(OFFSET(nombres[],ROWS(nombres[])-1,0,1,1))+1),$O1547:$O1566),3),"")</f>
        <v/>
      </c>
      <c r="RU1547" s="42" t="str">
        <f t="array" aca="1" ref="RU1547" ca="1">IFERROR(INDEX(nombres[],SMALL(IF(OFFSET(nombres[],0,0,ROWS(nombres[]),1)=RU$1490,ROW(OFFSET(nombres[],0,0,ROWS(nombres[]),1))-ROW(OFFSET(nombres[],0,0,1,1))+1,ROW(OFFSET(nombres[],ROWS(nombres[])-1,0,1,1))+1),$O1547:$O1566),3),"")</f>
        <v/>
      </c>
      <c r="RV1547" s="42" t="str">
        <f t="array" aca="1" ref="RV1547" ca="1">IFERROR(INDEX(nombres[],SMALL(IF(OFFSET(nombres[],0,0,ROWS(nombres[]),1)=RV$1490,ROW(OFFSET(nombres[],0,0,ROWS(nombres[]),1))-ROW(OFFSET(nombres[],0,0,1,1))+1,ROW(OFFSET(nombres[],ROWS(nombres[])-1,0,1,1))+1),$O1547:$O1566),3),"")</f>
        <v/>
      </c>
      <c r="RW1547" s="42" t="str">
        <f t="array" aca="1" ref="RW1547" ca="1">IFERROR(INDEX(nombres[],SMALL(IF(OFFSET(nombres[],0,0,ROWS(nombres[]),1)=RW$1490,ROW(OFFSET(nombres[],0,0,ROWS(nombres[]),1))-ROW(OFFSET(nombres[],0,0,1,1))+1,ROW(OFFSET(nombres[],ROWS(nombres[])-1,0,1,1))+1),$O1547:$O1566),3),"")</f>
        <v/>
      </c>
      <c r="RX1547" s="42" t="str">
        <f t="array" aca="1" ref="RX1547" ca="1">IFERROR(INDEX(nombres[],SMALL(IF(OFFSET(nombres[],0,0,ROWS(nombres[]),1)=RX$1490,ROW(OFFSET(nombres[],0,0,ROWS(nombres[]),1))-ROW(OFFSET(nombres[],0,0,1,1))+1,ROW(OFFSET(nombres[],ROWS(nombres[])-1,0,1,1))+1),$O1547:$O1566),3),"")</f>
        <v/>
      </c>
      <c r="RY1547" s="42" t="str">
        <f t="array" aca="1" ref="RY1547" ca="1">IFERROR(INDEX(nombres[],SMALL(IF(OFFSET(nombres[],0,0,ROWS(nombres[]),1)=RY$1490,ROW(OFFSET(nombres[],0,0,ROWS(nombres[]),1))-ROW(OFFSET(nombres[],0,0,1,1))+1,ROW(OFFSET(nombres[],ROWS(nombres[])-1,0,1,1))+1),$O1547:$O1566),3),"")</f>
        <v/>
      </c>
      <c r="RZ1547" s="42" t="str">
        <f t="array" aca="1" ref="RZ1547" ca="1">IFERROR(INDEX(nombres[],SMALL(IF(OFFSET(nombres[],0,0,ROWS(nombres[]),1)=RZ$1490,ROW(OFFSET(nombres[],0,0,ROWS(nombres[]),1))-ROW(OFFSET(nombres[],0,0,1,1))+1,ROW(OFFSET(nombres[],ROWS(nombres[])-1,0,1,1))+1),$O1547:$O1566),3),"")</f>
        <v/>
      </c>
      <c r="SA1547" s="42" t="str">
        <f t="array" aca="1" ref="SA1547" ca="1">IFERROR(INDEX(nombres[],SMALL(IF(OFFSET(nombres[],0,0,ROWS(nombres[]),1)=SA$1490,ROW(OFFSET(nombres[],0,0,ROWS(nombres[]),1))-ROW(OFFSET(nombres[],0,0,1,1))+1,ROW(OFFSET(nombres[],ROWS(nombres[])-1,0,1,1))+1),$O1547:$O1566),3),"")</f>
        <v/>
      </c>
      <c r="SB1547" s="42" t="str">
        <f t="array" aca="1" ref="SB1547" ca="1">IFERROR(INDEX(nombres[],SMALL(IF(OFFSET(nombres[],0,0,ROWS(nombres[]),1)=SB$1490,ROW(OFFSET(nombres[],0,0,ROWS(nombres[]),1))-ROW(OFFSET(nombres[],0,0,1,1))+1,ROW(OFFSET(nombres[],ROWS(nombres[])-1,0,1,1))+1),$O1547:$O1566),3),"")</f>
        <v/>
      </c>
      <c r="SC1547" s="42" t="str">
        <f t="array" aca="1" ref="SC1547" ca="1">IFERROR(INDEX(nombres[],SMALL(IF(OFFSET(nombres[],0,0,ROWS(nombres[]),1)=SC$1490,ROW(OFFSET(nombres[],0,0,ROWS(nombres[]),1))-ROW(OFFSET(nombres[],0,0,1,1))+1,ROW(OFFSET(nombres[],ROWS(nombres[])-1,0,1,1))+1),$O1547:$O1566),3),"")</f>
        <v/>
      </c>
      <c r="SD1547" s="42" t="str">
        <f t="array" aca="1" ref="SD1547" ca="1">IFERROR(INDEX(nombres[],SMALL(IF(OFFSET(nombres[],0,0,ROWS(nombres[]),1)=SD$1490,ROW(OFFSET(nombres[],0,0,ROWS(nombres[]),1))-ROW(OFFSET(nombres[],0,0,1,1))+1,ROW(OFFSET(nombres[],ROWS(nombres[])-1,0,1,1))+1),$O1547:$O1566),3),"")</f>
        <v/>
      </c>
      <c r="SE1547" s="42" t="str">
        <f t="array" aca="1" ref="SE1547" ca="1">IFERROR(INDEX(nombres[],SMALL(IF(OFFSET(nombres[],0,0,ROWS(nombres[]),1)=SE$1490,ROW(OFFSET(nombres[],0,0,ROWS(nombres[]),1))-ROW(OFFSET(nombres[],0,0,1,1))+1,ROW(OFFSET(nombres[],ROWS(nombres[])-1,0,1,1))+1),$O1547:$O1566),3),"")</f>
        <v/>
      </c>
      <c r="SF1547" s="42" t="str">
        <f t="array" aca="1" ref="SF1547" ca="1">IFERROR(INDEX(nombres[],SMALL(IF(OFFSET(nombres[],0,0,ROWS(nombres[]),1)=SF$1490,ROW(OFFSET(nombres[],0,0,ROWS(nombres[]),1))-ROW(OFFSET(nombres[],0,0,1,1))+1,ROW(OFFSET(nombres[],ROWS(nombres[])-1,0,1,1))+1),$O1547:$O1566),3),"")</f>
        <v/>
      </c>
      <c r="SG1547" s="42" t="str">
        <f t="array" aca="1" ref="SG1547" ca="1">IFERROR(INDEX(nombres[],SMALL(IF(OFFSET(nombres[],0,0,ROWS(nombres[]),1)=SG$1490,ROW(OFFSET(nombres[],0,0,ROWS(nombres[]),1))-ROW(OFFSET(nombres[],0,0,1,1))+1,ROW(OFFSET(nombres[],ROWS(nombres[])-1,0,1,1))+1),$O1547:$O1566),3),"")</f>
        <v/>
      </c>
      <c r="SH1547" s="42" t="str">
        <f t="array" aca="1" ref="SH1547" ca="1">IFERROR(INDEX(nombres[],SMALL(IF(OFFSET(nombres[],0,0,ROWS(nombres[]),1)=SH$1490,ROW(OFFSET(nombres[],0,0,ROWS(nombres[]),1))-ROW(OFFSET(nombres[],0,0,1,1))+1,ROW(OFFSET(nombres[],ROWS(nombres[])-1,0,1,1))+1),$O1547:$O1566),3),"")</f>
        <v/>
      </c>
      <c r="SI1547" s="42" t="str">
        <f t="array" aca="1" ref="SI1547" ca="1">IFERROR(INDEX(nombres[],SMALL(IF(OFFSET(nombres[],0,0,ROWS(nombres[]),1)=SI$1490,ROW(OFFSET(nombres[],0,0,ROWS(nombres[]),1))-ROW(OFFSET(nombres[],0,0,1,1))+1,ROW(OFFSET(nombres[],ROWS(nombres[])-1,0,1,1))+1),$O1547:$O1566),3),"")</f>
        <v/>
      </c>
      <c r="SJ1547" s="42" t="str">
        <f t="array" aca="1" ref="SJ1547" ca="1">IFERROR(INDEX(nombres[],SMALL(IF(OFFSET(nombres[],0,0,ROWS(nombres[]),1)=SJ$1490,ROW(OFFSET(nombres[],0,0,ROWS(nombres[]),1))-ROW(OFFSET(nombres[],0,0,1,1))+1,ROW(OFFSET(nombres[],ROWS(nombres[])-1,0,1,1))+1),$O1547:$O1566),3),"")</f>
        <v/>
      </c>
      <c r="SK1547" s="42" t="str">
        <f t="array" aca="1" ref="SK1547" ca="1">IFERROR(INDEX(nombres[],SMALL(IF(OFFSET(nombres[],0,0,ROWS(nombres[]),1)=SK$1490,ROW(OFFSET(nombres[],0,0,ROWS(nombres[]),1))-ROW(OFFSET(nombres[],0,0,1,1))+1,ROW(OFFSET(nombres[],ROWS(nombres[])-1,0,1,1))+1),$O1547:$O1566),3),"")</f>
        <v/>
      </c>
      <c r="SL1547" s="42" t="str">
        <f t="array" aca="1" ref="SL1547" ca="1">IFERROR(INDEX(nombres[],SMALL(IF(OFFSET(nombres[],0,0,ROWS(nombres[]),1)=SL$1490,ROW(OFFSET(nombres[],0,0,ROWS(nombres[]),1))-ROW(OFFSET(nombres[],0,0,1,1))+1,ROW(OFFSET(nombres[],ROWS(nombres[])-1,0,1,1))+1),$O1547:$O1566),3),"")</f>
        <v/>
      </c>
      <c r="SM1547" s="42" t="str">
        <f t="array" aca="1" ref="SM1547" ca="1">IFERROR(INDEX(nombres[],SMALL(IF(OFFSET(nombres[],0,0,ROWS(nombres[]),1)=SM$1490,ROW(OFFSET(nombres[],0,0,ROWS(nombres[]),1))-ROW(OFFSET(nombres[],0,0,1,1))+1,ROW(OFFSET(nombres[],ROWS(nombres[])-1,0,1,1))+1),$O1547:$O1566),3),"")</f>
        <v/>
      </c>
      <c r="SN1547" s="42" t="str">
        <f t="array" aca="1" ref="SN1547" ca="1">IFERROR(INDEX(nombres[],SMALL(IF(OFFSET(nombres[],0,0,ROWS(nombres[]),1)=SN$1490,ROW(OFFSET(nombres[],0,0,ROWS(nombres[]),1))-ROW(OFFSET(nombres[],0,0,1,1))+1,ROW(OFFSET(nombres[],ROWS(nombres[])-1,0,1,1))+1),$O1547:$O1566),3),"")</f>
        <v/>
      </c>
      <c r="SO1547" s="42" t="str">
        <f t="array" aca="1" ref="SO1547" ca="1">IFERROR(INDEX(nombres[],SMALL(IF(OFFSET(nombres[],0,0,ROWS(nombres[]),1)=SO$1490,ROW(OFFSET(nombres[],0,0,ROWS(nombres[]),1))-ROW(OFFSET(nombres[],0,0,1,1))+1,ROW(OFFSET(nombres[],ROWS(nombres[])-1,0,1,1))+1),$O1547:$O1566),3),"")</f>
        <v/>
      </c>
      <c r="SP1547" s="42" t="str">
        <f t="array" aca="1" ref="SP1547" ca="1">IFERROR(INDEX(nombres[],SMALL(IF(OFFSET(nombres[],0,0,ROWS(nombres[]),1)=SP$1490,ROW(OFFSET(nombres[],0,0,ROWS(nombres[]),1))-ROW(OFFSET(nombres[],0,0,1,1))+1,ROW(OFFSET(nombres[],ROWS(nombres[])-1,0,1,1))+1),$O1547:$O1566),3),"")</f>
        <v/>
      </c>
      <c r="SQ1547" s="42" t="str">
        <f t="array" aca="1" ref="SQ1547" ca="1">IFERROR(INDEX(nombres[],SMALL(IF(OFFSET(nombres[],0,0,ROWS(nombres[]),1)=SQ$1490,ROW(OFFSET(nombres[],0,0,ROWS(nombres[]),1))-ROW(OFFSET(nombres[],0,0,1,1))+1,ROW(OFFSET(nombres[],ROWS(nombres[])-1,0,1,1))+1),$O1547:$O1566),3),"")</f>
        <v/>
      </c>
      <c r="SR1547" s="42" t="str">
        <f t="array" aca="1" ref="SR1547" ca="1">IFERROR(INDEX(nombres[],SMALL(IF(OFFSET(nombres[],0,0,ROWS(nombres[]),1)=SR$1490,ROW(OFFSET(nombres[],0,0,ROWS(nombres[]),1))-ROW(OFFSET(nombres[],0,0,1,1))+1,ROW(OFFSET(nombres[],ROWS(nombres[])-1,0,1,1))+1),$O1547:$O1566),3),"")</f>
        <v/>
      </c>
      <c r="SS1547" s="42" t="str">
        <f t="array" aca="1" ref="SS1547" ca="1">IFERROR(INDEX(nombres[],SMALL(IF(OFFSET(nombres[],0,0,ROWS(nombres[]),1)=SS$1490,ROW(OFFSET(nombres[],0,0,ROWS(nombres[]),1))-ROW(OFFSET(nombres[],0,0,1,1))+1,ROW(OFFSET(nombres[],ROWS(nombres[])-1,0,1,1))+1),$O1547:$O1566),3),"")</f>
        <v/>
      </c>
      <c r="ST1547" s="42" t="str">
        <f t="array" aca="1" ref="ST1547" ca="1">IFERROR(INDEX(nombres[],SMALL(IF(OFFSET(nombres[],0,0,ROWS(nombres[]),1)=ST$1490,ROW(OFFSET(nombres[],0,0,ROWS(nombres[]),1))-ROW(OFFSET(nombres[],0,0,1,1))+1,ROW(OFFSET(nombres[],ROWS(nombres[])-1,0,1,1))+1),$O1547:$O1566),3),"")</f>
        <v/>
      </c>
      <c r="SU1547" s="42" t="str">
        <f t="array" aca="1" ref="SU1547" ca="1">IFERROR(INDEX(nombres[],SMALL(IF(OFFSET(nombres[],0,0,ROWS(nombres[]),1)=SU$1490,ROW(OFFSET(nombres[],0,0,ROWS(nombres[]),1))-ROW(OFFSET(nombres[],0,0,1,1))+1,ROW(OFFSET(nombres[],ROWS(nombres[])-1,0,1,1))+1),$O1547:$O1566),3),"")</f>
        <v/>
      </c>
      <c r="SV1547" s="42" t="str">
        <f t="array" aca="1" ref="SV1547" ca="1">IFERROR(INDEX(nombres[],SMALL(IF(OFFSET(nombres[],0,0,ROWS(nombres[]),1)=SV$1490,ROW(OFFSET(nombres[],0,0,ROWS(nombres[]),1))-ROW(OFFSET(nombres[],0,0,1,1))+1,ROW(OFFSET(nombres[],ROWS(nombres[])-1,0,1,1))+1),$O1547:$O1566),3),"")</f>
        <v/>
      </c>
      <c r="SW1547" s="42" t="str">
        <f t="array" aca="1" ref="SW1547" ca="1">IFERROR(INDEX(nombres[],SMALL(IF(OFFSET(nombres[],0,0,ROWS(nombres[]),1)=SW$1490,ROW(OFFSET(nombres[],0,0,ROWS(nombres[]),1))-ROW(OFFSET(nombres[],0,0,1,1))+1,ROW(OFFSET(nombres[],ROWS(nombres[])-1,0,1,1))+1),$O1547:$O1566),3),"")</f>
        <v/>
      </c>
      <c r="SX1547" s="42" t="str">
        <f t="array" aca="1" ref="SX1547" ca="1">IFERROR(INDEX(nombres[],SMALL(IF(OFFSET(nombres[],0,0,ROWS(nombres[]),1)=SX$1490,ROW(OFFSET(nombres[],0,0,ROWS(nombres[]),1))-ROW(OFFSET(nombres[],0,0,1,1))+1,ROW(OFFSET(nombres[],ROWS(nombres[])-1,0,1,1))+1),$O1547:$O1566),3),"")</f>
        <v/>
      </c>
      <c r="SY1547" s="42" t="str">
        <f t="array" aca="1" ref="SY1547" ca="1">IFERROR(INDEX(nombres[],SMALL(IF(OFFSET(nombres[],0,0,ROWS(nombres[]),1)=SY$1490,ROW(OFFSET(nombres[],0,0,ROWS(nombres[]),1))-ROW(OFFSET(nombres[],0,0,1,1))+1,ROW(OFFSET(nombres[],ROWS(nombres[])-1,0,1,1))+1),$O1547:$O1566),3),"")</f>
        <v/>
      </c>
      <c r="SZ1547" s="42" t="str">
        <f t="array" aca="1" ref="SZ1547" ca="1">IFERROR(INDEX(nombres[],SMALL(IF(OFFSET(nombres[],0,0,ROWS(nombres[]),1)=SZ$1490,ROW(OFFSET(nombres[],0,0,ROWS(nombres[]),1))-ROW(OFFSET(nombres[],0,0,1,1))+1,ROW(OFFSET(nombres[],ROWS(nombres[])-1,0,1,1))+1),$O1547:$O1566),3),"")</f>
        <v/>
      </c>
      <c r="TA1547" s="42" t="str">
        <f t="array" aca="1" ref="TA1547" ca="1">IFERROR(INDEX(nombres[],SMALL(IF(OFFSET(nombres[],0,0,ROWS(nombres[]),1)=TA$1490,ROW(OFFSET(nombres[],0,0,ROWS(nombres[]),1))-ROW(OFFSET(nombres[],0,0,1,1))+1,ROW(OFFSET(nombres[],ROWS(nombres[])-1,0,1,1))+1),$O1547:$O1566),3),"")</f>
        <v/>
      </c>
      <c r="TB1547" s="42" t="str">
        <f t="array" aca="1" ref="TB1547" ca="1">IFERROR(INDEX(nombres[],SMALL(IF(OFFSET(nombres[],0,0,ROWS(nombres[]),1)=TB$1490,ROW(OFFSET(nombres[],0,0,ROWS(nombres[]),1))-ROW(OFFSET(nombres[],0,0,1,1))+1,ROW(OFFSET(nombres[],ROWS(nombres[])-1,0,1,1))+1),$O1547:$O1566),3),"")</f>
        <v/>
      </c>
      <c r="TC1547" s="42" t="str">
        <f t="array" aca="1" ref="TC1547" ca="1">IFERROR(INDEX(nombres[],SMALL(IF(OFFSET(nombres[],0,0,ROWS(nombres[]),1)=TC$1490,ROW(OFFSET(nombres[],0,0,ROWS(nombres[]),1))-ROW(OFFSET(nombres[],0,0,1,1))+1,ROW(OFFSET(nombres[],ROWS(nombres[])-1,0,1,1))+1),$O1547:$O1566),3),"")</f>
        <v/>
      </c>
      <c r="TD1547" s="42" t="str">
        <f t="array" aca="1" ref="TD1547" ca="1">IFERROR(INDEX(nombres[],SMALL(IF(OFFSET(nombres[],0,0,ROWS(nombres[]),1)=TD$1490,ROW(OFFSET(nombres[],0,0,ROWS(nombres[]),1))-ROW(OFFSET(nombres[],0,0,1,1))+1,ROW(OFFSET(nombres[],ROWS(nombres[])-1,0,1,1))+1),$O1547:$O1566),3),"")</f>
        <v/>
      </c>
      <c r="TE1547" s="42" t="str">
        <f t="array" aca="1" ref="TE1547" ca="1">IFERROR(INDEX(nombres[],SMALL(IF(OFFSET(nombres[],0,0,ROWS(nombres[]),1)=TE$1490,ROW(OFFSET(nombres[],0,0,ROWS(nombres[]),1))-ROW(OFFSET(nombres[],0,0,1,1))+1,ROW(OFFSET(nombres[],ROWS(nombres[])-1,0,1,1))+1),$O1547:$O1566),3),"")</f>
        <v/>
      </c>
      <c r="TF1547" s="42" t="str">
        <f t="array" aca="1" ref="TF1547" ca="1">IFERROR(INDEX(nombres[],SMALL(IF(OFFSET(nombres[],0,0,ROWS(nombres[]),1)=TF$1490,ROW(OFFSET(nombres[],0,0,ROWS(nombres[]),1))-ROW(OFFSET(nombres[],0,0,1,1))+1,ROW(OFFSET(nombres[],ROWS(nombres[])-1,0,1,1))+1),$O1547:$O1566),3),"")</f>
        <v/>
      </c>
      <c r="TG1547" s="42" t="str">
        <f t="array" aca="1" ref="TG1547" ca="1">IFERROR(INDEX(nombres[],SMALL(IF(OFFSET(nombres[],0,0,ROWS(nombres[]),1)=TG$1490,ROW(OFFSET(nombres[],0,0,ROWS(nombres[]),1))-ROW(OFFSET(nombres[],0,0,1,1))+1,ROW(OFFSET(nombres[],ROWS(nombres[])-1,0,1,1))+1),$O1547:$O1566),3),"")</f>
        <v/>
      </c>
      <c r="TH1547" s="42" t="str">
        <f t="array" aca="1" ref="TH1547" ca="1">IFERROR(INDEX(nombres[],SMALL(IF(OFFSET(nombres[],0,0,ROWS(nombres[]),1)=TH$1490,ROW(OFFSET(nombres[],0,0,ROWS(nombres[]),1))-ROW(OFFSET(nombres[],0,0,1,1))+1,ROW(OFFSET(nombres[],ROWS(nombres[])-1,0,1,1))+1),$O1547:$O1566),3),"")</f>
        <v/>
      </c>
      <c r="TI1547" s="42" t="str">
        <f t="array" aca="1" ref="TI1547" ca="1">IFERROR(INDEX(nombres[],SMALL(IF(OFFSET(nombres[],0,0,ROWS(nombres[]),1)=TI$1490,ROW(OFFSET(nombres[],0,0,ROWS(nombres[]),1))-ROW(OFFSET(nombres[],0,0,1,1))+1,ROW(OFFSET(nombres[],ROWS(nombres[])-1,0,1,1))+1),$O1547:$O1566),3),"")</f>
        <v/>
      </c>
      <c r="TJ1547" s="42" t="str">
        <f t="array" aca="1" ref="TJ1547" ca="1">IFERROR(INDEX(nombres[],SMALL(IF(OFFSET(nombres[],0,0,ROWS(nombres[]),1)=TJ$1490,ROW(OFFSET(nombres[],0,0,ROWS(nombres[]),1))-ROW(OFFSET(nombres[],0,0,1,1))+1,ROW(OFFSET(nombres[],ROWS(nombres[])-1,0,1,1))+1),$O1547:$O1566),3),"")</f>
        <v/>
      </c>
      <c r="TK1547" s="42" t="str">
        <f t="array" aca="1" ref="TK1547" ca="1">IFERROR(INDEX(nombres[],SMALL(IF(OFFSET(nombres[],0,0,ROWS(nombres[]),1)=TK$1490,ROW(OFFSET(nombres[],0,0,ROWS(nombres[]),1))-ROW(OFFSET(nombres[],0,0,1,1))+1,ROW(OFFSET(nombres[],ROWS(nombres[])-1,0,1,1))+1),$O1547:$O1566),3),"")</f>
        <v/>
      </c>
      <c r="TL1547" s="42" t="str">
        <f t="array" aca="1" ref="TL1547" ca="1">IFERROR(INDEX(nombres[],SMALL(IF(OFFSET(nombres[],0,0,ROWS(nombres[]),1)=TL$1490,ROW(OFFSET(nombres[],0,0,ROWS(nombres[]),1))-ROW(OFFSET(nombres[],0,0,1,1))+1,ROW(OFFSET(nombres[],ROWS(nombres[])-1,0,1,1))+1),$O1547:$O1566),3),"")</f>
        <v/>
      </c>
      <c r="TM1547" s="42" t="str">
        <f t="array" aca="1" ref="TM1547" ca="1">IFERROR(INDEX(nombres[],SMALL(IF(OFFSET(nombres[],0,0,ROWS(nombres[]),1)=TM$1490,ROW(OFFSET(nombres[],0,0,ROWS(nombres[]),1))-ROW(OFFSET(nombres[],0,0,1,1))+1,ROW(OFFSET(nombres[],ROWS(nombres[])-1,0,1,1))+1),$O1547:$O1566),3),"")</f>
        <v/>
      </c>
      <c r="TN1547" s="42" t="str">
        <f t="array" aca="1" ref="TN1547" ca="1">IFERROR(INDEX(nombres[],SMALL(IF(OFFSET(nombres[],0,0,ROWS(nombres[]),1)=TN$1490,ROW(OFFSET(nombres[],0,0,ROWS(nombres[]),1))-ROW(OFFSET(nombres[],0,0,1,1))+1,ROW(OFFSET(nombres[],ROWS(nombres[])-1,0,1,1))+1),$O1547:$O1566),3),"")</f>
        <v/>
      </c>
      <c r="TO1547" s="42" t="str">
        <f t="array" aca="1" ref="TO1547" ca="1">IFERROR(INDEX(nombres[],SMALL(IF(OFFSET(nombres[],0,0,ROWS(nombres[]),1)=TO$1490,ROW(OFFSET(nombres[],0,0,ROWS(nombres[]),1))-ROW(OFFSET(nombres[],0,0,1,1))+1,ROW(OFFSET(nombres[],ROWS(nombres[])-1,0,1,1))+1),$O1547:$O1566),3),"")</f>
        <v/>
      </c>
      <c r="TP1547" s="42" t="str">
        <f t="array" aca="1" ref="TP1547" ca="1">IFERROR(INDEX(nombres[],SMALL(IF(OFFSET(nombres[],0,0,ROWS(nombres[]),1)=TP$1490,ROW(OFFSET(nombres[],0,0,ROWS(nombres[]),1))-ROW(OFFSET(nombres[],0,0,1,1))+1,ROW(OFFSET(nombres[],ROWS(nombres[])-1,0,1,1))+1),$O1547:$O1566),3),"")</f>
        <v/>
      </c>
      <c r="TQ1547" s="42" t="str">
        <f t="array" aca="1" ref="TQ1547" ca="1">IFERROR(INDEX(nombres[],SMALL(IF(OFFSET(nombres[],0,0,ROWS(nombres[]),1)=TQ$1490,ROW(OFFSET(nombres[],0,0,ROWS(nombres[]),1))-ROW(OFFSET(nombres[],0,0,1,1))+1,ROW(OFFSET(nombres[],ROWS(nombres[])-1,0,1,1))+1),$O1547:$O1566),3),"")</f>
        <v/>
      </c>
      <c r="TR1547" s="42" t="str">
        <f t="array" aca="1" ref="TR1547" ca="1">IFERROR(INDEX(nombres[],SMALL(IF(OFFSET(nombres[],0,0,ROWS(nombres[]),1)=TR$1490,ROW(OFFSET(nombres[],0,0,ROWS(nombres[]),1))-ROW(OFFSET(nombres[],0,0,1,1))+1,ROW(OFFSET(nombres[],ROWS(nombres[])-1,0,1,1))+1),$O1547:$O1566),3),"")</f>
        <v/>
      </c>
      <c r="TS1547" s="42" t="str">
        <f t="array" aca="1" ref="TS1547" ca="1">IFERROR(INDEX(nombres[],SMALL(IF(OFFSET(nombres[],0,0,ROWS(nombres[]),1)=TS$1490,ROW(OFFSET(nombres[],0,0,ROWS(nombres[]),1))-ROW(OFFSET(nombres[],0,0,1,1))+1,ROW(OFFSET(nombres[],ROWS(nombres[])-1,0,1,1))+1),$O1547:$O1566),3),"")</f>
        <v/>
      </c>
      <c r="TT1547" s="42" t="str">
        <f t="array" aca="1" ref="TT1547" ca="1">IFERROR(INDEX(nombres[],SMALL(IF(OFFSET(nombres[],0,0,ROWS(nombres[]),1)=TT$1490,ROW(OFFSET(nombres[],0,0,ROWS(nombres[]),1))-ROW(OFFSET(nombres[],0,0,1,1))+1,ROW(OFFSET(nombres[],ROWS(nombres[])-1,0,1,1))+1),$O1547:$O1566),3),"")</f>
        <v/>
      </c>
      <c r="TU1547" s="42" t="str">
        <f t="array" aca="1" ref="TU1547" ca="1">IFERROR(INDEX(nombres[],SMALL(IF(OFFSET(nombres[],0,0,ROWS(nombres[]),1)=TU$1490,ROW(OFFSET(nombres[],0,0,ROWS(nombres[]),1))-ROW(OFFSET(nombres[],0,0,1,1))+1,ROW(OFFSET(nombres[],ROWS(nombres[])-1,0,1,1))+1),$O1547:$O1566),3),"")</f>
        <v/>
      </c>
      <c r="TV1547" s="42" t="str">
        <f t="array" aca="1" ref="TV1547" ca="1">IFERROR(INDEX(nombres[],SMALL(IF(OFFSET(nombres[],0,0,ROWS(nombres[]),1)=TV$1490,ROW(OFFSET(nombres[],0,0,ROWS(nombres[]),1))-ROW(OFFSET(nombres[],0,0,1,1))+1,ROW(OFFSET(nombres[],ROWS(nombres[])-1,0,1,1))+1),$O1547:$O1566),3),"")</f>
        <v/>
      </c>
      <c r="TW1547" s="42" t="str">
        <f t="array" aca="1" ref="TW1547" ca="1">IFERROR(INDEX(nombres[],SMALL(IF(OFFSET(nombres[],0,0,ROWS(nombres[]),1)=TW$1490,ROW(OFFSET(nombres[],0,0,ROWS(nombres[]),1))-ROW(OFFSET(nombres[],0,0,1,1))+1,ROW(OFFSET(nombres[],ROWS(nombres[])-1,0,1,1))+1),$O1547:$O1566),3),"")</f>
        <v/>
      </c>
      <c r="TX1547" s="42" t="str">
        <f t="array" aca="1" ref="TX1547" ca="1">IFERROR(INDEX(nombres[],SMALL(IF(OFFSET(nombres[],0,0,ROWS(nombres[]),1)=TX$1490,ROW(OFFSET(nombres[],0,0,ROWS(nombres[]),1))-ROW(OFFSET(nombres[],0,0,1,1))+1,ROW(OFFSET(nombres[],ROWS(nombres[])-1,0,1,1))+1),$O1547:$O1566),3),"")</f>
        <v/>
      </c>
      <c r="TY1547" s="42" t="str">
        <f t="array" aca="1" ref="TY1547" ca="1">IFERROR(INDEX(nombres[],SMALL(IF(OFFSET(nombres[],0,0,ROWS(nombres[]),1)=TY$1490,ROW(OFFSET(nombres[],0,0,ROWS(nombres[]),1))-ROW(OFFSET(nombres[],0,0,1,1))+1,ROW(OFFSET(nombres[],ROWS(nombres[])-1,0,1,1))+1),$O1547:$O1566),3),"")</f>
        <v/>
      </c>
      <c r="TZ1547" s="42" t="str">
        <f t="array" aca="1" ref="TZ1547" ca="1">IFERROR(INDEX(nombres[],SMALL(IF(OFFSET(nombres[],0,0,ROWS(nombres[]),1)=TZ$1490,ROW(OFFSET(nombres[],0,0,ROWS(nombres[]),1))-ROW(OFFSET(nombres[],0,0,1,1))+1,ROW(OFFSET(nombres[],ROWS(nombres[])-1,0,1,1))+1),$O1547:$O1566),3),"")</f>
        <v/>
      </c>
      <c r="UA1547" s="42" t="str">
        <f t="array" aca="1" ref="UA1547" ca="1">IFERROR(INDEX(nombres[],SMALL(IF(OFFSET(nombres[],0,0,ROWS(nombres[]),1)=UA$1490,ROW(OFFSET(nombres[],0,0,ROWS(nombres[]),1))-ROW(OFFSET(nombres[],0,0,1,1))+1,ROW(OFFSET(nombres[],ROWS(nombres[])-1,0,1,1))+1),$O1547:$O1566),3),"")</f>
        <v/>
      </c>
      <c r="UB1547" s="42" t="str">
        <f t="array" aca="1" ref="UB1547" ca="1">IFERROR(INDEX(nombres[],SMALL(IF(OFFSET(nombres[],0,0,ROWS(nombres[]),1)=UB$1490,ROW(OFFSET(nombres[],0,0,ROWS(nombres[]),1))-ROW(OFFSET(nombres[],0,0,1,1))+1,ROW(OFFSET(nombres[],ROWS(nombres[])-1,0,1,1))+1),$O1547:$O1566),3),"")</f>
        <v/>
      </c>
      <c r="UC1547" s="42" t="str">
        <f t="array" aca="1" ref="UC1547" ca="1">IFERROR(INDEX(nombres[],SMALL(IF(OFFSET(nombres[],0,0,ROWS(nombres[]),1)=UC$1490,ROW(OFFSET(nombres[],0,0,ROWS(nombres[]),1))-ROW(OFFSET(nombres[],0,0,1,1))+1,ROW(OFFSET(nombres[],ROWS(nombres[])-1,0,1,1))+1),$O1547:$O1566),3),"")</f>
        <v/>
      </c>
      <c r="UD1547" s="42" t="str">
        <f t="array" aca="1" ref="UD1547" ca="1">IFERROR(INDEX(nombres[],SMALL(IF(OFFSET(nombres[],0,0,ROWS(nombres[]),1)=UD$1490,ROW(OFFSET(nombres[],0,0,ROWS(nombres[]),1))-ROW(OFFSET(nombres[],0,0,1,1))+1,ROW(OFFSET(nombres[],ROWS(nombres[])-1,0,1,1))+1),$O1547:$O1566),3),"")</f>
        <v/>
      </c>
      <c r="UE1547" s="42" t="str">
        <f t="array" aca="1" ref="UE1547" ca="1">IFERROR(INDEX(nombres[],SMALL(IF(OFFSET(nombres[],0,0,ROWS(nombres[]),1)=UE$1490,ROW(OFFSET(nombres[],0,0,ROWS(nombres[]),1))-ROW(OFFSET(nombres[],0,0,1,1))+1,ROW(OFFSET(nombres[],ROWS(nombres[])-1,0,1,1))+1),$O1547:$O1566),3),"")</f>
        <v/>
      </c>
      <c r="UF1547" s="42" t="str">
        <f t="array" aca="1" ref="UF1547" ca="1">IFERROR(INDEX(nombres[],SMALL(IF(OFFSET(nombres[],0,0,ROWS(nombres[]),1)=UF$1490,ROW(OFFSET(nombres[],0,0,ROWS(nombres[]),1))-ROW(OFFSET(nombres[],0,0,1,1))+1,ROW(OFFSET(nombres[],ROWS(nombres[])-1,0,1,1))+1),$O1547:$O1566),3),"")</f>
        <v/>
      </c>
      <c r="UG1547" s="42" t="str">
        <f t="array" aca="1" ref="UG1547" ca="1">IFERROR(INDEX(nombres[],SMALL(IF(OFFSET(nombres[],0,0,ROWS(nombres[]),1)=UG$1490,ROW(OFFSET(nombres[],0,0,ROWS(nombres[]),1))-ROW(OFFSET(nombres[],0,0,1,1))+1,ROW(OFFSET(nombres[],ROWS(nombres[])-1,0,1,1))+1),$O1547:$O1566),3),"")</f>
        <v/>
      </c>
      <c r="UH1547" s="42" t="str">
        <f t="array" aca="1" ref="UH1547" ca="1">IFERROR(INDEX(nombres[],SMALL(IF(OFFSET(nombres[],0,0,ROWS(nombres[]),1)=UH$1490,ROW(OFFSET(nombres[],0,0,ROWS(nombres[]),1))-ROW(OFFSET(nombres[],0,0,1,1))+1,ROW(OFFSET(nombres[],ROWS(nombres[])-1,0,1,1))+1),$O1547:$O1566),3),"")</f>
        <v/>
      </c>
      <c r="UI1547" s="42" t="str">
        <f t="array" aca="1" ref="UI1547" ca="1">IFERROR(INDEX(nombres[],SMALL(IF(OFFSET(nombres[],0,0,ROWS(nombres[]),1)=UI$1490,ROW(OFFSET(nombres[],0,0,ROWS(nombres[]),1))-ROW(OFFSET(nombres[],0,0,1,1))+1,ROW(OFFSET(nombres[],ROWS(nombres[])-1,0,1,1))+1),$O1547:$O1566),3),"")</f>
        <v/>
      </c>
      <c r="UJ1547" s="42" t="str">
        <f t="array" aca="1" ref="UJ1547" ca="1">IFERROR(INDEX(nombres[],SMALL(IF(OFFSET(nombres[],0,0,ROWS(nombres[]),1)=UJ$1490,ROW(OFFSET(nombres[],0,0,ROWS(nombres[]),1))-ROW(OFFSET(nombres[],0,0,1,1))+1,ROW(OFFSET(nombres[],ROWS(nombres[])-1,0,1,1))+1),$O1547:$O1566),3),"")</f>
        <v/>
      </c>
      <c r="UK1547" s="42" t="str">
        <f t="array" aca="1" ref="UK1547" ca="1">IFERROR(INDEX(nombres[],SMALL(IF(OFFSET(nombres[],0,0,ROWS(nombres[]),1)=UK$1490,ROW(OFFSET(nombres[],0,0,ROWS(nombres[]),1))-ROW(OFFSET(nombres[],0,0,1,1))+1,ROW(OFFSET(nombres[],ROWS(nombres[])-1,0,1,1))+1),$O1547:$O1566),3),"")</f>
        <v/>
      </c>
      <c r="UL1547" s="42" t="str">
        <f t="array" aca="1" ref="UL1547" ca="1">IFERROR(INDEX(nombres[],SMALL(IF(OFFSET(nombres[],0,0,ROWS(nombres[]),1)=UL$1490,ROW(OFFSET(nombres[],0,0,ROWS(nombres[]),1))-ROW(OFFSET(nombres[],0,0,1,1))+1,ROW(OFFSET(nombres[],ROWS(nombres[])-1,0,1,1))+1),$O1547:$O1566),3),"")</f>
        <v/>
      </c>
      <c r="UM1547" s="42" t="str">
        <f t="array" aca="1" ref="UM1547" ca="1">IFERROR(INDEX(nombres[],SMALL(IF(OFFSET(nombres[],0,0,ROWS(nombres[]),1)=UM$1490,ROW(OFFSET(nombres[],0,0,ROWS(nombres[]),1))-ROW(OFFSET(nombres[],0,0,1,1))+1,ROW(OFFSET(nombres[],ROWS(nombres[])-1,0,1,1))+1),$O1547:$O1566),3),"")</f>
        <v/>
      </c>
      <c r="UN1547" s="42" t="str">
        <f t="array" aca="1" ref="UN1547" ca="1">IFERROR(INDEX(nombres[],SMALL(IF(OFFSET(nombres[],0,0,ROWS(nombres[]),1)=UN$1490,ROW(OFFSET(nombres[],0,0,ROWS(nombres[]),1))-ROW(OFFSET(nombres[],0,0,1,1))+1,ROW(OFFSET(nombres[],ROWS(nombres[])-1,0,1,1))+1),$O1547:$O1566),3),"")</f>
        <v/>
      </c>
      <c r="UO1547" s="42" t="str">
        <f t="array" aca="1" ref="UO1547" ca="1">IFERROR(INDEX(nombres[],SMALL(IF(OFFSET(nombres[],0,0,ROWS(nombres[]),1)=UO$1490,ROW(OFFSET(nombres[],0,0,ROWS(nombres[]),1))-ROW(OFFSET(nombres[],0,0,1,1))+1,ROW(OFFSET(nombres[],ROWS(nombres[])-1,0,1,1))+1),$O1547:$O1566),3),"")</f>
        <v/>
      </c>
      <c r="UP1547" s="42" t="str">
        <f t="array" aca="1" ref="UP1547" ca="1">IFERROR(INDEX(nombres[],SMALL(IF(OFFSET(nombres[],0,0,ROWS(nombres[]),1)=UP$1490,ROW(OFFSET(nombres[],0,0,ROWS(nombres[]),1))-ROW(OFFSET(nombres[],0,0,1,1))+1,ROW(OFFSET(nombres[],ROWS(nombres[])-1,0,1,1))+1),$O1547:$O1566),3),"")</f>
        <v/>
      </c>
      <c r="UQ1547" s="42" t="str">
        <f t="array" aca="1" ref="UQ1547" ca="1">IFERROR(INDEX(nombres[],SMALL(IF(OFFSET(nombres[],0,0,ROWS(nombres[]),1)=UQ$1490,ROW(OFFSET(nombres[],0,0,ROWS(nombres[]),1))-ROW(OFFSET(nombres[],0,0,1,1))+1,ROW(OFFSET(nombres[],ROWS(nombres[])-1,0,1,1))+1),$O1547:$O1566),3),"")</f>
        <v/>
      </c>
      <c r="UR1547" s="42" t="str">
        <f t="array" aca="1" ref="UR1547" ca="1">IFERROR(INDEX(nombres[],SMALL(IF(OFFSET(nombres[],0,0,ROWS(nombres[]),1)=UR$1490,ROW(OFFSET(nombres[],0,0,ROWS(nombres[]),1))-ROW(OFFSET(nombres[],0,0,1,1))+1,ROW(OFFSET(nombres[],ROWS(nombres[])-1,0,1,1))+1),$O1547:$O1566),3),"")</f>
        <v/>
      </c>
      <c r="US1547" s="42" t="str">
        <f t="array" aca="1" ref="US1547" ca="1">IFERROR(INDEX(nombres[],SMALL(IF(OFFSET(nombres[],0,0,ROWS(nombres[]),1)=US$1490,ROW(OFFSET(nombres[],0,0,ROWS(nombres[]),1))-ROW(OFFSET(nombres[],0,0,1,1))+1,ROW(OFFSET(nombres[],ROWS(nombres[])-1,0,1,1))+1),$O1547:$O1566),3),"")</f>
        <v/>
      </c>
      <c r="UT1547" s="42" t="str">
        <f t="array" aca="1" ref="UT1547" ca="1">IFERROR(INDEX(nombres[],SMALL(IF(OFFSET(nombres[],0,0,ROWS(nombres[]),1)=UT$1490,ROW(OFFSET(nombres[],0,0,ROWS(nombres[]),1))-ROW(OFFSET(nombres[],0,0,1,1))+1,ROW(OFFSET(nombres[],ROWS(nombres[])-1,0,1,1))+1),$O1547:$O1566),3),"")</f>
        <v/>
      </c>
      <c r="UU1547" s="42" t="str">
        <f t="array" aca="1" ref="UU1547" ca="1">IFERROR(INDEX(nombres[],SMALL(IF(OFFSET(nombres[],0,0,ROWS(nombres[]),1)=UU$1490,ROW(OFFSET(nombres[],0,0,ROWS(nombres[]),1))-ROW(OFFSET(nombres[],0,0,1,1))+1,ROW(OFFSET(nombres[],ROWS(nombres[])-1,0,1,1))+1),$O1547:$O1566),3),"")</f>
        <v/>
      </c>
      <c r="UV1547" s="42" t="str">
        <f t="array" aca="1" ref="UV1547" ca="1">IFERROR(INDEX(nombres[],SMALL(IF(OFFSET(nombres[],0,0,ROWS(nombres[]),1)=UV$1490,ROW(OFFSET(nombres[],0,0,ROWS(nombres[]),1))-ROW(OFFSET(nombres[],0,0,1,1))+1,ROW(OFFSET(nombres[],ROWS(nombres[])-1,0,1,1))+1),$O1547:$O1566),3),"")</f>
        <v/>
      </c>
      <c r="UW1547" s="42" t="str">
        <f t="array" aca="1" ref="UW1547" ca="1">IFERROR(INDEX(nombres[],SMALL(IF(OFFSET(nombres[],0,0,ROWS(nombres[]),1)=UW$1490,ROW(OFFSET(nombres[],0,0,ROWS(nombres[]),1))-ROW(OFFSET(nombres[],0,0,1,1))+1,ROW(OFFSET(nombres[],ROWS(nombres[])-1,0,1,1))+1),$O1547:$O1566),3),"")</f>
        <v/>
      </c>
      <c r="UX1547" s="42" t="str">
        <f t="array" aca="1" ref="UX1547" ca="1">IFERROR(INDEX(nombres[],SMALL(IF(OFFSET(nombres[],0,0,ROWS(nombres[]),1)=UX$1490,ROW(OFFSET(nombres[],0,0,ROWS(nombres[]),1))-ROW(OFFSET(nombres[],0,0,1,1))+1,ROW(OFFSET(nombres[],ROWS(nombres[])-1,0,1,1))+1),$O1547:$O1566),3),"")</f>
        <v/>
      </c>
      <c r="UY1547" s="42" t="str">
        <f t="array" aca="1" ref="UY1547" ca="1">IFERROR(INDEX(nombres[],SMALL(IF(OFFSET(nombres[],0,0,ROWS(nombres[]),1)=UY$1490,ROW(OFFSET(nombres[],0,0,ROWS(nombres[]),1))-ROW(OFFSET(nombres[],0,0,1,1))+1,ROW(OFFSET(nombres[],ROWS(nombres[])-1,0,1,1))+1),$O1547:$O1566),3),"")</f>
        <v/>
      </c>
      <c r="UZ1547" s="42" t="str">
        <f t="array" aca="1" ref="UZ1547" ca="1">IFERROR(INDEX(nombres[],SMALL(IF(OFFSET(nombres[],0,0,ROWS(nombres[]),1)=UZ$1490,ROW(OFFSET(nombres[],0,0,ROWS(nombres[]),1))-ROW(OFFSET(nombres[],0,0,1,1))+1,ROW(OFFSET(nombres[],ROWS(nombres[])-1,0,1,1))+1),$O1547:$O1566),3),"")</f>
        <v/>
      </c>
      <c r="VA1547" s="42" t="str">
        <f t="array" aca="1" ref="VA1547" ca="1">IFERROR(INDEX(nombres[],SMALL(IF(OFFSET(nombres[],0,0,ROWS(nombres[]),1)=VA$1490,ROW(OFFSET(nombres[],0,0,ROWS(nombres[]),1))-ROW(OFFSET(nombres[],0,0,1,1))+1,ROW(OFFSET(nombres[],ROWS(nombres[])-1,0,1,1))+1),$O1547:$O1566),3),"")</f>
        <v/>
      </c>
      <c r="VB1547" s="42" t="str">
        <f t="array" aca="1" ref="VB1547" ca="1">IFERROR(INDEX(nombres[],SMALL(IF(OFFSET(nombres[],0,0,ROWS(nombres[]),1)=VB$1490,ROW(OFFSET(nombres[],0,0,ROWS(nombres[]),1))-ROW(OFFSET(nombres[],0,0,1,1))+1,ROW(OFFSET(nombres[],ROWS(nombres[])-1,0,1,1))+1),$O1547:$O1566),3),"")</f>
        <v/>
      </c>
      <c r="VC1547" s="42" t="str">
        <f t="array" aca="1" ref="VC1547" ca="1">IFERROR(INDEX(nombres[],SMALL(IF(OFFSET(nombres[],0,0,ROWS(nombres[]),1)=VC$1490,ROW(OFFSET(nombres[],0,0,ROWS(nombres[]),1))-ROW(OFFSET(nombres[],0,0,1,1))+1,ROW(OFFSET(nombres[],ROWS(nombres[])-1,0,1,1))+1),$O1547:$O1566),3),"")</f>
        <v/>
      </c>
      <c r="VD1547" s="42" t="str">
        <f t="array" aca="1" ref="VD1547" ca="1">IFERROR(INDEX(nombres[],SMALL(IF(OFFSET(nombres[],0,0,ROWS(nombres[]),1)=VD$1490,ROW(OFFSET(nombres[],0,0,ROWS(nombres[]),1))-ROW(OFFSET(nombres[],0,0,1,1))+1,ROW(OFFSET(nombres[],ROWS(nombres[])-1,0,1,1))+1),$O1547:$O1566),3),"")</f>
        <v/>
      </c>
      <c r="VE1547" s="42" t="str">
        <f t="array" aca="1" ref="VE1547" ca="1">IFERROR(INDEX(nombres[],SMALL(IF(OFFSET(nombres[],0,0,ROWS(nombres[]),1)=VE$1490,ROW(OFFSET(nombres[],0,0,ROWS(nombres[]),1))-ROW(OFFSET(nombres[],0,0,1,1))+1,ROW(OFFSET(nombres[],ROWS(nombres[])-1,0,1,1))+1),$O1547:$O1566),3),"")</f>
        <v/>
      </c>
      <c r="VF1547" s="42" t="str">
        <f t="array" aca="1" ref="VF1547" ca="1">IFERROR(INDEX(nombres[],SMALL(IF(OFFSET(nombres[],0,0,ROWS(nombres[]),1)=VF$1490,ROW(OFFSET(nombres[],0,0,ROWS(nombres[]),1))-ROW(OFFSET(nombres[],0,0,1,1))+1,ROW(OFFSET(nombres[],ROWS(nombres[])-1,0,1,1))+1),$O1547:$O1566),3),"")</f>
        <v/>
      </c>
      <c r="VG1547" s="42" t="str">
        <f t="array" aca="1" ref="VG1547" ca="1">IFERROR(INDEX(nombres[],SMALL(IF(OFFSET(nombres[],0,0,ROWS(nombres[]),1)=VG$1490,ROW(OFFSET(nombres[],0,0,ROWS(nombres[]),1))-ROW(OFFSET(nombres[],0,0,1,1))+1,ROW(OFFSET(nombres[],ROWS(nombres[])-1,0,1,1))+1),$O1547:$O1566),3),"")</f>
        <v/>
      </c>
      <c r="VH1547" s="42" t="str">
        <f t="array" aca="1" ref="VH1547" ca="1">IFERROR(INDEX(nombres[],SMALL(IF(OFFSET(nombres[],0,0,ROWS(nombres[]),1)=VH$1490,ROW(OFFSET(nombres[],0,0,ROWS(nombres[]),1))-ROW(OFFSET(nombres[],0,0,1,1))+1,ROW(OFFSET(nombres[],ROWS(nombres[])-1,0,1,1))+1),$O1547:$O1566),3),"")</f>
        <v/>
      </c>
      <c r="VI1547" s="42" t="str">
        <f t="array" aca="1" ref="VI1547" ca="1">IFERROR(INDEX(nombres[],SMALL(IF(OFFSET(nombres[],0,0,ROWS(nombres[]),1)=VI$1490,ROW(OFFSET(nombres[],0,0,ROWS(nombres[]),1))-ROW(OFFSET(nombres[],0,0,1,1))+1,ROW(OFFSET(nombres[],ROWS(nombres[])-1,0,1,1))+1),$O1547:$O1566),3),"")</f>
        <v/>
      </c>
      <c r="VJ1547" s="42" t="str">
        <f t="array" aca="1" ref="VJ1547" ca="1">IFERROR(INDEX(nombres[],SMALL(IF(OFFSET(nombres[],0,0,ROWS(nombres[]),1)=VJ$1490,ROW(OFFSET(nombres[],0,0,ROWS(nombres[]),1))-ROW(OFFSET(nombres[],0,0,1,1))+1,ROW(OFFSET(nombres[],ROWS(nombres[])-1,0,1,1))+1),$O1547:$O1566),3),"")</f>
        <v/>
      </c>
      <c r="VK1547" s="42" t="str">
        <f t="array" aca="1" ref="VK1547" ca="1">IFERROR(INDEX(nombres[],SMALL(IF(OFFSET(nombres[],0,0,ROWS(nombres[]),1)=VK$1490,ROW(OFFSET(nombres[],0,0,ROWS(nombres[]),1))-ROW(OFFSET(nombres[],0,0,1,1))+1,ROW(OFFSET(nombres[],ROWS(nombres[])-1,0,1,1))+1),$O1547:$O1566),3),"")</f>
        <v/>
      </c>
      <c r="VL1547" s="42" t="str">
        <f t="array" aca="1" ref="VL1547" ca="1">IFERROR(INDEX(nombres[],SMALL(IF(OFFSET(nombres[],0,0,ROWS(nombres[]),1)=VL$1490,ROW(OFFSET(nombres[],0,0,ROWS(nombres[]),1))-ROW(OFFSET(nombres[],0,0,1,1))+1,ROW(OFFSET(nombres[],ROWS(nombres[])-1,0,1,1))+1),$O1547:$O1566),3),"")</f>
        <v/>
      </c>
      <c r="VM1547" s="42" t="str">
        <f t="array" aca="1" ref="VM1547" ca="1">IFERROR(INDEX(nombres[],SMALL(IF(OFFSET(nombres[],0,0,ROWS(nombres[]),1)=VM$1490,ROW(OFFSET(nombres[],0,0,ROWS(nombres[]),1))-ROW(OFFSET(nombres[],0,0,1,1))+1,ROW(OFFSET(nombres[],ROWS(nombres[])-1,0,1,1))+1),$O1547:$O1566),3),"")</f>
        <v/>
      </c>
      <c r="VN1547" s="42" t="str">
        <f t="array" aca="1" ref="VN1547" ca="1">IFERROR(INDEX(nombres[],SMALL(IF(OFFSET(nombres[],0,0,ROWS(nombres[]),1)=VN$1490,ROW(OFFSET(nombres[],0,0,ROWS(nombres[]),1))-ROW(OFFSET(nombres[],0,0,1,1))+1,ROW(OFFSET(nombres[],ROWS(nombres[])-1,0,1,1))+1),$O1547:$O1566),3),"")</f>
        <v/>
      </c>
      <c r="VO1547" s="42" t="str">
        <f t="array" aca="1" ref="VO1547" ca="1">IFERROR(INDEX(nombres[],SMALL(IF(OFFSET(nombres[],0,0,ROWS(nombres[]),1)=VO$1490,ROW(OFFSET(nombres[],0,0,ROWS(nombres[]),1))-ROW(OFFSET(nombres[],0,0,1,1))+1,ROW(OFFSET(nombres[],ROWS(nombres[])-1,0,1,1))+1),$O1547:$O1566),3),"")</f>
        <v/>
      </c>
      <c r="VP1547" s="42" t="str">
        <f t="array" aca="1" ref="VP1547" ca="1">IFERROR(INDEX(nombres[],SMALL(IF(OFFSET(nombres[],0,0,ROWS(nombres[]),1)=VP$1490,ROW(OFFSET(nombres[],0,0,ROWS(nombres[]),1))-ROW(OFFSET(nombres[],0,0,1,1))+1,ROW(OFFSET(nombres[],ROWS(nombres[])-1,0,1,1))+1),$O1547:$O1566),3),"")</f>
        <v/>
      </c>
      <c r="VQ1547" s="42" t="str">
        <f t="array" aca="1" ref="VQ1547" ca="1">IFERROR(INDEX(nombres[],SMALL(IF(OFFSET(nombres[],0,0,ROWS(nombres[]),1)=VQ$1490,ROW(OFFSET(nombres[],0,0,ROWS(nombres[]),1))-ROW(OFFSET(nombres[],0,0,1,1))+1,ROW(OFFSET(nombres[],ROWS(nombres[])-1,0,1,1))+1),$O1547:$O1566),3),"")</f>
        <v/>
      </c>
      <c r="VR1547" s="42" t="str">
        <f t="array" aca="1" ref="VR1547" ca="1">IFERROR(INDEX(nombres[],SMALL(IF(OFFSET(nombres[],0,0,ROWS(nombres[]),1)=VR$1490,ROW(OFFSET(nombres[],0,0,ROWS(nombres[]),1))-ROW(OFFSET(nombres[],0,0,1,1))+1,ROW(OFFSET(nombres[],ROWS(nombres[])-1,0,1,1))+1),$O1547:$O1566),3),"")</f>
        <v/>
      </c>
      <c r="VS1547" s="42" t="str">
        <f t="array" aca="1" ref="VS1547" ca="1">IFERROR(INDEX(nombres[],SMALL(IF(OFFSET(nombres[],0,0,ROWS(nombres[]),1)=VS$1490,ROW(OFFSET(nombres[],0,0,ROWS(nombres[]),1))-ROW(OFFSET(nombres[],0,0,1,1))+1,ROW(OFFSET(nombres[],ROWS(nombres[])-1,0,1,1))+1),$O1547:$O1566),3),"")</f>
        <v/>
      </c>
      <c r="VT1547" s="42" t="str">
        <f t="array" aca="1" ref="VT1547" ca="1">IFERROR(INDEX(nombres[],SMALL(IF(OFFSET(nombres[],0,0,ROWS(nombres[]),1)=VT$1490,ROW(OFFSET(nombres[],0,0,ROWS(nombres[]),1))-ROW(OFFSET(nombres[],0,0,1,1))+1,ROW(OFFSET(nombres[],ROWS(nombres[])-1,0,1,1))+1),$O1547:$O1566),3),"")</f>
        <v/>
      </c>
      <c r="VU1547" s="42" t="str">
        <f t="array" aca="1" ref="VU1547" ca="1">IFERROR(INDEX(nombres[],SMALL(IF(OFFSET(nombres[],0,0,ROWS(nombres[]),1)=VU$1490,ROW(OFFSET(nombres[],0,0,ROWS(nombres[]),1))-ROW(OFFSET(nombres[],0,0,1,1))+1,ROW(OFFSET(nombres[],ROWS(nombres[])-1,0,1,1))+1),$O1547:$O1566),3),"")</f>
        <v/>
      </c>
      <c r="VV1547" s="42" t="str">
        <f t="array" aca="1" ref="VV1547" ca="1">IFERROR(INDEX(nombres[],SMALL(IF(OFFSET(nombres[],0,0,ROWS(nombres[]),1)=VV$1490,ROW(OFFSET(nombres[],0,0,ROWS(nombres[]),1))-ROW(OFFSET(nombres[],0,0,1,1))+1,ROW(OFFSET(nombres[],ROWS(nombres[])-1,0,1,1))+1),$O1547:$O1566),3),"")</f>
        <v/>
      </c>
      <c r="VW1547" s="42" t="str">
        <f t="array" aca="1" ref="VW1547" ca="1">IFERROR(INDEX(nombres[],SMALL(IF(OFFSET(nombres[],0,0,ROWS(nombres[]),1)=VW$1490,ROW(OFFSET(nombres[],0,0,ROWS(nombres[]),1))-ROW(OFFSET(nombres[],0,0,1,1))+1,ROW(OFFSET(nombres[],ROWS(nombres[])-1,0,1,1))+1),$O1547:$O1566),3),"")</f>
        <v/>
      </c>
      <c r="VX1547" s="42" t="str">
        <f t="array" aca="1" ref="VX1547" ca="1">IFERROR(INDEX(nombres[],SMALL(IF(OFFSET(nombres[],0,0,ROWS(nombres[]),1)=VX$1490,ROW(OFFSET(nombres[],0,0,ROWS(nombres[]),1))-ROW(OFFSET(nombres[],0,0,1,1))+1,ROW(OFFSET(nombres[],ROWS(nombres[])-1,0,1,1))+1),$O1547:$O1566),3),"")</f>
        <v/>
      </c>
      <c r="VY1547" s="42" t="str">
        <f t="array" aca="1" ref="VY1547" ca="1">IFERROR(INDEX(nombres[],SMALL(IF(OFFSET(nombres[],0,0,ROWS(nombres[]),1)=VY$1490,ROW(OFFSET(nombres[],0,0,ROWS(nombres[]),1))-ROW(OFFSET(nombres[],0,0,1,1))+1,ROW(OFFSET(nombres[],ROWS(nombres[])-1,0,1,1))+1),$O1547:$O1566),3),"")</f>
        <v/>
      </c>
      <c r="VZ1547" s="42" t="str">
        <f t="array" aca="1" ref="VZ1547" ca="1">IFERROR(INDEX(nombres[],SMALL(IF(OFFSET(nombres[],0,0,ROWS(nombres[]),1)=VZ$1490,ROW(OFFSET(nombres[],0,0,ROWS(nombres[]),1))-ROW(OFFSET(nombres[],0,0,1,1))+1,ROW(OFFSET(nombres[],ROWS(nombres[])-1,0,1,1))+1),$O1547:$O1566),3),"")</f>
        <v/>
      </c>
      <c r="WA1547" s="42" t="str">
        <f t="array" aca="1" ref="WA1547" ca="1">IFERROR(INDEX(nombres[],SMALL(IF(OFFSET(nombres[],0,0,ROWS(nombres[]),1)=WA$1490,ROW(OFFSET(nombres[],0,0,ROWS(nombres[]),1))-ROW(OFFSET(nombres[],0,0,1,1))+1,ROW(OFFSET(nombres[],ROWS(nombres[])-1,0,1,1))+1),$O1547:$O1566),3),"")</f>
        <v/>
      </c>
      <c r="WB1547" s="42" t="str">
        <f t="array" aca="1" ref="WB1547" ca="1">IFERROR(INDEX(nombres[],SMALL(IF(OFFSET(nombres[],0,0,ROWS(nombres[]),1)=WB$1490,ROW(OFFSET(nombres[],0,0,ROWS(nombres[]),1))-ROW(OFFSET(nombres[],0,0,1,1))+1,ROW(OFFSET(nombres[],ROWS(nombres[])-1,0,1,1))+1),$O1547:$O1566),3),"")</f>
        <v/>
      </c>
      <c r="WC1547" s="42" t="str">
        <f t="array" aca="1" ref="WC1547" ca="1">IFERROR(INDEX(nombres[],SMALL(IF(OFFSET(nombres[],0,0,ROWS(nombres[]),1)=WC$1490,ROW(OFFSET(nombres[],0,0,ROWS(nombres[]),1))-ROW(OFFSET(nombres[],0,0,1,1))+1,ROW(OFFSET(nombres[],ROWS(nombres[])-1,0,1,1))+1),$O1547:$O1566),3),"")</f>
        <v/>
      </c>
      <c r="WD1547" s="42" t="str">
        <f t="array" aca="1" ref="WD1547" ca="1">IFERROR(INDEX(nombres[],SMALL(IF(OFFSET(nombres[],0,0,ROWS(nombres[]),1)=WD$1490,ROW(OFFSET(nombres[],0,0,ROWS(nombres[]),1))-ROW(OFFSET(nombres[],0,0,1,1))+1,ROW(OFFSET(nombres[],ROWS(nombres[])-1,0,1,1))+1),$O1547:$O1566),3),"")</f>
        <v/>
      </c>
      <c r="WE1547" s="42" t="str">
        <f t="array" aca="1" ref="WE1547" ca="1">IFERROR(INDEX(nombres[],SMALL(IF(OFFSET(nombres[],0,0,ROWS(nombres[]),1)=WE$1490,ROW(OFFSET(nombres[],0,0,ROWS(nombres[]),1))-ROW(OFFSET(nombres[],0,0,1,1))+1,ROW(OFFSET(nombres[],ROWS(nombres[])-1,0,1,1))+1),$O1547:$O1566),3),"")</f>
        <v/>
      </c>
      <c r="WF1547" s="42" t="str">
        <f t="array" aca="1" ref="WF1547" ca="1">IFERROR(INDEX(nombres[],SMALL(IF(OFFSET(nombres[],0,0,ROWS(nombres[]),1)=WF$1490,ROW(OFFSET(nombres[],0,0,ROWS(nombres[]),1))-ROW(OFFSET(nombres[],0,0,1,1))+1,ROW(OFFSET(nombres[],ROWS(nombres[])-1,0,1,1))+1),$O1547:$O1566),3),"")</f>
        <v/>
      </c>
      <c r="WG1547" s="42" t="str">
        <f t="array" aca="1" ref="WG1547" ca="1">IFERROR(INDEX(nombres[],SMALL(IF(OFFSET(nombres[],0,0,ROWS(nombres[]),1)=WG$1490,ROW(OFFSET(nombres[],0,0,ROWS(nombres[]),1))-ROW(OFFSET(nombres[],0,0,1,1))+1,ROW(OFFSET(nombres[],ROWS(nombres[])-1,0,1,1))+1),$O1547:$O1566),3),"")</f>
        <v/>
      </c>
      <c r="WH1547" s="42" t="str">
        <f t="array" aca="1" ref="WH1547" ca="1">IFERROR(INDEX(nombres[],SMALL(IF(OFFSET(nombres[],0,0,ROWS(nombres[]),1)=WH$1490,ROW(OFFSET(nombres[],0,0,ROWS(nombres[]),1))-ROW(OFFSET(nombres[],0,0,1,1))+1,ROW(OFFSET(nombres[],ROWS(nombres[])-1,0,1,1))+1),$O1547:$O1566),3),"")</f>
        <v/>
      </c>
      <c r="WI1547" s="42" t="str">
        <f t="array" aca="1" ref="WI1547" ca="1">IFERROR(INDEX(nombres[],SMALL(IF(OFFSET(nombres[],0,0,ROWS(nombres[]),1)=WI$1490,ROW(OFFSET(nombres[],0,0,ROWS(nombres[]),1))-ROW(OFFSET(nombres[],0,0,1,1))+1,ROW(OFFSET(nombres[],ROWS(nombres[])-1,0,1,1))+1),$O1547:$O1566),3),"")</f>
        <v/>
      </c>
      <c r="WJ1547" s="42" t="str">
        <f t="array" aca="1" ref="WJ1547" ca="1">IFERROR(INDEX(nombres[],SMALL(IF(OFFSET(nombres[],0,0,ROWS(nombres[]),1)=WJ$1490,ROW(OFFSET(nombres[],0,0,ROWS(nombres[]),1))-ROW(OFFSET(nombres[],0,0,1,1))+1,ROW(OFFSET(nombres[],ROWS(nombres[])-1,0,1,1))+1),$O1547:$O1566),3),"")</f>
        <v/>
      </c>
      <c r="WK1547" s="42" t="str">
        <f t="array" aca="1" ref="WK1547" ca="1">IFERROR(INDEX(nombres[],SMALL(IF(OFFSET(nombres[],0,0,ROWS(nombres[]),1)=WK$1490,ROW(OFFSET(nombres[],0,0,ROWS(nombres[]),1))-ROW(OFFSET(nombres[],0,0,1,1))+1,ROW(OFFSET(nombres[],ROWS(nombres[])-1,0,1,1))+1),$O1547:$O1566),3),"")</f>
        <v/>
      </c>
      <c r="WL1547" s="42" t="str">
        <f t="array" aca="1" ref="WL1547" ca="1">IFERROR(INDEX(nombres[],SMALL(IF(OFFSET(nombres[],0,0,ROWS(nombres[]),1)=WL$1490,ROW(OFFSET(nombres[],0,0,ROWS(nombres[]),1))-ROW(OFFSET(nombres[],0,0,1,1))+1,ROW(OFFSET(nombres[],ROWS(nombres[])-1,0,1,1))+1),$O1547:$O1566),3),"")</f>
        <v/>
      </c>
      <c r="WM1547" s="42" t="str">
        <f t="array" aca="1" ref="WM1547" ca="1">IFERROR(INDEX(nombres[],SMALL(IF(OFFSET(nombres[],0,0,ROWS(nombres[]),1)=WM$1490,ROW(OFFSET(nombres[],0,0,ROWS(nombres[]),1))-ROW(OFFSET(nombres[],0,0,1,1))+1,ROW(OFFSET(nombres[],ROWS(nombres[])-1,0,1,1))+1),$O1547:$O1566),3),"")</f>
        <v/>
      </c>
      <c r="WN1547" s="42" t="str">
        <f t="array" aca="1" ref="WN1547" ca="1">IFERROR(INDEX(nombres[],SMALL(IF(OFFSET(nombres[],0,0,ROWS(nombres[]),1)=WN$1490,ROW(OFFSET(nombres[],0,0,ROWS(nombres[]),1))-ROW(OFFSET(nombres[],0,0,1,1))+1,ROW(OFFSET(nombres[],ROWS(nombres[])-1,0,1,1))+1),$O1547:$O1566),3),"")</f>
        <v/>
      </c>
      <c r="WO1547" s="42" t="str">
        <f t="array" aca="1" ref="WO1547" ca="1">IFERROR(INDEX(nombres[],SMALL(IF(OFFSET(nombres[],0,0,ROWS(nombres[]),1)=WO$1490,ROW(OFFSET(nombres[],0,0,ROWS(nombres[]),1))-ROW(OFFSET(nombres[],0,0,1,1))+1,ROW(OFFSET(nombres[],ROWS(nombres[])-1,0,1,1))+1),$O1547:$O1566),3),"")</f>
        <v/>
      </c>
      <c r="WP1547" s="42" t="str">
        <f t="array" aca="1" ref="WP1547" ca="1">IFERROR(INDEX(nombres[],SMALL(IF(OFFSET(nombres[],0,0,ROWS(nombres[]),1)=WP$1490,ROW(OFFSET(nombres[],0,0,ROWS(nombres[]),1))-ROW(OFFSET(nombres[],0,0,1,1))+1,ROW(OFFSET(nombres[],ROWS(nombres[])-1,0,1,1))+1),$O1547:$O1566),3),"")</f>
        <v/>
      </c>
      <c r="WQ1547" s="42" t="str">
        <f t="array" aca="1" ref="WQ1547" ca="1">IFERROR(INDEX(nombres[],SMALL(IF(OFFSET(nombres[],0,0,ROWS(nombres[]),1)=WQ$1490,ROW(OFFSET(nombres[],0,0,ROWS(nombres[]),1))-ROW(OFFSET(nombres[],0,0,1,1))+1,ROW(OFFSET(nombres[],ROWS(nombres[])-1,0,1,1))+1),$O1547:$O1566),3),"")</f>
        <v/>
      </c>
      <c r="WR1547" s="42" t="str">
        <f t="array" aca="1" ref="WR1547" ca="1">IFERROR(INDEX(nombres[],SMALL(IF(OFFSET(nombres[],0,0,ROWS(nombres[]),1)=WR$1490,ROW(OFFSET(nombres[],0,0,ROWS(nombres[]),1))-ROW(OFFSET(nombres[],0,0,1,1))+1,ROW(OFFSET(nombres[],ROWS(nombres[])-1,0,1,1))+1),$O1547:$O1566),3),"")</f>
        <v/>
      </c>
      <c r="WS1547" s="42" t="str">
        <f t="array" aca="1" ref="WS1547" ca="1">IFERROR(INDEX(nombres[],SMALL(IF(OFFSET(nombres[],0,0,ROWS(nombres[]),1)=WS$1490,ROW(OFFSET(nombres[],0,0,ROWS(nombres[]),1))-ROW(OFFSET(nombres[],0,0,1,1))+1,ROW(OFFSET(nombres[],ROWS(nombres[])-1,0,1,1))+1),$O1547:$O1566),3),"")</f>
        <v/>
      </c>
      <c r="WT1547" s="42" t="str">
        <f t="array" aca="1" ref="WT1547" ca="1">IFERROR(INDEX(nombres[],SMALL(IF(OFFSET(nombres[],0,0,ROWS(nombres[]),1)=WT$1490,ROW(OFFSET(nombres[],0,0,ROWS(nombres[]),1))-ROW(OFFSET(nombres[],0,0,1,1))+1,ROW(OFFSET(nombres[],ROWS(nombres[])-1,0,1,1))+1),$O1547:$O1566),3),"")</f>
        <v/>
      </c>
      <c r="WU1547" s="42" t="str">
        <f t="array" aca="1" ref="WU1547" ca="1">IFERROR(INDEX(nombres[],SMALL(IF(OFFSET(nombres[],0,0,ROWS(nombres[]),1)=WU$1490,ROW(OFFSET(nombres[],0,0,ROWS(nombres[]),1))-ROW(OFFSET(nombres[],0,0,1,1))+1,ROW(OFFSET(nombres[],ROWS(nombres[])-1,0,1,1))+1),$O1547:$O1566),3),"")</f>
        <v/>
      </c>
      <c r="WV1547" s="42" t="str">
        <f t="array" aca="1" ref="WV1547" ca="1">IFERROR(INDEX(nombres[],SMALL(IF(OFFSET(nombres[],0,0,ROWS(nombres[]),1)=WV$1490,ROW(OFFSET(nombres[],0,0,ROWS(nombres[]),1))-ROW(OFFSET(nombres[],0,0,1,1))+1,ROW(OFFSET(nombres[],ROWS(nombres[])-1,0,1,1))+1),$O1547:$O1566),3),"")</f>
        <v/>
      </c>
      <c r="WW1547" s="42" t="str">
        <f t="array" aca="1" ref="WW1547" ca="1">IFERROR(INDEX(nombres[],SMALL(IF(OFFSET(nombres[],0,0,ROWS(nombres[]),1)=WW$1490,ROW(OFFSET(nombres[],0,0,ROWS(nombres[]),1))-ROW(OFFSET(nombres[],0,0,1,1))+1,ROW(OFFSET(nombres[],ROWS(nombres[])-1,0,1,1))+1),$O1547:$O1566),3),"")</f>
        <v/>
      </c>
      <c r="WX1547" s="42" t="str">
        <f t="array" aca="1" ref="WX1547" ca="1">IFERROR(INDEX(nombres[],SMALL(IF(OFFSET(nombres[],0,0,ROWS(nombres[]),1)=WX$1490,ROW(OFFSET(nombres[],0,0,ROWS(nombres[]),1))-ROW(OFFSET(nombres[],0,0,1,1))+1,ROW(OFFSET(nombres[],ROWS(nombres[])-1,0,1,1))+1),$O1547:$O1566),3),"")</f>
        <v/>
      </c>
      <c r="WY1547" s="42" t="str">
        <f t="array" aca="1" ref="WY1547" ca="1">IFERROR(INDEX(nombres[],SMALL(IF(OFFSET(nombres[],0,0,ROWS(nombres[]),1)=WY$1490,ROW(OFFSET(nombres[],0,0,ROWS(nombres[]),1))-ROW(OFFSET(nombres[],0,0,1,1))+1,ROW(OFFSET(nombres[],ROWS(nombres[])-1,0,1,1))+1),$O1547:$O1566),3),"")</f>
        <v/>
      </c>
      <c r="WZ1547" s="42" t="str">
        <f t="array" aca="1" ref="WZ1547" ca="1">IFERROR(INDEX(nombres[],SMALL(IF(OFFSET(nombres[],0,0,ROWS(nombres[]),1)=WZ$1490,ROW(OFFSET(nombres[],0,0,ROWS(nombres[]),1))-ROW(OFFSET(nombres[],0,0,1,1))+1,ROW(OFFSET(nombres[],ROWS(nombres[])-1,0,1,1))+1),$O1547:$O1566),3),"")</f>
        <v/>
      </c>
      <c r="XA1547" s="42" t="str">
        <f t="array" aca="1" ref="XA1547" ca="1">IFERROR(INDEX(nombres[],SMALL(IF(OFFSET(nombres[],0,0,ROWS(nombres[]),1)=XA$1490,ROW(OFFSET(nombres[],0,0,ROWS(nombres[]),1))-ROW(OFFSET(nombres[],0,0,1,1))+1,ROW(OFFSET(nombres[],ROWS(nombres[])-1,0,1,1))+1),$O1547:$O1566),3),"")</f>
        <v/>
      </c>
      <c r="XB1547" s="42" t="str">
        <f t="array" aca="1" ref="XB1547" ca="1">IFERROR(INDEX(nombres[],SMALL(IF(OFFSET(nombres[],0,0,ROWS(nombres[]),1)=XB$1490,ROW(OFFSET(nombres[],0,0,ROWS(nombres[]),1))-ROW(OFFSET(nombres[],0,0,1,1))+1,ROW(OFFSET(nombres[],ROWS(nombres[])-1,0,1,1))+1),$O1547:$O1566),3),"")</f>
        <v/>
      </c>
      <c r="XC1547" s="42" t="str">
        <f t="array" aca="1" ref="XC1547" ca="1">IFERROR(INDEX(nombres[],SMALL(IF(OFFSET(nombres[],0,0,ROWS(nombres[]),1)=XC$1490,ROW(OFFSET(nombres[],0,0,ROWS(nombres[]),1))-ROW(OFFSET(nombres[],0,0,1,1))+1,ROW(OFFSET(nombres[],ROWS(nombres[])-1,0,1,1))+1),$O1547:$O1566),3),"")</f>
        <v/>
      </c>
      <c r="XD1547" s="42" t="str">
        <f t="array" aca="1" ref="XD1547" ca="1">IFERROR(INDEX(nombres[],SMALL(IF(OFFSET(nombres[],0,0,ROWS(nombres[]),1)=XD$1490,ROW(OFFSET(nombres[],0,0,ROWS(nombres[]),1))-ROW(OFFSET(nombres[],0,0,1,1))+1,ROW(OFFSET(nombres[],ROWS(nombres[])-1,0,1,1))+1),$O1547:$O1566),3),"")</f>
        <v/>
      </c>
      <c r="XE1547" s="42" t="str">
        <f t="array" aca="1" ref="XE1547" ca="1">IFERROR(INDEX(nombres[],SMALL(IF(OFFSET(nombres[],0,0,ROWS(nombres[]),1)=XE$1490,ROW(OFFSET(nombres[],0,0,ROWS(nombres[]),1))-ROW(OFFSET(nombres[],0,0,1,1))+1,ROW(OFFSET(nombres[],ROWS(nombres[])-1,0,1,1))+1),$O1547:$O1566),3),"")</f>
        <v/>
      </c>
      <c r="XF1547" s="42" t="str">
        <f t="array" aca="1" ref="XF1547" ca="1">IFERROR(INDEX(nombres[],SMALL(IF(OFFSET(nombres[],0,0,ROWS(nombres[]),1)=XF$1490,ROW(OFFSET(nombres[],0,0,ROWS(nombres[]),1))-ROW(OFFSET(nombres[],0,0,1,1))+1,ROW(OFFSET(nombres[],ROWS(nombres[])-1,0,1,1))+1),$O1547:$O1566),3),"")</f>
        <v/>
      </c>
      <c r="XG1547" s="42" t="str">
        <f t="array" aca="1" ref="XG1547" ca="1">IFERROR(INDEX(nombres[],SMALL(IF(OFFSET(nombres[],0,0,ROWS(nombres[]),1)=XG$1490,ROW(OFFSET(nombres[],0,0,ROWS(nombres[]),1))-ROW(OFFSET(nombres[],0,0,1,1))+1,ROW(OFFSET(nombres[],ROWS(nombres[])-1,0,1,1))+1),$O1547:$O1566),3),"")</f>
        <v/>
      </c>
      <c r="XH1547" s="42" t="str">
        <f t="array" aca="1" ref="XH1547" ca="1">IFERROR(INDEX(nombres[],SMALL(IF(OFFSET(nombres[],0,0,ROWS(nombres[]),1)=XH$1490,ROW(OFFSET(nombres[],0,0,ROWS(nombres[]),1))-ROW(OFFSET(nombres[],0,0,1,1))+1,ROW(OFFSET(nombres[],ROWS(nombres[])-1,0,1,1))+1),$O1547:$O1566),3),"")</f>
        <v/>
      </c>
      <c r="XI1547" s="42" t="str">
        <f t="array" aca="1" ref="XI1547" ca="1">IFERROR(INDEX(nombres[],SMALL(IF(OFFSET(nombres[],0,0,ROWS(nombres[]),1)=XI$1490,ROW(OFFSET(nombres[],0,0,ROWS(nombres[]),1))-ROW(OFFSET(nombres[],0,0,1,1))+1,ROW(OFFSET(nombres[],ROWS(nombres[])-1,0,1,1))+1),$O1547:$O1566),3),"")</f>
        <v/>
      </c>
      <c r="XJ1547" s="42" t="str">
        <f t="array" aca="1" ref="XJ1547" ca="1">IFERROR(INDEX(nombres[],SMALL(IF(OFFSET(nombres[],0,0,ROWS(nombres[]),1)=XJ$1490,ROW(OFFSET(nombres[],0,0,ROWS(nombres[]),1))-ROW(OFFSET(nombres[],0,0,1,1))+1,ROW(OFFSET(nombres[],ROWS(nombres[])-1,0,1,1))+1),$O1547:$O1566),3),"")</f>
        <v/>
      </c>
      <c r="XK1547" s="42" t="str">
        <f t="array" aca="1" ref="XK1547" ca="1">IFERROR(INDEX(nombres[],SMALL(IF(OFFSET(nombres[],0,0,ROWS(nombres[]),1)=XK$1490,ROW(OFFSET(nombres[],0,0,ROWS(nombres[]),1))-ROW(OFFSET(nombres[],0,0,1,1))+1,ROW(OFFSET(nombres[],ROWS(nombres[])-1,0,1,1))+1),$O1547:$O1566),3),"")</f>
        <v/>
      </c>
      <c r="XL1547" s="42" t="str">
        <f t="array" aca="1" ref="XL1547" ca="1">IFERROR(INDEX(nombres[],SMALL(IF(OFFSET(nombres[],0,0,ROWS(nombres[]),1)=XL$1490,ROW(OFFSET(nombres[],0,0,ROWS(nombres[]),1))-ROW(OFFSET(nombres[],0,0,1,1))+1,ROW(OFFSET(nombres[],ROWS(nombres[])-1,0,1,1))+1),$O1547:$O1566),3),"")</f>
        <v/>
      </c>
      <c r="XM1547" s="42" t="str">
        <f t="array" aca="1" ref="XM1547" ca="1">IFERROR(INDEX(nombres[],SMALL(IF(OFFSET(nombres[],0,0,ROWS(nombres[]),1)=XM$1490,ROW(OFFSET(nombres[],0,0,ROWS(nombres[]),1))-ROW(OFFSET(nombres[],0,0,1,1))+1,ROW(OFFSET(nombres[],ROWS(nombres[])-1,0,1,1))+1),$O1547:$O1566),3),"")</f>
        <v/>
      </c>
      <c r="XN1547" s="42" t="str">
        <f t="array" aca="1" ref="XN1547" ca="1">IFERROR(INDEX(nombres[],SMALL(IF(OFFSET(nombres[],0,0,ROWS(nombres[]),1)=XN$1490,ROW(OFFSET(nombres[],0,0,ROWS(nombres[]),1))-ROW(OFFSET(nombres[],0,0,1,1))+1,ROW(OFFSET(nombres[],ROWS(nombres[])-1,0,1,1))+1),$O1547:$O1566),3),"")</f>
        <v/>
      </c>
      <c r="XO1547" s="42" t="str">
        <f t="array" aca="1" ref="XO1547" ca="1">IFERROR(INDEX(nombres[],SMALL(IF(OFFSET(nombres[],0,0,ROWS(nombres[]),1)=XO$1490,ROW(OFFSET(nombres[],0,0,ROWS(nombres[]),1))-ROW(OFFSET(nombres[],0,0,1,1))+1,ROW(OFFSET(nombres[],ROWS(nombres[])-1,0,1,1))+1),$O1547:$O1566),3),"")</f>
        <v/>
      </c>
      <c r="XP1547" s="42" t="str">
        <f t="array" aca="1" ref="XP1547" ca="1">IFERROR(INDEX(nombres[],SMALL(IF(OFFSET(nombres[],0,0,ROWS(nombres[]),1)=XP$1490,ROW(OFFSET(nombres[],0,0,ROWS(nombres[]),1))-ROW(OFFSET(nombres[],0,0,1,1))+1,ROW(OFFSET(nombres[],ROWS(nombres[])-1,0,1,1))+1),$O1547:$O1566),3),"")</f>
        <v/>
      </c>
      <c r="XQ1547" s="42" t="str">
        <f t="array" aca="1" ref="XQ1547" ca="1">IFERROR(INDEX(nombres[],SMALL(IF(OFFSET(nombres[],0,0,ROWS(nombres[]),1)=XQ$1490,ROW(OFFSET(nombres[],0,0,ROWS(nombres[]),1))-ROW(OFFSET(nombres[],0,0,1,1))+1,ROW(OFFSET(nombres[],ROWS(nombres[])-1,0,1,1))+1),$O1547:$O1566),3),"")</f>
        <v/>
      </c>
      <c r="XR1547" s="42" t="str">
        <f t="array" aca="1" ref="XR1547" ca="1">IFERROR(INDEX(nombres[],SMALL(IF(OFFSET(nombres[],0,0,ROWS(nombres[]),1)=XR$1490,ROW(OFFSET(nombres[],0,0,ROWS(nombres[]),1))-ROW(OFFSET(nombres[],0,0,1,1))+1,ROW(OFFSET(nombres[],ROWS(nombres[])-1,0,1,1))+1),$O1547:$O1566),3),"")</f>
        <v/>
      </c>
      <c r="XS1547" s="42" t="str">
        <f t="array" aca="1" ref="XS1547" ca="1">IFERROR(INDEX(nombres[],SMALL(IF(OFFSET(nombres[],0,0,ROWS(nombres[]),1)=XS$1490,ROW(OFFSET(nombres[],0,0,ROWS(nombres[]),1))-ROW(OFFSET(nombres[],0,0,1,1))+1,ROW(OFFSET(nombres[],ROWS(nombres[])-1,0,1,1))+1),$O1547:$O1566),3),"")</f>
        <v/>
      </c>
      <c r="XT1547" s="42" t="str">
        <f t="array" aca="1" ref="XT1547" ca="1">IFERROR(INDEX(nombres[],SMALL(IF(OFFSET(nombres[],0,0,ROWS(nombres[]),1)=XT$1490,ROW(OFFSET(nombres[],0,0,ROWS(nombres[]),1))-ROW(OFFSET(nombres[],0,0,1,1))+1,ROW(OFFSET(nombres[],ROWS(nombres[])-1,0,1,1))+1),$O1547:$O1566),3),"")</f>
        <v/>
      </c>
      <c r="XU1547" s="42" t="str">
        <f t="array" aca="1" ref="XU1547" ca="1">IFERROR(INDEX(nombres[],SMALL(IF(OFFSET(nombres[],0,0,ROWS(nombres[]),1)=XU$1490,ROW(OFFSET(nombres[],0,0,ROWS(nombres[]),1))-ROW(OFFSET(nombres[],0,0,1,1))+1,ROW(OFFSET(nombres[],ROWS(nombres[])-1,0,1,1))+1),$O1547:$O1566),3),"")</f>
        <v/>
      </c>
      <c r="XV1547" s="42" t="str">
        <f t="array" aca="1" ref="XV1547" ca="1">IFERROR(INDEX(nombres[],SMALL(IF(OFFSET(nombres[],0,0,ROWS(nombres[]),1)=XV$1490,ROW(OFFSET(nombres[],0,0,ROWS(nombres[]),1))-ROW(OFFSET(nombres[],0,0,1,1))+1,ROW(OFFSET(nombres[],ROWS(nombres[])-1,0,1,1))+1),$O1547:$O1566),3),"")</f>
        <v/>
      </c>
      <c r="XW1547" s="42" t="str">
        <f t="array" aca="1" ref="XW1547" ca="1">IFERROR(INDEX(nombres[],SMALL(IF(OFFSET(nombres[],0,0,ROWS(nombres[]),1)=XW$1490,ROW(OFFSET(nombres[],0,0,ROWS(nombres[]),1))-ROW(OFFSET(nombres[],0,0,1,1))+1,ROW(OFFSET(nombres[],ROWS(nombres[])-1,0,1,1))+1),$O1547:$O1566),3),"")</f>
        <v/>
      </c>
      <c r="XX1547" s="42" t="str">
        <f t="array" aca="1" ref="XX1547" ca="1">IFERROR(INDEX(nombres[],SMALL(IF(OFFSET(nombres[],0,0,ROWS(nombres[]),1)=XX$1490,ROW(OFFSET(nombres[],0,0,ROWS(nombres[]),1))-ROW(OFFSET(nombres[],0,0,1,1))+1,ROW(OFFSET(nombres[],ROWS(nombres[])-1,0,1,1))+1),$O1547:$O1566),3),"")</f>
        <v/>
      </c>
      <c r="XY1547" s="42" t="str">
        <f t="array" aca="1" ref="XY1547" ca="1">IFERROR(INDEX(nombres[],SMALL(IF(OFFSET(nombres[],0,0,ROWS(nombres[]),1)=XY$1490,ROW(OFFSET(nombres[],0,0,ROWS(nombres[]),1))-ROW(OFFSET(nombres[],0,0,1,1))+1,ROW(OFFSET(nombres[],ROWS(nombres[])-1,0,1,1))+1),$O1547:$O1566),3),"")</f>
        <v/>
      </c>
      <c r="XZ1547" s="42" t="str">
        <f t="array" aca="1" ref="XZ1547" ca="1">IFERROR(INDEX(nombres[],SMALL(IF(OFFSET(nombres[],0,0,ROWS(nombres[]),1)=XZ$1490,ROW(OFFSET(nombres[],0,0,ROWS(nombres[]),1))-ROW(OFFSET(nombres[],0,0,1,1))+1,ROW(OFFSET(nombres[],ROWS(nombres[])-1,0,1,1))+1),$O1547:$O1566),3),"")</f>
        <v/>
      </c>
      <c r="YA1547" s="42" t="str">
        <f t="array" aca="1" ref="YA1547" ca="1">IFERROR(INDEX(nombres[],SMALL(IF(OFFSET(nombres[],0,0,ROWS(nombres[]),1)=YA$1490,ROW(OFFSET(nombres[],0,0,ROWS(nombres[]),1))-ROW(OFFSET(nombres[],0,0,1,1))+1,ROW(OFFSET(nombres[],ROWS(nombres[])-1,0,1,1))+1),$O1547:$O1566),3),"")</f>
        <v/>
      </c>
      <c r="YB1547" s="42" t="str">
        <f t="array" aca="1" ref="YB1547" ca="1">IFERROR(INDEX(nombres[],SMALL(IF(OFFSET(nombres[],0,0,ROWS(nombres[]),1)=YB$1490,ROW(OFFSET(nombres[],0,0,ROWS(nombres[]),1))-ROW(OFFSET(nombres[],0,0,1,1))+1,ROW(OFFSET(nombres[],ROWS(nombres[])-1,0,1,1))+1),$O1547:$O1566),3),"")</f>
        <v/>
      </c>
      <c r="YC1547" s="42" t="str">
        <f t="array" aca="1" ref="YC1547" ca="1">IFERROR(INDEX(nombres[],SMALL(IF(OFFSET(nombres[],0,0,ROWS(nombres[]),1)=YC$1490,ROW(OFFSET(nombres[],0,0,ROWS(nombres[]),1))-ROW(OFFSET(nombres[],0,0,1,1))+1,ROW(OFFSET(nombres[],ROWS(nombres[])-1,0,1,1))+1),$O1547:$O1566),3),"")</f>
        <v/>
      </c>
      <c r="YD1547" s="42" t="str">
        <f t="array" aca="1" ref="YD1547" ca="1">IFERROR(INDEX(nombres[],SMALL(IF(OFFSET(nombres[],0,0,ROWS(nombres[]),1)=YD$1490,ROW(OFFSET(nombres[],0,0,ROWS(nombres[]),1))-ROW(OFFSET(nombres[],0,0,1,1))+1,ROW(OFFSET(nombres[],ROWS(nombres[])-1,0,1,1))+1),$O1547:$O1566),3),"")</f>
        <v/>
      </c>
      <c r="YE1547" s="42" t="str">
        <f t="array" aca="1" ref="YE1547" ca="1">IFERROR(INDEX(nombres[],SMALL(IF(OFFSET(nombres[],0,0,ROWS(nombres[]),1)=YE$1490,ROW(OFFSET(nombres[],0,0,ROWS(nombres[]),1))-ROW(OFFSET(nombres[],0,0,1,1))+1,ROW(OFFSET(nombres[],ROWS(nombres[])-1,0,1,1))+1),$O1547:$O1566),3),"")</f>
        <v/>
      </c>
      <c r="YF1547" s="42" t="str">
        <f t="array" aca="1" ref="YF1547" ca="1">IFERROR(INDEX(nombres[],SMALL(IF(OFFSET(nombres[],0,0,ROWS(nombres[]),1)=YF$1490,ROW(OFFSET(nombres[],0,0,ROWS(nombres[]),1))-ROW(OFFSET(nombres[],0,0,1,1))+1,ROW(OFFSET(nombres[],ROWS(nombres[])-1,0,1,1))+1),$O1547:$O1566),3),"")</f>
        <v/>
      </c>
      <c r="YG1547" s="42" t="str">
        <f t="array" aca="1" ref="YG1547" ca="1">IFERROR(INDEX(nombres[],SMALL(IF(OFFSET(nombres[],0,0,ROWS(nombres[]),1)=YG$1490,ROW(OFFSET(nombres[],0,0,ROWS(nombres[]),1))-ROW(OFFSET(nombres[],0,0,1,1))+1,ROW(OFFSET(nombres[],ROWS(nombres[])-1,0,1,1))+1),$O1547:$O1566),3),"")</f>
        <v/>
      </c>
      <c r="YH1547" s="42" t="str">
        <f t="array" aca="1" ref="YH1547" ca="1">IFERROR(INDEX(nombres[],SMALL(IF(OFFSET(nombres[],0,0,ROWS(nombres[]),1)=YH$1490,ROW(OFFSET(nombres[],0,0,ROWS(nombres[]),1))-ROW(OFFSET(nombres[],0,0,1,1))+1,ROW(OFFSET(nombres[],ROWS(nombres[])-1,0,1,1))+1),$O1547:$O1566),3),"")</f>
        <v/>
      </c>
      <c r="YI1547" s="42" t="str">
        <f t="array" aca="1" ref="YI1547" ca="1">IFERROR(INDEX(nombres[],SMALL(IF(OFFSET(nombres[],0,0,ROWS(nombres[]),1)=YI$1490,ROW(OFFSET(nombres[],0,0,ROWS(nombres[]),1))-ROW(OFFSET(nombres[],0,0,1,1))+1,ROW(OFFSET(nombres[],ROWS(nombres[])-1,0,1,1))+1),$O1547:$O1566),3),"")</f>
        <v/>
      </c>
      <c r="YJ1547" s="42" t="str">
        <f t="array" aca="1" ref="YJ1547" ca="1">IFERROR(INDEX(nombres[],SMALL(IF(OFFSET(nombres[],0,0,ROWS(nombres[]),1)=YJ$1490,ROW(OFFSET(nombres[],0,0,ROWS(nombres[]),1))-ROW(OFFSET(nombres[],0,0,1,1))+1,ROW(OFFSET(nombres[],ROWS(nombres[])-1,0,1,1))+1),$O1547:$O1566),3),"")</f>
        <v/>
      </c>
      <c r="YK1547" s="42" t="str">
        <f t="array" aca="1" ref="YK1547" ca="1">IFERROR(INDEX(nombres[],SMALL(IF(OFFSET(nombres[],0,0,ROWS(nombres[]),1)=YK$1490,ROW(OFFSET(nombres[],0,0,ROWS(nombres[]),1))-ROW(OFFSET(nombres[],0,0,1,1))+1,ROW(OFFSET(nombres[],ROWS(nombres[])-1,0,1,1))+1),$O1547:$O1566),3),"")</f>
        <v/>
      </c>
      <c r="YL1547" s="42" t="str">
        <f t="array" aca="1" ref="YL1547" ca="1">IFERROR(INDEX(nombres[],SMALL(IF(OFFSET(nombres[],0,0,ROWS(nombres[]),1)=YL$1490,ROW(OFFSET(nombres[],0,0,ROWS(nombres[]),1))-ROW(OFFSET(nombres[],0,0,1,1))+1,ROW(OFFSET(nombres[],ROWS(nombres[])-1,0,1,1))+1),$O1547:$O1566),3),"")</f>
        <v/>
      </c>
      <c r="YM1547" s="42" t="str">
        <f t="array" aca="1" ref="YM1547" ca="1">IFERROR(INDEX(nombres[],SMALL(IF(OFFSET(nombres[],0,0,ROWS(nombres[]),1)=YM$1490,ROW(OFFSET(nombres[],0,0,ROWS(nombres[]),1))-ROW(OFFSET(nombres[],0,0,1,1))+1,ROW(OFFSET(nombres[],ROWS(nombres[])-1,0,1,1))+1),$O1547:$O1566),3),"")</f>
        <v/>
      </c>
      <c r="YN1547" s="42" t="str">
        <f t="array" aca="1" ref="YN1547" ca="1">IFERROR(INDEX(nombres[],SMALL(IF(OFFSET(nombres[],0,0,ROWS(nombres[]),1)=YN$1490,ROW(OFFSET(nombres[],0,0,ROWS(nombres[]),1))-ROW(OFFSET(nombres[],0,0,1,1))+1,ROW(OFFSET(nombres[],ROWS(nombres[])-1,0,1,1))+1),$O1547:$O1566),3),"")</f>
        <v/>
      </c>
      <c r="YO1547" s="42" t="str">
        <f t="array" aca="1" ref="YO1547" ca="1">IFERROR(INDEX(nombres[],SMALL(IF(OFFSET(nombres[],0,0,ROWS(nombres[]),1)=YO$1490,ROW(OFFSET(nombres[],0,0,ROWS(nombres[]),1))-ROW(OFFSET(nombres[],0,0,1,1))+1,ROW(OFFSET(nombres[],ROWS(nombres[])-1,0,1,1))+1),$O1547:$O1566),3),"")</f>
        <v/>
      </c>
      <c r="YP1547" s="42" t="str">
        <f t="array" aca="1" ref="YP1547" ca="1">IFERROR(INDEX(nombres[],SMALL(IF(OFFSET(nombres[],0,0,ROWS(nombres[]),1)=YP$1490,ROW(OFFSET(nombres[],0,0,ROWS(nombres[]),1))-ROW(OFFSET(nombres[],0,0,1,1))+1,ROW(OFFSET(nombres[],ROWS(nombres[])-1,0,1,1))+1),$O1547:$O1566),3),"")</f>
        <v/>
      </c>
      <c r="YQ1547" s="42" t="str">
        <f t="array" aca="1" ref="YQ1547" ca="1">IFERROR(INDEX(nombres[],SMALL(IF(OFFSET(nombres[],0,0,ROWS(nombres[]),1)=YQ$1490,ROW(OFFSET(nombres[],0,0,ROWS(nombres[]),1))-ROW(OFFSET(nombres[],0,0,1,1))+1,ROW(OFFSET(nombres[],ROWS(nombres[])-1,0,1,1))+1),$O1547:$O1566),3),"")</f>
        <v/>
      </c>
      <c r="YR1547" s="42" t="str">
        <f t="array" aca="1" ref="YR1547" ca="1">IFERROR(INDEX(nombres[],SMALL(IF(OFFSET(nombres[],0,0,ROWS(nombres[]),1)=YR$1490,ROW(OFFSET(nombres[],0,0,ROWS(nombres[]),1))-ROW(OFFSET(nombres[],0,0,1,1))+1,ROW(OFFSET(nombres[],ROWS(nombres[])-1,0,1,1))+1),$O1547:$O1566),3),"")</f>
        <v/>
      </c>
      <c r="YS1547" s="42" t="str">
        <f t="array" aca="1" ref="YS1547" ca="1">IFERROR(INDEX(nombres[],SMALL(IF(OFFSET(nombres[],0,0,ROWS(nombres[]),1)=YS$1490,ROW(OFFSET(nombres[],0,0,ROWS(nombres[]),1))-ROW(OFFSET(nombres[],0,0,1,1))+1,ROW(OFFSET(nombres[],ROWS(nombres[])-1,0,1,1))+1),$O1547:$O1566),3),"")</f>
        <v/>
      </c>
      <c r="YT1547" s="42" t="str">
        <f t="array" aca="1" ref="YT1547" ca="1">IFERROR(INDEX(nombres[],SMALL(IF(OFFSET(nombres[],0,0,ROWS(nombres[]),1)=YT$1490,ROW(OFFSET(nombres[],0,0,ROWS(nombres[]),1))-ROW(OFFSET(nombres[],0,0,1,1))+1,ROW(OFFSET(nombres[],ROWS(nombres[])-1,0,1,1))+1),$O1547:$O1566),3),"")</f>
        <v/>
      </c>
      <c r="YU1547" s="42" t="str">
        <f t="array" aca="1" ref="YU1547" ca="1">IFERROR(INDEX(nombres[],SMALL(IF(OFFSET(nombres[],0,0,ROWS(nombres[]),1)=YU$1490,ROW(OFFSET(nombres[],0,0,ROWS(nombres[]),1))-ROW(OFFSET(nombres[],0,0,1,1))+1,ROW(OFFSET(nombres[],ROWS(nombres[])-1,0,1,1))+1),$O1547:$O1566),3),"")</f>
        <v/>
      </c>
      <c r="YV1547" s="42" t="str">
        <f t="array" aca="1" ref="YV1547" ca="1">IFERROR(INDEX(nombres[],SMALL(IF(OFFSET(nombres[],0,0,ROWS(nombres[]),1)=YV$1490,ROW(OFFSET(nombres[],0,0,ROWS(nombres[]),1))-ROW(OFFSET(nombres[],0,0,1,1))+1,ROW(OFFSET(nombres[],ROWS(nombres[])-1,0,1,1))+1),$O1547:$O1566),3),"")</f>
        <v/>
      </c>
      <c r="YW1547" s="42" t="str">
        <f t="array" aca="1" ref="YW1547" ca="1">IFERROR(INDEX(nombres[],SMALL(IF(OFFSET(nombres[],0,0,ROWS(nombres[]),1)=YW$1490,ROW(OFFSET(nombres[],0,0,ROWS(nombres[]),1))-ROW(OFFSET(nombres[],0,0,1,1))+1,ROW(OFFSET(nombres[],ROWS(nombres[])-1,0,1,1))+1),$O1547:$O1566),3),"")</f>
        <v/>
      </c>
      <c r="YX1547" s="42" t="str">
        <f t="array" aca="1" ref="YX1547" ca="1">IFERROR(INDEX(nombres[],SMALL(IF(OFFSET(nombres[],0,0,ROWS(nombres[]),1)=YX$1490,ROW(OFFSET(nombres[],0,0,ROWS(nombres[]),1))-ROW(OFFSET(nombres[],0,0,1,1))+1,ROW(OFFSET(nombres[],ROWS(nombres[])-1,0,1,1))+1),$O1547:$O1566),3),"")</f>
        <v/>
      </c>
      <c r="YY1547" s="42" t="str">
        <f t="array" aca="1" ref="YY1547" ca="1">IFERROR(INDEX(nombres[],SMALL(IF(OFFSET(nombres[],0,0,ROWS(nombres[]),1)=YY$1490,ROW(OFFSET(nombres[],0,0,ROWS(nombres[]),1))-ROW(OFFSET(nombres[],0,0,1,1))+1,ROW(OFFSET(nombres[],ROWS(nombres[])-1,0,1,1))+1),$O1547:$O1566),3),"")</f>
        <v/>
      </c>
      <c r="YZ1547" s="42" t="str">
        <f t="array" aca="1" ref="YZ1547" ca="1">IFERROR(INDEX(nombres[],SMALL(IF(OFFSET(nombres[],0,0,ROWS(nombres[]),1)=YZ$1490,ROW(OFFSET(nombres[],0,0,ROWS(nombres[]),1))-ROW(OFFSET(nombres[],0,0,1,1))+1,ROW(OFFSET(nombres[],ROWS(nombres[])-1,0,1,1))+1),$O1547:$O1566),3),"")</f>
        <v/>
      </c>
      <c r="ZA1547" s="42" t="str">
        <f t="array" aca="1" ref="ZA1547" ca="1">IFERROR(INDEX(nombres[],SMALL(IF(OFFSET(nombres[],0,0,ROWS(nombres[]),1)=ZA$1490,ROW(OFFSET(nombres[],0,0,ROWS(nombres[]),1))-ROW(OFFSET(nombres[],0,0,1,1))+1,ROW(OFFSET(nombres[],ROWS(nombres[])-1,0,1,1))+1),$O1547:$O1566),3),"")</f>
        <v/>
      </c>
      <c r="ZB1547" s="42" t="str">
        <f t="array" aca="1" ref="ZB1547" ca="1">IFERROR(INDEX(nombres[],SMALL(IF(OFFSET(nombres[],0,0,ROWS(nombres[]),1)=ZB$1490,ROW(OFFSET(nombres[],0,0,ROWS(nombres[]),1))-ROW(OFFSET(nombres[],0,0,1,1))+1,ROW(OFFSET(nombres[],ROWS(nombres[])-1,0,1,1))+1),$O1547:$O1566),3),"")</f>
        <v/>
      </c>
      <c r="ZC1547" s="42" t="str">
        <f t="array" aca="1" ref="ZC1547" ca="1">IFERROR(INDEX(nombres[],SMALL(IF(OFFSET(nombres[],0,0,ROWS(nombres[]),1)=ZC$1490,ROW(OFFSET(nombres[],0,0,ROWS(nombres[]),1))-ROW(OFFSET(nombres[],0,0,1,1))+1,ROW(OFFSET(nombres[],ROWS(nombres[])-1,0,1,1))+1),$O1547:$O1566),3),"")</f>
        <v/>
      </c>
      <c r="ZD1547" s="42" t="str">
        <f t="array" aca="1" ref="ZD1547" ca="1">IFERROR(INDEX(nombres[],SMALL(IF(OFFSET(nombres[],0,0,ROWS(nombres[]),1)=ZD$1490,ROW(OFFSET(nombres[],0,0,ROWS(nombres[]),1))-ROW(OFFSET(nombres[],0,0,1,1))+1,ROW(OFFSET(nombres[],ROWS(nombres[])-1,0,1,1))+1),$O1547:$O1566),3),"")</f>
        <v/>
      </c>
      <c r="ZE1547" s="42" t="str">
        <f t="array" aca="1" ref="ZE1547" ca="1">IFERROR(INDEX(nombres[],SMALL(IF(OFFSET(nombres[],0,0,ROWS(nombres[]),1)=ZE$1490,ROW(OFFSET(nombres[],0,0,ROWS(nombres[]),1))-ROW(OFFSET(nombres[],0,0,1,1))+1,ROW(OFFSET(nombres[],ROWS(nombres[])-1,0,1,1))+1),$O1547:$O1566),3),"")</f>
        <v/>
      </c>
      <c r="ZF1547" s="42" t="str">
        <f t="array" aca="1" ref="ZF1547" ca="1">IFERROR(INDEX(nombres[],SMALL(IF(OFFSET(nombres[],0,0,ROWS(nombres[]),1)=ZF$1490,ROW(OFFSET(nombres[],0,0,ROWS(nombres[]),1))-ROW(OFFSET(nombres[],0,0,1,1))+1,ROW(OFFSET(nombres[],ROWS(nombres[])-1,0,1,1))+1),$O1547:$O1566),3),"")</f>
        <v/>
      </c>
      <c r="ZG1547" s="42" t="str">
        <f t="array" aca="1" ref="ZG1547" ca="1">IFERROR(INDEX(nombres[],SMALL(IF(OFFSET(nombres[],0,0,ROWS(nombres[]),1)=ZG$1490,ROW(OFFSET(nombres[],0,0,ROWS(nombres[]),1))-ROW(OFFSET(nombres[],0,0,1,1))+1,ROW(OFFSET(nombres[],ROWS(nombres[])-1,0,1,1))+1),$O1547:$O1566),3),"")</f>
        <v/>
      </c>
      <c r="ZH1547" s="42" t="str">
        <f t="array" aca="1" ref="ZH1547" ca="1">IFERROR(INDEX(nombres[],SMALL(IF(OFFSET(nombres[],0,0,ROWS(nombres[]),1)=ZH$1490,ROW(OFFSET(nombres[],0,0,ROWS(nombres[]),1))-ROW(OFFSET(nombres[],0,0,1,1))+1,ROW(OFFSET(nombres[],ROWS(nombres[])-1,0,1,1))+1),$O1547:$O1566),3),"")</f>
        <v/>
      </c>
      <c r="ZI1547" s="42" t="str">
        <f t="array" aca="1" ref="ZI1547" ca="1">IFERROR(INDEX(nombres[],SMALL(IF(OFFSET(nombres[],0,0,ROWS(nombres[]),1)=ZI$1490,ROW(OFFSET(nombres[],0,0,ROWS(nombres[]),1))-ROW(OFFSET(nombres[],0,0,1,1))+1,ROW(OFFSET(nombres[],ROWS(nombres[])-1,0,1,1))+1),$O1547:$O1566),3),"")</f>
        <v/>
      </c>
      <c r="ZJ1547" s="42" t="str">
        <f t="array" aca="1" ref="ZJ1547" ca="1">IFERROR(INDEX(nombres[],SMALL(IF(OFFSET(nombres[],0,0,ROWS(nombres[]),1)=ZJ$1490,ROW(OFFSET(nombres[],0,0,ROWS(nombres[]),1))-ROW(OFFSET(nombres[],0,0,1,1))+1,ROW(OFFSET(nombres[],ROWS(nombres[])-1,0,1,1))+1),$O1547:$O1566),3),"")</f>
        <v/>
      </c>
      <c r="ZK1547" s="42" t="str">
        <f t="array" aca="1" ref="ZK1547" ca="1">IFERROR(INDEX(nombres[],SMALL(IF(OFFSET(nombres[],0,0,ROWS(nombres[]),1)=ZK$1490,ROW(OFFSET(nombres[],0,0,ROWS(nombres[]),1))-ROW(OFFSET(nombres[],0,0,1,1))+1,ROW(OFFSET(nombres[],ROWS(nombres[])-1,0,1,1))+1),$O1547:$O1566),3),"")</f>
        <v/>
      </c>
      <c r="ZL1547" s="42" t="str">
        <f t="array" aca="1" ref="ZL1547" ca="1">IFERROR(INDEX(nombres[],SMALL(IF(OFFSET(nombres[],0,0,ROWS(nombres[]),1)=ZL$1490,ROW(OFFSET(nombres[],0,0,ROWS(nombres[]),1))-ROW(OFFSET(nombres[],0,0,1,1))+1,ROW(OFFSET(nombres[],ROWS(nombres[])-1,0,1,1))+1),$O1547:$O1566),3),"")</f>
        <v/>
      </c>
      <c r="ZM1547" s="42" t="str">
        <f t="array" aca="1" ref="ZM1547" ca="1">IFERROR(INDEX(nombres[],SMALL(IF(OFFSET(nombres[],0,0,ROWS(nombres[]),1)=ZM$1490,ROW(OFFSET(nombres[],0,0,ROWS(nombres[]),1))-ROW(OFFSET(nombres[],0,0,1,1))+1,ROW(OFFSET(nombres[],ROWS(nombres[])-1,0,1,1))+1),$O1547:$O1566),3),"")</f>
        <v/>
      </c>
      <c r="ZN1547" s="42" t="str">
        <f t="array" aca="1" ref="ZN1547" ca="1">IFERROR(INDEX(nombres[],SMALL(IF(OFFSET(nombres[],0,0,ROWS(nombres[]),1)=ZN$1490,ROW(OFFSET(nombres[],0,0,ROWS(nombres[]),1))-ROW(OFFSET(nombres[],0,0,1,1))+1,ROW(OFFSET(nombres[],ROWS(nombres[])-1,0,1,1))+1),$O1547:$O1566),3),"")</f>
        <v/>
      </c>
      <c r="ZO1547" s="42" t="str">
        <f t="array" aca="1" ref="ZO1547" ca="1">IFERROR(INDEX(nombres[],SMALL(IF(OFFSET(nombres[],0,0,ROWS(nombres[]),1)=ZO$1490,ROW(OFFSET(nombres[],0,0,ROWS(nombres[]),1))-ROW(OFFSET(nombres[],0,0,1,1))+1,ROW(OFFSET(nombres[],ROWS(nombres[])-1,0,1,1))+1),$O1547:$O1566),3),"")</f>
        <v/>
      </c>
      <c r="ZP1547" s="42" t="str">
        <f t="array" aca="1" ref="ZP1547" ca="1">IFERROR(INDEX(nombres[],SMALL(IF(OFFSET(nombres[],0,0,ROWS(nombres[]),1)=ZP$1490,ROW(OFFSET(nombres[],0,0,ROWS(nombres[]),1))-ROW(OFFSET(nombres[],0,0,1,1))+1,ROW(OFFSET(nombres[],ROWS(nombres[])-1,0,1,1))+1),$O1547:$O1566),3),"")</f>
        <v/>
      </c>
      <c r="ZQ1547" s="42" t="str">
        <f t="array" aca="1" ref="ZQ1547" ca="1">IFERROR(INDEX(nombres[],SMALL(IF(OFFSET(nombres[],0,0,ROWS(nombres[]),1)=ZQ$1490,ROW(OFFSET(nombres[],0,0,ROWS(nombres[]),1))-ROW(OFFSET(nombres[],0,0,1,1))+1,ROW(OFFSET(nombres[],ROWS(nombres[])-1,0,1,1))+1),$O1547:$O1566),3),"")</f>
        <v/>
      </c>
      <c r="ZR1547" s="42" t="str">
        <f t="array" aca="1" ref="ZR1547" ca="1">IFERROR(INDEX(nombres[],SMALL(IF(OFFSET(nombres[],0,0,ROWS(nombres[]),1)=ZR$1490,ROW(OFFSET(nombres[],0,0,ROWS(nombres[]),1))-ROW(OFFSET(nombres[],0,0,1,1))+1,ROW(OFFSET(nombres[],ROWS(nombres[])-1,0,1,1))+1),$O1547:$O1566),3),"")</f>
        <v/>
      </c>
      <c r="ZS1547" s="42" t="str">
        <f t="array" aca="1" ref="ZS1547" ca="1">IFERROR(INDEX(nombres[],SMALL(IF(OFFSET(nombres[],0,0,ROWS(nombres[]),1)=ZS$1490,ROW(OFFSET(nombres[],0,0,ROWS(nombres[]),1))-ROW(OFFSET(nombres[],0,0,1,1))+1,ROW(OFFSET(nombres[],ROWS(nombres[])-1,0,1,1))+1),$O1547:$O1566),3),"")</f>
        <v/>
      </c>
      <c r="ZT1547" s="42" t="str">
        <f t="array" aca="1" ref="ZT1547" ca="1">IFERROR(INDEX(nombres[],SMALL(IF(OFFSET(nombres[],0,0,ROWS(nombres[]),1)=ZT$1490,ROW(OFFSET(nombres[],0,0,ROWS(nombres[]),1))-ROW(OFFSET(nombres[],0,0,1,1))+1,ROW(OFFSET(nombres[],ROWS(nombres[])-1,0,1,1))+1),$O1547:$O1566),3),"")</f>
        <v/>
      </c>
      <c r="ZU1547" s="42" t="str">
        <f t="array" aca="1" ref="ZU1547" ca="1">IFERROR(INDEX(nombres[],SMALL(IF(OFFSET(nombres[],0,0,ROWS(nombres[]),1)=ZU$1490,ROW(OFFSET(nombres[],0,0,ROWS(nombres[]),1))-ROW(OFFSET(nombres[],0,0,1,1))+1,ROW(OFFSET(nombres[],ROWS(nombres[])-1,0,1,1))+1),$O1547:$O1566),3),"")</f>
        <v/>
      </c>
      <c r="ZV1547" s="42" t="str">
        <f t="array" aca="1" ref="ZV1547" ca="1">IFERROR(INDEX(nombres[],SMALL(IF(OFFSET(nombres[],0,0,ROWS(nombres[]),1)=ZV$1490,ROW(OFFSET(nombres[],0,0,ROWS(nombres[]),1))-ROW(OFFSET(nombres[],0,0,1,1))+1,ROW(OFFSET(nombres[],ROWS(nombres[])-1,0,1,1))+1),$O1547:$O1566),3),"")</f>
        <v/>
      </c>
      <c r="ZW1547" s="42" t="str">
        <f t="array" aca="1" ref="ZW1547" ca="1">IFERROR(INDEX(nombres[],SMALL(IF(OFFSET(nombres[],0,0,ROWS(nombres[]),1)=ZW$1490,ROW(OFFSET(nombres[],0,0,ROWS(nombres[]),1))-ROW(OFFSET(nombres[],0,0,1,1))+1,ROW(OFFSET(nombres[],ROWS(nombres[])-1,0,1,1))+1),$O1547:$O1566),3),"")</f>
        <v/>
      </c>
      <c r="ZX1547" s="42" t="str">
        <f t="array" aca="1" ref="ZX1547" ca="1">IFERROR(INDEX(nombres[],SMALL(IF(OFFSET(nombres[],0,0,ROWS(nombres[]),1)=ZX$1490,ROW(OFFSET(nombres[],0,0,ROWS(nombres[]),1))-ROW(OFFSET(nombres[],0,0,1,1))+1,ROW(OFFSET(nombres[],ROWS(nombres[])-1,0,1,1))+1),$O1547:$O1566),3),"")</f>
        <v/>
      </c>
      <c r="ZY1547" s="42" t="str">
        <f t="array" aca="1" ref="ZY1547" ca="1">IFERROR(INDEX(nombres[],SMALL(IF(OFFSET(nombres[],0,0,ROWS(nombres[]),1)=ZY$1490,ROW(OFFSET(nombres[],0,0,ROWS(nombres[]),1))-ROW(OFFSET(nombres[],0,0,1,1))+1,ROW(OFFSET(nombres[],ROWS(nombres[])-1,0,1,1))+1),$O1547:$O1566),3),"")</f>
        <v/>
      </c>
      <c r="ZZ1547" s="42" t="str">
        <f t="array" aca="1" ref="ZZ1547" ca="1">IFERROR(INDEX(nombres[],SMALL(IF(OFFSET(nombres[],0,0,ROWS(nombres[]),1)=ZZ$1490,ROW(OFFSET(nombres[],0,0,ROWS(nombres[]),1))-ROW(OFFSET(nombres[],0,0,1,1))+1,ROW(OFFSET(nombres[],ROWS(nombres[])-1,0,1,1))+1),$O1547:$O1566),3),"")</f>
        <v/>
      </c>
      <c r="AAA1547" s="42" t="str">
        <f t="array" aca="1" ref="AAA1547" ca="1">IFERROR(INDEX(nombres[],SMALL(IF(OFFSET(nombres[],0,0,ROWS(nombres[]),1)=AAA$1490,ROW(OFFSET(nombres[],0,0,ROWS(nombres[]),1))-ROW(OFFSET(nombres[],0,0,1,1))+1,ROW(OFFSET(nombres[],ROWS(nombres[])-1,0,1,1))+1),$O1547:$O1566),3),"")</f>
        <v/>
      </c>
      <c r="AAB1547" s="42" t="str">
        <f t="array" aca="1" ref="AAB1547" ca="1">IFERROR(INDEX(nombres[],SMALL(IF(OFFSET(nombres[],0,0,ROWS(nombres[]),1)=AAB$1490,ROW(OFFSET(nombres[],0,0,ROWS(nombres[]),1))-ROW(OFFSET(nombres[],0,0,1,1))+1,ROW(OFFSET(nombres[],ROWS(nombres[])-1,0,1,1))+1),$O1547:$O1566),3),"")</f>
        <v/>
      </c>
      <c r="AAC1547" s="42" t="str">
        <f t="array" aca="1" ref="AAC1547" ca="1">IFERROR(INDEX(nombres[],SMALL(IF(OFFSET(nombres[],0,0,ROWS(nombres[]),1)=AAC$1490,ROW(OFFSET(nombres[],0,0,ROWS(nombres[]),1))-ROW(OFFSET(nombres[],0,0,1,1))+1,ROW(OFFSET(nombres[],ROWS(nombres[])-1,0,1,1))+1),$O1547:$O1566),3),"")</f>
        <v/>
      </c>
      <c r="AAD1547" s="42" t="str">
        <f t="array" aca="1" ref="AAD1547" ca="1">IFERROR(INDEX(nombres[],SMALL(IF(OFFSET(nombres[],0,0,ROWS(nombres[]),1)=AAD$1490,ROW(OFFSET(nombres[],0,0,ROWS(nombres[]),1))-ROW(OFFSET(nombres[],0,0,1,1))+1,ROW(OFFSET(nombres[],ROWS(nombres[])-1,0,1,1))+1),$O1547:$O1566),3),"")</f>
        <v/>
      </c>
      <c r="AAE1547" s="42" t="str">
        <f t="array" aca="1" ref="AAE1547" ca="1">IFERROR(INDEX(nombres[],SMALL(IF(OFFSET(nombres[],0,0,ROWS(nombres[]),1)=AAE$1490,ROW(OFFSET(nombres[],0,0,ROWS(nombres[]),1))-ROW(OFFSET(nombres[],0,0,1,1))+1,ROW(OFFSET(nombres[],ROWS(nombres[])-1,0,1,1))+1),$O1547:$O1566),3),"")</f>
        <v/>
      </c>
      <c r="AAF1547" s="42" t="str">
        <f t="array" aca="1" ref="AAF1547" ca="1">IFERROR(INDEX(nombres[],SMALL(IF(OFFSET(nombres[],0,0,ROWS(nombres[]),1)=AAF$1490,ROW(OFFSET(nombres[],0,0,ROWS(nombres[]),1))-ROW(OFFSET(nombres[],0,0,1,1))+1,ROW(OFFSET(nombres[],ROWS(nombres[])-1,0,1,1))+1),$O1547:$O1566),3),"")</f>
        <v/>
      </c>
      <c r="AAG1547" s="42" t="str">
        <f t="array" aca="1" ref="AAG1547" ca="1">IFERROR(INDEX(nombres[],SMALL(IF(OFFSET(nombres[],0,0,ROWS(nombres[]),1)=AAG$1490,ROW(OFFSET(nombres[],0,0,ROWS(nombres[]),1))-ROW(OFFSET(nombres[],0,0,1,1))+1,ROW(OFFSET(nombres[],ROWS(nombres[])-1,0,1,1))+1),$O1547:$O1566),3),"")</f>
        <v/>
      </c>
      <c r="AAH1547" s="42" t="str">
        <f t="array" aca="1" ref="AAH1547" ca="1">IFERROR(INDEX(nombres[],SMALL(IF(OFFSET(nombres[],0,0,ROWS(nombres[]),1)=AAH$1490,ROW(OFFSET(nombres[],0,0,ROWS(nombres[]),1))-ROW(OFFSET(nombres[],0,0,1,1))+1,ROW(OFFSET(nombres[],ROWS(nombres[])-1,0,1,1))+1),$O1547:$O1566),3),"")</f>
        <v/>
      </c>
      <c r="AAI1547" s="42" t="str">
        <f t="array" aca="1" ref="AAI1547" ca="1">IFERROR(INDEX(nombres[],SMALL(IF(OFFSET(nombres[],0,0,ROWS(nombres[]),1)=AAI$1490,ROW(OFFSET(nombres[],0,0,ROWS(nombres[]),1))-ROW(OFFSET(nombres[],0,0,1,1))+1,ROW(OFFSET(nombres[],ROWS(nombres[])-1,0,1,1))+1),$O1547:$O1566),3),"")</f>
        <v/>
      </c>
      <c r="AAJ1547" s="42" t="str">
        <f t="array" aca="1" ref="AAJ1547" ca="1">IFERROR(INDEX(nombres[],SMALL(IF(OFFSET(nombres[],0,0,ROWS(nombres[]),1)=AAJ$1490,ROW(OFFSET(nombres[],0,0,ROWS(nombres[]),1))-ROW(OFFSET(nombres[],0,0,1,1))+1,ROW(OFFSET(nombres[],ROWS(nombres[])-1,0,1,1))+1),$O1547:$O1566),3),"")</f>
        <v/>
      </c>
      <c r="AAK1547" s="42" t="str">
        <f t="array" aca="1" ref="AAK1547" ca="1">IFERROR(INDEX(nombres[],SMALL(IF(OFFSET(nombres[],0,0,ROWS(nombres[]),1)=AAK$1490,ROW(OFFSET(nombres[],0,0,ROWS(nombres[]),1))-ROW(OFFSET(nombres[],0,0,1,1))+1,ROW(OFFSET(nombres[],ROWS(nombres[])-1,0,1,1))+1),$O1547:$O1566),3),"")</f>
        <v/>
      </c>
      <c r="AAL1547" s="42" t="str">
        <f t="array" aca="1" ref="AAL1547" ca="1">IFERROR(INDEX(nombres[],SMALL(IF(OFFSET(nombres[],0,0,ROWS(nombres[]),1)=AAL$1490,ROW(OFFSET(nombres[],0,0,ROWS(nombres[]),1))-ROW(OFFSET(nombres[],0,0,1,1))+1,ROW(OFFSET(nombres[],ROWS(nombres[])-1,0,1,1))+1),$O1547:$O1566),3),"")</f>
        <v/>
      </c>
      <c r="AAM1547" s="42" t="str">
        <f t="array" aca="1" ref="AAM1547" ca="1">IFERROR(INDEX(nombres[],SMALL(IF(OFFSET(nombres[],0,0,ROWS(nombres[]),1)=AAM$1490,ROW(OFFSET(nombres[],0,0,ROWS(nombres[]),1))-ROW(OFFSET(nombres[],0,0,1,1))+1,ROW(OFFSET(nombres[],ROWS(nombres[])-1,0,1,1))+1),$O1547:$O1566),3),"")</f>
        <v/>
      </c>
      <c r="AAN1547" s="42" t="str">
        <f t="array" aca="1" ref="AAN1547" ca="1">IFERROR(INDEX(nombres[],SMALL(IF(OFFSET(nombres[],0,0,ROWS(nombres[]),1)=AAN$1490,ROW(OFFSET(nombres[],0,0,ROWS(nombres[]),1))-ROW(OFFSET(nombres[],0,0,1,1))+1,ROW(OFFSET(nombres[],ROWS(nombres[])-1,0,1,1))+1),$O1547:$O1566),3),"")</f>
        <v/>
      </c>
      <c r="AAO1547" s="42" t="str">
        <f t="array" aca="1" ref="AAO1547" ca="1">IFERROR(INDEX(nombres[],SMALL(IF(OFFSET(nombres[],0,0,ROWS(nombres[]),1)=AAO$1490,ROW(OFFSET(nombres[],0,0,ROWS(nombres[]),1))-ROW(OFFSET(nombres[],0,0,1,1))+1,ROW(OFFSET(nombres[],ROWS(nombres[])-1,0,1,1))+1),$O1547:$O1566),3),"")</f>
        <v/>
      </c>
      <c r="AAP1547" s="42" t="str">
        <f t="array" aca="1" ref="AAP1547" ca="1">IFERROR(INDEX(nombres[],SMALL(IF(OFFSET(nombres[],0,0,ROWS(nombres[]),1)=AAP$1490,ROW(OFFSET(nombres[],0,0,ROWS(nombres[]),1))-ROW(OFFSET(nombres[],0,0,1,1))+1,ROW(OFFSET(nombres[],ROWS(nombres[])-1,0,1,1))+1),$O1547:$O1566),3),"")</f>
        <v/>
      </c>
      <c r="AAQ1547" s="42" t="str">
        <f t="array" aca="1" ref="AAQ1547" ca="1">IFERROR(INDEX(nombres[],SMALL(IF(OFFSET(nombres[],0,0,ROWS(nombres[]),1)=AAQ$1490,ROW(OFFSET(nombres[],0,0,ROWS(nombres[]),1))-ROW(OFFSET(nombres[],0,0,1,1))+1,ROW(OFFSET(nombres[],ROWS(nombres[])-1,0,1,1))+1),$O1547:$O1566),3),"")</f>
        <v/>
      </c>
      <c r="AAR1547" s="42" t="str">
        <f t="array" aca="1" ref="AAR1547" ca="1">IFERROR(INDEX(nombres[],SMALL(IF(OFFSET(nombres[],0,0,ROWS(nombres[]),1)=AAR$1490,ROW(OFFSET(nombres[],0,0,ROWS(nombres[]),1))-ROW(OFFSET(nombres[],0,0,1,1))+1,ROW(OFFSET(nombres[],ROWS(nombres[])-1,0,1,1))+1),$O1547:$O1566),3),"")</f>
        <v/>
      </c>
      <c r="AAS1547" s="42" t="str">
        <f t="array" aca="1" ref="AAS1547" ca="1">IFERROR(INDEX(nombres[],SMALL(IF(OFFSET(nombres[],0,0,ROWS(nombres[]),1)=AAS$1490,ROW(OFFSET(nombres[],0,0,ROWS(nombres[]),1))-ROW(OFFSET(nombres[],0,0,1,1))+1,ROW(OFFSET(nombres[],ROWS(nombres[])-1,0,1,1))+1),$O1547:$O1566),3),"")</f>
        <v/>
      </c>
      <c r="AAT1547" s="42" t="str">
        <f t="array" aca="1" ref="AAT1547" ca="1">IFERROR(INDEX(nombres[],SMALL(IF(OFFSET(nombres[],0,0,ROWS(nombres[]),1)=AAT$1490,ROW(OFFSET(nombres[],0,0,ROWS(nombres[]),1))-ROW(OFFSET(nombres[],0,0,1,1))+1,ROW(OFFSET(nombres[],ROWS(nombres[])-1,0,1,1))+1),$O1547:$O1566),3),"")</f>
        <v/>
      </c>
      <c r="AAU1547" s="42" t="str">
        <f t="array" aca="1" ref="AAU1547" ca="1">IFERROR(INDEX(nombres[],SMALL(IF(OFFSET(nombres[],0,0,ROWS(nombres[]),1)=AAU$1490,ROW(OFFSET(nombres[],0,0,ROWS(nombres[]),1))-ROW(OFFSET(nombres[],0,0,1,1))+1,ROW(OFFSET(nombres[],ROWS(nombres[])-1,0,1,1))+1),$O1547:$O1566),3),"")</f>
        <v/>
      </c>
      <c r="AAV1547" s="42" t="str">
        <f t="array" aca="1" ref="AAV1547" ca="1">IFERROR(INDEX(nombres[],SMALL(IF(OFFSET(nombres[],0,0,ROWS(nombres[]),1)=AAV$1490,ROW(OFFSET(nombres[],0,0,ROWS(nombres[]),1))-ROW(OFFSET(nombres[],0,0,1,1))+1,ROW(OFFSET(nombres[],ROWS(nombres[])-1,0,1,1))+1),$O1547:$O1566),3),"")</f>
        <v/>
      </c>
      <c r="AAW1547" s="42" t="str">
        <f t="array" aca="1" ref="AAW1547" ca="1">IFERROR(INDEX(nombres[],SMALL(IF(OFFSET(nombres[],0,0,ROWS(nombres[]),1)=AAW$1490,ROW(OFFSET(nombres[],0,0,ROWS(nombres[]),1))-ROW(OFFSET(nombres[],0,0,1,1))+1,ROW(OFFSET(nombres[],ROWS(nombres[])-1,0,1,1))+1),$O1547:$O1566),3),"")</f>
        <v/>
      </c>
      <c r="AAX1547" s="42" t="str">
        <f t="array" aca="1" ref="AAX1547" ca="1">IFERROR(INDEX(nombres[],SMALL(IF(OFFSET(nombres[],0,0,ROWS(nombres[]),1)=AAX$1490,ROW(OFFSET(nombres[],0,0,ROWS(nombres[]),1))-ROW(OFFSET(nombres[],0,0,1,1))+1,ROW(OFFSET(nombres[],ROWS(nombres[])-1,0,1,1))+1),$O1547:$O1566),3),"")</f>
        <v/>
      </c>
      <c r="AAY1547" s="42" t="str">
        <f t="array" aca="1" ref="AAY1547" ca="1">IFERROR(INDEX(nombres[],SMALL(IF(OFFSET(nombres[],0,0,ROWS(nombres[]),1)=AAY$1490,ROW(OFFSET(nombres[],0,0,ROWS(nombres[]),1))-ROW(OFFSET(nombres[],0,0,1,1))+1,ROW(OFFSET(nombres[],ROWS(nombres[])-1,0,1,1))+1),$O1547:$O1566),3),"")</f>
        <v/>
      </c>
      <c r="AAZ1547" s="42" t="str">
        <f t="array" aca="1" ref="AAZ1547" ca="1">IFERROR(INDEX(nombres[],SMALL(IF(OFFSET(nombres[],0,0,ROWS(nombres[]),1)=AAZ$1490,ROW(OFFSET(nombres[],0,0,ROWS(nombres[]),1))-ROW(OFFSET(nombres[],0,0,1,1))+1,ROW(OFFSET(nombres[],ROWS(nombres[])-1,0,1,1))+1),$O1547:$O1566),3),"")</f>
        <v/>
      </c>
      <c r="ABA1547" s="42" t="str">
        <f t="array" aca="1" ref="ABA1547" ca="1">IFERROR(INDEX(nombres[],SMALL(IF(OFFSET(nombres[],0,0,ROWS(nombres[]),1)=ABA$1490,ROW(OFFSET(nombres[],0,0,ROWS(nombres[]),1))-ROW(OFFSET(nombres[],0,0,1,1))+1,ROW(OFFSET(nombres[],ROWS(nombres[])-1,0,1,1))+1),$O1547:$O1566),3),"")</f>
        <v/>
      </c>
      <c r="ABB1547" s="42" t="str">
        <f t="array" aca="1" ref="ABB1547" ca="1">IFERROR(INDEX(nombres[],SMALL(IF(OFFSET(nombres[],0,0,ROWS(nombres[]),1)=ABB$1490,ROW(OFFSET(nombres[],0,0,ROWS(nombres[]),1))-ROW(OFFSET(nombres[],0,0,1,1))+1,ROW(OFFSET(nombres[],ROWS(nombres[])-1,0,1,1))+1),$O1547:$O1566),3),"")</f>
        <v/>
      </c>
      <c r="ABC1547" s="42" t="str">
        <f t="array" aca="1" ref="ABC1547" ca="1">IFERROR(INDEX(nombres[],SMALL(IF(OFFSET(nombres[],0,0,ROWS(nombres[]),1)=ABC$1490,ROW(OFFSET(nombres[],0,0,ROWS(nombres[]),1))-ROW(OFFSET(nombres[],0,0,1,1))+1,ROW(OFFSET(nombres[],ROWS(nombres[])-1,0,1,1))+1),$O1547:$O1566),3),"")</f>
        <v/>
      </c>
      <c r="ABD1547" s="42" t="str">
        <f t="array" aca="1" ref="ABD1547" ca="1">IFERROR(INDEX(nombres[],SMALL(IF(OFFSET(nombres[],0,0,ROWS(nombres[]),1)=ABD$1490,ROW(OFFSET(nombres[],0,0,ROWS(nombres[]),1))-ROW(OFFSET(nombres[],0,0,1,1))+1,ROW(OFFSET(nombres[],ROWS(nombres[])-1,0,1,1))+1),$O1547:$O1566),3),"")</f>
        <v/>
      </c>
      <c r="ABE1547" s="42" t="str">
        <f t="array" aca="1" ref="ABE1547" ca="1">IFERROR(INDEX(nombres[],SMALL(IF(OFFSET(nombres[],0,0,ROWS(nombres[]),1)=ABE$1490,ROW(OFFSET(nombres[],0,0,ROWS(nombres[]),1))-ROW(OFFSET(nombres[],0,0,1,1))+1,ROW(OFFSET(nombres[],ROWS(nombres[])-1,0,1,1))+1),$O1547:$O1566),3),"")</f>
        <v/>
      </c>
      <c r="ABF1547" s="42" t="str">
        <f t="array" aca="1" ref="ABF1547" ca="1">IFERROR(INDEX(nombres[],SMALL(IF(OFFSET(nombres[],0,0,ROWS(nombres[]),1)=ABF$1490,ROW(OFFSET(nombres[],0,0,ROWS(nombres[]),1))-ROW(OFFSET(nombres[],0,0,1,1))+1,ROW(OFFSET(nombres[],ROWS(nombres[])-1,0,1,1))+1),$O1547:$O1566),3),"")</f>
        <v/>
      </c>
      <c r="ABG1547" s="42" t="str">
        <f t="array" aca="1" ref="ABG1547" ca="1">IFERROR(INDEX(nombres[],SMALL(IF(OFFSET(nombres[],0,0,ROWS(nombres[]),1)=ABG$1490,ROW(OFFSET(nombres[],0,0,ROWS(nombres[]),1))-ROW(OFFSET(nombres[],0,0,1,1))+1,ROW(OFFSET(nombres[],ROWS(nombres[])-1,0,1,1))+1),$O1547:$O1566),3),"")</f>
        <v/>
      </c>
      <c r="ABH1547" s="42" t="str">
        <f t="array" aca="1" ref="ABH1547" ca="1">IFERROR(INDEX(nombres[],SMALL(IF(OFFSET(nombres[],0,0,ROWS(nombres[]),1)=ABH$1490,ROW(OFFSET(nombres[],0,0,ROWS(nombres[]),1))-ROW(OFFSET(nombres[],0,0,1,1))+1,ROW(OFFSET(nombres[],ROWS(nombres[])-1,0,1,1))+1),$O1547:$O1566),3),"")</f>
        <v/>
      </c>
      <c r="ABI1547" s="42" t="str">
        <f t="array" aca="1" ref="ABI1547" ca="1">IFERROR(INDEX(nombres[],SMALL(IF(OFFSET(nombres[],0,0,ROWS(nombres[]),1)=ABI$1490,ROW(OFFSET(nombres[],0,0,ROWS(nombres[]),1))-ROW(OFFSET(nombres[],0,0,1,1))+1,ROW(OFFSET(nombres[],ROWS(nombres[])-1,0,1,1))+1),$O1547:$O1566),3),"")</f>
        <v/>
      </c>
      <c r="ABJ1547" s="42" t="str">
        <f t="array" aca="1" ref="ABJ1547" ca="1">IFERROR(INDEX(nombres[],SMALL(IF(OFFSET(nombres[],0,0,ROWS(nombres[]),1)=ABJ$1490,ROW(OFFSET(nombres[],0,0,ROWS(nombres[]),1))-ROW(OFFSET(nombres[],0,0,1,1))+1,ROW(OFFSET(nombres[],ROWS(nombres[])-1,0,1,1))+1),$O1547:$O1566),3),"")</f>
        <v/>
      </c>
      <c r="ABK1547" s="42" t="str">
        <f t="array" aca="1" ref="ABK1547" ca="1">IFERROR(INDEX(nombres[],SMALL(IF(OFFSET(nombres[],0,0,ROWS(nombres[]),1)=ABK$1490,ROW(OFFSET(nombres[],0,0,ROWS(nombres[]),1))-ROW(OFFSET(nombres[],0,0,1,1))+1,ROW(OFFSET(nombres[],ROWS(nombres[])-1,0,1,1))+1),$O1547:$O1566),3),"")</f>
        <v/>
      </c>
      <c r="ABL1547" s="42" t="str">
        <f t="array" aca="1" ref="ABL1547" ca="1">IFERROR(INDEX(nombres[],SMALL(IF(OFFSET(nombres[],0,0,ROWS(nombres[]),1)=ABL$1490,ROW(OFFSET(nombres[],0,0,ROWS(nombres[]),1))-ROW(OFFSET(nombres[],0,0,1,1))+1,ROW(OFFSET(nombres[],ROWS(nombres[])-1,0,1,1))+1),$O1547:$O1566),3),"")</f>
        <v/>
      </c>
      <c r="ABM1547" s="42" t="str">
        <f t="array" aca="1" ref="ABM1547" ca="1">IFERROR(INDEX(nombres[],SMALL(IF(OFFSET(nombres[],0,0,ROWS(nombres[]),1)=ABM$1490,ROW(OFFSET(nombres[],0,0,ROWS(nombres[]),1))-ROW(OFFSET(nombres[],0,0,1,1))+1,ROW(OFFSET(nombres[],ROWS(nombres[])-1,0,1,1))+1),$O1547:$O1566),3),"")</f>
        <v/>
      </c>
      <c r="ABN1547" s="42" t="str">
        <f t="array" aca="1" ref="ABN1547" ca="1">IFERROR(INDEX(nombres[],SMALL(IF(OFFSET(nombres[],0,0,ROWS(nombres[]),1)=ABN$1490,ROW(OFFSET(nombres[],0,0,ROWS(nombres[]),1))-ROW(OFFSET(nombres[],0,0,1,1))+1,ROW(OFFSET(nombres[],ROWS(nombres[])-1,0,1,1))+1),$O1547:$O1566),3),"")</f>
        <v/>
      </c>
      <c r="ABO1547" s="42" t="str">
        <f t="array" aca="1" ref="ABO1547" ca="1">IFERROR(INDEX(nombres[],SMALL(IF(OFFSET(nombres[],0,0,ROWS(nombres[]),1)=ABO$1490,ROW(OFFSET(nombres[],0,0,ROWS(nombres[]),1))-ROW(OFFSET(nombres[],0,0,1,1))+1,ROW(OFFSET(nombres[],ROWS(nombres[])-1,0,1,1))+1),$O1547:$O1566),3),"")</f>
        <v/>
      </c>
      <c r="ABP1547" s="42" t="str">
        <f t="array" aca="1" ref="ABP1547" ca="1">IFERROR(INDEX(nombres[],SMALL(IF(OFFSET(nombres[],0,0,ROWS(nombres[]),1)=ABP$1490,ROW(OFFSET(nombres[],0,0,ROWS(nombres[]),1))-ROW(OFFSET(nombres[],0,0,1,1))+1,ROW(OFFSET(nombres[],ROWS(nombres[])-1,0,1,1))+1),$O1547:$O1566),3),"")</f>
        <v/>
      </c>
      <c r="ABQ1547" s="42" t="str">
        <f t="array" aca="1" ref="ABQ1547" ca="1">IFERROR(INDEX(nombres[],SMALL(IF(OFFSET(nombres[],0,0,ROWS(nombres[]),1)=ABQ$1490,ROW(OFFSET(nombres[],0,0,ROWS(nombres[]),1))-ROW(OFFSET(nombres[],0,0,1,1))+1,ROW(OFFSET(nombres[],ROWS(nombres[])-1,0,1,1))+1),$O1547:$O1566),3),"")</f>
        <v/>
      </c>
      <c r="ABR1547" s="42" t="str">
        <f t="array" aca="1" ref="ABR1547" ca="1">IFERROR(INDEX(nombres[],SMALL(IF(OFFSET(nombres[],0,0,ROWS(nombres[]),1)=ABR$1490,ROW(OFFSET(nombres[],0,0,ROWS(nombres[]),1))-ROW(OFFSET(nombres[],0,0,1,1))+1,ROW(OFFSET(nombres[],ROWS(nombres[])-1,0,1,1))+1),$O1547:$O1566),3),"")</f>
        <v/>
      </c>
      <c r="ABS1547" s="42" t="str">
        <f t="array" aca="1" ref="ABS1547" ca="1">IFERROR(INDEX(nombres[],SMALL(IF(OFFSET(nombres[],0,0,ROWS(nombres[]),1)=ABS$1490,ROW(OFFSET(nombres[],0,0,ROWS(nombres[]),1))-ROW(OFFSET(nombres[],0,0,1,1))+1,ROW(OFFSET(nombres[],ROWS(nombres[])-1,0,1,1))+1),$O1547:$O1566),3),"")</f>
        <v/>
      </c>
      <c r="ABT1547" s="42" t="str">
        <f t="array" aca="1" ref="ABT1547" ca="1">IFERROR(INDEX(nombres[],SMALL(IF(OFFSET(nombres[],0,0,ROWS(nombres[]),1)=ABT$1490,ROW(OFFSET(nombres[],0,0,ROWS(nombres[]),1))-ROW(OFFSET(nombres[],0,0,1,1))+1,ROW(OFFSET(nombres[],ROWS(nombres[])-1,0,1,1))+1),$O1547:$O1566),3),"")</f>
        <v/>
      </c>
      <c r="ABU1547" s="42" t="str">
        <f t="array" aca="1" ref="ABU1547" ca="1">IFERROR(INDEX(nombres[],SMALL(IF(OFFSET(nombres[],0,0,ROWS(nombres[]),1)=ABU$1490,ROW(OFFSET(nombres[],0,0,ROWS(nombres[]),1))-ROW(OFFSET(nombres[],0,0,1,1))+1,ROW(OFFSET(nombres[],ROWS(nombres[])-1,0,1,1))+1),$O1547:$O1566),3),"")</f>
        <v/>
      </c>
      <c r="ABV1547" s="42" t="str">
        <f t="array" aca="1" ref="ABV1547" ca="1">IFERROR(INDEX(nombres[],SMALL(IF(OFFSET(nombres[],0,0,ROWS(nombres[]),1)=ABV$1490,ROW(OFFSET(nombres[],0,0,ROWS(nombres[]),1))-ROW(OFFSET(nombres[],0,0,1,1))+1,ROW(OFFSET(nombres[],ROWS(nombres[])-1,0,1,1))+1),$O1547:$O1566),3),"")</f>
        <v/>
      </c>
      <c r="ABW1547" s="42" t="str">
        <f t="array" aca="1" ref="ABW1547" ca="1">IFERROR(INDEX(nombres[],SMALL(IF(OFFSET(nombres[],0,0,ROWS(nombres[]),1)=ABW$1490,ROW(OFFSET(nombres[],0,0,ROWS(nombres[]),1))-ROW(OFFSET(nombres[],0,0,1,1))+1,ROW(OFFSET(nombres[],ROWS(nombres[])-1,0,1,1))+1),$O1547:$O1566),3),"")</f>
        <v/>
      </c>
      <c r="ABX1547" s="42" t="str">
        <f t="array" aca="1" ref="ABX1547" ca="1">IFERROR(INDEX(nombres[],SMALL(IF(OFFSET(nombres[],0,0,ROWS(nombres[]),1)=ABX$1490,ROW(OFFSET(nombres[],0,0,ROWS(nombres[]),1))-ROW(OFFSET(nombres[],0,0,1,1))+1,ROW(OFFSET(nombres[],ROWS(nombres[])-1,0,1,1))+1),$O1547:$O1566),3),"")</f>
        <v/>
      </c>
      <c r="ABY1547" s="42" t="str">
        <f t="array" aca="1" ref="ABY1547" ca="1">IFERROR(INDEX(nombres[],SMALL(IF(OFFSET(nombres[],0,0,ROWS(nombres[]),1)=ABY$1490,ROW(OFFSET(nombres[],0,0,ROWS(nombres[]),1))-ROW(OFFSET(nombres[],0,0,1,1))+1,ROW(OFFSET(nombres[],ROWS(nombres[])-1,0,1,1))+1),$O1547:$O1566),3),"")</f>
        <v/>
      </c>
      <c r="ABZ1547" s="42" t="str">
        <f t="array" aca="1" ref="ABZ1547" ca="1">IFERROR(INDEX(nombres[],SMALL(IF(OFFSET(nombres[],0,0,ROWS(nombres[]),1)=ABZ$1490,ROW(OFFSET(nombres[],0,0,ROWS(nombres[]),1))-ROW(OFFSET(nombres[],0,0,1,1))+1,ROW(OFFSET(nombres[],ROWS(nombres[])-1,0,1,1))+1),$O1547:$O1566),3),"")</f>
        <v/>
      </c>
      <c r="ACA1547" s="42" t="str">
        <f t="array" aca="1" ref="ACA1547" ca="1">IFERROR(INDEX(nombres[],SMALL(IF(OFFSET(nombres[],0,0,ROWS(nombres[]),1)=ACA$1490,ROW(OFFSET(nombres[],0,0,ROWS(nombres[]),1))-ROW(OFFSET(nombres[],0,0,1,1))+1,ROW(OFFSET(nombres[],ROWS(nombres[])-1,0,1,1))+1),$O1547:$O1566),3),"")</f>
        <v/>
      </c>
      <c r="ACB1547" s="42" t="str">
        <f t="array" aca="1" ref="ACB1547" ca="1">IFERROR(INDEX(nombres[],SMALL(IF(OFFSET(nombres[],0,0,ROWS(nombres[]),1)=ACB$1490,ROW(OFFSET(nombres[],0,0,ROWS(nombres[]),1))-ROW(OFFSET(nombres[],0,0,1,1))+1,ROW(OFFSET(nombres[],ROWS(nombres[])-1,0,1,1))+1),$O1547:$O1566),3),"")</f>
        <v/>
      </c>
      <c r="ACC1547" s="42" t="str">
        <f t="array" aca="1" ref="ACC1547" ca="1">IFERROR(INDEX(nombres[],SMALL(IF(OFFSET(nombres[],0,0,ROWS(nombres[]),1)=ACC$1490,ROW(OFFSET(nombres[],0,0,ROWS(nombres[]),1))-ROW(OFFSET(nombres[],0,0,1,1))+1,ROW(OFFSET(nombres[],ROWS(nombres[])-1,0,1,1))+1),$O1547:$O1566),3),"")</f>
        <v/>
      </c>
      <c r="ACD1547" s="42" t="str">
        <f t="array" aca="1" ref="ACD1547" ca="1">IFERROR(INDEX(nombres[],SMALL(IF(OFFSET(nombres[],0,0,ROWS(nombres[]),1)=ACD$1490,ROW(OFFSET(nombres[],0,0,ROWS(nombres[]),1))-ROW(OFFSET(nombres[],0,0,1,1))+1,ROW(OFFSET(nombres[],ROWS(nombres[])-1,0,1,1))+1),$O1547:$O1566),3),"")</f>
        <v/>
      </c>
      <c r="ACE1547" s="42" t="str">
        <f t="array" aca="1" ref="ACE1547" ca="1">IFERROR(INDEX(nombres[],SMALL(IF(OFFSET(nombres[],0,0,ROWS(nombres[]),1)=ACE$1490,ROW(OFFSET(nombres[],0,0,ROWS(nombres[]),1))-ROW(OFFSET(nombres[],0,0,1,1))+1,ROW(OFFSET(nombres[],ROWS(nombres[])-1,0,1,1))+1),$O1547:$O1566),3),"")</f>
        <v/>
      </c>
      <c r="ACF1547" s="42" t="str">
        <f t="array" aca="1" ref="ACF1547" ca="1">IFERROR(INDEX(nombres[],SMALL(IF(OFFSET(nombres[],0,0,ROWS(nombres[]),1)=ACF$1490,ROW(OFFSET(nombres[],0,0,ROWS(nombres[]),1))-ROW(OFFSET(nombres[],0,0,1,1))+1,ROW(OFFSET(nombres[],ROWS(nombres[])-1,0,1,1))+1),$O1547:$O1566),3),"")</f>
        <v/>
      </c>
      <c r="ACG1547" s="42" t="str">
        <f t="array" aca="1" ref="ACG1547" ca="1">IFERROR(INDEX(nombres[],SMALL(IF(OFFSET(nombres[],0,0,ROWS(nombres[]),1)=ACG$1490,ROW(OFFSET(nombres[],0,0,ROWS(nombres[]),1))-ROW(OFFSET(nombres[],0,0,1,1))+1,ROW(OFFSET(nombres[],ROWS(nombres[])-1,0,1,1))+1),$O1547:$O1566),3),"")</f>
        <v/>
      </c>
      <c r="ACH1547" s="42" t="str">
        <f t="array" aca="1" ref="ACH1547" ca="1">IFERROR(INDEX(nombres[],SMALL(IF(OFFSET(nombres[],0,0,ROWS(nombres[]),1)=ACH$1490,ROW(OFFSET(nombres[],0,0,ROWS(nombres[]),1))-ROW(OFFSET(nombres[],0,0,1,1))+1,ROW(OFFSET(nombres[],ROWS(nombres[])-1,0,1,1))+1),$O1547:$O1566),3),"")</f>
        <v/>
      </c>
      <c r="ACI1547" s="42" t="str">
        <f t="array" aca="1" ref="ACI1547" ca="1">IFERROR(INDEX(nombres[],SMALL(IF(OFFSET(nombres[],0,0,ROWS(nombres[]),1)=ACI$1490,ROW(OFFSET(nombres[],0,0,ROWS(nombres[]),1))-ROW(OFFSET(nombres[],0,0,1,1))+1,ROW(OFFSET(nombres[],ROWS(nombres[])-1,0,1,1))+1),$O1547:$O1566),3),"")</f>
        <v/>
      </c>
      <c r="ACJ1547" s="42" t="str">
        <f t="array" aca="1" ref="ACJ1547" ca="1">IFERROR(INDEX(nombres[],SMALL(IF(OFFSET(nombres[],0,0,ROWS(nombres[]),1)=ACJ$1490,ROW(OFFSET(nombres[],0,0,ROWS(nombres[]),1))-ROW(OFFSET(nombres[],0,0,1,1))+1,ROW(OFFSET(nombres[],ROWS(nombres[])-1,0,1,1))+1),$O1547:$O1566),3),"")</f>
        <v/>
      </c>
      <c r="ACK1547" s="42" t="str">
        <f t="array" aca="1" ref="ACK1547" ca="1">IFERROR(INDEX(nombres[],SMALL(IF(OFFSET(nombres[],0,0,ROWS(nombres[]),1)=ACK$1490,ROW(OFFSET(nombres[],0,0,ROWS(nombres[]),1))-ROW(OFFSET(nombres[],0,0,1,1))+1,ROW(OFFSET(nombres[],ROWS(nombres[])-1,0,1,1))+1),$O1547:$O1566),3),"")</f>
        <v/>
      </c>
      <c r="ACL1547" s="42" t="str">
        <f t="array" aca="1" ref="ACL1547" ca="1">IFERROR(INDEX(nombres[],SMALL(IF(OFFSET(nombres[],0,0,ROWS(nombres[]),1)=ACL$1490,ROW(OFFSET(nombres[],0,0,ROWS(nombres[]),1))-ROW(OFFSET(nombres[],0,0,1,1))+1,ROW(OFFSET(nombres[],ROWS(nombres[])-1,0,1,1))+1),$O1547:$O1566),3),"")</f>
        <v/>
      </c>
      <c r="ACM1547" s="42" t="str">
        <f t="array" aca="1" ref="ACM1547" ca="1">IFERROR(INDEX(nombres[],SMALL(IF(OFFSET(nombres[],0,0,ROWS(nombres[]),1)=ACM$1490,ROW(OFFSET(nombres[],0,0,ROWS(nombres[]),1))-ROW(OFFSET(nombres[],0,0,1,1))+1,ROW(OFFSET(nombres[],ROWS(nombres[])-1,0,1,1))+1),$O1547:$O1566),3),"")</f>
        <v/>
      </c>
      <c r="ACN1547" s="42" t="str">
        <f t="array" aca="1" ref="ACN1547" ca="1">IFERROR(INDEX(nombres[],SMALL(IF(OFFSET(nombres[],0,0,ROWS(nombres[]),1)=ACN$1490,ROW(OFFSET(nombres[],0,0,ROWS(nombres[]),1))-ROW(OFFSET(nombres[],0,0,1,1))+1,ROW(OFFSET(nombres[],ROWS(nombres[])-1,0,1,1))+1),$O1547:$O1566),3),"")</f>
        <v/>
      </c>
      <c r="ACO1547" s="42" t="str">
        <f t="array" aca="1" ref="ACO1547" ca="1">IFERROR(INDEX(nombres[],SMALL(IF(OFFSET(nombres[],0,0,ROWS(nombres[]),1)=ACO$1490,ROW(OFFSET(nombres[],0,0,ROWS(nombres[]),1))-ROW(OFFSET(nombres[],0,0,1,1))+1,ROW(OFFSET(nombres[],ROWS(nombres[])-1,0,1,1))+1),$O1547:$O1566),3),"")</f>
        <v/>
      </c>
      <c r="ACP1547" s="42" t="str">
        <f t="array" aca="1" ref="ACP1547" ca="1">IFERROR(INDEX(nombres[],SMALL(IF(OFFSET(nombres[],0,0,ROWS(nombres[]),1)=ACP$1490,ROW(OFFSET(nombres[],0,0,ROWS(nombres[]),1))-ROW(OFFSET(nombres[],0,0,1,1))+1,ROW(OFFSET(nombres[],ROWS(nombres[])-1,0,1,1))+1),$O1547:$O1566),3),"")</f>
        <v/>
      </c>
      <c r="ACQ1547" s="42" t="str">
        <f t="array" aca="1" ref="ACQ1547" ca="1">IFERROR(INDEX(nombres[],SMALL(IF(OFFSET(nombres[],0,0,ROWS(nombres[]),1)=ACQ$1490,ROW(OFFSET(nombres[],0,0,ROWS(nombres[]),1))-ROW(OFFSET(nombres[],0,0,1,1))+1,ROW(OFFSET(nombres[],ROWS(nombres[])-1,0,1,1))+1),$O1547:$O1566),3),"")</f>
        <v/>
      </c>
      <c r="ACR1547" s="42" t="str">
        <f t="array" aca="1" ref="ACR1547" ca="1">IFERROR(INDEX(nombres[],SMALL(IF(OFFSET(nombres[],0,0,ROWS(nombres[]),1)=ACR$1490,ROW(OFFSET(nombres[],0,0,ROWS(nombres[]),1))-ROW(OFFSET(nombres[],0,0,1,1))+1,ROW(OFFSET(nombres[],ROWS(nombres[])-1,0,1,1))+1),$O1547:$O1566),3),"")</f>
        <v/>
      </c>
      <c r="ACS1547" s="42" t="str">
        <f t="array" aca="1" ref="ACS1547" ca="1">IFERROR(INDEX(nombres[],SMALL(IF(OFFSET(nombres[],0,0,ROWS(nombres[]),1)=ACS$1490,ROW(OFFSET(nombres[],0,0,ROWS(nombres[]),1))-ROW(OFFSET(nombres[],0,0,1,1))+1,ROW(OFFSET(nombres[],ROWS(nombres[])-1,0,1,1))+1),$O1547:$O1566),3),"")</f>
        <v/>
      </c>
      <c r="ACT1547" s="42" t="str">
        <f t="array" aca="1" ref="ACT1547" ca="1">IFERROR(INDEX(nombres[],SMALL(IF(OFFSET(nombres[],0,0,ROWS(nombres[]),1)=ACT$1490,ROW(OFFSET(nombres[],0,0,ROWS(nombres[]),1))-ROW(OFFSET(nombres[],0,0,1,1))+1,ROW(OFFSET(nombres[],ROWS(nombres[])-1,0,1,1))+1),$O1547:$O1566),3),"")</f>
        <v/>
      </c>
      <c r="ACU1547" s="42" t="str">
        <f t="array" aca="1" ref="ACU1547" ca="1">IFERROR(INDEX(nombres[],SMALL(IF(OFFSET(nombres[],0,0,ROWS(nombres[]),1)=ACU$1490,ROW(OFFSET(nombres[],0,0,ROWS(nombres[]),1))-ROW(OFFSET(nombres[],0,0,1,1))+1,ROW(OFFSET(nombres[],ROWS(nombres[])-1,0,1,1))+1),$O1547:$O1566),3),"")</f>
        <v/>
      </c>
      <c r="ACV1547" s="42" t="str">
        <f t="array" aca="1" ref="ACV1547" ca="1">IFERROR(INDEX(nombres[],SMALL(IF(OFFSET(nombres[],0,0,ROWS(nombres[]),1)=ACV$1490,ROW(OFFSET(nombres[],0,0,ROWS(nombres[]),1))-ROW(OFFSET(nombres[],0,0,1,1))+1,ROW(OFFSET(nombres[],ROWS(nombres[])-1,0,1,1))+1),$O1547:$O1566),3),"")</f>
        <v/>
      </c>
      <c r="ACW1547" s="42" t="str">
        <f t="array" aca="1" ref="ACW1547" ca="1">IFERROR(INDEX(nombres[],SMALL(IF(OFFSET(nombres[],0,0,ROWS(nombres[]),1)=ACW$1490,ROW(OFFSET(nombres[],0,0,ROWS(nombres[]),1))-ROW(OFFSET(nombres[],0,0,1,1))+1,ROW(OFFSET(nombres[],ROWS(nombres[])-1,0,1,1))+1),$O1547:$O1566),3),"")</f>
        <v/>
      </c>
      <c r="ACX1547" s="42" t="str">
        <f t="array" aca="1" ref="ACX1547" ca="1">IFERROR(INDEX(nombres[],SMALL(IF(OFFSET(nombres[],0,0,ROWS(nombres[]),1)=ACX$1490,ROW(OFFSET(nombres[],0,0,ROWS(nombres[]),1))-ROW(OFFSET(nombres[],0,0,1,1))+1,ROW(OFFSET(nombres[],ROWS(nombres[])-1,0,1,1))+1),$O1547:$O1566),3),"")</f>
        <v/>
      </c>
      <c r="ACY1547" s="42" t="str">
        <f t="array" aca="1" ref="ACY1547" ca="1">IFERROR(INDEX(nombres[],SMALL(IF(OFFSET(nombres[],0,0,ROWS(nombres[]),1)=ACY$1490,ROW(OFFSET(nombres[],0,0,ROWS(nombres[]),1))-ROW(OFFSET(nombres[],0,0,1,1))+1,ROW(OFFSET(nombres[],ROWS(nombres[])-1,0,1,1))+1),$O1547:$O1566),3),"")</f>
        <v/>
      </c>
      <c r="ACZ1547" s="42" t="str">
        <f t="array" aca="1" ref="ACZ1547" ca="1">IFERROR(INDEX(nombres[],SMALL(IF(OFFSET(nombres[],0,0,ROWS(nombres[]),1)=ACZ$1490,ROW(OFFSET(nombres[],0,0,ROWS(nombres[]),1))-ROW(OFFSET(nombres[],0,0,1,1))+1,ROW(OFFSET(nombres[],ROWS(nombres[])-1,0,1,1))+1),$O1547:$O1566),3),"")</f>
        <v/>
      </c>
      <c r="ADA1547" s="42" t="str">
        <f t="array" aca="1" ref="ADA1547" ca="1">IFERROR(INDEX(nombres[],SMALL(IF(OFFSET(nombres[],0,0,ROWS(nombres[]),1)=ADA$1490,ROW(OFFSET(nombres[],0,0,ROWS(nombres[]),1))-ROW(OFFSET(nombres[],0,0,1,1))+1,ROW(OFFSET(nombres[],ROWS(nombres[])-1,0,1,1))+1),$O1547:$O1566),3),"")</f>
        <v/>
      </c>
      <c r="ADB1547" s="42" t="str">
        <f t="array" aca="1" ref="ADB1547" ca="1">IFERROR(INDEX(nombres[],SMALL(IF(OFFSET(nombres[],0,0,ROWS(nombres[]),1)=ADB$1490,ROW(OFFSET(nombres[],0,0,ROWS(nombres[]),1))-ROW(OFFSET(nombres[],0,0,1,1))+1,ROW(OFFSET(nombres[],ROWS(nombres[])-1,0,1,1))+1),$O1547:$O1566),3),"")</f>
        <v/>
      </c>
      <c r="ADC1547" s="42" t="str">
        <f t="array" aca="1" ref="ADC1547" ca="1">IFERROR(INDEX(nombres[],SMALL(IF(OFFSET(nombres[],0,0,ROWS(nombres[]),1)=ADC$1490,ROW(OFFSET(nombres[],0,0,ROWS(nombres[]),1))-ROW(OFFSET(nombres[],0,0,1,1))+1,ROW(OFFSET(nombres[],ROWS(nombres[])-1,0,1,1))+1),$O1547:$O1566),3),"")</f>
        <v/>
      </c>
      <c r="ADD1547" s="42" t="str">
        <f t="array" aca="1" ref="ADD1547" ca="1">IFERROR(INDEX(nombres[],SMALL(IF(OFFSET(nombres[],0,0,ROWS(nombres[]),1)=ADD$1490,ROW(OFFSET(nombres[],0,0,ROWS(nombres[]),1))-ROW(OFFSET(nombres[],0,0,1,1))+1,ROW(OFFSET(nombres[],ROWS(nombres[])-1,0,1,1))+1),$O1547:$O1566),3),"")</f>
        <v/>
      </c>
      <c r="ADE1547" s="42" t="str">
        <f t="array" aca="1" ref="ADE1547" ca="1">IFERROR(INDEX(nombres[],SMALL(IF(OFFSET(nombres[],0,0,ROWS(nombres[]),1)=ADE$1490,ROW(OFFSET(nombres[],0,0,ROWS(nombres[]),1))-ROW(OFFSET(nombres[],0,0,1,1))+1,ROW(OFFSET(nombres[],ROWS(nombres[])-1,0,1,1))+1),$O1547:$O1566),3),"")</f>
        <v/>
      </c>
      <c r="ADF1547" s="42" t="str">
        <f t="array" aca="1" ref="ADF1547" ca="1">IFERROR(INDEX(nombres[],SMALL(IF(OFFSET(nombres[],0,0,ROWS(nombres[]),1)=ADF$1490,ROW(OFFSET(nombres[],0,0,ROWS(nombres[]),1))-ROW(OFFSET(nombres[],0,0,1,1))+1,ROW(OFFSET(nombres[],ROWS(nombres[])-1,0,1,1))+1),$O1547:$O1566),3),"")</f>
        <v/>
      </c>
      <c r="ADG1547" s="42" t="str">
        <f t="array" aca="1" ref="ADG1547" ca="1">IFERROR(INDEX(nombres[],SMALL(IF(OFFSET(nombres[],0,0,ROWS(nombres[]),1)=ADG$1490,ROW(OFFSET(nombres[],0,0,ROWS(nombres[]),1))-ROW(OFFSET(nombres[],0,0,1,1))+1,ROW(OFFSET(nombres[],ROWS(nombres[])-1,0,1,1))+1),$O1547:$O1566),3),"")</f>
        <v/>
      </c>
      <c r="ADH1547" s="42" t="str">
        <f t="array" aca="1" ref="ADH1547" ca="1">IFERROR(INDEX(nombres[],SMALL(IF(OFFSET(nombres[],0,0,ROWS(nombres[]),1)=ADH$1490,ROW(OFFSET(nombres[],0,0,ROWS(nombres[]),1))-ROW(OFFSET(nombres[],0,0,1,1))+1,ROW(OFFSET(nombres[],ROWS(nombres[])-1,0,1,1))+1),$O1547:$O1566),3),"")</f>
        <v/>
      </c>
      <c r="ADI1547" s="42" t="str">
        <f t="array" aca="1" ref="ADI1547" ca="1">IFERROR(INDEX(nombres[],SMALL(IF(OFFSET(nombres[],0,0,ROWS(nombres[]),1)=ADI$1490,ROW(OFFSET(nombres[],0,0,ROWS(nombres[]),1))-ROW(OFFSET(nombres[],0,0,1,1))+1,ROW(OFFSET(nombres[],ROWS(nombres[])-1,0,1,1))+1),$O1547:$O1566),3),"")</f>
        <v/>
      </c>
      <c r="ADJ1547" s="42" t="str">
        <f t="array" aca="1" ref="ADJ1547" ca="1">IFERROR(INDEX(nombres[],SMALL(IF(OFFSET(nombres[],0,0,ROWS(nombres[]),1)=ADJ$1490,ROW(OFFSET(nombres[],0,0,ROWS(nombres[]),1))-ROW(OFFSET(nombres[],0,0,1,1))+1,ROW(OFFSET(nombres[],ROWS(nombres[])-1,0,1,1))+1),$O1547:$O1566),3),"")</f>
        <v/>
      </c>
      <c r="ADK1547" s="42" t="str">
        <f t="array" aca="1" ref="ADK1547" ca="1">IFERROR(INDEX(nombres[],SMALL(IF(OFFSET(nombres[],0,0,ROWS(nombres[]),1)=ADK$1490,ROW(OFFSET(nombres[],0,0,ROWS(nombres[]),1))-ROW(OFFSET(nombres[],0,0,1,1))+1,ROW(OFFSET(nombres[],ROWS(nombres[])-1,0,1,1))+1),$O1547:$O1566),3),"")</f>
        <v/>
      </c>
      <c r="ADL1547" s="42" t="str">
        <f t="array" aca="1" ref="ADL1547" ca="1">IFERROR(INDEX(nombres[],SMALL(IF(OFFSET(nombres[],0,0,ROWS(nombres[]),1)=ADL$1490,ROW(OFFSET(nombres[],0,0,ROWS(nombres[]),1))-ROW(OFFSET(nombres[],0,0,1,1))+1,ROW(OFFSET(nombres[],ROWS(nombres[])-1,0,1,1))+1),$O1547:$O1566),3),"")</f>
        <v/>
      </c>
      <c r="ADM1547" s="42" t="str">
        <f t="array" aca="1" ref="ADM1547" ca="1">IFERROR(INDEX(nombres[],SMALL(IF(OFFSET(nombres[],0,0,ROWS(nombres[]),1)=ADM$1490,ROW(OFFSET(nombres[],0,0,ROWS(nombres[]),1))-ROW(OFFSET(nombres[],0,0,1,1))+1,ROW(OFFSET(nombres[],ROWS(nombres[])-1,0,1,1))+1),$O1547:$O1566),3),"")</f>
        <v/>
      </c>
      <c r="ADN1547" s="42" t="str">
        <f t="array" aca="1" ref="ADN1547" ca="1">IFERROR(INDEX(nombres[],SMALL(IF(OFFSET(nombres[],0,0,ROWS(nombres[]),1)=ADN$1490,ROW(OFFSET(nombres[],0,0,ROWS(nombres[]),1))-ROW(OFFSET(nombres[],0,0,1,1))+1,ROW(OFFSET(nombres[],ROWS(nombres[])-1,0,1,1))+1),$O1547:$O1566),3),"")</f>
        <v/>
      </c>
      <c r="ADO1547" s="42" t="str">
        <f t="array" aca="1" ref="ADO1547" ca="1">IFERROR(INDEX(nombres[],SMALL(IF(OFFSET(nombres[],0,0,ROWS(nombres[]),1)=ADO$1490,ROW(OFFSET(nombres[],0,0,ROWS(nombres[]),1))-ROW(OFFSET(nombres[],0,0,1,1))+1,ROW(OFFSET(nombres[],ROWS(nombres[])-1,0,1,1))+1),$O1547:$O1566),3),"")</f>
        <v/>
      </c>
      <c r="ADP1547" s="42" t="str">
        <f t="array" aca="1" ref="ADP1547" ca="1">IFERROR(INDEX(nombres[],SMALL(IF(OFFSET(nombres[],0,0,ROWS(nombres[]),1)=ADP$1490,ROW(OFFSET(nombres[],0,0,ROWS(nombres[]),1))-ROW(OFFSET(nombres[],0,0,1,1))+1,ROW(OFFSET(nombres[],ROWS(nombres[])-1,0,1,1))+1),$O1547:$O1566),3),"")</f>
        <v/>
      </c>
      <c r="ADQ1547" s="42" t="str">
        <f t="array" aca="1" ref="ADQ1547" ca="1">IFERROR(INDEX(nombres[],SMALL(IF(OFFSET(nombres[],0,0,ROWS(nombres[]),1)=ADQ$1490,ROW(OFFSET(nombres[],0,0,ROWS(nombres[]),1))-ROW(OFFSET(nombres[],0,0,1,1))+1,ROW(OFFSET(nombres[],ROWS(nombres[])-1,0,1,1))+1),$O1547:$O1566),3),"")</f>
        <v/>
      </c>
      <c r="ADR1547" s="42" t="str">
        <f t="array" aca="1" ref="ADR1547" ca="1">IFERROR(INDEX(nombres[],SMALL(IF(OFFSET(nombres[],0,0,ROWS(nombres[]),1)=ADR$1490,ROW(OFFSET(nombres[],0,0,ROWS(nombres[]),1))-ROW(OFFSET(nombres[],0,0,1,1))+1,ROW(OFFSET(nombres[],ROWS(nombres[])-1,0,1,1))+1),$O1547:$O1566),3),"")</f>
        <v/>
      </c>
      <c r="ADS1547" s="42" t="str">
        <f t="array" aca="1" ref="ADS1547" ca="1">IFERROR(INDEX(nombres[],SMALL(IF(OFFSET(nombres[],0,0,ROWS(nombres[]),1)=ADS$1490,ROW(OFFSET(nombres[],0,0,ROWS(nombres[]),1))-ROW(OFFSET(nombres[],0,0,1,1))+1,ROW(OFFSET(nombres[],ROWS(nombres[])-1,0,1,1))+1),$O1547:$O1566),3),"")</f>
        <v/>
      </c>
      <c r="ADT1547" s="42" t="str">
        <f t="array" aca="1" ref="ADT1547" ca="1">IFERROR(INDEX(nombres[],SMALL(IF(OFFSET(nombres[],0,0,ROWS(nombres[]),1)=ADT$1490,ROW(OFFSET(nombres[],0,0,ROWS(nombres[]),1))-ROW(OFFSET(nombres[],0,0,1,1))+1,ROW(OFFSET(nombres[],ROWS(nombres[])-1,0,1,1))+1),$O1547:$O1566),3),"")</f>
        <v/>
      </c>
      <c r="ADU1547" s="42" t="str">
        <f t="array" aca="1" ref="ADU1547" ca="1">IFERROR(INDEX(nombres[],SMALL(IF(OFFSET(nombres[],0,0,ROWS(nombres[]),1)=ADU$1490,ROW(OFFSET(nombres[],0,0,ROWS(nombres[]),1))-ROW(OFFSET(nombres[],0,0,1,1))+1,ROW(OFFSET(nombres[],ROWS(nombres[])-1,0,1,1))+1),$O1547:$O1566),3),"")</f>
        <v/>
      </c>
      <c r="ADV1547" s="42" t="str">
        <f t="array" aca="1" ref="ADV1547" ca="1">IFERROR(INDEX(nombres[],SMALL(IF(OFFSET(nombres[],0,0,ROWS(nombres[]),1)=ADV$1490,ROW(OFFSET(nombres[],0,0,ROWS(nombres[]),1))-ROW(OFFSET(nombres[],0,0,1,1))+1,ROW(OFFSET(nombres[],ROWS(nombres[])-1,0,1,1))+1),$O1547:$O1566),3),"")</f>
        <v/>
      </c>
      <c r="ADW1547" s="42" t="str">
        <f t="array" aca="1" ref="ADW1547" ca="1">IFERROR(INDEX(nombres[],SMALL(IF(OFFSET(nombres[],0,0,ROWS(nombres[]),1)=ADW$1490,ROW(OFFSET(nombres[],0,0,ROWS(nombres[]),1))-ROW(OFFSET(nombres[],0,0,1,1))+1,ROW(OFFSET(nombres[],ROWS(nombres[])-1,0,1,1))+1),$O1547:$O1566),3),"")</f>
        <v/>
      </c>
      <c r="ADX1547" s="42" t="str">
        <f t="array" aca="1" ref="ADX1547" ca="1">IFERROR(INDEX(nombres[],SMALL(IF(OFFSET(nombres[],0,0,ROWS(nombres[]),1)=ADX$1490,ROW(OFFSET(nombres[],0,0,ROWS(nombres[]),1))-ROW(OFFSET(nombres[],0,0,1,1))+1,ROW(OFFSET(nombres[],ROWS(nombres[])-1,0,1,1))+1),$O1547:$O1566),3),"")</f>
        <v/>
      </c>
      <c r="ADY1547" s="42" t="str">
        <f t="array" aca="1" ref="ADY1547" ca="1">IFERROR(INDEX(nombres[],SMALL(IF(OFFSET(nombres[],0,0,ROWS(nombres[]),1)=ADY$1490,ROW(OFFSET(nombres[],0,0,ROWS(nombres[]),1))-ROW(OFFSET(nombres[],0,0,1,1))+1,ROW(OFFSET(nombres[],ROWS(nombres[])-1,0,1,1))+1),$O1547:$O1566),3),"")</f>
        <v/>
      </c>
      <c r="ADZ1547" s="42" t="str">
        <f t="array" aca="1" ref="ADZ1547" ca="1">IFERROR(INDEX(nombres[],SMALL(IF(OFFSET(nombres[],0,0,ROWS(nombres[]),1)=ADZ$1490,ROW(OFFSET(nombres[],0,0,ROWS(nombres[]),1))-ROW(OFFSET(nombres[],0,0,1,1))+1,ROW(OFFSET(nombres[],ROWS(nombres[])-1,0,1,1))+1),$O1547:$O1566),3),"")</f>
        <v/>
      </c>
      <c r="AEA1547" s="42" t="str">
        <f t="array" aca="1" ref="AEA1547" ca="1">IFERROR(INDEX(nombres[],SMALL(IF(OFFSET(nombres[],0,0,ROWS(nombres[]),1)=AEA$1490,ROW(OFFSET(nombres[],0,0,ROWS(nombres[]),1))-ROW(OFFSET(nombres[],0,0,1,1))+1,ROW(OFFSET(nombres[],ROWS(nombres[])-1,0,1,1))+1),$O1547:$O1566),3),"")</f>
        <v/>
      </c>
      <c r="AEB1547" s="42" t="str">
        <f t="array" aca="1" ref="AEB1547" ca="1">IFERROR(INDEX(nombres[],SMALL(IF(OFFSET(nombres[],0,0,ROWS(nombres[]),1)=AEB$1490,ROW(OFFSET(nombres[],0,0,ROWS(nombres[]),1))-ROW(OFFSET(nombres[],0,0,1,1))+1,ROW(OFFSET(nombres[],ROWS(nombres[])-1,0,1,1))+1),$O1547:$O1566),3),"")</f>
        <v/>
      </c>
      <c r="AEC1547" s="42" t="str">
        <f t="array" aca="1" ref="AEC1547" ca="1">IFERROR(INDEX(nombres[],SMALL(IF(OFFSET(nombres[],0,0,ROWS(nombres[]),1)=AEC$1490,ROW(OFFSET(nombres[],0,0,ROWS(nombres[]),1))-ROW(OFFSET(nombres[],0,0,1,1))+1,ROW(OFFSET(nombres[],ROWS(nombres[])-1,0,1,1))+1),$O1547:$O1566),3),"")</f>
        <v/>
      </c>
      <c r="AED1547" s="42" t="str">
        <f t="array" aca="1" ref="AED1547" ca="1">IFERROR(INDEX(nombres[],SMALL(IF(OFFSET(nombres[],0,0,ROWS(nombres[]),1)=AED$1490,ROW(OFFSET(nombres[],0,0,ROWS(nombres[]),1))-ROW(OFFSET(nombres[],0,0,1,1))+1,ROW(OFFSET(nombres[],ROWS(nombres[])-1,0,1,1))+1),$O1547:$O1566),3),"")</f>
        <v/>
      </c>
      <c r="AEE1547" s="42" t="str">
        <f t="array" aca="1" ref="AEE1547" ca="1">IFERROR(INDEX(nombres[],SMALL(IF(OFFSET(nombres[],0,0,ROWS(nombres[]),1)=AEE$1490,ROW(OFFSET(nombres[],0,0,ROWS(nombres[]),1))-ROW(OFFSET(nombres[],0,0,1,1))+1,ROW(OFFSET(nombres[],ROWS(nombres[])-1,0,1,1))+1),$O1547:$O1566),3),"")</f>
        <v/>
      </c>
      <c r="AEF1547" s="42" t="str">
        <f t="array" aca="1" ref="AEF1547" ca="1">IFERROR(INDEX(nombres[],SMALL(IF(OFFSET(nombres[],0,0,ROWS(nombres[]),1)=AEF$1490,ROW(OFFSET(nombres[],0,0,ROWS(nombres[]),1))-ROW(OFFSET(nombres[],0,0,1,1))+1,ROW(OFFSET(nombres[],ROWS(nombres[])-1,0,1,1))+1),$O1547:$O1566),3),"")</f>
        <v/>
      </c>
      <c r="AEG1547" s="42" t="str">
        <f t="array" aca="1" ref="AEG1547" ca="1">IFERROR(INDEX(nombres[],SMALL(IF(OFFSET(nombres[],0,0,ROWS(nombres[]),1)=AEG$1490,ROW(OFFSET(nombres[],0,0,ROWS(nombres[]),1))-ROW(OFFSET(nombres[],0,0,1,1))+1,ROW(OFFSET(nombres[],ROWS(nombres[])-1,0,1,1))+1),$O1547:$O1566),3),"")</f>
        <v/>
      </c>
      <c r="AEH1547" s="42" t="str">
        <f t="array" aca="1" ref="AEH1547" ca="1">IFERROR(INDEX(nombres[],SMALL(IF(OFFSET(nombres[],0,0,ROWS(nombres[]),1)=AEH$1490,ROW(OFFSET(nombres[],0,0,ROWS(nombres[]),1))-ROW(OFFSET(nombres[],0,0,1,1))+1,ROW(OFFSET(nombres[],ROWS(nombres[])-1,0,1,1))+1),$O1547:$O1566),3),"")</f>
        <v/>
      </c>
      <c r="AEI1547" s="42" t="str">
        <f t="array" aca="1" ref="AEI1547" ca="1">IFERROR(INDEX(nombres[],SMALL(IF(OFFSET(nombres[],0,0,ROWS(nombres[]),1)=AEI$1490,ROW(OFFSET(nombres[],0,0,ROWS(nombres[]),1))-ROW(OFFSET(nombres[],0,0,1,1))+1,ROW(OFFSET(nombres[],ROWS(nombres[])-1,0,1,1))+1),$O1547:$O1566),3),"")</f>
        <v/>
      </c>
      <c r="AEJ1547" s="42" t="str">
        <f t="array" aca="1" ref="AEJ1547" ca="1">IFERROR(INDEX(nombres[],SMALL(IF(OFFSET(nombres[],0,0,ROWS(nombres[]),1)=AEJ$1490,ROW(OFFSET(nombres[],0,0,ROWS(nombres[]),1))-ROW(OFFSET(nombres[],0,0,1,1))+1,ROW(OFFSET(nombres[],ROWS(nombres[])-1,0,1,1))+1),$O1547:$O1566),3),"")</f>
        <v/>
      </c>
      <c r="AEK1547" s="42" t="str">
        <f t="array" aca="1" ref="AEK1547" ca="1">IFERROR(INDEX(nombres[],SMALL(IF(OFFSET(nombres[],0,0,ROWS(nombres[]),1)=AEK$1490,ROW(OFFSET(nombres[],0,0,ROWS(nombres[]),1))-ROW(OFFSET(nombres[],0,0,1,1))+1,ROW(OFFSET(nombres[],ROWS(nombres[])-1,0,1,1))+1),$O1547:$O1566),3),"")</f>
        <v/>
      </c>
      <c r="AEL1547" s="42" t="str">
        <f t="array" aca="1" ref="AEL1547" ca="1">IFERROR(INDEX(nombres[],SMALL(IF(OFFSET(nombres[],0,0,ROWS(nombres[]),1)=AEL$1490,ROW(OFFSET(nombres[],0,0,ROWS(nombres[]),1))-ROW(OFFSET(nombres[],0,0,1,1))+1,ROW(OFFSET(nombres[],ROWS(nombres[])-1,0,1,1))+1),$O1547:$O1566),3),"")</f>
        <v/>
      </c>
      <c r="AEM1547" s="42" t="str">
        <f t="array" aca="1" ref="AEM1547" ca="1">IFERROR(INDEX(nombres[],SMALL(IF(OFFSET(nombres[],0,0,ROWS(nombres[]),1)=AEM$1490,ROW(OFFSET(nombres[],0,0,ROWS(nombres[]),1))-ROW(OFFSET(nombres[],0,0,1,1))+1,ROW(OFFSET(nombres[],ROWS(nombres[])-1,0,1,1))+1),$O1547:$O1566),3),"")</f>
        <v/>
      </c>
      <c r="AEN1547" s="42" t="str">
        <f t="array" aca="1" ref="AEN1547" ca="1">IFERROR(INDEX(nombres[],SMALL(IF(OFFSET(nombres[],0,0,ROWS(nombres[]),1)=AEN$1490,ROW(OFFSET(nombres[],0,0,ROWS(nombres[]),1))-ROW(OFFSET(nombres[],0,0,1,1))+1,ROW(OFFSET(nombres[],ROWS(nombres[])-1,0,1,1))+1),$O1547:$O1566),3),"")</f>
        <v/>
      </c>
      <c r="AEO1547" s="42" t="str">
        <f t="array" aca="1" ref="AEO1547" ca="1">IFERROR(INDEX(nombres[],SMALL(IF(OFFSET(nombres[],0,0,ROWS(nombres[]),1)=AEO$1490,ROW(OFFSET(nombres[],0,0,ROWS(nombres[]),1))-ROW(OFFSET(nombres[],0,0,1,1))+1,ROW(OFFSET(nombres[],ROWS(nombres[])-1,0,1,1))+1),$O1547:$O1566),3),"")</f>
        <v/>
      </c>
      <c r="AEP1547" s="42" t="str">
        <f t="array" aca="1" ref="AEP1547" ca="1">IFERROR(INDEX(nombres[],SMALL(IF(OFFSET(nombres[],0,0,ROWS(nombres[]),1)=AEP$1490,ROW(OFFSET(nombres[],0,0,ROWS(nombres[]),1))-ROW(OFFSET(nombres[],0,0,1,1))+1,ROW(OFFSET(nombres[],ROWS(nombres[])-1,0,1,1))+1),$O1547:$O1566),3),"")</f>
        <v/>
      </c>
      <c r="AEQ1547" s="42" t="str">
        <f t="array" aca="1" ref="AEQ1547" ca="1">IFERROR(INDEX(nombres[],SMALL(IF(OFFSET(nombres[],0,0,ROWS(nombres[]),1)=AEQ$1490,ROW(OFFSET(nombres[],0,0,ROWS(nombres[]),1))-ROW(OFFSET(nombres[],0,0,1,1))+1,ROW(OFFSET(nombres[],ROWS(nombres[])-1,0,1,1))+1),$O1547:$O1566),3),"")</f>
        <v/>
      </c>
      <c r="AER1547" s="42" t="str">
        <f t="array" aca="1" ref="AER1547" ca="1">IFERROR(INDEX(nombres[],SMALL(IF(OFFSET(nombres[],0,0,ROWS(nombres[]),1)=AER$1490,ROW(OFFSET(nombres[],0,0,ROWS(nombres[]),1))-ROW(OFFSET(nombres[],0,0,1,1))+1,ROW(OFFSET(nombres[],ROWS(nombres[])-1,0,1,1))+1),$O1547:$O1566),3),"")</f>
        <v/>
      </c>
      <c r="AES1547" s="42" t="str">
        <f t="array" aca="1" ref="AES1547" ca="1">IFERROR(INDEX(nombres[],SMALL(IF(OFFSET(nombres[],0,0,ROWS(nombres[]),1)=AES$1490,ROW(OFFSET(nombres[],0,0,ROWS(nombres[]),1))-ROW(OFFSET(nombres[],0,0,1,1))+1,ROW(OFFSET(nombres[],ROWS(nombres[])-1,0,1,1))+1),$O1547:$O1566),3),"")</f>
        <v/>
      </c>
      <c r="AET1547" s="42" t="str">
        <f t="array" aca="1" ref="AET1547" ca="1">IFERROR(INDEX(nombres[],SMALL(IF(OFFSET(nombres[],0,0,ROWS(nombres[]),1)=AET$1490,ROW(OFFSET(nombres[],0,0,ROWS(nombres[]),1))-ROW(OFFSET(nombres[],0,0,1,1))+1,ROW(OFFSET(nombres[],ROWS(nombres[])-1,0,1,1))+1),$O1547:$O1566),3),"")</f>
        <v/>
      </c>
      <c r="AEU1547" s="42" t="str">
        <f t="array" aca="1" ref="AEU1547" ca="1">IFERROR(INDEX(nombres[],SMALL(IF(OFFSET(nombres[],0,0,ROWS(nombres[]),1)=AEU$1490,ROW(OFFSET(nombres[],0,0,ROWS(nombres[]),1))-ROW(OFFSET(nombres[],0,0,1,1))+1,ROW(OFFSET(nombres[],ROWS(nombres[])-1,0,1,1))+1),$O1547:$O1566),3),"")</f>
        <v/>
      </c>
      <c r="AEV1547" s="42" t="str">
        <f t="array" aca="1" ref="AEV1547" ca="1">IFERROR(INDEX(nombres[],SMALL(IF(OFFSET(nombres[],0,0,ROWS(nombres[]),1)=AEV$1490,ROW(OFFSET(nombres[],0,0,ROWS(nombres[]),1))-ROW(OFFSET(nombres[],0,0,1,1))+1,ROW(OFFSET(nombres[],ROWS(nombres[])-1,0,1,1))+1),$O1547:$O1566),3),"")</f>
        <v/>
      </c>
      <c r="AEW1547" s="42" t="str">
        <f t="array" aca="1" ref="AEW1547" ca="1">IFERROR(INDEX(nombres[],SMALL(IF(OFFSET(nombres[],0,0,ROWS(nombres[]),1)=AEW$1490,ROW(OFFSET(nombres[],0,0,ROWS(nombres[]),1))-ROW(OFFSET(nombres[],0,0,1,1))+1,ROW(OFFSET(nombres[],ROWS(nombres[])-1,0,1,1))+1),$O1547:$O1566),3),"")</f>
        <v/>
      </c>
      <c r="AEX1547" s="42" t="str">
        <f t="array" aca="1" ref="AEX1547" ca="1">IFERROR(INDEX(nombres[],SMALL(IF(OFFSET(nombres[],0,0,ROWS(nombres[]),1)=AEX$1490,ROW(OFFSET(nombres[],0,0,ROWS(nombres[]),1))-ROW(OFFSET(nombres[],0,0,1,1))+1,ROW(OFFSET(nombres[],ROWS(nombres[])-1,0,1,1))+1),$O1547:$O1566),3),"")</f>
        <v/>
      </c>
      <c r="AEY1547" s="42" t="str">
        <f t="array" aca="1" ref="AEY1547" ca="1">IFERROR(INDEX(nombres[],SMALL(IF(OFFSET(nombres[],0,0,ROWS(nombres[]),1)=AEY$1490,ROW(OFFSET(nombres[],0,0,ROWS(nombres[]),1))-ROW(OFFSET(nombres[],0,0,1,1))+1,ROW(OFFSET(nombres[],ROWS(nombres[])-1,0,1,1))+1),$O1547:$O1566),3),"")</f>
        <v/>
      </c>
      <c r="AEZ1547" s="42" t="str">
        <f t="array" aca="1" ref="AEZ1547" ca="1">IFERROR(INDEX(nombres[],SMALL(IF(OFFSET(nombres[],0,0,ROWS(nombres[]),1)=AEZ$1490,ROW(OFFSET(nombres[],0,0,ROWS(nombres[]),1))-ROW(OFFSET(nombres[],0,0,1,1))+1,ROW(OFFSET(nombres[],ROWS(nombres[])-1,0,1,1))+1),$O1547:$O1566),3),"")</f>
        <v/>
      </c>
      <c r="AFA1547" s="42" t="str">
        <f t="array" aca="1" ref="AFA1547" ca="1">IFERROR(INDEX(nombres[],SMALL(IF(OFFSET(nombres[],0,0,ROWS(nombres[]),1)=AFA$1490,ROW(OFFSET(nombres[],0,0,ROWS(nombres[]),1))-ROW(OFFSET(nombres[],0,0,1,1))+1,ROW(OFFSET(nombres[],ROWS(nombres[])-1,0,1,1))+1),$O1547:$O1566),3),"")</f>
        <v/>
      </c>
      <c r="AFB1547" s="42" t="str">
        <f t="array" aca="1" ref="AFB1547" ca="1">IFERROR(INDEX(nombres[],SMALL(IF(OFFSET(nombres[],0,0,ROWS(nombres[]),1)=AFB$1490,ROW(OFFSET(nombres[],0,0,ROWS(nombres[]),1))-ROW(OFFSET(nombres[],0,0,1,1))+1,ROW(OFFSET(nombres[],ROWS(nombres[])-1,0,1,1))+1),$O1547:$O1566),3),"")</f>
        <v/>
      </c>
      <c r="AFC1547" s="42" t="str">
        <f t="array" aca="1" ref="AFC1547" ca="1">IFERROR(INDEX(nombres[],SMALL(IF(OFFSET(nombres[],0,0,ROWS(nombres[]),1)=AFC$1490,ROW(OFFSET(nombres[],0,0,ROWS(nombres[]),1))-ROW(OFFSET(nombres[],0,0,1,1))+1,ROW(OFFSET(nombres[],ROWS(nombres[])-1,0,1,1))+1),$O1547:$O1566),3),"")</f>
        <v/>
      </c>
      <c r="AFD1547" s="42" t="str">
        <f t="array" aca="1" ref="AFD1547" ca="1">IFERROR(INDEX(nombres[],SMALL(IF(OFFSET(nombres[],0,0,ROWS(nombres[]),1)=AFD$1490,ROW(OFFSET(nombres[],0,0,ROWS(nombres[]),1))-ROW(OFFSET(nombres[],0,0,1,1))+1,ROW(OFFSET(nombres[],ROWS(nombres[])-1,0,1,1))+1),$O1547:$O1566),3),"")</f>
        <v/>
      </c>
      <c r="AFE1547" s="42" t="str">
        <f t="array" aca="1" ref="AFE1547" ca="1">IFERROR(INDEX(nombres[],SMALL(IF(OFFSET(nombres[],0,0,ROWS(nombres[]),1)=AFE$1490,ROW(OFFSET(nombres[],0,0,ROWS(nombres[]),1))-ROW(OFFSET(nombres[],0,0,1,1))+1,ROW(OFFSET(nombres[],ROWS(nombres[])-1,0,1,1))+1),$O1547:$O1566),3),"")</f>
        <v/>
      </c>
      <c r="AFF1547" s="42" t="str">
        <f t="array" aca="1" ref="AFF1547" ca="1">IFERROR(INDEX(nombres[],SMALL(IF(OFFSET(nombres[],0,0,ROWS(nombres[]),1)=AFF$1490,ROW(OFFSET(nombres[],0,0,ROWS(nombres[]),1))-ROW(OFFSET(nombres[],0,0,1,1))+1,ROW(OFFSET(nombres[],ROWS(nombres[])-1,0,1,1))+1),$O1547:$O1566),3),"")</f>
        <v/>
      </c>
      <c r="AFG1547" s="42" t="str">
        <f t="array" aca="1" ref="AFG1547" ca="1">IFERROR(INDEX(nombres[],SMALL(IF(OFFSET(nombres[],0,0,ROWS(nombres[]),1)=AFG$1490,ROW(OFFSET(nombres[],0,0,ROWS(nombres[]),1))-ROW(OFFSET(nombres[],0,0,1,1))+1,ROW(OFFSET(nombres[],ROWS(nombres[])-1,0,1,1))+1),$O1547:$O1566),3),"")</f>
        <v/>
      </c>
      <c r="AFH1547" s="42" t="str">
        <f t="array" aca="1" ref="AFH1547" ca="1">IFERROR(INDEX(nombres[],SMALL(IF(OFFSET(nombres[],0,0,ROWS(nombres[]),1)=AFH$1490,ROW(OFFSET(nombres[],0,0,ROWS(nombres[]),1))-ROW(OFFSET(nombres[],0,0,1,1))+1,ROW(OFFSET(nombres[],ROWS(nombres[])-1,0,1,1))+1),$O1547:$O1566),3),"")</f>
        <v/>
      </c>
      <c r="AFI1547" s="42" t="str">
        <f t="array" aca="1" ref="AFI1547" ca="1">IFERROR(INDEX(nombres[],SMALL(IF(OFFSET(nombres[],0,0,ROWS(nombres[]),1)=AFI$1490,ROW(OFFSET(nombres[],0,0,ROWS(nombres[]),1))-ROW(OFFSET(nombres[],0,0,1,1))+1,ROW(OFFSET(nombres[],ROWS(nombres[])-1,0,1,1))+1),$O1547:$O1566),3),"")</f>
        <v/>
      </c>
      <c r="AFJ1547" s="42" t="str">
        <f t="array" aca="1" ref="AFJ1547" ca="1">IFERROR(INDEX(nombres[],SMALL(IF(OFFSET(nombres[],0,0,ROWS(nombres[]),1)=AFJ$1490,ROW(OFFSET(nombres[],0,0,ROWS(nombres[]),1))-ROW(OFFSET(nombres[],0,0,1,1))+1,ROW(OFFSET(nombres[],ROWS(nombres[])-1,0,1,1))+1),$O1547:$O1566),3),"")</f>
        <v/>
      </c>
      <c r="AFK1547" s="42" t="str">
        <f t="array" aca="1" ref="AFK1547" ca="1">IFERROR(INDEX(nombres[],SMALL(IF(OFFSET(nombres[],0,0,ROWS(nombres[]),1)=AFK$1490,ROW(OFFSET(nombres[],0,0,ROWS(nombres[]),1))-ROW(OFFSET(nombres[],0,0,1,1))+1,ROW(OFFSET(nombres[],ROWS(nombres[])-1,0,1,1))+1),$O1547:$O1566),3),"")</f>
        <v/>
      </c>
      <c r="AFL1547" s="42" t="str">
        <f t="array" aca="1" ref="AFL1547" ca="1">IFERROR(INDEX(nombres[],SMALL(IF(OFFSET(nombres[],0,0,ROWS(nombres[]),1)=AFL$1490,ROW(OFFSET(nombres[],0,0,ROWS(nombres[]),1))-ROW(OFFSET(nombres[],0,0,1,1))+1,ROW(OFFSET(nombres[],ROWS(nombres[])-1,0,1,1))+1),$O1547:$O1566),3),"")</f>
        <v/>
      </c>
      <c r="AFM1547" s="42" t="str">
        <f t="array" aca="1" ref="AFM1547" ca="1">IFERROR(INDEX(nombres[],SMALL(IF(OFFSET(nombres[],0,0,ROWS(nombres[]),1)=AFM$1490,ROW(OFFSET(nombres[],0,0,ROWS(nombres[]),1))-ROW(OFFSET(nombres[],0,0,1,1))+1,ROW(OFFSET(nombres[],ROWS(nombres[])-1,0,1,1))+1),$O1547:$O1566),3),"")</f>
        <v/>
      </c>
      <c r="AFN1547" s="42" t="str">
        <f t="array" aca="1" ref="AFN1547" ca="1">IFERROR(INDEX(nombres[],SMALL(IF(OFFSET(nombres[],0,0,ROWS(nombres[]),1)=AFN$1490,ROW(OFFSET(nombres[],0,0,ROWS(nombres[]),1))-ROW(OFFSET(nombres[],0,0,1,1))+1,ROW(OFFSET(nombres[],ROWS(nombres[])-1,0,1,1))+1),$O1547:$O1566),3),"")</f>
        <v/>
      </c>
      <c r="AFO1547" s="42" t="str">
        <f t="array" aca="1" ref="AFO1547" ca="1">IFERROR(INDEX(nombres[],SMALL(IF(OFFSET(nombres[],0,0,ROWS(nombres[]),1)=AFO$1490,ROW(OFFSET(nombres[],0,0,ROWS(nombres[]),1))-ROW(OFFSET(nombres[],0,0,1,1))+1,ROW(OFFSET(nombres[],ROWS(nombres[])-1,0,1,1))+1),$O1547:$O1566),3),"")</f>
        <v/>
      </c>
      <c r="AFP1547" s="42" t="str">
        <f t="array" aca="1" ref="AFP1547" ca="1">IFERROR(INDEX(nombres[],SMALL(IF(OFFSET(nombres[],0,0,ROWS(nombres[]),1)=AFP$1490,ROW(OFFSET(nombres[],0,0,ROWS(nombres[]),1))-ROW(OFFSET(nombres[],0,0,1,1))+1,ROW(OFFSET(nombres[],ROWS(nombres[])-1,0,1,1))+1),$O1547:$O1566),3),"")</f>
        <v/>
      </c>
      <c r="AFQ1547" s="42" t="str">
        <f t="array" aca="1" ref="AFQ1547" ca="1">IFERROR(INDEX(nombres[],SMALL(IF(OFFSET(nombres[],0,0,ROWS(nombres[]),1)=AFQ$1490,ROW(OFFSET(nombres[],0,0,ROWS(nombres[]),1))-ROW(OFFSET(nombres[],0,0,1,1))+1,ROW(OFFSET(nombres[],ROWS(nombres[])-1,0,1,1))+1),$O1547:$O1566),3),"")</f>
        <v/>
      </c>
      <c r="AFR1547" s="42" t="str">
        <f t="array" aca="1" ref="AFR1547" ca="1">IFERROR(INDEX(nombres[],SMALL(IF(OFFSET(nombres[],0,0,ROWS(nombres[]),1)=AFR$1490,ROW(OFFSET(nombres[],0,0,ROWS(nombres[]),1))-ROW(OFFSET(nombres[],0,0,1,1))+1,ROW(OFFSET(nombres[],ROWS(nombres[])-1,0,1,1))+1),$O1547:$O1566),3),"")</f>
        <v/>
      </c>
      <c r="AFS1547" s="42" t="str">
        <f t="array" aca="1" ref="AFS1547" ca="1">IFERROR(INDEX(nombres[],SMALL(IF(OFFSET(nombres[],0,0,ROWS(nombres[]),1)=AFS$1490,ROW(OFFSET(nombres[],0,0,ROWS(nombres[]),1))-ROW(OFFSET(nombres[],0,0,1,1))+1,ROW(OFFSET(nombres[],ROWS(nombres[])-1,0,1,1))+1),$O1547:$O1566),3),"")</f>
        <v/>
      </c>
      <c r="AFT1547" s="42" t="str">
        <f t="array" aca="1" ref="AFT1547" ca="1">IFERROR(INDEX(nombres[],SMALL(IF(OFFSET(nombres[],0,0,ROWS(nombres[]),1)=AFT$1490,ROW(OFFSET(nombres[],0,0,ROWS(nombres[]),1))-ROW(OFFSET(nombres[],0,0,1,1))+1,ROW(OFFSET(nombres[],ROWS(nombres[])-1,0,1,1))+1),$O1547:$O1566),3),"")</f>
        <v/>
      </c>
      <c r="AFU1547" s="42" t="str">
        <f t="array" aca="1" ref="AFU1547" ca="1">IFERROR(INDEX(nombres[],SMALL(IF(OFFSET(nombres[],0,0,ROWS(nombres[]),1)=AFU$1490,ROW(OFFSET(nombres[],0,0,ROWS(nombres[]),1))-ROW(OFFSET(nombres[],0,0,1,1))+1,ROW(OFFSET(nombres[],ROWS(nombres[])-1,0,1,1))+1),$O1547:$O1566),3),"")</f>
        <v/>
      </c>
      <c r="AFV1547" s="42" t="str">
        <f t="array" aca="1" ref="AFV1547" ca="1">IFERROR(INDEX(nombres[],SMALL(IF(OFFSET(nombres[],0,0,ROWS(nombres[]),1)=AFV$1490,ROW(OFFSET(nombres[],0,0,ROWS(nombres[]),1))-ROW(OFFSET(nombres[],0,0,1,1))+1,ROW(OFFSET(nombres[],ROWS(nombres[])-1,0,1,1))+1),$O1547:$O1566),3),"")</f>
        <v/>
      </c>
      <c r="AFW1547" s="42" t="str">
        <f t="array" aca="1" ref="AFW1547" ca="1">IFERROR(INDEX(nombres[],SMALL(IF(OFFSET(nombres[],0,0,ROWS(nombres[]),1)=AFW$1490,ROW(OFFSET(nombres[],0,0,ROWS(nombres[]),1))-ROW(OFFSET(nombres[],0,0,1,1))+1,ROW(OFFSET(nombres[],ROWS(nombres[])-1,0,1,1))+1),$O1547:$O1566),3),"")</f>
        <v/>
      </c>
      <c r="AFX1547" s="42" t="str">
        <f t="array" aca="1" ref="AFX1547" ca="1">IFERROR(INDEX(nombres[],SMALL(IF(OFFSET(nombres[],0,0,ROWS(nombres[]),1)=AFX$1490,ROW(OFFSET(nombres[],0,0,ROWS(nombres[]),1))-ROW(OFFSET(nombres[],0,0,1,1))+1,ROW(OFFSET(nombres[],ROWS(nombres[])-1,0,1,1))+1),$O1547:$O1566),3),"")</f>
        <v/>
      </c>
      <c r="AFY1547" s="42" t="str">
        <f t="array" aca="1" ref="AFY1547" ca="1">IFERROR(INDEX(nombres[],SMALL(IF(OFFSET(nombres[],0,0,ROWS(nombres[]),1)=AFY$1490,ROW(OFFSET(nombres[],0,0,ROWS(nombres[]),1))-ROW(OFFSET(nombres[],0,0,1,1))+1,ROW(OFFSET(nombres[],ROWS(nombres[])-1,0,1,1))+1),$O1547:$O1566),3),"")</f>
        <v/>
      </c>
      <c r="AFZ1547" s="42" t="str">
        <f t="array" aca="1" ref="AFZ1547" ca="1">IFERROR(INDEX(nombres[],SMALL(IF(OFFSET(nombres[],0,0,ROWS(nombres[]),1)=AFZ$1490,ROW(OFFSET(nombres[],0,0,ROWS(nombres[]),1))-ROW(OFFSET(nombres[],0,0,1,1))+1,ROW(OFFSET(nombres[],ROWS(nombres[])-1,0,1,1))+1),$O1547:$O1566),3),"")</f>
        <v/>
      </c>
      <c r="AGA1547" s="42" t="str">
        <f t="array" aca="1" ref="AGA1547" ca="1">IFERROR(INDEX(nombres[],SMALL(IF(OFFSET(nombres[],0,0,ROWS(nombres[]),1)=AGA$1490,ROW(OFFSET(nombres[],0,0,ROWS(nombres[]),1))-ROW(OFFSET(nombres[],0,0,1,1))+1,ROW(OFFSET(nombres[],ROWS(nombres[])-1,0,1,1))+1),$O1547:$O1566),3),"")</f>
        <v/>
      </c>
      <c r="AGB1547" s="42" t="str">
        <f t="array" aca="1" ref="AGB1547" ca="1">IFERROR(INDEX(nombres[],SMALL(IF(OFFSET(nombres[],0,0,ROWS(nombres[]),1)=AGB$1490,ROW(OFFSET(nombres[],0,0,ROWS(nombres[]),1))-ROW(OFFSET(nombres[],0,0,1,1))+1,ROW(OFFSET(nombres[],ROWS(nombres[])-1,0,1,1))+1),$O1547:$O1566),3),"")</f>
        <v/>
      </c>
      <c r="AGC1547" s="42" t="str">
        <f t="array" aca="1" ref="AGC1547" ca="1">IFERROR(INDEX(nombres[],SMALL(IF(OFFSET(nombres[],0,0,ROWS(nombres[]),1)=AGC$1490,ROW(OFFSET(nombres[],0,0,ROWS(nombres[]),1))-ROW(OFFSET(nombres[],0,0,1,1))+1,ROW(OFFSET(nombres[],ROWS(nombres[])-1,0,1,1))+1),$O1547:$O1566),3),"")</f>
        <v/>
      </c>
      <c r="AGD1547" s="42" t="str">
        <f t="array" aca="1" ref="AGD1547" ca="1">IFERROR(INDEX(nombres[],SMALL(IF(OFFSET(nombres[],0,0,ROWS(nombres[]),1)=AGD$1490,ROW(OFFSET(nombres[],0,0,ROWS(nombres[]),1))-ROW(OFFSET(nombres[],0,0,1,1))+1,ROW(OFFSET(nombres[],ROWS(nombres[])-1,0,1,1))+1),$O1547:$O1566),3),"")</f>
        <v/>
      </c>
      <c r="AGE1547" s="42" t="str">
        <f t="array" aca="1" ref="AGE1547" ca="1">IFERROR(INDEX(nombres[],SMALL(IF(OFFSET(nombres[],0,0,ROWS(nombres[]),1)=AGE$1490,ROW(OFFSET(nombres[],0,0,ROWS(nombres[]),1))-ROW(OFFSET(nombres[],0,0,1,1))+1,ROW(OFFSET(nombres[],ROWS(nombres[])-1,0,1,1))+1),$O1547:$O1566),3),"")</f>
        <v/>
      </c>
      <c r="AGF1547" s="42" t="str">
        <f t="array" aca="1" ref="AGF1547" ca="1">IFERROR(INDEX(nombres[],SMALL(IF(OFFSET(nombres[],0,0,ROWS(nombres[]),1)=AGF$1490,ROW(OFFSET(nombres[],0,0,ROWS(nombres[]),1))-ROW(OFFSET(nombres[],0,0,1,1))+1,ROW(OFFSET(nombres[],ROWS(nombres[])-1,0,1,1))+1),$O1547:$O1566),3),"")</f>
        <v/>
      </c>
      <c r="AGG1547" s="42" t="str">
        <f t="array" aca="1" ref="AGG1547" ca="1">IFERROR(INDEX(nombres[],SMALL(IF(OFFSET(nombres[],0,0,ROWS(nombres[]),1)=AGG$1490,ROW(OFFSET(nombres[],0,0,ROWS(nombres[]),1))-ROW(OFFSET(nombres[],0,0,1,1))+1,ROW(OFFSET(nombres[],ROWS(nombres[])-1,0,1,1))+1),$O1547:$O1566),3),"")</f>
        <v/>
      </c>
      <c r="AGH1547" s="42" t="str">
        <f t="array" aca="1" ref="AGH1547" ca="1">IFERROR(INDEX(nombres[],SMALL(IF(OFFSET(nombres[],0,0,ROWS(nombres[]),1)=AGH$1490,ROW(OFFSET(nombres[],0,0,ROWS(nombres[]),1))-ROW(OFFSET(nombres[],0,0,1,1))+1,ROW(OFFSET(nombres[],ROWS(nombres[])-1,0,1,1))+1),$O1547:$O1566),3),"")</f>
        <v/>
      </c>
      <c r="AGI1547" s="42" t="str">
        <f t="array" aca="1" ref="AGI1547" ca="1">IFERROR(INDEX(nombres[],SMALL(IF(OFFSET(nombres[],0,0,ROWS(nombres[]),1)=AGI$1490,ROW(OFFSET(nombres[],0,0,ROWS(nombres[]),1))-ROW(OFFSET(nombres[],0,0,1,1))+1,ROW(OFFSET(nombres[],ROWS(nombres[])-1,0,1,1))+1),$O1547:$O1566),3),"")</f>
        <v/>
      </c>
      <c r="AGJ1547" s="42" t="str">
        <f t="array" aca="1" ref="AGJ1547" ca="1">IFERROR(INDEX(nombres[],SMALL(IF(OFFSET(nombres[],0,0,ROWS(nombres[]),1)=AGJ$1490,ROW(OFFSET(nombres[],0,0,ROWS(nombres[]),1))-ROW(OFFSET(nombres[],0,0,1,1))+1,ROW(OFFSET(nombres[],ROWS(nombres[])-1,0,1,1))+1),$O1547:$O1566),3),"")</f>
        <v/>
      </c>
      <c r="AGK1547" s="42" t="str">
        <f t="array" aca="1" ref="AGK1547" ca="1">IFERROR(INDEX(nombres[],SMALL(IF(OFFSET(nombres[],0,0,ROWS(nombres[]),1)=AGK$1490,ROW(OFFSET(nombres[],0,0,ROWS(nombres[]),1))-ROW(OFFSET(nombres[],0,0,1,1))+1,ROW(OFFSET(nombres[],ROWS(nombres[])-1,0,1,1))+1),$O1547:$O1566),3),"")</f>
        <v/>
      </c>
      <c r="AGL1547" s="42" t="str">
        <f t="array" aca="1" ref="AGL1547" ca="1">IFERROR(INDEX(nombres[],SMALL(IF(OFFSET(nombres[],0,0,ROWS(nombres[]),1)=AGL$1490,ROW(OFFSET(nombres[],0,0,ROWS(nombres[]),1))-ROW(OFFSET(nombres[],0,0,1,1))+1,ROW(OFFSET(nombres[],ROWS(nombres[])-1,0,1,1))+1),$O1547:$O1566),3),"")</f>
        <v/>
      </c>
      <c r="AGM1547" s="42" t="str">
        <f t="array" aca="1" ref="AGM1547" ca="1">IFERROR(INDEX(nombres[],SMALL(IF(OFFSET(nombres[],0,0,ROWS(nombres[]),1)=AGM$1490,ROW(OFFSET(nombres[],0,0,ROWS(nombres[]),1))-ROW(OFFSET(nombres[],0,0,1,1))+1,ROW(OFFSET(nombres[],ROWS(nombres[])-1,0,1,1))+1),$O1547:$O1566),3),"")</f>
        <v/>
      </c>
      <c r="AGN1547" s="42" t="str">
        <f t="array" aca="1" ref="AGN1547" ca="1">IFERROR(INDEX(nombres[],SMALL(IF(OFFSET(nombres[],0,0,ROWS(nombres[]),1)=AGN$1490,ROW(OFFSET(nombres[],0,0,ROWS(nombres[]),1))-ROW(OFFSET(nombres[],0,0,1,1))+1,ROW(OFFSET(nombres[],ROWS(nombres[])-1,0,1,1))+1),$O1547:$O1566),3),"")</f>
        <v/>
      </c>
    </row>
    <row r="1548" spans="15:872" x14ac:dyDescent="0.25">
      <c r="O1548" s="42">
        <v>12</v>
      </c>
      <c r="P1548" s="42" t="str">
        <f t="array" aca="1" ref="P1548" ca="1">IFERROR(INDEX(nombres[],SMALL(IF(OFFSET(nombres[],0,0,ROWS(nombres[]),1)=P$1490,ROW(OFFSET(nombres[],0,0,ROWS(nombres[]),1))-ROW(OFFSET(nombres[],0,0,1,1))+1,ROW(OFFSET(nombres[],ROWS(nombres[])-1,0,1,1))+1),$O1548:$O1567),3),"")</f>
        <v/>
      </c>
      <c r="Q1548" s="42" t="str">
        <f t="array" aca="1" ref="Q1548" ca="1">IFERROR(INDEX(nombres[],SMALL(IF(OFFSET(nombres[],0,0,ROWS(nombres[]),1)=Q$1490,ROW(OFFSET(nombres[],0,0,ROWS(nombres[]),1))-ROW(OFFSET(nombres[],0,0,1,1))+1,ROW(OFFSET(nombres[],ROWS(nombres[])-1,0,1,1))+1),$O1548:$O1567),3),"")</f>
        <v/>
      </c>
      <c r="R1548" s="42" t="str">
        <f t="array" aca="1" ref="R1548" ca="1">IFERROR(INDEX(nombres[],SMALL(IF(OFFSET(nombres[],0,0,ROWS(nombres[]),1)=R$1490,ROW(OFFSET(nombres[],0,0,ROWS(nombres[]),1))-ROW(OFFSET(nombres[],0,0,1,1))+1,ROW(OFFSET(nombres[],ROWS(nombres[])-1,0,1,1))+1),$O1548:$O1567),3),"")</f>
        <v/>
      </c>
      <c r="S1548" s="42" t="str">
        <f t="array" aca="1" ref="S1548" ca="1">IFERROR(INDEX(nombres[],SMALL(IF(OFFSET(nombres[],0,0,ROWS(nombres[]),1)=S$1490,ROW(OFFSET(nombres[],0,0,ROWS(nombres[]),1))-ROW(OFFSET(nombres[],0,0,1,1))+1,ROW(OFFSET(nombres[],ROWS(nombres[])-1,0,1,1))+1),$O1548:$O1567),3),"")</f>
        <v/>
      </c>
      <c r="T1548" s="42" t="str">
        <f t="array" aca="1" ref="T1548" ca="1">IFERROR(INDEX(nombres[],SMALL(IF(OFFSET(nombres[],0,0,ROWS(nombres[]),1)=T$1490,ROW(OFFSET(nombres[],0,0,ROWS(nombres[]),1))-ROW(OFFSET(nombres[],0,0,1,1))+1,ROW(OFFSET(nombres[],ROWS(nombres[])-1,0,1,1))+1),$O1548:$O1567),3),"")</f>
        <v/>
      </c>
      <c r="U1548" s="42" t="str">
        <f t="array" aca="1" ref="U1548" ca="1">IFERROR(INDEX(nombres[],SMALL(IF(OFFSET(nombres[],0,0,ROWS(nombres[]),1)=U$1490,ROW(OFFSET(nombres[],0,0,ROWS(nombres[]),1))-ROW(OFFSET(nombres[],0,0,1,1))+1,ROW(OFFSET(nombres[],ROWS(nombres[])-1,0,1,1))+1),$O1548:$O1567),3),"")</f>
        <v/>
      </c>
      <c r="V1548" s="42" t="str">
        <f t="array" aca="1" ref="V1548" ca="1">IFERROR(INDEX(nombres[],SMALL(IF(OFFSET(nombres[],0,0,ROWS(nombres[]),1)=V$1490,ROW(OFFSET(nombres[],0,0,ROWS(nombres[]),1))-ROW(OFFSET(nombres[],0,0,1,1))+1,ROW(OFFSET(nombres[],ROWS(nombres[])-1,0,1,1))+1),$O1548:$O1567),3),"")</f>
        <v/>
      </c>
      <c r="W1548" s="42" t="str">
        <f t="array" aca="1" ref="W1548" ca="1">IFERROR(INDEX(nombres[],SMALL(IF(OFFSET(nombres[],0,0,ROWS(nombres[]),1)=W$1490,ROW(OFFSET(nombres[],0,0,ROWS(nombres[]),1))-ROW(OFFSET(nombres[],0,0,1,1))+1,ROW(OFFSET(nombres[],ROWS(nombres[])-1,0,1,1))+1),$O1548:$O1567),3),"")</f>
        <v/>
      </c>
      <c r="X1548" s="42" t="str">
        <f t="array" aca="1" ref="X1548" ca="1">IFERROR(INDEX(nombres[],SMALL(IF(OFFSET(nombres[],0,0,ROWS(nombres[]),1)=X$1490,ROW(OFFSET(nombres[],0,0,ROWS(nombres[]),1))-ROW(OFFSET(nombres[],0,0,1,1))+1,ROW(OFFSET(nombres[],ROWS(nombres[])-1,0,1,1))+1),$O1548:$O1567),3),"")</f>
        <v/>
      </c>
      <c r="Y1548" s="42" t="str">
        <f t="array" aca="1" ref="Y1548" ca="1">IFERROR(INDEX(nombres[],SMALL(IF(OFFSET(nombres[],0,0,ROWS(nombres[]),1)=Y$1490,ROW(OFFSET(nombres[],0,0,ROWS(nombres[]),1))-ROW(OFFSET(nombres[],0,0,1,1))+1,ROW(OFFSET(nombres[],ROWS(nombres[])-1,0,1,1))+1),$O1548:$O1567),3),"")</f>
        <v/>
      </c>
      <c r="Z1548" s="42" t="str">
        <f t="array" aca="1" ref="Z1548" ca="1">IFERROR(INDEX(nombres[],SMALL(IF(OFFSET(nombres[],0,0,ROWS(nombres[]),1)=Z$1490,ROW(OFFSET(nombres[],0,0,ROWS(nombres[]),1))-ROW(OFFSET(nombres[],0,0,1,1))+1,ROW(OFFSET(nombres[],ROWS(nombres[])-1,0,1,1))+1),$O1548:$O1567),3),"")</f>
        <v/>
      </c>
      <c r="AA1548" s="42" t="str">
        <f t="array" aca="1" ref="AA1548" ca="1">IFERROR(INDEX(nombres[],SMALL(IF(OFFSET(nombres[],0,0,ROWS(nombres[]),1)=AA$1490,ROW(OFFSET(nombres[],0,0,ROWS(nombres[]),1))-ROW(OFFSET(nombres[],0,0,1,1))+1,ROW(OFFSET(nombres[],ROWS(nombres[])-1,0,1,1))+1),$O1548:$O1567),3),"")</f>
        <v/>
      </c>
      <c r="AB1548" s="42" t="str">
        <f t="array" aca="1" ref="AB1548" ca="1">IFERROR(INDEX(nombres[],SMALL(IF(OFFSET(nombres[],0,0,ROWS(nombres[]),1)=AB$1490,ROW(OFFSET(nombres[],0,0,ROWS(nombres[]),1))-ROW(OFFSET(nombres[],0,0,1,1))+1,ROW(OFFSET(nombres[],ROWS(nombres[])-1,0,1,1))+1),$O1548:$O1567),3),"")</f>
        <v/>
      </c>
      <c r="AC1548" s="42" t="str">
        <f t="array" aca="1" ref="AC1548" ca="1">IFERROR(INDEX(nombres[],SMALL(IF(OFFSET(nombres[],0,0,ROWS(nombres[]),1)=AC$1490,ROW(OFFSET(nombres[],0,0,ROWS(nombres[]),1))-ROW(OFFSET(nombres[],0,0,1,1))+1,ROW(OFFSET(nombres[],ROWS(nombres[])-1,0,1,1))+1),$O1548:$O1567),3),"")</f>
        <v/>
      </c>
      <c r="AD1548" s="42" t="str">
        <f t="array" aca="1" ref="AD1548" ca="1">IFERROR(INDEX(nombres[],SMALL(IF(OFFSET(nombres[],0,0,ROWS(nombres[]),1)=AD$1490,ROW(OFFSET(nombres[],0,0,ROWS(nombres[]),1))-ROW(OFFSET(nombres[],0,0,1,1))+1,ROW(OFFSET(nombres[],ROWS(nombres[])-1,0,1,1))+1),$O1548:$O1567),3),"")</f>
        <v/>
      </c>
      <c r="AE1548" s="42" t="str">
        <f t="array" aca="1" ref="AE1548" ca="1">IFERROR(INDEX(nombres[],SMALL(IF(OFFSET(nombres[],0,0,ROWS(nombres[]),1)=AE$1490,ROW(OFFSET(nombres[],0,0,ROWS(nombres[]),1))-ROW(OFFSET(nombres[],0,0,1,1))+1,ROW(OFFSET(nombres[],ROWS(nombres[])-1,0,1,1))+1),$O1548:$O1567),3),"")</f>
        <v/>
      </c>
      <c r="AF1548" s="42" t="str">
        <f t="array" aca="1" ref="AF1548" ca="1">IFERROR(INDEX(nombres[],SMALL(IF(OFFSET(nombres[],0,0,ROWS(nombres[]),1)=AF$1490,ROW(OFFSET(nombres[],0,0,ROWS(nombres[]),1))-ROW(OFFSET(nombres[],0,0,1,1))+1,ROW(OFFSET(nombres[],ROWS(nombres[])-1,0,1,1))+1),$O1548:$O1567),3),"")</f>
        <v/>
      </c>
      <c r="AG1548" s="42" t="str">
        <f t="array" aca="1" ref="AG1548" ca="1">IFERROR(INDEX(nombres[],SMALL(IF(OFFSET(nombres[],0,0,ROWS(nombres[]),1)=AG$1490,ROW(OFFSET(nombres[],0,0,ROWS(nombres[]),1))-ROW(OFFSET(nombres[],0,0,1,1))+1,ROW(OFFSET(nombres[],ROWS(nombres[])-1,0,1,1))+1),$O1548:$O1567),3),"")</f>
        <v/>
      </c>
      <c r="AH1548" s="42" t="str">
        <f t="array" aca="1" ref="AH1548" ca="1">IFERROR(INDEX(nombres[],SMALL(IF(OFFSET(nombres[],0,0,ROWS(nombres[]),1)=AH$1490,ROW(OFFSET(nombres[],0,0,ROWS(nombres[]),1))-ROW(OFFSET(nombres[],0,0,1,1))+1,ROW(OFFSET(nombres[],ROWS(nombres[])-1,0,1,1))+1),$O1548:$O1567),3),"")</f>
        <v/>
      </c>
      <c r="AI1548" s="42" t="str">
        <f t="array" aca="1" ref="AI1548" ca="1">IFERROR(INDEX(nombres[],SMALL(IF(OFFSET(nombres[],0,0,ROWS(nombres[]),1)=AI$1490,ROW(OFFSET(nombres[],0,0,ROWS(nombres[]),1))-ROW(OFFSET(nombres[],0,0,1,1))+1,ROW(OFFSET(nombres[],ROWS(nombres[])-1,0,1,1))+1),$O1548:$O1567),3),"")</f>
        <v/>
      </c>
      <c r="AJ1548" s="42" t="str">
        <f t="array" aca="1" ref="AJ1548" ca="1">IFERROR(INDEX(nombres[],SMALL(IF(OFFSET(nombres[],0,0,ROWS(nombres[]),1)=AJ$1490,ROW(OFFSET(nombres[],0,0,ROWS(nombres[]),1))-ROW(OFFSET(nombres[],0,0,1,1))+1,ROW(OFFSET(nombres[],ROWS(nombres[])-1,0,1,1))+1),$O1548:$O1567),3),"")</f>
        <v/>
      </c>
      <c r="AK1548" s="42" t="str">
        <f t="array" aca="1" ref="AK1548" ca="1">IFERROR(INDEX(nombres[],SMALL(IF(OFFSET(nombres[],0,0,ROWS(nombres[]),1)=AK$1490,ROW(OFFSET(nombres[],0,0,ROWS(nombres[]),1))-ROW(OFFSET(nombres[],0,0,1,1))+1,ROW(OFFSET(nombres[],ROWS(nombres[])-1,0,1,1))+1),$O1548:$O1567),3),"")</f>
        <v/>
      </c>
      <c r="AL1548" s="42" t="str">
        <f t="array" aca="1" ref="AL1548" ca="1">IFERROR(INDEX(nombres[],SMALL(IF(OFFSET(nombres[],0,0,ROWS(nombres[]),1)=AL$1490,ROW(OFFSET(nombres[],0,0,ROWS(nombres[]),1))-ROW(OFFSET(nombres[],0,0,1,1))+1,ROW(OFFSET(nombres[],ROWS(nombres[])-1,0,1,1))+1),$O1548:$O1567),3),"")</f>
        <v/>
      </c>
      <c r="AM1548" s="42" t="str">
        <f t="array" aca="1" ref="AM1548" ca="1">IFERROR(INDEX(nombres[],SMALL(IF(OFFSET(nombres[],0,0,ROWS(nombres[]),1)=AM$1490,ROW(OFFSET(nombres[],0,0,ROWS(nombres[]),1))-ROW(OFFSET(nombres[],0,0,1,1))+1,ROW(OFFSET(nombres[],ROWS(nombres[])-1,0,1,1))+1),$O1548:$O1567),3),"")</f>
        <v/>
      </c>
      <c r="AN1548" s="42" t="str">
        <f t="array" aca="1" ref="AN1548" ca="1">IFERROR(INDEX(nombres[],SMALL(IF(OFFSET(nombres[],0,0,ROWS(nombres[]),1)=AN$1490,ROW(OFFSET(nombres[],0,0,ROWS(nombres[]),1))-ROW(OFFSET(nombres[],0,0,1,1))+1,ROW(OFFSET(nombres[],ROWS(nombres[])-1,0,1,1))+1),$O1548:$O1567),3),"")</f>
        <v/>
      </c>
      <c r="AO1548" s="42" t="str">
        <f t="array" aca="1" ref="AO1548" ca="1">IFERROR(INDEX(nombres[],SMALL(IF(OFFSET(nombres[],0,0,ROWS(nombres[]),1)=AO$1490,ROW(OFFSET(nombres[],0,0,ROWS(nombres[]),1))-ROW(OFFSET(nombres[],0,0,1,1))+1,ROW(OFFSET(nombres[],ROWS(nombres[])-1,0,1,1))+1),$O1548:$O1567),3),"")</f>
        <v/>
      </c>
      <c r="AP1548" s="42" t="str">
        <f t="array" aca="1" ref="AP1548" ca="1">IFERROR(INDEX(nombres[],SMALL(IF(OFFSET(nombres[],0,0,ROWS(nombres[]),1)=AP$1490,ROW(OFFSET(nombres[],0,0,ROWS(nombres[]),1))-ROW(OFFSET(nombres[],0,0,1,1))+1,ROW(OFFSET(nombres[],ROWS(nombres[])-1,0,1,1))+1),$O1548:$O1567),3),"")</f>
        <v/>
      </c>
      <c r="AQ1548" s="42" t="str">
        <f t="array" aca="1" ref="AQ1548" ca="1">IFERROR(INDEX(nombres[],SMALL(IF(OFFSET(nombres[],0,0,ROWS(nombres[]),1)=AQ$1490,ROW(OFFSET(nombres[],0,0,ROWS(nombres[]),1))-ROW(OFFSET(nombres[],0,0,1,1))+1,ROW(OFFSET(nombres[],ROWS(nombres[])-1,0,1,1))+1),$O1548:$O1567),3),"")</f>
        <v/>
      </c>
      <c r="AR1548" s="42" t="str">
        <f t="array" aca="1" ref="AR1548" ca="1">IFERROR(INDEX(nombres[],SMALL(IF(OFFSET(nombres[],0,0,ROWS(nombres[]),1)=AR$1490,ROW(OFFSET(nombres[],0,0,ROWS(nombres[]),1))-ROW(OFFSET(nombres[],0,0,1,1))+1,ROW(OFFSET(nombres[],ROWS(nombres[])-1,0,1,1))+1),$O1548:$O1567),3),"")</f>
        <v/>
      </c>
      <c r="AS1548" s="42" t="str">
        <f t="array" aca="1" ref="AS1548" ca="1">IFERROR(INDEX(nombres[],SMALL(IF(OFFSET(nombres[],0,0,ROWS(nombres[]),1)=AS$1490,ROW(OFFSET(nombres[],0,0,ROWS(nombres[]),1))-ROW(OFFSET(nombres[],0,0,1,1))+1,ROW(OFFSET(nombres[],ROWS(nombres[])-1,0,1,1))+1),$O1548:$O1567),3),"")</f>
        <v/>
      </c>
      <c r="AT1548" s="42" t="str">
        <f t="array" aca="1" ref="AT1548" ca="1">IFERROR(INDEX(nombres[],SMALL(IF(OFFSET(nombres[],0,0,ROWS(nombres[]),1)=AT$1490,ROW(OFFSET(nombres[],0,0,ROWS(nombres[]),1))-ROW(OFFSET(nombres[],0,0,1,1))+1,ROW(OFFSET(nombres[],ROWS(nombres[])-1,0,1,1))+1),$O1548:$O1567),3),"")</f>
        <v/>
      </c>
      <c r="AU1548" s="42" t="str">
        <f t="array" aca="1" ref="AU1548" ca="1">IFERROR(INDEX(nombres[],SMALL(IF(OFFSET(nombres[],0,0,ROWS(nombres[]),1)=AU$1490,ROW(OFFSET(nombres[],0,0,ROWS(nombres[]),1))-ROW(OFFSET(nombres[],0,0,1,1))+1,ROW(OFFSET(nombres[],ROWS(nombres[])-1,0,1,1))+1),$O1548:$O1567),3),"")</f>
        <v/>
      </c>
      <c r="AV1548" s="42" t="str">
        <f t="array" aca="1" ref="AV1548" ca="1">IFERROR(INDEX(nombres[],SMALL(IF(OFFSET(nombres[],0,0,ROWS(nombres[]),1)=AV$1490,ROW(OFFSET(nombres[],0,0,ROWS(nombres[]),1))-ROW(OFFSET(nombres[],0,0,1,1))+1,ROW(OFFSET(nombres[],ROWS(nombres[])-1,0,1,1))+1),$O1548:$O1567),3),"")</f>
        <v/>
      </c>
      <c r="AW1548" s="42" t="str">
        <f t="array" aca="1" ref="AW1548" ca="1">IFERROR(INDEX(nombres[],SMALL(IF(OFFSET(nombres[],0,0,ROWS(nombres[]),1)=AW$1490,ROW(OFFSET(nombres[],0,0,ROWS(nombres[]),1))-ROW(OFFSET(nombres[],0,0,1,1))+1,ROW(OFFSET(nombres[],ROWS(nombres[])-1,0,1,1))+1),$O1548:$O1567),3),"")</f>
        <v/>
      </c>
      <c r="AX1548" s="42" t="str">
        <f t="array" aca="1" ref="AX1548" ca="1">IFERROR(INDEX(nombres[],SMALL(IF(OFFSET(nombres[],0,0,ROWS(nombres[]),1)=AX$1490,ROW(OFFSET(nombres[],0,0,ROWS(nombres[]),1))-ROW(OFFSET(nombres[],0,0,1,1))+1,ROW(OFFSET(nombres[],ROWS(nombres[])-1,0,1,1))+1),$O1548:$O1567),3),"")</f>
        <v/>
      </c>
      <c r="AY1548" s="42" t="str">
        <f t="array" aca="1" ref="AY1548" ca="1">IFERROR(INDEX(nombres[],SMALL(IF(OFFSET(nombres[],0,0,ROWS(nombres[]),1)=AY$1490,ROW(OFFSET(nombres[],0,0,ROWS(nombres[]),1))-ROW(OFFSET(nombres[],0,0,1,1))+1,ROW(OFFSET(nombres[],ROWS(nombres[])-1,0,1,1))+1),$O1548:$O1567),3),"")</f>
        <v/>
      </c>
      <c r="AZ1548" s="42" t="str">
        <f t="array" aca="1" ref="AZ1548" ca="1">IFERROR(INDEX(nombres[],SMALL(IF(OFFSET(nombres[],0,0,ROWS(nombres[]),1)=AZ$1490,ROW(OFFSET(nombres[],0,0,ROWS(nombres[]),1))-ROW(OFFSET(nombres[],0,0,1,1))+1,ROW(OFFSET(nombres[],ROWS(nombres[])-1,0,1,1))+1),$O1548:$O1567),3),"")</f>
        <v/>
      </c>
      <c r="BA1548" s="42" t="str">
        <f t="array" aca="1" ref="BA1548" ca="1">IFERROR(INDEX(nombres[],SMALL(IF(OFFSET(nombres[],0,0,ROWS(nombres[]),1)=BA$1490,ROW(OFFSET(nombres[],0,0,ROWS(nombres[]),1))-ROW(OFFSET(nombres[],0,0,1,1))+1,ROW(OFFSET(nombres[],ROWS(nombres[])-1,0,1,1))+1),$O1548:$O1567),3),"")</f>
        <v/>
      </c>
      <c r="BB1548" s="42" t="str">
        <f t="array" aca="1" ref="BB1548" ca="1">IFERROR(INDEX(nombres[],SMALL(IF(OFFSET(nombres[],0,0,ROWS(nombres[]),1)=BB$1490,ROW(OFFSET(nombres[],0,0,ROWS(nombres[]),1))-ROW(OFFSET(nombres[],0,0,1,1))+1,ROW(OFFSET(nombres[],ROWS(nombres[])-1,0,1,1))+1),$O1548:$O1567),3),"")</f>
        <v/>
      </c>
      <c r="BC1548" s="42" t="str">
        <f t="array" aca="1" ref="BC1548" ca="1">IFERROR(INDEX(nombres[],SMALL(IF(OFFSET(nombres[],0,0,ROWS(nombres[]),1)=BC$1490,ROW(OFFSET(nombres[],0,0,ROWS(nombres[]),1))-ROW(OFFSET(nombres[],0,0,1,1))+1,ROW(OFFSET(nombres[],ROWS(nombres[])-1,0,1,1))+1),$O1548:$O1567),3),"")</f>
        <v/>
      </c>
      <c r="BD1548" s="42" t="str">
        <f t="array" aca="1" ref="BD1548" ca="1">IFERROR(INDEX(nombres[],SMALL(IF(OFFSET(nombres[],0,0,ROWS(nombres[]),1)=BD$1490,ROW(OFFSET(nombres[],0,0,ROWS(nombres[]),1))-ROW(OFFSET(nombres[],0,0,1,1))+1,ROW(OFFSET(nombres[],ROWS(nombres[])-1,0,1,1))+1),$O1548:$O1567),3),"")</f>
        <v/>
      </c>
      <c r="BE1548" s="42" t="str">
        <f t="array" aca="1" ref="BE1548" ca="1">IFERROR(INDEX(nombres[],SMALL(IF(OFFSET(nombres[],0,0,ROWS(nombres[]),1)=BE$1490,ROW(OFFSET(nombres[],0,0,ROWS(nombres[]),1))-ROW(OFFSET(nombres[],0,0,1,1))+1,ROW(OFFSET(nombres[],ROWS(nombres[])-1,0,1,1))+1),$O1548:$O1567),3),"")</f>
        <v/>
      </c>
      <c r="BF1548" s="42" t="str">
        <f t="array" aca="1" ref="BF1548" ca="1">IFERROR(INDEX(nombres[],SMALL(IF(OFFSET(nombres[],0,0,ROWS(nombres[]),1)=BF$1490,ROW(OFFSET(nombres[],0,0,ROWS(nombres[]),1))-ROW(OFFSET(nombres[],0,0,1,1))+1,ROW(OFFSET(nombres[],ROWS(nombres[])-1,0,1,1))+1),$O1548:$O1567),3),"")</f>
        <v/>
      </c>
      <c r="BG1548" s="42" t="str">
        <f t="array" aca="1" ref="BG1548" ca="1">IFERROR(INDEX(nombres[],SMALL(IF(OFFSET(nombres[],0,0,ROWS(nombres[]),1)=BG$1490,ROW(OFFSET(nombres[],0,0,ROWS(nombres[]),1))-ROW(OFFSET(nombres[],0,0,1,1))+1,ROW(OFFSET(nombres[],ROWS(nombres[])-1,0,1,1))+1),$O1548:$O1567),3),"")</f>
        <v/>
      </c>
      <c r="BH1548" s="42" t="str">
        <f t="array" aca="1" ref="BH1548" ca="1">IFERROR(INDEX(nombres[],SMALL(IF(OFFSET(nombres[],0,0,ROWS(nombres[]),1)=BH$1490,ROW(OFFSET(nombres[],0,0,ROWS(nombres[]),1))-ROW(OFFSET(nombres[],0,0,1,1))+1,ROW(OFFSET(nombres[],ROWS(nombres[])-1,0,1,1))+1),$O1548:$O1567),3),"")</f>
        <v/>
      </c>
      <c r="BI1548" s="42" t="str">
        <f t="array" aca="1" ref="BI1548" ca="1">IFERROR(INDEX(nombres[],SMALL(IF(OFFSET(nombres[],0,0,ROWS(nombres[]),1)=BI$1490,ROW(OFFSET(nombres[],0,0,ROWS(nombres[]),1))-ROW(OFFSET(nombres[],0,0,1,1))+1,ROW(OFFSET(nombres[],ROWS(nombres[])-1,0,1,1))+1),$O1548:$O1567),3),"")</f>
        <v/>
      </c>
      <c r="BJ1548" s="42" t="str">
        <f t="array" aca="1" ref="BJ1548" ca="1">IFERROR(INDEX(nombres[],SMALL(IF(OFFSET(nombres[],0,0,ROWS(nombres[]),1)=BJ$1490,ROW(OFFSET(nombres[],0,0,ROWS(nombres[]),1))-ROW(OFFSET(nombres[],0,0,1,1))+1,ROW(OFFSET(nombres[],ROWS(nombres[])-1,0,1,1))+1),$O1548:$O1567),3),"")</f>
        <v/>
      </c>
      <c r="BK1548" s="42" t="str">
        <f t="array" aca="1" ref="BK1548" ca="1">IFERROR(INDEX(nombres[],SMALL(IF(OFFSET(nombres[],0,0,ROWS(nombres[]),1)=BK$1490,ROW(OFFSET(nombres[],0,0,ROWS(nombres[]),1))-ROW(OFFSET(nombres[],0,0,1,1))+1,ROW(OFFSET(nombres[],ROWS(nombres[])-1,0,1,1))+1),$O1548:$O1567),3),"")</f>
        <v/>
      </c>
      <c r="BL1548" s="42" t="str">
        <f t="array" aca="1" ref="BL1548" ca="1">IFERROR(INDEX(nombres[],SMALL(IF(OFFSET(nombres[],0,0,ROWS(nombres[]),1)=BL$1490,ROW(OFFSET(nombres[],0,0,ROWS(nombres[]),1))-ROW(OFFSET(nombres[],0,0,1,1))+1,ROW(OFFSET(nombres[],ROWS(nombres[])-1,0,1,1))+1),$O1548:$O1567),3),"")</f>
        <v/>
      </c>
      <c r="BM1548" s="42" t="str">
        <f t="array" aca="1" ref="BM1548" ca="1">IFERROR(INDEX(nombres[],SMALL(IF(OFFSET(nombres[],0,0,ROWS(nombres[]),1)=BM$1490,ROW(OFFSET(nombres[],0,0,ROWS(nombres[]),1))-ROW(OFFSET(nombres[],0,0,1,1))+1,ROW(OFFSET(nombres[],ROWS(nombres[])-1,0,1,1))+1),$O1548:$O1567),3),"")</f>
        <v/>
      </c>
      <c r="BN1548" s="42" t="str">
        <f t="array" aca="1" ref="BN1548" ca="1">IFERROR(INDEX(nombres[],SMALL(IF(OFFSET(nombres[],0,0,ROWS(nombres[]),1)=BN$1490,ROW(OFFSET(nombres[],0,0,ROWS(nombres[]),1))-ROW(OFFSET(nombres[],0,0,1,1))+1,ROW(OFFSET(nombres[],ROWS(nombres[])-1,0,1,1))+1),$O1548:$O1567),3),"")</f>
        <v/>
      </c>
      <c r="BO1548" s="42" t="str">
        <f t="array" aca="1" ref="BO1548" ca="1">IFERROR(INDEX(nombres[],SMALL(IF(OFFSET(nombres[],0,0,ROWS(nombres[]),1)=BO$1490,ROW(OFFSET(nombres[],0,0,ROWS(nombres[]),1))-ROW(OFFSET(nombres[],0,0,1,1))+1,ROW(OFFSET(nombres[],ROWS(nombres[])-1,0,1,1))+1),$O1548:$O1567),3),"")</f>
        <v/>
      </c>
      <c r="BP1548" s="42" t="str">
        <f t="array" aca="1" ref="BP1548" ca="1">IFERROR(INDEX(nombres[],SMALL(IF(OFFSET(nombres[],0,0,ROWS(nombres[]),1)=BP$1490,ROW(OFFSET(nombres[],0,0,ROWS(nombres[]),1))-ROW(OFFSET(nombres[],0,0,1,1))+1,ROW(OFFSET(nombres[],ROWS(nombres[])-1,0,1,1))+1),$O1548:$O1567),3),"")</f>
        <v/>
      </c>
      <c r="BQ1548" s="42" t="str">
        <f t="array" aca="1" ref="BQ1548" ca="1">IFERROR(INDEX(nombres[],SMALL(IF(OFFSET(nombres[],0,0,ROWS(nombres[]),1)=BQ$1490,ROW(OFFSET(nombres[],0,0,ROWS(nombres[]),1))-ROW(OFFSET(nombres[],0,0,1,1))+1,ROW(OFFSET(nombres[],ROWS(nombres[])-1,0,1,1))+1),$O1548:$O1567),3),"")</f>
        <v/>
      </c>
      <c r="BR1548" s="42" t="str">
        <f t="array" aca="1" ref="BR1548" ca="1">IFERROR(INDEX(nombres[],SMALL(IF(OFFSET(nombres[],0,0,ROWS(nombres[]),1)=BR$1490,ROW(OFFSET(nombres[],0,0,ROWS(nombres[]),1))-ROW(OFFSET(nombres[],0,0,1,1))+1,ROW(OFFSET(nombres[],ROWS(nombres[])-1,0,1,1))+1),$O1548:$O1567),3),"")</f>
        <v/>
      </c>
      <c r="BS1548" s="42" t="str">
        <f t="array" aca="1" ref="BS1548" ca="1">IFERROR(INDEX(nombres[],SMALL(IF(OFFSET(nombres[],0,0,ROWS(nombres[]),1)=BS$1490,ROW(OFFSET(nombres[],0,0,ROWS(nombres[]),1))-ROW(OFFSET(nombres[],0,0,1,1))+1,ROW(OFFSET(nombres[],ROWS(nombres[])-1,0,1,1))+1),$O1548:$O1567),3),"")</f>
        <v/>
      </c>
      <c r="BT1548" s="42" t="str">
        <f t="array" aca="1" ref="BT1548" ca="1">IFERROR(INDEX(nombres[],SMALL(IF(OFFSET(nombres[],0,0,ROWS(nombres[]),1)=BT$1490,ROW(OFFSET(nombres[],0,0,ROWS(nombres[]),1))-ROW(OFFSET(nombres[],0,0,1,1))+1,ROW(OFFSET(nombres[],ROWS(nombres[])-1,0,1,1))+1),$O1548:$O1567),3),"")</f>
        <v/>
      </c>
      <c r="BU1548" s="42" t="str">
        <f t="array" aca="1" ref="BU1548" ca="1">IFERROR(INDEX(nombres[],SMALL(IF(OFFSET(nombres[],0,0,ROWS(nombres[]),1)=BU$1490,ROW(OFFSET(nombres[],0,0,ROWS(nombres[]),1))-ROW(OFFSET(nombres[],0,0,1,1))+1,ROW(OFFSET(nombres[],ROWS(nombres[])-1,0,1,1))+1),$O1548:$O1567),3),"")</f>
        <v/>
      </c>
      <c r="BV1548" s="42" t="str">
        <f t="array" aca="1" ref="BV1548" ca="1">IFERROR(INDEX(nombres[],SMALL(IF(OFFSET(nombres[],0,0,ROWS(nombres[]),1)=BV$1490,ROW(OFFSET(nombres[],0,0,ROWS(nombres[]),1))-ROW(OFFSET(nombres[],0,0,1,1))+1,ROW(OFFSET(nombres[],ROWS(nombres[])-1,0,1,1))+1),$O1548:$O1567),3),"")</f>
        <v/>
      </c>
      <c r="BW1548" s="42" t="str">
        <f t="array" aca="1" ref="BW1548" ca="1">IFERROR(INDEX(nombres[],SMALL(IF(OFFSET(nombres[],0,0,ROWS(nombres[]),1)=BW$1490,ROW(OFFSET(nombres[],0,0,ROWS(nombres[]),1))-ROW(OFFSET(nombres[],0,0,1,1))+1,ROW(OFFSET(nombres[],ROWS(nombres[])-1,0,1,1))+1),$O1548:$O1567),3),"")</f>
        <v/>
      </c>
      <c r="BX1548" s="42" t="str">
        <f t="array" aca="1" ref="BX1548" ca="1">IFERROR(INDEX(nombres[],SMALL(IF(OFFSET(nombres[],0,0,ROWS(nombres[]),1)=BX$1490,ROW(OFFSET(nombres[],0,0,ROWS(nombres[]),1))-ROW(OFFSET(nombres[],0,0,1,1))+1,ROW(OFFSET(nombres[],ROWS(nombres[])-1,0,1,1))+1),$O1548:$O1567),3),"")</f>
        <v/>
      </c>
      <c r="BY1548" s="42" t="str">
        <f t="array" aca="1" ref="BY1548" ca="1">IFERROR(INDEX(nombres[],SMALL(IF(OFFSET(nombres[],0,0,ROWS(nombres[]),1)=BY$1490,ROW(OFFSET(nombres[],0,0,ROWS(nombres[]),1))-ROW(OFFSET(nombres[],0,0,1,1))+1,ROW(OFFSET(nombres[],ROWS(nombres[])-1,0,1,1))+1),$O1548:$O1567),3),"")</f>
        <v/>
      </c>
      <c r="BZ1548" s="42" t="str">
        <f t="array" aca="1" ref="BZ1548" ca="1">IFERROR(INDEX(nombres[],SMALL(IF(OFFSET(nombres[],0,0,ROWS(nombres[]),1)=BZ$1490,ROW(OFFSET(nombres[],0,0,ROWS(nombres[]),1))-ROW(OFFSET(nombres[],0,0,1,1))+1,ROW(OFFSET(nombres[],ROWS(nombres[])-1,0,1,1))+1),$O1548:$O1567),3),"")</f>
        <v/>
      </c>
      <c r="CA1548" s="42" t="str">
        <f t="array" aca="1" ref="CA1548" ca="1">IFERROR(INDEX(nombres[],SMALL(IF(OFFSET(nombres[],0,0,ROWS(nombres[]),1)=CA$1490,ROW(OFFSET(nombres[],0,0,ROWS(nombres[]),1))-ROW(OFFSET(nombres[],0,0,1,1))+1,ROW(OFFSET(nombres[],ROWS(nombres[])-1,0,1,1))+1),$O1548:$O1567),3),"")</f>
        <v/>
      </c>
      <c r="CB1548" s="42" t="str">
        <f t="array" aca="1" ref="CB1548" ca="1">IFERROR(INDEX(nombres[],SMALL(IF(OFFSET(nombres[],0,0,ROWS(nombres[]),1)=CB$1490,ROW(OFFSET(nombres[],0,0,ROWS(nombres[]),1))-ROW(OFFSET(nombres[],0,0,1,1))+1,ROW(OFFSET(nombres[],ROWS(nombres[])-1,0,1,1))+1),$O1548:$O1567),3),"")</f>
        <v/>
      </c>
      <c r="CC1548" s="42" t="str">
        <f t="array" aca="1" ref="CC1548" ca="1">IFERROR(INDEX(nombres[],SMALL(IF(OFFSET(nombres[],0,0,ROWS(nombres[]),1)=CC$1490,ROW(OFFSET(nombres[],0,0,ROWS(nombres[]),1))-ROW(OFFSET(nombres[],0,0,1,1))+1,ROW(OFFSET(nombres[],ROWS(nombres[])-1,0,1,1))+1),$O1548:$O1567),3),"")</f>
        <v/>
      </c>
      <c r="CD1548" s="42" t="str">
        <f t="array" aca="1" ref="CD1548" ca="1">IFERROR(INDEX(nombres[],SMALL(IF(OFFSET(nombres[],0,0,ROWS(nombres[]),1)=CD$1490,ROW(OFFSET(nombres[],0,0,ROWS(nombres[]),1))-ROW(OFFSET(nombres[],0,0,1,1))+1,ROW(OFFSET(nombres[],ROWS(nombres[])-1,0,1,1))+1),$O1548:$O1567),3),"")</f>
        <v/>
      </c>
      <c r="CE1548" s="42" t="str">
        <f t="array" aca="1" ref="CE1548" ca="1">IFERROR(INDEX(nombres[],SMALL(IF(OFFSET(nombres[],0,0,ROWS(nombres[]),1)=CE$1490,ROW(OFFSET(nombres[],0,0,ROWS(nombres[]),1))-ROW(OFFSET(nombres[],0,0,1,1))+1,ROW(OFFSET(nombres[],ROWS(nombres[])-1,0,1,1))+1),$O1548:$O1567),3),"")</f>
        <v/>
      </c>
      <c r="CF1548" s="42" t="str">
        <f t="array" aca="1" ref="CF1548" ca="1">IFERROR(INDEX(nombres[],SMALL(IF(OFFSET(nombres[],0,0,ROWS(nombres[]),1)=CF$1490,ROW(OFFSET(nombres[],0,0,ROWS(nombres[]),1))-ROW(OFFSET(nombres[],0,0,1,1))+1,ROW(OFFSET(nombres[],ROWS(nombres[])-1,0,1,1))+1),$O1548:$O1567),3),"")</f>
        <v/>
      </c>
      <c r="CG1548" s="42" t="str">
        <f t="array" aca="1" ref="CG1548" ca="1">IFERROR(INDEX(nombres[],SMALL(IF(OFFSET(nombres[],0,0,ROWS(nombres[]),1)=CG$1490,ROW(OFFSET(nombres[],0,0,ROWS(nombres[]),1))-ROW(OFFSET(nombres[],0,0,1,1))+1,ROW(OFFSET(nombres[],ROWS(nombres[])-1,0,1,1))+1),$O1548:$O1567),3),"")</f>
        <v/>
      </c>
      <c r="CH1548" s="42" t="str">
        <f t="array" aca="1" ref="CH1548" ca="1">IFERROR(INDEX(nombres[],SMALL(IF(OFFSET(nombres[],0,0,ROWS(nombres[]),1)=CH$1490,ROW(OFFSET(nombres[],0,0,ROWS(nombres[]),1))-ROW(OFFSET(nombres[],0,0,1,1))+1,ROW(OFFSET(nombres[],ROWS(nombres[])-1,0,1,1))+1),$O1548:$O1567),3),"")</f>
        <v/>
      </c>
      <c r="CI1548" s="42" t="str">
        <f t="array" aca="1" ref="CI1548" ca="1">IFERROR(INDEX(nombres[],SMALL(IF(OFFSET(nombres[],0,0,ROWS(nombres[]),1)=CI$1490,ROW(OFFSET(nombres[],0,0,ROWS(nombres[]),1))-ROW(OFFSET(nombres[],0,0,1,1))+1,ROW(OFFSET(nombres[],ROWS(nombres[])-1,0,1,1))+1),$O1548:$O1567),3),"")</f>
        <v/>
      </c>
      <c r="CJ1548" s="42" t="str">
        <f t="array" aca="1" ref="CJ1548" ca="1">IFERROR(INDEX(nombres[],SMALL(IF(OFFSET(nombres[],0,0,ROWS(nombres[]),1)=CJ$1490,ROW(OFFSET(nombres[],0,0,ROWS(nombres[]),1))-ROW(OFFSET(nombres[],0,0,1,1))+1,ROW(OFFSET(nombres[],ROWS(nombres[])-1,0,1,1))+1),$O1548:$O1567),3),"")</f>
        <v/>
      </c>
      <c r="CK1548" s="42" t="str">
        <f t="array" aca="1" ref="CK1548" ca="1">IFERROR(INDEX(nombres[],SMALL(IF(OFFSET(nombres[],0,0,ROWS(nombres[]),1)=CK$1490,ROW(OFFSET(nombres[],0,0,ROWS(nombres[]),1))-ROW(OFFSET(nombres[],0,0,1,1))+1,ROW(OFFSET(nombres[],ROWS(nombres[])-1,0,1,1))+1),$O1548:$O1567),3),"")</f>
        <v/>
      </c>
      <c r="CL1548" s="42" t="str">
        <f t="array" aca="1" ref="CL1548" ca="1">IFERROR(INDEX(nombres[],SMALL(IF(OFFSET(nombres[],0,0,ROWS(nombres[]),1)=CL$1490,ROW(OFFSET(nombres[],0,0,ROWS(nombres[]),1))-ROW(OFFSET(nombres[],0,0,1,1))+1,ROW(OFFSET(nombres[],ROWS(nombres[])-1,0,1,1))+1),$O1548:$O1567),3),"")</f>
        <v/>
      </c>
      <c r="CM1548" s="42" t="str">
        <f t="array" aca="1" ref="CM1548" ca="1">IFERROR(INDEX(nombres[],SMALL(IF(OFFSET(nombres[],0,0,ROWS(nombres[]),1)=CM$1490,ROW(OFFSET(nombres[],0,0,ROWS(nombres[]),1))-ROW(OFFSET(nombres[],0,0,1,1))+1,ROW(OFFSET(nombres[],ROWS(nombres[])-1,0,1,1))+1),$O1548:$O1567),3),"")</f>
        <v/>
      </c>
      <c r="CN1548" s="42" t="str">
        <f t="array" aca="1" ref="CN1548" ca="1">IFERROR(INDEX(nombres[],SMALL(IF(OFFSET(nombres[],0,0,ROWS(nombres[]),1)=CN$1490,ROW(OFFSET(nombres[],0,0,ROWS(nombres[]),1))-ROW(OFFSET(nombres[],0,0,1,1))+1,ROW(OFFSET(nombres[],ROWS(nombres[])-1,0,1,1))+1),$O1548:$O1567),3),"")</f>
        <v/>
      </c>
      <c r="CO1548" s="42" t="str">
        <f t="array" aca="1" ref="CO1548" ca="1">IFERROR(INDEX(nombres[],SMALL(IF(OFFSET(nombres[],0,0,ROWS(nombres[]),1)=CO$1490,ROW(OFFSET(nombres[],0,0,ROWS(nombres[]),1))-ROW(OFFSET(nombres[],0,0,1,1))+1,ROW(OFFSET(nombres[],ROWS(nombres[])-1,0,1,1))+1),$O1548:$O1567),3),"")</f>
        <v/>
      </c>
      <c r="CP1548" s="42" t="str">
        <f t="array" aca="1" ref="CP1548" ca="1">IFERROR(INDEX(nombres[],SMALL(IF(OFFSET(nombres[],0,0,ROWS(nombres[]),1)=CP$1490,ROW(OFFSET(nombres[],0,0,ROWS(nombres[]),1))-ROW(OFFSET(nombres[],0,0,1,1))+1,ROW(OFFSET(nombres[],ROWS(nombres[])-1,0,1,1))+1),$O1548:$O1567),3),"")</f>
        <v/>
      </c>
      <c r="CQ1548" s="42" t="str">
        <f t="array" aca="1" ref="CQ1548" ca="1">IFERROR(INDEX(nombres[],SMALL(IF(OFFSET(nombres[],0,0,ROWS(nombres[]),1)=CQ$1490,ROW(OFFSET(nombres[],0,0,ROWS(nombres[]),1))-ROW(OFFSET(nombres[],0,0,1,1))+1,ROW(OFFSET(nombres[],ROWS(nombres[])-1,0,1,1))+1),$O1548:$O1567),3),"")</f>
        <v/>
      </c>
      <c r="CR1548" s="42" t="str">
        <f t="array" aca="1" ref="CR1548" ca="1">IFERROR(INDEX(nombres[],SMALL(IF(OFFSET(nombres[],0,0,ROWS(nombres[]),1)=CR$1490,ROW(OFFSET(nombres[],0,0,ROWS(nombres[]),1))-ROW(OFFSET(nombres[],0,0,1,1))+1,ROW(OFFSET(nombres[],ROWS(nombres[])-1,0,1,1))+1),$O1548:$O1567),3),"")</f>
        <v/>
      </c>
      <c r="CS1548" s="42" t="str">
        <f t="array" aca="1" ref="CS1548" ca="1">IFERROR(INDEX(nombres[],SMALL(IF(OFFSET(nombres[],0,0,ROWS(nombres[]),1)=CS$1490,ROW(OFFSET(nombres[],0,0,ROWS(nombres[]),1))-ROW(OFFSET(nombres[],0,0,1,1))+1,ROW(OFFSET(nombres[],ROWS(nombres[])-1,0,1,1))+1),$O1548:$O1567),3),"")</f>
        <v/>
      </c>
      <c r="CT1548" s="42" t="str">
        <f t="array" aca="1" ref="CT1548" ca="1">IFERROR(INDEX(nombres[],SMALL(IF(OFFSET(nombres[],0,0,ROWS(nombres[]),1)=CT$1490,ROW(OFFSET(nombres[],0,0,ROWS(nombres[]),1))-ROW(OFFSET(nombres[],0,0,1,1))+1,ROW(OFFSET(nombres[],ROWS(nombres[])-1,0,1,1))+1),$O1548:$O1567),3),"")</f>
        <v/>
      </c>
      <c r="CU1548" s="42" t="str">
        <f t="array" aca="1" ref="CU1548" ca="1">IFERROR(INDEX(nombres[],SMALL(IF(OFFSET(nombres[],0,0,ROWS(nombres[]),1)=CU$1490,ROW(OFFSET(nombres[],0,0,ROWS(nombres[]),1))-ROW(OFFSET(nombres[],0,0,1,1))+1,ROW(OFFSET(nombres[],ROWS(nombres[])-1,0,1,1))+1),$O1548:$O1567),3),"")</f>
        <v/>
      </c>
      <c r="CV1548" s="42" t="str">
        <f t="array" aca="1" ref="CV1548" ca="1">IFERROR(INDEX(nombres[],SMALL(IF(OFFSET(nombres[],0,0,ROWS(nombres[]),1)=CV$1490,ROW(OFFSET(nombres[],0,0,ROWS(nombres[]),1))-ROW(OFFSET(nombres[],0,0,1,1))+1,ROW(OFFSET(nombres[],ROWS(nombres[])-1,0,1,1))+1),$O1548:$O1567),3),"")</f>
        <v/>
      </c>
      <c r="CW1548" s="42" t="str">
        <f t="array" aca="1" ref="CW1548" ca="1">IFERROR(INDEX(nombres[],SMALL(IF(OFFSET(nombres[],0,0,ROWS(nombres[]),1)=CW$1490,ROW(OFFSET(nombres[],0,0,ROWS(nombres[]),1))-ROW(OFFSET(nombres[],0,0,1,1))+1,ROW(OFFSET(nombres[],ROWS(nombres[])-1,0,1,1))+1),$O1548:$O1567),3),"")</f>
        <v/>
      </c>
      <c r="CX1548" s="42" t="str">
        <f t="array" aca="1" ref="CX1548" ca="1">IFERROR(INDEX(nombres[],SMALL(IF(OFFSET(nombres[],0,0,ROWS(nombres[]),1)=CX$1490,ROW(OFFSET(nombres[],0,0,ROWS(nombres[]),1))-ROW(OFFSET(nombres[],0,0,1,1))+1,ROW(OFFSET(nombres[],ROWS(nombres[])-1,0,1,1))+1),$O1548:$O1567),3),"")</f>
        <v/>
      </c>
      <c r="CY1548" s="42" t="str">
        <f t="array" aca="1" ref="CY1548" ca="1">IFERROR(INDEX(nombres[],SMALL(IF(OFFSET(nombres[],0,0,ROWS(nombres[]),1)=CY$1490,ROW(OFFSET(nombres[],0,0,ROWS(nombres[]),1))-ROW(OFFSET(nombres[],0,0,1,1))+1,ROW(OFFSET(nombres[],ROWS(nombres[])-1,0,1,1))+1),$O1548:$O1567),3),"")</f>
        <v/>
      </c>
      <c r="CZ1548" s="42" t="str">
        <f t="array" aca="1" ref="CZ1548" ca="1">IFERROR(INDEX(nombres[],SMALL(IF(OFFSET(nombres[],0,0,ROWS(nombres[]),1)=CZ$1490,ROW(OFFSET(nombres[],0,0,ROWS(nombres[]),1))-ROW(OFFSET(nombres[],0,0,1,1))+1,ROW(OFFSET(nombres[],ROWS(nombres[])-1,0,1,1))+1),$O1548:$O1567),3),"")</f>
        <v/>
      </c>
      <c r="DA1548" s="42" t="str">
        <f t="array" aca="1" ref="DA1548" ca="1">IFERROR(INDEX(nombres[],SMALL(IF(OFFSET(nombres[],0,0,ROWS(nombres[]),1)=DA$1490,ROW(OFFSET(nombres[],0,0,ROWS(nombres[]),1))-ROW(OFFSET(nombres[],0,0,1,1))+1,ROW(OFFSET(nombres[],ROWS(nombres[])-1,0,1,1))+1),$O1548:$O1567),3),"")</f>
        <v/>
      </c>
      <c r="DB1548" s="42" t="str">
        <f t="array" aca="1" ref="DB1548" ca="1">IFERROR(INDEX(nombres[],SMALL(IF(OFFSET(nombres[],0,0,ROWS(nombres[]),1)=DB$1490,ROW(OFFSET(nombres[],0,0,ROWS(nombres[]),1))-ROW(OFFSET(nombres[],0,0,1,1))+1,ROW(OFFSET(nombres[],ROWS(nombres[])-1,0,1,1))+1),$O1548:$O1567),3),"")</f>
        <v/>
      </c>
      <c r="DC1548" s="42" t="str">
        <f t="array" aca="1" ref="DC1548" ca="1">IFERROR(INDEX(nombres[],SMALL(IF(OFFSET(nombres[],0,0,ROWS(nombres[]),1)=DC$1490,ROW(OFFSET(nombres[],0,0,ROWS(nombres[]),1))-ROW(OFFSET(nombres[],0,0,1,1))+1,ROW(OFFSET(nombres[],ROWS(nombres[])-1,0,1,1))+1),$O1548:$O1567),3),"")</f>
        <v/>
      </c>
      <c r="DD1548" s="42" t="str">
        <f t="array" aca="1" ref="DD1548" ca="1">IFERROR(INDEX(nombres[],SMALL(IF(OFFSET(nombres[],0,0,ROWS(nombres[]),1)=DD$1490,ROW(OFFSET(nombres[],0,0,ROWS(nombres[]),1))-ROW(OFFSET(nombres[],0,0,1,1))+1,ROW(OFFSET(nombres[],ROWS(nombres[])-1,0,1,1))+1),$O1548:$O1567),3),"")</f>
        <v/>
      </c>
      <c r="DE1548" s="42" t="str">
        <f t="array" aca="1" ref="DE1548" ca="1">IFERROR(INDEX(nombres[],SMALL(IF(OFFSET(nombres[],0,0,ROWS(nombres[]),1)=DE$1490,ROW(OFFSET(nombres[],0,0,ROWS(nombres[]),1))-ROW(OFFSET(nombres[],0,0,1,1))+1,ROW(OFFSET(nombres[],ROWS(nombres[])-1,0,1,1))+1),$O1548:$O1567),3),"")</f>
        <v/>
      </c>
      <c r="DF1548" s="42" t="str">
        <f t="array" aca="1" ref="DF1548" ca="1">IFERROR(INDEX(nombres[],SMALL(IF(OFFSET(nombres[],0,0,ROWS(nombres[]),1)=DF$1490,ROW(OFFSET(nombres[],0,0,ROWS(nombres[]),1))-ROW(OFFSET(nombres[],0,0,1,1))+1,ROW(OFFSET(nombres[],ROWS(nombres[])-1,0,1,1))+1),$O1548:$O1567),3),"")</f>
        <v/>
      </c>
      <c r="DG1548" s="42" t="str">
        <f t="array" aca="1" ref="DG1548" ca="1">IFERROR(INDEX(nombres[],SMALL(IF(OFFSET(nombres[],0,0,ROWS(nombres[]),1)=DG$1490,ROW(OFFSET(nombres[],0,0,ROWS(nombres[]),1))-ROW(OFFSET(nombres[],0,0,1,1))+1,ROW(OFFSET(nombres[],ROWS(nombres[])-1,0,1,1))+1),$O1548:$O1567),3),"")</f>
        <v/>
      </c>
      <c r="DH1548" s="42" t="str">
        <f t="array" aca="1" ref="DH1548" ca="1">IFERROR(INDEX(nombres[],SMALL(IF(OFFSET(nombres[],0,0,ROWS(nombres[]),1)=DH$1490,ROW(OFFSET(nombres[],0,0,ROWS(nombres[]),1))-ROW(OFFSET(nombres[],0,0,1,1))+1,ROW(OFFSET(nombres[],ROWS(nombres[])-1,0,1,1))+1),$O1548:$O1567),3),"")</f>
        <v/>
      </c>
      <c r="DI1548" s="42" t="str">
        <f t="array" aca="1" ref="DI1548" ca="1">IFERROR(INDEX(nombres[],SMALL(IF(OFFSET(nombres[],0,0,ROWS(nombres[]),1)=DI$1490,ROW(OFFSET(nombres[],0,0,ROWS(nombres[]),1))-ROW(OFFSET(nombres[],0,0,1,1))+1,ROW(OFFSET(nombres[],ROWS(nombres[])-1,0,1,1))+1),$O1548:$O1567),3),"")</f>
        <v/>
      </c>
      <c r="DJ1548" s="42" t="str">
        <f t="array" aca="1" ref="DJ1548" ca="1">IFERROR(INDEX(nombres[],SMALL(IF(OFFSET(nombres[],0,0,ROWS(nombres[]),1)=DJ$1490,ROW(OFFSET(nombres[],0,0,ROWS(nombres[]),1))-ROW(OFFSET(nombres[],0,0,1,1))+1,ROW(OFFSET(nombres[],ROWS(nombres[])-1,0,1,1))+1),$O1548:$O1567),3),"")</f>
        <v/>
      </c>
      <c r="DK1548" s="42" t="str">
        <f t="array" aca="1" ref="DK1548" ca="1">IFERROR(INDEX(nombres[],SMALL(IF(OFFSET(nombres[],0,0,ROWS(nombres[]),1)=DK$1490,ROW(OFFSET(nombres[],0,0,ROWS(nombres[]),1))-ROW(OFFSET(nombres[],0,0,1,1))+1,ROW(OFFSET(nombres[],ROWS(nombres[])-1,0,1,1))+1),$O1548:$O1567),3),"")</f>
        <v/>
      </c>
      <c r="DL1548" s="42" t="str">
        <f t="array" aca="1" ref="DL1548" ca="1">IFERROR(INDEX(nombres[],SMALL(IF(OFFSET(nombres[],0,0,ROWS(nombres[]),1)=DL$1490,ROW(OFFSET(nombres[],0,0,ROWS(nombres[]),1))-ROW(OFFSET(nombres[],0,0,1,1))+1,ROW(OFFSET(nombres[],ROWS(nombres[])-1,0,1,1))+1),$O1548:$O1567),3),"")</f>
        <v/>
      </c>
      <c r="DM1548" s="42" t="str">
        <f t="array" aca="1" ref="DM1548" ca="1">IFERROR(INDEX(nombres[],SMALL(IF(OFFSET(nombres[],0,0,ROWS(nombres[]),1)=DM$1490,ROW(OFFSET(nombres[],0,0,ROWS(nombres[]),1))-ROW(OFFSET(nombres[],0,0,1,1))+1,ROW(OFFSET(nombres[],ROWS(nombres[])-1,0,1,1))+1),$O1548:$O1567),3),"")</f>
        <v/>
      </c>
      <c r="DN1548" s="42" t="str">
        <f t="array" aca="1" ref="DN1548" ca="1">IFERROR(INDEX(nombres[],SMALL(IF(OFFSET(nombres[],0,0,ROWS(nombres[]),1)=DN$1490,ROW(OFFSET(nombres[],0,0,ROWS(nombres[]),1))-ROW(OFFSET(nombres[],0,0,1,1))+1,ROW(OFFSET(nombres[],ROWS(nombres[])-1,0,1,1))+1),$O1548:$O1567),3),"")</f>
        <v/>
      </c>
      <c r="DO1548" s="42" t="str">
        <f t="array" aca="1" ref="DO1548" ca="1">IFERROR(INDEX(nombres[],SMALL(IF(OFFSET(nombres[],0,0,ROWS(nombres[]),1)=DO$1490,ROW(OFFSET(nombres[],0,0,ROWS(nombres[]),1))-ROW(OFFSET(nombres[],0,0,1,1))+1,ROW(OFFSET(nombres[],ROWS(nombres[])-1,0,1,1))+1),$O1548:$O1567),3),"")</f>
        <v/>
      </c>
      <c r="DP1548" s="42" t="str">
        <f t="array" aca="1" ref="DP1548" ca="1">IFERROR(INDEX(nombres[],SMALL(IF(OFFSET(nombres[],0,0,ROWS(nombres[]),1)=DP$1490,ROW(OFFSET(nombres[],0,0,ROWS(nombres[]),1))-ROW(OFFSET(nombres[],0,0,1,1))+1,ROW(OFFSET(nombres[],ROWS(nombres[])-1,0,1,1))+1),$O1548:$O1567),3),"")</f>
        <v/>
      </c>
      <c r="DQ1548" s="42" t="str">
        <f t="array" aca="1" ref="DQ1548" ca="1">IFERROR(INDEX(nombres[],SMALL(IF(OFFSET(nombres[],0,0,ROWS(nombres[]),1)=DQ$1490,ROW(OFFSET(nombres[],0,0,ROWS(nombres[]),1))-ROW(OFFSET(nombres[],0,0,1,1))+1,ROW(OFFSET(nombres[],ROWS(nombres[])-1,0,1,1))+1),$O1548:$O1567),3),"")</f>
        <v/>
      </c>
      <c r="DR1548" s="42" t="str">
        <f t="array" aca="1" ref="DR1548" ca="1">IFERROR(INDEX(nombres[],SMALL(IF(OFFSET(nombres[],0,0,ROWS(nombres[]),1)=DR$1490,ROW(OFFSET(nombres[],0,0,ROWS(nombres[]),1))-ROW(OFFSET(nombres[],0,0,1,1))+1,ROW(OFFSET(nombres[],ROWS(nombres[])-1,0,1,1))+1),$O1548:$O1567),3),"")</f>
        <v/>
      </c>
      <c r="DS1548" s="42" t="str">
        <f t="array" aca="1" ref="DS1548" ca="1">IFERROR(INDEX(nombres[],SMALL(IF(OFFSET(nombres[],0,0,ROWS(nombres[]),1)=DS$1490,ROW(OFFSET(nombres[],0,0,ROWS(nombres[]),1))-ROW(OFFSET(nombres[],0,0,1,1))+1,ROW(OFFSET(nombres[],ROWS(nombres[])-1,0,1,1))+1),$O1548:$O1567),3),"")</f>
        <v/>
      </c>
      <c r="DT1548" s="42" t="str">
        <f t="array" aca="1" ref="DT1548" ca="1">IFERROR(INDEX(nombres[],SMALL(IF(OFFSET(nombres[],0,0,ROWS(nombres[]),1)=DT$1490,ROW(OFFSET(nombres[],0,0,ROWS(nombres[]),1))-ROW(OFFSET(nombres[],0,0,1,1))+1,ROW(OFFSET(nombres[],ROWS(nombres[])-1,0,1,1))+1),$O1548:$O1567),3),"")</f>
        <v/>
      </c>
      <c r="DU1548" s="42" t="str">
        <f t="array" aca="1" ref="DU1548" ca="1">IFERROR(INDEX(nombres[],SMALL(IF(OFFSET(nombres[],0,0,ROWS(nombres[]),1)=DU$1490,ROW(OFFSET(nombres[],0,0,ROWS(nombres[]),1))-ROW(OFFSET(nombres[],0,0,1,1))+1,ROW(OFFSET(nombres[],ROWS(nombres[])-1,0,1,1))+1),$O1548:$O1567),3),"")</f>
        <v/>
      </c>
      <c r="DV1548" s="42" t="str">
        <f t="array" aca="1" ref="DV1548" ca="1">IFERROR(INDEX(nombres[],SMALL(IF(OFFSET(nombres[],0,0,ROWS(nombres[]),1)=DV$1490,ROW(OFFSET(nombres[],0,0,ROWS(nombres[]),1))-ROW(OFFSET(nombres[],0,0,1,1))+1,ROW(OFFSET(nombres[],ROWS(nombres[])-1,0,1,1))+1),$O1548:$O1567),3),"")</f>
        <v/>
      </c>
      <c r="DW1548" s="42" t="str">
        <f t="array" aca="1" ref="DW1548" ca="1">IFERROR(INDEX(nombres[],SMALL(IF(OFFSET(nombres[],0,0,ROWS(nombres[]),1)=DW$1490,ROW(OFFSET(nombres[],0,0,ROWS(nombres[]),1))-ROW(OFFSET(nombres[],0,0,1,1))+1,ROW(OFFSET(nombres[],ROWS(nombres[])-1,0,1,1))+1),$O1548:$O1567),3),"")</f>
        <v/>
      </c>
      <c r="DX1548" s="42" t="str">
        <f t="array" aca="1" ref="DX1548" ca="1">IFERROR(INDEX(nombres[],SMALL(IF(OFFSET(nombres[],0,0,ROWS(nombres[]),1)=DX$1490,ROW(OFFSET(nombres[],0,0,ROWS(nombres[]),1))-ROW(OFFSET(nombres[],0,0,1,1))+1,ROW(OFFSET(nombres[],ROWS(nombres[])-1,0,1,1))+1),$O1548:$O1567),3),"")</f>
        <v/>
      </c>
      <c r="DY1548" s="42" t="str">
        <f t="array" aca="1" ref="DY1548" ca="1">IFERROR(INDEX(nombres[],SMALL(IF(OFFSET(nombres[],0,0,ROWS(nombres[]),1)=DY$1490,ROW(OFFSET(nombres[],0,0,ROWS(nombres[]),1))-ROW(OFFSET(nombres[],0,0,1,1))+1,ROW(OFFSET(nombres[],ROWS(nombres[])-1,0,1,1))+1),$O1548:$O1567),3),"")</f>
        <v/>
      </c>
      <c r="DZ1548" s="42" t="str">
        <f t="array" aca="1" ref="DZ1548" ca="1">IFERROR(INDEX(nombres[],SMALL(IF(OFFSET(nombres[],0,0,ROWS(nombres[]),1)=DZ$1490,ROW(OFFSET(nombres[],0,0,ROWS(nombres[]),1))-ROW(OFFSET(nombres[],0,0,1,1))+1,ROW(OFFSET(nombres[],ROWS(nombres[])-1,0,1,1))+1),$O1548:$O1567),3),"")</f>
        <v/>
      </c>
      <c r="EA1548" s="42" t="str">
        <f t="array" aca="1" ref="EA1548" ca="1">IFERROR(INDEX(nombres[],SMALL(IF(OFFSET(nombres[],0,0,ROWS(nombres[]),1)=EA$1490,ROW(OFFSET(nombres[],0,0,ROWS(nombres[]),1))-ROW(OFFSET(nombres[],0,0,1,1))+1,ROW(OFFSET(nombres[],ROWS(nombres[])-1,0,1,1))+1),$O1548:$O1567),3),"")</f>
        <v/>
      </c>
      <c r="EB1548" s="42" t="str">
        <f t="array" aca="1" ref="EB1548" ca="1">IFERROR(INDEX(nombres[],SMALL(IF(OFFSET(nombres[],0,0,ROWS(nombres[]),1)=EB$1490,ROW(OFFSET(nombres[],0,0,ROWS(nombres[]),1))-ROW(OFFSET(nombres[],0,0,1,1))+1,ROW(OFFSET(nombres[],ROWS(nombres[])-1,0,1,1))+1),$O1548:$O1567),3),"")</f>
        <v/>
      </c>
      <c r="EC1548" s="42" t="str">
        <f t="array" aca="1" ref="EC1548" ca="1">IFERROR(INDEX(nombres[],SMALL(IF(OFFSET(nombres[],0,0,ROWS(nombres[]),1)=EC$1490,ROW(OFFSET(nombres[],0,0,ROWS(nombres[]),1))-ROW(OFFSET(nombres[],0,0,1,1))+1,ROW(OFFSET(nombres[],ROWS(nombres[])-1,0,1,1))+1),$O1548:$O1567),3),"")</f>
        <v/>
      </c>
      <c r="ED1548" s="42" t="str">
        <f t="array" aca="1" ref="ED1548" ca="1">IFERROR(INDEX(nombres[],SMALL(IF(OFFSET(nombres[],0,0,ROWS(nombres[]),1)=ED$1490,ROW(OFFSET(nombres[],0,0,ROWS(nombres[]),1))-ROW(OFFSET(nombres[],0,0,1,1))+1,ROW(OFFSET(nombres[],ROWS(nombres[])-1,0,1,1))+1),$O1548:$O1567),3),"")</f>
        <v/>
      </c>
      <c r="EE1548" s="42" t="str">
        <f t="array" aca="1" ref="EE1548" ca="1">IFERROR(INDEX(nombres[],SMALL(IF(OFFSET(nombres[],0,0,ROWS(nombres[]),1)=EE$1490,ROW(OFFSET(nombres[],0,0,ROWS(nombres[]),1))-ROW(OFFSET(nombres[],0,0,1,1))+1,ROW(OFFSET(nombres[],ROWS(nombres[])-1,0,1,1))+1),$O1548:$O1567),3),"")</f>
        <v/>
      </c>
      <c r="EF1548" s="42" t="str">
        <f t="array" aca="1" ref="EF1548" ca="1">IFERROR(INDEX(nombres[],SMALL(IF(OFFSET(nombres[],0,0,ROWS(nombres[]),1)=EF$1490,ROW(OFFSET(nombres[],0,0,ROWS(nombres[]),1))-ROW(OFFSET(nombres[],0,0,1,1))+1,ROW(OFFSET(nombres[],ROWS(nombres[])-1,0,1,1))+1),$O1548:$O1567),3),"")</f>
        <v/>
      </c>
      <c r="EG1548" s="42" t="str">
        <f t="array" aca="1" ref="EG1548" ca="1">IFERROR(INDEX(nombres[],SMALL(IF(OFFSET(nombres[],0,0,ROWS(nombres[]),1)=EG$1490,ROW(OFFSET(nombres[],0,0,ROWS(nombres[]),1))-ROW(OFFSET(nombres[],0,0,1,1))+1,ROW(OFFSET(nombres[],ROWS(nombres[])-1,0,1,1))+1),$O1548:$O1567),3),"")</f>
        <v/>
      </c>
      <c r="EH1548" s="42" t="str">
        <f t="array" aca="1" ref="EH1548" ca="1">IFERROR(INDEX(nombres[],SMALL(IF(OFFSET(nombres[],0,0,ROWS(nombres[]),1)=EH$1490,ROW(OFFSET(nombres[],0,0,ROWS(nombres[]),1))-ROW(OFFSET(nombres[],0,0,1,1))+1,ROW(OFFSET(nombres[],ROWS(nombres[])-1,0,1,1))+1),$O1548:$O1567),3),"")</f>
        <v/>
      </c>
      <c r="EI1548" s="42" t="str">
        <f t="array" aca="1" ref="EI1548" ca="1">IFERROR(INDEX(nombres[],SMALL(IF(OFFSET(nombres[],0,0,ROWS(nombres[]),1)=EI$1490,ROW(OFFSET(nombres[],0,0,ROWS(nombres[]),1))-ROW(OFFSET(nombres[],0,0,1,1))+1,ROW(OFFSET(nombres[],ROWS(nombres[])-1,0,1,1))+1),$O1548:$O1567),3),"")</f>
        <v/>
      </c>
      <c r="EJ1548" s="42" t="str">
        <f t="array" aca="1" ref="EJ1548" ca="1">IFERROR(INDEX(nombres[],SMALL(IF(OFFSET(nombres[],0,0,ROWS(nombres[]),1)=EJ$1490,ROW(OFFSET(nombres[],0,0,ROWS(nombres[]),1))-ROW(OFFSET(nombres[],0,0,1,1))+1,ROW(OFFSET(nombres[],ROWS(nombres[])-1,0,1,1))+1),$O1548:$O1567),3),"")</f>
        <v/>
      </c>
      <c r="EK1548" s="42" t="str">
        <f t="array" aca="1" ref="EK1548" ca="1">IFERROR(INDEX(nombres[],SMALL(IF(OFFSET(nombres[],0,0,ROWS(nombres[]),1)=EK$1490,ROW(OFFSET(nombres[],0,0,ROWS(nombres[]),1))-ROW(OFFSET(nombres[],0,0,1,1))+1,ROW(OFFSET(nombres[],ROWS(nombres[])-1,0,1,1))+1),$O1548:$O1567),3),"")</f>
        <v/>
      </c>
      <c r="EL1548" s="42" t="str">
        <f t="array" aca="1" ref="EL1548" ca="1">IFERROR(INDEX(nombres[],SMALL(IF(OFFSET(nombres[],0,0,ROWS(nombres[]),1)=EL$1490,ROW(OFFSET(nombres[],0,0,ROWS(nombres[]),1))-ROW(OFFSET(nombres[],0,0,1,1))+1,ROW(OFFSET(nombres[],ROWS(nombres[])-1,0,1,1))+1),$O1548:$O1567),3),"")</f>
        <v/>
      </c>
      <c r="EM1548" s="42" t="str">
        <f t="array" aca="1" ref="EM1548" ca="1">IFERROR(INDEX(nombres[],SMALL(IF(OFFSET(nombres[],0,0,ROWS(nombres[]),1)=EM$1490,ROW(OFFSET(nombres[],0,0,ROWS(nombres[]),1))-ROW(OFFSET(nombres[],0,0,1,1))+1,ROW(OFFSET(nombres[],ROWS(nombres[])-1,0,1,1))+1),$O1548:$O1567),3),"")</f>
        <v/>
      </c>
      <c r="EN1548" s="42" t="str">
        <f t="array" aca="1" ref="EN1548" ca="1">IFERROR(INDEX(nombres[],SMALL(IF(OFFSET(nombres[],0,0,ROWS(nombres[]),1)=EN$1490,ROW(OFFSET(nombres[],0,0,ROWS(nombres[]),1))-ROW(OFFSET(nombres[],0,0,1,1))+1,ROW(OFFSET(nombres[],ROWS(nombres[])-1,0,1,1))+1),$O1548:$O1567),3),"")</f>
        <v/>
      </c>
      <c r="EO1548" s="42" t="str">
        <f t="array" aca="1" ref="EO1548" ca="1">IFERROR(INDEX(nombres[],SMALL(IF(OFFSET(nombres[],0,0,ROWS(nombres[]),1)=EO$1490,ROW(OFFSET(nombres[],0,0,ROWS(nombres[]),1))-ROW(OFFSET(nombres[],0,0,1,1))+1,ROW(OFFSET(nombres[],ROWS(nombres[])-1,0,1,1))+1),$O1548:$O1567),3),"")</f>
        <v/>
      </c>
      <c r="EP1548" s="42" t="str">
        <f t="array" aca="1" ref="EP1548" ca="1">IFERROR(INDEX(nombres[],SMALL(IF(OFFSET(nombres[],0,0,ROWS(nombres[]),1)=EP$1490,ROW(OFFSET(nombres[],0,0,ROWS(nombres[]),1))-ROW(OFFSET(nombres[],0,0,1,1))+1,ROW(OFFSET(nombres[],ROWS(nombres[])-1,0,1,1))+1),$O1548:$O1567),3),"")</f>
        <v/>
      </c>
      <c r="EQ1548" s="42" t="str">
        <f t="array" aca="1" ref="EQ1548" ca="1">IFERROR(INDEX(nombres[],SMALL(IF(OFFSET(nombres[],0,0,ROWS(nombres[]),1)=EQ$1490,ROW(OFFSET(nombres[],0,0,ROWS(nombres[]),1))-ROW(OFFSET(nombres[],0,0,1,1))+1,ROW(OFFSET(nombres[],ROWS(nombres[])-1,0,1,1))+1),$O1548:$O1567),3),"")</f>
        <v/>
      </c>
      <c r="ER1548" s="42" t="str">
        <f t="array" aca="1" ref="ER1548" ca="1">IFERROR(INDEX(nombres[],SMALL(IF(OFFSET(nombres[],0,0,ROWS(nombres[]),1)=ER$1490,ROW(OFFSET(nombres[],0,0,ROWS(nombres[]),1))-ROW(OFFSET(nombres[],0,0,1,1))+1,ROW(OFFSET(nombres[],ROWS(nombres[])-1,0,1,1))+1),$O1548:$O1567),3),"")</f>
        <v/>
      </c>
      <c r="ES1548" s="42" t="str">
        <f t="array" aca="1" ref="ES1548" ca="1">IFERROR(INDEX(nombres[],SMALL(IF(OFFSET(nombres[],0,0,ROWS(nombres[]),1)=ES$1490,ROW(OFFSET(nombres[],0,0,ROWS(nombres[]),1))-ROW(OFFSET(nombres[],0,0,1,1))+1,ROW(OFFSET(nombres[],ROWS(nombres[])-1,0,1,1))+1),$O1548:$O1567),3),"")</f>
        <v/>
      </c>
      <c r="ET1548" s="42" t="str">
        <f t="array" aca="1" ref="ET1548" ca="1">IFERROR(INDEX(nombres[],SMALL(IF(OFFSET(nombres[],0,0,ROWS(nombres[]),1)=ET$1490,ROW(OFFSET(nombres[],0,0,ROWS(nombres[]),1))-ROW(OFFSET(nombres[],0,0,1,1))+1,ROW(OFFSET(nombres[],ROWS(nombres[])-1,0,1,1))+1),$O1548:$O1567),3),"")</f>
        <v/>
      </c>
      <c r="EU1548" s="42" t="str">
        <f t="array" aca="1" ref="EU1548" ca="1">IFERROR(INDEX(nombres[],SMALL(IF(OFFSET(nombres[],0,0,ROWS(nombres[]),1)=EU$1490,ROW(OFFSET(nombres[],0,0,ROWS(nombres[]),1))-ROW(OFFSET(nombres[],0,0,1,1))+1,ROW(OFFSET(nombres[],ROWS(nombres[])-1,0,1,1))+1),$O1548:$O1567),3),"")</f>
        <v/>
      </c>
      <c r="EV1548" s="42" t="str">
        <f t="array" aca="1" ref="EV1548" ca="1">IFERROR(INDEX(nombres[],SMALL(IF(OFFSET(nombres[],0,0,ROWS(nombres[]),1)=EV$1490,ROW(OFFSET(nombres[],0,0,ROWS(nombres[]),1))-ROW(OFFSET(nombres[],0,0,1,1))+1,ROW(OFFSET(nombres[],ROWS(nombres[])-1,0,1,1))+1),$O1548:$O1567),3),"")</f>
        <v/>
      </c>
      <c r="EW1548" s="42" t="str">
        <f t="array" aca="1" ref="EW1548" ca="1">IFERROR(INDEX(nombres[],SMALL(IF(OFFSET(nombres[],0,0,ROWS(nombres[]),1)=EW$1490,ROW(OFFSET(nombres[],0,0,ROWS(nombres[]),1))-ROW(OFFSET(nombres[],0,0,1,1))+1,ROW(OFFSET(nombres[],ROWS(nombres[])-1,0,1,1))+1),$O1548:$O1567),3),"")</f>
        <v/>
      </c>
      <c r="EX1548" s="42" t="str">
        <f t="array" aca="1" ref="EX1548" ca="1">IFERROR(INDEX(nombres[],SMALL(IF(OFFSET(nombres[],0,0,ROWS(nombres[]),1)=EX$1490,ROW(OFFSET(nombres[],0,0,ROWS(nombres[]),1))-ROW(OFFSET(nombres[],0,0,1,1))+1,ROW(OFFSET(nombres[],ROWS(nombres[])-1,0,1,1))+1),$O1548:$O1567),3),"")</f>
        <v/>
      </c>
      <c r="EY1548" s="42" t="str">
        <f t="array" aca="1" ref="EY1548" ca="1">IFERROR(INDEX(nombres[],SMALL(IF(OFFSET(nombres[],0,0,ROWS(nombres[]),1)=EY$1490,ROW(OFFSET(nombres[],0,0,ROWS(nombres[]),1))-ROW(OFFSET(nombres[],0,0,1,1))+1,ROW(OFFSET(nombres[],ROWS(nombres[])-1,0,1,1))+1),$O1548:$O1567),3),"")</f>
        <v/>
      </c>
      <c r="EZ1548" s="42" t="str">
        <f t="array" aca="1" ref="EZ1548" ca="1">IFERROR(INDEX(nombres[],SMALL(IF(OFFSET(nombres[],0,0,ROWS(nombres[]),1)=EZ$1490,ROW(OFFSET(nombres[],0,0,ROWS(nombres[]),1))-ROW(OFFSET(nombres[],0,0,1,1))+1,ROW(OFFSET(nombres[],ROWS(nombres[])-1,0,1,1))+1),$O1548:$O1567),3),"")</f>
        <v/>
      </c>
      <c r="FA1548" s="42" t="str">
        <f t="array" aca="1" ref="FA1548" ca="1">IFERROR(INDEX(nombres[],SMALL(IF(OFFSET(nombres[],0,0,ROWS(nombres[]),1)=FA$1490,ROW(OFFSET(nombres[],0,0,ROWS(nombres[]),1))-ROW(OFFSET(nombres[],0,0,1,1))+1,ROW(OFFSET(nombres[],ROWS(nombres[])-1,0,1,1))+1),$O1548:$O1567),3),"")</f>
        <v/>
      </c>
      <c r="FB1548" s="42" t="str">
        <f t="array" aca="1" ref="FB1548" ca="1">IFERROR(INDEX(nombres[],SMALL(IF(OFFSET(nombres[],0,0,ROWS(nombres[]),1)=FB$1490,ROW(OFFSET(nombres[],0,0,ROWS(nombres[]),1))-ROW(OFFSET(nombres[],0,0,1,1))+1,ROW(OFFSET(nombres[],ROWS(nombres[])-1,0,1,1))+1),$O1548:$O1567),3),"")</f>
        <v/>
      </c>
      <c r="FC1548" s="42" t="str">
        <f t="array" aca="1" ref="FC1548" ca="1">IFERROR(INDEX(nombres[],SMALL(IF(OFFSET(nombres[],0,0,ROWS(nombres[]),1)=FC$1490,ROW(OFFSET(nombres[],0,0,ROWS(nombres[]),1))-ROW(OFFSET(nombres[],0,0,1,1))+1,ROW(OFFSET(nombres[],ROWS(nombres[])-1,0,1,1))+1),$O1548:$O1567),3),"")</f>
        <v/>
      </c>
      <c r="FD1548" s="42" t="str">
        <f t="array" aca="1" ref="FD1548" ca="1">IFERROR(INDEX(nombres[],SMALL(IF(OFFSET(nombres[],0,0,ROWS(nombres[]),1)=FD$1490,ROW(OFFSET(nombres[],0,0,ROWS(nombres[]),1))-ROW(OFFSET(nombres[],0,0,1,1))+1,ROW(OFFSET(nombres[],ROWS(nombres[])-1,0,1,1))+1),$O1548:$O1567),3),"")</f>
        <v/>
      </c>
      <c r="FE1548" s="42" t="str">
        <f t="array" aca="1" ref="FE1548" ca="1">IFERROR(INDEX(nombres[],SMALL(IF(OFFSET(nombres[],0,0,ROWS(nombres[]),1)=FE$1490,ROW(OFFSET(nombres[],0,0,ROWS(nombres[]),1))-ROW(OFFSET(nombres[],0,0,1,1))+1,ROW(OFFSET(nombres[],ROWS(nombres[])-1,0,1,1))+1),$O1548:$O1567),3),"")</f>
        <v/>
      </c>
      <c r="FF1548" s="42" t="str">
        <f t="array" aca="1" ref="FF1548" ca="1">IFERROR(INDEX(nombres[],SMALL(IF(OFFSET(nombres[],0,0,ROWS(nombres[]),1)=FF$1490,ROW(OFFSET(nombres[],0,0,ROWS(nombres[]),1))-ROW(OFFSET(nombres[],0,0,1,1))+1,ROW(OFFSET(nombres[],ROWS(nombres[])-1,0,1,1))+1),$O1548:$O1567),3),"")</f>
        <v/>
      </c>
      <c r="FG1548" s="42" t="str">
        <f t="array" aca="1" ref="FG1548" ca="1">IFERROR(INDEX(nombres[],SMALL(IF(OFFSET(nombres[],0,0,ROWS(nombres[]),1)=FG$1490,ROW(OFFSET(nombres[],0,0,ROWS(nombres[]),1))-ROW(OFFSET(nombres[],0,0,1,1))+1,ROW(OFFSET(nombres[],ROWS(nombres[])-1,0,1,1))+1),$O1548:$O1567),3),"")</f>
        <v/>
      </c>
      <c r="FH1548" s="42" t="str">
        <f t="array" aca="1" ref="FH1548" ca="1">IFERROR(INDEX(nombres[],SMALL(IF(OFFSET(nombres[],0,0,ROWS(nombres[]),1)=FH$1490,ROW(OFFSET(nombres[],0,0,ROWS(nombres[]),1))-ROW(OFFSET(nombres[],0,0,1,1))+1,ROW(OFFSET(nombres[],ROWS(nombres[])-1,0,1,1))+1),$O1548:$O1567),3),"")</f>
        <v/>
      </c>
      <c r="FI1548" s="42" t="str">
        <f t="array" aca="1" ref="FI1548" ca="1">IFERROR(INDEX(nombres[],SMALL(IF(OFFSET(nombres[],0,0,ROWS(nombres[]),1)=FI$1490,ROW(OFFSET(nombres[],0,0,ROWS(nombres[]),1))-ROW(OFFSET(nombres[],0,0,1,1))+1,ROW(OFFSET(nombres[],ROWS(nombres[])-1,0,1,1))+1),$O1548:$O1567),3),"")</f>
        <v/>
      </c>
      <c r="FJ1548" s="42" t="str">
        <f t="array" aca="1" ref="FJ1548" ca="1">IFERROR(INDEX(nombres[],SMALL(IF(OFFSET(nombres[],0,0,ROWS(nombres[]),1)=FJ$1490,ROW(OFFSET(nombres[],0,0,ROWS(nombres[]),1))-ROW(OFFSET(nombres[],0,0,1,1))+1,ROW(OFFSET(nombres[],ROWS(nombres[])-1,0,1,1))+1),$O1548:$O1567),3),"")</f>
        <v/>
      </c>
      <c r="FK1548" s="42" t="str">
        <f t="array" aca="1" ref="FK1548" ca="1">IFERROR(INDEX(nombres[],SMALL(IF(OFFSET(nombres[],0,0,ROWS(nombres[]),1)=FK$1490,ROW(OFFSET(nombres[],0,0,ROWS(nombres[]),1))-ROW(OFFSET(nombres[],0,0,1,1))+1,ROW(OFFSET(nombres[],ROWS(nombres[])-1,0,1,1))+1),$O1548:$O1567),3),"")</f>
        <v/>
      </c>
      <c r="FL1548" s="42" t="str">
        <f t="array" aca="1" ref="FL1548" ca="1">IFERROR(INDEX(nombres[],SMALL(IF(OFFSET(nombres[],0,0,ROWS(nombres[]),1)=FL$1490,ROW(OFFSET(nombres[],0,0,ROWS(nombres[]),1))-ROW(OFFSET(nombres[],0,0,1,1))+1,ROW(OFFSET(nombres[],ROWS(nombres[])-1,0,1,1))+1),$O1548:$O1567),3),"")</f>
        <v/>
      </c>
      <c r="FM1548" s="42" t="str">
        <f t="array" aca="1" ref="FM1548" ca="1">IFERROR(INDEX(nombres[],SMALL(IF(OFFSET(nombres[],0,0,ROWS(nombres[]),1)=FM$1490,ROW(OFFSET(nombres[],0,0,ROWS(nombres[]),1))-ROW(OFFSET(nombres[],0,0,1,1))+1,ROW(OFFSET(nombres[],ROWS(nombres[])-1,0,1,1))+1),$O1548:$O1567),3),"")</f>
        <v/>
      </c>
      <c r="FN1548" s="42" t="str">
        <f t="array" aca="1" ref="FN1548" ca="1">IFERROR(INDEX(nombres[],SMALL(IF(OFFSET(nombres[],0,0,ROWS(nombres[]),1)=FN$1490,ROW(OFFSET(nombres[],0,0,ROWS(nombres[]),1))-ROW(OFFSET(nombres[],0,0,1,1))+1,ROW(OFFSET(nombres[],ROWS(nombres[])-1,0,1,1))+1),$O1548:$O1567),3),"")</f>
        <v/>
      </c>
      <c r="FO1548" s="42" t="str">
        <f t="array" aca="1" ref="FO1548" ca="1">IFERROR(INDEX(nombres[],SMALL(IF(OFFSET(nombres[],0,0,ROWS(nombres[]),1)=FO$1490,ROW(OFFSET(nombres[],0,0,ROWS(nombres[]),1))-ROW(OFFSET(nombres[],0,0,1,1))+1,ROW(OFFSET(nombres[],ROWS(nombres[])-1,0,1,1))+1),$O1548:$O1567),3),"")</f>
        <v/>
      </c>
      <c r="FP1548" s="42" t="str">
        <f t="array" aca="1" ref="FP1548" ca="1">IFERROR(INDEX(nombres[],SMALL(IF(OFFSET(nombres[],0,0,ROWS(nombres[]),1)=FP$1490,ROW(OFFSET(nombres[],0,0,ROWS(nombres[]),1))-ROW(OFFSET(nombres[],0,0,1,1))+1,ROW(OFFSET(nombres[],ROWS(nombres[])-1,0,1,1))+1),$O1548:$O1567),3),"")</f>
        <v/>
      </c>
      <c r="FQ1548" s="42" t="str">
        <f t="array" aca="1" ref="FQ1548" ca="1">IFERROR(INDEX(nombres[],SMALL(IF(OFFSET(nombres[],0,0,ROWS(nombres[]),1)=FQ$1490,ROW(OFFSET(nombres[],0,0,ROWS(nombres[]),1))-ROW(OFFSET(nombres[],0,0,1,1))+1,ROW(OFFSET(nombres[],ROWS(nombres[])-1,0,1,1))+1),$O1548:$O1567),3),"")</f>
        <v/>
      </c>
      <c r="FR1548" s="42" t="str">
        <f t="array" aca="1" ref="FR1548" ca="1">IFERROR(INDEX(nombres[],SMALL(IF(OFFSET(nombres[],0,0,ROWS(nombres[]),1)=FR$1490,ROW(OFFSET(nombres[],0,0,ROWS(nombres[]),1))-ROW(OFFSET(nombres[],0,0,1,1))+1,ROW(OFFSET(nombres[],ROWS(nombres[])-1,0,1,1))+1),$O1548:$O1567),3),"")</f>
        <v/>
      </c>
      <c r="FS1548" s="42" t="str">
        <f t="array" aca="1" ref="FS1548" ca="1">IFERROR(INDEX(nombres[],SMALL(IF(OFFSET(nombres[],0,0,ROWS(nombres[]),1)=FS$1490,ROW(OFFSET(nombres[],0,0,ROWS(nombres[]),1))-ROW(OFFSET(nombres[],0,0,1,1))+1,ROW(OFFSET(nombres[],ROWS(nombres[])-1,0,1,1))+1),$O1548:$O1567),3),"")</f>
        <v/>
      </c>
      <c r="FT1548" s="42" t="str">
        <f t="array" aca="1" ref="FT1548" ca="1">IFERROR(INDEX(nombres[],SMALL(IF(OFFSET(nombres[],0,0,ROWS(nombres[]),1)=FT$1490,ROW(OFFSET(nombres[],0,0,ROWS(nombres[]),1))-ROW(OFFSET(nombres[],0,0,1,1))+1,ROW(OFFSET(nombres[],ROWS(nombres[])-1,0,1,1))+1),$O1548:$O1567),3),"")</f>
        <v/>
      </c>
      <c r="FU1548" s="42" t="str">
        <f t="array" aca="1" ref="FU1548" ca="1">IFERROR(INDEX(nombres[],SMALL(IF(OFFSET(nombres[],0,0,ROWS(nombres[]),1)=FU$1490,ROW(OFFSET(nombres[],0,0,ROWS(nombres[]),1))-ROW(OFFSET(nombres[],0,0,1,1))+1,ROW(OFFSET(nombres[],ROWS(nombres[])-1,0,1,1))+1),$O1548:$O1567),3),"")</f>
        <v/>
      </c>
      <c r="FV1548" s="42" t="str">
        <f t="array" aca="1" ref="FV1548" ca="1">IFERROR(INDEX(nombres[],SMALL(IF(OFFSET(nombres[],0,0,ROWS(nombres[]),1)=FV$1490,ROW(OFFSET(nombres[],0,0,ROWS(nombres[]),1))-ROW(OFFSET(nombres[],0,0,1,1))+1,ROW(OFFSET(nombres[],ROWS(nombres[])-1,0,1,1))+1),$O1548:$O1567),3),"")</f>
        <v/>
      </c>
      <c r="FW1548" s="42" t="str">
        <f t="array" aca="1" ref="FW1548" ca="1">IFERROR(INDEX(nombres[],SMALL(IF(OFFSET(nombres[],0,0,ROWS(nombres[]),1)=FW$1490,ROW(OFFSET(nombres[],0,0,ROWS(nombres[]),1))-ROW(OFFSET(nombres[],0,0,1,1))+1,ROW(OFFSET(nombres[],ROWS(nombres[])-1,0,1,1))+1),$O1548:$O1567),3),"")</f>
        <v/>
      </c>
      <c r="FX1548" s="42" t="str">
        <f t="array" aca="1" ref="FX1548" ca="1">IFERROR(INDEX(nombres[],SMALL(IF(OFFSET(nombres[],0,0,ROWS(nombres[]),1)=FX$1490,ROW(OFFSET(nombres[],0,0,ROWS(nombres[]),1))-ROW(OFFSET(nombres[],0,0,1,1))+1,ROW(OFFSET(nombres[],ROWS(nombres[])-1,0,1,1))+1),$O1548:$O1567),3),"")</f>
        <v/>
      </c>
      <c r="FY1548" s="42" t="str">
        <f t="array" aca="1" ref="FY1548" ca="1">IFERROR(INDEX(nombres[],SMALL(IF(OFFSET(nombres[],0,0,ROWS(nombres[]),1)=FY$1490,ROW(OFFSET(nombres[],0,0,ROWS(nombres[]),1))-ROW(OFFSET(nombres[],0,0,1,1))+1,ROW(OFFSET(nombres[],ROWS(nombres[])-1,0,1,1))+1),$O1548:$O1567),3),"")</f>
        <v/>
      </c>
      <c r="FZ1548" s="42" t="str">
        <f t="array" aca="1" ref="FZ1548" ca="1">IFERROR(INDEX(nombres[],SMALL(IF(OFFSET(nombres[],0,0,ROWS(nombres[]),1)=FZ$1490,ROW(OFFSET(nombres[],0,0,ROWS(nombres[]),1))-ROW(OFFSET(nombres[],0,0,1,1))+1,ROW(OFFSET(nombres[],ROWS(nombres[])-1,0,1,1))+1),$O1548:$O1567),3),"")</f>
        <v/>
      </c>
      <c r="GA1548" s="42" t="str">
        <f t="array" aca="1" ref="GA1548" ca="1">IFERROR(INDEX(nombres[],SMALL(IF(OFFSET(nombres[],0,0,ROWS(nombres[]),1)=GA$1490,ROW(OFFSET(nombres[],0,0,ROWS(nombres[]),1))-ROW(OFFSET(nombres[],0,0,1,1))+1,ROW(OFFSET(nombres[],ROWS(nombres[])-1,0,1,1))+1),$O1548:$O1567),3),"")</f>
        <v/>
      </c>
      <c r="GB1548" s="42" t="str">
        <f t="array" aca="1" ref="GB1548" ca="1">IFERROR(INDEX(nombres[],SMALL(IF(OFFSET(nombres[],0,0,ROWS(nombres[]),1)=GB$1490,ROW(OFFSET(nombres[],0,0,ROWS(nombres[]),1))-ROW(OFFSET(nombres[],0,0,1,1))+1,ROW(OFFSET(nombres[],ROWS(nombres[])-1,0,1,1))+1),$O1548:$O1567),3),"")</f>
        <v/>
      </c>
      <c r="GC1548" s="42" t="str">
        <f t="array" aca="1" ref="GC1548" ca="1">IFERROR(INDEX(nombres[],SMALL(IF(OFFSET(nombres[],0,0,ROWS(nombres[]),1)=GC$1490,ROW(OFFSET(nombres[],0,0,ROWS(nombres[]),1))-ROW(OFFSET(nombres[],0,0,1,1))+1,ROW(OFFSET(nombres[],ROWS(nombres[])-1,0,1,1))+1),$O1548:$O1567),3),"")</f>
        <v/>
      </c>
      <c r="GD1548" s="42" t="str">
        <f t="array" aca="1" ref="GD1548" ca="1">IFERROR(INDEX(nombres[],SMALL(IF(OFFSET(nombres[],0,0,ROWS(nombres[]),1)=GD$1490,ROW(OFFSET(nombres[],0,0,ROWS(nombres[]),1))-ROW(OFFSET(nombres[],0,0,1,1))+1,ROW(OFFSET(nombres[],ROWS(nombres[])-1,0,1,1))+1),$O1548:$O1567),3),"")</f>
        <v/>
      </c>
      <c r="GE1548" s="42" t="str">
        <f t="array" aca="1" ref="GE1548" ca="1">IFERROR(INDEX(nombres[],SMALL(IF(OFFSET(nombres[],0,0,ROWS(nombres[]),1)=GE$1490,ROW(OFFSET(nombres[],0,0,ROWS(nombres[]),1))-ROW(OFFSET(nombres[],0,0,1,1))+1,ROW(OFFSET(nombres[],ROWS(nombres[])-1,0,1,1))+1),$O1548:$O1567),3),"")</f>
        <v/>
      </c>
      <c r="GF1548" s="42" t="str">
        <f t="array" aca="1" ref="GF1548" ca="1">IFERROR(INDEX(nombres[],SMALL(IF(OFFSET(nombres[],0,0,ROWS(nombres[]),1)=GF$1490,ROW(OFFSET(nombres[],0,0,ROWS(nombres[]),1))-ROW(OFFSET(nombres[],0,0,1,1))+1,ROW(OFFSET(nombres[],ROWS(nombres[])-1,0,1,1))+1),$O1548:$O1567),3),"")</f>
        <v/>
      </c>
      <c r="GG1548" s="42" t="str">
        <f t="array" aca="1" ref="GG1548" ca="1">IFERROR(INDEX(nombres[],SMALL(IF(OFFSET(nombres[],0,0,ROWS(nombres[]),1)=GG$1490,ROW(OFFSET(nombres[],0,0,ROWS(nombres[]),1))-ROW(OFFSET(nombres[],0,0,1,1))+1,ROW(OFFSET(nombres[],ROWS(nombres[])-1,0,1,1))+1),$O1548:$O1567),3),"")</f>
        <v/>
      </c>
      <c r="GH1548" s="42" t="str">
        <f t="array" aca="1" ref="GH1548" ca="1">IFERROR(INDEX(nombres[],SMALL(IF(OFFSET(nombres[],0,0,ROWS(nombres[]),1)=GH$1490,ROW(OFFSET(nombres[],0,0,ROWS(nombres[]),1))-ROW(OFFSET(nombres[],0,0,1,1))+1,ROW(OFFSET(nombres[],ROWS(nombres[])-1,0,1,1))+1),$O1548:$O1567),3),"")</f>
        <v/>
      </c>
      <c r="GI1548" s="42" t="str">
        <f t="array" aca="1" ref="GI1548" ca="1">IFERROR(INDEX(nombres[],SMALL(IF(OFFSET(nombres[],0,0,ROWS(nombres[]),1)=GI$1490,ROW(OFFSET(nombres[],0,0,ROWS(nombres[]),1))-ROW(OFFSET(nombres[],0,0,1,1))+1,ROW(OFFSET(nombres[],ROWS(nombres[])-1,0,1,1))+1),$O1548:$O1567),3),"")</f>
        <v/>
      </c>
      <c r="GJ1548" s="42" t="str">
        <f t="array" aca="1" ref="GJ1548" ca="1">IFERROR(INDEX(nombres[],SMALL(IF(OFFSET(nombres[],0,0,ROWS(nombres[]),1)=GJ$1490,ROW(OFFSET(nombres[],0,0,ROWS(nombres[]),1))-ROW(OFFSET(nombres[],0,0,1,1))+1,ROW(OFFSET(nombres[],ROWS(nombres[])-1,0,1,1))+1),$O1548:$O1567),3),"")</f>
        <v/>
      </c>
      <c r="GK1548" s="42" t="str">
        <f t="array" aca="1" ref="GK1548" ca="1">IFERROR(INDEX(nombres[],SMALL(IF(OFFSET(nombres[],0,0,ROWS(nombres[]),1)=GK$1490,ROW(OFFSET(nombres[],0,0,ROWS(nombres[]),1))-ROW(OFFSET(nombres[],0,0,1,1))+1,ROW(OFFSET(nombres[],ROWS(nombres[])-1,0,1,1))+1),$O1548:$O1567),3),"")</f>
        <v/>
      </c>
      <c r="GL1548" s="42" t="str">
        <f t="array" aca="1" ref="GL1548" ca="1">IFERROR(INDEX(nombres[],SMALL(IF(OFFSET(nombres[],0,0,ROWS(nombres[]),1)=GL$1490,ROW(OFFSET(nombres[],0,0,ROWS(nombres[]),1))-ROW(OFFSET(nombres[],0,0,1,1))+1,ROW(OFFSET(nombres[],ROWS(nombres[])-1,0,1,1))+1),$O1548:$O1567),3),"")</f>
        <v/>
      </c>
      <c r="GM1548" s="42" t="str">
        <f t="array" aca="1" ref="GM1548" ca="1">IFERROR(INDEX(nombres[],SMALL(IF(OFFSET(nombres[],0,0,ROWS(nombres[]),1)=GM$1490,ROW(OFFSET(nombres[],0,0,ROWS(nombres[]),1))-ROW(OFFSET(nombres[],0,0,1,1))+1,ROW(OFFSET(nombres[],ROWS(nombres[])-1,0,1,1))+1),$O1548:$O1567),3),"")</f>
        <v/>
      </c>
      <c r="GN1548" s="42" t="str">
        <f t="array" aca="1" ref="GN1548" ca="1">IFERROR(INDEX(nombres[],SMALL(IF(OFFSET(nombres[],0,0,ROWS(nombres[]),1)=GN$1490,ROW(OFFSET(nombres[],0,0,ROWS(nombres[]),1))-ROW(OFFSET(nombres[],0,0,1,1))+1,ROW(OFFSET(nombres[],ROWS(nombres[])-1,0,1,1))+1),$O1548:$O1567),3),"")</f>
        <v/>
      </c>
      <c r="GO1548" s="42" t="str">
        <f t="array" aca="1" ref="GO1548" ca="1">IFERROR(INDEX(nombres[],SMALL(IF(OFFSET(nombres[],0,0,ROWS(nombres[]),1)=GO$1490,ROW(OFFSET(nombres[],0,0,ROWS(nombres[]),1))-ROW(OFFSET(nombres[],0,0,1,1))+1,ROW(OFFSET(nombres[],ROWS(nombres[])-1,0,1,1))+1),$O1548:$O1567),3),"")</f>
        <v/>
      </c>
      <c r="GP1548" s="42" t="str">
        <f t="array" aca="1" ref="GP1548" ca="1">IFERROR(INDEX(nombres[],SMALL(IF(OFFSET(nombres[],0,0,ROWS(nombres[]),1)=GP$1490,ROW(OFFSET(nombres[],0,0,ROWS(nombres[]),1))-ROW(OFFSET(nombres[],0,0,1,1))+1,ROW(OFFSET(nombres[],ROWS(nombres[])-1,0,1,1))+1),$O1548:$O1567),3),"")</f>
        <v/>
      </c>
      <c r="GQ1548" s="42" t="str">
        <f t="array" aca="1" ref="GQ1548" ca="1">IFERROR(INDEX(nombres[],SMALL(IF(OFFSET(nombres[],0,0,ROWS(nombres[]),1)=GQ$1490,ROW(OFFSET(nombres[],0,0,ROWS(nombres[]),1))-ROW(OFFSET(nombres[],0,0,1,1))+1,ROW(OFFSET(nombres[],ROWS(nombres[])-1,0,1,1))+1),$O1548:$O1567),3),"")</f>
        <v/>
      </c>
      <c r="GR1548" s="42" t="str">
        <f t="array" aca="1" ref="GR1548" ca="1">IFERROR(INDEX(nombres[],SMALL(IF(OFFSET(nombres[],0,0,ROWS(nombres[]),1)=GR$1490,ROW(OFFSET(nombres[],0,0,ROWS(nombres[]),1))-ROW(OFFSET(nombres[],0,0,1,1))+1,ROW(OFFSET(nombres[],ROWS(nombres[])-1,0,1,1))+1),$O1548:$O1567),3),"")</f>
        <v/>
      </c>
      <c r="GS1548" s="42" t="str">
        <f t="array" aca="1" ref="GS1548" ca="1">IFERROR(INDEX(nombres[],SMALL(IF(OFFSET(nombres[],0,0,ROWS(nombres[]),1)=GS$1490,ROW(OFFSET(nombres[],0,0,ROWS(nombres[]),1))-ROW(OFFSET(nombres[],0,0,1,1))+1,ROW(OFFSET(nombres[],ROWS(nombres[])-1,0,1,1))+1),$O1548:$O1567),3),"")</f>
        <v/>
      </c>
      <c r="GT1548" s="42" t="str">
        <f t="array" aca="1" ref="GT1548" ca="1">IFERROR(INDEX(nombres[],SMALL(IF(OFFSET(nombres[],0,0,ROWS(nombres[]),1)=GT$1490,ROW(OFFSET(nombres[],0,0,ROWS(nombres[]),1))-ROW(OFFSET(nombres[],0,0,1,1))+1,ROW(OFFSET(nombres[],ROWS(nombres[])-1,0,1,1))+1),$O1548:$O1567),3),"")</f>
        <v/>
      </c>
      <c r="GU1548" s="42" t="str">
        <f t="array" aca="1" ref="GU1548" ca="1">IFERROR(INDEX(nombres[],SMALL(IF(OFFSET(nombres[],0,0,ROWS(nombres[]),1)=GU$1490,ROW(OFFSET(nombres[],0,0,ROWS(nombres[]),1))-ROW(OFFSET(nombres[],0,0,1,1))+1,ROW(OFFSET(nombres[],ROWS(nombres[])-1,0,1,1))+1),$O1548:$O1567),3),"")</f>
        <v/>
      </c>
      <c r="GV1548" s="42" t="str">
        <f t="array" aca="1" ref="GV1548" ca="1">IFERROR(INDEX(nombres[],SMALL(IF(OFFSET(nombres[],0,0,ROWS(nombres[]),1)=GV$1490,ROW(OFFSET(nombres[],0,0,ROWS(nombres[]),1))-ROW(OFFSET(nombres[],0,0,1,1))+1,ROW(OFFSET(nombres[],ROWS(nombres[])-1,0,1,1))+1),$O1548:$O1567),3),"")</f>
        <v/>
      </c>
      <c r="GW1548" s="42" t="str">
        <f t="array" aca="1" ref="GW1548" ca="1">IFERROR(INDEX(nombres[],SMALL(IF(OFFSET(nombres[],0,0,ROWS(nombres[]),1)=GW$1490,ROW(OFFSET(nombres[],0,0,ROWS(nombres[]),1))-ROW(OFFSET(nombres[],0,0,1,1))+1,ROW(OFFSET(nombres[],ROWS(nombres[])-1,0,1,1))+1),$O1548:$O1567),3),"")</f>
        <v/>
      </c>
      <c r="GX1548" s="42" t="str">
        <f t="array" aca="1" ref="GX1548" ca="1">IFERROR(INDEX(nombres[],SMALL(IF(OFFSET(nombres[],0,0,ROWS(nombres[]),1)=GX$1490,ROW(OFFSET(nombres[],0,0,ROWS(nombres[]),1))-ROW(OFFSET(nombres[],0,0,1,1))+1,ROW(OFFSET(nombres[],ROWS(nombres[])-1,0,1,1))+1),$O1548:$O1567),3),"")</f>
        <v/>
      </c>
      <c r="GY1548" s="42" t="str">
        <f t="array" aca="1" ref="GY1548" ca="1">IFERROR(INDEX(nombres[],SMALL(IF(OFFSET(nombres[],0,0,ROWS(nombres[]),1)=GY$1490,ROW(OFFSET(nombres[],0,0,ROWS(nombres[]),1))-ROW(OFFSET(nombres[],0,0,1,1))+1,ROW(OFFSET(nombres[],ROWS(nombres[])-1,0,1,1))+1),$O1548:$O1567),3),"")</f>
        <v/>
      </c>
      <c r="GZ1548" s="42" t="str">
        <f t="array" aca="1" ref="GZ1548" ca="1">IFERROR(INDEX(nombres[],SMALL(IF(OFFSET(nombres[],0,0,ROWS(nombres[]),1)=GZ$1490,ROW(OFFSET(nombres[],0,0,ROWS(nombres[]),1))-ROW(OFFSET(nombres[],0,0,1,1))+1,ROW(OFFSET(nombres[],ROWS(nombres[])-1,0,1,1))+1),$O1548:$O1567),3),"")</f>
        <v/>
      </c>
      <c r="HA1548" s="42" t="str">
        <f t="array" aca="1" ref="HA1548" ca="1">IFERROR(INDEX(nombres[],SMALL(IF(OFFSET(nombres[],0,0,ROWS(nombres[]),1)=HA$1490,ROW(OFFSET(nombres[],0,0,ROWS(nombres[]),1))-ROW(OFFSET(nombres[],0,0,1,1))+1,ROW(OFFSET(nombres[],ROWS(nombres[])-1,0,1,1))+1),$O1548:$O1567),3),"")</f>
        <v/>
      </c>
      <c r="HB1548" s="42" t="str">
        <f t="array" aca="1" ref="HB1548" ca="1">IFERROR(INDEX(nombres[],SMALL(IF(OFFSET(nombres[],0,0,ROWS(nombres[]),1)=HB$1490,ROW(OFFSET(nombres[],0,0,ROWS(nombres[]),1))-ROW(OFFSET(nombres[],0,0,1,1))+1,ROW(OFFSET(nombres[],ROWS(nombres[])-1,0,1,1))+1),$O1548:$O1567),3),"")</f>
        <v/>
      </c>
      <c r="HC1548" s="42" t="str">
        <f t="array" aca="1" ref="HC1548" ca="1">IFERROR(INDEX(nombres[],SMALL(IF(OFFSET(nombres[],0,0,ROWS(nombres[]),1)=HC$1490,ROW(OFFSET(nombres[],0,0,ROWS(nombres[]),1))-ROW(OFFSET(nombres[],0,0,1,1))+1,ROW(OFFSET(nombres[],ROWS(nombres[])-1,0,1,1))+1),$O1548:$O1567),3),"")</f>
        <v/>
      </c>
      <c r="HD1548" s="42" t="str">
        <f t="array" aca="1" ref="HD1548" ca="1">IFERROR(INDEX(nombres[],SMALL(IF(OFFSET(nombres[],0,0,ROWS(nombres[]),1)=HD$1490,ROW(OFFSET(nombres[],0,0,ROWS(nombres[]),1))-ROW(OFFSET(nombres[],0,0,1,1))+1,ROW(OFFSET(nombres[],ROWS(nombres[])-1,0,1,1))+1),$O1548:$O1567),3),"")</f>
        <v/>
      </c>
      <c r="HE1548" s="42" t="str">
        <f t="array" aca="1" ref="HE1548" ca="1">IFERROR(INDEX(nombres[],SMALL(IF(OFFSET(nombres[],0,0,ROWS(nombres[]),1)=HE$1490,ROW(OFFSET(nombres[],0,0,ROWS(nombres[]),1))-ROW(OFFSET(nombres[],0,0,1,1))+1,ROW(OFFSET(nombres[],ROWS(nombres[])-1,0,1,1))+1),$O1548:$O1567),3),"")</f>
        <v/>
      </c>
      <c r="HF1548" s="42" t="str">
        <f t="array" aca="1" ref="HF1548" ca="1">IFERROR(INDEX(nombres[],SMALL(IF(OFFSET(nombres[],0,0,ROWS(nombres[]),1)=HF$1490,ROW(OFFSET(nombres[],0,0,ROWS(nombres[]),1))-ROW(OFFSET(nombres[],0,0,1,1))+1,ROW(OFFSET(nombres[],ROWS(nombres[])-1,0,1,1))+1),$O1548:$O1567),3),"")</f>
        <v/>
      </c>
      <c r="HG1548" s="42" t="str">
        <f t="array" aca="1" ref="HG1548" ca="1">IFERROR(INDEX(nombres[],SMALL(IF(OFFSET(nombres[],0,0,ROWS(nombres[]),1)=HG$1490,ROW(OFFSET(nombres[],0,0,ROWS(nombres[]),1))-ROW(OFFSET(nombres[],0,0,1,1))+1,ROW(OFFSET(nombres[],ROWS(nombres[])-1,0,1,1))+1),$O1548:$O1567),3),"")</f>
        <v/>
      </c>
      <c r="HH1548" s="42" t="str">
        <f t="array" aca="1" ref="HH1548" ca="1">IFERROR(INDEX(nombres[],SMALL(IF(OFFSET(nombres[],0,0,ROWS(nombres[]),1)=HH$1490,ROW(OFFSET(nombres[],0,0,ROWS(nombres[]),1))-ROW(OFFSET(nombres[],0,0,1,1))+1,ROW(OFFSET(nombres[],ROWS(nombres[])-1,0,1,1))+1),$O1548:$O1567),3),"")</f>
        <v/>
      </c>
      <c r="HI1548" s="42" t="str">
        <f t="array" aca="1" ref="HI1548" ca="1">IFERROR(INDEX(nombres[],SMALL(IF(OFFSET(nombres[],0,0,ROWS(nombres[]),1)=HI$1490,ROW(OFFSET(nombres[],0,0,ROWS(nombres[]),1))-ROW(OFFSET(nombres[],0,0,1,1))+1,ROW(OFFSET(nombres[],ROWS(nombres[])-1,0,1,1))+1),$O1548:$O1567),3),"")</f>
        <v/>
      </c>
      <c r="HJ1548" s="42" t="str">
        <f t="array" aca="1" ref="HJ1548" ca="1">IFERROR(INDEX(nombres[],SMALL(IF(OFFSET(nombres[],0,0,ROWS(nombres[]),1)=HJ$1490,ROW(OFFSET(nombres[],0,0,ROWS(nombres[]),1))-ROW(OFFSET(nombres[],0,0,1,1))+1,ROW(OFFSET(nombres[],ROWS(nombres[])-1,0,1,1))+1),$O1548:$O1567),3),"")</f>
        <v/>
      </c>
      <c r="HK1548" s="42" t="str">
        <f t="array" aca="1" ref="HK1548" ca="1">IFERROR(INDEX(nombres[],SMALL(IF(OFFSET(nombres[],0,0,ROWS(nombres[]),1)=HK$1490,ROW(OFFSET(nombres[],0,0,ROWS(nombres[]),1))-ROW(OFFSET(nombres[],0,0,1,1))+1,ROW(OFFSET(nombres[],ROWS(nombres[])-1,0,1,1))+1),$O1548:$O1567),3),"")</f>
        <v/>
      </c>
      <c r="HL1548" s="42" t="str">
        <f t="array" aca="1" ref="HL1548" ca="1">IFERROR(INDEX(nombres[],SMALL(IF(OFFSET(nombres[],0,0,ROWS(nombres[]),1)=HL$1490,ROW(OFFSET(nombres[],0,0,ROWS(nombres[]),1))-ROW(OFFSET(nombres[],0,0,1,1))+1,ROW(OFFSET(nombres[],ROWS(nombres[])-1,0,1,1))+1),$O1548:$O1567),3),"")</f>
        <v/>
      </c>
      <c r="HM1548" s="42" t="str">
        <f t="array" aca="1" ref="HM1548" ca="1">IFERROR(INDEX(nombres[],SMALL(IF(OFFSET(nombres[],0,0,ROWS(nombres[]),1)=HM$1490,ROW(OFFSET(nombres[],0,0,ROWS(nombres[]),1))-ROW(OFFSET(nombres[],0,0,1,1))+1,ROW(OFFSET(nombres[],ROWS(nombres[])-1,0,1,1))+1),$O1548:$O1567),3),"")</f>
        <v/>
      </c>
      <c r="HN1548" s="42" t="str">
        <f t="array" aca="1" ref="HN1548" ca="1">IFERROR(INDEX(nombres[],SMALL(IF(OFFSET(nombres[],0,0,ROWS(nombres[]),1)=HN$1490,ROW(OFFSET(nombres[],0,0,ROWS(nombres[]),1))-ROW(OFFSET(nombres[],0,0,1,1))+1,ROW(OFFSET(nombres[],ROWS(nombres[])-1,0,1,1))+1),$O1548:$O1567),3),"")</f>
        <v/>
      </c>
      <c r="HO1548" s="42" t="str">
        <f t="array" aca="1" ref="HO1548" ca="1">IFERROR(INDEX(nombres[],SMALL(IF(OFFSET(nombres[],0,0,ROWS(nombres[]),1)=HO$1490,ROW(OFFSET(nombres[],0,0,ROWS(nombres[]),1))-ROW(OFFSET(nombres[],0,0,1,1))+1,ROW(OFFSET(nombres[],ROWS(nombres[])-1,0,1,1))+1),$O1548:$O1567),3),"")</f>
        <v/>
      </c>
      <c r="HP1548" s="42" t="str">
        <f t="array" aca="1" ref="HP1548" ca="1">IFERROR(INDEX(nombres[],SMALL(IF(OFFSET(nombres[],0,0,ROWS(nombres[]),1)=HP$1490,ROW(OFFSET(nombres[],0,0,ROWS(nombres[]),1))-ROW(OFFSET(nombres[],0,0,1,1))+1,ROW(OFFSET(nombres[],ROWS(nombres[])-1,0,1,1))+1),$O1548:$O1567),3),"")</f>
        <v/>
      </c>
      <c r="HQ1548" s="42" t="str">
        <f t="array" aca="1" ref="HQ1548" ca="1">IFERROR(INDEX(nombres[],SMALL(IF(OFFSET(nombres[],0,0,ROWS(nombres[]),1)=HQ$1490,ROW(OFFSET(nombres[],0,0,ROWS(nombres[]),1))-ROW(OFFSET(nombres[],0,0,1,1))+1,ROW(OFFSET(nombres[],ROWS(nombres[])-1,0,1,1))+1),$O1548:$O1567),3),"")</f>
        <v/>
      </c>
      <c r="HR1548" s="42" t="str">
        <f t="array" aca="1" ref="HR1548" ca="1">IFERROR(INDEX(nombres[],SMALL(IF(OFFSET(nombres[],0,0,ROWS(nombres[]),1)=HR$1490,ROW(OFFSET(nombres[],0,0,ROWS(nombres[]),1))-ROW(OFFSET(nombres[],0,0,1,1))+1,ROW(OFFSET(nombres[],ROWS(nombres[])-1,0,1,1))+1),$O1548:$O1567),3),"")</f>
        <v/>
      </c>
      <c r="HS1548" s="42" t="str">
        <f t="array" aca="1" ref="HS1548" ca="1">IFERROR(INDEX(nombres[],SMALL(IF(OFFSET(nombres[],0,0,ROWS(nombres[]),1)=HS$1490,ROW(OFFSET(nombres[],0,0,ROWS(nombres[]),1))-ROW(OFFSET(nombres[],0,0,1,1))+1,ROW(OFFSET(nombres[],ROWS(nombres[])-1,0,1,1))+1),$O1548:$O1567),3),"")</f>
        <v/>
      </c>
      <c r="HT1548" s="42" t="str">
        <f t="array" aca="1" ref="HT1548" ca="1">IFERROR(INDEX(nombres[],SMALL(IF(OFFSET(nombres[],0,0,ROWS(nombres[]),1)=HT$1490,ROW(OFFSET(nombres[],0,0,ROWS(nombres[]),1))-ROW(OFFSET(nombres[],0,0,1,1))+1,ROW(OFFSET(nombres[],ROWS(nombres[])-1,0,1,1))+1),$O1548:$O1567),3),"")</f>
        <v/>
      </c>
      <c r="HU1548" s="42" t="str">
        <f t="array" aca="1" ref="HU1548" ca="1">IFERROR(INDEX(nombres[],SMALL(IF(OFFSET(nombres[],0,0,ROWS(nombres[]),1)=HU$1490,ROW(OFFSET(nombres[],0,0,ROWS(nombres[]),1))-ROW(OFFSET(nombres[],0,0,1,1))+1,ROW(OFFSET(nombres[],ROWS(nombres[])-1,0,1,1))+1),$O1548:$O1567),3),"")</f>
        <v/>
      </c>
      <c r="HV1548" s="42" t="str">
        <f t="array" aca="1" ref="HV1548" ca="1">IFERROR(INDEX(nombres[],SMALL(IF(OFFSET(nombres[],0,0,ROWS(nombres[]),1)=HV$1490,ROW(OFFSET(nombres[],0,0,ROWS(nombres[]),1))-ROW(OFFSET(nombres[],0,0,1,1))+1,ROW(OFFSET(nombres[],ROWS(nombres[])-1,0,1,1))+1),$O1548:$O1567),3),"")</f>
        <v/>
      </c>
      <c r="HW1548" s="42" t="str">
        <f t="array" aca="1" ref="HW1548" ca="1">IFERROR(INDEX(nombres[],SMALL(IF(OFFSET(nombres[],0,0,ROWS(nombres[]),1)=HW$1490,ROW(OFFSET(nombres[],0,0,ROWS(nombres[]),1))-ROW(OFFSET(nombres[],0,0,1,1))+1,ROW(OFFSET(nombres[],ROWS(nombres[])-1,0,1,1))+1),$O1548:$O1567),3),"")</f>
        <v/>
      </c>
      <c r="HX1548" s="42" t="str">
        <f t="array" aca="1" ref="HX1548" ca="1">IFERROR(INDEX(nombres[],SMALL(IF(OFFSET(nombres[],0,0,ROWS(nombres[]),1)=HX$1490,ROW(OFFSET(nombres[],0,0,ROWS(nombres[]),1))-ROW(OFFSET(nombres[],0,0,1,1))+1,ROW(OFFSET(nombres[],ROWS(nombres[])-1,0,1,1))+1),$O1548:$O1567),3),"")</f>
        <v/>
      </c>
      <c r="HY1548" s="42" t="str">
        <f t="array" aca="1" ref="HY1548" ca="1">IFERROR(INDEX(nombres[],SMALL(IF(OFFSET(nombres[],0,0,ROWS(nombres[]),1)=HY$1490,ROW(OFFSET(nombres[],0,0,ROWS(nombres[]),1))-ROW(OFFSET(nombres[],0,0,1,1))+1,ROW(OFFSET(nombres[],ROWS(nombres[])-1,0,1,1))+1),$O1548:$O1567),3),"")</f>
        <v/>
      </c>
      <c r="HZ1548" s="42" t="str">
        <f t="array" aca="1" ref="HZ1548" ca="1">IFERROR(INDEX(nombres[],SMALL(IF(OFFSET(nombres[],0,0,ROWS(nombres[]),1)=HZ$1490,ROW(OFFSET(nombres[],0,0,ROWS(nombres[]),1))-ROW(OFFSET(nombres[],0,0,1,1))+1,ROW(OFFSET(nombres[],ROWS(nombres[])-1,0,1,1))+1),$O1548:$O1567),3),"")</f>
        <v/>
      </c>
      <c r="IA1548" s="42" t="str">
        <f t="array" aca="1" ref="IA1548" ca="1">IFERROR(INDEX(nombres[],SMALL(IF(OFFSET(nombres[],0,0,ROWS(nombres[]),1)=IA$1490,ROW(OFFSET(nombres[],0,0,ROWS(nombres[]),1))-ROW(OFFSET(nombres[],0,0,1,1))+1,ROW(OFFSET(nombres[],ROWS(nombres[])-1,0,1,1))+1),$O1548:$O1567),3),"")</f>
        <v/>
      </c>
      <c r="IB1548" s="42" t="str">
        <f t="array" aca="1" ref="IB1548" ca="1">IFERROR(INDEX(nombres[],SMALL(IF(OFFSET(nombres[],0,0,ROWS(nombres[]),1)=IB$1490,ROW(OFFSET(nombres[],0,0,ROWS(nombres[]),1))-ROW(OFFSET(nombres[],0,0,1,1))+1,ROW(OFFSET(nombres[],ROWS(nombres[])-1,0,1,1))+1),$O1548:$O1567),3),"")</f>
        <v/>
      </c>
      <c r="IC1548" s="42" t="str">
        <f t="array" aca="1" ref="IC1548" ca="1">IFERROR(INDEX(nombres[],SMALL(IF(OFFSET(nombres[],0,0,ROWS(nombres[]),1)=IC$1490,ROW(OFFSET(nombres[],0,0,ROWS(nombres[]),1))-ROW(OFFSET(nombres[],0,0,1,1))+1,ROW(OFFSET(nombres[],ROWS(nombres[])-1,0,1,1))+1),$O1548:$O1567),3),"")</f>
        <v/>
      </c>
      <c r="ID1548" s="42" t="str">
        <f t="array" aca="1" ref="ID1548" ca="1">IFERROR(INDEX(nombres[],SMALL(IF(OFFSET(nombres[],0,0,ROWS(nombres[]),1)=ID$1490,ROW(OFFSET(nombres[],0,0,ROWS(nombres[]),1))-ROW(OFFSET(nombres[],0,0,1,1))+1,ROW(OFFSET(nombres[],ROWS(nombres[])-1,0,1,1))+1),$O1548:$O1567),3),"")</f>
        <v/>
      </c>
      <c r="IE1548" s="42" t="str">
        <f t="array" aca="1" ref="IE1548" ca="1">IFERROR(INDEX(nombres[],SMALL(IF(OFFSET(nombres[],0,0,ROWS(nombres[]),1)=IE$1490,ROW(OFFSET(nombres[],0,0,ROWS(nombres[]),1))-ROW(OFFSET(nombres[],0,0,1,1))+1,ROW(OFFSET(nombres[],ROWS(nombres[])-1,0,1,1))+1),$O1548:$O1567),3),"")</f>
        <v/>
      </c>
      <c r="IF1548" s="42" t="str">
        <f t="array" aca="1" ref="IF1548" ca="1">IFERROR(INDEX(nombres[],SMALL(IF(OFFSET(nombres[],0,0,ROWS(nombres[]),1)=IF$1490,ROW(OFFSET(nombres[],0,0,ROWS(nombres[]),1))-ROW(OFFSET(nombres[],0,0,1,1))+1,ROW(OFFSET(nombres[],ROWS(nombres[])-1,0,1,1))+1),$O1548:$O1567),3),"")</f>
        <v/>
      </c>
      <c r="IG1548" s="42" t="str">
        <f t="array" aca="1" ref="IG1548" ca="1">IFERROR(INDEX(nombres[],SMALL(IF(OFFSET(nombres[],0,0,ROWS(nombres[]),1)=IG$1490,ROW(OFFSET(nombres[],0,0,ROWS(nombres[]),1))-ROW(OFFSET(nombres[],0,0,1,1))+1,ROW(OFFSET(nombres[],ROWS(nombres[])-1,0,1,1))+1),$O1548:$O1567),3),"")</f>
        <v/>
      </c>
      <c r="IH1548" s="42" t="str">
        <f t="array" aca="1" ref="IH1548" ca="1">IFERROR(INDEX(nombres[],SMALL(IF(OFFSET(nombres[],0,0,ROWS(nombres[]),1)=IH$1490,ROW(OFFSET(nombres[],0,0,ROWS(nombres[]),1))-ROW(OFFSET(nombres[],0,0,1,1))+1,ROW(OFFSET(nombres[],ROWS(nombres[])-1,0,1,1))+1),$O1548:$O1567),3),"")</f>
        <v/>
      </c>
      <c r="II1548" s="42" t="str">
        <f t="array" aca="1" ref="II1548" ca="1">IFERROR(INDEX(nombres[],SMALL(IF(OFFSET(nombres[],0,0,ROWS(nombres[]),1)=II$1490,ROW(OFFSET(nombres[],0,0,ROWS(nombres[]),1))-ROW(OFFSET(nombres[],0,0,1,1))+1,ROW(OFFSET(nombres[],ROWS(nombres[])-1,0,1,1))+1),$O1548:$O1567),3),"")</f>
        <v/>
      </c>
      <c r="IJ1548" s="42" t="str">
        <f t="array" aca="1" ref="IJ1548" ca="1">IFERROR(INDEX(nombres[],SMALL(IF(OFFSET(nombres[],0,0,ROWS(nombres[]),1)=IJ$1490,ROW(OFFSET(nombres[],0,0,ROWS(nombres[]),1))-ROW(OFFSET(nombres[],0,0,1,1))+1,ROW(OFFSET(nombres[],ROWS(nombres[])-1,0,1,1))+1),$O1548:$O1567),3),"")</f>
        <v/>
      </c>
      <c r="IK1548" s="42" t="str">
        <f t="array" aca="1" ref="IK1548" ca="1">IFERROR(INDEX(nombres[],SMALL(IF(OFFSET(nombres[],0,0,ROWS(nombres[]),1)=IK$1490,ROW(OFFSET(nombres[],0,0,ROWS(nombres[]),1))-ROW(OFFSET(nombres[],0,0,1,1))+1,ROW(OFFSET(nombres[],ROWS(nombres[])-1,0,1,1))+1),$O1548:$O1567),3),"")</f>
        <v/>
      </c>
      <c r="IL1548" s="42" t="str">
        <f t="array" aca="1" ref="IL1548" ca="1">IFERROR(INDEX(nombres[],SMALL(IF(OFFSET(nombres[],0,0,ROWS(nombres[]),1)=IL$1490,ROW(OFFSET(nombres[],0,0,ROWS(nombres[]),1))-ROW(OFFSET(nombres[],0,0,1,1))+1,ROW(OFFSET(nombres[],ROWS(nombres[])-1,0,1,1))+1),$O1548:$O1567),3),"")</f>
        <v/>
      </c>
      <c r="IM1548" s="42" t="str">
        <f t="array" aca="1" ref="IM1548" ca="1">IFERROR(INDEX(nombres[],SMALL(IF(OFFSET(nombres[],0,0,ROWS(nombres[]),1)=IM$1490,ROW(OFFSET(nombres[],0,0,ROWS(nombres[]),1))-ROW(OFFSET(nombres[],0,0,1,1))+1,ROW(OFFSET(nombres[],ROWS(nombres[])-1,0,1,1))+1),$O1548:$O1567),3),"")</f>
        <v/>
      </c>
      <c r="IN1548" s="42" t="str">
        <f t="array" aca="1" ref="IN1548" ca="1">IFERROR(INDEX(nombres[],SMALL(IF(OFFSET(nombres[],0,0,ROWS(nombres[]),1)=IN$1490,ROW(OFFSET(nombres[],0,0,ROWS(nombres[]),1))-ROW(OFFSET(nombres[],0,0,1,1))+1,ROW(OFFSET(nombres[],ROWS(nombres[])-1,0,1,1))+1),$O1548:$O1567),3),"")</f>
        <v/>
      </c>
      <c r="IO1548" s="42" t="str">
        <f t="array" aca="1" ref="IO1548" ca="1">IFERROR(INDEX(nombres[],SMALL(IF(OFFSET(nombres[],0,0,ROWS(nombres[]),1)=IO$1490,ROW(OFFSET(nombres[],0,0,ROWS(nombres[]),1))-ROW(OFFSET(nombres[],0,0,1,1))+1,ROW(OFFSET(nombres[],ROWS(nombres[])-1,0,1,1))+1),$O1548:$O1567),3),"")</f>
        <v/>
      </c>
      <c r="IP1548" s="42" t="str">
        <f t="array" aca="1" ref="IP1548" ca="1">IFERROR(INDEX(nombres[],SMALL(IF(OFFSET(nombres[],0,0,ROWS(nombres[]),1)=IP$1490,ROW(OFFSET(nombres[],0,0,ROWS(nombres[]),1))-ROW(OFFSET(nombres[],0,0,1,1))+1,ROW(OFFSET(nombres[],ROWS(nombres[])-1,0,1,1))+1),$O1548:$O1567),3),"")</f>
        <v/>
      </c>
      <c r="IQ1548" s="42" t="str">
        <f t="array" aca="1" ref="IQ1548" ca="1">IFERROR(INDEX(nombres[],SMALL(IF(OFFSET(nombres[],0,0,ROWS(nombres[]),1)=IQ$1490,ROW(OFFSET(nombres[],0,0,ROWS(nombres[]),1))-ROW(OFFSET(nombres[],0,0,1,1))+1,ROW(OFFSET(nombres[],ROWS(nombres[])-1,0,1,1))+1),$O1548:$O1567),3),"")</f>
        <v/>
      </c>
      <c r="IR1548" s="42" t="str">
        <f t="array" aca="1" ref="IR1548" ca="1">IFERROR(INDEX(nombres[],SMALL(IF(OFFSET(nombres[],0,0,ROWS(nombres[]),1)=IR$1490,ROW(OFFSET(nombres[],0,0,ROWS(nombres[]),1))-ROW(OFFSET(nombres[],0,0,1,1))+1,ROW(OFFSET(nombres[],ROWS(nombres[])-1,0,1,1))+1),$O1548:$O1567),3),"")</f>
        <v/>
      </c>
      <c r="IS1548" s="42" t="str">
        <f t="array" aca="1" ref="IS1548" ca="1">IFERROR(INDEX(nombres[],SMALL(IF(OFFSET(nombres[],0,0,ROWS(nombres[]),1)=IS$1490,ROW(OFFSET(nombres[],0,0,ROWS(nombres[]),1))-ROW(OFFSET(nombres[],0,0,1,1))+1,ROW(OFFSET(nombres[],ROWS(nombres[])-1,0,1,1))+1),$O1548:$O1567),3),"")</f>
        <v/>
      </c>
      <c r="IT1548" s="42" t="str">
        <f t="array" aca="1" ref="IT1548" ca="1">IFERROR(INDEX(nombres[],SMALL(IF(OFFSET(nombres[],0,0,ROWS(nombres[]),1)=IT$1490,ROW(OFFSET(nombres[],0,0,ROWS(nombres[]),1))-ROW(OFFSET(nombres[],0,0,1,1))+1,ROW(OFFSET(nombres[],ROWS(nombres[])-1,0,1,1))+1),$O1548:$O1567),3),"")</f>
        <v/>
      </c>
      <c r="IU1548" s="42" t="str">
        <f t="array" aca="1" ref="IU1548" ca="1">IFERROR(INDEX(nombres[],SMALL(IF(OFFSET(nombres[],0,0,ROWS(nombres[]),1)=IU$1490,ROW(OFFSET(nombres[],0,0,ROWS(nombres[]),1))-ROW(OFFSET(nombres[],0,0,1,1))+1,ROW(OFFSET(nombres[],ROWS(nombres[])-1,0,1,1))+1),$O1548:$O1567),3),"")</f>
        <v/>
      </c>
      <c r="IV1548" s="42" t="str">
        <f t="array" aca="1" ref="IV1548" ca="1">IFERROR(INDEX(nombres[],SMALL(IF(OFFSET(nombres[],0,0,ROWS(nombres[]),1)=IV$1490,ROW(OFFSET(nombres[],0,0,ROWS(nombres[]),1))-ROW(OFFSET(nombres[],0,0,1,1))+1,ROW(OFFSET(nombres[],ROWS(nombres[])-1,0,1,1))+1),$O1548:$O1567),3),"")</f>
        <v/>
      </c>
      <c r="IW1548" s="42" t="str">
        <f t="array" aca="1" ref="IW1548" ca="1">IFERROR(INDEX(nombres[],SMALL(IF(OFFSET(nombres[],0,0,ROWS(nombres[]),1)=IW$1490,ROW(OFFSET(nombres[],0,0,ROWS(nombres[]),1))-ROW(OFFSET(nombres[],0,0,1,1))+1,ROW(OFFSET(nombres[],ROWS(nombres[])-1,0,1,1))+1),$O1548:$O1567),3),"")</f>
        <v/>
      </c>
      <c r="IX1548" s="42" t="str">
        <f t="array" aca="1" ref="IX1548" ca="1">IFERROR(INDEX(nombres[],SMALL(IF(OFFSET(nombres[],0,0,ROWS(nombres[]),1)=IX$1490,ROW(OFFSET(nombres[],0,0,ROWS(nombres[]),1))-ROW(OFFSET(nombres[],0,0,1,1))+1,ROW(OFFSET(nombres[],ROWS(nombres[])-1,0,1,1))+1),$O1548:$O1567),3),"")</f>
        <v/>
      </c>
      <c r="IY1548" s="42" t="str">
        <f t="array" aca="1" ref="IY1548" ca="1">IFERROR(INDEX(nombres[],SMALL(IF(OFFSET(nombres[],0,0,ROWS(nombres[]),1)=IY$1490,ROW(OFFSET(nombres[],0,0,ROWS(nombres[]),1))-ROW(OFFSET(nombres[],0,0,1,1))+1,ROW(OFFSET(nombres[],ROWS(nombres[])-1,0,1,1))+1),$O1548:$O1567),3),"")</f>
        <v/>
      </c>
      <c r="IZ1548" s="42" t="str">
        <f t="array" aca="1" ref="IZ1548" ca="1">IFERROR(INDEX(nombres[],SMALL(IF(OFFSET(nombres[],0,0,ROWS(nombres[]),1)=IZ$1490,ROW(OFFSET(nombres[],0,0,ROWS(nombres[]),1))-ROW(OFFSET(nombres[],0,0,1,1))+1,ROW(OFFSET(nombres[],ROWS(nombres[])-1,0,1,1))+1),$O1548:$O1567),3),"")</f>
        <v/>
      </c>
      <c r="JA1548" s="42" t="str">
        <f t="array" aca="1" ref="JA1548" ca="1">IFERROR(INDEX(nombres[],SMALL(IF(OFFSET(nombres[],0,0,ROWS(nombres[]),1)=JA$1490,ROW(OFFSET(nombres[],0,0,ROWS(nombres[]),1))-ROW(OFFSET(nombres[],0,0,1,1))+1,ROW(OFFSET(nombres[],ROWS(nombres[])-1,0,1,1))+1),$O1548:$O1567),3),"")</f>
        <v/>
      </c>
      <c r="JB1548" s="42" t="str">
        <f t="array" aca="1" ref="JB1548" ca="1">IFERROR(INDEX(nombres[],SMALL(IF(OFFSET(nombres[],0,0,ROWS(nombres[]),1)=JB$1490,ROW(OFFSET(nombres[],0,0,ROWS(nombres[]),1))-ROW(OFFSET(nombres[],0,0,1,1))+1,ROW(OFFSET(nombres[],ROWS(nombres[])-1,0,1,1))+1),$O1548:$O1567),3),"")</f>
        <v/>
      </c>
      <c r="JC1548" s="42" t="str">
        <f t="array" aca="1" ref="JC1548" ca="1">IFERROR(INDEX(nombres[],SMALL(IF(OFFSET(nombres[],0,0,ROWS(nombres[]),1)=JC$1490,ROW(OFFSET(nombres[],0,0,ROWS(nombres[]),1))-ROW(OFFSET(nombres[],0,0,1,1))+1,ROW(OFFSET(nombres[],ROWS(nombres[])-1,0,1,1))+1),$O1548:$O1567),3),"")</f>
        <v/>
      </c>
      <c r="JD1548" s="42" t="str">
        <f t="array" aca="1" ref="JD1548" ca="1">IFERROR(INDEX(nombres[],SMALL(IF(OFFSET(nombres[],0,0,ROWS(nombres[]),1)=JD$1490,ROW(OFFSET(nombres[],0,0,ROWS(nombres[]),1))-ROW(OFFSET(nombres[],0,0,1,1))+1,ROW(OFFSET(nombres[],ROWS(nombres[])-1,0,1,1))+1),$O1548:$O1567),3),"")</f>
        <v/>
      </c>
      <c r="JE1548" s="42" t="str">
        <f t="array" aca="1" ref="JE1548" ca="1">IFERROR(INDEX(nombres[],SMALL(IF(OFFSET(nombres[],0,0,ROWS(nombres[]),1)=JE$1490,ROW(OFFSET(nombres[],0,0,ROWS(nombres[]),1))-ROW(OFFSET(nombres[],0,0,1,1))+1,ROW(OFFSET(nombres[],ROWS(nombres[])-1,0,1,1))+1),$O1548:$O1567),3),"")</f>
        <v/>
      </c>
      <c r="JF1548" s="42" t="str">
        <f t="array" aca="1" ref="JF1548" ca="1">IFERROR(INDEX(nombres[],SMALL(IF(OFFSET(nombres[],0,0,ROWS(nombres[]),1)=JF$1490,ROW(OFFSET(nombres[],0,0,ROWS(nombres[]),1))-ROW(OFFSET(nombres[],0,0,1,1))+1,ROW(OFFSET(nombres[],ROWS(nombres[])-1,0,1,1))+1),$O1548:$O1567),3),"")</f>
        <v/>
      </c>
      <c r="JG1548" s="42" t="str">
        <f t="array" aca="1" ref="JG1548" ca="1">IFERROR(INDEX(nombres[],SMALL(IF(OFFSET(nombres[],0,0,ROWS(nombres[]),1)=JG$1490,ROW(OFFSET(nombres[],0,0,ROWS(nombres[]),1))-ROW(OFFSET(nombres[],0,0,1,1))+1,ROW(OFFSET(nombres[],ROWS(nombres[])-1,0,1,1))+1),$O1548:$O1567),3),"")</f>
        <v/>
      </c>
      <c r="JH1548" s="42" t="str">
        <f t="array" aca="1" ref="JH1548" ca="1">IFERROR(INDEX(nombres[],SMALL(IF(OFFSET(nombres[],0,0,ROWS(nombres[]),1)=JH$1490,ROW(OFFSET(nombres[],0,0,ROWS(nombres[]),1))-ROW(OFFSET(nombres[],0,0,1,1))+1,ROW(OFFSET(nombres[],ROWS(nombres[])-1,0,1,1))+1),$O1548:$O1567),3),"")</f>
        <v/>
      </c>
      <c r="JI1548" s="42" t="str">
        <f t="array" aca="1" ref="JI1548" ca="1">IFERROR(INDEX(nombres[],SMALL(IF(OFFSET(nombres[],0,0,ROWS(nombres[]),1)=JI$1490,ROW(OFFSET(nombres[],0,0,ROWS(nombres[]),1))-ROW(OFFSET(nombres[],0,0,1,1))+1,ROW(OFFSET(nombres[],ROWS(nombres[])-1,0,1,1))+1),$O1548:$O1567),3),"")</f>
        <v/>
      </c>
      <c r="JJ1548" s="42" t="str">
        <f t="array" aca="1" ref="JJ1548" ca="1">IFERROR(INDEX(nombres[],SMALL(IF(OFFSET(nombres[],0,0,ROWS(nombres[]),1)=JJ$1490,ROW(OFFSET(nombres[],0,0,ROWS(nombres[]),1))-ROW(OFFSET(nombres[],0,0,1,1))+1,ROW(OFFSET(nombres[],ROWS(nombres[])-1,0,1,1))+1),$O1548:$O1567),3),"")</f>
        <v/>
      </c>
      <c r="JK1548" s="42" t="str">
        <f t="array" aca="1" ref="JK1548" ca="1">IFERROR(INDEX(nombres[],SMALL(IF(OFFSET(nombres[],0,0,ROWS(nombres[]),1)=JK$1490,ROW(OFFSET(nombres[],0,0,ROWS(nombres[]),1))-ROW(OFFSET(nombres[],0,0,1,1))+1,ROW(OFFSET(nombres[],ROWS(nombres[])-1,0,1,1))+1),$O1548:$O1567),3),"")</f>
        <v/>
      </c>
      <c r="JL1548" s="42" t="str">
        <f t="array" aca="1" ref="JL1548" ca="1">IFERROR(INDEX(nombres[],SMALL(IF(OFFSET(nombres[],0,0,ROWS(nombres[]),1)=JL$1490,ROW(OFFSET(nombres[],0,0,ROWS(nombres[]),1))-ROW(OFFSET(nombres[],0,0,1,1))+1,ROW(OFFSET(nombres[],ROWS(nombres[])-1,0,1,1))+1),$O1548:$O1567),3),"")</f>
        <v/>
      </c>
      <c r="JM1548" s="42" t="str">
        <f t="array" aca="1" ref="JM1548" ca="1">IFERROR(INDEX(nombres[],SMALL(IF(OFFSET(nombres[],0,0,ROWS(nombres[]),1)=JM$1490,ROW(OFFSET(nombres[],0,0,ROWS(nombres[]),1))-ROW(OFFSET(nombres[],0,0,1,1))+1,ROW(OFFSET(nombres[],ROWS(nombres[])-1,0,1,1))+1),$O1548:$O1567),3),"")</f>
        <v/>
      </c>
      <c r="JN1548" s="42" t="str">
        <f t="array" aca="1" ref="JN1548" ca="1">IFERROR(INDEX(nombres[],SMALL(IF(OFFSET(nombres[],0,0,ROWS(nombres[]),1)=JN$1490,ROW(OFFSET(nombres[],0,0,ROWS(nombres[]),1))-ROW(OFFSET(nombres[],0,0,1,1))+1,ROW(OFFSET(nombres[],ROWS(nombres[])-1,0,1,1))+1),$O1548:$O1567),3),"")</f>
        <v/>
      </c>
      <c r="JO1548" s="42" t="str">
        <f t="array" aca="1" ref="JO1548" ca="1">IFERROR(INDEX(nombres[],SMALL(IF(OFFSET(nombres[],0,0,ROWS(nombres[]),1)=JO$1490,ROW(OFFSET(nombres[],0,0,ROWS(nombres[]),1))-ROW(OFFSET(nombres[],0,0,1,1))+1,ROW(OFFSET(nombres[],ROWS(nombres[])-1,0,1,1))+1),$O1548:$O1567),3),"")</f>
        <v/>
      </c>
      <c r="JP1548" s="42" t="str">
        <f t="array" aca="1" ref="JP1548" ca="1">IFERROR(INDEX(nombres[],SMALL(IF(OFFSET(nombres[],0,0,ROWS(nombres[]),1)=JP$1490,ROW(OFFSET(nombres[],0,0,ROWS(nombres[]),1))-ROW(OFFSET(nombres[],0,0,1,1))+1,ROW(OFFSET(nombres[],ROWS(nombres[])-1,0,1,1))+1),$O1548:$O1567),3),"")</f>
        <v/>
      </c>
      <c r="JQ1548" s="42" t="str">
        <f t="array" aca="1" ref="JQ1548" ca="1">IFERROR(INDEX(nombres[],SMALL(IF(OFFSET(nombres[],0,0,ROWS(nombres[]),1)=JQ$1490,ROW(OFFSET(nombres[],0,0,ROWS(nombres[]),1))-ROW(OFFSET(nombres[],0,0,1,1))+1,ROW(OFFSET(nombres[],ROWS(nombres[])-1,0,1,1))+1),$O1548:$O1567),3),"")</f>
        <v/>
      </c>
      <c r="JR1548" s="42" t="str">
        <f t="array" aca="1" ref="JR1548" ca="1">IFERROR(INDEX(nombres[],SMALL(IF(OFFSET(nombres[],0,0,ROWS(nombres[]),1)=JR$1490,ROW(OFFSET(nombres[],0,0,ROWS(nombres[]),1))-ROW(OFFSET(nombres[],0,0,1,1))+1,ROW(OFFSET(nombres[],ROWS(nombres[])-1,0,1,1))+1),$O1548:$O1567),3),"")</f>
        <v/>
      </c>
      <c r="JS1548" s="42" t="str">
        <f t="array" aca="1" ref="JS1548" ca="1">IFERROR(INDEX(nombres[],SMALL(IF(OFFSET(nombres[],0,0,ROWS(nombres[]),1)=JS$1490,ROW(OFFSET(nombres[],0,0,ROWS(nombres[]),1))-ROW(OFFSET(nombres[],0,0,1,1))+1,ROW(OFFSET(nombres[],ROWS(nombres[])-1,0,1,1))+1),$O1548:$O1567),3),"")</f>
        <v/>
      </c>
      <c r="JT1548" s="42" t="str">
        <f t="array" aca="1" ref="JT1548" ca="1">IFERROR(INDEX(nombres[],SMALL(IF(OFFSET(nombres[],0,0,ROWS(nombres[]),1)=JT$1490,ROW(OFFSET(nombres[],0,0,ROWS(nombres[]),1))-ROW(OFFSET(nombres[],0,0,1,1))+1,ROW(OFFSET(nombres[],ROWS(nombres[])-1,0,1,1))+1),$O1548:$O1567),3),"")</f>
        <v/>
      </c>
      <c r="JU1548" s="42" t="str">
        <f t="array" aca="1" ref="JU1548" ca="1">IFERROR(INDEX(nombres[],SMALL(IF(OFFSET(nombres[],0,0,ROWS(nombres[]),1)=JU$1490,ROW(OFFSET(nombres[],0,0,ROWS(nombres[]),1))-ROW(OFFSET(nombres[],0,0,1,1))+1,ROW(OFFSET(nombres[],ROWS(nombres[])-1,0,1,1))+1),$O1548:$O1567),3),"")</f>
        <v/>
      </c>
      <c r="JV1548" s="42" t="str">
        <f t="array" aca="1" ref="JV1548" ca="1">IFERROR(INDEX(nombres[],SMALL(IF(OFFSET(nombres[],0,0,ROWS(nombres[]),1)=JV$1490,ROW(OFFSET(nombres[],0,0,ROWS(nombres[]),1))-ROW(OFFSET(nombres[],0,0,1,1))+1,ROW(OFFSET(nombres[],ROWS(nombres[])-1,0,1,1))+1),$O1548:$O1567),3),"")</f>
        <v/>
      </c>
      <c r="JW1548" s="42" t="str">
        <f t="array" aca="1" ref="JW1548" ca="1">IFERROR(INDEX(nombres[],SMALL(IF(OFFSET(nombres[],0,0,ROWS(nombres[]),1)=JW$1490,ROW(OFFSET(nombres[],0,0,ROWS(nombres[]),1))-ROW(OFFSET(nombres[],0,0,1,1))+1,ROW(OFFSET(nombres[],ROWS(nombres[])-1,0,1,1))+1),$O1548:$O1567),3),"")</f>
        <v/>
      </c>
      <c r="JX1548" s="42" t="str">
        <f t="array" aca="1" ref="JX1548" ca="1">IFERROR(INDEX(nombres[],SMALL(IF(OFFSET(nombres[],0,0,ROWS(nombres[]),1)=JX$1490,ROW(OFFSET(nombres[],0,0,ROWS(nombres[]),1))-ROW(OFFSET(nombres[],0,0,1,1))+1,ROW(OFFSET(nombres[],ROWS(nombres[])-1,0,1,1))+1),$O1548:$O1567),3),"")</f>
        <v/>
      </c>
      <c r="JY1548" s="42" t="str">
        <f t="array" aca="1" ref="JY1548" ca="1">IFERROR(INDEX(nombres[],SMALL(IF(OFFSET(nombres[],0,0,ROWS(nombres[]),1)=JY$1490,ROW(OFFSET(nombres[],0,0,ROWS(nombres[]),1))-ROW(OFFSET(nombres[],0,0,1,1))+1,ROW(OFFSET(nombres[],ROWS(nombres[])-1,0,1,1))+1),$O1548:$O1567),3),"")</f>
        <v/>
      </c>
      <c r="JZ1548" s="42" t="str">
        <f t="array" aca="1" ref="JZ1548" ca="1">IFERROR(INDEX(nombres[],SMALL(IF(OFFSET(nombres[],0,0,ROWS(nombres[]),1)=JZ$1490,ROW(OFFSET(nombres[],0,0,ROWS(nombres[]),1))-ROW(OFFSET(nombres[],0,0,1,1))+1,ROW(OFFSET(nombres[],ROWS(nombres[])-1,0,1,1))+1),$O1548:$O1567),3),"")</f>
        <v/>
      </c>
      <c r="KA1548" s="42" t="str">
        <f t="array" aca="1" ref="KA1548" ca="1">IFERROR(INDEX(nombres[],SMALL(IF(OFFSET(nombres[],0,0,ROWS(nombres[]),1)=KA$1490,ROW(OFFSET(nombres[],0,0,ROWS(nombres[]),1))-ROW(OFFSET(nombres[],0,0,1,1))+1,ROW(OFFSET(nombres[],ROWS(nombres[])-1,0,1,1))+1),$O1548:$O1567),3),"")</f>
        <v/>
      </c>
      <c r="KB1548" s="42" t="str">
        <f t="array" aca="1" ref="KB1548" ca="1">IFERROR(INDEX(nombres[],SMALL(IF(OFFSET(nombres[],0,0,ROWS(nombres[]),1)=KB$1490,ROW(OFFSET(nombres[],0,0,ROWS(nombres[]),1))-ROW(OFFSET(nombres[],0,0,1,1))+1,ROW(OFFSET(nombres[],ROWS(nombres[])-1,0,1,1))+1),$O1548:$O1567),3),"")</f>
        <v/>
      </c>
      <c r="KC1548" s="42" t="str">
        <f t="array" aca="1" ref="KC1548" ca="1">IFERROR(INDEX(nombres[],SMALL(IF(OFFSET(nombres[],0,0,ROWS(nombres[]),1)=KC$1490,ROW(OFFSET(nombres[],0,0,ROWS(nombres[]),1))-ROW(OFFSET(nombres[],0,0,1,1))+1,ROW(OFFSET(nombres[],ROWS(nombres[])-1,0,1,1))+1),$O1548:$O1567),3),"")</f>
        <v/>
      </c>
      <c r="KD1548" s="42" t="str">
        <f t="array" aca="1" ref="KD1548" ca="1">IFERROR(INDEX(nombres[],SMALL(IF(OFFSET(nombres[],0,0,ROWS(nombres[]),1)=KD$1490,ROW(OFFSET(nombres[],0,0,ROWS(nombres[]),1))-ROW(OFFSET(nombres[],0,0,1,1))+1,ROW(OFFSET(nombres[],ROWS(nombres[])-1,0,1,1))+1),$O1548:$O1567),3),"")</f>
        <v/>
      </c>
      <c r="KE1548" s="42" t="str">
        <f t="array" aca="1" ref="KE1548" ca="1">IFERROR(INDEX(nombres[],SMALL(IF(OFFSET(nombres[],0,0,ROWS(nombres[]),1)=KE$1490,ROW(OFFSET(nombres[],0,0,ROWS(nombres[]),1))-ROW(OFFSET(nombres[],0,0,1,1))+1,ROW(OFFSET(nombres[],ROWS(nombres[])-1,0,1,1))+1),$O1548:$O1567),3),"")</f>
        <v/>
      </c>
      <c r="KF1548" s="42" t="str">
        <f t="array" aca="1" ref="KF1548" ca="1">IFERROR(INDEX(nombres[],SMALL(IF(OFFSET(nombres[],0,0,ROWS(nombres[]),1)=KF$1490,ROW(OFFSET(nombres[],0,0,ROWS(nombres[]),1))-ROW(OFFSET(nombres[],0,0,1,1))+1,ROW(OFFSET(nombres[],ROWS(nombres[])-1,0,1,1))+1),$O1548:$O1567),3),"")</f>
        <v/>
      </c>
      <c r="KG1548" s="42" t="str">
        <f t="array" aca="1" ref="KG1548" ca="1">IFERROR(INDEX(nombres[],SMALL(IF(OFFSET(nombres[],0,0,ROWS(nombres[]),1)=KG$1490,ROW(OFFSET(nombres[],0,0,ROWS(nombres[]),1))-ROW(OFFSET(nombres[],0,0,1,1))+1,ROW(OFFSET(nombres[],ROWS(nombres[])-1,0,1,1))+1),$O1548:$O1567),3),"")</f>
        <v/>
      </c>
      <c r="KH1548" s="42" t="str">
        <f t="array" aca="1" ref="KH1548" ca="1">IFERROR(INDEX(nombres[],SMALL(IF(OFFSET(nombres[],0,0,ROWS(nombres[]),1)=KH$1490,ROW(OFFSET(nombres[],0,0,ROWS(nombres[]),1))-ROW(OFFSET(nombres[],0,0,1,1))+1,ROW(OFFSET(nombres[],ROWS(nombres[])-1,0,1,1))+1),$O1548:$O1567),3),"")</f>
        <v/>
      </c>
      <c r="KI1548" s="42" t="str">
        <f t="array" aca="1" ref="KI1548" ca="1">IFERROR(INDEX(nombres[],SMALL(IF(OFFSET(nombres[],0,0,ROWS(nombres[]),1)=KI$1490,ROW(OFFSET(nombres[],0,0,ROWS(nombres[]),1))-ROW(OFFSET(nombres[],0,0,1,1))+1,ROW(OFFSET(nombres[],ROWS(nombres[])-1,0,1,1))+1),$O1548:$O1567),3),"")</f>
        <v/>
      </c>
      <c r="KJ1548" s="42" t="str">
        <f t="array" aca="1" ref="KJ1548" ca="1">IFERROR(INDEX(nombres[],SMALL(IF(OFFSET(nombres[],0,0,ROWS(nombres[]),1)=KJ$1490,ROW(OFFSET(nombres[],0,0,ROWS(nombres[]),1))-ROW(OFFSET(nombres[],0,0,1,1))+1,ROW(OFFSET(nombres[],ROWS(nombres[])-1,0,1,1))+1),$O1548:$O1567),3),"")</f>
        <v/>
      </c>
      <c r="KK1548" s="42" t="str">
        <f t="array" aca="1" ref="KK1548" ca="1">IFERROR(INDEX(nombres[],SMALL(IF(OFFSET(nombres[],0,0,ROWS(nombres[]),1)=KK$1490,ROW(OFFSET(nombres[],0,0,ROWS(nombres[]),1))-ROW(OFFSET(nombres[],0,0,1,1))+1,ROW(OFFSET(nombres[],ROWS(nombres[])-1,0,1,1))+1),$O1548:$O1567),3),"")</f>
        <v/>
      </c>
      <c r="KL1548" s="42" t="str">
        <f t="array" aca="1" ref="KL1548" ca="1">IFERROR(INDEX(nombres[],SMALL(IF(OFFSET(nombres[],0,0,ROWS(nombres[]),1)=KL$1490,ROW(OFFSET(nombres[],0,0,ROWS(nombres[]),1))-ROW(OFFSET(nombres[],0,0,1,1))+1,ROW(OFFSET(nombres[],ROWS(nombres[])-1,0,1,1))+1),$O1548:$O1567),3),"")</f>
        <v/>
      </c>
      <c r="KM1548" s="42" t="str">
        <f t="array" aca="1" ref="KM1548" ca="1">IFERROR(INDEX(nombres[],SMALL(IF(OFFSET(nombres[],0,0,ROWS(nombres[]),1)=KM$1490,ROW(OFFSET(nombres[],0,0,ROWS(nombres[]),1))-ROW(OFFSET(nombres[],0,0,1,1))+1,ROW(OFFSET(nombres[],ROWS(nombres[])-1,0,1,1))+1),$O1548:$O1567),3),"")</f>
        <v/>
      </c>
      <c r="KN1548" s="42" t="str">
        <f t="array" aca="1" ref="KN1548" ca="1">IFERROR(INDEX(nombres[],SMALL(IF(OFFSET(nombres[],0,0,ROWS(nombres[]),1)=KN$1490,ROW(OFFSET(nombres[],0,0,ROWS(nombres[]),1))-ROW(OFFSET(nombres[],0,0,1,1))+1,ROW(OFFSET(nombres[],ROWS(nombres[])-1,0,1,1))+1),$O1548:$O1567),3),"")</f>
        <v/>
      </c>
      <c r="KO1548" s="42" t="str">
        <f t="array" aca="1" ref="KO1548" ca="1">IFERROR(INDEX(nombres[],SMALL(IF(OFFSET(nombres[],0,0,ROWS(nombres[]),1)=KO$1490,ROW(OFFSET(nombres[],0,0,ROWS(nombres[]),1))-ROW(OFFSET(nombres[],0,0,1,1))+1,ROW(OFFSET(nombres[],ROWS(nombres[])-1,0,1,1))+1),$O1548:$O1567),3),"")</f>
        <v/>
      </c>
      <c r="KP1548" s="42" t="str">
        <f t="array" aca="1" ref="KP1548" ca="1">IFERROR(INDEX(nombres[],SMALL(IF(OFFSET(nombres[],0,0,ROWS(nombres[]),1)=KP$1490,ROW(OFFSET(nombres[],0,0,ROWS(nombres[]),1))-ROW(OFFSET(nombres[],0,0,1,1))+1,ROW(OFFSET(nombres[],ROWS(nombres[])-1,0,1,1))+1),$O1548:$O1567),3),"")</f>
        <v/>
      </c>
      <c r="KQ1548" s="42" t="str">
        <f t="array" aca="1" ref="KQ1548" ca="1">IFERROR(INDEX(nombres[],SMALL(IF(OFFSET(nombres[],0,0,ROWS(nombres[]),1)=KQ$1490,ROW(OFFSET(nombres[],0,0,ROWS(nombres[]),1))-ROW(OFFSET(nombres[],0,0,1,1))+1,ROW(OFFSET(nombres[],ROWS(nombres[])-1,0,1,1))+1),$O1548:$O1567),3),"")</f>
        <v/>
      </c>
      <c r="KR1548" s="42" t="str">
        <f t="array" aca="1" ref="KR1548" ca="1">IFERROR(INDEX(nombres[],SMALL(IF(OFFSET(nombres[],0,0,ROWS(nombres[]),1)=KR$1490,ROW(OFFSET(nombres[],0,0,ROWS(nombres[]),1))-ROW(OFFSET(nombres[],0,0,1,1))+1,ROW(OFFSET(nombres[],ROWS(nombres[])-1,0,1,1))+1),$O1548:$O1567),3),"")</f>
        <v/>
      </c>
      <c r="KS1548" s="42" t="str">
        <f t="array" aca="1" ref="KS1548" ca="1">IFERROR(INDEX(nombres[],SMALL(IF(OFFSET(nombres[],0,0,ROWS(nombres[]),1)=KS$1490,ROW(OFFSET(nombres[],0,0,ROWS(nombres[]),1))-ROW(OFFSET(nombres[],0,0,1,1))+1,ROW(OFFSET(nombres[],ROWS(nombres[])-1,0,1,1))+1),$O1548:$O1567),3),"")</f>
        <v/>
      </c>
      <c r="KT1548" s="42" t="str">
        <f t="array" aca="1" ref="KT1548" ca="1">IFERROR(INDEX(nombres[],SMALL(IF(OFFSET(nombres[],0,0,ROWS(nombres[]),1)=KT$1490,ROW(OFFSET(nombres[],0,0,ROWS(nombres[]),1))-ROW(OFFSET(nombres[],0,0,1,1))+1,ROW(OFFSET(nombres[],ROWS(nombres[])-1,0,1,1))+1),$O1548:$O1567),3),"")</f>
        <v/>
      </c>
      <c r="KU1548" s="42" t="str">
        <f t="array" aca="1" ref="KU1548" ca="1">IFERROR(INDEX(nombres[],SMALL(IF(OFFSET(nombres[],0,0,ROWS(nombres[]),1)=KU$1490,ROW(OFFSET(nombres[],0,0,ROWS(nombres[]),1))-ROW(OFFSET(nombres[],0,0,1,1))+1,ROW(OFFSET(nombres[],ROWS(nombres[])-1,0,1,1))+1),$O1548:$O1567),3),"")</f>
        <v/>
      </c>
      <c r="KV1548" s="42" t="str">
        <f t="array" aca="1" ref="KV1548" ca="1">IFERROR(INDEX(nombres[],SMALL(IF(OFFSET(nombres[],0,0,ROWS(nombres[]),1)=KV$1490,ROW(OFFSET(nombres[],0,0,ROWS(nombres[]),1))-ROW(OFFSET(nombres[],0,0,1,1))+1,ROW(OFFSET(nombres[],ROWS(nombres[])-1,0,1,1))+1),$O1548:$O1567),3),"")</f>
        <v/>
      </c>
      <c r="KW1548" s="42" t="str">
        <f t="array" aca="1" ref="KW1548" ca="1">IFERROR(INDEX(nombres[],SMALL(IF(OFFSET(nombres[],0,0,ROWS(nombres[]),1)=KW$1490,ROW(OFFSET(nombres[],0,0,ROWS(nombres[]),1))-ROW(OFFSET(nombres[],0,0,1,1))+1,ROW(OFFSET(nombres[],ROWS(nombres[])-1,0,1,1))+1),$O1548:$O1567),3),"")</f>
        <v/>
      </c>
      <c r="KX1548" s="42" t="str">
        <f t="array" aca="1" ref="KX1548" ca="1">IFERROR(INDEX(nombres[],SMALL(IF(OFFSET(nombres[],0,0,ROWS(nombres[]),1)=KX$1490,ROW(OFFSET(nombres[],0,0,ROWS(nombres[]),1))-ROW(OFFSET(nombres[],0,0,1,1))+1,ROW(OFFSET(nombres[],ROWS(nombres[])-1,0,1,1))+1),$O1548:$O1567),3),"")</f>
        <v/>
      </c>
      <c r="KY1548" s="42" t="str">
        <f t="array" aca="1" ref="KY1548" ca="1">IFERROR(INDEX(nombres[],SMALL(IF(OFFSET(nombres[],0,0,ROWS(nombres[]),1)=KY$1490,ROW(OFFSET(nombres[],0,0,ROWS(nombres[]),1))-ROW(OFFSET(nombres[],0,0,1,1))+1,ROW(OFFSET(nombres[],ROWS(nombres[])-1,0,1,1))+1),$O1548:$O1567),3),"")</f>
        <v/>
      </c>
      <c r="KZ1548" s="42" t="str">
        <f t="array" aca="1" ref="KZ1548" ca="1">IFERROR(INDEX(nombres[],SMALL(IF(OFFSET(nombres[],0,0,ROWS(nombres[]),1)=KZ$1490,ROW(OFFSET(nombres[],0,0,ROWS(nombres[]),1))-ROW(OFFSET(nombres[],0,0,1,1))+1,ROW(OFFSET(nombres[],ROWS(nombres[])-1,0,1,1))+1),$O1548:$O1567),3),"")</f>
        <v/>
      </c>
      <c r="LA1548" s="42" t="str">
        <f t="array" aca="1" ref="LA1548" ca="1">IFERROR(INDEX(nombres[],SMALL(IF(OFFSET(nombres[],0,0,ROWS(nombres[]),1)=LA$1490,ROW(OFFSET(nombres[],0,0,ROWS(nombres[]),1))-ROW(OFFSET(nombres[],0,0,1,1))+1,ROW(OFFSET(nombres[],ROWS(nombres[])-1,0,1,1))+1),$O1548:$O1567),3),"")</f>
        <v/>
      </c>
      <c r="LB1548" s="42" t="str">
        <f t="array" aca="1" ref="LB1548" ca="1">IFERROR(INDEX(nombres[],SMALL(IF(OFFSET(nombres[],0,0,ROWS(nombres[]),1)=LB$1490,ROW(OFFSET(nombres[],0,0,ROWS(nombres[]),1))-ROW(OFFSET(nombres[],0,0,1,1))+1,ROW(OFFSET(nombres[],ROWS(nombres[])-1,0,1,1))+1),$O1548:$O1567),3),"")</f>
        <v/>
      </c>
      <c r="LC1548" s="42" t="str">
        <f t="array" aca="1" ref="LC1548" ca="1">IFERROR(INDEX(nombres[],SMALL(IF(OFFSET(nombres[],0,0,ROWS(nombres[]),1)=LC$1490,ROW(OFFSET(nombres[],0,0,ROWS(nombres[]),1))-ROW(OFFSET(nombres[],0,0,1,1))+1,ROW(OFFSET(nombres[],ROWS(nombres[])-1,0,1,1))+1),$O1548:$O1567),3),"")</f>
        <v/>
      </c>
      <c r="LD1548" s="42" t="str">
        <f t="array" aca="1" ref="LD1548" ca="1">IFERROR(INDEX(nombres[],SMALL(IF(OFFSET(nombres[],0,0,ROWS(nombres[]),1)=LD$1490,ROW(OFFSET(nombres[],0,0,ROWS(nombres[]),1))-ROW(OFFSET(nombres[],0,0,1,1))+1,ROW(OFFSET(nombres[],ROWS(nombres[])-1,0,1,1))+1),$O1548:$O1567),3),"")</f>
        <v/>
      </c>
      <c r="LE1548" s="42" t="str">
        <f t="array" aca="1" ref="LE1548" ca="1">IFERROR(INDEX(nombres[],SMALL(IF(OFFSET(nombres[],0,0,ROWS(nombres[]),1)=LE$1490,ROW(OFFSET(nombres[],0,0,ROWS(nombres[]),1))-ROW(OFFSET(nombres[],0,0,1,1))+1,ROW(OFFSET(nombres[],ROWS(nombres[])-1,0,1,1))+1),$O1548:$O1567),3),"")</f>
        <v/>
      </c>
      <c r="LF1548" s="42" t="str">
        <f t="array" aca="1" ref="LF1548" ca="1">IFERROR(INDEX(nombres[],SMALL(IF(OFFSET(nombres[],0,0,ROWS(nombres[]),1)=LF$1490,ROW(OFFSET(nombres[],0,0,ROWS(nombres[]),1))-ROW(OFFSET(nombres[],0,0,1,1))+1,ROW(OFFSET(nombres[],ROWS(nombres[])-1,0,1,1))+1),$O1548:$O1567),3),"")</f>
        <v/>
      </c>
      <c r="LG1548" s="42" t="str">
        <f t="array" aca="1" ref="LG1548" ca="1">IFERROR(INDEX(nombres[],SMALL(IF(OFFSET(nombres[],0,0,ROWS(nombres[]),1)=LG$1490,ROW(OFFSET(nombres[],0,0,ROWS(nombres[]),1))-ROW(OFFSET(nombres[],0,0,1,1))+1,ROW(OFFSET(nombres[],ROWS(nombres[])-1,0,1,1))+1),$O1548:$O1567),3),"")</f>
        <v/>
      </c>
      <c r="LH1548" s="42" t="str">
        <f t="array" aca="1" ref="LH1548" ca="1">IFERROR(INDEX(nombres[],SMALL(IF(OFFSET(nombres[],0,0,ROWS(nombres[]),1)=LH$1490,ROW(OFFSET(nombres[],0,0,ROWS(nombres[]),1))-ROW(OFFSET(nombres[],0,0,1,1))+1,ROW(OFFSET(nombres[],ROWS(nombres[])-1,0,1,1))+1),$O1548:$O1567),3),"")</f>
        <v/>
      </c>
      <c r="LI1548" s="42" t="str">
        <f t="array" aca="1" ref="LI1548" ca="1">IFERROR(INDEX(nombres[],SMALL(IF(OFFSET(nombres[],0,0,ROWS(nombres[]),1)=LI$1490,ROW(OFFSET(nombres[],0,0,ROWS(nombres[]),1))-ROW(OFFSET(nombres[],0,0,1,1))+1,ROW(OFFSET(nombres[],ROWS(nombres[])-1,0,1,1))+1),$O1548:$O1567),3),"")</f>
        <v/>
      </c>
      <c r="LJ1548" s="42" t="str">
        <f t="array" aca="1" ref="LJ1548" ca="1">IFERROR(INDEX(nombres[],SMALL(IF(OFFSET(nombres[],0,0,ROWS(nombres[]),1)=LJ$1490,ROW(OFFSET(nombres[],0,0,ROWS(nombres[]),1))-ROW(OFFSET(nombres[],0,0,1,1))+1,ROW(OFFSET(nombres[],ROWS(nombres[])-1,0,1,1))+1),$O1548:$O1567),3),"")</f>
        <v/>
      </c>
      <c r="LK1548" s="42" t="str">
        <f t="array" aca="1" ref="LK1548" ca="1">IFERROR(INDEX(nombres[],SMALL(IF(OFFSET(nombres[],0,0,ROWS(nombres[]),1)=LK$1490,ROW(OFFSET(nombres[],0,0,ROWS(nombres[]),1))-ROW(OFFSET(nombres[],0,0,1,1))+1,ROW(OFFSET(nombres[],ROWS(nombres[])-1,0,1,1))+1),$O1548:$O1567),3),"")</f>
        <v/>
      </c>
      <c r="LL1548" s="42" t="str">
        <f t="array" aca="1" ref="LL1548" ca="1">IFERROR(INDEX(nombres[],SMALL(IF(OFFSET(nombres[],0,0,ROWS(nombres[]),1)=LL$1490,ROW(OFFSET(nombres[],0,0,ROWS(nombres[]),1))-ROW(OFFSET(nombres[],0,0,1,1))+1,ROW(OFFSET(nombres[],ROWS(nombres[])-1,0,1,1))+1),$O1548:$O1567),3),"")</f>
        <v/>
      </c>
      <c r="LM1548" s="42" t="str">
        <f t="array" aca="1" ref="LM1548" ca="1">IFERROR(INDEX(nombres[],SMALL(IF(OFFSET(nombres[],0,0,ROWS(nombres[]),1)=LM$1490,ROW(OFFSET(nombres[],0,0,ROWS(nombres[]),1))-ROW(OFFSET(nombres[],0,0,1,1))+1,ROW(OFFSET(nombres[],ROWS(nombres[])-1,0,1,1))+1),$O1548:$O1567),3),"")</f>
        <v/>
      </c>
      <c r="LN1548" s="42" t="str">
        <f t="array" aca="1" ref="LN1548" ca="1">IFERROR(INDEX(nombres[],SMALL(IF(OFFSET(nombres[],0,0,ROWS(nombres[]),1)=LN$1490,ROW(OFFSET(nombres[],0,0,ROWS(nombres[]),1))-ROW(OFFSET(nombres[],0,0,1,1))+1,ROW(OFFSET(nombres[],ROWS(nombres[])-1,0,1,1))+1),$O1548:$O1567),3),"")</f>
        <v/>
      </c>
      <c r="LO1548" s="42" t="str">
        <f t="array" aca="1" ref="LO1548" ca="1">IFERROR(INDEX(nombres[],SMALL(IF(OFFSET(nombres[],0,0,ROWS(nombres[]),1)=LO$1490,ROW(OFFSET(nombres[],0,0,ROWS(nombres[]),1))-ROW(OFFSET(nombres[],0,0,1,1))+1,ROW(OFFSET(nombres[],ROWS(nombres[])-1,0,1,1))+1),$O1548:$O1567),3),"")</f>
        <v/>
      </c>
      <c r="LP1548" s="42" t="str">
        <f t="array" aca="1" ref="LP1548" ca="1">IFERROR(INDEX(nombres[],SMALL(IF(OFFSET(nombres[],0,0,ROWS(nombres[]),1)=LP$1490,ROW(OFFSET(nombres[],0,0,ROWS(nombres[]),1))-ROW(OFFSET(nombres[],0,0,1,1))+1,ROW(OFFSET(nombres[],ROWS(nombres[])-1,0,1,1))+1),$O1548:$O1567),3),"")</f>
        <v/>
      </c>
      <c r="LQ1548" s="42" t="str">
        <f t="array" aca="1" ref="LQ1548" ca="1">IFERROR(INDEX(nombres[],SMALL(IF(OFFSET(nombres[],0,0,ROWS(nombres[]),1)=LQ$1490,ROW(OFFSET(nombres[],0,0,ROWS(nombres[]),1))-ROW(OFFSET(nombres[],0,0,1,1))+1,ROW(OFFSET(nombres[],ROWS(nombres[])-1,0,1,1))+1),$O1548:$O1567),3),"")</f>
        <v/>
      </c>
      <c r="LR1548" s="42" t="str">
        <f t="array" aca="1" ref="LR1548" ca="1">IFERROR(INDEX(nombres[],SMALL(IF(OFFSET(nombres[],0,0,ROWS(nombres[]),1)=LR$1490,ROW(OFFSET(nombres[],0,0,ROWS(nombres[]),1))-ROW(OFFSET(nombres[],0,0,1,1))+1,ROW(OFFSET(nombres[],ROWS(nombres[])-1,0,1,1))+1),$O1548:$O1567),3),"")</f>
        <v/>
      </c>
      <c r="LS1548" s="42" t="str">
        <f t="array" aca="1" ref="LS1548" ca="1">IFERROR(INDEX(nombres[],SMALL(IF(OFFSET(nombres[],0,0,ROWS(nombres[]),1)=LS$1490,ROW(OFFSET(nombres[],0,0,ROWS(nombres[]),1))-ROW(OFFSET(nombres[],0,0,1,1))+1,ROW(OFFSET(nombres[],ROWS(nombres[])-1,0,1,1))+1),$O1548:$O1567),3),"")</f>
        <v/>
      </c>
      <c r="LT1548" s="42" t="str">
        <f t="array" aca="1" ref="LT1548" ca="1">IFERROR(INDEX(nombres[],SMALL(IF(OFFSET(nombres[],0,0,ROWS(nombres[]),1)=LT$1490,ROW(OFFSET(nombres[],0,0,ROWS(nombres[]),1))-ROW(OFFSET(nombres[],0,0,1,1))+1,ROW(OFFSET(nombres[],ROWS(nombres[])-1,0,1,1))+1),$O1548:$O1567),3),"")</f>
        <v/>
      </c>
      <c r="LU1548" s="42" t="str">
        <f t="array" aca="1" ref="LU1548" ca="1">IFERROR(INDEX(nombres[],SMALL(IF(OFFSET(nombres[],0,0,ROWS(nombres[]),1)=LU$1490,ROW(OFFSET(nombres[],0,0,ROWS(nombres[]),1))-ROW(OFFSET(nombres[],0,0,1,1))+1,ROW(OFFSET(nombres[],ROWS(nombres[])-1,0,1,1))+1),$O1548:$O1567),3),"")</f>
        <v/>
      </c>
      <c r="LV1548" s="42" t="str">
        <f t="array" aca="1" ref="LV1548" ca="1">IFERROR(INDEX(nombres[],SMALL(IF(OFFSET(nombres[],0,0,ROWS(nombres[]),1)=LV$1490,ROW(OFFSET(nombres[],0,0,ROWS(nombres[]),1))-ROW(OFFSET(nombres[],0,0,1,1))+1,ROW(OFFSET(nombres[],ROWS(nombres[])-1,0,1,1))+1),$O1548:$O1567),3),"")</f>
        <v/>
      </c>
      <c r="LW1548" s="42" t="str">
        <f t="array" aca="1" ref="LW1548" ca="1">IFERROR(INDEX(nombres[],SMALL(IF(OFFSET(nombres[],0,0,ROWS(nombres[]),1)=LW$1490,ROW(OFFSET(nombres[],0,0,ROWS(nombres[]),1))-ROW(OFFSET(nombres[],0,0,1,1))+1,ROW(OFFSET(nombres[],ROWS(nombres[])-1,0,1,1))+1),$O1548:$O1567),3),"")</f>
        <v/>
      </c>
      <c r="LX1548" s="42" t="str">
        <f t="array" aca="1" ref="LX1548" ca="1">IFERROR(INDEX(nombres[],SMALL(IF(OFFSET(nombres[],0,0,ROWS(nombres[]),1)=LX$1490,ROW(OFFSET(nombres[],0,0,ROWS(nombres[]),1))-ROW(OFFSET(nombres[],0,0,1,1))+1,ROW(OFFSET(nombres[],ROWS(nombres[])-1,0,1,1))+1),$O1548:$O1567),3),"")</f>
        <v/>
      </c>
      <c r="LY1548" s="42" t="str">
        <f t="array" aca="1" ref="LY1548" ca="1">IFERROR(INDEX(nombres[],SMALL(IF(OFFSET(nombres[],0,0,ROWS(nombres[]),1)=LY$1490,ROW(OFFSET(nombres[],0,0,ROWS(nombres[]),1))-ROW(OFFSET(nombres[],0,0,1,1))+1,ROW(OFFSET(nombres[],ROWS(nombres[])-1,0,1,1))+1),$O1548:$O1567),3),"")</f>
        <v/>
      </c>
      <c r="LZ1548" s="42" t="str">
        <f t="array" aca="1" ref="LZ1548" ca="1">IFERROR(INDEX(nombres[],SMALL(IF(OFFSET(nombres[],0,0,ROWS(nombres[]),1)=LZ$1490,ROW(OFFSET(nombres[],0,0,ROWS(nombres[]),1))-ROW(OFFSET(nombres[],0,0,1,1))+1,ROW(OFFSET(nombres[],ROWS(nombres[])-1,0,1,1))+1),$O1548:$O1567),3),"")</f>
        <v/>
      </c>
      <c r="MA1548" s="42" t="str">
        <f t="array" aca="1" ref="MA1548" ca="1">IFERROR(INDEX(nombres[],SMALL(IF(OFFSET(nombres[],0,0,ROWS(nombres[]),1)=MA$1490,ROW(OFFSET(nombres[],0,0,ROWS(nombres[]),1))-ROW(OFFSET(nombres[],0,0,1,1))+1,ROW(OFFSET(nombres[],ROWS(nombres[])-1,0,1,1))+1),$O1548:$O1567),3),"")</f>
        <v/>
      </c>
      <c r="MB1548" s="42" t="str">
        <f t="array" aca="1" ref="MB1548" ca="1">IFERROR(INDEX(nombres[],SMALL(IF(OFFSET(nombres[],0,0,ROWS(nombres[]),1)=MB$1490,ROW(OFFSET(nombres[],0,0,ROWS(nombres[]),1))-ROW(OFFSET(nombres[],0,0,1,1))+1,ROW(OFFSET(nombres[],ROWS(nombres[])-1,0,1,1))+1),$O1548:$O1567),3),"")</f>
        <v/>
      </c>
      <c r="MC1548" s="42" t="str">
        <f t="array" aca="1" ref="MC1548" ca="1">IFERROR(INDEX(nombres[],SMALL(IF(OFFSET(nombres[],0,0,ROWS(nombres[]),1)=MC$1490,ROW(OFFSET(nombres[],0,0,ROWS(nombres[]),1))-ROW(OFFSET(nombres[],0,0,1,1))+1,ROW(OFFSET(nombres[],ROWS(nombres[])-1,0,1,1))+1),$O1548:$O1567),3),"")</f>
        <v/>
      </c>
      <c r="MD1548" s="42" t="str">
        <f t="array" aca="1" ref="MD1548" ca="1">IFERROR(INDEX(nombres[],SMALL(IF(OFFSET(nombres[],0,0,ROWS(nombres[]),1)=MD$1490,ROW(OFFSET(nombres[],0,0,ROWS(nombres[]),1))-ROW(OFFSET(nombres[],0,0,1,1))+1,ROW(OFFSET(nombres[],ROWS(nombres[])-1,0,1,1))+1),$O1548:$O1567),3),"")</f>
        <v/>
      </c>
      <c r="ME1548" s="42" t="str">
        <f t="array" aca="1" ref="ME1548" ca="1">IFERROR(INDEX(nombres[],SMALL(IF(OFFSET(nombres[],0,0,ROWS(nombres[]),1)=ME$1490,ROW(OFFSET(nombres[],0,0,ROWS(nombres[]),1))-ROW(OFFSET(nombres[],0,0,1,1))+1,ROW(OFFSET(nombres[],ROWS(nombres[])-1,0,1,1))+1),$O1548:$O1567),3),"")</f>
        <v/>
      </c>
      <c r="MF1548" s="42" t="str">
        <f t="array" aca="1" ref="MF1548" ca="1">IFERROR(INDEX(nombres[],SMALL(IF(OFFSET(nombres[],0,0,ROWS(nombres[]),1)=MF$1490,ROW(OFFSET(nombres[],0,0,ROWS(nombres[]),1))-ROW(OFFSET(nombres[],0,0,1,1))+1,ROW(OFFSET(nombres[],ROWS(nombres[])-1,0,1,1))+1),$O1548:$O1567),3),"")</f>
        <v/>
      </c>
      <c r="MG1548" s="42" t="str">
        <f t="array" aca="1" ref="MG1548" ca="1">IFERROR(INDEX(nombres[],SMALL(IF(OFFSET(nombres[],0,0,ROWS(nombres[]),1)=MG$1490,ROW(OFFSET(nombres[],0,0,ROWS(nombres[]),1))-ROW(OFFSET(nombres[],0,0,1,1))+1,ROW(OFFSET(nombres[],ROWS(nombres[])-1,0,1,1))+1),$O1548:$O1567),3),"")</f>
        <v/>
      </c>
      <c r="MH1548" s="42" t="str">
        <f t="array" aca="1" ref="MH1548" ca="1">IFERROR(INDEX(nombres[],SMALL(IF(OFFSET(nombres[],0,0,ROWS(nombres[]),1)=MH$1490,ROW(OFFSET(nombres[],0,0,ROWS(nombres[]),1))-ROW(OFFSET(nombres[],0,0,1,1))+1,ROW(OFFSET(nombres[],ROWS(nombres[])-1,0,1,1))+1),$O1548:$O1567),3),"")</f>
        <v/>
      </c>
      <c r="MI1548" s="42" t="str">
        <f t="array" aca="1" ref="MI1548" ca="1">IFERROR(INDEX(nombres[],SMALL(IF(OFFSET(nombres[],0,0,ROWS(nombres[]),1)=MI$1490,ROW(OFFSET(nombres[],0,0,ROWS(nombres[]),1))-ROW(OFFSET(nombres[],0,0,1,1))+1,ROW(OFFSET(nombres[],ROWS(nombres[])-1,0,1,1))+1),$O1548:$O1567),3),"")</f>
        <v/>
      </c>
      <c r="MJ1548" s="42" t="str">
        <f t="array" aca="1" ref="MJ1548" ca="1">IFERROR(INDEX(nombres[],SMALL(IF(OFFSET(nombres[],0,0,ROWS(nombres[]),1)=MJ$1490,ROW(OFFSET(nombres[],0,0,ROWS(nombres[]),1))-ROW(OFFSET(nombres[],0,0,1,1))+1,ROW(OFFSET(nombres[],ROWS(nombres[])-1,0,1,1))+1),$O1548:$O1567),3),"")</f>
        <v/>
      </c>
      <c r="MK1548" s="42" t="str">
        <f t="array" aca="1" ref="MK1548" ca="1">IFERROR(INDEX(nombres[],SMALL(IF(OFFSET(nombres[],0,0,ROWS(nombres[]),1)=MK$1490,ROW(OFFSET(nombres[],0,0,ROWS(nombres[]),1))-ROW(OFFSET(nombres[],0,0,1,1))+1,ROW(OFFSET(nombres[],ROWS(nombres[])-1,0,1,1))+1),$O1548:$O1567),3),"")</f>
        <v/>
      </c>
      <c r="ML1548" s="42" t="str">
        <f t="array" aca="1" ref="ML1548" ca="1">IFERROR(INDEX(nombres[],SMALL(IF(OFFSET(nombres[],0,0,ROWS(nombres[]),1)=ML$1490,ROW(OFFSET(nombres[],0,0,ROWS(nombres[]),1))-ROW(OFFSET(nombres[],0,0,1,1))+1,ROW(OFFSET(nombres[],ROWS(nombres[])-1,0,1,1))+1),$O1548:$O1567),3),"")</f>
        <v/>
      </c>
      <c r="MM1548" s="42" t="str">
        <f t="array" aca="1" ref="MM1548" ca="1">IFERROR(INDEX(nombres[],SMALL(IF(OFFSET(nombres[],0,0,ROWS(nombres[]),1)=MM$1490,ROW(OFFSET(nombres[],0,0,ROWS(nombres[]),1))-ROW(OFFSET(nombres[],0,0,1,1))+1,ROW(OFFSET(nombres[],ROWS(nombres[])-1,0,1,1))+1),$O1548:$O1567),3),"")</f>
        <v/>
      </c>
      <c r="MN1548" s="42" t="str">
        <f t="array" aca="1" ref="MN1548" ca="1">IFERROR(INDEX(nombres[],SMALL(IF(OFFSET(nombres[],0,0,ROWS(nombres[]),1)=MN$1490,ROW(OFFSET(nombres[],0,0,ROWS(nombres[]),1))-ROW(OFFSET(nombres[],0,0,1,1))+1,ROW(OFFSET(nombres[],ROWS(nombres[])-1,0,1,1))+1),$O1548:$O1567),3),"")</f>
        <v/>
      </c>
      <c r="MO1548" s="42" t="str">
        <f t="array" aca="1" ref="MO1548" ca="1">IFERROR(INDEX(nombres[],SMALL(IF(OFFSET(nombres[],0,0,ROWS(nombres[]),1)=MO$1490,ROW(OFFSET(nombres[],0,0,ROWS(nombres[]),1))-ROW(OFFSET(nombres[],0,0,1,1))+1,ROW(OFFSET(nombres[],ROWS(nombres[])-1,0,1,1))+1),$O1548:$O1567),3),"")</f>
        <v/>
      </c>
      <c r="MP1548" s="42" t="str">
        <f t="array" aca="1" ref="MP1548" ca="1">IFERROR(INDEX(nombres[],SMALL(IF(OFFSET(nombres[],0,0,ROWS(nombres[]),1)=MP$1490,ROW(OFFSET(nombres[],0,0,ROWS(nombres[]),1))-ROW(OFFSET(nombres[],0,0,1,1))+1,ROW(OFFSET(nombres[],ROWS(nombres[])-1,0,1,1))+1),$O1548:$O1567),3),"")</f>
        <v/>
      </c>
      <c r="MQ1548" s="42" t="str">
        <f t="array" aca="1" ref="MQ1548" ca="1">IFERROR(INDEX(nombres[],SMALL(IF(OFFSET(nombres[],0,0,ROWS(nombres[]),1)=MQ$1490,ROW(OFFSET(nombres[],0,0,ROWS(nombres[]),1))-ROW(OFFSET(nombres[],0,0,1,1))+1,ROW(OFFSET(nombres[],ROWS(nombres[])-1,0,1,1))+1),$O1548:$O1567),3),"")</f>
        <v/>
      </c>
      <c r="MR1548" s="42" t="str">
        <f t="array" aca="1" ref="MR1548" ca="1">IFERROR(INDEX(nombres[],SMALL(IF(OFFSET(nombres[],0,0,ROWS(nombres[]),1)=MR$1490,ROW(OFFSET(nombres[],0,0,ROWS(nombres[]),1))-ROW(OFFSET(nombres[],0,0,1,1))+1,ROW(OFFSET(nombres[],ROWS(nombres[])-1,0,1,1))+1),$O1548:$O1567),3),"")</f>
        <v/>
      </c>
      <c r="MS1548" s="42" t="str">
        <f t="array" aca="1" ref="MS1548" ca="1">IFERROR(INDEX(nombres[],SMALL(IF(OFFSET(nombres[],0,0,ROWS(nombres[]),1)=MS$1490,ROW(OFFSET(nombres[],0,0,ROWS(nombres[]),1))-ROW(OFFSET(nombres[],0,0,1,1))+1,ROW(OFFSET(nombres[],ROWS(nombres[])-1,0,1,1))+1),$O1548:$O1567),3),"")</f>
        <v/>
      </c>
      <c r="MT1548" s="42" t="str">
        <f t="array" aca="1" ref="MT1548" ca="1">IFERROR(INDEX(nombres[],SMALL(IF(OFFSET(nombres[],0,0,ROWS(nombres[]),1)=MT$1490,ROW(OFFSET(nombres[],0,0,ROWS(nombres[]),1))-ROW(OFFSET(nombres[],0,0,1,1))+1,ROW(OFFSET(nombres[],ROWS(nombres[])-1,0,1,1))+1),$O1548:$O1567),3),"")</f>
        <v/>
      </c>
      <c r="MU1548" s="42" t="str">
        <f t="array" aca="1" ref="MU1548" ca="1">IFERROR(INDEX(nombres[],SMALL(IF(OFFSET(nombres[],0,0,ROWS(nombres[]),1)=MU$1490,ROW(OFFSET(nombres[],0,0,ROWS(nombres[]),1))-ROW(OFFSET(nombres[],0,0,1,1))+1,ROW(OFFSET(nombres[],ROWS(nombres[])-1,0,1,1))+1),$O1548:$O1567),3),"")</f>
        <v/>
      </c>
      <c r="MV1548" s="42" t="str">
        <f t="array" aca="1" ref="MV1548" ca="1">IFERROR(INDEX(nombres[],SMALL(IF(OFFSET(nombres[],0,0,ROWS(nombres[]),1)=MV$1490,ROW(OFFSET(nombres[],0,0,ROWS(nombres[]),1))-ROW(OFFSET(nombres[],0,0,1,1))+1,ROW(OFFSET(nombres[],ROWS(nombres[])-1,0,1,1))+1),$O1548:$O1567),3),"")</f>
        <v/>
      </c>
      <c r="MW1548" s="42" t="str">
        <f t="array" aca="1" ref="MW1548" ca="1">IFERROR(INDEX(nombres[],SMALL(IF(OFFSET(nombres[],0,0,ROWS(nombres[]),1)=MW$1490,ROW(OFFSET(nombres[],0,0,ROWS(nombres[]),1))-ROW(OFFSET(nombres[],0,0,1,1))+1,ROW(OFFSET(nombres[],ROWS(nombres[])-1,0,1,1))+1),$O1548:$O1567),3),"")</f>
        <v/>
      </c>
      <c r="MX1548" s="42" t="str">
        <f t="array" aca="1" ref="MX1548" ca="1">IFERROR(INDEX(nombres[],SMALL(IF(OFFSET(nombres[],0,0,ROWS(nombres[]),1)=MX$1490,ROW(OFFSET(nombres[],0,0,ROWS(nombres[]),1))-ROW(OFFSET(nombres[],0,0,1,1))+1,ROW(OFFSET(nombres[],ROWS(nombres[])-1,0,1,1))+1),$O1548:$O1567),3),"")</f>
        <v/>
      </c>
      <c r="MY1548" s="42" t="str">
        <f t="array" aca="1" ref="MY1548" ca="1">IFERROR(INDEX(nombres[],SMALL(IF(OFFSET(nombres[],0,0,ROWS(nombres[]),1)=MY$1490,ROW(OFFSET(nombres[],0,0,ROWS(nombres[]),1))-ROW(OFFSET(nombres[],0,0,1,1))+1,ROW(OFFSET(nombres[],ROWS(nombres[])-1,0,1,1))+1),$O1548:$O1567),3),"")</f>
        <v/>
      </c>
      <c r="MZ1548" s="42" t="str">
        <f t="array" aca="1" ref="MZ1548" ca="1">IFERROR(INDEX(nombres[],SMALL(IF(OFFSET(nombres[],0,0,ROWS(nombres[]),1)=MZ$1490,ROW(OFFSET(nombres[],0,0,ROWS(nombres[]),1))-ROW(OFFSET(nombres[],0,0,1,1))+1,ROW(OFFSET(nombres[],ROWS(nombres[])-1,0,1,1))+1),$O1548:$O1567),3),"")</f>
        <v/>
      </c>
      <c r="NA1548" s="42" t="str">
        <f t="array" aca="1" ref="NA1548" ca="1">IFERROR(INDEX(nombres[],SMALL(IF(OFFSET(nombres[],0,0,ROWS(nombres[]),1)=NA$1490,ROW(OFFSET(nombres[],0,0,ROWS(nombres[]),1))-ROW(OFFSET(nombres[],0,0,1,1))+1,ROW(OFFSET(nombres[],ROWS(nombres[])-1,0,1,1))+1),$O1548:$O1567),3),"")</f>
        <v/>
      </c>
      <c r="NB1548" s="42" t="str">
        <f t="array" aca="1" ref="NB1548" ca="1">IFERROR(INDEX(nombres[],SMALL(IF(OFFSET(nombres[],0,0,ROWS(nombres[]),1)=NB$1490,ROW(OFFSET(nombres[],0,0,ROWS(nombres[]),1))-ROW(OFFSET(nombres[],0,0,1,1))+1,ROW(OFFSET(nombres[],ROWS(nombres[])-1,0,1,1))+1),$O1548:$O1567),3),"")</f>
        <v/>
      </c>
      <c r="NC1548" s="42" t="str">
        <f t="array" aca="1" ref="NC1548" ca="1">IFERROR(INDEX(nombres[],SMALL(IF(OFFSET(nombres[],0,0,ROWS(nombres[]),1)=NC$1490,ROW(OFFSET(nombres[],0,0,ROWS(nombres[]),1))-ROW(OFFSET(nombres[],0,0,1,1))+1,ROW(OFFSET(nombres[],ROWS(nombres[])-1,0,1,1))+1),$O1548:$O1567),3),"")</f>
        <v/>
      </c>
      <c r="ND1548" s="42" t="str">
        <f t="array" aca="1" ref="ND1548" ca="1">IFERROR(INDEX(nombres[],SMALL(IF(OFFSET(nombres[],0,0,ROWS(nombres[]),1)=ND$1490,ROW(OFFSET(nombres[],0,0,ROWS(nombres[]),1))-ROW(OFFSET(nombres[],0,0,1,1))+1,ROW(OFFSET(nombres[],ROWS(nombres[])-1,0,1,1))+1),$O1548:$O1567),3),"")</f>
        <v/>
      </c>
      <c r="NE1548" s="42" t="str">
        <f t="array" aca="1" ref="NE1548" ca="1">IFERROR(INDEX(nombres[],SMALL(IF(OFFSET(nombres[],0,0,ROWS(nombres[]),1)=NE$1490,ROW(OFFSET(nombres[],0,0,ROWS(nombres[]),1))-ROW(OFFSET(nombres[],0,0,1,1))+1,ROW(OFFSET(nombres[],ROWS(nombres[])-1,0,1,1))+1),$O1548:$O1567),3),"")</f>
        <v/>
      </c>
      <c r="NF1548" s="42" t="str">
        <f t="array" aca="1" ref="NF1548" ca="1">IFERROR(INDEX(nombres[],SMALL(IF(OFFSET(nombres[],0,0,ROWS(nombres[]),1)=NF$1490,ROW(OFFSET(nombres[],0,0,ROWS(nombres[]),1))-ROW(OFFSET(nombres[],0,0,1,1))+1,ROW(OFFSET(nombres[],ROWS(nombres[])-1,0,1,1))+1),$O1548:$O1567),3),"")</f>
        <v/>
      </c>
      <c r="NG1548" s="42" t="str">
        <f t="array" aca="1" ref="NG1548" ca="1">IFERROR(INDEX(nombres[],SMALL(IF(OFFSET(nombres[],0,0,ROWS(nombres[]),1)=NG$1490,ROW(OFFSET(nombres[],0,0,ROWS(nombres[]),1))-ROW(OFFSET(nombres[],0,0,1,1))+1,ROW(OFFSET(nombres[],ROWS(nombres[])-1,0,1,1))+1),$O1548:$O1567),3),"")</f>
        <v/>
      </c>
      <c r="NH1548" s="42" t="str">
        <f t="array" aca="1" ref="NH1548" ca="1">IFERROR(INDEX(nombres[],SMALL(IF(OFFSET(nombres[],0,0,ROWS(nombres[]),1)=NH$1490,ROW(OFFSET(nombres[],0,0,ROWS(nombres[]),1))-ROW(OFFSET(nombres[],0,0,1,1))+1,ROW(OFFSET(nombres[],ROWS(nombres[])-1,0,1,1))+1),$O1548:$O1567),3),"")</f>
        <v/>
      </c>
      <c r="NI1548" s="42" t="str">
        <f t="array" aca="1" ref="NI1548" ca="1">IFERROR(INDEX(nombres[],SMALL(IF(OFFSET(nombres[],0,0,ROWS(nombres[]),1)=NI$1490,ROW(OFFSET(nombres[],0,0,ROWS(nombres[]),1))-ROW(OFFSET(nombres[],0,0,1,1))+1,ROW(OFFSET(nombres[],ROWS(nombres[])-1,0,1,1))+1),$O1548:$O1567),3),"")</f>
        <v/>
      </c>
      <c r="NJ1548" s="42" t="str">
        <f t="array" aca="1" ref="NJ1548" ca="1">IFERROR(INDEX(nombres[],SMALL(IF(OFFSET(nombres[],0,0,ROWS(nombres[]),1)=NJ$1490,ROW(OFFSET(nombres[],0,0,ROWS(nombres[]),1))-ROW(OFFSET(nombres[],0,0,1,1))+1,ROW(OFFSET(nombres[],ROWS(nombres[])-1,0,1,1))+1),$O1548:$O1567),3),"")</f>
        <v/>
      </c>
      <c r="NK1548" s="42" t="str">
        <f t="array" aca="1" ref="NK1548" ca="1">IFERROR(INDEX(nombres[],SMALL(IF(OFFSET(nombres[],0,0,ROWS(nombres[]),1)=NK$1490,ROW(OFFSET(nombres[],0,0,ROWS(nombres[]),1))-ROW(OFFSET(nombres[],0,0,1,1))+1,ROW(OFFSET(nombres[],ROWS(nombres[])-1,0,1,1))+1),$O1548:$O1567),3),"")</f>
        <v/>
      </c>
      <c r="NL1548" s="42" t="str">
        <f t="array" aca="1" ref="NL1548" ca="1">IFERROR(INDEX(nombres[],SMALL(IF(OFFSET(nombres[],0,0,ROWS(nombres[]),1)=NL$1490,ROW(OFFSET(nombres[],0,0,ROWS(nombres[]),1))-ROW(OFFSET(nombres[],0,0,1,1))+1,ROW(OFFSET(nombres[],ROWS(nombres[])-1,0,1,1))+1),$O1548:$O1567),3),"")</f>
        <v/>
      </c>
      <c r="NM1548" s="42" t="str">
        <f t="array" aca="1" ref="NM1548" ca="1">IFERROR(INDEX(nombres[],SMALL(IF(OFFSET(nombres[],0,0,ROWS(nombres[]),1)=NM$1490,ROW(OFFSET(nombres[],0,0,ROWS(nombres[]),1))-ROW(OFFSET(nombres[],0,0,1,1))+1,ROW(OFFSET(nombres[],ROWS(nombres[])-1,0,1,1))+1),$O1548:$O1567),3),"")</f>
        <v/>
      </c>
      <c r="NN1548" s="42" t="str">
        <f t="array" aca="1" ref="NN1548" ca="1">IFERROR(INDEX(nombres[],SMALL(IF(OFFSET(nombres[],0,0,ROWS(nombres[]),1)=NN$1490,ROW(OFFSET(nombres[],0,0,ROWS(nombres[]),1))-ROW(OFFSET(nombres[],0,0,1,1))+1,ROW(OFFSET(nombres[],ROWS(nombres[])-1,0,1,1))+1),$O1548:$O1567),3),"")</f>
        <v/>
      </c>
      <c r="NO1548" s="42" t="str">
        <f t="array" aca="1" ref="NO1548" ca="1">IFERROR(INDEX(nombres[],SMALL(IF(OFFSET(nombres[],0,0,ROWS(nombres[]),1)=NO$1490,ROW(OFFSET(nombres[],0,0,ROWS(nombres[]),1))-ROW(OFFSET(nombres[],0,0,1,1))+1,ROW(OFFSET(nombres[],ROWS(nombres[])-1,0,1,1))+1),$O1548:$O1567),3),"")</f>
        <v/>
      </c>
      <c r="NP1548" s="42" t="str">
        <f t="array" aca="1" ref="NP1548" ca="1">IFERROR(INDEX(nombres[],SMALL(IF(OFFSET(nombres[],0,0,ROWS(nombres[]),1)=NP$1490,ROW(OFFSET(nombres[],0,0,ROWS(nombres[]),1))-ROW(OFFSET(nombres[],0,0,1,1))+1,ROW(OFFSET(nombres[],ROWS(nombres[])-1,0,1,1))+1),$O1548:$O1567),3),"")</f>
        <v/>
      </c>
      <c r="NQ1548" s="42" t="str">
        <f t="array" aca="1" ref="NQ1548" ca="1">IFERROR(INDEX(nombres[],SMALL(IF(OFFSET(nombres[],0,0,ROWS(nombres[]),1)=NQ$1490,ROW(OFFSET(nombres[],0,0,ROWS(nombres[]),1))-ROW(OFFSET(nombres[],0,0,1,1))+1,ROW(OFFSET(nombres[],ROWS(nombres[])-1,0,1,1))+1),$O1548:$O1567),3),"")</f>
        <v/>
      </c>
      <c r="NR1548" s="42" t="str">
        <f t="array" aca="1" ref="NR1548" ca="1">IFERROR(INDEX(nombres[],SMALL(IF(OFFSET(nombres[],0,0,ROWS(nombres[]),1)=NR$1490,ROW(OFFSET(nombres[],0,0,ROWS(nombres[]),1))-ROW(OFFSET(nombres[],0,0,1,1))+1,ROW(OFFSET(nombres[],ROWS(nombres[])-1,0,1,1))+1),$O1548:$O1567),3),"")</f>
        <v/>
      </c>
      <c r="NS1548" s="42" t="str">
        <f t="array" aca="1" ref="NS1548" ca="1">IFERROR(INDEX(nombres[],SMALL(IF(OFFSET(nombres[],0,0,ROWS(nombres[]),1)=NS$1490,ROW(OFFSET(nombres[],0,0,ROWS(nombres[]),1))-ROW(OFFSET(nombres[],0,0,1,1))+1,ROW(OFFSET(nombres[],ROWS(nombres[])-1,0,1,1))+1),$O1548:$O1567),3),"")</f>
        <v/>
      </c>
      <c r="NT1548" s="42" t="str">
        <f t="array" aca="1" ref="NT1548" ca="1">IFERROR(INDEX(nombres[],SMALL(IF(OFFSET(nombres[],0,0,ROWS(nombres[]),1)=NT$1490,ROW(OFFSET(nombres[],0,0,ROWS(nombres[]),1))-ROW(OFFSET(nombres[],0,0,1,1))+1,ROW(OFFSET(nombres[],ROWS(nombres[])-1,0,1,1))+1),$O1548:$O1567),3),"")</f>
        <v/>
      </c>
      <c r="NU1548" s="42" t="str">
        <f t="array" aca="1" ref="NU1548" ca="1">IFERROR(INDEX(nombres[],SMALL(IF(OFFSET(nombres[],0,0,ROWS(nombres[]),1)=NU$1490,ROW(OFFSET(nombres[],0,0,ROWS(nombres[]),1))-ROW(OFFSET(nombres[],0,0,1,1))+1,ROW(OFFSET(nombres[],ROWS(nombres[])-1,0,1,1))+1),$O1548:$O1567),3),"")</f>
        <v/>
      </c>
      <c r="NV1548" s="42" t="str">
        <f t="array" aca="1" ref="NV1548" ca="1">IFERROR(INDEX(nombres[],SMALL(IF(OFFSET(nombres[],0,0,ROWS(nombres[]),1)=NV$1490,ROW(OFFSET(nombres[],0,0,ROWS(nombres[]),1))-ROW(OFFSET(nombres[],0,0,1,1))+1,ROW(OFFSET(nombres[],ROWS(nombres[])-1,0,1,1))+1),$O1548:$O1567),3),"")</f>
        <v/>
      </c>
      <c r="NW1548" s="42" t="str">
        <f t="array" aca="1" ref="NW1548" ca="1">IFERROR(INDEX(nombres[],SMALL(IF(OFFSET(nombres[],0,0,ROWS(nombres[]),1)=NW$1490,ROW(OFFSET(nombres[],0,0,ROWS(nombres[]),1))-ROW(OFFSET(nombres[],0,0,1,1))+1,ROW(OFFSET(nombres[],ROWS(nombres[])-1,0,1,1))+1),$O1548:$O1567),3),"")</f>
        <v/>
      </c>
      <c r="NX1548" s="42" t="str">
        <f t="array" aca="1" ref="NX1548" ca="1">IFERROR(INDEX(nombres[],SMALL(IF(OFFSET(nombres[],0,0,ROWS(nombres[]),1)=NX$1490,ROW(OFFSET(nombres[],0,0,ROWS(nombres[]),1))-ROW(OFFSET(nombres[],0,0,1,1))+1,ROW(OFFSET(nombres[],ROWS(nombres[])-1,0,1,1))+1),$O1548:$O1567),3),"")</f>
        <v/>
      </c>
      <c r="NY1548" s="42" t="str">
        <f t="array" aca="1" ref="NY1548" ca="1">IFERROR(INDEX(nombres[],SMALL(IF(OFFSET(nombres[],0,0,ROWS(nombres[]),1)=NY$1490,ROW(OFFSET(nombres[],0,0,ROWS(nombres[]),1))-ROW(OFFSET(nombres[],0,0,1,1))+1,ROW(OFFSET(nombres[],ROWS(nombres[])-1,0,1,1))+1),$O1548:$O1567),3),"")</f>
        <v/>
      </c>
      <c r="NZ1548" s="42" t="str">
        <f t="array" aca="1" ref="NZ1548" ca="1">IFERROR(INDEX(nombres[],SMALL(IF(OFFSET(nombres[],0,0,ROWS(nombres[]),1)=NZ$1490,ROW(OFFSET(nombres[],0,0,ROWS(nombres[]),1))-ROW(OFFSET(nombres[],0,0,1,1))+1,ROW(OFFSET(nombres[],ROWS(nombres[])-1,0,1,1))+1),$O1548:$O1567),3),"")</f>
        <v/>
      </c>
      <c r="OA1548" s="42" t="str">
        <f t="array" aca="1" ref="OA1548" ca="1">IFERROR(INDEX(nombres[],SMALL(IF(OFFSET(nombres[],0,0,ROWS(nombres[]),1)=OA$1490,ROW(OFFSET(nombres[],0,0,ROWS(nombres[]),1))-ROW(OFFSET(nombres[],0,0,1,1))+1,ROW(OFFSET(nombres[],ROWS(nombres[])-1,0,1,1))+1),$O1548:$O1567),3),"")</f>
        <v/>
      </c>
      <c r="OB1548" s="42" t="str">
        <f t="array" aca="1" ref="OB1548" ca="1">IFERROR(INDEX(nombres[],SMALL(IF(OFFSET(nombres[],0,0,ROWS(nombres[]),1)=OB$1490,ROW(OFFSET(nombres[],0,0,ROWS(nombres[]),1))-ROW(OFFSET(nombres[],0,0,1,1))+1,ROW(OFFSET(nombres[],ROWS(nombres[])-1,0,1,1))+1),$O1548:$O1567),3),"")</f>
        <v/>
      </c>
      <c r="OC1548" s="42" t="str">
        <f t="array" aca="1" ref="OC1548" ca="1">IFERROR(INDEX(nombres[],SMALL(IF(OFFSET(nombres[],0,0,ROWS(nombres[]),1)=OC$1490,ROW(OFFSET(nombres[],0,0,ROWS(nombres[]),1))-ROW(OFFSET(nombres[],0,0,1,1))+1,ROW(OFFSET(nombres[],ROWS(nombres[])-1,0,1,1))+1),$O1548:$O1567),3),"")</f>
        <v/>
      </c>
      <c r="OD1548" s="42" t="str">
        <f t="array" aca="1" ref="OD1548" ca="1">IFERROR(INDEX(nombres[],SMALL(IF(OFFSET(nombres[],0,0,ROWS(nombres[]),1)=OD$1490,ROW(OFFSET(nombres[],0,0,ROWS(nombres[]),1))-ROW(OFFSET(nombres[],0,0,1,1))+1,ROW(OFFSET(nombres[],ROWS(nombres[])-1,0,1,1))+1),$O1548:$O1567),3),"")</f>
        <v/>
      </c>
      <c r="OE1548" s="42" t="str">
        <f t="array" aca="1" ref="OE1548" ca="1">IFERROR(INDEX(nombres[],SMALL(IF(OFFSET(nombres[],0,0,ROWS(nombres[]),1)=OE$1490,ROW(OFFSET(nombres[],0,0,ROWS(nombres[]),1))-ROW(OFFSET(nombres[],0,0,1,1))+1,ROW(OFFSET(nombres[],ROWS(nombres[])-1,0,1,1))+1),$O1548:$O1567),3),"")</f>
        <v/>
      </c>
      <c r="OF1548" s="42" t="str">
        <f t="array" aca="1" ref="OF1548" ca="1">IFERROR(INDEX(nombres[],SMALL(IF(OFFSET(nombres[],0,0,ROWS(nombres[]),1)=OF$1490,ROW(OFFSET(nombres[],0,0,ROWS(nombres[]),1))-ROW(OFFSET(nombres[],0,0,1,1))+1,ROW(OFFSET(nombres[],ROWS(nombres[])-1,0,1,1))+1),$O1548:$O1567),3),"")</f>
        <v/>
      </c>
      <c r="OG1548" s="42" t="str">
        <f t="array" aca="1" ref="OG1548" ca="1">IFERROR(INDEX(nombres[],SMALL(IF(OFFSET(nombres[],0,0,ROWS(nombres[]),1)=OG$1490,ROW(OFFSET(nombres[],0,0,ROWS(nombres[]),1))-ROW(OFFSET(nombres[],0,0,1,1))+1,ROW(OFFSET(nombres[],ROWS(nombres[])-1,0,1,1))+1),$O1548:$O1567),3),"")</f>
        <v/>
      </c>
      <c r="OH1548" s="42" t="str">
        <f t="array" aca="1" ref="OH1548" ca="1">IFERROR(INDEX(nombres[],SMALL(IF(OFFSET(nombres[],0,0,ROWS(nombres[]),1)=OH$1490,ROW(OFFSET(nombres[],0,0,ROWS(nombres[]),1))-ROW(OFFSET(nombres[],0,0,1,1))+1,ROW(OFFSET(nombres[],ROWS(nombres[])-1,0,1,1))+1),$O1548:$O1567),3),"")</f>
        <v/>
      </c>
      <c r="OI1548" s="42" t="str">
        <f t="array" aca="1" ref="OI1548" ca="1">IFERROR(INDEX(nombres[],SMALL(IF(OFFSET(nombres[],0,0,ROWS(nombres[]),1)=OI$1490,ROW(OFFSET(nombres[],0,0,ROWS(nombres[]),1))-ROW(OFFSET(nombres[],0,0,1,1))+1,ROW(OFFSET(nombres[],ROWS(nombres[])-1,0,1,1))+1),$O1548:$O1567),3),"")</f>
        <v/>
      </c>
      <c r="OJ1548" s="42" t="str">
        <f t="array" aca="1" ref="OJ1548" ca="1">IFERROR(INDEX(nombres[],SMALL(IF(OFFSET(nombres[],0,0,ROWS(nombres[]),1)=OJ$1490,ROW(OFFSET(nombres[],0,0,ROWS(nombres[]),1))-ROW(OFFSET(nombres[],0,0,1,1))+1,ROW(OFFSET(nombres[],ROWS(nombres[])-1,0,1,1))+1),$O1548:$O1567),3),"")</f>
        <v/>
      </c>
      <c r="OK1548" s="42" t="str">
        <f t="array" aca="1" ref="OK1548" ca="1">IFERROR(INDEX(nombres[],SMALL(IF(OFFSET(nombres[],0,0,ROWS(nombres[]),1)=OK$1490,ROW(OFFSET(nombres[],0,0,ROWS(nombres[]),1))-ROW(OFFSET(nombres[],0,0,1,1))+1,ROW(OFFSET(nombres[],ROWS(nombres[])-1,0,1,1))+1),$O1548:$O1567),3),"")</f>
        <v/>
      </c>
      <c r="OL1548" s="42" t="str">
        <f t="array" aca="1" ref="OL1548" ca="1">IFERROR(INDEX(nombres[],SMALL(IF(OFFSET(nombres[],0,0,ROWS(nombres[]),1)=OL$1490,ROW(OFFSET(nombres[],0,0,ROWS(nombres[]),1))-ROW(OFFSET(nombres[],0,0,1,1))+1,ROW(OFFSET(nombres[],ROWS(nombres[])-1,0,1,1))+1),$O1548:$O1567),3),"")</f>
        <v/>
      </c>
      <c r="OM1548" s="42" t="str">
        <f t="array" aca="1" ref="OM1548" ca="1">IFERROR(INDEX(nombres[],SMALL(IF(OFFSET(nombres[],0,0,ROWS(nombres[]),1)=OM$1490,ROW(OFFSET(nombres[],0,0,ROWS(nombres[]),1))-ROW(OFFSET(nombres[],0,0,1,1))+1,ROW(OFFSET(nombres[],ROWS(nombres[])-1,0,1,1))+1),$O1548:$O1567),3),"")</f>
        <v/>
      </c>
      <c r="ON1548" s="42" t="str">
        <f t="array" aca="1" ref="ON1548" ca="1">IFERROR(INDEX(nombres[],SMALL(IF(OFFSET(nombres[],0,0,ROWS(nombres[]),1)=ON$1490,ROW(OFFSET(nombres[],0,0,ROWS(nombres[]),1))-ROW(OFFSET(nombres[],0,0,1,1))+1,ROW(OFFSET(nombres[],ROWS(nombres[])-1,0,1,1))+1),$O1548:$O1567),3),"")</f>
        <v/>
      </c>
      <c r="OO1548" s="42" t="str">
        <f t="array" aca="1" ref="OO1548" ca="1">IFERROR(INDEX(nombres[],SMALL(IF(OFFSET(nombres[],0,0,ROWS(nombres[]),1)=OO$1490,ROW(OFFSET(nombres[],0,0,ROWS(nombres[]),1))-ROW(OFFSET(nombres[],0,0,1,1))+1,ROW(OFFSET(nombres[],ROWS(nombres[])-1,0,1,1))+1),$O1548:$O1567),3),"")</f>
        <v/>
      </c>
      <c r="OP1548" s="42" t="str">
        <f t="array" aca="1" ref="OP1548" ca="1">IFERROR(INDEX(nombres[],SMALL(IF(OFFSET(nombres[],0,0,ROWS(nombres[]),1)=OP$1490,ROW(OFFSET(nombres[],0,0,ROWS(nombres[]),1))-ROW(OFFSET(nombres[],0,0,1,1))+1,ROW(OFFSET(nombres[],ROWS(nombres[])-1,0,1,1))+1),$O1548:$O1567),3),"")</f>
        <v/>
      </c>
      <c r="OQ1548" s="42" t="str">
        <f t="array" aca="1" ref="OQ1548" ca="1">IFERROR(INDEX(nombres[],SMALL(IF(OFFSET(nombres[],0,0,ROWS(nombres[]),1)=OQ$1490,ROW(OFFSET(nombres[],0,0,ROWS(nombres[]),1))-ROW(OFFSET(nombres[],0,0,1,1))+1,ROW(OFFSET(nombres[],ROWS(nombres[])-1,0,1,1))+1),$O1548:$O1567),3),"")</f>
        <v/>
      </c>
      <c r="OR1548" s="42" t="str">
        <f t="array" aca="1" ref="OR1548" ca="1">IFERROR(INDEX(nombres[],SMALL(IF(OFFSET(nombres[],0,0,ROWS(nombres[]),1)=OR$1490,ROW(OFFSET(nombres[],0,0,ROWS(nombres[]),1))-ROW(OFFSET(nombres[],0,0,1,1))+1,ROW(OFFSET(nombres[],ROWS(nombres[])-1,0,1,1))+1),$O1548:$O1567),3),"")</f>
        <v/>
      </c>
      <c r="OS1548" s="42" t="str">
        <f t="array" aca="1" ref="OS1548" ca="1">IFERROR(INDEX(nombres[],SMALL(IF(OFFSET(nombres[],0,0,ROWS(nombres[]),1)=OS$1490,ROW(OFFSET(nombres[],0,0,ROWS(nombres[]),1))-ROW(OFFSET(nombres[],0,0,1,1))+1,ROW(OFFSET(nombres[],ROWS(nombres[])-1,0,1,1))+1),$O1548:$O1567),3),"")</f>
        <v/>
      </c>
      <c r="OT1548" s="42" t="str">
        <f t="array" aca="1" ref="OT1548" ca="1">IFERROR(INDEX(nombres[],SMALL(IF(OFFSET(nombres[],0,0,ROWS(nombres[]),1)=OT$1490,ROW(OFFSET(nombres[],0,0,ROWS(nombres[]),1))-ROW(OFFSET(nombres[],0,0,1,1))+1,ROW(OFFSET(nombres[],ROWS(nombres[])-1,0,1,1))+1),$O1548:$O1567),3),"")</f>
        <v/>
      </c>
      <c r="OU1548" s="42" t="str">
        <f t="array" aca="1" ref="OU1548" ca="1">IFERROR(INDEX(nombres[],SMALL(IF(OFFSET(nombres[],0,0,ROWS(nombres[]),1)=OU$1490,ROW(OFFSET(nombres[],0,0,ROWS(nombres[]),1))-ROW(OFFSET(nombres[],0,0,1,1))+1,ROW(OFFSET(nombres[],ROWS(nombres[])-1,0,1,1))+1),$O1548:$O1567),3),"")</f>
        <v/>
      </c>
      <c r="OV1548" s="42" t="str">
        <f t="array" aca="1" ref="OV1548" ca="1">IFERROR(INDEX(nombres[],SMALL(IF(OFFSET(nombres[],0,0,ROWS(nombres[]),1)=OV$1490,ROW(OFFSET(nombres[],0,0,ROWS(nombres[]),1))-ROW(OFFSET(nombres[],0,0,1,1))+1,ROW(OFFSET(nombres[],ROWS(nombres[])-1,0,1,1))+1),$O1548:$O1567),3),"")</f>
        <v/>
      </c>
      <c r="OW1548" s="42" t="str">
        <f t="array" aca="1" ref="OW1548" ca="1">IFERROR(INDEX(nombres[],SMALL(IF(OFFSET(nombres[],0,0,ROWS(nombres[]),1)=OW$1490,ROW(OFFSET(nombres[],0,0,ROWS(nombres[]),1))-ROW(OFFSET(nombres[],0,0,1,1))+1,ROW(OFFSET(nombres[],ROWS(nombres[])-1,0,1,1))+1),$O1548:$O1567),3),"")</f>
        <v/>
      </c>
      <c r="OX1548" s="42" t="str">
        <f t="array" aca="1" ref="OX1548" ca="1">IFERROR(INDEX(nombres[],SMALL(IF(OFFSET(nombres[],0,0,ROWS(nombres[]),1)=OX$1490,ROW(OFFSET(nombres[],0,0,ROWS(nombres[]),1))-ROW(OFFSET(nombres[],0,0,1,1))+1,ROW(OFFSET(nombres[],ROWS(nombres[])-1,0,1,1))+1),$O1548:$O1567),3),"")</f>
        <v/>
      </c>
      <c r="OY1548" s="42" t="str">
        <f t="array" aca="1" ref="OY1548" ca="1">IFERROR(INDEX(nombres[],SMALL(IF(OFFSET(nombres[],0,0,ROWS(nombres[]),1)=OY$1490,ROW(OFFSET(nombres[],0,0,ROWS(nombres[]),1))-ROW(OFFSET(nombres[],0,0,1,1))+1,ROW(OFFSET(nombres[],ROWS(nombres[])-1,0,1,1))+1),$O1548:$O1567),3),"")</f>
        <v/>
      </c>
      <c r="OZ1548" s="42" t="str">
        <f t="array" aca="1" ref="OZ1548" ca="1">IFERROR(INDEX(nombres[],SMALL(IF(OFFSET(nombres[],0,0,ROWS(nombres[]),1)=OZ$1490,ROW(OFFSET(nombres[],0,0,ROWS(nombres[]),1))-ROW(OFFSET(nombres[],0,0,1,1))+1,ROW(OFFSET(nombres[],ROWS(nombres[])-1,0,1,1))+1),$O1548:$O1567),3),"")</f>
        <v/>
      </c>
      <c r="PA1548" s="42" t="str">
        <f t="array" aca="1" ref="PA1548" ca="1">IFERROR(INDEX(nombres[],SMALL(IF(OFFSET(nombres[],0,0,ROWS(nombres[]),1)=PA$1490,ROW(OFFSET(nombres[],0,0,ROWS(nombres[]),1))-ROW(OFFSET(nombres[],0,0,1,1))+1,ROW(OFFSET(nombres[],ROWS(nombres[])-1,0,1,1))+1),$O1548:$O1567),3),"")</f>
        <v/>
      </c>
      <c r="PB1548" s="42" t="str">
        <f t="array" aca="1" ref="PB1548" ca="1">IFERROR(INDEX(nombres[],SMALL(IF(OFFSET(nombres[],0,0,ROWS(nombres[]),1)=PB$1490,ROW(OFFSET(nombres[],0,0,ROWS(nombres[]),1))-ROW(OFFSET(nombres[],0,0,1,1))+1,ROW(OFFSET(nombres[],ROWS(nombres[])-1,0,1,1))+1),$O1548:$O1567),3),"")</f>
        <v/>
      </c>
      <c r="PC1548" s="42" t="str">
        <f t="array" aca="1" ref="PC1548" ca="1">IFERROR(INDEX(nombres[],SMALL(IF(OFFSET(nombres[],0,0,ROWS(nombres[]),1)=PC$1490,ROW(OFFSET(nombres[],0,0,ROWS(nombres[]),1))-ROW(OFFSET(nombres[],0,0,1,1))+1,ROW(OFFSET(nombres[],ROWS(nombres[])-1,0,1,1))+1),$O1548:$O1567),3),"")</f>
        <v/>
      </c>
      <c r="PD1548" s="42" t="str">
        <f t="array" aca="1" ref="PD1548" ca="1">IFERROR(INDEX(nombres[],SMALL(IF(OFFSET(nombres[],0,0,ROWS(nombres[]),1)=PD$1490,ROW(OFFSET(nombres[],0,0,ROWS(nombres[]),1))-ROW(OFFSET(nombres[],0,0,1,1))+1,ROW(OFFSET(nombres[],ROWS(nombres[])-1,0,1,1))+1),$O1548:$O1567),3),"")</f>
        <v/>
      </c>
      <c r="PE1548" s="42" t="str">
        <f t="array" aca="1" ref="PE1548" ca="1">IFERROR(INDEX(nombres[],SMALL(IF(OFFSET(nombres[],0,0,ROWS(nombres[]),1)=PE$1490,ROW(OFFSET(nombres[],0,0,ROWS(nombres[]),1))-ROW(OFFSET(nombres[],0,0,1,1))+1,ROW(OFFSET(nombres[],ROWS(nombres[])-1,0,1,1))+1),$O1548:$O1567),3),"")</f>
        <v/>
      </c>
      <c r="PF1548" s="42" t="str">
        <f t="array" aca="1" ref="PF1548" ca="1">IFERROR(INDEX(nombres[],SMALL(IF(OFFSET(nombres[],0,0,ROWS(nombres[]),1)=PF$1490,ROW(OFFSET(nombres[],0,0,ROWS(nombres[]),1))-ROW(OFFSET(nombres[],0,0,1,1))+1,ROW(OFFSET(nombres[],ROWS(nombres[])-1,0,1,1))+1),$O1548:$O1567),3),"")</f>
        <v/>
      </c>
      <c r="PG1548" s="42" t="str">
        <f t="array" aca="1" ref="PG1548" ca="1">IFERROR(INDEX(nombres[],SMALL(IF(OFFSET(nombres[],0,0,ROWS(nombres[]),1)=PG$1490,ROW(OFFSET(nombres[],0,0,ROWS(nombres[]),1))-ROW(OFFSET(nombres[],0,0,1,1))+1,ROW(OFFSET(nombres[],ROWS(nombres[])-1,0,1,1))+1),$O1548:$O1567),3),"")</f>
        <v/>
      </c>
      <c r="PH1548" s="42" t="str">
        <f t="array" aca="1" ref="PH1548" ca="1">IFERROR(INDEX(nombres[],SMALL(IF(OFFSET(nombres[],0,0,ROWS(nombres[]),1)=PH$1490,ROW(OFFSET(nombres[],0,0,ROWS(nombres[]),1))-ROW(OFFSET(nombres[],0,0,1,1))+1,ROW(OFFSET(nombres[],ROWS(nombres[])-1,0,1,1))+1),$O1548:$O1567),3),"")</f>
        <v/>
      </c>
      <c r="PI1548" s="42" t="str">
        <f t="array" aca="1" ref="PI1548" ca="1">IFERROR(INDEX(nombres[],SMALL(IF(OFFSET(nombres[],0,0,ROWS(nombres[]),1)=PI$1490,ROW(OFFSET(nombres[],0,0,ROWS(nombres[]),1))-ROW(OFFSET(nombres[],0,0,1,1))+1,ROW(OFFSET(nombres[],ROWS(nombres[])-1,0,1,1))+1),$O1548:$O1567),3),"")</f>
        <v/>
      </c>
      <c r="PJ1548" s="42" t="str">
        <f t="array" aca="1" ref="PJ1548" ca="1">IFERROR(INDEX(nombres[],SMALL(IF(OFFSET(nombres[],0,0,ROWS(nombres[]),1)=PJ$1490,ROW(OFFSET(nombres[],0,0,ROWS(nombres[]),1))-ROW(OFFSET(nombres[],0,0,1,1))+1,ROW(OFFSET(nombres[],ROWS(nombres[])-1,0,1,1))+1),$O1548:$O1567),3),"")</f>
        <v/>
      </c>
      <c r="PK1548" s="42" t="str">
        <f t="array" aca="1" ref="PK1548" ca="1">IFERROR(INDEX(nombres[],SMALL(IF(OFFSET(nombres[],0,0,ROWS(nombres[]),1)=PK$1490,ROW(OFFSET(nombres[],0,0,ROWS(nombres[]),1))-ROW(OFFSET(nombres[],0,0,1,1))+1,ROW(OFFSET(nombres[],ROWS(nombres[])-1,0,1,1))+1),$O1548:$O1567),3),"")</f>
        <v/>
      </c>
      <c r="PL1548" s="42" t="str">
        <f t="array" aca="1" ref="PL1548" ca="1">IFERROR(INDEX(nombres[],SMALL(IF(OFFSET(nombres[],0,0,ROWS(nombres[]),1)=PL$1490,ROW(OFFSET(nombres[],0,0,ROWS(nombres[]),1))-ROW(OFFSET(nombres[],0,0,1,1))+1,ROW(OFFSET(nombres[],ROWS(nombres[])-1,0,1,1))+1),$O1548:$O1567),3),"")</f>
        <v/>
      </c>
      <c r="PM1548" s="42" t="str">
        <f t="array" aca="1" ref="PM1548" ca="1">IFERROR(INDEX(nombres[],SMALL(IF(OFFSET(nombres[],0,0,ROWS(nombres[]),1)=PM$1490,ROW(OFFSET(nombres[],0,0,ROWS(nombres[]),1))-ROW(OFFSET(nombres[],0,0,1,1))+1,ROW(OFFSET(nombres[],ROWS(nombres[])-1,0,1,1))+1),$O1548:$O1567),3),"")</f>
        <v/>
      </c>
      <c r="PN1548" s="42" t="str">
        <f t="array" aca="1" ref="PN1548" ca="1">IFERROR(INDEX(nombres[],SMALL(IF(OFFSET(nombres[],0,0,ROWS(nombres[]),1)=PN$1490,ROW(OFFSET(nombres[],0,0,ROWS(nombres[]),1))-ROW(OFFSET(nombres[],0,0,1,1))+1,ROW(OFFSET(nombres[],ROWS(nombres[])-1,0,1,1))+1),$O1548:$O1567),3),"")</f>
        <v/>
      </c>
      <c r="PO1548" s="42" t="str">
        <f t="array" aca="1" ref="PO1548" ca="1">IFERROR(INDEX(nombres[],SMALL(IF(OFFSET(nombres[],0,0,ROWS(nombres[]),1)=PO$1490,ROW(OFFSET(nombres[],0,0,ROWS(nombres[]),1))-ROW(OFFSET(nombres[],0,0,1,1))+1,ROW(OFFSET(nombres[],ROWS(nombres[])-1,0,1,1))+1),$O1548:$O1567),3),"")</f>
        <v/>
      </c>
      <c r="PP1548" s="42" t="str">
        <f t="array" aca="1" ref="PP1548" ca="1">IFERROR(INDEX(nombres[],SMALL(IF(OFFSET(nombres[],0,0,ROWS(nombres[]),1)=PP$1490,ROW(OFFSET(nombres[],0,0,ROWS(nombres[]),1))-ROW(OFFSET(nombres[],0,0,1,1))+1,ROW(OFFSET(nombres[],ROWS(nombres[])-1,0,1,1))+1),$O1548:$O1567),3),"")</f>
        <v/>
      </c>
      <c r="PQ1548" s="42" t="str">
        <f t="array" aca="1" ref="PQ1548" ca="1">IFERROR(INDEX(nombres[],SMALL(IF(OFFSET(nombres[],0,0,ROWS(nombres[]),1)=PQ$1490,ROW(OFFSET(nombres[],0,0,ROWS(nombres[]),1))-ROW(OFFSET(nombres[],0,0,1,1))+1,ROW(OFFSET(nombres[],ROWS(nombres[])-1,0,1,1))+1),$O1548:$O1567),3),"")</f>
        <v/>
      </c>
      <c r="PR1548" s="42" t="str">
        <f t="array" aca="1" ref="PR1548" ca="1">IFERROR(INDEX(nombres[],SMALL(IF(OFFSET(nombres[],0,0,ROWS(nombres[]),1)=PR$1490,ROW(OFFSET(nombres[],0,0,ROWS(nombres[]),1))-ROW(OFFSET(nombres[],0,0,1,1))+1,ROW(OFFSET(nombres[],ROWS(nombres[])-1,0,1,1))+1),$O1548:$O1567),3),"")</f>
        <v/>
      </c>
      <c r="PS1548" s="42" t="str">
        <f t="array" aca="1" ref="PS1548" ca="1">IFERROR(INDEX(nombres[],SMALL(IF(OFFSET(nombres[],0,0,ROWS(nombres[]),1)=PS$1490,ROW(OFFSET(nombres[],0,0,ROWS(nombres[]),1))-ROW(OFFSET(nombres[],0,0,1,1))+1,ROW(OFFSET(nombres[],ROWS(nombres[])-1,0,1,1))+1),$O1548:$O1567),3),"")</f>
        <v/>
      </c>
      <c r="PT1548" s="42" t="str">
        <f t="array" aca="1" ref="PT1548" ca="1">IFERROR(INDEX(nombres[],SMALL(IF(OFFSET(nombres[],0,0,ROWS(nombres[]),1)=PT$1490,ROW(OFFSET(nombres[],0,0,ROWS(nombres[]),1))-ROW(OFFSET(nombres[],0,0,1,1))+1,ROW(OFFSET(nombres[],ROWS(nombres[])-1,0,1,1))+1),$O1548:$O1567),3),"")</f>
        <v/>
      </c>
      <c r="PU1548" s="42" t="str">
        <f t="array" aca="1" ref="PU1548" ca="1">IFERROR(INDEX(nombres[],SMALL(IF(OFFSET(nombres[],0,0,ROWS(nombres[]),1)=PU$1490,ROW(OFFSET(nombres[],0,0,ROWS(nombres[]),1))-ROW(OFFSET(nombres[],0,0,1,1))+1,ROW(OFFSET(nombres[],ROWS(nombres[])-1,0,1,1))+1),$O1548:$O1567),3),"")</f>
        <v/>
      </c>
      <c r="PV1548" s="42" t="str">
        <f t="array" aca="1" ref="PV1548" ca="1">IFERROR(INDEX(nombres[],SMALL(IF(OFFSET(nombres[],0,0,ROWS(nombres[]),1)=PV$1490,ROW(OFFSET(nombres[],0,0,ROWS(nombres[]),1))-ROW(OFFSET(nombres[],0,0,1,1))+1,ROW(OFFSET(nombres[],ROWS(nombres[])-1,0,1,1))+1),$O1548:$O1567),3),"")</f>
        <v/>
      </c>
      <c r="PW1548" s="42" t="str">
        <f t="array" aca="1" ref="PW1548" ca="1">IFERROR(INDEX(nombres[],SMALL(IF(OFFSET(nombres[],0,0,ROWS(nombres[]),1)=PW$1490,ROW(OFFSET(nombres[],0,0,ROWS(nombres[]),1))-ROW(OFFSET(nombres[],0,0,1,1))+1,ROW(OFFSET(nombres[],ROWS(nombres[])-1,0,1,1))+1),$O1548:$O1567),3),"")</f>
        <v/>
      </c>
      <c r="PX1548" s="42" t="str">
        <f t="array" aca="1" ref="PX1548" ca="1">IFERROR(INDEX(nombres[],SMALL(IF(OFFSET(nombres[],0,0,ROWS(nombres[]),1)=PX$1490,ROW(OFFSET(nombres[],0,0,ROWS(nombres[]),1))-ROW(OFFSET(nombres[],0,0,1,1))+1,ROW(OFFSET(nombres[],ROWS(nombres[])-1,0,1,1))+1),$O1548:$O1567),3),"")</f>
        <v/>
      </c>
      <c r="PY1548" s="42" t="str">
        <f t="array" aca="1" ref="PY1548" ca="1">IFERROR(INDEX(nombres[],SMALL(IF(OFFSET(nombres[],0,0,ROWS(nombres[]),1)=PY$1490,ROW(OFFSET(nombres[],0,0,ROWS(nombres[]),1))-ROW(OFFSET(nombres[],0,0,1,1))+1,ROW(OFFSET(nombres[],ROWS(nombres[])-1,0,1,1))+1),$O1548:$O1567),3),"")</f>
        <v/>
      </c>
      <c r="PZ1548" s="42" t="str">
        <f t="array" aca="1" ref="PZ1548" ca="1">IFERROR(INDEX(nombres[],SMALL(IF(OFFSET(nombres[],0,0,ROWS(nombres[]),1)=PZ$1490,ROW(OFFSET(nombres[],0,0,ROWS(nombres[]),1))-ROW(OFFSET(nombres[],0,0,1,1))+1,ROW(OFFSET(nombres[],ROWS(nombres[])-1,0,1,1))+1),$O1548:$O1567),3),"")</f>
        <v/>
      </c>
      <c r="QA1548" s="42" t="str">
        <f t="array" aca="1" ref="QA1548" ca="1">IFERROR(INDEX(nombres[],SMALL(IF(OFFSET(nombres[],0,0,ROWS(nombres[]),1)=QA$1490,ROW(OFFSET(nombres[],0,0,ROWS(nombres[]),1))-ROW(OFFSET(nombres[],0,0,1,1))+1,ROW(OFFSET(nombres[],ROWS(nombres[])-1,0,1,1))+1),$O1548:$O1567),3),"")</f>
        <v/>
      </c>
      <c r="QB1548" s="42" t="str">
        <f t="array" aca="1" ref="QB1548" ca="1">IFERROR(INDEX(nombres[],SMALL(IF(OFFSET(nombres[],0,0,ROWS(nombres[]),1)=QB$1490,ROW(OFFSET(nombres[],0,0,ROWS(nombres[]),1))-ROW(OFFSET(nombres[],0,0,1,1))+1,ROW(OFFSET(nombres[],ROWS(nombres[])-1,0,1,1))+1),$O1548:$O1567),3),"")</f>
        <v/>
      </c>
      <c r="QC1548" s="42" t="str">
        <f t="array" aca="1" ref="QC1548" ca="1">IFERROR(INDEX(nombres[],SMALL(IF(OFFSET(nombres[],0,0,ROWS(nombres[]),1)=QC$1490,ROW(OFFSET(nombres[],0,0,ROWS(nombres[]),1))-ROW(OFFSET(nombres[],0,0,1,1))+1,ROW(OFFSET(nombres[],ROWS(nombres[])-1,0,1,1))+1),$O1548:$O1567),3),"")</f>
        <v/>
      </c>
      <c r="QD1548" s="42" t="str">
        <f t="array" aca="1" ref="QD1548" ca="1">IFERROR(INDEX(nombres[],SMALL(IF(OFFSET(nombres[],0,0,ROWS(nombres[]),1)=QD$1490,ROW(OFFSET(nombres[],0,0,ROWS(nombres[]),1))-ROW(OFFSET(nombres[],0,0,1,1))+1,ROW(OFFSET(nombres[],ROWS(nombres[])-1,0,1,1))+1),$O1548:$O1567),3),"")</f>
        <v/>
      </c>
      <c r="QE1548" s="42" t="str">
        <f t="array" aca="1" ref="QE1548" ca="1">IFERROR(INDEX(nombres[],SMALL(IF(OFFSET(nombres[],0,0,ROWS(nombres[]),1)=QE$1490,ROW(OFFSET(nombres[],0,0,ROWS(nombres[]),1))-ROW(OFFSET(nombres[],0,0,1,1))+1,ROW(OFFSET(nombres[],ROWS(nombres[])-1,0,1,1))+1),$O1548:$O1567),3),"")</f>
        <v/>
      </c>
      <c r="QF1548" s="42" t="str">
        <f t="array" aca="1" ref="QF1548" ca="1">IFERROR(INDEX(nombres[],SMALL(IF(OFFSET(nombres[],0,0,ROWS(nombres[]),1)=QF$1490,ROW(OFFSET(nombres[],0,0,ROWS(nombres[]),1))-ROW(OFFSET(nombres[],0,0,1,1))+1,ROW(OFFSET(nombres[],ROWS(nombres[])-1,0,1,1))+1),$O1548:$O1567),3),"")</f>
        <v/>
      </c>
      <c r="QG1548" s="42" t="str">
        <f t="array" aca="1" ref="QG1548" ca="1">IFERROR(INDEX(nombres[],SMALL(IF(OFFSET(nombres[],0,0,ROWS(nombres[]),1)=QG$1490,ROW(OFFSET(nombres[],0,0,ROWS(nombres[]),1))-ROW(OFFSET(nombres[],0,0,1,1))+1,ROW(OFFSET(nombres[],ROWS(nombres[])-1,0,1,1))+1),$O1548:$O1567),3),"")</f>
        <v/>
      </c>
      <c r="QH1548" s="42" t="str">
        <f t="array" aca="1" ref="QH1548" ca="1">IFERROR(INDEX(nombres[],SMALL(IF(OFFSET(nombres[],0,0,ROWS(nombres[]),1)=QH$1490,ROW(OFFSET(nombres[],0,0,ROWS(nombres[]),1))-ROW(OFFSET(nombres[],0,0,1,1))+1,ROW(OFFSET(nombres[],ROWS(nombres[])-1,0,1,1))+1),$O1548:$O1567),3),"")</f>
        <v/>
      </c>
      <c r="QI1548" s="42" t="str">
        <f t="array" aca="1" ref="QI1548" ca="1">IFERROR(INDEX(nombres[],SMALL(IF(OFFSET(nombres[],0,0,ROWS(nombres[]),1)=QI$1490,ROW(OFFSET(nombres[],0,0,ROWS(nombres[]),1))-ROW(OFFSET(nombres[],0,0,1,1))+1,ROW(OFFSET(nombres[],ROWS(nombres[])-1,0,1,1))+1),$O1548:$O1567),3),"")</f>
        <v/>
      </c>
      <c r="QJ1548" s="42" t="str">
        <f t="array" aca="1" ref="QJ1548" ca="1">IFERROR(INDEX(nombres[],SMALL(IF(OFFSET(nombres[],0,0,ROWS(nombres[]),1)=QJ$1490,ROW(OFFSET(nombres[],0,0,ROWS(nombres[]),1))-ROW(OFFSET(nombres[],0,0,1,1))+1,ROW(OFFSET(nombres[],ROWS(nombres[])-1,0,1,1))+1),$O1548:$O1567),3),"")</f>
        <v/>
      </c>
      <c r="QK1548" s="42" t="str">
        <f t="array" aca="1" ref="QK1548" ca="1">IFERROR(INDEX(nombres[],SMALL(IF(OFFSET(nombres[],0,0,ROWS(nombres[]),1)=QK$1490,ROW(OFFSET(nombres[],0,0,ROWS(nombres[]),1))-ROW(OFFSET(nombres[],0,0,1,1))+1,ROW(OFFSET(nombres[],ROWS(nombres[])-1,0,1,1))+1),$O1548:$O1567),3),"")</f>
        <v/>
      </c>
      <c r="QL1548" s="42" t="str">
        <f t="array" aca="1" ref="QL1548" ca="1">IFERROR(INDEX(nombres[],SMALL(IF(OFFSET(nombres[],0,0,ROWS(nombres[]),1)=QL$1490,ROW(OFFSET(nombres[],0,0,ROWS(nombres[]),1))-ROW(OFFSET(nombres[],0,0,1,1))+1,ROW(OFFSET(nombres[],ROWS(nombres[])-1,0,1,1))+1),$O1548:$O1567),3),"")</f>
        <v/>
      </c>
      <c r="QM1548" s="42" t="str">
        <f t="array" aca="1" ref="QM1548" ca="1">IFERROR(INDEX(nombres[],SMALL(IF(OFFSET(nombres[],0,0,ROWS(nombres[]),1)=QM$1490,ROW(OFFSET(nombres[],0,0,ROWS(nombres[]),1))-ROW(OFFSET(nombres[],0,0,1,1))+1,ROW(OFFSET(nombres[],ROWS(nombres[])-1,0,1,1))+1),$O1548:$O1567),3),"")</f>
        <v/>
      </c>
      <c r="QN1548" s="42" t="str">
        <f t="array" aca="1" ref="QN1548" ca="1">IFERROR(INDEX(nombres[],SMALL(IF(OFFSET(nombres[],0,0,ROWS(nombres[]),1)=QN$1490,ROW(OFFSET(nombres[],0,0,ROWS(nombres[]),1))-ROW(OFFSET(nombres[],0,0,1,1))+1,ROW(OFFSET(nombres[],ROWS(nombres[])-1,0,1,1))+1),$O1548:$O1567),3),"")</f>
        <v/>
      </c>
      <c r="QO1548" s="42" t="str">
        <f t="array" aca="1" ref="QO1548" ca="1">IFERROR(INDEX(nombres[],SMALL(IF(OFFSET(nombres[],0,0,ROWS(nombres[]),1)=QO$1490,ROW(OFFSET(nombres[],0,0,ROWS(nombres[]),1))-ROW(OFFSET(nombres[],0,0,1,1))+1,ROW(OFFSET(nombres[],ROWS(nombres[])-1,0,1,1))+1),$O1548:$O1567),3),"")</f>
        <v/>
      </c>
      <c r="QP1548" s="42" t="str">
        <f t="array" aca="1" ref="QP1548" ca="1">IFERROR(INDEX(nombres[],SMALL(IF(OFFSET(nombres[],0,0,ROWS(nombres[]),1)=QP$1490,ROW(OFFSET(nombres[],0,0,ROWS(nombres[]),1))-ROW(OFFSET(nombres[],0,0,1,1))+1,ROW(OFFSET(nombres[],ROWS(nombres[])-1,0,1,1))+1),$O1548:$O1567),3),"")</f>
        <v/>
      </c>
      <c r="QQ1548" s="42" t="str">
        <f t="array" aca="1" ref="QQ1548" ca="1">IFERROR(INDEX(nombres[],SMALL(IF(OFFSET(nombres[],0,0,ROWS(nombres[]),1)=QQ$1490,ROW(OFFSET(nombres[],0,0,ROWS(nombres[]),1))-ROW(OFFSET(nombres[],0,0,1,1))+1,ROW(OFFSET(nombres[],ROWS(nombres[])-1,0,1,1))+1),$O1548:$O1567),3),"")</f>
        <v/>
      </c>
      <c r="QR1548" s="42" t="str">
        <f t="array" aca="1" ref="QR1548" ca="1">IFERROR(INDEX(nombres[],SMALL(IF(OFFSET(nombres[],0,0,ROWS(nombres[]),1)=QR$1490,ROW(OFFSET(nombres[],0,0,ROWS(nombres[]),1))-ROW(OFFSET(nombres[],0,0,1,1))+1,ROW(OFFSET(nombres[],ROWS(nombres[])-1,0,1,1))+1),$O1548:$O1567),3),"")</f>
        <v/>
      </c>
      <c r="QS1548" s="42" t="str">
        <f t="array" aca="1" ref="QS1548" ca="1">IFERROR(INDEX(nombres[],SMALL(IF(OFFSET(nombres[],0,0,ROWS(nombres[]),1)=QS$1490,ROW(OFFSET(nombres[],0,0,ROWS(nombres[]),1))-ROW(OFFSET(nombres[],0,0,1,1))+1,ROW(OFFSET(nombres[],ROWS(nombres[])-1,0,1,1))+1),$O1548:$O1567),3),"")</f>
        <v/>
      </c>
      <c r="QT1548" s="42" t="str">
        <f t="array" aca="1" ref="QT1548" ca="1">IFERROR(INDEX(nombres[],SMALL(IF(OFFSET(nombres[],0,0,ROWS(nombres[]),1)=QT$1490,ROW(OFFSET(nombres[],0,0,ROWS(nombres[]),1))-ROW(OFFSET(nombres[],0,0,1,1))+1,ROW(OFFSET(nombres[],ROWS(nombres[])-1,0,1,1))+1),$O1548:$O1567),3),"")</f>
        <v/>
      </c>
      <c r="QU1548" s="42" t="str">
        <f t="array" aca="1" ref="QU1548" ca="1">IFERROR(INDEX(nombres[],SMALL(IF(OFFSET(nombres[],0,0,ROWS(nombres[]),1)=QU$1490,ROW(OFFSET(nombres[],0,0,ROWS(nombres[]),1))-ROW(OFFSET(nombres[],0,0,1,1))+1,ROW(OFFSET(nombres[],ROWS(nombres[])-1,0,1,1))+1),$O1548:$O1567),3),"")</f>
        <v/>
      </c>
      <c r="QV1548" s="42" t="str">
        <f t="array" aca="1" ref="QV1548" ca="1">IFERROR(INDEX(nombres[],SMALL(IF(OFFSET(nombres[],0,0,ROWS(nombres[]),1)=QV$1490,ROW(OFFSET(nombres[],0,0,ROWS(nombres[]),1))-ROW(OFFSET(nombres[],0,0,1,1))+1,ROW(OFFSET(nombres[],ROWS(nombres[])-1,0,1,1))+1),$O1548:$O1567),3),"")</f>
        <v/>
      </c>
      <c r="QW1548" s="42" t="str">
        <f t="array" aca="1" ref="QW1548" ca="1">IFERROR(INDEX(nombres[],SMALL(IF(OFFSET(nombres[],0,0,ROWS(nombres[]),1)=QW$1490,ROW(OFFSET(nombres[],0,0,ROWS(nombres[]),1))-ROW(OFFSET(nombres[],0,0,1,1))+1,ROW(OFFSET(nombres[],ROWS(nombres[])-1,0,1,1))+1),$O1548:$O1567),3),"")</f>
        <v/>
      </c>
      <c r="QX1548" s="42" t="str">
        <f t="array" aca="1" ref="QX1548" ca="1">IFERROR(INDEX(nombres[],SMALL(IF(OFFSET(nombres[],0,0,ROWS(nombres[]),1)=QX$1490,ROW(OFFSET(nombres[],0,0,ROWS(nombres[]),1))-ROW(OFFSET(nombres[],0,0,1,1))+1,ROW(OFFSET(nombres[],ROWS(nombres[])-1,0,1,1))+1),$O1548:$O1567),3),"")</f>
        <v/>
      </c>
      <c r="QY1548" s="42" t="str">
        <f t="array" aca="1" ref="QY1548" ca="1">IFERROR(INDEX(nombres[],SMALL(IF(OFFSET(nombres[],0,0,ROWS(nombres[]),1)=QY$1490,ROW(OFFSET(nombres[],0,0,ROWS(nombres[]),1))-ROW(OFFSET(nombres[],0,0,1,1))+1,ROW(OFFSET(nombres[],ROWS(nombres[])-1,0,1,1))+1),$O1548:$O1567),3),"")</f>
        <v/>
      </c>
      <c r="QZ1548" s="42" t="str">
        <f t="array" aca="1" ref="QZ1548" ca="1">IFERROR(INDEX(nombres[],SMALL(IF(OFFSET(nombres[],0,0,ROWS(nombres[]),1)=QZ$1490,ROW(OFFSET(nombres[],0,0,ROWS(nombres[]),1))-ROW(OFFSET(nombres[],0,0,1,1))+1,ROW(OFFSET(nombres[],ROWS(nombres[])-1,0,1,1))+1),$O1548:$O1567),3),"")</f>
        <v/>
      </c>
      <c r="RA1548" s="42" t="str">
        <f t="array" aca="1" ref="RA1548" ca="1">IFERROR(INDEX(nombres[],SMALL(IF(OFFSET(nombres[],0,0,ROWS(nombres[]),1)=RA$1490,ROW(OFFSET(nombres[],0,0,ROWS(nombres[]),1))-ROW(OFFSET(nombres[],0,0,1,1))+1,ROW(OFFSET(nombres[],ROWS(nombres[])-1,0,1,1))+1),$O1548:$O1567),3),"")</f>
        <v/>
      </c>
      <c r="RB1548" s="42" t="str">
        <f t="array" aca="1" ref="RB1548" ca="1">IFERROR(INDEX(nombres[],SMALL(IF(OFFSET(nombres[],0,0,ROWS(nombres[]),1)=RB$1490,ROW(OFFSET(nombres[],0,0,ROWS(nombres[]),1))-ROW(OFFSET(nombres[],0,0,1,1))+1,ROW(OFFSET(nombres[],ROWS(nombres[])-1,0,1,1))+1),$O1548:$O1567),3),"")</f>
        <v/>
      </c>
      <c r="RC1548" s="42" t="str">
        <f t="array" aca="1" ref="RC1548" ca="1">IFERROR(INDEX(nombres[],SMALL(IF(OFFSET(nombres[],0,0,ROWS(nombres[]),1)=RC$1490,ROW(OFFSET(nombres[],0,0,ROWS(nombres[]),1))-ROW(OFFSET(nombres[],0,0,1,1))+1,ROW(OFFSET(nombres[],ROWS(nombres[])-1,0,1,1))+1),$O1548:$O1567),3),"")</f>
        <v/>
      </c>
      <c r="RD1548" s="42" t="str">
        <f t="array" aca="1" ref="RD1548" ca="1">IFERROR(INDEX(nombres[],SMALL(IF(OFFSET(nombres[],0,0,ROWS(nombres[]),1)=RD$1490,ROW(OFFSET(nombres[],0,0,ROWS(nombres[]),1))-ROW(OFFSET(nombres[],0,0,1,1))+1,ROW(OFFSET(nombres[],ROWS(nombres[])-1,0,1,1))+1),$O1548:$O1567),3),"")</f>
        <v/>
      </c>
      <c r="RE1548" s="42" t="str">
        <f t="array" aca="1" ref="RE1548" ca="1">IFERROR(INDEX(nombres[],SMALL(IF(OFFSET(nombres[],0,0,ROWS(nombres[]),1)=RE$1490,ROW(OFFSET(nombres[],0,0,ROWS(nombres[]),1))-ROW(OFFSET(nombres[],0,0,1,1))+1,ROW(OFFSET(nombres[],ROWS(nombres[])-1,0,1,1))+1),$O1548:$O1567),3),"")</f>
        <v/>
      </c>
      <c r="RF1548" s="42" t="str">
        <f t="array" aca="1" ref="RF1548" ca="1">IFERROR(INDEX(nombres[],SMALL(IF(OFFSET(nombres[],0,0,ROWS(nombres[]),1)=RF$1490,ROW(OFFSET(nombres[],0,0,ROWS(nombres[]),1))-ROW(OFFSET(nombres[],0,0,1,1))+1,ROW(OFFSET(nombres[],ROWS(nombres[])-1,0,1,1))+1),$O1548:$O1567),3),"")</f>
        <v/>
      </c>
      <c r="RG1548" s="42" t="str">
        <f t="array" aca="1" ref="RG1548" ca="1">IFERROR(INDEX(nombres[],SMALL(IF(OFFSET(nombres[],0,0,ROWS(nombres[]),1)=RG$1490,ROW(OFFSET(nombres[],0,0,ROWS(nombres[]),1))-ROW(OFFSET(nombres[],0,0,1,1))+1,ROW(OFFSET(nombres[],ROWS(nombres[])-1,0,1,1))+1),$O1548:$O1567),3),"")</f>
        <v/>
      </c>
      <c r="RH1548" s="42" t="str">
        <f t="array" aca="1" ref="RH1548" ca="1">IFERROR(INDEX(nombres[],SMALL(IF(OFFSET(nombres[],0,0,ROWS(nombres[]),1)=RH$1490,ROW(OFFSET(nombres[],0,0,ROWS(nombres[]),1))-ROW(OFFSET(nombres[],0,0,1,1))+1,ROW(OFFSET(nombres[],ROWS(nombres[])-1,0,1,1))+1),$O1548:$O1567),3),"")</f>
        <v/>
      </c>
      <c r="RI1548" s="42" t="str">
        <f t="array" aca="1" ref="RI1548" ca="1">IFERROR(INDEX(nombres[],SMALL(IF(OFFSET(nombres[],0,0,ROWS(nombres[]),1)=RI$1490,ROW(OFFSET(nombres[],0,0,ROWS(nombres[]),1))-ROW(OFFSET(nombres[],0,0,1,1))+1,ROW(OFFSET(nombres[],ROWS(nombres[])-1,0,1,1))+1),$O1548:$O1567),3),"")</f>
        <v/>
      </c>
      <c r="RJ1548" s="42" t="str">
        <f t="array" aca="1" ref="RJ1548" ca="1">IFERROR(INDEX(nombres[],SMALL(IF(OFFSET(nombres[],0,0,ROWS(nombres[]),1)=RJ$1490,ROW(OFFSET(nombres[],0,0,ROWS(nombres[]),1))-ROW(OFFSET(nombres[],0,0,1,1))+1,ROW(OFFSET(nombres[],ROWS(nombres[])-1,0,1,1))+1),$O1548:$O1567),3),"")</f>
        <v/>
      </c>
      <c r="RK1548" s="42" t="str">
        <f t="array" aca="1" ref="RK1548" ca="1">IFERROR(INDEX(nombres[],SMALL(IF(OFFSET(nombres[],0,0,ROWS(nombres[]),1)=RK$1490,ROW(OFFSET(nombres[],0,0,ROWS(nombres[]),1))-ROW(OFFSET(nombres[],0,0,1,1))+1,ROW(OFFSET(nombres[],ROWS(nombres[])-1,0,1,1))+1),$O1548:$O1567),3),"")</f>
        <v/>
      </c>
      <c r="RL1548" s="42" t="str">
        <f t="array" aca="1" ref="RL1548" ca="1">IFERROR(INDEX(nombres[],SMALL(IF(OFFSET(nombres[],0,0,ROWS(nombres[]),1)=RL$1490,ROW(OFFSET(nombres[],0,0,ROWS(nombres[]),1))-ROW(OFFSET(nombres[],0,0,1,1))+1,ROW(OFFSET(nombres[],ROWS(nombres[])-1,0,1,1))+1),$O1548:$O1567),3),"")</f>
        <v/>
      </c>
      <c r="RM1548" s="42" t="str">
        <f t="array" aca="1" ref="RM1548" ca="1">IFERROR(INDEX(nombres[],SMALL(IF(OFFSET(nombres[],0,0,ROWS(nombres[]),1)=RM$1490,ROW(OFFSET(nombres[],0,0,ROWS(nombres[]),1))-ROW(OFFSET(nombres[],0,0,1,1))+1,ROW(OFFSET(nombres[],ROWS(nombres[])-1,0,1,1))+1),$O1548:$O1567),3),"")</f>
        <v/>
      </c>
      <c r="RN1548" s="42" t="str">
        <f t="array" aca="1" ref="RN1548" ca="1">IFERROR(INDEX(nombres[],SMALL(IF(OFFSET(nombres[],0,0,ROWS(nombres[]),1)=RN$1490,ROW(OFFSET(nombres[],0,0,ROWS(nombres[]),1))-ROW(OFFSET(nombres[],0,0,1,1))+1,ROW(OFFSET(nombres[],ROWS(nombres[])-1,0,1,1))+1),$O1548:$O1567),3),"")</f>
        <v/>
      </c>
      <c r="RO1548" s="42" t="str">
        <f t="array" aca="1" ref="RO1548" ca="1">IFERROR(INDEX(nombres[],SMALL(IF(OFFSET(nombres[],0,0,ROWS(nombres[]),1)=RO$1490,ROW(OFFSET(nombres[],0,0,ROWS(nombres[]),1))-ROW(OFFSET(nombres[],0,0,1,1))+1,ROW(OFFSET(nombres[],ROWS(nombres[])-1,0,1,1))+1),$O1548:$O1567),3),"")</f>
        <v/>
      </c>
      <c r="RP1548" s="42" t="str">
        <f t="array" aca="1" ref="RP1548" ca="1">IFERROR(INDEX(nombres[],SMALL(IF(OFFSET(nombres[],0,0,ROWS(nombres[]),1)=RP$1490,ROW(OFFSET(nombres[],0,0,ROWS(nombres[]),1))-ROW(OFFSET(nombres[],0,0,1,1))+1,ROW(OFFSET(nombres[],ROWS(nombres[])-1,0,1,1))+1),$O1548:$O1567),3),"")</f>
        <v/>
      </c>
      <c r="RQ1548" s="42" t="str">
        <f t="array" aca="1" ref="RQ1548" ca="1">IFERROR(INDEX(nombres[],SMALL(IF(OFFSET(nombres[],0,0,ROWS(nombres[]),1)=RQ$1490,ROW(OFFSET(nombres[],0,0,ROWS(nombres[]),1))-ROW(OFFSET(nombres[],0,0,1,1))+1,ROW(OFFSET(nombres[],ROWS(nombres[])-1,0,1,1))+1),$O1548:$O1567),3),"")</f>
        <v/>
      </c>
      <c r="RR1548" s="42" t="str">
        <f t="array" aca="1" ref="RR1548" ca="1">IFERROR(INDEX(nombres[],SMALL(IF(OFFSET(nombres[],0,0,ROWS(nombres[]),1)=RR$1490,ROW(OFFSET(nombres[],0,0,ROWS(nombres[]),1))-ROW(OFFSET(nombres[],0,0,1,1))+1,ROW(OFFSET(nombres[],ROWS(nombres[])-1,0,1,1))+1),$O1548:$O1567),3),"")</f>
        <v/>
      </c>
      <c r="RS1548" s="42" t="str">
        <f t="array" aca="1" ref="RS1548" ca="1">IFERROR(INDEX(nombres[],SMALL(IF(OFFSET(nombres[],0,0,ROWS(nombres[]),1)=RS$1490,ROW(OFFSET(nombres[],0,0,ROWS(nombres[]),1))-ROW(OFFSET(nombres[],0,0,1,1))+1,ROW(OFFSET(nombres[],ROWS(nombres[])-1,0,1,1))+1),$O1548:$O1567),3),"")</f>
        <v/>
      </c>
      <c r="RT1548" s="42" t="str">
        <f t="array" aca="1" ref="RT1548" ca="1">IFERROR(INDEX(nombres[],SMALL(IF(OFFSET(nombres[],0,0,ROWS(nombres[]),1)=RT$1490,ROW(OFFSET(nombres[],0,0,ROWS(nombres[]),1))-ROW(OFFSET(nombres[],0,0,1,1))+1,ROW(OFFSET(nombres[],ROWS(nombres[])-1,0,1,1))+1),$O1548:$O1567),3),"")</f>
        <v/>
      </c>
      <c r="RU1548" s="42" t="str">
        <f t="array" aca="1" ref="RU1548" ca="1">IFERROR(INDEX(nombres[],SMALL(IF(OFFSET(nombres[],0,0,ROWS(nombres[]),1)=RU$1490,ROW(OFFSET(nombres[],0,0,ROWS(nombres[]),1))-ROW(OFFSET(nombres[],0,0,1,1))+1,ROW(OFFSET(nombres[],ROWS(nombres[])-1,0,1,1))+1),$O1548:$O1567),3),"")</f>
        <v/>
      </c>
      <c r="RV1548" s="42" t="str">
        <f t="array" aca="1" ref="RV1548" ca="1">IFERROR(INDEX(nombres[],SMALL(IF(OFFSET(nombres[],0,0,ROWS(nombres[]),1)=RV$1490,ROW(OFFSET(nombres[],0,0,ROWS(nombres[]),1))-ROW(OFFSET(nombres[],0,0,1,1))+1,ROW(OFFSET(nombres[],ROWS(nombres[])-1,0,1,1))+1),$O1548:$O1567),3),"")</f>
        <v/>
      </c>
      <c r="RW1548" s="42" t="str">
        <f t="array" aca="1" ref="RW1548" ca="1">IFERROR(INDEX(nombres[],SMALL(IF(OFFSET(nombres[],0,0,ROWS(nombres[]),1)=RW$1490,ROW(OFFSET(nombres[],0,0,ROWS(nombres[]),1))-ROW(OFFSET(nombres[],0,0,1,1))+1,ROW(OFFSET(nombres[],ROWS(nombres[])-1,0,1,1))+1),$O1548:$O1567),3),"")</f>
        <v/>
      </c>
      <c r="RX1548" s="42" t="str">
        <f t="array" aca="1" ref="RX1548" ca="1">IFERROR(INDEX(nombres[],SMALL(IF(OFFSET(nombres[],0,0,ROWS(nombres[]),1)=RX$1490,ROW(OFFSET(nombres[],0,0,ROWS(nombres[]),1))-ROW(OFFSET(nombres[],0,0,1,1))+1,ROW(OFFSET(nombres[],ROWS(nombres[])-1,0,1,1))+1),$O1548:$O1567),3),"")</f>
        <v/>
      </c>
      <c r="RY1548" s="42" t="str">
        <f t="array" aca="1" ref="RY1548" ca="1">IFERROR(INDEX(nombres[],SMALL(IF(OFFSET(nombres[],0,0,ROWS(nombres[]),1)=RY$1490,ROW(OFFSET(nombres[],0,0,ROWS(nombres[]),1))-ROW(OFFSET(nombres[],0,0,1,1))+1,ROW(OFFSET(nombres[],ROWS(nombres[])-1,0,1,1))+1),$O1548:$O1567),3),"")</f>
        <v/>
      </c>
      <c r="RZ1548" s="42" t="str">
        <f t="array" aca="1" ref="RZ1548" ca="1">IFERROR(INDEX(nombres[],SMALL(IF(OFFSET(nombres[],0,0,ROWS(nombres[]),1)=RZ$1490,ROW(OFFSET(nombres[],0,0,ROWS(nombres[]),1))-ROW(OFFSET(nombres[],0,0,1,1))+1,ROW(OFFSET(nombres[],ROWS(nombres[])-1,0,1,1))+1),$O1548:$O1567),3),"")</f>
        <v/>
      </c>
      <c r="SA1548" s="42" t="str">
        <f t="array" aca="1" ref="SA1548" ca="1">IFERROR(INDEX(nombres[],SMALL(IF(OFFSET(nombres[],0,0,ROWS(nombres[]),1)=SA$1490,ROW(OFFSET(nombres[],0,0,ROWS(nombres[]),1))-ROW(OFFSET(nombres[],0,0,1,1))+1,ROW(OFFSET(nombres[],ROWS(nombres[])-1,0,1,1))+1),$O1548:$O1567),3),"")</f>
        <v/>
      </c>
      <c r="SB1548" s="42" t="str">
        <f t="array" aca="1" ref="SB1548" ca="1">IFERROR(INDEX(nombres[],SMALL(IF(OFFSET(nombres[],0,0,ROWS(nombres[]),1)=SB$1490,ROW(OFFSET(nombres[],0,0,ROWS(nombres[]),1))-ROW(OFFSET(nombres[],0,0,1,1))+1,ROW(OFFSET(nombres[],ROWS(nombres[])-1,0,1,1))+1),$O1548:$O1567),3),"")</f>
        <v/>
      </c>
      <c r="SC1548" s="42" t="str">
        <f t="array" aca="1" ref="SC1548" ca="1">IFERROR(INDEX(nombres[],SMALL(IF(OFFSET(nombres[],0,0,ROWS(nombres[]),1)=SC$1490,ROW(OFFSET(nombres[],0,0,ROWS(nombres[]),1))-ROW(OFFSET(nombres[],0,0,1,1))+1,ROW(OFFSET(nombres[],ROWS(nombres[])-1,0,1,1))+1),$O1548:$O1567),3),"")</f>
        <v/>
      </c>
      <c r="SD1548" s="42" t="str">
        <f t="array" aca="1" ref="SD1548" ca="1">IFERROR(INDEX(nombres[],SMALL(IF(OFFSET(nombres[],0,0,ROWS(nombres[]),1)=SD$1490,ROW(OFFSET(nombres[],0,0,ROWS(nombres[]),1))-ROW(OFFSET(nombres[],0,0,1,1))+1,ROW(OFFSET(nombres[],ROWS(nombres[])-1,0,1,1))+1),$O1548:$O1567),3),"")</f>
        <v/>
      </c>
      <c r="SE1548" s="42" t="str">
        <f t="array" aca="1" ref="SE1548" ca="1">IFERROR(INDEX(nombres[],SMALL(IF(OFFSET(nombres[],0,0,ROWS(nombres[]),1)=SE$1490,ROW(OFFSET(nombres[],0,0,ROWS(nombres[]),1))-ROW(OFFSET(nombres[],0,0,1,1))+1,ROW(OFFSET(nombres[],ROWS(nombres[])-1,0,1,1))+1),$O1548:$O1567),3),"")</f>
        <v/>
      </c>
      <c r="SF1548" s="42" t="str">
        <f t="array" aca="1" ref="SF1548" ca="1">IFERROR(INDEX(nombres[],SMALL(IF(OFFSET(nombres[],0,0,ROWS(nombres[]),1)=SF$1490,ROW(OFFSET(nombres[],0,0,ROWS(nombres[]),1))-ROW(OFFSET(nombres[],0,0,1,1))+1,ROW(OFFSET(nombres[],ROWS(nombres[])-1,0,1,1))+1),$O1548:$O1567),3),"")</f>
        <v/>
      </c>
      <c r="SG1548" s="42" t="str">
        <f t="array" aca="1" ref="SG1548" ca="1">IFERROR(INDEX(nombres[],SMALL(IF(OFFSET(nombres[],0,0,ROWS(nombres[]),1)=SG$1490,ROW(OFFSET(nombres[],0,0,ROWS(nombres[]),1))-ROW(OFFSET(nombres[],0,0,1,1))+1,ROW(OFFSET(nombres[],ROWS(nombres[])-1,0,1,1))+1),$O1548:$O1567),3),"")</f>
        <v/>
      </c>
      <c r="SH1548" s="42" t="str">
        <f t="array" aca="1" ref="SH1548" ca="1">IFERROR(INDEX(nombres[],SMALL(IF(OFFSET(nombres[],0,0,ROWS(nombres[]),1)=SH$1490,ROW(OFFSET(nombres[],0,0,ROWS(nombres[]),1))-ROW(OFFSET(nombres[],0,0,1,1))+1,ROW(OFFSET(nombres[],ROWS(nombres[])-1,0,1,1))+1),$O1548:$O1567),3),"")</f>
        <v/>
      </c>
      <c r="SI1548" s="42" t="str">
        <f t="array" aca="1" ref="SI1548" ca="1">IFERROR(INDEX(nombres[],SMALL(IF(OFFSET(nombres[],0,0,ROWS(nombres[]),1)=SI$1490,ROW(OFFSET(nombres[],0,0,ROWS(nombres[]),1))-ROW(OFFSET(nombres[],0,0,1,1))+1,ROW(OFFSET(nombres[],ROWS(nombres[])-1,0,1,1))+1),$O1548:$O1567),3),"")</f>
        <v/>
      </c>
      <c r="SJ1548" s="42" t="str">
        <f t="array" aca="1" ref="SJ1548" ca="1">IFERROR(INDEX(nombres[],SMALL(IF(OFFSET(nombres[],0,0,ROWS(nombres[]),1)=SJ$1490,ROW(OFFSET(nombres[],0,0,ROWS(nombres[]),1))-ROW(OFFSET(nombres[],0,0,1,1))+1,ROW(OFFSET(nombres[],ROWS(nombres[])-1,0,1,1))+1),$O1548:$O1567),3),"")</f>
        <v/>
      </c>
      <c r="SK1548" s="42" t="str">
        <f t="array" aca="1" ref="SK1548" ca="1">IFERROR(INDEX(nombres[],SMALL(IF(OFFSET(nombres[],0,0,ROWS(nombres[]),1)=SK$1490,ROW(OFFSET(nombres[],0,0,ROWS(nombres[]),1))-ROW(OFFSET(nombres[],0,0,1,1))+1,ROW(OFFSET(nombres[],ROWS(nombres[])-1,0,1,1))+1),$O1548:$O1567),3),"")</f>
        <v/>
      </c>
      <c r="SL1548" s="42" t="str">
        <f t="array" aca="1" ref="SL1548" ca="1">IFERROR(INDEX(nombres[],SMALL(IF(OFFSET(nombres[],0,0,ROWS(nombres[]),1)=SL$1490,ROW(OFFSET(nombres[],0,0,ROWS(nombres[]),1))-ROW(OFFSET(nombres[],0,0,1,1))+1,ROW(OFFSET(nombres[],ROWS(nombres[])-1,0,1,1))+1),$O1548:$O1567),3),"")</f>
        <v/>
      </c>
      <c r="SM1548" s="42" t="str">
        <f t="array" aca="1" ref="SM1548" ca="1">IFERROR(INDEX(nombres[],SMALL(IF(OFFSET(nombres[],0,0,ROWS(nombres[]),1)=SM$1490,ROW(OFFSET(nombres[],0,0,ROWS(nombres[]),1))-ROW(OFFSET(nombres[],0,0,1,1))+1,ROW(OFFSET(nombres[],ROWS(nombres[])-1,0,1,1))+1),$O1548:$O1567),3),"")</f>
        <v/>
      </c>
      <c r="SN1548" s="42" t="str">
        <f t="array" aca="1" ref="SN1548" ca="1">IFERROR(INDEX(nombres[],SMALL(IF(OFFSET(nombres[],0,0,ROWS(nombres[]),1)=SN$1490,ROW(OFFSET(nombres[],0,0,ROWS(nombres[]),1))-ROW(OFFSET(nombres[],0,0,1,1))+1,ROW(OFFSET(nombres[],ROWS(nombres[])-1,0,1,1))+1),$O1548:$O1567),3),"")</f>
        <v/>
      </c>
      <c r="SO1548" s="42" t="str">
        <f t="array" aca="1" ref="SO1548" ca="1">IFERROR(INDEX(nombres[],SMALL(IF(OFFSET(nombres[],0,0,ROWS(nombres[]),1)=SO$1490,ROW(OFFSET(nombres[],0,0,ROWS(nombres[]),1))-ROW(OFFSET(nombres[],0,0,1,1))+1,ROW(OFFSET(nombres[],ROWS(nombres[])-1,0,1,1))+1),$O1548:$O1567),3),"")</f>
        <v/>
      </c>
      <c r="SP1548" s="42" t="str">
        <f t="array" aca="1" ref="SP1548" ca="1">IFERROR(INDEX(nombres[],SMALL(IF(OFFSET(nombres[],0,0,ROWS(nombres[]),1)=SP$1490,ROW(OFFSET(nombres[],0,0,ROWS(nombres[]),1))-ROW(OFFSET(nombres[],0,0,1,1))+1,ROW(OFFSET(nombres[],ROWS(nombres[])-1,0,1,1))+1),$O1548:$O1567),3),"")</f>
        <v/>
      </c>
      <c r="SQ1548" s="42" t="str">
        <f t="array" aca="1" ref="SQ1548" ca="1">IFERROR(INDEX(nombres[],SMALL(IF(OFFSET(nombres[],0,0,ROWS(nombres[]),1)=SQ$1490,ROW(OFFSET(nombres[],0,0,ROWS(nombres[]),1))-ROW(OFFSET(nombres[],0,0,1,1))+1,ROW(OFFSET(nombres[],ROWS(nombres[])-1,0,1,1))+1),$O1548:$O1567),3),"")</f>
        <v/>
      </c>
      <c r="SR1548" s="42" t="str">
        <f t="array" aca="1" ref="SR1548" ca="1">IFERROR(INDEX(nombres[],SMALL(IF(OFFSET(nombres[],0,0,ROWS(nombres[]),1)=SR$1490,ROW(OFFSET(nombres[],0,0,ROWS(nombres[]),1))-ROW(OFFSET(nombres[],0,0,1,1))+1,ROW(OFFSET(nombres[],ROWS(nombres[])-1,0,1,1))+1),$O1548:$O1567),3),"")</f>
        <v/>
      </c>
      <c r="SS1548" s="42" t="str">
        <f t="array" aca="1" ref="SS1548" ca="1">IFERROR(INDEX(nombres[],SMALL(IF(OFFSET(nombres[],0,0,ROWS(nombres[]),1)=SS$1490,ROW(OFFSET(nombres[],0,0,ROWS(nombres[]),1))-ROW(OFFSET(nombres[],0,0,1,1))+1,ROW(OFFSET(nombres[],ROWS(nombres[])-1,0,1,1))+1),$O1548:$O1567),3),"")</f>
        <v/>
      </c>
      <c r="ST1548" s="42" t="str">
        <f t="array" aca="1" ref="ST1548" ca="1">IFERROR(INDEX(nombres[],SMALL(IF(OFFSET(nombres[],0,0,ROWS(nombres[]),1)=ST$1490,ROW(OFFSET(nombres[],0,0,ROWS(nombres[]),1))-ROW(OFFSET(nombres[],0,0,1,1))+1,ROW(OFFSET(nombres[],ROWS(nombres[])-1,0,1,1))+1),$O1548:$O1567),3),"")</f>
        <v/>
      </c>
      <c r="SU1548" s="42" t="str">
        <f t="array" aca="1" ref="SU1548" ca="1">IFERROR(INDEX(nombres[],SMALL(IF(OFFSET(nombres[],0,0,ROWS(nombres[]),1)=SU$1490,ROW(OFFSET(nombres[],0,0,ROWS(nombres[]),1))-ROW(OFFSET(nombres[],0,0,1,1))+1,ROW(OFFSET(nombres[],ROWS(nombres[])-1,0,1,1))+1),$O1548:$O1567),3),"")</f>
        <v/>
      </c>
      <c r="SV1548" s="42" t="str">
        <f t="array" aca="1" ref="SV1548" ca="1">IFERROR(INDEX(nombres[],SMALL(IF(OFFSET(nombres[],0,0,ROWS(nombres[]),1)=SV$1490,ROW(OFFSET(nombres[],0,0,ROWS(nombres[]),1))-ROW(OFFSET(nombres[],0,0,1,1))+1,ROW(OFFSET(nombres[],ROWS(nombres[])-1,0,1,1))+1),$O1548:$O1567),3),"")</f>
        <v/>
      </c>
      <c r="SW1548" s="42" t="str">
        <f t="array" aca="1" ref="SW1548" ca="1">IFERROR(INDEX(nombres[],SMALL(IF(OFFSET(nombres[],0,0,ROWS(nombres[]),1)=SW$1490,ROW(OFFSET(nombres[],0,0,ROWS(nombres[]),1))-ROW(OFFSET(nombres[],0,0,1,1))+1,ROW(OFFSET(nombres[],ROWS(nombres[])-1,0,1,1))+1),$O1548:$O1567),3),"")</f>
        <v/>
      </c>
      <c r="SX1548" s="42" t="str">
        <f t="array" aca="1" ref="SX1548" ca="1">IFERROR(INDEX(nombres[],SMALL(IF(OFFSET(nombres[],0,0,ROWS(nombres[]),1)=SX$1490,ROW(OFFSET(nombres[],0,0,ROWS(nombres[]),1))-ROW(OFFSET(nombres[],0,0,1,1))+1,ROW(OFFSET(nombres[],ROWS(nombres[])-1,0,1,1))+1),$O1548:$O1567),3),"")</f>
        <v/>
      </c>
      <c r="SY1548" s="42" t="str">
        <f t="array" aca="1" ref="SY1548" ca="1">IFERROR(INDEX(nombres[],SMALL(IF(OFFSET(nombres[],0,0,ROWS(nombres[]),1)=SY$1490,ROW(OFFSET(nombres[],0,0,ROWS(nombres[]),1))-ROW(OFFSET(nombres[],0,0,1,1))+1,ROW(OFFSET(nombres[],ROWS(nombres[])-1,0,1,1))+1),$O1548:$O1567),3),"")</f>
        <v/>
      </c>
      <c r="SZ1548" s="42" t="str">
        <f t="array" aca="1" ref="SZ1548" ca="1">IFERROR(INDEX(nombres[],SMALL(IF(OFFSET(nombres[],0,0,ROWS(nombres[]),1)=SZ$1490,ROW(OFFSET(nombres[],0,0,ROWS(nombres[]),1))-ROW(OFFSET(nombres[],0,0,1,1))+1,ROW(OFFSET(nombres[],ROWS(nombres[])-1,0,1,1))+1),$O1548:$O1567),3),"")</f>
        <v/>
      </c>
      <c r="TA1548" s="42" t="str">
        <f t="array" aca="1" ref="TA1548" ca="1">IFERROR(INDEX(nombres[],SMALL(IF(OFFSET(nombres[],0,0,ROWS(nombres[]),1)=TA$1490,ROW(OFFSET(nombres[],0,0,ROWS(nombres[]),1))-ROW(OFFSET(nombres[],0,0,1,1))+1,ROW(OFFSET(nombres[],ROWS(nombres[])-1,0,1,1))+1),$O1548:$O1567),3),"")</f>
        <v/>
      </c>
      <c r="TB1548" s="42" t="str">
        <f t="array" aca="1" ref="TB1548" ca="1">IFERROR(INDEX(nombres[],SMALL(IF(OFFSET(nombres[],0,0,ROWS(nombres[]),1)=TB$1490,ROW(OFFSET(nombres[],0,0,ROWS(nombres[]),1))-ROW(OFFSET(nombres[],0,0,1,1))+1,ROW(OFFSET(nombres[],ROWS(nombres[])-1,0,1,1))+1),$O1548:$O1567),3),"")</f>
        <v/>
      </c>
      <c r="TC1548" s="42" t="str">
        <f t="array" aca="1" ref="TC1548" ca="1">IFERROR(INDEX(nombres[],SMALL(IF(OFFSET(nombres[],0,0,ROWS(nombres[]),1)=TC$1490,ROW(OFFSET(nombres[],0,0,ROWS(nombres[]),1))-ROW(OFFSET(nombres[],0,0,1,1))+1,ROW(OFFSET(nombres[],ROWS(nombres[])-1,0,1,1))+1),$O1548:$O1567),3),"")</f>
        <v/>
      </c>
      <c r="TD1548" s="42" t="str">
        <f t="array" aca="1" ref="TD1548" ca="1">IFERROR(INDEX(nombres[],SMALL(IF(OFFSET(nombres[],0,0,ROWS(nombres[]),1)=TD$1490,ROW(OFFSET(nombres[],0,0,ROWS(nombres[]),1))-ROW(OFFSET(nombres[],0,0,1,1))+1,ROW(OFFSET(nombres[],ROWS(nombres[])-1,0,1,1))+1),$O1548:$O1567),3),"")</f>
        <v/>
      </c>
      <c r="TE1548" s="42" t="str">
        <f t="array" aca="1" ref="TE1548" ca="1">IFERROR(INDEX(nombres[],SMALL(IF(OFFSET(nombres[],0,0,ROWS(nombres[]),1)=TE$1490,ROW(OFFSET(nombres[],0,0,ROWS(nombres[]),1))-ROW(OFFSET(nombres[],0,0,1,1))+1,ROW(OFFSET(nombres[],ROWS(nombres[])-1,0,1,1))+1),$O1548:$O1567),3),"")</f>
        <v/>
      </c>
      <c r="TF1548" s="42" t="str">
        <f t="array" aca="1" ref="TF1548" ca="1">IFERROR(INDEX(nombres[],SMALL(IF(OFFSET(nombres[],0,0,ROWS(nombres[]),1)=TF$1490,ROW(OFFSET(nombres[],0,0,ROWS(nombres[]),1))-ROW(OFFSET(nombres[],0,0,1,1))+1,ROW(OFFSET(nombres[],ROWS(nombres[])-1,0,1,1))+1),$O1548:$O1567),3),"")</f>
        <v/>
      </c>
      <c r="TG1548" s="42" t="str">
        <f t="array" aca="1" ref="TG1548" ca="1">IFERROR(INDEX(nombres[],SMALL(IF(OFFSET(nombres[],0,0,ROWS(nombres[]),1)=TG$1490,ROW(OFFSET(nombres[],0,0,ROWS(nombres[]),1))-ROW(OFFSET(nombres[],0,0,1,1))+1,ROW(OFFSET(nombres[],ROWS(nombres[])-1,0,1,1))+1),$O1548:$O1567),3),"")</f>
        <v/>
      </c>
      <c r="TH1548" s="42" t="str">
        <f t="array" aca="1" ref="TH1548" ca="1">IFERROR(INDEX(nombres[],SMALL(IF(OFFSET(nombres[],0,0,ROWS(nombres[]),1)=TH$1490,ROW(OFFSET(nombres[],0,0,ROWS(nombres[]),1))-ROW(OFFSET(nombres[],0,0,1,1))+1,ROW(OFFSET(nombres[],ROWS(nombres[])-1,0,1,1))+1),$O1548:$O1567),3),"")</f>
        <v/>
      </c>
      <c r="TI1548" s="42" t="str">
        <f t="array" aca="1" ref="TI1548" ca="1">IFERROR(INDEX(nombres[],SMALL(IF(OFFSET(nombres[],0,0,ROWS(nombres[]),1)=TI$1490,ROW(OFFSET(nombres[],0,0,ROWS(nombres[]),1))-ROW(OFFSET(nombres[],0,0,1,1))+1,ROW(OFFSET(nombres[],ROWS(nombres[])-1,0,1,1))+1),$O1548:$O1567),3),"")</f>
        <v/>
      </c>
      <c r="TJ1548" s="42" t="str">
        <f t="array" aca="1" ref="TJ1548" ca="1">IFERROR(INDEX(nombres[],SMALL(IF(OFFSET(nombres[],0,0,ROWS(nombres[]),1)=TJ$1490,ROW(OFFSET(nombres[],0,0,ROWS(nombres[]),1))-ROW(OFFSET(nombres[],0,0,1,1))+1,ROW(OFFSET(nombres[],ROWS(nombres[])-1,0,1,1))+1),$O1548:$O1567),3),"")</f>
        <v/>
      </c>
      <c r="TK1548" s="42" t="str">
        <f t="array" aca="1" ref="TK1548" ca="1">IFERROR(INDEX(nombres[],SMALL(IF(OFFSET(nombres[],0,0,ROWS(nombres[]),1)=TK$1490,ROW(OFFSET(nombres[],0,0,ROWS(nombres[]),1))-ROW(OFFSET(nombres[],0,0,1,1))+1,ROW(OFFSET(nombres[],ROWS(nombres[])-1,0,1,1))+1),$O1548:$O1567),3),"")</f>
        <v/>
      </c>
      <c r="TL1548" s="42" t="str">
        <f t="array" aca="1" ref="TL1548" ca="1">IFERROR(INDEX(nombres[],SMALL(IF(OFFSET(nombres[],0,0,ROWS(nombres[]),1)=TL$1490,ROW(OFFSET(nombres[],0,0,ROWS(nombres[]),1))-ROW(OFFSET(nombres[],0,0,1,1))+1,ROW(OFFSET(nombres[],ROWS(nombres[])-1,0,1,1))+1),$O1548:$O1567),3),"")</f>
        <v/>
      </c>
      <c r="TM1548" s="42" t="str">
        <f t="array" aca="1" ref="TM1548" ca="1">IFERROR(INDEX(nombres[],SMALL(IF(OFFSET(nombres[],0,0,ROWS(nombres[]),1)=TM$1490,ROW(OFFSET(nombres[],0,0,ROWS(nombres[]),1))-ROW(OFFSET(nombres[],0,0,1,1))+1,ROW(OFFSET(nombres[],ROWS(nombres[])-1,0,1,1))+1),$O1548:$O1567),3),"")</f>
        <v/>
      </c>
      <c r="TN1548" s="42" t="str">
        <f t="array" aca="1" ref="TN1548" ca="1">IFERROR(INDEX(nombres[],SMALL(IF(OFFSET(nombres[],0,0,ROWS(nombres[]),1)=TN$1490,ROW(OFFSET(nombres[],0,0,ROWS(nombres[]),1))-ROW(OFFSET(nombres[],0,0,1,1))+1,ROW(OFFSET(nombres[],ROWS(nombres[])-1,0,1,1))+1),$O1548:$O1567),3),"")</f>
        <v/>
      </c>
      <c r="TO1548" s="42" t="str">
        <f t="array" aca="1" ref="TO1548" ca="1">IFERROR(INDEX(nombres[],SMALL(IF(OFFSET(nombres[],0,0,ROWS(nombres[]),1)=TO$1490,ROW(OFFSET(nombres[],0,0,ROWS(nombres[]),1))-ROW(OFFSET(nombres[],0,0,1,1))+1,ROW(OFFSET(nombres[],ROWS(nombres[])-1,0,1,1))+1),$O1548:$O1567),3),"")</f>
        <v/>
      </c>
      <c r="TP1548" s="42" t="str">
        <f t="array" aca="1" ref="TP1548" ca="1">IFERROR(INDEX(nombres[],SMALL(IF(OFFSET(nombres[],0,0,ROWS(nombres[]),1)=TP$1490,ROW(OFFSET(nombres[],0,0,ROWS(nombres[]),1))-ROW(OFFSET(nombres[],0,0,1,1))+1,ROW(OFFSET(nombres[],ROWS(nombres[])-1,0,1,1))+1),$O1548:$O1567),3),"")</f>
        <v/>
      </c>
      <c r="TQ1548" s="42" t="str">
        <f t="array" aca="1" ref="TQ1548" ca="1">IFERROR(INDEX(nombres[],SMALL(IF(OFFSET(nombres[],0,0,ROWS(nombres[]),1)=TQ$1490,ROW(OFFSET(nombres[],0,0,ROWS(nombres[]),1))-ROW(OFFSET(nombres[],0,0,1,1))+1,ROW(OFFSET(nombres[],ROWS(nombres[])-1,0,1,1))+1),$O1548:$O1567),3),"")</f>
        <v/>
      </c>
      <c r="TR1548" s="42" t="str">
        <f t="array" aca="1" ref="TR1548" ca="1">IFERROR(INDEX(nombres[],SMALL(IF(OFFSET(nombres[],0,0,ROWS(nombres[]),1)=TR$1490,ROW(OFFSET(nombres[],0,0,ROWS(nombres[]),1))-ROW(OFFSET(nombres[],0,0,1,1))+1,ROW(OFFSET(nombres[],ROWS(nombres[])-1,0,1,1))+1),$O1548:$O1567),3),"")</f>
        <v/>
      </c>
      <c r="TS1548" s="42" t="str">
        <f t="array" aca="1" ref="TS1548" ca="1">IFERROR(INDEX(nombres[],SMALL(IF(OFFSET(nombres[],0,0,ROWS(nombres[]),1)=TS$1490,ROW(OFFSET(nombres[],0,0,ROWS(nombres[]),1))-ROW(OFFSET(nombres[],0,0,1,1))+1,ROW(OFFSET(nombres[],ROWS(nombres[])-1,0,1,1))+1),$O1548:$O1567),3),"")</f>
        <v/>
      </c>
      <c r="TT1548" s="42" t="str">
        <f t="array" aca="1" ref="TT1548" ca="1">IFERROR(INDEX(nombres[],SMALL(IF(OFFSET(nombres[],0,0,ROWS(nombres[]),1)=TT$1490,ROW(OFFSET(nombres[],0,0,ROWS(nombres[]),1))-ROW(OFFSET(nombres[],0,0,1,1))+1,ROW(OFFSET(nombres[],ROWS(nombres[])-1,0,1,1))+1),$O1548:$O1567),3),"")</f>
        <v/>
      </c>
      <c r="TU1548" s="42" t="str">
        <f t="array" aca="1" ref="TU1548" ca="1">IFERROR(INDEX(nombres[],SMALL(IF(OFFSET(nombres[],0,0,ROWS(nombres[]),1)=TU$1490,ROW(OFFSET(nombres[],0,0,ROWS(nombres[]),1))-ROW(OFFSET(nombres[],0,0,1,1))+1,ROW(OFFSET(nombres[],ROWS(nombres[])-1,0,1,1))+1),$O1548:$O1567),3),"")</f>
        <v/>
      </c>
      <c r="TV1548" s="42" t="str">
        <f t="array" aca="1" ref="TV1548" ca="1">IFERROR(INDEX(nombres[],SMALL(IF(OFFSET(nombres[],0,0,ROWS(nombres[]),1)=TV$1490,ROW(OFFSET(nombres[],0,0,ROWS(nombres[]),1))-ROW(OFFSET(nombres[],0,0,1,1))+1,ROW(OFFSET(nombres[],ROWS(nombres[])-1,0,1,1))+1),$O1548:$O1567),3),"")</f>
        <v/>
      </c>
      <c r="TW1548" s="42" t="str">
        <f t="array" aca="1" ref="TW1548" ca="1">IFERROR(INDEX(nombres[],SMALL(IF(OFFSET(nombres[],0,0,ROWS(nombres[]),1)=TW$1490,ROW(OFFSET(nombres[],0,0,ROWS(nombres[]),1))-ROW(OFFSET(nombres[],0,0,1,1))+1,ROW(OFFSET(nombres[],ROWS(nombres[])-1,0,1,1))+1),$O1548:$O1567),3),"")</f>
        <v/>
      </c>
      <c r="TX1548" s="42" t="str">
        <f t="array" aca="1" ref="TX1548" ca="1">IFERROR(INDEX(nombres[],SMALL(IF(OFFSET(nombres[],0,0,ROWS(nombres[]),1)=TX$1490,ROW(OFFSET(nombres[],0,0,ROWS(nombres[]),1))-ROW(OFFSET(nombres[],0,0,1,1))+1,ROW(OFFSET(nombres[],ROWS(nombres[])-1,0,1,1))+1),$O1548:$O1567),3),"")</f>
        <v/>
      </c>
      <c r="TY1548" s="42" t="str">
        <f t="array" aca="1" ref="TY1548" ca="1">IFERROR(INDEX(nombres[],SMALL(IF(OFFSET(nombres[],0,0,ROWS(nombres[]),1)=TY$1490,ROW(OFFSET(nombres[],0,0,ROWS(nombres[]),1))-ROW(OFFSET(nombres[],0,0,1,1))+1,ROW(OFFSET(nombres[],ROWS(nombres[])-1,0,1,1))+1),$O1548:$O1567),3),"")</f>
        <v/>
      </c>
      <c r="TZ1548" s="42" t="str">
        <f t="array" aca="1" ref="TZ1548" ca="1">IFERROR(INDEX(nombres[],SMALL(IF(OFFSET(nombres[],0,0,ROWS(nombres[]),1)=TZ$1490,ROW(OFFSET(nombres[],0,0,ROWS(nombres[]),1))-ROW(OFFSET(nombres[],0,0,1,1))+1,ROW(OFFSET(nombres[],ROWS(nombres[])-1,0,1,1))+1),$O1548:$O1567),3),"")</f>
        <v/>
      </c>
      <c r="UA1548" s="42" t="str">
        <f t="array" aca="1" ref="UA1548" ca="1">IFERROR(INDEX(nombres[],SMALL(IF(OFFSET(nombres[],0,0,ROWS(nombres[]),1)=UA$1490,ROW(OFFSET(nombres[],0,0,ROWS(nombres[]),1))-ROW(OFFSET(nombres[],0,0,1,1))+1,ROW(OFFSET(nombres[],ROWS(nombres[])-1,0,1,1))+1),$O1548:$O1567),3),"")</f>
        <v/>
      </c>
      <c r="UB1548" s="42" t="str">
        <f t="array" aca="1" ref="UB1548" ca="1">IFERROR(INDEX(nombres[],SMALL(IF(OFFSET(nombres[],0,0,ROWS(nombres[]),1)=UB$1490,ROW(OFFSET(nombres[],0,0,ROWS(nombres[]),1))-ROW(OFFSET(nombres[],0,0,1,1))+1,ROW(OFFSET(nombres[],ROWS(nombres[])-1,0,1,1))+1),$O1548:$O1567),3),"")</f>
        <v/>
      </c>
      <c r="UC1548" s="42" t="str">
        <f t="array" aca="1" ref="UC1548" ca="1">IFERROR(INDEX(nombres[],SMALL(IF(OFFSET(nombres[],0,0,ROWS(nombres[]),1)=UC$1490,ROW(OFFSET(nombres[],0,0,ROWS(nombres[]),1))-ROW(OFFSET(nombres[],0,0,1,1))+1,ROW(OFFSET(nombres[],ROWS(nombres[])-1,0,1,1))+1),$O1548:$O1567),3),"")</f>
        <v/>
      </c>
      <c r="UD1548" s="42" t="str">
        <f t="array" aca="1" ref="UD1548" ca="1">IFERROR(INDEX(nombres[],SMALL(IF(OFFSET(nombres[],0,0,ROWS(nombres[]),1)=UD$1490,ROW(OFFSET(nombres[],0,0,ROWS(nombres[]),1))-ROW(OFFSET(nombres[],0,0,1,1))+1,ROW(OFFSET(nombres[],ROWS(nombres[])-1,0,1,1))+1),$O1548:$O1567),3),"")</f>
        <v/>
      </c>
      <c r="UE1548" s="42" t="str">
        <f t="array" aca="1" ref="UE1548" ca="1">IFERROR(INDEX(nombres[],SMALL(IF(OFFSET(nombres[],0,0,ROWS(nombres[]),1)=UE$1490,ROW(OFFSET(nombres[],0,0,ROWS(nombres[]),1))-ROW(OFFSET(nombres[],0,0,1,1))+1,ROW(OFFSET(nombres[],ROWS(nombres[])-1,0,1,1))+1),$O1548:$O1567),3),"")</f>
        <v/>
      </c>
      <c r="UF1548" s="42" t="str">
        <f t="array" aca="1" ref="UF1548" ca="1">IFERROR(INDEX(nombres[],SMALL(IF(OFFSET(nombres[],0,0,ROWS(nombres[]),1)=UF$1490,ROW(OFFSET(nombres[],0,0,ROWS(nombres[]),1))-ROW(OFFSET(nombres[],0,0,1,1))+1,ROW(OFFSET(nombres[],ROWS(nombres[])-1,0,1,1))+1),$O1548:$O1567),3),"")</f>
        <v/>
      </c>
      <c r="UG1548" s="42" t="str">
        <f t="array" aca="1" ref="UG1548" ca="1">IFERROR(INDEX(nombres[],SMALL(IF(OFFSET(nombres[],0,0,ROWS(nombres[]),1)=UG$1490,ROW(OFFSET(nombres[],0,0,ROWS(nombres[]),1))-ROW(OFFSET(nombres[],0,0,1,1))+1,ROW(OFFSET(nombres[],ROWS(nombres[])-1,0,1,1))+1),$O1548:$O1567),3),"")</f>
        <v/>
      </c>
      <c r="UH1548" s="42" t="str">
        <f t="array" aca="1" ref="UH1548" ca="1">IFERROR(INDEX(nombres[],SMALL(IF(OFFSET(nombres[],0,0,ROWS(nombres[]),1)=UH$1490,ROW(OFFSET(nombres[],0,0,ROWS(nombres[]),1))-ROW(OFFSET(nombres[],0,0,1,1))+1,ROW(OFFSET(nombres[],ROWS(nombres[])-1,0,1,1))+1),$O1548:$O1567),3),"")</f>
        <v/>
      </c>
      <c r="UI1548" s="42" t="str">
        <f t="array" aca="1" ref="UI1548" ca="1">IFERROR(INDEX(nombres[],SMALL(IF(OFFSET(nombres[],0,0,ROWS(nombres[]),1)=UI$1490,ROW(OFFSET(nombres[],0,0,ROWS(nombres[]),1))-ROW(OFFSET(nombres[],0,0,1,1))+1,ROW(OFFSET(nombres[],ROWS(nombres[])-1,0,1,1))+1),$O1548:$O1567),3),"")</f>
        <v/>
      </c>
      <c r="UJ1548" s="42" t="str">
        <f t="array" aca="1" ref="UJ1548" ca="1">IFERROR(INDEX(nombres[],SMALL(IF(OFFSET(nombres[],0,0,ROWS(nombres[]),1)=UJ$1490,ROW(OFFSET(nombres[],0,0,ROWS(nombres[]),1))-ROW(OFFSET(nombres[],0,0,1,1))+1,ROW(OFFSET(nombres[],ROWS(nombres[])-1,0,1,1))+1),$O1548:$O1567),3),"")</f>
        <v/>
      </c>
      <c r="UK1548" s="42" t="str">
        <f t="array" aca="1" ref="UK1548" ca="1">IFERROR(INDEX(nombres[],SMALL(IF(OFFSET(nombres[],0,0,ROWS(nombres[]),1)=UK$1490,ROW(OFFSET(nombres[],0,0,ROWS(nombres[]),1))-ROW(OFFSET(nombres[],0,0,1,1))+1,ROW(OFFSET(nombres[],ROWS(nombres[])-1,0,1,1))+1),$O1548:$O1567),3),"")</f>
        <v/>
      </c>
      <c r="UL1548" s="42" t="str">
        <f t="array" aca="1" ref="UL1548" ca="1">IFERROR(INDEX(nombres[],SMALL(IF(OFFSET(nombres[],0,0,ROWS(nombres[]),1)=UL$1490,ROW(OFFSET(nombres[],0,0,ROWS(nombres[]),1))-ROW(OFFSET(nombres[],0,0,1,1))+1,ROW(OFFSET(nombres[],ROWS(nombres[])-1,0,1,1))+1),$O1548:$O1567),3),"")</f>
        <v/>
      </c>
      <c r="UM1548" s="42" t="str">
        <f t="array" aca="1" ref="UM1548" ca="1">IFERROR(INDEX(nombres[],SMALL(IF(OFFSET(nombres[],0,0,ROWS(nombres[]),1)=UM$1490,ROW(OFFSET(nombres[],0,0,ROWS(nombres[]),1))-ROW(OFFSET(nombres[],0,0,1,1))+1,ROW(OFFSET(nombres[],ROWS(nombres[])-1,0,1,1))+1),$O1548:$O1567),3),"")</f>
        <v/>
      </c>
      <c r="UN1548" s="42" t="str">
        <f t="array" aca="1" ref="UN1548" ca="1">IFERROR(INDEX(nombres[],SMALL(IF(OFFSET(nombres[],0,0,ROWS(nombres[]),1)=UN$1490,ROW(OFFSET(nombres[],0,0,ROWS(nombres[]),1))-ROW(OFFSET(nombres[],0,0,1,1))+1,ROW(OFFSET(nombres[],ROWS(nombres[])-1,0,1,1))+1),$O1548:$O1567),3),"")</f>
        <v/>
      </c>
      <c r="UO1548" s="42" t="str">
        <f t="array" aca="1" ref="UO1548" ca="1">IFERROR(INDEX(nombres[],SMALL(IF(OFFSET(nombres[],0,0,ROWS(nombres[]),1)=UO$1490,ROW(OFFSET(nombres[],0,0,ROWS(nombres[]),1))-ROW(OFFSET(nombres[],0,0,1,1))+1,ROW(OFFSET(nombres[],ROWS(nombres[])-1,0,1,1))+1),$O1548:$O1567),3),"")</f>
        <v/>
      </c>
      <c r="UP1548" s="42" t="str">
        <f t="array" aca="1" ref="UP1548" ca="1">IFERROR(INDEX(nombres[],SMALL(IF(OFFSET(nombres[],0,0,ROWS(nombres[]),1)=UP$1490,ROW(OFFSET(nombres[],0,0,ROWS(nombres[]),1))-ROW(OFFSET(nombres[],0,0,1,1))+1,ROW(OFFSET(nombres[],ROWS(nombres[])-1,0,1,1))+1),$O1548:$O1567),3),"")</f>
        <v/>
      </c>
      <c r="UQ1548" s="42" t="str">
        <f t="array" aca="1" ref="UQ1548" ca="1">IFERROR(INDEX(nombres[],SMALL(IF(OFFSET(nombres[],0,0,ROWS(nombres[]),1)=UQ$1490,ROW(OFFSET(nombres[],0,0,ROWS(nombres[]),1))-ROW(OFFSET(nombres[],0,0,1,1))+1,ROW(OFFSET(nombres[],ROWS(nombres[])-1,0,1,1))+1),$O1548:$O1567),3),"")</f>
        <v/>
      </c>
      <c r="UR1548" s="42" t="str">
        <f t="array" aca="1" ref="UR1548" ca="1">IFERROR(INDEX(nombres[],SMALL(IF(OFFSET(nombres[],0,0,ROWS(nombres[]),1)=UR$1490,ROW(OFFSET(nombres[],0,0,ROWS(nombres[]),1))-ROW(OFFSET(nombres[],0,0,1,1))+1,ROW(OFFSET(nombres[],ROWS(nombres[])-1,0,1,1))+1),$O1548:$O1567),3),"")</f>
        <v/>
      </c>
      <c r="US1548" s="42" t="str">
        <f t="array" aca="1" ref="US1548" ca="1">IFERROR(INDEX(nombres[],SMALL(IF(OFFSET(nombres[],0,0,ROWS(nombres[]),1)=US$1490,ROW(OFFSET(nombres[],0,0,ROWS(nombres[]),1))-ROW(OFFSET(nombres[],0,0,1,1))+1,ROW(OFFSET(nombres[],ROWS(nombres[])-1,0,1,1))+1),$O1548:$O1567),3),"")</f>
        <v/>
      </c>
      <c r="UT1548" s="42" t="str">
        <f t="array" aca="1" ref="UT1548" ca="1">IFERROR(INDEX(nombres[],SMALL(IF(OFFSET(nombres[],0,0,ROWS(nombres[]),1)=UT$1490,ROW(OFFSET(nombres[],0,0,ROWS(nombres[]),1))-ROW(OFFSET(nombres[],0,0,1,1))+1,ROW(OFFSET(nombres[],ROWS(nombres[])-1,0,1,1))+1),$O1548:$O1567),3),"")</f>
        <v/>
      </c>
      <c r="UU1548" s="42" t="str">
        <f t="array" aca="1" ref="UU1548" ca="1">IFERROR(INDEX(nombres[],SMALL(IF(OFFSET(nombres[],0,0,ROWS(nombres[]),1)=UU$1490,ROW(OFFSET(nombres[],0,0,ROWS(nombres[]),1))-ROW(OFFSET(nombres[],0,0,1,1))+1,ROW(OFFSET(nombres[],ROWS(nombres[])-1,0,1,1))+1),$O1548:$O1567),3),"")</f>
        <v/>
      </c>
      <c r="UV1548" s="42" t="str">
        <f t="array" aca="1" ref="UV1548" ca="1">IFERROR(INDEX(nombres[],SMALL(IF(OFFSET(nombres[],0,0,ROWS(nombres[]),1)=UV$1490,ROW(OFFSET(nombres[],0,0,ROWS(nombres[]),1))-ROW(OFFSET(nombres[],0,0,1,1))+1,ROW(OFFSET(nombres[],ROWS(nombres[])-1,0,1,1))+1),$O1548:$O1567),3),"")</f>
        <v/>
      </c>
      <c r="UW1548" s="42" t="str">
        <f t="array" aca="1" ref="UW1548" ca="1">IFERROR(INDEX(nombres[],SMALL(IF(OFFSET(nombres[],0,0,ROWS(nombres[]),1)=UW$1490,ROW(OFFSET(nombres[],0,0,ROWS(nombres[]),1))-ROW(OFFSET(nombres[],0,0,1,1))+1,ROW(OFFSET(nombres[],ROWS(nombres[])-1,0,1,1))+1),$O1548:$O1567),3),"")</f>
        <v/>
      </c>
      <c r="UX1548" s="42" t="str">
        <f t="array" aca="1" ref="UX1548" ca="1">IFERROR(INDEX(nombres[],SMALL(IF(OFFSET(nombres[],0,0,ROWS(nombres[]),1)=UX$1490,ROW(OFFSET(nombres[],0,0,ROWS(nombres[]),1))-ROW(OFFSET(nombres[],0,0,1,1))+1,ROW(OFFSET(nombres[],ROWS(nombres[])-1,0,1,1))+1),$O1548:$O1567),3),"")</f>
        <v/>
      </c>
      <c r="UY1548" s="42" t="str">
        <f t="array" aca="1" ref="UY1548" ca="1">IFERROR(INDEX(nombres[],SMALL(IF(OFFSET(nombres[],0,0,ROWS(nombres[]),1)=UY$1490,ROW(OFFSET(nombres[],0,0,ROWS(nombres[]),1))-ROW(OFFSET(nombres[],0,0,1,1))+1,ROW(OFFSET(nombres[],ROWS(nombres[])-1,0,1,1))+1),$O1548:$O1567),3),"")</f>
        <v/>
      </c>
      <c r="UZ1548" s="42" t="str">
        <f t="array" aca="1" ref="UZ1548" ca="1">IFERROR(INDEX(nombres[],SMALL(IF(OFFSET(nombres[],0,0,ROWS(nombres[]),1)=UZ$1490,ROW(OFFSET(nombres[],0,0,ROWS(nombres[]),1))-ROW(OFFSET(nombres[],0,0,1,1))+1,ROW(OFFSET(nombres[],ROWS(nombres[])-1,0,1,1))+1),$O1548:$O1567),3),"")</f>
        <v/>
      </c>
      <c r="VA1548" s="42" t="str">
        <f t="array" aca="1" ref="VA1548" ca="1">IFERROR(INDEX(nombres[],SMALL(IF(OFFSET(nombres[],0,0,ROWS(nombres[]),1)=VA$1490,ROW(OFFSET(nombres[],0,0,ROWS(nombres[]),1))-ROW(OFFSET(nombres[],0,0,1,1))+1,ROW(OFFSET(nombres[],ROWS(nombres[])-1,0,1,1))+1),$O1548:$O1567),3),"")</f>
        <v/>
      </c>
      <c r="VB1548" s="42" t="str">
        <f t="array" aca="1" ref="VB1548" ca="1">IFERROR(INDEX(nombres[],SMALL(IF(OFFSET(nombres[],0,0,ROWS(nombres[]),1)=VB$1490,ROW(OFFSET(nombres[],0,0,ROWS(nombres[]),1))-ROW(OFFSET(nombres[],0,0,1,1))+1,ROW(OFFSET(nombres[],ROWS(nombres[])-1,0,1,1))+1),$O1548:$O1567),3),"")</f>
        <v/>
      </c>
      <c r="VC1548" s="42" t="str">
        <f t="array" aca="1" ref="VC1548" ca="1">IFERROR(INDEX(nombres[],SMALL(IF(OFFSET(nombres[],0,0,ROWS(nombres[]),1)=VC$1490,ROW(OFFSET(nombres[],0,0,ROWS(nombres[]),1))-ROW(OFFSET(nombres[],0,0,1,1))+1,ROW(OFFSET(nombres[],ROWS(nombres[])-1,0,1,1))+1),$O1548:$O1567),3),"")</f>
        <v/>
      </c>
      <c r="VD1548" s="42" t="str">
        <f t="array" aca="1" ref="VD1548" ca="1">IFERROR(INDEX(nombres[],SMALL(IF(OFFSET(nombres[],0,0,ROWS(nombres[]),1)=VD$1490,ROW(OFFSET(nombres[],0,0,ROWS(nombres[]),1))-ROW(OFFSET(nombres[],0,0,1,1))+1,ROW(OFFSET(nombres[],ROWS(nombres[])-1,0,1,1))+1),$O1548:$O1567),3),"")</f>
        <v/>
      </c>
      <c r="VE1548" s="42" t="str">
        <f t="array" aca="1" ref="VE1548" ca="1">IFERROR(INDEX(nombres[],SMALL(IF(OFFSET(nombres[],0,0,ROWS(nombres[]),1)=VE$1490,ROW(OFFSET(nombres[],0,0,ROWS(nombres[]),1))-ROW(OFFSET(nombres[],0,0,1,1))+1,ROW(OFFSET(nombres[],ROWS(nombres[])-1,0,1,1))+1),$O1548:$O1567),3),"")</f>
        <v/>
      </c>
      <c r="VF1548" s="42" t="str">
        <f t="array" aca="1" ref="VF1548" ca="1">IFERROR(INDEX(nombres[],SMALL(IF(OFFSET(nombres[],0,0,ROWS(nombres[]),1)=VF$1490,ROW(OFFSET(nombres[],0,0,ROWS(nombres[]),1))-ROW(OFFSET(nombres[],0,0,1,1))+1,ROW(OFFSET(nombres[],ROWS(nombres[])-1,0,1,1))+1),$O1548:$O1567),3),"")</f>
        <v/>
      </c>
      <c r="VG1548" s="42" t="str">
        <f t="array" aca="1" ref="VG1548" ca="1">IFERROR(INDEX(nombres[],SMALL(IF(OFFSET(nombres[],0,0,ROWS(nombres[]),1)=VG$1490,ROW(OFFSET(nombres[],0,0,ROWS(nombres[]),1))-ROW(OFFSET(nombres[],0,0,1,1))+1,ROW(OFFSET(nombres[],ROWS(nombres[])-1,0,1,1))+1),$O1548:$O1567),3),"")</f>
        <v/>
      </c>
      <c r="VH1548" s="42" t="str">
        <f t="array" aca="1" ref="VH1548" ca="1">IFERROR(INDEX(nombres[],SMALL(IF(OFFSET(nombres[],0,0,ROWS(nombres[]),1)=VH$1490,ROW(OFFSET(nombres[],0,0,ROWS(nombres[]),1))-ROW(OFFSET(nombres[],0,0,1,1))+1,ROW(OFFSET(nombres[],ROWS(nombres[])-1,0,1,1))+1),$O1548:$O1567),3),"")</f>
        <v/>
      </c>
      <c r="VI1548" s="42" t="str">
        <f t="array" aca="1" ref="VI1548" ca="1">IFERROR(INDEX(nombres[],SMALL(IF(OFFSET(nombres[],0,0,ROWS(nombres[]),1)=VI$1490,ROW(OFFSET(nombres[],0,0,ROWS(nombres[]),1))-ROW(OFFSET(nombres[],0,0,1,1))+1,ROW(OFFSET(nombres[],ROWS(nombres[])-1,0,1,1))+1),$O1548:$O1567),3),"")</f>
        <v/>
      </c>
      <c r="VJ1548" s="42" t="str">
        <f t="array" aca="1" ref="VJ1548" ca="1">IFERROR(INDEX(nombres[],SMALL(IF(OFFSET(nombres[],0,0,ROWS(nombres[]),1)=VJ$1490,ROW(OFFSET(nombres[],0,0,ROWS(nombres[]),1))-ROW(OFFSET(nombres[],0,0,1,1))+1,ROW(OFFSET(nombres[],ROWS(nombres[])-1,0,1,1))+1),$O1548:$O1567),3),"")</f>
        <v/>
      </c>
      <c r="VK1548" s="42" t="str">
        <f t="array" aca="1" ref="VK1548" ca="1">IFERROR(INDEX(nombres[],SMALL(IF(OFFSET(nombres[],0,0,ROWS(nombres[]),1)=VK$1490,ROW(OFFSET(nombres[],0,0,ROWS(nombres[]),1))-ROW(OFFSET(nombres[],0,0,1,1))+1,ROW(OFFSET(nombres[],ROWS(nombres[])-1,0,1,1))+1),$O1548:$O1567),3),"")</f>
        <v/>
      </c>
      <c r="VL1548" s="42" t="str">
        <f t="array" aca="1" ref="VL1548" ca="1">IFERROR(INDEX(nombres[],SMALL(IF(OFFSET(nombres[],0,0,ROWS(nombres[]),1)=VL$1490,ROW(OFFSET(nombres[],0,0,ROWS(nombres[]),1))-ROW(OFFSET(nombres[],0,0,1,1))+1,ROW(OFFSET(nombres[],ROWS(nombres[])-1,0,1,1))+1),$O1548:$O1567),3),"")</f>
        <v/>
      </c>
      <c r="VM1548" s="42" t="str">
        <f t="array" aca="1" ref="VM1548" ca="1">IFERROR(INDEX(nombres[],SMALL(IF(OFFSET(nombres[],0,0,ROWS(nombres[]),1)=VM$1490,ROW(OFFSET(nombres[],0,0,ROWS(nombres[]),1))-ROW(OFFSET(nombres[],0,0,1,1))+1,ROW(OFFSET(nombres[],ROWS(nombres[])-1,0,1,1))+1),$O1548:$O1567),3),"")</f>
        <v/>
      </c>
      <c r="VN1548" s="42" t="str">
        <f t="array" aca="1" ref="VN1548" ca="1">IFERROR(INDEX(nombres[],SMALL(IF(OFFSET(nombres[],0,0,ROWS(nombres[]),1)=VN$1490,ROW(OFFSET(nombres[],0,0,ROWS(nombres[]),1))-ROW(OFFSET(nombres[],0,0,1,1))+1,ROW(OFFSET(nombres[],ROWS(nombres[])-1,0,1,1))+1),$O1548:$O1567),3),"")</f>
        <v/>
      </c>
      <c r="VO1548" s="42" t="str">
        <f t="array" aca="1" ref="VO1548" ca="1">IFERROR(INDEX(nombres[],SMALL(IF(OFFSET(nombres[],0,0,ROWS(nombres[]),1)=VO$1490,ROW(OFFSET(nombres[],0,0,ROWS(nombres[]),1))-ROW(OFFSET(nombres[],0,0,1,1))+1,ROW(OFFSET(nombres[],ROWS(nombres[])-1,0,1,1))+1),$O1548:$O1567),3),"")</f>
        <v/>
      </c>
      <c r="VP1548" s="42" t="str">
        <f t="array" aca="1" ref="VP1548" ca="1">IFERROR(INDEX(nombres[],SMALL(IF(OFFSET(nombres[],0,0,ROWS(nombres[]),1)=VP$1490,ROW(OFFSET(nombres[],0,0,ROWS(nombres[]),1))-ROW(OFFSET(nombres[],0,0,1,1))+1,ROW(OFFSET(nombres[],ROWS(nombres[])-1,0,1,1))+1),$O1548:$O1567),3),"")</f>
        <v/>
      </c>
      <c r="VQ1548" s="42" t="str">
        <f t="array" aca="1" ref="VQ1548" ca="1">IFERROR(INDEX(nombres[],SMALL(IF(OFFSET(nombres[],0,0,ROWS(nombres[]),1)=VQ$1490,ROW(OFFSET(nombres[],0,0,ROWS(nombres[]),1))-ROW(OFFSET(nombres[],0,0,1,1))+1,ROW(OFFSET(nombres[],ROWS(nombres[])-1,0,1,1))+1),$O1548:$O1567),3),"")</f>
        <v/>
      </c>
      <c r="VR1548" s="42" t="str">
        <f t="array" aca="1" ref="VR1548" ca="1">IFERROR(INDEX(nombres[],SMALL(IF(OFFSET(nombres[],0,0,ROWS(nombres[]),1)=VR$1490,ROW(OFFSET(nombres[],0,0,ROWS(nombres[]),1))-ROW(OFFSET(nombres[],0,0,1,1))+1,ROW(OFFSET(nombres[],ROWS(nombres[])-1,0,1,1))+1),$O1548:$O1567),3),"")</f>
        <v/>
      </c>
      <c r="VS1548" s="42" t="str">
        <f t="array" aca="1" ref="VS1548" ca="1">IFERROR(INDEX(nombres[],SMALL(IF(OFFSET(nombres[],0,0,ROWS(nombres[]),1)=VS$1490,ROW(OFFSET(nombres[],0,0,ROWS(nombres[]),1))-ROW(OFFSET(nombres[],0,0,1,1))+1,ROW(OFFSET(nombres[],ROWS(nombres[])-1,0,1,1))+1),$O1548:$O1567),3),"")</f>
        <v/>
      </c>
      <c r="VT1548" s="42" t="str">
        <f t="array" aca="1" ref="VT1548" ca="1">IFERROR(INDEX(nombres[],SMALL(IF(OFFSET(nombres[],0,0,ROWS(nombres[]),1)=VT$1490,ROW(OFFSET(nombres[],0,0,ROWS(nombres[]),1))-ROW(OFFSET(nombres[],0,0,1,1))+1,ROW(OFFSET(nombres[],ROWS(nombres[])-1,0,1,1))+1),$O1548:$O1567),3),"")</f>
        <v/>
      </c>
      <c r="VU1548" s="42" t="str">
        <f t="array" aca="1" ref="VU1548" ca="1">IFERROR(INDEX(nombres[],SMALL(IF(OFFSET(nombres[],0,0,ROWS(nombres[]),1)=VU$1490,ROW(OFFSET(nombres[],0,0,ROWS(nombres[]),1))-ROW(OFFSET(nombres[],0,0,1,1))+1,ROW(OFFSET(nombres[],ROWS(nombres[])-1,0,1,1))+1),$O1548:$O1567),3),"")</f>
        <v/>
      </c>
      <c r="VV1548" s="42" t="str">
        <f t="array" aca="1" ref="VV1548" ca="1">IFERROR(INDEX(nombres[],SMALL(IF(OFFSET(nombres[],0,0,ROWS(nombres[]),1)=VV$1490,ROW(OFFSET(nombres[],0,0,ROWS(nombres[]),1))-ROW(OFFSET(nombres[],0,0,1,1))+1,ROW(OFFSET(nombres[],ROWS(nombres[])-1,0,1,1))+1),$O1548:$O1567),3),"")</f>
        <v/>
      </c>
      <c r="VW1548" s="42" t="str">
        <f t="array" aca="1" ref="VW1548" ca="1">IFERROR(INDEX(nombres[],SMALL(IF(OFFSET(nombres[],0,0,ROWS(nombres[]),1)=VW$1490,ROW(OFFSET(nombres[],0,0,ROWS(nombres[]),1))-ROW(OFFSET(nombres[],0,0,1,1))+1,ROW(OFFSET(nombres[],ROWS(nombres[])-1,0,1,1))+1),$O1548:$O1567),3),"")</f>
        <v/>
      </c>
      <c r="VX1548" s="42" t="str">
        <f t="array" aca="1" ref="VX1548" ca="1">IFERROR(INDEX(nombres[],SMALL(IF(OFFSET(nombres[],0,0,ROWS(nombres[]),1)=VX$1490,ROW(OFFSET(nombres[],0,0,ROWS(nombres[]),1))-ROW(OFFSET(nombres[],0,0,1,1))+1,ROW(OFFSET(nombres[],ROWS(nombres[])-1,0,1,1))+1),$O1548:$O1567),3),"")</f>
        <v/>
      </c>
      <c r="VY1548" s="42" t="str">
        <f t="array" aca="1" ref="VY1548" ca="1">IFERROR(INDEX(nombres[],SMALL(IF(OFFSET(nombres[],0,0,ROWS(nombres[]),1)=VY$1490,ROW(OFFSET(nombres[],0,0,ROWS(nombres[]),1))-ROW(OFFSET(nombres[],0,0,1,1))+1,ROW(OFFSET(nombres[],ROWS(nombres[])-1,0,1,1))+1),$O1548:$O1567),3),"")</f>
        <v/>
      </c>
      <c r="VZ1548" s="42" t="str">
        <f t="array" aca="1" ref="VZ1548" ca="1">IFERROR(INDEX(nombres[],SMALL(IF(OFFSET(nombres[],0,0,ROWS(nombres[]),1)=VZ$1490,ROW(OFFSET(nombres[],0,0,ROWS(nombres[]),1))-ROW(OFFSET(nombres[],0,0,1,1))+1,ROW(OFFSET(nombres[],ROWS(nombres[])-1,0,1,1))+1),$O1548:$O1567),3),"")</f>
        <v/>
      </c>
      <c r="WA1548" s="42" t="str">
        <f t="array" aca="1" ref="WA1548" ca="1">IFERROR(INDEX(nombres[],SMALL(IF(OFFSET(nombres[],0,0,ROWS(nombres[]),1)=WA$1490,ROW(OFFSET(nombres[],0,0,ROWS(nombres[]),1))-ROW(OFFSET(nombres[],0,0,1,1))+1,ROW(OFFSET(nombres[],ROWS(nombres[])-1,0,1,1))+1),$O1548:$O1567),3),"")</f>
        <v/>
      </c>
      <c r="WB1548" s="42" t="str">
        <f t="array" aca="1" ref="WB1548" ca="1">IFERROR(INDEX(nombres[],SMALL(IF(OFFSET(nombres[],0,0,ROWS(nombres[]),1)=WB$1490,ROW(OFFSET(nombres[],0,0,ROWS(nombres[]),1))-ROW(OFFSET(nombres[],0,0,1,1))+1,ROW(OFFSET(nombres[],ROWS(nombres[])-1,0,1,1))+1),$O1548:$O1567),3),"")</f>
        <v/>
      </c>
      <c r="WC1548" s="42" t="str">
        <f t="array" aca="1" ref="WC1548" ca="1">IFERROR(INDEX(nombres[],SMALL(IF(OFFSET(nombres[],0,0,ROWS(nombres[]),1)=WC$1490,ROW(OFFSET(nombres[],0,0,ROWS(nombres[]),1))-ROW(OFFSET(nombres[],0,0,1,1))+1,ROW(OFFSET(nombres[],ROWS(nombres[])-1,0,1,1))+1),$O1548:$O1567),3),"")</f>
        <v/>
      </c>
      <c r="WD1548" s="42" t="str">
        <f t="array" aca="1" ref="WD1548" ca="1">IFERROR(INDEX(nombres[],SMALL(IF(OFFSET(nombres[],0,0,ROWS(nombres[]),1)=WD$1490,ROW(OFFSET(nombres[],0,0,ROWS(nombres[]),1))-ROW(OFFSET(nombres[],0,0,1,1))+1,ROW(OFFSET(nombres[],ROWS(nombres[])-1,0,1,1))+1),$O1548:$O1567),3),"")</f>
        <v/>
      </c>
      <c r="WE1548" s="42" t="str">
        <f t="array" aca="1" ref="WE1548" ca="1">IFERROR(INDEX(nombres[],SMALL(IF(OFFSET(nombres[],0,0,ROWS(nombres[]),1)=WE$1490,ROW(OFFSET(nombres[],0,0,ROWS(nombres[]),1))-ROW(OFFSET(nombres[],0,0,1,1))+1,ROW(OFFSET(nombres[],ROWS(nombres[])-1,0,1,1))+1),$O1548:$O1567),3),"")</f>
        <v/>
      </c>
      <c r="WF1548" s="42" t="str">
        <f t="array" aca="1" ref="WF1548" ca="1">IFERROR(INDEX(nombres[],SMALL(IF(OFFSET(nombres[],0,0,ROWS(nombres[]),1)=WF$1490,ROW(OFFSET(nombres[],0,0,ROWS(nombres[]),1))-ROW(OFFSET(nombres[],0,0,1,1))+1,ROW(OFFSET(nombres[],ROWS(nombres[])-1,0,1,1))+1),$O1548:$O1567),3),"")</f>
        <v/>
      </c>
      <c r="WG1548" s="42" t="str">
        <f t="array" aca="1" ref="WG1548" ca="1">IFERROR(INDEX(nombres[],SMALL(IF(OFFSET(nombres[],0,0,ROWS(nombres[]),1)=WG$1490,ROW(OFFSET(nombres[],0,0,ROWS(nombres[]),1))-ROW(OFFSET(nombres[],0,0,1,1))+1,ROW(OFFSET(nombres[],ROWS(nombres[])-1,0,1,1))+1),$O1548:$O1567),3),"")</f>
        <v/>
      </c>
      <c r="WH1548" s="42" t="str">
        <f t="array" aca="1" ref="WH1548" ca="1">IFERROR(INDEX(nombres[],SMALL(IF(OFFSET(nombres[],0,0,ROWS(nombres[]),1)=WH$1490,ROW(OFFSET(nombres[],0,0,ROWS(nombres[]),1))-ROW(OFFSET(nombres[],0,0,1,1))+1,ROW(OFFSET(nombres[],ROWS(nombres[])-1,0,1,1))+1),$O1548:$O1567),3),"")</f>
        <v/>
      </c>
      <c r="WI1548" s="42" t="str">
        <f t="array" aca="1" ref="WI1548" ca="1">IFERROR(INDEX(nombres[],SMALL(IF(OFFSET(nombres[],0,0,ROWS(nombres[]),1)=WI$1490,ROW(OFFSET(nombres[],0,0,ROWS(nombres[]),1))-ROW(OFFSET(nombres[],0,0,1,1))+1,ROW(OFFSET(nombres[],ROWS(nombres[])-1,0,1,1))+1),$O1548:$O1567),3),"")</f>
        <v/>
      </c>
      <c r="WJ1548" s="42" t="str">
        <f t="array" aca="1" ref="WJ1548" ca="1">IFERROR(INDEX(nombres[],SMALL(IF(OFFSET(nombres[],0,0,ROWS(nombres[]),1)=WJ$1490,ROW(OFFSET(nombres[],0,0,ROWS(nombres[]),1))-ROW(OFFSET(nombres[],0,0,1,1))+1,ROW(OFFSET(nombres[],ROWS(nombres[])-1,0,1,1))+1),$O1548:$O1567),3),"")</f>
        <v/>
      </c>
      <c r="WK1548" s="42" t="str">
        <f t="array" aca="1" ref="WK1548" ca="1">IFERROR(INDEX(nombres[],SMALL(IF(OFFSET(nombres[],0,0,ROWS(nombres[]),1)=WK$1490,ROW(OFFSET(nombres[],0,0,ROWS(nombres[]),1))-ROW(OFFSET(nombres[],0,0,1,1))+1,ROW(OFFSET(nombres[],ROWS(nombres[])-1,0,1,1))+1),$O1548:$O1567),3),"")</f>
        <v/>
      </c>
      <c r="WL1548" s="42" t="str">
        <f t="array" aca="1" ref="WL1548" ca="1">IFERROR(INDEX(nombres[],SMALL(IF(OFFSET(nombres[],0,0,ROWS(nombres[]),1)=WL$1490,ROW(OFFSET(nombres[],0,0,ROWS(nombres[]),1))-ROW(OFFSET(nombres[],0,0,1,1))+1,ROW(OFFSET(nombres[],ROWS(nombres[])-1,0,1,1))+1),$O1548:$O1567),3),"")</f>
        <v/>
      </c>
      <c r="WM1548" s="42" t="str">
        <f t="array" aca="1" ref="WM1548" ca="1">IFERROR(INDEX(nombres[],SMALL(IF(OFFSET(nombres[],0,0,ROWS(nombres[]),1)=WM$1490,ROW(OFFSET(nombres[],0,0,ROWS(nombres[]),1))-ROW(OFFSET(nombres[],0,0,1,1))+1,ROW(OFFSET(nombres[],ROWS(nombres[])-1,0,1,1))+1),$O1548:$O1567),3),"")</f>
        <v/>
      </c>
      <c r="WN1548" s="42" t="str">
        <f t="array" aca="1" ref="WN1548" ca="1">IFERROR(INDEX(nombres[],SMALL(IF(OFFSET(nombres[],0,0,ROWS(nombres[]),1)=WN$1490,ROW(OFFSET(nombres[],0,0,ROWS(nombres[]),1))-ROW(OFFSET(nombres[],0,0,1,1))+1,ROW(OFFSET(nombres[],ROWS(nombres[])-1,0,1,1))+1),$O1548:$O1567),3),"")</f>
        <v/>
      </c>
      <c r="WO1548" s="42" t="str">
        <f t="array" aca="1" ref="WO1548" ca="1">IFERROR(INDEX(nombres[],SMALL(IF(OFFSET(nombres[],0,0,ROWS(nombres[]),1)=WO$1490,ROW(OFFSET(nombres[],0,0,ROWS(nombres[]),1))-ROW(OFFSET(nombres[],0,0,1,1))+1,ROW(OFFSET(nombres[],ROWS(nombres[])-1,0,1,1))+1),$O1548:$O1567),3),"")</f>
        <v/>
      </c>
      <c r="WP1548" s="42" t="str">
        <f t="array" aca="1" ref="WP1548" ca="1">IFERROR(INDEX(nombres[],SMALL(IF(OFFSET(nombres[],0,0,ROWS(nombres[]),1)=WP$1490,ROW(OFFSET(nombres[],0,0,ROWS(nombres[]),1))-ROW(OFFSET(nombres[],0,0,1,1))+1,ROW(OFFSET(nombres[],ROWS(nombres[])-1,0,1,1))+1),$O1548:$O1567),3),"")</f>
        <v/>
      </c>
      <c r="WQ1548" s="42" t="str">
        <f t="array" aca="1" ref="WQ1548" ca="1">IFERROR(INDEX(nombres[],SMALL(IF(OFFSET(nombres[],0,0,ROWS(nombres[]),1)=WQ$1490,ROW(OFFSET(nombres[],0,0,ROWS(nombres[]),1))-ROW(OFFSET(nombres[],0,0,1,1))+1,ROW(OFFSET(nombres[],ROWS(nombres[])-1,0,1,1))+1),$O1548:$O1567),3),"")</f>
        <v/>
      </c>
      <c r="WR1548" s="42" t="str">
        <f t="array" aca="1" ref="WR1548" ca="1">IFERROR(INDEX(nombres[],SMALL(IF(OFFSET(nombres[],0,0,ROWS(nombres[]),1)=WR$1490,ROW(OFFSET(nombres[],0,0,ROWS(nombres[]),1))-ROW(OFFSET(nombres[],0,0,1,1))+1,ROW(OFFSET(nombres[],ROWS(nombres[])-1,0,1,1))+1),$O1548:$O1567),3),"")</f>
        <v/>
      </c>
      <c r="WS1548" s="42" t="str">
        <f t="array" aca="1" ref="WS1548" ca="1">IFERROR(INDEX(nombres[],SMALL(IF(OFFSET(nombres[],0,0,ROWS(nombres[]),1)=WS$1490,ROW(OFFSET(nombres[],0,0,ROWS(nombres[]),1))-ROW(OFFSET(nombres[],0,0,1,1))+1,ROW(OFFSET(nombres[],ROWS(nombres[])-1,0,1,1))+1),$O1548:$O1567),3),"")</f>
        <v/>
      </c>
      <c r="WT1548" s="42" t="str">
        <f t="array" aca="1" ref="WT1548" ca="1">IFERROR(INDEX(nombres[],SMALL(IF(OFFSET(nombres[],0,0,ROWS(nombres[]),1)=WT$1490,ROW(OFFSET(nombres[],0,0,ROWS(nombres[]),1))-ROW(OFFSET(nombres[],0,0,1,1))+1,ROW(OFFSET(nombres[],ROWS(nombres[])-1,0,1,1))+1),$O1548:$O1567),3),"")</f>
        <v/>
      </c>
      <c r="WU1548" s="42" t="str">
        <f t="array" aca="1" ref="WU1548" ca="1">IFERROR(INDEX(nombres[],SMALL(IF(OFFSET(nombres[],0,0,ROWS(nombres[]),1)=WU$1490,ROW(OFFSET(nombres[],0,0,ROWS(nombres[]),1))-ROW(OFFSET(nombres[],0,0,1,1))+1,ROW(OFFSET(nombres[],ROWS(nombres[])-1,0,1,1))+1),$O1548:$O1567),3),"")</f>
        <v/>
      </c>
      <c r="WV1548" s="42" t="str">
        <f t="array" aca="1" ref="WV1548" ca="1">IFERROR(INDEX(nombres[],SMALL(IF(OFFSET(nombres[],0,0,ROWS(nombres[]),1)=WV$1490,ROW(OFFSET(nombres[],0,0,ROWS(nombres[]),1))-ROW(OFFSET(nombres[],0,0,1,1))+1,ROW(OFFSET(nombres[],ROWS(nombres[])-1,0,1,1))+1),$O1548:$O1567),3),"")</f>
        <v/>
      </c>
      <c r="WW1548" s="42" t="str">
        <f t="array" aca="1" ref="WW1548" ca="1">IFERROR(INDEX(nombres[],SMALL(IF(OFFSET(nombres[],0,0,ROWS(nombres[]),1)=WW$1490,ROW(OFFSET(nombres[],0,0,ROWS(nombres[]),1))-ROW(OFFSET(nombres[],0,0,1,1))+1,ROW(OFFSET(nombres[],ROWS(nombres[])-1,0,1,1))+1),$O1548:$O1567),3),"")</f>
        <v/>
      </c>
      <c r="WX1548" s="42" t="str">
        <f t="array" aca="1" ref="WX1548" ca="1">IFERROR(INDEX(nombres[],SMALL(IF(OFFSET(nombres[],0,0,ROWS(nombres[]),1)=WX$1490,ROW(OFFSET(nombres[],0,0,ROWS(nombres[]),1))-ROW(OFFSET(nombres[],0,0,1,1))+1,ROW(OFFSET(nombres[],ROWS(nombres[])-1,0,1,1))+1),$O1548:$O1567),3),"")</f>
        <v/>
      </c>
      <c r="WY1548" s="42" t="str">
        <f t="array" aca="1" ref="WY1548" ca="1">IFERROR(INDEX(nombres[],SMALL(IF(OFFSET(nombres[],0,0,ROWS(nombres[]),1)=WY$1490,ROW(OFFSET(nombres[],0,0,ROWS(nombres[]),1))-ROW(OFFSET(nombres[],0,0,1,1))+1,ROW(OFFSET(nombres[],ROWS(nombres[])-1,0,1,1))+1),$O1548:$O1567),3),"")</f>
        <v/>
      </c>
      <c r="WZ1548" s="42" t="str">
        <f t="array" aca="1" ref="WZ1548" ca="1">IFERROR(INDEX(nombres[],SMALL(IF(OFFSET(nombres[],0,0,ROWS(nombres[]),1)=WZ$1490,ROW(OFFSET(nombres[],0,0,ROWS(nombres[]),1))-ROW(OFFSET(nombres[],0,0,1,1))+1,ROW(OFFSET(nombres[],ROWS(nombres[])-1,0,1,1))+1),$O1548:$O1567),3),"")</f>
        <v/>
      </c>
      <c r="XA1548" s="42" t="str">
        <f t="array" aca="1" ref="XA1548" ca="1">IFERROR(INDEX(nombres[],SMALL(IF(OFFSET(nombres[],0,0,ROWS(nombres[]),1)=XA$1490,ROW(OFFSET(nombres[],0,0,ROWS(nombres[]),1))-ROW(OFFSET(nombres[],0,0,1,1))+1,ROW(OFFSET(nombres[],ROWS(nombres[])-1,0,1,1))+1),$O1548:$O1567),3),"")</f>
        <v/>
      </c>
      <c r="XB1548" s="42" t="str">
        <f t="array" aca="1" ref="XB1548" ca="1">IFERROR(INDEX(nombres[],SMALL(IF(OFFSET(nombres[],0,0,ROWS(nombres[]),1)=XB$1490,ROW(OFFSET(nombres[],0,0,ROWS(nombres[]),1))-ROW(OFFSET(nombres[],0,0,1,1))+1,ROW(OFFSET(nombres[],ROWS(nombres[])-1,0,1,1))+1),$O1548:$O1567),3),"")</f>
        <v/>
      </c>
      <c r="XC1548" s="42" t="str">
        <f t="array" aca="1" ref="XC1548" ca="1">IFERROR(INDEX(nombres[],SMALL(IF(OFFSET(nombres[],0,0,ROWS(nombres[]),1)=XC$1490,ROW(OFFSET(nombres[],0,0,ROWS(nombres[]),1))-ROW(OFFSET(nombres[],0,0,1,1))+1,ROW(OFFSET(nombres[],ROWS(nombres[])-1,0,1,1))+1),$O1548:$O1567),3),"")</f>
        <v/>
      </c>
      <c r="XD1548" s="42" t="str">
        <f t="array" aca="1" ref="XD1548" ca="1">IFERROR(INDEX(nombres[],SMALL(IF(OFFSET(nombres[],0,0,ROWS(nombres[]),1)=XD$1490,ROW(OFFSET(nombres[],0,0,ROWS(nombres[]),1))-ROW(OFFSET(nombres[],0,0,1,1))+1,ROW(OFFSET(nombres[],ROWS(nombres[])-1,0,1,1))+1),$O1548:$O1567),3),"")</f>
        <v/>
      </c>
      <c r="XE1548" s="42" t="str">
        <f t="array" aca="1" ref="XE1548" ca="1">IFERROR(INDEX(nombres[],SMALL(IF(OFFSET(nombres[],0,0,ROWS(nombres[]),1)=XE$1490,ROW(OFFSET(nombres[],0,0,ROWS(nombres[]),1))-ROW(OFFSET(nombres[],0,0,1,1))+1,ROW(OFFSET(nombres[],ROWS(nombres[])-1,0,1,1))+1),$O1548:$O1567),3),"")</f>
        <v/>
      </c>
      <c r="XF1548" s="42" t="str">
        <f t="array" aca="1" ref="XF1548" ca="1">IFERROR(INDEX(nombres[],SMALL(IF(OFFSET(nombres[],0,0,ROWS(nombres[]),1)=XF$1490,ROW(OFFSET(nombres[],0,0,ROWS(nombres[]),1))-ROW(OFFSET(nombres[],0,0,1,1))+1,ROW(OFFSET(nombres[],ROWS(nombres[])-1,0,1,1))+1),$O1548:$O1567),3),"")</f>
        <v/>
      </c>
      <c r="XG1548" s="42" t="str">
        <f t="array" aca="1" ref="XG1548" ca="1">IFERROR(INDEX(nombres[],SMALL(IF(OFFSET(nombres[],0,0,ROWS(nombres[]),1)=XG$1490,ROW(OFFSET(nombres[],0,0,ROWS(nombres[]),1))-ROW(OFFSET(nombres[],0,0,1,1))+1,ROW(OFFSET(nombres[],ROWS(nombres[])-1,0,1,1))+1),$O1548:$O1567),3),"")</f>
        <v/>
      </c>
      <c r="XH1548" s="42" t="str">
        <f t="array" aca="1" ref="XH1548" ca="1">IFERROR(INDEX(nombres[],SMALL(IF(OFFSET(nombres[],0,0,ROWS(nombres[]),1)=XH$1490,ROW(OFFSET(nombres[],0,0,ROWS(nombres[]),1))-ROW(OFFSET(nombres[],0,0,1,1))+1,ROW(OFFSET(nombres[],ROWS(nombres[])-1,0,1,1))+1),$O1548:$O1567),3),"")</f>
        <v/>
      </c>
      <c r="XI1548" s="42" t="str">
        <f t="array" aca="1" ref="XI1548" ca="1">IFERROR(INDEX(nombres[],SMALL(IF(OFFSET(nombres[],0,0,ROWS(nombres[]),1)=XI$1490,ROW(OFFSET(nombres[],0,0,ROWS(nombres[]),1))-ROW(OFFSET(nombres[],0,0,1,1))+1,ROW(OFFSET(nombres[],ROWS(nombres[])-1,0,1,1))+1),$O1548:$O1567),3),"")</f>
        <v/>
      </c>
      <c r="XJ1548" s="42" t="str">
        <f t="array" aca="1" ref="XJ1548" ca="1">IFERROR(INDEX(nombres[],SMALL(IF(OFFSET(nombres[],0,0,ROWS(nombres[]),1)=XJ$1490,ROW(OFFSET(nombres[],0,0,ROWS(nombres[]),1))-ROW(OFFSET(nombres[],0,0,1,1))+1,ROW(OFFSET(nombres[],ROWS(nombres[])-1,0,1,1))+1),$O1548:$O1567),3),"")</f>
        <v/>
      </c>
      <c r="XK1548" s="42" t="str">
        <f t="array" aca="1" ref="XK1548" ca="1">IFERROR(INDEX(nombres[],SMALL(IF(OFFSET(nombres[],0,0,ROWS(nombres[]),1)=XK$1490,ROW(OFFSET(nombres[],0,0,ROWS(nombres[]),1))-ROW(OFFSET(nombres[],0,0,1,1))+1,ROW(OFFSET(nombres[],ROWS(nombres[])-1,0,1,1))+1),$O1548:$O1567),3),"")</f>
        <v/>
      </c>
      <c r="XL1548" s="42" t="str">
        <f t="array" aca="1" ref="XL1548" ca="1">IFERROR(INDEX(nombres[],SMALL(IF(OFFSET(nombres[],0,0,ROWS(nombres[]),1)=XL$1490,ROW(OFFSET(nombres[],0,0,ROWS(nombres[]),1))-ROW(OFFSET(nombres[],0,0,1,1))+1,ROW(OFFSET(nombres[],ROWS(nombres[])-1,0,1,1))+1),$O1548:$O1567),3),"")</f>
        <v/>
      </c>
      <c r="XM1548" s="42" t="str">
        <f t="array" aca="1" ref="XM1548" ca="1">IFERROR(INDEX(nombres[],SMALL(IF(OFFSET(nombres[],0,0,ROWS(nombres[]),1)=XM$1490,ROW(OFFSET(nombres[],0,0,ROWS(nombres[]),1))-ROW(OFFSET(nombres[],0,0,1,1))+1,ROW(OFFSET(nombres[],ROWS(nombres[])-1,0,1,1))+1),$O1548:$O1567),3),"")</f>
        <v/>
      </c>
      <c r="XN1548" s="42" t="str">
        <f t="array" aca="1" ref="XN1548" ca="1">IFERROR(INDEX(nombres[],SMALL(IF(OFFSET(nombres[],0,0,ROWS(nombres[]),1)=XN$1490,ROW(OFFSET(nombres[],0,0,ROWS(nombres[]),1))-ROW(OFFSET(nombres[],0,0,1,1))+1,ROW(OFFSET(nombres[],ROWS(nombres[])-1,0,1,1))+1),$O1548:$O1567),3),"")</f>
        <v/>
      </c>
      <c r="XO1548" s="42" t="str">
        <f t="array" aca="1" ref="XO1548" ca="1">IFERROR(INDEX(nombres[],SMALL(IF(OFFSET(nombres[],0,0,ROWS(nombres[]),1)=XO$1490,ROW(OFFSET(nombres[],0,0,ROWS(nombres[]),1))-ROW(OFFSET(nombres[],0,0,1,1))+1,ROW(OFFSET(nombres[],ROWS(nombres[])-1,0,1,1))+1),$O1548:$O1567),3),"")</f>
        <v/>
      </c>
      <c r="XP1548" s="42" t="str">
        <f t="array" aca="1" ref="XP1548" ca="1">IFERROR(INDEX(nombres[],SMALL(IF(OFFSET(nombres[],0,0,ROWS(nombres[]),1)=XP$1490,ROW(OFFSET(nombres[],0,0,ROWS(nombres[]),1))-ROW(OFFSET(nombres[],0,0,1,1))+1,ROW(OFFSET(nombres[],ROWS(nombres[])-1,0,1,1))+1),$O1548:$O1567),3),"")</f>
        <v/>
      </c>
      <c r="XQ1548" s="42" t="str">
        <f t="array" aca="1" ref="XQ1548" ca="1">IFERROR(INDEX(nombres[],SMALL(IF(OFFSET(nombres[],0,0,ROWS(nombres[]),1)=XQ$1490,ROW(OFFSET(nombres[],0,0,ROWS(nombres[]),1))-ROW(OFFSET(nombres[],0,0,1,1))+1,ROW(OFFSET(nombres[],ROWS(nombres[])-1,0,1,1))+1),$O1548:$O1567),3),"")</f>
        <v/>
      </c>
      <c r="XR1548" s="42" t="str">
        <f t="array" aca="1" ref="XR1548" ca="1">IFERROR(INDEX(nombres[],SMALL(IF(OFFSET(nombres[],0,0,ROWS(nombres[]),1)=XR$1490,ROW(OFFSET(nombres[],0,0,ROWS(nombres[]),1))-ROW(OFFSET(nombres[],0,0,1,1))+1,ROW(OFFSET(nombres[],ROWS(nombres[])-1,0,1,1))+1),$O1548:$O1567),3),"")</f>
        <v/>
      </c>
      <c r="XS1548" s="42" t="str">
        <f t="array" aca="1" ref="XS1548" ca="1">IFERROR(INDEX(nombres[],SMALL(IF(OFFSET(nombres[],0,0,ROWS(nombres[]),1)=XS$1490,ROW(OFFSET(nombres[],0,0,ROWS(nombres[]),1))-ROW(OFFSET(nombres[],0,0,1,1))+1,ROW(OFFSET(nombres[],ROWS(nombres[])-1,0,1,1))+1),$O1548:$O1567),3),"")</f>
        <v/>
      </c>
      <c r="XT1548" s="42" t="str">
        <f t="array" aca="1" ref="XT1548" ca="1">IFERROR(INDEX(nombres[],SMALL(IF(OFFSET(nombres[],0,0,ROWS(nombres[]),1)=XT$1490,ROW(OFFSET(nombres[],0,0,ROWS(nombres[]),1))-ROW(OFFSET(nombres[],0,0,1,1))+1,ROW(OFFSET(nombres[],ROWS(nombres[])-1,0,1,1))+1),$O1548:$O1567),3),"")</f>
        <v/>
      </c>
      <c r="XU1548" s="42" t="str">
        <f t="array" aca="1" ref="XU1548" ca="1">IFERROR(INDEX(nombres[],SMALL(IF(OFFSET(nombres[],0,0,ROWS(nombres[]),1)=XU$1490,ROW(OFFSET(nombres[],0,0,ROWS(nombres[]),1))-ROW(OFFSET(nombres[],0,0,1,1))+1,ROW(OFFSET(nombres[],ROWS(nombres[])-1,0,1,1))+1),$O1548:$O1567),3),"")</f>
        <v/>
      </c>
      <c r="XV1548" s="42" t="str">
        <f t="array" aca="1" ref="XV1548" ca="1">IFERROR(INDEX(nombres[],SMALL(IF(OFFSET(nombres[],0,0,ROWS(nombres[]),1)=XV$1490,ROW(OFFSET(nombres[],0,0,ROWS(nombres[]),1))-ROW(OFFSET(nombres[],0,0,1,1))+1,ROW(OFFSET(nombres[],ROWS(nombres[])-1,0,1,1))+1),$O1548:$O1567),3),"")</f>
        <v/>
      </c>
      <c r="XW1548" s="42" t="str">
        <f t="array" aca="1" ref="XW1548" ca="1">IFERROR(INDEX(nombres[],SMALL(IF(OFFSET(nombres[],0,0,ROWS(nombres[]),1)=XW$1490,ROW(OFFSET(nombres[],0,0,ROWS(nombres[]),1))-ROW(OFFSET(nombres[],0,0,1,1))+1,ROW(OFFSET(nombres[],ROWS(nombres[])-1,0,1,1))+1),$O1548:$O1567),3),"")</f>
        <v/>
      </c>
      <c r="XX1548" s="42" t="str">
        <f t="array" aca="1" ref="XX1548" ca="1">IFERROR(INDEX(nombres[],SMALL(IF(OFFSET(nombres[],0,0,ROWS(nombres[]),1)=XX$1490,ROW(OFFSET(nombres[],0,0,ROWS(nombres[]),1))-ROW(OFFSET(nombres[],0,0,1,1))+1,ROW(OFFSET(nombres[],ROWS(nombres[])-1,0,1,1))+1),$O1548:$O1567),3),"")</f>
        <v/>
      </c>
      <c r="XY1548" s="42" t="str">
        <f t="array" aca="1" ref="XY1548" ca="1">IFERROR(INDEX(nombres[],SMALL(IF(OFFSET(nombres[],0,0,ROWS(nombres[]),1)=XY$1490,ROW(OFFSET(nombres[],0,0,ROWS(nombres[]),1))-ROW(OFFSET(nombres[],0,0,1,1))+1,ROW(OFFSET(nombres[],ROWS(nombres[])-1,0,1,1))+1),$O1548:$O1567),3),"")</f>
        <v/>
      </c>
      <c r="XZ1548" s="42" t="str">
        <f t="array" aca="1" ref="XZ1548" ca="1">IFERROR(INDEX(nombres[],SMALL(IF(OFFSET(nombres[],0,0,ROWS(nombres[]),1)=XZ$1490,ROW(OFFSET(nombres[],0,0,ROWS(nombres[]),1))-ROW(OFFSET(nombres[],0,0,1,1))+1,ROW(OFFSET(nombres[],ROWS(nombres[])-1,0,1,1))+1),$O1548:$O1567),3),"")</f>
        <v/>
      </c>
      <c r="YA1548" s="42" t="str">
        <f t="array" aca="1" ref="YA1548" ca="1">IFERROR(INDEX(nombres[],SMALL(IF(OFFSET(nombres[],0,0,ROWS(nombres[]),1)=YA$1490,ROW(OFFSET(nombres[],0,0,ROWS(nombres[]),1))-ROW(OFFSET(nombres[],0,0,1,1))+1,ROW(OFFSET(nombres[],ROWS(nombres[])-1,0,1,1))+1),$O1548:$O1567),3),"")</f>
        <v/>
      </c>
      <c r="YB1548" s="42" t="str">
        <f t="array" aca="1" ref="YB1548" ca="1">IFERROR(INDEX(nombres[],SMALL(IF(OFFSET(nombres[],0,0,ROWS(nombres[]),1)=YB$1490,ROW(OFFSET(nombres[],0,0,ROWS(nombres[]),1))-ROW(OFFSET(nombres[],0,0,1,1))+1,ROW(OFFSET(nombres[],ROWS(nombres[])-1,0,1,1))+1),$O1548:$O1567),3),"")</f>
        <v/>
      </c>
      <c r="YC1548" s="42" t="str">
        <f t="array" aca="1" ref="YC1548" ca="1">IFERROR(INDEX(nombres[],SMALL(IF(OFFSET(nombres[],0,0,ROWS(nombres[]),1)=YC$1490,ROW(OFFSET(nombres[],0,0,ROWS(nombres[]),1))-ROW(OFFSET(nombres[],0,0,1,1))+1,ROW(OFFSET(nombres[],ROWS(nombres[])-1,0,1,1))+1),$O1548:$O1567),3),"")</f>
        <v/>
      </c>
      <c r="YD1548" s="42" t="str">
        <f t="array" aca="1" ref="YD1548" ca="1">IFERROR(INDEX(nombres[],SMALL(IF(OFFSET(nombres[],0,0,ROWS(nombres[]),1)=YD$1490,ROW(OFFSET(nombres[],0,0,ROWS(nombres[]),1))-ROW(OFFSET(nombres[],0,0,1,1))+1,ROW(OFFSET(nombres[],ROWS(nombres[])-1,0,1,1))+1),$O1548:$O1567),3),"")</f>
        <v/>
      </c>
      <c r="YE1548" s="42" t="str">
        <f t="array" aca="1" ref="YE1548" ca="1">IFERROR(INDEX(nombres[],SMALL(IF(OFFSET(nombres[],0,0,ROWS(nombres[]),1)=YE$1490,ROW(OFFSET(nombres[],0,0,ROWS(nombres[]),1))-ROW(OFFSET(nombres[],0,0,1,1))+1,ROW(OFFSET(nombres[],ROWS(nombres[])-1,0,1,1))+1),$O1548:$O1567),3),"")</f>
        <v/>
      </c>
      <c r="YF1548" s="42" t="str">
        <f t="array" aca="1" ref="YF1548" ca="1">IFERROR(INDEX(nombres[],SMALL(IF(OFFSET(nombres[],0,0,ROWS(nombres[]),1)=YF$1490,ROW(OFFSET(nombres[],0,0,ROWS(nombres[]),1))-ROW(OFFSET(nombres[],0,0,1,1))+1,ROW(OFFSET(nombres[],ROWS(nombres[])-1,0,1,1))+1),$O1548:$O1567),3),"")</f>
        <v/>
      </c>
      <c r="YG1548" s="42" t="str">
        <f t="array" aca="1" ref="YG1548" ca="1">IFERROR(INDEX(nombres[],SMALL(IF(OFFSET(nombres[],0,0,ROWS(nombres[]),1)=YG$1490,ROW(OFFSET(nombres[],0,0,ROWS(nombres[]),1))-ROW(OFFSET(nombres[],0,0,1,1))+1,ROW(OFFSET(nombres[],ROWS(nombres[])-1,0,1,1))+1),$O1548:$O1567),3),"")</f>
        <v/>
      </c>
      <c r="YH1548" s="42" t="str">
        <f t="array" aca="1" ref="YH1548" ca="1">IFERROR(INDEX(nombres[],SMALL(IF(OFFSET(nombres[],0,0,ROWS(nombres[]),1)=YH$1490,ROW(OFFSET(nombres[],0,0,ROWS(nombres[]),1))-ROW(OFFSET(nombres[],0,0,1,1))+1,ROW(OFFSET(nombres[],ROWS(nombres[])-1,0,1,1))+1),$O1548:$O1567),3),"")</f>
        <v/>
      </c>
      <c r="YI1548" s="42" t="str">
        <f t="array" aca="1" ref="YI1548" ca="1">IFERROR(INDEX(nombres[],SMALL(IF(OFFSET(nombres[],0,0,ROWS(nombres[]),1)=YI$1490,ROW(OFFSET(nombres[],0,0,ROWS(nombres[]),1))-ROW(OFFSET(nombres[],0,0,1,1))+1,ROW(OFFSET(nombres[],ROWS(nombres[])-1,0,1,1))+1),$O1548:$O1567),3),"")</f>
        <v/>
      </c>
      <c r="YJ1548" s="42" t="str">
        <f t="array" aca="1" ref="YJ1548" ca="1">IFERROR(INDEX(nombres[],SMALL(IF(OFFSET(nombres[],0,0,ROWS(nombres[]),1)=YJ$1490,ROW(OFFSET(nombres[],0,0,ROWS(nombres[]),1))-ROW(OFFSET(nombres[],0,0,1,1))+1,ROW(OFFSET(nombres[],ROWS(nombres[])-1,0,1,1))+1),$O1548:$O1567),3),"")</f>
        <v/>
      </c>
      <c r="YK1548" s="42" t="str">
        <f t="array" aca="1" ref="YK1548" ca="1">IFERROR(INDEX(nombres[],SMALL(IF(OFFSET(nombres[],0,0,ROWS(nombres[]),1)=YK$1490,ROW(OFFSET(nombres[],0,0,ROWS(nombres[]),1))-ROW(OFFSET(nombres[],0,0,1,1))+1,ROW(OFFSET(nombres[],ROWS(nombres[])-1,0,1,1))+1),$O1548:$O1567),3),"")</f>
        <v/>
      </c>
      <c r="YL1548" s="42" t="str">
        <f t="array" aca="1" ref="YL1548" ca="1">IFERROR(INDEX(nombres[],SMALL(IF(OFFSET(nombres[],0,0,ROWS(nombres[]),1)=YL$1490,ROW(OFFSET(nombres[],0,0,ROWS(nombres[]),1))-ROW(OFFSET(nombres[],0,0,1,1))+1,ROW(OFFSET(nombres[],ROWS(nombres[])-1,0,1,1))+1),$O1548:$O1567),3),"")</f>
        <v/>
      </c>
      <c r="YM1548" s="42" t="str">
        <f t="array" aca="1" ref="YM1548" ca="1">IFERROR(INDEX(nombres[],SMALL(IF(OFFSET(nombres[],0,0,ROWS(nombres[]),1)=YM$1490,ROW(OFFSET(nombres[],0,0,ROWS(nombres[]),1))-ROW(OFFSET(nombres[],0,0,1,1))+1,ROW(OFFSET(nombres[],ROWS(nombres[])-1,0,1,1))+1),$O1548:$O1567),3),"")</f>
        <v/>
      </c>
      <c r="YN1548" s="42" t="str">
        <f t="array" aca="1" ref="YN1548" ca="1">IFERROR(INDEX(nombres[],SMALL(IF(OFFSET(nombres[],0,0,ROWS(nombres[]),1)=YN$1490,ROW(OFFSET(nombres[],0,0,ROWS(nombres[]),1))-ROW(OFFSET(nombres[],0,0,1,1))+1,ROW(OFFSET(nombres[],ROWS(nombres[])-1,0,1,1))+1),$O1548:$O1567),3),"")</f>
        <v/>
      </c>
      <c r="YO1548" s="42" t="str">
        <f t="array" aca="1" ref="YO1548" ca="1">IFERROR(INDEX(nombres[],SMALL(IF(OFFSET(nombres[],0,0,ROWS(nombres[]),1)=YO$1490,ROW(OFFSET(nombres[],0,0,ROWS(nombres[]),1))-ROW(OFFSET(nombres[],0,0,1,1))+1,ROW(OFFSET(nombres[],ROWS(nombres[])-1,0,1,1))+1),$O1548:$O1567),3),"")</f>
        <v/>
      </c>
      <c r="YP1548" s="42" t="str">
        <f t="array" aca="1" ref="YP1548" ca="1">IFERROR(INDEX(nombres[],SMALL(IF(OFFSET(nombres[],0,0,ROWS(nombres[]),1)=YP$1490,ROW(OFFSET(nombres[],0,0,ROWS(nombres[]),1))-ROW(OFFSET(nombres[],0,0,1,1))+1,ROW(OFFSET(nombres[],ROWS(nombres[])-1,0,1,1))+1),$O1548:$O1567),3),"")</f>
        <v/>
      </c>
      <c r="YQ1548" s="42" t="str">
        <f t="array" aca="1" ref="YQ1548" ca="1">IFERROR(INDEX(nombres[],SMALL(IF(OFFSET(nombres[],0,0,ROWS(nombres[]),1)=YQ$1490,ROW(OFFSET(nombres[],0,0,ROWS(nombres[]),1))-ROW(OFFSET(nombres[],0,0,1,1))+1,ROW(OFFSET(nombres[],ROWS(nombres[])-1,0,1,1))+1),$O1548:$O1567),3),"")</f>
        <v/>
      </c>
      <c r="YR1548" s="42" t="str">
        <f t="array" aca="1" ref="YR1548" ca="1">IFERROR(INDEX(nombres[],SMALL(IF(OFFSET(nombres[],0,0,ROWS(nombres[]),1)=YR$1490,ROW(OFFSET(nombres[],0,0,ROWS(nombres[]),1))-ROW(OFFSET(nombres[],0,0,1,1))+1,ROW(OFFSET(nombres[],ROWS(nombres[])-1,0,1,1))+1),$O1548:$O1567),3),"")</f>
        <v/>
      </c>
      <c r="YS1548" s="42" t="str">
        <f t="array" aca="1" ref="YS1548" ca="1">IFERROR(INDEX(nombres[],SMALL(IF(OFFSET(nombres[],0,0,ROWS(nombres[]),1)=YS$1490,ROW(OFFSET(nombres[],0,0,ROWS(nombres[]),1))-ROW(OFFSET(nombres[],0,0,1,1))+1,ROW(OFFSET(nombres[],ROWS(nombres[])-1,0,1,1))+1),$O1548:$O1567),3),"")</f>
        <v/>
      </c>
      <c r="YT1548" s="42" t="str">
        <f t="array" aca="1" ref="YT1548" ca="1">IFERROR(INDEX(nombres[],SMALL(IF(OFFSET(nombres[],0,0,ROWS(nombres[]),1)=YT$1490,ROW(OFFSET(nombres[],0,0,ROWS(nombres[]),1))-ROW(OFFSET(nombres[],0,0,1,1))+1,ROW(OFFSET(nombres[],ROWS(nombres[])-1,0,1,1))+1),$O1548:$O1567),3),"")</f>
        <v/>
      </c>
      <c r="YU1548" s="42" t="str">
        <f t="array" aca="1" ref="YU1548" ca="1">IFERROR(INDEX(nombres[],SMALL(IF(OFFSET(nombres[],0,0,ROWS(nombres[]),1)=YU$1490,ROW(OFFSET(nombres[],0,0,ROWS(nombres[]),1))-ROW(OFFSET(nombres[],0,0,1,1))+1,ROW(OFFSET(nombres[],ROWS(nombres[])-1,0,1,1))+1),$O1548:$O1567),3),"")</f>
        <v/>
      </c>
      <c r="YV1548" s="42" t="str">
        <f t="array" aca="1" ref="YV1548" ca="1">IFERROR(INDEX(nombres[],SMALL(IF(OFFSET(nombres[],0,0,ROWS(nombres[]),1)=YV$1490,ROW(OFFSET(nombres[],0,0,ROWS(nombres[]),1))-ROW(OFFSET(nombres[],0,0,1,1))+1,ROW(OFFSET(nombres[],ROWS(nombres[])-1,0,1,1))+1),$O1548:$O1567),3),"")</f>
        <v/>
      </c>
      <c r="YW1548" s="42" t="str">
        <f t="array" aca="1" ref="YW1548" ca="1">IFERROR(INDEX(nombres[],SMALL(IF(OFFSET(nombres[],0,0,ROWS(nombres[]),1)=YW$1490,ROW(OFFSET(nombres[],0,0,ROWS(nombres[]),1))-ROW(OFFSET(nombres[],0,0,1,1))+1,ROW(OFFSET(nombres[],ROWS(nombres[])-1,0,1,1))+1),$O1548:$O1567),3),"")</f>
        <v/>
      </c>
      <c r="YX1548" s="42" t="str">
        <f t="array" aca="1" ref="YX1548" ca="1">IFERROR(INDEX(nombres[],SMALL(IF(OFFSET(nombres[],0,0,ROWS(nombres[]),1)=YX$1490,ROW(OFFSET(nombres[],0,0,ROWS(nombres[]),1))-ROW(OFFSET(nombres[],0,0,1,1))+1,ROW(OFFSET(nombres[],ROWS(nombres[])-1,0,1,1))+1),$O1548:$O1567),3),"")</f>
        <v/>
      </c>
      <c r="YY1548" s="42" t="str">
        <f t="array" aca="1" ref="YY1548" ca="1">IFERROR(INDEX(nombres[],SMALL(IF(OFFSET(nombres[],0,0,ROWS(nombres[]),1)=YY$1490,ROW(OFFSET(nombres[],0,0,ROWS(nombres[]),1))-ROW(OFFSET(nombres[],0,0,1,1))+1,ROW(OFFSET(nombres[],ROWS(nombres[])-1,0,1,1))+1),$O1548:$O1567),3),"")</f>
        <v/>
      </c>
      <c r="YZ1548" s="42" t="str">
        <f t="array" aca="1" ref="YZ1548" ca="1">IFERROR(INDEX(nombres[],SMALL(IF(OFFSET(nombres[],0,0,ROWS(nombres[]),1)=YZ$1490,ROW(OFFSET(nombres[],0,0,ROWS(nombres[]),1))-ROW(OFFSET(nombres[],0,0,1,1))+1,ROW(OFFSET(nombres[],ROWS(nombres[])-1,0,1,1))+1),$O1548:$O1567),3),"")</f>
        <v/>
      </c>
      <c r="ZA1548" s="42" t="str">
        <f t="array" aca="1" ref="ZA1548" ca="1">IFERROR(INDEX(nombres[],SMALL(IF(OFFSET(nombres[],0,0,ROWS(nombres[]),1)=ZA$1490,ROW(OFFSET(nombres[],0,0,ROWS(nombres[]),1))-ROW(OFFSET(nombres[],0,0,1,1))+1,ROW(OFFSET(nombres[],ROWS(nombres[])-1,0,1,1))+1),$O1548:$O1567),3),"")</f>
        <v/>
      </c>
      <c r="ZB1548" s="42" t="str">
        <f t="array" aca="1" ref="ZB1548" ca="1">IFERROR(INDEX(nombres[],SMALL(IF(OFFSET(nombres[],0,0,ROWS(nombres[]),1)=ZB$1490,ROW(OFFSET(nombres[],0,0,ROWS(nombres[]),1))-ROW(OFFSET(nombres[],0,0,1,1))+1,ROW(OFFSET(nombres[],ROWS(nombres[])-1,0,1,1))+1),$O1548:$O1567),3),"")</f>
        <v/>
      </c>
      <c r="ZC1548" s="42" t="str">
        <f t="array" aca="1" ref="ZC1548" ca="1">IFERROR(INDEX(nombres[],SMALL(IF(OFFSET(nombres[],0,0,ROWS(nombres[]),1)=ZC$1490,ROW(OFFSET(nombres[],0,0,ROWS(nombres[]),1))-ROW(OFFSET(nombres[],0,0,1,1))+1,ROW(OFFSET(nombres[],ROWS(nombres[])-1,0,1,1))+1),$O1548:$O1567),3),"")</f>
        <v/>
      </c>
      <c r="ZD1548" s="42" t="str">
        <f t="array" aca="1" ref="ZD1548" ca="1">IFERROR(INDEX(nombres[],SMALL(IF(OFFSET(nombres[],0,0,ROWS(nombres[]),1)=ZD$1490,ROW(OFFSET(nombres[],0,0,ROWS(nombres[]),1))-ROW(OFFSET(nombres[],0,0,1,1))+1,ROW(OFFSET(nombres[],ROWS(nombres[])-1,0,1,1))+1),$O1548:$O1567),3),"")</f>
        <v/>
      </c>
      <c r="ZE1548" s="42" t="str">
        <f t="array" aca="1" ref="ZE1548" ca="1">IFERROR(INDEX(nombres[],SMALL(IF(OFFSET(nombres[],0,0,ROWS(nombres[]),1)=ZE$1490,ROW(OFFSET(nombres[],0,0,ROWS(nombres[]),1))-ROW(OFFSET(nombres[],0,0,1,1))+1,ROW(OFFSET(nombres[],ROWS(nombres[])-1,0,1,1))+1),$O1548:$O1567),3),"")</f>
        <v/>
      </c>
      <c r="ZF1548" s="42" t="str">
        <f t="array" aca="1" ref="ZF1548" ca="1">IFERROR(INDEX(nombres[],SMALL(IF(OFFSET(nombres[],0,0,ROWS(nombres[]),1)=ZF$1490,ROW(OFFSET(nombres[],0,0,ROWS(nombres[]),1))-ROW(OFFSET(nombres[],0,0,1,1))+1,ROW(OFFSET(nombres[],ROWS(nombres[])-1,0,1,1))+1),$O1548:$O1567),3),"")</f>
        <v/>
      </c>
      <c r="ZG1548" s="42" t="str">
        <f t="array" aca="1" ref="ZG1548" ca="1">IFERROR(INDEX(nombres[],SMALL(IF(OFFSET(nombres[],0,0,ROWS(nombres[]),1)=ZG$1490,ROW(OFFSET(nombres[],0,0,ROWS(nombres[]),1))-ROW(OFFSET(nombres[],0,0,1,1))+1,ROW(OFFSET(nombres[],ROWS(nombres[])-1,0,1,1))+1),$O1548:$O1567),3),"")</f>
        <v/>
      </c>
      <c r="ZH1548" s="42" t="str">
        <f t="array" aca="1" ref="ZH1548" ca="1">IFERROR(INDEX(nombres[],SMALL(IF(OFFSET(nombres[],0,0,ROWS(nombres[]),1)=ZH$1490,ROW(OFFSET(nombres[],0,0,ROWS(nombres[]),1))-ROW(OFFSET(nombres[],0,0,1,1))+1,ROW(OFFSET(nombres[],ROWS(nombres[])-1,0,1,1))+1),$O1548:$O1567),3),"")</f>
        <v/>
      </c>
      <c r="ZI1548" s="42" t="str">
        <f t="array" aca="1" ref="ZI1548" ca="1">IFERROR(INDEX(nombres[],SMALL(IF(OFFSET(nombres[],0,0,ROWS(nombres[]),1)=ZI$1490,ROW(OFFSET(nombres[],0,0,ROWS(nombres[]),1))-ROW(OFFSET(nombres[],0,0,1,1))+1,ROW(OFFSET(nombres[],ROWS(nombres[])-1,0,1,1))+1),$O1548:$O1567),3),"")</f>
        <v/>
      </c>
      <c r="ZJ1548" s="42" t="str">
        <f t="array" aca="1" ref="ZJ1548" ca="1">IFERROR(INDEX(nombres[],SMALL(IF(OFFSET(nombres[],0,0,ROWS(nombres[]),1)=ZJ$1490,ROW(OFFSET(nombres[],0,0,ROWS(nombres[]),1))-ROW(OFFSET(nombres[],0,0,1,1))+1,ROW(OFFSET(nombres[],ROWS(nombres[])-1,0,1,1))+1),$O1548:$O1567),3),"")</f>
        <v/>
      </c>
      <c r="ZK1548" s="42" t="str">
        <f t="array" aca="1" ref="ZK1548" ca="1">IFERROR(INDEX(nombres[],SMALL(IF(OFFSET(nombres[],0,0,ROWS(nombres[]),1)=ZK$1490,ROW(OFFSET(nombres[],0,0,ROWS(nombres[]),1))-ROW(OFFSET(nombres[],0,0,1,1))+1,ROW(OFFSET(nombres[],ROWS(nombres[])-1,0,1,1))+1),$O1548:$O1567),3),"")</f>
        <v/>
      </c>
      <c r="ZL1548" s="42" t="str">
        <f t="array" aca="1" ref="ZL1548" ca="1">IFERROR(INDEX(nombres[],SMALL(IF(OFFSET(nombres[],0,0,ROWS(nombres[]),1)=ZL$1490,ROW(OFFSET(nombres[],0,0,ROWS(nombres[]),1))-ROW(OFFSET(nombres[],0,0,1,1))+1,ROW(OFFSET(nombres[],ROWS(nombres[])-1,0,1,1))+1),$O1548:$O1567),3),"")</f>
        <v/>
      </c>
      <c r="ZM1548" s="42" t="str">
        <f t="array" aca="1" ref="ZM1548" ca="1">IFERROR(INDEX(nombres[],SMALL(IF(OFFSET(nombres[],0,0,ROWS(nombres[]),1)=ZM$1490,ROW(OFFSET(nombres[],0,0,ROWS(nombres[]),1))-ROW(OFFSET(nombres[],0,0,1,1))+1,ROW(OFFSET(nombres[],ROWS(nombres[])-1,0,1,1))+1),$O1548:$O1567),3),"")</f>
        <v/>
      </c>
      <c r="ZN1548" s="42" t="str">
        <f t="array" aca="1" ref="ZN1548" ca="1">IFERROR(INDEX(nombres[],SMALL(IF(OFFSET(nombres[],0,0,ROWS(nombres[]),1)=ZN$1490,ROW(OFFSET(nombres[],0,0,ROWS(nombres[]),1))-ROW(OFFSET(nombres[],0,0,1,1))+1,ROW(OFFSET(nombres[],ROWS(nombres[])-1,0,1,1))+1),$O1548:$O1567),3),"")</f>
        <v/>
      </c>
      <c r="ZO1548" s="42" t="str">
        <f t="array" aca="1" ref="ZO1548" ca="1">IFERROR(INDEX(nombres[],SMALL(IF(OFFSET(nombres[],0,0,ROWS(nombres[]),1)=ZO$1490,ROW(OFFSET(nombres[],0,0,ROWS(nombres[]),1))-ROW(OFFSET(nombres[],0,0,1,1))+1,ROW(OFFSET(nombres[],ROWS(nombres[])-1,0,1,1))+1),$O1548:$O1567),3),"")</f>
        <v/>
      </c>
      <c r="ZP1548" s="42" t="str">
        <f t="array" aca="1" ref="ZP1548" ca="1">IFERROR(INDEX(nombres[],SMALL(IF(OFFSET(nombres[],0,0,ROWS(nombres[]),1)=ZP$1490,ROW(OFFSET(nombres[],0,0,ROWS(nombres[]),1))-ROW(OFFSET(nombres[],0,0,1,1))+1,ROW(OFFSET(nombres[],ROWS(nombres[])-1,0,1,1))+1),$O1548:$O1567),3),"")</f>
        <v/>
      </c>
      <c r="ZQ1548" s="42" t="str">
        <f t="array" aca="1" ref="ZQ1548" ca="1">IFERROR(INDEX(nombres[],SMALL(IF(OFFSET(nombres[],0,0,ROWS(nombres[]),1)=ZQ$1490,ROW(OFFSET(nombres[],0,0,ROWS(nombres[]),1))-ROW(OFFSET(nombres[],0,0,1,1))+1,ROW(OFFSET(nombres[],ROWS(nombres[])-1,0,1,1))+1),$O1548:$O1567),3),"")</f>
        <v/>
      </c>
      <c r="ZR1548" s="42" t="str">
        <f t="array" aca="1" ref="ZR1548" ca="1">IFERROR(INDEX(nombres[],SMALL(IF(OFFSET(nombres[],0,0,ROWS(nombres[]),1)=ZR$1490,ROW(OFFSET(nombres[],0,0,ROWS(nombres[]),1))-ROW(OFFSET(nombres[],0,0,1,1))+1,ROW(OFFSET(nombres[],ROWS(nombres[])-1,0,1,1))+1),$O1548:$O1567),3),"")</f>
        <v/>
      </c>
      <c r="ZS1548" s="42" t="str">
        <f t="array" aca="1" ref="ZS1548" ca="1">IFERROR(INDEX(nombres[],SMALL(IF(OFFSET(nombres[],0,0,ROWS(nombres[]),1)=ZS$1490,ROW(OFFSET(nombres[],0,0,ROWS(nombres[]),1))-ROW(OFFSET(nombres[],0,0,1,1))+1,ROW(OFFSET(nombres[],ROWS(nombres[])-1,0,1,1))+1),$O1548:$O1567),3),"")</f>
        <v/>
      </c>
      <c r="ZT1548" s="42" t="str">
        <f t="array" aca="1" ref="ZT1548" ca="1">IFERROR(INDEX(nombres[],SMALL(IF(OFFSET(nombres[],0,0,ROWS(nombres[]),1)=ZT$1490,ROW(OFFSET(nombres[],0,0,ROWS(nombres[]),1))-ROW(OFFSET(nombres[],0,0,1,1))+1,ROW(OFFSET(nombres[],ROWS(nombres[])-1,0,1,1))+1),$O1548:$O1567),3),"")</f>
        <v/>
      </c>
      <c r="ZU1548" s="42" t="str">
        <f t="array" aca="1" ref="ZU1548" ca="1">IFERROR(INDEX(nombres[],SMALL(IF(OFFSET(nombres[],0,0,ROWS(nombres[]),1)=ZU$1490,ROW(OFFSET(nombres[],0,0,ROWS(nombres[]),1))-ROW(OFFSET(nombres[],0,0,1,1))+1,ROW(OFFSET(nombres[],ROWS(nombres[])-1,0,1,1))+1),$O1548:$O1567),3),"")</f>
        <v/>
      </c>
      <c r="ZV1548" s="42" t="str">
        <f t="array" aca="1" ref="ZV1548" ca="1">IFERROR(INDEX(nombres[],SMALL(IF(OFFSET(nombres[],0,0,ROWS(nombres[]),1)=ZV$1490,ROW(OFFSET(nombres[],0,0,ROWS(nombres[]),1))-ROW(OFFSET(nombres[],0,0,1,1))+1,ROW(OFFSET(nombres[],ROWS(nombres[])-1,0,1,1))+1),$O1548:$O1567),3),"")</f>
        <v/>
      </c>
      <c r="ZW1548" s="42" t="str">
        <f t="array" aca="1" ref="ZW1548" ca="1">IFERROR(INDEX(nombres[],SMALL(IF(OFFSET(nombres[],0,0,ROWS(nombres[]),1)=ZW$1490,ROW(OFFSET(nombres[],0,0,ROWS(nombres[]),1))-ROW(OFFSET(nombres[],0,0,1,1))+1,ROW(OFFSET(nombres[],ROWS(nombres[])-1,0,1,1))+1),$O1548:$O1567),3),"")</f>
        <v/>
      </c>
      <c r="ZX1548" s="42" t="str">
        <f t="array" aca="1" ref="ZX1548" ca="1">IFERROR(INDEX(nombres[],SMALL(IF(OFFSET(nombres[],0,0,ROWS(nombres[]),1)=ZX$1490,ROW(OFFSET(nombres[],0,0,ROWS(nombres[]),1))-ROW(OFFSET(nombres[],0,0,1,1))+1,ROW(OFFSET(nombres[],ROWS(nombres[])-1,0,1,1))+1),$O1548:$O1567),3),"")</f>
        <v/>
      </c>
      <c r="ZY1548" s="42" t="str">
        <f t="array" aca="1" ref="ZY1548" ca="1">IFERROR(INDEX(nombres[],SMALL(IF(OFFSET(nombres[],0,0,ROWS(nombres[]),1)=ZY$1490,ROW(OFFSET(nombres[],0,0,ROWS(nombres[]),1))-ROW(OFFSET(nombres[],0,0,1,1))+1,ROW(OFFSET(nombres[],ROWS(nombres[])-1,0,1,1))+1),$O1548:$O1567),3),"")</f>
        <v/>
      </c>
      <c r="ZZ1548" s="42" t="str">
        <f t="array" aca="1" ref="ZZ1548" ca="1">IFERROR(INDEX(nombres[],SMALL(IF(OFFSET(nombres[],0,0,ROWS(nombres[]),1)=ZZ$1490,ROW(OFFSET(nombres[],0,0,ROWS(nombres[]),1))-ROW(OFFSET(nombres[],0,0,1,1))+1,ROW(OFFSET(nombres[],ROWS(nombres[])-1,0,1,1))+1),$O1548:$O1567),3),"")</f>
        <v/>
      </c>
      <c r="AAA1548" s="42" t="str">
        <f t="array" aca="1" ref="AAA1548" ca="1">IFERROR(INDEX(nombres[],SMALL(IF(OFFSET(nombres[],0,0,ROWS(nombres[]),1)=AAA$1490,ROW(OFFSET(nombres[],0,0,ROWS(nombres[]),1))-ROW(OFFSET(nombres[],0,0,1,1))+1,ROW(OFFSET(nombres[],ROWS(nombres[])-1,0,1,1))+1),$O1548:$O1567),3),"")</f>
        <v/>
      </c>
      <c r="AAB1548" s="42" t="str">
        <f t="array" aca="1" ref="AAB1548" ca="1">IFERROR(INDEX(nombres[],SMALL(IF(OFFSET(nombres[],0,0,ROWS(nombres[]),1)=AAB$1490,ROW(OFFSET(nombres[],0,0,ROWS(nombres[]),1))-ROW(OFFSET(nombres[],0,0,1,1))+1,ROW(OFFSET(nombres[],ROWS(nombres[])-1,0,1,1))+1),$O1548:$O1567),3),"")</f>
        <v/>
      </c>
      <c r="AAC1548" s="42" t="str">
        <f t="array" aca="1" ref="AAC1548" ca="1">IFERROR(INDEX(nombres[],SMALL(IF(OFFSET(nombres[],0,0,ROWS(nombres[]),1)=AAC$1490,ROW(OFFSET(nombres[],0,0,ROWS(nombres[]),1))-ROW(OFFSET(nombres[],0,0,1,1))+1,ROW(OFFSET(nombres[],ROWS(nombres[])-1,0,1,1))+1),$O1548:$O1567),3),"")</f>
        <v/>
      </c>
      <c r="AAD1548" s="42" t="str">
        <f t="array" aca="1" ref="AAD1548" ca="1">IFERROR(INDEX(nombres[],SMALL(IF(OFFSET(nombres[],0,0,ROWS(nombres[]),1)=AAD$1490,ROW(OFFSET(nombres[],0,0,ROWS(nombres[]),1))-ROW(OFFSET(nombres[],0,0,1,1))+1,ROW(OFFSET(nombres[],ROWS(nombres[])-1,0,1,1))+1),$O1548:$O1567),3),"")</f>
        <v/>
      </c>
      <c r="AAE1548" s="42" t="str">
        <f t="array" aca="1" ref="AAE1548" ca="1">IFERROR(INDEX(nombres[],SMALL(IF(OFFSET(nombres[],0,0,ROWS(nombres[]),1)=AAE$1490,ROW(OFFSET(nombres[],0,0,ROWS(nombres[]),1))-ROW(OFFSET(nombres[],0,0,1,1))+1,ROW(OFFSET(nombres[],ROWS(nombres[])-1,0,1,1))+1),$O1548:$O1567),3),"")</f>
        <v/>
      </c>
      <c r="AAF1548" s="42" t="str">
        <f t="array" aca="1" ref="AAF1548" ca="1">IFERROR(INDEX(nombres[],SMALL(IF(OFFSET(nombres[],0,0,ROWS(nombres[]),1)=AAF$1490,ROW(OFFSET(nombres[],0,0,ROWS(nombres[]),1))-ROW(OFFSET(nombres[],0,0,1,1))+1,ROW(OFFSET(nombres[],ROWS(nombres[])-1,0,1,1))+1),$O1548:$O1567),3),"")</f>
        <v/>
      </c>
      <c r="AAG1548" s="42" t="str">
        <f t="array" aca="1" ref="AAG1548" ca="1">IFERROR(INDEX(nombres[],SMALL(IF(OFFSET(nombres[],0,0,ROWS(nombres[]),1)=AAG$1490,ROW(OFFSET(nombres[],0,0,ROWS(nombres[]),1))-ROW(OFFSET(nombres[],0,0,1,1))+1,ROW(OFFSET(nombres[],ROWS(nombres[])-1,0,1,1))+1),$O1548:$O1567),3),"")</f>
        <v/>
      </c>
      <c r="AAH1548" s="42" t="str">
        <f t="array" aca="1" ref="AAH1548" ca="1">IFERROR(INDEX(nombres[],SMALL(IF(OFFSET(nombres[],0,0,ROWS(nombres[]),1)=AAH$1490,ROW(OFFSET(nombres[],0,0,ROWS(nombres[]),1))-ROW(OFFSET(nombres[],0,0,1,1))+1,ROW(OFFSET(nombres[],ROWS(nombres[])-1,0,1,1))+1),$O1548:$O1567),3),"")</f>
        <v/>
      </c>
      <c r="AAI1548" s="42" t="str">
        <f t="array" aca="1" ref="AAI1548" ca="1">IFERROR(INDEX(nombres[],SMALL(IF(OFFSET(nombres[],0,0,ROWS(nombres[]),1)=AAI$1490,ROW(OFFSET(nombres[],0,0,ROWS(nombres[]),1))-ROW(OFFSET(nombres[],0,0,1,1))+1,ROW(OFFSET(nombres[],ROWS(nombres[])-1,0,1,1))+1),$O1548:$O1567),3),"")</f>
        <v/>
      </c>
      <c r="AAJ1548" s="42" t="str">
        <f t="array" aca="1" ref="AAJ1548" ca="1">IFERROR(INDEX(nombres[],SMALL(IF(OFFSET(nombres[],0,0,ROWS(nombres[]),1)=AAJ$1490,ROW(OFFSET(nombres[],0,0,ROWS(nombres[]),1))-ROW(OFFSET(nombres[],0,0,1,1))+1,ROW(OFFSET(nombres[],ROWS(nombres[])-1,0,1,1))+1),$O1548:$O1567),3),"")</f>
        <v/>
      </c>
      <c r="AAK1548" s="42" t="str">
        <f t="array" aca="1" ref="AAK1548" ca="1">IFERROR(INDEX(nombres[],SMALL(IF(OFFSET(nombres[],0,0,ROWS(nombres[]),1)=AAK$1490,ROW(OFFSET(nombres[],0,0,ROWS(nombres[]),1))-ROW(OFFSET(nombres[],0,0,1,1))+1,ROW(OFFSET(nombres[],ROWS(nombres[])-1,0,1,1))+1),$O1548:$O1567),3),"")</f>
        <v/>
      </c>
      <c r="AAL1548" s="42" t="str">
        <f t="array" aca="1" ref="AAL1548" ca="1">IFERROR(INDEX(nombres[],SMALL(IF(OFFSET(nombres[],0,0,ROWS(nombres[]),1)=AAL$1490,ROW(OFFSET(nombres[],0,0,ROWS(nombres[]),1))-ROW(OFFSET(nombres[],0,0,1,1))+1,ROW(OFFSET(nombres[],ROWS(nombres[])-1,0,1,1))+1),$O1548:$O1567),3),"")</f>
        <v/>
      </c>
      <c r="AAM1548" s="42" t="str">
        <f t="array" aca="1" ref="AAM1548" ca="1">IFERROR(INDEX(nombres[],SMALL(IF(OFFSET(nombres[],0,0,ROWS(nombres[]),1)=AAM$1490,ROW(OFFSET(nombres[],0,0,ROWS(nombres[]),1))-ROW(OFFSET(nombres[],0,0,1,1))+1,ROW(OFFSET(nombres[],ROWS(nombres[])-1,0,1,1))+1),$O1548:$O1567),3),"")</f>
        <v/>
      </c>
      <c r="AAN1548" s="42" t="str">
        <f t="array" aca="1" ref="AAN1548" ca="1">IFERROR(INDEX(nombres[],SMALL(IF(OFFSET(nombres[],0,0,ROWS(nombres[]),1)=AAN$1490,ROW(OFFSET(nombres[],0,0,ROWS(nombres[]),1))-ROW(OFFSET(nombres[],0,0,1,1))+1,ROW(OFFSET(nombres[],ROWS(nombres[])-1,0,1,1))+1),$O1548:$O1567),3),"")</f>
        <v/>
      </c>
      <c r="AAO1548" s="42" t="str">
        <f t="array" aca="1" ref="AAO1548" ca="1">IFERROR(INDEX(nombres[],SMALL(IF(OFFSET(nombres[],0,0,ROWS(nombres[]),1)=AAO$1490,ROW(OFFSET(nombres[],0,0,ROWS(nombres[]),1))-ROW(OFFSET(nombres[],0,0,1,1))+1,ROW(OFFSET(nombres[],ROWS(nombres[])-1,0,1,1))+1),$O1548:$O1567),3),"")</f>
        <v/>
      </c>
      <c r="AAP1548" s="42" t="str">
        <f t="array" aca="1" ref="AAP1548" ca="1">IFERROR(INDEX(nombres[],SMALL(IF(OFFSET(nombres[],0,0,ROWS(nombres[]),1)=AAP$1490,ROW(OFFSET(nombres[],0,0,ROWS(nombres[]),1))-ROW(OFFSET(nombres[],0,0,1,1))+1,ROW(OFFSET(nombres[],ROWS(nombres[])-1,0,1,1))+1),$O1548:$O1567),3),"")</f>
        <v/>
      </c>
      <c r="AAQ1548" s="42" t="str">
        <f t="array" aca="1" ref="AAQ1548" ca="1">IFERROR(INDEX(nombres[],SMALL(IF(OFFSET(nombres[],0,0,ROWS(nombres[]),1)=AAQ$1490,ROW(OFFSET(nombres[],0,0,ROWS(nombres[]),1))-ROW(OFFSET(nombres[],0,0,1,1))+1,ROW(OFFSET(nombres[],ROWS(nombres[])-1,0,1,1))+1),$O1548:$O1567),3),"")</f>
        <v/>
      </c>
      <c r="AAR1548" s="42" t="str">
        <f t="array" aca="1" ref="AAR1548" ca="1">IFERROR(INDEX(nombres[],SMALL(IF(OFFSET(nombres[],0,0,ROWS(nombres[]),1)=AAR$1490,ROW(OFFSET(nombres[],0,0,ROWS(nombres[]),1))-ROW(OFFSET(nombres[],0,0,1,1))+1,ROW(OFFSET(nombres[],ROWS(nombres[])-1,0,1,1))+1),$O1548:$O1567),3),"")</f>
        <v/>
      </c>
      <c r="AAS1548" s="42" t="str">
        <f t="array" aca="1" ref="AAS1548" ca="1">IFERROR(INDEX(nombres[],SMALL(IF(OFFSET(nombres[],0,0,ROWS(nombres[]),1)=AAS$1490,ROW(OFFSET(nombres[],0,0,ROWS(nombres[]),1))-ROW(OFFSET(nombres[],0,0,1,1))+1,ROW(OFFSET(nombres[],ROWS(nombres[])-1,0,1,1))+1),$O1548:$O1567),3),"")</f>
        <v/>
      </c>
      <c r="AAT1548" s="42" t="str">
        <f t="array" aca="1" ref="AAT1548" ca="1">IFERROR(INDEX(nombres[],SMALL(IF(OFFSET(nombres[],0,0,ROWS(nombres[]),1)=AAT$1490,ROW(OFFSET(nombres[],0,0,ROWS(nombres[]),1))-ROW(OFFSET(nombres[],0,0,1,1))+1,ROW(OFFSET(nombres[],ROWS(nombres[])-1,0,1,1))+1),$O1548:$O1567),3),"")</f>
        <v/>
      </c>
      <c r="AAU1548" s="42" t="str">
        <f t="array" aca="1" ref="AAU1548" ca="1">IFERROR(INDEX(nombres[],SMALL(IF(OFFSET(nombres[],0,0,ROWS(nombres[]),1)=AAU$1490,ROW(OFFSET(nombres[],0,0,ROWS(nombres[]),1))-ROW(OFFSET(nombres[],0,0,1,1))+1,ROW(OFFSET(nombres[],ROWS(nombres[])-1,0,1,1))+1),$O1548:$O1567),3),"")</f>
        <v/>
      </c>
      <c r="AAV1548" s="42" t="str">
        <f t="array" aca="1" ref="AAV1548" ca="1">IFERROR(INDEX(nombres[],SMALL(IF(OFFSET(nombres[],0,0,ROWS(nombres[]),1)=AAV$1490,ROW(OFFSET(nombres[],0,0,ROWS(nombres[]),1))-ROW(OFFSET(nombres[],0,0,1,1))+1,ROW(OFFSET(nombres[],ROWS(nombres[])-1,0,1,1))+1),$O1548:$O1567),3),"")</f>
        <v/>
      </c>
      <c r="AAW1548" s="42" t="str">
        <f t="array" aca="1" ref="AAW1548" ca="1">IFERROR(INDEX(nombres[],SMALL(IF(OFFSET(nombres[],0,0,ROWS(nombres[]),1)=AAW$1490,ROW(OFFSET(nombres[],0,0,ROWS(nombres[]),1))-ROW(OFFSET(nombres[],0,0,1,1))+1,ROW(OFFSET(nombres[],ROWS(nombres[])-1,0,1,1))+1),$O1548:$O1567),3),"")</f>
        <v/>
      </c>
      <c r="AAX1548" s="42" t="str">
        <f t="array" aca="1" ref="AAX1548" ca="1">IFERROR(INDEX(nombres[],SMALL(IF(OFFSET(nombres[],0,0,ROWS(nombres[]),1)=AAX$1490,ROW(OFFSET(nombres[],0,0,ROWS(nombres[]),1))-ROW(OFFSET(nombres[],0,0,1,1))+1,ROW(OFFSET(nombres[],ROWS(nombres[])-1,0,1,1))+1),$O1548:$O1567),3),"")</f>
        <v/>
      </c>
      <c r="AAY1548" s="42" t="str">
        <f t="array" aca="1" ref="AAY1548" ca="1">IFERROR(INDEX(nombres[],SMALL(IF(OFFSET(nombres[],0,0,ROWS(nombres[]),1)=AAY$1490,ROW(OFFSET(nombres[],0,0,ROWS(nombres[]),1))-ROW(OFFSET(nombres[],0,0,1,1))+1,ROW(OFFSET(nombres[],ROWS(nombres[])-1,0,1,1))+1),$O1548:$O1567),3),"")</f>
        <v/>
      </c>
      <c r="AAZ1548" s="42" t="str">
        <f t="array" aca="1" ref="AAZ1548" ca="1">IFERROR(INDEX(nombres[],SMALL(IF(OFFSET(nombres[],0,0,ROWS(nombres[]),1)=AAZ$1490,ROW(OFFSET(nombres[],0,0,ROWS(nombres[]),1))-ROW(OFFSET(nombres[],0,0,1,1))+1,ROW(OFFSET(nombres[],ROWS(nombres[])-1,0,1,1))+1),$O1548:$O1567),3),"")</f>
        <v/>
      </c>
      <c r="ABA1548" s="42" t="str">
        <f t="array" aca="1" ref="ABA1548" ca="1">IFERROR(INDEX(nombres[],SMALL(IF(OFFSET(nombres[],0,0,ROWS(nombres[]),1)=ABA$1490,ROW(OFFSET(nombres[],0,0,ROWS(nombres[]),1))-ROW(OFFSET(nombres[],0,0,1,1))+1,ROW(OFFSET(nombres[],ROWS(nombres[])-1,0,1,1))+1),$O1548:$O1567),3),"")</f>
        <v/>
      </c>
      <c r="ABB1548" s="42" t="str">
        <f t="array" aca="1" ref="ABB1548" ca="1">IFERROR(INDEX(nombres[],SMALL(IF(OFFSET(nombres[],0,0,ROWS(nombres[]),1)=ABB$1490,ROW(OFFSET(nombres[],0,0,ROWS(nombres[]),1))-ROW(OFFSET(nombres[],0,0,1,1))+1,ROW(OFFSET(nombres[],ROWS(nombres[])-1,0,1,1))+1),$O1548:$O1567),3),"")</f>
        <v/>
      </c>
      <c r="ABC1548" s="42" t="str">
        <f t="array" aca="1" ref="ABC1548" ca="1">IFERROR(INDEX(nombres[],SMALL(IF(OFFSET(nombres[],0,0,ROWS(nombres[]),1)=ABC$1490,ROW(OFFSET(nombres[],0,0,ROWS(nombres[]),1))-ROW(OFFSET(nombres[],0,0,1,1))+1,ROW(OFFSET(nombres[],ROWS(nombres[])-1,0,1,1))+1),$O1548:$O1567),3),"")</f>
        <v/>
      </c>
      <c r="ABD1548" s="42" t="str">
        <f t="array" aca="1" ref="ABD1548" ca="1">IFERROR(INDEX(nombres[],SMALL(IF(OFFSET(nombres[],0,0,ROWS(nombres[]),1)=ABD$1490,ROW(OFFSET(nombres[],0,0,ROWS(nombres[]),1))-ROW(OFFSET(nombres[],0,0,1,1))+1,ROW(OFFSET(nombres[],ROWS(nombres[])-1,0,1,1))+1),$O1548:$O1567),3),"")</f>
        <v/>
      </c>
      <c r="ABE1548" s="42" t="str">
        <f t="array" aca="1" ref="ABE1548" ca="1">IFERROR(INDEX(nombres[],SMALL(IF(OFFSET(nombres[],0,0,ROWS(nombres[]),1)=ABE$1490,ROW(OFFSET(nombres[],0,0,ROWS(nombres[]),1))-ROW(OFFSET(nombres[],0,0,1,1))+1,ROW(OFFSET(nombres[],ROWS(nombres[])-1,0,1,1))+1),$O1548:$O1567),3),"")</f>
        <v/>
      </c>
      <c r="ABF1548" s="42" t="str">
        <f t="array" aca="1" ref="ABF1548" ca="1">IFERROR(INDEX(nombres[],SMALL(IF(OFFSET(nombres[],0,0,ROWS(nombres[]),1)=ABF$1490,ROW(OFFSET(nombres[],0,0,ROWS(nombres[]),1))-ROW(OFFSET(nombres[],0,0,1,1))+1,ROW(OFFSET(nombres[],ROWS(nombres[])-1,0,1,1))+1),$O1548:$O1567),3),"")</f>
        <v/>
      </c>
      <c r="ABG1548" s="42" t="str">
        <f t="array" aca="1" ref="ABG1548" ca="1">IFERROR(INDEX(nombres[],SMALL(IF(OFFSET(nombres[],0,0,ROWS(nombres[]),1)=ABG$1490,ROW(OFFSET(nombres[],0,0,ROWS(nombres[]),1))-ROW(OFFSET(nombres[],0,0,1,1))+1,ROW(OFFSET(nombres[],ROWS(nombres[])-1,0,1,1))+1),$O1548:$O1567),3),"")</f>
        <v/>
      </c>
      <c r="ABH1548" s="42" t="str">
        <f t="array" aca="1" ref="ABH1548" ca="1">IFERROR(INDEX(nombres[],SMALL(IF(OFFSET(nombres[],0,0,ROWS(nombres[]),1)=ABH$1490,ROW(OFFSET(nombres[],0,0,ROWS(nombres[]),1))-ROW(OFFSET(nombres[],0,0,1,1))+1,ROW(OFFSET(nombres[],ROWS(nombres[])-1,0,1,1))+1),$O1548:$O1567),3),"")</f>
        <v/>
      </c>
      <c r="ABI1548" s="42" t="str">
        <f t="array" aca="1" ref="ABI1548" ca="1">IFERROR(INDEX(nombres[],SMALL(IF(OFFSET(nombres[],0,0,ROWS(nombres[]),1)=ABI$1490,ROW(OFFSET(nombres[],0,0,ROWS(nombres[]),1))-ROW(OFFSET(nombres[],0,0,1,1))+1,ROW(OFFSET(nombres[],ROWS(nombres[])-1,0,1,1))+1),$O1548:$O1567),3),"")</f>
        <v/>
      </c>
      <c r="ABJ1548" s="42" t="str">
        <f t="array" aca="1" ref="ABJ1548" ca="1">IFERROR(INDEX(nombres[],SMALL(IF(OFFSET(nombres[],0,0,ROWS(nombres[]),1)=ABJ$1490,ROW(OFFSET(nombres[],0,0,ROWS(nombres[]),1))-ROW(OFFSET(nombres[],0,0,1,1))+1,ROW(OFFSET(nombres[],ROWS(nombres[])-1,0,1,1))+1),$O1548:$O1567),3),"")</f>
        <v/>
      </c>
      <c r="ABK1548" s="42" t="str">
        <f t="array" aca="1" ref="ABK1548" ca="1">IFERROR(INDEX(nombres[],SMALL(IF(OFFSET(nombres[],0,0,ROWS(nombres[]),1)=ABK$1490,ROW(OFFSET(nombres[],0,0,ROWS(nombres[]),1))-ROW(OFFSET(nombres[],0,0,1,1))+1,ROW(OFFSET(nombres[],ROWS(nombres[])-1,0,1,1))+1),$O1548:$O1567),3),"")</f>
        <v/>
      </c>
      <c r="ABL1548" s="42" t="str">
        <f t="array" aca="1" ref="ABL1548" ca="1">IFERROR(INDEX(nombres[],SMALL(IF(OFFSET(nombres[],0,0,ROWS(nombres[]),1)=ABL$1490,ROW(OFFSET(nombres[],0,0,ROWS(nombres[]),1))-ROW(OFFSET(nombres[],0,0,1,1))+1,ROW(OFFSET(nombres[],ROWS(nombres[])-1,0,1,1))+1),$O1548:$O1567),3),"")</f>
        <v/>
      </c>
      <c r="ABM1548" s="42" t="str">
        <f t="array" aca="1" ref="ABM1548" ca="1">IFERROR(INDEX(nombres[],SMALL(IF(OFFSET(nombres[],0,0,ROWS(nombres[]),1)=ABM$1490,ROW(OFFSET(nombres[],0,0,ROWS(nombres[]),1))-ROW(OFFSET(nombres[],0,0,1,1))+1,ROW(OFFSET(nombres[],ROWS(nombres[])-1,0,1,1))+1),$O1548:$O1567),3),"")</f>
        <v/>
      </c>
      <c r="ABN1548" s="42" t="str">
        <f t="array" aca="1" ref="ABN1548" ca="1">IFERROR(INDEX(nombres[],SMALL(IF(OFFSET(nombres[],0,0,ROWS(nombres[]),1)=ABN$1490,ROW(OFFSET(nombres[],0,0,ROWS(nombres[]),1))-ROW(OFFSET(nombres[],0,0,1,1))+1,ROW(OFFSET(nombres[],ROWS(nombres[])-1,0,1,1))+1),$O1548:$O1567),3),"")</f>
        <v/>
      </c>
      <c r="ABO1548" s="42" t="str">
        <f t="array" aca="1" ref="ABO1548" ca="1">IFERROR(INDEX(nombres[],SMALL(IF(OFFSET(nombres[],0,0,ROWS(nombres[]),1)=ABO$1490,ROW(OFFSET(nombres[],0,0,ROWS(nombres[]),1))-ROW(OFFSET(nombres[],0,0,1,1))+1,ROW(OFFSET(nombres[],ROWS(nombres[])-1,0,1,1))+1),$O1548:$O1567),3),"")</f>
        <v/>
      </c>
      <c r="ABP1548" s="42" t="str">
        <f t="array" aca="1" ref="ABP1548" ca="1">IFERROR(INDEX(nombres[],SMALL(IF(OFFSET(nombres[],0,0,ROWS(nombres[]),1)=ABP$1490,ROW(OFFSET(nombres[],0,0,ROWS(nombres[]),1))-ROW(OFFSET(nombres[],0,0,1,1))+1,ROW(OFFSET(nombres[],ROWS(nombres[])-1,0,1,1))+1),$O1548:$O1567),3),"")</f>
        <v/>
      </c>
      <c r="ABQ1548" s="42" t="str">
        <f t="array" aca="1" ref="ABQ1548" ca="1">IFERROR(INDEX(nombres[],SMALL(IF(OFFSET(nombres[],0,0,ROWS(nombres[]),1)=ABQ$1490,ROW(OFFSET(nombres[],0,0,ROWS(nombres[]),1))-ROW(OFFSET(nombres[],0,0,1,1))+1,ROW(OFFSET(nombres[],ROWS(nombres[])-1,0,1,1))+1),$O1548:$O1567),3),"")</f>
        <v/>
      </c>
      <c r="ABR1548" s="42" t="str">
        <f t="array" aca="1" ref="ABR1548" ca="1">IFERROR(INDEX(nombres[],SMALL(IF(OFFSET(nombres[],0,0,ROWS(nombres[]),1)=ABR$1490,ROW(OFFSET(nombres[],0,0,ROWS(nombres[]),1))-ROW(OFFSET(nombres[],0,0,1,1))+1,ROW(OFFSET(nombres[],ROWS(nombres[])-1,0,1,1))+1),$O1548:$O1567),3),"")</f>
        <v/>
      </c>
      <c r="ABS1548" s="42" t="str">
        <f t="array" aca="1" ref="ABS1548" ca="1">IFERROR(INDEX(nombres[],SMALL(IF(OFFSET(nombres[],0,0,ROWS(nombres[]),1)=ABS$1490,ROW(OFFSET(nombres[],0,0,ROWS(nombres[]),1))-ROW(OFFSET(nombres[],0,0,1,1))+1,ROW(OFFSET(nombres[],ROWS(nombres[])-1,0,1,1))+1),$O1548:$O1567),3),"")</f>
        <v/>
      </c>
      <c r="ABT1548" s="42" t="str">
        <f t="array" aca="1" ref="ABT1548" ca="1">IFERROR(INDEX(nombres[],SMALL(IF(OFFSET(nombres[],0,0,ROWS(nombres[]),1)=ABT$1490,ROW(OFFSET(nombres[],0,0,ROWS(nombres[]),1))-ROW(OFFSET(nombres[],0,0,1,1))+1,ROW(OFFSET(nombres[],ROWS(nombres[])-1,0,1,1))+1),$O1548:$O1567),3),"")</f>
        <v/>
      </c>
      <c r="ABU1548" s="42" t="str">
        <f t="array" aca="1" ref="ABU1548" ca="1">IFERROR(INDEX(nombres[],SMALL(IF(OFFSET(nombres[],0,0,ROWS(nombres[]),1)=ABU$1490,ROW(OFFSET(nombres[],0,0,ROWS(nombres[]),1))-ROW(OFFSET(nombres[],0,0,1,1))+1,ROW(OFFSET(nombres[],ROWS(nombres[])-1,0,1,1))+1),$O1548:$O1567),3),"")</f>
        <v/>
      </c>
      <c r="ABV1548" s="42" t="str">
        <f t="array" aca="1" ref="ABV1548" ca="1">IFERROR(INDEX(nombres[],SMALL(IF(OFFSET(nombres[],0,0,ROWS(nombres[]),1)=ABV$1490,ROW(OFFSET(nombres[],0,0,ROWS(nombres[]),1))-ROW(OFFSET(nombres[],0,0,1,1))+1,ROW(OFFSET(nombres[],ROWS(nombres[])-1,0,1,1))+1),$O1548:$O1567),3),"")</f>
        <v/>
      </c>
      <c r="ABW1548" s="42" t="str">
        <f t="array" aca="1" ref="ABW1548" ca="1">IFERROR(INDEX(nombres[],SMALL(IF(OFFSET(nombres[],0,0,ROWS(nombres[]),1)=ABW$1490,ROW(OFFSET(nombres[],0,0,ROWS(nombres[]),1))-ROW(OFFSET(nombres[],0,0,1,1))+1,ROW(OFFSET(nombres[],ROWS(nombres[])-1,0,1,1))+1),$O1548:$O1567),3),"")</f>
        <v/>
      </c>
      <c r="ABX1548" s="42" t="str">
        <f t="array" aca="1" ref="ABX1548" ca="1">IFERROR(INDEX(nombres[],SMALL(IF(OFFSET(nombres[],0,0,ROWS(nombres[]),1)=ABX$1490,ROW(OFFSET(nombres[],0,0,ROWS(nombres[]),1))-ROW(OFFSET(nombres[],0,0,1,1))+1,ROW(OFFSET(nombres[],ROWS(nombres[])-1,0,1,1))+1),$O1548:$O1567),3),"")</f>
        <v/>
      </c>
      <c r="ABY1548" s="42" t="str">
        <f t="array" aca="1" ref="ABY1548" ca="1">IFERROR(INDEX(nombres[],SMALL(IF(OFFSET(nombres[],0,0,ROWS(nombres[]),1)=ABY$1490,ROW(OFFSET(nombres[],0,0,ROWS(nombres[]),1))-ROW(OFFSET(nombres[],0,0,1,1))+1,ROW(OFFSET(nombres[],ROWS(nombres[])-1,0,1,1))+1),$O1548:$O1567),3),"")</f>
        <v/>
      </c>
      <c r="ABZ1548" s="42" t="str">
        <f t="array" aca="1" ref="ABZ1548" ca="1">IFERROR(INDEX(nombres[],SMALL(IF(OFFSET(nombres[],0,0,ROWS(nombres[]),1)=ABZ$1490,ROW(OFFSET(nombres[],0,0,ROWS(nombres[]),1))-ROW(OFFSET(nombres[],0,0,1,1))+1,ROW(OFFSET(nombres[],ROWS(nombres[])-1,0,1,1))+1),$O1548:$O1567),3),"")</f>
        <v/>
      </c>
      <c r="ACA1548" s="42" t="str">
        <f t="array" aca="1" ref="ACA1548" ca="1">IFERROR(INDEX(nombres[],SMALL(IF(OFFSET(nombres[],0,0,ROWS(nombres[]),1)=ACA$1490,ROW(OFFSET(nombres[],0,0,ROWS(nombres[]),1))-ROW(OFFSET(nombres[],0,0,1,1))+1,ROW(OFFSET(nombres[],ROWS(nombres[])-1,0,1,1))+1),$O1548:$O1567),3),"")</f>
        <v/>
      </c>
      <c r="ACB1548" s="42" t="str">
        <f t="array" aca="1" ref="ACB1548" ca="1">IFERROR(INDEX(nombres[],SMALL(IF(OFFSET(nombres[],0,0,ROWS(nombres[]),1)=ACB$1490,ROW(OFFSET(nombres[],0,0,ROWS(nombres[]),1))-ROW(OFFSET(nombres[],0,0,1,1))+1,ROW(OFFSET(nombres[],ROWS(nombres[])-1,0,1,1))+1),$O1548:$O1567),3),"")</f>
        <v/>
      </c>
      <c r="ACC1548" s="42" t="str">
        <f t="array" aca="1" ref="ACC1548" ca="1">IFERROR(INDEX(nombres[],SMALL(IF(OFFSET(nombres[],0,0,ROWS(nombres[]),1)=ACC$1490,ROW(OFFSET(nombres[],0,0,ROWS(nombres[]),1))-ROW(OFFSET(nombres[],0,0,1,1))+1,ROW(OFFSET(nombres[],ROWS(nombres[])-1,0,1,1))+1),$O1548:$O1567),3),"")</f>
        <v/>
      </c>
      <c r="ACD1548" s="42" t="str">
        <f t="array" aca="1" ref="ACD1548" ca="1">IFERROR(INDEX(nombres[],SMALL(IF(OFFSET(nombres[],0,0,ROWS(nombres[]),1)=ACD$1490,ROW(OFFSET(nombres[],0,0,ROWS(nombres[]),1))-ROW(OFFSET(nombres[],0,0,1,1))+1,ROW(OFFSET(nombres[],ROWS(nombres[])-1,0,1,1))+1),$O1548:$O1567),3),"")</f>
        <v/>
      </c>
      <c r="ACE1548" s="42" t="str">
        <f t="array" aca="1" ref="ACE1548" ca="1">IFERROR(INDEX(nombres[],SMALL(IF(OFFSET(nombres[],0,0,ROWS(nombres[]),1)=ACE$1490,ROW(OFFSET(nombres[],0,0,ROWS(nombres[]),1))-ROW(OFFSET(nombres[],0,0,1,1))+1,ROW(OFFSET(nombres[],ROWS(nombres[])-1,0,1,1))+1),$O1548:$O1567),3),"")</f>
        <v/>
      </c>
      <c r="ACF1548" s="42" t="str">
        <f t="array" aca="1" ref="ACF1548" ca="1">IFERROR(INDEX(nombres[],SMALL(IF(OFFSET(nombres[],0,0,ROWS(nombres[]),1)=ACF$1490,ROW(OFFSET(nombres[],0,0,ROWS(nombres[]),1))-ROW(OFFSET(nombres[],0,0,1,1))+1,ROW(OFFSET(nombres[],ROWS(nombres[])-1,0,1,1))+1),$O1548:$O1567),3),"")</f>
        <v/>
      </c>
      <c r="ACG1548" s="42" t="str">
        <f t="array" aca="1" ref="ACG1548" ca="1">IFERROR(INDEX(nombres[],SMALL(IF(OFFSET(nombres[],0,0,ROWS(nombres[]),1)=ACG$1490,ROW(OFFSET(nombres[],0,0,ROWS(nombres[]),1))-ROW(OFFSET(nombres[],0,0,1,1))+1,ROW(OFFSET(nombres[],ROWS(nombres[])-1,0,1,1))+1),$O1548:$O1567),3),"")</f>
        <v/>
      </c>
      <c r="ACH1548" s="42" t="str">
        <f t="array" aca="1" ref="ACH1548" ca="1">IFERROR(INDEX(nombres[],SMALL(IF(OFFSET(nombres[],0,0,ROWS(nombres[]),1)=ACH$1490,ROW(OFFSET(nombres[],0,0,ROWS(nombres[]),1))-ROW(OFFSET(nombres[],0,0,1,1))+1,ROW(OFFSET(nombres[],ROWS(nombres[])-1,0,1,1))+1),$O1548:$O1567),3),"")</f>
        <v/>
      </c>
      <c r="ACI1548" s="42" t="str">
        <f t="array" aca="1" ref="ACI1548" ca="1">IFERROR(INDEX(nombres[],SMALL(IF(OFFSET(nombres[],0,0,ROWS(nombres[]),1)=ACI$1490,ROW(OFFSET(nombres[],0,0,ROWS(nombres[]),1))-ROW(OFFSET(nombres[],0,0,1,1))+1,ROW(OFFSET(nombres[],ROWS(nombres[])-1,0,1,1))+1),$O1548:$O1567),3),"")</f>
        <v/>
      </c>
      <c r="ACJ1548" s="42" t="str">
        <f t="array" aca="1" ref="ACJ1548" ca="1">IFERROR(INDEX(nombres[],SMALL(IF(OFFSET(nombres[],0,0,ROWS(nombres[]),1)=ACJ$1490,ROW(OFFSET(nombres[],0,0,ROWS(nombres[]),1))-ROW(OFFSET(nombres[],0,0,1,1))+1,ROW(OFFSET(nombres[],ROWS(nombres[])-1,0,1,1))+1),$O1548:$O1567),3),"")</f>
        <v/>
      </c>
      <c r="ACK1548" s="42" t="str">
        <f t="array" aca="1" ref="ACK1548" ca="1">IFERROR(INDEX(nombres[],SMALL(IF(OFFSET(nombres[],0,0,ROWS(nombres[]),1)=ACK$1490,ROW(OFFSET(nombres[],0,0,ROWS(nombres[]),1))-ROW(OFFSET(nombres[],0,0,1,1))+1,ROW(OFFSET(nombres[],ROWS(nombres[])-1,0,1,1))+1),$O1548:$O1567),3),"")</f>
        <v/>
      </c>
      <c r="ACL1548" s="42" t="str">
        <f t="array" aca="1" ref="ACL1548" ca="1">IFERROR(INDEX(nombres[],SMALL(IF(OFFSET(nombres[],0,0,ROWS(nombres[]),1)=ACL$1490,ROW(OFFSET(nombres[],0,0,ROWS(nombres[]),1))-ROW(OFFSET(nombres[],0,0,1,1))+1,ROW(OFFSET(nombres[],ROWS(nombres[])-1,0,1,1))+1),$O1548:$O1567),3),"")</f>
        <v/>
      </c>
      <c r="ACM1548" s="42" t="str">
        <f t="array" aca="1" ref="ACM1548" ca="1">IFERROR(INDEX(nombres[],SMALL(IF(OFFSET(nombres[],0,0,ROWS(nombres[]),1)=ACM$1490,ROW(OFFSET(nombres[],0,0,ROWS(nombres[]),1))-ROW(OFFSET(nombres[],0,0,1,1))+1,ROW(OFFSET(nombres[],ROWS(nombres[])-1,0,1,1))+1),$O1548:$O1567),3),"")</f>
        <v/>
      </c>
      <c r="ACN1548" s="42" t="str">
        <f t="array" aca="1" ref="ACN1548" ca="1">IFERROR(INDEX(nombres[],SMALL(IF(OFFSET(nombres[],0,0,ROWS(nombres[]),1)=ACN$1490,ROW(OFFSET(nombres[],0,0,ROWS(nombres[]),1))-ROW(OFFSET(nombres[],0,0,1,1))+1,ROW(OFFSET(nombres[],ROWS(nombres[])-1,0,1,1))+1),$O1548:$O1567),3),"")</f>
        <v/>
      </c>
      <c r="ACO1548" s="42" t="str">
        <f t="array" aca="1" ref="ACO1548" ca="1">IFERROR(INDEX(nombres[],SMALL(IF(OFFSET(nombres[],0,0,ROWS(nombres[]),1)=ACO$1490,ROW(OFFSET(nombres[],0,0,ROWS(nombres[]),1))-ROW(OFFSET(nombres[],0,0,1,1))+1,ROW(OFFSET(nombres[],ROWS(nombres[])-1,0,1,1))+1),$O1548:$O1567),3),"")</f>
        <v/>
      </c>
      <c r="ACP1548" s="42" t="str">
        <f t="array" aca="1" ref="ACP1548" ca="1">IFERROR(INDEX(nombres[],SMALL(IF(OFFSET(nombres[],0,0,ROWS(nombres[]),1)=ACP$1490,ROW(OFFSET(nombres[],0,0,ROWS(nombres[]),1))-ROW(OFFSET(nombres[],0,0,1,1))+1,ROW(OFFSET(nombres[],ROWS(nombres[])-1,0,1,1))+1),$O1548:$O1567),3),"")</f>
        <v/>
      </c>
      <c r="ACQ1548" s="42" t="str">
        <f t="array" aca="1" ref="ACQ1548" ca="1">IFERROR(INDEX(nombres[],SMALL(IF(OFFSET(nombres[],0,0,ROWS(nombres[]),1)=ACQ$1490,ROW(OFFSET(nombres[],0,0,ROWS(nombres[]),1))-ROW(OFFSET(nombres[],0,0,1,1))+1,ROW(OFFSET(nombres[],ROWS(nombres[])-1,0,1,1))+1),$O1548:$O1567),3),"")</f>
        <v/>
      </c>
      <c r="ACR1548" s="42" t="str">
        <f t="array" aca="1" ref="ACR1548" ca="1">IFERROR(INDEX(nombres[],SMALL(IF(OFFSET(nombres[],0,0,ROWS(nombres[]),1)=ACR$1490,ROW(OFFSET(nombres[],0,0,ROWS(nombres[]),1))-ROW(OFFSET(nombres[],0,0,1,1))+1,ROW(OFFSET(nombres[],ROWS(nombres[])-1,0,1,1))+1),$O1548:$O1567),3),"")</f>
        <v/>
      </c>
      <c r="ACS1548" s="42" t="str">
        <f t="array" aca="1" ref="ACS1548" ca="1">IFERROR(INDEX(nombres[],SMALL(IF(OFFSET(nombres[],0,0,ROWS(nombres[]),1)=ACS$1490,ROW(OFFSET(nombres[],0,0,ROWS(nombres[]),1))-ROW(OFFSET(nombres[],0,0,1,1))+1,ROW(OFFSET(nombres[],ROWS(nombres[])-1,0,1,1))+1),$O1548:$O1567),3),"")</f>
        <v/>
      </c>
      <c r="ACT1548" s="42" t="str">
        <f t="array" aca="1" ref="ACT1548" ca="1">IFERROR(INDEX(nombres[],SMALL(IF(OFFSET(nombres[],0,0,ROWS(nombres[]),1)=ACT$1490,ROW(OFFSET(nombres[],0,0,ROWS(nombres[]),1))-ROW(OFFSET(nombres[],0,0,1,1))+1,ROW(OFFSET(nombres[],ROWS(nombres[])-1,0,1,1))+1),$O1548:$O1567),3),"")</f>
        <v/>
      </c>
      <c r="ACU1548" s="42" t="str">
        <f t="array" aca="1" ref="ACU1548" ca="1">IFERROR(INDEX(nombres[],SMALL(IF(OFFSET(nombres[],0,0,ROWS(nombres[]),1)=ACU$1490,ROW(OFFSET(nombres[],0,0,ROWS(nombres[]),1))-ROW(OFFSET(nombres[],0,0,1,1))+1,ROW(OFFSET(nombres[],ROWS(nombres[])-1,0,1,1))+1),$O1548:$O1567),3),"")</f>
        <v/>
      </c>
      <c r="ACV1548" s="42" t="str">
        <f t="array" aca="1" ref="ACV1548" ca="1">IFERROR(INDEX(nombres[],SMALL(IF(OFFSET(nombres[],0,0,ROWS(nombres[]),1)=ACV$1490,ROW(OFFSET(nombres[],0,0,ROWS(nombres[]),1))-ROW(OFFSET(nombres[],0,0,1,1))+1,ROW(OFFSET(nombres[],ROWS(nombres[])-1,0,1,1))+1),$O1548:$O1567),3),"")</f>
        <v/>
      </c>
      <c r="ACW1548" s="42" t="str">
        <f t="array" aca="1" ref="ACW1548" ca="1">IFERROR(INDEX(nombres[],SMALL(IF(OFFSET(nombres[],0,0,ROWS(nombres[]),1)=ACW$1490,ROW(OFFSET(nombres[],0,0,ROWS(nombres[]),1))-ROW(OFFSET(nombres[],0,0,1,1))+1,ROW(OFFSET(nombres[],ROWS(nombres[])-1,0,1,1))+1),$O1548:$O1567),3),"")</f>
        <v/>
      </c>
      <c r="ACX1548" s="42" t="str">
        <f t="array" aca="1" ref="ACX1548" ca="1">IFERROR(INDEX(nombres[],SMALL(IF(OFFSET(nombres[],0,0,ROWS(nombres[]),1)=ACX$1490,ROW(OFFSET(nombres[],0,0,ROWS(nombres[]),1))-ROW(OFFSET(nombres[],0,0,1,1))+1,ROW(OFFSET(nombres[],ROWS(nombres[])-1,0,1,1))+1),$O1548:$O1567),3),"")</f>
        <v/>
      </c>
      <c r="ACY1548" s="42" t="str">
        <f t="array" aca="1" ref="ACY1548" ca="1">IFERROR(INDEX(nombres[],SMALL(IF(OFFSET(nombres[],0,0,ROWS(nombres[]),1)=ACY$1490,ROW(OFFSET(nombres[],0,0,ROWS(nombres[]),1))-ROW(OFFSET(nombres[],0,0,1,1))+1,ROW(OFFSET(nombres[],ROWS(nombres[])-1,0,1,1))+1),$O1548:$O1567),3),"")</f>
        <v/>
      </c>
      <c r="ACZ1548" s="42" t="str">
        <f t="array" aca="1" ref="ACZ1548" ca="1">IFERROR(INDEX(nombres[],SMALL(IF(OFFSET(nombres[],0,0,ROWS(nombres[]),1)=ACZ$1490,ROW(OFFSET(nombres[],0,0,ROWS(nombres[]),1))-ROW(OFFSET(nombres[],0,0,1,1))+1,ROW(OFFSET(nombres[],ROWS(nombres[])-1,0,1,1))+1),$O1548:$O1567),3),"")</f>
        <v/>
      </c>
      <c r="ADA1548" s="42" t="str">
        <f t="array" aca="1" ref="ADA1548" ca="1">IFERROR(INDEX(nombres[],SMALL(IF(OFFSET(nombres[],0,0,ROWS(nombres[]),1)=ADA$1490,ROW(OFFSET(nombres[],0,0,ROWS(nombres[]),1))-ROW(OFFSET(nombres[],0,0,1,1))+1,ROW(OFFSET(nombres[],ROWS(nombres[])-1,0,1,1))+1),$O1548:$O1567),3),"")</f>
        <v/>
      </c>
      <c r="ADB1548" s="42" t="str">
        <f t="array" aca="1" ref="ADB1548" ca="1">IFERROR(INDEX(nombres[],SMALL(IF(OFFSET(nombres[],0,0,ROWS(nombres[]),1)=ADB$1490,ROW(OFFSET(nombres[],0,0,ROWS(nombres[]),1))-ROW(OFFSET(nombres[],0,0,1,1))+1,ROW(OFFSET(nombres[],ROWS(nombres[])-1,0,1,1))+1),$O1548:$O1567),3),"")</f>
        <v/>
      </c>
      <c r="ADC1548" s="42" t="str">
        <f t="array" aca="1" ref="ADC1548" ca="1">IFERROR(INDEX(nombres[],SMALL(IF(OFFSET(nombres[],0,0,ROWS(nombres[]),1)=ADC$1490,ROW(OFFSET(nombres[],0,0,ROWS(nombres[]),1))-ROW(OFFSET(nombres[],0,0,1,1))+1,ROW(OFFSET(nombres[],ROWS(nombres[])-1,0,1,1))+1),$O1548:$O1567),3),"")</f>
        <v/>
      </c>
      <c r="ADD1548" s="42" t="str">
        <f t="array" aca="1" ref="ADD1548" ca="1">IFERROR(INDEX(nombres[],SMALL(IF(OFFSET(nombres[],0,0,ROWS(nombres[]),1)=ADD$1490,ROW(OFFSET(nombres[],0,0,ROWS(nombres[]),1))-ROW(OFFSET(nombres[],0,0,1,1))+1,ROW(OFFSET(nombres[],ROWS(nombres[])-1,0,1,1))+1),$O1548:$O1567),3),"")</f>
        <v/>
      </c>
      <c r="ADE1548" s="42" t="str">
        <f t="array" aca="1" ref="ADE1548" ca="1">IFERROR(INDEX(nombres[],SMALL(IF(OFFSET(nombres[],0,0,ROWS(nombres[]),1)=ADE$1490,ROW(OFFSET(nombres[],0,0,ROWS(nombres[]),1))-ROW(OFFSET(nombres[],0,0,1,1))+1,ROW(OFFSET(nombres[],ROWS(nombres[])-1,0,1,1))+1),$O1548:$O1567),3),"")</f>
        <v/>
      </c>
      <c r="ADF1548" s="42" t="str">
        <f t="array" aca="1" ref="ADF1548" ca="1">IFERROR(INDEX(nombres[],SMALL(IF(OFFSET(nombres[],0,0,ROWS(nombres[]),1)=ADF$1490,ROW(OFFSET(nombres[],0,0,ROWS(nombres[]),1))-ROW(OFFSET(nombres[],0,0,1,1))+1,ROW(OFFSET(nombres[],ROWS(nombres[])-1,0,1,1))+1),$O1548:$O1567),3),"")</f>
        <v/>
      </c>
      <c r="ADG1548" s="42" t="str">
        <f t="array" aca="1" ref="ADG1548" ca="1">IFERROR(INDEX(nombres[],SMALL(IF(OFFSET(nombres[],0,0,ROWS(nombres[]),1)=ADG$1490,ROW(OFFSET(nombres[],0,0,ROWS(nombres[]),1))-ROW(OFFSET(nombres[],0,0,1,1))+1,ROW(OFFSET(nombres[],ROWS(nombres[])-1,0,1,1))+1),$O1548:$O1567),3),"")</f>
        <v/>
      </c>
      <c r="ADH1548" s="42" t="str">
        <f t="array" aca="1" ref="ADH1548" ca="1">IFERROR(INDEX(nombres[],SMALL(IF(OFFSET(nombres[],0,0,ROWS(nombres[]),1)=ADH$1490,ROW(OFFSET(nombres[],0,0,ROWS(nombres[]),1))-ROW(OFFSET(nombres[],0,0,1,1))+1,ROW(OFFSET(nombres[],ROWS(nombres[])-1,0,1,1))+1),$O1548:$O1567),3),"")</f>
        <v/>
      </c>
      <c r="ADI1548" s="42" t="str">
        <f t="array" aca="1" ref="ADI1548" ca="1">IFERROR(INDEX(nombres[],SMALL(IF(OFFSET(nombres[],0,0,ROWS(nombres[]),1)=ADI$1490,ROW(OFFSET(nombres[],0,0,ROWS(nombres[]),1))-ROW(OFFSET(nombres[],0,0,1,1))+1,ROW(OFFSET(nombres[],ROWS(nombres[])-1,0,1,1))+1),$O1548:$O1567),3),"")</f>
        <v/>
      </c>
      <c r="ADJ1548" s="42" t="str">
        <f t="array" aca="1" ref="ADJ1548" ca="1">IFERROR(INDEX(nombres[],SMALL(IF(OFFSET(nombres[],0,0,ROWS(nombres[]),1)=ADJ$1490,ROW(OFFSET(nombres[],0,0,ROWS(nombres[]),1))-ROW(OFFSET(nombres[],0,0,1,1))+1,ROW(OFFSET(nombres[],ROWS(nombres[])-1,0,1,1))+1),$O1548:$O1567),3),"")</f>
        <v/>
      </c>
      <c r="ADK1548" s="42" t="str">
        <f t="array" aca="1" ref="ADK1548" ca="1">IFERROR(INDEX(nombres[],SMALL(IF(OFFSET(nombres[],0,0,ROWS(nombres[]),1)=ADK$1490,ROW(OFFSET(nombres[],0,0,ROWS(nombres[]),1))-ROW(OFFSET(nombres[],0,0,1,1))+1,ROW(OFFSET(nombres[],ROWS(nombres[])-1,0,1,1))+1),$O1548:$O1567),3),"")</f>
        <v/>
      </c>
      <c r="ADL1548" s="42" t="str">
        <f t="array" aca="1" ref="ADL1548" ca="1">IFERROR(INDEX(nombres[],SMALL(IF(OFFSET(nombres[],0,0,ROWS(nombres[]),1)=ADL$1490,ROW(OFFSET(nombres[],0,0,ROWS(nombres[]),1))-ROW(OFFSET(nombres[],0,0,1,1))+1,ROW(OFFSET(nombres[],ROWS(nombres[])-1,0,1,1))+1),$O1548:$O1567),3),"")</f>
        <v/>
      </c>
      <c r="ADM1548" s="42" t="str">
        <f t="array" aca="1" ref="ADM1548" ca="1">IFERROR(INDEX(nombres[],SMALL(IF(OFFSET(nombres[],0,0,ROWS(nombres[]),1)=ADM$1490,ROW(OFFSET(nombres[],0,0,ROWS(nombres[]),1))-ROW(OFFSET(nombres[],0,0,1,1))+1,ROW(OFFSET(nombres[],ROWS(nombres[])-1,0,1,1))+1),$O1548:$O1567),3),"")</f>
        <v/>
      </c>
      <c r="ADN1548" s="42" t="str">
        <f t="array" aca="1" ref="ADN1548" ca="1">IFERROR(INDEX(nombres[],SMALL(IF(OFFSET(nombres[],0,0,ROWS(nombres[]),1)=ADN$1490,ROW(OFFSET(nombres[],0,0,ROWS(nombres[]),1))-ROW(OFFSET(nombres[],0,0,1,1))+1,ROW(OFFSET(nombres[],ROWS(nombres[])-1,0,1,1))+1),$O1548:$O1567),3),"")</f>
        <v/>
      </c>
      <c r="ADO1548" s="42" t="str">
        <f t="array" aca="1" ref="ADO1548" ca="1">IFERROR(INDEX(nombres[],SMALL(IF(OFFSET(nombres[],0,0,ROWS(nombres[]),1)=ADO$1490,ROW(OFFSET(nombres[],0,0,ROWS(nombres[]),1))-ROW(OFFSET(nombres[],0,0,1,1))+1,ROW(OFFSET(nombres[],ROWS(nombres[])-1,0,1,1))+1),$O1548:$O1567),3),"")</f>
        <v/>
      </c>
      <c r="ADP1548" s="42" t="str">
        <f t="array" aca="1" ref="ADP1548" ca="1">IFERROR(INDEX(nombres[],SMALL(IF(OFFSET(nombres[],0,0,ROWS(nombres[]),1)=ADP$1490,ROW(OFFSET(nombres[],0,0,ROWS(nombres[]),1))-ROW(OFFSET(nombres[],0,0,1,1))+1,ROW(OFFSET(nombres[],ROWS(nombres[])-1,0,1,1))+1),$O1548:$O1567),3),"")</f>
        <v/>
      </c>
      <c r="ADQ1548" s="42" t="str">
        <f t="array" aca="1" ref="ADQ1548" ca="1">IFERROR(INDEX(nombres[],SMALL(IF(OFFSET(nombres[],0,0,ROWS(nombres[]),1)=ADQ$1490,ROW(OFFSET(nombres[],0,0,ROWS(nombres[]),1))-ROW(OFFSET(nombres[],0,0,1,1))+1,ROW(OFFSET(nombres[],ROWS(nombres[])-1,0,1,1))+1),$O1548:$O1567),3),"")</f>
        <v/>
      </c>
      <c r="ADR1548" s="42" t="str">
        <f t="array" aca="1" ref="ADR1548" ca="1">IFERROR(INDEX(nombres[],SMALL(IF(OFFSET(nombres[],0,0,ROWS(nombres[]),1)=ADR$1490,ROW(OFFSET(nombres[],0,0,ROWS(nombres[]),1))-ROW(OFFSET(nombres[],0,0,1,1))+1,ROW(OFFSET(nombres[],ROWS(nombres[])-1,0,1,1))+1),$O1548:$O1567),3),"")</f>
        <v/>
      </c>
      <c r="ADS1548" s="42" t="str">
        <f t="array" aca="1" ref="ADS1548" ca="1">IFERROR(INDEX(nombres[],SMALL(IF(OFFSET(nombres[],0,0,ROWS(nombres[]),1)=ADS$1490,ROW(OFFSET(nombres[],0,0,ROWS(nombres[]),1))-ROW(OFFSET(nombres[],0,0,1,1))+1,ROW(OFFSET(nombres[],ROWS(nombres[])-1,0,1,1))+1),$O1548:$O1567),3),"")</f>
        <v/>
      </c>
      <c r="ADT1548" s="42" t="str">
        <f t="array" aca="1" ref="ADT1548" ca="1">IFERROR(INDEX(nombres[],SMALL(IF(OFFSET(nombres[],0,0,ROWS(nombres[]),1)=ADT$1490,ROW(OFFSET(nombres[],0,0,ROWS(nombres[]),1))-ROW(OFFSET(nombres[],0,0,1,1))+1,ROW(OFFSET(nombres[],ROWS(nombres[])-1,0,1,1))+1),$O1548:$O1567),3),"")</f>
        <v/>
      </c>
      <c r="ADU1548" s="42" t="str">
        <f t="array" aca="1" ref="ADU1548" ca="1">IFERROR(INDEX(nombres[],SMALL(IF(OFFSET(nombres[],0,0,ROWS(nombres[]),1)=ADU$1490,ROW(OFFSET(nombres[],0,0,ROWS(nombres[]),1))-ROW(OFFSET(nombres[],0,0,1,1))+1,ROW(OFFSET(nombres[],ROWS(nombres[])-1,0,1,1))+1),$O1548:$O1567),3),"")</f>
        <v/>
      </c>
      <c r="ADV1548" s="42" t="str">
        <f t="array" aca="1" ref="ADV1548" ca="1">IFERROR(INDEX(nombres[],SMALL(IF(OFFSET(nombres[],0,0,ROWS(nombres[]),1)=ADV$1490,ROW(OFFSET(nombres[],0,0,ROWS(nombres[]),1))-ROW(OFFSET(nombres[],0,0,1,1))+1,ROW(OFFSET(nombres[],ROWS(nombres[])-1,0,1,1))+1),$O1548:$O1567),3),"")</f>
        <v/>
      </c>
      <c r="ADW1548" s="42" t="str">
        <f t="array" aca="1" ref="ADW1548" ca="1">IFERROR(INDEX(nombres[],SMALL(IF(OFFSET(nombres[],0,0,ROWS(nombres[]),1)=ADW$1490,ROW(OFFSET(nombres[],0,0,ROWS(nombres[]),1))-ROW(OFFSET(nombres[],0,0,1,1))+1,ROW(OFFSET(nombres[],ROWS(nombres[])-1,0,1,1))+1),$O1548:$O1567),3),"")</f>
        <v/>
      </c>
      <c r="ADX1548" s="42" t="str">
        <f t="array" aca="1" ref="ADX1548" ca="1">IFERROR(INDEX(nombres[],SMALL(IF(OFFSET(nombres[],0,0,ROWS(nombres[]),1)=ADX$1490,ROW(OFFSET(nombres[],0,0,ROWS(nombres[]),1))-ROW(OFFSET(nombres[],0,0,1,1))+1,ROW(OFFSET(nombres[],ROWS(nombres[])-1,0,1,1))+1),$O1548:$O1567),3),"")</f>
        <v/>
      </c>
      <c r="ADY1548" s="42" t="str">
        <f t="array" aca="1" ref="ADY1548" ca="1">IFERROR(INDEX(nombres[],SMALL(IF(OFFSET(nombres[],0,0,ROWS(nombres[]),1)=ADY$1490,ROW(OFFSET(nombres[],0,0,ROWS(nombres[]),1))-ROW(OFFSET(nombres[],0,0,1,1))+1,ROW(OFFSET(nombres[],ROWS(nombres[])-1,0,1,1))+1),$O1548:$O1567),3),"")</f>
        <v/>
      </c>
      <c r="ADZ1548" s="42" t="str">
        <f t="array" aca="1" ref="ADZ1548" ca="1">IFERROR(INDEX(nombres[],SMALL(IF(OFFSET(nombres[],0,0,ROWS(nombres[]),1)=ADZ$1490,ROW(OFFSET(nombres[],0,0,ROWS(nombres[]),1))-ROW(OFFSET(nombres[],0,0,1,1))+1,ROW(OFFSET(nombres[],ROWS(nombres[])-1,0,1,1))+1),$O1548:$O1567),3),"")</f>
        <v/>
      </c>
      <c r="AEA1548" s="42" t="str">
        <f t="array" aca="1" ref="AEA1548" ca="1">IFERROR(INDEX(nombres[],SMALL(IF(OFFSET(nombres[],0,0,ROWS(nombres[]),1)=AEA$1490,ROW(OFFSET(nombres[],0,0,ROWS(nombres[]),1))-ROW(OFFSET(nombres[],0,0,1,1))+1,ROW(OFFSET(nombres[],ROWS(nombres[])-1,0,1,1))+1),$O1548:$O1567),3),"")</f>
        <v/>
      </c>
      <c r="AEB1548" s="42" t="str">
        <f t="array" aca="1" ref="AEB1548" ca="1">IFERROR(INDEX(nombres[],SMALL(IF(OFFSET(nombres[],0,0,ROWS(nombres[]),1)=AEB$1490,ROW(OFFSET(nombres[],0,0,ROWS(nombres[]),1))-ROW(OFFSET(nombres[],0,0,1,1))+1,ROW(OFFSET(nombres[],ROWS(nombres[])-1,0,1,1))+1),$O1548:$O1567),3),"")</f>
        <v/>
      </c>
      <c r="AEC1548" s="42" t="str">
        <f t="array" aca="1" ref="AEC1548" ca="1">IFERROR(INDEX(nombres[],SMALL(IF(OFFSET(nombres[],0,0,ROWS(nombres[]),1)=AEC$1490,ROW(OFFSET(nombres[],0,0,ROWS(nombres[]),1))-ROW(OFFSET(nombres[],0,0,1,1))+1,ROW(OFFSET(nombres[],ROWS(nombres[])-1,0,1,1))+1),$O1548:$O1567),3),"")</f>
        <v/>
      </c>
      <c r="AED1548" s="42" t="str">
        <f t="array" aca="1" ref="AED1548" ca="1">IFERROR(INDEX(nombres[],SMALL(IF(OFFSET(nombres[],0,0,ROWS(nombres[]),1)=AED$1490,ROW(OFFSET(nombres[],0,0,ROWS(nombres[]),1))-ROW(OFFSET(nombres[],0,0,1,1))+1,ROW(OFFSET(nombres[],ROWS(nombres[])-1,0,1,1))+1),$O1548:$O1567),3),"")</f>
        <v/>
      </c>
      <c r="AEE1548" s="42" t="str">
        <f t="array" aca="1" ref="AEE1548" ca="1">IFERROR(INDEX(nombres[],SMALL(IF(OFFSET(nombres[],0,0,ROWS(nombres[]),1)=AEE$1490,ROW(OFFSET(nombres[],0,0,ROWS(nombres[]),1))-ROW(OFFSET(nombres[],0,0,1,1))+1,ROW(OFFSET(nombres[],ROWS(nombres[])-1,0,1,1))+1),$O1548:$O1567),3),"")</f>
        <v/>
      </c>
      <c r="AEF1548" s="42" t="str">
        <f t="array" aca="1" ref="AEF1548" ca="1">IFERROR(INDEX(nombres[],SMALL(IF(OFFSET(nombres[],0,0,ROWS(nombres[]),1)=AEF$1490,ROW(OFFSET(nombres[],0,0,ROWS(nombres[]),1))-ROW(OFFSET(nombres[],0,0,1,1))+1,ROW(OFFSET(nombres[],ROWS(nombres[])-1,0,1,1))+1),$O1548:$O1567),3),"")</f>
        <v/>
      </c>
      <c r="AEG1548" s="42" t="str">
        <f t="array" aca="1" ref="AEG1548" ca="1">IFERROR(INDEX(nombres[],SMALL(IF(OFFSET(nombres[],0,0,ROWS(nombres[]),1)=AEG$1490,ROW(OFFSET(nombres[],0,0,ROWS(nombres[]),1))-ROW(OFFSET(nombres[],0,0,1,1))+1,ROW(OFFSET(nombres[],ROWS(nombres[])-1,0,1,1))+1),$O1548:$O1567),3),"")</f>
        <v/>
      </c>
      <c r="AEH1548" s="42" t="str">
        <f t="array" aca="1" ref="AEH1548" ca="1">IFERROR(INDEX(nombres[],SMALL(IF(OFFSET(nombres[],0,0,ROWS(nombres[]),1)=AEH$1490,ROW(OFFSET(nombres[],0,0,ROWS(nombres[]),1))-ROW(OFFSET(nombres[],0,0,1,1))+1,ROW(OFFSET(nombres[],ROWS(nombres[])-1,0,1,1))+1),$O1548:$O1567),3),"")</f>
        <v/>
      </c>
      <c r="AEI1548" s="42" t="str">
        <f t="array" aca="1" ref="AEI1548" ca="1">IFERROR(INDEX(nombres[],SMALL(IF(OFFSET(nombres[],0,0,ROWS(nombres[]),1)=AEI$1490,ROW(OFFSET(nombres[],0,0,ROWS(nombres[]),1))-ROW(OFFSET(nombres[],0,0,1,1))+1,ROW(OFFSET(nombres[],ROWS(nombres[])-1,0,1,1))+1),$O1548:$O1567),3),"")</f>
        <v/>
      </c>
      <c r="AEJ1548" s="42" t="str">
        <f t="array" aca="1" ref="AEJ1548" ca="1">IFERROR(INDEX(nombres[],SMALL(IF(OFFSET(nombres[],0,0,ROWS(nombres[]),1)=AEJ$1490,ROW(OFFSET(nombres[],0,0,ROWS(nombres[]),1))-ROW(OFFSET(nombres[],0,0,1,1))+1,ROW(OFFSET(nombres[],ROWS(nombres[])-1,0,1,1))+1),$O1548:$O1567),3),"")</f>
        <v/>
      </c>
      <c r="AEK1548" s="42" t="str">
        <f t="array" aca="1" ref="AEK1548" ca="1">IFERROR(INDEX(nombres[],SMALL(IF(OFFSET(nombres[],0,0,ROWS(nombres[]),1)=AEK$1490,ROW(OFFSET(nombres[],0,0,ROWS(nombres[]),1))-ROW(OFFSET(nombres[],0,0,1,1))+1,ROW(OFFSET(nombres[],ROWS(nombres[])-1,0,1,1))+1),$O1548:$O1567),3),"")</f>
        <v/>
      </c>
      <c r="AEL1548" s="42" t="str">
        <f t="array" aca="1" ref="AEL1548" ca="1">IFERROR(INDEX(nombres[],SMALL(IF(OFFSET(nombres[],0,0,ROWS(nombres[]),1)=AEL$1490,ROW(OFFSET(nombres[],0,0,ROWS(nombres[]),1))-ROW(OFFSET(nombres[],0,0,1,1))+1,ROW(OFFSET(nombres[],ROWS(nombres[])-1,0,1,1))+1),$O1548:$O1567),3),"")</f>
        <v/>
      </c>
      <c r="AEM1548" s="42" t="str">
        <f t="array" aca="1" ref="AEM1548" ca="1">IFERROR(INDEX(nombres[],SMALL(IF(OFFSET(nombres[],0,0,ROWS(nombres[]),1)=AEM$1490,ROW(OFFSET(nombres[],0,0,ROWS(nombres[]),1))-ROW(OFFSET(nombres[],0,0,1,1))+1,ROW(OFFSET(nombres[],ROWS(nombres[])-1,0,1,1))+1),$O1548:$O1567),3),"")</f>
        <v/>
      </c>
      <c r="AEN1548" s="42" t="str">
        <f t="array" aca="1" ref="AEN1548" ca="1">IFERROR(INDEX(nombres[],SMALL(IF(OFFSET(nombres[],0,0,ROWS(nombres[]),1)=AEN$1490,ROW(OFFSET(nombres[],0,0,ROWS(nombres[]),1))-ROW(OFFSET(nombres[],0,0,1,1))+1,ROW(OFFSET(nombres[],ROWS(nombres[])-1,0,1,1))+1),$O1548:$O1567),3),"")</f>
        <v/>
      </c>
      <c r="AEO1548" s="42" t="str">
        <f t="array" aca="1" ref="AEO1548" ca="1">IFERROR(INDEX(nombres[],SMALL(IF(OFFSET(nombres[],0,0,ROWS(nombres[]),1)=AEO$1490,ROW(OFFSET(nombres[],0,0,ROWS(nombres[]),1))-ROW(OFFSET(nombres[],0,0,1,1))+1,ROW(OFFSET(nombres[],ROWS(nombres[])-1,0,1,1))+1),$O1548:$O1567),3),"")</f>
        <v/>
      </c>
      <c r="AEP1548" s="42" t="str">
        <f t="array" aca="1" ref="AEP1548" ca="1">IFERROR(INDEX(nombres[],SMALL(IF(OFFSET(nombres[],0,0,ROWS(nombres[]),1)=AEP$1490,ROW(OFFSET(nombres[],0,0,ROWS(nombres[]),1))-ROW(OFFSET(nombres[],0,0,1,1))+1,ROW(OFFSET(nombres[],ROWS(nombres[])-1,0,1,1))+1),$O1548:$O1567),3),"")</f>
        <v/>
      </c>
      <c r="AEQ1548" s="42" t="str">
        <f t="array" aca="1" ref="AEQ1548" ca="1">IFERROR(INDEX(nombres[],SMALL(IF(OFFSET(nombres[],0,0,ROWS(nombres[]),1)=AEQ$1490,ROW(OFFSET(nombres[],0,0,ROWS(nombres[]),1))-ROW(OFFSET(nombres[],0,0,1,1))+1,ROW(OFFSET(nombres[],ROWS(nombres[])-1,0,1,1))+1),$O1548:$O1567),3),"")</f>
        <v/>
      </c>
      <c r="AER1548" s="42" t="str">
        <f t="array" aca="1" ref="AER1548" ca="1">IFERROR(INDEX(nombres[],SMALL(IF(OFFSET(nombres[],0,0,ROWS(nombres[]),1)=AER$1490,ROW(OFFSET(nombres[],0,0,ROWS(nombres[]),1))-ROW(OFFSET(nombres[],0,0,1,1))+1,ROW(OFFSET(nombres[],ROWS(nombres[])-1,0,1,1))+1),$O1548:$O1567),3),"")</f>
        <v/>
      </c>
      <c r="AES1548" s="42" t="str">
        <f t="array" aca="1" ref="AES1548" ca="1">IFERROR(INDEX(nombres[],SMALL(IF(OFFSET(nombres[],0,0,ROWS(nombres[]),1)=AES$1490,ROW(OFFSET(nombres[],0,0,ROWS(nombres[]),1))-ROW(OFFSET(nombres[],0,0,1,1))+1,ROW(OFFSET(nombres[],ROWS(nombres[])-1,0,1,1))+1),$O1548:$O1567),3),"")</f>
        <v/>
      </c>
      <c r="AET1548" s="42" t="str">
        <f t="array" aca="1" ref="AET1548" ca="1">IFERROR(INDEX(nombres[],SMALL(IF(OFFSET(nombres[],0,0,ROWS(nombres[]),1)=AET$1490,ROW(OFFSET(nombres[],0,0,ROWS(nombres[]),1))-ROW(OFFSET(nombres[],0,0,1,1))+1,ROW(OFFSET(nombres[],ROWS(nombres[])-1,0,1,1))+1),$O1548:$O1567),3),"")</f>
        <v/>
      </c>
      <c r="AEU1548" s="42" t="str">
        <f t="array" aca="1" ref="AEU1548" ca="1">IFERROR(INDEX(nombres[],SMALL(IF(OFFSET(nombres[],0,0,ROWS(nombres[]),1)=AEU$1490,ROW(OFFSET(nombres[],0,0,ROWS(nombres[]),1))-ROW(OFFSET(nombres[],0,0,1,1))+1,ROW(OFFSET(nombres[],ROWS(nombres[])-1,0,1,1))+1),$O1548:$O1567),3),"")</f>
        <v/>
      </c>
      <c r="AEV1548" s="42" t="str">
        <f t="array" aca="1" ref="AEV1548" ca="1">IFERROR(INDEX(nombres[],SMALL(IF(OFFSET(nombres[],0,0,ROWS(nombres[]),1)=AEV$1490,ROW(OFFSET(nombres[],0,0,ROWS(nombres[]),1))-ROW(OFFSET(nombres[],0,0,1,1))+1,ROW(OFFSET(nombres[],ROWS(nombres[])-1,0,1,1))+1),$O1548:$O1567),3),"")</f>
        <v/>
      </c>
      <c r="AEW1548" s="42" t="str">
        <f t="array" aca="1" ref="AEW1548" ca="1">IFERROR(INDEX(nombres[],SMALL(IF(OFFSET(nombres[],0,0,ROWS(nombres[]),1)=AEW$1490,ROW(OFFSET(nombres[],0,0,ROWS(nombres[]),1))-ROW(OFFSET(nombres[],0,0,1,1))+1,ROW(OFFSET(nombres[],ROWS(nombres[])-1,0,1,1))+1),$O1548:$O1567),3),"")</f>
        <v/>
      </c>
      <c r="AEX1548" s="42" t="str">
        <f t="array" aca="1" ref="AEX1548" ca="1">IFERROR(INDEX(nombres[],SMALL(IF(OFFSET(nombres[],0,0,ROWS(nombres[]),1)=AEX$1490,ROW(OFFSET(nombres[],0,0,ROWS(nombres[]),1))-ROW(OFFSET(nombres[],0,0,1,1))+1,ROW(OFFSET(nombres[],ROWS(nombres[])-1,0,1,1))+1),$O1548:$O1567),3),"")</f>
        <v/>
      </c>
      <c r="AEY1548" s="42" t="str">
        <f t="array" aca="1" ref="AEY1548" ca="1">IFERROR(INDEX(nombres[],SMALL(IF(OFFSET(nombres[],0,0,ROWS(nombres[]),1)=AEY$1490,ROW(OFFSET(nombres[],0,0,ROWS(nombres[]),1))-ROW(OFFSET(nombres[],0,0,1,1))+1,ROW(OFFSET(nombres[],ROWS(nombres[])-1,0,1,1))+1),$O1548:$O1567),3),"")</f>
        <v/>
      </c>
      <c r="AEZ1548" s="42" t="str">
        <f t="array" aca="1" ref="AEZ1548" ca="1">IFERROR(INDEX(nombres[],SMALL(IF(OFFSET(nombres[],0,0,ROWS(nombres[]),1)=AEZ$1490,ROW(OFFSET(nombres[],0,0,ROWS(nombres[]),1))-ROW(OFFSET(nombres[],0,0,1,1))+1,ROW(OFFSET(nombres[],ROWS(nombres[])-1,0,1,1))+1),$O1548:$O1567),3),"")</f>
        <v/>
      </c>
      <c r="AFA1548" s="42" t="str">
        <f t="array" aca="1" ref="AFA1548" ca="1">IFERROR(INDEX(nombres[],SMALL(IF(OFFSET(nombres[],0,0,ROWS(nombres[]),1)=AFA$1490,ROW(OFFSET(nombres[],0,0,ROWS(nombres[]),1))-ROW(OFFSET(nombres[],0,0,1,1))+1,ROW(OFFSET(nombres[],ROWS(nombres[])-1,0,1,1))+1),$O1548:$O1567),3),"")</f>
        <v/>
      </c>
      <c r="AFB1548" s="42" t="str">
        <f t="array" aca="1" ref="AFB1548" ca="1">IFERROR(INDEX(nombres[],SMALL(IF(OFFSET(nombres[],0,0,ROWS(nombres[]),1)=AFB$1490,ROW(OFFSET(nombres[],0,0,ROWS(nombres[]),1))-ROW(OFFSET(nombres[],0,0,1,1))+1,ROW(OFFSET(nombres[],ROWS(nombres[])-1,0,1,1))+1),$O1548:$O1567),3),"")</f>
        <v/>
      </c>
      <c r="AFC1548" s="42" t="str">
        <f t="array" aca="1" ref="AFC1548" ca="1">IFERROR(INDEX(nombres[],SMALL(IF(OFFSET(nombres[],0,0,ROWS(nombres[]),1)=AFC$1490,ROW(OFFSET(nombres[],0,0,ROWS(nombres[]),1))-ROW(OFFSET(nombres[],0,0,1,1))+1,ROW(OFFSET(nombres[],ROWS(nombres[])-1,0,1,1))+1),$O1548:$O1567),3),"")</f>
        <v/>
      </c>
      <c r="AFD1548" s="42" t="str">
        <f t="array" aca="1" ref="AFD1548" ca="1">IFERROR(INDEX(nombres[],SMALL(IF(OFFSET(nombres[],0,0,ROWS(nombres[]),1)=AFD$1490,ROW(OFFSET(nombres[],0,0,ROWS(nombres[]),1))-ROW(OFFSET(nombres[],0,0,1,1))+1,ROW(OFFSET(nombres[],ROWS(nombres[])-1,0,1,1))+1),$O1548:$O1567),3),"")</f>
        <v/>
      </c>
      <c r="AFE1548" s="42" t="str">
        <f t="array" aca="1" ref="AFE1548" ca="1">IFERROR(INDEX(nombres[],SMALL(IF(OFFSET(nombres[],0,0,ROWS(nombres[]),1)=AFE$1490,ROW(OFFSET(nombres[],0,0,ROWS(nombres[]),1))-ROW(OFFSET(nombres[],0,0,1,1))+1,ROW(OFFSET(nombres[],ROWS(nombres[])-1,0,1,1))+1),$O1548:$O1567),3),"")</f>
        <v/>
      </c>
      <c r="AFF1548" s="42" t="str">
        <f t="array" aca="1" ref="AFF1548" ca="1">IFERROR(INDEX(nombres[],SMALL(IF(OFFSET(nombres[],0,0,ROWS(nombres[]),1)=AFF$1490,ROW(OFFSET(nombres[],0,0,ROWS(nombres[]),1))-ROW(OFFSET(nombres[],0,0,1,1))+1,ROW(OFFSET(nombres[],ROWS(nombres[])-1,0,1,1))+1),$O1548:$O1567),3),"")</f>
        <v/>
      </c>
      <c r="AFG1548" s="42" t="str">
        <f t="array" aca="1" ref="AFG1548" ca="1">IFERROR(INDEX(nombres[],SMALL(IF(OFFSET(nombres[],0,0,ROWS(nombres[]),1)=AFG$1490,ROW(OFFSET(nombres[],0,0,ROWS(nombres[]),1))-ROW(OFFSET(nombres[],0,0,1,1))+1,ROW(OFFSET(nombres[],ROWS(nombres[])-1,0,1,1))+1),$O1548:$O1567),3),"")</f>
        <v/>
      </c>
      <c r="AFH1548" s="42" t="str">
        <f t="array" aca="1" ref="AFH1548" ca="1">IFERROR(INDEX(nombres[],SMALL(IF(OFFSET(nombres[],0,0,ROWS(nombres[]),1)=AFH$1490,ROW(OFFSET(nombres[],0,0,ROWS(nombres[]),1))-ROW(OFFSET(nombres[],0,0,1,1))+1,ROW(OFFSET(nombres[],ROWS(nombres[])-1,0,1,1))+1),$O1548:$O1567),3),"")</f>
        <v/>
      </c>
      <c r="AFI1548" s="42" t="str">
        <f t="array" aca="1" ref="AFI1548" ca="1">IFERROR(INDEX(nombres[],SMALL(IF(OFFSET(nombres[],0,0,ROWS(nombres[]),1)=AFI$1490,ROW(OFFSET(nombres[],0,0,ROWS(nombres[]),1))-ROW(OFFSET(nombres[],0,0,1,1))+1,ROW(OFFSET(nombres[],ROWS(nombres[])-1,0,1,1))+1),$O1548:$O1567),3),"")</f>
        <v/>
      </c>
      <c r="AFJ1548" s="42" t="str">
        <f t="array" aca="1" ref="AFJ1548" ca="1">IFERROR(INDEX(nombres[],SMALL(IF(OFFSET(nombres[],0,0,ROWS(nombres[]),1)=AFJ$1490,ROW(OFFSET(nombres[],0,0,ROWS(nombres[]),1))-ROW(OFFSET(nombres[],0,0,1,1))+1,ROW(OFFSET(nombres[],ROWS(nombres[])-1,0,1,1))+1),$O1548:$O1567),3),"")</f>
        <v/>
      </c>
      <c r="AFK1548" s="42" t="str">
        <f t="array" aca="1" ref="AFK1548" ca="1">IFERROR(INDEX(nombres[],SMALL(IF(OFFSET(nombres[],0,0,ROWS(nombres[]),1)=AFK$1490,ROW(OFFSET(nombres[],0,0,ROWS(nombres[]),1))-ROW(OFFSET(nombres[],0,0,1,1))+1,ROW(OFFSET(nombres[],ROWS(nombres[])-1,0,1,1))+1),$O1548:$O1567),3),"")</f>
        <v/>
      </c>
      <c r="AFL1548" s="42" t="str">
        <f t="array" aca="1" ref="AFL1548" ca="1">IFERROR(INDEX(nombres[],SMALL(IF(OFFSET(nombres[],0,0,ROWS(nombres[]),1)=AFL$1490,ROW(OFFSET(nombres[],0,0,ROWS(nombres[]),1))-ROW(OFFSET(nombres[],0,0,1,1))+1,ROW(OFFSET(nombres[],ROWS(nombres[])-1,0,1,1))+1),$O1548:$O1567),3),"")</f>
        <v/>
      </c>
      <c r="AFM1548" s="42" t="str">
        <f t="array" aca="1" ref="AFM1548" ca="1">IFERROR(INDEX(nombres[],SMALL(IF(OFFSET(nombres[],0,0,ROWS(nombres[]),1)=AFM$1490,ROW(OFFSET(nombres[],0,0,ROWS(nombres[]),1))-ROW(OFFSET(nombres[],0,0,1,1))+1,ROW(OFFSET(nombres[],ROWS(nombres[])-1,0,1,1))+1),$O1548:$O1567),3),"")</f>
        <v/>
      </c>
      <c r="AFN1548" s="42" t="str">
        <f t="array" aca="1" ref="AFN1548" ca="1">IFERROR(INDEX(nombres[],SMALL(IF(OFFSET(nombres[],0,0,ROWS(nombres[]),1)=AFN$1490,ROW(OFFSET(nombres[],0,0,ROWS(nombres[]),1))-ROW(OFFSET(nombres[],0,0,1,1))+1,ROW(OFFSET(nombres[],ROWS(nombres[])-1,0,1,1))+1),$O1548:$O1567),3),"")</f>
        <v/>
      </c>
      <c r="AFO1548" s="42" t="str">
        <f t="array" aca="1" ref="AFO1548" ca="1">IFERROR(INDEX(nombres[],SMALL(IF(OFFSET(nombres[],0,0,ROWS(nombres[]),1)=AFO$1490,ROW(OFFSET(nombres[],0,0,ROWS(nombres[]),1))-ROW(OFFSET(nombres[],0,0,1,1))+1,ROW(OFFSET(nombres[],ROWS(nombres[])-1,0,1,1))+1),$O1548:$O1567),3),"")</f>
        <v/>
      </c>
      <c r="AFP1548" s="42" t="str">
        <f t="array" aca="1" ref="AFP1548" ca="1">IFERROR(INDEX(nombres[],SMALL(IF(OFFSET(nombres[],0,0,ROWS(nombres[]),1)=AFP$1490,ROW(OFFSET(nombres[],0,0,ROWS(nombres[]),1))-ROW(OFFSET(nombres[],0,0,1,1))+1,ROW(OFFSET(nombres[],ROWS(nombres[])-1,0,1,1))+1),$O1548:$O1567),3),"")</f>
        <v/>
      </c>
      <c r="AFQ1548" s="42" t="str">
        <f t="array" aca="1" ref="AFQ1548" ca="1">IFERROR(INDEX(nombres[],SMALL(IF(OFFSET(nombres[],0,0,ROWS(nombres[]),1)=AFQ$1490,ROW(OFFSET(nombres[],0,0,ROWS(nombres[]),1))-ROW(OFFSET(nombres[],0,0,1,1))+1,ROW(OFFSET(nombres[],ROWS(nombres[])-1,0,1,1))+1),$O1548:$O1567),3),"")</f>
        <v/>
      </c>
      <c r="AFR1548" s="42" t="str">
        <f t="array" aca="1" ref="AFR1548" ca="1">IFERROR(INDEX(nombres[],SMALL(IF(OFFSET(nombres[],0,0,ROWS(nombres[]),1)=AFR$1490,ROW(OFFSET(nombres[],0,0,ROWS(nombres[]),1))-ROW(OFFSET(nombres[],0,0,1,1))+1,ROW(OFFSET(nombres[],ROWS(nombres[])-1,0,1,1))+1),$O1548:$O1567),3),"")</f>
        <v/>
      </c>
      <c r="AFS1548" s="42" t="str">
        <f t="array" aca="1" ref="AFS1548" ca="1">IFERROR(INDEX(nombres[],SMALL(IF(OFFSET(nombres[],0,0,ROWS(nombres[]),1)=AFS$1490,ROW(OFFSET(nombres[],0,0,ROWS(nombres[]),1))-ROW(OFFSET(nombres[],0,0,1,1))+1,ROW(OFFSET(nombres[],ROWS(nombres[])-1,0,1,1))+1),$O1548:$O1567),3),"")</f>
        <v/>
      </c>
      <c r="AFT1548" s="42" t="str">
        <f t="array" aca="1" ref="AFT1548" ca="1">IFERROR(INDEX(nombres[],SMALL(IF(OFFSET(nombres[],0,0,ROWS(nombres[]),1)=AFT$1490,ROW(OFFSET(nombres[],0,0,ROWS(nombres[]),1))-ROW(OFFSET(nombres[],0,0,1,1))+1,ROW(OFFSET(nombres[],ROWS(nombres[])-1,0,1,1))+1),$O1548:$O1567),3),"")</f>
        <v/>
      </c>
      <c r="AFU1548" s="42" t="str">
        <f t="array" aca="1" ref="AFU1548" ca="1">IFERROR(INDEX(nombres[],SMALL(IF(OFFSET(nombres[],0,0,ROWS(nombres[]),1)=AFU$1490,ROW(OFFSET(nombres[],0,0,ROWS(nombres[]),1))-ROW(OFFSET(nombres[],0,0,1,1))+1,ROW(OFFSET(nombres[],ROWS(nombres[])-1,0,1,1))+1),$O1548:$O1567),3),"")</f>
        <v/>
      </c>
      <c r="AFV1548" s="42" t="str">
        <f t="array" aca="1" ref="AFV1548" ca="1">IFERROR(INDEX(nombres[],SMALL(IF(OFFSET(nombres[],0,0,ROWS(nombres[]),1)=AFV$1490,ROW(OFFSET(nombres[],0,0,ROWS(nombres[]),1))-ROW(OFFSET(nombres[],0,0,1,1))+1,ROW(OFFSET(nombres[],ROWS(nombres[])-1,0,1,1))+1),$O1548:$O1567),3),"")</f>
        <v/>
      </c>
      <c r="AFW1548" s="42" t="str">
        <f t="array" aca="1" ref="AFW1548" ca="1">IFERROR(INDEX(nombres[],SMALL(IF(OFFSET(nombres[],0,0,ROWS(nombres[]),1)=AFW$1490,ROW(OFFSET(nombres[],0,0,ROWS(nombres[]),1))-ROW(OFFSET(nombres[],0,0,1,1))+1,ROW(OFFSET(nombres[],ROWS(nombres[])-1,0,1,1))+1),$O1548:$O1567),3),"")</f>
        <v/>
      </c>
      <c r="AFX1548" s="42" t="str">
        <f t="array" aca="1" ref="AFX1548" ca="1">IFERROR(INDEX(nombres[],SMALL(IF(OFFSET(nombres[],0,0,ROWS(nombres[]),1)=AFX$1490,ROW(OFFSET(nombres[],0,0,ROWS(nombres[]),1))-ROW(OFFSET(nombres[],0,0,1,1))+1,ROW(OFFSET(nombres[],ROWS(nombres[])-1,0,1,1))+1),$O1548:$O1567),3),"")</f>
        <v/>
      </c>
      <c r="AFY1548" s="42" t="str">
        <f t="array" aca="1" ref="AFY1548" ca="1">IFERROR(INDEX(nombres[],SMALL(IF(OFFSET(nombres[],0,0,ROWS(nombres[]),1)=AFY$1490,ROW(OFFSET(nombres[],0,0,ROWS(nombres[]),1))-ROW(OFFSET(nombres[],0,0,1,1))+1,ROW(OFFSET(nombres[],ROWS(nombres[])-1,0,1,1))+1),$O1548:$O1567),3),"")</f>
        <v/>
      </c>
      <c r="AFZ1548" s="42" t="str">
        <f t="array" aca="1" ref="AFZ1548" ca="1">IFERROR(INDEX(nombres[],SMALL(IF(OFFSET(nombres[],0,0,ROWS(nombres[]),1)=AFZ$1490,ROW(OFFSET(nombres[],0,0,ROWS(nombres[]),1))-ROW(OFFSET(nombres[],0,0,1,1))+1,ROW(OFFSET(nombres[],ROWS(nombres[])-1,0,1,1))+1),$O1548:$O1567),3),"")</f>
        <v/>
      </c>
      <c r="AGA1548" s="42" t="str">
        <f t="array" aca="1" ref="AGA1548" ca="1">IFERROR(INDEX(nombres[],SMALL(IF(OFFSET(nombres[],0,0,ROWS(nombres[]),1)=AGA$1490,ROW(OFFSET(nombres[],0,0,ROWS(nombres[]),1))-ROW(OFFSET(nombres[],0,0,1,1))+1,ROW(OFFSET(nombres[],ROWS(nombres[])-1,0,1,1))+1),$O1548:$O1567),3),"")</f>
        <v/>
      </c>
      <c r="AGB1548" s="42" t="str">
        <f t="array" aca="1" ref="AGB1548" ca="1">IFERROR(INDEX(nombres[],SMALL(IF(OFFSET(nombres[],0,0,ROWS(nombres[]),1)=AGB$1490,ROW(OFFSET(nombres[],0,0,ROWS(nombres[]),1))-ROW(OFFSET(nombres[],0,0,1,1))+1,ROW(OFFSET(nombres[],ROWS(nombres[])-1,0,1,1))+1),$O1548:$O1567),3),"")</f>
        <v/>
      </c>
      <c r="AGC1548" s="42" t="str">
        <f t="array" aca="1" ref="AGC1548" ca="1">IFERROR(INDEX(nombres[],SMALL(IF(OFFSET(nombres[],0,0,ROWS(nombres[]),1)=AGC$1490,ROW(OFFSET(nombres[],0,0,ROWS(nombres[]),1))-ROW(OFFSET(nombres[],0,0,1,1))+1,ROW(OFFSET(nombres[],ROWS(nombres[])-1,0,1,1))+1),$O1548:$O1567),3),"")</f>
        <v/>
      </c>
      <c r="AGD1548" s="42" t="str">
        <f t="array" aca="1" ref="AGD1548" ca="1">IFERROR(INDEX(nombres[],SMALL(IF(OFFSET(nombres[],0,0,ROWS(nombres[]),1)=AGD$1490,ROW(OFFSET(nombres[],0,0,ROWS(nombres[]),1))-ROW(OFFSET(nombres[],0,0,1,1))+1,ROW(OFFSET(nombres[],ROWS(nombres[])-1,0,1,1))+1),$O1548:$O1567),3),"")</f>
        <v/>
      </c>
      <c r="AGE1548" s="42" t="str">
        <f t="array" aca="1" ref="AGE1548" ca="1">IFERROR(INDEX(nombres[],SMALL(IF(OFFSET(nombres[],0,0,ROWS(nombres[]),1)=AGE$1490,ROW(OFFSET(nombres[],0,0,ROWS(nombres[]),1))-ROW(OFFSET(nombres[],0,0,1,1))+1,ROW(OFFSET(nombres[],ROWS(nombres[])-1,0,1,1))+1),$O1548:$O1567),3),"")</f>
        <v/>
      </c>
      <c r="AGF1548" s="42" t="str">
        <f t="array" aca="1" ref="AGF1548" ca="1">IFERROR(INDEX(nombres[],SMALL(IF(OFFSET(nombres[],0,0,ROWS(nombres[]),1)=AGF$1490,ROW(OFFSET(nombres[],0,0,ROWS(nombres[]),1))-ROW(OFFSET(nombres[],0,0,1,1))+1,ROW(OFFSET(nombres[],ROWS(nombres[])-1,0,1,1))+1),$O1548:$O1567),3),"")</f>
        <v/>
      </c>
      <c r="AGG1548" s="42" t="str">
        <f t="array" aca="1" ref="AGG1548" ca="1">IFERROR(INDEX(nombres[],SMALL(IF(OFFSET(nombres[],0,0,ROWS(nombres[]),1)=AGG$1490,ROW(OFFSET(nombres[],0,0,ROWS(nombres[]),1))-ROW(OFFSET(nombres[],0,0,1,1))+1,ROW(OFFSET(nombres[],ROWS(nombres[])-1,0,1,1))+1),$O1548:$O1567),3),"")</f>
        <v/>
      </c>
      <c r="AGH1548" s="42" t="str">
        <f t="array" aca="1" ref="AGH1548" ca="1">IFERROR(INDEX(nombres[],SMALL(IF(OFFSET(nombres[],0,0,ROWS(nombres[]),1)=AGH$1490,ROW(OFFSET(nombres[],0,0,ROWS(nombres[]),1))-ROW(OFFSET(nombres[],0,0,1,1))+1,ROW(OFFSET(nombres[],ROWS(nombres[])-1,0,1,1))+1),$O1548:$O1567),3),"")</f>
        <v/>
      </c>
      <c r="AGI1548" s="42" t="str">
        <f t="array" aca="1" ref="AGI1548" ca="1">IFERROR(INDEX(nombres[],SMALL(IF(OFFSET(nombres[],0,0,ROWS(nombres[]),1)=AGI$1490,ROW(OFFSET(nombres[],0,0,ROWS(nombres[]),1))-ROW(OFFSET(nombres[],0,0,1,1))+1,ROW(OFFSET(nombres[],ROWS(nombres[])-1,0,1,1))+1),$O1548:$O1567),3),"")</f>
        <v/>
      </c>
      <c r="AGJ1548" s="42" t="str">
        <f t="array" aca="1" ref="AGJ1548" ca="1">IFERROR(INDEX(nombres[],SMALL(IF(OFFSET(nombres[],0,0,ROWS(nombres[]),1)=AGJ$1490,ROW(OFFSET(nombres[],0,0,ROWS(nombres[]),1))-ROW(OFFSET(nombres[],0,0,1,1))+1,ROW(OFFSET(nombres[],ROWS(nombres[])-1,0,1,1))+1),$O1548:$O1567),3),"")</f>
        <v/>
      </c>
      <c r="AGK1548" s="42" t="str">
        <f t="array" aca="1" ref="AGK1548" ca="1">IFERROR(INDEX(nombres[],SMALL(IF(OFFSET(nombres[],0,0,ROWS(nombres[]),1)=AGK$1490,ROW(OFFSET(nombres[],0,0,ROWS(nombres[]),1))-ROW(OFFSET(nombres[],0,0,1,1))+1,ROW(OFFSET(nombres[],ROWS(nombres[])-1,0,1,1))+1),$O1548:$O1567),3),"")</f>
        <v/>
      </c>
      <c r="AGL1548" s="42" t="str">
        <f t="array" aca="1" ref="AGL1548" ca="1">IFERROR(INDEX(nombres[],SMALL(IF(OFFSET(nombres[],0,0,ROWS(nombres[]),1)=AGL$1490,ROW(OFFSET(nombres[],0,0,ROWS(nombres[]),1))-ROW(OFFSET(nombres[],0,0,1,1))+1,ROW(OFFSET(nombres[],ROWS(nombres[])-1,0,1,1))+1),$O1548:$O1567),3),"")</f>
        <v/>
      </c>
      <c r="AGM1548" s="42" t="str">
        <f t="array" aca="1" ref="AGM1548" ca="1">IFERROR(INDEX(nombres[],SMALL(IF(OFFSET(nombres[],0,0,ROWS(nombres[]),1)=AGM$1490,ROW(OFFSET(nombres[],0,0,ROWS(nombres[]),1))-ROW(OFFSET(nombres[],0,0,1,1))+1,ROW(OFFSET(nombres[],ROWS(nombres[])-1,0,1,1))+1),$O1548:$O1567),3),"")</f>
        <v/>
      </c>
      <c r="AGN1548" s="42" t="str">
        <f t="array" aca="1" ref="AGN1548" ca="1">IFERROR(INDEX(nombres[],SMALL(IF(OFFSET(nombres[],0,0,ROWS(nombres[]),1)=AGN$1490,ROW(OFFSET(nombres[],0,0,ROWS(nombres[]),1))-ROW(OFFSET(nombres[],0,0,1,1))+1,ROW(OFFSET(nombres[],ROWS(nombres[])-1,0,1,1))+1),$O1548:$O1567),3),"")</f>
        <v/>
      </c>
    </row>
    <row r="1549" spans="15:872" x14ac:dyDescent="0.25">
      <c r="O1549" s="42">
        <v>13</v>
      </c>
      <c r="P1549" s="42" t="str">
        <f t="array" aca="1" ref="P1549" ca="1">IFERROR(INDEX(nombres[],SMALL(IF(OFFSET(nombres[],0,0,ROWS(nombres[]),1)=P$1490,ROW(OFFSET(nombres[],0,0,ROWS(nombres[]),1))-ROW(OFFSET(nombres[],0,0,1,1))+1,ROW(OFFSET(nombres[],ROWS(nombres[])-1,0,1,1))+1),$O1549:$O1568),3),"")</f>
        <v/>
      </c>
      <c r="Q1549" s="42" t="str">
        <f t="array" aca="1" ref="Q1549" ca="1">IFERROR(INDEX(nombres[],SMALL(IF(OFFSET(nombres[],0,0,ROWS(nombres[]),1)=Q$1490,ROW(OFFSET(nombres[],0,0,ROWS(nombres[]),1))-ROW(OFFSET(nombres[],0,0,1,1))+1,ROW(OFFSET(nombres[],ROWS(nombres[])-1,0,1,1))+1),$O1549:$O1568),3),"")</f>
        <v/>
      </c>
      <c r="R1549" s="42" t="str">
        <f t="array" aca="1" ref="R1549" ca="1">IFERROR(INDEX(nombres[],SMALL(IF(OFFSET(nombres[],0,0,ROWS(nombres[]),1)=R$1490,ROW(OFFSET(nombres[],0,0,ROWS(nombres[]),1))-ROW(OFFSET(nombres[],0,0,1,1))+1,ROW(OFFSET(nombres[],ROWS(nombres[])-1,0,1,1))+1),$O1549:$O1568),3),"")</f>
        <v/>
      </c>
      <c r="S1549" s="42" t="str">
        <f t="array" aca="1" ref="S1549" ca="1">IFERROR(INDEX(nombres[],SMALL(IF(OFFSET(nombres[],0,0,ROWS(nombres[]),1)=S$1490,ROW(OFFSET(nombres[],0,0,ROWS(nombres[]),1))-ROW(OFFSET(nombres[],0,0,1,1))+1,ROW(OFFSET(nombres[],ROWS(nombres[])-1,0,1,1))+1),$O1549:$O1568),3),"")</f>
        <v/>
      </c>
      <c r="T1549" s="42" t="str">
        <f t="array" aca="1" ref="T1549" ca="1">IFERROR(INDEX(nombres[],SMALL(IF(OFFSET(nombres[],0,0,ROWS(nombres[]),1)=T$1490,ROW(OFFSET(nombres[],0,0,ROWS(nombres[]),1))-ROW(OFFSET(nombres[],0,0,1,1))+1,ROW(OFFSET(nombres[],ROWS(nombres[])-1,0,1,1))+1),$O1549:$O1568),3),"")</f>
        <v/>
      </c>
      <c r="U1549" s="42" t="str">
        <f t="array" aca="1" ref="U1549" ca="1">IFERROR(INDEX(nombres[],SMALL(IF(OFFSET(nombres[],0,0,ROWS(nombres[]),1)=U$1490,ROW(OFFSET(nombres[],0,0,ROWS(nombres[]),1))-ROW(OFFSET(nombres[],0,0,1,1))+1,ROW(OFFSET(nombres[],ROWS(nombres[])-1,0,1,1))+1),$O1549:$O1568),3),"")</f>
        <v/>
      </c>
      <c r="V1549" s="42" t="str">
        <f t="array" aca="1" ref="V1549" ca="1">IFERROR(INDEX(nombres[],SMALL(IF(OFFSET(nombres[],0,0,ROWS(nombres[]),1)=V$1490,ROW(OFFSET(nombres[],0,0,ROWS(nombres[]),1))-ROW(OFFSET(nombres[],0,0,1,1))+1,ROW(OFFSET(nombres[],ROWS(nombres[])-1,0,1,1))+1),$O1549:$O1568),3),"")</f>
        <v/>
      </c>
      <c r="W1549" s="42" t="str">
        <f t="array" aca="1" ref="W1549" ca="1">IFERROR(INDEX(nombres[],SMALL(IF(OFFSET(nombres[],0,0,ROWS(nombres[]),1)=W$1490,ROW(OFFSET(nombres[],0,0,ROWS(nombres[]),1))-ROW(OFFSET(nombres[],0,0,1,1))+1,ROW(OFFSET(nombres[],ROWS(nombres[])-1,0,1,1))+1),$O1549:$O1568),3),"")</f>
        <v/>
      </c>
      <c r="X1549" s="42" t="str">
        <f t="array" aca="1" ref="X1549" ca="1">IFERROR(INDEX(nombres[],SMALL(IF(OFFSET(nombres[],0,0,ROWS(nombres[]),1)=X$1490,ROW(OFFSET(nombres[],0,0,ROWS(nombres[]),1))-ROW(OFFSET(nombres[],0,0,1,1))+1,ROW(OFFSET(nombres[],ROWS(nombres[])-1,0,1,1))+1),$O1549:$O1568),3),"")</f>
        <v/>
      </c>
      <c r="Y1549" s="42" t="str">
        <f t="array" aca="1" ref="Y1549" ca="1">IFERROR(INDEX(nombres[],SMALL(IF(OFFSET(nombres[],0,0,ROWS(nombres[]),1)=Y$1490,ROW(OFFSET(nombres[],0,0,ROWS(nombres[]),1))-ROW(OFFSET(nombres[],0,0,1,1))+1,ROW(OFFSET(nombres[],ROWS(nombres[])-1,0,1,1))+1),$O1549:$O1568),3),"")</f>
        <v/>
      </c>
      <c r="Z1549" s="42" t="str">
        <f t="array" aca="1" ref="Z1549" ca="1">IFERROR(INDEX(nombres[],SMALL(IF(OFFSET(nombres[],0,0,ROWS(nombres[]),1)=Z$1490,ROW(OFFSET(nombres[],0,0,ROWS(nombres[]),1))-ROW(OFFSET(nombres[],0,0,1,1))+1,ROW(OFFSET(nombres[],ROWS(nombres[])-1,0,1,1))+1),$O1549:$O1568),3),"")</f>
        <v/>
      </c>
      <c r="AA1549" s="42" t="str">
        <f t="array" aca="1" ref="AA1549" ca="1">IFERROR(INDEX(nombres[],SMALL(IF(OFFSET(nombres[],0,0,ROWS(nombres[]),1)=AA$1490,ROW(OFFSET(nombres[],0,0,ROWS(nombres[]),1))-ROW(OFFSET(nombres[],0,0,1,1))+1,ROW(OFFSET(nombres[],ROWS(nombres[])-1,0,1,1))+1),$O1549:$O1568),3),"")</f>
        <v/>
      </c>
      <c r="AB1549" s="42" t="str">
        <f t="array" aca="1" ref="AB1549" ca="1">IFERROR(INDEX(nombres[],SMALL(IF(OFFSET(nombres[],0,0,ROWS(nombres[]),1)=AB$1490,ROW(OFFSET(nombres[],0,0,ROWS(nombres[]),1))-ROW(OFFSET(nombres[],0,0,1,1))+1,ROW(OFFSET(nombres[],ROWS(nombres[])-1,0,1,1))+1),$O1549:$O1568),3),"")</f>
        <v/>
      </c>
      <c r="AC1549" s="42" t="str">
        <f t="array" aca="1" ref="AC1549" ca="1">IFERROR(INDEX(nombres[],SMALL(IF(OFFSET(nombres[],0,0,ROWS(nombres[]),1)=AC$1490,ROW(OFFSET(nombres[],0,0,ROWS(nombres[]),1))-ROW(OFFSET(nombres[],0,0,1,1))+1,ROW(OFFSET(nombres[],ROWS(nombres[])-1,0,1,1))+1),$O1549:$O1568),3),"")</f>
        <v/>
      </c>
      <c r="AD1549" s="42" t="str">
        <f t="array" aca="1" ref="AD1549" ca="1">IFERROR(INDEX(nombres[],SMALL(IF(OFFSET(nombres[],0,0,ROWS(nombres[]),1)=AD$1490,ROW(OFFSET(nombres[],0,0,ROWS(nombres[]),1))-ROW(OFFSET(nombres[],0,0,1,1))+1,ROW(OFFSET(nombres[],ROWS(nombres[])-1,0,1,1))+1),$O1549:$O1568),3),"")</f>
        <v/>
      </c>
      <c r="AE1549" s="42" t="str">
        <f t="array" aca="1" ref="AE1549" ca="1">IFERROR(INDEX(nombres[],SMALL(IF(OFFSET(nombres[],0,0,ROWS(nombres[]),1)=AE$1490,ROW(OFFSET(nombres[],0,0,ROWS(nombres[]),1))-ROW(OFFSET(nombres[],0,0,1,1))+1,ROW(OFFSET(nombres[],ROWS(nombres[])-1,0,1,1))+1),$O1549:$O1568),3),"")</f>
        <v/>
      </c>
      <c r="AF1549" s="42" t="str">
        <f t="array" aca="1" ref="AF1549" ca="1">IFERROR(INDEX(nombres[],SMALL(IF(OFFSET(nombres[],0,0,ROWS(nombres[]),1)=AF$1490,ROW(OFFSET(nombres[],0,0,ROWS(nombres[]),1))-ROW(OFFSET(nombres[],0,0,1,1))+1,ROW(OFFSET(nombres[],ROWS(nombres[])-1,0,1,1))+1),$O1549:$O1568),3),"")</f>
        <v/>
      </c>
      <c r="AG1549" s="42" t="str">
        <f t="array" aca="1" ref="AG1549" ca="1">IFERROR(INDEX(nombres[],SMALL(IF(OFFSET(nombres[],0,0,ROWS(nombres[]),1)=AG$1490,ROW(OFFSET(nombres[],0,0,ROWS(nombres[]),1))-ROW(OFFSET(nombres[],0,0,1,1))+1,ROW(OFFSET(nombres[],ROWS(nombres[])-1,0,1,1))+1),$O1549:$O1568),3),"")</f>
        <v/>
      </c>
      <c r="AH1549" s="42" t="str">
        <f t="array" aca="1" ref="AH1549" ca="1">IFERROR(INDEX(nombres[],SMALL(IF(OFFSET(nombres[],0,0,ROWS(nombres[]),1)=AH$1490,ROW(OFFSET(nombres[],0,0,ROWS(nombres[]),1))-ROW(OFFSET(nombres[],0,0,1,1))+1,ROW(OFFSET(nombres[],ROWS(nombres[])-1,0,1,1))+1),$O1549:$O1568),3),"")</f>
        <v/>
      </c>
      <c r="AI1549" s="42" t="str">
        <f t="array" aca="1" ref="AI1549" ca="1">IFERROR(INDEX(nombres[],SMALL(IF(OFFSET(nombres[],0,0,ROWS(nombres[]),1)=AI$1490,ROW(OFFSET(nombres[],0,0,ROWS(nombres[]),1))-ROW(OFFSET(nombres[],0,0,1,1))+1,ROW(OFFSET(nombres[],ROWS(nombres[])-1,0,1,1))+1),$O1549:$O1568),3),"")</f>
        <v/>
      </c>
      <c r="AJ1549" s="42" t="str">
        <f t="array" aca="1" ref="AJ1549" ca="1">IFERROR(INDEX(nombres[],SMALL(IF(OFFSET(nombres[],0,0,ROWS(nombres[]),1)=AJ$1490,ROW(OFFSET(nombres[],0,0,ROWS(nombres[]),1))-ROW(OFFSET(nombres[],0,0,1,1))+1,ROW(OFFSET(nombres[],ROWS(nombres[])-1,0,1,1))+1),$O1549:$O1568),3),"")</f>
        <v/>
      </c>
      <c r="AK1549" s="42" t="str">
        <f t="array" aca="1" ref="AK1549" ca="1">IFERROR(INDEX(nombres[],SMALL(IF(OFFSET(nombres[],0,0,ROWS(nombres[]),1)=AK$1490,ROW(OFFSET(nombres[],0,0,ROWS(nombres[]),1))-ROW(OFFSET(nombres[],0,0,1,1))+1,ROW(OFFSET(nombres[],ROWS(nombres[])-1,0,1,1))+1),$O1549:$O1568),3),"")</f>
        <v/>
      </c>
      <c r="AL1549" s="42" t="str">
        <f t="array" aca="1" ref="AL1549" ca="1">IFERROR(INDEX(nombres[],SMALL(IF(OFFSET(nombres[],0,0,ROWS(nombres[]),1)=AL$1490,ROW(OFFSET(nombres[],0,0,ROWS(nombres[]),1))-ROW(OFFSET(nombres[],0,0,1,1))+1,ROW(OFFSET(nombres[],ROWS(nombres[])-1,0,1,1))+1),$O1549:$O1568),3),"")</f>
        <v/>
      </c>
      <c r="AM1549" s="42" t="str">
        <f t="array" aca="1" ref="AM1549" ca="1">IFERROR(INDEX(nombres[],SMALL(IF(OFFSET(nombres[],0,0,ROWS(nombres[]),1)=AM$1490,ROW(OFFSET(nombres[],0,0,ROWS(nombres[]),1))-ROW(OFFSET(nombres[],0,0,1,1))+1,ROW(OFFSET(nombres[],ROWS(nombres[])-1,0,1,1))+1),$O1549:$O1568),3),"")</f>
        <v/>
      </c>
      <c r="AN1549" s="42" t="str">
        <f t="array" aca="1" ref="AN1549" ca="1">IFERROR(INDEX(nombres[],SMALL(IF(OFFSET(nombres[],0,0,ROWS(nombres[]),1)=AN$1490,ROW(OFFSET(nombres[],0,0,ROWS(nombres[]),1))-ROW(OFFSET(nombres[],0,0,1,1))+1,ROW(OFFSET(nombres[],ROWS(nombres[])-1,0,1,1))+1),$O1549:$O1568),3),"")</f>
        <v/>
      </c>
      <c r="AO1549" s="42" t="str">
        <f t="array" aca="1" ref="AO1549" ca="1">IFERROR(INDEX(nombres[],SMALL(IF(OFFSET(nombres[],0,0,ROWS(nombres[]),1)=AO$1490,ROW(OFFSET(nombres[],0,0,ROWS(nombres[]),1))-ROW(OFFSET(nombres[],0,0,1,1))+1,ROW(OFFSET(nombres[],ROWS(nombres[])-1,0,1,1))+1),$O1549:$O1568),3),"")</f>
        <v/>
      </c>
      <c r="AP1549" s="42" t="str">
        <f t="array" aca="1" ref="AP1549" ca="1">IFERROR(INDEX(nombres[],SMALL(IF(OFFSET(nombres[],0,0,ROWS(nombres[]),1)=AP$1490,ROW(OFFSET(nombres[],0,0,ROWS(nombres[]),1))-ROW(OFFSET(nombres[],0,0,1,1))+1,ROW(OFFSET(nombres[],ROWS(nombres[])-1,0,1,1))+1),$O1549:$O1568),3),"")</f>
        <v/>
      </c>
      <c r="AQ1549" s="42" t="str">
        <f t="array" aca="1" ref="AQ1549" ca="1">IFERROR(INDEX(nombres[],SMALL(IF(OFFSET(nombres[],0,0,ROWS(nombres[]),1)=AQ$1490,ROW(OFFSET(nombres[],0,0,ROWS(nombres[]),1))-ROW(OFFSET(nombres[],0,0,1,1))+1,ROW(OFFSET(nombres[],ROWS(nombres[])-1,0,1,1))+1),$O1549:$O1568),3),"")</f>
        <v/>
      </c>
      <c r="AR1549" s="42" t="str">
        <f t="array" aca="1" ref="AR1549" ca="1">IFERROR(INDEX(nombres[],SMALL(IF(OFFSET(nombres[],0,0,ROWS(nombres[]),1)=AR$1490,ROW(OFFSET(nombres[],0,0,ROWS(nombres[]),1))-ROW(OFFSET(nombres[],0,0,1,1))+1,ROW(OFFSET(nombres[],ROWS(nombres[])-1,0,1,1))+1),$O1549:$O1568),3),"")</f>
        <v/>
      </c>
      <c r="AS1549" s="42" t="str">
        <f t="array" aca="1" ref="AS1549" ca="1">IFERROR(INDEX(nombres[],SMALL(IF(OFFSET(nombres[],0,0,ROWS(nombres[]),1)=AS$1490,ROW(OFFSET(nombres[],0,0,ROWS(nombres[]),1))-ROW(OFFSET(nombres[],0,0,1,1))+1,ROW(OFFSET(nombres[],ROWS(nombres[])-1,0,1,1))+1),$O1549:$O1568),3),"")</f>
        <v/>
      </c>
      <c r="AT1549" s="42" t="str">
        <f t="array" aca="1" ref="AT1549" ca="1">IFERROR(INDEX(nombres[],SMALL(IF(OFFSET(nombres[],0,0,ROWS(nombres[]),1)=AT$1490,ROW(OFFSET(nombres[],0,0,ROWS(nombres[]),1))-ROW(OFFSET(nombres[],0,0,1,1))+1,ROW(OFFSET(nombres[],ROWS(nombres[])-1,0,1,1))+1),$O1549:$O1568),3),"")</f>
        <v/>
      </c>
      <c r="AU1549" s="42" t="str">
        <f t="array" aca="1" ref="AU1549" ca="1">IFERROR(INDEX(nombres[],SMALL(IF(OFFSET(nombres[],0,0,ROWS(nombres[]),1)=AU$1490,ROW(OFFSET(nombres[],0,0,ROWS(nombres[]),1))-ROW(OFFSET(nombres[],0,0,1,1))+1,ROW(OFFSET(nombres[],ROWS(nombres[])-1,0,1,1))+1),$O1549:$O1568),3),"")</f>
        <v/>
      </c>
      <c r="AV1549" s="42" t="str">
        <f t="array" aca="1" ref="AV1549" ca="1">IFERROR(INDEX(nombres[],SMALL(IF(OFFSET(nombres[],0,0,ROWS(nombres[]),1)=AV$1490,ROW(OFFSET(nombres[],0,0,ROWS(nombres[]),1))-ROW(OFFSET(nombres[],0,0,1,1))+1,ROW(OFFSET(nombres[],ROWS(nombres[])-1,0,1,1))+1),$O1549:$O1568),3),"")</f>
        <v/>
      </c>
      <c r="AW1549" s="42" t="str">
        <f t="array" aca="1" ref="AW1549" ca="1">IFERROR(INDEX(nombres[],SMALL(IF(OFFSET(nombres[],0,0,ROWS(nombres[]),1)=AW$1490,ROW(OFFSET(nombres[],0,0,ROWS(nombres[]),1))-ROW(OFFSET(nombres[],0,0,1,1))+1,ROW(OFFSET(nombres[],ROWS(nombres[])-1,0,1,1))+1),$O1549:$O1568),3),"")</f>
        <v/>
      </c>
      <c r="AX1549" s="42" t="str">
        <f t="array" aca="1" ref="AX1549" ca="1">IFERROR(INDEX(nombres[],SMALL(IF(OFFSET(nombres[],0,0,ROWS(nombres[]),1)=AX$1490,ROW(OFFSET(nombres[],0,0,ROWS(nombres[]),1))-ROW(OFFSET(nombres[],0,0,1,1))+1,ROW(OFFSET(nombres[],ROWS(nombres[])-1,0,1,1))+1),$O1549:$O1568),3),"")</f>
        <v/>
      </c>
      <c r="AY1549" s="42" t="str">
        <f t="array" aca="1" ref="AY1549" ca="1">IFERROR(INDEX(nombres[],SMALL(IF(OFFSET(nombres[],0,0,ROWS(nombres[]),1)=AY$1490,ROW(OFFSET(nombres[],0,0,ROWS(nombres[]),1))-ROW(OFFSET(nombres[],0,0,1,1))+1,ROW(OFFSET(nombres[],ROWS(nombres[])-1,0,1,1))+1),$O1549:$O1568),3),"")</f>
        <v/>
      </c>
      <c r="AZ1549" s="42" t="str">
        <f t="array" aca="1" ref="AZ1549" ca="1">IFERROR(INDEX(nombres[],SMALL(IF(OFFSET(nombres[],0,0,ROWS(nombres[]),1)=AZ$1490,ROW(OFFSET(nombres[],0,0,ROWS(nombres[]),1))-ROW(OFFSET(nombres[],0,0,1,1))+1,ROW(OFFSET(nombres[],ROWS(nombres[])-1,0,1,1))+1),$O1549:$O1568),3),"")</f>
        <v/>
      </c>
      <c r="BA1549" s="42" t="str">
        <f t="array" aca="1" ref="BA1549" ca="1">IFERROR(INDEX(nombres[],SMALL(IF(OFFSET(nombres[],0,0,ROWS(nombres[]),1)=BA$1490,ROW(OFFSET(nombres[],0,0,ROWS(nombres[]),1))-ROW(OFFSET(nombres[],0,0,1,1))+1,ROW(OFFSET(nombres[],ROWS(nombres[])-1,0,1,1))+1),$O1549:$O1568),3),"")</f>
        <v/>
      </c>
      <c r="BB1549" s="42" t="str">
        <f t="array" aca="1" ref="BB1549" ca="1">IFERROR(INDEX(nombres[],SMALL(IF(OFFSET(nombres[],0,0,ROWS(nombres[]),1)=BB$1490,ROW(OFFSET(nombres[],0,0,ROWS(nombres[]),1))-ROW(OFFSET(nombres[],0,0,1,1))+1,ROW(OFFSET(nombres[],ROWS(nombres[])-1,0,1,1))+1),$O1549:$O1568),3),"")</f>
        <v/>
      </c>
      <c r="BC1549" s="42" t="str">
        <f t="array" aca="1" ref="BC1549" ca="1">IFERROR(INDEX(nombres[],SMALL(IF(OFFSET(nombres[],0,0,ROWS(nombres[]),1)=BC$1490,ROW(OFFSET(nombres[],0,0,ROWS(nombres[]),1))-ROW(OFFSET(nombres[],0,0,1,1))+1,ROW(OFFSET(nombres[],ROWS(nombres[])-1,0,1,1))+1),$O1549:$O1568),3),"")</f>
        <v/>
      </c>
      <c r="BD1549" s="42" t="str">
        <f t="array" aca="1" ref="BD1549" ca="1">IFERROR(INDEX(nombres[],SMALL(IF(OFFSET(nombres[],0,0,ROWS(nombres[]),1)=BD$1490,ROW(OFFSET(nombres[],0,0,ROWS(nombres[]),1))-ROW(OFFSET(nombres[],0,0,1,1))+1,ROW(OFFSET(nombres[],ROWS(nombres[])-1,0,1,1))+1),$O1549:$O1568),3),"")</f>
        <v/>
      </c>
      <c r="BE1549" s="42" t="str">
        <f t="array" aca="1" ref="BE1549" ca="1">IFERROR(INDEX(nombres[],SMALL(IF(OFFSET(nombres[],0,0,ROWS(nombres[]),1)=BE$1490,ROW(OFFSET(nombres[],0,0,ROWS(nombres[]),1))-ROW(OFFSET(nombres[],0,0,1,1))+1,ROW(OFFSET(nombres[],ROWS(nombres[])-1,0,1,1))+1),$O1549:$O1568),3),"")</f>
        <v/>
      </c>
      <c r="BF1549" s="42" t="str">
        <f t="array" aca="1" ref="BF1549" ca="1">IFERROR(INDEX(nombres[],SMALL(IF(OFFSET(nombres[],0,0,ROWS(nombres[]),1)=BF$1490,ROW(OFFSET(nombres[],0,0,ROWS(nombres[]),1))-ROW(OFFSET(nombres[],0,0,1,1))+1,ROW(OFFSET(nombres[],ROWS(nombres[])-1,0,1,1))+1),$O1549:$O1568),3),"")</f>
        <v/>
      </c>
      <c r="BG1549" s="42" t="str">
        <f t="array" aca="1" ref="BG1549" ca="1">IFERROR(INDEX(nombres[],SMALL(IF(OFFSET(nombres[],0,0,ROWS(nombres[]),1)=BG$1490,ROW(OFFSET(nombres[],0,0,ROWS(nombres[]),1))-ROW(OFFSET(nombres[],0,0,1,1))+1,ROW(OFFSET(nombres[],ROWS(nombres[])-1,0,1,1))+1),$O1549:$O1568),3),"")</f>
        <v/>
      </c>
      <c r="BH1549" s="42" t="str">
        <f t="array" aca="1" ref="BH1549" ca="1">IFERROR(INDEX(nombres[],SMALL(IF(OFFSET(nombres[],0,0,ROWS(nombres[]),1)=BH$1490,ROW(OFFSET(nombres[],0,0,ROWS(nombres[]),1))-ROW(OFFSET(nombres[],0,0,1,1))+1,ROW(OFFSET(nombres[],ROWS(nombres[])-1,0,1,1))+1),$O1549:$O1568),3),"")</f>
        <v/>
      </c>
      <c r="BI1549" s="42" t="str">
        <f t="array" aca="1" ref="BI1549" ca="1">IFERROR(INDEX(nombres[],SMALL(IF(OFFSET(nombres[],0,0,ROWS(nombres[]),1)=BI$1490,ROW(OFFSET(nombres[],0,0,ROWS(nombres[]),1))-ROW(OFFSET(nombres[],0,0,1,1))+1,ROW(OFFSET(nombres[],ROWS(nombres[])-1,0,1,1))+1),$O1549:$O1568),3),"")</f>
        <v/>
      </c>
      <c r="BJ1549" s="42" t="str">
        <f t="array" aca="1" ref="BJ1549" ca="1">IFERROR(INDEX(nombres[],SMALL(IF(OFFSET(nombres[],0,0,ROWS(nombres[]),1)=BJ$1490,ROW(OFFSET(nombres[],0,0,ROWS(nombres[]),1))-ROW(OFFSET(nombres[],0,0,1,1))+1,ROW(OFFSET(nombres[],ROWS(nombres[])-1,0,1,1))+1),$O1549:$O1568),3),"")</f>
        <v/>
      </c>
      <c r="BK1549" s="42" t="str">
        <f t="array" aca="1" ref="BK1549" ca="1">IFERROR(INDEX(nombres[],SMALL(IF(OFFSET(nombres[],0,0,ROWS(nombres[]),1)=BK$1490,ROW(OFFSET(nombres[],0,0,ROWS(nombres[]),1))-ROW(OFFSET(nombres[],0,0,1,1))+1,ROW(OFFSET(nombres[],ROWS(nombres[])-1,0,1,1))+1),$O1549:$O1568),3),"")</f>
        <v/>
      </c>
      <c r="BL1549" s="42" t="str">
        <f t="array" aca="1" ref="BL1549" ca="1">IFERROR(INDEX(nombres[],SMALL(IF(OFFSET(nombres[],0,0,ROWS(nombres[]),1)=BL$1490,ROW(OFFSET(nombres[],0,0,ROWS(nombres[]),1))-ROW(OFFSET(nombres[],0,0,1,1))+1,ROW(OFFSET(nombres[],ROWS(nombres[])-1,0,1,1))+1),$O1549:$O1568),3),"")</f>
        <v/>
      </c>
      <c r="BM1549" s="42" t="str">
        <f t="array" aca="1" ref="BM1549" ca="1">IFERROR(INDEX(nombres[],SMALL(IF(OFFSET(nombres[],0,0,ROWS(nombres[]),1)=BM$1490,ROW(OFFSET(nombres[],0,0,ROWS(nombres[]),1))-ROW(OFFSET(nombres[],0,0,1,1))+1,ROW(OFFSET(nombres[],ROWS(nombres[])-1,0,1,1))+1),$O1549:$O1568),3),"")</f>
        <v/>
      </c>
      <c r="BN1549" s="42" t="str">
        <f t="array" aca="1" ref="BN1549" ca="1">IFERROR(INDEX(nombres[],SMALL(IF(OFFSET(nombres[],0,0,ROWS(nombres[]),1)=BN$1490,ROW(OFFSET(nombres[],0,0,ROWS(nombres[]),1))-ROW(OFFSET(nombres[],0,0,1,1))+1,ROW(OFFSET(nombres[],ROWS(nombres[])-1,0,1,1))+1),$O1549:$O1568),3),"")</f>
        <v/>
      </c>
      <c r="BO1549" s="42" t="str">
        <f t="array" aca="1" ref="BO1549" ca="1">IFERROR(INDEX(nombres[],SMALL(IF(OFFSET(nombres[],0,0,ROWS(nombres[]),1)=BO$1490,ROW(OFFSET(nombres[],0,0,ROWS(nombres[]),1))-ROW(OFFSET(nombres[],0,0,1,1))+1,ROW(OFFSET(nombres[],ROWS(nombres[])-1,0,1,1))+1),$O1549:$O1568),3),"")</f>
        <v/>
      </c>
      <c r="BP1549" s="42" t="str">
        <f t="array" aca="1" ref="BP1549" ca="1">IFERROR(INDEX(nombres[],SMALL(IF(OFFSET(nombres[],0,0,ROWS(nombres[]),1)=BP$1490,ROW(OFFSET(nombres[],0,0,ROWS(nombres[]),1))-ROW(OFFSET(nombres[],0,0,1,1))+1,ROW(OFFSET(nombres[],ROWS(nombres[])-1,0,1,1))+1),$O1549:$O1568),3),"")</f>
        <v/>
      </c>
      <c r="BQ1549" s="42" t="str">
        <f t="array" aca="1" ref="BQ1549" ca="1">IFERROR(INDEX(nombres[],SMALL(IF(OFFSET(nombres[],0,0,ROWS(nombres[]),1)=BQ$1490,ROW(OFFSET(nombres[],0,0,ROWS(nombres[]),1))-ROW(OFFSET(nombres[],0,0,1,1))+1,ROW(OFFSET(nombres[],ROWS(nombres[])-1,0,1,1))+1),$O1549:$O1568),3),"")</f>
        <v/>
      </c>
      <c r="BR1549" s="42" t="str">
        <f t="array" aca="1" ref="BR1549" ca="1">IFERROR(INDEX(nombres[],SMALL(IF(OFFSET(nombres[],0,0,ROWS(nombres[]),1)=BR$1490,ROW(OFFSET(nombres[],0,0,ROWS(nombres[]),1))-ROW(OFFSET(nombres[],0,0,1,1))+1,ROW(OFFSET(nombres[],ROWS(nombres[])-1,0,1,1))+1),$O1549:$O1568),3),"")</f>
        <v/>
      </c>
      <c r="BS1549" s="42" t="str">
        <f t="array" aca="1" ref="BS1549" ca="1">IFERROR(INDEX(nombres[],SMALL(IF(OFFSET(nombres[],0,0,ROWS(nombres[]),1)=BS$1490,ROW(OFFSET(nombres[],0,0,ROWS(nombres[]),1))-ROW(OFFSET(nombres[],0,0,1,1))+1,ROW(OFFSET(nombres[],ROWS(nombres[])-1,0,1,1))+1),$O1549:$O1568),3),"")</f>
        <v/>
      </c>
      <c r="BT1549" s="42" t="str">
        <f t="array" aca="1" ref="BT1549" ca="1">IFERROR(INDEX(nombres[],SMALL(IF(OFFSET(nombres[],0,0,ROWS(nombres[]),1)=BT$1490,ROW(OFFSET(nombres[],0,0,ROWS(nombres[]),1))-ROW(OFFSET(nombres[],0,0,1,1))+1,ROW(OFFSET(nombres[],ROWS(nombres[])-1,0,1,1))+1),$O1549:$O1568),3),"")</f>
        <v/>
      </c>
      <c r="BU1549" s="42" t="str">
        <f t="array" aca="1" ref="BU1549" ca="1">IFERROR(INDEX(nombres[],SMALL(IF(OFFSET(nombres[],0,0,ROWS(nombres[]),1)=BU$1490,ROW(OFFSET(nombres[],0,0,ROWS(nombres[]),1))-ROW(OFFSET(nombres[],0,0,1,1))+1,ROW(OFFSET(nombres[],ROWS(nombres[])-1,0,1,1))+1),$O1549:$O1568),3),"")</f>
        <v/>
      </c>
      <c r="BV1549" s="42" t="str">
        <f t="array" aca="1" ref="BV1549" ca="1">IFERROR(INDEX(nombres[],SMALL(IF(OFFSET(nombres[],0,0,ROWS(nombres[]),1)=BV$1490,ROW(OFFSET(nombres[],0,0,ROWS(nombres[]),1))-ROW(OFFSET(nombres[],0,0,1,1))+1,ROW(OFFSET(nombres[],ROWS(nombres[])-1,0,1,1))+1),$O1549:$O1568),3),"")</f>
        <v/>
      </c>
      <c r="BW1549" s="42" t="str">
        <f t="array" aca="1" ref="BW1549" ca="1">IFERROR(INDEX(nombres[],SMALL(IF(OFFSET(nombres[],0,0,ROWS(nombres[]),1)=BW$1490,ROW(OFFSET(nombres[],0,0,ROWS(nombres[]),1))-ROW(OFFSET(nombres[],0,0,1,1))+1,ROW(OFFSET(nombres[],ROWS(nombres[])-1,0,1,1))+1),$O1549:$O1568),3),"")</f>
        <v/>
      </c>
      <c r="BX1549" s="42" t="str">
        <f t="array" aca="1" ref="BX1549" ca="1">IFERROR(INDEX(nombres[],SMALL(IF(OFFSET(nombres[],0,0,ROWS(nombres[]),1)=BX$1490,ROW(OFFSET(nombres[],0,0,ROWS(nombres[]),1))-ROW(OFFSET(nombres[],0,0,1,1))+1,ROW(OFFSET(nombres[],ROWS(nombres[])-1,0,1,1))+1),$O1549:$O1568),3),"")</f>
        <v/>
      </c>
      <c r="BY1549" s="42" t="str">
        <f t="array" aca="1" ref="BY1549" ca="1">IFERROR(INDEX(nombres[],SMALL(IF(OFFSET(nombres[],0,0,ROWS(nombres[]),1)=BY$1490,ROW(OFFSET(nombres[],0,0,ROWS(nombres[]),1))-ROW(OFFSET(nombres[],0,0,1,1))+1,ROW(OFFSET(nombres[],ROWS(nombres[])-1,0,1,1))+1),$O1549:$O1568),3),"")</f>
        <v/>
      </c>
      <c r="BZ1549" s="42" t="str">
        <f t="array" aca="1" ref="BZ1549" ca="1">IFERROR(INDEX(nombres[],SMALL(IF(OFFSET(nombres[],0,0,ROWS(nombres[]),1)=BZ$1490,ROW(OFFSET(nombres[],0,0,ROWS(nombres[]),1))-ROW(OFFSET(nombres[],0,0,1,1))+1,ROW(OFFSET(nombres[],ROWS(nombres[])-1,0,1,1))+1),$O1549:$O1568),3),"")</f>
        <v/>
      </c>
      <c r="CA1549" s="42" t="str">
        <f t="array" aca="1" ref="CA1549" ca="1">IFERROR(INDEX(nombres[],SMALL(IF(OFFSET(nombres[],0,0,ROWS(nombres[]),1)=CA$1490,ROW(OFFSET(nombres[],0,0,ROWS(nombres[]),1))-ROW(OFFSET(nombres[],0,0,1,1))+1,ROW(OFFSET(nombres[],ROWS(nombres[])-1,0,1,1))+1),$O1549:$O1568),3),"")</f>
        <v/>
      </c>
      <c r="CB1549" s="42" t="str">
        <f t="array" aca="1" ref="CB1549" ca="1">IFERROR(INDEX(nombres[],SMALL(IF(OFFSET(nombres[],0,0,ROWS(nombres[]),1)=CB$1490,ROW(OFFSET(nombres[],0,0,ROWS(nombres[]),1))-ROW(OFFSET(nombres[],0,0,1,1))+1,ROW(OFFSET(nombres[],ROWS(nombres[])-1,0,1,1))+1),$O1549:$O1568),3),"")</f>
        <v/>
      </c>
      <c r="CC1549" s="42" t="str">
        <f t="array" aca="1" ref="CC1549" ca="1">IFERROR(INDEX(nombres[],SMALL(IF(OFFSET(nombres[],0,0,ROWS(nombres[]),1)=CC$1490,ROW(OFFSET(nombres[],0,0,ROWS(nombres[]),1))-ROW(OFFSET(nombres[],0,0,1,1))+1,ROW(OFFSET(nombres[],ROWS(nombres[])-1,0,1,1))+1),$O1549:$O1568),3),"")</f>
        <v/>
      </c>
      <c r="CD1549" s="42" t="str">
        <f t="array" aca="1" ref="CD1549" ca="1">IFERROR(INDEX(nombres[],SMALL(IF(OFFSET(nombres[],0,0,ROWS(nombres[]),1)=CD$1490,ROW(OFFSET(nombres[],0,0,ROWS(nombres[]),1))-ROW(OFFSET(nombres[],0,0,1,1))+1,ROW(OFFSET(nombres[],ROWS(nombres[])-1,0,1,1))+1),$O1549:$O1568),3),"")</f>
        <v/>
      </c>
      <c r="CE1549" s="42" t="str">
        <f t="array" aca="1" ref="CE1549" ca="1">IFERROR(INDEX(nombres[],SMALL(IF(OFFSET(nombres[],0,0,ROWS(nombres[]),1)=CE$1490,ROW(OFFSET(nombres[],0,0,ROWS(nombres[]),1))-ROW(OFFSET(nombres[],0,0,1,1))+1,ROW(OFFSET(nombres[],ROWS(nombres[])-1,0,1,1))+1),$O1549:$O1568),3),"")</f>
        <v/>
      </c>
      <c r="CF1549" s="42" t="str">
        <f t="array" aca="1" ref="CF1549" ca="1">IFERROR(INDEX(nombres[],SMALL(IF(OFFSET(nombres[],0,0,ROWS(nombres[]),1)=CF$1490,ROW(OFFSET(nombres[],0,0,ROWS(nombres[]),1))-ROW(OFFSET(nombres[],0,0,1,1))+1,ROW(OFFSET(nombres[],ROWS(nombres[])-1,0,1,1))+1),$O1549:$O1568),3),"")</f>
        <v/>
      </c>
      <c r="CG1549" s="42" t="str">
        <f t="array" aca="1" ref="CG1549" ca="1">IFERROR(INDEX(nombres[],SMALL(IF(OFFSET(nombres[],0,0,ROWS(nombres[]),1)=CG$1490,ROW(OFFSET(nombres[],0,0,ROWS(nombres[]),1))-ROW(OFFSET(nombres[],0,0,1,1))+1,ROW(OFFSET(nombres[],ROWS(nombres[])-1,0,1,1))+1),$O1549:$O1568),3),"")</f>
        <v/>
      </c>
      <c r="CH1549" s="42" t="str">
        <f t="array" aca="1" ref="CH1549" ca="1">IFERROR(INDEX(nombres[],SMALL(IF(OFFSET(nombres[],0,0,ROWS(nombres[]),1)=CH$1490,ROW(OFFSET(nombres[],0,0,ROWS(nombres[]),1))-ROW(OFFSET(nombres[],0,0,1,1))+1,ROW(OFFSET(nombres[],ROWS(nombres[])-1,0,1,1))+1),$O1549:$O1568),3),"")</f>
        <v/>
      </c>
      <c r="CI1549" s="42" t="str">
        <f t="array" aca="1" ref="CI1549" ca="1">IFERROR(INDEX(nombres[],SMALL(IF(OFFSET(nombres[],0,0,ROWS(nombres[]),1)=CI$1490,ROW(OFFSET(nombres[],0,0,ROWS(nombres[]),1))-ROW(OFFSET(nombres[],0,0,1,1))+1,ROW(OFFSET(nombres[],ROWS(nombres[])-1,0,1,1))+1),$O1549:$O1568),3),"")</f>
        <v/>
      </c>
      <c r="CJ1549" s="42" t="str">
        <f t="array" aca="1" ref="CJ1549" ca="1">IFERROR(INDEX(nombres[],SMALL(IF(OFFSET(nombres[],0,0,ROWS(nombres[]),1)=CJ$1490,ROW(OFFSET(nombres[],0,0,ROWS(nombres[]),1))-ROW(OFFSET(nombres[],0,0,1,1))+1,ROW(OFFSET(nombres[],ROWS(nombres[])-1,0,1,1))+1),$O1549:$O1568),3),"")</f>
        <v/>
      </c>
      <c r="CK1549" s="42" t="str">
        <f t="array" aca="1" ref="CK1549" ca="1">IFERROR(INDEX(nombres[],SMALL(IF(OFFSET(nombres[],0,0,ROWS(nombres[]),1)=CK$1490,ROW(OFFSET(nombres[],0,0,ROWS(nombres[]),1))-ROW(OFFSET(nombres[],0,0,1,1))+1,ROW(OFFSET(nombres[],ROWS(nombres[])-1,0,1,1))+1),$O1549:$O1568),3),"")</f>
        <v/>
      </c>
      <c r="CL1549" s="42" t="str">
        <f t="array" aca="1" ref="CL1549" ca="1">IFERROR(INDEX(nombres[],SMALL(IF(OFFSET(nombres[],0,0,ROWS(nombres[]),1)=CL$1490,ROW(OFFSET(nombres[],0,0,ROWS(nombres[]),1))-ROW(OFFSET(nombres[],0,0,1,1))+1,ROW(OFFSET(nombres[],ROWS(nombres[])-1,0,1,1))+1),$O1549:$O1568),3),"")</f>
        <v/>
      </c>
      <c r="CM1549" s="42" t="str">
        <f t="array" aca="1" ref="CM1549" ca="1">IFERROR(INDEX(nombres[],SMALL(IF(OFFSET(nombres[],0,0,ROWS(nombres[]),1)=CM$1490,ROW(OFFSET(nombres[],0,0,ROWS(nombres[]),1))-ROW(OFFSET(nombres[],0,0,1,1))+1,ROW(OFFSET(nombres[],ROWS(nombres[])-1,0,1,1))+1),$O1549:$O1568),3),"")</f>
        <v/>
      </c>
      <c r="CN1549" s="42" t="str">
        <f t="array" aca="1" ref="CN1549" ca="1">IFERROR(INDEX(nombres[],SMALL(IF(OFFSET(nombres[],0,0,ROWS(nombres[]),1)=CN$1490,ROW(OFFSET(nombres[],0,0,ROWS(nombres[]),1))-ROW(OFFSET(nombres[],0,0,1,1))+1,ROW(OFFSET(nombres[],ROWS(nombres[])-1,0,1,1))+1),$O1549:$O1568),3),"")</f>
        <v/>
      </c>
      <c r="CO1549" s="42" t="str">
        <f t="array" aca="1" ref="CO1549" ca="1">IFERROR(INDEX(nombres[],SMALL(IF(OFFSET(nombres[],0,0,ROWS(nombres[]),1)=CO$1490,ROW(OFFSET(nombres[],0,0,ROWS(nombres[]),1))-ROW(OFFSET(nombres[],0,0,1,1))+1,ROW(OFFSET(nombres[],ROWS(nombres[])-1,0,1,1))+1),$O1549:$O1568),3),"")</f>
        <v/>
      </c>
      <c r="CP1549" s="42" t="str">
        <f t="array" aca="1" ref="CP1549" ca="1">IFERROR(INDEX(nombres[],SMALL(IF(OFFSET(nombres[],0,0,ROWS(nombres[]),1)=CP$1490,ROW(OFFSET(nombres[],0,0,ROWS(nombres[]),1))-ROW(OFFSET(nombres[],0,0,1,1))+1,ROW(OFFSET(nombres[],ROWS(nombres[])-1,0,1,1))+1),$O1549:$O1568),3),"")</f>
        <v/>
      </c>
      <c r="CQ1549" s="42" t="str">
        <f t="array" aca="1" ref="CQ1549" ca="1">IFERROR(INDEX(nombres[],SMALL(IF(OFFSET(nombres[],0,0,ROWS(nombres[]),1)=CQ$1490,ROW(OFFSET(nombres[],0,0,ROWS(nombres[]),1))-ROW(OFFSET(nombres[],0,0,1,1))+1,ROW(OFFSET(nombres[],ROWS(nombres[])-1,0,1,1))+1),$O1549:$O1568),3),"")</f>
        <v/>
      </c>
      <c r="CR1549" s="42" t="str">
        <f t="array" aca="1" ref="CR1549" ca="1">IFERROR(INDEX(nombres[],SMALL(IF(OFFSET(nombres[],0,0,ROWS(nombres[]),1)=CR$1490,ROW(OFFSET(nombres[],0,0,ROWS(nombres[]),1))-ROW(OFFSET(nombres[],0,0,1,1))+1,ROW(OFFSET(nombres[],ROWS(nombres[])-1,0,1,1))+1),$O1549:$O1568),3),"")</f>
        <v/>
      </c>
      <c r="CS1549" s="42" t="str">
        <f t="array" aca="1" ref="CS1549" ca="1">IFERROR(INDEX(nombres[],SMALL(IF(OFFSET(nombres[],0,0,ROWS(nombres[]),1)=CS$1490,ROW(OFFSET(nombres[],0,0,ROWS(nombres[]),1))-ROW(OFFSET(nombres[],0,0,1,1))+1,ROW(OFFSET(nombres[],ROWS(nombres[])-1,0,1,1))+1),$O1549:$O1568),3),"")</f>
        <v/>
      </c>
      <c r="CT1549" s="42" t="str">
        <f t="array" aca="1" ref="CT1549" ca="1">IFERROR(INDEX(nombres[],SMALL(IF(OFFSET(nombres[],0,0,ROWS(nombres[]),1)=CT$1490,ROW(OFFSET(nombres[],0,0,ROWS(nombres[]),1))-ROW(OFFSET(nombres[],0,0,1,1))+1,ROW(OFFSET(nombres[],ROWS(nombres[])-1,0,1,1))+1),$O1549:$O1568),3),"")</f>
        <v/>
      </c>
      <c r="CU1549" s="42" t="str">
        <f t="array" aca="1" ref="CU1549" ca="1">IFERROR(INDEX(nombres[],SMALL(IF(OFFSET(nombres[],0,0,ROWS(nombres[]),1)=CU$1490,ROW(OFFSET(nombres[],0,0,ROWS(nombres[]),1))-ROW(OFFSET(nombres[],0,0,1,1))+1,ROW(OFFSET(nombres[],ROWS(nombres[])-1,0,1,1))+1),$O1549:$O1568),3),"")</f>
        <v/>
      </c>
      <c r="CV1549" s="42" t="str">
        <f t="array" aca="1" ref="CV1549" ca="1">IFERROR(INDEX(nombres[],SMALL(IF(OFFSET(nombres[],0,0,ROWS(nombres[]),1)=CV$1490,ROW(OFFSET(nombres[],0,0,ROWS(nombres[]),1))-ROW(OFFSET(nombres[],0,0,1,1))+1,ROW(OFFSET(nombres[],ROWS(nombres[])-1,0,1,1))+1),$O1549:$O1568),3),"")</f>
        <v/>
      </c>
      <c r="CW1549" s="42" t="str">
        <f t="array" aca="1" ref="CW1549" ca="1">IFERROR(INDEX(nombres[],SMALL(IF(OFFSET(nombres[],0,0,ROWS(nombres[]),1)=CW$1490,ROW(OFFSET(nombres[],0,0,ROWS(nombres[]),1))-ROW(OFFSET(nombres[],0,0,1,1))+1,ROW(OFFSET(nombres[],ROWS(nombres[])-1,0,1,1))+1),$O1549:$O1568),3),"")</f>
        <v/>
      </c>
      <c r="CX1549" s="42" t="str">
        <f t="array" aca="1" ref="CX1549" ca="1">IFERROR(INDEX(nombres[],SMALL(IF(OFFSET(nombres[],0,0,ROWS(nombres[]),1)=CX$1490,ROW(OFFSET(nombres[],0,0,ROWS(nombres[]),1))-ROW(OFFSET(nombres[],0,0,1,1))+1,ROW(OFFSET(nombres[],ROWS(nombres[])-1,0,1,1))+1),$O1549:$O1568),3),"")</f>
        <v/>
      </c>
      <c r="CY1549" s="42" t="str">
        <f t="array" aca="1" ref="CY1549" ca="1">IFERROR(INDEX(nombres[],SMALL(IF(OFFSET(nombres[],0,0,ROWS(nombres[]),1)=CY$1490,ROW(OFFSET(nombres[],0,0,ROWS(nombres[]),1))-ROW(OFFSET(nombres[],0,0,1,1))+1,ROW(OFFSET(nombres[],ROWS(nombres[])-1,0,1,1))+1),$O1549:$O1568),3),"")</f>
        <v/>
      </c>
      <c r="CZ1549" s="42" t="str">
        <f t="array" aca="1" ref="CZ1549" ca="1">IFERROR(INDEX(nombres[],SMALL(IF(OFFSET(nombres[],0,0,ROWS(nombres[]),1)=CZ$1490,ROW(OFFSET(nombres[],0,0,ROWS(nombres[]),1))-ROW(OFFSET(nombres[],0,0,1,1))+1,ROW(OFFSET(nombres[],ROWS(nombres[])-1,0,1,1))+1),$O1549:$O1568),3),"")</f>
        <v/>
      </c>
      <c r="DA1549" s="42" t="str">
        <f t="array" aca="1" ref="DA1549" ca="1">IFERROR(INDEX(nombres[],SMALL(IF(OFFSET(nombres[],0,0,ROWS(nombres[]),1)=DA$1490,ROW(OFFSET(nombres[],0,0,ROWS(nombres[]),1))-ROW(OFFSET(nombres[],0,0,1,1))+1,ROW(OFFSET(nombres[],ROWS(nombres[])-1,0,1,1))+1),$O1549:$O1568),3),"")</f>
        <v/>
      </c>
      <c r="DB1549" s="42" t="str">
        <f t="array" aca="1" ref="DB1549" ca="1">IFERROR(INDEX(nombres[],SMALL(IF(OFFSET(nombres[],0,0,ROWS(nombres[]),1)=DB$1490,ROW(OFFSET(nombres[],0,0,ROWS(nombres[]),1))-ROW(OFFSET(nombres[],0,0,1,1))+1,ROW(OFFSET(nombres[],ROWS(nombres[])-1,0,1,1))+1),$O1549:$O1568),3),"")</f>
        <v/>
      </c>
      <c r="DC1549" s="42" t="str">
        <f t="array" aca="1" ref="DC1549" ca="1">IFERROR(INDEX(nombres[],SMALL(IF(OFFSET(nombres[],0,0,ROWS(nombres[]),1)=DC$1490,ROW(OFFSET(nombres[],0,0,ROWS(nombres[]),1))-ROW(OFFSET(nombres[],0,0,1,1))+1,ROW(OFFSET(nombres[],ROWS(nombres[])-1,0,1,1))+1),$O1549:$O1568),3),"")</f>
        <v/>
      </c>
      <c r="DD1549" s="42" t="str">
        <f t="array" aca="1" ref="DD1549" ca="1">IFERROR(INDEX(nombres[],SMALL(IF(OFFSET(nombres[],0,0,ROWS(nombres[]),1)=DD$1490,ROW(OFFSET(nombres[],0,0,ROWS(nombres[]),1))-ROW(OFFSET(nombres[],0,0,1,1))+1,ROW(OFFSET(nombres[],ROWS(nombres[])-1,0,1,1))+1),$O1549:$O1568),3),"")</f>
        <v/>
      </c>
      <c r="DE1549" s="42" t="str">
        <f t="array" aca="1" ref="DE1549" ca="1">IFERROR(INDEX(nombres[],SMALL(IF(OFFSET(nombres[],0,0,ROWS(nombres[]),1)=DE$1490,ROW(OFFSET(nombres[],0,0,ROWS(nombres[]),1))-ROW(OFFSET(nombres[],0,0,1,1))+1,ROW(OFFSET(nombres[],ROWS(nombres[])-1,0,1,1))+1),$O1549:$O1568),3),"")</f>
        <v/>
      </c>
      <c r="DF1549" s="42" t="str">
        <f t="array" aca="1" ref="DF1549" ca="1">IFERROR(INDEX(nombres[],SMALL(IF(OFFSET(nombres[],0,0,ROWS(nombres[]),1)=DF$1490,ROW(OFFSET(nombres[],0,0,ROWS(nombres[]),1))-ROW(OFFSET(nombres[],0,0,1,1))+1,ROW(OFFSET(nombres[],ROWS(nombres[])-1,0,1,1))+1),$O1549:$O1568),3),"")</f>
        <v/>
      </c>
      <c r="DG1549" s="42" t="str">
        <f t="array" aca="1" ref="DG1549" ca="1">IFERROR(INDEX(nombres[],SMALL(IF(OFFSET(nombres[],0,0,ROWS(nombres[]),1)=DG$1490,ROW(OFFSET(nombres[],0,0,ROWS(nombres[]),1))-ROW(OFFSET(nombres[],0,0,1,1))+1,ROW(OFFSET(nombres[],ROWS(nombres[])-1,0,1,1))+1),$O1549:$O1568),3),"")</f>
        <v/>
      </c>
      <c r="DH1549" s="42" t="str">
        <f t="array" aca="1" ref="DH1549" ca="1">IFERROR(INDEX(nombres[],SMALL(IF(OFFSET(nombres[],0,0,ROWS(nombres[]),1)=DH$1490,ROW(OFFSET(nombres[],0,0,ROWS(nombres[]),1))-ROW(OFFSET(nombres[],0,0,1,1))+1,ROW(OFFSET(nombres[],ROWS(nombres[])-1,0,1,1))+1),$O1549:$O1568),3),"")</f>
        <v/>
      </c>
      <c r="DI1549" s="42" t="str">
        <f t="array" aca="1" ref="DI1549" ca="1">IFERROR(INDEX(nombres[],SMALL(IF(OFFSET(nombres[],0,0,ROWS(nombres[]),1)=DI$1490,ROW(OFFSET(nombres[],0,0,ROWS(nombres[]),1))-ROW(OFFSET(nombres[],0,0,1,1))+1,ROW(OFFSET(nombres[],ROWS(nombres[])-1,0,1,1))+1),$O1549:$O1568),3),"")</f>
        <v/>
      </c>
      <c r="DJ1549" s="42" t="str">
        <f t="array" aca="1" ref="DJ1549" ca="1">IFERROR(INDEX(nombres[],SMALL(IF(OFFSET(nombres[],0,0,ROWS(nombres[]),1)=DJ$1490,ROW(OFFSET(nombres[],0,0,ROWS(nombres[]),1))-ROW(OFFSET(nombres[],0,0,1,1))+1,ROW(OFFSET(nombres[],ROWS(nombres[])-1,0,1,1))+1),$O1549:$O1568),3),"")</f>
        <v/>
      </c>
      <c r="DK1549" s="42" t="str">
        <f t="array" aca="1" ref="DK1549" ca="1">IFERROR(INDEX(nombres[],SMALL(IF(OFFSET(nombres[],0,0,ROWS(nombres[]),1)=DK$1490,ROW(OFFSET(nombres[],0,0,ROWS(nombres[]),1))-ROW(OFFSET(nombres[],0,0,1,1))+1,ROW(OFFSET(nombres[],ROWS(nombres[])-1,0,1,1))+1),$O1549:$O1568),3),"")</f>
        <v/>
      </c>
      <c r="DL1549" s="42" t="str">
        <f t="array" aca="1" ref="DL1549" ca="1">IFERROR(INDEX(nombres[],SMALL(IF(OFFSET(nombres[],0,0,ROWS(nombres[]),1)=DL$1490,ROW(OFFSET(nombres[],0,0,ROWS(nombres[]),1))-ROW(OFFSET(nombres[],0,0,1,1))+1,ROW(OFFSET(nombres[],ROWS(nombres[])-1,0,1,1))+1),$O1549:$O1568),3),"")</f>
        <v/>
      </c>
      <c r="DM1549" s="42" t="str">
        <f t="array" aca="1" ref="DM1549" ca="1">IFERROR(INDEX(nombres[],SMALL(IF(OFFSET(nombres[],0,0,ROWS(nombres[]),1)=DM$1490,ROW(OFFSET(nombres[],0,0,ROWS(nombres[]),1))-ROW(OFFSET(nombres[],0,0,1,1))+1,ROW(OFFSET(nombres[],ROWS(nombres[])-1,0,1,1))+1),$O1549:$O1568),3),"")</f>
        <v/>
      </c>
      <c r="DN1549" s="42" t="str">
        <f t="array" aca="1" ref="DN1549" ca="1">IFERROR(INDEX(nombres[],SMALL(IF(OFFSET(nombres[],0,0,ROWS(nombres[]),1)=DN$1490,ROW(OFFSET(nombres[],0,0,ROWS(nombres[]),1))-ROW(OFFSET(nombres[],0,0,1,1))+1,ROW(OFFSET(nombres[],ROWS(nombres[])-1,0,1,1))+1),$O1549:$O1568),3),"")</f>
        <v/>
      </c>
      <c r="DO1549" s="42" t="str">
        <f t="array" aca="1" ref="DO1549" ca="1">IFERROR(INDEX(nombres[],SMALL(IF(OFFSET(nombres[],0,0,ROWS(nombres[]),1)=DO$1490,ROW(OFFSET(nombres[],0,0,ROWS(nombres[]),1))-ROW(OFFSET(nombres[],0,0,1,1))+1,ROW(OFFSET(nombres[],ROWS(nombres[])-1,0,1,1))+1),$O1549:$O1568),3),"")</f>
        <v/>
      </c>
      <c r="DP1549" s="42" t="str">
        <f t="array" aca="1" ref="DP1549" ca="1">IFERROR(INDEX(nombres[],SMALL(IF(OFFSET(nombres[],0,0,ROWS(nombres[]),1)=DP$1490,ROW(OFFSET(nombres[],0,0,ROWS(nombres[]),1))-ROW(OFFSET(nombres[],0,0,1,1))+1,ROW(OFFSET(nombres[],ROWS(nombres[])-1,0,1,1))+1),$O1549:$O1568),3),"")</f>
        <v/>
      </c>
      <c r="DQ1549" s="42" t="str">
        <f t="array" aca="1" ref="DQ1549" ca="1">IFERROR(INDEX(nombres[],SMALL(IF(OFFSET(nombres[],0,0,ROWS(nombres[]),1)=DQ$1490,ROW(OFFSET(nombres[],0,0,ROWS(nombres[]),1))-ROW(OFFSET(nombres[],0,0,1,1))+1,ROW(OFFSET(nombres[],ROWS(nombres[])-1,0,1,1))+1),$O1549:$O1568),3),"")</f>
        <v/>
      </c>
      <c r="DR1549" s="42" t="str">
        <f t="array" aca="1" ref="DR1549" ca="1">IFERROR(INDEX(nombres[],SMALL(IF(OFFSET(nombres[],0,0,ROWS(nombres[]),1)=DR$1490,ROW(OFFSET(nombres[],0,0,ROWS(nombres[]),1))-ROW(OFFSET(nombres[],0,0,1,1))+1,ROW(OFFSET(nombres[],ROWS(nombres[])-1,0,1,1))+1),$O1549:$O1568),3),"")</f>
        <v/>
      </c>
      <c r="DS1549" s="42" t="str">
        <f t="array" aca="1" ref="DS1549" ca="1">IFERROR(INDEX(nombres[],SMALL(IF(OFFSET(nombres[],0,0,ROWS(nombres[]),1)=DS$1490,ROW(OFFSET(nombres[],0,0,ROWS(nombres[]),1))-ROW(OFFSET(nombres[],0,0,1,1))+1,ROW(OFFSET(nombres[],ROWS(nombres[])-1,0,1,1))+1),$O1549:$O1568),3),"")</f>
        <v/>
      </c>
      <c r="DT1549" s="42" t="str">
        <f t="array" aca="1" ref="DT1549" ca="1">IFERROR(INDEX(nombres[],SMALL(IF(OFFSET(nombres[],0,0,ROWS(nombres[]),1)=DT$1490,ROW(OFFSET(nombres[],0,0,ROWS(nombres[]),1))-ROW(OFFSET(nombres[],0,0,1,1))+1,ROW(OFFSET(nombres[],ROWS(nombres[])-1,0,1,1))+1),$O1549:$O1568),3),"")</f>
        <v/>
      </c>
      <c r="DU1549" s="42" t="str">
        <f t="array" aca="1" ref="DU1549" ca="1">IFERROR(INDEX(nombres[],SMALL(IF(OFFSET(nombres[],0,0,ROWS(nombres[]),1)=DU$1490,ROW(OFFSET(nombres[],0,0,ROWS(nombres[]),1))-ROW(OFFSET(nombres[],0,0,1,1))+1,ROW(OFFSET(nombres[],ROWS(nombres[])-1,0,1,1))+1),$O1549:$O1568),3),"")</f>
        <v/>
      </c>
      <c r="DV1549" s="42" t="str">
        <f t="array" aca="1" ref="DV1549" ca="1">IFERROR(INDEX(nombres[],SMALL(IF(OFFSET(nombres[],0,0,ROWS(nombres[]),1)=DV$1490,ROW(OFFSET(nombres[],0,0,ROWS(nombres[]),1))-ROW(OFFSET(nombres[],0,0,1,1))+1,ROW(OFFSET(nombres[],ROWS(nombres[])-1,0,1,1))+1),$O1549:$O1568),3),"")</f>
        <v/>
      </c>
      <c r="DW1549" s="42" t="str">
        <f t="array" aca="1" ref="DW1549" ca="1">IFERROR(INDEX(nombres[],SMALL(IF(OFFSET(nombres[],0,0,ROWS(nombres[]),1)=DW$1490,ROW(OFFSET(nombres[],0,0,ROWS(nombres[]),1))-ROW(OFFSET(nombres[],0,0,1,1))+1,ROW(OFFSET(nombres[],ROWS(nombres[])-1,0,1,1))+1),$O1549:$O1568),3),"")</f>
        <v/>
      </c>
      <c r="DX1549" s="42" t="str">
        <f t="array" aca="1" ref="DX1549" ca="1">IFERROR(INDEX(nombres[],SMALL(IF(OFFSET(nombres[],0,0,ROWS(nombres[]),1)=DX$1490,ROW(OFFSET(nombres[],0,0,ROWS(nombres[]),1))-ROW(OFFSET(nombres[],0,0,1,1))+1,ROW(OFFSET(nombres[],ROWS(nombres[])-1,0,1,1))+1),$O1549:$O1568),3),"")</f>
        <v/>
      </c>
      <c r="DY1549" s="42" t="str">
        <f t="array" aca="1" ref="DY1549" ca="1">IFERROR(INDEX(nombres[],SMALL(IF(OFFSET(nombres[],0,0,ROWS(nombres[]),1)=DY$1490,ROW(OFFSET(nombres[],0,0,ROWS(nombres[]),1))-ROW(OFFSET(nombres[],0,0,1,1))+1,ROW(OFFSET(nombres[],ROWS(nombres[])-1,0,1,1))+1),$O1549:$O1568),3),"")</f>
        <v/>
      </c>
      <c r="DZ1549" s="42" t="str">
        <f t="array" aca="1" ref="DZ1549" ca="1">IFERROR(INDEX(nombres[],SMALL(IF(OFFSET(nombres[],0,0,ROWS(nombres[]),1)=DZ$1490,ROW(OFFSET(nombres[],0,0,ROWS(nombres[]),1))-ROW(OFFSET(nombres[],0,0,1,1))+1,ROW(OFFSET(nombres[],ROWS(nombres[])-1,0,1,1))+1),$O1549:$O1568),3),"")</f>
        <v/>
      </c>
      <c r="EA1549" s="42" t="str">
        <f t="array" aca="1" ref="EA1549" ca="1">IFERROR(INDEX(nombres[],SMALL(IF(OFFSET(nombres[],0,0,ROWS(nombres[]),1)=EA$1490,ROW(OFFSET(nombres[],0,0,ROWS(nombres[]),1))-ROW(OFFSET(nombres[],0,0,1,1))+1,ROW(OFFSET(nombres[],ROWS(nombres[])-1,0,1,1))+1),$O1549:$O1568),3),"")</f>
        <v/>
      </c>
      <c r="EB1549" s="42" t="str">
        <f t="array" aca="1" ref="EB1549" ca="1">IFERROR(INDEX(nombres[],SMALL(IF(OFFSET(nombres[],0,0,ROWS(nombres[]),1)=EB$1490,ROW(OFFSET(nombres[],0,0,ROWS(nombres[]),1))-ROW(OFFSET(nombres[],0,0,1,1))+1,ROW(OFFSET(nombres[],ROWS(nombres[])-1,0,1,1))+1),$O1549:$O1568),3),"")</f>
        <v/>
      </c>
      <c r="EC1549" s="42" t="str">
        <f t="array" aca="1" ref="EC1549" ca="1">IFERROR(INDEX(nombres[],SMALL(IF(OFFSET(nombres[],0,0,ROWS(nombres[]),1)=EC$1490,ROW(OFFSET(nombres[],0,0,ROWS(nombres[]),1))-ROW(OFFSET(nombres[],0,0,1,1))+1,ROW(OFFSET(nombres[],ROWS(nombres[])-1,0,1,1))+1),$O1549:$O1568),3),"")</f>
        <v/>
      </c>
      <c r="ED1549" s="42" t="str">
        <f t="array" aca="1" ref="ED1549" ca="1">IFERROR(INDEX(nombres[],SMALL(IF(OFFSET(nombres[],0,0,ROWS(nombres[]),1)=ED$1490,ROW(OFFSET(nombres[],0,0,ROWS(nombres[]),1))-ROW(OFFSET(nombres[],0,0,1,1))+1,ROW(OFFSET(nombres[],ROWS(nombres[])-1,0,1,1))+1),$O1549:$O1568),3),"")</f>
        <v/>
      </c>
      <c r="EE1549" s="42" t="str">
        <f t="array" aca="1" ref="EE1549" ca="1">IFERROR(INDEX(nombres[],SMALL(IF(OFFSET(nombres[],0,0,ROWS(nombres[]),1)=EE$1490,ROW(OFFSET(nombres[],0,0,ROWS(nombres[]),1))-ROW(OFFSET(nombres[],0,0,1,1))+1,ROW(OFFSET(nombres[],ROWS(nombres[])-1,0,1,1))+1),$O1549:$O1568),3),"")</f>
        <v/>
      </c>
      <c r="EF1549" s="42" t="str">
        <f t="array" aca="1" ref="EF1549" ca="1">IFERROR(INDEX(nombres[],SMALL(IF(OFFSET(nombres[],0,0,ROWS(nombres[]),1)=EF$1490,ROW(OFFSET(nombres[],0,0,ROWS(nombres[]),1))-ROW(OFFSET(nombres[],0,0,1,1))+1,ROW(OFFSET(nombres[],ROWS(nombres[])-1,0,1,1))+1),$O1549:$O1568),3),"")</f>
        <v/>
      </c>
      <c r="EG1549" s="42" t="str">
        <f t="array" aca="1" ref="EG1549" ca="1">IFERROR(INDEX(nombres[],SMALL(IF(OFFSET(nombres[],0,0,ROWS(nombres[]),1)=EG$1490,ROW(OFFSET(nombres[],0,0,ROWS(nombres[]),1))-ROW(OFFSET(nombres[],0,0,1,1))+1,ROW(OFFSET(nombres[],ROWS(nombres[])-1,0,1,1))+1),$O1549:$O1568),3),"")</f>
        <v/>
      </c>
      <c r="EH1549" s="42" t="str">
        <f t="array" aca="1" ref="EH1549" ca="1">IFERROR(INDEX(nombres[],SMALL(IF(OFFSET(nombres[],0,0,ROWS(nombres[]),1)=EH$1490,ROW(OFFSET(nombres[],0,0,ROWS(nombres[]),1))-ROW(OFFSET(nombres[],0,0,1,1))+1,ROW(OFFSET(nombres[],ROWS(nombres[])-1,0,1,1))+1),$O1549:$O1568),3),"")</f>
        <v/>
      </c>
      <c r="EI1549" s="42" t="str">
        <f t="array" aca="1" ref="EI1549" ca="1">IFERROR(INDEX(nombres[],SMALL(IF(OFFSET(nombres[],0,0,ROWS(nombres[]),1)=EI$1490,ROW(OFFSET(nombres[],0,0,ROWS(nombres[]),1))-ROW(OFFSET(nombres[],0,0,1,1))+1,ROW(OFFSET(nombres[],ROWS(nombres[])-1,0,1,1))+1),$O1549:$O1568),3),"")</f>
        <v/>
      </c>
      <c r="EJ1549" s="42" t="str">
        <f t="array" aca="1" ref="EJ1549" ca="1">IFERROR(INDEX(nombres[],SMALL(IF(OFFSET(nombres[],0,0,ROWS(nombres[]),1)=EJ$1490,ROW(OFFSET(nombres[],0,0,ROWS(nombres[]),1))-ROW(OFFSET(nombres[],0,0,1,1))+1,ROW(OFFSET(nombres[],ROWS(nombres[])-1,0,1,1))+1),$O1549:$O1568),3),"")</f>
        <v/>
      </c>
      <c r="EK1549" s="42" t="str">
        <f t="array" aca="1" ref="EK1549" ca="1">IFERROR(INDEX(nombres[],SMALL(IF(OFFSET(nombres[],0,0,ROWS(nombres[]),1)=EK$1490,ROW(OFFSET(nombres[],0,0,ROWS(nombres[]),1))-ROW(OFFSET(nombres[],0,0,1,1))+1,ROW(OFFSET(nombres[],ROWS(nombres[])-1,0,1,1))+1),$O1549:$O1568),3),"")</f>
        <v/>
      </c>
      <c r="EL1549" s="42" t="str">
        <f t="array" aca="1" ref="EL1549" ca="1">IFERROR(INDEX(nombres[],SMALL(IF(OFFSET(nombres[],0,0,ROWS(nombres[]),1)=EL$1490,ROW(OFFSET(nombres[],0,0,ROWS(nombres[]),1))-ROW(OFFSET(nombres[],0,0,1,1))+1,ROW(OFFSET(nombres[],ROWS(nombres[])-1,0,1,1))+1),$O1549:$O1568),3),"")</f>
        <v/>
      </c>
      <c r="EM1549" s="42" t="str">
        <f t="array" aca="1" ref="EM1549" ca="1">IFERROR(INDEX(nombres[],SMALL(IF(OFFSET(nombres[],0,0,ROWS(nombres[]),1)=EM$1490,ROW(OFFSET(nombres[],0,0,ROWS(nombres[]),1))-ROW(OFFSET(nombres[],0,0,1,1))+1,ROW(OFFSET(nombres[],ROWS(nombres[])-1,0,1,1))+1),$O1549:$O1568),3),"")</f>
        <v/>
      </c>
      <c r="EN1549" s="42" t="str">
        <f t="array" aca="1" ref="EN1549" ca="1">IFERROR(INDEX(nombres[],SMALL(IF(OFFSET(nombres[],0,0,ROWS(nombres[]),1)=EN$1490,ROW(OFFSET(nombres[],0,0,ROWS(nombres[]),1))-ROW(OFFSET(nombres[],0,0,1,1))+1,ROW(OFFSET(nombres[],ROWS(nombres[])-1,0,1,1))+1),$O1549:$O1568),3),"")</f>
        <v/>
      </c>
      <c r="EO1549" s="42" t="str">
        <f t="array" aca="1" ref="EO1549" ca="1">IFERROR(INDEX(nombres[],SMALL(IF(OFFSET(nombres[],0,0,ROWS(nombres[]),1)=EO$1490,ROW(OFFSET(nombres[],0,0,ROWS(nombres[]),1))-ROW(OFFSET(nombres[],0,0,1,1))+1,ROW(OFFSET(nombres[],ROWS(nombres[])-1,0,1,1))+1),$O1549:$O1568),3),"")</f>
        <v/>
      </c>
      <c r="EP1549" s="42" t="str">
        <f t="array" aca="1" ref="EP1549" ca="1">IFERROR(INDEX(nombres[],SMALL(IF(OFFSET(nombres[],0,0,ROWS(nombres[]),1)=EP$1490,ROW(OFFSET(nombres[],0,0,ROWS(nombres[]),1))-ROW(OFFSET(nombres[],0,0,1,1))+1,ROW(OFFSET(nombres[],ROWS(nombres[])-1,0,1,1))+1),$O1549:$O1568),3),"")</f>
        <v/>
      </c>
      <c r="EQ1549" s="42" t="str">
        <f t="array" aca="1" ref="EQ1549" ca="1">IFERROR(INDEX(nombres[],SMALL(IF(OFFSET(nombres[],0,0,ROWS(nombres[]),1)=EQ$1490,ROW(OFFSET(nombres[],0,0,ROWS(nombres[]),1))-ROW(OFFSET(nombres[],0,0,1,1))+1,ROW(OFFSET(nombres[],ROWS(nombres[])-1,0,1,1))+1),$O1549:$O1568),3),"")</f>
        <v/>
      </c>
      <c r="ER1549" s="42" t="str">
        <f t="array" aca="1" ref="ER1549" ca="1">IFERROR(INDEX(nombres[],SMALL(IF(OFFSET(nombres[],0,0,ROWS(nombres[]),1)=ER$1490,ROW(OFFSET(nombres[],0,0,ROWS(nombres[]),1))-ROW(OFFSET(nombres[],0,0,1,1))+1,ROW(OFFSET(nombres[],ROWS(nombres[])-1,0,1,1))+1),$O1549:$O1568),3),"")</f>
        <v/>
      </c>
      <c r="ES1549" s="42" t="str">
        <f t="array" aca="1" ref="ES1549" ca="1">IFERROR(INDEX(nombres[],SMALL(IF(OFFSET(nombres[],0,0,ROWS(nombres[]),1)=ES$1490,ROW(OFFSET(nombres[],0,0,ROWS(nombres[]),1))-ROW(OFFSET(nombres[],0,0,1,1))+1,ROW(OFFSET(nombres[],ROWS(nombres[])-1,0,1,1))+1),$O1549:$O1568),3),"")</f>
        <v/>
      </c>
      <c r="ET1549" s="42" t="str">
        <f t="array" aca="1" ref="ET1549" ca="1">IFERROR(INDEX(nombres[],SMALL(IF(OFFSET(nombres[],0,0,ROWS(nombres[]),1)=ET$1490,ROW(OFFSET(nombres[],0,0,ROWS(nombres[]),1))-ROW(OFFSET(nombres[],0,0,1,1))+1,ROW(OFFSET(nombres[],ROWS(nombres[])-1,0,1,1))+1),$O1549:$O1568),3),"")</f>
        <v/>
      </c>
      <c r="EU1549" s="42" t="str">
        <f t="array" aca="1" ref="EU1549" ca="1">IFERROR(INDEX(nombres[],SMALL(IF(OFFSET(nombres[],0,0,ROWS(nombres[]),1)=EU$1490,ROW(OFFSET(nombres[],0,0,ROWS(nombres[]),1))-ROW(OFFSET(nombres[],0,0,1,1))+1,ROW(OFFSET(nombres[],ROWS(nombres[])-1,0,1,1))+1),$O1549:$O1568),3),"")</f>
        <v/>
      </c>
      <c r="EV1549" s="42" t="str">
        <f t="array" aca="1" ref="EV1549" ca="1">IFERROR(INDEX(nombres[],SMALL(IF(OFFSET(nombres[],0,0,ROWS(nombres[]),1)=EV$1490,ROW(OFFSET(nombres[],0,0,ROWS(nombres[]),1))-ROW(OFFSET(nombres[],0,0,1,1))+1,ROW(OFFSET(nombres[],ROWS(nombres[])-1,0,1,1))+1),$O1549:$O1568),3),"")</f>
        <v/>
      </c>
      <c r="EW1549" s="42" t="str">
        <f t="array" aca="1" ref="EW1549" ca="1">IFERROR(INDEX(nombres[],SMALL(IF(OFFSET(nombres[],0,0,ROWS(nombres[]),1)=EW$1490,ROW(OFFSET(nombres[],0,0,ROWS(nombres[]),1))-ROW(OFFSET(nombres[],0,0,1,1))+1,ROW(OFFSET(nombres[],ROWS(nombres[])-1,0,1,1))+1),$O1549:$O1568),3),"")</f>
        <v/>
      </c>
      <c r="EX1549" s="42" t="str">
        <f t="array" aca="1" ref="EX1549" ca="1">IFERROR(INDEX(nombres[],SMALL(IF(OFFSET(nombres[],0,0,ROWS(nombres[]),1)=EX$1490,ROW(OFFSET(nombres[],0,0,ROWS(nombres[]),1))-ROW(OFFSET(nombres[],0,0,1,1))+1,ROW(OFFSET(nombres[],ROWS(nombres[])-1,0,1,1))+1),$O1549:$O1568),3),"")</f>
        <v/>
      </c>
      <c r="EY1549" s="42" t="str">
        <f t="array" aca="1" ref="EY1549" ca="1">IFERROR(INDEX(nombres[],SMALL(IF(OFFSET(nombres[],0,0,ROWS(nombres[]),1)=EY$1490,ROW(OFFSET(nombres[],0,0,ROWS(nombres[]),1))-ROW(OFFSET(nombres[],0,0,1,1))+1,ROW(OFFSET(nombres[],ROWS(nombres[])-1,0,1,1))+1),$O1549:$O1568),3),"")</f>
        <v/>
      </c>
      <c r="EZ1549" s="42" t="str">
        <f t="array" aca="1" ref="EZ1549" ca="1">IFERROR(INDEX(nombres[],SMALL(IF(OFFSET(nombres[],0,0,ROWS(nombres[]),1)=EZ$1490,ROW(OFFSET(nombres[],0,0,ROWS(nombres[]),1))-ROW(OFFSET(nombres[],0,0,1,1))+1,ROW(OFFSET(nombres[],ROWS(nombres[])-1,0,1,1))+1),$O1549:$O1568),3),"")</f>
        <v/>
      </c>
      <c r="FA1549" s="42" t="str">
        <f t="array" aca="1" ref="FA1549" ca="1">IFERROR(INDEX(nombres[],SMALL(IF(OFFSET(nombres[],0,0,ROWS(nombres[]),1)=FA$1490,ROW(OFFSET(nombres[],0,0,ROWS(nombres[]),1))-ROW(OFFSET(nombres[],0,0,1,1))+1,ROW(OFFSET(nombres[],ROWS(nombres[])-1,0,1,1))+1),$O1549:$O1568),3),"")</f>
        <v/>
      </c>
      <c r="FB1549" s="42" t="str">
        <f t="array" aca="1" ref="FB1549" ca="1">IFERROR(INDEX(nombres[],SMALL(IF(OFFSET(nombres[],0,0,ROWS(nombres[]),1)=FB$1490,ROW(OFFSET(nombres[],0,0,ROWS(nombres[]),1))-ROW(OFFSET(nombres[],0,0,1,1))+1,ROW(OFFSET(nombres[],ROWS(nombres[])-1,0,1,1))+1),$O1549:$O1568),3),"")</f>
        <v/>
      </c>
      <c r="FC1549" s="42" t="str">
        <f t="array" aca="1" ref="FC1549" ca="1">IFERROR(INDEX(nombres[],SMALL(IF(OFFSET(nombres[],0,0,ROWS(nombres[]),1)=FC$1490,ROW(OFFSET(nombres[],0,0,ROWS(nombres[]),1))-ROW(OFFSET(nombres[],0,0,1,1))+1,ROW(OFFSET(nombres[],ROWS(nombres[])-1,0,1,1))+1),$O1549:$O1568),3),"")</f>
        <v/>
      </c>
      <c r="FD1549" s="42" t="str">
        <f t="array" aca="1" ref="FD1549" ca="1">IFERROR(INDEX(nombres[],SMALL(IF(OFFSET(nombres[],0,0,ROWS(nombres[]),1)=FD$1490,ROW(OFFSET(nombres[],0,0,ROWS(nombres[]),1))-ROW(OFFSET(nombres[],0,0,1,1))+1,ROW(OFFSET(nombres[],ROWS(nombres[])-1,0,1,1))+1),$O1549:$O1568),3),"")</f>
        <v/>
      </c>
      <c r="FE1549" s="42" t="str">
        <f t="array" aca="1" ref="FE1549" ca="1">IFERROR(INDEX(nombres[],SMALL(IF(OFFSET(nombres[],0,0,ROWS(nombres[]),1)=FE$1490,ROW(OFFSET(nombres[],0,0,ROWS(nombres[]),1))-ROW(OFFSET(nombres[],0,0,1,1))+1,ROW(OFFSET(nombres[],ROWS(nombres[])-1,0,1,1))+1),$O1549:$O1568),3),"")</f>
        <v/>
      </c>
      <c r="FF1549" s="42" t="str">
        <f t="array" aca="1" ref="FF1549" ca="1">IFERROR(INDEX(nombres[],SMALL(IF(OFFSET(nombres[],0,0,ROWS(nombres[]),1)=FF$1490,ROW(OFFSET(nombres[],0,0,ROWS(nombres[]),1))-ROW(OFFSET(nombres[],0,0,1,1))+1,ROW(OFFSET(nombres[],ROWS(nombres[])-1,0,1,1))+1),$O1549:$O1568),3),"")</f>
        <v/>
      </c>
      <c r="FG1549" s="42" t="str">
        <f t="array" aca="1" ref="FG1549" ca="1">IFERROR(INDEX(nombres[],SMALL(IF(OFFSET(nombres[],0,0,ROWS(nombres[]),1)=FG$1490,ROW(OFFSET(nombres[],0,0,ROWS(nombres[]),1))-ROW(OFFSET(nombres[],0,0,1,1))+1,ROW(OFFSET(nombres[],ROWS(nombres[])-1,0,1,1))+1),$O1549:$O1568),3),"")</f>
        <v/>
      </c>
      <c r="FH1549" s="42" t="str">
        <f t="array" aca="1" ref="FH1549" ca="1">IFERROR(INDEX(nombres[],SMALL(IF(OFFSET(nombres[],0,0,ROWS(nombres[]),1)=FH$1490,ROW(OFFSET(nombres[],0,0,ROWS(nombres[]),1))-ROW(OFFSET(nombres[],0,0,1,1))+1,ROW(OFFSET(nombres[],ROWS(nombres[])-1,0,1,1))+1),$O1549:$O1568),3),"")</f>
        <v/>
      </c>
      <c r="FI1549" s="42" t="str">
        <f t="array" aca="1" ref="FI1549" ca="1">IFERROR(INDEX(nombres[],SMALL(IF(OFFSET(nombres[],0,0,ROWS(nombres[]),1)=FI$1490,ROW(OFFSET(nombres[],0,0,ROWS(nombres[]),1))-ROW(OFFSET(nombres[],0,0,1,1))+1,ROW(OFFSET(nombres[],ROWS(nombres[])-1,0,1,1))+1),$O1549:$O1568),3),"")</f>
        <v/>
      </c>
      <c r="FJ1549" s="42" t="str">
        <f t="array" aca="1" ref="FJ1549" ca="1">IFERROR(INDEX(nombres[],SMALL(IF(OFFSET(nombres[],0,0,ROWS(nombres[]),1)=FJ$1490,ROW(OFFSET(nombres[],0,0,ROWS(nombres[]),1))-ROW(OFFSET(nombres[],0,0,1,1))+1,ROW(OFFSET(nombres[],ROWS(nombres[])-1,0,1,1))+1),$O1549:$O1568),3),"")</f>
        <v/>
      </c>
      <c r="FK1549" s="42" t="str">
        <f t="array" aca="1" ref="FK1549" ca="1">IFERROR(INDEX(nombres[],SMALL(IF(OFFSET(nombres[],0,0,ROWS(nombres[]),1)=FK$1490,ROW(OFFSET(nombres[],0,0,ROWS(nombres[]),1))-ROW(OFFSET(nombres[],0,0,1,1))+1,ROW(OFFSET(nombres[],ROWS(nombres[])-1,0,1,1))+1),$O1549:$O1568),3),"")</f>
        <v/>
      </c>
      <c r="FL1549" s="42" t="str">
        <f t="array" aca="1" ref="FL1549" ca="1">IFERROR(INDEX(nombres[],SMALL(IF(OFFSET(nombres[],0,0,ROWS(nombres[]),1)=FL$1490,ROW(OFFSET(nombres[],0,0,ROWS(nombres[]),1))-ROW(OFFSET(nombres[],0,0,1,1))+1,ROW(OFFSET(nombres[],ROWS(nombres[])-1,0,1,1))+1),$O1549:$O1568),3),"")</f>
        <v/>
      </c>
      <c r="FM1549" s="42" t="str">
        <f t="array" aca="1" ref="FM1549" ca="1">IFERROR(INDEX(nombres[],SMALL(IF(OFFSET(nombres[],0,0,ROWS(nombres[]),1)=FM$1490,ROW(OFFSET(nombres[],0,0,ROWS(nombres[]),1))-ROW(OFFSET(nombres[],0,0,1,1))+1,ROW(OFFSET(nombres[],ROWS(nombres[])-1,0,1,1))+1),$O1549:$O1568),3),"")</f>
        <v/>
      </c>
      <c r="FN1549" s="42" t="str">
        <f t="array" aca="1" ref="FN1549" ca="1">IFERROR(INDEX(nombres[],SMALL(IF(OFFSET(nombres[],0,0,ROWS(nombres[]),1)=FN$1490,ROW(OFFSET(nombres[],0,0,ROWS(nombres[]),1))-ROW(OFFSET(nombres[],0,0,1,1))+1,ROW(OFFSET(nombres[],ROWS(nombres[])-1,0,1,1))+1),$O1549:$O1568),3),"")</f>
        <v/>
      </c>
      <c r="FO1549" s="42" t="str">
        <f t="array" aca="1" ref="FO1549" ca="1">IFERROR(INDEX(nombres[],SMALL(IF(OFFSET(nombres[],0,0,ROWS(nombres[]),1)=FO$1490,ROW(OFFSET(nombres[],0,0,ROWS(nombres[]),1))-ROW(OFFSET(nombres[],0,0,1,1))+1,ROW(OFFSET(nombres[],ROWS(nombres[])-1,0,1,1))+1),$O1549:$O1568),3),"")</f>
        <v/>
      </c>
      <c r="FP1549" s="42" t="str">
        <f t="array" aca="1" ref="FP1549" ca="1">IFERROR(INDEX(nombres[],SMALL(IF(OFFSET(nombres[],0,0,ROWS(nombres[]),1)=FP$1490,ROW(OFFSET(nombres[],0,0,ROWS(nombres[]),1))-ROW(OFFSET(nombres[],0,0,1,1))+1,ROW(OFFSET(nombres[],ROWS(nombres[])-1,0,1,1))+1),$O1549:$O1568),3),"")</f>
        <v/>
      </c>
      <c r="FQ1549" s="42" t="str">
        <f t="array" aca="1" ref="FQ1549" ca="1">IFERROR(INDEX(nombres[],SMALL(IF(OFFSET(nombres[],0,0,ROWS(nombres[]),1)=FQ$1490,ROW(OFFSET(nombres[],0,0,ROWS(nombres[]),1))-ROW(OFFSET(nombres[],0,0,1,1))+1,ROW(OFFSET(nombres[],ROWS(nombres[])-1,0,1,1))+1),$O1549:$O1568),3),"")</f>
        <v/>
      </c>
      <c r="FR1549" s="42" t="str">
        <f t="array" aca="1" ref="FR1549" ca="1">IFERROR(INDEX(nombres[],SMALL(IF(OFFSET(nombres[],0,0,ROWS(nombres[]),1)=FR$1490,ROW(OFFSET(nombres[],0,0,ROWS(nombres[]),1))-ROW(OFFSET(nombres[],0,0,1,1))+1,ROW(OFFSET(nombres[],ROWS(nombres[])-1,0,1,1))+1),$O1549:$O1568),3),"")</f>
        <v/>
      </c>
      <c r="FS1549" s="42" t="str">
        <f t="array" aca="1" ref="FS1549" ca="1">IFERROR(INDEX(nombres[],SMALL(IF(OFFSET(nombres[],0,0,ROWS(nombres[]),1)=FS$1490,ROW(OFFSET(nombres[],0,0,ROWS(nombres[]),1))-ROW(OFFSET(nombres[],0,0,1,1))+1,ROW(OFFSET(nombres[],ROWS(nombres[])-1,0,1,1))+1),$O1549:$O1568),3),"")</f>
        <v/>
      </c>
      <c r="FT1549" s="42" t="str">
        <f t="array" aca="1" ref="FT1549" ca="1">IFERROR(INDEX(nombres[],SMALL(IF(OFFSET(nombres[],0,0,ROWS(nombres[]),1)=FT$1490,ROW(OFFSET(nombres[],0,0,ROWS(nombres[]),1))-ROW(OFFSET(nombres[],0,0,1,1))+1,ROW(OFFSET(nombres[],ROWS(nombres[])-1,0,1,1))+1),$O1549:$O1568),3),"")</f>
        <v/>
      </c>
      <c r="FU1549" s="42" t="str">
        <f t="array" aca="1" ref="FU1549" ca="1">IFERROR(INDEX(nombres[],SMALL(IF(OFFSET(nombres[],0,0,ROWS(nombres[]),1)=FU$1490,ROW(OFFSET(nombres[],0,0,ROWS(nombres[]),1))-ROW(OFFSET(nombres[],0,0,1,1))+1,ROW(OFFSET(nombres[],ROWS(nombres[])-1,0,1,1))+1),$O1549:$O1568),3),"")</f>
        <v/>
      </c>
      <c r="FV1549" s="42" t="str">
        <f t="array" aca="1" ref="FV1549" ca="1">IFERROR(INDEX(nombres[],SMALL(IF(OFFSET(nombres[],0,0,ROWS(nombres[]),1)=FV$1490,ROW(OFFSET(nombres[],0,0,ROWS(nombres[]),1))-ROW(OFFSET(nombres[],0,0,1,1))+1,ROW(OFFSET(nombres[],ROWS(nombres[])-1,0,1,1))+1),$O1549:$O1568),3),"")</f>
        <v/>
      </c>
      <c r="FW1549" s="42" t="str">
        <f t="array" aca="1" ref="FW1549" ca="1">IFERROR(INDEX(nombres[],SMALL(IF(OFFSET(nombres[],0,0,ROWS(nombres[]),1)=FW$1490,ROW(OFFSET(nombres[],0,0,ROWS(nombres[]),1))-ROW(OFFSET(nombres[],0,0,1,1))+1,ROW(OFFSET(nombres[],ROWS(nombres[])-1,0,1,1))+1),$O1549:$O1568),3),"")</f>
        <v/>
      </c>
      <c r="FX1549" s="42" t="str">
        <f t="array" aca="1" ref="FX1549" ca="1">IFERROR(INDEX(nombres[],SMALL(IF(OFFSET(nombres[],0,0,ROWS(nombres[]),1)=FX$1490,ROW(OFFSET(nombres[],0,0,ROWS(nombres[]),1))-ROW(OFFSET(nombres[],0,0,1,1))+1,ROW(OFFSET(nombres[],ROWS(nombres[])-1,0,1,1))+1),$O1549:$O1568),3),"")</f>
        <v/>
      </c>
      <c r="FY1549" s="42" t="str">
        <f t="array" aca="1" ref="FY1549" ca="1">IFERROR(INDEX(nombres[],SMALL(IF(OFFSET(nombres[],0,0,ROWS(nombres[]),1)=FY$1490,ROW(OFFSET(nombres[],0,0,ROWS(nombres[]),1))-ROW(OFFSET(nombres[],0,0,1,1))+1,ROW(OFFSET(nombres[],ROWS(nombres[])-1,0,1,1))+1),$O1549:$O1568),3),"")</f>
        <v/>
      </c>
      <c r="FZ1549" s="42" t="str">
        <f t="array" aca="1" ref="FZ1549" ca="1">IFERROR(INDEX(nombres[],SMALL(IF(OFFSET(nombres[],0,0,ROWS(nombres[]),1)=FZ$1490,ROW(OFFSET(nombres[],0,0,ROWS(nombres[]),1))-ROW(OFFSET(nombres[],0,0,1,1))+1,ROW(OFFSET(nombres[],ROWS(nombres[])-1,0,1,1))+1),$O1549:$O1568),3),"")</f>
        <v/>
      </c>
      <c r="GA1549" s="42" t="str">
        <f t="array" aca="1" ref="GA1549" ca="1">IFERROR(INDEX(nombres[],SMALL(IF(OFFSET(nombres[],0,0,ROWS(nombres[]),1)=GA$1490,ROW(OFFSET(nombres[],0,0,ROWS(nombres[]),1))-ROW(OFFSET(nombres[],0,0,1,1))+1,ROW(OFFSET(nombres[],ROWS(nombres[])-1,0,1,1))+1),$O1549:$O1568),3),"")</f>
        <v/>
      </c>
      <c r="GB1549" s="42" t="str">
        <f t="array" aca="1" ref="GB1549" ca="1">IFERROR(INDEX(nombres[],SMALL(IF(OFFSET(nombres[],0,0,ROWS(nombres[]),1)=GB$1490,ROW(OFFSET(nombres[],0,0,ROWS(nombres[]),1))-ROW(OFFSET(nombres[],0,0,1,1))+1,ROW(OFFSET(nombres[],ROWS(nombres[])-1,0,1,1))+1),$O1549:$O1568),3),"")</f>
        <v/>
      </c>
      <c r="GC1549" s="42" t="str">
        <f t="array" aca="1" ref="GC1549" ca="1">IFERROR(INDEX(nombres[],SMALL(IF(OFFSET(nombres[],0,0,ROWS(nombres[]),1)=GC$1490,ROW(OFFSET(nombres[],0,0,ROWS(nombres[]),1))-ROW(OFFSET(nombres[],0,0,1,1))+1,ROW(OFFSET(nombres[],ROWS(nombres[])-1,0,1,1))+1),$O1549:$O1568),3),"")</f>
        <v/>
      </c>
      <c r="GD1549" s="42" t="str">
        <f t="array" aca="1" ref="GD1549" ca="1">IFERROR(INDEX(nombres[],SMALL(IF(OFFSET(nombres[],0,0,ROWS(nombres[]),1)=GD$1490,ROW(OFFSET(nombres[],0,0,ROWS(nombres[]),1))-ROW(OFFSET(nombres[],0,0,1,1))+1,ROW(OFFSET(nombres[],ROWS(nombres[])-1,0,1,1))+1),$O1549:$O1568),3),"")</f>
        <v/>
      </c>
      <c r="GE1549" s="42" t="str">
        <f t="array" aca="1" ref="GE1549" ca="1">IFERROR(INDEX(nombres[],SMALL(IF(OFFSET(nombres[],0,0,ROWS(nombres[]),1)=GE$1490,ROW(OFFSET(nombres[],0,0,ROWS(nombres[]),1))-ROW(OFFSET(nombres[],0,0,1,1))+1,ROW(OFFSET(nombres[],ROWS(nombres[])-1,0,1,1))+1),$O1549:$O1568),3),"")</f>
        <v/>
      </c>
      <c r="GF1549" s="42" t="str">
        <f t="array" aca="1" ref="GF1549" ca="1">IFERROR(INDEX(nombres[],SMALL(IF(OFFSET(nombres[],0,0,ROWS(nombres[]),1)=GF$1490,ROW(OFFSET(nombres[],0,0,ROWS(nombres[]),1))-ROW(OFFSET(nombres[],0,0,1,1))+1,ROW(OFFSET(nombres[],ROWS(nombres[])-1,0,1,1))+1),$O1549:$O1568),3),"")</f>
        <v/>
      </c>
      <c r="GG1549" s="42" t="str">
        <f t="array" aca="1" ref="GG1549" ca="1">IFERROR(INDEX(nombres[],SMALL(IF(OFFSET(nombres[],0,0,ROWS(nombres[]),1)=GG$1490,ROW(OFFSET(nombres[],0,0,ROWS(nombres[]),1))-ROW(OFFSET(nombres[],0,0,1,1))+1,ROW(OFFSET(nombres[],ROWS(nombres[])-1,0,1,1))+1),$O1549:$O1568),3),"")</f>
        <v/>
      </c>
      <c r="GH1549" s="42" t="str">
        <f t="array" aca="1" ref="GH1549" ca="1">IFERROR(INDEX(nombres[],SMALL(IF(OFFSET(nombres[],0,0,ROWS(nombres[]),1)=GH$1490,ROW(OFFSET(nombres[],0,0,ROWS(nombres[]),1))-ROW(OFFSET(nombres[],0,0,1,1))+1,ROW(OFFSET(nombres[],ROWS(nombres[])-1,0,1,1))+1),$O1549:$O1568),3),"")</f>
        <v/>
      </c>
      <c r="GI1549" s="42" t="str">
        <f t="array" aca="1" ref="GI1549" ca="1">IFERROR(INDEX(nombres[],SMALL(IF(OFFSET(nombres[],0,0,ROWS(nombres[]),1)=GI$1490,ROW(OFFSET(nombres[],0,0,ROWS(nombres[]),1))-ROW(OFFSET(nombres[],0,0,1,1))+1,ROW(OFFSET(nombres[],ROWS(nombres[])-1,0,1,1))+1),$O1549:$O1568),3),"")</f>
        <v/>
      </c>
      <c r="GJ1549" s="42" t="str">
        <f t="array" aca="1" ref="GJ1549" ca="1">IFERROR(INDEX(nombres[],SMALL(IF(OFFSET(nombres[],0,0,ROWS(nombres[]),1)=GJ$1490,ROW(OFFSET(nombres[],0,0,ROWS(nombres[]),1))-ROW(OFFSET(nombres[],0,0,1,1))+1,ROW(OFFSET(nombres[],ROWS(nombres[])-1,0,1,1))+1),$O1549:$O1568),3),"")</f>
        <v/>
      </c>
      <c r="GK1549" s="42" t="str">
        <f t="array" aca="1" ref="GK1549" ca="1">IFERROR(INDEX(nombres[],SMALL(IF(OFFSET(nombres[],0,0,ROWS(nombres[]),1)=GK$1490,ROW(OFFSET(nombres[],0,0,ROWS(nombres[]),1))-ROW(OFFSET(nombres[],0,0,1,1))+1,ROW(OFFSET(nombres[],ROWS(nombres[])-1,0,1,1))+1),$O1549:$O1568),3),"")</f>
        <v/>
      </c>
      <c r="GL1549" s="42" t="str">
        <f t="array" aca="1" ref="GL1549" ca="1">IFERROR(INDEX(nombres[],SMALL(IF(OFFSET(nombres[],0,0,ROWS(nombres[]),1)=GL$1490,ROW(OFFSET(nombres[],0,0,ROWS(nombres[]),1))-ROW(OFFSET(nombres[],0,0,1,1))+1,ROW(OFFSET(nombres[],ROWS(nombres[])-1,0,1,1))+1),$O1549:$O1568),3),"")</f>
        <v/>
      </c>
      <c r="GM1549" s="42" t="str">
        <f t="array" aca="1" ref="GM1549" ca="1">IFERROR(INDEX(nombres[],SMALL(IF(OFFSET(nombres[],0,0,ROWS(nombres[]),1)=GM$1490,ROW(OFFSET(nombres[],0,0,ROWS(nombres[]),1))-ROW(OFFSET(nombres[],0,0,1,1))+1,ROW(OFFSET(nombres[],ROWS(nombres[])-1,0,1,1))+1),$O1549:$O1568),3),"")</f>
        <v/>
      </c>
      <c r="GN1549" s="42" t="str">
        <f t="array" aca="1" ref="GN1549" ca="1">IFERROR(INDEX(nombres[],SMALL(IF(OFFSET(nombres[],0,0,ROWS(nombres[]),1)=GN$1490,ROW(OFFSET(nombres[],0,0,ROWS(nombres[]),1))-ROW(OFFSET(nombres[],0,0,1,1))+1,ROW(OFFSET(nombres[],ROWS(nombres[])-1,0,1,1))+1),$O1549:$O1568),3),"")</f>
        <v/>
      </c>
      <c r="GO1549" s="42" t="str">
        <f t="array" aca="1" ref="GO1549" ca="1">IFERROR(INDEX(nombres[],SMALL(IF(OFFSET(nombres[],0,0,ROWS(nombres[]),1)=GO$1490,ROW(OFFSET(nombres[],0,0,ROWS(nombres[]),1))-ROW(OFFSET(nombres[],0,0,1,1))+1,ROW(OFFSET(nombres[],ROWS(nombres[])-1,0,1,1))+1),$O1549:$O1568),3),"")</f>
        <v/>
      </c>
      <c r="GP1549" s="42" t="str">
        <f t="array" aca="1" ref="GP1549" ca="1">IFERROR(INDEX(nombres[],SMALL(IF(OFFSET(nombres[],0,0,ROWS(nombres[]),1)=GP$1490,ROW(OFFSET(nombres[],0,0,ROWS(nombres[]),1))-ROW(OFFSET(nombres[],0,0,1,1))+1,ROW(OFFSET(nombres[],ROWS(nombres[])-1,0,1,1))+1),$O1549:$O1568),3),"")</f>
        <v/>
      </c>
      <c r="GQ1549" s="42" t="str">
        <f t="array" aca="1" ref="GQ1549" ca="1">IFERROR(INDEX(nombres[],SMALL(IF(OFFSET(nombres[],0,0,ROWS(nombres[]),1)=GQ$1490,ROW(OFFSET(nombres[],0,0,ROWS(nombres[]),1))-ROW(OFFSET(nombres[],0,0,1,1))+1,ROW(OFFSET(nombres[],ROWS(nombres[])-1,0,1,1))+1),$O1549:$O1568),3),"")</f>
        <v/>
      </c>
      <c r="GR1549" s="42" t="str">
        <f t="array" aca="1" ref="GR1549" ca="1">IFERROR(INDEX(nombres[],SMALL(IF(OFFSET(nombres[],0,0,ROWS(nombres[]),1)=GR$1490,ROW(OFFSET(nombres[],0,0,ROWS(nombres[]),1))-ROW(OFFSET(nombres[],0,0,1,1))+1,ROW(OFFSET(nombres[],ROWS(nombres[])-1,0,1,1))+1),$O1549:$O1568),3),"")</f>
        <v/>
      </c>
      <c r="GS1549" s="42" t="str">
        <f t="array" aca="1" ref="GS1549" ca="1">IFERROR(INDEX(nombres[],SMALL(IF(OFFSET(nombres[],0,0,ROWS(nombres[]),1)=GS$1490,ROW(OFFSET(nombres[],0,0,ROWS(nombres[]),1))-ROW(OFFSET(nombres[],0,0,1,1))+1,ROW(OFFSET(nombres[],ROWS(nombres[])-1,0,1,1))+1),$O1549:$O1568),3),"")</f>
        <v/>
      </c>
      <c r="GT1549" s="42" t="str">
        <f t="array" aca="1" ref="GT1549" ca="1">IFERROR(INDEX(nombres[],SMALL(IF(OFFSET(nombres[],0,0,ROWS(nombres[]),1)=GT$1490,ROW(OFFSET(nombres[],0,0,ROWS(nombres[]),1))-ROW(OFFSET(nombres[],0,0,1,1))+1,ROW(OFFSET(nombres[],ROWS(nombres[])-1,0,1,1))+1),$O1549:$O1568),3),"")</f>
        <v/>
      </c>
      <c r="GU1549" s="42" t="str">
        <f t="array" aca="1" ref="GU1549" ca="1">IFERROR(INDEX(nombres[],SMALL(IF(OFFSET(nombres[],0,0,ROWS(nombres[]),1)=GU$1490,ROW(OFFSET(nombres[],0,0,ROWS(nombres[]),1))-ROW(OFFSET(nombres[],0,0,1,1))+1,ROW(OFFSET(nombres[],ROWS(nombres[])-1,0,1,1))+1),$O1549:$O1568),3),"")</f>
        <v/>
      </c>
      <c r="GV1549" s="42" t="str">
        <f t="array" aca="1" ref="GV1549" ca="1">IFERROR(INDEX(nombres[],SMALL(IF(OFFSET(nombres[],0,0,ROWS(nombres[]),1)=GV$1490,ROW(OFFSET(nombres[],0,0,ROWS(nombres[]),1))-ROW(OFFSET(nombres[],0,0,1,1))+1,ROW(OFFSET(nombres[],ROWS(nombres[])-1,0,1,1))+1),$O1549:$O1568),3),"")</f>
        <v/>
      </c>
      <c r="GW1549" s="42" t="str">
        <f t="array" aca="1" ref="GW1549" ca="1">IFERROR(INDEX(nombres[],SMALL(IF(OFFSET(nombres[],0,0,ROWS(nombres[]),1)=GW$1490,ROW(OFFSET(nombres[],0,0,ROWS(nombres[]),1))-ROW(OFFSET(nombres[],0,0,1,1))+1,ROW(OFFSET(nombres[],ROWS(nombres[])-1,0,1,1))+1),$O1549:$O1568),3),"")</f>
        <v/>
      </c>
      <c r="GX1549" s="42" t="str">
        <f t="array" aca="1" ref="GX1549" ca="1">IFERROR(INDEX(nombres[],SMALL(IF(OFFSET(nombres[],0,0,ROWS(nombres[]),1)=GX$1490,ROW(OFFSET(nombres[],0,0,ROWS(nombres[]),1))-ROW(OFFSET(nombres[],0,0,1,1))+1,ROW(OFFSET(nombres[],ROWS(nombres[])-1,0,1,1))+1),$O1549:$O1568),3),"")</f>
        <v/>
      </c>
      <c r="GY1549" s="42" t="str">
        <f t="array" aca="1" ref="GY1549" ca="1">IFERROR(INDEX(nombres[],SMALL(IF(OFFSET(nombres[],0,0,ROWS(nombres[]),1)=GY$1490,ROW(OFFSET(nombres[],0,0,ROWS(nombres[]),1))-ROW(OFFSET(nombres[],0,0,1,1))+1,ROW(OFFSET(nombres[],ROWS(nombres[])-1,0,1,1))+1),$O1549:$O1568),3),"")</f>
        <v/>
      </c>
      <c r="GZ1549" s="42" t="str">
        <f t="array" aca="1" ref="GZ1549" ca="1">IFERROR(INDEX(nombres[],SMALL(IF(OFFSET(nombres[],0,0,ROWS(nombres[]),1)=GZ$1490,ROW(OFFSET(nombres[],0,0,ROWS(nombres[]),1))-ROW(OFFSET(nombres[],0,0,1,1))+1,ROW(OFFSET(nombres[],ROWS(nombres[])-1,0,1,1))+1),$O1549:$O1568),3),"")</f>
        <v/>
      </c>
      <c r="HA1549" s="42" t="str">
        <f t="array" aca="1" ref="HA1549" ca="1">IFERROR(INDEX(nombres[],SMALL(IF(OFFSET(nombres[],0,0,ROWS(nombres[]),1)=HA$1490,ROW(OFFSET(nombres[],0,0,ROWS(nombres[]),1))-ROW(OFFSET(nombres[],0,0,1,1))+1,ROW(OFFSET(nombres[],ROWS(nombres[])-1,0,1,1))+1),$O1549:$O1568),3),"")</f>
        <v/>
      </c>
      <c r="HB1549" s="42" t="str">
        <f t="array" aca="1" ref="HB1549" ca="1">IFERROR(INDEX(nombres[],SMALL(IF(OFFSET(nombres[],0,0,ROWS(nombres[]),1)=HB$1490,ROW(OFFSET(nombres[],0,0,ROWS(nombres[]),1))-ROW(OFFSET(nombres[],0,0,1,1))+1,ROW(OFFSET(nombres[],ROWS(nombres[])-1,0,1,1))+1),$O1549:$O1568),3),"")</f>
        <v/>
      </c>
      <c r="HC1549" s="42" t="str">
        <f t="array" aca="1" ref="HC1549" ca="1">IFERROR(INDEX(nombres[],SMALL(IF(OFFSET(nombres[],0,0,ROWS(nombres[]),1)=HC$1490,ROW(OFFSET(nombres[],0,0,ROWS(nombres[]),1))-ROW(OFFSET(nombres[],0,0,1,1))+1,ROW(OFFSET(nombres[],ROWS(nombres[])-1,0,1,1))+1),$O1549:$O1568),3),"")</f>
        <v/>
      </c>
      <c r="HD1549" s="42" t="str">
        <f t="array" aca="1" ref="HD1549" ca="1">IFERROR(INDEX(nombres[],SMALL(IF(OFFSET(nombres[],0,0,ROWS(nombres[]),1)=HD$1490,ROW(OFFSET(nombres[],0,0,ROWS(nombres[]),1))-ROW(OFFSET(nombres[],0,0,1,1))+1,ROW(OFFSET(nombres[],ROWS(nombres[])-1,0,1,1))+1),$O1549:$O1568),3),"")</f>
        <v/>
      </c>
      <c r="HE1549" s="42" t="str">
        <f t="array" aca="1" ref="HE1549" ca="1">IFERROR(INDEX(nombres[],SMALL(IF(OFFSET(nombres[],0,0,ROWS(nombres[]),1)=HE$1490,ROW(OFFSET(nombres[],0,0,ROWS(nombres[]),1))-ROW(OFFSET(nombres[],0,0,1,1))+1,ROW(OFFSET(nombres[],ROWS(nombres[])-1,0,1,1))+1),$O1549:$O1568),3),"")</f>
        <v/>
      </c>
      <c r="HF1549" s="42" t="str">
        <f t="array" aca="1" ref="HF1549" ca="1">IFERROR(INDEX(nombres[],SMALL(IF(OFFSET(nombres[],0,0,ROWS(nombres[]),1)=HF$1490,ROW(OFFSET(nombres[],0,0,ROWS(nombres[]),1))-ROW(OFFSET(nombres[],0,0,1,1))+1,ROW(OFFSET(nombres[],ROWS(nombres[])-1,0,1,1))+1),$O1549:$O1568),3),"")</f>
        <v/>
      </c>
      <c r="HG1549" s="42" t="str">
        <f t="array" aca="1" ref="HG1549" ca="1">IFERROR(INDEX(nombres[],SMALL(IF(OFFSET(nombres[],0,0,ROWS(nombres[]),1)=HG$1490,ROW(OFFSET(nombres[],0,0,ROWS(nombres[]),1))-ROW(OFFSET(nombres[],0,0,1,1))+1,ROW(OFFSET(nombres[],ROWS(nombres[])-1,0,1,1))+1),$O1549:$O1568),3),"")</f>
        <v/>
      </c>
      <c r="HH1549" s="42" t="str">
        <f t="array" aca="1" ref="HH1549" ca="1">IFERROR(INDEX(nombres[],SMALL(IF(OFFSET(nombres[],0,0,ROWS(nombres[]),1)=HH$1490,ROW(OFFSET(nombres[],0,0,ROWS(nombres[]),1))-ROW(OFFSET(nombres[],0,0,1,1))+1,ROW(OFFSET(nombres[],ROWS(nombres[])-1,0,1,1))+1),$O1549:$O1568),3),"")</f>
        <v/>
      </c>
      <c r="HI1549" s="42" t="str">
        <f t="array" aca="1" ref="HI1549" ca="1">IFERROR(INDEX(nombres[],SMALL(IF(OFFSET(nombres[],0,0,ROWS(nombres[]),1)=HI$1490,ROW(OFFSET(nombres[],0,0,ROWS(nombres[]),1))-ROW(OFFSET(nombres[],0,0,1,1))+1,ROW(OFFSET(nombres[],ROWS(nombres[])-1,0,1,1))+1),$O1549:$O1568),3),"")</f>
        <v/>
      </c>
      <c r="HJ1549" s="42" t="str">
        <f t="array" aca="1" ref="HJ1549" ca="1">IFERROR(INDEX(nombres[],SMALL(IF(OFFSET(nombres[],0,0,ROWS(nombres[]),1)=HJ$1490,ROW(OFFSET(nombres[],0,0,ROWS(nombres[]),1))-ROW(OFFSET(nombres[],0,0,1,1))+1,ROW(OFFSET(nombres[],ROWS(nombres[])-1,0,1,1))+1),$O1549:$O1568),3),"")</f>
        <v/>
      </c>
      <c r="HK1549" s="42" t="str">
        <f t="array" aca="1" ref="HK1549" ca="1">IFERROR(INDEX(nombres[],SMALL(IF(OFFSET(nombres[],0,0,ROWS(nombres[]),1)=HK$1490,ROW(OFFSET(nombres[],0,0,ROWS(nombres[]),1))-ROW(OFFSET(nombres[],0,0,1,1))+1,ROW(OFFSET(nombres[],ROWS(nombres[])-1,0,1,1))+1),$O1549:$O1568),3),"")</f>
        <v/>
      </c>
      <c r="HL1549" s="42" t="str">
        <f t="array" aca="1" ref="HL1549" ca="1">IFERROR(INDEX(nombres[],SMALL(IF(OFFSET(nombres[],0,0,ROWS(nombres[]),1)=HL$1490,ROW(OFFSET(nombres[],0,0,ROWS(nombres[]),1))-ROW(OFFSET(nombres[],0,0,1,1))+1,ROW(OFFSET(nombres[],ROWS(nombres[])-1,0,1,1))+1),$O1549:$O1568),3),"")</f>
        <v/>
      </c>
      <c r="HM1549" s="42" t="str">
        <f t="array" aca="1" ref="HM1549" ca="1">IFERROR(INDEX(nombres[],SMALL(IF(OFFSET(nombres[],0,0,ROWS(nombres[]),1)=HM$1490,ROW(OFFSET(nombres[],0,0,ROWS(nombres[]),1))-ROW(OFFSET(nombres[],0,0,1,1))+1,ROW(OFFSET(nombres[],ROWS(nombres[])-1,0,1,1))+1),$O1549:$O1568),3),"")</f>
        <v/>
      </c>
      <c r="HN1549" s="42" t="str">
        <f t="array" aca="1" ref="HN1549" ca="1">IFERROR(INDEX(nombres[],SMALL(IF(OFFSET(nombres[],0,0,ROWS(nombres[]),1)=HN$1490,ROW(OFFSET(nombres[],0,0,ROWS(nombres[]),1))-ROW(OFFSET(nombres[],0,0,1,1))+1,ROW(OFFSET(nombres[],ROWS(nombres[])-1,0,1,1))+1),$O1549:$O1568),3),"")</f>
        <v/>
      </c>
      <c r="HO1549" s="42" t="str">
        <f t="array" aca="1" ref="HO1549" ca="1">IFERROR(INDEX(nombres[],SMALL(IF(OFFSET(nombres[],0,0,ROWS(nombres[]),1)=HO$1490,ROW(OFFSET(nombres[],0,0,ROWS(nombres[]),1))-ROW(OFFSET(nombres[],0,0,1,1))+1,ROW(OFFSET(nombres[],ROWS(nombres[])-1,0,1,1))+1),$O1549:$O1568),3),"")</f>
        <v/>
      </c>
      <c r="HP1549" s="42" t="str">
        <f t="array" aca="1" ref="HP1549" ca="1">IFERROR(INDEX(nombres[],SMALL(IF(OFFSET(nombres[],0,0,ROWS(nombres[]),1)=HP$1490,ROW(OFFSET(nombres[],0,0,ROWS(nombres[]),1))-ROW(OFFSET(nombres[],0,0,1,1))+1,ROW(OFFSET(nombres[],ROWS(nombres[])-1,0,1,1))+1),$O1549:$O1568),3),"")</f>
        <v/>
      </c>
      <c r="HQ1549" s="42" t="str">
        <f t="array" aca="1" ref="HQ1549" ca="1">IFERROR(INDEX(nombres[],SMALL(IF(OFFSET(nombres[],0,0,ROWS(nombres[]),1)=HQ$1490,ROW(OFFSET(nombres[],0,0,ROWS(nombres[]),1))-ROW(OFFSET(nombres[],0,0,1,1))+1,ROW(OFFSET(nombres[],ROWS(nombres[])-1,0,1,1))+1),$O1549:$O1568),3),"")</f>
        <v/>
      </c>
      <c r="HR1549" s="42" t="str">
        <f t="array" aca="1" ref="HR1549" ca="1">IFERROR(INDEX(nombres[],SMALL(IF(OFFSET(nombres[],0,0,ROWS(nombres[]),1)=HR$1490,ROW(OFFSET(nombres[],0,0,ROWS(nombres[]),1))-ROW(OFFSET(nombres[],0,0,1,1))+1,ROW(OFFSET(nombres[],ROWS(nombres[])-1,0,1,1))+1),$O1549:$O1568),3),"")</f>
        <v/>
      </c>
      <c r="HS1549" s="42" t="str">
        <f t="array" aca="1" ref="HS1549" ca="1">IFERROR(INDEX(nombres[],SMALL(IF(OFFSET(nombres[],0,0,ROWS(nombres[]),1)=HS$1490,ROW(OFFSET(nombres[],0,0,ROWS(nombres[]),1))-ROW(OFFSET(nombres[],0,0,1,1))+1,ROW(OFFSET(nombres[],ROWS(nombres[])-1,0,1,1))+1),$O1549:$O1568),3),"")</f>
        <v/>
      </c>
      <c r="HT1549" s="42" t="str">
        <f t="array" aca="1" ref="HT1549" ca="1">IFERROR(INDEX(nombres[],SMALL(IF(OFFSET(nombres[],0,0,ROWS(nombres[]),1)=HT$1490,ROW(OFFSET(nombres[],0,0,ROWS(nombres[]),1))-ROW(OFFSET(nombres[],0,0,1,1))+1,ROW(OFFSET(nombres[],ROWS(nombres[])-1,0,1,1))+1),$O1549:$O1568),3),"")</f>
        <v/>
      </c>
      <c r="HU1549" s="42" t="str">
        <f t="array" aca="1" ref="HU1549" ca="1">IFERROR(INDEX(nombres[],SMALL(IF(OFFSET(nombres[],0,0,ROWS(nombres[]),1)=HU$1490,ROW(OFFSET(nombres[],0,0,ROWS(nombres[]),1))-ROW(OFFSET(nombres[],0,0,1,1))+1,ROW(OFFSET(nombres[],ROWS(nombres[])-1,0,1,1))+1),$O1549:$O1568),3),"")</f>
        <v/>
      </c>
      <c r="HV1549" s="42" t="str">
        <f t="array" aca="1" ref="HV1549" ca="1">IFERROR(INDEX(nombres[],SMALL(IF(OFFSET(nombres[],0,0,ROWS(nombres[]),1)=HV$1490,ROW(OFFSET(nombres[],0,0,ROWS(nombres[]),1))-ROW(OFFSET(nombres[],0,0,1,1))+1,ROW(OFFSET(nombres[],ROWS(nombres[])-1,0,1,1))+1),$O1549:$O1568),3),"")</f>
        <v/>
      </c>
      <c r="HW1549" s="42" t="str">
        <f t="array" aca="1" ref="HW1549" ca="1">IFERROR(INDEX(nombres[],SMALL(IF(OFFSET(nombres[],0,0,ROWS(nombres[]),1)=HW$1490,ROW(OFFSET(nombres[],0,0,ROWS(nombres[]),1))-ROW(OFFSET(nombres[],0,0,1,1))+1,ROW(OFFSET(nombres[],ROWS(nombres[])-1,0,1,1))+1),$O1549:$O1568),3),"")</f>
        <v/>
      </c>
      <c r="HX1549" s="42" t="str">
        <f t="array" aca="1" ref="HX1549" ca="1">IFERROR(INDEX(nombres[],SMALL(IF(OFFSET(nombres[],0,0,ROWS(nombres[]),1)=HX$1490,ROW(OFFSET(nombres[],0,0,ROWS(nombres[]),1))-ROW(OFFSET(nombres[],0,0,1,1))+1,ROW(OFFSET(nombres[],ROWS(nombres[])-1,0,1,1))+1),$O1549:$O1568),3),"")</f>
        <v/>
      </c>
      <c r="HY1549" s="42" t="str">
        <f t="array" aca="1" ref="HY1549" ca="1">IFERROR(INDEX(nombres[],SMALL(IF(OFFSET(nombres[],0,0,ROWS(nombres[]),1)=HY$1490,ROW(OFFSET(nombres[],0,0,ROWS(nombres[]),1))-ROW(OFFSET(nombres[],0,0,1,1))+1,ROW(OFFSET(nombres[],ROWS(nombres[])-1,0,1,1))+1),$O1549:$O1568),3),"")</f>
        <v/>
      </c>
      <c r="HZ1549" s="42" t="str">
        <f t="array" aca="1" ref="HZ1549" ca="1">IFERROR(INDEX(nombres[],SMALL(IF(OFFSET(nombres[],0,0,ROWS(nombres[]),1)=HZ$1490,ROW(OFFSET(nombres[],0,0,ROWS(nombres[]),1))-ROW(OFFSET(nombres[],0,0,1,1))+1,ROW(OFFSET(nombres[],ROWS(nombres[])-1,0,1,1))+1),$O1549:$O1568),3),"")</f>
        <v/>
      </c>
      <c r="IA1549" s="42" t="str">
        <f t="array" aca="1" ref="IA1549" ca="1">IFERROR(INDEX(nombres[],SMALL(IF(OFFSET(nombres[],0,0,ROWS(nombres[]),1)=IA$1490,ROW(OFFSET(nombres[],0,0,ROWS(nombres[]),1))-ROW(OFFSET(nombres[],0,0,1,1))+1,ROW(OFFSET(nombres[],ROWS(nombres[])-1,0,1,1))+1),$O1549:$O1568),3),"")</f>
        <v/>
      </c>
      <c r="IB1549" s="42" t="str">
        <f t="array" aca="1" ref="IB1549" ca="1">IFERROR(INDEX(nombres[],SMALL(IF(OFFSET(nombres[],0,0,ROWS(nombres[]),1)=IB$1490,ROW(OFFSET(nombres[],0,0,ROWS(nombres[]),1))-ROW(OFFSET(nombres[],0,0,1,1))+1,ROW(OFFSET(nombres[],ROWS(nombres[])-1,0,1,1))+1),$O1549:$O1568),3),"")</f>
        <v/>
      </c>
      <c r="IC1549" s="42" t="str">
        <f t="array" aca="1" ref="IC1549" ca="1">IFERROR(INDEX(nombres[],SMALL(IF(OFFSET(nombres[],0,0,ROWS(nombres[]),1)=IC$1490,ROW(OFFSET(nombres[],0,0,ROWS(nombres[]),1))-ROW(OFFSET(nombres[],0,0,1,1))+1,ROW(OFFSET(nombres[],ROWS(nombres[])-1,0,1,1))+1),$O1549:$O1568),3),"")</f>
        <v/>
      </c>
      <c r="ID1549" s="42" t="str">
        <f t="array" aca="1" ref="ID1549" ca="1">IFERROR(INDEX(nombres[],SMALL(IF(OFFSET(nombres[],0,0,ROWS(nombres[]),1)=ID$1490,ROW(OFFSET(nombres[],0,0,ROWS(nombres[]),1))-ROW(OFFSET(nombres[],0,0,1,1))+1,ROW(OFFSET(nombres[],ROWS(nombres[])-1,0,1,1))+1),$O1549:$O1568),3),"")</f>
        <v/>
      </c>
      <c r="IE1549" s="42" t="str">
        <f t="array" aca="1" ref="IE1549" ca="1">IFERROR(INDEX(nombres[],SMALL(IF(OFFSET(nombres[],0,0,ROWS(nombres[]),1)=IE$1490,ROW(OFFSET(nombres[],0,0,ROWS(nombres[]),1))-ROW(OFFSET(nombres[],0,0,1,1))+1,ROW(OFFSET(nombres[],ROWS(nombres[])-1,0,1,1))+1),$O1549:$O1568),3),"")</f>
        <v/>
      </c>
      <c r="IF1549" s="42" t="str">
        <f t="array" aca="1" ref="IF1549" ca="1">IFERROR(INDEX(nombres[],SMALL(IF(OFFSET(nombres[],0,0,ROWS(nombres[]),1)=IF$1490,ROW(OFFSET(nombres[],0,0,ROWS(nombres[]),1))-ROW(OFFSET(nombres[],0,0,1,1))+1,ROW(OFFSET(nombres[],ROWS(nombres[])-1,0,1,1))+1),$O1549:$O1568),3),"")</f>
        <v/>
      </c>
      <c r="IG1549" s="42" t="str">
        <f t="array" aca="1" ref="IG1549" ca="1">IFERROR(INDEX(nombres[],SMALL(IF(OFFSET(nombres[],0,0,ROWS(nombres[]),1)=IG$1490,ROW(OFFSET(nombres[],0,0,ROWS(nombres[]),1))-ROW(OFFSET(nombres[],0,0,1,1))+1,ROW(OFFSET(nombres[],ROWS(nombres[])-1,0,1,1))+1),$O1549:$O1568),3),"")</f>
        <v/>
      </c>
      <c r="IH1549" s="42" t="str">
        <f t="array" aca="1" ref="IH1549" ca="1">IFERROR(INDEX(nombres[],SMALL(IF(OFFSET(nombres[],0,0,ROWS(nombres[]),1)=IH$1490,ROW(OFFSET(nombres[],0,0,ROWS(nombres[]),1))-ROW(OFFSET(nombres[],0,0,1,1))+1,ROW(OFFSET(nombres[],ROWS(nombres[])-1,0,1,1))+1),$O1549:$O1568),3),"")</f>
        <v/>
      </c>
      <c r="II1549" s="42" t="str">
        <f t="array" aca="1" ref="II1549" ca="1">IFERROR(INDEX(nombres[],SMALL(IF(OFFSET(nombres[],0,0,ROWS(nombres[]),1)=II$1490,ROW(OFFSET(nombres[],0,0,ROWS(nombres[]),1))-ROW(OFFSET(nombres[],0,0,1,1))+1,ROW(OFFSET(nombres[],ROWS(nombres[])-1,0,1,1))+1),$O1549:$O1568),3),"")</f>
        <v/>
      </c>
      <c r="IJ1549" s="42" t="str">
        <f t="array" aca="1" ref="IJ1549" ca="1">IFERROR(INDEX(nombres[],SMALL(IF(OFFSET(nombres[],0,0,ROWS(nombres[]),1)=IJ$1490,ROW(OFFSET(nombres[],0,0,ROWS(nombres[]),1))-ROW(OFFSET(nombres[],0,0,1,1))+1,ROW(OFFSET(nombres[],ROWS(nombres[])-1,0,1,1))+1),$O1549:$O1568),3),"")</f>
        <v/>
      </c>
      <c r="IK1549" s="42" t="str">
        <f t="array" aca="1" ref="IK1549" ca="1">IFERROR(INDEX(nombres[],SMALL(IF(OFFSET(nombres[],0,0,ROWS(nombres[]),1)=IK$1490,ROW(OFFSET(nombres[],0,0,ROWS(nombres[]),1))-ROW(OFFSET(nombres[],0,0,1,1))+1,ROW(OFFSET(nombres[],ROWS(nombres[])-1,0,1,1))+1),$O1549:$O1568),3),"")</f>
        <v/>
      </c>
      <c r="IL1549" s="42" t="str">
        <f t="array" aca="1" ref="IL1549" ca="1">IFERROR(INDEX(nombres[],SMALL(IF(OFFSET(nombres[],0,0,ROWS(nombres[]),1)=IL$1490,ROW(OFFSET(nombres[],0,0,ROWS(nombres[]),1))-ROW(OFFSET(nombres[],0,0,1,1))+1,ROW(OFFSET(nombres[],ROWS(nombres[])-1,0,1,1))+1),$O1549:$O1568),3),"")</f>
        <v/>
      </c>
      <c r="IM1549" s="42" t="str">
        <f t="array" aca="1" ref="IM1549" ca="1">IFERROR(INDEX(nombres[],SMALL(IF(OFFSET(nombres[],0,0,ROWS(nombres[]),1)=IM$1490,ROW(OFFSET(nombres[],0,0,ROWS(nombres[]),1))-ROW(OFFSET(nombres[],0,0,1,1))+1,ROW(OFFSET(nombres[],ROWS(nombres[])-1,0,1,1))+1),$O1549:$O1568),3),"")</f>
        <v/>
      </c>
      <c r="IN1549" s="42" t="str">
        <f t="array" aca="1" ref="IN1549" ca="1">IFERROR(INDEX(nombres[],SMALL(IF(OFFSET(nombres[],0,0,ROWS(nombres[]),1)=IN$1490,ROW(OFFSET(nombres[],0,0,ROWS(nombres[]),1))-ROW(OFFSET(nombres[],0,0,1,1))+1,ROW(OFFSET(nombres[],ROWS(nombres[])-1,0,1,1))+1),$O1549:$O1568),3),"")</f>
        <v/>
      </c>
      <c r="IO1549" s="42" t="str">
        <f t="array" aca="1" ref="IO1549" ca="1">IFERROR(INDEX(nombres[],SMALL(IF(OFFSET(nombres[],0,0,ROWS(nombres[]),1)=IO$1490,ROW(OFFSET(nombres[],0,0,ROWS(nombres[]),1))-ROW(OFFSET(nombres[],0,0,1,1))+1,ROW(OFFSET(nombres[],ROWS(nombres[])-1,0,1,1))+1),$O1549:$O1568),3),"")</f>
        <v/>
      </c>
      <c r="IP1549" s="42" t="str">
        <f t="array" aca="1" ref="IP1549" ca="1">IFERROR(INDEX(nombres[],SMALL(IF(OFFSET(nombres[],0,0,ROWS(nombres[]),1)=IP$1490,ROW(OFFSET(nombres[],0,0,ROWS(nombres[]),1))-ROW(OFFSET(nombres[],0,0,1,1))+1,ROW(OFFSET(nombres[],ROWS(nombres[])-1,0,1,1))+1),$O1549:$O1568),3),"")</f>
        <v/>
      </c>
      <c r="IQ1549" s="42" t="str">
        <f t="array" aca="1" ref="IQ1549" ca="1">IFERROR(INDEX(nombres[],SMALL(IF(OFFSET(nombres[],0,0,ROWS(nombres[]),1)=IQ$1490,ROW(OFFSET(nombres[],0,0,ROWS(nombres[]),1))-ROW(OFFSET(nombres[],0,0,1,1))+1,ROW(OFFSET(nombres[],ROWS(nombres[])-1,0,1,1))+1),$O1549:$O1568),3),"")</f>
        <v/>
      </c>
      <c r="IR1549" s="42" t="str">
        <f t="array" aca="1" ref="IR1549" ca="1">IFERROR(INDEX(nombres[],SMALL(IF(OFFSET(nombres[],0,0,ROWS(nombres[]),1)=IR$1490,ROW(OFFSET(nombres[],0,0,ROWS(nombres[]),1))-ROW(OFFSET(nombres[],0,0,1,1))+1,ROW(OFFSET(nombres[],ROWS(nombres[])-1,0,1,1))+1),$O1549:$O1568),3),"")</f>
        <v/>
      </c>
      <c r="IS1549" s="42" t="str">
        <f t="array" aca="1" ref="IS1549" ca="1">IFERROR(INDEX(nombres[],SMALL(IF(OFFSET(nombres[],0,0,ROWS(nombres[]),1)=IS$1490,ROW(OFFSET(nombres[],0,0,ROWS(nombres[]),1))-ROW(OFFSET(nombres[],0,0,1,1))+1,ROW(OFFSET(nombres[],ROWS(nombres[])-1,0,1,1))+1),$O1549:$O1568),3),"")</f>
        <v/>
      </c>
      <c r="IT1549" s="42" t="str">
        <f t="array" aca="1" ref="IT1549" ca="1">IFERROR(INDEX(nombres[],SMALL(IF(OFFSET(nombres[],0,0,ROWS(nombres[]),1)=IT$1490,ROW(OFFSET(nombres[],0,0,ROWS(nombres[]),1))-ROW(OFFSET(nombres[],0,0,1,1))+1,ROW(OFFSET(nombres[],ROWS(nombres[])-1,0,1,1))+1),$O1549:$O1568),3),"")</f>
        <v/>
      </c>
      <c r="IU1549" s="42" t="str">
        <f t="array" aca="1" ref="IU1549" ca="1">IFERROR(INDEX(nombres[],SMALL(IF(OFFSET(nombres[],0,0,ROWS(nombres[]),1)=IU$1490,ROW(OFFSET(nombres[],0,0,ROWS(nombres[]),1))-ROW(OFFSET(nombres[],0,0,1,1))+1,ROW(OFFSET(nombres[],ROWS(nombres[])-1,0,1,1))+1),$O1549:$O1568),3),"")</f>
        <v/>
      </c>
      <c r="IV1549" s="42" t="str">
        <f t="array" aca="1" ref="IV1549" ca="1">IFERROR(INDEX(nombres[],SMALL(IF(OFFSET(nombres[],0,0,ROWS(nombres[]),1)=IV$1490,ROW(OFFSET(nombres[],0,0,ROWS(nombres[]),1))-ROW(OFFSET(nombres[],0,0,1,1))+1,ROW(OFFSET(nombres[],ROWS(nombres[])-1,0,1,1))+1),$O1549:$O1568),3),"")</f>
        <v/>
      </c>
      <c r="IW1549" s="42" t="str">
        <f t="array" aca="1" ref="IW1549" ca="1">IFERROR(INDEX(nombres[],SMALL(IF(OFFSET(nombres[],0,0,ROWS(nombres[]),1)=IW$1490,ROW(OFFSET(nombres[],0,0,ROWS(nombres[]),1))-ROW(OFFSET(nombres[],0,0,1,1))+1,ROW(OFFSET(nombres[],ROWS(nombres[])-1,0,1,1))+1),$O1549:$O1568),3),"")</f>
        <v/>
      </c>
      <c r="IX1549" s="42" t="str">
        <f t="array" aca="1" ref="IX1549" ca="1">IFERROR(INDEX(nombres[],SMALL(IF(OFFSET(nombres[],0,0,ROWS(nombres[]),1)=IX$1490,ROW(OFFSET(nombres[],0,0,ROWS(nombres[]),1))-ROW(OFFSET(nombres[],0,0,1,1))+1,ROW(OFFSET(nombres[],ROWS(nombres[])-1,0,1,1))+1),$O1549:$O1568),3),"")</f>
        <v/>
      </c>
      <c r="IY1549" s="42" t="str">
        <f t="array" aca="1" ref="IY1549" ca="1">IFERROR(INDEX(nombres[],SMALL(IF(OFFSET(nombres[],0,0,ROWS(nombres[]),1)=IY$1490,ROW(OFFSET(nombres[],0,0,ROWS(nombres[]),1))-ROW(OFFSET(nombres[],0,0,1,1))+1,ROW(OFFSET(nombres[],ROWS(nombres[])-1,0,1,1))+1),$O1549:$O1568),3),"")</f>
        <v/>
      </c>
      <c r="IZ1549" s="42" t="str">
        <f t="array" aca="1" ref="IZ1549" ca="1">IFERROR(INDEX(nombres[],SMALL(IF(OFFSET(nombres[],0,0,ROWS(nombres[]),1)=IZ$1490,ROW(OFFSET(nombres[],0,0,ROWS(nombres[]),1))-ROW(OFFSET(nombres[],0,0,1,1))+1,ROW(OFFSET(nombres[],ROWS(nombres[])-1,0,1,1))+1),$O1549:$O1568),3),"")</f>
        <v/>
      </c>
      <c r="JA1549" s="42" t="str">
        <f t="array" aca="1" ref="JA1549" ca="1">IFERROR(INDEX(nombres[],SMALL(IF(OFFSET(nombres[],0,0,ROWS(nombres[]),1)=JA$1490,ROW(OFFSET(nombres[],0,0,ROWS(nombres[]),1))-ROW(OFFSET(nombres[],0,0,1,1))+1,ROW(OFFSET(nombres[],ROWS(nombres[])-1,0,1,1))+1),$O1549:$O1568),3),"")</f>
        <v/>
      </c>
      <c r="JB1549" s="42" t="str">
        <f t="array" aca="1" ref="JB1549" ca="1">IFERROR(INDEX(nombres[],SMALL(IF(OFFSET(nombres[],0,0,ROWS(nombres[]),1)=JB$1490,ROW(OFFSET(nombres[],0,0,ROWS(nombres[]),1))-ROW(OFFSET(nombres[],0,0,1,1))+1,ROW(OFFSET(nombres[],ROWS(nombres[])-1,0,1,1))+1),$O1549:$O1568),3),"")</f>
        <v/>
      </c>
      <c r="JC1549" s="42" t="str">
        <f t="array" aca="1" ref="JC1549" ca="1">IFERROR(INDEX(nombres[],SMALL(IF(OFFSET(nombres[],0,0,ROWS(nombres[]),1)=JC$1490,ROW(OFFSET(nombres[],0,0,ROWS(nombres[]),1))-ROW(OFFSET(nombres[],0,0,1,1))+1,ROW(OFFSET(nombres[],ROWS(nombres[])-1,0,1,1))+1),$O1549:$O1568),3),"")</f>
        <v/>
      </c>
      <c r="JD1549" s="42" t="str">
        <f t="array" aca="1" ref="JD1549" ca="1">IFERROR(INDEX(nombres[],SMALL(IF(OFFSET(nombres[],0,0,ROWS(nombres[]),1)=JD$1490,ROW(OFFSET(nombres[],0,0,ROWS(nombres[]),1))-ROW(OFFSET(nombres[],0,0,1,1))+1,ROW(OFFSET(nombres[],ROWS(nombres[])-1,0,1,1))+1),$O1549:$O1568),3),"")</f>
        <v/>
      </c>
      <c r="JE1549" s="42" t="str">
        <f t="array" aca="1" ref="JE1549" ca="1">IFERROR(INDEX(nombres[],SMALL(IF(OFFSET(nombres[],0,0,ROWS(nombres[]),1)=JE$1490,ROW(OFFSET(nombres[],0,0,ROWS(nombres[]),1))-ROW(OFFSET(nombres[],0,0,1,1))+1,ROW(OFFSET(nombres[],ROWS(nombres[])-1,0,1,1))+1),$O1549:$O1568),3),"")</f>
        <v/>
      </c>
      <c r="JF1549" s="42" t="str">
        <f t="array" aca="1" ref="JF1549" ca="1">IFERROR(INDEX(nombres[],SMALL(IF(OFFSET(nombres[],0,0,ROWS(nombres[]),1)=JF$1490,ROW(OFFSET(nombres[],0,0,ROWS(nombres[]),1))-ROW(OFFSET(nombres[],0,0,1,1))+1,ROW(OFFSET(nombres[],ROWS(nombres[])-1,0,1,1))+1),$O1549:$O1568),3),"")</f>
        <v/>
      </c>
      <c r="JG1549" s="42" t="str">
        <f t="array" aca="1" ref="JG1549" ca="1">IFERROR(INDEX(nombres[],SMALL(IF(OFFSET(nombres[],0,0,ROWS(nombres[]),1)=JG$1490,ROW(OFFSET(nombres[],0,0,ROWS(nombres[]),1))-ROW(OFFSET(nombres[],0,0,1,1))+1,ROW(OFFSET(nombres[],ROWS(nombres[])-1,0,1,1))+1),$O1549:$O1568),3),"")</f>
        <v/>
      </c>
      <c r="JH1549" s="42" t="str">
        <f t="array" aca="1" ref="JH1549" ca="1">IFERROR(INDEX(nombres[],SMALL(IF(OFFSET(nombres[],0,0,ROWS(nombres[]),1)=JH$1490,ROW(OFFSET(nombres[],0,0,ROWS(nombres[]),1))-ROW(OFFSET(nombres[],0,0,1,1))+1,ROW(OFFSET(nombres[],ROWS(nombres[])-1,0,1,1))+1),$O1549:$O1568),3),"")</f>
        <v/>
      </c>
      <c r="JI1549" s="42" t="str">
        <f t="array" aca="1" ref="JI1549" ca="1">IFERROR(INDEX(nombres[],SMALL(IF(OFFSET(nombres[],0,0,ROWS(nombres[]),1)=JI$1490,ROW(OFFSET(nombres[],0,0,ROWS(nombres[]),1))-ROW(OFFSET(nombres[],0,0,1,1))+1,ROW(OFFSET(nombres[],ROWS(nombres[])-1,0,1,1))+1),$O1549:$O1568),3),"")</f>
        <v/>
      </c>
      <c r="JJ1549" s="42" t="str">
        <f t="array" aca="1" ref="JJ1549" ca="1">IFERROR(INDEX(nombres[],SMALL(IF(OFFSET(nombres[],0,0,ROWS(nombres[]),1)=JJ$1490,ROW(OFFSET(nombres[],0,0,ROWS(nombres[]),1))-ROW(OFFSET(nombres[],0,0,1,1))+1,ROW(OFFSET(nombres[],ROWS(nombres[])-1,0,1,1))+1),$O1549:$O1568),3),"")</f>
        <v/>
      </c>
      <c r="JK1549" s="42" t="str">
        <f t="array" aca="1" ref="JK1549" ca="1">IFERROR(INDEX(nombres[],SMALL(IF(OFFSET(nombres[],0,0,ROWS(nombres[]),1)=JK$1490,ROW(OFFSET(nombres[],0,0,ROWS(nombres[]),1))-ROW(OFFSET(nombres[],0,0,1,1))+1,ROW(OFFSET(nombres[],ROWS(nombres[])-1,0,1,1))+1),$O1549:$O1568),3),"")</f>
        <v/>
      </c>
      <c r="JL1549" s="42" t="str">
        <f t="array" aca="1" ref="JL1549" ca="1">IFERROR(INDEX(nombres[],SMALL(IF(OFFSET(nombres[],0,0,ROWS(nombres[]),1)=JL$1490,ROW(OFFSET(nombres[],0,0,ROWS(nombres[]),1))-ROW(OFFSET(nombres[],0,0,1,1))+1,ROW(OFFSET(nombres[],ROWS(nombres[])-1,0,1,1))+1),$O1549:$O1568),3),"")</f>
        <v/>
      </c>
      <c r="JM1549" s="42" t="str">
        <f t="array" aca="1" ref="JM1549" ca="1">IFERROR(INDEX(nombres[],SMALL(IF(OFFSET(nombres[],0,0,ROWS(nombres[]),1)=JM$1490,ROW(OFFSET(nombres[],0,0,ROWS(nombres[]),1))-ROW(OFFSET(nombres[],0,0,1,1))+1,ROW(OFFSET(nombres[],ROWS(nombres[])-1,0,1,1))+1),$O1549:$O1568),3),"")</f>
        <v/>
      </c>
      <c r="JN1549" s="42" t="str">
        <f t="array" aca="1" ref="JN1549" ca="1">IFERROR(INDEX(nombres[],SMALL(IF(OFFSET(nombres[],0,0,ROWS(nombres[]),1)=JN$1490,ROW(OFFSET(nombres[],0,0,ROWS(nombres[]),1))-ROW(OFFSET(nombres[],0,0,1,1))+1,ROW(OFFSET(nombres[],ROWS(nombres[])-1,0,1,1))+1),$O1549:$O1568),3),"")</f>
        <v/>
      </c>
      <c r="JO1549" s="42" t="str">
        <f t="array" aca="1" ref="JO1549" ca="1">IFERROR(INDEX(nombres[],SMALL(IF(OFFSET(nombres[],0,0,ROWS(nombres[]),1)=JO$1490,ROW(OFFSET(nombres[],0,0,ROWS(nombres[]),1))-ROW(OFFSET(nombres[],0,0,1,1))+1,ROW(OFFSET(nombres[],ROWS(nombres[])-1,0,1,1))+1),$O1549:$O1568),3),"")</f>
        <v/>
      </c>
      <c r="JP1549" s="42" t="str">
        <f t="array" aca="1" ref="JP1549" ca="1">IFERROR(INDEX(nombres[],SMALL(IF(OFFSET(nombres[],0,0,ROWS(nombres[]),1)=JP$1490,ROW(OFFSET(nombres[],0,0,ROWS(nombres[]),1))-ROW(OFFSET(nombres[],0,0,1,1))+1,ROW(OFFSET(nombres[],ROWS(nombres[])-1,0,1,1))+1),$O1549:$O1568),3),"")</f>
        <v/>
      </c>
      <c r="JQ1549" s="42" t="str">
        <f t="array" aca="1" ref="JQ1549" ca="1">IFERROR(INDEX(nombres[],SMALL(IF(OFFSET(nombres[],0,0,ROWS(nombres[]),1)=JQ$1490,ROW(OFFSET(nombres[],0,0,ROWS(nombres[]),1))-ROW(OFFSET(nombres[],0,0,1,1))+1,ROW(OFFSET(nombres[],ROWS(nombres[])-1,0,1,1))+1),$O1549:$O1568),3),"")</f>
        <v/>
      </c>
      <c r="JR1549" s="42" t="str">
        <f t="array" aca="1" ref="JR1549" ca="1">IFERROR(INDEX(nombres[],SMALL(IF(OFFSET(nombres[],0,0,ROWS(nombres[]),1)=JR$1490,ROW(OFFSET(nombres[],0,0,ROWS(nombres[]),1))-ROW(OFFSET(nombres[],0,0,1,1))+1,ROW(OFFSET(nombres[],ROWS(nombres[])-1,0,1,1))+1),$O1549:$O1568),3),"")</f>
        <v/>
      </c>
      <c r="JS1549" s="42" t="str">
        <f t="array" aca="1" ref="JS1549" ca="1">IFERROR(INDEX(nombres[],SMALL(IF(OFFSET(nombres[],0,0,ROWS(nombres[]),1)=JS$1490,ROW(OFFSET(nombres[],0,0,ROWS(nombres[]),1))-ROW(OFFSET(nombres[],0,0,1,1))+1,ROW(OFFSET(nombres[],ROWS(nombres[])-1,0,1,1))+1),$O1549:$O1568),3),"")</f>
        <v/>
      </c>
      <c r="JT1549" s="42" t="str">
        <f t="array" aca="1" ref="JT1549" ca="1">IFERROR(INDEX(nombres[],SMALL(IF(OFFSET(nombres[],0,0,ROWS(nombres[]),1)=JT$1490,ROW(OFFSET(nombres[],0,0,ROWS(nombres[]),1))-ROW(OFFSET(nombres[],0,0,1,1))+1,ROW(OFFSET(nombres[],ROWS(nombres[])-1,0,1,1))+1),$O1549:$O1568),3),"")</f>
        <v/>
      </c>
      <c r="JU1549" s="42" t="str">
        <f t="array" aca="1" ref="JU1549" ca="1">IFERROR(INDEX(nombres[],SMALL(IF(OFFSET(nombres[],0,0,ROWS(nombres[]),1)=JU$1490,ROW(OFFSET(nombres[],0,0,ROWS(nombres[]),1))-ROW(OFFSET(nombres[],0,0,1,1))+1,ROW(OFFSET(nombres[],ROWS(nombres[])-1,0,1,1))+1),$O1549:$O1568),3),"")</f>
        <v/>
      </c>
      <c r="JV1549" s="42" t="str">
        <f t="array" aca="1" ref="JV1549" ca="1">IFERROR(INDEX(nombres[],SMALL(IF(OFFSET(nombres[],0,0,ROWS(nombres[]),1)=JV$1490,ROW(OFFSET(nombres[],0,0,ROWS(nombres[]),1))-ROW(OFFSET(nombres[],0,0,1,1))+1,ROW(OFFSET(nombres[],ROWS(nombres[])-1,0,1,1))+1),$O1549:$O1568),3),"")</f>
        <v/>
      </c>
      <c r="JW1549" s="42" t="str">
        <f t="array" aca="1" ref="JW1549" ca="1">IFERROR(INDEX(nombres[],SMALL(IF(OFFSET(nombres[],0,0,ROWS(nombres[]),1)=JW$1490,ROW(OFFSET(nombres[],0,0,ROWS(nombres[]),1))-ROW(OFFSET(nombres[],0,0,1,1))+1,ROW(OFFSET(nombres[],ROWS(nombres[])-1,0,1,1))+1),$O1549:$O1568),3),"")</f>
        <v/>
      </c>
      <c r="JX1549" s="42" t="str">
        <f t="array" aca="1" ref="JX1549" ca="1">IFERROR(INDEX(nombres[],SMALL(IF(OFFSET(nombres[],0,0,ROWS(nombres[]),1)=JX$1490,ROW(OFFSET(nombres[],0,0,ROWS(nombres[]),1))-ROW(OFFSET(nombres[],0,0,1,1))+1,ROW(OFFSET(nombres[],ROWS(nombres[])-1,0,1,1))+1),$O1549:$O1568),3),"")</f>
        <v/>
      </c>
      <c r="JY1549" s="42" t="str">
        <f t="array" aca="1" ref="JY1549" ca="1">IFERROR(INDEX(nombres[],SMALL(IF(OFFSET(nombres[],0,0,ROWS(nombres[]),1)=JY$1490,ROW(OFFSET(nombres[],0,0,ROWS(nombres[]),1))-ROW(OFFSET(nombres[],0,0,1,1))+1,ROW(OFFSET(nombres[],ROWS(nombres[])-1,0,1,1))+1),$O1549:$O1568),3),"")</f>
        <v/>
      </c>
      <c r="JZ1549" s="42" t="str">
        <f t="array" aca="1" ref="JZ1549" ca="1">IFERROR(INDEX(nombres[],SMALL(IF(OFFSET(nombres[],0,0,ROWS(nombres[]),1)=JZ$1490,ROW(OFFSET(nombres[],0,0,ROWS(nombres[]),1))-ROW(OFFSET(nombres[],0,0,1,1))+1,ROW(OFFSET(nombres[],ROWS(nombres[])-1,0,1,1))+1),$O1549:$O1568),3),"")</f>
        <v/>
      </c>
      <c r="KA1549" s="42" t="str">
        <f t="array" aca="1" ref="KA1549" ca="1">IFERROR(INDEX(nombres[],SMALL(IF(OFFSET(nombres[],0,0,ROWS(nombres[]),1)=KA$1490,ROW(OFFSET(nombres[],0,0,ROWS(nombres[]),1))-ROW(OFFSET(nombres[],0,0,1,1))+1,ROW(OFFSET(nombres[],ROWS(nombres[])-1,0,1,1))+1),$O1549:$O1568),3),"")</f>
        <v/>
      </c>
      <c r="KB1549" s="42" t="str">
        <f t="array" aca="1" ref="KB1549" ca="1">IFERROR(INDEX(nombres[],SMALL(IF(OFFSET(nombres[],0,0,ROWS(nombres[]),1)=KB$1490,ROW(OFFSET(nombres[],0,0,ROWS(nombres[]),1))-ROW(OFFSET(nombres[],0,0,1,1))+1,ROW(OFFSET(nombres[],ROWS(nombres[])-1,0,1,1))+1),$O1549:$O1568),3),"")</f>
        <v/>
      </c>
      <c r="KC1549" s="42" t="str">
        <f t="array" aca="1" ref="KC1549" ca="1">IFERROR(INDEX(nombres[],SMALL(IF(OFFSET(nombres[],0,0,ROWS(nombres[]),1)=KC$1490,ROW(OFFSET(nombres[],0,0,ROWS(nombres[]),1))-ROW(OFFSET(nombres[],0,0,1,1))+1,ROW(OFFSET(nombres[],ROWS(nombres[])-1,0,1,1))+1),$O1549:$O1568),3),"")</f>
        <v/>
      </c>
      <c r="KD1549" s="42" t="str">
        <f t="array" aca="1" ref="KD1549" ca="1">IFERROR(INDEX(nombres[],SMALL(IF(OFFSET(nombres[],0,0,ROWS(nombres[]),1)=KD$1490,ROW(OFFSET(nombres[],0,0,ROWS(nombres[]),1))-ROW(OFFSET(nombres[],0,0,1,1))+1,ROW(OFFSET(nombres[],ROWS(nombres[])-1,0,1,1))+1),$O1549:$O1568),3),"")</f>
        <v/>
      </c>
      <c r="KE1549" s="42" t="str">
        <f t="array" aca="1" ref="KE1549" ca="1">IFERROR(INDEX(nombres[],SMALL(IF(OFFSET(nombres[],0,0,ROWS(nombres[]),1)=KE$1490,ROW(OFFSET(nombres[],0,0,ROWS(nombres[]),1))-ROW(OFFSET(nombres[],0,0,1,1))+1,ROW(OFFSET(nombres[],ROWS(nombres[])-1,0,1,1))+1),$O1549:$O1568),3),"")</f>
        <v/>
      </c>
      <c r="KF1549" s="42" t="str">
        <f t="array" aca="1" ref="KF1549" ca="1">IFERROR(INDEX(nombres[],SMALL(IF(OFFSET(nombres[],0,0,ROWS(nombres[]),1)=KF$1490,ROW(OFFSET(nombres[],0,0,ROWS(nombres[]),1))-ROW(OFFSET(nombres[],0,0,1,1))+1,ROW(OFFSET(nombres[],ROWS(nombres[])-1,0,1,1))+1),$O1549:$O1568),3),"")</f>
        <v/>
      </c>
      <c r="KG1549" s="42" t="str">
        <f t="array" aca="1" ref="KG1549" ca="1">IFERROR(INDEX(nombres[],SMALL(IF(OFFSET(nombres[],0,0,ROWS(nombres[]),1)=KG$1490,ROW(OFFSET(nombres[],0,0,ROWS(nombres[]),1))-ROW(OFFSET(nombres[],0,0,1,1))+1,ROW(OFFSET(nombres[],ROWS(nombres[])-1,0,1,1))+1),$O1549:$O1568),3),"")</f>
        <v/>
      </c>
      <c r="KH1549" s="42" t="str">
        <f t="array" aca="1" ref="KH1549" ca="1">IFERROR(INDEX(nombres[],SMALL(IF(OFFSET(nombres[],0,0,ROWS(nombres[]),1)=KH$1490,ROW(OFFSET(nombres[],0,0,ROWS(nombres[]),1))-ROW(OFFSET(nombres[],0,0,1,1))+1,ROW(OFFSET(nombres[],ROWS(nombres[])-1,0,1,1))+1),$O1549:$O1568),3),"")</f>
        <v/>
      </c>
      <c r="KI1549" s="42" t="str">
        <f t="array" aca="1" ref="KI1549" ca="1">IFERROR(INDEX(nombres[],SMALL(IF(OFFSET(nombres[],0,0,ROWS(nombres[]),1)=KI$1490,ROW(OFFSET(nombres[],0,0,ROWS(nombres[]),1))-ROW(OFFSET(nombres[],0,0,1,1))+1,ROW(OFFSET(nombres[],ROWS(nombres[])-1,0,1,1))+1),$O1549:$O1568),3),"")</f>
        <v/>
      </c>
      <c r="KJ1549" s="42" t="str">
        <f t="array" aca="1" ref="KJ1549" ca="1">IFERROR(INDEX(nombres[],SMALL(IF(OFFSET(nombres[],0,0,ROWS(nombres[]),1)=KJ$1490,ROW(OFFSET(nombres[],0,0,ROWS(nombres[]),1))-ROW(OFFSET(nombres[],0,0,1,1))+1,ROW(OFFSET(nombres[],ROWS(nombres[])-1,0,1,1))+1),$O1549:$O1568),3),"")</f>
        <v/>
      </c>
      <c r="KK1549" s="42" t="str">
        <f t="array" aca="1" ref="KK1549" ca="1">IFERROR(INDEX(nombres[],SMALL(IF(OFFSET(nombres[],0,0,ROWS(nombres[]),1)=KK$1490,ROW(OFFSET(nombres[],0,0,ROWS(nombres[]),1))-ROW(OFFSET(nombres[],0,0,1,1))+1,ROW(OFFSET(nombres[],ROWS(nombres[])-1,0,1,1))+1),$O1549:$O1568),3),"")</f>
        <v/>
      </c>
      <c r="KL1549" s="42" t="str">
        <f t="array" aca="1" ref="KL1549" ca="1">IFERROR(INDEX(nombres[],SMALL(IF(OFFSET(nombres[],0,0,ROWS(nombres[]),1)=KL$1490,ROW(OFFSET(nombres[],0,0,ROWS(nombres[]),1))-ROW(OFFSET(nombres[],0,0,1,1))+1,ROW(OFFSET(nombres[],ROWS(nombres[])-1,0,1,1))+1),$O1549:$O1568),3),"")</f>
        <v/>
      </c>
      <c r="KM1549" s="42" t="str">
        <f t="array" aca="1" ref="KM1549" ca="1">IFERROR(INDEX(nombres[],SMALL(IF(OFFSET(nombres[],0,0,ROWS(nombres[]),1)=KM$1490,ROW(OFFSET(nombres[],0,0,ROWS(nombres[]),1))-ROW(OFFSET(nombres[],0,0,1,1))+1,ROW(OFFSET(nombres[],ROWS(nombres[])-1,0,1,1))+1),$O1549:$O1568),3),"")</f>
        <v/>
      </c>
      <c r="KN1549" s="42" t="str">
        <f t="array" aca="1" ref="KN1549" ca="1">IFERROR(INDEX(nombres[],SMALL(IF(OFFSET(nombres[],0,0,ROWS(nombres[]),1)=KN$1490,ROW(OFFSET(nombres[],0,0,ROWS(nombres[]),1))-ROW(OFFSET(nombres[],0,0,1,1))+1,ROW(OFFSET(nombres[],ROWS(nombres[])-1,0,1,1))+1),$O1549:$O1568),3),"")</f>
        <v/>
      </c>
      <c r="KO1549" s="42" t="str">
        <f t="array" aca="1" ref="KO1549" ca="1">IFERROR(INDEX(nombres[],SMALL(IF(OFFSET(nombres[],0,0,ROWS(nombres[]),1)=KO$1490,ROW(OFFSET(nombres[],0,0,ROWS(nombres[]),1))-ROW(OFFSET(nombres[],0,0,1,1))+1,ROW(OFFSET(nombres[],ROWS(nombres[])-1,0,1,1))+1),$O1549:$O1568),3),"")</f>
        <v/>
      </c>
      <c r="KP1549" s="42" t="str">
        <f t="array" aca="1" ref="KP1549" ca="1">IFERROR(INDEX(nombres[],SMALL(IF(OFFSET(nombres[],0,0,ROWS(nombres[]),1)=KP$1490,ROW(OFFSET(nombres[],0,0,ROWS(nombres[]),1))-ROW(OFFSET(nombres[],0,0,1,1))+1,ROW(OFFSET(nombres[],ROWS(nombres[])-1,0,1,1))+1),$O1549:$O1568),3),"")</f>
        <v/>
      </c>
      <c r="KQ1549" s="42" t="str">
        <f t="array" aca="1" ref="KQ1549" ca="1">IFERROR(INDEX(nombres[],SMALL(IF(OFFSET(nombres[],0,0,ROWS(nombres[]),1)=KQ$1490,ROW(OFFSET(nombres[],0,0,ROWS(nombres[]),1))-ROW(OFFSET(nombres[],0,0,1,1))+1,ROW(OFFSET(nombres[],ROWS(nombres[])-1,0,1,1))+1),$O1549:$O1568),3),"")</f>
        <v/>
      </c>
      <c r="KR1549" s="42" t="str">
        <f t="array" aca="1" ref="KR1549" ca="1">IFERROR(INDEX(nombres[],SMALL(IF(OFFSET(nombres[],0,0,ROWS(nombres[]),1)=KR$1490,ROW(OFFSET(nombres[],0,0,ROWS(nombres[]),1))-ROW(OFFSET(nombres[],0,0,1,1))+1,ROW(OFFSET(nombres[],ROWS(nombres[])-1,0,1,1))+1),$O1549:$O1568),3),"")</f>
        <v/>
      </c>
      <c r="KS1549" s="42" t="str">
        <f t="array" aca="1" ref="KS1549" ca="1">IFERROR(INDEX(nombres[],SMALL(IF(OFFSET(nombres[],0,0,ROWS(nombres[]),1)=KS$1490,ROW(OFFSET(nombres[],0,0,ROWS(nombres[]),1))-ROW(OFFSET(nombres[],0,0,1,1))+1,ROW(OFFSET(nombres[],ROWS(nombres[])-1,0,1,1))+1),$O1549:$O1568),3),"")</f>
        <v/>
      </c>
      <c r="KT1549" s="42" t="str">
        <f t="array" aca="1" ref="KT1549" ca="1">IFERROR(INDEX(nombres[],SMALL(IF(OFFSET(nombres[],0,0,ROWS(nombres[]),1)=KT$1490,ROW(OFFSET(nombres[],0,0,ROWS(nombres[]),1))-ROW(OFFSET(nombres[],0,0,1,1))+1,ROW(OFFSET(nombres[],ROWS(nombres[])-1,0,1,1))+1),$O1549:$O1568),3),"")</f>
        <v/>
      </c>
      <c r="KU1549" s="42" t="str">
        <f t="array" aca="1" ref="KU1549" ca="1">IFERROR(INDEX(nombres[],SMALL(IF(OFFSET(nombres[],0,0,ROWS(nombres[]),1)=KU$1490,ROW(OFFSET(nombres[],0,0,ROWS(nombres[]),1))-ROW(OFFSET(nombres[],0,0,1,1))+1,ROW(OFFSET(nombres[],ROWS(nombres[])-1,0,1,1))+1),$O1549:$O1568),3),"")</f>
        <v/>
      </c>
      <c r="KV1549" s="42" t="str">
        <f t="array" aca="1" ref="KV1549" ca="1">IFERROR(INDEX(nombres[],SMALL(IF(OFFSET(nombres[],0,0,ROWS(nombres[]),1)=KV$1490,ROW(OFFSET(nombres[],0,0,ROWS(nombres[]),1))-ROW(OFFSET(nombres[],0,0,1,1))+1,ROW(OFFSET(nombres[],ROWS(nombres[])-1,0,1,1))+1),$O1549:$O1568),3),"")</f>
        <v/>
      </c>
      <c r="KW1549" s="42" t="str">
        <f t="array" aca="1" ref="KW1549" ca="1">IFERROR(INDEX(nombres[],SMALL(IF(OFFSET(nombres[],0,0,ROWS(nombres[]),1)=KW$1490,ROW(OFFSET(nombres[],0,0,ROWS(nombres[]),1))-ROW(OFFSET(nombres[],0,0,1,1))+1,ROW(OFFSET(nombres[],ROWS(nombres[])-1,0,1,1))+1),$O1549:$O1568),3),"")</f>
        <v/>
      </c>
      <c r="KX1549" s="42" t="str">
        <f t="array" aca="1" ref="KX1549" ca="1">IFERROR(INDEX(nombres[],SMALL(IF(OFFSET(nombres[],0,0,ROWS(nombres[]),1)=KX$1490,ROW(OFFSET(nombres[],0,0,ROWS(nombres[]),1))-ROW(OFFSET(nombres[],0,0,1,1))+1,ROW(OFFSET(nombres[],ROWS(nombres[])-1,0,1,1))+1),$O1549:$O1568),3),"")</f>
        <v/>
      </c>
      <c r="KY1549" s="42" t="str">
        <f t="array" aca="1" ref="KY1549" ca="1">IFERROR(INDEX(nombres[],SMALL(IF(OFFSET(nombres[],0,0,ROWS(nombres[]),1)=KY$1490,ROW(OFFSET(nombres[],0,0,ROWS(nombres[]),1))-ROW(OFFSET(nombres[],0,0,1,1))+1,ROW(OFFSET(nombres[],ROWS(nombres[])-1,0,1,1))+1),$O1549:$O1568),3),"")</f>
        <v/>
      </c>
      <c r="KZ1549" s="42" t="str">
        <f t="array" aca="1" ref="KZ1549" ca="1">IFERROR(INDEX(nombres[],SMALL(IF(OFFSET(nombres[],0,0,ROWS(nombres[]),1)=KZ$1490,ROW(OFFSET(nombres[],0,0,ROWS(nombres[]),1))-ROW(OFFSET(nombres[],0,0,1,1))+1,ROW(OFFSET(nombres[],ROWS(nombres[])-1,0,1,1))+1),$O1549:$O1568),3),"")</f>
        <v/>
      </c>
      <c r="LA1549" s="42" t="str">
        <f t="array" aca="1" ref="LA1549" ca="1">IFERROR(INDEX(nombres[],SMALL(IF(OFFSET(nombres[],0,0,ROWS(nombres[]),1)=LA$1490,ROW(OFFSET(nombres[],0,0,ROWS(nombres[]),1))-ROW(OFFSET(nombres[],0,0,1,1))+1,ROW(OFFSET(nombres[],ROWS(nombres[])-1,0,1,1))+1),$O1549:$O1568),3),"")</f>
        <v/>
      </c>
      <c r="LB1549" s="42" t="str">
        <f t="array" aca="1" ref="LB1549" ca="1">IFERROR(INDEX(nombres[],SMALL(IF(OFFSET(nombres[],0,0,ROWS(nombres[]),1)=LB$1490,ROW(OFFSET(nombres[],0,0,ROWS(nombres[]),1))-ROW(OFFSET(nombres[],0,0,1,1))+1,ROW(OFFSET(nombres[],ROWS(nombres[])-1,0,1,1))+1),$O1549:$O1568),3),"")</f>
        <v/>
      </c>
      <c r="LC1549" s="42" t="str">
        <f t="array" aca="1" ref="LC1549" ca="1">IFERROR(INDEX(nombres[],SMALL(IF(OFFSET(nombres[],0,0,ROWS(nombres[]),1)=LC$1490,ROW(OFFSET(nombres[],0,0,ROWS(nombres[]),1))-ROW(OFFSET(nombres[],0,0,1,1))+1,ROW(OFFSET(nombres[],ROWS(nombres[])-1,0,1,1))+1),$O1549:$O1568),3),"")</f>
        <v/>
      </c>
      <c r="LD1549" s="42" t="str">
        <f t="array" aca="1" ref="LD1549" ca="1">IFERROR(INDEX(nombres[],SMALL(IF(OFFSET(nombres[],0,0,ROWS(nombres[]),1)=LD$1490,ROW(OFFSET(nombres[],0,0,ROWS(nombres[]),1))-ROW(OFFSET(nombres[],0,0,1,1))+1,ROW(OFFSET(nombres[],ROWS(nombres[])-1,0,1,1))+1),$O1549:$O1568),3),"")</f>
        <v/>
      </c>
      <c r="LE1549" s="42" t="str">
        <f t="array" aca="1" ref="LE1549" ca="1">IFERROR(INDEX(nombres[],SMALL(IF(OFFSET(nombres[],0,0,ROWS(nombres[]),1)=LE$1490,ROW(OFFSET(nombres[],0,0,ROWS(nombres[]),1))-ROW(OFFSET(nombres[],0,0,1,1))+1,ROW(OFFSET(nombres[],ROWS(nombres[])-1,0,1,1))+1),$O1549:$O1568),3),"")</f>
        <v/>
      </c>
      <c r="LF1549" s="42" t="str">
        <f t="array" aca="1" ref="LF1549" ca="1">IFERROR(INDEX(nombres[],SMALL(IF(OFFSET(nombres[],0,0,ROWS(nombres[]),1)=LF$1490,ROW(OFFSET(nombres[],0,0,ROWS(nombres[]),1))-ROW(OFFSET(nombres[],0,0,1,1))+1,ROW(OFFSET(nombres[],ROWS(nombres[])-1,0,1,1))+1),$O1549:$O1568),3),"")</f>
        <v/>
      </c>
      <c r="LG1549" s="42" t="str">
        <f t="array" aca="1" ref="LG1549" ca="1">IFERROR(INDEX(nombres[],SMALL(IF(OFFSET(nombres[],0,0,ROWS(nombres[]),1)=LG$1490,ROW(OFFSET(nombres[],0,0,ROWS(nombres[]),1))-ROW(OFFSET(nombres[],0,0,1,1))+1,ROW(OFFSET(nombres[],ROWS(nombres[])-1,0,1,1))+1),$O1549:$O1568),3),"")</f>
        <v/>
      </c>
      <c r="LH1549" s="42" t="str">
        <f t="array" aca="1" ref="LH1549" ca="1">IFERROR(INDEX(nombres[],SMALL(IF(OFFSET(nombres[],0,0,ROWS(nombres[]),1)=LH$1490,ROW(OFFSET(nombres[],0,0,ROWS(nombres[]),1))-ROW(OFFSET(nombres[],0,0,1,1))+1,ROW(OFFSET(nombres[],ROWS(nombres[])-1,0,1,1))+1),$O1549:$O1568),3),"")</f>
        <v/>
      </c>
      <c r="LI1549" s="42" t="str">
        <f t="array" aca="1" ref="LI1549" ca="1">IFERROR(INDEX(nombres[],SMALL(IF(OFFSET(nombres[],0,0,ROWS(nombres[]),1)=LI$1490,ROW(OFFSET(nombres[],0,0,ROWS(nombres[]),1))-ROW(OFFSET(nombres[],0,0,1,1))+1,ROW(OFFSET(nombres[],ROWS(nombres[])-1,0,1,1))+1),$O1549:$O1568),3),"")</f>
        <v/>
      </c>
      <c r="LJ1549" s="42" t="str">
        <f t="array" aca="1" ref="LJ1549" ca="1">IFERROR(INDEX(nombres[],SMALL(IF(OFFSET(nombres[],0,0,ROWS(nombres[]),1)=LJ$1490,ROW(OFFSET(nombres[],0,0,ROWS(nombres[]),1))-ROW(OFFSET(nombres[],0,0,1,1))+1,ROW(OFFSET(nombres[],ROWS(nombres[])-1,0,1,1))+1),$O1549:$O1568),3),"")</f>
        <v/>
      </c>
      <c r="LK1549" s="42" t="str">
        <f t="array" aca="1" ref="LK1549" ca="1">IFERROR(INDEX(nombres[],SMALL(IF(OFFSET(nombres[],0,0,ROWS(nombres[]),1)=LK$1490,ROW(OFFSET(nombres[],0,0,ROWS(nombres[]),1))-ROW(OFFSET(nombres[],0,0,1,1))+1,ROW(OFFSET(nombres[],ROWS(nombres[])-1,0,1,1))+1),$O1549:$O1568),3),"")</f>
        <v/>
      </c>
      <c r="LL1549" s="42" t="str">
        <f t="array" aca="1" ref="LL1549" ca="1">IFERROR(INDEX(nombres[],SMALL(IF(OFFSET(nombres[],0,0,ROWS(nombres[]),1)=LL$1490,ROW(OFFSET(nombres[],0,0,ROWS(nombres[]),1))-ROW(OFFSET(nombres[],0,0,1,1))+1,ROW(OFFSET(nombres[],ROWS(nombres[])-1,0,1,1))+1),$O1549:$O1568),3),"")</f>
        <v/>
      </c>
      <c r="LM1549" s="42" t="str">
        <f t="array" aca="1" ref="LM1549" ca="1">IFERROR(INDEX(nombres[],SMALL(IF(OFFSET(nombres[],0,0,ROWS(nombres[]),1)=LM$1490,ROW(OFFSET(nombres[],0,0,ROWS(nombres[]),1))-ROW(OFFSET(nombres[],0,0,1,1))+1,ROW(OFFSET(nombres[],ROWS(nombres[])-1,0,1,1))+1),$O1549:$O1568),3),"")</f>
        <v/>
      </c>
      <c r="LN1549" s="42" t="str">
        <f t="array" aca="1" ref="LN1549" ca="1">IFERROR(INDEX(nombres[],SMALL(IF(OFFSET(nombres[],0,0,ROWS(nombres[]),1)=LN$1490,ROW(OFFSET(nombres[],0,0,ROWS(nombres[]),1))-ROW(OFFSET(nombres[],0,0,1,1))+1,ROW(OFFSET(nombres[],ROWS(nombres[])-1,0,1,1))+1),$O1549:$O1568),3),"")</f>
        <v/>
      </c>
      <c r="LO1549" s="42" t="str">
        <f t="array" aca="1" ref="LO1549" ca="1">IFERROR(INDEX(nombres[],SMALL(IF(OFFSET(nombres[],0,0,ROWS(nombres[]),1)=LO$1490,ROW(OFFSET(nombres[],0,0,ROWS(nombres[]),1))-ROW(OFFSET(nombres[],0,0,1,1))+1,ROW(OFFSET(nombres[],ROWS(nombres[])-1,0,1,1))+1),$O1549:$O1568),3),"")</f>
        <v/>
      </c>
      <c r="LP1549" s="42" t="str">
        <f t="array" aca="1" ref="LP1549" ca="1">IFERROR(INDEX(nombres[],SMALL(IF(OFFSET(nombres[],0,0,ROWS(nombres[]),1)=LP$1490,ROW(OFFSET(nombres[],0,0,ROWS(nombres[]),1))-ROW(OFFSET(nombres[],0,0,1,1))+1,ROW(OFFSET(nombres[],ROWS(nombres[])-1,0,1,1))+1),$O1549:$O1568),3),"")</f>
        <v/>
      </c>
      <c r="LQ1549" s="42" t="str">
        <f t="array" aca="1" ref="LQ1549" ca="1">IFERROR(INDEX(nombres[],SMALL(IF(OFFSET(nombres[],0,0,ROWS(nombres[]),1)=LQ$1490,ROW(OFFSET(nombres[],0,0,ROWS(nombres[]),1))-ROW(OFFSET(nombres[],0,0,1,1))+1,ROW(OFFSET(nombres[],ROWS(nombres[])-1,0,1,1))+1),$O1549:$O1568),3),"")</f>
        <v/>
      </c>
      <c r="LR1549" s="42" t="str">
        <f t="array" aca="1" ref="LR1549" ca="1">IFERROR(INDEX(nombres[],SMALL(IF(OFFSET(nombres[],0,0,ROWS(nombres[]),1)=LR$1490,ROW(OFFSET(nombres[],0,0,ROWS(nombres[]),1))-ROW(OFFSET(nombres[],0,0,1,1))+1,ROW(OFFSET(nombres[],ROWS(nombres[])-1,0,1,1))+1),$O1549:$O1568),3),"")</f>
        <v/>
      </c>
      <c r="LS1549" s="42" t="str">
        <f t="array" aca="1" ref="LS1549" ca="1">IFERROR(INDEX(nombres[],SMALL(IF(OFFSET(nombres[],0,0,ROWS(nombres[]),1)=LS$1490,ROW(OFFSET(nombres[],0,0,ROWS(nombres[]),1))-ROW(OFFSET(nombres[],0,0,1,1))+1,ROW(OFFSET(nombres[],ROWS(nombres[])-1,0,1,1))+1),$O1549:$O1568),3),"")</f>
        <v/>
      </c>
      <c r="LT1549" s="42" t="str">
        <f t="array" aca="1" ref="LT1549" ca="1">IFERROR(INDEX(nombres[],SMALL(IF(OFFSET(nombres[],0,0,ROWS(nombres[]),1)=LT$1490,ROW(OFFSET(nombres[],0,0,ROWS(nombres[]),1))-ROW(OFFSET(nombres[],0,0,1,1))+1,ROW(OFFSET(nombres[],ROWS(nombres[])-1,0,1,1))+1),$O1549:$O1568),3),"")</f>
        <v/>
      </c>
      <c r="LU1549" s="42" t="str">
        <f t="array" aca="1" ref="LU1549" ca="1">IFERROR(INDEX(nombres[],SMALL(IF(OFFSET(nombres[],0,0,ROWS(nombres[]),1)=LU$1490,ROW(OFFSET(nombres[],0,0,ROWS(nombres[]),1))-ROW(OFFSET(nombres[],0,0,1,1))+1,ROW(OFFSET(nombres[],ROWS(nombres[])-1,0,1,1))+1),$O1549:$O1568),3),"")</f>
        <v/>
      </c>
      <c r="LV1549" s="42" t="str">
        <f t="array" aca="1" ref="LV1549" ca="1">IFERROR(INDEX(nombres[],SMALL(IF(OFFSET(nombres[],0,0,ROWS(nombres[]),1)=LV$1490,ROW(OFFSET(nombres[],0,0,ROWS(nombres[]),1))-ROW(OFFSET(nombres[],0,0,1,1))+1,ROW(OFFSET(nombres[],ROWS(nombres[])-1,0,1,1))+1),$O1549:$O1568),3),"")</f>
        <v/>
      </c>
      <c r="LW1549" s="42" t="str">
        <f t="array" aca="1" ref="LW1549" ca="1">IFERROR(INDEX(nombres[],SMALL(IF(OFFSET(nombres[],0,0,ROWS(nombres[]),1)=LW$1490,ROW(OFFSET(nombres[],0,0,ROWS(nombres[]),1))-ROW(OFFSET(nombres[],0,0,1,1))+1,ROW(OFFSET(nombres[],ROWS(nombres[])-1,0,1,1))+1),$O1549:$O1568),3),"")</f>
        <v/>
      </c>
      <c r="LX1549" s="42" t="str">
        <f t="array" aca="1" ref="LX1549" ca="1">IFERROR(INDEX(nombres[],SMALL(IF(OFFSET(nombres[],0,0,ROWS(nombres[]),1)=LX$1490,ROW(OFFSET(nombres[],0,0,ROWS(nombres[]),1))-ROW(OFFSET(nombres[],0,0,1,1))+1,ROW(OFFSET(nombres[],ROWS(nombres[])-1,0,1,1))+1),$O1549:$O1568),3),"")</f>
        <v/>
      </c>
      <c r="LY1549" s="42" t="str">
        <f t="array" aca="1" ref="LY1549" ca="1">IFERROR(INDEX(nombres[],SMALL(IF(OFFSET(nombres[],0,0,ROWS(nombres[]),1)=LY$1490,ROW(OFFSET(nombres[],0,0,ROWS(nombres[]),1))-ROW(OFFSET(nombres[],0,0,1,1))+1,ROW(OFFSET(nombres[],ROWS(nombres[])-1,0,1,1))+1),$O1549:$O1568),3),"")</f>
        <v/>
      </c>
      <c r="LZ1549" s="42" t="str">
        <f t="array" aca="1" ref="LZ1549" ca="1">IFERROR(INDEX(nombres[],SMALL(IF(OFFSET(nombres[],0,0,ROWS(nombres[]),1)=LZ$1490,ROW(OFFSET(nombres[],0,0,ROWS(nombres[]),1))-ROW(OFFSET(nombres[],0,0,1,1))+1,ROW(OFFSET(nombres[],ROWS(nombres[])-1,0,1,1))+1),$O1549:$O1568),3),"")</f>
        <v/>
      </c>
      <c r="MA1549" s="42" t="str">
        <f t="array" aca="1" ref="MA1549" ca="1">IFERROR(INDEX(nombres[],SMALL(IF(OFFSET(nombres[],0,0,ROWS(nombres[]),1)=MA$1490,ROW(OFFSET(nombres[],0,0,ROWS(nombres[]),1))-ROW(OFFSET(nombres[],0,0,1,1))+1,ROW(OFFSET(nombres[],ROWS(nombres[])-1,0,1,1))+1),$O1549:$O1568),3),"")</f>
        <v/>
      </c>
      <c r="MB1549" s="42" t="str">
        <f t="array" aca="1" ref="MB1549" ca="1">IFERROR(INDEX(nombres[],SMALL(IF(OFFSET(nombres[],0,0,ROWS(nombres[]),1)=MB$1490,ROW(OFFSET(nombres[],0,0,ROWS(nombres[]),1))-ROW(OFFSET(nombres[],0,0,1,1))+1,ROW(OFFSET(nombres[],ROWS(nombres[])-1,0,1,1))+1),$O1549:$O1568),3),"")</f>
        <v/>
      </c>
      <c r="MC1549" s="42" t="str">
        <f t="array" aca="1" ref="MC1549" ca="1">IFERROR(INDEX(nombres[],SMALL(IF(OFFSET(nombres[],0,0,ROWS(nombres[]),1)=MC$1490,ROW(OFFSET(nombres[],0,0,ROWS(nombres[]),1))-ROW(OFFSET(nombres[],0,0,1,1))+1,ROW(OFFSET(nombres[],ROWS(nombres[])-1,0,1,1))+1),$O1549:$O1568),3),"")</f>
        <v/>
      </c>
      <c r="MD1549" s="42" t="str">
        <f t="array" aca="1" ref="MD1549" ca="1">IFERROR(INDEX(nombres[],SMALL(IF(OFFSET(nombres[],0,0,ROWS(nombres[]),1)=MD$1490,ROW(OFFSET(nombres[],0,0,ROWS(nombres[]),1))-ROW(OFFSET(nombres[],0,0,1,1))+1,ROW(OFFSET(nombres[],ROWS(nombres[])-1,0,1,1))+1),$O1549:$O1568),3),"")</f>
        <v/>
      </c>
      <c r="ME1549" s="42" t="str">
        <f t="array" aca="1" ref="ME1549" ca="1">IFERROR(INDEX(nombres[],SMALL(IF(OFFSET(nombres[],0,0,ROWS(nombres[]),1)=ME$1490,ROW(OFFSET(nombres[],0,0,ROWS(nombres[]),1))-ROW(OFFSET(nombres[],0,0,1,1))+1,ROW(OFFSET(nombres[],ROWS(nombres[])-1,0,1,1))+1),$O1549:$O1568),3),"")</f>
        <v/>
      </c>
      <c r="MF1549" s="42" t="str">
        <f t="array" aca="1" ref="MF1549" ca="1">IFERROR(INDEX(nombres[],SMALL(IF(OFFSET(nombres[],0,0,ROWS(nombres[]),1)=MF$1490,ROW(OFFSET(nombres[],0,0,ROWS(nombres[]),1))-ROW(OFFSET(nombres[],0,0,1,1))+1,ROW(OFFSET(nombres[],ROWS(nombres[])-1,0,1,1))+1),$O1549:$O1568),3),"")</f>
        <v/>
      </c>
      <c r="MG1549" s="42" t="str">
        <f t="array" aca="1" ref="MG1549" ca="1">IFERROR(INDEX(nombres[],SMALL(IF(OFFSET(nombres[],0,0,ROWS(nombres[]),1)=MG$1490,ROW(OFFSET(nombres[],0,0,ROWS(nombres[]),1))-ROW(OFFSET(nombres[],0,0,1,1))+1,ROW(OFFSET(nombres[],ROWS(nombres[])-1,0,1,1))+1),$O1549:$O1568),3),"")</f>
        <v/>
      </c>
      <c r="MH1549" s="42" t="str">
        <f t="array" aca="1" ref="MH1549" ca="1">IFERROR(INDEX(nombres[],SMALL(IF(OFFSET(nombres[],0,0,ROWS(nombres[]),1)=MH$1490,ROW(OFFSET(nombres[],0,0,ROWS(nombres[]),1))-ROW(OFFSET(nombres[],0,0,1,1))+1,ROW(OFFSET(nombres[],ROWS(nombres[])-1,0,1,1))+1),$O1549:$O1568),3),"")</f>
        <v/>
      </c>
      <c r="MI1549" s="42" t="str">
        <f t="array" aca="1" ref="MI1549" ca="1">IFERROR(INDEX(nombres[],SMALL(IF(OFFSET(nombres[],0,0,ROWS(nombres[]),1)=MI$1490,ROW(OFFSET(nombres[],0,0,ROWS(nombres[]),1))-ROW(OFFSET(nombres[],0,0,1,1))+1,ROW(OFFSET(nombres[],ROWS(nombres[])-1,0,1,1))+1),$O1549:$O1568),3),"")</f>
        <v/>
      </c>
      <c r="MJ1549" s="42" t="str">
        <f t="array" aca="1" ref="MJ1549" ca="1">IFERROR(INDEX(nombres[],SMALL(IF(OFFSET(nombres[],0,0,ROWS(nombres[]),1)=MJ$1490,ROW(OFFSET(nombres[],0,0,ROWS(nombres[]),1))-ROW(OFFSET(nombres[],0,0,1,1))+1,ROW(OFFSET(nombres[],ROWS(nombres[])-1,0,1,1))+1),$O1549:$O1568),3),"")</f>
        <v/>
      </c>
      <c r="MK1549" s="42" t="str">
        <f t="array" aca="1" ref="MK1549" ca="1">IFERROR(INDEX(nombres[],SMALL(IF(OFFSET(nombres[],0,0,ROWS(nombres[]),1)=MK$1490,ROW(OFFSET(nombres[],0,0,ROWS(nombres[]),1))-ROW(OFFSET(nombres[],0,0,1,1))+1,ROW(OFFSET(nombres[],ROWS(nombres[])-1,0,1,1))+1),$O1549:$O1568),3),"")</f>
        <v/>
      </c>
      <c r="ML1549" s="42" t="str">
        <f t="array" aca="1" ref="ML1549" ca="1">IFERROR(INDEX(nombres[],SMALL(IF(OFFSET(nombres[],0,0,ROWS(nombres[]),1)=ML$1490,ROW(OFFSET(nombres[],0,0,ROWS(nombres[]),1))-ROW(OFFSET(nombres[],0,0,1,1))+1,ROW(OFFSET(nombres[],ROWS(nombres[])-1,0,1,1))+1),$O1549:$O1568),3),"")</f>
        <v/>
      </c>
      <c r="MM1549" s="42" t="str">
        <f t="array" aca="1" ref="MM1549" ca="1">IFERROR(INDEX(nombres[],SMALL(IF(OFFSET(nombres[],0,0,ROWS(nombres[]),1)=MM$1490,ROW(OFFSET(nombres[],0,0,ROWS(nombres[]),1))-ROW(OFFSET(nombres[],0,0,1,1))+1,ROW(OFFSET(nombres[],ROWS(nombres[])-1,0,1,1))+1),$O1549:$O1568),3),"")</f>
        <v/>
      </c>
      <c r="MN1549" s="42" t="str">
        <f t="array" aca="1" ref="MN1549" ca="1">IFERROR(INDEX(nombres[],SMALL(IF(OFFSET(nombres[],0,0,ROWS(nombres[]),1)=MN$1490,ROW(OFFSET(nombres[],0,0,ROWS(nombres[]),1))-ROW(OFFSET(nombres[],0,0,1,1))+1,ROW(OFFSET(nombres[],ROWS(nombres[])-1,0,1,1))+1),$O1549:$O1568),3),"")</f>
        <v/>
      </c>
      <c r="MO1549" s="42" t="str">
        <f t="array" aca="1" ref="MO1549" ca="1">IFERROR(INDEX(nombres[],SMALL(IF(OFFSET(nombres[],0,0,ROWS(nombres[]),1)=MO$1490,ROW(OFFSET(nombres[],0,0,ROWS(nombres[]),1))-ROW(OFFSET(nombres[],0,0,1,1))+1,ROW(OFFSET(nombres[],ROWS(nombres[])-1,0,1,1))+1),$O1549:$O1568),3),"")</f>
        <v/>
      </c>
      <c r="MP1549" s="42" t="str">
        <f t="array" aca="1" ref="MP1549" ca="1">IFERROR(INDEX(nombres[],SMALL(IF(OFFSET(nombres[],0,0,ROWS(nombres[]),1)=MP$1490,ROW(OFFSET(nombres[],0,0,ROWS(nombres[]),1))-ROW(OFFSET(nombres[],0,0,1,1))+1,ROW(OFFSET(nombres[],ROWS(nombres[])-1,0,1,1))+1),$O1549:$O1568),3),"")</f>
        <v/>
      </c>
      <c r="MQ1549" s="42" t="str">
        <f t="array" aca="1" ref="MQ1549" ca="1">IFERROR(INDEX(nombres[],SMALL(IF(OFFSET(nombres[],0,0,ROWS(nombres[]),1)=MQ$1490,ROW(OFFSET(nombres[],0,0,ROWS(nombres[]),1))-ROW(OFFSET(nombres[],0,0,1,1))+1,ROW(OFFSET(nombres[],ROWS(nombres[])-1,0,1,1))+1),$O1549:$O1568),3),"")</f>
        <v/>
      </c>
      <c r="MR1549" s="42" t="str">
        <f t="array" aca="1" ref="MR1549" ca="1">IFERROR(INDEX(nombres[],SMALL(IF(OFFSET(nombres[],0,0,ROWS(nombres[]),1)=MR$1490,ROW(OFFSET(nombres[],0,0,ROWS(nombres[]),1))-ROW(OFFSET(nombres[],0,0,1,1))+1,ROW(OFFSET(nombres[],ROWS(nombres[])-1,0,1,1))+1),$O1549:$O1568),3),"")</f>
        <v/>
      </c>
      <c r="MS1549" s="42" t="str">
        <f t="array" aca="1" ref="MS1549" ca="1">IFERROR(INDEX(nombres[],SMALL(IF(OFFSET(nombres[],0,0,ROWS(nombres[]),1)=MS$1490,ROW(OFFSET(nombres[],0,0,ROWS(nombres[]),1))-ROW(OFFSET(nombres[],0,0,1,1))+1,ROW(OFFSET(nombres[],ROWS(nombres[])-1,0,1,1))+1),$O1549:$O1568),3),"")</f>
        <v/>
      </c>
      <c r="MT1549" s="42" t="str">
        <f t="array" aca="1" ref="MT1549" ca="1">IFERROR(INDEX(nombres[],SMALL(IF(OFFSET(nombres[],0,0,ROWS(nombres[]),1)=MT$1490,ROW(OFFSET(nombres[],0,0,ROWS(nombres[]),1))-ROW(OFFSET(nombres[],0,0,1,1))+1,ROW(OFFSET(nombres[],ROWS(nombres[])-1,0,1,1))+1),$O1549:$O1568),3),"")</f>
        <v/>
      </c>
      <c r="MU1549" s="42" t="str">
        <f t="array" aca="1" ref="MU1549" ca="1">IFERROR(INDEX(nombres[],SMALL(IF(OFFSET(nombres[],0,0,ROWS(nombres[]),1)=MU$1490,ROW(OFFSET(nombres[],0,0,ROWS(nombres[]),1))-ROW(OFFSET(nombres[],0,0,1,1))+1,ROW(OFFSET(nombres[],ROWS(nombres[])-1,0,1,1))+1),$O1549:$O1568),3),"")</f>
        <v/>
      </c>
      <c r="MV1549" s="42" t="str">
        <f t="array" aca="1" ref="MV1549" ca="1">IFERROR(INDEX(nombres[],SMALL(IF(OFFSET(nombres[],0,0,ROWS(nombres[]),1)=MV$1490,ROW(OFFSET(nombres[],0,0,ROWS(nombres[]),1))-ROW(OFFSET(nombres[],0,0,1,1))+1,ROW(OFFSET(nombres[],ROWS(nombres[])-1,0,1,1))+1),$O1549:$O1568),3),"")</f>
        <v/>
      </c>
      <c r="MW1549" s="42" t="str">
        <f t="array" aca="1" ref="MW1549" ca="1">IFERROR(INDEX(nombres[],SMALL(IF(OFFSET(nombres[],0,0,ROWS(nombres[]),1)=MW$1490,ROW(OFFSET(nombres[],0,0,ROWS(nombres[]),1))-ROW(OFFSET(nombres[],0,0,1,1))+1,ROW(OFFSET(nombres[],ROWS(nombres[])-1,0,1,1))+1),$O1549:$O1568),3),"")</f>
        <v/>
      </c>
      <c r="MX1549" s="42" t="str">
        <f t="array" aca="1" ref="MX1549" ca="1">IFERROR(INDEX(nombres[],SMALL(IF(OFFSET(nombres[],0,0,ROWS(nombres[]),1)=MX$1490,ROW(OFFSET(nombres[],0,0,ROWS(nombres[]),1))-ROW(OFFSET(nombres[],0,0,1,1))+1,ROW(OFFSET(nombres[],ROWS(nombres[])-1,0,1,1))+1),$O1549:$O1568),3),"")</f>
        <v/>
      </c>
      <c r="MY1549" s="42" t="str">
        <f t="array" aca="1" ref="MY1549" ca="1">IFERROR(INDEX(nombres[],SMALL(IF(OFFSET(nombres[],0,0,ROWS(nombres[]),1)=MY$1490,ROW(OFFSET(nombres[],0,0,ROWS(nombres[]),1))-ROW(OFFSET(nombres[],0,0,1,1))+1,ROW(OFFSET(nombres[],ROWS(nombres[])-1,0,1,1))+1),$O1549:$O1568),3),"")</f>
        <v/>
      </c>
      <c r="MZ1549" s="42" t="str">
        <f t="array" aca="1" ref="MZ1549" ca="1">IFERROR(INDEX(nombres[],SMALL(IF(OFFSET(nombres[],0,0,ROWS(nombres[]),1)=MZ$1490,ROW(OFFSET(nombres[],0,0,ROWS(nombres[]),1))-ROW(OFFSET(nombres[],0,0,1,1))+1,ROW(OFFSET(nombres[],ROWS(nombres[])-1,0,1,1))+1),$O1549:$O1568),3),"")</f>
        <v/>
      </c>
      <c r="NA1549" s="42" t="str">
        <f t="array" aca="1" ref="NA1549" ca="1">IFERROR(INDEX(nombres[],SMALL(IF(OFFSET(nombres[],0,0,ROWS(nombres[]),1)=NA$1490,ROW(OFFSET(nombres[],0,0,ROWS(nombres[]),1))-ROW(OFFSET(nombres[],0,0,1,1))+1,ROW(OFFSET(nombres[],ROWS(nombres[])-1,0,1,1))+1),$O1549:$O1568),3),"")</f>
        <v/>
      </c>
      <c r="NB1549" s="42" t="str">
        <f t="array" aca="1" ref="NB1549" ca="1">IFERROR(INDEX(nombres[],SMALL(IF(OFFSET(nombres[],0,0,ROWS(nombres[]),1)=NB$1490,ROW(OFFSET(nombres[],0,0,ROWS(nombres[]),1))-ROW(OFFSET(nombres[],0,0,1,1))+1,ROW(OFFSET(nombres[],ROWS(nombres[])-1,0,1,1))+1),$O1549:$O1568),3),"")</f>
        <v/>
      </c>
      <c r="NC1549" s="42" t="str">
        <f t="array" aca="1" ref="NC1549" ca="1">IFERROR(INDEX(nombres[],SMALL(IF(OFFSET(nombres[],0,0,ROWS(nombres[]),1)=NC$1490,ROW(OFFSET(nombres[],0,0,ROWS(nombres[]),1))-ROW(OFFSET(nombres[],0,0,1,1))+1,ROW(OFFSET(nombres[],ROWS(nombres[])-1,0,1,1))+1),$O1549:$O1568),3),"")</f>
        <v/>
      </c>
      <c r="ND1549" s="42" t="str">
        <f t="array" aca="1" ref="ND1549" ca="1">IFERROR(INDEX(nombres[],SMALL(IF(OFFSET(nombres[],0,0,ROWS(nombres[]),1)=ND$1490,ROW(OFFSET(nombres[],0,0,ROWS(nombres[]),1))-ROW(OFFSET(nombres[],0,0,1,1))+1,ROW(OFFSET(nombres[],ROWS(nombres[])-1,0,1,1))+1),$O1549:$O1568),3),"")</f>
        <v/>
      </c>
      <c r="NE1549" s="42" t="str">
        <f t="array" aca="1" ref="NE1549" ca="1">IFERROR(INDEX(nombres[],SMALL(IF(OFFSET(nombres[],0,0,ROWS(nombres[]),1)=NE$1490,ROW(OFFSET(nombres[],0,0,ROWS(nombres[]),1))-ROW(OFFSET(nombres[],0,0,1,1))+1,ROW(OFFSET(nombres[],ROWS(nombres[])-1,0,1,1))+1),$O1549:$O1568),3),"")</f>
        <v/>
      </c>
      <c r="NF1549" s="42" t="str">
        <f t="array" aca="1" ref="NF1549" ca="1">IFERROR(INDEX(nombres[],SMALL(IF(OFFSET(nombres[],0,0,ROWS(nombres[]),1)=NF$1490,ROW(OFFSET(nombres[],0,0,ROWS(nombres[]),1))-ROW(OFFSET(nombres[],0,0,1,1))+1,ROW(OFFSET(nombres[],ROWS(nombres[])-1,0,1,1))+1),$O1549:$O1568),3),"")</f>
        <v/>
      </c>
      <c r="NG1549" s="42" t="str">
        <f t="array" aca="1" ref="NG1549" ca="1">IFERROR(INDEX(nombres[],SMALL(IF(OFFSET(nombres[],0,0,ROWS(nombres[]),1)=NG$1490,ROW(OFFSET(nombres[],0,0,ROWS(nombres[]),1))-ROW(OFFSET(nombres[],0,0,1,1))+1,ROW(OFFSET(nombres[],ROWS(nombres[])-1,0,1,1))+1),$O1549:$O1568),3),"")</f>
        <v/>
      </c>
      <c r="NH1549" s="42" t="str">
        <f t="array" aca="1" ref="NH1549" ca="1">IFERROR(INDEX(nombres[],SMALL(IF(OFFSET(nombres[],0,0,ROWS(nombres[]),1)=NH$1490,ROW(OFFSET(nombres[],0,0,ROWS(nombres[]),1))-ROW(OFFSET(nombres[],0,0,1,1))+1,ROW(OFFSET(nombres[],ROWS(nombres[])-1,0,1,1))+1),$O1549:$O1568),3),"")</f>
        <v/>
      </c>
      <c r="NI1549" s="42" t="str">
        <f t="array" aca="1" ref="NI1549" ca="1">IFERROR(INDEX(nombres[],SMALL(IF(OFFSET(nombres[],0,0,ROWS(nombres[]),1)=NI$1490,ROW(OFFSET(nombres[],0,0,ROWS(nombres[]),1))-ROW(OFFSET(nombres[],0,0,1,1))+1,ROW(OFFSET(nombres[],ROWS(nombres[])-1,0,1,1))+1),$O1549:$O1568),3),"")</f>
        <v/>
      </c>
      <c r="NJ1549" s="42" t="str">
        <f t="array" aca="1" ref="NJ1549" ca="1">IFERROR(INDEX(nombres[],SMALL(IF(OFFSET(nombres[],0,0,ROWS(nombres[]),1)=NJ$1490,ROW(OFFSET(nombres[],0,0,ROWS(nombres[]),1))-ROW(OFFSET(nombres[],0,0,1,1))+1,ROW(OFFSET(nombres[],ROWS(nombres[])-1,0,1,1))+1),$O1549:$O1568),3),"")</f>
        <v/>
      </c>
      <c r="NK1549" s="42" t="str">
        <f t="array" aca="1" ref="NK1549" ca="1">IFERROR(INDEX(nombres[],SMALL(IF(OFFSET(nombres[],0,0,ROWS(nombres[]),1)=NK$1490,ROW(OFFSET(nombres[],0,0,ROWS(nombres[]),1))-ROW(OFFSET(nombres[],0,0,1,1))+1,ROW(OFFSET(nombres[],ROWS(nombres[])-1,0,1,1))+1),$O1549:$O1568),3),"")</f>
        <v/>
      </c>
      <c r="NL1549" s="42" t="str">
        <f t="array" aca="1" ref="NL1549" ca="1">IFERROR(INDEX(nombres[],SMALL(IF(OFFSET(nombres[],0,0,ROWS(nombres[]),1)=NL$1490,ROW(OFFSET(nombres[],0,0,ROWS(nombres[]),1))-ROW(OFFSET(nombres[],0,0,1,1))+1,ROW(OFFSET(nombres[],ROWS(nombres[])-1,0,1,1))+1),$O1549:$O1568),3),"")</f>
        <v/>
      </c>
      <c r="NM1549" s="42" t="str">
        <f t="array" aca="1" ref="NM1549" ca="1">IFERROR(INDEX(nombres[],SMALL(IF(OFFSET(nombres[],0,0,ROWS(nombres[]),1)=NM$1490,ROW(OFFSET(nombres[],0,0,ROWS(nombres[]),1))-ROW(OFFSET(nombres[],0,0,1,1))+1,ROW(OFFSET(nombres[],ROWS(nombres[])-1,0,1,1))+1),$O1549:$O1568),3),"")</f>
        <v/>
      </c>
      <c r="NN1549" s="42" t="str">
        <f t="array" aca="1" ref="NN1549" ca="1">IFERROR(INDEX(nombres[],SMALL(IF(OFFSET(nombres[],0,0,ROWS(nombres[]),1)=NN$1490,ROW(OFFSET(nombres[],0,0,ROWS(nombres[]),1))-ROW(OFFSET(nombres[],0,0,1,1))+1,ROW(OFFSET(nombres[],ROWS(nombres[])-1,0,1,1))+1),$O1549:$O1568),3),"")</f>
        <v/>
      </c>
      <c r="NO1549" s="42" t="str">
        <f t="array" aca="1" ref="NO1549" ca="1">IFERROR(INDEX(nombres[],SMALL(IF(OFFSET(nombres[],0,0,ROWS(nombres[]),1)=NO$1490,ROW(OFFSET(nombres[],0,0,ROWS(nombres[]),1))-ROW(OFFSET(nombres[],0,0,1,1))+1,ROW(OFFSET(nombres[],ROWS(nombres[])-1,0,1,1))+1),$O1549:$O1568),3),"")</f>
        <v/>
      </c>
      <c r="NP1549" s="42" t="str">
        <f t="array" aca="1" ref="NP1549" ca="1">IFERROR(INDEX(nombres[],SMALL(IF(OFFSET(nombres[],0,0,ROWS(nombres[]),1)=NP$1490,ROW(OFFSET(nombres[],0,0,ROWS(nombres[]),1))-ROW(OFFSET(nombres[],0,0,1,1))+1,ROW(OFFSET(nombres[],ROWS(nombres[])-1,0,1,1))+1),$O1549:$O1568),3),"")</f>
        <v/>
      </c>
      <c r="NQ1549" s="42" t="str">
        <f t="array" aca="1" ref="NQ1549" ca="1">IFERROR(INDEX(nombres[],SMALL(IF(OFFSET(nombres[],0,0,ROWS(nombres[]),1)=NQ$1490,ROW(OFFSET(nombres[],0,0,ROWS(nombres[]),1))-ROW(OFFSET(nombres[],0,0,1,1))+1,ROW(OFFSET(nombres[],ROWS(nombres[])-1,0,1,1))+1),$O1549:$O1568),3),"")</f>
        <v/>
      </c>
      <c r="NR1549" s="42" t="str">
        <f t="array" aca="1" ref="NR1549" ca="1">IFERROR(INDEX(nombres[],SMALL(IF(OFFSET(nombres[],0,0,ROWS(nombres[]),1)=NR$1490,ROW(OFFSET(nombres[],0,0,ROWS(nombres[]),1))-ROW(OFFSET(nombres[],0,0,1,1))+1,ROW(OFFSET(nombres[],ROWS(nombres[])-1,0,1,1))+1),$O1549:$O1568),3),"")</f>
        <v/>
      </c>
      <c r="NS1549" s="42" t="str">
        <f t="array" aca="1" ref="NS1549" ca="1">IFERROR(INDEX(nombres[],SMALL(IF(OFFSET(nombres[],0,0,ROWS(nombres[]),1)=NS$1490,ROW(OFFSET(nombres[],0,0,ROWS(nombres[]),1))-ROW(OFFSET(nombres[],0,0,1,1))+1,ROW(OFFSET(nombres[],ROWS(nombres[])-1,0,1,1))+1),$O1549:$O1568),3),"")</f>
        <v/>
      </c>
      <c r="NT1549" s="42" t="str">
        <f t="array" aca="1" ref="NT1549" ca="1">IFERROR(INDEX(nombres[],SMALL(IF(OFFSET(nombres[],0,0,ROWS(nombres[]),1)=NT$1490,ROW(OFFSET(nombres[],0,0,ROWS(nombres[]),1))-ROW(OFFSET(nombres[],0,0,1,1))+1,ROW(OFFSET(nombres[],ROWS(nombres[])-1,0,1,1))+1),$O1549:$O1568),3),"")</f>
        <v/>
      </c>
      <c r="NU1549" s="42" t="str">
        <f t="array" aca="1" ref="NU1549" ca="1">IFERROR(INDEX(nombres[],SMALL(IF(OFFSET(nombres[],0,0,ROWS(nombres[]),1)=NU$1490,ROW(OFFSET(nombres[],0,0,ROWS(nombres[]),1))-ROW(OFFSET(nombres[],0,0,1,1))+1,ROW(OFFSET(nombres[],ROWS(nombres[])-1,0,1,1))+1),$O1549:$O1568),3),"")</f>
        <v/>
      </c>
      <c r="NV1549" s="42" t="str">
        <f t="array" aca="1" ref="NV1549" ca="1">IFERROR(INDEX(nombres[],SMALL(IF(OFFSET(nombres[],0,0,ROWS(nombres[]),1)=NV$1490,ROW(OFFSET(nombres[],0,0,ROWS(nombres[]),1))-ROW(OFFSET(nombres[],0,0,1,1))+1,ROW(OFFSET(nombres[],ROWS(nombres[])-1,0,1,1))+1),$O1549:$O1568),3),"")</f>
        <v/>
      </c>
      <c r="NW1549" s="42" t="str">
        <f t="array" aca="1" ref="NW1549" ca="1">IFERROR(INDEX(nombres[],SMALL(IF(OFFSET(nombres[],0,0,ROWS(nombres[]),1)=NW$1490,ROW(OFFSET(nombres[],0,0,ROWS(nombres[]),1))-ROW(OFFSET(nombres[],0,0,1,1))+1,ROW(OFFSET(nombres[],ROWS(nombres[])-1,0,1,1))+1),$O1549:$O1568),3),"")</f>
        <v/>
      </c>
      <c r="NX1549" s="42" t="str">
        <f t="array" aca="1" ref="NX1549" ca="1">IFERROR(INDEX(nombres[],SMALL(IF(OFFSET(nombres[],0,0,ROWS(nombres[]),1)=NX$1490,ROW(OFFSET(nombres[],0,0,ROWS(nombres[]),1))-ROW(OFFSET(nombres[],0,0,1,1))+1,ROW(OFFSET(nombres[],ROWS(nombres[])-1,0,1,1))+1),$O1549:$O1568),3),"")</f>
        <v/>
      </c>
      <c r="NY1549" s="42" t="str">
        <f t="array" aca="1" ref="NY1549" ca="1">IFERROR(INDEX(nombres[],SMALL(IF(OFFSET(nombres[],0,0,ROWS(nombres[]),1)=NY$1490,ROW(OFFSET(nombres[],0,0,ROWS(nombres[]),1))-ROW(OFFSET(nombres[],0,0,1,1))+1,ROW(OFFSET(nombres[],ROWS(nombres[])-1,0,1,1))+1),$O1549:$O1568),3),"")</f>
        <v/>
      </c>
      <c r="NZ1549" s="42" t="str">
        <f t="array" aca="1" ref="NZ1549" ca="1">IFERROR(INDEX(nombres[],SMALL(IF(OFFSET(nombres[],0,0,ROWS(nombres[]),1)=NZ$1490,ROW(OFFSET(nombres[],0,0,ROWS(nombres[]),1))-ROW(OFFSET(nombres[],0,0,1,1))+1,ROW(OFFSET(nombres[],ROWS(nombres[])-1,0,1,1))+1),$O1549:$O1568),3),"")</f>
        <v/>
      </c>
      <c r="OA1549" s="42" t="str">
        <f t="array" aca="1" ref="OA1549" ca="1">IFERROR(INDEX(nombres[],SMALL(IF(OFFSET(nombres[],0,0,ROWS(nombres[]),1)=OA$1490,ROW(OFFSET(nombres[],0,0,ROWS(nombres[]),1))-ROW(OFFSET(nombres[],0,0,1,1))+1,ROW(OFFSET(nombres[],ROWS(nombres[])-1,0,1,1))+1),$O1549:$O1568),3),"")</f>
        <v/>
      </c>
      <c r="OB1549" s="42" t="str">
        <f t="array" aca="1" ref="OB1549" ca="1">IFERROR(INDEX(nombres[],SMALL(IF(OFFSET(nombres[],0,0,ROWS(nombres[]),1)=OB$1490,ROW(OFFSET(nombres[],0,0,ROWS(nombres[]),1))-ROW(OFFSET(nombres[],0,0,1,1))+1,ROW(OFFSET(nombres[],ROWS(nombres[])-1,0,1,1))+1),$O1549:$O1568),3),"")</f>
        <v/>
      </c>
      <c r="OC1549" s="42" t="str">
        <f t="array" aca="1" ref="OC1549" ca="1">IFERROR(INDEX(nombres[],SMALL(IF(OFFSET(nombres[],0,0,ROWS(nombres[]),1)=OC$1490,ROW(OFFSET(nombres[],0,0,ROWS(nombres[]),1))-ROW(OFFSET(nombres[],0,0,1,1))+1,ROW(OFFSET(nombres[],ROWS(nombres[])-1,0,1,1))+1),$O1549:$O1568),3),"")</f>
        <v/>
      </c>
      <c r="OD1549" s="42" t="str">
        <f t="array" aca="1" ref="OD1549" ca="1">IFERROR(INDEX(nombres[],SMALL(IF(OFFSET(nombres[],0,0,ROWS(nombres[]),1)=OD$1490,ROW(OFFSET(nombres[],0,0,ROWS(nombres[]),1))-ROW(OFFSET(nombres[],0,0,1,1))+1,ROW(OFFSET(nombres[],ROWS(nombres[])-1,0,1,1))+1),$O1549:$O1568),3),"")</f>
        <v/>
      </c>
      <c r="OE1549" s="42" t="str">
        <f t="array" aca="1" ref="OE1549" ca="1">IFERROR(INDEX(nombres[],SMALL(IF(OFFSET(nombres[],0,0,ROWS(nombres[]),1)=OE$1490,ROW(OFFSET(nombres[],0,0,ROWS(nombres[]),1))-ROW(OFFSET(nombres[],0,0,1,1))+1,ROW(OFFSET(nombres[],ROWS(nombres[])-1,0,1,1))+1),$O1549:$O1568),3),"")</f>
        <v/>
      </c>
      <c r="OF1549" s="42" t="str">
        <f t="array" aca="1" ref="OF1549" ca="1">IFERROR(INDEX(nombres[],SMALL(IF(OFFSET(nombres[],0,0,ROWS(nombres[]),1)=OF$1490,ROW(OFFSET(nombres[],0,0,ROWS(nombres[]),1))-ROW(OFFSET(nombres[],0,0,1,1))+1,ROW(OFFSET(nombres[],ROWS(nombres[])-1,0,1,1))+1),$O1549:$O1568),3),"")</f>
        <v/>
      </c>
      <c r="OG1549" s="42" t="str">
        <f t="array" aca="1" ref="OG1549" ca="1">IFERROR(INDEX(nombres[],SMALL(IF(OFFSET(nombres[],0,0,ROWS(nombres[]),1)=OG$1490,ROW(OFFSET(nombres[],0,0,ROWS(nombres[]),1))-ROW(OFFSET(nombres[],0,0,1,1))+1,ROW(OFFSET(nombres[],ROWS(nombres[])-1,0,1,1))+1),$O1549:$O1568),3),"")</f>
        <v/>
      </c>
      <c r="OH1549" s="42" t="str">
        <f t="array" aca="1" ref="OH1549" ca="1">IFERROR(INDEX(nombres[],SMALL(IF(OFFSET(nombres[],0,0,ROWS(nombres[]),1)=OH$1490,ROW(OFFSET(nombres[],0,0,ROWS(nombres[]),1))-ROW(OFFSET(nombres[],0,0,1,1))+1,ROW(OFFSET(nombres[],ROWS(nombres[])-1,0,1,1))+1),$O1549:$O1568),3),"")</f>
        <v/>
      </c>
      <c r="OI1549" s="42" t="str">
        <f t="array" aca="1" ref="OI1549" ca="1">IFERROR(INDEX(nombres[],SMALL(IF(OFFSET(nombres[],0,0,ROWS(nombres[]),1)=OI$1490,ROW(OFFSET(nombres[],0,0,ROWS(nombres[]),1))-ROW(OFFSET(nombres[],0,0,1,1))+1,ROW(OFFSET(nombres[],ROWS(nombres[])-1,0,1,1))+1),$O1549:$O1568),3),"")</f>
        <v/>
      </c>
      <c r="OJ1549" s="42" t="str">
        <f t="array" aca="1" ref="OJ1549" ca="1">IFERROR(INDEX(nombres[],SMALL(IF(OFFSET(nombres[],0,0,ROWS(nombres[]),1)=OJ$1490,ROW(OFFSET(nombres[],0,0,ROWS(nombres[]),1))-ROW(OFFSET(nombres[],0,0,1,1))+1,ROW(OFFSET(nombres[],ROWS(nombres[])-1,0,1,1))+1),$O1549:$O1568),3),"")</f>
        <v/>
      </c>
      <c r="OK1549" s="42" t="str">
        <f t="array" aca="1" ref="OK1549" ca="1">IFERROR(INDEX(nombres[],SMALL(IF(OFFSET(nombres[],0,0,ROWS(nombres[]),1)=OK$1490,ROW(OFFSET(nombres[],0,0,ROWS(nombres[]),1))-ROW(OFFSET(nombres[],0,0,1,1))+1,ROW(OFFSET(nombres[],ROWS(nombres[])-1,0,1,1))+1),$O1549:$O1568),3),"")</f>
        <v/>
      </c>
      <c r="OL1549" s="42" t="str">
        <f t="array" aca="1" ref="OL1549" ca="1">IFERROR(INDEX(nombres[],SMALL(IF(OFFSET(nombres[],0,0,ROWS(nombres[]),1)=OL$1490,ROW(OFFSET(nombres[],0,0,ROWS(nombres[]),1))-ROW(OFFSET(nombres[],0,0,1,1))+1,ROW(OFFSET(nombres[],ROWS(nombres[])-1,0,1,1))+1),$O1549:$O1568),3),"")</f>
        <v/>
      </c>
      <c r="OM1549" s="42" t="str">
        <f t="array" aca="1" ref="OM1549" ca="1">IFERROR(INDEX(nombres[],SMALL(IF(OFFSET(nombres[],0,0,ROWS(nombres[]),1)=OM$1490,ROW(OFFSET(nombres[],0,0,ROWS(nombres[]),1))-ROW(OFFSET(nombres[],0,0,1,1))+1,ROW(OFFSET(nombres[],ROWS(nombres[])-1,0,1,1))+1),$O1549:$O1568),3),"")</f>
        <v/>
      </c>
      <c r="ON1549" s="42" t="str">
        <f t="array" aca="1" ref="ON1549" ca="1">IFERROR(INDEX(nombres[],SMALL(IF(OFFSET(nombres[],0,0,ROWS(nombres[]),1)=ON$1490,ROW(OFFSET(nombres[],0,0,ROWS(nombres[]),1))-ROW(OFFSET(nombres[],0,0,1,1))+1,ROW(OFFSET(nombres[],ROWS(nombres[])-1,0,1,1))+1),$O1549:$O1568),3),"")</f>
        <v/>
      </c>
      <c r="OO1549" s="42" t="str">
        <f t="array" aca="1" ref="OO1549" ca="1">IFERROR(INDEX(nombres[],SMALL(IF(OFFSET(nombres[],0,0,ROWS(nombres[]),1)=OO$1490,ROW(OFFSET(nombres[],0,0,ROWS(nombres[]),1))-ROW(OFFSET(nombres[],0,0,1,1))+1,ROW(OFFSET(nombres[],ROWS(nombres[])-1,0,1,1))+1),$O1549:$O1568),3),"")</f>
        <v/>
      </c>
      <c r="OP1549" s="42" t="str">
        <f t="array" aca="1" ref="OP1549" ca="1">IFERROR(INDEX(nombres[],SMALL(IF(OFFSET(nombres[],0,0,ROWS(nombres[]),1)=OP$1490,ROW(OFFSET(nombres[],0,0,ROWS(nombres[]),1))-ROW(OFFSET(nombres[],0,0,1,1))+1,ROW(OFFSET(nombres[],ROWS(nombres[])-1,0,1,1))+1),$O1549:$O1568),3),"")</f>
        <v/>
      </c>
      <c r="OQ1549" s="42" t="str">
        <f t="array" aca="1" ref="OQ1549" ca="1">IFERROR(INDEX(nombres[],SMALL(IF(OFFSET(nombres[],0,0,ROWS(nombres[]),1)=OQ$1490,ROW(OFFSET(nombres[],0,0,ROWS(nombres[]),1))-ROW(OFFSET(nombres[],0,0,1,1))+1,ROW(OFFSET(nombres[],ROWS(nombres[])-1,0,1,1))+1),$O1549:$O1568),3),"")</f>
        <v/>
      </c>
      <c r="OR1549" s="42" t="str">
        <f t="array" aca="1" ref="OR1549" ca="1">IFERROR(INDEX(nombres[],SMALL(IF(OFFSET(nombres[],0,0,ROWS(nombres[]),1)=OR$1490,ROW(OFFSET(nombres[],0,0,ROWS(nombres[]),1))-ROW(OFFSET(nombres[],0,0,1,1))+1,ROW(OFFSET(nombres[],ROWS(nombres[])-1,0,1,1))+1),$O1549:$O1568),3),"")</f>
        <v/>
      </c>
      <c r="OS1549" s="42" t="str">
        <f t="array" aca="1" ref="OS1549" ca="1">IFERROR(INDEX(nombres[],SMALL(IF(OFFSET(nombres[],0,0,ROWS(nombres[]),1)=OS$1490,ROW(OFFSET(nombres[],0,0,ROWS(nombres[]),1))-ROW(OFFSET(nombres[],0,0,1,1))+1,ROW(OFFSET(nombres[],ROWS(nombres[])-1,0,1,1))+1),$O1549:$O1568),3),"")</f>
        <v/>
      </c>
      <c r="OT1549" s="42" t="str">
        <f t="array" aca="1" ref="OT1549" ca="1">IFERROR(INDEX(nombres[],SMALL(IF(OFFSET(nombres[],0,0,ROWS(nombres[]),1)=OT$1490,ROW(OFFSET(nombres[],0,0,ROWS(nombres[]),1))-ROW(OFFSET(nombres[],0,0,1,1))+1,ROW(OFFSET(nombres[],ROWS(nombres[])-1,0,1,1))+1),$O1549:$O1568),3),"")</f>
        <v/>
      </c>
      <c r="OU1549" s="42" t="str">
        <f t="array" aca="1" ref="OU1549" ca="1">IFERROR(INDEX(nombres[],SMALL(IF(OFFSET(nombres[],0,0,ROWS(nombres[]),1)=OU$1490,ROW(OFFSET(nombres[],0,0,ROWS(nombres[]),1))-ROW(OFFSET(nombres[],0,0,1,1))+1,ROW(OFFSET(nombres[],ROWS(nombres[])-1,0,1,1))+1),$O1549:$O1568),3),"")</f>
        <v/>
      </c>
      <c r="OV1549" s="42" t="str">
        <f t="array" aca="1" ref="OV1549" ca="1">IFERROR(INDEX(nombres[],SMALL(IF(OFFSET(nombres[],0,0,ROWS(nombres[]),1)=OV$1490,ROW(OFFSET(nombres[],0,0,ROWS(nombres[]),1))-ROW(OFFSET(nombres[],0,0,1,1))+1,ROW(OFFSET(nombres[],ROWS(nombres[])-1,0,1,1))+1),$O1549:$O1568),3),"")</f>
        <v/>
      </c>
      <c r="OW1549" s="42" t="str">
        <f t="array" aca="1" ref="OW1549" ca="1">IFERROR(INDEX(nombres[],SMALL(IF(OFFSET(nombres[],0,0,ROWS(nombres[]),1)=OW$1490,ROW(OFFSET(nombres[],0,0,ROWS(nombres[]),1))-ROW(OFFSET(nombres[],0,0,1,1))+1,ROW(OFFSET(nombres[],ROWS(nombres[])-1,0,1,1))+1),$O1549:$O1568),3),"")</f>
        <v/>
      </c>
      <c r="OX1549" s="42" t="str">
        <f t="array" aca="1" ref="OX1549" ca="1">IFERROR(INDEX(nombres[],SMALL(IF(OFFSET(nombres[],0,0,ROWS(nombres[]),1)=OX$1490,ROW(OFFSET(nombres[],0,0,ROWS(nombres[]),1))-ROW(OFFSET(nombres[],0,0,1,1))+1,ROW(OFFSET(nombres[],ROWS(nombres[])-1,0,1,1))+1),$O1549:$O1568),3),"")</f>
        <v/>
      </c>
      <c r="OY1549" s="42" t="str">
        <f t="array" aca="1" ref="OY1549" ca="1">IFERROR(INDEX(nombres[],SMALL(IF(OFFSET(nombres[],0,0,ROWS(nombres[]),1)=OY$1490,ROW(OFFSET(nombres[],0,0,ROWS(nombres[]),1))-ROW(OFFSET(nombres[],0,0,1,1))+1,ROW(OFFSET(nombres[],ROWS(nombres[])-1,0,1,1))+1),$O1549:$O1568),3),"")</f>
        <v/>
      </c>
      <c r="OZ1549" s="42" t="str">
        <f t="array" aca="1" ref="OZ1549" ca="1">IFERROR(INDEX(nombres[],SMALL(IF(OFFSET(nombres[],0,0,ROWS(nombres[]),1)=OZ$1490,ROW(OFFSET(nombres[],0,0,ROWS(nombres[]),1))-ROW(OFFSET(nombres[],0,0,1,1))+1,ROW(OFFSET(nombres[],ROWS(nombres[])-1,0,1,1))+1),$O1549:$O1568),3),"")</f>
        <v/>
      </c>
      <c r="PA1549" s="42" t="str">
        <f t="array" aca="1" ref="PA1549" ca="1">IFERROR(INDEX(nombres[],SMALL(IF(OFFSET(nombres[],0,0,ROWS(nombres[]),1)=PA$1490,ROW(OFFSET(nombres[],0,0,ROWS(nombres[]),1))-ROW(OFFSET(nombres[],0,0,1,1))+1,ROW(OFFSET(nombres[],ROWS(nombres[])-1,0,1,1))+1),$O1549:$O1568),3),"")</f>
        <v/>
      </c>
      <c r="PB1549" s="42" t="str">
        <f t="array" aca="1" ref="PB1549" ca="1">IFERROR(INDEX(nombres[],SMALL(IF(OFFSET(nombres[],0,0,ROWS(nombres[]),1)=PB$1490,ROW(OFFSET(nombres[],0,0,ROWS(nombres[]),1))-ROW(OFFSET(nombres[],0,0,1,1))+1,ROW(OFFSET(nombres[],ROWS(nombres[])-1,0,1,1))+1),$O1549:$O1568),3),"")</f>
        <v/>
      </c>
      <c r="PC1549" s="42" t="str">
        <f t="array" aca="1" ref="PC1549" ca="1">IFERROR(INDEX(nombres[],SMALL(IF(OFFSET(nombres[],0,0,ROWS(nombres[]),1)=PC$1490,ROW(OFFSET(nombres[],0,0,ROWS(nombres[]),1))-ROW(OFFSET(nombres[],0,0,1,1))+1,ROW(OFFSET(nombres[],ROWS(nombres[])-1,0,1,1))+1),$O1549:$O1568),3),"")</f>
        <v/>
      </c>
      <c r="PD1549" s="42" t="str">
        <f t="array" aca="1" ref="PD1549" ca="1">IFERROR(INDEX(nombres[],SMALL(IF(OFFSET(nombres[],0,0,ROWS(nombres[]),1)=PD$1490,ROW(OFFSET(nombres[],0,0,ROWS(nombres[]),1))-ROW(OFFSET(nombres[],0,0,1,1))+1,ROW(OFFSET(nombres[],ROWS(nombres[])-1,0,1,1))+1),$O1549:$O1568),3),"")</f>
        <v/>
      </c>
      <c r="PE1549" s="42" t="str">
        <f t="array" aca="1" ref="PE1549" ca="1">IFERROR(INDEX(nombres[],SMALL(IF(OFFSET(nombres[],0,0,ROWS(nombres[]),1)=PE$1490,ROW(OFFSET(nombres[],0,0,ROWS(nombres[]),1))-ROW(OFFSET(nombres[],0,0,1,1))+1,ROW(OFFSET(nombres[],ROWS(nombres[])-1,0,1,1))+1),$O1549:$O1568),3),"")</f>
        <v/>
      </c>
      <c r="PF1549" s="42" t="str">
        <f t="array" aca="1" ref="PF1549" ca="1">IFERROR(INDEX(nombres[],SMALL(IF(OFFSET(nombres[],0,0,ROWS(nombres[]),1)=PF$1490,ROW(OFFSET(nombres[],0,0,ROWS(nombres[]),1))-ROW(OFFSET(nombres[],0,0,1,1))+1,ROW(OFFSET(nombres[],ROWS(nombres[])-1,0,1,1))+1),$O1549:$O1568),3),"")</f>
        <v/>
      </c>
      <c r="PG1549" s="42" t="str">
        <f t="array" aca="1" ref="PG1549" ca="1">IFERROR(INDEX(nombres[],SMALL(IF(OFFSET(nombres[],0,0,ROWS(nombres[]),1)=PG$1490,ROW(OFFSET(nombres[],0,0,ROWS(nombres[]),1))-ROW(OFFSET(nombres[],0,0,1,1))+1,ROW(OFFSET(nombres[],ROWS(nombres[])-1,0,1,1))+1),$O1549:$O1568),3),"")</f>
        <v/>
      </c>
      <c r="PH1549" s="42" t="str">
        <f t="array" aca="1" ref="PH1549" ca="1">IFERROR(INDEX(nombres[],SMALL(IF(OFFSET(nombres[],0,0,ROWS(nombres[]),1)=PH$1490,ROW(OFFSET(nombres[],0,0,ROWS(nombres[]),1))-ROW(OFFSET(nombres[],0,0,1,1))+1,ROW(OFFSET(nombres[],ROWS(nombres[])-1,0,1,1))+1),$O1549:$O1568),3),"")</f>
        <v/>
      </c>
      <c r="PI1549" s="42" t="str">
        <f t="array" aca="1" ref="PI1549" ca="1">IFERROR(INDEX(nombres[],SMALL(IF(OFFSET(nombres[],0,0,ROWS(nombres[]),1)=PI$1490,ROW(OFFSET(nombres[],0,0,ROWS(nombres[]),1))-ROW(OFFSET(nombres[],0,0,1,1))+1,ROW(OFFSET(nombres[],ROWS(nombres[])-1,0,1,1))+1),$O1549:$O1568),3),"")</f>
        <v/>
      </c>
      <c r="PJ1549" s="42" t="str">
        <f t="array" aca="1" ref="PJ1549" ca="1">IFERROR(INDEX(nombres[],SMALL(IF(OFFSET(nombres[],0,0,ROWS(nombres[]),1)=PJ$1490,ROW(OFFSET(nombres[],0,0,ROWS(nombres[]),1))-ROW(OFFSET(nombres[],0,0,1,1))+1,ROW(OFFSET(nombres[],ROWS(nombres[])-1,0,1,1))+1),$O1549:$O1568),3),"")</f>
        <v/>
      </c>
      <c r="PK1549" s="42" t="str">
        <f t="array" aca="1" ref="PK1549" ca="1">IFERROR(INDEX(nombres[],SMALL(IF(OFFSET(nombres[],0,0,ROWS(nombres[]),1)=PK$1490,ROW(OFFSET(nombres[],0,0,ROWS(nombres[]),1))-ROW(OFFSET(nombres[],0,0,1,1))+1,ROW(OFFSET(nombres[],ROWS(nombres[])-1,0,1,1))+1),$O1549:$O1568),3),"")</f>
        <v/>
      </c>
      <c r="PL1549" s="42" t="str">
        <f t="array" aca="1" ref="PL1549" ca="1">IFERROR(INDEX(nombres[],SMALL(IF(OFFSET(nombres[],0,0,ROWS(nombres[]),1)=PL$1490,ROW(OFFSET(nombres[],0,0,ROWS(nombres[]),1))-ROW(OFFSET(nombres[],0,0,1,1))+1,ROW(OFFSET(nombres[],ROWS(nombres[])-1,0,1,1))+1),$O1549:$O1568),3),"")</f>
        <v/>
      </c>
      <c r="PM1549" s="42" t="str">
        <f t="array" aca="1" ref="PM1549" ca="1">IFERROR(INDEX(nombres[],SMALL(IF(OFFSET(nombres[],0,0,ROWS(nombres[]),1)=PM$1490,ROW(OFFSET(nombres[],0,0,ROWS(nombres[]),1))-ROW(OFFSET(nombres[],0,0,1,1))+1,ROW(OFFSET(nombres[],ROWS(nombres[])-1,0,1,1))+1),$O1549:$O1568),3),"")</f>
        <v/>
      </c>
      <c r="PN1549" s="42" t="str">
        <f t="array" aca="1" ref="PN1549" ca="1">IFERROR(INDEX(nombres[],SMALL(IF(OFFSET(nombres[],0,0,ROWS(nombres[]),1)=PN$1490,ROW(OFFSET(nombres[],0,0,ROWS(nombres[]),1))-ROW(OFFSET(nombres[],0,0,1,1))+1,ROW(OFFSET(nombres[],ROWS(nombres[])-1,0,1,1))+1),$O1549:$O1568),3),"")</f>
        <v/>
      </c>
      <c r="PO1549" s="42" t="str">
        <f t="array" aca="1" ref="PO1549" ca="1">IFERROR(INDEX(nombres[],SMALL(IF(OFFSET(nombres[],0,0,ROWS(nombres[]),1)=PO$1490,ROW(OFFSET(nombres[],0,0,ROWS(nombres[]),1))-ROW(OFFSET(nombres[],0,0,1,1))+1,ROW(OFFSET(nombres[],ROWS(nombres[])-1,0,1,1))+1),$O1549:$O1568),3),"")</f>
        <v/>
      </c>
      <c r="PP1549" s="42" t="str">
        <f t="array" aca="1" ref="PP1549" ca="1">IFERROR(INDEX(nombres[],SMALL(IF(OFFSET(nombres[],0,0,ROWS(nombres[]),1)=PP$1490,ROW(OFFSET(nombres[],0,0,ROWS(nombres[]),1))-ROW(OFFSET(nombres[],0,0,1,1))+1,ROW(OFFSET(nombres[],ROWS(nombres[])-1,0,1,1))+1),$O1549:$O1568),3),"")</f>
        <v/>
      </c>
      <c r="PQ1549" s="42" t="str">
        <f t="array" aca="1" ref="PQ1549" ca="1">IFERROR(INDEX(nombres[],SMALL(IF(OFFSET(nombres[],0,0,ROWS(nombres[]),1)=PQ$1490,ROW(OFFSET(nombres[],0,0,ROWS(nombres[]),1))-ROW(OFFSET(nombres[],0,0,1,1))+1,ROW(OFFSET(nombres[],ROWS(nombres[])-1,0,1,1))+1),$O1549:$O1568),3),"")</f>
        <v/>
      </c>
      <c r="PR1549" s="42" t="str">
        <f t="array" aca="1" ref="PR1549" ca="1">IFERROR(INDEX(nombres[],SMALL(IF(OFFSET(nombres[],0,0,ROWS(nombres[]),1)=PR$1490,ROW(OFFSET(nombres[],0,0,ROWS(nombres[]),1))-ROW(OFFSET(nombres[],0,0,1,1))+1,ROW(OFFSET(nombres[],ROWS(nombres[])-1,0,1,1))+1),$O1549:$O1568),3),"")</f>
        <v/>
      </c>
      <c r="PS1549" s="42" t="str">
        <f t="array" aca="1" ref="PS1549" ca="1">IFERROR(INDEX(nombres[],SMALL(IF(OFFSET(nombres[],0,0,ROWS(nombres[]),1)=PS$1490,ROW(OFFSET(nombres[],0,0,ROWS(nombres[]),1))-ROW(OFFSET(nombres[],0,0,1,1))+1,ROW(OFFSET(nombres[],ROWS(nombres[])-1,0,1,1))+1),$O1549:$O1568),3),"")</f>
        <v/>
      </c>
      <c r="PT1549" s="42" t="str">
        <f t="array" aca="1" ref="PT1549" ca="1">IFERROR(INDEX(nombres[],SMALL(IF(OFFSET(nombres[],0,0,ROWS(nombres[]),1)=PT$1490,ROW(OFFSET(nombres[],0,0,ROWS(nombres[]),1))-ROW(OFFSET(nombres[],0,0,1,1))+1,ROW(OFFSET(nombres[],ROWS(nombres[])-1,0,1,1))+1),$O1549:$O1568),3),"")</f>
        <v/>
      </c>
      <c r="PU1549" s="42" t="str">
        <f t="array" aca="1" ref="PU1549" ca="1">IFERROR(INDEX(nombres[],SMALL(IF(OFFSET(nombres[],0,0,ROWS(nombres[]),1)=PU$1490,ROW(OFFSET(nombres[],0,0,ROWS(nombres[]),1))-ROW(OFFSET(nombres[],0,0,1,1))+1,ROW(OFFSET(nombres[],ROWS(nombres[])-1,0,1,1))+1),$O1549:$O1568),3),"")</f>
        <v/>
      </c>
      <c r="PV1549" s="42" t="str">
        <f t="array" aca="1" ref="PV1549" ca="1">IFERROR(INDEX(nombres[],SMALL(IF(OFFSET(nombres[],0,0,ROWS(nombres[]),1)=PV$1490,ROW(OFFSET(nombres[],0,0,ROWS(nombres[]),1))-ROW(OFFSET(nombres[],0,0,1,1))+1,ROW(OFFSET(nombres[],ROWS(nombres[])-1,0,1,1))+1),$O1549:$O1568),3),"")</f>
        <v/>
      </c>
      <c r="PW1549" s="42" t="str">
        <f t="array" aca="1" ref="PW1549" ca="1">IFERROR(INDEX(nombres[],SMALL(IF(OFFSET(nombres[],0,0,ROWS(nombres[]),1)=PW$1490,ROW(OFFSET(nombres[],0,0,ROWS(nombres[]),1))-ROW(OFFSET(nombres[],0,0,1,1))+1,ROW(OFFSET(nombres[],ROWS(nombres[])-1,0,1,1))+1),$O1549:$O1568),3),"")</f>
        <v/>
      </c>
      <c r="PX1549" s="42" t="str">
        <f t="array" aca="1" ref="PX1549" ca="1">IFERROR(INDEX(nombres[],SMALL(IF(OFFSET(nombres[],0,0,ROWS(nombres[]),1)=PX$1490,ROW(OFFSET(nombres[],0,0,ROWS(nombres[]),1))-ROW(OFFSET(nombres[],0,0,1,1))+1,ROW(OFFSET(nombres[],ROWS(nombres[])-1,0,1,1))+1),$O1549:$O1568),3),"")</f>
        <v/>
      </c>
      <c r="PY1549" s="42" t="str">
        <f t="array" aca="1" ref="PY1549" ca="1">IFERROR(INDEX(nombres[],SMALL(IF(OFFSET(nombres[],0,0,ROWS(nombres[]),1)=PY$1490,ROW(OFFSET(nombres[],0,0,ROWS(nombres[]),1))-ROW(OFFSET(nombres[],0,0,1,1))+1,ROW(OFFSET(nombres[],ROWS(nombres[])-1,0,1,1))+1),$O1549:$O1568),3),"")</f>
        <v/>
      </c>
      <c r="PZ1549" s="42" t="str">
        <f t="array" aca="1" ref="PZ1549" ca="1">IFERROR(INDEX(nombres[],SMALL(IF(OFFSET(nombres[],0,0,ROWS(nombres[]),1)=PZ$1490,ROW(OFFSET(nombres[],0,0,ROWS(nombres[]),1))-ROW(OFFSET(nombres[],0,0,1,1))+1,ROW(OFFSET(nombres[],ROWS(nombres[])-1,0,1,1))+1),$O1549:$O1568),3),"")</f>
        <v/>
      </c>
      <c r="QA1549" s="42" t="str">
        <f t="array" aca="1" ref="QA1549" ca="1">IFERROR(INDEX(nombres[],SMALL(IF(OFFSET(nombres[],0,0,ROWS(nombres[]),1)=QA$1490,ROW(OFFSET(nombres[],0,0,ROWS(nombres[]),1))-ROW(OFFSET(nombres[],0,0,1,1))+1,ROW(OFFSET(nombres[],ROWS(nombres[])-1,0,1,1))+1),$O1549:$O1568),3),"")</f>
        <v/>
      </c>
      <c r="QB1549" s="42" t="str">
        <f t="array" aca="1" ref="QB1549" ca="1">IFERROR(INDEX(nombres[],SMALL(IF(OFFSET(nombres[],0,0,ROWS(nombres[]),1)=QB$1490,ROW(OFFSET(nombres[],0,0,ROWS(nombres[]),1))-ROW(OFFSET(nombres[],0,0,1,1))+1,ROW(OFFSET(nombres[],ROWS(nombres[])-1,0,1,1))+1),$O1549:$O1568),3),"")</f>
        <v/>
      </c>
      <c r="QC1549" s="42" t="str">
        <f t="array" aca="1" ref="QC1549" ca="1">IFERROR(INDEX(nombres[],SMALL(IF(OFFSET(nombres[],0,0,ROWS(nombres[]),1)=QC$1490,ROW(OFFSET(nombres[],0,0,ROWS(nombres[]),1))-ROW(OFFSET(nombres[],0,0,1,1))+1,ROW(OFFSET(nombres[],ROWS(nombres[])-1,0,1,1))+1),$O1549:$O1568),3),"")</f>
        <v/>
      </c>
      <c r="QD1549" s="42" t="str">
        <f t="array" aca="1" ref="QD1549" ca="1">IFERROR(INDEX(nombres[],SMALL(IF(OFFSET(nombres[],0,0,ROWS(nombres[]),1)=QD$1490,ROW(OFFSET(nombres[],0,0,ROWS(nombres[]),1))-ROW(OFFSET(nombres[],0,0,1,1))+1,ROW(OFFSET(nombres[],ROWS(nombres[])-1,0,1,1))+1),$O1549:$O1568),3),"")</f>
        <v/>
      </c>
      <c r="QE1549" s="42" t="str">
        <f t="array" aca="1" ref="QE1549" ca="1">IFERROR(INDEX(nombres[],SMALL(IF(OFFSET(nombres[],0,0,ROWS(nombres[]),1)=QE$1490,ROW(OFFSET(nombres[],0,0,ROWS(nombres[]),1))-ROW(OFFSET(nombres[],0,0,1,1))+1,ROW(OFFSET(nombres[],ROWS(nombres[])-1,0,1,1))+1),$O1549:$O1568),3),"")</f>
        <v/>
      </c>
      <c r="QF1549" s="42" t="str">
        <f t="array" aca="1" ref="QF1549" ca="1">IFERROR(INDEX(nombres[],SMALL(IF(OFFSET(nombres[],0,0,ROWS(nombres[]),1)=QF$1490,ROW(OFFSET(nombres[],0,0,ROWS(nombres[]),1))-ROW(OFFSET(nombres[],0,0,1,1))+1,ROW(OFFSET(nombres[],ROWS(nombres[])-1,0,1,1))+1),$O1549:$O1568),3),"")</f>
        <v/>
      </c>
      <c r="QG1549" s="42" t="str">
        <f t="array" aca="1" ref="QG1549" ca="1">IFERROR(INDEX(nombres[],SMALL(IF(OFFSET(nombres[],0,0,ROWS(nombres[]),1)=QG$1490,ROW(OFFSET(nombres[],0,0,ROWS(nombres[]),1))-ROW(OFFSET(nombres[],0,0,1,1))+1,ROW(OFFSET(nombres[],ROWS(nombres[])-1,0,1,1))+1),$O1549:$O1568),3),"")</f>
        <v/>
      </c>
      <c r="QH1549" s="42" t="str">
        <f t="array" aca="1" ref="QH1549" ca="1">IFERROR(INDEX(nombres[],SMALL(IF(OFFSET(nombres[],0,0,ROWS(nombres[]),1)=QH$1490,ROW(OFFSET(nombres[],0,0,ROWS(nombres[]),1))-ROW(OFFSET(nombres[],0,0,1,1))+1,ROW(OFFSET(nombres[],ROWS(nombres[])-1,0,1,1))+1),$O1549:$O1568),3),"")</f>
        <v/>
      </c>
      <c r="QI1549" s="42" t="str">
        <f t="array" aca="1" ref="QI1549" ca="1">IFERROR(INDEX(nombres[],SMALL(IF(OFFSET(nombres[],0,0,ROWS(nombres[]),1)=QI$1490,ROW(OFFSET(nombres[],0,0,ROWS(nombres[]),1))-ROW(OFFSET(nombres[],0,0,1,1))+1,ROW(OFFSET(nombres[],ROWS(nombres[])-1,0,1,1))+1),$O1549:$O1568),3),"")</f>
        <v/>
      </c>
      <c r="QJ1549" s="42" t="str">
        <f t="array" aca="1" ref="QJ1549" ca="1">IFERROR(INDEX(nombres[],SMALL(IF(OFFSET(nombres[],0,0,ROWS(nombres[]),1)=QJ$1490,ROW(OFFSET(nombres[],0,0,ROWS(nombres[]),1))-ROW(OFFSET(nombres[],0,0,1,1))+1,ROW(OFFSET(nombres[],ROWS(nombres[])-1,0,1,1))+1),$O1549:$O1568),3),"")</f>
        <v/>
      </c>
      <c r="QK1549" s="42" t="str">
        <f t="array" aca="1" ref="QK1549" ca="1">IFERROR(INDEX(nombres[],SMALL(IF(OFFSET(nombres[],0,0,ROWS(nombres[]),1)=QK$1490,ROW(OFFSET(nombres[],0,0,ROWS(nombres[]),1))-ROW(OFFSET(nombres[],0,0,1,1))+1,ROW(OFFSET(nombres[],ROWS(nombres[])-1,0,1,1))+1),$O1549:$O1568),3),"")</f>
        <v/>
      </c>
      <c r="QL1549" s="42" t="str">
        <f t="array" aca="1" ref="QL1549" ca="1">IFERROR(INDEX(nombres[],SMALL(IF(OFFSET(nombres[],0,0,ROWS(nombres[]),1)=QL$1490,ROW(OFFSET(nombres[],0,0,ROWS(nombres[]),1))-ROW(OFFSET(nombres[],0,0,1,1))+1,ROW(OFFSET(nombres[],ROWS(nombres[])-1,0,1,1))+1),$O1549:$O1568),3),"")</f>
        <v/>
      </c>
      <c r="QM1549" s="42" t="str">
        <f t="array" aca="1" ref="QM1549" ca="1">IFERROR(INDEX(nombres[],SMALL(IF(OFFSET(nombres[],0,0,ROWS(nombres[]),1)=QM$1490,ROW(OFFSET(nombres[],0,0,ROWS(nombres[]),1))-ROW(OFFSET(nombres[],0,0,1,1))+1,ROW(OFFSET(nombres[],ROWS(nombres[])-1,0,1,1))+1),$O1549:$O1568),3),"")</f>
        <v/>
      </c>
      <c r="QN1549" s="42" t="str">
        <f t="array" aca="1" ref="QN1549" ca="1">IFERROR(INDEX(nombres[],SMALL(IF(OFFSET(nombres[],0,0,ROWS(nombres[]),1)=QN$1490,ROW(OFFSET(nombres[],0,0,ROWS(nombres[]),1))-ROW(OFFSET(nombres[],0,0,1,1))+1,ROW(OFFSET(nombres[],ROWS(nombres[])-1,0,1,1))+1),$O1549:$O1568),3),"")</f>
        <v/>
      </c>
      <c r="QO1549" s="42" t="str">
        <f t="array" aca="1" ref="QO1549" ca="1">IFERROR(INDEX(nombres[],SMALL(IF(OFFSET(nombres[],0,0,ROWS(nombres[]),1)=QO$1490,ROW(OFFSET(nombres[],0,0,ROWS(nombres[]),1))-ROW(OFFSET(nombres[],0,0,1,1))+1,ROW(OFFSET(nombres[],ROWS(nombres[])-1,0,1,1))+1),$O1549:$O1568),3),"")</f>
        <v/>
      </c>
      <c r="QP1549" s="42" t="str">
        <f t="array" aca="1" ref="QP1549" ca="1">IFERROR(INDEX(nombres[],SMALL(IF(OFFSET(nombres[],0,0,ROWS(nombres[]),1)=QP$1490,ROW(OFFSET(nombres[],0,0,ROWS(nombres[]),1))-ROW(OFFSET(nombres[],0,0,1,1))+1,ROW(OFFSET(nombres[],ROWS(nombres[])-1,0,1,1))+1),$O1549:$O1568),3),"")</f>
        <v/>
      </c>
      <c r="QQ1549" s="42" t="str">
        <f t="array" aca="1" ref="QQ1549" ca="1">IFERROR(INDEX(nombres[],SMALL(IF(OFFSET(nombres[],0,0,ROWS(nombres[]),1)=QQ$1490,ROW(OFFSET(nombres[],0,0,ROWS(nombres[]),1))-ROW(OFFSET(nombres[],0,0,1,1))+1,ROW(OFFSET(nombres[],ROWS(nombres[])-1,0,1,1))+1),$O1549:$O1568),3),"")</f>
        <v/>
      </c>
      <c r="QR1549" s="42" t="str">
        <f t="array" aca="1" ref="QR1549" ca="1">IFERROR(INDEX(nombres[],SMALL(IF(OFFSET(nombres[],0,0,ROWS(nombres[]),1)=QR$1490,ROW(OFFSET(nombres[],0,0,ROWS(nombres[]),1))-ROW(OFFSET(nombres[],0,0,1,1))+1,ROW(OFFSET(nombres[],ROWS(nombres[])-1,0,1,1))+1),$O1549:$O1568),3),"")</f>
        <v/>
      </c>
      <c r="QS1549" s="42" t="str">
        <f t="array" aca="1" ref="QS1549" ca="1">IFERROR(INDEX(nombres[],SMALL(IF(OFFSET(nombres[],0,0,ROWS(nombres[]),1)=QS$1490,ROW(OFFSET(nombres[],0,0,ROWS(nombres[]),1))-ROW(OFFSET(nombres[],0,0,1,1))+1,ROW(OFFSET(nombres[],ROWS(nombres[])-1,0,1,1))+1),$O1549:$O1568),3),"")</f>
        <v/>
      </c>
      <c r="QT1549" s="42" t="str">
        <f t="array" aca="1" ref="QT1549" ca="1">IFERROR(INDEX(nombres[],SMALL(IF(OFFSET(nombres[],0,0,ROWS(nombres[]),1)=QT$1490,ROW(OFFSET(nombres[],0,0,ROWS(nombres[]),1))-ROW(OFFSET(nombres[],0,0,1,1))+1,ROW(OFFSET(nombres[],ROWS(nombres[])-1,0,1,1))+1),$O1549:$O1568),3),"")</f>
        <v/>
      </c>
      <c r="QU1549" s="42" t="str">
        <f t="array" aca="1" ref="QU1549" ca="1">IFERROR(INDEX(nombres[],SMALL(IF(OFFSET(nombres[],0,0,ROWS(nombres[]),1)=QU$1490,ROW(OFFSET(nombres[],0,0,ROWS(nombres[]),1))-ROW(OFFSET(nombres[],0,0,1,1))+1,ROW(OFFSET(nombres[],ROWS(nombres[])-1,0,1,1))+1),$O1549:$O1568),3),"")</f>
        <v/>
      </c>
      <c r="QV1549" s="42" t="str">
        <f t="array" aca="1" ref="QV1549" ca="1">IFERROR(INDEX(nombres[],SMALL(IF(OFFSET(nombres[],0,0,ROWS(nombres[]),1)=QV$1490,ROW(OFFSET(nombres[],0,0,ROWS(nombres[]),1))-ROW(OFFSET(nombres[],0,0,1,1))+1,ROW(OFFSET(nombres[],ROWS(nombres[])-1,0,1,1))+1),$O1549:$O1568),3),"")</f>
        <v/>
      </c>
      <c r="QW1549" s="42" t="str">
        <f t="array" aca="1" ref="QW1549" ca="1">IFERROR(INDEX(nombres[],SMALL(IF(OFFSET(nombres[],0,0,ROWS(nombres[]),1)=QW$1490,ROW(OFFSET(nombres[],0,0,ROWS(nombres[]),1))-ROW(OFFSET(nombres[],0,0,1,1))+1,ROW(OFFSET(nombres[],ROWS(nombres[])-1,0,1,1))+1),$O1549:$O1568),3),"")</f>
        <v/>
      </c>
      <c r="QX1549" s="42" t="str">
        <f t="array" aca="1" ref="QX1549" ca="1">IFERROR(INDEX(nombres[],SMALL(IF(OFFSET(nombres[],0,0,ROWS(nombres[]),1)=QX$1490,ROW(OFFSET(nombres[],0,0,ROWS(nombres[]),1))-ROW(OFFSET(nombres[],0,0,1,1))+1,ROW(OFFSET(nombres[],ROWS(nombres[])-1,0,1,1))+1),$O1549:$O1568),3),"")</f>
        <v/>
      </c>
      <c r="QY1549" s="42" t="str">
        <f t="array" aca="1" ref="QY1549" ca="1">IFERROR(INDEX(nombres[],SMALL(IF(OFFSET(nombres[],0,0,ROWS(nombres[]),1)=QY$1490,ROW(OFFSET(nombres[],0,0,ROWS(nombres[]),1))-ROW(OFFSET(nombres[],0,0,1,1))+1,ROW(OFFSET(nombres[],ROWS(nombres[])-1,0,1,1))+1),$O1549:$O1568),3),"")</f>
        <v/>
      </c>
      <c r="QZ1549" s="42" t="str">
        <f t="array" aca="1" ref="QZ1549" ca="1">IFERROR(INDEX(nombres[],SMALL(IF(OFFSET(nombres[],0,0,ROWS(nombres[]),1)=QZ$1490,ROW(OFFSET(nombres[],0,0,ROWS(nombres[]),1))-ROW(OFFSET(nombres[],0,0,1,1))+1,ROW(OFFSET(nombres[],ROWS(nombres[])-1,0,1,1))+1),$O1549:$O1568),3),"")</f>
        <v/>
      </c>
      <c r="RA1549" s="42" t="str">
        <f t="array" aca="1" ref="RA1549" ca="1">IFERROR(INDEX(nombres[],SMALL(IF(OFFSET(nombres[],0,0,ROWS(nombres[]),1)=RA$1490,ROW(OFFSET(nombres[],0,0,ROWS(nombres[]),1))-ROW(OFFSET(nombres[],0,0,1,1))+1,ROW(OFFSET(nombres[],ROWS(nombres[])-1,0,1,1))+1),$O1549:$O1568),3),"")</f>
        <v/>
      </c>
      <c r="RB1549" s="42" t="str">
        <f t="array" aca="1" ref="RB1549" ca="1">IFERROR(INDEX(nombres[],SMALL(IF(OFFSET(nombres[],0,0,ROWS(nombres[]),1)=RB$1490,ROW(OFFSET(nombres[],0,0,ROWS(nombres[]),1))-ROW(OFFSET(nombres[],0,0,1,1))+1,ROW(OFFSET(nombres[],ROWS(nombres[])-1,0,1,1))+1),$O1549:$O1568),3),"")</f>
        <v/>
      </c>
      <c r="RC1549" s="42" t="str">
        <f t="array" aca="1" ref="RC1549" ca="1">IFERROR(INDEX(nombres[],SMALL(IF(OFFSET(nombres[],0,0,ROWS(nombres[]),1)=RC$1490,ROW(OFFSET(nombres[],0,0,ROWS(nombres[]),1))-ROW(OFFSET(nombres[],0,0,1,1))+1,ROW(OFFSET(nombres[],ROWS(nombres[])-1,0,1,1))+1),$O1549:$O1568),3),"")</f>
        <v/>
      </c>
      <c r="RD1549" s="42" t="str">
        <f t="array" aca="1" ref="RD1549" ca="1">IFERROR(INDEX(nombres[],SMALL(IF(OFFSET(nombres[],0,0,ROWS(nombres[]),1)=RD$1490,ROW(OFFSET(nombres[],0,0,ROWS(nombres[]),1))-ROW(OFFSET(nombres[],0,0,1,1))+1,ROW(OFFSET(nombres[],ROWS(nombres[])-1,0,1,1))+1),$O1549:$O1568),3),"")</f>
        <v/>
      </c>
      <c r="RE1549" s="42" t="str">
        <f t="array" aca="1" ref="RE1549" ca="1">IFERROR(INDEX(nombres[],SMALL(IF(OFFSET(nombres[],0,0,ROWS(nombres[]),1)=RE$1490,ROW(OFFSET(nombres[],0,0,ROWS(nombres[]),1))-ROW(OFFSET(nombres[],0,0,1,1))+1,ROW(OFFSET(nombres[],ROWS(nombres[])-1,0,1,1))+1),$O1549:$O1568),3),"")</f>
        <v/>
      </c>
      <c r="RF1549" s="42" t="str">
        <f t="array" aca="1" ref="RF1549" ca="1">IFERROR(INDEX(nombres[],SMALL(IF(OFFSET(nombres[],0,0,ROWS(nombres[]),1)=RF$1490,ROW(OFFSET(nombres[],0,0,ROWS(nombres[]),1))-ROW(OFFSET(nombres[],0,0,1,1))+1,ROW(OFFSET(nombres[],ROWS(nombres[])-1,0,1,1))+1),$O1549:$O1568),3),"")</f>
        <v/>
      </c>
      <c r="RG1549" s="42" t="str">
        <f t="array" aca="1" ref="RG1549" ca="1">IFERROR(INDEX(nombres[],SMALL(IF(OFFSET(nombres[],0,0,ROWS(nombres[]),1)=RG$1490,ROW(OFFSET(nombres[],0,0,ROWS(nombres[]),1))-ROW(OFFSET(nombres[],0,0,1,1))+1,ROW(OFFSET(nombres[],ROWS(nombres[])-1,0,1,1))+1),$O1549:$O1568),3),"")</f>
        <v/>
      </c>
      <c r="RH1549" s="42" t="str">
        <f t="array" aca="1" ref="RH1549" ca="1">IFERROR(INDEX(nombres[],SMALL(IF(OFFSET(nombres[],0,0,ROWS(nombres[]),1)=RH$1490,ROW(OFFSET(nombres[],0,0,ROWS(nombres[]),1))-ROW(OFFSET(nombres[],0,0,1,1))+1,ROW(OFFSET(nombres[],ROWS(nombres[])-1,0,1,1))+1),$O1549:$O1568),3),"")</f>
        <v/>
      </c>
      <c r="RI1549" s="42" t="str">
        <f t="array" aca="1" ref="RI1549" ca="1">IFERROR(INDEX(nombres[],SMALL(IF(OFFSET(nombres[],0,0,ROWS(nombres[]),1)=RI$1490,ROW(OFFSET(nombres[],0,0,ROWS(nombres[]),1))-ROW(OFFSET(nombres[],0,0,1,1))+1,ROW(OFFSET(nombres[],ROWS(nombres[])-1,0,1,1))+1),$O1549:$O1568),3),"")</f>
        <v/>
      </c>
      <c r="RJ1549" s="42" t="str">
        <f t="array" aca="1" ref="RJ1549" ca="1">IFERROR(INDEX(nombres[],SMALL(IF(OFFSET(nombres[],0,0,ROWS(nombres[]),1)=RJ$1490,ROW(OFFSET(nombres[],0,0,ROWS(nombres[]),1))-ROW(OFFSET(nombres[],0,0,1,1))+1,ROW(OFFSET(nombres[],ROWS(nombres[])-1,0,1,1))+1),$O1549:$O1568),3),"")</f>
        <v/>
      </c>
      <c r="RK1549" s="42" t="str">
        <f t="array" aca="1" ref="RK1549" ca="1">IFERROR(INDEX(nombres[],SMALL(IF(OFFSET(nombres[],0,0,ROWS(nombres[]),1)=RK$1490,ROW(OFFSET(nombres[],0,0,ROWS(nombres[]),1))-ROW(OFFSET(nombres[],0,0,1,1))+1,ROW(OFFSET(nombres[],ROWS(nombres[])-1,0,1,1))+1),$O1549:$O1568),3),"")</f>
        <v/>
      </c>
      <c r="RL1549" s="42" t="str">
        <f t="array" aca="1" ref="RL1549" ca="1">IFERROR(INDEX(nombres[],SMALL(IF(OFFSET(nombres[],0,0,ROWS(nombres[]),1)=RL$1490,ROW(OFFSET(nombres[],0,0,ROWS(nombres[]),1))-ROW(OFFSET(nombres[],0,0,1,1))+1,ROW(OFFSET(nombres[],ROWS(nombres[])-1,0,1,1))+1),$O1549:$O1568),3),"")</f>
        <v/>
      </c>
      <c r="RM1549" s="42" t="str">
        <f t="array" aca="1" ref="RM1549" ca="1">IFERROR(INDEX(nombres[],SMALL(IF(OFFSET(nombres[],0,0,ROWS(nombres[]),1)=RM$1490,ROW(OFFSET(nombres[],0,0,ROWS(nombres[]),1))-ROW(OFFSET(nombres[],0,0,1,1))+1,ROW(OFFSET(nombres[],ROWS(nombres[])-1,0,1,1))+1),$O1549:$O1568),3),"")</f>
        <v/>
      </c>
      <c r="RN1549" s="42" t="str">
        <f t="array" aca="1" ref="RN1549" ca="1">IFERROR(INDEX(nombres[],SMALL(IF(OFFSET(nombres[],0,0,ROWS(nombres[]),1)=RN$1490,ROW(OFFSET(nombres[],0,0,ROWS(nombres[]),1))-ROW(OFFSET(nombres[],0,0,1,1))+1,ROW(OFFSET(nombres[],ROWS(nombres[])-1,0,1,1))+1),$O1549:$O1568),3),"")</f>
        <v/>
      </c>
      <c r="RO1549" s="42" t="str">
        <f t="array" aca="1" ref="RO1549" ca="1">IFERROR(INDEX(nombres[],SMALL(IF(OFFSET(nombres[],0,0,ROWS(nombres[]),1)=RO$1490,ROW(OFFSET(nombres[],0,0,ROWS(nombres[]),1))-ROW(OFFSET(nombres[],0,0,1,1))+1,ROW(OFFSET(nombres[],ROWS(nombres[])-1,0,1,1))+1),$O1549:$O1568),3),"")</f>
        <v/>
      </c>
      <c r="RP1549" s="42" t="str">
        <f t="array" aca="1" ref="RP1549" ca="1">IFERROR(INDEX(nombres[],SMALL(IF(OFFSET(nombres[],0,0,ROWS(nombres[]),1)=RP$1490,ROW(OFFSET(nombres[],0,0,ROWS(nombres[]),1))-ROW(OFFSET(nombres[],0,0,1,1))+1,ROW(OFFSET(nombres[],ROWS(nombres[])-1,0,1,1))+1),$O1549:$O1568),3),"")</f>
        <v/>
      </c>
      <c r="RQ1549" s="42" t="str">
        <f t="array" aca="1" ref="RQ1549" ca="1">IFERROR(INDEX(nombres[],SMALL(IF(OFFSET(nombres[],0,0,ROWS(nombres[]),1)=RQ$1490,ROW(OFFSET(nombres[],0,0,ROWS(nombres[]),1))-ROW(OFFSET(nombres[],0,0,1,1))+1,ROW(OFFSET(nombres[],ROWS(nombres[])-1,0,1,1))+1),$O1549:$O1568),3),"")</f>
        <v/>
      </c>
      <c r="RR1549" s="42" t="str">
        <f t="array" aca="1" ref="RR1549" ca="1">IFERROR(INDEX(nombres[],SMALL(IF(OFFSET(nombres[],0,0,ROWS(nombres[]),1)=RR$1490,ROW(OFFSET(nombres[],0,0,ROWS(nombres[]),1))-ROW(OFFSET(nombres[],0,0,1,1))+1,ROW(OFFSET(nombres[],ROWS(nombres[])-1,0,1,1))+1),$O1549:$O1568),3),"")</f>
        <v/>
      </c>
      <c r="RS1549" s="42" t="str">
        <f t="array" aca="1" ref="RS1549" ca="1">IFERROR(INDEX(nombres[],SMALL(IF(OFFSET(nombres[],0,0,ROWS(nombres[]),1)=RS$1490,ROW(OFFSET(nombres[],0,0,ROWS(nombres[]),1))-ROW(OFFSET(nombres[],0,0,1,1))+1,ROW(OFFSET(nombres[],ROWS(nombres[])-1,0,1,1))+1),$O1549:$O1568),3),"")</f>
        <v/>
      </c>
      <c r="RT1549" s="42" t="str">
        <f t="array" aca="1" ref="RT1549" ca="1">IFERROR(INDEX(nombres[],SMALL(IF(OFFSET(nombres[],0,0,ROWS(nombres[]),1)=RT$1490,ROW(OFFSET(nombres[],0,0,ROWS(nombres[]),1))-ROW(OFFSET(nombres[],0,0,1,1))+1,ROW(OFFSET(nombres[],ROWS(nombres[])-1,0,1,1))+1),$O1549:$O1568),3),"")</f>
        <v/>
      </c>
      <c r="RU1549" s="42" t="str">
        <f t="array" aca="1" ref="RU1549" ca="1">IFERROR(INDEX(nombres[],SMALL(IF(OFFSET(nombres[],0,0,ROWS(nombres[]),1)=RU$1490,ROW(OFFSET(nombres[],0,0,ROWS(nombres[]),1))-ROW(OFFSET(nombres[],0,0,1,1))+1,ROW(OFFSET(nombres[],ROWS(nombres[])-1,0,1,1))+1),$O1549:$O1568),3),"")</f>
        <v/>
      </c>
      <c r="RV1549" s="42" t="str">
        <f t="array" aca="1" ref="RV1549" ca="1">IFERROR(INDEX(nombres[],SMALL(IF(OFFSET(nombres[],0,0,ROWS(nombres[]),1)=RV$1490,ROW(OFFSET(nombres[],0,0,ROWS(nombres[]),1))-ROW(OFFSET(nombres[],0,0,1,1))+1,ROW(OFFSET(nombres[],ROWS(nombres[])-1,0,1,1))+1),$O1549:$O1568),3),"")</f>
        <v/>
      </c>
      <c r="RW1549" s="42" t="str">
        <f t="array" aca="1" ref="RW1549" ca="1">IFERROR(INDEX(nombres[],SMALL(IF(OFFSET(nombres[],0,0,ROWS(nombres[]),1)=RW$1490,ROW(OFFSET(nombres[],0,0,ROWS(nombres[]),1))-ROW(OFFSET(nombres[],0,0,1,1))+1,ROW(OFFSET(nombres[],ROWS(nombres[])-1,0,1,1))+1),$O1549:$O1568),3),"")</f>
        <v/>
      </c>
      <c r="RX1549" s="42" t="str">
        <f t="array" aca="1" ref="RX1549" ca="1">IFERROR(INDEX(nombres[],SMALL(IF(OFFSET(nombres[],0,0,ROWS(nombres[]),1)=RX$1490,ROW(OFFSET(nombres[],0,0,ROWS(nombres[]),1))-ROW(OFFSET(nombres[],0,0,1,1))+1,ROW(OFFSET(nombres[],ROWS(nombres[])-1,0,1,1))+1),$O1549:$O1568),3),"")</f>
        <v/>
      </c>
      <c r="RY1549" s="42" t="str">
        <f t="array" aca="1" ref="RY1549" ca="1">IFERROR(INDEX(nombres[],SMALL(IF(OFFSET(nombres[],0,0,ROWS(nombres[]),1)=RY$1490,ROW(OFFSET(nombres[],0,0,ROWS(nombres[]),1))-ROW(OFFSET(nombres[],0,0,1,1))+1,ROW(OFFSET(nombres[],ROWS(nombres[])-1,0,1,1))+1),$O1549:$O1568),3),"")</f>
        <v/>
      </c>
      <c r="RZ1549" s="42" t="str">
        <f t="array" aca="1" ref="RZ1549" ca="1">IFERROR(INDEX(nombres[],SMALL(IF(OFFSET(nombres[],0,0,ROWS(nombres[]),1)=RZ$1490,ROW(OFFSET(nombres[],0,0,ROWS(nombres[]),1))-ROW(OFFSET(nombres[],0,0,1,1))+1,ROW(OFFSET(nombres[],ROWS(nombres[])-1,0,1,1))+1),$O1549:$O1568),3),"")</f>
        <v/>
      </c>
      <c r="SA1549" s="42" t="str">
        <f t="array" aca="1" ref="SA1549" ca="1">IFERROR(INDEX(nombres[],SMALL(IF(OFFSET(nombres[],0,0,ROWS(nombres[]),1)=SA$1490,ROW(OFFSET(nombres[],0,0,ROWS(nombres[]),1))-ROW(OFFSET(nombres[],0,0,1,1))+1,ROW(OFFSET(nombres[],ROWS(nombres[])-1,0,1,1))+1),$O1549:$O1568),3),"")</f>
        <v/>
      </c>
      <c r="SB1549" s="42" t="str">
        <f t="array" aca="1" ref="SB1549" ca="1">IFERROR(INDEX(nombres[],SMALL(IF(OFFSET(nombres[],0,0,ROWS(nombres[]),1)=SB$1490,ROW(OFFSET(nombres[],0,0,ROWS(nombres[]),1))-ROW(OFFSET(nombres[],0,0,1,1))+1,ROW(OFFSET(nombres[],ROWS(nombres[])-1,0,1,1))+1),$O1549:$O1568),3),"")</f>
        <v/>
      </c>
      <c r="SC1549" s="42" t="str">
        <f t="array" aca="1" ref="SC1549" ca="1">IFERROR(INDEX(nombres[],SMALL(IF(OFFSET(nombres[],0,0,ROWS(nombres[]),1)=SC$1490,ROW(OFFSET(nombres[],0,0,ROWS(nombres[]),1))-ROW(OFFSET(nombres[],0,0,1,1))+1,ROW(OFFSET(nombres[],ROWS(nombres[])-1,0,1,1))+1),$O1549:$O1568),3),"")</f>
        <v/>
      </c>
      <c r="SD1549" s="42" t="str">
        <f t="array" aca="1" ref="SD1549" ca="1">IFERROR(INDEX(nombres[],SMALL(IF(OFFSET(nombres[],0,0,ROWS(nombres[]),1)=SD$1490,ROW(OFFSET(nombres[],0,0,ROWS(nombres[]),1))-ROW(OFFSET(nombres[],0,0,1,1))+1,ROW(OFFSET(nombres[],ROWS(nombres[])-1,0,1,1))+1),$O1549:$O1568),3),"")</f>
        <v/>
      </c>
      <c r="SE1549" s="42" t="str">
        <f t="array" aca="1" ref="SE1549" ca="1">IFERROR(INDEX(nombres[],SMALL(IF(OFFSET(nombres[],0,0,ROWS(nombres[]),1)=SE$1490,ROW(OFFSET(nombres[],0,0,ROWS(nombres[]),1))-ROW(OFFSET(nombres[],0,0,1,1))+1,ROW(OFFSET(nombres[],ROWS(nombres[])-1,0,1,1))+1),$O1549:$O1568),3),"")</f>
        <v/>
      </c>
      <c r="SF1549" s="42" t="str">
        <f t="array" aca="1" ref="SF1549" ca="1">IFERROR(INDEX(nombres[],SMALL(IF(OFFSET(nombres[],0,0,ROWS(nombres[]),1)=SF$1490,ROW(OFFSET(nombres[],0,0,ROWS(nombres[]),1))-ROW(OFFSET(nombres[],0,0,1,1))+1,ROW(OFFSET(nombres[],ROWS(nombres[])-1,0,1,1))+1),$O1549:$O1568),3),"")</f>
        <v/>
      </c>
      <c r="SG1549" s="42" t="str">
        <f t="array" aca="1" ref="SG1549" ca="1">IFERROR(INDEX(nombres[],SMALL(IF(OFFSET(nombres[],0,0,ROWS(nombres[]),1)=SG$1490,ROW(OFFSET(nombres[],0,0,ROWS(nombres[]),1))-ROW(OFFSET(nombres[],0,0,1,1))+1,ROW(OFFSET(nombres[],ROWS(nombres[])-1,0,1,1))+1),$O1549:$O1568),3),"")</f>
        <v/>
      </c>
      <c r="SH1549" s="42" t="str">
        <f t="array" aca="1" ref="SH1549" ca="1">IFERROR(INDEX(nombres[],SMALL(IF(OFFSET(nombres[],0,0,ROWS(nombres[]),1)=SH$1490,ROW(OFFSET(nombres[],0,0,ROWS(nombres[]),1))-ROW(OFFSET(nombres[],0,0,1,1))+1,ROW(OFFSET(nombres[],ROWS(nombres[])-1,0,1,1))+1),$O1549:$O1568),3),"")</f>
        <v/>
      </c>
      <c r="SI1549" s="42" t="str">
        <f t="array" aca="1" ref="SI1549" ca="1">IFERROR(INDEX(nombres[],SMALL(IF(OFFSET(nombres[],0,0,ROWS(nombres[]),1)=SI$1490,ROW(OFFSET(nombres[],0,0,ROWS(nombres[]),1))-ROW(OFFSET(nombres[],0,0,1,1))+1,ROW(OFFSET(nombres[],ROWS(nombres[])-1,0,1,1))+1),$O1549:$O1568),3),"")</f>
        <v/>
      </c>
      <c r="SJ1549" s="42" t="str">
        <f t="array" aca="1" ref="SJ1549" ca="1">IFERROR(INDEX(nombres[],SMALL(IF(OFFSET(nombres[],0,0,ROWS(nombres[]),1)=SJ$1490,ROW(OFFSET(nombres[],0,0,ROWS(nombres[]),1))-ROW(OFFSET(nombres[],0,0,1,1))+1,ROW(OFFSET(nombres[],ROWS(nombres[])-1,0,1,1))+1),$O1549:$O1568),3),"")</f>
        <v/>
      </c>
      <c r="SK1549" s="42" t="str">
        <f t="array" aca="1" ref="SK1549" ca="1">IFERROR(INDEX(nombres[],SMALL(IF(OFFSET(nombres[],0,0,ROWS(nombres[]),1)=SK$1490,ROW(OFFSET(nombres[],0,0,ROWS(nombres[]),1))-ROW(OFFSET(nombres[],0,0,1,1))+1,ROW(OFFSET(nombres[],ROWS(nombres[])-1,0,1,1))+1),$O1549:$O1568),3),"")</f>
        <v/>
      </c>
      <c r="SL1549" s="42" t="str">
        <f t="array" aca="1" ref="SL1549" ca="1">IFERROR(INDEX(nombres[],SMALL(IF(OFFSET(nombres[],0,0,ROWS(nombres[]),1)=SL$1490,ROW(OFFSET(nombres[],0,0,ROWS(nombres[]),1))-ROW(OFFSET(nombres[],0,0,1,1))+1,ROW(OFFSET(nombres[],ROWS(nombres[])-1,0,1,1))+1),$O1549:$O1568),3),"")</f>
        <v/>
      </c>
      <c r="SM1549" s="42" t="str">
        <f t="array" aca="1" ref="SM1549" ca="1">IFERROR(INDEX(nombres[],SMALL(IF(OFFSET(nombres[],0,0,ROWS(nombres[]),1)=SM$1490,ROW(OFFSET(nombres[],0,0,ROWS(nombres[]),1))-ROW(OFFSET(nombres[],0,0,1,1))+1,ROW(OFFSET(nombres[],ROWS(nombres[])-1,0,1,1))+1),$O1549:$O1568),3),"")</f>
        <v/>
      </c>
      <c r="SN1549" s="42" t="str">
        <f t="array" aca="1" ref="SN1549" ca="1">IFERROR(INDEX(nombres[],SMALL(IF(OFFSET(nombres[],0,0,ROWS(nombres[]),1)=SN$1490,ROW(OFFSET(nombres[],0,0,ROWS(nombres[]),1))-ROW(OFFSET(nombres[],0,0,1,1))+1,ROW(OFFSET(nombres[],ROWS(nombres[])-1,0,1,1))+1),$O1549:$O1568),3),"")</f>
        <v/>
      </c>
      <c r="SO1549" s="42" t="str">
        <f t="array" aca="1" ref="SO1549" ca="1">IFERROR(INDEX(nombres[],SMALL(IF(OFFSET(nombres[],0,0,ROWS(nombres[]),1)=SO$1490,ROW(OFFSET(nombres[],0,0,ROWS(nombres[]),1))-ROW(OFFSET(nombres[],0,0,1,1))+1,ROW(OFFSET(nombres[],ROWS(nombres[])-1,0,1,1))+1),$O1549:$O1568),3),"")</f>
        <v/>
      </c>
      <c r="SP1549" s="42" t="str">
        <f t="array" aca="1" ref="SP1549" ca="1">IFERROR(INDEX(nombres[],SMALL(IF(OFFSET(nombres[],0,0,ROWS(nombres[]),1)=SP$1490,ROW(OFFSET(nombres[],0,0,ROWS(nombres[]),1))-ROW(OFFSET(nombres[],0,0,1,1))+1,ROW(OFFSET(nombres[],ROWS(nombres[])-1,0,1,1))+1),$O1549:$O1568),3),"")</f>
        <v/>
      </c>
      <c r="SQ1549" s="42" t="str">
        <f t="array" aca="1" ref="SQ1549" ca="1">IFERROR(INDEX(nombres[],SMALL(IF(OFFSET(nombres[],0,0,ROWS(nombres[]),1)=SQ$1490,ROW(OFFSET(nombres[],0,0,ROWS(nombres[]),1))-ROW(OFFSET(nombres[],0,0,1,1))+1,ROW(OFFSET(nombres[],ROWS(nombres[])-1,0,1,1))+1),$O1549:$O1568),3),"")</f>
        <v/>
      </c>
      <c r="SR1549" s="42" t="str">
        <f t="array" aca="1" ref="SR1549" ca="1">IFERROR(INDEX(nombres[],SMALL(IF(OFFSET(nombres[],0,0,ROWS(nombres[]),1)=SR$1490,ROW(OFFSET(nombres[],0,0,ROWS(nombres[]),1))-ROW(OFFSET(nombres[],0,0,1,1))+1,ROW(OFFSET(nombres[],ROWS(nombres[])-1,0,1,1))+1),$O1549:$O1568),3),"")</f>
        <v/>
      </c>
      <c r="SS1549" s="42" t="str">
        <f t="array" aca="1" ref="SS1549" ca="1">IFERROR(INDEX(nombres[],SMALL(IF(OFFSET(nombres[],0,0,ROWS(nombres[]),1)=SS$1490,ROW(OFFSET(nombres[],0,0,ROWS(nombres[]),1))-ROW(OFFSET(nombres[],0,0,1,1))+1,ROW(OFFSET(nombres[],ROWS(nombres[])-1,0,1,1))+1),$O1549:$O1568),3),"")</f>
        <v/>
      </c>
      <c r="ST1549" s="42" t="str">
        <f t="array" aca="1" ref="ST1549" ca="1">IFERROR(INDEX(nombres[],SMALL(IF(OFFSET(nombres[],0,0,ROWS(nombres[]),1)=ST$1490,ROW(OFFSET(nombres[],0,0,ROWS(nombres[]),1))-ROW(OFFSET(nombres[],0,0,1,1))+1,ROW(OFFSET(nombres[],ROWS(nombres[])-1,0,1,1))+1),$O1549:$O1568),3),"")</f>
        <v/>
      </c>
      <c r="SU1549" s="42" t="str">
        <f t="array" aca="1" ref="SU1549" ca="1">IFERROR(INDEX(nombres[],SMALL(IF(OFFSET(nombres[],0,0,ROWS(nombres[]),1)=SU$1490,ROW(OFFSET(nombres[],0,0,ROWS(nombres[]),1))-ROW(OFFSET(nombres[],0,0,1,1))+1,ROW(OFFSET(nombres[],ROWS(nombres[])-1,0,1,1))+1),$O1549:$O1568),3),"")</f>
        <v/>
      </c>
      <c r="SV1549" s="42" t="str">
        <f t="array" aca="1" ref="SV1549" ca="1">IFERROR(INDEX(nombres[],SMALL(IF(OFFSET(nombres[],0,0,ROWS(nombres[]),1)=SV$1490,ROW(OFFSET(nombres[],0,0,ROWS(nombres[]),1))-ROW(OFFSET(nombres[],0,0,1,1))+1,ROW(OFFSET(nombres[],ROWS(nombres[])-1,0,1,1))+1),$O1549:$O1568),3),"")</f>
        <v/>
      </c>
      <c r="SW1549" s="42" t="str">
        <f t="array" aca="1" ref="SW1549" ca="1">IFERROR(INDEX(nombres[],SMALL(IF(OFFSET(nombres[],0,0,ROWS(nombres[]),1)=SW$1490,ROW(OFFSET(nombres[],0,0,ROWS(nombres[]),1))-ROW(OFFSET(nombres[],0,0,1,1))+1,ROW(OFFSET(nombres[],ROWS(nombres[])-1,0,1,1))+1),$O1549:$O1568),3),"")</f>
        <v/>
      </c>
      <c r="SX1549" s="42" t="str">
        <f t="array" aca="1" ref="SX1549" ca="1">IFERROR(INDEX(nombres[],SMALL(IF(OFFSET(nombres[],0,0,ROWS(nombres[]),1)=SX$1490,ROW(OFFSET(nombres[],0,0,ROWS(nombres[]),1))-ROW(OFFSET(nombres[],0,0,1,1))+1,ROW(OFFSET(nombres[],ROWS(nombres[])-1,0,1,1))+1),$O1549:$O1568),3),"")</f>
        <v/>
      </c>
      <c r="SY1549" s="42" t="str">
        <f t="array" aca="1" ref="SY1549" ca="1">IFERROR(INDEX(nombres[],SMALL(IF(OFFSET(nombres[],0,0,ROWS(nombres[]),1)=SY$1490,ROW(OFFSET(nombres[],0,0,ROWS(nombres[]),1))-ROW(OFFSET(nombres[],0,0,1,1))+1,ROW(OFFSET(nombres[],ROWS(nombres[])-1,0,1,1))+1),$O1549:$O1568),3),"")</f>
        <v/>
      </c>
      <c r="SZ1549" s="42" t="str">
        <f t="array" aca="1" ref="SZ1549" ca="1">IFERROR(INDEX(nombres[],SMALL(IF(OFFSET(nombres[],0,0,ROWS(nombres[]),1)=SZ$1490,ROW(OFFSET(nombres[],0,0,ROWS(nombres[]),1))-ROW(OFFSET(nombres[],0,0,1,1))+1,ROW(OFFSET(nombres[],ROWS(nombres[])-1,0,1,1))+1),$O1549:$O1568),3),"")</f>
        <v/>
      </c>
      <c r="TA1549" s="42" t="str">
        <f t="array" aca="1" ref="TA1549" ca="1">IFERROR(INDEX(nombres[],SMALL(IF(OFFSET(nombres[],0,0,ROWS(nombres[]),1)=TA$1490,ROW(OFFSET(nombres[],0,0,ROWS(nombres[]),1))-ROW(OFFSET(nombres[],0,0,1,1))+1,ROW(OFFSET(nombres[],ROWS(nombres[])-1,0,1,1))+1),$O1549:$O1568),3),"")</f>
        <v/>
      </c>
      <c r="TB1549" s="42" t="str">
        <f t="array" aca="1" ref="TB1549" ca="1">IFERROR(INDEX(nombres[],SMALL(IF(OFFSET(nombres[],0,0,ROWS(nombres[]),1)=TB$1490,ROW(OFFSET(nombres[],0,0,ROWS(nombres[]),1))-ROW(OFFSET(nombres[],0,0,1,1))+1,ROW(OFFSET(nombres[],ROWS(nombres[])-1,0,1,1))+1),$O1549:$O1568),3),"")</f>
        <v/>
      </c>
      <c r="TC1549" s="42" t="str">
        <f t="array" aca="1" ref="TC1549" ca="1">IFERROR(INDEX(nombres[],SMALL(IF(OFFSET(nombres[],0,0,ROWS(nombres[]),1)=TC$1490,ROW(OFFSET(nombres[],0,0,ROWS(nombres[]),1))-ROW(OFFSET(nombres[],0,0,1,1))+1,ROW(OFFSET(nombres[],ROWS(nombres[])-1,0,1,1))+1),$O1549:$O1568),3),"")</f>
        <v/>
      </c>
      <c r="TD1549" s="42" t="str">
        <f t="array" aca="1" ref="TD1549" ca="1">IFERROR(INDEX(nombres[],SMALL(IF(OFFSET(nombres[],0,0,ROWS(nombres[]),1)=TD$1490,ROW(OFFSET(nombres[],0,0,ROWS(nombres[]),1))-ROW(OFFSET(nombres[],0,0,1,1))+1,ROW(OFFSET(nombres[],ROWS(nombres[])-1,0,1,1))+1),$O1549:$O1568),3),"")</f>
        <v/>
      </c>
      <c r="TE1549" s="42" t="str">
        <f t="array" aca="1" ref="TE1549" ca="1">IFERROR(INDEX(nombres[],SMALL(IF(OFFSET(nombres[],0,0,ROWS(nombres[]),1)=TE$1490,ROW(OFFSET(nombres[],0,0,ROWS(nombres[]),1))-ROW(OFFSET(nombres[],0,0,1,1))+1,ROW(OFFSET(nombres[],ROWS(nombres[])-1,0,1,1))+1),$O1549:$O1568),3),"")</f>
        <v/>
      </c>
      <c r="TF1549" s="42" t="str">
        <f t="array" aca="1" ref="TF1549" ca="1">IFERROR(INDEX(nombres[],SMALL(IF(OFFSET(nombres[],0,0,ROWS(nombres[]),1)=TF$1490,ROW(OFFSET(nombres[],0,0,ROWS(nombres[]),1))-ROW(OFFSET(nombres[],0,0,1,1))+1,ROW(OFFSET(nombres[],ROWS(nombres[])-1,0,1,1))+1),$O1549:$O1568),3),"")</f>
        <v/>
      </c>
      <c r="TG1549" s="42" t="str">
        <f t="array" aca="1" ref="TG1549" ca="1">IFERROR(INDEX(nombres[],SMALL(IF(OFFSET(nombres[],0,0,ROWS(nombres[]),1)=TG$1490,ROW(OFFSET(nombres[],0,0,ROWS(nombres[]),1))-ROW(OFFSET(nombres[],0,0,1,1))+1,ROW(OFFSET(nombres[],ROWS(nombres[])-1,0,1,1))+1),$O1549:$O1568),3),"")</f>
        <v/>
      </c>
      <c r="TH1549" s="42" t="str">
        <f t="array" aca="1" ref="TH1549" ca="1">IFERROR(INDEX(nombres[],SMALL(IF(OFFSET(nombres[],0,0,ROWS(nombres[]),1)=TH$1490,ROW(OFFSET(nombres[],0,0,ROWS(nombres[]),1))-ROW(OFFSET(nombres[],0,0,1,1))+1,ROW(OFFSET(nombres[],ROWS(nombres[])-1,0,1,1))+1),$O1549:$O1568),3),"")</f>
        <v/>
      </c>
      <c r="TI1549" s="42" t="str">
        <f t="array" aca="1" ref="TI1549" ca="1">IFERROR(INDEX(nombres[],SMALL(IF(OFFSET(nombres[],0,0,ROWS(nombres[]),1)=TI$1490,ROW(OFFSET(nombres[],0,0,ROWS(nombres[]),1))-ROW(OFFSET(nombres[],0,0,1,1))+1,ROW(OFFSET(nombres[],ROWS(nombres[])-1,0,1,1))+1),$O1549:$O1568),3),"")</f>
        <v/>
      </c>
      <c r="TJ1549" s="42" t="str">
        <f t="array" aca="1" ref="TJ1549" ca="1">IFERROR(INDEX(nombres[],SMALL(IF(OFFSET(nombres[],0,0,ROWS(nombres[]),1)=TJ$1490,ROW(OFFSET(nombres[],0,0,ROWS(nombres[]),1))-ROW(OFFSET(nombres[],0,0,1,1))+1,ROW(OFFSET(nombres[],ROWS(nombres[])-1,0,1,1))+1),$O1549:$O1568),3),"")</f>
        <v/>
      </c>
      <c r="TK1549" s="42" t="str">
        <f t="array" aca="1" ref="TK1549" ca="1">IFERROR(INDEX(nombres[],SMALL(IF(OFFSET(nombres[],0,0,ROWS(nombres[]),1)=TK$1490,ROW(OFFSET(nombres[],0,0,ROWS(nombres[]),1))-ROW(OFFSET(nombres[],0,0,1,1))+1,ROW(OFFSET(nombres[],ROWS(nombres[])-1,0,1,1))+1),$O1549:$O1568),3),"")</f>
        <v/>
      </c>
      <c r="TL1549" s="42" t="str">
        <f t="array" aca="1" ref="TL1549" ca="1">IFERROR(INDEX(nombres[],SMALL(IF(OFFSET(nombres[],0,0,ROWS(nombres[]),1)=TL$1490,ROW(OFFSET(nombres[],0,0,ROWS(nombres[]),1))-ROW(OFFSET(nombres[],0,0,1,1))+1,ROW(OFFSET(nombres[],ROWS(nombres[])-1,0,1,1))+1),$O1549:$O1568),3),"")</f>
        <v/>
      </c>
      <c r="TM1549" s="42" t="str">
        <f t="array" aca="1" ref="TM1549" ca="1">IFERROR(INDEX(nombres[],SMALL(IF(OFFSET(nombres[],0,0,ROWS(nombres[]),1)=TM$1490,ROW(OFFSET(nombres[],0,0,ROWS(nombres[]),1))-ROW(OFFSET(nombres[],0,0,1,1))+1,ROW(OFFSET(nombres[],ROWS(nombres[])-1,0,1,1))+1),$O1549:$O1568),3),"")</f>
        <v/>
      </c>
      <c r="TN1549" s="42" t="str">
        <f t="array" aca="1" ref="TN1549" ca="1">IFERROR(INDEX(nombres[],SMALL(IF(OFFSET(nombres[],0,0,ROWS(nombres[]),1)=TN$1490,ROW(OFFSET(nombres[],0,0,ROWS(nombres[]),1))-ROW(OFFSET(nombres[],0,0,1,1))+1,ROW(OFFSET(nombres[],ROWS(nombres[])-1,0,1,1))+1),$O1549:$O1568),3),"")</f>
        <v/>
      </c>
      <c r="TO1549" s="42" t="str">
        <f t="array" aca="1" ref="TO1549" ca="1">IFERROR(INDEX(nombres[],SMALL(IF(OFFSET(nombres[],0,0,ROWS(nombres[]),1)=TO$1490,ROW(OFFSET(nombres[],0,0,ROWS(nombres[]),1))-ROW(OFFSET(nombres[],0,0,1,1))+1,ROW(OFFSET(nombres[],ROWS(nombres[])-1,0,1,1))+1),$O1549:$O1568),3),"")</f>
        <v/>
      </c>
      <c r="TP1549" s="42" t="str">
        <f t="array" aca="1" ref="TP1549" ca="1">IFERROR(INDEX(nombres[],SMALL(IF(OFFSET(nombres[],0,0,ROWS(nombres[]),1)=TP$1490,ROW(OFFSET(nombres[],0,0,ROWS(nombres[]),1))-ROW(OFFSET(nombres[],0,0,1,1))+1,ROW(OFFSET(nombres[],ROWS(nombres[])-1,0,1,1))+1),$O1549:$O1568),3),"")</f>
        <v/>
      </c>
      <c r="TQ1549" s="42" t="str">
        <f t="array" aca="1" ref="TQ1549" ca="1">IFERROR(INDEX(nombres[],SMALL(IF(OFFSET(nombres[],0,0,ROWS(nombres[]),1)=TQ$1490,ROW(OFFSET(nombres[],0,0,ROWS(nombres[]),1))-ROW(OFFSET(nombres[],0,0,1,1))+1,ROW(OFFSET(nombres[],ROWS(nombres[])-1,0,1,1))+1),$O1549:$O1568),3),"")</f>
        <v/>
      </c>
      <c r="TR1549" s="42" t="str">
        <f t="array" aca="1" ref="TR1549" ca="1">IFERROR(INDEX(nombres[],SMALL(IF(OFFSET(nombres[],0,0,ROWS(nombres[]),1)=TR$1490,ROW(OFFSET(nombres[],0,0,ROWS(nombres[]),1))-ROW(OFFSET(nombres[],0,0,1,1))+1,ROW(OFFSET(nombres[],ROWS(nombres[])-1,0,1,1))+1),$O1549:$O1568),3),"")</f>
        <v/>
      </c>
      <c r="TS1549" s="42" t="str">
        <f t="array" aca="1" ref="TS1549" ca="1">IFERROR(INDEX(nombres[],SMALL(IF(OFFSET(nombres[],0,0,ROWS(nombres[]),1)=TS$1490,ROW(OFFSET(nombres[],0,0,ROWS(nombres[]),1))-ROW(OFFSET(nombres[],0,0,1,1))+1,ROW(OFFSET(nombres[],ROWS(nombres[])-1,0,1,1))+1),$O1549:$O1568),3),"")</f>
        <v/>
      </c>
      <c r="TT1549" s="42" t="str">
        <f t="array" aca="1" ref="TT1549" ca="1">IFERROR(INDEX(nombres[],SMALL(IF(OFFSET(nombres[],0,0,ROWS(nombres[]),1)=TT$1490,ROW(OFFSET(nombres[],0,0,ROWS(nombres[]),1))-ROW(OFFSET(nombres[],0,0,1,1))+1,ROW(OFFSET(nombres[],ROWS(nombres[])-1,0,1,1))+1),$O1549:$O1568),3),"")</f>
        <v/>
      </c>
      <c r="TU1549" s="42" t="str">
        <f t="array" aca="1" ref="TU1549" ca="1">IFERROR(INDEX(nombres[],SMALL(IF(OFFSET(nombres[],0,0,ROWS(nombres[]),1)=TU$1490,ROW(OFFSET(nombres[],0,0,ROWS(nombres[]),1))-ROW(OFFSET(nombres[],0,0,1,1))+1,ROW(OFFSET(nombres[],ROWS(nombres[])-1,0,1,1))+1),$O1549:$O1568),3),"")</f>
        <v/>
      </c>
      <c r="TV1549" s="42" t="str">
        <f t="array" aca="1" ref="TV1549" ca="1">IFERROR(INDEX(nombres[],SMALL(IF(OFFSET(nombres[],0,0,ROWS(nombres[]),1)=TV$1490,ROW(OFFSET(nombres[],0,0,ROWS(nombres[]),1))-ROW(OFFSET(nombres[],0,0,1,1))+1,ROW(OFFSET(nombres[],ROWS(nombres[])-1,0,1,1))+1),$O1549:$O1568),3),"")</f>
        <v/>
      </c>
      <c r="TW1549" s="42" t="str">
        <f t="array" aca="1" ref="TW1549" ca="1">IFERROR(INDEX(nombres[],SMALL(IF(OFFSET(nombres[],0,0,ROWS(nombres[]),1)=TW$1490,ROW(OFFSET(nombres[],0,0,ROWS(nombres[]),1))-ROW(OFFSET(nombres[],0,0,1,1))+1,ROW(OFFSET(nombres[],ROWS(nombres[])-1,0,1,1))+1),$O1549:$O1568),3),"")</f>
        <v/>
      </c>
      <c r="TX1549" s="42" t="str">
        <f t="array" aca="1" ref="TX1549" ca="1">IFERROR(INDEX(nombres[],SMALL(IF(OFFSET(nombres[],0,0,ROWS(nombres[]),1)=TX$1490,ROW(OFFSET(nombres[],0,0,ROWS(nombres[]),1))-ROW(OFFSET(nombres[],0,0,1,1))+1,ROW(OFFSET(nombres[],ROWS(nombres[])-1,0,1,1))+1),$O1549:$O1568),3),"")</f>
        <v/>
      </c>
      <c r="TY1549" s="42" t="str">
        <f t="array" aca="1" ref="TY1549" ca="1">IFERROR(INDEX(nombres[],SMALL(IF(OFFSET(nombres[],0,0,ROWS(nombres[]),1)=TY$1490,ROW(OFFSET(nombres[],0,0,ROWS(nombres[]),1))-ROW(OFFSET(nombres[],0,0,1,1))+1,ROW(OFFSET(nombres[],ROWS(nombres[])-1,0,1,1))+1),$O1549:$O1568),3),"")</f>
        <v/>
      </c>
      <c r="TZ1549" s="42" t="str">
        <f t="array" aca="1" ref="TZ1549" ca="1">IFERROR(INDEX(nombres[],SMALL(IF(OFFSET(nombres[],0,0,ROWS(nombres[]),1)=TZ$1490,ROW(OFFSET(nombres[],0,0,ROWS(nombres[]),1))-ROW(OFFSET(nombres[],0,0,1,1))+1,ROW(OFFSET(nombres[],ROWS(nombres[])-1,0,1,1))+1),$O1549:$O1568),3),"")</f>
        <v/>
      </c>
      <c r="UA1549" s="42" t="str">
        <f t="array" aca="1" ref="UA1549" ca="1">IFERROR(INDEX(nombres[],SMALL(IF(OFFSET(nombres[],0,0,ROWS(nombres[]),1)=UA$1490,ROW(OFFSET(nombres[],0,0,ROWS(nombres[]),1))-ROW(OFFSET(nombres[],0,0,1,1))+1,ROW(OFFSET(nombres[],ROWS(nombres[])-1,0,1,1))+1),$O1549:$O1568),3),"")</f>
        <v/>
      </c>
      <c r="UB1549" s="42" t="str">
        <f t="array" aca="1" ref="UB1549" ca="1">IFERROR(INDEX(nombres[],SMALL(IF(OFFSET(nombres[],0,0,ROWS(nombres[]),1)=UB$1490,ROW(OFFSET(nombres[],0,0,ROWS(nombres[]),1))-ROW(OFFSET(nombres[],0,0,1,1))+1,ROW(OFFSET(nombres[],ROWS(nombres[])-1,0,1,1))+1),$O1549:$O1568),3),"")</f>
        <v/>
      </c>
      <c r="UC1549" s="42" t="str">
        <f t="array" aca="1" ref="UC1549" ca="1">IFERROR(INDEX(nombres[],SMALL(IF(OFFSET(nombres[],0,0,ROWS(nombres[]),1)=UC$1490,ROW(OFFSET(nombres[],0,0,ROWS(nombres[]),1))-ROW(OFFSET(nombres[],0,0,1,1))+1,ROW(OFFSET(nombres[],ROWS(nombres[])-1,0,1,1))+1),$O1549:$O1568),3),"")</f>
        <v/>
      </c>
      <c r="UD1549" s="42" t="str">
        <f t="array" aca="1" ref="UD1549" ca="1">IFERROR(INDEX(nombres[],SMALL(IF(OFFSET(nombres[],0,0,ROWS(nombres[]),1)=UD$1490,ROW(OFFSET(nombres[],0,0,ROWS(nombres[]),1))-ROW(OFFSET(nombres[],0,0,1,1))+1,ROW(OFFSET(nombres[],ROWS(nombres[])-1,0,1,1))+1),$O1549:$O1568),3),"")</f>
        <v/>
      </c>
      <c r="UE1549" s="42" t="str">
        <f t="array" aca="1" ref="UE1549" ca="1">IFERROR(INDEX(nombres[],SMALL(IF(OFFSET(nombres[],0,0,ROWS(nombres[]),1)=UE$1490,ROW(OFFSET(nombres[],0,0,ROWS(nombres[]),1))-ROW(OFFSET(nombres[],0,0,1,1))+1,ROW(OFFSET(nombres[],ROWS(nombres[])-1,0,1,1))+1),$O1549:$O1568),3),"")</f>
        <v/>
      </c>
      <c r="UF1549" s="42" t="str">
        <f t="array" aca="1" ref="UF1549" ca="1">IFERROR(INDEX(nombres[],SMALL(IF(OFFSET(nombres[],0,0,ROWS(nombres[]),1)=UF$1490,ROW(OFFSET(nombres[],0,0,ROWS(nombres[]),1))-ROW(OFFSET(nombres[],0,0,1,1))+1,ROW(OFFSET(nombres[],ROWS(nombres[])-1,0,1,1))+1),$O1549:$O1568),3),"")</f>
        <v/>
      </c>
      <c r="UG1549" s="42" t="str">
        <f t="array" aca="1" ref="UG1549" ca="1">IFERROR(INDEX(nombres[],SMALL(IF(OFFSET(nombres[],0,0,ROWS(nombres[]),1)=UG$1490,ROW(OFFSET(nombres[],0,0,ROWS(nombres[]),1))-ROW(OFFSET(nombres[],0,0,1,1))+1,ROW(OFFSET(nombres[],ROWS(nombres[])-1,0,1,1))+1),$O1549:$O1568),3),"")</f>
        <v/>
      </c>
      <c r="UH1549" s="42" t="str">
        <f t="array" aca="1" ref="UH1549" ca="1">IFERROR(INDEX(nombres[],SMALL(IF(OFFSET(nombres[],0,0,ROWS(nombres[]),1)=UH$1490,ROW(OFFSET(nombres[],0,0,ROWS(nombres[]),1))-ROW(OFFSET(nombres[],0,0,1,1))+1,ROW(OFFSET(nombres[],ROWS(nombres[])-1,0,1,1))+1),$O1549:$O1568),3),"")</f>
        <v/>
      </c>
      <c r="UI1549" s="42" t="str">
        <f t="array" aca="1" ref="UI1549" ca="1">IFERROR(INDEX(nombres[],SMALL(IF(OFFSET(nombres[],0,0,ROWS(nombres[]),1)=UI$1490,ROW(OFFSET(nombres[],0,0,ROWS(nombres[]),1))-ROW(OFFSET(nombres[],0,0,1,1))+1,ROW(OFFSET(nombres[],ROWS(nombres[])-1,0,1,1))+1),$O1549:$O1568),3),"")</f>
        <v/>
      </c>
      <c r="UJ1549" s="42" t="str">
        <f t="array" aca="1" ref="UJ1549" ca="1">IFERROR(INDEX(nombres[],SMALL(IF(OFFSET(nombres[],0,0,ROWS(nombres[]),1)=UJ$1490,ROW(OFFSET(nombres[],0,0,ROWS(nombres[]),1))-ROW(OFFSET(nombres[],0,0,1,1))+1,ROW(OFFSET(nombres[],ROWS(nombres[])-1,0,1,1))+1),$O1549:$O1568),3),"")</f>
        <v/>
      </c>
      <c r="UK1549" s="42" t="str">
        <f t="array" aca="1" ref="UK1549" ca="1">IFERROR(INDEX(nombres[],SMALL(IF(OFFSET(nombres[],0,0,ROWS(nombres[]),1)=UK$1490,ROW(OFFSET(nombres[],0,0,ROWS(nombres[]),1))-ROW(OFFSET(nombres[],0,0,1,1))+1,ROW(OFFSET(nombres[],ROWS(nombres[])-1,0,1,1))+1),$O1549:$O1568),3),"")</f>
        <v/>
      </c>
      <c r="UL1549" s="42" t="str">
        <f t="array" aca="1" ref="UL1549" ca="1">IFERROR(INDEX(nombres[],SMALL(IF(OFFSET(nombres[],0,0,ROWS(nombres[]),1)=UL$1490,ROW(OFFSET(nombres[],0,0,ROWS(nombres[]),1))-ROW(OFFSET(nombres[],0,0,1,1))+1,ROW(OFFSET(nombres[],ROWS(nombres[])-1,0,1,1))+1),$O1549:$O1568),3),"")</f>
        <v/>
      </c>
      <c r="UM1549" s="42" t="str">
        <f t="array" aca="1" ref="UM1549" ca="1">IFERROR(INDEX(nombres[],SMALL(IF(OFFSET(nombres[],0,0,ROWS(nombres[]),1)=UM$1490,ROW(OFFSET(nombres[],0,0,ROWS(nombres[]),1))-ROW(OFFSET(nombres[],0,0,1,1))+1,ROW(OFFSET(nombres[],ROWS(nombres[])-1,0,1,1))+1),$O1549:$O1568),3),"")</f>
        <v/>
      </c>
      <c r="UN1549" s="42" t="str">
        <f t="array" aca="1" ref="UN1549" ca="1">IFERROR(INDEX(nombres[],SMALL(IF(OFFSET(nombres[],0,0,ROWS(nombres[]),1)=UN$1490,ROW(OFFSET(nombres[],0,0,ROWS(nombres[]),1))-ROW(OFFSET(nombres[],0,0,1,1))+1,ROW(OFFSET(nombres[],ROWS(nombres[])-1,0,1,1))+1),$O1549:$O1568),3),"")</f>
        <v/>
      </c>
      <c r="UO1549" s="42" t="str">
        <f t="array" aca="1" ref="UO1549" ca="1">IFERROR(INDEX(nombres[],SMALL(IF(OFFSET(nombres[],0,0,ROWS(nombres[]),1)=UO$1490,ROW(OFFSET(nombres[],0,0,ROWS(nombres[]),1))-ROW(OFFSET(nombres[],0,0,1,1))+1,ROW(OFFSET(nombres[],ROWS(nombres[])-1,0,1,1))+1),$O1549:$O1568),3),"")</f>
        <v/>
      </c>
      <c r="UP1549" s="42" t="str">
        <f t="array" aca="1" ref="UP1549" ca="1">IFERROR(INDEX(nombres[],SMALL(IF(OFFSET(nombres[],0,0,ROWS(nombres[]),1)=UP$1490,ROW(OFFSET(nombres[],0,0,ROWS(nombres[]),1))-ROW(OFFSET(nombres[],0,0,1,1))+1,ROW(OFFSET(nombres[],ROWS(nombres[])-1,0,1,1))+1),$O1549:$O1568),3),"")</f>
        <v/>
      </c>
      <c r="UQ1549" s="42" t="str">
        <f t="array" aca="1" ref="UQ1549" ca="1">IFERROR(INDEX(nombres[],SMALL(IF(OFFSET(nombres[],0,0,ROWS(nombres[]),1)=UQ$1490,ROW(OFFSET(nombres[],0,0,ROWS(nombres[]),1))-ROW(OFFSET(nombres[],0,0,1,1))+1,ROW(OFFSET(nombres[],ROWS(nombres[])-1,0,1,1))+1),$O1549:$O1568),3),"")</f>
        <v/>
      </c>
      <c r="UR1549" s="42" t="str">
        <f t="array" aca="1" ref="UR1549" ca="1">IFERROR(INDEX(nombres[],SMALL(IF(OFFSET(nombres[],0,0,ROWS(nombres[]),1)=UR$1490,ROW(OFFSET(nombres[],0,0,ROWS(nombres[]),1))-ROW(OFFSET(nombres[],0,0,1,1))+1,ROW(OFFSET(nombres[],ROWS(nombres[])-1,0,1,1))+1),$O1549:$O1568),3),"")</f>
        <v/>
      </c>
      <c r="US1549" s="42" t="str">
        <f t="array" aca="1" ref="US1549" ca="1">IFERROR(INDEX(nombres[],SMALL(IF(OFFSET(nombres[],0,0,ROWS(nombres[]),1)=US$1490,ROW(OFFSET(nombres[],0,0,ROWS(nombres[]),1))-ROW(OFFSET(nombres[],0,0,1,1))+1,ROW(OFFSET(nombres[],ROWS(nombres[])-1,0,1,1))+1),$O1549:$O1568),3),"")</f>
        <v/>
      </c>
      <c r="UT1549" s="42" t="str">
        <f t="array" aca="1" ref="UT1549" ca="1">IFERROR(INDEX(nombres[],SMALL(IF(OFFSET(nombres[],0,0,ROWS(nombres[]),1)=UT$1490,ROW(OFFSET(nombres[],0,0,ROWS(nombres[]),1))-ROW(OFFSET(nombres[],0,0,1,1))+1,ROW(OFFSET(nombres[],ROWS(nombres[])-1,0,1,1))+1),$O1549:$O1568),3),"")</f>
        <v/>
      </c>
      <c r="UU1549" s="42" t="str">
        <f t="array" aca="1" ref="UU1549" ca="1">IFERROR(INDEX(nombres[],SMALL(IF(OFFSET(nombres[],0,0,ROWS(nombres[]),1)=UU$1490,ROW(OFFSET(nombres[],0,0,ROWS(nombres[]),1))-ROW(OFFSET(nombres[],0,0,1,1))+1,ROW(OFFSET(nombres[],ROWS(nombres[])-1,0,1,1))+1),$O1549:$O1568),3),"")</f>
        <v/>
      </c>
      <c r="UV1549" s="42" t="str">
        <f t="array" aca="1" ref="UV1549" ca="1">IFERROR(INDEX(nombres[],SMALL(IF(OFFSET(nombres[],0,0,ROWS(nombres[]),1)=UV$1490,ROW(OFFSET(nombres[],0,0,ROWS(nombres[]),1))-ROW(OFFSET(nombres[],0,0,1,1))+1,ROW(OFFSET(nombres[],ROWS(nombres[])-1,0,1,1))+1),$O1549:$O1568),3),"")</f>
        <v/>
      </c>
      <c r="UW1549" s="42" t="str">
        <f t="array" aca="1" ref="UW1549" ca="1">IFERROR(INDEX(nombres[],SMALL(IF(OFFSET(nombres[],0,0,ROWS(nombres[]),1)=UW$1490,ROW(OFFSET(nombres[],0,0,ROWS(nombres[]),1))-ROW(OFFSET(nombres[],0,0,1,1))+1,ROW(OFFSET(nombres[],ROWS(nombres[])-1,0,1,1))+1),$O1549:$O1568),3),"")</f>
        <v/>
      </c>
      <c r="UX1549" s="42" t="str">
        <f t="array" aca="1" ref="UX1549" ca="1">IFERROR(INDEX(nombres[],SMALL(IF(OFFSET(nombres[],0,0,ROWS(nombres[]),1)=UX$1490,ROW(OFFSET(nombres[],0,0,ROWS(nombres[]),1))-ROW(OFFSET(nombres[],0,0,1,1))+1,ROW(OFFSET(nombres[],ROWS(nombres[])-1,0,1,1))+1),$O1549:$O1568),3),"")</f>
        <v/>
      </c>
      <c r="UY1549" s="42" t="str">
        <f t="array" aca="1" ref="UY1549" ca="1">IFERROR(INDEX(nombres[],SMALL(IF(OFFSET(nombres[],0,0,ROWS(nombres[]),1)=UY$1490,ROW(OFFSET(nombres[],0,0,ROWS(nombres[]),1))-ROW(OFFSET(nombres[],0,0,1,1))+1,ROW(OFFSET(nombres[],ROWS(nombres[])-1,0,1,1))+1),$O1549:$O1568),3),"")</f>
        <v/>
      </c>
      <c r="UZ1549" s="42" t="str">
        <f t="array" aca="1" ref="UZ1549" ca="1">IFERROR(INDEX(nombres[],SMALL(IF(OFFSET(nombres[],0,0,ROWS(nombres[]),1)=UZ$1490,ROW(OFFSET(nombres[],0,0,ROWS(nombres[]),1))-ROW(OFFSET(nombres[],0,0,1,1))+1,ROW(OFFSET(nombres[],ROWS(nombres[])-1,0,1,1))+1),$O1549:$O1568),3),"")</f>
        <v/>
      </c>
      <c r="VA1549" s="42" t="str">
        <f t="array" aca="1" ref="VA1549" ca="1">IFERROR(INDEX(nombres[],SMALL(IF(OFFSET(nombres[],0,0,ROWS(nombres[]),1)=VA$1490,ROW(OFFSET(nombres[],0,0,ROWS(nombres[]),1))-ROW(OFFSET(nombres[],0,0,1,1))+1,ROW(OFFSET(nombres[],ROWS(nombres[])-1,0,1,1))+1),$O1549:$O1568),3),"")</f>
        <v/>
      </c>
      <c r="VB1549" s="42" t="str">
        <f t="array" aca="1" ref="VB1549" ca="1">IFERROR(INDEX(nombres[],SMALL(IF(OFFSET(nombres[],0,0,ROWS(nombres[]),1)=VB$1490,ROW(OFFSET(nombres[],0,0,ROWS(nombres[]),1))-ROW(OFFSET(nombres[],0,0,1,1))+1,ROW(OFFSET(nombres[],ROWS(nombres[])-1,0,1,1))+1),$O1549:$O1568),3),"")</f>
        <v/>
      </c>
      <c r="VC1549" s="42" t="str">
        <f t="array" aca="1" ref="VC1549" ca="1">IFERROR(INDEX(nombres[],SMALL(IF(OFFSET(nombres[],0,0,ROWS(nombres[]),1)=VC$1490,ROW(OFFSET(nombres[],0,0,ROWS(nombres[]),1))-ROW(OFFSET(nombres[],0,0,1,1))+1,ROW(OFFSET(nombres[],ROWS(nombres[])-1,0,1,1))+1),$O1549:$O1568),3),"")</f>
        <v/>
      </c>
      <c r="VD1549" s="42" t="str">
        <f t="array" aca="1" ref="VD1549" ca="1">IFERROR(INDEX(nombres[],SMALL(IF(OFFSET(nombres[],0,0,ROWS(nombres[]),1)=VD$1490,ROW(OFFSET(nombres[],0,0,ROWS(nombres[]),1))-ROW(OFFSET(nombres[],0,0,1,1))+1,ROW(OFFSET(nombres[],ROWS(nombres[])-1,0,1,1))+1),$O1549:$O1568),3),"")</f>
        <v/>
      </c>
      <c r="VE1549" s="42" t="str">
        <f t="array" aca="1" ref="VE1549" ca="1">IFERROR(INDEX(nombres[],SMALL(IF(OFFSET(nombres[],0,0,ROWS(nombres[]),1)=VE$1490,ROW(OFFSET(nombres[],0,0,ROWS(nombres[]),1))-ROW(OFFSET(nombres[],0,0,1,1))+1,ROW(OFFSET(nombres[],ROWS(nombres[])-1,0,1,1))+1),$O1549:$O1568),3),"")</f>
        <v/>
      </c>
      <c r="VF1549" s="42" t="str">
        <f t="array" aca="1" ref="VF1549" ca="1">IFERROR(INDEX(nombres[],SMALL(IF(OFFSET(nombres[],0,0,ROWS(nombres[]),1)=VF$1490,ROW(OFFSET(nombres[],0,0,ROWS(nombres[]),1))-ROW(OFFSET(nombres[],0,0,1,1))+1,ROW(OFFSET(nombres[],ROWS(nombres[])-1,0,1,1))+1),$O1549:$O1568),3),"")</f>
        <v/>
      </c>
      <c r="VG1549" s="42" t="str">
        <f t="array" aca="1" ref="VG1549" ca="1">IFERROR(INDEX(nombres[],SMALL(IF(OFFSET(nombres[],0,0,ROWS(nombres[]),1)=VG$1490,ROW(OFFSET(nombres[],0,0,ROWS(nombres[]),1))-ROW(OFFSET(nombres[],0,0,1,1))+1,ROW(OFFSET(nombres[],ROWS(nombres[])-1,0,1,1))+1),$O1549:$O1568),3),"")</f>
        <v/>
      </c>
      <c r="VH1549" s="42" t="str">
        <f t="array" aca="1" ref="VH1549" ca="1">IFERROR(INDEX(nombres[],SMALL(IF(OFFSET(nombres[],0,0,ROWS(nombres[]),1)=VH$1490,ROW(OFFSET(nombres[],0,0,ROWS(nombres[]),1))-ROW(OFFSET(nombres[],0,0,1,1))+1,ROW(OFFSET(nombres[],ROWS(nombres[])-1,0,1,1))+1),$O1549:$O1568),3),"")</f>
        <v/>
      </c>
      <c r="VI1549" s="42" t="str">
        <f t="array" aca="1" ref="VI1549" ca="1">IFERROR(INDEX(nombres[],SMALL(IF(OFFSET(nombres[],0,0,ROWS(nombres[]),1)=VI$1490,ROW(OFFSET(nombres[],0,0,ROWS(nombres[]),1))-ROW(OFFSET(nombres[],0,0,1,1))+1,ROW(OFFSET(nombres[],ROWS(nombres[])-1,0,1,1))+1),$O1549:$O1568),3),"")</f>
        <v/>
      </c>
      <c r="VJ1549" s="42" t="str">
        <f t="array" aca="1" ref="VJ1549" ca="1">IFERROR(INDEX(nombres[],SMALL(IF(OFFSET(nombres[],0,0,ROWS(nombres[]),1)=VJ$1490,ROW(OFFSET(nombres[],0,0,ROWS(nombres[]),1))-ROW(OFFSET(nombres[],0,0,1,1))+1,ROW(OFFSET(nombres[],ROWS(nombres[])-1,0,1,1))+1),$O1549:$O1568),3),"")</f>
        <v/>
      </c>
      <c r="VK1549" s="42" t="str">
        <f t="array" aca="1" ref="VK1549" ca="1">IFERROR(INDEX(nombres[],SMALL(IF(OFFSET(nombres[],0,0,ROWS(nombres[]),1)=VK$1490,ROW(OFFSET(nombres[],0,0,ROWS(nombres[]),1))-ROW(OFFSET(nombres[],0,0,1,1))+1,ROW(OFFSET(nombres[],ROWS(nombres[])-1,0,1,1))+1),$O1549:$O1568),3),"")</f>
        <v/>
      </c>
      <c r="VL1549" s="42" t="str">
        <f t="array" aca="1" ref="VL1549" ca="1">IFERROR(INDEX(nombres[],SMALL(IF(OFFSET(nombres[],0,0,ROWS(nombres[]),1)=VL$1490,ROW(OFFSET(nombres[],0,0,ROWS(nombres[]),1))-ROW(OFFSET(nombres[],0,0,1,1))+1,ROW(OFFSET(nombres[],ROWS(nombres[])-1,0,1,1))+1),$O1549:$O1568),3),"")</f>
        <v/>
      </c>
      <c r="VM1549" s="42" t="str">
        <f t="array" aca="1" ref="VM1549" ca="1">IFERROR(INDEX(nombres[],SMALL(IF(OFFSET(nombres[],0,0,ROWS(nombres[]),1)=VM$1490,ROW(OFFSET(nombres[],0,0,ROWS(nombres[]),1))-ROW(OFFSET(nombres[],0,0,1,1))+1,ROW(OFFSET(nombres[],ROWS(nombres[])-1,0,1,1))+1),$O1549:$O1568),3),"")</f>
        <v/>
      </c>
      <c r="VN1549" s="42" t="str">
        <f t="array" aca="1" ref="VN1549" ca="1">IFERROR(INDEX(nombres[],SMALL(IF(OFFSET(nombres[],0,0,ROWS(nombres[]),1)=VN$1490,ROW(OFFSET(nombres[],0,0,ROWS(nombres[]),1))-ROW(OFFSET(nombres[],0,0,1,1))+1,ROW(OFFSET(nombres[],ROWS(nombres[])-1,0,1,1))+1),$O1549:$O1568),3),"")</f>
        <v/>
      </c>
      <c r="VO1549" s="42" t="str">
        <f t="array" aca="1" ref="VO1549" ca="1">IFERROR(INDEX(nombres[],SMALL(IF(OFFSET(nombres[],0,0,ROWS(nombres[]),1)=VO$1490,ROW(OFFSET(nombres[],0,0,ROWS(nombres[]),1))-ROW(OFFSET(nombres[],0,0,1,1))+1,ROW(OFFSET(nombres[],ROWS(nombres[])-1,0,1,1))+1),$O1549:$O1568),3),"")</f>
        <v/>
      </c>
      <c r="VP1549" s="42" t="str">
        <f t="array" aca="1" ref="VP1549" ca="1">IFERROR(INDEX(nombres[],SMALL(IF(OFFSET(nombres[],0,0,ROWS(nombres[]),1)=VP$1490,ROW(OFFSET(nombres[],0,0,ROWS(nombres[]),1))-ROW(OFFSET(nombres[],0,0,1,1))+1,ROW(OFFSET(nombres[],ROWS(nombres[])-1,0,1,1))+1),$O1549:$O1568),3),"")</f>
        <v/>
      </c>
      <c r="VQ1549" s="42" t="str">
        <f t="array" aca="1" ref="VQ1549" ca="1">IFERROR(INDEX(nombres[],SMALL(IF(OFFSET(nombres[],0,0,ROWS(nombres[]),1)=VQ$1490,ROW(OFFSET(nombres[],0,0,ROWS(nombres[]),1))-ROW(OFFSET(nombres[],0,0,1,1))+1,ROW(OFFSET(nombres[],ROWS(nombres[])-1,0,1,1))+1),$O1549:$O1568),3),"")</f>
        <v/>
      </c>
      <c r="VR1549" s="42" t="str">
        <f t="array" aca="1" ref="VR1549" ca="1">IFERROR(INDEX(nombres[],SMALL(IF(OFFSET(nombres[],0,0,ROWS(nombres[]),1)=VR$1490,ROW(OFFSET(nombres[],0,0,ROWS(nombres[]),1))-ROW(OFFSET(nombres[],0,0,1,1))+1,ROW(OFFSET(nombres[],ROWS(nombres[])-1,0,1,1))+1),$O1549:$O1568),3),"")</f>
        <v/>
      </c>
      <c r="VS1549" s="42" t="str">
        <f t="array" aca="1" ref="VS1549" ca="1">IFERROR(INDEX(nombres[],SMALL(IF(OFFSET(nombres[],0,0,ROWS(nombres[]),1)=VS$1490,ROW(OFFSET(nombres[],0,0,ROWS(nombres[]),1))-ROW(OFFSET(nombres[],0,0,1,1))+1,ROW(OFFSET(nombres[],ROWS(nombres[])-1,0,1,1))+1),$O1549:$O1568),3),"")</f>
        <v/>
      </c>
      <c r="VT1549" s="42" t="str">
        <f t="array" aca="1" ref="VT1549" ca="1">IFERROR(INDEX(nombres[],SMALL(IF(OFFSET(nombres[],0,0,ROWS(nombres[]),1)=VT$1490,ROW(OFFSET(nombres[],0,0,ROWS(nombres[]),1))-ROW(OFFSET(nombres[],0,0,1,1))+1,ROW(OFFSET(nombres[],ROWS(nombres[])-1,0,1,1))+1),$O1549:$O1568),3),"")</f>
        <v/>
      </c>
      <c r="VU1549" s="42" t="str">
        <f t="array" aca="1" ref="VU1549" ca="1">IFERROR(INDEX(nombres[],SMALL(IF(OFFSET(nombres[],0,0,ROWS(nombres[]),1)=VU$1490,ROW(OFFSET(nombres[],0,0,ROWS(nombres[]),1))-ROW(OFFSET(nombres[],0,0,1,1))+1,ROW(OFFSET(nombres[],ROWS(nombres[])-1,0,1,1))+1),$O1549:$O1568),3),"")</f>
        <v/>
      </c>
      <c r="VV1549" s="42" t="str">
        <f t="array" aca="1" ref="VV1549" ca="1">IFERROR(INDEX(nombres[],SMALL(IF(OFFSET(nombres[],0,0,ROWS(nombres[]),1)=VV$1490,ROW(OFFSET(nombres[],0,0,ROWS(nombres[]),1))-ROW(OFFSET(nombres[],0,0,1,1))+1,ROW(OFFSET(nombres[],ROWS(nombres[])-1,0,1,1))+1),$O1549:$O1568),3),"")</f>
        <v/>
      </c>
      <c r="VW1549" s="42" t="str">
        <f t="array" aca="1" ref="VW1549" ca="1">IFERROR(INDEX(nombres[],SMALL(IF(OFFSET(nombres[],0,0,ROWS(nombres[]),1)=VW$1490,ROW(OFFSET(nombres[],0,0,ROWS(nombres[]),1))-ROW(OFFSET(nombres[],0,0,1,1))+1,ROW(OFFSET(nombres[],ROWS(nombres[])-1,0,1,1))+1),$O1549:$O1568),3),"")</f>
        <v/>
      </c>
      <c r="VX1549" s="42" t="str">
        <f t="array" aca="1" ref="VX1549" ca="1">IFERROR(INDEX(nombres[],SMALL(IF(OFFSET(nombres[],0,0,ROWS(nombres[]),1)=VX$1490,ROW(OFFSET(nombres[],0,0,ROWS(nombres[]),1))-ROW(OFFSET(nombres[],0,0,1,1))+1,ROW(OFFSET(nombres[],ROWS(nombres[])-1,0,1,1))+1),$O1549:$O1568),3),"")</f>
        <v/>
      </c>
      <c r="VY1549" s="42" t="str">
        <f t="array" aca="1" ref="VY1549" ca="1">IFERROR(INDEX(nombres[],SMALL(IF(OFFSET(nombres[],0,0,ROWS(nombres[]),1)=VY$1490,ROW(OFFSET(nombres[],0,0,ROWS(nombres[]),1))-ROW(OFFSET(nombres[],0,0,1,1))+1,ROW(OFFSET(nombres[],ROWS(nombres[])-1,0,1,1))+1),$O1549:$O1568),3),"")</f>
        <v/>
      </c>
      <c r="VZ1549" s="42" t="str">
        <f t="array" aca="1" ref="VZ1549" ca="1">IFERROR(INDEX(nombres[],SMALL(IF(OFFSET(nombres[],0,0,ROWS(nombres[]),1)=VZ$1490,ROW(OFFSET(nombres[],0,0,ROWS(nombres[]),1))-ROW(OFFSET(nombres[],0,0,1,1))+1,ROW(OFFSET(nombres[],ROWS(nombres[])-1,0,1,1))+1),$O1549:$O1568),3),"")</f>
        <v/>
      </c>
      <c r="WA1549" s="42" t="str">
        <f t="array" aca="1" ref="WA1549" ca="1">IFERROR(INDEX(nombres[],SMALL(IF(OFFSET(nombres[],0,0,ROWS(nombres[]),1)=WA$1490,ROW(OFFSET(nombres[],0,0,ROWS(nombres[]),1))-ROW(OFFSET(nombres[],0,0,1,1))+1,ROW(OFFSET(nombres[],ROWS(nombres[])-1,0,1,1))+1),$O1549:$O1568),3),"")</f>
        <v/>
      </c>
      <c r="WB1549" s="42" t="str">
        <f t="array" aca="1" ref="WB1549" ca="1">IFERROR(INDEX(nombres[],SMALL(IF(OFFSET(nombres[],0,0,ROWS(nombres[]),1)=WB$1490,ROW(OFFSET(nombres[],0,0,ROWS(nombres[]),1))-ROW(OFFSET(nombres[],0,0,1,1))+1,ROW(OFFSET(nombres[],ROWS(nombres[])-1,0,1,1))+1),$O1549:$O1568),3),"")</f>
        <v/>
      </c>
      <c r="WC1549" s="42" t="str">
        <f t="array" aca="1" ref="WC1549" ca="1">IFERROR(INDEX(nombres[],SMALL(IF(OFFSET(nombres[],0,0,ROWS(nombres[]),1)=WC$1490,ROW(OFFSET(nombres[],0,0,ROWS(nombres[]),1))-ROW(OFFSET(nombres[],0,0,1,1))+1,ROW(OFFSET(nombres[],ROWS(nombres[])-1,0,1,1))+1),$O1549:$O1568),3),"")</f>
        <v/>
      </c>
      <c r="WD1549" s="42" t="str">
        <f t="array" aca="1" ref="WD1549" ca="1">IFERROR(INDEX(nombres[],SMALL(IF(OFFSET(nombres[],0,0,ROWS(nombres[]),1)=WD$1490,ROW(OFFSET(nombres[],0,0,ROWS(nombres[]),1))-ROW(OFFSET(nombres[],0,0,1,1))+1,ROW(OFFSET(nombres[],ROWS(nombres[])-1,0,1,1))+1),$O1549:$O1568),3),"")</f>
        <v/>
      </c>
      <c r="WE1549" s="42" t="str">
        <f t="array" aca="1" ref="WE1549" ca="1">IFERROR(INDEX(nombres[],SMALL(IF(OFFSET(nombres[],0,0,ROWS(nombres[]),1)=WE$1490,ROW(OFFSET(nombres[],0,0,ROWS(nombres[]),1))-ROW(OFFSET(nombres[],0,0,1,1))+1,ROW(OFFSET(nombres[],ROWS(nombres[])-1,0,1,1))+1),$O1549:$O1568),3),"")</f>
        <v/>
      </c>
      <c r="WF1549" s="42" t="str">
        <f t="array" aca="1" ref="WF1549" ca="1">IFERROR(INDEX(nombres[],SMALL(IF(OFFSET(nombres[],0,0,ROWS(nombres[]),1)=WF$1490,ROW(OFFSET(nombres[],0,0,ROWS(nombres[]),1))-ROW(OFFSET(nombres[],0,0,1,1))+1,ROW(OFFSET(nombres[],ROWS(nombres[])-1,0,1,1))+1),$O1549:$O1568),3),"")</f>
        <v/>
      </c>
      <c r="WG1549" s="42" t="str">
        <f t="array" aca="1" ref="WG1549" ca="1">IFERROR(INDEX(nombres[],SMALL(IF(OFFSET(nombres[],0,0,ROWS(nombres[]),1)=WG$1490,ROW(OFFSET(nombres[],0,0,ROWS(nombres[]),1))-ROW(OFFSET(nombres[],0,0,1,1))+1,ROW(OFFSET(nombres[],ROWS(nombres[])-1,0,1,1))+1),$O1549:$O1568),3),"")</f>
        <v/>
      </c>
      <c r="WH1549" s="42" t="str">
        <f t="array" aca="1" ref="WH1549" ca="1">IFERROR(INDEX(nombres[],SMALL(IF(OFFSET(nombres[],0,0,ROWS(nombres[]),1)=WH$1490,ROW(OFFSET(nombres[],0,0,ROWS(nombres[]),1))-ROW(OFFSET(nombres[],0,0,1,1))+1,ROW(OFFSET(nombres[],ROWS(nombres[])-1,0,1,1))+1),$O1549:$O1568),3),"")</f>
        <v/>
      </c>
      <c r="WI1549" s="42" t="str">
        <f t="array" aca="1" ref="WI1549" ca="1">IFERROR(INDEX(nombres[],SMALL(IF(OFFSET(nombres[],0,0,ROWS(nombres[]),1)=WI$1490,ROW(OFFSET(nombres[],0,0,ROWS(nombres[]),1))-ROW(OFFSET(nombres[],0,0,1,1))+1,ROW(OFFSET(nombres[],ROWS(nombres[])-1,0,1,1))+1),$O1549:$O1568),3),"")</f>
        <v/>
      </c>
      <c r="WJ1549" s="42" t="str">
        <f t="array" aca="1" ref="WJ1549" ca="1">IFERROR(INDEX(nombres[],SMALL(IF(OFFSET(nombres[],0,0,ROWS(nombres[]),1)=WJ$1490,ROW(OFFSET(nombres[],0,0,ROWS(nombres[]),1))-ROW(OFFSET(nombres[],0,0,1,1))+1,ROW(OFFSET(nombres[],ROWS(nombres[])-1,0,1,1))+1),$O1549:$O1568),3),"")</f>
        <v/>
      </c>
      <c r="WK1549" s="42" t="str">
        <f t="array" aca="1" ref="WK1549" ca="1">IFERROR(INDEX(nombres[],SMALL(IF(OFFSET(nombres[],0,0,ROWS(nombres[]),1)=WK$1490,ROW(OFFSET(nombres[],0,0,ROWS(nombres[]),1))-ROW(OFFSET(nombres[],0,0,1,1))+1,ROW(OFFSET(nombres[],ROWS(nombres[])-1,0,1,1))+1),$O1549:$O1568),3),"")</f>
        <v/>
      </c>
      <c r="WL1549" s="42" t="str">
        <f t="array" aca="1" ref="WL1549" ca="1">IFERROR(INDEX(nombres[],SMALL(IF(OFFSET(nombres[],0,0,ROWS(nombres[]),1)=WL$1490,ROW(OFFSET(nombres[],0,0,ROWS(nombres[]),1))-ROW(OFFSET(nombres[],0,0,1,1))+1,ROW(OFFSET(nombres[],ROWS(nombres[])-1,0,1,1))+1),$O1549:$O1568),3),"")</f>
        <v/>
      </c>
      <c r="WM1549" s="42" t="str">
        <f t="array" aca="1" ref="WM1549" ca="1">IFERROR(INDEX(nombres[],SMALL(IF(OFFSET(nombres[],0,0,ROWS(nombres[]),1)=WM$1490,ROW(OFFSET(nombres[],0,0,ROWS(nombres[]),1))-ROW(OFFSET(nombres[],0,0,1,1))+1,ROW(OFFSET(nombres[],ROWS(nombres[])-1,0,1,1))+1),$O1549:$O1568),3),"")</f>
        <v/>
      </c>
      <c r="WN1549" s="42" t="str">
        <f t="array" aca="1" ref="WN1549" ca="1">IFERROR(INDEX(nombres[],SMALL(IF(OFFSET(nombres[],0,0,ROWS(nombres[]),1)=WN$1490,ROW(OFFSET(nombres[],0,0,ROWS(nombres[]),1))-ROW(OFFSET(nombres[],0,0,1,1))+1,ROW(OFFSET(nombres[],ROWS(nombres[])-1,0,1,1))+1),$O1549:$O1568),3),"")</f>
        <v/>
      </c>
      <c r="WO1549" s="42" t="str">
        <f t="array" aca="1" ref="WO1549" ca="1">IFERROR(INDEX(nombres[],SMALL(IF(OFFSET(nombres[],0,0,ROWS(nombres[]),1)=WO$1490,ROW(OFFSET(nombres[],0,0,ROWS(nombres[]),1))-ROW(OFFSET(nombres[],0,0,1,1))+1,ROW(OFFSET(nombres[],ROWS(nombres[])-1,0,1,1))+1),$O1549:$O1568),3),"")</f>
        <v/>
      </c>
      <c r="WP1549" s="42" t="str">
        <f t="array" aca="1" ref="WP1549" ca="1">IFERROR(INDEX(nombres[],SMALL(IF(OFFSET(nombres[],0,0,ROWS(nombres[]),1)=WP$1490,ROW(OFFSET(nombres[],0,0,ROWS(nombres[]),1))-ROW(OFFSET(nombres[],0,0,1,1))+1,ROW(OFFSET(nombres[],ROWS(nombres[])-1,0,1,1))+1),$O1549:$O1568),3),"")</f>
        <v/>
      </c>
      <c r="WQ1549" s="42" t="str">
        <f t="array" aca="1" ref="WQ1549" ca="1">IFERROR(INDEX(nombres[],SMALL(IF(OFFSET(nombres[],0,0,ROWS(nombres[]),1)=WQ$1490,ROW(OFFSET(nombres[],0,0,ROWS(nombres[]),1))-ROW(OFFSET(nombres[],0,0,1,1))+1,ROW(OFFSET(nombres[],ROWS(nombres[])-1,0,1,1))+1),$O1549:$O1568),3),"")</f>
        <v/>
      </c>
      <c r="WR1549" s="42" t="str">
        <f t="array" aca="1" ref="WR1549" ca="1">IFERROR(INDEX(nombres[],SMALL(IF(OFFSET(nombres[],0,0,ROWS(nombres[]),1)=WR$1490,ROW(OFFSET(nombres[],0,0,ROWS(nombres[]),1))-ROW(OFFSET(nombres[],0,0,1,1))+1,ROW(OFFSET(nombres[],ROWS(nombres[])-1,0,1,1))+1),$O1549:$O1568),3),"")</f>
        <v/>
      </c>
      <c r="WS1549" s="42" t="str">
        <f t="array" aca="1" ref="WS1549" ca="1">IFERROR(INDEX(nombres[],SMALL(IF(OFFSET(nombres[],0,0,ROWS(nombres[]),1)=WS$1490,ROW(OFFSET(nombres[],0,0,ROWS(nombres[]),1))-ROW(OFFSET(nombres[],0,0,1,1))+1,ROW(OFFSET(nombres[],ROWS(nombres[])-1,0,1,1))+1),$O1549:$O1568),3),"")</f>
        <v/>
      </c>
      <c r="WT1549" s="42" t="str">
        <f t="array" aca="1" ref="WT1549" ca="1">IFERROR(INDEX(nombres[],SMALL(IF(OFFSET(nombres[],0,0,ROWS(nombres[]),1)=WT$1490,ROW(OFFSET(nombres[],0,0,ROWS(nombres[]),1))-ROW(OFFSET(nombres[],0,0,1,1))+1,ROW(OFFSET(nombres[],ROWS(nombres[])-1,0,1,1))+1),$O1549:$O1568),3),"")</f>
        <v/>
      </c>
      <c r="WU1549" s="42" t="str">
        <f t="array" aca="1" ref="WU1549" ca="1">IFERROR(INDEX(nombres[],SMALL(IF(OFFSET(nombres[],0,0,ROWS(nombres[]),1)=WU$1490,ROW(OFFSET(nombres[],0,0,ROWS(nombres[]),1))-ROW(OFFSET(nombres[],0,0,1,1))+1,ROW(OFFSET(nombres[],ROWS(nombres[])-1,0,1,1))+1),$O1549:$O1568),3),"")</f>
        <v/>
      </c>
      <c r="WV1549" s="42" t="str">
        <f t="array" aca="1" ref="WV1549" ca="1">IFERROR(INDEX(nombres[],SMALL(IF(OFFSET(nombres[],0,0,ROWS(nombres[]),1)=WV$1490,ROW(OFFSET(nombres[],0,0,ROWS(nombres[]),1))-ROW(OFFSET(nombres[],0,0,1,1))+1,ROW(OFFSET(nombres[],ROWS(nombres[])-1,0,1,1))+1),$O1549:$O1568),3),"")</f>
        <v/>
      </c>
      <c r="WW1549" s="42" t="str">
        <f t="array" aca="1" ref="WW1549" ca="1">IFERROR(INDEX(nombres[],SMALL(IF(OFFSET(nombres[],0,0,ROWS(nombres[]),1)=WW$1490,ROW(OFFSET(nombres[],0,0,ROWS(nombres[]),1))-ROW(OFFSET(nombres[],0,0,1,1))+1,ROW(OFFSET(nombres[],ROWS(nombres[])-1,0,1,1))+1),$O1549:$O1568),3),"")</f>
        <v/>
      </c>
      <c r="WX1549" s="42" t="str">
        <f t="array" aca="1" ref="WX1549" ca="1">IFERROR(INDEX(nombres[],SMALL(IF(OFFSET(nombres[],0,0,ROWS(nombres[]),1)=WX$1490,ROW(OFFSET(nombres[],0,0,ROWS(nombres[]),1))-ROW(OFFSET(nombres[],0,0,1,1))+1,ROW(OFFSET(nombres[],ROWS(nombres[])-1,0,1,1))+1),$O1549:$O1568),3),"")</f>
        <v/>
      </c>
      <c r="WY1549" s="42" t="str">
        <f t="array" aca="1" ref="WY1549" ca="1">IFERROR(INDEX(nombres[],SMALL(IF(OFFSET(nombres[],0,0,ROWS(nombres[]),1)=WY$1490,ROW(OFFSET(nombres[],0,0,ROWS(nombres[]),1))-ROW(OFFSET(nombres[],0,0,1,1))+1,ROW(OFFSET(nombres[],ROWS(nombres[])-1,0,1,1))+1),$O1549:$O1568),3),"")</f>
        <v/>
      </c>
      <c r="WZ1549" s="42" t="str">
        <f t="array" aca="1" ref="WZ1549" ca="1">IFERROR(INDEX(nombres[],SMALL(IF(OFFSET(nombres[],0,0,ROWS(nombres[]),1)=WZ$1490,ROW(OFFSET(nombres[],0,0,ROWS(nombres[]),1))-ROW(OFFSET(nombres[],0,0,1,1))+1,ROW(OFFSET(nombres[],ROWS(nombres[])-1,0,1,1))+1),$O1549:$O1568),3),"")</f>
        <v/>
      </c>
      <c r="XA1549" s="42" t="str">
        <f t="array" aca="1" ref="XA1549" ca="1">IFERROR(INDEX(nombres[],SMALL(IF(OFFSET(nombres[],0,0,ROWS(nombres[]),1)=XA$1490,ROW(OFFSET(nombres[],0,0,ROWS(nombres[]),1))-ROW(OFFSET(nombres[],0,0,1,1))+1,ROW(OFFSET(nombres[],ROWS(nombres[])-1,0,1,1))+1),$O1549:$O1568),3),"")</f>
        <v/>
      </c>
      <c r="XB1549" s="42" t="str">
        <f t="array" aca="1" ref="XB1549" ca="1">IFERROR(INDEX(nombres[],SMALL(IF(OFFSET(nombres[],0,0,ROWS(nombres[]),1)=XB$1490,ROW(OFFSET(nombres[],0,0,ROWS(nombres[]),1))-ROW(OFFSET(nombres[],0,0,1,1))+1,ROW(OFFSET(nombres[],ROWS(nombres[])-1,0,1,1))+1),$O1549:$O1568),3),"")</f>
        <v/>
      </c>
      <c r="XC1549" s="42" t="str">
        <f t="array" aca="1" ref="XC1549" ca="1">IFERROR(INDEX(nombres[],SMALL(IF(OFFSET(nombres[],0,0,ROWS(nombres[]),1)=XC$1490,ROW(OFFSET(nombres[],0,0,ROWS(nombres[]),1))-ROW(OFFSET(nombres[],0,0,1,1))+1,ROW(OFFSET(nombres[],ROWS(nombres[])-1,0,1,1))+1),$O1549:$O1568),3),"")</f>
        <v/>
      </c>
      <c r="XD1549" s="42" t="str">
        <f t="array" aca="1" ref="XD1549" ca="1">IFERROR(INDEX(nombres[],SMALL(IF(OFFSET(nombres[],0,0,ROWS(nombres[]),1)=XD$1490,ROW(OFFSET(nombres[],0,0,ROWS(nombres[]),1))-ROW(OFFSET(nombres[],0,0,1,1))+1,ROW(OFFSET(nombres[],ROWS(nombres[])-1,0,1,1))+1),$O1549:$O1568),3),"")</f>
        <v/>
      </c>
      <c r="XE1549" s="42" t="str">
        <f t="array" aca="1" ref="XE1549" ca="1">IFERROR(INDEX(nombres[],SMALL(IF(OFFSET(nombres[],0,0,ROWS(nombres[]),1)=XE$1490,ROW(OFFSET(nombres[],0,0,ROWS(nombres[]),1))-ROW(OFFSET(nombres[],0,0,1,1))+1,ROW(OFFSET(nombres[],ROWS(nombres[])-1,0,1,1))+1),$O1549:$O1568),3),"")</f>
        <v/>
      </c>
      <c r="XF1549" s="42" t="str">
        <f t="array" aca="1" ref="XF1549" ca="1">IFERROR(INDEX(nombres[],SMALL(IF(OFFSET(nombres[],0,0,ROWS(nombres[]),1)=XF$1490,ROW(OFFSET(nombres[],0,0,ROWS(nombres[]),1))-ROW(OFFSET(nombres[],0,0,1,1))+1,ROW(OFFSET(nombres[],ROWS(nombres[])-1,0,1,1))+1),$O1549:$O1568),3),"")</f>
        <v/>
      </c>
      <c r="XG1549" s="42" t="str">
        <f t="array" aca="1" ref="XG1549" ca="1">IFERROR(INDEX(nombres[],SMALL(IF(OFFSET(nombres[],0,0,ROWS(nombres[]),1)=XG$1490,ROW(OFFSET(nombres[],0,0,ROWS(nombres[]),1))-ROW(OFFSET(nombres[],0,0,1,1))+1,ROW(OFFSET(nombres[],ROWS(nombres[])-1,0,1,1))+1),$O1549:$O1568),3),"")</f>
        <v/>
      </c>
      <c r="XH1549" s="42" t="str">
        <f t="array" aca="1" ref="XH1549" ca="1">IFERROR(INDEX(nombres[],SMALL(IF(OFFSET(nombres[],0,0,ROWS(nombres[]),1)=XH$1490,ROW(OFFSET(nombres[],0,0,ROWS(nombres[]),1))-ROW(OFFSET(nombres[],0,0,1,1))+1,ROW(OFFSET(nombres[],ROWS(nombres[])-1,0,1,1))+1),$O1549:$O1568),3),"")</f>
        <v/>
      </c>
      <c r="XI1549" s="42" t="str">
        <f t="array" aca="1" ref="XI1549" ca="1">IFERROR(INDEX(nombres[],SMALL(IF(OFFSET(nombres[],0,0,ROWS(nombres[]),1)=XI$1490,ROW(OFFSET(nombres[],0,0,ROWS(nombres[]),1))-ROW(OFFSET(nombres[],0,0,1,1))+1,ROW(OFFSET(nombres[],ROWS(nombres[])-1,0,1,1))+1),$O1549:$O1568),3),"")</f>
        <v/>
      </c>
      <c r="XJ1549" s="42" t="str">
        <f t="array" aca="1" ref="XJ1549" ca="1">IFERROR(INDEX(nombres[],SMALL(IF(OFFSET(nombres[],0,0,ROWS(nombres[]),1)=XJ$1490,ROW(OFFSET(nombres[],0,0,ROWS(nombres[]),1))-ROW(OFFSET(nombres[],0,0,1,1))+1,ROW(OFFSET(nombres[],ROWS(nombres[])-1,0,1,1))+1),$O1549:$O1568),3),"")</f>
        <v/>
      </c>
      <c r="XK1549" s="42" t="str">
        <f t="array" aca="1" ref="XK1549" ca="1">IFERROR(INDEX(nombres[],SMALL(IF(OFFSET(nombres[],0,0,ROWS(nombres[]),1)=XK$1490,ROW(OFFSET(nombres[],0,0,ROWS(nombres[]),1))-ROW(OFFSET(nombres[],0,0,1,1))+1,ROW(OFFSET(nombres[],ROWS(nombres[])-1,0,1,1))+1),$O1549:$O1568),3),"")</f>
        <v/>
      </c>
      <c r="XL1549" s="42" t="str">
        <f t="array" aca="1" ref="XL1549" ca="1">IFERROR(INDEX(nombres[],SMALL(IF(OFFSET(nombres[],0,0,ROWS(nombres[]),1)=XL$1490,ROW(OFFSET(nombres[],0,0,ROWS(nombres[]),1))-ROW(OFFSET(nombres[],0,0,1,1))+1,ROW(OFFSET(nombres[],ROWS(nombres[])-1,0,1,1))+1),$O1549:$O1568),3),"")</f>
        <v/>
      </c>
      <c r="XM1549" s="42" t="str">
        <f t="array" aca="1" ref="XM1549" ca="1">IFERROR(INDEX(nombres[],SMALL(IF(OFFSET(nombres[],0,0,ROWS(nombres[]),1)=XM$1490,ROW(OFFSET(nombres[],0,0,ROWS(nombres[]),1))-ROW(OFFSET(nombres[],0,0,1,1))+1,ROW(OFFSET(nombres[],ROWS(nombres[])-1,0,1,1))+1),$O1549:$O1568),3),"")</f>
        <v/>
      </c>
      <c r="XN1549" s="42" t="str">
        <f t="array" aca="1" ref="XN1549" ca="1">IFERROR(INDEX(nombres[],SMALL(IF(OFFSET(nombres[],0,0,ROWS(nombres[]),1)=XN$1490,ROW(OFFSET(nombres[],0,0,ROWS(nombres[]),1))-ROW(OFFSET(nombres[],0,0,1,1))+1,ROW(OFFSET(nombres[],ROWS(nombres[])-1,0,1,1))+1),$O1549:$O1568),3),"")</f>
        <v/>
      </c>
      <c r="XO1549" s="42" t="str">
        <f t="array" aca="1" ref="XO1549" ca="1">IFERROR(INDEX(nombres[],SMALL(IF(OFFSET(nombres[],0,0,ROWS(nombres[]),1)=XO$1490,ROW(OFFSET(nombres[],0,0,ROWS(nombres[]),1))-ROW(OFFSET(nombres[],0,0,1,1))+1,ROW(OFFSET(nombres[],ROWS(nombres[])-1,0,1,1))+1),$O1549:$O1568),3),"")</f>
        <v/>
      </c>
      <c r="XP1549" s="42" t="str">
        <f t="array" aca="1" ref="XP1549" ca="1">IFERROR(INDEX(nombres[],SMALL(IF(OFFSET(nombres[],0,0,ROWS(nombres[]),1)=XP$1490,ROW(OFFSET(nombres[],0,0,ROWS(nombres[]),1))-ROW(OFFSET(nombres[],0,0,1,1))+1,ROW(OFFSET(nombres[],ROWS(nombres[])-1,0,1,1))+1),$O1549:$O1568),3),"")</f>
        <v/>
      </c>
      <c r="XQ1549" s="42" t="str">
        <f t="array" aca="1" ref="XQ1549" ca="1">IFERROR(INDEX(nombres[],SMALL(IF(OFFSET(nombres[],0,0,ROWS(nombres[]),1)=XQ$1490,ROW(OFFSET(nombres[],0,0,ROWS(nombres[]),1))-ROW(OFFSET(nombres[],0,0,1,1))+1,ROW(OFFSET(nombres[],ROWS(nombres[])-1,0,1,1))+1),$O1549:$O1568),3),"")</f>
        <v/>
      </c>
      <c r="XR1549" s="42" t="str">
        <f t="array" aca="1" ref="XR1549" ca="1">IFERROR(INDEX(nombres[],SMALL(IF(OFFSET(nombres[],0,0,ROWS(nombres[]),1)=XR$1490,ROW(OFFSET(nombres[],0,0,ROWS(nombres[]),1))-ROW(OFFSET(nombres[],0,0,1,1))+1,ROW(OFFSET(nombres[],ROWS(nombres[])-1,0,1,1))+1),$O1549:$O1568),3),"")</f>
        <v/>
      </c>
      <c r="XS1549" s="42" t="str">
        <f t="array" aca="1" ref="XS1549" ca="1">IFERROR(INDEX(nombres[],SMALL(IF(OFFSET(nombres[],0,0,ROWS(nombres[]),1)=XS$1490,ROW(OFFSET(nombres[],0,0,ROWS(nombres[]),1))-ROW(OFFSET(nombres[],0,0,1,1))+1,ROW(OFFSET(nombres[],ROWS(nombres[])-1,0,1,1))+1),$O1549:$O1568),3),"")</f>
        <v/>
      </c>
      <c r="XT1549" s="42" t="str">
        <f t="array" aca="1" ref="XT1549" ca="1">IFERROR(INDEX(nombres[],SMALL(IF(OFFSET(nombres[],0,0,ROWS(nombres[]),1)=XT$1490,ROW(OFFSET(nombres[],0,0,ROWS(nombres[]),1))-ROW(OFFSET(nombres[],0,0,1,1))+1,ROW(OFFSET(nombres[],ROWS(nombres[])-1,0,1,1))+1),$O1549:$O1568),3),"")</f>
        <v/>
      </c>
      <c r="XU1549" s="42" t="str">
        <f t="array" aca="1" ref="XU1549" ca="1">IFERROR(INDEX(nombres[],SMALL(IF(OFFSET(nombres[],0,0,ROWS(nombres[]),1)=XU$1490,ROW(OFFSET(nombres[],0,0,ROWS(nombres[]),1))-ROW(OFFSET(nombres[],0,0,1,1))+1,ROW(OFFSET(nombres[],ROWS(nombres[])-1,0,1,1))+1),$O1549:$O1568),3),"")</f>
        <v/>
      </c>
      <c r="XV1549" s="42" t="str">
        <f t="array" aca="1" ref="XV1549" ca="1">IFERROR(INDEX(nombres[],SMALL(IF(OFFSET(nombres[],0,0,ROWS(nombres[]),1)=XV$1490,ROW(OFFSET(nombres[],0,0,ROWS(nombres[]),1))-ROW(OFFSET(nombres[],0,0,1,1))+1,ROW(OFFSET(nombres[],ROWS(nombres[])-1,0,1,1))+1),$O1549:$O1568),3),"")</f>
        <v/>
      </c>
      <c r="XW1549" s="42" t="str">
        <f t="array" aca="1" ref="XW1549" ca="1">IFERROR(INDEX(nombres[],SMALL(IF(OFFSET(nombres[],0,0,ROWS(nombres[]),1)=XW$1490,ROW(OFFSET(nombres[],0,0,ROWS(nombres[]),1))-ROW(OFFSET(nombres[],0,0,1,1))+1,ROW(OFFSET(nombres[],ROWS(nombres[])-1,0,1,1))+1),$O1549:$O1568),3),"")</f>
        <v/>
      </c>
      <c r="XX1549" s="42" t="str">
        <f t="array" aca="1" ref="XX1549" ca="1">IFERROR(INDEX(nombres[],SMALL(IF(OFFSET(nombres[],0,0,ROWS(nombres[]),1)=XX$1490,ROW(OFFSET(nombres[],0,0,ROWS(nombres[]),1))-ROW(OFFSET(nombres[],0,0,1,1))+1,ROW(OFFSET(nombres[],ROWS(nombres[])-1,0,1,1))+1),$O1549:$O1568),3),"")</f>
        <v/>
      </c>
      <c r="XY1549" s="42" t="str">
        <f t="array" aca="1" ref="XY1549" ca="1">IFERROR(INDEX(nombres[],SMALL(IF(OFFSET(nombres[],0,0,ROWS(nombres[]),1)=XY$1490,ROW(OFFSET(nombres[],0,0,ROWS(nombres[]),1))-ROW(OFFSET(nombres[],0,0,1,1))+1,ROW(OFFSET(nombres[],ROWS(nombres[])-1,0,1,1))+1),$O1549:$O1568),3),"")</f>
        <v/>
      </c>
      <c r="XZ1549" s="42" t="str">
        <f t="array" aca="1" ref="XZ1549" ca="1">IFERROR(INDEX(nombres[],SMALL(IF(OFFSET(nombres[],0,0,ROWS(nombres[]),1)=XZ$1490,ROW(OFFSET(nombres[],0,0,ROWS(nombres[]),1))-ROW(OFFSET(nombres[],0,0,1,1))+1,ROW(OFFSET(nombres[],ROWS(nombres[])-1,0,1,1))+1),$O1549:$O1568),3),"")</f>
        <v/>
      </c>
      <c r="YA1549" s="42" t="str">
        <f t="array" aca="1" ref="YA1549" ca="1">IFERROR(INDEX(nombres[],SMALL(IF(OFFSET(nombres[],0,0,ROWS(nombres[]),1)=YA$1490,ROW(OFFSET(nombres[],0,0,ROWS(nombres[]),1))-ROW(OFFSET(nombres[],0,0,1,1))+1,ROW(OFFSET(nombres[],ROWS(nombres[])-1,0,1,1))+1),$O1549:$O1568),3),"")</f>
        <v/>
      </c>
      <c r="YB1549" s="42" t="str">
        <f t="array" aca="1" ref="YB1549" ca="1">IFERROR(INDEX(nombres[],SMALL(IF(OFFSET(nombres[],0,0,ROWS(nombres[]),1)=YB$1490,ROW(OFFSET(nombres[],0,0,ROWS(nombres[]),1))-ROW(OFFSET(nombres[],0,0,1,1))+1,ROW(OFFSET(nombres[],ROWS(nombres[])-1,0,1,1))+1),$O1549:$O1568),3),"")</f>
        <v/>
      </c>
      <c r="YC1549" s="42" t="str">
        <f t="array" aca="1" ref="YC1549" ca="1">IFERROR(INDEX(nombres[],SMALL(IF(OFFSET(nombres[],0,0,ROWS(nombres[]),1)=YC$1490,ROW(OFFSET(nombres[],0,0,ROWS(nombres[]),1))-ROW(OFFSET(nombres[],0,0,1,1))+1,ROW(OFFSET(nombres[],ROWS(nombres[])-1,0,1,1))+1),$O1549:$O1568),3),"")</f>
        <v/>
      </c>
      <c r="YD1549" s="42" t="str">
        <f t="array" aca="1" ref="YD1549" ca="1">IFERROR(INDEX(nombres[],SMALL(IF(OFFSET(nombres[],0,0,ROWS(nombres[]),1)=YD$1490,ROW(OFFSET(nombres[],0,0,ROWS(nombres[]),1))-ROW(OFFSET(nombres[],0,0,1,1))+1,ROW(OFFSET(nombres[],ROWS(nombres[])-1,0,1,1))+1),$O1549:$O1568),3),"")</f>
        <v/>
      </c>
      <c r="YE1549" s="42" t="str">
        <f t="array" aca="1" ref="YE1549" ca="1">IFERROR(INDEX(nombres[],SMALL(IF(OFFSET(nombres[],0,0,ROWS(nombres[]),1)=YE$1490,ROW(OFFSET(nombres[],0,0,ROWS(nombres[]),1))-ROW(OFFSET(nombres[],0,0,1,1))+1,ROW(OFFSET(nombres[],ROWS(nombres[])-1,0,1,1))+1),$O1549:$O1568),3),"")</f>
        <v/>
      </c>
      <c r="YF1549" s="42" t="str">
        <f t="array" aca="1" ref="YF1549" ca="1">IFERROR(INDEX(nombres[],SMALL(IF(OFFSET(nombres[],0,0,ROWS(nombres[]),1)=YF$1490,ROW(OFFSET(nombres[],0,0,ROWS(nombres[]),1))-ROW(OFFSET(nombres[],0,0,1,1))+1,ROW(OFFSET(nombres[],ROWS(nombres[])-1,0,1,1))+1),$O1549:$O1568),3),"")</f>
        <v/>
      </c>
      <c r="YG1549" s="42" t="str">
        <f t="array" aca="1" ref="YG1549" ca="1">IFERROR(INDEX(nombres[],SMALL(IF(OFFSET(nombres[],0,0,ROWS(nombres[]),1)=YG$1490,ROW(OFFSET(nombres[],0,0,ROWS(nombres[]),1))-ROW(OFFSET(nombres[],0,0,1,1))+1,ROW(OFFSET(nombres[],ROWS(nombres[])-1,0,1,1))+1),$O1549:$O1568),3),"")</f>
        <v/>
      </c>
      <c r="YH1549" s="42" t="str">
        <f t="array" aca="1" ref="YH1549" ca="1">IFERROR(INDEX(nombres[],SMALL(IF(OFFSET(nombres[],0,0,ROWS(nombres[]),1)=YH$1490,ROW(OFFSET(nombres[],0,0,ROWS(nombres[]),1))-ROW(OFFSET(nombres[],0,0,1,1))+1,ROW(OFFSET(nombres[],ROWS(nombres[])-1,0,1,1))+1),$O1549:$O1568),3),"")</f>
        <v/>
      </c>
      <c r="YI1549" s="42" t="str">
        <f t="array" aca="1" ref="YI1549" ca="1">IFERROR(INDEX(nombres[],SMALL(IF(OFFSET(nombres[],0,0,ROWS(nombres[]),1)=YI$1490,ROW(OFFSET(nombres[],0,0,ROWS(nombres[]),1))-ROW(OFFSET(nombres[],0,0,1,1))+1,ROW(OFFSET(nombres[],ROWS(nombres[])-1,0,1,1))+1),$O1549:$O1568),3),"")</f>
        <v/>
      </c>
      <c r="YJ1549" s="42" t="str">
        <f t="array" aca="1" ref="YJ1549" ca="1">IFERROR(INDEX(nombres[],SMALL(IF(OFFSET(nombres[],0,0,ROWS(nombres[]),1)=YJ$1490,ROW(OFFSET(nombres[],0,0,ROWS(nombres[]),1))-ROW(OFFSET(nombres[],0,0,1,1))+1,ROW(OFFSET(nombres[],ROWS(nombres[])-1,0,1,1))+1),$O1549:$O1568),3),"")</f>
        <v/>
      </c>
      <c r="YK1549" s="42" t="str">
        <f t="array" aca="1" ref="YK1549" ca="1">IFERROR(INDEX(nombres[],SMALL(IF(OFFSET(nombres[],0,0,ROWS(nombres[]),1)=YK$1490,ROW(OFFSET(nombres[],0,0,ROWS(nombres[]),1))-ROW(OFFSET(nombres[],0,0,1,1))+1,ROW(OFFSET(nombres[],ROWS(nombres[])-1,0,1,1))+1),$O1549:$O1568),3),"")</f>
        <v/>
      </c>
      <c r="YL1549" s="42" t="str">
        <f t="array" aca="1" ref="YL1549" ca="1">IFERROR(INDEX(nombres[],SMALL(IF(OFFSET(nombres[],0,0,ROWS(nombres[]),1)=YL$1490,ROW(OFFSET(nombres[],0,0,ROWS(nombres[]),1))-ROW(OFFSET(nombres[],0,0,1,1))+1,ROW(OFFSET(nombres[],ROWS(nombres[])-1,0,1,1))+1),$O1549:$O1568),3),"")</f>
        <v/>
      </c>
      <c r="YM1549" s="42" t="str">
        <f t="array" aca="1" ref="YM1549" ca="1">IFERROR(INDEX(nombres[],SMALL(IF(OFFSET(nombres[],0,0,ROWS(nombres[]),1)=YM$1490,ROW(OFFSET(nombres[],0,0,ROWS(nombres[]),1))-ROW(OFFSET(nombres[],0,0,1,1))+1,ROW(OFFSET(nombres[],ROWS(nombres[])-1,0,1,1))+1),$O1549:$O1568),3),"")</f>
        <v/>
      </c>
      <c r="YN1549" s="42" t="str">
        <f t="array" aca="1" ref="YN1549" ca="1">IFERROR(INDEX(nombres[],SMALL(IF(OFFSET(nombres[],0,0,ROWS(nombres[]),1)=YN$1490,ROW(OFFSET(nombres[],0,0,ROWS(nombres[]),1))-ROW(OFFSET(nombres[],0,0,1,1))+1,ROW(OFFSET(nombres[],ROWS(nombres[])-1,0,1,1))+1),$O1549:$O1568),3),"")</f>
        <v/>
      </c>
      <c r="YO1549" s="42" t="str">
        <f t="array" aca="1" ref="YO1549" ca="1">IFERROR(INDEX(nombres[],SMALL(IF(OFFSET(nombres[],0,0,ROWS(nombres[]),1)=YO$1490,ROW(OFFSET(nombres[],0,0,ROWS(nombres[]),1))-ROW(OFFSET(nombres[],0,0,1,1))+1,ROW(OFFSET(nombres[],ROWS(nombres[])-1,0,1,1))+1),$O1549:$O1568),3),"")</f>
        <v/>
      </c>
      <c r="YP1549" s="42" t="str">
        <f t="array" aca="1" ref="YP1549" ca="1">IFERROR(INDEX(nombres[],SMALL(IF(OFFSET(nombres[],0,0,ROWS(nombres[]),1)=YP$1490,ROW(OFFSET(nombres[],0,0,ROWS(nombres[]),1))-ROW(OFFSET(nombres[],0,0,1,1))+1,ROW(OFFSET(nombres[],ROWS(nombres[])-1,0,1,1))+1),$O1549:$O1568),3),"")</f>
        <v/>
      </c>
      <c r="YQ1549" s="42" t="str">
        <f t="array" aca="1" ref="YQ1549" ca="1">IFERROR(INDEX(nombres[],SMALL(IF(OFFSET(nombres[],0,0,ROWS(nombres[]),1)=YQ$1490,ROW(OFFSET(nombres[],0,0,ROWS(nombres[]),1))-ROW(OFFSET(nombres[],0,0,1,1))+1,ROW(OFFSET(nombres[],ROWS(nombres[])-1,0,1,1))+1),$O1549:$O1568),3),"")</f>
        <v/>
      </c>
      <c r="YR1549" s="42" t="str">
        <f t="array" aca="1" ref="YR1549" ca="1">IFERROR(INDEX(nombres[],SMALL(IF(OFFSET(nombres[],0,0,ROWS(nombres[]),1)=YR$1490,ROW(OFFSET(nombres[],0,0,ROWS(nombres[]),1))-ROW(OFFSET(nombres[],0,0,1,1))+1,ROW(OFFSET(nombres[],ROWS(nombres[])-1,0,1,1))+1),$O1549:$O1568),3),"")</f>
        <v/>
      </c>
      <c r="YS1549" s="42" t="str">
        <f t="array" aca="1" ref="YS1549" ca="1">IFERROR(INDEX(nombres[],SMALL(IF(OFFSET(nombres[],0,0,ROWS(nombres[]),1)=YS$1490,ROW(OFFSET(nombres[],0,0,ROWS(nombres[]),1))-ROW(OFFSET(nombres[],0,0,1,1))+1,ROW(OFFSET(nombres[],ROWS(nombres[])-1,0,1,1))+1),$O1549:$O1568),3),"")</f>
        <v/>
      </c>
      <c r="YT1549" s="42" t="str">
        <f t="array" aca="1" ref="YT1549" ca="1">IFERROR(INDEX(nombres[],SMALL(IF(OFFSET(nombres[],0,0,ROWS(nombres[]),1)=YT$1490,ROW(OFFSET(nombres[],0,0,ROWS(nombres[]),1))-ROW(OFFSET(nombres[],0,0,1,1))+1,ROW(OFFSET(nombres[],ROWS(nombres[])-1,0,1,1))+1),$O1549:$O1568),3),"")</f>
        <v/>
      </c>
      <c r="YU1549" s="42" t="str">
        <f t="array" aca="1" ref="YU1549" ca="1">IFERROR(INDEX(nombres[],SMALL(IF(OFFSET(nombres[],0,0,ROWS(nombres[]),1)=YU$1490,ROW(OFFSET(nombres[],0,0,ROWS(nombres[]),1))-ROW(OFFSET(nombres[],0,0,1,1))+1,ROW(OFFSET(nombres[],ROWS(nombres[])-1,0,1,1))+1),$O1549:$O1568),3),"")</f>
        <v/>
      </c>
      <c r="YV1549" s="42" t="str">
        <f t="array" aca="1" ref="YV1549" ca="1">IFERROR(INDEX(nombres[],SMALL(IF(OFFSET(nombres[],0,0,ROWS(nombres[]),1)=YV$1490,ROW(OFFSET(nombres[],0,0,ROWS(nombres[]),1))-ROW(OFFSET(nombres[],0,0,1,1))+1,ROW(OFFSET(nombres[],ROWS(nombres[])-1,0,1,1))+1),$O1549:$O1568),3),"")</f>
        <v/>
      </c>
      <c r="YW1549" s="42" t="str">
        <f t="array" aca="1" ref="YW1549" ca="1">IFERROR(INDEX(nombres[],SMALL(IF(OFFSET(nombres[],0,0,ROWS(nombres[]),1)=YW$1490,ROW(OFFSET(nombres[],0,0,ROWS(nombres[]),1))-ROW(OFFSET(nombres[],0,0,1,1))+1,ROW(OFFSET(nombres[],ROWS(nombres[])-1,0,1,1))+1),$O1549:$O1568),3),"")</f>
        <v/>
      </c>
      <c r="YX1549" s="42" t="str">
        <f t="array" aca="1" ref="YX1549" ca="1">IFERROR(INDEX(nombres[],SMALL(IF(OFFSET(nombres[],0,0,ROWS(nombres[]),1)=YX$1490,ROW(OFFSET(nombres[],0,0,ROWS(nombres[]),1))-ROW(OFFSET(nombres[],0,0,1,1))+1,ROW(OFFSET(nombres[],ROWS(nombres[])-1,0,1,1))+1),$O1549:$O1568),3),"")</f>
        <v/>
      </c>
      <c r="YY1549" s="42" t="str">
        <f t="array" aca="1" ref="YY1549" ca="1">IFERROR(INDEX(nombres[],SMALL(IF(OFFSET(nombres[],0,0,ROWS(nombres[]),1)=YY$1490,ROW(OFFSET(nombres[],0,0,ROWS(nombres[]),1))-ROW(OFFSET(nombres[],0,0,1,1))+1,ROW(OFFSET(nombres[],ROWS(nombres[])-1,0,1,1))+1),$O1549:$O1568),3),"")</f>
        <v/>
      </c>
      <c r="YZ1549" s="42" t="str">
        <f t="array" aca="1" ref="YZ1549" ca="1">IFERROR(INDEX(nombres[],SMALL(IF(OFFSET(nombres[],0,0,ROWS(nombres[]),1)=YZ$1490,ROW(OFFSET(nombres[],0,0,ROWS(nombres[]),1))-ROW(OFFSET(nombres[],0,0,1,1))+1,ROW(OFFSET(nombres[],ROWS(nombres[])-1,0,1,1))+1),$O1549:$O1568),3),"")</f>
        <v/>
      </c>
      <c r="ZA1549" s="42" t="str">
        <f t="array" aca="1" ref="ZA1549" ca="1">IFERROR(INDEX(nombres[],SMALL(IF(OFFSET(nombres[],0,0,ROWS(nombres[]),1)=ZA$1490,ROW(OFFSET(nombres[],0,0,ROWS(nombres[]),1))-ROW(OFFSET(nombres[],0,0,1,1))+1,ROW(OFFSET(nombres[],ROWS(nombres[])-1,0,1,1))+1),$O1549:$O1568),3),"")</f>
        <v/>
      </c>
      <c r="ZB1549" s="42" t="str">
        <f t="array" aca="1" ref="ZB1549" ca="1">IFERROR(INDEX(nombres[],SMALL(IF(OFFSET(nombres[],0,0,ROWS(nombres[]),1)=ZB$1490,ROW(OFFSET(nombres[],0,0,ROWS(nombres[]),1))-ROW(OFFSET(nombres[],0,0,1,1))+1,ROW(OFFSET(nombres[],ROWS(nombres[])-1,0,1,1))+1),$O1549:$O1568),3),"")</f>
        <v/>
      </c>
      <c r="ZC1549" s="42" t="str">
        <f t="array" aca="1" ref="ZC1549" ca="1">IFERROR(INDEX(nombres[],SMALL(IF(OFFSET(nombres[],0,0,ROWS(nombres[]),1)=ZC$1490,ROW(OFFSET(nombres[],0,0,ROWS(nombres[]),1))-ROW(OFFSET(nombres[],0,0,1,1))+1,ROW(OFFSET(nombres[],ROWS(nombres[])-1,0,1,1))+1),$O1549:$O1568),3),"")</f>
        <v/>
      </c>
      <c r="ZD1549" s="42" t="str">
        <f t="array" aca="1" ref="ZD1549" ca="1">IFERROR(INDEX(nombres[],SMALL(IF(OFFSET(nombres[],0,0,ROWS(nombres[]),1)=ZD$1490,ROW(OFFSET(nombres[],0,0,ROWS(nombres[]),1))-ROW(OFFSET(nombres[],0,0,1,1))+1,ROW(OFFSET(nombres[],ROWS(nombres[])-1,0,1,1))+1),$O1549:$O1568),3),"")</f>
        <v/>
      </c>
      <c r="ZE1549" s="42" t="str">
        <f t="array" aca="1" ref="ZE1549" ca="1">IFERROR(INDEX(nombres[],SMALL(IF(OFFSET(nombres[],0,0,ROWS(nombres[]),1)=ZE$1490,ROW(OFFSET(nombres[],0,0,ROWS(nombres[]),1))-ROW(OFFSET(nombres[],0,0,1,1))+1,ROW(OFFSET(nombres[],ROWS(nombres[])-1,0,1,1))+1),$O1549:$O1568),3),"")</f>
        <v/>
      </c>
      <c r="ZF1549" s="42" t="str">
        <f t="array" aca="1" ref="ZF1549" ca="1">IFERROR(INDEX(nombres[],SMALL(IF(OFFSET(nombres[],0,0,ROWS(nombres[]),1)=ZF$1490,ROW(OFFSET(nombres[],0,0,ROWS(nombres[]),1))-ROW(OFFSET(nombres[],0,0,1,1))+1,ROW(OFFSET(nombres[],ROWS(nombres[])-1,0,1,1))+1),$O1549:$O1568),3),"")</f>
        <v/>
      </c>
      <c r="ZG1549" s="42" t="str">
        <f t="array" aca="1" ref="ZG1549" ca="1">IFERROR(INDEX(nombres[],SMALL(IF(OFFSET(nombres[],0,0,ROWS(nombres[]),1)=ZG$1490,ROW(OFFSET(nombres[],0,0,ROWS(nombres[]),1))-ROW(OFFSET(nombres[],0,0,1,1))+1,ROW(OFFSET(nombres[],ROWS(nombres[])-1,0,1,1))+1),$O1549:$O1568),3),"")</f>
        <v/>
      </c>
      <c r="ZH1549" s="42" t="str">
        <f t="array" aca="1" ref="ZH1549" ca="1">IFERROR(INDEX(nombres[],SMALL(IF(OFFSET(nombres[],0,0,ROWS(nombres[]),1)=ZH$1490,ROW(OFFSET(nombres[],0,0,ROWS(nombres[]),1))-ROW(OFFSET(nombres[],0,0,1,1))+1,ROW(OFFSET(nombres[],ROWS(nombres[])-1,0,1,1))+1),$O1549:$O1568),3),"")</f>
        <v/>
      </c>
      <c r="ZI1549" s="42" t="str">
        <f t="array" aca="1" ref="ZI1549" ca="1">IFERROR(INDEX(nombres[],SMALL(IF(OFFSET(nombres[],0,0,ROWS(nombres[]),1)=ZI$1490,ROW(OFFSET(nombres[],0,0,ROWS(nombres[]),1))-ROW(OFFSET(nombres[],0,0,1,1))+1,ROW(OFFSET(nombres[],ROWS(nombres[])-1,0,1,1))+1),$O1549:$O1568),3),"")</f>
        <v/>
      </c>
      <c r="ZJ1549" s="42" t="str">
        <f t="array" aca="1" ref="ZJ1549" ca="1">IFERROR(INDEX(nombres[],SMALL(IF(OFFSET(nombres[],0,0,ROWS(nombres[]),1)=ZJ$1490,ROW(OFFSET(nombres[],0,0,ROWS(nombres[]),1))-ROW(OFFSET(nombres[],0,0,1,1))+1,ROW(OFFSET(nombres[],ROWS(nombres[])-1,0,1,1))+1),$O1549:$O1568),3),"")</f>
        <v/>
      </c>
      <c r="ZK1549" s="42" t="str">
        <f t="array" aca="1" ref="ZK1549" ca="1">IFERROR(INDEX(nombres[],SMALL(IF(OFFSET(nombres[],0,0,ROWS(nombres[]),1)=ZK$1490,ROW(OFFSET(nombres[],0,0,ROWS(nombres[]),1))-ROW(OFFSET(nombres[],0,0,1,1))+1,ROW(OFFSET(nombres[],ROWS(nombres[])-1,0,1,1))+1),$O1549:$O1568),3),"")</f>
        <v/>
      </c>
      <c r="ZL1549" s="42" t="str">
        <f t="array" aca="1" ref="ZL1549" ca="1">IFERROR(INDEX(nombres[],SMALL(IF(OFFSET(nombres[],0,0,ROWS(nombres[]),1)=ZL$1490,ROW(OFFSET(nombres[],0,0,ROWS(nombres[]),1))-ROW(OFFSET(nombres[],0,0,1,1))+1,ROW(OFFSET(nombres[],ROWS(nombres[])-1,0,1,1))+1),$O1549:$O1568),3),"")</f>
        <v/>
      </c>
      <c r="ZM1549" s="42" t="str">
        <f t="array" aca="1" ref="ZM1549" ca="1">IFERROR(INDEX(nombres[],SMALL(IF(OFFSET(nombres[],0,0,ROWS(nombres[]),1)=ZM$1490,ROW(OFFSET(nombres[],0,0,ROWS(nombres[]),1))-ROW(OFFSET(nombres[],0,0,1,1))+1,ROW(OFFSET(nombres[],ROWS(nombres[])-1,0,1,1))+1),$O1549:$O1568),3),"")</f>
        <v/>
      </c>
      <c r="ZN1549" s="42" t="str">
        <f t="array" aca="1" ref="ZN1549" ca="1">IFERROR(INDEX(nombres[],SMALL(IF(OFFSET(nombres[],0,0,ROWS(nombres[]),1)=ZN$1490,ROW(OFFSET(nombres[],0,0,ROWS(nombres[]),1))-ROW(OFFSET(nombres[],0,0,1,1))+1,ROW(OFFSET(nombres[],ROWS(nombres[])-1,0,1,1))+1),$O1549:$O1568),3),"")</f>
        <v/>
      </c>
      <c r="ZO1549" s="42" t="str">
        <f t="array" aca="1" ref="ZO1549" ca="1">IFERROR(INDEX(nombres[],SMALL(IF(OFFSET(nombres[],0,0,ROWS(nombres[]),1)=ZO$1490,ROW(OFFSET(nombres[],0,0,ROWS(nombres[]),1))-ROW(OFFSET(nombres[],0,0,1,1))+1,ROW(OFFSET(nombres[],ROWS(nombres[])-1,0,1,1))+1),$O1549:$O1568),3),"")</f>
        <v/>
      </c>
      <c r="ZP1549" s="42" t="str">
        <f t="array" aca="1" ref="ZP1549" ca="1">IFERROR(INDEX(nombres[],SMALL(IF(OFFSET(nombres[],0,0,ROWS(nombres[]),1)=ZP$1490,ROW(OFFSET(nombres[],0,0,ROWS(nombres[]),1))-ROW(OFFSET(nombres[],0,0,1,1))+1,ROW(OFFSET(nombres[],ROWS(nombres[])-1,0,1,1))+1),$O1549:$O1568),3),"")</f>
        <v/>
      </c>
      <c r="ZQ1549" s="42" t="str">
        <f t="array" aca="1" ref="ZQ1549" ca="1">IFERROR(INDEX(nombres[],SMALL(IF(OFFSET(nombres[],0,0,ROWS(nombres[]),1)=ZQ$1490,ROW(OFFSET(nombres[],0,0,ROWS(nombres[]),1))-ROW(OFFSET(nombres[],0,0,1,1))+1,ROW(OFFSET(nombres[],ROWS(nombres[])-1,0,1,1))+1),$O1549:$O1568),3),"")</f>
        <v/>
      </c>
      <c r="ZR1549" s="42" t="str">
        <f t="array" aca="1" ref="ZR1549" ca="1">IFERROR(INDEX(nombres[],SMALL(IF(OFFSET(nombres[],0,0,ROWS(nombres[]),1)=ZR$1490,ROW(OFFSET(nombres[],0,0,ROWS(nombres[]),1))-ROW(OFFSET(nombres[],0,0,1,1))+1,ROW(OFFSET(nombres[],ROWS(nombres[])-1,0,1,1))+1),$O1549:$O1568),3),"")</f>
        <v/>
      </c>
      <c r="ZS1549" s="42" t="str">
        <f t="array" aca="1" ref="ZS1549" ca="1">IFERROR(INDEX(nombres[],SMALL(IF(OFFSET(nombres[],0,0,ROWS(nombres[]),1)=ZS$1490,ROW(OFFSET(nombres[],0,0,ROWS(nombres[]),1))-ROW(OFFSET(nombres[],0,0,1,1))+1,ROW(OFFSET(nombres[],ROWS(nombres[])-1,0,1,1))+1),$O1549:$O1568),3),"")</f>
        <v/>
      </c>
      <c r="ZT1549" s="42" t="str">
        <f t="array" aca="1" ref="ZT1549" ca="1">IFERROR(INDEX(nombres[],SMALL(IF(OFFSET(nombres[],0,0,ROWS(nombres[]),1)=ZT$1490,ROW(OFFSET(nombres[],0,0,ROWS(nombres[]),1))-ROW(OFFSET(nombres[],0,0,1,1))+1,ROW(OFFSET(nombres[],ROWS(nombres[])-1,0,1,1))+1),$O1549:$O1568),3),"")</f>
        <v/>
      </c>
      <c r="ZU1549" s="42" t="str">
        <f t="array" aca="1" ref="ZU1549" ca="1">IFERROR(INDEX(nombres[],SMALL(IF(OFFSET(nombres[],0,0,ROWS(nombres[]),1)=ZU$1490,ROW(OFFSET(nombres[],0,0,ROWS(nombres[]),1))-ROW(OFFSET(nombres[],0,0,1,1))+1,ROW(OFFSET(nombres[],ROWS(nombres[])-1,0,1,1))+1),$O1549:$O1568),3),"")</f>
        <v/>
      </c>
      <c r="ZV1549" s="42" t="str">
        <f t="array" aca="1" ref="ZV1549" ca="1">IFERROR(INDEX(nombres[],SMALL(IF(OFFSET(nombres[],0,0,ROWS(nombres[]),1)=ZV$1490,ROW(OFFSET(nombres[],0,0,ROWS(nombres[]),1))-ROW(OFFSET(nombres[],0,0,1,1))+1,ROW(OFFSET(nombres[],ROWS(nombres[])-1,0,1,1))+1),$O1549:$O1568),3),"")</f>
        <v/>
      </c>
      <c r="ZW1549" s="42" t="str">
        <f t="array" aca="1" ref="ZW1549" ca="1">IFERROR(INDEX(nombres[],SMALL(IF(OFFSET(nombres[],0,0,ROWS(nombres[]),1)=ZW$1490,ROW(OFFSET(nombres[],0,0,ROWS(nombres[]),1))-ROW(OFFSET(nombres[],0,0,1,1))+1,ROW(OFFSET(nombres[],ROWS(nombres[])-1,0,1,1))+1),$O1549:$O1568),3),"")</f>
        <v/>
      </c>
      <c r="ZX1549" s="42" t="str">
        <f t="array" aca="1" ref="ZX1549" ca="1">IFERROR(INDEX(nombres[],SMALL(IF(OFFSET(nombres[],0,0,ROWS(nombres[]),1)=ZX$1490,ROW(OFFSET(nombres[],0,0,ROWS(nombres[]),1))-ROW(OFFSET(nombres[],0,0,1,1))+1,ROW(OFFSET(nombres[],ROWS(nombres[])-1,0,1,1))+1),$O1549:$O1568),3),"")</f>
        <v/>
      </c>
      <c r="ZY1549" s="42" t="str">
        <f t="array" aca="1" ref="ZY1549" ca="1">IFERROR(INDEX(nombres[],SMALL(IF(OFFSET(nombres[],0,0,ROWS(nombres[]),1)=ZY$1490,ROW(OFFSET(nombres[],0,0,ROWS(nombres[]),1))-ROW(OFFSET(nombres[],0,0,1,1))+1,ROW(OFFSET(nombres[],ROWS(nombres[])-1,0,1,1))+1),$O1549:$O1568),3),"")</f>
        <v/>
      </c>
      <c r="ZZ1549" s="42" t="str">
        <f t="array" aca="1" ref="ZZ1549" ca="1">IFERROR(INDEX(nombres[],SMALL(IF(OFFSET(nombres[],0,0,ROWS(nombres[]),1)=ZZ$1490,ROW(OFFSET(nombres[],0,0,ROWS(nombres[]),1))-ROW(OFFSET(nombres[],0,0,1,1))+1,ROW(OFFSET(nombres[],ROWS(nombres[])-1,0,1,1))+1),$O1549:$O1568),3),"")</f>
        <v/>
      </c>
      <c r="AAA1549" s="42" t="str">
        <f t="array" aca="1" ref="AAA1549" ca="1">IFERROR(INDEX(nombres[],SMALL(IF(OFFSET(nombres[],0,0,ROWS(nombres[]),1)=AAA$1490,ROW(OFFSET(nombres[],0,0,ROWS(nombres[]),1))-ROW(OFFSET(nombres[],0,0,1,1))+1,ROW(OFFSET(nombres[],ROWS(nombres[])-1,0,1,1))+1),$O1549:$O1568),3),"")</f>
        <v/>
      </c>
      <c r="AAB1549" s="42" t="str">
        <f t="array" aca="1" ref="AAB1549" ca="1">IFERROR(INDEX(nombres[],SMALL(IF(OFFSET(nombres[],0,0,ROWS(nombres[]),1)=AAB$1490,ROW(OFFSET(nombres[],0,0,ROWS(nombres[]),1))-ROW(OFFSET(nombres[],0,0,1,1))+1,ROW(OFFSET(nombres[],ROWS(nombres[])-1,0,1,1))+1),$O1549:$O1568),3),"")</f>
        <v/>
      </c>
      <c r="AAC1549" s="42" t="str">
        <f t="array" aca="1" ref="AAC1549" ca="1">IFERROR(INDEX(nombres[],SMALL(IF(OFFSET(nombres[],0,0,ROWS(nombres[]),1)=AAC$1490,ROW(OFFSET(nombres[],0,0,ROWS(nombres[]),1))-ROW(OFFSET(nombres[],0,0,1,1))+1,ROW(OFFSET(nombres[],ROWS(nombres[])-1,0,1,1))+1),$O1549:$O1568),3),"")</f>
        <v/>
      </c>
      <c r="AAD1549" s="42" t="str">
        <f t="array" aca="1" ref="AAD1549" ca="1">IFERROR(INDEX(nombres[],SMALL(IF(OFFSET(nombres[],0,0,ROWS(nombres[]),1)=AAD$1490,ROW(OFFSET(nombres[],0,0,ROWS(nombres[]),1))-ROW(OFFSET(nombres[],0,0,1,1))+1,ROW(OFFSET(nombres[],ROWS(nombres[])-1,0,1,1))+1),$O1549:$O1568),3),"")</f>
        <v/>
      </c>
      <c r="AAE1549" s="42" t="str">
        <f t="array" aca="1" ref="AAE1549" ca="1">IFERROR(INDEX(nombres[],SMALL(IF(OFFSET(nombres[],0,0,ROWS(nombres[]),1)=AAE$1490,ROW(OFFSET(nombres[],0,0,ROWS(nombres[]),1))-ROW(OFFSET(nombres[],0,0,1,1))+1,ROW(OFFSET(nombres[],ROWS(nombres[])-1,0,1,1))+1),$O1549:$O1568),3),"")</f>
        <v/>
      </c>
      <c r="AAF1549" s="42" t="str">
        <f t="array" aca="1" ref="AAF1549" ca="1">IFERROR(INDEX(nombres[],SMALL(IF(OFFSET(nombres[],0,0,ROWS(nombres[]),1)=AAF$1490,ROW(OFFSET(nombres[],0,0,ROWS(nombres[]),1))-ROW(OFFSET(nombres[],0,0,1,1))+1,ROW(OFFSET(nombres[],ROWS(nombres[])-1,0,1,1))+1),$O1549:$O1568),3),"")</f>
        <v/>
      </c>
      <c r="AAG1549" s="42" t="str">
        <f t="array" aca="1" ref="AAG1549" ca="1">IFERROR(INDEX(nombres[],SMALL(IF(OFFSET(nombres[],0,0,ROWS(nombres[]),1)=AAG$1490,ROW(OFFSET(nombres[],0,0,ROWS(nombres[]),1))-ROW(OFFSET(nombres[],0,0,1,1))+1,ROW(OFFSET(nombres[],ROWS(nombres[])-1,0,1,1))+1),$O1549:$O1568),3),"")</f>
        <v/>
      </c>
      <c r="AAH1549" s="42" t="str">
        <f t="array" aca="1" ref="AAH1549" ca="1">IFERROR(INDEX(nombres[],SMALL(IF(OFFSET(nombres[],0,0,ROWS(nombres[]),1)=AAH$1490,ROW(OFFSET(nombres[],0,0,ROWS(nombres[]),1))-ROW(OFFSET(nombres[],0,0,1,1))+1,ROW(OFFSET(nombres[],ROWS(nombres[])-1,0,1,1))+1),$O1549:$O1568),3),"")</f>
        <v/>
      </c>
      <c r="AAI1549" s="42" t="str">
        <f t="array" aca="1" ref="AAI1549" ca="1">IFERROR(INDEX(nombres[],SMALL(IF(OFFSET(nombres[],0,0,ROWS(nombres[]),1)=AAI$1490,ROW(OFFSET(nombres[],0,0,ROWS(nombres[]),1))-ROW(OFFSET(nombres[],0,0,1,1))+1,ROW(OFFSET(nombres[],ROWS(nombres[])-1,0,1,1))+1),$O1549:$O1568),3),"")</f>
        <v/>
      </c>
      <c r="AAJ1549" s="42" t="str">
        <f t="array" aca="1" ref="AAJ1549" ca="1">IFERROR(INDEX(nombres[],SMALL(IF(OFFSET(nombres[],0,0,ROWS(nombres[]),1)=AAJ$1490,ROW(OFFSET(nombres[],0,0,ROWS(nombres[]),1))-ROW(OFFSET(nombres[],0,0,1,1))+1,ROW(OFFSET(nombres[],ROWS(nombres[])-1,0,1,1))+1),$O1549:$O1568),3),"")</f>
        <v/>
      </c>
      <c r="AAK1549" s="42" t="str">
        <f t="array" aca="1" ref="AAK1549" ca="1">IFERROR(INDEX(nombres[],SMALL(IF(OFFSET(nombres[],0,0,ROWS(nombres[]),1)=AAK$1490,ROW(OFFSET(nombres[],0,0,ROWS(nombres[]),1))-ROW(OFFSET(nombres[],0,0,1,1))+1,ROW(OFFSET(nombres[],ROWS(nombres[])-1,0,1,1))+1),$O1549:$O1568),3),"")</f>
        <v/>
      </c>
      <c r="AAL1549" s="42" t="str">
        <f t="array" aca="1" ref="AAL1549" ca="1">IFERROR(INDEX(nombres[],SMALL(IF(OFFSET(nombres[],0,0,ROWS(nombres[]),1)=AAL$1490,ROW(OFFSET(nombres[],0,0,ROWS(nombres[]),1))-ROW(OFFSET(nombres[],0,0,1,1))+1,ROW(OFFSET(nombres[],ROWS(nombres[])-1,0,1,1))+1),$O1549:$O1568),3),"")</f>
        <v/>
      </c>
      <c r="AAM1549" s="42" t="str">
        <f t="array" aca="1" ref="AAM1549" ca="1">IFERROR(INDEX(nombres[],SMALL(IF(OFFSET(nombres[],0,0,ROWS(nombres[]),1)=AAM$1490,ROW(OFFSET(nombres[],0,0,ROWS(nombres[]),1))-ROW(OFFSET(nombres[],0,0,1,1))+1,ROW(OFFSET(nombres[],ROWS(nombres[])-1,0,1,1))+1),$O1549:$O1568),3),"")</f>
        <v/>
      </c>
      <c r="AAN1549" s="42" t="str">
        <f t="array" aca="1" ref="AAN1549" ca="1">IFERROR(INDEX(nombres[],SMALL(IF(OFFSET(nombres[],0,0,ROWS(nombres[]),1)=AAN$1490,ROW(OFFSET(nombres[],0,0,ROWS(nombres[]),1))-ROW(OFFSET(nombres[],0,0,1,1))+1,ROW(OFFSET(nombres[],ROWS(nombres[])-1,0,1,1))+1),$O1549:$O1568),3),"")</f>
        <v/>
      </c>
      <c r="AAO1549" s="42" t="str">
        <f t="array" aca="1" ref="AAO1549" ca="1">IFERROR(INDEX(nombres[],SMALL(IF(OFFSET(nombres[],0,0,ROWS(nombres[]),1)=AAO$1490,ROW(OFFSET(nombres[],0,0,ROWS(nombres[]),1))-ROW(OFFSET(nombres[],0,0,1,1))+1,ROW(OFFSET(nombres[],ROWS(nombres[])-1,0,1,1))+1),$O1549:$O1568),3),"")</f>
        <v/>
      </c>
      <c r="AAP1549" s="42" t="str">
        <f t="array" aca="1" ref="AAP1549" ca="1">IFERROR(INDEX(nombres[],SMALL(IF(OFFSET(nombres[],0,0,ROWS(nombres[]),1)=AAP$1490,ROW(OFFSET(nombres[],0,0,ROWS(nombres[]),1))-ROW(OFFSET(nombres[],0,0,1,1))+1,ROW(OFFSET(nombres[],ROWS(nombres[])-1,0,1,1))+1),$O1549:$O1568),3),"")</f>
        <v/>
      </c>
      <c r="AAQ1549" s="42" t="str">
        <f t="array" aca="1" ref="AAQ1549" ca="1">IFERROR(INDEX(nombres[],SMALL(IF(OFFSET(nombres[],0,0,ROWS(nombres[]),1)=AAQ$1490,ROW(OFFSET(nombres[],0,0,ROWS(nombres[]),1))-ROW(OFFSET(nombres[],0,0,1,1))+1,ROW(OFFSET(nombres[],ROWS(nombres[])-1,0,1,1))+1),$O1549:$O1568),3),"")</f>
        <v/>
      </c>
      <c r="AAR1549" s="42" t="str">
        <f t="array" aca="1" ref="AAR1549" ca="1">IFERROR(INDEX(nombres[],SMALL(IF(OFFSET(nombres[],0,0,ROWS(nombres[]),1)=AAR$1490,ROW(OFFSET(nombres[],0,0,ROWS(nombres[]),1))-ROW(OFFSET(nombres[],0,0,1,1))+1,ROW(OFFSET(nombres[],ROWS(nombres[])-1,0,1,1))+1),$O1549:$O1568),3),"")</f>
        <v/>
      </c>
      <c r="AAS1549" s="42" t="str">
        <f t="array" aca="1" ref="AAS1549" ca="1">IFERROR(INDEX(nombres[],SMALL(IF(OFFSET(nombres[],0,0,ROWS(nombres[]),1)=AAS$1490,ROW(OFFSET(nombres[],0,0,ROWS(nombres[]),1))-ROW(OFFSET(nombres[],0,0,1,1))+1,ROW(OFFSET(nombres[],ROWS(nombres[])-1,0,1,1))+1),$O1549:$O1568),3),"")</f>
        <v/>
      </c>
      <c r="AAT1549" s="42" t="str">
        <f t="array" aca="1" ref="AAT1549" ca="1">IFERROR(INDEX(nombres[],SMALL(IF(OFFSET(nombres[],0,0,ROWS(nombres[]),1)=AAT$1490,ROW(OFFSET(nombres[],0,0,ROWS(nombres[]),1))-ROW(OFFSET(nombres[],0,0,1,1))+1,ROW(OFFSET(nombres[],ROWS(nombres[])-1,0,1,1))+1),$O1549:$O1568),3),"")</f>
        <v/>
      </c>
      <c r="AAU1549" s="42" t="str">
        <f t="array" aca="1" ref="AAU1549" ca="1">IFERROR(INDEX(nombres[],SMALL(IF(OFFSET(nombres[],0,0,ROWS(nombres[]),1)=AAU$1490,ROW(OFFSET(nombres[],0,0,ROWS(nombres[]),1))-ROW(OFFSET(nombres[],0,0,1,1))+1,ROW(OFFSET(nombres[],ROWS(nombres[])-1,0,1,1))+1),$O1549:$O1568),3),"")</f>
        <v/>
      </c>
      <c r="AAV1549" s="42" t="str">
        <f t="array" aca="1" ref="AAV1549" ca="1">IFERROR(INDEX(nombres[],SMALL(IF(OFFSET(nombres[],0,0,ROWS(nombres[]),1)=AAV$1490,ROW(OFFSET(nombres[],0,0,ROWS(nombres[]),1))-ROW(OFFSET(nombres[],0,0,1,1))+1,ROW(OFFSET(nombres[],ROWS(nombres[])-1,0,1,1))+1),$O1549:$O1568),3),"")</f>
        <v/>
      </c>
      <c r="AAW1549" s="42" t="str">
        <f t="array" aca="1" ref="AAW1549" ca="1">IFERROR(INDEX(nombres[],SMALL(IF(OFFSET(nombres[],0,0,ROWS(nombres[]),1)=AAW$1490,ROW(OFFSET(nombres[],0,0,ROWS(nombres[]),1))-ROW(OFFSET(nombres[],0,0,1,1))+1,ROW(OFFSET(nombres[],ROWS(nombres[])-1,0,1,1))+1),$O1549:$O1568),3),"")</f>
        <v/>
      </c>
      <c r="AAX1549" s="42" t="str">
        <f t="array" aca="1" ref="AAX1549" ca="1">IFERROR(INDEX(nombres[],SMALL(IF(OFFSET(nombres[],0,0,ROWS(nombres[]),1)=AAX$1490,ROW(OFFSET(nombres[],0,0,ROWS(nombres[]),1))-ROW(OFFSET(nombres[],0,0,1,1))+1,ROW(OFFSET(nombres[],ROWS(nombres[])-1,0,1,1))+1),$O1549:$O1568),3),"")</f>
        <v/>
      </c>
      <c r="AAY1549" s="42" t="str">
        <f t="array" aca="1" ref="AAY1549" ca="1">IFERROR(INDEX(nombres[],SMALL(IF(OFFSET(nombres[],0,0,ROWS(nombres[]),1)=AAY$1490,ROW(OFFSET(nombres[],0,0,ROWS(nombres[]),1))-ROW(OFFSET(nombres[],0,0,1,1))+1,ROW(OFFSET(nombres[],ROWS(nombres[])-1,0,1,1))+1),$O1549:$O1568),3),"")</f>
        <v/>
      </c>
      <c r="AAZ1549" s="42" t="str">
        <f t="array" aca="1" ref="AAZ1549" ca="1">IFERROR(INDEX(nombres[],SMALL(IF(OFFSET(nombres[],0,0,ROWS(nombres[]),1)=AAZ$1490,ROW(OFFSET(nombres[],0,0,ROWS(nombres[]),1))-ROW(OFFSET(nombres[],0,0,1,1))+1,ROW(OFFSET(nombres[],ROWS(nombres[])-1,0,1,1))+1),$O1549:$O1568),3),"")</f>
        <v/>
      </c>
      <c r="ABA1549" s="42" t="str">
        <f t="array" aca="1" ref="ABA1549" ca="1">IFERROR(INDEX(nombres[],SMALL(IF(OFFSET(nombres[],0,0,ROWS(nombres[]),1)=ABA$1490,ROW(OFFSET(nombres[],0,0,ROWS(nombres[]),1))-ROW(OFFSET(nombres[],0,0,1,1))+1,ROW(OFFSET(nombres[],ROWS(nombres[])-1,0,1,1))+1),$O1549:$O1568),3),"")</f>
        <v/>
      </c>
      <c r="ABB1549" s="42" t="str">
        <f t="array" aca="1" ref="ABB1549" ca="1">IFERROR(INDEX(nombres[],SMALL(IF(OFFSET(nombres[],0,0,ROWS(nombres[]),1)=ABB$1490,ROW(OFFSET(nombres[],0,0,ROWS(nombres[]),1))-ROW(OFFSET(nombres[],0,0,1,1))+1,ROW(OFFSET(nombres[],ROWS(nombres[])-1,0,1,1))+1),$O1549:$O1568),3),"")</f>
        <v/>
      </c>
      <c r="ABC1549" s="42" t="str">
        <f t="array" aca="1" ref="ABC1549" ca="1">IFERROR(INDEX(nombres[],SMALL(IF(OFFSET(nombres[],0,0,ROWS(nombres[]),1)=ABC$1490,ROW(OFFSET(nombres[],0,0,ROWS(nombres[]),1))-ROW(OFFSET(nombres[],0,0,1,1))+1,ROW(OFFSET(nombres[],ROWS(nombres[])-1,0,1,1))+1),$O1549:$O1568),3),"")</f>
        <v/>
      </c>
      <c r="ABD1549" s="42" t="str">
        <f t="array" aca="1" ref="ABD1549" ca="1">IFERROR(INDEX(nombres[],SMALL(IF(OFFSET(nombres[],0,0,ROWS(nombres[]),1)=ABD$1490,ROW(OFFSET(nombres[],0,0,ROWS(nombres[]),1))-ROW(OFFSET(nombres[],0,0,1,1))+1,ROW(OFFSET(nombres[],ROWS(nombres[])-1,0,1,1))+1),$O1549:$O1568),3),"")</f>
        <v/>
      </c>
      <c r="ABE1549" s="42" t="str">
        <f t="array" aca="1" ref="ABE1549" ca="1">IFERROR(INDEX(nombres[],SMALL(IF(OFFSET(nombres[],0,0,ROWS(nombres[]),1)=ABE$1490,ROW(OFFSET(nombres[],0,0,ROWS(nombres[]),1))-ROW(OFFSET(nombres[],0,0,1,1))+1,ROW(OFFSET(nombres[],ROWS(nombres[])-1,0,1,1))+1),$O1549:$O1568),3),"")</f>
        <v/>
      </c>
      <c r="ABF1549" s="42" t="str">
        <f t="array" aca="1" ref="ABF1549" ca="1">IFERROR(INDEX(nombres[],SMALL(IF(OFFSET(nombres[],0,0,ROWS(nombres[]),1)=ABF$1490,ROW(OFFSET(nombres[],0,0,ROWS(nombres[]),1))-ROW(OFFSET(nombres[],0,0,1,1))+1,ROW(OFFSET(nombres[],ROWS(nombres[])-1,0,1,1))+1),$O1549:$O1568),3),"")</f>
        <v/>
      </c>
      <c r="ABG1549" s="42" t="str">
        <f t="array" aca="1" ref="ABG1549" ca="1">IFERROR(INDEX(nombres[],SMALL(IF(OFFSET(nombres[],0,0,ROWS(nombres[]),1)=ABG$1490,ROW(OFFSET(nombres[],0,0,ROWS(nombres[]),1))-ROW(OFFSET(nombres[],0,0,1,1))+1,ROW(OFFSET(nombres[],ROWS(nombres[])-1,0,1,1))+1),$O1549:$O1568),3),"")</f>
        <v/>
      </c>
      <c r="ABH1549" s="42" t="str">
        <f t="array" aca="1" ref="ABH1549" ca="1">IFERROR(INDEX(nombres[],SMALL(IF(OFFSET(nombres[],0,0,ROWS(nombres[]),1)=ABH$1490,ROW(OFFSET(nombres[],0,0,ROWS(nombres[]),1))-ROW(OFFSET(nombres[],0,0,1,1))+1,ROW(OFFSET(nombres[],ROWS(nombres[])-1,0,1,1))+1),$O1549:$O1568),3),"")</f>
        <v/>
      </c>
      <c r="ABI1549" s="42" t="str">
        <f t="array" aca="1" ref="ABI1549" ca="1">IFERROR(INDEX(nombres[],SMALL(IF(OFFSET(nombres[],0,0,ROWS(nombres[]),1)=ABI$1490,ROW(OFFSET(nombres[],0,0,ROWS(nombres[]),1))-ROW(OFFSET(nombres[],0,0,1,1))+1,ROW(OFFSET(nombres[],ROWS(nombres[])-1,0,1,1))+1),$O1549:$O1568),3),"")</f>
        <v/>
      </c>
      <c r="ABJ1549" s="42" t="str">
        <f t="array" aca="1" ref="ABJ1549" ca="1">IFERROR(INDEX(nombres[],SMALL(IF(OFFSET(nombres[],0,0,ROWS(nombres[]),1)=ABJ$1490,ROW(OFFSET(nombres[],0,0,ROWS(nombres[]),1))-ROW(OFFSET(nombres[],0,0,1,1))+1,ROW(OFFSET(nombres[],ROWS(nombres[])-1,0,1,1))+1),$O1549:$O1568),3),"")</f>
        <v/>
      </c>
      <c r="ABK1549" s="42" t="str">
        <f t="array" aca="1" ref="ABK1549" ca="1">IFERROR(INDEX(nombres[],SMALL(IF(OFFSET(nombres[],0,0,ROWS(nombres[]),1)=ABK$1490,ROW(OFFSET(nombres[],0,0,ROWS(nombres[]),1))-ROW(OFFSET(nombres[],0,0,1,1))+1,ROW(OFFSET(nombres[],ROWS(nombres[])-1,0,1,1))+1),$O1549:$O1568),3),"")</f>
        <v/>
      </c>
      <c r="ABL1549" s="42" t="str">
        <f t="array" aca="1" ref="ABL1549" ca="1">IFERROR(INDEX(nombres[],SMALL(IF(OFFSET(nombres[],0,0,ROWS(nombres[]),1)=ABL$1490,ROW(OFFSET(nombres[],0,0,ROWS(nombres[]),1))-ROW(OFFSET(nombres[],0,0,1,1))+1,ROW(OFFSET(nombres[],ROWS(nombres[])-1,0,1,1))+1),$O1549:$O1568),3),"")</f>
        <v/>
      </c>
      <c r="ABM1549" s="42" t="str">
        <f t="array" aca="1" ref="ABM1549" ca="1">IFERROR(INDEX(nombres[],SMALL(IF(OFFSET(nombres[],0,0,ROWS(nombres[]),1)=ABM$1490,ROW(OFFSET(nombres[],0,0,ROWS(nombres[]),1))-ROW(OFFSET(nombres[],0,0,1,1))+1,ROW(OFFSET(nombres[],ROWS(nombres[])-1,0,1,1))+1),$O1549:$O1568),3),"")</f>
        <v/>
      </c>
      <c r="ABN1549" s="42" t="str">
        <f t="array" aca="1" ref="ABN1549" ca="1">IFERROR(INDEX(nombres[],SMALL(IF(OFFSET(nombres[],0,0,ROWS(nombres[]),1)=ABN$1490,ROW(OFFSET(nombres[],0,0,ROWS(nombres[]),1))-ROW(OFFSET(nombres[],0,0,1,1))+1,ROW(OFFSET(nombres[],ROWS(nombres[])-1,0,1,1))+1),$O1549:$O1568),3),"")</f>
        <v/>
      </c>
      <c r="ABO1549" s="42" t="str">
        <f t="array" aca="1" ref="ABO1549" ca="1">IFERROR(INDEX(nombres[],SMALL(IF(OFFSET(nombres[],0,0,ROWS(nombres[]),1)=ABO$1490,ROW(OFFSET(nombres[],0,0,ROWS(nombres[]),1))-ROW(OFFSET(nombres[],0,0,1,1))+1,ROW(OFFSET(nombres[],ROWS(nombres[])-1,0,1,1))+1),$O1549:$O1568),3),"")</f>
        <v/>
      </c>
      <c r="ABP1549" s="42" t="str">
        <f t="array" aca="1" ref="ABP1549" ca="1">IFERROR(INDEX(nombres[],SMALL(IF(OFFSET(nombres[],0,0,ROWS(nombres[]),1)=ABP$1490,ROW(OFFSET(nombres[],0,0,ROWS(nombres[]),1))-ROW(OFFSET(nombres[],0,0,1,1))+1,ROW(OFFSET(nombres[],ROWS(nombres[])-1,0,1,1))+1),$O1549:$O1568),3),"")</f>
        <v/>
      </c>
      <c r="ABQ1549" s="42" t="str">
        <f t="array" aca="1" ref="ABQ1549" ca="1">IFERROR(INDEX(nombres[],SMALL(IF(OFFSET(nombres[],0,0,ROWS(nombres[]),1)=ABQ$1490,ROW(OFFSET(nombres[],0,0,ROWS(nombres[]),1))-ROW(OFFSET(nombres[],0,0,1,1))+1,ROW(OFFSET(nombres[],ROWS(nombres[])-1,0,1,1))+1),$O1549:$O1568),3),"")</f>
        <v/>
      </c>
      <c r="ABR1549" s="42" t="str">
        <f t="array" aca="1" ref="ABR1549" ca="1">IFERROR(INDEX(nombres[],SMALL(IF(OFFSET(nombres[],0,0,ROWS(nombres[]),1)=ABR$1490,ROW(OFFSET(nombres[],0,0,ROWS(nombres[]),1))-ROW(OFFSET(nombres[],0,0,1,1))+1,ROW(OFFSET(nombres[],ROWS(nombres[])-1,0,1,1))+1),$O1549:$O1568),3),"")</f>
        <v/>
      </c>
      <c r="ABS1549" s="42" t="str">
        <f t="array" aca="1" ref="ABS1549" ca="1">IFERROR(INDEX(nombres[],SMALL(IF(OFFSET(nombres[],0,0,ROWS(nombres[]),1)=ABS$1490,ROW(OFFSET(nombres[],0,0,ROWS(nombres[]),1))-ROW(OFFSET(nombres[],0,0,1,1))+1,ROW(OFFSET(nombres[],ROWS(nombres[])-1,0,1,1))+1),$O1549:$O1568),3),"")</f>
        <v/>
      </c>
      <c r="ABT1549" s="42" t="str">
        <f t="array" aca="1" ref="ABT1549" ca="1">IFERROR(INDEX(nombres[],SMALL(IF(OFFSET(nombres[],0,0,ROWS(nombres[]),1)=ABT$1490,ROW(OFFSET(nombres[],0,0,ROWS(nombres[]),1))-ROW(OFFSET(nombres[],0,0,1,1))+1,ROW(OFFSET(nombres[],ROWS(nombres[])-1,0,1,1))+1),$O1549:$O1568),3),"")</f>
        <v/>
      </c>
      <c r="ABU1549" s="42" t="str">
        <f t="array" aca="1" ref="ABU1549" ca="1">IFERROR(INDEX(nombres[],SMALL(IF(OFFSET(nombres[],0,0,ROWS(nombres[]),1)=ABU$1490,ROW(OFFSET(nombres[],0,0,ROWS(nombres[]),1))-ROW(OFFSET(nombres[],0,0,1,1))+1,ROW(OFFSET(nombres[],ROWS(nombres[])-1,0,1,1))+1),$O1549:$O1568),3),"")</f>
        <v/>
      </c>
      <c r="ABV1549" s="42" t="str">
        <f t="array" aca="1" ref="ABV1549" ca="1">IFERROR(INDEX(nombres[],SMALL(IF(OFFSET(nombres[],0,0,ROWS(nombres[]),1)=ABV$1490,ROW(OFFSET(nombres[],0,0,ROWS(nombres[]),1))-ROW(OFFSET(nombres[],0,0,1,1))+1,ROW(OFFSET(nombres[],ROWS(nombres[])-1,0,1,1))+1),$O1549:$O1568),3),"")</f>
        <v/>
      </c>
      <c r="ABW1549" s="42" t="str">
        <f t="array" aca="1" ref="ABW1549" ca="1">IFERROR(INDEX(nombres[],SMALL(IF(OFFSET(nombres[],0,0,ROWS(nombres[]),1)=ABW$1490,ROW(OFFSET(nombres[],0,0,ROWS(nombres[]),1))-ROW(OFFSET(nombres[],0,0,1,1))+1,ROW(OFFSET(nombres[],ROWS(nombres[])-1,0,1,1))+1),$O1549:$O1568),3),"")</f>
        <v/>
      </c>
      <c r="ABX1549" s="42" t="str">
        <f t="array" aca="1" ref="ABX1549" ca="1">IFERROR(INDEX(nombres[],SMALL(IF(OFFSET(nombres[],0,0,ROWS(nombres[]),1)=ABX$1490,ROW(OFFSET(nombres[],0,0,ROWS(nombres[]),1))-ROW(OFFSET(nombres[],0,0,1,1))+1,ROW(OFFSET(nombres[],ROWS(nombres[])-1,0,1,1))+1),$O1549:$O1568),3),"")</f>
        <v/>
      </c>
      <c r="ABY1549" s="42" t="str">
        <f t="array" aca="1" ref="ABY1549" ca="1">IFERROR(INDEX(nombres[],SMALL(IF(OFFSET(nombres[],0,0,ROWS(nombres[]),1)=ABY$1490,ROW(OFFSET(nombres[],0,0,ROWS(nombres[]),1))-ROW(OFFSET(nombres[],0,0,1,1))+1,ROW(OFFSET(nombres[],ROWS(nombres[])-1,0,1,1))+1),$O1549:$O1568),3),"")</f>
        <v/>
      </c>
      <c r="ABZ1549" s="42" t="str">
        <f t="array" aca="1" ref="ABZ1549" ca="1">IFERROR(INDEX(nombres[],SMALL(IF(OFFSET(nombres[],0,0,ROWS(nombres[]),1)=ABZ$1490,ROW(OFFSET(nombres[],0,0,ROWS(nombres[]),1))-ROW(OFFSET(nombres[],0,0,1,1))+1,ROW(OFFSET(nombres[],ROWS(nombres[])-1,0,1,1))+1),$O1549:$O1568),3),"")</f>
        <v/>
      </c>
      <c r="ACA1549" s="42" t="str">
        <f t="array" aca="1" ref="ACA1549" ca="1">IFERROR(INDEX(nombres[],SMALL(IF(OFFSET(nombres[],0,0,ROWS(nombres[]),1)=ACA$1490,ROW(OFFSET(nombres[],0,0,ROWS(nombres[]),1))-ROW(OFFSET(nombres[],0,0,1,1))+1,ROW(OFFSET(nombres[],ROWS(nombres[])-1,0,1,1))+1),$O1549:$O1568),3),"")</f>
        <v/>
      </c>
      <c r="ACB1549" s="42" t="str">
        <f t="array" aca="1" ref="ACB1549" ca="1">IFERROR(INDEX(nombres[],SMALL(IF(OFFSET(nombres[],0,0,ROWS(nombres[]),1)=ACB$1490,ROW(OFFSET(nombres[],0,0,ROWS(nombres[]),1))-ROW(OFFSET(nombres[],0,0,1,1))+1,ROW(OFFSET(nombres[],ROWS(nombres[])-1,0,1,1))+1),$O1549:$O1568),3),"")</f>
        <v/>
      </c>
      <c r="ACC1549" s="42" t="str">
        <f t="array" aca="1" ref="ACC1549" ca="1">IFERROR(INDEX(nombres[],SMALL(IF(OFFSET(nombres[],0,0,ROWS(nombres[]),1)=ACC$1490,ROW(OFFSET(nombres[],0,0,ROWS(nombres[]),1))-ROW(OFFSET(nombres[],0,0,1,1))+1,ROW(OFFSET(nombres[],ROWS(nombres[])-1,0,1,1))+1),$O1549:$O1568),3),"")</f>
        <v/>
      </c>
      <c r="ACD1549" s="42" t="str">
        <f t="array" aca="1" ref="ACD1549" ca="1">IFERROR(INDEX(nombres[],SMALL(IF(OFFSET(nombres[],0,0,ROWS(nombres[]),1)=ACD$1490,ROW(OFFSET(nombres[],0,0,ROWS(nombres[]),1))-ROW(OFFSET(nombres[],0,0,1,1))+1,ROW(OFFSET(nombres[],ROWS(nombres[])-1,0,1,1))+1),$O1549:$O1568),3),"")</f>
        <v/>
      </c>
      <c r="ACE1549" s="42" t="str">
        <f t="array" aca="1" ref="ACE1549" ca="1">IFERROR(INDEX(nombres[],SMALL(IF(OFFSET(nombres[],0,0,ROWS(nombres[]),1)=ACE$1490,ROW(OFFSET(nombres[],0,0,ROWS(nombres[]),1))-ROW(OFFSET(nombres[],0,0,1,1))+1,ROW(OFFSET(nombres[],ROWS(nombres[])-1,0,1,1))+1),$O1549:$O1568),3),"")</f>
        <v/>
      </c>
      <c r="ACF1549" s="42" t="str">
        <f t="array" aca="1" ref="ACF1549" ca="1">IFERROR(INDEX(nombres[],SMALL(IF(OFFSET(nombres[],0,0,ROWS(nombres[]),1)=ACF$1490,ROW(OFFSET(nombres[],0,0,ROWS(nombres[]),1))-ROW(OFFSET(nombres[],0,0,1,1))+1,ROW(OFFSET(nombres[],ROWS(nombres[])-1,0,1,1))+1),$O1549:$O1568),3),"")</f>
        <v/>
      </c>
      <c r="ACG1549" s="42" t="str">
        <f t="array" aca="1" ref="ACG1549" ca="1">IFERROR(INDEX(nombres[],SMALL(IF(OFFSET(nombres[],0,0,ROWS(nombres[]),1)=ACG$1490,ROW(OFFSET(nombres[],0,0,ROWS(nombres[]),1))-ROW(OFFSET(nombres[],0,0,1,1))+1,ROW(OFFSET(nombres[],ROWS(nombres[])-1,0,1,1))+1),$O1549:$O1568),3),"")</f>
        <v/>
      </c>
      <c r="ACH1549" s="42" t="str">
        <f t="array" aca="1" ref="ACH1549" ca="1">IFERROR(INDEX(nombres[],SMALL(IF(OFFSET(nombres[],0,0,ROWS(nombres[]),1)=ACH$1490,ROW(OFFSET(nombres[],0,0,ROWS(nombres[]),1))-ROW(OFFSET(nombres[],0,0,1,1))+1,ROW(OFFSET(nombres[],ROWS(nombres[])-1,0,1,1))+1),$O1549:$O1568),3),"")</f>
        <v/>
      </c>
      <c r="ACI1549" s="42" t="str">
        <f t="array" aca="1" ref="ACI1549" ca="1">IFERROR(INDEX(nombres[],SMALL(IF(OFFSET(nombres[],0,0,ROWS(nombres[]),1)=ACI$1490,ROW(OFFSET(nombres[],0,0,ROWS(nombres[]),1))-ROW(OFFSET(nombres[],0,0,1,1))+1,ROW(OFFSET(nombres[],ROWS(nombres[])-1,0,1,1))+1),$O1549:$O1568),3),"")</f>
        <v/>
      </c>
      <c r="ACJ1549" s="42" t="str">
        <f t="array" aca="1" ref="ACJ1549" ca="1">IFERROR(INDEX(nombres[],SMALL(IF(OFFSET(nombres[],0,0,ROWS(nombres[]),1)=ACJ$1490,ROW(OFFSET(nombres[],0,0,ROWS(nombres[]),1))-ROW(OFFSET(nombres[],0,0,1,1))+1,ROW(OFFSET(nombres[],ROWS(nombres[])-1,0,1,1))+1),$O1549:$O1568),3),"")</f>
        <v/>
      </c>
      <c r="ACK1549" s="42" t="str">
        <f t="array" aca="1" ref="ACK1549" ca="1">IFERROR(INDEX(nombres[],SMALL(IF(OFFSET(nombres[],0,0,ROWS(nombres[]),1)=ACK$1490,ROW(OFFSET(nombres[],0,0,ROWS(nombres[]),1))-ROW(OFFSET(nombres[],0,0,1,1))+1,ROW(OFFSET(nombres[],ROWS(nombres[])-1,0,1,1))+1),$O1549:$O1568),3),"")</f>
        <v/>
      </c>
      <c r="ACL1549" s="42" t="str">
        <f t="array" aca="1" ref="ACL1549" ca="1">IFERROR(INDEX(nombres[],SMALL(IF(OFFSET(nombres[],0,0,ROWS(nombres[]),1)=ACL$1490,ROW(OFFSET(nombres[],0,0,ROWS(nombres[]),1))-ROW(OFFSET(nombres[],0,0,1,1))+1,ROW(OFFSET(nombres[],ROWS(nombres[])-1,0,1,1))+1),$O1549:$O1568),3),"")</f>
        <v/>
      </c>
      <c r="ACM1549" s="42" t="str">
        <f t="array" aca="1" ref="ACM1549" ca="1">IFERROR(INDEX(nombres[],SMALL(IF(OFFSET(nombres[],0,0,ROWS(nombres[]),1)=ACM$1490,ROW(OFFSET(nombres[],0,0,ROWS(nombres[]),1))-ROW(OFFSET(nombres[],0,0,1,1))+1,ROW(OFFSET(nombres[],ROWS(nombres[])-1,0,1,1))+1),$O1549:$O1568),3),"")</f>
        <v/>
      </c>
      <c r="ACN1549" s="42" t="str">
        <f t="array" aca="1" ref="ACN1549" ca="1">IFERROR(INDEX(nombres[],SMALL(IF(OFFSET(nombres[],0,0,ROWS(nombres[]),1)=ACN$1490,ROW(OFFSET(nombres[],0,0,ROWS(nombres[]),1))-ROW(OFFSET(nombres[],0,0,1,1))+1,ROW(OFFSET(nombres[],ROWS(nombres[])-1,0,1,1))+1),$O1549:$O1568),3),"")</f>
        <v/>
      </c>
      <c r="ACO1549" s="42" t="str">
        <f t="array" aca="1" ref="ACO1549" ca="1">IFERROR(INDEX(nombres[],SMALL(IF(OFFSET(nombres[],0,0,ROWS(nombres[]),1)=ACO$1490,ROW(OFFSET(nombres[],0,0,ROWS(nombres[]),1))-ROW(OFFSET(nombres[],0,0,1,1))+1,ROW(OFFSET(nombres[],ROWS(nombres[])-1,0,1,1))+1),$O1549:$O1568),3),"")</f>
        <v/>
      </c>
      <c r="ACP1549" s="42" t="str">
        <f t="array" aca="1" ref="ACP1549" ca="1">IFERROR(INDEX(nombres[],SMALL(IF(OFFSET(nombres[],0,0,ROWS(nombres[]),1)=ACP$1490,ROW(OFFSET(nombres[],0,0,ROWS(nombres[]),1))-ROW(OFFSET(nombres[],0,0,1,1))+1,ROW(OFFSET(nombres[],ROWS(nombres[])-1,0,1,1))+1),$O1549:$O1568),3),"")</f>
        <v/>
      </c>
      <c r="ACQ1549" s="42" t="str">
        <f t="array" aca="1" ref="ACQ1549" ca="1">IFERROR(INDEX(nombres[],SMALL(IF(OFFSET(nombres[],0,0,ROWS(nombres[]),1)=ACQ$1490,ROW(OFFSET(nombres[],0,0,ROWS(nombres[]),1))-ROW(OFFSET(nombres[],0,0,1,1))+1,ROW(OFFSET(nombres[],ROWS(nombres[])-1,0,1,1))+1),$O1549:$O1568),3),"")</f>
        <v/>
      </c>
      <c r="ACR1549" s="42" t="str">
        <f t="array" aca="1" ref="ACR1549" ca="1">IFERROR(INDEX(nombres[],SMALL(IF(OFFSET(nombres[],0,0,ROWS(nombres[]),1)=ACR$1490,ROW(OFFSET(nombres[],0,0,ROWS(nombres[]),1))-ROW(OFFSET(nombres[],0,0,1,1))+1,ROW(OFFSET(nombres[],ROWS(nombres[])-1,0,1,1))+1),$O1549:$O1568),3),"")</f>
        <v/>
      </c>
      <c r="ACS1549" s="42" t="str">
        <f t="array" aca="1" ref="ACS1549" ca="1">IFERROR(INDEX(nombres[],SMALL(IF(OFFSET(nombres[],0,0,ROWS(nombres[]),1)=ACS$1490,ROW(OFFSET(nombres[],0,0,ROWS(nombres[]),1))-ROW(OFFSET(nombres[],0,0,1,1))+1,ROW(OFFSET(nombres[],ROWS(nombres[])-1,0,1,1))+1),$O1549:$O1568),3),"")</f>
        <v/>
      </c>
      <c r="ACT1549" s="42" t="str">
        <f t="array" aca="1" ref="ACT1549" ca="1">IFERROR(INDEX(nombres[],SMALL(IF(OFFSET(nombres[],0,0,ROWS(nombres[]),1)=ACT$1490,ROW(OFFSET(nombres[],0,0,ROWS(nombres[]),1))-ROW(OFFSET(nombres[],0,0,1,1))+1,ROW(OFFSET(nombres[],ROWS(nombres[])-1,0,1,1))+1),$O1549:$O1568),3),"")</f>
        <v/>
      </c>
      <c r="ACU1549" s="42" t="str">
        <f t="array" aca="1" ref="ACU1549" ca="1">IFERROR(INDEX(nombres[],SMALL(IF(OFFSET(nombres[],0,0,ROWS(nombres[]),1)=ACU$1490,ROW(OFFSET(nombres[],0,0,ROWS(nombres[]),1))-ROW(OFFSET(nombres[],0,0,1,1))+1,ROW(OFFSET(nombres[],ROWS(nombres[])-1,0,1,1))+1),$O1549:$O1568),3),"")</f>
        <v/>
      </c>
      <c r="ACV1549" s="42" t="str">
        <f t="array" aca="1" ref="ACV1549" ca="1">IFERROR(INDEX(nombres[],SMALL(IF(OFFSET(nombres[],0,0,ROWS(nombres[]),1)=ACV$1490,ROW(OFFSET(nombres[],0,0,ROWS(nombres[]),1))-ROW(OFFSET(nombres[],0,0,1,1))+1,ROW(OFFSET(nombres[],ROWS(nombres[])-1,0,1,1))+1),$O1549:$O1568),3),"")</f>
        <v/>
      </c>
      <c r="ACW1549" s="42" t="str">
        <f t="array" aca="1" ref="ACW1549" ca="1">IFERROR(INDEX(nombres[],SMALL(IF(OFFSET(nombres[],0,0,ROWS(nombres[]),1)=ACW$1490,ROW(OFFSET(nombres[],0,0,ROWS(nombres[]),1))-ROW(OFFSET(nombres[],0,0,1,1))+1,ROW(OFFSET(nombres[],ROWS(nombres[])-1,0,1,1))+1),$O1549:$O1568),3),"")</f>
        <v/>
      </c>
      <c r="ACX1549" s="42" t="str">
        <f t="array" aca="1" ref="ACX1549" ca="1">IFERROR(INDEX(nombres[],SMALL(IF(OFFSET(nombres[],0,0,ROWS(nombres[]),1)=ACX$1490,ROW(OFFSET(nombres[],0,0,ROWS(nombres[]),1))-ROW(OFFSET(nombres[],0,0,1,1))+1,ROW(OFFSET(nombres[],ROWS(nombres[])-1,0,1,1))+1),$O1549:$O1568),3),"")</f>
        <v/>
      </c>
      <c r="ACY1549" s="42" t="str">
        <f t="array" aca="1" ref="ACY1549" ca="1">IFERROR(INDEX(nombres[],SMALL(IF(OFFSET(nombres[],0,0,ROWS(nombres[]),1)=ACY$1490,ROW(OFFSET(nombres[],0,0,ROWS(nombres[]),1))-ROW(OFFSET(nombres[],0,0,1,1))+1,ROW(OFFSET(nombres[],ROWS(nombres[])-1,0,1,1))+1),$O1549:$O1568),3),"")</f>
        <v/>
      </c>
      <c r="ACZ1549" s="42" t="str">
        <f t="array" aca="1" ref="ACZ1549" ca="1">IFERROR(INDEX(nombres[],SMALL(IF(OFFSET(nombres[],0,0,ROWS(nombres[]),1)=ACZ$1490,ROW(OFFSET(nombres[],0,0,ROWS(nombres[]),1))-ROW(OFFSET(nombres[],0,0,1,1))+1,ROW(OFFSET(nombres[],ROWS(nombres[])-1,0,1,1))+1),$O1549:$O1568),3),"")</f>
        <v/>
      </c>
      <c r="ADA1549" s="42" t="str">
        <f t="array" aca="1" ref="ADA1549" ca="1">IFERROR(INDEX(nombres[],SMALL(IF(OFFSET(nombres[],0,0,ROWS(nombres[]),1)=ADA$1490,ROW(OFFSET(nombres[],0,0,ROWS(nombres[]),1))-ROW(OFFSET(nombres[],0,0,1,1))+1,ROW(OFFSET(nombres[],ROWS(nombres[])-1,0,1,1))+1),$O1549:$O1568),3),"")</f>
        <v/>
      </c>
      <c r="ADB1549" s="42" t="str">
        <f t="array" aca="1" ref="ADB1549" ca="1">IFERROR(INDEX(nombres[],SMALL(IF(OFFSET(nombres[],0,0,ROWS(nombres[]),1)=ADB$1490,ROW(OFFSET(nombres[],0,0,ROWS(nombres[]),1))-ROW(OFFSET(nombres[],0,0,1,1))+1,ROW(OFFSET(nombres[],ROWS(nombres[])-1,0,1,1))+1),$O1549:$O1568),3),"")</f>
        <v/>
      </c>
      <c r="ADC1549" s="42" t="str">
        <f t="array" aca="1" ref="ADC1549" ca="1">IFERROR(INDEX(nombres[],SMALL(IF(OFFSET(nombres[],0,0,ROWS(nombres[]),1)=ADC$1490,ROW(OFFSET(nombres[],0,0,ROWS(nombres[]),1))-ROW(OFFSET(nombres[],0,0,1,1))+1,ROW(OFFSET(nombres[],ROWS(nombres[])-1,0,1,1))+1),$O1549:$O1568),3),"")</f>
        <v/>
      </c>
      <c r="ADD1549" s="42" t="str">
        <f t="array" aca="1" ref="ADD1549" ca="1">IFERROR(INDEX(nombres[],SMALL(IF(OFFSET(nombres[],0,0,ROWS(nombres[]),1)=ADD$1490,ROW(OFFSET(nombres[],0,0,ROWS(nombres[]),1))-ROW(OFFSET(nombres[],0,0,1,1))+1,ROW(OFFSET(nombres[],ROWS(nombres[])-1,0,1,1))+1),$O1549:$O1568),3),"")</f>
        <v/>
      </c>
      <c r="ADE1549" s="42" t="str">
        <f t="array" aca="1" ref="ADE1549" ca="1">IFERROR(INDEX(nombres[],SMALL(IF(OFFSET(nombres[],0,0,ROWS(nombres[]),1)=ADE$1490,ROW(OFFSET(nombres[],0,0,ROWS(nombres[]),1))-ROW(OFFSET(nombres[],0,0,1,1))+1,ROW(OFFSET(nombres[],ROWS(nombres[])-1,0,1,1))+1),$O1549:$O1568),3),"")</f>
        <v/>
      </c>
      <c r="ADF1549" s="42" t="str">
        <f t="array" aca="1" ref="ADF1549" ca="1">IFERROR(INDEX(nombres[],SMALL(IF(OFFSET(nombres[],0,0,ROWS(nombres[]),1)=ADF$1490,ROW(OFFSET(nombres[],0,0,ROWS(nombres[]),1))-ROW(OFFSET(nombres[],0,0,1,1))+1,ROW(OFFSET(nombres[],ROWS(nombres[])-1,0,1,1))+1),$O1549:$O1568),3),"")</f>
        <v/>
      </c>
      <c r="ADG1549" s="42" t="str">
        <f t="array" aca="1" ref="ADG1549" ca="1">IFERROR(INDEX(nombres[],SMALL(IF(OFFSET(nombres[],0,0,ROWS(nombres[]),1)=ADG$1490,ROW(OFFSET(nombres[],0,0,ROWS(nombres[]),1))-ROW(OFFSET(nombres[],0,0,1,1))+1,ROW(OFFSET(nombres[],ROWS(nombres[])-1,0,1,1))+1),$O1549:$O1568),3),"")</f>
        <v/>
      </c>
      <c r="ADH1549" s="42" t="str">
        <f t="array" aca="1" ref="ADH1549" ca="1">IFERROR(INDEX(nombres[],SMALL(IF(OFFSET(nombres[],0,0,ROWS(nombres[]),1)=ADH$1490,ROW(OFFSET(nombres[],0,0,ROWS(nombres[]),1))-ROW(OFFSET(nombres[],0,0,1,1))+1,ROW(OFFSET(nombres[],ROWS(nombres[])-1,0,1,1))+1),$O1549:$O1568),3),"")</f>
        <v/>
      </c>
      <c r="ADI1549" s="42" t="str">
        <f t="array" aca="1" ref="ADI1549" ca="1">IFERROR(INDEX(nombres[],SMALL(IF(OFFSET(nombres[],0,0,ROWS(nombres[]),1)=ADI$1490,ROW(OFFSET(nombres[],0,0,ROWS(nombres[]),1))-ROW(OFFSET(nombres[],0,0,1,1))+1,ROW(OFFSET(nombres[],ROWS(nombres[])-1,0,1,1))+1),$O1549:$O1568),3),"")</f>
        <v/>
      </c>
      <c r="ADJ1549" s="42" t="str">
        <f t="array" aca="1" ref="ADJ1549" ca="1">IFERROR(INDEX(nombres[],SMALL(IF(OFFSET(nombres[],0,0,ROWS(nombres[]),1)=ADJ$1490,ROW(OFFSET(nombres[],0,0,ROWS(nombres[]),1))-ROW(OFFSET(nombres[],0,0,1,1))+1,ROW(OFFSET(nombres[],ROWS(nombres[])-1,0,1,1))+1),$O1549:$O1568),3),"")</f>
        <v/>
      </c>
      <c r="ADK1549" s="42" t="str">
        <f t="array" aca="1" ref="ADK1549" ca="1">IFERROR(INDEX(nombres[],SMALL(IF(OFFSET(nombres[],0,0,ROWS(nombres[]),1)=ADK$1490,ROW(OFFSET(nombres[],0,0,ROWS(nombres[]),1))-ROW(OFFSET(nombres[],0,0,1,1))+1,ROW(OFFSET(nombres[],ROWS(nombres[])-1,0,1,1))+1),$O1549:$O1568),3),"")</f>
        <v/>
      </c>
      <c r="ADL1549" s="42" t="str">
        <f t="array" aca="1" ref="ADL1549" ca="1">IFERROR(INDEX(nombres[],SMALL(IF(OFFSET(nombres[],0,0,ROWS(nombres[]),1)=ADL$1490,ROW(OFFSET(nombres[],0,0,ROWS(nombres[]),1))-ROW(OFFSET(nombres[],0,0,1,1))+1,ROW(OFFSET(nombres[],ROWS(nombres[])-1,0,1,1))+1),$O1549:$O1568),3),"")</f>
        <v/>
      </c>
      <c r="ADM1549" s="42" t="str">
        <f t="array" aca="1" ref="ADM1549" ca="1">IFERROR(INDEX(nombres[],SMALL(IF(OFFSET(nombres[],0,0,ROWS(nombres[]),1)=ADM$1490,ROW(OFFSET(nombres[],0,0,ROWS(nombres[]),1))-ROW(OFFSET(nombres[],0,0,1,1))+1,ROW(OFFSET(nombres[],ROWS(nombres[])-1,0,1,1))+1),$O1549:$O1568),3),"")</f>
        <v/>
      </c>
      <c r="ADN1549" s="42" t="str">
        <f t="array" aca="1" ref="ADN1549" ca="1">IFERROR(INDEX(nombres[],SMALL(IF(OFFSET(nombres[],0,0,ROWS(nombres[]),1)=ADN$1490,ROW(OFFSET(nombres[],0,0,ROWS(nombres[]),1))-ROW(OFFSET(nombres[],0,0,1,1))+1,ROW(OFFSET(nombres[],ROWS(nombres[])-1,0,1,1))+1),$O1549:$O1568),3),"")</f>
        <v/>
      </c>
      <c r="ADO1549" s="42" t="str">
        <f t="array" aca="1" ref="ADO1549" ca="1">IFERROR(INDEX(nombres[],SMALL(IF(OFFSET(nombres[],0,0,ROWS(nombres[]),1)=ADO$1490,ROW(OFFSET(nombres[],0,0,ROWS(nombres[]),1))-ROW(OFFSET(nombres[],0,0,1,1))+1,ROW(OFFSET(nombres[],ROWS(nombres[])-1,0,1,1))+1),$O1549:$O1568),3),"")</f>
        <v/>
      </c>
      <c r="ADP1549" s="42" t="str">
        <f t="array" aca="1" ref="ADP1549" ca="1">IFERROR(INDEX(nombres[],SMALL(IF(OFFSET(nombres[],0,0,ROWS(nombres[]),1)=ADP$1490,ROW(OFFSET(nombres[],0,0,ROWS(nombres[]),1))-ROW(OFFSET(nombres[],0,0,1,1))+1,ROW(OFFSET(nombres[],ROWS(nombres[])-1,0,1,1))+1),$O1549:$O1568),3),"")</f>
        <v/>
      </c>
      <c r="ADQ1549" s="42" t="str">
        <f t="array" aca="1" ref="ADQ1549" ca="1">IFERROR(INDEX(nombres[],SMALL(IF(OFFSET(nombres[],0,0,ROWS(nombres[]),1)=ADQ$1490,ROW(OFFSET(nombres[],0,0,ROWS(nombres[]),1))-ROW(OFFSET(nombres[],0,0,1,1))+1,ROW(OFFSET(nombres[],ROWS(nombres[])-1,0,1,1))+1),$O1549:$O1568),3),"")</f>
        <v/>
      </c>
      <c r="ADR1549" s="42" t="str">
        <f t="array" aca="1" ref="ADR1549" ca="1">IFERROR(INDEX(nombres[],SMALL(IF(OFFSET(nombres[],0,0,ROWS(nombres[]),1)=ADR$1490,ROW(OFFSET(nombres[],0,0,ROWS(nombres[]),1))-ROW(OFFSET(nombres[],0,0,1,1))+1,ROW(OFFSET(nombres[],ROWS(nombres[])-1,0,1,1))+1),$O1549:$O1568),3),"")</f>
        <v/>
      </c>
      <c r="ADS1549" s="42" t="str">
        <f t="array" aca="1" ref="ADS1549" ca="1">IFERROR(INDEX(nombres[],SMALL(IF(OFFSET(nombres[],0,0,ROWS(nombres[]),1)=ADS$1490,ROW(OFFSET(nombres[],0,0,ROWS(nombres[]),1))-ROW(OFFSET(nombres[],0,0,1,1))+1,ROW(OFFSET(nombres[],ROWS(nombres[])-1,0,1,1))+1),$O1549:$O1568),3),"")</f>
        <v/>
      </c>
      <c r="ADT1549" s="42" t="str">
        <f t="array" aca="1" ref="ADT1549" ca="1">IFERROR(INDEX(nombres[],SMALL(IF(OFFSET(nombres[],0,0,ROWS(nombres[]),1)=ADT$1490,ROW(OFFSET(nombres[],0,0,ROWS(nombres[]),1))-ROW(OFFSET(nombres[],0,0,1,1))+1,ROW(OFFSET(nombres[],ROWS(nombres[])-1,0,1,1))+1),$O1549:$O1568),3),"")</f>
        <v/>
      </c>
      <c r="ADU1549" s="42" t="str">
        <f t="array" aca="1" ref="ADU1549" ca="1">IFERROR(INDEX(nombres[],SMALL(IF(OFFSET(nombres[],0,0,ROWS(nombres[]),1)=ADU$1490,ROW(OFFSET(nombres[],0,0,ROWS(nombres[]),1))-ROW(OFFSET(nombres[],0,0,1,1))+1,ROW(OFFSET(nombres[],ROWS(nombres[])-1,0,1,1))+1),$O1549:$O1568),3),"")</f>
        <v/>
      </c>
      <c r="ADV1549" s="42" t="str">
        <f t="array" aca="1" ref="ADV1549" ca="1">IFERROR(INDEX(nombres[],SMALL(IF(OFFSET(nombres[],0,0,ROWS(nombres[]),1)=ADV$1490,ROW(OFFSET(nombres[],0,0,ROWS(nombres[]),1))-ROW(OFFSET(nombres[],0,0,1,1))+1,ROW(OFFSET(nombres[],ROWS(nombres[])-1,0,1,1))+1),$O1549:$O1568),3),"")</f>
        <v/>
      </c>
      <c r="ADW1549" s="42" t="str">
        <f t="array" aca="1" ref="ADW1549" ca="1">IFERROR(INDEX(nombres[],SMALL(IF(OFFSET(nombres[],0,0,ROWS(nombres[]),1)=ADW$1490,ROW(OFFSET(nombres[],0,0,ROWS(nombres[]),1))-ROW(OFFSET(nombres[],0,0,1,1))+1,ROW(OFFSET(nombres[],ROWS(nombres[])-1,0,1,1))+1),$O1549:$O1568),3),"")</f>
        <v/>
      </c>
      <c r="ADX1549" s="42" t="str">
        <f t="array" aca="1" ref="ADX1549" ca="1">IFERROR(INDEX(nombres[],SMALL(IF(OFFSET(nombres[],0,0,ROWS(nombres[]),1)=ADX$1490,ROW(OFFSET(nombres[],0,0,ROWS(nombres[]),1))-ROW(OFFSET(nombres[],0,0,1,1))+1,ROW(OFFSET(nombres[],ROWS(nombres[])-1,0,1,1))+1),$O1549:$O1568),3),"")</f>
        <v/>
      </c>
      <c r="ADY1549" s="42" t="str">
        <f t="array" aca="1" ref="ADY1549" ca="1">IFERROR(INDEX(nombres[],SMALL(IF(OFFSET(nombres[],0,0,ROWS(nombres[]),1)=ADY$1490,ROW(OFFSET(nombres[],0,0,ROWS(nombres[]),1))-ROW(OFFSET(nombres[],0,0,1,1))+1,ROW(OFFSET(nombres[],ROWS(nombres[])-1,0,1,1))+1),$O1549:$O1568),3),"")</f>
        <v/>
      </c>
      <c r="ADZ1549" s="42" t="str">
        <f t="array" aca="1" ref="ADZ1549" ca="1">IFERROR(INDEX(nombres[],SMALL(IF(OFFSET(nombres[],0,0,ROWS(nombres[]),1)=ADZ$1490,ROW(OFFSET(nombres[],0,0,ROWS(nombres[]),1))-ROW(OFFSET(nombres[],0,0,1,1))+1,ROW(OFFSET(nombres[],ROWS(nombres[])-1,0,1,1))+1),$O1549:$O1568),3),"")</f>
        <v/>
      </c>
      <c r="AEA1549" s="42" t="str">
        <f t="array" aca="1" ref="AEA1549" ca="1">IFERROR(INDEX(nombres[],SMALL(IF(OFFSET(nombres[],0,0,ROWS(nombres[]),1)=AEA$1490,ROW(OFFSET(nombres[],0,0,ROWS(nombres[]),1))-ROW(OFFSET(nombres[],0,0,1,1))+1,ROW(OFFSET(nombres[],ROWS(nombres[])-1,0,1,1))+1),$O1549:$O1568),3),"")</f>
        <v/>
      </c>
      <c r="AEB1549" s="42" t="str">
        <f t="array" aca="1" ref="AEB1549" ca="1">IFERROR(INDEX(nombres[],SMALL(IF(OFFSET(nombres[],0,0,ROWS(nombres[]),1)=AEB$1490,ROW(OFFSET(nombres[],0,0,ROWS(nombres[]),1))-ROW(OFFSET(nombres[],0,0,1,1))+1,ROW(OFFSET(nombres[],ROWS(nombres[])-1,0,1,1))+1),$O1549:$O1568),3),"")</f>
        <v/>
      </c>
      <c r="AEC1549" s="42" t="str">
        <f t="array" aca="1" ref="AEC1549" ca="1">IFERROR(INDEX(nombres[],SMALL(IF(OFFSET(nombres[],0,0,ROWS(nombres[]),1)=AEC$1490,ROW(OFFSET(nombres[],0,0,ROWS(nombres[]),1))-ROW(OFFSET(nombres[],0,0,1,1))+1,ROW(OFFSET(nombres[],ROWS(nombres[])-1,0,1,1))+1),$O1549:$O1568),3),"")</f>
        <v/>
      </c>
      <c r="AED1549" s="42" t="str">
        <f t="array" aca="1" ref="AED1549" ca="1">IFERROR(INDEX(nombres[],SMALL(IF(OFFSET(nombres[],0,0,ROWS(nombres[]),1)=AED$1490,ROW(OFFSET(nombres[],0,0,ROWS(nombres[]),1))-ROW(OFFSET(nombres[],0,0,1,1))+1,ROW(OFFSET(nombres[],ROWS(nombres[])-1,0,1,1))+1),$O1549:$O1568),3),"")</f>
        <v/>
      </c>
      <c r="AEE1549" s="42" t="str">
        <f t="array" aca="1" ref="AEE1549" ca="1">IFERROR(INDEX(nombres[],SMALL(IF(OFFSET(nombres[],0,0,ROWS(nombres[]),1)=AEE$1490,ROW(OFFSET(nombres[],0,0,ROWS(nombres[]),1))-ROW(OFFSET(nombres[],0,0,1,1))+1,ROW(OFFSET(nombres[],ROWS(nombres[])-1,0,1,1))+1),$O1549:$O1568),3),"")</f>
        <v/>
      </c>
      <c r="AEF1549" s="42" t="str">
        <f t="array" aca="1" ref="AEF1549" ca="1">IFERROR(INDEX(nombres[],SMALL(IF(OFFSET(nombres[],0,0,ROWS(nombres[]),1)=AEF$1490,ROW(OFFSET(nombres[],0,0,ROWS(nombres[]),1))-ROW(OFFSET(nombres[],0,0,1,1))+1,ROW(OFFSET(nombres[],ROWS(nombres[])-1,0,1,1))+1),$O1549:$O1568),3),"")</f>
        <v/>
      </c>
      <c r="AEG1549" s="42" t="str">
        <f t="array" aca="1" ref="AEG1549" ca="1">IFERROR(INDEX(nombres[],SMALL(IF(OFFSET(nombres[],0,0,ROWS(nombres[]),1)=AEG$1490,ROW(OFFSET(nombres[],0,0,ROWS(nombres[]),1))-ROW(OFFSET(nombres[],0,0,1,1))+1,ROW(OFFSET(nombres[],ROWS(nombres[])-1,0,1,1))+1),$O1549:$O1568),3),"")</f>
        <v/>
      </c>
      <c r="AEH1549" s="42" t="str">
        <f t="array" aca="1" ref="AEH1549" ca="1">IFERROR(INDEX(nombres[],SMALL(IF(OFFSET(nombres[],0,0,ROWS(nombres[]),1)=AEH$1490,ROW(OFFSET(nombres[],0,0,ROWS(nombres[]),1))-ROW(OFFSET(nombres[],0,0,1,1))+1,ROW(OFFSET(nombres[],ROWS(nombres[])-1,0,1,1))+1),$O1549:$O1568),3),"")</f>
        <v/>
      </c>
      <c r="AEI1549" s="42" t="str">
        <f t="array" aca="1" ref="AEI1549" ca="1">IFERROR(INDEX(nombres[],SMALL(IF(OFFSET(nombres[],0,0,ROWS(nombres[]),1)=AEI$1490,ROW(OFFSET(nombres[],0,0,ROWS(nombres[]),1))-ROW(OFFSET(nombres[],0,0,1,1))+1,ROW(OFFSET(nombres[],ROWS(nombres[])-1,0,1,1))+1),$O1549:$O1568),3),"")</f>
        <v/>
      </c>
      <c r="AEJ1549" s="42" t="str">
        <f t="array" aca="1" ref="AEJ1549" ca="1">IFERROR(INDEX(nombres[],SMALL(IF(OFFSET(nombres[],0,0,ROWS(nombres[]),1)=AEJ$1490,ROW(OFFSET(nombres[],0,0,ROWS(nombres[]),1))-ROW(OFFSET(nombres[],0,0,1,1))+1,ROW(OFFSET(nombres[],ROWS(nombres[])-1,0,1,1))+1),$O1549:$O1568),3),"")</f>
        <v/>
      </c>
      <c r="AEK1549" s="42" t="str">
        <f t="array" aca="1" ref="AEK1549" ca="1">IFERROR(INDEX(nombres[],SMALL(IF(OFFSET(nombres[],0,0,ROWS(nombres[]),1)=AEK$1490,ROW(OFFSET(nombres[],0,0,ROWS(nombres[]),1))-ROW(OFFSET(nombres[],0,0,1,1))+1,ROW(OFFSET(nombres[],ROWS(nombres[])-1,0,1,1))+1),$O1549:$O1568),3),"")</f>
        <v/>
      </c>
      <c r="AEL1549" s="42" t="str">
        <f t="array" aca="1" ref="AEL1549" ca="1">IFERROR(INDEX(nombres[],SMALL(IF(OFFSET(nombres[],0,0,ROWS(nombres[]),1)=AEL$1490,ROW(OFFSET(nombres[],0,0,ROWS(nombres[]),1))-ROW(OFFSET(nombres[],0,0,1,1))+1,ROW(OFFSET(nombres[],ROWS(nombres[])-1,0,1,1))+1),$O1549:$O1568),3),"")</f>
        <v/>
      </c>
      <c r="AEM1549" s="42" t="str">
        <f t="array" aca="1" ref="AEM1549" ca="1">IFERROR(INDEX(nombres[],SMALL(IF(OFFSET(nombres[],0,0,ROWS(nombres[]),1)=AEM$1490,ROW(OFFSET(nombres[],0,0,ROWS(nombres[]),1))-ROW(OFFSET(nombres[],0,0,1,1))+1,ROW(OFFSET(nombres[],ROWS(nombres[])-1,0,1,1))+1),$O1549:$O1568),3),"")</f>
        <v/>
      </c>
      <c r="AEN1549" s="42" t="str">
        <f t="array" aca="1" ref="AEN1549" ca="1">IFERROR(INDEX(nombres[],SMALL(IF(OFFSET(nombres[],0,0,ROWS(nombres[]),1)=AEN$1490,ROW(OFFSET(nombres[],0,0,ROWS(nombres[]),1))-ROW(OFFSET(nombres[],0,0,1,1))+1,ROW(OFFSET(nombres[],ROWS(nombres[])-1,0,1,1))+1),$O1549:$O1568),3),"")</f>
        <v/>
      </c>
      <c r="AEO1549" s="42" t="str">
        <f t="array" aca="1" ref="AEO1549" ca="1">IFERROR(INDEX(nombres[],SMALL(IF(OFFSET(nombres[],0,0,ROWS(nombres[]),1)=AEO$1490,ROW(OFFSET(nombres[],0,0,ROWS(nombres[]),1))-ROW(OFFSET(nombres[],0,0,1,1))+1,ROW(OFFSET(nombres[],ROWS(nombres[])-1,0,1,1))+1),$O1549:$O1568),3),"")</f>
        <v/>
      </c>
      <c r="AEP1549" s="42" t="str">
        <f t="array" aca="1" ref="AEP1549" ca="1">IFERROR(INDEX(nombres[],SMALL(IF(OFFSET(nombres[],0,0,ROWS(nombres[]),1)=AEP$1490,ROW(OFFSET(nombres[],0,0,ROWS(nombres[]),1))-ROW(OFFSET(nombres[],0,0,1,1))+1,ROW(OFFSET(nombres[],ROWS(nombres[])-1,0,1,1))+1),$O1549:$O1568),3),"")</f>
        <v/>
      </c>
      <c r="AEQ1549" s="42" t="str">
        <f t="array" aca="1" ref="AEQ1549" ca="1">IFERROR(INDEX(nombres[],SMALL(IF(OFFSET(nombres[],0,0,ROWS(nombres[]),1)=AEQ$1490,ROW(OFFSET(nombres[],0,0,ROWS(nombres[]),1))-ROW(OFFSET(nombres[],0,0,1,1))+1,ROW(OFFSET(nombres[],ROWS(nombres[])-1,0,1,1))+1),$O1549:$O1568),3),"")</f>
        <v/>
      </c>
      <c r="AER1549" s="42" t="str">
        <f t="array" aca="1" ref="AER1549" ca="1">IFERROR(INDEX(nombres[],SMALL(IF(OFFSET(nombres[],0,0,ROWS(nombres[]),1)=AER$1490,ROW(OFFSET(nombres[],0,0,ROWS(nombres[]),1))-ROW(OFFSET(nombres[],0,0,1,1))+1,ROW(OFFSET(nombres[],ROWS(nombres[])-1,0,1,1))+1),$O1549:$O1568),3),"")</f>
        <v/>
      </c>
      <c r="AES1549" s="42" t="str">
        <f t="array" aca="1" ref="AES1549" ca="1">IFERROR(INDEX(nombres[],SMALL(IF(OFFSET(nombres[],0,0,ROWS(nombres[]),1)=AES$1490,ROW(OFFSET(nombres[],0,0,ROWS(nombres[]),1))-ROW(OFFSET(nombres[],0,0,1,1))+1,ROW(OFFSET(nombres[],ROWS(nombres[])-1,0,1,1))+1),$O1549:$O1568),3),"")</f>
        <v/>
      </c>
      <c r="AET1549" s="42" t="str">
        <f t="array" aca="1" ref="AET1549" ca="1">IFERROR(INDEX(nombres[],SMALL(IF(OFFSET(nombres[],0,0,ROWS(nombres[]),1)=AET$1490,ROW(OFFSET(nombres[],0,0,ROWS(nombres[]),1))-ROW(OFFSET(nombres[],0,0,1,1))+1,ROW(OFFSET(nombres[],ROWS(nombres[])-1,0,1,1))+1),$O1549:$O1568),3),"")</f>
        <v/>
      </c>
      <c r="AEU1549" s="42" t="str">
        <f t="array" aca="1" ref="AEU1549" ca="1">IFERROR(INDEX(nombres[],SMALL(IF(OFFSET(nombres[],0,0,ROWS(nombres[]),1)=AEU$1490,ROW(OFFSET(nombres[],0,0,ROWS(nombres[]),1))-ROW(OFFSET(nombres[],0,0,1,1))+1,ROW(OFFSET(nombres[],ROWS(nombres[])-1,0,1,1))+1),$O1549:$O1568),3),"")</f>
        <v/>
      </c>
      <c r="AEV1549" s="42" t="str">
        <f t="array" aca="1" ref="AEV1549" ca="1">IFERROR(INDEX(nombres[],SMALL(IF(OFFSET(nombres[],0,0,ROWS(nombres[]),1)=AEV$1490,ROW(OFFSET(nombres[],0,0,ROWS(nombres[]),1))-ROW(OFFSET(nombres[],0,0,1,1))+1,ROW(OFFSET(nombres[],ROWS(nombres[])-1,0,1,1))+1),$O1549:$O1568),3),"")</f>
        <v/>
      </c>
      <c r="AEW1549" s="42" t="str">
        <f t="array" aca="1" ref="AEW1549" ca="1">IFERROR(INDEX(nombres[],SMALL(IF(OFFSET(nombres[],0,0,ROWS(nombres[]),1)=AEW$1490,ROW(OFFSET(nombres[],0,0,ROWS(nombres[]),1))-ROW(OFFSET(nombres[],0,0,1,1))+1,ROW(OFFSET(nombres[],ROWS(nombres[])-1,0,1,1))+1),$O1549:$O1568),3),"")</f>
        <v/>
      </c>
      <c r="AEX1549" s="42" t="str">
        <f t="array" aca="1" ref="AEX1549" ca="1">IFERROR(INDEX(nombres[],SMALL(IF(OFFSET(nombres[],0,0,ROWS(nombres[]),1)=AEX$1490,ROW(OFFSET(nombres[],0,0,ROWS(nombres[]),1))-ROW(OFFSET(nombres[],0,0,1,1))+1,ROW(OFFSET(nombres[],ROWS(nombres[])-1,0,1,1))+1),$O1549:$O1568),3),"")</f>
        <v/>
      </c>
      <c r="AEY1549" s="42" t="str">
        <f t="array" aca="1" ref="AEY1549" ca="1">IFERROR(INDEX(nombres[],SMALL(IF(OFFSET(nombres[],0,0,ROWS(nombres[]),1)=AEY$1490,ROW(OFFSET(nombres[],0,0,ROWS(nombres[]),1))-ROW(OFFSET(nombres[],0,0,1,1))+1,ROW(OFFSET(nombres[],ROWS(nombres[])-1,0,1,1))+1),$O1549:$O1568),3),"")</f>
        <v/>
      </c>
      <c r="AEZ1549" s="42" t="str">
        <f t="array" aca="1" ref="AEZ1549" ca="1">IFERROR(INDEX(nombres[],SMALL(IF(OFFSET(nombres[],0,0,ROWS(nombres[]),1)=AEZ$1490,ROW(OFFSET(nombres[],0,0,ROWS(nombres[]),1))-ROW(OFFSET(nombres[],0,0,1,1))+1,ROW(OFFSET(nombres[],ROWS(nombres[])-1,0,1,1))+1),$O1549:$O1568),3),"")</f>
        <v/>
      </c>
      <c r="AFA1549" s="42" t="str">
        <f t="array" aca="1" ref="AFA1549" ca="1">IFERROR(INDEX(nombres[],SMALL(IF(OFFSET(nombres[],0,0,ROWS(nombres[]),1)=AFA$1490,ROW(OFFSET(nombres[],0,0,ROWS(nombres[]),1))-ROW(OFFSET(nombres[],0,0,1,1))+1,ROW(OFFSET(nombres[],ROWS(nombres[])-1,0,1,1))+1),$O1549:$O1568),3),"")</f>
        <v/>
      </c>
      <c r="AFB1549" s="42" t="str">
        <f t="array" aca="1" ref="AFB1549" ca="1">IFERROR(INDEX(nombres[],SMALL(IF(OFFSET(nombres[],0,0,ROWS(nombres[]),1)=AFB$1490,ROW(OFFSET(nombres[],0,0,ROWS(nombres[]),1))-ROW(OFFSET(nombres[],0,0,1,1))+1,ROW(OFFSET(nombres[],ROWS(nombres[])-1,0,1,1))+1),$O1549:$O1568),3),"")</f>
        <v/>
      </c>
      <c r="AFC1549" s="42" t="str">
        <f t="array" aca="1" ref="AFC1549" ca="1">IFERROR(INDEX(nombres[],SMALL(IF(OFFSET(nombres[],0,0,ROWS(nombres[]),1)=AFC$1490,ROW(OFFSET(nombres[],0,0,ROWS(nombres[]),1))-ROW(OFFSET(nombres[],0,0,1,1))+1,ROW(OFFSET(nombres[],ROWS(nombres[])-1,0,1,1))+1),$O1549:$O1568),3),"")</f>
        <v/>
      </c>
      <c r="AFD1549" s="42" t="str">
        <f t="array" aca="1" ref="AFD1549" ca="1">IFERROR(INDEX(nombres[],SMALL(IF(OFFSET(nombres[],0,0,ROWS(nombres[]),1)=AFD$1490,ROW(OFFSET(nombres[],0,0,ROWS(nombres[]),1))-ROW(OFFSET(nombres[],0,0,1,1))+1,ROW(OFFSET(nombres[],ROWS(nombres[])-1,0,1,1))+1),$O1549:$O1568),3),"")</f>
        <v/>
      </c>
      <c r="AFE1549" s="42" t="str">
        <f t="array" aca="1" ref="AFE1549" ca="1">IFERROR(INDEX(nombres[],SMALL(IF(OFFSET(nombres[],0,0,ROWS(nombres[]),1)=AFE$1490,ROW(OFFSET(nombres[],0,0,ROWS(nombres[]),1))-ROW(OFFSET(nombres[],0,0,1,1))+1,ROW(OFFSET(nombres[],ROWS(nombres[])-1,0,1,1))+1),$O1549:$O1568),3),"")</f>
        <v/>
      </c>
      <c r="AFF1549" s="42" t="str">
        <f t="array" aca="1" ref="AFF1549" ca="1">IFERROR(INDEX(nombres[],SMALL(IF(OFFSET(nombres[],0,0,ROWS(nombres[]),1)=AFF$1490,ROW(OFFSET(nombres[],0,0,ROWS(nombres[]),1))-ROW(OFFSET(nombres[],0,0,1,1))+1,ROW(OFFSET(nombres[],ROWS(nombres[])-1,0,1,1))+1),$O1549:$O1568),3),"")</f>
        <v/>
      </c>
      <c r="AFG1549" s="42" t="str">
        <f t="array" aca="1" ref="AFG1549" ca="1">IFERROR(INDEX(nombres[],SMALL(IF(OFFSET(nombres[],0,0,ROWS(nombres[]),1)=AFG$1490,ROW(OFFSET(nombres[],0,0,ROWS(nombres[]),1))-ROW(OFFSET(nombres[],0,0,1,1))+1,ROW(OFFSET(nombres[],ROWS(nombres[])-1,0,1,1))+1),$O1549:$O1568),3),"")</f>
        <v/>
      </c>
      <c r="AFH1549" s="42" t="str">
        <f t="array" aca="1" ref="AFH1549" ca="1">IFERROR(INDEX(nombres[],SMALL(IF(OFFSET(nombres[],0,0,ROWS(nombres[]),1)=AFH$1490,ROW(OFFSET(nombres[],0,0,ROWS(nombres[]),1))-ROW(OFFSET(nombres[],0,0,1,1))+1,ROW(OFFSET(nombres[],ROWS(nombres[])-1,0,1,1))+1),$O1549:$O1568),3),"")</f>
        <v/>
      </c>
      <c r="AFI1549" s="42" t="str">
        <f t="array" aca="1" ref="AFI1549" ca="1">IFERROR(INDEX(nombres[],SMALL(IF(OFFSET(nombres[],0,0,ROWS(nombres[]),1)=AFI$1490,ROW(OFFSET(nombres[],0,0,ROWS(nombres[]),1))-ROW(OFFSET(nombres[],0,0,1,1))+1,ROW(OFFSET(nombres[],ROWS(nombres[])-1,0,1,1))+1),$O1549:$O1568),3),"")</f>
        <v/>
      </c>
      <c r="AFJ1549" s="42" t="str">
        <f t="array" aca="1" ref="AFJ1549" ca="1">IFERROR(INDEX(nombres[],SMALL(IF(OFFSET(nombres[],0,0,ROWS(nombres[]),1)=AFJ$1490,ROW(OFFSET(nombres[],0,0,ROWS(nombres[]),1))-ROW(OFFSET(nombres[],0,0,1,1))+1,ROW(OFFSET(nombres[],ROWS(nombres[])-1,0,1,1))+1),$O1549:$O1568),3),"")</f>
        <v/>
      </c>
      <c r="AFK1549" s="42" t="str">
        <f t="array" aca="1" ref="AFK1549" ca="1">IFERROR(INDEX(nombres[],SMALL(IF(OFFSET(nombres[],0,0,ROWS(nombres[]),1)=AFK$1490,ROW(OFFSET(nombres[],0,0,ROWS(nombres[]),1))-ROW(OFFSET(nombres[],0,0,1,1))+1,ROW(OFFSET(nombres[],ROWS(nombres[])-1,0,1,1))+1),$O1549:$O1568),3),"")</f>
        <v/>
      </c>
      <c r="AFL1549" s="42" t="str">
        <f t="array" aca="1" ref="AFL1549" ca="1">IFERROR(INDEX(nombres[],SMALL(IF(OFFSET(nombres[],0,0,ROWS(nombres[]),1)=AFL$1490,ROW(OFFSET(nombres[],0,0,ROWS(nombres[]),1))-ROW(OFFSET(nombres[],0,0,1,1))+1,ROW(OFFSET(nombres[],ROWS(nombres[])-1,0,1,1))+1),$O1549:$O1568),3),"")</f>
        <v/>
      </c>
      <c r="AFM1549" s="42" t="str">
        <f t="array" aca="1" ref="AFM1549" ca="1">IFERROR(INDEX(nombres[],SMALL(IF(OFFSET(nombres[],0,0,ROWS(nombres[]),1)=AFM$1490,ROW(OFFSET(nombres[],0,0,ROWS(nombres[]),1))-ROW(OFFSET(nombres[],0,0,1,1))+1,ROW(OFFSET(nombres[],ROWS(nombres[])-1,0,1,1))+1),$O1549:$O1568),3),"")</f>
        <v/>
      </c>
      <c r="AFN1549" s="42" t="str">
        <f t="array" aca="1" ref="AFN1549" ca="1">IFERROR(INDEX(nombres[],SMALL(IF(OFFSET(nombres[],0,0,ROWS(nombres[]),1)=AFN$1490,ROW(OFFSET(nombres[],0,0,ROWS(nombres[]),1))-ROW(OFFSET(nombres[],0,0,1,1))+1,ROW(OFFSET(nombres[],ROWS(nombres[])-1,0,1,1))+1),$O1549:$O1568),3),"")</f>
        <v/>
      </c>
      <c r="AFO1549" s="42" t="str">
        <f t="array" aca="1" ref="AFO1549" ca="1">IFERROR(INDEX(nombres[],SMALL(IF(OFFSET(nombres[],0,0,ROWS(nombres[]),1)=AFO$1490,ROW(OFFSET(nombres[],0,0,ROWS(nombres[]),1))-ROW(OFFSET(nombres[],0,0,1,1))+1,ROW(OFFSET(nombres[],ROWS(nombres[])-1,0,1,1))+1),$O1549:$O1568),3),"")</f>
        <v/>
      </c>
      <c r="AFP1549" s="42" t="str">
        <f t="array" aca="1" ref="AFP1549" ca="1">IFERROR(INDEX(nombres[],SMALL(IF(OFFSET(nombres[],0,0,ROWS(nombres[]),1)=AFP$1490,ROW(OFFSET(nombres[],0,0,ROWS(nombres[]),1))-ROW(OFFSET(nombres[],0,0,1,1))+1,ROW(OFFSET(nombres[],ROWS(nombres[])-1,0,1,1))+1),$O1549:$O1568),3),"")</f>
        <v/>
      </c>
      <c r="AFQ1549" s="42" t="str">
        <f t="array" aca="1" ref="AFQ1549" ca="1">IFERROR(INDEX(nombres[],SMALL(IF(OFFSET(nombres[],0,0,ROWS(nombres[]),1)=AFQ$1490,ROW(OFFSET(nombres[],0,0,ROWS(nombres[]),1))-ROW(OFFSET(nombres[],0,0,1,1))+1,ROW(OFFSET(nombres[],ROWS(nombres[])-1,0,1,1))+1),$O1549:$O1568),3),"")</f>
        <v/>
      </c>
      <c r="AFR1549" s="42" t="str">
        <f t="array" aca="1" ref="AFR1549" ca="1">IFERROR(INDEX(nombres[],SMALL(IF(OFFSET(nombres[],0,0,ROWS(nombres[]),1)=AFR$1490,ROW(OFFSET(nombres[],0,0,ROWS(nombres[]),1))-ROW(OFFSET(nombres[],0,0,1,1))+1,ROW(OFFSET(nombres[],ROWS(nombres[])-1,0,1,1))+1),$O1549:$O1568),3),"")</f>
        <v/>
      </c>
      <c r="AFS1549" s="42" t="str">
        <f t="array" aca="1" ref="AFS1549" ca="1">IFERROR(INDEX(nombres[],SMALL(IF(OFFSET(nombres[],0,0,ROWS(nombres[]),1)=AFS$1490,ROW(OFFSET(nombres[],0,0,ROWS(nombres[]),1))-ROW(OFFSET(nombres[],0,0,1,1))+1,ROW(OFFSET(nombres[],ROWS(nombres[])-1,0,1,1))+1),$O1549:$O1568),3),"")</f>
        <v/>
      </c>
      <c r="AFT1549" s="42" t="str">
        <f t="array" aca="1" ref="AFT1549" ca="1">IFERROR(INDEX(nombres[],SMALL(IF(OFFSET(nombres[],0,0,ROWS(nombres[]),1)=AFT$1490,ROW(OFFSET(nombres[],0,0,ROWS(nombres[]),1))-ROW(OFFSET(nombres[],0,0,1,1))+1,ROW(OFFSET(nombres[],ROWS(nombres[])-1,0,1,1))+1),$O1549:$O1568),3),"")</f>
        <v/>
      </c>
      <c r="AFU1549" s="42" t="str">
        <f t="array" aca="1" ref="AFU1549" ca="1">IFERROR(INDEX(nombres[],SMALL(IF(OFFSET(nombres[],0,0,ROWS(nombres[]),1)=AFU$1490,ROW(OFFSET(nombres[],0,0,ROWS(nombres[]),1))-ROW(OFFSET(nombres[],0,0,1,1))+1,ROW(OFFSET(nombres[],ROWS(nombres[])-1,0,1,1))+1),$O1549:$O1568),3),"")</f>
        <v/>
      </c>
      <c r="AFV1549" s="42" t="str">
        <f t="array" aca="1" ref="AFV1549" ca="1">IFERROR(INDEX(nombres[],SMALL(IF(OFFSET(nombres[],0,0,ROWS(nombres[]),1)=AFV$1490,ROW(OFFSET(nombres[],0,0,ROWS(nombres[]),1))-ROW(OFFSET(nombres[],0,0,1,1))+1,ROW(OFFSET(nombres[],ROWS(nombres[])-1,0,1,1))+1),$O1549:$O1568),3),"")</f>
        <v/>
      </c>
      <c r="AFW1549" s="42" t="str">
        <f t="array" aca="1" ref="AFW1549" ca="1">IFERROR(INDEX(nombres[],SMALL(IF(OFFSET(nombres[],0,0,ROWS(nombres[]),1)=AFW$1490,ROW(OFFSET(nombres[],0,0,ROWS(nombres[]),1))-ROW(OFFSET(nombres[],0,0,1,1))+1,ROW(OFFSET(nombres[],ROWS(nombres[])-1,0,1,1))+1),$O1549:$O1568),3),"")</f>
        <v/>
      </c>
      <c r="AFX1549" s="42" t="str">
        <f t="array" aca="1" ref="AFX1549" ca="1">IFERROR(INDEX(nombres[],SMALL(IF(OFFSET(nombres[],0,0,ROWS(nombres[]),1)=AFX$1490,ROW(OFFSET(nombres[],0,0,ROWS(nombres[]),1))-ROW(OFFSET(nombres[],0,0,1,1))+1,ROW(OFFSET(nombres[],ROWS(nombres[])-1,0,1,1))+1),$O1549:$O1568),3),"")</f>
        <v/>
      </c>
      <c r="AFY1549" s="42" t="str">
        <f t="array" aca="1" ref="AFY1549" ca="1">IFERROR(INDEX(nombres[],SMALL(IF(OFFSET(nombres[],0,0,ROWS(nombres[]),1)=AFY$1490,ROW(OFFSET(nombres[],0,0,ROWS(nombres[]),1))-ROW(OFFSET(nombres[],0,0,1,1))+1,ROW(OFFSET(nombres[],ROWS(nombres[])-1,0,1,1))+1),$O1549:$O1568),3),"")</f>
        <v/>
      </c>
      <c r="AFZ1549" s="42" t="str">
        <f t="array" aca="1" ref="AFZ1549" ca="1">IFERROR(INDEX(nombres[],SMALL(IF(OFFSET(nombres[],0,0,ROWS(nombres[]),1)=AFZ$1490,ROW(OFFSET(nombres[],0,0,ROWS(nombres[]),1))-ROW(OFFSET(nombres[],0,0,1,1))+1,ROW(OFFSET(nombres[],ROWS(nombres[])-1,0,1,1))+1),$O1549:$O1568),3),"")</f>
        <v/>
      </c>
      <c r="AGA1549" s="42" t="str">
        <f t="array" aca="1" ref="AGA1549" ca="1">IFERROR(INDEX(nombres[],SMALL(IF(OFFSET(nombres[],0,0,ROWS(nombres[]),1)=AGA$1490,ROW(OFFSET(nombres[],0,0,ROWS(nombres[]),1))-ROW(OFFSET(nombres[],0,0,1,1))+1,ROW(OFFSET(nombres[],ROWS(nombres[])-1,0,1,1))+1),$O1549:$O1568),3),"")</f>
        <v/>
      </c>
      <c r="AGB1549" s="42" t="str">
        <f t="array" aca="1" ref="AGB1549" ca="1">IFERROR(INDEX(nombres[],SMALL(IF(OFFSET(nombres[],0,0,ROWS(nombres[]),1)=AGB$1490,ROW(OFFSET(nombres[],0,0,ROWS(nombres[]),1))-ROW(OFFSET(nombres[],0,0,1,1))+1,ROW(OFFSET(nombres[],ROWS(nombres[])-1,0,1,1))+1),$O1549:$O1568),3),"")</f>
        <v/>
      </c>
      <c r="AGC1549" s="42" t="str">
        <f t="array" aca="1" ref="AGC1549" ca="1">IFERROR(INDEX(nombres[],SMALL(IF(OFFSET(nombres[],0,0,ROWS(nombres[]),1)=AGC$1490,ROW(OFFSET(nombres[],0,0,ROWS(nombres[]),1))-ROW(OFFSET(nombres[],0,0,1,1))+1,ROW(OFFSET(nombres[],ROWS(nombres[])-1,0,1,1))+1),$O1549:$O1568),3),"")</f>
        <v/>
      </c>
      <c r="AGD1549" s="42" t="str">
        <f t="array" aca="1" ref="AGD1549" ca="1">IFERROR(INDEX(nombres[],SMALL(IF(OFFSET(nombres[],0,0,ROWS(nombres[]),1)=AGD$1490,ROW(OFFSET(nombres[],0,0,ROWS(nombres[]),1))-ROW(OFFSET(nombres[],0,0,1,1))+1,ROW(OFFSET(nombres[],ROWS(nombres[])-1,0,1,1))+1),$O1549:$O1568),3),"")</f>
        <v/>
      </c>
      <c r="AGE1549" s="42" t="str">
        <f t="array" aca="1" ref="AGE1549" ca="1">IFERROR(INDEX(nombres[],SMALL(IF(OFFSET(nombres[],0,0,ROWS(nombres[]),1)=AGE$1490,ROW(OFFSET(nombres[],0,0,ROWS(nombres[]),1))-ROW(OFFSET(nombres[],0,0,1,1))+1,ROW(OFFSET(nombres[],ROWS(nombres[])-1,0,1,1))+1),$O1549:$O1568),3),"")</f>
        <v/>
      </c>
      <c r="AGF1549" s="42" t="str">
        <f t="array" aca="1" ref="AGF1549" ca="1">IFERROR(INDEX(nombres[],SMALL(IF(OFFSET(nombres[],0,0,ROWS(nombres[]),1)=AGF$1490,ROW(OFFSET(nombres[],0,0,ROWS(nombres[]),1))-ROW(OFFSET(nombres[],0,0,1,1))+1,ROW(OFFSET(nombres[],ROWS(nombres[])-1,0,1,1))+1),$O1549:$O1568),3),"")</f>
        <v/>
      </c>
      <c r="AGG1549" s="42" t="str">
        <f t="array" aca="1" ref="AGG1549" ca="1">IFERROR(INDEX(nombres[],SMALL(IF(OFFSET(nombres[],0,0,ROWS(nombres[]),1)=AGG$1490,ROW(OFFSET(nombres[],0,0,ROWS(nombres[]),1))-ROW(OFFSET(nombres[],0,0,1,1))+1,ROW(OFFSET(nombres[],ROWS(nombres[])-1,0,1,1))+1),$O1549:$O1568),3),"")</f>
        <v/>
      </c>
      <c r="AGH1549" s="42" t="str">
        <f t="array" aca="1" ref="AGH1549" ca="1">IFERROR(INDEX(nombres[],SMALL(IF(OFFSET(nombres[],0,0,ROWS(nombres[]),1)=AGH$1490,ROW(OFFSET(nombres[],0,0,ROWS(nombres[]),1))-ROW(OFFSET(nombres[],0,0,1,1))+1,ROW(OFFSET(nombres[],ROWS(nombres[])-1,0,1,1))+1),$O1549:$O1568),3),"")</f>
        <v/>
      </c>
      <c r="AGI1549" s="42" t="str">
        <f t="array" aca="1" ref="AGI1549" ca="1">IFERROR(INDEX(nombres[],SMALL(IF(OFFSET(nombres[],0,0,ROWS(nombres[]),1)=AGI$1490,ROW(OFFSET(nombres[],0,0,ROWS(nombres[]),1))-ROW(OFFSET(nombres[],0,0,1,1))+1,ROW(OFFSET(nombres[],ROWS(nombres[])-1,0,1,1))+1),$O1549:$O1568),3),"")</f>
        <v/>
      </c>
      <c r="AGJ1549" s="42" t="str">
        <f t="array" aca="1" ref="AGJ1549" ca="1">IFERROR(INDEX(nombres[],SMALL(IF(OFFSET(nombres[],0,0,ROWS(nombres[]),1)=AGJ$1490,ROW(OFFSET(nombres[],0,0,ROWS(nombres[]),1))-ROW(OFFSET(nombres[],0,0,1,1))+1,ROW(OFFSET(nombres[],ROWS(nombres[])-1,0,1,1))+1),$O1549:$O1568),3),"")</f>
        <v/>
      </c>
      <c r="AGK1549" s="42" t="str">
        <f t="array" aca="1" ref="AGK1549" ca="1">IFERROR(INDEX(nombres[],SMALL(IF(OFFSET(nombres[],0,0,ROWS(nombres[]),1)=AGK$1490,ROW(OFFSET(nombres[],0,0,ROWS(nombres[]),1))-ROW(OFFSET(nombres[],0,0,1,1))+1,ROW(OFFSET(nombres[],ROWS(nombres[])-1,0,1,1))+1),$O1549:$O1568),3),"")</f>
        <v/>
      </c>
      <c r="AGL1549" s="42" t="str">
        <f t="array" aca="1" ref="AGL1549" ca="1">IFERROR(INDEX(nombres[],SMALL(IF(OFFSET(nombres[],0,0,ROWS(nombres[]),1)=AGL$1490,ROW(OFFSET(nombres[],0,0,ROWS(nombres[]),1))-ROW(OFFSET(nombres[],0,0,1,1))+1,ROW(OFFSET(nombres[],ROWS(nombres[])-1,0,1,1))+1),$O1549:$O1568),3),"")</f>
        <v/>
      </c>
      <c r="AGM1549" s="42" t="str">
        <f t="array" aca="1" ref="AGM1549" ca="1">IFERROR(INDEX(nombres[],SMALL(IF(OFFSET(nombres[],0,0,ROWS(nombres[]),1)=AGM$1490,ROW(OFFSET(nombres[],0,0,ROWS(nombres[]),1))-ROW(OFFSET(nombres[],0,0,1,1))+1,ROW(OFFSET(nombres[],ROWS(nombres[])-1,0,1,1))+1),$O1549:$O1568),3),"")</f>
        <v/>
      </c>
      <c r="AGN1549" s="42" t="str">
        <f t="array" aca="1" ref="AGN1549" ca="1">IFERROR(INDEX(nombres[],SMALL(IF(OFFSET(nombres[],0,0,ROWS(nombres[]),1)=AGN$1490,ROW(OFFSET(nombres[],0,0,ROWS(nombres[]),1))-ROW(OFFSET(nombres[],0,0,1,1))+1,ROW(OFFSET(nombres[],ROWS(nombres[])-1,0,1,1))+1),$O1549:$O1568),3),"")</f>
        <v/>
      </c>
    </row>
    <row r="1550" spans="15:872" x14ac:dyDescent="0.25">
      <c r="O1550" s="42">
        <v>14</v>
      </c>
      <c r="P1550" s="42" t="str">
        <f t="array" aca="1" ref="P1550" ca="1">IFERROR(INDEX(nombres[],SMALL(IF(OFFSET(nombres[],0,0,ROWS(nombres[]),1)=P$1490,ROW(OFFSET(nombres[],0,0,ROWS(nombres[]),1))-ROW(OFFSET(nombres[],0,0,1,1))+1,ROW(OFFSET(nombres[],ROWS(nombres[])-1,0,1,1))+1),$O1550:$O1569),3),"")</f>
        <v/>
      </c>
      <c r="Q1550" s="42" t="str">
        <f t="array" aca="1" ref="Q1550" ca="1">IFERROR(INDEX(nombres[],SMALL(IF(OFFSET(nombres[],0,0,ROWS(nombres[]),1)=Q$1490,ROW(OFFSET(nombres[],0,0,ROWS(nombres[]),1))-ROW(OFFSET(nombres[],0,0,1,1))+1,ROW(OFFSET(nombres[],ROWS(nombres[])-1,0,1,1))+1),$O1550:$O1569),3),"")</f>
        <v/>
      </c>
      <c r="R1550" s="42" t="str">
        <f t="array" aca="1" ref="R1550" ca="1">IFERROR(INDEX(nombres[],SMALL(IF(OFFSET(nombres[],0,0,ROWS(nombres[]),1)=R$1490,ROW(OFFSET(nombres[],0,0,ROWS(nombres[]),1))-ROW(OFFSET(nombres[],0,0,1,1))+1,ROW(OFFSET(nombres[],ROWS(nombres[])-1,0,1,1))+1),$O1550:$O1569),3),"")</f>
        <v/>
      </c>
      <c r="S1550" s="42" t="str">
        <f t="array" aca="1" ref="S1550" ca="1">IFERROR(INDEX(nombres[],SMALL(IF(OFFSET(nombres[],0,0,ROWS(nombres[]),1)=S$1490,ROW(OFFSET(nombres[],0,0,ROWS(nombres[]),1))-ROW(OFFSET(nombres[],0,0,1,1))+1,ROW(OFFSET(nombres[],ROWS(nombres[])-1,0,1,1))+1),$O1550:$O1569),3),"")</f>
        <v/>
      </c>
      <c r="T1550" s="42" t="str">
        <f t="array" aca="1" ref="T1550" ca="1">IFERROR(INDEX(nombres[],SMALL(IF(OFFSET(nombres[],0,0,ROWS(nombres[]),1)=T$1490,ROW(OFFSET(nombres[],0,0,ROWS(nombres[]),1))-ROW(OFFSET(nombres[],0,0,1,1))+1,ROW(OFFSET(nombres[],ROWS(nombres[])-1,0,1,1))+1),$O1550:$O1569),3),"")</f>
        <v/>
      </c>
      <c r="U1550" s="42" t="str">
        <f t="array" aca="1" ref="U1550" ca="1">IFERROR(INDEX(nombres[],SMALL(IF(OFFSET(nombres[],0,0,ROWS(nombres[]),1)=U$1490,ROW(OFFSET(nombres[],0,0,ROWS(nombres[]),1))-ROW(OFFSET(nombres[],0,0,1,1))+1,ROW(OFFSET(nombres[],ROWS(nombres[])-1,0,1,1))+1),$O1550:$O1569),3),"")</f>
        <v/>
      </c>
      <c r="V1550" s="42" t="str">
        <f t="array" aca="1" ref="V1550" ca="1">IFERROR(INDEX(nombres[],SMALL(IF(OFFSET(nombres[],0,0,ROWS(nombres[]),1)=V$1490,ROW(OFFSET(nombres[],0,0,ROWS(nombres[]),1))-ROW(OFFSET(nombres[],0,0,1,1))+1,ROW(OFFSET(nombres[],ROWS(nombres[])-1,0,1,1))+1),$O1550:$O1569),3),"")</f>
        <v/>
      </c>
      <c r="W1550" s="42" t="str">
        <f t="array" aca="1" ref="W1550" ca="1">IFERROR(INDEX(nombres[],SMALL(IF(OFFSET(nombres[],0,0,ROWS(nombres[]),1)=W$1490,ROW(OFFSET(nombres[],0,0,ROWS(nombres[]),1))-ROW(OFFSET(nombres[],0,0,1,1))+1,ROW(OFFSET(nombres[],ROWS(nombres[])-1,0,1,1))+1),$O1550:$O1569),3),"")</f>
        <v/>
      </c>
      <c r="X1550" s="42" t="str">
        <f t="array" aca="1" ref="X1550" ca="1">IFERROR(INDEX(nombres[],SMALL(IF(OFFSET(nombres[],0,0,ROWS(nombres[]),1)=X$1490,ROW(OFFSET(nombres[],0,0,ROWS(nombres[]),1))-ROW(OFFSET(nombres[],0,0,1,1))+1,ROW(OFFSET(nombres[],ROWS(nombres[])-1,0,1,1))+1),$O1550:$O1569),3),"")</f>
        <v/>
      </c>
      <c r="Y1550" s="42" t="str">
        <f t="array" aca="1" ref="Y1550" ca="1">IFERROR(INDEX(nombres[],SMALL(IF(OFFSET(nombres[],0,0,ROWS(nombres[]),1)=Y$1490,ROW(OFFSET(nombres[],0,0,ROWS(nombres[]),1))-ROW(OFFSET(nombres[],0,0,1,1))+1,ROW(OFFSET(nombres[],ROWS(nombres[])-1,0,1,1))+1),$O1550:$O1569),3),"")</f>
        <v/>
      </c>
      <c r="Z1550" s="42" t="str">
        <f t="array" aca="1" ref="Z1550" ca="1">IFERROR(INDEX(nombres[],SMALL(IF(OFFSET(nombres[],0,0,ROWS(nombres[]),1)=Z$1490,ROW(OFFSET(nombres[],0,0,ROWS(nombres[]),1))-ROW(OFFSET(nombres[],0,0,1,1))+1,ROW(OFFSET(nombres[],ROWS(nombres[])-1,0,1,1))+1),$O1550:$O1569),3),"")</f>
        <v/>
      </c>
      <c r="AA1550" s="42" t="str">
        <f t="array" aca="1" ref="AA1550" ca="1">IFERROR(INDEX(nombres[],SMALL(IF(OFFSET(nombres[],0,0,ROWS(nombres[]),1)=AA$1490,ROW(OFFSET(nombres[],0,0,ROWS(nombres[]),1))-ROW(OFFSET(nombres[],0,0,1,1))+1,ROW(OFFSET(nombres[],ROWS(nombres[])-1,0,1,1))+1),$O1550:$O1569),3),"")</f>
        <v/>
      </c>
      <c r="AB1550" s="42" t="str">
        <f t="array" aca="1" ref="AB1550" ca="1">IFERROR(INDEX(nombres[],SMALL(IF(OFFSET(nombres[],0,0,ROWS(nombres[]),1)=AB$1490,ROW(OFFSET(nombres[],0,0,ROWS(nombres[]),1))-ROW(OFFSET(nombres[],0,0,1,1))+1,ROW(OFFSET(nombres[],ROWS(nombres[])-1,0,1,1))+1),$O1550:$O1569),3),"")</f>
        <v/>
      </c>
      <c r="AC1550" s="42" t="str">
        <f t="array" aca="1" ref="AC1550" ca="1">IFERROR(INDEX(nombres[],SMALL(IF(OFFSET(nombres[],0,0,ROWS(nombres[]),1)=AC$1490,ROW(OFFSET(nombres[],0,0,ROWS(nombres[]),1))-ROW(OFFSET(nombres[],0,0,1,1))+1,ROW(OFFSET(nombres[],ROWS(nombres[])-1,0,1,1))+1),$O1550:$O1569),3),"")</f>
        <v/>
      </c>
      <c r="AD1550" s="42" t="str">
        <f t="array" aca="1" ref="AD1550" ca="1">IFERROR(INDEX(nombres[],SMALL(IF(OFFSET(nombres[],0,0,ROWS(nombres[]),1)=AD$1490,ROW(OFFSET(nombres[],0,0,ROWS(nombres[]),1))-ROW(OFFSET(nombres[],0,0,1,1))+1,ROW(OFFSET(nombres[],ROWS(nombres[])-1,0,1,1))+1),$O1550:$O1569),3),"")</f>
        <v/>
      </c>
      <c r="AE1550" s="42" t="str">
        <f t="array" aca="1" ref="AE1550" ca="1">IFERROR(INDEX(nombres[],SMALL(IF(OFFSET(nombres[],0,0,ROWS(nombres[]),1)=AE$1490,ROW(OFFSET(nombres[],0,0,ROWS(nombres[]),1))-ROW(OFFSET(nombres[],0,0,1,1))+1,ROW(OFFSET(nombres[],ROWS(nombres[])-1,0,1,1))+1),$O1550:$O1569),3),"")</f>
        <v/>
      </c>
      <c r="AF1550" s="42" t="str">
        <f t="array" aca="1" ref="AF1550" ca="1">IFERROR(INDEX(nombres[],SMALL(IF(OFFSET(nombres[],0,0,ROWS(nombres[]),1)=AF$1490,ROW(OFFSET(nombres[],0,0,ROWS(nombres[]),1))-ROW(OFFSET(nombres[],0,0,1,1))+1,ROW(OFFSET(nombres[],ROWS(nombres[])-1,0,1,1))+1),$O1550:$O1569),3),"")</f>
        <v/>
      </c>
      <c r="AG1550" s="42" t="str">
        <f t="array" aca="1" ref="AG1550" ca="1">IFERROR(INDEX(nombres[],SMALL(IF(OFFSET(nombres[],0,0,ROWS(nombres[]),1)=AG$1490,ROW(OFFSET(nombres[],0,0,ROWS(nombres[]),1))-ROW(OFFSET(nombres[],0,0,1,1))+1,ROW(OFFSET(nombres[],ROWS(nombres[])-1,0,1,1))+1),$O1550:$O1569),3),"")</f>
        <v/>
      </c>
      <c r="AH1550" s="42" t="str">
        <f t="array" aca="1" ref="AH1550" ca="1">IFERROR(INDEX(nombres[],SMALL(IF(OFFSET(nombres[],0,0,ROWS(nombres[]),1)=AH$1490,ROW(OFFSET(nombres[],0,0,ROWS(nombres[]),1))-ROW(OFFSET(nombres[],0,0,1,1))+1,ROW(OFFSET(nombres[],ROWS(nombres[])-1,0,1,1))+1),$O1550:$O1569),3),"")</f>
        <v/>
      </c>
      <c r="AI1550" s="42" t="str">
        <f t="array" aca="1" ref="AI1550" ca="1">IFERROR(INDEX(nombres[],SMALL(IF(OFFSET(nombres[],0,0,ROWS(nombres[]),1)=AI$1490,ROW(OFFSET(nombres[],0,0,ROWS(nombres[]),1))-ROW(OFFSET(nombres[],0,0,1,1))+1,ROW(OFFSET(nombres[],ROWS(nombres[])-1,0,1,1))+1),$O1550:$O1569),3),"")</f>
        <v/>
      </c>
      <c r="AJ1550" s="42" t="str">
        <f t="array" aca="1" ref="AJ1550" ca="1">IFERROR(INDEX(nombres[],SMALL(IF(OFFSET(nombres[],0,0,ROWS(nombres[]),1)=AJ$1490,ROW(OFFSET(nombres[],0,0,ROWS(nombres[]),1))-ROW(OFFSET(nombres[],0,0,1,1))+1,ROW(OFFSET(nombres[],ROWS(nombres[])-1,0,1,1))+1),$O1550:$O1569),3),"")</f>
        <v/>
      </c>
      <c r="AK1550" s="42" t="str">
        <f t="array" aca="1" ref="AK1550" ca="1">IFERROR(INDEX(nombres[],SMALL(IF(OFFSET(nombres[],0,0,ROWS(nombres[]),1)=AK$1490,ROW(OFFSET(nombres[],0,0,ROWS(nombres[]),1))-ROW(OFFSET(nombres[],0,0,1,1))+1,ROW(OFFSET(nombres[],ROWS(nombres[])-1,0,1,1))+1),$O1550:$O1569),3),"")</f>
        <v/>
      </c>
      <c r="AL1550" s="42" t="str">
        <f t="array" aca="1" ref="AL1550" ca="1">IFERROR(INDEX(nombres[],SMALL(IF(OFFSET(nombres[],0,0,ROWS(nombres[]),1)=AL$1490,ROW(OFFSET(nombres[],0,0,ROWS(nombres[]),1))-ROW(OFFSET(nombres[],0,0,1,1))+1,ROW(OFFSET(nombres[],ROWS(nombres[])-1,0,1,1))+1),$O1550:$O1569),3),"")</f>
        <v/>
      </c>
      <c r="AM1550" s="42" t="str">
        <f t="array" aca="1" ref="AM1550" ca="1">IFERROR(INDEX(nombres[],SMALL(IF(OFFSET(nombres[],0,0,ROWS(nombres[]),1)=AM$1490,ROW(OFFSET(nombres[],0,0,ROWS(nombres[]),1))-ROW(OFFSET(nombres[],0,0,1,1))+1,ROW(OFFSET(nombres[],ROWS(nombres[])-1,0,1,1))+1),$O1550:$O1569),3),"")</f>
        <v/>
      </c>
      <c r="AN1550" s="42" t="str">
        <f t="array" aca="1" ref="AN1550" ca="1">IFERROR(INDEX(nombres[],SMALL(IF(OFFSET(nombres[],0,0,ROWS(nombres[]),1)=AN$1490,ROW(OFFSET(nombres[],0,0,ROWS(nombres[]),1))-ROW(OFFSET(nombres[],0,0,1,1))+1,ROW(OFFSET(nombres[],ROWS(nombres[])-1,0,1,1))+1),$O1550:$O1569),3),"")</f>
        <v/>
      </c>
      <c r="AO1550" s="42" t="str">
        <f t="array" aca="1" ref="AO1550" ca="1">IFERROR(INDEX(nombres[],SMALL(IF(OFFSET(nombres[],0,0,ROWS(nombres[]),1)=AO$1490,ROW(OFFSET(nombres[],0,0,ROWS(nombres[]),1))-ROW(OFFSET(nombres[],0,0,1,1))+1,ROW(OFFSET(nombres[],ROWS(nombres[])-1,0,1,1))+1),$O1550:$O1569),3),"")</f>
        <v/>
      </c>
      <c r="AP1550" s="42" t="str">
        <f t="array" aca="1" ref="AP1550" ca="1">IFERROR(INDEX(nombres[],SMALL(IF(OFFSET(nombres[],0,0,ROWS(nombres[]),1)=AP$1490,ROW(OFFSET(nombres[],0,0,ROWS(nombres[]),1))-ROW(OFFSET(nombres[],0,0,1,1))+1,ROW(OFFSET(nombres[],ROWS(nombres[])-1,0,1,1))+1),$O1550:$O1569),3),"")</f>
        <v/>
      </c>
      <c r="AQ1550" s="42" t="str">
        <f t="array" aca="1" ref="AQ1550" ca="1">IFERROR(INDEX(nombres[],SMALL(IF(OFFSET(nombres[],0,0,ROWS(nombres[]),1)=AQ$1490,ROW(OFFSET(nombres[],0,0,ROWS(nombres[]),1))-ROW(OFFSET(nombres[],0,0,1,1))+1,ROW(OFFSET(nombres[],ROWS(nombres[])-1,0,1,1))+1),$O1550:$O1569),3),"")</f>
        <v/>
      </c>
      <c r="AR1550" s="42" t="str">
        <f t="array" aca="1" ref="AR1550" ca="1">IFERROR(INDEX(nombres[],SMALL(IF(OFFSET(nombres[],0,0,ROWS(nombres[]),1)=AR$1490,ROW(OFFSET(nombres[],0,0,ROWS(nombres[]),1))-ROW(OFFSET(nombres[],0,0,1,1))+1,ROW(OFFSET(nombres[],ROWS(nombres[])-1,0,1,1))+1),$O1550:$O1569),3),"")</f>
        <v/>
      </c>
      <c r="AS1550" s="42" t="str">
        <f t="array" aca="1" ref="AS1550" ca="1">IFERROR(INDEX(nombres[],SMALL(IF(OFFSET(nombres[],0,0,ROWS(nombres[]),1)=AS$1490,ROW(OFFSET(nombres[],0,0,ROWS(nombres[]),1))-ROW(OFFSET(nombres[],0,0,1,1))+1,ROW(OFFSET(nombres[],ROWS(nombres[])-1,0,1,1))+1),$O1550:$O1569),3),"")</f>
        <v/>
      </c>
      <c r="AT1550" s="42" t="str">
        <f t="array" aca="1" ref="AT1550" ca="1">IFERROR(INDEX(nombres[],SMALL(IF(OFFSET(nombres[],0,0,ROWS(nombres[]),1)=AT$1490,ROW(OFFSET(nombres[],0,0,ROWS(nombres[]),1))-ROW(OFFSET(nombres[],0,0,1,1))+1,ROW(OFFSET(nombres[],ROWS(nombres[])-1,0,1,1))+1),$O1550:$O1569),3),"")</f>
        <v/>
      </c>
      <c r="AU1550" s="42" t="str">
        <f t="array" aca="1" ref="AU1550" ca="1">IFERROR(INDEX(nombres[],SMALL(IF(OFFSET(nombres[],0,0,ROWS(nombres[]),1)=AU$1490,ROW(OFFSET(nombres[],0,0,ROWS(nombres[]),1))-ROW(OFFSET(nombres[],0,0,1,1))+1,ROW(OFFSET(nombres[],ROWS(nombres[])-1,0,1,1))+1),$O1550:$O1569),3),"")</f>
        <v/>
      </c>
      <c r="AV1550" s="42" t="str">
        <f t="array" aca="1" ref="AV1550" ca="1">IFERROR(INDEX(nombres[],SMALL(IF(OFFSET(nombres[],0,0,ROWS(nombres[]),1)=AV$1490,ROW(OFFSET(nombres[],0,0,ROWS(nombres[]),1))-ROW(OFFSET(nombres[],0,0,1,1))+1,ROW(OFFSET(nombres[],ROWS(nombres[])-1,0,1,1))+1),$O1550:$O1569),3),"")</f>
        <v/>
      </c>
      <c r="AW1550" s="42" t="str">
        <f t="array" aca="1" ref="AW1550" ca="1">IFERROR(INDEX(nombres[],SMALL(IF(OFFSET(nombres[],0,0,ROWS(nombres[]),1)=AW$1490,ROW(OFFSET(nombres[],0,0,ROWS(nombres[]),1))-ROW(OFFSET(nombres[],0,0,1,1))+1,ROW(OFFSET(nombres[],ROWS(nombres[])-1,0,1,1))+1),$O1550:$O1569),3),"")</f>
        <v/>
      </c>
      <c r="AX1550" s="42" t="str">
        <f t="array" aca="1" ref="AX1550" ca="1">IFERROR(INDEX(nombres[],SMALL(IF(OFFSET(nombres[],0,0,ROWS(nombres[]),1)=AX$1490,ROW(OFFSET(nombres[],0,0,ROWS(nombres[]),1))-ROW(OFFSET(nombres[],0,0,1,1))+1,ROW(OFFSET(nombres[],ROWS(nombres[])-1,0,1,1))+1),$O1550:$O1569),3),"")</f>
        <v/>
      </c>
      <c r="AY1550" s="42" t="str">
        <f t="array" aca="1" ref="AY1550" ca="1">IFERROR(INDEX(nombres[],SMALL(IF(OFFSET(nombres[],0,0,ROWS(nombres[]),1)=AY$1490,ROW(OFFSET(nombres[],0,0,ROWS(nombres[]),1))-ROW(OFFSET(nombres[],0,0,1,1))+1,ROW(OFFSET(nombres[],ROWS(nombres[])-1,0,1,1))+1),$O1550:$O1569),3),"")</f>
        <v/>
      </c>
      <c r="AZ1550" s="42" t="str">
        <f t="array" aca="1" ref="AZ1550" ca="1">IFERROR(INDEX(nombres[],SMALL(IF(OFFSET(nombres[],0,0,ROWS(nombres[]),1)=AZ$1490,ROW(OFFSET(nombres[],0,0,ROWS(nombres[]),1))-ROW(OFFSET(nombres[],0,0,1,1))+1,ROW(OFFSET(nombres[],ROWS(nombres[])-1,0,1,1))+1),$O1550:$O1569),3),"")</f>
        <v/>
      </c>
      <c r="BA1550" s="42" t="str">
        <f t="array" aca="1" ref="BA1550" ca="1">IFERROR(INDEX(nombres[],SMALL(IF(OFFSET(nombres[],0,0,ROWS(nombres[]),1)=BA$1490,ROW(OFFSET(nombres[],0,0,ROWS(nombres[]),1))-ROW(OFFSET(nombres[],0,0,1,1))+1,ROW(OFFSET(nombres[],ROWS(nombres[])-1,0,1,1))+1),$O1550:$O1569),3),"")</f>
        <v/>
      </c>
      <c r="BB1550" s="42" t="str">
        <f t="array" aca="1" ref="BB1550" ca="1">IFERROR(INDEX(nombres[],SMALL(IF(OFFSET(nombres[],0,0,ROWS(nombres[]),1)=BB$1490,ROW(OFFSET(nombres[],0,0,ROWS(nombres[]),1))-ROW(OFFSET(nombres[],0,0,1,1))+1,ROW(OFFSET(nombres[],ROWS(nombres[])-1,0,1,1))+1),$O1550:$O1569),3),"")</f>
        <v/>
      </c>
      <c r="BC1550" s="42" t="str">
        <f t="array" aca="1" ref="BC1550" ca="1">IFERROR(INDEX(nombres[],SMALL(IF(OFFSET(nombres[],0,0,ROWS(nombres[]),1)=BC$1490,ROW(OFFSET(nombres[],0,0,ROWS(nombres[]),1))-ROW(OFFSET(nombres[],0,0,1,1))+1,ROW(OFFSET(nombres[],ROWS(nombres[])-1,0,1,1))+1),$O1550:$O1569),3),"")</f>
        <v/>
      </c>
      <c r="BD1550" s="42" t="str">
        <f t="array" aca="1" ref="BD1550" ca="1">IFERROR(INDEX(nombres[],SMALL(IF(OFFSET(nombres[],0,0,ROWS(nombres[]),1)=BD$1490,ROW(OFFSET(nombres[],0,0,ROWS(nombres[]),1))-ROW(OFFSET(nombres[],0,0,1,1))+1,ROW(OFFSET(nombres[],ROWS(nombres[])-1,0,1,1))+1),$O1550:$O1569),3),"")</f>
        <v/>
      </c>
      <c r="BE1550" s="42" t="str">
        <f t="array" aca="1" ref="BE1550" ca="1">IFERROR(INDEX(nombres[],SMALL(IF(OFFSET(nombres[],0,0,ROWS(nombres[]),1)=BE$1490,ROW(OFFSET(nombres[],0,0,ROWS(nombres[]),1))-ROW(OFFSET(nombres[],0,0,1,1))+1,ROW(OFFSET(nombres[],ROWS(nombres[])-1,0,1,1))+1),$O1550:$O1569),3),"")</f>
        <v/>
      </c>
      <c r="BF1550" s="42" t="str">
        <f t="array" aca="1" ref="BF1550" ca="1">IFERROR(INDEX(nombres[],SMALL(IF(OFFSET(nombres[],0,0,ROWS(nombres[]),1)=BF$1490,ROW(OFFSET(nombres[],0,0,ROWS(nombres[]),1))-ROW(OFFSET(nombres[],0,0,1,1))+1,ROW(OFFSET(nombres[],ROWS(nombres[])-1,0,1,1))+1),$O1550:$O1569),3),"")</f>
        <v/>
      </c>
      <c r="BG1550" s="42" t="str">
        <f t="array" aca="1" ref="BG1550" ca="1">IFERROR(INDEX(nombres[],SMALL(IF(OFFSET(nombres[],0,0,ROWS(nombres[]),1)=BG$1490,ROW(OFFSET(nombres[],0,0,ROWS(nombres[]),1))-ROW(OFFSET(nombres[],0,0,1,1))+1,ROW(OFFSET(nombres[],ROWS(nombres[])-1,0,1,1))+1),$O1550:$O1569),3),"")</f>
        <v/>
      </c>
      <c r="BH1550" s="42" t="str">
        <f t="array" aca="1" ref="BH1550" ca="1">IFERROR(INDEX(nombres[],SMALL(IF(OFFSET(nombres[],0,0,ROWS(nombres[]),1)=BH$1490,ROW(OFFSET(nombres[],0,0,ROWS(nombres[]),1))-ROW(OFFSET(nombres[],0,0,1,1))+1,ROW(OFFSET(nombres[],ROWS(nombres[])-1,0,1,1))+1),$O1550:$O1569),3),"")</f>
        <v/>
      </c>
      <c r="BI1550" s="42" t="str">
        <f t="array" aca="1" ref="BI1550" ca="1">IFERROR(INDEX(nombres[],SMALL(IF(OFFSET(nombres[],0,0,ROWS(nombres[]),1)=BI$1490,ROW(OFFSET(nombres[],0,0,ROWS(nombres[]),1))-ROW(OFFSET(nombres[],0,0,1,1))+1,ROW(OFFSET(nombres[],ROWS(nombres[])-1,0,1,1))+1),$O1550:$O1569),3),"")</f>
        <v/>
      </c>
      <c r="BJ1550" s="42" t="str">
        <f t="array" aca="1" ref="BJ1550" ca="1">IFERROR(INDEX(nombres[],SMALL(IF(OFFSET(nombres[],0,0,ROWS(nombres[]),1)=BJ$1490,ROW(OFFSET(nombres[],0,0,ROWS(nombres[]),1))-ROW(OFFSET(nombres[],0,0,1,1))+1,ROW(OFFSET(nombres[],ROWS(nombres[])-1,0,1,1))+1),$O1550:$O1569),3),"")</f>
        <v/>
      </c>
      <c r="BK1550" s="42" t="str">
        <f t="array" aca="1" ref="BK1550" ca="1">IFERROR(INDEX(nombres[],SMALL(IF(OFFSET(nombres[],0,0,ROWS(nombres[]),1)=BK$1490,ROW(OFFSET(nombres[],0,0,ROWS(nombres[]),1))-ROW(OFFSET(nombres[],0,0,1,1))+1,ROW(OFFSET(nombres[],ROWS(nombres[])-1,0,1,1))+1),$O1550:$O1569),3),"")</f>
        <v/>
      </c>
      <c r="BL1550" s="42" t="str">
        <f t="array" aca="1" ref="BL1550" ca="1">IFERROR(INDEX(nombres[],SMALL(IF(OFFSET(nombres[],0,0,ROWS(nombres[]),1)=BL$1490,ROW(OFFSET(nombres[],0,0,ROWS(nombres[]),1))-ROW(OFFSET(nombres[],0,0,1,1))+1,ROW(OFFSET(nombres[],ROWS(nombres[])-1,0,1,1))+1),$O1550:$O1569),3),"")</f>
        <v/>
      </c>
      <c r="BM1550" s="42" t="str">
        <f t="array" aca="1" ref="BM1550" ca="1">IFERROR(INDEX(nombres[],SMALL(IF(OFFSET(nombres[],0,0,ROWS(nombres[]),1)=BM$1490,ROW(OFFSET(nombres[],0,0,ROWS(nombres[]),1))-ROW(OFFSET(nombres[],0,0,1,1))+1,ROW(OFFSET(nombres[],ROWS(nombres[])-1,0,1,1))+1),$O1550:$O1569),3),"")</f>
        <v/>
      </c>
      <c r="BN1550" s="42" t="str">
        <f t="array" aca="1" ref="BN1550" ca="1">IFERROR(INDEX(nombres[],SMALL(IF(OFFSET(nombres[],0,0,ROWS(nombres[]),1)=BN$1490,ROW(OFFSET(nombres[],0,0,ROWS(nombres[]),1))-ROW(OFFSET(nombres[],0,0,1,1))+1,ROW(OFFSET(nombres[],ROWS(nombres[])-1,0,1,1))+1),$O1550:$O1569),3),"")</f>
        <v/>
      </c>
      <c r="BO1550" s="42" t="str">
        <f t="array" aca="1" ref="BO1550" ca="1">IFERROR(INDEX(nombres[],SMALL(IF(OFFSET(nombres[],0,0,ROWS(nombres[]),1)=BO$1490,ROW(OFFSET(nombres[],0,0,ROWS(nombres[]),1))-ROW(OFFSET(nombres[],0,0,1,1))+1,ROW(OFFSET(nombres[],ROWS(nombres[])-1,0,1,1))+1),$O1550:$O1569),3),"")</f>
        <v/>
      </c>
      <c r="BP1550" s="42" t="str">
        <f t="array" aca="1" ref="BP1550" ca="1">IFERROR(INDEX(nombres[],SMALL(IF(OFFSET(nombres[],0,0,ROWS(nombres[]),1)=BP$1490,ROW(OFFSET(nombres[],0,0,ROWS(nombres[]),1))-ROW(OFFSET(nombres[],0,0,1,1))+1,ROW(OFFSET(nombres[],ROWS(nombres[])-1,0,1,1))+1),$O1550:$O1569),3),"")</f>
        <v/>
      </c>
      <c r="BQ1550" s="42" t="str">
        <f t="array" aca="1" ref="BQ1550" ca="1">IFERROR(INDEX(nombres[],SMALL(IF(OFFSET(nombres[],0,0,ROWS(nombres[]),1)=BQ$1490,ROW(OFFSET(nombres[],0,0,ROWS(nombres[]),1))-ROW(OFFSET(nombres[],0,0,1,1))+1,ROW(OFFSET(nombres[],ROWS(nombres[])-1,0,1,1))+1),$O1550:$O1569),3),"")</f>
        <v/>
      </c>
      <c r="BR1550" s="42" t="str">
        <f t="array" aca="1" ref="BR1550" ca="1">IFERROR(INDEX(nombres[],SMALL(IF(OFFSET(nombres[],0,0,ROWS(nombres[]),1)=BR$1490,ROW(OFFSET(nombres[],0,0,ROWS(nombres[]),1))-ROW(OFFSET(nombres[],0,0,1,1))+1,ROW(OFFSET(nombres[],ROWS(nombres[])-1,0,1,1))+1),$O1550:$O1569),3),"")</f>
        <v/>
      </c>
      <c r="BS1550" s="42" t="str">
        <f t="array" aca="1" ref="BS1550" ca="1">IFERROR(INDEX(nombres[],SMALL(IF(OFFSET(nombres[],0,0,ROWS(nombres[]),1)=BS$1490,ROW(OFFSET(nombres[],0,0,ROWS(nombres[]),1))-ROW(OFFSET(nombres[],0,0,1,1))+1,ROW(OFFSET(nombres[],ROWS(nombres[])-1,0,1,1))+1),$O1550:$O1569),3),"")</f>
        <v/>
      </c>
      <c r="BT1550" s="42" t="str">
        <f t="array" aca="1" ref="BT1550" ca="1">IFERROR(INDEX(nombres[],SMALL(IF(OFFSET(nombres[],0,0,ROWS(nombres[]),1)=BT$1490,ROW(OFFSET(nombres[],0,0,ROWS(nombres[]),1))-ROW(OFFSET(nombres[],0,0,1,1))+1,ROW(OFFSET(nombres[],ROWS(nombres[])-1,0,1,1))+1),$O1550:$O1569),3),"")</f>
        <v/>
      </c>
      <c r="BU1550" s="42" t="str">
        <f t="array" aca="1" ref="BU1550" ca="1">IFERROR(INDEX(nombres[],SMALL(IF(OFFSET(nombres[],0,0,ROWS(nombres[]),1)=BU$1490,ROW(OFFSET(nombres[],0,0,ROWS(nombres[]),1))-ROW(OFFSET(nombres[],0,0,1,1))+1,ROW(OFFSET(nombres[],ROWS(nombres[])-1,0,1,1))+1),$O1550:$O1569),3),"")</f>
        <v/>
      </c>
      <c r="BV1550" s="42" t="str">
        <f t="array" aca="1" ref="BV1550" ca="1">IFERROR(INDEX(nombres[],SMALL(IF(OFFSET(nombres[],0,0,ROWS(nombres[]),1)=BV$1490,ROW(OFFSET(nombres[],0,0,ROWS(nombres[]),1))-ROW(OFFSET(nombres[],0,0,1,1))+1,ROW(OFFSET(nombres[],ROWS(nombres[])-1,0,1,1))+1),$O1550:$O1569),3),"")</f>
        <v/>
      </c>
      <c r="BW1550" s="42" t="str">
        <f t="array" aca="1" ref="BW1550" ca="1">IFERROR(INDEX(nombres[],SMALL(IF(OFFSET(nombres[],0,0,ROWS(nombres[]),1)=BW$1490,ROW(OFFSET(nombres[],0,0,ROWS(nombres[]),1))-ROW(OFFSET(nombres[],0,0,1,1))+1,ROW(OFFSET(nombres[],ROWS(nombres[])-1,0,1,1))+1),$O1550:$O1569),3),"")</f>
        <v/>
      </c>
      <c r="BX1550" s="42" t="str">
        <f t="array" aca="1" ref="BX1550" ca="1">IFERROR(INDEX(nombres[],SMALL(IF(OFFSET(nombres[],0,0,ROWS(nombres[]),1)=BX$1490,ROW(OFFSET(nombres[],0,0,ROWS(nombres[]),1))-ROW(OFFSET(nombres[],0,0,1,1))+1,ROW(OFFSET(nombres[],ROWS(nombres[])-1,0,1,1))+1),$O1550:$O1569),3),"")</f>
        <v/>
      </c>
      <c r="BY1550" s="42" t="str">
        <f t="array" aca="1" ref="BY1550" ca="1">IFERROR(INDEX(nombres[],SMALL(IF(OFFSET(nombres[],0,0,ROWS(nombres[]),1)=BY$1490,ROW(OFFSET(nombres[],0,0,ROWS(nombres[]),1))-ROW(OFFSET(nombres[],0,0,1,1))+1,ROW(OFFSET(nombres[],ROWS(nombres[])-1,0,1,1))+1),$O1550:$O1569),3),"")</f>
        <v/>
      </c>
      <c r="BZ1550" s="42" t="str">
        <f t="array" aca="1" ref="BZ1550" ca="1">IFERROR(INDEX(nombres[],SMALL(IF(OFFSET(nombres[],0,0,ROWS(nombres[]),1)=BZ$1490,ROW(OFFSET(nombres[],0,0,ROWS(nombres[]),1))-ROW(OFFSET(nombres[],0,0,1,1))+1,ROW(OFFSET(nombres[],ROWS(nombres[])-1,0,1,1))+1),$O1550:$O1569),3),"")</f>
        <v/>
      </c>
      <c r="CA1550" s="42" t="str">
        <f t="array" aca="1" ref="CA1550" ca="1">IFERROR(INDEX(nombres[],SMALL(IF(OFFSET(nombres[],0,0,ROWS(nombres[]),1)=CA$1490,ROW(OFFSET(nombres[],0,0,ROWS(nombres[]),1))-ROW(OFFSET(nombres[],0,0,1,1))+1,ROW(OFFSET(nombres[],ROWS(nombres[])-1,0,1,1))+1),$O1550:$O1569),3),"")</f>
        <v/>
      </c>
      <c r="CB1550" s="42" t="str">
        <f t="array" aca="1" ref="CB1550" ca="1">IFERROR(INDEX(nombres[],SMALL(IF(OFFSET(nombres[],0,0,ROWS(nombres[]),1)=CB$1490,ROW(OFFSET(nombres[],0,0,ROWS(nombres[]),1))-ROW(OFFSET(nombres[],0,0,1,1))+1,ROW(OFFSET(nombres[],ROWS(nombres[])-1,0,1,1))+1),$O1550:$O1569),3),"")</f>
        <v/>
      </c>
      <c r="CC1550" s="42" t="str">
        <f t="array" aca="1" ref="CC1550" ca="1">IFERROR(INDEX(nombres[],SMALL(IF(OFFSET(nombres[],0,0,ROWS(nombres[]),1)=CC$1490,ROW(OFFSET(nombres[],0,0,ROWS(nombres[]),1))-ROW(OFFSET(nombres[],0,0,1,1))+1,ROW(OFFSET(nombres[],ROWS(nombres[])-1,0,1,1))+1),$O1550:$O1569),3),"")</f>
        <v/>
      </c>
      <c r="CD1550" s="42" t="str">
        <f t="array" aca="1" ref="CD1550" ca="1">IFERROR(INDEX(nombres[],SMALL(IF(OFFSET(nombres[],0,0,ROWS(nombres[]),1)=CD$1490,ROW(OFFSET(nombres[],0,0,ROWS(nombres[]),1))-ROW(OFFSET(nombres[],0,0,1,1))+1,ROW(OFFSET(nombres[],ROWS(nombres[])-1,0,1,1))+1),$O1550:$O1569),3),"")</f>
        <v/>
      </c>
      <c r="CE1550" s="42" t="str">
        <f t="array" aca="1" ref="CE1550" ca="1">IFERROR(INDEX(nombres[],SMALL(IF(OFFSET(nombres[],0,0,ROWS(nombres[]),1)=CE$1490,ROW(OFFSET(nombres[],0,0,ROWS(nombres[]),1))-ROW(OFFSET(nombres[],0,0,1,1))+1,ROW(OFFSET(nombres[],ROWS(nombres[])-1,0,1,1))+1),$O1550:$O1569),3),"")</f>
        <v/>
      </c>
      <c r="CF1550" s="42" t="str">
        <f t="array" aca="1" ref="CF1550" ca="1">IFERROR(INDEX(nombres[],SMALL(IF(OFFSET(nombres[],0,0,ROWS(nombres[]),1)=CF$1490,ROW(OFFSET(nombres[],0,0,ROWS(nombres[]),1))-ROW(OFFSET(nombres[],0,0,1,1))+1,ROW(OFFSET(nombres[],ROWS(nombres[])-1,0,1,1))+1),$O1550:$O1569),3),"")</f>
        <v/>
      </c>
      <c r="CG1550" s="42" t="str">
        <f t="array" aca="1" ref="CG1550" ca="1">IFERROR(INDEX(nombres[],SMALL(IF(OFFSET(nombres[],0,0,ROWS(nombres[]),1)=CG$1490,ROW(OFFSET(nombres[],0,0,ROWS(nombres[]),1))-ROW(OFFSET(nombres[],0,0,1,1))+1,ROW(OFFSET(nombres[],ROWS(nombres[])-1,0,1,1))+1),$O1550:$O1569),3),"")</f>
        <v/>
      </c>
      <c r="CH1550" s="42" t="str">
        <f t="array" aca="1" ref="CH1550" ca="1">IFERROR(INDEX(nombres[],SMALL(IF(OFFSET(nombres[],0,0,ROWS(nombres[]),1)=CH$1490,ROW(OFFSET(nombres[],0,0,ROWS(nombres[]),1))-ROW(OFFSET(nombres[],0,0,1,1))+1,ROW(OFFSET(nombres[],ROWS(nombres[])-1,0,1,1))+1),$O1550:$O1569),3),"")</f>
        <v/>
      </c>
      <c r="CI1550" s="42" t="str">
        <f t="array" aca="1" ref="CI1550" ca="1">IFERROR(INDEX(nombres[],SMALL(IF(OFFSET(nombres[],0,0,ROWS(nombres[]),1)=CI$1490,ROW(OFFSET(nombres[],0,0,ROWS(nombres[]),1))-ROW(OFFSET(nombres[],0,0,1,1))+1,ROW(OFFSET(nombres[],ROWS(nombres[])-1,0,1,1))+1),$O1550:$O1569),3),"")</f>
        <v/>
      </c>
      <c r="CJ1550" s="42" t="str">
        <f t="array" aca="1" ref="CJ1550" ca="1">IFERROR(INDEX(nombres[],SMALL(IF(OFFSET(nombres[],0,0,ROWS(nombres[]),1)=CJ$1490,ROW(OFFSET(nombres[],0,0,ROWS(nombres[]),1))-ROW(OFFSET(nombres[],0,0,1,1))+1,ROW(OFFSET(nombres[],ROWS(nombres[])-1,0,1,1))+1),$O1550:$O1569),3),"")</f>
        <v/>
      </c>
      <c r="CK1550" s="42" t="str">
        <f t="array" aca="1" ref="CK1550" ca="1">IFERROR(INDEX(nombres[],SMALL(IF(OFFSET(nombres[],0,0,ROWS(nombres[]),1)=CK$1490,ROW(OFFSET(nombres[],0,0,ROWS(nombres[]),1))-ROW(OFFSET(nombres[],0,0,1,1))+1,ROW(OFFSET(nombres[],ROWS(nombres[])-1,0,1,1))+1),$O1550:$O1569),3),"")</f>
        <v/>
      </c>
      <c r="CL1550" s="42" t="str">
        <f t="array" aca="1" ref="CL1550" ca="1">IFERROR(INDEX(nombres[],SMALL(IF(OFFSET(nombres[],0,0,ROWS(nombres[]),1)=CL$1490,ROW(OFFSET(nombres[],0,0,ROWS(nombres[]),1))-ROW(OFFSET(nombres[],0,0,1,1))+1,ROW(OFFSET(nombres[],ROWS(nombres[])-1,0,1,1))+1),$O1550:$O1569),3),"")</f>
        <v/>
      </c>
      <c r="CM1550" s="42" t="str">
        <f t="array" aca="1" ref="CM1550" ca="1">IFERROR(INDEX(nombres[],SMALL(IF(OFFSET(nombres[],0,0,ROWS(nombres[]),1)=CM$1490,ROW(OFFSET(nombres[],0,0,ROWS(nombres[]),1))-ROW(OFFSET(nombres[],0,0,1,1))+1,ROW(OFFSET(nombres[],ROWS(nombres[])-1,0,1,1))+1),$O1550:$O1569),3),"")</f>
        <v/>
      </c>
      <c r="CN1550" s="42" t="str">
        <f t="array" aca="1" ref="CN1550" ca="1">IFERROR(INDEX(nombres[],SMALL(IF(OFFSET(nombres[],0,0,ROWS(nombres[]),1)=CN$1490,ROW(OFFSET(nombres[],0,0,ROWS(nombres[]),1))-ROW(OFFSET(nombres[],0,0,1,1))+1,ROW(OFFSET(nombres[],ROWS(nombres[])-1,0,1,1))+1),$O1550:$O1569),3),"")</f>
        <v/>
      </c>
      <c r="CO1550" s="42" t="str">
        <f t="array" aca="1" ref="CO1550" ca="1">IFERROR(INDEX(nombres[],SMALL(IF(OFFSET(nombres[],0,0,ROWS(nombres[]),1)=CO$1490,ROW(OFFSET(nombres[],0,0,ROWS(nombres[]),1))-ROW(OFFSET(nombres[],0,0,1,1))+1,ROW(OFFSET(nombres[],ROWS(nombres[])-1,0,1,1))+1),$O1550:$O1569),3),"")</f>
        <v/>
      </c>
      <c r="CP1550" s="42" t="str">
        <f t="array" aca="1" ref="CP1550" ca="1">IFERROR(INDEX(nombres[],SMALL(IF(OFFSET(nombres[],0,0,ROWS(nombres[]),1)=CP$1490,ROW(OFFSET(nombres[],0,0,ROWS(nombres[]),1))-ROW(OFFSET(nombres[],0,0,1,1))+1,ROW(OFFSET(nombres[],ROWS(nombres[])-1,0,1,1))+1),$O1550:$O1569),3),"")</f>
        <v/>
      </c>
      <c r="CQ1550" s="42" t="str">
        <f t="array" aca="1" ref="CQ1550" ca="1">IFERROR(INDEX(nombres[],SMALL(IF(OFFSET(nombres[],0,0,ROWS(nombres[]),1)=CQ$1490,ROW(OFFSET(nombres[],0,0,ROWS(nombres[]),1))-ROW(OFFSET(nombres[],0,0,1,1))+1,ROW(OFFSET(nombres[],ROWS(nombres[])-1,0,1,1))+1),$O1550:$O1569),3),"")</f>
        <v/>
      </c>
      <c r="CR1550" s="42" t="str">
        <f t="array" aca="1" ref="CR1550" ca="1">IFERROR(INDEX(nombres[],SMALL(IF(OFFSET(nombres[],0,0,ROWS(nombres[]),1)=CR$1490,ROW(OFFSET(nombres[],0,0,ROWS(nombres[]),1))-ROW(OFFSET(nombres[],0,0,1,1))+1,ROW(OFFSET(nombres[],ROWS(nombres[])-1,0,1,1))+1),$O1550:$O1569),3),"")</f>
        <v/>
      </c>
      <c r="CS1550" s="42" t="str">
        <f t="array" aca="1" ref="CS1550" ca="1">IFERROR(INDEX(nombres[],SMALL(IF(OFFSET(nombres[],0,0,ROWS(nombres[]),1)=CS$1490,ROW(OFFSET(nombres[],0,0,ROWS(nombres[]),1))-ROW(OFFSET(nombres[],0,0,1,1))+1,ROW(OFFSET(nombres[],ROWS(nombres[])-1,0,1,1))+1),$O1550:$O1569),3),"")</f>
        <v/>
      </c>
      <c r="CT1550" s="42" t="str">
        <f t="array" aca="1" ref="CT1550" ca="1">IFERROR(INDEX(nombres[],SMALL(IF(OFFSET(nombres[],0,0,ROWS(nombres[]),1)=CT$1490,ROW(OFFSET(nombres[],0,0,ROWS(nombres[]),1))-ROW(OFFSET(nombres[],0,0,1,1))+1,ROW(OFFSET(nombres[],ROWS(nombres[])-1,0,1,1))+1),$O1550:$O1569),3),"")</f>
        <v/>
      </c>
      <c r="CU1550" s="42" t="str">
        <f t="array" aca="1" ref="CU1550" ca="1">IFERROR(INDEX(nombres[],SMALL(IF(OFFSET(nombres[],0,0,ROWS(nombres[]),1)=CU$1490,ROW(OFFSET(nombres[],0,0,ROWS(nombres[]),1))-ROW(OFFSET(nombres[],0,0,1,1))+1,ROW(OFFSET(nombres[],ROWS(nombres[])-1,0,1,1))+1),$O1550:$O1569),3),"")</f>
        <v/>
      </c>
      <c r="CV1550" s="42" t="str">
        <f t="array" aca="1" ref="CV1550" ca="1">IFERROR(INDEX(nombres[],SMALL(IF(OFFSET(nombres[],0,0,ROWS(nombres[]),1)=CV$1490,ROW(OFFSET(nombres[],0,0,ROWS(nombres[]),1))-ROW(OFFSET(nombres[],0,0,1,1))+1,ROW(OFFSET(nombres[],ROWS(nombres[])-1,0,1,1))+1),$O1550:$O1569),3),"")</f>
        <v/>
      </c>
      <c r="CW1550" s="42" t="str">
        <f t="array" aca="1" ref="CW1550" ca="1">IFERROR(INDEX(nombres[],SMALL(IF(OFFSET(nombres[],0,0,ROWS(nombres[]),1)=CW$1490,ROW(OFFSET(nombres[],0,0,ROWS(nombres[]),1))-ROW(OFFSET(nombres[],0,0,1,1))+1,ROW(OFFSET(nombres[],ROWS(nombres[])-1,0,1,1))+1),$O1550:$O1569),3),"")</f>
        <v/>
      </c>
      <c r="CX1550" s="42" t="str">
        <f t="array" aca="1" ref="CX1550" ca="1">IFERROR(INDEX(nombres[],SMALL(IF(OFFSET(nombres[],0,0,ROWS(nombres[]),1)=CX$1490,ROW(OFFSET(nombres[],0,0,ROWS(nombres[]),1))-ROW(OFFSET(nombres[],0,0,1,1))+1,ROW(OFFSET(nombres[],ROWS(nombres[])-1,0,1,1))+1),$O1550:$O1569),3),"")</f>
        <v/>
      </c>
      <c r="CY1550" s="42" t="str">
        <f t="array" aca="1" ref="CY1550" ca="1">IFERROR(INDEX(nombres[],SMALL(IF(OFFSET(nombres[],0,0,ROWS(nombres[]),1)=CY$1490,ROW(OFFSET(nombres[],0,0,ROWS(nombres[]),1))-ROW(OFFSET(nombres[],0,0,1,1))+1,ROW(OFFSET(nombres[],ROWS(nombres[])-1,0,1,1))+1),$O1550:$O1569),3),"")</f>
        <v/>
      </c>
      <c r="CZ1550" s="42" t="str">
        <f t="array" aca="1" ref="CZ1550" ca="1">IFERROR(INDEX(nombres[],SMALL(IF(OFFSET(nombres[],0,0,ROWS(nombres[]),1)=CZ$1490,ROW(OFFSET(nombres[],0,0,ROWS(nombres[]),1))-ROW(OFFSET(nombres[],0,0,1,1))+1,ROW(OFFSET(nombres[],ROWS(nombres[])-1,0,1,1))+1),$O1550:$O1569),3),"")</f>
        <v/>
      </c>
      <c r="DA1550" s="42" t="str">
        <f t="array" aca="1" ref="DA1550" ca="1">IFERROR(INDEX(nombres[],SMALL(IF(OFFSET(nombres[],0,0,ROWS(nombres[]),1)=DA$1490,ROW(OFFSET(nombres[],0,0,ROWS(nombres[]),1))-ROW(OFFSET(nombres[],0,0,1,1))+1,ROW(OFFSET(nombres[],ROWS(nombres[])-1,0,1,1))+1),$O1550:$O1569),3),"")</f>
        <v/>
      </c>
      <c r="DB1550" s="42" t="str">
        <f t="array" aca="1" ref="DB1550" ca="1">IFERROR(INDEX(nombres[],SMALL(IF(OFFSET(nombres[],0,0,ROWS(nombres[]),1)=DB$1490,ROW(OFFSET(nombres[],0,0,ROWS(nombres[]),1))-ROW(OFFSET(nombres[],0,0,1,1))+1,ROW(OFFSET(nombres[],ROWS(nombres[])-1,0,1,1))+1),$O1550:$O1569),3),"")</f>
        <v/>
      </c>
      <c r="DC1550" s="42" t="str">
        <f t="array" aca="1" ref="DC1550" ca="1">IFERROR(INDEX(nombres[],SMALL(IF(OFFSET(nombres[],0,0,ROWS(nombres[]),1)=DC$1490,ROW(OFFSET(nombres[],0,0,ROWS(nombres[]),1))-ROW(OFFSET(nombres[],0,0,1,1))+1,ROW(OFFSET(nombres[],ROWS(nombres[])-1,0,1,1))+1),$O1550:$O1569),3),"")</f>
        <v/>
      </c>
      <c r="DD1550" s="42" t="str">
        <f t="array" aca="1" ref="DD1550" ca="1">IFERROR(INDEX(nombres[],SMALL(IF(OFFSET(nombres[],0,0,ROWS(nombres[]),1)=DD$1490,ROW(OFFSET(nombres[],0,0,ROWS(nombres[]),1))-ROW(OFFSET(nombres[],0,0,1,1))+1,ROW(OFFSET(nombres[],ROWS(nombres[])-1,0,1,1))+1),$O1550:$O1569),3),"")</f>
        <v/>
      </c>
      <c r="DE1550" s="42" t="str">
        <f t="array" aca="1" ref="DE1550" ca="1">IFERROR(INDEX(nombres[],SMALL(IF(OFFSET(nombres[],0,0,ROWS(nombres[]),1)=DE$1490,ROW(OFFSET(nombres[],0,0,ROWS(nombres[]),1))-ROW(OFFSET(nombres[],0,0,1,1))+1,ROW(OFFSET(nombres[],ROWS(nombres[])-1,0,1,1))+1),$O1550:$O1569),3),"")</f>
        <v/>
      </c>
      <c r="DF1550" s="42" t="str">
        <f t="array" aca="1" ref="DF1550" ca="1">IFERROR(INDEX(nombres[],SMALL(IF(OFFSET(nombres[],0,0,ROWS(nombres[]),1)=DF$1490,ROW(OFFSET(nombres[],0,0,ROWS(nombres[]),1))-ROW(OFFSET(nombres[],0,0,1,1))+1,ROW(OFFSET(nombres[],ROWS(nombres[])-1,0,1,1))+1),$O1550:$O1569),3),"")</f>
        <v/>
      </c>
      <c r="DG1550" s="42" t="str">
        <f t="array" aca="1" ref="DG1550" ca="1">IFERROR(INDEX(nombres[],SMALL(IF(OFFSET(nombres[],0,0,ROWS(nombres[]),1)=DG$1490,ROW(OFFSET(nombres[],0,0,ROWS(nombres[]),1))-ROW(OFFSET(nombres[],0,0,1,1))+1,ROW(OFFSET(nombres[],ROWS(nombres[])-1,0,1,1))+1),$O1550:$O1569),3),"")</f>
        <v/>
      </c>
      <c r="DH1550" s="42" t="str">
        <f t="array" aca="1" ref="DH1550" ca="1">IFERROR(INDEX(nombres[],SMALL(IF(OFFSET(nombres[],0,0,ROWS(nombres[]),1)=DH$1490,ROW(OFFSET(nombres[],0,0,ROWS(nombres[]),1))-ROW(OFFSET(nombres[],0,0,1,1))+1,ROW(OFFSET(nombres[],ROWS(nombres[])-1,0,1,1))+1),$O1550:$O1569),3),"")</f>
        <v/>
      </c>
      <c r="DI1550" s="42" t="str">
        <f t="array" aca="1" ref="DI1550" ca="1">IFERROR(INDEX(nombres[],SMALL(IF(OFFSET(nombres[],0,0,ROWS(nombres[]),1)=DI$1490,ROW(OFFSET(nombres[],0,0,ROWS(nombres[]),1))-ROW(OFFSET(nombres[],0,0,1,1))+1,ROW(OFFSET(nombres[],ROWS(nombres[])-1,0,1,1))+1),$O1550:$O1569),3),"")</f>
        <v/>
      </c>
      <c r="DJ1550" s="42" t="str">
        <f t="array" aca="1" ref="DJ1550" ca="1">IFERROR(INDEX(nombres[],SMALL(IF(OFFSET(nombres[],0,0,ROWS(nombres[]),1)=DJ$1490,ROW(OFFSET(nombres[],0,0,ROWS(nombres[]),1))-ROW(OFFSET(nombres[],0,0,1,1))+1,ROW(OFFSET(nombres[],ROWS(nombres[])-1,0,1,1))+1),$O1550:$O1569),3),"")</f>
        <v/>
      </c>
      <c r="DK1550" s="42" t="str">
        <f t="array" aca="1" ref="DK1550" ca="1">IFERROR(INDEX(nombres[],SMALL(IF(OFFSET(nombres[],0,0,ROWS(nombres[]),1)=DK$1490,ROW(OFFSET(nombres[],0,0,ROWS(nombres[]),1))-ROW(OFFSET(nombres[],0,0,1,1))+1,ROW(OFFSET(nombres[],ROWS(nombres[])-1,0,1,1))+1),$O1550:$O1569),3),"")</f>
        <v/>
      </c>
      <c r="DL1550" s="42" t="str">
        <f t="array" aca="1" ref="DL1550" ca="1">IFERROR(INDEX(nombres[],SMALL(IF(OFFSET(nombres[],0,0,ROWS(nombres[]),1)=DL$1490,ROW(OFFSET(nombres[],0,0,ROWS(nombres[]),1))-ROW(OFFSET(nombres[],0,0,1,1))+1,ROW(OFFSET(nombres[],ROWS(nombres[])-1,0,1,1))+1),$O1550:$O1569),3),"")</f>
        <v/>
      </c>
      <c r="DM1550" s="42" t="str">
        <f t="array" aca="1" ref="DM1550" ca="1">IFERROR(INDEX(nombres[],SMALL(IF(OFFSET(nombres[],0,0,ROWS(nombres[]),1)=DM$1490,ROW(OFFSET(nombres[],0,0,ROWS(nombres[]),1))-ROW(OFFSET(nombres[],0,0,1,1))+1,ROW(OFFSET(nombres[],ROWS(nombres[])-1,0,1,1))+1),$O1550:$O1569),3),"")</f>
        <v/>
      </c>
      <c r="DN1550" s="42" t="str">
        <f t="array" aca="1" ref="DN1550" ca="1">IFERROR(INDEX(nombres[],SMALL(IF(OFFSET(nombres[],0,0,ROWS(nombres[]),1)=DN$1490,ROW(OFFSET(nombres[],0,0,ROWS(nombres[]),1))-ROW(OFFSET(nombres[],0,0,1,1))+1,ROW(OFFSET(nombres[],ROWS(nombres[])-1,0,1,1))+1),$O1550:$O1569),3),"")</f>
        <v/>
      </c>
      <c r="DO1550" s="42" t="str">
        <f t="array" aca="1" ref="DO1550" ca="1">IFERROR(INDEX(nombres[],SMALL(IF(OFFSET(nombres[],0,0,ROWS(nombres[]),1)=DO$1490,ROW(OFFSET(nombres[],0,0,ROWS(nombres[]),1))-ROW(OFFSET(nombres[],0,0,1,1))+1,ROW(OFFSET(nombres[],ROWS(nombres[])-1,0,1,1))+1),$O1550:$O1569),3),"")</f>
        <v/>
      </c>
      <c r="DP1550" s="42" t="str">
        <f t="array" aca="1" ref="DP1550" ca="1">IFERROR(INDEX(nombres[],SMALL(IF(OFFSET(nombres[],0,0,ROWS(nombres[]),1)=DP$1490,ROW(OFFSET(nombres[],0,0,ROWS(nombres[]),1))-ROW(OFFSET(nombres[],0,0,1,1))+1,ROW(OFFSET(nombres[],ROWS(nombres[])-1,0,1,1))+1),$O1550:$O1569),3),"")</f>
        <v/>
      </c>
      <c r="DQ1550" s="42" t="str">
        <f t="array" aca="1" ref="DQ1550" ca="1">IFERROR(INDEX(nombres[],SMALL(IF(OFFSET(nombres[],0,0,ROWS(nombres[]),1)=DQ$1490,ROW(OFFSET(nombres[],0,0,ROWS(nombres[]),1))-ROW(OFFSET(nombres[],0,0,1,1))+1,ROW(OFFSET(nombres[],ROWS(nombres[])-1,0,1,1))+1),$O1550:$O1569),3),"")</f>
        <v/>
      </c>
      <c r="DR1550" s="42" t="str">
        <f t="array" aca="1" ref="DR1550" ca="1">IFERROR(INDEX(nombres[],SMALL(IF(OFFSET(nombres[],0,0,ROWS(nombres[]),1)=DR$1490,ROW(OFFSET(nombres[],0,0,ROWS(nombres[]),1))-ROW(OFFSET(nombres[],0,0,1,1))+1,ROW(OFFSET(nombres[],ROWS(nombres[])-1,0,1,1))+1),$O1550:$O1569),3),"")</f>
        <v/>
      </c>
      <c r="DS1550" s="42" t="str">
        <f t="array" aca="1" ref="DS1550" ca="1">IFERROR(INDEX(nombres[],SMALL(IF(OFFSET(nombres[],0,0,ROWS(nombres[]),1)=DS$1490,ROW(OFFSET(nombres[],0,0,ROWS(nombres[]),1))-ROW(OFFSET(nombres[],0,0,1,1))+1,ROW(OFFSET(nombres[],ROWS(nombres[])-1,0,1,1))+1),$O1550:$O1569),3),"")</f>
        <v/>
      </c>
      <c r="DT1550" s="42" t="str">
        <f t="array" aca="1" ref="DT1550" ca="1">IFERROR(INDEX(nombres[],SMALL(IF(OFFSET(nombres[],0,0,ROWS(nombres[]),1)=DT$1490,ROW(OFFSET(nombres[],0,0,ROWS(nombres[]),1))-ROW(OFFSET(nombres[],0,0,1,1))+1,ROW(OFFSET(nombres[],ROWS(nombres[])-1,0,1,1))+1),$O1550:$O1569),3),"")</f>
        <v/>
      </c>
      <c r="DU1550" s="42" t="str">
        <f t="array" aca="1" ref="DU1550" ca="1">IFERROR(INDEX(nombres[],SMALL(IF(OFFSET(nombres[],0,0,ROWS(nombres[]),1)=DU$1490,ROW(OFFSET(nombres[],0,0,ROWS(nombres[]),1))-ROW(OFFSET(nombres[],0,0,1,1))+1,ROW(OFFSET(nombres[],ROWS(nombres[])-1,0,1,1))+1),$O1550:$O1569),3),"")</f>
        <v/>
      </c>
      <c r="DV1550" s="42" t="str">
        <f t="array" aca="1" ref="DV1550" ca="1">IFERROR(INDEX(nombres[],SMALL(IF(OFFSET(nombres[],0,0,ROWS(nombres[]),1)=DV$1490,ROW(OFFSET(nombres[],0,0,ROWS(nombres[]),1))-ROW(OFFSET(nombres[],0,0,1,1))+1,ROW(OFFSET(nombres[],ROWS(nombres[])-1,0,1,1))+1),$O1550:$O1569),3),"")</f>
        <v/>
      </c>
      <c r="DW1550" s="42" t="str">
        <f t="array" aca="1" ref="DW1550" ca="1">IFERROR(INDEX(nombres[],SMALL(IF(OFFSET(nombres[],0,0,ROWS(nombres[]),1)=DW$1490,ROW(OFFSET(nombres[],0,0,ROWS(nombres[]),1))-ROW(OFFSET(nombres[],0,0,1,1))+1,ROW(OFFSET(nombres[],ROWS(nombres[])-1,0,1,1))+1),$O1550:$O1569),3),"")</f>
        <v/>
      </c>
      <c r="DX1550" s="42" t="str">
        <f t="array" aca="1" ref="DX1550" ca="1">IFERROR(INDEX(nombres[],SMALL(IF(OFFSET(nombres[],0,0,ROWS(nombres[]),1)=DX$1490,ROW(OFFSET(nombres[],0,0,ROWS(nombres[]),1))-ROW(OFFSET(nombres[],0,0,1,1))+1,ROW(OFFSET(nombres[],ROWS(nombres[])-1,0,1,1))+1),$O1550:$O1569),3),"")</f>
        <v/>
      </c>
      <c r="DY1550" s="42" t="str">
        <f t="array" aca="1" ref="DY1550" ca="1">IFERROR(INDEX(nombres[],SMALL(IF(OFFSET(nombres[],0,0,ROWS(nombres[]),1)=DY$1490,ROW(OFFSET(nombres[],0,0,ROWS(nombres[]),1))-ROW(OFFSET(nombres[],0,0,1,1))+1,ROW(OFFSET(nombres[],ROWS(nombres[])-1,0,1,1))+1),$O1550:$O1569),3),"")</f>
        <v/>
      </c>
      <c r="DZ1550" s="42" t="str">
        <f t="array" aca="1" ref="DZ1550" ca="1">IFERROR(INDEX(nombres[],SMALL(IF(OFFSET(nombres[],0,0,ROWS(nombres[]),1)=DZ$1490,ROW(OFFSET(nombres[],0,0,ROWS(nombres[]),1))-ROW(OFFSET(nombres[],0,0,1,1))+1,ROW(OFFSET(nombres[],ROWS(nombres[])-1,0,1,1))+1),$O1550:$O1569),3),"")</f>
        <v/>
      </c>
      <c r="EA1550" s="42" t="str">
        <f t="array" aca="1" ref="EA1550" ca="1">IFERROR(INDEX(nombres[],SMALL(IF(OFFSET(nombres[],0,0,ROWS(nombres[]),1)=EA$1490,ROW(OFFSET(nombres[],0,0,ROWS(nombres[]),1))-ROW(OFFSET(nombres[],0,0,1,1))+1,ROW(OFFSET(nombres[],ROWS(nombres[])-1,0,1,1))+1),$O1550:$O1569),3),"")</f>
        <v/>
      </c>
      <c r="EB1550" s="42" t="str">
        <f t="array" aca="1" ref="EB1550" ca="1">IFERROR(INDEX(nombres[],SMALL(IF(OFFSET(nombres[],0,0,ROWS(nombres[]),1)=EB$1490,ROW(OFFSET(nombres[],0,0,ROWS(nombres[]),1))-ROW(OFFSET(nombres[],0,0,1,1))+1,ROW(OFFSET(nombres[],ROWS(nombres[])-1,0,1,1))+1),$O1550:$O1569),3),"")</f>
        <v/>
      </c>
      <c r="EC1550" s="42" t="str">
        <f t="array" aca="1" ref="EC1550" ca="1">IFERROR(INDEX(nombres[],SMALL(IF(OFFSET(nombres[],0,0,ROWS(nombres[]),1)=EC$1490,ROW(OFFSET(nombres[],0,0,ROWS(nombres[]),1))-ROW(OFFSET(nombres[],0,0,1,1))+1,ROW(OFFSET(nombres[],ROWS(nombres[])-1,0,1,1))+1),$O1550:$O1569),3),"")</f>
        <v/>
      </c>
      <c r="ED1550" s="42" t="str">
        <f t="array" aca="1" ref="ED1550" ca="1">IFERROR(INDEX(nombres[],SMALL(IF(OFFSET(nombres[],0,0,ROWS(nombres[]),1)=ED$1490,ROW(OFFSET(nombres[],0,0,ROWS(nombres[]),1))-ROW(OFFSET(nombres[],0,0,1,1))+1,ROW(OFFSET(nombres[],ROWS(nombres[])-1,0,1,1))+1),$O1550:$O1569),3),"")</f>
        <v/>
      </c>
      <c r="EE1550" s="42" t="str">
        <f t="array" aca="1" ref="EE1550" ca="1">IFERROR(INDEX(nombres[],SMALL(IF(OFFSET(nombres[],0,0,ROWS(nombres[]),1)=EE$1490,ROW(OFFSET(nombres[],0,0,ROWS(nombres[]),1))-ROW(OFFSET(nombres[],0,0,1,1))+1,ROW(OFFSET(nombres[],ROWS(nombres[])-1,0,1,1))+1),$O1550:$O1569),3),"")</f>
        <v/>
      </c>
      <c r="EF1550" s="42" t="str">
        <f t="array" aca="1" ref="EF1550" ca="1">IFERROR(INDEX(nombres[],SMALL(IF(OFFSET(nombres[],0,0,ROWS(nombres[]),1)=EF$1490,ROW(OFFSET(nombres[],0,0,ROWS(nombres[]),1))-ROW(OFFSET(nombres[],0,0,1,1))+1,ROW(OFFSET(nombres[],ROWS(nombres[])-1,0,1,1))+1),$O1550:$O1569),3),"")</f>
        <v/>
      </c>
      <c r="EG1550" s="42" t="str">
        <f t="array" aca="1" ref="EG1550" ca="1">IFERROR(INDEX(nombres[],SMALL(IF(OFFSET(nombres[],0,0,ROWS(nombres[]),1)=EG$1490,ROW(OFFSET(nombres[],0,0,ROWS(nombres[]),1))-ROW(OFFSET(nombres[],0,0,1,1))+1,ROW(OFFSET(nombres[],ROWS(nombres[])-1,0,1,1))+1),$O1550:$O1569),3),"")</f>
        <v/>
      </c>
      <c r="EH1550" s="42" t="str">
        <f t="array" aca="1" ref="EH1550" ca="1">IFERROR(INDEX(nombres[],SMALL(IF(OFFSET(nombres[],0,0,ROWS(nombres[]),1)=EH$1490,ROW(OFFSET(nombres[],0,0,ROWS(nombres[]),1))-ROW(OFFSET(nombres[],0,0,1,1))+1,ROW(OFFSET(nombres[],ROWS(nombres[])-1,0,1,1))+1),$O1550:$O1569),3),"")</f>
        <v/>
      </c>
      <c r="EI1550" s="42" t="str">
        <f t="array" aca="1" ref="EI1550" ca="1">IFERROR(INDEX(nombres[],SMALL(IF(OFFSET(nombres[],0,0,ROWS(nombres[]),1)=EI$1490,ROW(OFFSET(nombres[],0,0,ROWS(nombres[]),1))-ROW(OFFSET(nombres[],0,0,1,1))+1,ROW(OFFSET(nombres[],ROWS(nombres[])-1,0,1,1))+1),$O1550:$O1569),3),"")</f>
        <v/>
      </c>
      <c r="EJ1550" s="42" t="str">
        <f t="array" aca="1" ref="EJ1550" ca="1">IFERROR(INDEX(nombres[],SMALL(IF(OFFSET(nombres[],0,0,ROWS(nombres[]),1)=EJ$1490,ROW(OFFSET(nombres[],0,0,ROWS(nombres[]),1))-ROW(OFFSET(nombres[],0,0,1,1))+1,ROW(OFFSET(nombres[],ROWS(nombres[])-1,0,1,1))+1),$O1550:$O1569),3),"")</f>
        <v/>
      </c>
      <c r="EK1550" s="42" t="str">
        <f t="array" aca="1" ref="EK1550" ca="1">IFERROR(INDEX(nombres[],SMALL(IF(OFFSET(nombres[],0,0,ROWS(nombres[]),1)=EK$1490,ROW(OFFSET(nombres[],0,0,ROWS(nombres[]),1))-ROW(OFFSET(nombres[],0,0,1,1))+1,ROW(OFFSET(nombres[],ROWS(nombres[])-1,0,1,1))+1),$O1550:$O1569),3),"")</f>
        <v/>
      </c>
      <c r="EL1550" s="42" t="str">
        <f t="array" aca="1" ref="EL1550" ca="1">IFERROR(INDEX(nombres[],SMALL(IF(OFFSET(nombres[],0,0,ROWS(nombres[]),1)=EL$1490,ROW(OFFSET(nombres[],0,0,ROWS(nombres[]),1))-ROW(OFFSET(nombres[],0,0,1,1))+1,ROW(OFFSET(nombres[],ROWS(nombres[])-1,0,1,1))+1),$O1550:$O1569),3),"")</f>
        <v/>
      </c>
      <c r="EM1550" s="42" t="str">
        <f t="array" aca="1" ref="EM1550" ca="1">IFERROR(INDEX(nombres[],SMALL(IF(OFFSET(nombres[],0,0,ROWS(nombres[]),1)=EM$1490,ROW(OFFSET(nombres[],0,0,ROWS(nombres[]),1))-ROW(OFFSET(nombres[],0,0,1,1))+1,ROW(OFFSET(nombres[],ROWS(nombres[])-1,0,1,1))+1),$O1550:$O1569),3),"")</f>
        <v/>
      </c>
      <c r="EN1550" s="42" t="str">
        <f t="array" aca="1" ref="EN1550" ca="1">IFERROR(INDEX(nombres[],SMALL(IF(OFFSET(nombres[],0,0,ROWS(nombres[]),1)=EN$1490,ROW(OFFSET(nombres[],0,0,ROWS(nombres[]),1))-ROW(OFFSET(nombres[],0,0,1,1))+1,ROW(OFFSET(nombres[],ROWS(nombres[])-1,0,1,1))+1),$O1550:$O1569),3),"")</f>
        <v/>
      </c>
      <c r="EO1550" s="42" t="str">
        <f t="array" aca="1" ref="EO1550" ca="1">IFERROR(INDEX(nombres[],SMALL(IF(OFFSET(nombres[],0,0,ROWS(nombres[]),1)=EO$1490,ROW(OFFSET(nombres[],0,0,ROWS(nombres[]),1))-ROW(OFFSET(nombres[],0,0,1,1))+1,ROW(OFFSET(nombres[],ROWS(nombres[])-1,0,1,1))+1),$O1550:$O1569),3),"")</f>
        <v/>
      </c>
      <c r="EP1550" s="42" t="str">
        <f t="array" aca="1" ref="EP1550" ca="1">IFERROR(INDEX(nombres[],SMALL(IF(OFFSET(nombres[],0,0,ROWS(nombres[]),1)=EP$1490,ROW(OFFSET(nombres[],0,0,ROWS(nombres[]),1))-ROW(OFFSET(nombres[],0,0,1,1))+1,ROW(OFFSET(nombres[],ROWS(nombres[])-1,0,1,1))+1),$O1550:$O1569),3),"")</f>
        <v/>
      </c>
      <c r="EQ1550" s="42" t="str">
        <f t="array" aca="1" ref="EQ1550" ca="1">IFERROR(INDEX(nombres[],SMALL(IF(OFFSET(nombres[],0,0,ROWS(nombres[]),1)=EQ$1490,ROW(OFFSET(nombres[],0,0,ROWS(nombres[]),1))-ROW(OFFSET(nombres[],0,0,1,1))+1,ROW(OFFSET(nombres[],ROWS(nombres[])-1,0,1,1))+1),$O1550:$O1569),3),"")</f>
        <v/>
      </c>
      <c r="ER1550" s="42" t="str">
        <f t="array" aca="1" ref="ER1550" ca="1">IFERROR(INDEX(nombres[],SMALL(IF(OFFSET(nombres[],0,0,ROWS(nombres[]),1)=ER$1490,ROW(OFFSET(nombres[],0,0,ROWS(nombres[]),1))-ROW(OFFSET(nombres[],0,0,1,1))+1,ROW(OFFSET(nombres[],ROWS(nombres[])-1,0,1,1))+1),$O1550:$O1569),3),"")</f>
        <v/>
      </c>
      <c r="ES1550" s="42" t="str">
        <f t="array" aca="1" ref="ES1550" ca="1">IFERROR(INDEX(nombres[],SMALL(IF(OFFSET(nombres[],0,0,ROWS(nombres[]),1)=ES$1490,ROW(OFFSET(nombres[],0,0,ROWS(nombres[]),1))-ROW(OFFSET(nombres[],0,0,1,1))+1,ROW(OFFSET(nombres[],ROWS(nombres[])-1,0,1,1))+1),$O1550:$O1569),3),"")</f>
        <v/>
      </c>
      <c r="ET1550" s="42" t="str">
        <f t="array" aca="1" ref="ET1550" ca="1">IFERROR(INDEX(nombres[],SMALL(IF(OFFSET(nombres[],0,0,ROWS(nombres[]),1)=ET$1490,ROW(OFFSET(nombres[],0,0,ROWS(nombres[]),1))-ROW(OFFSET(nombres[],0,0,1,1))+1,ROW(OFFSET(nombres[],ROWS(nombres[])-1,0,1,1))+1),$O1550:$O1569),3),"")</f>
        <v/>
      </c>
      <c r="EU1550" s="42" t="str">
        <f t="array" aca="1" ref="EU1550" ca="1">IFERROR(INDEX(nombres[],SMALL(IF(OFFSET(nombres[],0,0,ROWS(nombres[]),1)=EU$1490,ROW(OFFSET(nombres[],0,0,ROWS(nombres[]),1))-ROW(OFFSET(nombres[],0,0,1,1))+1,ROW(OFFSET(nombres[],ROWS(nombres[])-1,0,1,1))+1),$O1550:$O1569),3),"")</f>
        <v/>
      </c>
      <c r="EV1550" s="42" t="str">
        <f t="array" aca="1" ref="EV1550" ca="1">IFERROR(INDEX(nombres[],SMALL(IF(OFFSET(nombres[],0,0,ROWS(nombres[]),1)=EV$1490,ROW(OFFSET(nombres[],0,0,ROWS(nombres[]),1))-ROW(OFFSET(nombres[],0,0,1,1))+1,ROW(OFFSET(nombres[],ROWS(nombres[])-1,0,1,1))+1),$O1550:$O1569),3),"")</f>
        <v/>
      </c>
      <c r="EW1550" s="42" t="str">
        <f t="array" aca="1" ref="EW1550" ca="1">IFERROR(INDEX(nombres[],SMALL(IF(OFFSET(nombres[],0,0,ROWS(nombres[]),1)=EW$1490,ROW(OFFSET(nombres[],0,0,ROWS(nombres[]),1))-ROW(OFFSET(nombres[],0,0,1,1))+1,ROW(OFFSET(nombres[],ROWS(nombres[])-1,0,1,1))+1),$O1550:$O1569),3),"")</f>
        <v/>
      </c>
      <c r="EX1550" s="42" t="str">
        <f t="array" aca="1" ref="EX1550" ca="1">IFERROR(INDEX(nombres[],SMALL(IF(OFFSET(nombres[],0,0,ROWS(nombres[]),1)=EX$1490,ROW(OFFSET(nombres[],0,0,ROWS(nombres[]),1))-ROW(OFFSET(nombres[],0,0,1,1))+1,ROW(OFFSET(nombres[],ROWS(nombres[])-1,0,1,1))+1),$O1550:$O1569),3),"")</f>
        <v/>
      </c>
      <c r="EY1550" s="42" t="str">
        <f t="array" aca="1" ref="EY1550" ca="1">IFERROR(INDEX(nombres[],SMALL(IF(OFFSET(nombres[],0,0,ROWS(nombres[]),1)=EY$1490,ROW(OFFSET(nombres[],0,0,ROWS(nombres[]),1))-ROW(OFFSET(nombres[],0,0,1,1))+1,ROW(OFFSET(nombres[],ROWS(nombres[])-1,0,1,1))+1),$O1550:$O1569),3),"")</f>
        <v/>
      </c>
      <c r="EZ1550" s="42" t="str">
        <f t="array" aca="1" ref="EZ1550" ca="1">IFERROR(INDEX(nombres[],SMALL(IF(OFFSET(nombres[],0,0,ROWS(nombres[]),1)=EZ$1490,ROW(OFFSET(nombres[],0,0,ROWS(nombres[]),1))-ROW(OFFSET(nombres[],0,0,1,1))+1,ROW(OFFSET(nombres[],ROWS(nombres[])-1,0,1,1))+1),$O1550:$O1569),3),"")</f>
        <v/>
      </c>
      <c r="FA1550" s="42" t="str">
        <f t="array" aca="1" ref="FA1550" ca="1">IFERROR(INDEX(nombres[],SMALL(IF(OFFSET(nombres[],0,0,ROWS(nombres[]),1)=FA$1490,ROW(OFFSET(nombres[],0,0,ROWS(nombres[]),1))-ROW(OFFSET(nombres[],0,0,1,1))+1,ROW(OFFSET(nombres[],ROWS(nombres[])-1,0,1,1))+1),$O1550:$O1569),3),"")</f>
        <v/>
      </c>
      <c r="FB1550" s="42" t="str">
        <f t="array" aca="1" ref="FB1550" ca="1">IFERROR(INDEX(nombres[],SMALL(IF(OFFSET(nombres[],0,0,ROWS(nombres[]),1)=FB$1490,ROW(OFFSET(nombres[],0,0,ROWS(nombres[]),1))-ROW(OFFSET(nombres[],0,0,1,1))+1,ROW(OFFSET(nombres[],ROWS(nombres[])-1,0,1,1))+1),$O1550:$O1569),3),"")</f>
        <v/>
      </c>
      <c r="FC1550" s="42" t="str">
        <f t="array" aca="1" ref="FC1550" ca="1">IFERROR(INDEX(nombres[],SMALL(IF(OFFSET(nombres[],0,0,ROWS(nombres[]),1)=FC$1490,ROW(OFFSET(nombres[],0,0,ROWS(nombres[]),1))-ROW(OFFSET(nombres[],0,0,1,1))+1,ROW(OFFSET(nombres[],ROWS(nombres[])-1,0,1,1))+1),$O1550:$O1569),3),"")</f>
        <v/>
      </c>
      <c r="FD1550" s="42" t="str">
        <f t="array" aca="1" ref="FD1550" ca="1">IFERROR(INDEX(nombres[],SMALL(IF(OFFSET(nombres[],0,0,ROWS(nombres[]),1)=FD$1490,ROW(OFFSET(nombres[],0,0,ROWS(nombres[]),1))-ROW(OFFSET(nombres[],0,0,1,1))+1,ROW(OFFSET(nombres[],ROWS(nombres[])-1,0,1,1))+1),$O1550:$O1569),3),"")</f>
        <v/>
      </c>
      <c r="FE1550" s="42" t="str">
        <f t="array" aca="1" ref="FE1550" ca="1">IFERROR(INDEX(nombres[],SMALL(IF(OFFSET(nombres[],0,0,ROWS(nombres[]),1)=FE$1490,ROW(OFFSET(nombres[],0,0,ROWS(nombres[]),1))-ROW(OFFSET(nombres[],0,0,1,1))+1,ROW(OFFSET(nombres[],ROWS(nombres[])-1,0,1,1))+1),$O1550:$O1569),3),"")</f>
        <v/>
      </c>
      <c r="FF1550" s="42" t="str">
        <f t="array" aca="1" ref="FF1550" ca="1">IFERROR(INDEX(nombres[],SMALL(IF(OFFSET(nombres[],0,0,ROWS(nombres[]),1)=FF$1490,ROW(OFFSET(nombres[],0,0,ROWS(nombres[]),1))-ROW(OFFSET(nombres[],0,0,1,1))+1,ROW(OFFSET(nombres[],ROWS(nombres[])-1,0,1,1))+1),$O1550:$O1569),3),"")</f>
        <v/>
      </c>
      <c r="FG1550" s="42" t="str">
        <f t="array" aca="1" ref="FG1550" ca="1">IFERROR(INDEX(nombres[],SMALL(IF(OFFSET(nombres[],0,0,ROWS(nombres[]),1)=FG$1490,ROW(OFFSET(nombres[],0,0,ROWS(nombres[]),1))-ROW(OFFSET(nombres[],0,0,1,1))+1,ROW(OFFSET(nombres[],ROWS(nombres[])-1,0,1,1))+1),$O1550:$O1569),3),"")</f>
        <v/>
      </c>
      <c r="FH1550" s="42" t="str">
        <f t="array" aca="1" ref="FH1550" ca="1">IFERROR(INDEX(nombres[],SMALL(IF(OFFSET(nombres[],0,0,ROWS(nombres[]),1)=FH$1490,ROW(OFFSET(nombres[],0,0,ROWS(nombres[]),1))-ROW(OFFSET(nombres[],0,0,1,1))+1,ROW(OFFSET(nombres[],ROWS(nombres[])-1,0,1,1))+1),$O1550:$O1569),3),"")</f>
        <v/>
      </c>
      <c r="FI1550" s="42" t="str">
        <f t="array" aca="1" ref="FI1550" ca="1">IFERROR(INDEX(nombres[],SMALL(IF(OFFSET(nombres[],0,0,ROWS(nombres[]),1)=FI$1490,ROW(OFFSET(nombres[],0,0,ROWS(nombres[]),1))-ROW(OFFSET(nombres[],0,0,1,1))+1,ROW(OFFSET(nombres[],ROWS(nombres[])-1,0,1,1))+1),$O1550:$O1569),3),"")</f>
        <v/>
      </c>
      <c r="FJ1550" s="42" t="str">
        <f t="array" aca="1" ref="FJ1550" ca="1">IFERROR(INDEX(nombres[],SMALL(IF(OFFSET(nombres[],0,0,ROWS(nombres[]),1)=FJ$1490,ROW(OFFSET(nombres[],0,0,ROWS(nombres[]),1))-ROW(OFFSET(nombres[],0,0,1,1))+1,ROW(OFFSET(nombres[],ROWS(nombres[])-1,0,1,1))+1),$O1550:$O1569),3),"")</f>
        <v/>
      </c>
      <c r="FK1550" s="42" t="str">
        <f t="array" aca="1" ref="FK1550" ca="1">IFERROR(INDEX(nombres[],SMALL(IF(OFFSET(nombres[],0,0,ROWS(nombres[]),1)=FK$1490,ROW(OFFSET(nombres[],0,0,ROWS(nombres[]),1))-ROW(OFFSET(nombres[],0,0,1,1))+1,ROW(OFFSET(nombres[],ROWS(nombres[])-1,0,1,1))+1),$O1550:$O1569),3),"")</f>
        <v/>
      </c>
      <c r="FL1550" s="42" t="str">
        <f t="array" aca="1" ref="FL1550" ca="1">IFERROR(INDEX(nombres[],SMALL(IF(OFFSET(nombres[],0,0,ROWS(nombres[]),1)=FL$1490,ROW(OFFSET(nombres[],0,0,ROWS(nombres[]),1))-ROW(OFFSET(nombres[],0,0,1,1))+1,ROW(OFFSET(nombres[],ROWS(nombres[])-1,0,1,1))+1),$O1550:$O1569),3),"")</f>
        <v/>
      </c>
      <c r="FM1550" s="42" t="str">
        <f t="array" aca="1" ref="FM1550" ca="1">IFERROR(INDEX(nombres[],SMALL(IF(OFFSET(nombres[],0,0,ROWS(nombres[]),1)=FM$1490,ROW(OFFSET(nombres[],0,0,ROWS(nombres[]),1))-ROW(OFFSET(nombres[],0,0,1,1))+1,ROW(OFFSET(nombres[],ROWS(nombres[])-1,0,1,1))+1),$O1550:$O1569),3),"")</f>
        <v/>
      </c>
      <c r="FN1550" s="42" t="str">
        <f t="array" aca="1" ref="FN1550" ca="1">IFERROR(INDEX(nombres[],SMALL(IF(OFFSET(nombres[],0,0,ROWS(nombres[]),1)=FN$1490,ROW(OFFSET(nombres[],0,0,ROWS(nombres[]),1))-ROW(OFFSET(nombres[],0,0,1,1))+1,ROW(OFFSET(nombres[],ROWS(nombres[])-1,0,1,1))+1),$O1550:$O1569),3),"")</f>
        <v/>
      </c>
      <c r="FO1550" s="42" t="str">
        <f t="array" aca="1" ref="FO1550" ca="1">IFERROR(INDEX(nombres[],SMALL(IF(OFFSET(nombres[],0,0,ROWS(nombres[]),1)=FO$1490,ROW(OFFSET(nombres[],0,0,ROWS(nombres[]),1))-ROW(OFFSET(nombres[],0,0,1,1))+1,ROW(OFFSET(nombres[],ROWS(nombres[])-1,0,1,1))+1),$O1550:$O1569),3),"")</f>
        <v/>
      </c>
      <c r="FP1550" s="42" t="str">
        <f t="array" aca="1" ref="FP1550" ca="1">IFERROR(INDEX(nombres[],SMALL(IF(OFFSET(nombres[],0,0,ROWS(nombres[]),1)=FP$1490,ROW(OFFSET(nombres[],0,0,ROWS(nombres[]),1))-ROW(OFFSET(nombres[],0,0,1,1))+1,ROW(OFFSET(nombres[],ROWS(nombres[])-1,0,1,1))+1),$O1550:$O1569),3),"")</f>
        <v/>
      </c>
      <c r="FQ1550" s="42" t="str">
        <f t="array" aca="1" ref="FQ1550" ca="1">IFERROR(INDEX(nombres[],SMALL(IF(OFFSET(nombres[],0,0,ROWS(nombres[]),1)=FQ$1490,ROW(OFFSET(nombres[],0,0,ROWS(nombres[]),1))-ROW(OFFSET(nombres[],0,0,1,1))+1,ROW(OFFSET(nombres[],ROWS(nombres[])-1,0,1,1))+1),$O1550:$O1569),3),"")</f>
        <v/>
      </c>
      <c r="FR1550" s="42" t="str">
        <f t="array" aca="1" ref="FR1550" ca="1">IFERROR(INDEX(nombres[],SMALL(IF(OFFSET(nombres[],0,0,ROWS(nombres[]),1)=FR$1490,ROW(OFFSET(nombres[],0,0,ROWS(nombres[]),1))-ROW(OFFSET(nombres[],0,0,1,1))+1,ROW(OFFSET(nombres[],ROWS(nombres[])-1,0,1,1))+1),$O1550:$O1569),3),"")</f>
        <v/>
      </c>
      <c r="FS1550" s="42" t="str">
        <f t="array" aca="1" ref="FS1550" ca="1">IFERROR(INDEX(nombres[],SMALL(IF(OFFSET(nombres[],0,0,ROWS(nombres[]),1)=FS$1490,ROW(OFFSET(nombres[],0,0,ROWS(nombres[]),1))-ROW(OFFSET(nombres[],0,0,1,1))+1,ROW(OFFSET(nombres[],ROWS(nombres[])-1,0,1,1))+1),$O1550:$O1569),3),"")</f>
        <v/>
      </c>
      <c r="FT1550" s="42" t="str">
        <f t="array" aca="1" ref="FT1550" ca="1">IFERROR(INDEX(nombres[],SMALL(IF(OFFSET(nombres[],0,0,ROWS(nombres[]),1)=FT$1490,ROW(OFFSET(nombres[],0,0,ROWS(nombres[]),1))-ROW(OFFSET(nombres[],0,0,1,1))+1,ROW(OFFSET(nombres[],ROWS(nombres[])-1,0,1,1))+1),$O1550:$O1569),3),"")</f>
        <v/>
      </c>
      <c r="FU1550" s="42" t="str">
        <f t="array" aca="1" ref="FU1550" ca="1">IFERROR(INDEX(nombres[],SMALL(IF(OFFSET(nombres[],0,0,ROWS(nombres[]),1)=FU$1490,ROW(OFFSET(nombres[],0,0,ROWS(nombres[]),1))-ROW(OFFSET(nombres[],0,0,1,1))+1,ROW(OFFSET(nombres[],ROWS(nombres[])-1,0,1,1))+1),$O1550:$O1569),3),"")</f>
        <v/>
      </c>
      <c r="FV1550" s="42" t="str">
        <f t="array" aca="1" ref="FV1550" ca="1">IFERROR(INDEX(nombres[],SMALL(IF(OFFSET(nombres[],0,0,ROWS(nombres[]),1)=FV$1490,ROW(OFFSET(nombres[],0,0,ROWS(nombres[]),1))-ROW(OFFSET(nombres[],0,0,1,1))+1,ROW(OFFSET(nombres[],ROWS(nombres[])-1,0,1,1))+1),$O1550:$O1569),3),"")</f>
        <v/>
      </c>
      <c r="FW1550" s="42" t="str">
        <f t="array" aca="1" ref="FW1550" ca="1">IFERROR(INDEX(nombres[],SMALL(IF(OFFSET(nombres[],0,0,ROWS(nombres[]),1)=FW$1490,ROW(OFFSET(nombres[],0,0,ROWS(nombres[]),1))-ROW(OFFSET(nombres[],0,0,1,1))+1,ROW(OFFSET(nombres[],ROWS(nombres[])-1,0,1,1))+1),$O1550:$O1569),3),"")</f>
        <v/>
      </c>
      <c r="FX1550" s="42" t="str">
        <f t="array" aca="1" ref="FX1550" ca="1">IFERROR(INDEX(nombres[],SMALL(IF(OFFSET(nombres[],0,0,ROWS(nombres[]),1)=FX$1490,ROW(OFFSET(nombres[],0,0,ROWS(nombres[]),1))-ROW(OFFSET(nombres[],0,0,1,1))+1,ROW(OFFSET(nombres[],ROWS(nombres[])-1,0,1,1))+1),$O1550:$O1569),3),"")</f>
        <v/>
      </c>
      <c r="FY1550" s="42" t="str">
        <f t="array" aca="1" ref="FY1550" ca="1">IFERROR(INDEX(nombres[],SMALL(IF(OFFSET(nombres[],0,0,ROWS(nombres[]),1)=FY$1490,ROW(OFFSET(nombres[],0,0,ROWS(nombres[]),1))-ROW(OFFSET(nombres[],0,0,1,1))+1,ROW(OFFSET(nombres[],ROWS(nombres[])-1,0,1,1))+1),$O1550:$O1569),3),"")</f>
        <v/>
      </c>
      <c r="FZ1550" s="42" t="str">
        <f t="array" aca="1" ref="FZ1550" ca="1">IFERROR(INDEX(nombres[],SMALL(IF(OFFSET(nombres[],0,0,ROWS(nombres[]),1)=FZ$1490,ROW(OFFSET(nombres[],0,0,ROWS(nombres[]),1))-ROW(OFFSET(nombres[],0,0,1,1))+1,ROW(OFFSET(nombres[],ROWS(nombres[])-1,0,1,1))+1),$O1550:$O1569),3),"")</f>
        <v/>
      </c>
      <c r="GA1550" s="42" t="str">
        <f t="array" aca="1" ref="GA1550" ca="1">IFERROR(INDEX(nombres[],SMALL(IF(OFFSET(nombres[],0,0,ROWS(nombres[]),1)=GA$1490,ROW(OFFSET(nombres[],0,0,ROWS(nombres[]),1))-ROW(OFFSET(nombres[],0,0,1,1))+1,ROW(OFFSET(nombres[],ROWS(nombres[])-1,0,1,1))+1),$O1550:$O1569),3),"")</f>
        <v/>
      </c>
      <c r="GB1550" s="42" t="str">
        <f t="array" aca="1" ref="GB1550" ca="1">IFERROR(INDEX(nombres[],SMALL(IF(OFFSET(nombres[],0,0,ROWS(nombres[]),1)=GB$1490,ROW(OFFSET(nombres[],0,0,ROWS(nombres[]),1))-ROW(OFFSET(nombres[],0,0,1,1))+1,ROW(OFFSET(nombres[],ROWS(nombres[])-1,0,1,1))+1),$O1550:$O1569),3),"")</f>
        <v/>
      </c>
      <c r="GC1550" s="42" t="str">
        <f t="array" aca="1" ref="GC1550" ca="1">IFERROR(INDEX(nombres[],SMALL(IF(OFFSET(nombres[],0,0,ROWS(nombres[]),1)=GC$1490,ROW(OFFSET(nombres[],0,0,ROWS(nombres[]),1))-ROW(OFFSET(nombres[],0,0,1,1))+1,ROW(OFFSET(nombres[],ROWS(nombres[])-1,0,1,1))+1),$O1550:$O1569),3),"")</f>
        <v/>
      </c>
      <c r="GD1550" s="42" t="str">
        <f t="array" aca="1" ref="GD1550" ca="1">IFERROR(INDEX(nombres[],SMALL(IF(OFFSET(nombres[],0,0,ROWS(nombres[]),1)=GD$1490,ROW(OFFSET(nombres[],0,0,ROWS(nombres[]),1))-ROW(OFFSET(nombres[],0,0,1,1))+1,ROW(OFFSET(nombres[],ROWS(nombres[])-1,0,1,1))+1),$O1550:$O1569),3),"")</f>
        <v/>
      </c>
      <c r="GE1550" s="42" t="str">
        <f t="array" aca="1" ref="GE1550" ca="1">IFERROR(INDEX(nombres[],SMALL(IF(OFFSET(nombres[],0,0,ROWS(nombres[]),1)=GE$1490,ROW(OFFSET(nombres[],0,0,ROWS(nombres[]),1))-ROW(OFFSET(nombres[],0,0,1,1))+1,ROW(OFFSET(nombres[],ROWS(nombres[])-1,0,1,1))+1),$O1550:$O1569),3),"")</f>
        <v/>
      </c>
      <c r="GF1550" s="42" t="str">
        <f t="array" aca="1" ref="GF1550" ca="1">IFERROR(INDEX(nombres[],SMALL(IF(OFFSET(nombres[],0,0,ROWS(nombres[]),1)=GF$1490,ROW(OFFSET(nombres[],0,0,ROWS(nombres[]),1))-ROW(OFFSET(nombres[],0,0,1,1))+1,ROW(OFFSET(nombres[],ROWS(nombres[])-1,0,1,1))+1),$O1550:$O1569),3),"")</f>
        <v/>
      </c>
      <c r="GG1550" s="42" t="str">
        <f t="array" aca="1" ref="GG1550" ca="1">IFERROR(INDEX(nombres[],SMALL(IF(OFFSET(nombres[],0,0,ROWS(nombres[]),1)=GG$1490,ROW(OFFSET(nombres[],0,0,ROWS(nombres[]),1))-ROW(OFFSET(nombres[],0,0,1,1))+1,ROW(OFFSET(nombres[],ROWS(nombres[])-1,0,1,1))+1),$O1550:$O1569),3),"")</f>
        <v/>
      </c>
      <c r="GH1550" s="42" t="str">
        <f t="array" aca="1" ref="GH1550" ca="1">IFERROR(INDEX(nombres[],SMALL(IF(OFFSET(nombres[],0,0,ROWS(nombres[]),1)=GH$1490,ROW(OFFSET(nombres[],0,0,ROWS(nombres[]),1))-ROW(OFFSET(nombres[],0,0,1,1))+1,ROW(OFFSET(nombres[],ROWS(nombres[])-1,0,1,1))+1),$O1550:$O1569),3),"")</f>
        <v/>
      </c>
      <c r="GI1550" s="42" t="str">
        <f t="array" aca="1" ref="GI1550" ca="1">IFERROR(INDEX(nombres[],SMALL(IF(OFFSET(nombres[],0,0,ROWS(nombres[]),1)=GI$1490,ROW(OFFSET(nombres[],0,0,ROWS(nombres[]),1))-ROW(OFFSET(nombres[],0,0,1,1))+1,ROW(OFFSET(nombres[],ROWS(nombres[])-1,0,1,1))+1),$O1550:$O1569),3),"")</f>
        <v/>
      </c>
      <c r="GJ1550" s="42" t="str">
        <f t="array" aca="1" ref="GJ1550" ca="1">IFERROR(INDEX(nombres[],SMALL(IF(OFFSET(nombres[],0,0,ROWS(nombres[]),1)=GJ$1490,ROW(OFFSET(nombres[],0,0,ROWS(nombres[]),1))-ROW(OFFSET(nombres[],0,0,1,1))+1,ROW(OFFSET(nombres[],ROWS(nombres[])-1,0,1,1))+1),$O1550:$O1569),3),"")</f>
        <v/>
      </c>
      <c r="GK1550" s="42" t="str">
        <f t="array" aca="1" ref="GK1550" ca="1">IFERROR(INDEX(nombres[],SMALL(IF(OFFSET(nombres[],0,0,ROWS(nombres[]),1)=GK$1490,ROW(OFFSET(nombres[],0,0,ROWS(nombres[]),1))-ROW(OFFSET(nombres[],0,0,1,1))+1,ROW(OFFSET(nombres[],ROWS(nombres[])-1,0,1,1))+1),$O1550:$O1569),3),"")</f>
        <v/>
      </c>
      <c r="GL1550" s="42" t="str">
        <f t="array" aca="1" ref="GL1550" ca="1">IFERROR(INDEX(nombres[],SMALL(IF(OFFSET(nombres[],0,0,ROWS(nombres[]),1)=GL$1490,ROW(OFFSET(nombres[],0,0,ROWS(nombres[]),1))-ROW(OFFSET(nombres[],0,0,1,1))+1,ROW(OFFSET(nombres[],ROWS(nombres[])-1,0,1,1))+1),$O1550:$O1569),3),"")</f>
        <v/>
      </c>
      <c r="GM1550" s="42" t="str">
        <f t="array" aca="1" ref="GM1550" ca="1">IFERROR(INDEX(nombres[],SMALL(IF(OFFSET(nombres[],0,0,ROWS(nombres[]),1)=GM$1490,ROW(OFFSET(nombres[],0,0,ROWS(nombres[]),1))-ROW(OFFSET(nombres[],0,0,1,1))+1,ROW(OFFSET(nombres[],ROWS(nombres[])-1,0,1,1))+1),$O1550:$O1569),3),"")</f>
        <v/>
      </c>
      <c r="GN1550" s="42" t="str">
        <f t="array" aca="1" ref="GN1550" ca="1">IFERROR(INDEX(nombres[],SMALL(IF(OFFSET(nombres[],0,0,ROWS(nombres[]),1)=GN$1490,ROW(OFFSET(nombres[],0,0,ROWS(nombres[]),1))-ROW(OFFSET(nombres[],0,0,1,1))+1,ROW(OFFSET(nombres[],ROWS(nombres[])-1,0,1,1))+1),$O1550:$O1569),3),"")</f>
        <v/>
      </c>
      <c r="GO1550" s="42" t="str">
        <f t="array" aca="1" ref="GO1550" ca="1">IFERROR(INDEX(nombres[],SMALL(IF(OFFSET(nombres[],0,0,ROWS(nombres[]),1)=GO$1490,ROW(OFFSET(nombres[],0,0,ROWS(nombres[]),1))-ROW(OFFSET(nombres[],0,0,1,1))+1,ROW(OFFSET(nombres[],ROWS(nombres[])-1,0,1,1))+1),$O1550:$O1569),3),"")</f>
        <v/>
      </c>
      <c r="GP1550" s="42" t="str">
        <f t="array" aca="1" ref="GP1550" ca="1">IFERROR(INDEX(nombres[],SMALL(IF(OFFSET(nombres[],0,0,ROWS(nombres[]),1)=GP$1490,ROW(OFFSET(nombres[],0,0,ROWS(nombres[]),1))-ROW(OFFSET(nombres[],0,0,1,1))+1,ROW(OFFSET(nombres[],ROWS(nombres[])-1,0,1,1))+1),$O1550:$O1569),3),"")</f>
        <v/>
      </c>
      <c r="GQ1550" s="42" t="str">
        <f t="array" aca="1" ref="GQ1550" ca="1">IFERROR(INDEX(nombres[],SMALL(IF(OFFSET(nombres[],0,0,ROWS(nombres[]),1)=GQ$1490,ROW(OFFSET(nombres[],0,0,ROWS(nombres[]),1))-ROW(OFFSET(nombres[],0,0,1,1))+1,ROW(OFFSET(nombres[],ROWS(nombres[])-1,0,1,1))+1),$O1550:$O1569),3),"")</f>
        <v/>
      </c>
      <c r="GR1550" s="42" t="str">
        <f t="array" aca="1" ref="GR1550" ca="1">IFERROR(INDEX(nombres[],SMALL(IF(OFFSET(nombres[],0,0,ROWS(nombres[]),1)=GR$1490,ROW(OFFSET(nombres[],0,0,ROWS(nombres[]),1))-ROW(OFFSET(nombres[],0,0,1,1))+1,ROW(OFFSET(nombres[],ROWS(nombres[])-1,0,1,1))+1),$O1550:$O1569),3),"")</f>
        <v/>
      </c>
      <c r="GS1550" s="42" t="str">
        <f t="array" aca="1" ref="GS1550" ca="1">IFERROR(INDEX(nombres[],SMALL(IF(OFFSET(nombres[],0,0,ROWS(nombres[]),1)=GS$1490,ROW(OFFSET(nombres[],0,0,ROWS(nombres[]),1))-ROW(OFFSET(nombres[],0,0,1,1))+1,ROW(OFFSET(nombres[],ROWS(nombres[])-1,0,1,1))+1),$O1550:$O1569),3),"")</f>
        <v/>
      </c>
      <c r="GT1550" s="42" t="str">
        <f t="array" aca="1" ref="GT1550" ca="1">IFERROR(INDEX(nombres[],SMALL(IF(OFFSET(nombres[],0,0,ROWS(nombres[]),1)=GT$1490,ROW(OFFSET(nombres[],0,0,ROWS(nombres[]),1))-ROW(OFFSET(nombres[],0,0,1,1))+1,ROW(OFFSET(nombres[],ROWS(nombres[])-1,0,1,1))+1),$O1550:$O1569),3),"")</f>
        <v/>
      </c>
      <c r="GU1550" s="42" t="str">
        <f t="array" aca="1" ref="GU1550" ca="1">IFERROR(INDEX(nombres[],SMALL(IF(OFFSET(nombres[],0,0,ROWS(nombres[]),1)=GU$1490,ROW(OFFSET(nombres[],0,0,ROWS(nombres[]),1))-ROW(OFFSET(nombres[],0,0,1,1))+1,ROW(OFFSET(nombres[],ROWS(nombres[])-1,0,1,1))+1),$O1550:$O1569),3),"")</f>
        <v/>
      </c>
      <c r="GV1550" s="42" t="str">
        <f t="array" aca="1" ref="GV1550" ca="1">IFERROR(INDEX(nombres[],SMALL(IF(OFFSET(nombres[],0,0,ROWS(nombres[]),1)=GV$1490,ROW(OFFSET(nombres[],0,0,ROWS(nombres[]),1))-ROW(OFFSET(nombres[],0,0,1,1))+1,ROW(OFFSET(nombres[],ROWS(nombres[])-1,0,1,1))+1),$O1550:$O1569),3),"")</f>
        <v/>
      </c>
      <c r="GW1550" s="42" t="str">
        <f t="array" aca="1" ref="GW1550" ca="1">IFERROR(INDEX(nombres[],SMALL(IF(OFFSET(nombres[],0,0,ROWS(nombres[]),1)=GW$1490,ROW(OFFSET(nombres[],0,0,ROWS(nombres[]),1))-ROW(OFFSET(nombres[],0,0,1,1))+1,ROW(OFFSET(nombres[],ROWS(nombres[])-1,0,1,1))+1),$O1550:$O1569),3),"")</f>
        <v/>
      </c>
      <c r="GX1550" s="42" t="str">
        <f t="array" aca="1" ref="GX1550" ca="1">IFERROR(INDEX(nombres[],SMALL(IF(OFFSET(nombres[],0,0,ROWS(nombres[]),1)=GX$1490,ROW(OFFSET(nombres[],0,0,ROWS(nombres[]),1))-ROW(OFFSET(nombres[],0,0,1,1))+1,ROW(OFFSET(nombres[],ROWS(nombres[])-1,0,1,1))+1),$O1550:$O1569),3),"")</f>
        <v/>
      </c>
      <c r="GY1550" s="42" t="str">
        <f t="array" aca="1" ref="GY1550" ca="1">IFERROR(INDEX(nombres[],SMALL(IF(OFFSET(nombres[],0,0,ROWS(nombres[]),1)=GY$1490,ROW(OFFSET(nombres[],0,0,ROWS(nombres[]),1))-ROW(OFFSET(nombres[],0,0,1,1))+1,ROW(OFFSET(nombres[],ROWS(nombres[])-1,0,1,1))+1),$O1550:$O1569),3),"")</f>
        <v/>
      </c>
      <c r="GZ1550" s="42" t="str">
        <f t="array" aca="1" ref="GZ1550" ca="1">IFERROR(INDEX(nombres[],SMALL(IF(OFFSET(nombres[],0,0,ROWS(nombres[]),1)=GZ$1490,ROW(OFFSET(nombres[],0,0,ROWS(nombres[]),1))-ROW(OFFSET(nombres[],0,0,1,1))+1,ROW(OFFSET(nombres[],ROWS(nombres[])-1,0,1,1))+1),$O1550:$O1569),3),"")</f>
        <v/>
      </c>
      <c r="HA1550" s="42" t="str">
        <f t="array" aca="1" ref="HA1550" ca="1">IFERROR(INDEX(nombres[],SMALL(IF(OFFSET(nombres[],0,0,ROWS(nombres[]),1)=HA$1490,ROW(OFFSET(nombres[],0,0,ROWS(nombres[]),1))-ROW(OFFSET(nombres[],0,0,1,1))+1,ROW(OFFSET(nombres[],ROWS(nombres[])-1,0,1,1))+1),$O1550:$O1569),3),"")</f>
        <v/>
      </c>
      <c r="HB1550" s="42" t="str">
        <f t="array" aca="1" ref="HB1550" ca="1">IFERROR(INDEX(nombres[],SMALL(IF(OFFSET(nombres[],0,0,ROWS(nombres[]),1)=HB$1490,ROW(OFFSET(nombres[],0,0,ROWS(nombres[]),1))-ROW(OFFSET(nombres[],0,0,1,1))+1,ROW(OFFSET(nombres[],ROWS(nombres[])-1,0,1,1))+1),$O1550:$O1569),3),"")</f>
        <v/>
      </c>
      <c r="HC1550" s="42" t="str">
        <f t="array" aca="1" ref="HC1550" ca="1">IFERROR(INDEX(nombres[],SMALL(IF(OFFSET(nombres[],0,0,ROWS(nombres[]),1)=HC$1490,ROW(OFFSET(nombres[],0,0,ROWS(nombres[]),1))-ROW(OFFSET(nombres[],0,0,1,1))+1,ROW(OFFSET(nombres[],ROWS(nombres[])-1,0,1,1))+1),$O1550:$O1569),3),"")</f>
        <v/>
      </c>
      <c r="HD1550" s="42" t="str">
        <f t="array" aca="1" ref="HD1550" ca="1">IFERROR(INDEX(nombres[],SMALL(IF(OFFSET(nombres[],0,0,ROWS(nombres[]),1)=HD$1490,ROW(OFFSET(nombres[],0,0,ROWS(nombres[]),1))-ROW(OFFSET(nombres[],0,0,1,1))+1,ROW(OFFSET(nombres[],ROWS(nombres[])-1,0,1,1))+1),$O1550:$O1569),3),"")</f>
        <v/>
      </c>
      <c r="HE1550" s="42" t="str">
        <f t="array" aca="1" ref="HE1550" ca="1">IFERROR(INDEX(nombres[],SMALL(IF(OFFSET(nombres[],0,0,ROWS(nombres[]),1)=HE$1490,ROW(OFFSET(nombres[],0,0,ROWS(nombres[]),1))-ROW(OFFSET(nombres[],0,0,1,1))+1,ROW(OFFSET(nombres[],ROWS(nombres[])-1,0,1,1))+1),$O1550:$O1569),3),"")</f>
        <v/>
      </c>
      <c r="HF1550" s="42" t="str">
        <f t="array" aca="1" ref="HF1550" ca="1">IFERROR(INDEX(nombres[],SMALL(IF(OFFSET(nombres[],0,0,ROWS(nombres[]),1)=HF$1490,ROW(OFFSET(nombres[],0,0,ROWS(nombres[]),1))-ROW(OFFSET(nombres[],0,0,1,1))+1,ROW(OFFSET(nombres[],ROWS(nombres[])-1,0,1,1))+1),$O1550:$O1569),3),"")</f>
        <v/>
      </c>
      <c r="HG1550" s="42" t="str">
        <f t="array" aca="1" ref="HG1550" ca="1">IFERROR(INDEX(nombres[],SMALL(IF(OFFSET(nombres[],0,0,ROWS(nombres[]),1)=HG$1490,ROW(OFFSET(nombres[],0,0,ROWS(nombres[]),1))-ROW(OFFSET(nombres[],0,0,1,1))+1,ROW(OFFSET(nombres[],ROWS(nombres[])-1,0,1,1))+1),$O1550:$O1569),3),"")</f>
        <v/>
      </c>
      <c r="HH1550" s="42" t="str">
        <f t="array" aca="1" ref="HH1550" ca="1">IFERROR(INDEX(nombres[],SMALL(IF(OFFSET(nombres[],0,0,ROWS(nombres[]),1)=HH$1490,ROW(OFFSET(nombres[],0,0,ROWS(nombres[]),1))-ROW(OFFSET(nombres[],0,0,1,1))+1,ROW(OFFSET(nombres[],ROWS(nombres[])-1,0,1,1))+1),$O1550:$O1569),3),"")</f>
        <v/>
      </c>
      <c r="HI1550" s="42" t="str">
        <f t="array" aca="1" ref="HI1550" ca="1">IFERROR(INDEX(nombres[],SMALL(IF(OFFSET(nombres[],0,0,ROWS(nombres[]),1)=HI$1490,ROW(OFFSET(nombres[],0,0,ROWS(nombres[]),1))-ROW(OFFSET(nombres[],0,0,1,1))+1,ROW(OFFSET(nombres[],ROWS(nombres[])-1,0,1,1))+1),$O1550:$O1569),3),"")</f>
        <v/>
      </c>
      <c r="HJ1550" s="42" t="str">
        <f t="array" aca="1" ref="HJ1550" ca="1">IFERROR(INDEX(nombres[],SMALL(IF(OFFSET(nombres[],0,0,ROWS(nombres[]),1)=HJ$1490,ROW(OFFSET(nombres[],0,0,ROWS(nombres[]),1))-ROW(OFFSET(nombres[],0,0,1,1))+1,ROW(OFFSET(nombres[],ROWS(nombres[])-1,0,1,1))+1),$O1550:$O1569),3),"")</f>
        <v/>
      </c>
      <c r="HK1550" s="42" t="str">
        <f t="array" aca="1" ref="HK1550" ca="1">IFERROR(INDEX(nombres[],SMALL(IF(OFFSET(nombres[],0,0,ROWS(nombres[]),1)=HK$1490,ROW(OFFSET(nombres[],0,0,ROWS(nombres[]),1))-ROW(OFFSET(nombres[],0,0,1,1))+1,ROW(OFFSET(nombres[],ROWS(nombres[])-1,0,1,1))+1),$O1550:$O1569),3),"")</f>
        <v/>
      </c>
      <c r="HL1550" s="42" t="str">
        <f t="array" aca="1" ref="HL1550" ca="1">IFERROR(INDEX(nombres[],SMALL(IF(OFFSET(nombres[],0,0,ROWS(nombres[]),1)=HL$1490,ROW(OFFSET(nombres[],0,0,ROWS(nombres[]),1))-ROW(OFFSET(nombres[],0,0,1,1))+1,ROW(OFFSET(nombres[],ROWS(nombres[])-1,0,1,1))+1),$O1550:$O1569),3),"")</f>
        <v/>
      </c>
      <c r="HM1550" s="42" t="str">
        <f t="array" aca="1" ref="HM1550" ca="1">IFERROR(INDEX(nombres[],SMALL(IF(OFFSET(nombres[],0,0,ROWS(nombres[]),1)=HM$1490,ROW(OFFSET(nombres[],0,0,ROWS(nombres[]),1))-ROW(OFFSET(nombres[],0,0,1,1))+1,ROW(OFFSET(nombres[],ROWS(nombres[])-1,0,1,1))+1),$O1550:$O1569),3),"")</f>
        <v/>
      </c>
      <c r="HN1550" s="42" t="str">
        <f t="array" aca="1" ref="HN1550" ca="1">IFERROR(INDEX(nombres[],SMALL(IF(OFFSET(nombres[],0,0,ROWS(nombres[]),1)=HN$1490,ROW(OFFSET(nombres[],0,0,ROWS(nombres[]),1))-ROW(OFFSET(nombres[],0,0,1,1))+1,ROW(OFFSET(nombres[],ROWS(nombres[])-1,0,1,1))+1),$O1550:$O1569),3),"")</f>
        <v/>
      </c>
      <c r="HO1550" s="42" t="str">
        <f t="array" aca="1" ref="HO1550" ca="1">IFERROR(INDEX(nombres[],SMALL(IF(OFFSET(nombres[],0,0,ROWS(nombres[]),1)=HO$1490,ROW(OFFSET(nombres[],0,0,ROWS(nombres[]),1))-ROW(OFFSET(nombres[],0,0,1,1))+1,ROW(OFFSET(nombres[],ROWS(nombres[])-1,0,1,1))+1),$O1550:$O1569),3),"")</f>
        <v/>
      </c>
      <c r="HP1550" s="42" t="str">
        <f t="array" aca="1" ref="HP1550" ca="1">IFERROR(INDEX(nombres[],SMALL(IF(OFFSET(nombres[],0,0,ROWS(nombres[]),1)=HP$1490,ROW(OFFSET(nombres[],0,0,ROWS(nombres[]),1))-ROW(OFFSET(nombres[],0,0,1,1))+1,ROW(OFFSET(nombres[],ROWS(nombres[])-1,0,1,1))+1),$O1550:$O1569),3),"")</f>
        <v/>
      </c>
      <c r="HQ1550" s="42" t="str">
        <f t="array" aca="1" ref="HQ1550" ca="1">IFERROR(INDEX(nombres[],SMALL(IF(OFFSET(nombres[],0,0,ROWS(nombres[]),1)=HQ$1490,ROW(OFFSET(nombres[],0,0,ROWS(nombres[]),1))-ROW(OFFSET(nombres[],0,0,1,1))+1,ROW(OFFSET(nombres[],ROWS(nombres[])-1,0,1,1))+1),$O1550:$O1569),3),"")</f>
        <v/>
      </c>
      <c r="HR1550" s="42" t="str">
        <f t="array" aca="1" ref="HR1550" ca="1">IFERROR(INDEX(nombres[],SMALL(IF(OFFSET(nombres[],0,0,ROWS(nombres[]),1)=HR$1490,ROW(OFFSET(nombres[],0,0,ROWS(nombres[]),1))-ROW(OFFSET(nombres[],0,0,1,1))+1,ROW(OFFSET(nombres[],ROWS(nombres[])-1,0,1,1))+1),$O1550:$O1569),3),"")</f>
        <v/>
      </c>
      <c r="HS1550" s="42" t="str">
        <f t="array" aca="1" ref="HS1550" ca="1">IFERROR(INDEX(nombres[],SMALL(IF(OFFSET(nombres[],0,0,ROWS(nombres[]),1)=HS$1490,ROW(OFFSET(nombres[],0,0,ROWS(nombres[]),1))-ROW(OFFSET(nombres[],0,0,1,1))+1,ROW(OFFSET(nombres[],ROWS(nombres[])-1,0,1,1))+1),$O1550:$O1569),3),"")</f>
        <v/>
      </c>
      <c r="HT1550" s="42" t="str">
        <f t="array" aca="1" ref="HT1550" ca="1">IFERROR(INDEX(nombres[],SMALL(IF(OFFSET(nombres[],0,0,ROWS(nombres[]),1)=HT$1490,ROW(OFFSET(nombres[],0,0,ROWS(nombres[]),1))-ROW(OFFSET(nombres[],0,0,1,1))+1,ROW(OFFSET(nombres[],ROWS(nombres[])-1,0,1,1))+1),$O1550:$O1569),3),"")</f>
        <v/>
      </c>
      <c r="HU1550" s="42" t="str">
        <f t="array" aca="1" ref="HU1550" ca="1">IFERROR(INDEX(nombres[],SMALL(IF(OFFSET(nombres[],0,0,ROWS(nombres[]),1)=HU$1490,ROW(OFFSET(nombres[],0,0,ROWS(nombres[]),1))-ROW(OFFSET(nombres[],0,0,1,1))+1,ROW(OFFSET(nombres[],ROWS(nombres[])-1,0,1,1))+1),$O1550:$O1569),3),"")</f>
        <v/>
      </c>
      <c r="HV1550" s="42" t="str">
        <f t="array" aca="1" ref="HV1550" ca="1">IFERROR(INDEX(nombres[],SMALL(IF(OFFSET(nombres[],0,0,ROWS(nombres[]),1)=HV$1490,ROW(OFFSET(nombres[],0,0,ROWS(nombres[]),1))-ROW(OFFSET(nombres[],0,0,1,1))+1,ROW(OFFSET(nombres[],ROWS(nombres[])-1,0,1,1))+1),$O1550:$O1569),3),"")</f>
        <v/>
      </c>
      <c r="HW1550" s="42" t="str">
        <f t="array" aca="1" ref="HW1550" ca="1">IFERROR(INDEX(nombres[],SMALL(IF(OFFSET(nombres[],0,0,ROWS(nombres[]),1)=HW$1490,ROW(OFFSET(nombres[],0,0,ROWS(nombres[]),1))-ROW(OFFSET(nombres[],0,0,1,1))+1,ROW(OFFSET(nombres[],ROWS(nombres[])-1,0,1,1))+1),$O1550:$O1569),3),"")</f>
        <v/>
      </c>
      <c r="HX1550" s="42" t="str">
        <f t="array" aca="1" ref="HX1550" ca="1">IFERROR(INDEX(nombres[],SMALL(IF(OFFSET(nombres[],0,0,ROWS(nombres[]),1)=HX$1490,ROW(OFFSET(nombres[],0,0,ROWS(nombres[]),1))-ROW(OFFSET(nombres[],0,0,1,1))+1,ROW(OFFSET(nombres[],ROWS(nombres[])-1,0,1,1))+1),$O1550:$O1569),3),"")</f>
        <v/>
      </c>
      <c r="HY1550" s="42" t="str">
        <f t="array" aca="1" ref="HY1550" ca="1">IFERROR(INDEX(nombres[],SMALL(IF(OFFSET(nombres[],0,0,ROWS(nombres[]),1)=HY$1490,ROW(OFFSET(nombres[],0,0,ROWS(nombres[]),1))-ROW(OFFSET(nombres[],0,0,1,1))+1,ROW(OFFSET(nombres[],ROWS(nombres[])-1,0,1,1))+1),$O1550:$O1569),3),"")</f>
        <v/>
      </c>
      <c r="HZ1550" s="42" t="str">
        <f t="array" aca="1" ref="HZ1550" ca="1">IFERROR(INDEX(nombres[],SMALL(IF(OFFSET(nombres[],0,0,ROWS(nombres[]),1)=HZ$1490,ROW(OFFSET(nombres[],0,0,ROWS(nombres[]),1))-ROW(OFFSET(nombres[],0,0,1,1))+1,ROW(OFFSET(nombres[],ROWS(nombres[])-1,0,1,1))+1),$O1550:$O1569),3),"")</f>
        <v/>
      </c>
      <c r="IA1550" s="42" t="str">
        <f t="array" aca="1" ref="IA1550" ca="1">IFERROR(INDEX(nombres[],SMALL(IF(OFFSET(nombres[],0,0,ROWS(nombres[]),1)=IA$1490,ROW(OFFSET(nombres[],0,0,ROWS(nombres[]),1))-ROW(OFFSET(nombres[],0,0,1,1))+1,ROW(OFFSET(nombres[],ROWS(nombres[])-1,0,1,1))+1),$O1550:$O1569),3),"")</f>
        <v/>
      </c>
      <c r="IB1550" s="42" t="str">
        <f t="array" aca="1" ref="IB1550" ca="1">IFERROR(INDEX(nombres[],SMALL(IF(OFFSET(nombres[],0,0,ROWS(nombres[]),1)=IB$1490,ROW(OFFSET(nombres[],0,0,ROWS(nombres[]),1))-ROW(OFFSET(nombres[],0,0,1,1))+1,ROW(OFFSET(nombres[],ROWS(nombres[])-1,0,1,1))+1),$O1550:$O1569),3),"")</f>
        <v/>
      </c>
      <c r="IC1550" s="42" t="str">
        <f t="array" aca="1" ref="IC1550" ca="1">IFERROR(INDEX(nombres[],SMALL(IF(OFFSET(nombres[],0,0,ROWS(nombres[]),1)=IC$1490,ROW(OFFSET(nombres[],0,0,ROWS(nombres[]),1))-ROW(OFFSET(nombres[],0,0,1,1))+1,ROW(OFFSET(nombres[],ROWS(nombres[])-1,0,1,1))+1),$O1550:$O1569),3),"")</f>
        <v/>
      </c>
      <c r="ID1550" s="42" t="str">
        <f t="array" aca="1" ref="ID1550" ca="1">IFERROR(INDEX(nombres[],SMALL(IF(OFFSET(nombres[],0,0,ROWS(nombres[]),1)=ID$1490,ROW(OFFSET(nombres[],0,0,ROWS(nombres[]),1))-ROW(OFFSET(nombres[],0,0,1,1))+1,ROW(OFFSET(nombres[],ROWS(nombres[])-1,0,1,1))+1),$O1550:$O1569),3),"")</f>
        <v/>
      </c>
      <c r="IE1550" s="42" t="str">
        <f t="array" aca="1" ref="IE1550" ca="1">IFERROR(INDEX(nombres[],SMALL(IF(OFFSET(nombres[],0,0,ROWS(nombres[]),1)=IE$1490,ROW(OFFSET(nombres[],0,0,ROWS(nombres[]),1))-ROW(OFFSET(nombres[],0,0,1,1))+1,ROW(OFFSET(nombres[],ROWS(nombres[])-1,0,1,1))+1),$O1550:$O1569),3),"")</f>
        <v/>
      </c>
      <c r="IF1550" s="42" t="str">
        <f t="array" aca="1" ref="IF1550" ca="1">IFERROR(INDEX(nombres[],SMALL(IF(OFFSET(nombres[],0,0,ROWS(nombres[]),1)=IF$1490,ROW(OFFSET(nombres[],0,0,ROWS(nombres[]),1))-ROW(OFFSET(nombres[],0,0,1,1))+1,ROW(OFFSET(nombres[],ROWS(nombres[])-1,0,1,1))+1),$O1550:$O1569),3),"")</f>
        <v/>
      </c>
      <c r="IG1550" s="42" t="str">
        <f t="array" aca="1" ref="IG1550" ca="1">IFERROR(INDEX(nombres[],SMALL(IF(OFFSET(nombres[],0,0,ROWS(nombres[]),1)=IG$1490,ROW(OFFSET(nombres[],0,0,ROWS(nombres[]),1))-ROW(OFFSET(nombres[],0,0,1,1))+1,ROW(OFFSET(nombres[],ROWS(nombres[])-1,0,1,1))+1),$O1550:$O1569),3),"")</f>
        <v/>
      </c>
      <c r="IH1550" s="42" t="str">
        <f t="array" aca="1" ref="IH1550" ca="1">IFERROR(INDEX(nombres[],SMALL(IF(OFFSET(nombres[],0,0,ROWS(nombres[]),1)=IH$1490,ROW(OFFSET(nombres[],0,0,ROWS(nombres[]),1))-ROW(OFFSET(nombres[],0,0,1,1))+1,ROW(OFFSET(nombres[],ROWS(nombres[])-1,0,1,1))+1),$O1550:$O1569),3),"")</f>
        <v/>
      </c>
      <c r="II1550" s="42" t="str">
        <f t="array" aca="1" ref="II1550" ca="1">IFERROR(INDEX(nombres[],SMALL(IF(OFFSET(nombres[],0,0,ROWS(nombres[]),1)=II$1490,ROW(OFFSET(nombres[],0,0,ROWS(nombres[]),1))-ROW(OFFSET(nombres[],0,0,1,1))+1,ROW(OFFSET(nombres[],ROWS(nombres[])-1,0,1,1))+1),$O1550:$O1569),3),"")</f>
        <v/>
      </c>
      <c r="IJ1550" s="42" t="str">
        <f t="array" aca="1" ref="IJ1550" ca="1">IFERROR(INDEX(nombres[],SMALL(IF(OFFSET(nombres[],0,0,ROWS(nombres[]),1)=IJ$1490,ROW(OFFSET(nombres[],0,0,ROWS(nombres[]),1))-ROW(OFFSET(nombres[],0,0,1,1))+1,ROW(OFFSET(nombres[],ROWS(nombres[])-1,0,1,1))+1),$O1550:$O1569),3),"")</f>
        <v/>
      </c>
      <c r="IK1550" s="42" t="str">
        <f t="array" aca="1" ref="IK1550" ca="1">IFERROR(INDEX(nombres[],SMALL(IF(OFFSET(nombres[],0,0,ROWS(nombres[]),1)=IK$1490,ROW(OFFSET(nombres[],0,0,ROWS(nombres[]),1))-ROW(OFFSET(nombres[],0,0,1,1))+1,ROW(OFFSET(nombres[],ROWS(nombres[])-1,0,1,1))+1),$O1550:$O1569),3),"")</f>
        <v/>
      </c>
      <c r="IL1550" s="42" t="str">
        <f t="array" aca="1" ref="IL1550" ca="1">IFERROR(INDEX(nombres[],SMALL(IF(OFFSET(nombres[],0,0,ROWS(nombres[]),1)=IL$1490,ROW(OFFSET(nombres[],0,0,ROWS(nombres[]),1))-ROW(OFFSET(nombres[],0,0,1,1))+1,ROW(OFFSET(nombres[],ROWS(nombres[])-1,0,1,1))+1),$O1550:$O1569),3),"")</f>
        <v/>
      </c>
      <c r="IM1550" s="42" t="str">
        <f t="array" aca="1" ref="IM1550" ca="1">IFERROR(INDEX(nombres[],SMALL(IF(OFFSET(nombres[],0,0,ROWS(nombres[]),1)=IM$1490,ROW(OFFSET(nombres[],0,0,ROWS(nombres[]),1))-ROW(OFFSET(nombres[],0,0,1,1))+1,ROW(OFFSET(nombres[],ROWS(nombres[])-1,0,1,1))+1),$O1550:$O1569),3),"")</f>
        <v/>
      </c>
      <c r="IN1550" s="42" t="str">
        <f t="array" aca="1" ref="IN1550" ca="1">IFERROR(INDEX(nombres[],SMALL(IF(OFFSET(nombres[],0,0,ROWS(nombres[]),1)=IN$1490,ROW(OFFSET(nombres[],0,0,ROWS(nombres[]),1))-ROW(OFFSET(nombres[],0,0,1,1))+1,ROW(OFFSET(nombres[],ROWS(nombres[])-1,0,1,1))+1),$O1550:$O1569),3),"")</f>
        <v/>
      </c>
      <c r="IO1550" s="42" t="str">
        <f t="array" aca="1" ref="IO1550" ca="1">IFERROR(INDEX(nombres[],SMALL(IF(OFFSET(nombres[],0,0,ROWS(nombres[]),1)=IO$1490,ROW(OFFSET(nombres[],0,0,ROWS(nombres[]),1))-ROW(OFFSET(nombres[],0,0,1,1))+1,ROW(OFFSET(nombres[],ROWS(nombres[])-1,0,1,1))+1),$O1550:$O1569),3),"")</f>
        <v/>
      </c>
      <c r="IP1550" s="42" t="str">
        <f t="array" aca="1" ref="IP1550" ca="1">IFERROR(INDEX(nombres[],SMALL(IF(OFFSET(nombres[],0,0,ROWS(nombres[]),1)=IP$1490,ROW(OFFSET(nombres[],0,0,ROWS(nombres[]),1))-ROW(OFFSET(nombres[],0,0,1,1))+1,ROW(OFFSET(nombres[],ROWS(nombres[])-1,0,1,1))+1),$O1550:$O1569),3),"")</f>
        <v/>
      </c>
      <c r="IQ1550" s="42" t="str">
        <f t="array" aca="1" ref="IQ1550" ca="1">IFERROR(INDEX(nombres[],SMALL(IF(OFFSET(nombres[],0,0,ROWS(nombres[]),1)=IQ$1490,ROW(OFFSET(nombres[],0,0,ROWS(nombres[]),1))-ROW(OFFSET(nombres[],0,0,1,1))+1,ROW(OFFSET(nombres[],ROWS(nombres[])-1,0,1,1))+1),$O1550:$O1569),3),"")</f>
        <v/>
      </c>
      <c r="IR1550" s="42" t="str">
        <f t="array" aca="1" ref="IR1550" ca="1">IFERROR(INDEX(nombres[],SMALL(IF(OFFSET(nombres[],0,0,ROWS(nombres[]),1)=IR$1490,ROW(OFFSET(nombres[],0,0,ROWS(nombres[]),1))-ROW(OFFSET(nombres[],0,0,1,1))+1,ROW(OFFSET(nombres[],ROWS(nombres[])-1,0,1,1))+1),$O1550:$O1569),3),"")</f>
        <v/>
      </c>
      <c r="IS1550" s="42" t="str">
        <f t="array" aca="1" ref="IS1550" ca="1">IFERROR(INDEX(nombres[],SMALL(IF(OFFSET(nombres[],0,0,ROWS(nombres[]),1)=IS$1490,ROW(OFFSET(nombres[],0,0,ROWS(nombres[]),1))-ROW(OFFSET(nombres[],0,0,1,1))+1,ROW(OFFSET(nombres[],ROWS(nombres[])-1,0,1,1))+1),$O1550:$O1569),3),"")</f>
        <v/>
      </c>
      <c r="IT1550" s="42" t="str">
        <f t="array" aca="1" ref="IT1550" ca="1">IFERROR(INDEX(nombres[],SMALL(IF(OFFSET(nombres[],0,0,ROWS(nombres[]),1)=IT$1490,ROW(OFFSET(nombres[],0,0,ROWS(nombres[]),1))-ROW(OFFSET(nombres[],0,0,1,1))+1,ROW(OFFSET(nombres[],ROWS(nombres[])-1,0,1,1))+1),$O1550:$O1569),3),"")</f>
        <v/>
      </c>
      <c r="IU1550" s="42" t="str">
        <f t="array" aca="1" ref="IU1550" ca="1">IFERROR(INDEX(nombres[],SMALL(IF(OFFSET(nombres[],0,0,ROWS(nombres[]),1)=IU$1490,ROW(OFFSET(nombres[],0,0,ROWS(nombres[]),1))-ROW(OFFSET(nombres[],0,0,1,1))+1,ROW(OFFSET(nombres[],ROWS(nombres[])-1,0,1,1))+1),$O1550:$O1569),3),"")</f>
        <v/>
      </c>
      <c r="IV1550" s="42" t="str">
        <f t="array" aca="1" ref="IV1550" ca="1">IFERROR(INDEX(nombres[],SMALL(IF(OFFSET(nombres[],0,0,ROWS(nombres[]),1)=IV$1490,ROW(OFFSET(nombres[],0,0,ROWS(nombres[]),1))-ROW(OFFSET(nombres[],0,0,1,1))+1,ROW(OFFSET(nombres[],ROWS(nombres[])-1,0,1,1))+1),$O1550:$O1569),3),"")</f>
        <v/>
      </c>
      <c r="IW1550" s="42" t="str">
        <f t="array" aca="1" ref="IW1550" ca="1">IFERROR(INDEX(nombres[],SMALL(IF(OFFSET(nombres[],0,0,ROWS(nombres[]),1)=IW$1490,ROW(OFFSET(nombres[],0,0,ROWS(nombres[]),1))-ROW(OFFSET(nombres[],0,0,1,1))+1,ROW(OFFSET(nombres[],ROWS(nombres[])-1,0,1,1))+1),$O1550:$O1569),3),"")</f>
        <v/>
      </c>
      <c r="IX1550" s="42" t="str">
        <f t="array" aca="1" ref="IX1550" ca="1">IFERROR(INDEX(nombres[],SMALL(IF(OFFSET(nombres[],0,0,ROWS(nombres[]),1)=IX$1490,ROW(OFFSET(nombres[],0,0,ROWS(nombres[]),1))-ROW(OFFSET(nombres[],0,0,1,1))+1,ROW(OFFSET(nombres[],ROWS(nombres[])-1,0,1,1))+1),$O1550:$O1569),3),"")</f>
        <v/>
      </c>
      <c r="IY1550" s="42" t="str">
        <f t="array" aca="1" ref="IY1550" ca="1">IFERROR(INDEX(nombres[],SMALL(IF(OFFSET(nombres[],0,0,ROWS(nombres[]),1)=IY$1490,ROW(OFFSET(nombres[],0,0,ROWS(nombres[]),1))-ROW(OFFSET(nombres[],0,0,1,1))+1,ROW(OFFSET(nombres[],ROWS(nombres[])-1,0,1,1))+1),$O1550:$O1569),3),"")</f>
        <v/>
      </c>
      <c r="IZ1550" s="42" t="str">
        <f t="array" aca="1" ref="IZ1550" ca="1">IFERROR(INDEX(nombres[],SMALL(IF(OFFSET(nombres[],0,0,ROWS(nombres[]),1)=IZ$1490,ROW(OFFSET(nombres[],0,0,ROWS(nombres[]),1))-ROW(OFFSET(nombres[],0,0,1,1))+1,ROW(OFFSET(nombres[],ROWS(nombres[])-1,0,1,1))+1),$O1550:$O1569),3),"")</f>
        <v/>
      </c>
      <c r="JA1550" s="42" t="str">
        <f t="array" aca="1" ref="JA1550" ca="1">IFERROR(INDEX(nombres[],SMALL(IF(OFFSET(nombres[],0,0,ROWS(nombres[]),1)=JA$1490,ROW(OFFSET(nombres[],0,0,ROWS(nombres[]),1))-ROW(OFFSET(nombres[],0,0,1,1))+1,ROW(OFFSET(nombres[],ROWS(nombres[])-1,0,1,1))+1),$O1550:$O1569),3),"")</f>
        <v/>
      </c>
      <c r="JB1550" s="42" t="str">
        <f t="array" aca="1" ref="JB1550" ca="1">IFERROR(INDEX(nombres[],SMALL(IF(OFFSET(nombres[],0,0,ROWS(nombres[]),1)=JB$1490,ROW(OFFSET(nombres[],0,0,ROWS(nombres[]),1))-ROW(OFFSET(nombres[],0,0,1,1))+1,ROW(OFFSET(nombres[],ROWS(nombres[])-1,0,1,1))+1),$O1550:$O1569),3),"")</f>
        <v/>
      </c>
      <c r="JC1550" s="42" t="str">
        <f t="array" aca="1" ref="JC1550" ca="1">IFERROR(INDEX(nombres[],SMALL(IF(OFFSET(nombres[],0,0,ROWS(nombres[]),1)=JC$1490,ROW(OFFSET(nombres[],0,0,ROWS(nombres[]),1))-ROW(OFFSET(nombres[],0,0,1,1))+1,ROW(OFFSET(nombres[],ROWS(nombres[])-1,0,1,1))+1),$O1550:$O1569),3),"")</f>
        <v/>
      </c>
      <c r="JD1550" s="42" t="str">
        <f t="array" aca="1" ref="JD1550" ca="1">IFERROR(INDEX(nombres[],SMALL(IF(OFFSET(nombres[],0,0,ROWS(nombres[]),1)=JD$1490,ROW(OFFSET(nombres[],0,0,ROWS(nombres[]),1))-ROW(OFFSET(nombres[],0,0,1,1))+1,ROW(OFFSET(nombres[],ROWS(nombres[])-1,0,1,1))+1),$O1550:$O1569),3),"")</f>
        <v/>
      </c>
      <c r="JE1550" s="42" t="str">
        <f t="array" aca="1" ref="JE1550" ca="1">IFERROR(INDEX(nombres[],SMALL(IF(OFFSET(nombres[],0,0,ROWS(nombres[]),1)=JE$1490,ROW(OFFSET(nombres[],0,0,ROWS(nombres[]),1))-ROW(OFFSET(nombres[],0,0,1,1))+1,ROW(OFFSET(nombres[],ROWS(nombres[])-1,0,1,1))+1),$O1550:$O1569),3),"")</f>
        <v/>
      </c>
      <c r="JF1550" s="42" t="str">
        <f t="array" aca="1" ref="JF1550" ca="1">IFERROR(INDEX(nombres[],SMALL(IF(OFFSET(nombres[],0,0,ROWS(nombres[]),1)=JF$1490,ROW(OFFSET(nombres[],0,0,ROWS(nombres[]),1))-ROW(OFFSET(nombres[],0,0,1,1))+1,ROW(OFFSET(nombres[],ROWS(nombres[])-1,0,1,1))+1),$O1550:$O1569),3),"")</f>
        <v/>
      </c>
      <c r="JG1550" s="42" t="str">
        <f t="array" aca="1" ref="JG1550" ca="1">IFERROR(INDEX(nombres[],SMALL(IF(OFFSET(nombres[],0,0,ROWS(nombres[]),1)=JG$1490,ROW(OFFSET(nombres[],0,0,ROWS(nombres[]),1))-ROW(OFFSET(nombres[],0,0,1,1))+1,ROW(OFFSET(nombres[],ROWS(nombres[])-1,0,1,1))+1),$O1550:$O1569),3),"")</f>
        <v/>
      </c>
      <c r="JH1550" s="42" t="str">
        <f t="array" aca="1" ref="JH1550" ca="1">IFERROR(INDEX(nombres[],SMALL(IF(OFFSET(nombres[],0,0,ROWS(nombres[]),1)=JH$1490,ROW(OFFSET(nombres[],0,0,ROWS(nombres[]),1))-ROW(OFFSET(nombres[],0,0,1,1))+1,ROW(OFFSET(nombres[],ROWS(nombres[])-1,0,1,1))+1),$O1550:$O1569),3),"")</f>
        <v/>
      </c>
      <c r="JI1550" s="42" t="str">
        <f t="array" aca="1" ref="JI1550" ca="1">IFERROR(INDEX(nombres[],SMALL(IF(OFFSET(nombres[],0,0,ROWS(nombres[]),1)=JI$1490,ROW(OFFSET(nombres[],0,0,ROWS(nombres[]),1))-ROW(OFFSET(nombres[],0,0,1,1))+1,ROW(OFFSET(nombres[],ROWS(nombres[])-1,0,1,1))+1),$O1550:$O1569),3),"")</f>
        <v/>
      </c>
      <c r="JJ1550" s="42" t="str">
        <f t="array" aca="1" ref="JJ1550" ca="1">IFERROR(INDEX(nombres[],SMALL(IF(OFFSET(nombres[],0,0,ROWS(nombres[]),1)=JJ$1490,ROW(OFFSET(nombres[],0,0,ROWS(nombres[]),1))-ROW(OFFSET(nombres[],0,0,1,1))+1,ROW(OFFSET(nombres[],ROWS(nombres[])-1,0,1,1))+1),$O1550:$O1569),3),"")</f>
        <v/>
      </c>
      <c r="JK1550" s="42" t="str">
        <f t="array" aca="1" ref="JK1550" ca="1">IFERROR(INDEX(nombres[],SMALL(IF(OFFSET(nombres[],0,0,ROWS(nombres[]),1)=JK$1490,ROW(OFFSET(nombres[],0,0,ROWS(nombres[]),1))-ROW(OFFSET(nombres[],0,0,1,1))+1,ROW(OFFSET(nombres[],ROWS(nombres[])-1,0,1,1))+1),$O1550:$O1569),3),"")</f>
        <v/>
      </c>
      <c r="JL1550" s="42" t="str">
        <f t="array" aca="1" ref="JL1550" ca="1">IFERROR(INDEX(nombres[],SMALL(IF(OFFSET(nombres[],0,0,ROWS(nombres[]),1)=JL$1490,ROW(OFFSET(nombres[],0,0,ROWS(nombres[]),1))-ROW(OFFSET(nombres[],0,0,1,1))+1,ROW(OFFSET(nombres[],ROWS(nombres[])-1,0,1,1))+1),$O1550:$O1569),3),"")</f>
        <v/>
      </c>
      <c r="JM1550" s="42" t="str">
        <f t="array" aca="1" ref="JM1550" ca="1">IFERROR(INDEX(nombres[],SMALL(IF(OFFSET(nombres[],0,0,ROWS(nombres[]),1)=JM$1490,ROW(OFFSET(nombres[],0,0,ROWS(nombres[]),1))-ROW(OFFSET(nombres[],0,0,1,1))+1,ROW(OFFSET(nombres[],ROWS(nombres[])-1,0,1,1))+1),$O1550:$O1569),3),"")</f>
        <v/>
      </c>
      <c r="JN1550" s="42" t="str">
        <f t="array" aca="1" ref="JN1550" ca="1">IFERROR(INDEX(nombres[],SMALL(IF(OFFSET(nombres[],0,0,ROWS(nombres[]),1)=JN$1490,ROW(OFFSET(nombres[],0,0,ROWS(nombres[]),1))-ROW(OFFSET(nombres[],0,0,1,1))+1,ROW(OFFSET(nombres[],ROWS(nombres[])-1,0,1,1))+1),$O1550:$O1569),3),"")</f>
        <v/>
      </c>
      <c r="JO1550" s="42" t="str">
        <f t="array" aca="1" ref="JO1550" ca="1">IFERROR(INDEX(nombres[],SMALL(IF(OFFSET(nombres[],0,0,ROWS(nombres[]),1)=JO$1490,ROW(OFFSET(nombres[],0,0,ROWS(nombres[]),1))-ROW(OFFSET(nombres[],0,0,1,1))+1,ROW(OFFSET(nombres[],ROWS(nombres[])-1,0,1,1))+1),$O1550:$O1569),3),"")</f>
        <v/>
      </c>
      <c r="JP1550" s="42" t="str">
        <f t="array" aca="1" ref="JP1550" ca="1">IFERROR(INDEX(nombres[],SMALL(IF(OFFSET(nombres[],0,0,ROWS(nombres[]),1)=JP$1490,ROW(OFFSET(nombres[],0,0,ROWS(nombres[]),1))-ROW(OFFSET(nombres[],0,0,1,1))+1,ROW(OFFSET(nombres[],ROWS(nombres[])-1,0,1,1))+1),$O1550:$O1569),3),"")</f>
        <v/>
      </c>
      <c r="JQ1550" s="42" t="str">
        <f t="array" aca="1" ref="JQ1550" ca="1">IFERROR(INDEX(nombres[],SMALL(IF(OFFSET(nombres[],0,0,ROWS(nombres[]),1)=JQ$1490,ROW(OFFSET(nombres[],0,0,ROWS(nombres[]),1))-ROW(OFFSET(nombres[],0,0,1,1))+1,ROW(OFFSET(nombres[],ROWS(nombres[])-1,0,1,1))+1),$O1550:$O1569),3),"")</f>
        <v/>
      </c>
      <c r="JR1550" s="42" t="str">
        <f t="array" aca="1" ref="JR1550" ca="1">IFERROR(INDEX(nombres[],SMALL(IF(OFFSET(nombres[],0,0,ROWS(nombres[]),1)=JR$1490,ROW(OFFSET(nombres[],0,0,ROWS(nombres[]),1))-ROW(OFFSET(nombres[],0,0,1,1))+1,ROW(OFFSET(nombres[],ROWS(nombres[])-1,0,1,1))+1),$O1550:$O1569),3),"")</f>
        <v/>
      </c>
      <c r="JS1550" s="42" t="str">
        <f t="array" aca="1" ref="JS1550" ca="1">IFERROR(INDEX(nombres[],SMALL(IF(OFFSET(nombres[],0,0,ROWS(nombres[]),1)=JS$1490,ROW(OFFSET(nombres[],0,0,ROWS(nombres[]),1))-ROW(OFFSET(nombres[],0,0,1,1))+1,ROW(OFFSET(nombres[],ROWS(nombres[])-1,0,1,1))+1),$O1550:$O1569),3),"")</f>
        <v/>
      </c>
      <c r="JT1550" s="42" t="str">
        <f t="array" aca="1" ref="JT1550" ca="1">IFERROR(INDEX(nombres[],SMALL(IF(OFFSET(nombres[],0,0,ROWS(nombres[]),1)=JT$1490,ROW(OFFSET(nombres[],0,0,ROWS(nombres[]),1))-ROW(OFFSET(nombres[],0,0,1,1))+1,ROW(OFFSET(nombres[],ROWS(nombres[])-1,0,1,1))+1),$O1550:$O1569),3),"")</f>
        <v/>
      </c>
      <c r="JU1550" s="42" t="str">
        <f t="array" aca="1" ref="JU1550" ca="1">IFERROR(INDEX(nombres[],SMALL(IF(OFFSET(nombres[],0,0,ROWS(nombres[]),1)=JU$1490,ROW(OFFSET(nombres[],0,0,ROWS(nombres[]),1))-ROW(OFFSET(nombres[],0,0,1,1))+1,ROW(OFFSET(nombres[],ROWS(nombres[])-1,0,1,1))+1),$O1550:$O1569),3),"")</f>
        <v/>
      </c>
      <c r="JV1550" s="42" t="str">
        <f t="array" aca="1" ref="JV1550" ca="1">IFERROR(INDEX(nombres[],SMALL(IF(OFFSET(nombres[],0,0,ROWS(nombres[]),1)=JV$1490,ROW(OFFSET(nombres[],0,0,ROWS(nombres[]),1))-ROW(OFFSET(nombres[],0,0,1,1))+1,ROW(OFFSET(nombres[],ROWS(nombres[])-1,0,1,1))+1),$O1550:$O1569),3),"")</f>
        <v/>
      </c>
      <c r="JW1550" s="42" t="str">
        <f t="array" aca="1" ref="JW1550" ca="1">IFERROR(INDEX(nombres[],SMALL(IF(OFFSET(nombres[],0,0,ROWS(nombres[]),1)=JW$1490,ROW(OFFSET(nombres[],0,0,ROWS(nombres[]),1))-ROW(OFFSET(nombres[],0,0,1,1))+1,ROW(OFFSET(nombres[],ROWS(nombres[])-1,0,1,1))+1),$O1550:$O1569),3),"")</f>
        <v/>
      </c>
      <c r="JX1550" s="42" t="str">
        <f t="array" aca="1" ref="JX1550" ca="1">IFERROR(INDEX(nombres[],SMALL(IF(OFFSET(nombres[],0,0,ROWS(nombres[]),1)=JX$1490,ROW(OFFSET(nombres[],0,0,ROWS(nombres[]),1))-ROW(OFFSET(nombres[],0,0,1,1))+1,ROW(OFFSET(nombres[],ROWS(nombres[])-1,0,1,1))+1),$O1550:$O1569),3),"")</f>
        <v/>
      </c>
      <c r="JY1550" s="42" t="str">
        <f t="array" aca="1" ref="JY1550" ca="1">IFERROR(INDEX(nombres[],SMALL(IF(OFFSET(nombres[],0,0,ROWS(nombres[]),1)=JY$1490,ROW(OFFSET(nombres[],0,0,ROWS(nombres[]),1))-ROW(OFFSET(nombres[],0,0,1,1))+1,ROW(OFFSET(nombres[],ROWS(nombres[])-1,0,1,1))+1),$O1550:$O1569),3),"")</f>
        <v/>
      </c>
      <c r="JZ1550" s="42" t="str">
        <f t="array" aca="1" ref="JZ1550" ca="1">IFERROR(INDEX(nombres[],SMALL(IF(OFFSET(nombres[],0,0,ROWS(nombres[]),1)=JZ$1490,ROW(OFFSET(nombres[],0,0,ROWS(nombres[]),1))-ROW(OFFSET(nombres[],0,0,1,1))+1,ROW(OFFSET(nombres[],ROWS(nombres[])-1,0,1,1))+1),$O1550:$O1569),3),"")</f>
        <v/>
      </c>
      <c r="KA1550" s="42" t="str">
        <f t="array" aca="1" ref="KA1550" ca="1">IFERROR(INDEX(nombres[],SMALL(IF(OFFSET(nombres[],0,0,ROWS(nombres[]),1)=KA$1490,ROW(OFFSET(nombres[],0,0,ROWS(nombres[]),1))-ROW(OFFSET(nombres[],0,0,1,1))+1,ROW(OFFSET(nombres[],ROWS(nombres[])-1,0,1,1))+1),$O1550:$O1569),3),"")</f>
        <v/>
      </c>
      <c r="KB1550" s="42" t="str">
        <f t="array" aca="1" ref="KB1550" ca="1">IFERROR(INDEX(nombres[],SMALL(IF(OFFSET(nombres[],0,0,ROWS(nombres[]),1)=KB$1490,ROW(OFFSET(nombres[],0,0,ROWS(nombres[]),1))-ROW(OFFSET(nombres[],0,0,1,1))+1,ROW(OFFSET(nombres[],ROWS(nombres[])-1,0,1,1))+1),$O1550:$O1569),3),"")</f>
        <v/>
      </c>
      <c r="KC1550" s="42" t="str">
        <f t="array" aca="1" ref="KC1550" ca="1">IFERROR(INDEX(nombres[],SMALL(IF(OFFSET(nombres[],0,0,ROWS(nombres[]),1)=KC$1490,ROW(OFFSET(nombres[],0,0,ROWS(nombres[]),1))-ROW(OFFSET(nombres[],0,0,1,1))+1,ROW(OFFSET(nombres[],ROWS(nombres[])-1,0,1,1))+1),$O1550:$O1569),3),"")</f>
        <v/>
      </c>
      <c r="KD1550" s="42" t="str">
        <f t="array" aca="1" ref="KD1550" ca="1">IFERROR(INDEX(nombres[],SMALL(IF(OFFSET(nombres[],0,0,ROWS(nombres[]),1)=KD$1490,ROW(OFFSET(nombres[],0,0,ROWS(nombres[]),1))-ROW(OFFSET(nombres[],0,0,1,1))+1,ROW(OFFSET(nombres[],ROWS(nombres[])-1,0,1,1))+1),$O1550:$O1569),3),"")</f>
        <v/>
      </c>
      <c r="KE1550" s="42" t="str">
        <f t="array" aca="1" ref="KE1550" ca="1">IFERROR(INDEX(nombres[],SMALL(IF(OFFSET(nombres[],0,0,ROWS(nombres[]),1)=KE$1490,ROW(OFFSET(nombres[],0,0,ROWS(nombres[]),1))-ROW(OFFSET(nombres[],0,0,1,1))+1,ROW(OFFSET(nombres[],ROWS(nombres[])-1,0,1,1))+1),$O1550:$O1569),3),"")</f>
        <v/>
      </c>
      <c r="KF1550" s="42" t="str">
        <f t="array" aca="1" ref="KF1550" ca="1">IFERROR(INDEX(nombres[],SMALL(IF(OFFSET(nombres[],0,0,ROWS(nombres[]),1)=KF$1490,ROW(OFFSET(nombres[],0,0,ROWS(nombres[]),1))-ROW(OFFSET(nombres[],0,0,1,1))+1,ROW(OFFSET(nombres[],ROWS(nombres[])-1,0,1,1))+1),$O1550:$O1569),3),"")</f>
        <v/>
      </c>
      <c r="KG1550" s="42" t="str">
        <f t="array" aca="1" ref="KG1550" ca="1">IFERROR(INDEX(nombres[],SMALL(IF(OFFSET(nombres[],0,0,ROWS(nombres[]),1)=KG$1490,ROW(OFFSET(nombres[],0,0,ROWS(nombres[]),1))-ROW(OFFSET(nombres[],0,0,1,1))+1,ROW(OFFSET(nombres[],ROWS(nombres[])-1,0,1,1))+1),$O1550:$O1569),3),"")</f>
        <v/>
      </c>
      <c r="KH1550" s="42" t="str">
        <f t="array" aca="1" ref="KH1550" ca="1">IFERROR(INDEX(nombres[],SMALL(IF(OFFSET(nombres[],0,0,ROWS(nombres[]),1)=KH$1490,ROW(OFFSET(nombres[],0,0,ROWS(nombres[]),1))-ROW(OFFSET(nombres[],0,0,1,1))+1,ROW(OFFSET(nombres[],ROWS(nombres[])-1,0,1,1))+1),$O1550:$O1569),3),"")</f>
        <v/>
      </c>
      <c r="KI1550" s="42" t="str">
        <f t="array" aca="1" ref="KI1550" ca="1">IFERROR(INDEX(nombres[],SMALL(IF(OFFSET(nombres[],0,0,ROWS(nombres[]),1)=KI$1490,ROW(OFFSET(nombres[],0,0,ROWS(nombres[]),1))-ROW(OFFSET(nombres[],0,0,1,1))+1,ROW(OFFSET(nombres[],ROWS(nombres[])-1,0,1,1))+1),$O1550:$O1569),3),"")</f>
        <v/>
      </c>
      <c r="KJ1550" s="42" t="str">
        <f t="array" aca="1" ref="KJ1550" ca="1">IFERROR(INDEX(nombres[],SMALL(IF(OFFSET(nombres[],0,0,ROWS(nombres[]),1)=KJ$1490,ROW(OFFSET(nombres[],0,0,ROWS(nombres[]),1))-ROW(OFFSET(nombres[],0,0,1,1))+1,ROW(OFFSET(nombres[],ROWS(nombres[])-1,0,1,1))+1),$O1550:$O1569),3),"")</f>
        <v/>
      </c>
      <c r="KK1550" s="42" t="str">
        <f t="array" aca="1" ref="KK1550" ca="1">IFERROR(INDEX(nombres[],SMALL(IF(OFFSET(nombres[],0,0,ROWS(nombres[]),1)=KK$1490,ROW(OFFSET(nombres[],0,0,ROWS(nombres[]),1))-ROW(OFFSET(nombres[],0,0,1,1))+1,ROW(OFFSET(nombres[],ROWS(nombres[])-1,0,1,1))+1),$O1550:$O1569),3),"")</f>
        <v/>
      </c>
      <c r="KL1550" s="42" t="str">
        <f t="array" aca="1" ref="KL1550" ca="1">IFERROR(INDEX(nombres[],SMALL(IF(OFFSET(nombres[],0,0,ROWS(nombres[]),1)=KL$1490,ROW(OFFSET(nombres[],0,0,ROWS(nombres[]),1))-ROW(OFFSET(nombres[],0,0,1,1))+1,ROW(OFFSET(nombres[],ROWS(nombres[])-1,0,1,1))+1),$O1550:$O1569),3),"")</f>
        <v/>
      </c>
      <c r="KM1550" s="42" t="str">
        <f t="array" aca="1" ref="KM1550" ca="1">IFERROR(INDEX(nombres[],SMALL(IF(OFFSET(nombres[],0,0,ROWS(nombres[]),1)=KM$1490,ROW(OFFSET(nombres[],0,0,ROWS(nombres[]),1))-ROW(OFFSET(nombres[],0,0,1,1))+1,ROW(OFFSET(nombres[],ROWS(nombres[])-1,0,1,1))+1),$O1550:$O1569),3),"")</f>
        <v/>
      </c>
      <c r="KN1550" s="42" t="str">
        <f t="array" aca="1" ref="KN1550" ca="1">IFERROR(INDEX(nombres[],SMALL(IF(OFFSET(nombres[],0,0,ROWS(nombres[]),1)=KN$1490,ROW(OFFSET(nombres[],0,0,ROWS(nombres[]),1))-ROW(OFFSET(nombres[],0,0,1,1))+1,ROW(OFFSET(nombres[],ROWS(nombres[])-1,0,1,1))+1),$O1550:$O1569),3),"")</f>
        <v/>
      </c>
      <c r="KO1550" s="42" t="str">
        <f t="array" aca="1" ref="KO1550" ca="1">IFERROR(INDEX(nombres[],SMALL(IF(OFFSET(nombres[],0,0,ROWS(nombres[]),1)=KO$1490,ROW(OFFSET(nombres[],0,0,ROWS(nombres[]),1))-ROW(OFFSET(nombres[],0,0,1,1))+1,ROW(OFFSET(nombres[],ROWS(nombres[])-1,0,1,1))+1),$O1550:$O1569),3),"")</f>
        <v/>
      </c>
      <c r="KP1550" s="42" t="str">
        <f t="array" aca="1" ref="KP1550" ca="1">IFERROR(INDEX(nombres[],SMALL(IF(OFFSET(nombres[],0,0,ROWS(nombres[]),1)=KP$1490,ROW(OFFSET(nombres[],0,0,ROWS(nombres[]),1))-ROW(OFFSET(nombres[],0,0,1,1))+1,ROW(OFFSET(nombres[],ROWS(nombres[])-1,0,1,1))+1),$O1550:$O1569),3),"")</f>
        <v/>
      </c>
      <c r="KQ1550" s="42" t="str">
        <f t="array" aca="1" ref="KQ1550" ca="1">IFERROR(INDEX(nombres[],SMALL(IF(OFFSET(nombres[],0,0,ROWS(nombres[]),1)=KQ$1490,ROW(OFFSET(nombres[],0,0,ROWS(nombres[]),1))-ROW(OFFSET(nombres[],0,0,1,1))+1,ROW(OFFSET(nombres[],ROWS(nombres[])-1,0,1,1))+1),$O1550:$O1569),3),"")</f>
        <v/>
      </c>
      <c r="KR1550" s="42" t="str">
        <f t="array" aca="1" ref="KR1550" ca="1">IFERROR(INDEX(nombres[],SMALL(IF(OFFSET(nombres[],0,0,ROWS(nombres[]),1)=KR$1490,ROW(OFFSET(nombres[],0,0,ROWS(nombres[]),1))-ROW(OFFSET(nombres[],0,0,1,1))+1,ROW(OFFSET(nombres[],ROWS(nombres[])-1,0,1,1))+1),$O1550:$O1569),3),"")</f>
        <v/>
      </c>
      <c r="KS1550" s="42" t="str">
        <f t="array" aca="1" ref="KS1550" ca="1">IFERROR(INDEX(nombres[],SMALL(IF(OFFSET(nombres[],0,0,ROWS(nombres[]),1)=KS$1490,ROW(OFFSET(nombres[],0,0,ROWS(nombres[]),1))-ROW(OFFSET(nombres[],0,0,1,1))+1,ROW(OFFSET(nombres[],ROWS(nombres[])-1,0,1,1))+1),$O1550:$O1569),3),"")</f>
        <v/>
      </c>
      <c r="KT1550" s="42" t="str">
        <f t="array" aca="1" ref="KT1550" ca="1">IFERROR(INDEX(nombres[],SMALL(IF(OFFSET(nombres[],0,0,ROWS(nombres[]),1)=KT$1490,ROW(OFFSET(nombres[],0,0,ROWS(nombres[]),1))-ROW(OFFSET(nombres[],0,0,1,1))+1,ROW(OFFSET(nombres[],ROWS(nombres[])-1,0,1,1))+1),$O1550:$O1569),3),"")</f>
        <v/>
      </c>
      <c r="KU1550" s="42" t="str">
        <f t="array" aca="1" ref="KU1550" ca="1">IFERROR(INDEX(nombres[],SMALL(IF(OFFSET(nombres[],0,0,ROWS(nombres[]),1)=KU$1490,ROW(OFFSET(nombres[],0,0,ROWS(nombres[]),1))-ROW(OFFSET(nombres[],0,0,1,1))+1,ROW(OFFSET(nombres[],ROWS(nombres[])-1,0,1,1))+1),$O1550:$O1569),3),"")</f>
        <v/>
      </c>
      <c r="KV1550" s="42" t="str">
        <f t="array" aca="1" ref="KV1550" ca="1">IFERROR(INDEX(nombres[],SMALL(IF(OFFSET(nombres[],0,0,ROWS(nombres[]),1)=KV$1490,ROW(OFFSET(nombres[],0,0,ROWS(nombres[]),1))-ROW(OFFSET(nombres[],0,0,1,1))+1,ROW(OFFSET(nombres[],ROWS(nombres[])-1,0,1,1))+1),$O1550:$O1569),3),"")</f>
        <v/>
      </c>
      <c r="KW1550" s="42" t="str">
        <f t="array" aca="1" ref="KW1550" ca="1">IFERROR(INDEX(nombres[],SMALL(IF(OFFSET(nombres[],0,0,ROWS(nombres[]),1)=KW$1490,ROW(OFFSET(nombres[],0,0,ROWS(nombres[]),1))-ROW(OFFSET(nombres[],0,0,1,1))+1,ROW(OFFSET(nombres[],ROWS(nombres[])-1,0,1,1))+1),$O1550:$O1569),3),"")</f>
        <v/>
      </c>
      <c r="KX1550" s="42" t="str">
        <f t="array" aca="1" ref="KX1550" ca="1">IFERROR(INDEX(nombres[],SMALL(IF(OFFSET(nombres[],0,0,ROWS(nombres[]),1)=KX$1490,ROW(OFFSET(nombres[],0,0,ROWS(nombres[]),1))-ROW(OFFSET(nombres[],0,0,1,1))+1,ROW(OFFSET(nombres[],ROWS(nombres[])-1,0,1,1))+1),$O1550:$O1569),3),"")</f>
        <v/>
      </c>
      <c r="KY1550" s="42" t="str">
        <f t="array" aca="1" ref="KY1550" ca="1">IFERROR(INDEX(nombres[],SMALL(IF(OFFSET(nombres[],0,0,ROWS(nombres[]),1)=KY$1490,ROW(OFFSET(nombres[],0,0,ROWS(nombres[]),1))-ROW(OFFSET(nombres[],0,0,1,1))+1,ROW(OFFSET(nombres[],ROWS(nombres[])-1,0,1,1))+1),$O1550:$O1569),3),"")</f>
        <v/>
      </c>
      <c r="KZ1550" s="42" t="str">
        <f t="array" aca="1" ref="KZ1550" ca="1">IFERROR(INDEX(nombres[],SMALL(IF(OFFSET(nombres[],0,0,ROWS(nombres[]),1)=KZ$1490,ROW(OFFSET(nombres[],0,0,ROWS(nombres[]),1))-ROW(OFFSET(nombres[],0,0,1,1))+1,ROW(OFFSET(nombres[],ROWS(nombres[])-1,0,1,1))+1),$O1550:$O1569),3),"")</f>
        <v/>
      </c>
      <c r="LA1550" s="42" t="str">
        <f t="array" aca="1" ref="LA1550" ca="1">IFERROR(INDEX(nombres[],SMALL(IF(OFFSET(nombres[],0,0,ROWS(nombres[]),1)=LA$1490,ROW(OFFSET(nombres[],0,0,ROWS(nombres[]),1))-ROW(OFFSET(nombres[],0,0,1,1))+1,ROW(OFFSET(nombres[],ROWS(nombres[])-1,0,1,1))+1),$O1550:$O1569),3),"")</f>
        <v/>
      </c>
      <c r="LB1550" s="42" t="str">
        <f t="array" aca="1" ref="LB1550" ca="1">IFERROR(INDEX(nombres[],SMALL(IF(OFFSET(nombres[],0,0,ROWS(nombres[]),1)=LB$1490,ROW(OFFSET(nombres[],0,0,ROWS(nombres[]),1))-ROW(OFFSET(nombres[],0,0,1,1))+1,ROW(OFFSET(nombres[],ROWS(nombres[])-1,0,1,1))+1),$O1550:$O1569),3),"")</f>
        <v/>
      </c>
      <c r="LC1550" s="42" t="str">
        <f t="array" aca="1" ref="LC1550" ca="1">IFERROR(INDEX(nombres[],SMALL(IF(OFFSET(nombres[],0,0,ROWS(nombres[]),1)=LC$1490,ROW(OFFSET(nombres[],0,0,ROWS(nombres[]),1))-ROW(OFFSET(nombres[],0,0,1,1))+1,ROW(OFFSET(nombres[],ROWS(nombres[])-1,0,1,1))+1),$O1550:$O1569),3),"")</f>
        <v/>
      </c>
      <c r="LD1550" s="42" t="str">
        <f t="array" aca="1" ref="LD1550" ca="1">IFERROR(INDEX(nombres[],SMALL(IF(OFFSET(nombres[],0,0,ROWS(nombres[]),1)=LD$1490,ROW(OFFSET(nombres[],0,0,ROWS(nombres[]),1))-ROW(OFFSET(nombres[],0,0,1,1))+1,ROW(OFFSET(nombres[],ROWS(nombres[])-1,0,1,1))+1),$O1550:$O1569),3),"")</f>
        <v/>
      </c>
      <c r="LE1550" s="42" t="str">
        <f t="array" aca="1" ref="LE1550" ca="1">IFERROR(INDEX(nombres[],SMALL(IF(OFFSET(nombres[],0,0,ROWS(nombres[]),1)=LE$1490,ROW(OFFSET(nombres[],0,0,ROWS(nombres[]),1))-ROW(OFFSET(nombres[],0,0,1,1))+1,ROW(OFFSET(nombres[],ROWS(nombres[])-1,0,1,1))+1),$O1550:$O1569),3),"")</f>
        <v/>
      </c>
      <c r="LF1550" s="42" t="str">
        <f t="array" aca="1" ref="LF1550" ca="1">IFERROR(INDEX(nombres[],SMALL(IF(OFFSET(nombres[],0,0,ROWS(nombres[]),1)=LF$1490,ROW(OFFSET(nombres[],0,0,ROWS(nombres[]),1))-ROW(OFFSET(nombres[],0,0,1,1))+1,ROW(OFFSET(nombres[],ROWS(nombres[])-1,0,1,1))+1),$O1550:$O1569),3),"")</f>
        <v/>
      </c>
      <c r="LG1550" s="42" t="str">
        <f t="array" aca="1" ref="LG1550" ca="1">IFERROR(INDEX(nombres[],SMALL(IF(OFFSET(nombres[],0,0,ROWS(nombres[]),1)=LG$1490,ROW(OFFSET(nombres[],0,0,ROWS(nombres[]),1))-ROW(OFFSET(nombres[],0,0,1,1))+1,ROW(OFFSET(nombres[],ROWS(nombres[])-1,0,1,1))+1),$O1550:$O1569),3),"")</f>
        <v/>
      </c>
      <c r="LH1550" s="42" t="str">
        <f t="array" aca="1" ref="LH1550" ca="1">IFERROR(INDEX(nombres[],SMALL(IF(OFFSET(nombres[],0,0,ROWS(nombres[]),1)=LH$1490,ROW(OFFSET(nombres[],0,0,ROWS(nombres[]),1))-ROW(OFFSET(nombres[],0,0,1,1))+1,ROW(OFFSET(nombres[],ROWS(nombres[])-1,0,1,1))+1),$O1550:$O1569),3),"")</f>
        <v/>
      </c>
      <c r="LI1550" s="42" t="str">
        <f t="array" aca="1" ref="LI1550" ca="1">IFERROR(INDEX(nombres[],SMALL(IF(OFFSET(nombres[],0,0,ROWS(nombres[]),1)=LI$1490,ROW(OFFSET(nombres[],0,0,ROWS(nombres[]),1))-ROW(OFFSET(nombres[],0,0,1,1))+1,ROW(OFFSET(nombres[],ROWS(nombres[])-1,0,1,1))+1),$O1550:$O1569),3),"")</f>
        <v/>
      </c>
      <c r="LJ1550" s="42" t="str">
        <f t="array" aca="1" ref="LJ1550" ca="1">IFERROR(INDEX(nombres[],SMALL(IF(OFFSET(nombres[],0,0,ROWS(nombres[]),1)=LJ$1490,ROW(OFFSET(nombres[],0,0,ROWS(nombres[]),1))-ROW(OFFSET(nombres[],0,0,1,1))+1,ROW(OFFSET(nombres[],ROWS(nombres[])-1,0,1,1))+1),$O1550:$O1569),3),"")</f>
        <v/>
      </c>
      <c r="LK1550" s="42" t="str">
        <f t="array" aca="1" ref="LK1550" ca="1">IFERROR(INDEX(nombres[],SMALL(IF(OFFSET(nombres[],0,0,ROWS(nombres[]),1)=LK$1490,ROW(OFFSET(nombres[],0,0,ROWS(nombres[]),1))-ROW(OFFSET(nombres[],0,0,1,1))+1,ROW(OFFSET(nombres[],ROWS(nombres[])-1,0,1,1))+1),$O1550:$O1569),3),"")</f>
        <v/>
      </c>
      <c r="LL1550" s="42" t="str">
        <f t="array" aca="1" ref="LL1550" ca="1">IFERROR(INDEX(nombres[],SMALL(IF(OFFSET(nombres[],0,0,ROWS(nombres[]),1)=LL$1490,ROW(OFFSET(nombres[],0,0,ROWS(nombres[]),1))-ROW(OFFSET(nombres[],0,0,1,1))+1,ROW(OFFSET(nombres[],ROWS(nombres[])-1,0,1,1))+1),$O1550:$O1569),3),"")</f>
        <v/>
      </c>
      <c r="LM1550" s="42" t="str">
        <f t="array" aca="1" ref="LM1550" ca="1">IFERROR(INDEX(nombres[],SMALL(IF(OFFSET(nombres[],0,0,ROWS(nombres[]),1)=LM$1490,ROW(OFFSET(nombres[],0,0,ROWS(nombres[]),1))-ROW(OFFSET(nombres[],0,0,1,1))+1,ROW(OFFSET(nombres[],ROWS(nombres[])-1,0,1,1))+1),$O1550:$O1569),3),"")</f>
        <v/>
      </c>
      <c r="LN1550" s="42" t="str">
        <f t="array" aca="1" ref="LN1550" ca="1">IFERROR(INDEX(nombres[],SMALL(IF(OFFSET(nombres[],0,0,ROWS(nombres[]),1)=LN$1490,ROW(OFFSET(nombres[],0,0,ROWS(nombres[]),1))-ROW(OFFSET(nombres[],0,0,1,1))+1,ROW(OFFSET(nombres[],ROWS(nombres[])-1,0,1,1))+1),$O1550:$O1569),3),"")</f>
        <v/>
      </c>
      <c r="LO1550" s="42" t="str">
        <f t="array" aca="1" ref="LO1550" ca="1">IFERROR(INDEX(nombres[],SMALL(IF(OFFSET(nombres[],0,0,ROWS(nombres[]),1)=LO$1490,ROW(OFFSET(nombres[],0,0,ROWS(nombres[]),1))-ROW(OFFSET(nombres[],0,0,1,1))+1,ROW(OFFSET(nombres[],ROWS(nombres[])-1,0,1,1))+1),$O1550:$O1569),3),"")</f>
        <v/>
      </c>
      <c r="LP1550" s="42" t="str">
        <f t="array" aca="1" ref="LP1550" ca="1">IFERROR(INDEX(nombres[],SMALL(IF(OFFSET(nombres[],0,0,ROWS(nombres[]),1)=LP$1490,ROW(OFFSET(nombres[],0,0,ROWS(nombres[]),1))-ROW(OFFSET(nombres[],0,0,1,1))+1,ROW(OFFSET(nombres[],ROWS(nombres[])-1,0,1,1))+1),$O1550:$O1569),3),"")</f>
        <v/>
      </c>
      <c r="LQ1550" s="42" t="str">
        <f t="array" aca="1" ref="LQ1550" ca="1">IFERROR(INDEX(nombres[],SMALL(IF(OFFSET(nombres[],0,0,ROWS(nombres[]),1)=LQ$1490,ROW(OFFSET(nombres[],0,0,ROWS(nombres[]),1))-ROW(OFFSET(nombres[],0,0,1,1))+1,ROW(OFFSET(nombres[],ROWS(nombres[])-1,0,1,1))+1),$O1550:$O1569),3),"")</f>
        <v/>
      </c>
      <c r="LR1550" s="42" t="str">
        <f t="array" aca="1" ref="LR1550" ca="1">IFERROR(INDEX(nombres[],SMALL(IF(OFFSET(nombres[],0,0,ROWS(nombres[]),1)=LR$1490,ROW(OFFSET(nombres[],0,0,ROWS(nombres[]),1))-ROW(OFFSET(nombres[],0,0,1,1))+1,ROW(OFFSET(nombres[],ROWS(nombres[])-1,0,1,1))+1),$O1550:$O1569),3),"")</f>
        <v/>
      </c>
      <c r="LS1550" s="42" t="str">
        <f t="array" aca="1" ref="LS1550" ca="1">IFERROR(INDEX(nombres[],SMALL(IF(OFFSET(nombres[],0,0,ROWS(nombres[]),1)=LS$1490,ROW(OFFSET(nombres[],0,0,ROWS(nombres[]),1))-ROW(OFFSET(nombres[],0,0,1,1))+1,ROW(OFFSET(nombres[],ROWS(nombres[])-1,0,1,1))+1),$O1550:$O1569),3),"")</f>
        <v/>
      </c>
      <c r="LT1550" s="42" t="str">
        <f t="array" aca="1" ref="LT1550" ca="1">IFERROR(INDEX(nombres[],SMALL(IF(OFFSET(nombres[],0,0,ROWS(nombres[]),1)=LT$1490,ROW(OFFSET(nombres[],0,0,ROWS(nombres[]),1))-ROW(OFFSET(nombres[],0,0,1,1))+1,ROW(OFFSET(nombres[],ROWS(nombres[])-1,0,1,1))+1),$O1550:$O1569),3),"")</f>
        <v/>
      </c>
      <c r="LU1550" s="42" t="str">
        <f t="array" aca="1" ref="LU1550" ca="1">IFERROR(INDEX(nombres[],SMALL(IF(OFFSET(nombres[],0,0,ROWS(nombres[]),1)=LU$1490,ROW(OFFSET(nombres[],0,0,ROWS(nombres[]),1))-ROW(OFFSET(nombres[],0,0,1,1))+1,ROW(OFFSET(nombres[],ROWS(nombres[])-1,0,1,1))+1),$O1550:$O1569),3),"")</f>
        <v/>
      </c>
      <c r="LV1550" s="42" t="str">
        <f t="array" aca="1" ref="LV1550" ca="1">IFERROR(INDEX(nombres[],SMALL(IF(OFFSET(nombres[],0,0,ROWS(nombres[]),1)=LV$1490,ROW(OFFSET(nombres[],0,0,ROWS(nombres[]),1))-ROW(OFFSET(nombres[],0,0,1,1))+1,ROW(OFFSET(nombres[],ROWS(nombres[])-1,0,1,1))+1),$O1550:$O1569),3),"")</f>
        <v/>
      </c>
      <c r="LW1550" s="42" t="str">
        <f t="array" aca="1" ref="LW1550" ca="1">IFERROR(INDEX(nombres[],SMALL(IF(OFFSET(nombres[],0,0,ROWS(nombres[]),1)=LW$1490,ROW(OFFSET(nombres[],0,0,ROWS(nombres[]),1))-ROW(OFFSET(nombres[],0,0,1,1))+1,ROW(OFFSET(nombres[],ROWS(nombres[])-1,0,1,1))+1),$O1550:$O1569),3),"")</f>
        <v/>
      </c>
      <c r="LX1550" s="42" t="str">
        <f t="array" aca="1" ref="LX1550" ca="1">IFERROR(INDEX(nombres[],SMALL(IF(OFFSET(nombres[],0,0,ROWS(nombres[]),1)=LX$1490,ROW(OFFSET(nombres[],0,0,ROWS(nombres[]),1))-ROW(OFFSET(nombres[],0,0,1,1))+1,ROW(OFFSET(nombres[],ROWS(nombres[])-1,0,1,1))+1),$O1550:$O1569),3),"")</f>
        <v/>
      </c>
      <c r="LY1550" s="42" t="str">
        <f t="array" aca="1" ref="LY1550" ca="1">IFERROR(INDEX(nombres[],SMALL(IF(OFFSET(nombres[],0,0,ROWS(nombres[]),1)=LY$1490,ROW(OFFSET(nombres[],0,0,ROWS(nombres[]),1))-ROW(OFFSET(nombres[],0,0,1,1))+1,ROW(OFFSET(nombres[],ROWS(nombres[])-1,0,1,1))+1),$O1550:$O1569),3),"")</f>
        <v/>
      </c>
      <c r="LZ1550" s="42" t="str">
        <f t="array" aca="1" ref="LZ1550" ca="1">IFERROR(INDEX(nombres[],SMALL(IF(OFFSET(nombres[],0,0,ROWS(nombres[]),1)=LZ$1490,ROW(OFFSET(nombres[],0,0,ROWS(nombres[]),1))-ROW(OFFSET(nombres[],0,0,1,1))+1,ROW(OFFSET(nombres[],ROWS(nombres[])-1,0,1,1))+1),$O1550:$O1569),3),"")</f>
        <v/>
      </c>
      <c r="MA1550" s="42" t="str">
        <f t="array" aca="1" ref="MA1550" ca="1">IFERROR(INDEX(nombres[],SMALL(IF(OFFSET(nombres[],0,0,ROWS(nombres[]),1)=MA$1490,ROW(OFFSET(nombres[],0,0,ROWS(nombres[]),1))-ROW(OFFSET(nombres[],0,0,1,1))+1,ROW(OFFSET(nombres[],ROWS(nombres[])-1,0,1,1))+1),$O1550:$O1569),3),"")</f>
        <v/>
      </c>
      <c r="MB1550" s="42" t="str">
        <f t="array" aca="1" ref="MB1550" ca="1">IFERROR(INDEX(nombres[],SMALL(IF(OFFSET(nombres[],0,0,ROWS(nombres[]),1)=MB$1490,ROW(OFFSET(nombres[],0,0,ROWS(nombres[]),1))-ROW(OFFSET(nombres[],0,0,1,1))+1,ROW(OFFSET(nombres[],ROWS(nombres[])-1,0,1,1))+1),$O1550:$O1569),3),"")</f>
        <v/>
      </c>
      <c r="MC1550" s="42" t="str">
        <f t="array" aca="1" ref="MC1550" ca="1">IFERROR(INDEX(nombres[],SMALL(IF(OFFSET(nombres[],0,0,ROWS(nombres[]),1)=MC$1490,ROW(OFFSET(nombres[],0,0,ROWS(nombres[]),1))-ROW(OFFSET(nombres[],0,0,1,1))+1,ROW(OFFSET(nombres[],ROWS(nombres[])-1,0,1,1))+1),$O1550:$O1569),3),"")</f>
        <v/>
      </c>
      <c r="MD1550" s="42" t="str">
        <f t="array" aca="1" ref="MD1550" ca="1">IFERROR(INDEX(nombres[],SMALL(IF(OFFSET(nombres[],0,0,ROWS(nombres[]),1)=MD$1490,ROW(OFFSET(nombres[],0,0,ROWS(nombres[]),1))-ROW(OFFSET(nombres[],0,0,1,1))+1,ROW(OFFSET(nombres[],ROWS(nombres[])-1,0,1,1))+1),$O1550:$O1569),3),"")</f>
        <v/>
      </c>
      <c r="ME1550" s="42" t="str">
        <f t="array" aca="1" ref="ME1550" ca="1">IFERROR(INDEX(nombres[],SMALL(IF(OFFSET(nombres[],0,0,ROWS(nombres[]),1)=ME$1490,ROW(OFFSET(nombres[],0,0,ROWS(nombres[]),1))-ROW(OFFSET(nombres[],0,0,1,1))+1,ROW(OFFSET(nombres[],ROWS(nombres[])-1,0,1,1))+1),$O1550:$O1569),3),"")</f>
        <v/>
      </c>
      <c r="MF1550" s="42" t="str">
        <f t="array" aca="1" ref="MF1550" ca="1">IFERROR(INDEX(nombres[],SMALL(IF(OFFSET(nombres[],0,0,ROWS(nombres[]),1)=MF$1490,ROW(OFFSET(nombres[],0,0,ROWS(nombres[]),1))-ROW(OFFSET(nombres[],0,0,1,1))+1,ROW(OFFSET(nombres[],ROWS(nombres[])-1,0,1,1))+1),$O1550:$O1569),3),"")</f>
        <v/>
      </c>
      <c r="MG1550" s="42" t="str">
        <f t="array" aca="1" ref="MG1550" ca="1">IFERROR(INDEX(nombres[],SMALL(IF(OFFSET(nombres[],0,0,ROWS(nombres[]),1)=MG$1490,ROW(OFFSET(nombres[],0,0,ROWS(nombres[]),1))-ROW(OFFSET(nombres[],0,0,1,1))+1,ROW(OFFSET(nombres[],ROWS(nombres[])-1,0,1,1))+1),$O1550:$O1569),3),"")</f>
        <v/>
      </c>
      <c r="MH1550" s="42" t="str">
        <f t="array" aca="1" ref="MH1550" ca="1">IFERROR(INDEX(nombres[],SMALL(IF(OFFSET(nombres[],0,0,ROWS(nombres[]),1)=MH$1490,ROW(OFFSET(nombres[],0,0,ROWS(nombres[]),1))-ROW(OFFSET(nombres[],0,0,1,1))+1,ROW(OFFSET(nombres[],ROWS(nombres[])-1,0,1,1))+1),$O1550:$O1569),3),"")</f>
        <v/>
      </c>
      <c r="MI1550" s="42" t="str">
        <f t="array" aca="1" ref="MI1550" ca="1">IFERROR(INDEX(nombres[],SMALL(IF(OFFSET(nombres[],0,0,ROWS(nombres[]),1)=MI$1490,ROW(OFFSET(nombres[],0,0,ROWS(nombres[]),1))-ROW(OFFSET(nombres[],0,0,1,1))+1,ROW(OFFSET(nombres[],ROWS(nombres[])-1,0,1,1))+1),$O1550:$O1569),3),"")</f>
        <v/>
      </c>
      <c r="MJ1550" s="42" t="str">
        <f t="array" aca="1" ref="MJ1550" ca="1">IFERROR(INDEX(nombres[],SMALL(IF(OFFSET(nombres[],0,0,ROWS(nombres[]),1)=MJ$1490,ROW(OFFSET(nombres[],0,0,ROWS(nombres[]),1))-ROW(OFFSET(nombres[],0,0,1,1))+1,ROW(OFFSET(nombres[],ROWS(nombres[])-1,0,1,1))+1),$O1550:$O1569),3),"")</f>
        <v/>
      </c>
      <c r="MK1550" s="42" t="str">
        <f t="array" aca="1" ref="MK1550" ca="1">IFERROR(INDEX(nombres[],SMALL(IF(OFFSET(nombres[],0,0,ROWS(nombres[]),1)=MK$1490,ROW(OFFSET(nombres[],0,0,ROWS(nombres[]),1))-ROW(OFFSET(nombres[],0,0,1,1))+1,ROW(OFFSET(nombres[],ROWS(nombres[])-1,0,1,1))+1),$O1550:$O1569),3),"")</f>
        <v/>
      </c>
      <c r="ML1550" s="42" t="str">
        <f t="array" aca="1" ref="ML1550" ca="1">IFERROR(INDEX(nombres[],SMALL(IF(OFFSET(nombres[],0,0,ROWS(nombres[]),1)=ML$1490,ROW(OFFSET(nombres[],0,0,ROWS(nombres[]),1))-ROW(OFFSET(nombres[],0,0,1,1))+1,ROW(OFFSET(nombres[],ROWS(nombres[])-1,0,1,1))+1),$O1550:$O1569),3),"")</f>
        <v/>
      </c>
      <c r="MM1550" s="42" t="str">
        <f t="array" aca="1" ref="MM1550" ca="1">IFERROR(INDEX(nombres[],SMALL(IF(OFFSET(nombres[],0,0,ROWS(nombres[]),1)=MM$1490,ROW(OFFSET(nombres[],0,0,ROWS(nombres[]),1))-ROW(OFFSET(nombres[],0,0,1,1))+1,ROW(OFFSET(nombres[],ROWS(nombres[])-1,0,1,1))+1),$O1550:$O1569),3),"")</f>
        <v/>
      </c>
      <c r="MN1550" s="42" t="str">
        <f t="array" aca="1" ref="MN1550" ca="1">IFERROR(INDEX(nombres[],SMALL(IF(OFFSET(nombres[],0,0,ROWS(nombres[]),1)=MN$1490,ROW(OFFSET(nombres[],0,0,ROWS(nombres[]),1))-ROW(OFFSET(nombres[],0,0,1,1))+1,ROW(OFFSET(nombres[],ROWS(nombres[])-1,0,1,1))+1),$O1550:$O1569),3),"")</f>
        <v/>
      </c>
      <c r="MO1550" s="42" t="str">
        <f t="array" aca="1" ref="MO1550" ca="1">IFERROR(INDEX(nombres[],SMALL(IF(OFFSET(nombres[],0,0,ROWS(nombres[]),1)=MO$1490,ROW(OFFSET(nombres[],0,0,ROWS(nombres[]),1))-ROW(OFFSET(nombres[],0,0,1,1))+1,ROW(OFFSET(nombres[],ROWS(nombres[])-1,0,1,1))+1),$O1550:$O1569),3),"")</f>
        <v/>
      </c>
      <c r="MP1550" s="42" t="str">
        <f t="array" aca="1" ref="MP1550" ca="1">IFERROR(INDEX(nombres[],SMALL(IF(OFFSET(nombres[],0,0,ROWS(nombres[]),1)=MP$1490,ROW(OFFSET(nombres[],0,0,ROWS(nombres[]),1))-ROW(OFFSET(nombres[],0,0,1,1))+1,ROW(OFFSET(nombres[],ROWS(nombres[])-1,0,1,1))+1),$O1550:$O1569),3),"")</f>
        <v/>
      </c>
      <c r="MQ1550" s="42" t="str">
        <f t="array" aca="1" ref="MQ1550" ca="1">IFERROR(INDEX(nombres[],SMALL(IF(OFFSET(nombres[],0,0,ROWS(nombres[]),1)=MQ$1490,ROW(OFFSET(nombres[],0,0,ROWS(nombres[]),1))-ROW(OFFSET(nombres[],0,0,1,1))+1,ROW(OFFSET(nombres[],ROWS(nombres[])-1,0,1,1))+1),$O1550:$O1569),3),"")</f>
        <v/>
      </c>
      <c r="MR1550" s="42" t="str">
        <f t="array" aca="1" ref="MR1550" ca="1">IFERROR(INDEX(nombres[],SMALL(IF(OFFSET(nombres[],0,0,ROWS(nombres[]),1)=MR$1490,ROW(OFFSET(nombres[],0,0,ROWS(nombres[]),1))-ROW(OFFSET(nombres[],0,0,1,1))+1,ROW(OFFSET(nombres[],ROWS(nombres[])-1,0,1,1))+1),$O1550:$O1569),3),"")</f>
        <v/>
      </c>
      <c r="MS1550" s="42" t="str">
        <f t="array" aca="1" ref="MS1550" ca="1">IFERROR(INDEX(nombres[],SMALL(IF(OFFSET(nombres[],0,0,ROWS(nombres[]),1)=MS$1490,ROW(OFFSET(nombres[],0,0,ROWS(nombres[]),1))-ROW(OFFSET(nombres[],0,0,1,1))+1,ROW(OFFSET(nombres[],ROWS(nombres[])-1,0,1,1))+1),$O1550:$O1569),3),"")</f>
        <v/>
      </c>
      <c r="MT1550" s="42" t="str">
        <f t="array" aca="1" ref="MT1550" ca="1">IFERROR(INDEX(nombres[],SMALL(IF(OFFSET(nombres[],0,0,ROWS(nombres[]),1)=MT$1490,ROW(OFFSET(nombres[],0,0,ROWS(nombres[]),1))-ROW(OFFSET(nombres[],0,0,1,1))+1,ROW(OFFSET(nombres[],ROWS(nombres[])-1,0,1,1))+1),$O1550:$O1569),3),"")</f>
        <v/>
      </c>
      <c r="MU1550" s="42" t="str">
        <f t="array" aca="1" ref="MU1550" ca="1">IFERROR(INDEX(nombres[],SMALL(IF(OFFSET(nombres[],0,0,ROWS(nombres[]),1)=MU$1490,ROW(OFFSET(nombres[],0,0,ROWS(nombres[]),1))-ROW(OFFSET(nombres[],0,0,1,1))+1,ROW(OFFSET(nombres[],ROWS(nombres[])-1,0,1,1))+1),$O1550:$O1569),3),"")</f>
        <v/>
      </c>
      <c r="MV1550" s="42" t="str">
        <f t="array" aca="1" ref="MV1550" ca="1">IFERROR(INDEX(nombres[],SMALL(IF(OFFSET(nombres[],0,0,ROWS(nombres[]),1)=MV$1490,ROW(OFFSET(nombres[],0,0,ROWS(nombres[]),1))-ROW(OFFSET(nombres[],0,0,1,1))+1,ROW(OFFSET(nombres[],ROWS(nombres[])-1,0,1,1))+1),$O1550:$O1569),3),"")</f>
        <v/>
      </c>
      <c r="MW1550" s="42" t="str">
        <f t="array" aca="1" ref="MW1550" ca="1">IFERROR(INDEX(nombres[],SMALL(IF(OFFSET(nombres[],0,0,ROWS(nombres[]),1)=MW$1490,ROW(OFFSET(nombres[],0,0,ROWS(nombres[]),1))-ROW(OFFSET(nombres[],0,0,1,1))+1,ROW(OFFSET(nombres[],ROWS(nombres[])-1,0,1,1))+1),$O1550:$O1569),3),"")</f>
        <v/>
      </c>
      <c r="MX1550" s="42" t="str">
        <f t="array" aca="1" ref="MX1550" ca="1">IFERROR(INDEX(nombres[],SMALL(IF(OFFSET(nombres[],0,0,ROWS(nombres[]),1)=MX$1490,ROW(OFFSET(nombres[],0,0,ROWS(nombres[]),1))-ROW(OFFSET(nombres[],0,0,1,1))+1,ROW(OFFSET(nombres[],ROWS(nombres[])-1,0,1,1))+1),$O1550:$O1569),3),"")</f>
        <v/>
      </c>
      <c r="MY1550" s="42" t="str">
        <f t="array" aca="1" ref="MY1550" ca="1">IFERROR(INDEX(nombres[],SMALL(IF(OFFSET(nombres[],0,0,ROWS(nombres[]),1)=MY$1490,ROW(OFFSET(nombres[],0,0,ROWS(nombres[]),1))-ROW(OFFSET(nombres[],0,0,1,1))+1,ROW(OFFSET(nombres[],ROWS(nombres[])-1,0,1,1))+1),$O1550:$O1569),3),"")</f>
        <v/>
      </c>
      <c r="MZ1550" s="42" t="str">
        <f t="array" aca="1" ref="MZ1550" ca="1">IFERROR(INDEX(nombres[],SMALL(IF(OFFSET(nombres[],0,0,ROWS(nombres[]),1)=MZ$1490,ROW(OFFSET(nombres[],0,0,ROWS(nombres[]),1))-ROW(OFFSET(nombres[],0,0,1,1))+1,ROW(OFFSET(nombres[],ROWS(nombres[])-1,0,1,1))+1),$O1550:$O1569),3),"")</f>
        <v/>
      </c>
      <c r="NA1550" s="42" t="str">
        <f t="array" aca="1" ref="NA1550" ca="1">IFERROR(INDEX(nombres[],SMALL(IF(OFFSET(nombres[],0,0,ROWS(nombres[]),1)=NA$1490,ROW(OFFSET(nombres[],0,0,ROWS(nombres[]),1))-ROW(OFFSET(nombres[],0,0,1,1))+1,ROW(OFFSET(nombres[],ROWS(nombres[])-1,0,1,1))+1),$O1550:$O1569),3),"")</f>
        <v/>
      </c>
      <c r="NB1550" s="42" t="str">
        <f t="array" aca="1" ref="NB1550" ca="1">IFERROR(INDEX(nombres[],SMALL(IF(OFFSET(nombres[],0,0,ROWS(nombres[]),1)=NB$1490,ROW(OFFSET(nombres[],0,0,ROWS(nombres[]),1))-ROW(OFFSET(nombres[],0,0,1,1))+1,ROW(OFFSET(nombres[],ROWS(nombres[])-1,0,1,1))+1),$O1550:$O1569),3),"")</f>
        <v/>
      </c>
      <c r="NC1550" s="42" t="str">
        <f t="array" aca="1" ref="NC1550" ca="1">IFERROR(INDEX(nombres[],SMALL(IF(OFFSET(nombres[],0,0,ROWS(nombres[]),1)=NC$1490,ROW(OFFSET(nombres[],0,0,ROWS(nombres[]),1))-ROW(OFFSET(nombres[],0,0,1,1))+1,ROW(OFFSET(nombres[],ROWS(nombres[])-1,0,1,1))+1),$O1550:$O1569),3),"")</f>
        <v/>
      </c>
      <c r="ND1550" s="42" t="str">
        <f t="array" aca="1" ref="ND1550" ca="1">IFERROR(INDEX(nombres[],SMALL(IF(OFFSET(nombres[],0,0,ROWS(nombres[]),1)=ND$1490,ROW(OFFSET(nombres[],0,0,ROWS(nombres[]),1))-ROW(OFFSET(nombres[],0,0,1,1))+1,ROW(OFFSET(nombres[],ROWS(nombres[])-1,0,1,1))+1),$O1550:$O1569),3),"")</f>
        <v/>
      </c>
      <c r="NE1550" s="42" t="str">
        <f t="array" aca="1" ref="NE1550" ca="1">IFERROR(INDEX(nombres[],SMALL(IF(OFFSET(nombres[],0,0,ROWS(nombres[]),1)=NE$1490,ROW(OFFSET(nombres[],0,0,ROWS(nombres[]),1))-ROW(OFFSET(nombres[],0,0,1,1))+1,ROW(OFFSET(nombres[],ROWS(nombres[])-1,0,1,1))+1),$O1550:$O1569),3),"")</f>
        <v/>
      </c>
      <c r="NF1550" s="42" t="str">
        <f t="array" aca="1" ref="NF1550" ca="1">IFERROR(INDEX(nombres[],SMALL(IF(OFFSET(nombres[],0,0,ROWS(nombres[]),1)=NF$1490,ROW(OFFSET(nombres[],0,0,ROWS(nombres[]),1))-ROW(OFFSET(nombres[],0,0,1,1))+1,ROW(OFFSET(nombres[],ROWS(nombres[])-1,0,1,1))+1),$O1550:$O1569),3),"")</f>
        <v/>
      </c>
      <c r="NG1550" s="42" t="str">
        <f t="array" aca="1" ref="NG1550" ca="1">IFERROR(INDEX(nombres[],SMALL(IF(OFFSET(nombres[],0,0,ROWS(nombres[]),1)=NG$1490,ROW(OFFSET(nombres[],0,0,ROWS(nombres[]),1))-ROW(OFFSET(nombres[],0,0,1,1))+1,ROW(OFFSET(nombres[],ROWS(nombres[])-1,0,1,1))+1),$O1550:$O1569),3),"")</f>
        <v/>
      </c>
      <c r="NH1550" s="42" t="str">
        <f t="array" aca="1" ref="NH1550" ca="1">IFERROR(INDEX(nombres[],SMALL(IF(OFFSET(nombres[],0,0,ROWS(nombres[]),1)=NH$1490,ROW(OFFSET(nombres[],0,0,ROWS(nombres[]),1))-ROW(OFFSET(nombres[],0,0,1,1))+1,ROW(OFFSET(nombres[],ROWS(nombres[])-1,0,1,1))+1),$O1550:$O1569),3),"")</f>
        <v/>
      </c>
      <c r="NI1550" s="42" t="str">
        <f t="array" aca="1" ref="NI1550" ca="1">IFERROR(INDEX(nombres[],SMALL(IF(OFFSET(nombres[],0,0,ROWS(nombres[]),1)=NI$1490,ROW(OFFSET(nombres[],0,0,ROWS(nombres[]),1))-ROW(OFFSET(nombres[],0,0,1,1))+1,ROW(OFFSET(nombres[],ROWS(nombres[])-1,0,1,1))+1),$O1550:$O1569),3),"")</f>
        <v/>
      </c>
      <c r="NJ1550" s="42" t="str">
        <f t="array" aca="1" ref="NJ1550" ca="1">IFERROR(INDEX(nombres[],SMALL(IF(OFFSET(nombres[],0,0,ROWS(nombres[]),1)=NJ$1490,ROW(OFFSET(nombres[],0,0,ROWS(nombres[]),1))-ROW(OFFSET(nombres[],0,0,1,1))+1,ROW(OFFSET(nombres[],ROWS(nombres[])-1,0,1,1))+1),$O1550:$O1569),3),"")</f>
        <v/>
      </c>
      <c r="NK1550" s="42" t="str">
        <f t="array" aca="1" ref="NK1550" ca="1">IFERROR(INDEX(nombres[],SMALL(IF(OFFSET(nombres[],0,0,ROWS(nombres[]),1)=NK$1490,ROW(OFFSET(nombres[],0,0,ROWS(nombres[]),1))-ROW(OFFSET(nombres[],0,0,1,1))+1,ROW(OFFSET(nombres[],ROWS(nombres[])-1,0,1,1))+1),$O1550:$O1569),3),"")</f>
        <v/>
      </c>
      <c r="NL1550" s="42" t="str">
        <f t="array" aca="1" ref="NL1550" ca="1">IFERROR(INDEX(nombres[],SMALL(IF(OFFSET(nombres[],0,0,ROWS(nombres[]),1)=NL$1490,ROW(OFFSET(nombres[],0,0,ROWS(nombres[]),1))-ROW(OFFSET(nombres[],0,0,1,1))+1,ROW(OFFSET(nombres[],ROWS(nombres[])-1,0,1,1))+1),$O1550:$O1569),3),"")</f>
        <v/>
      </c>
      <c r="NM1550" s="42" t="str">
        <f t="array" aca="1" ref="NM1550" ca="1">IFERROR(INDEX(nombres[],SMALL(IF(OFFSET(nombres[],0,0,ROWS(nombres[]),1)=NM$1490,ROW(OFFSET(nombres[],0,0,ROWS(nombres[]),1))-ROW(OFFSET(nombres[],0,0,1,1))+1,ROW(OFFSET(nombres[],ROWS(nombres[])-1,0,1,1))+1),$O1550:$O1569),3),"")</f>
        <v/>
      </c>
      <c r="NN1550" s="42" t="str">
        <f t="array" aca="1" ref="NN1550" ca="1">IFERROR(INDEX(nombres[],SMALL(IF(OFFSET(nombres[],0,0,ROWS(nombres[]),1)=NN$1490,ROW(OFFSET(nombres[],0,0,ROWS(nombres[]),1))-ROW(OFFSET(nombres[],0,0,1,1))+1,ROW(OFFSET(nombres[],ROWS(nombres[])-1,0,1,1))+1),$O1550:$O1569),3),"")</f>
        <v/>
      </c>
      <c r="NO1550" s="42" t="str">
        <f t="array" aca="1" ref="NO1550" ca="1">IFERROR(INDEX(nombres[],SMALL(IF(OFFSET(nombres[],0,0,ROWS(nombres[]),1)=NO$1490,ROW(OFFSET(nombres[],0,0,ROWS(nombres[]),1))-ROW(OFFSET(nombres[],0,0,1,1))+1,ROW(OFFSET(nombres[],ROWS(nombres[])-1,0,1,1))+1),$O1550:$O1569),3),"")</f>
        <v/>
      </c>
      <c r="NP1550" s="42" t="str">
        <f t="array" aca="1" ref="NP1550" ca="1">IFERROR(INDEX(nombres[],SMALL(IF(OFFSET(nombres[],0,0,ROWS(nombres[]),1)=NP$1490,ROW(OFFSET(nombres[],0,0,ROWS(nombres[]),1))-ROW(OFFSET(nombres[],0,0,1,1))+1,ROW(OFFSET(nombres[],ROWS(nombres[])-1,0,1,1))+1),$O1550:$O1569),3),"")</f>
        <v/>
      </c>
      <c r="NQ1550" s="42" t="str">
        <f t="array" aca="1" ref="NQ1550" ca="1">IFERROR(INDEX(nombres[],SMALL(IF(OFFSET(nombres[],0,0,ROWS(nombres[]),1)=NQ$1490,ROW(OFFSET(nombres[],0,0,ROWS(nombres[]),1))-ROW(OFFSET(nombres[],0,0,1,1))+1,ROW(OFFSET(nombres[],ROWS(nombres[])-1,0,1,1))+1),$O1550:$O1569),3),"")</f>
        <v/>
      </c>
      <c r="NR1550" s="42" t="str">
        <f t="array" aca="1" ref="NR1550" ca="1">IFERROR(INDEX(nombres[],SMALL(IF(OFFSET(nombres[],0,0,ROWS(nombres[]),1)=NR$1490,ROW(OFFSET(nombres[],0,0,ROWS(nombres[]),1))-ROW(OFFSET(nombres[],0,0,1,1))+1,ROW(OFFSET(nombres[],ROWS(nombres[])-1,0,1,1))+1),$O1550:$O1569),3),"")</f>
        <v/>
      </c>
      <c r="NS1550" s="42" t="str">
        <f t="array" aca="1" ref="NS1550" ca="1">IFERROR(INDEX(nombres[],SMALL(IF(OFFSET(nombres[],0,0,ROWS(nombres[]),1)=NS$1490,ROW(OFFSET(nombres[],0,0,ROWS(nombres[]),1))-ROW(OFFSET(nombres[],0,0,1,1))+1,ROW(OFFSET(nombres[],ROWS(nombres[])-1,0,1,1))+1),$O1550:$O1569),3),"")</f>
        <v/>
      </c>
      <c r="NT1550" s="42" t="str">
        <f t="array" aca="1" ref="NT1550" ca="1">IFERROR(INDEX(nombres[],SMALL(IF(OFFSET(nombres[],0,0,ROWS(nombres[]),1)=NT$1490,ROW(OFFSET(nombres[],0,0,ROWS(nombres[]),1))-ROW(OFFSET(nombres[],0,0,1,1))+1,ROW(OFFSET(nombres[],ROWS(nombres[])-1,0,1,1))+1),$O1550:$O1569),3),"")</f>
        <v/>
      </c>
      <c r="NU1550" s="42" t="str">
        <f t="array" aca="1" ref="NU1550" ca="1">IFERROR(INDEX(nombres[],SMALL(IF(OFFSET(nombres[],0,0,ROWS(nombres[]),1)=NU$1490,ROW(OFFSET(nombres[],0,0,ROWS(nombres[]),1))-ROW(OFFSET(nombres[],0,0,1,1))+1,ROW(OFFSET(nombres[],ROWS(nombres[])-1,0,1,1))+1),$O1550:$O1569),3),"")</f>
        <v/>
      </c>
      <c r="NV1550" s="42" t="str">
        <f t="array" aca="1" ref="NV1550" ca="1">IFERROR(INDEX(nombres[],SMALL(IF(OFFSET(nombres[],0,0,ROWS(nombres[]),1)=NV$1490,ROW(OFFSET(nombres[],0,0,ROWS(nombres[]),1))-ROW(OFFSET(nombres[],0,0,1,1))+1,ROW(OFFSET(nombres[],ROWS(nombres[])-1,0,1,1))+1),$O1550:$O1569),3),"")</f>
        <v/>
      </c>
      <c r="NW1550" s="42" t="str">
        <f t="array" aca="1" ref="NW1550" ca="1">IFERROR(INDEX(nombres[],SMALL(IF(OFFSET(nombres[],0,0,ROWS(nombres[]),1)=NW$1490,ROW(OFFSET(nombres[],0,0,ROWS(nombres[]),1))-ROW(OFFSET(nombres[],0,0,1,1))+1,ROW(OFFSET(nombres[],ROWS(nombres[])-1,0,1,1))+1),$O1550:$O1569),3),"")</f>
        <v/>
      </c>
      <c r="NX1550" s="42" t="str">
        <f t="array" aca="1" ref="NX1550" ca="1">IFERROR(INDEX(nombres[],SMALL(IF(OFFSET(nombres[],0,0,ROWS(nombres[]),1)=NX$1490,ROW(OFFSET(nombres[],0,0,ROWS(nombres[]),1))-ROW(OFFSET(nombres[],0,0,1,1))+1,ROW(OFFSET(nombres[],ROWS(nombres[])-1,0,1,1))+1),$O1550:$O1569),3),"")</f>
        <v/>
      </c>
      <c r="NY1550" s="42" t="str">
        <f t="array" aca="1" ref="NY1550" ca="1">IFERROR(INDEX(nombres[],SMALL(IF(OFFSET(nombres[],0,0,ROWS(nombres[]),1)=NY$1490,ROW(OFFSET(nombres[],0,0,ROWS(nombres[]),1))-ROW(OFFSET(nombres[],0,0,1,1))+1,ROW(OFFSET(nombres[],ROWS(nombres[])-1,0,1,1))+1),$O1550:$O1569),3),"")</f>
        <v/>
      </c>
      <c r="NZ1550" s="42" t="str">
        <f t="array" aca="1" ref="NZ1550" ca="1">IFERROR(INDEX(nombres[],SMALL(IF(OFFSET(nombres[],0,0,ROWS(nombres[]),1)=NZ$1490,ROW(OFFSET(nombres[],0,0,ROWS(nombres[]),1))-ROW(OFFSET(nombres[],0,0,1,1))+1,ROW(OFFSET(nombres[],ROWS(nombres[])-1,0,1,1))+1),$O1550:$O1569),3),"")</f>
        <v/>
      </c>
      <c r="OA1550" s="42" t="str">
        <f t="array" aca="1" ref="OA1550" ca="1">IFERROR(INDEX(nombres[],SMALL(IF(OFFSET(nombres[],0,0,ROWS(nombres[]),1)=OA$1490,ROW(OFFSET(nombres[],0,0,ROWS(nombres[]),1))-ROW(OFFSET(nombres[],0,0,1,1))+1,ROW(OFFSET(nombres[],ROWS(nombres[])-1,0,1,1))+1),$O1550:$O1569),3),"")</f>
        <v/>
      </c>
      <c r="OB1550" s="42" t="str">
        <f t="array" aca="1" ref="OB1550" ca="1">IFERROR(INDEX(nombres[],SMALL(IF(OFFSET(nombres[],0,0,ROWS(nombres[]),1)=OB$1490,ROW(OFFSET(nombres[],0,0,ROWS(nombres[]),1))-ROW(OFFSET(nombres[],0,0,1,1))+1,ROW(OFFSET(nombres[],ROWS(nombres[])-1,0,1,1))+1),$O1550:$O1569),3),"")</f>
        <v/>
      </c>
      <c r="OC1550" s="42" t="str">
        <f t="array" aca="1" ref="OC1550" ca="1">IFERROR(INDEX(nombres[],SMALL(IF(OFFSET(nombres[],0,0,ROWS(nombres[]),1)=OC$1490,ROW(OFFSET(nombres[],0,0,ROWS(nombres[]),1))-ROW(OFFSET(nombres[],0,0,1,1))+1,ROW(OFFSET(nombres[],ROWS(nombres[])-1,0,1,1))+1),$O1550:$O1569),3),"")</f>
        <v/>
      </c>
      <c r="OD1550" s="42" t="str">
        <f t="array" aca="1" ref="OD1550" ca="1">IFERROR(INDEX(nombres[],SMALL(IF(OFFSET(nombres[],0,0,ROWS(nombres[]),1)=OD$1490,ROW(OFFSET(nombres[],0,0,ROWS(nombres[]),1))-ROW(OFFSET(nombres[],0,0,1,1))+1,ROW(OFFSET(nombres[],ROWS(nombres[])-1,0,1,1))+1),$O1550:$O1569),3),"")</f>
        <v/>
      </c>
      <c r="OE1550" s="42" t="str">
        <f t="array" aca="1" ref="OE1550" ca="1">IFERROR(INDEX(nombres[],SMALL(IF(OFFSET(nombres[],0,0,ROWS(nombres[]),1)=OE$1490,ROW(OFFSET(nombres[],0,0,ROWS(nombres[]),1))-ROW(OFFSET(nombres[],0,0,1,1))+1,ROW(OFFSET(nombres[],ROWS(nombres[])-1,0,1,1))+1),$O1550:$O1569),3),"")</f>
        <v/>
      </c>
      <c r="OF1550" s="42" t="str">
        <f t="array" aca="1" ref="OF1550" ca="1">IFERROR(INDEX(nombres[],SMALL(IF(OFFSET(nombres[],0,0,ROWS(nombres[]),1)=OF$1490,ROW(OFFSET(nombres[],0,0,ROWS(nombres[]),1))-ROW(OFFSET(nombres[],0,0,1,1))+1,ROW(OFFSET(nombres[],ROWS(nombres[])-1,0,1,1))+1),$O1550:$O1569),3),"")</f>
        <v/>
      </c>
      <c r="OG1550" s="42" t="str">
        <f t="array" aca="1" ref="OG1550" ca="1">IFERROR(INDEX(nombres[],SMALL(IF(OFFSET(nombres[],0,0,ROWS(nombres[]),1)=OG$1490,ROW(OFFSET(nombres[],0,0,ROWS(nombres[]),1))-ROW(OFFSET(nombres[],0,0,1,1))+1,ROW(OFFSET(nombres[],ROWS(nombres[])-1,0,1,1))+1),$O1550:$O1569),3),"")</f>
        <v/>
      </c>
      <c r="OH1550" s="42" t="str">
        <f t="array" aca="1" ref="OH1550" ca="1">IFERROR(INDEX(nombres[],SMALL(IF(OFFSET(nombres[],0,0,ROWS(nombres[]),1)=OH$1490,ROW(OFFSET(nombres[],0,0,ROWS(nombres[]),1))-ROW(OFFSET(nombres[],0,0,1,1))+1,ROW(OFFSET(nombres[],ROWS(nombres[])-1,0,1,1))+1),$O1550:$O1569),3),"")</f>
        <v/>
      </c>
      <c r="OI1550" s="42" t="str">
        <f t="array" aca="1" ref="OI1550" ca="1">IFERROR(INDEX(nombres[],SMALL(IF(OFFSET(nombres[],0,0,ROWS(nombres[]),1)=OI$1490,ROW(OFFSET(nombres[],0,0,ROWS(nombres[]),1))-ROW(OFFSET(nombres[],0,0,1,1))+1,ROW(OFFSET(nombres[],ROWS(nombres[])-1,0,1,1))+1),$O1550:$O1569),3),"")</f>
        <v/>
      </c>
      <c r="OJ1550" s="42" t="str">
        <f t="array" aca="1" ref="OJ1550" ca="1">IFERROR(INDEX(nombres[],SMALL(IF(OFFSET(nombres[],0,0,ROWS(nombres[]),1)=OJ$1490,ROW(OFFSET(nombres[],0,0,ROWS(nombres[]),1))-ROW(OFFSET(nombres[],0,0,1,1))+1,ROW(OFFSET(nombres[],ROWS(nombres[])-1,0,1,1))+1),$O1550:$O1569),3),"")</f>
        <v/>
      </c>
      <c r="OK1550" s="42" t="str">
        <f t="array" aca="1" ref="OK1550" ca="1">IFERROR(INDEX(nombres[],SMALL(IF(OFFSET(nombres[],0,0,ROWS(nombres[]),1)=OK$1490,ROW(OFFSET(nombres[],0,0,ROWS(nombres[]),1))-ROW(OFFSET(nombres[],0,0,1,1))+1,ROW(OFFSET(nombres[],ROWS(nombres[])-1,0,1,1))+1),$O1550:$O1569),3),"")</f>
        <v/>
      </c>
      <c r="OL1550" s="42" t="str">
        <f t="array" aca="1" ref="OL1550" ca="1">IFERROR(INDEX(nombres[],SMALL(IF(OFFSET(nombres[],0,0,ROWS(nombres[]),1)=OL$1490,ROW(OFFSET(nombres[],0,0,ROWS(nombres[]),1))-ROW(OFFSET(nombres[],0,0,1,1))+1,ROW(OFFSET(nombres[],ROWS(nombres[])-1,0,1,1))+1),$O1550:$O1569),3),"")</f>
        <v/>
      </c>
      <c r="OM1550" s="42" t="str">
        <f t="array" aca="1" ref="OM1550" ca="1">IFERROR(INDEX(nombres[],SMALL(IF(OFFSET(nombres[],0,0,ROWS(nombres[]),1)=OM$1490,ROW(OFFSET(nombres[],0,0,ROWS(nombres[]),1))-ROW(OFFSET(nombres[],0,0,1,1))+1,ROW(OFFSET(nombres[],ROWS(nombres[])-1,0,1,1))+1),$O1550:$O1569),3),"")</f>
        <v/>
      </c>
      <c r="ON1550" s="42" t="str">
        <f t="array" aca="1" ref="ON1550" ca="1">IFERROR(INDEX(nombres[],SMALL(IF(OFFSET(nombres[],0,0,ROWS(nombres[]),1)=ON$1490,ROW(OFFSET(nombres[],0,0,ROWS(nombres[]),1))-ROW(OFFSET(nombres[],0,0,1,1))+1,ROW(OFFSET(nombres[],ROWS(nombres[])-1,0,1,1))+1),$O1550:$O1569),3),"")</f>
        <v/>
      </c>
      <c r="OO1550" s="42" t="str">
        <f t="array" aca="1" ref="OO1550" ca="1">IFERROR(INDEX(nombres[],SMALL(IF(OFFSET(nombres[],0,0,ROWS(nombres[]),1)=OO$1490,ROW(OFFSET(nombres[],0,0,ROWS(nombres[]),1))-ROW(OFFSET(nombres[],0,0,1,1))+1,ROW(OFFSET(nombres[],ROWS(nombres[])-1,0,1,1))+1),$O1550:$O1569),3),"")</f>
        <v/>
      </c>
      <c r="OP1550" s="42" t="str">
        <f t="array" aca="1" ref="OP1550" ca="1">IFERROR(INDEX(nombres[],SMALL(IF(OFFSET(nombres[],0,0,ROWS(nombres[]),1)=OP$1490,ROW(OFFSET(nombres[],0,0,ROWS(nombres[]),1))-ROW(OFFSET(nombres[],0,0,1,1))+1,ROW(OFFSET(nombres[],ROWS(nombres[])-1,0,1,1))+1),$O1550:$O1569),3),"")</f>
        <v/>
      </c>
      <c r="OQ1550" s="42" t="str">
        <f t="array" aca="1" ref="OQ1550" ca="1">IFERROR(INDEX(nombres[],SMALL(IF(OFFSET(nombres[],0,0,ROWS(nombres[]),1)=OQ$1490,ROW(OFFSET(nombres[],0,0,ROWS(nombres[]),1))-ROW(OFFSET(nombres[],0,0,1,1))+1,ROW(OFFSET(nombres[],ROWS(nombres[])-1,0,1,1))+1),$O1550:$O1569),3),"")</f>
        <v/>
      </c>
      <c r="OR1550" s="42" t="str">
        <f t="array" aca="1" ref="OR1550" ca="1">IFERROR(INDEX(nombres[],SMALL(IF(OFFSET(nombres[],0,0,ROWS(nombres[]),1)=OR$1490,ROW(OFFSET(nombres[],0,0,ROWS(nombres[]),1))-ROW(OFFSET(nombres[],0,0,1,1))+1,ROW(OFFSET(nombres[],ROWS(nombres[])-1,0,1,1))+1),$O1550:$O1569),3),"")</f>
        <v/>
      </c>
      <c r="OS1550" s="42" t="str">
        <f t="array" aca="1" ref="OS1550" ca="1">IFERROR(INDEX(nombres[],SMALL(IF(OFFSET(nombres[],0,0,ROWS(nombres[]),1)=OS$1490,ROW(OFFSET(nombres[],0,0,ROWS(nombres[]),1))-ROW(OFFSET(nombres[],0,0,1,1))+1,ROW(OFFSET(nombres[],ROWS(nombres[])-1,0,1,1))+1),$O1550:$O1569),3),"")</f>
        <v/>
      </c>
      <c r="OT1550" s="42" t="str">
        <f t="array" aca="1" ref="OT1550" ca="1">IFERROR(INDEX(nombres[],SMALL(IF(OFFSET(nombres[],0,0,ROWS(nombres[]),1)=OT$1490,ROW(OFFSET(nombres[],0,0,ROWS(nombres[]),1))-ROW(OFFSET(nombres[],0,0,1,1))+1,ROW(OFFSET(nombres[],ROWS(nombres[])-1,0,1,1))+1),$O1550:$O1569),3),"")</f>
        <v/>
      </c>
      <c r="OU1550" s="42" t="str">
        <f t="array" aca="1" ref="OU1550" ca="1">IFERROR(INDEX(nombres[],SMALL(IF(OFFSET(nombres[],0,0,ROWS(nombres[]),1)=OU$1490,ROW(OFFSET(nombres[],0,0,ROWS(nombres[]),1))-ROW(OFFSET(nombres[],0,0,1,1))+1,ROW(OFFSET(nombres[],ROWS(nombres[])-1,0,1,1))+1),$O1550:$O1569),3),"")</f>
        <v/>
      </c>
      <c r="OV1550" s="42" t="str">
        <f t="array" aca="1" ref="OV1550" ca="1">IFERROR(INDEX(nombres[],SMALL(IF(OFFSET(nombres[],0,0,ROWS(nombres[]),1)=OV$1490,ROW(OFFSET(nombres[],0,0,ROWS(nombres[]),1))-ROW(OFFSET(nombres[],0,0,1,1))+1,ROW(OFFSET(nombres[],ROWS(nombres[])-1,0,1,1))+1),$O1550:$O1569),3),"")</f>
        <v/>
      </c>
      <c r="OW1550" s="42" t="str">
        <f t="array" aca="1" ref="OW1550" ca="1">IFERROR(INDEX(nombres[],SMALL(IF(OFFSET(nombres[],0,0,ROWS(nombres[]),1)=OW$1490,ROW(OFFSET(nombres[],0,0,ROWS(nombres[]),1))-ROW(OFFSET(nombres[],0,0,1,1))+1,ROW(OFFSET(nombres[],ROWS(nombres[])-1,0,1,1))+1),$O1550:$O1569),3),"")</f>
        <v/>
      </c>
      <c r="OX1550" s="42" t="str">
        <f t="array" aca="1" ref="OX1550" ca="1">IFERROR(INDEX(nombres[],SMALL(IF(OFFSET(nombres[],0,0,ROWS(nombres[]),1)=OX$1490,ROW(OFFSET(nombres[],0,0,ROWS(nombres[]),1))-ROW(OFFSET(nombres[],0,0,1,1))+1,ROW(OFFSET(nombres[],ROWS(nombres[])-1,0,1,1))+1),$O1550:$O1569),3),"")</f>
        <v/>
      </c>
      <c r="OY1550" s="42" t="str">
        <f t="array" aca="1" ref="OY1550" ca="1">IFERROR(INDEX(nombres[],SMALL(IF(OFFSET(nombres[],0,0,ROWS(nombres[]),1)=OY$1490,ROW(OFFSET(nombres[],0,0,ROWS(nombres[]),1))-ROW(OFFSET(nombres[],0,0,1,1))+1,ROW(OFFSET(nombres[],ROWS(nombres[])-1,0,1,1))+1),$O1550:$O1569),3),"")</f>
        <v/>
      </c>
      <c r="OZ1550" s="42" t="str">
        <f t="array" aca="1" ref="OZ1550" ca="1">IFERROR(INDEX(nombres[],SMALL(IF(OFFSET(nombres[],0,0,ROWS(nombres[]),1)=OZ$1490,ROW(OFFSET(nombres[],0,0,ROWS(nombres[]),1))-ROW(OFFSET(nombres[],0,0,1,1))+1,ROW(OFFSET(nombres[],ROWS(nombres[])-1,0,1,1))+1),$O1550:$O1569),3),"")</f>
        <v/>
      </c>
      <c r="PA1550" s="42" t="str">
        <f t="array" aca="1" ref="PA1550" ca="1">IFERROR(INDEX(nombres[],SMALL(IF(OFFSET(nombres[],0,0,ROWS(nombres[]),1)=PA$1490,ROW(OFFSET(nombres[],0,0,ROWS(nombres[]),1))-ROW(OFFSET(nombres[],0,0,1,1))+1,ROW(OFFSET(nombres[],ROWS(nombres[])-1,0,1,1))+1),$O1550:$O1569),3),"")</f>
        <v/>
      </c>
      <c r="PB1550" s="42" t="str">
        <f t="array" aca="1" ref="PB1550" ca="1">IFERROR(INDEX(nombres[],SMALL(IF(OFFSET(nombres[],0,0,ROWS(nombres[]),1)=PB$1490,ROW(OFFSET(nombres[],0,0,ROWS(nombres[]),1))-ROW(OFFSET(nombres[],0,0,1,1))+1,ROW(OFFSET(nombres[],ROWS(nombres[])-1,0,1,1))+1),$O1550:$O1569),3),"")</f>
        <v/>
      </c>
      <c r="PC1550" s="42" t="str">
        <f t="array" aca="1" ref="PC1550" ca="1">IFERROR(INDEX(nombres[],SMALL(IF(OFFSET(nombres[],0,0,ROWS(nombres[]),1)=PC$1490,ROW(OFFSET(nombres[],0,0,ROWS(nombres[]),1))-ROW(OFFSET(nombres[],0,0,1,1))+1,ROW(OFFSET(nombres[],ROWS(nombres[])-1,0,1,1))+1),$O1550:$O1569),3),"")</f>
        <v/>
      </c>
      <c r="PD1550" s="42" t="str">
        <f t="array" aca="1" ref="PD1550" ca="1">IFERROR(INDEX(nombres[],SMALL(IF(OFFSET(nombres[],0,0,ROWS(nombres[]),1)=PD$1490,ROW(OFFSET(nombres[],0,0,ROWS(nombres[]),1))-ROW(OFFSET(nombres[],0,0,1,1))+1,ROW(OFFSET(nombres[],ROWS(nombres[])-1,0,1,1))+1),$O1550:$O1569),3),"")</f>
        <v/>
      </c>
      <c r="PE1550" s="42" t="str">
        <f t="array" aca="1" ref="PE1550" ca="1">IFERROR(INDEX(nombres[],SMALL(IF(OFFSET(nombres[],0,0,ROWS(nombres[]),1)=PE$1490,ROW(OFFSET(nombres[],0,0,ROWS(nombres[]),1))-ROW(OFFSET(nombres[],0,0,1,1))+1,ROW(OFFSET(nombres[],ROWS(nombres[])-1,0,1,1))+1),$O1550:$O1569),3),"")</f>
        <v/>
      </c>
      <c r="PF1550" s="42" t="str">
        <f t="array" aca="1" ref="PF1550" ca="1">IFERROR(INDEX(nombres[],SMALL(IF(OFFSET(nombres[],0,0,ROWS(nombres[]),1)=PF$1490,ROW(OFFSET(nombres[],0,0,ROWS(nombres[]),1))-ROW(OFFSET(nombres[],0,0,1,1))+1,ROW(OFFSET(nombres[],ROWS(nombres[])-1,0,1,1))+1),$O1550:$O1569),3),"")</f>
        <v/>
      </c>
      <c r="PG1550" s="42" t="str">
        <f t="array" aca="1" ref="PG1550" ca="1">IFERROR(INDEX(nombres[],SMALL(IF(OFFSET(nombres[],0,0,ROWS(nombres[]),1)=PG$1490,ROW(OFFSET(nombres[],0,0,ROWS(nombres[]),1))-ROW(OFFSET(nombres[],0,0,1,1))+1,ROW(OFFSET(nombres[],ROWS(nombres[])-1,0,1,1))+1),$O1550:$O1569),3),"")</f>
        <v/>
      </c>
      <c r="PH1550" s="42" t="str">
        <f t="array" aca="1" ref="PH1550" ca="1">IFERROR(INDEX(nombres[],SMALL(IF(OFFSET(nombres[],0,0,ROWS(nombres[]),1)=PH$1490,ROW(OFFSET(nombres[],0,0,ROWS(nombres[]),1))-ROW(OFFSET(nombres[],0,0,1,1))+1,ROW(OFFSET(nombres[],ROWS(nombres[])-1,0,1,1))+1),$O1550:$O1569),3),"")</f>
        <v/>
      </c>
      <c r="PI1550" s="42" t="str">
        <f t="array" aca="1" ref="PI1550" ca="1">IFERROR(INDEX(nombres[],SMALL(IF(OFFSET(nombres[],0,0,ROWS(nombres[]),1)=PI$1490,ROW(OFFSET(nombres[],0,0,ROWS(nombres[]),1))-ROW(OFFSET(nombres[],0,0,1,1))+1,ROW(OFFSET(nombres[],ROWS(nombres[])-1,0,1,1))+1),$O1550:$O1569),3),"")</f>
        <v/>
      </c>
      <c r="PJ1550" s="42" t="str">
        <f t="array" aca="1" ref="PJ1550" ca="1">IFERROR(INDEX(nombres[],SMALL(IF(OFFSET(nombres[],0,0,ROWS(nombres[]),1)=PJ$1490,ROW(OFFSET(nombres[],0,0,ROWS(nombres[]),1))-ROW(OFFSET(nombres[],0,0,1,1))+1,ROW(OFFSET(nombres[],ROWS(nombres[])-1,0,1,1))+1),$O1550:$O1569),3),"")</f>
        <v/>
      </c>
      <c r="PK1550" s="42" t="str">
        <f t="array" aca="1" ref="PK1550" ca="1">IFERROR(INDEX(nombres[],SMALL(IF(OFFSET(nombres[],0,0,ROWS(nombres[]),1)=PK$1490,ROW(OFFSET(nombres[],0,0,ROWS(nombres[]),1))-ROW(OFFSET(nombres[],0,0,1,1))+1,ROW(OFFSET(nombres[],ROWS(nombres[])-1,0,1,1))+1),$O1550:$O1569),3),"")</f>
        <v/>
      </c>
      <c r="PL1550" s="42" t="str">
        <f t="array" aca="1" ref="PL1550" ca="1">IFERROR(INDEX(nombres[],SMALL(IF(OFFSET(nombres[],0,0,ROWS(nombres[]),1)=PL$1490,ROW(OFFSET(nombres[],0,0,ROWS(nombres[]),1))-ROW(OFFSET(nombres[],0,0,1,1))+1,ROW(OFFSET(nombres[],ROWS(nombres[])-1,0,1,1))+1),$O1550:$O1569),3),"")</f>
        <v/>
      </c>
      <c r="PM1550" s="42" t="str">
        <f t="array" aca="1" ref="PM1550" ca="1">IFERROR(INDEX(nombres[],SMALL(IF(OFFSET(nombres[],0,0,ROWS(nombres[]),1)=PM$1490,ROW(OFFSET(nombres[],0,0,ROWS(nombres[]),1))-ROW(OFFSET(nombres[],0,0,1,1))+1,ROW(OFFSET(nombres[],ROWS(nombres[])-1,0,1,1))+1),$O1550:$O1569),3),"")</f>
        <v/>
      </c>
      <c r="PN1550" s="42" t="str">
        <f t="array" aca="1" ref="PN1550" ca="1">IFERROR(INDEX(nombres[],SMALL(IF(OFFSET(nombres[],0,0,ROWS(nombres[]),1)=PN$1490,ROW(OFFSET(nombres[],0,0,ROWS(nombres[]),1))-ROW(OFFSET(nombres[],0,0,1,1))+1,ROW(OFFSET(nombres[],ROWS(nombres[])-1,0,1,1))+1),$O1550:$O1569),3),"")</f>
        <v/>
      </c>
      <c r="PO1550" s="42" t="str">
        <f t="array" aca="1" ref="PO1550" ca="1">IFERROR(INDEX(nombres[],SMALL(IF(OFFSET(nombres[],0,0,ROWS(nombres[]),1)=PO$1490,ROW(OFFSET(nombres[],0,0,ROWS(nombres[]),1))-ROW(OFFSET(nombres[],0,0,1,1))+1,ROW(OFFSET(nombres[],ROWS(nombres[])-1,0,1,1))+1),$O1550:$O1569),3),"")</f>
        <v/>
      </c>
      <c r="PP1550" s="42" t="str">
        <f t="array" aca="1" ref="PP1550" ca="1">IFERROR(INDEX(nombres[],SMALL(IF(OFFSET(nombres[],0,0,ROWS(nombres[]),1)=PP$1490,ROW(OFFSET(nombres[],0,0,ROWS(nombres[]),1))-ROW(OFFSET(nombres[],0,0,1,1))+1,ROW(OFFSET(nombres[],ROWS(nombres[])-1,0,1,1))+1),$O1550:$O1569),3),"")</f>
        <v/>
      </c>
      <c r="PQ1550" s="42" t="str">
        <f t="array" aca="1" ref="PQ1550" ca="1">IFERROR(INDEX(nombres[],SMALL(IF(OFFSET(nombres[],0,0,ROWS(nombres[]),1)=PQ$1490,ROW(OFFSET(nombres[],0,0,ROWS(nombres[]),1))-ROW(OFFSET(nombres[],0,0,1,1))+1,ROW(OFFSET(nombres[],ROWS(nombres[])-1,0,1,1))+1),$O1550:$O1569),3),"")</f>
        <v/>
      </c>
      <c r="PR1550" s="42" t="str">
        <f t="array" aca="1" ref="PR1550" ca="1">IFERROR(INDEX(nombres[],SMALL(IF(OFFSET(nombres[],0,0,ROWS(nombres[]),1)=PR$1490,ROW(OFFSET(nombres[],0,0,ROWS(nombres[]),1))-ROW(OFFSET(nombres[],0,0,1,1))+1,ROW(OFFSET(nombres[],ROWS(nombres[])-1,0,1,1))+1),$O1550:$O1569),3),"")</f>
        <v/>
      </c>
      <c r="PS1550" s="42" t="str">
        <f t="array" aca="1" ref="PS1550" ca="1">IFERROR(INDEX(nombres[],SMALL(IF(OFFSET(nombres[],0,0,ROWS(nombres[]),1)=PS$1490,ROW(OFFSET(nombres[],0,0,ROWS(nombres[]),1))-ROW(OFFSET(nombres[],0,0,1,1))+1,ROW(OFFSET(nombres[],ROWS(nombres[])-1,0,1,1))+1),$O1550:$O1569),3),"")</f>
        <v/>
      </c>
      <c r="PT1550" s="42" t="str">
        <f t="array" aca="1" ref="PT1550" ca="1">IFERROR(INDEX(nombres[],SMALL(IF(OFFSET(nombres[],0,0,ROWS(nombres[]),1)=PT$1490,ROW(OFFSET(nombres[],0,0,ROWS(nombres[]),1))-ROW(OFFSET(nombres[],0,0,1,1))+1,ROW(OFFSET(nombres[],ROWS(nombres[])-1,0,1,1))+1),$O1550:$O1569),3),"")</f>
        <v/>
      </c>
      <c r="PU1550" s="42" t="str">
        <f t="array" aca="1" ref="PU1550" ca="1">IFERROR(INDEX(nombres[],SMALL(IF(OFFSET(nombres[],0,0,ROWS(nombres[]),1)=PU$1490,ROW(OFFSET(nombres[],0,0,ROWS(nombres[]),1))-ROW(OFFSET(nombres[],0,0,1,1))+1,ROW(OFFSET(nombres[],ROWS(nombres[])-1,0,1,1))+1),$O1550:$O1569),3),"")</f>
        <v/>
      </c>
      <c r="PV1550" s="42" t="str">
        <f t="array" aca="1" ref="PV1550" ca="1">IFERROR(INDEX(nombres[],SMALL(IF(OFFSET(nombres[],0,0,ROWS(nombres[]),1)=PV$1490,ROW(OFFSET(nombres[],0,0,ROWS(nombres[]),1))-ROW(OFFSET(nombres[],0,0,1,1))+1,ROW(OFFSET(nombres[],ROWS(nombres[])-1,0,1,1))+1),$O1550:$O1569),3),"")</f>
        <v/>
      </c>
      <c r="PW1550" s="42" t="str">
        <f t="array" aca="1" ref="PW1550" ca="1">IFERROR(INDEX(nombres[],SMALL(IF(OFFSET(nombres[],0,0,ROWS(nombres[]),1)=PW$1490,ROW(OFFSET(nombres[],0,0,ROWS(nombres[]),1))-ROW(OFFSET(nombres[],0,0,1,1))+1,ROW(OFFSET(nombres[],ROWS(nombres[])-1,0,1,1))+1),$O1550:$O1569),3),"")</f>
        <v/>
      </c>
      <c r="PX1550" s="42" t="str">
        <f t="array" aca="1" ref="PX1550" ca="1">IFERROR(INDEX(nombres[],SMALL(IF(OFFSET(nombres[],0,0,ROWS(nombres[]),1)=PX$1490,ROW(OFFSET(nombres[],0,0,ROWS(nombres[]),1))-ROW(OFFSET(nombres[],0,0,1,1))+1,ROW(OFFSET(nombres[],ROWS(nombres[])-1,0,1,1))+1),$O1550:$O1569),3),"")</f>
        <v/>
      </c>
      <c r="PY1550" s="42" t="str">
        <f t="array" aca="1" ref="PY1550" ca="1">IFERROR(INDEX(nombres[],SMALL(IF(OFFSET(nombres[],0,0,ROWS(nombres[]),1)=PY$1490,ROW(OFFSET(nombres[],0,0,ROWS(nombres[]),1))-ROW(OFFSET(nombres[],0,0,1,1))+1,ROW(OFFSET(nombres[],ROWS(nombres[])-1,0,1,1))+1),$O1550:$O1569),3),"")</f>
        <v/>
      </c>
      <c r="PZ1550" s="42" t="str">
        <f t="array" aca="1" ref="PZ1550" ca="1">IFERROR(INDEX(nombres[],SMALL(IF(OFFSET(nombres[],0,0,ROWS(nombres[]),1)=PZ$1490,ROW(OFFSET(nombres[],0,0,ROWS(nombres[]),1))-ROW(OFFSET(nombres[],0,0,1,1))+1,ROW(OFFSET(nombres[],ROWS(nombres[])-1,0,1,1))+1),$O1550:$O1569),3),"")</f>
        <v/>
      </c>
      <c r="QA1550" s="42" t="str">
        <f t="array" aca="1" ref="QA1550" ca="1">IFERROR(INDEX(nombres[],SMALL(IF(OFFSET(nombres[],0,0,ROWS(nombres[]),1)=QA$1490,ROW(OFFSET(nombres[],0,0,ROWS(nombres[]),1))-ROW(OFFSET(nombres[],0,0,1,1))+1,ROW(OFFSET(nombres[],ROWS(nombres[])-1,0,1,1))+1),$O1550:$O1569),3),"")</f>
        <v/>
      </c>
      <c r="QB1550" s="42" t="str">
        <f t="array" aca="1" ref="QB1550" ca="1">IFERROR(INDEX(nombres[],SMALL(IF(OFFSET(nombres[],0,0,ROWS(nombres[]),1)=QB$1490,ROW(OFFSET(nombres[],0,0,ROWS(nombres[]),1))-ROW(OFFSET(nombres[],0,0,1,1))+1,ROW(OFFSET(nombres[],ROWS(nombres[])-1,0,1,1))+1),$O1550:$O1569),3),"")</f>
        <v/>
      </c>
      <c r="QC1550" s="42" t="str">
        <f t="array" aca="1" ref="QC1550" ca="1">IFERROR(INDEX(nombres[],SMALL(IF(OFFSET(nombres[],0,0,ROWS(nombres[]),1)=QC$1490,ROW(OFFSET(nombres[],0,0,ROWS(nombres[]),1))-ROW(OFFSET(nombres[],0,0,1,1))+1,ROW(OFFSET(nombres[],ROWS(nombres[])-1,0,1,1))+1),$O1550:$O1569),3),"")</f>
        <v/>
      </c>
      <c r="QD1550" s="42" t="str">
        <f t="array" aca="1" ref="QD1550" ca="1">IFERROR(INDEX(nombres[],SMALL(IF(OFFSET(nombres[],0,0,ROWS(nombres[]),1)=QD$1490,ROW(OFFSET(nombres[],0,0,ROWS(nombres[]),1))-ROW(OFFSET(nombres[],0,0,1,1))+1,ROW(OFFSET(nombres[],ROWS(nombres[])-1,0,1,1))+1),$O1550:$O1569),3),"")</f>
        <v/>
      </c>
      <c r="QE1550" s="42" t="str">
        <f t="array" aca="1" ref="QE1550" ca="1">IFERROR(INDEX(nombres[],SMALL(IF(OFFSET(nombres[],0,0,ROWS(nombres[]),1)=QE$1490,ROW(OFFSET(nombres[],0,0,ROWS(nombres[]),1))-ROW(OFFSET(nombres[],0,0,1,1))+1,ROW(OFFSET(nombres[],ROWS(nombres[])-1,0,1,1))+1),$O1550:$O1569),3),"")</f>
        <v/>
      </c>
      <c r="QF1550" s="42" t="str">
        <f t="array" aca="1" ref="QF1550" ca="1">IFERROR(INDEX(nombres[],SMALL(IF(OFFSET(nombres[],0,0,ROWS(nombres[]),1)=QF$1490,ROW(OFFSET(nombres[],0,0,ROWS(nombres[]),1))-ROW(OFFSET(nombres[],0,0,1,1))+1,ROW(OFFSET(nombres[],ROWS(nombres[])-1,0,1,1))+1),$O1550:$O1569),3),"")</f>
        <v/>
      </c>
      <c r="QG1550" s="42" t="str">
        <f t="array" aca="1" ref="QG1550" ca="1">IFERROR(INDEX(nombres[],SMALL(IF(OFFSET(nombres[],0,0,ROWS(nombres[]),1)=QG$1490,ROW(OFFSET(nombres[],0,0,ROWS(nombres[]),1))-ROW(OFFSET(nombres[],0,0,1,1))+1,ROW(OFFSET(nombres[],ROWS(nombres[])-1,0,1,1))+1),$O1550:$O1569),3),"")</f>
        <v/>
      </c>
      <c r="QH1550" s="42" t="str">
        <f t="array" aca="1" ref="QH1550" ca="1">IFERROR(INDEX(nombres[],SMALL(IF(OFFSET(nombres[],0,0,ROWS(nombres[]),1)=QH$1490,ROW(OFFSET(nombres[],0,0,ROWS(nombres[]),1))-ROW(OFFSET(nombres[],0,0,1,1))+1,ROW(OFFSET(nombres[],ROWS(nombres[])-1,0,1,1))+1),$O1550:$O1569),3),"")</f>
        <v/>
      </c>
      <c r="QI1550" s="42" t="str">
        <f t="array" aca="1" ref="QI1550" ca="1">IFERROR(INDEX(nombres[],SMALL(IF(OFFSET(nombres[],0,0,ROWS(nombres[]),1)=QI$1490,ROW(OFFSET(nombres[],0,0,ROWS(nombres[]),1))-ROW(OFFSET(nombres[],0,0,1,1))+1,ROW(OFFSET(nombres[],ROWS(nombres[])-1,0,1,1))+1),$O1550:$O1569),3),"")</f>
        <v/>
      </c>
      <c r="QJ1550" s="42" t="str">
        <f t="array" aca="1" ref="QJ1550" ca="1">IFERROR(INDEX(nombres[],SMALL(IF(OFFSET(nombres[],0,0,ROWS(nombres[]),1)=QJ$1490,ROW(OFFSET(nombres[],0,0,ROWS(nombres[]),1))-ROW(OFFSET(nombres[],0,0,1,1))+1,ROW(OFFSET(nombres[],ROWS(nombres[])-1,0,1,1))+1),$O1550:$O1569),3),"")</f>
        <v/>
      </c>
      <c r="QK1550" s="42" t="str">
        <f t="array" aca="1" ref="QK1550" ca="1">IFERROR(INDEX(nombres[],SMALL(IF(OFFSET(nombres[],0,0,ROWS(nombres[]),1)=QK$1490,ROW(OFFSET(nombres[],0,0,ROWS(nombres[]),1))-ROW(OFFSET(nombres[],0,0,1,1))+1,ROW(OFFSET(nombres[],ROWS(nombres[])-1,0,1,1))+1),$O1550:$O1569),3),"")</f>
        <v/>
      </c>
      <c r="QL1550" s="42" t="str">
        <f t="array" aca="1" ref="QL1550" ca="1">IFERROR(INDEX(nombres[],SMALL(IF(OFFSET(nombres[],0,0,ROWS(nombres[]),1)=QL$1490,ROW(OFFSET(nombres[],0,0,ROWS(nombres[]),1))-ROW(OFFSET(nombres[],0,0,1,1))+1,ROW(OFFSET(nombres[],ROWS(nombres[])-1,0,1,1))+1),$O1550:$O1569),3),"")</f>
        <v/>
      </c>
      <c r="QM1550" s="42" t="str">
        <f t="array" aca="1" ref="QM1550" ca="1">IFERROR(INDEX(nombres[],SMALL(IF(OFFSET(nombres[],0,0,ROWS(nombres[]),1)=QM$1490,ROW(OFFSET(nombres[],0,0,ROWS(nombres[]),1))-ROW(OFFSET(nombres[],0,0,1,1))+1,ROW(OFFSET(nombres[],ROWS(nombres[])-1,0,1,1))+1),$O1550:$O1569),3),"")</f>
        <v/>
      </c>
      <c r="QN1550" s="42" t="str">
        <f t="array" aca="1" ref="QN1550" ca="1">IFERROR(INDEX(nombres[],SMALL(IF(OFFSET(nombres[],0,0,ROWS(nombres[]),1)=QN$1490,ROW(OFFSET(nombres[],0,0,ROWS(nombres[]),1))-ROW(OFFSET(nombres[],0,0,1,1))+1,ROW(OFFSET(nombres[],ROWS(nombres[])-1,0,1,1))+1),$O1550:$O1569),3),"")</f>
        <v/>
      </c>
      <c r="QO1550" s="42" t="str">
        <f t="array" aca="1" ref="QO1550" ca="1">IFERROR(INDEX(nombres[],SMALL(IF(OFFSET(nombres[],0,0,ROWS(nombres[]),1)=QO$1490,ROW(OFFSET(nombres[],0,0,ROWS(nombres[]),1))-ROW(OFFSET(nombres[],0,0,1,1))+1,ROW(OFFSET(nombres[],ROWS(nombres[])-1,0,1,1))+1),$O1550:$O1569),3),"")</f>
        <v/>
      </c>
      <c r="QP1550" s="42" t="str">
        <f t="array" aca="1" ref="QP1550" ca="1">IFERROR(INDEX(nombres[],SMALL(IF(OFFSET(nombres[],0,0,ROWS(nombres[]),1)=QP$1490,ROW(OFFSET(nombres[],0,0,ROWS(nombres[]),1))-ROW(OFFSET(nombres[],0,0,1,1))+1,ROW(OFFSET(nombres[],ROWS(nombres[])-1,0,1,1))+1),$O1550:$O1569),3),"")</f>
        <v/>
      </c>
      <c r="QQ1550" s="42" t="str">
        <f t="array" aca="1" ref="QQ1550" ca="1">IFERROR(INDEX(nombres[],SMALL(IF(OFFSET(nombres[],0,0,ROWS(nombres[]),1)=QQ$1490,ROW(OFFSET(nombres[],0,0,ROWS(nombres[]),1))-ROW(OFFSET(nombres[],0,0,1,1))+1,ROW(OFFSET(nombres[],ROWS(nombres[])-1,0,1,1))+1),$O1550:$O1569),3),"")</f>
        <v/>
      </c>
      <c r="QR1550" s="42" t="str">
        <f t="array" aca="1" ref="QR1550" ca="1">IFERROR(INDEX(nombres[],SMALL(IF(OFFSET(nombres[],0,0,ROWS(nombres[]),1)=QR$1490,ROW(OFFSET(nombres[],0,0,ROWS(nombres[]),1))-ROW(OFFSET(nombres[],0,0,1,1))+1,ROW(OFFSET(nombres[],ROWS(nombres[])-1,0,1,1))+1),$O1550:$O1569),3),"")</f>
        <v/>
      </c>
      <c r="QS1550" s="42" t="str">
        <f t="array" aca="1" ref="QS1550" ca="1">IFERROR(INDEX(nombres[],SMALL(IF(OFFSET(nombres[],0,0,ROWS(nombres[]),1)=QS$1490,ROW(OFFSET(nombres[],0,0,ROWS(nombres[]),1))-ROW(OFFSET(nombres[],0,0,1,1))+1,ROW(OFFSET(nombres[],ROWS(nombres[])-1,0,1,1))+1),$O1550:$O1569),3),"")</f>
        <v/>
      </c>
      <c r="QT1550" s="42" t="str">
        <f t="array" aca="1" ref="QT1550" ca="1">IFERROR(INDEX(nombres[],SMALL(IF(OFFSET(nombres[],0,0,ROWS(nombres[]),1)=QT$1490,ROW(OFFSET(nombres[],0,0,ROWS(nombres[]),1))-ROW(OFFSET(nombres[],0,0,1,1))+1,ROW(OFFSET(nombres[],ROWS(nombres[])-1,0,1,1))+1),$O1550:$O1569),3),"")</f>
        <v/>
      </c>
      <c r="QU1550" s="42" t="str">
        <f t="array" aca="1" ref="QU1550" ca="1">IFERROR(INDEX(nombres[],SMALL(IF(OFFSET(nombres[],0,0,ROWS(nombres[]),1)=QU$1490,ROW(OFFSET(nombres[],0,0,ROWS(nombres[]),1))-ROW(OFFSET(nombres[],0,0,1,1))+1,ROW(OFFSET(nombres[],ROWS(nombres[])-1,0,1,1))+1),$O1550:$O1569),3),"")</f>
        <v/>
      </c>
      <c r="QV1550" s="42" t="str">
        <f t="array" aca="1" ref="QV1550" ca="1">IFERROR(INDEX(nombres[],SMALL(IF(OFFSET(nombres[],0,0,ROWS(nombres[]),1)=QV$1490,ROW(OFFSET(nombres[],0,0,ROWS(nombres[]),1))-ROW(OFFSET(nombres[],0,0,1,1))+1,ROW(OFFSET(nombres[],ROWS(nombres[])-1,0,1,1))+1),$O1550:$O1569),3),"")</f>
        <v/>
      </c>
      <c r="QW1550" s="42" t="str">
        <f t="array" aca="1" ref="QW1550" ca="1">IFERROR(INDEX(nombres[],SMALL(IF(OFFSET(nombres[],0,0,ROWS(nombres[]),1)=QW$1490,ROW(OFFSET(nombres[],0,0,ROWS(nombres[]),1))-ROW(OFFSET(nombres[],0,0,1,1))+1,ROW(OFFSET(nombres[],ROWS(nombres[])-1,0,1,1))+1),$O1550:$O1569),3),"")</f>
        <v/>
      </c>
      <c r="QX1550" s="42" t="str">
        <f t="array" aca="1" ref="QX1550" ca="1">IFERROR(INDEX(nombres[],SMALL(IF(OFFSET(nombres[],0,0,ROWS(nombres[]),1)=QX$1490,ROW(OFFSET(nombres[],0,0,ROWS(nombres[]),1))-ROW(OFFSET(nombres[],0,0,1,1))+1,ROW(OFFSET(nombres[],ROWS(nombres[])-1,0,1,1))+1),$O1550:$O1569),3),"")</f>
        <v/>
      </c>
      <c r="QY1550" s="42" t="str">
        <f t="array" aca="1" ref="QY1550" ca="1">IFERROR(INDEX(nombres[],SMALL(IF(OFFSET(nombres[],0,0,ROWS(nombres[]),1)=QY$1490,ROW(OFFSET(nombres[],0,0,ROWS(nombres[]),1))-ROW(OFFSET(nombres[],0,0,1,1))+1,ROW(OFFSET(nombres[],ROWS(nombres[])-1,0,1,1))+1),$O1550:$O1569),3),"")</f>
        <v/>
      </c>
      <c r="QZ1550" s="42" t="str">
        <f t="array" aca="1" ref="QZ1550" ca="1">IFERROR(INDEX(nombres[],SMALL(IF(OFFSET(nombres[],0,0,ROWS(nombres[]),1)=QZ$1490,ROW(OFFSET(nombres[],0,0,ROWS(nombres[]),1))-ROW(OFFSET(nombres[],0,0,1,1))+1,ROW(OFFSET(nombres[],ROWS(nombres[])-1,0,1,1))+1),$O1550:$O1569),3),"")</f>
        <v/>
      </c>
      <c r="RA1550" s="42" t="str">
        <f t="array" aca="1" ref="RA1550" ca="1">IFERROR(INDEX(nombres[],SMALL(IF(OFFSET(nombres[],0,0,ROWS(nombres[]),1)=RA$1490,ROW(OFFSET(nombres[],0,0,ROWS(nombres[]),1))-ROW(OFFSET(nombres[],0,0,1,1))+1,ROW(OFFSET(nombres[],ROWS(nombres[])-1,0,1,1))+1),$O1550:$O1569),3),"")</f>
        <v/>
      </c>
      <c r="RB1550" s="42" t="str">
        <f t="array" aca="1" ref="RB1550" ca="1">IFERROR(INDEX(nombres[],SMALL(IF(OFFSET(nombres[],0,0,ROWS(nombres[]),1)=RB$1490,ROW(OFFSET(nombres[],0,0,ROWS(nombres[]),1))-ROW(OFFSET(nombres[],0,0,1,1))+1,ROW(OFFSET(nombres[],ROWS(nombres[])-1,0,1,1))+1),$O1550:$O1569),3),"")</f>
        <v/>
      </c>
      <c r="RC1550" s="42" t="str">
        <f t="array" aca="1" ref="RC1550" ca="1">IFERROR(INDEX(nombres[],SMALL(IF(OFFSET(nombres[],0,0,ROWS(nombres[]),1)=RC$1490,ROW(OFFSET(nombres[],0,0,ROWS(nombres[]),1))-ROW(OFFSET(nombres[],0,0,1,1))+1,ROW(OFFSET(nombres[],ROWS(nombres[])-1,0,1,1))+1),$O1550:$O1569),3),"")</f>
        <v/>
      </c>
      <c r="RD1550" s="42" t="str">
        <f t="array" aca="1" ref="RD1550" ca="1">IFERROR(INDEX(nombres[],SMALL(IF(OFFSET(nombres[],0,0,ROWS(nombres[]),1)=RD$1490,ROW(OFFSET(nombres[],0,0,ROWS(nombres[]),1))-ROW(OFFSET(nombres[],0,0,1,1))+1,ROW(OFFSET(nombres[],ROWS(nombres[])-1,0,1,1))+1),$O1550:$O1569),3),"")</f>
        <v/>
      </c>
      <c r="RE1550" s="42" t="str">
        <f t="array" aca="1" ref="RE1550" ca="1">IFERROR(INDEX(nombres[],SMALL(IF(OFFSET(nombres[],0,0,ROWS(nombres[]),1)=RE$1490,ROW(OFFSET(nombres[],0,0,ROWS(nombres[]),1))-ROW(OFFSET(nombres[],0,0,1,1))+1,ROW(OFFSET(nombres[],ROWS(nombres[])-1,0,1,1))+1),$O1550:$O1569),3),"")</f>
        <v/>
      </c>
      <c r="RF1550" s="42" t="str">
        <f t="array" aca="1" ref="RF1550" ca="1">IFERROR(INDEX(nombres[],SMALL(IF(OFFSET(nombres[],0,0,ROWS(nombres[]),1)=RF$1490,ROW(OFFSET(nombres[],0,0,ROWS(nombres[]),1))-ROW(OFFSET(nombres[],0,0,1,1))+1,ROW(OFFSET(nombres[],ROWS(nombres[])-1,0,1,1))+1),$O1550:$O1569),3),"")</f>
        <v/>
      </c>
      <c r="RG1550" s="42" t="str">
        <f t="array" aca="1" ref="RG1550" ca="1">IFERROR(INDEX(nombres[],SMALL(IF(OFFSET(nombres[],0,0,ROWS(nombres[]),1)=RG$1490,ROW(OFFSET(nombres[],0,0,ROWS(nombres[]),1))-ROW(OFFSET(nombres[],0,0,1,1))+1,ROW(OFFSET(nombres[],ROWS(nombres[])-1,0,1,1))+1),$O1550:$O1569),3),"")</f>
        <v/>
      </c>
      <c r="RH1550" s="42" t="str">
        <f t="array" aca="1" ref="RH1550" ca="1">IFERROR(INDEX(nombres[],SMALL(IF(OFFSET(nombres[],0,0,ROWS(nombres[]),1)=RH$1490,ROW(OFFSET(nombres[],0,0,ROWS(nombres[]),1))-ROW(OFFSET(nombres[],0,0,1,1))+1,ROW(OFFSET(nombres[],ROWS(nombres[])-1,0,1,1))+1),$O1550:$O1569),3),"")</f>
        <v/>
      </c>
      <c r="RI1550" s="42" t="str">
        <f t="array" aca="1" ref="RI1550" ca="1">IFERROR(INDEX(nombres[],SMALL(IF(OFFSET(nombres[],0,0,ROWS(nombres[]),1)=RI$1490,ROW(OFFSET(nombres[],0,0,ROWS(nombres[]),1))-ROW(OFFSET(nombres[],0,0,1,1))+1,ROW(OFFSET(nombres[],ROWS(nombres[])-1,0,1,1))+1),$O1550:$O1569),3),"")</f>
        <v/>
      </c>
      <c r="RJ1550" s="42" t="str">
        <f t="array" aca="1" ref="RJ1550" ca="1">IFERROR(INDEX(nombres[],SMALL(IF(OFFSET(nombres[],0,0,ROWS(nombres[]),1)=RJ$1490,ROW(OFFSET(nombres[],0,0,ROWS(nombres[]),1))-ROW(OFFSET(nombres[],0,0,1,1))+1,ROW(OFFSET(nombres[],ROWS(nombres[])-1,0,1,1))+1),$O1550:$O1569),3),"")</f>
        <v/>
      </c>
      <c r="RK1550" s="42" t="str">
        <f t="array" aca="1" ref="RK1550" ca="1">IFERROR(INDEX(nombres[],SMALL(IF(OFFSET(nombres[],0,0,ROWS(nombres[]),1)=RK$1490,ROW(OFFSET(nombres[],0,0,ROWS(nombres[]),1))-ROW(OFFSET(nombres[],0,0,1,1))+1,ROW(OFFSET(nombres[],ROWS(nombres[])-1,0,1,1))+1),$O1550:$O1569),3),"")</f>
        <v/>
      </c>
      <c r="RL1550" s="42" t="str">
        <f t="array" aca="1" ref="RL1550" ca="1">IFERROR(INDEX(nombres[],SMALL(IF(OFFSET(nombres[],0,0,ROWS(nombres[]),1)=RL$1490,ROW(OFFSET(nombres[],0,0,ROWS(nombres[]),1))-ROW(OFFSET(nombres[],0,0,1,1))+1,ROW(OFFSET(nombres[],ROWS(nombres[])-1,0,1,1))+1),$O1550:$O1569),3),"")</f>
        <v/>
      </c>
      <c r="RM1550" s="42" t="str">
        <f t="array" aca="1" ref="RM1550" ca="1">IFERROR(INDEX(nombres[],SMALL(IF(OFFSET(nombres[],0,0,ROWS(nombres[]),1)=RM$1490,ROW(OFFSET(nombres[],0,0,ROWS(nombres[]),1))-ROW(OFFSET(nombres[],0,0,1,1))+1,ROW(OFFSET(nombres[],ROWS(nombres[])-1,0,1,1))+1),$O1550:$O1569),3),"")</f>
        <v/>
      </c>
      <c r="RN1550" s="42" t="str">
        <f t="array" aca="1" ref="RN1550" ca="1">IFERROR(INDEX(nombres[],SMALL(IF(OFFSET(nombres[],0,0,ROWS(nombres[]),1)=RN$1490,ROW(OFFSET(nombres[],0,0,ROWS(nombres[]),1))-ROW(OFFSET(nombres[],0,0,1,1))+1,ROW(OFFSET(nombres[],ROWS(nombres[])-1,0,1,1))+1),$O1550:$O1569),3),"")</f>
        <v/>
      </c>
      <c r="RO1550" s="42" t="str">
        <f t="array" aca="1" ref="RO1550" ca="1">IFERROR(INDEX(nombres[],SMALL(IF(OFFSET(nombres[],0,0,ROWS(nombres[]),1)=RO$1490,ROW(OFFSET(nombres[],0,0,ROWS(nombres[]),1))-ROW(OFFSET(nombres[],0,0,1,1))+1,ROW(OFFSET(nombres[],ROWS(nombres[])-1,0,1,1))+1),$O1550:$O1569),3),"")</f>
        <v/>
      </c>
      <c r="RP1550" s="42" t="str">
        <f t="array" aca="1" ref="RP1550" ca="1">IFERROR(INDEX(nombres[],SMALL(IF(OFFSET(nombres[],0,0,ROWS(nombres[]),1)=RP$1490,ROW(OFFSET(nombres[],0,0,ROWS(nombres[]),1))-ROW(OFFSET(nombres[],0,0,1,1))+1,ROW(OFFSET(nombres[],ROWS(nombres[])-1,0,1,1))+1),$O1550:$O1569),3),"")</f>
        <v/>
      </c>
      <c r="RQ1550" s="42" t="str">
        <f t="array" aca="1" ref="RQ1550" ca="1">IFERROR(INDEX(nombres[],SMALL(IF(OFFSET(nombres[],0,0,ROWS(nombres[]),1)=RQ$1490,ROW(OFFSET(nombres[],0,0,ROWS(nombres[]),1))-ROW(OFFSET(nombres[],0,0,1,1))+1,ROW(OFFSET(nombres[],ROWS(nombres[])-1,0,1,1))+1),$O1550:$O1569),3),"")</f>
        <v/>
      </c>
      <c r="RR1550" s="42" t="str">
        <f t="array" aca="1" ref="RR1550" ca="1">IFERROR(INDEX(nombres[],SMALL(IF(OFFSET(nombres[],0,0,ROWS(nombres[]),1)=RR$1490,ROW(OFFSET(nombres[],0,0,ROWS(nombres[]),1))-ROW(OFFSET(nombres[],0,0,1,1))+1,ROW(OFFSET(nombres[],ROWS(nombres[])-1,0,1,1))+1),$O1550:$O1569),3),"")</f>
        <v/>
      </c>
      <c r="RS1550" s="42" t="str">
        <f t="array" aca="1" ref="RS1550" ca="1">IFERROR(INDEX(nombres[],SMALL(IF(OFFSET(nombres[],0,0,ROWS(nombres[]),1)=RS$1490,ROW(OFFSET(nombres[],0,0,ROWS(nombres[]),1))-ROW(OFFSET(nombres[],0,0,1,1))+1,ROW(OFFSET(nombres[],ROWS(nombres[])-1,0,1,1))+1),$O1550:$O1569),3),"")</f>
        <v/>
      </c>
      <c r="RT1550" s="42" t="str">
        <f t="array" aca="1" ref="RT1550" ca="1">IFERROR(INDEX(nombres[],SMALL(IF(OFFSET(nombres[],0,0,ROWS(nombres[]),1)=RT$1490,ROW(OFFSET(nombres[],0,0,ROWS(nombres[]),1))-ROW(OFFSET(nombres[],0,0,1,1))+1,ROW(OFFSET(nombres[],ROWS(nombres[])-1,0,1,1))+1),$O1550:$O1569),3),"")</f>
        <v/>
      </c>
      <c r="RU1550" s="42" t="str">
        <f t="array" aca="1" ref="RU1550" ca="1">IFERROR(INDEX(nombres[],SMALL(IF(OFFSET(nombres[],0,0,ROWS(nombres[]),1)=RU$1490,ROW(OFFSET(nombres[],0,0,ROWS(nombres[]),1))-ROW(OFFSET(nombres[],0,0,1,1))+1,ROW(OFFSET(nombres[],ROWS(nombres[])-1,0,1,1))+1),$O1550:$O1569),3),"")</f>
        <v/>
      </c>
      <c r="RV1550" s="42" t="str">
        <f t="array" aca="1" ref="RV1550" ca="1">IFERROR(INDEX(nombres[],SMALL(IF(OFFSET(nombres[],0,0,ROWS(nombres[]),1)=RV$1490,ROW(OFFSET(nombres[],0,0,ROWS(nombres[]),1))-ROW(OFFSET(nombres[],0,0,1,1))+1,ROW(OFFSET(nombres[],ROWS(nombres[])-1,0,1,1))+1),$O1550:$O1569),3),"")</f>
        <v/>
      </c>
      <c r="RW1550" s="42" t="str">
        <f t="array" aca="1" ref="RW1550" ca="1">IFERROR(INDEX(nombres[],SMALL(IF(OFFSET(nombres[],0,0,ROWS(nombres[]),1)=RW$1490,ROW(OFFSET(nombres[],0,0,ROWS(nombres[]),1))-ROW(OFFSET(nombres[],0,0,1,1))+1,ROW(OFFSET(nombres[],ROWS(nombres[])-1,0,1,1))+1),$O1550:$O1569),3),"")</f>
        <v/>
      </c>
      <c r="RX1550" s="42" t="str">
        <f t="array" aca="1" ref="RX1550" ca="1">IFERROR(INDEX(nombres[],SMALL(IF(OFFSET(nombres[],0,0,ROWS(nombres[]),1)=RX$1490,ROW(OFFSET(nombres[],0,0,ROWS(nombres[]),1))-ROW(OFFSET(nombres[],0,0,1,1))+1,ROW(OFFSET(nombres[],ROWS(nombres[])-1,0,1,1))+1),$O1550:$O1569),3),"")</f>
        <v/>
      </c>
      <c r="RY1550" s="42" t="str">
        <f t="array" aca="1" ref="RY1550" ca="1">IFERROR(INDEX(nombres[],SMALL(IF(OFFSET(nombres[],0,0,ROWS(nombres[]),1)=RY$1490,ROW(OFFSET(nombres[],0,0,ROWS(nombres[]),1))-ROW(OFFSET(nombres[],0,0,1,1))+1,ROW(OFFSET(nombres[],ROWS(nombres[])-1,0,1,1))+1),$O1550:$O1569),3),"")</f>
        <v/>
      </c>
      <c r="RZ1550" s="42" t="str">
        <f t="array" aca="1" ref="RZ1550" ca="1">IFERROR(INDEX(nombres[],SMALL(IF(OFFSET(nombres[],0,0,ROWS(nombres[]),1)=RZ$1490,ROW(OFFSET(nombres[],0,0,ROWS(nombres[]),1))-ROW(OFFSET(nombres[],0,0,1,1))+1,ROW(OFFSET(nombres[],ROWS(nombres[])-1,0,1,1))+1),$O1550:$O1569),3),"")</f>
        <v/>
      </c>
      <c r="SA1550" s="42" t="str">
        <f t="array" aca="1" ref="SA1550" ca="1">IFERROR(INDEX(nombres[],SMALL(IF(OFFSET(nombres[],0,0,ROWS(nombres[]),1)=SA$1490,ROW(OFFSET(nombres[],0,0,ROWS(nombres[]),1))-ROW(OFFSET(nombres[],0,0,1,1))+1,ROW(OFFSET(nombres[],ROWS(nombres[])-1,0,1,1))+1),$O1550:$O1569),3),"")</f>
        <v/>
      </c>
      <c r="SB1550" s="42" t="str">
        <f t="array" aca="1" ref="SB1550" ca="1">IFERROR(INDEX(nombres[],SMALL(IF(OFFSET(nombres[],0,0,ROWS(nombres[]),1)=SB$1490,ROW(OFFSET(nombres[],0,0,ROWS(nombres[]),1))-ROW(OFFSET(nombres[],0,0,1,1))+1,ROW(OFFSET(nombres[],ROWS(nombres[])-1,0,1,1))+1),$O1550:$O1569),3),"")</f>
        <v/>
      </c>
      <c r="SC1550" s="42" t="str">
        <f t="array" aca="1" ref="SC1550" ca="1">IFERROR(INDEX(nombres[],SMALL(IF(OFFSET(nombres[],0,0,ROWS(nombres[]),1)=SC$1490,ROW(OFFSET(nombres[],0,0,ROWS(nombres[]),1))-ROW(OFFSET(nombres[],0,0,1,1))+1,ROW(OFFSET(nombres[],ROWS(nombres[])-1,0,1,1))+1),$O1550:$O1569),3),"")</f>
        <v/>
      </c>
      <c r="SD1550" s="42" t="str">
        <f t="array" aca="1" ref="SD1550" ca="1">IFERROR(INDEX(nombres[],SMALL(IF(OFFSET(nombres[],0,0,ROWS(nombres[]),1)=SD$1490,ROW(OFFSET(nombres[],0,0,ROWS(nombres[]),1))-ROW(OFFSET(nombres[],0,0,1,1))+1,ROW(OFFSET(nombres[],ROWS(nombres[])-1,0,1,1))+1),$O1550:$O1569),3),"")</f>
        <v/>
      </c>
      <c r="SE1550" s="42" t="str">
        <f t="array" aca="1" ref="SE1550" ca="1">IFERROR(INDEX(nombres[],SMALL(IF(OFFSET(nombres[],0,0,ROWS(nombres[]),1)=SE$1490,ROW(OFFSET(nombres[],0,0,ROWS(nombres[]),1))-ROW(OFFSET(nombres[],0,0,1,1))+1,ROW(OFFSET(nombres[],ROWS(nombres[])-1,0,1,1))+1),$O1550:$O1569),3),"")</f>
        <v/>
      </c>
      <c r="SF1550" s="42" t="str">
        <f t="array" aca="1" ref="SF1550" ca="1">IFERROR(INDEX(nombres[],SMALL(IF(OFFSET(nombres[],0,0,ROWS(nombres[]),1)=SF$1490,ROW(OFFSET(nombres[],0,0,ROWS(nombres[]),1))-ROW(OFFSET(nombres[],0,0,1,1))+1,ROW(OFFSET(nombres[],ROWS(nombres[])-1,0,1,1))+1),$O1550:$O1569),3),"")</f>
        <v/>
      </c>
      <c r="SG1550" s="42" t="str">
        <f t="array" aca="1" ref="SG1550" ca="1">IFERROR(INDEX(nombres[],SMALL(IF(OFFSET(nombres[],0,0,ROWS(nombres[]),1)=SG$1490,ROW(OFFSET(nombres[],0,0,ROWS(nombres[]),1))-ROW(OFFSET(nombres[],0,0,1,1))+1,ROW(OFFSET(nombres[],ROWS(nombres[])-1,0,1,1))+1),$O1550:$O1569),3),"")</f>
        <v/>
      </c>
      <c r="SH1550" s="42" t="str">
        <f t="array" aca="1" ref="SH1550" ca="1">IFERROR(INDEX(nombres[],SMALL(IF(OFFSET(nombres[],0,0,ROWS(nombres[]),1)=SH$1490,ROW(OFFSET(nombres[],0,0,ROWS(nombres[]),1))-ROW(OFFSET(nombres[],0,0,1,1))+1,ROW(OFFSET(nombres[],ROWS(nombres[])-1,0,1,1))+1),$O1550:$O1569),3),"")</f>
        <v/>
      </c>
      <c r="SI1550" s="42" t="str">
        <f t="array" aca="1" ref="SI1550" ca="1">IFERROR(INDEX(nombres[],SMALL(IF(OFFSET(nombres[],0,0,ROWS(nombres[]),1)=SI$1490,ROW(OFFSET(nombres[],0,0,ROWS(nombres[]),1))-ROW(OFFSET(nombres[],0,0,1,1))+1,ROW(OFFSET(nombres[],ROWS(nombres[])-1,0,1,1))+1),$O1550:$O1569),3),"")</f>
        <v/>
      </c>
      <c r="SJ1550" s="42" t="str">
        <f t="array" aca="1" ref="SJ1550" ca="1">IFERROR(INDEX(nombres[],SMALL(IF(OFFSET(nombres[],0,0,ROWS(nombres[]),1)=SJ$1490,ROW(OFFSET(nombres[],0,0,ROWS(nombres[]),1))-ROW(OFFSET(nombres[],0,0,1,1))+1,ROW(OFFSET(nombres[],ROWS(nombres[])-1,0,1,1))+1),$O1550:$O1569),3),"")</f>
        <v/>
      </c>
      <c r="SK1550" s="42" t="str">
        <f t="array" aca="1" ref="SK1550" ca="1">IFERROR(INDEX(nombres[],SMALL(IF(OFFSET(nombres[],0,0,ROWS(nombres[]),1)=SK$1490,ROW(OFFSET(nombres[],0,0,ROWS(nombres[]),1))-ROW(OFFSET(nombres[],0,0,1,1))+1,ROW(OFFSET(nombres[],ROWS(nombres[])-1,0,1,1))+1),$O1550:$O1569),3),"")</f>
        <v/>
      </c>
      <c r="SL1550" s="42" t="str">
        <f t="array" aca="1" ref="SL1550" ca="1">IFERROR(INDEX(nombres[],SMALL(IF(OFFSET(nombres[],0,0,ROWS(nombres[]),1)=SL$1490,ROW(OFFSET(nombres[],0,0,ROWS(nombres[]),1))-ROW(OFFSET(nombres[],0,0,1,1))+1,ROW(OFFSET(nombres[],ROWS(nombres[])-1,0,1,1))+1),$O1550:$O1569),3),"")</f>
        <v/>
      </c>
      <c r="SM1550" s="42" t="str">
        <f t="array" aca="1" ref="SM1550" ca="1">IFERROR(INDEX(nombres[],SMALL(IF(OFFSET(nombres[],0,0,ROWS(nombres[]),1)=SM$1490,ROW(OFFSET(nombres[],0,0,ROWS(nombres[]),1))-ROW(OFFSET(nombres[],0,0,1,1))+1,ROW(OFFSET(nombres[],ROWS(nombres[])-1,0,1,1))+1),$O1550:$O1569),3),"")</f>
        <v/>
      </c>
      <c r="SN1550" s="42" t="str">
        <f t="array" aca="1" ref="SN1550" ca="1">IFERROR(INDEX(nombres[],SMALL(IF(OFFSET(nombres[],0,0,ROWS(nombres[]),1)=SN$1490,ROW(OFFSET(nombres[],0,0,ROWS(nombres[]),1))-ROW(OFFSET(nombres[],0,0,1,1))+1,ROW(OFFSET(nombres[],ROWS(nombres[])-1,0,1,1))+1),$O1550:$O1569),3),"")</f>
        <v/>
      </c>
      <c r="SO1550" s="42" t="str">
        <f t="array" aca="1" ref="SO1550" ca="1">IFERROR(INDEX(nombres[],SMALL(IF(OFFSET(nombres[],0,0,ROWS(nombres[]),1)=SO$1490,ROW(OFFSET(nombres[],0,0,ROWS(nombres[]),1))-ROW(OFFSET(nombres[],0,0,1,1))+1,ROW(OFFSET(nombres[],ROWS(nombres[])-1,0,1,1))+1),$O1550:$O1569),3),"")</f>
        <v/>
      </c>
      <c r="SP1550" s="42" t="str">
        <f t="array" aca="1" ref="SP1550" ca="1">IFERROR(INDEX(nombres[],SMALL(IF(OFFSET(nombres[],0,0,ROWS(nombres[]),1)=SP$1490,ROW(OFFSET(nombres[],0,0,ROWS(nombres[]),1))-ROW(OFFSET(nombres[],0,0,1,1))+1,ROW(OFFSET(nombres[],ROWS(nombres[])-1,0,1,1))+1),$O1550:$O1569),3),"")</f>
        <v/>
      </c>
      <c r="SQ1550" s="42" t="str">
        <f t="array" aca="1" ref="SQ1550" ca="1">IFERROR(INDEX(nombres[],SMALL(IF(OFFSET(nombres[],0,0,ROWS(nombres[]),1)=SQ$1490,ROW(OFFSET(nombres[],0,0,ROWS(nombres[]),1))-ROW(OFFSET(nombres[],0,0,1,1))+1,ROW(OFFSET(nombres[],ROWS(nombres[])-1,0,1,1))+1),$O1550:$O1569),3),"")</f>
        <v/>
      </c>
      <c r="SR1550" s="42" t="str">
        <f t="array" aca="1" ref="SR1550" ca="1">IFERROR(INDEX(nombres[],SMALL(IF(OFFSET(nombres[],0,0,ROWS(nombres[]),1)=SR$1490,ROW(OFFSET(nombres[],0,0,ROWS(nombres[]),1))-ROW(OFFSET(nombres[],0,0,1,1))+1,ROW(OFFSET(nombres[],ROWS(nombres[])-1,0,1,1))+1),$O1550:$O1569),3),"")</f>
        <v/>
      </c>
      <c r="SS1550" s="42" t="str">
        <f t="array" aca="1" ref="SS1550" ca="1">IFERROR(INDEX(nombres[],SMALL(IF(OFFSET(nombres[],0,0,ROWS(nombres[]),1)=SS$1490,ROW(OFFSET(nombres[],0,0,ROWS(nombres[]),1))-ROW(OFFSET(nombres[],0,0,1,1))+1,ROW(OFFSET(nombres[],ROWS(nombres[])-1,0,1,1))+1),$O1550:$O1569),3),"")</f>
        <v/>
      </c>
      <c r="ST1550" s="42" t="str">
        <f t="array" aca="1" ref="ST1550" ca="1">IFERROR(INDEX(nombres[],SMALL(IF(OFFSET(nombres[],0,0,ROWS(nombres[]),1)=ST$1490,ROW(OFFSET(nombres[],0,0,ROWS(nombres[]),1))-ROW(OFFSET(nombres[],0,0,1,1))+1,ROW(OFFSET(nombres[],ROWS(nombres[])-1,0,1,1))+1),$O1550:$O1569),3),"")</f>
        <v/>
      </c>
      <c r="SU1550" s="42" t="str">
        <f t="array" aca="1" ref="SU1550" ca="1">IFERROR(INDEX(nombres[],SMALL(IF(OFFSET(nombres[],0,0,ROWS(nombres[]),1)=SU$1490,ROW(OFFSET(nombres[],0,0,ROWS(nombres[]),1))-ROW(OFFSET(nombres[],0,0,1,1))+1,ROW(OFFSET(nombres[],ROWS(nombres[])-1,0,1,1))+1),$O1550:$O1569),3),"")</f>
        <v/>
      </c>
      <c r="SV1550" s="42" t="str">
        <f t="array" aca="1" ref="SV1550" ca="1">IFERROR(INDEX(nombres[],SMALL(IF(OFFSET(nombres[],0,0,ROWS(nombres[]),1)=SV$1490,ROW(OFFSET(nombres[],0,0,ROWS(nombres[]),1))-ROW(OFFSET(nombres[],0,0,1,1))+1,ROW(OFFSET(nombres[],ROWS(nombres[])-1,0,1,1))+1),$O1550:$O1569),3),"")</f>
        <v/>
      </c>
      <c r="SW1550" s="42" t="str">
        <f t="array" aca="1" ref="SW1550" ca="1">IFERROR(INDEX(nombres[],SMALL(IF(OFFSET(nombres[],0,0,ROWS(nombres[]),1)=SW$1490,ROW(OFFSET(nombres[],0,0,ROWS(nombres[]),1))-ROW(OFFSET(nombres[],0,0,1,1))+1,ROW(OFFSET(nombres[],ROWS(nombres[])-1,0,1,1))+1),$O1550:$O1569),3),"")</f>
        <v/>
      </c>
      <c r="SX1550" s="42" t="str">
        <f t="array" aca="1" ref="SX1550" ca="1">IFERROR(INDEX(nombres[],SMALL(IF(OFFSET(nombres[],0,0,ROWS(nombres[]),1)=SX$1490,ROW(OFFSET(nombres[],0,0,ROWS(nombres[]),1))-ROW(OFFSET(nombres[],0,0,1,1))+1,ROW(OFFSET(nombres[],ROWS(nombres[])-1,0,1,1))+1),$O1550:$O1569),3),"")</f>
        <v/>
      </c>
      <c r="SY1550" s="42" t="str">
        <f t="array" aca="1" ref="SY1550" ca="1">IFERROR(INDEX(nombres[],SMALL(IF(OFFSET(nombres[],0,0,ROWS(nombres[]),1)=SY$1490,ROW(OFFSET(nombres[],0,0,ROWS(nombres[]),1))-ROW(OFFSET(nombres[],0,0,1,1))+1,ROW(OFFSET(nombres[],ROWS(nombres[])-1,0,1,1))+1),$O1550:$O1569),3),"")</f>
        <v/>
      </c>
      <c r="SZ1550" s="42" t="str">
        <f t="array" aca="1" ref="SZ1550" ca="1">IFERROR(INDEX(nombres[],SMALL(IF(OFFSET(nombres[],0,0,ROWS(nombres[]),1)=SZ$1490,ROW(OFFSET(nombres[],0,0,ROWS(nombres[]),1))-ROW(OFFSET(nombres[],0,0,1,1))+1,ROW(OFFSET(nombres[],ROWS(nombres[])-1,0,1,1))+1),$O1550:$O1569),3),"")</f>
        <v/>
      </c>
      <c r="TA1550" s="42" t="str">
        <f t="array" aca="1" ref="TA1550" ca="1">IFERROR(INDEX(nombres[],SMALL(IF(OFFSET(nombres[],0,0,ROWS(nombres[]),1)=TA$1490,ROW(OFFSET(nombres[],0,0,ROWS(nombres[]),1))-ROW(OFFSET(nombres[],0,0,1,1))+1,ROW(OFFSET(nombres[],ROWS(nombres[])-1,0,1,1))+1),$O1550:$O1569),3),"")</f>
        <v/>
      </c>
      <c r="TB1550" s="42" t="str">
        <f t="array" aca="1" ref="TB1550" ca="1">IFERROR(INDEX(nombres[],SMALL(IF(OFFSET(nombres[],0,0,ROWS(nombres[]),1)=TB$1490,ROW(OFFSET(nombres[],0,0,ROWS(nombres[]),1))-ROW(OFFSET(nombres[],0,0,1,1))+1,ROW(OFFSET(nombres[],ROWS(nombres[])-1,0,1,1))+1),$O1550:$O1569),3),"")</f>
        <v/>
      </c>
      <c r="TC1550" s="42" t="str">
        <f t="array" aca="1" ref="TC1550" ca="1">IFERROR(INDEX(nombres[],SMALL(IF(OFFSET(nombres[],0,0,ROWS(nombres[]),1)=TC$1490,ROW(OFFSET(nombres[],0,0,ROWS(nombres[]),1))-ROW(OFFSET(nombres[],0,0,1,1))+1,ROW(OFFSET(nombres[],ROWS(nombres[])-1,0,1,1))+1),$O1550:$O1569),3),"")</f>
        <v/>
      </c>
      <c r="TD1550" s="42" t="str">
        <f t="array" aca="1" ref="TD1550" ca="1">IFERROR(INDEX(nombres[],SMALL(IF(OFFSET(nombres[],0,0,ROWS(nombres[]),1)=TD$1490,ROW(OFFSET(nombres[],0,0,ROWS(nombres[]),1))-ROW(OFFSET(nombres[],0,0,1,1))+1,ROW(OFFSET(nombres[],ROWS(nombres[])-1,0,1,1))+1),$O1550:$O1569),3),"")</f>
        <v/>
      </c>
      <c r="TE1550" s="42" t="str">
        <f t="array" aca="1" ref="TE1550" ca="1">IFERROR(INDEX(nombres[],SMALL(IF(OFFSET(nombres[],0,0,ROWS(nombres[]),1)=TE$1490,ROW(OFFSET(nombres[],0,0,ROWS(nombres[]),1))-ROW(OFFSET(nombres[],0,0,1,1))+1,ROW(OFFSET(nombres[],ROWS(nombres[])-1,0,1,1))+1),$O1550:$O1569),3),"")</f>
        <v/>
      </c>
      <c r="TF1550" s="42" t="str">
        <f t="array" aca="1" ref="TF1550" ca="1">IFERROR(INDEX(nombres[],SMALL(IF(OFFSET(nombres[],0,0,ROWS(nombres[]),1)=TF$1490,ROW(OFFSET(nombres[],0,0,ROWS(nombres[]),1))-ROW(OFFSET(nombres[],0,0,1,1))+1,ROW(OFFSET(nombres[],ROWS(nombres[])-1,0,1,1))+1),$O1550:$O1569),3),"")</f>
        <v/>
      </c>
      <c r="TG1550" s="42" t="str">
        <f t="array" aca="1" ref="TG1550" ca="1">IFERROR(INDEX(nombres[],SMALL(IF(OFFSET(nombres[],0,0,ROWS(nombres[]),1)=TG$1490,ROW(OFFSET(nombres[],0,0,ROWS(nombres[]),1))-ROW(OFFSET(nombres[],0,0,1,1))+1,ROW(OFFSET(nombres[],ROWS(nombres[])-1,0,1,1))+1),$O1550:$O1569),3),"")</f>
        <v/>
      </c>
      <c r="TH1550" s="42" t="str">
        <f t="array" aca="1" ref="TH1550" ca="1">IFERROR(INDEX(nombres[],SMALL(IF(OFFSET(nombres[],0,0,ROWS(nombres[]),1)=TH$1490,ROW(OFFSET(nombres[],0,0,ROWS(nombres[]),1))-ROW(OFFSET(nombres[],0,0,1,1))+1,ROW(OFFSET(nombres[],ROWS(nombres[])-1,0,1,1))+1),$O1550:$O1569),3),"")</f>
        <v/>
      </c>
      <c r="TI1550" s="42" t="str">
        <f t="array" aca="1" ref="TI1550" ca="1">IFERROR(INDEX(nombres[],SMALL(IF(OFFSET(nombres[],0,0,ROWS(nombres[]),1)=TI$1490,ROW(OFFSET(nombres[],0,0,ROWS(nombres[]),1))-ROW(OFFSET(nombres[],0,0,1,1))+1,ROW(OFFSET(nombres[],ROWS(nombres[])-1,0,1,1))+1),$O1550:$O1569),3),"")</f>
        <v/>
      </c>
      <c r="TJ1550" s="42" t="str">
        <f t="array" aca="1" ref="TJ1550" ca="1">IFERROR(INDEX(nombres[],SMALL(IF(OFFSET(nombres[],0,0,ROWS(nombres[]),1)=TJ$1490,ROW(OFFSET(nombres[],0,0,ROWS(nombres[]),1))-ROW(OFFSET(nombres[],0,0,1,1))+1,ROW(OFFSET(nombres[],ROWS(nombres[])-1,0,1,1))+1),$O1550:$O1569),3),"")</f>
        <v/>
      </c>
      <c r="TK1550" s="42" t="str">
        <f t="array" aca="1" ref="TK1550" ca="1">IFERROR(INDEX(nombres[],SMALL(IF(OFFSET(nombres[],0,0,ROWS(nombres[]),1)=TK$1490,ROW(OFFSET(nombres[],0,0,ROWS(nombres[]),1))-ROW(OFFSET(nombres[],0,0,1,1))+1,ROW(OFFSET(nombres[],ROWS(nombres[])-1,0,1,1))+1),$O1550:$O1569),3),"")</f>
        <v/>
      </c>
      <c r="TL1550" s="42" t="str">
        <f t="array" aca="1" ref="TL1550" ca="1">IFERROR(INDEX(nombres[],SMALL(IF(OFFSET(nombres[],0,0,ROWS(nombres[]),1)=TL$1490,ROW(OFFSET(nombres[],0,0,ROWS(nombres[]),1))-ROW(OFFSET(nombres[],0,0,1,1))+1,ROW(OFFSET(nombres[],ROWS(nombres[])-1,0,1,1))+1),$O1550:$O1569),3),"")</f>
        <v/>
      </c>
      <c r="TM1550" s="42" t="str">
        <f t="array" aca="1" ref="TM1550" ca="1">IFERROR(INDEX(nombres[],SMALL(IF(OFFSET(nombres[],0,0,ROWS(nombres[]),1)=TM$1490,ROW(OFFSET(nombres[],0,0,ROWS(nombres[]),1))-ROW(OFFSET(nombres[],0,0,1,1))+1,ROW(OFFSET(nombres[],ROWS(nombres[])-1,0,1,1))+1),$O1550:$O1569),3),"")</f>
        <v/>
      </c>
      <c r="TN1550" s="42" t="str">
        <f t="array" aca="1" ref="TN1550" ca="1">IFERROR(INDEX(nombres[],SMALL(IF(OFFSET(nombres[],0,0,ROWS(nombres[]),1)=TN$1490,ROW(OFFSET(nombres[],0,0,ROWS(nombres[]),1))-ROW(OFFSET(nombres[],0,0,1,1))+1,ROW(OFFSET(nombres[],ROWS(nombres[])-1,0,1,1))+1),$O1550:$O1569),3),"")</f>
        <v/>
      </c>
      <c r="TO1550" s="42" t="str">
        <f t="array" aca="1" ref="TO1550" ca="1">IFERROR(INDEX(nombres[],SMALL(IF(OFFSET(nombres[],0,0,ROWS(nombres[]),1)=TO$1490,ROW(OFFSET(nombres[],0,0,ROWS(nombres[]),1))-ROW(OFFSET(nombres[],0,0,1,1))+1,ROW(OFFSET(nombres[],ROWS(nombres[])-1,0,1,1))+1),$O1550:$O1569),3),"")</f>
        <v/>
      </c>
      <c r="TP1550" s="42" t="str">
        <f t="array" aca="1" ref="TP1550" ca="1">IFERROR(INDEX(nombres[],SMALL(IF(OFFSET(nombres[],0,0,ROWS(nombres[]),1)=TP$1490,ROW(OFFSET(nombres[],0,0,ROWS(nombres[]),1))-ROW(OFFSET(nombres[],0,0,1,1))+1,ROW(OFFSET(nombres[],ROWS(nombres[])-1,0,1,1))+1),$O1550:$O1569),3),"")</f>
        <v/>
      </c>
      <c r="TQ1550" s="42" t="str">
        <f t="array" aca="1" ref="TQ1550" ca="1">IFERROR(INDEX(nombres[],SMALL(IF(OFFSET(nombres[],0,0,ROWS(nombres[]),1)=TQ$1490,ROW(OFFSET(nombres[],0,0,ROWS(nombres[]),1))-ROW(OFFSET(nombres[],0,0,1,1))+1,ROW(OFFSET(nombres[],ROWS(nombres[])-1,0,1,1))+1),$O1550:$O1569),3),"")</f>
        <v/>
      </c>
      <c r="TR1550" s="42" t="str">
        <f t="array" aca="1" ref="TR1550" ca="1">IFERROR(INDEX(nombres[],SMALL(IF(OFFSET(nombres[],0,0,ROWS(nombres[]),1)=TR$1490,ROW(OFFSET(nombres[],0,0,ROWS(nombres[]),1))-ROW(OFFSET(nombres[],0,0,1,1))+1,ROW(OFFSET(nombres[],ROWS(nombres[])-1,0,1,1))+1),$O1550:$O1569),3),"")</f>
        <v/>
      </c>
      <c r="TS1550" s="42" t="str">
        <f t="array" aca="1" ref="TS1550" ca="1">IFERROR(INDEX(nombres[],SMALL(IF(OFFSET(nombres[],0,0,ROWS(nombres[]),1)=TS$1490,ROW(OFFSET(nombres[],0,0,ROWS(nombres[]),1))-ROW(OFFSET(nombres[],0,0,1,1))+1,ROW(OFFSET(nombres[],ROWS(nombres[])-1,0,1,1))+1),$O1550:$O1569),3),"")</f>
        <v/>
      </c>
      <c r="TT1550" s="42" t="str">
        <f t="array" aca="1" ref="TT1550" ca="1">IFERROR(INDEX(nombres[],SMALL(IF(OFFSET(nombres[],0,0,ROWS(nombres[]),1)=TT$1490,ROW(OFFSET(nombres[],0,0,ROWS(nombres[]),1))-ROW(OFFSET(nombres[],0,0,1,1))+1,ROW(OFFSET(nombres[],ROWS(nombres[])-1,0,1,1))+1),$O1550:$O1569),3),"")</f>
        <v/>
      </c>
      <c r="TU1550" s="42" t="str">
        <f t="array" aca="1" ref="TU1550" ca="1">IFERROR(INDEX(nombres[],SMALL(IF(OFFSET(nombres[],0,0,ROWS(nombres[]),1)=TU$1490,ROW(OFFSET(nombres[],0,0,ROWS(nombres[]),1))-ROW(OFFSET(nombres[],0,0,1,1))+1,ROW(OFFSET(nombres[],ROWS(nombres[])-1,0,1,1))+1),$O1550:$O1569),3),"")</f>
        <v/>
      </c>
      <c r="TV1550" s="42" t="str">
        <f t="array" aca="1" ref="TV1550" ca="1">IFERROR(INDEX(nombres[],SMALL(IF(OFFSET(nombres[],0,0,ROWS(nombres[]),1)=TV$1490,ROW(OFFSET(nombres[],0,0,ROWS(nombres[]),1))-ROW(OFFSET(nombres[],0,0,1,1))+1,ROW(OFFSET(nombres[],ROWS(nombres[])-1,0,1,1))+1),$O1550:$O1569),3),"")</f>
        <v/>
      </c>
      <c r="TW1550" s="42" t="str">
        <f t="array" aca="1" ref="TW1550" ca="1">IFERROR(INDEX(nombres[],SMALL(IF(OFFSET(nombres[],0,0,ROWS(nombres[]),1)=TW$1490,ROW(OFFSET(nombres[],0,0,ROWS(nombres[]),1))-ROW(OFFSET(nombres[],0,0,1,1))+1,ROW(OFFSET(nombres[],ROWS(nombres[])-1,0,1,1))+1),$O1550:$O1569),3),"")</f>
        <v/>
      </c>
      <c r="TX1550" s="42" t="str">
        <f t="array" aca="1" ref="TX1550" ca="1">IFERROR(INDEX(nombres[],SMALL(IF(OFFSET(nombres[],0,0,ROWS(nombres[]),1)=TX$1490,ROW(OFFSET(nombres[],0,0,ROWS(nombres[]),1))-ROW(OFFSET(nombres[],0,0,1,1))+1,ROW(OFFSET(nombres[],ROWS(nombres[])-1,0,1,1))+1),$O1550:$O1569),3),"")</f>
        <v/>
      </c>
      <c r="TY1550" s="42" t="str">
        <f t="array" aca="1" ref="TY1550" ca="1">IFERROR(INDEX(nombres[],SMALL(IF(OFFSET(nombres[],0,0,ROWS(nombres[]),1)=TY$1490,ROW(OFFSET(nombres[],0,0,ROWS(nombres[]),1))-ROW(OFFSET(nombres[],0,0,1,1))+1,ROW(OFFSET(nombres[],ROWS(nombres[])-1,0,1,1))+1),$O1550:$O1569),3),"")</f>
        <v/>
      </c>
      <c r="TZ1550" s="42" t="str">
        <f t="array" aca="1" ref="TZ1550" ca="1">IFERROR(INDEX(nombres[],SMALL(IF(OFFSET(nombres[],0,0,ROWS(nombres[]),1)=TZ$1490,ROW(OFFSET(nombres[],0,0,ROWS(nombres[]),1))-ROW(OFFSET(nombres[],0,0,1,1))+1,ROW(OFFSET(nombres[],ROWS(nombres[])-1,0,1,1))+1),$O1550:$O1569),3),"")</f>
        <v/>
      </c>
      <c r="UA1550" s="42" t="str">
        <f t="array" aca="1" ref="UA1550" ca="1">IFERROR(INDEX(nombres[],SMALL(IF(OFFSET(nombres[],0,0,ROWS(nombres[]),1)=UA$1490,ROW(OFFSET(nombres[],0,0,ROWS(nombres[]),1))-ROW(OFFSET(nombres[],0,0,1,1))+1,ROW(OFFSET(nombres[],ROWS(nombres[])-1,0,1,1))+1),$O1550:$O1569),3),"")</f>
        <v/>
      </c>
      <c r="UB1550" s="42" t="str">
        <f t="array" aca="1" ref="UB1550" ca="1">IFERROR(INDEX(nombres[],SMALL(IF(OFFSET(nombres[],0,0,ROWS(nombres[]),1)=UB$1490,ROW(OFFSET(nombres[],0,0,ROWS(nombres[]),1))-ROW(OFFSET(nombres[],0,0,1,1))+1,ROW(OFFSET(nombres[],ROWS(nombres[])-1,0,1,1))+1),$O1550:$O1569),3),"")</f>
        <v/>
      </c>
      <c r="UC1550" s="42" t="str">
        <f t="array" aca="1" ref="UC1550" ca="1">IFERROR(INDEX(nombres[],SMALL(IF(OFFSET(nombres[],0,0,ROWS(nombres[]),1)=UC$1490,ROW(OFFSET(nombres[],0,0,ROWS(nombres[]),1))-ROW(OFFSET(nombres[],0,0,1,1))+1,ROW(OFFSET(nombres[],ROWS(nombres[])-1,0,1,1))+1),$O1550:$O1569),3),"")</f>
        <v/>
      </c>
      <c r="UD1550" s="42" t="str">
        <f t="array" aca="1" ref="UD1550" ca="1">IFERROR(INDEX(nombres[],SMALL(IF(OFFSET(nombres[],0,0,ROWS(nombres[]),1)=UD$1490,ROW(OFFSET(nombres[],0,0,ROWS(nombres[]),1))-ROW(OFFSET(nombres[],0,0,1,1))+1,ROW(OFFSET(nombres[],ROWS(nombres[])-1,0,1,1))+1),$O1550:$O1569),3),"")</f>
        <v/>
      </c>
      <c r="UE1550" s="42" t="str">
        <f t="array" aca="1" ref="UE1550" ca="1">IFERROR(INDEX(nombres[],SMALL(IF(OFFSET(nombres[],0,0,ROWS(nombres[]),1)=UE$1490,ROW(OFFSET(nombres[],0,0,ROWS(nombres[]),1))-ROW(OFFSET(nombres[],0,0,1,1))+1,ROW(OFFSET(nombres[],ROWS(nombres[])-1,0,1,1))+1),$O1550:$O1569),3),"")</f>
        <v/>
      </c>
      <c r="UF1550" s="42" t="str">
        <f t="array" aca="1" ref="UF1550" ca="1">IFERROR(INDEX(nombres[],SMALL(IF(OFFSET(nombres[],0,0,ROWS(nombres[]),1)=UF$1490,ROW(OFFSET(nombres[],0,0,ROWS(nombres[]),1))-ROW(OFFSET(nombres[],0,0,1,1))+1,ROW(OFFSET(nombres[],ROWS(nombres[])-1,0,1,1))+1),$O1550:$O1569),3),"")</f>
        <v/>
      </c>
      <c r="UG1550" s="42" t="str">
        <f t="array" aca="1" ref="UG1550" ca="1">IFERROR(INDEX(nombres[],SMALL(IF(OFFSET(nombres[],0,0,ROWS(nombres[]),1)=UG$1490,ROW(OFFSET(nombres[],0,0,ROWS(nombres[]),1))-ROW(OFFSET(nombres[],0,0,1,1))+1,ROW(OFFSET(nombres[],ROWS(nombres[])-1,0,1,1))+1),$O1550:$O1569),3),"")</f>
        <v/>
      </c>
      <c r="UH1550" s="42" t="str">
        <f t="array" aca="1" ref="UH1550" ca="1">IFERROR(INDEX(nombres[],SMALL(IF(OFFSET(nombres[],0,0,ROWS(nombres[]),1)=UH$1490,ROW(OFFSET(nombres[],0,0,ROWS(nombres[]),1))-ROW(OFFSET(nombres[],0,0,1,1))+1,ROW(OFFSET(nombres[],ROWS(nombres[])-1,0,1,1))+1),$O1550:$O1569),3),"")</f>
        <v/>
      </c>
      <c r="UI1550" s="42" t="str">
        <f t="array" aca="1" ref="UI1550" ca="1">IFERROR(INDEX(nombres[],SMALL(IF(OFFSET(nombres[],0,0,ROWS(nombres[]),1)=UI$1490,ROW(OFFSET(nombres[],0,0,ROWS(nombres[]),1))-ROW(OFFSET(nombres[],0,0,1,1))+1,ROW(OFFSET(nombres[],ROWS(nombres[])-1,0,1,1))+1),$O1550:$O1569),3),"")</f>
        <v/>
      </c>
      <c r="UJ1550" s="42" t="str">
        <f t="array" aca="1" ref="UJ1550" ca="1">IFERROR(INDEX(nombres[],SMALL(IF(OFFSET(nombres[],0,0,ROWS(nombres[]),1)=UJ$1490,ROW(OFFSET(nombres[],0,0,ROWS(nombres[]),1))-ROW(OFFSET(nombres[],0,0,1,1))+1,ROW(OFFSET(nombres[],ROWS(nombres[])-1,0,1,1))+1),$O1550:$O1569),3),"")</f>
        <v/>
      </c>
      <c r="UK1550" s="42" t="str">
        <f t="array" aca="1" ref="UK1550" ca="1">IFERROR(INDEX(nombres[],SMALL(IF(OFFSET(nombres[],0,0,ROWS(nombres[]),1)=UK$1490,ROW(OFFSET(nombres[],0,0,ROWS(nombres[]),1))-ROW(OFFSET(nombres[],0,0,1,1))+1,ROW(OFFSET(nombres[],ROWS(nombres[])-1,0,1,1))+1),$O1550:$O1569),3),"")</f>
        <v/>
      </c>
      <c r="UL1550" s="42" t="str">
        <f t="array" aca="1" ref="UL1550" ca="1">IFERROR(INDEX(nombres[],SMALL(IF(OFFSET(nombres[],0,0,ROWS(nombres[]),1)=UL$1490,ROW(OFFSET(nombres[],0,0,ROWS(nombres[]),1))-ROW(OFFSET(nombres[],0,0,1,1))+1,ROW(OFFSET(nombres[],ROWS(nombres[])-1,0,1,1))+1),$O1550:$O1569),3),"")</f>
        <v/>
      </c>
      <c r="UM1550" s="42" t="str">
        <f t="array" aca="1" ref="UM1550" ca="1">IFERROR(INDEX(nombres[],SMALL(IF(OFFSET(nombres[],0,0,ROWS(nombres[]),1)=UM$1490,ROW(OFFSET(nombres[],0,0,ROWS(nombres[]),1))-ROW(OFFSET(nombres[],0,0,1,1))+1,ROW(OFFSET(nombres[],ROWS(nombres[])-1,0,1,1))+1),$O1550:$O1569),3),"")</f>
        <v/>
      </c>
      <c r="UN1550" s="42" t="str">
        <f t="array" aca="1" ref="UN1550" ca="1">IFERROR(INDEX(nombres[],SMALL(IF(OFFSET(nombres[],0,0,ROWS(nombres[]),1)=UN$1490,ROW(OFFSET(nombres[],0,0,ROWS(nombres[]),1))-ROW(OFFSET(nombres[],0,0,1,1))+1,ROW(OFFSET(nombres[],ROWS(nombres[])-1,0,1,1))+1),$O1550:$O1569),3),"")</f>
        <v/>
      </c>
      <c r="UO1550" s="42" t="str">
        <f t="array" aca="1" ref="UO1550" ca="1">IFERROR(INDEX(nombres[],SMALL(IF(OFFSET(nombres[],0,0,ROWS(nombres[]),1)=UO$1490,ROW(OFFSET(nombres[],0,0,ROWS(nombres[]),1))-ROW(OFFSET(nombres[],0,0,1,1))+1,ROW(OFFSET(nombres[],ROWS(nombres[])-1,0,1,1))+1),$O1550:$O1569),3),"")</f>
        <v/>
      </c>
      <c r="UP1550" s="42" t="str">
        <f t="array" aca="1" ref="UP1550" ca="1">IFERROR(INDEX(nombres[],SMALL(IF(OFFSET(nombres[],0,0,ROWS(nombres[]),1)=UP$1490,ROW(OFFSET(nombres[],0,0,ROWS(nombres[]),1))-ROW(OFFSET(nombres[],0,0,1,1))+1,ROW(OFFSET(nombres[],ROWS(nombres[])-1,0,1,1))+1),$O1550:$O1569),3),"")</f>
        <v/>
      </c>
      <c r="UQ1550" s="42" t="str">
        <f t="array" aca="1" ref="UQ1550" ca="1">IFERROR(INDEX(nombres[],SMALL(IF(OFFSET(nombres[],0,0,ROWS(nombres[]),1)=UQ$1490,ROW(OFFSET(nombres[],0,0,ROWS(nombres[]),1))-ROW(OFFSET(nombres[],0,0,1,1))+1,ROW(OFFSET(nombres[],ROWS(nombres[])-1,0,1,1))+1),$O1550:$O1569),3),"")</f>
        <v/>
      </c>
      <c r="UR1550" s="42" t="str">
        <f t="array" aca="1" ref="UR1550" ca="1">IFERROR(INDEX(nombres[],SMALL(IF(OFFSET(nombres[],0,0,ROWS(nombres[]),1)=UR$1490,ROW(OFFSET(nombres[],0,0,ROWS(nombres[]),1))-ROW(OFFSET(nombres[],0,0,1,1))+1,ROW(OFFSET(nombres[],ROWS(nombres[])-1,0,1,1))+1),$O1550:$O1569),3),"")</f>
        <v/>
      </c>
      <c r="US1550" s="42" t="str">
        <f t="array" aca="1" ref="US1550" ca="1">IFERROR(INDEX(nombres[],SMALL(IF(OFFSET(nombres[],0,0,ROWS(nombres[]),1)=US$1490,ROW(OFFSET(nombres[],0,0,ROWS(nombres[]),1))-ROW(OFFSET(nombres[],0,0,1,1))+1,ROW(OFFSET(nombres[],ROWS(nombres[])-1,0,1,1))+1),$O1550:$O1569),3),"")</f>
        <v/>
      </c>
      <c r="UT1550" s="42" t="str">
        <f t="array" aca="1" ref="UT1550" ca="1">IFERROR(INDEX(nombres[],SMALL(IF(OFFSET(nombres[],0,0,ROWS(nombres[]),1)=UT$1490,ROW(OFFSET(nombres[],0,0,ROWS(nombres[]),1))-ROW(OFFSET(nombres[],0,0,1,1))+1,ROW(OFFSET(nombres[],ROWS(nombres[])-1,0,1,1))+1),$O1550:$O1569),3),"")</f>
        <v/>
      </c>
      <c r="UU1550" s="42" t="str">
        <f t="array" aca="1" ref="UU1550" ca="1">IFERROR(INDEX(nombres[],SMALL(IF(OFFSET(nombres[],0,0,ROWS(nombres[]),1)=UU$1490,ROW(OFFSET(nombres[],0,0,ROWS(nombres[]),1))-ROW(OFFSET(nombres[],0,0,1,1))+1,ROW(OFFSET(nombres[],ROWS(nombres[])-1,0,1,1))+1),$O1550:$O1569),3),"")</f>
        <v/>
      </c>
      <c r="UV1550" s="42" t="str">
        <f t="array" aca="1" ref="UV1550" ca="1">IFERROR(INDEX(nombres[],SMALL(IF(OFFSET(nombres[],0,0,ROWS(nombres[]),1)=UV$1490,ROW(OFFSET(nombres[],0,0,ROWS(nombres[]),1))-ROW(OFFSET(nombres[],0,0,1,1))+1,ROW(OFFSET(nombres[],ROWS(nombres[])-1,0,1,1))+1),$O1550:$O1569),3),"")</f>
        <v/>
      </c>
      <c r="UW1550" s="42" t="str">
        <f t="array" aca="1" ref="UW1550" ca="1">IFERROR(INDEX(nombres[],SMALL(IF(OFFSET(nombres[],0,0,ROWS(nombres[]),1)=UW$1490,ROW(OFFSET(nombres[],0,0,ROWS(nombres[]),1))-ROW(OFFSET(nombres[],0,0,1,1))+1,ROW(OFFSET(nombres[],ROWS(nombres[])-1,0,1,1))+1),$O1550:$O1569),3),"")</f>
        <v/>
      </c>
      <c r="UX1550" s="42" t="str">
        <f t="array" aca="1" ref="UX1550" ca="1">IFERROR(INDEX(nombres[],SMALL(IF(OFFSET(nombres[],0,0,ROWS(nombres[]),1)=UX$1490,ROW(OFFSET(nombres[],0,0,ROWS(nombres[]),1))-ROW(OFFSET(nombres[],0,0,1,1))+1,ROW(OFFSET(nombres[],ROWS(nombres[])-1,0,1,1))+1),$O1550:$O1569),3),"")</f>
        <v/>
      </c>
      <c r="UY1550" s="42" t="str">
        <f t="array" aca="1" ref="UY1550" ca="1">IFERROR(INDEX(nombres[],SMALL(IF(OFFSET(nombres[],0,0,ROWS(nombres[]),1)=UY$1490,ROW(OFFSET(nombres[],0,0,ROWS(nombres[]),1))-ROW(OFFSET(nombres[],0,0,1,1))+1,ROW(OFFSET(nombres[],ROWS(nombres[])-1,0,1,1))+1),$O1550:$O1569),3),"")</f>
        <v/>
      </c>
      <c r="UZ1550" s="42" t="str">
        <f t="array" aca="1" ref="UZ1550" ca="1">IFERROR(INDEX(nombres[],SMALL(IF(OFFSET(nombres[],0,0,ROWS(nombres[]),1)=UZ$1490,ROW(OFFSET(nombres[],0,0,ROWS(nombres[]),1))-ROW(OFFSET(nombres[],0,0,1,1))+1,ROW(OFFSET(nombres[],ROWS(nombres[])-1,0,1,1))+1),$O1550:$O1569),3),"")</f>
        <v/>
      </c>
      <c r="VA1550" s="42" t="str">
        <f t="array" aca="1" ref="VA1550" ca="1">IFERROR(INDEX(nombres[],SMALL(IF(OFFSET(nombres[],0,0,ROWS(nombres[]),1)=VA$1490,ROW(OFFSET(nombres[],0,0,ROWS(nombres[]),1))-ROW(OFFSET(nombres[],0,0,1,1))+1,ROW(OFFSET(nombres[],ROWS(nombres[])-1,0,1,1))+1),$O1550:$O1569),3),"")</f>
        <v/>
      </c>
      <c r="VB1550" s="42" t="str">
        <f t="array" aca="1" ref="VB1550" ca="1">IFERROR(INDEX(nombres[],SMALL(IF(OFFSET(nombres[],0,0,ROWS(nombres[]),1)=VB$1490,ROW(OFFSET(nombres[],0,0,ROWS(nombres[]),1))-ROW(OFFSET(nombres[],0,0,1,1))+1,ROW(OFFSET(nombres[],ROWS(nombres[])-1,0,1,1))+1),$O1550:$O1569),3),"")</f>
        <v/>
      </c>
      <c r="VC1550" s="42" t="str">
        <f t="array" aca="1" ref="VC1550" ca="1">IFERROR(INDEX(nombres[],SMALL(IF(OFFSET(nombres[],0,0,ROWS(nombres[]),1)=VC$1490,ROW(OFFSET(nombres[],0,0,ROWS(nombres[]),1))-ROW(OFFSET(nombres[],0,0,1,1))+1,ROW(OFFSET(nombres[],ROWS(nombres[])-1,0,1,1))+1),$O1550:$O1569),3),"")</f>
        <v/>
      </c>
      <c r="VD1550" s="42" t="str">
        <f t="array" aca="1" ref="VD1550" ca="1">IFERROR(INDEX(nombres[],SMALL(IF(OFFSET(nombres[],0,0,ROWS(nombres[]),1)=VD$1490,ROW(OFFSET(nombres[],0,0,ROWS(nombres[]),1))-ROW(OFFSET(nombres[],0,0,1,1))+1,ROW(OFFSET(nombres[],ROWS(nombres[])-1,0,1,1))+1),$O1550:$O1569),3),"")</f>
        <v/>
      </c>
      <c r="VE1550" s="42" t="str">
        <f t="array" aca="1" ref="VE1550" ca="1">IFERROR(INDEX(nombres[],SMALL(IF(OFFSET(nombres[],0,0,ROWS(nombres[]),1)=VE$1490,ROW(OFFSET(nombres[],0,0,ROWS(nombres[]),1))-ROW(OFFSET(nombres[],0,0,1,1))+1,ROW(OFFSET(nombres[],ROWS(nombres[])-1,0,1,1))+1),$O1550:$O1569),3),"")</f>
        <v/>
      </c>
      <c r="VF1550" s="42" t="str">
        <f t="array" aca="1" ref="VF1550" ca="1">IFERROR(INDEX(nombres[],SMALL(IF(OFFSET(nombres[],0,0,ROWS(nombres[]),1)=VF$1490,ROW(OFFSET(nombres[],0,0,ROWS(nombres[]),1))-ROW(OFFSET(nombres[],0,0,1,1))+1,ROW(OFFSET(nombres[],ROWS(nombres[])-1,0,1,1))+1),$O1550:$O1569),3),"")</f>
        <v/>
      </c>
      <c r="VG1550" s="42" t="str">
        <f t="array" aca="1" ref="VG1550" ca="1">IFERROR(INDEX(nombres[],SMALL(IF(OFFSET(nombres[],0,0,ROWS(nombres[]),1)=VG$1490,ROW(OFFSET(nombres[],0,0,ROWS(nombres[]),1))-ROW(OFFSET(nombres[],0,0,1,1))+1,ROW(OFFSET(nombres[],ROWS(nombres[])-1,0,1,1))+1),$O1550:$O1569),3),"")</f>
        <v/>
      </c>
      <c r="VH1550" s="42" t="str">
        <f t="array" aca="1" ref="VH1550" ca="1">IFERROR(INDEX(nombres[],SMALL(IF(OFFSET(nombres[],0,0,ROWS(nombres[]),1)=VH$1490,ROW(OFFSET(nombres[],0,0,ROWS(nombres[]),1))-ROW(OFFSET(nombres[],0,0,1,1))+1,ROW(OFFSET(nombres[],ROWS(nombres[])-1,0,1,1))+1),$O1550:$O1569),3),"")</f>
        <v/>
      </c>
      <c r="VI1550" s="42" t="str">
        <f t="array" aca="1" ref="VI1550" ca="1">IFERROR(INDEX(nombres[],SMALL(IF(OFFSET(nombres[],0,0,ROWS(nombres[]),1)=VI$1490,ROW(OFFSET(nombres[],0,0,ROWS(nombres[]),1))-ROW(OFFSET(nombres[],0,0,1,1))+1,ROW(OFFSET(nombres[],ROWS(nombres[])-1,0,1,1))+1),$O1550:$O1569),3),"")</f>
        <v/>
      </c>
      <c r="VJ1550" s="42" t="str">
        <f t="array" aca="1" ref="VJ1550" ca="1">IFERROR(INDEX(nombres[],SMALL(IF(OFFSET(nombres[],0,0,ROWS(nombres[]),1)=VJ$1490,ROW(OFFSET(nombres[],0,0,ROWS(nombres[]),1))-ROW(OFFSET(nombres[],0,0,1,1))+1,ROW(OFFSET(nombres[],ROWS(nombres[])-1,0,1,1))+1),$O1550:$O1569),3),"")</f>
        <v/>
      </c>
      <c r="VK1550" s="42" t="str">
        <f t="array" aca="1" ref="VK1550" ca="1">IFERROR(INDEX(nombres[],SMALL(IF(OFFSET(nombres[],0,0,ROWS(nombres[]),1)=VK$1490,ROW(OFFSET(nombres[],0,0,ROWS(nombres[]),1))-ROW(OFFSET(nombres[],0,0,1,1))+1,ROW(OFFSET(nombres[],ROWS(nombres[])-1,0,1,1))+1),$O1550:$O1569),3),"")</f>
        <v/>
      </c>
      <c r="VL1550" s="42" t="str">
        <f t="array" aca="1" ref="VL1550" ca="1">IFERROR(INDEX(nombres[],SMALL(IF(OFFSET(nombres[],0,0,ROWS(nombres[]),1)=VL$1490,ROW(OFFSET(nombres[],0,0,ROWS(nombres[]),1))-ROW(OFFSET(nombres[],0,0,1,1))+1,ROW(OFFSET(nombres[],ROWS(nombres[])-1,0,1,1))+1),$O1550:$O1569),3),"")</f>
        <v/>
      </c>
      <c r="VM1550" s="42" t="str">
        <f t="array" aca="1" ref="VM1550" ca="1">IFERROR(INDEX(nombres[],SMALL(IF(OFFSET(nombres[],0,0,ROWS(nombres[]),1)=VM$1490,ROW(OFFSET(nombres[],0,0,ROWS(nombres[]),1))-ROW(OFFSET(nombres[],0,0,1,1))+1,ROW(OFFSET(nombres[],ROWS(nombres[])-1,0,1,1))+1),$O1550:$O1569),3),"")</f>
        <v/>
      </c>
      <c r="VN1550" s="42" t="str">
        <f t="array" aca="1" ref="VN1550" ca="1">IFERROR(INDEX(nombres[],SMALL(IF(OFFSET(nombres[],0,0,ROWS(nombres[]),1)=VN$1490,ROW(OFFSET(nombres[],0,0,ROWS(nombres[]),1))-ROW(OFFSET(nombres[],0,0,1,1))+1,ROW(OFFSET(nombres[],ROWS(nombres[])-1,0,1,1))+1),$O1550:$O1569),3),"")</f>
        <v/>
      </c>
      <c r="VO1550" s="42" t="str">
        <f t="array" aca="1" ref="VO1550" ca="1">IFERROR(INDEX(nombres[],SMALL(IF(OFFSET(nombres[],0,0,ROWS(nombres[]),1)=VO$1490,ROW(OFFSET(nombres[],0,0,ROWS(nombres[]),1))-ROW(OFFSET(nombres[],0,0,1,1))+1,ROW(OFFSET(nombres[],ROWS(nombres[])-1,0,1,1))+1),$O1550:$O1569),3),"")</f>
        <v/>
      </c>
      <c r="VP1550" s="42" t="str">
        <f t="array" aca="1" ref="VP1550" ca="1">IFERROR(INDEX(nombres[],SMALL(IF(OFFSET(nombres[],0,0,ROWS(nombres[]),1)=VP$1490,ROW(OFFSET(nombres[],0,0,ROWS(nombres[]),1))-ROW(OFFSET(nombres[],0,0,1,1))+1,ROW(OFFSET(nombres[],ROWS(nombres[])-1,0,1,1))+1),$O1550:$O1569),3),"")</f>
        <v/>
      </c>
      <c r="VQ1550" s="42" t="str">
        <f t="array" aca="1" ref="VQ1550" ca="1">IFERROR(INDEX(nombres[],SMALL(IF(OFFSET(nombres[],0,0,ROWS(nombres[]),1)=VQ$1490,ROW(OFFSET(nombres[],0,0,ROWS(nombres[]),1))-ROW(OFFSET(nombres[],0,0,1,1))+1,ROW(OFFSET(nombres[],ROWS(nombres[])-1,0,1,1))+1),$O1550:$O1569),3),"")</f>
        <v/>
      </c>
      <c r="VR1550" s="42" t="str">
        <f t="array" aca="1" ref="VR1550" ca="1">IFERROR(INDEX(nombres[],SMALL(IF(OFFSET(nombres[],0,0,ROWS(nombres[]),1)=VR$1490,ROW(OFFSET(nombres[],0,0,ROWS(nombres[]),1))-ROW(OFFSET(nombres[],0,0,1,1))+1,ROW(OFFSET(nombres[],ROWS(nombres[])-1,0,1,1))+1),$O1550:$O1569),3),"")</f>
        <v/>
      </c>
      <c r="VS1550" s="42" t="str">
        <f t="array" aca="1" ref="VS1550" ca="1">IFERROR(INDEX(nombres[],SMALL(IF(OFFSET(nombres[],0,0,ROWS(nombres[]),1)=VS$1490,ROW(OFFSET(nombres[],0,0,ROWS(nombres[]),1))-ROW(OFFSET(nombres[],0,0,1,1))+1,ROW(OFFSET(nombres[],ROWS(nombres[])-1,0,1,1))+1),$O1550:$O1569),3),"")</f>
        <v/>
      </c>
      <c r="VT1550" s="42" t="str">
        <f t="array" aca="1" ref="VT1550" ca="1">IFERROR(INDEX(nombres[],SMALL(IF(OFFSET(nombres[],0,0,ROWS(nombres[]),1)=VT$1490,ROW(OFFSET(nombres[],0,0,ROWS(nombres[]),1))-ROW(OFFSET(nombres[],0,0,1,1))+1,ROW(OFFSET(nombres[],ROWS(nombres[])-1,0,1,1))+1),$O1550:$O1569),3),"")</f>
        <v/>
      </c>
      <c r="VU1550" s="42" t="str">
        <f t="array" aca="1" ref="VU1550" ca="1">IFERROR(INDEX(nombres[],SMALL(IF(OFFSET(nombres[],0,0,ROWS(nombres[]),1)=VU$1490,ROW(OFFSET(nombres[],0,0,ROWS(nombres[]),1))-ROW(OFFSET(nombres[],0,0,1,1))+1,ROW(OFFSET(nombres[],ROWS(nombres[])-1,0,1,1))+1),$O1550:$O1569),3),"")</f>
        <v/>
      </c>
      <c r="VV1550" s="42" t="str">
        <f t="array" aca="1" ref="VV1550" ca="1">IFERROR(INDEX(nombres[],SMALL(IF(OFFSET(nombres[],0,0,ROWS(nombres[]),1)=VV$1490,ROW(OFFSET(nombres[],0,0,ROWS(nombres[]),1))-ROW(OFFSET(nombres[],0,0,1,1))+1,ROW(OFFSET(nombres[],ROWS(nombres[])-1,0,1,1))+1),$O1550:$O1569),3),"")</f>
        <v/>
      </c>
      <c r="VW1550" s="42" t="str">
        <f t="array" aca="1" ref="VW1550" ca="1">IFERROR(INDEX(nombres[],SMALL(IF(OFFSET(nombres[],0,0,ROWS(nombres[]),1)=VW$1490,ROW(OFFSET(nombres[],0,0,ROWS(nombres[]),1))-ROW(OFFSET(nombres[],0,0,1,1))+1,ROW(OFFSET(nombres[],ROWS(nombres[])-1,0,1,1))+1),$O1550:$O1569),3),"")</f>
        <v/>
      </c>
      <c r="VX1550" s="42" t="str">
        <f t="array" aca="1" ref="VX1550" ca="1">IFERROR(INDEX(nombres[],SMALL(IF(OFFSET(nombres[],0,0,ROWS(nombres[]),1)=VX$1490,ROW(OFFSET(nombres[],0,0,ROWS(nombres[]),1))-ROW(OFFSET(nombres[],0,0,1,1))+1,ROW(OFFSET(nombres[],ROWS(nombres[])-1,0,1,1))+1),$O1550:$O1569),3),"")</f>
        <v/>
      </c>
      <c r="VY1550" s="42" t="str">
        <f t="array" aca="1" ref="VY1550" ca="1">IFERROR(INDEX(nombres[],SMALL(IF(OFFSET(nombres[],0,0,ROWS(nombres[]),1)=VY$1490,ROW(OFFSET(nombres[],0,0,ROWS(nombres[]),1))-ROW(OFFSET(nombres[],0,0,1,1))+1,ROW(OFFSET(nombres[],ROWS(nombres[])-1,0,1,1))+1),$O1550:$O1569),3),"")</f>
        <v/>
      </c>
      <c r="VZ1550" s="42" t="str">
        <f t="array" aca="1" ref="VZ1550" ca="1">IFERROR(INDEX(nombres[],SMALL(IF(OFFSET(nombres[],0,0,ROWS(nombres[]),1)=VZ$1490,ROW(OFFSET(nombres[],0,0,ROWS(nombres[]),1))-ROW(OFFSET(nombres[],0,0,1,1))+1,ROW(OFFSET(nombres[],ROWS(nombres[])-1,0,1,1))+1),$O1550:$O1569),3),"")</f>
        <v/>
      </c>
      <c r="WA1550" s="42" t="str">
        <f t="array" aca="1" ref="WA1550" ca="1">IFERROR(INDEX(nombres[],SMALL(IF(OFFSET(nombres[],0,0,ROWS(nombres[]),1)=WA$1490,ROW(OFFSET(nombres[],0,0,ROWS(nombres[]),1))-ROW(OFFSET(nombres[],0,0,1,1))+1,ROW(OFFSET(nombres[],ROWS(nombres[])-1,0,1,1))+1),$O1550:$O1569),3),"")</f>
        <v/>
      </c>
      <c r="WB1550" s="42" t="str">
        <f t="array" aca="1" ref="WB1550" ca="1">IFERROR(INDEX(nombres[],SMALL(IF(OFFSET(nombres[],0,0,ROWS(nombres[]),1)=WB$1490,ROW(OFFSET(nombres[],0,0,ROWS(nombres[]),1))-ROW(OFFSET(nombres[],0,0,1,1))+1,ROW(OFFSET(nombres[],ROWS(nombres[])-1,0,1,1))+1),$O1550:$O1569),3),"")</f>
        <v/>
      </c>
      <c r="WC1550" s="42" t="str">
        <f t="array" aca="1" ref="WC1550" ca="1">IFERROR(INDEX(nombres[],SMALL(IF(OFFSET(nombres[],0,0,ROWS(nombres[]),1)=WC$1490,ROW(OFFSET(nombres[],0,0,ROWS(nombres[]),1))-ROW(OFFSET(nombres[],0,0,1,1))+1,ROW(OFFSET(nombres[],ROWS(nombres[])-1,0,1,1))+1),$O1550:$O1569),3),"")</f>
        <v/>
      </c>
      <c r="WD1550" s="42" t="str">
        <f t="array" aca="1" ref="WD1550" ca="1">IFERROR(INDEX(nombres[],SMALL(IF(OFFSET(nombres[],0,0,ROWS(nombres[]),1)=WD$1490,ROW(OFFSET(nombres[],0,0,ROWS(nombres[]),1))-ROW(OFFSET(nombres[],0,0,1,1))+1,ROW(OFFSET(nombres[],ROWS(nombres[])-1,0,1,1))+1),$O1550:$O1569),3),"")</f>
        <v/>
      </c>
      <c r="WE1550" s="42" t="str">
        <f t="array" aca="1" ref="WE1550" ca="1">IFERROR(INDEX(nombres[],SMALL(IF(OFFSET(nombres[],0,0,ROWS(nombres[]),1)=WE$1490,ROW(OFFSET(nombres[],0,0,ROWS(nombres[]),1))-ROW(OFFSET(nombres[],0,0,1,1))+1,ROW(OFFSET(nombres[],ROWS(nombres[])-1,0,1,1))+1),$O1550:$O1569),3),"")</f>
        <v/>
      </c>
      <c r="WF1550" s="42" t="str">
        <f t="array" aca="1" ref="WF1550" ca="1">IFERROR(INDEX(nombres[],SMALL(IF(OFFSET(nombres[],0,0,ROWS(nombres[]),1)=WF$1490,ROW(OFFSET(nombres[],0,0,ROWS(nombres[]),1))-ROW(OFFSET(nombres[],0,0,1,1))+1,ROW(OFFSET(nombres[],ROWS(nombres[])-1,0,1,1))+1),$O1550:$O1569),3),"")</f>
        <v/>
      </c>
      <c r="WG1550" s="42" t="str">
        <f t="array" aca="1" ref="WG1550" ca="1">IFERROR(INDEX(nombres[],SMALL(IF(OFFSET(nombres[],0,0,ROWS(nombres[]),1)=WG$1490,ROW(OFFSET(nombres[],0,0,ROWS(nombres[]),1))-ROW(OFFSET(nombres[],0,0,1,1))+1,ROW(OFFSET(nombres[],ROWS(nombres[])-1,0,1,1))+1),$O1550:$O1569),3),"")</f>
        <v/>
      </c>
      <c r="WH1550" s="42" t="str">
        <f t="array" aca="1" ref="WH1550" ca="1">IFERROR(INDEX(nombres[],SMALL(IF(OFFSET(nombres[],0,0,ROWS(nombres[]),1)=WH$1490,ROW(OFFSET(nombres[],0,0,ROWS(nombres[]),1))-ROW(OFFSET(nombres[],0,0,1,1))+1,ROW(OFFSET(nombres[],ROWS(nombres[])-1,0,1,1))+1),$O1550:$O1569),3),"")</f>
        <v/>
      </c>
      <c r="WI1550" s="42" t="str">
        <f t="array" aca="1" ref="WI1550" ca="1">IFERROR(INDEX(nombres[],SMALL(IF(OFFSET(nombres[],0,0,ROWS(nombres[]),1)=WI$1490,ROW(OFFSET(nombres[],0,0,ROWS(nombres[]),1))-ROW(OFFSET(nombres[],0,0,1,1))+1,ROW(OFFSET(nombres[],ROWS(nombres[])-1,0,1,1))+1),$O1550:$O1569),3),"")</f>
        <v/>
      </c>
      <c r="WJ1550" s="42" t="str">
        <f t="array" aca="1" ref="WJ1550" ca="1">IFERROR(INDEX(nombres[],SMALL(IF(OFFSET(nombres[],0,0,ROWS(nombres[]),1)=WJ$1490,ROW(OFFSET(nombres[],0,0,ROWS(nombres[]),1))-ROW(OFFSET(nombres[],0,0,1,1))+1,ROW(OFFSET(nombres[],ROWS(nombres[])-1,0,1,1))+1),$O1550:$O1569),3),"")</f>
        <v/>
      </c>
      <c r="WK1550" s="42" t="str">
        <f t="array" aca="1" ref="WK1550" ca="1">IFERROR(INDEX(nombres[],SMALL(IF(OFFSET(nombres[],0,0,ROWS(nombres[]),1)=WK$1490,ROW(OFFSET(nombres[],0,0,ROWS(nombres[]),1))-ROW(OFFSET(nombres[],0,0,1,1))+1,ROW(OFFSET(nombres[],ROWS(nombres[])-1,0,1,1))+1),$O1550:$O1569),3),"")</f>
        <v/>
      </c>
      <c r="WL1550" s="42" t="str">
        <f t="array" aca="1" ref="WL1550" ca="1">IFERROR(INDEX(nombres[],SMALL(IF(OFFSET(nombres[],0,0,ROWS(nombres[]),1)=WL$1490,ROW(OFFSET(nombres[],0,0,ROWS(nombres[]),1))-ROW(OFFSET(nombres[],0,0,1,1))+1,ROW(OFFSET(nombres[],ROWS(nombres[])-1,0,1,1))+1),$O1550:$O1569),3),"")</f>
        <v/>
      </c>
      <c r="WM1550" s="42" t="str">
        <f t="array" aca="1" ref="WM1550" ca="1">IFERROR(INDEX(nombres[],SMALL(IF(OFFSET(nombres[],0,0,ROWS(nombres[]),1)=WM$1490,ROW(OFFSET(nombres[],0,0,ROWS(nombres[]),1))-ROW(OFFSET(nombres[],0,0,1,1))+1,ROW(OFFSET(nombres[],ROWS(nombres[])-1,0,1,1))+1),$O1550:$O1569),3),"")</f>
        <v/>
      </c>
      <c r="WN1550" s="42" t="str">
        <f t="array" aca="1" ref="WN1550" ca="1">IFERROR(INDEX(nombres[],SMALL(IF(OFFSET(nombres[],0,0,ROWS(nombres[]),1)=WN$1490,ROW(OFFSET(nombres[],0,0,ROWS(nombres[]),1))-ROW(OFFSET(nombres[],0,0,1,1))+1,ROW(OFFSET(nombres[],ROWS(nombres[])-1,0,1,1))+1),$O1550:$O1569),3),"")</f>
        <v/>
      </c>
      <c r="WO1550" s="42" t="str">
        <f t="array" aca="1" ref="WO1550" ca="1">IFERROR(INDEX(nombres[],SMALL(IF(OFFSET(nombres[],0,0,ROWS(nombres[]),1)=WO$1490,ROW(OFFSET(nombres[],0,0,ROWS(nombres[]),1))-ROW(OFFSET(nombres[],0,0,1,1))+1,ROW(OFFSET(nombres[],ROWS(nombres[])-1,0,1,1))+1),$O1550:$O1569),3),"")</f>
        <v/>
      </c>
      <c r="WP1550" s="42" t="str">
        <f t="array" aca="1" ref="WP1550" ca="1">IFERROR(INDEX(nombres[],SMALL(IF(OFFSET(nombres[],0,0,ROWS(nombres[]),1)=WP$1490,ROW(OFFSET(nombres[],0,0,ROWS(nombres[]),1))-ROW(OFFSET(nombres[],0,0,1,1))+1,ROW(OFFSET(nombres[],ROWS(nombres[])-1,0,1,1))+1),$O1550:$O1569),3),"")</f>
        <v/>
      </c>
      <c r="WQ1550" s="42" t="str">
        <f t="array" aca="1" ref="WQ1550" ca="1">IFERROR(INDEX(nombres[],SMALL(IF(OFFSET(nombres[],0,0,ROWS(nombres[]),1)=WQ$1490,ROW(OFFSET(nombres[],0,0,ROWS(nombres[]),1))-ROW(OFFSET(nombres[],0,0,1,1))+1,ROW(OFFSET(nombres[],ROWS(nombres[])-1,0,1,1))+1),$O1550:$O1569),3),"")</f>
        <v/>
      </c>
      <c r="WR1550" s="42" t="str">
        <f t="array" aca="1" ref="WR1550" ca="1">IFERROR(INDEX(nombres[],SMALL(IF(OFFSET(nombres[],0,0,ROWS(nombres[]),1)=WR$1490,ROW(OFFSET(nombres[],0,0,ROWS(nombres[]),1))-ROW(OFFSET(nombres[],0,0,1,1))+1,ROW(OFFSET(nombres[],ROWS(nombres[])-1,0,1,1))+1),$O1550:$O1569),3),"")</f>
        <v/>
      </c>
      <c r="WS1550" s="42" t="str">
        <f t="array" aca="1" ref="WS1550" ca="1">IFERROR(INDEX(nombres[],SMALL(IF(OFFSET(nombres[],0,0,ROWS(nombres[]),1)=WS$1490,ROW(OFFSET(nombres[],0,0,ROWS(nombres[]),1))-ROW(OFFSET(nombres[],0,0,1,1))+1,ROW(OFFSET(nombres[],ROWS(nombres[])-1,0,1,1))+1),$O1550:$O1569),3),"")</f>
        <v/>
      </c>
      <c r="WT1550" s="42" t="str">
        <f t="array" aca="1" ref="WT1550" ca="1">IFERROR(INDEX(nombres[],SMALL(IF(OFFSET(nombres[],0,0,ROWS(nombres[]),1)=WT$1490,ROW(OFFSET(nombres[],0,0,ROWS(nombres[]),1))-ROW(OFFSET(nombres[],0,0,1,1))+1,ROW(OFFSET(nombres[],ROWS(nombres[])-1,0,1,1))+1),$O1550:$O1569),3),"")</f>
        <v/>
      </c>
      <c r="WU1550" s="42" t="str">
        <f t="array" aca="1" ref="WU1550" ca="1">IFERROR(INDEX(nombres[],SMALL(IF(OFFSET(nombres[],0,0,ROWS(nombres[]),1)=WU$1490,ROW(OFFSET(nombres[],0,0,ROWS(nombres[]),1))-ROW(OFFSET(nombres[],0,0,1,1))+1,ROW(OFFSET(nombres[],ROWS(nombres[])-1,0,1,1))+1),$O1550:$O1569),3),"")</f>
        <v/>
      </c>
      <c r="WV1550" s="42" t="str">
        <f t="array" aca="1" ref="WV1550" ca="1">IFERROR(INDEX(nombres[],SMALL(IF(OFFSET(nombres[],0,0,ROWS(nombres[]),1)=WV$1490,ROW(OFFSET(nombres[],0,0,ROWS(nombres[]),1))-ROW(OFFSET(nombres[],0,0,1,1))+1,ROW(OFFSET(nombres[],ROWS(nombres[])-1,0,1,1))+1),$O1550:$O1569),3),"")</f>
        <v/>
      </c>
      <c r="WW1550" s="42" t="str">
        <f t="array" aca="1" ref="WW1550" ca="1">IFERROR(INDEX(nombres[],SMALL(IF(OFFSET(nombres[],0,0,ROWS(nombres[]),1)=WW$1490,ROW(OFFSET(nombres[],0,0,ROWS(nombres[]),1))-ROW(OFFSET(nombres[],0,0,1,1))+1,ROW(OFFSET(nombres[],ROWS(nombres[])-1,0,1,1))+1),$O1550:$O1569),3),"")</f>
        <v/>
      </c>
      <c r="WX1550" s="42" t="str">
        <f t="array" aca="1" ref="WX1550" ca="1">IFERROR(INDEX(nombres[],SMALL(IF(OFFSET(nombres[],0,0,ROWS(nombres[]),1)=WX$1490,ROW(OFFSET(nombres[],0,0,ROWS(nombres[]),1))-ROW(OFFSET(nombres[],0,0,1,1))+1,ROW(OFFSET(nombres[],ROWS(nombres[])-1,0,1,1))+1),$O1550:$O1569),3),"")</f>
        <v/>
      </c>
      <c r="WY1550" s="42" t="str">
        <f t="array" aca="1" ref="WY1550" ca="1">IFERROR(INDEX(nombres[],SMALL(IF(OFFSET(nombres[],0,0,ROWS(nombres[]),1)=WY$1490,ROW(OFFSET(nombres[],0,0,ROWS(nombres[]),1))-ROW(OFFSET(nombres[],0,0,1,1))+1,ROW(OFFSET(nombres[],ROWS(nombres[])-1,0,1,1))+1),$O1550:$O1569),3),"")</f>
        <v/>
      </c>
      <c r="WZ1550" s="42" t="str">
        <f t="array" aca="1" ref="WZ1550" ca="1">IFERROR(INDEX(nombres[],SMALL(IF(OFFSET(nombres[],0,0,ROWS(nombres[]),1)=WZ$1490,ROW(OFFSET(nombres[],0,0,ROWS(nombres[]),1))-ROW(OFFSET(nombres[],0,0,1,1))+1,ROW(OFFSET(nombres[],ROWS(nombres[])-1,0,1,1))+1),$O1550:$O1569),3),"")</f>
        <v/>
      </c>
      <c r="XA1550" s="42" t="str">
        <f t="array" aca="1" ref="XA1550" ca="1">IFERROR(INDEX(nombres[],SMALL(IF(OFFSET(nombres[],0,0,ROWS(nombres[]),1)=XA$1490,ROW(OFFSET(nombres[],0,0,ROWS(nombres[]),1))-ROW(OFFSET(nombres[],0,0,1,1))+1,ROW(OFFSET(nombres[],ROWS(nombres[])-1,0,1,1))+1),$O1550:$O1569),3),"")</f>
        <v/>
      </c>
      <c r="XB1550" s="42" t="str">
        <f t="array" aca="1" ref="XB1550" ca="1">IFERROR(INDEX(nombres[],SMALL(IF(OFFSET(nombres[],0,0,ROWS(nombres[]),1)=XB$1490,ROW(OFFSET(nombres[],0,0,ROWS(nombres[]),1))-ROW(OFFSET(nombres[],0,0,1,1))+1,ROW(OFFSET(nombres[],ROWS(nombres[])-1,0,1,1))+1),$O1550:$O1569),3),"")</f>
        <v/>
      </c>
      <c r="XC1550" s="42" t="str">
        <f t="array" aca="1" ref="XC1550" ca="1">IFERROR(INDEX(nombres[],SMALL(IF(OFFSET(nombres[],0,0,ROWS(nombres[]),1)=XC$1490,ROW(OFFSET(nombres[],0,0,ROWS(nombres[]),1))-ROW(OFFSET(nombres[],0,0,1,1))+1,ROW(OFFSET(nombres[],ROWS(nombres[])-1,0,1,1))+1),$O1550:$O1569),3),"")</f>
        <v/>
      </c>
      <c r="XD1550" s="42" t="str">
        <f t="array" aca="1" ref="XD1550" ca="1">IFERROR(INDEX(nombres[],SMALL(IF(OFFSET(nombres[],0,0,ROWS(nombres[]),1)=XD$1490,ROW(OFFSET(nombres[],0,0,ROWS(nombres[]),1))-ROW(OFFSET(nombres[],0,0,1,1))+1,ROW(OFFSET(nombres[],ROWS(nombres[])-1,0,1,1))+1),$O1550:$O1569),3),"")</f>
        <v/>
      </c>
      <c r="XE1550" s="42" t="str">
        <f t="array" aca="1" ref="XE1550" ca="1">IFERROR(INDEX(nombres[],SMALL(IF(OFFSET(nombres[],0,0,ROWS(nombres[]),1)=XE$1490,ROW(OFFSET(nombres[],0,0,ROWS(nombres[]),1))-ROW(OFFSET(nombres[],0,0,1,1))+1,ROW(OFFSET(nombres[],ROWS(nombres[])-1,0,1,1))+1),$O1550:$O1569),3),"")</f>
        <v/>
      </c>
      <c r="XF1550" s="42" t="str">
        <f t="array" aca="1" ref="XF1550" ca="1">IFERROR(INDEX(nombres[],SMALL(IF(OFFSET(nombres[],0,0,ROWS(nombres[]),1)=XF$1490,ROW(OFFSET(nombres[],0,0,ROWS(nombres[]),1))-ROW(OFFSET(nombres[],0,0,1,1))+1,ROW(OFFSET(nombres[],ROWS(nombres[])-1,0,1,1))+1),$O1550:$O1569),3),"")</f>
        <v/>
      </c>
      <c r="XG1550" s="42" t="str">
        <f t="array" aca="1" ref="XG1550" ca="1">IFERROR(INDEX(nombres[],SMALL(IF(OFFSET(nombres[],0,0,ROWS(nombres[]),1)=XG$1490,ROW(OFFSET(nombres[],0,0,ROWS(nombres[]),1))-ROW(OFFSET(nombres[],0,0,1,1))+1,ROW(OFFSET(nombres[],ROWS(nombres[])-1,0,1,1))+1),$O1550:$O1569),3),"")</f>
        <v/>
      </c>
      <c r="XH1550" s="42" t="str">
        <f t="array" aca="1" ref="XH1550" ca="1">IFERROR(INDEX(nombres[],SMALL(IF(OFFSET(nombres[],0,0,ROWS(nombres[]),1)=XH$1490,ROW(OFFSET(nombres[],0,0,ROWS(nombres[]),1))-ROW(OFFSET(nombres[],0,0,1,1))+1,ROW(OFFSET(nombres[],ROWS(nombres[])-1,0,1,1))+1),$O1550:$O1569),3),"")</f>
        <v/>
      </c>
      <c r="XI1550" s="42" t="str">
        <f t="array" aca="1" ref="XI1550" ca="1">IFERROR(INDEX(nombres[],SMALL(IF(OFFSET(nombres[],0,0,ROWS(nombres[]),1)=XI$1490,ROW(OFFSET(nombres[],0,0,ROWS(nombres[]),1))-ROW(OFFSET(nombres[],0,0,1,1))+1,ROW(OFFSET(nombres[],ROWS(nombres[])-1,0,1,1))+1),$O1550:$O1569),3),"")</f>
        <v/>
      </c>
      <c r="XJ1550" s="42" t="str">
        <f t="array" aca="1" ref="XJ1550" ca="1">IFERROR(INDEX(nombres[],SMALL(IF(OFFSET(nombres[],0,0,ROWS(nombres[]),1)=XJ$1490,ROW(OFFSET(nombres[],0,0,ROWS(nombres[]),1))-ROW(OFFSET(nombres[],0,0,1,1))+1,ROW(OFFSET(nombres[],ROWS(nombres[])-1,0,1,1))+1),$O1550:$O1569),3),"")</f>
        <v/>
      </c>
      <c r="XK1550" s="42" t="str">
        <f t="array" aca="1" ref="XK1550" ca="1">IFERROR(INDEX(nombres[],SMALL(IF(OFFSET(nombres[],0,0,ROWS(nombres[]),1)=XK$1490,ROW(OFFSET(nombres[],0,0,ROWS(nombres[]),1))-ROW(OFFSET(nombres[],0,0,1,1))+1,ROW(OFFSET(nombres[],ROWS(nombres[])-1,0,1,1))+1),$O1550:$O1569),3),"")</f>
        <v/>
      </c>
      <c r="XL1550" s="42" t="str">
        <f t="array" aca="1" ref="XL1550" ca="1">IFERROR(INDEX(nombres[],SMALL(IF(OFFSET(nombres[],0,0,ROWS(nombres[]),1)=XL$1490,ROW(OFFSET(nombres[],0,0,ROWS(nombres[]),1))-ROW(OFFSET(nombres[],0,0,1,1))+1,ROW(OFFSET(nombres[],ROWS(nombres[])-1,0,1,1))+1),$O1550:$O1569),3),"")</f>
        <v/>
      </c>
      <c r="XM1550" s="42" t="str">
        <f t="array" aca="1" ref="XM1550" ca="1">IFERROR(INDEX(nombres[],SMALL(IF(OFFSET(nombres[],0,0,ROWS(nombres[]),1)=XM$1490,ROW(OFFSET(nombres[],0,0,ROWS(nombres[]),1))-ROW(OFFSET(nombres[],0,0,1,1))+1,ROW(OFFSET(nombres[],ROWS(nombres[])-1,0,1,1))+1),$O1550:$O1569),3),"")</f>
        <v/>
      </c>
      <c r="XN1550" s="42" t="str">
        <f t="array" aca="1" ref="XN1550" ca="1">IFERROR(INDEX(nombres[],SMALL(IF(OFFSET(nombres[],0,0,ROWS(nombres[]),1)=XN$1490,ROW(OFFSET(nombres[],0,0,ROWS(nombres[]),1))-ROW(OFFSET(nombres[],0,0,1,1))+1,ROW(OFFSET(nombres[],ROWS(nombres[])-1,0,1,1))+1),$O1550:$O1569),3),"")</f>
        <v/>
      </c>
      <c r="XO1550" s="42" t="str">
        <f t="array" aca="1" ref="XO1550" ca="1">IFERROR(INDEX(nombres[],SMALL(IF(OFFSET(nombres[],0,0,ROWS(nombres[]),1)=XO$1490,ROW(OFFSET(nombres[],0,0,ROWS(nombres[]),1))-ROW(OFFSET(nombres[],0,0,1,1))+1,ROW(OFFSET(nombres[],ROWS(nombres[])-1,0,1,1))+1),$O1550:$O1569),3),"")</f>
        <v/>
      </c>
      <c r="XP1550" s="42" t="str">
        <f t="array" aca="1" ref="XP1550" ca="1">IFERROR(INDEX(nombres[],SMALL(IF(OFFSET(nombres[],0,0,ROWS(nombres[]),1)=XP$1490,ROW(OFFSET(nombres[],0,0,ROWS(nombres[]),1))-ROW(OFFSET(nombres[],0,0,1,1))+1,ROW(OFFSET(nombres[],ROWS(nombres[])-1,0,1,1))+1),$O1550:$O1569),3),"")</f>
        <v/>
      </c>
      <c r="XQ1550" s="42" t="str">
        <f t="array" aca="1" ref="XQ1550" ca="1">IFERROR(INDEX(nombres[],SMALL(IF(OFFSET(nombres[],0,0,ROWS(nombres[]),1)=XQ$1490,ROW(OFFSET(nombres[],0,0,ROWS(nombres[]),1))-ROW(OFFSET(nombres[],0,0,1,1))+1,ROW(OFFSET(nombres[],ROWS(nombres[])-1,0,1,1))+1),$O1550:$O1569),3),"")</f>
        <v/>
      </c>
      <c r="XR1550" s="42" t="str">
        <f t="array" aca="1" ref="XR1550" ca="1">IFERROR(INDEX(nombres[],SMALL(IF(OFFSET(nombres[],0,0,ROWS(nombres[]),1)=XR$1490,ROW(OFFSET(nombres[],0,0,ROWS(nombres[]),1))-ROW(OFFSET(nombres[],0,0,1,1))+1,ROW(OFFSET(nombres[],ROWS(nombres[])-1,0,1,1))+1),$O1550:$O1569),3),"")</f>
        <v/>
      </c>
      <c r="XS1550" s="42" t="str">
        <f t="array" aca="1" ref="XS1550" ca="1">IFERROR(INDEX(nombres[],SMALL(IF(OFFSET(nombres[],0,0,ROWS(nombres[]),1)=XS$1490,ROW(OFFSET(nombres[],0,0,ROWS(nombres[]),1))-ROW(OFFSET(nombres[],0,0,1,1))+1,ROW(OFFSET(nombres[],ROWS(nombres[])-1,0,1,1))+1),$O1550:$O1569),3),"")</f>
        <v/>
      </c>
      <c r="XT1550" s="42" t="str">
        <f t="array" aca="1" ref="XT1550" ca="1">IFERROR(INDEX(nombres[],SMALL(IF(OFFSET(nombres[],0,0,ROWS(nombres[]),1)=XT$1490,ROW(OFFSET(nombres[],0,0,ROWS(nombres[]),1))-ROW(OFFSET(nombres[],0,0,1,1))+1,ROW(OFFSET(nombres[],ROWS(nombres[])-1,0,1,1))+1),$O1550:$O1569),3),"")</f>
        <v/>
      </c>
      <c r="XU1550" s="42" t="str">
        <f t="array" aca="1" ref="XU1550" ca="1">IFERROR(INDEX(nombres[],SMALL(IF(OFFSET(nombres[],0,0,ROWS(nombres[]),1)=XU$1490,ROW(OFFSET(nombres[],0,0,ROWS(nombres[]),1))-ROW(OFFSET(nombres[],0,0,1,1))+1,ROW(OFFSET(nombres[],ROWS(nombres[])-1,0,1,1))+1),$O1550:$O1569),3),"")</f>
        <v/>
      </c>
      <c r="XV1550" s="42" t="str">
        <f t="array" aca="1" ref="XV1550" ca="1">IFERROR(INDEX(nombres[],SMALL(IF(OFFSET(nombres[],0,0,ROWS(nombres[]),1)=XV$1490,ROW(OFFSET(nombres[],0,0,ROWS(nombres[]),1))-ROW(OFFSET(nombres[],0,0,1,1))+1,ROW(OFFSET(nombres[],ROWS(nombres[])-1,0,1,1))+1),$O1550:$O1569),3),"")</f>
        <v/>
      </c>
      <c r="XW1550" s="42" t="str">
        <f t="array" aca="1" ref="XW1550" ca="1">IFERROR(INDEX(nombres[],SMALL(IF(OFFSET(nombres[],0,0,ROWS(nombres[]),1)=XW$1490,ROW(OFFSET(nombres[],0,0,ROWS(nombres[]),1))-ROW(OFFSET(nombres[],0,0,1,1))+1,ROW(OFFSET(nombres[],ROWS(nombres[])-1,0,1,1))+1),$O1550:$O1569),3),"")</f>
        <v/>
      </c>
      <c r="XX1550" s="42" t="str">
        <f t="array" aca="1" ref="XX1550" ca="1">IFERROR(INDEX(nombres[],SMALL(IF(OFFSET(nombres[],0,0,ROWS(nombres[]),1)=XX$1490,ROW(OFFSET(nombres[],0,0,ROWS(nombres[]),1))-ROW(OFFSET(nombres[],0,0,1,1))+1,ROW(OFFSET(nombres[],ROWS(nombres[])-1,0,1,1))+1),$O1550:$O1569),3),"")</f>
        <v/>
      </c>
      <c r="XY1550" s="42" t="str">
        <f t="array" aca="1" ref="XY1550" ca="1">IFERROR(INDEX(nombres[],SMALL(IF(OFFSET(nombres[],0,0,ROWS(nombres[]),1)=XY$1490,ROW(OFFSET(nombres[],0,0,ROWS(nombres[]),1))-ROW(OFFSET(nombres[],0,0,1,1))+1,ROW(OFFSET(nombres[],ROWS(nombres[])-1,0,1,1))+1),$O1550:$O1569),3),"")</f>
        <v/>
      </c>
      <c r="XZ1550" s="42" t="str">
        <f t="array" aca="1" ref="XZ1550" ca="1">IFERROR(INDEX(nombres[],SMALL(IF(OFFSET(nombres[],0,0,ROWS(nombres[]),1)=XZ$1490,ROW(OFFSET(nombres[],0,0,ROWS(nombres[]),1))-ROW(OFFSET(nombres[],0,0,1,1))+1,ROW(OFFSET(nombres[],ROWS(nombres[])-1,0,1,1))+1),$O1550:$O1569),3),"")</f>
        <v/>
      </c>
      <c r="YA1550" s="42" t="str">
        <f t="array" aca="1" ref="YA1550" ca="1">IFERROR(INDEX(nombres[],SMALL(IF(OFFSET(nombres[],0,0,ROWS(nombres[]),1)=YA$1490,ROW(OFFSET(nombres[],0,0,ROWS(nombres[]),1))-ROW(OFFSET(nombres[],0,0,1,1))+1,ROW(OFFSET(nombres[],ROWS(nombres[])-1,0,1,1))+1),$O1550:$O1569),3),"")</f>
        <v/>
      </c>
      <c r="YB1550" s="42" t="str">
        <f t="array" aca="1" ref="YB1550" ca="1">IFERROR(INDEX(nombres[],SMALL(IF(OFFSET(nombres[],0,0,ROWS(nombres[]),1)=YB$1490,ROW(OFFSET(nombres[],0,0,ROWS(nombres[]),1))-ROW(OFFSET(nombres[],0,0,1,1))+1,ROW(OFFSET(nombres[],ROWS(nombres[])-1,0,1,1))+1),$O1550:$O1569),3),"")</f>
        <v/>
      </c>
      <c r="YC1550" s="42" t="str">
        <f t="array" aca="1" ref="YC1550" ca="1">IFERROR(INDEX(nombres[],SMALL(IF(OFFSET(nombres[],0,0,ROWS(nombres[]),1)=YC$1490,ROW(OFFSET(nombres[],0,0,ROWS(nombres[]),1))-ROW(OFFSET(nombres[],0,0,1,1))+1,ROW(OFFSET(nombres[],ROWS(nombres[])-1,0,1,1))+1),$O1550:$O1569),3),"")</f>
        <v/>
      </c>
      <c r="YD1550" s="42" t="str">
        <f t="array" aca="1" ref="YD1550" ca="1">IFERROR(INDEX(nombres[],SMALL(IF(OFFSET(nombres[],0,0,ROWS(nombres[]),1)=YD$1490,ROW(OFFSET(nombres[],0,0,ROWS(nombres[]),1))-ROW(OFFSET(nombres[],0,0,1,1))+1,ROW(OFFSET(nombres[],ROWS(nombres[])-1,0,1,1))+1),$O1550:$O1569),3),"")</f>
        <v/>
      </c>
      <c r="YE1550" s="42" t="str">
        <f t="array" aca="1" ref="YE1550" ca="1">IFERROR(INDEX(nombres[],SMALL(IF(OFFSET(nombres[],0,0,ROWS(nombres[]),1)=YE$1490,ROW(OFFSET(nombres[],0,0,ROWS(nombres[]),1))-ROW(OFFSET(nombres[],0,0,1,1))+1,ROW(OFFSET(nombres[],ROWS(nombres[])-1,0,1,1))+1),$O1550:$O1569),3),"")</f>
        <v/>
      </c>
      <c r="YF1550" s="42" t="str">
        <f t="array" aca="1" ref="YF1550" ca="1">IFERROR(INDEX(nombres[],SMALL(IF(OFFSET(nombres[],0,0,ROWS(nombres[]),1)=YF$1490,ROW(OFFSET(nombres[],0,0,ROWS(nombres[]),1))-ROW(OFFSET(nombres[],0,0,1,1))+1,ROW(OFFSET(nombres[],ROWS(nombres[])-1,0,1,1))+1),$O1550:$O1569),3),"")</f>
        <v/>
      </c>
      <c r="YG1550" s="42" t="str">
        <f t="array" aca="1" ref="YG1550" ca="1">IFERROR(INDEX(nombres[],SMALL(IF(OFFSET(nombres[],0,0,ROWS(nombres[]),1)=YG$1490,ROW(OFFSET(nombres[],0,0,ROWS(nombres[]),1))-ROW(OFFSET(nombres[],0,0,1,1))+1,ROW(OFFSET(nombres[],ROWS(nombres[])-1,0,1,1))+1),$O1550:$O1569),3),"")</f>
        <v/>
      </c>
      <c r="YH1550" s="42" t="str">
        <f t="array" aca="1" ref="YH1550" ca="1">IFERROR(INDEX(nombres[],SMALL(IF(OFFSET(nombres[],0,0,ROWS(nombres[]),1)=YH$1490,ROW(OFFSET(nombres[],0,0,ROWS(nombres[]),1))-ROW(OFFSET(nombres[],0,0,1,1))+1,ROW(OFFSET(nombres[],ROWS(nombres[])-1,0,1,1))+1),$O1550:$O1569),3),"")</f>
        <v/>
      </c>
      <c r="YI1550" s="42" t="str">
        <f t="array" aca="1" ref="YI1550" ca="1">IFERROR(INDEX(nombres[],SMALL(IF(OFFSET(nombres[],0,0,ROWS(nombres[]),1)=YI$1490,ROW(OFFSET(nombres[],0,0,ROWS(nombres[]),1))-ROW(OFFSET(nombres[],0,0,1,1))+1,ROW(OFFSET(nombres[],ROWS(nombres[])-1,0,1,1))+1),$O1550:$O1569),3),"")</f>
        <v/>
      </c>
      <c r="YJ1550" s="42" t="str">
        <f t="array" aca="1" ref="YJ1550" ca="1">IFERROR(INDEX(nombres[],SMALL(IF(OFFSET(nombres[],0,0,ROWS(nombres[]),1)=YJ$1490,ROW(OFFSET(nombres[],0,0,ROWS(nombres[]),1))-ROW(OFFSET(nombres[],0,0,1,1))+1,ROW(OFFSET(nombres[],ROWS(nombres[])-1,0,1,1))+1),$O1550:$O1569),3),"")</f>
        <v/>
      </c>
      <c r="YK1550" s="42" t="str">
        <f t="array" aca="1" ref="YK1550" ca="1">IFERROR(INDEX(nombres[],SMALL(IF(OFFSET(nombres[],0,0,ROWS(nombres[]),1)=YK$1490,ROW(OFFSET(nombres[],0,0,ROWS(nombres[]),1))-ROW(OFFSET(nombres[],0,0,1,1))+1,ROW(OFFSET(nombres[],ROWS(nombres[])-1,0,1,1))+1),$O1550:$O1569),3),"")</f>
        <v/>
      </c>
      <c r="YL1550" s="42" t="str">
        <f t="array" aca="1" ref="YL1550" ca="1">IFERROR(INDEX(nombres[],SMALL(IF(OFFSET(nombres[],0,0,ROWS(nombres[]),1)=YL$1490,ROW(OFFSET(nombres[],0,0,ROWS(nombres[]),1))-ROW(OFFSET(nombres[],0,0,1,1))+1,ROW(OFFSET(nombres[],ROWS(nombres[])-1,0,1,1))+1),$O1550:$O1569),3),"")</f>
        <v/>
      </c>
      <c r="YM1550" s="42" t="str">
        <f t="array" aca="1" ref="YM1550" ca="1">IFERROR(INDEX(nombres[],SMALL(IF(OFFSET(nombres[],0,0,ROWS(nombres[]),1)=YM$1490,ROW(OFFSET(nombres[],0,0,ROWS(nombres[]),1))-ROW(OFFSET(nombres[],0,0,1,1))+1,ROW(OFFSET(nombres[],ROWS(nombres[])-1,0,1,1))+1),$O1550:$O1569),3),"")</f>
        <v/>
      </c>
      <c r="YN1550" s="42" t="str">
        <f t="array" aca="1" ref="YN1550" ca="1">IFERROR(INDEX(nombres[],SMALL(IF(OFFSET(nombres[],0,0,ROWS(nombres[]),1)=YN$1490,ROW(OFFSET(nombres[],0,0,ROWS(nombres[]),1))-ROW(OFFSET(nombres[],0,0,1,1))+1,ROW(OFFSET(nombres[],ROWS(nombres[])-1,0,1,1))+1),$O1550:$O1569),3),"")</f>
        <v/>
      </c>
      <c r="YO1550" s="42" t="str">
        <f t="array" aca="1" ref="YO1550" ca="1">IFERROR(INDEX(nombres[],SMALL(IF(OFFSET(nombres[],0,0,ROWS(nombres[]),1)=YO$1490,ROW(OFFSET(nombres[],0,0,ROWS(nombres[]),1))-ROW(OFFSET(nombres[],0,0,1,1))+1,ROW(OFFSET(nombres[],ROWS(nombres[])-1,0,1,1))+1),$O1550:$O1569),3),"")</f>
        <v/>
      </c>
      <c r="YP1550" s="42" t="str">
        <f t="array" aca="1" ref="YP1550" ca="1">IFERROR(INDEX(nombres[],SMALL(IF(OFFSET(nombres[],0,0,ROWS(nombres[]),1)=YP$1490,ROW(OFFSET(nombres[],0,0,ROWS(nombres[]),1))-ROW(OFFSET(nombres[],0,0,1,1))+1,ROW(OFFSET(nombres[],ROWS(nombres[])-1,0,1,1))+1),$O1550:$O1569),3),"")</f>
        <v/>
      </c>
      <c r="YQ1550" s="42" t="str">
        <f t="array" aca="1" ref="YQ1550" ca="1">IFERROR(INDEX(nombres[],SMALL(IF(OFFSET(nombres[],0,0,ROWS(nombres[]),1)=YQ$1490,ROW(OFFSET(nombres[],0,0,ROWS(nombres[]),1))-ROW(OFFSET(nombres[],0,0,1,1))+1,ROW(OFFSET(nombres[],ROWS(nombres[])-1,0,1,1))+1),$O1550:$O1569),3),"")</f>
        <v/>
      </c>
      <c r="YR1550" s="42" t="str">
        <f t="array" aca="1" ref="YR1550" ca="1">IFERROR(INDEX(nombres[],SMALL(IF(OFFSET(nombres[],0,0,ROWS(nombres[]),1)=YR$1490,ROW(OFFSET(nombres[],0,0,ROWS(nombres[]),1))-ROW(OFFSET(nombres[],0,0,1,1))+1,ROW(OFFSET(nombres[],ROWS(nombres[])-1,0,1,1))+1),$O1550:$O1569),3),"")</f>
        <v/>
      </c>
      <c r="YS1550" s="42" t="str">
        <f t="array" aca="1" ref="YS1550" ca="1">IFERROR(INDEX(nombres[],SMALL(IF(OFFSET(nombres[],0,0,ROWS(nombres[]),1)=YS$1490,ROW(OFFSET(nombres[],0,0,ROWS(nombres[]),1))-ROW(OFFSET(nombres[],0,0,1,1))+1,ROW(OFFSET(nombres[],ROWS(nombres[])-1,0,1,1))+1),$O1550:$O1569),3),"")</f>
        <v/>
      </c>
      <c r="YT1550" s="42" t="str">
        <f t="array" aca="1" ref="YT1550" ca="1">IFERROR(INDEX(nombres[],SMALL(IF(OFFSET(nombres[],0,0,ROWS(nombres[]),1)=YT$1490,ROW(OFFSET(nombres[],0,0,ROWS(nombres[]),1))-ROW(OFFSET(nombres[],0,0,1,1))+1,ROW(OFFSET(nombres[],ROWS(nombres[])-1,0,1,1))+1),$O1550:$O1569),3),"")</f>
        <v/>
      </c>
      <c r="YU1550" s="42" t="str">
        <f t="array" aca="1" ref="YU1550" ca="1">IFERROR(INDEX(nombres[],SMALL(IF(OFFSET(nombres[],0,0,ROWS(nombres[]),1)=YU$1490,ROW(OFFSET(nombres[],0,0,ROWS(nombres[]),1))-ROW(OFFSET(nombres[],0,0,1,1))+1,ROW(OFFSET(nombres[],ROWS(nombres[])-1,0,1,1))+1),$O1550:$O1569),3),"")</f>
        <v/>
      </c>
      <c r="YV1550" s="42" t="str">
        <f t="array" aca="1" ref="YV1550" ca="1">IFERROR(INDEX(nombres[],SMALL(IF(OFFSET(nombres[],0,0,ROWS(nombres[]),1)=YV$1490,ROW(OFFSET(nombres[],0,0,ROWS(nombres[]),1))-ROW(OFFSET(nombres[],0,0,1,1))+1,ROW(OFFSET(nombres[],ROWS(nombres[])-1,0,1,1))+1),$O1550:$O1569),3),"")</f>
        <v/>
      </c>
      <c r="YW1550" s="42" t="str">
        <f t="array" aca="1" ref="YW1550" ca="1">IFERROR(INDEX(nombres[],SMALL(IF(OFFSET(nombres[],0,0,ROWS(nombres[]),1)=YW$1490,ROW(OFFSET(nombres[],0,0,ROWS(nombres[]),1))-ROW(OFFSET(nombres[],0,0,1,1))+1,ROW(OFFSET(nombres[],ROWS(nombres[])-1,0,1,1))+1),$O1550:$O1569),3),"")</f>
        <v/>
      </c>
      <c r="YX1550" s="42" t="str">
        <f t="array" aca="1" ref="YX1550" ca="1">IFERROR(INDEX(nombres[],SMALL(IF(OFFSET(nombres[],0,0,ROWS(nombres[]),1)=YX$1490,ROW(OFFSET(nombres[],0,0,ROWS(nombres[]),1))-ROW(OFFSET(nombres[],0,0,1,1))+1,ROW(OFFSET(nombres[],ROWS(nombres[])-1,0,1,1))+1),$O1550:$O1569),3),"")</f>
        <v/>
      </c>
      <c r="YY1550" s="42" t="str">
        <f t="array" aca="1" ref="YY1550" ca="1">IFERROR(INDEX(nombres[],SMALL(IF(OFFSET(nombres[],0,0,ROWS(nombres[]),1)=YY$1490,ROW(OFFSET(nombres[],0,0,ROWS(nombres[]),1))-ROW(OFFSET(nombres[],0,0,1,1))+1,ROW(OFFSET(nombres[],ROWS(nombres[])-1,0,1,1))+1),$O1550:$O1569),3),"")</f>
        <v/>
      </c>
      <c r="YZ1550" s="42" t="str">
        <f t="array" aca="1" ref="YZ1550" ca="1">IFERROR(INDEX(nombres[],SMALL(IF(OFFSET(nombres[],0,0,ROWS(nombres[]),1)=YZ$1490,ROW(OFFSET(nombres[],0,0,ROWS(nombres[]),1))-ROW(OFFSET(nombres[],0,0,1,1))+1,ROW(OFFSET(nombres[],ROWS(nombres[])-1,0,1,1))+1),$O1550:$O1569),3),"")</f>
        <v/>
      </c>
      <c r="ZA1550" s="42" t="str">
        <f t="array" aca="1" ref="ZA1550" ca="1">IFERROR(INDEX(nombres[],SMALL(IF(OFFSET(nombres[],0,0,ROWS(nombres[]),1)=ZA$1490,ROW(OFFSET(nombres[],0,0,ROWS(nombres[]),1))-ROW(OFFSET(nombres[],0,0,1,1))+1,ROW(OFFSET(nombres[],ROWS(nombres[])-1,0,1,1))+1),$O1550:$O1569),3),"")</f>
        <v/>
      </c>
      <c r="ZB1550" s="42" t="str">
        <f t="array" aca="1" ref="ZB1550" ca="1">IFERROR(INDEX(nombres[],SMALL(IF(OFFSET(nombres[],0,0,ROWS(nombres[]),1)=ZB$1490,ROW(OFFSET(nombres[],0,0,ROWS(nombres[]),1))-ROW(OFFSET(nombres[],0,0,1,1))+1,ROW(OFFSET(nombres[],ROWS(nombres[])-1,0,1,1))+1),$O1550:$O1569),3),"")</f>
        <v/>
      </c>
      <c r="ZC1550" s="42" t="str">
        <f t="array" aca="1" ref="ZC1550" ca="1">IFERROR(INDEX(nombres[],SMALL(IF(OFFSET(nombres[],0,0,ROWS(nombres[]),1)=ZC$1490,ROW(OFFSET(nombres[],0,0,ROWS(nombres[]),1))-ROW(OFFSET(nombres[],0,0,1,1))+1,ROW(OFFSET(nombres[],ROWS(nombres[])-1,0,1,1))+1),$O1550:$O1569),3),"")</f>
        <v/>
      </c>
      <c r="ZD1550" s="42" t="str">
        <f t="array" aca="1" ref="ZD1550" ca="1">IFERROR(INDEX(nombres[],SMALL(IF(OFFSET(nombres[],0,0,ROWS(nombres[]),1)=ZD$1490,ROW(OFFSET(nombres[],0,0,ROWS(nombres[]),1))-ROW(OFFSET(nombres[],0,0,1,1))+1,ROW(OFFSET(nombres[],ROWS(nombres[])-1,0,1,1))+1),$O1550:$O1569),3),"")</f>
        <v/>
      </c>
      <c r="ZE1550" s="42" t="str">
        <f t="array" aca="1" ref="ZE1550" ca="1">IFERROR(INDEX(nombres[],SMALL(IF(OFFSET(nombres[],0,0,ROWS(nombres[]),1)=ZE$1490,ROW(OFFSET(nombres[],0,0,ROWS(nombres[]),1))-ROW(OFFSET(nombres[],0,0,1,1))+1,ROW(OFFSET(nombres[],ROWS(nombres[])-1,0,1,1))+1),$O1550:$O1569),3),"")</f>
        <v/>
      </c>
      <c r="ZF1550" s="42" t="str">
        <f t="array" aca="1" ref="ZF1550" ca="1">IFERROR(INDEX(nombres[],SMALL(IF(OFFSET(nombres[],0,0,ROWS(nombres[]),1)=ZF$1490,ROW(OFFSET(nombres[],0,0,ROWS(nombres[]),1))-ROW(OFFSET(nombres[],0,0,1,1))+1,ROW(OFFSET(nombres[],ROWS(nombres[])-1,0,1,1))+1),$O1550:$O1569),3),"")</f>
        <v/>
      </c>
      <c r="ZG1550" s="42" t="str">
        <f t="array" aca="1" ref="ZG1550" ca="1">IFERROR(INDEX(nombres[],SMALL(IF(OFFSET(nombres[],0,0,ROWS(nombres[]),1)=ZG$1490,ROW(OFFSET(nombres[],0,0,ROWS(nombres[]),1))-ROW(OFFSET(nombres[],0,0,1,1))+1,ROW(OFFSET(nombres[],ROWS(nombres[])-1,0,1,1))+1),$O1550:$O1569),3),"")</f>
        <v/>
      </c>
      <c r="ZH1550" s="42" t="str">
        <f t="array" aca="1" ref="ZH1550" ca="1">IFERROR(INDEX(nombres[],SMALL(IF(OFFSET(nombres[],0,0,ROWS(nombres[]),1)=ZH$1490,ROW(OFFSET(nombres[],0,0,ROWS(nombres[]),1))-ROW(OFFSET(nombres[],0,0,1,1))+1,ROW(OFFSET(nombres[],ROWS(nombres[])-1,0,1,1))+1),$O1550:$O1569),3),"")</f>
        <v/>
      </c>
      <c r="ZI1550" s="42" t="str">
        <f t="array" aca="1" ref="ZI1550" ca="1">IFERROR(INDEX(nombres[],SMALL(IF(OFFSET(nombres[],0,0,ROWS(nombres[]),1)=ZI$1490,ROW(OFFSET(nombres[],0,0,ROWS(nombres[]),1))-ROW(OFFSET(nombres[],0,0,1,1))+1,ROW(OFFSET(nombres[],ROWS(nombres[])-1,0,1,1))+1),$O1550:$O1569),3),"")</f>
        <v/>
      </c>
      <c r="ZJ1550" s="42" t="str">
        <f t="array" aca="1" ref="ZJ1550" ca="1">IFERROR(INDEX(nombres[],SMALL(IF(OFFSET(nombres[],0,0,ROWS(nombres[]),1)=ZJ$1490,ROW(OFFSET(nombres[],0,0,ROWS(nombres[]),1))-ROW(OFFSET(nombres[],0,0,1,1))+1,ROW(OFFSET(nombres[],ROWS(nombres[])-1,0,1,1))+1),$O1550:$O1569),3),"")</f>
        <v/>
      </c>
      <c r="ZK1550" s="42" t="str">
        <f t="array" aca="1" ref="ZK1550" ca="1">IFERROR(INDEX(nombres[],SMALL(IF(OFFSET(nombres[],0,0,ROWS(nombres[]),1)=ZK$1490,ROW(OFFSET(nombres[],0,0,ROWS(nombres[]),1))-ROW(OFFSET(nombres[],0,0,1,1))+1,ROW(OFFSET(nombres[],ROWS(nombres[])-1,0,1,1))+1),$O1550:$O1569),3),"")</f>
        <v/>
      </c>
      <c r="ZL1550" s="42" t="str">
        <f t="array" aca="1" ref="ZL1550" ca="1">IFERROR(INDEX(nombres[],SMALL(IF(OFFSET(nombres[],0,0,ROWS(nombres[]),1)=ZL$1490,ROW(OFFSET(nombres[],0,0,ROWS(nombres[]),1))-ROW(OFFSET(nombres[],0,0,1,1))+1,ROW(OFFSET(nombres[],ROWS(nombres[])-1,0,1,1))+1),$O1550:$O1569),3),"")</f>
        <v/>
      </c>
      <c r="ZM1550" s="42" t="str">
        <f t="array" aca="1" ref="ZM1550" ca="1">IFERROR(INDEX(nombres[],SMALL(IF(OFFSET(nombres[],0,0,ROWS(nombres[]),1)=ZM$1490,ROW(OFFSET(nombres[],0,0,ROWS(nombres[]),1))-ROW(OFFSET(nombres[],0,0,1,1))+1,ROW(OFFSET(nombres[],ROWS(nombres[])-1,0,1,1))+1),$O1550:$O1569),3),"")</f>
        <v/>
      </c>
      <c r="ZN1550" s="42" t="str">
        <f t="array" aca="1" ref="ZN1550" ca="1">IFERROR(INDEX(nombres[],SMALL(IF(OFFSET(nombres[],0,0,ROWS(nombres[]),1)=ZN$1490,ROW(OFFSET(nombres[],0,0,ROWS(nombres[]),1))-ROW(OFFSET(nombres[],0,0,1,1))+1,ROW(OFFSET(nombres[],ROWS(nombres[])-1,0,1,1))+1),$O1550:$O1569),3),"")</f>
        <v/>
      </c>
      <c r="ZO1550" s="42" t="str">
        <f t="array" aca="1" ref="ZO1550" ca="1">IFERROR(INDEX(nombres[],SMALL(IF(OFFSET(nombres[],0,0,ROWS(nombres[]),1)=ZO$1490,ROW(OFFSET(nombres[],0,0,ROWS(nombres[]),1))-ROW(OFFSET(nombres[],0,0,1,1))+1,ROW(OFFSET(nombres[],ROWS(nombres[])-1,0,1,1))+1),$O1550:$O1569),3),"")</f>
        <v/>
      </c>
      <c r="ZP1550" s="42" t="str">
        <f t="array" aca="1" ref="ZP1550" ca="1">IFERROR(INDEX(nombres[],SMALL(IF(OFFSET(nombres[],0,0,ROWS(nombres[]),1)=ZP$1490,ROW(OFFSET(nombres[],0,0,ROWS(nombres[]),1))-ROW(OFFSET(nombres[],0,0,1,1))+1,ROW(OFFSET(nombres[],ROWS(nombres[])-1,0,1,1))+1),$O1550:$O1569),3),"")</f>
        <v/>
      </c>
      <c r="ZQ1550" s="42" t="str">
        <f t="array" aca="1" ref="ZQ1550" ca="1">IFERROR(INDEX(nombres[],SMALL(IF(OFFSET(nombres[],0,0,ROWS(nombres[]),1)=ZQ$1490,ROW(OFFSET(nombres[],0,0,ROWS(nombres[]),1))-ROW(OFFSET(nombres[],0,0,1,1))+1,ROW(OFFSET(nombres[],ROWS(nombres[])-1,0,1,1))+1),$O1550:$O1569),3),"")</f>
        <v/>
      </c>
      <c r="ZR1550" s="42" t="str">
        <f t="array" aca="1" ref="ZR1550" ca="1">IFERROR(INDEX(nombres[],SMALL(IF(OFFSET(nombres[],0,0,ROWS(nombres[]),1)=ZR$1490,ROW(OFFSET(nombres[],0,0,ROWS(nombres[]),1))-ROW(OFFSET(nombres[],0,0,1,1))+1,ROW(OFFSET(nombres[],ROWS(nombres[])-1,0,1,1))+1),$O1550:$O1569),3),"")</f>
        <v/>
      </c>
      <c r="ZS1550" s="42" t="str">
        <f t="array" aca="1" ref="ZS1550" ca="1">IFERROR(INDEX(nombres[],SMALL(IF(OFFSET(nombres[],0,0,ROWS(nombres[]),1)=ZS$1490,ROW(OFFSET(nombres[],0,0,ROWS(nombres[]),1))-ROW(OFFSET(nombres[],0,0,1,1))+1,ROW(OFFSET(nombres[],ROWS(nombres[])-1,0,1,1))+1),$O1550:$O1569),3),"")</f>
        <v/>
      </c>
      <c r="ZT1550" s="42" t="str">
        <f t="array" aca="1" ref="ZT1550" ca="1">IFERROR(INDEX(nombres[],SMALL(IF(OFFSET(nombres[],0,0,ROWS(nombres[]),1)=ZT$1490,ROW(OFFSET(nombres[],0,0,ROWS(nombres[]),1))-ROW(OFFSET(nombres[],0,0,1,1))+1,ROW(OFFSET(nombres[],ROWS(nombres[])-1,0,1,1))+1),$O1550:$O1569),3),"")</f>
        <v/>
      </c>
      <c r="ZU1550" s="42" t="str">
        <f t="array" aca="1" ref="ZU1550" ca="1">IFERROR(INDEX(nombres[],SMALL(IF(OFFSET(nombres[],0,0,ROWS(nombres[]),1)=ZU$1490,ROW(OFFSET(nombres[],0,0,ROWS(nombres[]),1))-ROW(OFFSET(nombres[],0,0,1,1))+1,ROW(OFFSET(nombres[],ROWS(nombres[])-1,0,1,1))+1),$O1550:$O1569),3),"")</f>
        <v/>
      </c>
      <c r="ZV1550" s="42" t="str">
        <f t="array" aca="1" ref="ZV1550" ca="1">IFERROR(INDEX(nombres[],SMALL(IF(OFFSET(nombres[],0,0,ROWS(nombres[]),1)=ZV$1490,ROW(OFFSET(nombres[],0,0,ROWS(nombres[]),1))-ROW(OFFSET(nombres[],0,0,1,1))+1,ROW(OFFSET(nombres[],ROWS(nombres[])-1,0,1,1))+1),$O1550:$O1569),3),"")</f>
        <v/>
      </c>
      <c r="ZW1550" s="42" t="str">
        <f t="array" aca="1" ref="ZW1550" ca="1">IFERROR(INDEX(nombres[],SMALL(IF(OFFSET(nombres[],0,0,ROWS(nombres[]),1)=ZW$1490,ROW(OFFSET(nombres[],0,0,ROWS(nombres[]),1))-ROW(OFFSET(nombres[],0,0,1,1))+1,ROW(OFFSET(nombres[],ROWS(nombres[])-1,0,1,1))+1),$O1550:$O1569),3),"")</f>
        <v/>
      </c>
      <c r="ZX1550" s="42" t="str">
        <f t="array" aca="1" ref="ZX1550" ca="1">IFERROR(INDEX(nombres[],SMALL(IF(OFFSET(nombres[],0,0,ROWS(nombres[]),1)=ZX$1490,ROW(OFFSET(nombres[],0,0,ROWS(nombres[]),1))-ROW(OFFSET(nombres[],0,0,1,1))+1,ROW(OFFSET(nombres[],ROWS(nombres[])-1,0,1,1))+1),$O1550:$O1569),3),"")</f>
        <v/>
      </c>
      <c r="ZY1550" s="42" t="str">
        <f t="array" aca="1" ref="ZY1550" ca="1">IFERROR(INDEX(nombres[],SMALL(IF(OFFSET(nombres[],0,0,ROWS(nombres[]),1)=ZY$1490,ROW(OFFSET(nombres[],0,0,ROWS(nombres[]),1))-ROW(OFFSET(nombres[],0,0,1,1))+1,ROW(OFFSET(nombres[],ROWS(nombres[])-1,0,1,1))+1),$O1550:$O1569),3),"")</f>
        <v/>
      </c>
      <c r="ZZ1550" s="42" t="str">
        <f t="array" aca="1" ref="ZZ1550" ca="1">IFERROR(INDEX(nombres[],SMALL(IF(OFFSET(nombres[],0,0,ROWS(nombres[]),1)=ZZ$1490,ROW(OFFSET(nombres[],0,0,ROWS(nombres[]),1))-ROW(OFFSET(nombres[],0,0,1,1))+1,ROW(OFFSET(nombres[],ROWS(nombres[])-1,0,1,1))+1),$O1550:$O1569),3),"")</f>
        <v/>
      </c>
      <c r="AAA1550" s="42" t="str">
        <f t="array" aca="1" ref="AAA1550" ca="1">IFERROR(INDEX(nombres[],SMALL(IF(OFFSET(nombres[],0,0,ROWS(nombres[]),1)=AAA$1490,ROW(OFFSET(nombres[],0,0,ROWS(nombres[]),1))-ROW(OFFSET(nombres[],0,0,1,1))+1,ROW(OFFSET(nombres[],ROWS(nombres[])-1,0,1,1))+1),$O1550:$O1569),3),"")</f>
        <v/>
      </c>
      <c r="AAB1550" s="42" t="str">
        <f t="array" aca="1" ref="AAB1550" ca="1">IFERROR(INDEX(nombres[],SMALL(IF(OFFSET(nombres[],0,0,ROWS(nombres[]),1)=AAB$1490,ROW(OFFSET(nombres[],0,0,ROWS(nombres[]),1))-ROW(OFFSET(nombres[],0,0,1,1))+1,ROW(OFFSET(nombres[],ROWS(nombres[])-1,0,1,1))+1),$O1550:$O1569),3),"")</f>
        <v/>
      </c>
      <c r="AAC1550" s="42" t="str">
        <f t="array" aca="1" ref="AAC1550" ca="1">IFERROR(INDEX(nombres[],SMALL(IF(OFFSET(nombres[],0,0,ROWS(nombres[]),1)=AAC$1490,ROW(OFFSET(nombres[],0,0,ROWS(nombres[]),1))-ROW(OFFSET(nombres[],0,0,1,1))+1,ROW(OFFSET(nombres[],ROWS(nombres[])-1,0,1,1))+1),$O1550:$O1569),3),"")</f>
        <v/>
      </c>
      <c r="AAD1550" s="42" t="str">
        <f t="array" aca="1" ref="AAD1550" ca="1">IFERROR(INDEX(nombres[],SMALL(IF(OFFSET(nombres[],0,0,ROWS(nombres[]),1)=AAD$1490,ROW(OFFSET(nombres[],0,0,ROWS(nombres[]),1))-ROW(OFFSET(nombres[],0,0,1,1))+1,ROW(OFFSET(nombres[],ROWS(nombres[])-1,0,1,1))+1),$O1550:$O1569),3),"")</f>
        <v/>
      </c>
      <c r="AAE1550" s="42" t="str">
        <f t="array" aca="1" ref="AAE1550" ca="1">IFERROR(INDEX(nombres[],SMALL(IF(OFFSET(nombres[],0,0,ROWS(nombres[]),1)=AAE$1490,ROW(OFFSET(nombres[],0,0,ROWS(nombres[]),1))-ROW(OFFSET(nombres[],0,0,1,1))+1,ROW(OFFSET(nombres[],ROWS(nombres[])-1,0,1,1))+1),$O1550:$O1569),3),"")</f>
        <v/>
      </c>
      <c r="AAF1550" s="42" t="str">
        <f t="array" aca="1" ref="AAF1550" ca="1">IFERROR(INDEX(nombres[],SMALL(IF(OFFSET(nombres[],0,0,ROWS(nombres[]),1)=AAF$1490,ROW(OFFSET(nombres[],0,0,ROWS(nombres[]),1))-ROW(OFFSET(nombres[],0,0,1,1))+1,ROW(OFFSET(nombres[],ROWS(nombres[])-1,0,1,1))+1),$O1550:$O1569),3),"")</f>
        <v/>
      </c>
      <c r="AAG1550" s="42" t="str">
        <f t="array" aca="1" ref="AAG1550" ca="1">IFERROR(INDEX(nombres[],SMALL(IF(OFFSET(nombres[],0,0,ROWS(nombres[]),1)=AAG$1490,ROW(OFFSET(nombres[],0,0,ROWS(nombres[]),1))-ROW(OFFSET(nombres[],0,0,1,1))+1,ROW(OFFSET(nombres[],ROWS(nombres[])-1,0,1,1))+1),$O1550:$O1569),3),"")</f>
        <v/>
      </c>
      <c r="AAH1550" s="42" t="str">
        <f t="array" aca="1" ref="AAH1550" ca="1">IFERROR(INDEX(nombres[],SMALL(IF(OFFSET(nombres[],0,0,ROWS(nombres[]),1)=AAH$1490,ROW(OFFSET(nombres[],0,0,ROWS(nombres[]),1))-ROW(OFFSET(nombres[],0,0,1,1))+1,ROW(OFFSET(nombres[],ROWS(nombres[])-1,0,1,1))+1),$O1550:$O1569),3),"")</f>
        <v/>
      </c>
      <c r="AAI1550" s="42" t="str">
        <f t="array" aca="1" ref="AAI1550" ca="1">IFERROR(INDEX(nombres[],SMALL(IF(OFFSET(nombres[],0,0,ROWS(nombres[]),1)=AAI$1490,ROW(OFFSET(nombres[],0,0,ROWS(nombres[]),1))-ROW(OFFSET(nombres[],0,0,1,1))+1,ROW(OFFSET(nombres[],ROWS(nombres[])-1,0,1,1))+1),$O1550:$O1569),3),"")</f>
        <v/>
      </c>
      <c r="AAJ1550" s="42" t="str">
        <f t="array" aca="1" ref="AAJ1550" ca="1">IFERROR(INDEX(nombres[],SMALL(IF(OFFSET(nombres[],0,0,ROWS(nombres[]),1)=AAJ$1490,ROW(OFFSET(nombres[],0,0,ROWS(nombres[]),1))-ROW(OFFSET(nombres[],0,0,1,1))+1,ROW(OFFSET(nombres[],ROWS(nombres[])-1,0,1,1))+1),$O1550:$O1569),3),"")</f>
        <v/>
      </c>
      <c r="AAK1550" s="42" t="str">
        <f t="array" aca="1" ref="AAK1550" ca="1">IFERROR(INDEX(nombres[],SMALL(IF(OFFSET(nombres[],0,0,ROWS(nombres[]),1)=AAK$1490,ROW(OFFSET(nombres[],0,0,ROWS(nombres[]),1))-ROW(OFFSET(nombres[],0,0,1,1))+1,ROW(OFFSET(nombres[],ROWS(nombres[])-1,0,1,1))+1),$O1550:$O1569),3),"")</f>
        <v/>
      </c>
      <c r="AAL1550" s="42" t="str">
        <f t="array" aca="1" ref="AAL1550" ca="1">IFERROR(INDEX(nombres[],SMALL(IF(OFFSET(nombres[],0,0,ROWS(nombres[]),1)=AAL$1490,ROW(OFFSET(nombres[],0,0,ROWS(nombres[]),1))-ROW(OFFSET(nombres[],0,0,1,1))+1,ROW(OFFSET(nombres[],ROWS(nombres[])-1,0,1,1))+1),$O1550:$O1569),3),"")</f>
        <v/>
      </c>
      <c r="AAM1550" s="42" t="str">
        <f t="array" aca="1" ref="AAM1550" ca="1">IFERROR(INDEX(nombres[],SMALL(IF(OFFSET(nombres[],0,0,ROWS(nombres[]),1)=AAM$1490,ROW(OFFSET(nombres[],0,0,ROWS(nombres[]),1))-ROW(OFFSET(nombres[],0,0,1,1))+1,ROW(OFFSET(nombres[],ROWS(nombres[])-1,0,1,1))+1),$O1550:$O1569),3),"")</f>
        <v/>
      </c>
      <c r="AAN1550" s="42" t="str">
        <f t="array" aca="1" ref="AAN1550" ca="1">IFERROR(INDEX(nombres[],SMALL(IF(OFFSET(nombres[],0,0,ROWS(nombres[]),1)=AAN$1490,ROW(OFFSET(nombres[],0,0,ROWS(nombres[]),1))-ROW(OFFSET(nombres[],0,0,1,1))+1,ROW(OFFSET(nombres[],ROWS(nombres[])-1,0,1,1))+1),$O1550:$O1569),3),"")</f>
        <v/>
      </c>
      <c r="AAO1550" s="42" t="str">
        <f t="array" aca="1" ref="AAO1550" ca="1">IFERROR(INDEX(nombres[],SMALL(IF(OFFSET(nombres[],0,0,ROWS(nombres[]),1)=AAO$1490,ROW(OFFSET(nombres[],0,0,ROWS(nombres[]),1))-ROW(OFFSET(nombres[],0,0,1,1))+1,ROW(OFFSET(nombres[],ROWS(nombres[])-1,0,1,1))+1),$O1550:$O1569),3),"")</f>
        <v/>
      </c>
      <c r="AAP1550" s="42" t="str">
        <f t="array" aca="1" ref="AAP1550" ca="1">IFERROR(INDEX(nombres[],SMALL(IF(OFFSET(nombres[],0,0,ROWS(nombres[]),1)=AAP$1490,ROW(OFFSET(nombres[],0,0,ROWS(nombres[]),1))-ROW(OFFSET(nombres[],0,0,1,1))+1,ROW(OFFSET(nombres[],ROWS(nombres[])-1,0,1,1))+1),$O1550:$O1569),3),"")</f>
        <v/>
      </c>
      <c r="AAQ1550" s="42" t="str">
        <f t="array" aca="1" ref="AAQ1550" ca="1">IFERROR(INDEX(nombres[],SMALL(IF(OFFSET(nombres[],0,0,ROWS(nombres[]),1)=AAQ$1490,ROW(OFFSET(nombres[],0,0,ROWS(nombres[]),1))-ROW(OFFSET(nombres[],0,0,1,1))+1,ROW(OFFSET(nombres[],ROWS(nombres[])-1,0,1,1))+1),$O1550:$O1569),3),"")</f>
        <v/>
      </c>
      <c r="AAR1550" s="42" t="str">
        <f t="array" aca="1" ref="AAR1550" ca="1">IFERROR(INDEX(nombres[],SMALL(IF(OFFSET(nombres[],0,0,ROWS(nombres[]),1)=AAR$1490,ROW(OFFSET(nombres[],0,0,ROWS(nombres[]),1))-ROW(OFFSET(nombres[],0,0,1,1))+1,ROW(OFFSET(nombres[],ROWS(nombres[])-1,0,1,1))+1),$O1550:$O1569),3),"")</f>
        <v/>
      </c>
      <c r="AAS1550" s="42" t="str">
        <f t="array" aca="1" ref="AAS1550" ca="1">IFERROR(INDEX(nombres[],SMALL(IF(OFFSET(nombres[],0,0,ROWS(nombres[]),1)=AAS$1490,ROW(OFFSET(nombres[],0,0,ROWS(nombres[]),1))-ROW(OFFSET(nombres[],0,0,1,1))+1,ROW(OFFSET(nombres[],ROWS(nombres[])-1,0,1,1))+1),$O1550:$O1569),3),"")</f>
        <v/>
      </c>
      <c r="AAT1550" s="42" t="str">
        <f t="array" aca="1" ref="AAT1550" ca="1">IFERROR(INDEX(nombres[],SMALL(IF(OFFSET(nombres[],0,0,ROWS(nombres[]),1)=AAT$1490,ROW(OFFSET(nombres[],0,0,ROWS(nombres[]),1))-ROW(OFFSET(nombres[],0,0,1,1))+1,ROW(OFFSET(nombres[],ROWS(nombres[])-1,0,1,1))+1),$O1550:$O1569),3),"")</f>
        <v/>
      </c>
      <c r="AAU1550" s="42" t="str">
        <f t="array" aca="1" ref="AAU1550" ca="1">IFERROR(INDEX(nombres[],SMALL(IF(OFFSET(nombres[],0,0,ROWS(nombres[]),1)=AAU$1490,ROW(OFFSET(nombres[],0,0,ROWS(nombres[]),1))-ROW(OFFSET(nombres[],0,0,1,1))+1,ROW(OFFSET(nombres[],ROWS(nombres[])-1,0,1,1))+1),$O1550:$O1569),3),"")</f>
        <v/>
      </c>
      <c r="AAV1550" s="42" t="str">
        <f t="array" aca="1" ref="AAV1550" ca="1">IFERROR(INDEX(nombres[],SMALL(IF(OFFSET(nombres[],0,0,ROWS(nombres[]),1)=AAV$1490,ROW(OFFSET(nombres[],0,0,ROWS(nombres[]),1))-ROW(OFFSET(nombres[],0,0,1,1))+1,ROW(OFFSET(nombres[],ROWS(nombres[])-1,0,1,1))+1),$O1550:$O1569),3),"")</f>
        <v/>
      </c>
      <c r="AAW1550" s="42" t="str">
        <f t="array" aca="1" ref="AAW1550" ca="1">IFERROR(INDEX(nombres[],SMALL(IF(OFFSET(nombres[],0,0,ROWS(nombres[]),1)=AAW$1490,ROW(OFFSET(nombres[],0,0,ROWS(nombres[]),1))-ROW(OFFSET(nombres[],0,0,1,1))+1,ROW(OFFSET(nombres[],ROWS(nombres[])-1,0,1,1))+1),$O1550:$O1569),3),"")</f>
        <v/>
      </c>
      <c r="AAX1550" s="42" t="str">
        <f t="array" aca="1" ref="AAX1550" ca="1">IFERROR(INDEX(nombres[],SMALL(IF(OFFSET(nombres[],0,0,ROWS(nombres[]),1)=AAX$1490,ROW(OFFSET(nombres[],0,0,ROWS(nombres[]),1))-ROW(OFFSET(nombres[],0,0,1,1))+1,ROW(OFFSET(nombres[],ROWS(nombres[])-1,0,1,1))+1),$O1550:$O1569),3),"")</f>
        <v/>
      </c>
      <c r="AAY1550" s="42" t="str">
        <f t="array" aca="1" ref="AAY1550" ca="1">IFERROR(INDEX(nombres[],SMALL(IF(OFFSET(nombres[],0,0,ROWS(nombres[]),1)=AAY$1490,ROW(OFFSET(nombres[],0,0,ROWS(nombres[]),1))-ROW(OFFSET(nombres[],0,0,1,1))+1,ROW(OFFSET(nombres[],ROWS(nombres[])-1,0,1,1))+1),$O1550:$O1569),3),"")</f>
        <v/>
      </c>
      <c r="AAZ1550" s="42" t="str">
        <f t="array" aca="1" ref="AAZ1550" ca="1">IFERROR(INDEX(nombres[],SMALL(IF(OFFSET(nombres[],0,0,ROWS(nombres[]),1)=AAZ$1490,ROW(OFFSET(nombres[],0,0,ROWS(nombres[]),1))-ROW(OFFSET(nombres[],0,0,1,1))+1,ROW(OFFSET(nombres[],ROWS(nombres[])-1,0,1,1))+1),$O1550:$O1569),3),"")</f>
        <v/>
      </c>
      <c r="ABA1550" s="42" t="str">
        <f t="array" aca="1" ref="ABA1550" ca="1">IFERROR(INDEX(nombres[],SMALL(IF(OFFSET(nombres[],0,0,ROWS(nombres[]),1)=ABA$1490,ROW(OFFSET(nombres[],0,0,ROWS(nombres[]),1))-ROW(OFFSET(nombres[],0,0,1,1))+1,ROW(OFFSET(nombres[],ROWS(nombres[])-1,0,1,1))+1),$O1550:$O1569),3),"")</f>
        <v/>
      </c>
      <c r="ABB1550" s="42" t="str">
        <f t="array" aca="1" ref="ABB1550" ca="1">IFERROR(INDEX(nombres[],SMALL(IF(OFFSET(nombres[],0,0,ROWS(nombres[]),1)=ABB$1490,ROW(OFFSET(nombres[],0,0,ROWS(nombres[]),1))-ROW(OFFSET(nombres[],0,0,1,1))+1,ROW(OFFSET(nombres[],ROWS(nombres[])-1,0,1,1))+1),$O1550:$O1569),3),"")</f>
        <v/>
      </c>
      <c r="ABC1550" s="42" t="str">
        <f t="array" aca="1" ref="ABC1550" ca="1">IFERROR(INDEX(nombres[],SMALL(IF(OFFSET(nombres[],0,0,ROWS(nombres[]),1)=ABC$1490,ROW(OFFSET(nombres[],0,0,ROWS(nombres[]),1))-ROW(OFFSET(nombres[],0,0,1,1))+1,ROW(OFFSET(nombres[],ROWS(nombres[])-1,0,1,1))+1),$O1550:$O1569),3),"")</f>
        <v/>
      </c>
      <c r="ABD1550" s="42" t="str">
        <f t="array" aca="1" ref="ABD1550" ca="1">IFERROR(INDEX(nombres[],SMALL(IF(OFFSET(nombres[],0,0,ROWS(nombres[]),1)=ABD$1490,ROW(OFFSET(nombres[],0,0,ROWS(nombres[]),1))-ROW(OFFSET(nombres[],0,0,1,1))+1,ROW(OFFSET(nombres[],ROWS(nombres[])-1,0,1,1))+1),$O1550:$O1569),3),"")</f>
        <v/>
      </c>
      <c r="ABE1550" s="42" t="str">
        <f t="array" aca="1" ref="ABE1550" ca="1">IFERROR(INDEX(nombres[],SMALL(IF(OFFSET(nombres[],0,0,ROWS(nombres[]),1)=ABE$1490,ROW(OFFSET(nombres[],0,0,ROWS(nombres[]),1))-ROW(OFFSET(nombres[],0,0,1,1))+1,ROW(OFFSET(nombres[],ROWS(nombres[])-1,0,1,1))+1),$O1550:$O1569),3),"")</f>
        <v/>
      </c>
      <c r="ABF1550" s="42" t="str">
        <f t="array" aca="1" ref="ABF1550" ca="1">IFERROR(INDEX(nombres[],SMALL(IF(OFFSET(nombres[],0,0,ROWS(nombres[]),1)=ABF$1490,ROW(OFFSET(nombres[],0,0,ROWS(nombres[]),1))-ROW(OFFSET(nombres[],0,0,1,1))+1,ROW(OFFSET(nombres[],ROWS(nombres[])-1,0,1,1))+1),$O1550:$O1569),3),"")</f>
        <v/>
      </c>
      <c r="ABG1550" s="42" t="str">
        <f t="array" aca="1" ref="ABG1550" ca="1">IFERROR(INDEX(nombres[],SMALL(IF(OFFSET(nombres[],0,0,ROWS(nombres[]),1)=ABG$1490,ROW(OFFSET(nombres[],0,0,ROWS(nombres[]),1))-ROW(OFFSET(nombres[],0,0,1,1))+1,ROW(OFFSET(nombres[],ROWS(nombres[])-1,0,1,1))+1),$O1550:$O1569),3),"")</f>
        <v/>
      </c>
      <c r="ABH1550" s="42" t="str">
        <f t="array" aca="1" ref="ABH1550" ca="1">IFERROR(INDEX(nombres[],SMALL(IF(OFFSET(nombres[],0,0,ROWS(nombres[]),1)=ABH$1490,ROW(OFFSET(nombres[],0,0,ROWS(nombres[]),1))-ROW(OFFSET(nombres[],0,0,1,1))+1,ROW(OFFSET(nombres[],ROWS(nombres[])-1,0,1,1))+1),$O1550:$O1569),3),"")</f>
        <v/>
      </c>
      <c r="ABI1550" s="42" t="str">
        <f t="array" aca="1" ref="ABI1550" ca="1">IFERROR(INDEX(nombres[],SMALL(IF(OFFSET(nombres[],0,0,ROWS(nombres[]),1)=ABI$1490,ROW(OFFSET(nombres[],0,0,ROWS(nombres[]),1))-ROW(OFFSET(nombres[],0,0,1,1))+1,ROW(OFFSET(nombres[],ROWS(nombres[])-1,0,1,1))+1),$O1550:$O1569),3),"")</f>
        <v/>
      </c>
      <c r="ABJ1550" s="42" t="str">
        <f t="array" aca="1" ref="ABJ1550" ca="1">IFERROR(INDEX(nombres[],SMALL(IF(OFFSET(nombres[],0,0,ROWS(nombres[]),1)=ABJ$1490,ROW(OFFSET(nombres[],0,0,ROWS(nombres[]),1))-ROW(OFFSET(nombres[],0,0,1,1))+1,ROW(OFFSET(nombres[],ROWS(nombres[])-1,0,1,1))+1),$O1550:$O1569),3),"")</f>
        <v/>
      </c>
      <c r="ABK1550" s="42" t="str">
        <f t="array" aca="1" ref="ABK1550" ca="1">IFERROR(INDEX(nombres[],SMALL(IF(OFFSET(nombres[],0,0,ROWS(nombres[]),1)=ABK$1490,ROW(OFFSET(nombres[],0,0,ROWS(nombres[]),1))-ROW(OFFSET(nombres[],0,0,1,1))+1,ROW(OFFSET(nombres[],ROWS(nombres[])-1,0,1,1))+1),$O1550:$O1569),3),"")</f>
        <v/>
      </c>
      <c r="ABL1550" s="42" t="str">
        <f t="array" aca="1" ref="ABL1550" ca="1">IFERROR(INDEX(nombres[],SMALL(IF(OFFSET(nombres[],0,0,ROWS(nombres[]),1)=ABL$1490,ROW(OFFSET(nombres[],0,0,ROWS(nombres[]),1))-ROW(OFFSET(nombres[],0,0,1,1))+1,ROW(OFFSET(nombres[],ROWS(nombres[])-1,0,1,1))+1),$O1550:$O1569),3),"")</f>
        <v/>
      </c>
      <c r="ABM1550" s="42" t="str">
        <f t="array" aca="1" ref="ABM1550" ca="1">IFERROR(INDEX(nombres[],SMALL(IF(OFFSET(nombres[],0,0,ROWS(nombres[]),1)=ABM$1490,ROW(OFFSET(nombres[],0,0,ROWS(nombres[]),1))-ROW(OFFSET(nombres[],0,0,1,1))+1,ROW(OFFSET(nombres[],ROWS(nombres[])-1,0,1,1))+1),$O1550:$O1569),3),"")</f>
        <v/>
      </c>
      <c r="ABN1550" s="42" t="str">
        <f t="array" aca="1" ref="ABN1550" ca="1">IFERROR(INDEX(nombres[],SMALL(IF(OFFSET(nombres[],0,0,ROWS(nombres[]),1)=ABN$1490,ROW(OFFSET(nombres[],0,0,ROWS(nombres[]),1))-ROW(OFFSET(nombres[],0,0,1,1))+1,ROW(OFFSET(nombres[],ROWS(nombres[])-1,0,1,1))+1),$O1550:$O1569),3),"")</f>
        <v/>
      </c>
      <c r="ABO1550" s="42" t="str">
        <f t="array" aca="1" ref="ABO1550" ca="1">IFERROR(INDEX(nombres[],SMALL(IF(OFFSET(nombres[],0,0,ROWS(nombres[]),1)=ABO$1490,ROW(OFFSET(nombres[],0,0,ROWS(nombres[]),1))-ROW(OFFSET(nombres[],0,0,1,1))+1,ROW(OFFSET(nombres[],ROWS(nombres[])-1,0,1,1))+1),$O1550:$O1569),3),"")</f>
        <v/>
      </c>
      <c r="ABP1550" s="42" t="str">
        <f t="array" aca="1" ref="ABP1550" ca="1">IFERROR(INDEX(nombres[],SMALL(IF(OFFSET(nombres[],0,0,ROWS(nombres[]),1)=ABP$1490,ROW(OFFSET(nombres[],0,0,ROWS(nombres[]),1))-ROW(OFFSET(nombres[],0,0,1,1))+1,ROW(OFFSET(nombres[],ROWS(nombres[])-1,0,1,1))+1),$O1550:$O1569),3),"")</f>
        <v/>
      </c>
      <c r="ABQ1550" s="42" t="str">
        <f t="array" aca="1" ref="ABQ1550" ca="1">IFERROR(INDEX(nombres[],SMALL(IF(OFFSET(nombres[],0,0,ROWS(nombres[]),1)=ABQ$1490,ROW(OFFSET(nombres[],0,0,ROWS(nombres[]),1))-ROW(OFFSET(nombres[],0,0,1,1))+1,ROW(OFFSET(nombres[],ROWS(nombres[])-1,0,1,1))+1),$O1550:$O1569),3),"")</f>
        <v/>
      </c>
      <c r="ABR1550" s="42" t="str">
        <f t="array" aca="1" ref="ABR1550" ca="1">IFERROR(INDEX(nombres[],SMALL(IF(OFFSET(nombres[],0,0,ROWS(nombres[]),1)=ABR$1490,ROW(OFFSET(nombres[],0,0,ROWS(nombres[]),1))-ROW(OFFSET(nombres[],0,0,1,1))+1,ROW(OFFSET(nombres[],ROWS(nombres[])-1,0,1,1))+1),$O1550:$O1569),3),"")</f>
        <v/>
      </c>
      <c r="ABS1550" s="42" t="str">
        <f t="array" aca="1" ref="ABS1550" ca="1">IFERROR(INDEX(nombres[],SMALL(IF(OFFSET(nombres[],0,0,ROWS(nombres[]),1)=ABS$1490,ROW(OFFSET(nombres[],0,0,ROWS(nombres[]),1))-ROW(OFFSET(nombres[],0,0,1,1))+1,ROW(OFFSET(nombres[],ROWS(nombres[])-1,0,1,1))+1),$O1550:$O1569),3),"")</f>
        <v/>
      </c>
      <c r="ABT1550" s="42" t="str">
        <f t="array" aca="1" ref="ABT1550" ca="1">IFERROR(INDEX(nombres[],SMALL(IF(OFFSET(nombres[],0,0,ROWS(nombres[]),1)=ABT$1490,ROW(OFFSET(nombres[],0,0,ROWS(nombres[]),1))-ROW(OFFSET(nombres[],0,0,1,1))+1,ROW(OFFSET(nombres[],ROWS(nombres[])-1,0,1,1))+1),$O1550:$O1569),3),"")</f>
        <v/>
      </c>
      <c r="ABU1550" s="42" t="str">
        <f t="array" aca="1" ref="ABU1550" ca="1">IFERROR(INDEX(nombres[],SMALL(IF(OFFSET(nombres[],0,0,ROWS(nombres[]),1)=ABU$1490,ROW(OFFSET(nombres[],0,0,ROWS(nombres[]),1))-ROW(OFFSET(nombres[],0,0,1,1))+1,ROW(OFFSET(nombres[],ROWS(nombres[])-1,0,1,1))+1),$O1550:$O1569),3),"")</f>
        <v/>
      </c>
      <c r="ABV1550" s="42" t="str">
        <f t="array" aca="1" ref="ABV1550" ca="1">IFERROR(INDEX(nombres[],SMALL(IF(OFFSET(nombres[],0,0,ROWS(nombres[]),1)=ABV$1490,ROW(OFFSET(nombres[],0,0,ROWS(nombres[]),1))-ROW(OFFSET(nombres[],0,0,1,1))+1,ROW(OFFSET(nombres[],ROWS(nombres[])-1,0,1,1))+1),$O1550:$O1569),3),"")</f>
        <v/>
      </c>
      <c r="ABW1550" s="42" t="str">
        <f t="array" aca="1" ref="ABW1550" ca="1">IFERROR(INDEX(nombres[],SMALL(IF(OFFSET(nombres[],0,0,ROWS(nombres[]),1)=ABW$1490,ROW(OFFSET(nombres[],0,0,ROWS(nombres[]),1))-ROW(OFFSET(nombres[],0,0,1,1))+1,ROW(OFFSET(nombres[],ROWS(nombres[])-1,0,1,1))+1),$O1550:$O1569),3),"")</f>
        <v/>
      </c>
      <c r="ABX1550" s="42" t="str">
        <f t="array" aca="1" ref="ABX1550" ca="1">IFERROR(INDEX(nombres[],SMALL(IF(OFFSET(nombres[],0,0,ROWS(nombres[]),1)=ABX$1490,ROW(OFFSET(nombres[],0,0,ROWS(nombres[]),1))-ROW(OFFSET(nombres[],0,0,1,1))+1,ROW(OFFSET(nombres[],ROWS(nombres[])-1,0,1,1))+1),$O1550:$O1569),3),"")</f>
        <v/>
      </c>
      <c r="ABY1550" s="42" t="str">
        <f t="array" aca="1" ref="ABY1550" ca="1">IFERROR(INDEX(nombres[],SMALL(IF(OFFSET(nombres[],0,0,ROWS(nombres[]),1)=ABY$1490,ROW(OFFSET(nombres[],0,0,ROWS(nombres[]),1))-ROW(OFFSET(nombres[],0,0,1,1))+1,ROW(OFFSET(nombres[],ROWS(nombres[])-1,0,1,1))+1),$O1550:$O1569),3),"")</f>
        <v/>
      </c>
      <c r="ABZ1550" s="42" t="str">
        <f t="array" aca="1" ref="ABZ1550" ca="1">IFERROR(INDEX(nombres[],SMALL(IF(OFFSET(nombres[],0,0,ROWS(nombres[]),1)=ABZ$1490,ROW(OFFSET(nombres[],0,0,ROWS(nombres[]),1))-ROW(OFFSET(nombres[],0,0,1,1))+1,ROW(OFFSET(nombres[],ROWS(nombres[])-1,0,1,1))+1),$O1550:$O1569),3),"")</f>
        <v/>
      </c>
      <c r="ACA1550" s="42" t="str">
        <f t="array" aca="1" ref="ACA1550" ca="1">IFERROR(INDEX(nombres[],SMALL(IF(OFFSET(nombres[],0,0,ROWS(nombres[]),1)=ACA$1490,ROW(OFFSET(nombres[],0,0,ROWS(nombres[]),1))-ROW(OFFSET(nombres[],0,0,1,1))+1,ROW(OFFSET(nombres[],ROWS(nombres[])-1,0,1,1))+1),$O1550:$O1569),3),"")</f>
        <v/>
      </c>
      <c r="ACB1550" s="42" t="str">
        <f t="array" aca="1" ref="ACB1550" ca="1">IFERROR(INDEX(nombres[],SMALL(IF(OFFSET(nombres[],0,0,ROWS(nombres[]),1)=ACB$1490,ROW(OFFSET(nombres[],0,0,ROWS(nombres[]),1))-ROW(OFFSET(nombres[],0,0,1,1))+1,ROW(OFFSET(nombres[],ROWS(nombres[])-1,0,1,1))+1),$O1550:$O1569),3),"")</f>
        <v/>
      </c>
      <c r="ACC1550" s="42" t="str">
        <f t="array" aca="1" ref="ACC1550" ca="1">IFERROR(INDEX(nombres[],SMALL(IF(OFFSET(nombres[],0,0,ROWS(nombres[]),1)=ACC$1490,ROW(OFFSET(nombres[],0,0,ROWS(nombres[]),1))-ROW(OFFSET(nombres[],0,0,1,1))+1,ROW(OFFSET(nombres[],ROWS(nombres[])-1,0,1,1))+1),$O1550:$O1569),3),"")</f>
        <v/>
      </c>
      <c r="ACD1550" s="42" t="str">
        <f t="array" aca="1" ref="ACD1550" ca="1">IFERROR(INDEX(nombres[],SMALL(IF(OFFSET(nombres[],0,0,ROWS(nombres[]),1)=ACD$1490,ROW(OFFSET(nombres[],0,0,ROWS(nombres[]),1))-ROW(OFFSET(nombres[],0,0,1,1))+1,ROW(OFFSET(nombres[],ROWS(nombres[])-1,0,1,1))+1),$O1550:$O1569),3),"")</f>
        <v/>
      </c>
      <c r="ACE1550" s="42" t="str">
        <f t="array" aca="1" ref="ACE1550" ca="1">IFERROR(INDEX(nombres[],SMALL(IF(OFFSET(nombres[],0,0,ROWS(nombres[]),1)=ACE$1490,ROW(OFFSET(nombres[],0,0,ROWS(nombres[]),1))-ROW(OFFSET(nombres[],0,0,1,1))+1,ROW(OFFSET(nombres[],ROWS(nombres[])-1,0,1,1))+1),$O1550:$O1569),3),"")</f>
        <v/>
      </c>
      <c r="ACF1550" s="42" t="str">
        <f t="array" aca="1" ref="ACF1550" ca="1">IFERROR(INDEX(nombres[],SMALL(IF(OFFSET(nombres[],0,0,ROWS(nombres[]),1)=ACF$1490,ROW(OFFSET(nombres[],0,0,ROWS(nombres[]),1))-ROW(OFFSET(nombres[],0,0,1,1))+1,ROW(OFFSET(nombres[],ROWS(nombres[])-1,0,1,1))+1),$O1550:$O1569),3),"")</f>
        <v/>
      </c>
      <c r="ACG1550" s="42" t="str">
        <f t="array" aca="1" ref="ACG1550" ca="1">IFERROR(INDEX(nombres[],SMALL(IF(OFFSET(nombres[],0,0,ROWS(nombres[]),1)=ACG$1490,ROW(OFFSET(nombres[],0,0,ROWS(nombres[]),1))-ROW(OFFSET(nombres[],0,0,1,1))+1,ROW(OFFSET(nombres[],ROWS(nombres[])-1,0,1,1))+1),$O1550:$O1569),3),"")</f>
        <v/>
      </c>
      <c r="ACH1550" s="42" t="str">
        <f t="array" aca="1" ref="ACH1550" ca="1">IFERROR(INDEX(nombres[],SMALL(IF(OFFSET(nombres[],0,0,ROWS(nombres[]),1)=ACH$1490,ROW(OFFSET(nombres[],0,0,ROWS(nombres[]),1))-ROW(OFFSET(nombres[],0,0,1,1))+1,ROW(OFFSET(nombres[],ROWS(nombres[])-1,0,1,1))+1),$O1550:$O1569),3),"")</f>
        <v/>
      </c>
      <c r="ACI1550" s="42" t="str">
        <f t="array" aca="1" ref="ACI1550" ca="1">IFERROR(INDEX(nombres[],SMALL(IF(OFFSET(nombres[],0,0,ROWS(nombres[]),1)=ACI$1490,ROW(OFFSET(nombres[],0,0,ROWS(nombres[]),1))-ROW(OFFSET(nombres[],0,0,1,1))+1,ROW(OFFSET(nombres[],ROWS(nombres[])-1,0,1,1))+1),$O1550:$O1569),3),"")</f>
        <v/>
      </c>
      <c r="ACJ1550" s="42" t="str">
        <f t="array" aca="1" ref="ACJ1550" ca="1">IFERROR(INDEX(nombres[],SMALL(IF(OFFSET(nombres[],0,0,ROWS(nombres[]),1)=ACJ$1490,ROW(OFFSET(nombres[],0,0,ROWS(nombres[]),1))-ROW(OFFSET(nombres[],0,0,1,1))+1,ROW(OFFSET(nombres[],ROWS(nombres[])-1,0,1,1))+1),$O1550:$O1569),3),"")</f>
        <v/>
      </c>
      <c r="ACK1550" s="42" t="str">
        <f t="array" aca="1" ref="ACK1550" ca="1">IFERROR(INDEX(nombres[],SMALL(IF(OFFSET(nombres[],0,0,ROWS(nombres[]),1)=ACK$1490,ROW(OFFSET(nombres[],0,0,ROWS(nombres[]),1))-ROW(OFFSET(nombres[],0,0,1,1))+1,ROW(OFFSET(nombres[],ROWS(nombres[])-1,0,1,1))+1),$O1550:$O1569),3),"")</f>
        <v/>
      </c>
      <c r="ACL1550" s="42" t="str">
        <f t="array" aca="1" ref="ACL1550" ca="1">IFERROR(INDEX(nombres[],SMALL(IF(OFFSET(nombres[],0,0,ROWS(nombres[]),1)=ACL$1490,ROW(OFFSET(nombres[],0,0,ROWS(nombres[]),1))-ROW(OFFSET(nombres[],0,0,1,1))+1,ROW(OFFSET(nombres[],ROWS(nombres[])-1,0,1,1))+1),$O1550:$O1569),3),"")</f>
        <v/>
      </c>
      <c r="ACM1550" s="42" t="str">
        <f t="array" aca="1" ref="ACM1550" ca="1">IFERROR(INDEX(nombres[],SMALL(IF(OFFSET(nombres[],0,0,ROWS(nombres[]),1)=ACM$1490,ROW(OFFSET(nombres[],0,0,ROWS(nombres[]),1))-ROW(OFFSET(nombres[],0,0,1,1))+1,ROW(OFFSET(nombres[],ROWS(nombres[])-1,0,1,1))+1),$O1550:$O1569),3),"")</f>
        <v/>
      </c>
      <c r="ACN1550" s="42" t="str">
        <f t="array" aca="1" ref="ACN1550" ca="1">IFERROR(INDEX(nombres[],SMALL(IF(OFFSET(nombres[],0,0,ROWS(nombres[]),1)=ACN$1490,ROW(OFFSET(nombres[],0,0,ROWS(nombres[]),1))-ROW(OFFSET(nombres[],0,0,1,1))+1,ROW(OFFSET(nombres[],ROWS(nombres[])-1,0,1,1))+1),$O1550:$O1569),3),"")</f>
        <v/>
      </c>
      <c r="ACO1550" s="42" t="str">
        <f t="array" aca="1" ref="ACO1550" ca="1">IFERROR(INDEX(nombres[],SMALL(IF(OFFSET(nombres[],0,0,ROWS(nombres[]),1)=ACO$1490,ROW(OFFSET(nombres[],0,0,ROWS(nombres[]),1))-ROW(OFFSET(nombres[],0,0,1,1))+1,ROW(OFFSET(nombres[],ROWS(nombres[])-1,0,1,1))+1),$O1550:$O1569),3),"")</f>
        <v/>
      </c>
      <c r="ACP1550" s="42" t="str">
        <f t="array" aca="1" ref="ACP1550" ca="1">IFERROR(INDEX(nombres[],SMALL(IF(OFFSET(nombres[],0,0,ROWS(nombres[]),1)=ACP$1490,ROW(OFFSET(nombres[],0,0,ROWS(nombres[]),1))-ROW(OFFSET(nombres[],0,0,1,1))+1,ROW(OFFSET(nombres[],ROWS(nombres[])-1,0,1,1))+1),$O1550:$O1569),3),"")</f>
        <v/>
      </c>
      <c r="ACQ1550" s="42" t="str">
        <f t="array" aca="1" ref="ACQ1550" ca="1">IFERROR(INDEX(nombres[],SMALL(IF(OFFSET(nombres[],0,0,ROWS(nombres[]),1)=ACQ$1490,ROW(OFFSET(nombres[],0,0,ROWS(nombres[]),1))-ROW(OFFSET(nombres[],0,0,1,1))+1,ROW(OFFSET(nombres[],ROWS(nombres[])-1,0,1,1))+1),$O1550:$O1569),3),"")</f>
        <v/>
      </c>
      <c r="ACR1550" s="42" t="str">
        <f t="array" aca="1" ref="ACR1550" ca="1">IFERROR(INDEX(nombres[],SMALL(IF(OFFSET(nombres[],0,0,ROWS(nombres[]),1)=ACR$1490,ROW(OFFSET(nombres[],0,0,ROWS(nombres[]),1))-ROW(OFFSET(nombres[],0,0,1,1))+1,ROW(OFFSET(nombres[],ROWS(nombres[])-1,0,1,1))+1),$O1550:$O1569),3),"")</f>
        <v/>
      </c>
      <c r="ACS1550" s="42" t="str">
        <f t="array" aca="1" ref="ACS1550" ca="1">IFERROR(INDEX(nombres[],SMALL(IF(OFFSET(nombres[],0,0,ROWS(nombres[]),1)=ACS$1490,ROW(OFFSET(nombres[],0,0,ROWS(nombres[]),1))-ROW(OFFSET(nombres[],0,0,1,1))+1,ROW(OFFSET(nombres[],ROWS(nombres[])-1,0,1,1))+1),$O1550:$O1569),3),"")</f>
        <v/>
      </c>
      <c r="ACT1550" s="42" t="str">
        <f t="array" aca="1" ref="ACT1550" ca="1">IFERROR(INDEX(nombres[],SMALL(IF(OFFSET(nombres[],0,0,ROWS(nombres[]),1)=ACT$1490,ROW(OFFSET(nombres[],0,0,ROWS(nombres[]),1))-ROW(OFFSET(nombres[],0,0,1,1))+1,ROW(OFFSET(nombres[],ROWS(nombres[])-1,0,1,1))+1),$O1550:$O1569),3),"")</f>
        <v/>
      </c>
      <c r="ACU1550" s="42" t="str">
        <f t="array" aca="1" ref="ACU1550" ca="1">IFERROR(INDEX(nombres[],SMALL(IF(OFFSET(nombres[],0,0,ROWS(nombres[]),1)=ACU$1490,ROW(OFFSET(nombres[],0,0,ROWS(nombres[]),1))-ROW(OFFSET(nombres[],0,0,1,1))+1,ROW(OFFSET(nombres[],ROWS(nombres[])-1,0,1,1))+1),$O1550:$O1569),3),"")</f>
        <v/>
      </c>
      <c r="ACV1550" s="42" t="str">
        <f t="array" aca="1" ref="ACV1550" ca="1">IFERROR(INDEX(nombres[],SMALL(IF(OFFSET(nombres[],0,0,ROWS(nombres[]),1)=ACV$1490,ROW(OFFSET(nombres[],0,0,ROWS(nombres[]),1))-ROW(OFFSET(nombres[],0,0,1,1))+1,ROW(OFFSET(nombres[],ROWS(nombres[])-1,0,1,1))+1),$O1550:$O1569),3),"")</f>
        <v/>
      </c>
      <c r="ACW1550" s="42" t="str">
        <f t="array" aca="1" ref="ACW1550" ca="1">IFERROR(INDEX(nombres[],SMALL(IF(OFFSET(nombres[],0,0,ROWS(nombres[]),1)=ACW$1490,ROW(OFFSET(nombres[],0,0,ROWS(nombres[]),1))-ROW(OFFSET(nombres[],0,0,1,1))+1,ROW(OFFSET(nombres[],ROWS(nombres[])-1,0,1,1))+1),$O1550:$O1569),3),"")</f>
        <v/>
      </c>
      <c r="ACX1550" s="42" t="str">
        <f t="array" aca="1" ref="ACX1550" ca="1">IFERROR(INDEX(nombres[],SMALL(IF(OFFSET(nombres[],0,0,ROWS(nombres[]),1)=ACX$1490,ROW(OFFSET(nombres[],0,0,ROWS(nombres[]),1))-ROW(OFFSET(nombres[],0,0,1,1))+1,ROW(OFFSET(nombres[],ROWS(nombres[])-1,0,1,1))+1),$O1550:$O1569),3),"")</f>
        <v/>
      </c>
      <c r="ACY1550" s="42" t="str">
        <f t="array" aca="1" ref="ACY1550" ca="1">IFERROR(INDEX(nombres[],SMALL(IF(OFFSET(nombres[],0,0,ROWS(nombres[]),1)=ACY$1490,ROW(OFFSET(nombres[],0,0,ROWS(nombres[]),1))-ROW(OFFSET(nombres[],0,0,1,1))+1,ROW(OFFSET(nombres[],ROWS(nombres[])-1,0,1,1))+1),$O1550:$O1569),3),"")</f>
        <v/>
      </c>
      <c r="ACZ1550" s="42" t="str">
        <f t="array" aca="1" ref="ACZ1550" ca="1">IFERROR(INDEX(nombres[],SMALL(IF(OFFSET(nombres[],0,0,ROWS(nombres[]),1)=ACZ$1490,ROW(OFFSET(nombres[],0,0,ROWS(nombres[]),1))-ROW(OFFSET(nombres[],0,0,1,1))+1,ROW(OFFSET(nombres[],ROWS(nombres[])-1,0,1,1))+1),$O1550:$O1569),3),"")</f>
        <v/>
      </c>
      <c r="ADA1550" s="42" t="str">
        <f t="array" aca="1" ref="ADA1550" ca="1">IFERROR(INDEX(nombres[],SMALL(IF(OFFSET(nombres[],0,0,ROWS(nombres[]),1)=ADA$1490,ROW(OFFSET(nombres[],0,0,ROWS(nombres[]),1))-ROW(OFFSET(nombres[],0,0,1,1))+1,ROW(OFFSET(nombres[],ROWS(nombres[])-1,0,1,1))+1),$O1550:$O1569),3),"")</f>
        <v/>
      </c>
      <c r="ADB1550" s="42" t="str">
        <f t="array" aca="1" ref="ADB1550" ca="1">IFERROR(INDEX(nombres[],SMALL(IF(OFFSET(nombres[],0,0,ROWS(nombres[]),1)=ADB$1490,ROW(OFFSET(nombres[],0,0,ROWS(nombres[]),1))-ROW(OFFSET(nombres[],0,0,1,1))+1,ROW(OFFSET(nombres[],ROWS(nombres[])-1,0,1,1))+1),$O1550:$O1569),3),"")</f>
        <v/>
      </c>
      <c r="ADC1550" s="42" t="str">
        <f t="array" aca="1" ref="ADC1550" ca="1">IFERROR(INDEX(nombres[],SMALL(IF(OFFSET(nombres[],0,0,ROWS(nombres[]),1)=ADC$1490,ROW(OFFSET(nombres[],0,0,ROWS(nombres[]),1))-ROW(OFFSET(nombres[],0,0,1,1))+1,ROW(OFFSET(nombres[],ROWS(nombres[])-1,0,1,1))+1),$O1550:$O1569),3),"")</f>
        <v/>
      </c>
      <c r="ADD1550" s="42" t="str">
        <f t="array" aca="1" ref="ADD1550" ca="1">IFERROR(INDEX(nombres[],SMALL(IF(OFFSET(nombres[],0,0,ROWS(nombres[]),1)=ADD$1490,ROW(OFFSET(nombres[],0,0,ROWS(nombres[]),1))-ROW(OFFSET(nombres[],0,0,1,1))+1,ROW(OFFSET(nombres[],ROWS(nombres[])-1,0,1,1))+1),$O1550:$O1569),3),"")</f>
        <v/>
      </c>
      <c r="ADE1550" s="42" t="str">
        <f t="array" aca="1" ref="ADE1550" ca="1">IFERROR(INDEX(nombres[],SMALL(IF(OFFSET(nombres[],0,0,ROWS(nombres[]),1)=ADE$1490,ROW(OFFSET(nombres[],0,0,ROWS(nombres[]),1))-ROW(OFFSET(nombres[],0,0,1,1))+1,ROW(OFFSET(nombres[],ROWS(nombres[])-1,0,1,1))+1),$O1550:$O1569),3),"")</f>
        <v/>
      </c>
      <c r="ADF1550" s="42" t="str">
        <f t="array" aca="1" ref="ADF1550" ca="1">IFERROR(INDEX(nombres[],SMALL(IF(OFFSET(nombres[],0,0,ROWS(nombres[]),1)=ADF$1490,ROW(OFFSET(nombres[],0,0,ROWS(nombres[]),1))-ROW(OFFSET(nombres[],0,0,1,1))+1,ROW(OFFSET(nombres[],ROWS(nombres[])-1,0,1,1))+1),$O1550:$O1569),3),"")</f>
        <v/>
      </c>
      <c r="ADG1550" s="42" t="str">
        <f t="array" aca="1" ref="ADG1550" ca="1">IFERROR(INDEX(nombres[],SMALL(IF(OFFSET(nombres[],0,0,ROWS(nombres[]),1)=ADG$1490,ROW(OFFSET(nombres[],0,0,ROWS(nombres[]),1))-ROW(OFFSET(nombres[],0,0,1,1))+1,ROW(OFFSET(nombres[],ROWS(nombres[])-1,0,1,1))+1),$O1550:$O1569),3),"")</f>
        <v/>
      </c>
      <c r="ADH1550" s="42" t="str">
        <f t="array" aca="1" ref="ADH1550" ca="1">IFERROR(INDEX(nombres[],SMALL(IF(OFFSET(nombres[],0,0,ROWS(nombres[]),1)=ADH$1490,ROW(OFFSET(nombres[],0,0,ROWS(nombres[]),1))-ROW(OFFSET(nombres[],0,0,1,1))+1,ROW(OFFSET(nombres[],ROWS(nombres[])-1,0,1,1))+1),$O1550:$O1569),3),"")</f>
        <v/>
      </c>
      <c r="ADI1550" s="42" t="str">
        <f t="array" aca="1" ref="ADI1550" ca="1">IFERROR(INDEX(nombres[],SMALL(IF(OFFSET(nombres[],0,0,ROWS(nombres[]),1)=ADI$1490,ROW(OFFSET(nombres[],0,0,ROWS(nombres[]),1))-ROW(OFFSET(nombres[],0,0,1,1))+1,ROW(OFFSET(nombres[],ROWS(nombres[])-1,0,1,1))+1),$O1550:$O1569),3),"")</f>
        <v/>
      </c>
      <c r="ADJ1550" s="42" t="str">
        <f t="array" aca="1" ref="ADJ1550" ca="1">IFERROR(INDEX(nombres[],SMALL(IF(OFFSET(nombres[],0,0,ROWS(nombres[]),1)=ADJ$1490,ROW(OFFSET(nombres[],0,0,ROWS(nombres[]),1))-ROW(OFFSET(nombres[],0,0,1,1))+1,ROW(OFFSET(nombres[],ROWS(nombres[])-1,0,1,1))+1),$O1550:$O1569),3),"")</f>
        <v/>
      </c>
      <c r="ADK1550" s="42" t="str">
        <f t="array" aca="1" ref="ADK1550" ca="1">IFERROR(INDEX(nombres[],SMALL(IF(OFFSET(nombres[],0,0,ROWS(nombres[]),1)=ADK$1490,ROW(OFFSET(nombres[],0,0,ROWS(nombres[]),1))-ROW(OFFSET(nombres[],0,0,1,1))+1,ROW(OFFSET(nombres[],ROWS(nombres[])-1,0,1,1))+1),$O1550:$O1569),3),"")</f>
        <v/>
      </c>
      <c r="ADL1550" s="42" t="str">
        <f t="array" aca="1" ref="ADL1550" ca="1">IFERROR(INDEX(nombres[],SMALL(IF(OFFSET(nombres[],0,0,ROWS(nombres[]),1)=ADL$1490,ROW(OFFSET(nombres[],0,0,ROWS(nombres[]),1))-ROW(OFFSET(nombres[],0,0,1,1))+1,ROW(OFFSET(nombres[],ROWS(nombres[])-1,0,1,1))+1),$O1550:$O1569),3),"")</f>
        <v/>
      </c>
      <c r="ADM1550" s="42" t="str">
        <f t="array" aca="1" ref="ADM1550" ca="1">IFERROR(INDEX(nombres[],SMALL(IF(OFFSET(nombres[],0,0,ROWS(nombres[]),1)=ADM$1490,ROW(OFFSET(nombres[],0,0,ROWS(nombres[]),1))-ROW(OFFSET(nombres[],0,0,1,1))+1,ROW(OFFSET(nombres[],ROWS(nombres[])-1,0,1,1))+1),$O1550:$O1569),3),"")</f>
        <v/>
      </c>
      <c r="ADN1550" s="42" t="str">
        <f t="array" aca="1" ref="ADN1550" ca="1">IFERROR(INDEX(nombres[],SMALL(IF(OFFSET(nombres[],0,0,ROWS(nombres[]),1)=ADN$1490,ROW(OFFSET(nombres[],0,0,ROWS(nombres[]),1))-ROW(OFFSET(nombres[],0,0,1,1))+1,ROW(OFFSET(nombres[],ROWS(nombres[])-1,0,1,1))+1),$O1550:$O1569),3),"")</f>
        <v/>
      </c>
      <c r="ADO1550" s="42" t="str">
        <f t="array" aca="1" ref="ADO1550" ca="1">IFERROR(INDEX(nombres[],SMALL(IF(OFFSET(nombres[],0,0,ROWS(nombres[]),1)=ADO$1490,ROW(OFFSET(nombres[],0,0,ROWS(nombres[]),1))-ROW(OFFSET(nombres[],0,0,1,1))+1,ROW(OFFSET(nombres[],ROWS(nombres[])-1,0,1,1))+1),$O1550:$O1569),3),"")</f>
        <v/>
      </c>
      <c r="ADP1550" s="42" t="str">
        <f t="array" aca="1" ref="ADP1550" ca="1">IFERROR(INDEX(nombres[],SMALL(IF(OFFSET(nombres[],0,0,ROWS(nombres[]),1)=ADP$1490,ROW(OFFSET(nombres[],0,0,ROWS(nombres[]),1))-ROW(OFFSET(nombres[],0,0,1,1))+1,ROW(OFFSET(nombres[],ROWS(nombres[])-1,0,1,1))+1),$O1550:$O1569),3),"")</f>
        <v/>
      </c>
      <c r="ADQ1550" s="42" t="str">
        <f t="array" aca="1" ref="ADQ1550" ca="1">IFERROR(INDEX(nombres[],SMALL(IF(OFFSET(nombres[],0,0,ROWS(nombres[]),1)=ADQ$1490,ROW(OFFSET(nombres[],0,0,ROWS(nombres[]),1))-ROW(OFFSET(nombres[],0,0,1,1))+1,ROW(OFFSET(nombres[],ROWS(nombres[])-1,0,1,1))+1),$O1550:$O1569),3),"")</f>
        <v/>
      </c>
      <c r="ADR1550" s="42" t="str">
        <f t="array" aca="1" ref="ADR1550" ca="1">IFERROR(INDEX(nombres[],SMALL(IF(OFFSET(nombres[],0,0,ROWS(nombres[]),1)=ADR$1490,ROW(OFFSET(nombres[],0,0,ROWS(nombres[]),1))-ROW(OFFSET(nombres[],0,0,1,1))+1,ROW(OFFSET(nombres[],ROWS(nombres[])-1,0,1,1))+1),$O1550:$O1569),3),"")</f>
        <v/>
      </c>
      <c r="ADS1550" s="42" t="str">
        <f t="array" aca="1" ref="ADS1550" ca="1">IFERROR(INDEX(nombres[],SMALL(IF(OFFSET(nombres[],0,0,ROWS(nombres[]),1)=ADS$1490,ROW(OFFSET(nombres[],0,0,ROWS(nombres[]),1))-ROW(OFFSET(nombres[],0,0,1,1))+1,ROW(OFFSET(nombres[],ROWS(nombres[])-1,0,1,1))+1),$O1550:$O1569),3),"")</f>
        <v/>
      </c>
      <c r="ADT1550" s="42" t="str">
        <f t="array" aca="1" ref="ADT1550" ca="1">IFERROR(INDEX(nombres[],SMALL(IF(OFFSET(nombres[],0,0,ROWS(nombres[]),1)=ADT$1490,ROW(OFFSET(nombres[],0,0,ROWS(nombres[]),1))-ROW(OFFSET(nombres[],0,0,1,1))+1,ROW(OFFSET(nombres[],ROWS(nombres[])-1,0,1,1))+1),$O1550:$O1569),3),"")</f>
        <v/>
      </c>
      <c r="ADU1550" s="42" t="str">
        <f t="array" aca="1" ref="ADU1550" ca="1">IFERROR(INDEX(nombres[],SMALL(IF(OFFSET(nombres[],0,0,ROWS(nombres[]),1)=ADU$1490,ROW(OFFSET(nombres[],0,0,ROWS(nombres[]),1))-ROW(OFFSET(nombres[],0,0,1,1))+1,ROW(OFFSET(nombres[],ROWS(nombres[])-1,0,1,1))+1),$O1550:$O1569),3),"")</f>
        <v/>
      </c>
      <c r="ADV1550" s="42" t="str">
        <f t="array" aca="1" ref="ADV1550" ca="1">IFERROR(INDEX(nombres[],SMALL(IF(OFFSET(nombres[],0,0,ROWS(nombres[]),1)=ADV$1490,ROW(OFFSET(nombres[],0,0,ROWS(nombres[]),1))-ROW(OFFSET(nombres[],0,0,1,1))+1,ROW(OFFSET(nombres[],ROWS(nombres[])-1,0,1,1))+1),$O1550:$O1569),3),"")</f>
        <v/>
      </c>
      <c r="ADW1550" s="42" t="str">
        <f t="array" aca="1" ref="ADW1550" ca="1">IFERROR(INDEX(nombres[],SMALL(IF(OFFSET(nombres[],0,0,ROWS(nombres[]),1)=ADW$1490,ROW(OFFSET(nombres[],0,0,ROWS(nombres[]),1))-ROW(OFFSET(nombres[],0,0,1,1))+1,ROW(OFFSET(nombres[],ROWS(nombres[])-1,0,1,1))+1),$O1550:$O1569),3),"")</f>
        <v/>
      </c>
      <c r="ADX1550" s="42" t="str">
        <f t="array" aca="1" ref="ADX1550" ca="1">IFERROR(INDEX(nombres[],SMALL(IF(OFFSET(nombres[],0,0,ROWS(nombres[]),1)=ADX$1490,ROW(OFFSET(nombres[],0,0,ROWS(nombres[]),1))-ROW(OFFSET(nombres[],0,0,1,1))+1,ROW(OFFSET(nombres[],ROWS(nombres[])-1,0,1,1))+1),$O1550:$O1569),3),"")</f>
        <v/>
      </c>
      <c r="ADY1550" s="42" t="str">
        <f t="array" aca="1" ref="ADY1550" ca="1">IFERROR(INDEX(nombres[],SMALL(IF(OFFSET(nombres[],0,0,ROWS(nombres[]),1)=ADY$1490,ROW(OFFSET(nombres[],0,0,ROWS(nombres[]),1))-ROW(OFFSET(nombres[],0,0,1,1))+1,ROW(OFFSET(nombres[],ROWS(nombres[])-1,0,1,1))+1),$O1550:$O1569),3),"")</f>
        <v/>
      </c>
      <c r="ADZ1550" s="42" t="str">
        <f t="array" aca="1" ref="ADZ1550" ca="1">IFERROR(INDEX(nombres[],SMALL(IF(OFFSET(nombres[],0,0,ROWS(nombres[]),1)=ADZ$1490,ROW(OFFSET(nombres[],0,0,ROWS(nombres[]),1))-ROW(OFFSET(nombres[],0,0,1,1))+1,ROW(OFFSET(nombres[],ROWS(nombres[])-1,0,1,1))+1),$O1550:$O1569),3),"")</f>
        <v/>
      </c>
      <c r="AEA1550" s="42" t="str">
        <f t="array" aca="1" ref="AEA1550" ca="1">IFERROR(INDEX(nombres[],SMALL(IF(OFFSET(nombres[],0,0,ROWS(nombres[]),1)=AEA$1490,ROW(OFFSET(nombres[],0,0,ROWS(nombres[]),1))-ROW(OFFSET(nombres[],0,0,1,1))+1,ROW(OFFSET(nombres[],ROWS(nombres[])-1,0,1,1))+1),$O1550:$O1569),3),"")</f>
        <v/>
      </c>
      <c r="AEB1550" s="42" t="str">
        <f t="array" aca="1" ref="AEB1550" ca="1">IFERROR(INDEX(nombres[],SMALL(IF(OFFSET(nombres[],0,0,ROWS(nombres[]),1)=AEB$1490,ROW(OFFSET(nombres[],0,0,ROWS(nombres[]),1))-ROW(OFFSET(nombres[],0,0,1,1))+1,ROW(OFFSET(nombres[],ROWS(nombres[])-1,0,1,1))+1),$O1550:$O1569),3),"")</f>
        <v/>
      </c>
      <c r="AEC1550" s="42" t="str">
        <f t="array" aca="1" ref="AEC1550" ca="1">IFERROR(INDEX(nombres[],SMALL(IF(OFFSET(nombres[],0,0,ROWS(nombres[]),1)=AEC$1490,ROW(OFFSET(nombres[],0,0,ROWS(nombres[]),1))-ROW(OFFSET(nombres[],0,0,1,1))+1,ROW(OFFSET(nombres[],ROWS(nombres[])-1,0,1,1))+1),$O1550:$O1569),3),"")</f>
        <v/>
      </c>
      <c r="AED1550" s="42" t="str">
        <f t="array" aca="1" ref="AED1550" ca="1">IFERROR(INDEX(nombres[],SMALL(IF(OFFSET(nombres[],0,0,ROWS(nombres[]),1)=AED$1490,ROW(OFFSET(nombres[],0,0,ROWS(nombres[]),1))-ROW(OFFSET(nombres[],0,0,1,1))+1,ROW(OFFSET(nombres[],ROWS(nombres[])-1,0,1,1))+1),$O1550:$O1569),3),"")</f>
        <v/>
      </c>
      <c r="AEE1550" s="42" t="str">
        <f t="array" aca="1" ref="AEE1550" ca="1">IFERROR(INDEX(nombres[],SMALL(IF(OFFSET(nombres[],0,0,ROWS(nombres[]),1)=AEE$1490,ROW(OFFSET(nombres[],0,0,ROWS(nombres[]),1))-ROW(OFFSET(nombres[],0,0,1,1))+1,ROW(OFFSET(nombres[],ROWS(nombres[])-1,0,1,1))+1),$O1550:$O1569),3),"")</f>
        <v/>
      </c>
      <c r="AEF1550" s="42" t="str">
        <f t="array" aca="1" ref="AEF1550" ca="1">IFERROR(INDEX(nombres[],SMALL(IF(OFFSET(nombres[],0,0,ROWS(nombres[]),1)=AEF$1490,ROW(OFFSET(nombres[],0,0,ROWS(nombres[]),1))-ROW(OFFSET(nombres[],0,0,1,1))+1,ROW(OFFSET(nombres[],ROWS(nombres[])-1,0,1,1))+1),$O1550:$O1569),3),"")</f>
        <v/>
      </c>
      <c r="AEG1550" s="42" t="str">
        <f t="array" aca="1" ref="AEG1550" ca="1">IFERROR(INDEX(nombres[],SMALL(IF(OFFSET(nombres[],0,0,ROWS(nombres[]),1)=AEG$1490,ROW(OFFSET(nombres[],0,0,ROWS(nombres[]),1))-ROW(OFFSET(nombres[],0,0,1,1))+1,ROW(OFFSET(nombres[],ROWS(nombres[])-1,0,1,1))+1),$O1550:$O1569),3),"")</f>
        <v/>
      </c>
      <c r="AEH1550" s="42" t="str">
        <f t="array" aca="1" ref="AEH1550" ca="1">IFERROR(INDEX(nombres[],SMALL(IF(OFFSET(nombres[],0,0,ROWS(nombres[]),1)=AEH$1490,ROW(OFFSET(nombres[],0,0,ROWS(nombres[]),1))-ROW(OFFSET(nombres[],0,0,1,1))+1,ROW(OFFSET(nombres[],ROWS(nombres[])-1,0,1,1))+1),$O1550:$O1569),3),"")</f>
        <v/>
      </c>
      <c r="AEI1550" s="42" t="str">
        <f t="array" aca="1" ref="AEI1550" ca="1">IFERROR(INDEX(nombres[],SMALL(IF(OFFSET(nombres[],0,0,ROWS(nombres[]),1)=AEI$1490,ROW(OFFSET(nombres[],0,0,ROWS(nombres[]),1))-ROW(OFFSET(nombres[],0,0,1,1))+1,ROW(OFFSET(nombres[],ROWS(nombres[])-1,0,1,1))+1),$O1550:$O1569),3),"")</f>
        <v/>
      </c>
      <c r="AEJ1550" s="42" t="str">
        <f t="array" aca="1" ref="AEJ1550" ca="1">IFERROR(INDEX(nombres[],SMALL(IF(OFFSET(nombres[],0,0,ROWS(nombres[]),1)=AEJ$1490,ROW(OFFSET(nombres[],0,0,ROWS(nombres[]),1))-ROW(OFFSET(nombres[],0,0,1,1))+1,ROW(OFFSET(nombres[],ROWS(nombres[])-1,0,1,1))+1),$O1550:$O1569),3),"")</f>
        <v/>
      </c>
      <c r="AEK1550" s="42" t="str">
        <f t="array" aca="1" ref="AEK1550" ca="1">IFERROR(INDEX(nombres[],SMALL(IF(OFFSET(nombres[],0,0,ROWS(nombres[]),1)=AEK$1490,ROW(OFFSET(nombres[],0,0,ROWS(nombres[]),1))-ROW(OFFSET(nombres[],0,0,1,1))+1,ROW(OFFSET(nombres[],ROWS(nombres[])-1,0,1,1))+1),$O1550:$O1569),3),"")</f>
        <v/>
      </c>
      <c r="AEL1550" s="42" t="str">
        <f t="array" aca="1" ref="AEL1550" ca="1">IFERROR(INDEX(nombres[],SMALL(IF(OFFSET(nombres[],0,0,ROWS(nombres[]),1)=AEL$1490,ROW(OFFSET(nombres[],0,0,ROWS(nombres[]),1))-ROW(OFFSET(nombres[],0,0,1,1))+1,ROW(OFFSET(nombres[],ROWS(nombres[])-1,0,1,1))+1),$O1550:$O1569),3),"")</f>
        <v/>
      </c>
      <c r="AEM1550" s="42" t="str">
        <f t="array" aca="1" ref="AEM1550" ca="1">IFERROR(INDEX(nombres[],SMALL(IF(OFFSET(nombres[],0,0,ROWS(nombres[]),1)=AEM$1490,ROW(OFFSET(nombres[],0,0,ROWS(nombres[]),1))-ROW(OFFSET(nombres[],0,0,1,1))+1,ROW(OFFSET(nombres[],ROWS(nombres[])-1,0,1,1))+1),$O1550:$O1569),3),"")</f>
        <v/>
      </c>
      <c r="AEN1550" s="42" t="str">
        <f t="array" aca="1" ref="AEN1550" ca="1">IFERROR(INDEX(nombres[],SMALL(IF(OFFSET(nombres[],0,0,ROWS(nombres[]),1)=AEN$1490,ROW(OFFSET(nombres[],0,0,ROWS(nombres[]),1))-ROW(OFFSET(nombres[],0,0,1,1))+1,ROW(OFFSET(nombres[],ROWS(nombres[])-1,0,1,1))+1),$O1550:$O1569),3),"")</f>
        <v/>
      </c>
      <c r="AEO1550" s="42" t="str">
        <f t="array" aca="1" ref="AEO1550" ca="1">IFERROR(INDEX(nombres[],SMALL(IF(OFFSET(nombres[],0,0,ROWS(nombres[]),1)=AEO$1490,ROW(OFFSET(nombres[],0,0,ROWS(nombres[]),1))-ROW(OFFSET(nombres[],0,0,1,1))+1,ROW(OFFSET(nombres[],ROWS(nombres[])-1,0,1,1))+1),$O1550:$O1569),3),"")</f>
        <v/>
      </c>
      <c r="AEP1550" s="42" t="str">
        <f t="array" aca="1" ref="AEP1550" ca="1">IFERROR(INDEX(nombres[],SMALL(IF(OFFSET(nombres[],0,0,ROWS(nombres[]),1)=AEP$1490,ROW(OFFSET(nombres[],0,0,ROWS(nombres[]),1))-ROW(OFFSET(nombres[],0,0,1,1))+1,ROW(OFFSET(nombres[],ROWS(nombres[])-1,0,1,1))+1),$O1550:$O1569),3),"")</f>
        <v/>
      </c>
      <c r="AEQ1550" s="42" t="str">
        <f t="array" aca="1" ref="AEQ1550" ca="1">IFERROR(INDEX(nombres[],SMALL(IF(OFFSET(nombres[],0,0,ROWS(nombres[]),1)=AEQ$1490,ROW(OFFSET(nombres[],0,0,ROWS(nombres[]),1))-ROW(OFFSET(nombres[],0,0,1,1))+1,ROW(OFFSET(nombres[],ROWS(nombres[])-1,0,1,1))+1),$O1550:$O1569),3),"")</f>
        <v/>
      </c>
      <c r="AER1550" s="42" t="str">
        <f t="array" aca="1" ref="AER1550" ca="1">IFERROR(INDEX(nombres[],SMALL(IF(OFFSET(nombres[],0,0,ROWS(nombres[]),1)=AER$1490,ROW(OFFSET(nombres[],0,0,ROWS(nombres[]),1))-ROW(OFFSET(nombres[],0,0,1,1))+1,ROW(OFFSET(nombres[],ROWS(nombres[])-1,0,1,1))+1),$O1550:$O1569),3),"")</f>
        <v/>
      </c>
      <c r="AES1550" s="42" t="str">
        <f t="array" aca="1" ref="AES1550" ca="1">IFERROR(INDEX(nombres[],SMALL(IF(OFFSET(nombres[],0,0,ROWS(nombres[]),1)=AES$1490,ROW(OFFSET(nombres[],0,0,ROWS(nombres[]),1))-ROW(OFFSET(nombres[],0,0,1,1))+1,ROW(OFFSET(nombres[],ROWS(nombres[])-1,0,1,1))+1),$O1550:$O1569),3),"")</f>
        <v/>
      </c>
      <c r="AET1550" s="42" t="str">
        <f t="array" aca="1" ref="AET1550" ca="1">IFERROR(INDEX(nombres[],SMALL(IF(OFFSET(nombres[],0,0,ROWS(nombres[]),1)=AET$1490,ROW(OFFSET(nombres[],0,0,ROWS(nombres[]),1))-ROW(OFFSET(nombres[],0,0,1,1))+1,ROW(OFFSET(nombres[],ROWS(nombres[])-1,0,1,1))+1),$O1550:$O1569),3),"")</f>
        <v/>
      </c>
      <c r="AEU1550" s="42" t="str">
        <f t="array" aca="1" ref="AEU1550" ca="1">IFERROR(INDEX(nombres[],SMALL(IF(OFFSET(nombres[],0,0,ROWS(nombres[]),1)=AEU$1490,ROW(OFFSET(nombres[],0,0,ROWS(nombres[]),1))-ROW(OFFSET(nombres[],0,0,1,1))+1,ROW(OFFSET(nombres[],ROWS(nombres[])-1,0,1,1))+1),$O1550:$O1569),3),"")</f>
        <v/>
      </c>
      <c r="AEV1550" s="42" t="str">
        <f t="array" aca="1" ref="AEV1550" ca="1">IFERROR(INDEX(nombres[],SMALL(IF(OFFSET(nombres[],0,0,ROWS(nombres[]),1)=AEV$1490,ROW(OFFSET(nombres[],0,0,ROWS(nombres[]),1))-ROW(OFFSET(nombres[],0,0,1,1))+1,ROW(OFFSET(nombres[],ROWS(nombres[])-1,0,1,1))+1),$O1550:$O1569),3),"")</f>
        <v/>
      </c>
      <c r="AEW1550" s="42" t="str">
        <f t="array" aca="1" ref="AEW1550" ca="1">IFERROR(INDEX(nombres[],SMALL(IF(OFFSET(nombres[],0,0,ROWS(nombres[]),1)=AEW$1490,ROW(OFFSET(nombres[],0,0,ROWS(nombres[]),1))-ROW(OFFSET(nombres[],0,0,1,1))+1,ROW(OFFSET(nombres[],ROWS(nombres[])-1,0,1,1))+1),$O1550:$O1569),3),"")</f>
        <v/>
      </c>
      <c r="AEX1550" s="42" t="str">
        <f t="array" aca="1" ref="AEX1550" ca="1">IFERROR(INDEX(nombres[],SMALL(IF(OFFSET(nombres[],0,0,ROWS(nombres[]),1)=AEX$1490,ROW(OFFSET(nombres[],0,0,ROWS(nombres[]),1))-ROW(OFFSET(nombres[],0,0,1,1))+1,ROW(OFFSET(nombres[],ROWS(nombres[])-1,0,1,1))+1),$O1550:$O1569),3),"")</f>
        <v/>
      </c>
      <c r="AEY1550" s="42" t="str">
        <f t="array" aca="1" ref="AEY1550" ca="1">IFERROR(INDEX(nombres[],SMALL(IF(OFFSET(nombres[],0,0,ROWS(nombres[]),1)=AEY$1490,ROW(OFFSET(nombres[],0,0,ROWS(nombres[]),1))-ROW(OFFSET(nombres[],0,0,1,1))+1,ROW(OFFSET(nombres[],ROWS(nombres[])-1,0,1,1))+1),$O1550:$O1569),3),"")</f>
        <v/>
      </c>
      <c r="AEZ1550" s="42" t="str">
        <f t="array" aca="1" ref="AEZ1550" ca="1">IFERROR(INDEX(nombres[],SMALL(IF(OFFSET(nombres[],0,0,ROWS(nombres[]),1)=AEZ$1490,ROW(OFFSET(nombres[],0,0,ROWS(nombres[]),1))-ROW(OFFSET(nombres[],0,0,1,1))+1,ROW(OFFSET(nombres[],ROWS(nombres[])-1,0,1,1))+1),$O1550:$O1569),3),"")</f>
        <v/>
      </c>
      <c r="AFA1550" s="42" t="str">
        <f t="array" aca="1" ref="AFA1550" ca="1">IFERROR(INDEX(nombres[],SMALL(IF(OFFSET(nombres[],0,0,ROWS(nombres[]),1)=AFA$1490,ROW(OFFSET(nombres[],0,0,ROWS(nombres[]),1))-ROW(OFFSET(nombres[],0,0,1,1))+1,ROW(OFFSET(nombres[],ROWS(nombres[])-1,0,1,1))+1),$O1550:$O1569),3),"")</f>
        <v/>
      </c>
      <c r="AFB1550" s="42" t="str">
        <f t="array" aca="1" ref="AFB1550" ca="1">IFERROR(INDEX(nombres[],SMALL(IF(OFFSET(nombres[],0,0,ROWS(nombres[]),1)=AFB$1490,ROW(OFFSET(nombres[],0,0,ROWS(nombres[]),1))-ROW(OFFSET(nombres[],0,0,1,1))+1,ROW(OFFSET(nombres[],ROWS(nombres[])-1,0,1,1))+1),$O1550:$O1569),3),"")</f>
        <v/>
      </c>
      <c r="AFC1550" s="42" t="str">
        <f t="array" aca="1" ref="AFC1550" ca="1">IFERROR(INDEX(nombres[],SMALL(IF(OFFSET(nombres[],0,0,ROWS(nombres[]),1)=AFC$1490,ROW(OFFSET(nombres[],0,0,ROWS(nombres[]),1))-ROW(OFFSET(nombres[],0,0,1,1))+1,ROW(OFFSET(nombres[],ROWS(nombres[])-1,0,1,1))+1),$O1550:$O1569),3),"")</f>
        <v/>
      </c>
      <c r="AFD1550" s="42" t="str">
        <f t="array" aca="1" ref="AFD1550" ca="1">IFERROR(INDEX(nombres[],SMALL(IF(OFFSET(nombres[],0,0,ROWS(nombres[]),1)=AFD$1490,ROW(OFFSET(nombres[],0,0,ROWS(nombres[]),1))-ROW(OFFSET(nombres[],0,0,1,1))+1,ROW(OFFSET(nombres[],ROWS(nombres[])-1,0,1,1))+1),$O1550:$O1569),3),"")</f>
        <v/>
      </c>
      <c r="AFE1550" s="42" t="str">
        <f t="array" aca="1" ref="AFE1550" ca="1">IFERROR(INDEX(nombres[],SMALL(IF(OFFSET(nombres[],0,0,ROWS(nombres[]),1)=AFE$1490,ROW(OFFSET(nombres[],0,0,ROWS(nombres[]),1))-ROW(OFFSET(nombres[],0,0,1,1))+1,ROW(OFFSET(nombres[],ROWS(nombres[])-1,0,1,1))+1),$O1550:$O1569),3),"")</f>
        <v/>
      </c>
      <c r="AFF1550" s="42" t="str">
        <f t="array" aca="1" ref="AFF1550" ca="1">IFERROR(INDEX(nombres[],SMALL(IF(OFFSET(nombres[],0,0,ROWS(nombres[]),1)=AFF$1490,ROW(OFFSET(nombres[],0,0,ROWS(nombres[]),1))-ROW(OFFSET(nombres[],0,0,1,1))+1,ROW(OFFSET(nombres[],ROWS(nombres[])-1,0,1,1))+1),$O1550:$O1569),3),"")</f>
        <v/>
      </c>
      <c r="AFG1550" s="42" t="str">
        <f t="array" aca="1" ref="AFG1550" ca="1">IFERROR(INDEX(nombres[],SMALL(IF(OFFSET(nombres[],0,0,ROWS(nombres[]),1)=AFG$1490,ROW(OFFSET(nombres[],0,0,ROWS(nombres[]),1))-ROW(OFFSET(nombres[],0,0,1,1))+1,ROW(OFFSET(nombres[],ROWS(nombres[])-1,0,1,1))+1),$O1550:$O1569),3),"")</f>
        <v/>
      </c>
      <c r="AFH1550" s="42" t="str">
        <f t="array" aca="1" ref="AFH1550" ca="1">IFERROR(INDEX(nombres[],SMALL(IF(OFFSET(nombres[],0,0,ROWS(nombres[]),1)=AFH$1490,ROW(OFFSET(nombres[],0,0,ROWS(nombres[]),1))-ROW(OFFSET(nombres[],0,0,1,1))+1,ROW(OFFSET(nombres[],ROWS(nombres[])-1,0,1,1))+1),$O1550:$O1569),3),"")</f>
        <v/>
      </c>
      <c r="AFI1550" s="42" t="str">
        <f t="array" aca="1" ref="AFI1550" ca="1">IFERROR(INDEX(nombres[],SMALL(IF(OFFSET(nombres[],0,0,ROWS(nombres[]),1)=AFI$1490,ROW(OFFSET(nombres[],0,0,ROWS(nombres[]),1))-ROW(OFFSET(nombres[],0,0,1,1))+1,ROW(OFFSET(nombres[],ROWS(nombres[])-1,0,1,1))+1),$O1550:$O1569),3),"")</f>
        <v/>
      </c>
      <c r="AFJ1550" s="42" t="str">
        <f t="array" aca="1" ref="AFJ1550" ca="1">IFERROR(INDEX(nombres[],SMALL(IF(OFFSET(nombres[],0,0,ROWS(nombres[]),1)=AFJ$1490,ROW(OFFSET(nombres[],0,0,ROWS(nombres[]),1))-ROW(OFFSET(nombres[],0,0,1,1))+1,ROW(OFFSET(nombres[],ROWS(nombres[])-1,0,1,1))+1),$O1550:$O1569),3),"")</f>
        <v/>
      </c>
      <c r="AFK1550" s="42" t="str">
        <f t="array" aca="1" ref="AFK1550" ca="1">IFERROR(INDEX(nombres[],SMALL(IF(OFFSET(nombres[],0,0,ROWS(nombres[]),1)=AFK$1490,ROW(OFFSET(nombres[],0,0,ROWS(nombres[]),1))-ROW(OFFSET(nombres[],0,0,1,1))+1,ROW(OFFSET(nombres[],ROWS(nombres[])-1,0,1,1))+1),$O1550:$O1569),3),"")</f>
        <v/>
      </c>
      <c r="AFL1550" s="42" t="str">
        <f t="array" aca="1" ref="AFL1550" ca="1">IFERROR(INDEX(nombres[],SMALL(IF(OFFSET(nombres[],0,0,ROWS(nombres[]),1)=AFL$1490,ROW(OFFSET(nombres[],0,0,ROWS(nombres[]),1))-ROW(OFFSET(nombres[],0,0,1,1))+1,ROW(OFFSET(nombres[],ROWS(nombres[])-1,0,1,1))+1),$O1550:$O1569),3),"")</f>
        <v/>
      </c>
      <c r="AFM1550" s="42" t="str">
        <f t="array" aca="1" ref="AFM1550" ca="1">IFERROR(INDEX(nombres[],SMALL(IF(OFFSET(nombres[],0,0,ROWS(nombres[]),1)=AFM$1490,ROW(OFFSET(nombres[],0,0,ROWS(nombres[]),1))-ROW(OFFSET(nombres[],0,0,1,1))+1,ROW(OFFSET(nombres[],ROWS(nombres[])-1,0,1,1))+1),$O1550:$O1569),3),"")</f>
        <v/>
      </c>
      <c r="AFN1550" s="42" t="str">
        <f t="array" aca="1" ref="AFN1550" ca="1">IFERROR(INDEX(nombres[],SMALL(IF(OFFSET(nombres[],0,0,ROWS(nombres[]),1)=AFN$1490,ROW(OFFSET(nombres[],0,0,ROWS(nombres[]),1))-ROW(OFFSET(nombres[],0,0,1,1))+1,ROW(OFFSET(nombres[],ROWS(nombres[])-1,0,1,1))+1),$O1550:$O1569),3),"")</f>
        <v/>
      </c>
      <c r="AFO1550" s="42" t="str">
        <f t="array" aca="1" ref="AFO1550" ca="1">IFERROR(INDEX(nombres[],SMALL(IF(OFFSET(nombres[],0,0,ROWS(nombres[]),1)=AFO$1490,ROW(OFFSET(nombres[],0,0,ROWS(nombres[]),1))-ROW(OFFSET(nombres[],0,0,1,1))+1,ROW(OFFSET(nombres[],ROWS(nombres[])-1,0,1,1))+1),$O1550:$O1569),3),"")</f>
        <v/>
      </c>
      <c r="AFP1550" s="42" t="str">
        <f t="array" aca="1" ref="AFP1550" ca="1">IFERROR(INDEX(nombres[],SMALL(IF(OFFSET(nombres[],0,0,ROWS(nombres[]),1)=AFP$1490,ROW(OFFSET(nombres[],0,0,ROWS(nombres[]),1))-ROW(OFFSET(nombres[],0,0,1,1))+1,ROW(OFFSET(nombres[],ROWS(nombres[])-1,0,1,1))+1),$O1550:$O1569),3),"")</f>
        <v/>
      </c>
      <c r="AFQ1550" s="42" t="str">
        <f t="array" aca="1" ref="AFQ1550" ca="1">IFERROR(INDEX(nombres[],SMALL(IF(OFFSET(nombres[],0,0,ROWS(nombres[]),1)=AFQ$1490,ROW(OFFSET(nombres[],0,0,ROWS(nombres[]),1))-ROW(OFFSET(nombres[],0,0,1,1))+1,ROW(OFFSET(nombres[],ROWS(nombres[])-1,0,1,1))+1),$O1550:$O1569),3),"")</f>
        <v/>
      </c>
      <c r="AFR1550" s="42" t="str">
        <f t="array" aca="1" ref="AFR1550" ca="1">IFERROR(INDEX(nombres[],SMALL(IF(OFFSET(nombres[],0,0,ROWS(nombres[]),1)=AFR$1490,ROW(OFFSET(nombres[],0,0,ROWS(nombres[]),1))-ROW(OFFSET(nombres[],0,0,1,1))+1,ROW(OFFSET(nombres[],ROWS(nombres[])-1,0,1,1))+1),$O1550:$O1569),3),"")</f>
        <v/>
      </c>
      <c r="AFS1550" s="42" t="str">
        <f t="array" aca="1" ref="AFS1550" ca="1">IFERROR(INDEX(nombres[],SMALL(IF(OFFSET(nombres[],0,0,ROWS(nombres[]),1)=AFS$1490,ROW(OFFSET(nombres[],0,0,ROWS(nombres[]),1))-ROW(OFFSET(nombres[],0,0,1,1))+1,ROW(OFFSET(nombres[],ROWS(nombres[])-1,0,1,1))+1),$O1550:$O1569),3),"")</f>
        <v/>
      </c>
      <c r="AFT1550" s="42" t="str">
        <f t="array" aca="1" ref="AFT1550" ca="1">IFERROR(INDEX(nombres[],SMALL(IF(OFFSET(nombres[],0,0,ROWS(nombres[]),1)=AFT$1490,ROW(OFFSET(nombres[],0,0,ROWS(nombres[]),1))-ROW(OFFSET(nombres[],0,0,1,1))+1,ROW(OFFSET(nombres[],ROWS(nombres[])-1,0,1,1))+1),$O1550:$O1569),3),"")</f>
        <v/>
      </c>
      <c r="AFU1550" s="42" t="str">
        <f t="array" aca="1" ref="AFU1550" ca="1">IFERROR(INDEX(nombres[],SMALL(IF(OFFSET(nombres[],0,0,ROWS(nombres[]),1)=AFU$1490,ROW(OFFSET(nombres[],0,0,ROWS(nombres[]),1))-ROW(OFFSET(nombres[],0,0,1,1))+1,ROW(OFFSET(nombres[],ROWS(nombres[])-1,0,1,1))+1),$O1550:$O1569),3),"")</f>
        <v/>
      </c>
      <c r="AFV1550" s="42" t="str">
        <f t="array" aca="1" ref="AFV1550" ca="1">IFERROR(INDEX(nombres[],SMALL(IF(OFFSET(nombres[],0,0,ROWS(nombres[]),1)=AFV$1490,ROW(OFFSET(nombres[],0,0,ROWS(nombres[]),1))-ROW(OFFSET(nombres[],0,0,1,1))+1,ROW(OFFSET(nombres[],ROWS(nombres[])-1,0,1,1))+1),$O1550:$O1569),3),"")</f>
        <v/>
      </c>
      <c r="AFW1550" s="42" t="str">
        <f t="array" aca="1" ref="AFW1550" ca="1">IFERROR(INDEX(nombres[],SMALL(IF(OFFSET(nombres[],0,0,ROWS(nombres[]),1)=AFW$1490,ROW(OFFSET(nombres[],0,0,ROWS(nombres[]),1))-ROW(OFFSET(nombres[],0,0,1,1))+1,ROW(OFFSET(nombres[],ROWS(nombres[])-1,0,1,1))+1),$O1550:$O1569),3),"")</f>
        <v/>
      </c>
      <c r="AFX1550" s="42" t="str">
        <f t="array" aca="1" ref="AFX1550" ca="1">IFERROR(INDEX(nombres[],SMALL(IF(OFFSET(nombres[],0,0,ROWS(nombres[]),1)=AFX$1490,ROW(OFFSET(nombres[],0,0,ROWS(nombres[]),1))-ROW(OFFSET(nombres[],0,0,1,1))+1,ROW(OFFSET(nombres[],ROWS(nombres[])-1,0,1,1))+1),$O1550:$O1569),3),"")</f>
        <v/>
      </c>
      <c r="AFY1550" s="42" t="str">
        <f t="array" aca="1" ref="AFY1550" ca="1">IFERROR(INDEX(nombres[],SMALL(IF(OFFSET(nombres[],0,0,ROWS(nombres[]),1)=AFY$1490,ROW(OFFSET(nombres[],0,0,ROWS(nombres[]),1))-ROW(OFFSET(nombres[],0,0,1,1))+1,ROW(OFFSET(nombres[],ROWS(nombres[])-1,0,1,1))+1),$O1550:$O1569),3),"")</f>
        <v/>
      </c>
      <c r="AFZ1550" s="42" t="str">
        <f t="array" aca="1" ref="AFZ1550" ca="1">IFERROR(INDEX(nombres[],SMALL(IF(OFFSET(nombres[],0,0,ROWS(nombres[]),1)=AFZ$1490,ROW(OFFSET(nombres[],0,0,ROWS(nombres[]),1))-ROW(OFFSET(nombres[],0,0,1,1))+1,ROW(OFFSET(nombres[],ROWS(nombres[])-1,0,1,1))+1),$O1550:$O1569),3),"")</f>
        <v/>
      </c>
      <c r="AGA1550" s="42" t="str">
        <f t="array" aca="1" ref="AGA1550" ca="1">IFERROR(INDEX(nombres[],SMALL(IF(OFFSET(nombres[],0,0,ROWS(nombres[]),1)=AGA$1490,ROW(OFFSET(nombres[],0,0,ROWS(nombres[]),1))-ROW(OFFSET(nombres[],0,0,1,1))+1,ROW(OFFSET(nombres[],ROWS(nombres[])-1,0,1,1))+1),$O1550:$O1569),3),"")</f>
        <v/>
      </c>
      <c r="AGB1550" s="42" t="str">
        <f t="array" aca="1" ref="AGB1550" ca="1">IFERROR(INDEX(nombres[],SMALL(IF(OFFSET(nombres[],0,0,ROWS(nombres[]),1)=AGB$1490,ROW(OFFSET(nombres[],0,0,ROWS(nombres[]),1))-ROW(OFFSET(nombres[],0,0,1,1))+1,ROW(OFFSET(nombres[],ROWS(nombres[])-1,0,1,1))+1),$O1550:$O1569),3),"")</f>
        <v/>
      </c>
      <c r="AGC1550" s="42" t="str">
        <f t="array" aca="1" ref="AGC1550" ca="1">IFERROR(INDEX(nombres[],SMALL(IF(OFFSET(nombres[],0,0,ROWS(nombres[]),1)=AGC$1490,ROW(OFFSET(nombres[],0,0,ROWS(nombres[]),1))-ROW(OFFSET(nombres[],0,0,1,1))+1,ROW(OFFSET(nombres[],ROWS(nombres[])-1,0,1,1))+1),$O1550:$O1569),3),"")</f>
        <v/>
      </c>
      <c r="AGD1550" s="42" t="str">
        <f t="array" aca="1" ref="AGD1550" ca="1">IFERROR(INDEX(nombres[],SMALL(IF(OFFSET(nombres[],0,0,ROWS(nombres[]),1)=AGD$1490,ROW(OFFSET(nombres[],0,0,ROWS(nombres[]),1))-ROW(OFFSET(nombres[],0,0,1,1))+1,ROW(OFFSET(nombres[],ROWS(nombres[])-1,0,1,1))+1),$O1550:$O1569),3),"")</f>
        <v/>
      </c>
      <c r="AGE1550" s="42" t="str">
        <f t="array" aca="1" ref="AGE1550" ca="1">IFERROR(INDEX(nombres[],SMALL(IF(OFFSET(nombres[],0,0,ROWS(nombres[]),1)=AGE$1490,ROW(OFFSET(nombres[],0,0,ROWS(nombres[]),1))-ROW(OFFSET(nombres[],0,0,1,1))+1,ROW(OFFSET(nombres[],ROWS(nombres[])-1,0,1,1))+1),$O1550:$O1569),3),"")</f>
        <v/>
      </c>
      <c r="AGF1550" s="42" t="str">
        <f t="array" aca="1" ref="AGF1550" ca="1">IFERROR(INDEX(nombres[],SMALL(IF(OFFSET(nombres[],0,0,ROWS(nombres[]),1)=AGF$1490,ROW(OFFSET(nombres[],0,0,ROWS(nombres[]),1))-ROW(OFFSET(nombres[],0,0,1,1))+1,ROW(OFFSET(nombres[],ROWS(nombres[])-1,0,1,1))+1),$O1550:$O1569),3),"")</f>
        <v/>
      </c>
      <c r="AGG1550" s="42" t="str">
        <f t="array" aca="1" ref="AGG1550" ca="1">IFERROR(INDEX(nombres[],SMALL(IF(OFFSET(nombres[],0,0,ROWS(nombres[]),1)=AGG$1490,ROW(OFFSET(nombres[],0,0,ROWS(nombres[]),1))-ROW(OFFSET(nombres[],0,0,1,1))+1,ROW(OFFSET(nombres[],ROWS(nombres[])-1,0,1,1))+1),$O1550:$O1569),3),"")</f>
        <v/>
      </c>
      <c r="AGH1550" s="42" t="str">
        <f t="array" aca="1" ref="AGH1550" ca="1">IFERROR(INDEX(nombres[],SMALL(IF(OFFSET(nombres[],0,0,ROWS(nombres[]),1)=AGH$1490,ROW(OFFSET(nombres[],0,0,ROWS(nombres[]),1))-ROW(OFFSET(nombres[],0,0,1,1))+1,ROW(OFFSET(nombres[],ROWS(nombres[])-1,0,1,1))+1),$O1550:$O1569),3),"")</f>
        <v/>
      </c>
      <c r="AGI1550" s="42" t="str">
        <f t="array" aca="1" ref="AGI1550" ca="1">IFERROR(INDEX(nombres[],SMALL(IF(OFFSET(nombres[],0,0,ROWS(nombres[]),1)=AGI$1490,ROW(OFFSET(nombres[],0,0,ROWS(nombres[]),1))-ROW(OFFSET(nombres[],0,0,1,1))+1,ROW(OFFSET(nombres[],ROWS(nombres[])-1,0,1,1))+1),$O1550:$O1569),3),"")</f>
        <v/>
      </c>
      <c r="AGJ1550" s="42" t="str">
        <f t="array" aca="1" ref="AGJ1550" ca="1">IFERROR(INDEX(nombres[],SMALL(IF(OFFSET(nombres[],0,0,ROWS(nombres[]),1)=AGJ$1490,ROW(OFFSET(nombres[],0,0,ROWS(nombres[]),1))-ROW(OFFSET(nombres[],0,0,1,1))+1,ROW(OFFSET(nombres[],ROWS(nombres[])-1,0,1,1))+1),$O1550:$O1569),3),"")</f>
        <v/>
      </c>
      <c r="AGK1550" s="42" t="str">
        <f t="array" aca="1" ref="AGK1550" ca="1">IFERROR(INDEX(nombres[],SMALL(IF(OFFSET(nombres[],0,0,ROWS(nombres[]),1)=AGK$1490,ROW(OFFSET(nombres[],0,0,ROWS(nombres[]),1))-ROW(OFFSET(nombres[],0,0,1,1))+1,ROW(OFFSET(nombres[],ROWS(nombres[])-1,0,1,1))+1),$O1550:$O1569),3),"")</f>
        <v/>
      </c>
      <c r="AGL1550" s="42" t="str">
        <f t="array" aca="1" ref="AGL1550" ca="1">IFERROR(INDEX(nombres[],SMALL(IF(OFFSET(nombres[],0,0,ROWS(nombres[]),1)=AGL$1490,ROW(OFFSET(nombres[],0,0,ROWS(nombres[]),1))-ROW(OFFSET(nombres[],0,0,1,1))+1,ROW(OFFSET(nombres[],ROWS(nombres[])-1,0,1,1))+1),$O1550:$O1569),3),"")</f>
        <v/>
      </c>
      <c r="AGM1550" s="42" t="str">
        <f t="array" aca="1" ref="AGM1550" ca="1">IFERROR(INDEX(nombres[],SMALL(IF(OFFSET(nombres[],0,0,ROWS(nombres[]),1)=AGM$1490,ROW(OFFSET(nombres[],0,0,ROWS(nombres[]),1))-ROW(OFFSET(nombres[],0,0,1,1))+1,ROW(OFFSET(nombres[],ROWS(nombres[])-1,0,1,1))+1),$O1550:$O1569),3),"")</f>
        <v/>
      </c>
      <c r="AGN1550" s="42" t="str">
        <f t="array" aca="1" ref="AGN1550" ca="1">IFERROR(INDEX(nombres[],SMALL(IF(OFFSET(nombres[],0,0,ROWS(nombres[]),1)=AGN$1490,ROW(OFFSET(nombres[],0,0,ROWS(nombres[]),1))-ROW(OFFSET(nombres[],0,0,1,1))+1,ROW(OFFSET(nombres[],ROWS(nombres[])-1,0,1,1))+1),$O1550:$O1569),3),"")</f>
        <v/>
      </c>
    </row>
    <row r="1551" spans="15:872" x14ac:dyDescent="0.25">
      <c r="O1551" s="42">
        <v>15</v>
      </c>
      <c r="P1551" s="42" t="str">
        <f t="array" aca="1" ref="P1551" ca="1">IFERROR(INDEX(nombres[],SMALL(IF(OFFSET(nombres[],0,0,ROWS(nombres[]),1)=P$1490,ROW(OFFSET(nombres[],0,0,ROWS(nombres[]),1))-ROW(OFFSET(nombres[],0,0,1,1))+1,ROW(OFFSET(nombres[],ROWS(nombres[])-1,0,1,1))+1),$O1551:$O1570),3),"")</f>
        <v/>
      </c>
      <c r="Q1551" s="42" t="str">
        <f t="array" aca="1" ref="Q1551" ca="1">IFERROR(INDEX(nombres[],SMALL(IF(OFFSET(nombres[],0,0,ROWS(nombres[]),1)=Q$1490,ROW(OFFSET(nombres[],0,0,ROWS(nombres[]),1))-ROW(OFFSET(nombres[],0,0,1,1))+1,ROW(OFFSET(nombres[],ROWS(nombres[])-1,0,1,1))+1),$O1551:$O1570),3),"")</f>
        <v/>
      </c>
      <c r="R1551" s="42" t="str">
        <f t="array" aca="1" ref="R1551" ca="1">IFERROR(INDEX(nombres[],SMALL(IF(OFFSET(nombres[],0,0,ROWS(nombres[]),1)=R$1490,ROW(OFFSET(nombres[],0,0,ROWS(nombres[]),1))-ROW(OFFSET(nombres[],0,0,1,1))+1,ROW(OFFSET(nombres[],ROWS(nombres[])-1,0,1,1))+1),$O1551:$O1570),3),"")</f>
        <v/>
      </c>
      <c r="S1551" s="42" t="str">
        <f t="array" aca="1" ref="S1551" ca="1">IFERROR(INDEX(nombres[],SMALL(IF(OFFSET(nombres[],0,0,ROWS(nombres[]),1)=S$1490,ROW(OFFSET(nombres[],0,0,ROWS(nombres[]),1))-ROW(OFFSET(nombres[],0,0,1,1))+1,ROW(OFFSET(nombres[],ROWS(nombres[])-1,0,1,1))+1),$O1551:$O1570),3),"")</f>
        <v/>
      </c>
      <c r="T1551" s="42" t="str">
        <f t="array" aca="1" ref="T1551" ca="1">IFERROR(INDEX(nombres[],SMALL(IF(OFFSET(nombres[],0,0,ROWS(nombres[]),1)=T$1490,ROW(OFFSET(nombres[],0,0,ROWS(nombres[]),1))-ROW(OFFSET(nombres[],0,0,1,1))+1,ROW(OFFSET(nombres[],ROWS(nombres[])-1,0,1,1))+1),$O1551:$O1570),3),"")</f>
        <v/>
      </c>
      <c r="U1551" s="42" t="str">
        <f t="array" aca="1" ref="U1551" ca="1">IFERROR(INDEX(nombres[],SMALL(IF(OFFSET(nombres[],0,0,ROWS(nombres[]),1)=U$1490,ROW(OFFSET(nombres[],0,0,ROWS(nombres[]),1))-ROW(OFFSET(nombres[],0,0,1,1))+1,ROW(OFFSET(nombres[],ROWS(nombres[])-1,0,1,1))+1),$O1551:$O1570),3),"")</f>
        <v/>
      </c>
      <c r="V1551" s="42" t="str">
        <f t="array" aca="1" ref="V1551" ca="1">IFERROR(INDEX(nombres[],SMALL(IF(OFFSET(nombres[],0,0,ROWS(nombres[]),1)=V$1490,ROW(OFFSET(nombres[],0,0,ROWS(nombres[]),1))-ROW(OFFSET(nombres[],0,0,1,1))+1,ROW(OFFSET(nombres[],ROWS(nombres[])-1,0,1,1))+1),$O1551:$O1570),3),"")</f>
        <v/>
      </c>
      <c r="W1551" s="42" t="str">
        <f t="array" aca="1" ref="W1551" ca="1">IFERROR(INDEX(nombres[],SMALL(IF(OFFSET(nombres[],0,0,ROWS(nombres[]),1)=W$1490,ROW(OFFSET(nombres[],0,0,ROWS(nombres[]),1))-ROW(OFFSET(nombres[],0,0,1,1))+1,ROW(OFFSET(nombres[],ROWS(nombres[])-1,0,1,1))+1),$O1551:$O1570),3),"")</f>
        <v/>
      </c>
      <c r="X1551" s="42" t="str">
        <f t="array" aca="1" ref="X1551" ca="1">IFERROR(INDEX(nombres[],SMALL(IF(OFFSET(nombres[],0,0,ROWS(nombres[]),1)=X$1490,ROW(OFFSET(nombres[],0,0,ROWS(nombres[]),1))-ROW(OFFSET(nombres[],0,0,1,1))+1,ROW(OFFSET(nombres[],ROWS(nombres[])-1,0,1,1))+1),$O1551:$O1570),3),"")</f>
        <v/>
      </c>
      <c r="Y1551" s="42" t="str">
        <f t="array" aca="1" ref="Y1551" ca="1">IFERROR(INDEX(nombres[],SMALL(IF(OFFSET(nombres[],0,0,ROWS(nombres[]),1)=Y$1490,ROW(OFFSET(nombres[],0,0,ROWS(nombres[]),1))-ROW(OFFSET(nombres[],0,0,1,1))+1,ROW(OFFSET(nombres[],ROWS(nombres[])-1,0,1,1))+1),$O1551:$O1570),3),"")</f>
        <v/>
      </c>
      <c r="Z1551" s="42" t="str">
        <f t="array" aca="1" ref="Z1551" ca="1">IFERROR(INDEX(nombres[],SMALL(IF(OFFSET(nombres[],0,0,ROWS(nombres[]),1)=Z$1490,ROW(OFFSET(nombres[],0,0,ROWS(nombres[]),1))-ROW(OFFSET(nombres[],0,0,1,1))+1,ROW(OFFSET(nombres[],ROWS(nombres[])-1,0,1,1))+1),$O1551:$O1570),3),"")</f>
        <v/>
      </c>
      <c r="AA1551" s="42" t="str">
        <f t="array" aca="1" ref="AA1551" ca="1">IFERROR(INDEX(nombres[],SMALL(IF(OFFSET(nombres[],0,0,ROWS(nombres[]),1)=AA$1490,ROW(OFFSET(nombres[],0,0,ROWS(nombres[]),1))-ROW(OFFSET(nombres[],0,0,1,1))+1,ROW(OFFSET(nombres[],ROWS(nombres[])-1,0,1,1))+1),$O1551:$O1570),3),"")</f>
        <v/>
      </c>
      <c r="AB1551" s="42" t="str">
        <f t="array" aca="1" ref="AB1551" ca="1">IFERROR(INDEX(nombres[],SMALL(IF(OFFSET(nombres[],0,0,ROWS(nombres[]),1)=AB$1490,ROW(OFFSET(nombres[],0,0,ROWS(nombres[]),1))-ROW(OFFSET(nombres[],0,0,1,1))+1,ROW(OFFSET(nombres[],ROWS(nombres[])-1,0,1,1))+1),$O1551:$O1570),3),"")</f>
        <v/>
      </c>
      <c r="AC1551" s="42" t="str">
        <f t="array" aca="1" ref="AC1551" ca="1">IFERROR(INDEX(nombres[],SMALL(IF(OFFSET(nombres[],0,0,ROWS(nombres[]),1)=AC$1490,ROW(OFFSET(nombres[],0,0,ROWS(nombres[]),1))-ROW(OFFSET(nombres[],0,0,1,1))+1,ROW(OFFSET(nombres[],ROWS(nombres[])-1,0,1,1))+1),$O1551:$O1570),3),"")</f>
        <v/>
      </c>
      <c r="AD1551" s="42" t="str">
        <f t="array" aca="1" ref="AD1551" ca="1">IFERROR(INDEX(nombres[],SMALL(IF(OFFSET(nombres[],0,0,ROWS(nombres[]),1)=AD$1490,ROW(OFFSET(nombres[],0,0,ROWS(nombres[]),1))-ROW(OFFSET(nombres[],0,0,1,1))+1,ROW(OFFSET(nombres[],ROWS(nombres[])-1,0,1,1))+1),$O1551:$O1570),3),"")</f>
        <v/>
      </c>
      <c r="AE1551" s="42" t="str">
        <f t="array" aca="1" ref="AE1551" ca="1">IFERROR(INDEX(nombres[],SMALL(IF(OFFSET(nombres[],0,0,ROWS(nombres[]),1)=AE$1490,ROW(OFFSET(nombres[],0,0,ROWS(nombres[]),1))-ROW(OFFSET(nombres[],0,0,1,1))+1,ROW(OFFSET(nombres[],ROWS(nombres[])-1,0,1,1))+1),$O1551:$O1570),3),"")</f>
        <v/>
      </c>
      <c r="AF1551" s="42" t="str">
        <f t="array" aca="1" ref="AF1551" ca="1">IFERROR(INDEX(nombres[],SMALL(IF(OFFSET(nombres[],0,0,ROWS(nombres[]),1)=AF$1490,ROW(OFFSET(nombres[],0,0,ROWS(nombres[]),1))-ROW(OFFSET(nombres[],0,0,1,1))+1,ROW(OFFSET(nombres[],ROWS(nombres[])-1,0,1,1))+1),$O1551:$O1570),3),"")</f>
        <v/>
      </c>
      <c r="AG1551" s="42" t="str">
        <f t="array" aca="1" ref="AG1551" ca="1">IFERROR(INDEX(nombres[],SMALL(IF(OFFSET(nombres[],0,0,ROWS(nombres[]),1)=AG$1490,ROW(OFFSET(nombres[],0,0,ROWS(nombres[]),1))-ROW(OFFSET(nombres[],0,0,1,1))+1,ROW(OFFSET(nombres[],ROWS(nombres[])-1,0,1,1))+1),$O1551:$O1570),3),"")</f>
        <v/>
      </c>
      <c r="AH1551" s="42" t="str">
        <f t="array" aca="1" ref="AH1551" ca="1">IFERROR(INDEX(nombres[],SMALL(IF(OFFSET(nombres[],0,0,ROWS(nombres[]),1)=AH$1490,ROW(OFFSET(nombres[],0,0,ROWS(nombres[]),1))-ROW(OFFSET(nombres[],0,0,1,1))+1,ROW(OFFSET(nombres[],ROWS(nombres[])-1,0,1,1))+1),$O1551:$O1570),3),"")</f>
        <v/>
      </c>
      <c r="AI1551" s="42" t="str">
        <f t="array" aca="1" ref="AI1551" ca="1">IFERROR(INDEX(nombres[],SMALL(IF(OFFSET(nombres[],0,0,ROWS(nombres[]),1)=AI$1490,ROW(OFFSET(nombres[],0,0,ROWS(nombres[]),1))-ROW(OFFSET(nombres[],0,0,1,1))+1,ROW(OFFSET(nombres[],ROWS(nombres[])-1,0,1,1))+1),$O1551:$O1570),3),"")</f>
        <v/>
      </c>
      <c r="AJ1551" s="42" t="str">
        <f t="array" aca="1" ref="AJ1551" ca="1">IFERROR(INDEX(nombres[],SMALL(IF(OFFSET(nombres[],0,0,ROWS(nombres[]),1)=AJ$1490,ROW(OFFSET(nombres[],0,0,ROWS(nombres[]),1))-ROW(OFFSET(nombres[],0,0,1,1))+1,ROW(OFFSET(nombres[],ROWS(nombres[])-1,0,1,1))+1),$O1551:$O1570),3),"")</f>
        <v/>
      </c>
      <c r="AK1551" s="42" t="str">
        <f t="array" aca="1" ref="AK1551" ca="1">IFERROR(INDEX(nombres[],SMALL(IF(OFFSET(nombres[],0,0,ROWS(nombres[]),1)=AK$1490,ROW(OFFSET(nombres[],0,0,ROWS(nombres[]),1))-ROW(OFFSET(nombres[],0,0,1,1))+1,ROW(OFFSET(nombres[],ROWS(nombres[])-1,0,1,1))+1),$O1551:$O1570),3),"")</f>
        <v/>
      </c>
      <c r="AL1551" s="42" t="str">
        <f t="array" aca="1" ref="AL1551" ca="1">IFERROR(INDEX(nombres[],SMALL(IF(OFFSET(nombres[],0,0,ROWS(nombres[]),1)=AL$1490,ROW(OFFSET(nombres[],0,0,ROWS(nombres[]),1))-ROW(OFFSET(nombres[],0,0,1,1))+1,ROW(OFFSET(nombres[],ROWS(nombres[])-1,0,1,1))+1),$O1551:$O1570),3),"")</f>
        <v/>
      </c>
      <c r="AM1551" s="42" t="str">
        <f t="array" aca="1" ref="AM1551" ca="1">IFERROR(INDEX(nombres[],SMALL(IF(OFFSET(nombres[],0,0,ROWS(nombres[]),1)=AM$1490,ROW(OFFSET(nombres[],0,0,ROWS(nombres[]),1))-ROW(OFFSET(nombres[],0,0,1,1))+1,ROW(OFFSET(nombres[],ROWS(nombres[])-1,0,1,1))+1),$O1551:$O1570),3),"")</f>
        <v/>
      </c>
      <c r="AN1551" s="42" t="str">
        <f t="array" aca="1" ref="AN1551" ca="1">IFERROR(INDEX(nombres[],SMALL(IF(OFFSET(nombres[],0,0,ROWS(nombres[]),1)=AN$1490,ROW(OFFSET(nombres[],0,0,ROWS(nombres[]),1))-ROW(OFFSET(nombres[],0,0,1,1))+1,ROW(OFFSET(nombres[],ROWS(nombres[])-1,0,1,1))+1),$O1551:$O1570),3),"")</f>
        <v/>
      </c>
      <c r="AO1551" s="42" t="str">
        <f t="array" aca="1" ref="AO1551" ca="1">IFERROR(INDEX(nombres[],SMALL(IF(OFFSET(nombres[],0,0,ROWS(nombres[]),1)=AO$1490,ROW(OFFSET(nombres[],0,0,ROWS(nombres[]),1))-ROW(OFFSET(nombres[],0,0,1,1))+1,ROW(OFFSET(nombres[],ROWS(nombres[])-1,0,1,1))+1),$O1551:$O1570),3),"")</f>
        <v/>
      </c>
      <c r="AP1551" s="42" t="str">
        <f t="array" aca="1" ref="AP1551" ca="1">IFERROR(INDEX(nombres[],SMALL(IF(OFFSET(nombres[],0,0,ROWS(nombres[]),1)=AP$1490,ROW(OFFSET(nombres[],0,0,ROWS(nombres[]),1))-ROW(OFFSET(nombres[],0,0,1,1))+1,ROW(OFFSET(nombres[],ROWS(nombres[])-1,0,1,1))+1),$O1551:$O1570),3),"")</f>
        <v/>
      </c>
      <c r="AQ1551" s="42" t="str">
        <f t="array" aca="1" ref="AQ1551" ca="1">IFERROR(INDEX(nombres[],SMALL(IF(OFFSET(nombres[],0,0,ROWS(nombres[]),1)=AQ$1490,ROW(OFFSET(nombres[],0,0,ROWS(nombres[]),1))-ROW(OFFSET(nombres[],0,0,1,1))+1,ROW(OFFSET(nombres[],ROWS(nombres[])-1,0,1,1))+1),$O1551:$O1570),3),"")</f>
        <v/>
      </c>
      <c r="AR1551" s="42" t="str">
        <f t="array" aca="1" ref="AR1551" ca="1">IFERROR(INDEX(nombres[],SMALL(IF(OFFSET(nombres[],0,0,ROWS(nombres[]),1)=AR$1490,ROW(OFFSET(nombres[],0,0,ROWS(nombres[]),1))-ROW(OFFSET(nombres[],0,0,1,1))+1,ROW(OFFSET(nombres[],ROWS(nombres[])-1,0,1,1))+1),$O1551:$O1570),3),"")</f>
        <v/>
      </c>
      <c r="AS1551" s="42" t="str">
        <f t="array" aca="1" ref="AS1551" ca="1">IFERROR(INDEX(nombres[],SMALL(IF(OFFSET(nombres[],0,0,ROWS(nombres[]),1)=AS$1490,ROW(OFFSET(nombres[],0,0,ROWS(nombres[]),1))-ROW(OFFSET(nombres[],0,0,1,1))+1,ROW(OFFSET(nombres[],ROWS(nombres[])-1,0,1,1))+1),$O1551:$O1570),3),"")</f>
        <v/>
      </c>
      <c r="AT1551" s="42" t="str">
        <f t="array" aca="1" ref="AT1551" ca="1">IFERROR(INDEX(nombres[],SMALL(IF(OFFSET(nombres[],0,0,ROWS(nombres[]),1)=AT$1490,ROW(OFFSET(nombres[],0,0,ROWS(nombres[]),1))-ROW(OFFSET(nombres[],0,0,1,1))+1,ROW(OFFSET(nombres[],ROWS(nombres[])-1,0,1,1))+1),$O1551:$O1570),3),"")</f>
        <v/>
      </c>
      <c r="AU1551" s="42" t="str">
        <f t="array" aca="1" ref="AU1551" ca="1">IFERROR(INDEX(nombres[],SMALL(IF(OFFSET(nombres[],0,0,ROWS(nombres[]),1)=AU$1490,ROW(OFFSET(nombres[],0,0,ROWS(nombres[]),1))-ROW(OFFSET(nombres[],0,0,1,1))+1,ROW(OFFSET(nombres[],ROWS(nombres[])-1,0,1,1))+1),$O1551:$O1570),3),"")</f>
        <v/>
      </c>
      <c r="AV1551" s="42" t="str">
        <f t="array" aca="1" ref="AV1551" ca="1">IFERROR(INDEX(nombres[],SMALL(IF(OFFSET(nombres[],0,0,ROWS(nombres[]),1)=AV$1490,ROW(OFFSET(nombres[],0,0,ROWS(nombres[]),1))-ROW(OFFSET(nombres[],0,0,1,1))+1,ROW(OFFSET(nombres[],ROWS(nombres[])-1,0,1,1))+1),$O1551:$O1570),3),"")</f>
        <v/>
      </c>
      <c r="AW1551" s="42" t="str">
        <f t="array" aca="1" ref="AW1551" ca="1">IFERROR(INDEX(nombres[],SMALL(IF(OFFSET(nombres[],0,0,ROWS(nombres[]),1)=AW$1490,ROW(OFFSET(nombres[],0,0,ROWS(nombres[]),1))-ROW(OFFSET(nombres[],0,0,1,1))+1,ROW(OFFSET(nombres[],ROWS(nombres[])-1,0,1,1))+1),$O1551:$O1570),3),"")</f>
        <v/>
      </c>
      <c r="AX1551" s="42" t="str">
        <f t="array" aca="1" ref="AX1551" ca="1">IFERROR(INDEX(nombres[],SMALL(IF(OFFSET(nombres[],0,0,ROWS(nombres[]),1)=AX$1490,ROW(OFFSET(nombres[],0,0,ROWS(nombres[]),1))-ROW(OFFSET(nombres[],0,0,1,1))+1,ROW(OFFSET(nombres[],ROWS(nombres[])-1,0,1,1))+1),$O1551:$O1570),3),"")</f>
        <v/>
      </c>
      <c r="AY1551" s="42" t="str">
        <f t="array" aca="1" ref="AY1551" ca="1">IFERROR(INDEX(nombres[],SMALL(IF(OFFSET(nombres[],0,0,ROWS(nombres[]),1)=AY$1490,ROW(OFFSET(nombres[],0,0,ROWS(nombres[]),1))-ROW(OFFSET(nombres[],0,0,1,1))+1,ROW(OFFSET(nombres[],ROWS(nombres[])-1,0,1,1))+1),$O1551:$O1570),3),"")</f>
        <v/>
      </c>
      <c r="AZ1551" s="42" t="str">
        <f t="array" aca="1" ref="AZ1551" ca="1">IFERROR(INDEX(nombres[],SMALL(IF(OFFSET(nombres[],0,0,ROWS(nombres[]),1)=AZ$1490,ROW(OFFSET(nombres[],0,0,ROWS(nombres[]),1))-ROW(OFFSET(nombres[],0,0,1,1))+1,ROW(OFFSET(nombres[],ROWS(nombres[])-1,0,1,1))+1),$O1551:$O1570),3),"")</f>
        <v/>
      </c>
      <c r="BA1551" s="42" t="str">
        <f t="array" aca="1" ref="BA1551" ca="1">IFERROR(INDEX(nombres[],SMALL(IF(OFFSET(nombres[],0,0,ROWS(nombres[]),1)=BA$1490,ROW(OFFSET(nombres[],0,0,ROWS(nombres[]),1))-ROW(OFFSET(nombres[],0,0,1,1))+1,ROW(OFFSET(nombres[],ROWS(nombres[])-1,0,1,1))+1),$O1551:$O1570),3),"")</f>
        <v/>
      </c>
      <c r="BB1551" s="42" t="str">
        <f t="array" aca="1" ref="BB1551" ca="1">IFERROR(INDEX(nombres[],SMALL(IF(OFFSET(nombres[],0,0,ROWS(nombres[]),1)=BB$1490,ROW(OFFSET(nombres[],0,0,ROWS(nombres[]),1))-ROW(OFFSET(nombres[],0,0,1,1))+1,ROW(OFFSET(nombres[],ROWS(nombres[])-1,0,1,1))+1),$O1551:$O1570),3),"")</f>
        <v/>
      </c>
      <c r="BC1551" s="42" t="str">
        <f t="array" aca="1" ref="BC1551" ca="1">IFERROR(INDEX(nombres[],SMALL(IF(OFFSET(nombres[],0,0,ROWS(nombres[]),1)=BC$1490,ROW(OFFSET(nombres[],0,0,ROWS(nombres[]),1))-ROW(OFFSET(nombres[],0,0,1,1))+1,ROW(OFFSET(nombres[],ROWS(nombres[])-1,0,1,1))+1),$O1551:$O1570),3),"")</f>
        <v/>
      </c>
      <c r="BD1551" s="42" t="str">
        <f t="array" aca="1" ref="BD1551" ca="1">IFERROR(INDEX(nombres[],SMALL(IF(OFFSET(nombres[],0,0,ROWS(nombres[]),1)=BD$1490,ROW(OFFSET(nombres[],0,0,ROWS(nombres[]),1))-ROW(OFFSET(nombres[],0,0,1,1))+1,ROW(OFFSET(nombres[],ROWS(nombres[])-1,0,1,1))+1),$O1551:$O1570),3),"")</f>
        <v/>
      </c>
      <c r="BE1551" s="42" t="str">
        <f t="array" aca="1" ref="BE1551" ca="1">IFERROR(INDEX(nombres[],SMALL(IF(OFFSET(nombres[],0,0,ROWS(nombres[]),1)=BE$1490,ROW(OFFSET(nombres[],0,0,ROWS(nombres[]),1))-ROW(OFFSET(nombres[],0,0,1,1))+1,ROW(OFFSET(nombres[],ROWS(nombres[])-1,0,1,1))+1),$O1551:$O1570),3),"")</f>
        <v/>
      </c>
      <c r="BF1551" s="42" t="str">
        <f t="array" aca="1" ref="BF1551" ca="1">IFERROR(INDEX(nombres[],SMALL(IF(OFFSET(nombres[],0,0,ROWS(nombres[]),1)=BF$1490,ROW(OFFSET(nombres[],0,0,ROWS(nombres[]),1))-ROW(OFFSET(nombres[],0,0,1,1))+1,ROW(OFFSET(nombres[],ROWS(nombres[])-1,0,1,1))+1),$O1551:$O1570),3),"")</f>
        <v/>
      </c>
      <c r="BG1551" s="42" t="str">
        <f t="array" aca="1" ref="BG1551" ca="1">IFERROR(INDEX(nombres[],SMALL(IF(OFFSET(nombres[],0,0,ROWS(nombres[]),1)=BG$1490,ROW(OFFSET(nombres[],0,0,ROWS(nombres[]),1))-ROW(OFFSET(nombres[],0,0,1,1))+1,ROW(OFFSET(nombres[],ROWS(nombres[])-1,0,1,1))+1),$O1551:$O1570),3),"")</f>
        <v/>
      </c>
      <c r="BH1551" s="42" t="str">
        <f t="array" aca="1" ref="BH1551" ca="1">IFERROR(INDEX(nombres[],SMALL(IF(OFFSET(nombres[],0,0,ROWS(nombres[]),1)=BH$1490,ROW(OFFSET(nombres[],0,0,ROWS(nombres[]),1))-ROW(OFFSET(nombres[],0,0,1,1))+1,ROW(OFFSET(nombres[],ROWS(nombres[])-1,0,1,1))+1),$O1551:$O1570),3),"")</f>
        <v/>
      </c>
      <c r="BI1551" s="42" t="str">
        <f t="array" aca="1" ref="BI1551" ca="1">IFERROR(INDEX(nombres[],SMALL(IF(OFFSET(nombres[],0,0,ROWS(nombres[]),1)=BI$1490,ROW(OFFSET(nombres[],0,0,ROWS(nombres[]),1))-ROW(OFFSET(nombres[],0,0,1,1))+1,ROW(OFFSET(nombres[],ROWS(nombres[])-1,0,1,1))+1),$O1551:$O1570),3),"")</f>
        <v/>
      </c>
      <c r="BJ1551" s="42" t="str">
        <f t="array" aca="1" ref="BJ1551" ca="1">IFERROR(INDEX(nombres[],SMALL(IF(OFFSET(nombres[],0,0,ROWS(nombres[]),1)=BJ$1490,ROW(OFFSET(nombres[],0,0,ROWS(nombres[]),1))-ROW(OFFSET(nombres[],0,0,1,1))+1,ROW(OFFSET(nombres[],ROWS(nombres[])-1,0,1,1))+1),$O1551:$O1570),3),"")</f>
        <v/>
      </c>
      <c r="BK1551" s="42" t="str">
        <f t="array" aca="1" ref="BK1551" ca="1">IFERROR(INDEX(nombres[],SMALL(IF(OFFSET(nombres[],0,0,ROWS(nombres[]),1)=BK$1490,ROW(OFFSET(nombres[],0,0,ROWS(nombres[]),1))-ROW(OFFSET(nombres[],0,0,1,1))+1,ROW(OFFSET(nombres[],ROWS(nombres[])-1,0,1,1))+1),$O1551:$O1570),3),"")</f>
        <v/>
      </c>
      <c r="BL1551" s="42" t="str">
        <f t="array" aca="1" ref="BL1551" ca="1">IFERROR(INDEX(nombres[],SMALL(IF(OFFSET(nombres[],0,0,ROWS(nombres[]),1)=BL$1490,ROW(OFFSET(nombres[],0,0,ROWS(nombres[]),1))-ROW(OFFSET(nombres[],0,0,1,1))+1,ROW(OFFSET(nombres[],ROWS(nombres[])-1,0,1,1))+1),$O1551:$O1570),3),"")</f>
        <v/>
      </c>
      <c r="BM1551" s="42" t="str">
        <f t="array" aca="1" ref="BM1551" ca="1">IFERROR(INDEX(nombres[],SMALL(IF(OFFSET(nombres[],0,0,ROWS(nombres[]),1)=BM$1490,ROW(OFFSET(nombres[],0,0,ROWS(nombres[]),1))-ROW(OFFSET(nombres[],0,0,1,1))+1,ROW(OFFSET(nombres[],ROWS(nombres[])-1,0,1,1))+1),$O1551:$O1570),3),"")</f>
        <v/>
      </c>
      <c r="BN1551" s="42" t="str">
        <f t="array" aca="1" ref="BN1551" ca="1">IFERROR(INDEX(nombres[],SMALL(IF(OFFSET(nombres[],0,0,ROWS(nombres[]),1)=BN$1490,ROW(OFFSET(nombres[],0,0,ROWS(nombres[]),1))-ROW(OFFSET(nombres[],0,0,1,1))+1,ROW(OFFSET(nombres[],ROWS(nombres[])-1,0,1,1))+1),$O1551:$O1570),3),"")</f>
        <v/>
      </c>
      <c r="BO1551" s="42" t="str">
        <f t="array" aca="1" ref="BO1551" ca="1">IFERROR(INDEX(nombres[],SMALL(IF(OFFSET(nombres[],0,0,ROWS(nombres[]),1)=BO$1490,ROW(OFFSET(nombres[],0,0,ROWS(nombres[]),1))-ROW(OFFSET(nombres[],0,0,1,1))+1,ROW(OFFSET(nombres[],ROWS(nombres[])-1,0,1,1))+1),$O1551:$O1570),3),"")</f>
        <v/>
      </c>
      <c r="BP1551" s="42" t="str">
        <f t="array" aca="1" ref="BP1551" ca="1">IFERROR(INDEX(nombres[],SMALL(IF(OFFSET(nombres[],0,0,ROWS(nombres[]),1)=BP$1490,ROW(OFFSET(nombres[],0,0,ROWS(nombres[]),1))-ROW(OFFSET(nombres[],0,0,1,1))+1,ROW(OFFSET(nombres[],ROWS(nombres[])-1,0,1,1))+1),$O1551:$O1570),3),"")</f>
        <v/>
      </c>
      <c r="BQ1551" s="42" t="str">
        <f t="array" aca="1" ref="BQ1551" ca="1">IFERROR(INDEX(nombres[],SMALL(IF(OFFSET(nombres[],0,0,ROWS(nombres[]),1)=BQ$1490,ROW(OFFSET(nombres[],0,0,ROWS(nombres[]),1))-ROW(OFFSET(nombres[],0,0,1,1))+1,ROW(OFFSET(nombres[],ROWS(nombres[])-1,0,1,1))+1),$O1551:$O1570),3),"")</f>
        <v/>
      </c>
      <c r="BR1551" s="42" t="str">
        <f t="array" aca="1" ref="BR1551" ca="1">IFERROR(INDEX(nombres[],SMALL(IF(OFFSET(nombres[],0,0,ROWS(nombres[]),1)=BR$1490,ROW(OFFSET(nombres[],0,0,ROWS(nombres[]),1))-ROW(OFFSET(nombres[],0,0,1,1))+1,ROW(OFFSET(nombres[],ROWS(nombres[])-1,0,1,1))+1),$O1551:$O1570),3),"")</f>
        <v/>
      </c>
      <c r="BS1551" s="42" t="str">
        <f t="array" aca="1" ref="BS1551" ca="1">IFERROR(INDEX(nombres[],SMALL(IF(OFFSET(nombres[],0,0,ROWS(nombres[]),1)=BS$1490,ROW(OFFSET(nombres[],0,0,ROWS(nombres[]),1))-ROW(OFFSET(nombres[],0,0,1,1))+1,ROW(OFFSET(nombres[],ROWS(nombres[])-1,0,1,1))+1),$O1551:$O1570),3),"")</f>
        <v/>
      </c>
      <c r="BT1551" s="42" t="str">
        <f t="array" aca="1" ref="BT1551" ca="1">IFERROR(INDEX(nombres[],SMALL(IF(OFFSET(nombres[],0,0,ROWS(nombres[]),1)=BT$1490,ROW(OFFSET(nombres[],0,0,ROWS(nombres[]),1))-ROW(OFFSET(nombres[],0,0,1,1))+1,ROW(OFFSET(nombres[],ROWS(nombres[])-1,0,1,1))+1),$O1551:$O1570),3),"")</f>
        <v/>
      </c>
      <c r="BU1551" s="42" t="str">
        <f t="array" aca="1" ref="BU1551" ca="1">IFERROR(INDEX(nombres[],SMALL(IF(OFFSET(nombres[],0,0,ROWS(nombres[]),1)=BU$1490,ROW(OFFSET(nombres[],0,0,ROWS(nombres[]),1))-ROW(OFFSET(nombres[],0,0,1,1))+1,ROW(OFFSET(nombres[],ROWS(nombres[])-1,0,1,1))+1),$O1551:$O1570),3),"")</f>
        <v/>
      </c>
      <c r="BV1551" s="42" t="str">
        <f t="array" aca="1" ref="BV1551" ca="1">IFERROR(INDEX(nombres[],SMALL(IF(OFFSET(nombres[],0,0,ROWS(nombres[]),1)=BV$1490,ROW(OFFSET(nombres[],0,0,ROWS(nombres[]),1))-ROW(OFFSET(nombres[],0,0,1,1))+1,ROW(OFFSET(nombres[],ROWS(nombres[])-1,0,1,1))+1),$O1551:$O1570),3),"")</f>
        <v/>
      </c>
      <c r="BW1551" s="42" t="str">
        <f t="array" aca="1" ref="BW1551" ca="1">IFERROR(INDEX(nombres[],SMALL(IF(OFFSET(nombres[],0,0,ROWS(nombres[]),1)=BW$1490,ROW(OFFSET(nombres[],0,0,ROWS(nombres[]),1))-ROW(OFFSET(nombres[],0,0,1,1))+1,ROW(OFFSET(nombres[],ROWS(nombres[])-1,0,1,1))+1),$O1551:$O1570),3),"")</f>
        <v/>
      </c>
      <c r="BX1551" s="42" t="str">
        <f t="array" aca="1" ref="BX1551" ca="1">IFERROR(INDEX(nombres[],SMALL(IF(OFFSET(nombres[],0,0,ROWS(nombres[]),1)=BX$1490,ROW(OFFSET(nombres[],0,0,ROWS(nombres[]),1))-ROW(OFFSET(nombres[],0,0,1,1))+1,ROW(OFFSET(nombres[],ROWS(nombres[])-1,0,1,1))+1),$O1551:$O1570),3),"")</f>
        <v/>
      </c>
      <c r="BY1551" s="42" t="str">
        <f t="array" aca="1" ref="BY1551" ca="1">IFERROR(INDEX(nombres[],SMALL(IF(OFFSET(nombres[],0,0,ROWS(nombres[]),1)=BY$1490,ROW(OFFSET(nombres[],0,0,ROWS(nombres[]),1))-ROW(OFFSET(nombres[],0,0,1,1))+1,ROW(OFFSET(nombres[],ROWS(nombres[])-1,0,1,1))+1),$O1551:$O1570),3),"")</f>
        <v/>
      </c>
      <c r="BZ1551" s="42" t="str">
        <f t="array" aca="1" ref="BZ1551" ca="1">IFERROR(INDEX(nombres[],SMALL(IF(OFFSET(nombres[],0,0,ROWS(nombres[]),1)=BZ$1490,ROW(OFFSET(nombres[],0,0,ROWS(nombres[]),1))-ROW(OFFSET(nombres[],0,0,1,1))+1,ROW(OFFSET(nombres[],ROWS(nombres[])-1,0,1,1))+1),$O1551:$O1570),3),"")</f>
        <v/>
      </c>
      <c r="CA1551" s="42" t="str">
        <f t="array" aca="1" ref="CA1551" ca="1">IFERROR(INDEX(nombres[],SMALL(IF(OFFSET(nombres[],0,0,ROWS(nombres[]),1)=CA$1490,ROW(OFFSET(nombres[],0,0,ROWS(nombres[]),1))-ROW(OFFSET(nombres[],0,0,1,1))+1,ROW(OFFSET(nombres[],ROWS(nombres[])-1,0,1,1))+1),$O1551:$O1570),3),"")</f>
        <v/>
      </c>
      <c r="CB1551" s="42" t="str">
        <f t="array" aca="1" ref="CB1551" ca="1">IFERROR(INDEX(nombres[],SMALL(IF(OFFSET(nombres[],0,0,ROWS(nombres[]),1)=CB$1490,ROW(OFFSET(nombres[],0,0,ROWS(nombres[]),1))-ROW(OFFSET(nombres[],0,0,1,1))+1,ROW(OFFSET(nombres[],ROWS(nombres[])-1,0,1,1))+1),$O1551:$O1570),3),"")</f>
        <v/>
      </c>
      <c r="CC1551" s="42" t="str">
        <f t="array" aca="1" ref="CC1551" ca="1">IFERROR(INDEX(nombres[],SMALL(IF(OFFSET(nombres[],0,0,ROWS(nombres[]),1)=CC$1490,ROW(OFFSET(nombres[],0,0,ROWS(nombres[]),1))-ROW(OFFSET(nombres[],0,0,1,1))+1,ROW(OFFSET(nombres[],ROWS(nombres[])-1,0,1,1))+1),$O1551:$O1570),3),"")</f>
        <v/>
      </c>
      <c r="CD1551" s="42" t="str">
        <f t="array" aca="1" ref="CD1551" ca="1">IFERROR(INDEX(nombres[],SMALL(IF(OFFSET(nombres[],0,0,ROWS(nombres[]),1)=CD$1490,ROW(OFFSET(nombres[],0,0,ROWS(nombres[]),1))-ROW(OFFSET(nombres[],0,0,1,1))+1,ROW(OFFSET(nombres[],ROWS(nombres[])-1,0,1,1))+1),$O1551:$O1570),3),"")</f>
        <v/>
      </c>
      <c r="CE1551" s="42" t="str">
        <f t="array" aca="1" ref="CE1551" ca="1">IFERROR(INDEX(nombres[],SMALL(IF(OFFSET(nombres[],0,0,ROWS(nombres[]),1)=CE$1490,ROW(OFFSET(nombres[],0,0,ROWS(nombres[]),1))-ROW(OFFSET(nombres[],0,0,1,1))+1,ROW(OFFSET(nombres[],ROWS(nombres[])-1,0,1,1))+1),$O1551:$O1570),3),"")</f>
        <v/>
      </c>
      <c r="CF1551" s="42" t="str">
        <f t="array" aca="1" ref="CF1551" ca="1">IFERROR(INDEX(nombres[],SMALL(IF(OFFSET(nombres[],0,0,ROWS(nombres[]),1)=CF$1490,ROW(OFFSET(nombres[],0,0,ROWS(nombres[]),1))-ROW(OFFSET(nombres[],0,0,1,1))+1,ROW(OFFSET(nombres[],ROWS(nombres[])-1,0,1,1))+1),$O1551:$O1570),3),"")</f>
        <v/>
      </c>
      <c r="CG1551" s="42" t="str">
        <f t="array" aca="1" ref="CG1551" ca="1">IFERROR(INDEX(nombres[],SMALL(IF(OFFSET(nombres[],0,0,ROWS(nombres[]),1)=CG$1490,ROW(OFFSET(nombres[],0,0,ROWS(nombres[]),1))-ROW(OFFSET(nombres[],0,0,1,1))+1,ROW(OFFSET(nombres[],ROWS(nombres[])-1,0,1,1))+1),$O1551:$O1570),3),"")</f>
        <v/>
      </c>
      <c r="CH1551" s="42" t="str">
        <f t="array" aca="1" ref="CH1551" ca="1">IFERROR(INDEX(nombres[],SMALL(IF(OFFSET(nombres[],0,0,ROWS(nombres[]),1)=CH$1490,ROW(OFFSET(nombres[],0,0,ROWS(nombres[]),1))-ROW(OFFSET(nombres[],0,0,1,1))+1,ROW(OFFSET(nombres[],ROWS(nombres[])-1,0,1,1))+1),$O1551:$O1570),3),"")</f>
        <v/>
      </c>
      <c r="CI1551" s="42" t="str">
        <f t="array" aca="1" ref="CI1551" ca="1">IFERROR(INDEX(nombres[],SMALL(IF(OFFSET(nombres[],0,0,ROWS(nombres[]),1)=CI$1490,ROW(OFFSET(nombres[],0,0,ROWS(nombres[]),1))-ROW(OFFSET(nombres[],0,0,1,1))+1,ROW(OFFSET(nombres[],ROWS(nombres[])-1,0,1,1))+1),$O1551:$O1570),3),"")</f>
        <v/>
      </c>
      <c r="CJ1551" s="42" t="str">
        <f t="array" aca="1" ref="CJ1551" ca="1">IFERROR(INDEX(nombres[],SMALL(IF(OFFSET(nombres[],0,0,ROWS(nombres[]),1)=CJ$1490,ROW(OFFSET(nombres[],0,0,ROWS(nombres[]),1))-ROW(OFFSET(nombres[],0,0,1,1))+1,ROW(OFFSET(nombres[],ROWS(nombres[])-1,0,1,1))+1),$O1551:$O1570),3),"")</f>
        <v/>
      </c>
      <c r="CK1551" s="42" t="str">
        <f t="array" aca="1" ref="CK1551" ca="1">IFERROR(INDEX(nombres[],SMALL(IF(OFFSET(nombres[],0,0,ROWS(nombres[]),1)=CK$1490,ROW(OFFSET(nombres[],0,0,ROWS(nombres[]),1))-ROW(OFFSET(nombres[],0,0,1,1))+1,ROW(OFFSET(nombres[],ROWS(nombres[])-1,0,1,1))+1),$O1551:$O1570),3),"")</f>
        <v/>
      </c>
      <c r="CL1551" s="42" t="str">
        <f t="array" aca="1" ref="CL1551" ca="1">IFERROR(INDEX(nombres[],SMALL(IF(OFFSET(nombres[],0,0,ROWS(nombres[]),1)=CL$1490,ROW(OFFSET(nombres[],0,0,ROWS(nombres[]),1))-ROW(OFFSET(nombres[],0,0,1,1))+1,ROW(OFFSET(nombres[],ROWS(nombres[])-1,0,1,1))+1),$O1551:$O1570),3),"")</f>
        <v/>
      </c>
      <c r="CM1551" s="42" t="str">
        <f t="array" aca="1" ref="CM1551" ca="1">IFERROR(INDEX(nombres[],SMALL(IF(OFFSET(nombres[],0,0,ROWS(nombres[]),1)=CM$1490,ROW(OFFSET(nombres[],0,0,ROWS(nombres[]),1))-ROW(OFFSET(nombres[],0,0,1,1))+1,ROW(OFFSET(nombres[],ROWS(nombres[])-1,0,1,1))+1),$O1551:$O1570),3),"")</f>
        <v/>
      </c>
      <c r="CN1551" s="42" t="str">
        <f t="array" aca="1" ref="CN1551" ca="1">IFERROR(INDEX(nombres[],SMALL(IF(OFFSET(nombres[],0,0,ROWS(nombres[]),1)=CN$1490,ROW(OFFSET(nombres[],0,0,ROWS(nombres[]),1))-ROW(OFFSET(nombres[],0,0,1,1))+1,ROW(OFFSET(nombres[],ROWS(nombres[])-1,0,1,1))+1),$O1551:$O1570),3),"")</f>
        <v/>
      </c>
      <c r="CO1551" s="42" t="str">
        <f t="array" aca="1" ref="CO1551" ca="1">IFERROR(INDEX(nombres[],SMALL(IF(OFFSET(nombres[],0,0,ROWS(nombres[]),1)=CO$1490,ROW(OFFSET(nombres[],0,0,ROWS(nombres[]),1))-ROW(OFFSET(nombres[],0,0,1,1))+1,ROW(OFFSET(nombres[],ROWS(nombres[])-1,0,1,1))+1),$O1551:$O1570),3),"")</f>
        <v/>
      </c>
      <c r="CP1551" s="42" t="str">
        <f t="array" aca="1" ref="CP1551" ca="1">IFERROR(INDEX(nombres[],SMALL(IF(OFFSET(nombres[],0,0,ROWS(nombres[]),1)=CP$1490,ROW(OFFSET(nombres[],0,0,ROWS(nombres[]),1))-ROW(OFFSET(nombres[],0,0,1,1))+1,ROW(OFFSET(nombres[],ROWS(nombres[])-1,0,1,1))+1),$O1551:$O1570),3),"")</f>
        <v/>
      </c>
      <c r="CQ1551" s="42" t="str">
        <f t="array" aca="1" ref="CQ1551" ca="1">IFERROR(INDEX(nombres[],SMALL(IF(OFFSET(nombres[],0,0,ROWS(nombres[]),1)=CQ$1490,ROW(OFFSET(nombres[],0,0,ROWS(nombres[]),1))-ROW(OFFSET(nombres[],0,0,1,1))+1,ROW(OFFSET(nombres[],ROWS(nombres[])-1,0,1,1))+1),$O1551:$O1570),3),"")</f>
        <v/>
      </c>
      <c r="CR1551" s="42" t="str">
        <f t="array" aca="1" ref="CR1551" ca="1">IFERROR(INDEX(nombres[],SMALL(IF(OFFSET(nombres[],0,0,ROWS(nombres[]),1)=CR$1490,ROW(OFFSET(nombres[],0,0,ROWS(nombres[]),1))-ROW(OFFSET(nombres[],0,0,1,1))+1,ROW(OFFSET(nombres[],ROWS(nombres[])-1,0,1,1))+1),$O1551:$O1570),3),"")</f>
        <v/>
      </c>
      <c r="CS1551" s="42" t="str">
        <f t="array" aca="1" ref="CS1551" ca="1">IFERROR(INDEX(nombres[],SMALL(IF(OFFSET(nombres[],0,0,ROWS(nombres[]),1)=CS$1490,ROW(OFFSET(nombres[],0,0,ROWS(nombres[]),1))-ROW(OFFSET(nombres[],0,0,1,1))+1,ROW(OFFSET(nombres[],ROWS(nombres[])-1,0,1,1))+1),$O1551:$O1570),3),"")</f>
        <v/>
      </c>
      <c r="CT1551" s="42" t="str">
        <f t="array" aca="1" ref="CT1551" ca="1">IFERROR(INDEX(nombres[],SMALL(IF(OFFSET(nombres[],0,0,ROWS(nombres[]),1)=CT$1490,ROW(OFFSET(nombres[],0,0,ROWS(nombres[]),1))-ROW(OFFSET(nombres[],0,0,1,1))+1,ROW(OFFSET(nombres[],ROWS(nombres[])-1,0,1,1))+1),$O1551:$O1570),3),"")</f>
        <v/>
      </c>
      <c r="CU1551" s="42" t="str">
        <f t="array" aca="1" ref="CU1551" ca="1">IFERROR(INDEX(nombres[],SMALL(IF(OFFSET(nombres[],0,0,ROWS(nombres[]),1)=CU$1490,ROW(OFFSET(nombres[],0,0,ROWS(nombres[]),1))-ROW(OFFSET(nombres[],0,0,1,1))+1,ROW(OFFSET(nombres[],ROWS(nombres[])-1,0,1,1))+1),$O1551:$O1570),3),"")</f>
        <v/>
      </c>
      <c r="CV1551" s="42" t="str">
        <f t="array" aca="1" ref="CV1551" ca="1">IFERROR(INDEX(nombres[],SMALL(IF(OFFSET(nombres[],0,0,ROWS(nombres[]),1)=CV$1490,ROW(OFFSET(nombres[],0,0,ROWS(nombres[]),1))-ROW(OFFSET(nombres[],0,0,1,1))+1,ROW(OFFSET(nombres[],ROWS(nombres[])-1,0,1,1))+1),$O1551:$O1570),3),"")</f>
        <v/>
      </c>
      <c r="CW1551" s="42" t="str">
        <f t="array" aca="1" ref="CW1551" ca="1">IFERROR(INDEX(nombres[],SMALL(IF(OFFSET(nombres[],0,0,ROWS(nombres[]),1)=CW$1490,ROW(OFFSET(nombres[],0,0,ROWS(nombres[]),1))-ROW(OFFSET(nombres[],0,0,1,1))+1,ROW(OFFSET(nombres[],ROWS(nombres[])-1,0,1,1))+1),$O1551:$O1570),3),"")</f>
        <v/>
      </c>
      <c r="CX1551" s="42" t="str">
        <f t="array" aca="1" ref="CX1551" ca="1">IFERROR(INDEX(nombres[],SMALL(IF(OFFSET(nombres[],0,0,ROWS(nombres[]),1)=CX$1490,ROW(OFFSET(nombres[],0,0,ROWS(nombres[]),1))-ROW(OFFSET(nombres[],0,0,1,1))+1,ROW(OFFSET(nombres[],ROWS(nombres[])-1,0,1,1))+1),$O1551:$O1570),3),"")</f>
        <v/>
      </c>
      <c r="CY1551" s="42" t="str">
        <f t="array" aca="1" ref="CY1551" ca="1">IFERROR(INDEX(nombres[],SMALL(IF(OFFSET(nombres[],0,0,ROWS(nombres[]),1)=CY$1490,ROW(OFFSET(nombres[],0,0,ROWS(nombres[]),1))-ROW(OFFSET(nombres[],0,0,1,1))+1,ROW(OFFSET(nombres[],ROWS(nombres[])-1,0,1,1))+1),$O1551:$O1570),3),"")</f>
        <v/>
      </c>
      <c r="CZ1551" s="42" t="str">
        <f t="array" aca="1" ref="CZ1551" ca="1">IFERROR(INDEX(nombres[],SMALL(IF(OFFSET(nombres[],0,0,ROWS(nombres[]),1)=CZ$1490,ROW(OFFSET(nombres[],0,0,ROWS(nombres[]),1))-ROW(OFFSET(nombres[],0,0,1,1))+1,ROW(OFFSET(nombres[],ROWS(nombres[])-1,0,1,1))+1),$O1551:$O1570),3),"")</f>
        <v/>
      </c>
      <c r="DA1551" s="42" t="str">
        <f t="array" aca="1" ref="DA1551" ca="1">IFERROR(INDEX(nombres[],SMALL(IF(OFFSET(nombres[],0,0,ROWS(nombres[]),1)=DA$1490,ROW(OFFSET(nombres[],0,0,ROWS(nombres[]),1))-ROW(OFFSET(nombres[],0,0,1,1))+1,ROW(OFFSET(nombres[],ROWS(nombres[])-1,0,1,1))+1),$O1551:$O1570),3),"")</f>
        <v/>
      </c>
      <c r="DB1551" s="42" t="str">
        <f t="array" aca="1" ref="DB1551" ca="1">IFERROR(INDEX(nombres[],SMALL(IF(OFFSET(nombres[],0,0,ROWS(nombres[]),1)=DB$1490,ROW(OFFSET(nombres[],0,0,ROWS(nombres[]),1))-ROW(OFFSET(nombres[],0,0,1,1))+1,ROW(OFFSET(nombres[],ROWS(nombres[])-1,0,1,1))+1),$O1551:$O1570),3),"")</f>
        <v/>
      </c>
      <c r="DC1551" s="42" t="str">
        <f t="array" aca="1" ref="DC1551" ca="1">IFERROR(INDEX(nombres[],SMALL(IF(OFFSET(nombres[],0,0,ROWS(nombres[]),1)=DC$1490,ROW(OFFSET(nombres[],0,0,ROWS(nombres[]),1))-ROW(OFFSET(nombres[],0,0,1,1))+1,ROW(OFFSET(nombres[],ROWS(nombres[])-1,0,1,1))+1),$O1551:$O1570),3),"")</f>
        <v/>
      </c>
      <c r="DD1551" s="42" t="str">
        <f t="array" aca="1" ref="DD1551" ca="1">IFERROR(INDEX(nombres[],SMALL(IF(OFFSET(nombres[],0,0,ROWS(nombres[]),1)=DD$1490,ROW(OFFSET(nombres[],0,0,ROWS(nombres[]),1))-ROW(OFFSET(nombres[],0,0,1,1))+1,ROW(OFFSET(nombres[],ROWS(nombres[])-1,0,1,1))+1),$O1551:$O1570),3),"")</f>
        <v/>
      </c>
      <c r="DE1551" s="42" t="str">
        <f t="array" aca="1" ref="DE1551" ca="1">IFERROR(INDEX(nombres[],SMALL(IF(OFFSET(nombres[],0,0,ROWS(nombres[]),1)=DE$1490,ROW(OFFSET(nombres[],0,0,ROWS(nombres[]),1))-ROW(OFFSET(nombres[],0,0,1,1))+1,ROW(OFFSET(nombres[],ROWS(nombres[])-1,0,1,1))+1),$O1551:$O1570),3),"")</f>
        <v/>
      </c>
      <c r="DF1551" s="42" t="str">
        <f t="array" aca="1" ref="DF1551" ca="1">IFERROR(INDEX(nombres[],SMALL(IF(OFFSET(nombres[],0,0,ROWS(nombres[]),1)=DF$1490,ROW(OFFSET(nombres[],0,0,ROWS(nombres[]),1))-ROW(OFFSET(nombres[],0,0,1,1))+1,ROW(OFFSET(nombres[],ROWS(nombres[])-1,0,1,1))+1),$O1551:$O1570),3),"")</f>
        <v/>
      </c>
      <c r="DG1551" s="42" t="str">
        <f t="array" aca="1" ref="DG1551" ca="1">IFERROR(INDEX(nombres[],SMALL(IF(OFFSET(nombres[],0,0,ROWS(nombres[]),1)=DG$1490,ROW(OFFSET(nombres[],0,0,ROWS(nombres[]),1))-ROW(OFFSET(nombres[],0,0,1,1))+1,ROW(OFFSET(nombres[],ROWS(nombres[])-1,0,1,1))+1),$O1551:$O1570),3),"")</f>
        <v/>
      </c>
      <c r="DH1551" s="42" t="str">
        <f t="array" aca="1" ref="DH1551" ca="1">IFERROR(INDEX(nombres[],SMALL(IF(OFFSET(nombres[],0,0,ROWS(nombres[]),1)=DH$1490,ROW(OFFSET(nombres[],0,0,ROWS(nombres[]),1))-ROW(OFFSET(nombres[],0,0,1,1))+1,ROW(OFFSET(nombres[],ROWS(nombres[])-1,0,1,1))+1),$O1551:$O1570),3),"")</f>
        <v/>
      </c>
      <c r="DI1551" s="42" t="str">
        <f t="array" aca="1" ref="DI1551" ca="1">IFERROR(INDEX(nombres[],SMALL(IF(OFFSET(nombres[],0,0,ROWS(nombres[]),1)=DI$1490,ROW(OFFSET(nombres[],0,0,ROWS(nombres[]),1))-ROW(OFFSET(nombres[],0,0,1,1))+1,ROW(OFFSET(nombres[],ROWS(nombres[])-1,0,1,1))+1),$O1551:$O1570),3),"")</f>
        <v/>
      </c>
      <c r="DJ1551" s="42" t="str">
        <f t="array" aca="1" ref="DJ1551" ca="1">IFERROR(INDEX(nombres[],SMALL(IF(OFFSET(nombres[],0,0,ROWS(nombres[]),1)=DJ$1490,ROW(OFFSET(nombres[],0,0,ROWS(nombres[]),1))-ROW(OFFSET(nombres[],0,0,1,1))+1,ROW(OFFSET(nombres[],ROWS(nombres[])-1,0,1,1))+1),$O1551:$O1570),3),"")</f>
        <v/>
      </c>
      <c r="DK1551" s="42" t="str">
        <f t="array" aca="1" ref="DK1551" ca="1">IFERROR(INDEX(nombres[],SMALL(IF(OFFSET(nombres[],0,0,ROWS(nombres[]),1)=DK$1490,ROW(OFFSET(nombres[],0,0,ROWS(nombres[]),1))-ROW(OFFSET(nombres[],0,0,1,1))+1,ROW(OFFSET(nombres[],ROWS(nombres[])-1,0,1,1))+1),$O1551:$O1570),3),"")</f>
        <v/>
      </c>
      <c r="DL1551" s="42" t="str">
        <f t="array" aca="1" ref="DL1551" ca="1">IFERROR(INDEX(nombres[],SMALL(IF(OFFSET(nombres[],0,0,ROWS(nombres[]),1)=DL$1490,ROW(OFFSET(nombres[],0,0,ROWS(nombres[]),1))-ROW(OFFSET(nombres[],0,0,1,1))+1,ROW(OFFSET(nombres[],ROWS(nombres[])-1,0,1,1))+1),$O1551:$O1570),3),"")</f>
        <v/>
      </c>
      <c r="DM1551" s="42" t="str">
        <f t="array" aca="1" ref="DM1551" ca="1">IFERROR(INDEX(nombres[],SMALL(IF(OFFSET(nombres[],0,0,ROWS(nombres[]),1)=DM$1490,ROW(OFFSET(nombres[],0,0,ROWS(nombres[]),1))-ROW(OFFSET(nombres[],0,0,1,1))+1,ROW(OFFSET(nombres[],ROWS(nombres[])-1,0,1,1))+1),$O1551:$O1570),3),"")</f>
        <v/>
      </c>
      <c r="DN1551" s="42" t="str">
        <f t="array" aca="1" ref="DN1551" ca="1">IFERROR(INDEX(nombres[],SMALL(IF(OFFSET(nombres[],0,0,ROWS(nombres[]),1)=DN$1490,ROW(OFFSET(nombres[],0,0,ROWS(nombres[]),1))-ROW(OFFSET(nombres[],0,0,1,1))+1,ROW(OFFSET(nombres[],ROWS(nombres[])-1,0,1,1))+1),$O1551:$O1570),3),"")</f>
        <v/>
      </c>
      <c r="DO1551" s="42" t="str">
        <f t="array" aca="1" ref="DO1551" ca="1">IFERROR(INDEX(nombres[],SMALL(IF(OFFSET(nombres[],0,0,ROWS(nombres[]),1)=DO$1490,ROW(OFFSET(nombres[],0,0,ROWS(nombres[]),1))-ROW(OFFSET(nombres[],0,0,1,1))+1,ROW(OFFSET(nombres[],ROWS(nombres[])-1,0,1,1))+1),$O1551:$O1570),3),"")</f>
        <v/>
      </c>
      <c r="DP1551" s="42" t="str">
        <f t="array" aca="1" ref="DP1551" ca="1">IFERROR(INDEX(nombres[],SMALL(IF(OFFSET(nombres[],0,0,ROWS(nombres[]),1)=DP$1490,ROW(OFFSET(nombres[],0,0,ROWS(nombres[]),1))-ROW(OFFSET(nombres[],0,0,1,1))+1,ROW(OFFSET(nombres[],ROWS(nombres[])-1,0,1,1))+1),$O1551:$O1570),3),"")</f>
        <v/>
      </c>
      <c r="DQ1551" s="42" t="str">
        <f t="array" aca="1" ref="DQ1551" ca="1">IFERROR(INDEX(nombres[],SMALL(IF(OFFSET(nombres[],0,0,ROWS(nombres[]),1)=DQ$1490,ROW(OFFSET(nombres[],0,0,ROWS(nombres[]),1))-ROW(OFFSET(nombres[],0,0,1,1))+1,ROW(OFFSET(nombres[],ROWS(nombres[])-1,0,1,1))+1),$O1551:$O1570),3),"")</f>
        <v/>
      </c>
      <c r="DR1551" s="42" t="str">
        <f t="array" aca="1" ref="DR1551" ca="1">IFERROR(INDEX(nombres[],SMALL(IF(OFFSET(nombres[],0,0,ROWS(nombres[]),1)=DR$1490,ROW(OFFSET(nombres[],0,0,ROWS(nombres[]),1))-ROW(OFFSET(nombres[],0,0,1,1))+1,ROW(OFFSET(nombres[],ROWS(nombres[])-1,0,1,1))+1),$O1551:$O1570),3),"")</f>
        <v/>
      </c>
      <c r="DS1551" s="42" t="str">
        <f t="array" aca="1" ref="DS1551" ca="1">IFERROR(INDEX(nombres[],SMALL(IF(OFFSET(nombres[],0,0,ROWS(nombres[]),1)=DS$1490,ROW(OFFSET(nombres[],0,0,ROWS(nombres[]),1))-ROW(OFFSET(nombres[],0,0,1,1))+1,ROW(OFFSET(nombres[],ROWS(nombres[])-1,0,1,1))+1),$O1551:$O1570),3),"")</f>
        <v/>
      </c>
      <c r="DT1551" s="42" t="str">
        <f t="array" aca="1" ref="DT1551" ca="1">IFERROR(INDEX(nombres[],SMALL(IF(OFFSET(nombres[],0,0,ROWS(nombres[]),1)=DT$1490,ROW(OFFSET(nombres[],0,0,ROWS(nombres[]),1))-ROW(OFFSET(nombres[],0,0,1,1))+1,ROW(OFFSET(nombres[],ROWS(nombres[])-1,0,1,1))+1),$O1551:$O1570),3),"")</f>
        <v/>
      </c>
      <c r="DU1551" s="42" t="str">
        <f t="array" aca="1" ref="DU1551" ca="1">IFERROR(INDEX(nombres[],SMALL(IF(OFFSET(nombres[],0,0,ROWS(nombres[]),1)=DU$1490,ROW(OFFSET(nombres[],0,0,ROWS(nombres[]),1))-ROW(OFFSET(nombres[],0,0,1,1))+1,ROW(OFFSET(nombres[],ROWS(nombres[])-1,0,1,1))+1),$O1551:$O1570),3),"")</f>
        <v/>
      </c>
      <c r="DV1551" s="42" t="str">
        <f t="array" aca="1" ref="DV1551" ca="1">IFERROR(INDEX(nombres[],SMALL(IF(OFFSET(nombres[],0,0,ROWS(nombres[]),1)=DV$1490,ROW(OFFSET(nombres[],0,0,ROWS(nombres[]),1))-ROW(OFFSET(nombres[],0,0,1,1))+1,ROW(OFFSET(nombres[],ROWS(nombres[])-1,0,1,1))+1),$O1551:$O1570),3),"")</f>
        <v/>
      </c>
      <c r="DW1551" s="42" t="str">
        <f t="array" aca="1" ref="DW1551" ca="1">IFERROR(INDEX(nombres[],SMALL(IF(OFFSET(nombres[],0,0,ROWS(nombres[]),1)=DW$1490,ROW(OFFSET(nombres[],0,0,ROWS(nombres[]),1))-ROW(OFFSET(nombres[],0,0,1,1))+1,ROW(OFFSET(nombres[],ROWS(nombres[])-1,0,1,1))+1),$O1551:$O1570),3),"")</f>
        <v/>
      </c>
      <c r="DX1551" s="42" t="str">
        <f t="array" aca="1" ref="DX1551" ca="1">IFERROR(INDEX(nombres[],SMALL(IF(OFFSET(nombres[],0,0,ROWS(nombres[]),1)=DX$1490,ROW(OFFSET(nombres[],0,0,ROWS(nombres[]),1))-ROW(OFFSET(nombres[],0,0,1,1))+1,ROW(OFFSET(nombres[],ROWS(nombres[])-1,0,1,1))+1),$O1551:$O1570),3),"")</f>
        <v/>
      </c>
      <c r="DY1551" s="42" t="str">
        <f t="array" aca="1" ref="DY1551" ca="1">IFERROR(INDEX(nombres[],SMALL(IF(OFFSET(nombres[],0,0,ROWS(nombres[]),1)=DY$1490,ROW(OFFSET(nombres[],0,0,ROWS(nombres[]),1))-ROW(OFFSET(nombres[],0,0,1,1))+1,ROW(OFFSET(nombres[],ROWS(nombres[])-1,0,1,1))+1),$O1551:$O1570),3),"")</f>
        <v/>
      </c>
      <c r="DZ1551" s="42" t="str">
        <f t="array" aca="1" ref="DZ1551" ca="1">IFERROR(INDEX(nombres[],SMALL(IF(OFFSET(nombres[],0,0,ROWS(nombres[]),1)=DZ$1490,ROW(OFFSET(nombres[],0,0,ROWS(nombres[]),1))-ROW(OFFSET(nombres[],0,0,1,1))+1,ROW(OFFSET(nombres[],ROWS(nombres[])-1,0,1,1))+1),$O1551:$O1570),3),"")</f>
        <v/>
      </c>
      <c r="EA1551" s="42" t="str">
        <f t="array" aca="1" ref="EA1551" ca="1">IFERROR(INDEX(nombres[],SMALL(IF(OFFSET(nombres[],0,0,ROWS(nombres[]),1)=EA$1490,ROW(OFFSET(nombres[],0,0,ROWS(nombres[]),1))-ROW(OFFSET(nombres[],0,0,1,1))+1,ROW(OFFSET(nombres[],ROWS(nombres[])-1,0,1,1))+1),$O1551:$O1570),3),"")</f>
        <v/>
      </c>
      <c r="EB1551" s="42" t="str">
        <f t="array" aca="1" ref="EB1551" ca="1">IFERROR(INDEX(nombres[],SMALL(IF(OFFSET(nombres[],0,0,ROWS(nombres[]),1)=EB$1490,ROW(OFFSET(nombres[],0,0,ROWS(nombres[]),1))-ROW(OFFSET(nombres[],0,0,1,1))+1,ROW(OFFSET(nombres[],ROWS(nombres[])-1,0,1,1))+1),$O1551:$O1570),3),"")</f>
        <v/>
      </c>
      <c r="EC1551" s="42" t="str">
        <f t="array" aca="1" ref="EC1551" ca="1">IFERROR(INDEX(nombres[],SMALL(IF(OFFSET(nombres[],0,0,ROWS(nombres[]),1)=EC$1490,ROW(OFFSET(nombres[],0,0,ROWS(nombres[]),1))-ROW(OFFSET(nombres[],0,0,1,1))+1,ROW(OFFSET(nombres[],ROWS(nombres[])-1,0,1,1))+1),$O1551:$O1570),3),"")</f>
        <v/>
      </c>
      <c r="ED1551" s="42" t="str">
        <f t="array" aca="1" ref="ED1551" ca="1">IFERROR(INDEX(nombres[],SMALL(IF(OFFSET(nombres[],0,0,ROWS(nombres[]),1)=ED$1490,ROW(OFFSET(nombres[],0,0,ROWS(nombres[]),1))-ROW(OFFSET(nombres[],0,0,1,1))+1,ROW(OFFSET(nombres[],ROWS(nombres[])-1,0,1,1))+1),$O1551:$O1570),3),"")</f>
        <v/>
      </c>
      <c r="EE1551" s="42" t="str">
        <f t="array" aca="1" ref="EE1551" ca="1">IFERROR(INDEX(nombres[],SMALL(IF(OFFSET(nombres[],0,0,ROWS(nombres[]),1)=EE$1490,ROW(OFFSET(nombres[],0,0,ROWS(nombres[]),1))-ROW(OFFSET(nombres[],0,0,1,1))+1,ROW(OFFSET(nombres[],ROWS(nombres[])-1,0,1,1))+1),$O1551:$O1570),3),"")</f>
        <v/>
      </c>
      <c r="EF1551" s="42" t="str">
        <f t="array" aca="1" ref="EF1551" ca="1">IFERROR(INDEX(nombres[],SMALL(IF(OFFSET(nombres[],0,0,ROWS(nombres[]),1)=EF$1490,ROW(OFFSET(nombres[],0,0,ROWS(nombres[]),1))-ROW(OFFSET(nombres[],0,0,1,1))+1,ROW(OFFSET(nombres[],ROWS(nombres[])-1,0,1,1))+1),$O1551:$O1570),3),"")</f>
        <v/>
      </c>
      <c r="EG1551" s="42" t="str">
        <f t="array" aca="1" ref="EG1551" ca="1">IFERROR(INDEX(nombres[],SMALL(IF(OFFSET(nombres[],0,0,ROWS(nombres[]),1)=EG$1490,ROW(OFFSET(nombres[],0,0,ROWS(nombres[]),1))-ROW(OFFSET(nombres[],0,0,1,1))+1,ROW(OFFSET(nombres[],ROWS(nombres[])-1,0,1,1))+1),$O1551:$O1570),3),"")</f>
        <v/>
      </c>
      <c r="EH1551" s="42" t="str">
        <f t="array" aca="1" ref="EH1551" ca="1">IFERROR(INDEX(nombres[],SMALL(IF(OFFSET(nombres[],0,0,ROWS(nombres[]),1)=EH$1490,ROW(OFFSET(nombres[],0,0,ROWS(nombres[]),1))-ROW(OFFSET(nombres[],0,0,1,1))+1,ROW(OFFSET(nombres[],ROWS(nombres[])-1,0,1,1))+1),$O1551:$O1570),3),"")</f>
        <v/>
      </c>
      <c r="EI1551" s="42" t="str">
        <f t="array" aca="1" ref="EI1551" ca="1">IFERROR(INDEX(nombres[],SMALL(IF(OFFSET(nombres[],0,0,ROWS(nombres[]),1)=EI$1490,ROW(OFFSET(nombres[],0,0,ROWS(nombres[]),1))-ROW(OFFSET(nombres[],0,0,1,1))+1,ROW(OFFSET(nombres[],ROWS(nombres[])-1,0,1,1))+1),$O1551:$O1570),3),"")</f>
        <v/>
      </c>
      <c r="EJ1551" s="42" t="str">
        <f t="array" aca="1" ref="EJ1551" ca="1">IFERROR(INDEX(nombres[],SMALL(IF(OFFSET(nombres[],0,0,ROWS(nombres[]),1)=EJ$1490,ROW(OFFSET(nombres[],0,0,ROWS(nombres[]),1))-ROW(OFFSET(nombres[],0,0,1,1))+1,ROW(OFFSET(nombres[],ROWS(nombres[])-1,0,1,1))+1),$O1551:$O1570),3),"")</f>
        <v/>
      </c>
      <c r="EK1551" s="42" t="str">
        <f t="array" aca="1" ref="EK1551" ca="1">IFERROR(INDEX(nombres[],SMALL(IF(OFFSET(nombres[],0,0,ROWS(nombres[]),1)=EK$1490,ROW(OFFSET(nombres[],0,0,ROWS(nombres[]),1))-ROW(OFFSET(nombres[],0,0,1,1))+1,ROW(OFFSET(nombres[],ROWS(nombres[])-1,0,1,1))+1),$O1551:$O1570),3),"")</f>
        <v/>
      </c>
      <c r="EL1551" s="42" t="str">
        <f t="array" aca="1" ref="EL1551" ca="1">IFERROR(INDEX(nombres[],SMALL(IF(OFFSET(nombres[],0,0,ROWS(nombres[]),1)=EL$1490,ROW(OFFSET(nombres[],0,0,ROWS(nombres[]),1))-ROW(OFFSET(nombres[],0,0,1,1))+1,ROW(OFFSET(nombres[],ROWS(nombres[])-1,0,1,1))+1),$O1551:$O1570),3),"")</f>
        <v/>
      </c>
      <c r="EM1551" s="42" t="str">
        <f t="array" aca="1" ref="EM1551" ca="1">IFERROR(INDEX(nombres[],SMALL(IF(OFFSET(nombres[],0,0,ROWS(nombres[]),1)=EM$1490,ROW(OFFSET(nombres[],0,0,ROWS(nombres[]),1))-ROW(OFFSET(nombres[],0,0,1,1))+1,ROW(OFFSET(nombres[],ROWS(nombres[])-1,0,1,1))+1),$O1551:$O1570),3),"")</f>
        <v/>
      </c>
      <c r="EN1551" s="42" t="str">
        <f t="array" aca="1" ref="EN1551" ca="1">IFERROR(INDEX(nombres[],SMALL(IF(OFFSET(nombres[],0,0,ROWS(nombres[]),1)=EN$1490,ROW(OFFSET(nombres[],0,0,ROWS(nombres[]),1))-ROW(OFFSET(nombres[],0,0,1,1))+1,ROW(OFFSET(nombres[],ROWS(nombres[])-1,0,1,1))+1),$O1551:$O1570),3),"")</f>
        <v/>
      </c>
      <c r="EO1551" s="42" t="str">
        <f t="array" aca="1" ref="EO1551" ca="1">IFERROR(INDEX(nombres[],SMALL(IF(OFFSET(nombres[],0,0,ROWS(nombres[]),1)=EO$1490,ROW(OFFSET(nombres[],0,0,ROWS(nombres[]),1))-ROW(OFFSET(nombres[],0,0,1,1))+1,ROW(OFFSET(nombres[],ROWS(nombres[])-1,0,1,1))+1),$O1551:$O1570),3),"")</f>
        <v/>
      </c>
      <c r="EP1551" s="42" t="str">
        <f t="array" aca="1" ref="EP1551" ca="1">IFERROR(INDEX(nombres[],SMALL(IF(OFFSET(nombres[],0,0,ROWS(nombres[]),1)=EP$1490,ROW(OFFSET(nombres[],0,0,ROWS(nombres[]),1))-ROW(OFFSET(nombres[],0,0,1,1))+1,ROW(OFFSET(nombres[],ROWS(nombres[])-1,0,1,1))+1),$O1551:$O1570),3),"")</f>
        <v/>
      </c>
      <c r="EQ1551" s="42" t="str">
        <f t="array" aca="1" ref="EQ1551" ca="1">IFERROR(INDEX(nombres[],SMALL(IF(OFFSET(nombres[],0,0,ROWS(nombres[]),1)=EQ$1490,ROW(OFFSET(nombres[],0,0,ROWS(nombres[]),1))-ROW(OFFSET(nombres[],0,0,1,1))+1,ROW(OFFSET(nombres[],ROWS(nombres[])-1,0,1,1))+1),$O1551:$O1570),3),"")</f>
        <v/>
      </c>
      <c r="ER1551" s="42" t="str">
        <f t="array" aca="1" ref="ER1551" ca="1">IFERROR(INDEX(nombres[],SMALL(IF(OFFSET(nombres[],0,0,ROWS(nombres[]),1)=ER$1490,ROW(OFFSET(nombres[],0,0,ROWS(nombres[]),1))-ROW(OFFSET(nombres[],0,0,1,1))+1,ROW(OFFSET(nombres[],ROWS(nombres[])-1,0,1,1))+1),$O1551:$O1570),3),"")</f>
        <v/>
      </c>
      <c r="ES1551" s="42" t="str">
        <f t="array" aca="1" ref="ES1551" ca="1">IFERROR(INDEX(nombres[],SMALL(IF(OFFSET(nombres[],0,0,ROWS(nombres[]),1)=ES$1490,ROW(OFFSET(nombres[],0,0,ROWS(nombres[]),1))-ROW(OFFSET(nombres[],0,0,1,1))+1,ROW(OFFSET(nombres[],ROWS(nombres[])-1,0,1,1))+1),$O1551:$O1570),3),"")</f>
        <v/>
      </c>
      <c r="ET1551" s="42" t="str">
        <f t="array" aca="1" ref="ET1551" ca="1">IFERROR(INDEX(nombres[],SMALL(IF(OFFSET(nombres[],0,0,ROWS(nombres[]),1)=ET$1490,ROW(OFFSET(nombres[],0,0,ROWS(nombres[]),1))-ROW(OFFSET(nombres[],0,0,1,1))+1,ROW(OFFSET(nombres[],ROWS(nombres[])-1,0,1,1))+1),$O1551:$O1570),3),"")</f>
        <v/>
      </c>
      <c r="EU1551" s="42" t="str">
        <f t="array" aca="1" ref="EU1551" ca="1">IFERROR(INDEX(nombres[],SMALL(IF(OFFSET(nombres[],0,0,ROWS(nombres[]),1)=EU$1490,ROW(OFFSET(nombres[],0,0,ROWS(nombres[]),1))-ROW(OFFSET(nombres[],0,0,1,1))+1,ROW(OFFSET(nombres[],ROWS(nombres[])-1,0,1,1))+1),$O1551:$O1570),3),"")</f>
        <v/>
      </c>
      <c r="EV1551" s="42" t="str">
        <f t="array" aca="1" ref="EV1551" ca="1">IFERROR(INDEX(nombres[],SMALL(IF(OFFSET(nombres[],0,0,ROWS(nombres[]),1)=EV$1490,ROW(OFFSET(nombres[],0,0,ROWS(nombres[]),1))-ROW(OFFSET(nombres[],0,0,1,1))+1,ROW(OFFSET(nombres[],ROWS(nombres[])-1,0,1,1))+1),$O1551:$O1570),3),"")</f>
        <v/>
      </c>
      <c r="EW1551" s="42" t="str">
        <f t="array" aca="1" ref="EW1551" ca="1">IFERROR(INDEX(nombres[],SMALL(IF(OFFSET(nombres[],0,0,ROWS(nombres[]),1)=EW$1490,ROW(OFFSET(nombres[],0,0,ROWS(nombres[]),1))-ROW(OFFSET(nombres[],0,0,1,1))+1,ROW(OFFSET(nombres[],ROWS(nombres[])-1,0,1,1))+1),$O1551:$O1570),3),"")</f>
        <v/>
      </c>
      <c r="EX1551" s="42" t="str">
        <f t="array" aca="1" ref="EX1551" ca="1">IFERROR(INDEX(nombres[],SMALL(IF(OFFSET(nombres[],0,0,ROWS(nombres[]),1)=EX$1490,ROW(OFFSET(nombres[],0,0,ROWS(nombres[]),1))-ROW(OFFSET(nombres[],0,0,1,1))+1,ROW(OFFSET(nombres[],ROWS(nombres[])-1,0,1,1))+1),$O1551:$O1570),3),"")</f>
        <v/>
      </c>
      <c r="EY1551" s="42" t="str">
        <f t="array" aca="1" ref="EY1551" ca="1">IFERROR(INDEX(nombres[],SMALL(IF(OFFSET(nombres[],0,0,ROWS(nombres[]),1)=EY$1490,ROW(OFFSET(nombres[],0,0,ROWS(nombres[]),1))-ROW(OFFSET(nombres[],0,0,1,1))+1,ROW(OFFSET(nombres[],ROWS(nombres[])-1,0,1,1))+1),$O1551:$O1570),3),"")</f>
        <v/>
      </c>
      <c r="EZ1551" s="42" t="str">
        <f t="array" aca="1" ref="EZ1551" ca="1">IFERROR(INDEX(nombres[],SMALL(IF(OFFSET(nombres[],0,0,ROWS(nombres[]),1)=EZ$1490,ROW(OFFSET(nombres[],0,0,ROWS(nombres[]),1))-ROW(OFFSET(nombres[],0,0,1,1))+1,ROW(OFFSET(nombres[],ROWS(nombres[])-1,0,1,1))+1),$O1551:$O1570),3),"")</f>
        <v/>
      </c>
      <c r="FA1551" s="42" t="str">
        <f t="array" aca="1" ref="FA1551" ca="1">IFERROR(INDEX(nombres[],SMALL(IF(OFFSET(nombres[],0,0,ROWS(nombres[]),1)=FA$1490,ROW(OFFSET(nombres[],0,0,ROWS(nombres[]),1))-ROW(OFFSET(nombres[],0,0,1,1))+1,ROW(OFFSET(nombres[],ROWS(nombres[])-1,0,1,1))+1),$O1551:$O1570),3),"")</f>
        <v/>
      </c>
      <c r="FB1551" s="42" t="str">
        <f t="array" aca="1" ref="FB1551" ca="1">IFERROR(INDEX(nombres[],SMALL(IF(OFFSET(nombres[],0,0,ROWS(nombres[]),1)=FB$1490,ROW(OFFSET(nombres[],0,0,ROWS(nombres[]),1))-ROW(OFFSET(nombres[],0,0,1,1))+1,ROW(OFFSET(nombres[],ROWS(nombres[])-1,0,1,1))+1),$O1551:$O1570),3),"")</f>
        <v/>
      </c>
      <c r="FC1551" s="42" t="str">
        <f t="array" aca="1" ref="FC1551" ca="1">IFERROR(INDEX(nombres[],SMALL(IF(OFFSET(nombres[],0,0,ROWS(nombres[]),1)=FC$1490,ROW(OFFSET(nombres[],0,0,ROWS(nombres[]),1))-ROW(OFFSET(nombres[],0,0,1,1))+1,ROW(OFFSET(nombres[],ROWS(nombres[])-1,0,1,1))+1),$O1551:$O1570),3),"")</f>
        <v/>
      </c>
      <c r="FD1551" s="42" t="str">
        <f t="array" aca="1" ref="FD1551" ca="1">IFERROR(INDEX(nombres[],SMALL(IF(OFFSET(nombres[],0,0,ROWS(nombres[]),1)=FD$1490,ROW(OFFSET(nombres[],0,0,ROWS(nombres[]),1))-ROW(OFFSET(nombres[],0,0,1,1))+1,ROW(OFFSET(nombres[],ROWS(nombres[])-1,0,1,1))+1),$O1551:$O1570),3),"")</f>
        <v/>
      </c>
      <c r="FE1551" s="42" t="str">
        <f t="array" aca="1" ref="FE1551" ca="1">IFERROR(INDEX(nombres[],SMALL(IF(OFFSET(nombres[],0,0,ROWS(nombres[]),1)=FE$1490,ROW(OFFSET(nombres[],0,0,ROWS(nombres[]),1))-ROW(OFFSET(nombres[],0,0,1,1))+1,ROW(OFFSET(nombres[],ROWS(nombres[])-1,0,1,1))+1),$O1551:$O1570),3),"")</f>
        <v/>
      </c>
      <c r="FF1551" s="42" t="str">
        <f t="array" aca="1" ref="FF1551" ca="1">IFERROR(INDEX(nombres[],SMALL(IF(OFFSET(nombres[],0,0,ROWS(nombres[]),1)=FF$1490,ROW(OFFSET(nombres[],0,0,ROWS(nombres[]),1))-ROW(OFFSET(nombres[],0,0,1,1))+1,ROW(OFFSET(nombres[],ROWS(nombres[])-1,0,1,1))+1),$O1551:$O1570),3),"")</f>
        <v/>
      </c>
      <c r="FG1551" s="42" t="str">
        <f t="array" aca="1" ref="FG1551" ca="1">IFERROR(INDEX(nombres[],SMALL(IF(OFFSET(nombres[],0,0,ROWS(nombres[]),1)=FG$1490,ROW(OFFSET(nombres[],0,0,ROWS(nombres[]),1))-ROW(OFFSET(nombres[],0,0,1,1))+1,ROW(OFFSET(nombres[],ROWS(nombres[])-1,0,1,1))+1),$O1551:$O1570),3),"")</f>
        <v/>
      </c>
      <c r="FH1551" s="42" t="str">
        <f t="array" aca="1" ref="FH1551" ca="1">IFERROR(INDEX(nombres[],SMALL(IF(OFFSET(nombres[],0,0,ROWS(nombres[]),1)=FH$1490,ROW(OFFSET(nombres[],0,0,ROWS(nombres[]),1))-ROW(OFFSET(nombres[],0,0,1,1))+1,ROW(OFFSET(nombres[],ROWS(nombres[])-1,0,1,1))+1),$O1551:$O1570),3),"")</f>
        <v/>
      </c>
      <c r="FI1551" s="42" t="str">
        <f t="array" aca="1" ref="FI1551" ca="1">IFERROR(INDEX(nombres[],SMALL(IF(OFFSET(nombres[],0,0,ROWS(nombres[]),1)=FI$1490,ROW(OFFSET(nombres[],0,0,ROWS(nombres[]),1))-ROW(OFFSET(nombres[],0,0,1,1))+1,ROW(OFFSET(nombres[],ROWS(nombres[])-1,0,1,1))+1),$O1551:$O1570),3),"")</f>
        <v/>
      </c>
      <c r="FJ1551" s="42" t="str">
        <f t="array" aca="1" ref="FJ1551" ca="1">IFERROR(INDEX(nombres[],SMALL(IF(OFFSET(nombres[],0,0,ROWS(nombres[]),1)=FJ$1490,ROW(OFFSET(nombres[],0,0,ROWS(nombres[]),1))-ROW(OFFSET(nombres[],0,0,1,1))+1,ROW(OFFSET(nombres[],ROWS(nombres[])-1,0,1,1))+1),$O1551:$O1570),3),"")</f>
        <v/>
      </c>
      <c r="FK1551" s="42" t="str">
        <f t="array" aca="1" ref="FK1551" ca="1">IFERROR(INDEX(nombres[],SMALL(IF(OFFSET(nombres[],0,0,ROWS(nombres[]),1)=FK$1490,ROW(OFFSET(nombres[],0,0,ROWS(nombres[]),1))-ROW(OFFSET(nombres[],0,0,1,1))+1,ROW(OFFSET(nombres[],ROWS(nombres[])-1,0,1,1))+1),$O1551:$O1570),3),"")</f>
        <v/>
      </c>
      <c r="FL1551" s="42" t="str">
        <f t="array" aca="1" ref="FL1551" ca="1">IFERROR(INDEX(nombres[],SMALL(IF(OFFSET(nombres[],0,0,ROWS(nombres[]),1)=FL$1490,ROW(OFFSET(nombres[],0,0,ROWS(nombres[]),1))-ROW(OFFSET(nombres[],0,0,1,1))+1,ROW(OFFSET(nombres[],ROWS(nombres[])-1,0,1,1))+1),$O1551:$O1570),3),"")</f>
        <v/>
      </c>
      <c r="FM1551" s="42" t="str">
        <f t="array" aca="1" ref="FM1551" ca="1">IFERROR(INDEX(nombres[],SMALL(IF(OFFSET(nombres[],0,0,ROWS(nombres[]),1)=FM$1490,ROW(OFFSET(nombres[],0,0,ROWS(nombres[]),1))-ROW(OFFSET(nombres[],0,0,1,1))+1,ROW(OFFSET(nombres[],ROWS(nombres[])-1,0,1,1))+1),$O1551:$O1570),3),"")</f>
        <v/>
      </c>
      <c r="FN1551" s="42" t="str">
        <f t="array" aca="1" ref="FN1551" ca="1">IFERROR(INDEX(nombres[],SMALL(IF(OFFSET(nombres[],0,0,ROWS(nombres[]),1)=FN$1490,ROW(OFFSET(nombres[],0,0,ROWS(nombres[]),1))-ROW(OFFSET(nombres[],0,0,1,1))+1,ROW(OFFSET(nombres[],ROWS(nombres[])-1,0,1,1))+1),$O1551:$O1570),3),"")</f>
        <v/>
      </c>
      <c r="FO1551" s="42" t="str">
        <f t="array" aca="1" ref="FO1551" ca="1">IFERROR(INDEX(nombres[],SMALL(IF(OFFSET(nombres[],0,0,ROWS(nombres[]),1)=FO$1490,ROW(OFFSET(nombres[],0,0,ROWS(nombres[]),1))-ROW(OFFSET(nombres[],0,0,1,1))+1,ROW(OFFSET(nombres[],ROWS(nombres[])-1,0,1,1))+1),$O1551:$O1570),3),"")</f>
        <v/>
      </c>
      <c r="FP1551" s="42" t="str">
        <f t="array" aca="1" ref="FP1551" ca="1">IFERROR(INDEX(nombres[],SMALL(IF(OFFSET(nombres[],0,0,ROWS(nombres[]),1)=FP$1490,ROW(OFFSET(nombres[],0,0,ROWS(nombres[]),1))-ROW(OFFSET(nombres[],0,0,1,1))+1,ROW(OFFSET(nombres[],ROWS(nombres[])-1,0,1,1))+1),$O1551:$O1570),3),"")</f>
        <v/>
      </c>
      <c r="FQ1551" s="42" t="str">
        <f t="array" aca="1" ref="FQ1551" ca="1">IFERROR(INDEX(nombres[],SMALL(IF(OFFSET(nombres[],0,0,ROWS(nombres[]),1)=FQ$1490,ROW(OFFSET(nombres[],0,0,ROWS(nombres[]),1))-ROW(OFFSET(nombres[],0,0,1,1))+1,ROW(OFFSET(nombres[],ROWS(nombres[])-1,0,1,1))+1),$O1551:$O1570),3),"")</f>
        <v/>
      </c>
      <c r="FR1551" s="42" t="str">
        <f t="array" aca="1" ref="FR1551" ca="1">IFERROR(INDEX(nombres[],SMALL(IF(OFFSET(nombres[],0,0,ROWS(nombres[]),1)=FR$1490,ROW(OFFSET(nombres[],0,0,ROWS(nombres[]),1))-ROW(OFFSET(nombres[],0,0,1,1))+1,ROW(OFFSET(nombres[],ROWS(nombres[])-1,0,1,1))+1),$O1551:$O1570),3),"")</f>
        <v/>
      </c>
      <c r="FS1551" s="42" t="str">
        <f t="array" aca="1" ref="FS1551" ca="1">IFERROR(INDEX(nombres[],SMALL(IF(OFFSET(nombres[],0,0,ROWS(nombres[]),1)=FS$1490,ROW(OFFSET(nombres[],0,0,ROWS(nombres[]),1))-ROW(OFFSET(nombres[],0,0,1,1))+1,ROW(OFFSET(nombres[],ROWS(nombres[])-1,0,1,1))+1),$O1551:$O1570),3),"")</f>
        <v/>
      </c>
      <c r="FT1551" s="42" t="str">
        <f t="array" aca="1" ref="FT1551" ca="1">IFERROR(INDEX(nombres[],SMALL(IF(OFFSET(nombres[],0,0,ROWS(nombres[]),1)=FT$1490,ROW(OFFSET(nombres[],0,0,ROWS(nombres[]),1))-ROW(OFFSET(nombres[],0,0,1,1))+1,ROW(OFFSET(nombres[],ROWS(nombres[])-1,0,1,1))+1),$O1551:$O1570),3),"")</f>
        <v/>
      </c>
      <c r="FU1551" s="42" t="str">
        <f t="array" aca="1" ref="FU1551" ca="1">IFERROR(INDEX(nombres[],SMALL(IF(OFFSET(nombres[],0,0,ROWS(nombres[]),1)=FU$1490,ROW(OFFSET(nombres[],0,0,ROWS(nombres[]),1))-ROW(OFFSET(nombres[],0,0,1,1))+1,ROW(OFFSET(nombres[],ROWS(nombres[])-1,0,1,1))+1),$O1551:$O1570),3),"")</f>
        <v/>
      </c>
      <c r="FV1551" s="42" t="str">
        <f t="array" aca="1" ref="FV1551" ca="1">IFERROR(INDEX(nombres[],SMALL(IF(OFFSET(nombres[],0,0,ROWS(nombres[]),1)=FV$1490,ROW(OFFSET(nombres[],0,0,ROWS(nombres[]),1))-ROW(OFFSET(nombres[],0,0,1,1))+1,ROW(OFFSET(nombres[],ROWS(nombres[])-1,0,1,1))+1),$O1551:$O1570),3),"")</f>
        <v/>
      </c>
      <c r="FW1551" s="42" t="str">
        <f t="array" aca="1" ref="FW1551" ca="1">IFERROR(INDEX(nombres[],SMALL(IF(OFFSET(nombres[],0,0,ROWS(nombres[]),1)=FW$1490,ROW(OFFSET(nombres[],0,0,ROWS(nombres[]),1))-ROW(OFFSET(nombres[],0,0,1,1))+1,ROW(OFFSET(nombres[],ROWS(nombres[])-1,0,1,1))+1),$O1551:$O1570),3),"")</f>
        <v/>
      </c>
      <c r="FX1551" s="42" t="str">
        <f t="array" aca="1" ref="FX1551" ca="1">IFERROR(INDEX(nombres[],SMALL(IF(OFFSET(nombres[],0,0,ROWS(nombres[]),1)=FX$1490,ROW(OFFSET(nombres[],0,0,ROWS(nombres[]),1))-ROW(OFFSET(nombres[],0,0,1,1))+1,ROW(OFFSET(nombres[],ROWS(nombres[])-1,0,1,1))+1),$O1551:$O1570),3),"")</f>
        <v/>
      </c>
      <c r="FY1551" s="42" t="str">
        <f t="array" aca="1" ref="FY1551" ca="1">IFERROR(INDEX(nombres[],SMALL(IF(OFFSET(nombres[],0,0,ROWS(nombres[]),1)=FY$1490,ROW(OFFSET(nombres[],0,0,ROWS(nombres[]),1))-ROW(OFFSET(nombres[],0,0,1,1))+1,ROW(OFFSET(nombres[],ROWS(nombres[])-1,0,1,1))+1),$O1551:$O1570),3),"")</f>
        <v/>
      </c>
      <c r="FZ1551" s="42" t="str">
        <f t="array" aca="1" ref="FZ1551" ca="1">IFERROR(INDEX(nombres[],SMALL(IF(OFFSET(nombres[],0,0,ROWS(nombres[]),1)=FZ$1490,ROW(OFFSET(nombres[],0,0,ROWS(nombres[]),1))-ROW(OFFSET(nombres[],0,0,1,1))+1,ROW(OFFSET(nombres[],ROWS(nombres[])-1,0,1,1))+1),$O1551:$O1570),3),"")</f>
        <v/>
      </c>
      <c r="GA1551" s="42" t="str">
        <f t="array" aca="1" ref="GA1551" ca="1">IFERROR(INDEX(nombres[],SMALL(IF(OFFSET(nombres[],0,0,ROWS(nombres[]),1)=GA$1490,ROW(OFFSET(nombres[],0,0,ROWS(nombres[]),1))-ROW(OFFSET(nombres[],0,0,1,1))+1,ROW(OFFSET(nombres[],ROWS(nombres[])-1,0,1,1))+1),$O1551:$O1570),3),"")</f>
        <v/>
      </c>
      <c r="GB1551" s="42" t="str">
        <f t="array" aca="1" ref="GB1551" ca="1">IFERROR(INDEX(nombres[],SMALL(IF(OFFSET(nombres[],0,0,ROWS(nombres[]),1)=GB$1490,ROW(OFFSET(nombres[],0,0,ROWS(nombres[]),1))-ROW(OFFSET(nombres[],0,0,1,1))+1,ROW(OFFSET(nombres[],ROWS(nombres[])-1,0,1,1))+1),$O1551:$O1570),3),"")</f>
        <v/>
      </c>
      <c r="GC1551" s="42" t="str">
        <f t="array" aca="1" ref="GC1551" ca="1">IFERROR(INDEX(nombres[],SMALL(IF(OFFSET(nombres[],0,0,ROWS(nombres[]),1)=GC$1490,ROW(OFFSET(nombres[],0,0,ROWS(nombres[]),1))-ROW(OFFSET(nombres[],0,0,1,1))+1,ROW(OFFSET(nombres[],ROWS(nombres[])-1,0,1,1))+1),$O1551:$O1570),3),"")</f>
        <v/>
      </c>
      <c r="GD1551" s="42" t="str">
        <f t="array" aca="1" ref="GD1551" ca="1">IFERROR(INDEX(nombres[],SMALL(IF(OFFSET(nombres[],0,0,ROWS(nombres[]),1)=GD$1490,ROW(OFFSET(nombres[],0,0,ROWS(nombres[]),1))-ROW(OFFSET(nombres[],0,0,1,1))+1,ROW(OFFSET(nombres[],ROWS(nombres[])-1,0,1,1))+1),$O1551:$O1570),3),"")</f>
        <v/>
      </c>
      <c r="GE1551" s="42" t="str">
        <f t="array" aca="1" ref="GE1551" ca="1">IFERROR(INDEX(nombres[],SMALL(IF(OFFSET(nombres[],0,0,ROWS(nombres[]),1)=GE$1490,ROW(OFFSET(nombres[],0,0,ROWS(nombres[]),1))-ROW(OFFSET(nombres[],0,0,1,1))+1,ROW(OFFSET(nombres[],ROWS(nombres[])-1,0,1,1))+1),$O1551:$O1570),3),"")</f>
        <v/>
      </c>
      <c r="GF1551" s="42" t="str">
        <f t="array" aca="1" ref="GF1551" ca="1">IFERROR(INDEX(nombres[],SMALL(IF(OFFSET(nombres[],0,0,ROWS(nombres[]),1)=GF$1490,ROW(OFFSET(nombres[],0,0,ROWS(nombres[]),1))-ROW(OFFSET(nombres[],0,0,1,1))+1,ROW(OFFSET(nombres[],ROWS(nombres[])-1,0,1,1))+1),$O1551:$O1570),3),"")</f>
        <v/>
      </c>
      <c r="GG1551" s="42" t="str">
        <f t="array" aca="1" ref="GG1551" ca="1">IFERROR(INDEX(nombres[],SMALL(IF(OFFSET(nombres[],0,0,ROWS(nombres[]),1)=GG$1490,ROW(OFFSET(nombres[],0,0,ROWS(nombres[]),1))-ROW(OFFSET(nombres[],0,0,1,1))+1,ROW(OFFSET(nombres[],ROWS(nombres[])-1,0,1,1))+1),$O1551:$O1570),3),"")</f>
        <v/>
      </c>
      <c r="GH1551" s="42" t="str">
        <f t="array" aca="1" ref="GH1551" ca="1">IFERROR(INDEX(nombres[],SMALL(IF(OFFSET(nombres[],0,0,ROWS(nombres[]),1)=GH$1490,ROW(OFFSET(nombres[],0,0,ROWS(nombres[]),1))-ROW(OFFSET(nombres[],0,0,1,1))+1,ROW(OFFSET(nombres[],ROWS(nombres[])-1,0,1,1))+1),$O1551:$O1570),3),"")</f>
        <v/>
      </c>
      <c r="GI1551" s="42" t="str">
        <f t="array" aca="1" ref="GI1551" ca="1">IFERROR(INDEX(nombres[],SMALL(IF(OFFSET(nombres[],0,0,ROWS(nombres[]),1)=GI$1490,ROW(OFFSET(nombres[],0,0,ROWS(nombres[]),1))-ROW(OFFSET(nombres[],0,0,1,1))+1,ROW(OFFSET(nombres[],ROWS(nombres[])-1,0,1,1))+1),$O1551:$O1570),3),"")</f>
        <v/>
      </c>
      <c r="GJ1551" s="42" t="str">
        <f t="array" aca="1" ref="GJ1551" ca="1">IFERROR(INDEX(nombres[],SMALL(IF(OFFSET(nombres[],0,0,ROWS(nombres[]),1)=GJ$1490,ROW(OFFSET(nombres[],0,0,ROWS(nombres[]),1))-ROW(OFFSET(nombres[],0,0,1,1))+1,ROW(OFFSET(nombres[],ROWS(nombres[])-1,0,1,1))+1),$O1551:$O1570),3),"")</f>
        <v/>
      </c>
      <c r="GK1551" s="42" t="str">
        <f t="array" aca="1" ref="GK1551" ca="1">IFERROR(INDEX(nombres[],SMALL(IF(OFFSET(nombres[],0,0,ROWS(nombres[]),1)=GK$1490,ROW(OFFSET(nombres[],0,0,ROWS(nombres[]),1))-ROW(OFFSET(nombres[],0,0,1,1))+1,ROW(OFFSET(nombres[],ROWS(nombres[])-1,0,1,1))+1),$O1551:$O1570),3),"")</f>
        <v/>
      </c>
      <c r="GL1551" s="42" t="str">
        <f t="array" aca="1" ref="GL1551" ca="1">IFERROR(INDEX(nombres[],SMALL(IF(OFFSET(nombres[],0,0,ROWS(nombres[]),1)=GL$1490,ROW(OFFSET(nombres[],0,0,ROWS(nombres[]),1))-ROW(OFFSET(nombres[],0,0,1,1))+1,ROW(OFFSET(nombres[],ROWS(nombres[])-1,0,1,1))+1),$O1551:$O1570),3),"")</f>
        <v/>
      </c>
      <c r="GM1551" s="42" t="str">
        <f t="array" aca="1" ref="GM1551" ca="1">IFERROR(INDEX(nombres[],SMALL(IF(OFFSET(nombres[],0,0,ROWS(nombres[]),1)=GM$1490,ROW(OFFSET(nombres[],0,0,ROWS(nombres[]),1))-ROW(OFFSET(nombres[],0,0,1,1))+1,ROW(OFFSET(nombres[],ROWS(nombres[])-1,0,1,1))+1),$O1551:$O1570),3),"")</f>
        <v/>
      </c>
      <c r="GN1551" s="42" t="str">
        <f t="array" aca="1" ref="GN1551" ca="1">IFERROR(INDEX(nombres[],SMALL(IF(OFFSET(nombres[],0,0,ROWS(nombres[]),1)=GN$1490,ROW(OFFSET(nombres[],0,0,ROWS(nombres[]),1))-ROW(OFFSET(nombres[],0,0,1,1))+1,ROW(OFFSET(nombres[],ROWS(nombres[])-1,0,1,1))+1),$O1551:$O1570),3),"")</f>
        <v/>
      </c>
      <c r="GO1551" s="42" t="str">
        <f t="array" aca="1" ref="GO1551" ca="1">IFERROR(INDEX(nombres[],SMALL(IF(OFFSET(nombres[],0,0,ROWS(nombres[]),1)=GO$1490,ROW(OFFSET(nombres[],0,0,ROWS(nombres[]),1))-ROW(OFFSET(nombres[],0,0,1,1))+1,ROW(OFFSET(nombres[],ROWS(nombres[])-1,0,1,1))+1),$O1551:$O1570),3),"")</f>
        <v/>
      </c>
      <c r="GP1551" s="42" t="str">
        <f t="array" aca="1" ref="GP1551" ca="1">IFERROR(INDEX(nombres[],SMALL(IF(OFFSET(nombres[],0,0,ROWS(nombres[]),1)=GP$1490,ROW(OFFSET(nombres[],0,0,ROWS(nombres[]),1))-ROW(OFFSET(nombres[],0,0,1,1))+1,ROW(OFFSET(nombres[],ROWS(nombres[])-1,0,1,1))+1),$O1551:$O1570),3),"")</f>
        <v/>
      </c>
      <c r="GQ1551" s="42" t="str">
        <f t="array" aca="1" ref="GQ1551" ca="1">IFERROR(INDEX(nombres[],SMALL(IF(OFFSET(nombres[],0,0,ROWS(nombres[]),1)=GQ$1490,ROW(OFFSET(nombres[],0,0,ROWS(nombres[]),1))-ROW(OFFSET(nombres[],0,0,1,1))+1,ROW(OFFSET(nombres[],ROWS(nombres[])-1,0,1,1))+1),$O1551:$O1570),3),"")</f>
        <v/>
      </c>
      <c r="GR1551" s="42" t="str">
        <f t="array" aca="1" ref="GR1551" ca="1">IFERROR(INDEX(nombres[],SMALL(IF(OFFSET(nombres[],0,0,ROWS(nombres[]),1)=GR$1490,ROW(OFFSET(nombres[],0,0,ROWS(nombres[]),1))-ROW(OFFSET(nombres[],0,0,1,1))+1,ROW(OFFSET(nombres[],ROWS(nombres[])-1,0,1,1))+1),$O1551:$O1570),3),"")</f>
        <v/>
      </c>
      <c r="GS1551" s="42" t="str">
        <f t="array" aca="1" ref="GS1551" ca="1">IFERROR(INDEX(nombres[],SMALL(IF(OFFSET(nombres[],0,0,ROWS(nombres[]),1)=GS$1490,ROW(OFFSET(nombres[],0,0,ROWS(nombres[]),1))-ROW(OFFSET(nombres[],0,0,1,1))+1,ROW(OFFSET(nombres[],ROWS(nombres[])-1,0,1,1))+1),$O1551:$O1570),3),"")</f>
        <v/>
      </c>
      <c r="GT1551" s="42" t="str">
        <f t="array" aca="1" ref="GT1551" ca="1">IFERROR(INDEX(nombres[],SMALL(IF(OFFSET(nombres[],0,0,ROWS(nombres[]),1)=GT$1490,ROW(OFFSET(nombres[],0,0,ROWS(nombres[]),1))-ROW(OFFSET(nombres[],0,0,1,1))+1,ROW(OFFSET(nombres[],ROWS(nombres[])-1,0,1,1))+1),$O1551:$O1570),3),"")</f>
        <v/>
      </c>
      <c r="GU1551" s="42" t="str">
        <f t="array" aca="1" ref="GU1551" ca="1">IFERROR(INDEX(nombres[],SMALL(IF(OFFSET(nombres[],0,0,ROWS(nombres[]),1)=GU$1490,ROW(OFFSET(nombres[],0,0,ROWS(nombres[]),1))-ROW(OFFSET(nombres[],0,0,1,1))+1,ROW(OFFSET(nombres[],ROWS(nombres[])-1,0,1,1))+1),$O1551:$O1570),3),"")</f>
        <v/>
      </c>
      <c r="GV1551" s="42" t="str">
        <f t="array" aca="1" ref="GV1551" ca="1">IFERROR(INDEX(nombres[],SMALL(IF(OFFSET(nombres[],0,0,ROWS(nombres[]),1)=GV$1490,ROW(OFFSET(nombres[],0,0,ROWS(nombres[]),1))-ROW(OFFSET(nombres[],0,0,1,1))+1,ROW(OFFSET(nombres[],ROWS(nombres[])-1,0,1,1))+1),$O1551:$O1570),3),"")</f>
        <v/>
      </c>
      <c r="GW1551" s="42" t="str">
        <f t="array" aca="1" ref="GW1551" ca="1">IFERROR(INDEX(nombres[],SMALL(IF(OFFSET(nombres[],0,0,ROWS(nombres[]),1)=GW$1490,ROW(OFFSET(nombres[],0,0,ROWS(nombres[]),1))-ROW(OFFSET(nombres[],0,0,1,1))+1,ROW(OFFSET(nombres[],ROWS(nombres[])-1,0,1,1))+1),$O1551:$O1570),3),"")</f>
        <v/>
      </c>
      <c r="GX1551" s="42" t="str">
        <f t="array" aca="1" ref="GX1551" ca="1">IFERROR(INDEX(nombres[],SMALL(IF(OFFSET(nombres[],0,0,ROWS(nombres[]),1)=GX$1490,ROW(OFFSET(nombres[],0,0,ROWS(nombres[]),1))-ROW(OFFSET(nombres[],0,0,1,1))+1,ROW(OFFSET(nombres[],ROWS(nombres[])-1,0,1,1))+1),$O1551:$O1570),3),"")</f>
        <v/>
      </c>
      <c r="GY1551" s="42" t="str">
        <f t="array" aca="1" ref="GY1551" ca="1">IFERROR(INDEX(nombres[],SMALL(IF(OFFSET(nombres[],0,0,ROWS(nombres[]),1)=GY$1490,ROW(OFFSET(nombres[],0,0,ROWS(nombres[]),1))-ROW(OFFSET(nombres[],0,0,1,1))+1,ROW(OFFSET(nombres[],ROWS(nombres[])-1,0,1,1))+1),$O1551:$O1570),3),"")</f>
        <v/>
      </c>
      <c r="GZ1551" s="42" t="str">
        <f t="array" aca="1" ref="GZ1551" ca="1">IFERROR(INDEX(nombres[],SMALL(IF(OFFSET(nombres[],0,0,ROWS(nombres[]),1)=GZ$1490,ROW(OFFSET(nombres[],0,0,ROWS(nombres[]),1))-ROW(OFFSET(nombres[],0,0,1,1))+1,ROW(OFFSET(nombres[],ROWS(nombres[])-1,0,1,1))+1),$O1551:$O1570),3),"")</f>
        <v/>
      </c>
      <c r="HA1551" s="42" t="str">
        <f t="array" aca="1" ref="HA1551" ca="1">IFERROR(INDEX(nombres[],SMALL(IF(OFFSET(nombres[],0,0,ROWS(nombres[]),1)=HA$1490,ROW(OFFSET(nombres[],0,0,ROWS(nombres[]),1))-ROW(OFFSET(nombres[],0,0,1,1))+1,ROW(OFFSET(nombres[],ROWS(nombres[])-1,0,1,1))+1),$O1551:$O1570),3),"")</f>
        <v/>
      </c>
      <c r="HB1551" s="42" t="str">
        <f t="array" aca="1" ref="HB1551" ca="1">IFERROR(INDEX(nombres[],SMALL(IF(OFFSET(nombres[],0,0,ROWS(nombres[]),1)=HB$1490,ROW(OFFSET(nombres[],0,0,ROWS(nombres[]),1))-ROW(OFFSET(nombres[],0,0,1,1))+1,ROW(OFFSET(nombres[],ROWS(nombres[])-1,0,1,1))+1),$O1551:$O1570),3),"")</f>
        <v/>
      </c>
      <c r="HC1551" s="42" t="str">
        <f t="array" aca="1" ref="HC1551" ca="1">IFERROR(INDEX(nombres[],SMALL(IF(OFFSET(nombres[],0,0,ROWS(nombres[]),1)=HC$1490,ROW(OFFSET(nombres[],0,0,ROWS(nombres[]),1))-ROW(OFFSET(nombres[],0,0,1,1))+1,ROW(OFFSET(nombres[],ROWS(nombres[])-1,0,1,1))+1),$O1551:$O1570),3),"")</f>
        <v/>
      </c>
      <c r="HD1551" s="42" t="str">
        <f t="array" aca="1" ref="HD1551" ca="1">IFERROR(INDEX(nombres[],SMALL(IF(OFFSET(nombres[],0,0,ROWS(nombres[]),1)=HD$1490,ROW(OFFSET(nombres[],0,0,ROWS(nombres[]),1))-ROW(OFFSET(nombres[],0,0,1,1))+1,ROW(OFFSET(nombres[],ROWS(nombres[])-1,0,1,1))+1),$O1551:$O1570),3),"")</f>
        <v/>
      </c>
      <c r="HE1551" s="42" t="str">
        <f t="array" aca="1" ref="HE1551" ca="1">IFERROR(INDEX(nombres[],SMALL(IF(OFFSET(nombres[],0,0,ROWS(nombres[]),1)=HE$1490,ROW(OFFSET(nombres[],0,0,ROWS(nombres[]),1))-ROW(OFFSET(nombres[],0,0,1,1))+1,ROW(OFFSET(nombres[],ROWS(nombres[])-1,0,1,1))+1),$O1551:$O1570),3),"")</f>
        <v/>
      </c>
      <c r="HF1551" s="42" t="str">
        <f t="array" aca="1" ref="HF1551" ca="1">IFERROR(INDEX(nombres[],SMALL(IF(OFFSET(nombres[],0,0,ROWS(nombres[]),1)=HF$1490,ROW(OFFSET(nombres[],0,0,ROWS(nombres[]),1))-ROW(OFFSET(nombres[],0,0,1,1))+1,ROW(OFFSET(nombres[],ROWS(nombres[])-1,0,1,1))+1),$O1551:$O1570),3),"")</f>
        <v/>
      </c>
      <c r="HG1551" s="42" t="str">
        <f t="array" aca="1" ref="HG1551" ca="1">IFERROR(INDEX(nombres[],SMALL(IF(OFFSET(nombres[],0,0,ROWS(nombres[]),1)=HG$1490,ROW(OFFSET(nombres[],0,0,ROWS(nombres[]),1))-ROW(OFFSET(nombres[],0,0,1,1))+1,ROW(OFFSET(nombres[],ROWS(nombres[])-1,0,1,1))+1),$O1551:$O1570),3),"")</f>
        <v/>
      </c>
      <c r="HH1551" s="42" t="str">
        <f t="array" aca="1" ref="HH1551" ca="1">IFERROR(INDEX(nombres[],SMALL(IF(OFFSET(nombres[],0,0,ROWS(nombres[]),1)=HH$1490,ROW(OFFSET(nombres[],0,0,ROWS(nombres[]),1))-ROW(OFFSET(nombres[],0,0,1,1))+1,ROW(OFFSET(nombres[],ROWS(nombres[])-1,0,1,1))+1),$O1551:$O1570),3),"")</f>
        <v/>
      </c>
      <c r="HI1551" s="42" t="str">
        <f t="array" aca="1" ref="HI1551" ca="1">IFERROR(INDEX(nombres[],SMALL(IF(OFFSET(nombres[],0,0,ROWS(nombres[]),1)=HI$1490,ROW(OFFSET(nombres[],0,0,ROWS(nombres[]),1))-ROW(OFFSET(nombres[],0,0,1,1))+1,ROW(OFFSET(nombres[],ROWS(nombres[])-1,0,1,1))+1),$O1551:$O1570),3),"")</f>
        <v/>
      </c>
      <c r="HJ1551" s="42" t="str">
        <f t="array" aca="1" ref="HJ1551" ca="1">IFERROR(INDEX(nombres[],SMALL(IF(OFFSET(nombres[],0,0,ROWS(nombres[]),1)=HJ$1490,ROW(OFFSET(nombres[],0,0,ROWS(nombres[]),1))-ROW(OFFSET(nombres[],0,0,1,1))+1,ROW(OFFSET(nombres[],ROWS(nombres[])-1,0,1,1))+1),$O1551:$O1570),3),"")</f>
        <v/>
      </c>
      <c r="HK1551" s="42" t="str">
        <f t="array" aca="1" ref="HK1551" ca="1">IFERROR(INDEX(nombres[],SMALL(IF(OFFSET(nombres[],0,0,ROWS(nombres[]),1)=HK$1490,ROW(OFFSET(nombres[],0,0,ROWS(nombres[]),1))-ROW(OFFSET(nombres[],0,0,1,1))+1,ROW(OFFSET(nombres[],ROWS(nombres[])-1,0,1,1))+1),$O1551:$O1570),3),"")</f>
        <v/>
      </c>
      <c r="HL1551" s="42" t="str">
        <f t="array" aca="1" ref="HL1551" ca="1">IFERROR(INDEX(nombres[],SMALL(IF(OFFSET(nombres[],0,0,ROWS(nombres[]),1)=HL$1490,ROW(OFFSET(nombres[],0,0,ROWS(nombres[]),1))-ROW(OFFSET(nombres[],0,0,1,1))+1,ROW(OFFSET(nombres[],ROWS(nombres[])-1,0,1,1))+1),$O1551:$O1570),3),"")</f>
        <v/>
      </c>
      <c r="HM1551" s="42" t="str">
        <f t="array" aca="1" ref="HM1551" ca="1">IFERROR(INDEX(nombres[],SMALL(IF(OFFSET(nombres[],0,0,ROWS(nombres[]),1)=HM$1490,ROW(OFFSET(nombres[],0,0,ROWS(nombres[]),1))-ROW(OFFSET(nombres[],0,0,1,1))+1,ROW(OFFSET(nombres[],ROWS(nombres[])-1,0,1,1))+1),$O1551:$O1570),3),"")</f>
        <v/>
      </c>
      <c r="HN1551" s="42" t="str">
        <f t="array" aca="1" ref="HN1551" ca="1">IFERROR(INDEX(nombres[],SMALL(IF(OFFSET(nombres[],0,0,ROWS(nombres[]),1)=HN$1490,ROW(OFFSET(nombres[],0,0,ROWS(nombres[]),1))-ROW(OFFSET(nombres[],0,0,1,1))+1,ROW(OFFSET(nombres[],ROWS(nombres[])-1,0,1,1))+1),$O1551:$O1570),3),"")</f>
        <v/>
      </c>
      <c r="HO1551" s="42" t="str">
        <f t="array" aca="1" ref="HO1551" ca="1">IFERROR(INDEX(nombres[],SMALL(IF(OFFSET(nombres[],0,0,ROWS(nombres[]),1)=HO$1490,ROW(OFFSET(nombres[],0,0,ROWS(nombres[]),1))-ROW(OFFSET(nombres[],0,0,1,1))+1,ROW(OFFSET(nombres[],ROWS(nombres[])-1,0,1,1))+1),$O1551:$O1570),3),"")</f>
        <v/>
      </c>
      <c r="HP1551" s="42" t="str">
        <f t="array" aca="1" ref="HP1551" ca="1">IFERROR(INDEX(nombres[],SMALL(IF(OFFSET(nombres[],0,0,ROWS(nombres[]),1)=HP$1490,ROW(OFFSET(nombres[],0,0,ROWS(nombres[]),1))-ROW(OFFSET(nombres[],0,0,1,1))+1,ROW(OFFSET(nombres[],ROWS(nombres[])-1,0,1,1))+1),$O1551:$O1570),3),"")</f>
        <v/>
      </c>
      <c r="HQ1551" s="42" t="str">
        <f t="array" aca="1" ref="HQ1551" ca="1">IFERROR(INDEX(nombres[],SMALL(IF(OFFSET(nombres[],0,0,ROWS(nombres[]),1)=HQ$1490,ROW(OFFSET(nombres[],0,0,ROWS(nombres[]),1))-ROW(OFFSET(nombres[],0,0,1,1))+1,ROW(OFFSET(nombres[],ROWS(nombres[])-1,0,1,1))+1),$O1551:$O1570),3),"")</f>
        <v/>
      </c>
      <c r="HR1551" s="42" t="str">
        <f t="array" aca="1" ref="HR1551" ca="1">IFERROR(INDEX(nombres[],SMALL(IF(OFFSET(nombres[],0,0,ROWS(nombres[]),1)=HR$1490,ROW(OFFSET(nombres[],0,0,ROWS(nombres[]),1))-ROW(OFFSET(nombres[],0,0,1,1))+1,ROW(OFFSET(nombres[],ROWS(nombres[])-1,0,1,1))+1),$O1551:$O1570),3),"")</f>
        <v/>
      </c>
      <c r="HS1551" s="42" t="str">
        <f t="array" aca="1" ref="HS1551" ca="1">IFERROR(INDEX(nombres[],SMALL(IF(OFFSET(nombres[],0,0,ROWS(nombres[]),1)=HS$1490,ROW(OFFSET(nombres[],0,0,ROWS(nombres[]),1))-ROW(OFFSET(nombres[],0,0,1,1))+1,ROW(OFFSET(nombres[],ROWS(nombres[])-1,0,1,1))+1),$O1551:$O1570),3),"")</f>
        <v/>
      </c>
      <c r="HT1551" s="42" t="str">
        <f t="array" aca="1" ref="HT1551" ca="1">IFERROR(INDEX(nombres[],SMALL(IF(OFFSET(nombres[],0,0,ROWS(nombres[]),1)=HT$1490,ROW(OFFSET(nombres[],0,0,ROWS(nombres[]),1))-ROW(OFFSET(nombres[],0,0,1,1))+1,ROW(OFFSET(nombres[],ROWS(nombres[])-1,0,1,1))+1),$O1551:$O1570),3),"")</f>
        <v/>
      </c>
      <c r="HU1551" s="42" t="str">
        <f t="array" aca="1" ref="HU1551" ca="1">IFERROR(INDEX(nombres[],SMALL(IF(OFFSET(nombres[],0,0,ROWS(nombres[]),1)=HU$1490,ROW(OFFSET(nombres[],0,0,ROWS(nombres[]),1))-ROW(OFFSET(nombres[],0,0,1,1))+1,ROW(OFFSET(nombres[],ROWS(nombres[])-1,0,1,1))+1),$O1551:$O1570),3),"")</f>
        <v/>
      </c>
      <c r="HV1551" s="42" t="str">
        <f t="array" aca="1" ref="HV1551" ca="1">IFERROR(INDEX(nombres[],SMALL(IF(OFFSET(nombres[],0,0,ROWS(nombres[]),1)=HV$1490,ROW(OFFSET(nombres[],0,0,ROWS(nombres[]),1))-ROW(OFFSET(nombres[],0,0,1,1))+1,ROW(OFFSET(nombres[],ROWS(nombres[])-1,0,1,1))+1),$O1551:$O1570),3),"")</f>
        <v/>
      </c>
      <c r="HW1551" s="42" t="str">
        <f t="array" aca="1" ref="HW1551" ca="1">IFERROR(INDEX(nombres[],SMALL(IF(OFFSET(nombres[],0,0,ROWS(nombres[]),1)=HW$1490,ROW(OFFSET(nombres[],0,0,ROWS(nombres[]),1))-ROW(OFFSET(nombres[],0,0,1,1))+1,ROW(OFFSET(nombres[],ROWS(nombres[])-1,0,1,1))+1),$O1551:$O1570),3),"")</f>
        <v/>
      </c>
      <c r="HX1551" s="42" t="str">
        <f t="array" aca="1" ref="HX1551" ca="1">IFERROR(INDEX(nombres[],SMALL(IF(OFFSET(nombres[],0,0,ROWS(nombres[]),1)=HX$1490,ROW(OFFSET(nombres[],0,0,ROWS(nombres[]),1))-ROW(OFFSET(nombres[],0,0,1,1))+1,ROW(OFFSET(nombres[],ROWS(nombres[])-1,0,1,1))+1),$O1551:$O1570),3),"")</f>
        <v/>
      </c>
      <c r="HY1551" s="42" t="str">
        <f t="array" aca="1" ref="HY1551" ca="1">IFERROR(INDEX(nombres[],SMALL(IF(OFFSET(nombres[],0,0,ROWS(nombres[]),1)=HY$1490,ROW(OFFSET(nombres[],0,0,ROWS(nombres[]),1))-ROW(OFFSET(nombres[],0,0,1,1))+1,ROW(OFFSET(nombres[],ROWS(nombres[])-1,0,1,1))+1),$O1551:$O1570),3),"")</f>
        <v/>
      </c>
      <c r="HZ1551" s="42" t="str">
        <f t="array" aca="1" ref="HZ1551" ca="1">IFERROR(INDEX(nombres[],SMALL(IF(OFFSET(nombres[],0,0,ROWS(nombres[]),1)=HZ$1490,ROW(OFFSET(nombres[],0,0,ROWS(nombres[]),1))-ROW(OFFSET(nombres[],0,0,1,1))+1,ROW(OFFSET(nombres[],ROWS(nombres[])-1,0,1,1))+1),$O1551:$O1570),3),"")</f>
        <v/>
      </c>
      <c r="IA1551" s="42" t="str">
        <f t="array" aca="1" ref="IA1551" ca="1">IFERROR(INDEX(nombres[],SMALL(IF(OFFSET(nombres[],0,0,ROWS(nombres[]),1)=IA$1490,ROW(OFFSET(nombres[],0,0,ROWS(nombres[]),1))-ROW(OFFSET(nombres[],0,0,1,1))+1,ROW(OFFSET(nombres[],ROWS(nombres[])-1,0,1,1))+1),$O1551:$O1570),3),"")</f>
        <v/>
      </c>
      <c r="IB1551" s="42" t="str">
        <f t="array" aca="1" ref="IB1551" ca="1">IFERROR(INDEX(nombres[],SMALL(IF(OFFSET(nombres[],0,0,ROWS(nombres[]),1)=IB$1490,ROW(OFFSET(nombres[],0,0,ROWS(nombres[]),1))-ROW(OFFSET(nombres[],0,0,1,1))+1,ROW(OFFSET(nombres[],ROWS(nombres[])-1,0,1,1))+1),$O1551:$O1570),3),"")</f>
        <v/>
      </c>
      <c r="IC1551" s="42" t="str">
        <f t="array" aca="1" ref="IC1551" ca="1">IFERROR(INDEX(nombres[],SMALL(IF(OFFSET(nombres[],0,0,ROWS(nombres[]),1)=IC$1490,ROW(OFFSET(nombres[],0,0,ROWS(nombres[]),1))-ROW(OFFSET(nombres[],0,0,1,1))+1,ROW(OFFSET(nombres[],ROWS(nombres[])-1,0,1,1))+1),$O1551:$O1570),3),"")</f>
        <v/>
      </c>
      <c r="ID1551" s="42" t="str">
        <f t="array" aca="1" ref="ID1551" ca="1">IFERROR(INDEX(nombres[],SMALL(IF(OFFSET(nombres[],0,0,ROWS(nombres[]),1)=ID$1490,ROW(OFFSET(nombres[],0,0,ROWS(nombres[]),1))-ROW(OFFSET(nombres[],0,0,1,1))+1,ROW(OFFSET(nombres[],ROWS(nombres[])-1,0,1,1))+1),$O1551:$O1570),3),"")</f>
        <v/>
      </c>
      <c r="IE1551" s="42" t="str">
        <f t="array" aca="1" ref="IE1551" ca="1">IFERROR(INDEX(nombres[],SMALL(IF(OFFSET(nombres[],0,0,ROWS(nombres[]),1)=IE$1490,ROW(OFFSET(nombres[],0,0,ROWS(nombres[]),1))-ROW(OFFSET(nombres[],0,0,1,1))+1,ROW(OFFSET(nombres[],ROWS(nombres[])-1,0,1,1))+1),$O1551:$O1570),3),"")</f>
        <v/>
      </c>
      <c r="IF1551" s="42" t="str">
        <f t="array" aca="1" ref="IF1551" ca="1">IFERROR(INDEX(nombres[],SMALL(IF(OFFSET(nombres[],0,0,ROWS(nombres[]),1)=IF$1490,ROW(OFFSET(nombres[],0,0,ROWS(nombres[]),1))-ROW(OFFSET(nombres[],0,0,1,1))+1,ROW(OFFSET(nombres[],ROWS(nombres[])-1,0,1,1))+1),$O1551:$O1570),3),"")</f>
        <v/>
      </c>
      <c r="IG1551" s="42" t="str">
        <f t="array" aca="1" ref="IG1551" ca="1">IFERROR(INDEX(nombres[],SMALL(IF(OFFSET(nombres[],0,0,ROWS(nombres[]),1)=IG$1490,ROW(OFFSET(nombres[],0,0,ROWS(nombres[]),1))-ROW(OFFSET(nombres[],0,0,1,1))+1,ROW(OFFSET(nombres[],ROWS(nombres[])-1,0,1,1))+1),$O1551:$O1570),3),"")</f>
        <v/>
      </c>
      <c r="IH1551" s="42" t="str">
        <f t="array" aca="1" ref="IH1551" ca="1">IFERROR(INDEX(nombres[],SMALL(IF(OFFSET(nombres[],0,0,ROWS(nombres[]),1)=IH$1490,ROW(OFFSET(nombres[],0,0,ROWS(nombres[]),1))-ROW(OFFSET(nombres[],0,0,1,1))+1,ROW(OFFSET(nombres[],ROWS(nombres[])-1,0,1,1))+1),$O1551:$O1570),3),"")</f>
        <v/>
      </c>
      <c r="II1551" s="42" t="str">
        <f t="array" aca="1" ref="II1551" ca="1">IFERROR(INDEX(nombres[],SMALL(IF(OFFSET(nombres[],0,0,ROWS(nombres[]),1)=II$1490,ROW(OFFSET(nombres[],0,0,ROWS(nombres[]),1))-ROW(OFFSET(nombres[],0,0,1,1))+1,ROW(OFFSET(nombres[],ROWS(nombres[])-1,0,1,1))+1),$O1551:$O1570),3),"")</f>
        <v/>
      </c>
      <c r="IJ1551" s="42" t="str">
        <f t="array" aca="1" ref="IJ1551" ca="1">IFERROR(INDEX(nombres[],SMALL(IF(OFFSET(nombres[],0,0,ROWS(nombres[]),1)=IJ$1490,ROW(OFFSET(nombres[],0,0,ROWS(nombres[]),1))-ROW(OFFSET(nombres[],0,0,1,1))+1,ROW(OFFSET(nombres[],ROWS(nombres[])-1,0,1,1))+1),$O1551:$O1570),3),"")</f>
        <v/>
      </c>
      <c r="IK1551" s="42" t="str">
        <f t="array" aca="1" ref="IK1551" ca="1">IFERROR(INDEX(nombres[],SMALL(IF(OFFSET(nombres[],0,0,ROWS(nombres[]),1)=IK$1490,ROW(OFFSET(nombres[],0,0,ROWS(nombres[]),1))-ROW(OFFSET(nombres[],0,0,1,1))+1,ROW(OFFSET(nombres[],ROWS(nombres[])-1,0,1,1))+1),$O1551:$O1570),3),"")</f>
        <v/>
      </c>
      <c r="IL1551" s="42" t="str">
        <f t="array" aca="1" ref="IL1551" ca="1">IFERROR(INDEX(nombres[],SMALL(IF(OFFSET(nombres[],0,0,ROWS(nombres[]),1)=IL$1490,ROW(OFFSET(nombres[],0,0,ROWS(nombres[]),1))-ROW(OFFSET(nombres[],0,0,1,1))+1,ROW(OFFSET(nombres[],ROWS(nombres[])-1,0,1,1))+1),$O1551:$O1570),3),"")</f>
        <v/>
      </c>
      <c r="IM1551" s="42" t="str">
        <f t="array" aca="1" ref="IM1551" ca="1">IFERROR(INDEX(nombres[],SMALL(IF(OFFSET(nombres[],0,0,ROWS(nombres[]),1)=IM$1490,ROW(OFFSET(nombres[],0,0,ROWS(nombres[]),1))-ROW(OFFSET(nombres[],0,0,1,1))+1,ROW(OFFSET(nombres[],ROWS(nombres[])-1,0,1,1))+1),$O1551:$O1570),3),"")</f>
        <v/>
      </c>
      <c r="IN1551" s="42" t="str">
        <f t="array" aca="1" ref="IN1551" ca="1">IFERROR(INDEX(nombres[],SMALL(IF(OFFSET(nombres[],0,0,ROWS(nombres[]),1)=IN$1490,ROW(OFFSET(nombres[],0,0,ROWS(nombres[]),1))-ROW(OFFSET(nombres[],0,0,1,1))+1,ROW(OFFSET(nombres[],ROWS(nombres[])-1,0,1,1))+1),$O1551:$O1570),3),"")</f>
        <v/>
      </c>
      <c r="IO1551" s="42" t="str">
        <f t="array" aca="1" ref="IO1551" ca="1">IFERROR(INDEX(nombres[],SMALL(IF(OFFSET(nombres[],0,0,ROWS(nombres[]),1)=IO$1490,ROW(OFFSET(nombres[],0,0,ROWS(nombres[]),1))-ROW(OFFSET(nombres[],0,0,1,1))+1,ROW(OFFSET(nombres[],ROWS(nombres[])-1,0,1,1))+1),$O1551:$O1570),3),"")</f>
        <v/>
      </c>
      <c r="IP1551" s="42" t="str">
        <f t="array" aca="1" ref="IP1551" ca="1">IFERROR(INDEX(nombres[],SMALL(IF(OFFSET(nombres[],0,0,ROWS(nombres[]),1)=IP$1490,ROW(OFFSET(nombres[],0,0,ROWS(nombres[]),1))-ROW(OFFSET(nombres[],0,0,1,1))+1,ROW(OFFSET(nombres[],ROWS(nombres[])-1,0,1,1))+1),$O1551:$O1570),3),"")</f>
        <v/>
      </c>
      <c r="IQ1551" s="42" t="str">
        <f t="array" aca="1" ref="IQ1551" ca="1">IFERROR(INDEX(nombres[],SMALL(IF(OFFSET(nombres[],0,0,ROWS(nombres[]),1)=IQ$1490,ROW(OFFSET(nombres[],0,0,ROWS(nombres[]),1))-ROW(OFFSET(nombres[],0,0,1,1))+1,ROW(OFFSET(nombres[],ROWS(nombres[])-1,0,1,1))+1),$O1551:$O1570),3),"")</f>
        <v/>
      </c>
      <c r="IR1551" s="42" t="str">
        <f t="array" aca="1" ref="IR1551" ca="1">IFERROR(INDEX(nombres[],SMALL(IF(OFFSET(nombres[],0,0,ROWS(nombres[]),1)=IR$1490,ROW(OFFSET(nombres[],0,0,ROWS(nombres[]),1))-ROW(OFFSET(nombres[],0,0,1,1))+1,ROW(OFFSET(nombres[],ROWS(nombres[])-1,0,1,1))+1),$O1551:$O1570),3),"")</f>
        <v/>
      </c>
      <c r="IS1551" s="42" t="str">
        <f t="array" aca="1" ref="IS1551" ca="1">IFERROR(INDEX(nombres[],SMALL(IF(OFFSET(nombres[],0,0,ROWS(nombres[]),1)=IS$1490,ROW(OFFSET(nombres[],0,0,ROWS(nombres[]),1))-ROW(OFFSET(nombres[],0,0,1,1))+1,ROW(OFFSET(nombres[],ROWS(nombres[])-1,0,1,1))+1),$O1551:$O1570),3),"")</f>
        <v/>
      </c>
      <c r="IT1551" s="42" t="str">
        <f t="array" aca="1" ref="IT1551" ca="1">IFERROR(INDEX(nombres[],SMALL(IF(OFFSET(nombres[],0,0,ROWS(nombres[]),1)=IT$1490,ROW(OFFSET(nombres[],0,0,ROWS(nombres[]),1))-ROW(OFFSET(nombres[],0,0,1,1))+1,ROW(OFFSET(nombres[],ROWS(nombres[])-1,0,1,1))+1),$O1551:$O1570),3),"")</f>
        <v/>
      </c>
      <c r="IU1551" s="42" t="str">
        <f t="array" aca="1" ref="IU1551" ca="1">IFERROR(INDEX(nombres[],SMALL(IF(OFFSET(nombres[],0,0,ROWS(nombres[]),1)=IU$1490,ROW(OFFSET(nombres[],0,0,ROWS(nombres[]),1))-ROW(OFFSET(nombres[],0,0,1,1))+1,ROW(OFFSET(nombres[],ROWS(nombres[])-1,0,1,1))+1),$O1551:$O1570),3),"")</f>
        <v/>
      </c>
      <c r="IV1551" s="42" t="str">
        <f t="array" aca="1" ref="IV1551" ca="1">IFERROR(INDEX(nombres[],SMALL(IF(OFFSET(nombres[],0,0,ROWS(nombres[]),1)=IV$1490,ROW(OFFSET(nombres[],0,0,ROWS(nombres[]),1))-ROW(OFFSET(nombres[],0,0,1,1))+1,ROW(OFFSET(nombres[],ROWS(nombres[])-1,0,1,1))+1),$O1551:$O1570),3),"")</f>
        <v/>
      </c>
      <c r="IW1551" s="42" t="str">
        <f t="array" aca="1" ref="IW1551" ca="1">IFERROR(INDEX(nombres[],SMALL(IF(OFFSET(nombres[],0,0,ROWS(nombres[]),1)=IW$1490,ROW(OFFSET(nombres[],0,0,ROWS(nombres[]),1))-ROW(OFFSET(nombres[],0,0,1,1))+1,ROW(OFFSET(nombres[],ROWS(nombres[])-1,0,1,1))+1),$O1551:$O1570),3),"")</f>
        <v/>
      </c>
      <c r="IX1551" s="42" t="str">
        <f t="array" aca="1" ref="IX1551" ca="1">IFERROR(INDEX(nombres[],SMALL(IF(OFFSET(nombres[],0,0,ROWS(nombres[]),1)=IX$1490,ROW(OFFSET(nombres[],0,0,ROWS(nombres[]),1))-ROW(OFFSET(nombres[],0,0,1,1))+1,ROW(OFFSET(nombres[],ROWS(nombres[])-1,0,1,1))+1),$O1551:$O1570),3),"")</f>
        <v/>
      </c>
      <c r="IY1551" s="42" t="str">
        <f t="array" aca="1" ref="IY1551" ca="1">IFERROR(INDEX(nombres[],SMALL(IF(OFFSET(nombres[],0,0,ROWS(nombres[]),1)=IY$1490,ROW(OFFSET(nombres[],0,0,ROWS(nombres[]),1))-ROW(OFFSET(nombres[],0,0,1,1))+1,ROW(OFFSET(nombres[],ROWS(nombres[])-1,0,1,1))+1),$O1551:$O1570),3),"")</f>
        <v/>
      </c>
      <c r="IZ1551" s="42" t="str">
        <f t="array" aca="1" ref="IZ1551" ca="1">IFERROR(INDEX(nombres[],SMALL(IF(OFFSET(nombres[],0,0,ROWS(nombres[]),1)=IZ$1490,ROW(OFFSET(nombres[],0,0,ROWS(nombres[]),1))-ROW(OFFSET(nombres[],0,0,1,1))+1,ROW(OFFSET(nombres[],ROWS(nombres[])-1,0,1,1))+1),$O1551:$O1570),3),"")</f>
        <v/>
      </c>
      <c r="JA1551" s="42" t="str">
        <f t="array" aca="1" ref="JA1551" ca="1">IFERROR(INDEX(nombres[],SMALL(IF(OFFSET(nombres[],0,0,ROWS(nombres[]),1)=JA$1490,ROW(OFFSET(nombres[],0,0,ROWS(nombres[]),1))-ROW(OFFSET(nombres[],0,0,1,1))+1,ROW(OFFSET(nombres[],ROWS(nombres[])-1,0,1,1))+1),$O1551:$O1570),3),"")</f>
        <v/>
      </c>
      <c r="JB1551" s="42" t="str">
        <f t="array" aca="1" ref="JB1551" ca="1">IFERROR(INDEX(nombres[],SMALL(IF(OFFSET(nombres[],0,0,ROWS(nombres[]),1)=JB$1490,ROW(OFFSET(nombres[],0,0,ROWS(nombres[]),1))-ROW(OFFSET(nombres[],0,0,1,1))+1,ROW(OFFSET(nombres[],ROWS(nombres[])-1,0,1,1))+1),$O1551:$O1570),3),"")</f>
        <v/>
      </c>
      <c r="JC1551" s="42" t="str">
        <f t="array" aca="1" ref="JC1551" ca="1">IFERROR(INDEX(nombres[],SMALL(IF(OFFSET(nombres[],0,0,ROWS(nombres[]),1)=JC$1490,ROW(OFFSET(nombres[],0,0,ROWS(nombres[]),1))-ROW(OFFSET(nombres[],0,0,1,1))+1,ROW(OFFSET(nombres[],ROWS(nombres[])-1,0,1,1))+1),$O1551:$O1570),3),"")</f>
        <v/>
      </c>
      <c r="JD1551" s="42" t="str">
        <f t="array" aca="1" ref="JD1551" ca="1">IFERROR(INDEX(nombres[],SMALL(IF(OFFSET(nombres[],0,0,ROWS(nombres[]),1)=JD$1490,ROW(OFFSET(nombres[],0,0,ROWS(nombres[]),1))-ROW(OFFSET(nombres[],0,0,1,1))+1,ROW(OFFSET(nombres[],ROWS(nombres[])-1,0,1,1))+1),$O1551:$O1570),3),"")</f>
        <v/>
      </c>
      <c r="JE1551" s="42" t="str">
        <f t="array" aca="1" ref="JE1551" ca="1">IFERROR(INDEX(nombres[],SMALL(IF(OFFSET(nombres[],0,0,ROWS(nombres[]),1)=JE$1490,ROW(OFFSET(nombres[],0,0,ROWS(nombres[]),1))-ROW(OFFSET(nombres[],0,0,1,1))+1,ROW(OFFSET(nombres[],ROWS(nombres[])-1,0,1,1))+1),$O1551:$O1570),3),"")</f>
        <v/>
      </c>
      <c r="JF1551" s="42" t="str">
        <f t="array" aca="1" ref="JF1551" ca="1">IFERROR(INDEX(nombres[],SMALL(IF(OFFSET(nombres[],0,0,ROWS(nombres[]),1)=JF$1490,ROW(OFFSET(nombres[],0,0,ROWS(nombres[]),1))-ROW(OFFSET(nombres[],0,0,1,1))+1,ROW(OFFSET(nombres[],ROWS(nombres[])-1,0,1,1))+1),$O1551:$O1570),3),"")</f>
        <v/>
      </c>
      <c r="JG1551" s="42" t="str">
        <f t="array" aca="1" ref="JG1551" ca="1">IFERROR(INDEX(nombres[],SMALL(IF(OFFSET(nombres[],0,0,ROWS(nombres[]),1)=JG$1490,ROW(OFFSET(nombres[],0,0,ROWS(nombres[]),1))-ROW(OFFSET(nombres[],0,0,1,1))+1,ROW(OFFSET(nombres[],ROWS(nombres[])-1,0,1,1))+1),$O1551:$O1570),3),"")</f>
        <v/>
      </c>
      <c r="JH1551" s="42" t="str">
        <f t="array" aca="1" ref="JH1551" ca="1">IFERROR(INDEX(nombres[],SMALL(IF(OFFSET(nombres[],0,0,ROWS(nombres[]),1)=JH$1490,ROW(OFFSET(nombres[],0,0,ROWS(nombres[]),1))-ROW(OFFSET(nombres[],0,0,1,1))+1,ROW(OFFSET(nombres[],ROWS(nombres[])-1,0,1,1))+1),$O1551:$O1570),3),"")</f>
        <v/>
      </c>
      <c r="JI1551" s="42" t="str">
        <f t="array" aca="1" ref="JI1551" ca="1">IFERROR(INDEX(nombres[],SMALL(IF(OFFSET(nombres[],0,0,ROWS(nombres[]),1)=JI$1490,ROW(OFFSET(nombres[],0,0,ROWS(nombres[]),1))-ROW(OFFSET(nombres[],0,0,1,1))+1,ROW(OFFSET(nombres[],ROWS(nombres[])-1,0,1,1))+1),$O1551:$O1570),3),"")</f>
        <v/>
      </c>
      <c r="JJ1551" s="42" t="str">
        <f t="array" aca="1" ref="JJ1551" ca="1">IFERROR(INDEX(nombres[],SMALL(IF(OFFSET(nombres[],0,0,ROWS(nombres[]),1)=JJ$1490,ROW(OFFSET(nombres[],0,0,ROWS(nombres[]),1))-ROW(OFFSET(nombres[],0,0,1,1))+1,ROW(OFFSET(nombres[],ROWS(nombres[])-1,0,1,1))+1),$O1551:$O1570),3),"")</f>
        <v/>
      </c>
      <c r="JK1551" s="42" t="str">
        <f t="array" aca="1" ref="JK1551" ca="1">IFERROR(INDEX(nombres[],SMALL(IF(OFFSET(nombres[],0,0,ROWS(nombres[]),1)=JK$1490,ROW(OFFSET(nombres[],0,0,ROWS(nombres[]),1))-ROW(OFFSET(nombres[],0,0,1,1))+1,ROW(OFFSET(nombres[],ROWS(nombres[])-1,0,1,1))+1),$O1551:$O1570),3),"")</f>
        <v/>
      </c>
      <c r="JL1551" s="42" t="str">
        <f t="array" aca="1" ref="JL1551" ca="1">IFERROR(INDEX(nombres[],SMALL(IF(OFFSET(nombres[],0,0,ROWS(nombres[]),1)=JL$1490,ROW(OFFSET(nombres[],0,0,ROWS(nombres[]),1))-ROW(OFFSET(nombres[],0,0,1,1))+1,ROW(OFFSET(nombres[],ROWS(nombres[])-1,0,1,1))+1),$O1551:$O1570),3),"")</f>
        <v/>
      </c>
      <c r="JM1551" s="42" t="str">
        <f t="array" aca="1" ref="JM1551" ca="1">IFERROR(INDEX(nombres[],SMALL(IF(OFFSET(nombres[],0,0,ROWS(nombres[]),1)=JM$1490,ROW(OFFSET(nombres[],0,0,ROWS(nombres[]),1))-ROW(OFFSET(nombres[],0,0,1,1))+1,ROW(OFFSET(nombres[],ROWS(nombres[])-1,0,1,1))+1),$O1551:$O1570),3),"")</f>
        <v/>
      </c>
      <c r="JN1551" s="42" t="str">
        <f t="array" aca="1" ref="JN1551" ca="1">IFERROR(INDEX(nombres[],SMALL(IF(OFFSET(nombres[],0,0,ROWS(nombres[]),1)=JN$1490,ROW(OFFSET(nombres[],0,0,ROWS(nombres[]),1))-ROW(OFFSET(nombres[],0,0,1,1))+1,ROW(OFFSET(nombres[],ROWS(nombres[])-1,0,1,1))+1),$O1551:$O1570),3),"")</f>
        <v/>
      </c>
      <c r="JO1551" s="42" t="str">
        <f t="array" aca="1" ref="JO1551" ca="1">IFERROR(INDEX(nombres[],SMALL(IF(OFFSET(nombres[],0,0,ROWS(nombres[]),1)=JO$1490,ROW(OFFSET(nombres[],0,0,ROWS(nombres[]),1))-ROW(OFFSET(nombres[],0,0,1,1))+1,ROW(OFFSET(nombres[],ROWS(nombres[])-1,0,1,1))+1),$O1551:$O1570),3),"")</f>
        <v/>
      </c>
      <c r="JP1551" s="42" t="str">
        <f t="array" aca="1" ref="JP1551" ca="1">IFERROR(INDEX(nombres[],SMALL(IF(OFFSET(nombres[],0,0,ROWS(nombres[]),1)=JP$1490,ROW(OFFSET(nombres[],0,0,ROWS(nombres[]),1))-ROW(OFFSET(nombres[],0,0,1,1))+1,ROW(OFFSET(nombres[],ROWS(nombres[])-1,0,1,1))+1),$O1551:$O1570),3),"")</f>
        <v/>
      </c>
      <c r="JQ1551" s="42" t="str">
        <f t="array" aca="1" ref="JQ1551" ca="1">IFERROR(INDEX(nombres[],SMALL(IF(OFFSET(nombres[],0,0,ROWS(nombres[]),1)=JQ$1490,ROW(OFFSET(nombres[],0,0,ROWS(nombres[]),1))-ROW(OFFSET(nombres[],0,0,1,1))+1,ROW(OFFSET(nombres[],ROWS(nombres[])-1,0,1,1))+1),$O1551:$O1570),3),"")</f>
        <v/>
      </c>
      <c r="JR1551" s="42" t="str">
        <f t="array" aca="1" ref="JR1551" ca="1">IFERROR(INDEX(nombres[],SMALL(IF(OFFSET(nombres[],0,0,ROWS(nombres[]),1)=JR$1490,ROW(OFFSET(nombres[],0,0,ROWS(nombres[]),1))-ROW(OFFSET(nombres[],0,0,1,1))+1,ROW(OFFSET(nombres[],ROWS(nombres[])-1,0,1,1))+1),$O1551:$O1570),3),"")</f>
        <v/>
      </c>
      <c r="JS1551" s="42" t="str">
        <f t="array" aca="1" ref="JS1551" ca="1">IFERROR(INDEX(nombres[],SMALL(IF(OFFSET(nombres[],0,0,ROWS(nombres[]),1)=JS$1490,ROW(OFFSET(nombres[],0,0,ROWS(nombres[]),1))-ROW(OFFSET(nombres[],0,0,1,1))+1,ROW(OFFSET(nombres[],ROWS(nombres[])-1,0,1,1))+1),$O1551:$O1570),3),"")</f>
        <v/>
      </c>
      <c r="JT1551" s="42" t="str">
        <f t="array" aca="1" ref="JT1551" ca="1">IFERROR(INDEX(nombres[],SMALL(IF(OFFSET(nombres[],0,0,ROWS(nombres[]),1)=JT$1490,ROW(OFFSET(nombres[],0,0,ROWS(nombres[]),1))-ROW(OFFSET(nombres[],0,0,1,1))+1,ROW(OFFSET(nombres[],ROWS(nombres[])-1,0,1,1))+1),$O1551:$O1570),3),"")</f>
        <v/>
      </c>
      <c r="JU1551" s="42" t="str">
        <f t="array" aca="1" ref="JU1551" ca="1">IFERROR(INDEX(nombres[],SMALL(IF(OFFSET(nombres[],0,0,ROWS(nombres[]),1)=JU$1490,ROW(OFFSET(nombres[],0,0,ROWS(nombres[]),1))-ROW(OFFSET(nombres[],0,0,1,1))+1,ROW(OFFSET(nombres[],ROWS(nombres[])-1,0,1,1))+1),$O1551:$O1570),3),"")</f>
        <v/>
      </c>
      <c r="JV1551" s="42" t="str">
        <f t="array" aca="1" ref="JV1551" ca="1">IFERROR(INDEX(nombres[],SMALL(IF(OFFSET(nombres[],0,0,ROWS(nombres[]),1)=JV$1490,ROW(OFFSET(nombres[],0,0,ROWS(nombres[]),1))-ROW(OFFSET(nombres[],0,0,1,1))+1,ROW(OFFSET(nombres[],ROWS(nombres[])-1,0,1,1))+1),$O1551:$O1570),3),"")</f>
        <v/>
      </c>
      <c r="JW1551" s="42" t="str">
        <f t="array" aca="1" ref="JW1551" ca="1">IFERROR(INDEX(nombres[],SMALL(IF(OFFSET(nombres[],0,0,ROWS(nombres[]),1)=JW$1490,ROW(OFFSET(nombres[],0,0,ROWS(nombres[]),1))-ROW(OFFSET(nombres[],0,0,1,1))+1,ROW(OFFSET(nombres[],ROWS(nombres[])-1,0,1,1))+1),$O1551:$O1570),3),"")</f>
        <v/>
      </c>
      <c r="JX1551" s="42" t="str">
        <f t="array" aca="1" ref="JX1551" ca="1">IFERROR(INDEX(nombres[],SMALL(IF(OFFSET(nombres[],0,0,ROWS(nombres[]),1)=JX$1490,ROW(OFFSET(nombres[],0,0,ROWS(nombres[]),1))-ROW(OFFSET(nombres[],0,0,1,1))+1,ROW(OFFSET(nombres[],ROWS(nombres[])-1,0,1,1))+1),$O1551:$O1570),3),"")</f>
        <v/>
      </c>
      <c r="JY1551" s="42" t="str">
        <f t="array" aca="1" ref="JY1551" ca="1">IFERROR(INDEX(nombres[],SMALL(IF(OFFSET(nombres[],0,0,ROWS(nombres[]),1)=JY$1490,ROW(OFFSET(nombres[],0,0,ROWS(nombres[]),1))-ROW(OFFSET(nombres[],0,0,1,1))+1,ROW(OFFSET(nombres[],ROWS(nombres[])-1,0,1,1))+1),$O1551:$O1570),3),"")</f>
        <v/>
      </c>
      <c r="JZ1551" s="42" t="str">
        <f t="array" aca="1" ref="JZ1551" ca="1">IFERROR(INDEX(nombres[],SMALL(IF(OFFSET(nombres[],0,0,ROWS(nombres[]),1)=JZ$1490,ROW(OFFSET(nombres[],0,0,ROWS(nombres[]),1))-ROW(OFFSET(nombres[],0,0,1,1))+1,ROW(OFFSET(nombres[],ROWS(nombres[])-1,0,1,1))+1),$O1551:$O1570),3),"")</f>
        <v/>
      </c>
      <c r="KA1551" s="42" t="str">
        <f t="array" aca="1" ref="KA1551" ca="1">IFERROR(INDEX(nombres[],SMALL(IF(OFFSET(nombres[],0,0,ROWS(nombres[]),1)=KA$1490,ROW(OFFSET(nombres[],0,0,ROWS(nombres[]),1))-ROW(OFFSET(nombres[],0,0,1,1))+1,ROW(OFFSET(nombres[],ROWS(nombres[])-1,0,1,1))+1),$O1551:$O1570),3),"")</f>
        <v/>
      </c>
      <c r="KB1551" s="42" t="str">
        <f t="array" aca="1" ref="KB1551" ca="1">IFERROR(INDEX(nombres[],SMALL(IF(OFFSET(nombres[],0,0,ROWS(nombres[]),1)=KB$1490,ROW(OFFSET(nombres[],0,0,ROWS(nombres[]),1))-ROW(OFFSET(nombres[],0,0,1,1))+1,ROW(OFFSET(nombres[],ROWS(nombres[])-1,0,1,1))+1),$O1551:$O1570),3),"")</f>
        <v/>
      </c>
      <c r="KC1551" s="42" t="str">
        <f t="array" aca="1" ref="KC1551" ca="1">IFERROR(INDEX(nombres[],SMALL(IF(OFFSET(nombres[],0,0,ROWS(nombres[]),1)=KC$1490,ROW(OFFSET(nombres[],0,0,ROWS(nombres[]),1))-ROW(OFFSET(nombres[],0,0,1,1))+1,ROW(OFFSET(nombres[],ROWS(nombres[])-1,0,1,1))+1),$O1551:$O1570),3),"")</f>
        <v/>
      </c>
      <c r="KD1551" s="42" t="str">
        <f t="array" aca="1" ref="KD1551" ca="1">IFERROR(INDEX(nombres[],SMALL(IF(OFFSET(nombres[],0,0,ROWS(nombres[]),1)=KD$1490,ROW(OFFSET(nombres[],0,0,ROWS(nombres[]),1))-ROW(OFFSET(nombres[],0,0,1,1))+1,ROW(OFFSET(nombres[],ROWS(nombres[])-1,0,1,1))+1),$O1551:$O1570),3),"")</f>
        <v/>
      </c>
      <c r="KE1551" s="42" t="str">
        <f t="array" aca="1" ref="KE1551" ca="1">IFERROR(INDEX(nombres[],SMALL(IF(OFFSET(nombres[],0,0,ROWS(nombres[]),1)=KE$1490,ROW(OFFSET(nombres[],0,0,ROWS(nombres[]),1))-ROW(OFFSET(nombres[],0,0,1,1))+1,ROW(OFFSET(nombres[],ROWS(nombres[])-1,0,1,1))+1),$O1551:$O1570),3),"")</f>
        <v/>
      </c>
      <c r="KF1551" s="42" t="str">
        <f t="array" aca="1" ref="KF1551" ca="1">IFERROR(INDEX(nombres[],SMALL(IF(OFFSET(nombres[],0,0,ROWS(nombres[]),1)=KF$1490,ROW(OFFSET(nombres[],0,0,ROWS(nombres[]),1))-ROW(OFFSET(nombres[],0,0,1,1))+1,ROW(OFFSET(nombres[],ROWS(nombres[])-1,0,1,1))+1),$O1551:$O1570),3),"")</f>
        <v/>
      </c>
      <c r="KG1551" s="42" t="str">
        <f t="array" aca="1" ref="KG1551" ca="1">IFERROR(INDEX(nombres[],SMALL(IF(OFFSET(nombres[],0,0,ROWS(nombres[]),1)=KG$1490,ROW(OFFSET(nombres[],0,0,ROWS(nombres[]),1))-ROW(OFFSET(nombres[],0,0,1,1))+1,ROW(OFFSET(nombres[],ROWS(nombres[])-1,0,1,1))+1),$O1551:$O1570),3),"")</f>
        <v/>
      </c>
      <c r="KH1551" s="42" t="str">
        <f t="array" aca="1" ref="KH1551" ca="1">IFERROR(INDEX(nombres[],SMALL(IF(OFFSET(nombres[],0,0,ROWS(nombres[]),1)=KH$1490,ROW(OFFSET(nombres[],0,0,ROWS(nombres[]),1))-ROW(OFFSET(nombres[],0,0,1,1))+1,ROW(OFFSET(nombres[],ROWS(nombres[])-1,0,1,1))+1),$O1551:$O1570),3),"")</f>
        <v/>
      </c>
      <c r="KI1551" s="42" t="str">
        <f t="array" aca="1" ref="KI1551" ca="1">IFERROR(INDEX(nombres[],SMALL(IF(OFFSET(nombres[],0,0,ROWS(nombres[]),1)=KI$1490,ROW(OFFSET(nombres[],0,0,ROWS(nombres[]),1))-ROW(OFFSET(nombres[],0,0,1,1))+1,ROW(OFFSET(nombres[],ROWS(nombres[])-1,0,1,1))+1),$O1551:$O1570),3),"")</f>
        <v/>
      </c>
      <c r="KJ1551" s="42" t="str">
        <f t="array" aca="1" ref="KJ1551" ca="1">IFERROR(INDEX(nombres[],SMALL(IF(OFFSET(nombres[],0,0,ROWS(nombres[]),1)=KJ$1490,ROW(OFFSET(nombres[],0,0,ROWS(nombres[]),1))-ROW(OFFSET(nombres[],0,0,1,1))+1,ROW(OFFSET(nombres[],ROWS(nombres[])-1,0,1,1))+1),$O1551:$O1570),3),"")</f>
        <v/>
      </c>
      <c r="KK1551" s="42" t="str">
        <f t="array" aca="1" ref="KK1551" ca="1">IFERROR(INDEX(nombres[],SMALL(IF(OFFSET(nombres[],0,0,ROWS(nombres[]),1)=KK$1490,ROW(OFFSET(nombres[],0,0,ROWS(nombres[]),1))-ROW(OFFSET(nombres[],0,0,1,1))+1,ROW(OFFSET(nombres[],ROWS(nombres[])-1,0,1,1))+1),$O1551:$O1570),3),"")</f>
        <v/>
      </c>
      <c r="KL1551" s="42" t="str">
        <f t="array" aca="1" ref="KL1551" ca="1">IFERROR(INDEX(nombres[],SMALL(IF(OFFSET(nombres[],0,0,ROWS(nombres[]),1)=KL$1490,ROW(OFFSET(nombres[],0,0,ROWS(nombres[]),1))-ROW(OFFSET(nombres[],0,0,1,1))+1,ROW(OFFSET(nombres[],ROWS(nombres[])-1,0,1,1))+1),$O1551:$O1570),3),"")</f>
        <v/>
      </c>
      <c r="KM1551" s="42" t="str">
        <f t="array" aca="1" ref="KM1551" ca="1">IFERROR(INDEX(nombres[],SMALL(IF(OFFSET(nombres[],0,0,ROWS(nombres[]),1)=KM$1490,ROW(OFFSET(nombres[],0,0,ROWS(nombres[]),1))-ROW(OFFSET(nombres[],0,0,1,1))+1,ROW(OFFSET(nombres[],ROWS(nombres[])-1,0,1,1))+1),$O1551:$O1570),3),"")</f>
        <v/>
      </c>
      <c r="KN1551" s="42" t="str">
        <f t="array" aca="1" ref="KN1551" ca="1">IFERROR(INDEX(nombres[],SMALL(IF(OFFSET(nombres[],0,0,ROWS(nombres[]),1)=KN$1490,ROW(OFFSET(nombres[],0,0,ROWS(nombres[]),1))-ROW(OFFSET(nombres[],0,0,1,1))+1,ROW(OFFSET(nombres[],ROWS(nombres[])-1,0,1,1))+1),$O1551:$O1570),3),"")</f>
        <v/>
      </c>
      <c r="KO1551" s="42" t="str">
        <f t="array" aca="1" ref="KO1551" ca="1">IFERROR(INDEX(nombres[],SMALL(IF(OFFSET(nombres[],0,0,ROWS(nombres[]),1)=KO$1490,ROW(OFFSET(nombres[],0,0,ROWS(nombres[]),1))-ROW(OFFSET(nombres[],0,0,1,1))+1,ROW(OFFSET(nombres[],ROWS(nombres[])-1,0,1,1))+1),$O1551:$O1570),3),"")</f>
        <v/>
      </c>
      <c r="KP1551" s="42" t="str">
        <f t="array" aca="1" ref="KP1551" ca="1">IFERROR(INDEX(nombres[],SMALL(IF(OFFSET(nombres[],0,0,ROWS(nombres[]),1)=KP$1490,ROW(OFFSET(nombres[],0,0,ROWS(nombres[]),1))-ROW(OFFSET(nombres[],0,0,1,1))+1,ROW(OFFSET(nombres[],ROWS(nombres[])-1,0,1,1))+1),$O1551:$O1570),3),"")</f>
        <v/>
      </c>
      <c r="KQ1551" s="42" t="str">
        <f t="array" aca="1" ref="KQ1551" ca="1">IFERROR(INDEX(nombres[],SMALL(IF(OFFSET(nombres[],0,0,ROWS(nombres[]),1)=KQ$1490,ROW(OFFSET(nombres[],0,0,ROWS(nombres[]),1))-ROW(OFFSET(nombres[],0,0,1,1))+1,ROW(OFFSET(nombres[],ROWS(nombres[])-1,0,1,1))+1),$O1551:$O1570),3),"")</f>
        <v/>
      </c>
      <c r="KR1551" s="42" t="str">
        <f t="array" aca="1" ref="KR1551" ca="1">IFERROR(INDEX(nombres[],SMALL(IF(OFFSET(nombres[],0,0,ROWS(nombres[]),1)=KR$1490,ROW(OFFSET(nombres[],0,0,ROWS(nombres[]),1))-ROW(OFFSET(nombres[],0,0,1,1))+1,ROW(OFFSET(nombres[],ROWS(nombres[])-1,0,1,1))+1),$O1551:$O1570),3),"")</f>
        <v/>
      </c>
      <c r="KS1551" s="42" t="str">
        <f t="array" aca="1" ref="KS1551" ca="1">IFERROR(INDEX(nombres[],SMALL(IF(OFFSET(nombres[],0,0,ROWS(nombres[]),1)=KS$1490,ROW(OFFSET(nombres[],0,0,ROWS(nombres[]),1))-ROW(OFFSET(nombres[],0,0,1,1))+1,ROW(OFFSET(nombres[],ROWS(nombres[])-1,0,1,1))+1),$O1551:$O1570),3),"")</f>
        <v/>
      </c>
      <c r="KT1551" s="42" t="str">
        <f t="array" aca="1" ref="KT1551" ca="1">IFERROR(INDEX(nombres[],SMALL(IF(OFFSET(nombres[],0,0,ROWS(nombres[]),1)=KT$1490,ROW(OFFSET(nombres[],0,0,ROWS(nombres[]),1))-ROW(OFFSET(nombres[],0,0,1,1))+1,ROW(OFFSET(nombres[],ROWS(nombres[])-1,0,1,1))+1),$O1551:$O1570),3),"")</f>
        <v/>
      </c>
      <c r="KU1551" s="42" t="str">
        <f t="array" aca="1" ref="KU1551" ca="1">IFERROR(INDEX(nombres[],SMALL(IF(OFFSET(nombres[],0,0,ROWS(nombres[]),1)=KU$1490,ROW(OFFSET(nombres[],0,0,ROWS(nombres[]),1))-ROW(OFFSET(nombres[],0,0,1,1))+1,ROW(OFFSET(nombres[],ROWS(nombres[])-1,0,1,1))+1),$O1551:$O1570),3),"")</f>
        <v/>
      </c>
      <c r="KV1551" s="42" t="str">
        <f t="array" aca="1" ref="KV1551" ca="1">IFERROR(INDEX(nombres[],SMALL(IF(OFFSET(nombres[],0,0,ROWS(nombres[]),1)=KV$1490,ROW(OFFSET(nombres[],0,0,ROWS(nombres[]),1))-ROW(OFFSET(nombres[],0,0,1,1))+1,ROW(OFFSET(nombres[],ROWS(nombres[])-1,0,1,1))+1),$O1551:$O1570),3),"")</f>
        <v/>
      </c>
      <c r="KW1551" s="42" t="str">
        <f t="array" aca="1" ref="KW1551" ca="1">IFERROR(INDEX(nombres[],SMALL(IF(OFFSET(nombres[],0,0,ROWS(nombres[]),1)=KW$1490,ROW(OFFSET(nombres[],0,0,ROWS(nombres[]),1))-ROW(OFFSET(nombres[],0,0,1,1))+1,ROW(OFFSET(nombres[],ROWS(nombres[])-1,0,1,1))+1),$O1551:$O1570),3),"")</f>
        <v/>
      </c>
      <c r="KX1551" s="42" t="str">
        <f t="array" aca="1" ref="KX1551" ca="1">IFERROR(INDEX(nombres[],SMALL(IF(OFFSET(nombres[],0,0,ROWS(nombres[]),1)=KX$1490,ROW(OFFSET(nombres[],0,0,ROWS(nombres[]),1))-ROW(OFFSET(nombres[],0,0,1,1))+1,ROW(OFFSET(nombres[],ROWS(nombres[])-1,0,1,1))+1),$O1551:$O1570),3),"")</f>
        <v/>
      </c>
      <c r="KY1551" s="42" t="str">
        <f t="array" aca="1" ref="KY1551" ca="1">IFERROR(INDEX(nombres[],SMALL(IF(OFFSET(nombres[],0,0,ROWS(nombres[]),1)=KY$1490,ROW(OFFSET(nombres[],0,0,ROWS(nombres[]),1))-ROW(OFFSET(nombres[],0,0,1,1))+1,ROW(OFFSET(nombres[],ROWS(nombres[])-1,0,1,1))+1),$O1551:$O1570),3),"")</f>
        <v/>
      </c>
      <c r="KZ1551" s="42" t="str">
        <f t="array" aca="1" ref="KZ1551" ca="1">IFERROR(INDEX(nombres[],SMALL(IF(OFFSET(nombres[],0,0,ROWS(nombres[]),1)=KZ$1490,ROW(OFFSET(nombres[],0,0,ROWS(nombres[]),1))-ROW(OFFSET(nombres[],0,0,1,1))+1,ROW(OFFSET(nombres[],ROWS(nombres[])-1,0,1,1))+1),$O1551:$O1570),3),"")</f>
        <v/>
      </c>
      <c r="LA1551" s="42" t="str">
        <f t="array" aca="1" ref="LA1551" ca="1">IFERROR(INDEX(nombres[],SMALL(IF(OFFSET(nombres[],0,0,ROWS(nombres[]),1)=LA$1490,ROW(OFFSET(nombres[],0,0,ROWS(nombres[]),1))-ROW(OFFSET(nombres[],0,0,1,1))+1,ROW(OFFSET(nombres[],ROWS(nombres[])-1,0,1,1))+1),$O1551:$O1570),3),"")</f>
        <v/>
      </c>
      <c r="LB1551" s="42" t="str">
        <f t="array" aca="1" ref="LB1551" ca="1">IFERROR(INDEX(nombres[],SMALL(IF(OFFSET(nombres[],0,0,ROWS(nombres[]),1)=LB$1490,ROW(OFFSET(nombres[],0,0,ROWS(nombres[]),1))-ROW(OFFSET(nombres[],0,0,1,1))+1,ROW(OFFSET(nombres[],ROWS(nombres[])-1,0,1,1))+1),$O1551:$O1570),3),"")</f>
        <v/>
      </c>
      <c r="LC1551" s="42" t="str">
        <f t="array" aca="1" ref="LC1551" ca="1">IFERROR(INDEX(nombres[],SMALL(IF(OFFSET(nombres[],0,0,ROWS(nombres[]),1)=LC$1490,ROW(OFFSET(nombres[],0,0,ROWS(nombres[]),1))-ROW(OFFSET(nombres[],0,0,1,1))+1,ROW(OFFSET(nombres[],ROWS(nombres[])-1,0,1,1))+1),$O1551:$O1570),3),"")</f>
        <v/>
      </c>
      <c r="LD1551" s="42" t="str">
        <f t="array" aca="1" ref="LD1551" ca="1">IFERROR(INDEX(nombres[],SMALL(IF(OFFSET(nombres[],0,0,ROWS(nombres[]),1)=LD$1490,ROW(OFFSET(nombres[],0,0,ROWS(nombres[]),1))-ROW(OFFSET(nombres[],0,0,1,1))+1,ROW(OFFSET(nombres[],ROWS(nombres[])-1,0,1,1))+1),$O1551:$O1570),3),"")</f>
        <v/>
      </c>
      <c r="LE1551" s="42" t="str">
        <f t="array" aca="1" ref="LE1551" ca="1">IFERROR(INDEX(nombres[],SMALL(IF(OFFSET(nombres[],0,0,ROWS(nombres[]),1)=LE$1490,ROW(OFFSET(nombres[],0,0,ROWS(nombres[]),1))-ROW(OFFSET(nombres[],0,0,1,1))+1,ROW(OFFSET(nombres[],ROWS(nombres[])-1,0,1,1))+1),$O1551:$O1570),3),"")</f>
        <v/>
      </c>
      <c r="LF1551" s="42" t="str">
        <f t="array" aca="1" ref="LF1551" ca="1">IFERROR(INDEX(nombres[],SMALL(IF(OFFSET(nombres[],0,0,ROWS(nombres[]),1)=LF$1490,ROW(OFFSET(nombres[],0,0,ROWS(nombres[]),1))-ROW(OFFSET(nombres[],0,0,1,1))+1,ROW(OFFSET(nombres[],ROWS(nombres[])-1,0,1,1))+1),$O1551:$O1570),3),"")</f>
        <v/>
      </c>
      <c r="LG1551" s="42" t="str">
        <f t="array" aca="1" ref="LG1551" ca="1">IFERROR(INDEX(nombres[],SMALL(IF(OFFSET(nombres[],0,0,ROWS(nombres[]),1)=LG$1490,ROW(OFFSET(nombres[],0,0,ROWS(nombres[]),1))-ROW(OFFSET(nombres[],0,0,1,1))+1,ROW(OFFSET(nombres[],ROWS(nombres[])-1,0,1,1))+1),$O1551:$O1570),3),"")</f>
        <v/>
      </c>
      <c r="LH1551" s="42" t="str">
        <f t="array" aca="1" ref="LH1551" ca="1">IFERROR(INDEX(nombres[],SMALL(IF(OFFSET(nombres[],0,0,ROWS(nombres[]),1)=LH$1490,ROW(OFFSET(nombres[],0,0,ROWS(nombres[]),1))-ROW(OFFSET(nombres[],0,0,1,1))+1,ROW(OFFSET(nombres[],ROWS(nombres[])-1,0,1,1))+1),$O1551:$O1570),3),"")</f>
        <v/>
      </c>
      <c r="LI1551" s="42" t="str">
        <f t="array" aca="1" ref="LI1551" ca="1">IFERROR(INDEX(nombres[],SMALL(IF(OFFSET(nombres[],0,0,ROWS(nombres[]),1)=LI$1490,ROW(OFFSET(nombres[],0,0,ROWS(nombres[]),1))-ROW(OFFSET(nombres[],0,0,1,1))+1,ROW(OFFSET(nombres[],ROWS(nombres[])-1,0,1,1))+1),$O1551:$O1570),3),"")</f>
        <v/>
      </c>
      <c r="LJ1551" s="42" t="str">
        <f t="array" aca="1" ref="LJ1551" ca="1">IFERROR(INDEX(nombres[],SMALL(IF(OFFSET(nombres[],0,0,ROWS(nombres[]),1)=LJ$1490,ROW(OFFSET(nombres[],0,0,ROWS(nombres[]),1))-ROW(OFFSET(nombres[],0,0,1,1))+1,ROW(OFFSET(nombres[],ROWS(nombres[])-1,0,1,1))+1),$O1551:$O1570),3),"")</f>
        <v/>
      </c>
      <c r="LK1551" s="42" t="str">
        <f t="array" aca="1" ref="LK1551" ca="1">IFERROR(INDEX(nombres[],SMALL(IF(OFFSET(nombres[],0,0,ROWS(nombres[]),1)=LK$1490,ROW(OFFSET(nombres[],0,0,ROWS(nombres[]),1))-ROW(OFFSET(nombres[],0,0,1,1))+1,ROW(OFFSET(nombres[],ROWS(nombres[])-1,0,1,1))+1),$O1551:$O1570),3),"")</f>
        <v/>
      </c>
      <c r="LL1551" s="42" t="str">
        <f t="array" aca="1" ref="LL1551" ca="1">IFERROR(INDEX(nombres[],SMALL(IF(OFFSET(nombres[],0,0,ROWS(nombres[]),1)=LL$1490,ROW(OFFSET(nombres[],0,0,ROWS(nombres[]),1))-ROW(OFFSET(nombres[],0,0,1,1))+1,ROW(OFFSET(nombres[],ROWS(nombres[])-1,0,1,1))+1),$O1551:$O1570),3),"")</f>
        <v/>
      </c>
      <c r="LM1551" s="42" t="str">
        <f t="array" aca="1" ref="LM1551" ca="1">IFERROR(INDEX(nombres[],SMALL(IF(OFFSET(nombres[],0,0,ROWS(nombres[]),1)=LM$1490,ROW(OFFSET(nombres[],0,0,ROWS(nombres[]),1))-ROW(OFFSET(nombres[],0,0,1,1))+1,ROW(OFFSET(nombres[],ROWS(nombres[])-1,0,1,1))+1),$O1551:$O1570),3),"")</f>
        <v/>
      </c>
      <c r="LN1551" s="42" t="str">
        <f t="array" aca="1" ref="LN1551" ca="1">IFERROR(INDEX(nombres[],SMALL(IF(OFFSET(nombres[],0,0,ROWS(nombres[]),1)=LN$1490,ROW(OFFSET(nombres[],0,0,ROWS(nombres[]),1))-ROW(OFFSET(nombres[],0,0,1,1))+1,ROW(OFFSET(nombres[],ROWS(nombres[])-1,0,1,1))+1),$O1551:$O1570),3),"")</f>
        <v/>
      </c>
      <c r="LO1551" s="42" t="str">
        <f t="array" aca="1" ref="LO1551" ca="1">IFERROR(INDEX(nombres[],SMALL(IF(OFFSET(nombres[],0,0,ROWS(nombres[]),1)=LO$1490,ROW(OFFSET(nombres[],0,0,ROWS(nombres[]),1))-ROW(OFFSET(nombres[],0,0,1,1))+1,ROW(OFFSET(nombres[],ROWS(nombres[])-1,0,1,1))+1),$O1551:$O1570),3),"")</f>
        <v/>
      </c>
      <c r="LP1551" s="42" t="str">
        <f t="array" aca="1" ref="LP1551" ca="1">IFERROR(INDEX(nombres[],SMALL(IF(OFFSET(nombres[],0,0,ROWS(nombres[]),1)=LP$1490,ROW(OFFSET(nombres[],0,0,ROWS(nombres[]),1))-ROW(OFFSET(nombres[],0,0,1,1))+1,ROW(OFFSET(nombres[],ROWS(nombres[])-1,0,1,1))+1),$O1551:$O1570),3),"")</f>
        <v/>
      </c>
      <c r="LQ1551" s="42" t="str">
        <f t="array" aca="1" ref="LQ1551" ca="1">IFERROR(INDEX(nombres[],SMALL(IF(OFFSET(nombres[],0,0,ROWS(nombres[]),1)=LQ$1490,ROW(OFFSET(nombres[],0,0,ROWS(nombres[]),1))-ROW(OFFSET(nombres[],0,0,1,1))+1,ROW(OFFSET(nombres[],ROWS(nombres[])-1,0,1,1))+1),$O1551:$O1570),3),"")</f>
        <v/>
      </c>
      <c r="LR1551" s="42" t="str">
        <f t="array" aca="1" ref="LR1551" ca="1">IFERROR(INDEX(nombres[],SMALL(IF(OFFSET(nombres[],0,0,ROWS(nombres[]),1)=LR$1490,ROW(OFFSET(nombres[],0,0,ROWS(nombres[]),1))-ROW(OFFSET(nombres[],0,0,1,1))+1,ROW(OFFSET(nombres[],ROWS(nombres[])-1,0,1,1))+1),$O1551:$O1570),3),"")</f>
        <v/>
      </c>
      <c r="LS1551" s="42" t="str">
        <f t="array" aca="1" ref="LS1551" ca="1">IFERROR(INDEX(nombres[],SMALL(IF(OFFSET(nombres[],0,0,ROWS(nombres[]),1)=LS$1490,ROW(OFFSET(nombres[],0,0,ROWS(nombres[]),1))-ROW(OFFSET(nombres[],0,0,1,1))+1,ROW(OFFSET(nombres[],ROWS(nombres[])-1,0,1,1))+1),$O1551:$O1570),3),"")</f>
        <v/>
      </c>
      <c r="LT1551" s="42" t="str">
        <f t="array" aca="1" ref="LT1551" ca="1">IFERROR(INDEX(nombres[],SMALL(IF(OFFSET(nombres[],0,0,ROWS(nombres[]),1)=LT$1490,ROW(OFFSET(nombres[],0,0,ROWS(nombres[]),1))-ROW(OFFSET(nombres[],0,0,1,1))+1,ROW(OFFSET(nombres[],ROWS(nombres[])-1,0,1,1))+1),$O1551:$O1570),3),"")</f>
        <v/>
      </c>
      <c r="LU1551" s="42" t="str">
        <f t="array" aca="1" ref="LU1551" ca="1">IFERROR(INDEX(nombres[],SMALL(IF(OFFSET(nombres[],0,0,ROWS(nombres[]),1)=LU$1490,ROW(OFFSET(nombres[],0,0,ROWS(nombres[]),1))-ROW(OFFSET(nombres[],0,0,1,1))+1,ROW(OFFSET(nombres[],ROWS(nombres[])-1,0,1,1))+1),$O1551:$O1570),3),"")</f>
        <v/>
      </c>
      <c r="LV1551" s="42" t="str">
        <f t="array" aca="1" ref="LV1551" ca="1">IFERROR(INDEX(nombres[],SMALL(IF(OFFSET(nombres[],0,0,ROWS(nombres[]),1)=LV$1490,ROW(OFFSET(nombres[],0,0,ROWS(nombres[]),1))-ROW(OFFSET(nombres[],0,0,1,1))+1,ROW(OFFSET(nombres[],ROWS(nombres[])-1,0,1,1))+1),$O1551:$O1570),3),"")</f>
        <v/>
      </c>
      <c r="LW1551" s="42" t="str">
        <f t="array" aca="1" ref="LW1551" ca="1">IFERROR(INDEX(nombres[],SMALL(IF(OFFSET(nombres[],0,0,ROWS(nombres[]),1)=LW$1490,ROW(OFFSET(nombres[],0,0,ROWS(nombres[]),1))-ROW(OFFSET(nombres[],0,0,1,1))+1,ROW(OFFSET(nombres[],ROWS(nombres[])-1,0,1,1))+1),$O1551:$O1570),3),"")</f>
        <v/>
      </c>
      <c r="LX1551" s="42" t="str">
        <f t="array" aca="1" ref="LX1551" ca="1">IFERROR(INDEX(nombres[],SMALL(IF(OFFSET(nombres[],0,0,ROWS(nombres[]),1)=LX$1490,ROW(OFFSET(nombres[],0,0,ROWS(nombres[]),1))-ROW(OFFSET(nombres[],0,0,1,1))+1,ROW(OFFSET(nombres[],ROWS(nombres[])-1,0,1,1))+1),$O1551:$O1570),3),"")</f>
        <v/>
      </c>
      <c r="LY1551" s="42" t="str">
        <f t="array" aca="1" ref="LY1551" ca="1">IFERROR(INDEX(nombres[],SMALL(IF(OFFSET(nombres[],0,0,ROWS(nombres[]),1)=LY$1490,ROW(OFFSET(nombres[],0,0,ROWS(nombres[]),1))-ROW(OFFSET(nombres[],0,0,1,1))+1,ROW(OFFSET(nombres[],ROWS(nombres[])-1,0,1,1))+1),$O1551:$O1570),3),"")</f>
        <v/>
      </c>
      <c r="LZ1551" s="42" t="str">
        <f t="array" aca="1" ref="LZ1551" ca="1">IFERROR(INDEX(nombres[],SMALL(IF(OFFSET(nombres[],0,0,ROWS(nombres[]),1)=LZ$1490,ROW(OFFSET(nombres[],0,0,ROWS(nombres[]),1))-ROW(OFFSET(nombres[],0,0,1,1))+1,ROW(OFFSET(nombres[],ROWS(nombres[])-1,0,1,1))+1),$O1551:$O1570),3),"")</f>
        <v/>
      </c>
      <c r="MA1551" s="42" t="str">
        <f t="array" aca="1" ref="MA1551" ca="1">IFERROR(INDEX(nombres[],SMALL(IF(OFFSET(nombres[],0,0,ROWS(nombres[]),1)=MA$1490,ROW(OFFSET(nombres[],0,0,ROWS(nombres[]),1))-ROW(OFFSET(nombres[],0,0,1,1))+1,ROW(OFFSET(nombres[],ROWS(nombres[])-1,0,1,1))+1),$O1551:$O1570),3),"")</f>
        <v/>
      </c>
      <c r="MB1551" s="42" t="str">
        <f t="array" aca="1" ref="MB1551" ca="1">IFERROR(INDEX(nombres[],SMALL(IF(OFFSET(nombres[],0,0,ROWS(nombres[]),1)=MB$1490,ROW(OFFSET(nombres[],0,0,ROWS(nombres[]),1))-ROW(OFFSET(nombres[],0,0,1,1))+1,ROW(OFFSET(nombres[],ROWS(nombres[])-1,0,1,1))+1),$O1551:$O1570),3),"")</f>
        <v/>
      </c>
      <c r="MC1551" s="42" t="str">
        <f t="array" aca="1" ref="MC1551" ca="1">IFERROR(INDEX(nombres[],SMALL(IF(OFFSET(nombres[],0,0,ROWS(nombres[]),1)=MC$1490,ROW(OFFSET(nombres[],0,0,ROWS(nombres[]),1))-ROW(OFFSET(nombres[],0,0,1,1))+1,ROW(OFFSET(nombres[],ROWS(nombres[])-1,0,1,1))+1),$O1551:$O1570),3),"")</f>
        <v/>
      </c>
      <c r="MD1551" s="42" t="str">
        <f t="array" aca="1" ref="MD1551" ca="1">IFERROR(INDEX(nombres[],SMALL(IF(OFFSET(nombres[],0,0,ROWS(nombres[]),1)=MD$1490,ROW(OFFSET(nombres[],0,0,ROWS(nombres[]),1))-ROW(OFFSET(nombres[],0,0,1,1))+1,ROW(OFFSET(nombres[],ROWS(nombres[])-1,0,1,1))+1),$O1551:$O1570),3),"")</f>
        <v/>
      </c>
      <c r="ME1551" s="42" t="str">
        <f t="array" aca="1" ref="ME1551" ca="1">IFERROR(INDEX(nombres[],SMALL(IF(OFFSET(nombres[],0,0,ROWS(nombres[]),1)=ME$1490,ROW(OFFSET(nombres[],0,0,ROWS(nombres[]),1))-ROW(OFFSET(nombres[],0,0,1,1))+1,ROW(OFFSET(nombres[],ROWS(nombres[])-1,0,1,1))+1),$O1551:$O1570),3),"")</f>
        <v/>
      </c>
      <c r="MF1551" s="42" t="str">
        <f t="array" aca="1" ref="MF1551" ca="1">IFERROR(INDEX(nombres[],SMALL(IF(OFFSET(nombres[],0,0,ROWS(nombres[]),1)=MF$1490,ROW(OFFSET(nombres[],0,0,ROWS(nombres[]),1))-ROW(OFFSET(nombres[],0,0,1,1))+1,ROW(OFFSET(nombres[],ROWS(nombres[])-1,0,1,1))+1),$O1551:$O1570),3),"")</f>
        <v/>
      </c>
      <c r="MG1551" s="42" t="str">
        <f t="array" aca="1" ref="MG1551" ca="1">IFERROR(INDEX(nombres[],SMALL(IF(OFFSET(nombres[],0,0,ROWS(nombres[]),1)=MG$1490,ROW(OFFSET(nombres[],0,0,ROWS(nombres[]),1))-ROW(OFFSET(nombres[],0,0,1,1))+1,ROW(OFFSET(nombres[],ROWS(nombres[])-1,0,1,1))+1),$O1551:$O1570),3),"")</f>
        <v/>
      </c>
      <c r="MH1551" s="42" t="str">
        <f t="array" aca="1" ref="MH1551" ca="1">IFERROR(INDEX(nombres[],SMALL(IF(OFFSET(nombres[],0,0,ROWS(nombres[]),1)=MH$1490,ROW(OFFSET(nombres[],0,0,ROWS(nombres[]),1))-ROW(OFFSET(nombres[],0,0,1,1))+1,ROW(OFFSET(nombres[],ROWS(nombres[])-1,0,1,1))+1),$O1551:$O1570),3),"")</f>
        <v/>
      </c>
      <c r="MI1551" s="42" t="str">
        <f t="array" aca="1" ref="MI1551" ca="1">IFERROR(INDEX(nombres[],SMALL(IF(OFFSET(nombres[],0,0,ROWS(nombres[]),1)=MI$1490,ROW(OFFSET(nombres[],0,0,ROWS(nombres[]),1))-ROW(OFFSET(nombres[],0,0,1,1))+1,ROW(OFFSET(nombres[],ROWS(nombres[])-1,0,1,1))+1),$O1551:$O1570),3),"")</f>
        <v/>
      </c>
      <c r="MJ1551" s="42" t="str">
        <f t="array" aca="1" ref="MJ1551" ca="1">IFERROR(INDEX(nombres[],SMALL(IF(OFFSET(nombres[],0,0,ROWS(nombres[]),1)=MJ$1490,ROW(OFFSET(nombres[],0,0,ROWS(nombres[]),1))-ROW(OFFSET(nombres[],0,0,1,1))+1,ROW(OFFSET(nombres[],ROWS(nombres[])-1,0,1,1))+1),$O1551:$O1570),3),"")</f>
        <v/>
      </c>
      <c r="MK1551" s="42" t="str">
        <f t="array" aca="1" ref="MK1551" ca="1">IFERROR(INDEX(nombres[],SMALL(IF(OFFSET(nombres[],0,0,ROWS(nombres[]),1)=MK$1490,ROW(OFFSET(nombres[],0,0,ROWS(nombres[]),1))-ROW(OFFSET(nombres[],0,0,1,1))+1,ROW(OFFSET(nombres[],ROWS(nombres[])-1,0,1,1))+1),$O1551:$O1570),3),"")</f>
        <v/>
      </c>
      <c r="ML1551" s="42" t="str">
        <f t="array" aca="1" ref="ML1551" ca="1">IFERROR(INDEX(nombres[],SMALL(IF(OFFSET(nombres[],0,0,ROWS(nombres[]),1)=ML$1490,ROW(OFFSET(nombres[],0,0,ROWS(nombres[]),1))-ROW(OFFSET(nombres[],0,0,1,1))+1,ROW(OFFSET(nombres[],ROWS(nombres[])-1,0,1,1))+1),$O1551:$O1570),3),"")</f>
        <v/>
      </c>
      <c r="MM1551" s="42" t="str">
        <f t="array" aca="1" ref="MM1551" ca="1">IFERROR(INDEX(nombres[],SMALL(IF(OFFSET(nombres[],0,0,ROWS(nombres[]),1)=MM$1490,ROW(OFFSET(nombres[],0,0,ROWS(nombres[]),1))-ROW(OFFSET(nombres[],0,0,1,1))+1,ROW(OFFSET(nombres[],ROWS(nombres[])-1,0,1,1))+1),$O1551:$O1570),3),"")</f>
        <v/>
      </c>
      <c r="MN1551" s="42" t="str">
        <f t="array" aca="1" ref="MN1551" ca="1">IFERROR(INDEX(nombres[],SMALL(IF(OFFSET(nombres[],0,0,ROWS(nombres[]),1)=MN$1490,ROW(OFFSET(nombres[],0,0,ROWS(nombres[]),1))-ROW(OFFSET(nombres[],0,0,1,1))+1,ROW(OFFSET(nombres[],ROWS(nombres[])-1,0,1,1))+1),$O1551:$O1570),3),"")</f>
        <v/>
      </c>
      <c r="MO1551" s="42" t="str">
        <f t="array" aca="1" ref="MO1551" ca="1">IFERROR(INDEX(nombres[],SMALL(IF(OFFSET(nombres[],0,0,ROWS(nombres[]),1)=MO$1490,ROW(OFFSET(nombres[],0,0,ROWS(nombres[]),1))-ROW(OFFSET(nombres[],0,0,1,1))+1,ROW(OFFSET(nombres[],ROWS(nombres[])-1,0,1,1))+1),$O1551:$O1570),3),"")</f>
        <v/>
      </c>
      <c r="MP1551" s="42" t="str">
        <f t="array" aca="1" ref="MP1551" ca="1">IFERROR(INDEX(nombres[],SMALL(IF(OFFSET(nombres[],0,0,ROWS(nombres[]),1)=MP$1490,ROW(OFFSET(nombres[],0,0,ROWS(nombres[]),1))-ROW(OFFSET(nombres[],0,0,1,1))+1,ROW(OFFSET(nombres[],ROWS(nombres[])-1,0,1,1))+1),$O1551:$O1570),3),"")</f>
        <v/>
      </c>
      <c r="MQ1551" s="42" t="str">
        <f t="array" aca="1" ref="MQ1551" ca="1">IFERROR(INDEX(nombres[],SMALL(IF(OFFSET(nombres[],0,0,ROWS(nombres[]),1)=MQ$1490,ROW(OFFSET(nombres[],0,0,ROWS(nombres[]),1))-ROW(OFFSET(nombres[],0,0,1,1))+1,ROW(OFFSET(nombres[],ROWS(nombres[])-1,0,1,1))+1),$O1551:$O1570),3),"")</f>
        <v/>
      </c>
      <c r="MR1551" s="42" t="str">
        <f t="array" aca="1" ref="MR1551" ca="1">IFERROR(INDEX(nombres[],SMALL(IF(OFFSET(nombres[],0,0,ROWS(nombres[]),1)=MR$1490,ROW(OFFSET(nombres[],0,0,ROWS(nombres[]),1))-ROW(OFFSET(nombres[],0,0,1,1))+1,ROW(OFFSET(nombres[],ROWS(nombres[])-1,0,1,1))+1),$O1551:$O1570),3),"")</f>
        <v/>
      </c>
      <c r="MS1551" s="42" t="str">
        <f t="array" aca="1" ref="MS1551" ca="1">IFERROR(INDEX(nombres[],SMALL(IF(OFFSET(nombres[],0,0,ROWS(nombres[]),1)=MS$1490,ROW(OFFSET(nombres[],0,0,ROWS(nombres[]),1))-ROW(OFFSET(nombres[],0,0,1,1))+1,ROW(OFFSET(nombres[],ROWS(nombres[])-1,0,1,1))+1),$O1551:$O1570),3),"")</f>
        <v/>
      </c>
      <c r="MT1551" s="42" t="str">
        <f t="array" aca="1" ref="MT1551" ca="1">IFERROR(INDEX(nombres[],SMALL(IF(OFFSET(nombres[],0,0,ROWS(nombres[]),1)=MT$1490,ROW(OFFSET(nombres[],0,0,ROWS(nombres[]),1))-ROW(OFFSET(nombres[],0,0,1,1))+1,ROW(OFFSET(nombres[],ROWS(nombres[])-1,0,1,1))+1),$O1551:$O1570),3),"")</f>
        <v/>
      </c>
      <c r="MU1551" s="42" t="str">
        <f t="array" aca="1" ref="MU1551" ca="1">IFERROR(INDEX(nombres[],SMALL(IF(OFFSET(nombres[],0,0,ROWS(nombres[]),1)=MU$1490,ROW(OFFSET(nombres[],0,0,ROWS(nombres[]),1))-ROW(OFFSET(nombres[],0,0,1,1))+1,ROW(OFFSET(nombres[],ROWS(nombres[])-1,0,1,1))+1),$O1551:$O1570),3),"")</f>
        <v/>
      </c>
      <c r="MV1551" s="42" t="str">
        <f t="array" aca="1" ref="MV1551" ca="1">IFERROR(INDEX(nombres[],SMALL(IF(OFFSET(nombres[],0,0,ROWS(nombres[]),1)=MV$1490,ROW(OFFSET(nombres[],0,0,ROWS(nombres[]),1))-ROW(OFFSET(nombres[],0,0,1,1))+1,ROW(OFFSET(nombres[],ROWS(nombres[])-1,0,1,1))+1),$O1551:$O1570),3),"")</f>
        <v/>
      </c>
      <c r="MW1551" s="42" t="str">
        <f t="array" aca="1" ref="MW1551" ca="1">IFERROR(INDEX(nombres[],SMALL(IF(OFFSET(nombres[],0,0,ROWS(nombres[]),1)=MW$1490,ROW(OFFSET(nombres[],0,0,ROWS(nombres[]),1))-ROW(OFFSET(nombres[],0,0,1,1))+1,ROW(OFFSET(nombres[],ROWS(nombres[])-1,0,1,1))+1),$O1551:$O1570),3),"")</f>
        <v/>
      </c>
      <c r="MX1551" s="42" t="str">
        <f t="array" aca="1" ref="MX1551" ca="1">IFERROR(INDEX(nombres[],SMALL(IF(OFFSET(nombres[],0,0,ROWS(nombres[]),1)=MX$1490,ROW(OFFSET(nombres[],0,0,ROWS(nombres[]),1))-ROW(OFFSET(nombres[],0,0,1,1))+1,ROW(OFFSET(nombres[],ROWS(nombres[])-1,0,1,1))+1),$O1551:$O1570),3),"")</f>
        <v/>
      </c>
      <c r="MY1551" s="42" t="str">
        <f t="array" aca="1" ref="MY1551" ca="1">IFERROR(INDEX(nombres[],SMALL(IF(OFFSET(nombres[],0,0,ROWS(nombres[]),1)=MY$1490,ROW(OFFSET(nombres[],0,0,ROWS(nombres[]),1))-ROW(OFFSET(nombres[],0,0,1,1))+1,ROW(OFFSET(nombres[],ROWS(nombres[])-1,0,1,1))+1),$O1551:$O1570),3),"")</f>
        <v/>
      </c>
      <c r="MZ1551" s="42" t="str">
        <f t="array" aca="1" ref="MZ1551" ca="1">IFERROR(INDEX(nombres[],SMALL(IF(OFFSET(nombres[],0,0,ROWS(nombres[]),1)=MZ$1490,ROW(OFFSET(nombres[],0,0,ROWS(nombres[]),1))-ROW(OFFSET(nombres[],0,0,1,1))+1,ROW(OFFSET(nombres[],ROWS(nombres[])-1,0,1,1))+1),$O1551:$O1570),3),"")</f>
        <v/>
      </c>
      <c r="NA1551" s="42" t="str">
        <f t="array" aca="1" ref="NA1551" ca="1">IFERROR(INDEX(nombres[],SMALL(IF(OFFSET(nombres[],0,0,ROWS(nombres[]),1)=NA$1490,ROW(OFFSET(nombres[],0,0,ROWS(nombres[]),1))-ROW(OFFSET(nombres[],0,0,1,1))+1,ROW(OFFSET(nombres[],ROWS(nombres[])-1,0,1,1))+1),$O1551:$O1570),3),"")</f>
        <v/>
      </c>
      <c r="NB1551" s="42" t="str">
        <f t="array" aca="1" ref="NB1551" ca="1">IFERROR(INDEX(nombres[],SMALL(IF(OFFSET(nombres[],0,0,ROWS(nombres[]),1)=NB$1490,ROW(OFFSET(nombres[],0,0,ROWS(nombres[]),1))-ROW(OFFSET(nombres[],0,0,1,1))+1,ROW(OFFSET(nombres[],ROWS(nombres[])-1,0,1,1))+1),$O1551:$O1570),3),"")</f>
        <v/>
      </c>
      <c r="NC1551" s="42" t="str">
        <f t="array" aca="1" ref="NC1551" ca="1">IFERROR(INDEX(nombres[],SMALL(IF(OFFSET(nombres[],0,0,ROWS(nombres[]),1)=NC$1490,ROW(OFFSET(nombres[],0,0,ROWS(nombres[]),1))-ROW(OFFSET(nombres[],0,0,1,1))+1,ROW(OFFSET(nombres[],ROWS(nombres[])-1,0,1,1))+1),$O1551:$O1570),3),"")</f>
        <v/>
      </c>
      <c r="ND1551" s="42" t="str">
        <f t="array" aca="1" ref="ND1551" ca="1">IFERROR(INDEX(nombres[],SMALL(IF(OFFSET(nombres[],0,0,ROWS(nombres[]),1)=ND$1490,ROW(OFFSET(nombres[],0,0,ROWS(nombres[]),1))-ROW(OFFSET(nombres[],0,0,1,1))+1,ROW(OFFSET(nombres[],ROWS(nombres[])-1,0,1,1))+1),$O1551:$O1570),3),"")</f>
        <v/>
      </c>
      <c r="NE1551" s="42" t="str">
        <f t="array" aca="1" ref="NE1551" ca="1">IFERROR(INDEX(nombres[],SMALL(IF(OFFSET(nombres[],0,0,ROWS(nombres[]),1)=NE$1490,ROW(OFFSET(nombres[],0,0,ROWS(nombres[]),1))-ROW(OFFSET(nombres[],0,0,1,1))+1,ROW(OFFSET(nombres[],ROWS(nombres[])-1,0,1,1))+1),$O1551:$O1570),3),"")</f>
        <v/>
      </c>
      <c r="NF1551" s="42" t="str">
        <f t="array" aca="1" ref="NF1551" ca="1">IFERROR(INDEX(nombres[],SMALL(IF(OFFSET(nombres[],0,0,ROWS(nombres[]),1)=NF$1490,ROW(OFFSET(nombres[],0,0,ROWS(nombres[]),1))-ROW(OFFSET(nombres[],0,0,1,1))+1,ROW(OFFSET(nombres[],ROWS(nombres[])-1,0,1,1))+1),$O1551:$O1570),3),"")</f>
        <v/>
      </c>
      <c r="NG1551" s="42" t="str">
        <f t="array" aca="1" ref="NG1551" ca="1">IFERROR(INDEX(nombres[],SMALL(IF(OFFSET(nombres[],0,0,ROWS(nombres[]),1)=NG$1490,ROW(OFFSET(nombres[],0,0,ROWS(nombres[]),1))-ROW(OFFSET(nombres[],0,0,1,1))+1,ROW(OFFSET(nombres[],ROWS(nombres[])-1,0,1,1))+1),$O1551:$O1570),3),"")</f>
        <v/>
      </c>
      <c r="NH1551" s="42" t="str">
        <f t="array" aca="1" ref="NH1551" ca="1">IFERROR(INDEX(nombres[],SMALL(IF(OFFSET(nombres[],0,0,ROWS(nombres[]),1)=NH$1490,ROW(OFFSET(nombres[],0,0,ROWS(nombres[]),1))-ROW(OFFSET(nombres[],0,0,1,1))+1,ROW(OFFSET(nombres[],ROWS(nombres[])-1,0,1,1))+1),$O1551:$O1570),3),"")</f>
        <v/>
      </c>
      <c r="NI1551" s="42" t="str">
        <f t="array" aca="1" ref="NI1551" ca="1">IFERROR(INDEX(nombres[],SMALL(IF(OFFSET(nombres[],0,0,ROWS(nombres[]),1)=NI$1490,ROW(OFFSET(nombres[],0,0,ROWS(nombres[]),1))-ROW(OFFSET(nombres[],0,0,1,1))+1,ROW(OFFSET(nombres[],ROWS(nombres[])-1,0,1,1))+1),$O1551:$O1570),3),"")</f>
        <v/>
      </c>
      <c r="NJ1551" s="42" t="str">
        <f t="array" aca="1" ref="NJ1551" ca="1">IFERROR(INDEX(nombres[],SMALL(IF(OFFSET(nombres[],0,0,ROWS(nombres[]),1)=NJ$1490,ROW(OFFSET(nombres[],0,0,ROWS(nombres[]),1))-ROW(OFFSET(nombres[],0,0,1,1))+1,ROW(OFFSET(nombres[],ROWS(nombres[])-1,0,1,1))+1),$O1551:$O1570),3),"")</f>
        <v/>
      </c>
      <c r="NK1551" s="42" t="str">
        <f t="array" aca="1" ref="NK1551" ca="1">IFERROR(INDEX(nombres[],SMALL(IF(OFFSET(nombres[],0,0,ROWS(nombres[]),1)=NK$1490,ROW(OFFSET(nombres[],0,0,ROWS(nombres[]),1))-ROW(OFFSET(nombres[],0,0,1,1))+1,ROW(OFFSET(nombres[],ROWS(nombres[])-1,0,1,1))+1),$O1551:$O1570),3),"")</f>
        <v/>
      </c>
      <c r="NL1551" s="42" t="str">
        <f t="array" aca="1" ref="NL1551" ca="1">IFERROR(INDEX(nombres[],SMALL(IF(OFFSET(nombres[],0,0,ROWS(nombres[]),1)=NL$1490,ROW(OFFSET(nombres[],0,0,ROWS(nombres[]),1))-ROW(OFFSET(nombres[],0,0,1,1))+1,ROW(OFFSET(nombres[],ROWS(nombres[])-1,0,1,1))+1),$O1551:$O1570),3),"")</f>
        <v/>
      </c>
      <c r="NM1551" s="42" t="str">
        <f t="array" aca="1" ref="NM1551" ca="1">IFERROR(INDEX(nombres[],SMALL(IF(OFFSET(nombres[],0,0,ROWS(nombres[]),1)=NM$1490,ROW(OFFSET(nombres[],0,0,ROWS(nombres[]),1))-ROW(OFFSET(nombres[],0,0,1,1))+1,ROW(OFFSET(nombres[],ROWS(nombres[])-1,0,1,1))+1),$O1551:$O1570),3),"")</f>
        <v/>
      </c>
      <c r="NN1551" s="42" t="str">
        <f t="array" aca="1" ref="NN1551" ca="1">IFERROR(INDEX(nombres[],SMALL(IF(OFFSET(nombres[],0,0,ROWS(nombres[]),1)=NN$1490,ROW(OFFSET(nombres[],0,0,ROWS(nombres[]),1))-ROW(OFFSET(nombres[],0,0,1,1))+1,ROW(OFFSET(nombres[],ROWS(nombres[])-1,0,1,1))+1),$O1551:$O1570),3),"")</f>
        <v/>
      </c>
      <c r="NO1551" s="42" t="str">
        <f t="array" aca="1" ref="NO1551" ca="1">IFERROR(INDEX(nombres[],SMALL(IF(OFFSET(nombres[],0,0,ROWS(nombres[]),1)=NO$1490,ROW(OFFSET(nombres[],0,0,ROWS(nombres[]),1))-ROW(OFFSET(nombres[],0,0,1,1))+1,ROW(OFFSET(nombres[],ROWS(nombres[])-1,0,1,1))+1),$O1551:$O1570),3),"")</f>
        <v/>
      </c>
      <c r="NP1551" s="42" t="str">
        <f t="array" aca="1" ref="NP1551" ca="1">IFERROR(INDEX(nombres[],SMALL(IF(OFFSET(nombres[],0,0,ROWS(nombres[]),1)=NP$1490,ROW(OFFSET(nombres[],0,0,ROWS(nombres[]),1))-ROW(OFFSET(nombres[],0,0,1,1))+1,ROW(OFFSET(nombres[],ROWS(nombres[])-1,0,1,1))+1),$O1551:$O1570),3),"")</f>
        <v/>
      </c>
      <c r="NQ1551" s="42" t="str">
        <f t="array" aca="1" ref="NQ1551" ca="1">IFERROR(INDEX(nombres[],SMALL(IF(OFFSET(nombres[],0,0,ROWS(nombres[]),1)=NQ$1490,ROW(OFFSET(nombres[],0,0,ROWS(nombres[]),1))-ROW(OFFSET(nombres[],0,0,1,1))+1,ROW(OFFSET(nombres[],ROWS(nombres[])-1,0,1,1))+1),$O1551:$O1570),3),"")</f>
        <v/>
      </c>
      <c r="NR1551" s="42" t="str">
        <f t="array" aca="1" ref="NR1551" ca="1">IFERROR(INDEX(nombres[],SMALL(IF(OFFSET(nombres[],0,0,ROWS(nombres[]),1)=NR$1490,ROW(OFFSET(nombres[],0,0,ROWS(nombres[]),1))-ROW(OFFSET(nombres[],0,0,1,1))+1,ROW(OFFSET(nombres[],ROWS(nombres[])-1,0,1,1))+1),$O1551:$O1570),3),"")</f>
        <v/>
      </c>
      <c r="NS1551" s="42" t="str">
        <f t="array" aca="1" ref="NS1551" ca="1">IFERROR(INDEX(nombres[],SMALL(IF(OFFSET(nombres[],0,0,ROWS(nombres[]),1)=NS$1490,ROW(OFFSET(nombres[],0,0,ROWS(nombres[]),1))-ROW(OFFSET(nombres[],0,0,1,1))+1,ROW(OFFSET(nombres[],ROWS(nombres[])-1,0,1,1))+1),$O1551:$O1570),3),"")</f>
        <v/>
      </c>
      <c r="NT1551" s="42" t="str">
        <f t="array" aca="1" ref="NT1551" ca="1">IFERROR(INDEX(nombres[],SMALL(IF(OFFSET(nombres[],0,0,ROWS(nombres[]),1)=NT$1490,ROW(OFFSET(nombres[],0,0,ROWS(nombres[]),1))-ROW(OFFSET(nombres[],0,0,1,1))+1,ROW(OFFSET(nombres[],ROWS(nombres[])-1,0,1,1))+1),$O1551:$O1570),3),"")</f>
        <v/>
      </c>
      <c r="NU1551" s="42" t="str">
        <f t="array" aca="1" ref="NU1551" ca="1">IFERROR(INDEX(nombres[],SMALL(IF(OFFSET(nombres[],0,0,ROWS(nombres[]),1)=NU$1490,ROW(OFFSET(nombres[],0,0,ROWS(nombres[]),1))-ROW(OFFSET(nombres[],0,0,1,1))+1,ROW(OFFSET(nombres[],ROWS(nombres[])-1,0,1,1))+1),$O1551:$O1570),3),"")</f>
        <v/>
      </c>
      <c r="NV1551" s="42" t="str">
        <f t="array" aca="1" ref="NV1551" ca="1">IFERROR(INDEX(nombres[],SMALL(IF(OFFSET(nombres[],0,0,ROWS(nombres[]),1)=NV$1490,ROW(OFFSET(nombres[],0,0,ROWS(nombres[]),1))-ROW(OFFSET(nombres[],0,0,1,1))+1,ROW(OFFSET(nombres[],ROWS(nombres[])-1,0,1,1))+1),$O1551:$O1570),3),"")</f>
        <v/>
      </c>
      <c r="NW1551" s="42" t="str">
        <f t="array" aca="1" ref="NW1551" ca="1">IFERROR(INDEX(nombres[],SMALL(IF(OFFSET(nombres[],0,0,ROWS(nombres[]),1)=NW$1490,ROW(OFFSET(nombres[],0,0,ROWS(nombres[]),1))-ROW(OFFSET(nombres[],0,0,1,1))+1,ROW(OFFSET(nombres[],ROWS(nombres[])-1,0,1,1))+1),$O1551:$O1570),3),"")</f>
        <v/>
      </c>
      <c r="NX1551" s="42" t="str">
        <f t="array" aca="1" ref="NX1551" ca="1">IFERROR(INDEX(nombres[],SMALL(IF(OFFSET(nombres[],0,0,ROWS(nombres[]),1)=NX$1490,ROW(OFFSET(nombres[],0,0,ROWS(nombres[]),1))-ROW(OFFSET(nombres[],0,0,1,1))+1,ROW(OFFSET(nombres[],ROWS(nombres[])-1,0,1,1))+1),$O1551:$O1570),3),"")</f>
        <v/>
      </c>
      <c r="NY1551" s="42" t="str">
        <f t="array" aca="1" ref="NY1551" ca="1">IFERROR(INDEX(nombres[],SMALL(IF(OFFSET(nombres[],0,0,ROWS(nombres[]),1)=NY$1490,ROW(OFFSET(nombres[],0,0,ROWS(nombres[]),1))-ROW(OFFSET(nombres[],0,0,1,1))+1,ROW(OFFSET(nombres[],ROWS(nombres[])-1,0,1,1))+1),$O1551:$O1570),3),"")</f>
        <v/>
      </c>
      <c r="NZ1551" s="42" t="str">
        <f t="array" aca="1" ref="NZ1551" ca="1">IFERROR(INDEX(nombres[],SMALL(IF(OFFSET(nombres[],0,0,ROWS(nombres[]),1)=NZ$1490,ROW(OFFSET(nombres[],0,0,ROWS(nombres[]),1))-ROW(OFFSET(nombres[],0,0,1,1))+1,ROW(OFFSET(nombres[],ROWS(nombres[])-1,0,1,1))+1),$O1551:$O1570),3),"")</f>
        <v/>
      </c>
      <c r="OA1551" s="42" t="str">
        <f t="array" aca="1" ref="OA1551" ca="1">IFERROR(INDEX(nombres[],SMALL(IF(OFFSET(nombres[],0,0,ROWS(nombres[]),1)=OA$1490,ROW(OFFSET(nombres[],0,0,ROWS(nombres[]),1))-ROW(OFFSET(nombres[],0,0,1,1))+1,ROW(OFFSET(nombres[],ROWS(nombres[])-1,0,1,1))+1),$O1551:$O1570),3),"")</f>
        <v/>
      </c>
      <c r="OB1551" s="42" t="str">
        <f t="array" aca="1" ref="OB1551" ca="1">IFERROR(INDEX(nombres[],SMALL(IF(OFFSET(nombres[],0,0,ROWS(nombres[]),1)=OB$1490,ROW(OFFSET(nombres[],0,0,ROWS(nombres[]),1))-ROW(OFFSET(nombres[],0,0,1,1))+1,ROW(OFFSET(nombres[],ROWS(nombres[])-1,0,1,1))+1),$O1551:$O1570),3),"")</f>
        <v/>
      </c>
      <c r="OC1551" s="42" t="str">
        <f t="array" aca="1" ref="OC1551" ca="1">IFERROR(INDEX(nombres[],SMALL(IF(OFFSET(nombres[],0,0,ROWS(nombres[]),1)=OC$1490,ROW(OFFSET(nombres[],0,0,ROWS(nombres[]),1))-ROW(OFFSET(nombres[],0,0,1,1))+1,ROW(OFFSET(nombres[],ROWS(nombres[])-1,0,1,1))+1),$O1551:$O1570),3),"")</f>
        <v/>
      </c>
      <c r="OD1551" s="42" t="str">
        <f t="array" aca="1" ref="OD1551" ca="1">IFERROR(INDEX(nombres[],SMALL(IF(OFFSET(nombres[],0,0,ROWS(nombres[]),1)=OD$1490,ROW(OFFSET(nombres[],0,0,ROWS(nombres[]),1))-ROW(OFFSET(nombres[],0,0,1,1))+1,ROW(OFFSET(nombres[],ROWS(nombres[])-1,0,1,1))+1),$O1551:$O1570),3),"")</f>
        <v/>
      </c>
      <c r="OE1551" s="42" t="str">
        <f t="array" aca="1" ref="OE1551" ca="1">IFERROR(INDEX(nombres[],SMALL(IF(OFFSET(nombres[],0,0,ROWS(nombres[]),1)=OE$1490,ROW(OFFSET(nombres[],0,0,ROWS(nombres[]),1))-ROW(OFFSET(nombres[],0,0,1,1))+1,ROW(OFFSET(nombres[],ROWS(nombres[])-1,0,1,1))+1),$O1551:$O1570),3),"")</f>
        <v/>
      </c>
      <c r="OF1551" s="42" t="str">
        <f t="array" aca="1" ref="OF1551" ca="1">IFERROR(INDEX(nombres[],SMALL(IF(OFFSET(nombres[],0,0,ROWS(nombres[]),1)=OF$1490,ROW(OFFSET(nombres[],0,0,ROWS(nombres[]),1))-ROW(OFFSET(nombres[],0,0,1,1))+1,ROW(OFFSET(nombres[],ROWS(nombres[])-1,0,1,1))+1),$O1551:$O1570),3),"")</f>
        <v/>
      </c>
      <c r="OG1551" s="42" t="str">
        <f t="array" aca="1" ref="OG1551" ca="1">IFERROR(INDEX(nombres[],SMALL(IF(OFFSET(nombres[],0,0,ROWS(nombres[]),1)=OG$1490,ROW(OFFSET(nombres[],0,0,ROWS(nombres[]),1))-ROW(OFFSET(nombres[],0,0,1,1))+1,ROW(OFFSET(nombres[],ROWS(nombres[])-1,0,1,1))+1),$O1551:$O1570),3),"")</f>
        <v/>
      </c>
      <c r="OH1551" s="42" t="str">
        <f t="array" aca="1" ref="OH1551" ca="1">IFERROR(INDEX(nombres[],SMALL(IF(OFFSET(nombres[],0,0,ROWS(nombres[]),1)=OH$1490,ROW(OFFSET(nombres[],0,0,ROWS(nombres[]),1))-ROW(OFFSET(nombres[],0,0,1,1))+1,ROW(OFFSET(nombres[],ROWS(nombres[])-1,0,1,1))+1),$O1551:$O1570),3),"")</f>
        <v/>
      </c>
      <c r="OI1551" s="42" t="str">
        <f t="array" aca="1" ref="OI1551" ca="1">IFERROR(INDEX(nombres[],SMALL(IF(OFFSET(nombres[],0,0,ROWS(nombres[]),1)=OI$1490,ROW(OFFSET(nombres[],0,0,ROWS(nombres[]),1))-ROW(OFFSET(nombres[],0,0,1,1))+1,ROW(OFFSET(nombres[],ROWS(nombres[])-1,0,1,1))+1),$O1551:$O1570),3),"")</f>
        <v/>
      </c>
      <c r="OJ1551" s="42" t="str">
        <f t="array" aca="1" ref="OJ1551" ca="1">IFERROR(INDEX(nombres[],SMALL(IF(OFFSET(nombres[],0,0,ROWS(nombres[]),1)=OJ$1490,ROW(OFFSET(nombres[],0,0,ROWS(nombres[]),1))-ROW(OFFSET(nombres[],0,0,1,1))+1,ROW(OFFSET(nombres[],ROWS(nombres[])-1,0,1,1))+1),$O1551:$O1570),3),"")</f>
        <v/>
      </c>
      <c r="OK1551" s="42" t="str">
        <f t="array" aca="1" ref="OK1551" ca="1">IFERROR(INDEX(nombres[],SMALL(IF(OFFSET(nombres[],0,0,ROWS(nombres[]),1)=OK$1490,ROW(OFFSET(nombres[],0,0,ROWS(nombres[]),1))-ROW(OFFSET(nombres[],0,0,1,1))+1,ROW(OFFSET(nombres[],ROWS(nombres[])-1,0,1,1))+1),$O1551:$O1570),3),"")</f>
        <v/>
      </c>
      <c r="OL1551" s="42" t="str">
        <f t="array" aca="1" ref="OL1551" ca="1">IFERROR(INDEX(nombres[],SMALL(IF(OFFSET(nombres[],0,0,ROWS(nombres[]),1)=OL$1490,ROW(OFFSET(nombres[],0,0,ROWS(nombres[]),1))-ROW(OFFSET(nombres[],0,0,1,1))+1,ROW(OFFSET(nombres[],ROWS(nombres[])-1,0,1,1))+1),$O1551:$O1570),3),"")</f>
        <v/>
      </c>
      <c r="OM1551" s="42" t="str">
        <f t="array" aca="1" ref="OM1551" ca="1">IFERROR(INDEX(nombres[],SMALL(IF(OFFSET(nombres[],0,0,ROWS(nombres[]),1)=OM$1490,ROW(OFFSET(nombres[],0,0,ROWS(nombres[]),1))-ROW(OFFSET(nombres[],0,0,1,1))+1,ROW(OFFSET(nombres[],ROWS(nombres[])-1,0,1,1))+1),$O1551:$O1570),3),"")</f>
        <v/>
      </c>
      <c r="ON1551" s="42" t="str">
        <f t="array" aca="1" ref="ON1551" ca="1">IFERROR(INDEX(nombres[],SMALL(IF(OFFSET(nombres[],0,0,ROWS(nombres[]),1)=ON$1490,ROW(OFFSET(nombres[],0,0,ROWS(nombres[]),1))-ROW(OFFSET(nombres[],0,0,1,1))+1,ROW(OFFSET(nombres[],ROWS(nombres[])-1,0,1,1))+1),$O1551:$O1570),3),"")</f>
        <v/>
      </c>
      <c r="OO1551" s="42" t="str">
        <f t="array" aca="1" ref="OO1551" ca="1">IFERROR(INDEX(nombres[],SMALL(IF(OFFSET(nombres[],0,0,ROWS(nombres[]),1)=OO$1490,ROW(OFFSET(nombres[],0,0,ROWS(nombres[]),1))-ROW(OFFSET(nombres[],0,0,1,1))+1,ROW(OFFSET(nombres[],ROWS(nombres[])-1,0,1,1))+1),$O1551:$O1570),3),"")</f>
        <v/>
      </c>
      <c r="OP1551" s="42" t="str">
        <f t="array" aca="1" ref="OP1551" ca="1">IFERROR(INDEX(nombres[],SMALL(IF(OFFSET(nombres[],0,0,ROWS(nombres[]),1)=OP$1490,ROW(OFFSET(nombres[],0,0,ROWS(nombres[]),1))-ROW(OFFSET(nombres[],0,0,1,1))+1,ROW(OFFSET(nombres[],ROWS(nombres[])-1,0,1,1))+1),$O1551:$O1570),3),"")</f>
        <v/>
      </c>
      <c r="OQ1551" s="42" t="str">
        <f t="array" aca="1" ref="OQ1551" ca="1">IFERROR(INDEX(nombres[],SMALL(IF(OFFSET(nombres[],0,0,ROWS(nombres[]),1)=OQ$1490,ROW(OFFSET(nombres[],0,0,ROWS(nombres[]),1))-ROW(OFFSET(nombres[],0,0,1,1))+1,ROW(OFFSET(nombres[],ROWS(nombres[])-1,0,1,1))+1),$O1551:$O1570),3),"")</f>
        <v/>
      </c>
      <c r="OR1551" s="42" t="str">
        <f t="array" aca="1" ref="OR1551" ca="1">IFERROR(INDEX(nombres[],SMALL(IF(OFFSET(nombres[],0,0,ROWS(nombres[]),1)=OR$1490,ROW(OFFSET(nombres[],0,0,ROWS(nombres[]),1))-ROW(OFFSET(nombres[],0,0,1,1))+1,ROW(OFFSET(nombres[],ROWS(nombres[])-1,0,1,1))+1),$O1551:$O1570),3),"")</f>
        <v/>
      </c>
      <c r="OS1551" s="42" t="str">
        <f t="array" aca="1" ref="OS1551" ca="1">IFERROR(INDEX(nombres[],SMALL(IF(OFFSET(nombres[],0,0,ROWS(nombres[]),1)=OS$1490,ROW(OFFSET(nombres[],0,0,ROWS(nombres[]),1))-ROW(OFFSET(nombres[],0,0,1,1))+1,ROW(OFFSET(nombres[],ROWS(nombres[])-1,0,1,1))+1),$O1551:$O1570),3),"")</f>
        <v/>
      </c>
      <c r="OT1551" s="42" t="str">
        <f t="array" aca="1" ref="OT1551" ca="1">IFERROR(INDEX(nombres[],SMALL(IF(OFFSET(nombres[],0,0,ROWS(nombres[]),1)=OT$1490,ROW(OFFSET(nombres[],0,0,ROWS(nombres[]),1))-ROW(OFFSET(nombres[],0,0,1,1))+1,ROW(OFFSET(nombres[],ROWS(nombres[])-1,0,1,1))+1),$O1551:$O1570),3),"")</f>
        <v/>
      </c>
      <c r="OU1551" s="42" t="str">
        <f t="array" aca="1" ref="OU1551" ca="1">IFERROR(INDEX(nombres[],SMALL(IF(OFFSET(nombres[],0,0,ROWS(nombres[]),1)=OU$1490,ROW(OFFSET(nombres[],0,0,ROWS(nombres[]),1))-ROW(OFFSET(nombres[],0,0,1,1))+1,ROW(OFFSET(nombres[],ROWS(nombres[])-1,0,1,1))+1),$O1551:$O1570),3),"")</f>
        <v/>
      </c>
      <c r="OV1551" s="42" t="str">
        <f t="array" aca="1" ref="OV1551" ca="1">IFERROR(INDEX(nombres[],SMALL(IF(OFFSET(nombres[],0,0,ROWS(nombres[]),1)=OV$1490,ROW(OFFSET(nombres[],0,0,ROWS(nombres[]),1))-ROW(OFFSET(nombres[],0,0,1,1))+1,ROW(OFFSET(nombres[],ROWS(nombres[])-1,0,1,1))+1),$O1551:$O1570),3),"")</f>
        <v/>
      </c>
      <c r="OW1551" s="42" t="str">
        <f t="array" aca="1" ref="OW1551" ca="1">IFERROR(INDEX(nombres[],SMALL(IF(OFFSET(nombres[],0,0,ROWS(nombres[]),1)=OW$1490,ROW(OFFSET(nombres[],0,0,ROWS(nombres[]),1))-ROW(OFFSET(nombres[],0,0,1,1))+1,ROW(OFFSET(nombres[],ROWS(nombres[])-1,0,1,1))+1),$O1551:$O1570),3),"")</f>
        <v/>
      </c>
      <c r="OX1551" s="42" t="str">
        <f t="array" aca="1" ref="OX1551" ca="1">IFERROR(INDEX(nombres[],SMALL(IF(OFFSET(nombres[],0,0,ROWS(nombres[]),1)=OX$1490,ROW(OFFSET(nombres[],0,0,ROWS(nombres[]),1))-ROW(OFFSET(nombres[],0,0,1,1))+1,ROW(OFFSET(nombres[],ROWS(nombres[])-1,0,1,1))+1),$O1551:$O1570),3),"")</f>
        <v/>
      </c>
      <c r="OY1551" s="42" t="str">
        <f t="array" aca="1" ref="OY1551" ca="1">IFERROR(INDEX(nombres[],SMALL(IF(OFFSET(nombres[],0,0,ROWS(nombres[]),1)=OY$1490,ROW(OFFSET(nombres[],0,0,ROWS(nombres[]),1))-ROW(OFFSET(nombres[],0,0,1,1))+1,ROW(OFFSET(nombres[],ROWS(nombres[])-1,0,1,1))+1),$O1551:$O1570),3),"")</f>
        <v/>
      </c>
      <c r="OZ1551" s="42" t="str">
        <f t="array" aca="1" ref="OZ1551" ca="1">IFERROR(INDEX(nombres[],SMALL(IF(OFFSET(nombres[],0,0,ROWS(nombres[]),1)=OZ$1490,ROW(OFFSET(nombres[],0,0,ROWS(nombres[]),1))-ROW(OFFSET(nombres[],0,0,1,1))+1,ROW(OFFSET(nombres[],ROWS(nombres[])-1,0,1,1))+1),$O1551:$O1570),3),"")</f>
        <v/>
      </c>
      <c r="PA1551" s="42" t="str">
        <f t="array" aca="1" ref="PA1551" ca="1">IFERROR(INDEX(nombres[],SMALL(IF(OFFSET(nombres[],0,0,ROWS(nombres[]),1)=PA$1490,ROW(OFFSET(nombres[],0,0,ROWS(nombres[]),1))-ROW(OFFSET(nombres[],0,0,1,1))+1,ROW(OFFSET(nombres[],ROWS(nombres[])-1,0,1,1))+1),$O1551:$O1570),3),"")</f>
        <v/>
      </c>
      <c r="PB1551" s="42" t="str">
        <f t="array" aca="1" ref="PB1551" ca="1">IFERROR(INDEX(nombres[],SMALL(IF(OFFSET(nombres[],0,0,ROWS(nombres[]),1)=PB$1490,ROW(OFFSET(nombres[],0,0,ROWS(nombres[]),1))-ROW(OFFSET(nombres[],0,0,1,1))+1,ROW(OFFSET(nombres[],ROWS(nombres[])-1,0,1,1))+1),$O1551:$O1570),3),"")</f>
        <v/>
      </c>
      <c r="PC1551" s="42" t="str">
        <f t="array" aca="1" ref="PC1551" ca="1">IFERROR(INDEX(nombres[],SMALL(IF(OFFSET(nombres[],0,0,ROWS(nombres[]),1)=PC$1490,ROW(OFFSET(nombres[],0,0,ROWS(nombres[]),1))-ROW(OFFSET(nombres[],0,0,1,1))+1,ROW(OFFSET(nombres[],ROWS(nombres[])-1,0,1,1))+1),$O1551:$O1570),3),"")</f>
        <v/>
      </c>
      <c r="PD1551" s="42" t="str">
        <f t="array" aca="1" ref="PD1551" ca="1">IFERROR(INDEX(nombres[],SMALL(IF(OFFSET(nombres[],0,0,ROWS(nombres[]),1)=PD$1490,ROW(OFFSET(nombres[],0,0,ROWS(nombres[]),1))-ROW(OFFSET(nombres[],0,0,1,1))+1,ROW(OFFSET(nombres[],ROWS(nombres[])-1,0,1,1))+1),$O1551:$O1570),3),"")</f>
        <v/>
      </c>
      <c r="PE1551" s="42" t="str">
        <f t="array" aca="1" ref="PE1551" ca="1">IFERROR(INDEX(nombres[],SMALL(IF(OFFSET(nombres[],0,0,ROWS(nombres[]),1)=PE$1490,ROW(OFFSET(nombres[],0,0,ROWS(nombres[]),1))-ROW(OFFSET(nombres[],0,0,1,1))+1,ROW(OFFSET(nombres[],ROWS(nombres[])-1,0,1,1))+1),$O1551:$O1570),3),"")</f>
        <v/>
      </c>
      <c r="PF1551" s="42" t="str">
        <f t="array" aca="1" ref="PF1551" ca="1">IFERROR(INDEX(nombres[],SMALL(IF(OFFSET(nombres[],0,0,ROWS(nombres[]),1)=PF$1490,ROW(OFFSET(nombres[],0,0,ROWS(nombres[]),1))-ROW(OFFSET(nombres[],0,0,1,1))+1,ROW(OFFSET(nombres[],ROWS(nombres[])-1,0,1,1))+1),$O1551:$O1570),3),"")</f>
        <v/>
      </c>
      <c r="PG1551" s="42" t="str">
        <f t="array" aca="1" ref="PG1551" ca="1">IFERROR(INDEX(nombres[],SMALL(IF(OFFSET(nombres[],0,0,ROWS(nombres[]),1)=PG$1490,ROW(OFFSET(nombres[],0,0,ROWS(nombres[]),1))-ROW(OFFSET(nombres[],0,0,1,1))+1,ROW(OFFSET(nombres[],ROWS(nombres[])-1,0,1,1))+1),$O1551:$O1570),3),"")</f>
        <v/>
      </c>
      <c r="PH1551" s="42" t="str">
        <f t="array" aca="1" ref="PH1551" ca="1">IFERROR(INDEX(nombres[],SMALL(IF(OFFSET(nombres[],0,0,ROWS(nombres[]),1)=PH$1490,ROW(OFFSET(nombres[],0,0,ROWS(nombres[]),1))-ROW(OFFSET(nombres[],0,0,1,1))+1,ROW(OFFSET(nombres[],ROWS(nombres[])-1,0,1,1))+1),$O1551:$O1570),3),"")</f>
        <v/>
      </c>
      <c r="PI1551" s="42" t="str">
        <f t="array" aca="1" ref="PI1551" ca="1">IFERROR(INDEX(nombres[],SMALL(IF(OFFSET(nombres[],0,0,ROWS(nombres[]),1)=PI$1490,ROW(OFFSET(nombres[],0,0,ROWS(nombres[]),1))-ROW(OFFSET(nombres[],0,0,1,1))+1,ROW(OFFSET(nombres[],ROWS(nombres[])-1,0,1,1))+1),$O1551:$O1570),3),"")</f>
        <v/>
      </c>
      <c r="PJ1551" s="42" t="str">
        <f t="array" aca="1" ref="PJ1551" ca="1">IFERROR(INDEX(nombres[],SMALL(IF(OFFSET(nombres[],0,0,ROWS(nombres[]),1)=PJ$1490,ROW(OFFSET(nombres[],0,0,ROWS(nombres[]),1))-ROW(OFFSET(nombres[],0,0,1,1))+1,ROW(OFFSET(nombres[],ROWS(nombres[])-1,0,1,1))+1),$O1551:$O1570),3),"")</f>
        <v/>
      </c>
      <c r="PK1551" s="42" t="str">
        <f t="array" aca="1" ref="PK1551" ca="1">IFERROR(INDEX(nombres[],SMALL(IF(OFFSET(nombres[],0,0,ROWS(nombres[]),1)=PK$1490,ROW(OFFSET(nombres[],0,0,ROWS(nombres[]),1))-ROW(OFFSET(nombres[],0,0,1,1))+1,ROW(OFFSET(nombres[],ROWS(nombres[])-1,0,1,1))+1),$O1551:$O1570),3),"")</f>
        <v/>
      </c>
      <c r="PL1551" s="42" t="str">
        <f t="array" aca="1" ref="PL1551" ca="1">IFERROR(INDEX(nombres[],SMALL(IF(OFFSET(nombres[],0,0,ROWS(nombres[]),1)=PL$1490,ROW(OFFSET(nombres[],0,0,ROWS(nombres[]),1))-ROW(OFFSET(nombres[],0,0,1,1))+1,ROW(OFFSET(nombres[],ROWS(nombres[])-1,0,1,1))+1),$O1551:$O1570),3),"")</f>
        <v/>
      </c>
      <c r="PM1551" s="42" t="str">
        <f t="array" aca="1" ref="PM1551" ca="1">IFERROR(INDEX(nombres[],SMALL(IF(OFFSET(nombres[],0,0,ROWS(nombres[]),1)=PM$1490,ROW(OFFSET(nombres[],0,0,ROWS(nombres[]),1))-ROW(OFFSET(nombres[],0,0,1,1))+1,ROW(OFFSET(nombres[],ROWS(nombres[])-1,0,1,1))+1),$O1551:$O1570),3),"")</f>
        <v/>
      </c>
      <c r="PN1551" s="42" t="str">
        <f t="array" aca="1" ref="PN1551" ca="1">IFERROR(INDEX(nombres[],SMALL(IF(OFFSET(nombres[],0,0,ROWS(nombres[]),1)=PN$1490,ROW(OFFSET(nombres[],0,0,ROWS(nombres[]),1))-ROW(OFFSET(nombres[],0,0,1,1))+1,ROW(OFFSET(nombres[],ROWS(nombres[])-1,0,1,1))+1),$O1551:$O1570),3),"")</f>
        <v/>
      </c>
      <c r="PO1551" s="42" t="str">
        <f t="array" aca="1" ref="PO1551" ca="1">IFERROR(INDEX(nombres[],SMALL(IF(OFFSET(nombres[],0,0,ROWS(nombres[]),1)=PO$1490,ROW(OFFSET(nombres[],0,0,ROWS(nombres[]),1))-ROW(OFFSET(nombres[],0,0,1,1))+1,ROW(OFFSET(nombres[],ROWS(nombres[])-1,0,1,1))+1),$O1551:$O1570),3),"")</f>
        <v/>
      </c>
      <c r="PP1551" s="42" t="str">
        <f t="array" aca="1" ref="PP1551" ca="1">IFERROR(INDEX(nombres[],SMALL(IF(OFFSET(nombres[],0,0,ROWS(nombres[]),1)=PP$1490,ROW(OFFSET(nombres[],0,0,ROWS(nombres[]),1))-ROW(OFFSET(nombres[],0,0,1,1))+1,ROW(OFFSET(nombres[],ROWS(nombres[])-1,0,1,1))+1),$O1551:$O1570),3),"")</f>
        <v/>
      </c>
      <c r="PQ1551" s="42" t="str">
        <f t="array" aca="1" ref="PQ1551" ca="1">IFERROR(INDEX(nombres[],SMALL(IF(OFFSET(nombres[],0,0,ROWS(nombres[]),1)=PQ$1490,ROW(OFFSET(nombres[],0,0,ROWS(nombres[]),1))-ROW(OFFSET(nombres[],0,0,1,1))+1,ROW(OFFSET(nombres[],ROWS(nombres[])-1,0,1,1))+1),$O1551:$O1570),3),"")</f>
        <v/>
      </c>
      <c r="PR1551" s="42" t="str">
        <f t="array" aca="1" ref="PR1551" ca="1">IFERROR(INDEX(nombres[],SMALL(IF(OFFSET(nombres[],0,0,ROWS(nombres[]),1)=PR$1490,ROW(OFFSET(nombres[],0,0,ROWS(nombres[]),1))-ROW(OFFSET(nombres[],0,0,1,1))+1,ROW(OFFSET(nombres[],ROWS(nombres[])-1,0,1,1))+1),$O1551:$O1570),3),"")</f>
        <v/>
      </c>
      <c r="PS1551" s="42" t="str">
        <f t="array" aca="1" ref="PS1551" ca="1">IFERROR(INDEX(nombres[],SMALL(IF(OFFSET(nombres[],0,0,ROWS(nombres[]),1)=PS$1490,ROW(OFFSET(nombres[],0,0,ROWS(nombres[]),1))-ROW(OFFSET(nombres[],0,0,1,1))+1,ROW(OFFSET(nombres[],ROWS(nombres[])-1,0,1,1))+1),$O1551:$O1570),3),"")</f>
        <v/>
      </c>
      <c r="PT1551" s="42" t="str">
        <f t="array" aca="1" ref="PT1551" ca="1">IFERROR(INDEX(nombres[],SMALL(IF(OFFSET(nombres[],0,0,ROWS(nombres[]),1)=PT$1490,ROW(OFFSET(nombres[],0,0,ROWS(nombres[]),1))-ROW(OFFSET(nombres[],0,0,1,1))+1,ROW(OFFSET(nombres[],ROWS(nombres[])-1,0,1,1))+1),$O1551:$O1570),3),"")</f>
        <v/>
      </c>
      <c r="PU1551" s="42" t="str">
        <f t="array" aca="1" ref="PU1551" ca="1">IFERROR(INDEX(nombres[],SMALL(IF(OFFSET(nombres[],0,0,ROWS(nombres[]),1)=PU$1490,ROW(OFFSET(nombres[],0,0,ROWS(nombres[]),1))-ROW(OFFSET(nombres[],0,0,1,1))+1,ROW(OFFSET(nombres[],ROWS(nombres[])-1,0,1,1))+1),$O1551:$O1570),3),"")</f>
        <v/>
      </c>
      <c r="PV1551" s="42" t="str">
        <f t="array" aca="1" ref="PV1551" ca="1">IFERROR(INDEX(nombres[],SMALL(IF(OFFSET(nombres[],0,0,ROWS(nombres[]),1)=PV$1490,ROW(OFFSET(nombres[],0,0,ROWS(nombres[]),1))-ROW(OFFSET(nombres[],0,0,1,1))+1,ROW(OFFSET(nombres[],ROWS(nombres[])-1,0,1,1))+1),$O1551:$O1570),3),"")</f>
        <v/>
      </c>
      <c r="PW1551" s="42" t="str">
        <f t="array" aca="1" ref="PW1551" ca="1">IFERROR(INDEX(nombres[],SMALL(IF(OFFSET(nombres[],0,0,ROWS(nombres[]),1)=PW$1490,ROW(OFFSET(nombres[],0,0,ROWS(nombres[]),1))-ROW(OFFSET(nombres[],0,0,1,1))+1,ROW(OFFSET(nombres[],ROWS(nombres[])-1,0,1,1))+1),$O1551:$O1570),3),"")</f>
        <v/>
      </c>
      <c r="PX1551" s="42" t="str">
        <f t="array" aca="1" ref="PX1551" ca="1">IFERROR(INDEX(nombres[],SMALL(IF(OFFSET(nombres[],0,0,ROWS(nombres[]),1)=PX$1490,ROW(OFFSET(nombres[],0,0,ROWS(nombres[]),1))-ROW(OFFSET(nombres[],0,0,1,1))+1,ROW(OFFSET(nombres[],ROWS(nombres[])-1,0,1,1))+1),$O1551:$O1570),3),"")</f>
        <v/>
      </c>
      <c r="PY1551" s="42" t="str">
        <f t="array" aca="1" ref="PY1551" ca="1">IFERROR(INDEX(nombres[],SMALL(IF(OFFSET(nombres[],0,0,ROWS(nombres[]),1)=PY$1490,ROW(OFFSET(nombres[],0,0,ROWS(nombres[]),1))-ROW(OFFSET(nombres[],0,0,1,1))+1,ROW(OFFSET(nombres[],ROWS(nombres[])-1,0,1,1))+1),$O1551:$O1570),3),"")</f>
        <v/>
      </c>
      <c r="PZ1551" s="42" t="str">
        <f t="array" aca="1" ref="PZ1551" ca="1">IFERROR(INDEX(nombres[],SMALL(IF(OFFSET(nombres[],0,0,ROWS(nombres[]),1)=PZ$1490,ROW(OFFSET(nombres[],0,0,ROWS(nombres[]),1))-ROW(OFFSET(nombres[],0,0,1,1))+1,ROW(OFFSET(nombres[],ROWS(nombres[])-1,0,1,1))+1),$O1551:$O1570),3),"")</f>
        <v/>
      </c>
      <c r="QA1551" s="42" t="str">
        <f t="array" aca="1" ref="QA1551" ca="1">IFERROR(INDEX(nombres[],SMALL(IF(OFFSET(nombres[],0,0,ROWS(nombres[]),1)=QA$1490,ROW(OFFSET(nombres[],0,0,ROWS(nombres[]),1))-ROW(OFFSET(nombres[],0,0,1,1))+1,ROW(OFFSET(nombres[],ROWS(nombres[])-1,0,1,1))+1),$O1551:$O1570),3),"")</f>
        <v/>
      </c>
      <c r="QB1551" s="42" t="str">
        <f t="array" aca="1" ref="QB1551" ca="1">IFERROR(INDEX(nombres[],SMALL(IF(OFFSET(nombres[],0,0,ROWS(nombres[]),1)=QB$1490,ROW(OFFSET(nombres[],0,0,ROWS(nombres[]),1))-ROW(OFFSET(nombres[],0,0,1,1))+1,ROW(OFFSET(nombres[],ROWS(nombres[])-1,0,1,1))+1),$O1551:$O1570),3),"")</f>
        <v/>
      </c>
      <c r="QC1551" s="42" t="str">
        <f t="array" aca="1" ref="QC1551" ca="1">IFERROR(INDEX(nombres[],SMALL(IF(OFFSET(nombres[],0,0,ROWS(nombres[]),1)=QC$1490,ROW(OFFSET(nombres[],0,0,ROWS(nombres[]),1))-ROW(OFFSET(nombres[],0,0,1,1))+1,ROW(OFFSET(nombres[],ROWS(nombres[])-1,0,1,1))+1),$O1551:$O1570),3),"")</f>
        <v/>
      </c>
      <c r="QD1551" s="42" t="str">
        <f t="array" aca="1" ref="QD1551" ca="1">IFERROR(INDEX(nombres[],SMALL(IF(OFFSET(nombres[],0,0,ROWS(nombres[]),1)=QD$1490,ROW(OFFSET(nombres[],0,0,ROWS(nombres[]),1))-ROW(OFFSET(nombres[],0,0,1,1))+1,ROW(OFFSET(nombres[],ROWS(nombres[])-1,0,1,1))+1),$O1551:$O1570),3),"")</f>
        <v/>
      </c>
      <c r="QE1551" s="42" t="str">
        <f t="array" aca="1" ref="QE1551" ca="1">IFERROR(INDEX(nombres[],SMALL(IF(OFFSET(nombres[],0,0,ROWS(nombres[]),1)=QE$1490,ROW(OFFSET(nombres[],0,0,ROWS(nombres[]),1))-ROW(OFFSET(nombres[],0,0,1,1))+1,ROW(OFFSET(nombres[],ROWS(nombres[])-1,0,1,1))+1),$O1551:$O1570),3),"")</f>
        <v/>
      </c>
      <c r="QF1551" s="42" t="str">
        <f t="array" aca="1" ref="QF1551" ca="1">IFERROR(INDEX(nombres[],SMALL(IF(OFFSET(nombres[],0,0,ROWS(nombres[]),1)=QF$1490,ROW(OFFSET(nombres[],0,0,ROWS(nombres[]),1))-ROW(OFFSET(nombres[],0,0,1,1))+1,ROW(OFFSET(nombres[],ROWS(nombres[])-1,0,1,1))+1),$O1551:$O1570),3),"")</f>
        <v/>
      </c>
      <c r="QG1551" s="42" t="str">
        <f t="array" aca="1" ref="QG1551" ca="1">IFERROR(INDEX(nombres[],SMALL(IF(OFFSET(nombres[],0,0,ROWS(nombres[]),1)=QG$1490,ROW(OFFSET(nombres[],0,0,ROWS(nombres[]),1))-ROW(OFFSET(nombres[],0,0,1,1))+1,ROW(OFFSET(nombres[],ROWS(nombres[])-1,0,1,1))+1),$O1551:$O1570),3),"")</f>
        <v/>
      </c>
      <c r="QH1551" s="42" t="str">
        <f t="array" aca="1" ref="QH1551" ca="1">IFERROR(INDEX(nombres[],SMALL(IF(OFFSET(nombres[],0,0,ROWS(nombres[]),1)=QH$1490,ROW(OFFSET(nombres[],0,0,ROWS(nombres[]),1))-ROW(OFFSET(nombres[],0,0,1,1))+1,ROW(OFFSET(nombres[],ROWS(nombres[])-1,0,1,1))+1),$O1551:$O1570),3),"")</f>
        <v/>
      </c>
      <c r="QI1551" s="42" t="str">
        <f t="array" aca="1" ref="QI1551" ca="1">IFERROR(INDEX(nombres[],SMALL(IF(OFFSET(nombres[],0,0,ROWS(nombres[]),1)=QI$1490,ROW(OFFSET(nombres[],0,0,ROWS(nombres[]),1))-ROW(OFFSET(nombres[],0,0,1,1))+1,ROW(OFFSET(nombres[],ROWS(nombres[])-1,0,1,1))+1),$O1551:$O1570),3),"")</f>
        <v/>
      </c>
      <c r="QJ1551" s="42" t="str">
        <f t="array" aca="1" ref="QJ1551" ca="1">IFERROR(INDEX(nombres[],SMALL(IF(OFFSET(nombres[],0,0,ROWS(nombres[]),1)=QJ$1490,ROW(OFFSET(nombres[],0,0,ROWS(nombres[]),1))-ROW(OFFSET(nombres[],0,0,1,1))+1,ROW(OFFSET(nombres[],ROWS(nombres[])-1,0,1,1))+1),$O1551:$O1570),3),"")</f>
        <v/>
      </c>
      <c r="QK1551" s="42" t="str">
        <f t="array" aca="1" ref="QK1551" ca="1">IFERROR(INDEX(nombres[],SMALL(IF(OFFSET(nombres[],0,0,ROWS(nombres[]),1)=QK$1490,ROW(OFFSET(nombres[],0,0,ROWS(nombres[]),1))-ROW(OFFSET(nombres[],0,0,1,1))+1,ROW(OFFSET(nombres[],ROWS(nombres[])-1,0,1,1))+1),$O1551:$O1570),3),"")</f>
        <v/>
      </c>
      <c r="QL1551" s="42" t="str">
        <f t="array" aca="1" ref="QL1551" ca="1">IFERROR(INDEX(nombres[],SMALL(IF(OFFSET(nombres[],0,0,ROWS(nombres[]),1)=QL$1490,ROW(OFFSET(nombres[],0,0,ROWS(nombres[]),1))-ROW(OFFSET(nombres[],0,0,1,1))+1,ROW(OFFSET(nombres[],ROWS(nombres[])-1,0,1,1))+1),$O1551:$O1570),3),"")</f>
        <v/>
      </c>
      <c r="QM1551" s="42" t="str">
        <f t="array" aca="1" ref="QM1551" ca="1">IFERROR(INDEX(nombres[],SMALL(IF(OFFSET(nombres[],0,0,ROWS(nombres[]),1)=QM$1490,ROW(OFFSET(nombres[],0,0,ROWS(nombres[]),1))-ROW(OFFSET(nombres[],0,0,1,1))+1,ROW(OFFSET(nombres[],ROWS(nombres[])-1,0,1,1))+1),$O1551:$O1570),3),"")</f>
        <v/>
      </c>
      <c r="QN1551" s="42" t="str">
        <f t="array" aca="1" ref="QN1551" ca="1">IFERROR(INDEX(nombres[],SMALL(IF(OFFSET(nombres[],0,0,ROWS(nombres[]),1)=QN$1490,ROW(OFFSET(nombres[],0,0,ROWS(nombres[]),1))-ROW(OFFSET(nombres[],0,0,1,1))+1,ROW(OFFSET(nombres[],ROWS(nombres[])-1,0,1,1))+1),$O1551:$O1570),3),"")</f>
        <v/>
      </c>
      <c r="QO1551" s="42" t="str">
        <f t="array" aca="1" ref="QO1551" ca="1">IFERROR(INDEX(nombres[],SMALL(IF(OFFSET(nombres[],0,0,ROWS(nombres[]),1)=QO$1490,ROW(OFFSET(nombres[],0,0,ROWS(nombres[]),1))-ROW(OFFSET(nombres[],0,0,1,1))+1,ROW(OFFSET(nombres[],ROWS(nombres[])-1,0,1,1))+1),$O1551:$O1570),3),"")</f>
        <v/>
      </c>
      <c r="QP1551" s="42" t="str">
        <f t="array" aca="1" ref="QP1551" ca="1">IFERROR(INDEX(nombres[],SMALL(IF(OFFSET(nombres[],0,0,ROWS(nombres[]),1)=QP$1490,ROW(OFFSET(nombres[],0,0,ROWS(nombres[]),1))-ROW(OFFSET(nombres[],0,0,1,1))+1,ROW(OFFSET(nombres[],ROWS(nombres[])-1,0,1,1))+1),$O1551:$O1570),3),"")</f>
        <v/>
      </c>
      <c r="QQ1551" s="42" t="str">
        <f t="array" aca="1" ref="QQ1551" ca="1">IFERROR(INDEX(nombres[],SMALL(IF(OFFSET(nombres[],0,0,ROWS(nombres[]),1)=QQ$1490,ROW(OFFSET(nombres[],0,0,ROWS(nombres[]),1))-ROW(OFFSET(nombres[],0,0,1,1))+1,ROW(OFFSET(nombres[],ROWS(nombres[])-1,0,1,1))+1),$O1551:$O1570),3),"")</f>
        <v/>
      </c>
      <c r="QR1551" s="42" t="str">
        <f t="array" aca="1" ref="QR1551" ca="1">IFERROR(INDEX(nombres[],SMALL(IF(OFFSET(nombres[],0,0,ROWS(nombres[]),1)=QR$1490,ROW(OFFSET(nombres[],0,0,ROWS(nombres[]),1))-ROW(OFFSET(nombres[],0,0,1,1))+1,ROW(OFFSET(nombres[],ROWS(nombres[])-1,0,1,1))+1),$O1551:$O1570),3),"")</f>
        <v/>
      </c>
      <c r="QS1551" s="42" t="str">
        <f t="array" aca="1" ref="QS1551" ca="1">IFERROR(INDEX(nombres[],SMALL(IF(OFFSET(nombres[],0,0,ROWS(nombres[]),1)=QS$1490,ROW(OFFSET(nombres[],0,0,ROWS(nombres[]),1))-ROW(OFFSET(nombres[],0,0,1,1))+1,ROW(OFFSET(nombres[],ROWS(nombres[])-1,0,1,1))+1),$O1551:$O1570),3),"")</f>
        <v/>
      </c>
      <c r="QT1551" s="42" t="str">
        <f t="array" aca="1" ref="QT1551" ca="1">IFERROR(INDEX(nombres[],SMALL(IF(OFFSET(nombres[],0,0,ROWS(nombres[]),1)=QT$1490,ROW(OFFSET(nombres[],0,0,ROWS(nombres[]),1))-ROW(OFFSET(nombres[],0,0,1,1))+1,ROW(OFFSET(nombres[],ROWS(nombres[])-1,0,1,1))+1),$O1551:$O1570),3),"")</f>
        <v/>
      </c>
      <c r="QU1551" s="42" t="str">
        <f t="array" aca="1" ref="QU1551" ca="1">IFERROR(INDEX(nombres[],SMALL(IF(OFFSET(nombres[],0,0,ROWS(nombres[]),1)=QU$1490,ROW(OFFSET(nombres[],0,0,ROWS(nombres[]),1))-ROW(OFFSET(nombres[],0,0,1,1))+1,ROW(OFFSET(nombres[],ROWS(nombres[])-1,0,1,1))+1),$O1551:$O1570),3),"")</f>
        <v/>
      </c>
      <c r="QV1551" s="42" t="str">
        <f t="array" aca="1" ref="QV1551" ca="1">IFERROR(INDEX(nombres[],SMALL(IF(OFFSET(nombres[],0,0,ROWS(nombres[]),1)=QV$1490,ROW(OFFSET(nombres[],0,0,ROWS(nombres[]),1))-ROW(OFFSET(nombres[],0,0,1,1))+1,ROW(OFFSET(nombres[],ROWS(nombres[])-1,0,1,1))+1),$O1551:$O1570),3),"")</f>
        <v/>
      </c>
      <c r="QW1551" s="42" t="str">
        <f t="array" aca="1" ref="QW1551" ca="1">IFERROR(INDEX(nombres[],SMALL(IF(OFFSET(nombres[],0,0,ROWS(nombres[]),1)=QW$1490,ROW(OFFSET(nombres[],0,0,ROWS(nombres[]),1))-ROW(OFFSET(nombres[],0,0,1,1))+1,ROW(OFFSET(nombres[],ROWS(nombres[])-1,0,1,1))+1),$O1551:$O1570),3),"")</f>
        <v/>
      </c>
      <c r="QX1551" s="42" t="str">
        <f t="array" aca="1" ref="QX1551" ca="1">IFERROR(INDEX(nombres[],SMALL(IF(OFFSET(nombres[],0,0,ROWS(nombres[]),1)=QX$1490,ROW(OFFSET(nombres[],0,0,ROWS(nombres[]),1))-ROW(OFFSET(nombres[],0,0,1,1))+1,ROW(OFFSET(nombres[],ROWS(nombres[])-1,0,1,1))+1),$O1551:$O1570),3),"")</f>
        <v/>
      </c>
      <c r="QY1551" s="42" t="str">
        <f t="array" aca="1" ref="QY1551" ca="1">IFERROR(INDEX(nombres[],SMALL(IF(OFFSET(nombres[],0,0,ROWS(nombres[]),1)=QY$1490,ROW(OFFSET(nombres[],0,0,ROWS(nombres[]),1))-ROW(OFFSET(nombres[],0,0,1,1))+1,ROW(OFFSET(nombres[],ROWS(nombres[])-1,0,1,1))+1),$O1551:$O1570),3),"")</f>
        <v/>
      </c>
      <c r="QZ1551" s="42" t="str">
        <f t="array" aca="1" ref="QZ1551" ca="1">IFERROR(INDEX(nombres[],SMALL(IF(OFFSET(nombres[],0,0,ROWS(nombres[]),1)=QZ$1490,ROW(OFFSET(nombres[],0,0,ROWS(nombres[]),1))-ROW(OFFSET(nombres[],0,0,1,1))+1,ROW(OFFSET(nombres[],ROWS(nombres[])-1,0,1,1))+1),$O1551:$O1570),3),"")</f>
        <v/>
      </c>
      <c r="RA1551" s="42" t="str">
        <f t="array" aca="1" ref="RA1551" ca="1">IFERROR(INDEX(nombres[],SMALL(IF(OFFSET(nombres[],0,0,ROWS(nombres[]),1)=RA$1490,ROW(OFFSET(nombres[],0,0,ROWS(nombres[]),1))-ROW(OFFSET(nombres[],0,0,1,1))+1,ROW(OFFSET(nombres[],ROWS(nombres[])-1,0,1,1))+1),$O1551:$O1570),3),"")</f>
        <v/>
      </c>
      <c r="RB1551" s="42" t="str">
        <f t="array" aca="1" ref="RB1551" ca="1">IFERROR(INDEX(nombres[],SMALL(IF(OFFSET(nombres[],0,0,ROWS(nombres[]),1)=RB$1490,ROW(OFFSET(nombres[],0,0,ROWS(nombres[]),1))-ROW(OFFSET(nombres[],0,0,1,1))+1,ROW(OFFSET(nombres[],ROWS(nombres[])-1,0,1,1))+1),$O1551:$O1570),3),"")</f>
        <v/>
      </c>
      <c r="RC1551" s="42" t="str">
        <f t="array" aca="1" ref="RC1551" ca="1">IFERROR(INDEX(nombres[],SMALL(IF(OFFSET(nombres[],0,0,ROWS(nombres[]),1)=RC$1490,ROW(OFFSET(nombres[],0,0,ROWS(nombres[]),1))-ROW(OFFSET(nombres[],0,0,1,1))+1,ROW(OFFSET(nombres[],ROWS(nombres[])-1,0,1,1))+1),$O1551:$O1570),3),"")</f>
        <v/>
      </c>
      <c r="RD1551" s="42" t="str">
        <f t="array" aca="1" ref="RD1551" ca="1">IFERROR(INDEX(nombres[],SMALL(IF(OFFSET(nombres[],0,0,ROWS(nombres[]),1)=RD$1490,ROW(OFFSET(nombres[],0,0,ROWS(nombres[]),1))-ROW(OFFSET(nombres[],0,0,1,1))+1,ROW(OFFSET(nombres[],ROWS(nombres[])-1,0,1,1))+1),$O1551:$O1570),3),"")</f>
        <v/>
      </c>
      <c r="RE1551" s="42" t="str">
        <f t="array" aca="1" ref="RE1551" ca="1">IFERROR(INDEX(nombres[],SMALL(IF(OFFSET(nombres[],0,0,ROWS(nombres[]),1)=RE$1490,ROW(OFFSET(nombres[],0,0,ROWS(nombres[]),1))-ROW(OFFSET(nombres[],0,0,1,1))+1,ROW(OFFSET(nombres[],ROWS(nombres[])-1,0,1,1))+1),$O1551:$O1570),3),"")</f>
        <v/>
      </c>
      <c r="RF1551" s="42" t="str">
        <f t="array" aca="1" ref="RF1551" ca="1">IFERROR(INDEX(nombres[],SMALL(IF(OFFSET(nombres[],0,0,ROWS(nombres[]),1)=RF$1490,ROW(OFFSET(nombres[],0,0,ROWS(nombres[]),1))-ROW(OFFSET(nombres[],0,0,1,1))+1,ROW(OFFSET(nombres[],ROWS(nombres[])-1,0,1,1))+1),$O1551:$O1570),3),"")</f>
        <v/>
      </c>
      <c r="RG1551" s="42" t="str">
        <f t="array" aca="1" ref="RG1551" ca="1">IFERROR(INDEX(nombres[],SMALL(IF(OFFSET(nombres[],0,0,ROWS(nombres[]),1)=RG$1490,ROW(OFFSET(nombres[],0,0,ROWS(nombres[]),1))-ROW(OFFSET(nombres[],0,0,1,1))+1,ROW(OFFSET(nombres[],ROWS(nombres[])-1,0,1,1))+1),$O1551:$O1570),3),"")</f>
        <v/>
      </c>
      <c r="RH1551" s="42" t="str">
        <f t="array" aca="1" ref="RH1551" ca="1">IFERROR(INDEX(nombres[],SMALL(IF(OFFSET(nombres[],0,0,ROWS(nombres[]),1)=RH$1490,ROW(OFFSET(nombres[],0,0,ROWS(nombres[]),1))-ROW(OFFSET(nombres[],0,0,1,1))+1,ROW(OFFSET(nombres[],ROWS(nombres[])-1,0,1,1))+1),$O1551:$O1570),3),"")</f>
        <v/>
      </c>
      <c r="RI1551" s="42" t="str">
        <f t="array" aca="1" ref="RI1551" ca="1">IFERROR(INDEX(nombres[],SMALL(IF(OFFSET(nombres[],0,0,ROWS(nombres[]),1)=RI$1490,ROW(OFFSET(nombres[],0,0,ROWS(nombres[]),1))-ROW(OFFSET(nombres[],0,0,1,1))+1,ROW(OFFSET(nombres[],ROWS(nombres[])-1,0,1,1))+1),$O1551:$O1570),3),"")</f>
        <v/>
      </c>
      <c r="RJ1551" s="42" t="str">
        <f t="array" aca="1" ref="RJ1551" ca="1">IFERROR(INDEX(nombres[],SMALL(IF(OFFSET(nombres[],0,0,ROWS(nombres[]),1)=RJ$1490,ROW(OFFSET(nombres[],0,0,ROWS(nombres[]),1))-ROW(OFFSET(nombres[],0,0,1,1))+1,ROW(OFFSET(nombres[],ROWS(nombres[])-1,0,1,1))+1),$O1551:$O1570),3),"")</f>
        <v/>
      </c>
      <c r="RK1551" s="42" t="str">
        <f t="array" aca="1" ref="RK1551" ca="1">IFERROR(INDEX(nombres[],SMALL(IF(OFFSET(nombres[],0,0,ROWS(nombres[]),1)=RK$1490,ROW(OFFSET(nombres[],0,0,ROWS(nombres[]),1))-ROW(OFFSET(nombres[],0,0,1,1))+1,ROW(OFFSET(nombres[],ROWS(nombres[])-1,0,1,1))+1),$O1551:$O1570),3),"")</f>
        <v/>
      </c>
      <c r="RL1551" s="42" t="str">
        <f t="array" aca="1" ref="RL1551" ca="1">IFERROR(INDEX(nombres[],SMALL(IF(OFFSET(nombres[],0,0,ROWS(nombres[]),1)=RL$1490,ROW(OFFSET(nombres[],0,0,ROWS(nombres[]),1))-ROW(OFFSET(nombres[],0,0,1,1))+1,ROW(OFFSET(nombres[],ROWS(nombres[])-1,0,1,1))+1),$O1551:$O1570),3),"")</f>
        <v/>
      </c>
      <c r="RM1551" s="42" t="str">
        <f t="array" aca="1" ref="RM1551" ca="1">IFERROR(INDEX(nombres[],SMALL(IF(OFFSET(nombres[],0,0,ROWS(nombres[]),1)=RM$1490,ROW(OFFSET(nombres[],0,0,ROWS(nombres[]),1))-ROW(OFFSET(nombres[],0,0,1,1))+1,ROW(OFFSET(nombres[],ROWS(nombres[])-1,0,1,1))+1),$O1551:$O1570),3),"")</f>
        <v/>
      </c>
      <c r="RN1551" s="42" t="str">
        <f t="array" aca="1" ref="RN1551" ca="1">IFERROR(INDEX(nombres[],SMALL(IF(OFFSET(nombres[],0,0,ROWS(nombres[]),1)=RN$1490,ROW(OFFSET(nombres[],0,0,ROWS(nombres[]),1))-ROW(OFFSET(nombres[],0,0,1,1))+1,ROW(OFFSET(nombres[],ROWS(nombres[])-1,0,1,1))+1),$O1551:$O1570),3),"")</f>
        <v/>
      </c>
      <c r="RO1551" s="42" t="str">
        <f t="array" aca="1" ref="RO1551" ca="1">IFERROR(INDEX(nombres[],SMALL(IF(OFFSET(nombres[],0,0,ROWS(nombres[]),1)=RO$1490,ROW(OFFSET(nombres[],0,0,ROWS(nombres[]),1))-ROW(OFFSET(nombres[],0,0,1,1))+1,ROW(OFFSET(nombres[],ROWS(nombres[])-1,0,1,1))+1),$O1551:$O1570),3),"")</f>
        <v/>
      </c>
      <c r="RP1551" s="42" t="str">
        <f t="array" aca="1" ref="RP1551" ca="1">IFERROR(INDEX(nombres[],SMALL(IF(OFFSET(nombres[],0,0,ROWS(nombres[]),1)=RP$1490,ROW(OFFSET(nombres[],0,0,ROWS(nombres[]),1))-ROW(OFFSET(nombres[],0,0,1,1))+1,ROW(OFFSET(nombres[],ROWS(nombres[])-1,0,1,1))+1),$O1551:$O1570),3),"")</f>
        <v/>
      </c>
      <c r="RQ1551" s="42" t="str">
        <f t="array" aca="1" ref="RQ1551" ca="1">IFERROR(INDEX(nombres[],SMALL(IF(OFFSET(nombres[],0,0,ROWS(nombres[]),1)=RQ$1490,ROW(OFFSET(nombres[],0,0,ROWS(nombres[]),1))-ROW(OFFSET(nombres[],0,0,1,1))+1,ROW(OFFSET(nombres[],ROWS(nombres[])-1,0,1,1))+1),$O1551:$O1570),3),"")</f>
        <v/>
      </c>
      <c r="RR1551" s="42" t="str">
        <f t="array" aca="1" ref="RR1551" ca="1">IFERROR(INDEX(nombres[],SMALL(IF(OFFSET(nombres[],0,0,ROWS(nombres[]),1)=RR$1490,ROW(OFFSET(nombres[],0,0,ROWS(nombres[]),1))-ROW(OFFSET(nombres[],0,0,1,1))+1,ROW(OFFSET(nombres[],ROWS(nombres[])-1,0,1,1))+1),$O1551:$O1570),3),"")</f>
        <v/>
      </c>
      <c r="RS1551" s="42" t="str">
        <f t="array" aca="1" ref="RS1551" ca="1">IFERROR(INDEX(nombres[],SMALL(IF(OFFSET(nombres[],0,0,ROWS(nombres[]),1)=RS$1490,ROW(OFFSET(nombres[],0,0,ROWS(nombres[]),1))-ROW(OFFSET(nombres[],0,0,1,1))+1,ROW(OFFSET(nombres[],ROWS(nombres[])-1,0,1,1))+1),$O1551:$O1570),3),"")</f>
        <v/>
      </c>
      <c r="RT1551" s="42" t="str">
        <f t="array" aca="1" ref="RT1551" ca="1">IFERROR(INDEX(nombres[],SMALL(IF(OFFSET(nombres[],0,0,ROWS(nombres[]),1)=RT$1490,ROW(OFFSET(nombres[],0,0,ROWS(nombres[]),1))-ROW(OFFSET(nombres[],0,0,1,1))+1,ROW(OFFSET(nombres[],ROWS(nombres[])-1,0,1,1))+1),$O1551:$O1570),3),"")</f>
        <v/>
      </c>
      <c r="RU1551" s="42" t="str">
        <f t="array" aca="1" ref="RU1551" ca="1">IFERROR(INDEX(nombres[],SMALL(IF(OFFSET(nombres[],0,0,ROWS(nombres[]),1)=RU$1490,ROW(OFFSET(nombres[],0,0,ROWS(nombres[]),1))-ROW(OFFSET(nombres[],0,0,1,1))+1,ROW(OFFSET(nombres[],ROWS(nombres[])-1,0,1,1))+1),$O1551:$O1570),3),"")</f>
        <v/>
      </c>
      <c r="RV1551" s="42" t="str">
        <f t="array" aca="1" ref="RV1551" ca="1">IFERROR(INDEX(nombres[],SMALL(IF(OFFSET(nombres[],0,0,ROWS(nombres[]),1)=RV$1490,ROW(OFFSET(nombres[],0,0,ROWS(nombres[]),1))-ROW(OFFSET(nombres[],0,0,1,1))+1,ROW(OFFSET(nombres[],ROWS(nombres[])-1,0,1,1))+1),$O1551:$O1570),3),"")</f>
        <v/>
      </c>
      <c r="RW1551" s="42" t="str">
        <f t="array" aca="1" ref="RW1551" ca="1">IFERROR(INDEX(nombres[],SMALL(IF(OFFSET(nombres[],0,0,ROWS(nombres[]),1)=RW$1490,ROW(OFFSET(nombres[],0,0,ROWS(nombres[]),1))-ROW(OFFSET(nombres[],0,0,1,1))+1,ROW(OFFSET(nombres[],ROWS(nombres[])-1,0,1,1))+1),$O1551:$O1570),3),"")</f>
        <v/>
      </c>
      <c r="RX1551" s="42" t="str">
        <f t="array" aca="1" ref="RX1551" ca="1">IFERROR(INDEX(nombres[],SMALL(IF(OFFSET(nombres[],0,0,ROWS(nombres[]),1)=RX$1490,ROW(OFFSET(nombres[],0,0,ROWS(nombres[]),1))-ROW(OFFSET(nombres[],0,0,1,1))+1,ROW(OFFSET(nombres[],ROWS(nombres[])-1,0,1,1))+1),$O1551:$O1570),3),"")</f>
        <v/>
      </c>
      <c r="RY1551" s="42" t="str">
        <f t="array" aca="1" ref="RY1551" ca="1">IFERROR(INDEX(nombres[],SMALL(IF(OFFSET(nombres[],0,0,ROWS(nombres[]),1)=RY$1490,ROW(OFFSET(nombres[],0,0,ROWS(nombres[]),1))-ROW(OFFSET(nombres[],0,0,1,1))+1,ROW(OFFSET(nombres[],ROWS(nombres[])-1,0,1,1))+1),$O1551:$O1570),3),"")</f>
        <v/>
      </c>
      <c r="RZ1551" s="42" t="str">
        <f t="array" aca="1" ref="RZ1551" ca="1">IFERROR(INDEX(nombres[],SMALL(IF(OFFSET(nombres[],0,0,ROWS(nombres[]),1)=RZ$1490,ROW(OFFSET(nombres[],0,0,ROWS(nombres[]),1))-ROW(OFFSET(nombres[],0,0,1,1))+1,ROW(OFFSET(nombres[],ROWS(nombres[])-1,0,1,1))+1),$O1551:$O1570),3),"")</f>
        <v/>
      </c>
      <c r="SA1551" s="42" t="str">
        <f t="array" aca="1" ref="SA1551" ca="1">IFERROR(INDEX(nombres[],SMALL(IF(OFFSET(nombres[],0,0,ROWS(nombres[]),1)=SA$1490,ROW(OFFSET(nombres[],0,0,ROWS(nombres[]),1))-ROW(OFFSET(nombres[],0,0,1,1))+1,ROW(OFFSET(nombres[],ROWS(nombres[])-1,0,1,1))+1),$O1551:$O1570),3),"")</f>
        <v/>
      </c>
      <c r="SB1551" s="42" t="str">
        <f t="array" aca="1" ref="SB1551" ca="1">IFERROR(INDEX(nombres[],SMALL(IF(OFFSET(nombres[],0,0,ROWS(nombres[]),1)=SB$1490,ROW(OFFSET(nombres[],0,0,ROWS(nombres[]),1))-ROW(OFFSET(nombres[],0,0,1,1))+1,ROW(OFFSET(nombres[],ROWS(nombres[])-1,0,1,1))+1),$O1551:$O1570),3),"")</f>
        <v/>
      </c>
      <c r="SC1551" s="42" t="str">
        <f t="array" aca="1" ref="SC1551" ca="1">IFERROR(INDEX(nombres[],SMALL(IF(OFFSET(nombres[],0,0,ROWS(nombres[]),1)=SC$1490,ROW(OFFSET(nombres[],0,0,ROWS(nombres[]),1))-ROW(OFFSET(nombres[],0,0,1,1))+1,ROW(OFFSET(nombres[],ROWS(nombres[])-1,0,1,1))+1),$O1551:$O1570),3),"")</f>
        <v/>
      </c>
      <c r="SD1551" s="42" t="str">
        <f t="array" aca="1" ref="SD1551" ca="1">IFERROR(INDEX(nombres[],SMALL(IF(OFFSET(nombres[],0,0,ROWS(nombres[]),1)=SD$1490,ROW(OFFSET(nombres[],0,0,ROWS(nombres[]),1))-ROW(OFFSET(nombres[],0,0,1,1))+1,ROW(OFFSET(nombres[],ROWS(nombres[])-1,0,1,1))+1),$O1551:$O1570),3),"")</f>
        <v/>
      </c>
      <c r="SE1551" s="42" t="str">
        <f t="array" aca="1" ref="SE1551" ca="1">IFERROR(INDEX(nombres[],SMALL(IF(OFFSET(nombres[],0,0,ROWS(nombres[]),1)=SE$1490,ROW(OFFSET(nombres[],0,0,ROWS(nombres[]),1))-ROW(OFFSET(nombres[],0,0,1,1))+1,ROW(OFFSET(nombres[],ROWS(nombres[])-1,0,1,1))+1),$O1551:$O1570),3),"")</f>
        <v/>
      </c>
      <c r="SF1551" s="42" t="str">
        <f t="array" aca="1" ref="SF1551" ca="1">IFERROR(INDEX(nombres[],SMALL(IF(OFFSET(nombres[],0,0,ROWS(nombres[]),1)=SF$1490,ROW(OFFSET(nombres[],0,0,ROWS(nombres[]),1))-ROW(OFFSET(nombres[],0,0,1,1))+1,ROW(OFFSET(nombres[],ROWS(nombres[])-1,0,1,1))+1),$O1551:$O1570),3),"")</f>
        <v/>
      </c>
      <c r="SG1551" s="42" t="str">
        <f t="array" aca="1" ref="SG1551" ca="1">IFERROR(INDEX(nombres[],SMALL(IF(OFFSET(nombres[],0,0,ROWS(nombres[]),1)=SG$1490,ROW(OFFSET(nombres[],0,0,ROWS(nombres[]),1))-ROW(OFFSET(nombres[],0,0,1,1))+1,ROW(OFFSET(nombres[],ROWS(nombres[])-1,0,1,1))+1),$O1551:$O1570),3),"")</f>
        <v/>
      </c>
      <c r="SH1551" s="42" t="str">
        <f t="array" aca="1" ref="SH1551" ca="1">IFERROR(INDEX(nombres[],SMALL(IF(OFFSET(nombres[],0,0,ROWS(nombres[]),1)=SH$1490,ROW(OFFSET(nombres[],0,0,ROWS(nombres[]),1))-ROW(OFFSET(nombres[],0,0,1,1))+1,ROW(OFFSET(nombres[],ROWS(nombres[])-1,0,1,1))+1),$O1551:$O1570),3),"")</f>
        <v/>
      </c>
      <c r="SI1551" s="42" t="str">
        <f t="array" aca="1" ref="SI1551" ca="1">IFERROR(INDEX(nombres[],SMALL(IF(OFFSET(nombres[],0,0,ROWS(nombres[]),1)=SI$1490,ROW(OFFSET(nombres[],0,0,ROWS(nombres[]),1))-ROW(OFFSET(nombres[],0,0,1,1))+1,ROW(OFFSET(nombres[],ROWS(nombres[])-1,0,1,1))+1),$O1551:$O1570),3),"")</f>
        <v/>
      </c>
      <c r="SJ1551" s="42" t="str">
        <f t="array" aca="1" ref="SJ1551" ca="1">IFERROR(INDEX(nombres[],SMALL(IF(OFFSET(nombres[],0,0,ROWS(nombres[]),1)=SJ$1490,ROW(OFFSET(nombres[],0,0,ROWS(nombres[]),1))-ROW(OFFSET(nombres[],0,0,1,1))+1,ROW(OFFSET(nombres[],ROWS(nombres[])-1,0,1,1))+1),$O1551:$O1570),3),"")</f>
        <v/>
      </c>
      <c r="SK1551" s="42" t="str">
        <f t="array" aca="1" ref="SK1551" ca="1">IFERROR(INDEX(nombres[],SMALL(IF(OFFSET(nombres[],0,0,ROWS(nombres[]),1)=SK$1490,ROW(OFFSET(nombres[],0,0,ROWS(nombres[]),1))-ROW(OFFSET(nombres[],0,0,1,1))+1,ROW(OFFSET(nombres[],ROWS(nombres[])-1,0,1,1))+1),$O1551:$O1570),3),"")</f>
        <v/>
      </c>
      <c r="SL1551" s="42" t="str">
        <f t="array" aca="1" ref="SL1551" ca="1">IFERROR(INDEX(nombres[],SMALL(IF(OFFSET(nombres[],0,0,ROWS(nombres[]),1)=SL$1490,ROW(OFFSET(nombres[],0,0,ROWS(nombres[]),1))-ROW(OFFSET(nombres[],0,0,1,1))+1,ROW(OFFSET(nombres[],ROWS(nombres[])-1,0,1,1))+1),$O1551:$O1570),3),"")</f>
        <v/>
      </c>
      <c r="SM1551" s="42" t="str">
        <f t="array" aca="1" ref="SM1551" ca="1">IFERROR(INDEX(nombres[],SMALL(IF(OFFSET(nombres[],0,0,ROWS(nombres[]),1)=SM$1490,ROW(OFFSET(nombres[],0,0,ROWS(nombres[]),1))-ROW(OFFSET(nombres[],0,0,1,1))+1,ROW(OFFSET(nombres[],ROWS(nombres[])-1,0,1,1))+1),$O1551:$O1570),3),"")</f>
        <v/>
      </c>
      <c r="SN1551" s="42" t="str">
        <f t="array" aca="1" ref="SN1551" ca="1">IFERROR(INDEX(nombres[],SMALL(IF(OFFSET(nombres[],0,0,ROWS(nombres[]),1)=SN$1490,ROW(OFFSET(nombres[],0,0,ROWS(nombres[]),1))-ROW(OFFSET(nombres[],0,0,1,1))+1,ROW(OFFSET(nombres[],ROWS(nombres[])-1,0,1,1))+1),$O1551:$O1570),3),"")</f>
        <v/>
      </c>
      <c r="SO1551" s="42" t="str">
        <f t="array" aca="1" ref="SO1551" ca="1">IFERROR(INDEX(nombres[],SMALL(IF(OFFSET(nombres[],0,0,ROWS(nombres[]),1)=SO$1490,ROW(OFFSET(nombres[],0,0,ROWS(nombres[]),1))-ROW(OFFSET(nombres[],0,0,1,1))+1,ROW(OFFSET(nombres[],ROWS(nombres[])-1,0,1,1))+1),$O1551:$O1570),3),"")</f>
        <v/>
      </c>
      <c r="SP1551" s="42" t="str">
        <f t="array" aca="1" ref="SP1551" ca="1">IFERROR(INDEX(nombres[],SMALL(IF(OFFSET(nombres[],0,0,ROWS(nombres[]),1)=SP$1490,ROW(OFFSET(nombres[],0,0,ROWS(nombres[]),1))-ROW(OFFSET(nombres[],0,0,1,1))+1,ROW(OFFSET(nombres[],ROWS(nombres[])-1,0,1,1))+1),$O1551:$O1570),3),"")</f>
        <v/>
      </c>
      <c r="SQ1551" s="42" t="str">
        <f t="array" aca="1" ref="SQ1551" ca="1">IFERROR(INDEX(nombres[],SMALL(IF(OFFSET(nombres[],0,0,ROWS(nombres[]),1)=SQ$1490,ROW(OFFSET(nombres[],0,0,ROWS(nombres[]),1))-ROW(OFFSET(nombres[],0,0,1,1))+1,ROW(OFFSET(nombres[],ROWS(nombres[])-1,0,1,1))+1),$O1551:$O1570),3),"")</f>
        <v/>
      </c>
      <c r="SR1551" s="42" t="str">
        <f t="array" aca="1" ref="SR1551" ca="1">IFERROR(INDEX(nombres[],SMALL(IF(OFFSET(nombres[],0,0,ROWS(nombres[]),1)=SR$1490,ROW(OFFSET(nombres[],0,0,ROWS(nombres[]),1))-ROW(OFFSET(nombres[],0,0,1,1))+1,ROW(OFFSET(nombres[],ROWS(nombres[])-1,0,1,1))+1),$O1551:$O1570),3),"")</f>
        <v/>
      </c>
      <c r="SS1551" s="42" t="str">
        <f t="array" aca="1" ref="SS1551" ca="1">IFERROR(INDEX(nombres[],SMALL(IF(OFFSET(nombres[],0,0,ROWS(nombres[]),1)=SS$1490,ROW(OFFSET(nombres[],0,0,ROWS(nombres[]),1))-ROW(OFFSET(nombres[],0,0,1,1))+1,ROW(OFFSET(nombres[],ROWS(nombres[])-1,0,1,1))+1),$O1551:$O1570),3),"")</f>
        <v/>
      </c>
      <c r="ST1551" s="42" t="str">
        <f t="array" aca="1" ref="ST1551" ca="1">IFERROR(INDEX(nombres[],SMALL(IF(OFFSET(nombres[],0,0,ROWS(nombres[]),1)=ST$1490,ROW(OFFSET(nombres[],0,0,ROWS(nombres[]),1))-ROW(OFFSET(nombres[],0,0,1,1))+1,ROW(OFFSET(nombres[],ROWS(nombres[])-1,0,1,1))+1),$O1551:$O1570),3),"")</f>
        <v/>
      </c>
      <c r="SU1551" s="42" t="str">
        <f t="array" aca="1" ref="SU1551" ca="1">IFERROR(INDEX(nombres[],SMALL(IF(OFFSET(nombres[],0,0,ROWS(nombres[]),1)=SU$1490,ROW(OFFSET(nombres[],0,0,ROWS(nombres[]),1))-ROW(OFFSET(nombres[],0,0,1,1))+1,ROW(OFFSET(nombres[],ROWS(nombres[])-1,0,1,1))+1),$O1551:$O1570),3),"")</f>
        <v/>
      </c>
      <c r="SV1551" s="42" t="str">
        <f t="array" aca="1" ref="SV1551" ca="1">IFERROR(INDEX(nombres[],SMALL(IF(OFFSET(nombres[],0,0,ROWS(nombres[]),1)=SV$1490,ROW(OFFSET(nombres[],0,0,ROWS(nombres[]),1))-ROW(OFFSET(nombres[],0,0,1,1))+1,ROW(OFFSET(nombres[],ROWS(nombres[])-1,0,1,1))+1),$O1551:$O1570),3),"")</f>
        <v/>
      </c>
      <c r="SW1551" s="42" t="str">
        <f t="array" aca="1" ref="SW1551" ca="1">IFERROR(INDEX(nombres[],SMALL(IF(OFFSET(nombres[],0,0,ROWS(nombres[]),1)=SW$1490,ROW(OFFSET(nombres[],0,0,ROWS(nombres[]),1))-ROW(OFFSET(nombres[],0,0,1,1))+1,ROW(OFFSET(nombres[],ROWS(nombres[])-1,0,1,1))+1),$O1551:$O1570),3),"")</f>
        <v/>
      </c>
      <c r="SX1551" s="42" t="str">
        <f t="array" aca="1" ref="SX1551" ca="1">IFERROR(INDEX(nombres[],SMALL(IF(OFFSET(nombres[],0,0,ROWS(nombres[]),1)=SX$1490,ROW(OFFSET(nombres[],0,0,ROWS(nombres[]),1))-ROW(OFFSET(nombres[],0,0,1,1))+1,ROW(OFFSET(nombres[],ROWS(nombres[])-1,0,1,1))+1),$O1551:$O1570),3),"")</f>
        <v/>
      </c>
      <c r="SY1551" s="42" t="str">
        <f t="array" aca="1" ref="SY1551" ca="1">IFERROR(INDEX(nombres[],SMALL(IF(OFFSET(nombres[],0,0,ROWS(nombres[]),1)=SY$1490,ROW(OFFSET(nombres[],0,0,ROWS(nombres[]),1))-ROW(OFFSET(nombres[],0,0,1,1))+1,ROW(OFFSET(nombres[],ROWS(nombres[])-1,0,1,1))+1),$O1551:$O1570),3),"")</f>
        <v/>
      </c>
      <c r="SZ1551" s="42" t="str">
        <f t="array" aca="1" ref="SZ1551" ca="1">IFERROR(INDEX(nombres[],SMALL(IF(OFFSET(nombres[],0,0,ROWS(nombres[]),1)=SZ$1490,ROW(OFFSET(nombres[],0,0,ROWS(nombres[]),1))-ROW(OFFSET(nombres[],0,0,1,1))+1,ROW(OFFSET(nombres[],ROWS(nombres[])-1,0,1,1))+1),$O1551:$O1570),3),"")</f>
        <v/>
      </c>
      <c r="TA1551" s="42" t="str">
        <f t="array" aca="1" ref="TA1551" ca="1">IFERROR(INDEX(nombres[],SMALL(IF(OFFSET(nombres[],0,0,ROWS(nombres[]),1)=TA$1490,ROW(OFFSET(nombres[],0,0,ROWS(nombres[]),1))-ROW(OFFSET(nombres[],0,0,1,1))+1,ROW(OFFSET(nombres[],ROWS(nombres[])-1,0,1,1))+1),$O1551:$O1570),3),"")</f>
        <v/>
      </c>
      <c r="TB1551" s="42" t="str">
        <f t="array" aca="1" ref="TB1551" ca="1">IFERROR(INDEX(nombres[],SMALL(IF(OFFSET(nombres[],0,0,ROWS(nombres[]),1)=TB$1490,ROW(OFFSET(nombres[],0,0,ROWS(nombres[]),1))-ROW(OFFSET(nombres[],0,0,1,1))+1,ROW(OFFSET(nombres[],ROWS(nombres[])-1,0,1,1))+1),$O1551:$O1570),3),"")</f>
        <v/>
      </c>
      <c r="TC1551" s="42" t="str">
        <f t="array" aca="1" ref="TC1551" ca="1">IFERROR(INDEX(nombres[],SMALL(IF(OFFSET(nombres[],0,0,ROWS(nombres[]),1)=TC$1490,ROW(OFFSET(nombres[],0,0,ROWS(nombres[]),1))-ROW(OFFSET(nombres[],0,0,1,1))+1,ROW(OFFSET(nombres[],ROWS(nombres[])-1,0,1,1))+1),$O1551:$O1570),3),"")</f>
        <v/>
      </c>
      <c r="TD1551" s="42" t="str">
        <f t="array" aca="1" ref="TD1551" ca="1">IFERROR(INDEX(nombres[],SMALL(IF(OFFSET(nombres[],0,0,ROWS(nombres[]),1)=TD$1490,ROW(OFFSET(nombres[],0,0,ROWS(nombres[]),1))-ROW(OFFSET(nombres[],0,0,1,1))+1,ROW(OFFSET(nombres[],ROWS(nombres[])-1,0,1,1))+1),$O1551:$O1570),3),"")</f>
        <v/>
      </c>
      <c r="TE1551" s="42" t="str">
        <f t="array" aca="1" ref="TE1551" ca="1">IFERROR(INDEX(nombres[],SMALL(IF(OFFSET(nombres[],0,0,ROWS(nombres[]),1)=TE$1490,ROW(OFFSET(nombres[],0,0,ROWS(nombres[]),1))-ROW(OFFSET(nombres[],0,0,1,1))+1,ROW(OFFSET(nombres[],ROWS(nombres[])-1,0,1,1))+1),$O1551:$O1570),3),"")</f>
        <v/>
      </c>
      <c r="TF1551" s="42" t="str">
        <f t="array" aca="1" ref="TF1551" ca="1">IFERROR(INDEX(nombres[],SMALL(IF(OFFSET(nombres[],0,0,ROWS(nombres[]),1)=TF$1490,ROW(OFFSET(nombres[],0,0,ROWS(nombres[]),1))-ROW(OFFSET(nombres[],0,0,1,1))+1,ROW(OFFSET(nombres[],ROWS(nombres[])-1,0,1,1))+1),$O1551:$O1570),3),"")</f>
        <v/>
      </c>
      <c r="TG1551" s="42" t="str">
        <f t="array" aca="1" ref="TG1551" ca="1">IFERROR(INDEX(nombres[],SMALL(IF(OFFSET(nombres[],0,0,ROWS(nombres[]),1)=TG$1490,ROW(OFFSET(nombres[],0,0,ROWS(nombres[]),1))-ROW(OFFSET(nombres[],0,0,1,1))+1,ROW(OFFSET(nombres[],ROWS(nombres[])-1,0,1,1))+1),$O1551:$O1570),3),"")</f>
        <v/>
      </c>
      <c r="TH1551" s="42" t="str">
        <f t="array" aca="1" ref="TH1551" ca="1">IFERROR(INDEX(nombres[],SMALL(IF(OFFSET(nombres[],0,0,ROWS(nombres[]),1)=TH$1490,ROW(OFFSET(nombres[],0,0,ROWS(nombres[]),1))-ROW(OFFSET(nombres[],0,0,1,1))+1,ROW(OFFSET(nombres[],ROWS(nombres[])-1,0,1,1))+1),$O1551:$O1570),3),"")</f>
        <v/>
      </c>
      <c r="TI1551" s="42" t="str">
        <f t="array" aca="1" ref="TI1551" ca="1">IFERROR(INDEX(nombres[],SMALL(IF(OFFSET(nombres[],0,0,ROWS(nombres[]),1)=TI$1490,ROW(OFFSET(nombres[],0,0,ROWS(nombres[]),1))-ROW(OFFSET(nombres[],0,0,1,1))+1,ROW(OFFSET(nombres[],ROWS(nombres[])-1,0,1,1))+1),$O1551:$O1570),3),"")</f>
        <v/>
      </c>
      <c r="TJ1551" s="42" t="str">
        <f t="array" aca="1" ref="TJ1551" ca="1">IFERROR(INDEX(nombres[],SMALL(IF(OFFSET(nombres[],0,0,ROWS(nombres[]),1)=TJ$1490,ROW(OFFSET(nombres[],0,0,ROWS(nombres[]),1))-ROW(OFFSET(nombres[],0,0,1,1))+1,ROW(OFFSET(nombres[],ROWS(nombres[])-1,0,1,1))+1),$O1551:$O1570),3),"")</f>
        <v/>
      </c>
      <c r="TK1551" s="42" t="str">
        <f t="array" aca="1" ref="TK1551" ca="1">IFERROR(INDEX(nombres[],SMALL(IF(OFFSET(nombres[],0,0,ROWS(nombres[]),1)=TK$1490,ROW(OFFSET(nombres[],0,0,ROWS(nombres[]),1))-ROW(OFFSET(nombres[],0,0,1,1))+1,ROW(OFFSET(nombres[],ROWS(nombres[])-1,0,1,1))+1),$O1551:$O1570),3),"")</f>
        <v/>
      </c>
      <c r="TL1551" s="42" t="str">
        <f t="array" aca="1" ref="TL1551" ca="1">IFERROR(INDEX(nombres[],SMALL(IF(OFFSET(nombres[],0,0,ROWS(nombres[]),1)=TL$1490,ROW(OFFSET(nombres[],0,0,ROWS(nombres[]),1))-ROW(OFFSET(nombres[],0,0,1,1))+1,ROW(OFFSET(nombres[],ROWS(nombres[])-1,0,1,1))+1),$O1551:$O1570),3),"")</f>
        <v/>
      </c>
      <c r="TM1551" s="42" t="str">
        <f t="array" aca="1" ref="TM1551" ca="1">IFERROR(INDEX(nombres[],SMALL(IF(OFFSET(nombres[],0,0,ROWS(nombres[]),1)=TM$1490,ROW(OFFSET(nombres[],0,0,ROWS(nombres[]),1))-ROW(OFFSET(nombres[],0,0,1,1))+1,ROW(OFFSET(nombres[],ROWS(nombres[])-1,0,1,1))+1),$O1551:$O1570),3),"")</f>
        <v/>
      </c>
      <c r="TN1551" s="42" t="str">
        <f t="array" aca="1" ref="TN1551" ca="1">IFERROR(INDEX(nombres[],SMALL(IF(OFFSET(nombres[],0,0,ROWS(nombres[]),1)=TN$1490,ROW(OFFSET(nombres[],0,0,ROWS(nombres[]),1))-ROW(OFFSET(nombres[],0,0,1,1))+1,ROW(OFFSET(nombres[],ROWS(nombres[])-1,0,1,1))+1),$O1551:$O1570),3),"")</f>
        <v/>
      </c>
      <c r="TO1551" s="42" t="str">
        <f t="array" aca="1" ref="TO1551" ca="1">IFERROR(INDEX(nombres[],SMALL(IF(OFFSET(nombres[],0,0,ROWS(nombres[]),1)=TO$1490,ROW(OFFSET(nombres[],0,0,ROWS(nombres[]),1))-ROW(OFFSET(nombres[],0,0,1,1))+1,ROW(OFFSET(nombres[],ROWS(nombres[])-1,0,1,1))+1),$O1551:$O1570),3),"")</f>
        <v/>
      </c>
      <c r="TP1551" s="42" t="str">
        <f t="array" aca="1" ref="TP1551" ca="1">IFERROR(INDEX(nombres[],SMALL(IF(OFFSET(nombres[],0,0,ROWS(nombres[]),1)=TP$1490,ROW(OFFSET(nombres[],0,0,ROWS(nombres[]),1))-ROW(OFFSET(nombres[],0,0,1,1))+1,ROW(OFFSET(nombres[],ROWS(nombres[])-1,0,1,1))+1),$O1551:$O1570),3),"")</f>
        <v/>
      </c>
      <c r="TQ1551" s="42" t="str">
        <f t="array" aca="1" ref="TQ1551" ca="1">IFERROR(INDEX(nombres[],SMALL(IF(OFFSET(nombres[],0,0,ROWS(nombres[]),1)=TQ$1490,ROW(OFFSET(nombres[],0,0,ROWS(nombres[]),1))-ROW(OFFSET(nombres[],0,0,1,1))+1,ROW(OFFSET(nombres[],ROWS(nombres[])-1,0,1,1))+1),$O1551:$O1570),3),"")</f>
        <v/>
      </c>
      <c r="TR1551" s="42" t="str">
        <f t="array" aca="1" ref="TR1551" ca="1">IFERROR(INDEX(nombres[],SMALL(IF(OFFSET(nombres[],0,0,ROWS(nombres[]),1)=TR$1490,ROW(OFFSET(nombres[],0,0,ROWS(nombres[]),1))-ROW(OFFSET(nombres[],0,0,1,1))+1,ROW(OFFSET(nombres[],ROWS(nombres[])-1,0,1,1))+1),$O1551:$O1570),3),"")</f>
        <v/>
      </c>
      <c r="TS1551" s="42" t="str">
        <f t="array" aca="1" ref="TS1551" ca="1">IFERROR(INDEX(nombres[],SMALL(IF(OFFSET(nombres[],0,0,ROWS(nombres[]),1)=TS$1490,ROW(OFFSET(nombres[],0,0,ROWS(nombres[]),1))-ROW(OFFSET(nombres[],0,0,1,1))+1,ROW(OFFSET(nombres[],ROWS(nombres[])-1,0,1,1))+1),$O1551:$O1570),3),"")</f>
        <v/>
      </c>
      <c r="TT1551" s="42" t="str">
        <f t="array" aca="1" ref="TT1551" ca="1">IFERROR(INDEX(nombres[],SMALL(IF(OFFSET(nombres[],0,0,ROWS(nombres[]),1)=TT$1490,ROW(OFFSET(nombres[],0,0,ROWS(nombres[]),1))-ROW(OFFSET(nombres[],0,0,1,1))+1,ROW(OFFSET(nombres[],ROWS(nombres[])-1,0,1,1))+1),$O1551:$O1570),3),"")</f>
        <v/>
      </c>
      <c r="TU1551" s="42" t="str">
        <f t="array" aca="1" ref="TU1551" ca="1">IFERROR(INDEX(nombres[],SMALL(IF(OFFSET(nombres[],0,0,ROWS(nombres[]),1)=TU$1490,ROW(OFFSET(nombres[],0,0,ROWS(nombres[]),1))-ROW(OFFSET(nombres[],0,0,1,1))+1,ROW(OFFSET(nombres[],ROWS(nombres[])-1,0,1,1))+1),$O1551:$O1570),3),"")</f>
        <v/>
      </c>
      <c r="TV1551" s="42" t="str">
        <f t="array" aca="1" ref="TV1551" ca="1">IFERROR(INDEX(nombres[],SMALL(IF(OFFSET(nombres[],0,0,ROWS(nombres[]),1)=TV$1490,ROW(OFFSET(nombres[],0,0,ROWS(nombres[]),1))-ROW(OFFSET(nombres[],0,0,1,1))+1,ROW(OFFSET(nombres[],ROWS(nombres[])-1,0,1,1))+1),$O1551:$O1570),3),"")</f>
        <v/>
      </c>
      <c r="TW1551" s="42" t="str">
        <f t="array" aca="1" ref="TW1551" ca="1">IFERROR(INDEX(nombres[],SMALL(IF(OFFSET(nombres[],0,0,ROWS(nombres[]),1)=TW$1490,ROW(OFFSET(nombres[],0,0,ROWS(nombres[]),1))-ROW(OFFSET(nombres[],0,0,1,1))+1,ROW(OFFSET(nombres[],ROWS(nombres[])-1,0,1,1))+1),$O1551:$O1570),3),"")</f>
        <v/>
      </c>
      <c r="TX1551" s="42" t="str">
        <f t="array" aca="1" ref="TX1551" ca="1">IFERROR(INDEX(nombres[],SMALL(IF(OFFSET(nombres[],0,0,ROWS(nombres[]),1)=TX$1490,ROW(OFFSET(nombres[],0,0,ROWS(nombres[]),1))-ROW(OFFSET(nombres[],0,0,1,1))+1,ROW(OFFSET(nombres[],ROWS(nombres[])-1,0,1,1))+1),$O1551:$O1570),3),"")</f>
        <v/>
      </c>
      <c r="TY1551" s="42" t="str">
        <f t="array" aca="1" ref="TY1551" ca="1">IFERROR(INDEX(nombres[],SMALL(IF(OFFSET(nombres[],0,0,ROWS(nombres[]),1)=TY$1490,ROW(OFFSET(nombres[],0,0,ROWS(nombres[]),1))-ROW(OFFSET(nombres[],0,0,1,1))+1,ROW(OFFSET(nombres[],ROWS(nombres[])-1,0,1,1))+1),$O1551:$O1570),3),"")</f>
        <v/>
      </c>
      <c r="TZ1551" s="42" t="str">
        <f t="array" aca="1" ref="TZ1551" ca="1">IFERROR(INDEX(nombres[],SMALL(IF(OFFSET(nombres[],0,0,ROWS(nombres[]),1)=TZ$1490,ROW(OFFSET(nombres[],0,0,ROWS(nombres[]),1))-ROW(OFFSET(nombres[],0,0,1,1))+1,ROW(OFFSET(nombres[],ROWS(nombres[])-1,0,1,1))+1),$O1551:$O1570),3),"")</f>
        <v/>
      </c>
      <c r="UA1551" s="42" t="str">
        <f t="array" aca="1" ref="UA1551" ca="1">IFERROR(INDEX(nombres[],SMALL(IF(OFFSET(nombres[],0,0,ROWS(nombres[]),1)=UA$1490,ROW(OFFSET(nombres[],0,0,ROWS(nombres[]),1))-ROW(OFFSET(nombres[],0,0,1,1))+1,ROW(OFFSET(nombres[],ROWS(nombres[])-1,0,1,1))+1),$O1551:$O1570),3),"")</f>
        <v/>
      </c>
      <c r="UB1551" s="42" t="str">
        <f t="array" aca="1" ref="UB1551" ca="1">IFERROR(INDEX(nombres[],SMALL(IF(OFFSET(nombres[],0,0,ROWS(nombres[]),1)=UB$1490,ROW(OFFSET(nombres[],0,0,ROWS(nombres[]),1))-ROW(OFFSET(nombres[],0,0,1,1))+1,ROW(OFFSET(nombres[],ROWS(nombres[])-1,0,1,1))+1),$O1551:$O1570),3),"")</f>
        <v/>
      </c>
      <c r="UC1551" s="42" t="str">
        <f t="array" aca="1" ref="UC1551" ca="1">IFERROR(INDEX(nombres[],SMALL(IF(OFFSET(nombres[],0,0,ROWS(nombres[]),1)=UC$1490,ROW(OFFSET(nombres[],0,0,ROWS(nombres[]),1))-ROW(OFFSET(nombres[],0,0,1,1))+1,ROW(OFFSET(nombres[],ROWS(nombres[])-1,0,1,1))+1),$O1551:$O1570),3),"")</f>
        <v/>
      </c>
      <c r="UD1551" s="42" t="str">
        <f t="array" aca="1" ref="UD1551" ca="1">IFERROR(INDEX(nombres[],SMALL(IF(OFFSET(nombres[],0,0,ROWS(nombres[]),1)=UD$1490,ROW(OFFSET(nombres[],0,0,ROWS(nombres[]),1))-ROW(OFFSET(nombres[],0,0,1,1))+1,ROW(OFFSET(nombres[],ROWS(nombres[])-1,0,1,1))+1),$O1551:$O1570),3),"")</f>
        <v/>
      </c>
      <c r="UE1551" s="42" t="str">
        <f t="array" aca="1" ref="UE1551" ca="1">IFERROR(INDEX(nombres[],SMALL(IF(OFFSET(nombres[],0,0,ROWS(nombres[]),1)=UE$1490,ROW(OFFSET(nombres[],0,0,ROWS(nombres[]),1))-ROW(OFFSET(nombres[],0,0,1,1))+1,ROW(OFFSET(nombres[],ROWS(nombres[])-1,0,1,1))+1),$O1551:$O1570),3),"")</f>
        <v/>
      </c>
      <c r="UF1551" s="42" t="str">
        <f t="array" aca="1" ref="UF1551" ca="1">IFERROR(INDEX(nombres[],SMALL(IF(OFFSET(nombres[],0,0,ROWS(nombres[]),1)=UF$1490,ROW(OFFSET(nombres[],0,0,ROWS(nombres[]),1))-ROW(OFFSET(nombres[],0,0,1,1))+1,ROW(OFFSET(nombres[],ROWS(nombres[])-1,0,1,1))+1),$O1551:$O1570),3),"")</f>
        <v/>
      </c>
      <c r="UG1551" s="42" t="str">
        <f t="array" aca="1" ref="UG1551" ca="1">IFERROR(INDEX(nombres[],SMALL(IF(OFFSET(nombres[],0,0,ROWS(nombres[]),1)=UG$1490,ROW(OFFSET(nombres[],0,0,ROWS(nombres[]),1))-ROW(OFFSET(nombres[],0,0,1,1))+1,ROW(OFFSET(nombres[],ROWS(nombres[])-1,0,1,1))+1),$O1551:$O1570),3),"")</f>
        <v/>
      </c>
      <c r="UH1551" s="42" t="str">
        <f t="array" aca="1" ref="UH1551" ca="1">IFERROR(INDEX(nombres[],SMALL(IF(OFFSET(nombres[],0,0,ROWS(nombres[]),1)=UH$1490,ROW(OFFSET(nombres[],0,0,ROWS(nombres[]),1))-ROW(OFFSET(nombres[],0,0,1,1))+1,ROW(OFFSET(nombres[],ROWS(nombres[])-1,0,1,1))+1),$O1551:$O1570),3),"")</f>
        <v/>
      </c>
      <c r="UI1551" s="42" t="str">
        <f t="array" aca="1" ref="UI1551" ca="1">IFERROR(INDEX(nombres[],SMALL(IF(OFFSET(nombres[],0,0,ROWS(nombres[]),1)=UI$1490,ROW(OFFSET(nombres[],0,0,ROWS(nombres[]),1))-ROW(OFFSET(nombres[],0,0,1,1))+1,ROW(OFFSET(nombres[],ROWS(nombres[])-1,0,1,1))+1),$O1551:$O1570),3),"")</f>
        <v/>
      </c>
      <c r="UJ1551" s="42" t="str">
        <f t="array" aca="1" ref="UJ1551" ca="1">IFERROR(INDEX(nombres[],SMALL(IF(OFFSET(nombres[],0,0,ROWS(nombres[]),1)=UJ$1490,ROW(OFFSET(nombres[],0,0,ROWS(nombres[]),1))-ROW(OFFSET(nombres[],0,0,1,1))+1,ROW(OFFSET(nombres[],ROWS(nombres[])-1,0,1,1))+1),$O1551:$O1570),3),"")</f>
        <v/>
      </c>
      <c r="UK1551" s="42" t="str">
        <f t="array" aca="1" ref="UK1551" ca="1">IFERROR(INDEX(nombres[],SMALL(IF(OFFSET(nombres[],0,0,ROWS(nombres[]),1)=UK$1490,ROW(OFFSET(nombres[],0,0,ROWS(nombres[]),1))-ROW(OFFSET(nombres[],0,0,1,1))+1,ROW(OFFSET(nombres[],ROWS(nombres[])-1,0,1,1))+1),$O1551:$O1570),3),"")</f>
        <v/>
      </c>
      <c r="UL1551" s="42" t="str">
        <f t="array" aca="1" ref="UL1551" ca="1">IFERROR(INDEX(nombres[],SMALL(IF(OFFSET(nombres[],0,0,ROWS(nombres[]),1)=UL$1490,ROW(OFFSET(nombres[],0,0,ROWS(nombres[]),1))-ROW(OFFSET(nombres[],0,0,1,1))+1,ROW(OFFSET(nombres[],ROWS(nombres[])-1,0,1,1))+1),$O1551:$O1570),3),"")</f>
        <v/>
      </c>
      <c r="UM1551" s="42" t="str">
        <f t="array" aca="1" ref="UM1551" ca="1">IFERROR(INDEX(nombres[],SMALL(IF(OFFSET(nombres[],0,0,ROWS(nombres[]),1)=UM$1490,ROW(OFFSET(nombres[],0,0,ROWS(nombres[]),1))-ROW(OFFSET(nombres[],0,0,1,1))+1,ROW(OFFSET(nombres[],ROWS(nombres[])-1,0,1,1))+1),$O1551:$O1570),3),"")</f>
        <v/>
      </c>
      <c r="UN1551" s="42" t="str">
        <f t="array" aca="1" ref="UN1551" ca="1">IFERROR(INDEX(nombres[],SMALL(IF(OFFSET(nombres[],0,0,ROWS(nombres[]),1)=UN$1490,ROW(OFFSET(nombres[],0,0,ROWS(nombres[]),1))-ROW(OFFSET(nombres[],0,0,1,1))+1,ROW(OFFSET(nombres[],ROWS(nombres[])-1,0,1,1))+1),$O1551:$O1570),3),"")</f>
        <v/>
      </c>
      <c r="UO1551" s="42" t="str">
        <f t="array" aca="1" ref="UO1551" ca="1">IFERROR(INDEX(nombres[],SMALL(IF(OFFSET(nombres[],0,0,ROWS(nombres[]),1)=UO$1490,ROW(OFFSET(nombres[],0,0,ROWS(nombres[]),1))-ROW(OFFSET(nombres[],0,0,1,1))+1,ROW(OFFSET(nombres[],ROWS(nombres[])-1,0,1,1))+1),$O1551:$O1570),3),"")</f>
        <v/>
      </c>
      <c r="UP1551" s="42" t="str">
        <f t="array" aca="1" ref="UP1551" ca="1">IFERROR(INDEX(nombres[],SMALL(IF(OFFSET(nombres[],0,0,ROWS(nombres[]),1)=UP$1490,ROW(OFFSET(nombres[],0,0,ROWS(nombres[]),1))-ROW(OFFSET(nombres[],0,0,1,1))+1,ROW(OFFSET(nombres[],ROWS(nombres[])-1,0,1,1))+1),$O1551:$O1570),3),"")</f>
        <v/>
      </c>
      <c r="UQ1551" s="42" t="str">
        <f t="array" aca="1" ref="UQ1551" ca="1">IFERROR(INDEX(nombres[],SMALL(IF(OFFSET(nombres[],0,0,ROWS(nombres[]),1)=UQ$1490,ROW(OFFSET(nombres[],0,0,ROWS(nombres[]),1))-ROW(OFFSET(nombres[],0,0,1,1))+1,ROW(OFFSET(nombres[],ROWS(nombres[])-1,0,1,1))+1),$O1551:$O1570),3),"")</f>
        <v/>
      </c>
      <c r="UR1551" s="42" t="str">
        <f t="array" aca="1" ref="UR1551" ca="1">IFERROR(INDEX(nombres[],SMALL(IF(OFFSET(nombres[],0,0,ROWS(nombres[]),1)=UR$1490,ROW(OFFSET(nombres[],0,0,ROWS(nombres[]),1))-ROW(OFFSET(nombres[],0,0,1,1))+1,ROW(OFFSET(nombres[],ROWS(nombres[])-1,0,1,1))+1),$O1551:$O1570),3),"")</f>
        <v/>
      </c>
      <c r="US1551" s="42" t="str">
        <f t="array" aca="1" ref="US1551" ca="1">IFERROR(INDEX(nombres[],SMALL(IF(OFFSET(nombres[],0,0,ROWS(nombres[]),1)=US$1490,ROW(OFFSET(nombres[],0,0,ROWS(nombres[]),1))-ROW(OFFSET(nombres[],0,0,1,1))+1,ROW(OFFSET(nombres[],ROWS(nombres[])-1,0,1,1))+1),$O1551:$O1570),3),"")</f>
        <v/>
      </c>
      <c r="UT1551" s="42" t="str">
        <f t="array" aca="1" ref="UT1551" ca="1">IFERROR(INDEX(nombres[],SMALL(IF(OFFSET(nombres[],0,0,ROWS(nombres[]),1)=UT$1490,ROW(OFFSET(nombres[],0,0,ROWS(nombres[]),1))-ROW(OFFSET(nombres[],0,0,1,1))+1,ROW(OFFSET(nombres[],ROWS(nombres[])-1,0,1,1))+1),$O1551:$O1570),3),"")</f>
        <v/>
      </c>
      <c r="UU1551" s="42" t="str">
        <f t="array" aca="1" ref="UU1551" ca="1">IFERROR(INDEX(nombres[],SMALL(IF(OFFSET(nombres[],0,0,ROWS(nombres[]),1)=UU$1490,ROW(OFFSET(nombres[],0,0,ROWS(nombres[]),1))-ROW(OFFSET(nombres[],0,0,1,1))+1,ROW(OFFSET(nombres[],ROWS(nombres[])-1,0,1,1))+1),$O1551:$O1570),3),"")</f>
        <v/>
      </c>
      <c r="UV1551" s="42" t="str">
        <f t="array" aca="1" ref="UV1551" ca="1">IFERROR(INDEX(nombres[],SMALL(IF(OFFSET(nombres[],0,0,ROWS(nombres[]),1)=UV$1490,ROW(OFFSET(nombres[],0,0,ROWS(nombres[]),1))-ROW(OFFSET(nombres[],0,0,1,1))+1,ROW(OFFSET(nombres[],ROWS(nombres[])-1,0,1,1))+1),$O1551:$O1570),3),"")</f>
        <v/>
      </c>
      <c r="UW1551" s="42" t="str">
        <f t="array" aca="1" ref="UW1551" ca="1">IFERROR(INDEX(nombres[],SMALL(IF(OFFSET(nombres[],0,0,ROWS(nombres[]),1)=UW$1490,ROW(OFFSET(nombres[],0,0,ROWS(nombres[]),1))-ROW(OFFSET(nombres[],0,0,1,1))+1,ROW(OFFSET(nombres[],ROWS(nombres[])-1,0,1,1))+1),$O1551:$O1570),3),"")</f>
        <v/>
      </c>
      <c r="UX1551" s="42" t="str">
        <f t="array" aca="1" ref="UX1551" ca="1">IFERROR(INDEX(nombres[],SMALL(IF(OFFSET(nombres[],0,0,ROWS(nombres[]),1)=UX$1490,ROW(OFFSET(nombres[],0,0,ROWS(nombres[]),1))-ROW(OFFSET(nombres[],0,0,1,1))+1,ROW(OFFSET(nombres[],ROWS(nombres[])-1,0,1,1))+1),$O1551:$O1570),3),"")</f>
        <v/>
      </c>
      <c r="UY1551" s="42" t="str">
        <f t="array" aca="1" ref="UY1551" ca="1">IFERROR(INDEX(nombres[],SMALL(IF(OFFSET(nombres[],0,0,ROWS(nombres[]),1)=UY$1490,ROW(OFFSET(nombres[],0,0,ROWS(nombres[]),1))-ROW(OFFSET(nombres[],0,0,1,1))+1,ROW(OFFSET(nombres[],ROWS(nombres[])-1,0,1,1))+1),$O1551:$O1570),3),"")</f>
        <v/>
      </c>
      <c r="UZ1551" s="42" t="str">
        <f t="array" aca="1" ref="UZ1551" ca="1">IFERROR(INDEX(nombres[],SMALL(IF(OFFSET(nombres[],0,0,ROWS(nombres[]),1)=UZ$1490,ROW(OFFSET(nombres[],0,0,ROWS(nombres[]),1))-ROW(OFFSET(nombres[],0,0,1,1))+1,ROW(OFFSET(nombres[],ROWS(nombres[])-1,0,1,1))+1),$O1551:$O1570),3),"")</f>
        <v/>
      </c>
      <c r="VA1551" s="42" t="str">
        <f t="array" aca="1" ref="VA1551" ca="1">IFERROR(INDEX(nombres[],SMALL(IF(OFFSET(nombres[],0,0,ROWS(nombres[]),1)=VA$1490,ROW(OFFSET(nombres[],0,0,ROWS(nombres[]),1))-ROW(OFFSET(nombres[],0,0,1,1))+1,ROW(OFFSET(nombres[],ROWS(nombres[])-1,0,1,1))+1),$O1551:$O1570),3),"")</f>
        <v/>
      </c>
      <c r="VB1551" s="42" t="str">
        <f t="array" aca="1" ref="VB1551" ca="1">IFERROR(INDEX(nombres[],SMALL(IF(OFFSET(nombres[],0,0,ROWS(nombres[]),1)=VB$1490,ROW(OFFSET(nombres[],0,0,ROWS(nombres[]),1))-ROW(OFFSET(nombres[],0,0,1,1))+1,ROW(OFFSET(nombres[],ROWS(nombres[])-1,0,1,1))+1),$O1551:$O1570),3),"")</f>
        <v/>
      </c>
      <c r="VC1551" s="42" t="str">
        <f t="array" aca="1" ref="VC1551" ca="1">IFERROR(INDEX(nombres[],SMALL(IF(OFFSET(nombres[],0,0,ROWS(nombres[]),1)=VC$1490,ROW(OFFSET(nombres[],0,0,ROWS(nombres[]),1))-ROW(OFFSET(nombres[],0,0,1,1))+1,ROW(OFFSET(nombres[],ROWS(nombres[])-1,0,1,1))+1),$O1551:$O1570),3),"")</f>
        <v/>
      </c>
      <c r="VD1551" s="42" t="str">
        <f t="array" aca="1" ref="VD1551" ca="1">IFERROR(INDEX(nombres[],SMALL(IF(OFFSET(nombres[],0,0,ROWS(nombres[]),1)=VD$1490,ROW(OFFSET(nombres[],0,0,ROWS(nombres[]),1))-ROW(OFFSET(nombres[],0,0,1,1))+1,ROW(OFFSET(nombres[],ROWS(nombres[])-1,0,1,1))+1),$O1551:$O1570),3),"")</f>
        <v/>
      </c>
      <c r="VE1551" s="42" t="str">
        <f t="array" aca="1" ref="VE1551" ca="1">IFERROR(INDEX(nombres[],SMALL(IF(OFFSET(nombres[],0,0,ROWS(nombres[]),1)=VE$1490,ROW(OFFSET(nombres[],0,0,ROWS(nombres[]),1))-ROW(OFFSET(nombres[],0,0,1,1))+1,ROW(OFFSET(nombres[],ROWS(nombres[])-1,0,1,1))+1),$O1551:$O1570),3),"")</f>
        <v/>
      </c>
      <c r="VF1551" s="42" t="str">
        <f t="array" aca="1" ref="VF1551" ca="1">IFERROR(INDEX(nombres[],SMALL(IF(OFFSET(nombres[],0,0,ROWS(nombres[]),1)=VF$1490,ROW(OFFSET(nombres[],0,0,ROWS(nombres[]),1))-ROW(OFFSET(nombres[],0,0,1,1))+1,ROW(OFFSET(nombres[],ROWS(nombres[])-1,0,1,1))+1),$O1551:$O1570),3),"")</f>
        <v/>
      </c>
      <c r="VG1551" s="42" t="str">
        <f t="array" aca="1" ref="VG1551" ca="1">IFERROR(INDEX(nombres[],SMALL(IF(OFFSET(nombres[],0,0,ROWS(nombres[]),1)=VG$1490,ROW(OFFSET(nombres[],0,0,ROWS(nombres[]),1))-ROW(OFFSET(nombres[],0,0,1,1))+1,ROW(OFFSET(nombres[],ROWS(nombres[])-1,0,1,1))+1),$O1551:$O1570),3),"")</f>
        <v/>
      </c>
      <c r="VH1551" s="42" t="str">
        <f t="array" aca="1" ref="VH1551" ca="1">IFERROR(INDEX(nombres[],SMALL(IF(OFFSET(nombres[],0,0,ROWS(nombres[]),1)=VH$1490,ROW(OFFSET(nombres[],0,0,ROWS(nombres[]),1))-ROW(OFFSET(nombres[],0,0,1,1))+1,ROW(OFFSET(nombres[],ROWS(nombres[])-1,0,1,1))+1),$O1551:$O1570),3),"")</f>
        <v/>
      </c>
      <c r="VI1551" s="42" t="str">
        <f t="array" aca="1" ref="VI1551" ca="1">IFERROR(INDEX(nombres[],SMALL(IF(OFFSET(nombres[],0,0,ROWS(nombres[]),1)=VI$1490,ROW(OFFSET(nombres[],0,0,ROWS(nombres[]),1))-ROW(OFFSET(nombres[],0,0,1,1))+1,ROW(OFFSET(nombres[],ROWS(nombres[])-1,0,1,1))+1),$O1551:$O1570),3),"")</f>
        <v/>
      </c>
      <c r="VJ1551" s="42" t="str">
        <f t="array" aca="1" ref="VJ1551" ca="1">IFERROR(INDEX(nombres[],SMALL(IF(OFFSET(nombres[],0,0,ROWS(nombres[]),1)=VJ$1490,ROW(OFFSET(nombres[],0,0,ROWS(nombres[]),1))-ROW(OFFSET(nombres[],0,0,1,1))+1,ROW(OFFSET(nombres[],ROWS(nombres[])-1,0,1,1))+1),$O1551:$O1570),3),"")</f>
        <v/>
      </c>
      <c r="VK1551" s="42" t="str">
        <f t="array" aca="1" ref="VK1551" ca="1">IFERROR(INDEX(nombres[],SMALL(IF(OFFSET(nombres[],0,0,ROWS(nombres[]),1)=VK$1490,ROW(OFFSET(nombres[],0,0,ROWS(nombres[]),1))-ROW(OFFSET(nombres[],0,0,1,1))+1,ROW(OFFSET(nombres[],ROWS(nombres[])-1,0,1,1))+1),$O1551:$O1570),3),"")</f>
        <v/>
      </c>
      <c r="VL1551" s="42" t="str">
        <f t="array" aca="1" ref="VL1551" ca="1">IFERROR(INDEX(nombres[],SMALL(IF(OFFSET(nombres[],0,0,ROWS(nombres[]),1)=VL$1490,ROW(OFFSET(nombres[],0,0,ROWS(nombres[]),1))-ROW(OFFSET(nombres[],0,0,1,1))+1,ROW(OFFSET(nombres[],ROWS(nombres[])-1,0,1,1))+1),$O1551:$O1570),3),"")</f>
        <v/>
      </c>
      <c r="VM1551" s="42" t="str">
        <f t="array" aca="1" ref="VM1551" ca="1">IFERROR(INDEX(nombres[],SMALL(IF(OFFSET(nombres[],0,0,ROWS(nombres[]),1)=VM$1490,ROW(OFFSET(nombres[],0,0,ROWS(nombres[]),1))-ROW(OFFSET(nombres[],0,0,1,1))+1,ROW(OFFSET(nombres[],ROWS(nombres[])-1,0,1,1))+1),$O1551:$O1570),3),"")</f>
        <v/>
      </c>
      <c r="VN1551" s="42" t="str">
        <f t="array" aca="1" ref="VN1551" ca="1">IFERROR(INDEX(nombres[],SMALL(IF(OFFSET(nombres[],0,0,ROWS(nombres[]),1)=VN$1490,ROW(OFFSET(nombres[],0,0,ROWS(nombres[]),1))-ROW(OFFSET(nombres[],0,0,1,1))+1,ROW(OFFSET(nombres[],ROWS(nombres[])-1,0,1,1))+1),$O1551:$O1570),3),"")</f>
        <v/>
      </c>
      <c r="VO1551" s="42" t="str">
        <f t="array" aca="1" ref="VO1551" ca="1">IFERROR(INDEX(nombres[],SMALL(IF(OFFSET(nombres[],0,0,ROWS(nombres[]),1)=VO$1490,ROW(OFFSET(nombres[],0,0,ROWS(nombres[]),1))-ROW(OFFSET(nombres[],0,0,1,1))+1,ROW(OFFSET(nombres[],ROWS(nombres[])-1,0,1,1))+1),$O1551:$O1570),3),"")</f>
        <v/>
      </c>
      <c r="VP1551" s="42" t="str">
        <f t="array" aca="1" ref="VP1551" ca="1">IFERROR(INDEX(nombres[],SMALL(IF(OFFSET(nombres[],0,0,ROWS(nombres[]),1)=VP$1490,ROW(OFFSET(nombres[],0,0,ROWS(nombres[]),1))-ROW(OFFSET(nombres[],0,0,1,1))+1,ROW(OFFSET(nombres[],ROWS(nombres[])-1,0,1,1))+1),$O1551:$O1570),3),"")</f>
        <v/>
      </c>
      <c r="VQ1551" s="42" t="str">
        <f t="array" aca="1" ref="VQ1551" ca="1">IFERROR(INDEX(nombres[],SMALL(IF(OFFSET(nombres[],0,0,ROWS(nombres[]),1)=VQ$1490,ROW(OFFSET(nombres[],0,0,ROWS(nombres[]),1))-ROW(OFFSET(nombres[],0,0,1,1))+1,ROW(OFFSET(nombres[],ROWS(nombres[])-1,0,1,1))+1),$O1551:$O1570),3),"")</f>
        <v/>
      </c>
      <c r="VR1551" s="42" t="str">
        <f t="array" aca="1" ref="VR1551" ca="1">IFERROR(INDEX(nombres[],SMALL(IF(OFFSET(nombres[],0,0,ROWS(nombres[]),1)=VR$1490,ROW(OFFSET(nombres[],0,0,ROWS(nombres[]),1))-ROW(OFFSET(nombres[],0,0,1,1))+1,ROW(OFFSET(nombres[],ROWS(nombres[])-1,0,1,1))+1),$O1551:$O1570),3),"")</f>
        <v/>
      </c>
      <c r="VS1551" s="42" t="str">
        <f t="array" aca="1" ref="VS1551" ca="1">IFERROR(INDEX(nombres[],SMALL(IF(OFFSET(nombres[],0,0,ROWS(nombres[]),1)=VS$1490,ROW(OFFSET(nombres[],0,0,ROWS(nombres[]),1))-ROW(OFFSET(nombres[],0,0,1,1))+1,ROW(OFFSET(nombres[],ROWS(nombres[])-1,0,1,1))+1),$O1551:$O1570),3),"")</f>
        <v/>
      </c>
      <c r="VT1551" s="42" t="str">
        <f t="array" aca="1" ref="VT1551" ca="1">IFERROR(INDEX(nombres[],SMALL(IF(OFFSET(nombres[],0,0,ROWS(nombres[]),1)=VT$1490,ROW(OFFSET(nombres[],0,0,ROWS(nombres[]),1))-ROW(OFFSET(nombres[],0,0,1,1))+1,ROW(OFFSET(nombres[],ROWS(nombres[])-1,0,1,1))+1),$O1551:$O1570),3),"")</f>
        <v/>
      </c>
      <c r="VU1551" s="42" t="str">
        <f t="array" aca="1" ref="VU1551" ca="1">IFERROR(INDEX(nombres[],SMALL(IF(OFFSET(nombres[],0,0,ROWS(nombres[]),1)=VU$1490,ROW(OFFSET(nombres[],0,0,ROWS(nombres[]),1))-ROW(OFFSET(nombres[],0,0,1,1))+1,ROW(OFFSET(nombres[],ROWS(nombres[])-1,0,1,1))+1),$O1551:$O1570),3),"")</f>
        <v/>
      </c>
      <c r="VV1551" s="42" t="str">
        <f t="array" aca="1" ref="VV1551" ca="1">IFERROR(INDEX(nombres[],SMALL(IF(OFFSET(nombres[],0,0,ROWS(nombres[]),1)=VV$1490,ROW(OFFSET(nombres[],0,0,ROWS(nombres[]),1))-ROW(OFFSET(nombres[],0,0,1,1))+1,ROW(OFFSET(nombres[],ROWS(nombres[])-1,0,1,1))+1),$O1551:$O1570),3),"")</f>
        <v/>
      </c>
      <c r="VW1551" s="42" t="str">
        <f t="array" aca="1" ref="VW1551" ca="1">IFERROR(INDEX(nombres[],SMALL(IF(OFFSET(nombres[],0,0,ROWS(nombres[]),1)=VW$1490,ROW(OFFSET(nombres[],0,0,ROWS(nombres[]),1))-ROW(OFFSET(nombres[],0,0,1,1))+1,ROW(OFFSET(nombres[],ROWS(nombres[])-1,0,1,1))+1),$O1551:$O1570),3),"")</f>
        <v/>
      </c>
      <c r="VX1551" s="42" t="str">
        <f t="array" aca="1" ref="VX1551" ca="1">IFERROR(INDEX(nombres[],SMALL(IF(OFFSET(nombres[],0,0,ROWS(nombres[]),1)=VX$1490,ROW(OFFSET(nombres[],0,0,ROWS(nombres[]),1))-ROW(OFFSET(nombres[],0,0,1,1))+1,ROW(OFFSET(nombres[],ROWS(nombres[])-1,0,1,1))+1),$O1551:$O1570),3),"")</f>
        <v/>
      </c>
      <c r="VY1551" s="42" t="str">
        <f t="array" aca="1" ref="VY1551" ca="1">IFERROR(INDEX(nombres[],SMALL(IF(OFFSET(nombres[],0,0,ROWS(nombres[]),1)=VY$1490,ROW(OFFSET(nombres[],0,0,ROWS(nombres[]),1))-ROW(OFFSET(nombres[],0,0,1,1))+1,ROW(OFFSET(nombres[],ROWS(nombres[])-1,0,1,1))+1),$O1551:$O1570),3),"")</f>
        <v/>
      </c>
      <c r="VZ1551" s="42" t="str">
        <f t="array" aca="1" ref="VZ1551" ca="1">IFERROR(INDEX(nombres[],SMALL(IF(OFFSET(nombres[],0,0,ROWS(nombres[]),1)=VZ$1490,ROW(OFFSET(nombres[],0,0,ROWS(nombres[]),1))-ROW(OFFSET(nombres[],0,0,1,1))+1,ROW(OFFSET(nombres[],ROWS(nombres[])-1,0,1,1))+1),$O1551:$O1570),3),"")</f>
        <v/>
      </c>
      <c r="WA1551" s="42" t="str">
        <f t="array" aca="1" ref="WA1551" ca="1">IFERROR(INDEX(nombres[],SMALL(IF(OFFSET(nombres[],0,0,ROWS(nombres[]),1)=WA$1490,ROW(OFFSET(nombres[],0,0,ROWS(nombres[]),1))-ROW(OFFSET(nombres[],0,0,1,1))+1,ROW(OFFSET(nombres[],ROWS(nombres[])-1,0,1,1))+1),$O1551:$O1570),3),"")</f>
        <v/>
      </c>
      <c r="WB1551" s="42" t="str">
        <f t="array" aca="1" ref="WB1551" ca="1">IFERROR(INDEX(nombres[],SMALL(IF(OFFSET(nombres[],0,0,ROWS(nombres[]),1)=WB$1490,ROW(OFFSET(nombres[],0,0,ROWS(nombres[]),1))-ROW(OFFSET(nombres[],0,0,1,1))+1,ROW(OFFSET(nombres[],ROWS(nombres[])-1,0,1,1))+1),$O1551:$O1570),3),"")</f>
        <v/>
      </c>
      <c r="WC1551" s="42" t="str">
        <f t="array" aca="1" ref="WC1551" ca="1">IFERROR(INDEX(nombres[],SMALL(IF(OFFSET(nombres[],0,0,ROWS(nombres[]),1)=WC$1490,ROW(OFFSET(nombres[],0,0,ROWS(nombres[]),1))-ROW(OFFSET(nombres[],0,0,1,1))+1,ROW(OFFSET(nombres[],ROWS(nombres[])-1,0,1,1))+1),$O1551:$O1570),3),"")</f>
        <v/>
      </c>
      <c r="WD1551" s="42" t="str">
        <f t="array" aca="1" ref="WD1551" ca="1">IFERROR(INDEX(nombres[],SMALL(IF(OFFSET(nombres[],0,0,ROWS(nombres[]),1)=WD$1490,ROW(OFFSET(nombres[],0,0,ROWS(nombres[]),1))-ROW(OFFSET(nombres[],0,0,1,1))+1,ROW(OFFSET(nombres[],ROWS(nombres[])-1,0,1,1))+1),$O1551:$O1570),3),"")</f>
        <v/>
      </c>
      <c r="WE1551" s="42" t="str">
        <f t="array" aca="1" ref="WE1551" ca="1">IFERROR(INDEX(nombres[],SMALL(IF(OFFSET(nombres[],0,0,ROWS(nombres[]),1)=WE$1490,ROW(OFFSET(nombres[],0,0,ROWS(nombres[]),1))-ROW(OFFSET(nombres[],0,0,1,1))+1,ROW(OFFSET(nombres[],ROWS(nombres[])-1,0,1,1))+1),$O1551:$O1570),3),"")</f>
        <v/>
      </c>
      <c r="WF1551" s="42" t="str">
        <f t="array" aca="1" ref="WF1551" ca="1">IFERROR(INDEX(nombres[],SMALL(IF(OFFSET(nombres[],0,0,ROWS(nombres[]),1)=WF$1490,ROW(OFFSET(nombres[],0,0,ROWS(nombres[]),1))-ROW(OFFSET(nombres[],0,0,1,1))+1,ROW(OFFSET(nombres[],ROWS(nombres[])-1,0,1,1))+1),$O1551:$O1570),3),"")</f>
        <v/>
      </c>
      <c r="WG1551" s="42" t="str">
        <f t="array" aca="1" ref="WG1551" ca="1">IFERROR(INDEX(nombres[],SMALL(IF(OFFSET(nombres[],0,0,ROWS(nombres[]),1)=WG$1490,ROW(OFFSET(nombres[],0,0,ROWS(nombres[]),1))-ROW(OFFSET(nombres[],0,0,1,1))+1,ROW(OFFSET(nombres[],ROWS(nombres[])-1,0,1,1))+1),$O1551:$O1570),3),"")</f>
        <v/>
      </c>
      <c r="WH1551" s="42" t="str">
        <f t="array" aca="1" ref="WH1551" ca="1">IFERROR(INDEX(nombres[],SMALL(IF(OFFSET(nombres[],0,0,ROWS(nombres[]),1)=WH$1490,ROW(OFFSET(nombres[],0,0,ROWS(nombres[]),1))-ROW(OFFSET(nombres[],0,0,1,1))+1,ROW(OFFSET(nombres[],ROWS(nombres[])-1,0,1,1))+1),$O1551:$O1570),3),"")</f>
        <v/>
      </c>
      <c r="WI1551" s="42" t="str">
        <f t="array" aca="1" ref="WI1551" ca="1">IFERROR(INDEX(nombres[],SMALL(IF(OFFSET(nombres[],0,0,ROWS(nombres[]),1)=WI$1490,ROW(OFFSET(nombres[],0,0,ROWS(nombres[]),1))-ROW(OFFSET(nombres[],0,0,1,1))+1,ROW(OFFSET(nombres[],ROWS(nombres[])-1,0,1,1))+1),$O1551:$O1570),3),"")</f>
        <v/>
      </c>
      <c r="WJ1551" s="42" t="str">
        <f t="array" aca="1" ref="WJ1551" ca="1">IFERROR(INDEX(nombres[],SMALL(IF(OFFSET(nombres[],0,0,ROWS(nombres[]),1)=WJ$1490,ROW(OFFSET(nombres[],0,0,ROWS(nombres[]),1))-ROW(OFFSET(nombres[],0,0,1,1))+1,ROW(OFFSET(nombres[],ROWS(nombres[])-1,0,1,1))+1),$O1551:$O1570),3),"")</f>
        <v/>
      </c>
      <c r="WK1551" s="42" t="str">
        <f t="array" aca="1" ref="WK1551" ca="1">IFERROR(INDEX(nombres[],SMALL(IF(OFFSET(nombres[],0,0,ROWS(nombres[]),1)=WK$1490,ROW(OFFSET(nombres[],0,0,ROWS(nombres[]),1))-ROW(OFFSET(nombres[],0,0,1,1))+1,ROW(OFFSET(nombres[],ROWS(nombres[])-1,0,1,1))+1),$O1551:$O1570),3),"")</f>
        <v/>
      </c>
      <c r="WL1551" s="42" t="str">
        <f t="array" aca="1" ref="WL1551" ca="1">IFERROR(INDEX(nombres[],SMALL(IF(OFFSET(nombres[],0,0,ROWS(nombres[]),1)=WL$1490,ROW(OFFSET(nombres[],0,0,ROWS(nombres[]),1))-ROW(OFFSET(nombres[],0,0,1,1))+1,ROW(OFFSET(nombres[],ROWS(nombres[])-1,0,1,1))+1),$O1551:$O1570),3),"")</f>
        <v/>
      </c>
      <c r="WM1551" s="42" t="str">
        <f t="array" aca="1" ref="WM1551" ca="1">IFERROR(INDEX(nombres[],SMALL(IF(OFFSET(nombres[],0,0,ROWS(nombres[]),1)=WM$1490,ROW(OFFSET(nombres[],0,0,ROWS(nombres[]),1))-ROW(OFFSET(nombres[],0,0,1,1))+1,ROW(OFFSET(nombres[],ROWS(nombres[])-1,0,1,1))+1),$O1551:$O1570),3),"")</f>
        <v/>
      </c>
      <c r="WN1551" s="42" t="str">
        <f t="array" aca="1" ref="WN1551" ca="1">IFERROR(INDEX(nombres[],SMALL(IF(OFFSET(nombres[],0,0,ROWS(nombres[]),1)=WN$1490,ROW(OFFSET(nombres[],0,0,ROWS(nombres[]),1))-ROW(OFFSET(nombres[],0,0,1,1))+1,ROW(OFFSET(nombres[],ROWS(nombres[])-1,0,1,1))+1),$O1551:$O1570),3),"")</f>
        <v/>
      </c>
      <c r="WO1551" s="42" t="str">
        <f t="array" aca="1" ref="WO1551" ca="1">IFERROR(INDEX(nombres[],SMALL(IF(OFFSET(nombres[],0,0,ROWS(nombres[]),1)=WO$1490,ROW(OFFSET(nombres[],0,0,ROWS(nombres[]),1))-ROW(OFFSET(nombres[],0,0,1,1))+1,ROW(OFFSET(nombres[],ROWS(nombres[])-1,0,1,1))+1),$O1551:$O1570),3),"")</f>
        <v/>
      </c>
      <c r="WP1551" s="42" t="str">
        <f t="array" aca="1" ref="WP1551" ca="1">IFERROR(INDEX(nombres[],SMALL(IF(OFFSET(nombres[],0,0,ROWS(nombres[]),1)=WP$1490,ROW(OFFSET(nombres[],0,0,ROWS(nombres[]),1))-ROW(OFFSET(nombres[],0,0,1,1))+1,ROW(OFFSET(nombres[],ROWS(nombres[])-1,0,1,1))+1),$O1551:$O1570),3),"")</f>
        <v/>
      </c>
      <c r="WQ1551" s="42" t="str">
        <f t="array" aca="1" ref="WQ1551" ca="1">IFERROR(INDEX(nombres[],SMALL(IF(OFFSET(nombres[],0,0,ROWS(nombres[]),1)=WQ$1490,ROW(OFFSET(nombres[],0,0,ROWS(nombres[]),1))-ROW(OFFSET(nombres[],0,0,1,1))+1,ROW(OFFSET(nombres[],ROWS(nombres[])-1,0,1,1))+1),$O1551:$O1570),3),"")</f>
        <v/>
      </c>
      <c r="WR1551" s="42" t="str">
        <f t="array" aca="1" ref="WR1551" ca="1">IFERROR(INDEX(nombres[],SMALL(IF(OFFSET(nombres[],0,0,ROWS(nombres[]),1)=WR$1490,ROW(OFFSET(nombres[],0,0,ROWS(nombres[]),1))-ROW(OFFSET(nombres[],0,0,1,1))+1,ROW(OFFSET(nombres[],ROWS(nombres[])-1,0,1,1))+1),$O1551:$O1570),3),"")</f>
        <v/>
      </c>
      <c r="WS1551" s="42" t="str">
        <f t="array" aca="1" ref="WS1551" ca="1">IFERROR(INDEX(nombres[],SMALL(IF(OFFSET(nombres[],0,0,ROWS(nombres[]),1)=WS$1490,ROW(OFFSET(nombres[],0,0,ROWS(nombres[]),1))-ROW(OFFSET(nombres[],0,0,1,1))+1,ROW(OFFSET(nombres[],ROWS(nombres[])-1,0,1,1))+1),$O1551:$O1570),3),"")</f>
        <v/>
      </c>
      <c r="WT1551" s="42" t="str">
        <f t="array" aca="1" ref="WT1551" ca="1">IFERROR(INDEX(nombres[],SMALL(IF(OFFSET(nombres[],0,0,ROWS(nombres[]),1)=WT$1490,ROW(OFFSET(nombres[],0,0,ROWS(nombres[]),1))-ROW(OFFSET(nombres[],0,0,1,1))+1,ROW(OFFSET(nombres[],ROWS(nombres[])-1,0,1,1))+1),$O1551:$O1570),3),"")</f>
        <v/>
      </c>
      <c r="WU1551" s="42" t="str">
        <f t="array" aca="1" ref="WU1551" ca="1">IFERROR(INDEX(nombres[],SMALL(IF(OFFSET(nombres[],0,0,ROWS(nombres[]),1)=WU$1490,ROW(OFFSET(nombres[],0,0,ROWS(nombres[]),1))-ROW(OFFSET(nombres[],0,0,1,1))+1,ROW(OFFSET(nombres[],ROWS(nombres[])-1,0,1,1))+1),$O1551:$O1570),3),"")</f>
        <v/>
      </c>
      <c r="WV1551" s="42" t="str">
        <f t="array" aca="1" ref="WV1551" ca="1">IFERROR(INDEX(nombres[],SMALL(IF(OFFSET(nombres[],0,0,ROWS(nombres[]),1)=WV$1490,ROW(OFFSET(nombres[],0,0,ROWS(nombres[]),1))-ROW(OFFSET(nombres[],0,0,1,1))+1,ROW(OFFSET(nombres[],ROWS(nombres[])-1,0,1,1))+1),$O1551:$O1570),3),"")</f>
        <v/>
      </c>
      <c r="WW1551" s="42" t="str">
        <f t="array" aca="1" ref="WW1551" ca="1">IFERROR(INDEX(nombres[],SMALL(IF(OFFSET(nombres[],0,0,ROWS(nombres[]),1)=WW$1490,ROW(OFFSET(nombres[],0,0,ROWS(nombres[]),1))-ROW(OFFSET(nombres[],0,0,1,1))+1,ROW(OFFSET(nombres[],ROWS(nombres[])-1,0,1,1))+1),$O1551:$O1570),3),"")</f>
        <v/>
      </c>
      <c r="WX1551" s="42" t="str">
        <f t="array" aca="1" ref="WX1551" ca="1">IFERROR(INDEX(nombres[],SMALL(IF(OFFSET(nombres[],0,0,ROWS(nombres[]),1)=WX$1490,ROW(OFFSET(nombres[],0,0,ROWS(nombres[]),1))-ROW(OFFSET(nombres[],0,0,1,1))+1,ROW(OFFSET(nombres[],ROWS(nombres[])-1,0,1,1))+1),$O1551:$O1570),3),"")</f>
        <v/>
      </c>
      <c r="WY1551" s="42" t="str">
        <f t="array" aca="1" ref="WY1551" ca="1">IFERROR(INDEX(nombres[],SMALL(IF(OFFSET(nombres[],0,0,ROWS(nombres[]),1)=WY$1490,ROW(OFFSET(nombres[],0,0,ROWS(nombres[]),1))-ROW(OFFSET(nombres[],0,0,1,1))+1,ROW(OFFSET(nombres[],ROWS(nombres[])-1,0,1,1))+1),$O1551:$O1570),3),"")</f>
        <v/>
      </c>
      <c r="WZ1551" s="42" t="str">
        <f t="array" aca="1" ref="WZ1551" ca="1">IFERROR(INDEX(nombres[],SMALL(IF(OFFSET(nombres[],0,0,ROWS(nombres[]),1)=WZ$1490,ROW(OFFSET(nombres[],0,0,ROWS(nombres[]),1))-ROW(OFFSET(nombres[],0,0,1,1))+1,ROW(OFFSET(nombres[],ROWS(nombres[])-1,0,1,1))+1),$O1551:$O1570),3),"")</f>
        <v/>
      </c>
      <c r="XA1551" s="42" t="str">
        <f t="array" aca="1" ref="XA1551" ca="1">IFERROR(INDEX(nombres[],SMALL(IF(OFFSET(nombres[],0,0,ROWS(nombres[]),1)=XA$1490,ROW(OFFSET(nombres[],0,0,ROWS(nombres[]),1))-ROW(OFFSET(nombres[],0,0,1,1))+1,ROW(OFFSET(nombres[],ROWS(nombres[])-1,0,1,1))+1),$O1551:$O1570),3),"")</f>
        <v/>
      </c>
      <c r="XB1551" s="42" t="str">
        <f t="array" aca="1" ref="XB1551" ca="1">IFERROR(INDEX(nombres[],SMALL(IF(OFFSET(nombres[],0,0,ROWS(nombres[]),1)=XB$1490,ROW(OFFSET(nombres[],0,0,ROWS(nombres[]),1))-ROW(OFFSET(nombres[],0,0,1,1))+1,ROW(OFFSET(nombres[],ROWS(nombres[])-1,0,1,1))+1),$O1551:$O1570),3),"")</f>
        <v/>
      </c>
      <c r="XC1551" s="42" t="str">
        <f t="array" aca="1" ref="XC1551" ca="1">IFERROR(INDEX(nombres[],SMALL(IF(OFFSET(nombres[],0,0,ROWS(nombres[]),1)=XC$1490,ROW(OFFSET(nombres[],0,0,ROWS(nombres[]),1))-ROW(OFFSET(nombres[],0,0,1,1))+1,ROW(OFFSET(nombres[],ROWS(nombres[])-1,0,1,1))+1),$O1551:$O1570),3),"")</f>
        <v/>
      </c>
      <c r="XD1551" s="42" t="str">
        <f t="array" aca="1" ref="XD1551" ca="1">IFERROR(INDEX(nombres[],SMALL(IF(OFFSET(nombres[],0,0,ROWS(nombres[]),1)=XD$1490,ROW(OFFSET(nombres[],0,0,ROWS(nombres[]),1))-ROW(OFFSET(nombres[],0,0,1,1))+1,ROW(OFFSET(nombres[],ROWS(nombres[])-1,0,1,1))+1),$O1551:$O1570),3),"")</f>
        <v/>
      </c>
      <c r="XE1551" s="42" t="str">
        <f t="array" aca="1" ref="XE1551" ca="1">IFERROR(INDEX(nombres[],SMALL(IF(OFFSET(nombres[],0,0,ROWS(nombres[]),1)=XE$1490,ROW(OFFSET(nombres[],0,0,ROWS(nombres[]),1))-ROW(OFFSET(nombres[],0,0,1,1))+1,ROW(OFFSET(nombres[],ROWS(nombres[])-1,0,1,1))+1),$O1551:$O1570),3),"")</f>
        <v/>
      </c>
      <c r="XF1551" s="42" t="str">
        <f t="array" aca="1" ref="XF1551" ca="1">IFERROR(INDEX(nombres[],SMALL(IF(OFFSET(nombres[],0,0,ROWS(nombres[]),1)=XF$1490,ROW(OFFSET(nombres[],0,0,ROWS(nombres[]),1))-ROW(OFFSET(nombres[],0,0,1,1))+1,ROW(OFFSET(nombres[],ROWS(nombres[])-1,0,1,1))+1),$O1551:$O1570),3),"")</f>
        <v/>
      </c>
      <c r="XG1551" s="42" t="str">
        <f t="array" aca="1" ref="XG1551" ca="1">IFERROR(INDEX(nombres[],SMALL(IF(OFFSET(nombres[],0,0,ROWS(nombres[]),1)=XG$1490,ROW(OFFSET(nombres[],0,0,ROWS(nombres[]),1))-ROW(OFFSET(nombres[],0,0,1,1))+1,ROW(OFFSET(nombres[],ROWS(nombres[])-1,0,1,1))+1),$O1551:$O1570),3),"")</f>
        <v/>
      </c>
      <c r="XH1551" s="42" t="str">
        <f t="array" aca="1" ref="XH1551" ca="1">IFERROR(INDEX(nombres[],SMALL(IF(OFFSET(nombres[],0,0,ROWS(nombres[]),1)=XH$1490,ROW(OFFSET(nombres[],0,0,ROWS(nombres[]),1))-ROW(OFFSET(nombres[],0,0,1,1))+1,ROW(OFFSET(nombres[],ROWS(nombres[])-1,0,1,1))+1),$O1551:$O1570),3),"")</f>
        <v/>
      </c>
      <c r="XI1551" s="42" t="str">
        <f t="array" aca="1" ref="XI1551" ca="1">IFERROR(INDEX(nombres[],SMALL(IF(OFFSET(nombres[],0,0,ROWS(nombres[]),1)=XI$1490,ROW(OFFSET(nombres[],0,0,ROWS(nombres[]),1))-ROW(OFFSET(nombres[],0,0,1,1))+1,ROW(OFFSET(nombres[],ROWS(nombres[])-1,0,1,1))+1),$O1551:$O1570),3),"")</f>
        <v/>
      </c>
      <c r="XJ1551" s="42" t="str">
        <f t="array" aca="1" ref="XJ1551" ca="1">IFERROR(INDEX(nombres[],SMALL(IF(OFFSET(nombres[],0,0,ROWS(nombres[]),1)=XJ$1490,ROW(OFFSET(nombres[],0,0,ROWS(nombres[]),1))-ROW(OFFSET(nombres[],0,0,1,1))+1,ROW(OFFSET(nombres[],ROWS(nombres[])-1,0,1,1))+1),$O1551:$O1570),3),"")</f>
        <v/>
      </c>
      <c r="XK1551" s="42" t="str">
        <f t="array" aca="1" ref="XK1551" ca="1">IFERROR(INDEX(nombres[],SMALL(IF(OFFSET(nombres[],0,0,ROWS(nombres[]),1)=XK$1490,ROW(OFFSET(nombres[],0,0,ROWS(nombres[]),1))-ROW(OFFSET(nombres[],0,0,1,1))+1,ROW(OFFSET(nombres[],ROWS(nombres[])-1,0,1,1))+1),$O1551:$O1570),3),"")</f>
        <v/>
      </c>
      <c r="XL1551" s="42" t="str">
        <f t="array" aca="1" ref="XL1551" ca="1">IFERROR(INDEX(nombres[],SMALL(IF(OFFSET(nombres[],0,0,ROWS(nombres[]),1)=XL$1490,ROW(OFFSET(nombres[],0,0,ROWS(nombres[]),1))-ROW(OFFSET(nombres[],0,0,1,1))+1,ROW(OFFSET(nombres[],ROWS(nombres[])-1,0,1,1))+1),$O1551:$O1570),3),"")</f>
        <v/>
      </c>
      <c r="XM1551" s="42" t="str">
        <f t="array" aca="1" ref="XM1551" ca="1">IFERROR(INDEX(nombres[],SMALL(IF(OFFSET(nombres[],0,0,ROWS(nombres[]),1)=XM$1490,ROW(OFFSET(nombres[],0,0,ROWS(nombres[]),1))-ROW(OFFSET(nombres[],0,0,1,1))+1,ROW(OFFSET(nombres[],ROWS(nombres[])-1,0,1,1))+1),$O1551:$O1570),3),"")</f>
        <v/>
      </c>
      <c r="XN1551" s="42" t="str">
        <f t="array" aca="1" ref="XN1551" ca="1">IFERROR(INDEX(nombres[],SMALL(IF(OFFSET(nombres[],0,0,ROWS(nombres[]),1)=XN$1490,ROW(OFFSET(nombres[],0,0,ROWS(nombres[]),1))-ROW(OFFSET(nombres[],0,0,1,1))+1,ROW(OFFSET(nombres[],ROWS(nombres[])-1,0,1,1))+1),$O1551:$O1570),3),"")</f>
        <v/>
      </c>
      <c r="XO1551" s="42" t="str">
        <f t="array" aca="1" ref="XO1551" ca="1">IFERROR(INDEX(nombres[],SMALL(IF(OFFSET(nombres[],0,0,ROWS(nombres[]),1)=XO$1490,ROW(OFFSET(nombres[],0,0,ROWS(nombres[]),1))-ROW(OFFSET(nombres[],0,0,1,1))+1,ROW(OFFSET(nombres[],ROWS(nombres[])-1,0,1,1))+1),$O1551:$O1570),3),"")</f>
        <v/>
      </c>
      <c r="XP1551" s="42" t="str">
        <f t="array" aca="1" ref="XP1551" ca="1">IFERROR(INDEX(nombres[],SMALL(IF(OFFSET(nombres[],0,0,ROWS(nombres[]),1)=XP$1490,ROW(OFFSET(nombres[],0,0,ROWS(nombres[]),1))-ROW(OFFSET(nombres[],0,0,1,1))+1,ROW(OFFSET(nombres[],ROWS(nombres[])-1,0,1,1))+1),$O1551:$O1570),3),"")</f>
        <v/>
      </c>
      <c r="XQ1551" s="42" t="str">
        <f t="array" aca="1" ref="XQ1551" ca="1">IFERROR(INDEX(nombres[],SMALL(IF(OFFSET(nombres[],0,0,ROWS(nombres[]),1)=XQ$1490,ROW(OFFSET(nombres[],0,0,ROWS(nombres[]),1))-ROW(OFFSET(nombres[],0,0,1,1))+1,ROW(OFFSET(nombres[],ROWS(nombres[])-1,0,1,1))+1),$O1551:$O1570),3),"")</f>
        <v/>
      </c>
      <c r="XR1551" s="42" t="str">
        <f t="array" aca="1" ref="XR1551" ca="1">IFERROR(INDEX(nombres[],SMALL(IF(OFFSET(nombres[],0,0,ROWS(nombres[]),1)=XR$1490,ROW(OFFSET(nombres[],0,0,ROWS(nombres[]),1))-ROW(OFFSET(nombres[],0,0,1,1))+1,ROW(OFFSET(nombres[],ROWS(nombres[])-1,0,1,1))+1),$O1551:$O1570),3),"")</f>
        <v/>
      </c>
      <c r="XS1551" s="42" t="str">
        <f t="array" aca="1" ref="XS1551" ca="1">IFERROR(INDEX(nombres[],SMALL(IF(OFFSET(nombres[],0,0,ROWS(nombres[]),1)=XS$1490,ROW(OFFSET(nombres[],0,0,ROWS(nombres[]),1))-ROW(OFFSET(nombres[],0,0,1,1))+1,ROW(OFFSET(nombres[],ROWS(nombres[])-1,0,1,1))+1),$O1551:$O1570),3),"")</f>
        <v/>
      </c>
      <c r="XT1551" s="42" t="str">
        <f t="array" aca="1" ref="XT1551" ca="1">IFERROR(INDEX(nombres[],SMALL(IF(OFFSET(nombres[],0,0,ROWS(nombres[]),1)=XT$1490,ROW(OFFSET(nombres[],0,0,ROWS(nombres[]),1))-ROW(OFFSET(nombres[],0,0,1,1))+1,ROW(OFFSET(nombres[],ROWS(nombres[])-1,0,1,1))+1),$O1551:$O1570),3),"")</f>
        <v/>
      </c>
      <c r="XU1551" s="42" t="str">
        <f t="array" aca="1" ref="XU1551" ca="1">IFERROR(INDEX(nombres[],SMALL(IF(OFFSET(nombres[],0,0,ROWS(nombres[]),1)=XU$1490,ROW(OFFSET(nombres[],0,0,ROWS(nombres[]),1))-ROW(OFFSET(nombres[],0,0,1,1))+1,ROW(OFFSET(nombres[],ROWS(nombres[])-1,0,1,1))+1),$O1551:$O1570),3),"")</f>
        <v/>
      </c>
      <c r="XV1551" s="42" t="str">
        <f t="array" aca="1" ref="XV1551" ca="1">IFERROR(INDEX(nombres[],SMALL(IF(OFFSET(nombres[],0,0,ROWS(nombres[]),1)=XV$1490,ROW(OFFSET(nombres[],0,0,ROWS(nombres[]),1))-ROW(OFFSET(nombres[],0,0,1,1))+1,ROW(OFFSET(nombres[],ROWS(nombres[])-1,0,1,1))+1),$O1551:$O1570),3),"")</f>
        <v/>
      </c>
      <c r="XW1551" s="42" t="str">
        <f t="array" aca="1" ref="XW1551" ca="1">IFERROR(INDEX(nombres[],SMALL(IF(OFFSET(nombres[],0,0,ROWS(nombres[]),1)=XW$1490,ROW(OFFSET(nombres[],0,0,ROWS(nombres[]),1))-ROW(OFFSET(nombres[],0,0,1,1))+1,ROW(OFFSET(nombres[],ROWS(nombres[])-1,0,1,1))+1),$O1551:$O1570),3),"")</f>
        <v/>
      </c>
      <c r="XX1551" s="42" t="str">
        <f t="array" aca="1" ref="XX1551" ca="1">IFERROR(INDEX(nombres[],SMALL(IF(OFFSET(nombres[],0,0,ROWS(nombres[]),1)=XX$1490,ROW(OFFSET(nombres[],0,0,ROWS(nombres[]),1))-ROW(OFFSET(nombres[],0,0,1,1))+1,ROW(OFFSET(nombres[],ROWS(nombres[])-1,0,1,1))+1),$O1551:$O1570),3),"")</f>
        <v/>
      </c>
      <c r="XY1551" s="42" t="str">
        <f t="array" aca="1" ref="XY1551" ca="1">IFERROR(INDEX(nombres[],SMALL(IF(OFFSET(nombres[],0,0,ROWS(nombres[]),1)=XY$1490,ROW(OFFSET(nombres[],0,0,ROWS(nombres[]),1))-ROW(OFFSET(nombres[],0,0,1,1))+1,ROW(OFFSET(nombres[],ROWS(nombres[])-1,0,1,1))+1),$O1551:$O1570),3),"")</f>
        <v/>
      </c>
      <c r="XZ1551" s="42" t="str">
        <f t="array" aca="1" ref="XZ1551" ca="1">IFERROR(INDEX(nombres[],SMALL(IF(OFFSET(nombres[],0,0,ROWS(nombres[]),1)=XZ$1490,ROW(OFFSET(nombres[],0,0,ROWS(nombres[]),1))-ROW(OFFSET(nombres[],0,0,1,1))+1,ROW(OFFSET(nombres[],ROWS(nombres[])-1,0,1,1))+1),$O1551:$O1570),3),"")</f>
        <v/>
      </c>
      <c r="YA1551" s="42" t="str">
        <f t="array" aca="1" ref="YA1551" ca="1">IFERROR(INDEX(nombres[],SMALL(IF(OFFSET(nombres[],0,0,ROWS(nombres[]),1)=YA$1490,ROW(OFFSET(nombres[],0,0,ROWS(nombres[]),1))-ROW(OFFSET(nombres[],0,0,1,1))+1,ROW(OFFSET(nombres[],ROWS(nombres[])-1,0,1,1))+1),$O1551:$O1570),3),"")</f>
        <v/>
      </c>
      <c r="YB1551" s="42" t="str">
        <f t="array" aca="1" ref="YB1551" ca="1">IFERROR(INDEX(nombres[],SMALL(IF(OFFSET(nombres[],0,0,ROWS(nombres[]),1)=YB$1490,ROW(OFFSET(nombres[],0,0,ROWS(nombres[]),1))-ROW(OFFSET(nombres[],0,0,1,1))+1,ROW(OFFSET(nombres[],ROWS(nombres[])-1,0,1,1))+1),$O1551:$O1570),3),"")</f>
        <v/>
      </c>
      <c r="YC1551" s="42" t="str">
        <f t="array" aca="1" ref="YC1551" ca="1">IFERROR(INDEX(nombres[],SMALL(IF(OFFSET(nombres[],0,0,ROWS(nombres[]),1)=YC$1490,ROW(OFFSET(nombres[],0,0,ROWS(nombres[]),1))-ROW(OFFSET(nombres[],0,0,1,1))+1,ROW(OFFSET(nombres[],ROWS(nombres[])-1,0,1,1))+1),$O1551:$O1570),3),"")</f>
        <v/>
      </c>
      <c r="YD1551" s="42" t="str">
        <f t="array" aca="1" ref="YD1551" ca="1">IFERROR(INDEX(nombres[],SMALL(IF(OFFSET(nombres[],0,0,ROWS(nombres[]),1)=YD$1490,ROW(OFFSET(nombres[],0,0,ROWS(nombres[]),1))-ROW(OFFSET(nombres[],0,0,1,1))+1,ROW(OFFSET(nombres[],ROWS(nombres[])-1,0,1,1))+1),$O1551:$O1570),3),"")</f>
        <v/>
      </c>
      <c r="YE1551" s="42" t="str">
        <f t="array" aca="1" ref="YE1551" ca="1">IFERROR(INDEX(nombres[],SMALL(IF(OFFSET(nombres[],0,0,ROWS(nombres[]),1)=YE$1490,ROW(OFFSET(nombres[],0,0,ROWS(nombres[]),1))-ROW(OFFSET(nombres[],0,0,1,1))+1,ROW(OFFSET(nombres[],ROWS(nombres[])-1,0,1,1))+1),$O1551:$O1570),3),"")</f>
        <v/>
      </c>
      <c r="YF1551" s="42" t="str">
        <f t="array" aca="1" ref="YF1551" ca="1">IFERROR(INDEX(nombres[],SMALL(IF(OFFSET(nombres[],0,0,ROWS(nombres[]),1)=YF$1490,ROW(OFFSET(nombres[],0,0,ROWS(nombres[]),1))-ROW(OFFSET(nombres[],0,0,1,1))+1,ROW(OFFSET(nombres[],ROWS(nombres[])-1,0,1,1))+1),$O1551:$O1570),3),"")</f>
        <v/>
      </c>
      <c r="YG1551" s="42" t="str">
        <f t="array" aca="1" ref="YG1551" ca="1">IFERROR(INDEX(nombres[],SMALL(IF(OFFSET(nombres[],0,0,ROWS(nombres[]),1)=YG$1490,ROW(OFFSET(nombres[],0,0,ROWS(nombres[]),1))-ROW(OFFSET(nombres[],0,0,1,1))+1,ROW(OFFSET(nombres[],ROWS(nombres[])-1,0,1,1))+1),$O1551:$O1570),3),"")</f>
        <v/>
      </c>
      <c r="YH1551" s="42" t="str">
        <f t="array" aca="1" ref="YH1551" ca="1">IFERROR(INDEX(nombres[],SMALL(IF(OFFSET(nombres[],0,0,ROWS(nombres[]),1)=YH$1490,ROW(OFFSET(nombres[],0,0,ROWS(nombres[]),1))-ROW(OFFSET(nombres[],0,0,1,1))+1,ROW(OFFSET(nombres[],ROWS(nombres[])-1,0,1,1))+1),$O1551:$O1570),3),"")</f>
        <v/>
      </c>
      <c r="YI1551" s="42" t="str">
        <f t="array" aca="1" ref="YI1551" ca="1">IFERROR(INDEX(nombres[],SMALL(IF(OFFSET(nombres[],0,0,ROWS(nombres[]),1)=YI$1490,ROW(OFFSET(nombres[],0,0,ROWS(nombres[]),1))-ROW(OFFSET(nombres[],0,0,1,1))+1,ROW(OFFSET(nombres[],ROWS(nombres[])-1,0,1,1))+1),$O1551:$O1570),3),"")</f>
        <v/>
      </c>
      <c r="YJ1551" s="42" t="str">
        <f t="array" aca="1" ref="YJ1551" ca="1">IFERROR(INDEX(nombres[],SMALL(IF(OFFSET(nombres[],0,0,ROWS(nombres[]),1)=YJ$1490,ROW(OFFSET(nombres[],0,0,ROWS(nombres[]),1))-ROW(OFFSET(nombres[],0,0,1,1))+1,ROW(OFFSET(nombres[],ROWS(nombres[])-1,0,1,1))+1),$O1551:$O1570),3),"")</f>
        <v/>
      </c>
      <c r="YK1551" s="42" t="str">
        <f t="array" aca="1" ref="YK1551" ca="1">IFERROR(INDEX(nombres[],SMALL(IF(OFFSET(nombres[],0,0,ROWS(nombres[]),1)=YK$1490,ROW(OFFSET(nombres[],0,0,ROWS(nombres[]),1))-ROW(OFFSET(nombres[],0,0,1,1))+1,ROW(OFFSET(nombres[],ROWS(nombres[])-1,0,1,1))+1),$O1551:$O1570),3),"")</f>
        <v/>
      </c>
      <c r="YL1551" s="42" t="str">
        <f t="array" aca="1" ref="YL1551" ca="1">IFERROR(INDEX(nombres[],SMALL(IF(OFFSET(nombres[],0,0,ROWS(nombres[]),1)=YL$1490,ROW(OFFSET(nombres[],0,0,ROWS(nombres[]),1))-ROW(OFFSET(nombres[],0,0,1,1))+1,ROW(OFFSET(nombres[],ROWS(nombres[])-1,0,1,1))+1),$O1551:$O1570),3),"")</f>
        <v/>
      </c>
      <c r="YM1551" s="42" t="str">
        <f t="array" aca="1" ref="YM1551" ca="1">IFERROR(INDEX(nombres[],SMALL(IF(OFFSET(nombres[],0,0,ROWS(nombres[]),1)=YM$1490,ROW(OFFSET(nombres[],0,0,ROWS(nombres[]),1))-ROW(OFFSET(nombres[],0,0,1,1))+1,ROW(OFFSET(nombres[],ROWS(nombres[])-1,0,1,1))+1),$O1551:$O1570),3),"")</f>
        <v/>
      </c>
      <c r="YN1551" s="42" t="str">
        <f t="array" aca="1" ref="YN1551" ca="1">IFERROR(INDEX(nombres[],SMALL(IF(OFFSET(nombres[],0,0,ROWS(nombres[]),1)=YN$1490,ROW(OFFSET(nombres[],0,0,ROWS(nombres[]),1))-ROW(OFFSET(nombres[],0,0,1,1))+1,ROW(OFFSET(nombres[],ROWS(nombres[])-1,0,1,1))+1),$O1551:$O1570),3),"")</f>
        <v/>
      </c>
      <c r="YO1551" s="42" t="str">
        <f t="array" aca="1" ref="YO1551" ca="1">IFERROR(INDEX(nombres[],SMALL(IF(OFFSET(nombres[],0,0,ROWS(nombres[]),1)=YO$1490,ROW(OFFSET(nombres[],0,0,ROWS(nombres[]),1))-ROW(OFFSET(nombres[],0,0,1,1))+1,ROW(OFFSET(nombres[],ROWS(nombres[])-1,0,1,1))+1),$O1551:$O1570),3),"")</f>
        <v/>
      </c>
      <c r="YP1551" s="42" t="str">
        <f t="array" aca="1" ref="YP1551" ca="1">IFERROR(INDEX(nombres[],SMALL(IF(OFFSET(nombres[],0,0,ROWS(nombres[]),1)=YP$1490,ROW(OFFSET(nombres[],0,0,ROWS(nombres[]),1))-ROW(OFFSET(nombres[],0,0,1,1))+1,ROW(OFFSET(nombres[],ROWS(nombres[])-1,0,1,1))+1),$O1551:$O1570),3),"")</f>
        <v/>
      </c>
      <c r="YQ1551" s="42" t="str">
        <f t="array" aca="1" ref="YQ1551" ca="1">IFERROR(INDEX(nombres[],SMALL(IF(OFFSET(nombres[],0,0,ROWS(nombres[]),1)=YQ$1490,ROW(OFFSET(nombres[],0,0,ROWS(nombres[]),1))-ROW(OFFSET(nombres[],0,0,1,1))+1,ROW(OFFSET(nombres[],ROWS(nombres[])-1,0,1,1))+1),$O1551:$O1570),3),"")</f>
        <v/>
      </c>
      <c r="YR1551" s="42" t="str">
        <f t="array" aca="1" ref="YR1551" ca="1">IFERROR(INDEX(nombres[],SMALL(IF(OFFSET(nombres[],0,0,ROWS(nombres[]),1)=YR$1490,ROW(OFFSET(nombres[],0,0,ROWS(nombres[]),1))-ROW(OFFSET(nombres[],0,0,1,1))+1,ROW(OFFSET(nombres[],ROWS(nombres[])-1,0,1,1))+1),$O1551:$O1570),3),"")</f>
        <v/>
      </c>
      <c r="YS1551" s="42" t="str">
        <f t="array" aca="1" ref="YS1551" ca="1">IFERROR(INDEX(nombres[],SMALL(IF(OFFSET(nombres[],0,0,ROWS(nombres[]),1)=YS$1490,ROW(OFFSET(nombres[],0,0,ROWS(nombres[]),1))-ROW(OFFSET(nombres[],0,0,1,1))+1,ROW(OFFSET(nombres[],ROWS(nombres[])-1,0,1,1))+1),$O1551:$O1570),3),"")</f>
        <v/>
      </c>
      <c r="YT1551" s="42" t="str">
        <f t="array" aca="1" ref="YT1551" ca="1">IFERROR(INDEX(nombres[],SMALL(IF(OFFSET(nombres[],0,0,ROWS(nombres[]),1)=YT$1490,ROW(OFFSET(nombres[],0,0,ROWS(nombres[]),1))-ROW(OFFSET(nombres[],0,0,1,1))+1,ROW(OFFSET(nombres[],ROWS(nombres[])-1,0,1,1))+1),$O1551:$O1570),3),"")</f>
        <v/>
      </c>
      <c r="YU1551" s="42" t="str">
        <f t="array" aca="1" ref="YU1551" ca="1">IFERROR(INDEX(nombres[],SMALL(IF(OFFSET(nombres[],0,0,ROWS(nombres[]),1)=YU$1490,ROW(OFFSET(nombres[],0,0,ROWS(nombres[]),1))-ROW(OFFSET(nombres[],0,0,1,1))+1,ROW(OFFSET(nombres[],ROWS(nombres[])-1,0,1,1))+1),$O1551:$O1570),3),"")</f>
        <v/>
      </c>
      <c r="YV1551" s="42" t="str">
        <f t="array" aca="1" ref="YV1551" ca="1">IFERROR(INDEX(nombres[],SMALL(IF(OFFSET(nombres[],0,0,ROWS(nombres[]),1)=YV$1490,ROW(OFFSET(nombres[],0,0,ROWS(nombres[]),1))-ROW(OFFSET(nombres[],0,0,1,1))+1,ROW(OFFSET(nombres[],ROWS(nombres[])-1,0,1,1))+1),$O1551:$O1570),3),"")</f>
        <v/>
      </c>
      <c r="YW1551" s="42" t="str">
        <f t="array" aca="1" ref="YW1551" ca="1">IFERROR(INDEX(nombres[],SMALL(IF(OFFSET(nombres[],0,0,ROWS(nombres[]),1)=YW$1490,ROW(OFFSET(nombres[],0,0,ROWS(nombres[]),1))-ROW(OFFSET(nombres[],0,0,1,1))+1,ROW(OFFSET(nombres[],ROWS(nombres[])-1,0,1,1))+1),$O1551:$O1570),3),"")</f>
        <v/>
      </c>
      <c r="YX1551" s="42" t="str">
        <f t="array" aca="1" ref="YX1551" ca="1">IFERROR(INDEX(nombres[],SMALL(IF(OFFSET(nombres[],0,0,ROWS(nombres[]),1)=YX$1490,ROW(OFFSET(nombres[],0,0,ROWS(nombres[]),1))-ROW(OFFSET(nombres[],0,0,1,1))+1,ROW(OFFSET(nombres[],ROWS(nombres[])-1,0,1,1))+1),$O1551:$O1570),3),"")</f>
        <v/>
      </c>
      <c r="YY1551" s="42" t="str">
        <f t="array" aca="1" ref="YY1551" ca="1">IFERROR(INDEX(nombres[],SMALL(IF(OFFSET(nombres[],0,0,ROWS(nombres[]),1)=YY$1490,ROW(OFFSET(nombres[],0,0,ROWS(nombres[]),1))-ROW(OFFSET(nombres[],0,0,1,1))+1,ROW(OFFSET(nombres[],ROWS(nombres[])-1,0,1,1))+1),$O1551:$O1570),3),"")</f>
        <v/>
      </c>
      <c r="YZ1551" s="42" t="str">
        <f t="array" aca="1" ref="YZ1551" ca="1">IFERROR(INDEX(nombres[],SMALL(IF(OFFSET(nombres[],0,0,ROWS(nombres[]),1)=YZ$1490,ROW(OFFSET(nombres[],0,0,ROWS(nombres[]),1))-ROW(OFFSET(nombres[],0,0,1,1))+1,ROW(OFFSET(nombres[],ROWS(nombres[])-1,0,1,1))+1),$O1551:$O1570),3),"")</f>
        <v/>
      </c>
      <c r="ZA1551" s="42" t="str">
        <f t="array" aca="1" ref="ZA1551" ca="1">IFERROR(INDEX(nombres[],SMALL(IF(OFFSET(nombres[],0,0,ROWS(nombres[]),1)=ZA$1490,ROW(OFFSET(nombres[],0,0,ROWS(nombres[]),1))-ROW(OFFSET(nombres[],0,0,1,1))+1,ROW(OFFSET(nombres[],ROWS(nombres[])-1,0,1,1))+1),$O1551:$O1570),3),"")</f>
        <v/>
      </c>
      <c r="ZB1551" s="42" t="str">
        <f t="array" aca="1" ref="ZB1551" ca="1">IFERROR(INDEX(nombres[],SMALL(IF(OFFSET(nombres[],0,0,ROWS(nombres[]),1)=ZB$1490,ROW(OFFSET(nombres[],0,0,ROWS(nombres[]),1))-ROW(OFFSET(nombres[],0,0,1,1))+1,ROW(OFFSET(nombres[],ROWS(nombres[])-1,0,1,1))+1),$O1551:$O1570),3),"")</f>
        <v/>
      </c>
      <c r="ZC1551" s="42" t="str">
        <f t="array" aca="1" ref="ZC1551" ca="1">IFERROR(INDEX(nombres[],SMALL(IF(OFFSET(nombres[],0,0,ROWS(nombres[]),1)=ZC$1490,ROW(OFFSET(nombres[],0,0,ROWS(nombres[]),1))-ROW(OFFSET(nombres[],0,0,1,1))+1,ROW(OFFSET(nombres[],ROWS(nombres[])-1,0,1,1))+1),$O1551:$O1570),3),"")</f>
        <v/>
      </c>
      <c r="ZD1551" s="42" t="str">
        <f t="array" aca="1" ref="ZD1551" ca="1">IFERROR(INDEX(nombres[],SMALL(IF(OFFSET(nombres[],0,0,ROWS(nombres[]),1)=ZD$1490,ROW(OFFSET(nombres[],0,0,ROWS(nombres[]),1))-ROW(OFFSET(nombres[],0,0,1,1))+1,ROW(OFFSET(nombres[],ROWS(nombres[])-1,0,1,1))+1),$O1551:$O1570),3),"")</f>
        <v/>
      </c>
      <c r="ZE1551" s="42" t="str">
        <f t="array" aca="1" ref="ZE1551" ca="1">IFERROR(INDEX(nombres[],SMALL(IF(OFFSET(nombres[],0,0,ROWS(nombres[]),1)=ZE$1490,ROW(OFFSET(nombres[],0,0,ROWS(nombres[]),1))-ROW(OFFSET(nombres[],0,0,1,1))+1,ROW(OFFSET(nombres[],ROWS(nombres[])-1,0,1,1))+1),$O1551:$O1570),3),"")</f>
        <v/>
      </c>
      <c r="ZF1551" s="42" t="str">
        <f t="array" aca="1" ref="ZF1551" ca="1">IFERROR(INDEX(nombres[],SMALL(IF(OFFSET(nombres[],0,0,ROWS(nombres[]),1)=ZF$1490,ROW(OFFSET(nombres[],0,0,ROWS(nombres[]),1))-ROW(OFFSET(nombres[],0,0,1,1))+1,ROW(OFFSET(nombres[],ROWS(nombres[])-1,0,1,1))+1),$O1551:$O1570),3),"")</f>
        <v/>
      </c>
      <c r="ZG1551" s="42" t="str">
        <f t="array" aca="1" ref="ZG1551" ca="1">IFERROR(INDEX(nombres[],SMALL(IF(OFFSET(nombres[],0,0,ROWS(nombres[]),1)=ZG$1490,ROW(OFFSET(nombres[],0,0,ROWS(nombres[]),1))-ROW(OFFSET(nombres[],0,0,1,1))+1,ROW(OFFSET(nombres[],ROWS(nombres[])-1,0,1,1))+1),$O1551:$O1570),3),"")</f>
        <v/>
      </c>
      <c r="ZH1551" s="42" t="str">
        <f t="array" aca="1" ref="ZH1551" ca="1">IFERROR(INDEX(nombres[],SMALL(IF(OFFSET(nombres[],0,0,ROWS(nombres[]),1)=ZH$1490,ROW(OFFSET(nombres[],0,0,ROWS(nombres[]),1))-ROW(OFFSET(nombres[],0,0,1,1))+1,ROW(OFFSET(nombres[],ROWS(nombres[])-1,0,1,1))+1),$O1551:$O1570),3),"")</f>
        <v/>
      </c>
      <c r="ZI1551" s="42" t="str">
        <f t="array" aca="1" ref="ZI1551" ca="1">IFERROR(INDEX(nombres[],SMALL(IF(OFFSET(nombres[],0,0,ROWS(nombres[]),1)=ZI$1490,ROW(OFFSET(nombres[],0,0,ROWS(nombres[]),1))-ROW(OFFSET(nombres[],0,0,1,1))+1,ROW(OFFSET(nombres[],ROWS(nombres[])-1,0,1,1))+1),$O1551:$O1570),3),"")</f>
        <v/>
      </c>
      <c r="ZJ1551" s="42" t="str">
        <f t="array" aca="1" ref="ZJ1551" ca="1">IFERROR(INDEX(nombres[],SMALL(IF(OFFSET(nombres[],0,0,ROWS(nombres[]),1)=ZJ$1490,ROW(OFFSET(nombres[],0,0,ROWS(nombres[]),1))-ROW(OFFSET(nombres[],0,0,1,1))+1,ROW(OFFSET(nombres[],ROWS(nombres[])-1,0,1,1))+1),$O1551:$O1570),3),"")</f>
        <v/>
      </c>
      <c r="ZK1551" s="42" t="str">
        <f t="array" aca="1" ref="ZK1551" ca="1">IFERROR(INDEX(nombres[],SMALL(IF(OFFSET(nombres[],0,0,ROWS(nombres[]),1)=ZK$1490,ROW(OFFSET(nombres[],0,0,ROWS(nombres[]),1))-ROW(OFFSET(nombres[],0,0,1,1))+1,ROW(OFFSET(nombres[],ROWS(nombres[])-1,0,1,1))+1),$O1551:$O1570),3),"")</f>
        <v/>
      </c>
      <c r="ZL1551" s="42" t="str">
        <f t="array" aca="1" ref="ZL1551" ca="1">IFERROR(INDEX(nombres[],SMALL(IF(OFFSET(nombres[],0,0,ROWS(nombres[]),1)=ZL$1490,ROW(OFFSET(nombres[],0,0,ROWS(nombres[]),1))-ROW(OFFSET(nombres[],0,0,1,1))+1,ROW(OFFSET(nombres[],ROWS(nombres[])-1,0,1,1))+1),$O1551:$O1570),3),"")</f>
        <v/>
      </c>
      <c r="ZM1551" s="42" t="str">
        <f t="array" aca="1" ref="ZM1551" ca="1">IFERROR(INDEX(nombres[],SMALL(IF(OFFSET(nombres[],0,0,ROWS(nombres[]),1)=ZM$1490,ROW(OFFSET(nombres[],0,0,ROWS(nombres[]),1))-ROW(OFFSET(nombres[],0,0,1,1))+1,ROW(OFFSET(nombres[],ROWS(nombres[])-1,0,1,1))+1),$O1551:$O1570),3),"")</f>
        <v/>
      </c>
      <c r="ZN1551" s="42" t="str">
        <f t="array" aca="1" ref="ZN1551" ca="1">IFERROR(INDEX(nombres[],SMALL(IF(OFFSET(nombres[],0,0,ROWS(nombres[]),1)=ZN$1490,ROW(OFFSET(nombres[],0,0,ROWS(nombres[]),1))-ROW(OFFSET(nombres[],0,0,1,1))+1,ROW(OFFSET(nombres[],ROWS(nombres[])-1,0,1,1))+1),$O1551:$O1570),3),"")</f>
        <v/>
      </c>
      <c r="ZO1551" s="42" t="str">
        <f t="array" aca="1" ref="ZO1551" ca="1">IFERROR(INDEX(nombres[],SMALL(IF(OFFSET(nombres[],0,0,ROWS(nombres[]),1)=ZO$1490,ROW(OFFSET(nombres[],0,0,ROWS(nombres[]),1))-ROW(OFFSET(nombres[],0,0,1,1))+1,ROW(OFFSET(nombres[],ROWS(nombres[])-1,0,1,1))+1),$O1551:$O1570),3),"")</f>
        <v/>
      </c>
      <c r="ZP1551" s="42" t="str">
        <f t="array" aca="1" ref="ZP1551" ca="1">IFERROR(INDEX(nombres[],SMALL(IF(OFFSET(nombres[],0,0,ROWS(nombres[]),1)=ZP$1490,ROW(OFFSET(nombres[],0,0,ROWS(nombres[]),1))-ROW(OFFSET(nombres[],0,0,1,1))+1,ROW(OFFSET(nombres[],ROWS(nombres[])-1,0,1,1))+1),$O1551:$O1570),3),"")</f>
        <v/>
      </c>
      <c r="ZQ1551" s="42" t="str">
        <f t="array" aca="1" ref="ZQ1551" ca="1">IFERROR(INDEX(nombres[],SMALL(IF(OFFSET(nombres[],0,0,ROWS(nombres[]),1)=ZQ$1490,ROW(OFFSET(nombres[],0,0,ROWS(nombres[]),1))-ROW(OFFSET(nombres[],0,0,1,1))+1,ROW(OFFSET(nombres[],ROWS(nombres[])-1,0,1,1))+1),$O1551:$O1570),3),"")</f>
        <v/>
      </c>
      <c r="ZR1551" s="42" t="str">
        <f t="array" aca="1" ref="ZR1551" ca="1">IFERROR(INDEX(nombres[],SMALL(IF(OFFSET(nombres[],0,0,ROWS(nombres[]),1)=ZR$1490,ROW(OFFSET(nombres[],0,0,ROWS(nombres[]),1))-ROW(OFFSET(nombres[],0,0,1,1))+1,ROW(OFFSET(nombres[],ROWS(nombres[])-1,0,1,1))+1),$O1551:$O1570),3),"")</f>
        <v/>
      </c>
      <c r="ZS1551" s="42" t="str">
        <f t="array" aca="1" ref="ZS1551" ca="1">IFERROR(INDEX(nombres[],SMALL(IF(OFFSET(nombres[],0,0,ROWS(nombres[]),1)=ZS$1490,ROW(OFFSET(nombres[],0,0,ROWS(nombres[]),1))-ROW(OFFSET(nombres[],0,0,1,1))+1,ROW(OFFSET(nombres[],ROWS(nombres[])-1,0,1,1))+1),$O1551:$O1570),3),"")</f>
        <v/>
      </c>
      <c r="ZT1551" s="42" t="str">
        <f t="array" aca="1" ref="ZT1551" ca="1">IFERROR(INDEX(nombres[],SMALL(IF(OFFSET(nombres[],0,0,ROWS(nombres[]),1)=ZT$1490,ROW(OFFSET(nombres[],0,0,ROWS(nombres[]),1))-ROW(OFFSET(nombres[],0,0,1,1))+1,ROW(OFFSET(nombres[],ROWS(nombres[])-1,0,1,1))+1),$O1551:$O1570),3),"")</f>
        <v/>
      </c>
      <c r="ZU1551" s="42" t="str">
        <f t="array" aca="1" ref="ZU1551" ca="1">IFERROR(INDEX(nombres[],SMALL(IF(OFFSET(nombres[],0,0,ROWS(nombres[]),1)=ZU$1490,ROW(OFFSET(nombres[],0,0,ROWS(nombres[]),1))-ROW(OFFSET(nombres[],0,0,1,1))+1,ROW(OFFSET(nombres[],ROWS(nombres[])-1,0,1,1))+1),$O1551:$O1570),3),"")</f>
        <v/>
      </c>
      <c r="ZV1551" s="42" t="str">
        <f t="array" aca="1" ref="ZV1551" ca="1">IFERROR(INDEX(nombres[],SMALL(IF(OFFSET(nombres[],0,0,ROWS(nombres[]),1)=ZV$1490,ROW(OFFSET(nombres[],0,0,ROWS(nombres[]),1))-ROW(OFFSET(nombres[],0,0,1,1))+1,ROW(OFFSET(nombres[],ROWS(nombres[])-1,0,1,1))+1),$O1551:$O1570),3),"")</f>
        <v/>
      </c>
      <c r="ZW1551" s="42" t="str">
        <f t="array" aca="1" ref="ZW1551" ca="1">IFERROR(INDEX(nombres[],SMALL(IF(OFFSET(nombres[],0,0,ROWS(nombres[]),1)=ZW$1490,ROW(OFFSET(nombres[],0,0,ROWS(nombres[]),1))-ROW(OFFSET(nombres[],0,0,1,1))+1,ROW(OFFSET(nombres[],ROWS(nombres[])-1,0,1,1))+1),$O1551:$O1570),3),"")</f>
        <v/>
      </c>
      <c r="ZX1551" s="42" t="str">
        <f t="array" aca="1" ref="ZX1551" ca="1">IFERROR(INDEX(nombres[],SMALL(IF(OFFSET(nombres[],0,0,ROWS(nombres[]),1)=ZX$1490,ROW(OFFSET(nombres[],0,0,ROWS(nombres[]),1))-ROW(OFFSET(nombres[],0,0,1,1))+1,ROW(OFFSET(nombres[],ROWS(nombres[])-1,0,1,1))+1),$O1551:$O1570),3),"")</f>
        <v/>
      </c>
      <c r="ZY1551" s="42" t="str">
        <f t="array" aca="1" ref="ZY1551" ca="1">IFERROR(INDEX(nombres[],SMALL(IF(OFFSET(nombres[],0,0,ROWS(nombres[]),1)=ZY$1490,ROW(OFFSET(nombres[],0,0,ROWS(nombres[]),1))-ROW(OFFSET(nombres[],0,0,1,1))+1,ROW(OFFSET(nombres[],ROWS(nombres[])-1,0,1,1))+1),$O1551:$O1570),3),"")</f>
        <v/>
      </c>
      <c r="ZZ1551" s="42" t="str">
        <f t="array" aca="1" ref="ZZ1551" ca="1">IFERROR(INDEX(nombres[],SMALL(IF(OFFSET(nombres[],0,0,ROWS(nombres[]),1)=ZZ$1490,ROW(OFFSET(nombres[],0,0,ROWS(nombres[]),1))-ROW(OFFSET(nombres[],0,0,1,1))+1,ROW(OFFSET(nombres[],ROWS(nombres[])-1,0,1,1))+1),$O1551:$O1570),3),"")</f>
        <v/>
      </c>
      <c r="AAA1551" s="42" t="str">
        <f t="array" aca="1" ref="AAA1551" ca="1">IFERROR(INDEX(nombres[],SMALL(IF(OFFSET(nombres[],0,0,ROWS(nombres[]),1)=AAA$1490,ROW(OFFSET(nombres[],0,0,ROWS(nombres[]),1))-ROW(OFFSET(nombres[],0,0,1,1))+1,ROW(OFFSET(nombres[],ROWS(nombres[])-1,0,1,1))+1),$O1551:$O1570),3),"")</f>
        <v/>
      </c>
      <c r="AAB1551" s="42" t="str">
        <f t="array" aca="1" ref="AAB1551" ca="1">IFERROR(INDEX(nombres[],SMALL(IF(OFFSET(nombres[],0,0,ROWS(nombres[]),1)=AAB$1490,ROW(OFFSET(nombres[],0,0,ROWS(nombres[]),1))-ROW(OFFSET(nombres[],0,0,1,1))+1,ROW(OFFSET(nombres[],ROWS(nombres[])-1,0,1,1))+1),$O1551:$O1570),3),"")</f>
        <v/>
      </c>
      <c r="AAC1551" s="42" t="str">
        <f t="array" aca="1" ref="AAC1551" ca="1">IFERROR(INDEX(nombres[],SMALL(IF(OFFSET(nombres[],0,0,ROWS(nombres[]),1)=AAC$1490,ROW(OFFSET(nombres[],0,0,ROWS(nombres[]),1))-ROW(OFFSET(nombres[],0,0,1,1))+1,ROW(OFFSET(nombres[],ROWS(nombres[])-1,0,1,1))+1),$O1551:$O1570),3),"")</f>
        <v/>
      </c>
      <c r="AAD1551" s="42" t="str">
        <f t="array" aca="1" ref="AAD1551" ca="1">IFERROR(INDEX(nombres[],SMALL(IF(OFFSET(nombres[],0,0,ROWS(nombres[]),1)=AAD$1490,ROW(OFFSET(nombres[],0,0,ROWS(nombres[]),1))-ROW(OFFSET(nombres[],0,0,1,1))+1,ROW(OFFSET(nombres[],ROWS(nombres[])-1,0,1,1))+1),$O1551:$O1570),3),"")</f>
        <v/>
      </c>
      <c r="AAE1551" s="42" t="str">
        <f t="array" aca="1" ref="AAE1551" ca="1">IFERROR(INDEX(nombres[],SMALL(IF(OFFSET(nombres[],0,0,ROWS(nombres[]),1)=AAE$1490,ROW(OFFSET(nombres[],0,0,ROWS(nombres[]),1))-ROW(OFFSET(nombres[],0,0,1,1))+1,ROW(OFFSET(nombres[],ROWS(nombres[])-1,0,1,1))+1),$O1551:$O1570),3),"")</f>
        <v/>
      </c>
      <c r="AAF1551" s="42" t="str">
        <f t="array" aca="1" ref="AAF1551" ca="1">IFERROR(INDEX(nombres[],SMALL(IF(OFFSET(nombres[],0,0,ROWS(nombres[]),1)=AAF$1490,ROW(OFFSET(nombres[],0,0,ROWS(nombres[]),1))-ROW(OFFSET(nombres[],0,0,1,1))+1,ROW(OFFSET(nombres[],ROWS(nombres[])-1,0,1,1))+1),$O1551:$O1570),3),"")</f>
        <v/>
      </c>
      <c r="AAG1551" s="42" t="str">
        <f t="array" aca="1" ref="AAG1551" ca="1">IFERROR(INDEX(nombres[],SMALL(IF(OFFSET(nombres[],0,0,ROWS(nombres[]),1)=AAG$1490,ROW(OFFSET(nombres[],0,0,ROWS(nombres[]),1))-ROW(OFFSET(nombres[],0,0,1,1))+1,ROW(OFFSET(nombres[],ROWS(nombres[])-1,0,1,1))+1),$O1551:$O1570),3),"")</f>
        <v/>
      </c>
      <c r="AAH1551" s="42" t="str">
        <f t="array" aca="1" ref="AAH1551" ca="1">IFERROR(INDEX(nombres[],SMALL(IF(OFFSET(nombres[],0,0,ROWS(nombres[]),1)=AAH$1490,ROW(OFFSET(nombres[],0,0,ROWS(nombres[]),1))-ROW(OFFSET(nombres[],0,0,1,1))+1,ROW(OFFSET(nombres[],ROWS(nombres[])-1,0,1,1))+1),$O1551:$O1570),3),"")</f>
        <v/>
      </c>
      <c r="AAI1551" s="42" t="str">
        <f t="array" aca="1" ref="AAI1551" ca="1">IFERROR(INDEX(nombres[],SMALL(IF(OFFSET(nombres[],0,0,ROWS(nombres[]),1)=AAI$1490,ROW(OFFSET(nombres[],0,0,ROWS(nombres[]),1))-ROW(OFFSET(nombres[],0,0,1,1))+1,ROW(OFFSET(nombres[],ROWS(nombres[])-1,0,1,1))+1),$O1551:$O1570),3),"")</f>
        <v/>
      </c>
      <c r="AAJ1551" s="42" t="str">
        <f t="array" aca="1" ref="AAJ1551" ca="1">IFERROR(INDEX(nombres[],SMALL(IF(OFFSET(nombres[],0,0,ROWS(nombres[]),1)=AAJ$1490,ROW(OFFSET(nombres[],0,0,ROWS(nombres[]),1))-ROW(OFFSET(nombres[],0,0,1,1))+1,ROW(OFFSET(nombres[],ROWS(nombres[])-1,0,1,1))+1),$O1551:$O1570),3),"")</f>
        <v/>
      </c>
      <c r="AAK1551" s="42" t="str">
        <f t="array" aca="1" ref="AAK1551" ca="1">IFERROR(INDEX(nombres[],SMALL(IF(OFFSET(nombres[],0,0,ROWS(nombres[]),1)=AAK$1490,ROW(OFFSET(nombres[],0,0,ROWS(nombres[]),1))-ROW(OFFSET(nombres[],0,0,1,1))+1,ROW(OFFSET(nombres[],ROWS(nombres[])-1,0,1,1))+1),$O1551:$O1570),3),"")</f>
        <v/>
      </c>
      <c r="AAL1551" s="42" t="str">
        <f t="array" aca="1" ref="AAL1551" ca="1">IFERROR(INDEX(nombres[],SMALL(IF(OFFSET(nombres[],0,0,ROWS(nombres[]),1)=AAL$1490,ROW(OFFSET(nombres[],0,0,ROWS(nombres[]),1))-ROW(OFFSET(nombres[],0,0,1,1))+1,ROW(OFFSET(nombres[],ROWS(nombres[])-1,0,1,1))+1),$O1551:$O1570),3),"")</f>
        <v/>
      </c>
      <c r="AAM1551" s="42" t="str">
        <f t="array" aca="1" ref="AAM1551" ca="1">IFERROR(INDEX(nombres[],SMALL(IF(OFFSET(nombres[],0,0,ROWS(nombres[]),1)=AAM$1490,ROW(OFFSET(nombres[],0,0,ROWS(nombres[]),1))-ROW(OFFSET(nombres[],0,0,1,1))+1,ROW(OFFSET(nombres[],ROWS(nombres[])-1,0,1,1))+1),$O1551:$O1570),3),"")</f>
        <v/>
      </c>
      <c r="AAN1551" s="42" t="str">
        <f t="array" aca="1" ref="AAN1551" ca="1">IFERROR(INDEX(nombres[],SMALL(IF(OFFSET(nombres[],0,0,ROWS(nombres[]),1)=AAN$1490,ROW(OFFSET(nombres[],0,0,ROWS(nombres[]),1))-ROW(OFFSET(nombres[],0,0,1,1))+1,ROW(OFFSET(nombres[],ROWS(nombres[])-1,0,1,1))+1),$O1551:$O1570),3),"")</f>
        <v/>
      </c>
      <c r="AAO1551" s="42" t="str">
        <f t="array" aca="1" ref="AAO1551" ca="1">IFERROR(INDEX(nombres[],SMALL(IF(OFFSET(nombres[],0,0,ROWS(nombres[]),1)=AAO$1490,ROW(OFFSET(nombres[],0,0,ROWS(nombres[]),1))-ROW(OFFSET(nombres[],0,0,1,1))+1,ROW(OFFSET(nombres[],ROWS(nombres[])-1,0,1,1))+1),$O1551:$O1570),3),"")</f>
        <v/>
      </c>
      <c r="AAP1551" s="42" t="str">
        <f t="array" aca="1" ref="AAP1551" ca="1">IFERROR(INDEX(nombres[],SMALL(IF(OFFSET(nombres[],0,0,ROWS(nombres[]),1)=AAP$1490,ROW(OFFSET(nombres[],0,0,ROWS(nombres[]),1))-ROW(OFFSET(nombres[],0,0,1,1))+1,ROW(OFFSET(nombres[],ROWS(nombres[])-1,0,1,1))+1),$O1551:$O1570),3),"")</f>
        <v/>
      </c>
      <c r="AAQ1551" s="42" t="str">
        <f t="array" aca="1" ref="AAQ1551" ca="1">IFERROR(INDEX(nombres[],SMALL(IF(OFFSET(nombres[],0,0,ROWS(nombres[]),1)=AAQ$1490,ROW(OFFSET(nombres[],0,0,ROWS(nombres[]),1))-ROW(OFFSET(nombres[],0,0,1,1))+1,ROW(OFFSET(nombres[],ROWS(nombres[])-1,0,1,1))+1),$O1551:$O1570),3),"")</f>
        <v/>
      </c>
      <c r="AAR1551" s="42" t="str">
        <f t="array" aca="1" ref="AAR1551" ca="1">IFERROR(INDEX(nombres[],SMALL(IF(OFFSET(nombres[],0,0,ROWS(nombres[]),1)=AAR$1490,ROW(OFFSET(nombres[],0,0,ROWS(nombres[]),1))-ROW(OFFSET(nombres[],0,0,1,1))+1,ROW(OFFSET(nombres[],ROWS(nombres[])-1,0,1,1))+1),$O1551:$O1570),3),"")</f>
        <v/>
      </c>
      <c r="AAS1551" s="42" t="str">
        <f t="array" aca="1" ref="AAS1551" ca="1">IFERROR(INDEX(nombres[],SMALL(IF(OFFSET(nombres[],0,0,ROWS(nombres[]),1)=AAS$1490,ROW(OFFSET(nombres[],0,0,ROWS(nombres[]),1))-ROW(OFFSET(nombres[],0,0,1,1))+1,ROW(OFFSET(nombres[],ROWS(nombres[])-1,0,1,1))+1),$O1551:$O1570),3),"")</f>
        <v/>
      </c>
      <c r="AAT1551" s="42" t="str">
        <f t="array" aca="1" ref="AAT1551" ca="1">IFERROR(INDEX(nombres[],SMALL(IF(OFFSET(nombres[],0,0,ROWS(nombres[]),1)=AAT$1490,ROW(OFFSET(nombres[],0,0,ROWS(nombres[]),1))-ROW(OFFSET(nombres[],0,0,1,1))+1,ROW(OFFSET(nombres[],ROWS(nombres[])-1,0,1,1))+1),$O1551:$O1570),3),"")</f>
        <v/>
      </c>
      <c r="AAU1551" s="42" t="str">
        <f t="array" aca="1" ref="AAU1551" ca="1">IFERROR(INDEX(nombres[],SMALL(IF(OFFSET(nombres[],0,0,ROWS(nombres[]),1)=AAU$1490,ROW(OFFSET(nombres[],0,0,ROWS(nombres[]),1))-ROW(OFFSET(nombres[],0,0,1,1))+1,ROW(OFFSET(nombres[],ROWS(nombres[])-1,0,1,1))+1),$O1551:$O1570),3),"")</f>
        <v/>
      </c>
      <c r="AAV1551" s="42" t="str">
        <f t="array" aca="1" ref="AAV1551" ca="1">IFERROR(INDEX(nombres[],SMALL(IF(OFFSET(nombres[],0,0,ROWS(nombres[]),1)=AAV$1490,ROW(OFFSET(nombres[],0,0,ROWS(nombres[]),1))-ROW(OFFSET(nombres[],0,0,1,1))+1,ROW(OFFSET(nombres[],ROWS(nombres[])-1,0,1,1))+1),$O1551:$O1570),3),"")</f>
        <v/>
      </c>
      <c r="AAW1551" s="42" t="str">
        <f t="array" aca="1" ref="AAW1551" ca="1">IFERROR(INDEX(nombres[],SMALL(IF(OFFSET(nombres[],0,0,ROWS(nombres[]),1)=AAW$1490,ROW(OFFSET(nombres[],0,0,ROWS(nombres[]),1))-ROW(OFFSET(nombres[],0,0,1,1))+1,ROW(OFFSET(nombres[],ROWS(nombres[])-1,0,1,1))+1),$O1551:$O1570),3),"")</f>
        <v/>
      </c>
      <c r="AAX1551" s="42" t="str">
        <f t="array" aca="1" ref="AAX1551" ca="1">IFERROR(INDEX(nombres[],SMALL(IF(OFFSET(nombres[],0,0,ROWS(nombres[]),1)=AAX$1490,ROW(OFFSET(nombres[],0,0,ROWS(nombres[]),1))-ROW(OFFSET(nombres[],0,0,1,1))+1,ROW(OFFSET(nombres[],ROWS(nombres[])-1,0,1,1))+1),$O1551:$O1570),3),"")</f>
        <v/>
      </c>
      <c r="AAY1551" s="42" t="str">
        <f t="array" aca="1" ref="AAY1551" ca="1">IFERROR(INDEX(nombres[],SMALL(IF(OFFSET(nombres[],0,0,ROWS(nombres[]),1)=AAY$1490,ROW(OFFSET(nombres[],0,0,ROWS(nombres[]),1))-ROW(OFFSET(nombres[],0,0,1,1))+1,ROW(OFFSET(nombres[],ROWS(nombres[])-1,0,1,1))+1),$O1551:$O1570),3),"")</f>
        <v/>
      </c>
      <c r="AAZ1551" s="42" t="str">
        <f t="array" aca="1" ref="AAZ1551" ca="1">IFERROR(INDEX(nombres[],SMALL(IF(OFFSET(nombres[],0,0,ROWS(nombres[]),1)=AAZ$1490,ROW(OFFSET(nombres[],0,0,ROWS(nombres[]),1))-ROW(OFFSET(nombres[],0,0,1,1))+1,ROW(OFFSET(nombres[],ROWS(nombres[])-1,0,1,1))+1),$O1551:$O1570),3),"")</f>
        <v/>
      </c>
      <c r="ABA1551" s="42" t="str">
        <f t="array" aca="1" ref="ABA1551" ca="1">IFERROR(INDEX(nombres[],SMALL(IF(OFFSET(nombres[],0,0,ROWS(nombres[]),1)=ABA$1490,ROW(OFFSET(nombres[],0,0,ROWS(nombres[]),1))-ROW(OFFSET(nombres[],0,0,1,1))+1,ROW(OFFSET(nombres[],ROWS(nombres[])-1,0,1,1))+1),$O1551:$O1570),3),"")</f>
        <v/>
      </c>
      <c r="ABB1551" s="42" t="str">
        <f t="array" aca="1" ref="ABB1551" ca="1">IFERROR(INDEX(nombres[],SMALL(IF(OFFSET(nombres[],0,0,ROWS(nombres[]),1)=ABB$1490,ROW(OFFSET(nombres[],0,0,ROWS(nombres[]),1))-ROW(OFFSET(nombres[],0,0,1,1))+1,ROW(OFFSET(nombres[],ROWS(nombres[])-1,0,1,1))+1),$O1551:$O1570),3),"")</f>
        <v/>
      </c>
      <c r="ABC1551" s="42" t="str">
        <f t="array" aca="1" ref="ABC1551" ca="1">IFERROR(INDEX(nombres[],SMALL(IF(OFFSET(nombres[],0,0,ROWS(nombres[]),1)=ABC$1490,ROW(OFFSET(nombres[],0,0,ROWS(nombres[]),1))-ROW(OFFSET(nombres[],0,0,1,1))+1,ROW(OFFSET(nombres[],ROWS(nombres[])-1,0,1,1))+1),$O1551:$O1570),3),"")</f>
        <v/>
      </c>
      <c r="ABD1551" s="42" t="str">
        <f t="array" aca="1" ref="ABD1551" ca="1">IFERROR(INDEX(nombres[],SMALL(IF(OFFSET(nombres[],0,0,ROWS(nombres[]),1)=ABD$1490,ROW(OFFSET(nombres[],0,0,ROWS(nombres[]),1))-ROW(OFFSET(nombres[],0,0,1,1))+1,ROW(OFFSET(nombres[],ROWS(nombres[])-1,0,1,1))+1),$O1551:$O1570),3),"")</f>
        <v/>
      </c>
      <c r="ABE1551" s="42" t="str">
        <f t="array" aca="1" ref="ABE1551" ca="1">IFERROR(INDEX(nombres[],SMALL(IF(OFFSET(nombres[],0,0,ROWS(nombres[]),1)=ABE$1490,ROW(OFFSET(nombres[],0,0,ROWS(nombres[]),1))-ROW(OFFSET(nombres[],0,0,1,1))+1,ROW(OFFSET(nombres[],ROWS(nombres[])-1,0,1,1))+1),$O1551:$O1570),3),"")</f>
        <v/>
      </c>
      <c r="ABF1551" s="42" t="str">
        <f t="array" aca="1" ref="ABF1551" ca="1">IFERROR(INDEX(nombres[],SMALL(IF(OFFSET(nombres[],0,0,ROWS(nombres[]),1)=ABF$1490,ROW(OFFSET(nombres[],0,0,ROWS(nombres[]),1))-ROW(OFFSET(nombres[],0,0,1,1))+1,ROW(OFFSET(nombres[],ROWS(nombres[])-1,0,1,1))+1),$O1551:$O1570),3),"")</f>
        <v/>
      </c>
      <c r="ABG1551" s="42" t="str">
        <f t="array" aca="1" ref="ABG1551" ca="1">IFERROR(INDEX(nombres[],SMALL(IF(OFFSET(nombres[],0,0,ROWS(nombres[]),1)=ABG$1490,ROW(OFFSET(nombres[],0,0,ROWS(nombres[]),1))-ROW(OFFSET(nombres[],0,0,1,1))+1,ROW(OFFSET(nombres[],ROWS(nombres[])-1,0,1,1))+1),$O1551:$O1570),3),"")</f>
        <v/>
      </c>
      <c r="ABH1551" s="42" t="str">
        <f t="array" aca="1" ref="ABH1551" ca="1">IFERROR(INDEX(nombres[],SMALL(IF(OFFSET(nombres[],0,0,ROWS(nombres[]),1)=ABH$1490,ROW(OFFSET(nombres[],0,0,ROWS(nombres[]),1))-ROW(OFFSET(nombres[],0,0,1,1))+1,ROW(OFFSET(nombres[],ROWS(nombres[])-1,0,1,1))+1),$O1551:$O1570),3),"")</f>
        <v/>
      </c>
      <c r="ABI1551" s="42" t="str">
        <f t="array" aca="1" ref="ABI1551" ca="1">IFERROR(INDEX(nombres[],SMALL(IF(OFFSET(nombres[],0,0,ROWS(nombres[]),1)=ABI$1490,ROW(OFFSET(nombres[],0,0,ROWS(nombres[]),1))-ROW(OFFSET(nombres[],0,0,1,1))+1,ROW(OFFSET(nombres[],ROWS(nombres[])-1,0,1,1))+1),$O1551:$O1570),3),"")</f>
        <v/>
      </c>
      <c r="ABJ1551" s="42" t="str">
        <f t="array" aca="1" ref="ABJ1551" ca="1">IFERROR(INDEX(nombres[],SMALL(IF(OFFSET(nombres[],0,0,ROWS(nombres[]),1)=ABJ$1490,ROW(OFFSET(nombres[],0,0,ROWS(nombres[]),1))-ROW(OFFSET(nombres[],0,0,1,1))+1,ROW(OFFSET(nombres[],ROWS(nombres[])-1,0,1,1))+1),$O1551:$O1570),3),"")</f>
        <v/>
      </c>
      <c r="ABK1551" s="42" t="str">
        <f t="array" aca="1" ref="ABK1551" ca="1">IFERROR(INDEX(nombres[],SMALL(IF(OFFSET(nombres[],0,0,ROWS(nombres[]),1)=ABK$1490,ROW(OFFSET(nombres[],0,0,ROWS(nombres[]),1))-ROW(OFFSET(nombres[],0,0,1,1))+1,ROW(OFFSET(nombres[],ROWS(nombres[])-1,0,1,1))+1),$O1551:$O1570),3),"")</f>
        <v/>
      </c>
      <c r="ABL1551" s="42" t="str">
        <f t="array" aca="1" ref="ABL1551" ca="1">IFERROR(INDEX(nombres[],SMALL(IF(OFFSET(nombres[],0,0,ROWS(nombres[]),1)=ABL$1490,ROW(OFFSET(nombres[],0,0,ROWS(nombres[]),1))-ROW(OFFSET(nombres[],0,0,1,1))+1,ROW(OFFSET(nombres[],ROWS(nombres[])-1,0,1,1))+1),$O1551:$O1570),3),"")</f>
        <v/>
      </c>
      <c r="ABM1551" s="42" t="str">
        <f t="array" aca="1" ref="ABM1551" ca="1">IFERROR(INDEX(nombres[],SMALL(IF(OFFSET(nombres[],0,0,ROWS(nombres[]),1)=ABM$1490,ROW(OFFSET(nombres[],0,0,ROWS(nombres[]),1))-ROW(OFFSET(nombres[],0,0,1,1))+1,ROW(OFFSET(nombres[],ROWS(nombres[])-1,0,1,1))+1),$O1551:$O1570),3),"")</f>
        <v/>
      </c>
      <c r="ABN1551" s="42" t="str">
        <f t="array" aca="1" ref="ABN1551" ca="1">IFERROR(INDEX(nombres[],SMALL(IF(OFFSET(nombres[],0,0,ROWS(nombres[]),1)=ABN$1490,ROW(OFFSET(nombres[],0,0,ROWS(nombres[]),1))-ROW(OFFSET(nombres[],0,0,1,1))+1,ROW(OFFSET(nombres[],ROWS(nombres[])-1,0,1,1))+1),$O1551:$O1570),3),"")</f>
        <v/>
      </c>
      <c r="ABO1551" s="42" t="str">
        <f t="array" aca="1" ref="ABO1551" ca="1">IFERROR(INDEX(nombres[],SMALL(IF(OFFSET(nombres[],0,0,ROWS(nombres[]),1)=ABO$1490,ROW(OFFSET(nombres[],0,0,ROWS(nombres[]),1))-ROW(OFFSET(nombres[],0,0,1,1))+1,ROW(OFFSET(nombres[],ROWS(nombres[])-1,0,1,1))+1),$O1551:$O1570),3),"")</f>
        <v/>
      </c>
      <c r="ABP1551" s="42" t="str">
        <f t="array" aca="1" ref="ABP1551" ca="1">IFERROR(INDEX(nombres[],SMALL(IF(OFFSET(nombres[],0,0,ROWS(nombres[]),1)=ABP$1490,ROW(OFFSET(nombres[],0,0,ROWS(nombres[]),1))-ROW(OFFSET(nombres[],0,0,1,1))+1,ROW(OFFSET(nombres[],ROWS(nombres[])-1,0,1,1))+1),$O1551:$O1570),3),"")</f>
        <v/>
      </c>
      <c r="ABQ1551" s="42" t="str">
        <f t="array" aca="1" ref="ABQ1551" ca="1">IFERROR(INDEX(nombres[],SMALL(IF(OFFSET(nombres[],0,0,ROWS(nombres[]),1)=ABQ$1490,ROW(OFFSET(nombres[],0,0,ROWS(nombres[]),1))-ROW(OFFSET(nombres[],0,0,1,1))+1,ROW(OFFSET(nombres[],ROWS(nombres[])-1,0,1,1))+1),$O1551:$O1570),3),"")</f>
        <v/>
      </c>
      <c r="ABR1551" s="42" t="str">
        <f t="array" aca="1" ref="ABR1551" ca="1">IFERROR(INDEX(nombres[],SMALL(IF(OFFSET(nombres[],0,0,ROWS(nombres[]),1)=ABR$1490,ROW(OFFSET(nombres[],0,0,ROWS(nombres[]),1))-ROW(OFFSET(nombres[],0,0,1,1))+1,ROW(OFFSET(nombres[],ROWS(nombres[])-1,0,1,1))+1),$O1551:$O1570),3),"")</f>
        <v/>
      </c>
      <c r="ABS1551" s="42" t="str">
        <f t="array" aca="1" ref="ABS1551" ca="1">IFERROR(INDEX(nombres[],SMALL(IF(OFFSET(nombres[],0,0,ROWS(nombres[]),1)=ABS$1490,ROW(OFFSET(nombres[],0,0,ROWS(nombres[]),1))-ROW(OFFSET(nombres[],0,0,1,1))+1,ROW(OFFSET(nombres[],ROWS(nombres[])-1,0,1,1))+1),$O1551:$O1570),3),"")</f>
        <v/>
      </c>
      <c r="ABT1551" s="42" t="str">
        <f t="array" aca="1" ref="ABT1551" ca="1">IFERROR(INDEX(nombres[],SMALL(IF(OFFSET(nombres[],0,0,ROWS(nombres[]),1)=ABT$1490,ROW(OFFSET(nombres[],0,0,ROWS(nombres[]),1))-ROW(OFFSET(nombres[],0,0,1,1))+1,ROW(OFFSET(nombres[],ROWS(nombres[])-1,0,1,1))+1),$O1551:$O1570),3),"")</f>
        <v/>
      </c>
      <c r="ABU1551" s="42" t="str">
        <f t="array" aca="1" ref="ABU1551" ca="1">IFERROR(INDEX(nombres[],SMALL(IF(OFFSET(nombres[],0,0,ROWS(nombres[]),1)=ABU$1490,ROW(OFFSET(nombres[],0,0,ROWS(nombres[]),1))-ROW(OFFSET(nombres[],0,0,1,1))+1,ROW(OFFSET(nombres[],ROWS(nombres[])-1,0,1,1))+1),$O1551:$O1570),3),"")</f>
        <v/>
      </c>
      <c r="ABV1551" s="42" t="str">
        <f t="array" aca="1" ref="ABV1551" ca="1">IFERROR(INDEX(nombres[],SMALL(IF(OFFSET(nombres[],0,0,ROWS(nombres[]),1)=ABV$1490,ROW(OFFSET(nombres[],0,0,ROWS(nombres[]),1))-ROW(OFFSET(nombres[],0,0,1,1))+1,ROW(OFFSET(nombres[],ROWS(nombres[])-1,0,1,1))+1),$O1551:$O1570),3),"")</f>
        <v/>
      </c>
      <c r="ABW1551" s="42" t="str">
        <f t="array" aca="1" ref="ABW1551" ca="1">IFERROR(INDEX(nombres[],SMALL(IF(OFFSET(nombres[],0,0,ROWS(nombres[]),1)=ABW$1490,ROW(OFFSET(nombres[],0,0,ROWS(nombres[]),1))-ROW(OFFSET(nombres[],0,0,1,1))+1,ROW(OFFSET(nombres[],ROWS(nombres[])-1,0,1,1))+1),$O1551:$O1570),3),"")</f>
        <v/>
      </c>
      <c r="ABX1551" s="42" t="str">
        <f t="array" aca="1" ref="ABX1551" ca="1">IFERROR(INDEX(nombres[],SMALL(IF(OFFSET(nombres[],0,0,ROWS(nombres[]),1)=ABX$1490,ROW(OFFSET(nombres[],0,0,ROWS(nombres[]),1))-ROW(OFFSET(nombres[],0,0,1,1))+1,ROW(OFFSET(nombres[],ROWS(nombres[])-1,0,1,1))+1),$O1551:$O1570),3),"")</f>
        <v/>
      </c>
      <c r="ABY1551" s="42" t="str">
        <f t="array" aca="1" ref="ABY1551" ca="1">IFERROR(INDEX(nombres[],SMALL(IF(OFFSET(nombres[],0,0,ROWS(nombres[]),1)=ABY$1490,ROW(OFFSET(nombres[],0,0,ROWS(nombres[]),1))-ROW(OFFSET(nombres[],0,0,1,1))+1,ROW(OFFSET(nombres[],ROWS(nombres[])-1,0,1,1))+1),$O1551:$O1570),3),"")</f>
        <v/>
      </c>
      <c r="ABZ1551" s="42" t="str">
        <f t="array" aca="1" ref="ABZ1551" ca="1">IFERROR(INDEX(nombres[],SMALL(IF(OFFSET(nombres[],0,0,ROWS(nombres[]),1)=ABZ$1490,ROW(OFFSET(nombres[],0,0,ROWS(nombres[]),1))-ROW(OFFSET(nombres[],0,0,1,1))+1,ROW(OFFSET(nombres[],ROWS(nombres[])-1,0,1,1))+1),$O1551:$O1570),3),"")</f>
        <v/>
      </c>
      <c r="ACA1551" s="42" t="str">
        <f t="array" aca="1" ref="ACA1551" ca="1">IFERROR(INDEX(nombres[],SMALL(IF(OFFSET(nombres[],0,0,ROWS(nombres[]),1)=ACA$1490,ROW(OFFSET(nombres[],0,0,ROWS(nombres[]),1))-ROW(OFFSET(nombres[],0,0,1,1))+1,ROW(OFFSET(nombres[],ROWS(nombres[])-1,0,1,1))+1),$O1551:$O1570),3),"")</f>
        <v/>
      </c>
      <c r="ACB1551" s="42" t="str">
        <f t="array" aca="1" ref="ACB1551" ca="1">IFERROR(INDEX(nombres[],SMALL(IF(OFFSET(nombres[],0,0,ROWS(nombres[]),1)=ACB$1490,ROW(OFFSET(nombres[],0,0,ROWS(nombres[]),1))-ROW(OFFSET(nombres[],0,0,1,1))+1,ROW(OFFSET(nombres[],ROWS(nombres[])-1,0,1,1))+1),$O1551:$O1570),3),"")</f>
        <v/>
      </c>
      <c r="ACC1551" s="42" t="str">
        <f t="array" aca="1" ref="ACC1551" ca="1">IFERROR(INDEX(nombres[],SMALL(IF(OFFSET(nombres[],0,0,ROWS(nombres[]),1)=ACC$1490,ROW(OFFSET(nombres[],0,0,ROWS(nombres[]),1))-ROW(OFFSET(nombres[],0,0,1,1))+1,ROW(OFFSET(nombres[],ROWS(nombres[])-1,0,1,1))+1),$O1551:$O1570),3),"")</f>
        <v/>
      </c>
      <c r="ACD1551" s="42" t="str">
        <f t="array" aca="1" ref="ACD1551" ca="1">IFERROR(INDEX(nombres[],SMALL(IF(OFFSET(nombres[],0,0,ROWS(nombres[]),1)=ACD$1490,ROW(OFFSET(nombres[],0,0,ROWS(nombres[]),1))-ROW(OFFSET(nombres[],0,0,1,1))+1,ROW(OFFSET(nombres[],ROWS(nombres[])-1,0,1,1))+1),$O1551:$O1570),3),"")</f>
        <v/>
      </c>
      <c r="ACE1551" s="42" t="str">
        <f t="array" aca="1" ref="ACE1551" ca="1">IFERROR(INDEX(nombres[],SMALL(IF(OFFSET(nombres[],0,0,ROWS(nombres[]),1)=ACE$1490,ROW(OFFSET(nombres[],0,0,ROWS(nombres[]),1))-ROW(OFFSET(nombres[],0,0,1,1))+1,ROW(OFFSET(nombres[],ROWS(nombres[])-1,0,1,1))+1),$O1551:$O1570),3),"")</f>
        <v/>
      </c>
      <c r="ACF1551" s="42" t="str">
        <f t="array" aca="1" ref="ACF1551" ca="1">IFERROR(INDEX(nombres[],SMALL(IF(OFFSET(nombres[],0,0,ROWS(nombres[]),1)=ACF$1490,ROW(OFFSET(nombres[],0,0,ROWS(nombres[]),1))-ROW(OFFSET(nombres[],0,0,1,1))+1,ROW(OFFSET(nombres[],ROWS(nombres[])-1,0,1,1))+1),$O1551:$O1570),3),"")</f>
        <v/>
      </c>
      <c r="ACG1551" s="42" t="str">
        <f t="array" aca="1" ref="ACG1551" ca="1">IFERROR(INDEX(nombres[],SMALL(IF(OFFSET(nombres[],0,0,ROWS(nombres[]),1)=ACG$1490,ROW(OFFSET(nombres[],0,0,ROWS(nombres[]),1))-ROW(OFFSET(nombres[],0,0,1,1))+1,ROW(OFFSET(nombres[],ROWS(nombres[])-1,0,1,1))+1),$O1551:$O1570),3),"")</f>
        <v/>
      </c>
      <c r="ACH1551" s="42" t="str">
        <f t="array" aca="1" ref="ACH1551" ca="1">IFERROR(INDEX(nombres[],SMALL(IF(OFFSET(nombres[],0,0,ROWS(nombres[]),1)=ACH$1490,ROW(OFFSET(nombres[],0,0,ROWS(nombres[]),1))-ROW(OFFSET(nombres[],0,0,1,1))+1,ROW(OFFSET(nombres[],ROWS(nombres[])-1,0,1,1))+1),$O1551:$O1570),3),"")</f>
        <v/>
      </c>
      <c r="ACI1551" s="42" t="str">
        <f t="array" aca="1" ref="ACI1551" ca="1">IFERROR(INDEX(nombres[],SMALL(IF(OFFSET(nombres[],0,0,ROWS(nombres[]),1)=ACI$1490,ROW(OFFSET(nombres[],0,0,ROWS(nombres[]),1))-ROW(OFFSET(nombres[],0,0,1,1))+1,ROW(OFFSET(nombres[],ROWS(nombres[])-1,0,1,1))+1),$O1551:$O1570),3),"")</f>
        <v/>
      </c>
      <c r="ACJ1551" s="42" t="str">
        <f t="array" aca="1" ref="ACJ1551" ca="1">IFERROR(INDEX(nombres[],SMALL(IF(OFFSET(nombres[],0,0,ROWS(nombres[]),1)=ACJ$1490,ROW(OFFSET(nombres[],0,0,ROWS(nombres[]),1))-ROW(OFFSET(nombres[],0,0,1,1))+1,ROW(OFFSET(nombres[],ROWS(nombres[])-1,0,1,1))+1),$O1551:$O1570),3),"")</f>
        <v/>
      </c>
      <c r="ACK1551" s="42" t="str">
        <f t="array" aca="1" ref="ACK1551" ca="1">IFERROR(INDEX(nombres[],SMALL(IF(OFFSET(nombres[],0,0,ROWS(nombres[]),1)=ACK$1490,ROW(OFFSET(nombres[],0,0,ROWS(nombres[]),1))-ROW(OFFSET(nombres[],0,0,1,1))+1,ROW(OFFSET(nombres[],ROWS(nombres[])-1,0,1,1))+1),$O1551:$O1570),3),"")</f>
        <v/>
      </c>
      <c r="ACL1551" s="42" t="str">
        <f t="array" aca="1" ref="ACL1551" ca="1">IFERROR(INDEX(nombres[],SMALL(IF(OFFSET(nombres[],0,0,ROWS(nombres[]),1)=ACL$1490,ROW(OFFSET(nombres[],0,0,ROWS(nombres[]),1))-ROW(OFFSET(nombres[],0,0,1,1))+1,ROW(OFFSET(nombres[],ROWS(nombres[])-1,0,1,1))+1),$O1551:$O1570),3),"")</f>
        <v/>
      </c>
      <c r="ACM1551" s="42" t="str">
        <f t="array" aca="1" ref="ACM1551" ca="1">IFERROR(INDEX(nombres[],SMALL(IF(OFFSET(nombres[],0,0,ROWS(nombres[]),1)=ACM$1490,ROW(OFFSET(nombres[],0,0,ROWS(nombres[]),1))-ROW(OFFSET(nombres[],0,0,1,1))+1,ROW(OFFSET(nombres[],ROWS(nombres[])-1,0,1,1))+1),$O1551:$O1570),3),"")</f>
        <v/>
      </c>
      <c r="ACN1551" s="42" t="str">
        <f t="array" aca="1" ref="ACN1551" ca="1">IFERROR(INDEX(nombres[],SMALL(IF(OFFSET(nombres[],0,0,ROWS(nombres[]),1)=ACN$1490,ROW(OFFSET(nombres[],0,0,ROWS(nombres[]),1))-ROW(OFFSET(nombres[],0,0,1,1))+1,ROW(OFFSET(nombres[],ROWS(nombres[])-1,0,1,1))+1),$O1551:$O1570),3),"")</f>
        <v/>
      </c>
      <c r="ACO1551" s="42" t="str">
        <f t="array" aca="1" ref="ACO1551" ca="1">IFERROR(INDEX(nombres[],SMALL(IF(OFFSET(nombres[],0,0,ROWS(nombres[]),1)=ACO$1490,ROW(OFFSET(nombres[],0,0,ROWS(nombres[]),1))-ROW(OFFSET(nombres[],0,0,1,1))+1,ROW(OFFSET(nombres[],ROWS(nombres[])-1,0,1,1))+1),$O1551:$O1570),3),"")</f>
        <v/>
      </c>
      <c r="ACP1551" s="42" t="str">
        <f t="array" aca="1" ref="ACP1551" ca="1">IFERROR(INDEX(nombres[],SMALL(IF(OFFSET(nombres[],0,0,ROWS(nombres[]),1)=ACP$1490,ROW(OFFSET(nombres[],0,0,ROWS(nombres[]),1))-ROW(OFFSET(nombres[],0,0,1,1))+1,ROW(OFFSET(nombres[],ROWS(nombres[])-1,0,1,1))+1),$O1551:$O1570),3),"")</f>
        <v/>
      </c>
      <c r="ACQ1551" s="42" t="str">
        <f t="array" aca="1" ref="ACQ1551" ca="1">IFERROR(INDEX(nombres[],SMALL(IF(OFFSET(nombres[],0,0,ROWS(nombres[]),1)=ACQ$1490,ROW(OFFSET(nombres[],0,0,ROWS(nombres[]),1))-ROW(OFFSET(nombres[],0,0,1,1))+1,ROW(OFFSET(nombres[],ROWS(nombres[])-1,0,1,1))+1),$O1551:$O1570),3),"")</f>
        <v/>
      </c>
      <c r="ACR1551" s="42" t="str">
        <f t="array" aca="1" ref="ACR1551" ca="1">IFERROR(INDEX(nombres[],SMALL(IF(OFFSET(nombres[],0,0,ROWS(nombres[]),1)=ACR$1490,ROW(OFFSET(nombres[],0,0,ROWS(nombres[]),1))-ROW(OFFSET(nombres[],0,0,1,1))+1,ROW(OFFSET(nombres[],ROWS(nombres[])-1,0,1,1))+1),$O1551:$O1570),3),"")</f>
        <v/>
      </c>
      <c r="ACS1551" s="42" t="str">
        <f t="array" aca="1" ref="ACS1551" ca="1">IFERROR(INDEX(nombres[],SMALL(IF(OFFSET(nombres[],0,0,ROWS(nombres[]),1)=ACS$1490,ROW(OFFSET(nombres[],0,0,ROWS(nombres[]),1))-ROW(OFFSET(nombres[],0,0,1,1))+1,ROW(OFFSET(nombres[],ROWS(nombres[])-1,0,1,1))+1),$O1551:$O1570),3),"")</f>
        <v/>
      </c>
      <c r="ACT1551" s="42" t="str">
        <f t="array" aca="1" ref="ACT1551" ca="1">IFERROR(INDEX(nombres[],SMALL(IF(OFFSET(nombres[],0,0,ROWS(nombres[]),1)=ACT$1490,ROW(OFFSET(nombres[],0,0,ROWS(nombres[]),1))-ROW(OFFSET(nombres[],0,0,1,1))+1,ROW(OFFSET(nombres[],ROWS(nombres[])-1,0,1,1))+1),$O1551:$O1570),3),"")</f>
        <v/>
      </c>
      <c r="ACU1551" s="42" t="str">
        <f t="array" aca="1" ref="ACU1551" ca="1">IFERROR(INDEX(nombres[],SMALL(IF(OFFSET(nombres[],0,0,ROWS(nombres[]),1)=ACU$1490,ROW(OFFSET(nombres[],0,0,ROWS(nombres[]),1))-ROW(OFFSET(nombres[],0,0,1,1))+1,ROW(OFFSET(nombres[],ROWS(nombres[])-1,0,1,1))+1),$O1551:$O1570),3),"")</f>
        <v/>
      </c>
      <c r="ACV1551" s="42" t="str">
        <f t="array" aca="1" ref="ACV1551" ca="1">IFERROR(INDEX(nombres[],SMALL(IF(OFFSET(nombres[],0,0,ROWS(nombres[]),1)=ACV$1490,ROW(OFFSET(nombres[],0,0,ROWS(nombres[]),1))-ROW(OFFSET(nombres[],0,0,1,1))+1,ROW(OFFSET(nombres[],ROWS(nombres[])-1,0,1,1))+1),$O1551:$O1570),3),"")</f>
        <v/>
      </c>
      <c r="ACW1551" s="42" t="str">
        <f t="array" aca="1" ref="ACW1551" ca="1">IFERROR(INDEX(nombres[],SMALL(IF(OFFSET(nombres[],0,0,ROWS(nombres[]),1)=ACW$1490,ROW(OFFSET(nombres[],0,0,ROWS(nombres[]),1))-ROW(OFFSET(nombres[],0,0,1,1))+1,ROW(OFFSET(nombres[],ROWS(nombres[])-1,0,1,1))+1),$O1551:$O1570),3),"")</f>
        <v/>
      </c>
      <c r="ACX1551" s="42" t="str">
        <f t="array" aca="1" ref="ACX1551" ca="1">IFERROR(INDEX(nombres[],SMALL(IF(OFFSET(nombres[],0,0,ROWS(nombres[]),1)=ACX$1490,ROW(OFFSET(nombres[],0,0,ROWS(nombres[]),1))-ROW(OFFSET(nombres[],0,0,1,1))+1,ROW(OFFSET(nombres[],ROWS(nombres[])-1,0,1,1))+1),$O1551:$O1570),3),"")</f>
        <v/>
      </c>
      <c r="ACY1551" s="42" t="str">
        <f t="array" aca="1" ref="ACY1551" ca="1">IFERROR(INDEX(nombres[],SMALL(IF(OFFSET(nombres[],0,0,ROWS(nombres[]),1)=ACY$1490,ROW(OFFSET(nombres[],0,0,ROWS(nombres[]),1))-ROW(OFFSET(nombres[],0,0,1,1))+1,ROW(OFFSET(nombres[],ROWS(nombres[])-1,0,1,1))+1),$O1551:$O1570),3),"")</f>
        <v/>
      </c>
      <c r="ACZ1551" s="42" t="str">
        <f t="array" aca="1" ref="ACZ1551" ca="1">IFERROR(INDEX(nombres[],SMALL(IF(OFFSET(nombres[],0,0,ROWS(nombres[]),1)=ACZ$1490,ROW(OFFSET(nombres[],0,0,ROWS(nombres[]),1))-ROW(OFFSET(nombres[],0,0,1,1))+1,ROW(OFFSET(nombres[],ROWS(nombres[])-1,0,1,1))+1),$O1551:$O1570),3),"")</f>
        <v/>
      </c>
      <c r="ADA1551" s="42" t="str">
        <f t="array" aca="1" ref="ADA1551" ca="1">IFERROR(INDEX(nombres[],SMALL(IF(OFFSET(nombres[],0,0,ROWS(nombres[]),1)=ADA$1490,ROW(OFFSET(nombres[],0,0,ROWS(nombres[]),1))-ROW(OFFSET(nombres[],0,0,1,1))+1,ROW(OFFSET(nombres[],ROWS(nombres[])-1,0,1,1))+1),$O1551:$O1570),3),"")</f>
        <v/>
      </c>
      <c r="ADB1551" s="42" t="str">
        <f t="array" aca="1" ref="ADB1551" ca="1">IFERROR(INDEX(nombres[],SMALL(IF(OFFSET(nombres[],0,0,ROWS(nombres[]),1)=ADB$1490,ROW(OFFSET(nombres[],0,0,ROWS(nombres[]),1))-ROW(OFFSET(nombres[],0,0,1,1))+1,ROW(OFFSET(nombres[],ROWS(nombres[])-1,0,1,1))+1),$O1551:$O1570),3),"")</f>
        <v/>
      </c>
      <c r="ADC1551" s="42" t="str">
        <f t="array" aca="1" ref="ADC1551" ca="1">IFERROR(INDEX(nombres[],SMALL(IF(OFFSET(nombres[],0,0,ROWS(nombres[]),1)=ADC$1490,ROW(OFFSET(nombres[],0,0,ROWS(nombres[]),1))-ROW(OFFSET(nombres[],0,0,1,1))+1,ROW(OFFSET(nombres[],ROWS(nombres[])-1,0,1,1))+1),$O1551:$O1570),3),"")</f>
        <v/>
      </c>
      <c r="ADD1551" s="42" t="str">
        <f t="array" aca="1" ref="ADD1551" ca="1">IFERROR(INDEX(nombres[],SMALL(IF(OFFSET(nombres[],0,0,ROWS(nombres[]),1)=ADD$1490,ROW(OFFSET(nombres[],0,0,ROWS(nombres[]),1))-ROW(OFFSET(nombres[],0,0,1,1))+1,ROW(OFFSET(nombres[],ROWS(nombres[])-1,0,1,1))+1),$O1551:$O1570),3),"")</f>
        <v/>
      </c>
      <c r="ADE1551" s="42" t="str">
        <f t="array" aca="1" ref="ADE1551" ca="1">IFERROR(INDEX(nombres[],SMALL(IF(OFFSET(nombres[],0,0,ROWS(nombres[]),1)=ADE$1490,ROW(OFFSET(nombres[],0,0,ROWS(nombres[]),1))-ROW(OFFSET(nombres[],0,0,1,1))+1,ROW(OFFSET(nombres[],ROWS(nombres[])-1,0,1,1))+1),$O1551:$O1570),3),"")</f>
        <v/>
      </c>
      <c r="ADF1551" s="42" t="str">
        <f t="array" aca="1" ref="ADF1551" ca="1">IFERROR(INDEX(nombres[],SMALL(IF(OFFSET(nombres[],0,0,ROWS(nombres[]),1)=ADF$1490,ROW(OFFSET(nombres[],0,0,ROWS(nombres[]),1))-ROW(OFFSET(nombres[],0,0,1,1))+1,ROW(OFFSET(nombres[],ROWS(nombres[])-1,0,1,1))+1),$O1551:$O1570),3),"")</f>
        <v/>
      </c>
      <c r="ADG1551" s="42" t="str">
        <f t="array" aca="1" ref="ADG1551" ca="1">IFERROR(INDEX(nombres[],SMALL(IF(OFFSET(nombres[],0,0,ROWS(nombres[]),1)=ADG$1490,ROW(OFFSET(nombres[],0,0,ROWS(nombres[]),1))-ROW(OFFSET(nombres[],0,0,1,1))+1,ROW(OFFSET(nombres[],ROWS(nombres[])-1,0,1,1))+1),$O1551:$O1570),3),"")</f>
        <v/>
      </c>
      <c r="ADH1551" s="42" t="str">
        <f t="array" aca="1" ref="ADH1551" ca="1">IFERROR(INDEX(nombres[],SMALL(IF(OFFSET(nombres[],0,0,ROWS(nombres[]),1)=ADH$1490,ROW(OFFSET(nombres[],0,0,ROWS(nombres[]),1))-ROW(OFFSET(nombres[],0,0,1,1))+1,ROW(OFFSET(nombres[],ROWS(nombres[])-1,0,1,1))+1),$O1551:$O1570),3),"")</f>
        <v/>
      </c>
      <c r="ADI1551" s="42" t="str">
        <f t="array" aca="1" ref="ADI1551" ca="1">IFERROR(INDEX(nombres[],SMALL(IF(OFFSET(nombres[],0,0,ROWS(nombres[]),1)=ADI$1490,ROW(OFFSET(nombres[],0,0,ROWS(nombres[]),1))-ROW(OFFSET(nombres[],0,0,1,1))+1,ROW(OFFSET(nombres[],ROWS(nombres[])-1,0,1,1))+1),$O1551:$O1570),3),"")</f>
        <v/>
      </c>
      <c r="ADJ1551" s="42" t="str">
        <f t="array" aca="1" ref="ADJ1551" ca="1">IFERROR(INDEX(nombres[],SMALL(IF(OFFSET(nombres[],0,0,ROWS(nombres[]),1)=ADJ$1490,ROW(OFFSET(nombres[],0,0,ROWS(nombres[]),1))-ROW(OFFSET(nombres[],0,0,1,1))+1,ROW(OFFSET(nombres[],ROWS(nombres[])-1,0,1,1))+1),$O1551:$O1570),3),"")</f>
        <v/>
      </c>
      <c r="ADK1551" s="42" t="str">
        <f t="array" aca="1" ref="ADK1551" ca="1">IFERROR(INDEX(nombres[],SMALL(IF(OFFSET(nombres[],0,0,ROWS(nombres[]),1)=ADK$1490,ROW(OFFSET(nombres[],0,0,ROWS(nombres[]),1))-ROW(OFFSET(nombres[],0,0,1,1))+1,ROW(OFFSET(nombres[],ROWS(nombres[])-1,0,1,1))+1),$O1551:$O1570),3),"")</f>
        <v/>
      </c>
      <c r="ADL1551" s="42" t="str">
        <f t="array" aca="1" ref="ADL1551" ca="1">IFERROR(INDEX(nombres[],SMALL(IF(OFFSET(nombres[],0,0,ROWS(nombres[]),1)=ADL$1490,ROW(OFFSET(nombres[],0,0,ROWS(nombres[]),1))-ROW(OFFSET(nombres[],0,0,1,1))+1,ROW(OFFSET(nombres[],ROWS(nombres[])-1,0,1,1))+1),$O1551:$O1570),3),"")</f>
        <v/>
      </c>
      <c r="ADM1551" s="42" t="str">
        <f t="array" aca="1" ref="ADM1551" ca="1">IFERROR(INDEX(nombres[],SMALL(IF(OFFSET(nombres[],0,0,ROWS(nombres[]),1)=ADM$1490,ROW(OFFSET(nombres[],0,0,ROWS(nombres[]),1))-ROW(OFFSET(nombres[],0,0,1,1))+1,ROW(OFFSET(nombres[],ROWS(nombres[])-1,0,1,1))+1),$O1551:$O1570),3),"")</f>
        <v/>
      </c>
      <c r="ADN1551" s="42" t="str">
        <f t="array" aca="1" ref="ADN1551" ca="1">IFERROR(INDEX(nombres[],SMALL(IF(OFFSET(nombres[],0,0,ROWS(nombres[]),1)=ADN$1490,ROW(OFFSET(nombres[],0,0,ROWS(nombres[]),1))-ROW(OFFSET(nombres[],0,0,1,1))+1,ROW(OFFSET(nombres[],ROWS(nombres[])-1,0,1,1))+1),$O1551:$O1570),3),"")</f>
        <v/>
      </c>
      <c r="ADO1551" s="42" t="str">
        <f t="array" aca="1" ref="ADO1551" ca="1">IFERROR(INDEX(nombres[],SMALL(IF(OFFSET(nombres[],0,0,ROWS(nombres[]),1)=ADO$1490,ROW(OFFSET(nombres[],0,0,ROWS(nombres[]),1))-ROW(OFFSET(nombres[],0,0,1,1))+1,ROW(OFFSET(nombres[],ROWS(nombres[])-1,0,1,1))+1),$O1551:$O1570),3),"")</f>
        <v/>
      </c>
      <c r="ADP1551" s="42" t="str">
        <f t="array" aca="1" ref="ADP1551" ca="1">IFERROR(INDEX(nombres[],SMALL(IF(OFFSET(nombres[],0,0,ROWS(nombres[]),1)=ADP$1490,ROW(OFFSET(nombres[],0,0,ROWS(nombres[]),1))-ROW(OFFSET(nombres[],0,0,1,1))+1,ROW(OFFSET(nombres[],ROWS(nombres[])-1,0,1,1))+1),$O1551:$O1570),3),"")</f>
        <v/>
      </c>
      <c r="ADQ1551" s="42" t="str">
        <f t="array" aca="1" ref="ADQ1551" ca="1">IFERROR(INDEX(nombres[],SMALL(IF(OFFSET(nombres[],0,0,ROWS(nombres[]),1)=ADQ$1490,ROW(OFFSET(nombres[],0,0,ROWS(nombres[]),1))-ROW(OFFSET(nombres[],0,0,1,1))+1,ROW(OFFSET(nombres[],ROWS(nombres[])-1,0,1,1))+1),$O1551:$O1570),3),"")</f>
        <v/>
      </c>
      <c r="ADR1551" s="42" t="str">
        <f t="array" aca="1" ref="ADR1551" ca="1">IFERROR(INDEX(nombres[],SMALL(IF(OFFSET(nombres[],0,0,ROWS(nombres[]),1)=ADR$1490,ROW(OFFSET(nombres[],0,0,ROWS(nombres[]),1))-ROW(OFFSET(nombres[],0,0,1,1))+1,ROW(OFFSET(nombres[],ROWS(nombres[])-1,0,1,1))+1),$O1551:$O1570),3),"")</f>
        <v/>
      </c>
      <c r="ADS1551" s="42" t="str">
        <f t="array" aca="1" ref="ADS1551" ca="1">IFERROR(INDEX(nombres[],SMALL(IF(OFFSET(nombres[],0,0,ROWS(nombres[]),1)=ADS$1490,ROW(OFFSET(nombres[],0,0,ROWS(nombres[]),1))-ROW(OFFSET(nombres[],0,0,1,1))+1,ROW(OFFSET(nombres[],ROWS(nombres[])-1,0,1,1))+1),$O1551:$O1570),3),"")</f>
        <v/>
      </c>
      <c r="ADT1551" s="42" t="str">
        <f t="array" aca="1" ref="ADT1551" ca="1">IFERROR(INDEX(nombres[],SMALL(IF(OFFSET(nombres[],0,0,ROWS(nombres[]),1)=ADT$1490,ROW(OFFSET(nombres[],0,0,ROWS(nombres[]),1))-ROW(OFFSET(nombres[],0,0,1,1))+1,ROW(OFFSET(nombres[],ROWS(nombres[])-1,0,1,1))+1),$O1551:$O1570),3),"")</f>
        <v/>
      </c>
      <c r="ADU1551" s="42" t="str">
        <f t="array" aca="1" ref="ADU1551" ca="1">IFERROR(INDEX(nombres[],SMALL(IF(OFFSET(nombres[],0,0,ROWS(nombres[]),1)=ADU$1490,ROW(OFFSET(nombres[],0,0,ROWS(nombres[]),1))-ROW(OFFSET(nombres[],0,0,1,1))+1,ROW(OFFSET(nombres[],ROWS(nombres[])-1,0,1,1))+1),$O1551:$O1570),3),"")</f>
        <v/>
      </c>
      <c r="ADV1551" s="42" t="str">
        <f t="array" aca="1" ref="ADV1551" ca="1">IFERROR(INDEX(nombres[],SMALL(IF(OFFSET(nombres[],0,0,ROWS(nombres[]),1)=ADV$1490,ROW(OFFSET(nombres[],0,0,ROWS(nombres[]),1))-ROW(OFFSET(nombres[],0,0,1,1))+1,ROW(OFFSET(nombres[],ROWS(nombres[])-1,0,1,1))+1),$O1551:$O1570),3),"")</f>
        <v/>
      </c>
      <c r="ADW1551" s="42" t="str">
        <f t="array" aca="1" ref="ADW1551" ca="1">IFERROR(INDEX(nombres[],SMALL(IF(OFFSET(nombres[],0,0,ROWS(nombres[]),1)=ADW$1490,ROW(OFFSET(nombres[],0,0,ROWS(nombres[]),1))-ROW(OFFSET(nombres[],0,0,1,1))+1,ROW(OFFSET(nombres[],ROWS(nombres[])-1,0,1,1))+1),$O1551:$O1570),3),"")</f>
        <v/>
      </c>
      <c r="ADX1551" s="42" t="str">
        <f t="array" aca="1" ref="ADX1551" ca="1">IFERROR(INDEX(nombres[],SMALL(IF(OFFSET(nombres[],0,0,ROWS(nombres[]),1)=ADX$1490,ROW(OFFSET(nombres[],0,0,ROWS(nombres[]),1))-ROW(OFFSET(nombres[],0,0,1,1))+1,ROW(OFFSET(nombres[],ROWS(nombres[])-1,0,1,1))+1),$O1551:$O1570),3),"")</f>
        <v/>
      </c>
      <c r="ADY1551" s="42" t="str">
        <f t="array" aca="1" ref="ADY1551" ca="1">IFERROR(INDEX(nombres[],SMALL(IF(OFFSET(nombres[],0,0,ROWS(nombres[]),1)=ADY$1490,ROW(OFFSET(nombres[],0,0,ROWS(nombres[]),1))-ROW(OFFSET(nombres[],0,0,1,1))+1,ROW(OFFSET(nombres[],ROWS(nombres[])-1,0,1,1))+1),$O1551:$O1570),3),"")</f>
        <v/>
      </c>
      <c r="ADZ1551" s="42" t="str">
        <f t="array" aca="1" ref="ADZ1551" ca="1">IFERROR(INDEX(nombres[],SMALL(IF(OFFSET(nombres[],0,0,ROWS(nombres[]),1)=ADZ$1490,ROW(OFFSET(nombres[],0,0,ROWS(nombres[]),1))-ROW(OFFSET(nombres[],0,0,1,1))+1,ROW(OFFSET(nombres[],ROWS(nombres[])-1,0,1,1))+1),$O1551:$O1570),3),"")</f>
        <v/>
      </c>
      <c r="AEA1551" s="42" t="str">
        <f t="array" aca="1" ref="AEA1551" ca="1">IFERROR(INDEX(nombres[],SMALL(IF(OFFSET(nombres[],0,0,ROWS(nombres[]),1)=AEA$1490,ROW(OFFSET(nombres[],0,0,ROWS(nombres[]),1))-ROW(OFFSET(nombres[],0,0,1,1))+1,ROW(OFFSET(nombres[],ROWS(nombres[])-1,0,1,1))+1),$O1551:$O1570),3),"")</f>
        <v/>
      </c>
      <c r="AEB1551" s="42" t="str">
        <f t="array" aca="1" ref="AEB1551" ca="1">IFERROR(INDEX(nombres[],SMALL(IF(OFFSET(nombres[],0,0,ROWS(nombres[]),1)=AEB$1490,ROW(OFFSET(nombres[],0,0,ROWS(nombres[]),1))-ROW(OFFSET(nombres[],0,0,1,1))+1,ROW(OFFSET(nombres[],ROWS(nombres[])-1,0,1,1))+1),$O1551:$O1570),3),"")</f>
        <v/>
      </c>
      <c r="AEC1551" s="42" t="str">
        <f t="array" aca="1" ref="AEC1551" ca="1">IFERROR(INDEX(nombres[],SMALL(IF(OFFSET(nombres[],0,0,ROWS(nombres[]),1)=AEC$1490,ROW(OFFSET(nombres[],0,0,ROWS(nombres[]),1))-ROW(OFFSET(nombres[],0,0,1,1))+1,ROW(OFFSET(nombres[],ROWS(nombres[])-1,0,1,1))+1),$O1551:$O1570),3),"")</f>
        <v/>
      </c>
      <c r="AED1551" s="42" t="str">
        <f t="array" aca="1" ref="AED1551" ca="1">IFERROR(INDEX(nombres[],SMALL(IF(OFFSET(nombres[],0,0,ROWS(nombres[]),1)=AED$1490,ROW(OFFSET(nombres[],0,0,ROWS(nombres[]),1))-ROW(OFFSET(nombres[],0,0,1,1))+1,ROW(OFFSET(nombres[],ROWS(nombres[])-1,0,1,1))+1),$O1551:$O1570),3),"")</f>
        <v/>
      </c>
      <c r="AEE1551" s="42" t="str">
        <f t="array" aca="1" ref="AEE1551" ca="1">IFERROR(INDEX(nombres[],SMALL(IF(OFFSET(nombres[],0,0,ROWS(nombres[]),1)=AEE$1490,ROW(OFFSET(nombres[],0,0,ROWS(nombres[]),1))-ROW(OFFSET(nombres[],0,0,1,1))+1,ROW(OFFSET(nombres[],ROWS(nombres[])-1,0,1,1))+1),$O1551:$O1570),3),"")</f>
        <v/>
      </c>
      <c r="AEF1551" s="42" t="str">
        <f t="array" aca="1" ref="AEF1551" ca="1">IFERROR(INDEX(nombres[],SMALL(IF(OFFSET(nombres[],0,0,ROWS(nombres[]),1)=AEF$1490,ROW(OFFSET(nombres[],0,0,ROWS(nombres[]),1))-ROW(OFFSET(nombres[],0,0,1,1))+1,ROW(OFFSET(nombres[],ROWS(nombres[])-1,0,1,1))+1),$O1551:$O1570),3),"")</f>
        <v/>
      </c>
      <c r="AEG1551" s="42" t="str">
        <f t="array" aca="1" ref="AEG1551" ca="1">IFERROR(INDEX(nombres[],SMALL(IF(OFFSET(nombres[],0,0,ROWS(nombres[]),1)=AEG$1490,ROW(OFFSET(nombres[],0,0,ROWS(nombres[]),1))-ROW(OFFSET(nombres[],0,0,1,1))+1,ROW(OFFSET(nombres[],ROWS(nombres[])-1,0,1,1))+1),$O1551:$O1570),3),"")</f>
        <v/>
      </c>
      <c r="AEH1551" s="42" t="str">
        <f t="array" aca="1" ref="AEH1551" ca="1">IFERROR(INDEX(nombres[],SMALL(IF(OFFSET(nombres[],0,0,ROWS(nombres[]),1)=AEH$1490,ROW(OFFSET(nombres[],0,0,ROWS(nombres[]),1))-ROW(OFFSET(nombres[],0,0,1,1))+1,ROW(OFFSET(nombres[],ROWS(nombres[])-1,0,1,1))+1),$O1551:$O1570),3),"")</f>
        <v/>
      </c>
      <c r="AEI1551" s="42" t="str">
        <f t="array" aca="1" ref="AEI1551" ca="1">IFERROR(INDEX(nombres[],SMALL(IF(OFFSET(nombres[],0,0,ROWS(nombres[]),1)=AEI$1490,ROW(OFFSET(nombres[],0,0,ROWS(nombres[]),1))-ROW(OFFSET(nombres[],0,0,1,1))+1,ROW(OFFSET(nombres[],ROWS(nombres[])-1,0,1,1))+1),$O1551:$O1570),3),"")</f>
        <v/>
      </c>
      <c r="AEJ1551" s="42" t="str">
        <f t="array" aca="1" ref="AEJ1551" ca="1">IFERROR(INDEX(nombres[],SMALL(IF(OFFSET(nombres[],0,0,ROWS(nombres[]),1)=AEJ$1490,ROW(OFFSET(nombres[],0,0,ROWS(nombres[]),1))-ROW(OFFSET(nombres[],0,0,1,1))+1,ROW(OFFSET(nombres[],ROWS(nombres[])-1,0,1,1))+1),$O1551:$O1570),3),"")</f>
        <v/>
      </c>
      <c r="AEK1551" s="42" t="str">
        <f t="array" aca="1" ref="AEK1551" ca="1">IFERROR(INDEX(nombres[],SMALL(IF(OFFSET(nombres[],0,0,ROWS(nombres[]),1)=AEK$1490,ROW(OFFSET(nombres[],0,0,ROWS(nombres[]),1))-ROW(OFFSET(nombres[],0,0,1,1))+1,ROW(OFFSET(nombres[],ROWS(nombres[])-1,0,1,1))+1),$O1551:$O1570),3),"")</f>
        <v/>
      </c>
      <c r="AEL1551" s="42" t="str">
        <f t="array" aca="1" ref="AEL1551" ca="1">IFERROR(INDEX(nombres[],SMALL(IF(OFFSET(nombres[],0,0,ROWS(nombres[]),1)=AEL$1490,ROW(OFFSET(nombres[],0,0,ROWS(nombres[]),1))-ROW(OFFSET(nombres[],0,0,1,1))+1,ROW(OFFSET(nombres[],ROWS(nombres[])-1,0,1,1))+1),$O1551:$O1570),3),"")</f>
        <v/>
      </c>
      <c r="AEM1551" s="42" t="str">
        <f t="array" aca="1" ref="AEM1551" ca="1">IFERROR(INDEX(nombres[],SMALL(IF(OFFSET(nombres[],0,0,ROWS(nombres[]),1)=AEM$1490,ROW(OFFSET(nombres[],0,0,ROWS(nombres[]),1))-ROW(OFFSET(nombres[],0,0,1,1))+1,ROW(OFFSET(nombres[],ROWS(nombres[])-1,0,1,1))+1),$O1551:$O1570),3),"")</f>
        <v/>
      </c>
      <c r="AEN1551" s="42" t="str">
        <f t="array" aca="1" ref="AEN1551" ca="1">IFERROR(INDEX(nombres[],SMALL(IF(OFFSET(nombres[],0,0,ROWS(nombres[]),1)=AEN$1490,ROW(OFFSET(nombres[],0,0,ROWS(nombres[]),1))-ROW(OFFSET(nombres[],0,0,1,1))+1,ROW(OFFSET(nombres[],ROWS(nombres[])-1,0,1,1))+1),$O1551:$O1570),3),"")</f>
        <v/>
      </c>
      <c r="AEO1551" s="42" t="str">
        <f t="array" aca="1" ref="AEO1551" ca="1">IFERROR(INDEX(nombres[],SMALL(IF(OFFSET(nombres[],0,0,ROWS(nombres[]),1)=AEO$1490,ROW(OFFSET(nombres[],0,0,ROWS(nombres[]),1))-ROW(OFFSET(nombres[],0,0,1,1))+1,ROW(OFFSET(nombres[],ROWS(nombres[])-1,0,1,1))+1),$O1551:$O1570),3),"")</f>
        <v/>
      </c>
      <c r="AEP1551" s="42" t="str">
        <f t="array" aca="1" ref="AEP1551" ca="1">IFERROR(INDEX(nombres[],SMALL(IF(OFFSET(nombres[],0,0,ROWS(nombres[]),1)=AEP$1490,ROW(OFFSET(nombres[],0,0,ROWS(nombres[]),1))-ROW(OFFSET(nombres[],0,0,1,1))+1,ROW(OFFSET(nombres[],ROWS(nombres[])-1,0,1,1))+1),$O1551:$O1570),3),"")</f>
        <v/>
      </c>
      <c r="AEQ1551" s="42" t="str">
        <f t="array" aca="1" ref="AEQ1551" ca="1">IFERROR(INDEX(nombres[],SMALL(IF(OFFSET(nombres[],0,0,ROWS(nombres[]),1)=AEQ$1490,ROW(OFFSET(nombres[],0,0,ROWS(nombres[]),1))-ROW(OFFSET(nombres[],0,0,1,1))+1,ROW(OFFSET(nombres[],ROWS(nombres[])-1,0,1,1))+1),$O1551:$O1570),3),"")</f>
        <v/>
      </c>
      <c r="AER1551" s="42" t="str">
        <f t="array" aca="1" ref="AER1551" ca="1">IFERROR(INDEX(nombres[],SMALL(IF(OFFSET(nombres[],0,0,ROWS(nombres[]),1)=AER$1490,ROW(OFFSET(nombres[],0,0,ROWS(nombres[]),1))-ROW(OFFSET(nombres[],0,0,1,1))+1,ROW(OFFSET(nombres[],ROWS(nombres[])-1,0,1,1))+1),$O1551:$O1570),3),"")</f>
        <v/>
      </c>
      <c r="AES1551" s="42" t="str">
        <f t="array" aca="1" ref="AES1551" ca="1">IFERROR(INDEX(nombres[],SMALL(IF(OFFSET(nombres[],0,0,ROWS(nombres[]),1)=AES$1490,ROW(OFFSET(nombres[],0,0,ROWS(nombres[]),1))-ROW(OFFSET(nombres[],0,0,1,1))+1,ROW(OFFSET(nombres[],ROWS(nombres[])-1,0,1,1))+1),$O1551:$O1570),3),"")</f>
        <v/>
      </c>
      <c r="AET1551" s="42" t="str">
        <f t="array" aca="1" ref="AET1551" ca="1">IFERROR(INDEX(nombres[],SMALL(IF(OFFSET(nombres[],0,0,ROWS(nombres[]),1)=AET$1490,ROW(OFFSET(nombres[],0,0,ROWS(nombres[]),1))-ROW(OFFSET(nombres[],0,0,1,1))+1,ROW(OFFSET(nombres[],ROWS(nombres[])-1,0,1,1))+1),$O1551:$O1570),3),"")</f>
        <v/>
      </c>
      <c r="AEU1551" s="42" t="str">
        <f t="array" aca="1" ref="AEU1551" ca="1">IFERROR(INDEX(nombres[],SMALL(IF(OFFSET(nombres[],0,0,ROWS(nombres[]),1)=AEU$1490,ROW(OFFSET(nombres[],0,0,ROWS(nombres[]),1))-ROW(OFFSET(nombres[],0,0,1,1))+1,ROW(OFFSET(nombres[],ROWS(nombres[])-1,0,1,1))+1),$O1551:$O1570),3),"")</f>
        <v/>
      </c>
      <c r="AEV1551" s="42" t="str">
        <f t="array" aca="1" ref="AEV1551" ca="1">IFERROR(INDEX(nombres[],SMALL(IF(OFFSET(nombres[],0,0,ROWS(nombres[]),1)=AEV$1490,ROW(OFFSET(nombres[],0,0,ROWS(nombres[]),1))-ROW(OFFSET(nombres[],0,0,1,1))+1,ROW(OFFSET(nombres[],ROWS(nombres[])-1,0,1,1))+1),$O1551:$O1570),3),"")</f>
        <v/>
      </c>
      <c r="AEW1551" s="42" t="str">
        <f t="array" aca="1" ref="AEW1551" ca="1">IFERROR(INDEX(nombres[],SMALL(IF(OFFSET(nombres[],0,0,ROWS(nombres[]),1)=AEW$1490,ROW(OFFSET(nombres[],0,0,ROWS(nombres[]),1))-ROW(OFFSET(nombres[],0,0,1,1))+1,ROW(OFFSET(nombres[],ROWS(nombres[])-1,0,1,1))+1),$O1551:$O1570),3),"")</f>
        <v/>
      </c>
      <c r="AEX1551" s="42" t="str">
        <f t="array" aca="1" ref="AEX1551" ca="1">IFERROR(INDEX(nombres[],SMALL(IF(OFFSET(nombres[],0,0,ROWS(nombres[]),1)=AEX$1490,ROW(OFFSET(nombres[],0,0,ROWS(nombres[]),1))-ROW(OFFSET(nombres[],0,0,1,1))+1,ROW(OFFSET(nombres[],ROWS(nombres[])-1,0,1,1))+1),$O1551:$O1570),3),"")</f>
        <v/>
      </c>
      <c r="AEY1551" s="42" t="str">
        <f t="array" aca="1" ref="AEY1551" ca="1">IFERROR(INDEX(nombres[],SMALL(IF(OFFSET(nombres[],0,0,ROWS(nombres[]),1)=AEY$1490,ROW(OFFSET(nombres[],0,0,ROWS(nombres[]),1))-ROW(OFFSET(nombres[],0,0,1,1))+1,ROW(OFFSET(nombres[],ROWS(nombres[])-1,0,1,1))+1),$O1551:$O1570),3),"")</f>
        <v/>
      </c>
      <c r="AEZ1551" s="42" t="str">
        <f t="array" aca="1" ref="AEZ1551" ca="1">IFERROR(INDEX(nombres[],SMALL(IF(OFFSET(nombres[],0,0,ROWS(nombres[]),1)=AEZ$1490,ROW(OFFSET(nombres[],0,0,ROWS(nombres[]),1))-ROW(OFFSET(nombres[],0,0,1,1))+1,ROW(OFFSET(nombres[],ROWS(nombres[])-1,0,1,1))+1),$O1551:$O1570),3),"")</f>
        <v/>
      </c>
      <c r="AFA1551" s="42" t="str">
        <f t="array" aca="1" ref="AFA1551" ca="1">IFERROR(INDEX(nombres[],SMALL(IF(OFFSET(nombres[],0,0,ROWS(nombres[]),1)=AFA$1490,ROW(OFFSET(nombres[],0,0,ROWS(nombres[]),1))-ROW(OFFSET(nombres[],0,0,1,1))+1,ROW(OFFSET(nombres[],ROWS(nombres[])-1,0,1,1))+1),$O1551:$O1570),3),"")</f>
        <v/>
      </c>
      <c r="AFB1551" s="42" t="str">
        <f t="array" aca="1" ref="AFB1551" ca="1">IFERROR(INDEX(nombres[],SMALL(IF(OFFSET(nombres[],0,0,ROWS(nombres[]),1)=AFB$1490,ROW(OFFSET(nombres[],0,0,ROWS(nombres[]),1))-ROW(OFFSET(nombres[],0,0,1,1))+1,ROW(OFFSET(nombres[],ROWS(nombres[])-1,0,1,1))+1),$O1551:$O1570),3),"")</f>
        <v/>
      </c>
      <c r="AFC1551" s="42" t="str">
        <f t="array" aca="1" ref="AFC1551" ca="1">IFERROR(INDEX(nombres[],SMALL(IF(OFFSET(nombres[],0,0,ROWS(nombres[]),1)=AFC$1490,ROW(OFFSET(nombres[],0,0,ROWS(nombres[]),1))-ROW(OFFSET(nombres[],0,0,1,1))+1,ROW(OFFSET(nombres[],ROWS(nombres[])-1,0,1,1))+1),$O1551:$O1570),3),"")</f>
        <v/>
      </c>
      <c r="AFD1551" s="42" t="str">
        <f t="array" aca="1" ref="AFD1551" ca="1">IFERROR(INDEX(nombres[],SMALL(IF(OFFSET(nombres[],0,0,ROWS(nombres[]),1)=AFD$1490,ROW(OFFSET(nombres[],0,0,ROWS(nombres[]),1))-ROW(OFFSET(nombres[],0,0,1,1))+1,ROW(OFFSET(nombres[],ROWS(nombres[])-1,0,1,1))+1),$O1551:$O1570),3),"")</f>
        <v/>
      </c>
      <c r="AFE1551" s="42" t="str">
        <f t="array" aca="1" ref="AFE1551" ca="1">IFERROR(INDEX(nombres[],SMALL(IF(OFFSET(nombres[],0,0,ROWS(nombres[]),1)=AFE$1490,ROW(OFFSET(nombres[],0,0,ROWS(nombres[]),1))-ROW(OFFSET(nombres[],0,0,1,1))+1,ROW(OFFSET(nombres[],ROWS(nombres[])-1,0,1,1))+1),$O1551:$O1570),3),"")</f>
        <v/>
      </c>
      <c r="AFF1551" s="42" t="str">
        <f t="array" aca="1" ref="AFF1551" ca="1">IFERROR(INDEX(nombres[],SMALL(IF(OFFSET(nombres[],0,0,ROWS(nombres[]),1)=AFF$1490,ROW(OFFSET(nombres[],0,0,ROWS(nombres[]),1))-ROW(OFFSET(nombres[],0,0,1,1))+1,ROW(OFFSET(nombres[],ROWS(nombres[])-1,0,1,1))+1),$O1551:$O1570),3),"")</f>
        <v/>
      </c>
      <c r="AFG1551" s="42" t="str">
        <f t="array" aca="1" ref="AFG1551" ca="1">IFERROR(INDEX(nombres[],SMALL(IF(OFFSET(nombres[],0,0,ROWS(nombres[]),1)=AFG$1490,ROW(OFFSET(nombres[],0,0,ROWS(nombres[]),1))-ROW(OFFSET(nombres[],0,0,1,1))+1,ROW(OFFSET(nombres[],ROWS(nombres[])-1,0,1,1))+1),$O1551:$O1570),3),"")</f>
        <v/>
      </c>
      <c r="AFH1551" s="42" t="str">
        <f t="array" aca="1" ref="AFH1551" ca="1">IFERROR(INDEX(nombres[],SMALL(IF(OFFSET(nombres[],0,0,ROWS(nombres[]),1)=AFH$1490,ROW(OFFSET(nombres[],0,0,ROWS(nombres[]),1))-ROW(OFFSET(nombres[],0,0,1,1))+1,ROW(OFFSET(nombres[],ROWS(nombres[])-1,0,1,1))+1),$O1551:$O1570),3),"")</f>
        <v/>
      </c>
      <c r="AFI1551" s="42" t="str">
        <f t="array" aca="1" ref="AFI1551" ca="1">IFERROR(INDEX(nombres[],SMALL(IF(OFFSET(nombres[],0,0,ROWS(nombres[]),1)=AFI$1490,ROW(OFFSET(nombres[],0,0,ROWS(nombres[]),1))-ROW(OFFSET(nombres[],0,0,1,1))+1,ROW(OFFSET(nombres[],ROWS(nombres[])-1,0,1,1))+1),$O1551:$O1570),3),"")</f>
        <v/>
      </c>
      <c r="AFJ1551" s="42" t="str">
        <f t="array" aca="1" ref="AFJ1551" ca="1">IFERROR(INDEX(nombres[],SMALL(IF(OFFSET(nombres[],0,0,ROWS(nombres[]),1)=AFJ$1490,ROW(OFFSET(nombres[],0,0,ROWS(nombres[]),1))-ROW(OFFSET(nombres[],0,0,1,1))+1,ROW(OFFSET(nombres[],ROWS(nombres[])-1,0,1,1))+1),$O1551:$O1570),3),"")</f>
        <v/>
      </c>
      <c r="AFK1551" s="42" t="str">
        <f t="array" aca="1" ref="AFK1551" ca="1">IFERROR(INDEX(nombres[],SMALL(IF(OFFSET(nombres[],0,0,ROWS(nombres[]),1)=AFK$1490,ROW(OFFSET(nombres[],0,0,ROWS(nombres[]),1))-ROW(OFFSET(nombres[],0,0,1,1))+1,ROW(OFFSET(nombres[],ROWS(nombres[])-1,0,1,1))+1),$O1551:$O1570),3),"")</f>
        <v/>
      </c>
      <c r="AFL1551" s="42" t="str">
        <f t="array" aca="1" ref="AFL1551" ca="1">IFERROR(INDEX(nombres[],SMALL(IF(OFFSET(nombres[],0,0,ROWS(nombres[]),1)=AFL$1490,ROW(OFFSET(nombres[],0,0,ROWS(nombres[]),1))-ROW(OFFSET(nombres[],0,0,1,1))+1,ROW(OFFSET(nombres[],ROWS(nombres[])-1,0,1,1))+1),$O1551:$O1570),3),"")</f>
        <v/>
      </c>
      <c r="AFM1551" s="42" t="str">
        <f t="array" aca="1" ref="AFM1551" ca="1">IFERROR(INDEX(nombres[],SMALL(IF(OFFSET(nombres[],0,0,ROWS(nombres[]),1)=AFM$1490,ROW(OFFSET(nombres[],0,0,ROWS(nombres[]),1))-ROW(OFFSET(nombres[],0,0,1,1))+1,ROW(OFFSET(nombres[],ROWS(nombres[])-1,0,1,1))+1),$O1551:$O1570),3),"")</f>
        <v/>
      </c>
      <c r="AFN1551" s="42" t="str">
        <f t="array" aca="1" ref="AFN1551" ca="1">IFERROR(INDEX(nombres[],SMALL(IF(OFFSET(nombres[],0,0,ROWS(nombres[]),1)=AFN$1490,ROW(OFFSET(nombres[],0,0,ROWS(nombres[]),1))-ROW(OFFSET(nombres[],0,0,1,1))+1,ROW(OFFSET(nombres[],ROWS(nombres[])-1,0,1,1))+1),$O1551:$O1570),3),"")</f>
        <v/>
      </c>
      <c r="AFO1551" s="42" t="str">
        <f t="array" aca="1" ref="AFO1551" ca="1">IFERROR(INDEX(nombres[],SMALL(IF(OFFSET(nombres[],0,0,ROWS(nombres[]),1)=AFO$1490,ROW(OFFSET(nombres[],0,0,ROWS(nombres[]),1))-ROW(OFFSET(nombres[],0,0,1,1))+1,ROW(OFFSET(nombres[],ROWS(nombres[])-1,0,1,1))+1),$O1551:$O1570),3),"")</f>
        <v/>
      </c>
      <c r="AFP1551" s="42" t="str">
        <f t="array" aca="1" ref="AFP1551" ca="1">IFERROR(INDEX(nombres[],SMALL(IF(OFFSET(nombres[],0,0,ROWS(nombres[]),1)=AFP$1490,ROW(OFFSET(nombres[],0,0,ROWS(nombres[]),1))-ROW(OFFSET(nombres[],0,0,1,1))+1,ROW(OFFSET(nombres[],ROWS(nombres[])-1,0,1,1))+1),$O1551:$O1570),3),"")</f>
        <v/>
      </c>
      <c r="AFQ1551" s="42" t="str">
        <f t="array" aca="1" ref="AFQ1551" ca="1">IFERROR(INDEX(nombres[],SMALL(IF(OFFSET(nombres[],0,0,ROWS(nombres[]),1)=AFQ$1490,ROW(OFFSET(nombres[],0,0,ROWS(nombres[]),1))-ROW(OFFSET(nombres[],0,0,1,1))+1,ROW(OFFSET(nombres[],ROWS(nombres[])-1,0,1,1))+1),$O1551:$O1570),3),"")</f>
        <v/>
      </c>
      <c r="AFR1551" s="42" t="str">
        <f t="array" aca="1" ref="AFR1551" ca="1">IFERROR(INDEX(nombres[],SMALL(IF(OFFSET(nombres[],0,0,ROWS(nombres[]),1)=AFR$1490,ROW(OFFSET(nombres[],0,0,ROWS(nombres[]),1))-ROW(OFFSET(nombres[],0,0,1,1))+1,ROW(OFFSET(nombres[],ROWS(nombres[])-1,0,1,1))+1),$O1551:$O1570),3),"")</f>
        <v/>
      </c>
      <c r="AFS1551" s="42" t="str">
        <f t="array" aca="1" ref="AFS1551" ca="1">IFERROR(INDEX(nombres[],SMALL(IF(OFFSET(nombres[],0,0,ROWS(nombres[]),1)=AFS$1490,ROW(OFFSET(nombres[],0,0,ROWS(nombres[]),1))-ROW(OFFSET(nombres[],0,0,1,1))+1,ROW(OFFSET(nombres[],ROWS(nombres[])-1,0,1,1))+1),$O1551:$O1570),3),"")</f>
        <v/>
      </c>
      <c r="AFT1551" s="42" t="str">
        <f t="array" aca="1" ref="AFT1551" ca="1">IFERROR(INDEX(nombres[],SMALL(IF(OFFSET(nombres[],0,0,ROWS(nombres[]),1)=AFT$1490,ROW(OFFSET(nombres[],0,0,ROWS(nombres[]),1))-ROW(OFFSET(nombres[],0,0,1,1))+1,ROW(OFFSET(nombres[],ROWS(nombres[])-1,0,1,1))+1),$O1551:$O1570),3),"")</f>
        <v/>
      </c>
      <c r="AFU1551" s="42" t="str">
        <f t="array" aca="1" ref="AFU1551" ca="1">IFERROR(INDEX(nombres[],SMALL(IF(OFFSET(nombres[],0,0,ROWS(nombres[]),1)=AFU$1490,ROW(OFFSET(nombres[],0,0,ROWS(nombres[]),1))-ROW(OFFSET(nombres[],0,0,1,1))+1,ROW(OFFSET(nombres[],ROWS(nombres[])-1,0,1,1))+1),$O1551:$O1570),3),"")</f>
        <v/>
      </c>
      <c r="AFV1551" s="42" t="str">
        <f t="array" aca="1" ref="AFV1551" ca="1">IFERROR(INDEX(nombres[],SMALL(IF(OFFSET(nombres[],0,0,ROWS(nombres[]),1)=AFV$1490,ROW(OFFSET(nombres[],0,0,ROWS(nombres[]),1))-ROW(OFFSET(nombres[],0,0,1,1))+1,ROW(OFFSET(nombres[],ROWS(nombres[])-1,0,1,1))+1),$O1551:$O1570),3),"")</f>
        <v/>
      </c>
      <c r="AFW1551" s="42" t="str">
        <f t="array" aca="1" ref="AFW1551" ca="1">IFERROR(INDEX(nombres[],SMALL(IF(OFFSET(nombres[],0,0,ROWS(nombres[]),1)=AFW$1490,ROW(OFFSET(nombres[],0,0,ROWS(nombres[]),1))-ROW(OFFSET(nombres[],0,0,1,1))+1,ROW(OFFSET(nombres[],ROWS(nombres[])-1,0,1,1))+1),$O1551:$O1570),3),"")</f>
        <v/>
      </c>
      <c r="AFX1551" s="42" t="str">
        <f t="array" aca="1" ref="AFX1551" ca="1">IFERROR(INDEX(nombres[],SMALL(IF(OFFSET(nombres[],0,0,ROWS(nombres[]),1)=AFX$1490,ROW(OFFSET(nombres[],0,0,ROWS(nombres[]),1))-ROW(OFFSET(nombres[],0,0,1,1))+1,ROW(OFFSET(nombres[],ROWS(nombres[])-1,0,1,1))+1),$O1551:$O1570),3),"")</f>
        <v/>
      </c>
      <c r="AFY1551" s="42" t="str">
        <f t="array" aca="1" ref="AFY1551" ca="1">IFERROR(INDEX(nombres[],SMALL(IF(OFFSET(nombres[],0,0,ROWS(nombres[]),1)=AFY$1490,ROW(OFFSET(nombres[],0,0,ROWS(nombres[]),1))-ROW(OFFSET(nombres[],0,0,1,1))+1,ROW(OFFSET(nombres[],ROWS(nombres[])-1,0,1,1))+1),$O1551:$O1570),3),"")</f>
        <v/>
      </c>
      <c r="AFZ1551" s="42" t="str">
        <f t="array" aca="1" ref="AFZ1551" ca="1">IFERROR(INDEX(nombres[],SMALL(IF(OFFSET(nombres[],0,0,ROWS(nombres[]),1)=AFZ$1490,ROW(OFFSET(nombres[],0,0,ROWS(nombres[]),1))-ROW(OFFSET(nombres[],0,0,1,1))+1,ROW(OFFSET(nombres[],ROWS(nombres[])-1,0,1,1))+1),$O1551:$O1570),3),"")</f>
        <v/>
      </c>
      <c r="AGA1551" s="42" t="str">
        <f t="array" aca="1" ref="AGA1551" ca="1">IFERROR(INDEX(nombres[],SMALL(IF(OFFSET(nombres[],0,0,ROWS(nombres[]),1)=AGA$1490,ROW(OFFSET(nombres[],0,0,ROWS(nombres[]),1))-ROW(OFFSET(nombres[],0,0,1,1))+1,ROW(OFFSET(nombres[],ROWS(nombres[])-1,0,1,1))+1),$O1551:$O1570),3),"")</f>
        <v/>
      </c>
      <c r="AGB1551" s="42" t="str">
        <f t="array" aca="1" ref="AGB1551" ca="1">IFERROR(INDEX(nombres[],SMALL(IF(OFFSET(nombres[],0,0,ROWS(nombres[]),1)=AGB$1490,ROW(OFFSET(nombres[],0,0,ROWS(nombres[]),1))-ROW(OFFSET(nombres[],0,0,1,1))+1,ROW(OFFSET(nombres[],ROWS(nombres[])-1,0,1,1))+1),$O1551:$O1570),3),"")</f>
        <v/>
      </c>
      <c r="AGC1551" s="42" t="str">
        <f t="array" aca="1" ref="AGC1551" ca="1">IFERROR(INDEX(nombres[],SMALL(IF(OFFSET(nombres[],0,0,ROWS(nombres[]),1)=AGC$1490,ROW(OFFSET(nombres[],0,0,ROWS(nombres[]),1))-ROW(OFFSET(nombres[],0,0,1,1))+1,ROW(OFFSET(nombres[],ROWS(nombres[])-1,0,1,1))+1),$O1551:$O1570),3),"")</f>
        <v/>
      </c>
      <c r="AGD1551" s="42" t="str">
        <f t="array" aca="1" ref="AGD1551" ca="1">IFERROR(INDEX(nombres[],SMALL(IF(OFFSET(nombres[],0,0,ROWS(nombres[]),1)=AGD$1490,ROW(OFFSET(nombres[],0,0,ROWS(nombres[]),1))-ROW(OFFSET(nombres[],0,0,1,1))+1,ROW(OFFSET(nombres[],ROWS(nombres[])-1,0,1,1))+1),$O1551:$O1570),3),"")</f>
        <v/>
      </c>
      <c r="AGE1551" s="42" t="str">
        <f t="array" aca="1" ref="AGE1551" ca="1">IFERROR(INDEX(nombres[],SMALL(IF(OFFSET(nombres[],0,0,ROWS(nombres[]),1)=AGE$1490,ROW(OFFSET(nombres[],0,0,ROWS(nombres[]),1))-ROW(OFFSET(nombres[],0,0,1,1))+1,ROW(OFFSET(nombres[],ROWS(nombres[])-1,0,1,1))+1),$O1551:$O1570),3),"")</f>
        <v/>
      </c>
      <c r="AGF1551" s="42" t="str">
        <f t="array" aca="1" ref="AGF1551" ca="1">IFERROR(INDEX(nombres[],SMALL(IF(OFFSET(nombres[],0,0,ROWS(nombres[]),1)=AGF$1490,ROW(OFFSET(nombres[],0,0,ROWS(nombres[]),1))-ROW(OFFSET(nombres[],0,0,1,1))+1,ROW(OFFSET(nombres[],ROWS(nombres[])-1,0,1,1))+1),$O1551:$O1570),3),"")</f>
        <v/>
      </c>
      <c r="AGG1551" s="42" t="str">
        <f t="array" aca="1" ref="AGG1551" ca="1">IFERROR(INDEX(nombres[],SMALL(IF(OFFSET(nombres[],0,0,ROWS(nombres[]),1)=AGG$1490,ROW(OFFSET(nombres[],0,0,ROWS(nombres[]),1))-ROW(OFFSET(nombres[],0,0,1,1))+1,ROW(OFFSET(nombres[],ROWS(nombres[])-1,0,1,1))+1),$O1551:$O1570),3),"")</f>
        <v/>
      </c>
      <c r="AGH1551" s="42" t="str">
        <f t="array" aca="1" ref="AGH1551" ca="1">IFERROR(INDEX(nombres[],SMALL(IF(OFFSET(nombres[],0,0,ROWS(nombres[]),1)=AGH$1490,ROW(OFFSET(nombres[],0,0,ROWS(nombres[]),1))-ROW(OFFSET(nombres[],0,0,1,1))+1,ROW(OFFSET(nombres[],ROWS(nombres[])-1,0,1,1))+1),$O1551:$O1570),3),"")</f>
        <v/>
      </c>
      <c r="AGI1551" s="42" t="str">
        <f t="array" aca="1" ref="AGI1551" ca="1">IFERROR(INDEX(nombres[],SMALL(IF(OFFSET(nombres[],0,0,ROWS(nombres[]),1)=AGI$1490,ROW(OFFSET(nombres[],0,0,ROWS(nombres[]),1))-ROW(OFFSET(nombres[],0,0,1,1))+1,ROW(OFFSET(nombres[],ROWS(nombres[])-1,0,1,1))+1),$O1551:$O1570),3),"")</f>
        <v/>
      </c>
      <c r="AGJ1551" s="42" t="str">
        <f t="array" aca="1" ref="AGJ1551" ca="1">IFERROR(INDEX(nombres[],SMALL(IF(OFFSET(nombres[],0,0,ROWS(nombres[]),1)=AGJ$1490,ROW(OFFSET(nombres[],0,0,ROWS(nombres[]),1))-ROW(OFFSET(nombres[],0,0,1,1))+1,ROW(OFFSET(nombres[],ROWS(nombres[])-1,0,1,1))+1),$O1551:$O1570),3),"")</f>
        <v/>
      </c>
      <c r="AGK1551" s="42" t="str">
        <f t="array" aca="1" ref="AGK1551" ca="1">IFERROR(INDEX(nombres[],SMALL(IF(OFFSET(nombres[],0,0,ROWS(nombres[]),1)=AGK$1490,ROW(OFFSET(nombres[],0,0,ROWS(nombres[]),1))-ROW(OFFSET(nombres[],0,0,1,1))+1,ROW(OFFSET(nombres[],ROWS(nombres[])-1,0,1,1))+1),$O1551:$O1570),3),"")</f>
        <v/>
      </c>
      <c r="AGL1551" s="42" t="str">
        <f t="array" aca="1" ref="AGL1551" ca="1">IFERROR(INDEX(nombres[],SMALL(IF(OFFSET(nombres[],0,0,ROWS(nombres[]),1)=AGL$1490,ROW(OFFSET(nombres[],0,0,ROWS(nombres[]),1))-ROW(OFFSET(nombres[],0,0,1,1))+1,ROW(OFFSET(nombres[],ROWS(nombres[])-1,0,1,1))+1),$O1551:$O1570),3),"")</f>
        <v/>
      </c>
      <c r="AGM1551" s="42" t="str">
        <f t="array" aca="1" ref="AGM1551" ca="1">IFERROR(INDEX(nombres[],SMALL(IF(OFFSET(nombres[],0,0,ROWS(nombres[]),1)=AGM$1490,ROW(OFFSET(nombres[],0,0,ROWS(nombres[]),1))-ROW(OFFSET(nombres[],0,0,1,1))+1,ROW(OFFSET(nombres[],ROWS(nombres[])-1,0,1,1))+1),$O1551:$O1570),3),"")</f>
        <v/>
      </c>
      <c r="AGN1551" s="42" t="str">
        <f t="array" aca="1" ref="AGN1551" ca="1">IFERROR(INDEX(nombres[],SMALL(IF(OFFSET(nombres[],0,0,ROWS(nombres[]),1)=AGN$1490,ROW(OFFSET(nombres[],0,0,ROWS(nombres[]),1))-ROW(OFFSET(nombres[],0,0,1,1))+1,ROW(OFFSET(nombres[],ROWS(nombres[])-1,0,1,1))+1),$O1551:$O1570),3),"")</f>
        <v/>
      </c>
    </row>
    <row r="1552" spans="15:872" x14ac:dyDescent="0.25">
      <c r="O1552" s="42">
        <v>16</v>
      </c>
      <c r="P1552" s="42" t="str">
        <f t="array" aca="1" ref="P1552" ca="1">IFERROR(INDEX(nombres[],SMALL(IF(OFFSET(nombres[],0,0,ROWS(nombres[]),1)=P$1490,ROW(OFFSET(nombres[],0,0,ROWS(nombres[]),1))-ROW(OFFSET(nombres[],0,0,1,1))+1,ROW(OFFSET(nombres[],ROWS(nombres[])-1,0,1,1))+1),$O1552:$O1571),3),"")</f>
        <v/>
      </c>
      <c r="Q1552" s="42" t="str">
        <f t="array" aca="1" ref="Q1552" ca="1">IFERROR(INDEX(nombres[],SMALL(IF(OFFSET(nombres[],0,0,ROWS(nombres[]),1)=Q$1490,ROW(OFFSET(nombres[],0,0,ROWS(nombres[]),1))-ROW(OFFSET(nombres[],0,0,1,1))+1,ROW(OFFSET(nombres[],ROWS(nombres[])-1,0,1,1))+1),$O1552:$O1571),3),"")</f>
        <v/>
      </c>
      <c r="R1552" s="42" t="str">
        <f t="array" aca="1" ref="R1552" ca="1">IFERROR(INDEX(nombres[],SMALL(IF(OFFSET(nombres[],0,0,ROWS(nombres[]),1)=R$1490,ROW(OFFSET(nombres[],0,0,ROWS(nombres[]),1))-ROW(OFFSET(nombres[],0,0,1,1))+1,ROW(OFFSET(nombres[],ROWS(nombres[])-1,0,1,1))+1),$O1552:$O1571),3),"")</f>
        <v/>
      </c>
      <c r="S1552" s="42" t="str">
        <f t="array" aca="1" ref="S1552" ca="1">IFERROR(INDEX(nombres[],SMALL(IF(OFFSET(nombres[],0,0,ROWS(nombres[]),1)=S$1490,ROW(OFFSET(nombres[],0,0,ROWS(nombres[]),1))-ROW(OFFSET(nombres[],0,0,1,1))+1,ROW(OFFSET(nombres[],ROWS(nombres[])-1,0,1,1))+1),$O1552:$O1571),3),"")</f>
        <v/>
      </c>
      <c r="T1552" s="42" t="str">
        <f t="array" aca="1" ref="T1552" ca="1">IFERROR(INDEX(nombres[],SMALL(IF(OFFSET(nombres[],0,0,ROWS(nombres[]),1)=T$1490,ROW(OFFSET(nombres[],0,0,ROWS(nombres[]),1))-ROW(OFFSET(nombres[],0,0,1,1))+1,ROW(OFFSET(nombres[],ROWS(nombres[])-1,0,1,1))+1),$O1552:$O1571),3),"")</f>
        <v/>
      </c>
      <c r="U1552" s="42" t="str">
        <f t="array" aca="1" ref="U1552" ca="1">IFERROR(INDEX(nombres[],SMALL(IF(OFFSET(nombres[],0,0,ROWS(nombres[]),1)=U$1490,ROW(OFFSET(nombres[],0,0,ROWS(nombres[]),1))-ROW(OFFSET(nombres[],0,0,1,1))+1,ROW(OFFSET(nombres[],ROWS(nombres[])-1,0,1,1))+1),$O1552:$O1571),3),"")</f>
        <v/>
      </c>
      <c r="V1552" s="42" t="str">
        <f t="array" aca="1" ref="V1552" ca="1">IFERROR(INDEX(nombres[],SMALL(IF(OFFSET(nombres[],0,0,ROWS(nombres[]),1)=V$1490,ROW(OFFSET(nombres[],0,0,ROWS(nombres[]),1))-ROW(OFFSET(nombres[],0,0,1,1))+1,ROW(OFFSET(nombres[],ROWS(nombres[])-1,0,1,1))+1),$O1552:$O1571),3),"")</f>
        <v/>
      </c>
      <c r="W1552" s="42" t="str">
        <f t="array" aca="1" ref="W1552" ca="1">IFERROR(INDEX(nombres[],SMALL(IF(OFFSET(nombres[],0,0,ROWS(nombres[]),1)=W$1490,ROW(OFFSET(nombres[],0,0,ROWS(nombres[]),1))-ROW(OFFSET(nombres[],0,0,1,1))+1,ROW(OFFSET(nombres[],ROWS(nombres[])-1,0,1,1))+1),$O1552:$O1571),3),"")</f>
        <v/>
      </c>
      <c r="X1552" s="42" t="str">
        <f t="array" aca="1" ref="X1552" ca="1">IFERROR(INDEX(nombres[],SMALL(IF(OFFSET(nombres[],0,0,ROWS(nombres[]),1)=X$1490,ROW(OFFSET(nombres[],0,0,ROWS(nombres[]),1))-ROW(OFFSET(nombres[],0,0,1,1))+1,ROW(OFFSET(nombres[],ROWS(nombres[])-1,0,1,1))+1),$O1552:$O1571),3),"")</f>
        <v/>
      </c>
      <c r="Y1552" s="42" t="str">
        <f t="array" aca="1" ref="Y1552" ca="1">IFERROR(INDEX(nombres[],SMALL(IF(OFFSET(nombres[],0,0,ROWS(nombres[]),1)=Y$1490,ROW(OFFSET(nombres[],0,0,ROWS(nombres[]),1))-ROW(OFFSET(nombres[],0,0,1,1))+1,ROW(OFFSET(nombres[],ROWS(nombres[])-1,0,1,1))+1),$O1552:$O1571),3),"")</f>
        <v/>
      </c>
      <c r="Z1552" s="42" t="str">
        <f t="array" aca="1" ref="Z1552" ca="1">IFERROR(INDEX(nombres[],SMALL(IF(OFFSET(nombres[],0,0,ROWS(nombres[]),1)=Z$1490,ROW(OFFSET(nombres[],0,0,ROWS(nombres[]),1))-ROW(OFFSET(nombres[],0,0,1,1))+1,ROW(OFFSET(nombres[],ROWS(nombres[])-1,0,1,1))+1),$O1552:$O1571),3),"")</f>
        <v/>
      </c>
      <c r="AA1552" s="42" t="str">
        <f t="array" aca="1" ref="AA1552" ca="1">IFERROR(INDEX(nombres[],SMALL(IF(OFFSET(nombres[],0,0,ROWS(nombres[]),1)=AA$1490,ROW(OFFSET(nombres[],0,0,ROWS(nombres[]),1))-ROW(OFFSET(nombres[],0,0,1,1))+1,ROW(OFFSET(nombres[],ROWS(nombres[])-1,0,1,1))+1),$O1552:$O1571),3),"")</f>
        <v/>
      </c>
      <c r="AB1552" s="42" t="str">
        <f t="array" aca="1" ref="AB1552" ca="1">IFERROR(INDEX(nombres[],SMALL(IF(OFFSET(nombres[],0,0,ROWS(nombres[]),1)=AB$1490,ROW(OFFSET(nombres[],0,0,ROWS(nombres[]),1))-ROW(OFFSET(nombres[],0,0,1,1))+1,ROW(OFFSET(nombres[],ROWS(nombres[])-1,0,1,1))+1),$O1552:$O1571),3),"")</f>
        <v/>
      </c>
      <c r="AC1552" s="42" t="str">
        <f t="array" aca="1" ref="AC1552" ca="1">IFERROR(INDEX(nombres[],SMALL(IF(OFFSET(nombres[],0,0,ROWS(nombres[]),1)=AC$1490,ROW(OFFSET(nombres[],0,0,ROWS(nombres[]),1))-ROW(OFFSET(nombres[],0,0,1,1))+1,ROW(OFFSET(nombres[],ROWS(nombres[])-1,0,1,1))+1),$O1552:$O1571),3),"")</f>
        <v/>
      </c>
      <c r="AD1552" s="42" t="str">
        <f t="array" aca="1" ref="AD1552" ca="1">IFERROR(INDEX(nombres[],SMALL(IF(OFFSET(nombres[],0,0,ROWS(nombres[]),1)=AD$1490,ROW(OFFSET(nombres[],0,0,ROWS(nombres[]),1))-ROW(OFFSET(nombres[],0,0,1,1))+1,ROW(OFFSET(nombres[],ROWS(nombres[])-1,0,1,1))+1),$O1552:$O1571),3),"")</f>
        <v/>
      </c>
      <c r="AE1552" s="42" t="str">
        <f t="array" aca="1" ref="AE1552" ca="1">IFERROR(INDEX(nombres[],SMALL(IF(OFFSET(nombres[],0,0,ROWS(nombres[]),1)=AE$1490,ROW(OFFSET(nombres[],0,0,ROWS(nombres[]),1))-ROW(OFFSET(nombres[],0,0,1,1))+1,ROW(OFFSET(nombres[],ROWS(nombres[])-1,0,1,1))+1),$O1552:$O1571),3),"")</f>
        <v/>
      </c>
      <c r="AF1552" s="42" t="str">
        <f t="array" aca="1" ref="AF1552" ca="1">IFERROR(INDEX(nombres[],SMALL(IF(OFFSET(nombres[],0,0,ROWS(nombres[]),1)=AF$1490,ROW(OFFSET(nombres[],0,0,ROWS(nombres[]),1))-ROW(OFFSET(nombres[],0,0,1,1))+1,ROW(OFFSET(nombres[],ROWS(nombres[])-1,0,1,1))+1),$O1552:$O1571),3),"")</f>
        <v/>
      </c>
      <c r="AG1552" s="42" t="str">
        <f t="array" aca="1" ref="AG1552" ca="1">IFERROR(INDEX(nombres[],SMALL(IF(OFFSET(nombres[],0,0,ROWS(nombres[]),1)=AG$1490,ROW(OFFSET(nombres[],0,0,ROWS(nombres[]),1))-ROW(OFFSET(nombres[],0,0,1,1))+1,ROW(OFFSET(nombres[],ROWS(nombres[])-1,0,1,1))+1),$O1552:$O1571),3),"")</f>
        <v/>
      </c>
      <c r="AH1552" s="42" t="str">
        <f t="array" aca="1" ref="AH1552" ca="1">IFERROR(INDEX(nombres[],SMALL(IF(OFFSET(nombres[],0,0,ROWS(nombres[]),1)=AH$1490,ROW(OFFSET(nombres[],0,0,ROWS(nombres[]),1))-ROW(OFFSET(nombres[],0,0,1,1))+1,ROW(OFFSET(nombres[],ROWS(nombres[])-1,0,1,1))+1),$O1552:$O1571),3),"")</f>
        <v/>
      </c>
      <c r="AI1552" s="42" t="str">
        <f t="array" aca="1" ref="AI1552" ca="1">IFERROR(INDEX(nombres[],SMALL(IF(OFFSET(nombres[],0,0,ROWS(nombres[]),1)=AI$1490,ROW(OFFSET(nombres[],0,0,ROWS(nombres[]),1))-ROW(OFFSET(nombres[],0,0,1,1))+1,ROW(OFFSET(nombres[],ROWS(nombres[])-1,0,1,1))+1),$O1552:$O1571),3),"")</f>
        <v/>
      </c>
      <c r="AJ1552" s="42" t="str">
        <f t="array" aca="1" ref="AJ1552" ca="1">IFERROR(INDEX(nombres[],SMALL(IF(OFFSET(nombres[],0,0,ROWS(nombres[]),1)=AJ$1490,ROW(OFFSET(nombres[],0,0,ROWS(nombres[]),1))-ROW(OFFSET(nombres[],0,0,1,1))+1,ROW(OFFSET(nombres[],ROWS(nombres[])-1,0,1,1))+1),$O1552:$O1571),3),"")</f>
        <v/>
      </c>
      <c r="AK1552" s="42" t="str">
        <f t="array" aca="1" ref="AK1552" ca="1">IFERROR(INDEX(nombres[],SMALL(IF(OFFSET(nombres[],0,0,ROWS(nombres[]),1)=AK$1490,ROW(OFFSET(nombres[],0,0,ROWS(nombres[]),1))-ROW(OFFSET(nombres[],0,0,1,1))+1,ROW(OFFSET(nombres[],ROWS(nombres[])-1,0,1,1))+1),$O1552:$O1571),3),"")</f>
        <v/>
      </c>
      <c r="AL1552" s="42" t="str">
        <f t="array" aca="1" ref="AL1552" ca="1">IFERROR(INDEX(nombres[],SMALL(IF(OFFSET(nombres[],0,0,ROWS(nombres[]),1)=AL$1490,ROW(OFFSET(nombres[],0,0,ROWS(nombres[]),1))-ROW(OFFSET(nombres[],0,0,1,1))+1,ROW(OFFSET(nombres[],ROWS(nombres[])-1,0,1,1))+1),$O1552:$O1571),3),"")</f>
        <v/>
      </c>
      <c r="AM1552" s="42" t="str">
        <f t="array" aca="1" ref="AM1552" ca="1">IFERROR(INDEX(nombres[],SMALL(IF(OFFSET(nombres[],0,0,ROWS(nombres[]),1)=AM$1490,ROW(OFFSET(nombres[],0,0,ROWS(nombres[]),1))-ROW(OFFSET(nombres[],0,0,1,1))+1,ROW(OFFSET(nombres[],ROWS(nombres[])-1,0,1,1))+1),$O1552:$O1571),3),"")</f>
        <v/>
      </c>
      <c r="AN1552" s="42" t="str">
        <f t="array" aca="1" ref="AN1552" ca="1">IFERROR(INDEX(nombres[],SMALL(IF(OFFSET(nombres[],0,0,ROWS(nombres[]),1)=AN$1490,ROW(OFFSET(nombres[],0,0,ROWS(nombres[]),1))-ROW(OFFSET(nombres[],0,0,1,1))+1,ROW(OFFSET(nombres[],ROWS(nombres[])-1,0,1,1))+1),$O1552:$O1571),3),"")</f>
        <v/>
      </c>
      <c r="AO1552" s="42" t="str">
        <f t="array" aca="1" ref="AO1552" ca="1">IFERROR(INDEX(nombres[],SMALL(IF(OFFSET(nombres[],0,0,ROWS(nombres[]),1)=AO$1490,ROW(OFFSET(nombres[],0,0,ROWS(nombres[]),1))-ROW(OFFSET(nombres[],0,0,1,1))+1,ROW(OFFSET(nombres[],ROWS(nombres[])-1,0,1,1))+1),$O1552:$O1571),3),"")</f>
        <v/>
      </c>
      <c r="AP1552" s="42" t="str">
        <f t="array" aca="1" ref="AP1552" ca="1">IFERROR(INDEX(nombres[],SMALL(IF(OFFSET(nombres[],0,0,ROWS(nombres[]),1)=AP$1490,ROW(OFFSET(nombres[],0,0,ROWS(nombres[]),1))-ROW(OFFSET(nombres[],0,0,1,1))+1,ROW(OFFSET(nombres[],ROWS(nombres[])-1,0,1,1))+1),$O1552:$O1571),3),"")</f>
        <v/>
      </c>
      <c r="AQ1552" s="42" t="str">
        <f t="array" aca="1" ref="AQ1552" ca="1">IFERROR(INDEX(nombres[],SMALL(IF(OFFSET(nombres[],0,0,ROWS(nombres[]),1)=AQ$1490,ROW(OFFSET(nombres[],0,0,ROWS(nombres[]),1))-ROW(OFFSET(nombres[],0,0,1,1))+1,ROW(OFFSET(nombres[],ROWS(nombres[])-1,0,1,1))+1),$O1552:$O1571),3),"")</f>
        <v/>
      </c>
      <c r="AR1552" s="42" t="str">
        <f t="array" aca="1" ref="AR1552" ca="1">IFERROR(INDEX(nombres[],SMALL(IF(OFFSET(nombres[],0,0,ROWS(nombres[]),1)=AR$1490,ROW(OFFSET(nombres[],0,0,ROWS(nombres[]),1))-ROW(OFFSET(nombres[],0,0,1,1))+1,ROW(OFFSET(nombres[],ROWS(nombres[])-1,0,1,1))+1),$O1552:$O1571),3),"")</f>
        <v/>
      </c>
      <c r="AS1552" s="42" t="str">
        <f t="array" aca="1" ref="AS1552" ca="1">IFERROR(INDEX(nombres[],SMALL(IF(OFFSET(nombres[],0,0,ROWS(nombres[]),1)=AS$1490,ROW(OFFSET(nombres[],0,0,ROWS(nombres[]),1))-ROW(OFFSET(nombres[],0,0,1,1))+1,ROW(OFFSET(nombres[],ROWS(nombres[])-1,0,1,1))+1),$O1552:$O1571),3),"")</f>
        <v/>
      </c>
      <c r="AT1552" s="42" t="str">
        <f t="array" aca="1" ref="AT1552" ca="1">IFERROR(INDEX(nombres[],SMALL(IF(OFFSET(nombres[],0,0,ROWS(nombres[]),1)=AT$1490,ROW(OFFSET(nombres[],0,0,ROWS(nombres[]),1))-ROW(OFFSET(nombres[],0,0,1,1))+1,ROW(OFFSET(nombres[],ROWS(nombres[])-1,0,1,1))+1),$O1552:$O1571),3),"")</f>
        <v/>
      </c>
      <c r="AU1552" s="42" t="str">
        <f t="array" aca="1" ref="AU1552" ca="1">IFERROR(INDEX(nombres[],SMALL(IF(OFFSET(nombres[],0,0,ROWS(nombres[]),1)=AU$1490,ROW(OFFSET(nombres[],0,0,ROWS(nombres[]),1))-ROW(OFFSET(nombres[],0,0,1,1))+1,ROW(OFFSET(nombres[],ROWS(nombres[])-1,0,1,1))+1),$O1552:$O1571),3),"")</f>
        <v/>
      </c>
      <c r="AV1552" s="42" t="str">
        <f t="array" aca="1" ref="AV1552" ca="1">IFERROR(INDEX(nombres[],SMALL(IF(OFFSET(nombres[],0,0,ROWS(nombres[]),1)=AV$1490,ROW(OFFSET(nombres[],0,0,ROWS(nombres[]),1))-ROW(OFFSET(nombres[],0,0,1,1))+1,ROW(OFFSET(nombres[],ROWS(nombres[])-1,0,1,1))+1),$O1552:$O1571),3),"")</f>
        <v/>
      </c>
      <c r="AW1552" s="42" t="str">
        <f t="array" aca="1" ref="AW1552" ca="1">IFERROR(INDEX(nombres[],SMALL(IF(OFFSET(nombres[],0,0,ROWS(nombres[]),1)=AW$1490,ROW(OFFSET(nombres[],0,0,ROWS(nombres[]),1))-ROW(OFFSET(nombres[],0,0,1,1))+1,ROW(OFFSET(nombres[],ROWS(nombres[])-1,0,1,1))+1),$O1552:$O1571),3),"")</f>
        <v/>
      </c>
      <c r="AX1552" s="42" t="str">
        <f t="array" aca="1" ref="AX1552" ca="1">IFERROR(INDEX(nombres[],SMALL(IF(OFFSET(nombres[],0,0,ROWS(nombres[]),1)=AX$1490,ROW(OFFSET(nombres[],0,0,ROWS(nombres[]),1))-ROW(OFFSET(nombres[],0,0,1,1))+1,ROW(OFFSET(nombres[],ROWS(nombres[])-1,0,1,1))+1),$O1552:$O1571),3),"")</f>
        <v/>
      </c>
      <c r="AY1552" s="42" t="str">
        <f t="array" aca="1" ref="AY1552" ca="1">IFERROR(INDEX(nombres[],SMALL(IF(OFFSET(nombres[],0,0,ROWS(nombres[]),1)=AY$1490,ROW(OFFSET(nombres[],0,0,ROWS(nombres[]),1))-ROW(OFFSET(nombres[],0,0,1,1))+1,ROW(OFFSET(nombres[],ROWS(nombres[])-1,0,1,1))+1),$O1552:$O1571),3),"")</f>
        <v/>
      </c>
      <c r="AZ1552" s="42" t="str">
        <f t="array" aca="1" ref="AZ1552" ca="1">IFERROR(INDEX(nombres[],SMALL(IF(OFFSET(nombres[],0,0,ROWS(nombres[]),1)=AZ$1490,ROW(OFFSET(nombres[],0,0,ROWS(nombres[]),1))-ROW(OFFSET(nombres[],0,0,1,1))+1,ROW(OFFSET(nombres[],ROWS(nombres[])-1,0,1,1))+1),$O1552:$O1571),3),"")</f>
        <v/>
      </c>
      <c r="BA1552" s="42" t="str">
        <f t="array" aca="1" ref="BA1552" ca="1">IFERROR(INDEX(nombres[],SMALL(IF(OFFSET(nombres[],0,0,ROWS(nombres[]),1)=BA$1490,ROW(OFFSET(nombres[],0,0,ROWS(nombres[]),1))-ROW(OFFSET(nombres[],0,0,1,1))+1,ROW(OFFSET(nombres[],ROWS(nombres[])-1,0,1,1))+1),$O1552:$O1571),3),"")</f>
        <v/>
      </c>
      <c r="BB1552" s="42" t="str">
        <f t="array" aca="1" ref="BB1552" ca="1">IFERROR(INDEX(nombres[],SMALL(IF(OFFSET(nombres[],0,0,ROWS(nombres[]),1)=BB$1490,ROW(OFFSET(nombres[],0,0,ROWS(nombres[]),1))-ROW(OFFSET(nombres[],0,0,1,1))+1,ROW(OFFSET(nombres[],ROWS(nombres[])-1,0,1,1))+1),$O1552:$O1571),3),"")</f>
        <v/>
      </c>
      <c r="BC1552" s="42" t="str">
        <f t="array" aca="1" ref="BC1552" ca="1">IFERROR(INDEX(nombres[],SMALL(IF(OFFSET(nombres[],0,0,ROWS(nombres[]),1)=BC$1490,ROW(OFFSET(nombres[],0,0,ROWS(nombres[]),1))-ROW(OFFSET(nombres[],0,0,1,1))+1,ROW(OFFSET(nombres[],ROWS(nombres[])-1,0,1,1))+1),$O1552:$O1571),3),"")</f>
        <v/>
      </c>
      <c r="BD1552" s="42" t="str">
        <f t="array" aca="1" ref="BD1552" ca="1">IFERROR(INDEX(nombres[],SMALL(IF(OFFSET(nombres[],0,0,ROWS(nombres[]),1)=BD$1490,ROW(OFFSET(nombres[],0,0,ROWS(nombres[]),1))-ROW(OFFSET(nombres[],0,0,1,1))+1,ROW(OFFSET(nombres[],ROWS(nombres[])-1,0,1,1))+1),$O1552:$O1571),3),"")</f>
        <v/>
      </c>
      <c r="BE1552" s="42" t="str">
        <f t="array" aca="1" ref="BE1552" ca="1">IFERROR(INDEX(nombres[],SMALL(IF(OFFSET(nombres[],0,0,ROWS(nombres[]),1)=BE$1490,ROW(OFFSET(nombres[],0,0,ROWS(nombres[]),1))-ROW(OFFSET(nombres[],0,0,1,1))+1,ROW(OFFSET(nombres[],ROWS(nombres[])-1,0,1,1))+1),$O1552:$O1571),3),"")</f>
        <v/>
      </c>
      <c r="BF1552" s="42" t="str">
        <f t="array" aca="1" ref="BF1552" ca="1">IFERROR(INDEX(nombres[],SMALL(IF(OFFSET(nombres[],0,0,ROWS(nombres[]),1)=BF$1490,ROW(OFFSET(nombres[],0,0,ROWS(nombres[]),1))-ROW(OFFSET(nombres[],0,0,1,1))+1,ROW(OFFSET(nombres[],ROWS(nombres[])-1,0,1,1))+1),$O1552:$O1571),3),"")</f>
        <v/>
      </c>
      <c r="BG1552" s="42" t="str">
        <f t="array" aca="1" ref="BG1552" ca="1">IFERROR(INDEX(nombres[],SMALL(IF(OFFSET(nombres[],0,0,ROWS(nombres[]),1)=BG$1490,ROW(OFFSET(nombres[],0,0,ROWS(nombres[]),1))-ROW(OFFSET(nombres[],0,0,1,1))+1,ROW(OFFSET(nombres[],ROWS(nombres[])-1,0,1,1))+1),$O1552:$O1571),3),"")</f>
        <v/>
      </c>
      <c r="BH1552" s="42" t="str">
        <f t="array" aca="1" ref="BH1552" ca="1">IFERROR(INDEX(nombres[],SMALL(IF(OFFSET(nombres[],0,0,ROWS(nombres[]),1)=BH$1490,ROW(OFFSET(nombres[],0,0,ROWS(nombres[]),1))-ROW(OFFSET(nombres[],0,0,1,1))+1,ROW(OFFSET(nombres[],ROWS(nombres[])-1,0,1,1))+1),$O1552:$O1571),3),"")</f>
        <v/>
      </c>
      <c r="BI1552" s="42" t="str">
        <f t="array" aca="1" ref="BI1552" ca="1">IFERROR(INDEX(nombres[],SMALL(IF(OFFSET(nombres[],0,0,ROWS(nombres[]),1)=BI$1490,ROW(OFFSET(nombres[],0,0,ROWS(nombres[]),1))-ROW(OFFSET(nombres[],0,0,1,1))+1,ROW(OFFSET(nombres[],ROWS(nombres[])-1,0,1,1))+1),$O1552:$O1571),3),"")</f>
        <v/>
      </c>
      <c r="BJ1552" s="42" t="str">
        <f t="array" aca="1" ref="BJ1552" ca="1">IFERROR(INDEX(nombres[],SMALL(IF(OFFSET(nombres[],0,0,ROWS(nombres[]),1)=BJ$1490,ROW(OFFSET(nombres[],0,0,ROWS(nombres[]),1))-ROW(OFFSET(nombres[],0,0,1,1))+1,ROW(OFFSET(nombres[],ROWS(nombres[])-1,0,1,1))+1),$O1552:$O1571),3),"")</f>
        <v/>
      </c>
      <c r="BK1552" s="42" t="str">
        <f t="array" aca="1" ref="BK1552" ca="1">IFERROR(INDEX(nombres[],SMALL(IF(OFFSET(nombres[],0,0,ROWS(nombres[]),1)=BK$1490,ROW(OFFSET(nombres[],0,0,ROWS(nombres[]),1))-ROW(OFFSET(nombres[],0,0,1,1))+1,ROW(OFFSET(nombres[],ROWS(nombres[])-1,0,1,1))+1),$O1552:$O1571),3),"")</f>
        <v/>
      </c>
      <c r="BL1552" s="42" t="str">
        <f t="array" aca="1" ref="BL1552" ca="1">IFERROR(INDEX(nombres[],SMALL(IF(OFFSET(nombres[],0,0,ROWS(nombres[]),1)=BL$1490,ROW(OFFSET(nombres[],0,0,ROWS(nombres[]),1))-ROW(OFFSET(nombres[],0,0,1,1))+1,ROW(OFFSET(nombres[],ROWS(nombres[])-1,0,1,1))+1),$O1552:$O1571),3),"")</f>
        <v/>
      </c>
      <c r="BM1552" s="42" t="str">
        <f t="array" aca="1" ref="BM1552" ca="1">IFERROR(INDEX(nombres[],SMALL(IF(OFFSET(nombres[],0,0,ROWS(nombres[]),1)=BM$1490,ROW(OFFSET(nombres[],0,0,ROWS(nombres[]),1))-ROW(OFFSET(nombres[],0,0,1,1))+1,ROW(OFFSET(nombres[],ROWS(nombres[])-1,0,1,1))+1),$O1552:$O1571),3),"")</f>
        <v/>
      </c>
      <c r="BN1552" s="42" t="str">
        <f t="array" aca="1" ref="BN1552" ca="1">IFERROR(INDEX(nombres[],SMALL(IF(OFFSET(nombres[],0,0,ROWS(nombres[]),1)=BN$1490,ROW(OFFSET(nombres[],0,0,ROWS(nombres[]),1))-ROW(OFFSET(nombres[],0,0,1,1))+1,ROW(OFFSET(nombres[],ROWS(nombres[])-1,0,1,1))+1),$O1552:$O1571),3),"")</f>
        <v/>
      </c>
      <c r="BO1552" s="42" t="str">
        <f t="array" aca="1" ref="BO1552" ca="1">IFERROR(INDEX(nombres[],SMALL(IF(OFFSET(nombres[],0,0,ROWS(nombres[]),1)=BO$1490,ROW(OFFSET(nombres[],0,0,ROWS(nombres[]),1))-ROW(OFFSET(nombres[],0,0,1,1))+1,ROW(OFFSET(nombres[],ROWS(nombres[])-1,0,1,1))+1),$O1552:$O1571),3),"")</f>
        <v/>
      </c>
      <c r="BP1552" s="42" t="str">
        <f t="array" aca="1" ref="BP1552" ca="1">IFERROR(INDEX(nombres[],SMALL(IF(OFFSET(nombres[],0,0,ROWS(nombres[]),1)=BP$1490,ROW(OFFSET(nombres[],0,0,ROWS(nombres[]),1))-ROW(OFFSET(nombres[],0,0,1,1))+1,ROW(OFFSET(nombres[],ROWS(nombres[])-1,0,1,1))+1),$O1552:$O1571),3),"")</f>
        <v/>
      </c>
      <c r="BQ1552" s="42" t="str">
        <f t="array" aca="1" ref="BQ1552" ca="1">IFERROR(INDEX(nombres[],SMALL(IF(OFFSET(nombres[],0,0,ROWS(nombres[]),1)=BQ$1490,ROW(OFFSET(nombres[],0,0,ROWS(nombres[]),1))-ROW(OFFSET(nombres[],0,0,1,1))+1,ROW(OFFSET(nombres[],ROWS(nombres[])-1,0,1,1))+1),$O1552:$O1571),3),"")</f>
        <v/>
      </c>
      <c r="BR1552" s="42" t="str">
        <f t="array" aca="1" ref="BR1552" ca="1">IFERROR(INDEX(nombres[],SMALL(IF(OFFSET(nombres[],0,0,ROWS(nombres[]),1)=BR$1490,ROW(OFFSET(nombres[],0,0,ROWS(nombres[]),1))-ROW(OFFSET(nombres[],0,0,1,1))+1,ROW(OFFSET(nombres[],ROWS(nombres[])-1,0,1,1))+1),$O1552:$O1571),3),"")</f>
        <v/>
      </c>
      <c r="BS1552" s="42" t="str">
        <f t="array" aca="1" ref="BS1552" ca="1">IFERROR(INDEX(nombres[],SMALL(IF(OFFSET(nombres[],0,0,ROWS(nombres[]),1)=BS$1490,ROW(OFFSET(nombres[],0,0,ROWS(nombres[]),1))-ROW(OFFSET(nombres[],0,0,1,1))+1,ROW(OFFSET(nombres[],ROWS(nombres[])-1,0,1,1))+1),$O1552:$O1571),3),"")</f>
        <v/>
      </c>
      <c r="BT1552" s="42" t="str">
        <f t="array" aca="1" ref="BT1552" ca="1">IFERROR(INDEX(nombres[],SMALL(IF(OFFSET(nombres[],0,0,ROWS(nombres[]),1)=BT$1490,ROW(OFFSET(nombres[],0,0,ROWS(nombres[]),1))-ROW(OFFSET(nombres[],0,0,1,1))+1,ROW(OFFSET(nombres[],ROWS(nombres[])-1,0,1,1))+1),$O1552:$O1571),3),"")</f>
        <v/>
      </c>
      <c r="BU1552" s="42" t="str">
        <f t="array" aca="1" ref="BU1552" ca="1">IFERROR(INDEX(nombres[],SMALL(IF(OFFSET(nombres[],0,0,ROWS(nombres[]),1)=BU$1490,ROW(OFFSET(nombres[],0,0,ROWS(nombres[]),1))-ROW(OFFSET(nombres[],0,0,1,1))+1,ROW(OFFSET(nombres[],ROWS(nombres[])-1,0,1,1))+1),$O1552:$O1571),3),"")</f>
        <v/>
      </c>
      <c r="BV1552" s="42" t="str">
        <f t="array" aca="1" ref="BV1552" ca="1">IFERROR(INDEX(nombres[],SMALL(IF(OFFSET(nombres[],0,0,ROWS(nombres[]),1)=BV$1490,ROW(OFFSET(nombres[],0,0,ROWS(nombres[]),1))-ROW(OFFSET(nombres[],0,0,1,1))+1,ROW(OFFSET(nombres[],ROWS(nombres[])-1,0,1,1))+1),$O1552:$O1571),3),"")</f>
        <v/>
      </c>
      <c r="BW1552" s="42" t="str">
        <f t="array" aca="1" ref="BW1552" ca="1">IFERROR(INDEX(nombres[],SMALL(IF(OFFSET(nombres[],0,0,ROWS(nombres[]),1)=BW$1490,ROW(OFFSET(nombres[],0,0,ROWS(nombres[]),1))-ROW(OFFSET(nombres[],0,0,1,1))+1,ROW(OFFSET(nombres[],ROWS(nombres[])-1,0,1,1))+1),$O1552:$O1571),3),"")</f>
        <v/>
      </c>
      <c r="BX1552" s="42" t="str">
        <f t="array" aca="1" ref="BX1552" ca="1">IFERROR(INDEX(nombres[],SMALL(IF(OFFSET(nombres[],0,0,ROWS(nombres[]),1)=BX$1490,ROW(OFFSET(nombres[],0,0,ROWS(nombres[]),1))-ROW(OFFSET(nombres[],0,0,1,1))+1,ROW(OFFSET(nombres[],ROWS(nombres[])-1,0,1,1))+1),$O1552:$O1571),3),"")</f>
        <v/>
      </c>
      <c r="BY1552" s="42" t="str">
        <f t="array" aca="1" ref="BY1552" ca="1">IFERROR(INDEX(nombres[],SMALL(IF(OFFSET(nombres[],0,0,ROWS(nombres[]),1)=BY$1490,ROW(OFFSET(nombres[],0,0,ROWS(nombres[]),1))-ROW(OFFSET(nombres[],0,0,1,1))+1,ROW(OFFSET(nombres[],ROWS(nombres[])-1,0,1,1))+1),$O1552:$O1571),3),"")</f>
        <v/>
      </c>
      <c r="BZ1552" s="42" t="str">
        <f t="array" aca="1" ref="BZ1552" ca="1">IFERROR(INDEX(nombres[],SMALL(IF(OFFSET(nombres[],0,0,ROWS(nombres[]),1)=BZ$1490,ROW(OFFSET(nombres[],0,0,ROWS(nombres[]),1))-ROW(OFFSET(nombres[],0,0,1,1))+1,ROW(OFFSET(nombres[],ROWS(nombres[])-1,0,1,1))+1),$O1552:$O1571),3),"")</f>
        <v/>
      </c>
      <c r="CA1552" s="42" t="str">
        <f t="array" aca="1" ref="CA1552" ca="1">IFERROR(INDEX(nombres[],SMALL(IF(OFFSET(nombres[],0,0,ROWS(nombres[]),1)=CA$1490,ROW(OFFSET(nombres[],0,0,ROWS(nombres[]),1))-ROW(OFFSET(nombres[],0,0,1,1))+1,ROW(OFFSET(nombres[],ROWS(nombres[])-1,0,1,1))+1),$O1552:$O1571),3),"")</f>
        <v/>
      </c>
      <c r="CB1552" s="42" t="str">
        <f t="array" aca="1" ref="CB1552" ca="1">IFERROR(INDEX(nombres[],SMALL(IF(OFFSET(nombres[],0,0,ROWS(nombres[]),1)=CB$1490,ROW(OFFSET(nombres[],0,0,ROWS(nombres[]),1))-ROW(OFFSET(nombres[],0,0,1,1))+1,ROW(OFFSET(nombres[],ROWS(nombres[])-1,0,1,1))+1),$O1552:$O1571),3),"")</f>
        <v/>
      </c>
      <c r="CC1552" s="42" t="str">
        <f t="array" aca="1" ref="CC1552" ca="1">IFERROR(INDEX(nombres[],SMALL(IF(OFFSET(nombres[],0,0,ROWS(nombres[]),1)=CC$1490,ROW(OFFSET(nombres[],0,0,ROWS(nombres[]),1))-ROW(OFFSET(nombres[],0,0,1,1))+1,ROW(OFFSET(nombres[],ROWS(nombres[])-1,0,1,1))+1),$O1552:$O1571),3),"")</f>
        <v/>
      </c>
      <c r="CD1552" s="42" t="str">
        <f t="array" aca="1" ref="CD1552" ca="1">IFERROR(INDEX(nombres[],SMALL(IF(OFFSET(nombres[],0,0,ROWS(nombres[]),1)=CD$1490,ROW(OFFSET(nombres[],0,0,ROWS(nombres[]),1))-ROW(OFFSET(nombres[],0,0,1,1))+1,ROW(OFFSET(nombres[],ROWS(nombres[])-1,0,1,1))+1),$O1552:$O1571),3),"")</f>
        <v/>
      </c>
      <c r="CE1552" s="42" t="str">
        <f t="array" aca="1" ref="CE1552" ca="1">IFERROR(INDEX(nombres[],SMALL(IF(OFFSET(nombres[],0,0,ROWS(nombres[]),1)=CE$1490,ROW(OFFSET(nombres[],0,0,ROWS(nombres[]),1))-ROW(OFFSET(nombres[],0,0,1,1))+1,ROW(OFFSET(nombres[],ROWS(nombres[])-1,0,1,1))+1),$O1552:$O1571),3),"")</f>
        <v/>
      </c>
      <c r="CF1552" s="42" t="str">
        <f t="array" aca="1" ref="CF1552" ca="1">IFERROR(INDEX(nombres[],SMALL(IF(OFFSET(nombres[],0,0,ROWS(nombres[]),1)=CF$1490,ROW(OFFSET(nombres[],0,0,ROWS(nombres[]),1))-ROW(OFFSET(nombres[],0,0,1,1))+1,ROW(OFFSET(nombres[],ROWS(nombres[])-1,0,1,1))+1),$O1552:$O1571),3),"")</f>
        <v/>
      </c>
      <c r="CG1552" s="42" t="str">
        <f t="array" aca="1" ref="CG1552" ca="1">IFERROR(INDEX(nombres[],SMALL(IF(OFFSET(nombres[],0,0,ROWS(nombres[]),1)=CG$1490,ROW(OFFSET(nombres[],0,0,ROWS(nombres[]),1))-ROW(OFFSET(nombres[],0,0,1,1))+1,ROW(OFFSET(nombres[],ROWS(nombres[])-1,0,1,1))+1),$O1552:$O1571),3),"")</f>
        <v/>
      </c>
      <c r="CH1552" s="42" t="str">
        <f t="array" aca="1" ref="CH1552" ca="1">IFERROR(INDEX(nombres[],SMALL(IF(OFFSET(nombres[],0,0,ROWS(nombres[]),1)=CH$1490,ROW(OFFSET(nombres[],0,0,ROWS(nombres[]),1))-ROW(OFFSET(nombres[],0,0,1,1))+1,ROW(OFFSET(nombres[],ROWS(nombres[])-1,0,1,1))+1),$O1552:$O1571),3),"")</f>
        <v/>
      </c>
      <c r="CI1552" s="42" t="str">
        <f t="array" aca="1" ref="CI1552" ca="1">IFERROR(INDEX(nombres[],SMALL(IF(OFFSET(nombres[],0,0,ROWS(nombres[]),1)=CI$1490,ROW(OFFSET(nombres[],0,0,ROWS(nombres[]),1))-ROW(OFFSET(nombres[],0,0,1,1))+1,ROW(OFFSET(nombres[],ROWS(nombres[])-1,0,1,1))+1),$O1552:$O1571),3),"")</f>
        <v/>
      </c>
      <c r="CJ1552" s="42" t="str">
        <f t="array" aca="1" ref="CJ1552" ca="1">IFERROR(INDEX(nombres[],SMALL(IF(OFFSET(nombres[],0,0,ROWS(nombres[]),1)=CJ$1490,ROW(OFFSET(nombres[],0,0,ROWS(nombres[]),1))-ROW(OFFSET(nombres[],0,0,1,1))+1,ROW(OFFSET(nombres[],ROWS(nombres[])-1,0,1,1))+1),$O1552:$O1571),3),"")</f>
        <v/>
      </c>
      <c r="CK1552" s="42" t="str">
        <f t="array" aca="1" ref="CK1552" ca="1">IFERROR(INDEX(nombres[],SMALL(IF(OFFSET(nombres[],0,0,ROWS(nombres[]),1)=CK$1490,ROW(OFFSET(nombres[],0,0,ROWS(nombres[]),1))-ROW(OFFSET(nombres[],0,0,1,1))+1,ROW(OFFSET(nombres[],ROWS(nombres[])-1,0,1,1))+1),$O1552:$O1571),3),"")</f>
        <v/>
      </c>
      <c r="CL1552" s="42" t="str">
        <f t="array" aca="1" ref="CL1552" ca="1">IFERROR(INDEX(nombres[],SMALL(IF(OFFSET(nombres[],0,0,ROWS(nombres[]),1)=CL$1490,ROW(OFFSET(nombres[],0,0,ROWS(nombres[]),1))-ROW(OFFSET(nombres[],0,0,1,1))+1,ROW(OFFSET(nombres[],ROWS(nombres[])-1,0,1,1))+1),$O1552:$O1571),3),"")</f>
        <v/>
      </c>
      <c r="CM1552" s="42" t="str">
        <f t="array" aca="1" ref="CM1552" ca="1">IFERROR(INDEX(nombres[],SMALL(IF(OFFSET(nombres[],0,0,ROWS(nombres[]),1)=CM$1490,ROW(OFFSET(nombres[],0,0,ROWS(nombres[]),1))-ROW(OFFSET(nombres[],0,0,1,1))+1,ROW(OFFSET(nombres[],ROWS(nombres[])-1,0,1,1))+1),$O1552:$O1571),3),"")</f>
        <v/>
      </c>
      <c r="CN1552" s="42" t="str">
        <f t="array" aca="1" ref="CN1552" ca="1">IFERROR(INDEX(nombres[],SMALL(IF(OFFSET(nombres[],0,0,ROWS(nombres[]),1)=CN$1490,ROW(OFFSET(nombres[],0,0,ROWS(nombres[]),1))-ROW(OFFSET(nombres[],0,0,1,1))+1,ROW(OFFSET(nombres[],ROWS(nombres[])-1,0,1,1))+1),$O1552:$O1571),3),"")</f>
        <v/>
      </c>
      <c r="CO1552" s="42" t="str">
        <f t="array" aca="1" ref="CO1552" ca="1">IFERROR(INDEX(nombres[],SMALL(IF(OFFSET(nombres[],0,0,ROWS(nombres[]),1)=CO$1490,ROW(OFFSET(nombres[],0,0,ROWS(nombres[]),1))-ROW(OFFSET(nombres[],0,0,1,1))+1,ROW(OFFSET(nombres[],ROWS(nombres[])-1,0,1,1))+1),$O1552:$O1571),3),"")</f>
        <v/>
      </c>
      <c r="CP1552" s="42" t="str">
        <f t="array" aca="1" ref="CP1552" ca="1">IFERROR(INDEX(nombres[],SMALL(IF(OFFSET(nombres[],0,0,ROWS(nombres[]),1)=CP$1490,ROW(OFFSET(nombres[],0,0,ROWS(nombres[]),1))-ROW(OFFSET(nombres[],0,0,1,1))+1,ROW(OFFSET(nombres[],ROWS(nombres[])-1,0,1,1))+1),$O1552:$O1571),3),"")</f>
        <v/>
      </c>
      <c r="CQ1552" s="42" t="str">
        <f t="array" aca="1" ref="CQ1552" ca="1">IFERROR(INDEX(nombres[],SMALL(IF(OFFSET(nombres[],0,0,ROWS(nombres[]),1)=CQ$1490,ROW(OFFSET(nombres[],0,0,ROWS(nombres[]),1))-ROW(OFFSET(nombres[],0,0,1,1))+1,ROW(OFFSET(nombres[],ROWS(nombres[])-1,0,1,1))+1),$O1552:$O1571),3),"")</f>
        <v/>
      </c>
      <c r="CR1552" s="42" t="str">
        <f t="array" aca="1" ref="CR1552" ca="1">IFERROR(INDEX(nombres[],SMALL(IF(OFFSET(nombres[],0,0,ROWS(nombres[]),1)=CR$1490,ROW(OFFSET(nombres[],0,0,ROWS(nombres[]),1))-ROW(OFFSET(nombres[],0,0,1,1))+1,ROW(OFFSET(nombres[],ROWS(nombres[])-1,0,1,1))+1),$O1552:$O1571),3),"")</f>
        <v/>
      </c>
      <c r="CS1552" s="42" t="str">
        <f t="array" aca="1" ref="CS1552" ca="1">IFERROR(INDEX(nombres[],SMALL(IF(OFFSET(nombres[],0,0,ROWS(nombres[]),1)=CS$1490,ROW(OFFSET(nombres[],0,0,ROWS(nombres[]),1))-ROW(OFFSET(nombres[],0,0,1,1))+1,ROW(OFFSET(nombres[],ROWS(nombres[])-1,0,1,1))+1),$O1552:$O1571),3),"")</f>
        <v/>
      </c>
      <c r="CT1552" s="42" t="str">
        <f t="array" aca="1" ref="CT1552" ca="1">IFERROR(INDEX(nombres[],SMALL(IF(OFFSET(nombres[],0,0,ROWS(nombres[]),1)=CT$1490,ROW(OFFSET(nombres[],0,0,ROWS(nombres[]),1))-ROW(OFFSET(nombres[],0,0,1,1))+1,ROW(OFFSET(nombres[],ROWS(nombres[])-1,0,1,1))+1),$O1552:$O1571),3),"")</f>
        <v/>
      </c>
      <c r="CU1552" s="42" t="str">
        <f t="array" aca="1" ref="CU1552" ca="1">IFERROR(INDEX(nombres[],SMALL(IF(OFFSET(nombres[],0,0,ROWS(nombres[]),1)=CU$1490,ROW(OFFSET(nombres[],0,0,ROWS(nombres[]),1))-ROW(OFFSET(nombres[],0,0,1,1))+1,ROW(OFFSET(nombres[],ROWS(nombres[])-1,0,1,1))+1),$O1552:$O1571),3),"")</f>
        <v/>
      </c>
      <c r="CV1552" s="42" t="str">
        <f t="array" aca="1" ref="CV1552" ca="1">IFERROR(INDEX(nombres[],SMALL(IF(OFFSET(nombres[],0,0,ROWS(nombres[]),1)=CV$1490,ROW(OFFSET(nombres[],0,0,ROWS(nombres[]),1))-ROW(OFFSET(nombres[],0,0,1,1))+1,ROW(OFFSET(nombres[],ROWS(nombres[])-1,0,1,1))+1),$O1552:$O1571),3),"")</f>
        <v/>
      </c>
      <c r="CW1552" s="42" t="str">
        <f t="array" aca="1" ref="CW1552" ca="1">IFERROR(INDEX(nombres[],SMALL(IF(OFFSET(nombres[],0,0,ROWS(nombres[]),1)=CW$1490,ROW(OFFSET(nombres[],0,0,ROWS(nombres[]),1))-ROW(OFFSET(nombres[],0,0,1,1))+1,ROW(OFFSET(nombres[],ROWS(nombres[])-1,0,1,1))+1),$O1552:$O1571),3),"")</f>
        <v/>
      </c>
      <c r="CX1552" s="42" t="str">
        <f t="array" aca="1" ref="CX1552" ca="1">IFERROR(INDEX(nombres[],SMALL(IF(OFFSET(nombres[],0,0,ROWS(nombres[]),1)=CX$1490,ROW(OFFSET(nombres[],0,0,ROWS(nombres[]),1))-ROW(OFFSET(nombres[],0,0,1,1))+1,ROW(OFFSET(nombres[],ROWS(nombres[])-1,0,1,1))+1),$O1552:$O1571),3),"")</f>
        <v/>
      </c>
      <c r="CY1552" s="42" t="str">
        <f t="array" aca="1" ref="CY1552" ca="1">IFERROR(INDEX(nombres[],SMALL(IF(OFFSET(nombres[],0,0,ROWS(nombres[]),1)=CY$1490,ROW(OFFSET(nombres[],0,0,ROWS(nombres[]),1))-ROW(OFFSET(nombres[],0,0,1,1))+1,ROW(OFFSET(nombres[],ROWS(nombres[])-1,0,1,1))+1),$O1552:$O1571),3),"")</f>
        <v/>
      </c>
      <c r="CZ1552" s="42" t="str">
        <f t="array" aca="1" ref="CZ1552" ca="1">IFERROR(INDEX(nombres[],SMALL(IF(OFFSET(nombres[],0,0,ROWS(nombres[]),1)=CZ$1490,ROW(OFFSET(nombres[],0,0,ROWS(nombres[]),1))-ROW(OFFSET(nombres[],0,0,1,1))+1,ROW(OFFSET(nombres[],ROWS(nombres[])-1,0,1,1))+1),$O1552:$O1571),3),"")</f>
        <v/>
      </c>
      <c r="DA1552" s="42" t="str">
        <f t="array" aca="1" ref="DA1552" ca="1">IFERROR(INDEX(nombres[],SMALL(IF(OFFSET(nombres[],0,0,ROWS(nombres[]),1)=DA$1490,ROW(OFFSET(nombres[],0,0,ROWS(nombres[]),1))-ROW(OFFSET(nombres[],0,0,1,1))+1,ROW(OFFSET(nombres[],ROWS(nombres[])-1,0,1,1))+1),$O1552:$O1571),3),"")</f>
        <v/>
      </c>
      <c r="DB1552" s="42" t="str">
        <f t="array" aca="1" ref="DB1552" ca="1">IFERROR(INDEX(nombres[],SMALL(IF(OFFSET(nombres[],0,0,ROWS(nombres[]),1)=DB$1490,ROW(OFFSET(nombres[],0,0,ROWS(nombres[]),1))-ROW(OFFSET(nombres[],0,0,1,1))+1,ROW(OFFSET(nombres[],ROWS(nombres[])-1,0,1,1))+1),$O1552:$O1571),3),"")</f>
        <v/>
      </c>
      <c r="DC1552" s="42" t="str">
        <f t="array" aca="1" ref="DC1552" ca="1">IFERROR(INDEX(nombres[],SMALL(IF(OFFSET(nombres[],0,0,ROWS(nombres[]),1)=DC$1490,ROW(OFFSET(nombres[],0,0,ROWS(nombres[]),1))-ROW(OFFSET(nombres[],0,0,1,1))+1,ROW(OFFSET(nombres[],ROWS(nombres[])-1,0,1,1))+1),$O1552:$O1571),3),"")</f>
        <v/>
      </c>
      <c r="DD1552" s="42" t="str">
        <f t="array" aca="1" ref="DD1552" ca="1">IFERROR(INDEX(nombres[],SMALL(IF(OFFSET(nombres[],0,0,ROWS(nombres[]),1)=DD$1490,ROW(OFFSET(nombres[],0,0,ROWS(nombres[]),1))-ROW(OFFSET(nombres[],0,0,1,1))+1,ROW(OFFSET(nombres[],ROWS(nombres[])-1,0,1,1))+1),$O1552:$O1571),3),"")</f>
        <v/>
      </c>
      <c r="DE1552" s="42" t="str">
        <f t="array" aca="1" ref="DE1552" ca="1">IFERROR(INDEX(nombres[],SMALL(IF(OFFSET(nombres[],0,0,ROWS(nombres[]),1)=DE$1490,ROW(OFFSET(nombres[],0,0,ROWS(nombres[]),1))-ROW(OFFSET(nombres[],0,0,1,1))+1,ROW(OFFSET(nombres[],ROWS(nombres[])-1,0,1,1))+1),$O1552:$O1571),3),"")</f>
        <v/>
      </c>
      <c r="DF1552" s="42" t="str">
        <f t="array" aca="1" ref="DF1552" ca="1">IFERROR(INDEX(nombres[],SMALL(IF(OFFSET(nombres[],0,0,ROWS(nombres[]),1)=DF$1490,ROW(OFFSET(nombres[],0,0,ROWS(nombres[]),1))-ROW(OFFSET(nombres[],0,0,1,1))+1,ROW(OFFSET(nombres[],ROWS(nombres[])-1,0,1,1))+1),$O1552:$O1571),3),"")</f>
        <v/>
      </c>
      <c r="DG1552" s="42" t="str">
        <f t="array" aca="1" ref="DG1552" ca="1">IFERROR(INDEX(nombres[],SMALL(IF(OFFSET(nombres[],0,0,ROWS(nombres[]),1)=DG$1490,ROW(OFFSET(nombres[],0,0,ROWS(nombres[]),1))-ROW(OFFSET(nombres[],0,0,1,1))+1,ROW(OFFSET(nombres[],ROWS(nombres[])-1,0,1,1))+1),$O1552:$O1571),3),"")</f>
        <v/>
      </c>
      <c r="DH1552" s="42" t="str">
        <f t="array" aca="1" ref="DH1552" ca="1">IFERROR(INDEX(nombres[],SMALL(IF(OFFSET(nombres[],0,0,ROWS(nombres[]),1)=DH$1490,ROW(OFFSET(nombres[],0,0,ROWS(nombres[]),1))-ROW(OFFSET(nombres[],0,0,1,1))+1,ROW(OFFSET(nombres[],ROWS(nombres[])-1,0,1,1))+1),$O1552:$O1571),3),"")</f>
        <v/>
      </c>
      <c r="DI1552" s="42" t="str">
        <f t="array" aca="1" ref="DI1552" ca="1">IFERROR(INDEX(nombres[],SMALL(IF(OFFSET(nombres[],0,0,ROWS(nombres[]),1)=DI$1490,ROW(OFFSET(nombres[],0,0,ROWS(nombres[]),1))-ROW(OFFSET(nombres[],0,0,1,1))+1,ROW(OFFSET(nombres[],ROWS(nombres[])-1,0,1,1))+1),$O1552:$O1571),3),"")</f>
        <v/>
      </c>
      <c r="DJ1552" s="42" t="str">
        <f t="array" aca="1" ref="DJ1552" ca="1">IFERROR(INDEX(nombres[],SMALL(IF(OFFSET(nombres[],0,0,ROWS(nombres[]),1)=DJ$1490,ROW(OFFSET(nombres[],0,0,ROWS(nombres[]),1))-ROW(OFFSET(nombres[],0,0,1,1))+1,ROW(OFFSET(nombres[],ROWS(nombres[])-1,0,1,1))+1),$O1552:$O1571),3),"")</f>
        <v/>
      </c>
      <c r="DK1552" s="42" t="str">
        <f t="array" aca="1" ref="DK1552" ca="1">IFERROR(INDEX(nombres[],SMALL(IF(OFFSET(nombres[],0,0,ROWS(nombres[]),1)=DK$1490,ROW(OFFSET(nombres[],0,0,ROWS(nombres[]),1))-ROW(OFFSET(nombres[],0,0,1,1))+1,ROW(OFFSET(nombres[],ROWS(nombres[])-1,0,1,1))+1),$O1552:$O1571),3),"")</f>
        <v/>
      </c>
      <c r="DL1552" s="42" t="str">
        <f t="array" aca="1" ref="DL1552" ca="1">IFERROR(INDEX(nombres[],SMALL(IF(OFFSET(nombres[],0,0,ROWS(nombres[]),1)=DL$1490,ROW(OFFSET(nombres[],0,0,ROWS(nombres[]),1))-ROW(OFFSET(nombres[],0,0,1,1))+1,ROW(OFFSET(nombres[],ROWS(nombres[])-1,0,1,1))+1),$O1552:$O1571),3),"")</f>
        <v/>
      </c>
      <c r="DM1552" s="42" t="str">
        <f t="array" aca="1" ref="DM1552" ca="1">IFERROR(INDEX(nombres[],SMALL(IF(OFFSET(nombres[],0,0,ROWS(nombres[]),1)=DM$1490,ROW(OFFSET(nombres[],0,0,ROWS(nombres[]),1))-ROW(OFFSET(nombres[],0,0,1,1))+1,ROW(OFFSET(nombres[],ROWS(nombres[])-1,0,1,1))+1),$O1552:$O1571),3),"")</f>
        <v/>
      </c>
      <c r="DN1552" s="42" t="str">
        <f t="array" aca="1" ref="DN1552" ca="1">IFERROR(INDEX(nombres[],SMALL(IF(OFFSET(nombres[],0,0,ROWS(nombres[]),1)=DN$1490,ROW(OFFSET(nombres[],0,0,ROWS(nombres[]),1))-ROW(OFFSET(nombres[],0,0,1,1))+1,ROW(OFFSET(nombres[],ROWS(nombres[])-1,0,1,1))+1),$O1552:$O1571),3),"")</f>
        <v/>
      </c>
      <c r="DO1552" s="42" t="str">
        <f t="array" aca="1" ref="DO1552" ca="1">IFERROR(INDEX(nombres[],SMALL(IF(OFFSET(nombres[],0,0,ROWS(nombres[]),1)=DO$1490,ROW(OFFSET(nombres[],0,0,ROWS(nombres[]),1))-ROW(OFFSET(nombres[],0,0,1,1))+1,ROW(OFFSET(nombres[],ROWS(nombres[])-1,0,1,1))+1),$O1552:$O1571),3),"")</f>
        <v/>
      </c>
      <c r="DP1552" s="42" t="str">
        <f t="array" aca="1" ref="DP1552" ca="1">IFERROR(INDEX(nombres[],SMALL(IF(OFFSET(nombres[],0,0,ROWS(nombres[]),1)=DP$1490,ROW(OFFSET(nombres[],0,0,ROWS(nombres[]),1))-ROW(OFFSET(nombres[],0,0,1,1))+1,ROW(OFFSET(nombres[],ROWS(nombres[])-1,0,1,1))+1),$O1552:$O1571),3),"")</f>
        <v/>
      </c>
      <c r="DQ1552" s="42" t="str">
        <f t="array" aca="1" ref="DQ1552" ca="1">IFERROR(INDEX(nombres[],SMALL(IF(OFFSET(nombres[],0,0,ROWS(nombres[]),1)=DQ$1490,ROW(OFFSET(nombres[],0,0,ROWS(nombres[]),1))-ROW(OFFSET(nombres[],0,0,1,1))+1,ROW(OFFSET(nombres[],ROWS(nombres[])-1,0,1,1))+1),$O1552:$O1571),3),"")</f>
        <v/>
      </c>
      <c r="DR1552" s="42" t="str">
        <f t="array" aca="1" ref="DR1552" ca="1">IFERROR(INDEX(nombres[],SMALL(IF(OFFSET(nombres[],0,0,ROWS(nombres[]),1)=DR$1490,ROW(OFFSET(nombres[],0,0,ROWS(nombres[]),1))-ROW(OFFSET(nombres[],0,0,1,1))+1,ROW(OFFSET(nombres[],ROWS(nombres[])-1,0,1,1))+1),$O1552:$O1571),3),"")</f>
        <v/>
      </c>
      <c r="DS1552" s="42" t="str">
        <f t="array" aca="1" ref="DS1552" ca="1">IFERROR(INDEX(nombres[],SMALL(IF(OFFSET(nombres[],0,0,ROWS(nombres[]),1)=DS$1490,ROW(OFFSET(nombres[],0,0,ROWS(nombres[]),1))-ROW(OFFSET(nombres[],0,0,1,1))+1,ROW(OFFSET(nombres[],ROWS(nombres[])-1,0,1,1))+1),$O1552:$O1571),3),"")</f>
        <v/>
      </c>
      <c r="DT1552" s="42" t="str">
        <f t="array" aca="1" ref="DT1552" ca="1">IFERROR(INDEX(nombres[],SMALL(IF(OFFSET(nombres[],0,0,ROWS(nombres[]),1)=DT$1490,ROW(OFFSET(nombres[],0,0,ROWS(nombres[]),1))-ROW(OFFSET(nombres[],0,0,1,1))+1,ROW(OFFSET(nombres[],ROWS(nombres[])-1,0,1,1))+1),$O1552:$O1571),3),"")</f>
        <v/>
      </c>
      <c r="DU1552" s="42" t="str">
        <f t="array" aca="1" ref="DU1552" ca="1">IFERROR(INDEX(nombres[],SMALL(IF(OFFSET(nombres[],0,0,ROWS(nombres[]),1)=DU$1490,ROW(OFFSET(nombres[],0,0,ROWS(nombres[]),1))-ROW(OFFSET(nombres[],0,0,1,1))+1,ROW(OFFSET(nombres[],ROWS(nombres[])-1,0,1,1))+1),$O1552:$O1571),3),"")</f>
        <v/>
      </c>
      <c r="DV1552" s="42" t="str">
        <f t="array" aca="1" ref="DV1552" ca="1">IFERROR(INDEX(nombres[],SMALL(IF(OFFSET(nombres[],0,0,ROWS(nombres[]),1)=DV$1490,ROW(OFFSET(nombres[],0,0,ROWS(nombres[]),1))-ROW(OFFSET(nombres[],0,0,1,1))+1,ROW(OFFSET(nombres[],ROWS(nombres[])-1,0,1,1))+1),$O1552:$O1571),3),"")</f>
        <v/>
      </c>
      <c r="DW1552" s="42" t="str">
        <f t="array" aca="1" ref="DW1552" ca="1">IFERROR(INDEX(nombres[],SMALL(IF(OFFSET(nombres[],0,0,ROWS(nombres[]),1)=DW$1490,ROW(OFFSET(nombres[],0,0,ROWS(nombres[]),1))-ROW(OFFSET(nombres[],0,0,1,1))+1,ROW(OFFSET(nombres[],ROWS(nombres[])-1,0,1,1))+1),$O1552:$O1571),3),"")</f>
        <v/>
      </c>
      <c r="DX1552" s="42" t="str">
        <f t="array" aca="1" ref="DX1552" ca="1">IFERROR(INDEX(nombres[],SMALL(IF(OFFSET(nombres[],0,0,ROWS(nombres[]),1)=DX$1490,ROW(OFFSET(nombres[],0,0,ROWS(nombres[]),1))-ROW(OFFSET(nombres[],0,0,1,1))+1,ROW(OFFSET(nombres[],ROWS(nombres[])-1,0,1,1))+1),$O1552:$O1571),3),"")</f>
        <v/>
      </c>
      <c r="DY1552" s="42" t="str">
        <f t="array" aca="1" ref="DY1552" ca="1">IFERROR(INDEX(nombres[],SMALL(IF(OFFSET(nombres[],0,0,ROWS(nombres[]),1)=DY$1490,ROW(OFFSET(nombres[],0,0,ROWS(nombres[]),1))-ROW(OFFSET(nombres[],0,0,1,1))+1,ROW(OFFSET(nombres[],ROWS(nombres[])-1,0,1,1))+1),$O1552:$O1571),3),"")</f>
        <v/>
      </c>
      <c r="DZ1552" s="42" t="str">
        <f t="array" aca="1" ref="DZ1552" ca="1">IFERROR(INDEX(nombres[],SMALL(IF(OFFSET(nombres[],0,0,ROWS(nombres[]),1)=DZ$1490,ROW(OFFSET(nombres[],0,0,ROWS(nombres[]),1))-ROW(OFFSET(nombres[],0,0,1,1))+1,ROW(OFFSET(nombres[],ROWS(nombres[])-1,0,1,1))+1),$O1552:$O1571),3),"")</f>
        <v/>
      </c>
      <c r="EA1552" s="42" t="str">
        <f t="array" aca="1" ref="EA1552" ca="1">IFERROR(INDEX(nombres[],SMALL(IF(OFFSET(nombres[],0,0,ROWS(nombres[]),1)=EA$1490,ROW(OFFSET(nombres[],0,0,ROWS(nombres[]),1))-ROW(OFFSET(nombres[],0,0,1,1))+1,ROW(OFFSET(nombres[],ROWS(nombres[])-1,0,1,1))+1),$O1552:$O1571),3),"")</f>
        <v/>
      </c>
      <c r="EB1552" s="42" t="str">
        <f t="array" aca="1" ref="EB1552" ca="1">IFERROR(INDEX(nombres[],SMALL(IF(OFFSET(nombres[],0,0,ROWS(nombres[]),1)=EB$1490,ROW(OFFSET(nombres[],0,0,ROWS(nombres[]),1))-ROW(OFFSET(nombres[],0,0,1,1))+1,ROW(OFFSET(nombres[],ROWS(nombres[])-1,0,1,1))+1),$O1552:$O1571),3),"")</f>
        <v/>
      </c>
      <c r="EC1552" s="42" t="str">
        <f t="array" aca="1" ref="EC1552" ca="1">IFERROR(INDEX(nombres[],SMALL(IF(OFFSET(nombres[],0,0,ROWS(nombres[]),1)=EC$1490,ROW(OFFSET(nombres[],0,0,ROWS(nombres[]),1))-ROW(OFFSET(nombres[],0,0,1,1))+1,ROW(OFFSET(nombres[],ROWS(nombres[])-1,0,1,1))+1),$O1552:$O1571),3),"")</f>
        <v/>
      </c>
      <c r="ED1552" s="42" t="str">
        <f t="array" aca="1" ref="ED1552" ca="1">IFERROR(INDEX(nombres[],SMALL(IF(OFFSET(nombres[],0,0,ROWS(nombres[]),1)=ED$1490,ROW(OFFSET(nombres[],0,0,ROWS(nombres[]),1))-ROW(OFFSET(nombres[],0,0,1,1))+1,ROW(OFFSET(nombres[],ROWS(nombres[])-1,0,1,1))+1),$O1552:$O1571),3),"")</f>
        <v/>
      </c>
      <c r="EE1552" s="42" t="str">
        <f t="array" aca="1" ref="EE1552" ca="1">IFERROR(INDEX(nombres[],SMALL(IF(OFFSET(nombres[],0,0,ROWS(nombres[]),1)=EE$1490,ROW(OFFSET(nombres[],0,0,ROWS(nombres[]),1))-ROW(OFFSET(nombres[],0,0,1,1))+1,ROW(OFFSET(nombres[],ROWS(nombres[])-1,0,1,1))+1),$O1552:$O1571),3),"")</f>
        <v/>
      </c>
      <c r="EF1552" s="42" t="str">
        <f t="array" aca="1" ref="EF1552" ca="1">IFERROR(INDEX(nombres[],SMALL(IF(OFFSET(nombres[],0,0,ROWS(nombres[]),1)=EF$1490,ROW(OFFSET(nombres[],0,0,ROWS(nombres[]),1))-ROW(OFFSET(nombres[],0,0,1,1))+1,ROW(OFFSET(nombres[],ROWS(nombres[])-1,0,1,1))+1),$O1552:$O1571),3),"")</f>
        <v/>
      </c>
      <c r="EG1552" s="42" t="str">
        <f t="array" aca="1" ref="EG1552" ca="1">IFERROR(INDEX(nombres[],SMALL(IF(OFFSET(nombres[],0,0,ROWS(nombres[]),1)=EG$1490,ROW(OFFSET(nombres[],0,0,ROWS(nombres[]),1))-ROW(OFFSET(nombres[],0,0,1,1))+1,ROW(OFFSET(nombres[],ROWS(nombres[])-1,0,1,1))+1),$O1552:$O1571),3),"")</f>
        <v/>
      </c>
      <c r="EH1552" s="42" t="str">
        <f t="array" aca="1" ref="EH1552" ca="1">IFERROR(INDEX(nombres[],SMALL(IF(OFFSET(nombres[],0,0,ROWS(nombres[]),1)=EH$1490,ROW(OFFSET(nombres[],0,0,ROWS(nombres[]),1))-ROW(OFFSET(nombres[],0,0,1,1))+1,ROW(OFFSET(nombres[],ROWS(nombres[])-1,0,1,1))+1),$O1552:$O1571),3),"")</f>
        <v/>
      </c>
      <c r="EI1552" s="42" t="str">
        <f t="array" aca="1" ref="EI1552" ca="1">IFERROR(INDEX(nombres[],SMALL(IF(OFFSET(nombres[],0,0,ROWS(nombres[]),1)=EI$1490,ROW(OFFSET(nombres[],0,0,ROWS(nombres[]),1))-ROW(OFFSET(nombres[],0,0,1,1))+1,ROW(OFFSET(nombres[],ROWS(nombres[])-1,0,1,1))+1),$O1552:$O1571),3),"")</f>
        <v/>
      </c>
      <c r="EJ1552" s="42" t="str">
        <f t="array" aca="1" ref="EJ1552" ca="1">IFERROR(INDEX(nombres[],SMALL(IF(OFFSET(nombres[],0,0,ROWS(nombres[]),1)=EJ$1490,ROW(OFFSET(nombres[],0,0,ROWS(nombres[]),1))-ROW(OFFSET(nombres[],0,0,1,1))+1,ROW(OFFSET(nombres[],ROWS(nombres[])-1,0,1,1))+1),$O1552:$O1571),3),"")</f>
        <v/>
      </c>
      <c r="EK1552" s="42" t="str">
        <f t="array" aca="1" ref="EK1552" ca="1">IFERROR(INDEX(nombres[],SMALL(IF(OFFSET(nombres[],0,0,ROWS(nombres[]),1)=EK$1490,ROW(OFFSET(nombres[],0,0,ROWS(nombres[]),1))-ROW(OFFSET(nombres[],0,0,1,1))+1,ROW(OFFSET(nombres[],ROWS(nombres[])-1,0,1,1))+1),$O1552:$O1571),3),"")</f>
        <v/>
      </c>
      <c r="EL1552" s="42" t="str">
        <f t="array" aca="1" ref="EL1552" ca="1">IFERROR(INDEX(nombres[],SMALL(IF(OFFSET(nombres[],0,0,ROWS(nombres[]),1)=EL$1490,ROW(OFFSET(nombres[],0,0,ROWS(nombres[]),1))-ROW(OFFSET(nombres[],0,0,1,1))+1,ROW(OFFSET(nombres[],ROWS(nombres[])-1,0,1,1))+1),$O1552:$O1571),3),"")</f>
        <v/>
      </c>
      <c r="EM1552" s="42" t="str">
        <f t="array" aca="1" ref="EM1552" ca="1">IFERROR(INDEX(nombres[],SMALL(IF(OFFSET(nombres[],0,0,ROWS(nombres[]),1)=EM$1490,ROW(OFFSET(nombres[],0,0,ROWS(nombres[]),1))-ROW(OFFSET(nombres[],0,0,1,1))+1,ROW(OFFSET(nombres[],ROWS(nombres[])-1,0,1,1))+1),$O1552:$O1571),3),"")</f>
        <v/>
      </c>
      <c r="EN1552" s="42" t="str">
        <f t="array" aca="1" ref="EN1552" ca="1">IFERROR(INDEX(nombres[],SMALL(IF(OFFSET(nombres[],0,0,ROWS(nombres[]),1)=EN$1490,ROW(OFFSET(nombres[],0,0,ROWS(nombres[]),1))-ROW(OFFSET(nombres[],0,0,1,1))+1,ROW(OFFSET(nombres[],ROWS(nombres[])-1,0,1,1))+1),$O1552:$O1571),3),"")</f>
        <v/>
      </c>
      <c r="EO1552" s="42" t="str">
        <f t="array" aca="1" ref="EO1552" ca="1">IFERROR(INDEX(nombres[],SMALL(IF(OFFSET(nombres[],0,0,ROWS(nombres[]),1)=EO$1490,ROW(OFFSET(nombres[],0,0,ROWS(nombres[]),1))-ROW(OFFSET(nombres[],0,0,1,1))+1,ROW(OFFSET(nombres[],ROWS(nombres[])-1,0,1,1))+1),$O1552:$O1571),3),"")</f>
        <v/>
      </c>
      <c r="EP1552" s="42" t="str">
        <f t="array" aca="1" ref="EP1552" ca="1">IFERROR(INDEX(nombres[],SMALL(IF(OFFSET(nombres[],0,0,ROWS(nombres[]),1)=EP$1490,ROW(OFFSET(nombres[],0,0,ROWS(nombres[]),1))-ROW(OFFSET(nombres[],0,0,1,1))+1,ROW(OFFSET(nombres[],ROWS(nombres[])-1,0,1,1))+1),$O1552:$O1571),3),"")</f>
        <v/>
      </c>
      <c r="EQ1552" s="42" t="str">
        <f t="array" aca="1" ref="EQ1552" ca="1">IFERROR(INDEX(nombres[],SMALL(IF(OFFSET(nombres[],0,0,ROWS(nombres[]),1)=EQ$1490,ROW(OFFSET(nombres[],0,0,ROWS(nombres[]),1))-ROW(OFFSET(nombres[],0,0,1,1))+1,ROW(OFFSET(nombres[],ROWS(nombres[])-1,0,1,1))+1),$O1552:$O1571),3),"")</f>
        <v/>
      </c>
      <c r="ER1552" s="42" t="str">
        <f t="array" aca="1" ref="ER1552" ca="1">IFERROR(INDEX(nombres[],SMALL(IF(OFFSET(nombres[],0,0,ROWS(nombres[]),1)=ER$1490,ROW(OFFSET(nombres[],0,0,ROWS(nombres[]),1))-ROW(OFFSET(nombres[],0,0,1,1))+1,ROW(OFFSET(nombres[],ROWS(nombres[])-1,0,1,1))+1),$O1552:$O1571),3),"")</f>
        <v/>
      </c>
      <c r="ES1552" s="42" t="str">
        <f t="array" aca="1" ref="ES1552" ca="1">IFERROR(INDEX(nombres[],SMALL(IF(OFFSET(nombres[],0,0,ROWS(nombres[]),1)=ES$1490,ROW(OFFSET(nombres[],0,0,ROWS(nombres[]),1))-ROW(OFFSET(nombres[],0,0,1,1))+1,ROW(OFFSET(nombres[],ROWS(nombres[])-1,0,1,1))+1),$O1552:$O1571),3),"")</f>
        <v/>
      </c>
      <c r="ET1552" s="42" t="str">
        <f t="array" aca="1" ref="ET1552" ca="1">IFERROR(INDEX(nombres[],SMALL(IF(OFFSET(nombres[],0,0,ROWS(nombres[]),1)=ET$1490,ROW(OFFSET(nombres[],0,0,ROWS(nombres[]),1))-ROW(OFFSET(nombres[],0,0,1,1))+1,ROW(OFFSET(nombres[],ROWS(nombres[])-1,0,1,1))+1),$O1552:$O1571),3),"")</f>
        <v/>
      </c>
      <c r="EU1552" s="42" t="str">
        <f t="array" aca="1" ref="EU1552" ca="1">IFERROR(INDEX(nombres[],SMALL(IF(OFFSET(nombres[],0,0,ROWS(nombres[]),1)=EU$1490,ROW(OFFSET(nombres[],0,0,ROWS(nombres[]),1))-ROW(OFFSET(nombres[],0,0,1,1))+1,ROW(OFFSET(nombres[],ROWS(nombres[])-1,0,1,1))+1),$O1552:$O1571),3),"")</f>
        <v/>
      </c>
      <c r="EV1552" s="42" t="str">
        <f t="array" aca="1" ref="EV1552" ca="1">IFERROR(INDEX(nombres[],SMALL(IF(OFFSET(nombres[],0,0,ROWS(nombres[]),1)=EV$1490,ROW(OFFSET(nombres[],0,0,ROWS(nombres[]),1))-ROW(OFFSET(nombres[],0,0,1,1))+1,ROW(OFFSET(nombres[],ROWS(nombres[])-1,0,1,1))+1),$O1552:$O1571),3),"")</f>
        <v/>
      </c>
      <c r="EW1552" s="42" t="str">
        <f t="array" aca="1" ref="EW1552" ca="1">IFERROR(INDEX(nombres[],SMALL(IF(OFFSET(nombres[],0,0,ROWS(nombres[]),1)=EW$1490,ROW(OFFSET(nombres[],0,0,ROWS(nombres[]),1))-ROW(OFFSET(nombres[],0,0,1,1))+1,ROW(OFFSET(nombres[],ROWS(nombres[])-1,0,1,1))+1),$O1552:$O1571),3),"")</f>
        <v/>
      </c>
      <c r="EX1552" s="42" t="str">
        <f t="array" aca="1" ref="EX1552" ca="1">IFERROR(INDEX(nombres[],SMALL(IF(OFFSET(nombres[],0,0,ROWS(nombres[]),1)=EX$1490,ROW(OFFSET(nombres[],0,0,ROWS(nombres[]),1))-ROW(OFFSET(nombres[],0,0,1,1))+1,ROW(OFFSET(nombres[],ROWS(nombres[])-1,0,1,1))+1),$O1552:$O1571),3),"")</f>
        <v/>
      </c>
      <c r="EY1552" s="42" t="str">
        <f t="array" aca="1" ref="EY1552" ca="1">IFERROR(INDEX(nombres[],SMALL(IF(OFFSET(nombres[],0,0,ROWS(nombres[]),1)=EY$1490,ROW(OFFSET(nombres[],0,0,ROWS(nombres[]),1))-ROW(OFFSET(nombres[],0,0,1,1))+1,ROW(OFFSET(nombres[],ROWS(nombres[])-1,0,1,1))+1),$O1552:$O1571),3),"")</f>
        <v/>
      </c>
      <c r="EZ1552" s="42" t="str">
        <f t="array" aca="1" ref="EZ1552" ca="1">IFERROR(INDEX(nombres[],SMALL(IF(OFFSET(nombres[],0,0,ROWS(nombres[]),1)=EZ$1490,ROW(OFFSET(nombres[],0,0,ROWS(nombres[]),1))-ROW(OFFSET(nombres[],0,0,1,1))+1,ROW(OFFSET(nombres[],ROWS(nombres[])-1,0,1,1))+1),$O1552:$O1571),3),"")</f>
        <v/>
      </c>
      <c r="FA1552" s="42" t="str">
        <f t="array" aca="1" ref="FA1552" ca="1">IFERROR(INDEX(nombres[],SMALL(IF(OFFSET(nombres[],0,0,ROWS(nombres[]),1)=FA$1490,ROW(OFFSET(nombres[],0,0,ROWS(nombres[]),1))-ROW(OFFSET(nombres[],0,0,1,1))+1,ROW(OFFSET(nombres[],ROWS(nombres[])-1,0,1,1))+1),$O1552:$O1571),3),"")</f>
        <v/>
      </c>
      <c r="FB1552" s="42" t="str">
        <f t="array" aca="1" ref="FB1552" ca="1">IFERROR(INDEX(nombres[],SMALL(IF(OFFSET(nombres[],0,0,ROWS(nombres[]),1)=FB$1490,ROW(OFFSET(nombres[],0,0,ROWS(nombres[]),1))-ROW(OFFSET(nombres[],0,0,1,1))+1,ROW(OFFSET(nombres[],ROWS(nombres[])-1,0,1,1))+1),$O1552:$O1571),3),"")</f>
        <v/>
      </c>
      <c r="FC1552" s="42" t="str">
        <f t="array" aca="1" ref="FC1552" ca="1">IFERROR(INDEX(nombres[],SMALL(IF(OFFSET(nombres[],0,0,ROWS(nombres[]),1)=FC$1490,ROW(OFFSET(nombres[],0,0,ROWS(nombres[]),1))-ROW(OFFSET(nombres[],0,0,1,1))+1,ROW(OFFSET(nombres[],ROWS(nombres[])-1,0,1,1))+1),$O1552:$O1571),3),"")</f>
        <v/>
      </c>
      <c r="FD1552" s="42" t="str">
        <f t="array" aca="1" ref="FD1552" ca="1">IFERROR(INDEX(nombres[],SMALL(IF(OFFSET(nombres[],0,0,ROWS(nombres[]),1)=FD$1490,ROW(OFFSET(nombres[],0,0,ROWS(nombres[]),1))-ROW(OFFSET(nombres[],0,0,1,1))+1,ROW(OFFSET(nombres[],ROWS(nombres[])-1,0,1,1))+1),$O1552:$O1571),3),"")</f>
        <v/>
      </c>
      <c r="FE1552" s="42" t="str">
        <f t="array" aca="1" ref="FE1552" ca="1">IFERROR(INDEX(nombres[],SMALL(IF(OFFSET(nombres[],0,0,ROWS(nombres[]),1)=FE$1490,ROW(OFFSET(nombres[],0,0,ROWS(nombres[]),1))-ROW(OFFSET(nombres[],0,0,1,1))+1,ROW(OFFSET(nombres[],ROWS(nombres[])-1,0,1,1))+1),$O1552:$O1571),3),"")</f>
        <v/>
      </c>
      <c r="FF1552" s="42" t="str">
        <f t="array" aca="1" ref="FF1552" ca="1">IFERROR(INDEX(nombres[],SMALL(IF(OFFSET(nombres[],0,0,ROWS(nombres[]),1)=FF$1490,ROW(OFFSET(nombres[],0,0,ROWS(nombres[]),1))-ROW(OFFSET(nombres[],0,0,1,1))+1,ROW(OFFSET(nombres[],ROWS(nombres[])-1,0,1,1))+1),$O1552:$O1571),3),"")</f>
        <v/>
      </c>
      <c r="FG1552" s="42" t="str">
        <f t="array" aca="1" ref="FG1552" ca="1">IFERROR(INDEX(nombres[],SMALL(IF(OFFSET(nombres[],0,0,ROWS(nombres[]),1)=FG$1490,ROW(OFFSET(nombres[],0,0,ROWS(nombres[]),1))-ROW(OFFSET(nombres[],0,0,1,1))+1,ROW(OFFSET(nombres[],ROWS(nombres[])-1,0,1,1))+1),$O1552:$O1571),3),"")</f>
        <v/>
      </c>
      <c r="FH1552" s="42" t="str">
        <f t="array" aca="1" ref="FH1552" ca="1">IFERROR(INDEX(nombres[],SMALL(IF(OFFSET(nombres[],0,0,ROWS(nombres[]),1)=FH$1490,ROW(OFFSET(nombres[],0,0,ROWS(nombres[]),1))-ROW(OFFSET(nombres[],0,0,1,1))+1,ROW(OFFSET(nombres[],ROWS(nombres[])-1,0,1,1))+1),$O1552:$O1571),3),"")</f>
        <v/>
      </c>
      <c r="FI1552" s="42" t="str">
        <f t="array" aca="1" ref="FI1552" ca="1">IFERROR(INDEX(nombres[],SMALL(IF(OFFSET(nombres[],0,0,ROWS(nombres[]),1)=FI$1490,ROW(OFFSET(nombres[],0,0,ROWS(nombres[]),1))-ROW(OFFSET(nombres[],0,0,1,1))+1,ROW(OFFSET(nombres[],ROWS(nombres[])-1,0,1,1))+1),$O1552:$O1571),3),"")</f>
        <v/>
      </c>
      <c r="FJ1552" s="42" t="str">
        <f t="array" aca="1" ref="FJ1552" ca="1">IFERROR(INDEX(nombres[],SMALL(IF(OFFSET(nombres[],0,0,ROWS(nombres[]),1)=FJ$1490,ROW(OFFSET(nombres[],0,0,ROWS(nombres[]),1))-ROW(OFFSET(nombres[],0,0,1,1))+1,ROW(OFFSET(nombres[],ROWS(nombres[])-1,0,1,1))+1),$O1552:$O1571),3),"")</f>
        <v/>
      </c>
      <c r="FK1552" s="42" t="str">
        <f t="array" aca="1" ref="FK1552" ca="1">IFERROR(INDEX(nombres[],SMALL(IF(OFFSET(nombres[],0,0,ROWS(nombres[]),1)=FK$1490,ROW(OFFSET(nombres[],0,0,ROWS(nombres[]),1))-ROW(OFFSET(nombres[],0,0,1,1))+1,ROW(OFFSET(nombres[],ROWS(nombres[])-1,0,1,1))+1),$O1552:$O1571),3),"")</f>
        <v/>
      </c>
      <c r="FL1552" s="42" t="str">
        <f t="array" aca="1" ref="FL1552" ca="1">IFERROR(INDEX(nombres[],SMALL(IF(OFFSET(nombres[],0,0,ROWS(nombres[]),1)=FL$1490,ROW(OFFSET(nombres[],0,0,ROWS(nombres[]),1))-ROW(OFFSET(nombres[],0,0,1,1))+1,ROW(OFFSET(nombres[],ROWS(nombres[])-1,0,1,1))+1),$O1552:$O1571),3),"")</f>
        <v/>
      </c>
      <c r="FM1552" s="42" t="str">
        <f t="array" aca="1" ref="FM1552" ca="1">IFERROR(INDEX(nombres[],SMALL(IF(OFFSET(nombres[],0,0,ROWS(nombres[]),1)=FM$1490,ROW(OFFSET(nombres[],0,0,ROWS(nombres[]),1))-ROW(OFFSET(nombres[],0,0,1,1))+1,ROW(OFFSET(nombres[],ROWS(nombres[])-1,0,1,1))+1),$O1552:$O1571),3),"")</f>
        <v/>
      </c>
      <c r="FN1552" s="42" t="str">
        <f t="array" aca="1" ref="FN1552" ca="1">IFERROR(INDEX(nombres[],SMALL(IF(OFFSET(nombres[],0,0,ROWS(nombres[]),1)=FN$1490,ROW(OFFSET(nombres[],0,0,ROWS(nombres[]),1))-ROW(OFFSET(nombres[],0,0,1,1))+1,ROW(OFFSET(nombres[],ROWS(nombres[])-1,0,1,1))+1),$O1552:$O1571),3),"")</f>
        <v/>
      </c>
      <c r="FO1552" s="42" t="str">
        <f t="array" aca="1" ref="FO1552" ca="1">IFERROR(INDEX(nombres[],SMALL(IF(OFFSET(nombres[],0,0,ROWS(nombres[]),1)=FO$1490,ROW(OFFSET(nombres[],0,0,ROWS(nombres[]),1))-ROW(OFFSET(nombres[],0,0,1,1))+1,ROW(OFFSET(nombres[],ROWS(nombres[])-1,0,1,1))+1),$O1552:$O1571),3),"")</f>
        <v/>
      </c>
      <c r="FP1552" s="42" t="str">
        <f t="array" aca="1" ref="FP1552" ca="1">IFERROR(INDEX(nombres[],SMALL(IF(OFFSET(nombres[],0,0,ROWS(nombres[]),1)=FP$1490,ROW(OFFSET(nombres[],0,0,ROWS(nombres[]),1))-ROW(OFFSET(nombres[],0,0,1,1))+1,ROW(OFFSET(nombres[],ROWS(nombres[])-1,0,1,1))+1),$O1552:$O1571),3),"")</f>
        <v/>
      </c>
      <c r="FQ1552" s="42" t="str">
        <f t="array" aca="1" ref="FQ1552" ca="1">IFERROR(INDEX(nombres[],SMALL(IF(OFFSET(nombres[],0,0,ROWS(nombres[]),1)=FQ$1490,ROW(OFFSET(nombres[],0,0,ROWS(nombres[]),1))-ROW(OFFSET(nombres[],0,0,1,1))+1,ROW(OFFSET(nombres[],ROWS(nombres[])-1,0,1,1))+1),$O1552:$O1571),3),"")</f>
        <v/>
      </c>
      <c r="FR1552" s="42" t="str">
        <f t="array" aca="1" ref="FR1552" ca="1">IFERROR(INDEX(nombres[],SMALL(IF(OFFSET(nombres[],0,0,ROWS(nombres[]),1)=FR$1490,ROW(OFFSET(nombres[],0,0,ROWS(nombres[]),1))-ROW(OFFSET(nombres[],0,0,1,1))+1,ROW(OFFSET(nombres[],ROWS(nombres[])-1,0,1,1))+1),$O1552:$O1571),3),"")</f>
        <v/>
      </c>
      <c r="FS1552" s="42" t="str">
        <f t="array" aca="1" ref="FS1552" ca="1">IFERROR(INDEX(nombres[],SMALL(IF(OFFSET(nombres[],0,0,ROWS(nombres[]),1)=FS$1490,ROW(OFFSET(nombres[],0,0,ROWS(nombres[]),1))-ROW(OFFSET(nombres[],0,0,1,1))+1,ROW(OFFSET(nombres[],ROWS(nombres[])-1,0,1,1))+1),$O1552:$O1571),3),"")</f>
        <v/>
      </c>
      <c r="FT1552" s="42" t="str">
        <f t="array" aca="1" ref="FT1552" ca="1">IFERROR(INDEX(nombres[],SMALL(IF(OFFSET(nombres[],0,0,ROWS(nombres[]),1)=FT$1490,ROW(OFFSET(nombres[],0,0,ROWS(nombres[]),1))-ROW(OFFSET(nombres[],0,0,1,1))+1,ROW(OFFSET(nombres[],ROWS(nombres[])-1,0,1,1))+1),$O1552:$O1571),3),"")</f>
        <v/>
      </c>
      <c r="FU1552" s="42" t="str">
        <f t="array" aca="1" ref="FU1552" ca="1">IFERROR(INDEX(nombres[],SMALL(IF(OFFSET(nombres[],0,0,ROWS(nombres[]),1)=FU$1490,ROW(OFFSET(nombres[],0,0,ROWS(nombres[]),1))-ROW(OFFSET(nombres[],0,0,1,1))+1,ROW(OFFSET(nombres[],ROWS(nombres[])-1,0,1,1))+1),$O1552:$O1571),3),"")</f>
        <v/>
      </c>
      <c r="FV1552" s="42" t="str">
        <f t="array" aca="1" ref="FV1552" ca="1">IFERROR(INDEX(nombres[],SMALL(IF(OFFSET(nombres[],0,0,ROWS(nombres[]),1)=FV$1490,ROW(OFFSET(nombres[],0,0,ROWS(nombres[]),1))-ROW(OFFSET(nombres[],0,0,1,1))+1,ROW(OFFSET(nombres[],ROWS(nombres[])-1,0,1,1))+1),$O1552:$O1571),3),"")</f>
        <v/>
      </c>
      <c r="FW1552" s="42" t="str">
        <f t="array" aca="1" ref="FW1552" ca="1">IFERROR(INDEX(nombres[],SMALL(IF(OFFSET(nombres[],0,0,ROWS(nombres[]),1)=FW$1490,ROW(OFFSET(nombres[],0,0,ROWS(nombres[]),1))-ROW(OFFSET(nombres[],0,0,1,1))+1,ROW(OFFSET(nombres[],ROWS(nombres[])-1,0,1,1))+1),$O1552:$O1571),3),"")</f>
        <v/>
      </c>
      <c r="FX1552" s="42" t="str">
        <f t="array" aca="1" ref="FX1552" ca="1">IFERROR(INDEX(nombres[],SMALL(IF(OFFSET(nombres[],0,0,ROWS(nombres[]),1)=FX$1490,ROW(OFFSET(nombres[],0,0,ROWS(nombres[]),1))-ROW(OFFSET(nombres[],0,0,1,1))+1,ROW(OFFSET(nombres[],ROWS(nombres[])-1,0,1,1))+1),$O1552:$O1571),3),"")</f>
        <v/>
      </c>
      <c r="FY1552" s="42" t="str">
        <f t="array" aca="1" ref="FY1552" ca="1">IFERROR(INDEX(nombres[],SMALL(IF(OFFSET(nombres[],0,0,ROWS(nombres[]),1)=FY$1490,ROW(OFFSET(nombres[],0,0,ROWS(nombres[]),1))-ROW(OFFSET(nombres[],0,0,1,1))+1,ROW(OFFSET(nombres[],ROWS(nombres[])-1,0,1,1))+1),$O1552:$O1571),3),"")</f>
        <v/>
      </c>
      <c r="FZ1552" s="42" t="str">
        <f t="array" aca="1" ref="FZ1552" ca="1">IFERROR(INDEX(nombres[],SMALL(IF(OFFSET(nombres[],0,0,ROWS(nombres[]),1)=FZ$1490,ROW(OFFSET(nombres[],0,0,ROWS(nombres[]),1))-ROW(OFFSET(nombres[],0,0,1,1))+1,ROW(OFFSET(nombres[],ROWS(nombres[])-1,0,1,1))+1),$O1552:$O1571),3),"")</f>
        <v/>
      </c>
      <c r="GA1552" s="42" t="str">
        <f t="array" aca="1" ref="GA1552" ca="1">IFERROR(INDEX(nombres[],SMALL(IF(OFFSET(nombres[],0,0,ROWS(nombres[]),1)=GA$1490,ROW(OFFSET(nombres[],0,0,ROWS(nombres[]),1))-ROW(OFFSET(nombres[],0,0,1,1))+1,ROW(OFFSET(nombres[],ROWS(nombres[])-1,0,1,1))+1),$O1552:$O1571),3),"")</f>
        <v/>
      </c>
      <c r="GB1552" s="42" t="str">
        <f t="array" aca="1" ref="GB1552" ca="1">IFERROR(INDEX(nombres[],SMALL(IF(OFFSET(nombres[],0,0,ROWS(nombres[]),1)=GB$1490,ROW(OFFSET(nombres[],0,0,ROWS(nombres[]),1))-ROW(OFFSET(nombres[],0,0,1,1))+1,ROW(OFFSET(nombres[],ROWS(nombres[])-1,0,1,1))+1),$O1552:$O1571),3),"")</f>
        <v/>
      </c>
      <c r="GC1552" s="42" t="str">
        <f t="array" aca="1" ref="GC1552" ca="1">IFERROR(INDEX(nombres[],SMALL(IF(OFFSET(nombres[],0,0,ROWS(nombres[]),1)=GC$1490,ROW(OFFSET(nombres[],0,0,ROWS(nombres[]),1))-ROW(OFFSET(nombres[],0,0,1,1))+1,ROW(OFFSET(nombres[],ROWS(nombres[])-1,0,1,1))+1),$O1552:$O1571),3),"")</f>
        <v/>
      </c>
      <c r="GD1552" s="42" t="str">
        <f t="array" aca="1" ref="GD1552" ca="1">IFERROR(INDEX(nombres[],SMALL(IF(OFFSET(nombres[],0,0,ROWS(nombres[]),1)=GD$1490,ROW(OFFSET(nombres[],0,0,ROWS(nombres[]),1))-ROW(OFFSET(nombres[],0,0,1,1))+1,ROW(OFFSET(nombres[],ROWS(nombres[])-1,0,1,1))+1),$O1552:$O1571),3),"")</f>
        <v/>
      </c>
      <c r="GE1552" s="42" t="str">
        <f t="array" aca="1" ref="GE1552" ca="1">IFERROR(INDEX(nombres[],SMALL(IF(OFFSET(nombres[],0,0,ROWS(nombres[]),1)=GE$1490,ROW(OFFSET(nombres[],0,0,ROWS(nombres[]),1))-ROW(OFFSET(nombres[],0,0,1,1))+1,ROW(OFFSET(nombres[],ROWS(nombres[])-1,0,1,1))+1),$O1552:$O1571),3),"")</f>
        <v/>
      </c>
      <c r="GF1552" s="42" t="str">
        <f t="array" aca="1" ref="GF1552" ca="1">IFERROR(INDEX(nombres[],SMALL(IF(OFFSET(nombres[],0,0,ROWS(nombres[]),1)=GF$1490,ROW(OFFSET(nombres[],0,0,ROWS(nombres[]),1))-ROW(OFFSET(nombres[],0,0,1,1))+1,ROW(OFFSET(nombres[],ROWS(nombres[])-1,0,1,1))+1),$O1552:$O1571),3),"")</f>
        <v/>
      </c>
      <c r="GG1552" s="42" t="str">
        <f t="array" aca="1" ref="GG1552" ca="1">IFERROR(INDEX(nombres[],SMALL(IF(OFFSET(nombres[],0,0,ROWS(nombres[]),1)=GG$1490,ROW(OFFSET(nombres[],0,0,ROWS(nombres[]),1))-ROW(OFFSET(nombres[],0,0,1,1))+1,ROW(OFFSET(nombres[],ROWS(nombres[])-1,0,1,1))+1),$O1552:$O1571),3),"")</f>
        <v/>
      </c>
      <c r="GH1552" s="42" t="str">
        <f t="array" aca="1" ref="GH1552" ca="1">IFERROR(INDEX(nombres[],SMALL(IF(OFFSET(nombres[],0,0,ROWS(nombres[]),1)=GH$1490,ROW(OFFSET(nombres[],0,0,ROWS(nombres[]),1))-ROW(OFFSET(nombres[],0,0,1,1))+1,ROW(OFFSET(nombres[],ROWS(nombres[])-1,0,1,1))+1),$O1552:$O1571),3),"")</f>
        <v/>
      </c>
      <c r="GI1552" s="42" t="str">
        <f t="array" aca="1" ref="GI1552" ca="1">IFERROR(INDEX(nombres[],SMALL(IF(OFFSET(nombres[],0,0,ROWS(nombres[]),1)=GI$1490,ROW(OFFSET(nombres[],0,0,ROWS(nombres[]),1))-ROW(OFFSET(nombres[],0,0,1,1))+1,ROW(OFFSET(nombres[],ROWS(nombres[])-1,0,1,1))+1),$O1552:$O1571),3),"")</f>
        <v/>
      </c>
      <c r="GJ1552" s="42" t="str">
        <f t="array" aca="1" ref="GJ1552" ca="1">IFERROR(INDEX(nombres[],SMALL(IF(OFFSET(nombres[],0,0,ROWS(nombres[]),1)=GJ$1490,ROW(OFFSET(nombres[],0,0,ROWS(nombres[]),1))-ROW(OFFSET(nombres[],0,0,1,1))+1,ROW(OFFSET(nombres[],ROWS(nombres[])-1,0,1,1))+1),$O1552:$O1571),3),"")</f>
        <v/>
      </c>
      <c r="GK1552" s="42" t="str">
        <f t="array" aca="1" ref="GK1552" ca="1">IFERROR(INDEX(nombres[],SMALL(IF(OFFSET(nombres[],0,0,ROWS(nombres[]),1)=GK$1490,ROW(OFFSET(nombres[],0,0,ROWS(nombres[]),1))-ROW(OFFSET(nombres[],0,0,1,1))+1,ROW(OFFSET(nombres[],ROWS(nombres[])-1,0,1,1))+1),$O1552:$O1571),3),"")</f>
        <v/>
      </c>
      <c r="GL1552" s="42" t="str">
        <f t="array" aca="1" ref="GL1552" ca="1">IFERROR(INDEX(nombres[],SMALL(IF(OFFSET(nombres[],0,0,ROWS(nombres[]),1)=GL$1490,ROW(OFFSET(nombres[],0,0,ROWS(nombres[]),1))-ROW(OFFSET(nombres[],0,0,1,1))+1,ROW(OFFSET(nombres[],ROWS(nombres[])-1,0,1,1))+1),$O1552:$O1571),3),"")</f>
        <v/>
      </c>
      <c r="GM1552" s="42" t="str">
        <f t="array" aca="1" ref="GM1552" ca="1">IFERROR(INDEX(nombres[],SMALL(IF(OFFSET(nombres[],0,0,ROWS(nombres[]),1)=GM$1490,ROW(OFFSET(nombres[],0,0,ROWS(nombres[]),1))-ROW(OFFSET(nombres[],0,0,1,1))+1,ROW(OFFSET(nombres[],ROWS(nombres[])-1,0,1,1))+1),$O1552:$O1571),3),"")</f>
        <v/>
      </c>
      <c r="GN1552" s="42" t="str">
        <f t="array" aca="1" ref="GN1552" ca="1">IFERROR(INDEX(nombres[],SMALL(IF(OFFSET(nombres[],0,0,ROWS(nombres[]),1)=GN$1490,ROW(OFFSET(nombres[],0,0,ROWS(nombres[]),1))-ROW(OFFSET(nombres[],0,0,1,1))+1,ROW(OFFSET(nombres[],ROWS(nombres[])-1,0,1,1))+1),$O1552:$O1571),3),"")</f>
        <v/>
      </c>
      <c r="GO1552" s="42" t="str">
        <f t="array" aca="1" ref="GO1552" ca="1">IFERROR(INDEX(nombres[],SMALL(IF(OFFSET(nombres[],0,0,ROWS(nombres[]),1)=GO$1490,ROW(OFFSET(nombres[],0,0,ROWS(nombres[]),1))-ROW(OFFSET(nombres[],0,0,1,1))+1,ROW(OFFSET(nombres[],ROWS(nombres[])-1,0,1,1))+1),$O1552:$O1571),3),"")</f>
        <v/>
      </c>
      <c r="GP1552" s="42" t="str">
        <f t="array" aca="1" ref="GP1552" ca="1">IFERROR(INDEX(nombres[],SMALL(IF(OFFSET(nombres[],0,0,ROWS(nombres[]),1)=GP$1490,ROW(OFFSET(nombres[],0,0,ROWS(nombres[]),1))-ROW(OFFSET(nombres[],0,0,1,1))+1,ROW(OFFSET(nombres[],ROWS(nombres[])-1,0,1,1))+1),$O1552:$O1571),3),"")</f>
        <v/>
      </c>
      <c r="GQ1552" s="42" t="str">
        <f t="array" aca="1" ref="GQ1552" ca="1">IFERROR(INDEX(nombres[],SMALL(IF(OFFSET(nombres[],0,0,ROWS(nombres[]),1)=GQ$1490,ROW(OFFSET(nombres[],0,0,ROWS(nombres[]),1))-ROW(OFFSET(nombres[],0,0,1,1))+1,ROW(OFFSET(nombres[],ROWS(nombres[])-1,0,1,1))+1),$O1552:$O1571),3),"")</f>
        <v/>
      </c>
      <c r="GR1552" s="42" t="str">
        <f t="array" aca="1" ref="GR1552" ca="1">IFERROR(INDEX(nombres[],SMALL(IF(OFFSET(nombres[],0,0,ROWS(nombres[]),1)=GR$1490,ROW(OFFSET(nombres[],0,0,ROWS(nombres[]),1))-ROW(OFFSET(nombres[],0,0,1,1))+1,ROW(OFFSET(nombres[],ROWS(nombres[])-1,0,1,1))+1),$O1552:$O1571),3),"")</f>
        <v/>
      </c>
      <c r="GS1552" s="42" t="str">
        <f t="array" aca="1" ref="GS1552" ca="1">IFERROR(INDEX(nombres[],SMALL(IF(OFFSET(nombres[],0,0,ROWS(nombres[]),1)=GS$1490,ROW(OFFSET(nombres[],0,0,ROWS(nombres[]),1))-ROW(OFFSET(nombres[],0,0,1,1))+1,ROW(OFFSET(nombres[],ROWS(nombres[])-1,0,1,1))+1),$O1552:$O1571),3),"")</f>
        <v/>
      </c>
      <c r="GT1552" s="42" t="str">
        <f t="array" aca="1" ref="GT1552" ca="1">IFERROR(INDEX(nombres[],SMALL(IF(OFFSET(nombres[],0,0,ROWS(nombres[]),1)=GT$1490,ROW(OFFSET(nombres[],0,0,ROWS(nombres[]),1))-ROW(OFFSET(nombres[],0,0,1,1))+1,ROW(OFFSET(nombres[],ROWS(nombres[])-1,0,1,1))+1),$O1552:$O1571),3),"")</f>
        <v/>
      </c>
      <c r="GU1552" s="42" t="str">
        <f t="array" aca="1" ref="GU1552" ca="1">IFERROR(INDEX(nombres[],SMALL(IF(OFFSET(nombres[],0,0,ROWS(nombres[]),1)=GU$1490,ROW(OFFSET(nombres[],0,0,ROWS(nombres[]),1))-ROW(OFFSET(nombres[],0,0,1,1))+1,ROW(OFFSET(nombres[],ROWS(nombres[])-1,0,1,1))+1),$O1552:$O1571),3),"")</f>
        <v/>
      </c>
      <c r="GV1552" s="42" t="str">
        <f t="array" aca="1" ref="GV1552" ca="1">IFERROR(INDEX(nombres[],SMALL(IF(OFFSET(nombres[],0,0,ROWS(nombres[]),1)=GV$1490,ROW(OFFSET(nombres[],0,0,ROWS(nombres[]),1))-ROW(OFFSET(nombres[],0,0,1,1))+1,ROW(OFFSET(nombres[],ROWS(nombres[])-1,0,1,1))+1),$O1552:$O1571),3),"")</f>
        <v/>
      </c>
      <c r="GW1552" s="42" t="str">
        <f t="array" aca="1" ref="GW1552" ca="1">IFERROR(INDEX(nombres[],SMALL(IF(OFFSET(nombres[],0,0,ROWS(nombres[]),1)=GW$1490,ROW(OFFSET(nombres[],0,0,ROWS(nombres[]),1))-ROW(OFFSET(nombres[],0,0,1,1))+1,ROW(OFFSET(nombres[],ROWS(nombres[])-1,0,1,1))+1),$O1552:$O1571),3),"")</f>
        <v/>
      </c>
      <c r="GX1552" s="42" t="str">
        <f t="array" aca="1" ref="GX1552" ca="1">IFERROR(INDEX(nombres[],SMALL(IF(OFFSET(nombres[],0,0,ROWS(nombres[]),1)=GX$1490,ROW(OFFSET(nombres[],0,0,ROWS(nombres[]),1))-ROW(OFFSET(nombres[],0,0,1,1))+1,ROW(OFFSET(nombres[],ROWS(nombres[])-1,0,1,1))+1),$O1552:$O1571),3),"")</f>
        <v/>
      </c>
      <c r="GY1552" s="42" t="str">
        <f t="array" aca="1" ref="GY1552" ca="1">IFERROR(INDEX(nombres[],SMALL(IF(OFFSET(nombres[],0,0,ROWS(nombres[]),1)=GY$1490,ROW(OFFSET(nombres[],0,0,ROWS(nombres[]),1))-ROW(OFFSET(nombres[],0,0,1,1))+1,ROW(OFFSET(nombres[],ROWS(nombres[])-1,0,1,1))+1),$O1552:$O1571),3),"")</f>
        <v/>
      </c>
      <c r="GZ1552" s="42" t="str">
        <f t="array" aca="1" ref="GZ1552" ca="1">IFERROR(INDEX(nombres[],SMALL(IF(OFFSET(nombres[],0,0,ROWS(nombres[]),1)=GZ$1490,ROW(OFFSET(nombres[],0,0,ROWS(nombres[]),1))-ROW(OFFSET(nombres[],0,0,1,1))+1,ROW(OFFSET(nombres[],ROWS(nombres[])-1,0,1,1))+1),$O1552:$O1571),3),"")</f>
        <v/>
      </c>
      <c r="HA1552" s="42" t="str">
        <f t="array" aca="1" ref="HA1552" ca="1">IFERROR(INDEX(nombres[],SMALL(IF(OFFSET(nombres[],0,0,ROWS(nombres[]),1)=HA$1490,ROW(OFFSET(nombres[],0,0,ROWS(nombres[]),1))-ROW(OFFSET(nombres[],0,0,1,1))+1,ROW(OFFSET(nombres[],ROWS(nombres[])-1,0,1,1))+1),$O1552:$O1571),3),"")</f>
        <v/>
      </c>
      <c r="HB1552" s="42" t="str">
        <f t="array" aca="1" ref="HB1552" ca="1">IFERROR(INDEX(nombres[],SMALL(IF(OFFSET(nombres[],0,0,ROWS(nombres[]),1)=HB$1490,ROW(OFFSET(nombres[],0,0,ROWS(nombres[]),1))-ROW(OFFSET(nombres[],0,0,1,1))+1,ROW(OFFSET(nombres[],ROWS(nombres[])-1,0,1,1))+1),$O1552:$O1571),3),"")</f>
        <v/>
      </c>
      <c r="HC1552" s="42" t="str">
        <f t="array" aca="1" ref="HC1552" ca="1">IFERROR(INDEX(nombres[],SMALL(IF(OFFSET(nombres[],0,0,ROWS(nombres[]),1)=HC$1490,ROW(OFFSET(nombres[],0,0,ROWS(nombres[]),1))-ROW(OFFSET(nombres[],0,0,1,1))+1,ROW(OFFSET(nombres[],ROWS(nombres[])-1,0,1,1))+1),$O1552:$O1571),3),"")</f>
        <v/>
      </c>
      <c r="HD1552" s="42" t="str">
        <f t="array" aca="1" ref="HD1552" ca="1">IFERROR(INDEX(nombres[],SMALL(IF(OFFSET(nombres[],0,0,ROWS(nombres[]),1)=HD$1490,ROW(OFFSET(nombres[],0,0,ROWS(nombres[]),1))-ROW(OFFSET(nombres[],0,0,1,1))+1,ROW(OFFSET(nombres[],ROWS(nombres[])-1,0,1,1))+1),$O1552:$O1571),3),"")</f>
        <v/>
      </c>
      <c r="HE1552" s="42" t="str">
        <f t="array" aca="1" ref="HE1552" ca="1">IFERROR(INDEX(nombres[],SMALL(IF(OFFSET(nombres[],0,0,ROWS(nombres[]),1)=HE$1490,ROW(OFFSET(nombres[],0,0,ROWS(nombres[]),1))-ROW(OFFSET(nombres[],0,0,1,1))+1,ROW(OFFSET(nombres[],ROWS(nombres[])-1,0,1,1))+1),$O1552:$O1571),3),"")</f>
        <v/>
      </c>
      <c r="HF1552" s="42" t="str">
        <f t="array" aca="1" ref="HF1552" ca="1">IFERROR(INDEX(nombres[],SMALL(IF(OFFSET(nombres[],0,0,ROWS(nombres[]),1)=HF$1490,ROW(OFFSET(nombres[],0,0,ROWS(nombres[]),1))-ROW(OFFSET(nombres[],0,0,1,1))+1,ROW(OFFSET(nombres[],ROWS(nombres[])-1,0,1,1))+1),$O1552:$O1571),3),"")</f>
        <v/>
      </c>
      <c r="HG1552" s="42" t="str">
        <f t="array" aca="1" ref="HG1552" ca="1">IFERROR(INDEX(nombres[],SMALL(IF(OFFSET(nombres[],0,0,ROWS(nombres[]),1)=HG$1490,ROW(OFFSET(nombres[],0,0,ROWS(nombres[]),1))-ROW(OFFSET(nombres[],0,0,1,1))+1,ROW(OFFSET(nombres[],ROWS(nombres[])-1,0,1,1))+1),$O1552:$O1571),3),"")</f>
        <v/>
      </c>
      <c r="HH1552" s="42" t="str">
        <f t="array" aca="1" ref="HH1552" ca="1">IFERROR(INDEX(nombres[],SMALL(IF(OFFSET(nombres[],0,0,ROWS(nombres[]),1)=HH$1490,ROW(OFFSET(nombres[],0,0,ROWS(nombres[]),1))-ROW(OFFSET(nombres[],0,0,1,1))+1,ROW(OFFSET(nombres[],ROWS(nombres[])-1,0,1,1))+1),$O1552:$O1571),3),"")</f>
        <v/>
      </c>
      <c r="HI1552" s="42" t="str">
        <f t="array" aca="1" ref="HI1552" ca="1">IFERROR(INDEX(nombres[],SMALL(IF(OFFSET(nombres[],0,0,ROWS(nombres[]),1)=HI$1490,ROW(OFFSET(nombres[],0,0,ROWS(nombres[]),1))-ROW(OFFSET(nombres[],0,0,1,1))+1,ROW(OFFSET(nombres[],ROWS(nombres[])-1,0,1,1))+1),$O1552:$O1571),3),"")</f>
        <v/>
      </c>
      <c r="HJ1552" s="42" t="str">
        <f t="array" aca="1" ref="HJ1552" ca="1">IFERROR(INDEX(nombres[],SMALL(IF(OFFSET(nombres[],0,0,ROWS(nombres[]),1)=HJ$1490,ROW(OFFSET(nombres[],0,0,ROWS(nombres[]),1))-ROW(OFFSET(nombres[],0,0,1,1))+1,ROW(OFFSET(nombres[],ROWS(nombres[])-1,0,1,1))+1),$O1552:$O1571),3),"")</f>
        <v/>
      </c>
      <c r="HK1552" s="42" t="str">
        <f t="array" aca="1" ref="HK1552" ca="1">IFERROR(INDEX(nombres[],SMALL(IF(OFFSET(nombres[],0,0,ROWS(nombres[]),1)=HK$1490,ROW(OFFSET(nombres[],0,0,ROWS(nombres[]),1))-ROW(OFFSET(nombres[],0,0,1,1))+1,ROW(OFFSET(nombres[],ROWS(nombres[])-1,0,1,1))+1),$O1552:$O1571),3),"")</f>
        <v/>
      </c>
      <c r="HL1552" s="42" t="str">
        <f t="array" aca="1" ref="HL1552" ca="1">IFERROR(INDEX(nombres[],SMALL(IF(OFFSET(nombres[],0,0,ROWS(nombres[]),1)=HL$1490,ROW(OFFSET(nombres[],0,0,ROWS(nombres[]),1))-ROW(OFFSET(nombres[],0,0,1,1))+1,ROW(OFFSET(nombres[],ROWS(nombres[])-1,0,1,1))+1),$O1552:$O1571),3),"")</f>
        <v/>
      </c>
      <c r="HM1552" s="42" t="str">
        <f t="array" aca="1" ref="HM1552" ca="1">IFERROR(INDEX(nombres[],SMALL(IF(OFFSET(nombres[],0,0,ROWS(nombres[]),1)=HM$1490,ROW(OFFSET(nombres[],0,0,ROWS(nombres[]),1))-ROW(OFFSET(nombres[],0,0,1,1))+1,ROW(OFFSET(nombres[],ROWS(nombres[])-1,0,1,1))+1),$O1552:$O1571),3),"")</f>
        <v/>
      </c>
      <c r="HN1552" s="42" t="str">
        <f t="array" aca="1" ref="HN1552" ca="1">IFERROR(INDEX(nombres[],SMALL(IF(OFFSET(nombres[],0,0,ROWS(nombres[]),1)=HN$1490,ROW(OFFSET(nombres[],0,0,ROWS(nombres[]),1))-ROW(OFFSET(nombres[],0,0,1,1))+1,ROW(OFFSET(nombres[],ROWS(nombres[])-1,0,1,1))+1),$O1552:$O1571),3),"")</f>
        <v/>
      </c>
      <c r="HO1552" s="42" t="str">
        <f t="array" aca="1" ref="HO1552" ca="1">IFERROR(INDEX(nombres[],SMALL(IF(OFFSET(nombres[],0,0,ROWS(nombres[]),1)=HO$1490,ROW(OFFSET(nombres[],0,0,ROWS(nombres[]),1))-ROW(OFFSET(nombres[],0,0,1,1))+1,ROW(OFFSET(nombres[],ROWS(nombres[])-1,0,1,1))+1),$O1552:$O1571),3),"")</f>
        <v/>
      </c>
      <c r="HP1552" s="42" t="str">
        <f t="array" aca="1" ref="HP1552" ca="1">IFERROR(INDEX(nombres[],SMALL(IF(OFFSET(nombres[],0,0,ROWS(nombres[]),1)=HP$1490,ROW(OFFSET(nombres[],0,0,ROWS(nombres[]),1))-ROW(OFFSET(nombres[],0,0,1,1))+1,ROW(OFFSET(nombres[],ROWS(nombres[])-1,0,1,1))+1),$O1552:$O1571),3),"")</f>
        <v/>
      </c>
      <c r="HQ1552" s="42" t="str">
        <f t="array" aca="1" ref="HQ1552" ca="1">IFERROR(INDEX(nombres[],SMALL(IF(OFFSET(nombres[],0,0,ROWS(nombres[]),1)=HQ$1490,ROW(OFFSET(nombres[],0,0,ROWS(nombres[]),1))-ROW(OFFSET(nombres[],0,0,1,1))+1,ROW(OFFSET(nombres[],ROWS(nombres[])-1,0,1,1))+1),$O1552:$O1571),3),"")</f>
        <v/>
      </c>
      <c r="HR1552" s="42" t="str">
        <f t="array" aca="1" ref="HR1552" ca="1">IFERROR(INDEX(nombres[],SMALL(IF(OFFSET(nombres[],0,0,ROWS(nombres[]),1)=HR$1490,ROW(OFFSET(nombres[],0,0,ROWS(nombres[]),1))-ROW(OFFSET(nombres[],0,0,1,1))+1,ROW(OFFSET(nombres[],ROWS(nombres[])-1,0,1,1))+1),$O1552:$O1571),3),"")</f>
        <v/>
      </c>
      <c r="HS1552" s="42" t="str">
        <f t="array" aca="1" ref="HS1552" ca="1">IFERROR(INDEX(nombres[],SMALL(IF(OFFSET(nombres[],0,0,ROWS(nombres[]),1)=HS$1490,ROW(OFFSET(nombres[],0,0,ROWS(nombres[]),1))-ROW(OFFSET(nombres[],0,0,1,1))+1,ROW(OFFSET(nombres[],ROWS(nombres[])-1,0,1,1))+1),$O1552:$O1571),3),"")</f>
        <v/>
      </c>
      <c r="HT1552" s="42" t="str">
        <f t="array" aca="1" ref="HT1552" ca="1">IFERROR(INDEX(nombres[],SMALL(IF(OFFSET(nombres[],0,0,ROWS(nombres[]),1)=HT$1490,ROW(OFFSET(nombres[],0,0,ROWS(nombres[]),1))-ROW(OFFSET(nombres[],0,0,1,1))+1,ROW(OFFSET(nombres[],ROWS(nombres[])-1,0,1,1))+1),$O1552:$O1571),3),"")</f>
        <v/>
      </c>
      <c r="HU1552" s="42" t="str">
        <f t="array" aca="1" ref="HU1552" ca="1">IFERROR(INDEX(nombres[],SMALL(IF(OFFSET(nombres[],0,0,ROWS(nombres[]),1)=HU$1490,ROW(OFFSET(nombres[],0,0,ROWS(nombres[]),1))-ROW(OFFSET(nombres[],0,0,1,1))+1,ROW(OFFSET(nombres[],ROWS(nombres[])-1,0,1,1))+1),$O1552:$O1571),3),"")</f>
        <v/>
      </c>
      <c r="HV1552" s="42" t="str">
        <f t="array" aca="1" ref="HV1552" ca="1">IFERROR(INDEX(nombres[],SMALL(IF(OFFSET(nombres[],0,0,ROWS(nombres[]),1)=HV$1490,ROW(OFFSET(nombres[],0,0,ROWS(nombres[]),1))-ROW(OFFSET(nombres[],0,0,1,1))+1,ROW(OFFSET(nombres[],ROWS(nombres[])-1,0,1,1))+1),$O1552:$O1571),3),"")</f>
        <v/>
      </c>
      <c r="HW1552" s="42" t="str">
        <f t="array" aca="1" ref="HW1552" ca="1">IFERROR(INDEX(nombres[],SMALL(IF(OFFSET(nombres[],0,0,ROWS(nombres[]),1)=HW$1490,ROW(OFFSET(nombres[],0,0,ROWS(nombres[]),1))-ROW(OFFSET(nombres[],0,0,1,1))+1,ROW(OFFSET(nombres[],ROWS(nombres[])-1,0,1,1))+1),$O1552:$O1571),3),"")</f>
        <v/>
      </c>
      <c r="HX1552" s="42" t="str">
        <f t="array" aca="1" ref="HX1552" ca="1">IFERROR(INDEX(nombres[],SMALL(IF(OFFSET(nombres[],0,0,ROWS(nombres[]),1)=HX$1490,ROW(OFFSET(nombres[],0,0,ROWS(nombres[]),1))-ROW(OFFSET(nombres[],0,0,1,1))+1,ROW(OFFSET(nombres[],ROWS(nombres[])-1,0,1,1))+1),$O1552:$O1571),3),"")</f>
        <v/>
      </c>
      <c r="HY1552" s="42" t="str">
        <f t="array" aca="1" ref="HY1552" ca="1">IFERROR(INDEX(nombres[],SMALL(IF(OFFSET(nombres[],0,0,ROWS(nombres[]),1)=HY$1490,ROW(OFFSET(nombres[],0,0,ROWS(nombres[]),1))-ROW(OFFSET(nombres[],0,0,1,1))+1,ROW(OFFSET(nombres[],ROWS(nombres[])-1,0,1,1))+1),$O1552:$O1571),3),"")</f>
        <v/>
      </c>
      <c r="HZ1552" s="42" t="str">
        <f t="array" aca="1" ref="HZ1552" ca="1">IFERROR(INDEX(nombres[],SMALL(IF(OFFSET(nombres[],0,0,ROWS(nombres[]),1)=HZ$1490,ROW(OFFSET(nombres[],0,0,ROWS(nombres[]),1))-ROW(OFFSET(nombres[],0,0,1,1))+1,ROW(OFFSET(nombres[],ROWS(nombres[])-1,0,1,1))+1),$O1552:$O1571),3),"")</f>
        <v/>
      </c>
      <c r="IA1552" s="42" t="str">
        <f t="array" aca="1" ref="IA1552" ca="1">IFERROR(INDEX(nombres[],SMALL(IF(OFFSET(nombres[],0,0,ROWS(nombres[]),1)=IA$1490,ROW(OFFSET(nombres[],0,0,ROWS(nombres[]),1))-ROW(OFFSET(nombres[],0,0,1,1))+1,ROW(OFFSET(nombres[],ROWS(nombres[])-1,0,1,1))+1),$O1552:$O1571),3),"")</f>
        <v/>
      </c>
      <c r="IB1552" s="42" t="str">
        <f t="array" aca="1" ref="IB1552" ca="1">IFERROR(INDEX(nombres[],SMALL(IF(OFFSET(nombres[],0,0,ROWS(nombres[]),1)=IB$1490,ROW(OFFSET(nombres[],0,0,ROWS(nombres[]),1))-ROW(OFFSET(nombres[],0,0,1,1))+1,ROW(OFFSET(nombres[],ROWS(nombres[])-1,0,1,1))+1),$O1552:$O1571),3),"")</f>
        <v/>
      </c>
      <c r="IC1552" s="42" t="str">
        <f t="array" aca="1" ref="IC1552" ca="1">IFERROR(INDEX(nombres[],SMALL(IF(OFFSET(nombres[],0,0,ROWS(nombres[]),1)=IC$1490,ROW(OFFSET(nombres[],0,0,ROWS(nombres[]),1))-ROW(OFFSET(nombres[],0,0,1,1))+1,ROW(OFFSET(nombres[],ROWS(nombres[])-1,0,1,1))+1),$O1552:$O1571),3),"")</f>
        <v/>
      </c>
      <c r="ID1552" s="42" t="str">
        <f t="array" aca="1" ref="ID1552" ca="1">IFERROR(INDEX(nombres[],SMALL(IF(OFFSET(nombres[],0,0,ROWS(nombres[]),1)=ID$1490,ROW(OFFSET(nombres[],0,0,ROWS(nombres[]),1))-ROW(OFFSET(nombres[],0,0,1,1))+1,ROW(OFFSET(nombres[],ROWS(nombres[])-1,0,1,1))+1),$O1552:$O1571),3),"")</f>
        <v/>
      </c>
      <c r="IE1552" s="42" t="str">
        <f t="array" aca="1" ref="IE1552" ca="1">IFERROR(INDEX(nombres[],SMALL(IF(OFFSET(nombres[],0,0,ROWS(nombres[]),1)=IE$1490,ROW(OFFSET(nombres[],0,0,ROWS(nombres[]),1))-ROW(OFFSET(nombres[],0,0,1,1))+1,ROW(OFFSET(nombres[],ROWS(nombres[])-1,0,1,1))+1),$O1552:$O1571),3),"")</f>
        <v/>
      </c>
      <c r="IF1552" s="42" t="str">
        <f t="array" aca="1" ref="IF1552" ca="1">IFERROR(INDEX(nombres[],SMALL(IF(OFFSET(nombres[],0,0,ROWS(nombres[]),1)=IF$1490,ROW(OFFSET(nombres[],0,0,ROWS(nombres[]),1))-ROW(OFFSET(nombres[],0,0,1,1))+1,ROW(OFFSET(nombres[],ROWS(nombres[])-1,0,1,1))+1),$O1552:$O1571),3),"")</f>
        <v/>
      </c>
      <c r="IG1552" s="42" t="str">
        <f t="array" aca="1" ref="IG1552" ca="1">IFERROR(INDEX(nombres[],SMALL(IF(OFFSET(nombres[],0,0,ROWS(nombres[]),1)=IG$1490,ROW(OFFSET(nombres[],0,0,ROWS(nombres[]),1))-ROW(OFFSET(nombres[],0,0,1,1))+1,ROW(OFFSET(nombres[],ROWS(nombres[])-1,0,1,1))+1),$O1552:$O1571),3),"")</f>
        <v/>
      </c>
      <c r="IH1552" s="42" t="str">
        <f t="array" aca="1" ref="IH1552" ca="1">IFERROR(INDEX(nombres[],SMALL(IF(OFFSET(nombres[],0,0,ROWS(nombres[]),1)=IH$1490,ROW(OFFSET(nombres[],0,0,ROWS(nombres[]),1))-ROW(OFFSET(nombres[],0,0,1,1))+1,ROW(OFFSET(nombres[],ROWS(nombres[])-1,0,1,1))+1),$O1552:$O1571),3),"")</f>
        <v/>
      </c>
      <c r="II1552" s="42" t="str">
        <f t="array" aca="1" ref="II1552" ca="1">IFERROR(INDEX(nombres[],SMALL(IF(OFFSET(nombres[],0,0,ROWS(nombres[]),1)=II$1490,ROW(OFFSET(nombres[],0,0,ROWS(nombres[]),1))-ROW(OFFSET(nombres[],0,0,1,1))+1,ROW(OFFSET(nombres[],ROWS(nombres[])-1,0,1,1))+1),$O1552:$O1571),3),"")</f>
        <v/>
      </c>
      <c r="IJ1552" s="42" t="str">
        <f t="array" aca="1" ref="IJ1552" ca="1">IFERROR(INDEX(nombres[],SMALL(IF(OFFSET(nombres[],0,0,ROWS(nombres[]),1)=IJ$1490,ROW(OFFSET(nombres[],0,0,ROWS(nombres[]),1))-ROW(OFFSET(nombres[],0,0,1,1))+1,ROW(OFFSET(nombres[],ROWS(nombres[])-1,0,1,1))+1),$O1552:$O1571),3),"")</f>
        <v/>
      </c>
      <c r="IK1552" s="42" t="str">
        <f t="array" aca="1" ref="IK1552" ca="1">IFERROR(INDEX(nombres[],SMALL(IF(OFFSET(nombres[],0,0,ROWS(nombres[]),1)=IK$1490,ROW(OFFSET(nombres[],0,0,ROWS(nombres[]),1))-ROW(OFFSET(nombres[],0,0,1,1))+1,ROW(OFFSET(nombres[],ROWS(nombres[])-1,0,1,1))+1),$O1552:$O1571),3),"")</f>
        <v/>
      </c>
      <c r="IL1552" s="42" t="str">
        <f t="array" aca="1" ref="IL1552" ca="1">IFERROR(INDEX(nombres[],SMALL(IF(OFFSET(nombres[],0,0,ROWS(nombres[]),1)=IL$1490,ROW(OFFSET(nombres[],0,0,ROWS(nombres[]),1))-ROW(OFFSET(nombres[],0,0,1,1))+1,ROW(OFFSET(nombres[],ROWS(nombres[])-1,0,1,1))+1),$O1552:$O1571),3),"")</f>
        <v/>
      </c>
      <c r="IM1552" s="42" t="str">
        <f t="array" aca="1" ref="IM1552" ca="1">IFERROR(INDEX(nombres[],SMALL(IF(OFFSET(nombres[],0,0,ROWS(nombres[]),1)=IM$1490,ROW(OFFSET(nombres[],0,0,ROWS(nombres[]),1))-ROW(OFFSET(nombres[],0,0,1,1))+1,ROW(OFFSET(nombres[],ROWS(nombres[])-1,0,1,1))+1),$O1552:$O1571),3),"")</f>
        <v/>
      </c>
      <c r="IN1552" s="42" t="str">
        <f t="array" aca="1" ref="IN1552" ca="1">IFERROR(INDEX(nombres[],SMALL(IF(OFFSET(nombres[],0,0,ROWS(nombres[]),1)=IN$1490,ROW(OFFSET(nombres[],0,0,ROWS(nombres[]),1))-ROW(OFFSET(nombres[],0,0,1,1))+1,ROW(OFFSET(nombres[],ROWS(nombres[])-1,0,1,1))+1),$O1552:$O1571),3),"")</f>
        <v/>
      </c>
      <c r="IO1552" s="42" t="str">
        <f t="array" aca="1" ref="IO1552" ca="1">IFERROR(INDEX(nombres[],SMALL(IF(OFFSET(nombres[],0,0,ROWS(nombres[]),1)=IO$1490,ROW(OFFSET(nombres[],0,0,ROWS(nombres[]),1))-ROW(OFFSET(nombres[],0,0,1,1))+1,ROW(OFFSET(nombres[],ROWS(nombres[])-1,0,1,1))+1),$O1552:$O1571),3),"")</f>
        <v/>
      </c>
      <c r="IP1552" s="42" t="str">
        <f t="array" aca="1" ref="IP1552" ca="1">IFERROR(INDEX(nombres[],SMALL(IF(OFFSET(nombres[],0,0,ROWS(nombres[]),1)=IP$1490,ROW(OFFSET(nombres[],0,0,ROWS(nombres[]),1))-ROW(OFFSET(nombres[],0,0,1,1))+1,ROW(OFFSET(nombres[],ROWS(nombres[])-1,0,1,1))+1),$O1552:$O1571),3),"")</f>
        <v/>
      </c>
      <c r="IQ1552" s="42" t="str">
        <f t="array" aca="1" ref="IQ1552" ca="1">IFERROR(INDEX(nombres[],SMALL(IF(OFFSET(nombres[],0,0,ROWS(nombres[]),1)=IQ$1490,ROW(OFFSET(nombres[],0,0,ROWS(nombres[]),1))-ROW(OFFSET(nombres[],0,0,1,1))+1,ROW(OFFSET(nombres[],ROWS(nombres[])-1,0,1,1))+1),$O1552:$O1571),3),"")</f>
        <v/>
      </c>
      <c r="IR1552" s="42" t="str">
        <f t="array" aca="1" ref="IR1552" ca="1">IFERROR(INDEX(nombres[],SMALL(IF(OFFSET(nombres[],0,0,ROWS(nombres[]),1)=IR$1490,ROW(OFFSET(nombres[],0,0,ROWS(nombres[]),1))-ROW(OFFSET(nombres[],0,0,1,1))+1,ROW(OFFSET(nombres[],ROWS(nombres[])-1,0,1,1))+1),$O1552:$O1571),3),"")</f>
        <v/>
      </c>
      <c r="IS1552" s="42" t="str">
        <f t="array" aca="1" ref="IS1552" ca="1">IFERROR(INDEX(nombres[],SMALL(IF(OFFSET(nombres[],0,0,ROWS(nombres[]),1)=IS$1490,ROW(OFFSET(nombres[],0,0,ROWS(nombres[]),1))-ROW(OFFSET(nombres[],0,0,1,1))+1,ROW(OFFSET(nombres[],ROWS(nombres[])-1,0,1,1))+1),$O1552:$O1571),3),"")</f>
        <v/>
      </c>
      <c r="IT1552" s="42" t="str">
        <f t="array" aca="1" ref="IT1552" ca="1">IFERROR(INDEX(nombres[],SMALL(IF(OFFSET(nombres[],0,0,ROWS(nombres[]),1)=IT$1490,ROW(OFFSET(nombres[],0,0,ROWS(nombres[]),1))-ROW(OFFSET(nombres[],0,0,1,1))+1,ROW(OFFSET(nombres[],ROWS(nombres[])-1,0,1,1))+1),$O1552:$O1571),3),"")</f>
        <v/>
      </c>
      <c r="IU1552" s="42" t="str">
        <f t="array" aca="1" ref="IU1552" ca="1">IFERROR(INDEX(nombres[],SMALL(IF(OFFSET(nombres[],0,0,ROWS(nombres[]),1)=IU$1490,ROW(OFFSET(nombres[],0,0,ROWS(nombres[]),1))-ROW(OFFSET(nombres[],0,0,1,1))+1,ROW(OFFSET(nombres[],ROWS(nombres[])-1,0,1,1))+1),$O1552:$O1571),3),"")</f>
        <v/>
      </c>
      <c r="IV1552" s="42" t="str">
        <f t="array" aca="1" ref="IV1552" ca="1">IFERROR(INDEX(nombres[],SMALL(IF(OFFSET(nombres[],0,0,ROWS(nombres[]),1)=IV$1490,ROW(OFFSET(nombres[],0,0,ROWS(nombres[]),1))-ROW(OFFSET(nombres[],0,0,1,1))+1,ROW(OFFSET(nombres[],ROWS(nombres[])-1,0,1,1))+1),$O1552:$O1571),3),"")</f>
        <v/>
      </c>
      <c r="IW1552" s="42" t="str">
        <f t="array" aca="1" ref="IW1552" ca="1">IFERROR(INDEX(nombres[],SMALL(IF(OFFSET(nombres[],0,0,ROWS(nombres[]),1)=IW$1490,ROW(OFFSET(nombres[],0,0,ROWS(nombres[]),1))-ROW(OFFSET(nombres[],0,0,1,1))+1,ROW(OFFSET(nombres[],ROWS(nombres[])-1,0,1,1))+1),$O1552:$O1571),3),"")</f>
        <v/>
      </c>
      <c r="IX1552" s="42" t="str">
        <f t="array" aca="1" ref="IX1552" ca="1">IFERROR(INDEX(nombres[],SMALL(IF(OFFSET(nombres[],0,0,ROWS(nombres[]),1)=IX$1490,ROW(OFFSET(nombres[],0,0,ROWS(nombres[]),1))-ROW(OFFSET(nombres[],0,0,1,1))+1,ROW(OFFSET(nombres[],ROWS(nombres[])-1,0,1,1))+1),$O1552:$O1571),3),"")</f>
        <v/>
      </c>
      <c r="IY1552" s="42" t="str">
        <f t="array" aca="1" ref="IY1552" ca="1">IFERROR(INDEX(nombres[],SMALL(IF(OFFSET(nombres[],0,0,ROWS(nombres[]),1)=IY$1490,ROW(OFFSET(nombres[],0,0,ROWS(nombres[]),1))-ROW(OFFSET(nombres[],0,0,1,1))+1,ROW(OFFSET(nombres[],ROWS(nombres[])-1,0,1,1))+1),$O1552:$O1571),3),"")</f>
        <v/>
      </c>
      <c r="IZ1552" s="42" t="str">
        <f t="array" aca="1" ref="IZ1552" ca="1">IFERROR(INDEX(nombres[],SMALL(IF(OFFSET(nombres[],0,0,ROWS(nombres[]),1)=IZ$1490,ROW(OFFSET(nombres[],0,0,ROWS(nombres[]),1))-ROW(OFFSET(nombres[],0,0,1,1))+1,ROW(OFFSET(nombres[],ROWS(nombres[])-1,0,1,1))+1),$O1552:$O1571),3),"")</f>
        <v/>
      </c>
      <c r="JA1552" s="42" t="str">
        <f t="array" aca="1" ref="JA1552" ca="1">IFERROR(INDEX(nombres[],SMALL(IF(OFFSET(nombres[],0,0,ROWS(nombres[]),1)=JA$1490,ROW(OFFSET(nombres[],0,0,ROWS(nombres[]),1))-ROW(OFFSET(nombres[],0,0,1,1))+1,ROW(OFFSET(nombres[],ROWS(nombres[])-1,0,1,1))+1),$O1552:$O1571),3),"")</f>
        <v/>
      </c>
      <c r="JB1552" s="42" t="str">
        <f t="array" aca="1" ref="JB1552" ca="1">IFERROR(INDEX(nombres[],SMALL(IF(OFFSET(nombres[],0,0,ROWS(nombres[]),1)=JB$1490,ROW(OFFSET(nombres[],0,0,ROWS(nombres[]),1))-ROW(OFFSET(nombres[],0,0,1,1))+1,ROW(OFFSET(nombres[],ROWS(nombres[])-1,0,1,1))+1),$O1552:$O1571),3),"")</f>
        <v/>
      </c>
      <c r="JC1552" s="42" t="str">
        <f t="array" aca="1" ref="JC1552" ca="1">IFERROR(INDEX(nombres[],SMALL(IF(OFFSET(nombres[],0,0,ROWS(nombres[]),1)=JC$1490,ROW(OFFSET(nombres[],0,0,ROWS(nombres[]),1))-ROW(OFFSET(nombres[],0,0,1,1))+1,ROW(OFFSET(nombres[],ROWS(nombres[])-1,0,1,1))+1),$O1552:$O1571),3),"")</f>
        <v/>
      </c>
      <c r="JD1552" s="42" t="str">
        <f t="array" aca="1" ref="JD1552" ca="1">IFERROR(INDEX(nombres[],SMALL(IF(OFFSET(nombres[],0,0,ROWS(nombres[]),1)=JD$1490,ROW(OFFSET(nombres[],0,0,ROWS(nombres[]),1))-ROW(OFFSET(nombres[],0,0,1,1))+1,ROW(OFFSET(nombres[],ROWS(nombres[])-1,0,1,1))+1),$O1552:$O1571),3),"")</f>
        <v/>
      </c>
      <c r="JE1552" s="42" t="str">
        <f t="array" aca="1" ref="JE1552" ca="1">IFERROR(INDEX(nombres[],SMALL(IF(OFFSET(nombres[],0,0,ROWS(nombres[]),1)=JE$1490,ROW(OFFSET(nombres[],0,0,ROWS(nombres[]),1))-ROW(OFFSET(nombres[],0,0,1,1))+1,ROW(OFFSET(nombres[],ROWS(nombres[])-1,0,1,1))+1),$O1552:$O1571),3),"")</f>
        <v/>
      </c>
      <c r="JF1552" s="42" t="str">
        <f t="array" aca="1" ref="JF1552" ca="1">IFERROR(INDEX(nombres[],SMALL(IF(OFFSET(nombres[],0,0,ROWS(nombres[]),1)=JF$1490,ROW(OFFSET(nombres[],0,0,ROWS(nombres[]),1))-ROW(OFFSET(nombres[],0,0,1,1))+1,ROW(OFFSET(nombres[],ROWS(nombres[])-1,0,1,1))+1),$O1552:$O1571),3),"")</f>
        <v/>
      </c>
      <c r="JG1552" s="42" t="str">
        <f t="array" aca="1" ref="JG1552" ca="1">IFERROR(INDEX(nombres[],SMALL(IF(OFFSET(nombres[],0,0,ROWS(nombres[]),1)=JG$1490,ROW(OFFSET(nombres[],0,0,ROWS(nombres[]),1))-ROW(OFFSET(nombres[],0,0,1,1))+1,ROW(OFFSET(nombres[],ROWS(nombres[])-1,0,1,1))+1),$O1552:$O1571),3),"")</f>
        <v/>
      </c>
      <c r="JH1552" s="42" t="str">
        <f t="array" aca="1" ref="JH1552" ca="1">IFERROR(INDEX(nombres[],SMALL(IF(OFFSET(nombres[],0,0,ROWS(nombres[]),1)=JH$1490,ROW(OFFSET(nombres[],0,0,ROWS(nombres[]),1))-ROW(OFFSET(nombres[],0,0,1,1))+1,ROW(OFFSET(nombres[],ROWS(nombres[])-1,0,1,1))+1),$O1552:$O1571),3),"")</f>
        <v/>
      </c>
      <c r="JI1552" s="42" t="str">
        <f t="array" aca="1" ref="JI1552" ca="1">IFERROR(INDEX(nombres[],SMALL(IF(OFFSET(nombres[],0,0,ROWS(nombres[]),1)=JI$1490,ROW(OFFSET(nombres[],0,0,ROWS(nombres[]),1))-ROW(OFFSET(nombres[],0,0,1,1))+1,ROW(OFFSET(nombres[],ROWS(nombres[])-1,0,1,1))+1),$O1552:$O1571),3),"")</f>
        <v/>
      </c>
      <c r="JJ1552" s="42" t="str">
        <f t="array" aca="1" ref="JJ1552" ca="1">IFERROR(INDEX(nombres[],SMALL(IF(OFFSET(nombres[],0,0,ROWS(nombres[]),1)=JJ$1490,ROW(OFFSET(nombres[],0,0,ROWS(nombres[]),1))-ROW(OFFSET(nombres[],0,0,1,1))+1,ROW(OFFSET(nombres[],ROWS(nombres[])-1,0,1,1))+1),$O1552:$O1571),3),"")</f>
        <v/>
      </c>
      <c r="JK1552" s="42" t="str">
        <f t="array" aca="1" ref="JK1552" ca="1">IFERROR(INDEX(nombres[],SMALL(IF(OFFSET(nombres[],0,0,ROWS(nombres[]),1)=JK$1490,ROW(OFFSET(nombres[],0,0,ROWS(nombres[]),1))-ROW(OFFSET(nombres[],0,0,1,1))+1,ROW(OFFSET(nombres[],ROWS(nombres[])-1,0,1,1))+1),$O1552:$O1571),3),"")</f>
        <v/>
      </c>
      <c r="JL1552" s="42" t="str">
        <f t="array" aca="1" ref="JL1552" ca="1">IFERROR(INDEX(nombres[],SMALL(IF(OFFSET(nombres[],0,0,ROWS(nombres[]),1)=JL$1490,ROW(OFFSET(nombres[],0,0,ROWS(nombres[]),1))-ROW(OFFSET(nombres[],0,0,1,1))+1,ROW(OFFSET(nombres[],ROWS(nombres[])-1,0,1,1))+1),$O1552:$O1571),3),"")</f>
        <v/>
      </c>
      <c r="JM1552" s="42" t="str">
        <f t="array" aca="1" ref="JM1552" ca="1">IFERROR(INDEX(nombres[],SMALL(IF(OFFSET(nombres[],0,0,ROWS(nombres[]),1)=JM$1490,ROW(OFFSET(nombres[],0,0,ROWS(nombres[]),1))-ROW(OFFSET(nombres[],0,0,1,1))+1,ROW(OFFSET(nombres[],ROWS(nombres[])-1,0,1,1))+1),$O1552:$O1571),3),"")</f>
        <v/>
      </c>
      <c r="JN1552" s="42" t="str">
        <f t="array" aca="1" ref="JN1552" ca="1">IFERROR(INDEX(nombres[],SMALL(IF(OFFSET(nombres[],0,0,ROWS(nombres[]),1)=JN$1490,ROW(OFFSET(nombres[],0,0,ROWS(nombres[]),1))-ROW(OFFSET(nombres[],0,0,1,1))+1,ROW(OFFSET(nombres[],ROWS(nombres[])-1,0,1,1))+1),$O1552:$O1571),3),"")</f>
        <v/>
      </c>
      <c r="JO1552" s="42" t="str">
        <f t="array" aca="1" ref="JO1552" ca="1">IFERROR(INDEX(nombres[],SMALL(IF(OFFSET(nombres[],0,0,ROWS(nombres[]),1)=JO$1490,ROW(OFFSET(nombres[],0,0,ROWS(nombres[]),1))-ROW(OFFSET(nombres[],0,0,1,1))+1,ROW(OFFSET(nombres[],ROWS(nombres[])-1,0,1,1))+1),$O1552:$O1571),3),"")</f>
        <v/>
      </c>
      <c r="JP1552" s="42" t="str">
        <f t="array" aca="1" ref="JP1552" ca="1">IFERROR(INDEX(nombres[],SMALL(IF(OFFSET(nombres[],0,0,ROWS(nombres[]),1)=JP$1490,ROW(OFFSET(nombres[],0,0,ROWS(nombres[]),1))-ROW(OFFSET(nombres[],0,0,1,1))+1,ROW(OFFSET(nombres[],ROWS(nombres[])-1,0,1,1))+1),$O1552:$O1571),3),"")</f>
        <v/>
      </c>
      <c r="JQ1552" s="42" t="str">
        <f t="array" aca="1" ref="JQ1552" ca="1">IFERROR(INDEX(nombres[],SMALL(IF(OFFSET(nombres[],0,0,ROWS(nombres[]),1)=JQ$1490,ROW(OFFSET(nombres[],0,0,ROWS(nombres[]),1))-ROW(OFFSET(nombres[],0,0,1,1))+1,ROW(OFFSET(nombres[],ROWS(nombres[])-1,0,1,1))+1),$O1552:$O1571),3),"")</f>
        <v/>
      </c>
      <c r="JR1552" s="42" t="str">
        <f t="array" aca="1" ref="JR1552" ca="1">IFERROR(INDEX(nombres[],SMALL(IF(OFFSET(nombres[],0,0,ROWS(nombres[]),1)=JR$1490,ROW(OFFSET(nombres[],0,0,ROWS(nombres[]),1))-ROW(OFFSET(nombres[],0,0,1,1))+1,ROW(OFFSET(nombres[],ROWS(nombres[])-1,0,1,1))+1),$O1552:$O1571),3),"")</f>
        <v/>
      </c>
      <c r="JS1552" s="42" t="str">
        <f t="array" aca="1" ref="JS1552" ca="1">IFERROR(INDEX(nombres[],SMALL(IF(OFFSET(nombres[],0,0,ROWS(nombres[]),1)=JS$1490,ROW(OFFSET(nombres[],0,0,ROWS(nombres[]),1))-ROW(OFFSET(nombres[],0,0,1,1))+1,ROW(OFFSET(nombres[],ROWS(nombres[])-1,0,1,1))+1),$O1552:$O1571),3),"")</f>
        <v/>
      </c>
      <c r="JT1552" s="42" t="str">
        <f t="array" aca="1" ref="JT1552" ca="1">IFERROR(INDEX(nombres[],SMALL(IF(OFFSET(nombres[],0,0,ROWS(nombres[]),1)=JT$1490,ROW(OFFSET(nombres[],0,0,ROWS(nombres[]),1))-ROW(OFFSET(nombres[],0,0,1,1))+1,ROW(OFFSET(nombres[],ROWS(nombres[])-1,0,1,1))+1),$O1552:$O1571),3),"")</f>
        <v/>
      </c>
      <c r="JU1552" s="42" t="str">
        <f t="array" aca="1" ref="JU1552" ca="1">IFERROR(INDEX(nombres[],SMALL(IF(OFFSET(nombres[],0,0,ROWS(nombres[]),1)=JU$1490,ROW(OFFSET(nombres[],0,0,ROWS(nombres[]),1))-ROW(OFFSET(nombres[],0,0,1,1))+1,ROW(OFFSET(nombres[],ROWS(nombres[])-1,0,1,1))+1),$O1552:$O1571),3),"")</f>
        <v/>
      </c>
      <c r="JV1552" s="42" t="str">
        <f t="array" aca="1" ref="JV1552" ca="1">IFERROR(INDEX(nombres[],SMALL(IF(OFFSET(nombres[],0,0,ROWS(nombres[]),1)=JV$1490,ROW(OFFSET(nombres[],0,0,ROWS(nombres[]),1))-ROW(OFFSET(nombres[],0,0,1,1))+1,ROW(OFFSET(nombres[],ROWS(nombres[])-1,0,1,1))+1),$O1552:$O1571),3),"")</f>
        <v/>
      </c>
      <c r="JW1552" s="42" t="str">
        <f t="array" aca="1" ref="JW1552" ca="1">IFERROR(INDEX(nombres[],SMALL(IF(OFFSET(nombres[],0,0,ROWS(nombres[]),1)=JW$1490,ROW(OFFSET(nombres[],0,0,ROWS(nombres[]),1))-ROW(OFFSET(nombres[],0,0,1,1))+1,ROW(OFFSET(nombres[],ROWS(nombres[])-1,0,1,1))+1),$O1552:$O1571),3),"")</f>
        <v/>
      </c>
      <c r="JX1552" s="42" t="str">
        <f t="array" aca="1" ref="JX1552" ca="1">IFERROR(INDEX(nombres[],SMALL(IF(OFFSET(nombres[],0,0,ROWS(nombres[]),1)=JX$1490,ROW(OFFSET(nombres[],0,0,ROWS(nombres[]),1))-ROW(OFFSET(nombres[],0,0,1,1))+1,ROW(OFFSET(nombres[],ROWS(nombres[])-1,0,1,1))+1),$O1552:$O1571),3),"")</f>
        <v/>
      </c>
      <c r="JY1552" s="42" t="str">
        <f t="array" aca="1" ref="JY1552" ca="1">IFERROR(INDEX(nombres[],SMALL(IF(OFFSET(nombres[],0,0,ROWS(nombres[]),1)=JY$1490,ROW(OFFSET(nombres[],0,0,ROWS(nombres[]),1))-ROW(OFFSET(nombres[],0,0,1,1))+1,ROW(OFFSET(nombres[],ROWS(nombres[])-1,0,1,1))+1),$O1552:$O1571),3),"")</f>
        <v/>
      </c>
      <c r="JZ1552" s="42" t="str">
        <f t="array" aca="1" ref="JZ1552" ca="1">IFERROR(INDEX(nombres[],SMALL(IF(OFFSET(nombres[],0,0,ROWS(nombres[]),1)=JZ$1490,ROW(OFFSET(nombres[],0,0,ROWS(nombres[]),1))-ROW(OFFSET(nombres[],0,0,1,1))+1,ROW(OFFSET(nombres[],ROWS(nombres[])-1,0,1,1))+1),$O1552:$O1571),3),"")</f>
        <v/>
      </c>
      <c r="KA1552" s="42" t="str">
        <f t="array" aca="1" ref="KA1552" ca="1">IFERROR(INDEX(nombres[],SMALL(IF(OFFSET(nombres[],0,0,ROWS(nombres[]),1)=KA$1490,ROW(OFFSET(nombres[],0,0,ROWS(nombres[]),1))-ROW(OFFSET(nombres[],0,0,1,1))+1,ROW(OFFSET(nombres[],ROWS(nombres[])-1,0,1,1))+1),$O1552:$O1571),3),"")</f>
        <v/>
      </c>
      <c r="KB1552" s="42" t="str">
        <f t="array" aca="1" ref="KB1552" ca="1">IFERROR(INDEX(nombres[],SMALL(IF(OFFSET(nombres[],0,0,ROWS(nombres[]),1)=KB$1490,ROW(OFFSET(nombres[],0,0,ROWS(nombres[]),1))-ROW(OFFSET(nombres[],0,0,1,1))+1,ROW(OFFSET(nombres[],ROWS(nombres[])-1,0,1,1))+1),$O1552:$O1571),3),"")</f>
        <v/>
      </c>
      <c r="KC1552" s="42" t="str">
        <f t="array" aca="1" ref="KC1552" ca="1">IFERROR(INDEX(nombres[],SMALL(IF(OFFSET(nombres[],0,0,ROWS(nombres[]),1)=KC$1490,ROW(OFFSET(nombres[],0,0,ROWS(nombres[]),1))-ROW(OFFSET(nombres[],0,0,1,1))+1,ROW(OFFSET(nombres[],ROWS(nombres[])-1,0,1,1))+1),$O1552:$O1571),3),"")</f>
        <v/>
      </c>
      <c r="KD1552" s="42" t="str">
        <f t="array" aca="1" ref="KD1552" ca="1">IFERROR(INDEX(nombres[],SMALL(IF(OFFSET(nombres[],0,0,ROWS(nombres[]),1)=KD$1490,ROW(OFFSET(nombres[],0,0,ROWS(nombres[]),1))-ROW(OFFSET(nombres[],0,0,1,1))+1,ROW(OFFSET(nombres[],ROWS(nombres[])-1,0,1,1))+1),$O1552:$O1571),3),"")</f>
        <v/>
      </c>
      <c r="KE1552" s="42" t="str">
        <f t="array" aca="1" ref="KE1552" ca="1">IFERROR(INDEX(nombres[],SMALL(IF(OFFSET(nombres[],0,0,ROWS(nombres[]),1)=KE$1490,ROW(OFFSET(nombres[],0,0,ROWS(nombres[]),1))-ROW(OFFSET(nombres[],0,0,1,1))+1,ROW(OFFSET(nombres[],ROWS(nombres[])-1,0,1,1))+1),$O1552:$O1571),3),"")</f>
        <v/>
      </c>
      <c r="KF1552" s="42" t="str">
        <f t="array" aca="1" ref="KF1552" ca="1">IFERROR(INDEX(nombres[],SMALL(IF(OFFSET(nombres[],0,0,ROWS(nombres[]),1)=KF$1490,ROW(OFFSET(nombres[],0,0,ROWS(nombres[]),1))-ROW(OFFSET(nombres[],0,0,1,1))+1,ROW(OFFSET(nombres[],ROWS(nombres[])-1,0,1,1))+1),$O1552:$O1571),3),"")</f>
        <v/>
      </c>
      <c r="KG1552" s="42" t="str">
        <f t="array" aca="1" ref="KG1552" ca="1">IFERROR(INDEX(nombres[],SMALL(IF(OFFSET(nombres[],0,0,ROWS(nombres[]),1)=KG$1490,ROW(OFFSET(nombres[],0,0,ROWS(nombres[]),1))-ROW(OFFSET(nombres[],0,0,1,1))+1,ROW(OFFSET(nombres[],ROWS(nombres[])-1,0,1,1))+1),$O1552:$O1571),3),"")</f>
        <v/>
      </c>
      <c r="KH1552" s="42" t="str">
        <f t="array" aca="1" ref="KH1552" ca="1">IFERROR(INDEX(nombres[],SMALL(IF(OFFSET(nombres[],0,0,ROWS(nombres[]),1)=KH$1490,ROW(OFFSET(nombres[],0,0,ROWS(nombres[]),1))-ROW(OFFSET(nombres[],0,0,1,1))+1,ROW(OFFSET(nombres[],ROWS(nombres[])-1,0,1,1))+1),$O1552:$O1571),3),"")</f>
        <v/>
      </c>
      <c r="KI1552" s="42" t="str">
        <f t="array" aca="1" ref="KI1552" ca="1">IFERROR(INDEX(nombres[],SMALL(IF(OFFSET(nombres[],0,0,ROWS(nombres[]),1)=KI$1490,ROW(OFFSET(nombres[],0,0,ROWS(nombres[]),1))-ROW(OFFSET(nombres[],0,0,1,1))+1,ROW(OFFSET(nombres[],ROWS(nombres[])-1,0,1,1))+1),$O1552:$O1571),3),"")</f>
        <v/>
      </c>
      <c r="KJ1552" s="42" t="str">
        <f t="array" aca="1" ref="KJ1552" ca="1">IFERROR(INDEX(nombres[],SMALL(IF(OFFSET(nombres[],0,0,ROWS(nombres[]),1)=KJ$1490,ROW(OFFSET(nombres[],0,0,ROWS(nombres[]),1))-ROW(OFFSET(nombres[],0,0,1,1))+1,ROW(OFFSET(nombres[],ROWS(nombres[])-1,0,1,1))+1),$O1552:$O1571),3),"")</f>
        <v/>
      </c>
      <c r="KK1552" s="42" t="str">
        <f t="array" aca="1" ref="KK1552" ca="1">IFERROR(INDEX(nombres[],SMALL(IF(OFFSET(nombres[],0,0,ROWS(nombres[]),1)=KK$1490,ROW(OFFSET(nombres[],0,0,ROWS(nombres[]),1))-ROW(OFFSET(nombres[],0,0,1,1))+1,ROW(OFFSET(nombres[],ROWS(nombres[])-1,0,1,1))+1),$O1552:$O1571),3),"")</f>
        <v/>
      </c>
      <c r="KL1552" s="42" t="str">
        <f t="array" aca="1" ref="KL1552" ca="1">IFERROR(INDEX(nombres[],SMALL(IF(OFFSET(nombres[],0,0,ROWS(nombres[]),1)=KL$1490,ROW(OFFSET(nombres[],0,0,ROWS(nombres[]),1))-ROW(OFFSET(nombres[],0,0,1,1))+1,ROW(OFFSET(nombres[],ROWS(nombres[])-1,0,1,1))+1),$O1552:$O1571),3),"")</f>
        <v/>
      </c>
      <c r="KM1552" s="42" t="str">
        <f t="array" aca="1" ref="KM1552" ca="1">IFERROR(INDEX(nombres[],SMALL(IF(OFFSET(nombres[],0,0,ROWS(nombres[]),1)=KM$1490,ROW(OFFSET(nombres[],0,0,ROWS(nombres[]),1))-ROW(OFFSET(nombres[],0,0,1,1))+1,ROW(OFFSET(nombres[],ROWS(nombres[])-1,0,1,1))+1),$O1552:$O1571),3),"")</f>
        <v/>
      </c>
      <c r="KN1552" s="42" t="str">
        <f t="array" aca="1" ref="KN1552" ca="1">IFERROR(INDEX(nombres[],SMALL(IF(OFFSET(nombres[],0,0,ROWS(nombres[]),1)=KN$1490,ROW(OFFSET(nombres[],0,0,ROWS(nombres[]),1))-ROW(OFFSET(nombres[],0,0,1,1))+1,ROW(OFFSET(nombres[],ROWS(nombres[])-1,0,1,1))+1),$O1552:$O1571),3),"")</f>
        <v/>
      </c>
      <c r="KO1552" s="42" t="str">
        <f t="array" aca="1" ref="KO1552" ca="1">IFERROR(INDEX(nombres[],SMALL(IF(OFFSET(nombres[],0,0,ROWS(nombres[]),1)=KO$1490,ROW(OFFSET(nombres[],0,0,ROWS(nombres[]),1))-ROW(OFFSET(nombres[],0,0,1,1))+1,ROW(OFFSET(nombres[],ROWS(nombres[])-1,0,1,1))+1),$O1552:$O1571),3),"")</f>
        <v/>
      </c>
      <c r="KP1552" s="42" t="str">
        <f t="array" aca="1" ref="KP1552" ca="1">IFERROR(INDEX(nombres[],SMALL(IF(OFFSET(nombres[],0,0,ROWS(nombres[]),1)=KP$1490,ROW(OFFSET(nombres[],0,0,ROWS(nombres[]),1))-ROW(OFFSET(nombres[],0,0,1,1))+1,ROW(OFFSET(nombres[],ROWS(nombres[])-1,0,1,1))+1),$O1552:$O1571),3),"")</f>
        <v/>
      </c>
      <c r="KQ1552" s="42" t="str">
        <f t="array" aca="1" ref="KQ1552" ca="1">IFERROR(INDEX(nombres[],SMALL(IF(OFFSET(nombres[],0,0,ROWS(nombres[]),1)=KQ$1490,ROW(OFFSET(nombres[],0,0,ROWS(nombres[]),1))-ROW(OFFSET(nombres[],0,0,1,1))+1,ROW(OFFSET(nombres[],ROWS(nombres[])-1,0,1,1))+1),$O1552:$O1571),3),"")</f>
        <v/>
      </c>
      <c r="KR1552" s="42" t="str">
        <f t="array" aca="1" ref="KR1552" ca="1">IFERROR(INDEX(nombres[],SMALL(IF(OFFSET(nombres[],0,0,ROWS(nombres[]),1)=KR$1490,ROW(OFFSET(nombres[],0,0,ROWS(nombres[]),1))-ROW(OFFSET(nombres[],0,0,1,1))+1,ROW(OFFSET(nombres[],ROWS(nombres[])-1,0,1,1))+1),$O1552:$O1571),3),"")</f>
        <v/>
      </c>
      <c r="KS1552" s="42" t="str">
        <f t="array" aca="1" ref="KS1552" ca="1">IFERROR(INDEX(nombres[],SMALL(IF(OFFSET(nombres[],0,0,ROWS(nombres[]),1)=KS$1490,ROW(OFFSET(nombres[],0,0,ROWS(nombres[]),1))-ROW(OFFSET(nombres[],0,0,1,1))+1,ROW(OFFSET(nombres[],ROWS(nombres[])-1,0,1,1))+1),$O1552:$O1571),3),"")</f>
        <v/>
      </c>
      <c r="KT1552" s="42" t="str">
        <f t="array" aca="1" ref="KT1552" ca="1">IFERROR(INDEX(nombres[],SMALL(IF(OFFSET(nombres[],0,0,ROWS(nombres[]),1)=KT$1490,ROW(OFFSET(nombres[],0,0,ROWS(nombres[]),1))-ROW(OFFSET(nombres[],0,0,1,1))+1,ROW(OFFSET(nombres[],ROWS(nombres[])-1,0,1,1))+1),$O1552:$O1571),3),"")</f>
        <v/>
      </c>
      <c r="KU1552" s="42" t="str">
        <f t="array" aca="1" ref="KU1552" ca="1">IFERROR(INDEX(nombres[],SMALL(IF(OFFSET(nombres[],0,0,ROWS(nombres[]),1)=KU$1490,ROW(OFFSET(nombres[],0,0,ROWS(nombres[]),1))-ROW(OFFSET(nombres[],0,0,1,1))+1,ROW(OFFSET(nombres[],ROWS(nombres[])-1,0,1,1))+1),$O1552:$O1571),3),"")</f>
        <v/>
      </c>
      <c r="KV1552" s="42" t="str">
        <f t="array" aca="1" ref="KV1552" ca="1">IFERROR(INDEX(nombres[],SMALL(IF(OFFSET(nombres[],0,0,ROWS(nombres[]),1)=KV$1490,ROW(OFFSET(nombres[],0,0,ROWS(nombres[]),1))-ROW(OFFSET(nombres[],0,0,1,1))+1,ROW(OFFSET(nombres[],ROWS(nombres[])-1,0,1,1))+1),$O1552:$O1571),3),"")</f>
        <v/>
      </c>
      <c r="KW1552" s="42" t="str">
        <f t="array" aca="1" ref="KW1552" ca="1">IFERROR(INDEX(nombres[],SMALL(IF(OFFSET(nombres[],0,0,ROWS(nombres[]),1)=KW$1490,ROW(OFFSET(nombres[],0,0,ROWS(nombres[]),1))-ROW(OFFSET(nombres[],0,0,1,1))+1,ROW(OFFSET(nombres[],ROWS(nombres[])-1,0,1,1))+1),$O1552:$O1571),3),"")</f>
        <v/>
      </c>
      <c r="KX1552" s="42" t="str">
        <f t="array" aca="1" ref="KX1552" ca="1">IFERROR(INDEX(nombres[],SMALL(IF(OFFSET(nombres[],0,0,ROWS(nombres[]),1)=KX$1490,ROW(OFFSET(nombres[],0,0,ROWS(nombres[]),1))-ROW(OFFSET(nombres[],0,0,1,1))+1,ROW(OFFSET(nombres[],ROWS(nombres[])-1,0,1,1))+1),$O1552:$O1571),3),"")</f>
        <v/>
      </c>
      <c r="KY1552" s="42" t="str">
        <f t="array" aca="1" ref="KY1552" ca="1">IFERROR(INDEX(nombres[],SMALL(IF(OFFSET(nombres[],0,0,ROWS(nombres[]),1)=KY$1490,ROW(OFFSET(nombres[],0,0,ROWS(nombres[]),1))-ROW(OFFSET(nombres[],0,0,1,1))+1,ROW(OFFSET(nombres[],ROWS(nombres[])-1,0,1,1))+1),$O1552:$O1571),3),"")</f>
        <v/>
      </c>
      <c r="KZ1552" s="42" t="str">
        <f t="array" aca="1" ref="KZ1552" ca="1">IFERROR(INDEX(nombres[],SMALL(IF(OFFSET(nombres[],0,0,ROWS(nombres[]),1)=KZ$1490,ROW(OFFSET(nombres[],0,0,ROWS(nombres[]),1))-ROW(OFFSET(nombres[],0,0,1,1))+1,ROW(OFFSET(nombres[],ROWS(nombres[])-1,0,1,1))+1),$O1552:$O1571),3),"")</f>
        <v/>
      </c>
      <c r="LA1552" s="42" t="str">
        <f t="array" aca="1" ref="LA1552" ca="1">IFERROR(INDEX(nombres[],SMALL(IF(OFFSET(nombres[],0,0,ROWS(nombres[]),1)=LA$1490,ROW(OFFSET(nombres[],0,0,ROWS(nombres[]),1))-ROW(OFFSET(nombres[],0,0,1,1))+1,ROW(OFFSET(nombres[],ROWS(nombres[])-1,0,1,1))+1),$O1552:$O1571),3),"")</f>
        <v/>
      </c>
      <c r="LB1552" s="42" t="str">
        <f t="array" aca="1" ref="LB1552" ca="1">IFERROR(INDEX(nombres[],SMALL(IF(OFFSET(nombres[],0,0,ROWS(nombres[]),1)=LB$1490,ROW(OFFSET(nombres[],0,0,ROWS(nombres[]),1))-ROW(OFFSET(nombres[],0,0,1,1))+1,ROW(OFFSET(nombres[],ROWS(nombres[])-1,0,1,1))+1),$O1552:$O1571),3),"")</f>
        <v/>
      </c>
      <c r="LC1552" s="42" t="str">
        <f t="array" aca="1" ref="LC1552" ca="1">IFERROR(INDEX(nombres[],SMALL(IF(OFFSET(nombres[],0,0,ROWS(nombres[]),1)=LC$1490,ROW(OFFSET(nombres[],0,0,ROWS(nombres[]),1))-ROW(OFFSET(nombres[],0,0,1,1))+1,ROW(OFFSET(nombres[],ROWS(nombres[])-1,0,1,1))+1),$O1552:$O1571),3),"")</f>
        <v/>
      </c>
      <c r="LD1552" s="42" t="str">
        <f t="array" aca="1" ref="LD1552" ca="1">IFERROR(INDEX(nombres[],SMALL(IF(OFFSET(nombres[],0,0,ROWS(nombres[]),1)=LD$1490,ROW(OFFSET(nombres[],0,0,ROWS(nombres[]),1))-ROW(OFFSET(nombres[],0,0,1,1))+1,ROW(OFFSET(nombres[],ROWS(nombres[])-1,0,1,1))+1),$O1552:$O1571),3),"")</f>
        <v/>
      </c>
      <c r="LE1552" s="42" t="str">
        <f t="array" aca="1" ref="LE1552" ca="1">IFERROR(INDEX(nombres[],SMALL(IF(OFFSET(nombres[],0,0,ROWS(nombres[]),1)=LE$1490,ROW(OFFSET(nombres[],0,0,ROWS(nombres[]),1))-ROW(OFFSET(nombres[],0,0,1,1))+1,ROW(OFFSET(nombres[],ROWS(nombres[])-1,0,1,1))+1),$O1552:$O1571),3),"")</f>
        <v/>
      </c>
      <c r="LF1552" s="42" t="str">
        <f t="array" aca="1" ref="LF1552" ca="1">IFERROR(INDEX(nombres[],SMALL(IF(OFFSET(nombres[],0,0,ROWS(nombres[]),1)=LF$1490,ROW(OFFSET(nombres[],0,0,ROWS(nombres[]),1))-ROW(OFFSET(nombres[],0,0,1,1))+1,ROW(OFFSET(nombres[],ROWS(nombres[])-1,0,1,1))+1),$O1552:$O1571),3),"")</f>
        <v/>
      </c>
      <c r="LG1552" s="42" t="str">
        <f t="array" aca="1" ref="LG1552" ca="1">IFERROR(INDEX(nombres[],SMALL(IF(OFFSET(nombres[],0,0,ROWS(nombres[]),1)=LG$1490,ROW(OFFSET(nombres[],0,0,ROWS(nombres[]),1))-ROW(OFFSET(nombres[],0,0,1,1))+1,ROW(OFFSET(nombres[],ROWS(nombres[])-1,0,1,1))+1),$O1552:$O1571),3),"")</f>
        <v/>
      </c>
      <c r="LH1552" s="42" t="str">
        <f t="array" aca="1" ref="LH1552" ca="1">IFERROR(INDEX(nombres[],SMALL(IF(OFFSET(nombres[],0,0,ROWS(nombres[]),1)=LH$1490,ROW(OFFSET(nombres[],0,0,ROWS(nombres[]),1))-ROW(OFFSET(nombres[],0,0,1,1))+1,ROW(OFFSET(nombres[],ROWS(nombres[])-1,0,1,1))+1),$O1552:$O1571),3),"")</f>
        <v/>
      </c>
      <c r="LI1552" s="42" t="str">
        <f t="array" aca="1" ref="LI1552" ca="1">IFERROR(INDEX(nombres[],SMALL(IF(OFFSET(nombres[],0,0,ROWS(nombres[]),1)=LI$1490,ROW(OFFSET(nombres[],0,0,ROWS(nombres[]),1))-ROW(OFFSET(nombres[],0,0,1,1))+1,ROW(OFFSET(nombres[],ROWS(nombres[])-1,0,1,1))+1),$O1552:$O1571),3),"")</f>
        <v/>
      </c>
      <c r="LJ1552" s="42" t="str">
        <f t="array" aca="1" ref="LJ1552" ca="1">IFERROR(INDEX(nombres[],SMALL(IF(OFFSET(nombres[],0,0,ROWS(nombres[]),1)=LJ$1490,ROW(OFFSET(nombres[],0,0,ROWS(nombres[]),1))-ROW(OFFSET(nombres[],0,0,1,1))+1,ROW(OFFSET(nombres[],ROWS(nombres[])-1,0,1,1))+1),$O1552:$O1571),3),"")</f>
        <v/>
      </c>
      <c r="LK1552" s="42" t="str">
        <f t="array" aca="1" ref="LK1552" ca="1">IFERROR(INDEX(nombres[],SMALL(IF(OFFSET(nombres[],0,0,ROWS(nombres[]),1)=LK$1490,ROW(OFFSET(nombres[],0,0,ROWS(nombres[]),1))-ROW(OFFSET(nombres[],0,0,1,1))+1,ROW(OFFSET(nombres[],ROWS(nombres[])-1,0,1,1))+1),$O1552:$O1571),3),"")</f>
        <v/>
      </c>
      <c r="LL1552" s="42" t="str">
        <f t="array" aca="1" ref="LL1552" ca="1">IFERROR(INDEX(nombres[],SMALL(IF(OFFSET(nombres[],0,0,ROWS(nombres[]),1)=LL$1490,ROW(OFFSET(nombres[],0,0,ROWS(nombres[]),1))-ROW(OFFSET(nombres[],0,0,1,1))+1,ROW(OFFSET(nombres[],ROWS(nombres[])-1,0,1,1))+1),$O1552:$O1571),3),"")</f>
        <v/>
      </c>
      <c r="LM1552" s="42" t="str">
        <f t="array" aca="1" ref="LM1552" ca="1">IFERROR(INDEX(nombres[],SMALL(IF(OFFSET(nombres[],0,0,ROWS(nombres[]),1)=LM$1490,ROW(OFFSET(nombres[],0,0,ROWS(nombres[]),1))-ROW(OFFSET(nombres[],0,0,1,1))+1,ROW(OFFSET(nombres[],ROWS(nombres[])-1,0,1,1))+1),$O1552:$O1571),3),"")</f>
        <v/>
      </c>
      <c r="LN1552" s="42" t="str">
        <f t="array" aca="1" ref="LN1552" ca="1">IFERROR(INDEX(nombres[],SMALL(IF(OFFSET(nombres[],0,0,ROWS(nombres[]),1)=LN$1490,ROW(OFFSET(nombres[],0,0,ROWS(nombres[]),1))-ROW(OFFSET(nombres[],0,0,1,1))+1,ROW(OFFSET(nombres[],ROWS(nombres[])-1,0,1,1))+1),$O1552:$O1571),3),"")</f>
        <v/>
      </c>
      <c r="LO1552" s="42" t="str">
        <f t="array" aca="1" ref="LO1552" ca="1">IFERROR(INDEX(nombres[],SMALL(IF(OFFSET(nombres[],0,0,ROWS(nombres[]),1)=LO$1490,ROW(OFFSET(nombres[],0,0,ROWS(nombres[]),1))-ROW(OFFSET(nombres[],0,0,1,1))+1,ROW(OFFSET(nombres[],ROWS(nombres[])-1,0,1,1))+1),$O1552:$O1571),3),"")</f>
        <v/>
      </c>
      <c r="LP1552" s="42" t="str">
        <f t="array" aca="1" ref="LP1552" ca="1">IFERROR(INDEX(nombres[],SMALL(IF(OFFSET(nombres[],0,0,ROWS(nombres[]),1)=LP$1490,ROW(OFFSET(nombres[],0,0,ROWS(nombres[]),1))-ROW(OFFSET(nombres[],0,0,1,1))+1,ROW(OFFSET(nombres[],ROWS(nombres[])-1,0,1,1))+1),$O1552:$O1571),3),"")</f>
        <v/>
      </c>
      <c r="LQ1552" s="42" t="str">
        <f t="array" aca="1" ref="LQ1552" ca="1">IFERROR(INDEX(nombres[],SMALL(IF(OFFSET(nombres[],0,0,ROWS(nombres[]),1)=LQ$1490,ROW(OFFSET(nombres[],0,0,ROWS(nombres[]),1))-ROW(OFFSET(nombres[],0,0,1,1))+1,ROW(OFFSET(nombres[],ROWS(nombres[])-1,0,1,1))+1),$O1552:$O1571),3),"")</f>
        <v/>
      </c>
      <c r="LR1552" s="42" t="str">
        <f t="array" aca="1" ref="LR1552" ca="1">IFERROR(INDEX(nombres[],SMALL(IF(OFFSET(nombres[],0,0,ROWS(nombres[]),1)=LR$1490,ROW(OFFSET(nombres[],0,0,ROWS(nombres[]),1))-ROW(OFFSET(nombres[],0,0,1,1))+1,ROW(OFFSET(nombres[],ROWS(nombres[])-1,0,1,1))+1),$O1552:$O1571),3),"")</f>
        <v/>
      </c>
      <c r="LS1552" s="42" t="str">
        <f t="array" aca="1" ref="LS1552" ca="1">IFERROR(INDEX(nombres[],SMALL(IF(OFFSET(nombres[],0,0,ROWS(nombres[]),1)=LS$1490,ROW(OFFSET(nombres[],0,0,ROWS(nombres[]),1))-ROW(OFFSET(nombres[],0,0,1,1))+1,ROW(OFFSET(nombres[],ROWS(nombres[])-1,0,1,1))+1),$O1552:$O1571),3),"")</f>
        <v/>
      </c>
      <c r="LT1552" s="42" t="str">
        <f t="array" aca="1" ref="LT1552" ca="1">IFERROR(INDEX(nombres[],SMALL(IF(OFFSET(nombres[],0,0,ROWS(nombres[]),1)=LT$1490,ROW(OFFSET(nombres[],0,0,ROWS(nombres[]),1))-ROW(OFFSET(nombres[],0,0,1,1))+1,ROW(OFFSET(nombres[],ROWS(nombres[])-1,0,1,1))+1),$O1552:$O1571),3),"")</f>
        <v/>
      </c>
      <c r="LU1552" s="42" t="str">
        <f t="array" aca="1" ref="LU1552" ca="1">IFERROR(INDEX(nombres[],SMALL(IF(OFFSET(nombres[],0,0,ROWS(nombres[]),1)=LU$1490,ROW(OFFSET(nombres[],0,0,ROWS(nombres[]),1))-ROW(OFFSET(nombres[],0,0,1,1))+1,ROW(OFFSET(nombres[],ROWS(nombres[])-1,0,1,1))+1),$O1552:$O1571),3),"")</f>
        <v/>
      </c>
      <c r="LV1552" s="42" t="str">
        <f t="array" aca="1" ref="LV1552" ca="1">IFERROR(INDEX(nombres[],SMALL(IF(OFFSET(nombres[],0,0,ROWS(nombres[]),1)=LV$1490,ROW(OFFSET(nombres[],0,0,ROWS(nombres[]),1))-ROW(OFFSET(nombres[],0,0,1,1))+1,ROW(OFFSET(nombres[],ROWS(nombres[])-1,0,1,1))+1),$O1552:$O1571),3),"")</f>
        <v/>
      </c>
      <c r="LW1552" s="42" t="str">
        <f t="array" aca="1" ref="LW1552" ca="1">IFERROR(INDEX(nombres[],SMALL(IF(OFFSET(nombres[],0,0,ROWS(nombres[]),1)=LW$1490,ROW(OFFSET(nombres[],0,0,ROWS(nombres[]),1))-ROW(OFFSET(nombres[],0,0,1,1))+1,ROW(OFFSET(nombres[],ROWS(nombres[])-1,0,1,1))+1),$O1552:$O1571),3),"")</f>
        <v/>
      </c>
      <c r="LX1552" s="42" t="str">
        <f t="array" aca="1" ref="LX1552" ca="1">IFERROR(INDEX(nombres[],SMALL(IF(OFFSET(nombres[],0,0,ROWS(nombres[]),1)=LX$1490,ROW(OFFSET(nombres[],0,0,ROWS(nombres[]),1))-ROW(OFFSET(nombres[],0,0,1,1))+1,ROW(OFFSET(nombres[],ROWS(nombres[])-1,0,1,1))+1),$O1552:$O1571),3),"")</f>
        <v/>
      </c>
      <c r="LY1552" s="42" t="str">
        <f t="array" aca="1" ref="LY1552" ca="1">IFERROR(INDEX(nombres[],SMALL(IF(OFFSET(nombres[],0,0,ROWS(nombres[]),1)=LY$1490,ROW(OFFSET(nombres[],0,0,ROWS(nombres[]),1))-ROW(OFFSET(nombres[],0,0,1,1))+1,ROW(OFFSET(nombres[],ROWS(nombres[])-1,0,1,1))+1),$O1552:$O1571),3),"")</f>
        <v/>
      </c>
      <c r="LZ1552" s="42" t="str">
        <f t="array" aca="1" ref="LZ1552" ca="1">IFERROR(INDEX(nombres[],SMALL(IF(OFFSET(nombres[],0,0,ROWS(nombres[]),1)=LZ$1490,ROW(OFFSET(nombres[],0,0,ROWS(nombres[]),1))-ROW(OFFSET(nombres[],0,0,1,1))+1,ROW(OFFSET(nombres[],ROWS(nombres[])-1,0,1,1))+1),$O1552:$O1571),3),"")</f>
        <v/>
      </c>
      <c r="MA1552" s="42" t="str">
        <f t="array" aca="1" ref="MA1552" ca="1">IFERROR(INDEX(nombres[],SMALL(IF(OFFSET(nombres[],0,0,ROWS(nombres[]),1)=MA$1490,ROW(OFFSET(nombres[],0,0,ROWS(nombres[]),1))-ROW(OFFSET(nombres[],0,0,1,1))+1,ROW(OFFSET(nombres[],ROWS(nombres[])-1,0,1,1))+1),$O1552:$O1571),3),"")</f>
        <v/>
      </c>
      <c r="MB1552" s="42" t="str">
        <f t="array" aca="1" ref="MB1552" ca="1">IFERROR(INDEX(nombres[],SMALL(IF(OFFSET(nombres[],0,0,ROWS(nombres[]),1)=MB$1490,ROW(OFFSET(nombres[],0,0,ROWS(nombres[]),1))-ROW(OFFSET(nombres[],0,0,1,1))+1,ROW(OFFSET(nombres[],ROWS(nombres[])-1,0,1,1))+1),$O1552:$O1571),3),"")</f>
        <v/>
      </c>
      <c r="MC1552" s="42" t="str">
        <f t="array" aca="1" ref="MC1552" ca="1">IFERROR(INDEX(nombres[],SMALL(IF(OFFSET(nombres[],0,0,ROWS(nombres[]),1)=MC$1490,ROW(OFFSET(nombres[],0,0,ROWS(nombres[]),1))-ROW(OFFSET(nombres[],0,0,1,1))+1,ROW(OFFSET(nombres[],ROWS(nombres[])-1,0,1,1))+1),$O1552:$O1571),3),"")</f>
        <v/>
      </c>
      <c r="MD1552" s="42" t="str">
        <f t="array" aca="1" ref="MD1552" ca="1">IFERROR(INDEX(nombres[],SMALL(IF(OFFSET(nombres[],0,0,ROWS(nombres[]),1)=MD$1490,ROW(OFFSET(nombres[],0,0,ROWS(nombres[]),1))-ROW(OFFSET(nombres[],0,0,1,1))+1,ROW(OFFSET(nombres[],ROWS(nombres[])-1,0,1,1))+1),$O1552:$O1571),3),"")</f>
        <v/>
      </c>
      <c r="ME1552" s="42" t="str">
        <f t="array" aca="1" ref="ME1552" ca="1">IFERROR(INDEX(nombres[],SMALL(IF(OFFSET(nombres[],0,0,ROWS(nombres[]),1)=ME$1490,ROW(OFFSET(nombres[],0,0,ROWS(nombres[]),1))-ROW(OFFSET(nombres[],0,0,1,1))+1,ROW(OFFSET(nombres[],ROWS(nombres[])-1,0,1,1))+1),$O1552:$O1571),3),"")</f>
        <v/>
      </c>
      <c r="MF1552" s="42" t="str">
        <f t="array" aca="1" ref="MF1552" ca="1">IFERROR(INDEX(nombres[],SMALL(IF(OFFSET(nombres[],0,0,ROWS(nombres[]),1)=MF$1490,ROW(OFFSET(nombres[],0,0,ROWS(nombres[]),1))-ROW(OFFSET(nombres[],0,0,1,1))+1,ROW(OFFSET(nombres[],ROWS(nombres[])-1,0,1,1))+1),$O1552:$O1571),3),"")</f>
        <v/>
      </c>
      <c r="MG1552" s="42" t="str">
        <f t="array" aca="1" ref="MG1552" ca="1">IFERROR(INDEX(nombres[],SMALL(IF(OFFSET(nombres[],0,0,ROWS(nombres[]),1)=MG$1490,ROW(OFFSET(nombres[],0,0,ROWS(nombres[]),1))-ROW(OFFSET(nombres[],0,0,1,1))+1,ROW(OFFSET(nombres[],ROWS(nombres[])-1,0,1,1))+1),$O1552:$O1571),3),"")</f>
        <v/>
      </c>
      <c r="MH1552" s="42" t="str">
        <f t="array" aca="1" ref="MH1552" ca="1">IFERROR(INDEX(nombres[],SMALL(IF(OFFSET(nombres[],0,0,ROWS(nombres[]),1)=MH$1490,ROW(OFFSET(nombres[],0,0,ROWS(nombres[]),1))-ROW(OFFSET(nombres[],0,0,1,1))+1,ROW(OFFSET(nombres[],ROWS(nombres[])-1,0,1,1))+1),$O1552:$O1571),3),"")</f>
        <v/>
      </c>
      <c r="MI1552" s="42" t="str">
        <f t="array" aca="1" ref="MI1552" ca="1">IFERROR(INDEX(nombres[],SMALL(IF(OFFSET(nombres[],0,0,ROWS(nombres[]),1)=MI$1490,ROW(OFFSET(nombres[],0,0,ROWS(nombres[]),1))-ROW(OFFSET(nombres[],0,0,1,1))+1,ROW(OFFSET(nombres[],ROWS(nombres[])-1,0,1,1))+1),$O1552:$O1571),3),"")</f>
        <v/>
      </c>
      <c r="MJ1552" s="42" t="str">
        <f t="array" aca="1" ref="MJ1552" ca="1">IFERROR(INDEX(nombres[],SMALL(IF(OFFSET(nombres[],0,0,ROWS(nombres[]),1)=MJ$1490,ROW(OFFSET(nombres[],0,0,ROWS(nombres[]),1))-ROW(OFFSET(nombres[],0,0,1,1))+1,ROW(OFFSET(nombres[],ROWS(nombres[])-1,0,1,1))+1),$O1552:$O1571),3),"")</f>
        <v/>
      </c>
      <c r="MK1552" s="42" t="str">
        <f t="array" aca="1" ref="MK1552" ca="1">IFERROR(INDEX(nombres[],SMALL(IF(OFFSET(nombres[],0,0,ROWS(nombres[]),1)=MK$1490,ROW(OFFSET(nombres[],0,0,ROWS(nombres[]),1))-ROW(OFFSET(nombres[],0,0,1,1))+1,ROW(OFFSET(nombres[],ROWS(nombres[])-1,0,1,1))+1),$O1552:$O1571),3),"")</f>
        <v/>
      </c>
      <c r="ML1552" s="42" t="str">
        <f t="array" aca="1" ref="ML1552" ca="1">IFERROR(INDEX(nombres[],SMALL(IF(OFFSET(nombres[],0,0,ROWS(nombres[]),1)=ML$1490,ROW(OFFSET(nombres[],0,0,ROWS(nombres[]),1))-ROW(OFFSET(nombres[],0,0,1,1))+1,ROW(OFFSET(nombres[],ROWS(nombres[])-1,0,1,1))+1),$O1552:$O1571),3),"")</f>
        <v/>
      </c>
      <c r="MM1552" s="42" t="str">
        <f t="array" aca="1" ref="MM1552" ca="1">IFERROR(INDEX(nombres[],SMALL(IF(OFFSET(nombres[],0,0,ROWS(nombres[]),1)=MM$1490,ROW(OFFSET(nombres[],0,0,ROWS(nombres[]),1))-ROW(OFFSET(nombres[],0,0,1,1))+1,ROW(OFFSET(nombres[],ROWS(nombres[])-1,0,1,1))+1),$O1552:$O1571),3),"")</f>
        <v/>
      </c>
      <c r="MN1552" s="42" t="str">
        <f t="array" aca="1" ref="MN1552" ca="1">IFERROR(INDEX(nombres[],SMALL(IF(OFFSET(nombres[],0,0,ROWS(nombres[]),1)=MN$1490,ROW(OFFSET(nombres[],0,0,ROWS(nombres[]),1))-ROW(OFFSET(nombres[],0,0,1,1))+1,ROW(OFFSET(nombres[],ROWS(nombres[])-1,0,1,1))+1),$O1552:$O1571),3),"")</f>
        <v/>
      </c>
      <c r="MO1552" s="42" t="str">
        <f t="array" aca="1" ref="MO1552" ca="1">IFERROR(INDEX(nombres[],SMALL(IF(OFFSET(nombres[],0,0,ROWS(nombres[]),1)=MO$1490,ROW(OFFSET(nombres[],0,0,ROWS(nombres[]),1))-ROW(OFFSET(nombres[],0,0,1,1))+1,ROW(OFFSET(nombres[],ROWS(nombres[])-1,0,1,1))+1),$O1552:$O1571),3),"")</f>
        <v/>
      </c>
      <c r="MP1552" s="42" t="str">
        <f t="array" aca="1" ref="MP1552" ca="1">IFERROR(INDEX(nombres[],SMALL(IF(OFFSET(nombres[],0,0,ROWS(nombres[]),1)=MP$1490,ROW(OFFSET(nombres[],0,0,ROWS(nombres[]),1))-ROW(OFFSET(nombres[],0,0,1,1))+1,ROW(OFFSET(nombres[],ROWS(nombres[])-1,0,1,1))+1),$O1552:$O1571),3),"")</f>
        <v/>
      </c>
      <c r="MQ1552" s="42" t="str">
        <f t="array" aca="1" ref="MQ1552" ca="1">IFERROR(INDEX(nombres[],SMALL(IF(OFFSET(nombres[],0,0,ROWS(nombres[]),1)=MQ$1490,ROW(OFFSET(nombres[],0,0,ROWS(nombres[]),1))-ROW(OFFSET(nombres[],0,0,1,1))+1,ROW(OFFSET(nombres[],ROWS(nombres[])-1,0,1,1))+1),$O1552:$O1571),3),"")</f>
        <v/>
      </c>
      <c r="MR1552" s="42" t="str">
        <f t="array" aca="1" ref="MR1552" ca="1">IFERROR(INDEX(nombres[],SMALL(IF(OFFSET(nombres[],0,0,ROWS(nombres[]),1)=MR$1490,ROW(OFFSET(nombres[],0,0,ROWS(nombres[]),1))-ROW(OFFSET(nombres[],0,0,1,1))+1,ROW(OFFSET(nombres[],ROWS(nombres[])-1,0,1,1))+1),$O1552:$O1571),3),"")</f>
        <v/>
      </c>
      <c r="MS1552" s="42" t="str">
        <f t="array" aca="1" ref="MS1552" ca="1">IFERROR(INDEX(nombres[],SMALL(IF(OFFSET(nombres[],0,0,ROWS(nombres[]),1)=MS$1490,ROW(OFFSET(nombres[],0,0,ROWS(nombres[]),1))-ROW(OFFSET(nombres[],0,0,1,1))+1,ROW(OFFSET(nombres[],ROWS(nombres[])-1,0,1,1))+1),$O1552:$O1571),3),"")</f>
        <v/>
      </c>
      <c r="MT1552" s="42" t="str">
        <f t="array" aca="1" ref="MT1552" ca="1">IFERROR(INDEX(nombres[],SMALL(IF(OFFSET(nombres[],0,0,ROWS(nombres[]),1)=MT$1490,ROW(OFFSET(nombres[],0,0,ROWS(nombres[]),1))-ROW(OFFSET(nombres[],0,0,1,1))+1,ROW(OFFSET(nombres[],ROWS(nombres[])-1,0,1,1))+1),$O1552:$O1571),3),"")</f>
        <v/>
      </c>
      <c r="MU1552" s="42" t="str">
        <f t="array" aca="1" ref="MU1552" ca="1">IFERROR(INDEX(nombres[],SMALL(IF(OFFSET(nombres[],0,0,ROWS(nombres[]),1)=MU$1490,ROW(OFFSET(nombres[],0,0,ROWS(nombres[]),1))-ROW(OFFSET(nombres[],0,0,1,1))+1,ROW(OFFSET(nombres[],ROWS(nombres[])-1,0,1,1))+1),$O1552:$O1571),3),"")</f>
        <v/>
      </c>
      <c r="MV1552" s="42" t="str">
        <f t="array" aca="1" ref="MV1552" ca="1">IFERROR(INDEX(nombres[],SMALL(IF(OFFSET(nombres[],0,0,ROWS(nombres[]),1)=MV$1490,ROW(OFFSET(nombres[],0,0,ROWS(nombres[]),1))-ROW(OFFSET(nombres[],0,0,1,1))+1,ROW(OFFSET(nombres[],ROWS(nombres[])-1,0,1,1))+1),$O1552:$O1571),3),"")</f>
        <v/>
      </c>
      <c r="MW1552" s="42" t="str">
        <f t="array" aca="1" ref="MW1552" ca="1">IFERROR(INDEX(nombres[],SMALL(IF(OFFSET(nombres[],0,0,ROWS(nombres[]),1)=MW$1490,ROW(OFFSET(nombres[],0,0,ROWS(nombres[]),1))-ROW(OFFSET(nombres[],0,0,1,1))+1,ROW(OFFSET(nombres[],ROWS(nombres[])-1,0,1,1))+1),$O1552:$O1571),3),"")</f>
        <v/>
      </c>
      <c r="MX1552" s="42" t="str">
        <f t="array" aca="1" ref="MX1552" ca="1">IFERROR(INDEX(nombres[],SMALL(IF(OFFSET(nombres[],0,0,ROWS(nombres[]),1)=MX$1490,ROW(OFFSET(nombres[],0,0,ROWS(nombres[]),1))-ROW(OFFSET(nombres[],0,0,1,1))+1,ROW(OFFSET(nombres[],ROWS(nombres[])-1,0,1,1))+1),$O1552:$O1571),3),"")</f>
        <v/>
      </c>
      <c r="MY1552" s="42" t="str">
        <f t="array" aca="1" ref="MY1552" ca="1">IFERROR(INDEX(nombres[],SMALL(IF(OFFSET(nombres[],0,0,ROWS(nombres[]),1)=MY$1490,ROW(OFFSET(nombres[],0,0,ROWS(nombres[]),1))-ROW(OFFSET(nombres[],0,0,1,1))+1,ROW(OFFSET(nombres[],ROWS(nombres[])-1,0,1,1))+1),$O1552:$O1571),3),"")</f>
        <v/>
      </c>
      <c r="MZ1552" s="42" t="str">
        <f t="array" aca="1" ref="MZ1552" ca="1">IFERROR(INDEX(nombres[],SMALL(IF(OFFSET(nombres[],0,0,ROWS(nombres[]),1)=MZ$1490,ROW(OFFSET(nombres[],0,0,ROWS(nombres[]),1))-ROW(OFFSET(nombres[],0,0,1,1))+1,ROW(OFFSET(nombres[],ROWS(nombres[])-1,0,1,1))+1),$O1552:$O1571),3),"")</f>
        <v/>
      </c>
      <c r="NA1552" s="42" t="str">
        <f t="array" aca="1" ref="NA1552" ca="1">IFERROR(INDEX(nombres[],SMALL(IF(OFFSET(nombres[],0,0,ROWS(nombres[]),1)=NA$1490,ROW(OFFSET(nombres[],0,0,ROWS(nombres[]),1))-ROW(OFFSET(nombres[],0,0,1,1))+1,ROW(OFFSET(nombres[],ROWS(nombres[])-1,0,1,1))+1),$O1552:$O1571),3),"")</f>
        <v/>
      </c>
      <c r="NB1552" s="42" t="str">
        <f t="array" aca="1" ref="NB1552" ca="1">IFERROR(INDEX(nombres[],SMALL(IF(OFFSET(nombres[],0,0,ROWS(nombres[]),1)=NB$1490,ROW(OFFSET(nombres[],0,0,ROWS(nombres[]),1))-ROW(OFFSET(nombres[],0,0,1,1))+1,ROW(OFFSET(nombres[],ROWS(nombres[])-1,0,1,1))+1),$O1552:$O1571),3),"")</f>
        <v/>
      </c>
      <c r="NC1552" s="42" t="str">
        <f t="array" aca="1" ref="NC1552" ca="1">IFERROR(INDEX(nombres[],SMALL(IF(OFFSET(nombres[],0,0,ROWS(nombres[]),1)=NC$1490,ROW(OFFSET(nombres[],0,0,ROWS(nombres[]),1))-ROW(OFFSET(nombres[],0,0,1,1))+1,ROW(OFFSET(nombres[],ROWS(nombres[])-1,0,1,1))+1),$O1552:$O1571),3),"")</f>
        <v/>
      </c>
      <c r="ND1552" s="42" t="str">
        <f t="array" aca="1" ref="ND1552" ca="1">IFERROR(INDEX(nombres[],SMALL(IF(OFFSET(nombres[],0,0,ROWS(nombres[]),1)=ND$1490,ROW(OFFSET(nombres[],0,0,ROWS(nombres[]),1))-ROW(OFFSET(nombres[],0,0,1,1))+1,ROW(OFFSET(nombres[],ROWS(nombres[])-1,0,1,1))+1),$O1552:$O1571),3),"")</f>
        <v/>
      </c>
      <c r="NE1552" s="42" t="str">
        <f t="array" aca="1" ref="NE1552" ca="1">IFERROR(INDEX(nombres[],SMALL(IF(OFFSET(nombres[],0,0,ROWS(nombres[]),1)=NE$1490,ROW(OFFSET(nombres[],0,0,ROWS(nombres[]),1))-ROW(OFFSET(nombres[],0,0,1,1))+1,ROW(OFFSET(nombres[],ROWS(nombres[])-1,0,1,1))+1),$O1552:$O1571),3),"")</f>
        <v/>
      </c>
      <c r="NF1552" s="42" t="str">
        <f t="array" aca="1" ref="NF1552" ca="1">IFERROR(INDEX(nombres[],SMALL(IF(OFFSET(nombres[],0,0,ROWS(nombres[]),1)=NF$1490,ROW(OFFSET(nombres[],0,0,ROWS(nombres[]),1))-ROW(OFFSET(nombres[],0,0,1,1))+1,ROW(OFFSET(nombres[],ROWS(nombres[])-1,0,1,1))+1),$O1552:$O1571),3),"")</f>
        <v/>
      </c>
      <c r="NG1552" s="42" t="str">
        <f t="array" aca="1" ref="NG1552" ca="1">IFERROR(INDEX(nombres[],SMALL(IF(OFFSET(nombres[],0,0,ROWS(nombres[]),1)=NG$1490,ROW(OFFSET(nombres[],0,0,ROWS(nombres[]),1))-ROW(OFFSET(nombres[],0,0,1,1))+1,ROW(OFFSET(nombres[],ROWS(nombres[])-1,0,1,1))+1),$O1552:$O1571),3),"")</f>
        <v/>
      </c>
      <c r="NH1552" s="42" t="str">
        <f t="array" aca="1" ref="NH1552" ca="1">IFERROR(INDEX(nombres[],SMALL(IF(OFFSET(nombres[],0,0,ROWS(nombres[]),1)=NH$1490,ROW(OFFSET(nombres[],0,0,ROWS(nombres[]),1))-ROW(OFFSET(nombres[],0,0,1,1))+1,ROW(OFFSET(nombres[],ROWS(nombres[])-1,0,1,1))+1),$O1552:$O1571),3),"")</f>
        <v/>
      </c>
      <c r="NI1552" s="42" t="str">
        <f t="array" aca="1" ref="NI1552" ca="1">IFERROR(INDEX(nombres[],SMALL(IF(OFFSET(nombres[],0,0,ROWS(nombres[]),1)=NI$1490,ROW(OFFSET(nombres[],0,0,ROWS(nombres[]),1))-ROW(OFFSET(nombres[],0,0,1,1))+1,ROW(OFFSET(nombres[],ROWS(nombres[])-1,0,1,1))+1),$O1552:$O1571),3),"")</f>
        <v/>
      </c>
      <c r="NJ1552" s="42" t="str">
        <f t="array" aca="1" ref="NJ1552" ca="1">IFERROR(INDEX(nombres[],SMALL(IF(OFFSET(nombres[],0,0,ROWS(nombres[]),1)=NJ$1490,ROW(OFFSET(nombres[],0,0,ROWS(nombres[]),1))-ROW(OFFSET(nombres[],0,0,1,1))+1,ROW(OFFSET(nombres[],ROWS(nombres[])-1,0,1,1))+1),$O1552:$O1571),3),"")</f>
        <v/>
      </c>
      <c r="NK1552" s="42" t="str">
        <f t="array" aca="1" ref="NK1552" ca="1">IFERROR(INDEX(nombres[],SMALL(IF(OFFSET(nombres[],0,0,ROWS(nombres[]),1)=NK$1490,ROW(OFFSET(nombres[],0,0,ROWS(nombres[]),1))-ROW(OFFSET(nombres[],0,0,1,1))+1,ROW(OFFSET(nombres[],ROWS(nombres[])-1,0,1,1))+1),$O1552:$O1571),3),"")</f>
        <v/>
      </c>
      <c r="NL1552" s="42" t="str">
        <f t="array" aca="1" ref="NL1552" ca="1">IFERROR(INDEX(nombres[],SMALL(IF(OFFSET(nombres[],0,0,ROWS(nombres[]),1)=NL$1490,ROW(OFFSET(nombres[],0,0,ROWS(nombres[]),1))-ROW(OFFSET(nombres[],0,0,1,1))+1,ROW(OFFSET(nombres[],ROWS(nombres[])-1,0,1,1))+1),$O1552:$O1571),3),"")</f>
        <v/>
      </c>
      <c r="NM1552" s="42" t="str">
        <f t="array" aca="1" ref="NM1552" ca="1">IFERROR(INDEX(nombres[],SMALL(IF(OFFSET(nombres[],0,0,ROWS(nombres[]),1)=NM$1490,ROW(OFFSET(nombres[],0,0,ROWS(nombres[]),1))-ROW(OFFSET(nombres[],0,0,1,1))+1,ROW(OFFSET(nombres[],ROWS(nombres[])-1,0,1,1))+1),$O1552:$O1571),3),"")</f>
        <v/>
      </c>
      <c r="NN1552" s="42" t="str">
        <f t="array" aca="1" ref="NN1552" ca="1">IFERROR(INDEX(nombres[],SMALL(IF(OFFSET(nombres[],0,0,ROWS(nombres[]),1)=NN$1490,ROW(OFFSET(nombres[],0,0,ROWS(nombres[]),1))-ROW(OFFSET(nombres[],0,0,1,1))+1,ROW(OFFSET(nombres[],ROWS(nombres[])-1,0,1,1))+1),$O1552:$O1571),3),"")</f>
        <v/>
      </c>
      <c r="NO1552" s="42" t="str">
        <f t="array" aca="1" ref="NO1552" ca="1">IFERROR(INDEX(nombres[],SMALL(IF(OFFSET(nombres[],0,0,ROWS(nombres[]),1)=NO$1490,ROW(OFFSET(nombres[],0,0,ROWS(nombres[]),1))-ROW(OFFSET(nombres[],0,0,1,1))+1,ROW(OFFSET(nombres[],ROWS(nombres[])-1,0,1,1))+1),$O1552:$O1571),3),"")</f>
        <v/>
      </c>
      <c r="NP1552" s="42" t="str">
        <f t="array" aca="1" ref="NP1552" ca="1">IFERROR(INDEX(nombres[],SMALL(IF(OFFSET(nombres[],0,0,ROWS(nombres[]),1)=NP$1490,ROW(OFFSET(nombres[],0,0,ROWS(nombres[]),1))-ROW(OFFSET(nombres[],0,0,1,1))+1,ROW(OFFSET(nombres[],ROWS(nombres[])-1,0,1,1))+1),$O1552:$O1571),3),"")</f>
        <v/>
      </c>
      <c r="NQ1552" s="42" t="str">
        <f t="array" aca="1" ref="NQ1552" ca="1">IFERROR(INDEX(nombres[],SMALL(IF(OFFSET(nombres[],0,0,ROWS(nombres[]),1)=NQ$1490,ROW(OFFSET(nombres[],0,0,ROWS(nombres[]),1))-ROW(OFFSET(nombres[],0,0,1,1))+1,ROW(OFFSET(nombres[],ROWS(nombres[])-1,0,1,1))+1),$O1552:$O1571),3),"")</f>
        <v/>
      </c>
      <c r="NR1552" s="42" t="str">
        <f t="array" aca="1" ref="NR1552" ca="1">IFERROR(INDEX(nombres[],SMALL(IF(OFFSET(nombres[],0,0,ROWS(nombres[]),1)=NR$1490,ROW(OFFSET(nombres[],0,0,ROWS(nombres[]),1))-ROW(OFFSET(nombres[],0,0,1,1))+1,ROW(OFFSET(nombres[],ROWS(nombres[])-1,0,1,1))+1),$O1552:$O1571),3),"")</f>
        <v/>
      </c>
      <c r="NS1552" s="42" t="str">
        <f t="array" aca="1" ref="NS1552" ca="1">IFERROR(INDEX(nombres[],SMALL(IF(OFFSET(nombres[],0,0,ROWS(nombres[]),1)=NS$1490,ROW(OFFSET(nombres[],0,0,ROWS(nombres[]),1))-ROW(OFFSET(nombres[],0,0,1,1))+1,ROW(OFFSET(nombres[],ROWS(nombres[])-1,0,1,1))+1),$O1552:$O1571),3),"")</f>
        <v/>
      </c>
      <c r="NT1552" s="42" t="str">
        <f t="array" aca="1" ref="NT1552" ca="1">IFERROR(INDEX(nombres[],SMALL(IF(OFFSET(nombres[],0,0,ROWS(nombres[]),1)=NT$1490,ROW(OFFSET(nombres[],0,0,ROWS(nombres[]),1))-ROW(OFFSET(nombres[],0,0,1,1))+1,ROW(OFFSET(nombres[],ROWS(nombres[])-1,0,1,1))+1),$O1552:$O1571),3),"")</f>
        <v/>
      </c>
      <c r="NU1552" s="42" t="str">
        <f t="array" aca="1" ref="NU1552" ca="1">IFERROR(INDEX(nombres[],SMALL(IF(OFFSET(nombres[],0,0,ROWS(nombres[]),1)=NU$1490,ROW(OFFSET(nombres[],0,0,ROWS(nombres[]),1))-ROW(OFFSET(nombres[],0,0,1,1))+1,ROW(OFFSET(nombres[],ROWS(nombres[])-1,0,1,1))+1),$O1552:$O1571),3),"")</f>
        <v/>
      </c>
      <c r="NV1552" s="42" t="str">
        <f t="array" aca="1" ref="NV1552" ca="1">IFERROR(INDEX(nombres[],SMALL(IF(OFFSET(nombres[],0,0,ROWS(nombres[]),1)=NV$1490,ROW(OFFSET(nombres[],0,0,ROWS(nombres[]),1))-ROW(OFFSET(nombres[],0,0,1,1))+1,ROW(OFFSET(nombres[],ROWS(nombres[])-1,0,1,1))+1),$O1552:$O1571),3),"")</f>
        <v/>
      </c>
      <c r="NW1552" s="42" t="str">
        <f t="array" aca="1" ref="NW1552" ca="1">IFERROR(INDEX(nombres[],SMALL(IF(OFFSET(nombres[],0,0,ROWS(nombres[]),1)=NW$1490,ROW(OFFSET(nombres[],0,0,ROWS(nombres[]),1))-ROW(OFFSET(nombres[],0,0,1,1))+1,ROW(OFFSET(nombres[],ROWS(nombres[])-1,0,1,1))+1),$O1552:$O1571),3),"")</f>
        <v/>
      </c>
      <c r="NX1552" s="42" t="str">
        <f t="array" aca="1" ref="NX1552" ca="1">IFERROR(INDEX(nombres[],SMALL(IF(OFFSET(nombres[],0,0,ROWS(nombres[]),1)=NX$1490,ROW(OFFSET(nombres[],0,0,ROWS(nombres[]),1))-ROW(OFFSET(nombres[],0,0,1,1))+1,ROW(OFFSET(nombres[],ROWS(nombres[])-1,0,1,1))+1),$O1552:$O1571),3),"")</f>
        <v/>
      </c>
      <c r="NY1552" s="42" t="str">
        <f t="array" aca="1" ref="NY1552" ca="1">IFERROR(INDEX(nombres[],SMALL(IF(OFFSET(nombres[],0,0,ROWS(nombres[]),1)=NY$1490,ROW(OFFSET(nombres[],0,0,ROWS(nombres[]),1))-ROW(OFFSET(nombres[],0,0,1,1))+1,ROW(OFFSET(nombres[],ROWS(nombres[])-1,0,1,1))+1),$O1552:$O1571),3),"")</f>
        <v/>
      </c>
      <c r="NZ1552" s="42" t="str">
        <f t="array" aca="1" ref="NZ1552" ca="1">IFERROR(INDEX(nombres[],SMALL(IF(OFFSET(nombres[],0,0,ROWS(nombres[]),1)=NZ$1490,ROW(OFFSET(nombres[],0,0,ROWS(nombres[]),1))-ROW(OFFSET(nombres[],0,0,1,1))+1,ROW(OFFSET(nombres[],ROWS(nombres[])-1,0,1,1))+1),$O1552:$O1571),3),"")</f>
        <v/>
      </c>
      <c r="OA1552" s="42" t="str">
        <f t="array" aca="1" ref="OA1552" ca="1">IFERROR(INDEX(nombres[],SMALL(IF(OFFSET(nombres[],0,0,ROWS(nombres[]),1)=OA$1490,ROW(OFFSET(nombres[],0,0,ROWS(nombres[]),1))-ROW(OFFSET(nombres[],0,0,1,1))+1,ROW(OFFSET(nombres[],ROWS(nombres[])-1,0,1,1))+1),$O1552:$O1571),3),"")</f>
        <v/>
      </c>
      <c r="OB1552" s="42" t="str">
        <f t="array" aca="1" ref="OB1552" ca="1">IFERROR(INDEX(nombres[],SMALL(IF(OFFSET(nombres[],0,0,ROWS(nombres[]),1)=OB$1490,ROW(OFFSET(nombres[],0,0,ROWS(nombres[]),1))-ROW(OFFSET(nombres[],0,0,1,1))+1,ROW(OFFSET(nombres[],ROWS(nombres[])-1,0,1,1))+1),$O1552:$O1571),3),"")</f>
        <v/>
      </c>
      <c r="OC1552" s="42" t="str">
        <f t="array" aca="1" ref="OC1552" ca="1">IFERROR(INDEX(nombres[],SMALL(IF(OFFSET(nombres[],0,0,ROWS(nombres[]),1)=OC$1490,ROW(OFFSET(nombres[],0,0,ROWS(nombres[]),1))-ROW(OFFSET(nombres[],0,0,1,1))+1,ROW(OFFSET(nombres[],ROWS(nombres[])-1,0,1,1))+1),$O1552:$O1571),3),"")</f>
        <v/>
      </c>
      <c r="OD1552" s="42" t="str">
        <f t="array" aca="1" ref="OD1552" ca="1">IFERROR(INDEX(nombres[],SMALL(IF(OFFSET(nombres[],0,0,ROWS(nombres[]),1)=OD$1490,ROW(OFFSET(nombres[],0,0,ROWS(nombres[]),1))-ROW(OFFSET(nombres[],0,0,1,1))+1,ROW(OFFSET(nombres[],ROWS(nombres[])-1,0,1,1))+1),$O1552:$O1571),3),"")</f>
        <v/>
      </c>
      <c r="OE1552" s="42" t="str">
        <f t="array" aca="1" ref="OE1552" ca="1">IFERROR(INDEX(nombres[],SMALL(IF(OFFSET(nombres[],0,0,ROWS(nombres[]),1)=OE$1490,ROW(OFFSET(nombres[],0,0,ROWS(nombres[]),1))-ROW(OFFSET(nombres[],0,0,1,1))+1,ROW(OFFSET(nombres[],ROWS(nombres[])-1,0,1,1))+1),$O1552:$O1571),3),"")</f>
        <v/>
      </c>
      <c r="OF1552" s="42" t="str">
        <f t="array" aca="1" ref="OF1552" ca="1">IFERROR(INDEX(nombres[],SMALL(IF(OFFSET(nombres[],0,0,ROWS(nombres[]),1)=OF$1490,ROW(OFFSET(nombres[],0,0,ROWS(nombres[]),1))-ROW(OFFSET(nombres[],0,0,1,1))+1,ROW(OFFSET(nombres[],ROWS(nombres[])-1,0,1,1))+1),$O1552:$O1571),3),"")</f>
        <v/>
      </c>
      <c r="OG1552" s="42" t="str">
        <f t="array" aca="1" ref="OG1552" ca="1">IFERROR(INDEX(nombres[],SMALL(IF(OFFSET(nombres[],0,0,ROWS(nombres[]),1)=OG$1490,ROW(OFFSET(nombres[],0,0,ROWS(nombres[]),1))-ROW(OFFSET(nombres[],0,0,1,1))+1,ROW(OFFSET(nombres[],ROWS(nombres[])-1,0,1,1))+1),$O1552:$O1571),3),"")</f>
        <v/>
      </c>
      <c r="OH1552" s="42" t="str">
        <f t="array" aca="1" ref="OH1552" ca="1">IFERROR(INDEX(nombres[],SMALL(IF(OFFSET(nombres[],0,0,ROWS(nombres[]),1)=OH$1490,ROW(OFFSET(nombres[],0,0,ROWS(nombres[]),1))-ROW(OFFSET(nombres[],0,0,1,1))+1,ROW(OFFSET(nombres[],ROWS(nombres[])-1,0,1,1))+1),$O1552:$O1571),3),"")</f>
        <v/>
      </c>
      <c r="OI1552" s="42" t="str">
        <f t="array" aca="1" ref="OI1552" ca="1">IFERROR(INDEX(nombres[],SMALL(IF(OFFSET(nombres[],0,0,ROWS(nombres[]),1)=OI$1490,ROW(OFFSET(nombres[],0,0,ROWS(nombres[]),1))-ROW(OFFSET(nombres[],0,0,1,1))+1,ROW(OFFSET(nombres[],ROWS(nombres[])-1,0,1,1))+1),$O1552:$O1571),3),"")</f>
        <v/>
      </c>
      <c r="OJ1552" s="42" t="str">
        <f t="array" aca="1" ref="OJ1552" ca="1">IFERROR(INDEX(nombres[],SMALL(IF(OFFSET(nombres[],0,0,ROWS(nombres[]),1)=OJ$1490,ROW(OFFSET(nombres[],0,0,ROWS(nombres[]),1))-ROW(OFFSET(nombres[],0,0,1,1))+1,ROW(OFFSET(nombres[],ROWS(nombres[])-1,0,1,1))+1),$O1552:$O1571),3),"")</f>
        <v/>
      </c>
      <c r="OK1552" s="42" t="str">
        <f t="array" aca="1" ref="OK1552" ca="1">IFERROR(INDEX(nombres[],SMALL(IF(OFFSET(nombres[],0,0,ROWS(nombres[]),1)=OK$1490,ROW(OFFSET(nombres[],0,0,ROWS(nombres[]),1))-ROW(OFFSET(nombres[],0,0,1,1))+1,ROW(OFFSET(nombres[],ROWS(nombres[])-1,0,1,1))+1),$O1552:$O1571),3),"")</f>
        <v/>
      </c>
      <c r="OL1552" s="42" t="str">
        <f t="array" aca="1" ref="OL1552" ca="1">IFERROR(INDEX(nombres[],SMALL(IF(OFFSET(nombres[],0,0,ROWS(nombres[]),1)=OL$1490,ROW(OFFSET(nombres[],0,0,ROWS(nombres[]),1))-ROW(OFFSET(nombres[],0,0,1,1))+1,ROW(OFFSET(nombres[],ROWS(nombres[])-1,0,1,1))+1),$O1552:$O1571),3),"")</f>
        <v/>
      </c>
      <c r="OM1552" s="42" t="str">
        <f t="array" aca="1" ref="OM1552" ca="1">IFERROR(INDEX(nombres[],SMALL(IF(OFFSET(nombres[],0,0,ROWS(nombres[]),1)=OM$1490,ROW(OFFSET(nombres[],0,0,ROWS(nombres[]),1))-ROW(OFFSET(nombres[],0,0,1,1))+1,ROW(OFFSET(nombres[],ROWS(nombres[])-1,0,1,1))+1),$O1552:$O1571),3),"")</f>
        <v/>
      </c>
      <c r="ON1552" s="42" t="str">
        <f t="array" aca="1" ref="ON1552" ca="1">IFERROR(INDEX(nombres[],SMALL(IF(OFFSET(nombres[],0,0,ROWS(nombres[]),1)=ON$1490,ROW(OFFSET(nombres[],0,0,ROWS(nombres[]),1))-ROW(OFFSET(nombres[],0,0,1,1))+1,ROW(OFFSET(nombres[],ROWS(nombres[])-1,0,1,1))+1),$O1552:$O1571),3),"")</f>
        <v/>
      </c>
      <c r="OO1552" s="42" t="str">
        <f t="array" aca="1" ref="OO1552" ca="1">IFERROR(INDEX(nombres[],SMALL(IF(OFFSET(nombres[],0,0,ROWS(nombres[]),1)=OO$1490,ROW(OFFSET(nombres[],0,0,ROWS(nombres[]),1))-ROW(OFFSET(nombres[],0,0,1,1))+1,ROW(OFFSET(nombres[],ROWS(nombres[])-1,0,1,1))+1),$O1552:$O1571),3),"")</f>
        <v/>
      </c>
      <c r="OP1552" s="42" t="str">
        <f t="array" aca="1" ref="OP1552" ca="1">IFERROR(INDEX(nombres[],SMALL(IF(OFFSET(nombres[],0,0,ROWS(nombres[]),1)=OP$1490,ROW(OFFSET(nombres[],0,0,ROWS(nombres[]),1))-ROW(OFFSET(nombres[],0,0,1,1))+1,ROW(OFFSET(nombres[],ROWS(nombres[])-1,0,1,1))+1),$O1552:$O1571),3),"")</f>
        <v/>
      </c>
      <c r="OQ1552" s="42" t="str">
        <f t="array" aca="1" ref="OQ1552" ca="1">IFERROR(INDEX(nombres[],SMALL(IF(OFFSET(nombres[],0,0,ROWS(nombres[]),1)=OQ$1490,ROW(OFFSET(nombres[],0,0,ROWS(nombres[]),1))-ROW(OFFSET(nombres[],0,0,1,1))+1,ROW(OFFSET(nombres[],ROWS(nombres[])-1,0,1,1))+1),$O1552:$O1571),3),"")</f>
        <v/>
      </c>
      <c r="OR1552" s="42" t="str">
        <f t="array" aca="1" ref="OR1552" ca="1">IFERROR(INDEX(nombres[],SMALL(IF(OFFSET(nombres[],0,0,ROWS(nombres[]),1)=OR$1490,ROW(OFFSET(nombres[],0,0,ROWS(nombres[]),1))-ROW(OFFSET(nombres[],0,0,1,1))+1,ROW(OFFSET(nombres[],ROWS(nombres[])-1,0,1,1))+1),$O1552:$O1571),3),"")</f>
        <v/>
      </c>
      <c r="OS1552" s="42" t="str">
        <f t="array" aca="1" ref="OS1552" ca="1">IFERROR(INDEX(nombres[],SMALL(IF(OFFSET(nombres[],0,0,ROWS(nombres[]),1)=OS$1490,ROW(OFFSET(nombres[],0,0,ROWS(nombres[]),1))-ROW(OFFSET(nombres[],0,0,1,1))+1,ROW(OFFSET(nombres[],ROWS(nombres[])-1,0,1,1))+1),$O1552:$O1571),3),"")</f>
        <v/>
      </c>
      <c r="OT1552" s="42" t="str">
        <f t="array" aca="1" ref="OT1552" ca="1">IFERROR(INDEX(nombres[],SMALL(IF(OFFSET(nombres[],0,0,ROWS(nombres[]),1)=OT$1490,ROW(OFFSET(nombres[],0,0,ROWS(nombres[]),1))-ROW(OFFSET(nombres[],0,0,1,1))+1,ROW(OFFSET(nombres[],ROWS(nombres[])-1,0,1,1))+1),$O1552:$O1571),3),"")</f>
        <v/>
      </c>
      <c r="OU1552" s="42" t="str">
        <f t="array" aca="1" ref="OU1552" ca="1">IFERROR(INDEX(nombres[],SMALL(IF(OFFSET(nombres[],0,0,ROWS(nombres[]),1)=OU$1490,ROW(OFFSET(nombres[],0,0,ROWS(nombres[]),1))-ROW(OFFSET(nombres[],0,0,1,1))+1,ROW(OFFSET(nombres[],ROWS(nombres[])-1,0,1,1))+1),$O1552:$O1571),3),"")</f>
        <v/>
      </c>
      <c r="OV1552" s="42" t="str">
        <f t="array" aca="1" ref="OV1552" ca="1">IFERROR(INDEX(nombres[],SMALL(IF(OFFSET(nombres[],0,0,ROWS(nombres[]),1)=OV$1490,ROW(OFFSET(nombres[],0,0,ROWS(nombres[]),1))-ROW(OFFSET(nombres[],0,0,1,1))+1,ROW(OFFSET(nombres[],ROWS(nombres[])-1,0,1,1))+1),$O1552:$O1571),3),"")</f>
        <v/>
      </c>
      <c r="OW1552" s="42" t="str">
        <f t="array" aca="1" ref="OW1552" ca="1">IFERROR(INDEX(nombres[],SMALL(IF(OFFSET(nombres[],0,0,ROWS(nombres[]),1)=OW$1490,ROW(OFFSET(nombres[],0,0,ROWS(nombres[]),1))-ROW(OFFSET(nombres[],0,0,1,1))+1,ROW(OFFSET(nombres[],ROWS(nombres[])-1,0,1,1))+1),$O1552:$O1571),3),"")</f>
        <v/>
      </c>
      <c r="OX1552" s="42" t="str">
        <f t="array" aca="1" ref="OX1552" ca="1">IFERROR(INDEX(nombres[],SMALL(IF(OFFSET(nombres[],0,0,ROWS(nombres[]),1)=OX$1490,ROW(OFFSET(nombres[],0,0,ROWS(nombres[]),1))-ROW(OFFSET(nombres[],0,0,1,1))+1,ROW(OFFSET(nombres[],ROWS(nombres[])-1,0,1,1))+1),$O1552:$O1571),3),"")</f>
        <v/>
      </c>
      <c r="OY1552" s="42" t="str">
        <f t="array" aca="1" ref="OY1552" ca="1">IFERROR(INDEX(nombres[],SMALL(IF(OFFSET(nombres[],0,0,ROWS(nombres[]),1)=OY$1490,ROW(OFFSET(nombres[],0,0,ROWS(nombres[]),1))-ROW(OFFSET(nombres[],0,0,1,1))+1,ROW(OFFSET(nombres[],ROWS(nombres[])-1,0,1,1))+1),$O1552:$O1571),3),"")</f>
        <v/>
      </c>
      <c r="OZ1552" s="42" t="str">
        <f t="array" aca="1" ref="OZ1552" ca="1">IFERROR(INDEX(nombres[],SMALL(IF(OFFSET(nombres[],0,0,ROWS(nombres[]),1)=OZ$1490,ROW(OFFSET(nombres[],0,0,ROWS(nombres[]),1))-ROW(OFFSET(nombres[],0,0,1,1))+1,ROW(OFFSET(nombres[],ROWS(nombres[])-1,0,1,1))+1),$O1552:$O1571),3),"")</f>
        <v/>
      </c>
      <c r="PA1552" s="42" t="str">
        <f t="array" aca="1" ref="PA1552" ca="1">IFERROR(INDEX(nombres[],SMALL(IF(OFFSET(nombres[],0,0,ROWS(nombres[]),1)=PA$1490,ROW(OFFSET(nombres[],0,0,ROWS(nombres[]),1))-ROW(OFFSET(nombres[],0,0,1,1))+1,ROW(OFFSET(nombres[],ROWS(nombres[])-1,0,1,1))+1),$O1552:$O1571),3),"")</f>
        <v/>
      </c>
      <c r="PB1552" s="42" t="str">
        <f t="array" aca="1" ref="PB1552" ca="1">IFERROR(INDEX(nombres[],SMALL(IF(OFFSET(nombres[],0,0,ROWS(nombres[]),1)=PB$1490,ROW(OFFSET(nombres[],0,0,ROWS(nombres[]),1))-ROW(OFFSET(nombres[],0,0,1,1))+1,ROW(OFFSET(nombres[],ROWS(nombres[])-1,0,1,1))+1),$O1552:$O1571),3),"")</f>
        <v/>
      </c>
      <c r="PC1552" s="42" t="str">
        <f t="array" aca="1" ref="PC1552" ca="1">IFERROR(INDEX(nombres[],SMALL(IF(OFFSET(nombres[],0,0,ROWS(nombres[]),1)=PC$1490,ROW(OFFSET(nombres[],0,0,ROWS(nombres[]),1))-ROW(OFFSET(nombres[],0,0,1,1))+1,ROW(OFFSET(nombres[],ROWS(nombres[])-1,0,1,1))+1),$O1552:$O1571),3),"")</f>
        <v/>
      </c>
      <c r="PD1552" s="42" t="str">
        <f t="array" aca="1" ref="PD1552" ca="1">IFERROR(INDEX(nombres[],SMALL(IF(OFFSET(nombres[],0,0,ROWS(nombres[]),1)=PD$1490,ROW(OFFSET(nombres[],0,0,ROWS(nombres[]),1))-ROW(OFFSET(nombres[],0,0,1,1))+1,ROW(OFFSET(nombres[],ROWS(nombres[])-1,0,1,1))+1),$O1552:$O1571),3),"")</f>
        <v/>
      </c>
      <c r="PE1552" s="42" t="str">
        <f t="array" aca="1" ref="PE1552" ca="1">IFERROR(INDEX(nombres[],SMALL(IF(OFFSET(nombres[],0,0,ROWS(nombres[]),1)=PE$1490,ROW(OFFSET(nombres[],0,0,ROWS(nombres[]),1))-ROW(OFFSET(nombres[],0,0,1,1))+1,ROW(OFFSET(nombres[],ROWS(nombres[])-1,0,1,1))+1),$O1552:$O1571),3),"")</f>
        <v/>
      </c>
      <c r="PF1552" s="42" t="str">
        <f t="array" aca="1" ref="PF1552" ca="1">IFERROR(INDEX(nombres[],SMALL(IF(OFFSET(nombres[],0,0,ROWS(nombres[]),1)=PF$1490,ROW(OFFSET(nombres[],0,0,ROWS(nombres[]),1))-ROW(OFFSET(nombres[],0,0,1,1))+1,ROW(OFFSET(nombres[],ROWS(nombres[])-1,0,1,1))+1),$O1552:$O1571),3),"")</f>
        <v/>
      </c>
      <c r="PG1552" s="42" t="str">
        <f t="array" aca="1" ref="PG1552" ca="1">IFERROR(INDEX(nombres[],SMALL(IF(OFFSET(nombres[],0,0,ROWS(nombres[]),1)=PG$1490,ROW(OFFSET(nombres[],0,0,ROWS(nombres[]),1))-ROW(OFFSET(nombres[],0,0,1,1))+1,ROW(OFFSET(nombres[],ROWS(nombres[])-1,0,1,1))+1),$O1552:$O1571),3),"")</f>
        <v/>
      </c>
      <c r="PH1552" s="42" t="str">
        <f t="array" aca="1" ref="PH1552" ca="1">IFERROR(INDEX(nombres[],SMALL(IF(OFFSET(nombres[],0,0,ROWS(nombres[]),1)=PH$1490,ROW(OFFSET(nombres[],0,0,ROWS(nombres[]),1))-ROW(OFFSET(nombres[],0,0,1,1))+1,ROW(OFFSET(nombres[],ROWS(nombres[])-1,0,1,1))+1),$O1552:$O1571),3),"")</f>
        <v/>
      </c>
      <c r="PI1552" s="42" t="str">
        <f t="array" aca="1" ref="PI1552" ca="1">IFERROR(INDEX(nombres[],SMALL(IF(OFFSET(nombres[],0,0,ROWS(nombres[]),1)=PI$1490,ROW(OFFSET(nombres[],0,0,ROWS(nombres[]),1))-ROW(OFFSET(nombres[],0,0,1,1))+1,ROW(OFFSET(nombres[],ROWS(nombres[])-1,0,1,1))+1),$O1552:$O1571),3),"")</f>
        <v/>
      </c>
      <c r="PJ1552" s="42" t="str">
        <f t="array" aca="1" ref="PJ1552" ca="1">IFERROR(INDEX(nombres[],SMALL(IF(OFFSET(nombres[],0,0,ROWS(nombres[]),1)=PJ$1490,ROW(OFFSET(nombres[],0,0,ROWS(nombres[]),1))-ROW(OFFSET(nombres[],0,0,1,1))+1,ROW(OFFSET(nombres[],ROWS(nombres[])-1,0,1,1))+1),$O1552:$O1571),3),"")</f>
        <v/>
      </c>
      <c r="PK1552" s="42" t="str">
        <f t="array" aca="1" ref="PK1552" ca="1">IFERROR(INDEX(nombres[],SMALL(IF(OFFSET(nombres[],0,0,ROWS(nombres[]),1)=PK$1490,ROW(OFFSET(nombres[],0,0,ROWS(nombres[]),1))-ROW(OFFSET(nombres[],0,0,1,1))+1,ROW(OFFSET(nombres[],ROWS(nombres[])-1,0,1,1))+1),$O1552:$O1571),3),"")</f>
        <v/>
      </c>
      <c r="PL1552" s="42" t="str">
        <f t="array" aca="1" ref="PL1552" ca="1">IFERROR(INDEX(nombres[],SMALL(IF(OFFSET(nombres[],0,0,ROWS(nombres[]),1)=PL$1490,ROW(OFFSET(nombres[],0,0,ROWS(nombres[]),1))-ROW(OFFSET(nombres[],0,0,1,1))+1,ROW(OFFSET(nombres[],ROWS(nombres[])-1,0,1,1))+1),$O1552:$O1571),3),"")</f>
        <v/>
      </c>
      <c r="PM1552" s="42" t="str">
        <f t="array" aca="1" ref="PM1552" ca="1">IFERROR(INDEX(nombres[],SMALL(IF(OFFSET(nombres[],0,0,ROWS(nombres[]),1)=PM$1490,ROW(OFFSET(nombres[],0,0,ROWS(nombres[]),1))-ROW(OFFSET(nombres[],0,0,1,1))+1,ROW(OFFSET(nombres[],ROWS(nombres[])-1,0,1,1))+1),$O1552:$O1571),3),"")</f>
        <v/>
      </c>
      <c r="PN1552" s="42" t="str">
        <f t="array" aca="1" ref="PN1552" ca="1">IFERROR(INDEX(nombres[],SMALL(IF(OFFSET(nombres[],0,0,ROWS(nombres[]),1)=PN$1490,ROW(OFFSET(nombres[],0,0,ROWS(nombres[]),1))-ROW(OFFSET(nombres[],0,0,1,1))+1,ROW(OFFSET(nombres[],ROWS(nombres[])-1,0,1,1))+1),$O1552:$O1571),3),"")</f>
        <v/>
      </c>
      <c r="PO1552" s="42" t="str">
        <f t="array" aca="1" ref="PO1552" ca="1">IFERROR(INDEX(nombres[],SMALL(IF(OFFSET(nombres[],0,0,ROWS(nombres[]),1)=PO$1490,ROW(OFFSET(nombres[],0,0,ROWS(nombres[]),1))-ROW(OFFSET(nombres[],0,0,1,1))+1,ROW(OFFSET(nombres[],ROWS(nombres[])-1,0,1,1))+1),$O1552:$O1571),3),"")</f>
        <v/>
      </c>
      <c r="PP1552" s="42" t="str">
        <f t="array" aca="1" ref="PP1552" ca="1">IFERROR(INDEX(nombres[],SMALL(IF(OFFSET(nombres[],0,0,ROWS(nombres[]),1)=PP$1490,ROW(OFFSET(nombres[],0,0,ROWS(nombres[]),1))-ROW(OFFSET(nombres[],0,0,1,1))+1,ROW(OFFSET(nombres[],ROWS(nombres[])-1,0,1,1))+1),$O1552:$O1571),3),"")</f>
        <v/>
      </c>
      <c r="PQ1552" s="42" t="str">
        <f t="array" aca="1" ref="PQ1552" ca="1">IFERROR(INDEX(nombres[],SMALL(IF(OFFSET(nombres[],0,0,ROWS(nombres[]),1)=PQ$1490,ROW(OFFSET(nombres[],0,0,ROWS(nombres[]),1))-ROW(OFFSET(nombres[],0,0,1,1))+1,ROW(OFFSET(nombres[],ROWS(nombres[])-1,0,1,1))+1),$O1552:$O1571),3),"")</f>
        <v/>
      </c>
      <c r="PR1552" s="42" t="str">
        <f t="array" aca="1" ref="PR1552" ca="1">IFERROR(INDEX(nombres[],SMALL(IF(OFFSET(nombres[],0,0,ROWS(nombres[]),1)=PR$1490,ROW(OFFSET(nombres[],0,0,ROWS(nombres[]),1))-ROW(OFFSET(nombres[],0,0,1,1))+1,ROW(OFFSET(nombres[],ROWS(nombres[])-1,0,1,1))+1),$O1552:$O1571),3),"")</f>
        <v/>
      </c>
      <c r="PS1552" s="42" t="str">
        <f t="array" aca="1" ref="PS1552" ca="1">IFERROR(INDEX(nombres[],SMALL(IF(OFFSET(nombres[],0,0,ROWS(nombres[]),1)=PS$1490,ROW(OFFSET(nombres[],0,0,ROWS(nombres[]),1))-ROW(OFFSET(nombres[],0,0,1,1))+1,ROW(OFFSET(nombres[],ROWS(nombres[])-1,0,1,1))+1),$O1552:$O1571),3),"")</f>
        <v/>
      </c>
      <c r="PT1552" s="42" t="str">
        <f t="array" aca="1" ref="PT1552" ca="1">IFERROR(INDEX(nombres[],SMALL(IF(OFFSET(nombres[],0,0,ROWS(nombres[]),1)=PT$1490,ROW(OFFSET(nombres[],0,0,ROWS(nombres[]),1))-ROW(OFFSET(nombres[],0,0,1,1))+1,ROW(OFFSET(nombres[],ROWS(nombres[])-1,0,1,1))+1),$O1552:$O1571),3),"")</f>
        <v/>
      </c>
      <c r="PU1552" s="42" t="str">
        <f t="array" aca="1" ref="PU1552" ca="1">IFERROR(INDEX(nombres[],SMALL(IF(OFFSET(nombres[],0,0,ROWS(nombres[]),1)=PU$1490,ROW(OFFSET(nombres[],0,0,ROWS(nombres[]),1))-ROW(OFFSET(nombres[],0,0,1,1))+1,ROW(OFFSET(nombres[],ROWS(nombres[])-1,0,1,1))+1),$O1552:$O1571),3),"")</f>
        <v/>
      </c>
      <c r="PV1552" s="42" t="str">
        <f t="array" aca="1" ref="PV1552" ca="1">IFERROR(INDEX(nombres[],SMALL(IF(OFFSET(nombres[],0,0,ROWS(nombres[]),1)=PV$1490,ROW(OFFSET(nombres[],0,0,ROWS(nombres[]),1))-ROW(OFFSET(nombres[],0,0,1,1))+1,ROW(OFFSET(nombres[],ROWS(nombres[])-1,0,1,1))+1),$O1552:$O1571),3),"")</f>
        <v/>
      </c>
      <c r="PW1552" s="42" t="str">
        <f t="array" aca="1" ref="PW1552" ca="1">IFERROR(INDEX(nombres[],SMALL(IF(OFFSET(nombres[],0,0,ROWS(nombres[]),1)=PW$1490,ROW(OFFSET(nombres[],0,0,ROWS(nombres[]),1))-ROW(OFFSET(nombres[],0,0,1,1))+1,ROW(OFFSET(nombres[],ROWS(nombres[])-1,0,1,1))+1),$O1552:$O1571),3),"")</f>
        <v/>
      </c>
      <c r="PX1552" s="42" t="str">
        <f t="array" aca="1" ref="PX1552" ca="1">IFERROR(INDEX(nombres[],SMALL(IF(OFFSET(nombres[],0,0,ROWS(nombres[]),1)=PX$1490,ROW(OFFSET(nombres[],0,0,ROWS(nombres[]),1))-ROW(OFFSET(nombres[],0,0,1,1))+1,ROW(OFFSET(nombres[],ROWS(nombres[])-1,0,1,1))+1),$O1552:$O1571),3),"")</f>
        <v/>
      </c>
      <c r="PY1552" s="42" t="str">
        <f t="array" aca="1" ref="PY1552" ca="1">IFERROR(INDEX(nombres[],SMALL(IF(OFFSET(nombres[],0,0,ROWS(nombres[]),1)=PY$1490,ROW(OFFSET(nombres[],0,0,ROWS(nombres[]),1))-ROW(OFFSET(nombres[],0,0,1,1))+1,ROW(OFFSET(nombres[],ROWS(nombres[])-1,0,1,1))+1),$O1552:$O1571),3),"")</f>
        <v/>
      </c>
      <c r="PZ1552" s="42" t="str">
        <f t="array" aca="1" ref="PZ1552" ca="1">IFERROR(INDEX(nombres[],SMALL(IF(OFFSET(nombres[],0,0,ROWS(nombres[]),1)=PZ$1490,ROW(OFFSET(nombres[],0,0,ROWS(nombres[]),1))-ROW(OFFSET(nombres[],0,0,1,1))+1,ROW(OFFSET(nombres[],ROWS(nombres[])-1,0,1,1))+1),$O1552:$O1571),3),"")</f>
        <v/>
      </c>
      <c r="QA1552" s="42" t="str">
        <f t="array" aca="1" ref="QA1552" ca="1">IFERROR(INDEX(nombres[],SMALL(IF(OFFSET(nombres[],0,0,ROWS(nombres[]),1)=QA$1490,ROW(OFFSET(nombres[],0,0,ROWS(nombres[]),1))-ROW(OFFSET(nombres[],0,0,1,1))+1,ROW(OFFSET(nombres[],ROWS(nombres[])-1,0,1,1))+1),$O1552:$O1571),3),"")</f>
        <v/>
      </c>
      <c r="QB1552" s="42" t="str">
        <f t="array" aca="1" ref="QB1552" ca="1">IFERROR(INDEX(nombres[],SMALL(IF(OFFSET(nombres[],0,0,ROWS(nombres[]),1)=QB$1490,ROW(OFFSET(nombres[],0,0,ROWS(nombres[]),1))-ROW(OFFSET(nombres[],0,0,1,1))+1,ROW(OFFSET(nombres[],ROWS(nombres[])-1,0,1,1))+1),$O1552:$O1571),3),"")</f>
        <v/>
      </c>
      <c r="QC1552" s="42" t="str">
        <f t="array" aca="1" ref="QC1552" ca="1">IFERROR(INDEX(nombres[],SMALL(IF(OFFSET(nombres[],0,0,ROWS(nombres[]),1)=QC$1490,ROW(OFFSET(nombres[],0,0,ROWS(nombres[]),1))-ROW(OFFSET(nombres[],0,0,1,1))+1,ROW(OFFSET(nombres[],ROWS(nombres[])-1,0,1,1))+1),$O1552:$O1571),3),"")</f>
        <v/>
      </c>
      <c r="QD1552" s="42" t="str">
        <f t="array" aca="1" ref="QD1552" ca="1">IFERROR(INDEX(nombres[],SMALL(IF(OFFSET(nombres[],0,0,ROWS(nombres[]),1)=QD$1490,ROW(OFFSET(nombres[],0,0,ROWS(nombres[]),1))-ROW(OFFSET(nombres[],0,0,1,1))+1,ROW(OFFSET(nombres[],ROWS(nombres[])-1,0,1,1))+1),$O1552:$O1571),3),"")</f>
        <v/>
      </c>
      <c r="QE1552" s="42" t="str">
        <f t="array" aca="1" ref="QE1552" ca="1">IFERROR(INDEX(nombres[],SMALL(IF(OFFSET(nombres[],0,0,ROWS(nombres[]),1)=QE$1490,ROW(OFFSET(nombres[],0,0,ROWS(nombres[]),1))-ROW(OFFSET(nombres[],0,0,1,1))+1,ROW(OFFSET(nombres[],ROWS(nombres[])-1,0,1,1))+1),$O1552:$O1571),3),"")</f>
        <v/>
      </c>
      <c r="QF1552" s="42" t="str">
        <f t="array" aca="1" ref="QF1552" ca="1">IFERROR(INDEX(nombres[],SMALL(IF(OFFSET(nombres[],0,0,ROWS(nombres[]),1)=QF$1490,ROW(OFFSET(nombres[],0,0,ROWS(nombres[]),1))-ROW(OFFSET(nombres[],0,0,1,1))+1,ROW(OFFSET(nombres[],ROWS(nombres[])-1,0,1,1))+1),$O1552:$O1571),3),"")</f>
        <v/>
      </c>
      <c r="QG1552" s="42" t="str">
        <f t="array" aca="1" ref="QG1552" ca="1">IFERROR(INDEX(nombres[],SMALL(IF(OFFSET(nombres[],0,0,ROWS(nombres[]),1)=QG$1490,ROW(OFFSET(nombres[],0,0,ROWS(nombres[]),1))-ROW(OFFSET(nombres[],0,0,1,1))+1,ROW(OFFSET(nombres[],ROWS(nombres[])-1,0,1,1))+1),$O1552:$O1571),3),"")</f>
        <v/>
      </c>
      <c r="QH1552" s="42" t="str">
        <f t="array" aca="1" ref="QH1552" ca="1">IFERROR(INDEX(nombres[],SMALL(IF(OFFSET(nombres[],0,0,ROWS(nombres[]),1)=QH$1490,ROW(OFFSET(nombres[],0,0,ROWS(nombres[]),1))-ROW(OFFSET(nombres[],0,0,1,1))+1,ROW(OFFSET(nombres[],ROWS(nombres[])-1,0,1,1))+1),$O1552:$O1571),3),"")</f>
        <v/>
      </c>
      <c r="QI1552" s="42" t="str">
        <f t="array" aca="1" ref="QI1552" ca="1">IFERROR(INDEX(nombres[],SMALL(IF(OFFSET(nombres[],0,0,ROWS(nombres[]),1)=QI$1490,ROW(OFFSET(nombres[],0,0,ROWS(nombres[]),1))-ROW(OFFSET(nombres[],0,0,1,1))+1,ROW(OFFSET(nombres[],ROWS(nombres[])-1,0,1,1))+1),$O1552:$O1571),3),"")</f>
        <v/>
      </c>
      <c r="QJ1552" s="42" t="str">
        <f t="array" aca="1" ref="QJ1552" ca="1">IFERROR(INDEX(nombres[],SMALL(IF(OFFSET(nombres[],0,0,ROWS(nombres[]),1)=QJ$1490,ROW(OFFSET(nombres[],0,0,ROWS(nombres[]),1))-ROW(OFFSET(nombres[],0,0,1,1))+1,ROW(OFFSET(nombres[],ROWS(nombres[])-1,0,1,1))+1),$O1552:$O1571),3),"")</f>
        <v/>
      </c>
      <c r="QK1552" s="42" t="str">
        <f t="array" aca="1" ref="QK1552" ca="1">IFERROR(INDEX(nombres[],SMALL(IF(OFFSET(nombres[],0,0,ROWS(nombres[]),1)=QK$1490,ROW(OFFSET(nombres[],0,0,ROWS(nombres[]),1))-ROW(OFFSET(nombres[],0,0,1,1))+1,ROW(OFFSET(nombres[],ROWS(nombres[])-1,0,1,1))+1),$O1552:$O1571),3),"")</f>
        <v/>
      </c>
      <c r="QL1552" s="42" t="str">
        <f t="array" aca="1" ref="QL1552" ca="1">IFERROR(INDEX(nombres[],SMALL(IF(OFFSET(nombres[],0,0,ROWS(nombres[]),1)=QL$1490,ROW(OFFSET(nombres[],0,0,ROWS(nombres[]),1))-ROW(OFFSET(nombres[],0,0,1,1))+1,ROW(OFFSET(nombres[],ROWS(nombres[])-1,0,1,1))+1),$O1552:$O1571),3),"")</f>
        <v/>
      </c>
      <c r="QM1552" s="42" t="str">
        <f t="array" aca="1" ref="QM1552" ca="1">IFERROR(INDEX(nombres[],SMALL(IF(OFFSET(nombres[],0,0,ROWS(nombres[]),1)=QM$1490,ROW(OFFSET(nombres[],0,0,ROWS(nombres[]),1))-ROW(OFFSET(nombres[],0,0,1,1))+1,ROW(OFFSET(nombres[],ROWS(nombres[])-1,0,1,1))+1),$O1552:$O1571),3),"")</f>
        <v/>
      </c>
      <c r="QN1552" s="42" t="str">
        <f t="array" aca="1" ref="QN1552" ca="1">IFERROR(INDEX(nombres[],SMALL(IF(OFFSET(nombres[],0,0,ROWS(nombres[]),1)=QN$1490,ROW(OFFSET(nombres[],0,0,ROWS(nombres[]),1))-ROW(OFFSET(nombres[],0,0,1,1))+1,ROW(OFFSET(nombres[],ROWS(nombres[])-1,0,1,1))+1),$O1552:$O1571),3),"")</f>
        <v/>
      </c>
      <c r="QO1552" s="42" t="str">
        <f t="array" aca="1" ref="QO1552" ca="1">IFERROR(INDEX(nombres[],SMALL(IF(OFFSET(nombres[],0,0,ROWS(nombres[]),1)=QO$1490,ROW(OFFSET(nombres[],0,0,ROWS(nombres[]),1))-ROW(OFFSET(nombres[],0,0,1,1))+1,ROW(OFFSET(nombres[],ROWS(nombres[])-1,0,1,1))+1),$O1552:$O1571),3),"")</f>
        <v/>
      </c>
      <c r="QP1552" s="42" t="str">
        <f t="array" aca="1" ref="QP1552" ca="1">IFERROR(INDEX(nombres[],SMALL(IF(OFFSET(nombres[],0,0,ROWS(nombres[]),1)=QP$1490,ROW(OFFSET(nombres[],0,0,ROWS(nombres[]),1))-ROW(OFFSET(nombres[],0,0,1,1))+1,ROW(OFFSET(nombres[],ROWS(nombres[])-1,0,1,1))+1),$O1552:$O1571),3),"")</f>
        <v/>
      </c>
      <c r="QQ1552" s="42" t="str">
        <f t="array" aca="1" ref="QQ1552" ca="1">IFERROR(INDEX(nombres[],SMALL(IF(OFFSET(nombres[],0,0,ROWS(nombres[]),1)=QQ$1490,ROW(OFFSET(nombres[],0,0,ROWS(nombres[]),1))-ROW(OFFSET(nombres[],0,0,1,1))+1,ROW(OFFSET(nombres[],ROWS(nombres[])-1,0,1,1))+1),$O1552:$O1571),3),"")</f>
        <v/>
      </c>
      <c r="QR1552" s="42" t="str">
        <f t="array" aca="1" ref="QR1552" ca="1">IFERROR(INDEX(nombres[],SMALL(IF(OFFSET(nombres[],0,0,ROWS(nombres[]),1)=QR$1490,ROW(OFFSET(nombres[],0,0,ROWS(nombres[]),1))-ROW(OFFSET(nombres[],0,0,1,1))+1,ROW(OFFSET(nombres[],ROWS(nombres[])-1,0,1,1))+1),$O1552:$O1571),3),"")</f>
        <v/>
      </c>
      <c r="QS1552" s="42" t="str">
        <f t="array" aca="1" ref="QS1552" ca="1">IFERROR(INDEX(nombres[],SMALL(IF(OFFSET(nombres[],0,0,ROWS(nombres[]),1)=QS$1490,ROW(OFFSET(nombres[],0,0,ROWS(nombres[]),1))-ROW(OFFSET(nombres[],0,0,1,1))+1,ROW(OFFSET(nombres[],ROWS(nombres[])-1,0,1,1))+1),$O1552:$O1571),3),"")</f>
        <v/>
      </c>
      <c r="QT1552" s="42" t="str">
        <f t="array" aca="1" ref="QT1552" ca="1">IFERROR(INDEX(nombres[],SMALL(IF(OFFSET(nombres[],0,0,ROWS(nombres[]),1)=QT$1490,ROW(OFFSET(nombres[],0,0,ROWS(nombres[]),1))-ROW(OFFSET(nombres[],0,0,1,1))+1,ROW(OFFSET(nombres[],ROWS(nombres[])-1,0,1,1))+1),$O1552:$O1571),3),"")</f>
        <v/>
      </c>
      <c r="QU1552" s="42" t="str">
        <f t="array" aca="1" ref="QU1552" ca="1">IFERROR(INDEX(nombres[],SMALL(IF(OFFSET(nombres[],0,0,ROWS(nombres[]),1)=QU$1490,ROW(OFFSET(nombres[],0,0,ROWS(nombres[]),1))-ROW(OFFSET(nombres[],0,0,1,1))+1,ROW(OFFSET(nombres[],ROWS(nombres[])-1,0,1,1))+1),$O1552:$O1571),3),"")</f>
        <v/>
      </c>
      <c r="QV1552" s="42" t="str">
        <f t="array" aca="1" ref="QV1552" ca="1">IFERROR(INDEX(nombres[],SMALL(IF(OFFSET(nombres[],0,0,ROWS(nombres[]),1)=QV$1490,ROW(OFFSET(nombres[],0,0,ROWS(nombres[]),1))-ROW(OFFSET(nombres[],0,0,1,1))+1,ROW(OFFSET(nombres[],ROWS(nombres[])-1,0,1,1))+1),$O1552:$O1571),3),"")</f>
        <v/>
      </c>
      <c r="QW1552" s="42" t="str">
        <f t="array" aca="1" ref="QW1552" ca="1">IFERROR(INDEX(nombres[],SMALL(IF(OFFSET(nombres[],0,0,ROWS(nombres[]),1)=QW$1490,ROW(OFFSET(nombres[],0,0,ROWS(nombres[]),1))-ROW(OFFSET(nombres[],0,0,1,1))+1,ROW(OFFSET(nombres[],ROWS(nombres[])-1,0,1,1))+1),$O1552:$O1571),3),"")</f>
        <v/>
      </c>
      <c r="QX1552" s="42" t="str">
        <f t="array" aca="1" ref="QX1552" ca="1">IFERROR(INDEX(nombres[],SMALL(IF(OFFSET(nombres[],0,0,ROWS(nombres[]),1)=QX$1490,ROW(OFFSET(nombres[],0,0,ROWS(nombres[]),1))-ROW(OFFSET(nombres[],0,0,1,1))+1,ROW(OFFSET(nombres[],ROWS(nombres[])-1,0,1,1))+1),$O1552:$O1571),3),"")</f>
        <v/>
      </c>
      <c r="QY1552" s="42" t="str">
        <f t="array" aca="1" ref="QY1552" ca="1">IFERROR(INDEX(nombres[],SMALL(IF(OFFSET(nombres[],0,0,ROWS(nombres[]),1)=QY$1490,ROW(OFFSET(nombres[],0,0,ROWS(nombres[]),1))-ROW(OFFSET(nombres[],0,0,1,1))+1,ROW(OFFSET(nombres[],ROWS(nombres[])-1,0,1,1))+1),$O1552:$O1571),3),"")</f>
        <v/>
      </c>
      <c r="QZ1552" s="42" t="str">
        <f t="array" aca="1" ref="QZ1552" ca="1">IFERROR(INDEX(nombres[],SMALL(IF(OFFSET(nombres[],0,0,ROWS(nombres[]),1)=QZ$1490,ROW(OFFSET(nombres[],0,0,ROWS(nombres[]),1))-ROW(OFFSET(nombres[],0,0,1,1))+1,ROW(OFFSET(nombres[],ROWS(nombres[])-1,0,1,1))+1),$O1552:$O1571),3),"")</f>
        <v/>
      </c>
      <c r="RA1552" s="42" t="str">
        <f t="array" aca="1" ref="RA1552" ca="1">IFERROR(INDEX(nombres[],SMALL(IF(OFFSET(nombres[],0,0,ROWS(nombres[]),1)=RA$1490,ROW(OFFSET(nombres[],0,0,ROWS(nombres[]),1))-ROW(OFFSET(nombres[],0,0,1,1))+1,ROW(OFFSET(nombres[],ROWS(nombres[])-1,0,1,1))+1),$O1552:$O1571),3),"")</f>
        <v/>
      </c>
      <c r="RB1552" s="42" t="str">
        <f t="array" aca="1" ref="RB1552" ca="1">IFERROR(INDEX(nombres[],SMALL(IF(OFFSET(nombres[],0,0,ROWS(nombres[]),1)=RB$1490,ROW(OFFSET(nombres[],0,0,ROWS(nombres[]),1))-ROW(OFFSET(nombres[],0,0,1,1))+1,ROW(OFFSET(nombres[],ROWS(nombres[])-1,0,1,1))+1),$O1552:$O1571),3),"")</f>
        <v/>
      </c>
      <c r="RC1552" s="42" t="str">
        <f t="array" aca="1" ref="RC1552" ca="1">IFERROR(INDEX(nombres[],SMALL(IF(OFFSET(nombres[],0,0,ROWS(nombres[]),1)=RC$1490,ROW(OFFSET(nombres[],0,0,ROWS(nombres[]),1))-ROW(OFFSET(nombres[],0,0,1,1))+1,ROW(OFFSET(nombres[],ROWS(nombres[])-1,0,1,1))+1),$O1552:$O1571),3),"")</f>
        <v/>
      </c>
      <c r="RD1552" s="42" t="str">
        <f t="array" aca="1" ref="RD1552" ca="1">IFERROR(INDEX(nombres[],SMALL(IF(OFFSET(nombres[],0,0,ROWS(nombres[]),1)=RD$1490,ROW(OFFSET(nombres[],0,0,ROWS(nombres[]),1))-ROW(OFFSET(nombres[],0,0,1,1))+1,ROW(OFFSET(nombres[],ROWS(nombres[])-1,0,1,1))+1),$O1552:$O1571),3),"")</f>
        <v/>
      </c>
      <c r="RE1552" s="42" t="str">
        <f t="array" aca="1" ref="RE1552" ca="1">IFERROR(INDEX(nombres[],SMALL(IF(OFFSET(nombres[],0,0,ROWS(nombres[]),1)=RE$1490,ROW(OFFSET(nombres[],0,0,ROWS(nombres[]),1))-ROW(OFFSET(nombres[],0,0,1,1))+1,ROW(OFFSET(nombres[],ROWS(nombres[])-1,0,1,1))+1),$O1552:$O1571),3),"")</f>
        <v/>
      </c>
      <c r="RF1552" s="42" t="str">
        <f t="array" aca="1" ref="RF1552" ca="1">IFERROR(INDEX(nombres[],SMALL(IF(OFFSET(nombres[],0,0,ROWS(nombres[]),1)=RF$1490,ROW(OFFSET(nombres[],0,0,ROWS(nombres[]),1))-ROW(OFFSET(nombres[],0,0,1,1))+1,ROW(OFFSET(nombres[],ROWS(nombres[])-1,0,1,1))+1),$O1552:$O1571),3),"")</f>
        <v/>
      </c>
      <c r="RG1552" s="42" t="str">
        <f t="array" aca="1" ref="RG1552" ca="1">IFERROR(INDEX(nombres[],SMALL(IF(OFFSET(nombres[],0,0,ROWS(nombres[]),1)=RG$1490,ROW(OFFSET(nombres[],0,0,ROWS(nombres[]),1))-ROW(OFFSET(nombres[],0,0,1,1))+1,ROW(OFFSET(nombres[],ROWS(nombres[])-1,0,1,1))+1),$O1552:$O1571),3),"")</f>
        <v/>
      </c>
      <c r="RH1552" s="42" t="str">
        <f t="array" aca="1" ref="RH1552" ca="1">IFERROR(INDEX(nombres[],SMALL(IF(OFFSET(nombres[],0,0,ROWS(nombres[]),1)=RH$1490,ROW(OFFSET(nombres[],0,0,ROWS(nombres[]),1))-ROW(OFFSET(nombres[],0,0,1,1))+1,ROW(OFFSET(nombres[],ROWS(nombres[])-1,0,1,1))+1),$O1552:$O1571),3),"")</f>
        <v/>
      </c>
      <c r="RI1552" s="42" t="str">
        <f t="array" aca="1" ref="RI1552" ca="1">IFERROR(INDEX(nombres[],SMALL(IF(OFFSET(nombres[],0,0,ROWS(nombres[]),1)=RI$1490,ROW(OFFSET(nombres[],0,0,ROWS(nombres[]),1))-ROW(OFFSET(nombres[],0,0,1,1))+1,ROW(OFFSET(nombres[],ROWS(nombres[])-1,0,1,1))+1),$O1552:$O1571),3),"")</f>
        <v/>
      </c>
      <c r="RJ1552" s="42" t="str">
        <f t="array" aca="1" ref="RJ1552" ca="1">IFERROR(INDEX(nombres[],SMALL(IF(OFFSET(nombres[],0,0,ROWS(nombres[]),1)=RJ$1490,ROW(OFFSET(nombres[],0,0,ROWS(nombres[]),1))-ROW(OFFSET(nombres[],0,0,1,1))+1,ROW(OFFSET(nombres[],ROWS(nombres[])-1,0,1,1))+1),$O1552:$O1571),3),"")</f>
        <v/>
      </c>
      <c r="RK1552" s="42" t="str">
        <f t="array" aca="1" ref="RK1552" ca="1">IFERROR(INDEX(nombres[],SMALL(IF(OFFSET(nombres[],0,0,ROWS(nombres[]),1)=RK$1490,ROW(OFFSET(nombres[],0,0,ROWS(nombres[]),1))-ROW(OFFSET(nombres[],0,0,1,1))+1,ROW(OFFSET(nombres[],ROWS(nombres[])-1,0,1,1))+1),$O1552:$O1571),3),"")</f>
        <v/>
      </c>
      <c r="RL1552" s="42" t="str">
        <f t="array" aca="1" ref="RL1552" ca="1">IFERROR(INDEX(nombres[],SMALL(IF(OFFSET(nombres[],0,0,ROWS(nombres[]),1)=RL$1490,ROW(OFFSET(nombres[],0,0,ROWS(nombres[]),1))-ROW(OFFSET(nombres[],0,0,1,1))+1,ROW(OFFSET(nombres[],ROWS(nombres[])-1,0,1,1))+1),$O1552:$O1571),3),"")</f>
        <v/>
      </c>
      <c r="RM1552" s="42" t="str">
        <f t="array" aca="1" ref="RM1552" ca="1">IFERROR(INDEX(nombres[],SMALL(IF(OFFSET(nombres[],0,0,ROWS(nombres[]),1)=RM$1490,ROW(OFFSET(nombres[],0,0,ROWS(nombres[]),1))-ROW(OFFSET(nombres[],0,0,1,1))+1,ROW(OFFSET(nombres[],ROWS(nombres[])-1,0,1,1))+1),$O1552:$O1571),3),"")</f>
        <v/>
      </c>
      <c r="RN1552" s="42" t="str">
        <f t="array" aca="1" ref="RN1552" ca="1">IFERROR(INDEX(nombres[],SMALL(IF(OFFSET(nombres[],0,0,ROWS(nombres[]),1)=RN$1490,ROW(OFFSET(nombres[],0,0,ROWS(nombres[]),1))-ROW(OFFSET(nombres[],0,0,1,1))+1,ROW(OFFSET(nombres[],ROWS(nombres[])-1,0,1,1))+1),$O1552:$O1571),3),"")</f>
        <v/>
      </c>
      <c r="RO1552" s="42" t="str">
        <f t="array" aca="1" ref="RO1552" ca="1">IFERROR(INDEX(nombres[],SMALL(IF(OFFSET(nombres[],0,0,ROWS(nombres[]),1)=RO$1490,ROW(OFFSET(nombres[],0,0,ROWS(nombres[]),1))-ROW(OFFSET(nombres[],0,0,1,1))+1,ROW(OFFSET(nombres[],ROWS(nombres[])-1,0,1,1))+1),$O1552:$O1571),3),"")</f>
        <v/>
      </c>
      <c r="RP1552" s="42" t="str">
        <f t="array" aca="1" ref="RP1552" ca="1">IFERROR(INDEX(nombres[],SMALL(IF(OFFSET(nombres[],0,0,ROWS(nombres[]),1)=RP$1490,ROW(OFFSET(nombres[],0,0,ROWS(nombres[]),1))-ROW(OFFSET(nombres[],0,0,1,1))+1,ROW(OFFSET(nombres[],ROWS(nombres[])-1,0,1,1))+1),$O1552:$O1571),3),"")</f>
        <v/>
      </c>
      <c r="RQ1552" s="42" t="str">
        <f t="array" aca="1" ref="RQ1552" ca="1">IFERROR(INDEX(nombres[],SMALL(IF(OFFSET(nombres[],0,0,ROWS(nombres[]),1)=RQ$1490,ROW(OFFSET(nombres[],0,0,ROWS(nombres[]),1))-ROW(OFFSET(nombres[],0,0,1,1))+1,ROW(OFFSET(nombres[],ROWS(nombres[])-1,0,1,1))+1),$O1552:$O1571),3),"")</f>
        <v/>
      </c>
      <c r="RR1552" s="42" t="str">
        <f t="array" aca="1" ref="RR1552" ca="1">IFERROR(INDEX(nombres[],SMALL(IF(OFFSET(nombres[],0,0,ROWS(nombres[]),1)=RR$1490,ROW(OFFSET(nombres[],0,0,ROWS(nombres[]),1))-ROW(OFFSET(nombres[],0,0,1,1))+1,ROW(OFFSET(nombres[],ROWS(nombres[])-1,0,1,1))+1),$O1552:$O1571),3),"")</f>
        <v/>
      </c>
      <c r="RS1552" s="42" t="str">
        <f t="array" aca="1" ref="RS1552" ca="1">IFERROR(INDEX(nombres[],SMALL(IF(OFFSET(nombres[],0,0,ROWS(nombres[]),1)=RS$1490,ROW(OFFSET(nombres[],0,0,ROWS(nombres[]),1))-ROW(OFFSET(nombres[],0,0,1,1))+1,ROW(OFFSET(nombres[],ROWS(nombres[])-1,0,1,1))+1),$O1552:$O1571),3),"")</f>
        <v/>
      </c>
      <c r="RT1552" s="42" t="str">
        <f t="array" aca="1" ref="RT1552" ca="1">IFERROR(INDEX(nombres[],SMALL(IF(OFFSET(nombres[],0,0,ROWS(nombres[]),1)=RT$1490,ROW(OFFSET(nombres[],0,0,ROWS(nombres[]),1))-ROW(OFFSET(nombres[],0,0,1,1))+1,ROW(OFFSET(nombres[],ROWS(nombres[])-1,0,1,1))+1),$O1552:$O1571),3),"")</f>
        <v/>
      </c>
      <c r="RU1552" s="42" t="str">
        <f t="array" aca="1" ref="RU1552" ca="1">IFERROR(INDEX(nombres[],SMALL(IF(OFFSET(nombres[],0,0,ROWS(nombres[]),1)=RU$1490,ROW(OFFSET(nombres[],0,0,ROWS(nombres[]),1))-ROW(OFFSET(nombres[],0,0,1,1))+1,ROW(OFFSET(nombres[],ROWS(nombres[])-1,0,1,1))+1),$O1552:$O1571),3),"")</f>
        <v/>
      </c>
      <c r="RV1552" s="42" t="str">
        <f t="array" aca="1" ref="RV1552" ca="1">IFERROR(INDEX(nombres[],SMALL(IF(OFFSET(nombres[],0,0,ROWS(nombres[]),1)=RV$1490,ROW(OFFSET(nombres[],0,0,ROWS(nombres[]),1))-ROW(OFFSET(nombres[],0,0,1,1))+1,ROW(OFFSET(nombres[],ROWS(nombres[])-1,0,1,1))+1),$O1552:$O1571),3),"")</f>
        <v/>
      </c>
      <c r="RW1552" s="42" t="str">
        <f t="array" aca="1" ref="RW1552" ca="1">IFERROR(INDEX(nombres[],SMALL(IF(OFFSET(nombres[],0,0,ROWS(nombres[]),1)=RW$1490,ROW(OFFSET(nombres[],0,0,ROWS(nombres[]),1))-ROW(OFFSET(nombres[],0,0,1,1))+1,ROW(OFFSET(nombres[],ROWS(nombres[])-1,0,1,1))+1),$O1552:$O1571),3),"")</f>
        <v/>
      </c>
      <c r="RX1552" s="42" t="str">
        <f t="array" aca="1" ref="RX1552" ca="1">IFERROR(INDEX(nombres[],SMALL(IF(OFFSET(nombres[],0,0,ROWS(nombres[]),1)=RX$1490,ROW(OFFSET(nombres[],0,0,ROWS(nombres[]),1))-ROW(OFFSET(nombres[],0,0,1,1))+1,ROW(OFFSET(nombres[],ROWS(nombres[])-1,0,1,1))+1),$O1552:$O1571),3),"")</f>
        <v/>
      </c>
      <c r="RY1552" s="42" t="str">
        <f t="array" aca="1" ref="RY1552" ca="1">IFERROR(INDEX(nombres[],SMALL(IF(OFFSET(nombres[],0,0,ROWS(nombres[]),1)=RY$1490,ROW(OFFSET(nombres[],0,0,ROWS(nombres[]),1))-ROW(OFFSET(nombres[],0,0,1,1))+1,ROW(OFFSET(nombres[],ROWS(nombres[])-1,0,1,1))+1),$O1552:$O1571),3),"")</f>
        <v/>
      </c>
      <c r="RZ1552" s="42" t="str">
        <f t="array" aca="1" ref="RZ1552" ca="1">IFERROR(INDEX(nombres[],SMALL(IF(OFFSET(nombres[],0,0,ROWS(nombres[]),1)=RZ$1490,ROW(OFFSET(nombres[],0,0,ROWS(nombres[]),1))-ROW(OFFSET(nombres[],0,0,1,1))+1,ROW(OFFSET(nombres[],ROWS(nombres[])-1,0,1,1))+1),$O1552:$O1571),3),"")</f>
        <v/>
      </c>
      <c r="SA1552" s="42" t="str">
        <f t="array" aca="1" ref="SA1552" ca="1">IFERROR(INDEX(nombres[],SMALL(IF(OFFSET(nombres[],0,0,ROWS(nombres[]),1)=SA$1490,ROW(OFFSET(nombres[],0,0,ROWS(nombres[]),1))-ROW(OFFSET(nombres[],0,0,1,1))+1,ROW(OFFSET(nombres[],ROWS(nombres[])-1,0,1,1))+1),$O1552:$O1571),3),"")</f>
        <v/>
      </c>
      <c r="SB1552" s="42" t="str">
        <f t="array" aca="1" ref="SB1552" ca="1">IFERROR(INDEX(nombres[],SMALL(IF(OFFSET(nombres[],0,0,ROWS(nombres[]),1)=SB$1490,ROW(OFFSET(nombres[],0,0,ROWS(nombres[]),1))-ROW(OFFSET(nombres[],0,0,1,1))+1,ROW(OFFSET(nombres[],ROWS(nombres[])-1,0,1,1))+1),$O1552:$O1571),3),"")</f>
        <v/>
      </c>
      <c r="SC1552" s="42" t="str">
        <f t="array" aca="1" ref="SC1552" ca="1">IFERROR(INDEX(nombres[],SMALL(IF(OFFSET(nombres[],0,0,ROWS(nombres[]),1)=SC$1490,ROW(OFFSET(nombres[],0,0,ROWS(nombres[]),1))-ROW(OFFSET(nombres[],0,0,1,1))+1,ROW(OFFSET(nombres[],ROWS(nombres[])-1,0,1,1))+1),$O1552:$O1571),3),"")</f>
        <v/>
      </c>
      <c r="SD1552" s="42" t="str">
        <f t="array" aca="1" ref="SD1552" ca="1">IFERROR(INDEX(nombres[],SMALL(IF(OFFSET(nombres[],0,0,ROWS(nombres[]),1)=SD$1490,ROW(OFFSET(nombres[],0,0,ROWS(nombres[]),1))-ROW(OFFSET(nombres[],0,0,1,1))+1,ROW(OFFSET(nombres[],ROWS(nombres[])-1,0,1,1))+1),$O1552:$O1571),3),"")</f>
        <v/>
      </c>
      <c r="SE1552" s="42" t="str">
        <f t="array" aca="1" ref="SE1552" ca="1">IFERROR(INDEX(nombres[],SMALL(IF(OFFSET(nombres[],0,0,ROWS(nombres[]),1)=SE$1490,ROW(OFFSET(nombres[],0,0,ROWS(nombres[]),1))-ROW(OFFSET(nombres[],0,0,1,1))+1,ROW(OFFSET(nombres[],ROWS(nombres[])-1,0,1,1))+1),$O1552:$O1571),3),"")</f>
        <v/>
      </c>
      <c r="SF1552" s="42" t="str">
        <f t="array" aca="1" ref="SF1552" ca="1">IFERROR(INDEX(nombres[],SMALL(IF(OFFSET(nombres[],0,0,ROWS(nombres[]),1)=SF$1490,ROW(OFFSET(nombres[],0,0,ROWS(nombres[]),1))-ROW(OFFSET(nombres[],0,0,1,1))+1,ROW(OFFSET(nombres[],ROWS(nombres[])-1,0,1,1))+1),$O1552:$O1571),3),"")</f>
        <v/>
      </c>
      <c r="SG1552" s="42" t="str">
        <f t="array" aca="1" ref="SG1552" ca="1">IFERROR(INDEX(nombres[],SMALL(IF(OFFSET(nombres[],0,0,ROWS(nombres[]),1)=SG$1490,ROW(OFFSET(nombres[],0,0,ROWS(nombres[]),1))-ROW(OFFSET(nombres[],0,0,1,1))+1,ROW(OFFSET(nombres[],ROWS(nombres[])-1,0,1,1))+1),$O1552:$O1571),3),"")</f>
        <v/>
      </c>
      <c r="SH1552" s="42" t="str">
        <f t="array" aca="1" ref="SH1552" ca="1">IFERROR(INDEX(nombres[],SMALL(IF(OFFSET(nombres[],0,0,ROWS(nombres[]),1)=SH$1490,ROW(OFFSET(nombres[],0,0,ROWS(nombres[]),1))-ROW(OFFSET(nombres[],0,0,1,1))+1,ROW(OFFSET(nombres[],ROWS(nombres[])-1,0,1,1))+1),$O1552:$O1571),3),"")</f>
        <v/>
      </c>
      <c r="SI1552" s="42" t="str">
        <f t="array" aca="1" ref="SI1552" ca="1">IFERROR(INDEX(nombres[],SMALL(IF(OFFSET(nombres[],0,0,ROWS(nombres[]),1)=SI$1490,ROW(OFFSET(nombres[],0,0,ROWS(nombres[]),1))-ROW(OFFSET(nombres[],0,0,1,1))+1,ROW(OFFSET(nombres[],ROWS(nombres[])-1,0,1,1))+1),$O1552:$O1571),3),"")</f>
        <v/>
      </c>
      <c r="SJ1552" s="42" t="str">
        <f t="array" aca="1" ref="SJ1552" ca="1">IFERROR(INDEX(nombres[],SMALL(IF(OFFSET(nombres[],0,0,ROWS(nombres[]),1)=SJ$1490,ROW(OFFSET(nombres[],0,0,ROWS(nombres[]),1))-ROW(OFFSET(nombres[],0,0,1,1))+1,ROW(OFFSET(nombres[],ROWS(nombres[])-1,0,1,1))+1),$O1552:$O1571),3),"")</f>
        <v/>
      </c>
      <c r="SK1552" s="42" t="str">
        <f t="array" aca="1" ref="SK1552" ca="1">IFERROR(INDEX(nombres[],SMALL(IF(OFFSET(nombres[],0,0,ROWS(nombres[]),1)=SK$1490,ROW(OFFSET(nombres[],0,0,ROWS(nombres[]),1))-ROW(OFFSET(nombres[],0,0,1,1))+1,ROW(OFFSET(nombres[],ROWS(nombres[])-1,0,1,1))+1),$O1552:$O1571),3),"")</f>
        <v/>
      </c>
      <c r="SL1552" s="42" t="str">
        <f t="array" aca="1" ref="SL1552" ca="1">IFERROR(INDEX(nombres[],SMALL(IF(OFFSET(nombres[],0,0,ROWS(nombres[]),1)=SL$1490,ROW(OFFSET(nombres[],0,0,ROWS(nombres[]),1))-ROW(OFFSET(nombres[],0,0,1,1))+1,ROW(OFFSET(nombres[],ROWS(nombres[])-1,0,1,1))+1),$O1552:$O1571),3),"")</f>
        <v/>
      </c>
      <c r="SM1552" s="42" t="str">
        <f t="array" aca="1" ref="SM1552" ca="1">IFERROR(INDEX(nombres[],SMALL(IF(OFFSET(nombres[],0,0,ROWS(nombres[]),1)=SM$1490,ROW(OFFSET(nombres[],0,0,ROWS(nombres[]),1))-ROW(OFFSET(nombres[],0,0,1,1))+1,ROW(OFFSET(nombres[],ROWS(nombres[])-1,0,1,1))+1),$O1552:$O1571),3),"")</f>
        <v/>
      </c>
      <c r="SN1552" s="42" t="str">
        <f t="array" aca="1" ref="SN1552" ca="1">IFERROR(INDEX(nombres[],SMALL(IF(OFFSET(nombres[],0,0,ROWS(nombres[]),1)=SN$1490,ROW(OFFSET(nombres[],0,0,ROWS(nombres[]),1))-ROW(OFFSET(nombres[],0,0,1,1))+1,ROW(OFFSET(nombres[],ROWS(nombres[])-1,0,1,1))+1),$O1552:$O1571),3),"")</f>
        <v/>
      </c>
      <c r="SO1552" s="42" t="str">
        <f t="array" aca="1" ref="SO1552" ca="1">IFERROR(INDEX(nombres[],SMALL(IF(OFFSET(nombres[],0,0,ROWS(nombres[]),1)=SO$1490,ROW(OFFSET(nombres[],0,0,ROWS(nombres[]),1))-ROW(OFFSET(nombres[],0,0,1,1))+1,ROW(OFFSET(nombres[],ROWS(nombres[])-1,0,1,1))+1),$O1552:$O1571),3),"")</f>
        <v/>
      </c>
      <c r="SP1552" s="42" t="str">
        <f t="array" aca="1" ref="SP1552" ca="1">IFERROR(INDEX(nombres[],SMALL(IF(OFFSET(nombres[],0,0,ROWS(nombres[]),1)=SP$1490,ROW(OFFSET(nombres[],0,0,ROWS(nombres[]),1))-ROW(OFFSET(nombres[],0,0,1,1))+1,ROW(OFFSET(nombres[],ROWS(nombres[])-1,0,1,1))+1),$O1552:$O1571),3),"")</f>
        <v/>
      </c>
      <c r="SQ1552" s="42" t="str">
        <f t="array" aca="1" ref="SQ1552" ca="1">IFERROR(INDEX(nombres[],SMALL(IF(OFFSET(nombres[],0,0,ROWS(nombres[]),1)=SQ$1490,ROW(OFFSET(nombres[],0,0,ROWS(nombres[]),1))-ROW(OFFSET(nombres[],0,0,1,1))+1,ROW(OFFSET(nombres[],ROWS(nombres[])-1,0,1,1))+1),$O1552:$O1571),3),"")</f>
        <v/>
      </c>
      <c r="SR1552" s="42" t="str">
        <f t="array" aca="1" ref="SR1552" ca="1">IFERROR(INDEX(nombres[],SMALL(IF(OFFSET(nombres[],0,0,ROWS(nombres[]),1)=SR$1490,ROW(OFFSET(nombres[],0,0,ROWS(nombres[]),1))-ROW(OFFSET(nombres[],0,0,1,1))+1,ROW(OFFSET(nombres[],ROWS(nombres[])-1,0,1,1))+1),$O1552:$O1571),3),"")</f>
        <v/>
      </c>
      <c r="SS1552" s="42" t="str">
        <f t="array" aca="1" ref="SS1552" ca="1">IFERROR(INDEX(nombres[],SMALL(IF(OFFSET(nombres[],0,0,ROWS(nombres[]),1)=SS$1490,ROW(OFFSET(nombres[],0,0,ROWS(nombres[]),1))-ROW(OFFSET(nombres[],0,0,1,1))+1,ROW(OFFSET(nombres[],ROWS(nombres[])-1,0,1,1))+1),$O1552:$O1571),3),"")</f>
        <v/>
      </c>
      <c r="ST1552" s="42" t="str">
        <f t="array" aca="1" ref="ST1552" ca="1">IFERROR(INDEX(nombres[],SMALL(IF(OFFSET(nombres[],0,0,ROWS(nombres[]),1)=ST$1490,ROW(OFFSET(nombres[],0,0,ROWS(nombres[]),1))-ROW(OFFSET(nombres[],0,0,1,1))+1,ROW(OFFSET(nombres[],ROWS(nombres[])-1,0,1,1))+1),$O1552:$O1571),3),"")</f>
        <v/>
      </c>
      <c r="SU1552" s="42" t="str">
        <f t="array" aca="1" ref="SU1552" ca="1">IFERROR(INDEX(nombres[],SMALL(IF(OFFSET(nombres[],0,0,ROWS(nombres[]),1)=SU$1490,ROW(OFFSET(nombres[],0,0,ROWS(nombres[]),1))-ROW(OFFSET(nombres[],0,0,1,1))+1,ROW(OFFSET(nombres[],ROWS(nombres[])-1,0,1,1))+1),$O1552:$O1571),3),"")</f>
        <v/>
      </c>
      <c r="SV1552" s="42" t="str">
        <f t="array" aca="1" ref="SV1552" ca="1">IFERROR(INDEX(nombres[],SMALL(IF(OFFSET(nombres[],0,0,ROWS(nombres[]),1)=SV$1490,ROW(OFFSET(nombres[],0,0,ROWS(nombres[]),1))-ROW(OFFSET(nombres[],0,0,1,1))+1,ROW(OFFSET(nombres[],ROWS(nombres[])-1,0,1,1))+1),$O1552:$O1571),3),"")</f>
        <v/>
      </c>
      <c r="SW1552" s="42" t="str">
        <f t="array" aca="1" ref="SW1552" ca="1">IFERROR(INDEX(nombres[],SMALL(IF(OFFSET(nombres[],0,0,ROWS(nombres[]),1)=SW$1490,ROW(OFFSET(nombres[],0,0,ROWS(nombres[]),1))-ROW(OFFSET(nombres[],0,0,1,1))+1,ROW(OFFSET(nombres[],ROWS(nombres[])-1,0,1,1))+1),$O1552:$O1571),3),"")</f>
        <v/>
      </c>
      <c r="SX1552" s="42" t="str">
        <f t="array" aca="1" ref="SX1552" ca="1">IFERROR(INDEX(nombres[],SMALL(IF(OFFSET(nombres[],0,0,ROWS(nombres[]),1)=SX$1490,ROW(OFFSET(nombres[],0,0,ROWS(nombres[]),1))-ROW(OFFSET(nombres[],0,0,1,1))+1,ROW(OFFSET(nombres[],ROWS(nombres[])-1,0,1,1))+1),$O1552:$O1571),3),"")</f>
        <v/>
      </c>
      <c r="SY1552" s="42" t="str">
        <f t="array" aca="1" ref="SY1552" ca="1">IFERROR(INDEX(nombres[],SMALL(IF(OFFSET(nombres[],0,0,ROWS(nombres[]),1)=SY$1490,ROW(OFFSET(nombres[],0,0,ROWS(nombres[]),1))-ROW(OFFSET(nombres[],0,0,1,1))+1,ROW(OFFSET(nombres[],ROWS(nombres[])-1,0,1,1))+1),$O1552:$O1571),3),"")</f>
        <v/>
      </c>
      <c r="SZ1552" s="42" t="str">
        <f t="array" aca="1" ref="SZ1552" ca="1">IFERROR(INDEX(nombres[],SMALL(IF(OFFSET(nombres[],0,0,ROWS(nombres[]),1)=SZ$1490,ROW(OFFSET(nombres[],0,0,ROWS(nombres[]),1))-ROW(OFFSET(nombres[],0,0,1,1))+1,ROW(OFFSET(nombres[],ROWS(nombres[])-1,0,1,1))+1),$O1552:$O1571),3),"")</f>
        <v/>
      </c>
      <c r="TA1552" s="42" t="str">
        <f t="array" aca="1" ref="TA1552" ca="1">IFERROR(INDEX(nombres[],SMALL(IF(OFFSET(nombres[],0,0,ROWS(nombres[]),1)=TA$1490,ROW(OFFSET(nombres[],0,0,ROWS(nombres[]),1))-ROW(OFFSET(nombres[],0,0,1,1))+1,ROW(OFFSET(nombres[],ROWS(nombres[])-1,0,1,1))+1),$O1552:$O1571),3),"")</f>
        <v/>
      </c>
      <c r="TB1552" s="42" t="str">
        <f t="array" aca="1" ref="TB1552" ca="1">IFERROR(INDEX(nombres[],SMALL(IF(OFFSET(nombres[],0,0,ROWS(nombres[]),1)=TB$1490,ROW(OFFSET(nombres[],0,0,ROWS(nombres[]),1))-ROW(OFFSET(nombres[],0,0,1,1))+1,ROW(OFFSET(nombres[],ROWS(nombres[])-1,0,1,1))+1),$O1552:$O1571),3),"")</f>
        <v/>
      </c>
      <c r="TC1552" s="42" t="str">
        <f t="array" aca="1" ref="TC1552" ca="1">IFERROR(INDEX(nombres[],SMALL(IF(OFFSET(nombres[],0,0,ROWS(nombres[]),1)=TC$1490,ROW(OFFSET(nombres[],0,0,ROWS(nombres[]),1))-ROW(OFFSET(nombres[],0,0,1,1))+1,ROW(OFFSET(nombres[],ROWS(nombres[])-1,0,1,1))+1),$O1552:$O1571),3),"")</f>
        <v/>
      </c>
      <c r="TD1552" s="42" t="str">
        <f t="array" aca="1" ref="TD1552" ca="1">IFERROR(INDEX(nombres[],SMALL(IF(OFFSET(nombres[],0,0,ROWS(nombres[]),1)=TD$1490,ROW(OFFSET(nombres[],0,0,ROWS(nombres[]),1))-ROW(OFFSET(nombres[],0,0,1,1))+1,ROW(OFFSET(nombres[],ROWS(nombres[])-1,0,1,1))+1),$O1552:$O1571),3),"")</f>
        <v/>
      </c>
      <c r="TE1552" s="42" t="str">
        <f t="array" aca="1" ref="TE1552" ca="1">IFERROR(INDEX(nombres[],SMALL(IF(OFFSET(nombres[],0,0,ROWS(nombres[]),1)=TE$1490,ROW(OFFSET(nombres[],0,0,ROWS(nombres[]),1))-ROW(OFFSET(nombres[],0,0,1,1))+1,ROW(OFFSET(nombres[],ROWS(nombres[])-1,0,1,1))+1),$O1552:$O1571),3),"")</f>
        <v/>
      </c>
      <c r="TF1552" s="42" t="str">
        <f t="array" aca="1" ref="TF1552" ca="1">IFERROR(INDEX(nombres[],SMALL(IF(OFFSET(nombres[],0,0,ROWS(nombres[]),1)=TF$1490,ROW(OFFSET(nombres[],0,0,ROWS(nombres[]),1))-ROW(OFFSET(nombres[],0,0,1,1))+1,ROW(OFFSET(nombres[],ROWS(nombres[])-1,0,1,1))+1),$O1552:$O1571),3),"")</f>
        <v/>
      </c>
      <c r="TG1552" s="42" t="str">
        <f t="array" aca="1" ref="TG1552" ca="1">IFERROR(INDEX(nombres[],SMALL(IF(OFFSET(nombres[],0,0,ROWS(nombres[]),1)=TG$1490,ROW(OFFSET(nombres[],0,0,ROWS(nombres[]),1))-ROW(OFFSET(nombres[],0,0,1,1))+1,ROW(OFFSET(nombres[],ROWS(nombres[])-1,0,1,1))+1),$O1552:$O1571),3),"")</f>
        <v/>
      </c>
      <c r="TH1552" s="42" t="str">
        <f t="array" aca="1" ref="TH1552" ca="1">IFERROR(INDEX(nombres[],SMALL(IF(OFFSET(nombres[],0,0,ROWS(nombres[]),1)=TH$1490,ROW(OFFSET(nombres[],0,0,ROWS(nombres[]),1))-ROW(OFFSET(nombres[],0,0,1,1))+1,ROW(OFFSET(nombres[],ROWS(nombres[])-1,0,1,1))+1),$O1552:$O1571),3),"")</f>
        <v/>
      </c>
      <c r="TI1552" s="42" t="str">
        <f t="array" aca="1" ref="TI1552" ca="1">IFERROR(INDEX(nombres[],SMALL(IF(OFFSET(nombres[],0,0,ROWS(nombres[]),1)=TI$1490,ROW(OFFSET(nombres[],0,0,ROWS(nombres[]),1))-ROW(OFFSET(nombres[],0,0,1,1))+1,ROW(OFFSET(nombres[],ROWS(nombres[])-1,0,1,1))+1),$O1552:$O1571),3),"")</f>
        <v/>
      </c>
      <c r="TJ1552" s="42" t="str">
        <f t="array" aca="1" ref="TJ1552" ca="1">IFERROR(INDEX(nombres[],SMALL(IF(OFFSET(nombres[],0,0,ROWS(nombres[]),1)=TJ$1490,ROW(OFFSET(nombres[],0,0,ROWS(nombres[]),1))-ROW(OFFSET(nombres[],0,0,1,1))+1,ROW(OFFSET(nombres[],ROWS(nombres[])-1,0,1,1))+1),$O1552:$O1571),3),"")</f>
        <v/>
      </c>
      <c r="TK1552" s="42" t="str">
        <f t="array" aca="1" ref="TK1552" ca="1">IFERROR(INDEX(nombres[],SMALL(IF(OFFSET(nombres[],0,0,ROWS(nombres[]),1)=TK$1490,ROW(OFFSET(nombres[],0,0,ROWS(nombres[]),1))-ROW(OFFSET(nombres[],0,0,1,1))+1,ROW(OFFSET(nombres[],ROWS(nombres[])-1,0,1,1))+1),$O1552:$O1571),3),"")</f>
        <v/>
      </c>
      <c r="TL1552" s="42" t="str">
        <f t="array" aca="1" ref="TL1552" ca="1">IFERROR(INDEX(nombres[],SMALL(IF(OFFSET(nombres[],0,0,ROWS(nombres[]),1)=TL$1490,ROW(OFFSET(nombres[],0,0,ROWS(nombres[]),1))-ROW(OFFSET(nombres[],0,0,1,1))+1,ROW(OFFSET(nombres[],ROWS(nombres[])-1,0,1,1))+1),$O1552:$O1571),3),"")</f>
        <v/>
      </c>
      <c r="TM1552" s="42" t="str">
        <f t="array" aca="1" ref="TM1552" ca="1">IFERROR(INDEX(nombres[],SMALL(IF(OFFSET(nombres[],0,0,ROWS(nombres[]),1)=TM$1490,ROW(OFFSET(nombres[],0,0,ROWS(nombres[]),1))-ROW(OFFSET(nombres[],0,0,1,1))+1,ROW(OFFSET(nombres[],ROWS(nombres[])-1,0,1,1))+1),$O1552:$O1571),3),"")</f>
        <v/>
      </c>
      <c r="TN1552" s="42" t="str">
        <f t="array" aca="1" ref="TN1552" ca="1">IFERROR(INDEX(nombres[],SMALL(IF(OFFSET(nombres[],0,0,ROWS(nombres[]),1)=TN$1490,ROW(OFFSET(nombres[],0,0,ROWS(nombres[]),1))-ROW(OFFSET(nombres[],0,0,1,1))+1,ROW(OFFSET(nombres[],ROWS(nombres[])-1,0,1,1))+1),$O1552:$O1571),3),"")</f>
        <v/>
      </c>
      <c r="TO1552" s="42" t="str">
        <f t="array" aca="1" ref="TO1552" ca="1">IFERROR(INDEX(nombres[],SMALL(IF(OFFSET(nombres[],0,0,ROWS(nombres[]),1)=TO$1490,ROW(OFFSET(nombres[],0,0,ROWS(nombres[]),1))-ROW(OFFSET(nombres[],0,0,1,1))+1,ROW(OFFSET(nombres[],ROWS(nombres[])-1,0,1,1))+1),$O1552:$O1571),3),"")</f>
        <v/>
      </c>
      <c r="TP1552" s="42" t="str">
        <f t="array" aca="1" ref="TP1552" ca="1">IFERROR(INDEX(nombres[],SMALL(IF(OFFSET(nombres[],0,0,ROWS(nombres[]),1)=TP$1490,ROW(OFFSET(nombres[],0,0,ROWS(nombres[]),1))-ROW(OFFSET(nombres[],0,0,1,1))+1,ROW(OFFSET(nombres[],ROWS(nombres[])-1,0,1,1))+1),$O1552:$O1571),3),"")</f>
        <v/>
      </c>
      <c r="TQ1552" s="42" t="str">
        <f t="array" aca="1" ref="TQ1552" ca="1">IFERROR(INDEX(nombres[],SMALL(IF(OFFSET(nombres[],0,0,ROWS(nombres[]),1)=TQ$1490,ROW(OFFSET(nombres[],0,0,ROWS(nombres[]),1))-ROW(OFFSET(nombres[],0,0,1,1))+1,ROW(OFFSET(nombres[],ROWS(nombres[])-1,0,1,1))+1),$O1552:$O1571),3),"")</f>
        <v/>
      </c>
      <c r="TR1552" s="42" t="str">
        <f t="array" aca="1" ref="TR1552" ca="1">IFERROR(INDEX(nombres[],SMALL(IF(OFFSET(nombres[],0,0,ROWS(nombres[]),1)=TR$1490,ROW(OFFSET(nombres[],0,0,ROWS(nombres[]),1))-ROW(OFFSET(nombres[],0,0,1,1))+1,ROW(OFFSET(nombres[],ROWS(nombres[])-1,0,1,1))+1),$O1552:$O1571),3),"")</f>
        <v/>
      </c>
      <c r="TS1552" s="42" t="str">
        <f t="array" aca="1" ref="TS1552" ca="1">IFERROR(INDEX(nombres[],SMALL(IF(OFFSET(nombres[],0,0,ROWS(nombres[]),1)=TS$1490,ROW(OFFSET(nombres[],0,0,ROWS(nombres[]),1))-ROW(OFFSET(nombres[],0,0,1,1))+1,ROW(OFFSET(nombres[],ROWS(nombres[])-1,0,1,1))+1),$O1552:$O1571),3),"")</f>
        <v/>
      </c>
      <c r="TT1552" s="42" t="str">
        <f t="array" aca="1" ref="TT1552" ca="1">IFERROR(INDEX(nombres[],SMALL(IF(OFFSET(nombres[],0,0,ROWS(nombres[]),1)=TT$1490,ROW(OFFSET(nombres[],0,0,ROWS(nombres[]),1))-ROW(OFFSET(nombres[],0,0,1,1))+1,ROW(OFFSET(nombres[],ROWS(nombres[])-1,0,1,1))+1),$O1552:$O1571),3),"")</f>
        <v/>
      </c>
      <c r="TU1552" s="42" t="str">
        <f t="array" aca="1" ref="TU1552" ca="1">IFERROR(INDEX(nombres[],SMALL(IF(OFFSET(nombres[],0,0,ROWS(nombres[]),1)=TU$1490,ROW(OFFSET(nombres[],0,0,ROWS(nombres[]),1))-ROW(OFFSET(nombres[],0,0,1,1))+1,ROW(OFFSET(nombres[],ROWS(nombres[])-1,0,1,1))+1),$O1552:$O1571),3),"")</f>
        <v/>
      </c>
      <c r="TV1552" s="42" t="str">
        <f t="array" aca="1" ref="TV1552" ca="1">IFERROR(INDEX(nombres[],SMALL(IF(OFFSET(nombres[],0,0,ROWS(nombres[]),1)=TV$1490,ROW(OFFSET(nombres[],0,0,ROWS(nombres[]),1))-ROW(OFFSET(nombres[],0,0,1,1))+1,ROW(OFFSET(nombres[],ROWS(nombres[])-1,0,1,1))+1),$O1552:$O1571),3),"")</f>
        <v/>
      </c>
      <c r="TW1552" s="42" t="str">
        <f t="array" aca="1" ref="TW1552" ca="1">IFERROR(INDEX(nombres[],SMALL(IF(OFFSET(nombres[],0,0,ROWS(nombres[]),1)=TW$1490,ROW(OFFSET(nombres[],0,0,ROWS(nombres[]),1))-ROW(OFFSET(nombres[],0,0,1,1))+1,ROW(OFFSET(nombres[],ROWS(nombres[])-1,0,1,1))+1),$O1552:$O1571),3),"")</f>
        <v/>
      </c>
      <c r="TX1552" s="42" t="str">
        <f t="array" aca="1" ref="TX1552" ca="1">IFERROR(INDEX(nombres[],SMALL(IF(OFFSET(nombres[],0,0,ROWS(nombres[]),1)=TX$1490,ROW(OFFSET(nombres[],0,0,ROWS(nombres[]),1))-ROW(OFFSET(nombres[],0,0,1,1))+1,ROW(OFFSET(nombres[],ROWS(nombres[])-1,0,1,1))+1),$O1552:$O1571),3),"")</f>
        <v/>
      </c>
      <c r="TY1552" s="42" t="str">
        <f t="array" aca="1" ref="TY1552" ca="1">IFERROR(INDEX(nombres[],SMALL(IF(OFFSET(nombres[],0,0,ROWS(nombres[]),1)=TY$1490,ROW(OFFSET(nombres[],0,0,ROWS(nombres[]),1))-ROW(OFFSET(nombres[],0,0,1,1))+1,ROW(OFFSET(nombres[],ROWS(nombres[])-1,0,1,1))+1),$O1552:$O1571),3),"")</f>
        <v/>
      </c>
      <c r="TZ1552" s="42" t="str">
        <f t="array" aca="1" ref="TZ1552" ca="1">IFERROR(INDEX(nombres[],SMALL(IF(OFFSET(nombres[],0,0,ROWS(nombres[]),1)=TZ$1490,ROW(OFFSET(nombres[],0,0,ROWS(nombres[]),1))-ROW(OFFSET(nombres[],0,0,1,1))+1,ROW(OFFSET(nombres[],ROWS(nombres[])-1,0,1,1))+1),$O1552:$O1571),3),"")</f>
        <v/>
      </c>
      <c r="UA1552" s="42" t="str">
        <f t="array" aca="1" ref="UA1552" ca="1">IFERROR(INDEX(nombres[],SMALL(IF(OFFSET(nombres[],0,0,ROWS(nombres[]),1)=UA$1490,ROW(OFFSET(nombres[],0,0,ROWS(nombres[]),1))-ROW(OFFSET(nombres[],0,0,1,1))+1,ROW(OFFSET(nombres[],ROWS(nombres[])-1,0,1,1))+1),$O1552:$O1571),3),"")</f>
        <v/>
      </c>
      <c r="UB1552" s="42" t="str">
        <f t="array" aca="1" ref="UB1552" ca="1">IFERROR(INDEX(nombres[],SMALL(IF(OFFSET(nombres[],0,0,ROWS(nombres[]),1)=UB$1490,ROW(OFFSET(nombres[],0,0,ROWS(nombres[]),1))-ROW(OFFSET(nombres[],0,0,1,1))+1,ROW(OFFSET(nombres[],ROWS(nombres[])-1,0,1,1))+1),$O1552:$O1571),3),"")</f>
        <v/>
      </c>
      <c r="UC1552" s="42" t="str">
        <f t="array" aca="1" ref="UC1552" ca="1">IFERROR(INDEX(nombres[],SMALL(IF(OFFSET(nombres[],0,0,ROWS(nombres[]),1)=UC$1490,ROW(OFFSET(nombres[],0,0,ROWS(nombres[]),1))-ROW(OFFSET(nombres[],0,0,1,1))+1,ROW(OFFSET(nombres[],ROWS(nombres[])-1,0,1,1))+1),$O1552:$O1571),3),"")</f>
        <v/>
      </c>
      <c r="UD1552" s="42" t="str">
        <f t="array" aca="1" ref="UD1552" ca="1">IFERROR(INDEX(nombres[],SMALL(IF(OFFSET(nombres[],0,0,ROWS(nombres[]),1)=UD$1490,ROW(OFFSET(nombres[],0,0,ROWS(nombres[]),1))-ROW(OFFSET(nombres[],0,0,1,1))+1,ROW(OFFSET(nombres[],ROWS(nombres[])-1,0,1,1))+1),$O1552:$O1571),3),"")</f>
        <v/>
      </c>
      <c r="UE1552" s="42" t="str">
        <f t="array" aca="1" ref="UE1552" ca="1">IFERROR(INDEX(nombres[],SMALL(IF(OFFSET(nombres[],0,0,ROWS(nombres[]),1)=UE$1490,ROW(OFFSET(nombres[],0,0,ROWS(nombres[]),1))-ROW(OFFSET(nombres[],0,0,1,1))+1,ROW(OFFSET(nombres[],ROWS(nombres[])-1,0,1,1))+1),$O1552:$O1571),3),"")</f>
        <v/>
      </c>
      <c r="UF1552" s="42" t="str">
        <f t="array" aca="1" ref="UF1552" ca="1">IFERROR(INDEX(nombres[],SMALL(IF(OFFSET(nombres[],0,0,ROWS(nombres[]),1)=UF$1490,ROW(OFFSET(nombres[],0,0,ROWS(nombres[]),1))-ROW(OFFSET(nombres[],0,0,1,1))+1,ROW(OFFSET(nombres[],ROWS(nombres[])-1,0,1,1))+1),$O1552:$O1571),3),"")</f>
        <v/>
      </c>
      <c r="UG1552" s="42" t="str">
        <f t="array" aca="1" ref="UG1552" ca="1">IFERROR(INDEX(nombres[],SMALL(IF(OFFSET(nombres[],0,0,ROWS(nombres[]),1)=UG$1490,ROW(OFFSET(nombres[],0,0,ROWS(nombres[]),1))-ROW(OFFSET(nombres[],0,0,1,1))+1,ROW(OFFSET(nombres[],ROWS(nombres[])-1,0,1,1))+1),$O1552:$O1571),3),"")</f>
        <v/>
      </c>
      <c r="UH1552" s="42" t="str">
        <f t="array" aca="1" ref="UH1552" ca="1">IFERROR(INDEX(nombres[],SMALL(IF(OFFSET(nombres[],0,0,ROWS(nombres[]),1)=UH$1490,ROW(OFFSET(nombres[],0,0,ROWS(nombres[]),1))-ROW(OFFSET(nombres[],0,0,1,1))+1,ROW(OFFSET(nombres[],ROWS(nombres[])-1,0,1,1))+1),$O1552:$O1571),3),"")</f>
        <v/>
      </c>
      <c r="UI1552" s="42" t="str">
        <f t="array" aca="1" ref="UI1552" ca="1">IFERROR(INDEX(nombres[],SMALL(IF(OFFSET(nombres[],0,0,ROWS(nombres[]),1)=UI$1490,ROW(OFFSET(nombres[],0,0,ROWS(nombres[]),1))-ROW(OFFSET(nombres[],0,0,1,1))+1,ROW(OFFSET(nombres[],ROWS(nombres[])-1,0,1,1))+1),$O1552:$O1571),3),"")</f>
        <v/>
      </c>
      <c r="UJ1552" s="42" t="str">
        <f t="array" aca="1" ref="UJ1552" ca="1">IFERROR(INDEX(nombres[],SMALL(IF(OFFSET(nombres[],0,0,ROWS(nombres[]),1)=UJ$1490,ROW(OFFSET(nombres[],0,0,ROWS(nombres[]),1))-ROW(OFFSET(nombres[],0,0,1,1))+1,ROW(OFFSET(nombres[],ROWS(nombres[])-1,0,1,1))+1),$O1552:$O1571),3),"")</f>
        <v/>
      </c>
      <c r="UK1552" s="42" t="str">
        <f t="array" aca="1" ref="UK1552" ca="1">IFERROR(INDEX(nombres[],SMALL(IF(OFFSET(nombres[],0,0,ROWS(nombres[]),1)=UK$1490,ROW(OFFSET(nombres[],0,0,ROWS(nombres[]),1))-ROW(OFFSET(nombres[],0,0,1,1))+1,ROW(OFFSET(nombres[],ROWS(nombres[])-1,0,1,1))+1),$O1552:$O1571),3),"")</f>
        <v/>
      </c>
      <c r="UL1552" s="42" t="str">
        <f t="array" aca="1" ref="UL1552" ca="1">IFERROR(INDEX(nombres[],SMALL(IF(OFFSET(nombres[],0,0,ROWS(nombres[]),1)=UL$1490,ROW(OFFSET(nombres[],0,0,ROWS(nombres[]),1))-ROW(OFFSET(nombres[],0,0,1,1))+1,ROW(OFFSET(nombres[],ROWS(nombres[])-1,0,1,1))+1),$O1552:$O1571),3),"")</f>
        <v/>
      </c>
      <c r="UM1552" s="42" t="str">
        <f t="array" aca="1" ref="UM1552" ca="1">IFERROR(INDEX(nombres[],SMALL(IF(OFFSET(nombres[],0,0,ROWS(nombres[]),1)=UM$1490,ROW(OFFSET(nombres[],0,0,ROWS(nombres[]),1))-ROW(OFFSET(nombres[],0,0,1,1))+1,ROW(OFFSET(nombres[],ROWS(nombres[])-1,0,1,1))+1),$O1552:$O1571),3),"")</f>
        <v/>
      </c>
      <c r="UN1552" s="42" t="str">
        <f t="array" aca="1" ref="UN1552" ca="1">IFERROR(INDEX(nombres[],SMALL(IF(OFFSET(nombres[],0,0,ROWS(nombres[]),1)=UN$1490,ROW(OFFSET(nombres[],0,0,ROWS(nombres[]),1))-ROW(OFFSET(nombres[],0,0,1,1))+1,ROW(OFFSET(nombres[],ROWS(nombres[])-1,0,1,1))+1),$O1552:$O1571),3),"")</f>
        <v/>
      </c>
      <c r="UO1552" s="42" t="str">
        <f t="array" aca="1" ref="UO1552" ca="1">IFERROR(INDEX(nombres[],SMALL(IF(OFFSET(nombres[],0,0,ROWS(nombres[]),1)=UO$1490,ROW(OFFSET(nombres[],0,0,ROWS(nombres[]),1))-ROW(OFFSET(nombres[],0,0,1,1))+1,ROW(OFFSET(nombres[],ROWS(nombres[])-1,0,1,1))+1),$O1552:$O1571),3),"")</f>
        <v/>
      </c>
      <c r="UP1552" s="42" t="str">
        <f t="array" aca="1" ref="UP1552" ca="1">IFERROR(INDEX(nombres[],SMALL(IF(OFFSET(nombres[],0,0,ROWS(nombres[]),1)=UP$1490,ROW(OFFSET(nombres[],0,0,ROWS(nombres[]),1))-ROW(OFFSET(nombres[],0,0,1,1))+1,ROW(OFFSET(nombres[],ROWS(nombres[])-1,0,1,1))+1),$O1552:$O1571),3),"")</f>
        <v/>
      </c>
      <c r="UQ1552" s="42" t="str">
        <f t="array" aca="1" ref="UQ1552" ca="1">IFERROR(INDEX(nombres[],SMALL(IF(OFFSET(nombres[],0,0,ROWS(nombres[]),1)=UQ$1490,ROW(OFFSET(nombres[],0,0,ROWS(nombres[]),1))-ROW(OFFSET(nombres[],0,0,1,1))+1,ROW(OFFSET(nombres[],ROWS(nombres[])-1,0,1,1))+1),$O1552:$O1571),3),"")</f>
        <v/>
      </c>
      <c r="UR1552" s="42" t="str">
        <f t="array" aca="1" ref="UR1552" ca="1">IFERROR(INDEX(nombres[],SMALL(IF(OFFSET(nombres[],0,0,ROWS(nombres[]),1)=UR$1490,ROW(OFFSET(nombres[],0,0,ROWS(nombres[]),1))-ROW(OFFSET(nombres[],0,0,1,1))+1,ROW(OFFSET(nombres[],ROWS(nombres[])-1,0,1,1))+1),$O1552:$O1571),3),"")</f>
        <v/>
      </c>
      <c r="US1552" s="42" t="str">
        <f t="array" aca="1" ref="US1552" ca="1">IFERROR(INDEX(nombres[],SMALL(IF(OFFSET(nombres[],0,0,ROWS(nombres[]),1)=US$1490,ROW(OFFSET(nombres[],0,0,ROWS(nombres[]),1))-ROW(OFFSET(nombres[],0,0,1,1))+1,ROW(OFFSET(nombres[],ROWS(nombres[])-1,0,1,1))+1),$O1552:$O1571),3),"")</f>
        <v/>
      </c>
      <c r="UT1552" s="42" t="str">
        <f t="array" aca="1" ref="UT1552" ca="1">IFERROR(INDEX(nombres[],SMALL(IF(OFFSET(nombres[],0,0,ROWS(nombres[]),1)=UT$1490,ROW(OFFSET(nombres[],0,0,ROWS(nombres[]),1))-ROW(OFFSET(nombres[],0,0,1,1))+1,ROW(OFFSET(nombres[],ROWS(nombres[])-1,0,1,1))+1),$O1552:$O1571),3),"")</f>
        <v/>
      </c>
      <c r="UU1552" s="42" t="str">
        <f t="array" aca="1" ref="UU1552" ca="1">IFERROR(INDEX(nombres[],SMALL(IF(OFFSET(nombres[],0,0,ROWS(nombres[]),1)=UU$1490,ROW(OFFSET(nombres[],0,0,ROWS(nombres[]),1))-ROW(OFFSET(nombres[],0,0,1,1))+1,ROW(OFFSET(nombres[],ROWS(nombres[])-1,0,1,1))+1),$O1552:$O1571),3),"")</f>
        <v/>
      </c>
      <c r="UV1552" s="42" t="str">
        <f t="array" aca="1" ref="UV1552" ca="1">IFERROR(INDEX(nombres[],SMALL(IF(OFFSET(nombres[],0,0,ROWS(nombres[]),1)=UV$1490,ROW(OFFSET(nombres[],0,0,ROWS(nombres[]),1))-ROW(OFFSET(nombres[],0,0,1,1))+1,ROW(OFFSET(nombres[],ROWS(nombres[])-1,0,1,1))+1),$O1552:$O1571),3),"")</f>
        <v/>
      </c>
      <c r="UW1552" s="42" t="str">
        <f t="array" aca="1" ref="UW1552" ca="1">IFERROR(INDEX(nombres[],SMALL(IF(OFFSET(nombres[],0,0,ROWS(nombres[]),1)=UW$1490,ROW(OFFSET(nombres[],0,0,ROWS(nombres[]),1))-ROW(OFFSET(nombres[],0,0,1,1))+1,ROW(OFFSET(nombres[],ROWS(nombres[])-1,0,1,1))+1),$O1552:$O1571),3),"")</f>
        <v/>
      </c>
      <c r="UX1552" s="42" t="str">
        <f t="array" aca="1" ref="UX1552" ca="1">IFERROR(INDEX(nombres[],SMALL(IF(OFFSET(nombres[],0,0,ROWS(nombres[]),1)=UX$1490,ROW(OFFSET(nombres[],0,0,ROWS(nombres[]),1))-ROW(OFFSET(nombres[],0,0,1,1))+1,ROW(OFFSET(nombres[],ROWS(nombres[])-1,0,1,1))+1),$O1552:$O1571),3),"")</f>
        <v/>
      </c>
      <c r="UY1552" s="42" t="str">
        <f t="array" aca="1" ref="UY1552" ca="1">IFERROR(INDEX(nombres[],SMALL(IF(OFFSET(nombres[],0,0,ROWS(nombres[]),1)=UY$1490,ROW(OFFSET(nombres[],0,0,ROWS(nombres[]),1))-ROW(OFFSET(nombres[],0,0,1,1))+1,ROW(OFFSET(nombres[],ROWS(nombres[])-1,0,1,1))+1),$O1552:$O1571),3),"")</f>
        <v/>
      </c>
      <c r="UZ1552" s="42" t="str">
        <f t="array" aca="1" ref="UZ1552" ca="1">IFERROR(INDEX(nombres[],SMALL(IF(OFFSET(nombres[],0,0,ROWS(nombres[]),1)=UZ$1490,ROW(OFFSET(nombres[],0,0,ROWS(nombres[]),1))-ROW(OFFSET(nombres[],0,0,1,1))+1,ROW(OFFSET(nombres[],ROWS(nombres[])-1,0,1,1))+1),$O1552:$O1571),3),"")</f>
        <v/>
      </c>
      <c r="VA1552" s="42" t="str">
        <f t="array" aca="1" ref="VA1552" ca="1">IFERROR(INDEX(nombres[],SMALL(IF(OFFSET(nombres[],0,0,ROWS(nombres[]),1)=VA$1490,ROW(OFFSET(nombres[],0,0,ROWS(nombres[]),1))-ROW(OFFSET(nombres[],0,0,1,1))+1,ROW(OFFSET(nombres[],ROWS(nombres[])-1,0,1,1))+1),$O1552:$O1571),3),"")</f>
        <v/>
      </c>
      <c r="VB1552" s="42" t="str">
        <f t="array" aca="1" ref="VB1552" ca="1">IFERROR(INDEX(nombres[],SMALL(IF(OFFSET(nombres[],0,0,ROWS(nombres[]),1)=VB$1490,ROW(OFFSET(nombres[],0,0,ROWS(nombres[]),1))-ROW(OFFSET(nombres[],0,0,1,1))+1,ROW(OFFSET(nombres[],ROWS(nombres[])-1,0,1,1))+1),$O1552:$O1571),3),"")</f>
        <v/>
      </c>
      <c r="VC1552" s="42" t="str">
        <f t="array" aca="1" ref="VC1552" ca="1">IFERROR(INDEX(nombres[],SMALL(IF(OFFSET(nombres[],0,0,ROWS(nombres[]),1)=VC$1490,ROW(OFFSET(nombres[],0,0,ROWS(nombres[]),1))-ROW(OFFSET(nombres[],0,0,1,1))+1,ROW(OFFSET(nombres[],ROWS(nombres[])-1,0,1,1))+1),$O1552:$O1571),3),"")</f>
        <v/>
      </c>
      <c r="VD1552" s="42" t="str">
        <f t="array" aca="1" ref="VD1552" ca="1">IFERROR(INDEX(nombres[],SMALL(IF(OFFSET(nombres[],0,0,ROWS(nombres[]),1)=VD$1490,ROW(OFFSET(nombres[],0,0,ROWS(nombres[]),1))-ROW(OFFSET(nombres[],0,0,1,1))+1,ROW(OFFSET(nombres[],ROWS(nombres[])-1,0,1,1))+1),$O1552:$O1571),3),"")</f>
        <v/>
      </c>
      <c r="VE1552" s="42" t="str">
        <f t="array" aca="1" ref="VE1552" ca="1">IFERROR(INDEX(nombres[],SMALL(IF(OFFSET(nombres[],0,0,ROWS(nombres[]),1)=VE$1490,ROW(OFFSET(nombres[],0,0,ROWS(nombres[]),1))-ROW(OFFSET(nombres[],0,0,1,1))+1,ROW(OFFSET(nombres[],ROWS(nombres[])-1,0,1,1))+1),$O1552:$O1571),3),"")</f>
        <v/>
      </c>
      <c r="VF1552" s="42" t="str">
        <f t="array" aca="1" ref="VF1552" ca="1">IFERROR(INDEX(nombres[],SMALL(IF(OFFSET(nombres[],0,0,ROWS(nombres[]),1)=VF$1490,ROW(OFFSET(nombres[],0,0,ROWS(nombres[]),1))-ROW(OFFSET(nombres[],0,0,1,1))+1,ROW(OFFSET(nombres[],ROWS(nombres[])-1,0,1,1))+1),$O1552:$O1571),3),"")</f>
        <v/>
      </c>
      <c r="VG1552" s="42" t="str">
        <f t="array" aca="1" ref="VG1552" ca="1">IFERROR(INDEX(nombres[],SMALL(IF(OFFSET(nombres[],0,0,ROWS(nombres[]),1)=VG$1490,ROW(OFFSET(nombres[],0,0,ROWS(nombres[]),1))-ROW(OFFSET(nombres[],0,0,1,1))+1,ROW(OFFSET(nombres[],ROWS(nombres[])-1,0,1,1))+1),$O1552:$O1571),3),"")</f>
        <v/>
      </c>
      <c r="VH1552" s="42" t="str">
        <f t="array" aca="1" ref="VH1552" ca="1">IFERROR(INDEX(nombres[],SMALL(IF(OFFSET(nombres[],0,0,ROWS(nombres[]),1)=VH$1490,ROW(OFFSET(nombres[],0,0,ROWS(nombres[]),1))-ROW(OFFSET(nombres[],0,0,1,1))+1,ROW(OFFSET(nombres[],ROWS(nombres[])-1,0,1,1))+1),$O1552:$O1571),3),"")</f>
        <v/>
      </c>
      <c r="VI1552" s="42" t="str">
        <f t="array" aca="1" ref="VI1552" ca="1">IFERROR(INDEX(nombres[],SMALL(IF(OFFSET(nombres[],0,0,ROWS(nombres[]),1)=VI$1490,ROW(OFFSET(nombres[],0,0,ROWS(nombres[]),1))-ROW(OFFSET(nombres[],0,0,1,1))+1,ROW(OFFSET(nombres[],ROWS(nombres[])-1,0,1,1))+1),$O1552:$O1571),3),"")</f>
        <v/>
      </c>
      <c r="VJ1552" s="42" t="str">
        <f t="array" aca="1" ref="VJ1552" ca="1">IFERROR(INDEX(nombres[],SMALL(IF(OFFSET(nombres[],0,0,ROWS(nombres[]),1)=VJ$1490,ROW(OFFSET(nombres[],0,0,ROWS(nombres[]),1))-ROW(OFFSET(nombres[],0,0,1,1))+1,ROW(OFFSET(nombres[],ROWS(nombres[])-1,0,1,1))+1),$O1552:$O1571),3),"")</f>
        <v/>
      </c>
      <c r="VK1552" s="42" t="str">
        <f t="array" aca="1" ref="VK1552" ca="1">IFERROR(INDEX(nombres[],SMALL(IF(OFFSET(nombres[],0,0,ROWS(nombres[]),1)=VK$1490,ROW(OFFSET(nombres[],0,0,ROWS(nombres[]),1))-ROW(OFFSET(nombres[],0,0,1,1))+1,ROW(OFFSET(nombres[],ROWS(nombres[])-1,0,1,1))+1),$O1552:$O1571),3),"")</f>
        <v/>
      </c>
      <c r="VL1552" s="42" t="str">
        <f t="array" aca="1" ref="VL1552" ca="1">IFERROR(INDEX(nombres[],SMALL(IF(OFFSET(nombres[],0,0,ROWS(nombres[]),1)=VL$1490,ROW(OFFSET(nombres[],0,0,ROWS(nombres[]),1))-ROW(OFFSET(nombres[],0,0,1,1))+1,ROW(OFFSET(nombres[],ROWS(nombres[])-1,0,1,1))+1),$O1552:$O1571),3),"")</f>
        <v/>
      </c>
      <c r="VM1552" s="42" t="str">
        <f t="array" aca="1" ref="VM1552" ca="1">IFERROR(INDEX(nombres[],SMALL(IF(OFFSET(nombres[],0,0,ROWS(nombres[]),1)=VM$1490,ROW(OFFSET(nombres[],0,0,ROWS(nombres[]),1))-ROW(OFFSET(nombres[],0,0,1,1))+1,ROW(OFFSET(nombres[],ROWS(nombres[])-1,0,1,1))+1),$O1552:$O1571),3),"")</f>
        <v/>
      </c>
      <c r="VN1552" s="42" t="str">
        <f t="array" aca="1" ref="VN1552" ca="1">IFERROR(INDEX(nombres[],SMALL(IF(OFFSET(nombres[],0,0,ROWS(nombres[]),1)=VN$1490,ROW(OFFSET(nombres[],0,0,ROWS(nombres[]),1))-ROW(OFFSET(nombres[],0,0,1,1))+1,ROW(OFFSET(nombres[],ROWS(nombres[])-1,0,1,1))+1),$O1552:$O1571),3),"")</f>
        <v/>
      </c>
      <c r="VO1552" s="42" t="str">
        <f t="array" aca="1" ref="VO1552" ca="1">IFERROR(INDEX(nombres[],SMALL(IF(OFFSET(nombres[],0,0,ROWS(nombres[]),1)=VO$1490,ROW(OFFSET(nombres[],0,0,ROWS(nombres[]),1))-ROW(OFFSET(nombres[],0,0,1,1))+1,ROW(OFFSET(nombres[],ROWS(nombres[])-1,0,1,1))+1),$O1552:$O1571),3),"")</f>
        <v/>
      </c>
      <c r="VP1552" s="42" t="str">
        <f t="array" aca="1" ref="VP1552" ca="1">IFERROR(INDEX(nombres[],SMALL(IF(OFFSET(nombres[],0,0,ROWS(nombres[]),1)=VP$1490,ROW(OFFSET(nombres[],0,0,ROWS(nombres[]),1))-ROW(OFFSET(nombres[],0,0,1,1))+1,ROW(OFFSET(nombres[],ROWS(nombres[])-1,0,1,1))+1),$O1552:$O1571),3),"")</f>
        <v/>
      </c>
      <c r="VQ1552" s="42" t="str">
        <f t="array" aca="1" ref="VQ1552" ca="1">IFERROR(INDEX(nombres[],SMALL(IF(OFFSET(nombres[],0,0,ROWS(nombres[]),1)=VQ$1490,ROW(OFFSET(nombres[],0,0,ROWS(nombres[]),1))-ROW(OFFSET(nombres[],0,0,1,1))+1,ROW(OFFSET(nombres[],ROWS(nombres[])-1,0,1,1))+1),$O1552:$O1571),3),"")</f>
        <v/>
      </c>
      <c r="VR1552" s="42" t="str">
        <f t="array" aca="1" ref="VR1552" ca="1">IFERROR(INDEX(nombres[],SMALL(IF(OFFSET(nombres[],0,0,ROWS(nombres[]),1)=VR$1490,ROW(OFFSET(nombres[],0,0,ROWS(nombres[]),1))-ROW(OFFSET(nombres[],0,0,1,1))+1,ROW(OFFSET(nombres[],ROWS(nombres[])-1,0,1,1))+1),$O1552:$O1571),3),"")</f>
        <v/>
      </c>
      <c r="VS1552" s="42" t="str">
        <f t="array" aca="1" ref="VS1552" ca="1">IFERROR(INDEX(nombres[],SMALL(IF(OFFSET(nombres[],0,0,ROWS(nombres[]),1)=VS$1490,ROW(OFFSET(nombres[],0,0,ROWS(nombres[]),1))-ROW(OFFSET(nombres[],0,0,1,1))+1,ROW(OFFSET(nombres[],ROWS(nombres[])-1,0,1,1))+1),$O1552:$O1571),3),"")</f>
        <v/>
      </c>
      <c r="VT1552" s="42" t="str">
        <f t="array" aca="1" ref="VT1552" ca="1">IFERROR(INDEX(nombres[],SMALL(IF(OFFSET(nombres[],0,0,ROWS(nombres[]),1)=VT$1490,ROW(OFFSET(nombres[],0,0,ROWS(nombres[]),1))-ROW(OFFSET(nombres[],0,0,1,1))+1,ROW(OFFSET(nombres[],ROWS(nombres[])-1,0,1,1))+1),$O1552:$O1571),3),"")</f>
        <v/>
      </c>
      <c r="VU1552" s="42" t="str">
        <f t="array" aca="1" ref="VU1552" ca="1">IFERROR(INDEX(nombres[],SMALL(IF(OFFSET(nombres[],0,0,ROWS(nombres[]),1)=VU$1490,ROW(OFFSET(nombres[],0,0,ROWS(nombres[]),1))-ROW(OFFSET(nombres[],0,0,1,1))+1,ROW(OFFSET(nombres[],ROWS(nombres[])-1,0,1,1))+1),$O1552:$O1571),3),"")</f>
        <v/>
      </c>
      <c r="VV1552" s="42" t="str">
        <f t="array" aca="1" ref="VV1552" ca="1">IFERROR(INDEX(nombres[],SMALL(IF(OFFSET(nombres[],0,0,ROWS(nombres[]),1)=VV$1490,ROW(OFFSET(nombres[],0,0,ROWS(nombres[]),1))-ROW(OFFSET(nombres[],0,0,1,1))+1,ROW(OFFSET(nombres[],ROWS(nombres[])-1,0,1,1))+1),$O1552:$O1571),3),"")</f>
        <v/>
      </c>
      <c r="VW1552" s="42" t="str">
        <f t="array" aca="1" ref="VW1552" ca="1">IFERROR(INDEX(nombres[],SMALL(IF(OFFSET(nombres[],0,0,ROWS(nombres[]),1)=VW$1490,ROW(OFFSET(nombres[],0,0,ROWS(nombres[]),1))-ROW(OFFSET(nombres[],0,0,1,1))+1,ROW(OFFSET(nombres[],ROWS(nombres[])-1,0,1,1))+1),$O1552:$O1571),3),"")</f>
        <v/>
      </c>
      <c r="VX1552" s="42" t="str">
        <f t="array" aca="1" ref="VX1552" ca="1">IFERROR(INDEX(nombres[],SMALL(IF(OFFSET(nombres[],0,0,ROWS(nombres[]),1)=VX$1490,ROW(OFFSET(nombres[],0,0,ROWS(nombres[]),1))-ROW(OFFSET(nombres[],0,0,1,1))+1,ROW(OFFSET(nombres[],ROWS(nombres[])-1,0,1,1))+1),$O1552:$O1571),3),"")</f>
        <v/>
      </c>
      <c r="VY1552" s="42" t="str">
        <f t="array" aca="1" ref="VY1552" ca="1">IFERROR(INDEX(nombres[],SMALL(IF(OFFSET(nombres[],0,0,ROWS(nombres[]),1)=VY$1490,ROW(OFFSET(nombres[],0,0,ROWS(nombres[]),1))-ROW(OFFSET(nombres[],0,0,1,1))+1,ROW(OFFSET(nombres[],ROWS(nombres[])-1,0,1,1))+1),$O1552:$O1571),3),"")</f>
        <v/>
      </c>
      <c r="VZ1552" s="42" t="str">
        <f t="array" aca="1" ref="VZ1552" ca="1">IFERROR(INDEX(nombres[],SMALL(IF(OFFSET(nombres[],0,0,ROWS(nombres[]),1)=VZ$1490,ROW(OFFSET(nombres[],0,0,ROWS(nombres[]),1))-ROW(OFFSET(nombres[],0,0,1,1))+1,ROW(OFFSET(nombres[],ROWS(nombres[])-1,0,1,1))+1),$O1552:$O1571),3),"")</f>
        <v/>
      </c>
      <c r="WA1552" s="42" t="str">
        <f t="array" aca="1" ref="WA1552" ca="1">IFERROR(INDEX(nombres[],SMALL(IF(OFFSET(nombres[],0,0,ROWS(nombres[]),1)=WA$1490,ROW(OFFSET(nombres[],0,0,ROWS(nombres[]),1))-ROW(OFFSET(nombres[],0,0,1,1))+1,ROW(OFFSET(nombres[],ROWS(nombres[])-1,0,1,1))+1),$O1552:$O1571),3),"")</f>
        <v/>
      </c>
      <c r="WB1552" s="42" t="str">
        <f t="array" aca="1" ref="WB1552" ca="1">IFERROR(INDEX(nombres[],SMALL(IF(OFFSET(nombres[],0,0,ROWS(nombres[]),1)=WB$1490,ROW(OFFSET(nombres[],0,0,ROWS(nombres[]),1))-ROW(OFFSET(nombres[],0,0,1,1))+1,ROW(OFFSET(nombres[],ROWS(nombres[])-1,0,1,1))+1),$O1552:$O1571),3),"")</f>
        <v/>
      </c>
      <c r="WC1552" s="42" t="str">
        <f t="array" aca="1" ref="WC1552" ca="1">IFERROR(INDEX(nombres[],SMALL(IF(OFFSET(nombres[],0,0,ROWS(nombres[]),1)=WC$1490,ROW(OFFSET(nombres[],0,0,ROWS(nombres[]),1))-ROW(OFFSET(nombres[],0,0,1,1))+1,ROW(OFFSET(nombres[],ROWS(nombres[])-1,0,1,1))+1),$O1552:$O1571),3),"")</f>
        <v/>
      </c>
      <c r="WD1552" s="42" t="str">
        <f t="array" aca="1" ref="WD1552" ca="1">IFERROR(INDEX(nombres[],SMALL(IF(OFFSET(nombres[],0,0,ROWS(nombres[]),1)=WD$1490,ROW(OFFSET(nombres[],0,0,ROWS(nombres[]),1))-ROW(OFFSET(nombres[],0,0,1,1))+1,ROW(OFFSET(nombres[],ROWS(nombres[])-1,0,1,1))+1),$O1552:$O1571),3),"")</f>
        <v/>
      </c>
      <c r="WE1552" s="42" t="str">
        <f t="array" aca="1" ref="WE1552" ca="1">IFERROR(INDEX(nombres[],SMALL(IF(OFFSET(nombres[],0,0,ROWS(nombres[]),1)=WE$1490,ROW(OFFSET(nombres[],0,0,ROWS(nombres[]),1))-ROW(OFFSET(nombres[],0,0,1,1))+1,ROW(OFFSET(nombres[],ROWS(nombres[])-1,0,1,1))+1),$O1552:$O1571),3),"")</f>
        <v/>
      </c>
      <c r="WF1552" s="42" t="str">
        <f t="array" aca="1" ref="WF1552" ca="1">IFERROR(INDEX(nombres[],SMALL(IF(OFFSET(nombres[],0,0,ROWS(nombres[]),1)=WF$1490,ROW(OFFSET(nombres[],0,0,ROWS(nombres[]),1))-ROW(OFFSET(nombres[],0,0,1,1))+1,ROW(OFFSET(nombres[],ROWS(nombres[])-1,0,1,1))+1),$O1552:$O1571),3),"")</f>
        <v/>
      </c>
      <c r="WG1552" s="42" t="str">
        <f t="array" aca="1" ref="WG1552" ca="1">IFERROR(INDEX(nombres[],SMALL(IF(OFFSET(nombres[],0,0,ROWS(nombres[]),1)=WG$1490,ROW(OFFSET(nombres[],0,0,ROWS(nombres[]),1))-ROW(OFFSET(nombres[],0,0,1,1))+1,ROW(OFFSET(nombres[],ROWS(nombres[])-1,0,1,1))+1),$O1552:$O1571),3),"")</f>
        <v/>
      </c>
      <c r="WH1552" s="42" t="str">
        <f t="array" aca="1" ref="WH1552" ca="1">IFERROR(INDEX(nombres[],SMALL(IF(OFFSET(nombres[],0,0,ROWS(nombres[]),1)=WH$1490,ROW(OFFSET(nombres[],0,0,ROWS(nombres[]),1))-ROW(OFFSET(nombres[],0,0,1,1))+1,ROW(OFFSET(nombres[],ROWS(nombres[])-1,0,1,1))+1),$O1552:$O1571),3),"")</f>
        <v/>
      </c>
      <c r="WI1552" s="42" t="str">
        <f t="array" aca="1" ref="WI1552" ca="1">IFERROR(INDEX(nombres[],SMALL(IF(OFFSET(nombres[],0,0,ROWS(nombres[]),1)=WI$1490,ROW(OFFSET(nombres[],0,0,ROWS(nombres[]),1))-ROW(OFFSET(nombres[],0,0,1,1))+1,ROW(OFFSET(nombres[],ROWS(nombres[])-1,0,1,1))+1),$O1552:$O1571),3),"")</f>
        <v/>
      </c>
      <c r="WJ1552" s="42" t="str">
        <f t="array" aca="1" ref="WJ1552" ca="1">IFERROR(INDEX(nombres[],SMALL(IF(OFFSET(nombres[],0,0,ROWS(nombres[]),1)=WJ$1490,ROW(OFFSET(nombres[],0,0,ROWS(nombres[]),1))-ROW(OFFSET(nombres[],0,0,1,1))+1,ROW(OFFSET(nombres[],ROWS(nombres[])-1,0,1,1))+1),$O1552:$O1571),3),"")</f>
        <v/>
      </c>
      <c r="WK1552" s="42" t="str">
        <f t="array" aca="1" ref="WK1552" ca="1">IFERROR(INDEX(nombres[],SMALL(IF(OFFSET(nombres[],0,0,ROWS(nombres[]),1)=WK$1490,ROW(OFFSET(nombres[],0,0,ROWS(nombres[]),1))-ROW(OFFSET(nombres[],0,0,1,1))+1,ROW(OFFSET(nombres[],ROWS(nombres[])-1,0,1,1))+1),$O1552:$O1571),3),"")</f>
        <v/>
      </c>
      <c r="WL1552" s="42" t="str">
        <f t="array" aca="1" ref="WL1552" ca="1">IFERROR(INDEX(nombres[],SMALL(IF(OFFSET(nombres[],0,0,ROWS(nombres[]),1)=WL$1490,ROW(OFFSET(nombres[],0,0,ROWS(nombres[]),1))-ROW(OFFSET(nombres[],0,0,1,1))+1,ROW(OFFSET(nombres[],ROWS(nombres[])-1,0,1,1))+1),$O1552:$O1571),3),"")</f>
        <v/>
      </c>
      <c r="WM1552" s="42" t="str">
        <f t="array" aca="1" ref="WM1552" ca="1">IFERROR(INDEX(nombres[],SMALL(IF(OFFSET(nombres[],0,0,ROWS(nombres[]),1)=WM$1490,ROW(OFFSET(nombres[],0,0,ROWS(nombres[]),1))-ROW(OFFSET(nombres[],0,0,1,1))+1,ROW(OFFSET(nombres[],ROWS(nombres[])-1,0,1,1))+1),$O1552:$O1571),3),"")</f>
        <v/>
      </c>
      <c r="WN1552" s="42" t="str">
        <f t="array" aca="1" ref="WN1552" ca="1">IFERROR(INDEX(nombres[],SMALL(IF(OFFSET(nombres[],0,0,ROWS(nombres[]),1)=WN$1490,ROW(OFFSET(nombres[],0,0,ROWS(nombres[]),1))-ROW(OFFSET(nombres[],0,0,1,1))+1,ROW(OFFSET(nombres[],ROWS(nombres[])-1,0,1,1))+1),$O1552:$O1571),3),"")</f>
        <v/>
      </c>
      <c r="WO1552" s="42" t="str">
        <f t="array" aca="1" ref="WO1552" ca="1">IFERROR(INDEX(nombres[],SMALL(IF(OFFSET(nombres[],0,0,ROWS(nombres[]),1)=WO$1490,ROW(OFFSET(nombres[],0,0,ROWS(nombres[]),1))-ROW(OFFSET(nombres[],0,0,1,1))+1,ROW(OFFSET(nombres[],ROWS(nombres[])-1,0,1,1))+1),$O1552:$O1571),3),"")</f>
        <v/>
      </c>
      <c r="WP1552" s="42" t="str">
        <f t="array" aca="1" ref="WP1552" ca="1">IFERROR(INDEX(nombres[],SMALL(IF(OFFSET(nombres[],0,0,ROWS(nombres[]),1)=WP$1490,ROW(OFFSET(nombres[],0,0,ROWS(nombres[]),1))-ROW(OFFSET(nombres[],0,0,1,1))+1,ROW(OFFSET(nombres[],ROWS(nombres[])-1,0,1,1))+1),$O1552:$O1571),3),"")</f>
        <v/>
      </c>
      <c r="WQ1552" s="42" t="str">
        <f t="array" aca="1" ref="WQ1552" ca="1">IFERROR(INDEX(nombres[],SMALL(IF(OFFSET(nombres[],0,0,ROWS(nombres[]),1)=WQ$1490,ROW(OFFSET(nombres[],0,0,ROWS(nombres[]),1))-ROW(OFFSET(nombres[],0,0,1,1))+1,ROW(OFFSET(nombres[],ROWS(nombres[])-1,0,1,1))+1),$O1552:$O1571),3),"")</f>
        <v/>
      </c>
      <c r="WR1552" s="42" t="str">
        <f t="array" aca="1" ref="WR1552" ca="1">IFERROR(INDEX(nombres[],SMALL(IF(OFFSET(nombres[],0,0,ROWS(nombres[]),1)=WR$1490,ROW(OFFSET(nombres[],0,0,ROWS(nombres[]),1))-ROW(OFFSET(nombres[],0,0,1,1))+1,ROW(OFFSET(nombres[],ROWS(nombres[])-1,0,1,1))+1),$O1552:$O1571),3),"")</f>
        <v/>
      </c>
      <c r="WS1552" s="42" t="str">
        <f t="array" aca="1" ref="WS1552" ca="1">IFERROR(INDEX(nombres[],SMALL(IF(OFFSET(nombres[],0,0,ROWS(nombres[]),1)=WS$1490,ROW(OFFSET(nombres[],0,0,ROWS(nombres[]),1))-ROW(OFFSET(nombres[],0,0,1,1))+1,ROW(OFFSET(nombres[],ROWS(nombres[])-1,0,1,1))+1),$O1552:$O1571),3),"")</f>
        <v/>
      </c>
      <c r="WT1552" s="42" t="str">
        <f t="array" aca="1" ref="WT1552" ca="1">IFERROR(INDEX(nombres[],SMALL(IF(OFFSET(nombres[],0,0,ROWS(nombres[]),1)=WT$1490,ROW(OFFSET(nombres[],0,0,ROWS(nombres[]),1))-ROW(OFFSET(nombres[],0,0,1,1))+1,ROW(OFFSET(nombres[],ROWS(nombres[])-1,0,1,1))+1),$O1552:$O1571),3),"")</f>
        <v/>
      </c>
      <c r="WU1552" s="42" t="str">
        <f t="array" aca="1" ref="WU1552" ca="1">IFERROR(INDEX(nombres[],SMALL(IF(OFFSET(nombres[],0,0,ROWS(nombres[]),1)=WU$1490,ROW(OFFSET(nombres[],0,0,ROWS(nombres[]),1))-ROW(OFFSET(nombres[],0,0,1,1))+1,ROW(OFFSET(nombres[],ROWS(nombres[])-1,0,1,1))+1),$O1552:$O1571),3),"")</f>
        <v/>
      </c>
      <c r="WV1552" s="42" t="str">
        <f t="array" aca="1" ref="WV1552" ca="1">IFERROR(INDEX(nombres[],SMALL(IF(OFFSET(nombres[],0,0,ROWS(nombres[]),1)=WV$1490,ROW(OFFSET(nombres[],0,0,ROWS(nombres[]),1))-ROW(OFFSET(nombres[],0,0,1,1))+1,ROW(OFFSET(nombres[],ROWS(nombres[])-1,0,1,1))+1),$O1552:$O1571),3),"")</f>
        <v/>
      </c>
      <c r="WW1552" s="42" t="str">
        <f t="array" aca="1" ref="WW1552" ca="1">IFERROR(INDEX(nombres[],SMALL(IF(OFFSET(nombres[],0,0,ROWS(nombres[]),1)=WW$1490,ROW(OFFSET(nombres[],0,0,ROWS(nombres[]),1))-ROW(OFFSET(nombres[],0,0,1,1))+1,ROW(OFFSET(nombres[],ROWS(nombres[])-1,0,1,1))+1),$O1552:$O1571),3),"")</f>
        <v/>
      </c>
      <c r="WX1552" s="42" t="str">
        <f t="array" aca="1" ref="WX1552" ca="1">IFERROR(INDEX(nombres[],SMALL(IF(OFFSET(nombres[],0,0,ROWS(nombres[]),1)=WX$1490,ROW(OFFSET(nombres[],0,0,ROWS(nombres[]),1))-ROW(OFFSET(nombres[],0,0,1,1))+1,ROW(OFFSET(nombres[],ROWS(nombres[])-1,0,1,1))+1),$O1552:$O1571),3),"")</f>
        <v/>
      </c>
      <c r="WY1552" s="42" t="str">
        <f t="array" aca="1" ref="WY1552" ca="1">IFERROR(INDEX(nombres[],SMALL(IF(OFFSET(nombres[],0,0,ROWS(nombres[]),1)=WY$1490,ROW(OFFSET(nombres[],0,0,ROWS(nombres[]),1))-ROW(OFFSET(nombres[],0,0,1,1))+1,ROW(OFFSET(nombres[],ROWS(nombres[])-1,0,1,1))+1),$O1552:$O1571),3),"")</f>
        <v/>
      </c>
      <c r="WZ1552" s="42" t="str">
        <f t="array" aca="1" ref="WZ1552" ca="1">IFERROR(INDEX(nombres[],SMALL(IF(OFFSET(nombres[],0,0,ROWS(nombres[]),1)=WZ$1490,ROW(OFFSET(nombres[],0,0,ROWS(nombres[]),1))-ROW(OFFSET(nombres[],0,0,1,1))+1,ROW(OFFSET(nombres[],ROWS(nombres[])-1,0,1,1))+1),$O1552:$O1571),3),"")</f>
        <v/>
      </c>
      <c r="XA1552" s="42" t="str">
        <f t="array" aca="1" ref="XA1552" ca="1">IFERROR(INDEX(nombres[],SMALL(IF(OFFSET(nombres[],0,0,ROWS(nombres[]),1)=XA$1490,ROW(OFFSET(nombres[],0,0,ROWS(nombres[]),1))-ROW(OFFSET(nombres[],0,0,1,1))+1,ROW(OFFSET(nombres[],ROWS(nombres[])-1,0,1,1))+1),$O1552:$O1571),3),"")</f>
        <v/>
      </c>
      <c r="XB1552" s="42" t="str">
        <f t="array" aca="1" ref="XB1552" ca="1">IFERROR(INDEX(nombres[],SMALL(IF(OFFSET(nombres[],0,0,ROWS(nombres[]),1)=XB$1490,ROW(OFFSET(nombres[],0,0,ROWS(nombres[]),1))-ROW(OFFSET(nombres[],0,0,1,1))+1,ROW(OFFSET(nombres[],ROWS(nombres[])-1,0,1,1))+1),$O1552:$O1571),3),"")</f>
        <v/>
      </c>
      <c r="XC1552" s="42" t="str">
        <f t="array" aca="1" ref="XC1552" ca="1">IFERROR(INDEX(nombres[],SMALL(IF(OFFSET(nombres[],0,0,ROWS(nombres[]),1)=XC$1490,ROW(OFFSET(nombres[],0,0,ROWS(nombres[]),1))-ROW(OFFSET(nombres[],0,0,1,1))+1,ROW(OFFSET(nombres[],ROWS(nombres[])-1,0,1,1))+1),$O1552:$O1571),3),"")</f>
        <v/>
      </c>
      <c r="XD1552" s="42" t="str">
        <f t="array" aca="1" ref="XD1552" ca="1">IFERROR(INDEX(nombres[],SMALL(IF(OFFSET(nombres[],0,0,ROWS(nombres[]),1)=XD$1490,ROW(OFFSET(nombres[],0,0,ROWS(nombres[]),1))-ROW(OFFSET(nombres[],0,0,1,1))+1,ROW(OFFSET(nombres[],ROWS(nombres[])-1,0,1,1))+1),$O1552:$O1571),3),"")</f>
        <v/>
      </c>
      <c r="XE1552" s="42" t="str">
        <f t="array" aca="1" ref="XE1552" ca="1">IFERROR(INDEX(nombres[],SMALL(IF(OFFSET(nombres[],0,0,ROWS(nombres[]),1)=XE$1490,ROW(OFFSET(nombres[],0,0,ROWS(nombres[]),1))-ROW(OFFSET(nombres[],0,0,1,1))+1,ROW(OFFSET(nombres[],ROWS(nombres[])-1,0,1,1))+1),$O1552:$O1571),3),"")</f>
        <v/>
      </c>
      <c r="XF1552" s="42" t="str">
        <f t="array" aca="1" ref="XF1552" ca="1">IFERROR(INDEX(nombres[],SMALL(IF(OFFSET(nombres[],0,0,ROWS(nombres[]),1)=XF$1490,ROW(OFFSET(nombres[],0,0,ROWS(nombres[]),1))-ROW(OFFSET(nombres[],0,0,1,1))+1,ROW(OFFSET(nombres[],ROWS(nombres[])-1,0,1,1))+1),$O1552:$O1571),3),"")</f>
        <v/>
      </c>
      <c r="XG1552" s="42" t="str">
        <f t="array" aca="1" ref="XG1552" ca="1">IFERROR(INDEX(nombres[],SMALL(IF(OFFSET(nombres[],0,0,ROWS(nombres[]),1)=XG$1490,ROW(OFFSET(nombres[],0,0,ROWS(nombres[]),1))-ROW(OFFSET(nombres[],0,0,1,1))+1,ROW(OFFSET(nombres[],ROWS(nombres[])-1,0,1,1))+1),$O1552:$O1571),3),"")</f>
        <v/>
      </c>
      <c r="XH1552" s="42" t="str">
        <f t="array" aca="1" ref="XH1552" ca="1">IFERROR(INDEX(nombres[],SMALL(IF(OFFSET(nombres[],0,0,ROWS(nombres[]),1)=XH$1490,ROW(OFFSET(nombres[],0,0,ROWS(nombres[]),1))-ROW(OFFSET(nombres[],0,0,1,1))+1,ROW(OFFSET(nombres[],ROWS(nombres[])-1,0,1,1))+1),$O1552:$O1571),3),"")</f>
        <v/>
      </c>
      <c r="XI1552" s="42" t="str">
        <f t="array" aca="1" ref="XI1552" ca="1">IFERROR(INDEX(nombres[],SMALL(IF(OFFSET(nombres[],0,0,ROWS(nombres[]),1)=XI$1490,ROW(OFFSET(nombres[],0,0,ROWS(nombres[]),1))-ROW(OFFSET(nombres[],0,0,1,1))+1,ROW(OFFSET(nombres[],ROWS(nombres[])-1,0,1,1))+1),$O1552:$O1571),3),"")</f>
        <v/>
      </c>
      <c r="XJ1552" s="42" t="str">
        <f t="array" aca="1" ref="XJ1552" ca="1">IFERROR(INDEX(nombres[],SMALL(IF(OFFSET(nombres[],0,0,ROWS(nombres[]),1)=XJ$1490,ROW(OFFSET(nombres[],0,0,ROWS(nombres[]),1))-ROW(OFFSET(nombres[],0,0,1,1))+1,ROW(OFFSET(nombres[],ROWS(nombres[])-1,0,1,1))+1),$O1552:$O1571),3),"")</f>
        <v/>
      </c>
      <c r="XK1552" s="42" t="str">
        <f t="array" aca="1" ref="XK1552" ca="1">IFERROR(INDEX(nombres[],SMALL(IF(OFFSET(nombres[],0,0,ROWS(nombres[]),1)=XK$1490,ROW(OFFSET(nombres[],0,0,ROWS(nombres[]),1))-ROW(OFFSET(nombres[],0,0,1,1))+1,ROW(OFFSET(nombres[],ROWS(nombres[])-1,0,1,1))+1),$O1552:$O1571),3),"")</f>
        <v/>
      </c>
      <c r="XL1552" s="42" t="str">
        <f t="array" aca="1" ref="XL1552" ca="1">IFERROR(INDEX(nombres[],SMALL(IF(OFFSET(nombres[],0,0,ROWS(nombres[]),1)=XL$1490,ROW(OFFSET(nombres[],0,0,ROWS(nombres[]),1))-ROW(OFFSET(nombres[],0,0,1,1))+1,ROW(OFFSET(nombres[],ROWS(nombres[])-1,0,1,1))+1),$O1552:$O1571),3),"")</f>
        <v/>
      </c>
      <c r="XM1552" s="42" t="str">
        <f t="array" aca="1" ref="XM1552" ca="1">IFERROR(INDEX(nombres[],SMALL(IF(OFFSET(nombres[],0,0,ROWS(nombres[]),1)=XM$1490,ROW(OFFSET(nombres[],0,0,ROWS(nombres[]),1))-ROW(OFFSET(nombres[],0,0,1,1))+1,ROW(OFFSET(nombres[],ROWS(nombres[])-1,0,1,1))+1),$O1552:$O1571),3),"")</f>
        <v/>
      </c>
      <c r="XN1552" s="42" t="str">
        <f t="array" aca="1" ref="XN1552" ca="1">IFERROR(INDEX(nombres[],SMALL(IF(OFFSET(nombres[],0,0,ROWS(nombres[]),1)=XN$1490,ROW(OFFSET(nombres[],0,0,ROWS(nombres[]),1))-ROW(OFFSET(nombres[],0,0,1,1))+1,ROW(OFFSET(nombres[],ROWS(nombres[])-1,0,1,1))+1),$O1552:$O1571),3),"")</f>
        <v/>
      </c>
      <c r="XO1552" s="42" t="str">
        <f t="array" aca="1" ref="XO1552" ca="1">IFERROR(INDEX(nombres[],SMALL(IF(OFFSET(nombres[],0,0,ROWS(nombres[]),1)=XO$1490,ROW(OFFSET(nombres[],0,0,ROWS(nombres[]),1))-ROW(OFFSET(nombres[],0,0,1,1))+1,ROW(OFFSET(nombres[],ROWS(nombres[])-1,0,1,1))+1),$O1552:$O1571),3),"")</f>
        <v/>
      </c>
      <c r="XP1552" s="42" t="str">
        <f t="array" aca="1" ref="XP1552" ca="1">IFERROR(INDEX(nombres[],SMALL(IF(OFFSET(nombres[],0,0,ROWS(nombres[]),1)=XP$1490,ROW(OFFSET(nombres[],0,0,ROWS(nombres[]),1))-ROW(OFFSET(nombres[],0,0,1,1))+1,ROW(OFFSET(nombres[],ROWS(nombres[])-1,0,1,1))+1),$O1552:$O1571),3),"")</f>
        <v/>
      </c>
      <c r="XQ1552" s="42" t="str">
        <f t="array" aca="1" ref="XQ1552" ca="1">IFERROR(INDEX(nombres[],SMALL(IF(OFFSET(nombres[],0,0,ROWS(nombres[]),1)=XQ$1490,ROW(OFFSET(nombres[],0,0,ROWS(nombres[]),1))-ROW(OFFSET(nombres[],0,0,1,1))+1,ROW(OFFSET(nombres[],ROWS(nombres[])-1,0,1,1))+1),$O1552:$O1571),3),"")</f>
        <v/>
      </c>
      <c r="XR1552" s="42" t="str">
        <f t="array" aca="1" ref="XR1552" ca="1">IFERROR(INDEX(nombres[],SMALL(IF(OFFSET(nombres[],0,0,ROWS(nombres[]),1)=XR$1490,ROW(OFFSET(nombres[],0,0,ROWS(nombres[]),1))-ROW(OFFSET(nombres[],0,0,1,1))+1,ROW(OFFSET(nombres[],ROWS(nombres[])-1,0,1,1))+1),$O1552:$O1571),3),"")</f>
        <v/>
      </c>
      <c r="XS1552" s="42" t="str">
        <f t="array" aca="1" ref="XS1552" ca="1">IFERROR(INDEX(nombres[],SMALL(IF(OFFSET(nombres[],0,0,ROWS(nombres[]),1)=XS$1490,ROW(OFFSET(nombres[],0,0,ROWS(nombres[]),1))-ROW(OFFSET(nombres[],0,0,1,1))+1,ROW(OFFSET(nombres[],ROWS(nombres[])-1,0,1,1))+1),$O1552:$O1571),3),"")</f>
        <v/>
      </c>
      <c r="XT1552" s="42" t="str">
        <f t="array" aca="1" ref="XT1552" ca="1">IFERROR(INDEX(nombres[],SMALL(IF(OFFSET(nombres[],0,0,ROWS(nombres[]),1)=XT$1490,ROW(OFFSET(nombres[],0,0,ROWS(nombres[]),1))-ROW(OFFSET(nombres[],0,0,1,1))+1,ROW(OFFSET(nombres[],ROWS(nombres[])-1,0,1,1))+1),$O1552:$O1571),3),"")</f>
        <v/>
      </c>
      <c r="XU1552" s="42" t="str">
        <f t="array" aca="1" ref="XU1552" ca="1">IFERROR(INDEX(nombres[],SMALL(IF(OFFSET(nombres[],0,0,ROWS(nombres[]),1)=XU$1490,ROW(OFFSET(nombres[],0,0,ROWS(nombres[]),1))-ROW(OFFSET(nombres[],0,0,1,1))+1,ROW(OFFSET(nombres[],ROWS(nombres[])-1,0,1,1))+1),$O1552:$O1571),3),"")</f>
        <v/>
      </c>
      <c r="XV1552" s="42" t="str">
        <f t="array" aca="1" ref="XV1552" ca="1">IFERROR(INDEX(nombres[],SMALL(IF(OFFSET(nombres[],0,0,ROWS(nombres[]),1)=XV$1490,ROW(OFFSET(nombres[],0,0,ROWS(nombres[]),1))-ROW(OFFSET(nombres[],0,0,1,1))+1,ROW(OFFSET(nombres[],ROWS(nombres[])-1,0,1,1))+1),$O1552:$O1571),3),"")</f>
        <v/>
      </c>
      <c r="XW1552" s="42" t="str">
        <f t="array" aca="1" ref="XW1552" ca="1">IFERROR(INDEX(nombres[],SMALL(IF(OFFSET(nombres[],0,0,ROWS(nombres[]),1)=XW$1490,ROW(OFFSET(nombres[],0,0,ROWS(nombres[]),1))-ROW(OFFSET(nombres[],0,0,1,1))+1,ROW(OFFSET(nombres[],ROWS(nombres[])-1,0,1,1))+1),$O1552:$O1571),3),"")</f>
        <v/>
      </c>
      <c r="XX1552" s="42" t="str">
        <f t="array" aca="1" ref="XX1552" ca="1">IFERROR(INDEX(nombres[],SMALL(IF(OFFSET(nombres[],0,0,ROWS(nombres[]),1)=XX$1490,ROW(OFFSET(nombres[],0,0,ROWS(nombres[]),1))-ROW(OFFSET(nombres[],0,0,1,1))+1,ROW(OFFSET(nombres[],ROWS(nombres[])-1,0,1,1))+1),$O1552:$O1571),3),"")</f>
        <v/>
      </c>
      <c r="XY1552" s="42" t="str">
        <f t="array" aca="1" ref="XY1552" ca="1">IFERROR(INDEX(nombres[],SMALL(IF(OFFSET(nombres[],0,0,ROWS(nombres[]),1)=XY$1490,ROW(OFFSET(nombres[],0,0,ROWS(nombres[]),1))-ROW(OFFSET(nombres[],0,0,1,1))+1,ROW(OFFSET(nombres[],ROWS(nombres[])-1,0,1,1))+1),$O1552:$O1571),3),"")</f>
        <v/>
      </c>
      <c r="XZ1552" s="42" t="str">
        <f t="array" aca="1" ref="XZ1552" ca="1">IFERROR(INDEX(nombres[],SMALL(IF(OFFSET(nombres[],0,0,ROWS(nombres[]),1)=XZ$1490,ROW(OFFSET(nombres[],0,0,ROWS(nombres[]),1))-ROW(OFFSET(nombres[],0,0,1,1))+1,ROW(OFFSET(nombres[],ROWS(nombres[])-1,0,1,1))+1),$O1552:$O1571),3),"")</f>
        <v/>
      </c>
      <c r="YA1552" s="42" t="str">
        <f t="array" aca="1" ref="YA1552" ca="1">IFERROR(INDEX(nombres[],SMALL(IF(OFFSET(nombres[],0,0,ROWS(nombres[]),1)=YA$1490,ROW(OFFSET(nombres[],0,0,ROWS(nombres[]),1))-ROW(OFFSET(nombres[],0,0,1,1))+1,ROW(OFFSET(nombres[],ROWS(nombres[])-1,0,1,1))+1),$O1552:$O1571),3),"")</f>
        <v/>
      </c>
      <c r="YB1552" s="42" t="str">
        <f t="array" aca="1" ref="YB1552" ca="1">IFERROR(INDEX(nombres[],SMALL(IF(OFFSET(nombres[],0,0,ROWS(nombres[]),1)=YB$1490,ROW(OFFSET(nombres[],0,0,ROWS(nombres[]),1))-ROW(OFFSET(nombres[],0,0,1,1))+1,ROW(OFFSET(nombres[],ROWS(nombres[])-1,0,1,1))+1),$O1552:$O1571),3),"")</f>
        <v/>
      </c>
      <c r="YC1552" s="42" t="str">
        <f t="array" aca="1" ref="YC1552" ca="1">IFERROR(INDEX(nombres[],SMALL(IF(OFFSET(nombres[],0,0,ROWS(nombres[]),1)=YC$1490,ROW(OFFSET(nombres[],0,0,ROWS(nombres[]),1))-ROW(OFFSET(nombres[],0,0,1,1))+1,ROW(OFFSET(nombres[],ROWS(nombres[])-1,0,1,1))+1),$O1552:$O1571),3),"")</f>
        <v/>
      </c>
      <c r="YD1552" s="42" t="str">
        <f t="array" aca="1" ref="YD1552" ca="1">IFERROR(INDEX(nombres[],SMALL(IF(OFFSET(nombres[],0,0,ROWS(nombres[]),1)=YD$1490,ROW(OFFSET(nombres[],0,0,ROWS(nombres[]),1))-ROW(OFFSET(nombres[],0,0,1,1))+1,ROW(OFFSET(nombres[],ROWS(nombres[])-1,0,1,1))+1),$O1552:$O1571),3),"")</f>
        <v/>
      </c>
      <c r="YE1552" s="42" t="str">
        <f t="array" aca="1" ref="YE1552" ca="1">IFERROR(INDEX(nombres[],SMALL(IF(OFFSET(nombres[],0,0,ROWS(nombres[]),1)=YE$1490,ROW(OFFSET(nombres[],0,0,ROWS(nombres[]),1))-ROW(OFFSET(nombres[],0,0,1,1))+1,ROW(OFFSET(nombres[],ROWS(nombres[])-1,0,1,1))+1),$O1552:$O1571),3),"")</f>
        <v/>
      </c>
      <c r="YF1552" s="42" t="str">
        <f t="array" aca="1" ref="YF1552" ca="1">IFERROR(INDEX(nombres[],SMALL(IF(OFFSET(nombres[],0,0,ROWS(nombres[]),1)=YF$1490,ROW(OFFSET(nombres[],0,0,ROWS(nombres[]),1))-ROW(OFFSET(nombres[],0,0,1,1))+1,ROW(OFFSET(nombres[],ROWS(nombres[])-1,0,1,1))+1),$O1552:$O1571),3),"")</f>
        <v/>
      </c>
      <c r="YG1552" s="42" t="str">
        <f t="array" aca="1" ref="YG1552" ca="1">IFERROR(INDEX(nombres[],SMALL(IF(OFFSET(nombres[],0,0,ROWS(nombres[]),1)=YG$1490,ROW(OFFSET(nombres[],0,0,ROWS(nombres[]),1))-ROW(OFFSET(nombres[],0,0,1,1))+1,ROW(OFFSET(nombres[],ROWS(nombres[])-1,0,1,1))+1),$O1552:$O1571),3),"")</f>
        <v/>
      </c>
      <c r="YH1552" s="42" t="str">
        <f t="array" aca="1" ref="YH1552" ca="1">IFERROR(INDEX(nombres[],SMALL(IF(OFFSET(nombres[],0,0,ROWS(nombres[]),1)=YH$1490,ROW(OFFSET(nombres[],0,0,ROWS(nombres[]),1))-ROW(OFFSET(nombres[],0,0,1,1))+1,ROW(OFFSET(nombres[],ROWS(nombres[])-1,0,1,1))+1),$O1552:$O1571),3),"")</f>
        <v/>
      </c>
      <c r="YI1552" s="42" t="str">
        <f t="array" aca="1" ref="YI1552" ca="1">IFERROR(INDEX(nombres[],SMALL(IF(OFFSET(nombres[],0,0,ROWS(nombres[]),1)=YI$1490,ROW(OFFSET(nombres[],0,0,ROWS(nombres[]),1))-ROW(OFFSET(nombres[],0,0,1,1))+1,ROW(OFFSET(nombres[],ROWS(nombres[])-1,0,1,1))+1),$O1552:$O1571),3),"")</f>
        <v/>
      </c>
      <c r="YJ1552" s="42" t="str">
        <f t="array" aca="1" ref="YJ1552" ca="1">IFERROR(INDEX(nombres[],SMALL(IF(OFFSET(nombres[],0,0,ROWS(nombres[]),1)=YJ$1490,ROW(OFFSET(nombres[],0,0,ROWS(nombres[]),1))-ROW(OFFSET(nombres[],0,0,1,1))+1,ROW(OFFSET(nombres[],ROWS(nombres[])-1,0,1,1))+1),$O1552:$O1571),3),"")</f>
        <v/>
      </c>
      <c r="YK1552" s="42" t="str">
        <f t="array" aca="1" ref="YK1552" ca="1">IFERROR(INDEX(nombres[],SMALL(IF(OFFSET(nombres[],0,0,ROWS(nombres[]),1)=YK$1490,ROW(OFFSET(nombres[],0,0,ROWS(nombres[]),1))-ROW(OFFSET(nombres[],0,0,1,1))+1,ROW(OFFSET(nombres[],ROWS(nombres[])-1,0,1,1))+1),$O1552:$O1571),3),"")</f>
        <v/>
      </c>
      <c r="YL1552" s="42" t="str">
        <f t="array" aca="1" ref="YL1552" ca="1">IFERROR(INDEX(nombres[],SMALL(IF(OFFSET(nombres[],0,0,ROWS(nombres[]),1)=YL$1490,ROW(OFFSET(nombres[],0,0,ROWS(nombres[]),1))-ROW(OFFSET(nombres[],0,0,1,1))+1,ROW(OFFSET(nombres[],ROWS(nombres[])-1,0,1,1))+1),$O1552:$O1571),3),"")</f>
        <v/>
      </c>
      <c r="YM1552" s="42" t="str">
        <f t="array" aca="1" ref="YM1552" ca="1">IFERROR(INDEX(nombres[],SMALL(IF(OFFSET(nombres[],0,0,ROWS(nombres[]),1)=YM$1490,ROW(OFFSET(nombres[],0,0,ROWS(nombres[]),1))-ROW(OFFSET(nombres[],0,0,1,1))+1,ROW(OFFSET(nombres[],ROWS(nombres[])-1,0,1,1))+1),$O1552:$O1571),3),"")</f>
        <v/>
      </c>
      <c r="YN1552" s="42" t="str">
        <f t="array" aca="1" ref="YN1552" ca="1">IFERROR(INDEX(nombres[],SMALL(IF(OFFSET(nombres[],0,0,ROWS(nombres[]),1)=YN$1490,ROW(OFFSET(nombres[],0,0,ROWS(nombres[]),1))-ROW(OFFSET(nombres[],0,0,1,1))+1,ROW(OFFSET(nombres[],ROWS(nombres[])-1,0,1,1))+1),$O1552:$O1571),3),"")</f>
        <v/>
      </c>
      <c r="YO1552" s="42" t="str">
        <f t="array" aca="1" ref="YO1552" ca="1">IFERROR(INDEX(nombres[],SMALL(IF(OFFSET(nombres[],0,0,ROWS(nombres[]),1)=YO$1490,ROW(OFFSET(nombres[],0,0,ROWS(nombres[]),1))-ROW(OFFSET(nombres[],0,0,1,1))+1,ROW(OFFSET(nombres[],ROWS(nombres[])-1,0,1,1))+1),$O1552:$O1571),3),"")</f>
        <v/>
      </c>
      <c r="YP1552" s="42" t="str">
        <f t="array" aca="1" ref="YP1552" ca="1">IFERROR(INDEX(nombres[],SMALL(IF(OFFSET(nombres[],0,0,ROWS(nombres[]),1)=YP$1490,ROW(OFFSET(nombres[],0,0,ROWS(nombres[]),1))-ROW(OFFSET(nombres[],0,0,1,1))+1,ROW(OFFSET(nombres[],ROWS(nombres[])-1,0,1,1))+1),$O1552:$O1571),3),"")</f>
        <v/>
      </c>
      <c r="YQ1552" s="42" t="str">
        <f t="array" aca="1" ref="YQ1552" ca="1">IFERROR(INDEX(nombres[],SMALL(IF(OFFSET(nombres[],0,0,ROWS(nombres[]),1)=YQ$1490,ROW(OFFSET(nombres[],0,0,ROWS(nombres[]),1))-ROW(OFFSET(nombres[],0,0,1,1))+1,ROW(OFFSET(nombres[],ROWS(nombres[])-1,0,1,1))+1),$O1552:$O1571),3),"")</f>
        <v/>
      </c>
      <c r="YR1552" s="42" t="str">
        <f t="array" aca="1" ref="YR1552" ca="1">IFERROR(INDEX(nombres[],SMALL(IF(OFFSET(nombres[],0,0,ROWS(nombres[]),1)=YR$1490,ROW(OFFSET(nombres[],0,0,ROWS(nombres[]),1))-ROW(OFFSET(nombres[],0,0,1,1))+1,ROW(OFFSET(nombres[],ROWS(nombres[])-1,0,1,1))+1),$O1552:$O1571),3),"")</f>
        <v/>
      </c>
      <c r="YS1552" s="42" t="str">
        <f t="array" aca="1" ref="YS1552" ca="1">IFERROR(INDEX(nombres[],SMALL(IF(OFFSET(nombres[],0,0,ROWS(nombres[]),1)=YS$1490,ROW(OFFSET(nombres[],0,0,ROWS(nombres[]),1))-ROW(OFFSET(nombres[],0,0,1,1))+1,ROW(OFFSET(nombres[],ROWS(nombres[])-1,0,1,1))+1),$O1552:$O1571),3),"")</f>
        <v/>
      </c>
      <c r="YT1552" s="42" t="str">
        <f t="array" aca="1" ref="YT1552" ca="1">IFERROR(INDEX(nombres[],SMALL(IF(OFFSET(nombres[],0,0,ROWS(nombres[]),1)=YT$1490,ROW(OFFSET(nombres[],0,0,ROWS(nombres[]),1))-ROW(OFFSET(nombres[],0,0,1,1))+1,ROW(OFFSET(nombres[],ROWS(nombres[])-1,0,1,1))+1),$O1552:$O1571),3),"")</f>
        <v/>
      </c>
      <c r="YU1552" s="42" t="str">
        <f t="array" aca="1" ref="YU1552" ca="1">IFERROR(INDEX(nombres[],SMALL(IF(OFFSET(nombres[],0,0,ROWS(nombres[]),1)=YU$1490,ROW(OFFSET(nombres[],0,0,ROWS(nombres[]),1))-ROW(OFFSET(nombres[],0,0,1,1))+1,ROW(OFFSET(nombres[],ROWS(nombres[])-1,0,1,1))+1),$O1552:$O1571),3),"")</f>
        <v/>
      </c>
      <c r="YV1552" s="42" t="str">
        <f t="array" aca="1" ref="YV1552" ca="1">IFERROR(INDEX(nombres[],SMALL(IF(OFFSET(nombres[],0,0,ROWS(nombres[]),1)=YV$1490,ROW(OFFSET(nombres[],0,0,ROWS(nombres[]),1))-ROW(OFFSET(nombres[],0,0,1,1))+1,ROW(OFFSET(nombres[],ROWS(nombres[])-1,0,1,1))+1),$O1552:$O1571),3),"")</f>
        <v/>
      </c>
      <c r="YW1552" s="42" t="str">
        <f t="array" aca="1" ref="YW1552" ca="1">IFERROR(INDEX(nombres[],SMALL(IF(OFFSET(nombres[],0,0,ROWS(nombres[]),1)=YW$1490,ROW(OFFSET(nombres[],0,0,ROWS(nombres[]),1))-ROW(OFFSET(nombres[],0,0,1,1))+1,ROW(OFFSET(nombres[],ROWS(nombres[])-1,0,1,1))+1),$O1552:$O1571),3),"")</f>
        <v/>
      </c>
      <c r="YX1552" s="42" t="str">
        <f t="array" aca="1" ref="YX1552" ca="1">IFERROR(INDEX(nombres[],SMALL(IF(OFFSET(nombres[],0,0,ROWS(nombres[]),1)=YX$1490,ROW(OFFSET(nombres[],0,0,ROWS(nombres[]),1))-ROW(OFFSET(nombres[],0,0,1,1))+1,ROW(OFFSET(nombres[],ROWS(nombres[])-1,0,1,1))+1),$O1552:$O1571),3),"")</f>
        <v/>
      </c>
      <c r="YY1552" s="42" t="str">
        <f t="array" aca="1" ref="YY1552" ca="1">IFERROR(INDEX(nombres[],SMALL(IF(OFFSET(nombres[],0,0,ROWS(nombres[]),1)=YY$1490,ROW(OFFSET(nombres[],0,0,ROWS(nombres[]),1))-ROW(OFFSET(nombres[],0,0,1,1))+1,ROW(OFFSET(nombres[],ROWS(nombres[])-1,0,1,1))+1),$O1552:$O1571),3),"")</f>
        <v/>
      </c>
      <c r="YZ1552" s="42" t="str">
        <f t="array" aca="1" ref="YZ1552" ca="1">IFERROR(INDEX(nombres[],SMALL(IF(OFFSET(nombres[],0,0,ROWS(nombres[]),1)=YZ$1490,ROW(OFFSET(nombres[],0,0,ROWS(nombres[]),1))-ROW(OFFSET(nombres[],0,0,1,1))+1,ROW(OFFSET(nombres[],ROWS(nombres[])-1,0,1,1))+1),$O1552:$O1571),3),"")</f>
        <v/>
      </c>
      <c r="ZA1552" s="42" t="str">
        <f t="array" aca="1" ref="ZA1552" ca="1">IFERROR(INDEX(nombres[],SMALL(IF(OFFSET(nombres[],0,0,ROWS(nombres[]),1)=ZA$1490,ROW(OFFSET(nombres[],0,0,ROWS(nombres[]),1))-ROW(OFFSET(nombres[],0,0,1,1))+1,ROW(OFFSET(nombres[],ROWS(nombres[])-1,0,1,1))+1),$O1552:$O1571),3),"")</f>
        <v/>
      </c>
      <c r="ZB1552" s="42" t="str">
        <f t="array" aca="1" ref="ZB1552" ca="1">IFERROR(INDEX(nombres[],SMALL(IF(OFFSET(nombres[],0,0,ROWS(nombres[]),1)=ZB$1490,ROW(OFFSET(nombres[],0,0,ROWS(nombres[]),1))-ROW(OFFSET(nombres[],0,0,1,1))+1,ROW(OFFSET(nombres[],ROWS(nombres[])-1,0,1,1))+1),$O1552:$O1571),3),"")</f>
        <v/>
      </c>
      <c r="ZC1552" s="42" t="str">
        <f t="array" aca="1" ref="ZC1552" ca="1">IFERROR(INDEX(nombres[],SMALL(IF(OFFSET(nombres[],0,0,ROWS(nombres[]),1)=ZC$1490,ROW(OFFSET(nombres[],0,0,ROWS(nombres[]),1))-ROW(OFFSET(nombres[],0,0,1,1))+1,ROW(OFFSET(nombres[],ROWS(nombres[])-1,0,1,1))+1),$O1552:$O1571),3),"")</f>
        <v/>
      </c>
      <c r="ZD1552" s="42" t="str">
        <f t="array" aca="1" ref="ZD1552" ca="1">IFERROR(INDEX(nombres[],SMALL(IF(OFFSET(nombres[],0,0,ROWS(nombres[]),1)=ZD$1490,ROW(OFFSET(nombres[],0,0,ROWS(nombres[]),1))-ROW(OFFSET(nombres[],0,0,1,1))+1,ROW(OFFSET(nombres[],ROWS(nombres[])-1,0,1,1))+1),$O1552:$O1571),3),"")</f>
        <v/>
      </c>
      <c r="ZE1552" s="42" t="str">
        <f t="array" aca="1" ref="ZE1552" ca="1">IFERROR(INDEX(nombres[],SMALL(IF(OFFSET(nombres[],0,0,ROWS(nombres[]),1)=ZE$1490,ROW(OFFSET(nombres[],0,0,ROWS(nombres[]),1))-ROW(OFFSET(nombres[],0,0,1,1))+1,ROW(OFFSET(nombres[],ROWS(nombres[])-1,0,1,1))+1),$O1552:$O1571),3),"")</f>
        <v/>
      </c>
      <c r="ZF1552" s="42" t="str">
        <f t="array" aca="1" ref="ZF1552" ca="1">IFERROR(INDEX(nombres[],SMALL(IF(OFFSET(nombres[],0,0,ROWS(nombres[]),1)=ZF$1490,ROW(OFFSET(nombres[],0,0,ROWS(nombres[]),1))-ROW(OFFSET(nombres[],0,0,1,1))+1,ROW(OFFSET(nombres[],ROWS(nombres[])-1,0,1,1))+1),$O1552:$O1571),3),"")</f>
        <v/>
      </c>
      <c r="ZG1552" s="42" t="str">
        <f t="array" aca="1" ref="ZG1552" ca="1">IFERROR(INDEX(nombres[],SMALL(IF(OFFSET(nombres[],0,0,ROWS(nombres[]),1)=ZG$1490,ROW(OFFSET(nombres[],0,0,ROWS(nombres[]),1))-ROW(OFFSET(nombres[],0,0,1,1))+1,ROW(OFFSET(nombres[],ROWS(nombres[])-1,0,1,1))+1),$O1552:$O1571),3),"")</f>
        <v/>
      </c>
      <c r="ZH1552" s="42" t="str">
        <f t="array" aca="1" ref="ZH1552" ca="1">IFERROR(INDEX(nombres[],SMALL(IF(OFFSET(nombres[],0,0,ROWS(nombres[]),1)=ZH$1490,ROW(OFFSET(nombres[],0,0,ROWS(nombres[]),1))-ROW(OFFSET(nombres[],0,0,1,1))+1,ROW(OFFSET(nombres[],ROWS(nombres[])-1,0,1,1))+1),$O1552:$O1571),3),"")</f>
        <v/>
      </c>
      <c r="ZI1552" s="42" t="str">
        <f t="array" aca="1" ref="ZI1552" ca="1">IFERROR(INDEX(nombres[],SMALL(IF(OFFSET(nombres[],0,0,ROWS(nombres[]),1)=ZI$1490,ROW(OFFSET(nombres[],0,0,ROWS(nombres[]),1))-ROW(OFFSET(nombres[],0,0,1,1))+1,ROW(OFFSET(nombres[],ROWS(nombres[])-1,0,1,1))+1),$O1552:$O1571),3),"")</f>
        <v/>
      </c>
      <c r="ZJ1552" s="42" t="str">
        <f t="array" aca="1" ref="ZJ1552" ca="1">IFERROR(INDEX(nombres[],SMALL(IF(OFFSET(nombres[],0,0,ROWS(nombres[]),1)=ZJ$1490,ROW(OFFSET(nombres[],0,0,ROWS(nombres[]),1))-ROW(OFFSET(nombres[],0,0,1,1))+1,ROW(OFFSET(nombres[],ROWS(nombres[])-1,0,1,1))+1),$O1552:$O1571),3),"")</f>
        <v/>
      </c>
      <c r="ZK1552" s="42" t="str">
        <f t="array" aca="1" ref="ZK1552" ca="1">IFERROR(INDEX(nombres[],SMALL(IF(OFFSET(nombres[],0,0,ROWS(nombres[]),1)=ZK$1490,ROW(OFFSET(nombres[],0,0,ROWS(nombres[]),1))-ROW(OFFSET(nombres[],0,0,1,1))+1,ROW(OFFSET(nombres[],ROWS(nombres[])-1,0,1,1))+1),$O1552:$O1571),3),"")</f>
        <v/>
      </c>
      <c r="ZL1552" s="42" t="str">
        <f t="array" aca="1" ref="ZL1552" ca="1">IFERROR(INDEX(nombres[],SMALL(IF(OFFSET(nombres[],0,0,ROWS(nombres[]),1)=ZL$1490,ROW(OFFSET(nombres[],0,0,ROWS(nombres[]),1))-ROW(OFFSET(nombres[],0,0,1,1))+1,ROW(OFFSET(nombres[],ROWS(nombres[])-1,0,1,1))+1),$O1552:$O1571),3),"")</f>
        <v/>
      </c>
      <c r="ZM1552" s="42" t="str">
        <f t="array" aca="1" ref="ZM1552" ca="1">IFERROR(INDEX(nombres[],SMALL(IF(OFFSET(nombres[],0,0,ROWS(nombres[]),1)=ZM$1490,ROW(OFFSET(nombres[],0,0,ROWS(nombres[]),1))-ROW(OFFSET(nombres[],0,0,1,1))+1,ROW(OFFSET(nombres[],ROWS(nombres[])-1,0,1,1))+1),$O1552:$O1571),3),"")</f>
        <v/>
      </c>
      <c r="ZN1552" s="42" t="str">
        <f t="array" aca="1" ref="ZN1552" ca="1">IFERROR(INDEX(nombres[],SMALL(IF(OFFSET(nombres[],0,0,ROWS(nombres[]),1)=ZN$1490,ROW(OFFSET(nombres[],0,0,ROWS(nombres[]),1))-ROW(OFFSET(nombres[],0,0,1,1))+1,ROW(OFFSET(nombres[],ROWS(nombres[])-1,0,1,1))+1),$O1552:$O1571),3),"")</f>
        <v/>
      </c>
      <c r="ZO1552" s="42" t="str">
        <f t="array" aca="1" ref="ZO1552" ca="1">IFERROR(INDEX(nombres[],SMALL(IF(OFFSET(nombres[],0,0,ROWS(nombres[]),1)=ZO$1490,ROW(OFFSET(nombres[],0,0,ROWS(nombres[]),1))-ROW(OFFSET(nombres[],0,0,1,1))+1,ROW(OFFSET(nombres[],ROWS(nombres[])-1,0,1,1))+1),$O1552:$O1571),3),"")</f>
        <v/>
      </c>
      <c r="ZP1552" s="42" t="str">
        <f t="array" aca="1" ref="ZP1552" ca="1">IFERROR(INDEX(nombres[],SMALL(IF(OFFSET(nombres[],0,0,ROWS(nombres[]),1)=ZP$1490,ROW(OFFSET(nombres[],0,0,ROWS(nombres[]),1))-ROW(OFFSET(nombres[],0,0,1,1))+1,ROW(OFFSET(nombres[],ROWS(nombres[])-1,0,1,1))+1),$O1552:$O1571),3),"")</f>
        <v/>
      </c>
      <c r="ZQ1552" s="42" t="str">
        <f t="array" aca="1" ref="ZQ1552" ca="1">IFERROR(INDEX(nombres[],SMALL(IF(OFFSET(nombres[],0,0,ROWS(nombres[]),1)=ZQ$1490,ROW(OFFSET(nombres[],0,0,ROWS(nombres[]),1))-ROW(OFFSET(nombres[],0,0,1,1))+1,ROW(OFFSET(nombres[],ROWS(nombres[])-1,0,1,1))+1),$O1552:$O1571),3),"")</f>
        <v/>
      </c>
      <c r="ZR1552" s="42" t="str">
        <f t="array" aca="1" ref="ZR1552" ca="1">IFERROR(INDEX(nombres[],SMALL(IF(OFFSET(nombres[],0,0,ROWS(nombres[]),1)=ZR$1490,ROW(OFFSET(nombres[],0,0,ROWS(nombres[]),1))-ROW(OFFSET(nombres[],0,0,1,1))+1,ROW(OFFSET(nombres[],ROWS(nombres[])-1,0,1,1))+1),$O1552:$O1571),3),"")</f>
        <v/>
      </c>
      <c r="ZS1552" s="42" t="str">
        <f t="array" aca="1" ref="ZS1552" ca="1">IFERROR(INDEX(nombres[],SMALL(IF(OFFSET(nombres[],0,0,ROWS(nombres[]),1)=ZS$1490,ROW(OFFSET(nombres[],0,0,ROWS(nombres[]),1))-ROW(OFFSET(nombres[],0,0,1,1))+1,ROW(OFFSET(nombres[],ROWS(nombres[])-1,0,1,1))+1),$O1552:$O1571),3),"")</f>
        <v/>
      </c>
      <c r="ZT1552" s="42" t="str">
        <f t="array" aca="1" ref="ZT1552" ca="1">IFERROR(INDEX(nombres[],SMALL(IF(OFFSET(nombres[],0,0,ROWS(nombres[]),1)=ZT$1490,ROW(OFFSET(nombres[],0,0,ROWS(nombres[]),1))-ROW(OFFSET(nombres[],0,0,1,1))+1,ROW(OFFSET(nombres[],ROWS(nombres[])-1,0,1,1))+1),$O1552:$O1571),3),"")</f>
        <v/>
      </c>
      <c r="ZU1552" s="42" t="str">
        <f t="array" aca="1" ref="ZU1552" ca="1">IFERROR(INDEX(nombres[],SMALL(IF(OFFSET(nombres[],0,0,ROWS(nombres[]),1)=ZU$1490,ROW(OFFSET(nombres[],0,0,ROWS(nombres[]),1))-ROW(OFFSET(nombres[],0,0,1,1))+1,ROW(OFFSET(nombres[],ROWS(nombres[])-1,0,1,1))+1),$O1552:$O1571),3),"")</f>
        <v/>
      </c>
      <c r="ZV1552" s="42" t="str">
        <f t="array" aca="1" ref="ZV1552" ca="1">IFERROR(INDEX(nombres[],SMALL(IF(OFFSET(nombres[],0,0,ROWS(nombres[]),1)=ZV$1490,ROW(OFFSET(nombres[],0,0,ROWS(nombres[]),1))-ROW(OFFSET(nombres[],0,0,1,1))+1,ROW(OFFSET(nombres[],ROWS(nombres[])-1,0,1,1))+1),$O1552:$O1571),3),"")</f>
        <v/>
      </c>
      <c r="ZW1552" s="42" t="str">
        <f t="array" aca="1" ref="ZW1552" ca="1">IFERROR(INDEX(nombres[],SMALL(IF(OFFSET(nombres[],0,0,ROWS(nombres[]),1)=ZW$1490,ROW(OFFSET(nombres[],0,0,ROWS(nombres[]),1))-ROW(OFFSET(nombres[],0,0,1,1))+1,ROW(OFFSET(nombres[],ROWS(nombres[])-1,0,1,1))+1),$O1552:$O1571),3),"")</f>
        <v/>
      </c>
      <c r="ZX1552" s="42" t="str">
        <f t="array" aca="1" ref="ZX1552" ca="1">IFERROR(INDEX(nombres[],SMALL(IF(OFFSET(nombres[],0,0,ROWS(nombres[]),1)=ZX$1490,ROW(OFFSET(nombres[],0,0,ROWS(nombres[]),1))-ROW(OFFSET(nombres[],0,0,1,1))+1,ROW(OFFSET(nombres[],ROWS(nombres[])-1,0,1,1))+1),$O1552:$O1571),3),"")</f>
        <v/>
      </c>
      <c r="ZY1552" s="42" t="str">
        <f t="array" aca="1" ref="ZY1552" ca="1">IFERROR(INDEX(nombres[],SMALL(IF(OFFSET(nombres[],0,0,ROWS(nombres[]),1)=ZY$1490,ROW(OFFSET(nombres[],0,0,ROWS(nombres[]),1))-ROW(OFFSET(nombres[],0,0,1,1))+1,ROW(OFFSET(nombres[],ROWS(nombres[])-1,0,1,1))+1),$O1552:$O1571),3),"")</f>
        <v/>
      </c>
      <c r="ZZ1552" s="42" t="str">
        <f t="array" aca="1" ref="ZZ1552" ca="1">IFERROR(INDEX(nombres[],SMALL(IF(OFFSET(nombres[],0,0,ROWS(nombres[]),1)=ZZ$1490,ROW(OFFSET(nombres[],0,0,ROWS(nombres[]),1))-ROW(OFFSET(nombres[],0,0,1,1))+1,ROW(OFFSET(nombres[],ROWS(nombres[])-1,0,1,1))+1),$O1552:$O1571),3),"")</f>
        <v/>
      </c>
      <c r="AAA1552" s="42" t="str">
        <f t="array" aca="1" ref="AAA1552" ca="1">IFERROR(INDEX(nombres[],SMALL(IF(OFFSET(nombres[],0,0,ROWS(nombres[]),1)=AAA$1490,ROW(OFFSET(nombres[],0,0,ROWS(nombres[]),1))-ROW(OFFSET(nombres[],0,0,1,1))+1,ROW(OFFSET(nombres[],ROWS(nombres[])-1,0,1,1))+1),$O1552:$O1571),3),"")</f>
        <v/>
      </c>
      <c r="AAB1552" s="42" t="str">
        <f t="array" aca="1" ref="AAB1552" ca="1">IFERROR(INDEX(nombres[],SMALL(IF(OFFSET(nombres[],0,0,ROWS(nombres[]),1)=AAB$1490,ROW(OFFSET(nombres[],0,0,ROWS(nombres[]),1))-ROW(OFFSET(nombres[],0,0,1,1))+1,ROW(OFFSET(nombres[],ROWS(nombres[])-1,0,1,1))+1),$O1552:$O1571),3),"")</f>
        <v/>
      </c>
      <c r="AAC1552" s="42" t="str">
        <f t="array" aca="1" ref="AAC1552" ca="1">IFERROR(INDEX(nombres[],SMALL(IF(OFFSET(nombres[],0,0,ROWS(nombres[]),1)=AAC$1490,ROW(OFFSET(nombres[],0,0,ROWS(nombres[]),1))-ROW(OFFSET(nombres[],0,0,1,1))+1,ROW(OFFSET(nombres[],ROWS(nombres[])-1,0,1,1))+1),$O1552:$O1571),3),"")</f>
        <v/>
      </c>
      <c r="AAD1552" s="42" t="str">
        <f t="array" aca="1" ref="AAD1552" ca="1">IFERROR(INDEX(nombres[],SMALL(IF(OFFSET(nombres[],0,0,ROWS(nombres[]),1)=AAD$1490,ROW(OFFSET(nombres[],0,0,ROWS(nombres[]),1))-ROW(OFFSET(nombres[],0,0,1,1))+1,ROW(OFFSET(nombres[],ROWS(nombres[])-1,0,1,1))+1),$O1552:$O1571),3),"")</f>
        <v/>
      </c>
      <c r="AAE1552" s="42" t="str">
        <f t="array" aca="1" ref="AAE1552" ca="1">IFERROR(INDEX(nombres[],SMALL(IF(OFFSET(nombres[],0,0,ROWS(nombres[]),1)=AAE$1490,ROW(OFFSET(nombres[],0,0,ROWS(nombres[]),1))-ROW(OFFSET(nombres[],0,0,1,1))+1,ROW(OFFSET(nombres[],ROWS(nombres[])-1,0,1,1))+1),$O1552:$O1571),3),"")</f>
        <v/>
      </c>
      <c r="AAF1552" s="42" t="str">
        <f t="array" aca="1" ref="AAF1552" ca="1">IFERROR(INDEX(nombres[],SMALL(IF(OFFSET(nombres[],0,0,ROWS(nombres[]),1)=AAF$1490,ROW(OFFSET(nombres[],0,0,ROWS(nombres[]),1))-ROW(OFFSET(nombres[],0,0,1,1))+1,ROW(OFFSET(nombres[],ROWS(nombres[])-1,0,1,1))+1),$O1552:$O1571),3),"")</f>
        <v/>
      </c>
      <c r="AAG1552" s="42" t="str">
        <f t="array" aca="1" ref="AAG1552" ca="1">IFERROR(INDEX(nombres[],SMALL(IF(OFFSET(nombres[],0,0,ROWS(nombres[]),1)=AAG$1490,ROW(OFFSET(nombres[],0,0,ROWS(nombres[]),1))-ROW(OFFSET(nombres[],0,0,1,1))+1,ROW(OFFSET(nombres[],ROWS(nombres[])-1,0,1,1))+1),$O1552:$O1571),3),"")</f>
        <v/>
      </c>
      <c r="AAH1552" s="42" t="str">
        <f t="array" aca="1" ref="AAH1552" ca="1">IFERROR(INDEX(nombres[],SMALL(IF(OFFSET(nombres[],0,0,ROWS(nombres[]),1)=AAH$1490,ROW(OFFSET(nombres[],0,0,ROWS(nombres[]),1))-ROW(OFFSET(nombres[],0,0,1,1))+1,ROW(OFFSET(nombres[],ROWS(nombres[])-1,0,1,1))+1),$O1552:$O1571),3),"")</f>
        <v/>
      </c>
      <c r="AAI1552" s="42" t="str">
        <f t="array" aca="1" ref="AAI1552" ca="1">IFERROR(INDEX(nombres[],SMALL(IF(OFFSET(nombres[],0,0,ROWS(nombres[]),1)=AAI$1490,ROW(OFFSET(nombres[],0,0,ROWS(nombres[]),1))-ROW(OFFSET(nombres[],0,0,1,1))+1,ROW(OFFSET(nombres[],ROWS(nombres[])-1,0,1,1))+1),$O1552:$O1571),3),"")</f>
        <v/>
      </c>
      <c r="AAJ1552" s="42" t="str">
        <f t="array" aca="1" ref="AAJ1552" ca="1">IFERROR(INDEX(nombres[],SMALL(IF(OFFSET(nombres[],0,0,ROWS(nombres[]),1)=AAJ$1490,ROW(OFFSET(nombres[],0,0,ROWS(nombres[]),1))-ROW(OFFSET(nombres[],0,0,1,1))+1,ROW(OFFSET(nombres[],ROWS(nombres[])-1,0,1,1))+1),$O1552:$O1571),3),"")</f>
        <v/>
      </c>
      <c r="AAK1552" s="42" t="str">
        <f t="array" aca="1" ref="AAK1552" ca="1">IFERROR(INDEX(nombres[],SMALL(IF(OFFSET(nombres[],0,0,ROWS(nombres[]),1)=AAK$1490,ROW(OFFSET(nombres[],0,0,ROWS(nombres[]),1))-ROW(OFFSET(nombres[],0,0,1,1))+1,ROW(OFFSET(nombres[],ROWS(nombres[])-1,0,1,1))+1),$O1552:$O1571),3),"")</f>
        <v/>
      </c>
      <c r="AAL1552" s="42" t="str">
        <f t="array" aca="1" ref="AAL1552" ca="1">IFERROR(INDEX(nombres[],SMALL(IF(OFFSET(nombres[],0,0,ROWS(nombres[]),1)=AAL$1490,ROW(OFFSET(nombres[],0,0,ROWS(nombres[]),1))-ROW(OFFSET(nombres[],0,0,1,1))+1,ROW(OFFSET(nombres[],ROWS(nombres[])-1,0,1,1))+1),$O1552:$O1571),3),"")</f>
        <v/>
      </c>
      <c r="AAM1552" s="42" t="str">
        <f t="array" aca="1" ref="AAM1552" ca="1">IFERROR(INDEX(nombres[],SMALL(IF(OFFSET(nombres[],0,0,ROWS(nombres[]),1)=AAM$1490,ROW(OFFSET(nombres[],0,0,ROWS(nombres[]),1))-ROW(OFFSET(nombres[],0,0,1,1))+1,ROW(OFFSET(nombres[],ROWS(nombres[])-1,0,1,1))+1),$O1552:$O1571),3),"")</f>
        <v/>
      </c>
      <c r="AAN1552" s="42" t="str">
        <f t="array" aca="1" ref="AAN1552" ca="1">IFERROR(INDEX(nombres[],SMALL(IF(OFFSET(nombres[],0,0,ROWS(nombres[]),1)=AAN$1490,ROW(OFFSET(nombres[],0,0,ROWS(nombres[]),1))-ROW(OFFSET(nombres[],0,0,1,1))+1,ROW(OFFSET(nombres[],ROWS(nombres[])-1,0,1,1))+1),$O1552:$O1571),3),"")</f>
        <v/>
      </c>
      <c r="AAO1552" s="42" t="str">
        <f t="array" aca="1" ref="AAO1552" ca="1">IFERROR(INDEX(nombres[],SMALL(IF(OFFSET(nombres[],0,0,ROWS(nombres[]),1)=AAO$1490,ROW(OFFSET(nombres[],0,0,ROWS(nombres[]),1))-ROW(OFFSET(nombres[],0,0,1,1))+1,ROW(OFFSET(nombres[],ROWS(nombres[])-1,0,1,1))+1),$O1552:$O1571),3),"")</f>
        <v/>
      </c>
      <c r="AAP1552" s="42" t="str">
        <f t="array" aca="1" ref="AAP1552" ca="1">IFERROR(INDEX(nombres[],SMALL(IF(OFFSET(nombres[],0,0,ROWS(nombres[]),1)=AAP$1490,ROW(OFFSET(nombres[],0,0,ROWS(nombres[]),1))-ROW(OFFSET(nombres[],0,0,1,1))+1,ROW(OFFSET(nombres[],ROWS(nombres[])-1,0,1,1))+1),$O1552:$O1571),3),"")</f>
        <v/>
      </c>
      <c r="AAQ1552" s="42" t="str">
        <f t="array" aca="1" ref="AAQ1552" ca="1">IFERROR(INDEX(nombres[],SMALL(IF(OFFSET(nombres[],0,0,ROWS(nombres[]),1)=AAQ$1490,ROW(OFFSET(nombres[],0,0,ROWS(nombres[]),1))-ROW(OFFSET(nombres[],0,0,1,1))+1,ROW(OFFSET(nombres[],ROWS(nombres[])-1,0,1,1))+1),$O1552:$O1571),3),"")</f>
        <v/>
      </c>
      <c r="AAR1552" s="42" t="str">
        <f t="array" aca="1" ref="AAR1552" ca="1">IFERROR(INDEX(nombres[],SMALL(IF(OFFSET(nombres[],0,0,ROWS(nombres[]),1)=AAR$1490,ROW(OFFSET(nombres[],0,0,ROWS(nombres[]),1))-ROW(OFFSET(nombres[],0,0,1,1))+1,ROW(OFFSET(nombres[],ROWS(nombres[])-1,0,1,1))+1),$O1552:$O1571),3),"")</f>
        <v/>
      </c>
      <c r="AAS1552" s="42" t="str">
        <f t="array" aca="1" ref="AAS1552" ca="1">IFERROR(INDEX(nombres[],SMALL(IF(OFFSET(nombres[],0,0,ROWS(nombres[]),1)=AAS$1490,ROW(OFFSET(nombres[],0,0,ROWS(nombres[]),1))-ROW(OFFSET(nombres[],0,0,1,1))+1,ROW(OFFSET(nombres[],ROWS(nombres[])-1,0,1,1))+1),$O1552:$O1571),3),"")</f>
        <v/>
      </c>
      <c r="AAT1552" s="42" t="str">
        <f t="array" aca="1" ref="AAT1552" ca="1">IFERROR(INDEX(nombres[],SMALL(IF(OFFSET(nombres[],0,0,ROWS(nombres[]),1)=AAT$1490,ROW(OFFSET(nombres[],0,0,ROWS(nombres[]),1))-ROW(OFFSET(nombres[],0,0,1,1))+1,ROW(OFFSET(nombres[],ROWS(nombres[])-1,0,1,1))+1),$O1552:$O1571),3),"")</f>
        <v/>
      </c>
      <c r="AAU1552" s="42" t="str">
        <f t="array" aca="1" ref="AAU1552" ca="1">IFERROR(INDEX(nombres[],SMALL(IF(OFFSET(nombres[],0,0,ROWS(nombres[]),1)=AAU$1490,ROW(OFFSET(nombres[],0,0,ROWS(nombres[]),1))-ROW(OFFSET(nombres[],0,0,1,1))+1,ROW(OFFSET(nombres[],ROWS(nombres[])-1,0,1,1))+1),$O1552:$O1571),3),"")</f>
        <v/>
      </c>
      <c r="AAV1552" s="42" t="str">
        <f t="array" aca="1" ref="AAV1552" ca="1">IFERROR(INDEX(nombres[],SMALL(IF(OFFSET(nombres[],0,0,ROWS(nombres[]),1)=AAV$1490,ROW(OFFSET(nombres[],0,0,ROWS(nombres[]),1))-ROW(OFFSET(nombres[],0,0,1,1))+1,ROW(OFFSET(nombres[],ROWS(nombres[])-1,0,1,1))+1),$O1552:$O1571),3),"")</f>
        <v/>
      </c>
      <c r="AAW1552" s="42" t="str">
        <f t="array" aca="1" ref="AAW1552" ca="1">IFERROR(INDEX(nombres[],SMALL(IF(OFFSET(nombres[],0,0,ROWS(nombres[]),1)=AAW$1490,ROW(OFFSET(nombres[],0,0,ROWS(nombres[]),1))-ROW(OFFSET(nombres[],0,0,1,1))+1,ROW(OFFSET(nombres[],ROWS(nombres[])-1,0,1,1))+1),$O1552:$O1571),3),"")</f>
        <v/>
      </c>
      <c r="AAX1552" s="42" t="str">
        <f t="array" aca="1" ref="AAX1552" ca="1">IFERROR(INDEX(nombres[],SMALL(IF(OFFSET(nombres[],0,0,ROWS(nombres[]),1)=AAX$1490,ROW(OFFSET(nombres[],0,0,ROWS(nombres[]),1))-ROW(OFFSET(nombres[],0,0,1,1))+1,ROW(OFFSET(nombres[],ROWS(nombres[])-1,0,1,1))+1),$O1552:$O1571),3),"")</f>
        <v/>
      </c>
      <c r="AAY1552" s="42" t="str">
        <f t="array" aca="1" ref="AAY1552" ca="1">IFERROR(INDEX(nombres[],SMALL(IF(OFFSET(nombres[],0,0,ROWS(nombres[]),1)=AAY$1490,ROW(OFFSET(nombres[],0,0,ROWS(nombres[]),1))-ROW(OFFSET(nombres[],0,0,1,1))+1,ROW(OFFSET(nombres[],ROWS(nombres[])-1,0,1,1))+1),$O1552:$O1571),3),"")</f>
        <v/>
      </c>
      <c r="AAZ1552" s="42" t="str">
        <f t="array" aca="1" ref="AAZ1552" ca="1">IFERROR(INDEX(nombres[],SMALL(IF(OFFSET(nombres[],0,0,ROWS(nombres[]),1)=AAZ$1490,ROW(OFFSET(nombres[],0,0,ROWS(nombres[]),1))-ROW(OFFSET(nombres[],0,0,1,1))+1,ROW(OFFSET(nombres[],ROWS(nombres[])-1,0,1,1))+1),$O1552:$O1571),3),"")</f>
        <v/>
      </c>
      <c r="ABA1552" s="42" t="str">
        <f t="array" aca="1" ref="ABA1552" ca="1">IFERROR(INDEX(nombres[],SMALL(IF(OFFSET(nombres[],0,0,ROWS(nombres[]),1)=ABA$1490,ROW(OFFSET(nombres[],0,0,ROWS(nombres[]),1))-ROW(OFFSET(nombres[],0,0,1,1))+1,ROW(OFFSET(nombres[],ROWS(nombres[])-1,0,1,1))+1),$O1552:$O1571),3),"")</f>
        <v/>
      </c>
      <c r="ABB1552" s="42" t="str">
        <f t="array" aca="1" ref="ABB1552" ca="1">IFERROR(INDEX(nombres[],SMALL(IF(OFFSET(nombres[],0,0,ROWS(nombres[]),1)=ABB$1490,ROW(OFFSET(nombres[],0,0,ROWS(nombres[]),1))-ROW(OFFSET(nombres[],0,0,1,1))+1,ROW(OFFSET(nombres[],ROWS(nombres[])-1,0,1,1))+1),$O1552:$O1571),3),"")</f>
        <v/>
      </c>
      <c r="ABC1552" s="42" t="str">
        <f t="array" aca="1" ref="ABC1552" ca="1">IFERROR(INDEX(nombres[],SMALL(IF(OFFSET(nombres[],0,0,ROWS(nombres[]),1)=ABC$1490,ROW(OFFSET(nombres[],0,0,ROWS(nombres[]),1))-ROW(OFFSET(nombres[],0,0,1,1))+1,ROW(OFFSET(nombres[],ROWS(nombres[])-1,0,1,1))+1),$O1552:$O1571),3),"")</f>
        <v/>
      </c>
      <c r="ABD1552" s="42" t="str">
        <f t="array" aca="1" ref="ABD1552" ca="1">IFERROR(INDEX(nombres[],SMALL(IF(OFFSET(nombres[],0,0,ROWS(nombres[]),1)=ABD$1490,ROW(OFFSET(nombres[],0,0,ROWS(nombres[]),1))-ROW(OFFSET(nombres[],0,0,1,1))+1,ROW(OFFSET(nombres[],ROWS(nombres[])-1,0,1,1))+1),$O1552:$O1571),3),"")</f>
        <v/>
      </c>
      <c r="ABE1552" s="42" t="str">
        <f t="array" aca="1" ref="ABE1552" ca="1">IFERROR(INDEX(nombres[],SMALL(IF(OFFSET(nombres[],0,0,ROWS(nombres[]),1)=ABE$1490,ROW(OFFSET(nombres[],0,0,ROWS(nombres[]),1))-ROW(OFFSET(nombres[],0,0,1,1))+1,ROW(OFFSET(nombres[],ROWS(nombres[])-1,0,1,1))+1),$O1552:$O1571),3),"")</f>
        <v/>
      </c>
      <c r="ABF1552" s="42" t="str">
        <f t="array" aca="1" ref="ABF1552" ca="1">IFERROR(INDEX(nombres[],SMALL(IF(OFFSET(nombres[],0,0,ROWS(nombres[]),1)=ABF$1490,ROW(OFFSET(nombres[],0,0,ROWS(nombres[]),1))-ROW(OFFSET(nombres[],0,0,1,1))+1,ROW(OFFSET(nombres[],ROWS(nombres[])-1,0,1,1))+1),$O1552:$O1571),3),"")</f>
        <v/>
      </c>
      <c r="ABG1552" s="42" t="str">
        <f t="array" aca="1" ref="ABG1552" ca="1">IFERROR(INDEX(nombres[],SMALL(IF(OFFSET(nombres[],0,0,ROWS(nombres[]),1)=ABG$1490,ROW(OFFSET(nombres[],0,0,ROWS(nombres[]),1))-ROW(OFFSET(nombres[],0,0,1,1))+1,ROW(OFFSET(nombres[],ROWS(nombres[])-1,0,1,1))+1),$O1552:$O1571),3),"")</f>
        <v/>
      </c>
      <c r="ABH1552" s="42" t="str">
        <f t="array" aca="1" ref="ABH1552" ca="1">IFERROR(INDEX(nombres[],SMALL(IF(OFFSET(nombres[],0,0,ROWS(nombres[]),1)=ABH$1490,ROW(OFFSET(nombres[],0,0,ROWS(nombres[]),1))-ROW(OFFSET(nombres[],0,0,1,1))+1,ROW(OFFSET(nombres[],ROWS(nombres[])-1,0,1,1))+1),$O1552:$O1571),3),"")</f>
        <v/>
      </c>
      <c r="ABI1552" s="42" t="str">
        <f t="array" aca="1" ref="ABI1552" ca="1">IFERROR(INDEX(nombres[],SMALL(IF(OFFSET(nombres[],0,0,ROWS(nombres[]),1)=ABI$1490,ROW(OFFSET(nombres[],0,0,ROWS(nombres[]),1))-ROW(OFFSET(nombres[],0,0,1,1))+1,ROW(OFFSET(nombres[],ROWS(nombres[])-1,0,1,1))+1),$O1552:$O1571),3),"")</f>
        <v/>
      </c>
      <c r="ABJ1552" s="42" t="str">
        <f t="array" aca="1" ref="ABJ1552" ca="1">IFERROR(INDEX(nombres[],SMALL(IF(OFFSET(nombres[],0,0,ROWS(nombres[]),1)=ABJ$1490,ROW(OFFSET(nombres[],0,0,ROWS(nombres[]),1))-ROW(OFFSET(nombres[],0,0,1,1))+1,ROW(OFFSET(nombres[],ROWS(nombres[])-1,0,1,1))+1),$O1552:$O1571),3),"")</f>
        <v/>
      </c>
      <c r="ABK1552" s="42" t="str">
        <f t="array" aca="1" ref="ABK1552" ca="1">IFERROR(INDEX(nombres[],SMALL(IF(OFFSET(nombres[],0,0,ROWS(nombres[]),1)=ABK$1490,ROW(OFFSET(nombres[],0,0,ROWS(nombres[]),1))-ROW(OFFSET(nombres[],0,0,1,1))+1,ROW(OFFSET(nombres[],ROWS(nombres[])-1,0,1,1))+1),$O1552:$O1571),3),"")</f>
        <v/>
      </c>
      <c r="ABL1552" s="42" t="str">
        <f t="array" aca="1" ref="ABL1552" ca="1">IFERROR(INDEX(nombres[],SMALL(IF(OFFSET(nombres[],0,0,ROWS(nombres[]),1)=ABL$1490,ROW(OFFSET(nombres[],0,0,ROWS(nombres[]),1))-ROW(OFFSET(nombres[],0,0,1,1))+1,ROW(OFFSET(nombres[],ROWS(nombres[])-1,0,1,1))+1),$O1552:$O1571),3),"")</f>
        <v/>
      </c>
      <c r="ABM1552" s="42" t="str">
        <f t="array" aca="1" ref="ABM1552" ca="1">IFERROR(INDEX(nombres[],SMALL(IF(OFFSET(nombres[],0,0,ROWS(nombres[]),1)=ABM$1490,ROW(OFFSET(nombres[],0,0,ROWS(nombres[]),1))-ROW(OFFSET(nombres[],0,0,1,1))+1,ROW(OFFSET(nombres[],ROWS(nombres[])-1,0,1,1))+1),$O1552:$O1571),3),"")</f>
        <v/>
      </c>
      <c r="ABN1552" s="42" t="str">
        <f t="array" aca="1" ref="ABN1552" ca="1">IFERROR(INDEX(nombres[],SMALL(IF(OFFSET(nombres[],0,0,ROWS(nombres[]),1)=ABN$1490,ROW(OFFSET(nombres[],0,0,ROWS(nombres[]),1))-ROW(OFFSET(nombres[],0,0,1,1))+1,ROW(OFFSET(nombres[],ROWS(nombres[])-1,0,1,1))+1),$O1552:$O1571),3),"")</f>
        <v/>
      </c>
      <c r="ABO1552" s="42" t="str">
        <f t="array" aca="1" ref="ABO1552" ca="1">IFERROR(INDEX(nombres[],SMALL(IF(OFFSET(nombres[],0,0,ROWS(nombres[]),1)=ABO$1490,ROW(OFFSET(nombres[],0,0,ROWS(nombres[]),1))-ROW(OFFSET(nombres[],0,0,1,1))+1,ROW(OFFSET(nombres[],ROWS(nombres[])-1,0,1,1))+1),$O1552:$O1571),3),"")</f>
        <v/>
      </c>
      <c r="ABP1552" s="42" t="str">
        <f t="array" aca="1" ref="ABP1552" ca="1">IFERROR(INDEX(nombres[],SMALL(IF(OFFSET(nombres[],0,0,ROWS(nombres[]),1)=ABP$1490,ROW(OFFSET(nombres[],0,0,ROWS(nombres[]),1))-ROW(OFFSET(nombres[],0,0,1,1))+1,ROW(OFFSET(nombres[],ROWS(nombres[])-1,0,1,1))+1),$O1552:$O1571),3),"")</f>
        <v/>
      </c>
      <c r="ABQ1552" s="42" t="str">
        <f t="array" aca="1" ref="ABQ1552" ca="1">IFERROR(INDEX(nombres[],SMALL(IF(OFFSET(nombres[],0,0,ROWS(nombres[]),1)=ABQ$1490,ROW(OFFSET(nombres[],0,0,ROWS(nombres[]),1))-ROW(OFFSET(nombres[],0,0,1,1))+1,ROW(OFFSET(nombres[],ROWS(nombres[])-1,0,1,1))+1),$O1552:$O1571),3),"")</f>
        <v/>
      </c>
      <c r="ABR1552" s="42" t="str">
        <f t="array" aca="1" ref="ABR1552" ca="1">IFERROR(INDEX(nombres[],SMALL(IF(OFFSET(nombres[],0,0,ROWS(nombres[]),1)=ABR$1490,ROW(OFFSET(nombres[],0,0,ROWS(nombres[]),1))-ROW(OFFSET(nombres[],0,0,1,1))+1,ROW(OFFSET(nombres[],ROWS(nombres[])-1,0,1,1))+1),$O1552:$O1571),3),"")</f>
        <v/>
      </c>
      <c r="ABS1552" s="42" t="str">
        <f t="array" aca="1" ref="ABS1552" ca="1">IFERROR(INDEX(nombres[],SMALL(IF(OFFSET(nombres[],0,0,ROWS(nombres[]),1)=ABS$1490,ROW(OFFSET(nombres[],0,0,ROWS(nombres[]),1))-ROW(OFFSET(nombres[],0,0,1,1))+1,ROW(OFFSET(nombres[],ROWS(nombres[])-1,0,1,1))+1),$O1552:$O1571),3),"")</f>
        <v/>
      </c>
      <c r="ABT1552" s="42" t="str">
        <f t="array" aca="1" ref="ABT1552" ca="1">IFERROR(INDEX(nombres[],SMALL(IF(OFFSET(nombres[],0,0,ROWS(nombres[]),1)=ABT$1490,ROW(OFFSET(nombres[],0,0,ROWS(nombres[]),1))-ROW(OFFSET(nombres[],0,0,1,1))+1,ROW(OFFSET(nombres[],ROWS(nombres[])-1,0,1,1))+1),$O1552:$O1571),3),"")</f>
        <v/>
      </c>
      <c r="ABU1552" s="42" t="str">
        <f t="array" aca="1" ref="ABU1552" ca="1">IFERROR(INDEX(nombres[],SMALL(IF(OFFSET(nombres[],0,0,ROWS(nombres[]),1)=ABU$1490,ROW(OFFSET(nombres[],0,0,ROWS(nombres[]),1))-ROW(OFFSET(nombres[],0,0,1,1))+1,ROW(OFFSET(nombres[],ROWS(nombres[])-1,0,1,1))+1),$O1552:$O1571),3),"")</f>
        <v/>
      </c>
      <c r="ABV1552" s="42" t="str">
        <f t="array" aca="1" ref="ABV1552" ca="1">IFERROR(INDEX(nombres[],SMALL(IF(OFFSET(nombres[],0,0,ROWS(nombres[]),1)=ABV$1490,ROW(OFFSET(nombres[],0,0,ROWS(nombres[]),1))-ROW(OFFSET(nombres[],0,0,1,1))+1,ROW(OFFSET(nombres[],ROWS(nombres[])-1,0,1,1))+1),$O1552:$O1571),3),"")</f>
        <v/>
      </c>
      <c r="ABW1552" s="42" t="str">
        <f t="array" aca="1" ref="ABW1552" ca="1">IFERROR(INDEX(nombres[],SMALL(IF(OFFSET(nombres[],0,0,ROWS(nombres[]),1)=ABW$1490,ROW(OFFSET(nombres[],0,0,ROWS(nombres[]),1))-ROW(OFFSET(nombres[],0,0,1,1))+1,ROW(OFFSET(nombres[],ROWS(nombres[])-1,0,1,1))+1),$O1552:$O1571),3),"")</f>
        <v/>
      </c>
      <c r="ABX1552" s="42" t="str">
        <f t="array" aca="1" ref="ABX1552" ca="1">IFERROR(INDEX(nombres[],SMALL(IF(OFFSET(nombres[],0,0,ROWS(nombres[]),1)=ABX$1490,ROW(OFFSET(nombres[],0,0,ROWS(nombres[]),1))-ROW(OFFSET(nombres[],0,0,1,1))+1,ROW(OFFSET(nombres[],ROWS(nombres[])-1,0,1,1))+1),$O1552:$O1571),3),"")</f>
        <v/>
      </c>
      <c r="ABY1552" s="42" t="str">
        <f t="array" aca="1" ref="ABY1552" ca="1">IFERROR(INDEX(nombres[],SMALL(IF(OFFSET(nombres[],0,0,ROWS(nombres[]),1)=ABY$1490,ROW(OFFSET(nombres[],0,0,ROWS(nombres[]),1))-ROW(OFFSET(nombres[],0,0,1,1))+1,ROW(OFFSET(nombres[],ROWS(nombres[])-1,0,1,1))+1),$O1552:$O1571),3),"")</f>
        <v/>
      </c>
      <c r="ABZ1552" s="42" t="str">
        <f t="array" aca="1" ref="ABZ1552" ca="1">IFERROR(INDEX(nombres[],SMALL(IF(OFFSET(nombres[],0,0,ROWS(nombres[]),1)=ABZ$1490,ROW(OFFSET(nombres[],0,0,ROWS(nombres[]),1))-ROW(OFFSET(nombres[],0,0,1,1))+1,ROW(OFFSET(nombres[],ROWS(nombres[])-1,0,1,1))+1),$O1552:$O1571),3),"")</f>
        <v/>
      </c>
      <c r="ACA1552" s="42" t="str">
        <f t="array" aca="1" ref="ACA1552" ca="1">IFERROR(INDEX(nombres[],SMALL(IF(OFFSET(nombres[],0,0,ROWS(nombres[]),1)=ACA$1490,ROW(OFFSET(nombres[],0,0,ROWS(nombres[]),1))-ROW(OFFSET(nombres[],0,0,1,1))+1,ROW(OFFSET(nombres[],ROWS(nombres[])-1,0,1,1))+1),$O1552:$O1571),3),"")</f>
        <v/>
      </c>
      <c r="ACB1552" s="42" t="str">
        <f t="array" aca="1" ref="ACB1552" ca="1">IFERROR(INDEX(nombres[],SMALL(IF(OFFSET(nombres[],0,0,ROWS(nombres[]),1)=ACB$1490,ROW(OFFSET(nombres[],0,0,ROWS(nombres[]),1))-ROW(OFFSET(nombres[],0,0,1,1))+1,ROW(OFFSET(nombres[],ROWS(nombres[])-1,0,1,1))+1),$O1552:$O1571),3),"")</f>
        <v/>
      </c>
      <c r="ACC1552" s="42" t="str">
        <f t="array" aca="1" ref="ACC1552" ca="1">IFERROR(INDEX(nombres[],SMALL(IF(OFFSET(nombres[],0,0,ROWS(nombres[]),1)=ACC$1490,ROW(OFFSET(nombres[],0,0,ROWS(nombres[]),1))-ROW(OFFSET(nombres[],0,0,1,1))+1,ROW(OFFSET(nombres[],ROWS(nombres[])-1,0,1,1))+1),$O1552:$O1571),3),"")</f>
        <v/>
      </c>
      <c r="ACD1552" s="42" t="str">
        <f t="array" aca="1" ref="ACD1552" ca="1">IFERROR(INDEX(nombres[],SMALL(IF(OFFSET(nombres[],0,0,ROWS(nombres[]),1)=ACD$1490,ROW(OFFSET(nombres[],0,0,ROWS(nombres[]),1))-ROW(OFFSET(nombres[],0,0,1,1))+1,ROW(OFFSET(nombres[],ROWS(nombres[])-1,0,1,1))+1),$O1552:$O1571),3),"")</f>
        <v/>
      </c>
      <c r="ACE1552" s="42" t="str">
        <f t="array" aca="1" ref="ACE1552" ca="1">IFERROR(INDEX(nombres[],SMALL(IF(OFFSET(nombres[],0,0,ROWS(nombres[]),1)=ACE$1490,ROW(OFFSET(nombres[],0,0,ROWS(nombres[]),1))-ROW(OFFSET(nombres[],0,0,1,1))+1,ROW(OFFSET(nombres[],ROWS(nombres[])-1,0,1,1))+1),$O1552:$O1571),3),"")</f>
        <v/>
      </c>
      <c r="ACF1552" s="42" t="str">
        <f t="array" aca="1" ref="ACF1552" ca="1">IFERROR(INDEX(nombres[],SMALL(IF(OFFSET(nombres[],0,0,ROWS(nombres[]),1)=ACF$1490,ROW(OFFSET(nombres[],0,0,ROWS(nombres[]),1))-ROW(OFFSET(nombres[],0,0,1,1))+1,ROW(OFFSET(nombres[],ROWS(nombres[])-1,0,1,1))+1),$O1552:$O1571),3),"")</f>
        <v/>
      </c>
      <c r="ACG1552" s="42" t="str">
        <f t="array" aca="1" ref="ACG1552" ca="1">IFERROR(INDEX(nombres[],SMALL(IF(OFFSET(nombres[],0,0,ROWS(nombres[]),1)=ACG$1490,ROW(OFFSET(nombres[],0,0,ROWS(nombres[]),1))-ROW(OFFSET(nombres[],0,0,1,1))+1,ROW(OFFSET(nombres[],ROWS(nombres[])-1,0,1,1))+1),$O1552:$O1571),3),"")</f>
        <v/>
      </c>
      <c r="ACH1552" s="42" t="str">
        <f t="array" aca="1" ref="ACH1552" ca="1">IFERROR(INDEX(nombres[],SMALL(IF(OFFSET(nombres[],0,0,ROWS(nombres[]),1)=ACH$1490,ROW(OFFSET(nombres[],0,0,ROWS(nombres[]),1))-ROW(OFFSET(nombres[],0,0,1,1))+1,ROW(OFFSET(nombres[],ROWS(nombres[])-1,0,1,1))+1),$O1552:$O1571),3),"")</f>
        <v/>
      </c>
      <c r="ACI1552" s="42" t="str">
        <f t="array" aca="1" ref="ACI1552" ca="1">IFERROR(INDEX(nombres[],SMALL(IF(OFFSET(nombres[],0,0,ROWS(nombres[]),1)=ACI$1490,ROW(OFFSET(nombres[],0,0,ROWS(nombres[]),1))-ROW(OFFSET(nombres[],0,0,1,1))+1,ROW(OFFSET(nombres[],ROWS(nombres[])-1,0,1,1))+1),$O1552:$O1571),3),"")</f>
        <v/>
      </c>
      <c r="ACJ1552" s="42" t="str">
        <f t="array" aca="1" ref="ACJ1552" ca="1">IFERROR(INDEX(nombres[],SMALL(IF(OFFSET(nombres[],0,0,ROWS(nombres[]),1)=ACJ$1490,ROW(OFFSET(nombres[],0,0,ROWS(nombres[]),1))-ROW(OFFSET(nombres[],0,0,1,1))+1,ROW(OFFSET(nombres[],ROWS(nombres[])-1,0,1,1))+1),$O1552:$O1571),3),"")</f>
        <v/>
      </c>
      <c r="ACK1552" s="42" t="str">
        <f t="array" aca="1" ref="ACK1552" ca="1">IFERROR(INDEX(nombres[],SMALL(IF(OFFSET(nombres[],0,0,ROWS(nombres[]),1)=ACK$1490,ROW(OFFSET(nombres[],0,0,ROWS(nombres[]),1))-ROW(OFFSET(nombres[],0,0,1,1))+1,ROW(OFFSET(nombres[],ROWS(nombres[])-1,0,1,1))+1),$O1552:$O1571),3),"")</f>
        <v/>
      </c>
      <c r="ACL1552" s="42" t="str">
        <f t="array" aca="1" ref="ACL1552" ca="1">IFERROR(INDEX(nombres[],SMALL(IF(OFFSET(nombres[],0,0,ROWS(nombres[]),1)=ACL$1490,ROW(OFFSET(nombres[],0,0,ROWS(nombres[]),1))-ROW(OFFSET(nombres[],0,0,1,1))+1,ROW(OFFSET(nombres[],ROWS(nombres[])-1,0,1,1))+1),$O1552:$O1571),3),"")</f>
        <v/>
      </c>
      <c r="ACM1552" s="42" t="str">
        <f t="array" aca="1" ref="ACM1552" ca="1">IFERROR(INDEX(nombres[],SMALL(IF(OFFSET(nombres[],0,0,ROWS(nombres[]),1)=ACM$1490,ROW(OFFSET(nombres[],0,0,ROWS(nombres[]),1))-ROW(OFFSET(nombres[],0,0,1,1))+1,ROW(OFFSET(nombres[],ROWS(nombres[])-1,0,1,1))+1),$O1552:$O1571),3),"")</f>
        <v/>
      </c>
      <c r="ACN1552" s="42" t="str">
        <f t="array" aca="1" ref="ACN1552" ca="1">IFERROR(INDEX(nombres[],SMALL(IF(OFFSET(nombres[],0,0,ROWS(nombres[]),1)=ACN$1490,ROW(OFFSET(nombres[],0,0,ROWS(nombres[]),1))-ROW(OFFSET(nombres[],0,0,1,1))+1,ROW(OFFSET(nombres[],ROWS(nombres[])-1,0,1,1))+1),$O1552:$O1571),3),"")</f>
        <v/>
      </c>
      <c r="ACO1552" s="42" t="str">
        <f t="array" aca="1" ref="ACO1552" ca="1">IFERROR(INDEX(nombres[],SMALL(IF(OFFSET(nombres[],0,0,ROWS(nombres[]),1)=ACO$1490,ROW(OFFSET(nombres[],0,0,ROWS(nombres[]),1))-ROW(OFFSET(nombres[],0,0,1,1))+1,ROW(OFFSET(nombres[],ROWS(nombres[])-1,0,1,1))+1),$O1552:$O1571),3),"")</f>
        <v/>
      </c>
      <c r="ACP1552" s="42" t="str">
        <f t="array" aca="1" ref="ACP1552" ca="1">IFERROR(INDEX(nombres[],SMALL(IF(OFFSET(nombres[],0,0,ROWS(nombres[]),1)=ACP$1490,ROW(OFFSET(nombres[],0,0,ROWS(nombres[]),1))-ROW(OFFSET(nombres[],0,0,1,1))+1,ROW(OFFSET(nombres[],ROWS(nombres[])-1,0,1,1))+1),$O1552:$O1571),3),"")</f>
        <v/>
      </c>
      <c r="ACQ1552" s="42" t="str">
        <f t="array" aca="1" ref="ACQ1552" ca="1">IFERROR(INDEX(nombres[],SMALL(IF(OFFSET(nombres[],0,0,ROWS(nombres[]),1)=ACQ$1490,ROW(OFFSET(nombres[],0,0,ROWS(nombres[]),1))-ROW(OFFSET(nombres[],0,0,1,1))+1,ROW(OFFSET(nombres[],ROWS(nombres[])-1,0,1,1))+1),$O1552:$O1571),3),"")</f>
        <v/>
      </c>
      <c r="ACR1552" s="42" t="str">
        <f t="array" aca="1" ref="ACR1552" ca="1">IFERROR(INDEX(nombres[],SMALL(IF(OFFSET(nombres[],0,0,ROWS(nombres[]),1)=ACR$1490,ROW(OFFSET(nombres[],0,0,ROWS(nombres[]),1))-ROW(OFFSET(nombres[],0,0,1,1))+1,ROW(OFFSET(nombres[],ROWS(nombres[])-1,0,1,1))+1),$O1552:$O1571),3),"")</f>
        <v/>
      </c>
      <c r="ACS1552" s="42" t="str">
        <f t="array" aca="1" ref="ACS1552" ca="1">IFERROR(INDEX(nombres[],SMALL(IF(OFFSET(nombres[],0,0,ROWS(nombres[]),1)=ACS$1490,ROW(OFFSET(nombres[],0,0,ROWS(nombres[]),1))-ROW(OFFSET(nombres[],0,0,1,1))+1,ROW(OFFSET(nombres[],ROWS(nombres[])-1,0,1,1))+1),$O1552:$O1571),3),"")</f>
        <v/>
      </c>
      <c r="ACT1552" s="42" t="str">
        <f t="array" aca="1" ref="ACT1552" ca="1">IFERROR(INDEX(nombres[],SMALL(IF(OFFSET(nombres[],0,0,ROWS(nombres[]),1)=ACT$1490,ROW(OFFSET(nombres[],0,0,ROWS(nombres[]),1))-ROW(OFFSET(nombres[],0,0,1,1))+1,ROW(OFFSET(nombres[],ROWS(nombres[])-1,0,1,1))+1),$O1552:$O1571),3),"")</f>
        <v/>
      </c>
      <c r="ACU1552" s="42" t="str">
        <f t="array" aca="1" ref="ACU1552" ca="1">IFERROR(INDEX(nombres[],SMALL(IF(OFFSET(nombres[],0,0,ROWS(nombres[]),1)=ACU$1490,ROW(OFFSET(nombres[],0,0,ROWS(nombres[]),1))-ROW(OFFSET(nombres[],0,0,1,1))+1,ROW(OFFSET(nombres[],ROWS(nombres[])-1,0,1,1))+1),$O1552:$O1571),3),"")</f>
        <v/>
      </c>
      <c r="ACV1552" s="42" t="str">
        <f t="array" aca="1" ref="ACV1552" ca="1">IFERROR(INDEX(nombres[],SMALL(IF(OFFSET(nombres[],0,0,ROWS(nombres[]),1)=ACV$1490,ROW(OFFSET(nombres[],0,0,ROWS(nombres[]),1))-ROW(OFFSET(nombres[],0,0,1,1))+1,ROW(OFFSET(nombres[],ROWS(nombres[])-1,0,1,1))+1),$O1552:$O1571),3),"")</f>
        <v/>
      </c>
      <c r="ACW1552" s="42" t="str">
        <f t="array" aca="1" ref="ACW1552" ca="1">IFERROR(INDEX(nombres[],SMALL(IF(OFFSET(nombres[],0,0,ROWS(nombres[]),1)=ACW$1490,ROW(OFFSET(nombres[],0,0,ROWS(nombres[]),1))-ROW(OFFSET(nombres[],0,0,1,1))+1,ROW(OFFSET(nombres[],ROWS(nombres[])-1,0,1,1))+1),$O1552:$O1571),3),"")</f>
        <v/>
      </c>
      <c r="ACX1552" s="42" t="str">
        <f t="array" aca="1" ref="ACX1552" ca="1">IFERROR(INDEX(nombres[],SMALL(IF(OFFSET(nombres[],0,0,ROWS(nombres[]),1)=ACX$1490,ROW(OFFSET(nombres[],0,0,ROWS(nombres[]),1))-ROW(OFFSET(nombres[],0,0,1,1))+1,ROW(OFFSET(nombres[],ROWS(nombres[])-1,0,1,1))+1),$O1552:$O1571),3),"")</f>
        <v/>
      </c>
      <c r="ACY1552" s="42" t="str">
        <f t="array" aca="1" ref="ACY1552" ca="1">IFERROR(INDEX(nombres[],SMALL(IF(OFFSET(nombres[],0,0,ROWS(nombres[]),1)=ACY$1490,ROW(OFFSET(nombres[],0,0,ROWS(nombres[]),1))-ROW(OFFSET(nombres[],0,0,1,1))+1,ROW(OFFSET(nombres[],ROWS(nombres[])-1,0,1,1))+1),$O1552:$O1571),3),"")</f>
        <v/>
      </c>
      <c r="ACZ1552" s="42" t="str">
        <f t="array" aca="1" ref="ACZ1552" ca="1">IFERROR(INDEX(nombres[],SMALL(IF(OFFSET(nombres[],0,0,ROWS(nombres[]),1)=ACZ$1490,ROW(OFFSET(nombres[],0,0,ROWS(nombres[]),1))-ROW(OFFSET(nombres[],0,0,1,1))+1,ROW(OFFSET(nombres[],ROWS(nombres[])-1,0,1,1))+1),$O1552:$O1571),3),"")</f>
        <v/>
      </c>
      <c r="ADA1552" s="42" t="str">
        <f t="array" aca="1" ref="ADA1552" ca="1">IFERROR(INDEX(nombres[],SMALL(IF(OFFSET(nombres[],0,0,ROWS(nombres[]),1)=ADA$1490,ROW(OFFSET(nombres[],0,0,ROWS(nombres[]),1))-ROW(OFFSET(nombres[],0,0,1,1))+1,ROW(OFFSET(nombres[],ROWS(nombres[])-1,0,1,1))+1),$O1552:$O1571),3),"")</f>
        <v/>
      </c>
      <c r="ADB1552" s="42" t="str">
        <f t="array" aca="1" ref="ADB1552" ca="1">IFERROR(INDEX(nombres[],SMALL(IF(OFFSET(nombres[],0,0,ROWS(nombres[]),1)=ADB$1490,ROW(OFFSET(nombres[],0,0,ROWS(nombres[]),1))-ROW(OFFSET(nombres[],0,0,1,1))+1,ROW(OFFSET(nombres[],ROWS(nombres[])-1,0,1,1))+1),$O1552:$O1571),3),"")</f>
        <v/>
      </c>
      <c r="ADC1552" s="42" t="str">
        <f t="array" aca="1" ref="ADC1552" ca="1">IFERROR(INDEX(nombres[],SMALL(IF(OFFSET(nombres[],0,0,ROWS(nombres[]),1)=ADC$1490,ROW(OFFSET(nombres[],0,0,ROWS(nombres[]),1))-ROW(OFFSET(nombres[],0,0,1,1))+1,ROW(OFFSET(nombres[],ROWS(nombres[])-1,0,1,1))+1),$O1552:$O1571),3),"")</f>
        <v/>
      </c>
      <c r="ADD1552" s="42" t="str">
        <f t="array" aca="1" ref="ADD1552" ca="1">IFERROR(INDEX(nombres[],SMALL(IF(OFFSET(nombres[],0,0,ROWS(nombres[]),1)=ADD$1490,ROW(OFFSET(nombres[],0,0,ROWS(nombres[]),1))-ROW(OFFSET(nombres[],0,0,1,1))+1,ROW(OFFSET(nombres[],ROWS(nombres[])-1,0,1,1))+1),$O1552:$O1571),3),"")</f>
        <v/>
      </c>
      <c r="ADE1552" s="42" t="str">
        <f t="array" aca="1" ref="ADE1552" ca="1">IFERROR(INDEX(nombres[],SMALL(IF(OFFSET(nombres[],0,0,ROWS(nombres[]),1)=ADE$1490,ROW(OFFSET(nombres[],0,0,ROWS(nombres[]),1))-ROW(OFFSET(nombres[],0,0,1,1))+1,ROW(OFFSET(nombres[],ROWS(nombres[])-1,0,1,1))+1),$O1552:$O1571),3),"")</f>
        <v/>
      </c>
      <c r="ADF1552" s="42" t="str">
        <f t="array" aca="1" ref="ADF1552" ca="1">IFERROR(INDEX(nombres[],SMALL(IF(OFFSET(nombres[],0,0,ROWS(nombres[]),1)=ADF$1490,ROW(OFFSET(nombres[],0,0,ROWS(nombres[]),1))-ROW(OFFSET(nombres[],0,0,1,1))+1,ROW(OFFSET(nombres[],ROWS(nombres[])-1,0,1,1))+1),$O1552:$O1571),3),"")</f>
        <v/>
      </c>
      <c r="ADG1552" s="42" t="str">
        <f t="array" aca="1" ref="ADG1552" ca="1">IFERROR(INDEX(nombres[],SMALL(IF(OFFSET(nombres[],0,0,ROWS(nombres[]),1)=ADG$1490,ROW(OFFSET(nombres[],0,0,ROWS(nombres[]),1))-ROW(OFFSET(nombres[],0,0,1,1))+1,ROW(OFFSET(nombres[],ROWS(nombres[])-1,0,1,1))+1),$O1552:$O1571),3),"")</f>
        <v/>
      </c>
      <c r="ADH1552" s="42" t="str">
        <f t="array" aca="1" ref="ADH1552" ca="1">IFERROR(INDEX(nombres[],SMALL(IF(OFFSET(nombres[],0,0,ROWS(nombres[]),1)=ADH$1490,ROW(OFFSET(nombres[],0,0,ROWS(nombres[]),1))-ROW(OFFSET(nombres[],0,0,1,1))+1,ROW(OFFSET(nombres[],ROWS(nombres[])-1,0,1,1))+1),$O1552:$O1571),3),"")</f>
        <v/>
      </c>
      <c r="ADI1552" s="42" t="str">
        <f t="array" aca="1" ref="ADI1552" ca="1">IFERROR(INDEX(nombres[],SMALL(IF(OFFSET(nombres[],0,0,ROWS(nombres[]),1)=ADI$1490,ROW(OFFSET(nombres[],0,0,ROWS(nombres[]),1))-ROW(OFFSET(nombres[],0,0,1,1))+1,ROW(OFFSET(nombres[],ROWS(nombres[])-1,0,1,1))+1),$O1552:$O1571),3),"")</f>
        <v/>
      </c>
      <c r="ADJ1552" s="42" t="str">
        <f t="array" aca="1" ref="ADJ1552" ca="1">IFERROR(INDEX(nombres[],SMALL(IF(OFFSET(nombres[],0,0,ROWS(nombres[]),1)=ADJ$1490,ROW(OFFSET(nombres[],0,0,ROWS(nombres[]),1))-ROW(OFFSET(nombres[],0,0,1,1))+1,ROW(OFFSET(nombres[],ROWS(nombres[])-1,0,1,1))+1),$O1552:$O1571),3),"")</f>
        <v/>
      </c>
      <c r="ADK1552" s="42" t="str">
        <f t="array" aca="1" ref="ADK1552" ca="1">IFERROR(INDEX(nombres[],SMALL(IF(OFFSET(nombres[],0,0,ROWS(nombres[]),1)=ADK$1490,ROW(OFFSET(nombres[],0,0,ROWS(nombres[]),1))-ROW(OFFSET(nombres[],0,0,1,1))+1,ROW(OFFSET(nombres[],ROWS(nombres[])-1,0,1,1))+1),$O1552:$O1571),3),"")</f>
        <v/>
      </c>
      <c r="ADL1552" s="42" t="str">
        <f t="array" aca="1" ref="ADL1552" ca="1">IFERROR(INDEX(nombres[],SMALL(IF(OFFSET(nombres[],0,0,ROWS(nombres[]),1)=ADL$1490,ROW(OFFSET(nombres[],0,0,ROWS(nombres[]),1))-ROW(OFFSET(nombres[],0,0,1,1))+1,ROW(OFFSET(nombres[],ROWS(nombres[])-1,0,1,1))+1),$O1552:$O1571),3),"")</f>
        <v/>
      </c>
      <c r="ADM1552" s="42" t="str">
        <f t="array" aca="1" ref="ADM1552" ca="1">IFERROR(INDEX(nombres[],SMALL(IF(OFFSET(nombres[],0,0,ROWS(nombres[]),1)=ADM$1490,ROW(OFFSET(nombres[],0,0,ROWS(nombres[]),1))-ROW(OFFSET(nombres[],0,0,1,1))+1,ROW(OFFSET(nombres[],ROWS(nombres[])-1,0,1,1))+1),$O1552:$O1571),3),"")</f>
        <v/>
      </c>
      <c r="ADN1552" s="42" t="str">
        <f t="array" aca="1" ref="ADN1552" ca="1">IFERROR(INDEX(nombres[],SMALL(IF(OFFSET(nombres[],0,0,ROWS(nombres[]),1)=ADN$1490,ROW(OFFSET(nombres[],0,0,ROWS(nombres[]),1))-ROW(OFFSET(nombres[],0,0,1,1))+1,ROW(OFFSET(nombres[],ROWS(nombres[])-1,0,1,1))+1),$O1552:$O1571),3),"")</f>
        <v/>
      </c>
      <c r="ADO1552" s="42" t="str">
        <f t="array" aca="1" ref="ADO1552" ca="1">IFERROR(INDEX(nombres[],SMALL(IF(OFFSET(nombres[],0,0,ROWS(nombres[]),1)=ADO$1490,ROW(OFFSET(nombres[],0,0,ROWS(nombres[]),1))-ROW(OFFSET(nombres[],0,0,1,1))+1,ROW(OFFSET(nombres[],ROWS(nombres[])-1,0,1,1))+1),$O1552:$O1571),3),"")</f>
        <v/>
      </c>
      <c r="ADP1552" s="42" t="str">
        <f t="array" aca="1" ref="ADP1552" ca="1">IFERROR(INDEX(nombres[],SMALL(IF(OFFSET(nombres[],0,0,ROWS(nombres[]),1)=ADP$1490,ROW(OFFSET(nombres[],0,0,ROWS(nombres[]),1))-ROW(OFFSET(nombres[],0,0,1,1))+1,ROW(OFFSET(nombres[],ROWS(nombres[])-1,0,1,1))+1),$O1552:$O1571),3),"")</f>
        <v/>
      </c>
      <c r="ADQ1552" s="42" t="str">
        <f t="array" aca="1" ref="ADQ1552" ca="1">IFERROR(INDEX(nombres[],SMALL(IF(OFFSET(nombres[],0,0,ROWS(nombres[]),1)=ADQ$1490,ROW(OFFSET(nombres[],0,0,ROWS(nombres[]),1))-ROW(OFFSET(nombres[],0,0,1,1))+1,ROW(OFFSET(nombres[],ROWS(nombres[])-1,0,1,1))+1),$O1552:$O1571),3),"")</f>
        <v/>
      </c>
      <c r="ADR1552" s="42" t="str">
        <f t="array" aca="1" ref="ADR1552" ca="1">IFERROR(INDEX(nombres[],SMALL(IF(OFFSET(nombres[],0,0,ROWS(nombres[]),1)=ADR$1490,ROW(OFFSET(nombres[],0,0,ROWS(nombres[]),1))-ROW(OFFSET(nombres[],0,0,1,1))+1,ROW(OFFSET(nombres[],ROWS(nombres[])-1,0,1,1))+1),$O1552:$O1571),3),"")</f>
        <v/>
      </c>
      <c r="ADS1552" s="42" t="str">
        <f t="array" aca="1" ref="ADS1552" ca="1">IFERROR(INDEX(nombres[],SMALL(IF(OFFSET(nombres[],0,0,ROWS(nombres[]),1)=ADS$1490,ROW(OFFSET(nombres[],0,0,ROWS(nombres[]),1))-ROW(OFFSET(nombres[],0,0,1,1))+1,ROW(OFFSET(nombres[],ROWS(nombres[])-1,0,1,1))+1),$O1552:$O1571),3),"")</f>
        <v/>
      </c>
      <c r="ADT1552" s="42" t="str">
        <f t="array" aca="1" ref="ADT1552" ca="1">IFERROR(INDEX(nombres[],SMALL(IF(OFFSET(nombres[],0,0,ROWS(nombres[]),1)=ADT$1490,ROW(OFFSET(nombres[],0,0,ROWS(nombres[]),1))-ROW(OFFSET(nombres[],0,0,1,1))+1,ROW(OFFSET(nombres[],ROWS(nombres[])-1,0,1,1))+1),$O1552:$O1571),3),"")</f>
        <v/>
      </c>
      <c r="ADU1552" s="42" t="str">
        <f t="array" aca="1" ref="ADU1552" ca="1">IFERROR(INDEX(nombres[],SMALL(IF(OFFSET(nombres[],0,0,ROWS(nombres[]),1)=ADU$1490,ROW(OFFSET(nombres[],0,0,ROWS(nombres[]),1))-ROW(OFFSET(nombres[],0,0,1,1))+1,ROW(OFFSET(nombres[],ROWS(nombres[])-1,0,1,1))+1),$O1552:$O1571),3),"")</f>
        <v/>
      </c>
      <c r="ADV1552" s="42" t="str">
        <f t="array" aca="1" ref="ADV1552" ca="1">IFERROR(INDEX(nombres[],SMALL(IF(OFFSET(nombres[],0,0,ROWS(nombres[]),1)=ADV$1490,ROW(OFFSET(nombres[],0,0,ROWS(nombres[]),1))-ROW(OFFSET(nombres[],0,0,1,1))+1,ROW(OFFSET(nombres[],ROWS(nombres[])-1,0,1,1))+1),$O1552:$O1571),3),"")</f>
        <v/>
      </c>
      <c r="ADW1552" s="42" t="str">
        <f t="array" aca="1" ref="ADW1552" ca="1">IFERROR(INDEX(nombres[],SMALL(IF(OFFSET(nombres[],0,0,ROWS(nombres[]),1)=ADW$1490,ROW(OFFSET(nombres[],0,0,ROWS(nombres[]),1))-ROW(OFFSET(nombres[],0,0,1,1))+1,ROW(OFFSET(nombres[],ROWS(nombres[])-1,0,1,1))+1),$O1552:$O1571),3),"")</f>
        <v/>
      </c>
      <c r="ADX1552" s="42" t="str">
        <f t="array" aca="1" ref="ADX1552" ca="1">IFERROR(INDEX(nombres[],SMALL(IF(OFFSET(nombres[],0,0,ROWS(nombres[]),1)=ADX$1490,ROW(OFFSET(nombres[],0,0,ROWS(nombres[]),1))-ROW(OFFSET(nombres[],0,0,1,1))+1,ROW(OFFSET(nombres[],ROWS(nombres[])-1,0,1,1))+1),$O1552:$O1571),3),"")</f>
        <v/>
      </c>
      <c r="ADY1552" s="42" t="str">
        <f t="array" aca="1" ref="ADY1552" ca="1">IFERROR(INDEX(nombres[],SMALL(IF(OFFSET(nombres[],0,0,ROWS(nombres[]),1)=ADY$1490,ROW(OFFSET(nombres[],0,0,ROWS(nombres[]),1))-ROW(OFFSET(nombres[],0,0,1,1))+1,ROW(OFFSET(nombres[],ROWS(nombres[])-1,0,1,1))+1),$O1552:$O1571),3),"")</f>
        <v/>
      </c>
      <c r="ADZ1552" s="42" t="str">
        <f t="array" aca="1" ref="ADZ1552" ca="1">IFERROR(INDEX(nombres[],SMALL(IF(OFFSET(nombres[],0,0,ROWS(nombres[]),1)=ADZ$1490,ROW(OFFSET(nombres[],0,0,ROWS(nombres[]),1))-ROW(OFFSET(nombres[],0,0,1,1))+1,ROW(OFFSET(nombres[],ROWS(nombres[])-1,0,1,1))+1),$O1552:$O1571),3),"")</f>
        <v/>
      </c>
      <c r="AEA1552" s="42" t="str">
        <f t="array" aca="1" ref="AEA1552" ca="1">IFERROR(INDEX(nombres[],SMALL(IF(OFFSET(nombres[],0,0,ROWS(nombres[]),1)=AEA$1490,ROW(OFFSET(nombres[],0,0,ROWS(nombres[]),1))-ROW(OFFSET(nombres[],0,0,1,1))+1,ROW(OFFSET(nombres[],ROWS(nombres[])-1,0,1,1))+1),$O1552:$O1571),3),"")</f>
        <v/>
      </c>
      <c r="AEB1552" s="42" t="str">
        <f t="array" aca="1" ref="AEB1552" ca="1">IFERROR(INDEX(nombres[],SMALL(IF(OFFSET(nombres[],0,0,ROWS(nombres[]),1)=AEB$1490,ROW(OFFSET(nombres[],0,0,ROWS(nombres[]),1))-ROW(OFFSET(nombres[],0,0,1,1))+1,ROW(OFFSET(nombres[],ROWS(nombres[])-1,0,1,1))+1),$O1552:$O1571),3),"")</f>
        <v/>
      </c>
      <c r="AEC1552" s="42" t="str">
        <f t="array" aca="1" ref="AEC1552" ca="1">IFERROR(INDEX(nombres[],SMALL(IF(OFFSET(nombres[],0,0,ROWS(nombres[]),1)=AEC$1490,ROW(OFFSET(nombres[],0,0,ROWS(nombres[]),1))-ROW(OFFSET(nombres[],0,0,1,1))+1,ROW(OFFSET(nombres[],ROWS(nombres[])-1,0,1,1))+1),$O1552:$O1571),3),"")</f>
        <v/>
      </c>
      <c r="AED1552" s="42" t="str">
        <f t="array" aca="1" ref="AED1552" ca="1">IFERROR(INDEX(nombres[],SMALL(IF(OFFSET(nombres[],0,0,ROWS(nombres[]),1)=AED$1490,ROW(OFFSET(nombres[],0,0,ROWS(nombres[]),1))-ROW(OFFSET(nombres[],0,0,1,1))+1,ROW(OFFSET(nombres[],ROWS(nombres[])-1,0,1,1))+1),$O1552:$O1571),3),"")</f>
        <v/>
      </c>
      <c r="AEE1552" s="42" t="str">
        <f t="array" aca="1" ref="AEE1552" ca="1">IFERROR(INDEX(nombres[],SMALL(IF(OFFSET(nombres[],0,0,ROWS(nombres[]),1)=AEE$1490,ROW(OFFSET(nombres[],0,0,ROWS(nombres[]),1))-ROW(OFFSET(nombres[],0,0,1,1))+1,ROW(OFFSET(nombres[],ROWS(nombres[])-1,0,1,1))+1),$O1552:$O1571),3),"")</f>
        <v/>
      </c>
      <c r="AEF1552" s="42" t="str">
        <f t="array" aca="1" ref="AEF1552" ca="1">IFERROR(INDEX(nombres[],SMALL(IF(OFFSET(nombres[],0,0,ROWS(nombres[]),1)=AEF$1490,ROW(OFFSET(nombres[],0,0,ROWS(nombres[]),1))-ROW(OFFSET(nombres[],0,0,1,1))+1,ROW(OFFSET(nombres[],ROWS(nombres[])-1,0,1,1))+1),$O1552:$O1571),3),"")</f>
        <v/>
      </c>
      <c r="AEG1552" s="42" t="str">
        <f t="array" aca="1" ref="AEG1552" ca="1">IFERROR(INDEX(nombres[],SMALL(IF(OFFSET(nombres[],0,0,ROWS(nombres[]),1)=AEG$1490,ROW(OFFSET(nombres[],0,0,ROWS(nombres[]),1))-ROW(OFFSET(nombres[],0,0,1,1))+1,ROW(OFFSET(nombres[],ROWS(nombres[])-1,0,1,1))+1),$O1552:$O1571),3),"")</f>
        <v/>
      </c>
      <c r="AEH1552" s="42" t="str">
        <f t="array" aca="1" ref="AEH1552" ca="1">IFERROR(INDEX(nombres[],SMALL(IF(OFFSET(nombres[],0,0,ROWS(nombres[]),1)=AEH$1490,ROW(OFFSET(nombres[],0,0,ROWS(nombres[]),1))-ROW(OFFSET(nombres[],0,0,1,1))+1,ROW(OFFSET(nombres[],ROWS(nombres[])-1,0,1,1))+1),$O1552:$O1571),3),"")</f>
        <v/>
      </c>
      <c r="AEI1552" s="42" t="str">
        <f t="array" aca="1" ref="AEI1552" ca="1">IFERROR(INDEX(nombres[],SMALL(IF(OFFSET(nombres[],0,0,ROWS(nombres[]),1)=AEI$1490,ROW(OFFSET(nombres[],0,0,ROWS(nombres[]),1))-ROW(OFFSET(nombres[],0,0,1,1))+1,ROW(OFFSET(nombres[],ROWS(nombres[])-1,0,1,1))+1),$O1552:$O1571),3),"")</f>
        <v/>
      </c>
      <c r="AEJ1552" s="42" t="str">
        <f t="array" aca="1" ref="AEJ1552" ca="1">IFERROR(INDEX(nombres[],SMALL(IF(OFFSET(nombres[],0,0,ROWS(nombres[]),1)=AEJ$1490,ROW(OFFSET(nombres[],0,0,ROWS(nombres[]),1))-ROW(OFFSET(nombres[],0,0,1,1))+1,ROW(OFFSET(nombres[],ROWS(nombres[])-1,0,1,1))+1),$O1552:$O1571),3),"")</f>
        <v/>
      </c>
      <c r="AEK1552" s="42" t="str">
        <f t="array" aca="1" ref="AEK1552" ca="1">IFERROR(INDEX(nombres[],SMALL(IF(OFFSET(nombres[],0,0,ROWS(nombres[]),1)=AEK$1490,ROW(OFFSET(nombres[],0,0,ROWS(nombres[]),1))-ROW(OFFSET(nombres[],0,0,1,1))+1,ROW(OFFSET(nombres[],ROWS(nombres[])-1,0,1,1))+1),$O1552:$O1571),3),"")</f>
        <v/>
      </c>
      <c r="AEL1552" s="42" t="str">
        <f t="array" aca="1" ref="AEL1552" ca="1">IFERROR(INDEX(nombres[],SMALL(IF(OFFSET(nombres[],0,0,ROWS(nombres[]),1)=AEL$1490,ROW(OFFSET(nombres[],0,0,ROWS(nombres[]),1))-ROW(OFFSET(nombres[],0,0,1,1))+1,ROW(OFFSET(nombres[],ROWS(nombres[])-1,0,1,1))+1),$O1552:$O1571),3),"")</f>
        <v/>
      </c>
      <c r="AEM1552" s="42" t="str">
        <f t="array" aca="1" ref="AEM1552" ca="1">IFERROR(INDEX(nombres[],SMALL(IF(OFFSET(nombres[],0,0,ROWS(nombres[]),1)=AEM$1490,ROW(OFFSET(nombres[],0,0,ROWS(nombres[]),1))-ROW(OFFSET(nombres[],0,0,1,1))+1,ROW(OFFSET(nombres[],ROWS(nombres[])-1,0,1,1))+1),$O1552:$O1571),3),"")</f>
        <v/>
      </c>
      <c r="AEN1552" s="42" t="str">
        <f t="array" aca="1" ref="AEN1552" ca="1">IFERROR(INDEX(nombres[],SMALL(IF(OFFSET(nombres[],0,0,ROWS(nombres[]),1)=AEN$1490,ROW(OFFSET(nombres[],0,0,ROWS(nombres[]),1))-ROW(OFFSET(nombres[],0,0,1,1))+1,ROW(OFFSET(nombres[],ROWS(nombres[])-1,0,1,1))+1),$O1552:$O1571),3),"")</f>
        <v/>
      </c>
      <c r="AEO1552" s="42" t="str">
        <f t="array" aca="1" ref="AEO1552" ca="1">IFERROR(INDEX(nombres[],SMALL(IF(OFFSET(nombres[],0,0,ROWS(nombres[]),1)=AEO$1490,ROW(OFFSET(nombres[],0,0,ROWS(nombres[]),1))-ROW(OFFSET(nombres[],0,0,1,1))+1,ROW(OFFSET(nombres[],ROWS(nombres[])-1,0,1,1))+1),$O1552:$O1571),3),"")</f>
        <v/>
      </c>
      <c r="AEP1552" s="42" t="str">
        <f t="array" aca="1" ref="AEP1552" ca="1">IFERROR(INDEX(nombres[],SMALL(IF(OFFSET(nombres[],0,0,ROWS(nombres[]),1)=AEP$1490,ROW(OFFSET(nombres[],0,0,ROWS(nombres[]),1))-ROW(OFFSET(nombres[],0,0,1,1))+1,ROW(OFFSET(nombres[],ROWS(nombres[])-1,0,1,1))+1),$O1552:$O1571),3),"")</f>
        <v/>
      </c>
      <c r="AEQ1552" s="42" t="str">
        <f t="array" aca="1" ref="AEQ1552" ca="1">IFERROR(INDEX(nombres[],SMALL(IF(OFFSET(nombres[],0,0,ROWS(nombres[]),1)=AEQ$1490,ROW(OFFSET(nombres[],0,0,ROWS(nombres[]),1))-ROW(OFFSET(nombres[],0,0,1,1))+1,ROW(OFFSET(nombres[],ROWS(nombres[])-1,0,1,1))+1),$O1552:$O1571),3),"")</f>
        <v/>
      </c>
      <c r="AER1552" s="42" t="str">
        <f t="array" aca="1" ref="AER1552" ca="1">IFERROR(INDEX(nombres[],SMALL(IF(OFFSET(nombres[],0,0,ROWS(nombres[]),1)=AER$1490,ROW(OFFSET(nombres[],0,0,ROWS(nombres[]),1))-ROW(OFFSET(nombres[],0,0,1,1))+1,ROW(OFFSET(nombres[],ROWS(nombres[])-1,0,1,1))+1),$O1552:$O1571),3),"")</f>
        <v/>
      </c>
      <c r="AES1552" s="42" t="str">
        <f t="array" aca="1" ref="AES1552" ca="1">IFERROR(INDEX(nombres[],SMALL(IF(OFFSET(nombres[],0,0,ROWS(nombres[]),1)=AES$1490,ROW(OFFSET(nombres[],0,0,ROWS(nombres[]),1))-ROW(OFFSET(nombres[],0,0,1,1))+1,ROW(OFFSET(nombres[],ROWS(nombres[])-1,0,1,1))+1),$O1552:$O1571),3),"")</f>
        <v/>
      </c>
      <c r="AET1552" s="42" t="str">
        <f t="array" aca="1" ref="AET1552" ca="1">IFERROR(INDEX(nombres[],SMALL(IF(OFFSET(nombres[],0,0,ROWS(nombres[]),1)=AET$1490,ROW(OFFSET(nombres[],0,0,ROWS(nombres[]),1))-ROW(OFFSET(nombres[],0,0,1,1))+1,ROW(OFFSET(nombres[],ROWS(nombres[])-1,0,1,1))+1),$O1552:$O1571),3),"")</f>
        <v/>
      </c>
      <c r="AEU1552" s="42" t="str">
        <f t="array" aca="1" ref="AEU1552" ca="1">IFERROR(INDEX(nombres[],SMALL(IF(OFFSET(nombres[],0,0,ROWS(nombres[]),1)=AEU$1490,ROW(OFFSET(nombres[],0,0,ROWS(nombres[]),1))-ROW(OFFSET(nombres[],0,0,1,1))+1,ROW(OFFSET(nombres[],ROWS(nombres[])-1,0,1,1))+1),$O1552:$O1571),3),"")</f>
        <v/>
      </c>
      <c r="AEV1552" s="42" t="str">
        <f t="array" aca="1" ref="AEV1552" ca="1">IFERROR(INDEX(nombres[],SMALL(IF(OFFSET(nombres[],0,0,ROWS(nombres[]),1)=AEV$1490,ROW(OFFSET(nombres[],0,0,ROWS(nombres[]),1))-ROW(OFFSET(nombres[],0,0,1,1))+1,ROW(OFFSET(nombres[],ROWS(nombres[])-1,0,1,1))+1),$O1552:$O1571),3),"")</f>
        <v/>
      </c>
      <c r="AEW1552" s="42" t="str">
        <f t="array" aca="1" ref="AEW1552" ca="1">IFERROR(INDEX(nombres[],SMALL(IF(OFFSET(nombres[],0,0,ROWS(nombres[]),1)=AEW$1490,ROW(OFFSET(nombres[],0,0,ROWS(nombres[]),1))-ROW(OFFSET(nombres[],0,0,1,1))+1,ROW(OFFSET(nombres[],ROWS(nombres[])-1,0,1,1))+1),$O1552:$O1571),3),"")</f>
        <v/>
      </c>
      <c r="AEX1552" s="42" t="str">
        <f t="array" aca="1" ref="AEX1552" ca="1">IFERROR(INDEX(nombres[],SMALL(IF(OFFSET(nombres[],0,0,ROWS(nombres[]),1)=AEX$1490,ROW(OFFSET(nombres[],0,0,ROWS(nombres[]),1))-ROW(OFFSET(nombres[],0,0,1,1))+1,ROW(OFFSET(nombres[],ROWS(nombres[])-1,0,1,1))+1),$O1552:$O1571),3),"")</f>
        <v/>
      </c>
      <c r="AEY1552" s="42" t="str">
        <f t="array" aca="1" ref="AEY1552" ca="1">IFERROR(INDEX(nombres[],SMALL(IF(OFFSET(nombres[],0,0,ROWS(nombres[]),1)=AEY$1490,ROW(OFFSET(nombres[],0,0,ROWS(nombres[]),1))-ROW(OFFSET(nombres[],0,0,1,1))+1,ROW(OFFSET(nombres[],ROWS(nombres[])-1,0,1,1))+1),$O1552:$O1571),3),"")</f>
        <v/>
      </c>
      <c r="AEZ1552" s="42" t="str">
        <f t="array" aca="1" ref="AEZ1552" ca="1">IFERROR(INDEX(nombres[],SMALL(IF(OFFSET(nombres[],0,0,ROWS(nombres[]),1)=AEZ$1490,ROW(OFFSET(nombres[],0,0,ROWS(nombres[]),1))-ROW(OFFSET(nombres[],0,0,1,1))+1,ROW(OFFSET(nombres[],ROWS(nombres[])-1,0,1,1))+1),$O1552:$O1571),3),"")</f>
        <v/>
      </c>
      <c r="AFA1552" s="42" t="str">
        <f t="array" aca="1" ref="AFA1552" ca="1">IFERROR(INDEX(nombres[],SMALL(IF(OFFSET(nombres[],0,0,ROWS(nombres[]),1)=AFA$1490,ROW(OFFSET(nombres[],0,0,ROWS(nombres[]),1))-ROW(OFFSET(nombres[],0,0,1,1))+1,ROW(OFFSET(nombres[],ROWS(nombres[])-1,0,1,1))+1),$O1552:$O1571),3),"")</f>
        <v/>
      </c>
      <c r="AFB1552" s="42" t="str">
        <f t="array" aca="1" ref="AFB1552" ca="1">IFERROR(INDEX(nombres[],SMALL(IF(OFFSET(nombres[],0,0,ROWS(nombres[]),1)=AFB$1490,ROW(OFFSET(nombres[],0,0,ROWS(nombres[]),1))-ROW(OFFSET(nombres[],0,0,1,1))+1,ROW(OFFSET(nombres[],ROWS(nombres[])-1,0,1,1))+1),$O1552:$O1571),3),"")</f>
        <v/>
      </c>
      <c r="AFC1552" s="42" t="str">
        <f t="array" aca="1" ref="AFC1552" ca="1">IFERROR(INDEX(nombres[],SMALL(IF(OFFSET(nombres[],0,0,ROWS(nombres[]),1)=AFC$1490,ROW(OFFSET(nombres[],0,0,ROWS(nombres[]),1))-ROW(OFFSET(nombres[],0,0,1,1))+1,ROW(OFFSET(nombres[],ROWS(nombres[])-1,0,1,1))+1),$O1552:$O1571),3),"")</f>
        <v/>
      </c>
      <c r="AFD1552" s="42" t="str">
        <f t="array" aca="1" ref="AFD1552" ca="1">IFERROR(INDEX(nombres[],SMALL(IF(OFFSET(nombres[],0,0,ROWS(nombres[]),1)=AFD$1490,ROW(OFFSET(nombres[],0,0,ROWS(nombres[]),1))-ROW(OFFSET(nombres[],0,0,1,1))+1,ROW(OFFSET(nombres[],ROWS(nombres[])-1,0,1,1))+1),$O1552:$O1571),3),"")</f>
        <v/>
      </c>
      <c r="AFE1552" s="42" t="str">
        <f t="array" aca="1" ref="AFE1552" ca="1">IFERROR(INDEX(nombres[],SMALL(IF(OFFSET(nombres[],0,0,ROWS(nombres[]),1)=AFE$1490,ROW(OFFSET(nombres[],0,0,ROWS(nombres[]),1))-ROW(OFFSET(nombres[],0,0,1,1))+1,ROW(OFFSET(nombres[],ROWS(nombres[])-1,0,1,1))+1),$O1552:$O1571),3),"")</f>
        <v/>
      </c>
      <c r="AFF1552" s="42" t="str">
        <f t="array" aca="1" ref="AFF1552" ca="1">IFERROR(INDEX(nombres[],SMALL(IF(OFFSET(nombres[],0,0,ROWS(nombres[]),1)=AFF$1490,ROW(OFFSET(nombres[],0,0,ROWS(nombres[]),1))-ROW(OFFSET(nombres[],0,0,1,1))+1,ROW(OFFSET(nombres[],ROWS(nombres[])-1,0,1,1))+1),$O1552:$O1571),3),"")</f>
        <v/>
      </c>
      <c r="AFG1552" s="42" t="str">
        <f t="array" aca="1" ref="AFG1552" ca="1">IFERROR(INDEX(nombres[],SMALL(IF(OFFSET(nombres[],0,0,ROWS(nombres[]),1)=AFG$1490,ROW(OFFSET(nombres[],0,0,ROWS(nombres[]),1))-ROW(OFFSET(nombres[],0,0,1,1))+1,ROW(OFFSET(nombres[],ROWS(nombres[])-1,0,1,1))+1),$O1552:$O1571),3),"")</f>
        <v/>
      </c>
      <c r="AFH1552" s="42" t="str">
        <f t="array" aca="1" ref="AFH1552" ca="1">IFERROR(INDEX(nombres[],SMALL(IF(OFFSET(nombres[],0,0,ROWS(nombres[]),1)=AFH$1490,ROW(OFFSET(nombres[],0,0,ROWS(nombres[]),1))-ROW(OFFSET(nombres[],0,0,1,1))+1,ROW(OFFSET(nombres[],ROWS(nombres[])-1,0,1,1))+1),$O1552:$O1571),3),"")</f>
        <v/>
      </c>
      <c r="AFI1552" s="42" t="str">
        <f t="array" aca="1" ref="AFI1552" ca="1">IFERROR(INDEX(nombres[],SMALL(IF(OFFSET(nombres[],0,0,ROWS(nombres[]),1)=AFI$1490,ROW(OFFSET(nombres[],0,0,ROWS(nombres[]),1))-ROW(OFFSET(nombres[],0,0,1,1))+1,ROW(OFFSET(nombres[],ROWS(nombres[])-1,0,1,1))+1),$O1552:$O1571),3),"")</f>
        <v/>
      </c>
      <c r="AFJ1552" s="42" t="str">
        <f t="array" aca="1" ref="AFJ1552" ca="1">IFERROR(INDEX(nombres[],SMALL(IF(OFFSET(nombres[],0,0,ROWS(nombres[]),1)=AFJ$1490,ROW(OFFSET(nombres[],0,0,ROWS(nombres[]),1))-ROW(OFFSET(nombres[],0,0,1,1))+1,ROW(OFFSET(nombres[],ROWS(nombres[])-1,0,1,1))+1),$O1552:$O1571),3),"")</f>
        <v/>
      </c>
      <c r="AFK1552" s="42" t="str">
        <f t="array" aca="1" ref="AFK1552" ca="1">IFERROR(INDEX(nombres[],SMALL(IF(OFFSET(nombres[],0,0,ROWS(nombres[]),1)=AFK$1490,ROW(OFFSET(nombres[],0,0,ROWS(nombres[]),1))-ROW(OFFSET(nombres[],0,0,1,1))+1,ROW(OFFSET(nombres[],ROWS(nombres[])-1,0,1,1))+1),$O1552:$O1571),3),"")</f>
        <v/>
      </c>
      <c r="AFL1552" s="42" t="str">
        <f t="array" aca="1" ref="AFL1552" ca="1">IFERROR(INDEX(nombres[],SMALL(IF(OFFSET(nombres[],0,0,ROWS(nombres[]),1)=AFL$1490,ROW(OFFSET(nombres[],0,0,ROWS(nombres[]),1))-ROW(OFFSET(nombres[],0,0,1,1))+1,ROW(OFFSET(nombres[],ROWS(nombres[])-1,0,1,1))+1),$O1552:$O1571),3),"")</f>
        <v/>
      </c>
      <c r="AFM1552" s="42" t="str">
        <f t="array" aca="1" ref="AFM1552" ca="1">IFERROR(INDEX(nombres[],SMALL(IF(OFFSET(nombres[],0,0,ROWS(nombres[]),1)=AFM$1490,ROW(OFFSET(nombres[],0,0,ROWS(nombres[]),1))-ROW(OFFSET(nombres[],0,0,1,1))+1,ROW(OFFSET(nombres[],ROWS(nombres[])-1,0,1,1))+1),$O1552:$O1571),3),"")</f>
        <v/>
      </c>
      <c r="AFN1552" s="42" t="str">
        <f t="array" aca="1" ref="AFN1552" ca="1">IFERROR(INDEX(nombres[],SMALL(IF(OFFSET(nombres[],0,0,ROWS(nombres[]),1)=AFN$1490,ROW(OFFSET(nombres[],0,0,ROWS(nombres[]),1))-ROW(OFFSET(nombres[],0,0,1,1))+1,ROW(OFFSET(nombres[],ROWS(nombres[])-1,0,1,1))+1),$O1552:$O1571),3),"")</f>
        <v/>
      </c>
      <c r="AFO1552" s="42" t="str">
        <f t="array" aca="1" ref="AFO1552" ca="1">IFERROR(INDEX(nombres[],SMALL(IF(OFFSET(nombres[],0,0,ROWS(nombres[]),1)=AFO$1490,ROW(OFFSET(nombres[],0,0,ROWS(nombres[]),1))-ROW(OFFSET(nombres[],0,0,1,1))+1,ROW(OFFSET(nombres[],ROWS(nombres[])-1,0,1,1))+1),$O1552:$O1571),3),"")</f>
        <v/>
      </c>
      <c r="AFP1552" s="42" t="str">
        <f t="array" aca="1" ref="AFP1552" ca="1">IFERROR(INDEX(nombres[],SMALL(IF(OFFSET(nombres[],0,0,ROWS(nombres[]),1)=AFP$1490,ROW(OFFSET(nombres[],0,0,ROWS(nombres[]),1))-ROW(OFFSET(nombres[],0,0,1,1))+1,ROW(OFFSET(nombres[],ROWS(nombres[])-1,0,1,1))+1),$O1552:$O1571),3),"")</f>
        <v/>
      </c>
      <c r="AFQ1552" s="42" t="str">
        <f t="array" aca="1" ref="AFQ1552" ca="1">IFERROR(INDEX(nombres[],SMALL(IF(OFFSET(nombres[],0,0,ROWS(nombres[]),1)=AFQ$1490,ROW(OFFSET(nombres[],0,0,ROWS(nombres[]),1))-ROW(OFFSET(nombres[],0,0,1,1))+1,ROW(OFFSET(nombres[],ROWS(nombres[])-1,0,1,1))+1),$O1552:$O1571),3),"")</f>
        <v/>
      </c>
      <c r="AFR1552" s="42" t="str">
        <f t="array" aca="1" ref="AFR1552" ca="1">IFERROR(INDEX(nombres[],SMALL(IF(OFFSET(nombres[],0,0,ROWS(nombres[]),1)=AFR$1490,ROW(OFFSET(nombres[],0,0,ROWS(nombres[]),1))-ROW(OFFSET(nombres[],0,0,1,1))+1,ROW(OFFSET(nombres[],ROWS(nombres[])-1,0,1,1))+1),$O1552:$O1571),3),"")</f>
        <v/>
      </c>
      <c r="AFS1552" s="42" t="str">
        <f t="array" aca="1" ref="AFS1552" ca="1">IFERROR(INDEX(nombres[],SMALL(IF(OFFSET(nombres[],0,0,ROWS(nombres[]),1)=AFS$1490,ROW(OFFSET(nombres[],0,0,ROWS(nombres[]),1))-ROW(OFFSET(nombres[],0,0,1,1))+1,ROW(OFFSET(nombres[],ROWS(nombres[])-1,0,1,1))+1),$O1552:$O1571),3),"")</f>
        <v/>
      </c>
      <c r="AFT1552" s="42" t="str">
        <f t="array" aca="1" ref="AFT1552" ca="1">IFERROR(INDEX(nombres[],SMALL(IF(OFFSET(nombres[],0,0,ROWS(nombres[]),1)=AFT$1490,ROW(OFFSET(nombres[],0,0,ROWS(nombres[]),1))-ROW(OFFSET(nombres[],0,0,1,1))+1,ROW(OFFSET(nombres[],ROWS(nombres[])-1,0,1,1))+1),$O1552:$O1571),3),"")</f>
        <v/>
      </c>
      <c r="AFU1552" s="42" t="str">
        <f t="array" aca="1" ref="AFU1552" ca="1">IFERROR(INDEX(nombres[],SMALL(IF(OFFSET(nombres[],0,0,ROWS(nombres[]),1)=AFU$1490,ROW(OFFSET(nombres[],0,0,ROWS(nombres[]),1))-ROW(OFFSET(nombres[],0,0,1,1))+1,ROW(OFFSET(nombres[],ROWS(nombres[])-1,0,1,1))+1),$O1552:$O1571),3),"")</f>
        <v/>
      </c>
      <c r="AFV1552" s="42" t="str">
        <f t="array" aca="1" ref="AFV1552" ca="1">IFERROR(INDEX(nombres[],SMALL(IF(OFFSET(nombres[],0,0,ROWS(nombres[]),1)=AFV$1490,ROW(OFFSET(nombres[],0,0,ROWS(nombres[]),1))-ROW(OFFSET(nombres[],0,0,1,1))+1,ROW(OFFSET(nombres[],ROWS(nombres[])-1,0,1,1))+1),$O1552:$O1571),3),"")</f>
        <v/>
      </c>
      <c r="AFW1552" s="42" t="str">
        <f t="array" aca="1" ref="AFW1552" ca="1">IFERROR(INDEX(nombres[],SMALL(IF(OFFSET(nombres[],0,0,ROWS(nombres[]),1)=AFW$1490,ROW(OFFSET(nombres[],0,0,ROWS(nombres[]),1))-ROW(OFFSET(nombres[],0,0,1,1))+1,ROW(OFFSET(nombres[],ROWS(nombres[])-1,0,1,1))+1),$O1552:$O1571),3),"")</f>
        <v/>
      </c>
      <c r="AFX1552" s="42" t="str">
        <f t="array" aca="1" ref="AFX1552" ca="1">IFERROR(INDEX(nombres[],SMALL(IF(OFFSET(nombres[],0,0,ROWS(nombres[]),1)=AFX$1490,ROW(OFFSET(nombres[],0,0,ROWS(nombres[]),1))-ROW(OFFSET(nombres[],0,0,1,1))+1,ROW(OFFSET(nombres[],ROWS(nombres[])-1,0,1,1))+1),$O1552:$O1571),3),"")</f>
        <v/>
      </c>
      <c r="AFY1552" s="42" t="str">
        <f t="array" aca="1" ref="AFY1552" ca="1">IFERROR(INDEX(nombres[],SMALL(IF(OFFSET(nombres[],0,0,ROWS(nombres[]),1)=AFY$1490,ROW(OFFSET(nombres[],0,0,ROWS(nombres[]),1))-ROW(OFFSET(nombres[],0,0,1,1))+1,ROW(OFFSET(nombres[],ROWS(nombres[])-1,0,1,1))+1),$O1552:$O1571),3),"")</f>
        <v/>
      </c>
      <c r="AFZ1552" s="42" t="str">
        <f t="array" aca="1" ref="AFZ1552" ca="1">IFERROR(INDEX(nombres[],SMALL(IF(OFFSET(nombres[],0,0,ROWS(nombres[]),1)=AFZ$1490,ROW(OFFSET(nombres[],0,0,ROWS(nombres[]),1))-ROW(OFFSET(nombres[],0,0,1,1))+1,ROW(OFFSET(nombres[],ROWS(nombres[])-1,0,1,1))+1),$O1552:$O1571),3),"")</f>
        <v/>
      </c>
      <c r="AGA1552" s="42" t="str">
        <f t="array" aca="1" ref="AGA1552" ca="1">IFERROR(INDEX(nombres[],SMALL(IF(OFFSET(nombres[],0,0,ROWS(nombres[]),1)=AGA$1490,ROW(OFFSET(nombres[],0,0,ROWS(nombres[]),1))-ROW(OFFSET(nombres[],0,0,1,1))+1,ROW(OFFSET(nombres[],ROWS(nombres[])-1,0,1,1))+1),$O1552:$O1571),3),"")</f>
        <v/>
      </c>
      <c r="AGB1552" s="42" t="str">
        <f t="array" aca="1" ref="AGB1552" ca="1">IFERROR(INDEX(nombres[],SMALL(IF(OFFSET(nombres[],0,0,ROWS(nombres[]),1)=AGB$1490,ROW(OFFSET(nombres[],0,0,ROWS(nombres[]),1))-ROW(OFFSET(nombres[],0,0,1,1))+1,ROW(OFFSET(nombres[],ROWS(nombres[])-1,0,1,1))+1),$O1552:$O1571),3),"")</f>
        <v/>
      </c>
      <c r="AGC1552" s="42" t="str">
        <f t="array" aca="1" ref="AGC1552" ca="1">IFERROR(INDEX(nombres[],SMALL(IF(OFFSET(nombres[],0,0,ROWS(nombres[]),1)=AGC$1490,ROW(OFFSET(nombres[],0,0,ROWS(nombres[]),1))-ROW(OFFSET(nombres[],0,0,1,1))+1,ROW(OFFSET(nombres[],ROWS(nombres[])-1,0,1,1))+1),$O1552:$O1571),3),"")</f>
        <v/>
      </c>
      <c r="AGD1552" s="42" t="str">
        <f t="array" aca="1" ref="AGD1552" ca="1">IFERROR(INDEX(nombres[],SMALL(IF(OFFSET(nombres[],0,0,ROWS(nombres[]),1)=AGD$1490,ROW(OFFSET(nombres[],0,0,ROWS(nombres[]),1))-ROW(OFFSET(nombres[],0,0,1,1))+1,ROW(OFFSET(nombres[],ROWS(nombres[])-1,0,1,1))+1),$O1552:$O1571),3),"")</f>
        <v/>
      </c>
      <c r="AGE1552" s="42" t="str">
        <f t="array" aca="1" ref="AGE1552" ca="1">IFERROR(INDEX(nombres[],SMALL(IF(OFFSET(nombres[],0,0,ROWS(nombres[]),1)=AGE$1490,ROW(OFFSET(nombres[],0,0,ROWS(nombres[]),1))-ROW(OFFSET(nombres[],0,0,1,1))+1,ROW(OFFSET(nombres[],ROWS(nombres[])-1,0,1,1))+1),$O1552:$O1571),3),"")</f>
        <v/>
      </c>
      <c r="AGF1552" s="42" t="str">
        <f t="array" aca="1" ref="AGF1552" ca="1">IFERROR(INDEX(nombres[],SMALL(IF(OFFSET(nombres[],0,0,ROWS(nombres[]),1)=AGF$1490,ROW(OFFSET(nombres[],0,0,ROWS(nombres[]),1))-ROW(OFFSET(nombres[],0,0,1,1))+1,ROW(OFFSET(nombres[],ROWS(nombres[])-1,0,1,1))+1),$O1552:$O1571),3),"")</f>
        <v/>
      </c>
      <c r="AGG1552" s="42" t="str">
        <f t="array" aca="1" ref="AGG1552" ca="1">IFERROR(INDEX(nombres[],SMALL(IF(OFFSET(nombres[],0,0,ROWS(nombres[]),1)=AGG$1490,ROW(OFFSET(nombres[],0,0,ROWS(nombres[]),1))-ROW(OFFSET(nombres[],0,0,1,1))+1,ROW(OFFSET(nombres[],ROWS(nombres[])-1,0,1,1))+1),$O1552:$O1571),3),"")</f>
        <v/>
      </c>
      <c r="AGH1552" s="42" t="str">
        <f t="array" aca="1" ref="AGH1552" ca="1">IFERROR(INDEX(nombres[],SMALL(IF(OFFSET(nombres[],0,0,ROWS(nombres[]),1)=AGH$1490,ROW(OFFSET(nombres[],0,0,ROWS(nombres[]),1))-ROW(OFFSET(nombres[],0,0,1,1))+1,ROW(OFFSET(nombres[],ROWS(nombres[])-1,0,1,1))+1),$O1552:$O1571),3),"")</f>
        <v/>
      </c>
      <c r="AGI1552" s="42" t="str">
        <f t="array" aca="1" ref="AGI1552" ca="1">IFERROR(INDEX(nombres[],SMALL(IF(OFFSET(nombres[],0,0,ROWS(nombres[]),1)=AGI$1490,ROW(OFFSET(nombres[],0,0,ROWS(nombres[]),1))-ROW(OFFSET(nombres[],0,0,1,1))+1,ROW(OFFSET(nombres[],ROWS(nombres[])-1,0,1,1))+1),$O1552:$O1571),3),"")</f>
        <v/>
      </c>
      <c r="AGJ1552" s="42" t="str">
        <f t="array" aca="1" ref="AGJ1552" ca="1">IFERROR(INDEX(nombres[],SMALL(IF(OFFSET(nombres[],0,0,ROWS(nombres[]),1)=AGJ$1490,ROW(OFFSET(nombres[],0,0,ROWS(nombres[]),1))-ROW(OFFSET(nombres[],0,0,1,1))+1,ROW(OFFSET(nombres[],ROWS(nombres[])-1,0,1,1))+1),$O1552:$O1571),3),"")</f>
        <v/>
      </c>
      <c r="AGK1552" s="42" t="str">
        <f t="array" aca="1" ref="AGK1552" ca="1">IFERROR(INDEX(nombres[],SMALL(IF(OFFSET(nombres[],0,0,ROWS(nombres[]),1)=AGK$1490,ROW(OFFSET(nombres[],0,0,ROWS(nombres[]),1))-ROW(OFFSET(nombres[],0,0,1,1))+1,ROW(OFFSET(nombres[],ROWS(nombres[])-1,0,1,1))+1),$O1552:$O1571),3),"")</f>
        <v/>
      </c>
      <c r="AGL1552" s="42" t="str">
        <f t="array" aca="1" ref="AGL1552" ca="1">IFERROR(INDEX(nombres[],SMALL(IF(OFFSET(nombres[],0,0,ROWS(nombres[]),1)=AGL$1490,ROW(OFFSET(nombres[],0,0,ROWS(nombres[]),1))-ROW(OFFSET(nombres[],0,0,1,1))+1,ROW(OFFSET(nombres[],ROWS(nombres[])-1,0,1,1))+1),$O1552:$O1571),3),"")</f>
        <v/>
      </c>
      <c r="AGM1552" s="42" t="str">
        <f t="array" aca="1" ref="AGM1552" ca="1">IFERROR(INDEX(nombres[],SMALL(IF(OFFSET(nombres[],0,0,ROWS(nombres[]),1)=AGM$1490,ROW(OFFSET(nombres[],0,0,ROWS(nombres[]),1))-ROW(OFFSET(nombres[],0,0,1,1))+1,ROW(OFFSET(nombres[],ROWS(nombres[])-1,0,1,1))+1),$O1552:$O1571),3),"")</f>
        <v/>
      </c>
      <c r="AGN1552" s="42" t="str">
        <f t="array" aca="1" ref="AGN1552" ca="1">IFERROR(INDEX(nombres[],SMALL(IF(OFFSET(nombres[],0,0,ROWS(nombres[]),1)=AGN$1490,ROW(OFFSET(nombres[],0,0,ROWS(nombres[]),1))-ROW(OFFSET(nombres[],0,0,1,1))+1,ROW(OFFSET(nombres[],ROWS(nombres[])-1,0,1,1))+1),$O1552:$O1571),3),"")</f>
        <v/>
      </c>
    </row>
    <row r="1553" spans="15:872" x14ac:dyDescent="0.25">
      <c r="O1553" s="42">
        <v>17</v>
      </c>
      <c r="P1553" s="42" t="str">
        <f t="array" aca="1" ref="P1553" ca="1">IFERROR(INDEX(nombres[],SMALL(IF(OFFSET(nombres[],0,0,ROWS(nombres[]),1)=P$1490,ROW(OFFSET(nombres[],0,0,ROWS(nombres[]),1))-ROW(OFFSET(nombres[],0,0,1,1))+1,ROW(OFFSET(nombres[],ROWS(nombres[])-1,0,1,1))+1),$O1553:$O1572),3),"")</f>
        <v/>
      </c>
      <c r="Q1553" s="42" t="str">
        <f t="array" aca="1" ref="Q1553" ca="1">IFERROR(INDEX(nombres[],SMALL(IF(OFFSET(nombres[],0,0,ROWS(nombres[]),1)=Q$1490,ROW(OFFSET(nombres[],0,0,ROWS(nombres[]),1))-ROW(OFFSET(nombres[],0,0,1,1))+1,ROW(OFFSET(nombres[],ROWS(nombres[])-1,0,1,1))+1),$O1553:$O1572),3),"")</f>
        <v/>
      </c>
      <c r="R1553" s="42" t="str">
        <f t="array" aca="1" ref="R1553" ca="1">IFERROR(INDEX(nombres[],SMALL(IF(OFFSET(nombres[],0,0,ROWS(nombres[]),1)=R$1490,ROW(OFFSET(nombres[],0,0,ROWS(nombres[]),1))-ROW(OFFSET(nombres[],0,0,1,1))+1,ROW(OFFSET(nombres[],ROWS(nombres[])-1,0,1,1))+1),$O1553:$O1572),3),"")</f>
        <v/>
      </c>
      <c r="S1553" s="42" t="str">
        <f t="array" aca="1" ref="S1553" ca="1">IFERROR(INDEX(nombres[],SMALL(IF(OFFSET(nombres[],0,0,ROWS(nombres[]),1)=S$1490,ROW(OFFSET(nombres[],0,0,ROWS(nombres[]),1))-ROW(OFFSET(nombres[],0,0,1,1))+1,ROW(OFFSET(nombres[],ROWS(nombres[])-1,0,1,1))+1),$O1553:$O1572),3),"")</f>
        <v/>
      </c>
      <c r="T1553" s="42" t="str">
        <f t="array" aca="1" ref="T1553" ca="1">IFERROR(INDEX(nombres[],SMALL(IF(OFFSET(nombres[],0,0,ROWS(nombres[]),1)=T$1490,ROW(OFFSET(nombres[],0,0,ROWS(nombres[]),1))-ROW(OFFSET(nombres[],0,0,1,1))+1,ROW(OFFSET(nombres[],ROWS(nombres[])-1,0,1,1))+1),$O1553:$O1572),3),"")</f>
        <v/>
      </c>
      <c r="U1553" s="42" t="str">
        <f t="array" aca="1" ref="U1553" ca="1">IFERROR(INDEX(nombres[],SMALL(IF(OFFSET(nombres[],0,0,ROWS(nombres[]),1)=U$1490,ROW(OFFSET(nombres[],0,0,ROWS(nombres[]),1))-ROW(OFFSET(nombres[],0,0,1,1))+1,ROW(OFFSET(nombres[],ROWS(nombres[])-1,0,1,1))+1),$O1553:$O1572),3),"")</f>
        <v/>
      </c>
      <c r="V1553" s="42" t="str">
        <f t="array" aca="1" ref="V1553" ca="1">IFERROR(INDEX(nombres[],SMALL(IF(OFFSET(nombres[],0,0,ROWS(nombres[]),1)=V$1490,ROW(OFFSET(nombres[],0,0,ROWS(nombres[]),1))-ROW(OFFSET(nombres[],0,0,1,1))+1,ROW(OFFSET(nombres[],ROWS(nombres[])-1,0,1,1))+1),$O1553:$O1572),3),"")</f>
        <v/>
      </c>
      <c r="W1553" s="42" t="str">
        <f t="array" aca="1" ref="W1553" ca="1">IFERROR(INDEX(nombres[],SMALL(IF(OFFSET(nombres[],0,0,ROWS(nombres[]),1)=W$1490,ROW(OFFSET(nombres[],0,0,ROWS(nombres[]),1))-ROW(OFFSET(nombres[],0,0,1,1))+1,ROW(OFFSET(nombres[],ROWS(nombres[])-1,0,1,1))+1),$O1553:$O1572),3),"")</f>
        <v/>
      </c>
      <c r="X1553" s="42" t="str">
        <f t="array" aca="1" ref="X1553" ca="1">IFERROR(INDEX(nombres[],SMALL(IF(OFFSET(nombres[],0,0,ROWS(nombres[]),1)=X$1490,ROW(OFFSET(nombres[],0,0,ROWS(nombres[]),1))-ROW(OFFSET(nombres[],0,0,1,1))+1,ROW(OFFSET(nombres[],ROWS(nombres[])-1,0,1,1))+1),$O1553:$O1572),3),"")</f>
        <v/>
      </c>
      <c r="Y1553" s="42" t="str">
        <f t="array" aca="1" ref="Y1553" ca="1">IFERROR(INDEX(nombres[],SMALL(IF(OFFSET(nombres[],0,0,ROWS(nombres[]),1)=Y$1490,ROW(OFFSET(nombres[],0,0,ROWS(nombres[]),1))-ROW(OFFSET(nombres[],0,0,1,1))+1,ROW(OFFSET(nombres[],ROWS(nombres[])-1,0,1,1))+1),$O1553:$O1572),3),"")</f>
        <v/>
      </c>
      <c r="Z1553" s="42" t="str">
        <f t="array" aca="1" ref="Z1553" ca="1">IFERROR(INDEX(nombres[],SMALL(IF(OFFSET(nombres[],0,0,ROWS(nombres[]),1)=Z$1490,ROW(OFFSET(nombres[],0,0,ROWS(nombres[]),1))-ROW(OFFSET(nombres[],0,0,1,1))+1,ROW(OFFSET(nombres[],ROWS(nombres[])-1,0,1,1))+1),$O1553:$O1572),3),"")</f>
        <v/>
      </c>
      <c r="AA1553" s="42" t="str">
        <f t="array" aca="1" ref="AA1553" ca="1">IFERROR(INDEX(nombres[],SMALL(IF(OFFSET(nombres[],0,0,ROWS(nombres[]),1)=AA$1490,ROW(OFFSET(nombres[],0,0,ROWS(nombres[]),1))-ROW(OFFSET(nombres[],0,0,1,1))+1,ROW(OFFSET(nombres[],ROWS(nombres[])-1,0,1,1))+1),$O1553:$O1572),3),"")</f>
        <v/>
      </c>
      <c r="AB1553" s="42" t="str">
        <f t="array" aca="1" ref="AB1553" ca="1">IFERROR(INDEX(nombres[],SMALL(IF(OFFSET(nombres[],0,0,ROWS(nombres[]),1)=AB$1490,ROW(OFFSET(nombres[],0,0,ROWS(nombres[]),1))-ROW(OFFSET(nombres[],0,0,1,1))+1,ROW(OFFSET(nombres[],ROWS(nombres[])-1,0,1,1))+1),$O1553:$O1572),3),"")</f>
        <v/>
      </c>
      <c r="AC1553" s="42" t="str">
        <f t="array" aca="1" ref="AC1553" ca="1">IFERROR(INDEX(nombres[],SMALL(IF(OFFSET(nombres[],0,0,ROWS(nombres[]),1)=AC$1490,ROW(OFFSET(nombres[],0,0,ROWS(nombres[]),1))-ROW(OFFSET(nombres[],0,0,1,1))+1,ROW(OFFSET(nombres[],ROWS(nombres[])-1,0,1,1))+1),$O1553:$O1572),3),"")</f>
        <v/>
      </c>
      <c r="AD1553" s="42" t="str">
        <f t="array" aca="1" ref="AD1553" ca="1">IFERROR(INDEX(nombres[],SMALL(IF(OFFSET(nombres[],0,0,ROWS(nombres[]),1)=AD$1490,ROW(OFFSET(nombres[],0,0,ROWS(nombres[]),1))-ROW(OFFSET(nombres[],0,0,1,1))+1,ROW(OFFSET(nombres[],ROWS(nombres[])-1,0,1,1))+1),$O1553:$O1572),3),"")</f>
        <v/>
      </c>
      <c r="AE1553" s="42" t="str">
        <f t="array" aca="1" ref="AE1553" ca="1">IFERROR(INDEX(nombres[],SMALL(IF(OFFSET(nombres[],0,0,ROWS(nombres[]),1)=AE$1490,ROW(OFFSET(nombres[],0,0,ROWS(nombres[]),1))-ROW(OFFSET(nombres[],0,0,1,1))+1,ROW(OFFSET(nombres[],ROWS(nombres[])-1,0,1,1))+1),$O1553:$O1572),3),"")</f>
        <v/>
      </c>
      <c r="AF1553" s="42" t="str">
        <f t="array" aca="1" ref="AF1553" ca="1">IFERROR(INDEX(nombres[],SMALL(IF(OFFSET(nombres[],0,0,ROWS(nombres[]),1)=AF$1490,ROW(OFFSET(nombres[],0,0,ROWS(nombres[]),1))-ROW(OFFSET(nombres[],0,0,1,1))+1,ROW(OFFSET(nombres[],ROWS(nombres[])-1,0,1,1))+1),$O1553:$O1572),3),"")</f>
        <v/>
      </c>
      <c r="AG1553" s="42" t="str">
        <f t="array" aca="1" ref="AG1553" ca="1">IFERROR(INDEX(nombres[],SMALL(IF(OFFSET(nombres[],0,0,ROWS(nombres[]),1)=AG$1490,ROW(OFFSET(nombres[],0,0,ROWS(nombres[]),1))-ROW(OFFSET(nombres[],0,0,1,1))+1,ROW(OFFSET(nombres[],ROWS(nombres[])-1,0,1,1))+1),$O1553:$O1572),3),"")</f>
        <v/>
      </c>
      <c r="AH1553" s="42" t="str">
        <f t="array" aca="1" ref="AH1553" ca="1">IFERROR(INDEX(nombres[],SMALL(IF(OFFSET(nombres[],0,0,ROWS(nombres[]),1)=AH$1490,ROW(OFFSET(nombres[],0,0,ROWS(nombres[]),1))-ROW(OFFSET(nombres[],0,0,1,1))+1,ROW(OFFSET(nombres[],ROWS(nombres[])-1,0,1,1))+1),$O1553:$O1572),3),"")</f>
        <v/>
      </c>
      <c r="AI1553" s="42" t="str">
        <f t="array" aca="1" ref="AI1553" ca="1">IFERROR(INDEX(nombres[],SMALL(IF(OFFSET(nombres[],0,0,ROWS(nombres[]),1)=AI$1490,ROW(OFFSET(nombres[],0,0,ROWS(nombres[]),1))-ROW(OFFSET(nombres[],0,0,1,1))+1,ROW(OFFSET(nombres[],ROWS(nombres[])-1,0,1,1))+1),$O1553:$O1572),3),"")</f>
        <v/>
      </c>
      <c r="AJ1553" s="42" t="str">
        <f t="array" aca="1" ref="AJ1553" ca="1">IFERROR(INDEX(nombres[],SMALL(IF(OFFSET(nombres[],0,0,ROWS(nombres[]),1)=AJ$1490,ROW(OFFSET(nombres[],0,0,ROWS(nombres[]),1))-ROW(OFFSET(nombres[],0,0,1,1))+1,ROW(OFFSET(nombres[],ROWS(nombres[])-1,0,1,1))+1),$O1553:$O1572),3),"")</f>
        <v/>
      </c>
      <c r="AK1553" s="42" t="str">
        <f t="array" aca="1" ref="AK1553" ca="1">IFERROR(INDEX(nombres[],SMALL(IF(OFFSET(nombres[],0,0,ROWS(nombres[]),1)=AK$1490,ROW(OFFSET(nombres[],0,0,ROWS(nombres[]),1))-ROW(OFFSET(nombres[],0,0,1,1))+1,ROW(OFFSET(nombres[],ROWS(nombres[])-1,0,1,1))+1),$O1553:$O1572),3),"")</f>
        <v/>
      </c>
      <c r="AL1553" s="42" t="str">
        <f t="array" aca="1" ref="AL1553" ca="1">IFERROR(INDEX(nombres[],SMALL(IF(OFFSET(nombres[],0,0,ROWS(nombres[]),1)=AL$1490,ROW(OFFSET(nombres[],0,0,ROWS(nombres[]),1))-ROW(OFFSET(nombres[],0,0,1,1))+1,ROW(OFFSET(nombres[],ROWS(nombres[])-1,0,1,1))+1),$O1553:$O1572),3),"")</f>
        <v/>
      </c>
      <c r="AM1553" s="42" t="str">
        <f t="array" aca="1" ref="AM1553" ca="1">IFERROR(INDEX(nombres[],SMALL(IF(OFFSET(nombres[],0,0,ROWS(nombres[]),1)=AM$1490,ROW(OFFSET(nombres[],0,0,ROWS(nombres[]),1))-ROW(OFFSET(nombres[],0,0,1,1))+1,ROW(OFFSET(nombres[],ROWS(nombres[])-1,0,1,1))+1),$O1553:$O1572),3),"")</f>
        <v/>
      </c>
      <c r="AN1553" s="42" t="str">
        <f t="array" aca="1" ref="AN1553" ca="1">IFERROR(INDEX(nombres[],SMALL(IF(OFFSET(nombres[],0,0,ROWS(nombres[]),1)=AN$1490,ROW(OFFSET(nombres[],0,0,ROWS(nombres[]),1))-ROW(OFFSET(nombres[],0,0,1,1))+1,ROW(OFFSET(nombres[],ROWS(nombres[])-1,0,1,1))+1),$O1553:$O1572),3),"")</f>
        <v/>
      </c>
      <c r="AO1553" s="42" t="str">
        <f t="array" aca="1" ref="AO1553" ca="1">IFERROR(INDEX(nombres[],SMALL(IF(OFFSET(nombres[],0,0,ROWS(nombres[]),1)=AO$1490,ROW(OFFSET(nombres[],0,0,ROWS(nombres[]),1))-ROW(OFFSET(nombres[],0,0,1,1))+1,ROW(OFFSET(nombres[],ROWS(nombres[])-1,0,1,1))+1),$O1553:$O1572),3),"")</f>
        <v/>
      </c>
      <c r="AP1553" s="42" t="str">
        <f t="array" aca="1" ref="AP1553" ca="1">IFERROR(INDEX(nombres[],SMALL(IF(OFFSET(nombres[],0,0,ROWS(nombres[]),1)=AP$1490,ROW(OFFSET(nombres[],0,0,ROWS(nombres[]),1))-ROW(OFFSET(nombres[],0,0,1,1))+1,ROW(OFFSET(nombres[],ROWS(nombres[])-1,0,1,1))+1),$O1553:$O1572),3),"")</f>
        <v/>
      </c>
      <c r="AQ1553" s="42" t="str">
        <f t="array" aca="1" ref="AQ1553" ca="1">IFERROR(INDEX(nombres[],SMALL(IF(OFFSET(nombres[],0,0,ROWS(nombres[]),1)=AQ$1490,ROW(OFFSET(nombres[],0,0,ROWS(nombres[]),1))-ROW(OFFSET(nombres[],0,0,1,1))+1,ROW(OFFSET(nombres[],ROWS(nombres[])-1,0,1,1))+1),$O1553:$O1572),3),"")</f>
        <v/>
      </c>
      <c r="AR1553" s="42" t="str">
        <f t="array" aca="1" ref="AR1553" ca="1">IFERROR(INDEX(nombres[],SMALL(IF(OFFSET(nombres[],0,0,ROWS(nombres[]),1)=AR$1490,ROW(OFFSET(nombres[],0,0,ROWS(nombres[]),1))-ROW(OFFSET(nombres[],0,0,1,1))+1,ROW(OFFSET(nombres[],ROWS(nombres[])-1,0,1,1))+1),$O1553:$O1572),3),"")</f>
        <v/>
      </c>
      <c r="AS1553" s="42" t="str">
        <f t="array" aca="1" ref="AS1553" ca="1">IFERROR(INDEX(nombres[],SMALL(IF(OFFSET(nombres[],0,0,ROWS(nombres[]),1)=AS$1490,ROW(OFFSET(nombres[],0,0,ROWS(nombres[]),1))-ROW(OFFSET(nombres[],0,0,1,1))+1,ROW(OFFSET(nombres[],ROWS(nombres[])-1,0,1,1))+1),$O1553:$O1572),3),"")</f>
        <v/>
      </c>
      <c r="AT1553" s="42" t="str">
        <f t="array" aca="1" ref="AT1553" ca="1">IFERROR(INDEX(nombres[],SMALL(IF(OFFSET(nombres[],0,0,ROWS(nombres[]),1)=AT$1490,ROW(OFFSET(nombres[],0,0,ROWS(nombres[]),1))-ROW(OFFSET(nombres[],0,0,1,1))+1,ROW(OFFSET(nombres[],ROWS(nombres[])-1,0,1,1))+1),$O1553:$O1572),3),"")</f>
        <v/>
      </c>
      <c r="AU1553" s="42" t="str">
        <f t="array" aca="1" ref="AU1553" ca="1">IFERROR(INDEX(nombres[],SMALL(IF(OFFSET(nombres[],0,0,ROWS(nombres[]),1)=AU$1490,ROW(OFFSET(nombres[],0,0,ROWS(nombres[]),1))-ROW(OFFSET(nombres[],0,0,1,1))+1,ROW(OFFSET(nombres[],ROWS(nombres[])-1,0,1,1))+1),$O1553:$O1572),3),"")</f>
        <v/>
      </c>
      <c r="AV1553" s="42" t="str">
        <f t="array" aca="1" ref="AV1553" ca="1">IFERROR(INDEX(nombres[],SMALL(IF(OFFSET(nombres[],0,0,ROWS(nombres[]),1)=AV$1490,ROW(OFFSET(nombres[],0,0,ROWS(nombres[]),1))-ROW(OFFSET(nombres[],0,0,1,1))+1,ROW(OFFSET(nombres[],ROWS(nombres[])-1,0,1,1))+1),$O1553:$O1572),3),"")</f>
        <v/>
      </c>
      <c r="AW1553" s="42" t="str">
        <f t="array" aca="1" ref="AW1553" ca="1">IFERROR(INDEX(nombres[],SMALL(IF(OFFSET(nombres[],0,0,ROWS(nombres[]),1)=AW$1490,ROW(OFFSET(nombres[],0,0,ROWS(nombres[]),1))-ROW(OFFSET(nombres[],0,0,1,1))+1,ROW(OFFSET(nombres[],ROWS(nombres[])-1,0,1,1))+1),$O1553:$O1572),3),"")</f>
        <v/>
      </c>
      <c r="AX1553" s="42" t="str">
        <f t="array" aca="1" ref="AX1553" ca="1">IFERROR(INDEX(nombres[],SMALL(IF(OFFSET(nombres[],0,0,ROWS(nombres[]),1)=AX$1490,ROW(OFFSET(nombres[],0,0,ROWS(nombres[]),1))-ROW(OFFSET(nombres[],0,0,1,1))+1,ROW(OFFSET(nombres[],ROWS(nombres[])-1,0,1,1))+1),$O1553:$O1572),3),"")</f>
        <v/>
      </c>
      <c r="AY1553" s="42" t="str">
        <f t="array" aca="1" ref="AY1553" ca="1">IFERROR(INDEX(nombres[],SMALL(IF(OFFSET(nombres[],0,0,ROWS(nombres[]),1)=AY$1490,ROW(OFFSET(nombres[],0,0,ROWS(nombres[]),1))-ROW(OFFSET(nombres[],0,0,1,1))+1,ROW(OFFSET(nombres[],ROWS(nombres[])-1,0,1,1))+1),$O1553:$O1572),3),"")</f>
        <v/>
      </c>
      <c r="AZ1553" s="42" t="str">
        <f t="array" aca="1" ref="AZ1553" ca="1">IFERROR(INDEX(nombres[],SMALL(IF(OFFSET(nombres[],0,0,ROWS(nombres[]),1)=AZ$1490,ROW(OFFSET(nombres[],0,0,ROWS(nombres[]),1))-ROW(OFFSET(nombres[],0,0,1,1))+1,ROW(OFFSET(nombres[],ROWS(nombres[])-1,0,1,1))+1),$O1553:$O1572),3),"")</f>
        <v/>
      </c>
      <c r="BA1553" s="42" t="str">
        <f t="array" aca="1" ref="BA1553" ca="1">IFERROR(INDEX(nombres[],SMALL(IF(OFFSET(nombres[],0,0,ROWS(nombres[]),1)=BA$1490,ROW(OFFSET(nombres[],0,0,ROWS(nombres[]),1))-ROW(OFFSET(nombres[],0,0,1,1))+1,ROW(OFFSET(nombres[],ROWS(nombres[])-1,0,1,1))+1),$O1553:$O1572),3),"")</f>
        <v/>
      </c>
      <c r="BB1553" s="42" t="str">
        <f t="array" aca="1" ref="BB1553" ca="1">IFERROR(INDEX(nombres[],SMALL(IF(OFFSET(nombres[],0,0,ROWS(nombres[]),1)=BB$1490,ROW(OFFSET(nombres[],0,0,ROWS(nombres[]),1))-ROW(OFFSET(nombres[],0,0,1,1))+1,ROW(OFFSET(nombres[],ROWS(nombres[])-1,0,1,1))+1),$O1553:$O1572),3),"")</f>
        <v/>
      </c>
      <c r="BC1553" s="42" t="str">
        <f t="array" aca="1" ref="BC1553" ca="1">IFERROR(INDEX(nombres[],SMALL(IF(OFFSET(nombres[],0,0,ROWS(nombres[]),1)=BC$1490,ROW(OFFSET(nombres[],0,0,ROWS(nombres[]),1))-ROW(OFFSET(nombres[],0,0,1,1))+1,ROW(OFFSET(nombres[],ROWS(nombres[])-1,0,1,1))+1),$O1553:$O1572),3),"")</f>
        <v/>
      </c>
      <c r="BD1553" s="42" t="str">
        <f t="array" aca="1" ref="BD1553" ca="1">IFERROR(INDEX(nombres[],SMALL(IF(OFFSET(nombres[],0,0,ROWS(nombres[]),1)=BD$1490,ROW(OFFSET(nombres[],0,0,ROWS(nombres[]),1))-ROW(OFFSET(nombres[],0,0,1,1))+1,ROW(OFFSET(nombres[],ROWS(nombres[])-1,0,1,1))+1),$O1553:$O1572),3),"")</f>
        <v/>
      </c>
      <c r="BE1553" s="42" t="str">
        <f t="array" aca="1" ref="BE1553" ca="1">IFERROR(INDEX(nombres[],SMALL(IF(OFFSET(nombres[],0,0,ROWS(nombres[]),1)=BE$1490,ROW(OFFSET(nombres[],0,0,ROWS(nombres[]),1))-ROW(OFFSET(nombres[],0,0,1,1))+1,ROW(OFFSET(nombres[],ROWS(nombres[])-1,0,1,1))+1),$O1553:$O1572),3),"")</f>
        <v/>
      </c>
      <c r="BF1553" s="42" t="str">
        <f t="array" aca="1" ref="BF1553" ca="1">IFERROR(INDEX(nombres[],SMALL(IF(OFFSET(nombres[],0,0,ROWS(nombres[]),1)=BF$1490,ROW(OFFSET(nombres[],0,0,ROWS(nombres[]),1))-ROW(OFFSET(nombres[],0,0,1,1))+1,ROW(OFFSET(nombres[],ROWS(nombres[])-1,0,1,1))+1),$O1553:$O1572),3),"")</f>
        <v/>
      </c>
      <c r="BG1553" s="42" t="str">
        <f t="array" aca="1" ref="BG1553" ca="1">IFERROR(INDEX(nombres[],SMALL(IF(OFFSET(nombres[],0,0,ROWS(nombres[]),1)=BG$1490,ROW(OFFSET(nombres[],0,0,ROWS(nombres[]),1))-ROW(OFFSET(nombres[],0,0,1,1))+1,ROW(OFFSET(nombres[],ROWS(nombres[])-1,0,1,1))+1),$O1553:$O1572),3),"")</f>
        <v/>
      </c>
      <c r="BH1553" s="42" t="str">
        <f t="array" aca="1" ref="BH1553" ca="1">IFERROR(INDEX(nombres[],SMALL(IF(OFFSET(nombres[],0,0,ROWS(nombres[]),1)=BH$1490,ROW(OFFSET(nombres[],0,0,ROWS(nombres[]),1))-ROW(OFFSET(nombres[],0,0,1,1))+1,ROW(OFFSET(nombres[],ROWS(nombres[])-1,0,1,1))+1),$O1553:$O1572),3),"")</f>
        <v/>
      </c>
      <c r="BI1553" s="42" t="str">
        <f t="array" aca="1" ref="BI1553" ca="1">IFERROR(INDEX(nombres[],SMALL(IF(OFFSET(nombres[],0,0,ROWS(nombres[]),1)=BI$1490,ROW(OFFSET(nombres[],0,0,ROWS(nombres[]),1))-ROW(OFFSET(nombres[],0,0,1,1))+1,ROW(OFFSET(nombres[],ROWS(nombres[])-1,0,1,1))+1),$O1553:$O1572),3),"")</f>
        <v/>
      </c>
      <c r="BJ1553" s="42" t="str">
        <f t="array" aca="1" ref="BJ1553" ca="1">IFERROR(INDEX(nombres[],SMALL(IF(OFFSET(nombres[],0,0,ROWS(nombres[]),1)=BJ$1490,ROW(OFFSET(nombres[],0,0,ROWS(nombres[]),1))-ROW(OFFSET(nombres[],0,0,1,1))+1,ROW(OFFSET(nombres[],ROWS(nombres[])-1,0,1,1))+1),$O1553:$O1572),3),"")</f>
        <v/>
      </c>
      <c r="BK1553" s="42" t="str">
        <f t="array" aca="1" ref="BK1553" ca="1">IFERROR(INDEX(nombres[],SMALL(IF(OFFSET(nombres[],0,0,ROWS(nombres[]),1)=BK$1490,ROW(OFFSET(nombres[],0,0,ROWS(nombres[]),1))-ROW(OFFSET(nombres[],0,0,1,1))+1,ROW(OFFSET(nombres[],ROWS(nombres[])-1,0,1,1))+1),$O1553:$O1572),3),"")</f>
        <v/>
      </c>
      <c r="BL1553" s="42" t="str">
        <f t="array" aca="1" ref="BL1553" ca="1">IFERROR(INDEX(nombres[],SMALL(IF(OFFSET(nombres[],0,0,ROWS(nombres[]),1)=BL$1490,ROW(OFFSET(nombres[],0,0,ROWS(nombres[]),1))-ROW(OFFSET(nombres[],0,0,1,1))+1,ROW(OFFSET(nombres[],ROWS(nombres[])-1,0,1,1))+1),$O1553:$O1572),3),"")</f>
        <v/>
      </c>
      <c r="BM1553" s="42" t="str">
        <f t="array" aca="1" ref="BM1553" ca="1">IFERROR(INDEX(nombres[],SMALL(IF(OFFSET(nombres[],0,0,ROWS(nombres[]),1)=BM$1490,ROW(OFFSET(nombres[],0,0,ROWS(nombres[]),1))-ROW(OFFSET(nombres[],0,0,1,1))+1,ROW(OFFSET(nombres[],ROWS(nombres[])-1,0,1,1))+1),$O1553:$O1572),3),"")</f>
        <v/>
      </c>
      <c r="BN1553" s="42" t="str">
        <f t="array" aca="1" ref="BN1553" ca="1">IFERROR(INDEX(nombres[],SMALL(IF(OFFSET(nombres[],0,0,ROWS(nombres[]),1)=BN$1490,ROW(OFFSET(nombres[],0,0,ROWS(nombres[]),1))-ROW(OFFSET(nombres[],0,0,1,1))+1,ROW(OFFSET(nombres[],ROWS(nombres[])-1,0,1,1))+1),$O1553:$O1572),3),"")</f>
        <v/>
      </c>
      <c r="BO1553" s="42" t="str">
        <f t="array" aca="1" ref="BO1553" ca="1">IFERROR(INDEX(nombres[],SMALL(IF(OFFSET(nombres[],0,0,ROWS(nombres[]),1)=BO$1490,ROW(OFFSET(nombres[],0,0,ROWS(nombres[]),1))-ROW(OFFSET(nombres[],0,0,1,1))+1,ROW(OFFSET(nombres[],ROWS(nombres[])-1,0,1,1))+1),$O1553:$O1572),3),"")</f>
        <v/>
      </c>
      <c r="BP1553" s="42" t="str">
        <f t="array" aca="1" ref="BP1553" ca="1">IFERROR(INDEX(nombres[],SMALL(IF(OFFSET(nombres[],0,0,ROWS(nombres[]),1)=BP$1490,ROW(OFFSET(nombres[],0,0,ROWS(nombres[]),1))-ROW(OFFSET(nombres[],0,0,1,1))+1,ROW(OFFSET(nombres[],ROWS(nombres[])-1,0,1,1))+1),$O1553:$O1572),3),"")</f>
        <v/>
      </c>
      <c r="BQ1553" s="42" t="str">
        <f t="array" aca="1" ref="BQ1553" ca="1">IFERROR(INDEX(nombres[],SMALL(IF(OFFSET(nombres[],0,0,ROWS(nombres[]),1)=BQ$1490,ROW(OFFSET(nombres[],0,0,ROWS(nombres[]),1))-ROW(OFFSET(nombres[],0,0,1,1))+1,ROW(OFFSET(nombres[],ROWS(nombres[])-1,0,1,1))+1),$O1553:$O1572),3),"")</f>
        <v/>
      </c>
      <c r="BR1553" s="42" t="str">
        <f t="array" aca="1" ref="BR1553" ca="1">IFERROR(INDEX(nombres[],SMALL(IF(OFFSET(nombres[],0,0,ROWS(nombres[]),1)=BR$1490,ROW(OFFSET(nombres[],0,0,ROWS(nombres[]),1))-ROW(OFFSET(nombres[],0,0,1,1))+1,ROW(OFFSET(nombres[],ROWS(nombres[])-1,0,1,1))+1),$O1553:$O1572),3),"")</f>
        <v/>
      </c>
      <c r="BS1553" s="42" t="str">
        <f t="array" aca="1" ref="BS1553" ca="1">IFERROR(INDEX(nombres[],SMALL(IF(OFFSET(nombres[],0,0,ROWS(nombres[]),1)=BS$1490,ROW(OFFSET(nombres[],0,0,ROWS(nombres[]),1))-ROW(OFFSET(nombres[],0,0,1,1))+1,ROW(OFFSET(nombres[],ROWS(nombres[])-1,0,1,1))+1),$O1553:$O1572),3),"")</f>
        <v/>
      </c>
      <c r="BT1553" s="42" t="str">
        <f t="array" aca="1" ref="BT1553" ca="1">IFERROR(INDEX(nombres[],SMALL(IF(OFFSET(nombres[],0,0,ROWS(nombres[]),1)=BT$1490,ROW(OFFSET(nombres[],0,0,ROWS(nombres[]),1))-ROW(OFFSET(nombres[],0,0,1,1))+1,ROW(OFFSET(nombres[],ROWS(nombres[])-1,0,1,1))+1),$O1553:$O1572),3),"")</f>
        <v/>
      </c>
      <c r="BU1553" s="42" t="str">
        <f t="array" aca="1" ref="BU1553" ca="1">IFERROR(INDEX(nombres[],SMALL(IF(OFFSET(nombres[],0,0,ROWS(nombres[]),1)=BU$1490,ROW(OFFSET(nombres[],0,0,ROWS(nombres[]),1))-ROW(OFFSET(nombres[],0,0,1,1))+1,ROW(OFFSET(nombres[],ROWS(nombres[])-1,0,1,1))+1),$O1553:$O1572),3),"")</f>
        <v/>
      </c>
      <c r="BV1553" s="42" t="str">
        <f t="array" aca="1" ref="BV1553" ca="1">IFERROR(INDEX(nombres[],SMALL(IF(OFFSET(nombres[],0,0,ROWS(nombres[]),1)=BV$1490,ROW(OFFSET(nombres[],0,0,ROWS(nombres[]),1))-ROW(OFFSET(nombres[],0,0,1,1))+1,ROW(OFFSET(nombres[],ROWS(nombres[])-1,0,1,1))+1),$O1553:$O1572),3),"")</f>
        <v/>
      </c>
      <c r="BW1553" s="42" t="str">
        <f t="array" aca="1" ref="BW1553" ca="1">IFERROR(INDEX(nombres[],SMALL(IF(OFFSET(nombres[],0,0,ROWS(nombres[]),1)=BW$1490,ROW(OFFSET(nombres[],0,0,ROWS(nombres[]),1))-ROW(OFFSET(nombres[],0,0,1,1))+1,ROW(OFFSET(nombres[],ROWS(nombres[])-1,0,1,1))+1),$O1553:$O1572),3),"")</f>
        <v/>
      </c>
      <c r="BX1553" s="42" t="str">
        <f t="array" aca="1" ref="BX1553" ca="1">IFERROR(INDEX(nombres[],SMALL(IF(OFFSET(nombres[],0,0,ROWS(nombres[]),1)=BX$1490,ROW(OFFSET(nombres[],0,0,ROWS(nombres[]),1))-ROW(OFFSET(nombres[],0,0,1,1))+1,ROW(OFFSET(nombres[],ROWS(nombres[])-1,0,1,1))+1),$O1553:$O1572),3),"")</f>
        <v/>
      </c>
      <c r="BY1553" s="42" t="str">
        <f t="array" aca="1" ref="BY1553" ca="1">IFERROR(INDEX(nombres[],SMALL(IF(OFFSET(nombres[],0,0,ROWS(nombres[]),1)=BY$1490,ROW(OFFSET(nombres[],0,0,ROWS(nombres[]),1))-ROW(OFFSET(nombres[],0,0,1,1))+1,ROW(OFFSET(nombres[],ROWS(nombres[])-1,0,1,1))+1),$O1553:$O1572),3),"")</f>
        <v/>
      </c>
      <c r="BZ1553" s="42" t="str">
        <f t="array" aca="1" ref="BZ1553" ca="1">IFERROR(INDEX(nombres[],SMALL(IF(OFFSET(nombres[],0,0,ROWS(nombres[]),1)=BZ$1490,ROW(OFFSET(nombres[],0,0,ROWS(nombres[]),1))-ROW(OFFSET(nombres[],0,0,1,1))+1,ROW(OFFSET(nombres[],ROWS(nombres[])-1,0,1,1))+1),$O1553:$O1572),3),"")</f>
        <v/>
      </c>
      <c r="CA1553" s="42" t="str">
        <f t="array" aca="1" ref="CA1553" ca="1">IFERROR(INDEX(nombres[],SMALL(IF(OFFSET(nombres[],0,0,ROWS(nombres[]),1)=CA$1490,ROW(OFFSET(nombres[],0,0,ROWS(nombres[]),1))-ROW(OFFSET(nombres[],0,0,1,1))+1,ROW(OFFSET(nombres[],ROWS(nombres[])-1,0,1,1))+1),$O1553:$O1572),3),"")</f>
        <v/>
      </c>
      <c r="CB1553" s="42" t="str">
        <f t="array" aca="1" ref="CB1553" ca="1">IFERROR(INDEX(nombres[],SMALL(IF(OFFSET(nombres[],0,0,ROWS(nombres[]),1)=CB$1490,ROW(OFFSET(nombres[],0,0,ROWS(nombres[]),1))-ROW(OFFSET(nombres[],0,0,1,1))+1,ROW(OFFSET(nombres[],ROWS(nombres[])-1,0,1,1))+1),$O1553:$O1572),3),"")</f>
        <v/>
      </c>
      <c r="CC1553" s="42" t="str">
        <f t="array" aca="1" ref="CC1553" ca="1">IFERROR(INDEX(nombres[],SMALL(IF(OFFSET(nombres[],0,0,ROWS(nombres[]),1)=CC$1490,ROW(OFFSET(nombres[],0,0,ROWS(nombres[]),1))-ROW(OFFSET(nombres[],0,0,1,1))+1,ROW(OFFSET(nombres[],ROWS(nombres[])-1,0,1,1))+1),$O1553:$O1572),3),"")</f>
        <v/>
      </c>
      <c r="CD1553" s="42" t="str">
        <f t="array" aca="1" ref="CD1553" ca="1">IFERROR(INDEX(nombres[],SMALL(IF(OFFSET(nombres[],0,0,ROWS(nombres[]),1)=CD$1490,ROW(OFFSET(nombres[],0,0,ROWS(nombres[]),1))-ROW(OFFSET(nombres[],0,0,1,1))+1,ROW(OFFSET(nombres[],ROWS(nombres[])-1,0,1,1))+1),$O1553:$O1572),3),"")</f>
        <v/>
      </c>
      <c r="CE1553" s="42" t="str">
        <f t="array" aca="1" ref="CE1553" ca="1">IFERROR(INDEX(nombres[],SMALL(IF(OFFSET(nombres[],0,0,ROWS(nombres[]),1)=CE$1490,ROW(OFFSET(nombres[],0,0,ROWS(nombres[]),1))-ROW(OFFSET(nombres[],0,0,1,1))+1,ROW(OFFSET(nombres[],ROWS(nombres[])-1,0,1,1))+1),$O1553:$O1572),3),"")</f>
        <v/>
      </c>
      <c r="CF1553" s="42" t="str">
        <f t="array" aca="1" ref="CF1553" ca="1">IFERROR(INDEX(nombres[],SMALL(IF(OFFSET(nombres[],0,0,ROWS(nombres[]),1)=CF$1490,ROW(OFFSET(nombres[],0,0,ROWS(nombres[]),1))-ROW(OFFSET(nombres[],0,0,1,1))+1,ROW(OFFSET(nombres[],ROWS(nombres[])-1,0,1,1))+1),$O1553:$O1572),3),"")</f>
        <v/>
      </c>
      <c r="CG1553" s="42" t="str">
        <f t="array" aca="1" ref="CG1553" ca="1">IFERROR(INDEX(nombres[],SMALL(IF(OFFSET(nombres[],0,0,ROWS(nombres[]),1)=CG$1490,ROW(OFFSET(nombres[],0,0,ROWS(nombres[]),1))-ROW(OFFSET(nombres[],0,0,1,1))+1,ROW(OFFSET(nombres[],ROWS(nombres[])-1,0,1,1))+1),$O1553:$O1572),3),"")</f>
        <v/>
      </c>
      <c r="CH1553" s="42" t="str">
        <f t="array" aca="1" ref="CH1553" ca="1">IFERROR(INDEX(nombres[],SMALL(IF(OFFSET(nombres[],0,0,ROWS(nombres[]),1)=CH$1490,ROW(OFFSET(nombres[],0,0,ROWS(nombres[]),1))-ROW(OFFSET(nombres[],0,0,1,1))+1,ROW(OFFSET(nombres[],ROWS(nombres[])-1,0,1,1))+1),$O1553:$O1572),3),"")</f>
        <v/>
      </c>
      <c r="CI1553" s="42" t="str">
        <f t="array" aca="1" ref="CI1553" ca="1">IFERROR(INDEX(nombres[],SMALL(IF(OFFSET(nombres[],0,0,ROWS(nombres[]),1)=CI$1490,ROW(OFFSET(nombres[],0,0,ROWS(nombres[]),1))-ROW(OFFSET(nombres[],0,0,1,1))+1,ROW(OFFSET(nombres[],ROWS(nombres[])-1,0,1,1))+1),$O1553:$O1572),3),"")</f>
        <v/>
      </c>
      <c r="CJ1553" s="42" t="str">
        <f t="array" aca="1" ref="CJ1553" ca="1">IFERROR(INDEX(nombres[],SMALL(IF(OFFSET(nombres[],0,0,ROWS(nombres[]),1)=CJ$1490,ROW(OFFSET(nombres[],0,0,ROWS(nombres[]),1))-ROW(OFFSET(nombres[],0,0,1,1))+1,ROW(OFFSET(nombres[],ROWS(nombres[])-1,0,1,1))+1),$O1553:$O1572),3),"")</f>
        <v/>
      </c>
      <c r="CK1553" s="42" t="str">
        <f t="array" aca="1" ref="CK1553" ca="1">IFERROR(INDEX(nombres[],SMALL(IF(OFFSET(nombres[],0,0,ROWS(nombres[]),1)=CK$1490,ROW(OFFSET(nombres[],0,0,ROWS(nombres[]),1))-ROW(OFFSET(nombres[],0,0,1,1))+1,ROW(OFFSET(nombres[],ROWS(nombres[])-1,0,1,1))+1),$O1553:$O1572),3),"")</f>
        <v/>
      </c>
      <c r="CL1553" s="42" t="str">
        <f t="array" aca="1" ref="CL1553" ca="1">IFERROR(INDEX(nombres[],SMALL(IF(OFFSET(nombres[],0,0,ROWS(nombres[]),1)=CL$1490,ROW(OFFSET(nombres[],0,0,ROWS(nombres[]),1))-ROW(OFFSET(nombres[],0,0,1,1))+1,ROW(OFFSET(nombres[],ROWS(nombres[])-1,0,1,1))+1),$O1553:$O1572),3),"")</f>
        <v/>
      </c>
      <c r="CM1553" s="42" t="str">
        <f t="array" aca="1" ref="CM1553" ca="1">IFERROR(INDEX(nombres[],SMALL(IF(OFFSET(nombres[],0,0,ROWS(nombres[]),1)=CM$1490,ROW(OFFSET(nombres[],0,0,ROWS(nombres[]),1))-ROW(OFFSET(nombres[],0,0,1,1))+1,ROW(OFFSET(nombres[],ROWS(nombres[])-1,0,1,1))+1),$O1553:$O1572),3),"")</f>
        <v/>
      </c>
      <c r="CN1553" s="42" t="str">
        <f t="array" aca="1" ref="CN1553" ca="1">IFERROR(INDEX(nombres[],SMALL(IF(OFFSET(nombres[],0,0,ROWS(nombres[]),1)=CN$1490,ROW(OFFSET(nombres[],0,0,ROWS(nombres[]),1))-ROW(OFFSET(nombres[],0,0,1,1))+1,ROW(OFFSET(nombres[],ROWS(nombres[])-1,0,1,1))+1),$O1553:$O1572),3),"")</f>
        <v/>
      </c>
      <c r="CO1553" s="42" t="str">
        <f t="array" aca="1" ref="CO1553" ca="1">IFERROR(INDEX(nombres[],SMALL(IF(OFFSET(nombres[],0,0,ROWS(nombres[]),1)=CO$1490,ROW(OFFSET(nombres[],0,0,ROWS(nombres[]),1))-ROW(OFFSET(nombres[],0,0,1,1))+1,ROW(OFFSET(nombres[],ROWS(nombres[])-1,0,1,1))+1),$O1553:$O1572),3),"")</f>
        <v/>
      </c>
      <c r="CP1553" s="42" t="str">
        <f t="array" aca="1" ref="CP1553" ca="1">IFERROR(INDEX(nombres[],SMALL(IF(OFFSET(nombres[],0,0,ROWS(nombres[]),1)=CP$1490,ROW(OFFSET(nombres[],0,0,ROWS(nombres[]),1))-ROW(OFFSET(nombres[],0,0,1,1))+1,ROW(OFFSET(nombres[],ROWS(nombres[])-1,0,1,1))+1),$O1553:$O1572),3),"")</f>
        <v/>
      </c>
      <c r="CQ1553" s="42" t="str">
        <f t="array" aca="1" ref="CQ1553" ca="1">IFERROR(INDEX(nombres[],SMALL(IF(OFFSET(nombres[],0,0,ROWS(nombres[]),1)=CQ$1490,ROW(OFFSET(nombres[],0,0,ROWS(nombres[]),1))-ROW(OFFSET(nombres[],0,0,1,1))+1,ROW(OFFSET(nombres[],ROWS(nombres[])-1,0,1,1))+1),$O1553:$O1572),3),"")</f>
        <v/>
      </c>
      <c r="CR1553" s="42" t="str">
        <f t="array" aca="1" ref="CR1553" ca="1">IFERROR(INDEX(nombres[],SMALL(IF(OFFSET(nombres[],0,0,ROWS(nombres[]),1)=CR$1490,ROW(OFFSET(nombres[],0,0,ROWS(nombres[]),1))-ROW(OFFSET(nombres[],0,0,1,1))+1,ROW(OFFSET(nombres[],ROWS(nombres[])-1,0,1,1))+1),$O1553:$O1572),3),"")</f>
        <v/>
      </c>
      <c r="CS1553" s="42" t="str">
        <f t="array" aca="1" ref="CS1553" ca="1">IFERROR(INDEX(nombres[],SMALL(IF(OFFSET(nombres[],0,0,ROWS(nombres[]),1)=CS$1490,ROW(OFFSET(nombres[],0,0,ROWS(nombres[]),1))-ROW(OFFSET(nombres[],0,0,1,1))+1,ROW(OFFSET(nombres[],ROWS(nombres[])-1,0,1,1))+1),$O1553:$O1572),3),"")</f>
        <v/>
      </c>
      <c r="CT1553" s="42" t="str">
        <f t="array" aca="1" ref="CT1553" ca="1">IFERROR(INDEX(nombres[],SMALL(IF(OFFSET(nombres[],0,0,ROWS(nombres[]),1)=CT$1490,ROW(OFFSET(nombres[],0,0,ROWS(nombres[]),1))-ROW(OFFSET(nombres[],0,0,1,1))+1,ROW(OFFSET(nombres[],ROWS(nombres[])-1,0,1,1))+1),$O1553:$O1572),3),"")</f>
        <v/>
      </c>
      <c r="CU1553" s="42" t="str">
        <f t="array" aca="1" ref="CU1553" ca="1">IFERROR(INDEX(nombres[],SMALL(IF(OFFSET(nombres[],0,0,ROWS(nombres[]),1)=CU$1490,ROW(OFFSET(nombres[],0,0,ROWS(nombres[]),1))-ROW(OFFSET(nombres[],0,0,1,1))+1,ROW(OFFSET(nombres[],ROWS(nombres[])-1,0,1,1))+1),$O1553:$O1572),3),"")</f>
        <v/>
      </c>
      <c r="CV1553" s="42" t="str">
        <f t="array" aca="1" ref="CV1553" ca="1">IFERROR(INDEX(nombres[],SMALL(IF(OFFSET(nombres[],0,0,ROWS(nombres[]),1)=CV$1490,ROW(OFFSET(nombres[],0,0,ROWS(nombres[]),1))-ROW(OFFSET(nombres[],0,0,1,1))+1,ROW(OFFSET(nombres[],ROWS(nombres[])-1,0,1,1))+1),$O1553:$O1572),3),"")</f>
        <v/>
      </c>
      <c r="CW1553" s="42" t="str">
        <f t="array" aca="1" ref="CW1553" ca="1">IFERROR(INDEX(nombres[],SMALL(IF(OFFSET(nombres[],0,0,ROWS(nombres[]),1)=CW$1490,ROW(OFFSET(nombres[],0,0,ROWS(nombres[]),1))-ROW(OFFSET(nombres[],0,0,1,1))+1,ROW(OFFSET(nombres[],ROWS(nombres[])-1,0,1,1))+1),$O1553:$O1572),3),"")</f>
        <v/>
      </c>
      <c r="CX1553" s="42" t="str">
        <f t="array" aca="1" ref="CX1553" ca="1">IFERROR(INDEX(nombres[],SMALL(IF(OFFSET(nombres[],0,0,ROWS(nombres[]),1)=CX$1490,ROW(OFFSET(nombres[],0,0,ROWS(nombres[]),1))-ROW(OFFSET(nombres[],0,0,1,1))+1,ROW(OFFSET(nombres[],ROWS(nombres[])-1,0,1,1))+1),$O1553:$O1572),3),"")</f>
        <v/>
      </c>
      <c r="CY1553" s="42" t="str">
        <f t="array" aca="1" ref="CY1553" ca="1">IFERROR(INDEX(nombres[],SMALL(IF(OFFSET(nombres[],0,0,ROWS(nombres[]),1)=CY$1490,ROW(OFFSET(nombres[],0,0,ROWS(nombres[]),1))-ROW(OFFSET(nombres[],0,0,1,1))+1,ROW(OFFSET(nombres[],ROWS(nombres[])-1,0,1,1))+1),$O1553:$O1572),3),"")</f>
        <v/>
      </c>
      <c r="CZ1553" s="42" t="str">
        <f t="array" aca="1" ref="CZ1553" ca="1">IFERROR(INDEX(nombres[],SMALL(IF(OFFSET(nombres[],0,0,ROWS(nombres[]),1)=CZ$1490,ROW(OFFSET(nombres[],0,0,ROWS(nombres[]),1))-ROW(OFFSET(nombres[],0,0,1,1))+1,ROW(OFFSET(nombres[],ROWS(nombres[])-1,0,1,1))+1),$O1553:$O1572),3),"")</f>
        <v/>
      </c>
      <c r="DA1553" s="42" t="str">
        <f t="array" aca="1" ref="DA1553" ca="1">IFERROR(INDEX(nombres[],SMALL(IF(OFFSET(nombres[],0,0,ROWS(nombres[]),1)=DA$1490,ROW(OFFSET(nombres[],0,0,ROWS(nombres[]),1))-ROW(OFFSET(nombres[],0,0,1,1))+1,ROW(OFFSET(nombres[],ROWS(nombres[])-1,0,1,1))+1),$O1553:$O1572),3),"")</f>
        <v/>
      </c>
      <c r="DB1553" s="42" t="str">
        <f t="array" aca="1" ref="DB1553" ca="1">IFERROR(INDEX(nombres[],SMALL(IF(OFFSET(nombres[],0,0,ROWS(nombres[]),1)=DB$1490,ROW(OFFSET(nombres[],0,0,ROWS(nombres[]),1))-ROW(OFFSET(nombres[],0,0,1,1))+1,ROW(OFFSET(nombres[],ROWS(nombres[])-1,0,1,1))+1),$O1553:$O1572),3),"")</f>
        <v/>
      </c>
      <c r="DC1553" s="42" t="str">
        <f t="array" aca="1" ref="DC1553" ca="1">IFERROR(INDEX(nombres[],SMALL(IF(OFFSET(nombres[],0,0,ROWS(nombres[]),1)=DC$1490,ROW(OFFSET(nombres[],0,0,ROWS(nombres[]),1))-ROW(OFFSET(nombres[],0,0,1,1))+1,ROW(OFFSET(nombres[],ROWS(nombres[])-1,0,1,1))+1),$O1553:$O1572),3),"")</f>
        <v/>
      </c>
      <c r="DD1553" s="42" t="str">
        <f t="array" aca="1" ref="DD1553" ca="1">IFERROR(INDEX(nombres[],SMALL(IF(OFFSET(nombres[],0,0,ROWS(nombres[]),1)=DD$1490,ROW(OFFSET(nombres[],0,0,ROWS(nombres[]),1))-ROW(OFFSET(nombres[],0,0,1,1))+1,ROW(OFFSET(nombres[],ROWS(nombres[])-1,0,1,1))+1),$O1553:$O1572),3),"")</f>
        <v/>
      </c>
      <c r="DE1553" s="42" t="str">
        <f t="array" aca="1" ref="DE1553" ca="1">IFERROR(INDEX(nombres[],SMALL(IF(OFFSET(nombres[],0,0,ROWS(nombres[]),1)=DE$1490,ROW(OFFSET(nombres[],0,0,ROWS(nombres[]),1))-ROW(OFFSET(nombres[],0,0,1,1))+1,ROW(OFFSET(nombres[],ROWS(nombres[])-1,0,1,1))+1),$O1553:$O1572),3),"")</f>
        <v/>
      </c>
      <c r="DF1553" s="42" t="str">
        <f t="array" aca="1" ref="DF1553" ca="1">IFERROR(INDEX(nombres[],SMALL(IF(OFFSET(nombres[],0,0,ROWS(nombres[]),1)=DF$1490,ROW(OFFSET(nombres[],0,0,ROWS(nombres[]),1))-ROW(OFFSET(nombres[],0,0,1,1))+1,ROW(OFFSET(nombres[],ROWS(nombres[])-1,0,1,1))+1),$O1553:$O1572),3),"")</f>
        <v/>
      </c>
      <c r="DG1553" s="42" t="str">
        <f t="array" aca="1" ref="DG1553" ca="1">IFERROR(INDEX(nombres[],SMALL(IF(OFFSET(nombres[],0,0,ROWS(nombres[]),1)=DG$1490,ROW(OFFSET(nombres[],0,0,ROWS(nombres[]),1))-ROW(OFFSET(nombres[],0,0,1,1))+1,ROW(OFFSET(nombres[],ROWS(nombres[])-1,0,1,1))+1),$O1553:$O1572),3),"")</f>
        <v/>
      </c>
      <c r="DH1553" s="42" t="str">
        <f t="array" aca="1" ref="DH1553" ca="1">IFERROR(INDEX(nombres[],SMALL(IF(OFFSET(nombres[],0,0,ROWS(nombres[]),1)=DH$1490,ROW(OFFSET(nombres[],0,0,ROWS(nombres[]),1))-ROW(OFFSET(nombres[],0,0,1,1))+1,ROW(OFFSET(nombres[],ROWS(nombres[])-1,0,1,1))+1),$O1553:$O1572),3),"")</f>
        <v/>
      </c>
      <c r="DI1553" s="42" t="str">
        <f t="array" aca="1" ref="DI1553" ca="1">IFERROR(INDEX(nombres[],SMALL(IF(OFFSET(nombres[],0,0,ROWS(nombres[]),1)=DI$1490,ROW(OFFSET(nombres[],0,0,ROWS(nombres[]),1))-ROW(OFFSET(nombres[],0,0,1,1))+1,ROW(OFFSET(nombres[],ROWS(nombres[])-1,0,1,1))+1),$O1553:$O1572),3),"")</f>
        <v/>
      </c>
      <c r="DJ1553" s="42" t="str">
        <f t="array" aca="1" ref="DJ1553" ca="1">IFERROR(INDEX(nombres[],SMALL(IF(OFFSET(nombres[],0,0,ROWS(nombres[]),1)=DJ$1490,ROW(OFFSET(nombres[],0,0,ROWS(nombres[]),1))-ROW(OFFSET(nombres[],0,0,1,1))+1,ROW(OFFSET(nombres[],ROWS(nombres[])-1,0,1,1))+1),$O1553:$O1572),3),"")</f>
        <v/>
      </c>
      <c r="DK1553" s="42" t="str">
        <f t="array" aca="1" ref="DK1553" ca="1">IFERROR(INDEX(nombres[],SMALL(IF(OFFSET(nombres[],0,0,ROWS(nombres[]),1)=DK$1490,ROW(OFFSET(nombres[],0,0,ROWS(nombres[]),1))-ROW(OFFSET(nombres[],0,0,1,1))+1,ROW(OFFSET(nombres[],ROWS(nombres[])-1,0,1,1))+1),$O1553:$O1572),3),"")</f>
        <v/>
      </c>
      <c r="DL1553" s="42" t="str">
        <f t="array" aca="1" ref="DL1553" ca="1">IFERROR(INDEX(nombres[],SMALL(IF(OFFSET(nombres[],0,0,ROWS(nombres[]),1)=DL$1490,ROW(OFFSET(nombres[],0,0,ROWS(nombres[]),1))-ROW(OFFSET(nombres[],0,0,1,1))+1,ROW(OFFSET(nombres[],ROWS(nombres[])-1,0,1,1))+1),$O1553:$O1572),3),"")</f>
        <v/>
      </c>
      <c r="DM1553" s="42" t="str">
        <f t="array" aca="1" ref="DM1553" ca="1">IFERROR(INDEX(nombres[],SMALL(IF(OFFSET(nombres[],0,0,ROWS(nombres[]),1)=DM$1490,ROW(OFFSET(nombres[],0,0,ROWS(nombres[]),1))-ROW(OFFSET(nombres[],0,0,1,1))+1,ROW(OFFSET(nombres[],ROWS(nombres[])-1,0,1,1))+1),$O1553:$O1572),3),"")</f>
        <v/>
      </c>
      <c r="DN1553" s="42" t="str">
        <f t="array" aca="1" ref="DN1553" ca="1">IFERROR(INDEX(nombres[],SMALL(IF(OFFSET(nombres[],0,0,ROWS(nombres[]),1)=DN$1490,ROW(OFFSET(nombres[],0,0,ROWS(nombres[]),1))-ROW(OFFSET(nombres[],0,0,1,1))+1,ROW(OFFSET(nombres[],ROWS(nombres[])-1,0,1,1))+1),$O1553:$O1572),3),"")</f>
        <v/>
      </c>
      <c r="DO1553" s="42" t="str">
        <f t="array" aca="1" ref="DO1553" ca="1">IFERROR(INDEX(nombres[],SMALL(IF(OFFSET(nombres[],0,0,ROWS(nombres[]),1)=DO$1490,ROW(OFFSET(nombres[],0,0,ROWS(nombres[]),1))-ROW(OFFSET(nombres[],0,0,1,1))+1,ROW(OFFSET(nombres[],ROWS(nombres[])-1,0,1,1))+1),$O1553:$O1572),3),"")</f>
        <v/>
      </c>
      <c r="DP1553" s="42" t="str">
        <f t="array" aca="1" ref="DP1553" ca="1">IFERROR(INDEX(nombres[],SMALL(IF(OFFSET(nombres[],0,0,ROWS(nombres[]),1)=DP$1490,ROW(OFFSET(nombres[],0,0,ROWS(nombres[]),1))-ROW(OFFSET(nombres[],0,0,1,1))+1,ROW(OFFSET(nombres[],ROWS(nombres[])-1,0,1,1))+1),$O1553:$O1572),3),"")</f>
        <v/>
      </c>
      <c r="DQ1553" s="42" t="str">
        <f t="array" aca="1" ref="DQ1553" ca="1">IFERROR(INDEX(nombres[],SMALL(IF(OFFSET(nombres[],0,0,ROWS(nombres[]),1)=DQ$1490,ROW(OFFSET(nombres[],0,0,ROWS(nombres[]),1))-ROW(OFFSET(nombres[],0,0,1,1))+1,ROW(OFFSET(nombres[],ROWS(nombres[])-1,0,1,1))+1),$O1553:$O1572),3),"")</f>
        <v/>
      </c>
      <c r="DR1553" s="42" t="str">
        <f t="array" aca="1" ref="DR1553" ca="1">IFERROR(INDEX(nombres[],SMALL(IF(OFFSET(nombres[],0,0,ROWS(nombres[]),1)=DR$1490,ROW(OFFSET(nombres[],0,0,ROWS(nombres[]),1))-ROW(OFFSET(nombres[],0,0,1,1))+1,ROW(OFFSET(nombres[],ROWS(nombres[])-1,0,1,1))+1),$O1553:$O1572),3),"")</f>
        <v/>
      </c>
      <c r="DS1553" s="42" t="str">
        <f t="array" aca="1" ref="DS1553" ca="1">IFERROR(INDEX(nombres[],SMALL(IF(OFFSET(nombres[],0,0,ROWS(nombres[]),1)=DS$1490,ROW(OFFSET(nombres[],0,0,ROWS(nombres[]),1))-ROW(OFFSET(nombres[],0,0,1,1))+1,ROW(OFFSET(nombres[],ROWS(nombres[])-1,0,1,1))+1),$O1553:$O1572),3),"")</f>
        <v/>
      </c>
      <c r="DT1553" s="42" t="str">
        <f t="array" aca="1" ref="DT1553" ca="1">IFERROR(INDEX(nombres[],SMALL(IF(OFFSET(nombres[],0,0,ROWS(nombres[]),1)=DT$1490,ROW(OFFSET(nombres[],0,0,ROWS(nombres[]),1))-ROW(OFFSET(nombres[],0,0,1,1))+1,ROW(OFFSET(nombres[],ROWS(nombres[])-1,0,1,1))+1),$O1553:$O1572),3),"")</f>
        <v/>
      </c>
      <c r="DU1553" s="42" t="str">
        <f t="array" aca="1" ref="DU1553" ca="1">IFERROR(INDEX(nombres[],SMALL(IF(OFFSET(nombres[],0,0,ROWS(nombres[]),1)=DU$1490,ROW(OFFSET(nombres[],0,0,ROWS(nombres[]),1))-ROW(OFFSET(nombres[],0,0,1,1))+1,ROW(OFFSET(nombres[],ROWS(nombres[])-1,0,1,1))+1),$O1553:$O1572),3),"")</f>
        <v/>
      </c>
      <c r="DV1553" s="42" t="str">
        <f t="array" aca="1" ref="DV1553" ca="1">IFERROR(INDEX(nombres[],SMALL(IF(OFFSET(nombres[],0,0,ROWS(nombres[]),1)=DV$1490,ROW(OFFSET(nombres[],0,0,ROWS(nombres[]),1))-ROW(OFFSET(nombres[],0,0,1,1))+1,ROW(OFFSET(nombres[],ROWS(nombres[])-1,0,1,1))+1),$O1553:$O1572),3),"")</f>
        <v/>
      </c>
      <c r="DW1553" s="42" t="str">
        <f t="array" aca="1" ref="DW1553" ca="1">IFERROR(INDEX(nombres[],SMALL(IF(OFFSET(nombres[],0,0,ROWS(nombres[]),1)=DW$1490,ROW(OFFSET(nombres[],0,0,ROWS(nombres[]),1))-ROW(OFFSET(nombres[],0,0,1,1))+1,ROW(OFFSET(nombres[],ROWS(nombres[])-1,0,1,1))+1),$O1553:$O1572),3),"")</f>
        <v/>
      </c>
      <c r="DX1553" s="42" t="str">
        <f t="array" aca="1" ref="DX1553" ca="1">IFERROR(INDEX(nombres[],SMALL(IF(OFFSET(nombres[],0,0,ROWS(nombres[]),1)=DX$1490,ROW(OFFSET(nombres[],0,0,ROWS(nombres[]),1))-ROW(OFFSET(nombres[],0,0,1,1))+1,ROW(OFFSET(nombres[],ROWS(nombres[])-1,0,1,1))+1),$O1553:$O1572),3),"")</f>
        <v/>
      </c>
      <c r="DY1553" s="42" t="str">
        <f t="array" aca="1" ref="DY1553" ca="1">IFERROR(INDEX(nombres[],SMALL(IF(OFFSET(nombres[],0,0,ROWS(nombres[]),1)=DY$1490,ROW(OFFSET(nombres[],0,0,ROWS(nombres[]),1))-ROW(OFFSET(nombres[],0,0,1,1))+1,ROW(OFFSET(nombres[],ROWS(nombres[])-1,0,1,1))+1),$O1553:$O1572),3),"")</f>
        <v/>
      </c>
      <c r="DZ1553" s="42" t="str">
        <f t="array" aca="1" ref="DZ1553" ca="1">IFERROR(INDEX(nombres[],SMALL(IF(OFFSET(nombres[],0,0,ROWS(nombres[]),1)=DZ$1490,ROW(OFFSET(nombres[],0,0,ROWS(nombres[]),1))-ROW(OFFSET(nombres[],0,0,1,1))+1,ROW(OFFSET(nombres[],ROWS(nombres[])-1,0,1,1))+1),$O1553:$O1572),3),"")</f>
        <v/>
      </c>
      <c r="EA1553" s="42" t="str">
        <f t="array" aca="1" ref="EA1553" ca="1">IFERROR(INDEX(nombres[],SMALL(IF(OFFSET(nombres[],0,0,ROWS(nombres[]),1)=EA$1490,ROW(OFFSET(nombres[],0,0,ROWS(nombres[]),1))-ROW(OFFSET(nombres[],0,0,1,1))+1,ROW(OFFSET(nombres[],ROWS(nombres[])-1,0,1,1))+1),$O1553:$O1572),3),"")</f>
        <v/>
      </c>
      <c r="EB1553" s="42" t="str">
        <f t="array" aca="1" ref="EB1553" ca="1">IFERROR(INDEX(nombres[],SMALL(IF(OFFSET(nombres[],0,0,ROWS(nombres[]),1)=EB$1490,ROW(OFFSET(nombres[],0,0,ROWS(nombres[]),1))-ROW(OFFSET(nombres[],0,0,1,1))+1,ROW(OFFSET(nombres[],ROWS(nombres[])-1,0,1,1))+1),$O1553:$O1572),3),"")</f>
        <v/>
      </c>
      <c r="EC1553" s="42" t="str">
        <f t="array" aca="1" ref="EC1553" ca="1">IFERROR(INDEX(nombres[],SMALL(IF(OFFSET(nombres[],0,0,ROWS(nombres[]),1)=EC$1490,ROW(OFFSET(nombres[],0,0,ROWS(nombres[]),1))-ROW(OFFSET(nombres[],0,0,1,1))+1,ROW(OFFSET(nombres[],ROWS(nombres[])-1,0,1,1))+1),$O1553:$O1572),3),"")</f>
        <v/>
      </c>
      <c r="ED1553" s="42" t="str">
        <f t="array" aca="1" ref="ED1553" ca="1">IFERROR(INDEX(nombres[],SMALL(IF(OFFSET(nombres[],0,0,ROWS(nombres[]),1)=ED$1490,ROW(OFFSET(nombres[],0,0,ROWS(nombres[]),1))-ROW(OFFSET(nombres[],0,0,1,1))+1,ROW(OFFSET(nombres[],ROWS(nombres[])-1,0,1,1))+1),$O1553:$O1572),3),"")</f>
        <v/>
      </c>
      <c r="EE1553" s="42" t="str">
        <f t="array" aca="1" ref="EE1553" ca="1">IFERROR(INDEX(nombres[],SMALL(IF(OFFSET(nombres[],0,0,ROWS(nombres[]),1)=EE$1490,ROW(OFFSET(nombres[],0,0,ROWS(nombres[]),1))-ROW(OFFSET(nombres[],0,0,1,1))+1,ROW(OFFSET(nombres[],ROWS(nombres[])-1,0,1,1))+1),$O1553:$O1572),3),"")</f>
        <v/>
      </c>
      <c r="EF1553" s="42" t="str">
        <f t="array" aca="1" ref="EF1553" ca="1">IFERROR(INDEX(nombres[],SMALL(IF(OFFSET(nombres[],0,0,ROWS(nombres[]),1)=EF$1490,ROW(OFFSET(nombres[],0,0,ROWS(nombres[]),1))-ROW(OFFSET(nombres[],0,0,1,1))+1,ROW(OFFSET(nombres[],ROWS(nombres[])-1,0,1,1))+1),$O1553:$O1572),3),"")</f>
        <v/>
      </c>
      <c r="EG1553" s="42" t="str">
        <f t="array" aca="1" ref="EG1553" ca="1">IFERROR(INDEX(nombres[],SMALL(IF(OFFSET(nombres[],0,0,ROWS(nombres[]),1)=EG$1490,ROW(OFFSET(nombres[],0,0,ROWS(nombres[]),1))-ROW(OFFSET(nombres[],0,0,1,1))+1,ROW(OFFSET(nombres[],ROWS(nombres[])-1,0,1,1))+1),$O1553:$O1572),3),"")</f>
        <v/>
      </c>
      <c r="EH1553" s="42" t="str">
        <f t="array" aca="1" ref="EH1553" ca="1">IFERROR(INDEX(nombres[],SMALL(IF(OFFSET(nombres[],0,0,ROWS(nombres[]),1)=EH$1490,ROW(OFFSET(nombres[],0,0,ROWS(nombres[]),1))-ROW(OFFSET(nombres[],0,0,1,1))+1,ROW(OFFSET(nombres[],ROWS(nombres[])-1,0,1,1))+1),$O1553:$O1572),3),"")</f>
        <v/>
      </c>
      <c r="EI1553" s="42" t="str">
        <f t="array" aca="1" ref="EI1553" ca="1">IFERROR(INDEX(nombres[],SMALL(IF(OFFSET(nombres[],0,0,ROWS(nombres[]),1)=EI$1490,ROW(OFFSET(nombres[],0,0,ROWS(nombres[]),1))-ROW(OFFSET(nombres[],0,0,1,1))+1,ROW(OFFSET(nombres[],ROWS(nombres[])-1,0,1,1))+1),$O1553:$O1572),3),"")</f>
        <v/>
      </c>
      <c r="EJ1553" s="42" t="str">
        <f t="array" aca="1" ref="EJ1553" ca="1">IFERROR(INDEX(nombres[],SMALL(IF(OFFSET(nombres[],0,0,ROWS(nombres[]),1)=EJ$1490,ROW(OFFSET(nombres[],0,0,ROWS(nombres[]),1))-ROW(OFFSET(nombres[],0,0,1,1))+1,ROW(OFFSET(nombres[],ROWS(nombres[])-1,0,1,1))+1),$O1553:$O1572),3),"")</f>
        <v/>
      </c>
      <c r="EK1553" s="42" t="str">
        <f t="array" aca="1" ref="EK1553" ca="1">IFERROR(INDEX(nombres[],SMALL(IF(OFFSET(nombres[],0,0,ROWS(nombres[]),1)=EK$1490,ROW(OFFSET(nombres[],0,0,ROWS(nombres[]),1))-ROW(OFFSET(nombres[],0,0,1,1))+1,ROW(OFFSET(nombres[],ROWS(nombres[])-1,0,1,1))+1),$O1553:$O1572),3),"")</f>
        <v/>
      </c>
      <c r="EL1553" s="42" t="str">
        <f t="array" aca="1" ref="EL1553" ca="1">IFERROR(INDEX(nombres[],SMALL(IF(OFFSET(nombres[],0,0,ROWS(nombres[]),1)=EL$1490,ROW(OFFSET(nombres[],0,0,ROWS(nombres[]),1))-ROW(OFFSET(nombres[],0,0,1,1))+1,ROW(OFFSET(nombres[],ROWS(nombres[])-1,0,1,1))+1),$O1553:$O1572),3),"")</f>
        <v/>
      </c>
      <c r="EM1553" s="42" t="str">
        <f t="array" aca="1" ref="EM1553" ca="1">IFERROR(INDEX(nombres[],SMALL(IF(OFFSET(nombres[],0,0,ROWS(nombres[]),1)=EM$1490,ROW(OFFSET(nombres[],0,0,ROWS(nombres[]),1))-ROW(OFFSET(nombres[],0,0,1,1))+1,ROW(OFFSET(nombres[],ROWS(nombres[])-1,0,1,1))+1),$O1553:$O1572),3),"")</f>
        <v/>
      </c>
      <c r="EN1553" s="42" t="str">
        <f t="array" aca="1" ref="EN1553" ca="1">IFERROR(INDEX(nombres[],SMALL(IF(OFFSET(nombres[],0,0,ROWS(nombres[]),1)=EN$1490,ROW(OFFSET(nombres[],0,0,ROWS(nombres[]),1))-ROW(OFFSET(nombres[],0,0,1,1))+1,ROW(OFFSET(nombres[],ROWS(nombres[])-1,0,1,1))+1),$O1553:$O1572),3),"")</f>
        <v/>
      </c>
      <c r="EO1553" s="42" t="str">
        <f t="array" aca="1" ref="EO1553" ca="1">IFERROR(INDEX(nombres[],SMALL(IF(OFFSET(nombres[],0,0,ROWS(nombres[]),1)=EO$1490,ROW(OFFSET(nombres[],0,0,ROWS(nombres[]),1))-ROW(OFFSET(nombres[],0,0,1,1))+1,ROW(OFFSET(nombres[],ROWS(nombres[])-1,0,1,1))+1),$O1553:$O1572),3),"")</f>
        <v/>
      </c>
      <c r="EP1553" s="42" t="str">
        <f t="array" aca="1" ref="EP1553" ca="1">IFERROR(INDEX(nombres[],SMALL(IF(OFFSET(nombres[],0,0,ROWS(nombres[]),1)=EP$1490,ROW(OFFSET(nombres[],0,0,ROWS(nombres[]),1))-ROW(OFFSET(nombres[],0,0,1,1))+1,ROW(OFFSET(nombres[],ROWS(nombres[])-1,0,1,1))+1),$O1553:$O1572),3),"")</f>
        <v/>
      </c>
      <c r="EQ1553" s="42" t="str">
        <f t="array" aca="1" ref="EQ1553" ca="1">IFERROR(INDEX(nombres[],SMALL(IF(OFFSET(nombres[],0,0,ROWS(nombres[]),1)=EQ$1490,ROW(OFFSET(nombres[],0,0,ROWS(nombres[]),1))-ROW(OFFSET(nombres[],0,0,1,1))+1,ROW(OFFSET(nombres[],ROWS(nombres[])-1,0,1,1))+1),$O1553:$O1572),3),"")</f>
        <v/>
      </c>
      <c r="ER1553" s="42" t="str">
        <f t="array" aca="1" ref="ER1553" ca="1">IFERROR(INDEX(nombres[],SMALL(IF(OFFSET(nombres[],0,0,ROWS(nombres[]),1)=ER$1490,ROW(OFFSET(nombres[],0,0,ROWS(nombres[]),1))-ROW(OFFSET(nombres[],0,0,1,1))+1,ROW(OFFSET(nombres[],ROWS(nombres[])-1,0,1,1))+1),$O1553:$O1572),3),"")</f>
        <v/>
      </c>
      <c r="ES1553" s="42" t="str">
        <f t="array" aca="1" ref="ES1553" ca="1">IFERROR(INDEX(nombres[],SMALL(IF(OFFSET(nombres[],0,0,ROWS(nombres[]),1)=ES$1490,ROW(OFFSET(nombres[],0,0,ROWS(nombres[]),1))-ROW(OFFSET(nombres[],0,0,1,1))+1,ROW(OFFSET(nombres[],ROWS(nombres[])-1,0,1,1))+1),$O1553:$O1572),3),"")</f>
        <v/>
      </c>
      <c r="ET1553" s="42" t="str">
        <f t="array" aca="1" ref="ET1553" ca="1">IFERROR(INDEX(nombres[],SMALL(IF(OFFSET(nombres[],0,0,ROWS(nombres[]),1)=ET$1490,ROW(OFFSET(nombres[],0,0,ROWS(nombres[]),1))-ROW(OFFSET(nombres[],0,0,1,1))+1,ROW(OFFSET(nombres[],ROWS(nombres[])-1,0,1,1))+1),$O1553:$O1572),3),"")</f>
        <v/>
      </c>
      <c r="EU1553" s="42" t="str">
        <f t="array" aca="1" ref="EU1553" ca="1">IFERROR(INDEX(nombres[],SMALL(IF(OFFSET(nombres[],0,0,ROWS(nombres[]),1)=EU$1490,ROW(OFFSET(nombres[],0,0,ROWS(nombres[]),1))-ROW(OFFSET(nombres[],0,0,1,1))+1,ROW(OFFSET(nombres[],ROWS(nombres[])-1,0,1,1))+1),$O1553:$O1572),3),"")</f>
        <v/>
      </c>
      <c r="EV1553" s="42" t="str">
        <f t="array" aca="1" ref="EV1553" ca="1">IFERROR(INDEX(nombres[],SMALL(IF(OFFSET(nombres[],0,0,ROWS(nombres[]),1)=EV$1490,ROW(OFFSET(nombres[],0,0,ROWS(nombres[]),1))-ROW(OFFSET(nombres[],0,0,1,1))+1,ROW(OFFSET(nombres[],ROWS(nombres[])-1,0,1,1))+1),$O1553:$O1572),3),"")</f>
        <v/>
      </c>
      <c r="EW1553" s="42" t="str">
        <f t="array" aca="1" ref="EW1553" ca="1">IFERROR(INDEX(nombres[],SMALL(IF(OFFSET(nombres[],0,0,ROWS(nombres[]),1)=EW$1490,ROW(OFFSET(nombres[],0,0,ROWS(nombres[]),1))-ROW(OFFSET(nombres[],0,0,1,1))+1,ROW(OFFSET(nombres[],ROWS(nombres[])-1,0,1,1))+1),$O1553:$O1572),3),"")</f>
        <v/>
      </c>
      <c r="EX1553" s="42" t="str">
        <f t="array" aca="1" ref="EX1553" ca="1">IFERROR(INDEX(nombres[],SMALL(IF(OFFSET(nombres[],0,0,ROWS(nombres[]),1)=EX$1490,ROW(OFFSET(nombres[],0,0,ROWS(nombres[]),1))-ROW(OFFSET(nombres[],0,0,1,1))+1,ROW(OFFSET(nombres[],ROWS(nombres[])-1,0,1,1))+1),$O1553:$O1572),3),"")</f>
        <v/>
      </c>
      <c r="EY1553" s="42" t="str">
        <f t="array" aca="1" ref="EY1553" ca="1">IFERROR(INDEX(nombres[],SMALL(IF(OFFSET(nombres[],0,0,ROWS(nombres[]),1)=EY$1490,ROW(OFFSET(nombres[],0,0,ROWS(nombres[]),1))-ROW(OFFSET(nombres[],0,0,1,1))+1,ROW(OFFSET(nombres[],ROWS(nombres[])-1,0,1,1))+1),$O1553:$O1572),3),"")</f>
        <v/>
      </c>
      <c r="EZ1553" s="42" t="str">
        <f t="array" aca="1" ref="EZ1553" ca="1">IFERROR(INDEX(nombres[],SMALL(IF(OFFSET(nombres[],0,0,ROWS(nombres[]),1)=EZ$1490,ROW(OFFSET(nombres[],0,0,ROWS(nombres[]),1))-ROW(OFFSET(nombres[],0,0,1,1))+1,ROW(OFFSET(nombres[],ROWS(nombres[])-1,0,1,1))+1),$O1553:$O1572),3),"")</f>
        <v/>
      </c>
      <c r="FA1553" s="42" t="str">
        <f t="array" aca="1" ref="FA1553" ca="1">IFERROR(INDEX(nombres[],SMALL(IF(OFFSET(nombres[],0,0,ROWS(nombres[]),1)=FA$1490,ROW(OFFSET(nombres[],0,0,ROWS(nombres[]),1))-ROW(OFFSET(nombres[],0,0,1,1))+1,ROW(OFFSET(nombres[],ROWS(nombres[])-1,0,1,1))+1),$O1553:$O1572),3),"")</f>
        <v/>
      </c>
      <c r="FB1553" s="42" t="str">
        <f t="array" aca="1" ref="FB1553" ca="1">IFERROR(INDEX(nombres[],SMALL(IF(OFFSET(nombres[],0,0,ROWS(nombres[]),1)=FB$1490,ROW(OFFSET(nombres[],0,0,ROWS(nombres[]),1))-ROW(OFFSET(nombres[],0,0,1,1))+1,ROW(OFFSET(nombres[],ROWS(nombres[])-1,0,1,1))+1),$O1553:$O1572),3),"")</f>
        <v/>
      </c>
      <c r="FC1553" s="42" t="str">
        <f t="array" aca="1" ref="FC1553" ca="1">IFERROR(INDEX(nombres[],SMALL(IF(OFFSET(nombres[],0,0,ROWS(nombres[]),1)=FC$1490,ROW(OFFSET(nombres[],0,0,ROWS(nombres[]),1))-ROW(OFFSET(nombres[],0,0,1,1))+1,ROW(OFFSET(nombres[],ROWS(nombres[])-1,0,1,1))+1),$O1553:$O1572),3),"")</f>
        <v/>
      </c>
      <c r="FD1553" s="42" t="str">
        <f t="array" aca="1" ref="FD1553" ca="1">IFERROR(INDEX(nombres[],SMALL(IF(OFFSET(nombres[],0,0,ROWS(nombres[]),1)=FD$1490,ROW(OFFSET(nombres[],0,0,ROWS(nombres[]),1))-ROW(OFFSET(nombres[],0,0,1,1))+1,ROW(OFFSET(nombres[],ROWS(nombres[])-1,0,1,1))+1),$O1553:$O1572),3),"")</f>
        <v/>
      </c>
      <c r="FE1553" s="42" t="str">
        <f t="array" aca="1" ref="FE1553" ca="1">IFERROR(INDEX(nombres[],SMALL(IF(OFFSET(nombres[],0,0,ROWS(nombres[]),1)=FE$1490,ROW(OFFSET(nombres[],0,0,ROWS(nombres[]),1))-ROW(OFFSET(nombres[],0,0,1,1))+1,ROW(OFFSET(nombres[],ROWS(nombres[])-1,0,1,1))+1),$O1553:$O1572),3),"")</f>
        <v/>
      </c>
      <c r="FF1553" s="42" t="str">
        <f t="array" aca="1" ref="FF1553" ca="1">IFERROR(INDEX(nombres[],SMALL(IF(OFFSET(nombres[],0,0,ROWS(nombres[]),1)=FF$1490,ROW(OFFSET(nombres[],0,0,ROWS(nombres[]),1))-ROW(OFFSET(nombres[],0,0,1,1))+1,ROW(OFFSET(nombres[],ROWS(nombres[])-1,0,1,1))+1),$O1553:$O1572),3),"")</f>
        <v/>
      </c>
      <c r="FG1553" s="42" t="str">
        <f t="array" aca="1" ref="FG1553" ca="1">IFERROR(INDEX(nombres[],SMALL(IF(OFFSET(nombres[],0,0,ROWS(nombres[]),1)=FG$1490,ROW(OFFSET(nombres[],0,0,ROWS(nombres[]),1))-ROW(OFFSET(nombres[],0,0,1,1))+1,ROW(OFFSET(nombres[],ROWS(nombres[])-1,0,1,1))+1),$O1553:$O1572),3),"")</f>
        <v/>
      </c>
      <c r="FH1553" s="42" t="str">
        <f t="array" aca="1" ref="FH1553" ca="1">IFERROR(INDEX(nombres[],SMALL(IF(OFFSET(nombres[],0,0,ROWS(nombres[]),1)=FH$1490,ROW(OFFSET(nombres[],0,0,ROWS(nombres[]),1))-ROW(OFFSET(nombres[],0,0,1,1))+1,ROW(OFFSET(nombres[],ROWS(nombres[])-1,0,1,1))+1),$O1553:$O1572),3),"")</f>
        <v/>
      </c>
      <c r="FI1553" s="42" t="str">
        <f t="array" aca="1" ref="FI1553" ca="1">IFERROR(INDEX(nombres[],SMALL(IF(OFFSET(nombres[],0,0,ROWS(nombres[]),1)=FI$1490,ROW(OFFSET(nombres[],0,0,ROWS(nombres[]),1))-ROW(OFFSET(nombres[],0,0,1,1))+1,ROW(OFFSET(nombres[],ROWS(nombres[])-1,0,1,1))+1),$O1553:$O1572),3),"")</f>
        <v/>
      </c>
      <c r="FJ1553" s="42" t="str">
        <f t="array" aca="1" ref="FJ1553" ca="1">IFERROR(INDEX(nombres[],SMALL(IF(OFFSET(nombres[],0,0,ROWS(nombres[]),1)=FJ$1490,ROW(OFFSET(nombres[],0,0,ROWS(nombres[]),1))-ROW(OFFSET(nombres[],0,0,1,1))+1,ROW(OFFSET(nombres[],ROWS(nombres[])-1,0,1,1))+1),$O1553:$O1572),3),"")</f>
        <v/>
      </c>
      <c r="FK1553" s="42" t="str">
        <f t="array" aca="1" ref="FK1553" ca="1">IFERROR(INDEX(nombres[],SMALL(IF(OFFSET(nombres[],0,0,ROWS(nombres[]),1)=FK$1490,ROW(OFFSET(nombres[],0,0,ROWS(nombres[]),1))-ROW(OFFSET(nombres[],0,0,1,1))+1,ROW(OFFSET(nombres[],ROWS(nombres[])-1,0,1,1))+1),$O1553:$O1572),3),"")</f>
        <v/>
      </c>
      <c r="FL1553" s="42" t="str">
        <f t="array" aca="1" ref="FL1553" ca="1">IFERROR(INDEX(nombres[],SMALL(IF(OFFSET(nombres[],0,0,ROWS(nombres[]),1)=FL$1490,ROW(OFFSET(nombres[],0,0,ROWS(nombres[]),1))-ROW(OFFSET(nombres[],0,0,1,1))+1,ROW(OFFSET(nombres[],ROWS(nombres[])-1,0,1,1))+1),$O1553:$O1572),3),"")</f>
        <v/>
      </c>
      <c r="FM1553" s="42" t="str">
        <f t="array" aca="1" ref="FM1553" ca="1">IFERROR(INDEX(nombres[],SMALL(IF(OFFSET(nombres[],0,0,ROWS(nombres[]),1)=FM$1490,ROW(OFFSET(nombres[],0,0,ROWS(nombres[]),1))-ROW(OFFSET(nombres[],0,0,1,1))+1,ROW(OFFSET(nombres[],ROWS(nombres[])-1,0,1,1))+1),$O1553:$O1572),3),"")</f>
        <v/>
      </c>
      <c r="FN1553" s="42" t="str">
        <f t="array" aca="1" ref="FN1553" ca="1">IFERROR(INDEX(nombres[],SMALL(IF(OFFSET(nombres[],0,0,ROWS(nombres[]),1)=FN$1490,ROW(OFFSET(nombres[],0,0,ROWS(nombres[]),1))-ROW(OFFSET(nombres[],0,0,1,1))+1,ROW(OFFSET(nombres[],ROWS(nombres[])-1,0,1,1))+1),$O1553:$O1572),3),"")</f>
        <v/>
      </c>
      <c r="FO1553" s="42" t="str">
        <f t="array" aca="1" ref="FO1553" ca="1">IFERROR(INDEX(nombres[],SMALL(IF(OFFSET(nombres[],0,0,ROWS(nombres[]),1)=FO$1490,ROW(OFFSET(nombres[],0,0,ROWS(nombres[]),1))-ROW(OFFSET(nombres[],0,0,1,1))+1,ROW(OFFSET(nombres[],ROWS(nombres[])-1,0,1,1))+1),$O1553:$O1572),3),"")</f>
        <v/>
      </c>
      <c r="FP1553" s="42" t="str">
        <f t="array" aca="1" ref="FP1553" ca="1">IFERROR(INDEX(nombres[],SMALL(IF(OFFSET(nombres[],0,0,ROWS(nombres[]),1)=FP$1490,ROW(OFFSET(nombres[],0,0,ROWS(nombres[]),1))-ROW(OFFSET(nombres[],0,0,1,1))+1,ROW(OFFSET(nombres[],ROWS(nombres[])-1,0,1,1))+1),$O1553:$O1572),3),"")</f>
        <v/>
      </c>
      <c r="FQ1553" s="42" t="str">
        <f t="array" aca="1" ref="FQ1553" ca="1">IFERROR(INDEX(nombres[],SMALL(IF(OFFSET(nombres[],0,0,ROWS(nombres[]),1)=FQ$1490,ROW(OFFSET(nombres[],0,0,ROWS(nombres[]),1))-ROW(OFFSET(nombres[],0,0,1,1))+1,ROW(OFFSET(nombres[],ROWS(nombres[])-1,0,1,1))+1),$O1553:$O1572),3),"")</f>
        <v/>
      </c>
      <c r="FR1553" s="42" t="str">
        <f t="array" aca="1" ref="FR1553" ca="1">IFERROR(INDEX(nombres[],SMALL(IF(OFFSET(nombres[],0,0,ROWS(nombres[]),1)=FR$1490,ROW(OFFSET(nombres[],0,0,ROWS(nombres[]),1))-ROW(OFFSET(nombres[],0,0,1,1))+1,ROW(OFFSET(nombres[],ROWS(nombres[])-1,0,1,1))+1),$O1553:$O1572),3),"")</f>
        <v/>
      </c>
      <c r="FS1553" s="42" t="str">
        <f t="array" aca="1" ref="FS1553" ca="1">IFERROR(INDEX(nombres[],SMALL(IF(OFFSET(nombres[],0,0,ROWS(nombres[]),1)=FS$1490,ROW(OFFSET(nombres[],0,0,ROWS(nombres[]),1))-ROW(OFFSET(nombres[],0,0,1,1))+1,ROW(OFFSET(nombres[],ROWS(nombres[])-1,0,1,1))+1),$O1553:$O1572),3),"")</f>
        <v/>
      </c>
      <c r="FT1553" s="42" t="str">
        <f t="array" aca="1" ref="FT1553" ca="1">IFERROR(INDEX(nombres[],SMALL(IF(OFFSET(nombres[],0,0,ROWS(nombres[]),1)=FT$1490,ROW(OFFSET(nombres[],0,0,ROWS(nombres[]),1))-ROW(OFFSET(nombres[],0,0,1,1))+1,ROW(OFFSET(nombres[],ROWS(nombres[])-1,0,1,1))+1),$O1553:$O1572),3),"")</f>
        <v/>
      </c>
      <c r="FU1553" s="42" t="str">
        <f t="array" aca="1" ref="FU1553" ca="1">IFERROR(INDEX(nombres[],SMALL(IF(OFFSET(nombres[],0,0,ROWS(nombres[]),1)=FU$1490,ROW(OFFSET(nombres[],0,0,ROWS(nombres[]),1))-ROW(OFFSET(nombres[],0,0,1,1))+1,ROW(OFFSET(nombres[],ROWS(nombres[])-1,0,1,1))+1),$O1553:$O1572),3),"")</f>
        <v/>
      </c>
      <c r="FV1553" s="42" t="str">
        <f t="array" aca="1" ref="FV1553" ca="1">IFERROR(INDEX(nombres[],SMALL(IF(OFFSET(nombres[],0,0,ROWS(nombres[]),1)=FV$1490,ROW(OFFSET(nombres[],0,0,ROWS(nombres[]),1))-ROW(OFFSET(nombres[],0,0,1,1))+1,ROW(OFFSET(nombres[],ROWS(nombres[])-1,0,1,1))+1),$O1553:$O1572),3),"")</f>
        <v/>
      </c>
      <c r="FW1553" s="42" t="str">
        <f t="array" aca="1" ref="FW1553" ca="1">IFERROR(INDEX(nombres[],SMALL(IF(OFFSET(nombres[],0,0,ROWS(nombres[]),1)=FW$1490,ROW(OFFSET(nombres[],0,0,ROWS(nombres[]),1))-ROW(OFFSET(nombres[],0,0,1,1))+1,ROW(OFFSET(nombres[],ROWS(nombres[])-1,0,1,1))+1),$O1553:$O1572),3),"")</f>
        <v/>
      </c>
      <c r="FX1553" s="42" t="str">
        <f t="array" aca="1" ref="FX1553" ca="1">IFERROR(INDEX(nombres[],SMALL(IF(OFFSET(nombres[],0,0,ROWS(nombres[]),1)=FX$1490,ROW(OFFSET(nombres[],0,0,ROWS(nombres[]),1))-ROW(OFFSET(nombres[],0,0,1,1))+1,ROW(OFFSET(nombres[],ROWS(nombres[])-1,0,1,1))+1),$O1553:$O1572),3),"")</f>
        <v/>
      </c>
      <c r="FY1553" s="42" t="str">
        <f t="array" aca="1" ref="FY1553" ca="1">IFERROR(INDEX(nombres[],SMALL(IF(OFFSET(nombres[],0,0,ROWS(nombres[]),1)=FY$1490,ROW(OFFSET(nombres[],0,0,ROWS(nombres[]),1))-ROW(OFFSET(nombres[],0,0,1,1))+1,ROW(OFFSET(nombres[],ROWS(nombres[])-1,0,1,1))+1),$O1553:$O1572),3),"")</f>
        <v/>
      </c>
      <c r="FZ1553" s="42" t="str">
        <f t="array" aca="1" ref="FZ1553" ca="1">IFERROR(INDEX(nombres[],SMALL(IF(OFFSET(nombres[],0,0,ROWS(nombres[]),1)=FZ$1490,ROW(OFFSET(nombres[],0,0,ROWS(nombres[]),1))-ROW(OFFSET(nombres[],0,0,1,1))+1,ROW(OFFSET(nombres[],ROWS(nombres[])-1,0,1,1))+1),$O1553:$O1572),3),"")</f>
        <v/>
      </c>
      <c r="GA1553" s="42" t="str">
        <f t="array" aca="1" ref="GA1553" ca="1">IFERROR(INDEX(nombres[],SMALL(IF(OFFSET(nombres[],0,0,ROWS(nombres[]),1)=GA$1490,ROW(OFFSET(nombres[],0,0,ROWS(nombres[]),1))-ROW(OFFSET(nombres[],0,0,1,1))+1,ROW(OFFSET(nombres[],ROWS(nombres[])-1,0,1,1))+1),$O1553:$O1572),3),"")</f>
        <v/>
      </c>
      <c r="GB1553" s="42" t="str">
        <f t="array" aca="1" ref="GB1553" ca="1">IFERROR(INDEX(nombres[],SMALL(IF(OFFSET(nombres[],0,0,ROWS(nombres[]),1)=GB$1490,ROW(OFFSET(nombres[],0,0,ROWS(nombres[]),1))-ROW(OFFSET(nombres[],0,0,1,1))+1,ROW(OFFSET(nombres[],ROWS(nombres[])-1,0,1,1))+1),$O1553:$O1572),3),"")</f>
        <v/>
      </c>
      <c r="GC1553" s="42" t="str">
        <f t="array" aca="1" ref="GC1553" ca="1">IFERROR(INDEX(nombres[],SMALL(IF(OFFSET(nombres[],0,0,ROWS(nombres[]),1)=GC$1490,ROW(OFFSET(nombres[],0,0,ROWS(nombres[]),1))-ROW(OFFSET(nombres[],0,0,1,1))+1,ROW(OFFSET(nombres[],ROWS(nombres[])-1,0,1,1))+1),$O1553:$O1572),3),"")</f>
        <v/>
      </c>
      <c r="GD1553" s="42" t="str">
        <f t="array" aca="1" ref="GD1553" ca="1">IFERROR(INDEX(nombres[],SMALL(IF(OFFSET(nombres[],0,0,ROWS(nombres[]),1)=GD$1490,ROW(OFFSET(nombres[],0,0,ROWS(nombres[]),1))-ROW(OFFSET(nombres[],0,0,1,1))+1,ROW(OFFSET(nombres[],ROWS(nombres[])-1,0,1,1))+1),$O1553:$O1572),3),"")</f>
        <v/>
      </c>
      <c r="GE1553" s="42" t="str">
        <f t="array" aca="1" ref="GE1553" ca="1">IFERROR(INDEX(nombres[],SMALL(IF(OFFSET(nombres[],0,0,ROWS(nombres[]),1)=GE$1490,ROW(OFFSET(nombres[],0,0,ROWS(nombres[]),1))-ROW(OFFSET(nombres[],0,0,1,1))+1,ROW(OFFSET(nombres[],ROWS(nombres[])-1,0,1,1))+1),$O1553:$O1572),3),"")</f>
        <v/>
      </c>
      <c r="GF1553" s="42" t="str">
        <f t="array" aca="1" ref="GF1553" ca="1">IFERROR(INDEX(nombres[],SMALL(IF(OFFSET(nombres[],0,0,ROWS(nombres[]),1)=GF$1490,ROW(OFFSET(nombres[],0,0,ROWS(nombres[]),1))-ROW(OFFSET(nombres[],0,0,1,1))+1,ROW(OFFSET(nombres[],ROWS(nombres[])-1,0,1,1))+1),$O1553:$O1572),3),"")</f>
        <v/>
      </c>
      <c r="GG1553" s="42" t="str">
        <f t="array" aca="1" ref="GG1553" ca="1">IFERROR(INDEX(nombres[],SMALL(IF(OFFSET(nombres[],0,0,ROWS(nombres[]),1)=GG$1490,ROW(OFFSET(nombres[],0,0,ROWS(nombres[]),1))-ROW(OFFSET(nombres[],0,0,1,1))+1,ROW(OFFSET(nombres[],ROWS(nombres[])-1,0,1,1))+1),$O1553:$O1572),3),"")</f>
        <v/>
      </c>
      <c r="GH1553" s="42" t="str">
        <f t="array" aca="1" ref="GH1553" ca="1">IFERROR(INDEX(nombres[],SMALL(IF(OFFSET(nombres[],0,0,ROWS(nombres[]),1)=GH$1490,ROW(OFFSET(nombres[],0,0,ROWS(nombres[]),1))-ROW(OFFSET(nombres[],0,0,1,1))+1,ROW(OFFSET(nombres[],ROWS(nombres[])-1,0,1,1))+1),$O1553:$O1572),3),"")</f>
        <v/>
      </c>
      <c r="GI1553" s="42" t="str">
        <f t="array" aca="1" ref="GI1553" ca="1">IFERROR(INDEX(nombres[],SMALL(IF(OFFSET(nombres[],0,0,ROWS(nombres[]),1)=GI$1490,ROW(OFFSET(nombres[],0,0,ROWS(nombres[]),1))-ROW(OFFSET(nombres[],0,0,1,1))+1,ROW(OFFSET(nombres[],ROWS(nombres[])-1,0,1,1))+1),$O1553:$O1572),3),"")</f>
        <v/>
      </c>
      <c r="GJ1553" s="42" t="str">
        <f t="array" aca="1" ref="GJ1553" ca="1">IFERROR(INDEX(nombres[],SMALL(IF(OFFSET(nombres[],0,0,ROWS(nombres[]),1)=GJ$1490,ROW(OFFSET(nombres[],0,0,ROWS(nombres[]),1))-ROW(OFFSET(nombres[],0,0,1,1))+1,ROW(OFFSET(nombres[],ROWS(nombres[])-1,0,1,1))+1),$O1553:$O1572),3),"")</f>
        <v/>
      </c>
      <c r="GK1553" s="42" t="str">
        <f t="array" aca="1" ref="GK1553" ca="1">IFERROR(INDEX(nombres[],SMALL(IF(OFFSET(nombres[],0,0,ROWS(nombres[]),1)=GK$1490,ROW(OFFSET(nombres[],0,0,ROWS(nombres[]),1))-ROW(OFFSET(nombres[],0,0,1,1))+1,ROW(OFFSET(nombres[],ROWS(nombres[])-1,0,1,1))+1),$O1553:$O1572),3),"")</f>
        <v/>
      </c>
      <c r="GL1553" s="42" t="str">
        <f t="array" aca="1" ref="GL1553" ca="1">IFERROR(INDEX(nombres[],SMALL(IF(OFFSET(nombres[],0,0,ROWS(nombres[]),1)=GL$1490,ROW(OFFSET(nombres[],0,0,ROWS(nombres[]),1))-ROW(OFFSET(nombres[],0,0,1,1))+1,ROW(OFFSET(nombres[],ROWS(nombres[])-1,0,1,1))+1),$O1553:$O1572),3),"")</f>
        <v/>
      </c>
      <c r="GM1553" s="42" t="str">
        <f t="array" aca="1" ref="GM1553" ca="1">IFERROR(INDEX(nombres[],SMALL(IF(OFFSET(nombres[],0,0,ROWS(nombres[]),1)=GM$1490,ROW(OFFSET(nombres[],0,0,ROWS(nombres[]),1))-ROW(OFFSET(nombres[],0,0,1,1))+1,ROW(OFFSET(nombres[],ROWS(nombres[])-1,0,1,1))+1),$O1553:$O1572),3),"")</f>
        <v/>
      </c>
      <c r="GN1553" s="42" t="str">
        <f t="array" aca="1" ref="GN1553" ca="1">IFERROR(INDEX(nombres[],SMALL(IF(OFFSET(nombres[],0,0,ROWS(nombres[]),1)=GN$1490,ROW(OFFSET(nombres[],0,0,ROWS(nombres[]),1))-ROW(OFFSET(nombres[],0,0,1,1))+1,ROW(OFFSET(nombres[],ROWS(nombres[])-1,0,1,1))+1),$O1553:$O1572),3),"")</f>
        <v/>
      </c>
      <c r="GO1553" s="42" t="str">
        <f t="array" aca="1" ref="GO1553" ca="1">IFERROR(INDEX(nombres[],SMALL(IF(OFFSET(nombres[],0,0,ROWS(nombres[]),1)=GO$1490,ROW(OFFSET(nombres[],0,0,ROWS(nombres[]),1))-ROW(OFFSET(nombres[],0,0,1,1))+1,ROW(OFFSET(nombres[],ROWS(nombres[])-1,0,1,1))+1),$O1553:$O1572),3),"")</f>
        <v/>
      </c>
      <c r="GP1553" s="42" t="str">
        <f t="array" aca="1" ref="GP1553" ca="1">IFERROR(INDEX(nombres[],SMALL(IF(OFFSET(nombres[],0,0,ROWS(nombres[]),1)=GP$1490,ROW(OFFSET(nombres[],0,0,ROWS(nombres[]),1))-ROW(OFFSET(nombres[],0,0,1,1))+1,ROW(OFFSET(nombres[],ROWS(nombres[])-1,0,1,1))+1),$O1553:$O1572),3),"")</f>
        <v/>
      </c>
      <c r="GQ1553" s="42" t="str">
        <f t="array" aca="1" ref="GQ1553" ca="1">IFERROR(INDEX(nombres[],SMALL(IF(OFFSET(nombres[],0,0,ROWS(nombres[]),1)=GQ$1490,ROW(OFFSET(nombres[],0,0,ROWS(nombres[]),1))-ROW(OFFSET(nombres[],0,0,1,1))+1,ROW(OFFSET(nombres[],ROWS(nombres[])-1,0,1,1))+1),$O1553:$O1572),3),"")</f>
        <v/>
      </c>
      <c r="GR1553" s="42" t="str">
        <f t="array" aca="1" ref="GR1553" ca="1">IFERROR(INDEX(nombres[],SMALL(IF(OFFSET(nombres[],0,0,ROWS(nombres[]),1)=GR$1490,ROW(OFFSET(nombres[],0,0,ROWS(nombres[]),1))-ROW(OFFSET(nombres[],0,0,1,1))+1,ROW(OFFSET(nombres[],ROWS(nombres[])-1,0,1,1))+1),$O1553:$O1572),3),"")</f>
        <v/>
      </c>
      <c r="GS1553" s="42" t="str">
        <f t="array" aca="1" ref="GS1553" ca="1">IFERROR(INDEX(nombres[],SMALL(IF(OFFSET(nombres[],0,0,ROWS(nombres[]),1)=GS$1490,ROW(OFFSET(nombres[],0,0,ROWS(nombres[]),1))-ROW(OFFSET(nombres[],0,0,1,1))+1,ROW(OFFSET(nombres[],ROWS(nombres[])-1,0,1,1))+1),$O1553:$O1572),3),"")</f>
        <v/>
      </c>
      <c r="GT1553" s="42" t="str">
        <f t="array" aca="1" ref="GT1553" ca="1">IFERROR(INDEX(nombres[],SMALL(IF(OFFSET(nombres[],0,0,ROWS(nombres[]),1)=GT$1490,ROW(OFFSET(nombres[],0,0,ROWS(nombres[]),1))-ROW(OFFSET(nombres[],0,0,1,1))+1,ROW(OFFSET(nombres[],ROWS(nombres[])-1,0,1,1))+1),$O1553:$O1572),3),"")</f>
        <v/>
      </c>
      <c r="GU1553" s="42" t="str">
        <f t="array" aca="1" ref="GU1553" ca="1">IFERROR(INDEX(nombres[],SMALL(IF(OFFSET(nombres[],0,0,ROWS(nombres[]),1)=GU$1490,ROW(OFFSET(nombres[],0,0,ROWS(nombres[]),1))-ROW(OFFSET(nombres[],0,0,1,1))+1,ROW(OFFSET(nombres[],ROWS(nombres[])-1,0,1,1))+1),$O1553:$O1572),3),"")</f>
        <v/>
      </c>
      <c r="GV1553" s="42" t="str">
        <f t="array" aca="1" ref="GV1553" ca="1">IFERROR(INDEX(nombres[],SMALL(IF(OFFSET(nombres[],0,0,ROWS(nombres[]),1)=GV$1490,ROW(OFFSET(nombres[],0,0,ROWS(nombres[]),1))-ROW(OFFSET(nombres[],0,0,1,1))+1,ROW(OFFSET(nombres[],ROWS(nombres[])-1,0,1,1))+1),$O1553:$O1572),3),"")</f>
        <v/>
      </c>
      <c r="GW1553" s="42" t="str">
        <f t="array" aca="1" ref="GW1553" ca="1">IFERROR(INDEX(nombres[],SMALL(IF(OFFSET(nombres[],0,0,ROWS(nombres[]),1)=GW$1490,ROW(OFFSET(nombres[],0,0,ROWS(nombres[]),1))-ROW(OFFSET(nombres[],0,0,1,1))+1,ROW(OFFSET(nombres[],ROWS(nombres[])-1,0,1,1))+1),$O1553:$O1572),3),"")</f>
        <v/>
      </c>
      <c r="GX1553" s="42" t="str">
        <f t="array" aca="1" ref="GX1553" ca="1">IFERROR(INDEX(nombres[],SMALL(IF(OFFSET(nombres[],0,0,ROWS(nombres[]),1)=GX$1490,ROW(OFFSET(nombres[],0,0,ROWS(nombres[]),1))-ROW(OFFSET(nombres[],0,0,1,1))+1,ROW(OFFSET(nombres[],ROWS(nombres[])-1,0,1,1))+1),$O1553:$O1572),3),"")</f>
        <v/>
      </c>
      <c r="GY1553" s="42" t="str">
        <f t="array" aca="1" ref="GY1553" ca="1">IFERROR(INDEX(nombres[],SMALL(IF(OFFSET(nombres[],0,0,ROWS(nombres[]),1)=GY$1490,ROW(OFFSET(nombres[],0,0,ROWS(nombres[]),1))-ROW(OFFSET(nombres[],0,0,1,1))+1,ROW(OFFSET(nombres[],ROWS(nombres[])-1,0,1,1))+1),$O1553:$O1572),3),"")</f>
        <v/>
      </c>
      <c r="GZ1553" s="42" t="str">
        <f t="array" aca="1" ref="GZ1553" ca="1">IFERROR(INDEX(nombres[],SMALL(IF(OFFSET(nombres[],0,0,ROWS(nombres[]),1)=GZ$1490,ROW(OFFSET(nombres[],0,0,ROWS(nombres[]),1))-ROW(OFFSET(nombres[],0,0,1,1))+1,ROW(OFFSET(nombres[],ROWS(nombres[])-1,0,1,1))+1),$O1553:$O1572),3),"")</f>
        <v/>
      </c>
      <c r="HA1553" s="42" t="str">
        <f t="array" aca="1" ref="HA1553" ca="1">IFERROR(INDEX(nombres[],SMALL(IF(OFFSET(nombres[],0,0,ROWS(nombres[]),1)=HA$1490,ROW(OFFSET(nombres[],0,0,ROWS(nombres[]),1))-ROW(OFFSET(nombres[],0,0,1,1))+1,ROW(OFFSET(nombres[],ROWS(nombres[])-1,0,1,1))+1),$O1553:$O1572),3),"")</f>
        <v/>
      </c>
      <c r="HB1553" s="42" t="str">
        <f t="array" aca="1" ref="HB1553" ca="1">IFERROR(INDEX(nombres[],SMALL(IF(OFFSET(nombres[],0,0,ROWS(nombres[]),1)=HB$1490,ROW(OFFSET(nombres[],0,0,ROWS(nombres[]),1))-ROW(OFFSET(nombres[],0,0,1,1))+1,ROW(OFFSET(nombres[],ROWS(nombres[])-1,0,1,1))+1),$O1553:$O1572),3),"")</f>
        <v/>
      </c>
      <c r="HC1553" s="42" t="str">
        <f t="array" aca="1" ref="HC1553" ca="1">IFERROR(INDEX(nombres[],SMALL(IF(OFFSET(nombres[],0,0,ROWS(nombres[]),1)=HC$1490,ROW(OFFSET(nombres[],0,0,ROWS(nombres[]),1))-ROW(OFFSET(nombres[],0,0,1,1))+1,ROW(OFFSET(nombres[],ROWS(nombres[])-1,0,1,1))+1),$O1553:$O1572),3),"")</f>
        <v/>
      </c>
      <c r="HD1553" s="42" t="str">
        <f t="array" aca="1" ref="HD1553" ca="1">IFERROR(INDEX(nombres[],SMALL(IF(OFFSET(nombres[],0,0,ROWS(nombres[]),1)=HD$1490,ROW(OFFSET(nombres[],0,0,ROWS(nombres[]),1))-ROW(OFFSET(nombres[],0,0,1,1))+1,ROW(OFFSET(nombres[],ROWS(nombres[])-1,0,1,1))+1),$O1553:$O1572),3),"")</f>
        <v/>
      </c>
      <c r="HE1553" s="42" t="str">
        <f t="array" aca="1" ref="HE1553" ca="1">IFERROR(INDEX(nombres[],SMALL(IF(OFFSET(nombres[],0,0,ROWS(nombres[]),1)=HE$1490,ROW(OFFSET(nombres[],0,0,ROWS(nombres[]),1))-ROW(OFFSET(nombres[],0,0,1,1))+1,ROW(OFFSET(nombres[],ROWS(nombres[])-1,0,1,1))+1),$O1553:$O1572),3),"")</f>
        <v/>
      </c>
      <c r="HF1553" s="42" t="str">
        <f t="array" aca="1" ref="HF1553" ca="1">IFERROR(INDEX(nombres[],SMALL(IF(OFFSET(nombres[],0,0,ROWS(nombres[]),1)=HF$1490,ROW(OFFSET(nombres[],0,0,ROWS(nombres[]),1))-ROW(OFFSET(nombres[],0,0,1,1))+1,ROW(OFFSET(nombres[],ROWS(nombres[])-1,0,1,1))+1),$O1553:$O1572),3),"")</f>
        <v/>
      </c>
      <c r="HG1553" s="42" t="str">
        <f t="array" aca="1" ref="HG1553" ca="1">IFERROR(INDEX(nombres[],SMALL(IF(OFFSET(nombres[],0,0,ROWS(nombres[]),1)=HG$1490,ROW(OFFSET(nombres[],0,0,ROWS(nombres[]),1))-ROW(OFFSET(nombres[],0,0,1,1))+1,ROW(OFFSET(nombres[],ROWS(nombres[])-1,0,1,1))+1),$O1553:$O1572),3),"")</f>
        <v/>
      </c>
      <c r="HH1553" s="42" t="str">
        <f t="array" aca="1" ref="HH1553" ca="1">IFERROR(INDEX(nombres[],SMALL(IF(OFFSET(nombres[],0,0,ROWS(nombres[]),1)=HH$1490,ROW(OFFSET(nombres[],0,0,ROWS(nombres[]),1))-ROW(OFFSET(nombres[],0,0,1,1))+1,ROW(OFFSET(nombres[],ROWS(nombres[])-1,0,1,1))+1),$O1553:$O1572),3),"")</f>
        <v/>
      </c>
      <c r="HI1553" s="42" t="str">
        <f t="array" aca="1" ref="HI1553" ca="1">IFERROR(INDEX(nombres[],SMALL(IF(OFFSET(nombres[],0,0,ROWS(nombres[]),1)=HI$1490,ROW(OFFSET(nombres[],0,0,ROWS(nombres[]),1))-ROW(OFFSET(nombres[],0,0,1,1))+1,ROW(OFFSET(nombres[],ROWS(nombres[])-1,0,1,1))+1),$O1553:$O1572),3),"")</f>
        <v/>
      </c>
      <c r="HJ1553" s="42" t="str">
        <f t="array" aca="1" ref="HJ1553" ca="1">IFERROR(INDEX(nombres[],SMALL(IF(OFFSET(nombres[],0,0,ROWS(nombres[]),1)=HJ$1490,ROW(OFFSET(nombres[],0,0,ROWS(nombres[]),1))-ROW(OFFSET(nombres[],0,0,1,1))+1,ROW(OFFSET(nombres[],ROWS(nombres[])-1,0,1,1))+1),$O1553:$O1572),3),"")</f>
        <v/>
      </c>
      <c r="HK1553" s="42" t="str">
        <f t="array" aca="1" ref="HK1553" ca="1">IFERROR(INDEX(nombres[],SMALL(IF(OFFSET(nombres[],0,0,ROWS(nombres[]),1)=HK$1490,ROW(OFFSET(nombres[],0,0,ROWS(nombres[]),1))-ROW(OFFSET(nombres[],0,0,1,1))+1,ROW(OFFSET(nombres[],ROWS(nombres[])-1,0,1,1))+1),$O1553:$O1572),3),"")</f>
        <v/>
      </c>
      <c r="HL1553" s="42" t="str">
        <f t="array" aca="1" ref="HL1553" ca="1">IFERROR(INDEX(nombres[],SMALL(IF(OFFSET(nombres[],0,0,ROWS(nombres[]),1)=HL$1490,ROW(OFFSET(nombres[],0,0,ROWS(nombres[]),1))-ROW(OFFSET(nombres[],0,0,1,1))+1,ROW(OFFSET(nombres[],ROWS(nombres[])-1,0,1,1))+1),$O1553:$O1572),3),"")</f>
        <v/>
      </c>
      <c r="HM1553" s="42" t="str">
        <f t="array" aca="1" ref="HM1553" ca="1">IFERROR(INDEX(nombres[],SMALL(IF(OFFSET(nombres[],0,0,ROWS(nombres[]),1)=HM$1490,ROW(OFFSET(nombres[],0,0,ROWS(nombres[]),1))-ROW(OFFSET(nombres[],0,0,1,1))+1,ROW(OFFSET(nombres[],ROWS(nombres[])-1,0,1,1))+1),$O1553:$O1572),3),"")</f>
        <v/>
      </c>
      <c r="HN1553" s="42" t="str">
        <f t="array" aca="1" ref="HN1553" ca="1">IFERROR(INDEX(nombres[],SMALL(IF(OFFSET(nombres[],0,0,ROWS(nombres[]),1)=HN$1490,ROW(OFFSET(nombres[],0,0,ROWS(nombres[]),1))-ROW(OFFSET(nombres[],0,0,1,1))+1,ROW(OFFSET(nombres[],ROWS(nombres[])-1,0,1,1))+1),$O1553:$O1572),3),"")</f>
        <v/>
      </c>
      <c r="HO1553" s="42" t="str">
        <f t="array" aca="1" ref="HO1553" ca="1">IFERROR(INDEX(nombres[],SMALL(IF(OFFSET(nombres[],0,0,ROWS(nombres[]),1)=HO$1490,ROW(OFFSET(nombres[],0,0,ROWS(nombres[]),1))-ROW(OFFSET(nombres[],0,0,1,1))+1,ROW(OFFSET(nombres[],ROWS(nombres[])-1,0,1,1))+1),$O1553:$O1572),3),"")</f>
        <v/>
      </c>
      <c r="HP1553" s="42" t="str">
        <f t="array" aca="1" ref="HP1553" ca="1">IFERROR(INDEX(nombres[],SMALL(IF(OFFSET(nombres[],0,0,ROWS(nombres[]),1)=HP$1490,ROW(OFFSET(nombres[],0,0,ROWS(nombres[]),1))-ROW(OFFSET(nombres[],0,0,1,1))+1,ROW(OFFSET(nombres[],ROWS(nombres[])-1,0,1,1))+1),$O1553:$O1572),3),"")</f>
        <v/>
      </c>
      <c r="HQ1553" s="42" t="str">
        <f t="array" aca="1" ref="HQ1553" ca="1">IFERROR(INDEX(nombres[],SMALL(IF(OFFSET(nombres[],0,0,ROWS(nombres[]),1)=HQ$1490,ROW(OFFSET(nombres[],0,0,ROWS(nombres[]),1))-ROW(OFFSET(nombres[],0,0,1,1))+1,ROW(OFFSET(nombres[],ROWS(nombres[])-1,0,1,1))+1),$O1553:$O1572),3),"")</f>
        <v/>
      </c>
      <c r="HR1553" s="42" t="str">
        <f t="array" aca="1" ref="HR1553" ca="1">IFERROR(INDEX(nombres[],SMALL(IF(OFFSET(nombres[],0,0,ROWS(nombres[]),1)=HR$1490,ROW(OFFSET(nombres[],0,0,ROWS(nombres[]),1))-ROW(OFFSET(nombres[],0,0,1,1))+1,ROW(OFFSET(nombres[],ROWS(nombres[])-1,0,1,1))+1),$O1553:$O1572),3),"")</f>
        <v/>
      </c>
      <c r="HS1553" s="42" t="str">
        <f t="array" aca="1" ref="HS1553" ca="1">IFERROR(INDEX(nombres[],SMALL(IF(OFFSET(nombres[],0,0,ROWS(nombres[]),1)=HS$1490,ROW(OFFSET(nombres[],0,0,ROWS(nombres[]),1))-ROW(OFFSET(nombres[],0,0,1,1))+1,ROW(OFFSET(nombres[],ROWS(nombres[])-1,0,1,1))+1),$O1553:$O1572),3),"")</f>
        <v/>
      </c>
      <c r="HT1553" s="42" t="str">
        <f t="array" aca="1" ref="HT1553" ca="1">IFERROR(INDEX(nombres[],SMALL(IF(OFFSET(nombres[],0,0,ROWS(nombres[]),1)=HT$1490,ROW(OFFSET(nombres[],0,0,ROWS(nombres[]),1))-ROW(OFFSET(nombres[],0,0,1,1))+1,ROW(OFFSET(nombres[],ROWS(nombres[])-1,0,1,1))+1),$O1553:$O1572),3),"")</f>
        <v/>
      </c>
      <c r="HU1553" s="42" t="str">
        <f t="array" aca="1" ref="HU1553" ca="1">IFERROR(INDEX(nombres[],SMALL(IF(OFFSET(nombres[],0,0,ROWS(nombres[]),1)=HU$1490,ROW(OFFSET(nombres[],0,0,ROWS(nombres[]),1))-ROW(OFFSET(nombres[],0,0,1,1))+1,ROW(OFFSET(nombres[],ROWS(nombres[])-1,0,1,1))+1),$O1553:$O1572),3),"")</f>
        <v/>
      </c>
      <c r="HV1553" s="42" t="str">
        <f t="array" aca="1" ref="HV1553" ca="1">IFERROR(INDEX(nombres[],SMALL(IF(OFFSET(nombres[],0,0,ROWS(nombres[]),1)=HV$1490,ROW(OFFSET(nombres[],0,0,ROWS(nombres[]),1))-ROW(OFFSET(nombres[],0,0,1,1))+1,ROW(OFFSET(nombres[],ROWS(nombres[])-1,0,1,1))+1),$O1553:$O1572),3),"")</f>
        <v/>
      </c>
      <c r="HW1553" s="42" t="str">
        <f t="array" aca="1" ref="HW1553" ca="1">IFERROR(INDEX(nombres[],SMALL(IF(OFFSET(nombres[],0,0,ROWS(nombres[]),1)=HW$1490,ROW(OFFSET(nombres[],0,0,ROWS(nombres[]),1))-ROW(OFFSET(nombres[],0,0,1,1))+1,ROW(OFFSET(nombres[],ROWS(nombres[])-1,0,1,1))+1),$O1553:$O1572),3),"")</f>
        <v/>
      </c>
      <c r="HX1553" s="42" t="str">
        <f t="array" aca="1" ref="HX1553" ca="1">IFERROR(INDEX(nombres[],SMALL(IF(OFFSET(nombres[],0,0,ROWS(nombres[]),1)=HX$1490,ROW(OFFSET(nombres[],0,0,ROWS(nombres[]),1))-ROW(OFFSET(nombres[],0,0,1,1))+1,ROW(OFFSET(nombres[],ROWS(nombres[])-1,0,1,1))+1),$O1553:$O1572),3),"")</f>
        <v/>
      </c>
      <c r="HY1553" s="42" t="str">
        <f t="array" aca="1" ref="HY1553" ca="1">IFERROR(INDEX(nombres[],SMALL(IF(OFFSET(nombres[],0,0,ROWS(nombres[]),1)=HY$1490,ROW(OFFSET(nombres[],0,0,ROWS(nombres[]),1))-ROW(OFFSET(nombres[],0,0,1,1))+1,ROW(OFFSET(nombres[],ROWS(nombres[])-1,0,1,1))+1),$O1553:$O1572),3),"")</f>
        <v/>
      </c>
      <c r="HZ1553" s="42" t="str">
        <f t="array" aca="1" ref="HZ1553" ca="1">IFERROR(INDEX(nombres[],SMALL(IF(OFFSET(nombres[],0,0,ROWS(nombres[]),1)=HZ$1490,ROW(OFFSET(nombres[],0,0,ROWS(nombres[]),1))-ROW(OFFSET(nombres[],0,0,1,1))+1,ROW(OFFSET(nombres[],ROWS(nombres[])-1,0,1,1))+1),$O1553:$O1572),3),"")</f>
        <v/>
      </c>
      <c r="IA1553" s="42" t="str">
        <f t="array" aca="1" ref="IA1553" ca="1">IFERROR(INDEX(nombres[],SMALL(IF(OFFSET(nombres[],0,0,ROWS(nombres[]),1)=IA$1490,ROW(OFFSET(nombres[],0,0,ROWS(nombres[]),1))-ROW(OFFSET(nombres[],0,0,1,1))+1,ROW(OFFSET(nombres[],ROWS(nombres[])-1,0,1,1))+1),$O1553:$O1572),3),"")</f>
        <v/>
      </c>
      <c r="IB1553" s="42" t="str">
        <f t="array" aca="1" ref="IB1553" ca="1">IFERROR(INDEX(nombres[],SMALL(IF(OFFSET(nombres[],0,0,ROWS(nombres[]),1)=IB$1490,ROW(OFFSET(nombres[],0,0,ROWS(nombres[]),1))-ROW(OFFSET(nombres[],0,0,1,1))+1,ROW(OFFSET(nombres[],ROWS(nombres[])-1,0,1,1))+1),$O1553:$O1572),3),"")</f>
        <v/>
      </c>
      <c r="IC1553" s="42" t="str">
        <f t="array" aca="1" ref="IC1553" ca="1">IFERROR(INDEX(nombres[],SMALL(IF(OFFSET(nombres[],0,0,ROWS(nombres[]),1)=IC$1490,ROW(OFFSET(nombres[],0,0,ROWS(nombres[]),1))-ROW(OFFSET(nombres[],0,0,1,1))+1,ROW(OFFSET(nombres[],ROWS(nombres[])-1,0,1,1))+1),$O1553:$O1572),3),"")</f>
        <v/>
      </c>
      <c r="ID1553" s="42" t="str">
        <f t="array" aca="1" ref="ID1553" ca="1">IFERROR(INDEX(nombres[],SMALL(IF(OFFSET(nombres[],0,0,ROWS(nombres[]),1)=ID$1490,ROW(OFFSET(nombres[],0,0,ROWS(nombres[]),1))-ROW(OFFSET(nombres[],0,0,1,1))+1,ROW(OFFSET(nombres[],ROWS(nombres[])-1,0,1,1))+1),$O1553:$O1572),3),"")</f>
        <v/>
      </c>
      <c r="IE1553" s="42" t="str">
        <f t="array" aca="1" ref="IE1553" ca="1">IFERROR(INDEX(nombres[],SMALL(IF(OFFSET(nombres[],0,0,ROWS(nombres[]),1)=IE$1490,ROW(OFFSET(nombres[],0,0,ROWS(nombres[]),1))-ROW(OFFSET(nombres[],0,0,1,1))+1,ROW(OFFSET(nombres[],ROWS(nombres[])-1,0,1,1))+1),$O1553:$O1572),3),"")</f>
        <v/>
      </c>
      <c r="IF1553" s="42" t="str">
        <f t="array" aca="1" ref="IF1553" ca="1">IFERROR(INDEX(nombres[],SMALL(IF(OFFSET(nombres[],0,0,ROWS(nombres[]),1)=IF$1490,ROW(OFFSET(nombres[],0,0,ROWS(nombres[]),1))-ROW(OFFSET(nombres[],0,0,1,1))+1,ROW(OFFSET(nombres[],ROWS(nombres[])-1,0,1,1))+1),$O1553:$O1572),3),"")</f>
        <v/>
      </c>
      <c r="IG1553" s="42" t="str">
        <f t="array" aca="1" ref="IG1553" ca="1">IFERROR(INDEX(nombres[],SMALL(IF(OFFSET(nombres[],0,0,ROWS(nombres[]),1)=IG$1490,ROW(OFFSET(nombres[],0,0,ROWS(nombres[]),1))-ROW(OFFSET(nombres[],0,0,1,1))+1,ROW(OFFSET(nombres[],ROWS(nombres[])-1,0,1,1))+1),$O1553:$O1572),3),"")</f>
        <v/>
      </c>
      <c r="IH1553" s="42" t="str">
        <f t="array" aca="1" ref="IH1553" ca="1">IFERROR(INDEX(nombres[],SMALL(IF(OFFSET(nombres[],0,0,ROWS(nombres[]),1)=IH$1490,ROW(OFFSET(nombres[],0,0,ROWS(nombres[]),1))-ROW(OFFSET(nombres[],0,0,1,1))+1,ROW(OFFSET(nombres[],ROWS(nombres[])-1,0,1,1))+1),$O1553:$O1572),3),"")</f>
        <v/>
      </c>
      <c r="II1553" s="42" t="str">
        <f t="array" aca="1" ref="II1553" ca="1">IFERROR(INDEX(nombres[],SMALL(IF(OFFSET(nombres[],0,0,ROWS(nombres[]),1)=II$1490,ROW(OFFSET(nombres[],0,0,ROWS(nombres[]),1))-ROW(OFFSET(nombres[],0,0,1,1))+1,ROW(OFFSET(nombres[],ROWS(nombres[])-1,0,1,1))+1),$O1553:$O1572),3),"")</f>
        <v/>
      </c>
      <c r="IJ1553" s="42" t="str">
        <f t="array" aca="1" ref="IJ1553" ca="1">IFERROR(INDEX(nombres[],SMALL(IF(OFFSET(nombres[],0,0,ROWS(nombres[]),1)=IJ$1490,ROW(OFFSET(nombres[],0,0,ROWS(nombres[]),1))-ROW(OFFSET(nombres[],0,0,1,1))+1,ROW(OFFSET(nombres[],ROWS(nombres[])-1,0,1,1))+1),$O1553:$O1572),3),"")</f>
        <v/>
      </c>
      <c r="IK1553" s="42" t="str">
        <f t="array" aca="1" ref="IK1553" ca="1">IFERROR(INDEX(nombres[],SMALL(IF(OFFSET(nombres[],0,0,ROWS(nombres[]),1)=IK$1490,ROW(OFFSET(nombres[],0,0,ROWS(nombres[]),1))-ROW(OFFSET(nombres[],0,0,1,1))+1,ROW(OFFSET(nombres[],ROWS(nombres[])-1,0,1,1))+1),$O1553:$O1572),3),"")</f>
        <v/>
      </c>
      <c r="IL1553" s="42" t="str">
        <f t="array" aca="1" ref="IL1553" ca="1">IFERROR(INDEX(nombres[],SMALL(IF(OFFSET(nombres[],0,0,ROWS(nombres[]),1)=IL$1490,ROW(OFFSET(nombres[],0,0,ROWS(nombres[]),1))-ROW(OFFSET(nombres[],0,0,1,1))+1,ROW(OFFSET(nombres[],ROWS(nombres[])-1,0,1,1))+1),$O1553:$O1572),3),"")</f>
        <v/>
      </c>
      <c r="IM1553" s="42" t="str">
        <f t="array" aca="1" ref="IM1553" ca="1">IFERROR(INDEX(nombres[],SMALL(IF(OFFSET(nombres[],0,0,ROWS(nombres[]),1)=IM$1490,ROW(OFFSET(nombres[],0,0,ROWS(nombres[]),1))-ROW(OFFSET(nombres[],0,0,1,1))+1,ROW(OFFSET(nombres[],ROWS(nombres[])-1,0,1,1))+1),$O1553:$O1572),3),"")</f>
        <v/>
      </c>
      <c r="IN1553" s="42" t="str">
        <f t="array" aca="1" ref="IN1553" ca="1">IFERROR(INDEX(nombres[],SMALL(IF(OFFSET(nombres[],0,0,ROWS(nombres[]),1)=IN$1490,ROW(OFFSET(nombres[],0,0,ROWS(nombres[]),1))-ROW(OFFSET(nombres[],0,0,1,1))+1,ROW(OFFSET(nombres[],ROWS(nombres[])-1,0,1,1))+1),$O1553:$O1572),3),"")</f>
        <v/>
      </c>
      <c r="IO1553" s="42" t="str">
        <f t="array" aca="1" ref="IO1553" ca="1">IFERROR(INDEX(nombres[],SMALL(IF(OFFSET(nombres[],0,0,ROWS(nombres[]),1)=IO$1490,ROW(OFFSET(nombres[],0,0,ROWS(nombres[]),1))-ROW(OFFSET(nombres[],0,0,1,1))+1,ROW(OFFSET(nombres[],ROWS(nombres[])-1,0,1,1))+1),$O1553:$O1572),3),"")</f>
        <v/>
      </c>
      <c r="IP1553" s="42" t="str">
        <f t="array" aca="1" ref="IP1553" ca="1">IFERROR(INDEX(nombres[],SMALL(IF(OFFSET(nombres[],0,0,ROWS(nombres[]),1)=IP$1490,ROW(OFFSET(nombres[],0,0,ROWS(nombres[]),1))-ROW(OFFSET(nombres[],0,0,1,1))+1,ROW(OFFSET(nombres[],ROWS(nombres[])-1,0,1,1))+1),$O1553:$O1572),3),"")</f>
        <v/>
      </c>
      <c r="IQ1553" s="42" t="str">
        <f t="array" aca="1" ref="IQ1553" ca="1">IFERROR(INDEX(nombres[],SMALL(IF(OFFSET(nombres[],0,0,ROWS(nombres[]),1)=IQ$1490,ROW(OFFSET(nombres[],0,0,ROWS(nombres[]),1))-ROW(OFFSET(nombres[],0,0,1,1))+1,ROW(OFFSET(nombres[],ROWS(nombres[])-1,0,1,1))+1),$O1553:$O1572),3),"")</f>
        <v/>
      </c>
      <c r="IR1553" s="42" t="str">
        <f t="array" aca="1" ref="IR1553" ca="1">IFERROR(INDEX(nombres[],SMALL(IF(OFFSET(nombres[],0,0,ROWS(nombres[]),1)=IR$1490,ROW(OFFSET(nombres[],0,0,ROWS(nombres[]),1))-ROW(OFFSET(nombres[],0,0,1,1))+1,ROW(OFFSET(nombres[],ROWS(nombres[])-1,0,1,1))+1),$O1553:$O1572),3),"")</f>
        <v/>
      </c>
      <c r="IS1553" s="42" t="str">
        <f t="array" aca="1" ref="IS1553" ca="1">IFERROR(INDEX(nombres[],SMALL(IF(OFFSET(nombres[],0,0,ROWS(nombres[]),1)=IS$1490,ROW(OFFSET(nombres[],0,0,ROWS(nombres[]),1))-ROW(OFFSET(nombres[],0,0,1,1))+1,ROW(OFFSET(nombres[],ROWS(nombres[])-1,0,1,1))+1),$O1553:$O1572),3),"")</f>
        <v/>
      </c>
      <c r="IT1553" s="42" t="str">
        <f t="array" aca="1" ref="IT1553" ca="1">IFERROR(INDEX(nombres[],SMALL(IF(OFFSET(nombres[],0,0,ROWS(nombres[]),1)=IT$1490,ROW(OFFSET(nombres[],0,0,ROWS(nombres[]),1))-ROW(OFFSET(nombres[],0,0,1,1))+1,ROW(OFFSET(nombres[],ROWS(nombres[])-1,0,1,1))+1),$O1553:$O1572),3),"")</f>
        <v/>
      </c>
      <c r="IU1553" s="42" t="str">
        <f t="array" aca="1" ref="IU1553" ca="1">IFERROR(INDEX(nombres[],SMALL(IF(OFFSET(nombres[],0,0,ROWS(nombres[]),1)=IU$1490,ROW(OFFSET(nombres[],0,0,ROWS(nombres[]),1))-ROW(OFFSET(nombres[],0,0,1,1))+1,ROW(OFFSET(nombres[],ROWS(nombres[])-1,0,1,1))+1),$O1553:$O1572),3),"")</f>
        <v/>
      </c>
      <c r="IV1553" s="42" t="str">
        <f t="array" aca="1" ref="IV1553" ca="1">IFERROR(INDEX(nombres[],SMALL(IF(OFFSET(nombres[],0,0,ROWS(nombres[]),1)=IV$1490,ROW(OFFSET(nombres[],0,0,ROWS(nombres[]),1))-ROW(OFFSET(nombres[],0,0,1,1))+1,ROW(OFFSET(nombres[],ROWS(nombres[])-1,0,1,1))+1),$O1553:$O1572),3),"")</f>
        <v/>
      </c>
      <c r="IW1553" s="42" t="str">
        <f t="array" aca="1" ref="IW1553" ca="1">IFERROR(INDEX(nombres[],SMALL(IF(OFFSET(nombres[],0,0,ROWS(nombres[]),1)=IW$1490,ROW(OFFSET(nombres[],0,0,ROWS(nombres[]),1))-ROW(OFFSET(nombres[],0,0,1,1))+1,ROW(OFFSET(nombres[],ROWS(nombres[])-1,0,1,1))+1),$O1553:$O1572),3),"")</f>
        <v/>
      </c>
      <c r="IX1553" s="42" t="str">
        <f t="array" aca="1" ref="IX1553" ca="1">IFERROR(INDEX(nombres[],SMALL(IF(OFFSET(nombres[],0,0,ROWS(nombres[]),1)=IX$1490,ROW(OFFSET(nombres[],0,0,ROWS(nombres[]),1))-ROW(OFFSET(nombres[],0,0,1,1))+1,ROW(OFFSET(nombres[],ROWS(nombres[])-1,0,1,1))+1),$O1553:$O1572),3),"")</f>
        <v/>
      </c>
      <c r="IY1553" s="42" t="str">
        <f t="array" aca="1" ref="IY1553" ca="1">IFERROR(INDEX(nombres[],SMALL(IF(OFFSET(nombres[],0,0,ROWS(nombres[]),1)=IY$1490,ROW(OFFSET(nombres[],0,0,ROWS(nombres[]),1))-ROW(OFFSET(nombres[],0,0,1,1))+1,ROW(OFFSET(nombres[],ROWS(nombres[])-1,0,1,1))+1),$O1553:$O1572),3),"")</f>
        <v/>
      </c>
      <c r="IZ1553" s="42" t="str">
        <f t="array" aca="1" ref="IZ1553" ca="1">IFERROR(INDEX(nombres[],SMALL(IF(OFFSET(nombres[],0,0,ROWS(nombres[]),1)=IZ$1490,ROW(OFFSET(nombres[],0,0,ROWS(nombres[]),1))-ROW(OFFSET(nombres[],0,0,1,1))+1,ROW(OFFSET(nombres[],ROWS(nombres[])-1,0,1,1))+1),$O1553:$O1572),3),"")</f>
        <v/>
      </c>
      <c r="JA1553" s="42" t="str">
        <f t="array" aca="1" ref="JA1553" ca="1">IFERROR(INDEX(nombres[],SMALL(IF(OFFSET(nombres[],0,0,ROWS(nombres[]),1)=JA$1490,ROW(OFFSET(nombres[],0,0,ROWS(nombres[]),1))-ROW(OFFSET(nombres[],0,0,1,1))+1,ROW(OFFSET(nombres[],ROWS(nombres[])-1,0,1,1))+1),$O1553:$O1572),3),"")</f>
        <v/>
      </c>
      <c r="JB1553" s="42" t="str">
        <f t="array" aca="1" ref="JB1553" ca="1">IFERROR(INDEX(nombres[],SMALL(IF(OFFSET(nombres[],0,0,ROWS(nombres[]),1)=JB$1490,ROW(OFFSET(nombres[],0,0,ROWS(nombres[]),1))-ROW(OFFSET(nombres[],0,0,1,1))+1,ROW(OFFSET(nombres[],ROWS(nombres[])-1,0,1,1))+1),$O1553:$O1572),3),"")</f>
        <v/>
      </c>
      <c r="JC1553" s="42" t="str">
        <f t="array" aca="1" ref="JC1553" ca="1">IFERROR(INDEX(nombres[],SMALL(IF(OFFSET(nombres[],0,0,ROWS(nombres[]),1)=JC$1490,ROW(OFFSET(nombres[],0,0,ROWS(nombres[]),1))-ROW(OFFSET(nombres[],0,0,1,1))+1,ROW(OFFSET(nombres[],ROWS(nombres[])-1,0,1,1))+1),$O1553:$O1572),3),"")</f>
        <v/>
      </c>
      <c r="JD1553" s="42" t="str">
        <f t="array" aca="1" ref="JD1553" ca="1">IFERROR(INDEX(nombres[],SMALL(IF(OFFSET(nombres[],0,0,ROWS(nombres[]),1)=JD$1490,ROW(OFFSET(nombres[],0,0,ROWS(nombres[]),1))-ROW(OFFSET(nombres[],0,0,1,1))+1,ROW(OFFSET(nombres[],ROWS(nombres[])-1,0,1,1))+1),$O1553:$O1572),3),"")</f>
        <v/>
      </c>
      <c r="JE1553" s="42" t="str">
        <f t="array" aca="1" ref="JE1553" ca="1">IFERROR(INDEX(nombres[],SMALL(IF(OFFSET(nombres[],0,0,ROWS(nombres[]),1)=JE$1490,ROW(OFFSET(nombres[],0,0,ROWS(nombres[]),1))-ROW(OFFSET(nombres[],0,0,1,1))+1,ROW(OFFSET(nombres[],ROWS(nombres[])-1,0,1,1))+1),$O1553:$O1572),3),"")</f>
        <v/>
      </c>
      <c r="JF1553" s="42" t="str">
        <f t="array" aca="1" ref="JF1553" ca="1">IFERROR(INDEX(nombres[],SMALL(IF(OFFSET(nombres[],0,0,ROWS(nombres[]),1)=JF$1490,ROW(OFFSET(nombres[],0,0,ROWS(nombres[]),1))-ROW(OFFSET(nombres[],0,0,1,1))+1,ROW(OFFSET(nombres[],ROWS(nombres[])-1,0,1,1))+1),$O1553:$O1572),3),"")</f>
        <v/>
      </c>
      <c r="JG1553" s="42" t="str">
        <f t="array" aca="1" ref="JG1553" ca="1">IFERROR(INDEX(nombres[],SMALL(IF(OFFSET(nombres[],0,0,ROWS(nombres[]),1)=JG$1490,ROW(OFFSET(nombres[],0,0,ROWS(nombres[]),1))-ROW(OFFSET(nombres[],0,0,1,1))+1,ROW(OFFSET(nombres[],ROWS(nombres[])-1,0,1,1))+1),$O1553:$O1572),3),"")</f>
        <v/>
      </c>
      <c r="JH1553" s="42" t="str">
        <f t="array" aca="1" ref="JH1553" ca="1">IFERROR(INDEX(nombres[],SMALL(IF(OFFSET(nombres[],0,0,ROWS(nombres[]),1)=JH$1490,ROW(OFFSET(nombres[],0,0,ROWS(nombres[]),1))-ROW(OFFSET(nombres[],0,0,1,1))+1,ROW(OFFSET(nombres[],ROWS(nombres[])-1,0,1,1))+1),$O1553:$O1572),3),"")</f>
        <v/>
      </c>
      <c r="JI1553" s="42" t="str">
        <f t="array" aca="1" ref="JI1553" ca="1">IFERROR(INDEX(nombres[],SMALL(IF(OFFSET(nombres[],0,0,ROWS(nombres[]),1)=JI$1490,ROW(OFFSET(nombres[],0,0,ROWS(nombres[]),1))-ROW(OFFSET(nombres[],0,0,1,1))+1,ROW(OFFSET(nombres[],ROWS(nombres[])-1,0,1,1))+1),$O1553:$O1572),3),"")</f>
        <v/>
      </c>
      <c r="JJ1553" s="42" t="str">
        <f t="array" aca="1" ref="JJ1553" ca="1">IFERROR(INDEX(nombres[],SMALL(IF(OFFSET(nombres[],0,0,ROWS(nombres[]),1)=JJ$1490,ROW(OFFSET(nombres[],0,0,ROWS(nombres[]),1))-ROW(OFFSET(nombres[],0,0,1,1))+1,ROW(OFFSET(nombres[],ROWS(nombres[])-1,0,1,1))+1),$O1553:$O1572),3),"")</f>
        <v/>
      </c>
      <c r="JK1553" s="42" t="str">
        <f t="array" aca="1" ref="JK1553" ca="1">IFERROR(INDEX(nombres[],SMALL(IF(OFFSET(nombres[],0,0,ROWS(nombres[]),1)=JK$1490,ROW(OFFSET(nombres[],0,0,ROWS(nombres[]),1))-ROW(OFFSET(nombres[],0,0,1,1))+1,ROW(OFFSET(nombres[],ROWS(nombres[])-1,0,1,1))+1),$O1553:$O1572),3),"")</f>
        <v/>
      </c>
      <c r="JL1553" s="42" t="str">
        <f t="array" aca="1" ref="JL1553" ca="1">IFERROR(INDEX(nombres[],SMALL(IF(OFFSET(nombres[],0,0,ROWS(nombres[]),1)=JL$1490,ROW(OFFSET(nombres[],0,0,ROWS(nombres[]),1))-ROW(OFFSET(nombres[],0,0,1,1))+1,ROW(OFFSET(nombres[],ROWS(nombres[])-1,0,1,1))+1),$O1553:$O1572),3),"")</f>
        <v/>
      </c>
      <c r="JM1553" s="42" t="str">
        <f t="array" aca="1" ref="JM1553" ca="1">IFERROR(INDEX(nombres[],SMALL(IF(OFFSET(nombres[],0,0,ROWS(nombres[]),1)=JM$1490,ROW(OFFSET(nombres[],0,0,ROWS(nombres[]),1))-ROW(OFFSET(nombres[],0,0,1,1))+1,ROW(OFFSET(nombres[],ROWS(nombres[])-1,0,1,1))+1),$O1553:$O1572),3),"")</f>
        <v/>
      </c>
      <c r="JN1553" s="42" t="str">
        <f t="array" aca="1" ref="JN1553" ca="1">IFERROR(INDEX(nombres[],SMALL(IF(OFFSET(nombres[],0,0,ROWS(nombres[]),1)=JN$1490,ROW(OFFSET(nombres[],0,0,ROWS(nombres[]),1))-ROW(OFFSET(nombres[],0,0,1,1))+1,ROW(OFFSET(nombres[],ROWS(nombres[])-1,0,1,1))+1),$O1553:$O1572),3),"")</f>
        <v/>
      </c>
      <c r="JO1553" s="42" t="str">
        <f t="array" aca="1" ref="JO1553" ca="1">IFERROR(INDEX(nombres[],SMALL(IF(OFFSET(nombres[],0,0,ROWS(nombres[]),1)=JO$1490,ROW(OFFSET(nombres[],0,0,ROWS(nombres[]),1))-ROW(OFFSET(nombres[],0,0,1,1))+1,ROW(OFFSET(nombres[],ROWS(nombres[])-1,0,1,1))+1),$O1553:$O1572),3),"")</f>
        <v/>
      </c>
      <c r="JP1553" s="42" t="str">
        <f t="array" aca="1" ref="JP1553" ca="1">IFERROR(INDEX(nombres[],SMALL(IF(OFFSET(nombres[],0,0,ROWS(nombres[]),1)=JP$1490,ROW(OFFSET(nombres[],0,0,ROWS(nombres[]),1))-ROW(OFFSET(nombres[],0,0,1,1))+1,ROW(OFFSET(nombres[],ROWS(nombres[])-1,0,1,1))+1),$O1553:$O1572),3),"")</f>
        <v/>
      </c>
      <c r="JQ1553" s="42" t="str">
        <f t="array" aca="1" ref="JQ1553" ca="1">IFERROR(INDEX(nombres[],SMALL(IF(OFFSET(nombres[],0,0,ROWS(nombres[]),1)=JQ$1490,ROW(OFFSET(nombres[],0,0,ROWS(nombres[]),1))-ROW(OFFSET(nombres[],0,0,1,1))+1,ROW(OFFSET(nombres[],ROWS(nombres[])-1,0,1,1))+1),$O1553:$O1572),3),"")</f>
        <v/>
      </c>
      <c r="JR1553" s="42" t="str">
        <f t="array" aca="1" ref="JR1553" ca="1">IFERROR(INDEX(nombres[],SMALL(IF(OFFSET(nombres[],0,0,ROWS(nombres[]),1)=JR$1490,ROW(OFFSET(nombres[],0,0,ROWS(nombres[]),1))-ROW(OFFSET(nombres[],0,0,1,1))+1,ROW(OFFSET(nombres[],ROWS(nombres[])-1,0,1,1))+1),$O1553:$O1572),3),"")</f>
        <v/>
      </c>
      <c r="JS1553" s="42" t="str">
        <f t="array" aca="1" ref="JS1553" ca="1">IFERROR(INDEX(nombres[],SMALL(IF(OFFSET(nombres[],0,0,ROWS(nombres[]),1)=JS$1490,ROW(OFFSET(nombres[],0,0,ROWS(nombres[]),1))-ROW(OFFSET(nombres[],0,0,1,1))+1,ROW(OFFSET(nombres[],ROWS(nombres[])-1,0,1,1))+1),$O1553:$O1572),3),"")</f>
        <v/>
      </c>
      <c r="JT1553" s="42" t="str">
        <f t="array" aca="1" ref="JT1553" ca="1">IFERROR(INDEX(nombres[],SMALL(IF(OFFSET(nombres[],0,0,ROWS(nombres[]),1)=JT$1490,ROW(OFFSET(nombres[],0,0,ROWS(nombres[]),1))-ROW(OFFSET(nombres[],0,0,1,1))+1,ROW(OFFSET(nombres[],ROWS(nombres[])-1,0,1,1))+1),$O1553:$O1572),3),"")</f>
        <v/>
      </c>
      <c r="JU1553" s="42" t="str">
        <f t="array" aca="1" ref="JU1553" ca="1">IFERROR(INDEX(nombres[],SMALL(IF(OFFSET(nombres[],0,0,ROWS(nombres[]),1)=JU$1490,ROW(OFFSET(nombres[],0,0,ROWS(nombres[]),1))-ROW(OFFSET(nombres[],0,0,1,1))+1,ROW(OFFSET(nombres[],ROWS(nombres[])-1,0,1,1))+1),$O1553:$O1572),3),"")</f>
        <v/>
      </c>
      <c r="JV1553" s="42" t="str">
        <f t="array" aca="1" ref="JV1553" ca="1">IFERROR(INDEX(nombres[],SMALL(IF(OFFSET(nombres[],0,0,ROWS(nombres[]),1)=JV$1490,ROW(OFFSET(nombres[],0,0,ROWS(nombres[]),1))-ROW(OFFSET(nombres[],0,0,1,1))+1,ROW(OFFSET(nombres[],ROWS(nombres[])-1,0,1,1))+1),$O1553:$O1572),3),"")</f>
        <v/>
      </c>
      <c r="JW1553" s="42" t="str">
        <f t="array" aca="1" ref="JW1553" ca="1">IFERROR(INDEX(nombres[],SMALL(IF(OFFSET(nombres[],0,0,ROWS(nombres[]),1)=JW$1490,ROW(OFFSET(nombres[],0,0,ROWS(nombres[]),1))-ROW(OFFSET(nombres[],0,0,1,1))+1,ROW(OFFSET(nombres[],ROWS(nombres[])-1,0,1,1))+1),$O1553:$O1572),3),"")</f>
        <v/>
      </c>
      <c r="JX1553" s="42" t="str">
        <f t="array" aca="1" ref="JX1553" ca="1">IFERROR(INDEX(nombres[],SMALL(IF(OFFSET(nombres[],0,0,ROWS(nombres[]),1)=JX$1490,ROW(OFFSET(nombres[],0,0,ROWS(nombres[]),1))-ROW(OFFSET(nombres[],0,0,1,1))+1,ROW(OFFSET(nombres[],ROWS(nombres[])-1,0,1,1))+1),$O1553:$O1572),3),"")</f>
        <v/>
      </c>
      <c r="JY1553" s="42" t="str">
        <f t="array" aca="1" ref="JY1553" ca="1">IFERROR(INDEX(nombres[],SMALL(IF(OFFSET(nombres[],0,0,ROWS(nombres[]),1)=JY$1490,ROW(OFFSET(nombres[],0,0,ROWS(nombres[]),1))-ROW(OFFSET(nombres[],0,0,1,1))+1,ROW(OFFSET(nombres[],ROWS(nombres[])-1,0,1,1))+1),$O1553:$O1572),3),"")</f>
        <v/>
      </c>
      <c r="JZ1553" s="42" t="str">
        <f t="array" aca="1" ref="JZ1553" ca="1">IFERROR(INDEX(nombres[],SMALL(IF(OFFSET(nombres[],0,0,ROWS(nombres[]),1)=JZ$1490,ROW(OFFSET(nombres[],0,0,ROWS(nombres[]),1))-ROW(OFFSET(nombres[],0,0,1,1))+1,ROW(OFFSET(nombres[],ROWS(nombres[])-1,0,1,1))+1),$O1553:$O1572),3),"")</f>
        <v/>
      </c>
      <c r="KA1553" s="42" t="str">
        <f t="array" aca="1" ref="KA1553" ca="1">IFERROR(INDEX(nombres[],SMALL(IF(OFFSET(nombres[],0,0,ROWS(nombres[]),1)=KA$1490,ROW(OFFSET(nombres[],0,0,ROWS(nombres[]),1))-ROW(OFFSET(nombres[],0,0,1,1))+1,ROW(OFFSET(nombres[],ROWS(nombres[])-1,0,1,1))+1),$O1553:$O1572),3),"")</f>
        <v/>
      </c>
      <c r="KB1553" s="42" t="str">
        <f t="array" aca="1" ref="KB1553" ca="1">IFERROR(INDEX(nombres[],SMALL(IF(OFFSET(nombres[],0,0,ROWS(nombres[]),1)=KB$1490,ROW(OFFSET(nombres[],0,0,ROWS(nombres[]),1))-ROW(OFFSET(nombres[],0,0,1,1))+1,ROW(OFFSET(nombres[],ROWS(nombres[])-1,0,1,1))+1),$O1553:$O1572),3),"")</f>
        <v/>
      </c>
      <c r="KC1553" s="42" t="str">
        <f t="array" aca="1" ref="KC1553" ca="1">IFERROR(INDEX(nombres[],SMALL(IF(OFFSET(nombres[],0,0,ROWS(nombres[]),1)=KC$1490,ROW(OFFSET(nombres[],0,0,ROWS(nombres[]),1))-ROW(OFFSET(nombres[],0,0,1,1))+1,ROW(OFFSET(nombres[],ROWS(nombres[])-1,0,1,1))+1),$O1553:$O1572),3),"")</f>
        <v/>
      </c>
      <c r="KD1553" s="42" t="str">
        <f t="array" aca="1" ref="KD1553" ca="1">IFERROR(INDEX(nombres[],SMALL(IF(OFFSET(nombres[],0,0,ROWS(nombres[]),1)=KD$1490,ROW(OFFSET(nombres[],0,0,ROWS(nombres[]),1))-ROW(OFFSET(nombres[],0,0,1,1))+1,ROW(OFFSET(nombres[],ROWS(nombres[])-1,0,1,1))+1),$O1553:$O1572),3),"")</f>
        <v/>
      </c>
      <c r="KE1553" s="42" t="str">
        <f t="array" aca="1" ref="KE1553" ca="1">IFERROR(INDEX(nombres[],SMALL(IF(OFFSET(nombres[],0,0,ROWS(nombres[]),1)=KE$1490,ROW(OFFSET(nombres[],0,0,ROWS(nombres[]),1))-ROW(OFFSET(nombres[],0,0,1,1))+1,ROW(OFFSET(nombres[],ROWS(nombres[])-1,0,1,1))+1),$O1553:$O1572),3),"")</f>
        <v/>
      </c>
      <c r="KF1553" s="42" t="str">
        <f t="array" aca="1" ref="KF1553" ca="1">IFERROR(INDEX(nombres[],SMALL(IF(OFFSET(nombres[],0,0,ROWS(nombres[]),1)=KF$1490,ROW(OFFSET(nombres[],0,0,ROWS(nombres[]),1))-ROW(OFFSET(nombres[],0,0,1,1))+1,ROW(OFFSET(nombres[],ROWS(nombres[])-1,0,1,1))+1),$O1553:$O1572),3),"")</f>
        <v/>
      </c>
      <c r="KG1553" s="42" t="str">
        <f t="array" aca="1" ref="KG1553" ca="1">IFERROR(INDEX(nombres[],SMALL(IF(OFFSET(nombres[],0,0,ROWS(nombres[]),1)=KG$1490,ROW(OFFSET(nombres[],0,0,ROWS(nombres[]),1))-ROW(OFFSET(nombres[],0,0,1,1))+1,ROW(OFFSET(nombres[],ROWS(nombres[])-1,0,1,1))+1),$O1553:$O1572),3),"")</f>
        <v/>
      </c>
      <c r="KH1553" s="42" t="str">
        <f t="array" aca="1" ref="KH1553" ca="1">IFERROR(INDEX(nombres[],SMALL(IF(OFFSET(nombres[],0,0,ROWS(nombres[]),1)=KH$1490,ROW(OFFSET(nombres[],0,0,ROWS(nombres[]),1))-ROW(OFFSET(nombres[],0,0,1,1))+1,ROW(OFFSET(nombres[],ROWS(nombres[])-1,0,1,1))+1),$O1553:$O1572),3),"")</f>
        <v/>
      </c>
      <c r="KI1553" s="42" t="str">
        <f t="array" aca="1" ref="KI1553" ca="1">IFERROR(INDEX(nombres[],SMALL(IF(OFFSET(nombres[],0,0,ROWS(nombres[]),1)=KI$1490,ROW(OFFSET(nombres[],0,0,ROWS(nombres[]),1))-ROW(OFFSET(nombres[],0,0,1,1))+1,ROW(OFFSET(nombres[],ROWS(nombres[])-1,0,1,1))+1),$O1553:$O1572),3),"")</f>
        <v/>
      </c>
      <c r="KJ1553" s="42" t="str">
        <f t="array" aca="1" ref="KJ1553" ca="1">IFERROR(INDEX(nombres[],SMALL(IF(OFFSET(nombres[],0,0,ROWS(nombres[]),1)=KJ$1490,ROW(OFFSET(nombres[],0,0,ROWS(nombres[]),1))-ROW(OFFSET(nombres[],0,0,1,1))+1,ROW(OFFSET(nombres[],ROWS(nombres[])-1,0,1,1))+1),$O1553:$O1572),3),"")</f>
        <v/>
      </c>
      <c r="KK1553" s="42" t="str">
        <f t="array" aca="1" ref="KK1553" ca="1">IFERROR(INDEX(nombres[],SMALL(IF(OFFSET(nombres[],0,0,ROWS(nombres[]),1)=KK$1490,ROW(OFFSET(nombres[],0,0,ROWS(nombres[]),1))-ROW(OFFSET(nombres[],0,0,1,1))+1,ROW(OFFSET(nombres[],ROWS(nombres[])-1,0,1,1))+1),$O1553:$O1572),3),"")</f>
        <v/>
      </c>
      <c r="KL1553" s="42" t="str">
        <f t="array" aca="1" ref="KL1553" ca="1">IFERROR(INDEX(nombres[],SMALL(IF(OFFSET(nombres[],0,0,ROWS(nombres[]),1)=KL$1490,ROW(OFFSET(nombres[],0,0,ROWS(nombres[]),1))-ROW(OFFSET(nombres[],0,0,1,1))+1,ROW(OFFSET(nombres[],ROWS(nombres[])-1,0,1,1))+1),$O1553:$O1572),3),"")</f>
        <v/>
      </c>
      <c r="KM1553" s="42" t="str">
        <f t="array" aca="1" ref="KM1553" ca="1">IFERROR(INDEX(nombres[],SMALL(IF(OFFSET(nombres[],0,0,ROWS(nombres[]),1)=KM$1490,ROW(OFFSET(nombres[],0,0,ROWS(nombres[]),1))-ROW(OFFSET(nombres[],0,0,1,1))+1,ROW(OFFSET(nombres[],ROWS(nombres[])-1,0,1,1))+1),$O1553:$O1572),3),"")</f>
        <v/>
      </c>
      <c r="KN1553" s="42" t="str">
        <f t="array" aca="1" ref="KN1553" ca="1">IFERROR(INDEX(nombres[],SMALL(IF(OFFSET(nombres[],0,0,ROWS(nombres[]),1)=KN$1490,ROW(OFFSET(nombres[],0,0,ROWS(nombres[]),1))-ROW(OFFSET(nombres[],0,0,1,1))+1,ROW(OFFSET(nombres[],ROWS(nombres[])-1,0,1,1))+1),$O1553:$O1572),3),"")</f>
        <v/>
      </c>
      <c r="KO1553" s="42" t="str">
        <f t="array" aca="1" ref="KO1553" ca="1">IFERROR(INDEX(nombres[],SMALL(IF(OFFSET(nombres[],0,0,ROWS(nombres[]),1)=KO$1490,ROW(OFFSET(nombres[],0,0,ROWS(nombres[]),1))-ROW(OFFSET(nombres[],0,0,1,1))+1,ROW(OFFSET(nombres[],ROWS(nombres[])-1,0,1,1))+1),$O1553:$O1572),3),"")</f>
        <v/>
      </c>
      <c r="KP1553" s="42" t="str">
        <f t="array" aca="1" ref="KP1553" ca="1">IFERROR(INDEX(nombres[],SMALL(IF(OFFSET(nombres[],0,0,ROWS(nombres[]),1)=KP$1490,ROW(OFFSET(nombres[],0,0,ROWS(nombres[]),1))-ROW(OFFSET(nombres[],0,0,1,1))+1,ROW(OFFSET(nombres[],ROWS(nombres[])-1,0,1,1))+1),$O1553:$O1572),3),"")</f>
        <v/>
      </c>
      <c r="KQ1553" s="42" t="str">
        <f t="array" aca="1" ref="KQ1553" ca="1">IFERROR(INDEX(nombres[],SMALL(IF(OFFSET(nombres[],0,0,ROWS(nombres[]),1)=KQ$1490,ROW(OFFSET(nombres[],0,0,ROWS(nombres[]),1))-ROW(OFFSET(nombres[],0,0,1,1))+1,ROW(OFFSET(nombres[],ROWS(nombres[])-1,0,1,1))+1),$O1553:$O1572),3),"")</f>
        <v/>
      </c>
      <c r="KR1553" s="42" t="str">
        <f t="array" aca="1" ref="KR1553" ca="1">IFERROR(INDEX(nombres[],SMALL(IF(OFFSET(nombres[],0,0,ROWS(nombres[]),1)=KR$1490,ROW(OFFSET(nombres[],0,0,ROWS(nombres[]),1))-ROW(OFFSET(nombres[],0,0,1,1))+1,ROW(OFFSET(nombres[],ROWS(nombres[])-1,0,1,1))+1),$O1553:$O1572),3),"")</f>
        <v/>
      </c>
      <c r="KS1553" s="42" t="str">
        <f t="array" aca="1" ref="KS1553" ca="1">IFERROR(INDEX(nombres[],SMALL(IF(OFFSET(nombres[],0,0,ROWS(nombres[]),1)=KS$1490,ROW(OFFSET(nombres[],0,0,ROWS(nombres[]),1))-ROW(OFFSET(nombres[],0,0,1,1))+1,ROW(OFFSET(nombres[],ROWS(nombres[])-1,0,1,1))+1),$O1553:$O1572),3),"")</f>
        <v/>
      </c>
      <c r="KT1553" s="42" t="str">
        <f t="array" aca="1" ref="KT1553" ca="1">IFERROR(INDEX(nombres[],SMALL(IF(OFFSET(nombres[],0,0,ROWS(nombres[]),1)=KT$1490,ROW(OFFSET(nombres[],0,0,ROWS(nombres[]),1))-ROW(OFFSET(nombres[],0,0,1,1))+1,ROW(OFFSET(nombres[],ROWS(nombres[])-1,0,1,1))+1),$O1553:$O1572),3),"")</f>
        <v/>
      </c>
      <c r="KU1553" s="42" t="str">
        <f t="array" aca="1" ref="KU1553" ca="1">IFERROR(INDEX(nombres[],SMALL(IF(OFFSET(nombres[],0,0,ROWS(nombres[]),1)=KU$1490,ROW(OFFSET(nombres[],0,0,ROWS(nombres[]),1))-ROW(OFFSET(nombres[],0,0,1,1))+1,ROW(OFFSET(nombres[],ROWS(nombres[])-1,0,1,1))+1),$O1553:$O1572),3),"")</f>
        <v/>
      </c>
      <c r="KV1553" s="42" t="str">
        <f t="array" aca="1" ref="KV1553" ca="1">IFERROR(INDEX(nombres[],SMALL(IF(OFFSET(nombres[],0,0,ROWS(nombres[]),1)=KV$1490,ROW(OFFSET(nombres[],0,0,ROWS(nombres[]),1))-ROW(OFFSET(nombres[],0,0,1,1))+1,ROW(OFFSET(nombres[],ROWS(nombres[])-1,0,1,1))+1),$O1553:$O1572),3),"")</f>
        <v/>
      </c>
      <c r="KW1553" s="42" t="str">
        <f t="array" aca="1" ref="KW1553" ca="1">IFERROR(INDEX(nombres[],SMALL(IF(OFFSET(nombres[],0,0,ROWS(nombres[]),1)=KW$1490,ROW(OFFSET(nombres[],0,0,ROWS(nombres[]),1))-ROW(OFFSET(nombres[],0,0,1,1))+1,ROW(OFFSET(nombres[],ROWS(nombres[])-1,0,1,1))+1),$O1553:$O1572),3),"")</f>
        <v/>
      </c>
      <c r="KX1553" s="42" t="str">
        <f t="array" aca="1" ref="KX1553" ca="1">IFERROR(INDEX(nombres[],SMALL(IF(OFFSET(nombres[],0,0,ROWS(nombres[]),1)=KX$1490,ROW(OFFSET(nombres[],0,0,ROWS(nombres[]),1))-ROW(OFFSET(nombres[],0,0,1,1))+1,ROW(OFFSET(nombres[],ROWS(nombres[])-1,0,1,1))+1),$O1553:$O1572),3),"")</f>
        <v/>
      </c>
      <c r="KY1553" s="42" t="str">
        <f t="array" aca="1" ref="KY1553" ca="1">IFERROR(INDEX(nombres[],SMALL(IF(OFFSET(nombres[],0,0,ROWS(nombres[]),1)=KY$1490,ROW(OFFSET(nombres[],0,0,ROWS(nombres[]),1))-ROW(OFFSET(nombres[],0,0,1,1))+1,ROW(OFFSET(nombres[],ROWS(nombres[])-1,0,1,1))+1),$O1553:$O1572),3),"")</f>
        <v/>
      </c>
      <c r="KZ1553" s="42" t="str">
        <f t="array" aca="1" ref="KZ1553" ca="1">IFERROR(INDEX(nombres[],SMALL(IF(OFFSET(nombres[],0,0,ROWS(nombres[]),1)=KZ$1490,ROW(OFFSET(nombres[],0,0,ROWS(nombres[]),1))-ROW(OFFSET(nombres[],0,0,1,1))+1,ROW(OFFSET(nombres[],ROWS(nombres[])-1,0,1,1))+1),$O1553:$O1572),3),"")</f>
        <v/>
      </c>
      <c r="LA1553" s="42" t="str">
        <f t="array" aca="1" ref="LA1553" ca="1">IFERROR(INDEX(nombres[],SMALL(IF(OFFSET(nombres[],0,0,ROWS(nombres[]),1)=LA$1490,ROW(OFFSET(nombres[],0,0,ROWS(nombres[]),1))-ROW(OFFSET(nombres[],0,0,1,1))+1,ROW(OFFSET(nombres[],ROWS(nombres[])-1,0,1,1))+1),$O1553:$O1572),3),"")</f>
        <v/>
      </c>
      <c r="LB1553" s="42" t="str">
        <f t="array" aca="1" ref="LB1553" ca="1">IFERROR(INDEX(nombres[],SMALL(IF(OFFSET(nombres[],0,0,ROWS(nombres[]),1)=LB$1490,ROW(OFFSET(nombres[],0,0,ROWS(nombres[]),1))-ROW(OFFSET(nombres[],0,0,1,1))+1,ROW(OFFSET(nombres[],ROWS(nombres[])-1,0,1,1))+1),$O1553:$O1572),3),"")</f>
        <v/>
      </c>
      <c r="LC1553" s="42" t="str">
        <f t="array" aca="1" ref="LC1553" ca="1">IFERROR(INDEX(nombres[],SMALL(IF(OFFSET(nombres[],0,0,ROWS(nombres[]),1)=LC$1490,ROW(OFFSET(nombres[],0,0,ROWS(nombres[]),1))-ROW(OFFSET(nombres[],0,0,1,1))+1,ROW(OFFSET(nombres[],ROWS(nombres[])-1,0,1,1))+1),$O1553:$O1572),3),"")</f>
        <v/>
      </c>
      <c r="LD1553" s="42" t="str">
        <f t="array" aca="1" ref="LD1553" ca="1">IFERROR(INDEX(nombres[],SMALL(IF(OFFSET(nombres[],0,0,ROWS(nombres[]),1)=LD$1490,ROW(OFFSET(nombres[],0,0,ROWS(nombres[]),1))-ROW(OFFSET(nombres[],0,0,1,1))+1,ROW(OFFSET(nombres[],ROWS(nombres[])-1,0,1,1))+1),$O1553:$O1572),3),"")</f>
        <v/>
      </c>
      <c r="LE1553" s="42" t="str">
        <f t="array" aca="1" ref="LE1553" ca="1">IFERROR(INDEX(nombres[],SMALL(IF(OFFSET(nombres[],0,0,ROWS(nombres[]),1)=LE$1490,ROW(OFFSET(nombres[],0,0,ROWS(nombres[]),1))-ROW(OFFSET(nombres[],0,0,1,1))+1,ROW(OFFSET(nombres[],ROWS(nombres[])-1,0,1,1))+1),$O1553:$O1572),3),"")</f>
        <v/>
      </c>
      <c r="LF1553" s="42" t="str">
        <f t="array" aca="1" ref="LF1553" ca="1">IFERROR(INDEX(nombres[],SMALL(IF(OFFSET(nombres[],0,0,ROWS(nombres[]),1)=LF$1490,ROW(OFFSET(nombres[],0,0,ROWS(nombres[]),1))-ROW(OFFSET(nombres[],0,0,1,1))+1,ROW(OFFSET(nombres[],ROWS(nombres[])-1,0,1,1))+1),$O1553:$O1572),3),"")</f>
        <v/>
      </c>
      <c r="LG1553" s="42" t="str">
        <f t="array" aca="1" ref="LG1553" ca="1">IFERROR(INDEX(nombres[],SMALL(IF(OFFSET(nombres[],0,0,ROWS(nombres[]),1)=LG$1490,ROW(OFFSET(nombres[],0,0,ROWS(nombres[]),1))-ROW(OFFSET(nombres[],0,0,1,1))+1,ROW(OFFSET(nombres[],ROWS(nombres[])-1,0,1,1))+1),$O1553:$O1572),3),"")</f>
        <v/>
      </c>
      <c r="LH1553" s="42" t="str">
        <f t="array" aca="1" ref="LH1553" ca="1">IFERROR(INDEX(nombres[],SMALL(IF(OFFSET(nombres[],0,0,ROWS(nombres[]),1)=LH$1490,ROW(OFFSET(nombres[],0,0,ROWS(nombres[]),1))-ROW(OFFSET(nombres[],0,0,1,1))+1,ROW(OFFSET(nombres[],ROWS(nombres[])-1,0,1,1))+1),$O1553:$O1572),3),"")</f>
        <v/>
      </c>
      <c r="LI1553" s="42" t="str">
        <f t="array" aca="1" ref="LI1553" ca="1">IFERROR(INDEX(nombres[],SMALL(IF(OFFSET(nombres[],0,0,ROWS(nombres[]),1)=LI$1490,ROW(OFFSET(nombres[],0,0,ROWS(nombres[]),1))-ROW(OFFSET(nombres[],0,0,1,1))+1,ROW(OFFSET(nombres[],ROWS(nombres[])-1,0,1,1))+1),$O1553:$O1572),3),"")</f>
        <v/>
      </c>
      <c r="LJ1553" s="42" t="str">
        <f t="array" aca="1" ref="LJ1553" ca="1">IFERROR(INDEX(nombres[],SMALL(IF(OFFSET(nombres[],0,0,ROWS(nombres[]),1)=LJ$1490,ROW(OFFSET(nombres[],0,0,ROWS(nombres[]),1))-ROW(OFFSET(nombres[],0,0,1,1))+1,ROW(OFFSET(nombres[],ROWS(nombres[])-1,0,1,1))+1),$O1553:$O1572),3),"")</f>
        <v/>
      </c>
      <c r="LK1553" s="42" t="str">
        <f t="array" aca="1" ref="LK1553" ca="1">IFERROR(INDEX(nombres[],SMALL(IF(OFFSET(nombres[],0,0,ROWS(nombres[]),1)=LK$1490,ROW(OFFSET(nombres[],0,0,ROWS(nombres[]),1))-ROW(OFFSET(nombres[],0,0,1,1))+1,ROW(OFFSET(nombres[],ROWS(nombres[])-1,0,1,1))+1),$O1553:$O1572),3),"")</f>
        <v/>
      </c>
      <c r="LL1553" s="42" t="str">
        <f t="array" aca="1" ref="LL1553" ca="1">IFERROR(INDEX(nombres[],SMALL(IF(OFFSET(nombres[],0,0,ROWS(nombres[]),1)=LL$1490,ROW(OFFSET(nombres[],0,0,ROWS(nombres[]),1))-ROW(OFFSET(nombres[],0,0,1,1))+1,ROW(OFFSET(nombres[],ROWS(nombres[])-1,0,1,1))+1),$O1553:$O1572),3),"")</f>
        <v/>
      </c>
      <c r="LM1553" s="42" t="str">
        <f t="array" aca="1" ref="LM1553" ca="1">IFERROR(INDEX(nombres[],SMALL(IF(OFFSET(nombres[],0,0,ROWS(nombres[]),1)=LM$1490,ROW(OFFSET(nombres[],0,0,ROWS(nombres[]),1))-ROW(OFFSET(nombres[],0,0,1,1))+1,ROW(OFFSET(nombres[],ROWS(nombres[])-1,0,1,1))+1),$O1553:$O1572),3),"")</f>
        <v/>
      </c>
      <c r="LN1553" s="42" t="str">
        <f t="array" aca="1" ref="LN1553" ca="1">IFERROR(INDEX(nombres[],SMALL(IF(OFFSET(nombres[],0,0,ROWS(nombres[]),1)=LN$1490,ROW(OFFSET(nombres[],0,0,ROWS(nombres[]),1))-ROW(OFFSET(nombres[],0,0,1,1))+1,ROW(OFFSET(nombres[],ROWS(nombres[])-1,0,1,1))+1),$O1553:$O1572),3),"")</f>
        <v/>
      </c>
      <c r="LO1553" s="42" t="str">
        <f t="array" aca="1" ref="LO1553" ca="1">IFERROR(INDEX(nombres[],SMALL(IF(OFFSET(nombres[],0,0,ROWS(nombres[]),1)=LO$1490,ROW(OFFSET(nombres[],0,0,ROWS(nombres[]),1))-ROW(OFFSET(nombres[],0,0,1,1))+1,ROW(OFFSET(nombres[],ROWS(nombres[])-1,0,1,1))+1),$O1553:$O1572),3),"")</f>
        <v/>
      </c>
      <c r="LP1553" s="42" t="str">
        <f t="array" aca="1" ref="LP1553" ca="1">IFERROR(INDEX(nombres[],SMALL(IF(OFFSET(nombres[],0,0,ROWS(nombres[]),1)=LP$1490,ROW(OFFSET(nombres[],0,0,ROWS(nombres[]),1))-ROW(OFFSET(nombres[],0,0,1,1))+1,ROW(OFFSET(nombres[],ROWS(nombres[])-1,0,1,1))+1),$O1553:$O1572),3),"")</f>
        <v/>
      </c>
      <c r="LQ1553" s="42" t="str">
        <f t="array" aca="1" ref="LQ1553" ca="1">IFERROR(INDEX(nombres[],SMALL(IF(OFFSET(nombres[],0,0,ROWS(nombres[]),1)=LQ$1490,ROW(OFFSET(nombres[],0,0,ROWS(nombres[]),1))-ROW(OFFSET(nombres[],0,0,1,1))+1,ROW(OFFSET(nombres[],ROWS(nombres[])-1,0,1,1))+1),$O1553:$O1572),3),"")</f>
        <v/>
      </c>
      <c r="LR1553" s="42" t="str">
        <f t="array" aca="1" ref="LR1553" ca="1">IFERROR(INDEX(nombres[],SMALL(IF(OFFSET(nombres[],0,0,ROWS(nombres[]),1)=LR$1490,ROW(OFFSET(nombres[],0,0,ROWS(nombres[]),1))-ROW(OFFSET(nombres[],0,0,1,1))+1,ROW(OFFSET(nombres[],ROWS(nombres[])-1,0,1,1))+1),$O1553:$O1572),3),"")</f>
        <v/>
      </c>
      <c r="LS1553" s="42" t="str">
        <f t="array" aca="1" ref="LS1553" ca="1">IFERROR(INDEX(nombres[],SMALL(IF(OFFSET(nombres[],0,0,ROWS(nombres[]),1)=LS$1490,ROW(OFFSET(nombres[],0,0,ROWS(nombres[]),1))-ROW(OFFSET(nombres[],0,0,1,1))+1,ROW(OFFSET(nombres[],ROWS(nombres[])-1,0,1,1))+1),$O1553:$O1572),3),"")</f>
        <v/>
      </c>
      <c r="LT1553" s="42" t="str">
        <f t="array" aca="1" ref="LT1553" ca="1">IFERROR(INDEX(nombres[],SMALL(IF(OFFSET(nombres[],0,0,ROWS(nombres[]),1)=LT$1490,ROW(OFFSET(nombres[],0,0,ROWS(nombres[]),1))-ROW(OFFSET(nombres[],0,0,1,1))+1,ROW(OFFSET(nombres[],ROWS(nombres[])-1,0,1,1))+1),$O1553:$O1572),3),"")</f>
        <v/>
      </c>
      <c r="LU1553" s="42" t="str">
        <f t="array" aca="1" ref="LU1553" ca="1">IFERROR(INDEX(nombres[],SMALL(IF(OFFSET(nombres[],0,0,ROWS(nombres[]),1)=LU$1490,ROW(OFFSET(nombres[],0,0,ROWS(nombres[]),1))-ROW(OFFSET(nombres[],0,0,1,1))+1,ROW(OFFSET(nombres[],ROWS(nombres[])-1,0,1,1))+1),$O1553:$O1572),3),"")</f>
        <v/>
      </c>
      <c r="LV1553" s="42" t="str">
        <f t="array" aca="1" ref="LV1553" ca="1">IFERROR(INDEX(nombres[],SMALL(IF(OFFSET(nombres[],0,0,ROWS(nombres[]),1)=LV$1490,ROW(OFFSET(nombres[],0,0,ROWS(nombres[]),1))-ROW(OFFSET(nombres[],0,0,1,1))+1,ROW(OFFSET(nombres[],ROWS(nombres[])-1,0,1,1))+1),$O1553:$O1572),3),"")</f>
        <v/>
      </c>
      <c r="LW1553" s="42" t="str">
        <f t="array" aca="1" ref="LW1553" ca="1">IFERROR(INDEX(nombres[],SMALL(IF(OFFSET(nombres[],0,0,ROWS(nombres[]),1)=LW$1490,ROW(OFFSET(nombres[],0,0,ROWS(nombres[]),1))-ROW(OFFSET(nombres[],0,0,1,1))+1,ROW(OFFSET(nombres[],ROWS(nombres[])-1,0,1,1))+1),$O1553:$O1572),3),"")</f>
        <v/>
      </c>
      <c r="LX1553" s="42" t="str">
        <f t="array" aca="1" ref="LX1553" ca="1">IFERROR(INDEX(nombres[],SMALL(IF(OFFSET(nombres[],0,0,ROWS(nombres[]),1)=LX$1490,ROW(OFFSET(nombres[],0,0,ROWS(nombres[]),1))-ROW(OFFSET(nombres[],0,0,1,1))+1,ROW(OFFSET(nombres[],ROWS(nombres[])-1,0,1,1))+1),$O1553:$O1572),3),"")</f>
        <v/>
      </c>
      <c r="LY1553" s="42" t="str">
        <f t="array" aca="1" ref="LY1553" ca="1">IFERROR(INDEX(nombres[],SMALL(IF(OFFSET(nombres[],0,0,ROWS(nombres[]),1)=LY$1490,ROW(OFFSET(nombres[],0,0,ROWS(nombres[]),1))-ROW(OFFSET(nombres[],0,0,1,1))+1,ROW(OFFSET(nombres[],ROWS(nombres[])-1,0,1,1))+1),$O1553:$O1572),3),"")</f>
        <v/>
      </c>
      <c r="LZ1553" s="42" t="str">
        <f t="array" aca="1" ref="LZ1553" ca="1">IFERROR(INDEX(nombres[],SMALL(IF(OFFSET(nombres[],0,0,ROWS(nombres[]),1)=LZ$1490,ROW(OFFSET(nombres[],0,0,ROWS(nombres[]),1))-ROW(OFFSET(nombres[],0,0,1,1))+1,ROW(OFFSET(nombres[],ROWS(nombres[])-1,0,1,1))+1),$O1553:$O1572),3),"")</f>
        <v/>
      </c>
      <c r="MA1553" s="42" t="str">
        <f t="array" aca="1" ref="MA1553" ca="1">IFERROR(INDEX(nombres[],SMALL(IF(OFFSET(nombres[],0,0,ROWS(nombres[]),1)=MA$1490,ROW(OFFSET(nombres[],0,0,ROWS(nombres[]),1))-ROW(OFFSET(nombres[],0,0,1,1))+1,ROW(OFFSET(nombres[],ROWS(nombres[])-1,0,1,1))+1),$O1553:$O1572),3),"")</f>
        <v/>
      </c>
      <c r="MB1553" s="42" t="str">
        <f t="array" aca="1" ref="MB1553" ca="1">IFERROR(INDEX(nombres[],SMALL(IF(OFFSET(nombres[],0,0,ROWS(nombres[]),1)=MB$1490,ROW(OFFSET(nombres[],0,0,ROWS(nombres[]),1))-ROW(OFFSET(nombres[],0,0,1,1))+1,ROW(OFFSET(nombres[],ROWS(nombres[])-1,0,1,1))+1),$O1553:$O1572),3),"")</f>
        <v/>
      </c>
      <c r="MC1553" s="42" t="str">
        <f t="array" aca="1" ref="MC1553" ca="1">IFERROR(INDEX(nombres[],SMALL(IF(OFFSET(nombres[],0,0,ROWS(nombres[]),1)=MC$1490,ROW(OFFSET(nombres[],0,0,ROWS(nombres[]),1))-ROW(OFFSET(nombres[],0,0,1,1))+1,ROW(OFFSET(nombres[],ROWS(nombres[])-1,0,1,1))+1),$O1553:$O1572),3),"")</f>
        <v/>
      </c>
      <c r="MD1553" s="42" t="str">
        <f t="array" aca="1" ref="MD1553" ca="1">IFERROR(INDEX(nombres[],SMALL(IF(OFFSET(nombres[],0,0,ROWS(nombres[]),1)=MD$1490,ROW(OFFSET(nombres[],0,0,ROWS(nombres[]),1))-ROW(OFFSET(nombres[],0,0,1,1))+1,ROW(OFFSET(nombres[],ROWS(nombres[])-1,0,1,1))+1),$O1553:$O1572),3),"")</f>
        <v/>
      </c>
      <c r="ME1553" s="42" t="str">
        <f t="array" aca="1" ref="ME1553" ca="1">IFERROR(INDEX(nombres[],SMALL(IF(OFFSET(nombres[],0,0,ROWS(nombres[]),1)=ME$1490,ROW(OFFSET(nombres[],0,0,ROWS(nombres[]),1))-ROW(OFFSET(nombres[],0,0,1,1))+1,ROW(OFFSET(nombres[],ROWS(nombres[])-1,0,1,1))+1),$O1553:$O1572),3),"")</f>
        <v/>
      </c>
      <c r="MF1553" s="42" t="str">
        <f t="array" aca="1" ref="MF1553" ca="1">IFERROR(INDEX(nombres[],SMALL(IF(OFFSET(nombres[],0,0,ROWS(nombres[]),1)=MF$1490,ROW(OFFSET(nombres[],0,0,ROWS(nombres[]),1))-ROW(OFFSET(nombres[],0,0,1,1))+1,ROW(OFFSET(nombres[],ROWS(nombres[])-1,0,1,1))+1),$O1553:$O1572),3),"")</f>
        <v/>
      </c>
      <c r="MG1553" s="42" t="str">
        <f t="array" aca="1" ref="MG1553" ca="1">IFERROR(INDEX(nombres[],SMALL(IF(OFFSET(nombres[],0,0,ROWS(nombres[]),1)=MG$1490,ROW(OFFSET(nombres[],0,0,ROWS(nombres[]),1))-ROW(OFFSET(nombres[],0,0,1,1))+1,ROW(OFFSET(nombres[],ROWS(nombres[])-1,0,1,1))+1),$O1553:$O1572),3),"")</f>
        <v/>
      </c>
      <c r="MH1553" s="42" t="str">
        <f t="array" aca="1" ref="MH1553" ca="1">IFERROR(INDEX(nombres[],SMALL(IF(OFFSET(nombres[],0,0,ROWS(nombres[]),1)=MH$1490,ROW(OFFSET(nombres[],0,0,ROWS(nombres[]),1))-ROW(OFFSET(nombres[],0,0,1,1))+1,ROW(OFFSET(nombres[],ROWS(nombres[])-1,0,1,1))+1),$O1553:$O1572),3),"")</f>
        <v/>
      </c>
      <c r="MI1553" s="42" t="str">
        <f t="array" aca="1" ref="MI1553" ca="1">IFERROR(INDEX(nombres[],SMALL(IF(OFFSET(nombres[],0,0,ROWS(nombres[]),1)=MI$1490,ROW(OFFSET(nombres[],0,0,ROWS(nombres[]),1))-ROW(OFFSET(nombres[],0,0,1,1))+1,ROW(OFFSET(nombres[],ROWS(nombres[])-1,0,1,1))+1),$O1553:$O1572),3),"")</f>
        <v/>
      </c>
      <c r="MJ1553" s="42" t="str">
        <f t="array" aca="1" ref="MJ1553" ca="1">IFERROR(INDEX(nombres[],SMALL(IF(OFFSET(nombres[],0,0,ROWS(nombres[]),1)=MJ$1490,ROW(OFFSET(nombres[],0,0,ROWS(nombres[]),1))-ROW(OFFSET(nombres[],0,0,1,1))+1,ROW(OFFSET(nombres[],ROWS(nombres[])-1,0,1,1))+1),$O1553:$O1572),3),"")</f>
        <v/>
      </c>
      <c r="MK1553" s="42" t="str">
        <f t="array" aca="1" ref="MK1553" ca="1">IFERROR(INDEX(nombres[],SMALL(IF(OFFSET(nombres[],0,0,ROWS(nombres[]),1)=MK$1490,ROW(OFFSET(nombres[],0,0,ROWS(nombres[]),1))-ROW(OFFSET(nombres[],0,0,1,1))+1,ROW(OFFSET(nombres[],ROWS(nombres[])-1,0,1,1))+1),$O1553:$O1572),3),"")</f>
        <v/>
      </c>
      <c r="ML1553" s="42" t="str">
        <f t="array" aca="1" ref="ML1553" ca="1">IFERROR(INDEX(nombres[],SMALL(IF(OFFSET(nombres[],0,0,ROWS(nombres[]),1)=ML$1490,ROW(OFFSET(nombres[],0,0,ROWS(nombres[]),1))-ROW(OFFSET(nombres[],0,0,1,1))+1,ROW(OFFSET(nombres[],ROWS(nombres[])-1,0,1,1))+1),$O1553:$O1572),3),"")</f>
        <v/>
      </c>
      <c r="MM1553" s="42" t="str">
        <f t="array" aca="1" ref="MM1553" ca="1">IFERROR(INDEX(nombres[],SMALL(IF(OFFSET(nombres[],0,0,ROWS(nombres[]),1)=MM$1490,ROW(OFFSET(nombres[],0,0,ROWS(nombres[]),1))-ROW(OFFSET(nombres[],0,0,1,1))+1,ROW(OFFSET(nombres[],ROWS(nombres[])-1,0,1,1))+1),$O1553:$O1572),3),"")</f>
        <v/>
      </c>
      <c r="MN1553" s="42" t="str">
        <f t="array" aca="1" ref="MN1553" ca="1">IFERROR(INDEX(nombres[],SMALL(IF(OFFSET(nombres[],0,0,ROWS(nombres[]),1)=MN$1490,ROW(OFFSET(nombres[],0,0,ROWS(nombres[]),1))-ROW(OFFSET(nombres[],0,0,1,1))+1,ROW(OFFSET(nombres[],ROWS(nombres[])-1,0,1,1))+1),$O1553:$O1572),3),"")</f>
        <v/>
      </c>
      <c r="MO1553" s="42" t="str">
        <f t="array" aca="1" ref="MO1553" ca="1">IFERROR(INDEX(nombres[],SMALL(IF(OFFSET(nombres[],0,0,ROWS(nombres[]),1)=MO$1490,ROW(OFFSET(nombres[],0,0,ROWS(nombres[]),1))-ROW(OFFSET(nombres[],0,0,1,1))+1,ROW(OFFSET(nombres[],ROWS(nombres[])-1,0,1,1))+1),$O1553:$O1572),3),"")</f>
        <v/>
      </c>
      <c r="MP1553" s="42" t="str">
        <f t="array" aca="1" ref="MP1553" ca="1">IFERROR(INDEX(nombres[],SMALL(IF(OFFSET(nombres[],0,0,ROWS(nombres[]),1)=MP$1490,ROW(OFFSET(nombres[],0,0,ROWS(nombres[]),1))-ROW(OFFSET(nombres[],0,0,1,1))+1,ROW(OFFSET(nombres[],ROWS(nombres[])-1,0,1,1))+1),$O1553:$O1572),3),"")</f>
        <v/>
      </c>
      <c r="MQ1553" s="42" t="str">
        <f t="array" aca="1" ref="MQ1553" ca="1">IFERROR(INDEX(nombres[],SMALL(IF(OFFSET(nombres[],0,0,ROWS(nombres[]),1)=MQ$1490,ROW(OFFSET(nombres[],0,0,ROWS(nombres[]),1))-ROW(OFFSET(nombres[],0,0,1,1))+1,ROW(OFFSET(nombres[],ROWS(nombres[])-1,0,1,1))+1),$O1553:$O1572),3),"")</f>
        <v/>
      </c>
      <c r="MR1553" s="42" t="str">
        <f t="array" aca="1" ref="MR1553" ca="1">IFERROR(INDEX(nombres[],SMALL(IF(OFFSET(nombres[],0,0,ROWS(nombres[]),1)=MR$1490,ROW(OFFSET(nombres[],0,0,ROWS(nombres[]),1))-ROW(OFFSET(nombres[],0,0,1,1))+1,ROW(OFFSET(nombres[],ROWS(nombres[])-1,0,1,1))+1),$O1553:$O1572),3),"")</f>
        <v/>
      </c>
      <c r="MS1553" s="42" t="str">
        <f t="array" aca="1" ref="MS1553" ca="1">IFERROR(INDEX(nombres[],SMALL(IF(OFFSET(nombres[],0,0,ROWS(nombres[]),1)=MS$1490,ROW(OFFSET(nombres[],0,0,ROWS(nombres[]),1))-ROW(OFFSET(nombres[],0,0,1,1))+1,ROW(OFFSET(nombres[],ROWS(nombres[])-1,0,1,1))+1),$O1553:$O1572),3),"")</f>
        <v/>
      </c>
      <c r="MT1553" s="42" t="str">
        <f t="array" aca="1" ref="MT1553" ca="1">IFERROR(INDEX(nombres[],SMALL(IF(OFFSET(nombres[],0,0,ROWS(nombres[]),1)=MT$1490,ROW(OFFSET(nombres[],0,0,ROWS(nombres[]),1))-ROW(OFFSET(nombres[],0,0,1,1))+1,ROW(OFFSET(nombres[],ROWS(nombres[])-1,0,1,1))+1),$O1553:$O1572),3),"")</f>
        <v/>
      </c>
      <c r="MU1553" s="42" t="str">
        <f t="array" aca="1" ref="MU1553" ca="1">IFERROR(INDEX(nombres[],SMALL(IF(OFFSET(nombres[],0,0,ROWS(nombres[]),1)=MU$1490,ROW(OFFSET(nombres[],0,0,ROWS(nombres[]),1))-ROW(OFFSET(nombres[],0,0,1,1))+1,ROW(OFFSET(nombres[],ROWS(nombres[])-1,0,1,1))+1),$O1553:$O1572),3),"")</f>
        <v/>
      </c>
      <c r="MV1553" s="42" t="str">
        <f t="array" aca="1" ref="MV1553" ca="1">IFERROR(INDEX(nombres[],SMALL(IF(OFFSET(nombres[],0,0,ROWS(nombres[]),1)=MV$1490,ROW(OFFSET(nombres[],0,0,ROWS(nombres[]),1))-ROW(OFFSET(nombres[],0,0,1,1))+1,ROW(OFFSET(nombres[],ROWS(nombres[])-1,0,1,1))+1),$O1553:$O1572),3),"")</f>
        <v/>
      </c>
      <c r="MW1553" s="42" t="str">
        <f t="array" aca="1" ref="MW1553" ca="1">IFERROR(INDEX(nombres[],SMALL(IF(OFFSET(nombres[],0,0,ROWS(nombres[]),1)=MW$1490,ROW(OFFSET(nombres[],0,0,ROWS(nombres[]),1))-ROW(OFFSET(nombres[],0,0,1,1))+1,ROW(OFFSET(nombres[],ROWS(nombres[])-1,0,1,1))+1),$O1553:$O1572),3),"")</f>
        <v/>
      </c>
      <c r="MX1553" s="42" t="str">
        <f t="array" aca="1" ref="MX1553" ca="1">IFERROR(INDEX(nombres[],SMALL(IF(OFFSET(nombres[],0,0,ROWS(nombres[]),1)=MX$1490,ROW(OFFSET(nombres[],0,0,ROWS(nombres[]),1))-ROW(OFFSET(nombres[],0,0,1,1))+1,ROW(OFFSET(nombres[],ROWS(nombres[])-1,0,1,1))+1),$O1553:$O1572),3),"")</f>
        <v/>
      </c>
      <c r="MY1553" s="42" t="str">
        <f t="array" aca="1" ref="MY1553" ca="1">IFERROR(INDEX(nombres[],SMALL(IF(OFFSET(nombres[],0,0,ROWS(nombres[]),1)=MY$1490,ROW(OFFSET(nombres[],0,0,ROWS(nombres[]),1))-ROW(OFFSET(nombres[],0,0,1,1))+1,ROW(OFFSET(nombres[],ROWS(nombres[])-1,0,1,1))+1),$O1553:$O1572),3),"")</f>
        <v/>
      </c>
      <c r="MZ1553" s="42" t="str">
        <f t="array" aca="1" ref="MZ1553" ca="1">IFERROR(INDEX(nombres[],SMALL(IF(OFFSET(nombres[],0,0,ROWS(nombres[]),1)=MZ$1490,ROW(OFFSET(nombres[],0,0,ROWS(nombres[]),1))-ROW(OFFSET(nombres[],0,0,1,1))+1,ROW(OFFSET(nombres[],ROWS(nombres[])-1,0,1,1))+1),$O1553:$O1572),3),"")</f>
        <v/>
      </c>
      <c r="NA1553" s="42" t="str">
        <f t="array" aca="1" ref="NA1553" ca="1">IFERROR(INDEX(nombres[],SMALL(IF(OFFSET(nombres[],0,0,ROWS(nombres[]),1)=NA$1490,ROW(OFFSET(nombres[],0,0,ROWS(nombres[]),1))-ROW(OFFSET(nombres[],0,0,1,1))+1,ROW(OFFSET(nombres[],ROWS(nombres[])-1,0,1,1))+1),$O1553:$O1572),3),"")</f>
        <v/>
      </c>
      <c r="NB1553" s="42" t="str">
        <f t="array" aca="1" ref="NB1553" ca="1">IFERROR(INDEX(nombres[],SMALL(IF(OFFSET(nombres[],0,0,ROWS(nombres[]),1)=NB$1490,ROW(OFFSET(nombres[],0,0,ROWS(nombres[]),1))-ROW(OFFSET(nombres[],0,0,1,1))+1,ROW(OFFSET(nombres[],ROWS(nombres[])-1,0,1,1))+1),$O1553:$O1572),3),"")</f>
        <v/>
      </c>
      <c r="NC1553" s="42" t="str">
        <f t="array" aca="1" ref="NC1553" ca="1">IFERROR(INDEX(nombres[],SMALL(IF(OFFSET(nombres[],0,0,ROWS(nombres[]),1)=NC$1490,ROW(OFFSET(nombres[],0,0,ROWS(nombres[]),1))-ROW(OFFSET(nombres[],0,0,1,1))+1,ROW(OFFSET(nombres[],ROWS(nombres[])-1,0,1,1))+1),$O1553:$O1572),3),"")</f>
        <v/>
      </c>
      <c r="ND1553" s="42" t="str">
        <f t="array" aca="1" ref="ND1553" ca="1">IFERROR(INDEX(nombres[],SMALL(IF(OFFSET(nombres[],0,0,ROWS(nombres[]),1)=ND$1490,ROW(OFFSET(nombres[],0,0,ROWS(nombres[]),1))-ROW(OFFSET(nombres[],0,0,1,1))+1,ROW(OFFSET(nombres[],ROWS(nombres[])-1,0,1,1))+1),$O1553:$O1572),3),"")</f>
        <v/>
      </c>
      <c r="NE1553" s="42" t="str">
        <f t="array" aca="1" ref="NE1553" ca="1">IFERROR(INDEX(nombres[],SMALL(IF(OFFSET(nombres[],0,0,ROWS(nombres[]),1)=NE$1490,ROW(OFFSET(nombres[],0,0,ROWS(nombres[]),1))-ROW(OFFSET(nombres[],0,0,1,1))+1,ROW(OFFSET(nombres[],ROWS(nombres[])-1,0,1,1))+1),$O1553:$O1572),3),"")</f>
        <v/>
      </c>
      <c r="NF1553" s="42" t="str">
        <f t="array" aca="1" ref="NF1553" ca="1">IFERROR(INDEX(nombres[],SMALL(IF(OFFSET(nombres[],0,0,ROWS(nombres[]),1)=NF$1490,ROW(OFFSET(nombres[],0,0,ROWS(nombres[]),1))-ROW(OFFSET(nombres[],0,0,1,1))+1,ROW(OFFSET(nombres[],ROWS(nombres[])-1,0,1,1))+1),$O1553:$O1572),3),"")</f>
        <v/>
      </c>
      <c r="NG1553" s="42" t="str">
        <f t="array" aca="1" ref="NG1553" ca="1">IFERROR(INDEX(nombres[],SMALL(IF(OFFSET(nombres[],0,0,ROWS(nombres[]),1)=NG$1490,ROW(OFFSET(nombres[],0,0,ROWS(nombres[]),1))-ROW(OFFSET(nombres[],0,0,1,1))+1,ROW(OFFSET(nombres[],ROWS(nombres[])-1,0,1,1))+1),$O1553:$O1572),3),"")</f>
        <v/>
      </c>
      <c r="NH1553" s="42" t="str">
        <f t="array" aca="1" ref="NH1553" ca="1">IFERROR(INDEX(nombres[],SMALL(IF(OFFSET(nombres[],0,0,ROWS(nombres[]),1)=NH$1490,ROW(OFFSET(nombres[],0,0,ROWS(nombres[]),1))-ROW(OFFSET(nombres[],0,0,1,1))+1,ROW(OFFSET(nombres[],ROWS(nombres[])-1,0,1,1))+1),$O1553:$O1572),3),"")</f>
        <v/>
      </c>
      <c r="NI1553" s="42" t="str">
        <f t="array" aca="1" ref="NI1553" ca="1">IFERROR(INDEX(nombres[],SMALL(IF(OFFSET(nombres[],0,0,ROWS(nombres[]),1)=NI$1490,ROW(OFFSET(nombres[],0,0,ROWS(nombres[]),1))-ROW(OFFSET(nombres[],0,0,1,1))+1,ROW(OFFSET(nombres[],ROWS(nombres[])-1,0,1,1))+1),$O1553:$O1572),3),"")</f>
        <v/>
      </c>
      <c r="NJ1553" s="42" t="str">
        <f t="array" aca="1" ref="NJ1553" ca="1">IFERROR(INDEX(nombres[],SMALL(IF(OFFSET(nombres[],0,0,ROWS(nombres[]),1)=NJ$1490,ROW(OFFSET(nombres[],0,0,ROWS(nombres[]),1))-ROW(OFFSET(nombres[],0,0,1,1))+1,ROW(OFFSET(nombres[],ROWS(nombres[])-1,0,1,1))+1),$O1553:$O1572),3),"")</f>
        <v/>
      </c>
      <c r="NK1553" s="42" t="str">
        <f t="array" aca="1" ref="NK1553" ca="1">IFERROR(INDEX(nombres[],SMALL(IF(OFFSET(nombres[],0,0,ROWS(nombres[]),1)=NK$1490,ROW(OFFSET(nombres[],0,0,ROWS(nombres[]),1))-ROW(OFFSET(nombres[],0,0,1,1))+1,ROW(OFFSET(nombres[],ROWS(nombres[])-1,0,1,1))+1),$O1553:$O1572),3),"")</f>
        <v/>
      </c>
      <c r="NL1553" s="42" t="str">
        <f t="array" aca="1" ref="NL1553" ca="1">IFERROR(INDEX(nombres[],SMALL(IF(OFFSET(nombres[],0,0,ROWS(nombres[]),1)=NL$1490,ROW(OFFSET(nombres[],0,0,ROWS(nombres[]),1))-ROW(OFFSET(nombres[],0,0,1,1))+1,ROW(OFFSET(nombres[],ROWS(nombres[])-1,0,1,1))+1),$O1553:$O1572),3),"")</f>
        <v/>
      </c>
      <c r="NM1553" s="42" t="str">
        <f t="array" aca="1" ref="NM1553" ca="1">IFERROR(INDEX(nombres[],SMALL(IF(OFFSET(nombres[],0,0,ROWS(nombres[]),1)=NM$1490,ROW(OFFSET(nombres[],0,0,ROWS(nombres[]),1))-ROW(OFFSET(nombres[],0,0,1,1))+1,ROW(OFFSET(nombres[],ROWS(nombres[])-1,0,1,1))+1),$O1553:$O1572),3),"")</f>
        <v/>
      </c>
      <c r="NN1553" s="42" t="str">
        <f t="array" aca="1" ref="NN1553" ca="1">IFERROR(INDEX(nombres[],SMALL(IF(OFFSET(nombres[],0,0,ROWS(nombres[]),1)=NN$1490,ROW(OFFSET(nombres[],0,0,ROWS(nombres[]),1))-ROW(OFFSET(nombres[],0,0,1,1))+1,ROW(OFFSET(nombres[],ROWS(nombres[])-1,0,1,1))+1),$O1553:$O1572),3),"")</f>
        <v/>
      </c>
      <c r="NO1553" s="42" t="str">
        <f t="array" aca="1" ref="NO1553" ca="1">IFERROR(INDEX(nombres[],SMALL(IF(OFFSET(nombres[],0,0,ROWS(nombres[]),1)=NO$1490,ROW(OFFSET(nombres[],0,0,ROWS(nombres[]),1))-ROW(OFFSET(nombres[],0,0,1,1))+1,ROW(OFFSET(nombres[],ROWS(nombres[])-1,0,1,1))+1),$O1553:$O1572),3),"")</f>
        <v/>
      </c>
      <c r="NP1553" s="42" t="str">
        <f t="array" aca="1" ref="NP1553" ca="1">IFERROR(INDEX(nombres[],SMALL(IF(OFFSET(nombres[],0,0,ROWS(nombres[]),1)=NP$1490,ROW(OFFSET(nombres[],0,0,ROWS(nombres[]),1))-ROW(OFFSET(nombres[],0,0,1,1))+1,ROW(OFFSET(nombres[],ROWS(nombres[])-1,0,1,1))+1),$O1553:$O1572),3),"")</f>
        <v/>
      </c>
      <c r="NQ1553" s="42" t="str">
        <f t="array" aca="1" ref="NQ1553" ca="1">IFERROR(INDEX(nombres[],SMALL(IF(OFFSET(nombres[],0,0,ROWS(nombres[]),1)=NQ$1490,ROW(OFFSET(nombres[],0,0,ROWS(nombres[]),1))-ROW(OFFSET(nombres[],0,0,1,1))+1,ROW(OFFSET(nombres[],ROWS(nombres[])-1,0,1,1))+1),$O1553:$O1572),3),"")</f>
        <v/>
      </c>
      <c r="NR1553" s="42" t="str">
        <f t="array" aca="1" ref="NR1553" ca="1">IFERROR(INDEX(nombres[],SMALL(IF(OFFSET(nombres[],0,0,ROWS(nombres[]),1)=NR$1490,ROW(OFFSET(nombres[],0,0,ROWS(nombres[]),1))-ROW(OFFSET(nombres[],0,0,1,1))+1,ROW(OFFSET(nombres[],ROWS(nombres[])-1,0,1,1))+1),$O1553:$O1572),3),"")</f>
        <v/>
      </c>
      <c r="NS1553" s="42" t="str">
        <f t="array" aca="1" ref="NS1553" ca="1">IFERROR(INDEX(nombres[],SMALL(IF(OFFSET(nombres[],0,0,ROWS(nombres[]),1)=NS$1490,ROW(OFFSET(nombres[],0,0,ROWS(nombres[]),1))-ROW(OFFSET(nombres[],0,0,1,1))+1,ROW(OFFSET(nombres[],ROWS(nombres[])-1,0,1,1))+1),$O1553:$O1572),3),"")</f>
        <v/>
      </c>
      <c r="NT1553" s="42" t="str">
        <f t="array" aca="1" ref="NT1553" ca="1">IFERROR(INDEX(nombres[],SMALL(IF(OFFSET(nombres[],0,0,ROWS(nombres[]),1)=NT$1490,ROW(OFFSET(nombres[],0,0,ROWS(nombres[]),1))-ROW(OFFSET(nombres[],0,0,1,1))+1,ROW(OFFSET(nombres[],ROWS(nombres[])-1,0,1,1))+1),$O1553:$O1572),3),"")</f>
        <v/>
      </c>
      <c r="NU1553" s="42" t="str">
        <f t="array" aca="1" ref="NU1553" ca="1">IFERROR(INDEX(nombres[],SMALL(IF(OFFSET(nombres[],0,0,ROWS(nombres[]),1)=NU$1490,ROW(OFFSET(nombres[],0,0,ROWS(nombres[]),1))-ROW(OFFSET(nombres[],0,0,1,1))+1,ROW(OFFSET(nombres[],ROWS(nombres[])-1,0,1,1))+1),$O1553:$O1572),3),"")</f>
        <v/>
      </c>
      <c r="NV1553" s="42" t="str">
        <f t="array" aca="1" ref="NV1553" ca="1">IFERROR(INDEX(nombres[],SMALL(IF(OFFSET(nombres[],0,0,ROWS(nombres[]),1)=NV$1490,ROW(OFFSET(nombres[],0,0,ROWS(nombres[]),1))-ROW(OFFSET(nombres[],0,0,1,1))+1,ROW(OFFSET(nombres[],ROWS(nombres[])-1,0,1,1))+1),$O1553:$O1572),3),"")</f>
        <v/>
      </c>
      <c r="NW1553" s="42" t="str">
        <f t="array" aca="1" ref="NW1553" ca="1">IFERROR(INDEX(nombres[],SMALL(IF(OFFSET(nombres[],0,0,ROWS(nombres[]),1)=NW$1490,ROW(OFFSET(nombres[],0,0,ROWS(nombres[]),1))-ROW(OFFSET(nombres[],0,0,1,1))+1,ROW(OFFSET(nombres[],ROWS(nombres[])-1,0,1,1))+1),$O1553:$O1572),3),"")</f>
        <v/>
      </c>
      <c r="NX1553" s="42" t="str">
        <f t="array" aca="1" ref="NX1553" ca="1">IFERROR(INDEX(nombres[],SMALL(IF(OFFSET(nombres[],0,0,ROWS(nombres[]),1)=NX$1490,ROW(OFFSET(nombres[],0,0,ROWS(nombres[]),1))-ROW(OFFSET(nombres[],0,0,1,1))+1,ROW(OFFSET(nombres[],ROWS(nombres[])-1,0,1,1))+1),$O1553:$O1572),3),"")</f>
        <v/>
      </c>
      <c r="NY1553" s="42" t="str">
        <f t="array" aca="1" ref="NY1553" ca="1">IFERROR(INDEX(nombres[],SMALL(IF(OFFSET(nombres[],0,0,ROWS(nombres[]),1)=NY$1490,ROW(OFFSET(nombres[],0,0,ROWS(nombres[]),1))-ROW(OFFSET(nombres[],0,0,1,1))+1,ROW(OFFSET(nombres[],ROWS(nombres[])-1,0,1,1))+1),$O1553:$O1572),3),"")</f>
        <v/>
      </c>
      <c r="NZ1553" s="42" t="str">
        <f t="array" aca="1" ref="NZ1553" ca="1">IFERROR(INDEX(nombres[],SMALL(IF(OFFSET(nombres[],0,0,ROWS(nombres[]),1)=NZ$1490,ROW(OFFSET(nombres[],0,0,ROWS(nombres[]),1))-ROW(OFFSET(nombres[],0,0,1,1))+1,ROW(OFFSET(nombres[],ROWS(nombres[])-1,0,1,1))+1),$O1553:$O1572),3),"")</f>
        <v/>
      </c>
      <c r="OA1553" s="42" t="str">
        <f t="array" aca="1" ref="OA1553" ca="1">IFERROR(INDEX(nombres[],SMALL(IF(OFFSET(nombres[],0,0,ROWS(nombres[]),1)=OA$1490,ROW(OFFSET(nombres[],0,0,ROWS(nombres[]),1))-ROW(OFFSET(nombres[],0,0,1,1))+1,ROW(OFFSET(nombres[],ROWS(nombres[])-1,0,1,1))+1),$O1553:$O1572),3),"")</f>
        <v/>
      </c>
      <c r="OB1553" s="42" t="str">
        <f t="array" aca="1" ref="OB1553" ca="1">IFERROR(INDEX(nombres[],SMALL(IF(OFFSET(nombres[],0,0,ROWS(nombres[]),1)=OB$1490,ROW(OFFSET(nombres[],0,0,ROWS(nombres[]),1))-ROW(OFFSET(nombres[],0,0,1,1))+1,ROW(OFFSET(nombres[],ROWS(nombres[])-1,0,1,1))+1),$O1553:$O1572),3),"")</f>
        <v/>
      </c>
      <c r="OC1553" s="42" t="str">
        <f t="array" aca="1" ref="OC1553" ca="1">IFERROR(INDEX(nombres[],SMALL(IF(OFFSET(nombres[],0,0,ROWS(nombres[]),1)=OC$1490,ROW(OFFSET(nombres[],0,0,ROWS(nombres[]),1))-ROW(OFFSET(nombres[],0,0,1,1))+1,ROW(OFFSET(nombres[],ROWS(nombres[])-1,0,1,1))+1),$O1553:$O1572),3),"")</f>
        <v/>
      </c>
      <c r="OD1553" s="42" t="str">
        <f t="array" aca="1" ref="OD1553" ca="1">IFERROR(INDEX(nombres[],SMALL(IF(OFFSET(nombres[],0,0,ROWS(nombres[]),1)=OD$1490,ROW(OFFSET(nombres[],0,0,ROWS(nombres[]),1))-ROW(OFFSET(nombres[],0,0,1,1))+1,ROW(OFFSET(nombres[],ROWS(nombres[])-1,0,1,1))+1),$O1553:$O1572),3),"")</f>
        <v/>
      </c>
      <c r="OE1553" s="42" t="str">
        <f t="array" aca="1" ref="OE1553" ca="1">IFERROR(INDEX(nombres[],SMALL(IF(OFFSET(nombres[],0,0,ROWS(nombres[]),1)=OE$1490,ROW(OFFSET(nombres[],0,0,ROWS(nombres[]),1))-ROW(OFFSET(nombres[],0,0,1,1))+1,ROW(OFFSET(nombres[],ROWS(nombres[])-1,0,1,1))+1),$O1553:$O1572),3),"")</f>
        <v/>
      </c>
      <c r="OF1553" s="42" t="str">
        <f t="array" aca="1" ref="OF1553" ca="1">IFERROR(INDEX(nombres[],SMALL(IF(OFFSET(nombres[],0,0,ROWS(nombres[]),1)=OF$1490,ROW(OFFSET(nombres[],0,0,ROWS(nombres[]),1))-ROW(OFFSET(nombres[],0,0,1,1))+1,ROW(OFFSET(nombres[],ROWS(nombres[])-1,0,1,1))+1),$O1553:$O1572),3),"")</f>
        <v/>
      </c>
      <c r="OG1553" s="42" t="str">
        <f t="array" aca="1" ref="OG1553" ca="1">IFERROR(INDEX(nombres[],SMALL(IF(OFFSET(nombres[],0,0,ROWS(nombres[]),1)=OG$1490,ROW(OFFSET(nombres[],0,0,ROWS(nombres[]),1))-ROW(OFFSET(nombres[],0,0,1,1))+1,ROW(OFFSET(nombres[],ROWS(nombres[])-1,0,1,1))+1),$O1553:$O1572),3),"")</f>
        <v/>
      </c>
      <c r="OH1553" s="42" t="str">
        <f t="array" aca="1" ref="OH1553" ca="1">IFERROR(INDEX(nombres[],SMALL(IF(OFFSET(nombres[],0,0,ROWS(nombres[]),1)=OH$1490,ROW(OFFSET(nombres[],0,0,ROWS(nombres[]),1))-ROW(OFFSET(nombres[],0,0,1,1))+1,ROW(OFFSET(nombres[],ROWS(nombres[])-1,0,1,1))+1),$O1553:$O1572),3),"")</f>
        <v/>
      </c>
      <c r="OI1553" s="42" t="str">
        <f t="array" aca="1" ref="OI1553" ca="1">IFERROR(INDEX(nombres[],SMALL(IF(OFFSET(nombres[],0,0,ROWS(nombres[]),1)=OI$1490,ROW(OFFSET(nombres[],0,0,ROWS(nombres[]),1))-ROW(OFFSET(nombres[],0,0,1,1))+1,ROW(OFFSET(nombres[],ROWS(nombres[])-1,0,1,1))+1),$O1553:$O1572),3),"")</f>
        <v/>
      </c>
      <c r="OJ1553" s="42" t="str">
        <f t="array" aca="1" ref="OJ1553" ca="1">IFERROR(INDEX(nombres[],SMALL(IF(OFFSET(nombres[],0,0,ROWS(nombres[]),1)=OJ$1490,ROW(OFFSET(nombres[],0,0,ROWS(nombres[]),1))-ROW(OFFSET(nombres[],0,0,1,1))+1,ROW(OFFSET(nombres[],ROWS(nombres[])-1,0,1,1))+1),$O1553:$O1572),3),"")</f>
        <v/>
      </c>
      <c r="OK1553" s="42" t="str">
        <f t="array" aca="1" ref="OK1553" ca="1">IFERROR(INDEX(nombres[],SMALL(IF(OFFSET(nombres[],0,0,ROWS(nombres[]),1)=OK$1490,ROW(OFFSET(nombres[],0,0,ROWS(nombres[]),1))-ROW(OFFSET(nombres[],0,0,1,1))+1,ROW(OFFSET(nombres[],ROWS(nombres[])-1,0,1,1))+1),$O1553:$O1572),3),"")</f>
        <v/>
      </c>
      <c r="OL1553" s="42" t="str">
        <f t="array" aca="1" ref="OL1553" ca="1">IFERROR(INDEX(nombres[],SMALL(IF(OFFSET(nombres[],0,0,ROWS(nombres[]),1)=OL$1490,ROW(OFFSET(nombres[],0,0,ROWS(nombres[]),1))-ROW(OFFSET(nombres[],0,0,1,1))+1,ROW(OFFSET(nombres[],ROWS(nombres[])-1,0,1,1))+1),$O1553:$O1572),3),"")</f>
        <v/>
      </c>
      <c r="OM1553" s="42" t="str">
        <f t="array" aca="1" ref="OM1553" ca="1">IFERROR(INDEX(nombres[],SMALL(IF(OFFSET(nombres[],0,0,ROWS(nombres[]),1)=OM$1490,ROW(OFFSET(nombres[],0,0,ROWS(nombres[]),1))-ROW(OFFSET(nombres[],0,0,1,1))+1,ROW(OFFSET(nombres[],ROWS(nombres[])-1,0,1,1))+1),$O1553:$O1572),3),"")</f>
        <v/>
      </c>
      <c r="ON1553" s="42" t="str">
        <f t="array" aca="1" ref="ON1553" ca="1">IFERROR(INDEX(nombres[],SMALL(IF(OFFSET(nombres[],0,0,ROWS(nombres[]),1)=ON$1490,ROW(OFFSET(nombres[],0,0,ROWS(nombres[]),1))-ROW(OFFSET(nombres[],0,0,1,1))+1,ROW(OFFSET(nombres[],ROWS(nombres[])-1,0,1,1))+1),$O1553:$O1572),3),"")</f>
        <v/>
      </c>
      <c r="OO1553" s="42" t="str">
        <f t="array" aca="1" ref="OO1553" ca="1">IFERROR(INDEX(nombres[],SMALL(IF(OFFSET(nombres[],0,0,ROWS(nombres[]),1)=OO$1490,ROW(OFFSET(nombres[],0,0,ROWS(nombres[]),1))-ROW(OFFSET(nombres[],0,0,1,1))+1,ROW(OFFSET(nombres[],ROWS(nombres[])-1,0,1,1))+1),$O1553:$O1572),3),"")</f>
        <v/>
      </c>
      <c r="OP1553" s="42" t="str">
        <f t="array" aca="1" ref="OP1553" ca="1">IFERROR(INDEX(nombres[],SMALL(IF(OFFSET(nombres[],0,0,ROWS(nombres[]),1)=OP$1490,ROW(OFFSET(nombres[],0,0,ROWS(nombres[]),1))-ROW(OFFSET(nombres[],0,0,1,1))+1,ROW(OFFSET(nombres[],ROWS(nombres[])-1,0,1,1))+1),$O1553:$O1572),3),"")</f>
        <v/>
      </c>
      <c r="OQ1553" s="42" t="str">
        <f t="array" aca="1" ref="OQ1553" ca="1">IFERROR(INDEX(nombres[],SMALL(IF(OFFSET(nombres[],0,0,ROWS(nombres[]),1)=OQ$1490,ROW(OFFSET(nombres[],0,0,ROWS(nombres[]),1))-ROW(OFFSET(nombres[],0,0,1,1))+1,ROW(OFFSET(nombres[],ROWS(nombres[])-1,0,1,1))+1),$O1553:$O1572),3),"")</f>
        <v/>
      </c>
      <c r="OR1553" s="42" t="str">
        <f t="array" aca="1" ref="OR1553" ca="1">IFERROR(INDEX(nombres[],SMALL(IF(OFFSET(nombres[],0,0,ROWS(nombres[]),1)=OR$1490,ROW(OFFSET(nombres[],0,0,ROWS(nombres[]),1))-ROW(OFFSET(nombres[],0,0,1,1))+1,ROW(OFFSET(nombres[],ROWS(nombres[])-1,0,1,1))+1),$O1553:$O1572),3),"")</f>
        <v/>
      </c>
      <c r="OS1553" s="42" t="str">
        <f t="array" aca="1" ref="OS1553" ca="1">IFERROR(INDEX(nombres[],SMALL(IF(OFFSET(nombres[],0,0,ROWS(nombres[]),1)=OS$1490,ROW(OFFSET(nombres[],0,0,ROWS(nombres[]),1))-ROW(OFFSET(nombres[],0,0,1,1))+1,ROW(OFFSET(nombres[],ROWS(nombres[])-1,0,1,1))+1),$O1553:$O1572),3),"")</f>
        <v/>
      </c>
      <c r="OT1553" s="42" t="str">
        <f t="array" aca="1" ref="OT1553" ca="1">IFERROR(INDEX(nombres[],SMALL(IF(OFFSET(nombres[],0,0,ROWS(nombres[]),1)=OT$1490,ROW(OFFSET(nombres[],0,0,ROWS(nombres[]),1))-ROW(OFFSET(nombres[],0,0,1,1))+1,ROW(OFFSET(nombres[],ROWS(nombres[])-1,0,1,1))+1),$O1553:$O1572),3),"")</f>
        <v/>
      </c>
      <c r="OU1553" s="42" t="str">
        <f t="array" aca="1" ref="OU1553" ca="1">IFERROR(INDEX(nombres[],SMALL(IF(OFFSET(nombres[],0,0,ROWS(nombres[]),1)=OU$1490,ROW(OFFSET(nombres[],0,0,ROWS(nombres[]),1))-ROW(OFFSET(nombres[],0,0,1,1))+1,ROW(OFFSET(nombres[],ROWS(nombres[])-1,0,1,1))+1),$O1553:$O1572),3),"")</f>
        <v/>
      </c>
      <c r="OV1553" s="42" t="str">
        <f t="array" aca="1" ref="OV1553" ca="1">IFERROR(INDEX(nombres[],SMALL(IF(OFFSET(nombres[],0,0,ROWS(nombres[]),1)=OV$1490,ROW(OFFSET(nombres[],0,0,ROWS(nombres[]),1))-ROW(OFFSET(nombres[],0,0,1,1))+1,ROW(OFFSET(nombres[],ROWS(nombres[])-1,0,1,1))+1),$O1553:$O1572),3),"")</f>
        <v/>
      </c>
      <c r="OW1553" s="42" t="str">
        <f t="array" aca="1" ref="OW1553" ca="1">IFERROR(INDEX(nombres[],SMALL(IF(OFFSET(nombres[],0,0,ROWS(nombres[]),1)=OW$1490,ROW(OFFSET(nombres[],0,0,ROWS(nombres[]),1))-ROW(OFFSET(nombres[],0,0,1,1))+1,ROW(OFFSET(nombres[],ROWS(nombres[])-1,0,1,1))+1),$O1553:$O1572),3),"")</f>
        <v/>
      </c>
      <c r="OX1553" s="42" t="str">
        <f t="array" aca="1" ref="OX1553" ca="1">IFERROR(INDEX(nombres[],SMALL(IF(OFFSET(nombres[],0,0,ROWS(nombres[]),1)=OX$1490,ROW(OFFSET(nombres[],0,0,ROWS(nombres[]),1))-ROW(OFFSET(nombres[],0,0,1,1))+1,ROW(OFFSET(nombres[],ROWS(nombres[])-1,0,1,1))+1),$O1553:$O1572),3),"")</f>
        <v/>
      </c>
      <c r="OY1553" s="42" t="str">
        <f t="array" aca="1" ref="OY1553" ca="1">IFERROR(INDEX(nombres[],SMALL(IF(OFFSET(nombres[],0,0,ROWS(nombres[]),1)=OY$1490,ROW(OFFSET(nombres[],0,0,ROWS(nombres[]),1))-ROW(OFFSET(nombres[],0,0,1,1))+1,ROW(OFFSET(nombres[],ROWS(nombres[])-1,0,1,1))+1),$O1553:$O1572),3),"")</f>
        <v/>
      </c>
      <c r="OZ1553" s="42" t="str">
        <f t="array" aca="1" ref="OZ1553" ca="1">IFERROR(INDEX(nombres[],SMALL(IF(OFFSET(nombres[],0,0,ROWS(nombres[]),1)=OZ$1490,ROW(OFFSET(nombres[],0,0,ROWS(nombres[]),1))-ROW(OFFSET(nombres[],0,0,1,1))+1,ROW(OFFSET(nombres[],ROWS(nombres[])-1,0,1,1))+1),$O1553:$O1572),3),"")</f>
        <v/>
      </c>
      <c r="PA1553" s="42" t="str">
        <f t="array" aca="1" ref="PA1553" ca="1">IFERROR(INDEX(nombres[],SMALL(IF(OFFSET(nombres[],0,0,ROWS(nombres[]),1)=PA$1490,ROW(OFFSET(nombres[],0,0,ROWS(nombres[]),1))-ROW(OFFSET(nombres[],0,0,1,1))+1,ROW(OFFSET(nombres[],ROWS(nombres[])-1,0,1,1))+1),$O1553:$O1572),3),"")</f>
        <v/>
      </c>
      <c r="PB1553" s="42" t="str">
        <f t="array" aca="1" ref="PB1553" ca="1">IFERROR(INDEX(nombres[],SMALL(IF(OFFSET(nombres[],0,0,ROWS(nombres[]),1)=PB$1490,ROW(OFFSET(nombres[],0,0,ROWS(nombres[]),1))-ROW(OFFSET(nombres[],0,0,1,1))+1,ROW(OFFSET(nombres[],ROWS(nombres[])-1,0,1,1))+1),$O1553:$O1572),3),"")</f>
        <v/>
      </c>
      <c r="PC1553" s="42" t="str">
        <f t="array" aca="1" ref="PC1553" ca="1">IFERROR(INDEX(nombres[],SMALL(IF(OFFSET(nombres[],0,0,ROWS(nombres[]),1)=PC$1490,ROW(OFFSET(nombres[],0,0,ROWS(nombres[]),1))-ROW(OFFSET(nombres[],0,0,1,1))+1,ROW(OFFSET(nombres[],ROWS(nombres[])-1,0,1,1))+1),$O1553:$O1572),3),"")</f>
        <v/>
      </c>
      <c r="PD1553" s="42" t="str">
        <f t="array" aca="1" ref="PD1553" ca="1">IFERROR(INDEX(nombres[],SMALL(IF(OFFSET(nombres[],0,0,ROWS(nombres[]),1)=PD$1490,ROW(OFFSET(nombres[],0,0,ROWS(nombres[]),1))-ROW(OFFSET(nombres[],0,0,1,1))+1,ROW(OFFSET(nombres[],ROWS(nombres[])-1,0,1,1))+1),$O1553:$O1572),3),"")</f>
        <v/>
      </c>
      <c r="PE1553" s="42" t="str">
        <f t="array" aca="1" ref="PE1553" ca="1">IFERROR(INDEX(nombres[],SMALL(IF(OFFSET(nombres[],0,0,ROWS(nombres[]),1)=PE$1490,ROW(OFFSET(nombres[],0,0,ROWS(nombres[]),1))-ROW(OFFSET(nombres[],0,0,1,1))+1,ROW(OFFSET(nombres[],ROWS(nombres[])-1,0,1,1))+1),$O1553:$O1572),3),"")</f>
        <v/>
      </c>
      <c r="PF1553" s="42" t="str">
        <f t="array" aca="1" ref="PF1553" ca="1">IFERROR(INDEX(nombres[],SMALL(IF(OFFSET(nombres[],0,0,ROWS(nombres[]),1)=PF$1490,ROW(OFFSET(nombres[],0,0,ROWS(nombres[]),1))-ROW(OFFSET(nombres[],0,0,1,1))+1,ROW(OFFSET(nombres[],ROWS(nombres[])-1,0,1,1))+1),$O1553:$O1572),3),"")</f>
        <v/>
      </c>
      <c r="PG1553" s="42" t="str">
        <f t="array" aca="1" ref="PG1553" ca="1">IFERROR(INDEX(nombres[],SMALL(IF(OFFSET(nombres[],0,0,ROWS(nombres[]),1)=PG$1490,ROW(OFFSET(nombres[],0,0,ROWS(nombres[]),1))-ROW(OFFSET(nombres[],0,0,1,1))+1,ROW(OFFSET(nombres[],ROWS(nombres[])-1,0,1,1))+1),$O1553:$O1572),3),"")</f>
        <v/>
      </c>
      <c r="PH1553" s="42" t="str">
        <f t="array" aca="1" ref="PH1553" ca="1">IFERROR(INDEX(nombres[],SMALL(IF(OFFSET(nombres[],0,0,ROWS(nombres[]),1)=PH$1490,ROW(OFFSET(nombres[],0,0,ROWS(nombres[]),1))-ROW(OFFSET(nombres[],0,0,1,1))+1,ROW(OFFSET(nombres[],ROWS(nombres[])-1,0,1,1))+1),$O1553:$O1572),3),"")</f>
        <v/>
      </c>
      <c r="PI1553" s="42" t="str">
        <f t="array" aca="1" ref="PI1553" ca="1">IFERROR(INDEX(nombres[],SMALL(IF(OFFSET(nombres[],0,0,ROWS(nombres[]),1)=PI$1490,ROW(OFFSET(nombres[],0,0,ROWS(nombres[]),1))-ROW(OFFSET(nombres[],0,0,1,1))+1,ROW(OFFSET(nombres[],ROWS(nombres[])-1,0,1,1))+1),$O1553:$O1572),3),"")</f>
        <v/>
      </c>
      <c r="PJ1553" s="42" t="str">
        <f t="array" aca="1" ref="PJ1553" ca="1">IFERROR(INDEX(nombres[],SMALL(IF(OFFSET(nombres[],0,0,ROWS(nombres[]),1)=PJ$1490,ROW(OFFSET(nombres[],0,0,ROWS(nombres[]),1))-ROW(OFFSET(nombres[],0,0,1,1))+1,ROW(OFFSET(nombres[],ROWS(nombres[])-1,0,1,1))+1),$O1553:$O1572),3),"")</f>
        <v/>
      </c>
      <c r="PK1553" s="42" t="str">
        <f t="array" aca="1" ref="PK1553" ca="1">IFERROR(INDEX(nombres[],SMALL(IF(OFFSET(nombres[],0,0,ROWS(nombres[]),1)=PK$1490,ROW(OFFSET(nombres[],0,0,ROWS(nombres[]),1))-ROW(OFFSET(nombres[],0,0,1,1))+1,ROW(OFFSET(nombres[],ROWS(nombres[])-1,0,1,1))+1),$O1553:$O1572),3),"")</f>
        <v/>
      </c>
      <c r="PL1553" s="42" t="str">
        <f t="array" aca="1" ref="PL1553" ca="1">IFERROR(INDEX(nombres[],SMALL(IF(OFFSET(nombres[],0,0,ROWS(nombres[]),1)=PL$1490,ROW(OFFSET(nombres[],0,0,ROWS(nombres[]),1))-ROW(OFFSET(nombres[],0,0,1,1))+1,ROW(OFFSET(nombres[],ROWS(nombres[])-1,0,1,1))+1),$O1553:$O1572),3),"")</f>
        <v/>
      </c>
      <c r="PM1553" s="42" t="str">
        <f t="array" aca="1" ref="PM1553" ca="1">IFERROR(INDEX(nombres[],SMALL(IF(OFFSET(nombres[],0,0,ROWS(nombres[]),1)=PM$1490,ROW(OFFSET(nombres[],0,0,ROWS(nombres[]),1))-ROW(OFFSET(nombres[],0,0,1,1))+1,ROW(OFFSET(nombres[],ROWS(nombres[])-1,0,1,1))+1),$O1553:$O1572),3),"")</f>
        <v/>
      </c>
      <c r="PN1553" s="42" t="str">
        <f t="array" aca="1" ref="PN1553" ca="1">IFERROR(INDEX(nombres[],SMALL(IF(OFFSET(nombres[],0,0,ROWS(nombres[]),1)=PN$1490,ROW(OFFSET(nombres[],0,0,ROWS(nombres[]),1))-ROW(OFFSET(nombres[],0,0,1,1))+1,ROW(OFFSET(nombres[],ROWS(nombres[])-1,0,1,1))+1),$O1553:$O1572),3),"")</f>
        <v/>
      </c>
      <c r="PO1553" s="42" t="str">
        <f t="array" aca="1" ref="PO1553" ca="1">IFERROR(INDEX(nombres[],SMALL(IF(OFFSET(nombres[],0,0,ROWS(nombres[]),1)=PO$1490,ROW(OFFSET(nombres[],0,0,ROWS(nombres[]),1))-ROW(OFFSET(nombres[],0,0,1,1))+1,ROW(OFFSET(nombres[],ROWS(nombres[])-1,0,1,1))+1),$O1553:$O1572),3),"")</f>
        <v/>
      </c>
      <c r="PP1553" s="42" t="str">
        <f t="array" aca="1" ref="PP1553" ca="1">IFERROR(INDEX(nombres[],SMALL(IF(OFFSET(nombres[],0,0,ROWS(nombres[]),1)=PP$1490,ROW(OFFSET(nombres[],0,0,ROWS(nombres[]),1))-ROW(OFFSET(nombres[],0,0,1,1))+1,ROW(OFFSET(nombres[],ROWS(nombres[])-1,0,1,1))+1),$O1553:$O1572),3),"")</f>
        <v/>
      </c>
      <c r="PQ1553" s="42" t="str">
        <f t="array" aca="1" ref="PQ1553" ca="1">IFERROR(INDEX(nombres[],SMALL(IF(OFFSET(nombres[],0,0,ROWS(nombres[]),1)=PQ$1490,ROW(OFFSET(nombres[],0,0,ROWS(nombres[]),1))-ROW(OFFSET(nombres[],0,0,1,1))+1,ROW(OFFSET(nombres[],ROWS(nombres[])-1,0,1,1))+1),$O1553:$O1572),3),"")</f>
        <v/>
      </c>
      <c r="PR1553" s="42" t="str">
        <f t="array" aca="1" ref="PR1553" ca="1">IFERROR(INDEX(nombres[],SMALL(IF(OFFSET(nombres[],0,0,ROWS(nombres[]),1)=PR$1490,ROW(OFFSET(nombres[],0,0,ROWS(nombres[]),1))-ROW(OFFSET(nombres[],0,0,1,1))+1,ROW(OFFSET(nombres[],ROWS(nombres[])-1,0,1,1))+1),$O1553:$O1572),3),"")</f>
        <v/>
      </c>
      <c r="PS1553" s="42" t="str">
        <f t="array" aca="1" ref="PS1553" ca="1">IFERROR(INDEX(nombres[],SMALL(IF(OFFSET(nombres[],0,0,ROWS(nombres[]),1)=PS$1490,ROW(OFFSET(nombres[],0,0,ROWS(nombres[]),1))-ROW(OFFSET(nombres[],0,0,1,1))+1,ROW(OFFSET(nombres[],ROWS(nombres[])-1,0,1,1))+1),$O1553:$O1572),3),"")</f>
        <v/>
      </c>
      <c r="PT1553" s="42" t="str">
        <f t="array" aca="1" ref="PT1553" ca="1">IFERROR(INDEX(nombres[],SMALL(IF(OFFSET(nombres[],0,0,ROWS(nombres[]),1)=PT$1490,ROW(OFFSET(nombres[],0,0,ROWS(nombres[]),1))-ROW(OFFSET(nombres[],0,0,1,1))+1,ROW(OFFSET(nombres[],ROWS(nombres[])-1,0,1,1))+1),$O1553:$O1572),3),"")</f>
        <v/>
      </c>
      <c r="PU1553" s="42" t="str">
        <f t="array" aca="1" ref="PU1553" ca="1">IFERROR(INDEX(nombres[],SMALL(IF(OFFSET(nombres[],0,0,ROWS(nombres[]),1)=PU$1490,ROW(OFFSET(nombres[],0,0,ROWS(nombres[]),1))-ROW(OFFSET(nombres[],0,0,1,1))+1,ROW(OFFSET(nombres[],ROWS(nombres[])-1,0,1,1))+1),$O1553:$O1572),3),"")</f>
        <v/>
      </c>
      <c r="PV1553" s="42" t="str">
        <f t="array" aca="1" ref="PV1553" ca="1">IFERROR(INDEX(nombres[],SMALL(IF(OFFSET(nombres[],0,0,ROWS(nombres[]),1)=PV$1490,ROW(OFFSET(nombres[],0,0,ROWS(nombres[]),1))-ROW(OFFSET(nombres[],0,0,1,1))+1,ROW(OFFSET(nombres[],ROWS(nombres[])-1,0,1,1))+1),$O1553:$O1572),3),"")</f>
        <v/>
      </c>
      <c r="PW1553" s="42" t="str">
        <f t="array" aca="1" ref="PW1553" ca="1">IFERROR(INDEX(nombres[],SMALL(IF(OFFSET(nombres[],0,0,ROWS(nombres[]),1)=PW$1490,ROW(OFFSET(nombres[],0,0,ROWS(nombres[]),1))-ROW(OFFSET(nombres[],0,0,1,1))+1,ROW(OFFSET(nombres[],ROWS(nombres[])-1,0,1,1))+1),$O1553:$O1572),3),"")</f>
        <v/>
      </c>
      <c r="PX1553" s="42" t="str">
        <f t="array" aca="1" ref="PX1553" ca="1">IFERROR(INDEX(nombres[],SMALL(IF(OFFSET(nombres[],0,0,ROWS(nombres[]),1)=PX$1490,ROW(OFFSET(nombres[],0,0,ROWS(nombres[]),1))-ROW(OFFSET(nombres[],0,0,1,1))+1,ROW(OFFSET(nombres[],ROWS(nombres[])-1,0,1,1))+1),$O1553:$O1572),3),"")</f>
        <v/>
      </c>
      <c r="PY1553" s="42" t="str">
        <f t="array" aca="1" ref="PY1553" ca="1">IFERROR(INDEX(nombres[],SMALL(IF(OFFSET(nombres[],0,0,ROWS(nombres[]),1)=PY$1490,ROW(OFFSET(nombres[],0,0,ROWS(nombres[]),1))-ROW(OFFSET(nombres[],0,0,1,1))+1,ROW(OFFSET(nombres[],ROWS(nombres[])-1,0,1,1))+1),$O1553:$O1572),3),"")</f>
        <v/>
      </c>
      <c r="PZ1553" s="42" t="str">
        <f t="array" aca="1" ref="PZ1553" ca="1">IFERROR(INDEX(nombres[],SMALL(IF(OFFSET(nombres[],0,0,ROWS(nombres[]),1)=PZ$1490,ROW(OFFSET(nombres[],0,0,ROWS(nombres[]),1))-ROW(OFFSET(nombres[],0,0,1,1))+1,ROW(OFFSET(nombres[],ROWS(nombres[])-1,0,1,1))+1),$O1553:$O1572),3),"")</f>
        <v/>
      </c>
      <c r="QA1553" s="42" t="str">
        <f t="array" aca="1" ref="QA1553" ca="1">IFERROR(INDEX(nombres[],SMALL(IF(OFFSET(nombres[],0,0,ROWS(nombres[]),1)=QA$1490,ROW(OFFSET(nombres[],0,0,ROWS(nombres[]),1))-ROW(OFFSET(nombres[],0,0,1,1))+1,ROW(OFFSET(nombres[],ROWS(nombres[])-1,0,1,1))+1),$O1553:$O1572),3),"")</f>
        <v/>
      </c>
      <c r="QB1553" s="42" t="str">
        <f t="array" aca="1" ref="QB1553" ca="1">IFERROR(INDEX(nombres[],SMALL(IF(OFFSET(nombres[],0,0,ROWS(nombres[]),1)=QB$1490,ROW(OFFSET(nombres[],0,0,ROWS(nombres[]),1))-ROW(OFFSET(nombres[],0,0,1,1))+1,ROW(OFFSET(nombres[],ROWS(nombres[])-1,0,1,1))+1),$O1553:$O1572),3),"")</f>
        <v/>
      </c>
      <c r="QC1553" s="42" t="str">
        <f t="array" aca="1" ref="QC1553" ca="1">IFERROR(INDEX(nombres[],SMALL(IF(OFFSET(nombres[],0,0,ROWS(nombres[]),1)=QC$1490,ROW(OFFSET(nombres[],0,0,ROWS(nombres[]),1))-ROW(OFFSET(nombres[],0,0,1,1))+1,ROW(OFFSET(nombres[],ROWS(nombres[])-1,0,1,1))+1),$O1553:$O1572),3),"")</f>
        <v/>
      </c>
      <c r="QD1553" s="42" t="str">
        <f t="array" aca="1" ref="QD1553" ca="1">IFERROR(INDEX(nombres[],SMALL(IF(OFFSET(nombres[],0,0,ROWS(nombres[]),1)=QD$1490,ROW(OFFSET(nombres[],0,0,ROWS(nombres[]),1))-ROW(OFFSET(nombres[],0,0,1,1))+1,ROW(OFFSET(nombres[],ROWS(nombres[])-1,0,1,1))+1),$O1553:$O1572),3),"")</f>
        <v/>
      </c>
      <c r="QE1553" s="42" t="str">
        <f t="array" aca="1" ref="QE1553" ca="1">IFERROR(INDEX(nombres[],SMALL(IF(OFFSET(nombres[],0,0,ROWS(nombres[]),1)=QE$1490,ROW(OFFSET(nombres[],0,0,ROWS(nombres[]),1))-ROW(OFFSET(nombres[],0,0,1,1))+1,ROW(OFFSET(nombres[],ROWS(nombres[])-1,0,1,1))+1),$O1553:$O1572),3),"")</f>
        <v/>
      </c>
      <c r="QF1553" s="42" t="str">
        <f t="array" aca="1" ref="QF1553" ca="1">IFERROR(INDEX(nombres[],SMALL(IF(OFFSET(nombres[],0,0,ROWS(nombres[]),1)=QF$1490,ROW(OFFSET(nombres[],0,0,ROWS(nombres[]),1))-ROW(OFFSET(nombres[],0,0,1,1))+1,ROW(OFFSET(nombres[],ROWS(nombres[])-1,0,1,1))+1),$O1553:$O1572),3),"")</f>
        <v/>
      </c>
      <c r="QG1553" s="42" t="str">
        <f t="array" aca="1" ref="QG1553" ca="1">IFERROR(INDEX(nombres[],SMALL(IF(OFFSET(nombres[],0,0,ROWS(nombres[]),1)=QG$1490,ROW(OFFSET(nombres[],0,0,ROWS(nombres[]),1))-ROW(OFFSET(nombres[],0,0,1,1))+1,ROW(OFFSET(nombres[],ROWS(nombres[])-1,0,1,1))+1),$O1553:$O1572),3),"")</f>
        <v/>
      </c>
      <c r="QH1553" s="42" t="str">
        <f t="array" aca="1" ref="QH1553" ca="1">IFERROR(INDEX(nombres[],SMALL(IF(OFFSET(nombres[],0,0,ROWS(nombres[]),1)=QH$1490,ROW(OFFSET(nombres[],0,0,ROWS(nombres[]),1))-ROW(OFFSET(nombres[],0,0,1,1))+1,ROW(OFFSET(nombres[],ROWS(nombres[])-1,0,1,1))+1),$O1553:$O1572),3),"")</f>
        <v/>
      </c>
      <c r="QI1553" s="42" t="str">
        <f t="array" aca="1" ref="QI1553" ca="1">IFERROR(INDEX(nombres[],SMALL(IF(OFFSET(nombres[],0,0,ROWS(nombres[]),1)=QI$1490,ROW(OFFSET(nombres[],0,0,ROWS(nombres[]),1))-ROW(OFFSET(nombres[],0,0,1,1))+1,ROW(OFFSET(nombres[],ROWS(nombres[])-1,0,1,1))+1),$O1553:$O1572),3),"")</f>
        <v/>
      </c>
      <c r="QJ1553" s="42" t="str">
        <f t="array" aca="1" ref="QJ1553" ca="1">IFERROR(INDEX(nombres[],SMALL(IF(OFFSET(nombres[],0,0,ROWS(nombres[]),1)=QJ$1490,ROW(OFFSET(nombres[],0,0,ROWS(nombres[]),1))-ROW(OFFSET(nombres[],0,0,1,1))+1,ROW(OFFSET(nombres[],ROWS(nombres[])-1,0,1,1))+1),$O1553:$O1572),3),"")</f>
        <v/>
      </c>
      <c r="QK1553" s="42" t="str">
        <f t="array" aca="1" ref="QK1553" ca="1">IFERROR(INDEX(nombres[],SMALL(IF(OFFSET(nombres[],0,0,ROWS(nombres[]),1)=QK$1490,ROW(OFFSET(nombres[],0,0,ROWS(nombres[]),1))-ROW(OFFSET(nombres[],0,0,1,1))+1,ROW(OFFSET(nombres[],ROWS(nombres[])-1,0,1,1))+1),$O1553:$O1572),3),"")</f>
        <v/>
      </c>
      <c r="QL1553" s="42" t="str">
        <f t="array" aca="1" ref="QL1553" ca="1">IFERROR(INDEX(nombres[],SMALL(IF(OFFSET(nombres[],0,0,ROWS(nombres[]),1)=QL$1490,ROW(OFFSET(nombres[],0,0,ROWS(nombres[]),1))-ROW(OFFSET(nombres[],0,0,1,1))+1,ROW(OFFSET(nombres[],ROWS(nombres[])-1,0,1,1))+1),$O1553:$O1572),3),"")</f>
        <v/>
      </c>
      <c r="QM1553" s="42" t="str">
        <f t="array" aca="1" ref="QM1553" ca="1">IFERROR(INDEX(nombres[],SMALL(IF(OFFSET(nombres[],0,0,ROWS(nombres[]),1)=QM$1490,ROW(OFFSET(nombres[],0,0,ROWS(nombres[]),1))-ROW(OFFSET(nombres[],0,0,1,1))+1,ROW(OFFSET(nombres[],ROWS(nombres[])-1,0,1,1))+1),$O1553:$O1572),3),"")</f>
        <v/>
      </c>
      <c r="QN1553" s="42" t="str">
        <f t="array" aca="1" ref="QN1553" ca="1">IFERROR(INDEX(nombres[],SMALL(IF(OFFSET(nombres[],0,0,ROWS(nombres[]),1)=QN$1490,ROW(OFFSET(nombres[],0,0,ROWS(nombres[]),1))-ROW(OFFSET(nombres[],0,0,1,1))+1,ROW(OFFSET(nombres[],ROWS(nombres[])-1,0,1,1))+1),$O1553:$O1572),3),"")</f>
        <v/>
      </c>
      <c r="QO1553" s="42" t="str">
        <f t="array" aca="1" ref="QO1553" ca="1">IFERROR(INDEX(nombres[],SMALL(IF(OFFSET(nombres[],0,0,ROWS(nombres[]),1)=QO$1490,ROW(OFFSET(nombres[],0,0,ROWS(nombres[]),1))-ROW(OFFSET(nombres[],0,0,1,1))+1,ROW(OFFSET(nombres[],ROWS(nombres[])-1,0,1,1))+1),$O1553:$O1572),3),"")</f>
        <v/>
      </c>
      <c r="QP1553" s="42" t="str">
        <f t="array" aca="1" ref="QP1553" ca="1">IFERROR(INDEX(nombres[],SMALL(IF(OFFSET(nombres[],0,0,ROWS(nombres[]),1)=QP$1490,ROW(OFFSET(nombres[],0,0,ROWS(nombres[]),1))-ROW(OFFSET(nombres[],0,0,1,1))+1,ROW(OFFSET(nombres[],ROWS(nombres[])-1,0,1,1))+1),$O1553:$O1572),3),"")</f>
        <v/>
      </c>
      <c r="QQ1553" s="42" t="str">
        <f t="array" aca="1" ref="QQ1553" ca="1">IFERROR(INDEX(nombres[],SMALL(IF(OFFSET(nombres[],0,0,ROWS(nombres[]),1)=QQ$1490,ROW(OFFSET(nombres[],0,0,ROWS(nombres[]),1))-ROW(OFFSET(nombres[],0,0,1,1))+1,ROW(OFFSET(nombres[],ROWS(nombres[])-1,0,1,1))+1),$O1553:$O1572),3),"")</f>
        <v/>
      </c>
      <c r="QR1553" s="42" t="str">
        <f t="array" aca="1" ref="QR1553" ca="1">IFERROR(INDEX(nombres[],SMALL(IF(OFFSET(nombres[],0,0,ROWS(nombres[]),1)=QR$1490,ROW(OFFSET(nombres[],0,0,ROWS(nombres[]),1))-ROW(OFFSET(nombres[],0,0,1,1))+1,ROW(OFFSET(nombres[],ROWS(nombres[])-1,0,1,1))+1),$O1553:$O1572),3),"")</f>
        <v/>
      </c>
      <c r="QS1553" s="42" t="str">
        <f t="array" aca="1" ref="QS1553" ca="1">IFERROR(INDEX(nombres[],SMALL(IF(OFFSET(nombres[],0,0,ROWS(nombres[]),1)=QS$1490,ROW(OFFSET(nombres[],0,0,ROWS(nombres[]),1))-ROW(OFFSET(nombres[],0,0,1,1))+1,ROW(OFFSET(nombres[],ROWS(nombres[])-1,0,1,1))+1),$O1553:$O1572),3),"")</f>
        <v/>
      </c>
      <c r="QT1553" s="42" t="str">
        <f t="array" aca="1" ref="QT1553" ca="1">IFERROR(INDEX(nombres[],SMALL(IF(OFFSET(nombres[],0,0,ROWS(nombres[]),1)=QT$1490,ROW(OFFSET(nombres[],0,0,ROWS(nombres[]),1))-ROW(OFFSET(nombres[],0,0,1,1))+1,ROW(OFFSET(nombres[],ROWS(nombres[])-1,0,1,1))+1),$O1553:$O1572),3),"")</f>
        <v/>
      </c>
      <c r="QU1553" s="42" t="str">
        <f t="array" aca="1" ref="QU1553" ca="1">IFERROR(INDEX(nombres[],SMALL(IF(OFFSET(nombres[],0,0,ROWS(nombres[]),1)=QU$1490,ROW(OFFSET(nombres[],0,0,ROWS(nombres[]),1))-ROW(OFFSET(nombres[],0,0,1,1))+1,ROW(OFFSET(nombres[],ROWS(nombres[])-1,0,1,1))+1),$O1553:$O1572),3),"")</f>
        <v/>
      </c>
      <c r="QV1553" s="42" t="str">
        <f t="array" aca="1" ref="QV1553" ca="1">IFERROR(INDEX(nombres[],SMALL(IF(OFFSET(nombres[],0,0,ROWS(nombres[]),1)=QV$1490,ROW(OFFSET(nombres[],0,0,ROWS(nombres[]),1))-ROW(OFFSET(nombres[],0,0,1,1))+1,ROW(OFFSET(nombres[],ROWS(nombres[])-1,0,1,1))+1),$O1553:$O1572),3),"")</f>
        <v/>
      </c>
      <c r="QW1553" s="42" t="str">
        <f t="array" aca="1" ref="QW1553" ca="1">IFERROR(INDEX(nombres[],SMALL(IF(OFFSET(nombres[],0,0,ROWS(nombres[]),1)=QW$1490,ROW(OFFSET(nombres[],0,0,ROWS(nombres[]),1))-ROW(OFFSET(nombres[],0,0,1,1))+1,ROW(OFFSET(nombres[],ROWS(nombres[])-1,0,1,1))+1),$O1553:$O1572),3),"")</f>
        <v/>
      </c>
      <c r="QX1553" s="42" t="str">
        <f t="array" aca="1" ref="QX1553" ca="1">IFERROR(INDEX(nombres[],SMALL(IF(OFFSET(nombres[],0,0,ROWS(nombres[]),1)=QX$1490,ROW(OFFSET(nombres[],0,0,ROWS(nombres[]),1))-ROW(OFFSET(nombres[],0,0,1,1))+1,ROW(OFFSET(nombres[],ROWS(nombres[])-1,0,1,1))+1),$O1553:$O1572),3),"")</f>
        <v/>
      </c>
      <c r="QY1553" s="42" t="str">
        <f t="array" aca="1" ref="QY1553" ca="1">IFERROR(INDEX(nombres[],SMALL(IF(OFFSET(nombres[],0,0,ROWS(nombres[]),1)=QY$1490,ROW(OFFSET(nombres[],0,0,ROWS(nombres[]),1))-ROW(OFFSET(nombres[],0,0,1,1))+1,ROW(OFFSET(nombres[],ROWS(nombres[])-1,0,1,1))+1),$O1553:$O1572),3),"")</f>
        <v/>
      </c>
      <c r="QZ1553" s="42" t="str">
        <f t="array" aca="1" ref="QZ1553" ca="1">IFERROR(INDEX(nombres[],SMALL(IF(OFFSET(nombres[],0,0,ROWS(nombres[]),1)=QZ$1490,ROW(OFFSET(nombres[],0,0,ROWS(nombres[]),1))-ROW(OFFSET(nombres[],0,0,1,1))+1,ROW(OFFSET(nombres[],ROWS(nombres[])-1,0,1,1))+1),$O1553:$O1572),3),"")</f>
        <v/>
      </c>
      <c r="RA1553" s="42" t="str">
        <f t="array" aca="1" ref="RA1553" ca="1">IFERROR(INDEX(nombres[],SMALL(IF(OFFSET(nombres[],0,0,ROWS(nombres[]),1)=RA$1490,ROW(OFFSET(nombres[],0,0,ROWS(nombres[]),1))-ROW(OFFSET(nombres[],0,0,1,1))+1,ROW(OFFSET(nombres[],ROWS(nombres[])-1,0,1,1))+1),$O1553:$O1572),3),"")</f>
        <v/>
      </c>
      <c r="RB1553" s="42" t="str">
        <f t="array" aca="1" ref="RB1553" ca="1">IFERROR(INDEX(nombres[],SMALL(IF(OFFSET(nombres[],0,0,ROWS(nombres[]),1)=RB$1490,ROW(OFFSET(nombres[],0,0,ROWS(nombres[]),1))-ROW(OFFSET(nombres[],0,0,1,1))+1,ROW(OFFSET(nombres[],ROWS(nombres[])-1,0,1,1))+1),$O1553:$O1572),3),"")</f>
        <v/>
      </c>
      <c r="RC1553" s="42" t="str">
        <f t="array" aca="1" ref="RC1553" ca="1">IFERROR(INDEX(nombres[],SMALL(IF(OFFSET(nombres[],0,0,ROWS(nombres[]),1)=RC$1490,ROW(OFFSET(nombres[],0,0,ROWS(nombres[]),1))-ROW(OFFSET(nombres[],0,0,1,1))+1,ROW(OFFSET(nombres[],ROWS(nombres[])-1,0,1,1))+1),$O1553:$O1572),3),"")</f>
        <v/>
      </c>
      <c r="RD1553" s="42" t="str">
        <f t="array" aca="1" ref="RD1553" ca="1">IFERROR(INDEX(nombres[],SMALL(IF(OFFSET(nombres[],0,0,ROWS(nombres[]),1)=RD$1490,ROW(OFFSET(nombres[],0,0,ROWS(nombres[]),1))-ROW(OFFSET(nombres[],0,0,1,1))+1,ROW(OFFSET(nombres[],ROWS(nombres[])-1,0,1,1))+1),$O1553:$O1572),3),"")</f>
        <v/>
      </c>
      <c r="RE1553" s="42" t="str">
        <f t="array" aca="1" ref="RE1553" ca="1">IFERROR(INDEX(nombres[],SMALL(IF(OFFSET(nombres[],0,0,ROWS(nombres[]),1)=RE$1490,ROW(OFFSET(nombres[],0,0,ROWS(nombres[]),1))-ROW(OFFSET(nombres[],0,0,1,1))+1,ROW(OFFSET(nombres[],ROWS(nombres[])-1,0,1,1))+1),$O1553:$O1572),3),"")</f>
        <v/>
      </c>
      <c r="RF1553" s="42" t="str">
        <f t="array" aca="1" ref="RF1553" ca="1">IFERROR(INDEX(nombres[],SMALL(IF(OFFSET(nombres[],0,0,ROWS(nombres[]),1)=RF$1490,ROW(OFFSET(nombres[],0,0,ROWS(nombres[]),1))-ROW(OFFSET(nombres[],0,0,1,1))+1,ROW(OFFSET(nombres[],ROWS(nombres[])-1,0,1,1))+1),$O1553:$O1572),3),"")</f>
        <v/>
      </c>
      <c r="RG1553" s="42" t="str">
        <f t="array" aca="1" ref="RG1553" ca="1">IFERROR(INDEX(nombres[],SMALL(IF(OFFSET(nombres[],0,0,ROWS(nombres[]),1)=RG$1490,ROW(OFFSET(nombres[],0,0,ROWS(nombres[]),1))-ROW(OFFSET(nombres[],0,0,1,1))+1,ROW(OFFSET(nombres[],ROWS(nombres[])-1,0,1,1))+1),$O1553:$O1572),3),"")</f>
        <v/>
      </c>
      <c r="RH1553" s="42" t="str">
        <f t="array" aca="1" ref="RH1553" ca="1">IFERROR(INDEX(nombres[],SMALL(IF(OFFSET(nombres[],0,0,ROWS(nombres[]),1)=RH$1490,ROW(OFFSET(nombres[],0,0,ROWS(nombres[]),1))-ROW(OFFSET(nombres[],0,0,1,1))+1,ROW(OFFSET(nombres[],ROWS(nombres[])-1,0,1,1))+1),$O1553:$O1572),3),"")</f>
        <v/>
      </c>
      <c r="RI1553" s="42" t="str">
        <f t="array" aca="1" ref="RI1553" ca="1">IFERROR(INDEX(nombres[],SMALL(IF(OFFSET(nombres[],0,0,ROWS(nombres[]),1)=RI$1490,ROW(OFFSET(nombres[],0,0,ROWS(nombres[]),1))-ROW(OFFSET(nombres[],0,0,1,1))+1,ROW(OFFSET(nombres[],ROWS(nombres[])-1,0,1,1))+1),$O1553:$O1572),3),"")</f>
        <v/>
      </c>
      <c r="RJ1553" s="42" t="str">
        <f t="array" aca="1" ref="RJ1553" ca="1">IFERROR(INDEX(nombres[],SMALL(IF(OFFSET(nombres[],0,0,ROWS(nombres[]),1)=RJ$1490,ROW(OFFSET(nombres[],0,0,ROWS(nombres[]),1))-ROW(OFFSET(nombres[],0,0,1,1))+1,ROW(OFFSET(nombres[],ROWS(nombres[])-1,0,1,1))+1),$O1553:$O1572),3),"")</f>
        <v/>
      </c>
      <c r="RK1553" s="42" t="str">
        <f t="array" aca="1" ref="RK1553" ca="1">IFERROR(INDEX(nombres[],SMALL(IF(OFFSET(nombres[],0,0,ROWS(nombres[]),1)=RK$1490,ROW(OFFSET(nombres[],0,0,ROWS(nombres[]),1))-ROW(OFFSET(nombres[],0,0,1,1))+1,ROW(OFFSET(nombres[],ROWS(nombres[])-1,0,1,1))+1),$O1553:$O1572),3),"")</f>
        <v/>
      </c>
      <c r="RL1553" s="42" t="str">
        <f t="array" aca="1" ref="RL1553" ca="1">IFERROR(INDEX(nombres[],SMALL(IF(OFFSET(nombres[],0,0,ROWS(nombres[]),1)=RL$1490,ROW(OFFSET(nombres[],0,0,ROWS(nombres[]),1))-ROW(OFFSET(nombres[],0,0,1,1))+1,ROW(OFFSET(nombres[],ROWS(nombres[])-1,0,1,1))+1),$O1553:$O1572),3),"")</f>
        <v/>
      </c>
      <c r="RM1553" s="42" t="str">
        <f t="array" aca="1" ref="RM1553" ca="1">IFERROR(INDEX(nombres[],SMALL(IF(OFFSET(nombres[],0,0,ROWS(nombres[]),1)=RM$1490,ROW(OFFSET(nombres[],0,0,ROWS(nombres[]),1))-ROW(OFFSET(nombres[],0,0,1,1))+1,ROW(OFFSET(nombres[],ROWS(nombres[])-1,0,1,1))+1),$O1553:$O1572),3),"")</f>
        <v/>
      </c>
      <c r="RN1553" s="42" t="str">
        <f t="array" aca="1" ref="RN1553" ca="1">IFERROR(INDEX(nombres[],SMALL(IF(OFFSET(nombres[],0,0,ROWS(nombres[]),1)=RN$1490,ROW(OFFSET(nombres[],0,0,ROWS(nombres[]),1))-ROW(OFFSET(nombres[],0,0,1,1))+1,ROW(OFFSET(nombres[],ROWS(nombres[])-1,0,1,1))+1),$O1553:$O1572),3),"")</f>
        <v/>
      </c>
      <c r="RO1553" s="42" t="str">
        <f t="array" aca="1" ref="RO1553" ca="1">IFERROR(INDEX(nombres[],SMALL(IF(OFFSET(nombres[],0,0,ROWS(nombres[]),1)=RO$1490,ROW(OFFSET(nombres[],0,0,ROWS(nombres[]),1))-ROW(OFFSET(nombres[],0,0,1,1))+1,ROW(OFFSET(nombres[],ROWS(nombres[])-1,0,1,1))+1),$O1553:$O1572),3),"")</f>
        <v/>
      </c>
      <c r="RP1553" s="42" t="str">
        <f t="array" aca="1" ref="RP1553" ca="1">IFERROR(INDEX(nombres[],SMALL(IF(OFFSET(nombres[],0,0,ROWS(nombres[]),1)=RP$1490,ROW(OFFSET(nombres[],0,0,ROWS(nombres[]),1))-ROW(OFFSET(nombres[],0,0,1,1))+1,ROW(OFFSET(nombres[],ROWS(nombres[])-1,0,1,1))+1),$O1553:$O1572),3),"")</f>
        <v/>
      </c>
      <c r="RQ1553" s="42" t="str">
        <f t="array" aca="1" ref="RQ1553" ca="1">IFERROR(INDEX(nombres[],SMALL(IF(OFFSET(nombres[],0,0,ROWS(nombres[]),1)=RQ$1490,ROW(OFFSET(nombres[],0,0,ROWS(nombres[]),1))-ROW(OFFSET(nombres[],0,0,1,1))+1,ROW(OFFSET(nombres[],ROWS(nombres[])-1,0,1,1))+1),$O1553:$O1572),3),"")</f>
        <v/>
      </c>
      <c r="RR1553" s="42" t="str">
        <f t="array" aca="1" ref="RR1553" ca="1">IFERROR(INDEX(nombres[],SMALL(IF(OFFSET(nombres[],0,0,ROWS(nombres[]),1)=RR$1490,ROW(OFFSET(nombres[],0,0,ROWS(nombres[]),1))-ROW(OFFSET(nombres[],0,0,1,1))+1,ROW(OFFSET(nombres[],ROWS(nombres[])-1,0,1,1))+1),$O1553:$O1572),3),"")</f>
        <v/>
      </c>
      <c r="RS1553" s="42" t="str">
        <f t="array" aca="1" ref="RS1553" ca="1">IFERROR(INDEX(nombres[],SMALL(IF(OFFSET(nombres[],0,0,ROWS(nombres[]),1)=RS$1490,ROW(OFFSET(nombres[],0,0,ROWS(nombres[]),1))-ROW(OFFSET(nombres[],0,0,1,1))+1,ROW(OFFSET(nombres[],ROWS(nombres[])-1,0,1,1))+1),$O1553:$O1572),3),"")</f>
        <v/>
      </c>
      <c r="RT1553" s="42" t="str">
        <f t="array" aca="1" ref="RT1553" ca="1">IFERROR(INDEX(nombres[],SMALL(IF(OFFSET(nombres[],0,0,ROWS(nombres[]),1)=RT$1490,ROW(OFFSET(nombres[],0,0,ROWS(nombres[]),1))-ROW(OFFSET(nombres[],0,0,1,1))+1,ROW(OFFSET(nombres[],ROWS(nombres[])-1,0,1,1))+1),$O1553:$O1572),3),"")</f>
        <v/>
      </c>
      <c r="RU1553" s="42" t="str">
        <f t="array" aca="1" ref="RU1553" ca="1">IFERROR(INDEX(nombres[],SMALL(IF(OFFSET(nombres[],0,0,ROWS(nombres[]),1)=RU$1490,ROW(OFFSET(nombres[],0,0,ROWS(nombres[]),1))-ROW(OFFSET(nombres[],0,0,1,1))+1,ROW(OFFSET(nombres[],ROWS(nombres[])-1,0,1,1))+1),$O1553:$O1572),3),"")</f>
        <v/>
      </c>
      <c r="RV1553" s="42" t="str">
        <f t="array" aca="1" ref="RV1553" ca="1">IFERROR(INDEX(nombres[],SMALL(IF(OFFSET(nombres[],0,0,ROWS(nombres[]),1)=RV$1490,ROW(OFFSET(nombres[],0,0,ROWS(nombres[]),1))-ROW(OFFSET(nombres[],0,0,1,1))+1,ROW(OFFSET(nombres[],ROWS(nombres[])-1,0,1,1))+1),$O1553:$O1572),3),"")</f>
        <v/>
      </c>
      <c r="RW1553" s="42" t="str">
        <f t="array" aca="1" ref="RW1553" ca="1">IFERROR(INDEX(nombres[],SMALL(IF(OFFSET(nombres[],0,0,ROWS(nombres[]),1)=RW$1490,ROW(OFFSET(nombres[],0,0,ROWS(nombres[]),1))-ROW(OFFSET(nombres[],0,0,1,1))+1,ROW(OFFSET(nombres[],ROWS(nombres[])-1,0,1,1))+1),$O1553:$O1572),3),"")</f>
        <v/>
      </c>
      <c r="RX1553" s="42" t="str">
        <f t="array" aca="1" ref="RX1553" ca="1">IFERROR(INDEX(nombres[],SMALL(IF(OFFSET(nombres[],0,0,ROWS(nombres[]),1)=RX$1490,ROW(OFFSET(nombres[],0,0,ROWS(nombres[]),1))-ROW(OFFSET(nombres[],0,0,1,1))+1,ROW(OFFSET(nombres[],ROWS(nombres[])-1,0,1,1))+1),$O1553:$O1572),3),"")</f>
        <v/>
      </c>
      <c r="RY1553" s="42" t="str">
        <f t="array" aca="1" ref="RY1553" ca="1">IFERROR(INDEX(nombres[],SMALL(IF(OFFSET(nombres[],0,0,ROWS(nombres[]),1)=RY$1490,ROW(OFFSET(nombres[],0,0,ROWS(nombres[]),1))-ROW(OFFSET(nombres[],0,0,1,1))+1,ROW(OFFSET(nombres[],ROWS(nombres[])-1,0,1,1))+1),$O1553:$O1572),3),"")</f>
        <v/>
      </c>
      <c r="RZ1553" s="42" t="str">
        <f t="array" aca="1" ref="RZ1553" ca="1">IFERROR(INDEX(nombres[],SMALL(IF(OFFSET(nombres[],0,0,ROWS(nombres[]),1)=RZ$1490,ROW(OFFSET(nombres[],0,0,ROWS(nombres[]),1))-ROW(OFFSET(nombres[],0,0,1,1))+1,ROW(OFFSET(nombres[],ROWS(nombres[])-1,0,1,1))+1),$O1553:$O1572),3),"")</f>
        <v/>
      </c>
      <c r="SA1553" s="42" t="str">
        <f t="array" aca="1" ref="SA1553" ca="1">IFERROR(INDEX(nombres[],SMALL(IF(OFFSET(nombres[],0,0,ROWS(nombres[]),1)=SA$1490,ROW(OFFSET(nombres[],0,0,ROWS(nombres[]),1))-ROW(OFFSET(nombres[],0,0,1,1))+1,ROW(OFFSET(nombres[],ROWS(nombres[])-1,0,1,1))+1),$O1553:$O1572),3),"")</f>
        <v/>
      </c>
      <c r="SB1553" s="42" t="str">
        <f t="array" aca="1" ref="SB1553" ca="1">IFERROR(INDEX(nombres[],SMALL(IF(OFFSET(nombres[],0,0,ROWS(nombres[]),1)=SB$1490,ROW(OFFSET(nombres[],0,0,ROWS(nombres[]),1))-ROW(OFFSET(nombres[],0,0,1,1))+1,ROW(OFFSET(nombres[],ROWS(nombres[])-1,0,1,1))+1),$O1553:$O1572),3),"")</f>
        <v/>
      </c>
      <c r="SC1553" s="42" t="str">
        <f t="array" aca="1" ref="SC1553" ca="1">IFERROR(INDEX(nombres[],SMALL(IF(OFFSET(nombres[],0,0,ROWS(nombres[]),1)=SC$1490,ROW(OFFSET(nombres[],0,0,ROWS(nombres[]),1))-ROW(OFFSET(nombres[],0,0,1,1))+1,ROW(OFFSET(nombres[],ROWS(nombres[])-1,0,1,1))+1),$O1553:$O1572),3),"")</f>
        <v/>
      </c>
      <c r="SD1553" s="42" t="str">
        <f t="array" aca="1" ref="SD1553" ca="1">IFERROR(INDEX(nombres[],SMALL(IF(OFFSET(nombres[],0,0,ROWS(nombres[]),1)=SD$1490,ROW(OFFSET(nombres[],0,0,ROWS(nombres[]),1))-ROW(OFFSET(nombres[],0,0,1,1))+1,ROW(OFFSET(nombres[],ROWS(nombres[])-1,0,1,1))+1),$O1553:$O1572),3),"")</f>
        <v/>
      </c>
      <c r="SE1553" s="42" t="str">
        <f t="array" aca="1" ref="SE1553" ca="1">IFERROR(INDEX(nombres[],SMALL(IF(OFFSET(nombres[],0,0,ROWS(nombres[]),1)=SE$1490,ROW(OFFSET(nombres[],0,0,ROWS(nombres[]),1))-ROW(OFFSET(nombres[],0,0,1,1))+1,ROW(OFFSET(nombres[],ROWS(nombres[])-1,0,1,1))+1),$O1553:$O1572),3),"")</f>
        <v/>
      </c>
      <c r="SF1553" s="42" t="str">
        <f t="array" aca="1" ref="SF1553" ca="1">IFERROR(INDEX(nombres[],SMALL(IF(OFFSET(nombres[],0,0,ROWS(nombres[]),1)=SF$1490,ROW(OFFSET(nombres[],0,0,ROWS(nombres[]),1))-ROW(OFFSET(nombres[],0,0,1,1))+1,ROW(OFFSET(nombres[],ROWS(nombres[])-1,0,1,1))+1),$O1553:$O1572),3),"")</f>
        <v/>
      </c>
      <c r="SG1553" s="42" t="str">
        <f t="array" aca="1" ref="SG1553" ca="1">IFERROR(INDEX(nombres[],SMALL(IF(OFFSET(nombres[],0,0,ROWS(nombres[]),1)=SG$1490,ROW(OFFSET(nombres[],0,0,ROWS(nombres[]),1))-ROW(OFFSET(nombres[],0,0,1,1))+1,ROW(OFFSET(nombres[],ROWS(nombres[])-1,0,1,1))+1),$O1553:$O1572),3),"")</f>
        <v/>
      </c>
      <c r="SH1553" s="42" t="str">
        <f t="array" aca="1" ref="SH1553" ca="1">IFERROR(INDEX(nombres[],SMALL(IF(OFFSET(nombres[],0,0,ROWS(nombres[]),1)=SH$1490,ROW(OFFSET(nombres[],0,0,ROWS(nombres[]),1))-ROW(OFFSET(nombres[],0,0,1,1))+1,ROW(OFFSET(nombres[],ROWS(nombres[])-1,0,1,1))+1),$O1553:$O1572),3),"")</f>
        <v/>
      </c>
      <c r="SI1553" s="42" t="str">
        <f t="array" aca="1" ref="SI1553" ca="1">IFERROR(INDEX(nombres[],SMALL(IF(OFFSET(nombres[],0,0,ROWS(nombres[]),1)=SI$1490,ROW(OFFSET(nombres[],0,0,ROWS(nombres[]),1))-ROW(OFFSET(nombres[],0,0,1,1))+1,ROW(OFFSET(nombres[],ROWS(nombres[])-1,0,1,1))+1),$O1553:$O1572),3),"")</f>
        <v/>
      </c>
      <c r="SJ1553" s="42" t="str">
        <f t="array" aca="1" ref="SJ1553" ca="1">IFERROR(INDEX(nombres[],SMALL(IF(OFFSET(nombres[],0,0,ROWS(nombres[]),1)=SJ$1490,ROW(OFFSET(nombres[],0,0,ROWS(nombres[]),1))-ROW(OFFSET(nombres[],0,0,1,1))+1,ROW(OFFSET(nombres[],ROWS(nombres[])-1,0,1,1))+1),$O1553:$O1572),3),"")</f>
        <v/>
      </c>
      <c r="SK1553" s="42" t="str">
        <f t="array" aca="1" ref="SK1553" ca="1">IFERROR(INDEX(nombres[],SMALL(IF(OFFSET(nombres[],0,0,ROWS(nombres[]),1)=SK$1490,ROW(OFFSET(nombres[],0,0,ROWS(nombres[]),1))-ROW(OFFSET(nombres[],0,0,1,1))+1,ROW(OFFSET(nombres[],ROWS(nombres[])-1,0,1,1))+1),$O1553:$O1572),3),"")</f>
        <v/>
      </c>
      <c r="SL1553" s="42" t="str">
        <f t="array" aca="1" ref="SL1553" ca="1">IFERROR(INDEX(nombres[],SMALL(IF(OFFSET(nombres[],0,0,ROWS(nombres[]),1)=SL$1490,ROW(OFFSET(nombres[],0,0,ROWS(nombres[]),1))-ROW(OFFSET(nombres[],0,0,1,1))+1,ROW(OFFSET(nombres[],ROWS(nombres[])-1,0,1,1))+1),$O1553:$O1572),3),"")</f>
        <v/>
      </c>
      <c r="SM1553" s="42" t="str">
        <f t="array" aca="1" ref="SM1553" ca="1">IFERROR(INDEX(nombres[],SMALL(IF(OFFSET(nombres[],0,0,ROWS(nombres[]),1)=SM$1490,ROW(OFFSET(nombres[],0,0,ROWS(nombres[]),1))-ROW(OFFSET(nombres[],0,0,1,1))+1,ROW(OFFSET(nombres[],ROWS(nombres[])-1,0,1,1))+1),$O1553:$O1572),3),"")</f>
        <v/>
      </c>
      <c r="SN1553" s="42" t="str">
        <f t="array" aca="1" ref="SN1553" ca="1">IFERROR(INDEX(nombres[],SMALL(IF(OFFSET(nombres[],0,0,ROWS(nombres[]),1)=SN$1490,ROW(OFFSET(nombres[],0,0,ROWS(nombres[]),1))-ROW(OFFSET(nombres[],0,0,1,1))+1,ROW(OFFSET(nombres[],ROWS(nombres[])-1,0,1,1))+1),$O1553:$O1572),3),"")</f>
        <v/>
      </c>
      <c r="SO1553" s="42" t="str">
        <f t="array" aca="1" ref="SO1553" ca="1">IFERROR(INDEX(nombres[],SMALL(IF(OFFSET(nombres[],0,0,ROWS(nombres[]),1)=SO$1490,ROW(OFFSET(nombres[],0,0,ROWS(nombres[]),1))-ROW(OFFSET(nombres[],0,0,1,1))+1,ROW(OFFSET(nombres[],ROWS(nombres[])-1,0,1,1))+1),$O1553:$O1572),3),"")</f>
        <v/>
      </c>
      <c r="SP1553" s="42" t="str">
        <f t="array" aca="1" ref="SP1553" ca="1">IFERROR(INDEX(nombres[],SMALL(IF(OFFSET(nombres[],0,0,ROWS(nombres[]),1)=SP$1490,ROW(OFFSET(nombres[],0,0,ROWS(nombres[]),1))-ROW(OFFSET(nombres[],0,0,1,1))+1,ROW(OFFSET(nombres[],ROWS(nombres[])-1,0,1,1))+1),$O1553:$O1572),3),"")</f>
        <v/>
      </c>
      <c r="SQ1553" s="42" t="str">
        <f t="array" aca="1" ref="SQ1553" ca="1">IFERROR(INDEX(nombres[],SMALL(IF(OFFSET(nombres[],0,0,ROWS(nombres[]),1)=SQ$1490,ROW(OFFSET(nombres[],0,0,ROWS(nombres[]),1))-ROW(OFFSET(nombres[],0,0,1,1))+1,ROW(OFFSET(nombres[],ROWS(nombres[])-1,0,1,1))+1),$O1553:$O1572),3),"")</f>
        <v/>
      </c>
      <c r="SR1553" s="42" t="str">
        <f t="array" aca="1" ref="SR1553" ca="1">IFERROR(INDEX(nombres[],SMALL(IF(OFFSET(nombres[],0,0,ROWS(nombres[]),1)=SR$1490,ROW(OFFSET(nombres[],0,0,ROWS(nombres[]),1))-ROW(OFFSET(nombres[],0,0,1,1))+1,ROW(OFFSET(nombres[],ROWS(nombres[])-1,0,1,1))+1),$O1553:$O1572),3),"")</f>
        <v/>
      </c>
      <c r="SS1553" s="42" t="str">
        <f t="array" aca="1" ref="SS1553" ca="1">IFERROR(INDEX(nombres[],SMALL(IF(OFFSET(nombres[],0,0,ROWS(nombres[]),1)=SS$1490,ROW(OFFSET(nombres[],0,0,ROWS(nombres[]),1))-ROW(OFFSET(nombres[],0,0,1,1))+1,ROW(OFFSET(nombres[],ROWS(nombres[])-1,0,1,1))+1),$O1553:$O1572),3),"")</f>
        <v/>
      </c>
      <c r="ST1553" s="42" t="str">
        <f t="array" aca="1" ref="ST1553" ca="1">IFERROR(INDEX(nombres[],SMALL(IF(OFFSET(nombres[],0,0,ROWS(nombres[]),1)=ST$1490,ROW(OFFSET(nombres[],0,0,ROWS(nombres[]),1))-ROW(OFFSET(nombres[],0,0,1,1))+1,ROW(OFFSET(nombres[],ROWS(nombres[])-1,0,1,1))+1),$O1553:$O1572),3),"")</f>
        <v/>
      </c>
      <c r="SU1553" s="42" t="str">
        <f t="array" aca="1" ref="SU1553" ca="1">IFERROR(INDEX(nombres[],SMALL(IF(OFFSET(nombres[],0,0,ROWS(nombres[]),1)=SU$1490,ROW(OFFSET(nombres[],0,0,ROWS(nombres[]),1))-ROW(OFFSET(nombres[],0,0,1,1))+1,ROW(OFFSET(nombres[],ROWS(nombres[])-1,0,1,1))+1),$O1553:$O1572),3),"")</f>
        <v/>
      </c>
      <c r="SV1553" s="42" t="str">
        <f t="array" aca="1" ref="SV1553" ca="1">IFERROR(INDEX(nombres[],SMALL(IF(OFFSET(nombres[],0,0,ROWS(nombres[]),1)=SV$1490,ROW(OFFSET(nombres[],0,0,ROWS(nombres[]),1))-ROW(OFFSET(nombres[],0,0,1,1))+1,ROW(OFFSET(nombres[],ROWS(nombres[])-1,0,1,1))+1),$O1553:$O1572),3),"")</f>
        <v/>
      </c>
      <c r="SW1553" s="42" t="str">
        <f t="array" aca="1" ref="SW1553" ca="1">IFERROR(INDEX(nombres[],SMALL(IF(OFFSET(nombres[],0,0,ROWS(nombres[]),1)=SW$1490,ROW(OFFSET(nombres[],0,0,ROWS(nombres[]),1))-ROW(OFFSET(nombres[],0,0,1,1))+1,ROW(OFFSET(nombres[],ROWS(nombres[])-1,0,1,1))+1),$O1553:$O1572),3),"")</f>
        <v/>
      </c>
      <c r="SX1553" s="42" t="str">
        <f t="array" aca="1" ref="SX1553" ca="1">IFERROR(INDEX(nombres[],SMALL(IF(OFFSET(nombres[],0,0,ROWS(nombres[]),1)=SX$1490,ROW(OFFSET(nombres[],0,0,ROWS(nombres[]),1))-ROW(OFFSET(nombres[],0,0,1,1))+1,ROW(OFFSET(nombres[],ROWS(nombres[])-1,0,1,1))+1),$O1553:$O1572),3),"")</f>
        <v/>
      </c>
      <c r="SY1553" s="42" t="str">
        <f t="array" aca="1" ref="SY1553" ca="1">IFERROR(INDEX(nombres[],SMALL(IF(OFFSET(nombres[],0,0,ROWS(nombres[]),1)=SY$1490,ROW(OFFSET(nombres[],0,0,ROWS(nombres[]),1))-ROW(OFFSET(nombres[],0,0,1,1))+1,ROW(OFFSET(nombres[],ROWS(nombres[])-1,0,1,1))+1),$O1553:$O1572),3),"")</f>
        <v/>
      </c>
      <c r="SZ1553" s="42" t="str">
        <f t="array" aca="1" ref="SZ1553" ca="1">IFERROR(INDEX(nombres[],SMALL(IF(OFFSET(nombres[],0,0,ROWS(nombres[]),1)=SZ$1490,ROW(OFFSET(nombres[],0,0,ROWS(nombres[]),1))-ROW(OFFSET(nombres[],0,0,1,1))+1,ROW(OFFSET(nombres[],ROWS(nombres[])-1,0,1,1))+1),$O1553:$O1572),3),"")</f>
        <v/>
      </c>
      <c r="TA1553" s="42" t="str">
        <f t="array" aca="1" ref="TA1553" ca="1">IFERROR(INDEX(nombres[],SMALL(IF(OFFSET(nombres[],0,0,ROWS(nombres[]),1)=TA$1490,ROW(OFFSET(nombres[],0,0,ROWS(nombres[]),1))-ROW(OFFSET(nombres[],0,0,1,1))+1,ROW(OFFSET(nombres[],ROWS(nombres[])-1,0,1,1))+1),$O1553:$O1572),3),"")</f>
        <v/>
      </c>
      <c r="TB1553" s="42" t="str">
        <f t="array" aca="1" ref="TB1553" ca="1">IFERROR(INDEX(nombres[],SMALL(IF(OFFSET(nombres[],0,0,ROWS(nombres[]),1)=TB$1490,ROW(OFFSET(nombres[],0,0,ROWS(nombres[]),1))-ROW(OFFSET(nombres[],0,0,1,1))+1,ROW(OFFSET(nombres[],ROWS(nombres[])-1,0,1,1))+1),$O1553:$O1572),3),"")</f>
        <v/>
      </c>
      <c r="TC1553" s="42" t="str">
        <f t="array" aca="1" ref="TC1553" ca="1">IFERROR(INDEX(nombres[],SMALL(IF(OFFSET(nombres[],0,0,ROWS(nombres[]),1)=TC$1490,ROW(OFFSET(nombres[],0,0,ROWS(nombres[]),1))-ROW(OFFSET(nombres[],0,0,1,1))+1,ROW(OFFSET(nombres[],ROWS(nombres[])-1,0,1,1))+1),$O1553:$O1572),3),"")</f>
        <v/>
      </c>
      <c r="TD1553" s="42" t="str">
        <f t="array" aca="1" ref="TD1553" ca="1">IFERROR(INDEX(nombres[],SMALL(IF(OFFSET(nombres[],0,0,ROWS(nombres[]),1)=TD$1490,ROW(OFFSET(nombres[],0,0,ROWS(nombres[]),1))-ROW(OFFSET(nombres[],0,0,1,1))+1,ROW(OFFSET(nombres[],ROWS(nombres[])-1,0,1,1))+1),$O1553:$O1572),3),"")</f>
        <v/>
      </c>
      <c r="TE1553" s="42" t="str">
        <f t="array" aca="1" ref="TE1553" ca="1">IFERROR(INDEX(nombres[],SMALL(IF(OFFSET(nombres[],0,0,ROWS(nombres[]),1)=TE$1490,ROW(OFFSET(nombres[],0,0,ROWS(nombres[]),1))-ROW(OFFSET(nombres[],0,0,1,1))+1,ROW(OFFSET(nombres[],ROWS(nombres[])-1,0,1,1))+1),$O1553:$O1572),3),"")</f>
        <v/>
      </c>
      <c r="TF1553" s="42" t="str">
        <f t="array" aca="1" ref="TF1553" ca="1">IFERROR(INDEX(nombres[],SMALL(IF(OFFSET(nombres[],0,0,ROWS(nombres[]),1)=TF$1490,ROW(OFFSET(nombres[],0,0,ROWS(nombres[]),1))-ROW(OFFSET(nombres[],0,0,1,1))+1,ROW(OFFSET(nombres[],ROWS(nombres[])-1,0,1,1))+1),$O1553:$O1572),3),"")</f>
        <v/>
      </c>
      <c r="TG1553" s="42" t="str">
        <f t="array" aca="1" ref="TG1553" ca="1">IFERROR(INDEX(nombres[],SMALL(IF(OFFSET(nombres[],0,0,ROWS(nombres[]),1)=TG$1490,ROW(OFFSET(nombres[],0,0,ROWS(nombres[]),1))-ROW(OFFSET(nombres[],0,0,1,1))+1,ROW(OFFSET(nombres[],ROWS(nombres[])-1,0,1,1))+1),$O1553:$O1572),3),"")</f>
        <v/>
      </c>
      <c r="TH1553" s="42" t="str">
        <f t="array" aca="1" ref="TH1553" ca="1">IFERROR(INDEX(nombres[],SMALL(IF(OFFSET(nombres[],0,0,ROWS(nombres[]),1)=TH$1490,ROW(OFFSET(nombres[],0,0,ROWS(nombres[]),1))-ROW(OFFSET(nombres[],0,0,1,1))+1,ROW(OFFSET(nombres[],ROWS(nombres[])-1,0,1,1))+1),$O1553:$O1572),3),"")</f>
        <v/>
      </c>
      <c r="TI1553" s="42" t="str">
        <f t="array" aca="1" ref="TI1553" ca="1">IFERROR(INDEX(nombres[],SMALL(IF(OFFSET(nombres[],0,0,ROWS(nombres[]),1)=TI$1490,ROW(OFFSET(nombres[],0,0,ROWS(nombres[]),1))-ROW(OFFSET(nombres[],0,0,1,1))+1,ROW(OFFSET(nombres[],ROWS(nombres[])-1,0,1,1))+1),$O1553:$O1572),3),"")</f>
        <v/>
      </c>
      <c r="TJ1553" s="42" t="str">
        <f t="array" aca="1" ref="TJ1553" ca="1">IFERROR(INDEX(nombres[],SMALL(IF(OFFSET(nombres[],0,0,ROWS(nombres[]),1)=TJ$1490,ROW(OFFSET(nombres[],0,0,ROWS(nombres[]),1))-ROW(OFFSET(nombres[],0,0,1,1))+1,ROW(OFFSET(nombres[],ROWS(nombres[])-1,0,1,1))+1),$O1553:$O1572),3),"")</f>
        <v/>
      </c>
      <c r="TK1553" s="42" t="str">
        <f t="array" aca="1" ref="TK1553" ca="1">IFERROR(INDEX(nombres[],SMALL(IF(OFFSET(nombres[],0,0,ROWS(nombres[]),1)=TK$1490,ROW(OFFSET(nombres[],0,0,ROWS(nombres[]),1))-ROW(OFFSET(nombres[],0,0,1,1))+1,ROW(OFFSET(nombres[],ROWS(nombres[])-1,0,1,1))+1),$O1553:$O1572),3),"")</f>
        <v/>
      </c>
      <c r="TL1553" s="42" t="str">
        <f t="array" aca="1" ref="TL1553" ca="1">IFERROR(INDEX(nombres[],SMALL(IF(OFFSET(nombres[],0,0,ROWS(nombres[]),1)=TL$1490,ROW(OFFSET(nombres[],0,0,ROWS(nombres[]),1))-ROW(OFFSET(nombres[],0,0,1,1))+1,ROW(OFFSET(nombres[],ROWS(nombres[])-1,0,1,1))+1),$O1553:$O1572),3),"")</f>
        <v/>
      </c>
      <c r="TM1553" s="42" t="str">
        <f t="array" aca="1" ref="TM1553" ca="1">IFERROR(INDEX(nombres[],SMALL(IF(OFFSET(nombres[],0,0,ROWS(nombres[]),1)=TM$1490,ROW(OFFSET(nombres[],0,0,ROWS(nombres[]),1))-ROW(OFFSET(nombres[],0,0,1,1))+1,ROW(OFFSET(nombres[],ROWS(nombres[])-1,0,1,1))+1),$O1553:$O1572),3),"")</f>
        <v/>
      </c>
      <c r="TN1553" s="42" t="str">
        <f t="array" aca="1" ref="TN1553" ca="1">IFERROR(INDEX(nombres[],SMALL(IF(OFFSET(nombres[],0,0,ROWS(nombres[]),1)=TN$1490,ROW(OFFSET(nombres[],0,0,ROWS(nombres[]),1))-ROW(OFFSET(nombres[],0,0,1,1))+1,ROW(OFFSET(nombres[],ROWS(nombres[])-1,0,1,1))+1),$O1553:$O1572),3),"")</f>
        <v/>
      </c>
      <c r="TO1553" s="42" t="str">
        <f t="array" aca="1" ref="TO1553" ca="1">IFERROR(INDEX(nombres[],SMALL(IF(OFFSET(nombres[],0,0,ROWS(nombres[]),1)=TO$1490,ROW(OFFSET(nombres[],0,0,ROWS(nombres[]),1))-ROW(OFFSET(nombres[],0,0,1,1))+1,ROW(OFFSET(nombres[],ROWS(nombres[])-1,0,1,1))+1),$O1553:$O1572),3),"")</f>
        <v/>
      </c>
      <c r="TP1553" s="42" t="str">
        <f t="array" aca="1" ref="TP1553" ca="1">IFERROR(INDEX(nombres[],SMALL(IF(OFFSET(nombres[],0,0,ROWS(nombres[]),1)=TP$1490,ROW(OFFSET(nombres[],0,0,ROWS(nombres[]),1))-ROW(OFFSET(nombres[],0,0,1,1))+1,ROW(OFFSET(nombres[],ROWS(nombres[])-1,0,1,1))+1),$O1553:$O1572),3),"")</f>
        <v/>
      </c>
      <c r="TQ1553" s="42" t="str">
        <f t="array" aca="1" ref="TQ1553" ca="1">IFERROR(INDEX(nombres[],SMALL(IF(OFFSET(nombres[],0,0,ROWS(nombres[]),1)=TQ$1490,ROW(OFFSET(nombres[],0,0,ROWS(nombres[]),1))-ROW(OFFSET(nombres[],0,0,1,1))+1,ROW(OFFSET(nombres[],ROWS(nombres[])-1,0,1,1))+1),$O1553:$O1572),3),"")</f>
        <v/>
      </c>
      <c r="TR1553" s="42" t="str">
        <f t="array" aca="1" ref="TR1553" ca="1">IFERROR(INDEX(nombres[],SMALL(IF(OFFSET(nombres[],0,0,ROWS(nombres[]),1)=TR$1490,ROW(OFFSET(nombres[],0,0,ROWS(nombres[]),1))-ROW(OFFSET(nombres[],0,0,1,1))+1,ROW(OFFSET(nombres[],ROWS(nombres[])-1,0,1,1))+1),$O1553:$O1572),3),"")</f>
        <v/>
      </c>
      <c r="TS1553" s="42" t="str">
        <f t="array" aca="1" ref="TS1553" ca="1">IFERROR(INDEX(nombres[],SMALL(IF(OFFSET(nombres[],0,0,ROWS(nombres[]),1)=TS$1490,ROW(OFFSET(nombres[],0,0,ROWS(nombres[]),1))-ROW(OFFSET(nombres[],0,0,1,1))+1,ROW(OFFSET(nombres[],ROWS(nombres[])-1,0,1,1))+1),$O1553:$O1572),3),"")</f>
        <v/>
      </c>
      <c r="TT1553" s="42" t="str">
        <f t="array" aca="1" ref="TT1553" ca="1">IFERROR(INDEX(nombres[],SMALL(IF(OFFSET(nombres[],0,0,ROWS(nombres[]),1)=TT$1490,ROW(OFFSET(nombres[],0,0,ROWS(nombres[]),1))-ROW(OFFSET(nombres[],0,0,1,1))+1,ROW(OFFSET(nombres[],ROWS(nombres[])-1,0,1,1))+1),$O1553:$O1572),3),"")</f>
        <v/>
      </c>
      <c r="TU1553" s="42" t="str">
        <f t="array" aca="1" ref="TU1553" ca="1">IFERROR(INDEX(nombres[],SMALL(IF(OFFSET(nombres[],0,0,ROWS(nombres[]),1)=TU$1490,ROW(OFFSET(nombres[],0,0,ROWS(nombres[]),1))-ROW(OFFSET(nombres[],0,0,1,1))+1,ROW(OFFSET(nombres[],ROWS(nombres[])-1,0,1,1))+1),$O1553:$O1572),3),"")</f>
        <v/>
      </c>
      <c r="TV1553" s="42" t="str">
        <f t="array" aca="1" ref="TV1553" ca="1">IFERROR(INDEX(nombres[],SMALL(IF(OFFSET(nombres[],0,0,ROWS(nombres[]),1)=TV$1490,ROW(OFFSET(nombres[],0,0,ROWS(nombres[]),1))-ROW(OFFSET(nombres[],0,0,1,1))+1,ROW(OFFSET(nombres[],ROWS(nombres[])-1,0,1,1))+1),$O1553:$O1572),3),"")</f>
        <v/>
      </c>
      <c r="TW1553" s="42" t="str">
        <f t="array" aca="1" ref="TW1553" ca="1">IFERROR(INDEX(nombres[],SMALL(IF(OFFSET(nombres[],0,0,ROWS(nombres[]),1)=TW$1490,ROW(OFFSET(nombres[],0,0,ROWS(nombres[]),1))-ROW(OFFSET(nombres[],0,0,1,1))+1,ROW(OFFSET(nombres[],ROWS(nombres[])-1,0,1,1))+1),$O1553:$O1572),3),"")</f>
        <v/>
      </c>
      <c r="TX1553" s="42" t="str">
        <f t="array" aca="1" ref="TX1553" ca="1">IFERROR(INDEX(nombres[],SMALL(IF(OFFSET(nombres[],0,0,ROWS(nombres[]),1)=TX$1490,ROW(OFFSET(nombres[],0,0,ROWS(nombres[]),1))-ROW(OFFSET(nombres[],0,0,1,1))+1,ROW(OFFSET(nombres[],ROWS(nombres[])-1,0,1,1))+1),$O1553:$O1572),3),"")</f>
        <v/>
      </c>
      <c r="TY1553" s="42" t="str">
        <f t="array" aca="1" ref="TY1553" ca="1">IFERROR(INDEX(nombres[],SMALL(IF(OFFSET(nombres[],0,0,ROWS(nombres[]),1)=TY$1490,ROW(OFFSET(nombres[],0,0,ROWS(nombres[]),1))-ROW(OFFSET(nombres[],0,0,1,1))+1,ROW(OFFSET(nombres[],ROWS(nombres[])-1,0,1,1))+1),$O1553:$O1572),3),"")</f>
        <v/>
      </c>
      <c r="TZ1553" s="42" t="str">
        <f t="array" aca="1" ref="TZ1553" ca="1">IFERROR(INDEX(nombres[],SMALL(IF(OFFSET(nombres[],0,0,ROWS(nombres[]),1)=TZ$1490,ROW(OFFSET(nombres[],0,0,ROWS(nombres[]),1))-ROW(OFFSET(nombres[],0,0,1,1))+1,ROW(OFFSET(nombres[],ROWS(nombres[])-1,0,1,1))+1),$O1553:$O1572),3),"")</f>
        <v/>
      </c>
      <c r="UA1553" s="42" t="str">
        <f t="array" aca="1" ref="UA1553" ca="1">IFERROR(INDEX(nombres[],SMALL(IF(OFFSET(nombres[],0,0,ROWS(nombres[]),1)=UA$1490,ROW(OFFSET(nombres[],0,0,ROWS(nombres[]),1))-ROW(OFFSET(nombres[],0,0,1,1))+1,ROW(OFFSET(nombres[],ROWS(nombres[])-1,0,1,1))+1),$O1553:$O1572),3),"")</f>
        <v/>
      </c>
      <c r="UB1553" s="42" t="str">
        <f t="array" aca="1" ref="UB1553" ca="1">IFERROR(INDEX(nombres[],SMALL(IF(OFFSET(nombres[],0,0,ROWS(nombres[]),1)=UB$1490,ROW(OFFSET(nombres[],0,0,ROWS(nombres[]),1))-ROW(OFFSET(nombres[],0,0,1,1))+1,ROW(OFFSET(nombres[],ROWS(nombres[])-1,0,1,1))+1),$O1553:$O1572),3),"")</f>
        <v/>
      </c>
      <c r="UC1553" s="42" t="str">
        <f t="array" aca="1" ref="UC1553" ca="1">IFERROR(INDEX(nombres[],SMALL(IF(OFFSET(nombres[],0,0,ROWS(nombres[]),1)=UC$1490,ROW(OFFSET(nombres[],0,0,ROWS(nombres[]),1))-ROW(OFFSET(nombres[],0,0,1,1))+1,ROW(OFFSET(nombres[],ROWS(nombres[])-1,0,1,1))+1),$O1553:$O1572),3),"")</f>
        <v/>
      </c>
      <c r="UD1553" s="42" t="str">
        <f t="array" aca="1" ref="UD1553" ca="1">IFERROR(INDEX(nombres[],SMALL(IF(OFFSET(nombres[],0,0,ROWS(nombres[]),1)=UD$1490,ROW(OFFSET(nombres[],0,0,ROWS(nombres[]),1))-ROW(OFFSET(nombres[],0,0,1,1))+1,ROW(OFFSET(nombres[],ROWS(nombres[])-1,0,1,1))+1),$O1553:$O1572),3),"")</f>
        <v/>
      </c>
      <c r="UE1553" s="42" t="str">
        <f t="array" aca="1" ref="UE1553" ca="1">IFERROR(INDEX(nombres[],SMALL(IF(OFFSET(nombres[],0,0,ROWS(nombres[]),1)=UE$1490,ROW(OFFSET(nombres[],0,0,ROWS(nombres[]),1))-ROW(OFFSET(nombres[],0,0,1,1))+1,ROW(OFFSET(nombres[],ROWS(nombres[])-1,0,1,1))+1),$O1553:$O1572),3),"")</f>
        <v/>
      </c>
      <c r="UF1553" s="42" t="str">
        <f t="array" aca="1" ref="UF1553" ca="1">IFERROR(INDEX(nombres[],SMALL(IF(OFFSET(nombres[],0,0,ROWS(nombres[]),1)=UF$1490,ROW(OFFSET(nombres[],0,0,ROWS(nombres[]),1))-ROW(OFFSET(nombres[],0,0,1,1))+1,ROW(OFFSET(nombres[],ROWS(nombres[])-1,0,1,1))+1),$O1553:$O1572),3),"")</f>
        <v/>
      </c>
      <c r="UG1553" s="42" t="str">
        <f t="array" aca="1" ref="UG1553" ca="1">IFERROR(INDEX(nombres[],SMALL(IF(OFFSET(nombres[],0,0,ROWS(nombres[]),1)=UG$1490,ROW(OFFSET(nombres[],0,0,ROWS(nombres[]),1))-ROW(OFFSET(nombres[],0,0,1,1))+1,ROW(OFFSET(nombres[],ROWS(nombres[])-1,0,1,1))+1),$O1553:$O1572),3),"")</f>
        <v/>
      </c>
      <c r="UH1553" s="42" t="str">
        <f t="array" aca="1" ref="UH1553" ca="1">IFERROR(INDEX(nombres[],SMALL(IF(OFFSET(nombres[],0,0,ROWS(nombres[]),1)=UH$1490,ROW(OFFSET(nombres[],0,0,ROWS(nombres[]),1))-ROW(OFFSET(nombres[],0,0,1,1))+1,ROW(OFFSET(nombres[],ROWS(nombres[])-1,0,1,1))+1),$O1553:$O1572),3),"")</f>
        <v/>
      </c>
      <c r="UI1553" s="42" t="str">
        <f t="array" aca="1" ref="UI1553" ca="1">IFERROR(INDEX(nombres[],SMALL(IF(OFFSET(nombres[],0,0,ROWS(nombres[]),1)=UI$1490,ROW(OFFSET(nombres[],0,0,ROWS(nombres[]),1))-ROW(OFFSET(nombres[],0,0,1,1))+1,ROW(OFFSET(nombres[],ROWS(nombres[])-1,0,1,1))+1),$O1553:$O1572),3),"")</f>
        <v/>
      </c>
      <c r="UJ1553" s="42" t="str">
        <f t="array" aca="1" ref="UJ1553" ca="1">IFERROR(INDEX(nombres[],SMALL(IF(OFFSET(nombres[],0,0,ROWS(nombres[]),1)=UJ$1490,ROW(OFFSET(nombres[],0,0,ROWS(nombres[]),1))-ROW(OFFSET(nombres[],0,0,1,1))+1,ROW(OFFSET(nombres[],ROWS(nombres[])-1,0,1,1))+1),$O1553:$O1572),3),"")</f>
        <v/>
      </c>
      <c r="UK1553" s="42" t="str">
        <f t="array" aca="1" ref="UK1553" ca="1">IFERROR(INDEX(nombres[],SMALL(IF(OFFSET(nombres[],0,0,ROWS(nombres[]),1)=UK$1490,ROW(OFFSET(nombres[],0,0,ROWS(nombres[]),1))-ROW(OFFSET(nombres[],0,0,1,1))+1,ROW(OFFSET(nombres[],ROWS(nombres[])-1,0,1,1))+1),$O1553:$O1572),3),"")</f>
        <v/>
      </c>
      <c r="UL1553" s="42" t="str">
        <f t="array" aca="1" ref="UL1553" ca="1">IFERROR(INDEX(nombres[],SMALL(IF(OFFSET(nombres[],0,0,ROWS(nombres[]),1)=UL$1490,ROW(OFFSET(nombres[],0,0,ROWS(nombres[]),1))-ROW(OFFSET(nombres[],0,0,1,1))+1,ROW(OFFSET(nombres[],ROWS(nombres[])-1,0,1,1))+1),$O1553:$O1572),3),"")</f>
        <v/>
      </c>
      <c r="UM1553" s="42" t="str">
        <f t="array" aca="1" ref="UM1553" ca="1">IFERROR(INDEX(nombres[],SMALL(IF(OFFSET(nombres[],0,0,ROWS(nombres[]),1)=UM$1490,ROW(OFFSET(nombres[],0,0,ROWS(nombres[]),1))-ROW(OFFSET(nombres[],0,0,1,1))+1,ROW(OFFSET(nombres[],ROWS(nombres[])-1,0,1,1))+1),$O1553:$O1572),3),"")</f>
        <v/>
      </c>
      <c r="UN1553" s="42" t="str">
        <f t="array" aca="1" ref="UN1553" ca="1">IFERROR(INDEX(nombres[],SMALL(IF(OFFSET(nombres[],0,0,ROWS(nombres[]),1)=UN$1490,ROW(OFFSET(nombres[],0,0,ROWS(nombres[]),1))-ROW(OFFSET(nombres[],0,0,1,1))+1,ROW(OFFSET(nombres[],ROWS(nombres[])-1,0,1,1))+1),$O1553:$O1572),3),"")</f>
        <v/>
      </c>
      <c r="UO1553" s="42" t="str">
        <f t="array" aca="1" ref="UO1553" ca="1">IFERROR(INDEX(nombres[],SMALL(IF(OFFSET(nombres[],0,0,ROWS(nombres[]),1)=UO$1490,ROW(OFFSET(nombres[],0,0,ROWS(nombres[]),1))-ROW(OFFSET(nombres[],0,0,1,1))+1,ROW(OFFSET(nombres[],ROWS(nombres[])-1,0,1,1))+1),$O1553:$O1572),3),"")</f>
        <v/>
      </c>
      <c r="UP1553" s="42" t="str">
        <f t="array" aca="1" ref="UP1553" ca="1">IFERROR(INDEX(nombres[],SMALL(IF(OFFSET(nombres[],0,0,ROWS(nombres[]),1)=UP$1490,ROW(OFFSET(nombres[],0,0,ROWS(nombres[]),1))-ROW(OFFSET(nombres[],0,0,1,1))+1,ROW(OFFSET(nombres[],ROWS(nombres[])-1,0,1,1))+1),$O1553:$O1572),3),"")</f>
        <v/>
      </c>
      <c r="UQ1553" s="42" t="str">
        <f t="array" aca="1" ref="UQ1553" ca="1">IFERROR(INDEX(nombres[],SMALL(IF(OFFSET(nombres[],0,0,ROWS(nombres[]),1)=UQ$1490,ROW(OFFSET(nombres[],0,0,ROWS(nombres[]),1))-ROW(OFFSET(nombres[],0,0,1,1))+1,ROW(OFFSET(nombres[],ROWS(nombres[])-1,0,1,1))+1),$O1553:$O1572),3),"")</f>
        <v/>
      </c>
      <c r="UR1553" s="42" t="str">
        <f t="array" aca="1" ref="UR1553" ca="1">IFERROR(INDEX(nombres[],SMALL(IF(OFFSET(nombres[],0,0,ROWS(nombres[]),1)=UR$1490,ROW(OFFSET(nombres[],0,0,ROWS(nombres[]),1))-ROW(OFFSET(nombres[],0,0,1,1))+1,ROW(OFFSET(nombres[],ROWS(nombres[])-1,0,1,1))+1),$O1553:$O1572),3),"")</f>
        <v/>
      </c>
      <c r="US1553" s="42" t="str">
        <f t="array" aca="1" ref="US1553" ca="1">IFERROR(INDEX(nombres[],SMALL(IF(OFFSET(nombres[],0,0,ROWS(nombres[]),1)=US$1490,ROW(OFFSET(nombres[],0,0,ROWS(nombres[]),1))-ROW(OFFSET(nombres[],0,0,1,1))+1,ROW(OFFSET(nombres[],ROWS(nombres[])-1,0,1,1))+1),$O1553:$O1572),3),"")</f>
        <v/>
      </c>
      <c r="UT1553" s="42" t="str">
        <f t="array" aca="1" ref="UT1553" ca="1">IFERROR(INDEX(nombres[],SMALL(IF(OFFSET(nombres[],0,0,ROWS(nombres[]),1)=UT$1490,ROW(OFFSET(nombres[],0,0,ROWS(nombres[]),1))-ROW(OFFSET(nombres[],0,0,1,1))+1,ROW(OFFSET(nombres[],ROWS(nombres[])-1,0,1,1))+1),$O1553:$O1572),3),"")</f>
        <v/>
      </c>
      <c r="UU1553" s="42" t="str">
        <f t="array" aca="1" ref="UU1553" ca="1">IFERROR(INDEX(nombres[],SMALL(IF(OFFSET(nombres[],0,0,ROWS(nombres[]),1)=UU$1490,ROW(OFFSET(nombres[],0,0,ROWS(nombres[]),1))-ROW(OFFSET(nombres[],0,0,1,1))+1,ROW(OFFSET(nombres[],ROWS(nombres[])-1,0,1,1))+1),$O1553:$O1572),3),"")</f>
        <v/>
      </c>
      <c r="UV1553" s="42" t="str">
        <f t="array" aca="1" ref="UV1553" ca="1">IFERROR(INDEX(nombres[],SMALL(IF(OFFSET(nombres[],0,0,ROWS(nombres[]),1)=UV$1490,ROW(OFFSET(nombres[],0,0,ROWS(nombres[]),1))-ROW(OFFSET(nombres[],0,0,1,1))+1,ROW(OFFSET(nombres[],ROWS(nombres[])-1,0,1,1))+1),$O1553:$O1572),3),"")</f>
        <v/>
      </c>
      <c r="UW1553" s="42" t="str">
        <f t="array" aca="1" ref="UW1553" ca="1">IFERROR(INDEX(nombres[],SMALL(IF(OFFSET(nombres[],0,0,ROWS(nombres[]),1)=UW$1490,ROW(OFFSET(nombres[],0,0,ROWS(nombres[]),1))-ROW(OFFSET(nombres[],0,0,1,1))+1,ROW(OFFSET(nombres[],ROWS(nombres[])-1,0,1,1))+1),$O1553:$O1572),3),"")</f>
        <v/>
      </c>
      <c r="UX1553" s="42" t="str">
        <f t="array" aca="1" ref="UX1553" ca="1">IFERROR(INDEX(nombres[],SMALL(IF(OFFSET(nombres[],0,0,ROWS(nombres[]),1)=UX$1490,ROW(OFFSET(nombres[],0,0,ROWS(nombres[]),1))-ROW(OFFSET(nombres[],0,0,1,1))+1,ROW(OFFSET(nombres[],ROWS(nombres[])-1,0,1,1))+1),$O1553:$O1572),3),"")</f>
        <v/>
      </c>
      <c r="UY1553" s="42" t="str">
        <f t="array" aca="1" ref="UY1553" ca="1">IFERROR(INDEX(nombres[],SMALL(IF(OFFSET(nombres[],0,0,ROWS(nombres[]),1)=UY$1490,ROW(OFFSET(nombres[],0,0,ROWS(nombres[]),1))-ROW(OFFSET(nombres[],0,0,1,1))+1,ROW(OFFSET(nombres[],ROWS(nombres[])-1,0,1,1))+1),$O1553:$O1572),3),"")</f>
        <v/>
      </c>
      <c r="UZ1553" s="42" t="str">
        <f t="array" aca="1" ref="UZ1553" ca="1">IFERROR(INDEX(nombres[],SMALL(IF(OFFSET(nombres[],0,0,ROWS(nombres[]),1)=UZ$1490,ROW(OFFSET(nombres[],0,0,ROWS(nombres[]),1))-ROW(OFFSET(nombres[],0,0,1,1))+1,ROW(OFFSET(nombres[],ROWS(nombres[])-1,0,1,1))+1),$O1553:$O1572),3),"")</f>
        <v/>
      </c>
      <c r="VA1553" s="42" t="str">
        <f t="array" aca="1" ref="VA1553" ca="1">IFERROR(INDEX(nombres[],SMALL(IF(OFFSET(nombres[],0,0,ROWS(nombres[]),1)=VA$1490,ROW(OFFSET(nombres[],0,0,ROWS(nombres[]),1))-ROW(OFFSET(nombres[],0,0,1,1))+1,ROW(OFFSET(nombres[],ROWS(nombres[])-1,0,1,1))+1),$O1553:$O1572),3),"")</f>
        <v/>
      </c>
      <c r="VB1553" s="42" t="str">
        <f t="array" aca="1" ref="VB1553" ca="1">IFERROR(INDEX(nombres[],SMALL(IF(OFFSET(nombres[],0,0,ROWS(nombres[]),1)=VB$1490,ROW(OFFSET(nombres[],0,0,ROWS(nombres[]),1))-ROW(OFFSET(nombres[],0,0,1,1))+1,ROW(OFFSET(nombres[],ROWS(nombres[])-1,0,1,1))+1),$O1553:$O1572),3),"")</f>
        <v/>
      </c>
      <c r="VC1553" s="42" t="str">
        <f t="array" aca="1" ref="VC1553" ca="1">IFERROR(INDEX(nombres[],SMALL(IF(OFFSET(nombres[],0,0,ROWS(nombres[]),1)=VC$1490,ROW(OFFSET(nombres[],0,0,ROWS(nombres[]),1))-ROW(OFFSET(nombres[],0,0,1,1))+1,ROW(OFFSET(nombres[],ROWS(nombres[])-1,0,1,1))+1),$O1553:$O1572),3),"")</f>
        <v/>
      </c>
      <c r="VD1553" s="42" t="str">
        <f t="array" aca="1" ref="VD1553" ca="1">IFERROR(INDEX(nombres[],SMALL(IF(OFFSET(nombres[],0,0,ROWS(nombres[]),1)=VD$1490,ROW(OFFSET(nombres[],0,0,ROWS(nombres[]),1))-ROW(OFFSET(nombres[],0,0,1,1))+1,ROW(OFFSET(nombres[],ROWS(nombres[])-1,0,1,1))+1),$O1553:$O1572),3),"")</f>
        <v/>
      </c>
      <c r="VE1553" s="42" t="str">
        <f t="array" aca="1" ref="VE1553" ca="1">IFERROR(INDEX(nombres[],SMALL(IF(OFFSET(nombres[],0,0,ROWS(nombres[]),1)=VE$1490,ROW(OFFSET(nombres[],0,0,ROWS(nombres[]),1))-ROW(OFFSET(nombres[],0,0,1,1))+1,ROW(OFFSET(nombres[],ROWS(nombres[])-1,0,1,1))+1),$O1553:$O1572),3),"")</f>
        <v/>
      </c>
      <c r="VF1553" s="42" t="str">
        <f t="array" aca="1" ref="VF1553" ca="1">IFERROR(INDEX(nombres[],SMALL(IF(OFFSET(nombres[],0,0,ROWS(nombres[]),1)=VF$1490,ROW(OFFSET(nombres[],0,0,ROWS(nombres[]),1))-ROW(OFFSET(nombres[],0,0,1,1))+1,ROW(OFFSET(nombres[],ROWS(nombres[])-1,0,1,1))+1),$O1553:$O1572),3),"")</f>
        <v/>
      </c>
      <c r="VG1553" s="42" t="str">
        <f t="array" aca="1" ref="VG1553" ca="1">IFERROR(INDEX(nombres[],SMALL(IF(OFFSET(nombres[],0,0,ROWS(nombres[]),1)=VG$1490,ROW(OFFSET(nombres[],0,0,ROWS(nombres[]),1))-ROW(OFFSET(nombres[],0,0,1,1))+1,ROW(OFFSET(nombres[],ROWS(nombres[])-1,0,1,1))+1),$O1553:$O1572),3),"")</f>
        <v/>
      </c>
      <c r="VH1553" s="42" t="str">
        <f t="array" aca="1" ref="VH1553" ca="1">IFERROR(INDEX(nombres[],SMALL(IF(OFFSET(nombres[],0,0,ROWS(nombres[]),1)=VH$1490,ROW(OFFSET(nombres[],0,0,ROWS(nombres[]),1))-ROW(OFFSET(nombres[],0,0,1,1))+1,ROW(OFFSET(nombres[],ROWS(nombres[])-1,0,1,1))+1),$O1553:$O1572),3),"")</f>
        <v/>
      </c>
      <c r="VI1553" s="42" t="str">
        <f t="array" aca="1" ref="VI1553" ca="1">IFERROR(INDEX(nombres[],SMALL(IF(OFFSET(nombres[],0,0,ROWS(nombres[]),1)=VI$1490,ROW(OFFSET(nombres[],0,0,ROWS(nombres[]),1))-ROW(OFFSET(nombres[],0,0,1,1))+1,ROW(OFFSET(nombres[],ROWS(nombres[])-1,0,1,1))+1),$O1553:$O1572),3),"")</f>
        <v/>
      </c>
      <c r="VJ1553" s="42" t="str">
        <f t="array" aca="1" ref="VJ1553" ca="1">IFERROR(INDEX(nombres[],SMALL(IF(OFFSET(nombres[],0,0,ROWS(nombres[]),1)=VJ$1490,ROW(OFFSET(nombres[],0,0,ROWS(nombres[]),1))-ROW(OFFSET(nombres[],0,0,1,1))+1,ROW(OFFSET(nombres[],ROWS(nombres[])-1,0,1,1))+1),$O1553:$O1572),3),"")</f>
        <v/>
      </c>
      <c r="VK1553" s="42" t="str">
        <f t="array" aca="1" ref="VK1553" ca="1">IFERROR(INDEX(nombres[],SMALL(IF(OFFSET(nombres[],0,0,ROWS(nombres[]),1)=VK$1490,ROW(OFFSET(nombres[],0,0,ROWS(nombres[]),1))-ROW(OFFSET(nombres[],0,0,1,1))+1,ROW(OFFSET(nombres[],ROWS(nombres[])-1,0,1,1))+1),$O1553:$O1572),3),"")</f>
        <v/>
      </c>
      <c r="VL1553" s="42" t="str">
        <f t="array" aca="1" ref="VL1553" ca="1">IFERROR(INDEX(nombres[],SMALL(IF(OFFSET(nombres[],0,0,ROWS(nombres[]),1)=VL$1490,ROW(OFFSET(nombres[],0,0,ROWS(nombres[]),1))-ROW(OFFSET(nombres[],0,0,1,1))+1,ROW(OFFSET(nombres[],ROWS(nombres[])-1,0,1,1))+1),$O1553:$O1572),3),"")</f>
        <v/>
      </c>
      <c r="VM1553" s="42" t="str">
        <f t="array" aca="1" ref="VM1553" ca="1">IFERROR(INDEX(nombres[],SMALL(IF(OFFSET(nombres[],0,0,ROWS(nombres[]),1)=VM$1490,ROW(OFFSET(nombres[],0,0,ROWS(nombres[]),1))-ROW(OFFSET(nombres[],0,0,1,1))+1,ROW(OFFSET(nombres[],ROWS(nombres[])-1,0,1,1))+1),$O1553:$O1572),3),"")</f>
        <v/>
      </c>
      <c r="VN1553" s="42" t="str">
        <f t="array" aca="1" ref="VN1553" ca="1">IFERROR(INDEX(nombres[],SMALL(IF(OFFSET(nombres[],0,0,ROWS(nombres[]),1)=VN$1490,ROW(OFFSET(nombres[],0,0,ROWS(nombres[]),1))-ROW(OFFSET(nombres[],0,0,1,1))+1,ROW(OFFSET(nombres[],ROWS(nombres[])-1,0,1,1))+1),$O1553:$O1572),3),"")</f>
        <v/>
      </c>
      <c r="VO1553" s="42" t="str">
        <f t="array" aca="1" ref="VO1553" ca="1">IFERROR(INDEX(nombres[],SMALL(IF(OFFSET(nombres[],0,0,ROWS(nombres[]),1)=VO$1490,ROW(OFFSET(nombres[],0,0,ROWS(nombres[]),1))-ROW(OFFSET(nombres[],0,0,1,1))+1,ROW(OFFSET(nombres[],ROWS(nombres[])-1,0,1,1))+1),$O1553:$O1572),3),"")</f>
        <v/>
      </c>
      <c r="VP1553" s="42" t="str">
        <f t="array" aca="1" ref="VP1553" ca="1">IFERROR(INDEX(nombres[],SMALL(IF(OFFSET(nombres[],0,0,ROWS(nombres[]),1)=VP$1490,ROW(OFFSET(nombres[],0,0,ROWS(nombres[]),1))-ROW(OFFSET(nombres[],0,0,1,1))+1,ROW(OFFSET(nombres[],ROWS(nombres[])-1,0,1,1))+1),$O1553:$O1572),3),"")</f>
        <v/>
      </c>
      <c r="VQ1553" s="42" t="str">
        <f t="array" aca="1" ref="VQ1553" ca="1">IFERROR(INDEX(nombres[],SMALL(IF(OFFSET(nombres[],0,0,ROWS(nombres[]),1)=VQ$1490,ROW(OFFSET(nombres[],0,0,ROWS(nombres[]),1))-ROW(OFFSET(nombres[],0,0,1,1))+1,ROW(OFFSET(nombres[],ROWS(nombres[])-1,0,1,1))+1),$O1553:$O1572),3),"")</f>
        <v/>
      </c>
      <c r="VR1553" s="42" t="str">
        <f t="array" aca="1" ref="VR1553" ca="1">IFERROR(INDEX(nombres[],SMALL(IF(OFFSET(nombres[],0,0,ROWS(nombres[]),1)=VR$1490,ROW(OFFSET(nombres[],0,0,ROWS(nombres[]),1))-ROW(OFFSET(nombres[],0,0,1,1))+1,ROW(OFFSET(nombres[],ROWS(nombres[])-1,0,1,1))+1),$O1553:$O1572),3),"")</f>
        <v/>
      </c>
      <c r="VS1553" s="42" t="str">
        <f t="array" aca="1" ref="VS1553" ca="1">IFERROR(INDEX(nombres[],SMALL(IF(OFFSET(nombres[],0,0,ROWS(nombres[]),1)=VS$1490,ROW(OFFSET(nombres[],0,0,ROWS(nombres[]),1))-ROW(OFFSET(nombres[],0,0,1,1))+1,ROW(OFFSET(nombres[],ROWS(nombres[])-1,0,1,1))+1),$O1553:$O1572),3),"")</f>
        <v/>
      </c>
      <c r="VT1553" s="42" t="str">
        <f t="array" aca="1" ref="VT1553" ca="1">IFERROR(INDEX(nombres[],SMALL(IF(OFFSET(nombres[],0,0,ROWS(nombres[]),1)=VT$1490,ROW(OFFSET(nombres[],0,0,ROWS(nombres[]),1))-ROW(OFFSET(nombres[],0,0,1,1))+1,ROW(OFFSET(nombres[],ROWS(nombres[])-1,0,1,1))+1),$O1553:$O1572),3),"")</f>
        <v/>
      </c>
      <c r="VU1553" s="42" t="str">
        <f t="array" aca="1" ref="VU1553" ca="1">IFERROR(INDEX(nombres[],SMALL(IF(OFFSET(nombres[],0,0,ROWS(nombres[]),1)=VU$1490,ROW(OFFSET(nombres[],0,0,ROWS(nombres[]),1))-ROW(OFFSET(nombres[],0,0,1,1))+1,ROW(OFFSET(nombres[],ROWS(nombres[])-1,0,1,1))+1),$O1553:$O1572),3),"")</f>
        <v/>
      </c>
      <c r="VV1553" s="42" t="str">
        <f t="array" aca="1" ref="VV1553" ca="1">IFERROR(INDEX(nombres[],SMALL(IF(OFFSET(nombres[],0,0,ROWS(nombres[]),1)=VV$1490,ROW(OFFSET(nombres[],0,0,ROWS(nombres[]),1))-ROW(OFFSET(nombres[],0,0,1,1))+1,ROW(OFFSET(nombres[],ROWS(nombres[])-1,0,1,1))+1),$O1553:$O1572),3),"")</f>
        <v/>
      </c>
      <c r="VW1553" s="42" t="str">
        <f t="array" aca="1" ref="VW1553" ca="1">IFERROR(INDEX(nombres[],SMALL(IF(OFFSET(nombres[],0,0,ROWS(nombres[]),1)=VW$1490,ROW(OFFSET(nombres[],0,0,ROWS(nombres[]),1))-ROW(OFFSET(nombres[],0,0,1,1))+1,ROW(OFFSET(nombres[],ROWS(nombres[])-1,0,1,1))+1),$O1553:$O1572),3),"")</f>
        <v/>
      </c>
      <c r="VX1553" s="42" t="str">
        <f t="array" aca="1" ref="VX1553" ca="1">IFERROR(INDEX(nombres[],SMALL(IF(OFFSET(nombres[],0,0,ROWS(nombres[]),1)=VX$1490,ROW(OFFSET(nombres[],0,0,ROWS(nombres[]),1))-ROW(OFFSET(nombres[],0,0,1,1))+1,ROW(OFFSET(nombres[],ROWS(nombres[])-1,0,1,1))+1),$O1553:$O1572),3),"")</f>
        <v/>
      </c>
      <c r="VY1553" s="42" t="str">
        <f t="array" aca="1" ref="VY1553" ca="1">IFERROR(INDEX(nombres[],SMALL(IF(OFFSET(nombres[],0,0,ROWS(nombres[]),1)=VY$1490,ROW(OFFSET(nombres[],0,0,ROWS(nombres[]),1))-ROW(OFFSET(nombres[],0,0,1,1))+1,ROW(OFFSET(nombres[],ROWS(nombres[])-1,0,1,1))+1),$O1553:$O1572),3),"")</f>
        <v/>
      </c>
      <c r="VZ1553" s="42" t="str">
        <f t="array" aca="1" ref="VZ1553" ca="1">IFERROR(INDEX(nombres[],SMALL(IF(OFFSET(nombres[],0,0,ROWS(nombres[]),1)=VZ$1490,ROW(OFFSET(nombres[],0,0,ROWS(nombres[]),1))-ROW(OFFSET(nombres[],0,0,1,1))+1,ROW(OFFSET(nombres[],ROWS(nombres[])-1,0,1,1))+1),$O1553:$O1572),3),"")</f>
        <v/>
      </c>
      <c r="WA1553" s="42" t="str">
        <f t="array" aca="1" ref="WA1553" ca="1">IFERROR(INDEX(nombres[],SMALL(IF(OFFSET(nombres[],0,0,ROWS(nombres[]),1)=WA$1490,ROW(OFFSET(nombres[],0,0,ROWS(nombres[]),1))-ROW(OFFSET(nombres[],0,0,1,1))+1,ROW(OFFSET(nombres[],ROWS(nombres[])-1,0,1,1))+1),$O1553:$O1572),3),"")</f>
        <v/>
      </c>
      <c r="WB1553" s="42" t="str">
        <f t="array" aca="1" ref="WB1553" ca="1">IFERROR(INDEX(nombres[],SMALL(IF(OFFSET(nombres[],0,0,ROWS(nombres[]),1)=WB$1490,ROW(OFFSET(nombres[],0,0,ROWS(nombres[]),1))-ROW(OFFSET(nombres[],0,0,1,1))+1,ROW(OFFSET(nombres[],ROWS(nombres[])-1,0,1,1))+1),$O1553:$O1572),3),"")</f>
        <v/>
      </c>
      <c r="WC1553" s="42" t="str">
        <f t="array" aca="1" ref="WC1553" ca="1">IFERROR(INDEX(nombres[],SMALL(IF(OFFSET(nombres[],0,0,ROWS(nombres[]),1)=WC$1490,ROW(OFFSET(nombres[],0,0,ROWS(nombres[]),1))-ROW(OFFSET(nombres[],0,0,1,1))+1,ROW(OFFSET(nombres[],ROWS(nombres[])-1,0,1,1))+1),$O1553:$O1572),3),"")</f>
        <v/>
      </c>
      <c r="WD1553" s="42" t="str">
        <f t="array" aca="1" ref="WD1553" ca="1">IFERROR(INDEX(nombres[],SMALL(IF(OFFSET(nombres[],0,0,ROWS(nombres[]),1)=WD$1490,ROW(OFFSET(nombres[],0,0,ROWS(nombres[]),1))-ROW(OFFSET(nombres[],0,0,1,1))+1,ROW(OFFSET(nombres[],ROWS(nombres[])-1,0,1,1))+1),$O1553:$O1572),3),"")</f>
        <v/>
      </c>
      <c r="WE1553" s="42" t="str">
        <f t="array" aca="1" ref="WE1553" ca="1">IFERROR(INDEX(nombres[],SMALL(IF(OFFSET(nombres[],0,0,ROWS(nombres[]),1)=WE$1490,ROW(OFFSET(nombres[],0,0,ROWS(nombres[]),1))-ROW(OFFSET(nombres[],0,0,1,1))+1,ROW(OFFSET(nombres[],ROWS(nombres[])-1,0,1,1))+1),$O1553:$O1572),3),"")</f>
        <v/>
      </c>
      <c r="WF1553" s="42" t="str">
        <f t="array" aca="1" ref="WF1553" ca="1">IFERROR(INDEX(nombres[],SMALL(IF(OFFSET(nombres[],0,0,ROWS(nombres[]),1)=WF$1490,ROW(OFFSET(nombres[],0,0,ROWS(nombres[]),1))-ROW(OFFSET(nombres[],0,0,1,1))+1,ROW(OFFSET(nombres[],ROWS(nombres[])-1,0,1,1))+1),$O1553:$O1572),3),"")</f>
        <v/>
      </c>
      <c r="WG1553" s="42" t="str">
        <f t="array" aca="1" ref="WG1553" ca="1">IFERROR(INDEX(nombres[],SMALL(IF(OFFSET(nombres[],0,0,ROWS(nombres[]),1)=WG$1490,ROW(OFFSET(nombres[],0,0,ROWS(nombres[]),1))-ROW(OFFSET(nombres[],0,0,1,1))+1,ROW(OFFSET(nombres[],ROWS(nombres[])-1,0,1,1))+1),$O1553:$O1572),3),"")</f>
        <v/>
      </c>
      <c r="WH1553" s="42" t="str">
        <f t="array" aca="1" ref="WH1553" ca="1">IFERROR(INDEX(nombres[],SMALL(IF(OFFSET(nombres[],0,0,ROWS(nombres[]),1)=WH$1490,ROW(OFFSET(nombres[],0,0,ROWS(nombres[]),1))-ROW(OFFSET(nombres[],0,0,1,1))+1,ROW(OFFSET(nombres[],ROWS(nombres[])-1,0,1,1))+1),$O1553:$O1572),3),"")</f>
        <v/>
      </c>
      <c r="WI1553" s="42" t="str">
        <f t="array" aca="1" ref="WI1553" ca="1">IFERROR(INDEX(nombres[],SMALL(IF(OFFSET(nombres[],0,0,ROWS(nombres[]),1)=WI$1490,ROW(OFFSET(nombres[],0,0,ROWS(nombres[]),1))-ROW(OFFSET(nombres[],0,0,1,1))+1,ROW(OFFSET(nombres[],ROWS(nombres[])-1,0,1,1))+1),$O1553:$O1572),3),"")</f>
        <v/>
      </c>
      <c r="WJ1553" s="42" t="str">
        <f t="array" aca="1" ref="WJ1553" ca="1">IFERROR(INDEX(nombres[],SMALL(IF(OFFSET(nombres[],0,0,ROWS(nombres[]),1)=WJ$1490,ROW(OFFSET(nombres[],0,0,ROWS(nombres[]),1))-ROW(OFFSET(nombres[],0,0,1,1))+1,ROW(OFFSET(nombres[],ROWS(nombres[])-1,0,1,1))+1),$O1553:$O1572),3),"")</f>
        <v/>
      </c>
      <c r="WK1553" s="42" t="str">
        <f t="array" aca="1" ref="WK1553" ca="1">IFERROR(INDEX(nombres[],SMALL(IF(OFFSET(nombres[],0,0,ROWS(nombres[]),1)=WK$1490,ROW(OFFSET(nombres[],0,0,ROWS(nombres[]),1))-ROW(OFFSET(nombres[],0,0,1,1))+1,ROW(OFFSET(nombres[],ROWS(nombres[])-1,0,1,1))+1),$O1553:$O1572),3),"")</f>
        <v/>
      </c>
      <c r="WL1553" s="42" t="str">
        <f t="array" aca="1" ref="WL1553" ca="1">IFERROR(INDEX(nombres[],SMALL(IF(OFFSET(nombres[],0,0,ROWS(nombres[]),1)=WL$1490,ROW(OFFSET(nombres[],0,0,ROWS(nombres[]),1))-ROW(OFFSET(nombres[],0,0,1,1))+1,ROW(OFFSET(nombres[],ROWS(nombres[])-1,0,1,1))+1),$O1553:$O1572),3),"")</f>
        <v/>
      </c>
      <c r="WM1553" s="42" t="str">
        <f t="array" aca="1" ref="WM1553" ca="1">IFERROR(INDEX(nombres[],SMALL(IF(OFFSET(nombres[],0,0,ROWS(nombres[]),1)=WM$1490,ROW(OFFSET(nombres[],0,0,ROWS(nombres[]),1))-ROW(OFFSET(nombres[],0,0,1,1))+1,ROW(OFFSET(nombres[],ROWS(nombres[])-1,0,1,1))+1),$O1553:$O1572),3),"")</f>
        <v/>
      </c>
      <c r="WN1553" s="42" t="str">
        <f t="array" aca="1" ref="WN1553" ca="1">IFERROR(INDEX(nombres[],SMALL(IF(OFFSET(nombres[],0,0,ROWS(nombres[]),1)=WN$1490,ROW(OFFSET(nombres[],0,0,ROWS(nombres[]),1))-ROW(OFFSET(nombres[],0,0,1,1))+1,ROW(OFFSET(nombres[],ROWS(nombres[])-1,0,1,1))+1),$O1553:$O1572),3),"")</f>
        <v/>
      </c>
      <c r="WO1553" s="42" t="str">
        <f t="array" aca="1" ref="WO1553" ca="1">IFERROR(INDEX(nombres[],SMALL(IF(OFFSET(nombres[],0,0,ROWS(nombres[]),1)=WO$1490,ROW(OFFSET(nombres[],0,0,ROWS(nombres[]),1))-ROW(OFFSET(nombres[],0,0,1,1))+1,ROW(OFFSET(nombres[],ROWS(nombres[])-1,0,1,1))+1),$O1553:$O1572),3),"")</f>
        <v/>
      </c>
      <c r="WP1553" s="42" t="str">
        <f t="array" aca="1" ref="WP1553" ca="1">IFERROR(INDEX(nombres[],SMALL(IF(OFFSET(nombres[],0,0,ROWS(nombres[]),1)=WP$1490,ROW(OFFSET(nombres[],0,0,ROWS(nombres[]),1))-ROW(OFFSET(nombres[],0,0,1,1))+1,ROW(OFFSET(nombres[],ROWS(nombres[])-1,0,1,1))+1),$O1553:$O1572),3),"")</f>
        <v/>
      </c>
      <c r="WQ1553" s="42" t="str">
        <f t="array" aca="1" ref="WQ1553" ca="1">IFERROR(INDEX(nombres[],SMALL(IF(OFFSET(nombres[],0,0,ROWS(nombres[]),1)=WQ$1490,ROW(OFFSET(nombres[],0,0,ROWS(nombres[]),1))-ROW(OFFSET(nombres[],0,0,1,1))+1,ROW(OFFSET(nombres[],ROWS(nombres[])-1,0,1,1))+1),$O1553:$O1572),3),"")</f>
        <v/>
      </c>
      <c r="WR1553" s="42" t="str">
        <f t="array" aca="1" ref="WR1553" ca="1">IFERROR(INDEX(nombres[],SMALL(IF(OFFSET(nombres[],0,0,ROWS(nombres[]),1)=WR$1490,ROW(OFFSET(nombres[],0,0,ROWS(nombres[]),1))-ROW(OFFSET(nombres[],0,0,1,1))+1,ROW(OFFSET(nombres[],ROWS(nombres[])-1,0,1,1))+1),$O1553:$O1572),3),"")</f>
        <v/>
      </c>
      <c r="WS1553" s="42" t="str">
        <f t="array" aca="1" ref="WS1553" ca="1">IFERROR(INDEX(nombres[],SMALL(IF(OFFSET(nombres[],0,0,ROWS(nombres[]),1)=WS$1490,ROW(OFFSET(nombres[],0,0,ROWS(nombres[]),1))-ROW(OFFSET(nombres[],0,0,1,1))+1,ROW(OFFSET(nombres[],ROWS(nombres[])-1,0,1,1))+1),$O1553:$O1572),3),"")</f>
        <v/>
      </c>
      <c r="WT1553" s="42" t="str">
        <f t="array" aca="1" ref="WT1553" ca="1">IFERROR(INDEX(nombres[],SMALL(IF(OFFSET(nombres[],0,0,ROWS(nombres[]),1)=WT$1490,ROW(OFFSET(nombres[],0,0,ROWS(nombres[]),1))-ROW(OFFSET(nombres[],0,0,1,1))+1,ROW(OFFSET(nombres[],ROWS(nombres[])-1,0,1,1))+1),$O1553:$O1572),3),"")</f>
        <v/>
      </c>
      <c r="WU1553" s="42" t="str">
        <f t="array" aca="1" ref="WU1553" ca="1">IFERROR(INDEX(nombres[],SMALL(IF(OFFSET(nombres[],0,0,ROWS(nombres[]),1)=WU$1490,ROW(OFFSET(nombres[],0,0,ROWS(nombres[]),1))-ROW(OFFSET(nombres[],0,0,1,1))+1,ROW(OFFSET(nombres[],ROWS(nombres[])-1,0,1,1))+1),$O1553:$O1572),3),"")</f>
        <v/>
      </c>
      <c r="WV1553" s="42" t="str">
        <f t="array" aca="1" ref="WV1553" ca="1">IFERROR(INDEX(nombres[],SMALL(IF(OFFSET(nombres[],0,0,ROWS(nombres[]),1)=WV$1490,ROW(OFFSET(nombres[],0,0,ROWS(nombres[]),1))-ROW(OFFSET(nombres[],0,0,1,1))+1,ROW(OFFSET(nombres[],ROWS(nombres[])-1,0,1,1))+1),$O1553:$O1572),3),"")</f>
        <v/>
      </c>
      <c r="WW1553" s="42" t="str">
        <f t="array" aca="1" ref="WW1553" ca="1">IFERROR(INDEX(nombres[],SMALL(IF(OFFSET(nombres[],0,0,ROWS(nombres[]),1)=WW$1490,ROW(OFFSET(nombres[],0,0,ROWS(nombres[]),1))-ROW(OFFSET(nombres[],0,0,1,1))+1,ROW(OFFSET(nombres[],ROWS(nombres[])-1,0,1,1))+1),$O1553:$O1572),3),"")</f>
        <v/>
      </c>
      <c r="WX1553" s="42" t="str">
        <f t="array" aca="1" ref="WX1553" ca="1">IFERROR(INDEX(nombres[],SMALL(IF(OFFSET(nombres[],0,0,ROWS(nombres[]),1)=WX$1490,ROW(OFFSET(nombres[],0,0,ROWS(nombres[]),1))-ROW(OFFSET(nombres[],0,0,1,1))+1,ROW(OFFSET(nombres[],ROWS(nombres[])-1,0,1,1))+1),$O1553:$O1572),3),"")</f>
        <v/>
      </c>
      <c r="WY1553" s="42" t="str">
        <f t="array" aca="1" ref="WY1553" ca="1">IFERROR(INDEX(nombres[],SMALL(IF(OFFSET(nombres[],0,0,ROWS(nombres[]),1)=WY$1490,ROW(OFFSET(nombres[],0,0,ROWS(nombres[]),1))-ROW(OFFSET(nombres[],0,0,1,1))+1,ROW(OFFSET(nombres[],ROWS(nombres[])-1,0,1,1))+1),$O1553:$O1572),3),"")</f>
        <v/>
      </c>
      <c r="WZ1553" s="42" t="str">
        <f t="array" aca="1" ref="WZ1553" ca="1">IFERROR(INDEX(nombres[],SMALL(IF(OFFSET(nombres[],0,0,ROWS(nombres[]),1)=WZ$1490,ROW(OFFSET(nombres[],0,0,ROWS(nombres[]),1))-ROW(OFFSET(nombres[],0,0,1,1))+1,ROW(OFFSET(nombres[],ROWS(nombres[])-1,0,1,1))+1),$O1553:$O1572),3),"")</f>
        <v/>
      </c>
      <c r="XA1553" s="42" t="str">
        <f t="array" aca="1" ref="XA1553" ca="1">IFERROR(INDEX(nombres[],SMALL(IF(OFFSET(nombres[],0,0,ROWS(nombres[]),1)=XA$1490,ROW(OFFSET(nombres[],0,0,ROWS(nombres[]),1))-ROW(OFFSET(nombres[],0,0,1,1))+1,ROW(OFFSET(nombres[],ROWS(nombres[])-1,0,1,1))+1),$O1553:$O1572),3),"")</f>
        <v/>
      </c>
      <c r="XB1553" s="42" t="str">
        <f t="array" aca="1" ref="XB1553" ca="1">IFERROR(INDEX(nombres[],SMALL(IF(OFFSET(nombres[],0,0,ROWS(nombres[]),1)=XB$1490,ROW(OFFSET(nombres[],0,0,ROWS(nombres[]),1))-ROW(OFFSET(nombres[],0,0,1,1))+1,ROW(OFFSET(nombres[],ROWS(nombres[])-1,0,1,1))+1),$O1553:$O1572),3),"")</f>
        <v/>
      </c>
      <c r="XC1553" s="42" t="str">
        <f t="array" aca="1" ref="XC1553" ca="1">IFERROR(INDEX(nombres[],SMALL(IF(OFFSET(nombres[],0,0,ROWS(nombres[]),1)=XC$1490,ROW(OFFSET(nombres[],0,0,ROWS(nombres[]),1))-ROW(OFFSET(nombres[],0,0,1,1))+1,ROW(OFFSET(nombres[],ROWS(nombres[])-1,0,1,1))+1),$O1553:$O1572),3),"")</f>
        <v/>
      </c>
      <c r="XD1553" s="42" t="str">
        <f t="array" aca="1" ref="XD1553" ca="1">IFERROR(INDEX(nombres[],SMALL(IF(OFFSET(nombres[],0,0,ROWS(nombres[]),1)=XD$1490,ROW(OFFSET(nombres[],0,0,ROWS(nombres[]),1))-ROW(OFFSET(nombres[],0,0,1,1))+1,ROW(OFFSET(nombres[],ROWS(nombres[])-1,0,1,1))+1),$O1553:$O1572),3),"")</f>
        <v/>
      </c>
      <c r="XE1553" s="42" t="str">
        <f t="array" aca="1" ref="XE1553" ca="1">IFERROR(INDEX(nombres[],SMALL(IF(OFFSET(nombres[],0,0,ROWS(nombres[]),1)=XE$1490,ROW(OFFSET(nombres[],0,0,ROWS(nombres[]),1))-ROW(OFFSET(nombres[],0,0,1,1))+1,ROW(OFFSET(nombres[],ROWS(nombres[])-1,0,1,1))+1),$O1553:$O1572),3),"")</f>
        <v/>
      </c>
      <c r="XF1553" s="42" t="str">
        <f t="array" aca="1" ref="XF1553" ca="1">IFERROR(INDEX(nombres[],SMALL(IF(OFFSET(nombres[],0,0,ROWS(nombres[]),1)=XF$1490,ROW(OFFSET(nombres[],0,0,ROWS(nombres[]),1))-ROW(OFFSET(nombres[],0,0,1,1))+1,ROW(OFFSET(nombres[],ROWS(nombres[])-1,0,1,1))+1),$O1553:$O1572),3),"")</f>
        <v/>
      </c>
      <c r="XG1553" s="42" t="str">
        <f t="array" aca="1" ref="XG1553" ca="1">IFERROR(INDEX(nombres[],SMALL(IF(OFFSET(nombres[],0,0,ROWS(nombres[]),1)=XG$1490,ROW(OFFSET(nombres[],0,0,ROWS(nombres[]),1))-ROW(OFFSET(nombres[],0,0,1,1))+1,ROW(OFFSET(nombres[],ROWS(nombres[])-1,0,1,1))+1),$O1553:$O1572),3),"")</f>
        <v/>
      </c>
      <c r="XH1553" s="42" t="str">
        <f t="array" aca="1" ref="XH1553" ca="1">IFERROR(INDEX(nombres[],SMALL(IF(OFFSET(nombres[],0,0,ROWS(nombres[]),1)=XH$1490,ROW(OFFSET(nombres[],0,0,ROWS(nombres[]),1))-ROW(OFFSET(nombres[],0,0,1,1))+1,ROW(OFFSET(nombres[],ROWS(nombres[])-1,0,1,1))+1),$O1553:$O1572),3),"")</f>
        <v/>
      </c>
      <c r="XI1553" s="42" t="str">
        <f t="array" aca="1" ref="XI1553" ca="1">IFERROR(INDEX(nombres[],SMALL(IF(OFFSET(nombres[],0,0,ROWS(nombres[]),1)=XI$1490,ROW(OFFSET(nombres[],0,0,ROWS(nombres[]),1))-ROW(OFFSET(nombres[],0,0,1,1))+1,ROW(OFFSET(nombres[],ROWS(nombres[])-1,0,1,1))+1),$O1553:$O1572),3),"")</f>
        <v/>
      </c>
      <c r="XJ1553" s="42" t="str">
        <f t="array" aca="1" ref="XJ1553" ca="1">IFERROR(INDEX(nombres[],SMALL(IF(OFFSET(nombres[],0,0,ROWS(nombres[]),1)=XJ$1490,ROW(OFFSET(nombres[],0,0,ROWS(nombres[]),1))-ROW(OFFSET(nombres[],0,0,1,1))+1,ROW(OFFSET(nombres[],ROWS(nombres[])-1,0,1,1))+1),$O1553:$O1572),3),"")</f>
        <v/>
      </c>
      <c r="XK1553" s="42" t="str">
        <f t="array" aca="1" ref="XK1553" ca="1">IFERROR(INDEX(nombres[],SMALL(IF(OFFSET(nombres[],0,0,ROWS(nombres[]),1)=XK$1490,ROW(OFFSET(nombres[],0,0,ROWS(nombres[]),1))-ROW(OFFSET(nombres[],0,0,1,1))+1,ROW(OFFSET(nombres[],ROWS(nombres[])-1,0,1,1))+1),$O1553:$O1572),3),"")</f>
        <v/>
      </c>
      <c r="XL1553" s="42" t="str">
        <f t="array" aca="1" ref="XL1553" ca="1">IFERROR(INDEX(nombres[],SMALL(IF(OFFSET(nombres[],0,0,ROWS(nombres[]),1)=XL$1490,ROW(OFFSET(nombres[],0,0,ROWS(nombres[]),1))-ROW(OFFSET(nombres[],0,0,1,1))+1,ROW(OFFSET(nombres[],ROWS(nombres[])-1,0,1,1))+1),$O1553:$O1572),3),"")</f>
        <v/>
      </c>
      <c r="XM1553" s="42" t="str">
        <f t="array" aca="1" ref="XM1553" ca="1">IFERROR(INDEX(nombres[],SMALL(IF(OFFSET(nombres[],0,0,ROWS(nombres[]),1)=XM$1490,ROW(OFFSET(nombres[],0,0,ROWS(nombres[]),1))-ROW(OFFSET(nombres[],0,0,1,1))+1,ROW(OFFSET(nombres[],ROWS(nombres[])-1,0,1,1))+1),$O1553:$O1572),3),"")</f>
        <v/>
      </c>
      <c r="XN1553" s="42" t="str">
        <f t="array" aca="1" ref="XN1553" ca="1">IFERROR(INDEX(nombres[],SMALL(IF(OFFSET(nombres[],0,0,ROWS(nombres[]),1)=XN$1490,ROW(OFFSET(nombres[],0,0,ROWS(nombres[]),1))-ROW(OFFSET(nombres[],0,0,1,1))+1,ROW(OFFSET(nombres[],ROWS(nombres[])-1,0,1,1))+1),$O1553:$O1572),3),"")</f>
        <v/>
      </c>
      <c r="XO1553" s="42" t="str">
        <f t="array" aca="1" ref="XO1553" ca="1">IFERROR(INDEX(nombres[],SMALL(IF(OFFSET(nombres[],0,0,ROWS(nombres[]),1)=XO$1490,ROW(OFFSET(nombres[],0,0,ROWS(nombres[]),1))-ROW(OFFSET(nombres[],0,0,1,1))+1,ROW(OFFSET(nombres[],ROWS(nombres[])-1,0,1,1))+1),$O1553:$O1572),3),"")</f>
        <v/>
      </c>
      <c r="XP1553" s="42" t="str">
        <f t="array" aca="1" ref="XP1553" ca="1">IFERROR(INDEX(nombres[],SMALL(IF(OFFSET(nombres[],0,0,ROWS(nombres[]),1)=XP$1490,ROW(OFFSET(nombres[],0,0,ROWS(nombres[]),1))-ROW(OFFSET(nombres[],0,0,1,1))+1,ROW(OFFSET(nombres[],ROWS(nombres[])-1,0,1,1))+1),$O1553:$O1572),3),"")</f>
        <v/>
      </c>
      <c r="XQ1553" s="42" t="str">
        <f t="array" aca="1" ref="XQ1553" ca="1">IFERROR(INDEX(nombres[],SMALL(IF(OFFSET(nombres[],0,0,ROWS(nombres[]),1)=XQ$1490,ROW(OFFSET(nombres[],0,0,ROWS(nombres[]),1))-ROW(OFFSET(nombres[],0,0,1,1))+1,ROW(OFFSET(nombres[],ROWS(nombres[])-1,0,1,1))+1),$O1553:$O1572),3),"")</f>
        <v/>
      </c>
      <c r="XR1553" s="42" t="str">
        <f t="array" aca="1" ref="XR1553" ca="1">IFERROR(INDEX(nombres[],SMALL(IF(OFFSET(nombres[],0,0,ROWS(nombres[]),1)=XR$1490,ROW(OFFSET(nombres[],0,0,ROWS(nombres[]),1))-ROW(OFFSET(nombres[],0,0,1,1))+1,ROW(OFFSET(nombres[],ROWS(nombres[])-1,0,1,1))+1),$O1553:$O1572),3),"")</f>
        <v/>
      </c>
      <c r="XS1553" s="42" t="str">
        <f t="array" aca="1" ref="XS1553" ca="1">IFERROR(INDEX(nombres[],SMALL(IF(OFFSET(nombres[],0,0,ROWS(nombres[]),1)=XS$1490,ROW(OFFSET(nombres[],0,0,ROWS(nombres[]),1))-ROW(OFFSET(nombres[],0,0,1,1))+1,ROW(OFFSET(nombres[],ROWS(nombres[])-1,0,1,1))+1),$O1553:$O1572),3),"")</f>
        <v/>
      </c>
      <c r="XT1553" s="42" t="str">
        <f t="array" aca="1" ref="XT1553" ca="1">IFERROR(INDEX(nombres[],SMALL(IF(OFFSET(nombres[],0,0,ROWS(nombres[]),1)=XT$1490,ROW(OFFSET(nombres[],0,0,ROWS(nombres[]),1))-ROW(OFFSET(nombres[],0,0,1,1))+1,ROW(OFFSET(nombres[],ROWS(nombres[])-1,0,1,1))+1),$O1553:$O1572),3),"")</f>
        <v/>
      </c>
      <c r="XU1553" s="42" t="str">
        <f t="array" aca="1" ref="XU1553" ca="1">IFERROR(INDEX(nombres[],SMALL(IF(OFFSET(nombres[],0,0,ROWS(nombres[]),1)=XU$1490,ROW(OFFSET(nombres[],0,0,ROWS(nombres[]),1))-ROW(OFFSET(nombres[],0,0,1,1))+1,ROW(OFFSET(nombres[],ROWS(nombres[])-1,0,1,1))+1),$O1553:$O1572),3),"")</f>
        <v/>
      </c>
      <c r="XV1553" s="42" t="str">
        <f t="array" aca="1" ref="XV1553" ca="1">IFERROR(INDEX(nombres[],SMALL(IF(OFFSET(nombres[],0,0,ROWS(nombres[]),1)=XV$1490,ROW(OFFSET(nombres[],0,0,ROWS(nombres[]),1))-ROW(OFFSET(nombres[],0,0,1,1))+1,ROW(OFFSET(nombres[],ROWS(nombres[])-1,0,1,1))+1),$O1553:$O1572),3),"")</f>
        <v/>
      </c>
      <c r="XW1553" s="42" t="str">
        <f t="array" aca="1" ref="XW1553" ca="1">IFERROR(INDEX(nombres[],SMALL(IF(OFFSET(nombres[],0,0,ROWS(nombres[]),1)=XW$1490,ROW(OFFSET(nombres[],0,0,ROWS(nombres[]),1))-ROW(OFFSET(nombres[],0,0,1,1))+1,ROW(OFFSET(nombres[],ROWS(nombres[])-1,0,1,1))+1),$O1553:$O1572),3),"")</f>
        <v/>
      </c>
      <c r="XX1553" s="42" t="str">
        <f t="array" aca="1" ref="XX1553" ca="1">IFERROR(INDEX(nombres[],SMALL(IF(OFFSET(nombres[],0,0,ROWS(nombres[]),1)=XX$1490,ROW(OFFSET(nombres[],0,0,ROWS(nombres[]),1))-ROW(OFFSET(nombres[],0,0,1,1))+1,ROW(OFFSET(nombres[],ROWS(nombres[])-1,0,1,1))+1),$O1553:$O1572),3),"")</f>
        <v/>
      </c>
      <c r="XY1553" s="42" t="str">
        <f t="array" aca="1" ref="XY1553" ca="1">IFERROR(INDEX(nombres[],SMALL(IF(OFFSET(nombres[],0,0,ROWS(nombres[]),1)=XY$1490,ROW(OFFSET(nombres[],0,0,ROWS(nombres[]),1))-ROW(OFFSET(nombres[],0,0,1,1))+1,ROW(OFFSET(nombres[],ROWS(nombres[])-1,0,1,1))+1),$O1553:$O1572),3),"")</f>
        <v/>
      </c>
      <c r="XZ1553" s="42" t="str">
        <f t="array" aca="1" ref="XZ1553" ca="1">IFERROR(INDEX(nombres[],SMALL(IF(OFFSET(nombres[],0,0,ROWS(nombres[]),1)=XZ$1490,ROW(OFFSET(nombres[],0,0,ROWS(nombres[]),1))-ROW(OFFSET(nombres[],0,0,1,1))+1,ROW(OFFSET(nombres[],ROWS(nombres[])-1,0,1,1))+1),$O1553:$O1572),3),"")</f>
        <v/>
      </c>
      <c r="YA1553" s="42" t="str">
        <f t="array" aca="1" ref="YA1553" ca="1">IFERROR(INDEX(nombres[],SMALL(IF(OFFSET(nombres[],0,0,ROWS(nombres[]),1)=YA$1490,ROW(OFFSET(nombres[],0,0,ROWS(nombres[]),1))-ROW(OFFSET(nombres[],0,0,1,1))+1,ROW(OFFSET(nombres[],ROWS(nombres[])-1,0,1,1))+1),$O1553:$O1572),3),"")</f>
        <v/>
      </c>
      <c r="YB1553" s="42" t="str">
        <f t="array" aca="1" ref="YB1553" ca="1">IFERROR(INDEX(nombres[],SMALL(IF(OFFSET(nombres[],0,0,ROWS(nombres[]),1)=YB$1490,ROW(OFFSET(nombres[],0,0,ROWS(nombres[]),1))-ROW(OFFSET(nombres[],0,0,1,1))+1,ROW(OFFSET(nombres[],ROWS(nombres[])-1,0,1,1))+1),$O1553:$O1572),3),"")</f>
        <v/>
      </c>
      <c r="YC1553" s="42" t="str">
        <f t="array" aca="1" ref="YC1553" ca="1">IFERROR(INDEX(nombres[],SMALL(IF(OFFSET(nombres[],0,0,ROWS(nombres[]),1)=YC$1490,ROW(OFFSET(nombres[],0,0,ROWS(nombres[]),1))-ROW(OFFSET(nombres[],0,0,1,1))+1,ROW(OFFSET(nombres[],ROWS(nombres[])-1,0,1,1))+1),$O1553:$O1572),3),"")</f>
        <v/>
      </c>
      <c r="YD1553" s="42" t="str">
        <f t="array" aca="1" ref="YD1553" ca="1">IFERROR(INDEX(nombres[],SMALL(IF(OFFSET(nombres[],0,0,ROWS(nombres[]),1)=YD$1490,ROW(OFFSET(nombres[],0,0,ROWS(nombres[]),1))-ROW(OFFSET(nombres[],0,0,1,1))+1,ROW(OFFSET(nombres[],ROWS(nombres[])-1,0,1,1))+1),$O1553:$O1572),3),"")</f>
        <v/>
      </c>
      <c r="YE1553" s="42" t="str">
        <f t="array" aca="1" ref="YE1553" ca="1">IFERROR(INDEX(nombres[],SMALL(IF(OFFSET(nombres[],0,0,ROWS(nombres[]),1)=YE$1490,ROW(OFFSET(nombres[],0,0,ROWS(nombres[]),1))-ROW(OFFSET(nombres[],0,0,1,1))+1,ROW(OFFSET(nombres[],ROWS(nombres[])-1,0,1,1))+1),$O1553:$O1572),3),"")</f>
        <v/>
      </c>
      <c r="YF1553" s="42" t="str">
        <f t="array" aca="1" ref="YF1553" ca="1">IFERROR(INDEX(nombres[],SMALL(IF(OFFSET(nombres[],0,0,ROWS(nombres[]),1)=YF$1490,ROW(OFFSET(nombres[],0,0,ROWS(nombres[]),1))-ROW(OFFSET(nombres[],0,0,1,1))+1,ROW(OFFSET(nombres[],ROWS(nombres[])-1,0,1,1))+1),$O1553:$O1572),3),"")</f>
        <v/>
      </c>
      <c r="YG1553" s="42" t="str">
        <f t="array" aca="1" ref="YG1553" ca="1">IFERROR(INDEX(nombres[],SMALL(IF(OFFSET(nombres[],0,0,ROWS(nombres[]),1)=YG$1490,ROW(OFFSET(nombres[],0,0,ROWS(nombres[]),1))-ROW(OFFSET(nombres[],0,0,1,1))+1,ROW(OFFSET(nombres[],ROWS(nombres[])-1,0,1,1))+1),$O1553:$O1572),3),"")</f>
        <v/>
      </c>
      <c r="YH1553" s="42" t="str">
        <f t="array" aca="1" ref="YH1553" ca="1">IFERROR(INDEX(nombres[],SMALL(IF(OFFSET(nombres[],0,0,ROWS(nombres[]),1)=YH$1490,ROW(OFFSET(nombres[],0,0,ROWS(nombres[]),1))-ROW(OFFSET(nombres[],0,0,1,1))+1,ROW(OFFSET(nombres[],ROWS(nombres[])-1,0,1,1))+1),$O1553:$O1572),3),"")</f>
        <v/>
      </c>
      <c r="YI1553" s="42" t="str">
        <f t="array" aca="1" ref="YI1553" ca="1">IFERROR(INDEX(nombres[],SMALL(IF(OFFSET(nombres[],0,0,ROWS(nombres[]),1)=YI$1490,ROW(OFFSET(nombres[],0,0,ROWS(nombres[]),1))-ROW(OFFSET(nombres[],0,0,1,1))+1,ROW(OFFSET(nombres[],ROWS(nombres[])-1,0,1,1))+1),$O1553:$O1572),3),"")</f>
        <v/>
      </c>
      <c r="YJ1553" s="42" t="str">
        <f t="array" aca="1" ref="YJ1553" ca="1">IFERROR(INDEX(nombres[],SMALL(IF(OFFSET(nombres[],0,0,ROWS(nombres[]),1)=YJ$1490,ROW(OFFSET(nombres[],0,0,ROWS(nombres[]),1))-ROW(OFFSET(nombres[],0,0,1,1))+1,ROW(OFFSET(nombres[],ROWS(nombres[])-1,0,1,1))+1),$O1553:$O1572),3),"")</f>
        <v/>
      </c>
      <c r="YK1553" s="42" t="str">
        <f t="array" aca="1" ref="YK1553" ca="1">IFERROR(INDEX(nombres[],SMALL(IF(OFFSET(nombres[],0,0,ROWS(nombres[]),1)=YK$1490,ROW(OFFSET(nombres[],0,0,ROWS(nombres[]),1))-ROW(OFFSET(nombres[],0,0,1,1))+1,ROW(OFFSET(nombres[],ROWS(nombres[])-1,0,1,1))+1),$O1553:$O1572),3),"")</f>
        <v/>
      </c>
      <c r="YL1553" s="42" t="str">
        <f t="array" aca="1" ref="YL1553" ca="1">IFERROR(INDEX(nombres[],SMALL(IF(OFFSET(nombres[],0,0,ROWS(nombres[]),1)=YL$1490,ROW(OFFSET(nombres[],0,0,ROWS(nombres[]),1))-ROW(OFFSET(nombres[],0,0,1,1))+1,ROW(OFFSET(nombres[],ROWS(nombres[])-1,0,1,1))+1),$O1553:$O1572),3),"")</f>
        <v/>
      </c>
      <c r="YM1553" s="42" t="str">
        <f t="array" aca="1" ref="YM1553" ca="1">IFERROR(INDEX(nombres[],SMALL(IF(OFFSET(nombres[],0,0,ROWS(nombres[]),1)=YM$1490,ROW(OFFSET(nombres[],0,0,ROWS(nombres[]),1))-ROW(OFFSET(nombres[],0,0,1,1))+1,ROW(OFFSET(nombres[],ROWS(nombres[])-1,0,1,1))+1),$O1553:$O1572),3),"")</f>
        <v/>
      </c>
      <c r="YN1553" s="42" t="str">
        <f t="array" aca="1" ref="YN1553" ca="1">IFERROR(INDEX(nombres[],SMALL(IF(OFFSET(nombres[],0,0,ROWS(nombres[]),1)=YN$1490,ROW(OFFSET(nombres[],0,0,ROWS(nombres[]),1))-ROW(OFFSET(nombres[],0,0,1,1))+1,ROW(OFFSET(nombres[],ROWS(nombres[])-1,0,1,1))+1),$O1553:$O1572),3),"")</f>
        <v/>
      </c>
      <c r="YO1553" s="42" t="str">
        <f t="array" aca="1" ref="YO1553" ca="1">IFERROR(INDEX(nombres[],SMALL(IF(OFFSET(nombres[],0,0,ROWS(nombres[]),1)=YO$1490,ROW(OFFSET(nombres[],0,0,ROWS(nombres[]),1))-ROW(OFFSET(nombres[],0,0,1,1))+1,ROW(OFFSET(nombres[],ROWS(nombres[])-1,0,1,1))+1),$O1553:$O1572),3),"")</f>
        <v/>
      </c>
      <c r="YP1553" s="42" t="str">
        <f t="array" aca="1" ref="YP1553" ca="1">IFERROR(INDEX(nombres[],SMALL(IF(OFFSET(nombres[],0,0,ROWS(nombres[]),1)=YP$1490,ROW(OFFSET(nombres[],0,0,ROWS(nombres[]),1))-ROW(OFFSET(nombres[],0,0,1,1))+1,ROW(OFFSET(nombres[],ROWS(nombres[])-1,0,1,1))+1),$O1553:$O1572),3),"")</f>
        <v/>
      </c>
      <c r="YQ1553" s="42" t="str">
        <f t="array" aca="1" ref="YQ1553" ca="1">IFERROR(INDEX(nombres[],SMALL(IF(OFFSET(nombres[],0,0,ROWS(nombres[]),1)=YQ$1490,ROW(OFFSET(nombres[],0,0,ROWS(nombres[]),1))-ROW(OFFSET(nombres[],0,0,1,1))+1,ROW(OFFSET(nombres[],ROWS(nombres[])-1,0,1,1))+1),$O1553:$O1572),3),"")</f>
        <v/>
      </c>
      <c r="YR1553" s="42" t="str">
        <f t="array" aca="1" ref="YR1553" ca="1">IFERROR(INDEX(nombres[],SMALL(IF(OFFSET(nombres[],0,0,ROWS(nombres[]),1)=YR$1490,ROW(OFFSET(nombres[],0,0,ROWS(nombres[]),1))-ROW(OFFSET(nombres[],0,0,1,1))+1,ROW(OFFSET(nombres[],ROWS(nombres[])-1,0,1,1))+1),$O1553:$O1572),3),"")</f>
        <v/>
      </c>
      <c r="YS1553" s="42" t="str">
        <f t="array" aca="1" ref="YS1553" ca="1">IFERROR(INDEX(nombres[],SMALL(IF(OFFSET(nombres[],0,0,ROWS(nombres[]),1)=YS$1490,ROW(OFFSET(nombres[],0,0,ROWS(nombres[]),1))-ROW(OFFSET(nombres[],0,0,1,1))+1,ROW(OFFSET(nombres[],ROWS(nombres[])-1,0,1,1))+1),$O1553:$O1572),3),"")</f>
        <v/>
      </c>
      <c r="YT1553" s="42" t="str">
        <f t="array" aca="1" ref="YT1553" ca="1">IFERROR(INDEX(nombres[],SMALL(IF(OFFSET(nombres[],0,0,ROWS(nombres[]),1)=YT$1490,ROW(OFFSET(nombres[],0,0,ROWS(nombres[]),1))-ROW(OFFSET(nombres[],0,0,1,1))+1,ROW(OFFSET(nombres[],ROWS(nombres[])-1,0,1,1))+1),$O1553:$O1572),3),"")</f>
        <v/>
      </c>
      <c r="YU1553" s="42" t="str">
        <f t="array" aca="1" ref="YU1553" ca="1">IFERROR(INDEX(nombres[],SMALL(IF(OFFSET(nombres[],0,0,ROWS(nombres[]),1)=YU$1490,ROW(OFFSET(nombres[],0,0,ROWS(nombres[]),1))-ROW(OFFSET(nombres[],0,0,1,1))+1,ROW(OFFSET(nombres[],ROWS(nombres[])-1,0,1,1))+1),$O1553:$O1572),3),"")</f>
        <v/>
      </c>
      <c r="YV1553" s="42" t="str">
        <f t="array" aca="1" ref="YV1553" ca="1">IFERROR(INDEX(nombres[],SMALL(IF(OFFSET(nombres[],0,0,ROWS(nombres[]),1)=YV$1490,ROW(OFFSET(nombres[],0,0,ROWS(nombres[]),1))-ROW(OFFSET(nombres[],0,0,1,1))+1,ROW(OFFSET(nombres[],ROWS(nombres[])-1,0,1,1))+1),$O1553:$O1572),3),"")</f>
        <v/>
      </c>
      <c r="YW1553" s="42" t="str">
        <f t="array" aca="1" ref="YW1553" ca="1">IFERROR(INDEX(nombres[],SMALL(IF(OFFSET(nombres[],0,0,ROWS(nombres[]),1)=YW$1490,ROW(OFFSET(nombres[],0,0,ROWS(nombres[]),1))-ROW(OFFSET(nombres[],0,0,1,1))+1,ROW(OFFSET(nombres[],ROWS(nombres[])-1,0,1,1))+1),$O1553:$O1572),3),"")</f>
        <v/>
      </c>
      <c r="YX1553" s="42" t="str">
        <f t="array" aca="1" ref="YX1553" ca="1">IFERROR(INDEX(nombres[],SMALL(IF(OFFSET(nombres[],0,0,ROWS(nombres[]),1)=YX$1490,ROW(OFFSET(nombres[],0,0,ROWS(nombres[]),1))-ROW(OFFSET(nombres[],0,0,1,1))+1,ROW(OFFSET(nombres[],ROWS(nombres[])-1,0,1,1))+1),$O1553:$O1572),3),"")</f>
        <v/>
      </c>
      <c r="YY1553" s="42" t="str">
        <f t="array" aca="1" ref="YY1553" ca="1">IFERROR(INDEX(nombres[],SMALL(IF(OFFSET(nombres[],0,0,ROWS(nombres[]),1)=YY$1490,ROW(OFFSET(nombres[],0,0,ROWS(nombres[]),1))-ROW(OFFSET(nombres[],0,0,1,1))+1,ROW(OFFSET(nombres[],ROWS(nombres[])-1,0,1,1))+1),$O1553:$O1572),3),"")</f>
        <v/>
      </c>
      <c r="YZ1553" s="42" t="str">
        <f t="array" aca="1" ref="YZ1553" ca="1">IFERROR(INDEX(nombres[],SMALL(IF(OFFSET(nombres[],0,0,ROWS(nombres[]),1)=YZ$1490,ROW(OFFSET(nombres[],0,0,ROWS(nombres[]),1))-ROW(OFFSET(nombres[],0,0,1,1))+1,ROW(OFFSET(nombres[],ROWS(nombres[])-1,0,1,1))+1),$O1553:$O1572),3),"")</f>
        <v/>
      </c>
      <c r="ZA1553" s="42" t="str">
        <f t="array" aca="1" ref="ZA1553" ca="1">IFERROR(INDEX(nombres[],SMALL(IF(OFFSET(nombres[],0,0,ROWS(nombres[]),1)=ZA$1490,ROW(OFFSET(nombres[],0,0,ROWS(nombres[]),1))-ROW(OFFSET(nombres[],0,0,1,1))+1,ROW(OFFSET(nombres[],ROWS(nombres[])-1,0,1,1))+1),$O1553:$O1572),3),"")</f>
        <v/>
      </c>
      <c r="ZB1553" s="42" t="str">
        <f t="array" aca="1" ref="ZB1553" ca="1">IFERROR(INDEX(nombres[],SMALL(IF(OFFSET(nombres[],0,0,ROWS(nombres[]),1)=ZB$1490,ROW(OFFSET(nombres[],0,0,ROWS(nombres[]),1))-ROW(OFFSET(nombres[],0,0,1,1))+1,ROW(OFFSET(nombres[],ROWS(nombres[])-1,0,1,1))+1),$O1553:$O1572),3),"")</f>
        <v/>
      </c>
      <c r="ZC1553" s="42" t="str">
        <f t="array" aca="1" ref="ZC1553" ca="1">IFERROR(INDEX(nombres[],SMALL(IF(OFFSET(nombres[],0,0,ROWS(nombres[]),1)=ZC$1490,ROW(OFFSET(nombres[],0,0,ROWS(nombres[]),1))-ROW(OFFSET(nombres[],0,0,1,1))+1,ROW(OFFSET(nombres[],ROWS(nombres[])-1,0,1,1))+1),$O1553:$O1572),3),"")</f>
        <v/>
      </c>
      <c r="ZD1553" s="42" t="str">
        <f t="array" aca="1" ref="ZD1553" ca="1">IFERROR(INDEX(nombres[],SMALL(IF(OFFSET(nombres[],0,0,ROWS(nombres[]),1)=ZD$1490,ROW(OFFSET(nombres[],0,0,ROWS(nombres[]),1))-ROW(OFFSET(nombres[],0,0,1,1))+1,ROW(OFFSET(nombres[],ROWS(nombres[])-1,0,1,1))+1),$O1553:$O1572),3),"")</f>
        <v/>
      </c>
      <c r="ZE1553" s="42" t="str">
        <f t="array" aca="1" ref="ZE1553" ca="1">IFERROR(INDEX(nombres[],SMALL(IF(OFFSET(nombres[],0,0,ROWS(nombres[]),1)=ZE$1490,ROW(OFFSET(nombres[],0,0,ROWS(nombres[]),1))-ROW(OFFSET(nombres[],0,0,1,1))+1,ROW(OFFSET(nombres[],ROWS(nombres[])-1,0,1,1))+1),$O1553:$O1572),3),"")</f>
        <v/>
      </c>
      <c r="ZF1553" s="42" t="str">
        <f t="array" aca="1" ref="ZF1553" ca="1">IFERROR(INDEX(nombres[],SMALL(IF(OFFSET(nombres[],0,0,ROWS(nombres[]),1)=ZF$1490,ROW(OFFSET(nombres[],0,0,ROWS(nombres[]),1))-ROW(OFFSET(nombres[],0,0,1,1))+1,ROW(OFFSET(nombres[],ROWS(nombres[])-1,0,1,1))+1),$O1553:$O1572),3),"")</f>
        <v/>
      </c>
      <c r="ZG1553" s="42" t="str">
        <f t="array" aca="1" ref="ZG1553" ca="1">IFERROR(INDEX(nombres[],SMALL(IF(OFFSET(nombres[],0,0,ROWS(nombres[]),1)=ZG$1490,ROW(OFFSET(nombres[],0,0,ROWS(nombres[]),1))-ROW(OFFSET(nombres[],0,0,1,1))+1,ROW(OFFSET(nombres[],ROWS(nombres[])-1,0,1,1))+1),$O1553:$O1572),3),"")</f>
        <v/>
      </c>
      <c r="ZH1553" s="42" t="str">
        <f t="array" aca="1" ref="ZH1553" ca="1">IFERROR(INDEX(nombres[],SMALL(IF(OFFSET(nombres[],0,0,ROWS(nombres[]),1)=ZH$1490,ROW(OFFSET(nombres[],0,0,ROWS(nombres[]),1))-ROW(OFFSET(nombres[],0,0,1,1))+1,ROW(OFFSET(nombres[],ROWS(nombres[])-1,0,1,1))+1),$O1553:$O1572),3),"")</f>
        <v/>
      </c>
      <c r="ZI1553" s="42" t="str">
        <f t="array" aca="1" ref="ZI1553" ca="1">IFERROR(INDEX(nombres[],SMALL(IF(OFFSET(nombres[],0,0,ROWS(nombres[]),1)=ZI$1490,ROW(OFFSET(nombres[],0,0,ROWS(nombres[]),1))-ROW(OFFSET(nombres[],0,0,1,1))+1,ROW(OFFSET(nombres[],ROWS(nombres[])-1,0,1,1))+1),$O1553:$O1572),3),"")</f>
        <v/>
      </c>
      <c r="ZJ1553" s="42" t="str">
        <f t="array" aca="1" ref="ZJ1553" ca="1">IFERROR(INDEX(nombres[],SMALL(IF(OFFSET(nombres[],0,0,ROWS(nombres[]),1)=ZJ$1490,ROW(OFFSET(nombres[],0,0,ROWS(nombres[]),1))-ROW(OFFSET(nombres[],0,0,1,1))+1,ROW(OFFSET(nombres[],ROWS(nombres[])-1,0,1,1))+1),$O1553:$O1572),3),"")</f>
        <v/>
      </c>
      <c r="ZK1553" s="42" t="str">
        <f t="array" aca="1" ref="ZK1553" ca="1">IFERROR(INDEX(nombres[],SMALL(IF(OFFSET(nombres[],0,0,ROWS(nombres[]),1)=ZK$1490,ROW(OFFSET(nombres[],0,0,ROWS(nombres[]),1))-ROW(OFFSET(nombres[],0,0,1,1))+1,ROW(OFFSET(nombres[],ROWS(nombres[])-1,0,1,1))+1),$O1553:$O1572),3),"")</f>
        <v/>
      </c>
      <c r="ZL1553" s="42" t="str">
        <f t="array" aca="1" ref="ZL1553" ca="1">IFERROR(INDEX(nombres[],SMALL(IF(OFFSET(nombres[],0,0,ROWS(nombres[]),1)=ZL$1490,ROW(OFFSET(nombres[],0,0,ROWS(nombres[]),1))-ROW(OFFSET(nombres[],0,0,1,1))+1,ROW(OFFSET(nombres[],ROWS(nombres[])-1,0,1,1))+1),$O1553:$O1572),3),"")</f>
        <v/>
      </c>
      <c r="ZM1553" s="42" t="str">
        <f t="array" aca="1" ref="ZM1553" ca="1">IFERROR(INDEX(nombres[],SMALL(IF(OFFSET(nombres[],0,0,ROWS(nombres[]),1)=ZM$1490,ROW(OFFSET(nombres[],0,0,ROWS(nombres[]),1))-ROW(OFFSET(nombres[],0,0,1,1))+1,ROW(OFFSET(nombres[],ROWS(nombres[])-1,0,1,1))+1),$O1553:$O1572),3),"")</f>
        <v/>
      </c>
      <c r="ZN1553" s="42" t="str">
        <f t="array" aca="1" ref="ZN1553" ca="1">IFERROR(INDEX(nombres[],SMALL(IF(OFFSET(nombres[],0,0,ROWS(nombres[]),1)=ZN$1490,ROW(OFFSET(nombres[],0,0,ROWS(nombres[]),1))-ROW(OFFSET(nombres[],0,0,1,1))+1,ROW(OFFSET(nombres[],ROWS(nombres[])-1,0,1,1))+1),$O1553:$O1572),3),"")</f>
        <v/>
      </c>
      <c r="ZO1553" s="42" t="str">
        <f t="array" aca="1" ref="ZO1553" ca="1">IFERROR(INDEX(nombres[],SMALL(IF(OFFSET(nombres[],0,0,ROWS(nombres[]),1)=ZO$1490,ROW(OFFSET(nombres[],0,0,ROWS(nombres[]),1))-ROW(OFFSET(nombres[],0,0,1,1))+1,ROW(OFFSET(nombres[],ROWS(nombres[])-1,0,1,1))+1),$O1553:$O1572),3),"")</f>
        <v/>
      </c>
      <c r="ZP1553" s="42" t="str">
        <f t="array" aca="1" ref="ZP1553" ca="1">IFERROR(INDEX(nombres[],SMALL(IF(OFFSET(nombres[],0,0,ROWS(nombres[]),1)=ZP$1490,ROW(OFFSET(nombres[],0,0,ROWS(nombres[]),1))-ROW(OFFSET(nombres[],0,0,1,1))+1,ROW(OFFSET(nombres[],ROWS(nombres[])-1,0,1,1))+1),$O1553:$O1572),3),"")</f>
        <v/>
      </c>
      <c r="ZQ1553" s="42" t="str">
        <f t="array" aca="1" ref="ZQ1553" ca="1">IFERROR(INDEX(nombres[],SMALL(IF(OFFSET(nombres[],0,0,ROWS(nombres[]),1)=ZQ$1490,ROW(OFFSET(nombres[],0,0,ROWS(nombres[]),1))-ROW(OFFSET(nombres[],0,0,1,1))+1,ROW(OFFSET(nombres[],ROWS(nombres[])-1,0,1,1))+1),$O1553:$O1572),3),"")</f>
        <v/>
      </c>
      <c r="ZR1553" s="42" t="str">
        <f t="array" aca="1" ref="ZR1553" ca="1">IFERROR(INDEX(nombres[],SMALL(IF(OFFSET(nombres[],0,0,ROWS(nombres[]),1)=ZR$1490,ROW(OFFSET(nombres[],0,0,ROWS(nombres[]),1))-ROW(OFFSET(nombres[],0,0,1,1))+1,ROW(OFFSET(nombres[],ROWS(nombres[])-1,0,1,1))+1),$O1553:$O1572),3),"")</f>
        <v/>
      </c>
      <c r="ZS1553" s="42" t="str">
        <f t="array" aca="1" ref="ZS1553" ca="1">IFERROR(INDEX(nombres[],SMALL(IF(OFFSET(nombres[],0,0,ROWS(nombres[]),1)=ZS$1490,ROW(OFFSET(nombres[],0,0,ROWS(nombres[]),1))-ROW(OFFSET(nombres[],0,0,1,1))+1,ROW(OFFSET(nombres[],ROWS(nombres[])-1,0,1,1))+1),$O1553:$O1572),3),"")</f>
        <v/>
      </c>
      <c r="ZT1553" s="42" t="str">
        <f t="array" aca="1" ref="ZT1553" ca="1">IFERROR(INDEX(nombres[],SMALL(IF(OFFSET(nombres[],0,0,ROWS(nombres[]),1)=ZT$1490,ROW(OFFSET(nombres[],0,0,ROWS(nombres[]),1))-ROW(OFFSET(nombres[],0,0,1,1))+1,ROW(OFFSET(nombres[],ROWS(nombres[])-1,0,1,1))+1),$O1553:$O1572),3),"")</f>
        <v/>
      </c>
      <c r="ZU1553" s="42" t="str">
        <f t="array" aca="1" ref="ZU1553" ca="1">IFERROR(INDEX(nombres[],SMALL(IF(OFFSET(nombres[],0,0,ROWS(nombres[]),1)=ZU$1490,ROW(OFFSET(nombres[],0,0,ROWS(nombres[]),1))-ROW(OFFSET(nombres[],0,0,1,1))+1,ROW(OFFSET(nombres[],ROWS(nombres[])-1,0,1,1))+1),$O1553:$O1572),3),"")</f>
        <v/>
      </c>
      <c r="ZV1553" s="42" t="str">
        <f t="array" aca="1" ref="ZV1553" ca="1">IFERROR(INDEX(nombres[],SMALL(IF(OFFSET(nombres[],0,0,ROWS(nombres[]),1)=ZV$1490,ROW(OFFSET(nombres[],0,0,ROWS(nombres[]),1))-ROW(OFFSET(nombres[],0,0,1,1))+1,ROW(OFFSET(nombres[],ROWS(nombres[])-1,0,1,1))+1),$O1553:$O1572),3),"")</f>
        <v/>
      </c>
      <c r="ZW1553" s="42" t="str">
        <f t="array" aca="1" ref="ZW1553" ca="1">IFERROR(INDEX(nombres[],SMALL(IF(OFFSET(nombres[],0,0,ROWS(nombres[]),1)=ZW$1490,ROW(OFFSET(nombres[],0,0,ROWS(nombres[]),1))-ROW(OFFSET(nombres[],0,0,1,1))+1,ROW(OFFSET(nombres[],ROWS(nombres[])-1,0,1,1))+1),$O1553:$O1572),3),"")</f>
        <v/>
      </c>
      <c r="ZX1553" s="42" t="str">
        <f t="array" aca="1" ref="ZX1553" ca="1">IFERROR(INDEX(nombres[],SMALL(IF(OFFSET(nombres[],0,0,ROWS(nombres[]),1)=ZX$1490,ROW(OFFSET(nombres[],0,0,ROWS(nombres[]),1))-ROW(OFFSET(nombres[],0,0,1,1))+1,ROW(OFFSET(nombres[],ROWS(nombres[])-1,0,1,1))+1),$O1553:$O1572),3),"")</f>
        <v/>
      </c>
      <c r="ZY1553" s="42" t="str">
        <f t="array" aca="1" ref="ZY1553" ca="1">IFERROR(INDEX(nombres[],SMALL(IF(OFFSET(nombres[],0,0,ROWS(nombres[]),1)=ZY$1490,ROW(OFFSET(nombres[],0,0,ROWS(nombres[]),1))-ROW(OFFSET(nombres[],0,0,1,1))+1,ROW(OFFSET(nombres[],ROWS(nombres[])-1,0,1,1))+1),$O1553:$O1572),3),"")</f>
        <v/>
      </c>
      <c r="ZZ1553" s="42" t="str">
        <f t="array" aca="1" ref="ZZ1553" ca="1">IFERROR(INDEX(nombres[],SMALL(IF(OFFSET(nombres[],0,0,ROWS(nombres[]),1)=ZZ$1490,ROW(OFFSET(nombres[],0,0,ROWS(nombres[]),1))-ROW(OFFSET(nombres[],0,0,1,1))+1,ROW(OFFSET(nombres[],ROWS(nombres[])-1,0,1,1))+1),$O1553:$O1572),3),"")</f>
        <v/>
      </c>
      <c r="AAA1553" s="42" t="str">
        <f t="array" aca="1" ref="AAA1553" ca="1">IFERROR(INDEX(nombres[],SMALL(IF(OFFSET(nombres[],0,0,ROWS(nombres[]),1)=AAA$1490,ROW(OFFSET(nombres[],0,0,ROWS(nombres[]),1))-ROW(OFFSET(nombres[],0,0,1,1))+1,ROW(OFFSET(nombres[],ROWS(nombres[])-1,0,1,1))+1),$O1553:$O1572),3),"")</f>
        <v/>
      </c>
      <c r="AAB1553" s="42" t="str">
        <f t="array" aca="1" ref="AAB1553" ca="1">IFERROR(INDEX(nombres[],SMALL(IF(OFFSET(nombres[],0,0,ROWS(nombres[]),1)=AAB$1490,ROW(OFFSET(nombres[],0,0,ROWS(nombres[]),1))-ROW(OFFSET(nombres[],0,0,1,1))+1,ROW(OFFSET(nombres[],ROWS(nombres[])-1,0,1,1))+1),$O1553:$O1572),3),"")</f>
        <v/>
      </c>
      <c r="AAC1553" s="42" t="str">
        <f t="array" aca="1" ref="AAC1553" ca="1">IFERROR(INDEX(nombres[],SMALL(IF(OFFSET(nombres[],0,0,ROWS(nombres[]),1)=AAC$1490,ROW(OFFSET(nombres[],0,0,ROWS(nombres[]),1))-ROW(OFFSET(nombres[],0,0,1,1))+1,ROW(OFFSET(nombres[],ROWS(nombres[])-1,0,1,1))+1),$O1553:$O1572),3),"")</f>
        <v/>
      </c>
      <c r="AAD1553" s="42" t="str">
        <f t="array" aca="1" ref="AAD1553" ca="1">IFERROR(INDEX(nombres[],SMALL(IF(OFFSET(nombres[],0,0,ROWS(nombres[]),1)=AAD$1490,ROW(OFFSET(nombres[],0,0,ROWS(nombres[]),1))-ROW(OFFSET(nombres[],0,0,1,1))+1,ROW(OFFSET(nombres[],ROWS(nombres[])-1,0,1,1))+1),$O1553:$O1572),3),"")</f>
        <v/>
      </c>
      <c r="AAE1553" s="42" t="str">
        <f t="array" aca="1" ref="AAE1553" ca="1">IFERROR(INDEX(nombres[],SMALL(IF(OFFSET(nombres[],0,0,ROWS(nombres[]),1)=AAE$1490,ROW(OFFSET(nombres[],0,0,ROWS(nombres[]),1))-ROW(OFFSET(nombres[],0,0,1,1))+1,ROW(OFFSET(nombres[],ROWS(nombres[])-1,0,1,1))+1),$O1553:$O1572),3),"")</f>
        <v/>
      </c>
      <c r="AAF1553" s="42" t="str">
        <f t="array" aca="1" ref="AAF1553" ca="1">IFERROR(INDEX(nombres[],SMALL(IF(OFFSET(nombres[],0,0,ROWS(nombres[]),1)=AAF$1490,ROW(OFFSET(nombres[],0,0,ROWS(nombres[]),1))-ROW(OFFSET(nombres[],0,0,1,1))+1,ROW(OFFSET(nombres[],ROWS(nombres[])-1,0,1,1))+1),$O1553:$O1572),3),"")</f>
        <v/>
      </c>
      <c r="AAG1553" s="42" t="str">
        <f t="array" aca="1" ref="AAG1553" ca="1">IFERROR(INDEX(nombres[],SMALL(IF(OFFSET(nombres[],0,0,ROWS(nombres[]),1)=AAG$1490,ROW(OFFSET(nombres[],0,0,ROWS(nombres[]),1))-ROW(OFFSET(nombres[],0,0,1,1))+1,ROW(OFFSET(nombres[],ROWS(nombres[])-1,0,1,1))+1),$O1553:$O1572),3),"")</f>
        <v/>
      </c>
      <c r="AAH1553" s="42" t="str">
        <f t="array" aca="1" ref="AAH1553" ca="1">IFERROR(INDEX(nombres[],SMALL(IF(OFFSET(nombres[],0,0,ROWS(nombres[]),1)=AAH$1490,ROW(OFFSET(nombres[],0,0,ROWS(nombres[]),1))-ROW(OFFSET(nombres[],0,0,1,1))+1,ROW(OFFSET(nombres[],ROWS(nombres[])-1,0,1,1))+1),$O1553:$O1572),3),"")</f>
        <v/>
      </c>
      <c r="AAI1553" s="42" t="str">
        <f t="array" aca="1" ref="AAI1553" ca="1">IFERROR(INDEX(nombres[],SMALL(IF(OFFSET(nombres[],0,0,ROWS(nombres[]),1)=AAI$1490,ROW(OFFSET(nombres[],0,0,ROWS(nombres[]),1))-ROW(OFFSET(nombres[],0,0,1,1))+1,ROW(OFFSET(nombres[],ROWS(nombres[])-1,0,1,1))+1),$O1553:$O1572),3),"")</f>
        <v/>
      </c>
      <c r="AAJ1553" s="42" t="str">
        <f t="array" aca="1" ref="AAJ1553" ca="1">IFERROR(INDEX(nombres[],SMALL(IF(OFFSET(nombres[],0,0,ROWS(nombres[]),1)=AAJ$1490,ROW(OFFSET(nombres[],0,0,ROWS(nombres[]),1))-ROW(OFFSET(nombres[],0,0,1,1))+1,ROW(OFFSET(nombres[],ROWS(nombres[])-1,0,1,1))+1),$O1553:$O1572),3),"")</f>
        <v/>
      </c>
      <c r="AAK1553" s="42" t="str">
        <f t="array" aca="1" ref="AAK1553" ca="1">IFERROR(INDEX(nombres[],SMALL(IF(OFFSET(nombres[],0,0,ROWS(nombres[]),1)=AAK$1490,ROW(OFFSET(nombres[],0,0,ROWS(nombres[]),1))-ROW(OFFSET(nombres[],0,0,1,1))+1,ROW(OFFSET(nombres[],ROWS(nombres[])-1,0,1,1))+1),$O1553:$O1572),3),"")</f>
        <v/>
      </c>
      <c r="AAL1553" s="42" t="str">
        <f t="array" aca="1" ref="AAL1553" ca="1">IFERROR(INDEX(nombres[],SMALL(IF(OFFSET(nombres[],0,0,ROWS(nombres[]),1)=AAL$1490,ROW(OFFSET(nombres[],0,0,ROWS(nombres[]),1))-ROW(OFFSET(nombres[],0,0,1,1))+1,ROW(OFFSET(nombres[],ROWS(nombres[])-1,0,1,1))+1),$O1553:$O1572),3),"")</f>
        <v/>
      </c>
      <c r="AAM1553" s="42" t="str">
        <f t="array" aca="1" ref="AAM1553" ca="1">IFERROR(INDEX(nombres[],SMALL(IF(OFFSET(nombres[],0,0,ROWS(nombres[]),1)=AAM$1490,ROW(OFFSET(nombres[],0,0,ROWS(nombres[]),1))-ROW(OFFSET(nombres[],0,0,1,1))+1,ROW(OFFSET(nombres[],ROWS(nombres[])-1,0,1,1))+1),$O1553:$O1572),3),"")</f>
        <v/>
      </c>
      <c r="AAN1553" s="42" t="str">
        <f t="array" aca="1" ref="AAN1553" ca="1">IFERROR(INDEX(nombres[],SMALL(IF(OFFSET(nombres[],0,0,ROWS(nombres[]),1)=AAN$1490,ROW(OFFSET(nombres[],0,0,ROWS(nombres[]),1))-ROW(OFFSET(nombres[],0,0,1,1))+1,ROW(OFFSET(nombres[],ROWS(nombres[])-1,0,1,1))+1),$O1553:$O1572),3),"")</f>
        <v/>
      </c>
      <c r="AAO1553" s="42" t="str">
        <f t="array" aca="1" ref="AAO1553" ca="1">IFERROR(INDEX(nombres[],SMALL(IF(OFFSET(nombres[],0,0,ROWS(nombres[]),1)=AAO$1490,ROW(OFFSET(nombres[],0,0,ROWS(nombres[]),1))-ROW(OFFSET(nombres[],0,0,1,1))+1,ROW(OFFSET(nombres[],ROWS(nombres[])-1,0,1,1))+1),$O1553:$O1572),3),"")</f>
        <v/>
      </c>
      <c r="AAP1553" s="42" t="str">
        <f t="array" aca="1" ref="AAP1553" ca="1">IFERROR(INDEX(nombres[],SMALL(IF(OFFSET(nombres[],0,0,ROWS(nombres[]),1)=AAP$1490,ROW(OFFSET(nombres[],0,0,ROWS(nombres[]),1))-ROW(OFFSET(nombres[],0,0,1,1))+1,ROW(OFFSET(nombres[],ROWS(nombres[])-1,0,1,1))+1),$O1553:$O1572),3),"")</f>
        <v/>
      </c>
      <c r="AAQ1553" s="42" t="str">
        <f t="array" aca="1" ref="AAQ1553" ca="1">IFERROR(INDEX(nombres[],SMALL(IF(OFFSET(nombres[],0,0,ROWS(nombres[]),1)=AAQ$1490,ROW(OFFSET(nombres[],0,0,ROWS(nombres[]),1))-ROW(OFFSET(nombres[],0,0,1,1))+1,ROW(OFFSET(nombres[],ROWS(nombres[])-1,0,1,1))+1),$O1553:$O1572),3),"")</f>
        <v/>
      </c>
      <c r="AAR1553" s="42" t="str">
        <f t="array" aca="1" ref="AAR1553" ca="1">IFERROR(INDEX(nombres[],SMALL(IF(OFFSET(nombres[],0,0,ROWS(nombres[]),1)=AAR$1490,ROW(OFFSET(nombres[],0,0,ROWS(nombres[]),1))-ROW(OFFSET(nombres[],0,0,1,1))+1,ROW(OFFSET(nombres[],ROWS(nombres[])-1,0,1,1))+1),$O1553:$O1572),3),"")</f>
        <v/>
      </c>
      <c r="AAS1553" s="42" t="str">
        <f t="array" aca="1" ref="AAS1553" ca="1">IFERROR(INDEX(nombres[],SMALL(IF(OFFSET(nombres[],0,0,ROWS(nombres[]),1)=AAS$1490,ROW(OFFSET(nombres[],0,0,ROWS(nombres[]),1))-ROW(OFFSET(nombres[],0,0,1,1))+1,ROW(OFFSET(nombres[],ROWS(nombres[])-1,0,1,1))+1),$O1553:$O1572),3),"")</f>
        <v/>
      </c>
      <c r="AAT1553" s="42" t="str">
        <f t="array" aca="1" ref="AAT1553" ca="1">IFERROR(INDEX(nombres[],SMALL(IF(OFFSET(nombres[],0,0,ROWS(nombres[]),1)=AAT$1490,ROW(OFFSET(nombres[],0,0,ROWS(nombres[]),1))-ROW(OFFSET(nombres[],0,0,1,1))+1,ROW(OFFSET(nombres[],ROWS(nombres[])-1,0,1,1))+1),$O1553:$O1572),3),"")</f>
        <v/>
      </c>
      <c r="AAU1553" s="42" t="str">
        <f t="array" aca="1" ref="AAU1553" ca="1">IFERROR(INDEX(nombres[],SMALL(IF(OFFSET(nombres[],0,0,ROWS(nombres[]),1)=AAU$1490,ROW(OFFSET(nombres[],0,0,ROWS(nombres[]),1))-ROW(OFFSET(nombres[],0,0,1,1))+1,ROW(OFFSET(nombres[],ROWS(nombres[])-1,0,1,1))+1),$O1553:$O1572),3),"")</f>
        <v/>
      </c>
      <c r="AAV1553" s="42" t="str">
        <f t="array" aca="1" ref="AAV1553" ca="1">IFERROR(INDEX(nombres[],SMALL(IF(OFFSET(nombres[],0,0,ROWS(nombres[]),1)=AAV$1490,ROW(OFFSET(nombres[],0,0,ROWS(nombres[]),1))-ROW(OFFSET(nombres[],0,0,1,1))+1,ROW(OFFSET(nombres[],ROWS(nombres[])-1,0,1,1))+1),$O1553:$O1572),3),"")</f>
        <v/>
      </c>
      <c r="AAW1553" s="42" t="str">
        <f t="array" aca="1" ref="AAW1553" ca="1">IFERROR(INDEX(nombres[],SMALL(IF(OFFSET(nombres[],0,0,ROWS(nombres[]),1)=AAW$1490,ROW(OFFSET(nombres[],0,0,ROWS(nombres[]),1))-ROW(OFFSET(nombres[],0,0,1,1))+1,ROW(OFFSET(nombres[],ROWS(nombres[])-1,0,1,1))+1),$O1553:$O1572),3),"")</f>
        <v/>
      </c>
      <c r="AAX1553" s="42" t="str">
        <f t="array" aca="1" ref="AAX1553" ca="1">IFERROR(INDEX(nombres[],SMALL(IF(OFFSET(nombres[],0,0,ROWS(nombres[]),1)=AAX$1490,ROW(OFFSET(nombres[],0,0,ROWS(nombres[]),1))-ROW(OFFSET(nombres[],0,0,1,1))+1,ROW(OFFSET(nombres[],ROWS(nombres[])-1,0,1,1))+1),$O1553:$O1572),3),"")</f>
        <v/>
      </c>
      <c r="AAY1553" s="42" t="str">
        <f t="array" aca="1" ref="AAY1553" ca="1">IFERROR(INDEX(nombres[],SMALL(IF(OFFSET(nombres[],0,0,ROWS(nombres[]),1)=AAY$1490,ROW(OFFSET(nombres[],0,0,ROWS(nombres[]),1))-ROW(OFFSET(nombres[],0,0,1,1))+1,ROW(OFFSET(nombres[],ROWS(nombres[])-1,0,1,1))+1),$O1553:$O1572),3),"")</f>
        <v/>
      </c>
      <c r="AAZ1553" s="42" t="str">
        <f t="array" aca="1" ref="AAZ1553" ca="1">IFERROR(INDEX(nombres[],SMALL(IF(OFFSET(nombres[],0,0,ROWS(nombres[]),1)=AAZ$1490,ROW(OFFSET(nombres[],0,0,ROWS(nombres[]),1))-ROW(OFFSET(nombres[],0,0,1,1))+1,ROW(OFFSET(nombres[],ROWS(nombres[])-1,0,1,1))+1),$O1553:$O1572),3),"")</f>
        <v/>
      </c>
      <c r="ABA1553" s="42" t="str">
        <f t="array" aca="1" ref="ABA1553" ca="1">IFERROR(INDEX(nombres[],SMALL(IF(OFFSET(nombres[],0,0,ROWS(nombres[]),1)=ABA$1490,ROW(OFFSET(nombres[],0,0,ROWS(nombres[]),1))-ROW(OFFSET(nombres[],0,0,1,1))+1,ROW(OFFSET(nombres[],ROWS(nombres[])-1,0,1,1))+1),$O1553:$O1572),3),"")</f>
        <v/>
      </c>
      <c r="ABB1553" s="42" t="str">
        <f t="array" aca="1" ref="ABB1553" ca="1">IFERROR(INDEX(nombres[],SMALL(IF(OFFSET(nombres[],0,0,ROWS(nombres[]),1)=ABB$1490,ROW(OFFSET(nombres[],0,0,ROWS(nombres[]),1))-ROW(OFFSET(nombres[],0,0,1,1))+1,ROW(OFFSET(nombres[],ROWS(nombres[])-1,0,1,1))+1),$O1553:$O1572),3),"")</f>
        <v/>
      </c>
      <c r="ABC1553" s="42" t="str">
        <f t="array" aca="1" ref="ABC1553" ca="1">IFERROR(INDEX(nombres[],SMALL(IF(OFFSET(nombres[],0,0,ROWS(nombres[]),1)=ABC$1490,ROW(OFFSET(nombres[],0,0,ROWS(nombres[]),1))-ROW(OFFSET(nombres[],0,0,1,1))+1,ROW(OFFSET(nombres[],ROWS(nombres[])-1,0,1,1))+1),$O1553:$O1572),3),"")</f>
        <v/>
      </c>
      <c r="ABD1553" s="42" t="str">
        <f t="array" aca="1" ref="ABD1553" ca="1">IFERROR(INDEX(nombres[],SMALL(IF(OFFSET(nombres[],0,0,ROWS(nombres[]),1)=ABD$1490,ROW(OFFSET(nombres[],0,0,ROWS(nombres[]),1))-ROW(OFFSET(nombres[],0,0,1,1))+1,ROW(OFFSET(nombres[],ROWS(nombres[])-1,0,1,1))+1),$O1553:$O1572),3),"")</f>
        <v/>
      </c>
      <c r="ABE1553" s="42" t="str">
        <f t="array" aca="1" ref="ABE1553" ca="1">IFERROR(INDEX(nombres[],SMALL(IF(OFFSET(nombres[],0,0,ROWS(nombres[]),1)=ABE$1490,ROW(OFFSET(nombres[],0,0,ROWS(nombres[]),1))-ROW(OFFSET(nombres[],0,0,1,1))+1,ROW(OFFSET(nombres[],ROWS(nombres[])-1,0,1,1))+1),$O1553:$O1572),3),"")</f>
        <v/>
      </c>
      <c r="ABF1553" s="42" t="str">
        <f t="array" aca="1" ref="ABF1553" ca="1">IFERROR(INDEX(nombres[],SMALL(IF(OFFSET(nombres[],0,0,ROWS(nombres[]),1)=ABF$1490,ROW(OFFSET(nombres[],0,0,ROWS(nombres[]),1))-ROW(OFFSET(nombres[],0,0,1,1))+1,ROW(OFFSET(nombres[],ROWS(nombres[])-1,0,1,1))+1),$O1553:$O1572),3),"")</f>
        <v/>
      </c>
      <c r="ABG1553" s="42" t="str">
        <f t="array" aca="1" ref="ABG1553" ca="1">IFERROR(INDEX(nombres[],SMALL(IF(OFFSET(nombres[],0,0,ROWS(nombres[]),1)=ABG$1490,ROW(OFFSET(nombres[],0,0,ROWS(nombres[]),1))-ROW(OFFSET(nombres[],0,0,1,1))+1,ROW(OFFSET(nombres[],ROWS(nombres[])-1,0,1,1))+1),$O1553:$O1572),3),"")</f>
        <v/>
      </c>
      <c r="ABH1553" s="42" t="str">
        <f t="array" aca="1" ref="ABH1553" ca="1">IFERROR(INDEX(nombres[],SMALL(IF(OFFSET(nombres[],0,0,ROWS(nombres[]),1)=ABH$1490,ROW(OFFSET(nombres[],0,0,ROWS(nombres[]),1))-ROW(OFFSET(nombres[],0,0,1,1))+1,ROW(OFFSET(nombres[],ROWS(nombres[])-1,0,1,1))+1),$O1553:$O1572),3),"")</f>
        <v/>
      </c>
      <c r="ABI1553" s="42" t="str">
        <f t="array" aca="1" ref="ABI1553" ca="1">IFERROR(INDEX(nombres[],SMALL(IF(OFFSET(nombres[],0,0,ROWS(nombres[]),1)=ABI$1490,ROW(OFFSET(nombres[],0,0,ROWS(nombres[]),1))-ROW(OFFSET(nombres[],0,0,1,1))+1,ROW(OFFSET(nombres[],ROWS(nombres[])-1,0,1,1))+1),$O1553:$O1572),3),"")</f>
        <v/>
      </c>
      <c r="ABJ1553" s="42" t="str">
        <f t="array" aca="1" ref="ABJ1553" ca="1">IFERROR(INDEX(nombres[],SMALL(IF(OFFSET(nombres[],0,0,ROWS(nombres[]),1)=ABJ$1490,ROW(OFFSET(nombres[],0,0,ROWS(nombres[]),1))-ROW(OFFSET(nombres[],0,0,1,1))+1,ROW(OFFSET(nombres[],ROWS(nombres[])-1,0,1,1))+1),$O1553:$O1572),3),"")</f>
        <v/>
      </c>
      <c r="ABK1553" s="42" t="str">
        <f t="array" aca="1" ref="ABK1553" ca="1">IFERROR(INDEX(nombres[],SMALL(IF(OFFSET(nombres[],0,0,ROWS(nombres[]),1)=ABK$1490,ROW(OFFSET(nombres[],0,0,ROWS(nombres[]),1))-ROW(OFFSET(nombres[],0,0,1,1))+1,ROW(OFFSET(nombres[],ROWS(nombres[])-1,0,1,1))+1),$O1553:$O1572),3),"")</f>
        <v/>
      </c>
      <c r="ABL1553" s="42" t="str">
        <f t="array" aca="1" ref="ABL1553" ca="1">IFERROR(INDEX(nombres[],SMALL(IF(OFFSET(nombres[],0,0,ROWS(nombres[]),1)=ABL$1490,ROW(OFFSET(nombres[],0,0,ROWS(nombres[]),1))-ROW(OFFSET(nombres[],0,0,1,1))+1,ROW(OFFSET(nombres[],ROWS(nombres[])-1,0,1,1))+1),$O1553:$O1572),3),"")</f>
        <v/>
      </c>
      <c r="ABM1553" s="42" t="str">
        <f t="array" aca="1" ref="ABM1553" ca="1">IFERROR(INDEX(nombres[],SMALL(IF(OFFSET(nombres[],0,0,ROWS(nombres[]),1)=ABM$1490,ROW(OFFSET(nombres[],0,0,ROWS(nombres[]),1))-ROW(OFFSET(nombres[],0,0,1,1))+1,ROW(OFFSET(nombres[],ROWS(nombres[])-1,0,1,1))+1),$O1553:$O1572),3),"")</f>
        <v/>
      </c>
      <c r="ABN1553" s="42" t="str">
        <f t="array" aca="1" ref="ABN1553" ca="1">IFERROR(INDEX(nombres[],SMALL(IF(OFFSET(nombres[],0,0,ROWS(nombres[]),1)=ABN$1490,ROW(OFFSET(nombres[],0,0,ROWS(nombres[]),1))-ROW(OFFSET(nombres[],0,0,1,1))+1,ROW(OFFSET(nombres[],ROWS(nombres[])-1,0,1,1))+1),$O1553:$O1572),3),"")</f>
        <v/>
      </c>
      <c r="ABO1553" s="42" t="str">
        <f t="array" aca="1" ref="ABO1553" ca="1">IFERROR(INDEX(nombres[],SMALL(IF(OFFSET(nombres[],0,0,ROWS(nombres[]),1)=ABO$1490,ROW(OFFSET(nombres[],0,0,ROWS(nombres[]),1))-ROW(OFFSET(nombres[],0,0,1,1))+1,ROW(OFFSET(nombres[],ROWS(nombres[])-1,0,1,1))+1),$O1553:$O1572),3),"")</f>
        <v/>
      </c>
      <c r="ABP1553" s="42" t="str">
        <f t="array" aca="1" ref="ABP1553" ca="1">IFERROR(INDEX(nombres[],SMALL(IF(OFFSET(nombres[],0,0,ROWS(nombres[]),1)=ABP$1490,ROW(OFFSET(nombres[],0,0,ROWS(nombres[]),1))-ROW(OFFSET(nombres[],0,0,1,1))+1,ROW(OFFSET(nombres[],ROWS(nombres[])-1,0,1,1))+1),$O1553:$O1572),3),"")</f>
        <v/>
      </c>
      <c r="ABQ1553" s="42" t="str">
        <f t="array" aca="1" ref="ABQ1553" ca="1">IFERROR(INDEX(nombres[],SMALL(IF(OFFSET(nombres[],0,0,ROWS(nombres[]),1)=ABQ$1490,ROW(OFFSET(nombres[],0,0,ROWS(nombres[]),1))-ROW(OFFSET(nombres[],0,0,1,1))+1,ROW(OFFSET(nombres[],ROWS(nombres[])-1,0,1,1))+1),$O1553:$O1572),3),"")</f>
        <v/>
      </c>
      <c r="ABR1553" s="42" t="str">
        <f t="array" aca="1" ref="ABR1553" ca="1">IFERROR(INDEX(nombres[],SMALL(IF(OFFSET(nombres[],0,0,ROWS(nombres[]),1)=ABR$1490,ROW(OFFSET(nombres[],0,0,ROWS(nombres[]),1))-ROW(OFFSET(nombres[],0,0,1,1))+1,ROW(OFFSET(nombres[],ROWS(nombres[])-1,0,1,1))+1),$O1553:$O1572),3),"")</f>
        <v/>
      </c>
      <c r="ABS1553" s="42" t="str">
        <f t="array" aca="1" ref="ABS1553" ca="1">IFERROR(INDEX(nombres[],SMALL(IF(OFFSET(nombres[],0,0,ROWS(nombres[]),1)=ABS$1490,ROW(OFFSET(nombres[],0,0,ROWS(nombres[]),1))-ROW(OFFSET(nombres[],0,0,1,1))+1,ROW(OFFSET(nombres[],ROWS(nombres[])-1,0,1,1))+1),$O1553:$O1572),3),"")</f>
        <v/>
      </c>
      <c r="ABT1553" s="42" t="str">
        <f t="array" aca="1" ref="ABT1553" ca="1">IFERROR(INDEX(nombres[],SMALL(IF(OFFSET(nombres[],0,0,ROWS(nombres[]),1)=ABT$1490,ROW(OFFSET(nombres[],0,0,ROWS(nombres[]),1))-ROW(OFFSET(nombres[],0,0,1,1))+1,ROW(OFFSET(nombres[],ROWS(nombres[])-1,0,1,1))+1),$O1553:$O1572),3),"")</f>
        <v/>
      </c>
      <c r="ABU1553" s="42" t="str">
        <f t="array" aca="1" ref="ABU1553" ca="1">IFERROR(INDEX(nombres[],SMALL(IF(OFFSET(nombres[],0,0,ROWS(nombres[]),1)=ABU$1490,ROW(OFFSET(nombres[],0,0,ROWS(nombres[]),1))-ROW(OFFSET(nombres[],0,0,1,1))+1,ROW(OFFSET(nombres[],ROWS(nombres[])-1,0,1,1))+1),$O1553:$O1572),3),"")</f>
        <v/>
      </c>
      <c r="ABV1553" s="42" t="str">
        <f t="array" aca="1" ref="ABV1553" ca="1">IFERROR(INDEX(nombres[],SMALL(IF(OFFSET(nombres[],0,0,ROWS(nombres[]),1)=ABV$1490,ROW(OFFSET(nombres[],0,0,ROWS(nombres[]),1))-ROW(OFFSET(nombres[],0,0,1,1))+1,ROW(OFFSET(nombres[],ROWS(nombres[])-1,0,1,1))+1),$O1553:$O1572),3),"")</f>
        <v/>
      </c>
      <c r="ABW1553" s="42" t="str">
        <f t="array" aca="1" ref="ABW1553" ca="1">IFERROR(INDEX(nombres[],SMALL(IF(OFFSET(nombres[],0,0,ROWS(nombres[]),1)=ABW$1490,ROW(OFFSET(nombres[],0,0,ROWS(nombres[]),1))-ROW(OFFSET(nombres[],0,0,1,1))+1,ROW(OFFSET(nombres[],ROWS(nombres[])-1,0,1,1))+1),$O1553:$O1572),3),"")</f>
        <v/>
      </c>
      <c r="ABX1553" s="42" t="str">
        <f t="array" aca="1" ref="ABX1553" ca="1">IFERROR(INDEX(nombres[],SMALL(IF(OFFSET(nombres[],0,0,ROWS(nombres[]),1)=ABX$1490,ROW(OFFSET(nombres[],0,0,ROWS(nombres[]),1))-ROW(OFFSET(nombres[],0,0,1,1))+1,ROW(OFFSET(nombres[],ROWS(nombres[])-1,0,1,1))+1),$O1553:$O1572),3),"")</f>
        <v/>
      </c>
      <c r="ABY1553" s="42" t="str">
        <f t="array" aca="1" ref="ABY1553" ca="1">IFERROR(INDEX(nombres[],SMALL(IF(OFFSET(nombres[],0,0,ROWS(nombres[]),1)=ABY$1490,ROW(OFFSET(nombres[],0,0,ROWS(nombres[]),1))-ROW(OFFSET(nombres[],0,0,1,1))+1,ROW(OFFSET(nombres[],ROWS(nombres[])-1,0,1,1))+1),$O1553:$O1572),3),"")</f>
        <v/>
      </c>
      <c r="ABZ1553" s="42" t="str">
        <f t="array" aca="1" ref="ABZ1553" ca="1">IFERROR(INDEX(nombres[],SMALL(IF(OFFSET(nombres[],0,0,ROWS(nombres[]),1)=ABZ$1490,ROW(OFFSET(nombres[],0,0,ROWS(nombres[]),1))-ROW(OFFSET(nombres[],0,0,1,1))+1,ROW(OFFSET(nombres[],ROWS(nombres[])-1,0,1,1))+1),$O1553:$O1572),3),"")</f>
        <v/>
      </c>
      <c r="ACA1553" s="42" t="str">
        <f t="array" aca="1" ref="ACA1553" ca="1">IFERROR(INDEX(nombres[],SMALL(IF(OFFSET(nombres[],0,0,ROWS(nombres[]),1)=ACA$1490,ROW(OFFSET(nombres[],0,0,ROWS(nombres[]),1))-ROW(OFFSET(nombres[],0,0,1,1))+1,ROW(OFFSET(nombres[],ROWS(nombres[])-1,0,1,1))+1),$O1553:$O1572),3),"")</f>
        <v/>
      </c>
      <c r="ACB1553" s="42" t="str">
        <f t="array" aca="1" ref="ACB1553" ca="1">IFERROR(INDEX(nombres[],SMALL(IF(OFFSET(nombres[],0,0,ROWS(nombres[]),1)=ACB$1490,ROW(OFFSET(nombres[],0,0,ROWS(nombres[]),1))-ROW(OFFSET(nombres[],0,0,1,1))+1,ROW(OFFSET(nombres[],ROWS(nombres[])-1,0,1,1))+1),$O1553:$O1572),3),"")</f>
        <v/>
      </c>
      <c r="ACC1553" s="42" t="str">
        <f t="array" aca="1" ref="ACC1553" ca="1">IFERROR(INDEX(nombres[],SMALL(IF(OFFSET(nombres[],0,0,ROWS(nombres[]),1)=ACC$1490,ROW(OFFSET(nombres[],0,0,ROWS(nombres[]),1))-ROW(OFFSET(nombres[],0,0,1,1))+1,ROW(OFFSET(nombres[],ROWS(nombres[])-1,0,1,1))+1),$O1553:$O1572),3),"")</f>
        <v/>
      </c>
      <c r="ACD1553" s="42" t="str">
        <f t="array" aca="1" ref="ACD1553" ca="1">IFERROR(INDEX(nombres[],SMALL(IF(OFFSET(nombres[],0,0,ROWS(nombres[]),1)=ACD$1490,ROW(OFFSET(nombres[],0,0,ROWS(nombres[]),1))-ROW(OFFSET(nombres[],0,0,1,1))+1,ROW(OFFSET(nombres[],ROWS(nombres[])-1,0,1,1))+1),$O1553:$O1572),3),"")</f>
        <v/>
      </c>
      <c r="ACE1553" s="42" t="str">
        <f t="array" aca="1" ref="ACE1553" ca="1">IFERROR(INDEX(nombres[],SMALL(IF(OFFSET(nombres[],0,0,ROWS(nombres[]),1)=ACE$1490,ROW(OFFSET(nombres[],0,0,ROWS(nombres[]),1))-ROW(OFFSET(nombres[],0,0,1,1))+1,ROW(OFFSET(nombres[],ROWS(nombres[])-1,0,1,1))+1),$O1553:$O1572),3),"")</f>
        <v/>
      </c>
      <c r="ACF1553" s="42" t="str">
        <f t="array" aca="1" ref="ACF1553" ca="1">IFERROR(INDEX(nombres[],SMALL(IF(OFFSET(nombres[],0,0,ROWS(nombres[]),1)=ACF$1490,ROW(OFFSET(nombres[],0,0,ROWS(nombres[]),1))-ROW(OFFSET(nombres[],0,0,1,1))+1,ROW(OFFSET(nombres[],ROWS(nombres[])-1,0,1,1))+1),$O1553:$O1572),3),"")</f>
        <v/>
      </c>
      <c r="ACG1553" s="42" t="str">
        <f t="array" aca="1" ref="ACG1553" ca="1">IFERROR(INDEX(nombres[],SMALL(IF(OFFSET(nombres[],0,0,ROWS(nombres[]),1)=ACG$1490,ROW(OFFSET(nombres[],0,0,ROWS(nombres[]),1))-ROW(OFFSET(nombres[],0,0,1,1))+1,ROW(OFFSET(nombres[],ROWS(nombres[])-1,0,1,1))+1),$O1553:$O1572),3),"")</f>
        <v/>
      </c>
      <c r="ACH1553" s="42" t="str">
        <f t="array" aca="1" ref="ACH1553" ca="1">IFERROR(INDEX(nombres[],SMALL(IF(OFFSET(nombres[],0,0,ROWS(nombres[]),1)=ACH$1490,ROW(OFFSET(nombres[],0,0,ROWS(nombres[]),1))-ROW(OFFSET(nombres[],0,0,1,1))+1,ROW(OFFSET(nombres[],ROWS(nombres[])-1,0,1,1))+1),$O1553:$O1572),3),"")</f>
        <v/>
      </c>
      <c r="ACI1553" s="42" t="str">
        <f t="array" aca="1" ref="ACI1553" ca="1">IFERROR(INDEX(nombres[],SMALL(IF(OFFSET(nombres[],0,0,ROWS(nombres[]),1)=ACI$1490,ROW(OFFSET(nombres[],0,0,ROWS(nombres[]),1))-ROW(OFFSET(nombres[],0,0,1,1))+1,ROW(OFFSET(nombres[],ROWS(nombres[])-1,0,1,1))+1),$O1553:$O1572),3),"")</f>
        <v/>
      </c>
      <c r="ACJ1553" s="42" t="str">
        <f t="array" aca="1" ref="ACJ1553" ca="1">IFERROR(INDEX(nombres[],SMALL(IF(OFFSET(nombres[],0,0,ROWS(nombres[]),1)=ACJ$1490,ROW(OFFSET(nombres[],0,0,ROWS(nombres[]),1))-ROW(OFFSET(nombres[],0,0,1,1))+1,ROW(OFFSET(nombres[],ROWS(nombres[])-1,0,1,1))+1),$O1553:$O1572),3),"")</f>
        <v/>
      </c>
      <c r="ACK1553" s="42" t="str">
        <f t="array" aca="1" ref="ACK1553" ca="1">IFERROR(INDEX(nombres[],SMALL(IF(OFFSET(nombres[],0,0,ROWS(nombres[]),1)=ACK$1490,ROW(OFFSET(nombres[],0,0,ROWS(nombres[]),1))-ROW(OFFSET(nombres[],0,0,1,1))+1,ROW(OFFSET(nombres[],ROWS(nombres[])-1,0,1,1))+1),$O1553:$O1572),3),"")</f>
        <v/>
      </c>
      <c r="ACL1553" s="42" t="str">
        <f t="array" aca="1" ref="ACL1553" ca="1">IFERROR(INDEX(nombres[],SMALL(IF(OFFSET(nombres[],0,0,ROWS(nombres[]),1)=ACL$1490,ROW(OFFSET(nombres[],0,0,ROWS(nombres[]),1))-ROW(OFFSET(nombres[],0,0,1,1))+1,ROW(OFFSET(nombres[],ROWS(nombres[])-1,0,1,1))+1),$O1553:$O1572),3),"")</f>
        <v/>
      </c>
      <c r="ACM1553" s="42" t="str">
        <f t="array" aca="1" ref="ACM1553" ca="1">IFERROR(INDEX(nombres[],SMALL(IF(OFFSET(nombres[],0,0,ROWS(nombres[]),1)=ACM$1490,ROW(OFFSET(nombres[],0,0,ROWS(nombres[]),1))-ROW(OFFSET(nombres[],0,0,1,1))+1,ROW(OFFSET(nombres[],ROWS(nombres[])-1,0,1,1))+1),$O1553:$O1572),3),"")</f>
        <v/>
      </c>
      <c r="ACN1553" s="42" t="str">
        <f t="array" aca="1" ref="ACN1553" ca="1">IFERROR(INDEX(nombres[],SMALL(IF(OFFSET(nombres[],0,0,ROWS(nombres[]),1)=ACN$1490,ROW(OFFSET(nombres[],0,0,ROWS(nombres[]),1))-ROW(OFFSET(nombres[],0,0,1,1))+1,ROW(OFFSET(nombres[],ROWS(nombres[])-1,0,1,1))+1),$O1553:$O1572),3),"")</f>
        <v/>
      </c>
      <c r="ACO1553" s="42" t="str">
        <f t="array" aca="1" ref="ACO1553" ca="1">IFERROR(INDEX(nombres[],SMALL(IF(OFFSET(nombres[],0,0,ROWS(nombres[]),1)=ACO$1490,ROW(OFFSET(nombres[],0,0,ROWS(nombres[]),1))-ROW(OFFSET(nombres[],0,0,1,1))+1,ROW(OFFSET(nombres[],ROWS(nombres[])-1,0,1,1))+1),$O1553:$O1572),3),"")</f>
        <v/>
      </c>
      <c r="ACP1553" s="42" t="str">
        <f t="array" aca="1" ref="ACP1553" ca="1">IFERROR(INDEX(nombres[],SMALL(IF(OFFSET(nombres[],0,0,ROWS(nombres[]),1)=ACP$1490,ROW(OFFSET(nombres[],0,0,ROWS(nombres[]),1))-ROW(OFFSET(nombres[],0,0,1,1))+1,ROW(OFFSET(nombres[],ROWS(nombres[])-1,0,1,1))+1),$O1553:$O1572),3),"")</f>
        <v/>
      </c>
      <c r="ACQ1553" s="42" t="str">
        <f t="array" aca="1" ref="ACQ1553" ca="1">IFERROR(INDEX(nombres[],SMALL(IF(OFFSET(nombres[],0,0,ROWS(nombres[]),1)=ACQ$1490,ROW(OFFSET(nombres[],0,0,ROWS(nombres[]),1))-ROW(OFFSET(nombres[],0,0,1,1))+1,ROW(OFFSET(nombres[],ROWS(nombres[])-1,0,1,1))+1),$O1553:$O1572),3),"")</f>
        <v/>
      </c>
      <c r="ACR1553" s="42" t="str">
        <f t="array" aca="1" ref="ACR1553" ca="1">IFERROR(INDEX(nombres[],SMALL(IF(OFFSET(nombres[],0,0,ROWS(nombres[]),1)=ACR$1490,ROW(OFFSET(nombres[],0,0,ROWS(nombres[]),1))-ROW(OFFSET(nombres[],0,0,1,1))+1,ROW(OFFSET(nombres[],ROWS(nombres[])-1,0,1,1))+1),$O1553:$O1572),3),"")</f>
        <v/>
      </c>
      <c r="ACS1553" s="42" t="str">
        <f t="array" aca="1" ref="ACS1553" ca="1">IFERROR(INDEX(nombres[],SMALL(IF(OFFSET(nombres[],0,0,ROWS(nombres[]),1)=ACS$1490,ROW(OFFSET(nombres[],0,0,ROWS(nombres[]),1))-ROW(OFFSET(nombres[],0,0,1,1))+1,ROW(OFFSET(nombres[],ROWS(nombres[])-1,0,1,1))+1),$O1553:$O1572),3),"")</f>
        <v/>
      </c>
      <c r="ACT1553" s="42" t="str">
        <f t="array" aca="1" ref="ACT1553" ca="1">IFERROR(INDEX(nombres[],SMALL(IF(OFFSET(nombres[],0,0,ROWS(nombres[]),1)=ACT$1490,ROW(OFFSET(nombres[],0,0,ROWS(nombres[]),1))-ROW(OFFSET(nombres[],0,0,1,1))+1,ROW(OFFSET(nombres[],ROWS(nombres[])-1,0,1,1))+1),$O1553:$O1572),3),"")</f>
        <v/>
      </c>
      <c r="ACU1553" s="42" t="str">
        <f t="array" aca="1" ref="ACU1553" ca="1">IFERROR(INDEX(nombres[],SMALL(IF(OFFSET(nombres[],0,0,ROWS(nombres[]),1)=ACU$1490,ROW(OFFSET(nombres[],0,0,ROWS(nombres[]),1))-ROW(OFFSET(nombres[],0,0,1,1))+1,ROW(OFFSET(nombres[],ROWS(nombres[])-1,0,1,1))+1),$O1553:$O1572),3),"")</f>
        <v/>
      </c>
      <c r="ACV1553" s="42" t="str">
        <f t="array" aca="1" ref="ACV1553" ca="1">IFERROR(INDEX(nombres[],SMALL(IF(OFFSET(nombres[],0,0,ROWS(nombres[]),1)=ACV$1490,ROW(OFFSET(nombres[],0,0,ROWS(nombres[]),1))-ROW(OFFSET(nombres[],0,0,1,1))+1,ROW(OFFSET(nombres[],ROWS(nombres[])-1,0,1,1))+1),$O1553:$O1572),3),"")</f>
        <v/>
      </c>
      <c r="ACW1553" s="42" t="str">
        <f t="array" aca="1" ref="ACW1553" ca="1">IFERROR(INDEX(nombres[],SMALL(IF(OFFSET(nombres[],0,0,ROWS(nombres[]),1)=ACW$1490,ROW(OFFSET(nombres[],0,0,ROWS(nombres[]),1))-ROW(OFFSET(nombres[],0,0,1,1))+1,ROW(OFFSET(nombres[],ROWS(nombres[])-1,0,1,1))+1),$O1553:$O1572),3),"")</f>
        <v/>
      </c>
      <c r="ACX1553" s="42" t="str">
        <f t="array" aca="1" ref="ACX1553" ca="1">IFERROR(INDEX(nombres[],SMALL(IF(OFFSET(nombres[],0,0,ROWS(nombres[]),1)=ACX$1490,ROW(OFFSET(nombres[],0,0,ROWS(nombres[]),1))-ROW(OFFSET(nombres[],0,0,1,1))+1,ROW(OFFSET(nombres[],ROWS(nombres[])-1,0,1,1))+1),$O1553:$O1572),3),"")</f>
        <v/>
      </c>
      <c r="ACY1553" s="42" t="str">
        <f t="array" aca="1" ref="ACY1553" ca="1">IFERROR(INDEX(nombres[],SMALL(IF(OFFSET(nombres[],0,0,ROWS(nombres[]),1)=ACY$1490,ROW(OFFSET(nombres[],0,0,ROWS(nombres[]),1))-ROW(OFFSET(nombres[],0,0,1,1))+1,ROW(OFFSET(nombres[],ROWS(nombres[])-1,0,1,1))+1),$O1553:$O1572),3),"")</f>
        <v/>
      </c>
      <c r="ACZ1553" s="42" t="str">
        <f t="array" aca="1" ref="ACZ1553" ca="1">IFERROR(INDEX(nombres[],SMALL(IF(OFFSET(nombres[],0,0,ROWS(nombres[]),1)=ACZ$1490,ROW(OFFSET(nombres[],0,0,ROWS(nombres[]),1))-ROW(OFFSET(nombres[],0,0,1,1))+1,ROW(OFFSET(nombres[],ROWS(nombres[])-1,0,1,1))+1),$O1553:$O1572),3),"")</f>
        <v/>
      </c>
      <c r="ADA1553" s="42" t="str">
        <f t="array" aca="1" ref="ADA1553" ca="1">IFERROR(INDEX(nombres[],SMALL(IF(OFFSET(nombres[],0,0,ROWS(nombres[]),1)=ADA$1490,ROW(OFFSET(nombres[],0,0,ROWS(nombres[]),1))-ROW(OFFSET(nombres[],0,0,1,1))+1,ROW(OFFSET(nombres[],ROWS(nombres[])-1,0,1,1))+1),$O1553:$O1572),3),"")</f>
        <v/>
      </c>
      <c r="ADB1553" s="42" t="str">
        <f t="array" aca="1" ref="ADB1553" ca="1">IFERROR(INDEX(nombres[],SMALL(IF(OFFSET(nombres[],0,0,ROWS(nombres[]),1)=ADB$1490,ROW(OFFSET(nombres[],0,0,ROWS(nombres[]),1))-ROW(OFFSET(nombres[],0,0,1,1))+1,ROW(OFFSET(nombres[],ROWS(nombres[])-1,0,1,1))+1),$O1553:$O1572),3),"")</f>
        <v/>
      </c>
      <c r="ADC1553" s="42" t="str">
        <f t="array" aca="1" ref="ADC1553" ca="1">IFERROR(INDEX(nombres[],SMALL(IF(OFFSET(nombres[],0,0,ROWS(nombres[]),1)=ADC$1490,ROW(OFFSET(nombres[],0,0,ROWS(nombres[]),1))-ROW(OFFSET(nombres[],0,0,1,1))+1,ROW(OFFSET(nombres[],ROWS(nombres[])-1,0,1,1))+1),$O1553:$O1572),3),"")</f>
        <v/>
      </c>
      <c r="ADD1553" s="42" t="str">
        <f t="array" aca="1" ref="ADD1553" ca="1">IFERROR(INDEX(nombres[],SMALL(IF(OFFSET(nombres[],0,0,ROWS(nombres[]),1)=ADD$1490,ROW(OFFSET(nombres[],0,0,ROWS(nombres[]),1))-ROW(OFFSET(nombres[],0,0,1,1))+1,ROW(OFFSET(nombres[],ROWS(nombres[])-1,0,1,1))+1),$O1553:$O1572),3),"")</f>
        <v/>
      </c>
      <c r="ADE1553" s="42" t="str">
        <f t="array" aca="1" ref="ADE1553" ca="1">IFERROR(INDEX(nombres[],SMALL(IF(OFFSET(nombres[],0,0,ROWS(nombres[]),1)=ADE$1490,ROW(OFFSET(nombres[],0,0,ROWS(nombres[]),1))-ROW(OFFSET(nombres[],0,0,1,1))+1,ROW(OFFSET(nombres[],ROWS(nombres[])-1,0,1,1))+1),$O1553:$O1572),3),"")</f>
        <v/>
      </c>
      <c r="ADF1553" s="42" t="str">
        <f t="array" aca="1" ref="ADF1553" ca="1">IFERROR(INDEX(nombres[],SMALL(IF(OFFSET(nombres[],0,0,ROWS(nombres[]),1)=ADF$1490,ROW(OFFSET(nombres[],0,0,ROWS(nombres[]),1))-ROW(OFFSET(nombres[],0,0,1,1))+1,ROW(OFFSET(nombres[],ROWS(nombres[])-1,0,1,1))+1),$O1553:$O1572),3),"")</f>
        <v/>
      </c>
      <c r="ADG1553" s="42" t="str">
        <f t="array" aca="1" ref="ADG1553" ca="1">IFERROR(INDEX(nombres[],SMALL(IF(OFFSET(nombres[],0,0,ROWS(nombres[]),1)=ADG$1490,ROW(OFFSET(nombres[],0,0,ROWS(nombres[]),1))-ROW(OFFSET(nombres[],0,0,1,1))+1,ROW(OFFSET(nombres[],ROWS(nombres[])-1,0,1,1))+1),$O1553:$O1572),3),"")</f>
        <v/>
      </c>
      <c r="ADH1553" s="42" t="str">
        <f t="array" aca="1" ref="ADH1553" ca="1">IFERROR(INDEX(nombres[],SMALL(IF(OFFSET(nombres[],0,0,ROWS(nombres[]),1)=ADH$1490,ROW(OFFSET(nombres[],0,0,ROWS(nombres[]),1))-ROW(OFFSET(nombres[],0,0,1,1))+1,ROW(OFFSET(nombres[],ROWS(nombres[])-1,0,1,1))+1),$O1553:$O1572),3),"")</f>
        <v/>
      </c>
      <c r="ADI1553" s="42" t="str">
        <f t="array" aca="1" ref="ADI1553" ca="1">IFERROR(INDEX(nombres[],SMALL(IF(OFFSET(nombres[],0,0,ROWS(nombres[]),1)=ADI$1490,ROW(OFFSET(nombres[],0,0,ROWS(nombres[]),1))-ROW(OFFSET(nombres[],0,0,1,1))+1,ROW(OFFSET(nombres[],ROWS(nombres[])-1,0,1,1))+1),$O1553:$O1572),3),"")</f>
        <v/>
      </c>
      <c r="ADJ1553" s="42" t="str">
        <f t="array" aca="1" ref="ADJ1553" ca="1">IFERROR(INDEX(nombres[],SMALL(IF(OFFSET(nombres[],0,0,ROWS(nombres[]),1)=ADJ$1490,ROW(OFFSET(nombres[],0,0,ROWS(nombres[]),1))-ROW(OFFSET(nombres[],0,0,1,1))+1,ROW(OFFSET(nombres[],ROWS(nombres[])-1,0,1,1))+1),$O1553:$O1572),3),"")</f>
        <v/>
      </c>
      <c r="ADK1553" s="42" t="str">
        <f t="array" aca="1" ref="ADK1553" ca="1">IFERROR(INDEX(nombres[],SMALL(IF(OFFSET(nombres[],0,0,ROWS(nombres[]),1)=ADK$1490,ROW(OFFSET(nombres[],0,0,ROWS(nombres[]),1))-ROW(OFFSET(nombres[],0,0,1,1))+1,ROW(OFFSET(nombres[],ROWS(nombres[])-1,0,1,1))+1),$O1553:$O1572),3),"")</f>
        <v/>
      </c>
      <c r="ADL1553" s="42" t="str">
        <f t="array" aca="1" ref="ADL1553" ca="1">IFERROR(INDEX(nombres[],SMALL(IF(OFFSET(nombres[],0,0,ROWS(nombres[]),1)=ADL$1490,ROW(OFFSET(nombres[],0,0,ROWS(nombres[]),1))-ROW(OFFSET(nombres[],0,0,1,1))+1,ROW(OFFSET(nombres[],ROWS(nombres[])-1,0,1,1))+1),$O1553:$O1572),3),"")</f>
        <v/>
      </c>
      <c r="ADM1553" s="42" t="str">
        <f t="array" aca="1" ref="ADM1553" ca="1">IFERROR(INDEX(nombres[],SMALL(IF(OFFSET(nombres[],0,0,ROWS(nombres[]),1)=ADM$1490,ROW(OFFSET(nombres[],0,0,ROWS(nombres[]),1))-ROW(OFFSET(nombres[],0,0,1,1))+1,ROW(OFFSET(nombres[],ROWS(nombres[])-1,0,1,1))+1),$O1553:$O1572),3),"")</f>
        <v/>
      </c>
      <c r="ADN1553" s="42" t="str">
        <f t="array" aca="1" ref="ADN1553" ca="1">IFERROR(INDEX(nombres[],SMALL(IF(OFFSET(nombres[],0,0,ROWS(nombres[]),1)=ADN$1490,ROW(OFFSET(nombres[],0,0,ROWS(nombres[]),1))-ROW(OFFSET(nombres[],0,0,1,1))+1,ROW(OFFSET(nombres[],ROWS(nombres[])-1,0,1,1))+1),$O1553:$O1572),3),"")</f>
        <v/>
      </c>
      <c r="ADO1553" s="42" t="str">
        <f t="array" aca="1" ref="ADO1553" ca="1">IFERROR(INDEX(nombres[],SMALL(IF(OFFSET(nombres[],0,0,ROWS(nombres[]),1)=ADO$1490,ROW(OFFSET(nombres[],0,0,ROWS(nombres[]),1))-ROW(OFFSET(nombres[],0,0,1,1))+1,ROW(OFFSET(nombres[],ROWS(nombres[])-1,0,1,1))+1),$O1553:$O1572),3),"")</f>
        <v/>
      </c>
      <c r="ADP1553" s="42" t="str">
        <f t="array" aca="1" ref="ADP1553" ca="1">IFERROR(INDEX(nombres[],SMALL(IF(OFFSET(nombres[],0,0,ROWS(nombres[]),1)=ADP$1490,ROW(OFFSET(nombres[],0,0,ROWS(nombres[]),1))-ROW(OFFSET(nombres[],0,0,1,1))+1,ROW(OFFSET(nombres[],ROWS(nombres[])-1,0,1,1))+1),$O1553:$O1572),3),"")</f>
        <v/>
      </c>
      <c r="ADQ1553" s="42" t="str">
        <f t="array" aca="1" ref="ADQ1553" ca="1">IFERROR(INDEX(nombres[],SMALL(IF(OFFSET(nombres[],0,0,ROWS(nombres[]),1)=ADQ$1490,ROW(OFFSET(nombres[],0,0,ROWS(nombres[]),1))-ROW(OFFSET(nombres[],0,0,1,1))+1,ROW(OFFSET(nombres[],ROWS(nombres[])-1,0,1,1))+1),$O1553:$O1572),3),"")</f>
        <v/>
      </c>
      <c r="ADR1553" s="42" t="str">
        <f t="array" aca="1" ref="ADR1553" ca="1">IFERROR(INDEX(nombres[],SMALL(IF(OFFSET(nombres[],0,0,ROWS(nombres[]),1)=ADR$1490,ROW(OFFSET(nombres[],0,0,ROWS(nombres[]),1))-ROW(OFFSET(nombres[],0,0,1,1))+1,ROW(OFFSET(nombres[],ROWS(nombres[])-1,0,1,1))+1),$O1553:$O1572),3),"")</f>
        <v/>
      </c>
      <c r="ADS1553" s="42" t="str">
        <f t="array" aca="1" ref="ADS1553" ca="1">IFERROR(INDEX(nombres[],SMALL(IF(OFFSET(nombres[],0,0,ROWS(nombres[]),1)=ADS$1490,ROW(OFFSET(nombres[],0,0,ROWS(nombres[]),1))-ROW(OFFSET(nombres[],0,0,1,1))+1,ROW(OFFSET(nombres[],ROWS(nombres[])-1,0,1,1))+1),$O1553:$O1572),3),"")</f>
        <v/>
      </c>
      <c r="ADT1553" s="42" t="str">
        <f t="array" aca="1" ref="ADT1553" ca="1">IFERROR(INDEX(nombres[],SMALL(IF(OFFSET(nombres[],0,0,ROWS(nombres[]),1)=ADT$1490,ROW(OFFSET(nombres[],0,0,ROWS(nombres[]),1))-ROW(OFFSET(nombres[],0,0,1,1))+1,ROW(OFFSET(nombres[],ROWS(nombres[])-1,0,1,1))+1),$O1553:$O1572),3),"")</f>
        <v/>
      </c>
      <c r="ADU1553" s="42" t="str">
        <f t="array" aca="1" ref="ADU1553" ca="1">IFERROR(INDEX(nombres[],SMALL(IF(OFFSET(nombres[],0,0,ROWS(nombres[]),1)=ADU$1490,ROW(OFFSET(nombres[],0,0,ROWS(nombres[]),1))-ROW(OFFSET(nombres[],0,0,1,1))+1,ROW(OFFSET(nombres[],ROWS(nombres[])-1,0,1,1))+1),$O1553:$O1572),3),"")</f>
        <v/>
      </c>
      <c r="ADV1553" s="42" t="str">
        <f t="array" aca="1" ref="ADV1553" ca="1">IFERROR(INDEX(nombres[],SMALL(IF(OFFSET(nombres[],0,0,ROWS(nombres[]),1)=ADV$1490,ROW(OFFSET(nombres[],0,0,ROWS(nombres[]),1))-ROW(OFFSET(nombres[],0,0,1,1))+1,ROW(OFFSET(nombres[],ROWS(nombres[])-1,0,1,1))+1),$O1553:$O1572),3),"")</f>
        <v/>
      </c>
      <c r="ADW1553" s="42" t="str">
        <f t="array" aca="1" ref="ADW1553" ca="1">IFERROR(INDEX(nombres[],SMALL(IF(OFFSET(nombres[],0,0,ROWS(nombres[]),1)=ADW$1490,ROW(OFFSET(nombres[],0,0,ROWS(nombres[]),1))-ROW(OFFSET(nombres[],0,0,1,1))+1,ROW(OFFSET(nombres[],ROWS(nombres[])-1,0,1,1))+1),$O1553:$O1572),3),"")</f>
        <v/>
      </c>
      <c r="ADX1553" s="42" t="str">
        <f t="array" aca="1" ref="ADX1553" ca="1">IFERROR(INDEX(nombres[],SMALL(IF(OFFSET(nombres[],0,0,ROWS(nombres[]),1)=ADX$1490,ROW(OFFSET(nombres[],0,0,ROWS(nombres[]),1))-ROW(OFFSET(nombres[],0,0,1,1))+1,ROW(OFFSET(nombres[],ROWS(nombres[])-1,0,1,1))+1),$O1553:$O1572),3),"")</f>
        <v/>
      </c>
      <c r="ADY1553" s="42" t="str">
        <f t="array" aca="1" ref="ADY1553" ca="1">IFERROR(INDEX(nombres[],SMALL(IF(OFFSET(nombres[],0,0,ROWS(nombres[]),1)=ADY$1490,ROW(OFFSET(nombres[],0,0,ROWS(nombres[]),1))-ROW(OFFSET(nombres[],0,0,1,1))+1,ROW(OFFSET(nombres[],ROWS(nombres[])-1,0,1,1))+1),$O1553:$O1572),3),"")</f>
        <v/>
      </c>
      <c r="ADZ1553" s="42" t="str">
        <f t="array" aca="1" ref="ADZ1553" ca="1">IFERROR(INDEX(nombres[],SMALL(IF(OFFSET(nombres[],0,0,ROWS(nombres[]),1)=ADZ$1490,ROW(OFFSET(nombres[],0,0,ROWS(nombres[]),1))-ROW(OFFSET(nombres[],0,0,1,1))+1,ROW(OFFSET(nombres[],ROWS(nombres[])-1,0,1,1))+1),$O1553:$O1572),3),"")</f>
        <v/>
      </c>
      <c r="AEA1553" s="42" t="str">
        <f t="array" aca="1" ref="AEA1553" ca="1">IFERROR(INDEX(nombres[],SMALL(IF(OFFSET(nombres[],0,0,ROWS(nombres[]),1)=AEA$1490,ROW(OFFSET(nombres[],0,0,ROWS(nombres[]),1))-ROW(OFFSET(nombres[],0,0,1,1))+1,ROW(OFFSET(nombres[],ROWS(nombres[])-1,0,1,1))+1),$O1553:$O1572),3),"")</f>
        <v/>
      </c>
      <c r="AEB1553" s="42" t="str">
        <f t="array" aca="1" ref="AEB1553" ca="1">IFERROR(INDEX(nombres[],SMALL(IF(OFFSET(nombres[],0,0,ROWS(nombres[]),1)=AEB$1490,ROW(OFFSET(nombres[],0,0,ROWS(nombres[]),1))-ROW(OFFSET(nombres[],0,0,1,1))+1,ROW(OFFSET(nombres[],ROWS(nombres[])-1,0,1,1))+1),$O1553:$O1572),3),"")</f>
        <v/>
      </c>
      <c r="AEC1553" s="42" t="str">
        <f t="array" aca="1" ref="AEC1553" ca="1">IFERROR(INDEX(nombres[],SMALL(IF(OFFSET(nombres[],0,0,ROWS(nombres[]),1)=AEC$1490,ROW(OFFSET(nombres[],0,0,ROWS(nombres[]),1))-ROW(OFFSET(nombres[],0,0,1,1))+1,ROW(OFFSET(nombres[],ROWS(nombres[])-1,0,1,1))+1),$O1553:$O1572),3),"")</f>
        <v/>
      </c>
      <c r="AED1553" s="42" t="str">
        <f t="array" aca="1" ref="AED1553" ca="1">IFERROR(INDEX(nombres[],SMALL(IF(OFFSET(nombres[],0,0,ROWS(nombres[]),1)=AED$1490,ROW(OFFSET(nombres[],0,0,ROWS(nombres[]),1))-ROW(OFFSET(nombres[],0,0,1,1))+1,ROW(OFFSET(nombres[],ROWS(nombres[])-1,0,1,1))+1),$O1553:$O1572),3),"")</f>
        <v/>
      </c>
      <c r="AEE1553" s="42" t="str">
        <f t="array" aca="1" ref="AEE1553" ca="1">IFERROR(INDEX(nombres[],SMALL(IF(OFFSET(nombres[],0,0,ROWS(nombres[]),1)=AEE$1490,ROW(OFFSET(nombres[],0,0,ROWS(nombres[]),1))-ROW(OFFSET(nombres[],0,0,1,1))+1,ROW(OFFSET(nombres[],ROWS(nombres[])-1,0,1,1))+1),$O1553:$O1572),3),"")</f>
        <v/>
      </c>
      <c r="AEF1553" s="42" t="str">
        <f t="array" aca="1" ref="AEF1553" ca="1">IFERROR(INDEX(nombres[],SMALL(IF(OFFSET(nombres[],0,0,ROWS(nombres[]),1)=AEF$1490,ROW(OFFSET(nombres[],0,0,ROWS(nombres[]),1))-ROW(OFFSET(nombres[],0,0,1,1))+1,ROW(OFFSET(nombres[],ROWS(nombres[])-1,0,1,1))+1),$O1553:$O1572),3),"")</f>
        <v/>
      </c>
      <c r="AEG1553" s="42" t="str">
        <f t="array" aca="1" ref="AEG1553" ca="1">IFERROR(INDEX(nombres[],SMALL(IF(OFFSET(nombres[],0,0,ROWS(nombres[]),1)=AEG$1490,ROW(OFFSET(nombres[],0,0,ROWS(nombres[]),1))-ROW(OFFSET(nombres[],0,0,1,1))+1,ROW(OFFSET(nombres[],ROWS(nombres[])-1,0,1,1))+1),$O1553:$O1572),3),"")</f>
        <v/>
      </c>
      <c r="AEH1553" s="42" t="str">
        <f t="array" aca="1" ref="AEH1553" ca="1">IFERROR(INDEX(nombres[],SMALL(IF(OFFSET(nombres[],0,0,ROWS(nombres[]),1)=AEH$1490,ROW(OFFSET(nombres[],0,0,ROWS(nombres[]),1))-ROW(OFFSET(nombres[],0,0,1,1))+1,ROW(OFFSET(nombres[],ROWS(nombres[])-1,0,1,1))+1),$O1553:$O1572),3),"")</f>
        <v/>
      </c>
      <c r="AEI1553" s="42" t="str">
        <f t="array" aca="1" ref="AEI1553" ca="1">IFERROR(INDEX(nombres[],SMALL(IF(OFFSET(nombres[],0,0,ROWS(nombres[]),1)=AEI$1490,ROW(OFFSET(nombres[],0,0,ROWS(nombres[]),1))-ROW(OFFSET(nombres[],0,0,1,1))+1,ROW(OFFSET(nombres[],ROWS(nombres[])-1,0,1,1))+1),$O1553:$O1572),3),"")</f>
        <v/>
      </c>
      <c r="AEJ1553" s="42" t="str">
        <f t="array" aca="1" ref="AEJ1553" ca="1">IFERROR(INDEX(nombres[],SMALL(IF(OFFSET(nombres[],0,0,ROWS(nombres[]),1)=AEJ$1490,ROW(OFFSET(nombres[],0,0,ROWS(nombres[]),1))-ROW(OFFSET(nombres[],0,0,1,1))+1,ROW(OFFSET(nombres[],ROWS(nombres[])-1,0,1,1))+1),$O1553:$O1572),3),"")</f>
        <v/>
      </c>
      <c r="AEK1553" s="42" t="str">
        <f t="array" aca="1" ref="AEK1553" ca="1">IFERROR(INDEX(nombres[],SMALL(IF(OFFSET(nombres[],0,0,ROWS(nombres[]),1)=AEK$1490,ROW(OFFSET(nombres[],0,0,ROWS(nombres[]),1))-ROW(OFFSET(nombres[],0,0,1,1))+1,ROW(OFFSET(nombres[],ROWS(nombres[])-1,0,1,1))+1),$O1553:$O1572),3),"")</f>
        <v/>
      </c>
      <c r="AEL1553" s="42" t="str">
        <f t="array" aca="1" ref="AEL1553" ca="1">IFERROR(INDEX(nombres[],SMALL(IF(OFFSET(nombres[],0,0,ROWS(nombres[]),1)=AEL$1490,ROW(OFFSET(nombres[],0,0,ROWS(nombres[]),1))-ROW(OFFSET(nombres[],0,0,1,1))+1,ROW(OFFSET(nombres[],ROWS(nombres[])-1,0,1,1))+1),$O1553:$O1572),3),"")</f>
        <v/>
      </c>
      <c r="AEM1553" s="42" t="str">
        <f t="array" aca="1" ref="AEM1553" ca="1">IFERROR(INDEX(nombres[],SMALL(IF(OFFSET(nombres[],0,0,ROWS(nombres[]),1)=AEM$1490,ROW(OFFSET(nombres[],0,0,ROWS(nombres[]),1))-ROW(OFFSET(nombres[],0,0,1,1))+1,ROW(OFFSET(nombres[],ROWS(nombres[])-1,0,1,1))+1),$O1553:$O1572),3),"")</f>
        <v/>
      </c>
      <c r="AEN1553" s="42" t="str">
        <f t="array" aca="1" ref="AEN1553" ca="1">IFERROR(INDEX(nombres[],SMALL(IF(OFFSET(nombres[],0,0,ROWS(nombres[]),1)=AEN$1490,ROW(OFFSET(nombres[],0,0,ROWS(nombres[]),1))-ROW(OFFSET(nombres[],0,0,1,1))+1,ROW(OFFSET(nombres[],ROWS(nombres[])-1,0,1,1))+1),$O1553:$O1572),3),"")</f>
        <v/>
      </c>
      <c r="AEO1553" s="42" t="str">
        <f t="array" aca="1" ref="AEO1553" ca="1">IFERROR(INDEX(nombres[],SMALL(IF(OFFSET(nombres[],0,0,ROWS(nombres[]),1)=AEO$1490,ROW(OFFSET(nombres[],0,0,ROWS(nombres[]),1))-ROW(OFFSET(nombres[],0,0,1,1))+1,ROW(OFFSET(nombres[],ROWS(nombres[])-1,0,1,1))+1),$O1553:$O1572),3),"")</f>
        <v/>
      </c>
      <c r="AEP1553" s="42" t="str">
        <f t="array" aca="1" ref="AEP1553" ca="1">IFERROR(INDEX(nombres[],SMALL(IF(OFFSET(nombres[],0,0,ROWS(nombres[]),1)=AEP$1490,ROW(OFFSET(nombres[],0,0,ROWS(nombres[]),1))-ROW(OFFSET(nombres[],0,0,1,1))+1,ROW(OFFSET(nombres[],ROWS(nombres[])-1,0,1,1))+1),$O1553:$O1572),3),"")</f>
        <v/>
      </c>
      <c r="AEQ1553" s="42" t="str">
        <f t="array" aca="1" ref="AEQ1553" ca="1">IFERROR(INDEX(nombres[],SMALL(IF(OFFSET(nombres[],0,0,ROWS(nombres[]),1)=AEQ$1490,ROW(OFFSET(nombres[],0,0,ROWS(nombres[]),1))-ROW(OFFSET(nombres[],0,0,1,1))+1,ROW(OFFSET(nombres[],ROWS(nombres[])-1,0,1,1))+1),$O1553:$O1572),3),"")</f>
        <v/>
      </c>
      <c r="AER1553" s="42" t="str">
        <f t="array" aca="1" ref="AER1553" ca="1">IFERROR(INDEX(nombres[],SMALL(IF(OFFSET(nombres[],0,0,ROWS(nombres[]),1)=AER$1490,ROW(OFFSET(nombres[],0,0,ROWS(nombres[]),1))-ROW(OFFSET(nombres[],0,0,1,1))+1,ROW(OFFSET(nombres[],ROWS(nombres[])-1,0,1,1))+1),$O1553:$O1572),3),"")</f>
        <v/>
      </c>
      <c r="AES1553" s="42" t="str">
        <f t="array" aca="1" ref="AES1553" ca="1">IFERROR(INDEX(nombres[],SMALL(IF(OFFSET(nombres[],0,0,ROWS(nombres[]),1)=AES$1490,ROW(OFFSET(nombres[],0,0,ROWS(nombres[]),1))-ROW(OFFSET(nombres[],0,0,1,1))+1,ROW(OFFSET(nombres[],ROWS(nombres[])-1,0,1,1))+1),$O1553:$O1572),3),"")</f>
        <v/>
      </c>
      <c r="AET1553" s="42" t="str">
        <f t="array" aca="1" ref="AET1553" ca="1">IFERROR(INDEX(nombres[],SMALL(IF(OFFSET(nombres[],0,0,ROWS(nombres[]),1)=AET$1490,ROW(OFFSET(nombres[],0,0,ROWS(nombres[]),1))-ROW(OFFSET(nombres[],0,0,1,1))+1,ROW(OFFSET(nombres[],ROWS(nombres[])-1,0,1,1))+1),$O1553:$O1572),3),"")</f>
        <v/>
      </c>
      <c r="AEU1553" s="42" t="str">
        <f t="array" aca="1" ref="AEU1553" ca="1">IFERROR(INDEX(nombres[],SMALL(IF(OFFSET(nombres[],0,0,ROWS(nombres[]),1)=AEU$1490,ROW(OFFSET(nombres[],0,0,ROWS(nombres[]),1))-ROW(OFFSET(nombres[],0,0,1,1))+1,ROW(OFFSET(nombres[],ROWS(nombres[])-1,0,1,1))+1),$O1553:$O1572),3),"")</f>
        <v/>
      </c>
      <c r="AEV1553" s="42" t="str">
        <f t="array" aca="1" ref="AEV1553" ca="1">IFERROR(INDEX(nombres[],SMALL(IF(OFFSET(nombres[],0,0,ROWS(nombres[]),1)=AEV$1490,ROW(OFFSET(nombres[],0,0,ROWS(nombres[]),1))-ROW(OFFSET(nombres[],0,0,1,1))+1,ROW(OFFSET(nombres[],ROWS(nombres[])-1,0,1,1))+1),$O1553:$O1572),3),"")</f>
        <v/>
      </c>
      <c r="AEW1553" s="42" t="str">
        <f t="array" aca="1" ref="AEW1553" ca="1">IFERROR(INDEX(nombres[],SMALL(IF(OFFSET(nombres[],0,0,ROWS(nombres[]),1)=AEW$1490,ROW(OFFSET(nombres[],0,0,ROWS(nombres[]),1))-ROW(OFFSET(nombres[],0,0,1,1))+1,ROW(OFFSET(nombres[],ROWS(nombres[])-1,0,1,1))+1),$O1553:$O1572),3),"")</f>
        <v/>
      </c>
      <c r="AEX1553" s="42" t="str">
        <f t="array" aca="1" ref="AEX1553" ca="1">IFERROR(INDEX(nombres[],SMALL(IF(OFFSET(nombres[],0,0,ROWS(nombres[]),1)=AEX$1490,ROW(OFFSET(nombres[],0,0,ROWS(nombres[]),1))-ROW(OFFSET(nombres[],0,0,1,1))+1,ROW(OFFSET(nombres[],ROWS(nombres[])-1,0,1,1))+1),$O1553:$O1572),3),"")</f>
        <v/>
      </c>
      <c r="AEY1553" s="42" t="str">
        <f t="array" aca="1" ref="AEY1553" ca="1">IFERROR(INDEX(nombres[],SMALL(IF(OFFSET(nombres[],0,0,ROWS(nombres[]),1)=AEY$1490,ROW(OFFSET(nombres[],0,0,ROWS(nombres[]),1))-ROW(OFFSET(nombres[],0,0,1,1))+1,ROW(OFFSET(nombres[],ROWS(nombres[])-1,0,1,1))+1),$O1553:$O1572),3),"")</f>
        <v/>
      </c>
      <c r="AEZ1553" s="42" t="str">
        <f t="array" aca="1" ref="AEZ1553" ca="1">IFERROR(INDEX(nombres[],SMALL(IF(OFFSET(nombres[],0,0,ROWS(nombres[]),1)=AEZ$1490,ROW(OFFSET(nombres[],0,0,ROWS(nombres[]),1))-ROW(OFFSET(nombres[],0,0,1,1))+1,ROW(OFFSET(nombres[],ROWS(nombres[])-1,0,1,1))+1),$O1553:$O1572),3),"")</f>
        <v/>
      </c>
      <c r="AFA1553" s="42" t="str">
        <f t="array" aca="1" ref="AFA1553" ca="1">IFERROR(INDEX(nombres[],SMALL(IF(OFFSET(nombres[],0,0,ROWS(nombres[]),1)=AFA$1490,ROW(OFFSET(nombres[],0,0,ROWS(nombres[]),1))-ROW(OFFSET(nombres[],0,0,1,1))+1,ROW(OFFSET(nombres[],ROWS(nombres[])-1,0,1,1))+1),$O1553:$O1572),3),"")</f>
        <v/>
      </c>
      <c r="AFB1553" s="42" t="str">
        <f t="array" aca="1" ref="AFB1553" ca="1">IFERROR(INDEX(nombres[],SMALL(IF(OFFSET(nombres[],0,0,ROWS(nombres[]),1)=AFB$1490,ROW(OFFSET(nombres[],0,0,ROWS(nombres[]),1))-ROW(OFFSET(nombres[],0,0,1,1))+1,ROW(OFFSET(nombres[],ROWS(nombres[])-1,0,1,1))+1),$O1553:$O1572),3),"")</f>
        <v/>
      </c>
      <c r="AFC1553" s="42" t="str">
        <f t="array" aca="1" ref="AFC1553" ca="1">IFERROR(INDEX(nombres[],SMALL(IF(OFFSET(nombres[],0,0,ROWS(nombres[]),1)=AFC$1490,ROW(OFFSET(nombres[],0,0,ROWS(nombres[]),1))-ROW(OFFSET(nombres[],0,0,1,1))+1,ROW(OFFSET(nombres[],ROWS(nombres[])-1,0,1,1))+1),$O1553:$O1572),3),"")</f>
        <v/>
      </c>
      <c r="AFD1553" s="42" t="str">
        <f t="array" aca="1" ref="AFD1553" ca="1">IFERROR(INDEX(nombres[],SMALL(IF(OFFSET(nombres[],0,0,ROWS(nombres[]),1)=AFD$1490,ROW(OFFSET(nombres[],0,0,ROWS(nombres[]),1))-ROW(OFFSET(nombres[],0,0,1,1))+1,ROW(OFFSET(nombres[],ROWS(nombres[])-1,0,1,1))+1),$O1553:$O1572),3),"")</f>
        <v/>
      </c>
      <c r="AFE1553" s="42" t="str">
        <f t="array" aca="1" ref="AFE1553" ca="1">IFERROR(INDEX(nombres[],SMALL(IF(OFFSET(nombres[],0,0,ROWS(nombres[]),1)=AFE$1490,ROW(OFFSET(nombres[],0,0,ROWS(nombres[]),1))-ROW(OFFSET(nombres[],0,0,1,1))+1,ROW(OFFSET(nombres[],ROWS(nombres[])-1,0,1,1))+1),$O1553:$O1572),3),"")</f>
        <v/>
      </c>
      <c r="AFF1553" s="42" t="str">
        <f t="array" aca="1" ref="AFF1553" ca="1">IFERROR(INDEX(nombres[],SMALL(IF(OFFSET(nombres[],0,0,ROWS(nombres[]),1)=AFF$1490,ROW(OFFSET(nombres[],0,0,ROWS(nombres[]),1))-ROW(OFFSET(nombres[],0,0,1,1))+1,ROW(OFFSET(nombres[],ROWS(nombres[])-1,0,1,1))+1),$O1553:$O1572),3),"")</f>
        <v/>
      </c>
      <c r="AFG1553" s="42" t="str">
        <f t="array" aca="1" ref="AFG1553" ca="1">IFERROR(INDEX(nombres[],SMALL(IF(OFFSET(nombres[],0,0,ROWS(nombres[]),1)=AFG$1490,ROW(OFFSET(nombres[],0,0,ROWS(nombres[]),1))-ROW(OFFSET(nombres[],0,0,1,1))+1,ROW(OFFSET(nombres[],ROWS(nombres[])-1,0,1,1))+1),$O1553:$O1572),3),"")</f>
        <v/>
      </c>
      <c r="AFH1553" s="42" t="str">
        <f t="array" aca="1" ref="AFH1553" ca="1">IFERROR(INDEX(nombres[],SMALL(IF(OFFSET(nombres[],0,0,ROWS(nombres[]),1)=AFH$1490,ROW(OFFSET(nombres[],0,0,ROWS(nombres[]),1))-ROW(OFFSET(nombres[],0,0,1,1))+1,ROW(OFFSET(nombres[],ROWS(nombres[])-1,0,1,1))+1),$O1553:$O1572),3),"")</f>
        <v/>
      </c>
      <c r="AFI1553" s="42" t="str">
        <f t="array" aca="1" ref="AFI1553" ca="1">IFERROR(INDEX(nombres[],SMALL(IF(OFFSET(nombres[],0,0,ROWS(nombres[]),1)=AFI$1490,ROW(OFFSET(nombres[],0,0,ROWS(nombres[]),1))-ROW(OFFSET(nombres[],0,0,1,1))+1,ROW(OFFSET(nombres[],ROWS(nombres[])-1,0,1,1))+1),$O1553:$O1572),3),"")</f>
        <v/>
      </c>
      <c r="AFJ1553" s="42" t="str">
        <f t="array" aca="1" ref="AFJ1553" ca="1">IFERROR(INDEX(nombres[],SMALL(IF(OFFSET(nombres[],0,0,ROWS(nombres[]),1)=AFJ$1490,ROW(OFFSET(nombres[],0,0,ROWS(nombres[]),1))-ROW(OFFSET(nombres[],0,0,1,1))+1,ROW(OFFSET(nombres[],ROWS(nombres[])-1,0,1,1))+1),$O1553:$O1572),3),"")</f>
        <v/>
      </c>
      <c r="AFK1553" s="42" t="str">
        <f t="array" aca="1" ref="AFK1553" ca="1">IFERROR(INDEX(nombres[],SMALL(IF(OFFSET(nombres[],0,0,ROWS(nombres[]),1)=AFK$1490,ROW(OFFSET(nombres[],0,0,ROWS(nombres[]),1))-ROW(OFFSET(nombres[],0,0,1,1))+1,ROW(OFFSET(nombres[],ROWS(nombres[])-1,0,1,1))+1),$O1553:$O1572),3),"")</f>
        <v/>
      </c>
      <c r="AFL1553" s="42" t="str">
        <f t="array" aca="1" ref="AFL1553" ca="1">IFERROR(INDEX(nombres[],SMALL(IF(OFFSET(nombres[],0,0,ROWS(nombres[]),1)=AFL$1490,ROW(OFFSET(nombres[],0,0,ROWS(nombres[]),1))-ROW(OFFSET(nombres[],0,0,1,1))+1,ROW(OFFSET(nombres[],ROWS(nombres[])-1,0,1,1))+1),$O1553:$O1572),3),"")</f>
        <v/>
      </c>
      <c r="AFM1553" s="42" t="str">
        <f t="array" aca="1" ref="AFM1553" ca="1">IFERROR(INDEX(nombres[],SMALL(IF(OFFSET(nombres[],0,0,ROWS(nombres[]),1)=AFM$1490,ROW(OFFSET(nombres[],0,0,ROWS(nombres[]),1))-ROW(OFFSET(nombres[],0,0,1,1))+1,ROW(OFFSET(nombres[],ROWS(nombres[])-1,0,1,1))+1),$O1553:$O1572),3),"")</f>
        <v/>
      </c>
      <c r="AFN1553" s="42" t="str">
        <f t="array" aca="1" ref="AFN1553" ca="1">IFERROR(INDEX(nombres[],SMALL(IF(OFFSET(nombres[],0,0,ROWS(nombres[]),1)=AFN$1490,ROW(OFFSET(nombres[],0,0,ROWS(nombres[]),1))-ROW(OFFSET(nombres[],0,0,1,1))+1,ROW(OFFSET(nombres[],ROWS(nombres[])-1,0,1,1))+1),$O1553:$O1572),3),"")</f>
        <v/>
      </c>
      <c r="AFO1553" s="42" t="str">
        <f t="array" aca="1" ref="AFO1553" ca="1">IFERROR(INDEX(nombres[],SMALL(IF(OFFSET(nombres[],0,0,ROWS(nombres[]),1)=AFO$1490,ROW(OFFSET(nombres[],0,0,ROWS(nombres[]),1))-ROW(OFFSET(nombres[],0,0,1,1))+1,ROW(OFFSET(nombres[],ROWS(nombres[])-1,0,1,1))+1),$O1553:$O1572),3),"")</f>
        <v/>
      </c>
      <c r="AFP1553" s="42" t="str">
        <f t="array" aca="1" ref="AFP1553" ca="1">IFERROR(INDEX(nombres[],SMALL(IF(OFFSET(nombres[],0,0,ROWS(nombres[]),1)=AFP$1490,ROW(OFFSET(nombres[],0,0,ROWS(nombres[]),1))-ROW(OFFSET(nombres[],0,0,1,1))+1,ROW(OFFSET(nombres[],ROWS(nombres[])-1,0,1,1))+1),$O1553:$O1572),3),"")</f>
        <v/>
      </c>
      <c r="AFQ1553" s="42" t="str">
        <f t="array" aca="1" ref="AFQ1553" ca="1">IFERROR(INDEX(nombres[],SMALL(IF(OFFSET(nombres[],0,0,ROWS(nombres[]),1)=AFQ$1490,ROW(OFFSET(nombres[],0,0,ROWS(nombres[]),1))-ROW(OFFSET(nombres[],0,0,1,1))+1,ROW(OFFSET(nombres[],ROWS(nombres[])-1,0,1,1))+1),$O1553:$O1572),3),"")</f>
        <v/>
      </c>
      <c r="AFR1553" s="42" t="str">
        <f t="array" aca="1" ref="AFR1553" ca="1">IFERROR(INDEX(nombres[],SMALL(IF(OFFSET(nombres[],0,0,ROWS(nombres[]),1)=AFR$1490,ROW(OFFSET(nombres[],0,0,ROWS(nombres[]),1))-ROW(OFFSET(nombres[],0,0,1,1))+1,ROW(OFFSET(nombres[],ROWS(nombres[])-1,0,1,1))+1),$O1553:$O1572),3),"")</f>
        <v/>
      </c>
      <c r="AFS1553" s="42" t="str">
        <f t="array" aca="1" ref="AFS1553" ca="1">IFERROR(INDEX(nombres[],SMALL(IF(OFFSET(nombres[],0,0,ROWS(nombres[]),1)=AFS$1490,ROW(OFFSET(nombres[],0,0,ROWS(nombres[]),1))-ROW(OFFSET(nombres[],0,0,1,1))+1,ROW(OFFSET(nombres[],ROWS(nombres[])-1,0,1,1))+1),$O1553:$O1572),3),"")</f>
        <v/>
      </c>
      <c r="AFT1553" s="42" t="str">
        <f t="array" aca="1" ref="AFT1553" ca="1">IFERROR(INDEX(nombres[],SMALL(IF(OFFSET(nombres[],0,0,ROWS(nombres[]),1)=AFT$1490,ROW(OFFSET(nombres[],0,0,ROWS(nombres[]),1))-ROW(OFFSET(nombres[],0,0,1,1))+1,ROW(OFFSET(nombres[],ROWS(nombres[])-1,0,1,1))+1),$O1553:$O1572),3),"")</f>
        <v/>
      </c>
      <c r="AFU1553" s="42" t="str">
        <f t="array" aca="1" ref="AFU1553" ca="1">IFERROR(INDEX(nombres[],SMALL(IF(OFFSET(nombres[],0,0,ROWS(nombres[]),1)=AFU$1490,ROW(OFFSET(nombres[],0,0,ROWS(nombres[]),1))-ROW(OFFSET(nombres[],0,0,1,1))+1,ROW(OFFSET(nombres[],ROWS(nombres[])-1,0,1,1))+1),$O1553:$O1572),3),"")</f>
        <v/>
      </c>
      <c r="AFV1553" s="42" t="str">
        <f t="array" aca="1" ref="AFV1553" ca="1">IFERROR(INDEX(nombres[],SMALL(IF(OFFSET(nombres[],0,0,ROWS(nombres[]),1)=AFV$1490,ROW(OFFSET(nombres[],0,0,ROWS(nombres[]),1))-ROW(OFFSET(nombres[],0,0,1,1))+1,ROW(OFFSET(nombres[],ROWS(nombres[])-1,0,1,1))+1),$O1553:$O1572),3),"")</f>
        <v/>
      </c>
      <c r="AFW1553" s="42" t="str">
        <f t="array" aca="1" ref="AFW1553" ca="1">IFERROR(INDEX(nombres[],SMALL(IF(OFFSET(nombres[],0,0,ROWS(nombres[]),1)=AFW$1490,ROW(OFFSET(nombres[],0,0,ROWS(nombres[]),1))-ROW(OFFSET(nombres[],0,0,1,1))+1,ROW(OFFSET(nombres[],ROWS(nombres[])-1,0,1,1))+1),$O1553:$O1572),3),"")</f>
        <v/>
      </c>
      <c r="AFX1553" s="42" t="str">
        <f t="array" aca="1" ref="AFX1553" ca="1">IFERROR(INDEX(nombres[],SMALL(IF(OFFSET(nombres[],0,0,ROWS(nombres[]),1)=AFX$1490,ROW(OFFSET(nombres[],0,0,ROWS(nombres[]),1))-ROW(OFFSET(nombres[],0,0,1,1))+1,ROW(OFFSET(nombres[],ROWS(nombres[])-1,0,1,1))+1),$O1553:$O1572),3),"")</f>
        <v/>
      </c>
      <c r="AFY1553" s="42" t="str">
        <f t="array" aca="1" ref="AFY1553" ca="1">IFERROR(INDEX(nombres[],SMALL(IF(OFFSET(nombres[],0,0,ROWS(nombres[]),1)=AFY$1490,ROW(OFFSET(nombres[],0,0,ROWS(nombres[]),1))-ROW(OFFSET(nombres[],0,0,1,1))+1,ROW(OFFSET(nombres[],ROWS(nombres[])-1,0,1,1))+1),$O1553:$O1572),3),"")</f>
        <v/>
      </c>
      <c r="AFZ1553" s="42" t="str">
        <f t="array" aca="1" ref="AFZ1553" ca="1">IFERROR(INDEX(nombres[],SMALL(IF(OFFSET(nombres[],0,0,ROWS(nombres[]),1)=AFZ$1490,ROW(OFFSET(nombres[],0,0,ROWS(nombres[]),1))-ROW(OFFSET(nombres[],0,0,1,1))+1,ROW(OFFSET(nombres[],ROWS(nombres[])-1,0,1,1))+1),$O1553:$O1572),3),"")</f>
        <v/>
      </c>
      <c r="AGA1553" s="42" t="str">
        <f t="array" aca="1" ref="AGA1553" ca="1">IFERROR(INDEX(nombres[],SMALL(IF(OFFSET(nombres[],0,0,ROWS(nombres[]),1)=AGA$1490,ROW(OFFSET(nombres[],0,0,ROWS(nombres[]),1))-ROW(OFFSET(nombres[],0,0,1,1))+1,ROW(OFFSET(nombres[],ROWS(nombres[])-1,0,1,1))+1),$O1553:$O1572),3),"")</f>
        <v/>
      </c>
      <c r="AGB1553" s="42" t="str">
        <f t="array" aca="1" ref="AGB1553" ca="1">IFERROR(INDEX(nombres[],SMALL(IF(OFFSET(nombres[],0,0,ROWS(nombres[]),1)=AGB$1490,ROW(OFFSET(nombres[],0,0,ROWS(nombres[]),1))-ROW(OFFSET(nombres[],0,0,1,1))+1,ROW(OFFSET(nombres[],ROWS(nombres[])-1,0,1,1))+1),$O1553:$O1572),3),"")</f>
        <v/>
      </c>
      <c r="AGC1553" s="42" t="str">
        <f t="array" aca="1" ref="AGC1553" ca="1">IFERROR(INDEX(nombres[],SMALL(IF(OFFSET(nombres[],0,0,ROWS(nombres[]),1)=AGC$1490,ROW(OFFSET(nombres[],0,0,ROWS(nombres[]),1))-ROW(OFFSET(nombres[],0,0,1,1))+1,ROW(OFFSET(nombres[],ROWS(nombres[])-1,0,1,1))+1),$O1553:$O1572),3),"")</f>
        <v/>
      </c>
      <c r="AGD1553" s="42" t="str">
        <f t="array" aca="1" ref="AGD1553" ca="1">IFERROR(INDEX(nombres[],SMALL(IF(OFFSET(nombres[],0,0,ROWS(nombres[]),1)=AGD$1490,ROW(OFFSET(nombres[],0,0,ROWS(nombres[]),1))-ROW(OFFSET(nombres[],0,0,1,1))+1,ROW(OFFSET(nombres[],ROWS(nombres[])-1,0,1,1))+1),$O1553:$O1572),3),"")</f>
        <v/>
      </c>
      <c r="AGE1553" s="42" t="str">
        <f t="array" aca="1" ref="AGE1553" ca="1">IFERROR(INDEX(nombres[],SMALL(IF(OFFSET(nombres[],0,0,ROWS(nombres[]),1)=AGE$1490,ROW(OFFSET(nombres[],0,0,ROWS(nombres[]),1))-ROW(OFFSET(nombres[],0,0,1,1))+1,ROW(OFFSET(nombres[],ROWS(nombres[])-1,0,1,1))+1),$O1553:$O1572),3),"")</f>
        <v/>
      </c>
      <c r="AGF1553" s="42" t="str">
        <f t="array" aca="1" ref="AGF1553" ca="1">IFERROR(INDEX(nombres[],SMALL(IF(OFFSET(nombres[],0,0,ROWS(nombres[]),1)=AGF$1490,ROW(OFFSET(nombres[],0,0,ROWS(nombres[]),1))-ROW(OFFSET(nombres[],0,0,1,1))+1,ROW(OFFSET(nombres[],ROWS(nombres[])-1,0,1,1))+1),$O1553:$O1572),3),"")</f>
        <v/>
      </c>
      <c r="AGG1553" s="42" t="str">
        <f t="array" aca="1" ref="AGG1553" ca="1">IFERROR(INDEX(nombres[],SMALL(IF(OFFSET(nombres[],0,0,ROWS(nombres[]),1)=AGG$1490,ROW(OFFSET(nombres[],0,0,ROWS(nombres[]),1))-ROW(OFFSET(nombres[],0,0,1,1))+1,ROW(OFFSET(nombres[],ROWS(nombres[])-1,0,1,1))+1),$O1553:$O1572),3),"")</f>
        <v/>
      </c>
      <c r="AGH1553" s="42" t="str">
        <f t="array" aca="1" ref="AGH1553" ca="1">IFERROR(INDEX(nombres[],SMALL(IF(OFFSET(nombres[],0,0,ROWS(nombres[]),1)=AGH$1490,ROW(OFFSET(nombres[],0,0,ROWS(nombres[]),1))-ROW(OFFSET(nombres[],0,0,1,1))+1,ROW(OFFSET(nombres[],ROWS(nombres[])-1,0,1,1))+1),$O1553:$O1572),3),"")</f>
        <v/>
      </c>
      <c r="AGI1553" s="42" t="str">
        <f t="array" aca="1" ref="AGI1553" ca="1">IFERROR(INDEX(nombres[],SMALL(IF(OFFSET(nombres[],0,0,ROWS(nombres[]),1)=AGI$1490,ROW(OFFSET(nombres[],0,0,ROWS(nombres[]),1))-ROW(OFFSET(nombres[],0,0,1,1))+1,ROW(OFFSET(nombres[],ROWS(nombres[])-1,0,1,1))+1),$O1553:$O1572),3),"")</f>
        <v/>
      </c>
      <c r="AGJ1553" s="42" t="str">
        <f t="array" aca="1" ref="AGJ1553" ca="1">IFERROR(INDEX(nombres[],SMALL(IF(OFFSET(nombres[],0,0,ROWS(nombres[]),1)=AGJ$1490,ROW(OFFSET(nombres[],0,0,ROWS(nombres[]),1))-ROW(OFFSET(nombres[],0,0,1,1))+1,ROW(OFFSET(nombres[],ROWS(nombres[])-1,0,1,1))+1),$O1553:$O1572),3),"")</f>
        <v/>
      </c>
      <c r="AGK1553" s="42" t="str">
        <f t="array" aca="1" ref="AGK1553" ca="1">IFERROR(INDEX(nombres[],SMALL(IF(OFFSET(nombres[],0,0,ROWS(nombres[]),1)=AGK$1490,ROW(OFFSET(nombres[],0,0,ROWS(nombres[]),1))-ROW(OFFSET(nombres[],0,0,1,1))+1,ROW(OFFSET(nombres[],ROWS(nombres[])-1,0,1,1))+1),$O1553:$O1572),3),"")</f>
        <v/>
      </c>
      <c r="AGL1553" s="42" t="str">
        <f t="array" aca="1" ref="AGL1553" ca="1">IFERROR(INDEX(nombres[],SMALL(IF(OFFSET(nombres[],0,0,ROWS(nombres[]),1)=AGL$1490,ROW(OFFSET(nombres[],0,0,ROWS(nombres[]),1))-ROW(OFFSET(nombres[],0,0,1,1))+1,ROW(OFFSET(nombres[],ROWS(nombres[])-1,0,1,1))+1),$O1553:$O1572),3),"")</f>
        <v/>
      </c>
      <c r="AGM1553" s="42" t="str">
        <f t="array" aca="1" ref="AGM1553" ca="1">IFERROR(INDEX(nombres[],SMALL(IF(OFFSET(nombres[],0,0,ROWS(nombres[]),1)=AGM$1490,ROW(OFFSET(nombres[],0,0,ROWS(nombres[]),1))-ROW(OFFSET(nombres[],0,0,1,1))+1,ROW(OFFSET(nombres[],ROWS(nombres[])-1,0,1,1))+1),$O1553:$O1572),3),"")</f>
        <v/>
      </c>
      <c r="AGN1553" s="42" t="str">
        <f t="array" aca="1" ref="AGN1553" ca="1">IFERROR(INDEX(nombres[],SMALL(IF(OFFSET(nombres[],0,0,ROWS(nombres[]),1)=AGN$1490,ROW(OFFSET(nombres[],0,0,ROWS(nombres[]),1))-ROW(OFFSET(nombres[],0,0,1,1))+1,ROW(OFFSET(nombres[],ROWS(nombres[])-1,0,1,1))+1),$O1553:$O1572),3),"")</f>
        <v/>
      </c>
    </row>
    <row r="1554" spans="15:872" x14ac:dyDescent="0.25">
      <c r="O1554" s="42">
        <v>18</v>
      </c>
      <c r="P1554" s="42" t="str">
        <f t="array" aca="1" ref="P1554" ca="1">IFERROR(INDEX(nombres[],SMALL(IF(OFFSET(nombres[],0,0,ROWS(nombres[]),1)=P$1490,ROW(OFFSET(nombres[],0,0,ROWS(nombres[]),1))-ROW(OFFSET(nombres[],0,0,1,1))+1,ROW(OFFSET(nombres[],ROWS(nombres[])-1,0,1,1))+1),$O1554:$O1573),3),"")</f>
        <v/>
      </c>
      <c r="Q1554" s="42" t="str">
        <f t="array" aca="1" ref="Q1554" ca="1">IFERROR(INDEX(nombres[],SMALL(IF(OFFSET(nombres[],0,0,ROWS(nombres[]),1)=Q$1490,ROW(OFFSET(nombres[],0,0,ROWS(nombres[]),1))-ROW(OFFSET(nombres[],0,0,1,1))+1,ROW(OFFSET(nombres[],ROWS(nombres[])-1,0,1,1))+1),$O1554:$O1573),3),"")</f>
        <v/>
      </c>
      <c r="R1554" s="42" t="str">
        <f t="array" aca="1" ref="R1554" ca="1">IFERROR(INDEX(nombres[],SMALL(IF(OFFSET(nombres[],0,0,ROWS(nombres[]),1)=R$1490,ROW(OFFSET(nombres[],0,0,ROWS(nombres[]),1))-ROW(OFFSET(nombres[],0,0,1,1))+1,ROW(OFFSET(nombres[],ROWS(nombres[])-1,0,1,1))+1),$O1554:$O1573),3),"")</f>
        <v/>
      </c>
      <c r="S1554" s="42" t="str">
        <f t="array" aca="1" ref="S1554" ca="1">IFERROR(INDEX(nombres[],SMALL(IF(OFFSET(nombres[],0,0,ROWS(nombres[]),1)=S$1490,ROW(OFFSET(nombres[],0,0,ROWS(nombres[]),1))-ROW(OFFSET(nombres[],0,0,1,1))+1,ROW(OFFSET(nombres[],ROWS(nombres[])-1,0,1,1))+1),$O1554:$O1573),3),"")</f>
        <v/>
      </c>
      <c r="T1554" s="42" t="str">
        <f t="array" aca="1" ref="T1554" ca="1">IFERROR(INDEX(nombres[],SMALL(IF(OFFSET(nombres[],0,0,ROWS(nombres[]),1)=T$1490,ROW(OFFSET(nombres[],0,0,ROWS(nombres[]),1))-ROW(OFFSET(nombres[],0,0,1,1))+1,ROW(OFFSET(nombres[],ROWS(nombres[])-1,0,1,1))+1),$O1554:$O1573),3),"")</f>
        <v/>
      </c>
      <c r="U1554" s="42" t="str">
        <f t="array" aca="1" ref="U1554" ca="1">IFERROR(INDEX(nombres[],SMALL(IF(OFFSET(nombres[],0,0,ROWS(nombres[]),1)=U$1490,ROW(OFFSET(nombres[],0,0,ROWS(nombres[]),1))-ROW(OFFSET(nombres[],0,0,1,1))+1,ROW(OFFSET(nombres[],ROWS(nombres[])-1,0,1,1))+1),$O1554:$O1573),3),"")</f>
        <v/>
      </c>
      <c r="V1554" s="42" t="str">
        <f t="array" aca="1" ref="V1554" ca="1">IFERROR(INDEX(nombres[],SMALL(IF(OFFSET(nombres[],0,0,ROWS(nombres[]),1)=V$1490,ROW(OFFSET(nombres[],0,0,ROWS(nombres[]),1))-ROW(OFFSET(nombres[],0,0,1,1))+1,ROW(OFFSET(nombres[],ROWS(nombres[])-1,0,1,1))+1),$O1554:$O1573),3),"")</f>
        <v/>
      </c>
      <c r="W1554" s="42" t="str">
        <f t="array" aca="1" ref="W1554" ca="1">IFERROR(INDEX(nombres[],SMALL(IF(OFFSET(nombres[],0,0,ROWS(nombres[]),1)=W$1490,ROW(OFFSET(nombres[],0,0,ROWS(nombres[]),1))-ROW(OFFSET(nombres[],0,0,1,1))+1,ROW(OFFSET(nombres[],ROWS(nombres[])-1,0,1,1))+1),$O1554:$O1573),3),"")</f>
        <v/>
      </c>
      <c r="X1554" s="42" t="str">
        <f t="array" aca="1" ref="X1554" ca="1">IFERROR(INDEX(nombres[],SMALL(IF(OFFSET(nombres[],0,0,ROWS(nombres[]),1)=X$1490,ROW(OFFSET(nombres[],0,0,ROWS(nombres[]),1))-ROW(OFFSET(nombres[],0,0,1,1))+1,ROW(OFFSET(nombres[],ROWS(nombres[])-1,0,1,1))+1),$O1554:$O1573),3),"")</f>
        <v/>
      </c>
      <c r="Y1554" s="42" t="str">
        <f t="array" aca="1" ref="Y1554" ca="1">IFERROR(INDEX(nombres[],SMALL(IF(OFFSET(nombres[],0,0,ROWS(nombres[]),1)=Y$1490,ROW(OFFSET(nombres[],0,0,ROWS(nombres[]),1))-ROW(OFFSET(nombres[],0,0,1,1))+1,ROW(OFFSET(nombres[],ROWS(nombres[])-1,0,1,1))+1),$O1554:$O1573),3),"")</f>
        <v/>
      </c>
      <c r="Z1554" s="42" t="str">
        <f t="array" aca="1" ref="Z1554" ca="1">IFERROR(INDEX(nombres[],SMALL(IF(OFFSET(nombres[],0,0,ROWS(nombres[]),1)=Z$1490,ROW(OFFSET(nombres[],0,0,ROWS(nombres[]),1))-ROW(OFFSET(nombres[],0,0,1,1))+1,ROW(OFFSET(nombres[],ROWS(nombres[])-1,0,1,1))+1),$O1554:$O1573),3),"")</f>
        <v/>
      </c>
      <c r="AA1554" s="42" t="str">
        <f t="array" aca="1" ref="AA1554" ca="1">IFERROR(INDEX(nombres[],SMALL(IF(OFFSET(nombres[],0,0,ROWS(nombres[]),1)=AA$1490,ROW(OFFSET(nombres[],0,0,ROWS(nombres[]),1))-ROW(OFFSET(nombres[],0,0,1,1))+1,ROW(OFFSET(nombres[],ROWS(nombres[])-1,0,1,1))+1),$O1554:$O1573),3),"")</f>
        <v/>
      </c>
      <c r="AB1554" s="42" t="str">
        <f t="array" aca="1" ref="AB1554" ca="1">IFERROR(INDEX(nombres[],SMALL(IF(OFFSET(nombres[],0,0,ROWS(nombres[]),1)=AB$1490,ROW(OFFSET(nombres[],0,0,ROWS(nombres[]),1))-ROW(OFFSET(nombres[],0,0,1,1))+1,ROW(OFFSET(nombres[],ROWS(nombres[])-1,0,1,1))+1),$O1554:$O1573),3),"")</f>
        <v/>
      </c>
      <c r="AC1554" s="42" t="str">
        <f t="array" aca="1" ref="AC1554" ca="1">IFERROR(INDEX(nombres[],SMALL(IF(OFFSET(nombres[],0,0,ROWS(nombres[]),1)=AC$1490,ROW(OFFSET(nombres[],0,0,ROWS(nombres[]),1))-ROW(OFFSET(nombres[],0,0,1,1))+1,ROW(OFFSET(nombres[],ROWS(nombres[])-1,0,1,1))+1),$O1554:$O1573),3),"")</f>
        <v/>
      </c>
      <c r="AD1554" s="42" t="str">
        <f t="array" aca="1" ref="AD1554" ca="1">IFERROR(INDEX(nombres[],SMALL(IF(OFFSET(nombres[],0,0,ROWS(nombres[]),1)=AD$1490,ROW(OFFSET(nombres[],0,0,ROWS(nombres[]),1))-ROW(OFFSET(nombres[],0,0,1,1))+1,ROW(OFFSET(nombres[],ROWS(nombres[])-1,0,1,1))+1),$O1554:$O1573),3),"")</f>
        <v/>
      </c>
      <c r="AE1554" s="42" t="str">
        <f t="array" aca="1" ref="AE1554" ca="1">IFERROR(INDEX(nombres[],SMALL(IF(OFFSET(nombres[],0,0,ROWS(nombres[]),1)=AE$1490,ROW(OFFSET(nombres[],0,0,ROWS(nombres[]),1))-ROW(OFFSET(nombres[],0,0,1,1))+1,ROW(OFFSET(nombres[],ROWS(nombres[])-1,0,1,1))+1),$O1554:$O1573),3),"")</f>
        <v/>
      </c>
      <c r="AF1554" s="42" t="str">
        <f t="array" aca="1" ref="AF1554" ca="1">IFERROR(INDEX(nombres[],SMALL(IF(OFFSET(nombres[],0,0,ROWS(nombres[]),1)=AF$1490,ROW(OFFSET(nombres[],0,0,ROWS(nombres[]),1))-ROW(OFFSET(nombres[],0,0,1,1))+1,ROW(OFFSET(nombres[],ROWS(nombres[])-1,0,1,1))+1),$O1554:$O1573),3),"")</f>
        <v/>
      </c>
      <c r="AG1554" s="42" t="str">
        <f t="array" aca="1" ref="AG1554" ca="1">IFERROR(INDEX(nombres[],SMALL(IF(OFFSET(nombres[],0,0,ROWS(nombres[]),1)=AG$1490,ROW(OFFSET(nombres[],0,0,ROWS(nombres[]),1))-ROW(OFFSET(nombres[],0,0,1,1))+1,ROW(OFFSET(nombres[],ROWS(nombres[])-1,0,1,1))+1),$O1554:$O1573),3),"")</f>
        <v/>
      </c>
      <c r="AH1554" s="42" t="str">
        <f t="array" aca="1" ref="AH1554" ca="1">IFERROR(INDEX(nombres[],SMALL(IF(OFFSET(nombres[],0,0,ROWS(nombres[]),1)=AH$1490,ROW(OFFSET(nombres[],0,0,ROWS(nombres[]),1))-ROW(OFFSET(nombres[],0,0,1,1))+1,ROW(OFFSET(nombres[],ROWS(nombres[])-1,0,1,1))+1),$O1554:$O1573),3),"")</f>
        <v/>
      </c>
      <c r="AI1554" s="42" t="str">
        <f t="array" aca="1" ref="AI1554" ca="1">IFERROR(INDEX(nombres[],SMALL(IF(OFFSET(nombres[],0,0,ROWS(nombres[]),1)=AI$1490,ROW(OFFSET(nombres[],0,0,ROWS(nombres[]),1))-ROW(OFFSET(nombres[],0,0,1,1))+1,ROW(OFFSET(nombres[],ROWS(nombres[])-1,0,1,1))+1),$O1554:$O1573),3),"")</f>
        <v/>
      </c>
      <c r="AJ1554" s="42" t="str">
        <f t="array" aca="1" ref="AJ1554" ca="1">IFERROR(INDEX(nombres[],SMALL(IF(OFFSET(nombres[],0,0,ROWS(nombres[]),1)=AJ$1490,ROW(OFFSET(nombres[],0,0,ROWS(nombres[]),1))-ROW(OFFSET(nombres[],0,0,1,1))+1,ROW(OFFSET(nombres[],ROWS(nombres[])-1,0,1,1))+1),$O1554:$O1573),3),"")</f>
        <v/>
      </c>
      <c r="AK1554" s="42" t="str">
        <f t="array" aca="1" ref="AK1554" ca="1">IFERROR(INDEX(nombres[],SMALL(IF(OFFSET(nombres[],0,0,ROWS(nombres[]),1)=AK$1490,ROW(OFFSET(nombres[],0,0,ROWS(nombres[]),1))-ROW(OFFSET(nombres[],0,0,1,1))+1,ROW(OFFSET(nombres[],ROWS(nombres[])-1,0,1,1))+1),$O1554:$O1573),3),"")</f>
        <v/>
      </c>
      <c r="AL1554" s="42" t="str">
        <f t="array" aca="1" ref="AL1554" ca="1">IFERROR(INDEX(nombres[],SMALL(IF(OFFSET(nombres[],0,0,ROWS(nombres[]),1)=AL$1490,ROW(OFFSET(nombres[],0,0,ROWS(nombres[]),1))-ROW(OFFSET(nombres[],0,0,1,1))+1,ROW(OFFSET(nombres[],ROWS(nombres[])-1,0,1,1))+1),$O1554:$O1573),3),"")</f>
        <v/>
      </c>
      <c r="AM1554" s="42" t="str">
        <f t="array" aca="1" ref="AM1554" ca="1">IFERROR(INDEX(nombres[],SMALL(IF(OFFSET(nombres[],0,0,ROWS(nombres[]),1)=AM$1490,ROW(OFFSET(nombres[],0,0,ROWS(nombres[]),1))-ROW(OFFSET(nombres[],0,0,1,1))+1,ROW(OFFSET(nombres[],ROWS(nombres[])-1,0,1,1))+1),$O1554:$O1573),3),"")</f>
        <v/>
      </c>
      <c r="AN1554" s="42" t="str">
        <f t="array" aca="1" ref="AN1554" ca="1">IFERROR(INDEX(nombres[],SMALL(IF(OFFSET(nombres[],0,0,ROWS(nombres[]),1)=AN$1490,ROW(OFFSET(nombres[],0,0,ROWS(nombres[]),1))-ROW(OFFSET(nombres[],0,0,1,1))+1,ROW(OFFSET(nombres[],ROWS(nombres[])-1,0,1,1))+1),$O1554:$O1573),3),"")</f>
        <v/>
      </c>
      <c r="AO1554" s="42" t="str">
        <f t="array" aca="1" ref="AO1554" ca="1">IFERROR(INDEX(nombres[],SMALL(IF(OFFSET(nombres[],0,0,ROWS(nombres[]),1)=AO$1490,ROW(OFFSET(nombres[],0,0,ROWS(nombres[]),1))-ROW(OFFSET(nombres[],0,0,1,1))+1,ROW(OFFSET(nombres[],ROWS(nombres[])-1,0,1,1))+1),$O1554:$O1573),3),"")</f>
        <v/>
      </c>
      <c r="AP1554" s="42" t="str">
        <f t="array" aca="1" ref="AP1554" ca="1">IFERROR(INDEX(nombres[],SMALL(IF(OFFSET(nombres[],0,0,ROWS(nombres[]),1)=AP$1490,ROW(OFFSET(nombres[],0,0,ROWS(nombres[]),1))-ROW(OFFSET(nombres[],0,0,1,1))+1,ROW(OFFSET(nombres[],ROWS(nombres[])-1,0,1,1))+1),$O1554:$O1573),3),"")</f>
        <v/>
      </c>
      <c r="AQ1554" s="42" t="str">
        <f t="array" aca="1" ref="AQ1554" ca="1">IFERROR(INDEX(nombres[],SMALL(IF(OFFSET(nombres[],0,0,ROWS(nombres[]),1)=AQ$1490,ROW(OFFSET(nombres[],0,0,ROWS(nombres[]),1))-ROW(OFFSET(nombres[],0,0,1,1))+1,ROW(OFFSET(nombres[],ROWS(nombres[])-1,0,1,1))+1),$O1554:$O1573),3),"")</f>
        <v/>
      </c>
      <c r="AR1554" s="42" t="str">
        <f t="array" aca="1" ref="AR1554" ca="1">IFERROR(INDEX(nombres[],SMALL(IF(OFFSET(nombres[],0,0,ROWS(nombres[]),1)=AR$1490,ROW(OFFSET(nombres[],0,0,ROWS(nombres[]),1))-ROW(OFFSET(nombres[],0,0,1,1))+1,ROW(OFFSET(nombres[],ROWS(nombres[])-1,0,1,1))+1),$O1554:$O1573),3),"")</f>
        <v/>
      </c>
      <c r="AS1554" s="42" t="str">
        <f t="array" aca="1" ref="AS1554" ca="1">IFERROR(INDEX(nombres[],SMALL(IF(OFFSET(nombres[],0,0,ROWS(nombres[]),1)=AS$1490,ROW(OFFSET(nombres[],0,0,ROWS(nombres[]),1))-ROW(OFFSET(nombres[],0,0,1,1))+1,ROW(OFFSET(nombres[],ROWS(nombres[])-1,0,1,1))+1),$O1554:$O1573),3),"")</f>
        <v/>
      </c>
      <c r="AT1554" s="42" t="str">
        <f t="array" aca="1" ref="AT1554" ca="1">IFERROR(INDEX(nombres[],SMALL(IF(OFFSET(nombres[],0,0,ROWS(nombres[]),1)=AT$1490,ROW(OFFSET(nombres[],0,0,ROWS(nombres[]),1))-ROW(OFFSET(nombres[],0,0,1,1))+1,ROW(OFFSET(nombres[],ROWS(nombres[])-1,0,1,1))+1),$O1554:$O1573),3),"")</f>
        <v/>
      </c>
      <c r="AU1554" s="42" t="str">
        <f t="array" aca="1" ref="AU1554" ca="1">IFERROR(INDEX(nombres[],SMALL(IF(OFFSET(nombres[],0,0,ROWS(nombres[]),1)=AU$1490,ROW(OFFSET(nombres[],0,0,ROWS(nombres[]),1))-ROW(OFFSET(nombres[],0,0,1,1))+1,ROW(OFFSET(nombres[],ROWS(nombres[])-1,0,1,1))+1),$O1554:$O1573),3),"")</f>
        <v/>
      </c>
      <c r="AV1554" s="42" t="str">
        <f t="array" aca="1" ref="AV1554" ca="1">IFERROR(INDEX(nombres[],SMALL(IF(OFFSET(nombres[],0,0,ROWS(nombres[]),1)=AV$1490,ROW(OFFSET(nombres[],0,0,ROWS(nombres[]),1))-ROW(OFFSET(nombres[],0,0,1,1))+1,ROW(OFFSET(nombres[],ROWS(nombres[])-1,0,1,1))+1),$O1554:$O1573),3),"")</f>
        <v/>
      </c>
      <c r="AW1554" s="42" t="str">
        <f t="array" aca="1" ref="AW1554" ca="1">IFERROR(INDEX(nombres[],SMALL(IF(OFFSET(nombres[],0,0,ROWS(nombres[]),1)=AW$1490,ROW(OFFSET(nombres[],0,0,ROWS(nombres[]),1))-ROW(OFFSET(nombres[],0,0,1,1))+1,ROW(OFFSET(nombres[],ROWS(nombres[])-1,0,1,1))+1),$O1554:$O1573),3),"")</f>
        <v/>
      </c>
      <c r="AX1554" s="42" t="str">
        <f t="array" aca="1" ref="AX1554" ca="1">IFERROR(INDEX(nombres[],SMALL(IF(OFFSET(nombres[],0,0,ROWS(nombres[]),1)=AX$1490,ROW(OFFSET(nombres[],0,0,ROWS(nombres[]),1))-ROW(OFFSET(nombres[],0,0,1,1))+1,ROW(OFFSET(nombres[],ROWS(nombres[])-1,0,1,1))+1),$O1554:$O1573),3),"")</f>
        <v/>
      </c>
      <c r="AY1554" s="42" t="str">
        <f t="array" aca="1" ref="AY1554" ca="1">IFERROR(INDEX(nombres[],SMALL(IF(OFFSET(nombres[],0,0,ROWS(nombres[]),1)=AY$1490,ROW(OFFSET(nombres[],0,0,ROWS(nombres[]),1))-ROW(OFFSET(nombres[],0,0,1,1))+1,ROW(OFFSET(nombres[],ROWS(nombres[])-1,0,1,1))+1),$O1554:$O1573),3),"")</f>
        <v/>
      </c>
      <c r="AZ1554" s="42" t="str">
        <f t="array" aca="1" ref="AZ1554" ca="1">IFERROR(INDEX(nombres[],SMALL(IF(OFFSET(nombres[],0,0,ROWS(nombres[]),1)=AZ$1490,ROW(OFFSET(nombres[],0,0,ROWS(nombres[]),1))-ROW(OFFSET(nombres[],0,0,1,1))+1,ROW(OFFSET(nombres[],ROWS(nombres[])-1,0,1,1))+1),$O1554:$O1573),3),"")</f>
        <v/>
      </c>
      <c r="BA1554" s="42" t="str">
        <f t="array" aca="1" ref="BA1554" ca="1">IFERROR(INDEX(nombres[],SMALL(IF(OFFSET(nombres[],0,0,ROWS(nombres[]),1)=BA$1490,ROW(OFFSET(nombres[],0,0,ROWS(nombres[]),1))-ROW(OFFSET(nombres[],0,0,1,1))+1,ROW(OFFSET(nombres[],ROWS(nombres[])-1,0,1,1))+1),$O1554:$O1573),3),"")</f>
        <v/>
      </c>
      <c r="BB1554" s="42" t="str">
        <f t="array" aca="1" ref="BB1554" ca="1">IFERROR(INDEX(nombres[],SMALL(IF(OFFSET(nombres[],0,0,ROWS(nombres[]),1)=BB$1490,ROW(OFFSET(nombres[],0,0,ROWS(nombres[]),1))-ROW(OFFSET(nombres[],0,0,1,1))+1,ROW(OFFSET(nombres[],ROWS(nombres[])-1,0,1,1))+1),$O1554:$O1573),3),"")</f>
        <v/>
      </c>
      <c r="BC1554" s="42" t="str">
        <f t="array" aca="1" ref="BC1554" ca="1">IFERROR(INDEX(nombres[],SMALL(IF(OFFSET(nombres[],0,0,ROWS(nombres[]),1)=BC$1490,ROW(OFFSET(nombres[],0,0,ROWS(nombres[]),1))-ROW(OFFSET(nombres[],0,0,1,1))+1,ROW(OFFSET(nombres[],ROWS(nombres[])-1,0,1,1))+1),$O1554:$O1573),3),"")</f>
        <v/>
      </c>
      <c r="BD1554" s="42" t="str">
        <f t="array" aca="1" ref="BD1554" ca="1">IFERROR(INDEX(nombres[],SMALL(IF(OFFSET(nombres[],0,0,ROWS(nombres[]),1)=BD$1490,ROW(OFFSET(nombres[],0,0,ROWS(nombres[]),1))-ROW(OFFSET(nombres[],0,0,1,1))+1,ROW(OFFSET(nombres[],ROWS(nombres[])-1,0,1,1))+1),$O1554:$O1573),3),"")</f>
        <v/>
      </c>
      <c r="BE1554" s="42" t="str">
        <f t="array" aca="1" ref="BE1554" ca="1">IFERROR(INDEX(nombres[],SMALL(IF(OFFSET(nombres[],0,0,ROWS(nombres[]),1)=BE$1490,ROW(OFFSET(nombres[],0,0,ROWS(nombres[]),1))-ROW(OFFSET(nombres[],0,0,1,1))+1,ROW(OFFSET(nombres[],ROWS(nombres[])-1,0,1,1))+1),$O1554:$O1573),3),"")</f>
        <v/>
      </c>
      <c r="BF1554" s="42" t="str">
        <f t="array" aca="1" ref="BF1554" ca="1">IFERROR(INDEX(nombres[],SMALL(IF(OFFSET(nombres[],0,0,ROWS(nombres[]),1)=BF$1490,ROW(OFFSET(nombres[],0,0,ROWS(nombres[]),1))-ROW(OFFSET(nombres[],0,0,1,1))+1,ROW(OFFSET(nombres[],ROWS(nombres[])-1,0,1,1))+1),$O1554:$O1573),3),"")</f>
        <v/>
      </c>
      <c r="BG1554" s="42" t="str">
        <f t="array" aca="1" ref="BG1554" ca="1">IFERROR(INDEX(nombres[],SMALL(IF(OFFSET(nombres[],0,0,ROWS(nombres[]),1)=BG$1490,ROW(OFFSET(nombres[],0,0,ROWS(nombres[]),1))-ROW(OFFSET(nombres[],0,0,1,1))+1,ROW(OFFSET(nombres[],ROWS(nombres[])-1,0,1,1))+1),$O1554:$O1573),3),"")</f>
        <v/>
      </c>
      <c r="BH1554" s="42" t="str">
        <f t="array" aca="1" ref="BH1554" ca="1">IFERROR(INDEX(nombres[],SMALL(IF(OFFSET(nombres[],0,0,ROWS(nombres[]),1)=BH$1490,ROW(OFFSET(nombres[],0,0,ROWS(nombres[]),1))-ROW(OFFSET(nombres[],0,0,1,1))+1,ROW(OFFSET(nombres[],ROWS(nombres[])-1,0,1,1))+1),$O1554:$O1573),3),"")</f>
        <v/>
      </c>
      <c r="BI1554" s="42" t="str">
        <f t="array" aca="1" ref="BI1554" ca="1">IFERROR(INDEX(nombres[],SMALL(IF(OFFSET(nombres[],0,0,ROWS(nombres[]),1)=BI$1490,ROW(OFFSET(nombres[],0,0,ROWS(nombres[]),1))-ROW(OFFSET(nombres[],0,0,1,1))+1,ROW(OFFSET(nombres[],ROWS(nombres[])-1,0,1,1))+1),$O1554:$O1573),3),"")</f>
        <v/>
      </c>
      <c r="BJ1554" s="42" t="str">
        <f t="array" aca="1" ref="BJ1554" ca="1">IFERROR(INDEX(nombres[],SMALL(IF(OFFSET(nombres[],0,0,ROWS(nombres[]),1)=BJ$1490,ROW(OFFSET(nombres[],0,0,ROWS(nombres[]),1))-ROW(OFFSET(nombres[],0,0,1,1))+1,ROW(OFFSET(nombres[],ROWS(nombres[])-1,0,1,1))+1),$O1554:$O1573),3),"")</f>
        <v/>
      </c>
      <c r="BK1554" s="42" t="str">
        <f t="array" aca="1" ref="BK1554" ca="1">IFERROR(INDEX(nombres[],SMALL(IF(OFFSET(nombres[],0,0,ROWS(nombres[]),1)=BK$1490,ROW(OFFSET(nombres[],0,0,ROWS(nombres[]),1))-ROW(OFFSET(nombres[],0,0,1,1))+1,ROW(OFFSET(nombres[],ROWS(nombres[])-1,0,1,1))+1),$O1554:$O1573),3),"")</f>
        <v/>
      </c>
      <c r="BL1554" s="42" t="str">
        <f t="array" aca="1" ref="BL1554" ca="1">IFERROR(INDEX(nombres[],SMALL(IF(OFFSET(nombres[],0,0,ROWS(nombres[]),1)=BL$1490,ROW(OFFSET(nombres[],0,0,ROWS(nombres[]),1))-ROW(OFFSET(nombres[],0,0,1,1))+1,ROW(OFFSET(nombres[],ROWS(nombres[])-1,0,1,1))+1),$O1554:$O1573),3),"")</f>
        <v/>
      </c>
      <c r="BM1554" s="42" t="str">
        <f t="array" aca="1" ref="BM1554" ca="1">IFERROR(INDEX(nombres[],SMALL(IF(OFFSET(nombres[],0,0,ROWS(nombres[]),1)=BM$1490,ROW(OFFSET(nombres[],0,0,ROWS(nombres[]),1))-ROW(OFFSET(nombres[],0,0,1,1))+1,ROW(OFFSET(nombres[],ROWS(nombres[])-1,0,1,1))+1),$O1554:$O1573),3),"")</f>
        <v/>
      </c>
      <c r="BN1554" s="42" t="str">
        <f t="array" aca="1" ref="BN1554" ca="1">IFERROR(INDEX(nombres[],SMALL(IF(OFFSET(nombres[],0,0,ROWS(nombres[]),1)=BN$1490,ROW(OFFSET(nombres[],0,0,ROWS(nombres[]),1))-ROW(OFFSET(nombres[],0,0,1,1))+1,ROW(OFFSET(nombres[],ROWS(nombres[])-1,0,1,1))+1),$O1554:$O1573),3),"")</f>
        <v/>
      </c>
      <c r="BO1554" s="42" t="str">
        <f t="array" aca="1" ref="BO1554" ca="1">IFERROR(INDEX(nombres[],SMALL(IF(OFFSET(nombres[],0,0,ROWS(nombres[]),1)=BO$1490,ROW(OFFSET(nombres[],0,0,ROWS(nombres[]),1))-ROW(OFFSET(nombres[],0,0,1,1))+1,ROW(OFFSET(nombres[],ROWS(nombres[])-1,0,1,1))+1),$O1554:$O1573),3),"")</f>
        <v/>
      </c>
      <c r="BP1554" s="42" t="str">
        <f t="array" aca="1" ref="BP1554" ca="1">IFERROR(INDEX(nombres[],SMALL(IF(OFFSET(nombres[],0,0,ROWS(nombres[]),1)=BP$1490,ROW(OFFSET(nombres[],0,0,ROWS(nombres[]),1))-ROW(OFFSET(nombres[],0,0,1,1))+1,ROW(OFFSET(nombres[],ROWS(nombres[])-1,0,1,1))+1),$O1554:$O1573),3),"")</f>
        <v/>
      </c>
      <c r="BQ1554" s="42" t="str">
        <f t="array" aca="1" ref="BQ1554" ca="1">IFERROR(INDEX(nombres[],SMALL(IF(OFFSET(nombres[],0,0,ROWS(nombres[]),1)=BQ$1490,ROW(OFFSET(nombres[],0,0,ROWS(nombres[]),1))-ROW(OFFSET(nombres[],0,0,1,1))+1,ROW(OFFSET(nombres[],ROWS(nombres[])-1,0,1,1))+1),$O1554:$O1573),3),"")</f>
        <v/>
      </c>
      <c r="BR1554" s="42" t="str">
        <f t="array" aca="1" ref="BR1554" ca="1">IFERROR(INDEX(nombres[],SMALL(IF(OFFSET(nombres[],0,0,ROWS(nombres[]),1)=BR$1490,ROW(OFFSET(nombres[],0,0,ROWS(nombres[]),1))-ROW(OFFSET(nombres[],0,0,1,1))+1,ROW(OFFSET(nombres[],ROWS(nombres[])-1,0,1,1))+1),$O1554:$O1573),3),"")</f>
        <v/>
      </c>
      <c r="BS1554" s="42" t="str">
        <f t="array" aca="1" ref="BS1554" ca="1">IFERROR(INDEX(nombres[],SMALL(IF(OFFSET(nombres[],0,0,ROWS(nombres[]),1)=BS$1490,ROW(OFFSET(nombres[],0,0,ROWS(nombres[]),1))-ROW(OFFSET(nombres[],0,0,1,1))+1,ROW(OFFSET(nombres[],ROWS(nombres[])-1,0,1,1))+1),$O1554:$O1573),3),"")</f>
        <v/>
      </c>
      <c r="BT1554" s="42" t="str">
        <f t="array" aca="1" ref="BT1554" ca="1">IFERROR(INDEX(nombres[],SMALL(IF(OFFSET(nombres[],0,0,ROWS(nombres[]),1)=BT$1490,ROW(OFFSET(nombres[],0,0,ROWS(nombres[]),1))-ROW(OFFSET(nombres[],0,0,1,1))+1,ROW(OFFSET(nombres[],ROWS(nombres[])-1,0,1,1))+1),$O1554:$O1573),3),"")</f>
        <v/>
      </c>
      <c r="BU1554" s="42" t="str">
        <f t="array" aca="1" ref="BU1554" ca="1">IFERROR(INDEX(nombres[],SMALL(IF(OFFSET(nombres[],0,0,ROWS(nombres[]),1)=BU$1490,ROW(OFFSET(nombres[],0,0,ROWS(nombres[]),1))-ROW(OFFSET(nombres[],0,0,1,1))+1,ROW(OFFSET(nombres[],ROWS(nombres[])-1,0,1,1))+1),$O1554:$O1573),3),"")</f>
        <v/>
      </c>
      <c r="BV1554" s="42" t="str">
        <f t="array" aca="1" ref="BV1554" ca="1">IFERROR(INDEX(nombres[],SMALL(IF(OFFSET(nombres[],0,0,ROWS(nombres[]),1)=BV$1490,ROW(OFFSET(nombres[],0,0,ROWS(nombres[]),1))-ROW(OFFSET(nombres[],0,0,1,1))+1,ROW(OFFSET(nombres[],ROWS(nombres[])-1,0,1,1))+1),$O1554:$O1573),3),"")</f>
        <v/>
      </c>
      <c r="BW1554" s="42" t="str">
        <f t="array" aca="1" ref="BW1554" ca="1">IFERROR(INDEX(nombres[],SMALL(IF(OFFSET(nombres[],0,0,ROWS(nombres[]),1)=BW$1490,ROW(OFFSET(nombres[],0,0,ROWS(nombres[]),1))-ROW(OFFSET(nombres[],0,0,1,1))+1,ROW(OFFSET(nombres[],ROWS(nombres[])-1,0,1,1))+1),$O1554:$O1573),3),"")</f>
        <v/>
      </c>
      <c r="BX1554" s="42" t="str">
        <f t="array" aca="1" ref="BX1554" ca="1">IFERROR(INDEX(nombres[],SMALL(IF(OFFSET(nombres[],0,0,ROWS(nombres[]),1)=BX$1490,ROW(OFFSET(nombres[],0,0,ROWS(nombres[]),1))-ROW(OFFSET(nombres[],0,0,1,1))+1,ROW(OFFSET(nombres[],ROWS(nombres[])-1,0,1,1))+1),$O1554:$O1573),3),"")</f>
        <v/>
      </c>
      <c r="BY1554" s="42" t="str">
        <f t="array" aca="1" ref="BY1554" ca="1">IFERROR(INDEX(nombres[],SMALL(IF(OFFSET(nombres[],0,0,ROWS(nombres[]),1)=BY$1490,ROW(OFFSET(nombres[],0,0,ROWS(nombres[]),1))-ROW(OFFSET(nombres[],0,0,1,1))+1,ROW(OFFSET(nombres[],ROWS(nombres[])-1,0,1,1))+1),$O1554:$O1573),3),"")</f>
        <v/>
      </c>
      <c r="BZ1554" s="42" t="str">
        <f t="array" aca="1" ref="BZ1554" ca="1">IFERROR(INDEX(nombres[],SMALL(IF(OFFSET(nombres[],0,0,ROWS(nombres[]),1)=BZ$1490,ROW(OFFSET(nombres[],0,0,ROWS(nombres[]),1))-ROW(OFFSET(nombres[],0,0,1,1))+1,ROW(OFFSET(nombres[],ROWS(nombres[])-1,0,1,1))+1),$O1554:$O1573),3),"")</f>
        <v/>
      </c>
      <c r="CA1554" s="42" t="str">
        <f t="array" aca="1" ref="CA1554" ca="1">IFERROR(INDEX(nombres[],SMALL(IF(OFFSET(nombres[],0,0,ROWS(nombres[]),1)=CA$1490,ROW(OFFSET(nombres[],0,0,ROWS(nombres[]),1))-ROW(OFFSET(nombres[],0,0,1,1))+1,ROW(OFFSET(nombres[],ROWS(nombres[])-1,0,1,1))+1),$O1554:$O1573),3),"")</f>
        <v/>
      </c>
      <c r="CB1554" s="42" t="str">
        <f t="array" aca="1" ref="CB1554" ca="1">IFERROR(INDEX(nombres[],SMALL(IF(OFFSET(nombres[],0,0,ROWS(nombres[]),1)=CB$1490,ROW(OFFSET(nombres[],0,0,ROWS(nombres[]),1))-ROW(OFFSET(nombres[],0,0,1,1))+1,ROW(OFFSET(nombres[],ROWS(nombres[])-1,0,1,1))+1),$O1554:$O1573),3),"")</f>
        <v/>
      </c>
      <c r="CC1554" s="42" t="str">
        <f t="array" aca="1" ref="CC1554" ca="1">IFERROR(INDEX(nombres[],SMALL(IF(OFFSET(nombres[],0,0,ROWS(nombres[]),1)=CC$1490,ROW(OFFSET(nombres[],0,0,ROWS(nombres[]),1))-ROW(OFFSET(nombres[],0,0,1,1))+1,ROW(OFFSET(nombres[],ROWS(nombres[])-1,0,1,1))+1),$O1554:$O1573),3),"")</f>
        <v/>
      </c>
      <c r="CD1554" s="42" t="str">
        <f t="array" aca="1" ref="CD1554" ca="1">IFERROR(INDEX(nombres[],SMALL(IF(OFFSET(nombres[],0,0,ROWS(nombres[]),1)=CD$1490,ROW(OFFSET(nombres[],0,0,ROWS(nombres[]),1))-ROW(OFFSET(nombres[],0,0,1,1))+1,ROW(OFFSET(nombres[],ROWS(nombres[])-1,0,1,1))+1),$O1554:$O1573),3),"")</f>
        <v/>
      </c>
      <c r="CE1554" s="42" t="str">
        <f t="array" aca="1" ref="CE1554" ca="1">IFERROR(INDEX(nombres[],SMALL(IF(OFFSET(nombres[],0,0,ROWS(nombres[]),1)=CE$1490,ROW(OFFSET(nombres[],0,0,ROWS(nombres[]),1))-ROW(OFFSET(nombres[],0,0,1,1))+1,ROW(OFFSET(nombres[],ROWS(nombres[])-1,0,1,1))+1),$O1554:$O1573),3),"")</f>
        <v/>
      </c>
      <c r="CF1554" s="42" t="str">
        <f t="array" aca="1" ref="CF1554" ca="1">IFERROR(INDEX(nombres[],SMALL(IF(OFFSET(nombres[],0,0,ROWS(nombres[]),1)=CF$1490,ROW(OFFSET(nombres[],0,0,ROWS(nombres[]),1))-ROW(OFFSET(nombres[],0,0,1,1))+1,ROW(OFFSET(nombres[],ROWS(nombres[])-1,0,1,1))+1),$O1554:$O1573),3),"")</f>
        <v/>
      </c>
      <c r="CG1554" s="42" t="str">
        <f t="array" aca="1" ref="CG1554" ca="1">IFERROR(INDEX(nombres[],SMALL(IF(OFFSET(nombres[],0,0,ROWS(nombres[]),1)=CG$1490,ROW(OFFSET(nombres[],0,0,ROWS(nombres[]),1))-ROW(OFFSET(nombres[],0,0,1,1))+1,ROW(OFFSET(nombres[],ROWS(nombres[])-1,0,1,1))+1),$O1554:$O1573),3),"")</f>
        <v/>
      </c>
      <c r="CH1554" s="42" t="str">
        <f t="array" aca="1" ref="CH1554" ca="1">IFERROR(INDEX(nombres[],SMALL(IF(OFFSET(nombres[],0,0,ROWS(nombres[]),1)=CH$1490,ROW(OFFSET(nombres[],0,0,ROWS(nombres[]),1))-ROW(OFFSET(nombres[],0,0,1,1))+1,ROW(OFFSET(nombres[],ROWS(nombres[])-1,0,1,1))+1),$O1554:$O1573),3),"")</f>
        <v/>
      </c>
      <c r="CI1554" s="42" t="str">
        <f t="array" aca="1" ref="CI1554" ca="1">IFERROR(INDEX(nombres[],SMALL(IF(OFFSET(nombres[],0,0,ROWS(nombres[]),1)=CI$1490,ROW(OFFSET(nombres[],0,0,ROWS(nombres[]),1))-ROW(OFFSET(nombres[],0,0,1,1))+1,ROW(OFFSET(nombres[],ROWS(nombres[])-1,0,1,1))+1),$O1554:$O1573),3),"")</f>
        <v/>
      </c>
      <c r="CJ1554" s="42" t="str">
        <f t="array" aca="1" ref="CJ1554" ca="1">IFERROR(INDEX(nombres[],SMALL(IF(OFFSET(nombres[],0,0,ROWS(nombres[]),1)=CJ$1490,ROW(OFFSET(nombres[],0,0,ROWS(nombres[]),1))-ROW(OFFSET(nombres[],0,0,1,1))+1,ROW(OFFSET(nombres[],ROWS(nombres[])-1,0,1,1))+1),$O1554:$O1573),3),"")</f>
        <v/>
      </c>
      <c r="CK1554" s="42" t="str">
        <f t="array" aca="1" ref="CK1554" ca="1">IFERROR(INDEX(nombres[],SMALL(IF(OFFSET(nombres[],0,0,ROWS(nombres[]),1)=CK$1490,ROW(OFFSET(nombres[],0,0,ROWS(nombres[]),1))-ROW(OFFSET(nombres[],0,0,1,1))+1,ROW(OFFSET(nombres[],ROWS(nombres[])-1,0,1,1))+1),$O1554:$O1573),3),"")</f>
        <v/>
      </c>
      <c r="CL1554" s="42" t="str">
        <f t="array" aca="1" ref="CL1554" ca="1">IFERROR(INDEX(nombres[],SMALL(IF(OFFSET(nombres[],0,0,ROWS(nombres[]),1)=CL$1490,ROW(OFFSET(nombres[],0,0,ROWS(nombres[]),1))-ROW(OFFSET(nombres[],0,0,1,1))+1,ROW(OFFSET(nombres[],ROWS(nombres[])-1,0,1,1))+1),$O1554:$O1573),3),"")</f>
        <v/>
      </c>
      <c r="CM1554" s="42" t="str">
        <f t="array" aca="1" ref="CM1554" ca="1">IFERROR(INDEX(nombres[],SMALL(IF(OFFSET(nombres[],0,0,ROWS(nombres[]),1)=CM$1490,ROW(OFFSET(nombres[],0,0,ROWS(nombres[]),1))-ROW(OFFSET(nombres[],0,0,1,1))+1,ROW(OFFSET(nombres[],ROWS(nombres[])-1,0,1,1))+1),$O1554:$O1573),3),"")</f>
        <v/>
      </c>
      <c r="CN1554" s="42" t="str">
        <f t="array" aca="1" ref="CN1554" ca="1">IFERROR(INDEX(nombres[],SMALL(IF(OFFSET(nombres[],0,0,ROWS(nombres[]),1)=CN$1490,ROW(OFFSET(nombres[],0,0,ROWS(nombres[]),1))-ROW(OFFSET(nombres[],0,0,1,1))+1,ROW(OFFSET(nombres[],ROWS(nombres[])-1,0,1,1))+1),$O1554:$O1573),3),"")</f>
        <v/>
      </c>
      <c r="CO1554" s="42" t="str">
        <f t="array" aca="1" ref="CO1554" ca="1">IFERROR(INDEX(nombres[],SMALL(IF(OFFSET(nombres[],0,0,ROWS(nombres[]),1)=CO$1490,ROW(OFFSET(nombres[],0,0,ROWS(nombres[]),1))-ROW(OFFSET(nombres[],0,0,1,1))+1,ROW(OFFSET(nombres[],ROWS(nombres[])-1,0,1,1))+1),$O1554:$O1573),3),"")</f>
        <v/>
      </c>
      <c r="CP1554" s="42" t="str">
        <f t="array" aca="1" ref="CP1554" ca="1">IFERROR(INDEX(nombres[],SMALL(IF(OFFSET(nombres[],0,0,ROWS(nombres[]),1)=CP$1490,ROW(OFFSET(nombres[],0,0,ROWS(nombres[]),1))-ROW(OFFSET(nombres[],0,0,1,1))+1,ROW(OFFSET(nombres[],ROWS(nombres[])-1,0,1,1))+1),$O1554:$O1573),3),"")</f>
        <v/>
      </c>
      <c r="CQ1554" s="42" t="str">
        <f t="array" aca="1" ref="CQ1554" ca="1">IFERROR(INDEX(nombres[],SMALL(IF(OFFSET(nombres[],0,0,ROWS(nombres[]),1)=CQ$1490,ROW(OFFSET(nombres[],0,0,ROWS(nombres[]),1))-ROW(OFFSET(nombres[],0,0,1,1))+1,ROW(OFFSET(nombres[],ROWS(nombres[])-1,0,1,1))+1),$O1554:$O1573),3),"")</f>
        <v/>
      </c>
      <c r="CR1554" s="42" t="str">
        <f t="array" aca="1" ref="CR1554" ca="1">IFERROR(INDEX(nombres[],SMALL(IF(OFFSET(nombres[],0,0,ROWS(nombres[]),1)=CR$1490,ROW(OFFSET(nombres[],0,0,ROWS(nombres[]),1))-ROW(OFFSET(nombres[],0,0,1,1))+1,ROW(OFFSET(nombres[],ROWS(nombres[])-1,0,1,1))+1),$O1554:$O1573),3),"")</f>
        <v/>
      </c>
      <c r="CS1554" s="42" t="str">
        <f t="array" aca="1" ref="CS1554" ca="1">IFERROR(INDEX(nombres[],SMALL(IF(OFFSET(nombres[],0,0,ROWS(nombres[]),1)=CS$1490,ROW(OFFSET(nombres[],0,0,ROWS(nombres[]),1))-ROW(OFFSET(nombres[],0,0,1,1))+1,ROW(OFFSET(nombres[],ROWS(nombres[])-1,0,1,1))+1),$O1554:$O1573),3),"")</f>
        <v/>
      </c>
      <c r="CT1554" s="42" t="str">
        <f t="array" aca="1" ref="CT1554" ca="1">IFERROR(INDEX(nombres[],SMALL(IF(OFFSET(nombres[],0,0,ROWS(nombres[]),1)=CT$1490,ROW(OFFSET(nombres[],0,0,ROWS(nombres[]),1))-ROW(OFFSET(nombres[],0,0,1,1))+1,ROW(OFFSET(nombres[],ROWS(nombres[])-1,0,1,1))+1),$O1554:$O1573),3),"")</f>
        <v/>
      </c>
      <c r="CU1554" s="42" t="str">
        <f t="array" aca="1" ref="CU1554" ca="1">IFERROR(INDEX(nombres[],SMALL(IF(OFFSET(nombres[],0,0,ROWS(nombres[]),1)=CU$1490,ROW(OFFSET(nombres[],0,0,ROWS(nombres[]),1))-ROW(OFFSET(nombres[],0,0,1,1))+1,ROW(OFFSET(nombres[],ROWS(nombres[])-1,0,1,1))+1),$O1554:$O1573),3),"")</f>
        <v/>
      </c>
      <c r="CV1554" s="42" t="str">
        <f t="array" aca="1" ref="CV1554" ca="1">IFERROR(INDEX(nombres[],SMALL(IF(OFFSET(nombres[],0,0,ROWS(nombres[]),1)=CV$1490,ROW(OFFSET(nombres[],0,0,ROWS(nombres[]),1))-ROW(OFFSET(nombres[],0,0,1,1))+1,ROW(OFFSET(nombres[],ROWS(nombres[])-1,0,1,1))+1),$O1554:$O1573),3),"")</f>
        <v/>
      </c>
      <c r="CW1554" s="42" t="str">
        <f t="array" aca="1" ref="CW1554" ca="1">IFERROR(INDEX(nombres[],SMALL(IF(OFFSET(nombres[],0,0,ROWS(nombres[]),1)=CW$1490,ROW(OFFSET(nombres[],0,0,ROWS(nombres[]),1))-ROW(OFFSET(nombres[],0,0,1,1))+1,ROW(OFFSET(nombres[],ROWS(nombres[])-1,0,1,1))+1),$O1554:$O1573),3),"")</f>
        <v/>
      </c>
      <c r="CX1554" s="42" t="str">
        <f t="array" aca="1" ref="CX1554" ca="1">IFERROR(INDEX(nombres[],SMALL(IF(OFFSET(nombres[],0,0,ROWS(nombres[]),1)=CX$1490,ROW(OFFSET(nombres[],0,0,ROWS(nombres[]),1))-ROW(OFFSET(nombres[],0,0,1,1))+1,ROW(OFFSET(nombres[],ROWS(nombres[])-1,0,1,1))+1),$O1554:$O1573),3),"")</f>
        <v/>
      </c>
      <c r="CY1554" s="42" t="str">
        <f t="array" aca="1" ref="CY1554" ca="1">IFERROR(INDEX(nombres[],SMALL(IF(OFFSET(nombres[],0,0,ROWS(nombres[]),1)=CY$1490,ROW(OFFSET(nombres[],0,0,ROWS(nombres[]),1))-ROW(OFFSET(nombres[],0,0,1,1))+1,ROW(OFFSET(nombres[],ROWS(nombres[])-1,0,1,1))+1),$O1554:$O1573),3),"")</f>
        <v/>
      </c>
      <c r="CZ1554" s="42" t="str">
        <f t="array" aca="1" ref="CZ1554" ca="1">IFERROR(INDEX(nombres[],SMALL(IF(OFFSET(nombres[],0,0,ROWS(nombres[]),1)=CZ$1490,ROW(OFFSET(nombres[],0,0,ROWS(nombres[]),1))-ROW(OFFSET(nombres[],0,0,1,1))+1,ROW(OFFSET(nombres[],ROWS(nombres[])-1,0,1,1))+1),$O1554:$O1573),3),"")</f>
        <v/>
      </c>
      <c r="DA1554" s="42" t="str">
        <f t="array" aca="1" ref="DA1554" ca="1">IFERROR(INDEX(nombres[],SMALL(IF(OFFSET(nombres[],0,0,ROWS(nombres[]),1)=DA$1490,ROW(OFFSET(nombres[],0,0,ROWS(nombres[]),1))-ROW(OFFSET(nombres[],0,0,1,1))+1,ROW(OFFSET(nombres[],ROWS(nombres[])-1,0,1,1))+1),$O1554:$O1573),3),"")</f>
        <v/>
      </c>
      <c r="DB1554" s="42" t="str">
        <f t="array" aca="1" ref="DB1554" ca="1">IFERROR(INDEX(nombres[],SMALL(IF(OFFSET(nombres[],0,0,ROWS(nombres[]),1)=DB$1490,ROW(OFFSET(nombres[],0,0,ROWS(nombres[]),1))-ROW(OFFSET(nombres[],0,0,1,1))+1,ROW(OFFSET(nombres[],ROWS(nombres[])-1,0,1,1))+1),$O1554:$O1573),3),"")</f>
        <v/>
      </c>
      <c r="DC1554" s="42" t="str">
        <f t="array" aca="1" ref="DC1554" ca="1">IFERROR(INDEX(nombres[],SMALL(IF(OFFSET(nombres[],0,0,ROWS(nombres[]),1)=DC$1490,ROW(OFFSET(nombres[],0,0,ROWS(nombres[]),1))-ROW(OFFSET(nombres[],0,0,1,1))+1,ROW(OFFSET(nombres[],ROWS(nombres[])-1,0,1,1))+1),$O1554:$O1573),3),"")</f>
        <v/>
      </c>
      <c r="DD1554" s="42" t="str">
        <f t="array" aca="1" ref="DD1554" ca="1">IFERROR(INDEX(nombres[],SMALL(IF(OFFSET(nombres[],0,0,ROWS(nombres[]),1)=DD$1490,ROW(OFFSET(nombres[],0,0,ROWS(nombres[]),1))-ROW(OFFSET(nombres[],0,0,1,1))+1,ROW(OFFSET(nombres[],ROWS(nombres[])-1,0,1,1))+1),$O1554:$O1573),3),"")</f>
        <v/>
      </c>
      <c r="DE1554" s="42" t="str">
        <f t="array" aca="1" ref="DE1554" ca="1">IFERROR(INDEX(nombres[],SMALL(IF(OFFSET(nombres[],0,0,ROWS(nombres[]),1)=DE$1490,ROW(OFFSET(nombres[],0,0,ROWS(nombres[]),1))-ROW(OFFSET(nombres[],0,0,1,1))+1,ROW(OFFSET(nombres[],ROWS(nombres[])-1,0,1,1))+1),$O1554:$O1573),3),"")</f>
        <v/>
      </c>
      <c r="DF1554" s="42" t="str">
        <f t="array" aca="1" ref="DF1554" ca="1">IFERROR(INDEX(nombres[],SMALL(IF(OFFSET(nombres[],0,0,ROWS(nombres[]),1)=DF$1490,ROW(OFFSET(nombres[],0,0,ROWS(nombres[]),1))-ROW(OFFSET(nombres[],0,0,1,1))+1,ROW(OFFSET(nombres[],ROWS(nombres[])-1,0,1,1))+1),$O1554:$O1573),3),"")</f>
        <v/>
      </c>
      <c r="DG1554" s="42" t="str">
        <f t="array" aca="1" ref="DG1554" ca="1">IFERROR(INDEX(nombres[],SMALL(IF(OFFSET(nombres[],0,0,ROWS(nombres[]),1)=DG$1490,ROW(OFFSET(nombres[],0,0,ROWS(nombres[]),1))-ROW(OFFSET(nombres[],0,0,1,1))+1,ROW(OFFSET(nombres[],ROWS(nombres[])-1,0,1,1))+1),$O1554:$O1573),3),"")</f>
        <v/>
      </c>
      <c r="DH1554" s="42" t="str">
        <f t="array" aca="1" ref="DH1554" ca="1">IFERROR(INDEX(nombres[],SMALL(IF(OFFSET(nombres[],0,0,ROWS(nombres[]),1)=DH$1490,ROW(OFFSET(nombres[],0,0,ROWS(nombres[]),1))-ROW(OFFSET(nombres[],0,0,1,1))+1,ROW(OFFSET(nombres[],ROWS(nombres[])-1,0,1,1))+1),$O1554:$O1573),3),"")</f>
        <v/>
      </c>
      <c r="DI1554" s="42" t="str">
        <f t="array" aca="1" ref="DI1554" ca="1">IFERROR(INDEX(nombres[],SMALL(IF(OFFSET(nombres[],0,0,ROWS(nombres[]),1)=DI$1490,ROW(OFFSET(nombres[],0,0,ROWS(nombres[]),1))-ROW(OFFSET(nombres[],0,0,1,1))+1,ROW(OFFSET(nombres[],ROWS(nombres[])-1,0,1,1))+1),$O1554:$O1573),3),"")</f>
        <v/>
      </c>
      <c r="DJ1554" s="42" t="str">
        <f t="array" aca="1" ref="DJ1554" ca="1">IFERROR(INDEX(nombres[],SMALL(IF(OFFSET(nombres[],0,0,ROWS(nombres[]),1)=DJ$1490,ROW(OFFSET(nombres[],0,0,ROWS(nombres[]),1))-ROW(OFFSET(nombres[],0,0,1,1))+1,ROW(OFFSET(nombres[],ROWS(nombres[])-1,0,1,1))+1),$O1554:$O1573),3),"")</f>
        <v/>
      </c>
      <c r="DK1554" s="42" t="str">
        <f t="array" aca="1" ref="DK1554" ca="1">IFERROR(INDEX(nombres[],SMALL(IF(OFFSET(nombres[],0,0,ROWS(nombres[]),1)=DK$1490,ROW(OFFSET(nombres[],0,0,ROWS(nombres[]),1))-ROW(OFFSET(nombres[],0,0,1,1))+1,ROW(OFFSET(nombres[],ROWS(nombres[])-1,0,1,1))+1),$O1554:$O1573),3),"")</f>
        <v/>
      </c>
      <c r="DL1554" s="42" t="str">
        <f t="array" aca="1" ref="DL1554" ca="1">IFERROR(INDEX(nombres[],SMALL(IF(OFFSET(nombres[],0,0,ROWS(nombres[]),1)=DL$1490,ROW(OFFSET(nombres[],0,0,ROWS(nombres[]),1))-ROW(OFFSET(nombres[],0,0,1,1))+1,ROW(OFFSET(nombres[],ROWS(nombres[])-1,0,1,1))+1),$O1554:$O1573),3),"")</f>
        <v/>
      </c>
      <c r="DM1554" s="42" t="str">
        <f t="array" aca="1" ref="DM1554" ca="1">IFERROR(INDEX(nombres[],SMALL(IF(OFFSET(nombres[],0,0,ROWS(nombres[]),1)=DM$1490,ROW(OFFSET(nombres[],0,0,ROWS(nombres[]),1))-ROW(OFFSET(nombres[],0,0,1,1))+1,ROW(OFFSET(nombres[],ROWS(nombres[])-1,0,1,1))+1),$O1554:$O1573),3),"")</f>
        <v/>
      </c>
      <c r="DN1554" s="42" t="str">
        <f t="array" aca="1" ref="DN1554" ca="1">IFERROR(INDEX(nombres[],SMALL(IF(OFFSET(nombres[],0,0,ROWS(nombres[]),1)=DN$1490,ROW(OFFSET(nombres[],0,0,ROWS(nombres[]),1))-ROW(OFFSET(nombres[],0,0,1,1))+1,ROW(OFFSET(nombres[],ROWS(nombres[])-1,0,1,1))+1),$O1554:$O1573),3),"")</f>
        <v/>
      </c>
      <c r="DO1554" s="42" t="str">
        <f t="array" aca="1" ref="DO1554" ca="1">IFERROR(INDEX(nombres[],SMALL(IF(OFFSET(nombres[],0,0,ROWS(nombres[]),1)=DO$1490,ROW(OFFSET(nombres[],0,0,ROWS(nombres[]),1))-ROW(OFFSET(nombres[],0,0,1,1))+1,ROW(OFFSET(nombres[],ROWS(nombres[])-1,0,1,1))+1),$O1554:$O1573),3),"")</f>
        <v/>
      </c>
      <c r="DP1554" s="42" t="str">
        <f t="array" aca="1" ref="DP1554" ca="1">IFERROR(INDEX(nombres[],SMALL(IF(OFFSET(nombres[],0,0,ROWS(nombres[]),1)=DP$1490,ROW(OFFSET(nombres[],0,0,ROWS(nombres[]),1))-ROW(OFFSET(nombres[],0,0,1,1))+1,ROW(OFFSET(nombres[],ROWS(nombres[])-1,0,1,1))+1),$O1554:$O1573),3),"")</f>
        <v/>
      </c>
      <c r="DQ1554" s="42" t="str">
        <f t="array" aca="1" ref="DQ1554" ca="1">IFERROR(INDEX(nombres[],SMALL(IF(OFFSET(nombres[],0,0,ROWS(nombres[]),1)=DQ$1490,ROW(OFFSET(nombres[],0,0,ROWS(nombres[]),1))-ROW(OFFSET(nombres[],0,0,1,1))+1,ROW(OFFSET(nombres[],ROWS(nombres[])-1,0,1,1))+1),$O1554:$O1573),3),"")</f>
        <v/>
      </c>
      <c r="DR1554" s="42" t="str">
        <f t="array" aca="1" ref="DR1554" ca="1">IFERROR(INDEX(nombres[],SMALL(IF(OFFSET(nombres[],0,0,ROWS(nombres[]),1)=DR$1490,ROW(OFFSET(nombres[],0,0,ROWS(nombres[]),1))-ROW(OFFSET(nombres[],0,0,1,1))+1,ROW(OFFSET(nombres[],ROWS(nombres[])-1,0,1,1))+1),$O1554:$O1573),3),"")</f>
        <v/>
      </c>
      <c r="DS1554" s="42" t="str">
        <f t="array" aca="1" ref="DS1554" ca="1">IFERROR(INDEX(nombres[],SMALL(IF(OFFSET(nombres[],0,0,ROWS(nombres[]),1)=DS$1490,ROW(OFFSET(nombres[],0,0,ROWS(nombres[]),1))-ROW(OFFSET(nombres[],0,0,1,1))+1,ROW(OFFSET(nombres[],ROWS(nombres[])-1,0,1,1))+1),$O1554:$O1573),3),"")</f>
        <v/>
      </c>
      <c r="DT1554" s="42" t="str">
        <f t="array" aca="1" ref="DT1554" ca="1">IFERROR(INDEX(nombres[],SMALL(IF(OFFSET(nombres[],0,0,ROWS(nombres[]),1)=DT$1490,ROW(OFFSET(nombres[],0,0,ROWS(nombres[]),1))-ROW(OFFSET(nombres[],0,0,1,1))+1,ROW(OFFSET(nombres[],ROWS(nombres[])-1,0,1,1))+1),$O1554:$O1573),3),"")</f>
        <v/>
      </c>
      <c r="DU1554" s="42" t="str">
        <f t="array" aca="1" ref="DU1554" ca="1">IFERROR(INDEX(nombres[],SMALL(IF(OFFSET(nombres[],0,0,ROWS(nombres[]),1)=DU$1490,ROW(OFFSET(nombres[],0,0,ROWS(nombres[]),1))-ROW(OFFSET(nombres[],0,0,1,1))+1,ROW(OFFSET(nombres[],ROWS(nombres[])-1,0,1,1))+1),$O1554:$O1573),3),"")</f>
        <v/>
      </c>
      <c r="DV1554" s="42" t="str">
        <f t="array" aca="1" ref="DV1554" ca="1">IFERROR(INDEX(nombres[],SMALL(IF(OFFSET(nombres[],0,0,ROWS(nombres[]),1)=DV$1490,ROW(OFFSET(nombres[],0,0,ROWS(nombres[]),1))-ROW(OFFSET(nombres[],0,0,1,1))+1,ROW(OFFSET(nombres[],ROWS(nombres[])-1,0,1,1))+1),$O1554:$O1573),3),"")</f>
        <v/>
      </c>
      <c r="DW1554" s="42" t="str">
        <f t="array" aca="1" ref="DW1554" ca="1">IFERROR(INDEX(nombres[],SMALL(IF(OFFSET(nombres[],0,0,ROWS(nombres[]),1)=DW$1490,ROW(OFFSET(nombres[],0,0,ROWS(nombres[]),1))-ROW(OFFSET(nombres[],0,0,1,1))+1,ROW(OFFSET(nombres[],ROWS(nombres[])-1,0,1,1))+1),$O1554:$O1573),3),"")</f>
        <v/>
      </c>
      <c r="DX1554" s="42" t="str">
        <f t="array" aca="1" ref="DX1554" ca="1">IFERROR(INDEX(nombres[],SMALL(IF(OFFSET(nombres[],0,0,ROWS(nombres[]),1)=DX$1490,ROW(OFFSET(nombres[],0,0,ROWS(nombres[]),1))-ROW(OFFSET(nombres[],0,0,1,1))+1,ROW(OFFSET(nombres[],ROWS(nombres[])-1,0,1,1))+1),$O1554:$O1573),3),"")</f>
        <v/>
      </c>
      <c r="DY1554" s="42" t="str">
        <f t="array" aca="1" ref="DY1554" ca="1">IFERROR(INDEX(nombres[],SMALL(IF(OFFSET(nombres[],0,0,ROWS(nombres[]),1)=DY$1490,ROW(OFFSET(nombres[],0,0,ROWS(nombres[]),1))-ROW(OFFSET(nombres[],0,0,1,1))+1,ROW(OFFSET(nombres[],ROWS(nombres[])-1,0,1,1))+1),$O1554:$O1573),3),"")</f>
        <v/>
      </c>
      <c r="DZ1554" s="42" t="str">
        <f t="array" aca="1" ref="DZ1554" ca="1">IFERROR(INDEX(nombres[],SMALL(IF(OFFSET(nombres[],0,0,ROWS(nombres[]),1)=DZ$1490,ROW(OFFSET(nombres[],0,0,ROWS(nombres[]),1))-ROW(OFFSET(nombres[],0,0,1,1))+1,ROW(OFFSET(nombres[],ROWS(nombres[])-1,0,1,1))+1),$O1554:$O1573),3),"")</f>
        <v/>
      </c>
      <c r="EA1554" s="42" t="str">
        <f t="array" aca="1" ref="EA1554" ca="1">IFERROR(INDEX(nombres[],SMALL(IF(OFFSET(nombres[],0,0,ROWS(nombres[]),1)=EA$1490,ROW(OFFSET(nombres[],0,0,ROWS(nombres[]),1))-ROW(OFFSET(nombres[],0,0,1,1))+1,ROW(OFFSET(nombres[],ROWS(nombres[])-1,0,1,1))+1),$O1554:$O1573),3),"")</f>
        <v/>
      </c>
      <c r="EB1554" s="42" t="str">
        <f t="array" aca="1" ref="EB1554" ca="1">IFERROR(INDEX(nombres[],SMALL(IF(OFFSET(nombres[],0,0,ROWS(nombres[]),1)=EB$1490,ROW(OFFSET(nombres[],0,0,ROWS(nombres[]),1))-ROW(OFFSET(nombres[],0,0,1,1))+1,ROW(OFFSET(nombres[],ROWS(nombres[])-1,0,1,1))+1),$O1554:$O1573),3),"")</f>
        <v/>
      </c>
      <c r="EC1554" s="42" t="str">
        <f t="array" aca="1" ref="EC1554" ca="1">IFERROR(INDEX(nombres[],SMALL(IF(OFFSET(nombres[],0,0,ROWS(nombres[]),1)=EC$1490,ROW(OFFSET(nombres[],0,0,ROWS(nombres[]),1))-ROW(OFFSET(nombres[],0,0,1,1))+1,ROW(OFFSET(nombres[],ROWS(nombres[])-1,0,1,1))+1),$O1554:$O1573),3),"")</f>
        <v/>
      </c>
      <c r="ED1554" s="42" t="str">
        <f t="array" aca="1" ref="ED1554" ca="1">IFERROR(INDEX(nombres[],SMALL(IF(OFFSET(nombres[],0,0,ROWS(nombres[]),1)=ED$1490,ROW(OFFSET(nombres[],0,0,ROWS(nombres[]),1))-ROW(OFFSET(nombres[],0,0,1,1))+1,ROW(OFFSET(nombres[],ROWS(nombres[])-1,0,1,1))+1),$O1554:$O1573),3),"")</f>
        <v/>
      </c>
      <c r="EE1554" s="42" t="str">
        <f t="array" aca="1" ref="EE1554" ca="1">IFERROR(INDEX(nombres[],SMALL(IF(OFFSET(nombres[],0,0,ROWS(nombres[]),1)=EE$1490,ROW(OFFSET(nombres[],0,0,ROWS(nombres[]),1))-ROW(OFFSET(nombres[],0,0,1,1))+1,ROW(OFFSET(nombres[],ROWS(nombres[])-1,0,1,1))+1),$O1554:$O1573),3),"")</f>
        <v/>
      </c>
      <c r="EF1554" s="42" t="str">
        <f t="array" aca="1" ref="EF1554" ca="1">IFERROR(INDEX(nombres[],SMALL(IF(OFFSET(nombres[],0,0,ROWS(nombres[]),1)=EF$1490,ROW(OFFSET(nombres[],0,0,ROWS(nombres[]),1))-ROW(OFFSET(nombres[],0,0,1,1))+1,ROW(OFFSET(nombres[],ROWS(nombres[])-1,0,1,1))+1),$O1554:$O1573),3),"")</f>
        <v/>
      </c>
      <c r="EG1554" s="42" t="str">
        <f t="array" aca="1" ref="EG1554" ca="1">IFERROR(INDEX(nombres[],SMALL(IF(OFFSET(nombres[],0,0,ROWS(nombres[]),1)=EG$1490,ROW(OFFSET(nombres[],0,0,ROWS(nombres[]),1))-ROW(OFFSET(nombres[],0,0,1,1))+1,ROW(OFFSET(nombres[],ROWS(nombres[])-1,0,1,1))+1),$O1554:$O1573),3),"")</f>
        <v/>
      </c>
      <c r="EH1554" s="42" t="str">
        <f t="array" aca="1" ref="EH1554" ca="1">IFERROR(INDEX(nombres[],SMALL(IF(OFFSET(nombres[],0,0,ROWS(nombres[]),1)=EH$1490,ROW(OFFSET(nombres[],0,0,ROWS(nombres[]),1))-ROW(OFFSET(nombres[],0,0,1,1))+1,ROW(OFFSET(nombres[],ROWS(nombres[])-1,0,1,1))+1),$O1554:$O1573),3),"")</f>
        <v/>
      </c>
      <c r="EI1554" s="42" t="str">
        <f t="array" aca="1" ref="EI1554" ca="1">IFERROR(INDEX(nombres[],SMALL(IF(OFFSET(nombres[],0,0,ROWS(nombres[]),1)=EI$1490,ROW(OFFSET(nombres[],0,0,ROWS(nombres[]),1))-ROW(OFFSET(nombres[],0,0,1,1))+1,ROW(OFFSET(nombres[],ROWS(nombres[])-1,0,1,1))+1),$O1554:$O1573),3),"")</f>
        <v/>
      </c>
      <c r="EJ1554" s="42" t="str">
        <f t="array" aca="1" ref="EJ1554" ca="1">IFERROR(INDEX(nombres[],SMALL(IF(OFFSET(nombres[],0,0,ROWS(nombres[]),1)=EJ$1490,ROW(OFFSET(nombres[],0,0,ROWS(nombres[]),1))-ROW(OFFSET(nombres[],0,0,1,1))+1,ROW(OFFSET(nombres[],ROWS(nombres[])-1,0,1,1))+1),$O1554:$O1573),3),"")</f>
        <v/>
      </c>
      <c r="EK1554" s="42" t="str">
        <f t="array" aca="1" ref="EK1554" ca="1">IFERROR(INDEX(nombres[],SMALL(IF(OFFSET(nombres[],0,0,ROWS(nombres[]),1)=EK$1490,ROW(OFFSET(nombres[],0,0,ROWS(nombres[]),1))-ROW(OFFSET(nombres[],0,0,1,1))+1,ROW(OFFSET(nombres[],ROWS(nombres[])-1,0,1,1))+1),$O1554:$O1573),3),"")</f>
        <v/>
      </c>
      <c r="EL1554" s="42" t="str">
        <f t="array" aca="1" ref="EL1554" ca="1">IFERROR(INDEX(nombres[],SMALL(IF(OFFSET(nombres[],0,0,ROWS(nombres[]),1)=EL$1490,ROW(OFFSET(nombres[],0,0,ROWS(nombres[]),1))-ROW(OFFSET(nombres[],0,0,1,1))+1,ROW(OFFSET(nombres[],ROWS(nombres[])-1,0,1,1))+1),$O1554:$O1573),3),"")</f>
        <v/>
      </c>
      <c r="EM1554" s="42" t="str">
        <f t="array" aca="1" ref="EM1554" ca="1">IFERROR(INDEX(nombres[],SMALL(IF(OFFSET(nombres[],0,0,ROWS(nombres[]),1)=EM$1490,ROW(OFFSET(nombres[],0,0,ROWS(nombres[]),1))-ROW(OFFSET(nombres[],0,0,1,1))+1,ROW(OFFSET(nombres[],ROWS(nombres[])-1,0,1,1))+1),$O1554:$O1573),3),"")</f>
        <v/>
      </c>
      <c r="EN1554" s="42" t="str">
        <f t="array" aca="1" ref="EN1554" ca="1">IFERROR(INDEX(nombres[],SMALL(IF(OFFSET(nombres[],0,0,ROWS(nombres[]),1)=EN$1490,ROW(OFFSET(nombres[],0,0,ROWS(nombres[]),1))-ROW(OFFSET(nombres[],0,0,1,1))+1,ROW(OFFSET(nombres[],ROWS(nombres[])-1,0,1,1))+1),$O1554:$O1573),3),"")</f>
        <v/>
      </c>
      <c r="EO1554" s="42" t="str">
        <f t="array" aca="1" ref="EO1554" ca="1">IFERROR(INDEX(nombres[],SMALL(IF(OFFSET(nombres[],0,0,ROWS(nombres[]),1)=EO$1490,ROW(OFFSET(nombres[],0,0,ROWS(nombres[]),1))-ROW(OFFSET(nombres[],0,0,1,1))+1,ROW(OFFSET(nombres[],ROWS(nombres[])-1,0,1,1))+1),$O1554:$O1573),3),"")</f>
        <v/>
      </c>
      <c r="EP1554" s="42" t="str">
        <f t="array" aca="1" ref="EP1554" ca="1">IFERROR(INDEX(nombres[],SMALL(IF(OFFSET(nombres[],0,0,ROWS(nombres[]),1)=EP$1490,ROW(OFFSET(nombres[],0,0,ROWS(nombres[]),1))-ROW(OFFSET(nombres[],0,0,1,1))+1,ROW(OFFSET(nombres[],ROWS(nombres[])-1,0,1,1))+1),$O1554:$O1573),3),"")</f>
        <v/>
      </c>
      <c r="EQ1554" s="42" t="str">
        <f t="array" aca="1" ref="EQ1554" ca="1">IFERROR(INDEX(nombres[],SMALL(IF(OFFSET(nombres[],0,0,ROWS(nombres[]),1)=EQ$1490,ROW(OFFSET(nombres[],0,0,ROWS(nombres[]),1))-ROW(OFFSET(nombres[],0,0,1,1))+1,ROW(OFFSET(nombres[],ROWS(nombres[])-1,0,1,1))+1),$O1554:$O1573),3),"")</f>
        <v/>
      </c>
      <c r="ER1554" s="42" t="str">
        <f t="array" aca="1" ref="ER1554" ca="1">IFERROR(INDEX(nombres[],SMALL(IF(OFFSET(nombres[],0,0,ROWS(nombres[]),1)=ER$1490,ROW(OFFSET(nombres[],0,0,ROWS(nombres[]),1))-ROW(OFFSET(nombres[],0,0,1,1))+1,ROW(OFFSET(nombres[],ROWS(nombres[])-1,0,1,1))+1),$O1554:$O1573),3),"")</f>
        <v/>
      </c>
      <c r="ES1554" s="42" t="str">
        <f t="array" aca="1" ref="ES1554" ca="1">IFERROR(INDEX(nombres[],SMALL(IF(OFFSET(nombres[],0,0,ROWS(nombres[]),1)=ES$1490,ROW(OFFSET(nombres[],0,0,ROWS(nombres[]),1))-ROW(OFFSET(nombres[],0,0,1,1))+1,ROW(OFFSET(nombres[],ROWS(nombres[])-1,0,1,1))+1),$O1554:$O1573),3),"")</f>
        <v/>
      </c>
      <c r="ET1554" s="42" t="str">
        <f t="array" aca="1" ref="ET1554" ca="1">IFERROR(INDEX(nombres[],SMALL(IF(OFFSET(nombres[],0,0,ROWS(nombres[]),1)=ET$1490,ROW(OFFSET(nombres[],0,0,ROWS(nombres[]),1))-ROW(OFFSET(nombres[],0,0,1,1))+1,ROW(OFFSET(nombres[],ROWS(nombres[])-1,0,1,1))+1),$O1554:$O1573),3),"")</f>
        <v/>
      </c>
      <c r="EU1554" s="42" t="str">
        <f t="array" aca="1" ref="EU1554" ca="1">IFERROR(INDEX(nombres[],SMALL(IF(OFFSET(nombres[],0,0,ROWS(nombres[]),1)=EU$1490,ROW(OFFSET(nombres[],0,0,ROWS(nombres[]),1))-ROW(OFFSET(nombres[],0,0,1,1))+1,ROW(OFFSET(nombres[],ROWS(nombres[])-1,0,1,1))+1),$O1554:$O1573),3),"")</f>
        <v/>
      </c>
      <c r="EV1554" s="42" t="str">
        <f t="array" aca="1" ref="EV1554" ca="1">IFERROR(INDEX(nombres[],SMALL(IF(OFFSET(nombres[],0,0,ROWS(nombres[]),1)=EV$1490,ROW(OFFSET(nombres[],0,0,ROWS(nombres[]),1))-ROW(OFFSET(nombres[],0,0,1,1))+1,ROW(OFFSET(nombres[],ROWS(nombres[])-1,0,1,1))+1),$O1554:$O1573),3),"")</f>
        <v/>
      </c>
      <c r="EW1554" s="42" t="str">
        <f t="array" aca="1" ref="EW1554" ca="1">IFERROR(INDEX(nombres[],SMALL(IF(OFFSET(nombres[],0,0,ROWS(nombres[]),1)=EW$1490,ROW(OFFSET(nombres[],0,0,ROWS(nombres[]),1))-ROW(OFFSET(nombres[],0,0,1,1))+1,ROW(OFFSET(nombres[],ROWS(nombres[])-1,0,1,1))+1),$O1554:$O1573),3),"")</f>
        <v/>
      </c>
      <c r="EX1554" s="42" t="str">
        <f t="array" aca="1" ref="EX1554" ca="1">IFERROR(INDEX(nombres[],SMALL(IF(OFFSET(nombres[],0,0,ROWS(nombres[]),1)=EX$1490,ROW(OFFSET(nombres[],0,0,ROWS(nombres[]),1))-ROW(OFFSET(nombres[],0,0,1,1))+1,ROW(OFFSET(nombres[],ROWS(nombres[])-1,0,1,1))+1),$O1554:$O1573),3),"")</f>
        <v/>
      </c>
      <c r="EY1554" s="42" t="str">
        <f t="array" aca="1" ref="EY1554" ca="1">IFERROR(INDEX(nombres[],SMALL(IF(OFFSET(nombres[],0,0,ROWS(nombres[]),1)=EY$1490,ROW(OFFSET(nombres[],0,0,ROWS(nombres[]),1))-ROW(OFFSET(nombres[],0,0,1,1))+1,ROW(OFFSET(nombres[],ROWS(nombres[])-1,0,1,1))+1),$O1554:$O1573),3),"")</f>
        <v/>
      </c>
      <c r="EZ1554" s="42" t="str">
        <f t="array" aca="1" ref="EZ1554" ca="1">IFERROR(INDEX(nombres[],SMALL(IF(OFFSET(nombres[],0,0,ROWS(nombres[]),1)=EZ$1490,ROW(OFFSET(nombres[],0,0,ROWS(nombres[]),1))-ROW(OFFSET(nombres[],0,0,1,1))+1,ROW(OFFSET(nombres[],ROWS(nombres[])-1,0,1,1))+1),$O1554:$O1573),3),"")</f>
        <v/>
      </c>
      <c r="FA1554" s="42" t="str">
        <f t="array" aca="1" ref="FA1554" ca="1">IFERROR(INDEX(nombres[],SMALL(IF(OFFSET(nombres[],0,0,ROWS(nombres[]),1)=FA$1490,ROW(OFFSET(nombres[],0,0,ROWS(nombres[]),1))-ROW(OFFSET(nombres[],0,0,1,1))+1,ROW(OFFSET(nombres[],ROWS(nombres[])-1,0,1,1))+1),$O1554:$O1573),3),"")</f>
        <v/>
      </c>
      <c r="FB1554" s="42" t="str">
        <f t="array" aca="1" ref="FB1554" ca="1">IFERROR(INDEX(nombres[],SMALL(IF(OFFSET(nombres[],0,0,ROWS(nombres[]),1)=FB$1490,ROW(OFFSET(nombres[],0,0,ROWS(nombres[]),1))-ROW(OFFSET(nombres[],0,0,1,1))+1,ROW(OFFSET(nombres[],ROWS(nombres[])-1,0,1,1))+1),$O1554:$O1573),3),"")</f>
        <v/>
      </c>
      <c r="FC1554" s="42" t="str">
        <f t="array" aca="1" ref="FC1554" ca="1">IFERROR(INDEX(nombres[],SMALL(IF(OFFSET(nombres[],0,0,ROWS(nombres[]),1)=FC$1490,ROW(OFFSET(nombres[],0,0,ROWS(nombres[]),1))-ROW(OFFSET(nombres[],0,0,1,1))+1,ROW(OFFSET(nombres[],ROWS(nombres[])-1,0,1,1))+1),$O1554:$O1573),3),"")</f>
        <v/>
      </c>
      <c r="FD1554" s="42" t="str">
        <f t="array" aca="1" ref="FD1554" ca="1">IFERROR(INDEX(nombres[],SMALL(IF(OFFSET(nombres[],0,0,ROWS(nombres[]),1)=FD$1490,ROW(OFFSET(nombres[],0,0,ROWS(nombres[]),1))-ROW(OFFSET(nombres[],0,0,1,1))+1,ROW(OFFSET(nombres[],ROWS(nombres[])-1,0,1,1))+1),$O1554:$O1573),3),"")</f>
        <v/>
      </c>
      <c r="FE1554" s="42" t="str">
        <f t="array" aca="1" ref="FE1554" ca="1">IFERROR(INDEX(nombres[],SMALL(IF(OFFSET(nombres[],0,0,ROWS(nombres[]),1)=FE$1490,ROW(OFFSET(nombres[],0,0,ROWS(nombres[]),1))-ROW(OFFSET(nombres[],0,0,1,1))+1,ROW(OFFSET(nombres[],ROWS(nombres[])-1,0,1,1))+1),$O1554:$O1573),3),"")</f>
        <v/>
      </c>
      <c r="FF1554" s="42" t="str">
        <f t="array" aca="1" ref="FF1554" ca="1">IFERROR(INDEX(nombres[],SMALL(IF(OFFSET(nombres[],0,0,ROWS(nombres[]),1)=FF$1490,ROW(OFFSET(nombres[],0,0,ROWS(nombres[]),1))-ROW(OFFSET(nombres[],0,0,1,1))+1,ROW(OFFSET(nombres[],ROWS(nombres[])-1,0,1,1))+1),$O1554:$O1573),3),"")</f>
        <v/>
      </c>
      <c r="FG1554" s="42" t="str">
        <f t="array" aca="1" ref="FG1554" ca="1">IFERROR(INDEX(nombres[],SMALL(IF(OFFSET(nombres[],0,0,ROWS(nombres[]),1)=FG$1490,ROW(OFFSET(nombres[],0,0,ROWS(nombres[]),1))-ROW(OFFSET(nombres[],0,0,1,1))+1,ROW(OFFSET(nombres[],ROWS(nombres[])-1,0,1,1))+1),$O1554:$O1573),3),"")</f>
        <v/>
      </c>
      <c r="FH1554" s="42" t="str">
        <f t="array" aca="1" ref="FH1554" ca="1">IFERROR(INDEX(nombres[],SMALL(IF(OFFSET(nombres[],0,0,ROWS(nombres[]),1)=FH$1490,ROW(OFFSET(nombres[],0,0,ROWS(nombres[]),1))-ROW(OFFSET(nombres[],0,0,1,1))+1,ROW(OFFSET(nombres[],ROWS(nombres[])-1,0,1,1))+1),$O1554:$O1573),3),"")</f>
        <v/>
      </c>
      <c r="FI1554" s="42" t="str">
        <f t="array" aca="1" ref="FI1554" ca="1">IFERROR(INDEX(nombres[],SMALL(IF(OFFSET(nombres[],0,0,ROWS(nombres[]),1)=FI$1490,ROW(OFFSET(nombres[],0,0,ROWS(nombres[]),1))-ROW(OFFSET(nombres[],0,0,1,1))+1,ROW(OFFSET(nombres[],ROWS(nombres[])-1,0,1,1))+1),$O1554:$O1573),3),"")</f>
        <v/>
      </c>
      <c r="FJ1554" s="42" t="str">
        <f t="array" aca="1" ref="FJ1554" ca="1">IFERROR(INDEX(nombres[],SMALL(IF(OFFSET(nombres[],0,0,ROWS(nombres[]),1)=FJ$1490,ROW(OFFSET(nombres[],0,0,ROWS(nombres[]),1))-ROW(OFFSET(nombres[],0,0,1,1))+1,ROW(OFFSET(nombres[],ROWS(nombres[])-1,0,1,1))+1),$O1554:$O1573),3),"")</f>
        <v/>
      </c>
      <c r="FK1554" s="42" t="str">
        <f t="array" aca="1" ref="FK1554" ca="1">IFERROR(INDEX(nombres[],SMALL(IF(OFFSET(nombres[],0,0,ROWS(nombres[]),1)=FK$1490,ROW(OFFSET(nombres[],0,0,ROWS(nombres[]),1))-ROW(OFFSET(nombres[],0,0,1,1))+1,ROW(OFFSET(nombres[],ROWS(nombres[])-1,0,1,1))+1),$O1554:$O1573),3),"")</f>
        <v/>
      </c>
      <c r="FL1554" s="42" t="str">
        <f t="array" aca="1" ref="FL1554" ca="1">IFERROR(INDEX(nombres[],SMALL(IF(OFFSET(nombres[],0,0,ROWS(nombres[]),1)=FL$1490,ROW(OFFSET(nombres[],0,0,ROWS(nombres[]),1))-ROW(OFFSET(nombres[],0,0,1,1))+1,ROW(OFFSET(nombres[],ROWS(nombres[])-1,0,1,1))+1),$O1554:$O1573),3),"")</f>
        <v/>
      </c>
      <c r="FM1554" s="42" t="str">
        <f t="array" aca="1" ref="FM1554" ca="1">IFERROR(INDEX(nombres[],SMALL(IF(OFFSET(nombres[],0,0,ROWS(nombres[]),1)=FM$1490,ROW(OFFSET(nombres[],0,0,ROWS(nombres[]),1))-ROW(OFFSET(nombres[],0,0,1,1))+1,ROW(OFFSET(nombres[],ROWS(nombres[])-1,0,1,1))+1),$O1554:$O1573),3),"")</f>
        <v/>
      </c>
      <c r="FN1554" s="42" t="str">
        <f t="array" aca="1" ref="FN1554" ca="1">IFERROR(INDEX(nombres[],SMALL(IF(OFFSET(nombres[],0,0,ROWS(nombres[]),1)=FN$1490,ROW(OFFSET(nombres[],0,0,ROWS(nombres[]),1))-ROW(OFFSET(nombres[],0,0,1,1))+1,ROW(OFFSET(nombres[],ROWS(nombres[])-1,0,1,1))+1),$O1554:$O1573),3),"")</f>
        <v/>
      </c>
      <c r="FO1554" s="42" t="str">
        <f t="array" aca="1" ref="FO1554" ca="1">IFERROR(INDEX(nombres[],SMALL(IF(OFFSET(nombres[],0,0,ROWS(nombres[]),1)=FO$1490,ROW(OFFSET(nombres[],0,0,ROWS(nombres[]),1))-ROW(OFFSET(nombres[],0,0,1,1))+1,ROW(OFFSET(nombres[],ROWS(nombres[])-1,0,1,1))+1),$O1554:$O1573),3),"")</f>
        <v/>
      </c>
      <c r="FP1554" s="42" t="str">
        <f t="array" aca="1" ref="FP1554" ca="1">IFERROR(INDEX(nombres[],SMALL(IF(OFFSET(nombres[],0,0,ROWS(nombres[]),1)=FP$1490,ROW(OFFSET(nombres[],0,0,ROWS(nombres[]),1))-ROW(OFFSET(nombres[],0,0,1,1))+1,ROW(OFFSET(nombres[],ROWS(nombres[])-1,0,1,1))+1),$O1554:$O1573),3),"")</f>
        <v/>
      </c>
      <c r="FQ1554" s="42" t="str">
        <f t="array" aca="1" ref="FQ1554" ca="1">IFERROR(INDEX(nombres[],SMALL(IF(OFFSET(nombres[],0,0,ROWS(nombres[]),1)=FQ$1490,ROW(OFFSET(nombres[],0,0,ROWS(nombres[]),1))-ROW(OFFSET(nombres[],0,0,1,1))+1,ROW(OFFSET(nombres[],ROWS(nombres[])-1,0,1,1))+1),$O1554:$O1573),3),"")</f>
        <v/>
      </c>
      <c r="FR1554" s="42" t="str">
        <f t="array" aca="1" ref="FR1554" ca="1">IFERROR(INDEX(nombres[],SMALL(IF(OFFSET(nombres[],0,0,ROWS(nombres[]),1)=FR$1490,ROW(OFFSET(nombres[],0,0,ROWS(nombres[]),1))-ROW(OFFSET(nombres[],0,0,1,1))+1,ROW(OFFSET(nombres[],ROWS(nombres[])-1,0,1,1))+1),$O1554:$O1573),3),"")</f>
        <v/>
      </c>
      <c r="FS1554" s="42" t="str">
        <f t="array" aca="1" ref="FS1554" ca="1">IFERROR(INDEX(nombres[],SMALL(IF(OFFSET(nombres[],0,0,ROWS(nombres[]),1)=FS$1490,ROW(OFFSET(nombres[],0,0,ROWS(nombres[]),1))-ROW(OFFSET(nombres[],0,0,1,1))+1,ROW(OFFSET(nombres[],ROWS(nombres[])-1,0,1,1))+1),$O1554:$O1573),3),"")</f>
        <v/>
      </c>
      <c r="FT1554" s="42" t="str">
        <f t="array" aca="1" ref="FT1554" ca="1">IFERROR(INDEX(nombres[],SMALL(IF(OFFSET(nombres[],0,0,ROWS(nombres[]),1)=FT$1490,ROW(OFFSET(nombres[],0,0,ROWS(nombres[]),1))-ROW(OFFSET(nombres[],0,0,1,1))+1,ROW(OFFSET(nombres[],ROWS(nombres[])-1,0,1,1))+1),$O1554:$O1573),3),"")</f>
        <v/>
      </c>
      <c r="FU1554" s="42" t="str">
        <f t="array" aca="1" ref="FU1554" ca="1">IFERROR(INDEX(nombres[],SMALL(IF(OFFSET(nombres[],0,0,ROWS(nombres[]),1)=FU$1490,ROW(OFFSET(nombres[],0,0,ROWS(nombres[]),1))-ROW(OFFSET(nombres[],0,0,1,1))+1,ROW(OFFSET(nombres[],ROWS(nombres[])-1,0,1,1))+1),$O1554:$O1573),3),"")</f>
        <v/>
      </c>
      <c r="FV1554" s="42" t="str">
        <f t="array" aca="1" ref="FV1554" ca="1">IFERROR(INDEX(nombres[],SMALL(IF(OFFSET(nombres[],0,0,ROWS(nombres[]),1)=FV$1490,ROW(OFFSET(nombres[],0,0,ROWS(nombres[]),1))-ROW(OFFSET(nombres[],0,0,1,1))+1,ROW(OFFSET(nombres[],ROWS(nombres[])-1,0,1,1))+1),$O1554:$O1573),3),"")</f>
        <v/>
      </c>
      <c r="FW1554" s="42" t="str">
        <f t="array" aca="1" ref="FW1554" ca="1">IFERROR(INDEX(nombres[],SMALL(IF(OFFSET(nombres[],0,0,ROWS(nombres[]),1)=FW$1490,ROW(OFFSET(nombres[],0,0,ROWS(nombres[]),1))-ROW(OFFSET(nombres[],0,0,1,1))+1,ROW(OFFSET(nombres[],ROWS(nombres[])-1,0,1,1))+1),$O1554:$O1573),3),"")</f>
        <v/>
      </c>
      <c r="FX1554" s="42" t="str">
        <f t="array" aca="1" ref="FX1554" ca="1">IFERROR(INDEX(nombres[],SMALL(IF(OFFSET(nombres[],0,0,ROWS(nombres[]),1)=FX$1490,ROW(OFFSET(nombres[],0,0,ROWS(nombres[]),1))-ROW(OFFSET(nombres[],0,0,1,1))+1,ROW(OFFSET(nombres[],ROWS(nombres[])-1,0,1,1))+1),$O1554:$O1573),3),"")</f>
        <v/>
      </c>
      <c r="FY1554" s="42" t="str">
        <f t="array" aca="1" ref="FY1554" ca="1">IFERROR(INDEX(nombres[],SMALL(IF(OFFSET(nombres[],0,0,ROWS(nombres[]),1)=FY$1490,ROW(OFFSET(nombres[],0,0,ROWS(nombres[]),1))-ROW(OFFSET(nombres[],0,0,1,1))+1,ROW(OFFSET(nombres[],ROWS(nombres[])-1,0,1,1))+1),$O1554:$O1573),3),"")</f>
        <v/>
      </c>
      <c r="FZ1554" s="42" t="str">
        <f t="array" aca="1" ref="FZ1554" ca="1">IFERROR(INDEX(nombres[],SMALL(IF(OFFSET(nombres[],0,0,ROWS(nombres[]),1)=FZ$1490,ROW(OFFSET(nombres[],0,0,ROWS(nombres[]),1))-ROW(OFFSET(nombres[],0,0,1,1))+1,ROW(OFFSET(nombres[],ROWS(nombres[])-1,0,1,1))+1),$O1554:$O1573),3),"")</f>
        <v/>
      </c>
      <c r="GA1554" s="42" t="str">
        <f t="array" aca="1" ref="GA1554" ca="1">IFERROR(INDEX(nombres[],SMALL(IF(OFFSET(nombres[],0,0,ROWS(nombres[]),1)=GA$1490,ROW(OFFSET(nombres[],0,0,ROWS(nombres[]),1))-ROW(OFFSET(nombres[],0,0,1,1))+1,ROW(OFFSET(nombres[],ROWS(nombres[])-1,0,1,1))+1),$O1554:$O1573),3),"")</f>
        <v/>
      </c>
      <c r="GB1554" s="42" t="str">
        <f t="array" aca="1" ref="GB1554" ca="1">IFERROR(INDEX(nombres[],SMALL(IF(OFFSET(nombres[],0,0,ROWS(nombres[]),1)=GB$1490,ROW(OFFSET(nombres[],0,0,ROWS(nombres[]),1))-ROW(OFFSET(nombres[],0,0,1,1))+1,ROW(OFFSET(nombres[],ROWS(nombres[])-1,0,1,1))+1),$O1554:$O1573),3),"")</f>
        <v/>
      </c>
      <c r="GC1554" s="42" t="str">
        <f t="array" aca="1" ref="GC1554" ca="1">IFERROR(INDEX(nombres[],SMALL(IF(OFFSET(nombres[],0,0,ROWS(nombres[]),1)=GC$1490,ROW(OFFSET(nombres[],0,0,ROWS(nombres[]),1))-ROW(OFFSET(nombres[],0,0,1,1))+1,ROW(OFFSET(nombres[],ROWS(nombres[])-1,0,1,1))+1),$O1554:$O1573),3),"")</f>
        <v/>
      </c>
      <c r="GD1554" s="42" t="str">
        <f t="array" aca="1" ref="GD1554" ca="1">IFERROR(INDEX(nombres[],SMALL(IF(OFFSET(nombres[],0,0,ROWS(nombres[]),1)=GD$1490,ROW(OFFSET(nombres[],0,0,ROWS(nombres[]),1))-ROW(OFFSET(nombres[],0,0,1,1))+1,ROW(OFFSET(nombres[],ROWS(nombres[])-1,0,1,1))+1),$O1554:$O1573),3),"")</f>
        <v/>
      </c>
      <c r="GE1554" s="42" t="str">
        <f t="array" aca="1" ref="GE1554" ca="1">IFERROR(INDEX(nombres[],SMALL(IF(OFFSET(nombres[],0,0,ROWS(nombres[]),1)=GE$1490,ROW(OFFSET(nombres[],0,0,ROWS(nombres[]),1))-ROW(OFFSET(nombres[],0,0,1,1))+1,ROW(OFFSET(nombres[],ROWS(nombres[])-1,0,1,1))+1),$O1554:$O1573),3),"")</f>
        <v/>
      </c>
      <c r="GF1554" s="42" t="str">
        <f t="array" aca="1" ref="GF1554" ca="1">IFERROR(INDEX(nombres[],SMALL(IF(OFFSET(nombres[],0,0,ROWS(nombres[]),1)=GF$1490,ROW(OFFSET(nombres[],0,0,ROWS(nombres[]),1))-ROW(OFFSET(nombres[],0,0,1,1))+1,ROW(OFFSET(nombres[],ROWS(nombres[])-1,0,1,1))+1),$O1554:$O1573),3),"")</f>
        <v/>
      </c>
      <c r="GG1554" s="42" t="str">
        <f t="array" aca="1" ref="GG1554" ca="1">IFERROR(INDEX(nombres[],SMALL(IF(OFFSET(nombres[],0,0,ROWS(nombres[]),1)=GG$1490,ROW(OFFSET(nombres[],0,0,ROWS(nombres[]),1))-ROW(OFFSET(nombres[],0,0,1,1))+1,ROW(OFFSET(nombres[],ROWS(nombres[])-1,0,1,1))+1),$O1554:$O1573),3),"")</f>
        <v/>
      </c>
      <c r="GH1554" s="42" t="str">
        <f t="array" aca="1" ref="GH1554" ca="1">IFERROR(INDEX(nombres[],SMALL(IF(OFFSET(nombres[],0,0,ROWS(nombres[]),1)=GH$1490,ROW(OFFSET(nombres[],0,0,ROWS(nombres[]),1))-ROW(OFFSET(nombres[],0,0,1,1))+1,ROW(OFFSET(nombres[],ROWS(nombres[])-1,0,1,1))+1),$O1554:$O1573),3),"")</f>
        <v/>
      </c>
      <c r="GI1554" s="42" t="str">
        <f t="array" aca="1" ref="GI1554" ca="1">IFERROR(INDEX(nombres[],SMALL(IF(OFFSET(nombres[],0,0,ROWS(nombres[]),1)=GI$1490,ROW(OFFSET(nombres[],0,0,ROWS(nombres[]),1))-ROW(OFFSET(nombres[],0,0,1,1))+1,ROW(OFFSET(nombres[],ROWS(nombres[])-1,0,1,1))+1),$O1554:$O1573),3),"")</f>
        <v/>
      </c>
      <c r="GJ1554" s="42" t="str">
        <f t="array" aca="1" ref="GJ1554" ca="1">IFERROR(INDEX(nombres[],SMALL(IF(OFFSET(nombres[],0,0,ROWS(nombres[]),1)=GJ$1490,ROW(OFFSET(nombres[],0,0,ROWS(nombres[]),1))-ROW(OFFSET(nombres[],0,0,1,1))+1,ROW(OFFSET(nombres[],ROWS(nombres[])-1,0,1,1))+1),$O1554:$O1573),3),"")</f>
        <v/>
      </c>
      <c r="GK1554" s="42" t="str">
        <f t="array" aca="1" ref="GK1554" ca="1">IFERROR(INDEX(nombres[],SMALL(IF(OFFSET(nombres[],0,0,ROWS(nombres[]),1)=GK$1490,ROW(OFFSET(nombres[],0,0,ROWS(nombres[]),1))-ROW(OFFSET(nombres[],0,0,1,1))+1,ROW(OFFSET(nombres[],ROWS(nombres[])-1,0,1,1))+1),$O1554:$O1573),3),"")</f>
        <v/>
      </c>
      <c r="GL1554" s="42" t="str">
        <f t="array" aca="1" ref="GL1554" ca="1">IFERROR(INDEX(nombres[],SMALL(IF(OFFSET(nombres[],0,0,ROWS(nombres[]),1)=GL$1490,ROW(OFFSET(nombres[],0,0,ROWS(nombres[]),1))-ROW(OFFSET(nombres[],0,0,1,1))+1,ROW(OFFSET(nombres[],ROWS(nombres[])-1,0,1,1))+1),$O1554:$O1573),3),"")</f>
        <v/>
      </c>
      <c r="GM1554" s="42" t="str">
        <f t="array" aca="1" ref="GM1554" ca="1">IFERROR(INDEX(nombres[],SMALL(IF(OFFSET(nombres[],0,0,ROWS(nombres[]),1)=GM$1490,ROW(OFFSET(nombres[],0,0,ROWS(nombres[]),1))-ROW(OFFSET(nombres[],0,0,1,1))+1,ROW(OFFSET(nombres[],ROWS(nombres[])-1,0,1,1))+1),$O1554:$O1573),3),"")</f>
        <v/>
      </c>
      <c r="GN1554" s="42" t="str">
        <f t="array" aca="1" ref="GN1554" ca="1">IFERROR(INDEX(nombres[],SMALL(IF(OFFSET(nombres[],0,0,ROWS(nombres[]),1)=GN$1490,ROW(OFFSET(nombres[],0,0,ROWS(nombres[]),1))-ROW(OFFSET(nombres[],0,0,1,1))+1,ROW(OFFSET(nombres[],ROWS(nombres[])-1,0,1,1))+1),$O1554:$O1573),3),"")</f>
        <v/>
      </c>
      <c r="GO1554" s="42" t="str">
        <f t="array" aca="1" ref="GO1554" ca="1">IFERROR(INDEX(nombres[],SMALL(IF(OFFSET(nombres[],0,0,ROWS(nombres[]),1)=GO$1490,ROW(OFFSET(nombres[],0,0,ROWS(nombres[]),1))-ROW(OFFSET(nombres[],0,0,1,1))+1,ROW(OFFSET(nombres[],ROWS(nombres[])-1,0,1,1))+1),$O1554:$O1573),3),"")</f>
        <v/>
      </c>
      <c r="GP1554" s="42" t="str">
        <f t="array" aca="1" ref="GP1554" ca="1">IFERROR(INDEX(nombres[],SMALL(IF(OFFSET(nombres[],0,0,ROWS(nombres[]),1)=GP$1490,ROW(OFFSET(nombres[],0,0,ROWS(nombres[]),1))-ROW(OFFSET(nombres[],0,0,1,1))+1,ROW(OFFSET(nombres[],ROWS(nombres[])-1,0,1,1))+1),$O1554:$O1573),3),"")</f>
        <v/>
      </c>
      <c r="GQ1554" s="42" t="str">
        <f t="array" aca="1" ref="GQ1554" ca="1">IFERROR(INDEX(nombres[],SMALL(IF(OFFSET(nombres[],0,0,ROWS(nombres[]),1)=GQ$1490,ROW(OFFSET(nombres[],0,0,ROWS(nombres[]),1))-ROW(OFFSET(nombres[],0,0,1,1))+1,ROW(OFFSET(nombres[],ROWS(nombres[])-1,0,1,1))+1),$O1554:$O1573),3),"")</f>
        <v/>
      </c>
      <c r="GR1554" s="42" t="str">
        <f t="array" aca="1" ref="GR1554" ca="1">IFERROR(INDEX(nombres[],SMALL(IF(OFFSET(nombres[],0,0,ROWS(nombres[]),1)=GR$1490,ROW(OFFSET(nombres[],0,0,ROWS(nombres[]),1))-ROW(OFFSET(nombres[],0,0,1,1))+1,ROW(OFFSET(nombres[],ROWS(nombres[])-1,0,1,1))+1),$O1554:$O1573),3),"")</f>
        <v/>
      </c>
      <c r="GS1554" s="42" t="str">
        <f t="array" aca="1" ref="GS1554" ca="1">IFERROR(INDEX(nombres[],SMALL(IF(OFFSET(nombres[],0,0,ROWS(nombres[]),1)=GS$1490,ROW(OFFSET(nombres[],0,0,ROWS(nombres[]),1))-ROW(OFFSET(nombres[],0,0,1,1))+1,ROW(OFFSET(nombres[],ROWS(nombres[])-1,0,1,1))+1),$O1554:$O1573),3),"")</f>
        <v/>
      </c>
      <c r="GT1554" s="42" t="str">
        <f t="array" aca="1" ref="GT1554" ca="1">IFERROR(INDEX(nombres[],SMALL(IF(OFFSET(nombres[],0,0,ROWS(nombres[]),1)=GT$1490,ROW(OFFSET(nombres[],0,0,ROWS(nombres[]),1))-ROW(OFFSET(nombres[],0,0,1,1))+1,ROW(OFFSET(nombres[],ROWS(nombres[])-1,0,1,1))+1),$O1554:$O1573),3),"")</f>
        <v/>
      </c>
      <c r="GU1554" s="42" t="str">
        <f t="array" aca="1" ref="GU1554" ca="1">IFERROR(INDEX(nombres[],SMALL(IF(OFFSET(nombres[],0,0,ROWS(nombres[]),1)=GU$1490,ROW(OFFSET(nombres[],0,0,ROWS(nombres[]),1))-ROW(OFFSET(nombres[],0,0,1,1))+1,ROW(OFFSET(nombres[],ROWS(nombres[])-1,0,1,1))+1),$O1554:$O1573),3),"")</f>
        <v/>
      </c>
      <c r="GV1554" s="42" t="str">
        <f t="array" aca="1" ref="GV1554" ca="1">IFERROR(INDEX(nombres[],SMALL(IF(OFFSET(nombres[],0,0,ROWS(nombres[]),1)=GV$1490,ROW(OFFSET(nombres[],0,0,ROWS(nombres[]),1))-ROW(OFFSET(nombres[],0,0,1,1))+1,ROW(OFFSET(nombres[],ROWS(nombres[])-1,0,1,1))+1),$O1554:$O1573),3),"")</f>
        <v/>
      </c>
      <c r="GW1554" s="42" t="str">
        <f t="array" aca="1" ref="GW1554" ca="1">IFERROR(INDEX(nombres[],SMALL(IF(OFFSET(nombres[],0,0,ROWS(nombres[]),1)=GW$1490,ROW(OFFSET(nombres[],0,0,ROWS(nombres[]),1))-ROW(OFFSET(nombres[],0,0,1,1))+1,ROW(OFFSET(nombres[],ROWS(nombres[])-1,0,1,1))+1),$O1554:$O1573),3),"")</f>
        <v/>
      </c>
      <c r="GX1554" s="42" t="str">
        <f t="array" aca="1" ref="GX1554" ca="1">IFERROR(INDEX(nombres[],SMALL(IF(OFFSET(nombres[],0,0,ROWS(nombres[]),1)=GX$1490,ROW(OFFSET(nombres[],0,0,ROWS(nombres[]),1))-ROW(OFFSET(nombres[],0,0,1,1))+1,ROW(OFFSET(nombres[],ROWS(nombres[])-1,0,1,1))+1),$O1554:$O1573),3),"")</f>
        <v/>
      </c>
      <c r="GY1554" s="42" t="str">
        <f t="array" aca="1" ref="GY1554" ca="1">IFERROR(INDEX(nombres[],SMALL(IF(OFFSET(nombres[],0,0,ROWS(nombres[]),1)=GY$1490,ROW(OFFSET(nombres[],0,0,ROWS(nombres[]),1))-ROW(OFFSET(nombres[],0,0,1,1))+1,ROW(OFFSET(nombres[],ROWS(nombres[])-1,0,1,1))+1),$O1554:$O1573),3),"")</f>
        <v/>
      </c>
      <c r="GZ1554" s="42" t="str">
        <f t="array" aca="1" ref="GZ1554" ca="1">IFERROR(INDEX(nombres[],SMALL(IF(OFFSET(nombres[],0,0,ROWS(nombres[]),1)=GZ$1490,ROW(OFFSET(nombres[],0,0,ROWS(nombres[]),1))-ROW(OFFSET(nombres[],0,0,1,1))+1,ROW(OFFSET(nombres[],ROWS(nombres[])-1,0,1,1))+1),$O1554:$O1573),3),"")</f>
        <v/>
      </c>
      <c r="HA1554" s="42" t="str">
        <f t="array" aca="1" ref="HA1554" ca="1">IFERROR(INDEX(nombres[],SMALL(IF(OFFSET(nombres[],0,0,ROWS(nombres[]),1)=HA$1490,ROW(OFFSET(nombres[],0,0,ROWS(nombres[]),1))-ROW(OFFSET(nombres[],0,0,1,1))+1,ROW(OFFSET(nombres[],ROWS(nombres[])-1,0,1,1))+1),$O1554:$O1573),3),"")</f>
        <v/>
      </c>
      <c r="HB1554" s="42" t="str">
        <f t="array" aca="1" ref="HB1554" ca="1">IFERROR(INDEX(nombres[],SMALL(IF(OFFSET(nombres[],0,0,ROWS(nombres[]),1)=HB$1490,ROW(OFFSET(nombres[],0,0,ROWS(nombres[]),1))-ROW(OFFSET(nombres[],0,0,1,1))+1,ROW(OFFSET(nombres[],ROWS(nombres[])-1,0,1,1))+1),$O1554:$O1573),3),"")</f>
        <v/>
      </c>
      <c r="HC1554" s="42" t="str">
        <f t="array" aca="1" ref="HC1554" ca="1">IFERROR(INDEX(nombres[],SMALL(IF(OFFSET(nombres[],0,0,ROWS(nombres[]),1)=HC$1490,ROW(OFFSET(nombres[],0,0,ROWS(nombres[]),1))-ROW(OFFSET(nombres[],0,0,1,1))+1,ROW(OFFSET(nombres[],ROWS(nombres[])-1,0,1,1))+1),$O1554:$O1573),3),"")</f>
        <v/>
      </c>
      <c r="HD1554" s="42" t="str">
        <f t="array" aca="1" ref="HD1554" ca="1">IFERROR(INDEX(nombres[],SMALL(IF(OFFSET(nombres[],0,0,ROWS(nombres[]),1)=HD$1490,ROW(OFFSET(nombres[],0,0,ROWS(nombres[]),1))-ROW(OFFSET(nombres[],0,0,1,1))+1,ROW(OFFSET(nombres[],ROWS(nombres[])-1,0,1,1))+1),$O1554:$O1573),3),"")</f>
        <v/>
      </c>
      <c r="HE1554" s="42" t="str">
        <f t="array" aca="1" ref="HE1554" ca="1">IFERROR(INDEX(nombres[],SMALL(IF(OFFSET(nombres[],0,0,ROWS(nombres[]),1)=HE$1490,ROW(OFFSET(nombres[],0,0,ROWS(nombres[]),1))-ROW(OFFSET(nombres[],0,0,1,1))+1,ROW(OFFSET(nombres[],ROWS(nombres[])-1,0,1,1))+1),$O1554:$O1573),3),"")</f>
        <v/>
      </c>
      <c r="HF1554" s="42" t="str">
        <f t="array" aca="1" ref="HF1554" ca="1">IFERROR(INDEX(nombres[],SMALL(IF(OFFSET(nombres[],0,0,ROWS(nombres[]),1)=HF$1490,ROW(OFFSET(nombres[],0,0,ROWS(nombres[]),1))-ROW(OFFSET(nombres[],0,0,1,1))+1,ROW(OFFSET(nombres[],ROWS(nombres[])-1,0,1,1))+1),$O1554:$O1573),3),"")</f>
        <v/>
      </c>
      <c r="HG1554" s="42" t="str">
        <f t="array" aca="1" ref="HG1554" ca="1">IFERROR(INDEX(nombres[],SMALL(IF(OFFSET(nombres[],0,0,ROWS(nombres[]),1)=HG$1490,ROW(OFFSET(nombres[],0,0,ROWS(nombres[]),1))-ROW(OFFSET(nombres[],0,0,1,1))+1,ROW(OFFSET(nombres[],ROWS(nombres[])-1,0,1,1))+1),$O1554:$O1573),3),"")</f>
        <v/>
      </c>
      <c r="HH1554" s="42" t="str">
        <f t="array" aca="1" ref="HH1554" ca="1">IFERROR(INDEX(nombres[],SMALL(IF(OFFSET(nombres[],0,0,ROWS(nombres[]),1)=HH$1490,ROW(OFFSET(nombres[],0,0,ROWS(nombres[]),1))-ROW(OFFSET(nombres[],0,0,1,1))+1,ROW(OFFSET(nombres[],ROWS(nombres[])-1,0,1,1))+1),$O1554:$O1573),3),"")</f>
        <v/>
      </c>
      <c r="HI1554" s="42" t="str">
        <f t="array" aca="1" ref="HI1554" ca="1">IFERROR(INDEX(nombres[],SMALL(IF(OFFSET(nombres[],0,0,ROWS(nombres[]),1)=HI$1490,ROW(OFFSET(nombres[],0,0,ROWS(nombres[]),1))-ROW(OFFSET(nombres[],0,0,1,1))+1,ROW(OFFSET(nombres[],ROWS(nombres[])-1,0,1,1))+1),$O1554:$O1573),3),"")</f>
        <v/>
      </c>
      <c r="HJ1554" s="42" t="str">
        <f t="array" aca="1" ref="HJ1554" ca="1">IFERROR(INDEX(nombres[],SMALL(IF(OFFSET(nombres[],0,0,ROWS(nombres[]),1)=HJ$1490,ROW(OFFSET(nombres[],0,0,ROWS(nombres[]),1))-ROW(OFFSET(nombres[],0,0,1,1))+1,ROW(OFFSET(nombres[],ROWS(nombres[])-1,0,1,1))+1),$O1554:$O1573),3),"")</f>
        <v/>
      </c>
      <c r="HK1554" s="42" t="str">
        <f t="array" aca="1" ref="HK1554" ca="1">IFERROR(INDEX(nombres[],SMALL(IF(OFFSET(nombres[],0,0,ROWS(nombres[]),1)=HK$1490,ROW(OFFSET(nombres[],0,0,ROWS(nombres[]),1))-ROW(OFFSET(nombres[],0,0,1,1))+1,ROW(OFFSET(nombres[],ROWS(nombres[])-1,0,1,1))+1),$O1554:$O1573),3),"")</f>
        <v/>
      </c>
      <c r="HL1554" s="42" t="str">
        <f t="array" aca="1" ref="HL1554" ca="1">IFERROR(INDEX(nombres[],SMALL(IF(OFFSET(nombres[],0,0,ROWS(nombres[]),1)=HL$1490,ROW(OFFSET(nombres[],0,0,ROWS(nombres[]),1))-ROW(OFFSET(nombres[],0,0,1,1))+1,ROW(OFFSET(nombres[],ROWS(nombres[])-1,0,1,1))+1),$O1554:$O1573),3),"")</f>
        <v/>
      </c>
      <c r="HM1554" s="42" t="str">
        <f t="array" aca="1" ref="HM1554" ca="1">IFERROR(INDEX(nombres[],SMALL(IF(OFFSET(nombres[],0,0,ROWS(nombres[]),1)=HM$1490,ROW(OFFSET(nombres[],0,0,ROWS(nombres[]),1))-ROW(OFFSET(nombres[],0,0,1,1))+1,ROW(OFFSET(nombres[],ROWS(nombres[])-1,0,1,1))+1),$O1554:$O1573),3),"")</f>
        <v/>
      </c>
      <c r="HN1554" s="42" t="str">
        <f t="array" aca="1" ref="HN1554" ca="1">IFERROR(INDEX(nombres[],SMALL(IF(OFFSET(nombres[],0,0,ROWS(nombres[]),1)=HN$1490,ROW(OFFSET(nombres[],0,0,ROWS(nombres[]),1))-ROW(OFFSET(nombres[],0,0,1,1))+1,ROW(OFFSET(nombres[],ROWS(nombres[])-1,0,1,1))+1),$O1554:$O1573),3),"")</f>
        <v/>
      </c>
      <c r="HO1554" s="42" t="str">
        <f t="array" aca="1" ref="HO1554" ca="1">IFERROR(INDEX(nombres[],SMALL(IF(OFFSET(nombres[],0,0,ROWS(nombres[]),1)=HO$1490,ROW(OFFSET(nombres[],0,0,ROWS(nombres[]),1))-ROW(OFFSET(nombres[],0,0,1,1))+1,ROW(OFFSET(nombres[],ROWS(nombres[])-1,0,1,1))+1),$O1554:$O1573),3),"")</f>
        <v/>
      </c>
      <c r="HP1554" s="42" t="str">
        <f t="array" aca="1" ref="HP1554" ca="1">IFERROR(INDEX(nombres[],SMALL(IF(OFFSET(nombres[],0,0,ROWS(nombres[]),1)=HP$1490,ROW(OFFSET(nombres[],0,0,ROWS(nombres[]),1))-ROW(OFFSET(nombres[],0,0,1,1))+1,ROW(OFFSET(nombres[],ROWS(nombres[])-1,0,1,1))+1),$O1554:$O1573),3),"")</f>
        <v/>
      </c>
      <c r="HQ1554" s="42" t="str">
        <f t="array" aca="1" ref="HQ1554" ca="1">IFERROR(INDEX(nombres[],SMALL(IF(OFFSET(nombres[],0,0,ROWS(nombres[]),1)=HQ$1490,ROW(OFFSET(nombres[],0,0,ROWS(nombres[]),1))-ROW(OFFSET(nombres[],0,0,1,1))+1,ROW(OFFSET(nombres[],ROWS(nombres[])-1,0,1,1))+1),$O1554:$O1573),3),"")</f>
        <v/>
      </c>
      <c r="HR1554" s="42" t="str">
        <f t="array" aca="1" ref="HR1554" ca="1">IFERROR(INDEX(nombres[],SMALL(IF(OFFSET(nombres[],0,0,ROWS(nombres[]),1)=HR$1490,ROW(OFFSET(nombres[],0,0,ROWS(nombres[]),1))-ROW(OFFSET(nombres[],0,0,1,1))+1,ROW(OFFSET(nombres[],ROWS(nombres[])-1,0,1,1))+1),$O1554:$O1573),3),"")</f>
        <v/>
      </c>
      <c r="HS1554" s="42" t="str">
        <f t="array" aca="1" ref="HS1554" ca="1">IFERROR(INDEX(nombres[],SMALL(IF(OFFSET(nombres[],0,0,ROWS(nombres[]),1)=HS$1490,ROW(OFFSET(nombres[],0,0,ROWS(nombres[]),1))-ROW(OFFSET(nombres[],0,0,1,1))+1,ROW(OFFSET(nombres[],ROWS(nombres[])-1,0,1,1))+1),$O1554:$O1573),3),"")</f>
        <v/>
      </c>
      <c r="HT1554" s="42" t="str">
        <f t="array" aca="1" ref="HT1554" ca="1">IFERROR(INDEX(nombres[],SMALL(IF(OFFSET(nombres[],0,0,ROWS(nombres[]),1)=HT$1490,ROW(OFFSET(nombres[],0,0,ROWS(nombres[]),1))-ROW(OFFSET(nombres[],0,0,1,1))+1,ROW(OFFSET(nombres[],ROWS(nombres[])-1,0,1,1))+1),$O1554:$O1573),3),"")</f>
        <v/>
      </c>
      <c r="HU1554" s="42" t="str">
        <f t="array" aca="1" ref="HU1554" ca="1">IFERROR(INDEX(nombres[],SMALL(IF(OFFSET(nombres[],0,0,ROWS(nombres[]),1)=HU$1490,ROW(OFFSET(nombres[],0,0,ROWS(nombres[]),1))-ROW(OFFSET(nombres[],0,0,1,1))+1,ROW(OFFSET(nombres[],ROWS(nombres[])-1,0,1,1))+1),$O1554:$O1573),3),"")</f>
        <v/>
      </c>
      <c r="HV1554" s="42" t="str">
        <f t="array" aca="1" ref="HV1554" ca="1">IFERROR(INDEX(nombres[],SMALL(IF(OFFSET(nombres[],0,0,ROWS(nombres[]),1)=HV$1490,ROW(OFFSET(nombres[],0,0,ROWS(nombres[]),1))-ROW(OFFSET(nombres[],0,0,1,1))+1,ROW(OFFSET(nombres[],ROWS(nombres[])-1,0,1,1))+1),$O1554:$O1573),3),"")</f>
        <v/>
      </c>
      <c r="HW1554" s="42" t="str">
        <f t="array" aca="1" ref="HW1554" ca="1">IFERROR(INDEX(nombres[],SMALL(IF(OFFSET(nombres[],0,0,ROWS(nombres[]),1)=HW$1490,ROW(OFFSET(nombres[],0,0,ROWS(nombres[]),1))-ROW(OFFSET(nombres[],0,0,1,1))+1,ROW(OFFSET(nombres[],ROWS(nombres[])-1,0,1,1))+1),$O1554:$O1573),3),"")</f>
        <v/>
      </c>
      <c r="HX1554" s="42" t="str">
        <f t="array" aca="1" ref="HX1554" ca="1">IFERROR(INDEX(nombres[],SMALL(IF(OFFSET(nombres[],0,0,ROWS(nombres[]),1)=HX$1490,ROW(OFFSET(nombres[],0,0,ROWS(nombres[]),1))-ROW(OFFSET(nombres[],0,0,1,1))+1,ROW(OFFSET(nombres[],ROWS(nombres[])-1,0,1,1))+1),$O1554:$O1573),3),"")</f>
        <v/>
      </c>
      <c r="HY1554" s="42" t="str">
        <f t="array" aca="1" ref="HY1554" ca="1">IFERROR(INDEX(nombres[],SMALL(IF(OFFSET(nombres[],0,0,ROWS(nombres[]),1)=HY$1490,ROW(OFFSET(nombres[],0,0,ROWS(nombres[]),1))-ROW(OFFSET(nombres[],0,0,1,1))+1,ROW(OFFSET(nombres[],ROWS(nombres[])-1,0,1,1))+1),$O1554:$O1573),3),"")</f>
        <v/>
      </c>
      <c r="HZ1554" s="42" t="str">
        <f t="array" aca="1" ref="HZ1554" ca="1">IFERROR(INDEX(nombres[],SMALL(IF(OFFSET(nombres[],0,0,ROWS(nombres[]),1)=HZ$1490,ROW(OFFSET(nombres[],0,0,ROWS(nombres[]),1))-ROW(OFFSET(nombres[],0,0,1,1))+1,ROW(OFFSET(nombres[],ROWS(nombres[])-1,0,1,1))+1),$O1554:$O1573),3),"")</f>
        <v/>
      </c>
      <c r="IA1554" s="42" t="str">
        <f t="array" aca="1" ref="IA1554" ca="1">IFERROR(INDEX(nombres[],SMALL(IF(OFFSET(nombres[],0,0,ROWS(nombres[]),1)=IA$1490,ROW(OFFSET(nombres[],0,0,ROWS(nombres[]),1))-ROW(OFFSET(nombres[],0,0,1,1))+1,ROW(OFFSET(nombres[],ROWS(nombres[])-1,0,1,1))+1),$O1554:$O1573),3),"")</f>
        <v/>
      </c>
      <c r="IB1554" s="42" t="str">
        <f t="array" aca="1" ref="IB1554" ca="1">IFERROR(INDEX(nombres[],SMALL(IF(OFFSET(nombres[],0,0,ROWS(nombres[]),1)=IB$1490,ROW(OFFSET(nombres[],0,0,ROWS(nombres[]),1))-ROW(OFFSET(nombres[],0,0,1,1))+1,ROW(OFFSET(nombres[],ROWS(nombres[])-1,0,1,1))+1),$O1554:$O1573),3),"")</f>
        <v/>
      </c>
      <c r="IC1554" s="42" t="str">
        <f t="array" aca="1" ref="IC1554" ca="1">IFERROR(INDEX(nombres[],SMALL(IF(OFFSET(nombres[],0,0,ROWS(nombres[]),1)=IC$1490,ROW(OFFSET(nombres[],0,0,ROWS(nombres[]),1))-ROW(OFFSET(nombres[],0,0,1,1))+1,ROW(OFFSET(nombres[],ROWS(nombres[])-1,0,1,1))+1),$O1554:$O1573),3),"")</f>
        <v/>
      </c>
      <c r="ID1554" s="42" t="str">
        <f t="array" aca="1" ref="ID1554" ca="1">IFERROR(INDEX(nombres[],SMALL(IF(OFFSET(nombres[],0,0,ROWS(nombres[]),1)=ID$1490,ROW(OFFSET(nombres[],0,0,ROWS(nombres[]),1))-ROW(OFFSET(nombres[],0,0,1,1))+1,ROW(OFFSET(nombres[],ROWS(nombres[])-1,0,1,1))+1),$O1554:$O1573),3),"")</f>
        <v/>
      </c>
      <c r="IE1554" s="42" t="str">
        <f t="array" aca="1" ref="IE1554" ca="1">IFERROR(INDEX(nombres[],SMALL(IF(OFFSET(nombres[],0,0,ROWS(nombres[]),1)=IE$1490,ROW(OFFSET(nombres[],0,0,ROWS(nombres[]),1))-ROW(OFFSET(nombres[],0,0,1,1))+1,ROW(OFFSET(nombres[],ROWS(nombres[])-1,0,1,1))+1),$O1554:$O1573),3),"")</f>
        <v/>
      </c>
      <c r="IF1554" s="42" t="str">
        <f t="array" aca="1" ref="IF1554" ca="1">IFERROR(INDEX(nombres[],SMALL(IF(OFFSET(nombres[],0,0,ROWS(nombres[]),1)=IF$1490,ROW(OFFSET(nombres[],0,0,ROWS(nombres[]),1))-ROW(OFFSET(nombres[],0,0,1,1))+1,ROW(OFFSET(nombres[],ROWS(nombres[])-1,0,1,1))+1),$O1554:$O1573),3),"")</f>
        <v/>
      </c>
      <c r="IG1554" s="42" t="str">
        <f t="array" aca="1" ref="IG1554" ca="1">IFERROR(INDEX(nombres[],SMALL(IF(OFFSET(nombres[],0,0,ROWS(nombres[]),1)=IG$1490,ROW(OFFSET(nombres[],0,0,ROWS(nombres[]),1))-ROW(OFFSET(nombres[],0,0,1,1))+1,ROW(OFFSET(nombres[],ROWS(nombres[])-1,0,1,1))+1),$O1554:$O1573),3),"")</f>
        <v/>
      </c>
      <c r="IH1554" s="42" t="str">
        <f t="array" aca="1" ref="IH1554" ca="1">IFERROR(INDEX(nombres[],SMALL(IF(OFFSET(nombres[],0,0,ROWS(nombres[]),1)=IH$1490,ROW(OFFSET(nombres[],0,0,ROWS(nombres[]),1))-ROW(OFFSET(nombres[],0,0,1,1))+1,ROW(OFFSET(nombres[],ROWS(nombres[])-1,0,1,1))+1),$O1554:$O1573),3),"")</f>
        <v/>
      </c>
      <c r="II1554" s="42" t="str">
        <f t="array" aca="1" ref="II1554" ca="1">IFERROR(INDEX(nombres[],SMALL(IF(OFFSET(nombres[],0,0,ROWS(nombres[]),1)=II$1490,ROW(OFFSET(nombres[],0,0,ROWS(nombres[]),1))-ROW(OFFSET(nombres[],0,0,1,1))+1,ROW(OFFSET(nombres[],ROWS(nombres[])-1,0,1,1))+1),$O1554:$O1573),3),"")</f>
        <v/>
      </c>
      <c r="IJ1554" s="42" t="str">
        <f t="array" aca="1" ref="IJ1554" ca="1">IFERROR(INDEX(nombres[],SMALL(IF(OFFSET(nombres[],0,0,ROWS(nombres[]),1)=IJ$1490,ROW(OFFSET(nombres[],0,0,ROWS(nombres[]),1))-ROW(OFFSET(nombres[],0,0,1,1))+1,ROW(OFFSET(nombres[],ROWS(nombres[])-1,0,1,1))+1),$O1554:$O1573),3),"")</f>
        <v/>
      </c>
      <c r="IK1554" s="42" t="str">
        <f t="array" aca="1" ref="IK1554" ca="1">IFERROR(INDEX(nombres[],SMALL(IF(OFFSET(nombres[],0,0,ROWS(nombres[]),1)=IK$1490,ROW(OFFSET(nombres[],0,0,ROWS(nombres[]),1))-ROW(OFFSET(nombres[],0,0,1,1))+1,ROW(OFFSET(nombres[],ROWS(nombres[])-1,0,1,1))+1),$O1554:$O1573),3),"")</f>
        <v/>
      </c>
      <c r="IL1554" s="42" t="str">
        <f t="array" aca="1" ref="IL1554" ca="1">IFERROR(INDEX(nombres[],SMALL(IF(OFFSET(nombres[],0,0,ROWS(nombres[]),1)=IL$1490,ROW(OFFSET(nombres[],0,0,ROWS(nombres[]),1))-ROW(OFFSET(nombres[],0,0,1,1))+1,ROW(OFFSET(nombres[],ROWS(nombres[])-1,0,1,1))+1),$O1554:$O1573),3),"")</f>
        <v/>
      </c>
      <c r="IM1554" s="42" t="str">
        <f t="array" aca="1" ref="IM1554" ca="1">IFERROR(INDEX(nombres[],SMALL(IF(OFFSET(nombres[],0,0,ROWS(nombres[]),1)=IM$1490,ROW(OFFSET(nombres[],0,0,ROWS(nombres[]),1))-ROW(OFFSET(nombres[],0,0,1,1))+1,ROW(OFFSET(nombres[],ROWS(nombres[])-1,0,1,1))+1),$O1554:$O1573),3),"")</f>
        <v/>
      </c>
      <c r="IN1554" s="42" t="str">
        <f t="array" aca="1" ref="IN1554" ca="1">IFERROR(INDEX(nombres[],SMALL(IF(OFFSET(nombres[],0,0,ROWS(nombres[]),1)=IN$1490,ROW(OFFSET(nombres[],0,0,ROWS(nombres[]),1))-ROW(OFFSET(nombres[],0,0,1,1))+1,ROW(OFFSET(nombres[],ROWS(nombres[])-1,0,1,1))+1),$O1554:$O1573),3),"")</f>
        <v/>
      </c>
      <c r="IO1554" s="42" t="str">
        <f t="array" aca="1" ref="IO1554" ca="1">IFERROR(INDEX(nombres[],SMALL(IF(OFFSET(nombres[],0,0,ROWS(nombres[]),1)=IO$1490,ROW(OFFSET(nombres[],0,0,ROWS(nombres[]),1))-ROW(OFFSET(nombres[],0,0,1,1))+1,ROW(OFFSET(nombres[],ROWS(nombres[])-1,0,1,1))+1),$O1554:$O1573),3),"")</f>
        <v/>
      </c>
      <c r="IP1554" s="42" t="str">
        <f t="array" aca="1" ref="IP1554" ca="1">IFERROR(INDEX(nombres[],SMALL(IF(OFFSET(nombres[],0,0,ROWS(nombres[]),1)=IP$1490,ROW(OFFSET(nombres[],0,0,ROWS(nombres[]),1))-ROW(OFFSET(nombres[],0,0,1,1))+1,ROW(OFFSET(nombres[],ROWS(nombres[])-1,0,1,1))+1),$O1554:$O1573),3),"")</f>
        <v/>
      </c>
      <c r="IQ1554" s="42" t="str">
        <f t="array" aca="1" ref="IQ1554" ca="1">IFERROR(INDEX(nombres[],SMALL(IF(OFFSET(nombres[],0,0,ROWS(nombres[]),1)=IQ$1490,ROW(OFFSET(nombres[],0,0,ROWS(nombres[]),1))-ROW(OFFSET(nombres[],0,0,1,1))+1,ROW(OFFSET(nombres[],ROWS(nombres[])-1,0,1,1))+1),$O1554:$O1573),3),"")</f>
        <v/>
      </c>
      <c r="IR1554" s="42" t="str">
        <f t="array" aca="1" ref="IR1554" ca="1">IFERROR(INDEX(nombres[],SMALL(IF(OFFSET(nombres[],0,0,ROWS(nombres[]),1)=IR$1490,ROW(OFFSET(nombres[],0,0,ROWS(nombres[]),1))-ROW(OFFSET(nombres[],0,0,1,1))+1,ROW(OFFSET(nombres[],ROWS(nombres[])-1,0,1,1))+1),$O1554:$O1573),3),"")</f>
        <v/>
      </c>
      <c r="IS1554" s="42" t="str">
        <f t="array" aca="1" ref="IS1554" ca="1">IFERROR(INDEX(nombres[],SMALL(IF(OFFSET(nombres[],0,0,ROWS(nombres[]),1)=IS$1490,ROW(OFFSET(nombres[],0,0,ROWS(nombres[]),1))-ROW(OFFSET(nombres[],0,0,1,1))+1,ROW(OFFSET(nombres[],ROWS(nombres[])-1,0,1,1))+1),$O1554:$O1573),3),"")</f>
        <v/>
      </c>
      <c r="IT1554" s="42" t="str">
        <f t="array" aca="1" ref="IT1554" ca="1">IFERROR(INDEX(nombres[],SMALL(IF(OFFSET(nombres[],0,0,ROWS(nombres[]),1)=IT$1490,ROW(OFFSET(nombres[],0,0,ROWS(nombres[]),1))-ROW(OFFSET(nombres[],0,0,1,1))+1,ROW(OFFSET(nombres[],ROWS(nombres[])-1,0,1,1))+1),$O1554:$O1573),3),"")</f>
        <v/>
      </c>
      <c r="IU1554" s="42" t="str">
        <f t="array" aca="1" ref="IU1554" ca="1">IFERROR(INDEX(nombres[],SMALL(IF(OFFSET(nombres[],0,0,ROWS(nombres[]),1)=IU$1490,ROW(OFFSET(nombres[],0,0,ROWS(nombres[]),1))-ROW(OFFSET(nombres[],0,0,1,1))+1,ROW(OFFSET(nombres[],ROWS(nombres[])-1,0,1,1))+1),$O1554:$O1573),3),"")</f>
        <v/>
      </c>
      <c r="IV1554" s="42" t="str">
        <f t="array" aca="1" ref="IV1554" ca="1">IFERROR(INDEX(nombres[],SMALL(IF(OFFSET(nombres[],0,0,ROWS(nombres[]),1)=IV$1490,ROW(OFFSET(nombres[],0,0,ROWS(nombres[]),1))-ROW(OFFSET(nombres[],0,0,1,1))+1,ROW(OFFSET(nombres[],ROWS(nombres[])-1,0,1,1))+1),$O1554:$O1573),3),"")</f>
        <v/>
      </c>
      <c r="IW1554" s="42" t="str">
        <f t="array" aca="1" ref="IW1554" ca="1">IFERROR(INDEX(nombres[],SMALL(IF(OFFSET(nombres[],0,0,ROWS(nombres[]),1)=IW$1490,ROW(OFFSET(nombres[],0,0,ROWS(nombres[]),1))-ROW(OFFSET(nombres[],0,0,1,1))+1,ROW(OFFSET(nombres[],ROWS(nombres[])-1,0,1,1))+1),$O1554:$O1573),3),"")</f>
        <v/>
      </c>
      <c r="IX1554" s="42" t="str">
        <f t="array" aca="1" ref="IX1554" ca="1">IFERROR(INDEX(nombres[],SMALL(IF(OFFSET(nombres[],0,0,ROWS(nombres[]),1)=IX$1490,ROW(OFFSET(nombres[],0,0,ROWS(nombres[]),1))-ROW(OFFSET(nombres[],0,0,1,1))+1,ROW(OFFSET(nombres[],ROWS(nombres[])-1,0,1,1))+1),$O1554:$O1573),3),"")</f>
        <v/>
      </c>
      <c r="IY1554" s="42" t="str">
        <f t="array" aca="1" ref="IY1554" ca="1">IFERROR(INDEX(nombres[],SMALL(IF(OFFSET(nombres[],0,0,ROWS(nombres[]),1)=IY$1490,ROW(OFFSET(nombres[],0,0,ROWS(nombres[]),1))-ROW(OFFSET(nombres[],0,0,1,1))+1,ROW(OFFSET(nombres[],ROWS(nombres[])-1,0,1,1))+1),$O1554:$O1573),3),"")</f>
        <v/>
      </c>
      <c r="IZ1554" s="42" t="str">
        <f t="array" aca="1" ref="IZ1554" ca="1">IFERROR(INDEX(nombres[],SMALL(IF(OFFSET(nombres[],0,0,ROWS(nombres[]),1)=IZ$1490,ROW(OFFSET(nombres[],0,0,ROWS(nombres[]),1))-ROW(OFFSET(nombres[],0,0,1,1))+1,ROW(OFFSET(nombres[],ROWS(nombres[])-1,0,1,1))+1),$O1554:$O1573),3),"")</f>
        <v/>
      </c>
      <c r="JA1554" s="42" t="str">
        <f t="array" aca="1" ref="JA1554" ca="1">IFERROR(INDEX(nombres[],SMALL(IF(OFFSET(nombres[],0,0,ROWS(nombres[]),1)=JA$1490,ROW(OFFSET(nombres[],0,0,ROWS(nombres[]),1))-ROW(OFFSET(nombres[],0,0,1,1))+1,ROW(OFFSET(nombres[],ROWS(nombres[])-1,0,1,1))+1),$O1554:$O1573),3),"")</f>
        <v/>
      </c>
      <c r="JB1554" s="42" t="str">
        <f t="array" aca="1" ref="JB1554" ca="1">IFERROR(INDEX(nombres[],SMALL(IF(OFFSET(nombres[],0,0,ROWS(nombres[]),1)=JB$1490,ROW(OFFSET(nombres[],0,0,ROWS(nombres[]),1))-ROW(OFFSET(nombres[],0,0,1,1))+1,ROW(OFFSET(nombres[],ROWS(nombres[])-1,0,1,1))+1),$O1554:$O1573),3),"")</f>
        <v/>
      </c>
      <c r="JC1554" s="42" t="str">
        <f t="array" aca="1" ref="JC1554" ca="1">IFERROR(INDEX(nombres[],SMALL(IF(OFFSET(nombres[],0,0,ROWS(nombres[]),1)=JC$1490,ROW(OFFSET(nombres[],0,0,ROWS(nombres[]),1))-ROW(OFFSET(nombres[],0,0,1,1))+1,ROW(OFFSET(nombres[],ROWS(nombres[])-1,0,1,1))+1),$O1554:$O1573),3),"")</f>
        <v/>
      </c>
      <c r="JD1554" s="42" t="str">
        <f t="array" aca="1" ref="JD1554" ca="1">IFERROR(INDEX(nombres[],SMALL(IF(OFFSET(nombres[],0,0,ROWS(nombres[]),1)=JD$1490,ROW(OFFSET(nombres[],0,0,ROWS(nombres[]),1))-ROW(OFFSET(nombres[],0,0,1,1))+1,ROW(OFFSET(nombres[],ROWS(nombres[])-1,0,1,1))+1),$O1554:$O1573),3),"")</f>
        <v/>
      </c>
      <c r="JE1554" s="42" t="str">
        <f t="array" aca="1" ref="JE1554" ca="1">IFERROR(INDEX(nombres[],SMALL(IF(OFFSET(nombres[],0,0,ROWS(nombres[]),1)=JE$1490,ROW(OFFSET(nombres[],0,0,ROWS(nombres[]),1))-ROW(OFFSET(nombres[],0,0,1,1))+1,ROW(OFFSET(nombres[],ROWS(nombres[])-1,0,1,1))+1),$O1554:$O1573),3),"")</f>
        <v/>
      </c>
      <c r="JF1554" s="42" t="str">
        <f t="array" aca="1" ref="JF1554" ca="1">IFERROR(INDEX(nombres[],SMALL(IF(OFFSET(nombres[],0,0,ROWS(nombres[]),1)=JF$1490,ROW(OFFSET(nombres[],0,0,ROWS(nombres[]),1))-ROW(OFFSET(nombres[],0,0,1,1))+1,ROW(OFFSET(nombres[],ROWS(nombres[])-1,0,1,1))+1),$O1554:$O1573),3),"")</f>
        <v/>
      </c>
      <c r="JG1554" s="42" t="str">
        <f t="array" aca="1" ref="JG1554" ca="1">IFERROR(INDEX(nombres[],SMALL(IF(OFFSET(nombres[],0,0,ROWS(nombres[]),1)=JG$1490,ROW(OFFSET(nombres[],0,0,ROWS(nombres[]),1))-ROW(OFFSET(nombres[],0,0,1,1))+1,ROW(OFFSET(nombres[],ROWS(nombres[])-1,0,1,1))+1),$O1554:$O1573),3),"")</f>
        <v/>
      </c>
      <c r="JH1554" s="42" t="str">
        <f t="array" aca="1" ref="JH1554" ca="1">IFERROR(INDEX(nombres[],SMALL(IF(OFFSET(nombres[],0,0,ROWS(nombres[]),1)=JH$1490,ROW(OFFSET(nombres[],0,0,ROWS(nombres[]),1))-ROW(OFFSET(nombres[],0,0,1,1))+1,ROW(OFFSET(nombres[],ROWS(nombres[])-1,0,1,1))+1),$O1554:$O1573),3),"")</f>
        <v/>
      </c>
      <c r="JI1554" s="42" t="str">
        <f t="array" aca="1" ref="JI1554" ca="1">IFERROR(INDEX(nombres[],SMALL(IF(OFFSET(nombres[],0,0,ROWS(nombres[]),1)=JI$1490,ROW(OFFSET(nombres[],0,0,ROWS(nombres[]),1))-ROW(OFFSET(nombres[],0,0,1,1))+1,ROW(OFFSET(nombres[],ROWS(nombres[])-1,0,1,1))+1),$O1554:$O1573),3),"")</f>
        <v/>
      </c>
      <c r="JJ1554" s="42" t="str">
        <f t="array" aca="1" ref="JJ1554" ca="1">IFERROR(INDEX(nombres[],SMALL(IF(OFFSET(nombres[],0,0,ROWS(nombres[]),1)=JJ$1490,ROW(OFFSET(nombres[],0,0,ROWS(nombres[]),1))-ROW(OFFSET(nombres[],0,0,1,1))+1,ROW(OFFSET(nombres[],ROWS(nombres[])-1,0,1,1))+1),$O1554:$O1573),3),"")</f>
        <v/>
      </c>
      <c r="JK1554" s="42" t="str">
        <f t="array" aca="1" ref="JK1554" ca="1">IFERROR(INDEX(nombres[],SMALL(IF(OFFSET(nombres[],0,0,ROWS(nombres[]),1)=JK$1490,ROW(OFFSET(nombres[],0,0,ROWS(nombres[]),1))-ROW(OFFSET(nombres[],0,0,1,1))+1,ROW(OFFSET(nombres[],ROWS(nombres[])-1,0,1,1))+1),$O1554:$O1573),3),"")</f>
        <v/>
      </c>
      <c r="JL1554" s="42" t="str">
        <f t="array" aca="1" ref="JL1554" ca="1">IFERROR(INDEX(nombres[],SMALL(IF(OFFSET(nombres[],0,0,ROWS(nombres[]),1)=JL$1490,ROW(OFFSET(nombres[],0,0,ROWS(nombres[]),1))-ROW(OFFSET(nombres[],0,0,1,1))+1,ROW(OFFSET(nombres[],ROWS(nombres[])-1,0,1,1))+1),$O1554:$O1573),3),"")</f>
        <v/>
      </c>
      <c r="JM1554" s="42" t="str">
        <f t="array" aca="1" ref="JM1554" ca="1">IFERROR(INDEX(nombres[],SMALL(IF(OFFSET(nombres[],0,0,ROWS(nombres[]),1)=JM$1490,ROW(OFFSET(nombres[],0,0,ROWS(nombres[]),1))-ROW(OFFSET(nombres[],0,0,1,1))+1,ROW(OFFSET(nombres[],ROWS(nombres[])-1,0,1,1))+1),$O1554:$O1573),3),"")</f>
        <v/>
      </c>
      <c r="JN1554" s="42" t="str">
        <f t="array" aca="1" ref="JN1554" ca="1">IFERROR(INDEX(nombres[],SMALL(IF(OFFSET(nombres[],0,0,ROWS(nombres[]),1)=JN$1490,ROW(OFFSET(nombres[],0,0,ROWS(nombres[]),1))-ROW(OFFSET(nombres[],0,0,1,1))+1,ROW(OFFSET(nombres[],ROWS(nombres[])-1,0,1,1))+1),$O1554:$O1573),3),"")</f>
        <v/>
      </c>
      <c r="JO1554" s="42" t="str">
        <f t="array" aca="1" ref="JO1554" ca="1">IFERROR(INDEX(nombres[],SMALL(IF(OFFSET(nombres[],0,0,ROWS(nombres[]),1)=JO$1490,ROW(OFFSET(nombres[],0,0,ROWS(nombres[]),1))-ROW(OFFSET(nombres[],0,0,1,1))+1,ROW(OFFSET(nombres[],ROWS(nombres[])-1,0,1,1))+1),$O1554:$O1573),3),"")</f>
        <v/>
      </c>
      <c r="JP1554" s="42" t="str">
        <f t="array" aca="1" ref="JP1554" ca="1">IFERROR(INDEX(nombres[],SMALL(IF(OFFSET(nombres[],0,0,ROWS(nombres[]),1)=JP$1490,ROW(OFFSET(nombres[],0,0,ROWS(nombres[]),1))-ROW(OFFSET(nombres[],0,0,1,1))+1,ROW(OFFSET(nombres[],ROWS(nombres[])-1,0,1,1))+1),$O1554:$O1573),3),"")</f>
        <v/>
      </c>
      <c r="JQ1554" s="42" t="str">
        <f t="array" aca="1" ref="JQ1554" ca="1">IFERROR(INDEX(nombres[],SMALL(IF(OFFSET(nombres[],0,0,ROWS(nombres[]),1)=JQ$1490,ROW(OFFSET(nombres[],0,0,ROWS(nombres[]),1))-ROW(OFFSET(nombres[],0,0,1,1))+1,ROW(OFFSET(nombres[],ROWS(nombres[])-1,0,1,1))+1),$O1554:$O1573),3),"")</f>
        <v/>
      </c>
      <c r="JR1554" s="42" t="str">
        <f t="array" aca="1" ref="JR1554" ca="1">IFERROR(INDEX(nombres[],SMALL(IF(OFFSET(nombres[],0,0,ROWS(nombres[]),1)=JR$1490,ROW(OFFSET(nombres[],0,0,ROWS(nombres[]),1))-ROW(OFFSET(nombres[],0,0,1,1))+1,ROW(OFFSET(nombres[],ROWS(nombres[])-1,0,1,1))+1),$O1554:$O1573),3),"")</f>
        <v/>
      </c>
      <c r="JS1554" s="42" t="str">
        <f t="array" aca="1" ref="JS1554" ca="1">IFERROR(INDEX(nombres[],SMALL(IF(OFFSET(nombres[],0,0,ROWS(nombres[]),1)=JS$1490,ROW(OFFSET(nombres[],0,0,ROWS(nombres[]),1))-ROW(OFFSET(nombres[],0,0,1,1))+1,ROW(OFFSET(nombres[],ROWS(nombres[])-1,0,1,1))+1),$O1554:$O1573),3),"")</f>
        <v/>
      </c>
      <c r="JT1554" s="42" t="str">
        <f t="array" aca="1" ref="JT1554" ca="1">IFERROR(INDEX(nombres[],SMALL(IF(OFFSET(nombres[],0,0,ROWS(nombres[]),1)=JT$1490,ROW(OFFSET(nombres[],0,0,ROWS(nombres[]),1))-ROW(OFFSET(nombres[],0,0,1,1))+1,ROW(OFFSET(nombres[],ROWS(nombres[])-1,0,1,1))+1),$O1554:$O1573),3),"")</f>
        <v/>
      </c>
      <c r="JU1554" s="42" t="str">
        <f t="array" aca="1" ref="JU1554" ca="1">IFERROR(INDEX(nombres[],SMALL(IF(OFFSET(nombres[],0,0,ROWS(nombres[]),1)=JU$1490,ROW(OFFSET(nombres[],0,0,ROWS(nombres[]),1))-ROW(OFFSET(nombres[],0,0,1,1))+1,ROW(OFFSET(nombres[],ROWS(nombres[])-1,0,1,1))+1),$O1554:$O1573),3),"")</f>
        <v/>
      </c>
      <c r="JV1554" s="42" t="str">
        <f t="array" aca="1" ref="JV1554" ca="1">IFERROR(INDEX(nombres[],SMALL(IF(OFFSET(nombres[],0,0,ROWS(nombres[]),1)=JV$1490,ROW(OFFSET(nombres[],0,0,ROWS(nombres[]),1))-ROW(OFFSET(nombres[],0,0,1,1))+1,ROW(OFFSET(nombres[],ROWS(nombres[])-1,0,1,1))+1),$O1554:$O1573),3),"")</f>
        <v/>
      </c>
      <c r="JW1554" s="42" t="str">
        <f t="array" aca="1" ref="JW1554" ca="1">IFERROR(INDEX(nombres[],SMALL(IF(OFFSET(nombres[],0,0,ROWS(nombres[]),1)=JW$1490,ROW(OFFSET(nombres[],0,0,ROWS(nombres[]),1))-ROW(OFFSET(nombres[],0,0,1,1))+1,ROW(OFFSET(nombres[],ROWS(nombres[])-1,0,1,1))+1),$O1554:$O1573),3),"")</f>
        <v/>
      </c>
      <c r="JX1554" s="42" t="str">
        <f t="array" aca="1" ref="JX1554" ca="1">IFERROR(INDEX(nombres[],SMALL(IF(OFFSET(nombres[],0,0,ROWS(nombres[]),1)=JX$1490,ROW(OFFSET(nombres[],0,0,ROWS(nombres[]),1))-ROW(OFFSET(nombres[],0,0,1,1))+1,ROW(OFFSET(nombres[],ROWS(nombres[])-1,0,1,1))+1),$O1554:$O1573),3),"")</f>
        <v/>
      </c>
      <c r="JY1554" s="42" t="str">
        <f t="array" aca="1" ref="JY1554" ca="1">IFERROR(INDEX(nombres[],SMALL(IF(OFFSET(nombres[],0,0,ROWS(nombres[]),1)=JY$1490,ROW(OFFSET(nombres[],0,0,ROWS(nombres[]),1))-ROW(OFFSET(nombres[],0,0,1,1))+1,ROW(OFFSET(nombres[],ROWS(nombres[])-1,0,1,1))+1),$O1554:$O1573),3),"")</f>
        <v/>
      </c>
      <c r="JZ1554" s="42" t="str">
        <f t="array" aca="1" ref="JZ1554" ca="1">IFERROR(INDEX(nombres[],SMALL(IF(OFFSET(nombres[],0,0,ROWS(nombres[]),1)=JZ$1490,ROW(OFFSET(nombres[],0,0,ROWS(nombres[]),1))-ROW(OFFSET(nombres[],0,0,1,1))+1,ROW(OFFSET(nombres[],ROWS(nombres[])-1,0,1,1))+1),$O1554:$O1573),3),"")</f>
        <v/>
      </c>
      <c r="KA1554" s="42" t="str">
        <f t="array" aca="1" ref="KA1554" ca="1">IFERROR(INDEX(nombres[],SMALL(IF(OFFSET(nombres[],0,0,ROWS(nombres[]),1)=KA$1490,ROW(OFFSET(nombres[],0,0,ROWS(nombres[]),1))-ROW(OFFSET(nombres[],0,0,1,1))+1,ROW(OFFSET(nombres[],ROWS(nombres[])-1,0,1,1))+1),$O1554:$O1573),3),"")</f>
        <v/>
      </c>
      <c r="KB1554" s="42" t="str">
        <f t="array" aca="1" ref="KB1554" ca="1">IFERROR(INDEX(nombres[],SMALL(IF(OFFSET(nombres[],0,0,ROWS(nombres[]),1)=KB$1490,ROW(OFFSET(nombres[],0,0,ROWS(nombres[]),1))-ROW(OFFSET(nombres[],0,0,1,1))+1,ROW(OFFSET(nombres[],ROWS(nombres[])-1,0,1,1))+1),$O1554:$O1573),3),"")</f>
        <v/>
      </c>
      <c r="KC1554" s="42" t="str">
        <f t="array" aca="1" ref="KC1554" ca="1">IFERROR(INDEX(nombres[],SMALL(IF(OFFSET(nombres[],0,0,ROWS(nombres[]),1)=KC$1490,ROW(OFFSET(nombres[],0,0,ROWS(nombres[]),1))-ROW(OFFSET(nombres[],0,0,1,1))+1,ROW(OFFSET(nombres[],ROWS(nombres[])-1,0,1,1))+1),$O1554:$O1573),3),"")</f>
        <v/>
      </c>
      <c r="KD1554" s="42" t="str">
        <f t="array" aca="1" ref="KD1554" ca="1">IFERROR(INDEX(nombres[],SMALL(IF(OFFSET(nombres[],0,0,ROWS(nombres[]),1)=KD$1490,ROW(OFFSET(nombres[],0,0,ROWS(nombres[]),1))-ROW(OFFSET(nombres[],0,0,1,1))+1,ROW(OFFSET(nombres[],ROWS(nombres[])-1,0,1,1))+1),$O1554:$O1573),3),"")</f>
        <v/>
      </c>
      <c r="KE1554" s="42" t="str">
        <f t="array" aca="1" ref="KE1554" ca="1">IFERROR(INDEX(nombres[],SMALL(IF(OFFSET(nombres[],0,0,ROWS(nombres[]),1)=KE$1490,ROW(OFFSET(nombres[],0,0,ROWS(nombres[]),1))-ROW(OFFSET(nombres[],0,0,1,1))+1,ROW(OFFSET(nombres[],ROWS(nombres[])-1,0,1,1))+1),$O1554:$O1573),3),"")</f>
        <v/>
      </c>
      <c r="KF1554" s="42" t="str">
        <f t="array" aca="1" ref="KF1554" ca="1">IFERROR(INDEX(nombres[],SMALL(IF(OFFSET(nombres[],0,0,ROWS(nombres[]),1)=KF$1490,ROW(OFFSET(nombres[],0,0,ROWS(nombres[]),1))-ROW(OFFSET(nombres[],0,0,1,1))+1,ROW(OFFSET(nombres[],ROWS(nombres[])-1,0,1,1))+1),$O1554:$O1573),3),"")</f>
        <v/>
      </c>
      <c r="KG1554" s="42" t="str">
        <f t="array" aca="1" ref="KG1554" ca="1">IFERROR(INDEX(nombres[],SMALL(IF(OFFSET(nombres[],0,0,ROWS(nombres[]),1)=KG$1490,ROW(OFFSET(nombres[],0,0,ROWS(nombres[]),1))-ROW(OFFSET(nombres[],0,0,1,1))+1,ROW(OFFSET(nombres[],ROWS(nombres[])-1,0,1,1))+1),$O1554:$O1573),3),"")</f>
        <v/>
      </c>
      <c r="KH1554" s="42" t="str">
        <f t="array" aca="1" ref="KH1554" ca="1">IFERROR(INDEX(nombres[],SMALL(IF(OFFSET(nombres[],0,0,ROWS(nombres[]),1)=KH$1490,ROW(OFFSET(nombres[],0,0,ROWS(nombres[]),1))-ROW(OFFSET(nombres[],0,0,1,1))+1,ROW(OFFSET(nombres[],ROWS(nombres[])-1,0,1,1))+1),$O1554:$O1573),3),"")</f>
        <v/>
      </c>
      <c r="KI1554" s="42" t="str">
        <f t="array" aca="1" ref="KI1554" ca="1">IFERROR(INDEX(nombres[],SMALL(IF(OFFSET(nombres[],0,0,ROWS(nombres[]),1)=KI$1490,ROW(OFFSET(nombres[],0,0,ROWS(nombres[]),1))-ROW(OFFSET(nombres[],0,0,1,1))+1,ROW(OFFSET(nombres[],ROWS(nombres[])-1,0,1,1))+1),$O1554:$O1573),3),"")</f>
        <v/>
      </c>
      <c r="KJ1554" s="42" t="str">
        <f t="array" aca="1" ref="KJ1554" ca="1">IFERROR(INDEX(nombres[],SMALL(IF(OFFSET(nombres[],0,0,ROWS(nombres[]),1)=KJ$1490,ROW(OFFSET(nombres[],0,0,ROWS(nombres[]),1))-ROW(OFFSET(nombres[],0,0,1,1))+1,ROW(OFFSET(nombres[],ROWS(nombres[])-1,0,1,1))+1),$O1554:$O1573),3),"")</f>
        <v/>
      </c>
      <c r="KK1554" s="42" t="str">
        <f t="array" aca="1" ref="KK1554" ca="1">IFERROR(INDEX(nombres[],SMALL(IF(OFFSET(nombres[],0,0,ROWS(nombres[]),1)=KK$1490,ROW(OFFSET(nombres[],0,0,ROWS(nombres[]),1))-ROW(OFFSET(nombres[],0,0,1,1))+1,ROW(OFFSET(nombres[],ROWS(nombres[])-1,0,1,1))+1),$O1554:$O1573),3),"")</f>
        <v/>
      </c>
      <c r="KL1554" s="42" t="str">
        <f t="array" aca="1" ref="KL1554" ca="1">IFERROR(INDEX(nombres[],SMALL(IF(OFFSET(nombres[],0,0,ROWS(nombres[]),1)=KL$1490,ROW(OFFSET(nombres[],0,0,ROWS(nombres[]),1))-ROW(OFFSET(nombres[],0,0,1,1))+1,ROW(OFFSET(nombres[],ROWS(nombres[])-1,0,1,1))+1),$O1554:$O1573),3),"")</f>
        <v/>
      </c>
      <c r="KM1554" s="42" t="str">
        <f t="array" aca="1" ref="KM1554" ca="1">IFERROR(INDEX(nombres[],SMALL(IF(OFFSET(nombres[],0,0,ROWS(nombres[]),1)=KM$1490,ROW(OFFSET(nombres[],0,0,ROWS(nombres[]),1))-ROW(OFFSET(nombres[],0,0,1,1))+1,ROW(OFFSET(nombres[],ROWS(nombres[])-1,0,1,1))+1),$O1554:$O1573),3),"")</f>
        <v/>
      </c>
      <c r="KN1554" s="42" t="str">
        <f t="array" aca="1" ref="KN1554" ca="1">IFERROR(INDEX(nombres[],SMALL(IF(OFFSET(nombres[],0,0,ROWS(nombres[]),1)=KN$1490,ROW(OFFSET(nombres[],0,0,ROWS(nombres[]),1))-ROW(OFFSET(nombres[],0,0,1,1))+1,ROW(OFFSET(nombres[],ROWS(nombres[])-1,0,1,1))+1),$O1554:$O1573),3),"")</f>
        <v/>
      </c>
      <c r="KO1554" s="42" t="str">
        <f t="array" aca="1" ref="KO1554" ca="1">IFERROR(INDEX(nombres[],SMALL(IF(OFFSET(nombres[],0,0,ROWS(nombres[]),1)=KO$1490,ROW(OFFSET(nombres[],0,0,ROWS(nombres[]),1))-ROW(OFFSET(nombres[],0,0,1,1))+1,ROW(OFFSET(nombres[],ROWS(nombres[])-1,0,1,1))+1),$O1554:$O1573),3),"")</f>
        <v/>
      </c>
      <c r="KP1554" s="42" t="str">
        <f t="array" aca="1" ref="KP1554" ca="1">IFERROR(INDEX(nombres[],SMALL(IF(OFFSET(nombres[],0,0,ROWS(nombres[]),1)=KP$1490,ROW(OFFSET(nombres[],0,0,ROWS(nombres[]),1))-ROW(OFFSET(nombres[],0,0,1,1))+1,ROW(OFFSET(nombres[],ROWS(nombres[])-1,0,1,1))+1),$O1554:$O1573),3),"")</f>
        <v/>
      </c>
      <c r="KQ1554" s="42" t="str">
        <f t="array" aca="1" ref="KQ1554" ca="1">IFERROR(INDEX(nombres[],SMALL(IF(OFFSET(nombres[],0,0,ROWS(nombres[]),1)=KQ$1490,ROW(OFFSET(nombres[],0,0,ROWS(nombres[]),1))-ROW(OFFSET(nombres[],0,0,1,1))+1,ROW(OFFSET(nombres[],ROWS(nombres[])-1,0,1,1))+1),$O1554:$O1573),3),"")</f>
        <v/>
      </c>
      <c r="KR1554" s="42" t="str">
        <f t="array" aca="1" ref="KR1554" ca="1">IFERROR(INDEX(nombres[],SMALL(IF(OFFSET(nombres[],0,0,ROWS(nombres[]),1)=KR$1490,ROW(OFFSET(nombres[],0,0,ROWS(nombres[]),1))-ROW(OFFSET(nombres[],0,0,1,1))+1,ROW(OFFSET(nombres[],ROWS(nombres[])-1,0,1,1))+1),$O1554:$O1573),3),"")</f>
        <v/>
      </c>
      <c r="KS1554" s="42" t="str">
        <f t="array" aca="1" ref="KS1554" ca="1">IFERROR(INDEX(nombres[],SMALL(IF(OFFSET(nombres[],0,0,ROWS(nombres[]),1)=KS$1490,ROW(OFFSET(nombres[],0,0,ROWS(nombres[]),1))-ROW(OFFSET(nombres[],0,0,1,1))+1,ROW(OFFSET(nombres[],ROWS(nombres[])-1,0,1,1))+1),$O1554:$O1573),3),"")</f>
        <v/>
      </c>
      <c r="KT1554" s="42" t="str">
        <f t="array" aca="1" ref="KT1554" ca="1">IFERROR(INDEX(nombres[],SMALL(IF(OFFSET(nombres[],0,0,ROWS(nombres[]),1)=KT$1490,ROW(OFFSET(nombres[],0,0,ROWS(nombres[]),1))-ROW(OFFSET(nombres[],0,0,1,1))+1,ROW(OFFSET(nombres[],ROWS(nombres[])-1,0,1,1))+1),$O1554:$O1573),3),"")</f>
        <v/>
      </c>
      <c r="KU1554" s="42" t="str">
        <f t="array" aca="1" ref="KU1554" ca="1">IFERROR(INDEX(nombres[],SMALL(IF(OFFSET(nombres[],0,0,ROWS(nombres[]),1)=KU$1490,ROW(OFFSET(nombres[],0,0,ROWS(nombres[]),1))-ROW(OFFSET(nombres[],0,0,1,1))+1,ROW(OFFSET(nombres[],ROWS(nombres[])-1,0,1,1))+1),$O1554:$O1573),3),"")</f>
        <v/>
      </c>
      <c r="KV1554" s="42" t="str">
        <f t="array" aca="1" ref="KV1554" ca="1">IFERROR(INDEX(nombres[],SMALL(IF(OFFSET(nombres[],0,0,ROWS(nombres[]),1)=KV$1490,ROW(OFFSET(nombres[],0,0,ROWS(nombres[]),1))-ROW(OFFSET(nombres[],0,0,1,1))+1,ROW(OFFSET(nombres[],ROWS(nombres[])-1,0,1,1))+1),$O1554:$O1573),3),"")</f>
        <v/>
      </c>
      <c r="KW1554" s="42" t="str">
        <f t="array" aca="1" ref="KW1554" ca="1">IFERROR(INDEX(nombres[],SMALL(IF(OFFSET(nombres[],0,0,ROWS(nombres[]),1)=KW$1490,ROW(OFFSET(nombres[],0,0,ROWS(nombres[]),1))-ROW(OFFSET(nombres[],0,0,1,1))+1,ROW(OFFSET(nombres[],ROWS(nombres[])-1,0,1,1))+1),$O1554:$O1573),3),"")</f>
        <v/>
      </c>
      <c r="KX1554" s="42" t="str">
        <f t="array" aca="1" ref="KX1554" ca="1">IFERROR(INDEX(nombres[],SMALL(IF(OFFSET(nombres[],0,0,ROWS(nombres[]),1)=KX$1490,ROW(OFFSET(nombres[],0,0,ROWS(nombres[]),1))-ROW(OFFSET(nombres[],0,0,1,1))+1,ROW(OFFSET(nombres[],ROWS(nombres[])-1,0,1,1))+1),$O1554:$O1573),3),"")</f>
        <v/>
      </c>
      <c r="KY1554" s="42" t="str">
        <f t="array" aca="1" ref="KY1554" ca="1">IFERROR(INDEX(nombres[],SMALL(IF(OFFSET(nombres[],0,0,ROWS(nombres[]),1)=KY$1490,ROW(OFFSET(nombres[],0,0,ROWS(nombres[]),1))-ROW(OFFSET(nombres[],0,0,1,1))+1,ROW(OFFSET(nombres[],ROWS(nombres[])-1,0,1,1))+1),$O1554:$O1573),3),"")</f>
        <v/>
      </c>
      <c r="KZ1554" s="42" t="str">
        <f t="array" aca="1" ref="KZ1554" ca="1">IFERROR(INDEX(nombres[],SMALL(IF(OFFSET(nombres[],0,0,ROWS(nombres[]),1)=KZ$1490,ROW(OFFSET(nombres[],0,0,ROWS(nombres[]),1))-ROW(OFFSET(nombres[],0,0,1,1))+1,ROW(OFFSET(nombres[],ROWS(nombres[])-1,0,1,1))+1),$O1554:$O1573),3),"")</f>
        <v/>
      </c>
      <c r="LA1554" s="42" t="str">
        <f t="array" aca="1" ref="LA1554" ca="1">IFERROR(INDEX(nombres[],SMALL(IF(OFFSET(nombres[],0,0,ROWS(nombres[]),1)=LA$1490,ROW(OFFSET(nombres[],0,0,ROWS(nombres[]),1))-ROW(OFFSET(nombres[],0,0,1,1))+1,ROW(OFFSET(nombres[],ROWS(nombres[])-1,0,1,1))+1),$O1554:$O1573),3),"")</f>
        <v/>
      </c>
      <c r="LB1554" s="42" t="str">
        <f t="array" aca="1" ref="LB1554" ca="1">IFERROR(INDEX(nombres[],SMALL(IF(OFFSET(nombres[],0,0,ROWS(nombres[]),1)=LB$1490,ROW(OFFSET(nombres[],0,0,ROWS(nombres[]),1))-ROW(OFFSET(nombres[],0,0,1,1))+1,ROW(OFFSET(nombres[],ROWS(nombres[])-1,0,1,1))+1),$O1554:$O1573),3),"")</f>
        <v/>
      </c>
      <c r="LC1554" s="42" t="str">
        <f t="array" aca="1" ref="LC1554" ca="1">IFERROR(INDEX(nombres[],SMALL(IF(OFFSET(nombres[],0,0,ROWS(nombres[]),1)=LC$1490,ROW(OFFSET(nombres[],0,0,ROWS(nombres[]),1))-ROW(OFFSET(nombres[],0,0,1,1))+1,ROW(OFFSET(nombres[],ROWS(nombres[])-1,0,1,1))+1),$O1554:$O1573),3),"")</f>
        <v/>
      </c>
      <c r="LD1554" s="42" t="str">
        <f t="array" aca="1" ref="LD1554" ca="1">IFERROR(INDEX(nombres[],SMALL(IF(OFFSET(nombres[],0,0,ROWS(nombres[]),1)=LD$1490,ROW(OFFSET(nombres[],0,0,ROWS(nombres[]),1))-ROW(OFFSET(nombres[],0,0,1,1))+1,ROW(OFFSET(nombres[],ROWS(nombres[])-1,0,1,1))+1),$O1554:$O1573),3),"")</f>
        <v/>
      </c>
      <c r="LE1554" s="42" t="str">
        <f t="array" aca="1" ref="LE1554" ca="1">IFERROR(INDEX(nombres[],SMALL(IF(OFFSET(nombres[],0,0,ROWS(nombres[]),1)=LE$1490,ROW(OFFSET(nombres[],0,0,ROWS(nombres[]),1))-ROW(OFFSET(nombres[],0,0,1,1))+1,ROW(OFFSET(nombres[],ROWS(nombres[])-1,0,1,1))+1),$O1554:$O1573),3),"")</f>
        <v/>
      </c>
      <c r="LF1554" s="42" t="str">
        <f t="array" aca="1" ref="LF1554" ca="1">IFERROR(INDEX(nombres[],SMALL(IF(OFFSET(nombres[],0,0,ROWS(nombres[]),1)=LF$1490,ROW(OFFSET(nombres[],0,0,ROWS(nombres[]),1))-ROW(OFFSET(nombres[],0,0,1,1))+1,ROW(OFFSET(nombres[],ROWS(nombres[])-1,0,1,1))+1),$O1554:$O1573),3),"")</f>
        <v/>
      </c>
      <c r="LG1554" s="42" t="str">
        <f t="array" aca="1" ref="LG1554" ca="1">IFERROR(INDEX(nombres[],SMALL(IF(OFFSET(nombres[],0,0,ROWS(nombres[]),1)=LG$1490,ROW(OFFSET(nombres[],0,0,ROWS(nombres[]),1))-ROW(OFFSET(nombres[],0,0,1,1))+1,ROW(OFFSET(nombres[],ROWS(nombres[])-1,0,1,1))+1),$O1554:$O1573),3),"")</f>
        <v/>
      </c>
      <c r="LH1554" s="42" t="str">
        <f t="array" aca="1" ref="LH1554" ca="1">IFERROR(INDEX(nombres[],SMALL(IF(OFFSET(nombres[],0,0,ROWS(nombres[]),1)=LH$1490,ROW(OFFSET(nombres[],0,0,ROWS(nombres[]),1))-ROW(OFFSET(nombres[],0,0,1,1))+1,ROW(OFFSET(nombres[],ROWS(nombres[])-1,0,1,1))+1),$O1554:$O1573),3),"")</f>
        <v/>
      </c>
      <c r="LI1554" s="42" t="str">
        <f t="array" aca="1" ref="LI1554" ca="1">IFERROR(INDEX(nombres[],SMALL(IF(OFFSET(nombres[],0,0,ROWS(nombres[]),1)=LI$1490,ROW(OFFSET(nombres[],0,0,ROWS(nombres[]),1))-ROW(OFFSET(nombres[],0,0,1,1))+1,ROW(OFFSET(nombres[],ROWS(nombres[])-1,0,1,1))+1),$O1554:$O1573),3),"")</f>
        <v/>
      </c>
      <c r="LJ1554" s="42" t="str">
        <f t="array" aca="1" ref="LJ1554" ca="1">IFERROR(INDEX(nombres[],SMALL(IF(OFFSET(nombres[],0,0,ROWS(nombres[]),1)=LJ$1490,ROW(OFFSET(nombres[],0,0,ROWS(nombres[]),1))-ROW(OFFSET(nombres[],0,0,1,1))+1,ROW(OFFSET(nombres[],ROWS(nombres[])-1,0,1,1))+1),$O1554:$O1573),3),"")</f>
        <v/>
      </c>
      <c r="LK1554" s="42" t="str">
        <f t="array" aca="1" ref="LK1554" ca="1">IFERROR(INDEX(nombres[],SMALL(IF(OFFSET(nombres[],0,0,ROWS(nombres[]),1)=LK$1490,ROW(OFFSET(nombres[],0,0,ROWS(nombres[]),1))-ROW(OFFSET(nombres[],0,0,1,1))+1,ROW(OFFSET(nombres[],ROWS(nombres[])-1,0,1,1))+1),$O1554:$O1573),3),"")</f>
        <v/>
      </c>
      <c r="LL1554" s="42" t="str">
        <f t="array" aca="1" ref="LL1554" ca="1">IFERROR(INDEX(nombres[],SMALL(IF(OFFSET(nombres[],0,0,ROWS(nombres[]),1)=LL$1490,ROW(OFFSET(nombres[],0,0,ROWS(nombres[]),1))-ROW(OFFSET(nombres[],0,0,1,1))+1,ROW(OFFSET(nombres[],ROWS(nombres[])-1,0,1,1))+1),$O1554:$O1573),3),"")</f>
        <v/>
      </c>
      <c r="LM1554" s="42" t="str">
        <f t="array" aca="1" ref="LM1554" ca="1">IFERROR(INDEX(nombres[],SMALL(IF(OFFSET(nombres[],0,0,ROWS(nombres[]),1)=LM$1490,ROW(OFFSET(nombres[],0,0,ROWS(nombres[]),1))-ROW(OFFSET(nombres[],0,0,1,1))+1,ROW(OFFSET(nombres[],ROWS(nombres[])-1,0,1,1))+1),$O1554:$O1573),3),"")</f>
        <v/>
      </c>
      <c r="LN1554" s="42" t="str">
        <f t="array" aca="1" ref="LN1554" ca="1">IFERROR(INDEX(nombres[],SMALL(IF(OFFSET(nombres[],0,0,ROWS(nombres[]),1)=LN$1490,ROW(OFFSET(nombres[],0,0,ROWS(nombres[]),1))-ROW(OFFSET(nombres[],0,0,1,1))+1,ROW(OFFSET(nombres[],ROWS(nombres[])-1,0,1,1))+1),$O1554:$O1573),3),"")</f>
        <v/>
      </c>
      <c r="LO1554" s="42" t="str">
        <f t="array" aca="1" ref="LO1554" ca="1">IFERROR(INDEX(nombres[],SMALL(IF(OFFSET(nombres[],0,0,ROWS(nombres[]),1)=LO$1490,ROW(OFFSET(nombres[],0,0,ROWS(nombres[]),1))-ROW(OFFSET(nombres[],0,0,1,1))+1,ROW(OFFSET(nombres[],ROWS(nombres[])-1,0,1,1))+1),$O1554:$O1573),3),"")</f>
        <v/>
      </c>
      <c r="LP1554" s="42" t="str">
        <f t="array" aca="1" ref="LP1554" ca="1">IFERROR(INDEX(nombres[],SMALL(IF(OFFSET(nombres[],0,0,ROWS(nombres[]),1)=LP$1490,ROW(OFFSET(nombres[],0,0,ROWS(nombres[]),1))-ROW(OFFSET(nombres[],0,0,1,1))+1,ROW(OFFSET(nombres[],ROWS(nombres[])-1,0,1,1))+1),$O1554:$O1573),3),"")</f>
        <v/>
      </c>
      <c r="LQ1554" s="42" t="str">
        <f t="array" aca="1" ref="LQ1554" ca="1">IFERROR(INDEX(nombres[],SMALL(IF(OFFSET(nombres[],0,0,ROWS(nombres[]),1)=LQ$1490,ROW(OFFSET(nombres[],0,0,ROWS(nombres[]),1))-ROW(OFFSET(nombres[],0,0,1,1))+1,ROW(OFFSET(nombres[],ROWS(nombres[])-1,0,1,1))+1),$O1554:$O1573),3),"")</f>
        <v/>
      </c>
      <c r="LR1554" s="42" t="str">
        <f t="array" aca="1" ref="LR1554" ca="1">IFERROR(INDEX(nombres[],SMALL(IF(OFFSET(nombres[],0,0,ROWS(nombres[]),1)=LR$1490,ROW(OFFSET(nombres[],0,0,ROWS(nombres[]),1))-ROW(OFFSET(nombres[],0,0,1,1))+1,ROW(OFFSET(nombres[],ROWS(nombres[])-1,0,1,1))+1),$O1554:$O1573),3),"")</f>
        <v/>
      </c>
      <c r="LS1554" s="42" t="str">
        <f t="array" aca="1" ref="LS1554" ca="1">IFERROR(INDEX(nombres[],SMALL(IF(OFFSET(nombres[],0,0,ROWS(nombres[]),1)=LS$1490,ROW(OFFSET(nombres[],0,0,ROWS(nombres[]),1))-ROW(OFFSET(nombres[],0,0,1,1))+1,ROW(OFFSET(nombres[],ROWS(nombres[])-1,0,1,1))+1),$O1554:$O1573),3),"")</f>
        <v/>
      </c>
      <c r="LT1554" s="42" t="str">
        <f t="array" aca="1" ref="LT1554" ca="1">IFERROR(INDEX(nombres[],SMALL(IF(OFFSET(nombres[],0,0,ROWS(nombres[]),1)=LT$1490,ROW(OFFSET(nombres[],0,0,ROWS(nombres[]),1))-ROW(OFFSET(nombres[],0,0,1,1))+1,ROW(OFFSET(nombres[],ROWS(nombres[])-1,0,1,1))+1),$O1554:$O1573),3),"")</f>
        <v/>
      </c>
      <c r="LU1554" s="42" t="str">
        <f t="array" aca="1" ref="LU1554" ca="1">IFERROR(INDEX(nombres[],SMALL(IF(OFFSET(nombres[],0,0,ROWS(nombres[]),1)=LU$1490,ROW(OFFSET(nombres[],0,0,ROWS(nombres[]),1))-ROW(OFFSET(nombres[],0,0,1,1))+1,ROW(OFFSET(nombres[],ROWS(nombres[])-1,0,1,1))+1),$O1554:$O1573),3),"")</f>
        <v/>
      </c>
      <c r="LV1554" s="42" t="str">
        <f t="array" aca="1" ref="LV1554" ca="1">IFERROR(INDEX(nombres[],SMALL(IF(OFFSET(nombres[],0,0,ROWS(nombres[]),1)=LV$1490,ROW(OFFSET(nombres[],0,0,ROWS(nombres[]),1))-ROW(OFFSET(nombres[],0,0,1,1))+1,ROW(OFFSET(nombres[],ROWS(nombres[])-1,0,1,1))+1),$O1554:$O1573),3),"")</f>
        <v/>
      </c>
      <c r="LW1554" s="42" t="str">
        <f t="array" aca="1" ref="LW1554" ca="1">IFERROR(INDEX(nombres[],SMALL(IF(OFFSET(nombres[],0,0,ROWS(nombres[]),1)=LW$1490,ROW(OFFSET(nombres[],0,0,ROWS(nombres[]),1))-ROW(OFFSET(nombres[],0,0,1,1))+1,ROW(OFFSET(nombres[],ROWS(nombres[])-1,0,1,1))+1),$O1554:$O1573),3),"")</f>
        <v/>
      </c>
      <c r="LX1554" s="42" t="str">
        <f t="array" aca="1" ref="LX1554" ca="1">IFERROR(INDEX(nombres[],SMALL(IF(OFFSET(nombres[],0,0,ROWS(nombres[]),1)=LX$1490,ROW(OFFSET(nombres[],0,0,ROWS(nombres[]),1))-ROW(OFFSET(nombres[],0,0,1,1))+1,ROW(OFFSET(nombres[],ROWS(nombres[])-1,0,1,1))+1),$O1554:$O1573),3),"")</f>
        <v/>
      </c>
      <c r="LY1554" s="42" t="str">
        <f t="array" aca="1" ref="LY1554" ca="1">IFERROR(INDEX(nombres[],SMALL(IF(OFFSET(nombres[],0,0,ROWS(nombres[]),1)=LY$1490,ROW(OFFSET(nombres[],0,0,ROWS(nombres[]),1))-ROW(OFFSET(nombres[],0,0,1,1))+1,ROW(OFFSET(nombres[],ROWS(nombres[])-1,0,1,1))+1),$O1554:$O1573),3),"")</f>
        <v/>
      </c>
      <c r="LZ1554" s="42" t="str">
        <f t="array" aca="1" ref="LZ1554" ca="1">IFERROR(INDEX(nombres[],SMALL(IF(OFFSET(nombres[],0,0,ROWS(nombres[]),1)=LZ$1490,ROW(OFFSET(nombres[],0,0,ROWS(nombres[]),1))-ROW(OFFSET(nombres[],0,0,1,1))+1,ROW(OFFSET(nombres[],ROWS(nombres[])-1,0,1,1))+1),$O1554:$O1573),3),"")</f>
        <v/>
      </c>
      <c r="MA1554" s="42" t="str">
        <f t="array" aca="1" ref="MA1554" ca="1">IFERROR(INDEX(nombres[],SMALL(IF(OFFSET(nombres[],0,0,ROWS(nombres[]),1)=MA$1490,ROW(OFFSET(nombres[],0,0,ROWS(nombres[]),1))-ROW(OFFSET(nombres[],0,0,1,1))+1,ROW(OFFSET(nombres[],ROWS(nombres[])-1,0,1,1))+1),$O1554:$O1573),3),"")</f>
        <v/>
      </c>
      <c r="MB1554" s="42" t="str">
        <f t="array" aca="1" ref="MB1554" ca="1">IFERROR(INDEX(nombres[],SMALL(IF(OFFSET(nombres[],0,0,ROWS(nombres[]),1)=MB$1490,ROW(OFFSET(nombres[],0,0,ROWS(nombres[]),1))-ROW(OFFSET(nombres[],0,0,1,1))+1,ROW(OFFSET(nombres[],ROWS(nombres[])-1,0,1,1))+1),$O1554:$O1573),3),"")</f>
        <v/>
      </c>
      <c r="MC1554" s="42" t="str">
        <f t="array" aca="1" ref="MC1554" ca="1">IFERROR(INDEX(nombres[],SMALL(IF(OFFSET(nombres[],0,0,ROWS(nombres[]),1)=MC$1490,ROW(OFFSET(nombres[],0,0,ROWS(nombres[]),1))-ROW(OFFSET(nombres[],0,0,1,1))+1,ROW(OFFSET(nombres[],ROWS(nombres[])-1,0,1,1))+1),$O1554:$O1573),3),"")</f>
        <v/>
      </c>
      <c r="MD1554" s="42" t="str">
        <f t="array" aca="1" ref="MD1554" ca="1">IFERROR(INDEX(nombres[],SMALL(IF(OFFSET(nombres[],0,0,ROWS(nombres[]),1)=MD$1490,ROW(OFFSET(nombres[],0,0,ROWS(nombres[]),1))-ROW(OFFSET(nombres[],0,0,1,1))+1,ROW(OFFSET(nombres[],ROWS(nombres[])-1,0,1,1))+1),$O1554:$O1573),3),"")</f>
        <v/>
      </c>
      <c r="ME1554" s="42" t="str">
        <f t="array" aca="1" ref="ME1554" ca="1">IFERROR(INDEX(nombres[],SMALL(IF(OFFSET(nombres[],0,0,ROWS(nombres[]),1)=ME$1490,ROW(OFFSET(nombres[],0,0,ROWS(nombres[]),1))-ROW(OFFSET(nombres[],0,0,1,1))+1,ROW(OFFSET(nombres[],ROWS(nombres[])-1,0,1,1))+1),$O1554:$O1573),3),"")</f>
        <v/>
      </c>
      <c r="MF1554" s="42" t="str">
        <f t="array" aca="1" ref="MF1554" ca="1">IFERROR(INDEX(nombres[],SMALL(IF(OFFSET(nombres[],0,0,ROWS(nombres[]),1)=MF$1490,ROW(OFFSET(nombres[],0,0,ROWS(nombres[]),1))-ROW(OFFSET(nombres[],0,0,1,1))+1,ROW(OFFSET(nombres[],ROWS(nombres[])-1,0,1,1))+1),$O1554:$O1573),3),"")</f>
        <v/>
      </c>
      <c r="MG1554" s="42" t="str">
        <f t="array" aca="1" ref="MG1554" ca="1">IFERROR(INDEX(nombres[],SMALL(IF(OFFSET(nombres[],0,0,ROWS(nombres[]),1)=MG$1490,ROW(OFFSET(nombres[],0,0,ROWS(nombres[]),1))-ROW(OFFSET(nombres[],0,0,1,1))+1,ROW(OFFSET(nombres[],ROWS(nombres[])-1,0,1,1))+1),$O1554:$O1573),3),"")</f>
        <v/>
      </c>
      <c r="MH1554" s="42" t="str">
        <f t="array" aca="1" ref="MH1554" ca="1">IFERROR(INDEX(nombres[],SMALL(IF(OFFSET(nombres[],0,0,ROWS(nombres[]),1)=MH$1490,ROW(OFFSET(nombres[],0,0,ROWS(nombres[]),1))-ROW(OFFSET(nombres[],0,0,1,1))+1,ROW(OFFSET(nombres[],ROWS(nombres[])-1,0,1,1))+1),$O1554:$O1573),3),"")</f>
        <v/>
      </c>
      <c r="MI1554" s="42" t="str">
        <f t="array" aca="1" ref="MI1554" ca="1">IFERROR(INDEX(nombres[],SMALL(IF(OFFSET(nombres[],0,0,ROWS(nombres[]),1)=MI$1490,ROW(OFFSET(nombres[],0,0,ROWS(nombres[]),1))-ROW(OFFSET(nombres[],0,0,1,1))+1,ROW(OFFSET(nombres[],ROWS(nombres[])-1,0,1,1))+1),$O1554:$O1573),3),"")</f>
        <v/>
      </c>
      <c r="MJ1554" s="42" t="str">
        <f t="array" aca="1" ref="MJ1554" ca="1">IFERROR(INDEX(nombres[],SMALL(IF(OFFSET(nombres[],0,0,ROWS(nombres[]),1)=MJ$1490,ROW(OFFSET(nombres[],0,0,ROWS(nombres[]),1))-ROW(OFFSET(nombres[],0,0,1,1))+1,ROW(OFFSET(nombres[],ROWS(nombres[])-1,0,1,1))+1),$O1554:$O1573),3),"")</f>
        <v/>
      </c>
      <c r="MK1554" s="42" t="str">
        <f t="array" aca="1" ref="MK1554" ca="1">IFERROR(INDEX(nombres[],SMALL(IF(OFFSET(nombres[],0,0,ROWS(nombres[]),1)=MK$1490,ROW(OFFSET(nombres[],0,0,ROWS(nombres[]),1))-ROW(OFFSET(nombres[],0,0,1,1))+1,ROW(OFFSET(nombres[],ROWS(nombres[])-1,0,1,1))+1),$O1554:$O1573),3),"")</f>
        <v/>
      </c>
      <c r="ML1554" s="42" t="str">
        <f t="array" aca="1" ref="ML1554" ca="1">IFERROR(INDEX(nombres[],SMALL(IF(OFFSET(nombres[],0,0,ROWS(nombres[]),1)=ML$1490,ROW(OFFSET(nombres[],0,0,ROWS(nombres[]),1))-ROW(OFFSET(nombres[],0,0,1,1))+1,ROW(OFFSET(nombres[],ROWS(nombres[])-1,0,1,1))+1),$O1554:$O1573),3),"")</f>
        <v/>
      </c>
      <c r="MM1554" s="42" t="str">
        <f t="array" aca="1" ref="MM1554" ca="1">IFERROR(INDEX(nombres[],SMALL(IF(OFFSET(nombres[],0,0,ROWS(nombres[]),1)=MM$1490,ROW(OFFSET(nombres[],0,0,ROWS(nombres[]),1))-ROW(OFFSET(nombres[],0,0,1,1))+1,ROW(OFFSET(nombres[],ROWS(nombres[])-1,0,1,1))+1),$O1554:$O1573),3),"")</f>
        <v/>
      </c>
      <c r="MN1554" s="42" t="str">
        <f t="array" aca="1" ref="MN1554" ca="1">IFERROR(INDEX(nombres[],SMALL(IF(OFFSET(nombres[],0,0,ROWS(nombres[]),1)=MN$1490,ROW(OFFSET(nombres[],0,0,ROWS(nombres[]),1))-ROW(OFFSET(nombres[],0,0,1,1))+1,ROW(OFFSET(nombres[],ROWS(nombres[])-1,0,1,1))+1),$O1554:$O1573),3),"")</f>
        <v/>
      </c>
      <c r="MO1554" s="42" t="str">
        <f t="array" aca="1" ref="MO1554" ca="1">IFERROR(INDEX(nombres[],SMALL(IF(OFFSET(nombres[],0,0,ROWS(nombres[]),1)=MO$1490,ROW(OFFSET(nombres[],0,0,ROWS(nombres[]),1))-ROW(OFFSET(nombres[],0,0,1,1))+1,ROW(OFFSET(nombres[],ROWS(nombres[])-1,0,1,1))+1),$O1554:$O1573),3),"")</f>
        <v/>
      </c>
      <c r="MP1554" s="42" t="str">
        <f t="array" aca="1" ref="MP1554" ca="1">IFERROR(INDEX(nombres[],SMALL(IF(OFFSET(nombres[],0,0,ROWS(nombres[]),1)=MP$1490,ROW(OFFSET(nombres[],0,0,ROWS(nombres[]),1))-ROW(OFFSET(nombres[],0,0,1,1))+1,ROW(OFFSET(nombres[],ROWS(nombres[])-1,0,1,1))+1),$O1554:$O1573),3),"")</f>
        <v/>
      </c>
      <c r="MQ1554" s="42" t="str">
        <f t="array" aca="1" ref="MQ1554" ca="1">IFERROR(INDEX(nombres[],SMALL(IF(OFFSET(nombres[],0,0,ROWS(nombres[]),1)=MQ$1490,ROW(OFFSET(nombres[],0,0,ROWS(nombres[]),1))-ROW(OFFSET(nombres[],0,0,1,1))+1,ROW(OFFSET(nombres[],ROWS(nombres[])-1,0,1,1))+1),$O1554:$O1573),3),"")</f>
        <v/>
      </c>
      <c r="MR1554" s="42" t="str">
        <f t="array" aca="1" ref="MR1554" ca="1">IFERROR(INDEX(nombres[],SMALL(IF(OFFSET(nombres[],0,0,ROWS(nombres[]),1)=MR$1490,ROW(OFFSET(nombres[],0,0,ROWS(nombres[]),1))-ROW(OFFSET(nombres[],0,0,1,1))+1,ROW(OFFSET(nombres[],ROWS(nombres[])-1,0,1,1))+1),$O1554:$O1573),3),"")</f>
        <v/>
      </c>
      <c r="MS1554" s="42" t="str">
        <f t="array" aca="1" ref="MS1554" ca="1">IFERROR(INDEX(nombres[],SMALL(IF(OFFSET(nombres[],0,0,ROWS(nombres[]),1)=MS$1490,ROW(OFFSET(nombres[],0,0,ROWS(nombres[]),1))-ROW(OFFSET(nombres[],0,0,1,1))+1,ROW(OFFSET(nombres[],ROWS(nombres[])-1,0,1,1))+1),$O1554:$O1573),3),"")</f>
        <v/>
      </c>
      <c r="MT1554" s="42" t="str">
        <f t="array" aca="1" ref="MT1554" ca="1">IFERROR(INDEX(nombres[],SMALL(IF(OFFSET(nombres[],0,0,ROWS(nombres[]),1)=MT$1490,ROW(OFFSET(nombres[],0,0,ROWS(nombres[]),1))-ROW(OFFSET(nombres[],0,0,1,1))+1,ROW(OFFSET(nombres[],ROWS(nombres[])-1,0,1,1))+1),$O1554:$O1573),3),"")</f>
        <v/>
      </c>
      <c r="MU1554" s="42" t="str">
        <f t="array" aca="1" ref="MU1554" ca="1">IFERROR(INDEX(nombres[],SMALL(IF(OFFSET(nombres[],0,0,ROWS(nombres[]),1)=MU$1490,ROW(OFFSET(nombres[],0,0,ROWS(nombres[]),1))-ROW(OFFSET(nombres[],0,0,1,1))+1,ROW(OFFSET(nombres[],ROWS(nombres[])-1,0,1,1))+1),$O1554:$O1573),3),"")</f>
        <v/>
      </c>
      <c r="MV1554" s="42" t="str">
        <f t="array" aca="1" ref="MV1554" ca="1">IFERROR(INDEX(nombres[],SMALL(IF(OFFSET(nombres[],0,0,ROWS(nombres[]),1)=MV$1490,ROW(OFFSET(nombres[],0,0,ROWS(nombres[]),1))-ROW(OFFSET(nombres[],0,0,1,1))+1,ROW(OFFSET(nombres[],ROWS(nombres[])-1,0,1,1))+1),$O1554:$O1573),3),"")</f>
        <v/>
      </c>
      <c r="MW1554" s="42" t="str">
        <f t="array" aca="1" ref="MW1554" ca="1">IFERROR(INDEX(nombres[],SMALL(IF(OFFSET(nombres[],0,0,ROWS(nombres[]),1)=MW$1490,ROW(OFFSET(nombres[],0,0,ROWS(nombres[]),1))-ROW(OFFSET(nombres[],0,0,1,1))+1,ROW(OFFSET(nombres[],ROWS(nombres[])-1,0,1,1))+1),$O1554:$O1573),3),"")</f>
        <v/>
      </c>
      <c r="MX1554" s="42" t="str">
        <f t="array" aca="1" ref="MX1554" ca="1">IFERROR(INDEX(nombres[],SMALL(IF(OFFSET(nombres[],0,0,ROWS(nombres[]),1)=MX$1490,ROW(OFFSET(nombres[],0,0,ROWS(nombres[]),1))-ROW(OFFSET(nombres[],0,0,1,1))+1,ROW(OFFSET(nombres[],ROWS(nombres[])-1,0,1,1))+1),$O1554:$O1573),3),"")</f>
        <v/>
      </c>
      <c r="MY1554" s="42" t="str">
        <f t="array" aca="1" ref="MY1554" ca="1">IFERROR(INDEX(nombres[],SMALL(IF(OFFSET(nombres[],0,0,ROWS(nombres[]),1)=MY$1490,ROW(OFFSET(nombres[],0,0,ROWS(nombres[]),1))-ROW(OFFSET(nombres[],0,0,1,1))+1,ROW(OFFSET(nombres[],ROWS(nombres[])-1,0,1,1))+1),$O1554:$O1573),3),"")</f>
        <v/>
      </c>
      <c r="MZ1554" s="42" t="str">
        <f t="array" aca="1" ref="MZ1554" ca="1">IFERROR(INDEX(nombres[],SMALL(IF(OFFSET(nombres[],0,0,ROWS(nombres[]),1)=MZ$1490,ROW(OFFSET(nombres[],0,0,ROWS(nombres[]),1))-ROW(OFFSET(nombres[],0,0,1,1))+1,ROW(OFFSET(nombres[],ROWS(nombres[])-1,0,1,1))+1),$O1554:$O1573),3),"")</f>
        <v/>
      </c>
      <c r="NA1554" s="42" t="str">
        <f t="array" aca="1" ref="NA1554" ca="1">IFERROR(INDEX(nombres[],SMALL(IF(OFFSET(nombres[],0,0,ROWS(nombres[]),1)=NA$1490,ROW(OFFSET(nombres[],0,0,ROWS(nombres[]),1))-ROW(OFFSET(nombres[],0,0,1,1))+1,ROW(OFFSET(nombres[],ROWS(nombres[])-1,0,1,1))+1),$O1554:$O1573),3),"")</f>
        <v/>
      </c>
      <c r="NB1554" s="42" t="str">
        <f t="array" aca="1" ref="NB1554" ca="1">IFERROR(INDEX(nombres[],SMALL(IF(OFFSET(nombres[],0,0,ROWS(nombres[]),1)=NB$1490,ROW(OFFSET(nombres[],0,0,ROWS(nombres[]),1))-ROW(OFFSET(nombres[],0,0,1,1))+1,ROW(OFFSET(nombres[],ROWS(nombres[])-1,0,1,1))+1),$O1554:$O1573),3),"")</f>
        <v/>
      </c>
      <c r="NC1554" s="42" t="str">
        <f t="array" aca="1" ref="NC1554" ca="1">IFERROR(INDEX(nombres[],SMALL(IF(OFFSET(nombres[],0,0,ROWS(nombres[]),1)=NC$1490,ROW(OFFSET(nombres[],0,0,ROWS(nombres[]),1))-ROW(OFFSET(nombres[],0,0,1,1))+1,ROW(OFFSET(nombres[],ROWS(nombres[])-1,0,1,1))+1),$O1554:$O1573),3),"")</f>
        <v/>
      </c>
      <c r="ND1554" s="42" t="str">
        <f t="array" aca="1" ref="ND1554" ca="1">IFERROR(INDEX(nombres[],SMALL(IF(OFFSET(nombres[],0,0,ROWS(nombres[]),1)=ND$1490,ROW(OFFSET(nombres[],0,0,ROWS(nombres[]),1))-ROW(OFFSET(nombres[],0,0,1,1))+1,ROW(OFFSET(nombres[],ROWS(nombres[])-1,0,1,1))+1),$O1554:$O1573),3),"")</f>
        <v/>
      </c>
      <c r="NE1554" s="42" t="str">
        <f t="array" aca="1" ref="NE1554" ca="1">IFERROR(INDEX(nombres[],SMALL(IF(OFFSET(nombres[],0,0,ROWS(nombres[]),1)=NE$1490,ROW(OFFSET(nombres[],0,0,ROWS(nombres[]),1))-ROW(OFFSET(nombres[],0,0,1,1))+1,ROW(OFFSET(nombres[],ROWS(nombres[])-1,0,1,1))+1),$O1554:$O1573),3),"")</f>
        <v/>
      </c>
      <c r="NF1554" s="42" t="str">
        <f t="array" aca="1" ref="NF1554" ca="1">IFERROR(INDEX(nombres[],SMALL(IF(OFFSET(nombres[],0,0,ROWS(nombres[]),1)=NF$1490,ROW(OFFSET(nombres[],0,0,ROWS(nombres[]),1))-ROW(OFFSET(nombres[],0,0,1,1))+1,ROW(OFFSET(nombres[],ROWS(nombres[])-1,0,1,1))+1),$O1554:$O1573),3),"")</f>
        <v/>
      </c>
      <c r="NG1554" s="42" t="str">
        <f t="array" aca="1" ref="NG1554" ca="1">IFERROR(INDEX(nombres[],SMALL(IF(OFFSET(nombres[],0,0,ROWS(nombres[]),1)=NG$1490,ROW(OFFSET(nombres[],0,0,ROWS(nombres[]),1))-ROW(OFFSET(nombres[],0,0,1,1))+1,ROW(OFFSET(nombres[],ROWS(nombres[])-1,0,1,1))+1),$O1554:$O1573),3),"")</f>
        <v/>
      </c>
      <c r="NH1554" s="42" t="str">
        <f t="array" aca="1" ref="NH1554" ca="1">IFERROR(INDEX(nombres[],SMALL(IF(OFFSET(nombres[],0,0,ROWS(nombres[]),1)=NH$1490,ROW(OFFSET(nombres[],0,0,ROWS(nombres[]),1))-ROW(OFFSET(nombres[],0,0,1,1))+1,ROW(OFFSET(nombres[],ROWS(nombres[])-1,0,1,1))+1),$O1554:$O1573),3),"")</f>
        <v/>
      </c>
      <c r="NI1554" s="42" t="str">
        <f t="array" aca="1" ref="NI1554" ca="1">IFERROR(INDEX(nombres[],SMALL(IF(OFFSET(nombres[],0,0,ROWS(nombres[]),1)=NI$1490,ROW(OFFSET(nombres[],0,0,ROWS(nombres[]),1))-ROW(OFFSET(nombres[],0,0,1,1))+1,ROW(OFFSET(nombres[],ROWS(nombres[])-1,0,1,1))+1),$O1554:$O1573),3),"")</f>
        <v/>
      </c>
      <c r="NJ1554" s="42" t="str">
        <f t="array" aca="1" ref="NJ1554" ca="1">IFERROR(INDEX(nombres[],SMALL(IF(OFFSET(nombres[],0,0,ROWS(nombres[]),1)=NJ$1490,ROW(OFFSET(nombres[],0,0,ROWS(nombres[]),1))-ROW(OFFSET(nombres[],0,0,1,1))+1,ROW(OFFSET(nombres[],ROWS(nombres[])-1,0,1,1))+1),$O1554:$O1573),3),"")</f>
        <v/>
      </c>
      <c r="NK1554" s="42" t="str">
        <f t="array" aca="1" ref="NK1554" ca="1">IFERROR(INDEX(nombres[],SMALL(IF(OFFSET(nombres[],0,0,ROWS(nombres[]),1)=NK$1490,ROW(OFFSET(nombres[],0,0,ROWS(nombres[]),1))-ROW(OFFSET(nombres[],0,0,1,1))+1,ROW(OFFSET(nombres[],ROWS(nombres[])-1,0,1,1))+1),$O1554:$O1573),3),"")</f>
        <v/>
      </c>
      <c r="NL1554" s="42" t="str">
        <f t="array" aca="1" ref="NL1554" ca="1">IFERROR(INDEX(nombres[],SMALL(IF(OFFSET(nombres[],0,0,ROWS(nombres[]),1)=NL$1490,ROW(OFFSET(nombres[],0,0,ROWS(nombres[]),1))-ROW(OFFSET(nombres[],0,0,1,1))+1,ROW(OFFSET(nombres[],ROWS(nombres[])-1,0,1,1))+1),$O1554:$O1573),3),"")</f>
        <v/>
      </c>
      <c r="NM1554" s="42" t="str">
        <f t="array" aca="1" ref="NM1554" ca="1">IFERROR(INDEX(nombres[],SMALL(IF(OFFSET(nombres[],0,0,ROWS(nombres[]),1)=NM$1490,ROW(OFFSET(nombres[],0,0,ROWS(nombres[]),1))-ROW(OFFSET(nombres[],0,0,1,1))+1,ROW(OFFSET(nombres[],ROWS(nombres[])-1,0,1,1))+1),$O1554:$O1573),3),"")</f>
        <v/>
      </c>
      <c r="NN1554" s="42" t="str">
        <f t="array" aca="1" ref="NN1554" ca="1">IFERROR(INDEX(nombres[],SMALL(IF(OFFSET(nombres[],0,0,ROWS(nombres[]),1)=NN$1490,ROW(OFFSET(nombres[],0,0,ROWS(nombres[]),1))-ROW(OFFSET(nombres[],0,0,1,1))+1,ROW(OFFSET(nombres[],ROWS(nombres[])-1,0,1,1))+1),$O1554:$O1573),3),"")</f>
        <v/>
      </c>
      <c r="NO1554" s="42" t="str">
        <f t="array" aca="1" ref="NO1554" ca="1">IFERROR(INDEX(nombres[],SMALL(IF(OFFSET(nombres[],0,0,ROWS(nombres[]),1)=NO$1490,ROW(OFFSET(nombres[],0,0,ROWS(nombres[]),1))-ROW(OFFSET(nombres[],0,0,1,1))+1,ROW(OFFSET(nombres[],ROWS(nombres[])-1,0,1,1))+1),$O1554:$O1573),3),"")</f>
        <v/>
      </c>
      <c r="NP1554" s="42" t="str">
        <f t="array" aca="1" ref="NP1554" ca="1">IFERROR(INDEX(nombres[],SMALL(IF(OFFSET(nombres[],0,0,ROWS(nombres[]),1)=NP$1490,ROW(OFFSET(nombres[],0,0,ROWS(nombres[]),1))-ROW(OFFSET(nombres[],0,0,1,1))+1,ROW(OFFSET(nombres[],ROWS(nombres[])-1,0,1,1))+1),$O1554:$O1573),3),"")</f>
        <v/>
      </c>
      <c r="NQ1554" s="42" t="str">
        <f t="array" aca="1" ref="NQ1554" ca="1">IFERROR(INDEX(nombres[],SMALL(IF(OFFSET(nombres[],0,0,ROWS(nombres[]),1)=NQ$1490,ROW(OFFSET(nombres[],0,0,ROWS(nombres[]),1))-ROW(OFFSET(nombres[],0,0,1,1))+1,ROW(OFFSET(nombres[],ROWS(nombres[])-1,0,1,1))+1),$O1554:$O1573),3),"")</f>
        <v/>
      </c>
      <c r="NR1554" s="42" t="str">
        <f t="array" aca="1" ref="NR1554" ca="1">IFERROR(INDEX(nombres[],SMALL(IF(OFFSET(nombres[],0,0,ROWS(nombres[]),1)=NR$1490,ROW(OFFSET(nombres[],0,0,ROWS(nombres[]),1))-ROW(OFFSET(nombres[],0,0,1,1))+1,ROW(OFFSET(nombres[],ROWS(nombres[])-1,0,1,1))+1),$O1554:$O1573),3),"")</f>
        <v/>
      </c>
      <c r="NS1554" s="42" t="str">
        <f t="array" aca="1" ref="NS1554" ca="1">IFERROR(INDEX(nombres[],SMALL(IF(OFFSET(nombres[],0,0,ROWS(nombres[]),1)=NS$1490,ROW(OFFSET(nombres[],0,0,ROWS(nombres[]),1))-ROW(OFFSET(nombres[],0,0,1,1))+1,ROW(OFFSET(nombres[],ROWS(nombres[])-1,0,1,1))+1),$O1554:$O1573),3),"")</f>
        <v/>
      </c>
      <c r="NT1554" s="42" t="str">
        <f t="array" aca="1" ref="NT1554" ca="1">IFERROR(INDEX(nombres[],SMALL(IF(OFFSET(nombres[],0,0,ROWS(nombres[]),1)=NT$1490,ROW(OFFSET(nombres[],0,0,ROWS(nombres[]),1))-ROW(OFFSET(nombres[],0,0,1,1))+1,ROW(OFFSET(nombres[],ROWS(nombres[])-1,0,1,1))+1),$O1554:$O1573),3),"")</f>
        <v/>
      </c>
      <c r="NU1554" s="42" t="str">
        <f t="array" aca="1" ref="NU1554" ca="1">IFERROR(INDEX(nombres[],SMALL(IF(OFFSET(nombres[],0,0,ROWS(nombres[]),1)=NU$1490,ROW(OFFSET(nombres[],0,0,ROWS(nombres[]),1))-ROW(OFFSET(nombres[],0,0,1,1))+1,ROW(OFFSET(nombres[],ROWS(nombres[])-1,0,1,1))+1),$O1554:$O1573),3),"")</f>
        <v/>
      </c>
      <c r="NV1554" s="42" t="str">
        <f t="array" aca="1" ref="NV1554" ca="1">IFERROR(INDEX(nombres[],SMALL(IF(OFFSET(nombres[],0,0,ROWS(nombres[]),1)=NV$1490,ROW(OFFSET(nombres[],0,0,ROWS(nombres[]),1))-ROW(OFFSET(nombres[],0,0,1,1))+1,ROW(OFFSET(nombres[],ROWS(nombres[])-1,0,1,1))+1),$O1554:$O1573),3),"")</f>
        <v/>
      </c>
      <c r="NW1554" s="42" t="str">
        <f t="array" aca="1" ref="NW1554" ca="1">IFERROR(INDEX(nombres[],SMALL(IF(OFFSET(nombres[],0,0,ROWS(nombres[]),1)=NW$1490,ROW(OFFSET(nombres[],0,0,ROWS(nombres[]),1))-ROW(OFFSET(nombres[],0,0,1,1))+1,ROW(OFFSET(nombres[],ROWS(nombres[])-1,0,1,1))+1),$O1554:$O1573),3),"")</f>
        <v/>
      </c>
      <c r="NX1554" s="42" t="str">
        <f t="array" aca="1" ref="NX1554" ca="1">IFERROR(INDEX(nombres[],SMALL(IF(OFFSET(nombres[],0,0,ROWS(nombres[]),1)=NX$1490,ROW(OFFSET(nombres[],0,0,ROWS(nombres[]),1))-ROW(OFFSET(nombres[],0,0,1,1))+1,ROW(OFFSET(nombres[],ROWS(nombres[])-1,0,1,1))+1),$O1554:$O1573),3),"")</f>
        <v/>
      </c>
      <c r="NY1554" s="42" t="str">
        <f t="array" aca="1" ref="NY1554" ca="1">IFERROR(INDEX(nombres[],SMALL(IF(OFFSET(nombres[],0,0,ROWS(nombres[]),1)=NY$1490,ROW(OFFSET(nombres[],0,0,ROWS(nombres[]),1))-ROW(OFFSET(nombres[],0,0,1,1))+1,ROW(OFFSET(nombres[],ROWS(nombres[])-1,0,1,1))+1),$O1554:$O1573),3),"")</f>
        <v/>
      </c>
      <c r="NZ1554" s="42" t="str">
        <f t="array" aca="1" ref="NZ1554" ca="1">IFERROR(INDEX(nombres[],SMALL(IF(OFFSET(nombres[],0,0,ROWS(nombres[]),1)=NZ$1490,ROW(OFFSET(nombres[],0,0,ROWS(nombres[]),1))-ROW(OFFSET(nombres[],0,0,1,1))+1,ROW(OFFSET(nombres[],ROWS(nombres[])-1,0,1,1))+1),$O1554:$O1573),3),"")</f>
        <v/>
      </c>
      <c r="OA1554" s="42" t="str">
        <f t="array" aca="1" ref="OA1554" ca="1">IFERROR(INDEX(nombres[],SMALL(IF(OFFSET(nombres[],0,0,ROWS(nombres[]),1)=OA$1490,ROW(OFFSET(nombres[],0,0,ROWS(nombres[]),1))-ROW(OFFSET(nombres[],0,0,1,1))+1,ROW(OFFSET(nombres[],ROWS(nombres[])-1,0,1,1))+1),$O1554:$O1573),3),"")</f>
        <v/>
      </c>
      <c r="OB1554" s="42" t="str">
        <f t="array" aca="1" ref="OB1554" ca="1">IFERROR(INDEX(nombres[],SMALL(IF(OFFSET(nombres[],0,0,ROWS(nombres[]),1)=OB$1490,ROW(OFFSET(nombres[],0,0,ROWS(nombres[]),1))-ROW(OFFSET(nombres[],0,0,1,1))+1,ROW(OFFSET(nombres[],ROWS(nombres[])-1,0,1,1))+1),$O1554:$O1573),3),"")</f>
        <v/>
      </c>
      <c r="OC1554" s="42" t="str">
        <f t="array" aca="1" ref="OC1554" ca="1">IFERROR(INDEX(nombres[],SMALL(IF(OFFSET(nombres[],0,0,ROWS(nombres[]),1)=OC$1490,ROW(OFFSET(nombres[],0,0,ROWS(nombres[]),1))-ROW(OFFSET(nombres[],0,0,1,1))+1,ROW(OFFSET(nombres[],ROWS(nombres[])-1,0,1,1))+1),$O1554:$O1573),3),"")</f>
        <v/>
      </c>
      <c r="OD1554" s="42" t="str">
        <f t="array" aca="1" ref="OD1554" ca="1">IFERROR(INDEX(nombres[],SMALL(IF(OFFSET(nombres[],0,0,ROWS(nombres[]),1)=OD$1490,ROW(OFFSET(nombres[],0,0,ROWS(nombres[]),1))-ROW(OFFSET(nombres[],0,0,1,1))+1,ROW(OFFSET(nombres[],ROWS(nombres[])-1,0,1,1))+1),$O1554:$O1573),3),"")</f>
        <v/>
      </c>
      <c r="OE1554" s="42" t="str">
        <f t="array" aca="1" ref="OE1554" ca="1">IFERROR(INDEX(nombres[],SMALL(IF(OFFSET(nombres[],0,0,ROWS(nombres[]),1)=OE$1490,ROW(OFFSET(nombres[],0,0,ROWS(nombres[]),1))-ROW(OFFSET(nombres[],0,0,1,1))+1,ROW(OFFSET(nombres[],ROWS(nombres[])-1,0,1,1))+1),$O1554:$O1573),3),"")</f>
        <v/>
      </c>
      <c r="OF1554" s="42" t="str">
        <f t="array" aca="1" ref="OF1554" ca="1">IFERROR(INDEX(nombres[],SMALL(IF(OFFSET(nombres[],0,0,ROWS(nombres[]),1)=OF$1490,ROW(OFFSET(nombres[],0,0,ROWS(nombres[]),1))-ROW(OFFSET(nombres[],0,0,1,1))+1,ROW(OFFSET(nombres[],ROWS(nombres[])-1,0,1,1))+1),$O1554:$O1573),3),"")</f>
        <v/>
      </c>
      <c r="OG1554" s="42" t="str">
        <f t="array" aca="1" ref="OG1554" ca="1">IFERROR(INDEX(nombres[],SMALL(IF(OFFSET(nombres[],0,0,ROWS(nombres[]),1)=OG$1490,ROW(OFFSET(nombres[],0,0,ROWS(nombres[]),1))-ROW(OFFSET(nombres[],0,0,1,1))+1,ROW(OFFSET(nombres[],ROWS(nombres[])-1,0,1,1))+1),$O1554:$O1573),3),"")</f>
        <v/>
      </c>
      <c r="OH1554" s="42" t="str">
        <f t="array" aca="1" ref="OH1554" ca="1">IFERROR(INDEX(nombres[],SMALL(IF(OFFSET(nombres[],0,0,ROWS(nombres[]),1)=OH$1490,ROW(OFFSET(nombres[],0,0,ROWS(nombres[]),1))-ROW(OFFSET(nombres[],0,0,1,1))+1,ROW(OFFSET(nombres[],ROWS(nombres[])-1,0,1,1))+1),$O1554:$O1573),3),"")</f>
        <v/>
      </c>
      <c r="OI1554" s="42" t="str">
        <f t="array" aca="1" ref="OI1554" ca="1">IFERROR(INDEX(nombres[],SMALL(IF(OFFSET(nombres[],0,0,ROWS(nombres[]),1)=OI$1490,ROW(OFFSET(nombres[],0,0,ROWS(nombres[]),1))-ROW(OFFSET(nombres[],0,0,1,1))+1,ROW(OFFSET(nombres[],ROWS(nombres[])-1,0,1,1))+1),$O1554:$O1573),3),"")</f>
        <v/>
      </c>
      <c r="OJ1554" s="42" t="str">
        <f t="array" aca="1" ref="OJ1554" ca="1">IFERROR(INDEX(nombres[],SMALL(IF(OFFSET(nombres[],0,0,ROWS(nombres[]),1)=OJ$1490,ROW(OFFSET(nombres[],0,0,ROWS(nombres[]),1))-ROW(OFFSET(nombres[],0,0,1,1))+1,ROW(OFFSET(nombres[],ROWS(nombres[])-1,0,1,1))+1),$O1554:$O1573),3),"")</f>
        <v/>
      </c>
      <c r="OK1554" s="42" t="str">
        <f t="array" aca="1" ref="OK1554" ca="1">IFERROR(INDEX(nombres[],SMALL(IF(OFFSET(nombres[],0,0,ROWS(nombres[]),1)=OK$1490,ROW(OFFSET(nombres[],0,0,ROWS(nombres[]),1))-ROW(OFFSET(nombres[],0,0,1,1))+1,ROW(OFFSET(nombres[],ROWS(nombres[])-1,0,1,1))+1),$O1554:$O1573),3),"")</f>
        <v/>
      </c>
      <c r="OL1554" s="42" t="str">
        <f t="array" aca="1" ref="OL1554" ca="1">IFERROR(INDEX(nombres[],SMALL(IF(OFFSET(nombres[],0,0,ROWS(nombres[]),1)=OL$1490,ROW(OFFSET(nombres[],0,0,ROWS(nombres[]),1))-ROW(OFFSET(nombres[],0,0,1,1))+1,ROW(OFFSET(nombres[],ROWS(nombres[])-1,0,1,1))+1),$O1554:$O1573),3),"")</f>
        <v/>
      </c>
      <c r="OM1554" s="42" t="str">
        <f t="array" aca="1" ref="OM1554" ca="1">IFERROR(INDEX(nombres[],SMALL(IF(OFFSET(nombres[],0,0,ROWS(nombres[]),1)=OM$1490,ROW(OFFSET(nombres[],0,0,ROWS(nombres[]),1))-ROW(OFFSET(nombres[],0,0,1,1))+1,ROW(OFFSET(nombres[],ROWS(nombres[])-1,0,1,1))+1),$O1554:$O1573),3),"")</f>
        <v/>
      </c>
      <c r="ON1554" s="42" t="str">
        <f t="array" aca="1" ref="ON1554" ca="1">IFERROR(INDEX(nombres[],SMALL(IF(OFFSET(nombres[],0,0,ROWS(nombres[]),1)=ON$1490,ROW(OFFSET(nombres[],0,0,ROWS(nombres[]),1))-ROW(OFFSET(nombres[],0,0,1,1))+1,ROW(OFFSET(nombres[],ROWS(nombres[])-1,0,1,1))+1),$O1554:$O1573),3),"")</f>
        <v/>
      </c>
      <c r="OO1554" s="42" t="str">
        <f t="array" aca="1" ref="OO1554" ca="1">IFERROR(INDEX(nombres[],SMALL(IF(OFFSET(nombres[],0,0,ROWS(nombres[]),1)=OO$1490,ROW(OFFSET(nombres[],0,0,ROWS(nombres[]),1))-ROW(OFFSET(nombres[],0,0,1,1))+1,ROW(OFFSET(nombres[],ROWS(nombres[])-1,0,1,1))+1),$O1554:$O1573),3),"")</f>
        <v/>
      </c>
      <c r="OP1554" s="42" t="str">
        <f t="array" aca="1" ref="OP1554" ca="1">IFERROR(INDEX(nombres[],SMALL(IF(OFFSET(nombres[],0,0,ROWS(nombres[]),1)=OP$1490,ROW(OFFSET(nombres[],0,0,ROWS(nombres[]),1))-ROW(OFFSET(nombres[],0,0,1,1))+1,ROW(OFFSET(nombres[],ROWS(nombres[])-1,0,1,1))+1),$O1554:$O1573),3),"")</f>
        <v/>
      </c>
      <c r="OQ1554" s="42" t="str">
        <f t="array" aca="1" ref="OQ1554" ca="1">IFERROR(INDEX(nombres[],SMALL(IF(OFFSET(nombres[],0,0,ROWS(nombres[]),1)=OQ$1490,ROW(OFFSET(nombres[],0,0,ROWS(nombres[]),1))-ROW(OFFSET(nombres[],0,0,1,1))+1,ROW(OFFSET(nombres[],ROWS(nombres[])-1,0,1,1))+1),$O1554:$O1573),3),"")</f>
        <v/>
      </c>
      <c r="OR1554" s="42" t="str">
        <f t="array" aca="1" ref="OR1554" ca="1">IFERROR(INDEX(nombres[],SMALL(IF(OFFSET(nombres[],0,0,ROWS(nombres[]),1)=OR$1490,ROW(OFFSET(nombres[],0,0,ROWS(nombres[]),1))-ROW(OFFSET(nombres[],0,0,1,1))+1,ROW(OFFSET(nombres[],ROWS(nombres[])-1,0,1,1))+1),$O1554:$O1573),3),"")</f>
        <v/>
      </c>
      <c r="OS1554" s="42" t="str">
        <f t="array" aca="1" ref="OS1554" ca="1">IFERROR(INDEX(nombres[],SMALL(IF(OFFSET(nombres[],0,0,ROWS(nombres[]),1)=OS$1490,ROW(OFFSET(nombres[],0,0,ROWS(nombres[]),1))-ROW(OFFSET(nombres[],0,0,1,1))+1,ROW(OFFSET(nombres[],ROWS(nombres[])-1,0,1,1))+1),$O1554:$O1573),3),"")</f>
        <v/>
      </c>
      <c r="OT1554" s="42" t="str">
        <f t="array" aca="1" ref="OT1554" ca="1">IFERROR(INDEX(nombres[],SMALL(IF(OFFSET(nombres[],0,0,ROWS(nombres[]),1)=OT$1490,ROW(OFFSET(nombres[],0,0,ROWS(nombres[]),1))-ROW(OFFSET(nombres[],0,0,1,1))+1,ROW(OFFSET(nombres[],ROWS(nombres[])-1,0,1,1))+1),$O1554:$O1573),3),"")</f>
        <v/>
      </c>
      <c r="OU1554" s="42" t="str">
        <f t="array" aca="1" ref="OU1554" ca="1">IFERROR(INDEX(nombres[],SMALL(IF(OFFSET(nombres[],0,0,ROWS(nombres[]),1)=OU$1490,ROW(OFFSET(nombres[],0,0,ROWS(nombres[]),1))-ROW(OFFSET(nombres[],0,0,1,1))+1,ROW(OFFSET(nombres[],ROWS(nombres[])-1,0,1,1))+1),$O1554:$O1573),3),"")</f>
        <v/>
      </c>
      <c r="OV1554" s="42" t="str">
        <f t="array" aca="1" ref="OV1554" ca="1">IFERROR(INDEX(nombres[],SMALL(IF(OFFSET(nombres[],0,0,ROWS(nombres[]),1)=OV$1490,ROW(OFFSET(nombres[],0,0,ROWS(nombres[]),1))-ROW(OFFSET(nombres[],0,0,1,1))+1,ROW(OFFSET(nombres[],ROWS(nombres[])-1,0,1,1))+1),$O1554:$O1573),3),"")</f>
        <v/>
      </c>
      <c r="OW1554" s="42" t="str">
        <f t="array" aca="1" ref="OW1554" ca="1">IFERROR(INDEX(nombres[],SMALL(IF(OFFSET(nombres[],0,0,ROWS(nombres[]),1)=OW$1490,ROW(OFFSET(nombres[],0,0,ROWS(nombres[]),1))-ROW(OFFSET(nombres[],0,0,1,1))+1,ROW(OFFSET(nombres[],ROWS(nombres[])-1,0,1,1))+1),$O1554:$O1573),3),"")</f>
        <v/>
      </c>
      <c r="OX1554" s="42" t="str">
        <f t="array" aca="1" ref="OX1554" ca="1">IFERROR(INDEX(nombres[],SMALL(IF(OFFSET(nombres[],0,0,ROWS(nombres[]),1)=OX$1490,ROW(OFFSET(nombres[],0,0,ROWS(nombres[]),1))-ROW(OFFSET(nombres[],0,0,1,1))+1,ROW(OFFSET(nombres[],ROWS(nombres[])-1,0,1,1))+1),$O1554:$O1573),3),"")</f>
        <v/>
      </c>
      <c r="OY1554" s="42" t="str">
        <f t="array" aca="1" ref="OY1554" ca="1">IFERROR(INDEX(nombres[],SMALL(IF(OFFSET(nombres[],0,0,ROWS(nombres[]),1)=OY$1490,ROW(OFFSET(nombres[],0,0,ROWS(nombres[]),1))-ROW(OFFSET(nombres[],0,0,1,1))+1,ROW(OFFSET(nombres[],ROWS(nombres[])-1,0,1,1))+1),$O1554:$O1573),3),"")</f>
        <v/>
      </c>
      <c r="OZ1554" s="42" t="str">
        <f t="array" aca="1" ref="OZ1554" ca="1">IFERROR(INDEX(nombres[],SMALL(IF(OFFSET(nombres[],0,0,ROWS(nombres[]),1)=OZ$1490,ROW(OFFSET(nombres[],0,0,ROWS(nombres[]),1))-ROW(OFFSET(nombres[],0,0,1,1))+1,ROW(OFFSET(nombres[],ROWS(nombres[])-1,0,1,1))+1),$O1554:$O1573),3),"")</f>
        <v/>
      </c>
      <c r="PA1554" s="42" t="str">
        <f t="array" aca="1" ref="PA1554" ca="1">IFERROR(INDEX(nombres[],SMALL(IF(OFFSET(nombres[],0,0,ROWS(nombres[]),1)=PA$1490,ROW(OFFSET(nombres[],0,0,ROWS(nombres[]),1))-ROW(OFFSET(nombres[],0,0,1,1))+1,ROW(OFFSET(nombres[],ROWS(nombres[])-1,0,1,1))+1),$O1554:$O1573),3),"")</f>
        <v/>
      </c>
      <c r="PB1554" s="42" t="str">
        <f t="array" aca="1" ref="PB1554" ca="1">IFERROR(INDEX(nombres[],SMALL(IF(OFFSET(nombres[],0,0,ROWS(nombres[]),1)=PB$1490,ROW(OFFSET(nombres[],0,0,ROWS(nombres[]),1))-ROW(OFFSET(nombres[],0,0,1,1))+1,ROW(OFFSET(nombres[],ROWS(nombres[])-1,0,1,1))+1),$O1554:$O1573),3),"")</f>
        <v/>
      </c>
      <c r="PC1554" s="42" t="str">
        <f t="array" aca="1" ref="PC1554" ca="1">IFERROR(INDEX(nombres[],SMALL(IF(OFFSET(nombres[],0,0,ROWS(nombres[]),1)=PC$1490,ROW(OFFSET(nombres[],0,0,ROWS(nombres[]),1))-ROW(OFFSET(nombres[],0,0,1,1))+1,ROW(OFFSET(nombres[],ROWS(nombres[])-1,0,1,1))+1),$O1554:$O1573),3),"")</f>
        <v/>
      </c>
      <c r="PD1554" s="42" t="str">
        <f t="array" aca="1" ref="PD1554" ca="1">IFERROR(INDEX(nombres[],SMALL(IF(OFFSET(nombres[],0,0,ROWS(nombres[]),1)=PD$1490,ROW(OFFSET(nombres[],0,0,ROWS(nombres[]),1))-ROW(OFFSET(nombres[],0,0,1,1))+1,ROW(OFFSET(nombres[],ROWS(nombres[])-1,0,1,1))+1),$O1554:$O1573),3),"")</f>
        <v/>
      </c>
      <c r="PE1554" s="42" t="str">
        <f t="array" aca="1" ref="PE1554" ca="1">IFERROR(INDEX(nombres[],SMALL(IF(OFFSET(nombres[],0,0,ROWS(nombres[]),1)=PE$1490,ROW(OFFSET(nombres[],0,0,ROWS(nombres[]),1))-ROW(OFFSET(nombres[],0,0,1,1))+1,ROW(OFFSET(nombres[],ROWS(nombres[])-1,0,1,1))+1),$O1554:$O1573),3),"")</f>
        <v/>
      </c>
      <c r="PF1554" s="42" t="str">
        <f t="array" aca="1" ref="PF1554" ca="1">IFERROR(INDEX(nombres[],SMALL(IF(OFFSET(nombres[],0,0,ROWS(nombres[]),1)=PF$1490,ROW(OFFSET(nombres[],0,0,ROWS(nombres[]),1))-ROW(OFFSET(nombres[],0,0,1,1))+1,ROW(OFFSET(nombres[],ROWS(nombres[])-1,0,1,1))+1),$O1554:$O1573),3),"")</f>
        <v/>
      </c>
      <c r="PG1554" s="42" t="str">
        <f t="array" aca="1" ref="PG1554" ca="1">IFERROR(INDEX(nombres[],SMALL(IF(OFFSET(nombres[],0,0,ROWS(nombres[]),1)=PG$1490,ROW(OFFSET(nombres[],0,0,ROWS(nombres[]),1))-ROW(OFFSET(nombres[],0,0,1,1))+1,ROW(OFFSET(nombres[],ROWS(nombres[])-1,0,1,1))+1),$O1554:$O1573),3),"")</f>
        <v/>
      </c>
      <c r="PH1554" s="42" t="str">
        <f t="array" aca="1" ref="PH1554" ca="1">IFERROR(INDEX(nombres[],SMALL(IF(OFFSET(nombres[],0,0,ROWS(nombres[]),1)=PH$1490,ROW(OFFSET(nombres[],0,0,ROWS(nombres[]),1))-ROW(OFFSET(nombres[],0,0,1,1))+1,ROW(OFFSET(nombres[],ROWS(nombres[])-1,0,1,1))+1),$O1554:$O1573),3),"")</f>
        <v/>
      </c>
      <c r="PI1554" s="42" t="str">
        <f t="array" aca="1" ref="PI1554" ca="1">IFERROR(INDEX(nombres[],SMALL(IF(OFFSET(nombres[],0,0,ROWS(nombres[]),1)=PI$1490,ROW(OFFSET(nombres[],0,0,ROWS(nombres[]),1))-ROW(OFFSET(nombres[],0,0,1,1))+1,ROW(OFFSET(nombres[],ROWS(nombres[])-1,0,1,1))+1),$O1554:$O1573),3),"")</f>
        <v/>
      </c>
      <c r="PJ1554" s="42" t="str">
        <f t="array" aca="1" ref="PJ1554" ca="1">IFERROR(INDEX(nombres[],SMALL(IF(OFFSET(nombres[],0,0,ROWS(nombres[]),1)=PJ$1490,ROW(OFFSET(nombres[],0,0,ROWS(nombres[]),1))-ROW(OFFSET(nombres[],0,0,1,1))+1,ROW(OFFSET(nombres[],ROWS(nombres[])-1,0,1,1))+1),$O1554:$O1573),3),"")</f>
        <v/>
      </c>
      <c r="PK1554" s="42" t="str">
        <f t="array" aca="1" ref="PK1554" ca="1">IFERROR(INDEX(nombres[],SMALL(IF(OFFSET(nombres[],0,0,ROWS(nombres[]),1)=PK$1490,ROW(OFFSET(nombres[],0,0,ROWS(nombres[]),1))-ROW(OFFSET(nombres[],0,0,1,1))+1,ROW(OFFSET(nombres[],ROWS(nombres[])-1,0,1,1))+1),$O1554:$O1573),3),"")</f>
        <v/>
      </c>
      <c r="PL1554" s="42" t="str">
        <f t="array" aca="1" ref="PL1554" ca="1">IFERROR(INDEX(nombres[],SMALL(IF(OFFSET(nombres[],0,0,ROWS(nombres[]),1)=PL$1490,ROW(OFFSET(nombres[],0,0,ROWS(nombres[]),1))-ROW(OFFSET(nombres[],0,0,1,1))+1,ROW(OFFSET(nombres[],ROWS(nombres[])-1,0,1,1))+1),$O1554:$O1573),3),"")</f>
        <v/>
      </c>
      <c r="PM1554" s="42" t="str">
        <f t="array" aca="1" ref="PM1554" ca="1">IFERROR(INDEX(nombres[],SMALL(IF(OFFSET(nombres[],0,0,ROWS(nombres[]),1)=PM$1490,ROW(OFFSET(nombres[],0,0,ROWS(nombres[]),1))-ROW(OFFSET(nombres[],0,0,1,1))+1,ROW(OFFSET(nombres[],ROWS(nombres[])-1,0,1,1))+1),$O1554:$O1573),3),"")</f>
        <v/>
      </c>
      <c r="PN1554" s="42" t="str">
        <f t="array" aca="1" ref="PN1554" ca="1">IFERROR(INDEX(nombres[],SMALL(IF(OFFSET(nombres[],0,0,ROWS(nombres[]),1)=PN$1490,ROW(OFFSET(nombres[],0,0,ROWS(nombres[]),1))-ROW(OFFSET(nombres[],0,0,1,1))+1,ROW(OFFSET(nombres[],ROWS(nombres[])-1,0,1,1))+1),$O1554:$O1573),3),"")</f>
        <v/>
      </c>
      <c r="PO1554" s="42" t="str">
        <f t="array" aca="1" ref="PO1554" ca="1">IFERROR(INDEX(nombres[],SMALL(IF(OFFSET(nombres[],0,0,ROWS(nombres[]),1)=PO$1490,ROW(OFFSET(nombres[],0,0,ROWS(nombres[]),1))-ROW(OFFSET(nombres[],0,0,1,1))+1,ROW(OFFSET(nombres[],ROWS(nombres[])-1,0,1,1))+1),$O1554:$O1573),3),"")</f>
        <v/>
      </c>
      <c r="PP1554" s="42" t="str">
        <f t="array" aca="1" ref="PP1554" ca="1">IFERROR(INDEX(nombres[],SMALL(IF(OFFSET(nombres[],0,0,ROWS(nombres[]),1)=PP$1490,ROW(OFFSET(nombres[],0,0,ROWS(nombres[]),1))-ROW(OFFSET(nombres[],0,0,1,1))+1,ROW(OFFSET(nombres[],ROWS(nombres[])-1,0,1,1))+1),$O1554:$O1573),3),"")</f>
        <v/>
      </c>
      <c r="PQ1554" s="42" t="str">
        <f t="array" aca="1" ref="PQ1554" ca="1">IFERROR(INDEX(nombres[],SMALL(IF(OFFSET(nombres[],0,0,ROWS(nombres[]),1)=PQ$1490,ROW(OFFSET(nombres[],0,0,ROWS(nombres[]),1))-ROW(OFFSET(nombres[],0,0,1,1))+1,ROW(OFFSET(nombres[],ROWS(nombres[])-1,0,1,1))+1),$O1554:$O1573),3),"")</f>
        <v/>
      </c>
      <c r="PR1554" s="42" t="str">
        <f t="array" aca="1" ref="PR1554" ca="1">IFERROR(INDEX(nombres[],SMALL(IF(OFFSET(nombres[],0,0,ROWS(nombres[]),1)=PR$1490,ROW(OFFSET(nombres[],0,0,ROWS(nombres[]),1))-ROW(OFFSET(nombres[],0,0,1,1))+1,ROW(OFFSET(nombres[],ROWS(nombres[])-1,0,1,1))+1),$O1554:$O1573),3),"")</f>
        <v/>
      </c>
      <c r="PS1554" s="42" t="str">
        <f t="array" aca="1" ref="PS1554" ca="1">IFERROR(INDEX(nombres[],SMALL(IF(OFFSET(nombres[],0,0,ROWS(nombres[]),1)=PS$1490,ROW(OFFSET(nombres[],0,0,ROWS(nombres[]),1))-ROW(OFFSET(nombres[],0,0,1,1))+1,ROW(OFFSET(nombres[],ROWS(nombres[])-1,0,1,1))+1),$O1554:$O1573),3),"")</f>
        <v/>
      </c>
      <c r="PT1554" s="42" t="str">
        <f t="array" aca="1" ref="PT1554" ca="1">IFERROR(INDEX(nombres[],SMALL(IF(OFFSET(nombres[],0,0,ROWS(nombres[]),1)=PT$1490,ROW(OFFSET(nombres[],0,0,ROWS(nombres[]),1))-ROW(OFFSET(nombres[],0,0,1,1))+1,ROW(OFFSET(nombres[],ROWS(nombres[])-1,0,1,1))+1),$O1554:$O1573),3),"")</f>
        <v/>
      </c>
      <c r="PU1554" s="42" t="str">
        <f t="array" aca="1" ref="PU1554" ca="1">IFERROR(INDEX(nombres[],SMALL(IF(OFFSET(nombres[],0,0,ROWS(nombres[]),1)=PU$1490,ROW(OFFSET(nombres[],0,0,ROWS(nombres[]),1))-ROW(OFFSET(nombres[],0,0,1,1))+1,ROW(OFFSET(nombres[],ROWS(nombres[])-1,0,1,1))+1),$O1554:$O1573),3),"")</f>
        <v/>
      </c>
      <c r="PV1554" s="42" t="str">
        <f t="array" aca="1" ref="PV1554" ca="1">IFERROR(INDEX(nombres[],SMALL(IF(OFFSET(nombres[],0,0,ROWS(nombres[]),1)=PV$1490,ROW(OFFSET(nombres[],0,0,ROWS(nombres[]),1))-ROW(OFFSET(nombres[],0,0,1,1))+1,ROW(OFFSET(nombres[],ROWS(nombres[])-1,0,1,1))+1),$O1554:$O1573),3),"")</f>
        <v/>
      </c>
      <c r="PW1554" s="42" t="str">
        <f t="array" aca="1" ref="PW1554" ca="1">IFERROR(INDEX(nombres[],SMALL(IF(OFFSET(nombres[],0,0,ROWS(nombres[]),1)=PW$1490,ROW(OFFSET(nombres[],0,0,ROWS(nombres[]),1))-ROW(OFFSET(nombres[],0,0,1,1))+1,ROW(OFFSET(nombres[],ROWS(nombres[])-1,0,1,1))+1),$O1554:$O1573),3),"")</f>
        <v/>
      </c>
      <c r="PX1554" s="42" t="str">
        <f t="array" aca="1" ref="PX1554" ca="1">IFERROR(INDEX(nombres[],SMALL(IF(OFFSET(nombres[],0,0,ROWS(nombres[]),1)=PX$1490,ROW(OFFSET(nombres[],0,0,ROWS(nombres[]),1))-ROW(OFFSET(nombres[],0,0,1,1))+1,ROW(OFFSET(nombres[],ROWS(nombres[])-1,0,1,1))+1),$O1554:$O1573),3),"")</f>
        <v/>
      </c>
      <c r="PY1554" s="42" t="str">
        <f t="array" aca="1" ref="PY1554" ca="1">IFERROR(INDEX(nombres[],SMALL(IF(OFFSET(nombres[],0,0,ROWS(nombres[]),1)=PY$1490,ROW(OFFSET(nombres[],0,0,ROWS(nombres[]),1))-ROW(OFFSET(nombres[],0,0,1,1))+1,ROW(OFFSET(nombres[],ROWS(nombres[])-1,0,1,1))+1),$O1554:$O1573),3),"")</f>
        <v/>
      </c>
      <c r="PZ1554" s="42" t="str">
        <f t="array" aca="1" ref="PZ1554" ca="1">IFERROR(INDEX(nombres[],SMALL(IF(OFFSET(nombres[],0,0,ROWS(nombres[]),1)=PZ$1490,ROW(OFFSET(nombres[],0,0,ROWS(nombres[]),1))-ROW(OFFSET(nombres[],0,0,1,1))+1,ROW(OFFSET(nombres[],ROWS(nombres[])-1,0,1,1))+1),$O1554:$O1573),3),"")</f>
        <v/>
      </c>
      <c r="QA1554" s="42" t="str">
        <f t="array" aca="1" ref="QA1554" ca="1">IFERROR(INDEX(nombres[],SMALL(IF(OFFSET(nombres[],0,0,ROWS(nombres[]),1)=QA$1490,ROW(OFFSET(nombres[],0,0,ROWS(nombres[]),1))-ROW(OFFSET(nombres[],0,0,1,1))+1,ROW(OFFSET(nombres[],ROWS(nombres[])-1,0,1,1))+1),$O1554:$O1573),3),"")</f>
        <v/>
      </c>
      <c r="QB1554" s="42" t="str">
        <f t="array" aca="1" ref="QB1554" ca="1">IFERROR(INDEX(nombres[],SMALL(IF(OFFSET(nombres[],0,0,ROWS(nombres[]),1)=QB$1490,ROW(OFFSET(nombres[],0,0,ROWS(nombres[]),1))-ROW(OFFSET(nombres[],0,0,1,1))+1,ROW(OFFSET(nombres[],ROWS(nombres[])-1,0,1,1))+1),$O1554:$O1573),3),"")</f>
        <v/>
      </c>
      <c r="QC1554" s="42" t="str">
        <f t="array" aca="1" ref="QC1554" ca="1">IFERROR(INDEX(nombres[],SMALL(IF(OFFSET(nombres[],0,0,ROWS(nombres[]),1)=QC$1490,ROW(OFFSET(nombres[],0,0,ROWS(nombres[]),1))-ROW(OFFSET(nombres[],0,0,1,1))+1,ROW(OFFSET(nombres[],ROWS(nombres[])-1,0,1,1))+1),$O1554:$O1573),3),"")</f>
        <v/>
      </c>
      <c r="QD1554" s="42" t="str">
        <f t="array" aca="1" ref="QD1554" ca="1">IFERROR(INDEX(nombres[],SMALL(IF(OFFSET(nombres[],0,0,ROWS(nombres[]),1)=QD$1490,ROW(OFFSET(nombres[],0,0,ROWS(nombres[]),1))-ROW(OFFSET(nombres[],0,0,1,1))+1,ROW(OFFSET(nombres[],ROWS(nombres[])-1,0,1,1))+1),$O1554:$O1573),3),"")</f>
        <v/>
      </c>
      <c r="QE1554" s="42" t="str">
        <f t="array" aca="1" ref="QE1554" ca="1">IFERROR(INDEX(nombres[],SMALL(IF(OFFSET(nombres[],0,0,ROWS(nombres[]),1)=QE$1490,ROW(OFFSET(nombres[],0,0,ROWS(nombres[]),1))-ROW(OFFSET(nombres[],0,0,1,1))+1,ROW(OFFSET(nombres[],ROWS(nombres[])-1,0,1,1))+1),$O1554:$O1573),3),"")</f>
        <v/>
      </c>
      <c r="QF1554" s="42" t="str">
        <f t="array" aca="1" ref="QF1554" ca="1">IFERROR(INDEX(nombres[],SMALL(IF(OFFSET(nombres[],0,0,ROWS(nombres[]),1)=QF$1490,ROW(OFFSET(nombres[],0,0,ROWS(nombres[]),1))-ROW(OFFSET(nombres[],0,0,1,1))+1,ROW(OFFSET(nombres[],ROWS(nombres[])-1,0,1,1))+1),$O1554:$O1573),3),"")</f>
        <v/>
      </c>
      <c r="QG1554" s="42" t="str">
        <f t="array" aca="1" ref="QG1554" ca="1">IFERROR(INDEX(nombres[],SMALL(IF(OFFSET(nombres[],0,0,ROWS(nombres[]),1)=QG$1490,ROW(OFFSET(nombres[],0,0,ROWS(nombres[]),1))-ROW(OFFSET(nombres[],0,0,1,1))+1,ROW(OFFSET(nombres[],ROWS(nombres[])-1,0,1,1))+1),$O1554:$O1573),3),"")</f>
        <v/>
      </c>
      <c r="QH1554" s="42" t="str">
        <f t="array" aca="1" ref="QH1554" ca="1">IFERROR(INDEX(nombres[],SMALL(IF(OFFSET(nombres[],0,0,ROWS(nombres[]),1)=QH$1490,ROW(OFFSET(nombres[],0,0,ROWS(nombres[]),1))-ROW(OFFSET(nombres[],0,0,1,1))+1,ROW(OFFSET(nombres[],ROWS(nombres[])-1,0,1,1))+1),$O1554:$O1573),3),"")</f>
        <v/>
      </c>
      <c r="QI1554" s="42" t="str">
        <f t="array" aca="1" ref="QI1554" ca="1">IFERROR(INDEX(nombres[],SMALL(IF(OFFSET(nombres[],0,0,ROWS(nombres[]),1)=QI$1490,ROW(OFFSET(nombres[],0,0,ROWS(nombres[]),1))-ROW(OFFSET(nombres[],0,0,1,1))+1,ROW(OFFSET(nombres[],ROWS(nombres[])-1,0,1,1))+1),$O1554:$O1573),3),"")</f>
        <v/>
      </c>
      <c r="QJ1554" s="42" t="str">
        <f t="array" aca="1" ref="QJ1554" ca="1">IFERROR(INDEX(nombres[],SMALL(IF(OFFSET(nombres[],0,0,ROWS(nombres[]),1)=QJ$1490,ROW(OFFSET(nombres[],0,0,ROWS(nombres[]),1))-ROW(OFFSET(nombres[],0,0,1,1))+1,ROW(OFFSET(nombres[],ROWS(nombres[])-1,0,1,1))+1),$O1554:$O1573),3),"")</f>
        <v/>
      </c>
      <c r="QK1554" s="42" t="str">
        <f t="array" aca="1" ref="QK1554" ca="1">IFERROR(INDEX(nombres[],SMALL(IF(OFFSET(nombres[],0,0,ROWS(nombres[]),1)=QK$1490,ROW(OFFSET(nombres[],0,0,ROWS(nombres[]),1))-ROW(OFFSET(nombres[],0,0,1,1))+1,ROW(OFFSET(nombres[],ROWS(nombres[])-1,0,1,1))+1),$O1554:$O1573),3),"")</f>
        <v/>
      </c>
      <c r="QL1554" s="42" t="str">
        <f t="array" aca="1" ref="QL1554" ca="1">IFERROR(INDEX(nombres[],SMALL(IF(OFFSET(nombres[],0,0,ROWS(nombres[]),1)=QL$1490,ROW(OFFSET(nombres[],0,0,ROWS(nombres[]),1))-ROW(OFFSET(nombres[],0,0,1,1))+1,ROW(OFFSET(nombres[],ROWS(nombres[])-1,0,1,1))+1),$O1554:$O1573),3),"")</f>
        <v/>
      </c>
      <c r="QM1554" s="42" t="str">
        <f t="array" aca="1" ref="QM1554" ca="1">IFERROR(INDEX(nombres[],SMALL(IF(OFFSET(nombres[],0,0,ROWS(nombres[]),1)=QM$1490,ROW(OFFSET(nombres[],0,0,ROWS(nombres[]),1))-ROW(OFFSET(nombres[],0,0,1,1))+1,ROW(OFFSET(nombres[],ROWS(nombres[])-1,0,1,1))+1),$O1554:$O1573),3),"")</f>
        <v/>
      </c>
      <c r="QN1554" s="42" t="str">
        <f t="array" aca="1" ref="QN1554" ca="1">IFERROR(INDEX(nombres[],SMALL(IF(OFFSET(nombres[],0,0,ROWS(nombres[]),1)=QN$1490,ROW(OFFSET(nombres[],0,0,ROWS(nombres[]),1))-ROW(OFFSET(nombres[],0,0,1,1))+1,ROW(OFFSET(nombres[],ROWS(nombres[])-1,0,1,1))+1),$O1554:$O1573),3),"")</f>
        <v/>
      </c>
      <c r="QO1554" s="42" t="str">
        <f t="array" aca="1" ref="QO1554" ca="1">IFERROR(INDEX(nombres[],SMALL(IF(OFFSET(nombres[],0,0,ROWS(nombres[]),1)=QO$1490,ROW(OFFSET(nombres[],0,0,ROWS(nombres[]),1))-ROW(OFFSET(nombres[],0,0,1,1))+1,ROW(OFFSET(nombres[],ROWS(nombres[])-1,0,1,1))+1),$O1554:$O1573),3),"")</f>
        <v/>
      </c>
      <c r="QP1554" s="42" t="str">
        <f t="array" aca="1" ref="QP1554" ca="1">IFERROR(INDEX(nombres[],SMALL(IF(OFFSET(nombres[],0,0,ROWS(nombres[]),1)=QP$1490,ROW(OFFSET(nombres[],0,0,ROWS(nombres[]),1))-ROW(OFFSET(nombres[],0,0,1,1))+1,ROW(OFFSET(nombres[],ROWS(nombres[])-1,0,1,1))+1),$O1554:$O1573),3),"")</f>
        <v/>
      </c>
      <c r="QQ1554" s="42" t="str">
        <f t="array" aca="1" ref="QQ1554" ca="1">IFERROR(INDEX(nombres[],SMALL(IF(OFFSET(nombres[],0,0,ROWS(nombres[]),1)=QQ$1490,ROW(OFFSET(nombres[],0,0,ROWS(nombres[]),1))-ROW(OFFSET(nombres[],0,0,1,1))+1,ROW(OFFSET(nombres[],ROWS(nombres[])-1,0,1,1))+1),$O1554:$O1573),3),"")</f>
        <v/>
      </c>
      <c r="QR1554" s="42" t="str">
        <f t="array" aca="1" ref="QR1554" ca="1">IFERROR(INDEX(nombres[],SMALL(IF(OFFSET(nombres[],0,0,ROWS(nombres[]),1)=QR$1490,ROW(OFFSET(nombres[],0,0,ROWS(nombres[]),1))-ROW(OFFSET(nombres[],0,0,1,1))+1,ROW(OFFSET(nombres[],ROWS(nombres[])-1,0,1,1))+1),$O1554:$O1573),3),"")</f>
        <v/>
      </c>
      <c r="QS1554" s="42" t="str">
        <f t="array" aca="1" ref="QS1554" ca="1">IFERROR(INDEX(nombres[],SMALL(IF(OFFSET(nombres[],0,0,ROWS(nombres[]),1)=QS$1490,ROW(OFFSET(nombres[],0,0,ROWS(nombres[]),1))-ROW(OFFSET(nombres[],0,0,1,1))+1,ROW(OFFSET(nombres[],ROWS(nombres[])-1,0,1,1))+1),$O1554:$O1573),3),"")</f>
        <v/>
      </c>
      <c r="QT1554" s="42" t="str">
        <f t="array" aca="1" ref="QT1554" ca="1">IFERROR(INDEX(nombres[],SMALL(IF(OFFSET(nombres[],0,0,ROWS(nombres[]),1)=QT$1490,ROW(OFFSET(nombres[],0,0,ROWS(nombres[]),1))-ROW(OFFSET(nombres[],0,0,1,1))+1,ROW(OFFSET(nombres[],ROWS(nombres[])-1,0,1,1))+1),$O1554:$O1573),3),"")</f>
        <v/>
      </c>
      <c r="QU1554" s="42" t="str">
        <f t="array" aca="1" ref="QU1554" ca="1">IFERROR(INDEX(nombres[],SMALL(IF(OFFSET(nombres[],0,0,ROWS(nombres[]),1)=QU$1490,ROW(OFFSET(nombres[],0,0,ROWS(nombres[]),1))-ROW(OFFSET(nombres[],0,0,1,1))+1,ROW(OFFSET(nombres[],ROWS(nombres[])-1,0,1,1))+1),$O1554:$O1573),3),"")</f>
        <v/>
      </c>
      <c r="QV1554" s="42" t="str">
        <f t="array" aca="1" ref="QV1554" ca="1">IFERROR(INDEX(nombres[],SMALL(IF(OFFSET(nombres[],0,0,ROWS(nombres[]),1)=QV$1490,ROW(OFFSET(nombres[],0,0,ROWS(nombres[]),1))-ROW(OFFSET(nombres[],0,0,1,1))+1,ROW(OFFSET(nombres[],ROWS(nombres[])-1,0,1,1))+1),$O1554:$O1573),3),"")</f>
        <v/>
      </c>
      <c r="QW1554" s="42" t="str">
        <f t="array" aca="1" ref="QW1554" ca="1">IFERROR(INDEX(nombres[],SMALL(IF(OFFSET(nombres[],0,0,ROWS(nombres[]),1)=QW$1490,ROW(OFFSET(nombres[],0,0,ROWS(nombres[]),1))-ROW(OFFSET(nombres[],0,0,1,1))+1,ROW(OFFSET(nombres[],ROWS(nombres[])-1,0,1,1))+1),$O1554:$O1573),3),"")</f>
        <v/>
      </c>
      <c r="QX1554" s="42" t="str">
        <f t="array" aca="1" ref="QX1554" ca="1">IFERROR(INDEX(nombres[],SMALL(IF(OFFSET(nombres[],0,0,ROWS(nombres[]),1)=QX$1490,ROW(OFFSET(nombres[],0,0,ROWS(nombres[]),1))-ROW(OFFSET(nombres[],0,0,1,1))+1,ROW(OFFSET(nombres[],ROWS(nombres[])-1,0,1,1))+1),$O1554:$O1573),3),"")</f>
        <v/>
      </c>
      <c r="QY1554" s="42" t="str">
        <f t="array" aca="1" ref="QY1554" ca="1">IFERROR(INDEX(nombres[],SMALL(IF(OFFSET(nombres[],0,0,ROWS(nombres[]),1)=QY$1490,ROW(OFFSET(nombres[],0,0,ROWS(nombres[]),1))-ROW(OFFSET(nombres[],0,0,1,1))+1,ROW(OFFSET(nombres[],ROWS(nombres[])-1,0,1,1))+1),$O1554:$O1573),3),"")</f>
        <v/>
      </c>
      <c r="QZ1554" s="42" t="str">
        <f t="array" aca="1" ref="QZ1554" ca="1">IFERROR(INDEX(nombres[],SMALL(IF(OFFSET(nombres[],0,0,ROWS(nombres[]),1)=QZ$1490,ROW(OFFSET(nombres[],0,0,ROWS(nombres[]),1))-ROW(OFFSET(nombres[],0,0,1,1))+1,ROW(OFFSET(nombres[],ROWS(nombres[])-1,0,1,1))+1),$O1554:$O1573),3),"")</f>
        <v/>
      </c>
      <c r="RA1554" s="42" t="str">
        <f t="array" aca="1" ref="RA1554" ca="1">IFERROR(INDEX(nombres[],SMALL(IF(OFFSET(nombres[],0,0,ROWS(nombres[]),1)=RA$1490,ROW(OFFSET(nombres[],0,0,ROWS(nombres[]),1))-ROW(OFFSET(nombres[],0,0,1,1))+1,ROW(OFFSET(nombres[],ROWS(nombres[])-1,0,1,1))+1),$O1554:$O1573),3),"")</f>
        <v/>
      </c>
      <c r="RB1554" s="42" t="str">
        <f t="array" aca="1" ref="RB1554" ca="1">IFERROR(INDEX(nombres[],SMALL(IF(OFFSET(nombres[],0,0,ROWS(nombres[]),1)=RB$1490,ROW(OFFSET(nombres[],0,0,ROWS(nombres[]),1))-ROW(OFFSET(nombres[],0,0,1,1))+1,ROW(OFFSET(nombres[],ROWS(nombres[])-1,0,1,1))+1),$O1554:$O1573),3),"")</f>
        <v/>
      </c>
      <c r="RC1554" s="42" t="str">
        <f t="array" aca="1" ref="RC1554" ca="1">IFERROR(INDEX(nombres[],SMALL(IF(OFFSET(nombres[],0,0,ROWS(nombres[]),1)=RC$1490,ROW(OFFSET(nombres[],0,0,ROWS(nombres[]),1))-ROW(OFFSET(nombres[],0,0,1,1))+1,ROW(OFFSET(nombres[],ROWS(nombres[])-1,0,1,1))+1),$O1554:$O1573),3),"")</f>
        <v/>
      </c>
      <c r="RD1554" s="42" t="str">
        <f t="array" aca="1" ref="RD1554" ca="1">IFERROR(INDEX(nombres[],SMALL(IF(OFFSET(nombres[],0,0,ROWS(nombres[]),1)=RD$1490,ROW(OFFSET(nombres[],0,0,ROWS(nombres[]),1))-ROW(OFFSET(nombres[],0,0,1,1))+1,ROW(OFFSET(nombres[],ROWS(nombres[])-1,0,1,1))+1),$O1554:$O1573),3),"")</f>
        <v/>
      </c>
      <c r="RE1554" s="42" t="str">
        <f t="array" aca="1" ref="RE1554" ca="1">IFERROR(INDEX(nombres[],SMALL(IF(OFFSET(nombres[],0,0,ROWS(nombres[]),1)=RE$1490,ROW(OFFSET(nombres[],0,0,ROWS(nombres[]),1))-ROW(OFFSET(nombres[],0,0,1,1))+1,ROW(OFFSET(nombres[],ROWS(nombres[])-1,0,1,1))+1),$O1554:$O1573),3),"")</f>
        <v/>
      </c>
      <c r="RF1554" s="42" t="str">
        <f t="array" aca="1" ref="RF1554" ca="1">IFERROR(INDEX(nombres[],SMALL(IF(OFFSET(nombres[],0,0,ROWS(nombres[]),1)=RF$1490,ROW(OFFSET(nombres[],0,0,ROWS(nombres[]),1))-ROW(OFFSET(nombres[],0,0,1,1))+1,ROW(OFFSET(nombres[],ROWS(nombres[])-1,0,1,1))+1),$O1554:$O1573),3),"")</f>
        <v/>
      </c>
      <c r="RG1554" s="42" t="str">
        <f t="array" aca="1" ref="RG1554" ca="1">IFERROR(INDEX(nombres[],SMALL(IF(OFFSET(nombres[],0,0,ROWS(nombres[]),1)=RG$1490,ROW(OFFSET(nombres[],0,0,ROWS(nombres[]),1))-ROW(OFFSET(nombres[],0,0,1,1))+1,ROW(OFFSET(nombres[],ROWS(nombres[])-1,0,1,1))+1),$O1554:$O1573),3),"")</f>
        <v/>
      </c>
      <c r="RH1554" s="42" t="str">
        <f t="array" aca="1" ref="RH1554" ca="1">IFERROR(INDEX(nombres[],SMALL(IF(OFFSET(nombres[],0,0,ROWS(nombres[]),1)=RH$1490,ROW(OFFSET(nombres[],0,0,ROWS(nombres[]),1))-ROW(OFFSET(nombres[],0,0,1,1))+1,ROW(OFFSET(nombres[],ROWS(nombres[])-1,0,1,1))+1),$O1554:$O1573),3),"")</f>
        <v/>
      </c>
      <c r="RI1554" s="42" t="str">
        <f t="array" aca="1" ref="RI1554" ca="1">IFERROR(INDEX(nombres[],SMALL(IF(OFFSET(nombres[],0,0,ROWS(nombres[]),1)=RI$1490,ROW(OFFSET(nombres[],0,0,ROWS(nombres[]),1))-ROW(OFFSET(nombres[],0,0,1,1))+1,ROW(OFFSET(nombres[],ROWS(nombres[])-1,0,1,1))+1),$O1554:$O1573),3),"")</f>
        <v/>
      </c>
      <c r="RJ1554" s="42" t="str">
        <f t="array" aca="1" ref="RJ1554" ca="1">IFERROR(INDEX(nombres[],SMALL(IF(OFFSET(nombres[],0,0,ROWS(nombres[]),1)=RJ$1490,ROW(OFFSET(nombres[],0,0,ROWS(nombres[]),1))-ROW(OFFSET(nombres[],0,0,1,1))+1,ROW(OFFSET(nombres[],ROWS(nombres[])-1,0,1,1))+1),$O1554:$O1573),3),"")</f>
        <v/>
      </c>
      <c r="RK1554" s="42" t="str">
        <f t="array" aca="1" ref="RK1554" ca="1">IFERROR(INDEX(nombres[],SMALL(IF(OFFSET(nombres[],0,0,ROWS(nombres[]),1)=RK$1490,ROW(OFFSET(nombres[],0,0,ROWS(nombres[]),1))-ROW(OFFSET(nombres[],0,0,1,1))+1,ROW(OFFSET(nombres[],ROWS(nombres[])-1,0,1,1))+1),$O1554:$O1573),3),"")</f>
        <v/>
      </c>
      <c r="RL1554" s="42" t="str">
        <f t="array" aca="1" ref="RL1554" ca="1">IFERROR(INDEX(nombres[],SMALL(IF(OFFSET(nombres[],0,0,ROWS(nombres[]),1)=RL$1490,ROW(OFFSET(nombres[],0,0,ROWS(nombres[]),1))-ROW(OFFSET(nombres[],0,0,1,1))+1,ROW(OFFSET(nombres[],ROWS(nombres[])-1,0,1,1))+1),$O1554:$O1573),3),"")</f>
        <v/>
      </c>
      <c r="RM1554" s="42" t="str">
        <f t="array" aca="1" ref="RM1554" ca="1">IFERROR(INDEX(nombres[],SMALL(IF(OFFSET(nombres[],0,0,ROWS(nombres[]),1)=RM$1490,ROW(OFFSET(nombres[],0,0,ROWS(nombres[]),1))-ROW(OFFSET(nombres[],0,0,1,1))+1,ROW(OFFSET(nombres[],ROWS(nombres[])-1,0,1,1))+1),$O1554:$O1573),3),"")</f>
        <v/>
      </c>
      <c r="RN1554" s="42" t="str">
        <f t="array" aca="1" ref="RN1554" ca="1">IFERROR(INDEX(nombres[],SMALL(IF(OFFSET(nombres[],0,0,ROWS(nombres[]),1)=RN$1490,ROW(OFFSET(nombres[],0,0,ROWS(nombres[]),1))-ROW(OFFSET(nombres[],0,0,1,1))+1,ROW(OFFSET(nombres[],ROWS(nombres[])-1,0,1,1))+1),$O1554:$O1573),3),"")</f>
        <v/>
      </c>
      <c r="RO1554" s="42" t="str">
        <f t="array" aca="1" ref="RO1554" ca="1">IFERROR(INDEX(nombres[],SMALL(IF(OFFSET(nombres[],0,0,ROWS(nombres[]),1)=RO$1490,ROW(OFFSET(nombres[],0,0,ROWS(nombres[]),1))-ROW(OFFSET(nombres[],0,0,1,1))+1,ROW(OFFSET(nombres[],ROWS(nombres[])-1,0,1,1))+1),$O1554:$O1573),3),"")</f>
        <v/>
      </c>
      <c r="RP1554" s="42" t="str">
        <f t="array" aca="1" ref="RP1554" ca="1">IFERROR(INDEX(nombres[],SMALL(IF(OFFSET(nombres[],0,0,ROWS(nombres[]),1)=RP$1490,ROW(OFFSET(nombres[],0,0,ROWS(nombres[]),1))-ROW(OFFSET(nombres[],0,0,1,1))+1,ROW(OFFSET(nombres[],ROWS(nombres[])-1,0,1,1))+1),$O1554:$O1573),3),"")</f>
        <v/>
      </c>
      <c r="RQ1554" s="42" t="str">
        <f t="array" aca="1" ref="RQ1554" ca="1">IFERROR(INDEX(nombres[],SMALL(IF(OFFSET(nombres[],0,0,ROWS(nombres[]),1)=RQ$1490,ROW(OFFSET(nombres[],0,0,ROWS(nombres[]),1))-ROW(OFFSET(nombres[],0,0,1,1))+1,ROW(OFFSET(nombres[],ROWS(nombres[])-1,0,1,1))+1),$O1554:$O1573),3),"")</f>
        <v/>
      </c>
      <c r="RR1554" s="42" t="str">
        <f t="array" aca="1" ref="RR1554" ca="1">IFERROR(INDEX(nombres[],SMALL(IF(OFFSET(nombres[],0,0,ROWS(nombres[]),1)=RR$1490,ROW(OFFSET(nombres[],0,0,ROWS(nombres[]),1))-ROW(OFFSET(nombres[],0,0,1,1))+1,ROW(OFFSET(nombres[],ROWS(nombres[])-1,0,1,1))+1),$O1554:$O1573),3),"")</f>
        <v/>
      </c>
      <c r="RS1554" s="42" t="str">
        <f t="array" aca="1" ref="RS1554" ca="1">IFERROR(INDEX(nombres[],SMALL(IF(OFFSET(nombres[],0,0,ROWS(nombres[]),1)=RS$1490,ROW(OFFSET(nombres[],0,0,ROWS(nombres[]),1))-ROW(OFFSET(nombres[],0,0,1,1))+1,ROW(OFFSET(nombres[],ROWS(nombres[])-1,0,1,1))+1),$O1554:$O1573),3),"")</f>
        <v/>
      </c>
      <c r="RT1554" s="42" t="str">
        <f t="array" aca="1" ref="RT1554" ca="1">IFERROR(INDEX(nombres[],SMALL(IF(OFFSET(nombres[],0,0,ROWS(nombres[]),1)=RT$1490,ROW(OFFSET(nombres[],0,0,ROWS(nombres[]),1))-ROW(OFFSET(nombres[],0,0,1,1))+1,ROW(OFFSET(nombres[],ROWS(nombres[])-1,0,1,1))+1),$O1554:$O1573),3),"")</f>
        <v/>
      </c>
      <c r="RU1554" s="42" t="str">
        <f t="array" aca="1" ref="RU1554" ca="1">IFERROR(INDEX(nombres[],SMALL(IF(OFFSET(nombres[],0,0,ROWS(nombres[]),1)=RU$1490,ROW(OFFSET(nombres[],0,0,ROWS(nombres[]),1))-ROW(OFFSET(nombres[],0,0,1,1))+1,ROW(OFFSET(nombres[],ROWS(nombres[])-1,0,1,1))+1),$O1554:$O1573),3),"")</f>
        <v/>
      </c>
      <c r="RV1554" s="42" t="str">
        <f t="array" aca="1" ref="RV1554" ca="1">IFERROR(INDEX(nombres[],SMALL(IF(OFFSET(nombres[],0,0,ROWS(nombres[]),1)=RV$1490,ROW(OFFSET(nombres[],0,0,ROWS(nombres[]),1))-ROW(OFFSET(nombres[],0,0,1,1))+1,ROW(OFFSET(nombres[],ROWS(nombres[])-1,0,1,1))+1),$O1554:$O1573),3),"")</f>
        <v/>
      </c>
      <c r="RW1554" s="42" t="str">
        <f t="array" aca="1" ref="RW1554" ca="1">IFERROR(INDEX(nombres[],SMALL(IF(OFFSET(nombres[],0,0,ROWS(nombres[]),1)=RW$1490,ROW(OFFSET(nombres[],0,0,ROWS(nombres[]),1))-ROW(OFFSET(nombres[],0,0,1,1))+1,ROW(OFFSET(nombres[],ROWS(nombres[])-1,0,1,1))+1),$O1554:$O1573),3),"")</f>
        <v/>
      </c>
      <c r="RX1554" s="42" t="str">
        <f t="array" aca="1" ref="RX1554" ca="1">IFERROR(INDEX(nombres[],SMALL(IF(OFFSET(nombres[],0,0,ROWS(nombres[]),1)=RX$1490,ROW(OFFSET(nombres[],0,0,ROWS(nombres[]),1))-ROW(OFFSET(nombres[],0,0,1,1))+1,ROW(OFFSET(nombres[],ROWS(nombres[])-1,0,1,1))+1),$O1554:$O1573),3),"")</f>
        <v/>
      </c>
      <c r="RY1554" s="42" t="str">
        <f t="array" aca="1" ref="RY1554" ca="1">IFERROR(INDEX(nombres[],SMALL(IF(OFFSET(nombres[],0,0,ROWS(nombres[]),1)=RY$1490,ROW(OFFSET(nombres[],0,0,ROWS(nombres[]),1))-ROW(OFFSET(nombres[],0,0,1,1))+1,ROW(OFFSET(nombres[],ROWS(nombres[])-1,0,1,1))+1),$O1554:$O1573),3),"")</f>
        <v/>
      </c>
      <c r="RZ1554" s="42" t="str">
        <f t="array" aca="1" ref="RZ1554" ca="1">IFERROR(INDEX(nombres[],SMALL(IF(OFFSET(nombres[],0,0,ROWS(nombres[]),1)=RZ$1490,ROW(OFFSET(nombres[],0,0,ROWS(nombres[]),1))-ROW(OFFSET(nombres[],0,0,1,1))+1,ROW(OFFSET(nombres[],ROWS(nombres[])-1,0,1,1))+1),$O1554:$O1573),3),"")</f>
        <v/>
      </c>
      <c r="SA1554" s="42" t="str">
        <f t="array" aca="1" ref="SA1554" ca="1">IFERROR(INDEX(nombres[],SMALL(IF(OFFSET(nombres[],0,0,ROWS(nombres[]),1)=SA$1490,ROW(OFFSET(nombres[],0,0,ROWS(nombres[]),1))-ROW(OFFSET(nombres[],0,0,1,1))+1,ROW(OFFSET(nombres[],ROWS(nombres[])-1,0,1,1))+1),$O1554:$O1573),3),"")</f>
        <v/>
      </c>
      <c r="SB1554" s="42" t="str">
        <f t="array" aca="1" ref="SB1554" ca="1">IFERROR(INDEX(nombres[],SMALL(IF(OFFSET(nombres[],0,0,ROWS(nombres[]),1)=SB$1490,ROW(OFFSET(nombres[],0,0,ROWS(nombres[]),1))-ROW(OFFSET(nombres[],0,0,1,1))+1,ROW(OFFSET(nombres[],ROWS(nombres[])-1,0,1,1))+1),$O1554:$O1573),3),"")</f>
        <v/>
      </c>
      <c r="SC1554" s="42" t="str">
        <f t="array" aca="1" ref="SC1554" ca="1">IFERROR(INDEX(nombres[],SMALL(IF(OFFSET(nombres[],0,0,ROWS(nombres[]),1)=SC$1490,ROW(OFFSET(nombres[],0,0,ROWS(nombres[]),1))-ROW(OFFSET(nombres[],0,0,1,1))+1,ROW(OFFSET(nombres[],ROWS(nombres[])-1,0,1,1))+1),$O1554:$O1573),3),"")</f>
        <v/>
      </c>
      <c r="SD1554" s="42" t="str">
        <f t="array" aca="1" ref="SD1554" ca="1">IFERROR(INDEX(nombres[],SMALL(IF(OFFSET(nombres[],0,0,ROWS(nombres[]),1)=SD$1490,ROW(OFFSET(nombres[],0,0,ROWS(nombres[]),1))-ROW(OFFSET(nombres[],0,0,1,1))+1,ROW(OFFSET(nombres[],ROWS(nombres[])-1,0,1,1))+1),$O1554:$O1573),3),"")</f>
        <v/>
      </c>
      <c r="SE1554" s="42" t="str">
        <f t="array" aca="1" ref="SE1554" ca="1">IFERROR(INDEX(nombres[],SMALL(IF(OFFSET(nombres[],0,0,ROWS(nombres[]),1)=SE$1490,ROW(OFFSET(nombres[],0,0,ROWS(nombres[]),1))-ROW(OFFSET(nombres[],0,0,1,1))+1,ROW(OFFSET(nombres[],ROWS(nombres[])-1,0,1,1))+1),$O1554:$O1573),3),"")</f>
        <v/>
      </c>
      <c r="SF1554" s="42" t="str">
        <f t="array" aca="1" ref="SF1554" ca="1">IFERROR(INDEX(nombres[],SMALL(IF(OFFSET(nombres[],0,0,ROWS(nombres[]),1)=SF$1490,ROW(OFFSET(nombres[],0,0,ROWS(nombres[]),1))-ROW(OFFSET(nombres[],0,0,1,1))+1,ROW(OFFSET(nombres[],ROWS(nombres[])-1,0,1,1))+1),$O1554:$O1573),3),"")</f>
        <v/>
      </c>
      <c r="SG1554" s="42" t="str">
        <f t="array" aca="1" ref="SG1554" ca="1">IFERROR(INDEX(nombres[],SMALL(IF(OFFSET(nombres[],0,0,ROWS(nombres[]),1)=SG$1490,ROW(OFFSET(nombres[],0,0,ROWS(nombres[]),1))-ROW(OFFSET(nombres[],0,0,1,1))+1,ROW(OFFSET(nombres[],ROWS(nombres[])-1,0,1,1))+1),$O1554:$O1573),3),"")</f>
        <v/>
      </c>
      <c r="SH1554" s="42" t="str">
        <f t="array" aca="1" ref="SH1554" ca="1">IFERROR(INDEX(nombres[],SMALL(IF(OFFSET(nombres[],0,0,ROWS(nombres[]),1)=SH$1490,ROW(OFFSET(nombres[],0,0,ROWS(nombres[]),1))-ROW(OFFSET(nombres[],0,0,1,1))+1,ROW(OFFSET(nombres[],ROWS(nombres[])-1,0,1,1))+1),$O1554:$O1573),3),"")</f>
        <v/>
      </c>
      <c r="SI1554" s="42" t="str">
        <f t="array" aca="1" ref="SI1554" ca="1">IFERROR(INDEX(nombres[],SMALL(IF(OFFSET(nombres[],0,0,ROWS(nombres[]),1)=SI$1490,ROW(OFFSET(nombres[],0,0,ROWS(nombres[]),1))-ROW(OFFSET(nombres[],0,0,1,1))+1,ROW(OFFSET(nombres[],ROWS(nombres[])-1,0,1,1))+1),$O1554:$O1573),3),"")</f>
        <v/>
      </c>
      <c r="SJ1554" s="42" t="str">
        <f t="array" aca="1" ref="SJ1554" ca="1">IFERROR(INDEX(nombres[],SMALL(IF(OFFSET(nombres[],0,0,ROWS(nombres[]),1)=SJ$1490,ROW(OFFSET(nombres[],0,0,ROWS(nombres[]),1))-ROW(OFFSET(nombres[],0,0,1,1))+1,ROW(OFFSET(nombres[],ROWS(nombres[])-1,0,1,1))+1),$O1554:$O1573),3),"")</f>
        <v/>
      </c>
      <c r="SK1554" s="42" t="str">
        <f t="array" aca="1" ref="SK1554" ca="1">IFERROR(INDEX(nombres[],SMALL(IF(OFFSET(nombres[],0,0,ROWS(nombres[]),1)=SK$1490,ROW(OFFSET(nombres[],0,0,ROWS(nombres[]),1))-ROW(OFFSET(nombres[],0,0,1,1))+1,ROW(OFFSET(nombres[],ROWS(nombres[])-1,0,1,1))+1),$O1554:$O1573),3),"")</f>
        <v/>
      </c>
      <c r="SL1554" s="42" t="str">
        <f t="array" aca="1" ref="SL1554" ca="1">IFERROR(INDEX(nombres[],SMALL(IF(OFFSET(nombres[],0,0,ROWS(nombres[]),1)=SL$1490,ROW(OFFSET(nombres[],0,0,ROWS(nombres[]),1))-ROW(OFFSET(nombres[],0,0,1,1))+1,ROW(OFFSET(nombres[],ROWS(nombres[])-1,0,1,1))+1),$O1554:$O1573),3),"")</f>
        <v/>
      </c>
      <c r="SM1554" s="42" t="str">
        <f t="array" aca="1" ref="SM1554" ca="1">IFERROR(INDEX(nombres[],SMALL(IF(OFFSET(nombres[],0,0,ROWS(nombres[]),1)=SM$1490,ROW(OFFSET(nombres[],0,0,ROWS(nombres[]),1))-ROW(OFFSET(nombres[],0,0,1,1))+1,ROW(OFFSET(nombres[],ROWS(nombres[])-1,0,1,1))+1),$O1554:$O1573),3),"")</f>
        <v/>
      </c>
      <c r="SN1554" s="42" t="str">
        <f t="array" aca="1" ref="SN1554" ca="1">IFERROR(INDEX(nombres[],SMALL(IF(OFFSET(nombres[],0,0,ROWS(nombres[]),1)=SN$1490,ROW(OFFSET(nombres[],0,0,ROWS(nombres[]),1))-ROW(OFFSET(nombres[],0,0,1,1))+1,ROW(OFFSET(nombres[],ROWS(nombres[])-1,0,1,1))+1),$O1554:$O1573),3),"")</f>
        <v/>
      </c>
      <c r="SO1554" s="42" t="str">
        <f t="array" aca="1" ref="SO1554" ca="1">IFERROR(INDEX(nombres[],SMALL(IF(OFFSET(nombres[],0,0,ROWS(nombres[]),1)=SO$1490,ROW(OFFSET(nombres[],0,0,ROWS(nombres[]),1))-ROW(OFFSET(nombres[],0,0,1,1))+1,ROW(OFFSET(nombres[],ROWS(nombres[])-1,0,1,1))+1),$O1554:$O1573),3),"")</f>
        <v/>
      </c>
      <c r="SP1554" s="42" t="str">
        <f t="array" aca="1" ref="SP1554" ca="1">IFERROR(INDEX(nombres[],SMALL(IF(OFFSET(nombres[],0,0,ROWS(nombres[]),1)=SP$1490,ROW(OFFSET(nombres[],0,0,ROWS(nombres[]),1))-ROW(OFFSET(nombres[],0,0,1,1))+1,ROW(OFFSET(nombres[],ROWS(nombres[])-1,0,1,1))+1),$O1554:$O1573),3),"")</f>
        <v/>
      </c>
      <c r="SQ1554" s="42" t="str">
        <f t="array" aca="1" ref="SQ1554" ca="1">IFERROR(INDEX(nombres[],SMALL(IF(OFFSET(nombres[],0,0,ROWS(nombres[]),1)=SQ$1490,ROW(OFFSET(nombres[],0,0,ROWS(nombres[]),1))-ROW(OFFSET(nombres[],0,0,1,1))+1,ROW(OFFSET(nombres[],ROWS(nombres[])-1,0,1,1))+1),$O1554:$O1573),3),"")</f>
        <v/>
      </c>
      <c r="SR1554" s="42" t="str">
        <f t="array" aca="1" ref="SR1554" ca="1">IFERROR(INDEX(nombres[],SMALL(IF(OFFSET(nombres[],0,0,ROWS(nombres[]),1)=SR$1490,ROW(OFFSET(nombres[],0,0,ROWS(nombres[]),1))-ROW(OFFSET(nombres[],0,0,1,1))+1,ROW(OFFSET(nombres[],ROWS(nombres[])-1,0,1,1))+1),$O1554:$O1573),3),"")</f>
        <v/>
      </c>
      <c r="SS1554" s="42" t="str">
        <f t="array" aca="1" ref="SS1554" ca="1">IFERROR(INDEX(nombres[],SMALL(IF(OFFSET(nombres[],0,0,ROWS(nombres[]),1)=SS$1490,ROW(OFFSET(nombres[],0,0,ROWS(nombres[]),1))-ROW(OFFSET(nombres[],0,0,1,1))+1,ROW(OFFSET(nombres[],ROWS(nombres[])-1,0,1,1))+1),$O1554:$O1573),3),"")</f>
        <v/>
      </c>
      <c r="ST1554" s="42" t="str">
        <f t="array" aca="1" ref="ST1554" ca="1">IFERROR(INDEX(nombres[],SMALL(IF(OFFSET(nombres[],0,0,ROWS(nombres[]),1)=ST$1490,ROW(OFFSET(nombres[],0,0,ROWS(nombres[]),1))-ROW(OFFSET(nombres[],0,0,1,1))+1,ROW(OFFSET(nombres[],ROWS(nombres[])-1,0,1,1))+1),$O1554:$O1573),3),"")</f>
        <v/>
      </c>
      <c r="SU1554" s="42" t="str">
        <f t="array" aca="1" ref="SU1554" ca="1">IFERROR(INDEX(nombres[],SMALL(IF(OFFSET(nombres[],0,0,ROWS(nombres[]),1)=SU$1490,ROW(OFFSET(nombres[],0,0,ROWS(nombres[]),1))-ROW(OFFSET(nombres[],0,0,1,1))+1,ROW(OFFSET(nombres[],ROWS(nombres[])-1,0,1,1))+1),$O1554:$O1573),3),"")</f>
        <v/>
      </c>
      <c r="SV1554" s="42" t="str">
        <f t="array" aca="1" ref="SV1554" ca="1">IFERROR(INDEX(nombres[],SMALL(IF(OFFSET(nombres[],0,0,ROWS(nombres[]),1)=SV$1490,ROW(OFFSET(nombres[],0,0,ROWS(nombres[]),1))-ROW(OFFSET(nombres[],0,0,1,1))+1,ROW(OFFSET(nombres[],ROWS(nombres[])-1,0,1,1))+1),$O1554:$O1573),3),"")</f>
        <v/>
      </c>
      <c r="SW1554" s="42" t="str">
        <f t="array" aca="1" ref="SW1554" ca="1">IFERROR(INDEX(nombres[],SMALL(IF(OFFSET(nombres[],0,0,ROWS(nombres[]),1)=SW$1490,ROW(OFFSET(nombres[],0,0,ROWS(nombres[]),1))-ROW(OFFSET(nombres[],0,0,1,1))+1,ROW(OFFSET(nombres[],ROWS(nombres[])-1,0,1,1))+1),$O1554:$O1573),3),"")</f>
        <v/>
      </c>
      <c r="SX1554" s="42" t="str">
        <f t="array" aca="1" ref="SX1554" ca="1">IFERROR(INDEX(nombres[],SMALL(IF(OFFSET(nombres[],0,0,ROWS(nombres[]),1)=SX$1490,ROW(OFFSET(nombres[],0,0,ROWS(nombres[]),1))-ROW(OFFSET(nombres[],0,0,1,1))+1,ROW(OFFSET(nombres[],ROWS(nombres[])-1,0,1,1))+1),$O1554:$O1573),3),"")</f>
        <v/>
      </c>
      <c r="SY1554" s="42" t="str">
        <f t="array" aca="1" ref="SY1554" ca="1">IFERROR(INDEX(nombres[],SMALL(IF(OFFSET(nombres[],0,0,ROWS(nombres[]),1)=SY$1490,ROW(OFFSET(nombres[],0,0,ROWS(nombres[]),1))-ROW(OFFSET(nombres[],0,0,1,1))+1,ROW(OFFSET(nombres[],ROWS(nombres[])-1,0,1,1))+1),$O1554:$O1573),3),"")</f>
        <v/>
      </c>
      <c r="SZ1554" s="42" t="str">
        <f t="array" aca="1" ref="SZ1554" ca="1">IFERROR(INDEX(nombres[],SMALL(IF(OFFSET(nombres[],0,0,ROWS(nombres[]),1)=SZ$1490,ROW(OFFSET(nombres[],0,0,ROWS(nombres[]),1))-ROW(OFFSET(nombres[],0,0,1,1))+1,ROW(OFFSET(nombres[],ROWS(nombres[])-1,0,1,1))+1),$O1554:$O1573),3),"")</f>
        <v/>
      </c>
      <c r="TA1554" s="42" t="str">
        <f t="array" aca="1" ref="TA1554" ca="1">IFERROR(INDEX(nombres[],SMALL(IF(OFFSET(nombres[],0,0,ROWS(nombres[]),1)=TA$1490,ROW(OFFSET(nombres[],0,0,ROWS(nombres[]),1))-ROW(OFFSET(nombres[],0,0,1,1))+1,ROW(OFFSET(nombres[],ROWS(nombres[])-1,0,1,1))+1),$O1554:$O1573),3),"")</f>
        <v/>
      </c>
      <c r="TB1554" s="42" t="str">
        <f t="array" aca="1" ref="TB1554" ca="1">IFERROR(INDEX(nombres[],SMALL(IF(OFFSET(nombres[],0,0,ROWS(nombres[]),1)=TB$1490,ROW(OFFSET(nombres[],0,0,ROWS(nombres[]),1))-ROW(OFFSET(nombres[],0,0,1,1))+1,ROW(OFFSET(nombres[],ROWS(nombres[])-1,0,1,1))+1),$O1554:$O1573),3),"")</f>
        <v/>
      </c>
      <c r="TC1554" s="42" t="str">
        <f t="array" aca="1" ref="TC1554" ca="1">IFERROR(INDEX(nombres[],SMALL(IF(OFFSET(nombres[],0,0,ROWS(nombres[]),1)=TC$1490,ROW(OFFSET(nombres[],0,0,ROWS(nombres[]),1))-ROW(OFFSET(nombres[],0,0,1,1))+1,ROW(OFFSET(nombres[],ROWS(nombres[])-1,0,1,1))+1),$O1554:$O1573),3),"")</f>
        <v/>
      </c>
      <c r="TD1554" s="42" t="str">
        <f t="array" aca="1" ref="TD1554" ca="1">IFERROR(INDEX(nombres[],SMALL(IF(OFFSET(nombres[],0,0,ROWS(nombres[]),1)=TD$1490,ROW(OFFSET(nombres[],0,0,ROWS(nombres[]),1))-ROW(OFFSET(nombres[],0,0,1,1))+1,ROW(OFFSET(nombres[],ROWS(nombres[])-1,0,1,1))+1),$O1554:$O1573),3),"")</f>
        <v/>
      </c>
      <c r="TE1554" s="42" t="str">
        <f t="array" aca="1" ref="TE1554" ca="1">IFERROR(INDEX(nombres[],SMALL(IF(OFFSET(nombres[],0,0,ROWS(nombres[]),1)=TE$1490,ROW(OFFSET(nombres[],0,0,ROWS(nombres[]),1))-ROW(OFFSET(nombres[],0,0,1,1))+1,ROW(OFFSET(nombres[],ROWS(nombres[])-1,0,1,1))+1),$O1554:$O1573),3),"")</f>
        <v/>
      </c>
      <c r="TF1554" s="42" t="str">
        <f t="array" aca="1" ref="TF1554" ca="1">IFERROR(INDEX(nombres[],SMALL(IF(OFFSET(nombres[],0,0,ROWS(nombres[]),1)=TF$1490,ROW(OFFSET(nombres[],0,0,ROWS(nombres[]),1))-ROW(OFFSET(nombres[],0,0,1,1))+1,ROW(OFFSET(nombres[],ROWS(nombres[])-1,0,1,1))+1),$O1554:$O1573),3),"")</f>
        <v/>
      </c>
      <c r="TG1554" s="42" t="str">
        <f t="array" aca="1" ref="TG1554" ca="1">IFERROR(INDEX(nombres[],SMALL(IF(OFFSET(nombres[],0,0,ROWS(nombres[]),1)=TG$1490,ROW(OFFSET(nombres[],0,0,ROWS(nombres[]),1))-ROW(OFFSET(nombres[],0,0,1,1))+1,ROW(OFFSET(nombres[],ROWS(nombres[])-1,0,1,1))+1),$O1554:$O1573),3),"")</f>
        <v/>
      </c>
      <c r="TH1554" s="42" t="str">
        <f t="array" aca="1" ref="TH1554" ca="1">IFERROR(INDEX(nombres[],SMALL(IF(OFFSET(nombres[],0,0,ROWS(nombres[]),1)=TH$1490,ROW(OFFSET(nombres[],0,0,ROWS(nombres[]),1))-ROW(OFFSET(nombres[],0,0,1,1))+1,ROW(OFFSET(nombres[],ROWS(nombres[])-1,0,1,1))+1),$O1554:$O1573),3),"")</f>
        <v/>
      </c>
      <c r="TI1554" s="42" t="str">
        <f t="array" aca="1" ref="TI1554" ca="1">IFERROR(INDEX(nombres[],SMALL(IF(OFFSET(nombres[],0,0,ROWS(nombres[]),1)=TI$1490,ROW(OFFSET(nombres[],0,0,ROWS(nombres[]),1))-ROW(OFFSET(nombres[],0,0,1,1))+1,ROW(OFFSET(nombres[],ROWS(nombres[])-1,0,1,1))+1),$O1554:$O1573),3),"")</f>
        <v/>
      </c>
      <c r="TJ1554" s="42" t="str">
        <f t="array" aca="1" ref="TJ1554" ca="1">IFERROR(INDEX(nombres[],SMALL(IF(OFFSET(nombres[],0,0,ROWS(nombres[]),1)=TJ$1490,ROW(OFFSET(nombres[],0,0,ROWS(nombres[]),1))-ROW(OFFSET(nombres[],0,0,1,1))+1,ROW(OFFSET(nombres[],ROWS(nombres[])-1,0,1,1))+1),$O1554:$O1573),3),"")</f>
        <v/>
      </c>
      <c r="TK1554" s="42" t="str">
        <f t="array" aca="1" ref="TK1554" ca="1">IFERROR(INDEX(nombres[],SMALL(IF(OFFSET(nombres[],0,0,ROWS(nombres[]),1)=TK$1490,ROW(OFFSET(nombres[],0,0,ROWS(nombres[]),1))-ROW(OFFSET(nombres[],0,0,1,1))+1,ROW(OFFSET(nombres[],ROWS(nombres[])-1,0,1,1))+1),$O1554:$O1573),3),"")</f>
        <v/>
      </c>
      <c r="TL1554" s="42" t="str">
        <f t="array" aca="1" ref="TL1554" ca="1">IFERROR(INDEX(nombres[],SMALL(IF(OFFSET(nombres[],0,0,ROWS(nombres[]),1)=TL$1490,ROW(OFFSET(nombres[],0,0,ROWS(nombres[]),1))-ROW(OFFSET(nombres[],0,0,1,1))+1,ROW(OFFSET(nombres[],ROWS(nombres[])-1,0,1,1))+1),$O1554:$O1573),3),"")</f>
        <v/>
      </c>
      <c r="TM1554" s="42" t="str">
        <f t="array" aca="1" ref="TM1554" ca="1">IFERROR(INDEX(nombres[],SMALL(IF(OFFSET(nombres[],0,0,ROWS(nombres[]),1)=TM$1490,ROW(OFFSET(nombres[],0,0,ROWS(nombres[]),1))-ROW(OFFSET(nombres[],0,0,1,1))+1,ROW(OFFSET(nombres[],ROWS(nombres[])-1,0,1,1))+1),$O1554:$O1573),3),"")</f>
        <v/>
      </c>
      <c r="TN1554" s="42" t="str">
        <f t="array" aca="1" ref="TN1554" ca="1">IFERROR(INDEX(nombres[],SMALL(IF(OFFSET(nombres[],0,0,ROWS(nombres[]),1)=TN$1490,ROW(OFFSET(nombres[],0,0,ROWS(nombres[]),1))-ROW(OFFSET(nombres[],0,0,1,1))+1,ROW(OFFSET(nombres[],ROWS(nombres[])-1,0,1,1))+1),$O1554:$O1573),3),"")</f>
        <v/>
      </c>
      <c r="TO1554" s="42" t="str">
        <f t="array" aca="1" ref="TO1554" ca="1">IFERROR(INDEX(nombres[],SMALL(IF(OFFSET(nombres[],0,0,ROWS(nombres[]),1)=TO$1490,ROW(OFFSET(nombres[],0,0,ROWS(nombres[]),1))-ROW(OFFSET(nombres[],0,0,1,1))+1,ROW(OFFSET(nombres[],ROWS(nombres[])-1,0,1,1))+1),$O1554:$O1573),3),"")</f>
        <v/>
      </c>
      <c r="TP1554" s="42" t="str">
        <f t="array" aca="1" ref="TP1554" ca="1">IFERROR(INDEX(nombres[],SMALL(IF(OFFSET(nombres[],0,0,ROWS(nombres[]),1)=TP$1490,ROW(OFFSET(nombres[],0,0,ROWS(nombres[]),1))-ROW(OFFSET(nombres[],0,0,1,1))+1,ROW(OFFSET(nombres[],ROWS(nombres[])-1,0,1,1))+1),$O1554:$O1573),3),"")</f>
        <v/>
      </c>
      <c r="TQ1554" s="42" t="str">
        <f t="array" aca="1" ref="TQ1554" ca="1">IFERROR(INDEX(nombres[],SMALL(IF(OFFSET(nombres[],0,0,ROWS(nombres[]),1)=TQ$1490,ROW(OFFSET(nombres[],0,0,ROWS(nombres[]),1))-ROW(OFFSET(nombres[],0,0,1,1))+1,ROW(OFFSET(nombres[],ROWS(nombres[])-1,0,1,1))+1),$O1554:$O1573),3),"")</f>
        <v/>
      </c>
      <c r="TR1554" s="42" t="str">
        <f t="array" aca="1" ref="TR1554" ca="1">IFERROR(INDEX(nombres[],SMALL(IF(OFFSET(nombres[],0,0,ROWS(nombres[]),1)=TR$1490,ROW(OFFSET(nombres[],0,0,ROWS(nombres[]),1))-ROW(OFFSET(nombres[],0,0,1,1))+1,ROW(OFFSET(nombres[],ROWS(nombres[])-1,0,1,1))+1),$O1554:$O1573),3),"")</f>
        <v/>
      </c>
      <c r="TS1554" s="42" t="str">
        <f t="array" aca="1" ref="TS1554" ca="1">IFERROR(INDEX(nombres[],SMALL(IF(OFFSET(nombres[],0,0,ROWS(nombres[]),1)=TS$1490,ROW(OFFSET(nombres[],0,0,ROWS(nombres[]),1))-ROW(OFFSET(nombres[],0,0,1,1))+1,ROW(OFFSET(nombres[],ROWS(nombres[])-1,0,1,1))+1),$O1554:$O1573),3),"")</f>
        <v/>
      </c>
      <c r="TT1554" s="42" t="str">
        <f t="array" aca="1" ref="TT1554" ca="1">IFERROR(INDEX(nombres[],SMALL(IF(OFFSET(nombres[],0,0,ROWS(nombres[]),1)=TT$1490,ROW(OFFSET(nombres[],0,0,ROWS(nombres[]),1))-ROW(OFFSET(nombres[],0,0,1,1))+1,ROW(OFFSET(nombres[],ROWS(nombres[])-1,0,1,1))+1),$O1554:$O1573),3),"")</f>
        <v/>
      </c>
      <c r="TU1554" s="42" t="str">
        <f t="array" aca="1" ref="TU1554" ca="1">IFERROR(INDEX(nombres[],SMALL(IF(OFFSET(nombres[],0,0,ROWS(nombres[]),1)=TU$1490,ROW(OFFSET(nombres[],0,0,ROWS(nombres[]),1))-ROW(OFFSET(nombres[],0,0,1,1))+1,ROW(OFFSET(nombres[],ROWS(nombres[])-1,0,1,1))+1),$O1554:$O1573),3),"")</f>
        <v/>
      </c>
      <c r="TV1554" s="42" t="str">
        <f t="array" aca="1" ref="TV1554" ca="1">IFERROR(INDEX(nombres[],SMALL(IF(OFFSET(nombres[],0,0,ROWS(nombres[]),1)=TV$1490,ROW(OFFSET(nombres[],0,0,ROWS(nombres[]),1))-ROW(OFFSET(nombres[],0,0,1,1))+1,ROW(OFFSET(nombres[],ROWS(nombres[])-1,0,1,1))+1),$O1554:$O1573),3),"")</f>
        <v/>
      </c>
      <c r="TW1554" s="42" t="str">
        <f t="array" aca="1" ref="TW1554" ca="1">IFERROR(INDEX(nombres[],SMALL(IF(OFFSET(nombres[],0,0,ROWS(nombres[]),1)=TW$1490,ROW(OFFSET(nombres[],0,0,ROWS(nombres[]),1))-ROW(OFFSET(nombres[],0,0,1,1))+1,ROW(OFFSET(nombres[],ROWS(nombres[])-1,0,1,1))+1),$O1554:$O1573),3),"")</f>
        <v/>
      </c>
      <c r="TX1554" s="42" t="str">
        <f t="array" aca="1" ref="TX1554" ca="1">IFERROR(INDEX(nombres[],SMALL(IF(OFFSET(nombres[],0,0,ROWS(nombres[]),1)=TX$1490,ROW(OFFSET(nombres[],0,0,ROWS(nombres[]),1))-ROW(OFFSET(nombres[],0,0,1,1))+1,ROW(OFFSET(nombres[],ROWS(nombres[])-1,0,1,1))+1),$O1554:$O1573),3),"")</f>
        <v/>
      </c>
      <c r="TY1554" s="42" t="str">
        <f t="array" aca="1" ref="TY1554" ca="1">IFERROR(INDEX(nombres[],SMALL(IF(OFFSET(nombres[],0,0,ROWS(nombres[]),1)=TY$1490,ROW(OFFSET(nombres[],0,0,ROWS(nombres[]),1))-ROW(OFFSET(nombres[],0,0,1,1))+1,ROW(OFFSET(nombres[],ROWS(nombres[])-1,0,1,1))+1),$O1554:$O1573),3),"")</f>
        <v/>
      </c>
      <c r="TZ1554" s="42" t="str">
        <f t="array" aca="1" ref="TZ1554" ca="1">IFERROR(INDEX(nombres[],SMALL(IF(OFFSET(nombres[],0,0,ROWS(nombres[]),1)=TZ$1490,ROW(OFFSET(nombres[],0,0,ROWS(nombres[]),1))-ROW(OFFSET(nombres[],0,0,1,1))+1,ROW(OFFSET(nombres[],ROWS(nombres[])-1,0,1,1))+1),$O1554:$O1573),3),"")</f>
        <v/>
      </c>
      <c r="UA1554" s="42" t="str">
        <f t="array" aca="1" ref="UA1554" ca="1">IFERROR(INDEX(nombres[],SMALL(IF(OFFSET(nombres[],0,0,ROWS(nombres[]),1)=UA$1490,ROW(OFFSET(nombres[],0,0,ROWS(nombres[]),1))-ROW(OFFSET(nombres[],0,0,1,1))+1,ROW(OFFSET(nombres[],ROWS(nombres[])-1,0,1,1))+1),$O1554:$O1573),3),"")</f>
        <v/>
      </c>
      <c r="UB1554" s="42" t="str">
        <f t="array" aca="1" ref="UB1554" ca="1">IFERROR(INDEX(nombres[],SMALL(IF(OFFSET(nombres[],0,0,ROWS(nombres[]),1)=UB$1490,ROW(OFFSET(nombres[],0,0,ROWS(nombres[]),1))-ROW(OFFSET(nombres[],0,0,1,1))+1,ROW(OFFSET(nombres[],ROWS(nombres[])-1,0,1,1))+1),$O1554:$O1573),3),"")</f>
        <v/>
      </c>
      <c r="UC1554" s="42" t="str">
        <f t="array" aca="1" ref="UC1554" ca="1">IFERROR(INDEX(nombres[],SMALL(IF(OFFSET(nombres[],0,0,ROWS(nombres[]),1)=UC$1490,ROW(OFFSET(nombres[],0,0,ROWS(nombres[]),1))-ROW(OFFSET(nombres[],0,0,1,1))+1,ROW(OFFSET(nombres[],ROWS(nombres[])-1,0,1,1))+1),$O1554:$O1573),3),"")</f>
        <v/>
      </c>
      <c r="UD1554" s="42" t="str">
        <f t="array" aca="1" ref="UD1554" ca="1">IFERROR(INDEX(nombres[],SMALL(IF(OFFSET(nombres[],0,0,ROWS(nombres[]),1)=UD$1490,ROW(OFFSET(nombres[],0,0,ROWS(nombres[]),1))-ROW(OFFSET(nombres[],0,0,1,1))+1,ROW(OFFSET(nombres[],ROWS(nombres[])-1,0,1,1))+1),$O1554:$O1573),3),"")</f>
        <v/>
      </c>
      <c r="UE1554" s="42" t="str">
        <f t="array" aca="1" ref="UE1554" ca="1">IFERROR(INDEX(nombres[],SMALL(IF(OFFSET(nombres[],0,0,ROWS(nombres[]),1)=UE$1490,ROW(OFFSET(nombres[],0,0,ROWS(nombres[]),1))-ROW(OFFSET(nombres[],0,0,1,1))+1,ROW(OFFSET(nombres[],ROWS(nombres[])-1,0,1,1))+1),$O1554:$O1573),3),"")</f>
        <v/>
      </c>
      <c r="UF1554" s="42" t="str">
        <f t="array" aca="1" ref="UF1554" ca="1">IFERROR(INDEX(nombres[],SMALL(IF(OFFSET(nombres[],0,0,ROWS(nombres[]),1)=UF$1490,ROW(OFFSET(nombres[],0,0,ROWS(nombres[]),1))-ROW(OFFSET(nombres[],0,0,1,1))+1,ROW(OFFSET(nombres[],ROWS(nombres[])-1,0,1,1))+1),$O1554:$O1573),3),"")</f>
        <v/>
      </c>
      <c r="UG1554" s="42" t="str">
        <f t="array" aca="1" ref="UG1554" ca="1">IFERROR(INDEX(nombres[],SMALL(IF(OFFSET(nombres[],0,0,ROWS(nombres[]),1)=UG$1490,ROW(OFFSET(nombres[],0,0,ROWS(nombres[]),1))-ROW(OFFSET(nombres[],0,0,1,1))+1,ROW(OFFSET(nombres[],ROWS(nombres[])-1,0,1,1))+1),$O1554:$O1573),3),"")</f>
        <v/>
      </c>
      <c r="UH1554" s="42" t="str">
        <f t="array" aca="1" ref="UH1554" ca="1">IFERROR(INDEX(nombres[],SMALL(IF(OFFSET(nombres[],0,0,ROWS(nombres[]),1)=UH$1490,ROW(OFFSET(nombres[],0,0,ROWS(nombres[]),1))-ROW(OFFSET(nombres[],0,0,1,1))+1,ROW(OFFSET(nombres[],ROWS(nombres[])-1,0,1,1))+1),$O1554:$O1573),3),"")</f>
        <v/>
      </c>
      <c r="UI1554" s="42" t="str">
        <f t="array" aca="1" ref="UI1554" ca="1">IFERROR(INDEX(nombres[],SMALL(IF(OFFSET(nombres[],0,0,ROWS(nombres[]),1)=UI$1490,ROW(OFFSET(nombres[],0,0,ROWS(nombres[]),1))-ROW(OFFSET(nombres[],0,0,1,1))+1,ROW(OFFSET(nombres[],ROWS(nombres[])-1,0,1,1))+1),$O1554:$O1573),3),"")</f>
        <v/>
      </c>
      <c r="UJ1554" s="42" t="str">
        <f t="array" aca="1" ref="UJ1554" ca="1">IFERROR(INDEX(nombres[],SMALL(IF(OFFSET(nombres[],0,0,ROWS(nombres[]),1)=UJ$1490,ROW(OFFSET(nombres[],0,0,ROWS(nombres[]),1))-ROW(OFFSET(nombres[],0,0,1,1))+1,ROW(OFFSET(nombres[],ROWS(nombres[])-1,0,1,1))+1),$O1554:$O1573),3),"")</f>
        <v/>
      </c>
      <c r="UK1554" s="42" t="str">
        <f t="array" aca="1" ref="UK1554" ca="1">IFERROR(INDEX(nombres[],SMALL(IF(OFFSET(nombres[],0,0,ROWS(nombres[]),1)=UK$1490,ROW(OFFSET(nombres[],0,0,ROWS(nombres[]),1))-ROW(OFFSET(nombres[],0,0,1,1))+1,ROW(OFFSET(nombres[],ROWS(nombres[])-1,0,1,1))+1),$O1554:$O1573),3),"")</f>
        <v/>
      </c>
      <c r="UL1554" s="42" t="str">
        <f t="array" aca="1" ref="UL1554" ca="1">IFERROR(INDEX(nombres[],SMALL(IF(OFFSET(nombres[],0,0,ROWS(nombres[]),1)=UL$1490,ROW(OFFSET(nombres[],0,0,ROWS(nombres[]),1))-ROW(OFFSET(nombres[],0,0,1,1))+1,ROW(OFFSET(nombres[],ROWS(nombres[])-1,0,1,1))+1),$O1554:$O1573),3),"")</f>
        <v/>
      </c>
      <c r="UM1554" s="42" t="str">
        <f t="array" aca="1" ref="UM1554" ca="1">IFERROR(INDEX(nombres[],SMALL(IF(OFFSET(nombres[],0,0,ROWS(nombres[]),1)=UM$1490,ROW(OFFSET(nombres[],0,0,ROWS(nombres[]),1))-ROW(OFFSET(nombres[],0,0,1,1))+1,ROW(OFFSET(nombres[],ROWS(nombres[])-1,0,1,1))+1),$O1554:$O1573),3),"")</f>
        <v/>
      </c>
      <c r="UN1554" s="42" t="str">
        <f t="array" aca="1" ref="UN1554" ca="1">IFERROR(INDEX(nombres[],SMALL(IF(OFFSET(nombres[],0,0,ROWS(nombres[]),1)=UN$1490,ROW(OFFSET(nombres[],0,0,ROWS(nombres[]),1))-ROW(OFFSET(nombres[],0,0,1,1))+1,ROW(OFFSET(nombres[],ROWS(nombres[])-1,0,1,1))+1),$O1554:$O1573),3),"")</f>
        <v/>
      </c>
      <c r="UO1554" s="42" t="str">
        <f t="array" aca="1" ref="UO1554" ca="1">IFERROR(INDEX(nombres[],SMALL(IF(OFFSET(nombres[],0,0,ROWS(nombres[]),1)=UO$1490,ROW(OFFSET(nombres[],0,0,ROWS(nombres[]),1))-ROW(OFFSET(nombres[],0,0,1,1))+1,ROW(OFFSET(nombres[],ROWS(nombres[])-1,0,1,1))+1),$O1554:$O1573),3),"")</f>
        <v/>
      </c>
      <c r="UP1554" s="42" t="str">
        <f t="array" aca="1" ref="UP1554" ca="1">IFERROR(INDEX(nombres[],SMALL(IF(OFFSET(nombres[],0,0,ROWS(nombres[]),1)=UP$1490,ROW(OFFSET(nombres[],0,0,ROWS(nombres[]),1))-ROW(OFFSET(nombres[],0,0,1,1))+1,ROW(OFFSET(nombres[],ROWS(nombres[])-1,0,1,1))+1),$O1554:$O1573),3),"")</f>
        <v/>
      </c>
      <c r="UQ1554" s="42" t="str">
        <f t="array" aca="1" ref="UQ1554" ca="1">IFERROR(INDEX(nombres[],SMALL(IF(OFFSET(nombres[],0,0,ROWS(nombres[]),1)=UQ$1490,ROW(OFFSET(nombres[],0,0,ROWS(nombres[]),1))-ROW(OFFSET(nombres[],0,0,1,1))+1,ROW(OFFSET(nombres[],ROWS(nombres[])-1,0,1,1))+1),$O1554:$O1573),3),"")</f>
        <v/>
      </c>
      <c r="UR1554" s="42" t="str">
        <f t="array" aca="1" ref="UR1554" ca="1">IFERROR(INDEX(nombres[],SMALL(IF(OFFSET(nombres[],0,0,ROWS(nombres[]),1)=UR$1490,ROW(OFFSET(nombres[],0,0,ROWS(nombres[]),1))-ROW(OFFSET(nombres[],0,0,1,1))+1,ROW(OFFSET(nombres[],ROWS(nombres[])-1,0,1,1))+1),$O1554:$O1573),3),"")</f>
        <v/>
      </c>
      <c r="US1554" s="42" t="str">
        <f t="array" aca="1" ref="US1554" ca="1">IFERROR(INDEX(nombres[],SMALL(IF(OFFSET(nombres[],0,0,ROWS(nombres[]),1)=US$1490,ROW(OFFSET(nombres[],0,0,ROWS(nombres[]),1))-ROW(OFFSET(nombres[],0,0,1,1))+1,ROW(OFFSET(nombres[],ROWS(nombres[])-1,0,1,1))+1),$O1554:$O1573),3),"")</f>
        <v/>
      </c>
      <c r="UT1554" s="42" t="str">
        <f t="array" aca="1" ref="UT1554" ca="1">IFERROR(INDEX(nombres[],SMALL(IF(OFFSET(nombres[],0,0,ROWS(nombres[]),1)=UT$1490,ROW(OFFSET(nombres[],0,0,ROWS(nombres[]),1))-ROW(OFFSET(nombres[],0,0,1,1))+1,ROW(OFFSET(nombres[],ROWS(nombres[])-1,0,1,1))+1),$O1554:$O1573),3),"")</f>
        <v/>
      </c>
      <c r="UU1554" s="42" t="str">
        <f t="array" aca="1" ref="UU1554" ca="1">IFERROR(INDEX(nombres[],SMALL(IF(OFFSET(nombres[],0,0,ROWS(nombres[]),1)=UU$1490,ROW(OFFSET(nombres[],0,0,ROWS(nombres[]),1))-ROW(OFFSET(nombres[],0,0,1,1))+1,ROW(OFFSET(nombres[],ROWS(nombres[])-1,0,1,1))+1),$O1554:$O1573),3),"")</f>
        <v/>
      </c>
      <c r="UV1554" s="42" t="str">
        <f t="array" aca="1" ref="UV1554" ca="1">IFERROR(INDEX(nombres[],SMALL(IF(OFFSET(nombres[],0,0,ROWS(nombres[]),1)=UV$1490,ROW(OFFSET(nombres[],0,0,ROWS(nombres[]),1))-ROW(OFFSET(nombres[],0,0,1,1))+1,ROW(OFFSET(nombres[],ROWS(nombres[])-1,0,1,1))+1),$O1554:$O1573),3),"")</f>
        <v/>
      </c>
      <c r="UW1554" s="42" t="str">
        <f t="array" aca="1" ref="UW1554" ca="1">IFERROR(INDEX(nombres[],SMALL(IF(OFFSET(nombres[],0,0,ROWS(nombres[]),1)=UW$1490,ROW(OFFSET(nombres[],0,0,ROWS(nombres[]),1))-ROW(OFFSET(nombres[],0,0,1,1))+1,ROW(OFFSET(nombres[],ROWS(nombres[])-1,0,1,1))+1),$O1554:$O1573),3),"")</f>
        <v/>
      </c>
      <c r="UX1554" s="42" t="str">
        <f t="array" aca="1" ref="UX1554" ca="1">IFERROR(INDEX(nombres[],SMALL(IF(OFFSET(nombres[],0,0,ROWS(nombres[]),1)=UX$1490,ROW(OFFSET(nombres[],0,0,ROWS(nombres[]),1))-ROW(OFFSET(nombres[],0,0,1,1))+1,ROW(OFFSET(nombres[],ROWS(nombres[])-1,0,1,1))+1),$O1554:$O1573),3),"")</f>
        <v/>
      </c>
      <c r="UY1554" s="42" t="str">
        <f t="array" aca="1" ref="UY1554" ca="1">IFERROR(INDEX(nombres[],SMALL(IF(OFFSET(nombres[],0,0,ROWS(nombres[]),1)=UY$1490,ROW(OFFSET(nombres[],0,0,ROWS(nombres[]),1))-ROW(OFFSET(nombres[],0,0,1,1))+1,ROW(OFFSET(nombres[],ROWS(nombres[])-1,0,1,1))+1),$O1554:$O1573),3),"")</f>
        <v/>
      </c>
      <c r="UZ1554" s="42" t="str">
        <f t="array" aca="1" ref="UZ1554" ca="1">IFERROR(INDEX(nombres[],SMALL(IF(OFFSET(nombres[],0,0,ROWS(nombres[]),1)=UZ$1490,ROW(OFFSET(nombres[],0,0,ROWS(nombres[]),1))-ROW(OFFSET(nombres[],0,0,1,1))+1,ROW(OFFSET(nombres[],ROWS(nombres[])-1,0,1,1))+1),$O1554:$O1573),3),"")</f>
        <v/>
      </c>
      <c r="VA1554" s="42" t="str">
        <f t="array" aca="1" ref="VA1554" ca="1">IFERROR(INDEX(nombres[],SMALL(IF(OFFSET(nombres[],0,0,ROWS(nombres[]),1)=VA$1490,ROW(OFFSET(nombres[],0,0,ROWS(nombres[]),1))-ROW(OFFSET(nombres[],0,0,1,1))+1,ROW(OFFSET(nombres[],ROWS(nombres[])-1,0,1,1))+1),$O1554:$O1573),3),"")</f>
        <v/>
      </c>
      <c r="VB1554" s="42" t="str">
        <f t="array" aca="1" ref="VB1554" ca="1">IFERROR(INDEX(nombres[],SMALL(IF(OFFSET(nombres[],0,0,ROWS(nombres[]),1)=VB$1490,ROW(OFFSET(nombres[],0,0,ROWS(nombres[]),1))-ROW(OFFSET(nombres[],0,0,1,1))+1,ROW(OFFSET(nombres[],ROWS(nombres[])-1,0,1,1))+1),$O1554:$O1573),3),"")</f>
        <v/>
      </c>
      <c r="VC1554" s="42" t="str">
        <f t="array" aca="1" ref="VC1554" ca="1">IFERROR(INDEX(nombres[],SMALL(IF(OFFSET(nombres[],0,0,ROWS(nombres[]),1)=VC$1490,ROW(OFFSET(nombres[],0,0,ROWS(nombres[]),1))-ROW(OFFSET(nombres[],0,0,1,1))+1,ROW(OFFSET(nombres[],ROWS(nombres[])-1,0,1,1))+1),$O1554:$O1573),3),"")</f>
        <v/>
      </c>
      <c r="VD1554" s="42" t="str">
        <f t="array" aca="1" ref="VD1554" ca="1">IFERROR(INDEX(nombres[],SMALL(IF(OFFSET(nombres[],0,0,ROWS(nombres[]),1)=VD$1490,ROW(OFFSET(nombres[],0,0,ROWS(nombres[]),1))-ROW(OFFSET(nombres[],0,0,1,1))+1,ROW(OFFSET(nombres[],ROWS(nombres[])-1,0,1,1))+1),$O1554:$O1573),3),"")</f>
        <v/>
      </c>
      <c r="VE1554" s="42" t="str">
        <f t="array" aca="1" ref="VE1554" ca="1">IFERROR(INDEX(nombres[],SMALL(IF(OFFSET(nombres[],0,0,ROWS(nombres[]),1)=VE$1490,ROW(OFFSET(nombres[],0,0,ROWS(nombres[]),1))-ROW(OFFSET(nombres[],0,0,1,1))+1,ROW(OFFSET(nombres[],ROWS(nombres[])-1,0,1,1))+1),$O1554:$O1573),3),"")</f>
        <v/>
      </c>
      <c r="VF1554" s="42" t="str">
        <f t="array" aca="1" ref="VF1554" ca="1">IFERROR(INDEX(nombres[],SMALL(IF(OFFSET(nombres[],0,0,ROWS(nombres[]),1)=VF$1490,ROW(OFFSET(nombres[],0,0,ROWS(nombres[]),1))-ROW(OFFSET(nombres[],0,0,1,1))+1,ROW(OFFSET(nombres[],ROWS(nombres[])-1,0,1,1))+1),$O1554:$O1573),3),"")</f>
        <v/>
      </c>
      <c r="VG1554" s="42" t="str">
        <f t="array" aca="1" ref="VG1554" ca="1">IFERROR(INDEX(nombres[],SMALL(IF(OFFSET(nombres[],0,0,ROWS(nombres[]),1)=VG$1490,ROW(OFFSET(nombres[],0,0,ROWS(nombres[]),1))-ROW(OFFSET(nombres[],0,0,1,1))+1,ROW(OFFSET(nombres[],ROWS(nombres[])-1,0,1,1))+1),$O1554:$O1573),3),"")</f>
        <v/>
      </c>
      <c r="VH1554" s="42" t="str">
        <f t="array" aca="1" ref="VH1554" ca="1">IFERROR(INDEX(nombres[],SMALL(IF(OFFSET(nombres[],0,0,ROWS(nombres[]),1)=VH$1490,ROW(OFFSET(nombres[],0,0,ROWS(nombres[]),1))-ROW(OFFSET(nombres[],0,0,1,1))+1,ROW(OFFSET(nombres[],ROWS(nombres[])-1,0,1,1))+1),$O1554:$O1573),3),"")</f>
        <v/>
      </c>
      <c r="VI1554" s="42" t="str">
        <f t="array" aca="1" ref="VI1554" ca="1">IFERROR(INDEX(nombres[],SMALL(IF(OFFSET(nombres[],0,0,ROWS(nombres[]),1)=VI$1490,ROW(OFFSET(nombres[],0,0,ROWS(nombres[]),1))-ROW(OFFSET(nombres[],0,0,1,1))+1,ROW(OFFSET(nombres[],ROWS(nombres[])-1,0,1,1))+1),$O1554:$O1573),3),"")</f>
        <v/>
      </c>
      <c r="VJ1554" s="42" t="str">
        <f t="array" aca="1" ref="VJ1554" ca="1">IFERROR(INDEX(nombres[],SMALL(IF(OFFSET(nombres[],0,0,ROWS(nombres[]),1)=VJ$1490,ROW(OFFSET(nombres[],0,0,ROWS(nombres[]),1))-ROW(OFFSET(nombres[],0,0,1,1))+1,ROW(OFFSET(nombres[],ROWS(nombres[])-1,0,1,1))+1),$O1554:$O1573),3),"")</f>
        <v/>
      </c>
      <c r="VK1554" s="42" t="str">
        <f t="array" aca="1" ref="VK1554" ca="1">IFERROR(INDEX(nombres[],SMALL(IF(OFFSET(nombres[],0,0,ROWS(nombres[]),1)=VK$1490,ROW(OFFSET(nombres[],0,0,ROWS(nombres[]),1))-ROW(OFFSET(nombres[],0,0,1,1))+1,ROW(OFFSET(nombres[],ROWS(nombres[])-1,0,1,1))+1),$O1554:$O1573),3),"")</f>
        <v/>
      </c>
      <c r="VL1554" s="42" t="str">
        <f t="array" aca="1" ref="VL1554" ca="1">IFERROR(INDEX(nombres[],SMALL(IF(OFFSET(nombres[],0,0,ROWS(nombres[]),1)=VL$1490,ROW(OFFSET(nombres[],0,0,ROWS(nombres[]),1))-ROW(OFFSET(nombres[],0,0,1,1))+1,ROW(OFFSET(nombres[],ROWS(nombres[])-1,0,1,1))+1),$O1554:$O1573),3),"")</f>
        <v/>
      </c>
      <c r="VM1554" s="42" t="str">
        <f t="array" aca="1" ref="VM1554" ca="1">IFERROR(INDEX(nombres[],SMALL(IF(OFFSET(nombres[],0,0,ROWS(nombres[]),1)=VM$1490,ROW(OFFSET(nombres[],0,0,ROWS(nombres[]),1))-ROW(OFFSET(nombres[],0,0,1,1))+1,ROW(OFFSET(nombres[],ROWS(nombres[])-1,0,1,1))+1),$O1554:$O1573),3),"")</f>
        <v/>
      </c>
      <c r="VN1554" s="42" t="str">
        <f t="array" aca="1" ref="VN1554" ca="1">IFERROR(INDEX(nombres[],SMALL(IF(OFFSET(nombres[],0,0,ROWS(nombres[]),1)=VN$1490,ROW(OFFSET(nombres[],0,0,ROWS(nombres[]),1))-ROW(OFFSET(nombres[],0,0,1,1))+1,ROW(OFFSET(nombres[],ROWS(nombres[])-1,0,1,1))+1),$O1554:$O1573),3),"")</f>
        <v/>
      </c>
      <c r="VO1554" s="42" t="str">
        <f t="array" aca="1" ref="VO1554" ca="1">IFERROR(INDEX(nombres[],SMALL(IF(OFFSET(nombres[],0,0,ROWS(nombres[]),1)=VO$1490,ROW(OFFSET(nombres[],0,0,ROWS(nombres[]),1))-ROW(OFFSET(nombres[],0,0,1,1))+1,ROW(OFFSET(nombres[],ROWS(nombres[])-1,0,1,1))+1),$O1554:$O1573),3),"")</f>
        <v/>
      </c>
      <c r="VP1554" s="42" t="str">
        <f t="array" aca="1" ref="VP1554" ca="1">IFERROR(INDEX(nombres[],SMALL(IF(OFFSET(nombres[],0,0,ROWS(nombres[]),1)=VP$1490,ROW(OFFSET(nombres[],0,0,ROWS(nombres[]),1))-ROW(OFFSET(nombres[],0,0,1,1))+1,ROW(OFFSET(nombres[],ROWS(nombres[])-1,0,1,1))+1),$O1554:$O1573),3),"")</f>
        <v/>
      </c>
      <c r="VQ1554" s="42" t="str">
        <f t="array" aca="1" ref="VQ1554" ca="1">IFERROR(INDEX(nombres[],SMALL(IF(OFFSET(nombres[],0,0,ROWS(nombres[]),1)=VQ$1490,ROW(OFFSET(nombres[],0,0,ROWS(nombres[]),1))-ROW(OFFSET(nombres[],0,0,1,1))+1,ROW(OFFSET(nombres[],ROWS(nombres[])-1,0,1,1))+1),$O1554:$O1573),3),"")</f>
        <v/>
      </c>
      <c r="VR1554" s="42" t="str">
        <f t="array" aca="1" ref="VR1554" ca="1">IFERROR(INDEX(nombres[],SMALL(IF(OFFSET(nombres[],0,0,ROWS(nombres[]),1)=VR$1490,ROW(OFFSET(nombres[],0,0,ROWS(nombres[]),1))-ROW(OFFSET(nombres[],0,0,1,1))+1,ROW(OFFSET(nombres[],ROWS(nombres[])-1,0,1,1))+1),$O1554:$O1573),3),"")</f>
        <v/>
      </c>
      <c r="VS1554" s="42" t="str">
        <f t="array" aca="1" ref="VS1554" ca="1">IFERROR(INDEX(nombres[],SMALL(IF(OFFSET(nombres[],0,0,ROWS(nombres[]),1)=VS$1490,ROW(OFFSET(nombres[],0,0,ROWS(nombres[]),1))-ROW(OFFSET(nombres[],0,0,1,1))+1,ROW(OFFSET(nombres[],ROWS(nombres[])-1,0,1,1))+1),$O1554:$O1573),3),"")</f>
        <v/>
      </c>
      <c r="VT1554" s="42" t="str">
        <f t="array" aca="1" ref="VT1554" ca="1">IFERROR(INDEX(nombres[],SMALL(IF(OFFSET(nombres[],0,0,ROWS(nombres[]),1)=VT$1490,ROW(OFFSET(nombres[],0,0,ROWS(nombres[]),1))-ROW(OFFSET(nombres[],0,0,1,1))+1,ROW(OFFSET(nombres[],ROWS(nombres[])-1,0,1,1))+1),$O1554:$O1573),3),"")</f>
        <v/>
      </c>
      <c r="VU1554" s="42" t="str">
        <f t="array" aca="1" ref="VU1554" ca="1">IFERROR(INDEX(nombres[],SMALL(IF(OFFSET(nombres[],0,0,ROWS(nombres[]),1)=VU$1490,ROW(OFFSET(nombres[],0,0,ROWS(nombres[]),1))-ROW(OFFSET(nombres[],0,0,1,1))+1,ROW(OFFSET(nombres[],ROWS(nombres[])-1,0,1,1))+1),$O1554:$O1573),3),"")</f>
        <v/>
      </c>
      <c r="VV1554" s="42" t="str">
        <f t="array" aca="1" ref="VV1554" ca="1">IFERROR(INDEX(nombres[],SMALL(IF(OFFSET(nombres[],0,0,ROWS(nombres[]),1)=VV$1490,ROW(OFFSET(nombres[],0,0,ROWS(nombres[]),1))-ROW(OFFSET(nombres[],0,0,1,1))+1,ROW(OFFSET(nombres[],ROWS(nombres[])-1,0,1,1))+1),$O1554:$O1573),3),"")</f>
        <v/>
      </c>
      <c r="VW1554" s="42" t="str">
        <f t="array" aca="1" ref="VW1554" ca="1">IFERROR(INDEX(nombres[],SMALL(IF(OFFSET(nombres[],0,0,ROWS(nombres[]),1)=VW$1490,ROW(OFFSET(nombres[],0,0,ROWS(nombres[]),1))-ROW(OFFSET(nombres[],0,0,1,1))+1,ROW(OFFSET(nombres[],ROWS(nombres[])-1,0,1,1))+1),$O1554:$O1573),3),"")</f>
        <v/>
      </c>
      <c r="VX1554" s="42" t="str">
        <f t="array" aca="1" ref="VX1554" ca="1">IFERROR(INDEX(nombres[],SMALL(IF(OFFSET(nombres[],0,0,ROWS(nombres[]),1)=VX$1490,ROW(OFFSET(nombres[],0,0,ROWS(nombres[]),1))-ROW(OFFSET(nombres[],0,0,1,1))+1,ROW(OFFSET(nombres[],ROWS(nombres[])-1,0,1,1))+1),$O1554:$O1573),3),"")</f>
        <v/>
      </c>
      <c r="VY1554" s="42" t="str">
        <f t="array" aca="1" ref="VY1554" ca="1">IFERROR(INDEX(nombres[],SMALL(IF(OFFSET(nombres[],0,0,ROWS(nombres[]),1)=VY$1490,ROW(OFFSET(nombres[],0,0,ROWS(nombres[]),1))-ROW(OFFSET(nombres[],0,0,1,1))+1,ROW(OFFSET(nombres[],ROWS(nombres[])-1,0,1,1))+1),$O1554:$O1573),3),"")</f>
        <v/>
      </c>
      <c r="VZ1554" s="42" t="str">
        <f t="array" aca="1" ref="VZ1554" ca="1">IFERROR(INDEX(nombres[],SMALL(IF(OFFSET(nombres[],0,0,ROWS(nombres[]),1)=VZ$1490,ROW(OFFSET(nombres[],0,0,ROWS(nombres[]),1))-ROW(OFFSET(nombres[],0,0,1,1))+1,ROW(OFFSET(nombres[],ROWS(nombres[])-1,0,1,1))+1),$O1554:$O1573),3),"")</f>
        <v/>
      </c>
      <c r="WA1554" s="42" t="str">
        <f t="array" aca="1" ref="WA1554" ca="1">IFERROR(INDEX(nombres[],SMALL(IF(OFFSET(nombres[],0,0,ROWS(nombres[]),1)=WA$1490,ROW(OFFSET(nombres[],0,0,ROWS(nombres[]),1))-ROW(OFFSET(nombres[],0,0,1,1))+1,ROW(OFFSET(nombres[],ROWS(nombres[])-1,0,1,1))+1),$O1554:$O1573),3),"")</f>
        <v/>
      </c>
      <c r="WB1554" s="42" t="str">
        <f t="array" aca="1" ref="WB1554" ca="1">IFERROR(INDEX(nombres[],SMALL(IF(OFFSET(nombres[],0,0,ROWS(nombres[]),1)=WB$1490,ROW(OFFSET(nombres[],0,0,ROWS(nombres[]),1))-ROW(OFFSET(nombres[],0,0,1,1))+1,ROW(OFFSET(nombres[],ROWS(nombres[])-1,0,1,1))+1),$O1554:$O1573),3),"")</f>
        <v/>
      </c>
      <c r="WC1554" s="42" t="str">
        <f t="array" aca="1" ref="WC1554" ca="1">IFERROR(INDEX(nombres[],SMALL(IF(OFFSET(nombres[],0,0,ROWS(nombres[]),1)=WC$1490,ROW(OFFSET(nombres[],0,0,ROWS(nombres[]),1))-ROW(OFFSET(nombres[],0,0,1,1))+1,ROW(OFFSET(nombres[],ROWS(nombres[])-1,0,1,1))+1),$O1554:$O1573),3),"")</f>
        <v/>
      </c>
      <c r="WD1554" s="42" t="str">
        <f t="array" aca="1" ref="WD1554" ca="1">IFERROR(INDEX(nombres[],SMALL(IF(OFFSET(nombres[],0,0,ROWS(nombres[]),1)=WD$1490,ROW(OFFSET(nombres[],0,0,ROWS(nombres[]),1))-ROW(OFFSET(nombres[],0,0,1,1))+1,ROW(OFFSET(nombres[],ROWS(nombres[])-1,0,1,1))+1),$O1554:$O1573),3),"")</f>
        <v/>
      </c>
      <c r="WE1554" s="42" t="str">
        <f t="array" aca="1" ref="WE1554" ca="1">IFERROR(INDEX(nombres[],SMALL(IF(OFFSET(nombres[],0,0,ROWS(nombres[]),1)=WE$1490,ROW(OFFSET(nombres[],0,0,ROWS(nombres[]),1))-ROW(OFFSET(nombres[],0,0,1,1))+1,ROW(OFFSET(nombres[],ROWS(nombres[])-1,0,1,1))+1),$O1554:$O1573),3),"")</f>
        <v/>
      </c>
      <c r="WF1554" s="42" t="str">
        <f t="array" aca="1" ref="WF1554" ca="1">IFERROR(INDEX(nombres[],SMALL(IF(OFFSET(nombres[],0,0,ROWS(nombres[]),1)=WF$1490,ROW(OFFSET(nombres[],0,0,ROWS(nombres[]),1))-ROW(OFFSET(nombres[],0,0,1,1))+1,ROW(OFFSET(nombres[],ROWS(nombres[])-1,0,1,1))+1),$O1554:$O1573),3),"")</f>
        <v/>
      </c>
      <c r="WG1554" s="42" t="str">
        <f t="array" aca="1" ref="WG1554" ca="1">IFERROR(INDEX(nombres[],SMALL(IF(OFFSET(nombres[],0,0,ROWS(nombres[]),1)=WG$1490,ROW(OFFSET(nombres[],0,0,ROWS(nombres[]),1))-ROW(OFFSET(nombres[],0,0,1,1))+1,ROW(OFFSET(nombres[],ROWS(nombres[])-1,0,1,1))+1),$O1554:$O1573),3),"")</f>
        <v/>
      </c>
      <c r="WH1554" s="42" t="str">
        <f t="array" aca="1" ref="WH1554" ca="1">IFERROR(INDEX(nombres[],SMALL(IF(OFFSET(nombres[],0,0,ROWS(nombres[]),1)=WH$1490,ROW(OFFSET(nombres[],0,0,ROWS(nombres[]),1))-ROW(OFFSET(nombres[],0,0,1,1))+1,ROW(OFFSET(nombres[],ROWS(nombres[])-1,0,1,1))+1),$O1554:$O1573),3),"")</f>
        <v/>
      </c>
      <c r="WI1554" s="42" t="str">
        <f t="array" aca="1" ref="WI1554" ca="1">IFERROR(INDEX(nombres[],SMALL(IF(OFFSET(nombres[],0,0,ROWS(nombres[]),1)=WI$1490,ROW(OFFSET(nombres[],0,0,ROWS(nombres[]),1))-ROW(OFFSET(nombres[],0,0,1,1))+1,ROW(OFFSET(nombres[],ROWS(nombres[])-1,0,1,1))+1),$O1554:$O1573),3),"")</f>
        <v/>
      </c>
      <c r="WJ1554" s="42" t="str">
        <f t="array" aca="1" ref="WJ1554" ca="1">IFERROR(INDEX(nombres[],SMALL(IF(OFFSET(nombres[],0,0,ROWS(nombres[]),1)=WJ$1490,ROW(OFFSET(nombres[],0,0,ROWS(nombres[]),1))-ROW(OFFSET(nombres[],0,0,1,1))+1,ROW(OFFSET(nombres[],ROWS(nombres[])-1,0,1,1))+1),$O1554:$O1573),3),"")</f>
        <v/>
      </c>
      <c r="WK1554" s="42" t="str">
        <f t="array" aca="1" ref="WK1554" ca="1">IFERROR(INDEX(nombres[],SMALL(IF(OFFSET(nombres[],0,0,ROWS(nombres[]),1)=WK$1490,ROW(OFFSET(nombres[],0,0,ROWS(nombres[]),1))-ROW(OFFSET(nombres[],0,0,1,1))+1,ROW(OFFSET(nombres[],ROWS(nombres[])-1,0,1,1))+1),$O1554:$O1573),3),"")</f>
        <v/>
      </c>
      <c r="WL1554" s="42" t="str">
        <f t="array" aca="1" ref="WL1554" ca="1">IFERROR(INDEX(nombres[],SMALL(IF(OFFSET(nombres[],0,0,ROWS(nombres[]),1)=WL$1490,ROW(OFFSET(nombres[],0,0,ROWS(nombres[]),1))-ROW(OFFSET(nombres[],0,0,1,1))+1,ROW(OFFSET(nombres[],ROWS(nombres[])-1,0,1,1))+1),$O1554:$O1573),3),"")</f>
        <v/>
      </c>
      <c r="WM1554" s="42" t="str">
        <f t="array" aca="1" ref="WM1554" ca="1">IFERROR(INDEX(nombres[],SMALL(IF(OFFSET(nombres[],0,0,ROWS(nombres[]),1)=WM$1490,ROW(OFFSET(nombres[],0,0,ROWS(nombres[]),1))-ROW(OFFSET(nombres[],0,0,1,1))+1,ROW(OFFSET(nombres[],ROWS(nombres[])-1,0,1,1))+1),$O1554:$O1573),3),"")</f>
        <v/>
      </c>
      <c r="WN1554" s="42" t="str">
        <f t="array" aca="1" ref="WN1554" ca="1">IFERROR(INDEX(nombres[],SMALL(IF(OFFSET(nombres[],0,0,ROWS(nombres[]),1)=WN$1490,ROW(OFFSET(nombres[],0,0,ROWS(nombres[]),1))-ROW(OFFSET(nombres[],0,0,1,1))+1,ROW(OFFSET(nombres[],ROWS(nombres[])-1,0,1,1))+1),$O1554:$O1573),3),"")</f>
        <v/>
      </c>
      <c r="WO1554" s="42" t="str">
        <f t="array" aca="1" ref="WO1554" ca="1">IFERROR(INDEX(nombres[],SMALL(IF(OFFSET(nombres[],0,0,ROWS(nombres[]),1)=WO$1490,ROW(OFFSET(nombres[],0,0,ROWS(nombres[]),1))-ROW(OFFSET(nombres[],0,0,1,1))+1,ROW(OFFSET(nombres[],ROWS(nombres[])-1,0,1,1))+1),$O1554:$O1573),3),"")</f>
        <v/>
      </c>
      <c r="WP1554" s="42" t="str">
        <f t="array" aca="1" ref="WP1554" ca="1">IFERROR(INDEX(nombres[],SMALL(IF(OFFSET(nombres[],0,0,ROWS(nombres[]),1)=WP$1490,ROW(OFFSET(nombres[],0,0,ROWS(nombres[]),1))-ROW(OFFSET(nombres[],0,0,1,1))+1,ROW(OFFSET(nombres[],ROWS(nombres[])-1,0,1,1))+1),$O1554:$O1573),3),"")</f>
        <v/>
      </c>
      <c r="WQ1554" s="42" t="str">
        <f t="array" aca="1" ref="WQ1554" ca="1">IFERROR(INDEX(nombres[],SMALL(IF(OFFSET(nombres[],0,0,ROWS(nombres[]),1)=WQ$1490,ROW(OFFSET(nombres[],0,0,ROWS(nombres[]),1))-ROW(OFFSET(nombres[],0,0,1,1))+1,ROW(OFFSET(nombres[],ROWS(nombres[])-1,0,1,1))+1),$O1554:$O1573),3),"")</f>
        <v/>
      </c>
      <c r="WR1554" s="42" t="str">
        <f t="array" aca="1" ref="WR1554" ca="1">IFERROR(INDEX(nombres[],SMALL(IF(OFFSET(nombres[],0,0,ROWS(nombres[]),1)=WR$1490,ROW(OFFSET(nombres[],0,0,ROWS(nombres[]),1))-ROW(OFFSET(nombres[],0,0,1,1))+1,ROW(OFFSET(nombres[],ROWS(nombres[])-1,0,1,1))+1),$O1554:$O1573),3),"")</f>
        <v/>
      </c>
      <c r="WS1554" s="42" t="str">
        <f t="array" aca="1" ref="WS1554" ca="1">IFERROR(INDEX(nombres[],SMALL(IF(OFFSET(nombres[],0,0,ROWS(nombres[]),1)=WS$1490,ROW(OFFSET(nombres[],0,0,ROWS(nombres[]),1))-ROW(OFFSET(nombres[],0,0,1,1))+1,ROW(OFFSET(nombres[],ROWS(nombres[])-1,0,1,1))+1),$O1554:$O1573),3),"")</f>
        <v/>
      </c>
      <c r="WT1554" s="42" t="str">
        <f t="array" aca="1" ref="WT1554" ca="1">IFERROR(INDEX(nombres[],SMALL(IF(OFFSET(nombres[],0,0,ROWS(nombres[]),1)=WT$1490,ROW(OFFSET(nombres[],0,0,ROWS(nombres[]),1))-ROW(OFFSET(nombres[],0,0,1,1))+1,ROW(OFFSET(nombres[],ROWS(nombres[])-1,0,1,1))+1),$O1554:$O1573),3),"")</f>
        <v/>
      </c>
      <c r="WU1554" s="42" t="str">
        <f t="array" aca="1" ref="WU1554" ca="1">IFERROR(INDEX(nombres[],SMALL(IF(OFFSET(nombres[],0,0,ROWS(nombres[]),1)=WU$1490,ROW(OFFSET(nombres[],0,0,ROWS(nombres[]),1))-ROW(OFFSET(nombres[],0,0,1,1))+1,ROW(OFFSET(nombres[],ROWS(nombres[])-1,0,1,1))+1),$O1554:$O1573),3),"")</f>
        <v/>
      </c>
      <c r="WV1554" s="42" t="str">
        <f t="array" aca="1" ref="WV1554" ca="1">IFERROR(INDEX(nombres[],SMALL(IF(OFFSET(nombres[],0,0,ROWS(nombres[]),1)=WV$1490,ROW(OFFSET(nombres[],0,0,ROWS(nombres[]),1))-ROW(OFFSET(nombres[],0,0,1,1))+1,ROW(OFFSET(nombres[],ROWS(nombres[])-1,0,1,1))+1),$O1554:$O1573),3),"")</f>
        <v/>
      </c>
      <c r="WW1554" s="42" t="str">
        <f t="array" aca="1" ref="WW1554" ca="1">IFERROR(INDEX(nombres[],SMALL(IF(OFFSET(nombres[],0,0,ROWS(nombres[]),1)=WW$1490,ROW(OFFSET(nombres[],0,0,ROWS(nombres[]),1))-ROW(OFFSET(nombres[],0,0,1,1))+1,ROW(OFFSET(nombres[],ROWS(nombres[])-1,0,1,1))+1),$O1554:$O1573),3),"")</f>
        <v/>
      </c>
      <c r="WX1554" s="42" t="str">
        <f t="array" aca="1" ref="WX1554" ca="1">IFERROR(INDEX(nombres[],SMALL(IF(OFFSET(nombres[],0,0,ROWS(nombres[]),1)=WX$1490,ROW(OFFSET(nombres[],0,0,ROWS(nombres[]),1))-ROW(OFFSET(nombres[],0,0,1,1))+1,ROW(OFFSET(nombres[],ROWS(nombres[])-1,0,1,1))+1),$O1554:$O1573),3),"")</f>
        <v/>
      </c>
      <c r="WY1554" s="42" t="str">
        <f t="array" aca="1" ref="WY1554" ca="1">IFERROR(INDEX(nombres[],SMALL(IF(OFFSET(nombres[],0,0,ROWS(nombres[]),1)=WY$1490,ROW(OFFSET(nombres[],0,0,ROWS(nombres[]),1))-ROW(OFFSET(nombres[],0,0,1,1))+1,ROW(OFFSET(nombres[],ROWS(nombres[])-1,0,1,1))+1),$O1554:$O1573),3),"")</f>
        <v/>
      </c>
      <c r="WZ1554" s="42" t="str">
        <f t="array" aca="1" ref="WZ1554" ca="1">IFERROR(INDEX(nombres[],SMALL(IF(OFFSET(nombres[],0,0,ROWS(nombres[]),1)=WZ$1490,ROW(OFFSET(nombres[],0,0,ROWS(nombres[]),1))-ROW(OFFSET(nombres[],0,0,1,1))+1,ROW(OFFSET(nombres[],ROWS(nombres[])-1,0,1,1))+1),$O1554:$O1573),3),"")</f>
        <v/>
      </c>
      <c r="XA1554" s="42" t="str">
        <f t="array" aca="1" ref="XA1554" ca="1">IFERROR(INDEX(nombres[],SMALL(IF(OFFSET(nombres[],0,0,ROWS(nombres[]),1)=XA$1490,ROW(OFFSET(nombres[],0,0,ROWS(nombres[]),1))-ROW(OFFSET(nombres[],0,0,1,1))+1,ROW(OFFSET(nombres[],ROWS(nombres[])-1,0,1,1))+1),$O1554:$O1573),3),"")</f>
        <v/>
      </c>
      <c r="XB1554" s="42" t="str">
        <f t="array" aca="1" ref="XB1554" ca="1">IFERROR(INDEX(nombres[],SMALL(IF(OFFSET(nombres[],0,0,ROWS(nombres[]),1)=XB$1490,ROW(OFFSET(nombres[],0,0,ROWS(nombres[]),1))-ROW(OFFSET(nombres[],0,0,1,1))+1,ROW(OFFSET(nombres[],ROWS(nombres[])-1,0,1,1))+1),$O1554:$O1573),3),"")</f>
        <v/>
      </c>
      <c r="XC1554" s="42" t="str">
        <f t="array" aca="1" ref="XC1554" ca="1">IFERROR(INDEX(nombres[],SMALL(IF(OFFSET(nombres[],0,0,ROWS(nombres[]),1)=XC$1490,ROW(OFFSET(nombres[],0,0,ROWS(nombres[]),1))-ROW(OFFSET(nombres[],0,0,1,1))+1,ROW(OFFSET(nombres[],ROWS(nombres[])-1,0,1,1))+1),$O1554:$O1573),3),"")</f>
        <v/>
      </c>
      <c r="XD1554" s="42" t="str">
        <f t="array" aca="1" ref="XD1554" ca="1">IFERROR(INDEX(nombres[],SMALL(IF(OFFSET(nombres[],0,0,ROWS(nombres[]),1)=XD$1490,ROW(OFFSET(nombres[],0,0,ROWS(nombres[]),1))-ROW(OFFSET(nombres[],0,0,1,1))+1,ROW(OFFSET(nombres[],ROWS(nombres[])-1,0,1,1))+1),$O1554:$O1573),3),"")</f>
        <v/>
      </c>
      <c r="XE1554" s="42" t="str">
        <f t="array" aca="1" ref="XE1554" ca="1">IFERROR(INDEX(nombres[],SMALL(IF(OFFSET(nombres[],0,0,ROWS(nombres[]),1)=XE$1490,ROW(OFFSET(nombres[],0,0,ROWS(nombres[]),1))-ROW(OFFSET(nombres[],0,0,1,1))+1,ROW(OFFSET(nombres[],ROWS(nombres[])-1,0,1,1))+1),$O1554:$O1573),3),"")</f>
        <v/>
      </c>
      <c r="XF1554" s="42" t="str">
        <f t="array" aca="1" ref="XF1554" ca="1">IFERROR(INDEX(nombres[],SMALL(IF(OFFSET(nombres[],0,0,ROWS(nombres[]),1)=XF$1490,ROW(OFFSET(nombres[],0,0,ROWS(nombres[]),1))-ROW(OFFSET(nombres[],0,0,1,1))+1,ROW(OFFSET(nombres[],ROWS(nombres[])-1,0,1,1))+1),$O1554:$O1573),3),"")</f>
        <v/>
      </c>
      <c r="XG1554" s="42" t="str">
        <f t="array" aca="1" ref="XG1554" ca="1">IFERROR(INDEX(nombres[],SMALL(IF(OFFSET(nombres[],0,0,ROWS(nombres[]),1)=XG$1490,ROW(OFFSET(nombres[],0,0,ROWS(nombres[]),1))-ROW(OFFSET(nombres[],0,0,1,1))+1,ROW(OFFSET(nombres[],ROWS(nombres[])-1,0,1,1))+1),$O1554:$O1573),3),"")</f>
        <v/>
      </c>
      <c r="XH1554" s="42" t="str">
        <f t="array" aca="1" ref="XH1554" ca="1">IFERROR(INDEX(nombres[],SMALL(IF(OFFSET(nombres[],0,0,ROWS(nombres[]),1)=XH$1490,ROW(OFFSET(nombres[],0,0,ROWS(nombres[]),1))-ROW(OFFSET(nombres[],0,0,1,1))+1,ROW(OFFSET(nombres[],ROWS(nombres[])-1,0,1,1))+1),$O1554:$O1573),3),"")</f>
        <v/>
      </c>
      <c r="XI1554" s="42" t="str">
        <f t="array" aca="1" ref="XI1554" ca="1">IFERROR(INDEX(nombres[],SMALL(IF(OFFSET(nombres[],0,0,ROWS(nombres[]),1)=XI$1490,ROW(OFFSET(nombres[],0,0,ROWS(nombres[]),1))-ROW(OFFSET(nombres[],0,0,1,1))+1,ROW(OFFSET(nombres[],ROWS(nombres[])-1,0,1,1))+1),$O1554:$O1573),3),"")</f>
        <v/>
      </c>
      <c r="XJ1554" s="42" t="str">
        <f t="array" aca="1" ref="XJ1554" ca="1">IFERROR(INDEX(nombres[],SMALL(IF(OFFSET(nombres[],0,0,ROWS(nombres[]),1)=XJ$1490,ROW(OFFSET(nombres[],0,0,ROWS(nombres[]),1))-ROW(OFFSET(nombres[],0,0,1,1))+1,ROW(OFFSET(nombres[],ROWS(nombres[])-1,0,1,1))+1),$O1554:$O1573),3),"")</f>
        <v/>
      </c>
      <c r="XK1554" s="42" t="str">
        <f t="array" aca="1" ref="XK1554" ca="1">IFERROR(INDEX(nombres[],SMALL(IF(OFFSET(nombres[],0,0,ROWS(nombres[]),1)=XK$1490,ROW(OFFSET(nombres[],0,0,ROWS(nombres[]),1))-ROW(OFFSET(nombres[],0,0,1,1))+1,ROW(OFFSET(nombres[],ROWS(nombres[])-1,0,1,1))+1),$O1554:$O1573),3),"")</f>
        <v/>
      </c>
      <c r="XL1554" s="42" t="str">
        <f t="array" aca="1" ref="XL1554" ca="1">IFERROR(INDEX(nombres[],SMALL(IF(OFFSET(nombres[],0,0,ROWS(nombres[]),1)=XL$1490,ROW(OFFSET(nombres[],0,0,ROWS(nombres[]),1))-ROW(OFFSET(nombres[],0,0,1,1))+1,ROW(OFFSET(nombres[],ROWS(nombres[])-1,0,1,1))+1),$O1554:$O1573),3),"")</f>
        <v/>
      </c>
      <c r="XM1554" s="42" t="str">
        <f t="array" aca="1" ref="XM1554" ca="1">IFERROR(INDEX(nombres[],SMALL(IF(OFFSET(nombres[],0,0,ROWS(nombres[]),1)=XM$1490,ROW(OFFSET(nombres[],0,0,ROWS(nombres[]),1))-ROW(OFFSET(nombres[],0,0,1,1))+1,ROW(OFFSET(nombres[],ROWS(nombres[])-1,0,1,1))+1),$O1554:$O1573),3),"")</f>
        <v/>
      </c>
      <c r="XN1554" s="42" t="str">
        <f t="array" aca="1" ref="XN1554" ca="1">IFERROR(INDEX(nombres[],SMALL(IF(OFFSET(nombres[],0,0,ROWS(nombres[]),1)=XN$1490,ROW(OFFSET(nombres[],0,0,ROWS(nombres[]),1))-ROW(OFFSET(nombres[],0,0,1,1))+1,ROW(OFFSET(nombres[],ROWS(nombres[])-1,0,1,1))+1),$O1554:$O1573),3),"")</f>
        <v/>
      </c>
      <c r="XO1554" s="42" t="str">
        <f t="array" aca="1" ref="XO1554" ca="1">IFERROR(INDEX(nombres[],SMALL(IF(OFFSET(nombres[],0,0,ROWS(nombres[]),1)=XO$1490,ROW(OFFSET(nombres[],0,0,ROWS(nombres[]),1))-ROW(OFFSET(nombres[],0,0,1,1))+1,ROW(OFFSET(nombres[],ROWS(nombres[])-1,0,1,1))+1),$O1554:$O1573),3),"")</f>
        <v/>
      </c>
      <c r="XP1554" s="42" t="str">
        <f t="array" aca="1" ref="XP1554" ca="1">IFERROR(INDEX(nombres[],SMALL(IF(OFFSET(nombres[],0,0,ROWS(nombres[]),1)=XP$1490,ROW(OFFSET(nombres[],0,0,ROWS(nombres[]),1))-ROW(OFFSET(nombres[],0,0,1,1))+1,ROW(OFFSET(nombres[],ROWS(nombres[])-1,0,1,1))+1),$O1554:$O1573),3),"")</f>
        <v/>
      </c>
      <c r="XQ1554" s="42" t="str">
        <f t="array" aca="1" ref="XQ1554" ca="1">IFERROR(INDEX(nombres[],SMALL(IF(OFFSET(nombres[],0,0,ROWS(nombres[]),1)=XQ$1490,ROW(OFFSET(nombres[],0,0,ROWS(nombres[]),1))-ROW(OFFSET(nombres[],0,0,1,1))+1,ROW(OFFSET(nombres[],ROWS(nombres[])-1,0,1,1))+1),$O1554:$O1573),3),"")</f>
        <v/>
      </c>
      <c r="XR1554" s="42" t="str">
        <f t="array" aca="1" ref="XR1554" ca="1">IFERROR(INDEX(nombres[],SMALL(IF(OFFSET(nombres[],0,0,ROWS(nombres[]),1)=XR$1490,ROW(OFFSET(nombres[],0,0,ROWS(nombres[]),1))-ROW(OFFSET(nombres[],0,0,1,1))+1,ROW(OFFSET(nombres[],ROWS(nombres[])-1,0,1,1))+1),$O1554:$O1573),3),"")</f>
        <v/>
      </c>
      <c r="XS1554" s="42" t="str">
        <f t="array" aca="1" ref="XS1554" ca="1">IFERROR(INDEX(nombres[],SMALL(IF(OFFSET(nombres[],0,0,ROWS(nombres[]),1)=XS$1490,ROW(OFFSET(nombres[],0,0,ROWS(nombres[]),1))-ROW(OFFSET(nombres[],0,0,1,1))+1,ROW(OFFSET(nombres[],ROWS(nombres[])-1,0,1,1))+1),$O1554:$O1573),3),"")</f>
        <v/>
      </c>
      <c r="XT1554" s="42" t="str">
        <f t="array" aca="1" ref="XT1554" ca="1">IFERROR(INDEX(nombres[],SMALL(IF(OFFSET(nombres[],0,0,ROWS(nombres[]),1)=XT$1490,ROW(OFFSET(nombres[],0,0,ROWS(nombres[]),1))-ROW(OFFSET(nombres[],0,0,1,1))+1,ROW(OFFSET(nombres[],ROWS(nombres[])-1,0,1,1))+1),$O1554:$O1573),3),"")</f>
        <v/>
      </c>
      <c r="XU1554" s="42" t="str">
        <f t="array" aca="1" ref="XU1554" ca="1">IFERROR(INDEX(nombres[],SMALL(IF(OFFSET(nombres[],0,0,ROWS(nombres[]),1)=XU$1490,ROW(OFFSET(nombres[],0,0,ROWS(nombres[]),1))-ROW(OFFSET(nombres[],0,0,1,1))+1,ROW(OFFSET(nombres[],ROWS(nombres[])-1,0,1,1))+1),$O1554:$O1573),3),"")</f>
        <v/>
      </c>
      <c r="XV1554" s="42" t="str">
        <f t="array" aca="1" ref="XV1554" ca="1">IFERROR(INDEX(nombres[],SMALL(IF(OFFSET(nombres[],0,0,ROWS(nombres[]),1)=XV$1490,ROW(OFFSET(nombres[],0,0,ROWS(nombres[]),1))-ROW(OFFSET(nombres[],0,0,1,1))+1,ROW(OFFSET(nombres[],ROWS(nombres[])-1,0,1,1))+1),$O1554:$O1573),3),"")</f>
        <v/>
      </c>
      <c r="XW1554" s="42" t="str">
        <f t="array" aca="1" ref="XW1554" ca="1">IFERROR(INDEX(nombres[],SMALL(IF(OFFSET(nombres[],0,0,ROWS(nombres[]),1)=XW$1490,ROW(OFFSET(nombres[],0,0,ROWS(nombres[]),1))-ROW(OFFSET(nombres[],0,0,1,1))+1,ROW(OFFSET(nombres[],ROWS(nombres[])-1,0,1,1))+1),$O1554:$O1573),3),"")</f>
        <v/>
      </c>
      <c r="XX1554" s="42" t="str">
        <f t="array" aca="1" ref="XX1554" ca="1">IFERROR(INDEX(nombres[],SMALL(IF(OFFSET(nombres[],0,0,ROWS(nombres[]),1)=XX$1490,ROW(OFFSET(nombres[],0,0,ROWS(nombres[]),1))-ROW(OFFSET(nombres[],0,0,1,1))+1,ROW(OFFSET(nombres[],ROWS(nombres[])-1,0,1,1))+1),$O1554:$O1573),3),"")</f>
        <v/>
      </c>
      <c r="XY1554" s="42" t="str">
        <f t="array" aca="1" ref="XY1554" ca="1">IFERROR(INDEX(nombres[],SMALL(IF(OFFSET(nombres[],0,0,ROWS(nombres[]),1)=XY$1490,ROW(OFFSET(nombres[],0,0,ROWS(nombres[]),1))-ROW(OFFSET(nombres[],0,0,1,1))+1,ROW(OFFSET(nombres[],ROWS(nombres[])-1,0,1,1))+1),$O1554:$O1573),3),"")</f>
        <v/>
      </c>
      <c r="XZ1554" s="42" t="str">
        <f t="array" aca="1" ref="XZ1554" ca="1">IFERROR(INDEX(nombres[],SMALL(IF(OFFSET(nombres[],0,0,ROWS(nombres[]),1)=XZ$1490,ROW(OFFSET(nombres[],0,0,ROWS(nombres[]),1))-ROW(OFFSET(nombres[],0,0,1,1))+1,ROW(OFFSET(nombres[],ROWS(nombres[])-1,0,1,1))+1),$O1554:$O1573),3),"")</f>
        <v/>
      </c>
      <c r="YA1554" s="42" t="str">
        <f t="array" aca="1" ref="YA1554" ca="1">IFERROR(INDEX(nombres[],SMALL(IF(OFFSET(nombres[],0,0,ROWS(nombres[]),1)=YA$1490,ROW(OFFSET(nombres[],0,0,ROWS(nombres[]),1))-ROW(OFFSET(nombres[],0,0,1,1))+1,ROW(OFFSET(nombres[],ROWS(nombres[])-1,0,1,1))+1),$O1554:$O1573),3),"")</f>
        <v/>
      </c>
      <c r="YB1554" s="42" t="str">
        <f t="array" aca="1" ref="YB1554" ca="1">IFERROR(INDEX(nombres[],SMALL(IF(OFFSET(nombres[],0,0,ROWS(nombres[]),1)=YB$1490,ROW(OFFSET(nombres[],0,0,ROWS(nombres[]),1))-ROW(OFFSET(nombres[],0,0,1,1))+1,ROW(OFFSET(nombres[],ROWS(nombres[])-1,0,1,1))+1),$O1554:$O1573),3),"")</f>
        <v/>
      </c>
      <c r="YC1554" s="42" t="str">
        <f t="array" aca="1" ref="YC1554" ca="1">IFERROR(INDEX(nombres[],SMALL(IF(OFFSET(nombres[],0,0,ROWS(nombres[]),1)=YC$1490,ROW(OFFSET(nombres[],0,0,ROWS(nombres[]),1))-ROW(OFFSET(nombres[],0,0,1,1))+1,ROW(OFFSET(nombres[],ROWS(nombres[])-1,0,1,1))+1),$O1554:$O1573),3),"")</f>
        <v/>
      </c>
      <c r="YD1554" s="42" t="str">
        <f t="array" aca="1" ref="YD1554" ca="1">IFERROR(INDEX(nombres[],SMALL(IF(OFFSET(nombres[],0,0,ROWS(nombres[]),1)=YD$1490,ROW(OFFSET(nombres[],0,0,ROWS(nombres[]),1))-ROW(OFFSET(nombres[],0,0,1,1))+1,ROW(OFFSET(nombres[],ROWS(nombres[])-1,0,1,1))+1),$O1554:$O1573),3),"")</f>
        <v/>
      </c>
      <c r="YE1554" s="42" t="str">
        <f t="array" aca="1" ref="YE1554" ca="1">IFERROR(INDEX(nombres[],SMALL(IF(OFFSET(nombres[],0,0,ROWS(nombres[]),1)=YE$1490,ROW(OFFSET(nombres[],0,0,ROWS(nombres[]),1))-ROW(OFFSET(nombres[],0,0,1,1))+1,ROW(OFFSET(nombres[],ROWS(nombres[])-1,0,1,1))+1),$O1554:$O1573),3),"")</f>
        <v/>
      </c>
      <c r="YF1554" s="42" t="str">
        <f t="array" aca="1" ref="YF1554" ca="1">IFERROR(INDEX(nombres[],SMALL(IF(OFFSET(nombres[],0,0,ROWS(nombres[]),1)=YF$1490,ROW(OFFSET(nombres[],0,0,ROWS(nombres[]),1))-ROW(OFFSET(nombres[],0,0,1,1))+1,ROW(OFFSET(nombres[],ROWS(nombres[])-1,0,1,1))+1),$O1554:$O1573),3),"")</f>
        <v/>
      </c>
      <c r="YG1554" s="42" t="str">
        <f t="array" aca="1" ref="YG1554" ca="1">IFERROR(INDEX(nombres[],SMALL(IF(OFFSET(nombres[],0,0,ROWS(nombres[]),1)=YG$1490,ROW(OFFSET(nombres[],0,0,ROWS(nombres[]),1))-ROW(OFFSET(nombres[],0,0,1,1))+1,ROW(OFFSET(nombres[],ROWS(nombres[])-1,0,1,1))+1),$O1554:$O1573),3),"")</f>
        <v/>
      </c>
      <c r="YH1554" s="42" t="str">
        <f t="array" aca="1" ref="YH1554" ca="1">IFERROR(INDEX(nombres[],SMALL(IF(OFFSET(nombres[],0,0,ROWS(nombres[]),1)=YH$1490,ROW(OFFSET(nombres[],0,0,ROWS(nombres[]),1))-ROW(OFFSET(nombres[],0,0,1,1))+1,ROW(OFFSET(nombres[],ROWS(nombres[])-1,0,1,1))+1),$O1554:$O1573),3),"")</f>
        <v/>
      </c>
      <c r="YI1554" s="42" t="str">
        <f t="array" aca="1" ref="YI1554" ca="1">IFERROR(INDEX(nombres[],SMALL(IF(OFFSET(nombres[],0,0,ROWS(nombres[]),1)=YI$1490,ROW(OFFSET(nombres[],0,0,ROWS(nombres[]),1))-ROW(OFFSET(nombres[],0,0,1,1))+1,ROW(OFFSET(nombres[],ROWS(nombres[])-1,0,1,1))+1),$O1554:$O1573),3),"")</f>
        <v/>
      </c>
      <c r="YJ1554" s="42" t="str">
        <f t="array" aca="1" ref="YJ1554" ca="1">IFERROR(INDEX(nombres[],SMALL(IF(OFFSET(nombres[],0,0,ROWS(nombres[]),1)=YJ$1490,ROW(OFFSET(nombres[],0,0,ROWS(nombres[]),1))-ROW(OFFSET(nombres[],0,0,1,1))+1,ROW(OFFSET(nombres[],ROWS(nombres[])-1,0,1,1))+1),$O1554:$O1573),3),"")</f>
        <v/>
      </c>
      <c r="YK1554" s="42" t="str">
        <f t="array" aca="1" ref="YK1554" ca="1">IFERROR(INDEX(nombres[],SMALL(IF(OFFSET(nombres[],0,0,ROWS(nombres[]),1)=YK$1490,ROW(OFFSET(nombres[],0,0,ROWS(nombres[]),1))-ROW(OFFSET(nombres[],0,0,1,1))+1,ROW(OFFSET(nombres[],ROWS(nombres[])-1,0,1,1))+1),$O1554:$O1573),3),"")</f>
        <v/>
      </c>
      <c r="YL1554" s="42" t="str">
        <f t="array" aca="1" ref="YL1554" ca="1">IFERROR(INDEX(nombres[],SMALL(IF(OFFSET(nombres[],0,0,ROWS(nombres[]),1)=YL$1490,ROW(OFFSET(nombres[],0,0,ROWS(nombres[]),1))-ROW(OFFSET(nombres[],0,0,1,1))+1,ROW(OFFSET(nombres[],ROWS(nombres[])-1,0,1,1))+1),$O1554:$O1573),3),"")</f>
        <v/>
      </c>
      <c r="YM1554" s="42" t="str">
        <f t="array" aca="1" ref="YM1554" ca="1">IFERROR(INDEX(nombres[],SMALL(IF(OFFSET(nombres[],0,0,ROWS(nombres[]),1)=YM$1490,ROW(OFFSET(nombres[],0,0,ROWS(nombres[]),1))-ROW(OFFSET(nombres[],0,0,1,1))+1,ROW(OFFSET(nombres[],ROWS(nombres[])-1,0,1,1))+1),$O1554:$O1573),3),"")</f>
        <v/>
      </c>
      <c r="YN1554" s="42" t="str">
        <f t="array" aca="1" ref="YN1554" ca="1">IFERROR(INDEX(nombres[],SMALL(IF(OFFSET(nombres[],0,0,ROWS(nombres[]),1)=YN$1490,ROW(OFFSET(nombres[],0,0,ROWS(nombres[]),1))-ROW(OFFSET(nombres[],0,0,1,1))+1,ROW(OFFSET(nombres[],ROWS(nombres[])-1,0,1,1))+1),$O1554:$O1573),3),"")</f>
        <v/>
      </c>
      <c r="YO1554" s="42" t="str">
        <f t="array" aca="1" ref="YO1554" ca="1">IFERROR(INDEX(nombres[],SMALL(IF(OFFSET(nombres[],0,0,ROWS(nombres[]),1)=YO$1490,ROW(OFFSET(nombres[],0,0,ROWS(nombres[]),1))-ROW(OFFSET(nombres[],0,0,1,1))+1,ROW(OFFSET(nombres[],ROWS(nombres[])-1,0,1,1))+1),$O1554:$O1573),3),"")</f>
        <v/>
      </c>
      <c r="YP1554" s="42" t="str">
        <f t="array" aca="1" ref="YP1554" ca="1">IFERROR(INDEX(nombres[],SMALL(IF(OFFSET(nombres[],0,0,ROWS(nombres[]),1)=YP$1490,ROW(OFFSET(nombres[],0,0,ROWS(nombres[]),1))-ROW(OFFSET(nombres[],0,0,1,1))+1,ROW(OFFSET(nombres[],ROWS(nombres[])-1,0,1,1))+1),$O1554:$O1573),3),"")</f>
        <v/>
      </c>
      <c r="YQ1554" s="42" t="str">
        <f t="array" aca="1" ref="YQ1554" ca="1">IFERROR(INDEX(nombres[],SMALL(IF(OFFSET(nombres[],0,0,ROWS(nombres[]),1)=YQ$1490,ROW(OFFSET(nombres[],0,0,ROWS(nombres[]),1))-ROW(OFFSET(nombres[],0,0,1,1))+1,ROW(OFFSET(nombres[],ROWS(nombres[])-1,0,1,1))+1),$O1554:$O1573),3),"")</f>
        <v/>
      </c>
      <c r="YR1554" s="42" t="str">
        <f t="array" aca="1" ref="YR1554" ca="1">IFERROR(INDEX(nombres[],SMALL(IF(OFFSET(nombres[],0,0,ROWS(nombres[]),1)=YR$1490,ROW(OFFSET(nombres[],0,0,ROWS(nombres[]),1))-ROW(OFFSET(nombres[],0,0,1,1))+1,ROW(OFFSET(nombres[],ROWS(nombres[])-1,0,1,1))+1),$O1554:$O1573),3),"")</f>
        <v/>
      </c>
      <c r="YS1554" s="42" t="str">
        <f t="array" aca="1" ref="YS1554" ca="1">IFERROR(INDEX(nombres[],SMALL(IF(OFFSET(nombres[],0,0,ROWS(nombres[]),1)=YS$1490,ROW(OFFSET(nombres[],0,0,ROWS(nombres[]),1))-ROW(OFFSET(nombres[],0,0,1,1))+1,ROW(OFFSET(nombres[],ROWS(nombres[])-1,0,1,1))+1),$O1554:$O1573),3),"")</f>
        <v/>
      </c>
      <c r="YT1554" s="42" t="str">
        <f t="array" aca="1" ref="YT1554" ca="1">IFERROR(INDEX(nombres[],SMALL(IF(OFFSET(nombres[],0,0,ROWS(nombres[]),1)=YT$1490,ROW(OFFSET(nombres[],0,0,ROWS(nombres[]),1))-ROW(OFFSET(nombres[],0,0,1,1))+1,ROW(OFFSET(nombres[],ROWS(nombres[])-1,0,1,1))+1),$O1554:$O1573),3),"")</f>
        <v/>
      </c>
      <c r="YU1554" s="42" t="str">
        <f t="array" aca="1" ref="YU1554" ca="1">IFERROR(INDEX(nombres[],SMALL(IF(OFFSET(nombres[],0,0,ROWS(nombres[]),1)=YU$1490,ROW(OFFSET(nombres[],0,0,ROWS(nombres[]),1))-ROW(OFFSET(nombres[],0,0,1,1))+1,ROW(OFFSET(nombres[],ROWS(nombres[])-1,0,1,1))+1),$O1554:$O1573),3),"")</f>
        <v/>
      </c>
      <c r="YV1554" s="42" t="str">
        <f t="array" aca="1" ref="YV1554" ca="1">IFERROR(INDEX(nombres[],SMALL(IF(OFFSET(nombres[],0,0,ROWS(nombres[]),1)=YV$1490,ROW(OFFSET(nombres[],0,0,ROWS(nombres[]),1))-ROW(OFFSET(nombres[],0,0,1,1))+1,ROW(OFFSET(nombres[],ROWS(nombres[])-1,0,1,1))+1),$O1554:$O1573),3),"")</f>
        <v/>
      </c>
      <c r="YW1554" s="42" t="str">
        <f t="array" aca="1" ref="YW1554" ca="1">IFERROR(INDEX(nombres[],SMALL(IF(OFFSET(nombres[],0,0,ROWS(nombres[]),1)=YW$1490,ROW(OFFSET(nombres[],0,0,ROWS(nombres[]),1))-ROW(OFFSET(nombres[],0,0,1,1))+1,ROW(OFFSET(nombres[],ROWS(nombres[])-1,0,1,1))+1),$O1554:$O1573),3),"")</f>
        <v/>
      </c>
      <c r="YX1554" s="42" t="str">
        <f t="array" aca="1" ref="YX1554" ca="1">IFERROR(INDEX(nombres[],SMALL(IF(OFFSET(nombres[],0,0,ROWS(nombres[]),1)=YX$1490,ROW(OFFSET(nombres[],0,0,ROWS(nombres[]),1))-ROW(OFFSET(nombres[],0,0,1,1))+1,ROW(OFFSET(nombres[],ROWS(nombres[])-1,0,1,1))+1),$O1554:$O1573),3),"")</f>
        <v/>
      </c>
      <c r="YY1554" s="42" t="str">
        <f t="array" aca="1" ref="YY1554" ca="1">IFERROR(INDEX(nombres[],SMALL(IF(OFFSET(nombres[],0,0,ROWS(nombres[]),1)=YY$1490,ROW(OFFSET(nombres[],0,0,ROWS(nombres[]),1))-ROW(OFFSET(nombres[],0,0,1,1))+1,ROW(OFFSET(nombres[],ROWS(nombres[])-1,0,1,1))+1),$O1554:$O1573),3),"")</f>
        <v/>
      </c>
      <c r="YZ1554" s="42" t="str">
        <f t="array" aca="1" ref="YZ1554" ca="1">IFERROR(INDEX(nombres[],SMALL(IF(OFFSET(nombres[],0,0,ROWS(nombres[]),1)=YZ$1490,ROW(OFFSET(nombres[],0,0,ROWS(nombres[]),1))-ROW(OFFSET(nombres[],0,0,1,1))+1,ROW(OFFSET(nombres[],ROWS(nombres[])-1,0,1,1))+1),$O1554:$O1573),3),"")</f>
        <v/>
      </c>
      <c r="ZA1554" s="42" t="str">
        <f t="array" aca="1" ref="ZA1554" ca="1">IFERROR(INDEX(nombres[],SMALL(IF(OFFSET(nombres[],0,0,ROWS(nombres[]),1)=ZA$1490,ROW(OFFSET(nombres[],0,0,ROWS(nombres[]),1))-ROW(OFFSET(nombres[],0,0,1,1))+1,ROW(OFFSET(nombres[],ROWS(nombres[])-1,0,1,1))+1),$O1554:$O1573),3),"")</f>
        <v/>
      </c>
      <c r="ZB1554" s="42" t="str">
        <f t="array" aca="1" ref="ZB1554" ca="1">IFERROR(INDEX(nombres[],SMALL(IF(OFFSET(nombres[],0,0,ROWS(nombres[]),1)=ZB$1490,ROW(OFFSET(nombres[],0,0,ROWS(nombres[]),1))-ROW(OFFSET(nombres[],0,0,1,1))+1,ROW(OFFSET(nombres[],ROWS(nombres[])-1,0,1,1))+1),$O1554:$O1573),3),"")</f>
        <v/>
      </c>
      <c r="ZC1554" s="42" t="str">
        <f t="array" aca="1" ref="ZC1554" ca="1">IFERROR(INDEX(nombres[],SMALL(IF(OFFSET(nombres[],0,0,ROWS(nombres[]),1)=ZC$1490,ROW(OFFSET(nombres[],0,0,ROWS(nombres[]),1))-ROW(OFFSET(nombres[],0,0,1,1))+1,ROW(OFFSET(nombres[],ROWS(nombres[])-1,0,1,1))+1),$O1554:$O1573),3),"")</f>
        <v/>
      </c>
      <c r="ZD1554" s="42" t="str">
        <f t="array" aca="1" ref="ZD1554" ca="1">IFERROR(INDEX(nombres[],SMALL(IF(OFFSET(nombres[],0,0,ROWS(nombres[]),1)=ZD$1490,ROW(OFFSET(nombres[],0,0,ROWS(nombres[]),1))-ROW(OFFSET(nombres[],0,0,1,1))+1,ROW(OFFSET(nombres[],ROWS(nombres[])-1,0,1,1))+1),$O1554:$O1573),3),"")</f>
        <v/>
      </c>
      <c r="ZE1554" s="42" t="str">
        <f t="array" aca="1" ref="ZE1554" ca="1">IFERROR(INDEX(nombres[],SMALL(IF(OFFSET(nombres[],0,0,ROWS(nombres[]),1)=ZE$1490,ROW(OFFSET(nombres[],0,0,ROWS(nombres[]),1))-ROW(OFFSET(nombres[],0,0,1,1))+1,ROW(OFFSET(nombres[],ROWS(nombres[])-1,0,1,1))+1),$O1554:$O1573),3),"")</f>
        <v/>
      </c>
      <c r="ZF1554" s="42" t="str">
        <f t="array" aca="1" ref="ZF1554" ca="1">IFERROR(INDEX(nombres[],SMALL(IF(OFFSET(nombres[],0,0,ROWS(nombres[]),1)=ZF$1490,ROW(OFFSET(nombres[],0,0,ROWS(nombres[]),1))-ROW(OFFSET(nombres[],0,0,1,1))+1,ROW(OFFSET(nombres[],ROWS(nombres[])-1,0,1,1))+1),$O1554:$O1573),3),"")</f>
        <v/>
      </c>
      <c r="ZG1554" s="42" t="str">
        <f t="array" aca="1" ref="ZG1554" ca="1">IFERROR(INDEX(nombres[],SMALL(IF(OFFSET(nombres[],0,0,ROWS(nombres[]),1)=ZG$1490,ROW(OFFSET(nombres[],0,0,ROWS(nombres[]),1))-ROW(OFFSET(nombres[],0,0,1,1))+1,ROW(OFFSET(nombres[],ROWS(nombres[])-1,0,1,1))+1),$O1554:$O1573),3),"")</f>
        <v/>
      </c>
      <c r="ZH1554" s="42" t="str">
        <f t="array" aca="1" ref="ZH1554" ca="1">IFERROR(INDEX(nombres[],SMALL(IF(OFFSET(nombres[],0,0,ROWS(nombres[]),1)=ZH$1490,ROW(OFFSET(nombres[],0,0,ROWS(nombres[]),1))-ROW(OFFSET(nombres[],0,0,1,1))+1,ROW(OFFSET(nombres[],ROWS(nombres[])-1,0,1,1))+1),$O1554:$O1573),3),"")</f>
        <v/>
      </c>
      <c r="ZI1554" s="42" t="str">
        <f t="array" aca="1" ref="ZI1554" ca="1">IFERROR(INDEX(nombres[],SMALL(IF(OFFSET(nombres[],0,0,ROWS(nombres[]),1)=ZI$1490,ROW(OFFSET(nombres[],0,0,ROWS(nombres[]),1))-ROW(OFFSET(nombres[],0,0,1,1))+1,ROW(OFFSET(nombres[],ROWS(nombres[])-1,0,1,1))+1),$O1554:$O1573),3),"")</f>
        <v/>
      </c>
      <c r="ZJ1554" s="42" t="str">
        <f t="array" aca="1" ref="ZJ1554" ca="1">IFERROR(INDEX(nombres[],SMALL(IF(OFFSET(nombres[],0,0,ROWS(nombres[]),1)=ZJ$1490,ROW(OFFSET(nombres[],0,0,ROWS(nombres[]),1))-ROW(OFFSET(nombres[],0,0,1,1))+1,ROW(OFFSET(nombres[],ROWS(nombres[])-1,0,1,1))+1),$O1554:$O1573),3),"")</f>
        <v/>
      </c>
      <c r="ZK1554" s="42" t="str">
        <f t="array" aca="1" ref="ZK1554" ca="1">IFERROR(INDEX(nombres[],SMALL(IF(OFFSET(nombres[],0,0,ROWS(nombres[]),1)=ZK$1490,ROW(OFFSET(nombres[],0,0,ROWS(nombres[]),1))-ROW(OFFSET(nombres[],0,0,1,1))+1,ROW(OFFSET(nombres[],ROWS(nombres[])-1,0,1,1))+1),$O1554:$O1573),3),"")</f>
        <v/>
      </c>
      <c r="ZL1554" s="42" t="str">
        <f t="array" aca="1" ref="ZL1554" ca="1">IFERROR(INDEX(nombres[],SMALL(IF(OFFSET(nombres[],0,0,ROWS(nombres[]),1)=ZL$1490,ROW(OFFSET(nombres[],0,0,ROWS(nombres[]),1))-ROW(OFFSET(nombres[],0,0,1,1))+1,ROW(OFFSET(nombres[],ROWS(nombres[])-1,0,1,1))+1),$O1554:$O1573),3),"")</f>
        <v/>
      </c>
      <c r="ZM1554" s="42" t="str">
        <f t="array" aca="1" ref="ZM1554" ca="1">IFERROR(INDEX(nombres[],SMALL(IF(OFFSET(nombres[],0,0,ROWS(nombres[]),1)=ZM$1490,ROW(OFFSET(nombres[],0,0,ROWS(nombres[]),1))-ROW(OFFSET(nombres[],0,0,1,1))+1,ROW(OFFSET(nombres[],ROWS(nombres[])-1,0,1,1))+1),$O1554:$O1573),3),"")</f>
        <v/>
      </c>
      <c r="ZN1554" s="42" t="str">
        <f t="array" aca="1" ref="ZN1554" ca="1">IFERROR(INDEX(nombres[],SMALL(IF(OFFSET(nombres[],0,0,ROWS(nombres[]),1)=ZN$1490,ROW(OFFSET(nombres[],0,0,ROWS(nombres[]),1))-ROW(OFFSET(nombres[],0,0,1,1))+1,ROW(OFFSET(nombres[],ROWS(nombres[])-1,0,1,1))+1),$O1554:$O1573),3),"")</f>
        <v/>
      </c>
      <c r="ZO1554" s="42" t="str">
        <f t="array" aca="1" ref="ZO1554" ca="1">IFERROR(INDEX(nombres[],SMALL(IF(OFFSET(nombres[],0,0,ROWS(nombres[]),1)=ZO$1490,ROW(OFFSET(nombres[],0,0,ROWS(nombres[]),1))-ROW(OFFSET(nombres[],0,0,1,1))+1,ROW(OFFSET(nombres[],ROWS(nombres[])-1,0,1,1))+1),$O1554:$O1573),3),"")</f>
        <v/>
      </c>
      <c r="ZP1554" s="42" t="str">
        <f t="array" aca="1" ref="ZP1554" ca="1">IFERROR(INDEX(nombres[],SMALL(IF(OFFSET(nombres[],0,0,ROWS(nombres[]),1)=ZP$1490,ROW(OFFSET(nombres[],0,0,ROWS(nombres[]),1))-ROW(OFFSET(nombres[],0,0,1,1))+1,ROW(OFFSET(nombres[],ROWS(nombres[])-1,0,1,1))+1),$O1554:$O1573),3),"")</f>
        <v/>
      </c>
      <c r="ZQ1554" s="42" t="str">
        <f t="array" aca="1" ref="ZQ1554" ca="1">IFERROR(INDEX(nombres[],SMALL(IF(OFFSET(nombres[],0,0,ROWS(nombres[]),1)=ZQ$1490,ROW(OFFSET(nombres[],0,0,ROWS(nombres[]),1))-ROW(OFFSET(nombres[],0,0,1,1))+1,ROW(OFFSET(nombres[],ROWS(nombres[])-1,0,1,1))+1),$O1554:$O1573),3),"")</f>
        <v/>
      </c>
      <c r="ZR1554" s="42" t="str">
        <f t="array" aca="1" ref="ZR1554" ca="1">IFERROR(INDEX(nombres[],SMALL(IF(OFFSET(nombres[],0,0,ROWS(nombres[]),1)=ZR$1490,ROW(OFFSET(nombres[],0,0,ROWS(nombres[]),1))-ROW(OFFSET(nombres[],0,0,1,1))+1,ROW(OFFSET(nombres[],ROWS(nombres[])-1,0,1,1))+1),$O1554:$O1573),3),"")</f>
        <v/>
      </c>
      <c r="ZS1554" s="42" t="str">
        <f t="array" aca="1" ref="ZS1554" ca="1">IFERROR(INDEX(nombres[],SMALL(IF(OFFSET(nombres[],0,0,ROWS(nombres[]),1)=ZS$1490,ROW(OFFSET(nombres[],0,0,ROWS(nombres[]),1))-ROW(OFFSET(nombres[],0,0,1,1))+1,ROW(OFFSET(nombres[],ROWS(nombres[])-1,0,1,1))+1),$O1554:$O1573),3),"")</f>
        <v/>
      </c>
      <c r="ZT1554" s="42" t="str">
        <f t="array" aca="1" ref="ZT1554" ca="1">IFERROR(INDEX(nombres[],SMALL(IF(OFFSET(nombres[],0,0,ROWS(nombres[]),1)=ZT$1490,ROW(OFFSET(nombres[],0,0,ROWS(nombres[]),1))-ROW(OFFSET(nombres[],0,0,1,1))+1,ROW(OFFSET(nombres[],ROWS(nombres[])-1,0,1,1))+1),$O1554:$O1573),3),"")</f>
        <v/>
      </c>
      <c r="ZU1554" s="42" t="str">
        <f t="array" aca="1" ref="ZU1554" ca="1">IFERROR(INDEX(nombres[],SMALL(IF(OFFSET(nombres[],0,0,ROWS(nombres[]),1)=ZU$1490,ROW(OFFSET(nombres[],0,0,ROWS(nombres[]),1))-ROW(OFFSET(nombres[],0,0,1,1))+1,ROW(OFFSET(nombres[],ROWS(nombres[])-1,0,1,1))+1),$O1554:$O1573),3),"")</f>
        <v/>
      </c>
      <c r="ZV1554" s="42" t="str">
        <f t="array" aca="1" ref="ZV1554" ca="1">IFERROR(INDEX(nombres[],SMALL(IF(OFFSET(nombres[],0,0,ROWS(nombres[]),1)=ZV$1490,ROW(OFFSET(nombres[],0,0,ROWS(nombres[]),1))-ROW(OFFSET(nombres[],0,0,1,1))+1,ROW(OFFSET(nombres[],ROWS(nombres[])-1,0,1,1))+1),$O1554:$O1573),3),"")</f>
        <v/>
      </c>
      <c r="ZW1554" s="42" t="str">
        <f t="array" aca="1" ref="ZW1554" ca="1">IFERROR(INDEX(nombres[],SMALL(IF(OFFSET(nombres[],0,0,ROWS(nombres[]),1)=ZW$1490,ROW(OFFSET(nombres[],0,0,ROWS(nombres[]),1))-ROW(OFFSET(nombres[],0,0,1,1))+1,ROW(OFFSET(nombres[],ROWS(nombres[])-1,0,1,1))+1),$O1554:$O1573),3),"")</f>
        <v/>
      </c>
      <c r="ZX1554" s="42" t="str">
        <f t="array" aca="1" ref="ZX1554" ca="1">IFERROR(INDEX(nombres[],SMALL(IF(OFFSET(nombres[],0,0,ROWS(nombres[]),1)=ZX$1490,ROW(OFFSET(nombres[],0,0,ROWS(nombres[]),1))-ROW(OFFSET(nombres[],0,0,1,1))+1,ROW(OFFSET(nombres[],ROWS(nombres[])-1,0,1,1))+1),$O1554:$O1573),3),"")</f>
        <v/>
      </c>
      <c r="ZY1554" s="42" t="str">
        <f t="array" aca="1" ref="ZY1554" ca="1">IFERROR(INDEX(nombres[],SMALL(IF(OFFSET(nombres[],0,0,ROWS(nombres[]),1)=ZY$1490,ROW(OFFSET(nombres[],0,0,ROWS(nombres[]),1))-ROW(OFFSET(nombres[],0,0,1,1))+1,ROW(OFFSET(nombres[],ROWS(nombres[])-1,0,1,1))+1),$O1554:$O1573),3),"")</f>
        <v/>
      </c>
      <c r="ZZ1554" s="42" t="str">
        <f t="array" aca="1" ref="ZZ1554" ca="1">IFERROR(INDEX(nombres[],SMALL(IF(OFFSET(nombres[],0,0,ROWS(nombres[]),1)=ZZ$1490,ROW(OFFSET(nombres[],0,0,ROWS(nombres[]),1))-ROW(OFFSET(nombres[],0,0,1,1))+1,ROW(OFFSET(nombres[],ROWS(nombres[])-1,0,1,1))+1),$O1554:$O1573),3),"")</f>
        <v/>
      </c>
      <c r="AAA1554" s="42" t="str">
        <f t="array" aca="1" ref="AAA1554" ca="1">IFERROR(INDEX(nombres[],SMALL(IF(OFFSET(nombres[],0,0,ROWS(nombres[]),1)=AAA$1490,ROW(OFFSET(nombres[],0,0,ROWS(nombres[]),1))-ROW(OFFSET(nombres[],0,0,1,1))+1,ROW(OFFSET(nombres[],ROWS(nombres[])-1,0,1,1))+1),$O1554:$O1573),3),"")</f>
        <v/>
      </c>
      <c r="AAB1554" s="42" t="str">
        <f t="array" aca="1" ref="AAB1554" ca="1">IFERROR(INDEX(nombres[],SMALL(IF(OFFSET(nombres[],0,0,ROWS(nombres[]),1)=AAB$1490,ROW(OFFSET(nombres[],0,0,ROWS(nombres[]),1))-ROW(OFFSET(nombres[],0,0,1,1))+1,ROW(OFFSET(nombres[],ROWS(nombres[])-1,0,1,1))+1),$O1554:$O1573),3),"")</f>
        <v/>
      </c>
      <c r="AAC1554" s="42" t="str">
        <f t="array" aca="1" ref="AAC1554" ca="1">IFERROR(INDEX(nombres[],SMALL(IF(OFFSET(nombres[],0,0,ROWS(nombres[]),1)=AAC$1490,ROW(OFFSET(nombres[],0,0,ROWS(nombres[]),1))-ROW(OFFSET(nombres[],0,0,1,1))+1,ROW(OFFSET(nombres[],ROWS(nombres[])-1,0,1,1))+1),$O1554:$O1573),3),"")</f>
        <v/>
      </c>
      <c r="AAD1554" s="42" t="str">
        <f t="array" aca="1" ref="AAD1554" ca="1">IFERROR(INDEX(nombres[],SMALL(IF(OFFSET(nombres[],0,0,ROWS(nombres[]),1)=AAD$1490,ROW(OFFSET(nombres[],0,0,ROWS(nombres[]),1))-ROW(OFFSET(nombres[],0,0,1,1))+1,ROW(OFFSET(nombres[],ROWS(nombres[])-1,0,1,1))+1),$O1554:$O1573),3),"")</f>
        <v/>
      </c>
      <c r="AAE1554" s="42" t="str">
        <f t="array" aca="1" ref="AAE1554" ca="1">IFERROR(INDEX(nombres[],SMALL(IF(OFFSET(nombres[],0,0,ROWS(nombres[]),1)=AAE$1490,ROW(OFFSET(nombres[],0,0,ROWS(nombres[]),1))-ROW(OFFSET(nombres[],0,0,1,1))+1,ROW(OFFSET(nombres[],ROWS(nombres[])-1,0,1,1))+1),$O1554:$O1573),3),"")</f>
        <v/>
      </c>
      <c r="AAF1554" s="42" t="str">
        <f t="array" aca="1" ref="AAF1554" ca="1">IFERROR(INDEX(nombres[],SMALL(IF(OFFSET(nombres[],0,0,ROWS(nombres[]),1)=AAF$1490,ROW(OFFSET(nombres[],0,0,ROWS(nombres[]),1))-ROW(OFFSET(nombres[],0,0,1,1))+1,ROW(OFFSET(nombres[],ROWS(nombres[])-1,0,1,1))+1),$O1554:$O1573),3),"")</f>
        <v/>
      </c>
      <c r="AAG1554" s="42" t="str">
        <f t="array" aca="1" ref="AAG1554" ca="1">IFERROR(INDEX(nombres[],SMALL(IF(OFFSET(nombres[],0,0,ROWS(nombres[]),1)=AAG$1490,ROW(OFFSET(nombres[],0,0,ROWS(nombres[]),1))-ROW(OFFSET(nombres[],0,0,1,1))+1,ROW(OFFSET(nombres[],ROWS(nombres[])-1,0,1,1))+1),$O1554:$O1573),3),"")</f>
        <v/>
      </c>
      <c r="AAH1554" s="42" t="str">
        <f t="array" aca="1" ref="AAH1554" ca="1">IFERROR(INDEX(nombres[],SMALL(IF(OFFSET(nombres[],0,0,ROWS(nombres[]),1)=AAH$1490,ROW(OFFSET(nombres[],0,0,ROWS(nombres[]),1))-ROW(OFFSET(nombres[],0,0,1,1))+1,ROW(OFFSET(nombres[],ROWS(nombres[])-1,0,1,1))+1),$O1554:$O1573),3),"")</f>
        <v/>
      </c>
      <c r="AAI1554" s="42" t="str">
        <f t="array" aca="1" ref="AAI1554" ca="1">IFERROR(INDEX(nombres[],SMALL(IF(OFFSET(nombres[],0,0,ROWS(nombres[]),1)=AAI$1490,ROW(OFFSET(nombres[],0,0,ROWS(nombres[]),1))-ROW(OFFSET(nombres[],0,0,1,1))+1,ROW(OFFSET(nombres[],ROWS(nombres[])-1,0,1,1))+1),$O1554:$O1573),3),"")</f>
        <v/>
      </c>
      <c r="AAJ1554" s="42" t="str">
        <f t="array" aca="1" ref="AAJ1554" ca="1">IFERROR(INDEX(nombres[],SMALL(IF(OFFSET(nombres[],0,0,ROWS(nombres[]),1)=AAJ$1490,ROW(OFFSET(nombres[],0,0,ROWS(nombres[]),1))-ROW(OFFSET(nombres[],0,0,1,1))+1,ROW(OFFSET(nombres[],ROWS(nombres[])-1,0,1,1))+1),$O1554:$O1573),3),"")</f>
        <v/>
      </c>
      <c r="AAK1554" s="42" t="str">
        <f t="array" aca="1" ref="AAK1554" ca="1">IFERROR(INDEX(nombres[],SMALL(IF(OFFSET(nombres[],0,0,ROWS(nombres[]),1)=AAK$1490,ROW(OFFSET(nombres[],0,0,ROWS(nombres[]),1))-ROW(OFFSET(nombres[],0,0,1,1))+1,ROW(OFFSET(nombres[],ROWS(nombres[])-1,0,1,1))+1),$O1554:$O1573),3),"")</f>
        <v/>
      </c>
      <c r="AAL1554" s="42" t="str">
        <f t="array" aca="1" ref="AAL1554" ca="1">IFERROR(INDEX(nombres[],SMALL(IF(OFFSET(nombres[],0,0,ROWS(nombres[]),1)=AAL$1490,ROW(OFFSET(nombres[],0,0,ROWS(nombres[]),1))-ROW(OFFSET(nombres[],0,0,1,1))+1,ROW(OFFSET(nombres[],ROWS(nombres[])-1,0,1,1))+1),$O1554:$O1573),3),"")</f>
        <v/>
      </c>
      <c r="AAM1554" s="42" t="str">
        <f t="array" aca="1" ref="AAM1554" ca="1">IFERROR(INDEX(nombres[],SMALL(IF(OFFSET(nombres[],0,0,ROWS(nombres[]),1)=AAM$1490,ROW(OFFSET(nombres[],0,0,ROWS(nombres[]),1))-ROW(OFFSET(nombres[],0,0,1,1))+1,ROW(OFFSET(nombres[],ROWS(nombres[])-1,0,1,1))+1),$O1554:$O1573),3),"")</f>
        <v/>
      </c>
      <c r="AAN1554" s="42" t="str">
        <f t="array" aca="1" ref="AAN1554" ca="1">IFERROR(INDEX(nombres[],SMALL(IF(OFFSET(nombres[],0,0,ROWS(nombres[]),1)=AAN$1490,ROW(OFFSET(nombres[],0,0,ROWS(nombres[]),1))-ROW(OFFSET(nombres[],0,0,1,1))+1,ROW(OFFSET(nombres[],ROWS(nombres[])-1,0,1,1))+1),$O1554:$O1573),3),"")</f>
        <v/>
      </c>
      <c r="AAO1554" s="42" t="str">
        <f t="array" aca="1" ref="AAO1554" ca="1">IFERROR(INDEX(nombres[],SMALL(IF(OFFSET(nombres[],0,0,ROWS(nombres[]),1)=AAO$1490,ROW(OFFSET(nombres[],0,0,ROWS(nombres[]),1))-ROW(OFFSET(nombres[],0,0,1,1))+1,ROW(OFFSET(nombres[],ROWS(nombres[])-1,0,1,1))+1),$O1554:$O1573),3),"")</f>
        <v/>
      </c>
      <c r="AAP1554" s="42" t="str">
        <f t="array" aca="1" ref="AAP1554" ca="1">IFERROR(INDEX(nombres[],SMALL(IF(OFFSET(nombres[],0,0,ROWS(nombres[]),1)=AAP$1490,ROW(OFFSET(nombres[],0,0,ROWS(nombres[]),1))-ROW(OFFSET(nombres[],0,0,1,1))+1,ROW(OFFSET(nombres[],ROWS(nombres[])-1,0,1,1))+1),$O1554:$O1573),3),"")</f>
        <v/>
      </c>
      <c r="AAQ1554" s="42" t="str">
        <f t="array" aca="1" ref="AAQ1554" ca="1">IFERROR(INDEX(nombres[],SMALL(IF(OFFSET(nombres[],0,0,ROWS(nombres[]),1)=AAQ$1490,ROW(OFFSET(nombres[],0,0,ROWS(nombres[]),1))-ROW(OFFSET(nombres[],0,0,1,1))+1,ROW(OFFSET(nombres[],ROWS(nombres[])-1,0,1,1))+1),$O1554:$O1573),3),"")</f>
        <v/>
      </c>
      <c r="AAR1554" s="42" t="str">
        <f t="array" aca="1" ref="AAR1554" ca="1">IFERROR(INDEX(nombres[],SMALL(IF(OFFSET(nombres[],0,0,ROWS(nombres[]),1)=AAR$1490,ROW(OFFSET(nombres[],0,0,ROWS(nombres[]),1))-ROW(OFFSET(nombres[],0,0,1,1))+1,ROW(OFFSET(nombres[],ROWS(nombres[])-1,0,1,1))+1),$O1554:$O1573),3),"")</f>
        <v/>
      </c>
      <c r="AAS1554" s="42" t="str">
        <f t="array" aca="1" ref="AAS1554" ca="1">IFERROR(INDEX(nombres[],SMALL(IF(OFFSET(nombres[],0,0,ROWS(nombres[]),1)=AAS$1490,ROW(OFFSET(nombres[],0,0,ROWS(nombres[]),1))-ROW(OFFSET(nombres[],0,0,1,1))+1,ROW(OFFSET(nombres[],ROWS(nombres[])-1,0,1,1))+1),$O1554:$O1573),3),"")</f>
        <v/>
      </c>
      <c r="AAT1554" s="42" t="str">
        <f t="array" aca="1" ref="AAT1554" ca="1">IFERROR(INDEX(nombres[],SMALL(IF(OFFSET(nombres[],0,0,ROWS(nombres[]),1)=AAT$1490,ROW(OFFSET(nombres[],0,0,ROWS(nombres[]),1))-ROW(OFFSET(nombres[],0,0,1,1))+1,ROW(OFFSET(nombres[],ROWS(nombres[])-1,0,1,1))+1),$O1554:$O1573),3),"")</f>
        <v/>
      </c>
      <c r="AAU1554" s="42" t="str">
        <f t="array" aca="1" ref="AAU1554" ca="1">IFERROR(INDEX(nombres[],SMALL(IF(OFFSET(nombres[],0,0,ROWS(nombres[]),1)=AAU$1490,ROW(OFFSET(nombres[],0,0,ROWS(nombres[]),1))-ROW(OFFSET(nombres[],0,0,1,1))+1,ROW(OFFSET(nombres[],ROWS(nombres[])-1,0,1,1))+1),$O1554:$O1573),3),"")</f>
        <v/>
      </c>
      <c r="AAV1554" s="42" t="str">
        <f t="array" aca="1" ref="AAV1554" ca="1">IFERROR(INDEX(nombres[],SMALL(IF(OFFSET(nombres[],0,0,ROWS(nombres[]),1)=AAV$1490,ROW(OFFSET(nombres[],0,0,ROWS(nombres[]),1))-ROW(OFFSET(nombres[],0,0,1,1))+1,ROW(OFFSET(nombres[],ROWS(nombres[])-1,0,1,1))+1),$O1554:$O1573),3),"")</f>
        <v/>
      </c>
      <c r="AAW1554" s="42" t="str">
        <f t="array" aca="1" ref="AAW1554" ca="1">IFERROR(INDEX(nombres[],SMALL(IF(OFFSET(nombres[],0,0,ROWS(nombres[]),1)=AAW$1490,ROW(OFFSET(nombres[],0,0,ROWS(nombres[]),1))-ROW(OFFSET(nombres[],0,0,1,1))+1,ROW(OFFSET(nombres[],ROWS(nombres[])-1,0,1,1))+1),$O1554:$O1573),3),"")</f>
        <v/>
      </c>
      <c r="AAX1554" s="42" t="str">
        <f t="array" aca="1" ref="AAX1554" ca="1">IFERROR(INDEX(nombres[],SMALL(IF(OFFSET(nombres[],0,0,ROWS(nombres[]),1)=AAX$1490,ROW(OFFSET(nombres[],0,0,ROWS(nombres[]),1))-ROW(OFFSET(nombres[],0,0,1,1))+1,ROW(OFFSET(nombres[],ROWS(nombres[])-1,0,1,1))+1),$O1554:$O1573),3),"")</f>
        <v/>
      </c>
      <c r="AAY1554" s="42" t="str">
        <f t="array" aca="1" ref="AAY1554" ca="1">IFERROR(INDEX(nombres[],SMALL(IF(OFFSET(nombres[],0,0,ROWS(nombres[]),1)=AAY$1490,ROW(OFFSET(nombres[],0,0,ROWS(nombres[]),1))-ROW(OFFSET(nombres[],0,0,1,1))+1,ROW(OFFSET(nombres[],ROWS(nombres[])-1,0,1,1))+1),$O1554:$O1573),3),"")</f>
        <v/>
      </c>
      <c r="AAZ1554" s="42" t="str">
        <f t="array" aca="1" ref="AAZ1554" ca="1">IFERROR(INDEX(nombres[],SMALL(IF(OFFSET(nombres[],0,0,ROWS(nombres[]),1)=AAZ$1490,ROW(OFFSET(nombres[],0,0,ROWS(nombres[]),1))-ROW(OFFSET(nombres[],0,0,1,1))+1,ROW(OFFSET(nombres[],ROWS(nombres[])-1,0,1,1))+1),$O1554:$O1573),3),"")</f>
        <v/>
      </c>
      <c r="ABA1554" s="42" t="str">
        <f t="array" aca="1" ref="ABA1554" ca="1">IFERROR(INDEX(nombres[],SMALL(IF(OFFSET(nombres[],0,0,ROWS(nombres[]),1)=ABA$1490,ROW(OFFSET(nombres[],0,0,ROWS(nombres[]),1))-ROW(OFFSET(nombres[],0,0,1,1))+1,ROW(OFFSET(nombres[],ROWS(nombres[])-1,0,1,1))+1),$O1554:$O1573),3),"")</f>
        <v/>
      </c>
      <c r="ABB1554" s="42" t="str">
        <f t="array" aca="1" ref="ABB1554" ca="1">IFERROR(INDEX(nombres[],SMALL(IF(OFFSET(nombres[],0,0,ROWS(nombres[]),1)=ABB$1490,ROW(OFFSET(nombres[],0,0,ROWS(nombres[]),1))-ROW(OFFSET(nombres[],0,0,1,1))+1,ROW(OFFSET(nombres[],ROWS(nombres[])-1,0,1,1))+1),$O1554:$O1573),3),"")</f>
        <v/>
      </c>
      <c r="ABC1554" s="42" t="str">
        <f t="array" aca="1" ref="ABC1554" ca="1">IFERROR(INDEX(nombres[],SMALL(IF(OFFSET(nombres[],0,0,ROWS(nombres[]),1)=ABC$1490,ROW(OFFSET(nombres[],0,0,ROWS(nombres[]),1))-ROW(OFFSET(nombres[],0,0,1,1))+1,ROW(OFFSET(nombres[],ROWS(nombres[])-1,0,1,1))+1),$O1554:$O1573),3),"")</f>
        <v/>
      </c>
      <c r="ABD1554" s="42" t="str">
        <f t="array" aca="1" ref="ABD1554" ca="1">IFERROR(INDEX(nombres[],SMALL(IF(OFFSET(nombres[],0,0,ROWS(nombres[]),1)=ABD$1490,ROW(OFFSET(nombres[],0,0,ROWS(nombres[]),1))-ROW(OFFSET(nombres[],0,0,1,1))+1,ROW(OFFSET(nombres[],ROWS(nombres[])-1,0,1,1))+1),$O1554:$O1573),3),"")</f>
        <v/>
      </c>
      <c r="ABE1554" s="42" t="str">
        <f t="array" aca="1" ref="ABE1554" ca="1">IFERROR(INDEX(nombres[],SMALL(IF(OFFSET(nombres[],0,0,ROWS(nombres[]),1)=ABE$1490,ROW(OFFSET(nombres[],0,0,ROWS(nombres[]),1))-ROW(OFFSET(nombres[],0,0,1,1))+1,ROW(OFFSET(nombres[],ROWS(nombres[])-1,0,1,1))+1),$O1554:$O1573),3),"")</f>
        <v/>
      </c>
      <c r="ABF1554" s="42" t="str">
        <f t="array" aca="1" ref="ABF1554" ca="1">IFERROR(INDEX(nombres[],SMALL(IF(OFFSET(nombres[],0,0,ROWS(nombres[]),1)=ABF$1490,ROW(OFFSET(nombres[],0,0,ROWS(nombres[]),1))-ROW(OFFSET(nombres[],0,0,1,1))+1,ROW(OFFSET(nombres[],ROWS(nombres[])-1,0,1,1))+1),$O1554:$O1573),3),"")</f>
        <v/>
      </c>
      <c r="ABG1554" s="42" t="str">
        <f t="array" aca="1" ref="ABG1554" ca="1">IFERROR(INDEX(nombres[],SMALL(IF(OFFSET(nombres[],0,0,ROWS(nombres[]),1)=ABG$1490,ROW(OFFSET(nombres[],0,0,ROWS(nombres[]),1))-ROW(OFFSET(nombres[],0,0,1,1))+1,ROW(OFFSET(nombres[],ROWS(nombres[])-1,0,1,1))+1),$O1554:$O1573),3),"")</f>
        <v/>
      </c>
      <c r="ABH1554" s="42" t="str">
        <f t="array" aca="1" ref="ABH1554" ca="1">IFERROR(INDEX(nombres[],SMALL(IF(OFFSET(nombres[],0,0,ROWS(nombres[]),1)=ABH$1490,ROW(OFFSET(nombres[],0,0,ROWS(nombres[]),1))-ROW(OFFSET(nombres[],0,0,1,1))+1,ROW(OFFSET(nombres[],ROWS(nombres[])-1,0,1,1))+1),$O1554:$O1573),3),"")</f>
        <v/>
      </c>
      <c r="ABI1554" s="42" t="str">
        <f t="array" aca="1" ref="ABI1554" ca="1">IFERROR(INDEX(nombres[],SMALL(IF(OFFSET(nombres[],0,0,ROWS(nombres[]),1)=ABI$1490,ROW(OFFSET(nombres[],0,0,ROWS(nombres[]),1))-ROW(OFFSET(nombres[],0,0,1,1))+1,ROW(OFFSET(nombres[],ROWS(nombres[])-1,0,1,1))+1),$O1554:$O1573),3),"")</f>
        <v/>
      </c>
      <c r="ABJ1554" s="42" t="str">
        <f t="array" aca="1" ref="ABJ1554" ca="1">IFERROR(INDEX(nombres[],SMALL(IF(OFFSET(nombres[],0,0,ROWS(nombres[]),1)=ABJ$1490,ROW(OFFSET(nombres[],0,0,ROWS(nombres[]),1))-ROW(OFFSET(nombres[],0,0,1,1))+1,ROW(OFFSET(nombres[],ROWS(nombres[])-1,0,1,1))+1),$O1554:$O1573),3),"")</f>
        <v/>
      </c>
      <c r="ABK1554" s="42" t="str">
        <f t="array" aca="1" ref="ABK1554" ca="1">IFERROR(INDEX(nombres[],SMALL(IF(OFFSET(nombres[],0,0,ROWS(nombres[]),1)=ABK$1490,ROW(OFFSET(nombres[],0,0,ROWS(nombres[]),1))-ROW(OFFSET(nombres[],0,0,1,1))+1,ROW(OFFSET(nombres[],ROWS(nombres[])-1,0,1,1))+1),$O1554:$O1573),3),"")</f>
        <v/>
      </c>
      <c r="ABL1554" s="42" t="str">
        <f t="array" aca="1" ref="ABL1554" ca="1">IFERROR(INDEX(nombres[],SMALL(IF(OFFSET(nombres[],0,0,ROWS(nombres[]),1)=ABL$1490,ROW(OFFSET(nombres[],0,0,ROWS(nombres[]),1))-ROW(OFFSET(nombres[],0,0,1,1))+1,ROW(OFFSET(nombres[],ROWS(nombres[])-1,0,1,1))+1),$O1554:$O1573),3),"")</f>
        <v/>
      </c>
      <c r="ABM1554" s="42" t="str">
        <f t="array" aca="1" ref="ABM1554" ca="1">IFERROR(INDEX(nombres[],SMALL(IF(OFFSET(nombres[],0,0,ROWS(nombres[]),1)=ABM$1490,ROW(OFFSET(nombres[],0,0,ROWS(nombres[]),1))-ROW(OFFSET(nombres[],0,0,1,1))+1,ROW(OFFSET(nombres[],ROWS(nombres[])-1,0,1,1))+1),$O1554:$O1573),3),"")</f>
        <v/>
      </c>
      <c r="ABN1554" s="42" t="str">
        <f t="array" aca="1" ref="ABN1554" ca="1">IFERROR(INDEX(nombres[],SMALL(IF(OFFSET(nombres[],0,0,ROWS(nombres[]),1)=ABN$1490,ROW(OFFSET(nombres[],0,0,ROWS(nombres[]),1))-ROW(OFFSET(nombres[],0,0,1,1))+1,ROW(OFFSET(nombres[],ROWS(nombres[])-1,0,1,1))+1),$O1554:$O1573),3),"")</f>
        <v/>
      </c>
      <c r="ABO1554" s="42" t="str">
        <f t="array" aca="1" ref="ABO1554" ca="1">IFERROR(INDEX(nombres[],SMALL(IF(OFFSET(nombres[],0,0,ROWS(nombres[]),1)=ABO$1490,ROW(OFFSET(nombres[],0,0,ROWS(nombres[]),1))-ROW(OFFSET(nombres[],0,0,1,1))+1,ROW(OFFSET(nombres[],ROWS(nombres[])-1,0,1,1))+1),$O1554:$O1573),3),"")</f>
        <v/>
      </c>
      <c r="ABP1554" s="42" t="str">
        <f t="array" aca="1" ref="ABP1554" ca="1">IFERROR(INDEX(nombres[],SMALL(IF(OFFSET(nombres[],0,0,ROWS(nombres[]),1)=ABP$1490,ROW(OFFSET(nombres[],0,0,ROWS(nombres[]),1))-ROW(OFFSET(nombres[],0,0,1,1))+1,ROW(OFFSET(nombres[],ROWS(nombres[])-1,0,1,1))+1),$O1554:$O1573),3),"")</f>
        <v/>
      </c>
      <c r="ABQ1554" s="42" t="str">
        <f t="array" aca="1" ref="ABQ1554" ca="1">IFERROR(INDEX(nombres[],SMALL(IF(OFFSET(nombres[],0,0,ROWS(nombres[]),1)=ABQ$1490,ROW(OFFSET(nombres[],0,0,ROWS(nombres[]),1))-ROW(OFFSET(nombres[],0,0,1,1))+1,ROW(OFFSET(nombres[],ROWS(nombres[])-1,0,1,1))+1),$O1554:$O1573),3),"")</f>
        <v/>
      </c>
      <c r="ABR1554" s="42" t="str">
        <f t="array" aca="1" ref="ABR1554" ca="1">IFERROR(INDEX(nombres[],SMALL(IF(OFFSET(nombres[],0,0,ROWS(nombres[]),1)=ABR$1490,ROW(OFFSET(nombres[],0,0,ROWS(nombres[]),1))-ROW(OFFSET(nombres[],0,0,1,1))+1,ROW(OFFSET(nombres[],ROWS(nombres[])-1,0,1,1))+1),$O1554:$O1573),3),"")</f>
        <v/>
      </c>
      <c r="ABS1554" s="42" t="str">
        <f t="array" aca="1" ref="ABS1554" ca="1">IFERROR(INDEX(nombres[],SMALL(IF(OFFSET(nombres[],0,0,ROWS(nombres[]),1)=ABS$1490,ROW(OFFSET(nombres[],0,0,ROWS(nombres[]),1))-ROW(OFFSET(nombres[],0,0,1,1))+1,ROW(OFFSET(nombres[],ROWS(nombres[])-1,0,1,1))+1),$O1554:$O1573),3),"")</f>
        <v/>
      </c>
      <c r="ABT1554" s="42" t="str">
        <f t="array" aca="1" ref="ABT1554" ca="1">IFERROR(INDEX(nombres[],SMALL(IF(OFFSET(nombres[],0,0,ROWS(nombres[]),1)=ABT$1490,ROW(OFFSET(nombres[],0,0,ROWS(nombres[]),1))-ROW(OFFSET(nombres[],0,0,1,1))+1,ROW(OFFSET(nombres[],ROWS(nombres[])-1,0,1,1))+1),$O1554:$O1573),3),"")</f>
        <v/>
      </c>
      <c r="ABU1554" s="42" t="str">
        <f t="array" aca="1" ref="ABU1554" ca="1">IFERROR(INDEX(nombres[],SMALL(IF(OFFSET(nombres[],0,0,ROWS(nombres[]),1)=ABU$1490,ROW(OFFSET(nombres[],0,0,ROWS(nombres[]),1))-ROW(OFFSET(nombres[],0,0,1,1))+1,ROW(OFFSET(nombres[],ROWS(nombres[])-1,0,1,1))+1),$O1554:$O1573),3),"")</f>
        <v/>
      </c>
      <c r="ABV1554" s="42" t="str">
        <f t="array" aca="1" ref="ABV1554" ca="1">IFERROR(INDEX(nombres[],SMALL(IF(OFFSET(nombres[],0,0,ROWS(nombres[]),1)=ABV$1490,ROW(OFFSET(nombres[],0,0,ROWS(nombres[]),1))-ROW(OFFSET(nombres[],0,0,1,1))+1,ROW(OFFSET(nombres[],ROWS(nombres[])-1,0,1,1))+1),$O1554:$O1573),3),"")</f>
        <v/>
      </c>
      <c r="ABW1554" s="42" t="str">
        <f t="array" aca="1" ref="ABW1554" ca="1">IFERROR(INDEX(nombres[],SMALL(IF(OFFSET(nombres[],0,0,ROWS(nombres[]),1)=ABW$1490,ROW(OFFSET(nombres[],0,0,ROWS(nombres[]),1))-ROW(OFFSET(nombres[],0,0,1,1))+1,ROW(OFFSET(nombres[],ROWS(nombres[])-1,0,1,1))+1),$O1554:$O1573),3),"")</f>
        <v/>
      </c>
      <c r="ABX1554" s="42" t="str">
        <f t="array" aca="1" ref="ABX1554" ca="1">IFERROR(INDEX(nombres[],SMALL(IF(OFFSET(nombres[],0,0,ROWS(nombres[]),1)=ABX$1490,ROW(OFFSET(nombres[],0,0,ROWS(nombres[]),1))-ROW(OFFSET(nombres[],0,0,1,1))+1,ROW(OFFSET(nombres[],ROWS(nombres[])-1,0,1,1))+1),$O1554:$O1573),3),"")</f>
        <v/>
      </c>
      <c r="ABY1554" s="42" t="str">
        <f t="array" aca="1" ref="ABY1554" ca="1">IFERROR(INDEX(nombres[],SMALL(IF(OFFSET(nombres[],0,0,ROWS(nombres[]),1)=ABY$1490,ROW(OFFSET(nombres[],0,0,ROWS(nombres[]),1))-ROW(OFFSET(nombres[],0,0,1,1))+1,ROW(OFFSET(nombres[],ROWS(nombres[])-1,0,1,1))+1),$O1554:$O1573),3),"")</f>
        <v/>
      </c>
      <c r="ABZ1554" s="42" t="str">
        <f t="array" aca="1" ref="ABZ1554" ca="1">IFERROR(INDEX(nombres[],SMALL(IF(OFFSET(nombres[],0,0,ROWS(nombres[]),1)=ABZ$1490,ROW(OFFSET(nombres[],0,0,ROWS(nombres[]),1))-ROW(OFFSET(nombres[],0,0,1,1))+1,ROW(OFFSET(nombres[],ROWS(nombres[])-1,0,1,1))+1),$O1554:$O1573),3),"")</f>
        <v/>
      </c>
      <c r="ACA1554" s="42" t="str">
        <f t="array" aca="1" ref="ACA1554" ca="1">IFERROR(INDEX(nombres[],SMALL(IF(OFFSET(nombres[],0,0,ROWS(nombres[]),1)=ACA$1490,ROW(OFFSET(nombres[],0,0,ROWS(nombres[]),1))-ROW(OFFSET(nombres[],0,0,1,1))+1,ROW(OFFSET(nombres[],ROWS(nombres[])-1,0,1,1))+1),$O1554:$O1573),3),"")</f>
        <v/>
      </c>
      <c r="ACB1554" s="42" t="str">
        <f t="array" aca="1" ref="ACB1554" ca="1">IFERROR(INDEX(nombres[],SMALL(IF(OFFSET(nombres[],0,0,ROWS(nombres[]),1)=ACB$1490,ROW(OFFSET(nombres[],0,0,ROWS(nombres[]),1))-ROW(OFFSET(nombres[],0,0,1,1))+1,ROW(OFFSET(nombres[],ROWS(nombres[])-1,0,1,1))+1),$O1554:$O1573),3),"")</f>
        <v/>
      </c>
      <c r="ACC1554" s="42" t="str">
        <f t="array" aca="1" ref="ACC1554" ca="1">IFERROR(INDEX(nombres[],SMALL(IF(OFFSET(nombres[],0,0,ROWS(nombres[]),1)=ACC$1490,ROW(OFFSET(nombres[],0,0,ROWS(nombres[]),1))-ROW(OFFSET(nombres[],0,0,1,1))+1,ROW(OFFSET(nombres[],ROWS(nombres[])-1,0,1,1))+1),$O1554:$O1573),3),"")</f>
        <v/>
      </c>
      <c r="ACD1554" s="42" t="str">
        <f t="array" aca="1" ref="ACD1554" ca="1">IFERROR(INDEX(nombres[],SMALL(IF(OFFSET(nombres[],0,0,ROWS(nombres[]),1)=ACD$1490,ROW(OFFSET(nombres[],0,0,ROWS(nombres[]),1))-ROW(OFFSET(nombres[],0,0,1,1))+1,ROW(OFFSET(nombres[],ROWS(nombres[])-1,0,1,1))+1),$O1554:$O1573),3),"")</f>
        <v/>
      </c>
      <c r="ACE1554" s="42" t="str">
        <f t="array" aca="1" ref="ACE1554" ca="1">IFERROR(INDEX(nombres[],SMALL(IF(OFFSET(nombres[],0,0,ROWS(nombres[]),1)=ACE$1490,ROW(OFFSET(nombres[],0,0,ROWS(nombres[]),1))-ROW(OFFSET(nombres[],0,0,1,1))+1,ROW(OFFSET(nombres[],ROWS(nombres[])-1,0,1,1))+1),$O1554:$O1573),3),"")</f>
        <v/>
      </c>
      <c r="ACF1554" s="42" t="str">
        <f t="array" aca="1" ref="ACF1554" ca="1">IFERROR(INDEX(nombres[],SMALL(IF(OFFSET(nombres[],0,0,ROWS(nombres[]),1)=ACF$1490,ROW(OFFSET(nombres[],0,0,ROWS(nombres[]),1))-ROW(OFFSET(nombres[],0,0,1,1))+1,ROW(OFFSET(nombres[],ROWS(nombres[])-1,0,1,1))+1),$O1554:$O1573),3),"")</f>
        <v/>
      </c>
      <c r="ACG1554" s="42" t="str">
        <f t="array" aca="1" ref="ACG1554" ca="1">IFERROR(INDEX(nombres[],SMALL(IF(OFFSET(nombres[],0,0,ROWS(nombres[]),1)=ACG$1490,ROW(OFFSET(nombres[],0,0,ROWS(nombres[]),1))-ROW(OFFSET(nombres[],0,0,1,1))+1,ROW(OFFSET(nombres[],ROWS(nombres[])-1,0,1,1))+1),$O1554:$O1573),3),"")</f>
        <v/>
      </c>
      <c r="ACH1554" s="42" t="str">
        <f t="array" aca="1" ref="ACH1554" ca="1">IFERROR(INDEX(nombres[],SMALL(IF(OFFSET(nombres[],0,0,ROWS(nombres[]),1)=ACH$1490,ROW(OFFSET(nombres[],0,0,ROWS(nombres[]),1))-ROW(OFFSET(nombres[],0,0,1,1))+1,ROW(OFFSET(nombres[],ROWS(nombres[])-1,0,1,1))+1),$O1554:$O1573),3),"")</f>
        <v/>
      </c>
      <c r="ACI1554" s="42" t="str">
        <f t="array" aca="1" ref="ACI1554" ca="1">IFERROR(INDEX(nombres[],SMALL(IF(OFFSET(nombres[],0,0,ROWS(nombres[]),1)=ACI$1490,ROW(OFFSET(nombres[],0,0,ROWS(nombres[]),1))-ROW(OFFSET(nombres[],0,0,1,1))+1,ROW(OFFSET(nombres[],ROWS(nombres[])-1,0,1,1))+1),$O1554:$O1573),3),"")</f>
        <v/>
      </c>
      <c r="ACJ1554" s="42" t="str">
        <f t="array" aca="1" ref="ACJ1554" ca="1">IFERROR(INDEX(nombres[],SMALL(IF(OFFSET(nombres[],0,0,ROWS(nombres[]),1)=ACJ$1490,ROW(OFFSET(nombres[],0,0,ROWS(nombres[]),1))-ROW(OFFSET(nombres[],0,0,1,1))+1,ROW(OFFSET(nombres[],ROWS(nombres[])-1,0,1,1))+1),$O1554:$O1573),3),"")</f>
        <v/>
      </c>
      <c r="ACK1554" s="42" t="str">
        <f t="array" aca="1" ref="ACK1554" ca="1">IFERROR(INDEX(nombres[],SMALL(IF(OFFSET(nombres[],0,0,ROWS(nombres[]),1)=ACK$1490,ROW(OFFSET(nombres[],0,0,ROWS(nombres[]),1))-ROW(OFFSET(nombres[],0,0,1,1))+1,ROW(OFFSET(nombres[],ROWS(nombres[])-1,0,1,1))+1),$O1554:$O1573),3),"")</f>
        <v/>
      </c>
      <c r="ACL1554" s="42" t="str">
        <f t="array" aca="1" ref="ACL1554" ca="1">IFERROR(INDEX(nombres[],SMALL(IF(OFFSET(nombres[],0,0,ROWS(nombres[]),1)=ACL$1490,ROW(OFFSET(nombres[],0,0,ROWS(nombres[]),1))-ROW(OFFSET(nombres[],0,0,1,1))+1,ROW(OFFSET(nombres[],ROWS(nombres[])-1,0,1,1))+1),$O1554:$O1573),3),"")</f>
        <v/>
      </c>
      <c r="ACM1554" s="42" t="str">
        <f t="array" aca="1" ref="ACM1554" ca="1">IFERROR(INDEX(nombres[],SMALL(IF(OFFSET(nombres[],0,0,ROWS(nombres[]),1)=ACM$1490,ROW(OFFSET(nombres[],0,0,ROWS(nombres[]),1))-ROW(OFFSET(nombres[],0,0,1,1))+1,ROW(OFFSET(nombres[],ROWS(nombres[])-1,0,1,1))+1),$O1554:$O1573),3),"")</f>
        <v/>
      </c>
      <c r="ACN1554" s="42" t="str">
        <f t="array" aca="1" ref="ACN1554" ca="1">IFERROR(INDEX(nombres[],SMALL(IF(OFFSET(nombres[],0,0,ROWS(nombres[]),1)=ACN$1490,ROW(OFFSET(nombres[],0,0,ROWS(nombres[]),1))-ROW(OFFSET(nombres[],0,0,1,1))+1,ROW(OFFSET(nombres[],ROWS(nombres[])-1,0,1,1))+1),$O1554:$O1573),3),"")</f>
        <v/>
      </c>
      <c r="ACO1554" s="42" t="str">
        <f t="array" aca="1" ref="ACO1554" ca="1">IFERROR(INDEX(nombres[],SMALL(IF(OFFSET(nombres[],0,0,ROWS(nombres[]),1)=ACO$1490,ROW(OFFSET(nombres[],0,0,ROWS(nombres[]),1))-ROW(OFFSET(nombres[],0,0,1,1))+1,ROW(OFFSET(nombres[],ROWS(nombres[])-1,0,1,1))+1),$O1554:$O1573),3),"")</f>
        <v/>
      </c>
      <c r="ACP1554" s="42" t="str">
        <f t="array" aca="1" ref="ACP1554" ca="1">IFERROR(INDEX(nombres[],SMALL(IF(OFFSET(nombres[],0,0,ROWS(nombres[]),1)=ACP$1490,ROW(OFFSET(nombres[],0,0,ROWS(nombres[]),1))-ROW(OFFSET(nombres[],0,0,1,1))+1,ROW(OFFSET(nombres[],ROWS(nombres[])-1,0,1,1))+1),$O1554:$O1573),3),"")</f>
        <v/>
      </c>
      <c r="ACQ1554" s="42" t="str">
        <f t="array" aca="1" ref="ACQ1554" ca="1">IFERROR(INDEX(nombres[],SMALL(IF(OFFSET(nombres[],0,0,ROWS(nombres[]),1)=ACQ$1490,ROW(OFFSET(nombres[],0,0,ROWS(nombres[]),1))-ROW(OFFSET(nombres[],0,0,1,1))+1,ROW(OFFSET(nombres[],ROWS(nombres[])-1,0,1,1))+1),$O1554:$O1573),3),"")</f>
        <v/>
      </c>
      <c r="ACR1554" s="42" t="str">
        <f t="array" aca="1" ref="ACR1554" ca="1">IFERROR(INDEX(nombres[],SMALL(IF(OFFSET(nombres[],0,0,ROWS(nombres[]),1)=ACR$1490,ROW(OFFSET(nombres[],0,0,ROWS(nombres[]),1))-ROW(OFFSET(nombres[],0,0,1,1))+1,ROW(OFFSET(nombres[],ROWS(nombres[])-1,0,1,1))+1),$O1554:$O1573),3),"")</f>
        <v/>
      </c>
      <c r="ACS1554" s="42" t="str">
        <f t="array" aca="1" ref="ACS1554" ca="1">IFERROR(INDEX(nombres[],SMALL(IF(OFFSET(nombres[],0,0,ROWS(nombres[]),1)=ACS$1490,ROW(OFFSET(nombres[],0,0,ROWS(nombres[]),1))-ROW(OFFSET(nombres[],0,0,1,1))+1,ROW(OFFSET(nombres[],ROWS(nombres[])-1,0,1,1))+1),$O1554:$O1573),3),"")</f>
        <v/>
      </c>
      <c r="ACT1554" s="42" t="str">
        <f t="array" aca="1" ref="ACT1554" ca="1">IFERROR(INDEX(nombres[],SMALL(IF(OFFSET(nombres[],0,0,ROWS(nombres[]),1)=ACT$1490,ROW(OFFSET(nombres[],0,0,ROWS(nombres[]),1))-ROW(OFFSET(nombres[],0,0,1,1))+1,ROW(OFFSET(nombres[],ROWS(nombres[])-1,0,1,1))+1),$O1554:$O1573),3),"")</f>
        <v/>
      </c>
      <c r="ACU1554" s="42" t="str">
        <f t="array" aca="1" ref="ACU1554" ca="1">IFERROR(INDEX(nombres[],SMALL(IF(OFFSET(nombres[],0,0,ROWS(nombres[]),1)=ACU$1490,ROW(OFFSET(nombres[],0,0,ROWS(nombres[]),1))-ROW(OFFSET(nombres[],0,0,1,1))+1,ROW(OFFSET(nombres[],ROWS(nombres[])-1,0,1,1))+1),$O1554:$O1573),3),"")</f>
        <v/>
      </c>
      <c r="ACV1554" s="42" t="str">
        <f t="array" aca="1" ref="ACV1554" ca="1">IFERROR(INDEX(nombres[],SMALL(IF(OFFSET(nombres[],0,0,ROWS(nombres[]),1)=ACV$1490,ROW(OFFSET(nombres[],0,0,ROWS(nombres[]),1))-ROW(OFFSET(nombres[],0,0,1,1))+1,ROW(OFFSET(nombres[],ROWS(nombres[])-1,0,1,1))+1),$O1554:$O1573),3),"")</f>
        <v/>
      </c>
      <c r="ACW1554" s="42" t="str">
        <f t="array" aca="1" ref="ACW1554" ca="1">IFERROR(INDEX(nombres[],SMALL(IF(OFFSET(nombres[],0,0,ROWS(nombres[]),1)=ACW$1490,ROW(OFFSET(nombres[],0,0,ROWS(nombres[]),1))-ROW(OFFSET(nombres[],0,0,1,1))+1,ROW(OFFSET(nombres[],ROWS(nombres[])-1,0,1,1))+1),$O1554:$O1573),3),"")</f>
        <v/>
      </c>
      <c r="ACX1554" s="42" t="str">
        <f t="array" aca="1" ref="ACX1554" ca="1">IFERROR(INDEX(nombres[],SMALL(IF(OFFSET(nombres[],0,0,ROWS(nombres[]),1)=ACX$1490,ROW(OFFSET(nombres[],0,0,ROWS(nombres[]),1))-ROW(OFFSET(nombres[],0,0,1,1))+1,ROW(OFFSET(nombres[],ROWS(nombres[])-1,0,1,1))+1),$O1554:$O1573),3),"")</f>
        <v/>
      </c>
      <c r="ACY1554" s="42" t="str">
        <f t="array" aca="1" ref="ACY1554" ca="1">IFERROR(INDEX(nombres[],SMALL(IF(OFFSET(nombres[],0,0,ROWS(nombres[]),1)=ACY$1490,ROW(OFFSET(nombres[],0,0,ROWS(nombres[]),1))-ROW(OFFSET(nombres[],0,0,1,1))+1,ROW(OFFSET(nombres[],ROWS(nombres[])-1,0,1,1))+1),$O1554:$O1573),3),"")</f>
        <v/>
      </c>
      <c r="ACZ1554" s="42" t="str">
        <f t="array" aca="1" ref="ACZ1554" ca="1">IFERROR(INDEX(nombres[],SMALL(IF(OFFSET(nombres[],0,0,ROWS(nombres[]),1)=ACZ$1490,ROW(OFFSET(nombres[],0,0,ROWS(nombres[]),1))-ROW(OFFSET(nombres[],0,0,1,1))+1,ROW(OFFSET(nombres[],ROWS(nombres[])-1,0,1,1))+1),$O1554:$O1573),3),"")</f>
        <v/>
      </c>
      <c r="ADA1554" s="42" t="str">
        <f t="array" aca="1" ref="ADA1554" ca="1">IFERROR(INDEX(nombres[],SMALL(IF(OFFSET(nombres[],0,0,ROWS(nombres[]),1)=ADA$1490,ROW(OFFSET(nombres[],0,0,ROWS(nombres[]),1))-ROW(OFFSET(nombres[],0,0,1,1))+1,ROW(OFFSET(nombres[],ROWS(nombres[])-1,0,1,1))+1),$O1554:$O1573),3),"")</f>
        <v/>
      </c>
      <c r="ADB1554" s="42" t="str">
        <f t="array" aca="1" ref="ADB1554" ca="1">IFERROR(INDEX(nombres[],SMALL(IF(OFFSET(nombres[],0,0,ROWS(nombres[]),1)=ADB$1490,ROW(OFFSET(nombres[],0,0,ROWS(nombres[]),1))-ROW(OFFSET(nombres[],0,0,1,1))+1,ROW(OFFSET(nombres[],ROWS(nombres[])-1,0,1,1))+1),$O1554:$O1573),3),"")</f>
        <v/>
      </c>
      <c r="ADC1554" s="42" t="str">
        <f t="array" aca="1" ref="ADC1554" ca="1">IFERROR(INDEX(nombres[],SMALL(IF(OFFSET(nombres[],0,0,ROWS(nombres[]),1)=ADC$1490,ROW(OFFSET(nombres[],0,0,ROWS(nombres[]),1))-ROW(OFFSET(nombres[],0,0,1,1))+1,ROW(OFFSET(nombres[],ROWS(nombres[])-1,0,1,1))+1),$O1554:$O1573),3),"")</f>
        <v/>
      </c>
      <c r="ADD1554" s="42" t="str">
        <f t="array" aca="1" ref="ADD1554" ca="1">IFERROR(INDEX(nombres[],SMALL(IF(OFFSET(nombres[],0,0,ROWS(nombres[]),1)=ADD$1490,ROW(OFFSET(nombres[],0,0,ROWS(nombres[]),1))-ROW(OFFSET(nombres[],0,0,1,1))+1,ROW(OFFSET(nombres[],ROWS(nombres[])-1,0,1,1))+1),$O1554:$O1573),3),"")</f>
        <v/>
      </c>
      <c r="ADE1554" s="42" t="str">
        <f t="array" aca="1" ref="ADE1554" ca="1">IFERROR(INDEX(nombres[],SMALL(IF(OFFSET(nombres[],0,0,ROWS(nombres[]),1)=ADE$1490,ROW(OFFSET(nombres[],0,0,ROWS(nombres[]),1))-ROW(OFFSET(nombres[],0,0,1,1))+1,ROW(OFFSET(nombres[],ROWS(nombres[])-1,0,1,1))+1),$O1554:$O1573),3),"")</f>
        <v/>
      </c>
      <c r="ADF1554" s="42" t="str">
        <f t="array" aca="1" ref="ADF1554" ca="1">IFERROR(INDEX(nombres[],SMALL(IF(OFFSET(nombres[],0,0,ROWS(nombres[]),1)=ADF$1490,ROW(OFFSET(nombres[],0,0,ROWS(nombres[]),1))-ROW(OFFSET(nombres[],0,0,1,1))+1,ROW(OFFSET(nombres[],ROWS(nombres[])-1,0,1,1))+1),$O1554:$O1573),3),"")</f>
        <v/>
      </c>
      <c r="ADG1554" s="42" t="str">
        <f t="array" aca="1" ref="ADG1554" ca="1">IFERROR(INDEX(nombres[],SMALL(IF(OFFSET(nombres[],0,0,ROWS(nombres[]),1)=ADG$1490,ROW(OFFSET(nombres[],0,0,ROWS(nombres[]),1))-ROW(OFFSET(nombres[],0,0,1,1))+1,ROW(OFFSET(nombres[],ROWS(nombres[])-1,0,1,1))+1),$O1554:$O1573),3),"")</f>
        <v/>
      </c>
      <c r="ADH1554" s="42" t="str">
        <f t="array" aca="1" ref="ADH1554" ca="1">IFERROR(INDEX(nombres[],SMALL(IF(OFFSET(nombres[],0,0,ROWS(nombres[]),1)=ADH$1490,ROW(OFFSET(nombres[],0,0,ROWS(nombres[]),1))-ROW(OFFSET(nombres[],0,0,1,1))+1,ROW(OFFSET(nombres[],ROWS(nombres[])-1,0,1,1))+1),$O1554:$O1573),3),"")</f>
        <v/>
      </c>
      <c r="ADI1554" s="42" t="str">
        <f t="array" aca="1" ref="ADI1554" ca="1">IFERROR(INDEX(nombres[],SMALL(IF(OFFSET(nombres[],0,0,ROWS(nombres[]),1)=ADI$1490,ROW(OFFSET(nombres[],0,0,ROWS(nombres[]),1))-ROW(OFFSET(nombres[],0,0,1,1))+1,ROW(OFFSET(nombres[],ROWS(nombres[])-1,0,1,1))+1),$O1554:$O1573),3),"")</f>
        <v/>
      </c>
      <c r="ADJ1554" s="42" t="str">
        <f t="array" aca="1" ref="ADJ1554" ca="1">IFERROR(INDEX(nombres[],SMALL(IF(OFFSET(nombres[],0,0,ROWS(nombres[]),1)=ADJ$1490,ROW(OFFSET(nombres[],0,0,ROWS(nombres[]),1))-ROW(OFFSET(nombres[],0,0,1,1))+1,ROW(OFFSET(nombres[],ROWS(nombres[])-1,0,1,1))+1),$O1554:$O1573),3),"")</f>
        <v/>
      </c>
      <c r="ADK1554" s="42" t="str">
        <f t="array" aca="1" ref="ADK1554" ca="1">IFERROR(INDEX(nombres[],SMALL(IF(OFFSET(nombres[],0,0,ROWS(nombres[]),1)=ADK$1490,ROW(OFFSET(nombres[],0,0,ROWS(nombres[]),1))-ROW(OFFSET(nombres[],0,0,1,1))+1,ROW(OFFSET(nombres[],ROWS(nombres[])-1,0,1,1))+1),$O1554:$O1573),3),"")</f>
        <v/>
      </c>
      <c r="ADL1554" s="42" t="str">
        <f t="array" aca="1" ref="ADL1554" ca="1">IFERROR(INDEX(nombres[],SMALL(IF(OFFSET(nombres[],0,0,ROWS(nombres[]),1)=ADL$1490,ROW(OFFSET(nombres[],0,0,ROWS(nombres[]),1))-ROW(OFFSET(nombres[],0,0,1,1))+1,ROW(OFFSET(nombres[],ROWS(nombres[])-1,0,1,1))+1),$O1554:$O1573),3),"")</f>
        <v/>
      </c>
      <c r="ADM1554" s="42" t="str">
        <f t="array" aca="1" ref="ADM1554" ca="1">IFERROR(INDEX(nombres[],SMALL(IF(OFFSET(nombres[],0,0,ROWS(nombres[]),1)=ADM$1490,ROW(OFFSET(nombres[],0,0,ROWS(nombres[]),1))-ROW(OFFSET(nombres[],0,0,1,1))+1,ROW(OFFSET(nombres[],ROWS(nombres[])-1,0,1,1))+1),$O1554:$O1573),3),"")</f>
        <v/>
      </c>
      <c r="ADN1554" s="42" t="str">
        <f t="array" aca="1" ref="ADN1554" ca="1">IFERROR(INDEX(nombres[],SMALL(IF(OFFSET(nombres[],0,0,ROWS(nombres[]),1)=ADN$1490,ROW(OFFSET(nombres[],0,0,ROWS(nombres[]),1))-ROW(OFFSET(nombres[],0,0,1,1))+1,ROW(OFFSET(nombres[],ROWS(nombres[])-1,0,1,1))+1),$O1554:$O1573),3),"")</f>
        <v/>
      </c>
      <c r="ADO1554" s="42" t="str">
        <f t="array" aca="1" ref="ADO1554" ca="1">IFERROR(INDEX(nombres[],SMALL(IF(OFFSET(nombres[],0,0,ROWS(nombres[]),1)=ADO$1490,ROW(OFFSET(nombres[],0,0,ROWS(nombres[]),1))-ROW(OFFSET(nombres[],0,0,1,1))+1,ROW(OFFSET(nombres[],ROWS(nombres[])-1,0,1,1))+1),$O1554:$O1573),3),"")</f>
        <v/>
      </c>
      <c r="ADP1554" s="42" t="str">
        <f t="array" aca="1" ref="ADP1554" ca="1">IFERROR(INDEX(nombres[],SMALL(IF(OFFSET(nombres[],0,0,ROWS(nombres[]),1)=ADP$1490,ROW(OFFSET(nombres[],0,0,ROWS(nombres[]),1))-ROW(OFFSET(nombres[],0,0,1,1))+1,ROW(OFFSET(nombres[],ROWS(nombres[])-1,0,1,1))+1),$O1554:$O1573),3),"")</f>
        <v/>
      </c>
      <c r="ADQ1554" s="42" t="str">
        <f t="array" aca="1" ref="ADQ1554" ca="1">IFERROR(INDEX(nombres[],SMALL(IF(OFFSET(nombres[],0,0,ROWS(nombres[]),1)=ADQ$1490,ROW(OFFSET(nombres[],0,0,ROWS(nombres[]),1))-ROW(OFFSET(nombres[],0,0,1,1))+1,ROW(OFFSET(nombres[],ROWS(nombres[])-1,0,1,1))+1),$O1554:$O1573),3),"")</f>
        <v/>
      </c>
      <c r="ADR1554" s="42" t="str">
        <f t="array" aca="1" ref="ADR1554" ca="1">IFERROR(INDEX(nombres[],SMALL(IF(OFFSET(nombres[],0,0,ROWS(nombres[]),1)=ADR$1490,ROW(OFFSET(nombres[],0,0,ROWS(nombres[]),1))-ROW(OFFSET(nombres[],0,0,1,1))+1,ROW(OFFSET(nombres[],ROWS(nombres[])-1,0,1,1))+1),$O1554:$O1573),3),"")</f>
        <v/>
      </c>
      <c r="ADS1554" s="42" t="str">
        <f t="array" aca="1" ref="ADS1554" ca="1">IFERROR(INDEX(nombres[],SMALL(IF(OFFSET(nombres[],0,0,ROWS(nombres[]),1)=ADS$1490,ROW(OFFSET(nombres[],0,0,ROWS(nombres[]),1))-ROW(OFFSET(nombres[],0,0,1,1))+1,ROW(OFFSET(nombres[],ROWS(nombres[])-1,0,1,1))+1),$O1554:$O1573),3),"")</f>
        <v/>
      </c>
      <c r="ADT1554" s="42" t="str">
        <f t="array" aca="1" ref="ADT1554" ca="1">IFERROR(INDEX(nombres[],SMALL(IF(OFFSET(nombres[],0,0,ROWS(nombres[]),1)=ADT$1490,ROW(OFFSET(nombres[],0,0,ROWS(nombres[]),1))-ROW(OFFSET(nombres[],0,0,1,1))+1,ROW(OFFSET(nombres[],ROWS(nombres[])-1,0,1,1))+1),$O1554:$O1573),3),"")</f>
        <v/>
      </c>
      <c r="ADU1554" s="42" t="str">
        <f t="array" aca="1" ref="ADU1554" ca="1">IFERROR(INDEX(nombres[],SMALL(IF(OFFSET(nombres[],0,0,ROWS(nombres[]),1)=ADU$1490,ROW(OFFSET(nombres[],0,0,ROWS(nombres[]),1))-ROW(OFFSET(nombres[],0,0,1,1))+1,ROW(OFFSET(nombres[],ROWS(nombres[])-1,0,1,1))+1),$O1554:$O1573),3),"")</f>
        <v/>
      </c>
      <c r="ADV1554" s="42" t="str">
        <f t="array" aca="1" ref="ADV1554" ca="1">IFERROR(INDEX(nombres[],SMALL(IF(OFFSET(nombres[],0,0,ROWS(nombres[]),1)=ADV$1490,ROW(OFFSET(nombres[],0,0,ROWS(nombres[]),1))-ROW(OFFSET(nombres[],0,0,1,1))+1,ROW(OFFSET(nombres[],ROWS(nombres[])-1,0,1,1))+1),$O1554:$O1573),3),"")</f>
        <v/>
      </c>
      <c r="ADW1554" s="42" t="str">
        <f t="array" aca="1" ref="ADW1554" ca="1">IFERROR(INDEX(nombres[],SMALL(IF(OFFSET(nombres[],0,0,ROWS(nombres[]),1)=ADW$1490,ROW(OFFSET(nombres[],0,0,ROWS(nombres[]),1))-ROW(OFFSET(nombres[],0,0,1,1))+1,ROW(OFFSET(nombres[],ROWS(nombres[])-1,0,1,1))+1),$O1554:$O1573),3),"")</f>
        <v/>
      </c>
      <c r="ADX1554" s="42" t="str">
        <f t="array" aca="1" ref="ADX1554" ca="1">IFERROR(INDEX(nombres[],SMALL(IF(OFFSET(nombres[],0,0,ROWS(nombres[]),1)=ADX$1490,ROW(OFFSET(nombres[],0,0,ROWS(nombres[]),1))-ROW(OFFSET(nombres[],0,0,1,1))+1,ROW(OFFSET(nombres[],ROWS(nombres[])-1,0,1,1))+1),$O1554:$O1573),3),"")</f>
        <v/>
      </c>
      <c r="ADY1554" s="42" t="str">
        <f t="array" aca="1" ref="ADY1554" ca="1">IFERROR(INDEX(nombres[],SMALL(IF(OFFSET(nombres[],0,0,ROWS(nombres[]),1)=ADY$1490,ROW(OFFSET(nombres[],0,0,ROWS(nombres[]),1))-ROW(OFFSET(nombres[],0,0,1,1))+1,ROW(OFFSET(nombres[],ROWS(nombres[])-1,0,1,1))+1),$O1554:$O1573),3),"")</f>
        <v/>
      </c>
      <c r="ADZ1554" s="42" t="str">
        <f t="array" aca="1" ref="ADZ1554" ca="1">IFERROR(INDEX(nombres[],SMALL(IF(OFFSET(nombres[],0,0,ROWS(nombres[]),1)=ADZ$1490,ROW(OFFSET(nombres[],0,0,ROWS(nombres[]),1))-ROW(OFFSET(nombres[],0,0,1,1))+1,ROW(OFFSET(nombres[],ROWS(nombres[])-1,0,1,1))+1),$O1554:$O1573),3),"")</f>
        <v/>
      </c>
      <c r="AEA1554" s="42" t="str">
        <f t="array" aca="1" ref="AEA1554" ca="1">IFERROR(INDEX(nombres[],SMALL(IF(OFFSET(nombres[],0,0,ROWS(nombres[]),1)=AEA$1490,ROW(OFFSET(nombres[],0,0,ROWS(nombres[]),1))-ROW(OFFSET(nombres[],0,0,1,1))+1,ROW(OFFSET(nombres[],ROWS(nombres[])-1,0,1,1))+1),$O1554:$O1573),3),"")</f>
        <v/>
      </c>
      <c r="AEB1554" s="42" t="str">
        <f t="array" aca="1" ref="AEB1554" ca="1">IFERROR(INDEX(nombres[],SMALL(IF(OFFSET(nombres[],0,0,ROWS(nombres[]),1)=AEB$1490,ROW(OFFSET(nombres[],0,0,ROWS(nombres[]),1))-ROW(OFFSET(nombres[],0,0,1,1))+1,ROW(OFFSET(nombres[],ROWS(nombres[])-1,0,1,1))+1),$O1554:$O1573),3),"")</f>
        <v/>
      </c>
      <c r="AEC1554" s="42" t="str">
        <f t="array" aca="1" ref="AEC1554" ca="1">IFERROR(INDEX(nombres[],SMALL(IF(OFFSET(nombres[],0,0,ROWS(nombres[]),1)=AEC$1490,ROW(OFFSET(nombres[],0,0,ROWS(nombres[]),1))-ROW(OFFSET(nombres[],0,0,1,1))+1,ROW(OFFSET(nombres[],ROWS(nombres[])-1,0,1,1))+1),$O1554:$O1573),3),"")</f>
        <v/>
      </c>
      <c r="AED1554" s="42" t="str">
        <f t="array" aca="1" ref="AED1554" ca="1">IFERROR(INDEX(nombres[],SMALL(IF(OFFSET(nombres[],0,0,ROWS(nombres[]),1)=AED$1490,ROW(OFFSET(nombres[],0,0,ROWS(nombres[]),1))-ROW(OFFSET(nombres[],0,0,1,1))+1,ROW(OFFSET(nombres[],ROWS(nombres[])-1,0,1,1))+1),$O1554:$O1573),3),"")</f>
        <v/>
      </c>
      <c r="AEE1554" s="42" t="str">
        <f t="array" aca="1" ref="AEE1554" ca="1">IFERROR(INDEX(nombres[],SMALL(IF(OFFSET(nombres[],0,0,ROWS(nombres[]),1)=AEE$1490,ROW(OFFSET(nombres[],0,0,ROWS(nombres[]),1))-ROW(OFFSET(nombres[],0,0,1,1))+1,ROW(OFFSET(nombres[],ROWS(nombres[])-1,0,1,1))+1),$O1554:$O1573),3),"")</f>
        <v/>
      </c>
      <c r="AEF1554" s="42" t="str">
        <f t="array" aca="1" ref="AEF1554" ca="1">IFERROR(INDEX(nombres[],SMALL(IF(OFFSET(nombres[],0,0,ROWS(nombres[]),1)=AEF$1490,ROW(OFFSET(nombres[],0,0,ROWS(nombres[]),1))-ROW(OFFSET(nombres[],0,0,1,1))+1,ROW(OFFSET(nombres[],ROWS(nombres[])-1,0,1,1))+1),$O1554:$O1573),3),"")</f>
        <v/>
      </c>
      <c r="AEG1554" s="42" t="str">
        <f t="array" aca="1" ref="AEG1554" ca="1">IFERROR(INDEX(nombres[],SMALL(IF(OFFSET(nombres[],0,0,ROWS(nombres[]),1)=AEG$1490,ROW(OFFSET(nombres[],0,0,ROWS(nombres[]),1))-ROW(OFFSET(nombres[],0,0,1,1))+1,ROW(OFFSET(nombres[],ROWS(nombres[])-1,0,1,1))+1),$O1554:$O1573),3),"")</f>
        <v/>
      </c>
      <c r="AEH1554" s="42" t="str">
        <f t="array" aca="1" ref="AEH1554" ca="1">IFERROR(INDEX(nombres[],SMALL(IF(OFFSET(nombres[],0,0,ROWS(nombres[]),1)=AEH$1490,ROW(OFFSET(nombres[],0,0,ROWS(nombres[]),1))-ROW(OFFSET(nombres[],0,0,1,1))+1,ROW(OFFSET(nombres[],ROWS(nombres[])-1,0,1,1))+1),$O1554:$O1573),3),"")</f>
        <v/>
      </c>
      <c r="AEI1554" s="42" t="str">
        <f t="array" aca="1" ref="AEI1554" ca="1">IFERROR(INDEX(nombres[],SMALL(IF(OFFSET(nombres[],0,0,ROWS(nombres[]),1)=AEI$1490,ROW(OFFSET(nombres[],0,0,ROWS(nombres[]),1))-ROW(OFFSET(nombres[],0,0,1,1))+1,ROW(OFFSET(nombres[],ROWS(nombres[])-1,0,1,1))+1),$O1554:$O1573),3),"")</f>
        <v/>
      </c>
      <c r="AEJ1554" s="42" t="str">
        <f t="array" aca="1" ref="AEJ1554" ca="1">IFERROR(INDEX(nombres[],SMALL(IF(OFFSET(nombres[],0,0,ROWS(nombres[]),1)=AEJ$1490,ROW(OFFSET(nombres[],0,0,ROWS(nombres[]),1))-ROW(OFFSET(nombres[],0,0,1,1))+1,ROW(OFFSET(nombres[],ROWS(nombres[])-1,0,1,1))+1),$O1554:$O1573),3),"")</f>
        <v/>
      </c>
      <c r="AEK1554" s="42" t="str">
        <f t="array" aca="1" ref="AEK1554" ca="1">IFERROR(INDEX(nombres[],SMALL(IF(OFFSET(nombres[],0,0,ROWS(nombres[]),1)=AEK$1490,ROW(OFFSET(nombres[],0,0,ROWS(nombres[]),1))-ROW(OFFSET(nombres[],0,0,1,1))+1,ROW(OFFSET(nombres[],ROWS(nombres[])-1,0,1,1))+1),$O1554:$O1573),3),"")</f>
        <v/>
      </c>
      <c r="AEL1554" s="42" t="str">
        <f t="array" aca="1" ref="AEL1554" ca="1">IFERROR(INDEX(nombres[],SMALL(IF(OFFSET(nombres[],0,0,ROWS(nombres[]),1)=AEL$1490,ROW(OFFSET(nombres[],0,0,ROWS(nombres[]),1))-ROW(OFFSET(nombres[],0,0,1,1))+1,ROW(OFFSET(nombres[],ROWS(nombres[])-1,0,1,1))+1),$O1554:$O1573),3),"")</f>
        <v/>
      </c>
      <c r="AEM1554" s="42" t="str">
        <f t="array" aca="1" ref="AEM1554" ca="1">IFERROR(INDEX(nombres[],SMALL(IF(OFFSET(nombres[],0,0,ROWS(nombres[]),1)=AEM$1490,ROW(OFFSET(nombres[],0,0,ROWS(nombres[]),1))-ROW(OFFSET(nombres[],0,0,1,1))+1,ROW(OFFSET(nombres[],ROWS(nombres[])-1,0,1,1))+1),$O1554:$O1573),3),"")</f>
        <v/>
      </c>
      <c r="AEN1554" s="42" t="str">
        <f t="array" aca="1" ref="AEN1554" ca="1">IFERROR(INDEX(nombres[],SMALL(IF(OFFSET(nombres[],0,0,ROWS(nombres[]),1)=AEN$1490,ROW(OFFSET(nombres[],0,0,ROWS(nombres[]),1))-ROW(OFFSET(nombres[],0,0,1,1))+1,ROW(OFFSET(nombres[],ROWS(nombres[])-1,0,1,1))+1),$O1554:$O1573),3),"")</f>
        <v/>
      </c>
      <c r="AEO1554" s="42" t="str">
        <f t="array" aca="1" ref="AEO1554" ca="1">IFERROR(INDEX(nombres[],SMALL(IF(OFFSET(nombres[],0,0,ROWS(nombres[]),1)=AEO$1490,ROW(OFFSET(nombres[],0,0,ROWS(nombres[]),1))-ROW(OFFSET(nombres[],0,0,1,1))+1,ROW(OFFSET(nombres[],ROWS(nombres[])-1,0,1,1))+1),$O1554:$O1573),3),"")</f>
        <v/>
      </c>
      <c r="AEP1554" s="42" t="str">
        <f t="array" aca="1" ref="AEP1554" ca="1">IFERROR(INDEX(nombres[],SMALL(IF(OFFSET(nombres[],0,0,ROWS(nombres[]),1)=AEP$1490,ROW(OFFSET(nombres[],0,0,ROWS(nombres[]),1))-ROW(OFFSET(nombres[],0,0,1,1))+1,ROW(OFFSET(nombres[],ROWS(nombres[])-1,0,1,1))+1),$O1554:$O1573),3),"")</f>
        <v/>
      </c>
      <c r="AEQ1554" s="42" t="str">
        <f t="array" aca="1" ref="AEQ1554" ca="1">IFERROR(INDEX(nombres[],SMALL(IF(OFFSET(nombres[],0,0,ROWS(nombres[]),1)=AEQ$1490,ROW(OFFSET(nombres[],0,0,ROWS(nombres[]),1))-ROW(OFFSET(nombres[],0,0,1,1))+1,ROW(OFFSET(nombres[],ROWS(nombres[])-1,0,1,1))+1),$O1554:$O1573),3),"")</f>
        <v/>
      </c>
      <c r="AER1554" s="42" t="str">
        <f t="array" aca="1" ref="AER1554" ca="1">IFERROR(INDEX(nombres[],SMALL(IF(OFFSET(nombres[],0,0,ROWS(nombres[]),1)=AER$1490,ROW(OFFSET(nombres[],0,0,ROWS(nombres[]),1))-ROW(OFFSET(nombres[],0,0,1,1))+1,ROW(OFFSET(nombres[],ROWS(nombres[])-1,0,1,1))+1),$O1554:$O1573),3),"")</f>
        <v/>
      </c>
      <c r="AES1554" s="42" t="str">
        <f t="array" aca="1" ref="AES1554" ca="1">IFERROR(INDEX(nombres[],SMALL(IF(OFFSET(nombres[],0,0,ROWS(nombres[]),1)=AES$1490,ROW(OFFSET(nombres[],0,0,ROWS(nombres[]),1))-ROW(OFFSET(nombres[],0,0,1,1))+1,ROW(OFFSET(nombres[],ROWS(nombres[])-1,0,1,1))+1),$O1554:$O1573),3),"")</f>
        <v/>
      </c>
      <c r="AET1554" s="42" t="str">
        <f t="array" aca="1" ref="AET1554" ca="1">IFERROR(INDEX(nombres[],SMALL(IF(OFFSET(nombres[],0,0,ROWS(nombres[]),1)=AET$1490,ROW(OFFSET(nombres[],0,0,ROWS(nombres[]),1))-ROW(OFFSET(nombres[],0,0,1,1))+1,ROW(OFFSET(nombres[],ROWS(nombres[])-1,0,1,1))+1),$O1554:$O1573),3),"")</f>
        <v/>
      </c>
      <c r="AEU1554" s="42" t="str">
        <f t="array" aca="1" ref="AEU1554" ca="1">IFERROR(INDEX(nombres[],SMALL(IF(OFFSET(nombres[],0,0,ROWS(nombres[]),1)=AEU$1490,ROW(OFFSET(nombres[],0,0,ROWS(nombres[]),1))-ROW(OFFSET(nombres[],0,0,1,1))+1,ROW(OFFSET(nombres[],ROWS(nombres[])-1,0,1,1))+1),$O1554:$O1573),3),"")</f>
        <v/>
      </c>
      <c r="AEV1554" s="42" t="str">
        <f t="array" aca="1" ref="AEV1554" ca="1">IFERROR(INDEX(nombres[],SMALL(IF(OFFSET(nombres[],0,0,ROWS(nombres[]),1)=AEV$1490,ROW(OFFSET(nombres[],0,0,ROWS(nombres[]),1))-ROW(OFFSET(nombres[],0,0,1,1))+1,ROW(OFFSET(nombres[],ROWS(nombres[])-1,0,1,1))+1),$O1554:$O1573),3),"")</f>
        <v/>
      </c>
      <c r="AEW1554" s="42" t="str">
        <f t="array" aca="1" ref="AEW1554" ca="1">IFERROR(INDEX(nombres[],SMALL(IF(OFFSET(nombres[],0,0,ROWS(nombres[]),1)=AEW$1490,ROW(OFFSET(nombres[],0,0,ROWS(nombres[]),1))-ROW(OFFSET(nombres[],0,0,1,1))+1,ROW(OFFSET(nombres[],ROWS(nombres[])-1,0,1,1))+1),$O1554:$O1573),3),"")</f>
        <v/>
      </c>
      <c r="AEX1554" s="42" t="str">
        <f t="array" aca="1" ref="AEX1554" ca="1">IFERROR(INDEX(nombres[],SMALL(IF(OFFSET(nombres[],0,0,ROWS(nombres[]),1)=AEX$1490,ROW(OFFSET(nombres[],0,0,ROWS(nombres[]),1))-ROW(OFFSET(nombres[],0,0,1,1))+1,ROW(OFFSET(nombres[],ROWS(nombres[])-1,0,1,1))+1),$O1554:$O1573),3),"")</f>
        <v/>
      </c>
      <c r="AEY1554" s="42" t="str">
        <f t="array" aca="1" ref="AEY1554" ca="1">IFERROR(INDEX(nombres[],SMALL(IF(OFFSET(nombres[],0,0,ROWS(nombres[]),1)=AEY$1490,ROW(OFFSET(nombres[],0,0,ROWS(nombres[]),1))-ROW(OFFSET(nombres[],0,0,1,1))+1,ROW(OFFSET(nombres[],ROWS(nombres[])-1,0,1,1))+1),$O1554:$O1573),3),"")</f>
        <v/>
      </c>
      <c r="AEZ1554" s="42" t="str">
        <f t="array" aca="1" ref="AEZ1554" ca="1">IFERROR(INDEX(nombres[],SMALL(IF(OFFSET(nombres[],0,0,ROWS(nombres[]),1)=AEZ$1490,ROW(OFFSET(nombres[],0,0,ROWS(nombres[]),1))-ROW(OFFSET(nombres[],0,0,1,1))+1,ROW(OFFSET(nombres[],ROWS(nombres[])-1,0,1,1))+1),$O1554:$O1573),3),"")</f>
        <v/>
      </c>
      <c r="AFA1554" s="42" t="str">
        <f t="array" aca="1" ref="AFA1554" ca="1">IFERROR(INDEX(nombres[],SMALL(IF(OFFSET(nombres[],0,0,ROWS(nombres[]),1)=AFA$1490,ROW(OFFSET(nombres[],0,0,ROWS(nombres[]),1))-ROW(OFFSET(nombres[],0,0,1,1))+1,ROW(OFFSET(nombres[],ROWS(nombres[])-1,0,1,1))+1),$O1554:$O1573),3),"")</f>
        <v/>
      </c>
      <c r="AFB1554" s="42" t="str">
        <f t="array" aca="1" ref="AFB1554" ca="1">IFERROR(INDEX(nombres[],SMALL(IF(OFFSET(nombres[],0,0,ROWS(nombres[]),1)=AFB$1490,ROW(OFFSET(nombres[],0,0,ROWS(nombres[]),1))-ROW(OFFSET(nombres[],0,0,1,1))+1,ROW(OFFSET(nombres[],ROWS(nombres[])-1,0,1,1))+1),$O1554:$O1573),3),"")</f>
        <v/>
      </c>
      <c r="AFC1554" s="42" t="str">
        <f t="array" aca="1" ref="AFC1554" ca="1">IFERROR(INDEX(nombres[],SMALL(IF(OFFSET(nombres[],0,0,ROWS(nombres[]),1)=AFC$1490,ROW(OFFSET(nombres[],0,0,ROWS(nombres[]),1))-ROW(OFFSET(nombres[],0,0,1,1))+1,ROW(OFFSET(nombres[],ROWS(nombres[])-1,0,1,1))+1),$O1554:$O1573),3),"")</f>
        <v/>
      </c>
      <c r="AFD1554" s="42" t="str">
        <f t="array" aca="1" ref="AFD1554" ca="1">IFERROR(INDEX(nombres[],SMALL(IF(OFFSET(nombres[],0,0,ROWS(nombres[]),1)=AFD$1490,ROW(OFFSET(nombres[],0,0,ROWS(nombres[]),1))-ROW(OFFSET(nombres[],0,0,1,1))+1,ROW(OFFSET(nombres[],ROWS(nombres[])-1,0,1,1))+1),$O1554:$O1573),3),"")</f>
        <v/>
      </c>
      <c r="AFE1554" s="42" t="str">
        <f t="array" aca="1" ref="AFE1554" ca="1">IFERROR(INDEX(nombres[],SMALL(IF(OFFSET(nombres[],0,0,ROWS(nombres[]),1)=AFE$1490,ROW(OFFSET(nombres[],0,0,ROWS(nombres[]),1))-ROW(OFFSET(nombres[],0,0,1,1))+1,ROW(OFFSET(nombres[],ROWS(nombres[])-1,0,1,1))+1),$O1554:$O1573),3),"")</f>
        <v/>
      </c>
      <c r="AFF1554" s="42" t="str">
        <f t="array" aca="1" ref="AFF1554" ca="1">IFERROR(INDEX(nombres[],SMALL(IF(OFFSET(nombres[],0,0,ROWS(nombres[]),1)=AFF$1490,ROW(OFFSET(nombres[],0,0,ROWS(nombres[]),1))-ROW(OFFSET(nombres[],0,0,1,1))+1,ROW(OFFSET(nombres[],ROWS(nombres[])-1,0,1,1))+1),$O1554:$O1573),3),"")</f>
        <v/>
      </c>
      <c r="AFG1554" s="42" t="str">
        <f t="array" aca="1" ref="AFG1554" ca="1">IFERROR(INDEX(nombres[],SMALL(IF(OFFSET(nombres[],0,0,ROWS(nombres[]),1)=AFG$1490,ROW(OFFSET(nombres[],0,0,ROWS(nombres[]),1))-ROW(OFFSET(nombres[],0,0,1,1))+1,ROW(OFFSET(nombres[],ROWS(nombres[])-1,0,1,1))+1),$O1554:$O1573),3),"")</f>
        <v/>
      </c>
      <c r="AFH1554" s="42" t="str">
        <f t="array" aca="1" ref="AFH1554" ca="1">IFERROR(INDEX(nombres[],SMALL(IF(OFFSET(nombres[],0,0,ROWS(nombres[]),1)=AFH$1490,ROW(OFFSET(nombres[],0,0,ROWS(nombres[]),1))-ROW(OFFSET(nombres[],0,0,1,1))+1,ROW(OFFSET(nombres[],ROWS(nombres[])-1,0,1,1))+1),$O1554:$O1573),3),"")</f>
        <v/>
      </c>
      <c r="AFI1554" s="42" t="str">
        <f t="array" aca="1" ref="AFI1554" ca="1">IFERROR(INDEX(nombres[],SMALL(IF(OFFSET(nombres[],0,0,ROWS(nombres[]),1)=AFI$1490,ROW(OFFSET(nombres[],0,0,ROWS(nombres[]),1))-ROW(OFFSET(nombres[],0,0,1,1))+1,ROW(OFFSET(nombres[],ROWS(nombres[])-1,0,1,1))+1),$O1554:$O1573),3),"")</f>
        <v/>
      </c>
      <c r="AFJ1554" s="42" t="str">
        <f t="array" aca="1" ref="AFJ1554" ca="1">IFERROR(INDEX(nombres[],SMALL(IF(OFFSET(nombres[],0,0,ROWS(nombres[]),1)=AFJ$1490,ROW(OFFSET(nombres[],0,0,ROWS(nombres[]),1))-ROW(OFFSET(nombres[],0,0,1,1))+1,ROW(OFFSET(nombres[],ROWS(nombres[])-1,0,1,1))+1),$O1554:$O1573),3),"")</f>
        <v/>
      </c>
      <c r="AFK1554" s="42" t="str">
        <f t="array" aca="1" ref="AFK1554" ca="1">IFERROR(INDEX(nombres[],SMALL(IF(OFFSET(nombres[],0,0,ROWS(nombres[]),1)=AFK$1490,ROW(OFFSET(nombres[],0,0,ROWS(nombres[]),1))-ROW(OFFSET(nombres[],0,0,1,1))+1,ROW(OFFSET(nombres[],ROWS(nombres[])-1,0,1,1))+1),$O1554:$O1573),3),"")</f>
        <v/>
      </c>
      <c r="AFL1554" s="42" t="str">
        <f t="array" aca="1" ref="AFL1554" ca="1">IFERROR(INDEX(nombres[],SMALL(IF(OFFSET(nombres[],0,0,ROWS(nombres[]),1)=AFL$1490,ROW(OFFSET(nombres[],0,0,ROWS(nombres[]),1))-ROW(OFFSET(nombres[],0,0,1,1))+1,ROW(OFFSET(nombres[],ROWS(nombres[])-1,0,1,1))+1),$O1554:$O1573),3),"")</f>
        <v/>
      </c>
      <c r="AFM1554" s="42" t="str">
        <f t="array" aca="1" ref="AFM1554" ca="1">IFERROR(INDEX(nombres[],SMALL(IF(OFFSET(nombres[],0,0,ROWS(nombres[]),1)=AFM$1490,ROW(OFFSET(nombres[],0,0,ROWS(nombres[]),1))-ROW(OFFSET(nombres[],0,0,1,1))+1,ROW(OFFSET(nombres[],ROWS(nombres[])-1,0,1,1))+1),$O1554:$O1573),3),"")</f>
        <v/>
      </c>
      <c r="AFN1554" s="42" t="str">
        <f t="array" aca="1" ref="AFN1554" ca="1">IFERROR(INDEX(nombres[],SMALL(IF(OFFSET(nombres[],0,0,ROWS(nombres[]),1)=AFN$1490,ROW(OFFSET(nombres[],0,0,ROWS(nombres[]),1))-ROW(OFFSET(nombres[],0,0,1,1))+1,ROW(OFFSET(nombres[],ROWS(nombres[])-1,0,1,1))+1),$O1554:$O1573),3),"")</f>
        <v/>
      </c>
      <c r="AFO1554" s="42" t="str">
        <f t="array" aca="1" ref="AFO1554" ca="1">IFERROR(INDEX(nombres[],SMALL(IF(OFFSET(nombres[],0,0,ROWS(nombres[]),1)=AFO$1490,ROW(OFFSET(nombres[],0,0,ROWS(nombres[]),1))-ROW(OFFSET(nombres[],0,0,1,1))+1,ROW(OFFSET(nombres[],ROWS(nombres[])-1,0,1,1))+1),$O1554:$O1573),3),"")</f>
        <v/>
      </c>
      <c r="AFP1554" s="42" t="str">
        <f t="array" aca="1" ref="AFP1554" ca="1">IFERROR(INDEX(nombres[],SMALL(IF(OFFSET(nombres[],0,0,ROWS(nombres[]),1)=AFP$1490,ROW(OFFSET(nombres[],0,0,ROWS(nombres[]),1))-ROW(OFFSET(nombres[],0,0,1,1))+1,ROW(OFFSET(nombres[],ROWS(nombres[])-1,0,1,1))+1),$O1554:$O1573),3),"")</f>
        <v/>
      </c>
      <c r="AFQ1554" s="42" t="str">
        <f t="array" aca="1" ref="AFQ1554" ca="1">IFERROR(INDEX(nombres[],SMALL(IF(OFFSET(nombres[],0,0,ROWS(nombres[]),1)=AFQ$1490,ROW(OFFSET(nombres[],0,0,ROWS(nombres[]),1))-ROW(OFFSET(nombres[],0,0,1,1))+1,ROW(OFFSET(nombres[],ROWS(nombres[])-1,0,1,1))+1),$O1554:$O1573),3),"")</f>
        <v/>
      </c>
      <c r="AFR1554" s="42" t="str">
        <f t="array" aca="1" ref="AFR1554" ca="1">IFERROR(INDEX(nombres[],SMALL(IF(OFFSET(nombres[],0,0,ROWS(nombres[]),1)=AFR$1490,ROW(OFFSET(nombres[],0,0,ROWS(nombres[]),1))-ROW(OFFSET(nombres[],0,0,1,1))+1,ROW(OFFSET(nombres[],ROWS(nombres[])-1,0,1,1))+1),$O1554:$O1573),3),"")</f>
        <v/>
      </c>
      <c r="AFS1554" s="42" t="str">
        <f t="array" aca="1" ref="AFS1554" ca="1">IFERROR(INDEX(nombres[],SMALL(IF(OFFSET(nombres[],0,0,ROWS(nombres[]),1)=AFS$1490,ROW(OFFSET(nombres[],0,0,ROWS(nombres[]),1))-ROW(OFFSET(nombres[],0,0,1,1))+1,ROW(OFFSET(nombres[],ROWS(nombres[])-1,0,1,1))+1),$O1554:$O1573),3),"")</f>
        <v/>
      </c>
      <c r="AFT1554" s="42" t="str">
        <f t="array" aca="1" ref="AFT1554" ca="1">IFERROR(INDEX(nombres[],SMALL(IF(OFFSET(nombres[],0,0,ROWS(nombres[]),1)=AFT$1490,ROW(OFFSET(nombres[],0,0,ROWS(nombres[]),1))-ROW(OFFSET(nombres[],0,0,1,1))+1,ROW(OFFSET(nombres[],ROWS(nombres[])-1,0,1,1))+1),$O1554:$O1573),3),"")</f>
        <v/>
      </c>
      <c r="AFU1554" s="42" t="str">
        <f t="array" aca="1" ref="AFU1554" ca="1">IFERROR(INDEX(nombres[],SMALL(IF(OFFSET(nombres[],0,0,ROWS(nombres[]),1)=AFU$1490,ROW(OFFSET(nombres[],0,0,ROWS(nombres[]),1))-ROW(OFFSET(nombres[],0,0,1,1))+1,ROW(OFFSET(nombres[],ROWS(nombres[])-1,0,1,1))+1),$O1554:$O1573),3),"")</f>
        <v/>
      </c>
      <c r="AFV1554" s="42" t="str">
        <f t="array" aca="1" ref="AFV1554" ca="1">IFERROR(INDEX(nombres[],SMALL(IF(OFFSET(nombres[],0,0,ROWS(nombres[]),1)=AFV$1490,ROW(OFFSET(nombres[],0,0,ROWS(nombres[]),1))-ROW(OFFSET(nombres[],0,0,1,1))+1,ROW(OFFSET(nombres[],ROWS(nombres[])-1,0,1,1))+1),$O1554:$O1573),3),"")</f>
        <v/>
      </c>
      <c r="AFW1554" s="42" t="str">
        <f t="array" aca="1" ref="AFW1554" ca="1">IFERROR(INDEX(nombres[],SMALL(IF(OFFSET(nombres[],0,0,ROWS(nombres[]),1)=AFW$1490,ROW(OFFSET(nombres[],0,0,ROWS(nombres[]),1))-ROW(OFFSET(nombres[],0,0,1,1))+1,ROW(OFFSET(nombres[],ROWS(nombres[])-1,0,1,1))+1),$O1554:$O1573),3),"")</f>
        <v/>
      </c>
      <c r="AFX1554" s="42" t="str">
        <f t="array" aca="1" ref="AFX1554" ca="1">IFERROR(INDEX(nombres[],SMALL(IF(OFFSET(nombres[],0,0,ROWS(nombres[]),1)=AFX$1490,ROW(OFFSET(nombres[],0,0,ROWS(nombres[]),1))-ROW(OFFSET(nombres[],0,0,1,1))+1,ROW(OFFSET(nombres[],ROWS(nombres[])-1,0,1,1))+1),$O1554:$O1573),3),"")</f>
        <v/>
      </c>
      <c r="AFY1554" s="42" t="str">
        <f t="array" aca="1" ref="AFY1554" ca="1">IFERROR(INDEX(nombres[],SMALL(IF(OFFSET(nombres[],0,0,ROWS(nombres[]),1)=AFY$1490,ROW(OFFSET(nombres[],0,0,ROWS(nombres[]),1))-ROW(OFFSET(nombres[],0,0,1,1))+1,ROW(OFFSET(nombres[],ROWS(nombres[])-1,0,1,1))+1),$O1554:$O1573),3),"")</f>
        <v/>
      </c>
      <c r="AFZ1554" s="42" t="str">
        <f t="array" aca="1" ref="AFZ1554" ca="1">IFERROR(INDEX(nombres[],SMALL(IF(OFFSET(nombres[],0,0,ROWS(nombres[]),1)=AFZ$1490,ROW(OFFSET(nombres[],0,0,ROWS(nombres[]),1))-ROW(OFFSET(nombres[],0,0,1,1))+1,ROW(OFFSET(nombres[],ROWS(nombres[])-1,0,1,1))+1),$O1554:$O1573),3),"")</f>
        <v/>
      </c>
      <c r="AGA1554" s="42" t="str">
        <f t="array" aca="1" ref="AGA1554" ca="1">IFERROR(INDEX(nombres[],SMALL(IF(OFFSET(nombres[],0,0,ROWS(nombres[]),1)=AGA$1490,ROW(OFFSET(nombres[],0,0,ROWS(nombres[]),1))-ROW(OFFSET(nombres[],0,0,1,1))+1,ROW(OFFSET(nombres[],ROWS(nombres[])-1,0,1,1))+1),$O1554:$O1573),3),"")</f>
        <v/>
      </c>
      <c r="AGB1554" s="42" t="str">
        <f t="array" aca="1" ref="AGB1554" ca="1">IFERROR(INDEX(nombres[],SMALL(IF(OFFSET(nombres[],0,0,ROWS(nombres[]),1)=AGB$1490,ROW(OFFSET(nombres[],0,0,ROWS(nombres[]),1))-ROW(OFFSET(nombres[],0,0,1,1))+1,ROW(OFFSET(nombres[],ROWS(nombres[])-1,0,1,1))+1),$O1554:$O1573),3),"")</f>
        <v/>
      </c>
      <c r="AGC1554" s="42" t="str">
        <f t="array" aca="1" ref="AGC1554" ca="1">IFERROR(INDEX(nombres[],SMALL(IF(OFFSET(nombres[],0,0,ROWS(nombres[]),1)=AGC$1490,ROW(OFFSET(nombres[],0,0,ROWS(nombres[]),1))-ROW(OFFSET(nombres[],0,0,1,1))+1,ROW(OFFSET(nombres[],ROWS(nombres[])-1,0,1,1))+1),$O1554:$O1573),3),"")</f>
        <v/>
      </c>
      <c r="AGD1554" s="42" t="str">
        <f t="array" aca="1" ref="AGD1554" ca="1">IFERROR(INDEX(nombres[],SMALL(IF(OFFSET(nombres[],0,0,ROWS(nombres[]),1)=AGD$1490,ROW(OFFSET(nombres[],0,0,ROWS(nombres[]),1))-ROW(OFFSET(nombres[],0,0,1,1))+1,ROW(OFFSET(nombres[],ROWS(nombres[])-1,0,1,1))+1),$O1554:$O1573),3),"")</f>
        <v/>
      </c>
      <c r="AGE1554" s="42" t="str">
        <f t="array" aca="1" ref="AGE1554" ca="1">IFERROR(INDEX(nombres[],SMALL(IF(OFFSET(nombres[],0,0,ROWS(nombres[]),1)=AGE$1490,ROW(OFFSET(nombres[],0,0,ROWS(nombres[]),1))-ROW(OFFSET(nombres[],0,0,1,1))+1,ROW(OFFSET(nombres[],ROWS(nombres[])-1,0,1,1))+1),$O1554:$O1573),3),"")</f>
        <v/>
      </c>
      <c r="AGF1554" s="42" t="str">
        <f t="array" aca="1" ref="AGF1554" ca="1">IFERROR(INDEX(nombres[],SMALL(IF(OFFSET(nombres[],0,0,ROWS(nombres[]),1)=AGF$1490,ROW(OFFSET(nombres[],0,0,ROWS(nombres[]),1))-ROW(OFFSET(nombres[],0,0,1,1))+1,ROW(OFFSET(nombres[],ROWS(nombres[])-1,0,1,1))+1),$O1554:$O1573),3),"")</f>
        <v/>
      </c>
      <c r="AGG1554" s="42" t="str">
        <f t="array" aca="1" ref="AGG1554" ca="1">IFERROR(INDEX(nombres[],SMALL(IF(OFFSET(nombres[],0,0,ROWS(nombres[]),1)=AGG$1490,ROW(OFFSET(nombres[],0,0,ROWS(nombres[]),1))-ROW(OFFSET(nombres[],0,0,1,1))+1,ROW(OFFSET(nombres[],ROWS(nombres[])-1,0,1,1))+1),$O1554:$O1573),3),"")</f>
        <v/>
      </c>
      <c r="AGH1554" s="42" t="str">
        <f t="array" aca="1" ref="AGH1554" ca="1">IFERROR(INDEX(nombres[],SMALL(IF(OFFSET(nombres[],0,0,ROWS(nombres[]),1)=AGH$1490,ROW(OFFSET(nombres[],0,0,ROWS(nombres[]),1))-ROW(OFFSET(nombres[],0,0,1,1))+1,ROW(OFFSET(nombres[],ROWS(nombres[])-1,0,1,1))+1),$O1554:$O1573),3),"")</f>
        <v/>
      </c>
      <c r="AGI1554" s="42" t="str">
        <f t="array" aca="1" ref="AGI1554" ca="1">IFERROR(INDEX(nombres[],SMALL(IF(OFFSET(nombres[],0,0,ROWS(nombres[]),1)=AGI$1490,ROW(OFFSET(nombres[],0,0,ROWS(nombres[]),1))-ROW(OFFSET(nombres[],0,0,1,1))+1,ROW(OFFSET(nombres[],ROWS(nombres[])-1,0,1,1))+1),$O1554:$O1573),3),"")</f>
        <v/>
      </c>
      <c r="AGJ1554" s="42" t="str">
        <f t="array" aca="1" ref="AGJ1554" ca="1">IFERROR(INDEX(nombres[],SMALL(IF(OFFSET(nombres[],0,0,ROWS(nombres[]),1)=AGJ$1490,ROW(OFFSET(nombres[],0,0,ROWS(nombres[]),1))-ROW(OFFSET(nombres[],0,0,1,1))+1,ROW(OFFSET(nombres[],ROWS(nombres[])-1,0,1,1))+1),$O1554:$O1573),3),"")</f>
        <v/>
      </c>
      <c r="AGK1554" s="42" t="str">
        <f t="array" aca="1" ref="AGK1554" ca="1">IFERROR(INDEX(nombres[],SMALL(IF(OFFSET(nombres[],0,0,ROWS(nombres[]),1)=AGK$1490,ROW(OFFSET(nombres[],0,0,ROWS(nombres[]),1))-ROW(OFFSET(nombres[],0,0,1,1))+1,ROW(OFFSET(nombres[],ROWS(nombres[])-1,0,1,1))+1),$O1554:$O1573),3),"")</f>
        <v/>
      </c>
      <c r="AGL1554" s="42" t="str">
        <f t="array" aca="1" ref="AGL1554" ca="1">IFERROR(INDEX(nombres[],SMALL(IF(OFFSET(nombres[],0,0,ROWS(nombres[]),1)=AGL$1490,ROW(OFFSET(nombres[],0,0,ROWS(nombres[]),1))-ROW(OFFSET(nombres[],0,0,1,1))+1,ROW(OFFSET(nombres[],ROWS(nombres[])-1,0,1,1))+1),$O1554:$O1573),3),"")</f>
        <v/>
      </c>
      <c r="AGM1554" s="42" t="str">
        <f t="array" aca="1" ref="AGM1554" ca="1">IFERROR(INDEX(nombres[],SMALL(IF(OFFSET(nombres[],0,0,ROWS(nombres[]),1)=AGM$1490,ROW(OFFSET(nombres[],0,0,ROWS(nombres[]),1))-ROW(OFFSET(nombres[],0,0,1,1))+1,ROW(OFFSET(nombres[],ROWS(nombres[])-1,0,1,1))+1),$O1554:$O1573),3),"")</f>
        <v/>
      </c>
      <c r="AGN1554" s="42" t="str">
        <f t="array" aca="1" ref="AGN1554" ca="1">IFERROR(INDEX(nombres[],SMALL(IF(OFFSET(nombres[],0,0,ROWS(nombres[]),1)=AGN$1490,ROW(OFFSET(nombres[],0,0,ROWS(nombres[]),1))-ROW(OFFSET(nombres[],0,0,1,1))+1,ROW(OFFSET(nombres[],ROWS(nombres[])-1,0,1,1))+1),$O1554:$O1573),3),"")</f>
        <v/>
      </c>
    </row>
    <row r="1555" spans="15:872" x14ac:dyDescent="0.25">
      <c r="O1555" s="42">
        <v>19</v>
      </c>
      <c r="P1555" s="42" t="str">
        <f t="array" aca="1" ref="P1555" ca="1">IFERROR(INDEX(nombres[],SMALL(IF(OFFSET(nombres[],0,0,ROWS(nombres[]),1)=P$1490,ROW(OFFSET(nombres[],0,0,ROWS(nombres[]),1))-ROW(OFFSET(nombres[],0,0,1,1))+1,ROW(OFFSET(nombres[],ROWS(nombres[])-1,0,1,1))+1),$O1555:$O1574),3),"")</f>
        <v/>
      </c>
      <c r="Q1555" s="42" t="str">
        <f t="array" aca="1" ref="Q1555" ca="1">IFERROR(INDEX(nombres[],SMALL(IF(OFFSET(nombres[],0,0,ROWS(nombres[]),1)=Q$1490,ROW(OFFSET(nombres[],0,0,ROWS(nombres[]),1))-ROW(OFFSET(nombres[],0,0,1,1))+1,ROW(OFFSET(nombres[],ROWS(nombres[])-1,0,1,1))+1),$O1555:$O1574),3),"")</f>
        <v/>
      </c>
      <c r="R1555" s="42" t="str">
        <f t="array" aca="1" ref="R1555" ca="1">IFERROR(INDEX(nombres[],SMALL(IF(OFFSET(nombres[],0,0,ROWS(nombres[]),1)=R$1490,ROW(OFFSET(nombres[],0,0,ROWS(nombres[]),1))-ROW(OFFSET(nombres[],0,0,1,1))+1,ROW(OFFSET(nombres[],ROWS(nombres[])-1,0,1,1))+1),$O1555:$O1574),3),"")</f>
        <v/>
      </c>
      <c r="S1555" s="42" t="str">
        <f t="array" aca="1" ref="S1555" ca="1">IFERROR(INDEX(nombres[],SMALL(IF(OFFSET(nombres[],0,0,ROWS(nombres[]),1)=S$1490,ROW(OFFSET(nombres[],0,0,ROWS(nombres[]),1))-ROW(OFFSET(nombres[],0,0,1,1))+1,ROW(OFFSET(nombres[],ROWS(nombres[])-1,0,1,1))+1),$O1555:$O1574),3),"")</f>
        <v/>
      </c>
      <c r="T1555" s="42" t="str">
        <f t="array" aca="1" ref="T1555" ca="1">IFERROR(INDEX(nombres[],SMALL(IF(OFFSET(nombres[],0,0,ROWS(nombres[]),1)=T$1490,ROW(OFFSET(nombres[],0,0,ROWS(nombres[]),1))-ROW(OFFSET(nombres[],0,0,1,1))+1,ROW(OFFSET(nombres[],ROWS(nombres[])-1,0,1,1))+1),$O1555:$O1574),3),"")</f>
        <v/>
      </c>
      <c r="U1555" s="42" t="str">
        <f t="array" aca="1" ref="U1555" ca="1">IFERROR(INDEX(nombres[],SMALL(IF(OFFSET(nombres[],0,0,ROWS(nombres[]),1)=U$1490,ROW(OFFSET(nombres[],0,0,ROWS(nombres[]),1))-ROW(OFFSET(nombres[],0,0,1,1))+1,ROW(OFFSET(nombres[],ROWS(nombres[])-1,0,1,1))+1),$O1555:$O1574),3),"")</f>
        <v/>
      </c>
      <c r="V1555" s="42" t="str">
        <f t="array" aca="1" ref="V1555" ca="1">IFERROR(INDEX(nombres[],SMALL(IF(OFFSET(nombres[],0,0,ROWS(nombres[]),1)=V$1490,ROW(OFFSET(nombres[],0,0,ROWS(nombres[]),1))-ROW(OFFSET(nombres[],0,0,1,1))+1,ROW(OFFSET(nombres[],ROWS(nombres[])-1,0,1,1))+1),$O1555:$O1574),3),"")</f>
        <v/>
      </c>
      <c r="W1555" s="42" t="str">
        <f t="array" aca="1" ref="W1555" ca="1">IFERROR(INDEX(nombres[],SMALL(IF(OFFSET(nombres[],0,0,ROWS(nombres[]),1)=W$1490,ROW(OFFSET(nombres[],0,0,ROWS(nombres[]),1))-ROW(OFFSET(nombres[],0,0,1,1))+1,ROW(OFFSET(nombres[],ROWS(nombres[])-1,0,1,1))+1),$O1555:$O1574),3),"")</f>
        <v/>
      </c>
      <c r="X1555" s="42" t="str">
        <f t="array" aca="1" ref="X1555" ca="1">IFERROR(INDEX(nombres[],SMALL(IF(OFFSET(nombres[],0,0,ROWS(nombres[]),1)=X$1490,ROW(OFFSET(nombres[],0,0,ROWS(nombres[]),1))-ROW(OFFSET(nombres[],0,0,1,1))+1,ROW(OFFSET(nombres[],ROWS(nombres[])-1,0,1,1))+1),$O1555:$O1574),3),"")</f>
        <v/>
      </c>
      <c r="Y1555" s="42" t="str">
        <f t="array" aca="1" ref="Y1555" ca="1">IFERROR(INDEX(nombres[],SMALL(IF(OFFSET(nombres[],0,0,ROWS(nombres[]),1)=Y$1490,ROW(OFFSET(nombres[],0,0,ROWS(nombres[]),1))-ROW(OFFSET(nombres[],0,0,1,1))+1,ROW(OFFSET(nombres[],ROWS(nombres[])-1,0,1,1))+1),$O1555:$O1574),3),"")</f>
        <v/>
      </c>
      <c r="Z1555" s="42" t="str">
        <f t="array" aca="1" ref="Z1555" ca="1">IFERROR(INDEX(nombres[],SMALL(IF(OFFSET(nombres[],0,0,ROWS(nombres[]),1)=Z$1490,ROW(OFFSET(nombres[],0,0,ROWS(nombres[]),1))-ROW(OFFSET(nombres[],0,0,1,1))+1,ROW(OFFSET(nombres[],ROWS(nombres[])-1,0,1,1))+1),$O1555:$O1574),3),"")</f>
        <v/>
      </c>
      <c r="AA1555" s="42" t="str">
        <f t="array" aca="1" ref="AA1555" ca="1">IFERROR(INDEX(nombres[],SMALL(IF(OFFSET(nombres[],0,0,ROWS(nombres[]),1)=AA$1490,ROW(OFFSET(nombres[],0,0,ROWS(nombres[]),1))-ROW(OFFSET(nombres[],0,0,1,1))+1,ROW(OFFSET(nombres[],ROWS(nombres[])-1,0,1,1))+1),$O1555:$O1574),3),"")</f>
        <v/>
      </c>
      <c r="AB1555" s="42" t="str">
        <f t="array" aca="1" ref="AB1555" ca="1">IFERROR(INDEX(nombres[],SMALL(IF(OFFSET(nombres[],0,0,ROWS(nombres[]),1)=AB$1490,ROW(OFFSET(nombres[],0,0,ROWS(nombres[]),1))-ROW(OFFSET(nombres[],0,0,1,1))+1,ROW(OFFSET(nombres[],ROWS(nombres[])-1,0,1,1))+1),$O1555:$O1574),3),"")</f>
        <v/>
      </c>
      <c r="AC1555" s="42" t="str">
        <f t="array" aca="1" ref="AC1555" ca="1">IFERROR(INDEX(nombres[],SMALL(IF(OFFSET(nombres[],0,0,ROWS(nombres[]),1)=AC$1490,ROW(OFFSET(nombres[],0,0,ROWS(nombres[]),1))-ROW(OFFSET(nombres[],0,0,1,1))+1,ROW(OFFSET(nombres[],ROWS(nombres[])-1,0,1,1))+1),$O1555:$O1574),3),"")</f>
        <v/>
      </c>
      <c r="AD1555" s="42" t="str">
        <f t="array" aca="1" ref="AD1555" ca="1">IFERROR(INDEX(nombres[],SMALL(IF(OFFSET(nombres[],0,0,ROWS(nombres[]),1)=AD$1490,ROW(OFFSET(nombres[],0,0,ROWS(nombres[]),1))-ROW(OFFSET(nombres[],0,0,1,1))+1,ROW(OFFSET(nombres[],ROWS(nombres[])-1,0,1,1))+1),$O1555:$O1574),3),"")</f>
        <v/>
      </c>
      <c r="AE1555" s="42" t="str">
        <f t="array" aca="1" ref="AE1555" ca="1">IFERROR(INDEX(nombres[],SMALL(IF(OFFSET(nombres[],0,0,ROWS(nombres[]),1)=AE$1490,ROW(OFFSET(nombres[],0,0,ROWS(nombres[]),1))-ROW(OFFSET(nombres[],0,0,1,1))+1,ROW(OFFSET(nombres[],ROWS(nombres[])-1,0,1,1))+1),$O1555:$O1574),3),"")</f>
        <v/>
      </c>
      <c r="AF1555" s="42" t="str">
        <f t="array" aca="1" ref="AF1555" ca="1">IFERROR(INDEX(nombres[],SMALL(IF(OFFSET(nombres[],0,0,ROWS(nombres[]),1)=AF$1490,ROW(OFFSET(nombres[],0,0,ROWS(nombres[]),1))-ROW(OFFSET(nombres[],0,0,1,1))+1,ROW(OFFSET(nombres[],ROWS(nombres[])-1,0,1,1))+1),$O1555:$O1574),3),"")</f>
        <v/>
      </c>
      <c r="AG1555" s="42" t="str">
        <f t="array" aca="1" ref="AG1555" ca="1">IFERROR(INDEX(nombres[],SMALL(IF(OFFSET(nombres[],0,0,ROWS(nombres[]),1)=AG$1490,ROW(OFFSET(nombres[],0,0,ROWS(nombres[]),1))-ROW(OFFSET(nombres[],0,0,1,1))+1,ROW(OFFSET(nombres[],ROWS(nombres[])-1,0,1,1))+1),$O1555:$O1574),3),"")</f>
        <v/>
      </c>
      <c r="AH1555" s="42" t="str">
        <f t="array" aca="1" ref="AH1555" ca="1">IFERROR(INDEX(nombres[],SMALL(IF(OFFSET(nombres[],0,0,ROWS(nombres[]),1)=AH$1490,ROW(OFFSET(nombres[],0,0,ROWS(nombres[]),1))-ROW(OFFSET(nombres[],0,0,1,1))+1,ROW(OFFSET(nombres[],ROWS(nombres[])-1,0,1,1))+1),$O1555:$O1574),3),"")</f>
        <v/>
      </c>
      <c r="AI1555" s="42" t="str">
        <f t="array" aca="1" ref="AI1555" ca="1">IFERROR(INDEX(nombres[],SMALL(IF(OFFSET(nombres[],0,0,ROWS(nombres[]),1)=AI$1490,ROW(OFFSET(nombres[],0,0,ROWS(nombres[]),1))-ROW(OFFSET(nombres[],0,0,1,1))+1,ROW(OFFSET(nombres[],ROWS(nombres[])-1,0,1,1))+1),$O1555:$O1574),3),"")</f>
        <v/>
      </c>
      <c r="AJ1555" s="42" t="str">
        <f t="array" aca="1" ref="AJ1555" ca="1">IFERROR(INDEX(nombres[],SMALL(IF(OFFSET(nombres[],0,0,ROWS(nombres[]),1)=AJ$1490,ROW(OFFSET(nombres[],0,0,ROWS(nombres[]),1))-ROW(OFFSET(nombres[],0,0,1,1))+1,ROW(OFFSET(nombres[],ROWS(nombres[])-1,0,1,1))+1),$O1555:$O1574),3),"")</f>
        <v/>
      </c>
      <c r="AK1555" s="42" t="str">
        <f t="array" aca="1" ref="AK1555" ca="1">IFERROR(INDEX(nombres[],SMALL(IF(OFFSET(nombres[],0,0,ROWS(nombres[]),1)=AK$1490,ROW(OFFSET(nombres[],0,0,ROWS(nombres[]),1))-ROW(OFFSET(nombres[],0,0,1,1))+1,ROW(OFFSET(nombres[],ROWS(nombres[])-1,0,1,1))+1),$O1555:$O1574),3),"")</f>
        <v/>
      </c>
      <c r="AL1555" s="42" t="str">
        <f t="array" aca="1" ref="AL1555" ca="1">IFERROR(INDEX(nombres[],SMALL(IF(OFFSET(nombres[],0,0,ROWS(nombres[]),1)=AL$1490,ROW(OFFSET(nombres[],0,0,ROWS(nombres[]),1))-ROW(OFFSET(nombres[],0,0,1,1))+1,ROW(OFFSET(nombres[],ROWS(nombres[])-1,0,1,1))+1),$O1555:$O1574),3),"")</f>
        <v/>
      </c>
      <c r="AM1555" s="42" t="str">
        <f t="array" aca="1" ref="AM1555" ca="1">IFERROR(INDEX(nombres[],SMALL(IF(OFFSET(nombres[],0,0,ROWS(nombres[]),1)=AM$1490,ROW(OFFSET(nombres[],0,0,ROWS(nombres[]),1))-ROW(OFFSET(nombres[],0,0,1,1))+1,ROW(OFFSET(nombres[],ROWS(nombres[])-1,0,1,1))+1),$O1555:$O1574),3),"")</f>
        <v/>
      </c>
      <c r="AN1555" s="42" t="str">
        <f t="array" aca="1" ref="AN1555" ca="1">IFERROR(INDEX(nombres[],SMALL(IF(OFFSET(nombres[],0,0,ROWS(nombres[]),1)=AN$1490,ROW(OFFSET(nombres[],0,0,ROWS(nombres[]),1))-ROW(OFFSET(nombres[],0,0,1,1))+1,ROW(OFFSET(nombres[],ROWS(nombres[])-1,0,1,1))+1),$O1555:$O1574),3),"")</f>
        <v/>
      </c>
      <c r="AO1555" s="42" t="str">
        <f t="array" aca="1" ref="AO1555" ca="1">IFERROR(INDEX(nombres[],SMALL(IF(OFFSET(nombres[],0,0,ROWS(nombres[]),1)=AO$1490,ROW(OFFSET(nombres[],0,0,ROWS(nombres[]),1))-ROW(OFFSET(nombres[],0,0,1,1))+1,ROW(OFFSET(nombres[],ROWS(nombres[])-1,0,1,1))+1),$O1555:$O1574),3),"")</f>
        <v/>
      </c>
      <c r="AP1555" s="42" t="str">
        <f t="array" aca="1" ref="AP1555" ca="1">IFERROR(INDEX(nombres[],SMALL(IF(OFFSET(nombres[],0,0,ROWS(nombres[]),1)=AP$1490,ROW(OFFSET(nombres[],0,0,ROWS(nombres[]),1))-ROW(OFFSET(nombres[],0,0,1,1))+1,ROW(OFFSET(nombres[],ROWS(nombres[])-1,0,1,1))+1),$O1555:$O1574),3),"")</f>
        <v/>
      </c>
      <c r="AQ1555" s="42" t="str">
        <f t="array" aca="1" ref="AQ1555" ca="1">IFERROR(INDEX(nombres[],SMALL(IF(OFFSET(nombres[],0,0,ROWS(nombres[]),1)=AQ$1490,ROW(OFFSET(nombres[],0,0,ROWS(nombres[]),1))-ROW(OFFSET(nombres[],0,0,1,1))+1,ROW(OFFSET(nombres[],ROWS(nombres[])-1,0,1,1))+1),$O1555:$O1574),3),"")</f>
        <v/>
      </c>
      <c r="AR1555" s="42" t="str">
        <f t="array" aca="1" ref="AR1555" ca="1">IFERROR(INDEX(nombres[],SMALL(IF(OFFSET(nombres[],0,0,ROWS(nombres[]),1)=AR$1490,ROW(OFFSET(nombres[],0,0,ROWS(nombres[]),1))-ROW(OFFSET(nombres[],0,0,1,1))+1,ROW(OFFSET(nombres[],ROWS(nombres[])-1,0,1,1))+1),$O1555:$O1574),3),"")</f>
        <v/>
      </c>
      <c r="AS1555" s="42" t="str">
        <f t="array" aca="1" ref="AS1555" ca="1">IFERROR(INDEX(nombres[],SMALL(IF(OFFSET(nombres[],0,0,ROWS(nombres[]),1)=AS$1490,ROW(OFFSET(nombres[],0,0,ROWS(nombres[]),1))-ROW(OFFSET(nombres[],0,0,1,1))+1,ROW(OFFSET(nombres[],ROWS(nombres[])-1,0,1,1))+1),$O1555:$O1574),3),"")</f>
        <v/>
      </c>
      <c r="AT1555" s="42" t="str">
        <f t="array" aca="1" ref="AT1555" ca="1">IFERROR(INDEX(nombres[],SMALL(IF(OFFSET(nombres[],0,0,ROWS(nombres[]),1)=AT$1490,ROW(OFFSET(nombres[],0,0,ROWS(nombres[]),1))-ROW(OFFSET(nombres[],0,0,1,1))+1,ROW(OFFSET(nombres[],ROWS(nombres[])-1,0,1,1))+1),$O1555:$O1574),3),"")</f>
        <v/>
      </c>
      <c r="AU1555" s="42" t="str">
        <f t="array" aca="1" ref="AU1555" ca="1">IFERROR(INDEX(nombres[],SMALL(IF(OFFSET(nombres[],0,0,ROWS(nombres[]),1)=AU$1490,ROW(OFFSET(nombres[],0,0,ROWS(nombres[]),1))-ROW(OFFSET(nombres[],0,0,1,1))+1,ROW(OFFSET(nombres[],ROWS(nombres[])-1,0,1,1))+1),$O1555:$O1574),3),"")</f>
        <v/>
      </c>
      <c r="AV1555" s="42" t="str">
        <f t="array" aca="1" ref="AV1555" ca="1">IFERROR(INDEX(nombres[],SMALL(IF(OFFSET(nombres[],0,0,ROWS(nombres[]),1)=AV$1490,ROW(OFFSET(nombres[],0,0,ROWS(nombres[]),1))-ROW(OFFSET(nombres[],0,0,1,1))+1,ROW(OFFSET(nombres[],ROWS(nombres[])-1,0,1,1))+1),$O1555:$O1574),3),"")</f>
        <v/>
      </c>
      <c r="AW1555" s="42" t="str">
        <f t="array" aca="1" ref="AW1555" ca="1">IFERROR(INDEX(nombres[],SMALL(IF(OFFSET(nombres[],0,0,ROWS(nombres[]),1)=AW$1490,ROW(OFFSET(nombres[],0,0,ROWS(nombres[]),1))-ROW(OFFSET(nombres[],0,0,1,1))+1,ROW(OFFSET(nombres[],ROWS(nombres[])-1,0,1,1))+1),$O1555:$O1574),3),"")</f>
        <v/>
      </c>
      <c r="AX1555" s="42" t="str">
        <f t="array" aca="1" ref="AX1555" ca="1">IFERROR(INDEX(nombres[],SMALL(IF(OFFSET(nombres[],0,0,ROWS(nombres[]),1)=AX$1490,ROW(OFFSET(nombres[],0,0,ROWS(nombres[]),1))-ROW(OFFSET(nombres[],0,0,1,1))+1,ROW(OFFSET(nombres[],ROWS(nombres[])-1,0,1,1))+1),$O1555:$O1574),3),"")</f>
        <v/>
      </c>
      <c r="AY1555" s="42" t="str">
        <f t="array" aca="1" ref="AY1555" ca="1">IFERROR(INDEX(nombres[],SMALL(IF(OFFSET(nombres[],0,0,ROWS(nombres[]),1)=AY$1490,ROW(OFFSET(nombres[],0,0,ROWS(nombres[]),1))-ROW(OFFSET(nombres[],0,0,1,1))+1,ROW(OFFSET(nombres[],ROWS(nombres[])-1,0,1,1))+1),$O1555:$O1574),3),"")</f>
        <v/>
      </c>
      <c r="AZ1555" s="42" t="str">
        <f t="array" aca="1" ref="AZ1555" ca="1">IFERROR(INDEX(nombres[],SMALL(IF(OFFSET(nombres[],0,0,ROWS(nombres[]),1)=AZ$1490,ROW(OFFSET(nombres[],0,0,ROWS(nombres[]),1))-ROW(OFFSET(nombres[],0,0,1,1))+1,ROW(OFFSET(nombres[],ROWS(nombres[])-1,0,1,1))+1),$O1555:$O1574),3),"")</f>
        <v/>
      </c>
      <c r="BA1555" s="42" t="str">
        <f t="array" aca="1" ref="BA1555" ca="1">IFERROR(INDEX(nombres[],SMALL(IF(OFFSET(nombres[],0,0,ROWS(nombres[]),1)=BA$1490,ROW(OFFSET(nombres[],0,0,ROWS(nombres[]),1))-ROW(OFFSET(nombres[],0,0,1,1))+1,ROW(OFFSET(nombres[],ROWS(nombres[])-1,0,1,1))+1),$O1555:$O1574),3),"")</f>
        <v/>
      </c>
      <c r="BB1555" s="42" t="str">
        <f t="array" aca="1" ref="BB1555" ca="1">IFERROR(INDEX(nombres[],SMALL(IF(OFFSET(nombres[],0,0,ROWS(nombres[]),1)=BB$1490,ROW(OFFSET(nombres[],0,0,ROWS(nombres[]),1))-ROW(OFFSET(nombres[],0,0,1,1))+1,ROW(OFFSET(nombres[],ROWS(nombres[])-1,0,1,1))+1),$O1555:$O1574),3),"")</f>
        <v/>
      </c>
      <c r="BC1555" s="42" t="str">
        <f t="array" aca="1" ref="BC1555" ca="1">IFERROR(INDEX(nombres[],SMALL(IF(OFFSET(nombres[],0,0,ROWS(nombres[]),1)=BC$1490,ROW(OFFSET(nombres[],0,0,ROWS(nombres[]),1))-ROW(OFFSET(nombres[],0,0,1,1))+1,ROW(OFFSET(nombres[],ROWS(nombres[])-1,0,1,1))+1),$O1555:$O1574),3),"")</f>
        <v/>
      </c>
      <c r="BD1555" s="42" t="str">
        <f t="array" aca="1" ref="BD1555" ca="1">IFERROR(INDEX(nombres[],SMALL(IF(OFFSET(nombres[],0,0,ROWS(nombres[]),1)=BD$1490,ROW(OFFSET(nombres[],0,0,ROWS(nombres[]),1))-ROW(OFFSET(nombres[],0,0,1,1))+1,ROW(OFFSET(nombres[],ROWS(nombres[])-1,0,1,1))+1),$O1555:$O1574),3),"")</f>
        <v/>
      </c>
      <c r="BE1555" s="42" t="str">
        <f t="array" aca="1" ref="BE1555" ca="1">IFERROR(INDEX(nombres[],SMALL(IF(OFFSET(nombres[],0,0,ROWS(nombres[]),1)=BE$1490,ROW(OFFSET(nombres[],0,0,ROWS(nombres[]),1))-ROW(OFFSET(nombres[],0,0,1,1))+1,ROW(OFFSET(nombres[],ROWS(nombres[])-1,0,1,1))+1),$O1555:$O1574),3),"")</f>
        <v/>
      </c>
      <c r="BF1555" s="42" t="str">
        <f t="array" aca="1" ref="BF1555" ca="1">IFERROR(INDEX(nombres[],SMALL(IF(OFFSET(nombres[],0,0,ROWS(nombres[]),1)=BF$1490,ROW(OFFSET(nombres[],0,0,ROWS(nombres[]),1))-ROW(OFFSET(nombres[],0,0,1,1))+1,ROW(OFFSET(nombres[],ROWS(nombres[])-1,0,1,1))+1),$O1555:$O1574),3),"")</f>
        <v/>
      </c>
      <c r="BG1555" s="42" t="str">
        <f t="array" aca="1" ref="BG1555" ca="1">IFERROR(INDEX(nombres[],SMALL(IF(OFFSET(nombres[],0,0,ROWS(nombres[]),1)=BG$1490,ROW(OFFSET(nombres[],0,0,ROWS(nombres[]),1))-ROW(OFFSET(nombres[],0,0,1,1))+1,ROW(OFFSET(nombres[],ROWS(nombres[])-1,0,1,1))+1),$O1555:$O1574),3),"")</f>
        <v/>
      </c>
      <c r="BH1555" s="42" t="str">
        <f t="array" aca="1" ref="BH1555" ca="1">IFERROR(INDEX(nombres[],SMALL(IF(OFFSET(nombres[],0,0,ROWS(nombres[]),1)=BH$1490,ROW(OFFSET(nombres[],0,0,ROWS(nombres[]),1))-ROW(OFFSET(nombres[],0,0,1,1))+1,ROW(OFFSET(nombres[],ROWS(nombres[])-1,0,1,1))+1),$O1555:$O1574),3),"")</f>
        <v/>
      </c>
      <c r="BI1555" s="42" t="str">
        <f t="array" aca="1" ref="BI1555" ca="1">IFERROR(INDEX(nombres[],SMALL(IF(OFFSET(nombres[],0,0,ROWS(nombres[]),1)=BI$1490,ROW(OFFSET(nombres[],0,0,ROWS(nombres[]),1))-ROW(OFFSET(nombres[],0,0,1,1))+1,ROW(OFFSET(nombres[],ROWS(nombres[])-1,0,1,1))+1),$O1555:$O1574),3),"")</f>
        <v/>
      </c>
      <c r="BJ1555" s="42" t="str">
        <f t="array" aca="1" ref="BJ1555" ca="1">IFERROR(INDEX(nombres[],SMALL(IF(OFFSET(nombres[],0,0,ROWS(nombres[]),1)=BJ$1490,ROW(OFFSET(nombres[],0,0,ROWS(nombres[]),1))-ROW(OFFSET(nombres[],0,0,1,1))+1,ROW(OFFSET(nombres[],ROWS(nombres[])-1,0,1,1))+1),$O1555:$O1574),3),"")</f>
        <v/>
      </c>
      <c r="BK1555" s="42" t="str">
        <f t="array" aca="1" ref="BK1555" ca="1">IFERROR(INDEX(nombres[],SMALL(IF(OFFSET(nombres[],0,0,ROWS(nombres[]),1)=BK$1490,ROW(OFFSET(nombres[],0,0,ROWS(nombres[]),1))-ROW(OFFSET(nombres[],0,0,1,1))+1,ROW(OFFSET(nombres[],ROWS(nombres[])-1,0,1,1))+1),$O1555:$O1574),3),"")</f>
        <v/>
      </c>
      <c r="BL1555" s="42" t="str">
        <f t="array" aca="1" ref="BL1555" ca="1">IFERROR(INDEX(nombres[],SMALL(IF(OFFSET(nombres[],0,0,ROWS(nombres[]),1)=BL$1490,ROW(OFFSET(nombres[],0,0,ROWS(nombres[]),1))-ROW(OFFSET(nombres[],0,0,1,1))+1,ROW(OFFSET(nombres[],ROWS(nombres[])-1,0,1,1))+1),$O1555:$O1574),3),"")</f>
        <v/>
      </c>
      <c r="BM1555" s="42" t="str">
        <f t="array" aca="1" ref="BM1555" ca="1">IFERROR(INDEX(nombres[],SMALL(IF(OFFSET(nombres[],0,0,ROWS(nombres[]),1)=BM$1490,ROW(OFFSET(nombres[],0,0,ROWS(nombres[]),1))-ROW(OFFSET(nombres[],0,0,1,1))+1,ROW(OFFSET(nombres[],ROWS(nombres[])-1,0,1,1))+1),$O1555:$O1574),3),"")</f>
        <v/>
      </c>
      <c r="BN1555" s="42" t="str">
        <f t="array" aca="1" ref="BN1555" ca="1">IFERROR(INDEX(nombres[],SMALL(IF(OFFSET(nombres[],0,0,ROWS(nombres[]),1)=BN$1490,ROW(OFFSET(nombres[],0,0,ROWS(nombres[]),1))-ROW(OFFSET(nombres[],0,0,1,1))+1,ROW(OFFSET(nombres[],ROWS(nombres[])-1,0,1,1))+1),$O1555:$O1574),3),"")</f>
        <v/>
      </c>
      <c r="BO1555" s="42" t="str">
        <f t="array" aca="1" ref="BO1555" ca="1">IFERROR(INDEX(nombres[],SMALL(IF(OFFSET(nombres[],0,0,ROWS(nombres[]),1)=BO$1490,ROW(OFFSET(nombres[],0,0,ROWS(nombres[]),1))-ROW(OFFSET(nombres[],0,0,1,1))+1,ROW(OFFSET(nombres[],ROWS(nombres[])-1,0,1,1))+1),$O1555:$O1574),3),"")</f>
        <v/>
      </c>
      <c r="BP1555" s="42" t="str">
        <f t="array" aca="1" ref="BP1555" ca="1">IFERROR(INDEX(nombres[],SMALL(IF(OFFSET(nombres[],0,0,ROWS(nombres[]),1)=BP$1490,ROW(OFFSET(nombres[],0,0,ROWS(nombres[]),1))-ROW(OFFSET(nombres[],0,0,1,1))+1,ROW(OFFSET(nombres[],ROWS(nombres[])-1,0,1,1))+1),$O1555:$O1574),3),"")</f>
        <v/>
      </c>
      <c r="BQ1555" s="42" t="str">
        <f t="array" aca="1" ref="BQ1555" ca="1">IFERROR(INDEX(nombres[],SMALL(IF(OFFSET(nombres[],0,0,ROWS(nombres[]),1)=BQ$1490,ROW(OFFSET(nombres[],0,0,ROWS(nombres[]),1))-ROW(OFFSET(nombres[],0,0,1,1))+1,ROW(OFFSET(nombres[],ROWS(nombres[])-1,0,1,1))+1),$O1555:$O1574),3),"")</f>
        <v/>
      </c>
      <c r="BR1555" s="42" t="str">
        <f t="array" aca="1" ref="BR1555" ca="1">IFERROR(INDEX(nombres[],SMALL(IF(OFFSET(nombres[],0,0,ROWS(nombres[]),1)=BR$1490,ROW(OFFSET(nombres[],0,0,ROWS(nombres[]),1))-ROW(OFFSET(nombres[],0,0,1,1))+1,ROW(OFFSET(nombres[],ROWS(nombres[])-1,0,1,1))+1),$O1555:$O1574),3),"")</f>
        <v/>
      </c>
      <c r="BS1555" s="42" t="str">
        <f t="array" aca="1" ref="BS1555" ca="1">IFERROR(INDEX(nombres[],SMALL(IF(OFFSET(nombres[],0,0,ROWS(nombres[]),1)=BS$1490,ROW(OFFSET(nombres[],0,0,ROWS(nombres[]),1))-ROW(OFFSET(nombres[],0,0,1,1))+1,ROW(OFFSET(nombres[],ROWS(nombres[])-1,0,1,1))+1),$O1555:$O1574),3),"")</f>
        <v/>
      </c>
      <c r="BT1555" s="42" t="str">
        <f t="array" aca="1" ref="BT1555" ca="1">IFERROR(INDEX(nombres[],SMALL(IF(OFFSET(nombres[],0,0,ROWS(nombres[]),1)=BT$1490,ROW(OFFSET(nombres[],0,0,ROWS(nombres[]),1))-ROW(OFFSET(nombres[],0,0,1,1))+1,ROW(OFFSET(nombres[],ROWS(nombres[])-1,0,1,1))+1),$O1555:$O1574),3),"")</f>
        <v/>
      </c>
      <c r="BU1555" s="42" t="str">
        <f t="array" aca="1" ref="BU1555" ca="1">IFERROR(INDEX(nombres[],SMALL(IF(OFFSET(nombres[],0,0,ROWS(nombres[]),1)=BU$1490,ROW(OFFSET(nombres[],0,0,ROWS(nombres[]),1))-ROW(OFFSET(nombres[],0,0,1,1))+1,ROW(OFFSET(nombres[],ROWS(nombres[])-1,0,1,1))+1),$O1555:$O1574),3),"")</f>
        <v/>
      </c>
      <c r="BV1555" s="42" t="str">
        <f t="array" aca="1" ref="BV1555" ca="1">IFERROR(INDEX(nombres[],SMALL(IF(OFFSET(nombres[],0,0,ROWS(nombres[]),1)=BV$1490,ROW(OFFSET(nombres[],0,0,ROWS(nombres[]),1))-ROW(OFFSET(nombres[],0,0,1,1))+1,ROW(OFFSET(nombres[],ROWS(nombres[])-1,0,1,1))+1),$O1555:$O1574),3),"")</f>
        <v/>
      </c>
      <c r="BW1555" s="42" t="str">
        <f t="array" aca="1" ref="BW1555" ca="1">IFERROR(INDEX(nombres[],SMALL(IF(OFFSET(nombres[],0,0,ROWS(nombres[]),1)=BW$1490,ROW(OFFSET(nombres[],0,0,ROWS(nombres[]),1))-ROW(OFFSET(nombres[],0,0,1,1))+1,ROW(OFFSET(nombres[],ROWS(nombres[])-1,0,1,1))+1),$O1555:$O1574),3),"")</f>
        <v/>
      </c>
      <c r="BX1555" s="42" t="str">
        <f t="array" aca="1" ref="BX1555" ca="1">IFERROR(INDEX(nombres[],SMALL(IF(OFFSET(nombres[],0,0,ROWS(nombres[]),1)=BX$1490,ROW(OFFSET(nombres[],0,0,ROWS(nombres[]),1))-ROW(OFFSET(nombres[],0,0,1,1))+1,ROW(OFFSET(nombres[],ROWS(nombres[])-1,0,1,1))+1),$O1555:$O1574),3),"")</f>
        <v/>
      </c>
      <c r="BY1555" s="42" t="str">
        <f t="array" aca="1" ref="BY1555" ca="1">IFERROR(INDEX(nombres[],SMALL(IF(OFFSET(nombres[],0,0,ROWS(nombres[]),1)=BY$1490,ROW(OFFSET(nombres[],0,0,ROWS(nombres[]),1))-ROW(OFFSET(nombres[],0,0,1,1))+1,ROW(OFFSET(nombres[],ROWS(nombres[])-1,0,1,1))+1),$O1555:$O1574),3),"")</f>
        <v/>
      </c>
      <c r="BZ1555" s="42" t="str">
        <f t="array" aca="1" ref="BZ1555" ca="1">IFERROR(INDEX(nombres[],SMALL(IF(OFFSET(nombres[],0,0,ROWS(nombres[]),1)=BZ$1490,ROW(OFFSET(nombres[],0,0,ROWS(nombres[]),1))-ROW(OFFSET(nombres[],0,0,1,1))+1,ROW(OFFSET(nombres[],ROWS(nombres[])-1,0,1,1))+1),$O1555:$O1574),3),"")</f>
        <v/>
      </c>
      <c r="CA1555" s="42" t="str">
        <f t="array" aca="1" ref="CA1555" ca="1">IFERROR(INDEX(nombres[],SMALL(IF(OFFSET(nombres[],0,0,ROWS(nombres[]),1)=CA$1490,ROW(OFFSET(nombres[],0,0,ROWS(nombres[]),1))-ROW(OFFSET(nombres[],0,0,1,1))+1,ROW(OFFSET(nombres[],ROWS(nombres[])-1,0,1,1))+1),$O1555:$O1574),3),"")</f>
        <v/>
      </c>
      <c r="CB1555" s="42" t="str">
        <f t="array" aca="1" ref="CB1555" ca="1">IFERROR(INDEX(nombres[],SMALL(IF(OFFSET(nombres[],0,0,ROWS(nombres[]),1)=CB$1490,ROW(OFFSET(nombres[],0,0,ROWS(nombres[]),1))-ROW(OFFSET(nombres[],0,0,1,1))+1,ROW(OFFSET(nombres[],ROWS(nombres[])-1,0,1,1))+1),$O1555:$O1574),3),"")</f>
        <v/>
      </c>
      <c r="CC1555" s="42" t="str">
        <f t="array" aca="1" ref="CC1555" ca="1">IFERROR(INDEX(nombres[],SMALL(IF(OFFSET(nombres[],0,0,ROWS(nombres[]),1)=CC$1490,ROW(OFFSET(nombres[],0,0,ROWS(nombres[]),1))-ROW(OFFSET(nombres[],0,0,1,1))+1,ROW(OFFSET(nombres[],ROWS(nombres[])-1,0,1,1))+1),$O1555:$O1574),3),"")</f>
        <v/>
      </c>
      <c r="CD1555" s="42" t="str">
        <f t="array" aca="1" ref="CD1555" ca="1">IFERROR(INDEX(nombres[],SMALL(IF(OFFSET(nombres[],0,0,ROWS(nombres[]),1)=CD$1490,ROW(OFFSET(nombres[],0,0,ROWS(nombres[]),1))-ROW(OFFSET(nombres[],0,0,1,1))+1,ROW(OFFSET(nombres[],ROWS(nombres[])-1,0,1,1))+1),$O1555:$O1574),3),"")</f>
        <v/>
      </c>
      <c r="CE1555" s="42" t="str">
        <f t="array" aca="1" ref="CE1555" ca="1">IFERROR(INDEX(nombres[],SMALL(IF(OFFSET(nombres[],0,0,ROWS(nombres[]),1)=CE$1490,ROW(OFFSET(nombres[],0,0,ROWS(nombres[]),1))-ROW(OFFSET(nombres[],0,0,1,1))+1,ROW(OFFSET(nombres[],ROWS(nombres[])-1,0,1,1))+1),$O1555:$O1574),3),"")</f>
        <v/>
      </c>
      <c r="CF1555" s="42" t="str">
        <f t="array" aca="1" ref="CF1555" ca="1">IFERROR(INDEX(nombres[],SMALL(IF(OFFSET(nombres[],0,0,ROWS(nombres[]),1)=CF$1490,ROW(OFFSET(nombres[],0,0,ROWS(nombres[]),1))-ROW(OFFSET(nombres[],0,0,1,1))+1,ROW(OFFSET(nombres[],ROWS(nombres[])-1,0,1,1))+1),$O1555:$O1574),3),"")</f>
        <v/>
      </c>
      <c r="CG1555" s="42" t="str">
        <f t="array" aca="1" ref="CG1555" ca="1">IFERROR(INDEX(nombres[],SMALL(IF(OFFSET(nombres[],0,0,ROWS(nombres[]),1)=CG$1490,ROW(OFFSET(nombres[],0,0,ROWS(nombres[]),1))-ROW(OFFSET(nombres[],0,0,1,1))+1,ROW(OFFSET(nombres[],ROWS(nombres[])-1,0,1,1))+1),$O1555:$O1574),3),"")</f>
        <v/>
      </c>
      <c r="CH1555" s="42" t="str">
        <f t="array" aca="1" ref="CH1555" ca="1">IFERROR(INDEX(nombres[],SMALL(IF(OFFSET(nombres[],0,0,ROWS(nombres[]),1)=CH$1490,ROW(OFFSET(nombres[],0,0,ROWS(nombres[]),1))-ROW(OFFSET(nombres[],0,0,1,1))+1,ROW(OFFSET(nombres[],ROWS(nombres[])-1,0,1,1))+1),$O1555:$O1574),3),"")</f>
        <v/>
      </c>
      <c r="CI1555" s="42" t="str">
        <f t="array" aca="1" ref="CI1555" ca="1">IFERROR(INDEX(nombres[],SMALL(IF(OFFSET(nombres[],0,0,ROWS(nombres[]),1)=CI$1490,ROW(OFFSET(nombres[],0,0,ROWS(nombres[]),1))-ROW(OFFSET(nombres[],0,0,1,1))+1,ROW(OFFSET(nombres[],ROWS(nombres[])-1,0,1,1))+1),$O1555:$O1574),3),"")</f>
        <v/>
      </c>
      <c r="CJ1555" s="42" t="str">
        <f t="array" aca="1" ref="CJ1555" ca="1">IFERROR(INDEX(nombres[],SMALL(IF(OFFSET(nombres[],0,0,ROWS(nombres[]),1)=CJ$1490,ROW(OFFSET(nombres[],0,0,ROWS(nombres[]),1))-ROW(OFFSET(nombres[],0,0,1,1))+1,ROW(OFFSET(nombres[],ROWS(nombres[])-1,0,1,1))+1),$O1555:$O1574),3),"")</f>
        <v/>
      </c>
      <c r="CK1555" s="42" t="str">
        <f t="array" aca="1" ref="CK1555" ca="1">IFERROR(INDEX(nombres[],SMALL(IF(OFFSET(nombres[],0,0,ROWS(nombres[]),1)=CK$1490,ROW(OFFSET(nombres[],0,0,ROWS(nombres[]),1))-ROW(OFFSET(nombres[],0,0,1,1))+1,ROW(OFFSET(nombres[],ROWS(nombres[])-1,0,1,1))+1),$O1555:$O1574),3),"")</f>
        <v/>
      </c>
      <c r="CL1555" s="42" t="str">
        <f t="array" aca="1" ref="CL1555" ca="1">IFERROR(INDEX(nombres[],SMALL(IF(OFFSET(nombres[],0,0,ROWS(nombres[]),1)=CL$1490,ROW(OFFSET(nombres[],0,0,ROWS(nombres[]),1))-ROW(OFFSET(nombres[],0,0,1,1))+1,ROW(OFFSET(nombres[],ROWS(nombres[])-1,0,1,1))+1),$O1555:$O1574),3),"")</f>
        <v/>
      </c>
      <c r="CM1555" s="42" t="str">
        <f t="array" aca="1" ref="CM1555" ca="1">IFERROR(INDEX(nombres[],SMALL(IF(OFFSET(nombres[],0,0,ROWS(nombres[]),1)=CM$1490,ROW(OFFSET(nombres[],0,0,ROWS(nombres[]),1))-ROW(OFFSET(nombres[],0,0,1,1))+1,ROW(OFFSET(nombres[],ROWS(nombres[])-1,0,1,1))+1),$O1555:$O1574),3),"")</f>
        <v/>
      </c>
      <c r="CN1555" s="42" t="str">
        <f t="array" aca="1" ref="CN1555" ca="1">IFERROR(INDEX(nombres[],SMALL(IF(OFFSET(nombres[],0,0,ROWS(nombres[]),1)=CN$1490,ROW(OFFSET(nombres[],0,0,ROWS(nombres[]),1))-ROW(OFFSET(nombres[],0,0,1,1))+1,ROW(OFFSET(nombres[],ROWS(nombres[])-1,0,1,1))+1),$O1555:$O1574),3),"")</f>
        <v/>
      </c>
      <c r="CO1555" s="42" t="str">
        <f t="array" aca="1" ref="CO1555" ca="1">IFERROR(INDEX(nombres[],SMALL(IF(OFFSET(nombres[],0,0,ROWS(nombres[]),1)=CO$1490,ROW(OFFSET(nombres[],0,0,ROWS(nombres[]),1))-ROW(OFFSET(nombres[],0,0,1,1))+1,ROW(OFFSET(nombres[],ROWS(nombres[])-1,0,1,1))+1),$O1555:$O1574),3),"")</f>
        <v/>
      </c>
      <c r="CP1555" s="42" t="str">
        <f t="array" aca="1" ref="CP1555" ca="1">IFERROR(INDEX(nombres[],SMALL(IF(OFFSET(nombres[],0,0,ROWS(nombres[]),1)=CP$1490,ROW(OFFSET(nombres[],0,0,ROWS(nombres[]),1))-ROW(OFFSET(nombres[],0,0,1,1))+1,ROW(OFFSET(nombres[],ROWS(nombres[])-1,0,1,1))+1),$O1555:$O1574),3),"")</f>
        <v/>
      </c>
      <c r="CQ1555" s="42" t="str">
        <f t="array" aca="1" ref="CQ1555" ca="1">IFERROR(INDEX(nombres[],SMALL(IF(OFFSET(nombres[],0,0,ROWS(nombres[]),1)=CQ$1490,ROW(OFFSET(nombres[],0,0,ROWS(nombres[]),1))-ROW(OFFSET(nombres[],0,0,1,1))+1,ROW(OFFSET(nombres[],ROWS(nombres[])-1,0,1,1))+1),$O1555:$O1574),3),"")</f>
        <v/>
      </c>
      <c r="CR1555" s="42" t="str">
        <f t="array" aca="1" ref="CR1555" ca="1">IFERROR(INDEX(nombres[],SMALL(IF(OFFSET(nombres[],0,0,ROWS(nombres[]),1)=CR$1490,ROW(OFFSET(nombres[],0,0,ROWS(nombres[]),1))-ROW(OFFSET(nombres[],0,0,1,1))+1,ROW(OFFSET(nombres[],ROWS(nombres[])-1,0,1,1))+1),$O1555:$O1574),3),"")</f>
        <v/>
      </c>
      <c r="CS1555" s="42" t="str">
        <f t="array" aca="1" ref="CS1555" ca="1">IFERROR(INDEX(nombres[],SMALL(IF(OFFSET(nombres[],0,0,ROWS(nombres[]),1)=CS$1490,ROW(OFFSET(nombres[],0,0,ROWS(nombres[]),1))-ROW(OFFSET(nombres[],0,0,1,1))+1,ROW(OFFSET(nombres[],ROWS(nombres[])-1,0,1,1))+1),$O1555:$O1574),3),"")</f>
        <v/>
      </c>
      <c r="CT1555" s="42" t="str">
        <f t="array" aca="1" ref="CT1555" ca="1">IFERROR(INDEX(nombres[],SMALL(IF(OFFSET(nombres[],0,0,ROWS(nombres[]),1)=CT$1490,ROW(OFFSET(nombres[],0,0,ROWS(nombres[]),1))-ROW(OFFSET(nombres[],0,0,1,1))+1,ROW(OFFSET(nombres[],ROWS(nombres[])-1,0,1,1))+1),$O1555:$O1574),3),"")</f>
        <v/>
      </c>
      <c r="CU1555" s="42" t="str">
        <f t="array" aca="1" ref="CU1555" ca="1">IFERROR(INDEX(nombres[],SMALL(IF(OFFSET(nombres[],0,0,ROWS(nombres[]),1)=CU$1490,ROW(OFFSET(nombres[],0,0,ROWS(nombres[]),1))-ROW(OFFSET(nombres[],0,0,1,1))+1,ROW(OFFSET(nombres[],ROWS(nombres[])-1,0,1,1))+1),$O1555:$O1574),3),"")</f>
        <v/>
      </c>
      <c r="CV1555" s="42" t="str">
        <f t="array" aca="1" ref="CV1555" ca="1">IFERROR(INDEX(nombres[],SMALL(IF(OFFSET(nombres[],0,0,ROWS(nombres[]),1)=CV$1490,ROW(OFFSET(nombres[],0,0,ROWS(nombres[]),1))-ROW(OFFSET(nombres[],0,0,1,1))+1,ROW(OFFSET(nombres[],ROWS(nombres[])-1,0,1,1))+1),$O1555:$O1574),3),"")</f>
        <v/>
      </c>
      <c r="CW1555" s="42" t="str">
        <f t="array" aca="1" ref="CW1555" ca="1">IFERROR(INDEX(nombres[],SMALL(IF(OFFSET(nombres[],0,0,ROWS(nombres[]),1)=CW$1490,ROW(OFFSET(nombres[],0,0,ROWS(nombres[]),1))-ROW(OFFSET(nombres[],0,0,1,1))+1,ROW(OFFSET(nombres[],ROWS(nombres[])-1,0,1,1))+1),$O1555:$O1574),3),"")</f>
        <v/>
      </c>
      <c r="CX1555" s="42" t="str">
        <f t="array" aca="1" ref="CX1555" ca="1">IFERROR(INDEX(nombres[],SMALL(IF(OFFSET(nombres[],0,0,ROWS(nombres[]),1)=CX$1490,ROW(OFFSET(nombres[],0,0,ROWS(nombres[]),1))-ROW(OFFSET(nombres[],0,0,1,1))+1,ROW(OFFSET(nombres[],ROWS(nombres[])-1,0,1,1))+1),$O1555:$O1574),3),"")</f>
        <v/>
      </c>
      <c r="CY1555" s="42" t="str">
        <f t="array" aca="1" ref="CY1555" ca="1">IFERROR(INDEX(nombres[],SMALL(IF(OFFSET(nombres[],0,0,ROWS(nombres[]),1)=CY$1490,ROW(OFFSET(nombres[],0,0,ROWS(nombres[]),1))-ROW(OFFSET(nombres[],0,0,1,1))+1,ROW(OFFSET(nombres[],ROWS(nombres[])-1,0,1,1))+1),$O1555:$O1574),3),"")</f>
        <v/>
      </c>
      <c r="CZ1555" s="42" t="str">
        <f t="array" aca="1" ref="CZ1555" ca="1">IFERROR(INDEX(nombres[],SMALL(IF(OFFSET(nombres[],0,0,ROWS(nombres[]),1)=CZ$1490,ROW(OFFSET(nombres[],0,0,ROWS(nombres[]),1))-ROW(OFFSET(nombres[],0,0,1,1))+1,ROW(OFFSET(nombres[],ROWS(nombres[])-1,0,1,1))+1),$O1555:$O1574),3),"")</f>
        <v/>
      </c>
      <c r="DA1555" s="42" t="str">
        <f t="array" aca="1" ref="DA1555" ca="1">IFERROR(INDEX(nombres[],SMALL(IF(OFFSET(nombres[],0,0,ROWS(nombres[]),1)=DA$1490,ROW(OFFSET(nombres[],0,0,ROWS(nombres[]),1))-ROW(OFFSET(nombres[],0,0,1,1))+1,ROW(OFFSET(nombres[],ROWS(nombres[])-1,0,1,1))+1),$O1555:$O1574),3),"")</f>
        <v/>
      </c>
      <c r="DB1555" s="42" t="str">
        <f t="array" aca="1" ref="DB1555" ca="1">IFERROR(INDEX(nombres[],SMALL(IF(OFFSET(nombres[],0,0,ROWS(nombres[]),1)=DB$1490,ROW(OFFSET(nombres[],0,0,ROWS(nombres[]),1))-ROW(OFFSET(nombres[],0,0,1,1))+1,ROW(OFFSET(nombres[],ROWS(nombres[])-1,0,1,1))+1),$O1555:$O1574),3),"")</f>
        <v/>
      </c>
      <c r="DC1555" s="42" t="str">
        <f t="array" aca="1" ref="DC1555" ca="1">IFERROR(INDEX(nombres[],SMALL(IF(OFFSET(nombres[],0,0,ROWS(nombres[]),1)=DC$1490,ROW(OFFSET(nombres[],0,0,ROWS(nombres[]),1))-ROW(OFFSET(nombres[],0,0,1,1))+1,ROW(OFFSET(nombres[],ROWS(nombres[])-1,0,1,1))+1),$O1555:$O1574),3),"")</f>
        <v/>
      </c>
      <c r="DD1555" s="42" t="str">
        <f t="array" aca="1" ref="DD1555" ca="1">IFERROR(INDEX(nombres[],SMALL(IF(OFFSET(nombres[],0,0,ROWS(nombres[]),1)=DD$1490,ROW(OFFSET(nombres[],0,0,ROWS(nombres[]),1))-ROW(OFFSET(nombres[],0,0,1,1))+1,ROW(OFFSET(nombres[],ROWS(nombres[])-1,0,1,1))+1),$O1555:$O1574),3),"")</f>
        <v/>
      </c>
      <c r="DE1555" s="42" t="str">
        <f t="array" aca="1" ref="DE1555" ca="1">IFERROR(INDEX(nombres[],SMALL(IF(OFFSET(nombres[],0,0,ROWS(nombres[]),1)=DE$1490,ROW(OFFSET(nombres[],0,0,ROWS(nombres[]),1))-ROW(OFFSET(nombres[],0,0,1,1))+1,ROW(OFFSET(nombres[],ROWS(nombres[])-1,0,1,1))+1),$O1555:$O1574),3),"")</f>
        <v/>
      </c>
      <c r="DF1555" s="42" t="str">
        <f t="array" aca="1" ref="DF1555" ca="1">IFERROR(INDEX(nombres[],SMALL(IF(OFFSET(nombres[],0,0,ROWS(nombres[]),1)=DF$1490,ROW(OFFSET(nombres[],0,0,ROWS(nombres[]),1))-ROW(OFFSET(nombres[],0,0,1,1))+1,ROW(OFFSET(nombres[],ROWS(nombres[])-1,0,1,1))+1),$O1555:$O1574),3),"")</f>
        <v/>
      </c>
      <c r="DG1555" s="42" t="str">
        <f t="array" aca="1" ref="DG1555" ca="1">IFERROR(INDEX(nombres[],SMALL(IF(OFFSET(nombres[],0,0,ROWS(nombres[]),1)=DG$1490,ROW(OFFSET(nombres[],0,0,ROWS(nombres[]),1))-ROW(OFFSET(nombres[],0,0,1,1))+1,ROW(OFFSET(nombres[],ROWS(nombres[])-1,0,1,1))+1),$O1555:$O1574),3),"")</f>
        <v/>
      </c>
      <c r="DH1555" s="42" t="str">
        <f t="array" aca="1" ref="DH1555" ca="1">IFERROR(INDEX(nombres[],SMALL(IF(OFFSET(nombres[],0,0,ROWS(nombres[]),1)=DH$1490,ROW(OFFSET(nombres[],0,0,ROWS(nombres[]),1))-ROW(OFFSET(nombres[],0,0,1,1))+1,ROW(OFFSET(nombres[],ROWS(nombres[])-1,0,1,1))+1),$O1555:$O1574),3),"")</f>
        <v/>
      </c>
      <c r="DI1555" s="42" t="str">
        <f t="array" aca="1" ref="DI1555" ca="1">IFERROR(INDEX(nombres[],SMALL(IF(OFFSET(nombres[],0,0,ROWS(nombres[]),1)=DI$1490,ROW(OFFSET(nombres[],0,0,ROWS(nombres[]),1))-ROW(OFFSET(nombres[],0,0,1,1))+1,ROW(OFFSET(nombres[],ROWS(nombres[])-1,0,1,1))+1),$O1555:$O1574),3),"")</f>
        <v/>
      </c>
      <c r="DJ1555" s="42" t="str">
        <f t="array" aca="1" ref="DJ1555" ca="1">IFERROR(INDEX(nombres[],SMALL(IF(OFFSET(nombres[],0,0,ROWS(nombres[]),1)=DJ$1490,ROW(OFFSET(nombres[],0,0,ROWS(nombres[]),1))-ROW(OFFSET(nombres[],0,0,1,1))+1,ROW(OFFSET(nombres[],ROWS(nombres[])-1,0,1,1))+1),$O1555:$O1574),3),"")</f>
        <v/>
      </c>
      <c r="DK1555" s="42" t="str">
        <f t="array" aca="1" ref="DK1555" ca="1">IFERROR(INDEX(nombres[],SMALL(IF(OFFSET(nombres[],0,0,ROWS(nombres[]),1)=DK$1490,ROW(OFFSET(nombres[],0,0,ROWS(nombres[]),1))-ROW(OFFSET(nombres[],0,0,1,1))+1,ROW(OFFSET(nombres[],ROWS(nombres[])-1,0,1,1))+1),$O1555:$O1574),3),"")</f>
        <v/>
      </c>
      <c r="DL1555" s="42" t="str">
        <f t="array" aca="1" ref="DL1555" ca="1">IFERROR(INDEX(nombres[],SMALL(IF(OFFSET(nombres[],0,0,ROWS(nombres[]),1)=DL$1490,ROW(OFFSET(nombres[],0,0,ROWS(nombres[]),1))-ROW(OFFSET(nombres[],0,0,1,1))+1,ROW(OFFSET(nombres[],ROWS(nombres[])-1,0,1,1))+1),$O1555:$O1574),3),"")</f>
        <v/>
      </c>
      <c r="DM1555" s="42" t="str">
        <f t="array" aca="1" ref="DM1555" ca="1">IFERROR(INDEX(nombres[],SMALL(IF(OFFSET(nombres[],0,0,ROWS(nombres[]),1)=DM$1490,ROW(OFFSET(nombres[],0,0,ROWS(nombres[]),1))-ROW(OFFSET(nombres[],0,0,1,1))+1,ROW(OFFSET(nombres[],ROWS(nombres[])-1,0,1,1))+1),$O1555:$O1574),3),"")</f>
        <v/>
      </c>
      <c r="DN1555" s="42" t="str">
        <f t="array" aca="1" ref="DN1555" ca="1">IFERROR(INDEX(nombres[],SMALL(IF(OFFSET(nombres[],0,0,ROWS(nombres[]),1)=DN$1490,ROW(OFFSET(nombres[],0,0,ROWS(nombres[]),1))-ROW(OFFSET(nombres[],0,0,1,1))+1,ROW(OFFSET(nombres[],ROWS(nombres[])-1,0,1,1))+1),$O1555:$O1574),3),"")</f>
        <v/>
      </c>
      <c r="DO1555" s="42" t="str">
        <f t="array" aca="1" ref="DO1555" ca="1">IFERROR(INDEX(nombres[],SMALL(IF(OFFSET(nombres[],0,0,ROWS(nombres[]),1)=DO$1490,ROW(OFFSET(nombres[],0,0,ROWS(nombres[]),1))-ROW(OFFSET(nombres[],0,0,1,1))+1,ROW(OFFSET(nombres[],ROWS(nombres[])-1,0,1,1))+1),$O1555:$O1574),3),"")</f>
        <v/>
      </c>
      <c r="DP1555" s="42" t="str">
        <f t="array" aca="1" ref="DP1555" ca="1">IFERROR(INDEX(nombres[],SMALL(IF(OFFSET(nombres[],0,0,ROWS(nombres[]),1)=DP$1490,ROW(OFFSET(nombres[],0,0,ROWS(nombres[]),1))-ROW(OFFSET(nombres[],0,0,1,1))+1,ROW(OFFSET(nombres[],ROWS(nombres[])-1,0,1,1))+1),$O1555:$O1574),3),"")</f>
        <v/>
      </c>
      <c r="DQ1555" s="42" t="str">
        <f t="array" aca="1" ref="DQ1555" ca="1">IFERROR(INDEX(nombres[],SMALL(IF(OFFSET(nombres[],0,0,ROWS(nombres[]),1)=DQ$1490,ROW(OFFSET(nombres[],0,0,ROWS(nombres[]),1))-ROW(OFFSET(nombres[],0,0,1,1))+1,ROW(OFFSET(nombres[],ROWS(nombres[])-1,0,1,1))+1),$O1555:$O1574),3),"")</f>
        <v/>
      </c>
      <c r="DR1555" s="42" t="str">
        <f t="array" aca="1" ref="DR1555" ca="1">IFERROR(INDEX(nombres[],SMALL(IF(OFFSET(nombres[],0,0,ROWS(nombres[]),1)=DR$1490,ROW(OFFSET(nombres[],0,0,ROWS(nombres[]),1))-ROW(OFFSET(nombres[],0,0,1,1))+1,ROW(OFFSET(nombres[],ROWS(nombres[])-1,0,1,1))+1),$O1555:$O1574),3),"")</f>
        <v/>
      </c>
      <c r="DS1555" s="42" t="str">
        <f t="array" aca="1" ref="DS1555" ca="1">IFERROR(INDEX(nombres[],SMALL(IF(OFFSET(nombres[],0,0,ROWS(nombres[]),1)=DS$1490,ROW(OFFSET(nombres[],0,0,ROWS(nombres[]),1))-ROW(OFFSET(nombres[],0,0,1,1))+1,ROW(OFFSET(nombres[],ROWS(nombres[])-1,0,1,1))+1),$O1555:$O1574),3),"")</f>
        <v/>
      </c>
      <c r="DT1555" s="42" t="str">
        <f t="array" aca="1" ref="DT1555" ca="1">IFERROR(INDEX(nombres[],SMALL(IF(OFFSET(nombres[],0,0,ROWS(nombres[]),1)=DT$1490,ROW(OFFSET(nombres[],0,0,ROWS(nombres[]),1))-ROW(OFFSET(nombres[],0,0,1,1))+1,ROW(OFFSET(nombres[],ROWS(nombres[])-1,0,1,1))+1),$O1555:$O1574),3),"")</f>
        <v/>
      </c>
      <c r="DU1555" s="42" t="str">
        <f t="array" aca="1" ref="DU1555" ca="1">IFERROR(INDEX(nombres[],SMALL(IF(OFFSET(nombres[],0,0,ROWS(nombres[]),1)=DU$1490,ROW(OFFSET(nombres[],0,0,ROWS(nombres[]),1))-ROW(OFFSET(nombres[],0,0,1,1))+1,ROW(OFFSET(nombres[],ROWS(nombres[])-1,0,1,1))+1),$O1555:$O1574),3),"")</f>
        <v/>
      </c>
      <c r="DV1555" s="42" t="str">
        <f t="array" aca="1" ref="DV1555" ca="1">IFERROR(INDEX(nombres[],SMALL(IF(OFFSET(nombres[],0,0,ROWS(nombres[]),1)=DV$1490,ROW(OFFSET(nombres[],0,0,ROWS(nombres[]),1))-ROW(OFFSET(nombres[],0,0,1,1))+1,ROW(OFFSET(nombres[],ROWS(nombres[])-1,0,1,1))+1),$O1555:$O1574),3),"")</f>
        <v/>
      </c>
      <c r="DW1555" s="42" t="str">
        <f t="array" aca="1" ref="DW1555" ca="1">IFERROR(INDEX(nombres[],SMALL(IF(OFFSET(nombres[],0,0,ROWS(nombres[]),1)=DW$1490,ROW(OFFSET(nombres[],0,0,ROWS(nombres[]),1))-ROW(OFFSET(nombres[],0,0,1,1))+1,ROW(OFFSET(nombres[],ROWS(nombres[])-1,0,1,1))+1),$O1555:$O1574),3),"")</f>
        <v/>
      </c>
      <c r="DX1555" s="42" t="str">
        <f t="array" aca="1" ref="DX1555" ca="1">IFERROR(INDEX(nombres[],SMALL(IF(OFFSET(nombres[],0,0,ROWS(nombres[]),1)=DX$1490,ROW(OFFSET(nombres[],0,0,ROWS(nombres[]),1))-ROW(OFFSET(nombres[],0,0,1,1))+1,ROW(OFFSET(nombres[],ROWS(nombres[])-1,0,1,1))+1),$O1555:$O1574),3),"")</f>
        <v/>
      </c>
      <c r="DY1555" s="42" t="str">
        <f t="array" aca="1" ref="DY1555" ca="1">IFERROR(INDEX(nombres[],SMALL(IF(OFFSET(nombres[],0,0,ROWS(nombres[]),1)=DY$1490,ROW(OFFSET(nombres[],0,0,ROWS(nombres[]),1))-ROW(OFFSET(nombres[],0,0,1,1))+1,ROW(OFFSET(nombres[],ROWS(nombres[])-1,0,1,1))+1),$O1555:$O1574),3),"")</f>
        <v/>
      </c>
      <c r="DZ1555" s="42" t="str">
        <f t="array" aca="1" ref="DZ1555" ca="1">IFERROR(INDEX(nombres[],SMALL(IF(OFFSET(nombres[],0,0,ROWS(nombres[]),1)=DZ$1490,ROW(OFFSET(nombres[],0,0,ROWS(nombres[]),1))-ROW(OFFSET(nombres[],0,0,1,1))+1,ROW(OFFSET(nombres[],ROWS(nombres[])-1,0,1,1))+1),$O1555:$O1574),3),"")</f>
        <v/>
      </c>
      <c r="EA1555" s="42" t="str">
        <f t="array" aca="1" ref="EA1555" ca="1">IFERROR(INDEX(nombres[],SMALL(IF(OFFSET(nombres[],0,0,ROWS(nombres[]),1)=EA$1490,ROW(OFFSET(nombres[],0,0,ROWS(nombres[]),1))-ROW(OFFSET(nombres[],0,0,1,1))+1,ROW(OFFSET(nombres[],ROWS(nombres[])-1,0,1,1))+1),$O1555:$O1574),3),"")</f>
        <v/>
      </c>
      <c r="EB1555" s="42" t="str">
        <f t="array" aca="1" ref="EB1555" ca="1">IFERROR(INDEX(nombres[],SMALL(IF(OFFSET(nombres[],0,0,ROWS(nombres[]),1)=EB$1490,ROW(OFFSET(nombres[],0,0,ROWS(nombres[]),1))-ROW(OFFSET(nombres[],0,0,1,1))+1,ROW(OFFSET(nombres[],ROWS(nombres[])-1,0,1,1))+1),$O1555:$O1574),3),"")</f>
        <v/>
      </c>
      <c r="EC1555" s="42" t="str">
        <f t="array" aca="1" ref="EC1555" ca="1">IFERROR(INDEX(nombres[],SMALL(IF(OFFSET(nombres[],0,0,ROWS(nombres[]),1)=EC$1490,ROW(OFFSET(nombres[],0,0,ROWS(nombres[]),1))-ROW(OFFSET(nombres[],0,0,1,1))+1,ROW(OFFSET(nombres[],ROWS(nombres[])-1,0,1,1))+1),$O1555:$O1574),3),"")</f>
        <v/>
      </c>
      <c r="ED1555" s="42" t="str">
        <f t="array" aca="1" ref="ED1555" ca="1">IFERROR(INDEX(nombres[],SMALL(IF(OFFSET(nombres[],0,0,ROWS(nombres[]),1)=ED$1490,ROW(OFFSET(nombres[],0,0,ROWS(nombres[]),1))-ROW(OFFSET(nombres[],0,0,1,1))+1,ROW(OFFSET(nombres[],ROWS(nombres[])-1,0,1,1))+1),$O1555:$O1574),3),"")</f>
        <v/>
      </c>
      <c r="EE1555" s="42" t="str">
        <f t="array" aca="1" ref="EE1555" ca="1">IFERROR(INDEX(nombres[],SMALL(IF(OFFSET(nombres[],0,0,ROWS(nombres[]),1)=EE$1490,ROW(OFFSET(nombres[],0,0,ROWS(nombres[]),1))-ROW(OFFSET(nombres[],0,0,1,1))+1,ROW(OFFSET(nombres[],ROWS(nombres[])-1,0,1,1))+1),$O1555:$O1574),3),"")</f>
        <v/>
      </c>
      <c r="EF1555" s="42" t="str">
        <f t="array" aca="1" ref="EF1555" ca="1">IFERROR(INDEX(nombres[],SMALL(IF(OFFSET(nombres[],0,0,ROWS(nombres[]),1)=EF$1490,ROW(OFFSET(nombres[],0,0,ROWS(nombres[]),1))-ROW(OFFSET(nombres[],0,0,1,1))+1,ROW(OFFSET(nombres[],ROWS(nombres[])-1,0,1,1))+1),$O1555:$O1574),3),"")</f>
        <v/>
      </c>
      <c r="EG1555" s="42" t="str">
        <f t="array" aca="1" ref="EG1555" ca="1">IFERROR(INDEX(nombres[],SMALL(IF(OFFSET(nombres[],0,0,ROWS(nombres[]),1)=EG$1490,ROW(OFFSET(nombres[],0,0,ROWS(nombres[]),1))-ROW(OFFSET(nombres[],0,0,1,1))+1,ROW(OFFSET(nombres[],ROWS(nombres[])-1,0,1,1))+1),$O1555:$O1574),3),"")</f>
        <v/>
      </c>
      <c r="EH1555" s="42" t="str">
        <f t="array" aca="1" ref="EH1555" ca="1">IFERROR(INDEX(nombres[],SMALL(IF(OFFSET(nombres[],0,0,ROWS(nombres[]),1)=EH$1490,ROW(OFFSET(nombres[],0,0,ROWS(nombres[]),1))-ROW(OFFSET(nombres[],0,0,1,1))+1,ROW(OFFSET(nombres[],ROWS(nombres[])-1,0,1,1))+1),$O1555:$O1574),3),"")</f>
        <v/>
      </c>
      <c r="EI1555" s="42" t="str">
        <f t="array" aca="1" ref="EI1555" ca="1">IFERROR(INDEX(nombres[],SMALL(IF(OFFSET(nombres[],0,0,ROWS(nombres[]),1)=EI$1490,ROW(OFFSET(nombres[],0,0,ROWS(nombres[]),1))-ROW(OFFSET(nombres[],0,0,1,1))+1,ROW(OFFSET(nombres[],ROWS(nombres[])-1,0,1,1))+1),$O1555:$O1574),3),"")</f>
        <v/>
      </c>
      <c r="EJ1555" s="42" t="str">
        <f t="array" aca="1" ref="EJ1555" ca="1">IFERROR(INDEX(nombres[],SMALL(IF(OFFSET(nombres[],0,0,ROWS(nombres[]),1)=EJ$1490,ROW(OFFSET(nombres[],0,0,ROWS(nombres[]),1))-ROW(OFFSET(nombres[],0,0,1,1))+1,ROW(OFFSET(nombres[],ROWS(nombres[])-1,0,1,1))+1),$O1555:$O1574),3),"")</f>
        <v/>
      </c>
      <c r="EK1555" s="42" t="str">
        <f t="array" aca="1" ref="EK1555" ca="1">IFERROR(INDEX(nombres[],SMALL(IF(OFFSET(nombres[],0,0,ROWS(nombres[]),1)=EK$1490,ROW(OFFSET(nombres[],0,0,ROWS(nombres[]),1))-ROW(OFFSET(nombres[],0,0,1,1))+1,ROW(OFFSET(nombres[],ROWS(nombres[])-1,0,1,1))+1),$O1555:$O1574),3),"")</f>
        <v/>
      </c>
      <c r="EL1555" s="42" t="str">
        <f t="array" aca="1" ref="EL1555" ca="1">IFERROR(INDEX(nombres[],SMALL(IF(OFFSET(nombres[],0,0,ROWS(nombres[]),1)=EL$1490,ROW(OFFSET(nombres[],0,0,ROWS(nombres[]),1))-ROW(OFFSET(nombres[],0,0,1,1))+1,ROW(OFFSET(nombres[],ROWS(nombres[])-1,0,1,1))+1),$O1555:$O1574),3),"")</f>
        <v/>
      </c>
      <c r="EM1555" s="42" t="str">
        <f t="array" aca="1" ref="EM1555" ca="1">IFERROR(INDEX(nombres[],SMALL(IF(OFFSET(nombres[],0,0,ROWS(nombres[]),1)=EM$1490,ROW(OFFSET(nombres[],0,0,ROWS(nombres[]),1))-ROW(OFFSET(nombres[],0,0,1,1))+1,ROW(OFFSET(nombres[],ROWS(nombres[])-1,0,1,1))+1),$O1555:$O1574),3),"")</f>
        <v/>
      </c>
      <c r="EN1555" s="42" t="str">
        <f t="array" aca="1" ref="EN1555" ca="1">IFERROR(INDEX(nombres[],SMALL(IF(OFFSET(nombres[],0,0,ROWS(nombres[]),1)=EN$1490,ROW(OFFSET(nombres[],0,0,ROWS(nombres[]),1))-ROW(OFFSET(nombres[],0,0,1,1))+1,ROW(OFFSET(nombres[],ROWS(nombres[])-1,0,1,1))+1),$O1555:$O1574),3),"")</f>
        <v/>
      </c>
      <c r="EO1555" s="42" t="str">
        <f t="array" aca="1" ref="EO1555" ca="1">IFERROR(INDEX(nombres[],SMALL(IF(OFFSET(nombres[],0,0,ROWS(nombres[]),1)=EO$1490,ROW(OFFSET(nombres[],0,0,ROWS(nombres[]),1))-ROW(OFFSET(nombres[],0,0,1,1))+1,ROW(OFFSET(nombres[],ROWS(nombres[])-1,0,1,1))+1),$O1555:$O1574),3),"")</f>
        <v/>
      </c>
      <c r="EP1555" s="42" t="str">
        <f t="array" aca="1" ref="EP1555" ca="1">IFERROR(INDEX(nombres[],SMALL(IF(OFFSET(nombres[],0,0,ROWS(nombres[]),1)=EP$1490,ROW(OFFSET(nombres[],0,0,ROWS(nombres[]),1))-ROW(OFFSET(nombres[],0,0,1,1))+1,ROW(OFFSET(nombres[],ROWS(nombres[])-1,0,1,1))+1),$O1555:$O1574),3),"")</f>
        <v/>
      </c>
      <c r="EQ1555" s="42" t="str">
        <f t="array" aca="1" ref="EQ1555" ca="1">IFERROR(INDEX(nombres[],SMALL(IF(OFFSET(nombres[],0,0,ROWS(nombres[]),1)=EQ$1490,ROW(OFFSET(nombres[],0,0,ROWS(nombres[]),1))-ROW(OFFSET(nombres[],0,0,1,1))+1,ROW(OFFSET(nombres[],ROWS(nombres[])-1,0,1,1))+1),$O1555:$O1574),3),"")</f>
        <v/>
      </c>
      <c r="ER1555" s="42" t="str">
        <f t="array" aca="1" ref="ER1555" ca="1">IFERROR(INDEX(nombres[],SMALL(IF(OFFSET(nombres[],0,0,ROWS(nombres[]),1)=ER$1490,ROW(OFFSET(nombres[],0,0,ROWS(nombres[]),1))-ROW(OFFSET(nombres[],0,0,1,1))+1,ROW(OFFSET(nombres[],ROWS(nombres[])-1,0,1,1))+1),$O1555:$O1574),3),"")</f>
        <v/>
      </c>
      <c r="ES1555" s="42" t="str">
        <f t="array" aca="1" ref="ES1555" ca="1">IFERROR(INDEX(nombres[],SMALL(IF(OFFSET(nombres[],0,0,ROWS(nombres[]),1)=ES$1490,ROW(OFFSET(nombres[],0,0,ROWS(nombres[]),1))-ROW(OFFSET(nombres[],0,0,1,1))+1,ROW(OFFSET(nombres[],ROWS(nombres[])-1,0,1,1))+1),$O1555:$O1574),3),"")</f>
        <v/>
      </c>
      <c r="ET1555" s="42" t="str">
        <f t="array" aca="1" ref="ET1555" ca="1">IFERROR(INDEX(nombres[],SMALL(IF(OFFSET(nombres[],0,0,ROWS(nombres[]),1)=ET$1490,ROW(OFFSET(nombres[],0,0,ROWS(nombres[]),1))-ROW(OFFSET(nombres[],0,0,1,1))+1,ROW(OFFSET(nombres[],ROWS(nombres[])-1,0,1,1))+1),$O1555:$O1574),3),"")</f>
        <v/>
      </c>
      <c r="EU1555" s="42" t="str">
        <f t="array" aca="1" ref="EU1555" ca="1">IFERROR(INDEX(nombres[],SMALL(IF(OFFSET(nombres[],0,0,ROWS(nombres[]),1)=EU$1490,ROW(OFFSET(nombres[],0,0,ROWS(nombres[]),1))-ROW(OFFSET(nombres[],0,0,1,1))+1,ROW(OFFSET(nombres[],ROWS(nombres[])-1,0,1,1))+1),$O1555:$O1574),3),"")</f>
        <v/>
      </c>
      <c r="EV1555" s="42" t="str">
        <f t="array" aca="1" ref="EV1555" ca="1">IFERROR(INDEX(nombres[],SMALL(IF(OFFSET(nombres[],0,0,ROWS(nombres[]),1)=EV$1490,ROW(OFFSET(nombres[],0,0,ROWS(nombres[]),1))-ROW(OFFSET(nombres[],0,0,1,1))+1,ROW(OFFSET(nombres[],ROWS(nombres[])-1,0,1,1))+1),$O1555:$O1574),3),"")</f>
        <v/>
      </c>
      <c r="EW1555" s="42" t="str">
        <f t="array" aca="1" ref="EW1555" ca="1">IFERROR(INDEX(nombres[],SMALL(IF(OFFSET(nombres[],0,0,ROWS(nombres[]),1)=EW$1490,ROW(OFFSET(nombres[],0,0,ROWS(nombres[]),1))-ROW(OFFSET(nombres[],0,0,1,1))+1,ROW(OFFSET(nombres[],ROWS(nombres[])-1,0,1,1))+1),$O1555:$O1574),3),"")</f>
        <v/>
      </c>
      <c r="EX1555" s="42" t="str">
        <f t="array" aca="1" ref="EX1555" ca="1">IFERROR(INDEX(nombres[],SMALL(IF(OFFSET(nombres[],0,0,ROWS(nombres[]),1)=EX$1490,ROW(OFFSET(nombres[],0,0,ROWS(nombres[]),1))-ROW(OFFSET(nombres[],0,0,1,1))+1,ROW(OFFSET(nombres[],ROWS(nombres[])-1,0,1,1))+1),$O1555:$O1574),3),"")</f>
        <v/>
      </c>
      <c r="EY1555" s="42" t="str">
        <f t="array" aca="1" ref="EY1555" ca="1">IFERROR(INDEX(nombres[],SMALL(IF(OFFSET(nombres[],0,0,ROWS(nombres[]),1)=EY$1490,ROW(OFFSET(nombres[],0,0,ROWS(nombres[]),1))-ROW(OFFSET(nombres[],0,0,1,1))+1,ROW(OFFSET(nombres[],ROWS(nombres[])-1,0,1,1))+1),$O1555:$O1574),3),"")</f>
        <v/>
      </c>
      <c r="EZ1555" s="42" t="str">
        <f t="array" aca="1" ref="EZ1555" ca="1">IFERROR(INDEX(nombres[],SMALL(IF(OFFSET(nombres[],0,0,ROWS(nombres[]),1)=EZ$1490,ROW(OFFSET(nombres[],0,0,ROWS(nombres[]),1))-ROW(OFFSET(nombres[],0,0,1,1))+1,ROW(OFFSET(nombres[],ROWS(nombres[])-1,0,1,1))+1),$O1555:$O1574),3),"")</f>
        <v/>
      </c>
      <c r="FA1555" s="42" t="str">
        <f t="array" aca="1" ref="FA1555" ca="1">IFERROR(INDEX(nombres[],SMALL(IF(OFFSET(nombres[],0,0,ROWS(nombres[]),1)=FA$1490,ROW(OFFSET(nombres[],0,0,ROWS(nombres[]),1))-ROW(OFFSET(nombres[],0,0,1,1))+1,ROW(OFFSET(nombres[],ROWS(nombres[])-1,0,1,1))+1),$O1555:$O1574),3),"")</f>
        <v/>
      </c>
      <c r="FB1555" s="42" t="str">
        <f t="array" aca="1" ref="FB1555" ca="1">IFERROR(INDEX(nombres[],SMALL(IF(OFFSET(nombres[],0,0,ROWS(nombres[]),1)=FB$1490,ROW(OFFSET(nombres[],0,0,ROWS(nombres[]),1))-ROW(OFFSET(nombres[],0,0,1,1))+1,ROW(OFFSET(nombres[],ROWS(nombres[])-1,0,1,1))+1),$O1555:$O1574),3),"")</f>
        <v/>
      </c>
      <c r="FC1555" s="42" t="str">
        <f t="array" aca="1" ref="FC1555" ca="1">IFERROR(INDEX(nombres[],SMALL(IF(OFFSET(nombres[],0,0,ROWS(nombres[]),1)=FC$1490,ROW(OFFSET(nombres[],0,0,ROWS(nombres[]),1))-ROW(OFFSET(nombres[],0,0,1,1))+1,ROW(OFFSET(nombres[],ROWS(nombres[])-1,0,1,1))+1),$O1555:$O1574),3),"")</f>
        <v/>
      </c>
      <c r="FD1555" s="42" t="str">
        <f t="array" aca="1" ref="FD1555" ca="1">IFERROR(INDEX(nombres[],SMALL(IF(OFFSET(nombres[],0,0,ROWS(nombres[]),1)=FD$1490,ROW(OFFSET(nombres[],0,0,ROWS(nombres[]),1))-ROW(OFFSET(nombres[],0,0,1,1))+1,ROW(OFFSET(nombres[],ROWS(nombres[])-1,0,1,1))+1),$O1555:$O1574),3),"")</f>
        <v/>
      </c>
      <c r="FE1555" s="42" t="str">
        <f t="array" aca="1" ref="FE1555" ca="1">IFERROR(INDEX(nombres[],SMALL(IF(OFFSET(nombres[],0,0,ROWS(nombres[]),1)=FE$1490,ROW(OFFSET(nombres[],0,0,ROWS(nombres[]),1))-ROW(OFFSET(nombres[],0,0,1,1))+1,ROW(OFFSET(nombres[],ROWS(nombres[])-1,0,1,1))+1),$O1555:$O1574),3),"")</f>
        <v/>
      </c>
      <c r="FF1555" s="42" t="str">
        <f t="array" aca="1" ref="FF1555" ca="1">IFERROR(INDEX(nombres[],SMALL(IF(OFFSET(nombres[],0,0,ROWS(nombres[]),1)=FF$1490,ROW(OFFSET(nombres[],0,0,ROWS(nombres[]),1))-ROW(OFFSET(nombres[],0,0,1,1))+1,ROW(OFFSET(nombres[],ROWS(nombres[])-1,0,1,1))+1),$O1555:$O1574),3),"")</f>
        <v/>
      </c>
      <c r="FG1555" s="42" t="str">
        <f t="array" aca="1" ref="FG1555" ca="1">IFERROR(INDEX(nombres[],SMALL(IF(OFFSET(nombres[],0,0,ROWS(nombres[]),1)=FG$1490,ROW(OFFSET(nombres[],0,0,ROWS(nombres[]),1))-ROW(OFFSET(nombres[],0,0,1,1))+1,ROW(OFFSET(nombres[],ROWS(nombres[])-1,0,1,1))+1),$O1555:$O1574),3),"")</f>
        <v/>
      </c>
      <c r="FH1555" s="42" t="str">
        <f t="array" aca="1" ref="FH1555" ca="1">IFERROR(INDEX(nombres[],SMALL(IF(OFFSET(nombres[],0,0,ROWS(nombres[]),1)=FH$1490,ROW(OFFSET(nombres[],0,0,ROWS(nombres[]),1))-ROW(OFFSET(nombres[],0,0,1,1))+1,ROW(OFFSET(nombres[],ROWS(nombres[])-1,0,1,1))+1),$O1555:$O1574),3),"")</f>
        <v/>
      </c>
      <c r="FI1555" s="42" t="str">
        <f t="array" aca="1" ref="FI1555" ca="1">IFERROR(INDEX(nombres[],SMALL(IF(OFFSET(nombres[],0,0,ROWS(nombres[]),1)=FI$1490,ROW(OFFSET(nombres[],0,0,ROWS(nombres[]),1))-ROW(OFFSET(nombres[],0,0,1,1))+1,ROW(OFFSET(nombres[],ROWS(nombres[])-1,0,1,1))+1),$O1555:$O1574),3),"")</f>
        <v/>
      </c>
      <c r="FJ1555" s="42" t="str">
        <f t="array" aca="1" ref="FJ1555" ca="1">IFERROR(INDEX(nombres[],SMALL(IF(OFFSET(nombres[],0,0,ROWS(nombres[]),1)=FJ$1490,ROW(OFFSET(nombres[],0,0,ROWS(nombres[]),1))-ROW(OFFSET(nombres[],0,0,1,1))+1,ROW(OFFSET(nombres[],ROWS(nombres[])-1,0,1,1))+1),$O1555:$O1574),3),"")</f>
        <v/>
      </c>
      <c r="FK1555" s="42" t="str">
        <f t="array" aca="1" ref="FK1555" ca="1">IFERROR(INDEX(nombres[],SMALL(IF(OFFSET(nombres[],0,0,ROWS(nombres[]),1)=FK$1490,ROW(OFFSET(nombres[],0,0,ROWS(nombres[]),1))-ROW(OFFSET(nombres[],0,0,1,1))+1,ROW(OFFSET(nombres[],ROWS(nombres[])-1,0,1,1))+1),$O1555:$O1574),3),"")</f>
        <v/>
      </c>
      <c r="FL1555" s="42" t="str">
        <f t="array" aca="1" ref="FL1555" ca="1">IFERROR(INDEX(nombres[],SMALL(IF(OFFSET(nombres[],0,0,ROWS(nombres[]),1)=FL$1490,ROW(OFFSET(nombres[],0,0,ROWS(nombres[]),1))-ROW(OFFSET(nombres[],0,0,1,1))+1,ROW(OFFSET(nombres[],ROWS(nombres[])-1,0,1,1))+1),$O1555:$O1574),3),"")</f>
        <v/>
      </c>
      <c r="FM1555" s="42" t="str">
        <f t="array" aca="1" ref="FM1555" ca="1">IFERROR(INDEX(nombres[],SMALL(IF(OFFSET(nombres[],0,0,ROWS(nombres[]),1)=FM$1490,ROW(OFFSET(nombres[],0,0,ROWS(nombres[]),1))-ROW(OFFSET(nombres[],0,0,1,1))+1,ROW(OFFSET(nombres[],ROWS(nombres[])-1,0,1,1))+1),$O1555:$O1574),3),"")</f>
        <v/>
      </c>
      <c r="FN1555" s="42" t="str">
        <f t="array" aca="1" ref="FN1555" ca="1">IFERROR(INDEX(nombres[],SMALL(IF(OFFSET(nombres[],0,0,ROWS(nombres[]),1)=FN$1490,ROW(OFFSET(nombres[],0,0,ROWS(nombres[]),1))-ROW(OFFSET(nombres[],0,0,1,1))+1,ROW(OFFSET(nombres[],ROWS(nombres[])-1,0,1,1))+1),$O1555:$O1574),3),"")</f>
        <v/>
      </c>
      <c r="FO1555" s="42" t="str">
        <f t="array" aca="1" ref="FO1555" ca="1">IFERROR(INDEX(nombres[],SMALL(IF(OFFSET(nombres[],0,0,ROWS(nombres[]),1)=FO$1490,ROW(OFFSET(nombres[],0,0,ROWS(nombres[]),1))-ROW(OFFSET(nombres[],0,0,1,1))+1,ROW(OFFSET(nombres[],ROWS(nombres[])-1,0,1,1))+1),$O1555:$O1574),3),"")</f>
        <v/>
      </c>
      <c r="FP1555" s="42" t="str">
        <f t="array" aca="1" ref="FP1555" ca="1">IFERROR(INDEX(nombres[],SMALL(IF(OFFSET(nombres[],0,0,ROWS(nombres[]),1)=FP$1490,ROW(OFFSET(nombres[],0,0,ROWS(nombres[]),1))-ROW(OFFSET(nombres[],0,0,1,1))+1,ROW(OFFSET(nombres[],ROWS(nombres[])-1,0,1,1))+1),$O1555:$O1574),3),"")</f>
        <v/>
      </c>
      <c r="FQ1555" s="42" t="str">
        <f t="array" aca="1" ref="FQ1555" ca="1">IFERROR(INDEX(nombres[],SMALL(IF(OFFSET(nombres[],0,0,ROWS(nombres[]),1)=FQ$1490,ROW(OFFSET(nombres[],0,0,ROWS(nombres[]),1))-ROW(OFFSET(nombres[],0,0,1,1))+1,ROW(OFFSET(nombres[],ROWS(nombres[])-1,0,1,1))+1),$O1555:$O1574),3),"")</f>
        <v/>
      </c>
      <c r="FR1555" s="42" t="str">
        <f t="array" aca="1" ref="FR1555" ca="1">IFERROR(INDEX(nombres[],SMALL(IF(OFFSET(nombres[],0,0,ROWS(nombres[]),1)=FR$1490,ROW(OFFSET(nombres[],0,0,ROWS(nombres[]),1))-ROW(OFFSET(nombres[],0,0,1,1))+1,ROW(OFFSET(nombres[],ROWS(nombres[])-1,0,1,1))+1),$O1555:$O1574),3),"")</f>
        <v/>
      </c>
      <c r="FS1555" s="42" t="str">
        <f t="array" aca="1" ref="FS1555" ca="1">IFERROR(INDEX(nombres[],SMALL(IF(OFFSET(nombres[],0,0,ROWS(nombres[]),1)=FS$1490,ROW(OFFSET(nombres[],0,0,ROWS(nombres[]),1))-ROW(OFFSET(nombres[],0,0,1,1))+1,ROW(OFFSET(nombres[],ROWS(nombres[])-1,0,1,1))+1),$O1555:$O1574),3),"")</f>
        <v/>
      </c>
      <c r="FT1555" s="42" t="str">
        <f t="array" aca="1" ref="FT1555" ca="1">IFERROR(INDEX(nombres[],SMALL(IF(OFFSET(nombres[],0,0,ROWS(nombres[]),1)=FT$1490,ROW(OFFSET(nombres[],0,0,ROWS(nombres[]),1))-ROW(OFFSET(nombres[],0,0,1,1))+1,ROW(OFFSET(nombres[],ROWS(nombres[])-1,0,1,1))+1),$O1555:$O1574),3),"")</f>
        <v/>
      </c>
      <c r="FU1555" s="42" t="str">
        <f t="array" aca="1" ref="FU1555" ca="1">IFERROR(INDEX(nombres[],SMALL(IF(OFFSET(nombres[],0,0,ROWS(nombres[]),1)=FU$1490,ROW(OFFSET(nombres[],0,0,ROWS(nombres[]),1))-ROW(OFFSET(nombres[],0,0,1,1))+1,ROW(OFFSET(nombres[],ROWS(nombres[])-1,0,1,1))+1),$O1555:$O1574),3),"")</f>
        <v/>
      </c>
      <c r="FV1555" s="42" t="str">
        <f t="array" aca="1" ref="FV1555" ca="1">IFERROR(INDEX(nombres[],SMALL(IF(OFFSET(nombres[],0,0,ROWS(nombres[]),1)=FV$1490,ROW(OFFSET(nombres[],0,0,ROWS(nombres[]),1))-ROW(OFFSET(nombres[],0,0,1,1))+1,ROW(OFFSET(nombres[],ROWS(nombres[])-1,0,1,1))+1),$O1555:$O1574),3),"")</f>
        <v/>
      </c>
      <c r="FW1555" s="42" t="str">
        <f t="array" aca="1" ref="FW1555" ca="1">IFERROR(INDEX(nombres[],SMALL(IF(OFFSET(nombres[],0,0,ROWS(nombres[]),1)=FW$1490,ROW(OFFSET(nombres[],0,0,ROWS(nombres[]),1))-ROW(OFFSET(nombres[],0,0,1,1))+1,ROW(OFFSET(nombres[],ROWS(nombres[])-1,0,1,1))+1),$O1555:$O1574),3),"")</f>
        <v/>
      </c>
      <c r="FX1555" s="42" t="str">
        <f t="array" aca="1" ref="FX1555" ca="1">IFERROR(INDEX(nombres[],SMALL(IF(OFFSET(nombres[],0,0,ROWS(nombres[]),1)=FX$1490,ROW(OFFSET(nombres[],0,0,ROWS(nombres[]),1))-ROW(OFFSET(nombres[],0,0,1,1))+1,ROW(OFFSET(nombres[],ROWS(nombres[])-1,0,1,1))+1),$O1555:$O1574),3),"")</f>
        <v/>
      </c>
      <c r="FY1555" s="42" t="str">
        <f t="array" aca="1" ref="FY1555" ca="1">IFERROR(INDEX(nombres[],SMALL(IF(OFFSET(nombres[],0,0,ROWS(nombres[]),1)=FY$1490,ROW(OFFSET(nombres[],0,0,ROWS(nombres[]),1))-ROW(OFFSET(nombres[],0,0,1,1))+1,ROW(OFFSET(nombres[],ROWS(nombres[])-1,0,1,1))+1),$O1555:$O1574),3),"")</f>
        <v/>
      </c>
      <c r="FZ1555" s="42" t="str">
        <f t="array" aca="1" ref="FZ1555" ca="1">IFERROR(INDEX(nombres[],SMALL(IF(OFFSET(nombres[],0,0,ROWS(nombres[]),1)=FZ$1490,ROW(OFFSET(nombres[],0,0,ROWS(nombres[]),1))-ROW(OFFSET(nombres[],0,0,1,1))+1,ROW(OFFSET(nombres[],ROWS(nombres[])-1,0,1,1))+1),$O1555:$O1574),3),"")</f>
        <v/>
      </c>
      <c r="GA1555" s="42" t="str">
        <f t="array" aca="1" ref="GA1555" ca="1">IFERROR(INDEX(nombres[],SMALL(IF(OFFSET(nombres[],0,0,ROWS(nombres[]),1)=GA$1490,ROW(OFFSET(nombres[],0,0,ROWS(nombres[]),1))-ROW(OFFSET(nombres[],0,0,1,1))+1,ROW(OFFSET(nombres[],ROWS(nombres[])-1,0,1,1))+1),$O1555:$O1574),3),"")</f>
        <v/>
      </c>
      <c r="GB1555" s="42" t="str">
        <f t="array" aca="1" ref="GB1555" ca="1">IFERROR(INDEX(nombres[],SMALL(IF(OFFSET(nombres[],0,0,ROWS(nombres[]),1)=GB$1490,ROW(OFFSET(nombres[],0,0,ROWS(nombres[]),1))-ROW(OFFSET(nombres[],0,0,1,1))+1,ROW(OFFSET(nombres[],ROWS(nombres[])-1,0,1,1))+1),$O1555:$O1574),3),"")</f>
        <v/>
      </c>
      <c r="GC1555" s="42" t="str">
        <f t="array" aca="1" ref="GC1555" ca="1">IFERROR(INDEX(nombres[],SMALL(IF(OFFSET(nombres[],0,0,ROWS(nombres[]),1)=GC$1490,ROW(OFFSET(nombres[],0,0,ROWS(nombres[]),1))-ROW(OFFSET(nombres[],0,0,1,1))+1,ROW(OFFSET(nombres[],ROWS(nombres[])-1,0,1,1))+1),$O1555:$O1574),3),"")</f>
        <v/>
      </c>
      <c r="GD1555" s="42" t="str">
        <f t="array" aca="1" ref="GD1555" ca="1">IFERROR(INDEX(nombres[],SMALL(IF(OFFSET(nombres[],0,0,ROWS(nombres[]),1)=GD$1490,ROW(OFFSET(nombres[],0,0,ROWS(nombres[]),1))-ROW(OFFSET(nombres[],0,0,1,1))+1,ROW(OFFSET(nombres[],ROWS(nombres[])-1,0,1,1))+1),$O1555:$O1574),3),"")</f>
        <v/>
      </c>
      <c r="GE1555" s="42" t="str">
        <f t="array" aca="1" ref="GE1555" ca="1">IFERROR(INDEX(nombres[],SMALL(IF(OFFSET(nombres[],0,0,ROWS(nombres[]),1)=GE$1490,ROW(OFFSET(nombres[],0,0,ROWS(nombres[]),1))-ROW(OFFSET(nombres[],0,0,1,1))+1,ROW(OFFSET(nombres[],ROWS(nombres[])-1,0,1,1))+1),$O1555:$O1574),3),"")</f>
        <v/>
      </c>
      <c r="GF1555" s="42" t="str">
        <f t="array" aca="1" ref="GF1555" ca="1">IFERROR(INDEX(nombres[],SMALL(IF(OFFSET(nombres[],0,0,ROWS(nombres[]),1)=GF$1490,ROW(OFFSET(nombres[],0,0,ROWS(nombres[]),1))-ROW(OFFSET(nombres[],0,0,1,1))+1,ROW(OFFSET(nombres[],ROWS(nombres[])-1,0,1,1))+1),$O1555:$O1574),3),"")</f>
        <v/>
      </c>
      <c r="GG1555" s="42" t="str">
        <f t="array" aca="1" ref="GG1555" ca="1">IFERROR(INDEX(nombres[],SMALL(IF(OFFSET(nombres[],0,0,ROWS(nombres[]),1)=GG$1490,ROW(OFFSET(nombres[],0,0,ROWS(nombres[]),1))-ROW(OFFSET(nombres[],0,0,1,1))+1,ROW(OFFSET(nombres[],ROWS(nombres[])-1,0,1,1))+1),$O1555:$O1574),3),"")</f>
        <v/>
      </c>
      <c r="GH1555" s="42" t="str">
        <f t="array" aca="1" ref="GH1555" ca="1">IFERROR(INDEX(nombres[],SMALL(IF(OFFSET(nombres[],0,0,ROWS(nombres[]),1)=GH$1490,ROW(OFFSET(nombres[],0,0,ROWS(nombres[]),1))-ROW(OFFSET(nombres[],0,0,1,1))+1,ROW(OFFSET(nombres[],ROWS(nombres[])-1,0,1,1))+1),$O1555:$O1574),3),"")</f>
        <v/>
      </c>
      <c r="GI1555" s="42" t="str">
        <f t="array" aca="1" ref="GI1555" ca="1">IFERROR(INDEX(nombres[],SMALL(IF(OFFSET(nombres[],0,0,ROWS(nombres[]),1)=GI$1490,ROW(OFFSET(nombres[],0,0,ROWS(nombres[]),1))-ROW(OFFSET(nombres[],0,0,1,1))+1,ROW(OFFSET(nombres[],ROWS(nombres[])-1,0,1,1))+1),$O1555:$O1574),3),"")</f>
        <v/>
      </c>
      <c r="GJ1555" s="42" t="str">
        <f t="array" aca="1" ref="GJ1555" ca="1">IFERROR(INDEX(nombres[],SMALL(IF(OFFSET(nombres[],0,0,ROWS(nombres[]),1)=GJ$1490,ROW(OFFSET(nombres[],0,0,ROWS(nombres[]),1))-ROW(OFFSET(nombres[],0,0,1,1))+1,ROW(OFFSET(nombres[],ROWS(nombres[])-1,0,1,1))+1),$O1555:$O1574),3),"")</f>
        <v/>
      </c>
      <c r="GK1555" s="42" t="str">
        <f t="array" aca="1" ref="GK1555" ca="1">IFERROR(INDEX(nombres[],SMALL(IF(OFFSET(nombres[],0,0,ROWS(nombres[]),1)=GK$1490,ROW(OFFSET(nombres[],0,0,ROWS(nombres[]),1))-ROW(OFFSET(nombres[],0,0,1,1))+1,ROW(OFFSET(nombres[],ROWS(nombres[])-1,0,1,1))+1),$O1555:$O1574),3),"")</f>
        <v/>
      </c>
      <c r="GL1555" s="42" t="str">
        <f t="array" aca="1" ref="GL1555" ca="1">IFERROR(INDEX(nombres[],SMALL(IF(OFFSET(nombres[],0,0,ROWS(nombres[]),1)=GL$1490,ROW(OFFSET(nombres[],0,0,ROWS(nombres[]),1))-ROW(OFFSET(nombres[],0,0,1,1))+1,ROW(OFFSET(nombres[],ROWS(nombres[])-1,0,1,1))+1),$O1555:$O1574),3),"")</f>
        <v/>
      </c>
      <c r="GM1555" s="42" t="str">
        <f t="array" aca="1" ref="GM1555" ca="1">IFERROR(INDEX(nombres[],SMALL(IF(OFFSET(nombres[],0,0,ROWS(nombres[]),1)=GM$1490,ROW(OFFSET(nombres[],0,0,ROWS(nombres[]),1))-ROW(OFFSET(nombres[],0,0,1,1))+1,ROW(OFFSET(nombres[],ROWS(nombres[])-1,0,1,1))+1),$O1555:$O1574),3),"")</f>
        <v/>
      </c>
      <c r="GN1555" s="42" t="str">
        <f t="array" aca="1" ref="GN1555" ca="1">IFERROR(INDEX(nombres[],SMALL(IF(OFFSET(nombres[],0,0,ROWS(nombres[]),1)=GN$1490,ROW(OFFSET(nombres[],0,0,ROWS(nombres[]),1))-ROW(OFFSET(nombres[],0,0,1,1))+1,ROW(OFFSET(nombres[],ROWS(nombres[])-1,0,1,1))+1),$O1555:$O1574),3),"")</f>
        <v/>
      </c>
      <c r="GO1555" s="42" t="str">
        <f t="array" aca="1" ref="GO1555" ca="1">IFERROR(INDEX(nombres[],SMALL(IF(OFFSET(nombres[],0,0,ROWS(nombres[]),1)=GO$1490,ROW(OFFSET(nombres[],0,0,ROWS(nombres[]),1))-ROW(OFFSET(nombres[],0,0,1,1))+1,ROW(OFFSET(nombres[],ROWS(nombres[])-1,0,1,1))+1),$O1555:$O1574),3),"")</f>
        <v/>
      </c>
      <c r="GP1555" s="42" t="str">
        <f t="array" aca="1" ref="GP1555" ca="1">IFERROR(INDEX(nombres[],SMALL(IF(OFFSET(nombres[],0,0,ROWS(nombres[]),1)=GP$1490,ROW(OFFSET(nombres[],0,0,ROWS(nombres[]),1))-ROW(OFFSET(nombres[],0,0,1,1))+1,ROW(OFFSET(nombres[],ROWS(nombres[])-1,0,1,1))+1),$O1555:$O1574),3),"")</f>
        <v/>
      </c>
      <c r="GQ1555" s="42" t="str">
        <f t="array" aca="1" ref="GQ1555" ca="1">IFERROR(INDEX(nombres[],SMALL(IF(OFFSET(nombres[],0,0,ROWS(nombres[]),1)=GQ$1490,ROW(OFFSET(nombres[],0,0,ROWS(nombres[]),1))-ROW(OFFSET(nombres[],0,0,1,1))+1,ROW(OFFSET(nombres[],ROWS(nombres[])-1,0,1,1))+1),$O1555:$O1574),3),"")</f>
        <v/>
      </c>
      <c r="GR1555" s="42" t="str">
        <f t="array" aca="1" ref="GR1555" ca="1">IFERROR(INDEX(nombres[],SMALL(IF(OFFSET(nombres[],0,0,ROWS(nombres[]),1)=GR$1490,ROW(OFFSET(nombres[],0,0,ROWS(nombres[]),1))-ROW(OFFSET(nombres[],0,0,1,1))+1,ROW(OFFSET(nombres[],ROWS(nombres[])-1,0,1,1))+1),$O1555:$O1574),3),"")</f>
        <v/>
      </c>
      <c r="GS1555" s="42" t="str">
        <f t="array" aca="1" ref="GS1555" ca="1">IFERROR(INDEX(nombres[],SMALL(IF(OFFSET(nombres[],0,0,ROWS(nombres[]),1)=GS$1490,ROW(OFFSET(nombres[],0,0,ROWS(nombres[]),1))-ROW(OFFSET(nombres[],0,0,1,1))+1,ROW(OFFSET(nombres[],ROWS(nombres[])-1,0,1,1))+1),$O1555:$O1574),3),"")</f>
        <v/>
      </c>
      <c r="GT1555" s="42" t="str">
        <f t="array" aca="1" ref="GT1555" ca="1">IFERROR(INDEX(nombres[],SMALL(IF(OFFSET(nombres[],0,0,ROWS(nombres[]),1)=GT$1490,ROW(OFFSET(nombres[],0,0,ROWS(nombres[]),1))-ROW(OFFSET(nombres[],0,0,1,1))+1,ROW(OFFSET(nombres[],ROWS(nombres[])-1,0,1,1))+1),$O1555:$O1574),3),"")</f>
        <v/>
      </c>
      <c r="GU1555" s="42" t="str">
        <f t="array" aca="1" ref="GU1555" ca="1">IFERROR(INDEX(nombres[],SMALL(IF(OFFSET(nombres[],0,0,ROWS(nombres[]),1)=GU$1490,ROW(OFFSET(nombres[],0,0,ROWS(nombres[]),1))-ROW(OFFSET(nombres[],0,0,1,1))+1,ROW(OFFSET(nombres[],ROWS(nombres[])-1,0,1,1))+1),$O1555:$O1574),3),"")</f>
        <v/>
      </c>
      <c r="GV1555" s="42" t="str">
        <f t="array" aca="1" ref="GV1555" ca="1">IFERROR(INDEX(nombres[],SMALL(IF(OFFSET(nombres[],0,0,ROWS(nombres[]),1)=GV$1490,ROW(OFFSET(nombres[],0,0,ROWS(nombres[]),1))-ROW(OFFSET(nombres[],0,0,1,1))+1,ROW(OFFSET(nombres[],ROWS(nombres[])-1,0,1,1))+1),$O1555:$O1574),3),"")</f>
        <v/>
      </c>
      <c r="GW1555" s="42" t="str">
        <f t="array" aca="1" ref="GW1555" ca="1">IFERROR(INDEX(nombres[],SMALL(IF(OFFSET(nombres[],0,0,ROWS(nombres[]),1)=GW$1490,ROW(OFFSET(nombres[],0,0,ROWS(nombres[]),1))-ROW(OFFSET(nombres[],0,0,1,1))+1,ROW(OFFSET(nombres[],ROWS(nombres[])-1,0,1,1))+1),$O1555:$O1574),3),"")</f>
        <v/>
      </c>
      <c r="GX1555" s="42" t="str">
        <f t="array" aca="1" ref="GX1555" ca="1">IFERROR(INDEX(nombres[],SMALL(IF(OFFSET(nombres[],0,0,ROWS(nombres[]),1)=GX$1490,ROW(OFFSET(nombres[],0,0,ROWS(nombres[]),1))-ROW(OFFSET(nombres[],0,0,1,1))+1,ROW(OFFSET(nombres[],ROWS(nombres[])-1,0,1,1))+1),$O1555:$O1574),3),"")</f>
        <v/>
      </c>
      <c r="GY1555" s="42" t="str">
        <f t="array" aca="1" ref="GY1555" ca="1">IFERROR(INDEX(nombres[],SMALL(IF(OFFSET(nombres[],0,0,ROWS(nombres[]),1)=GY$1490,ROW(OFFSET(nombres[],0,0,ROWS(nombres[]),1))-ROW(OFFSET(nombres[],0,0,1,1))+1,ROW(OFFSET(nombres[],ROWS(nombres[])-1,0,1,1))+1),$O1555:$O1574),3),"")</f>
        <v/>
      </c>
      <c r="GZ1555" s="42" t="str">
        <f t="array" aca="1" ref="GZ1555" ca="1">IFERROR(INDEX(nombres[],SMALL(IF(OFFSET(nombres[],0,0,ROWS(nombres[]),1)=GZ$1490,ROW(OFFSET(nombres[],0,0,ROWS(nombres[]),1))-ROW(OFFSET(nombres[],0,0,1,1))+1,ROW(OFFSET(nombres[],ROWS(nombres[])-1,0,1,1))+1),$O1555:$O1574),3),"")</f>
        <v/>
      </c>
      <c r="HA1555" s="42" t="str">
        <f t="array" aca="1" ref="HA1555" ca="1">IFERROR(INDEX(nombres[],SMALL(IF(OFFSET(nombres[],0,0,ROWS(nombres[]),1)=HA$1490,ROW(OFFSET(nombres[],0,0,ROWS(nombres[]),1))-ROW(OFFSET(nombres[],0,0,1,1))+1,ROW(OFFSET(nombres[],ROWS(nombres[])-1,0,1,1))+1),$O1555:$O1574),3),"")</f>
        <v/>
      </c>
      <c r="HB1555" s="42" t="str">
        <f t="array" aca="1" ref="HB1555" ca="1">IFERROR(INDEX(nombres[],SMALL(IF(OFFSET(nombres[],0,0,ROWS(nombres[]),1)=HB$1490,ROW(OFFSET(nombres[],0,0,ROWS(nombres[]),1))-ROW(OFFSET(nombres[],0,0,1,1))+1,ROW(OFFSET(nombres[],ROWS(nombres[])-1,0,1,1))+1),$O1555:$O1574),3),"")</f>
        <v/>
      </c>
      <c r="HC1555" s="42" t="str">
        <f t="array" aca="1" ref="HC1555" ca="1">IFERROR(INDEX(nombres[],SMALL(IF(OFFSET(nombres[],0,0,ROWS(nombres[]),1)=HC$1490,ROW(OFFSET(nombres[],0,0,ROWS(nombres[]),1))-ROW(OFFSET(nombres[],0,0,1,1))+1,ROW(OFFSET(nombres[],ROWS(nombres[])-1,0,1,1))+1),$O1555:$O1574),3),"")</f>
        <v/>
      </c>
      <c r="HD1555" s="42" t="str">
        <f t="array" aca="1" ref="HD1555" ca="1">IFERROR(INDEX(nombres[],SMALL(IF(OFFSET(nombres[],0,0,ROWS(nombres[]),1)=HD$1490,ROW(OFFSET(nombres[],0,0,ROWS(nombres[]),1))-ROW(OFFSET(nombres[],0,0,1,1))+1,ROW(OFFSET(nombres[],ROWS(nombres[])-1,0,1,1))+1),$O1555:$O1574),3),"")</f>
        <v/>
      </c>
      <c r="HE1555" s="42" t="str">
        <f t="array" aca="1" ref="HE1555" ca="1">IFERROR(INDEX(nombres[],SMALL(IF(OFFSET(nombres[],0,0,ROWS(nombres[]),1)=HE$1490,ROW(OFFSET(nombres[],0,0,ROWS(nombres[]),1))-ROW(OFFSET(nombres[],0,0,1,1))+1,ROW(OFFSET(nombres[],ROWS(nombres[])-1,0,1,1))+1),$O1555:$O1574),3),"")</f>
        <v/>
      </c>
      <c r="HF1555" s="42" t="str">
        <f t="array" aca="1" ref="HF1555" ca="1">IFERROR(INDEX(nombres[],SMALL(IF(OFFSET(nombres[],0,0,ROWS(nombres[]),1)=HF$1490,ROW(OFFSET(nombres[],0,0,ROWS(nombres[]),1))-ROW(OFFSET(nombres[],0,0,1,1))+1,ROW(OFFSET(nombres[],ROWS(nombres[])-1,0,1,1))+1),$O1555:$O1574),3),"")</f>
        <v/>
      </c>
      <c r="HG1555" s="42" t="str">
        <f t="array" aca="1" ref="HG1555" ca="1">IFERROR(INDEX(nombres[],SMALL(IF(OFFSET(nombres[],0,0,ROWS(nombres[]),1)=HG$1490,ROW(OFFSET(nombres[],0,0,ROWS(nombres[]),1))-ROW(OFFSET(nombres[],0,0,1,1))+1,ROW(OFFSET(nombres[],ROWS(nombres[])-1,0,1,1))+1),$O1555:$O1574),3),"")</f>
        <v/>
      </c>
      <c r="HH1555" s="42" t="str">
        <f t="array" aca="1" ref="HH1555" ca="1">IFERROR(INDEX(nombres[],SMALL(IF(OFFSET(nombres[],0,0,ROWS(nombres[]),1)=HH$1490,ROW(OFFSET(nombres[],0,0,ROWS(nombres[]),1))-ROW(OFFSET(nombres[],0,0,1,1))+1,ROW(OFFSET(nombres[],ROWS(nombres[])-1,0,1,1))+1),$O1555:$O1574),3),"")</f>
        <v/>
      </c>
      <c r="HI1555" s="42" t="str">
        <f t="array" aca="1" ref="HI1555" ca="1">IFERROR(INDEX(nombres[],SMALL(IF(OFFSET(nombres[],0,0,ROWS(nombres[]),1)=HI$1490,ROW(OFFSET(nombres[],0,0,ROWS(nombres[]),1))-ROW(OFFSET(nombres[],0,0,1,1))+1,ROW(OFFSET(nombres[],ROWS(nombres[])-1,0,1,1))+1),$O1555:$O1574),3),"")</f>
        <v/>
      </c>
      <c r="HJ1555" s="42" t="str">
        <f t="array" aca="1" ref="HJ1555" ca="1">IFERROR(INDEX(nombres[],SMALL(IF(OFFSET(nombres[],0,0,ROWS(nombres[]),1)=HJ$1490,ROW(OFFSET(nombres[],0,0,ROWS(nombres[]),1))-ROW(OFFSET(nombres[],0,0,1,1))+1,ROW(OFFSET(nombres[],ROWS(nombres[])-1,0,1,1))+1),$O1555:$O1574),3),"")</f>
        <v/>
      </c>
      <c r="HK1555" s="42" t="str">
        <f t="array" aca="1" ref="HK1555" ca="1">IFERROR(INDEX(nombres[],SMALL(IF(OFFSET(nombres[],0,0,ROWS(nombres[]),1)=HK$1490,ROW(OFFSET(nombres[],0,0,ROWS(nombres[]),1))-ROW(OFFSET(nombres[],0,0,1,1))+1,ROW(OFFSET(nombres[],ROWS(nombres[])-1,0,1,1))+1),$O1555:$O1574),3),"")</f>
        <v/>
      </c>
      <c r="HL1555" s="42" t="str">
        <f t="array" aca="1" ref="HL1555" ca="1">IFERROR(INDEX(nombres[],SMALL(IF(OFFSET(nombres[],0,0,ROWS(nombres[]),1)=HL$1490,ROW(OFFSET(nombres[],0,0,ROWS(nombres[]),1))-ROW(OFFSET(nombres[],0,0,1,1))+1,ROW(OFFSET(nombres[],ROWS(nombres[])-1,0,1,1))+1),$O1555:$O1574),3),"")</f>
        <v/>
      </c>
      <c r="HM1555" s="42" t="str">
        <f t="array" aca="1" ref="HM1555" ca="1">IFERROR(INDEX(nombres[],SMALL(IF(OFFSET(nombres[],0,0,ROWS(nombres[]),1)=HM$1490,ROW(OFFSET(nombres[],0,0,ROWS(nombres[]),1))-ROW(OFFSET(nombres[],0,0,1,1))+1,ROW(OFFSET(nombres[],ROWS(nombres[])-1,0,1,1))+1),$O1555:$O1574),3),"")</f>
        <v/>
      </c>
      <c r="HN1555" s="42" t="str">
        <f t="array" aca="1" ref="HN1555" ca="1">IFERROR(INDEX(nombres[],SMALL(IF(OFFSET(nombres[],0,0,ROWS(nombres[]),1)=HN$1490,ROW(OFFSET(nombres[],0,0,ROWS(nombres[]),1))-ROW(OFFSET(nombres[],0,0,1,1))+1,ROW(OFFSET(nombres[],ROWS(nombres[])-1,0,1,1))+1),$O1555:$O1574),3),"")</f>
        <v/>
      </c>
      <c r="HO1555" s="42" t="str">
        <f t="array" aca="1" ref="HO1555" ca="1">IFERROR(INDEX(nombres[],SMALL(IF(OFFSET(nombres[],0,0,ROWS(nombres[]),1)=HO$1490,ROW(OFFSET(nombres[],0,0,ROWS(nombres[]),1))-ROW(OFFSET(nombres[],0,0,1,1))+1,ROW(OFFSET(nombres[],ROWS(nombres[])-1,0,1,1))+1),$O1555:$O1574),3),"")</f>
        <v/>
      </c>
      <c r="HP1555" s="42" t="str">
        <f t="array" aca="1" ref="HP1555" ca="1">IFERROR(INDEX(nombres[],SMALL(IF(OFFSET(nombres[],0,0,ROWS(nombres[]),1)=HP$1490,ROW(OFFSET(nombres[],0,0,ROWS(nombres[]),1))-ROW(OFFSET(nombres[],0,0,1,1))+1,ROW(OFFSET(nombres[],ROWS(nombres[])-1,0,1,1))+1),$O1555:$O1574),3),"")</f>
        <v/>
      </c>
      <c r="HQ1555" s="42" t="str">
        <f t="array" aca="1" ref="HQ1555" ca="1">IFERROR(INDEX(nombres[],SMALL(IF(OFFSET(nombres[],0,0,ROWS(nombres[]),1)=HQ$1490,ROW(OFFSET(nombres[],0,0,ROWS(nombres[]),1))-ROW(OFFSET(nombres[],0,0,1,1))+1,ROW(OFFSET(nombres[],ROWS(nombres[])-1,0,1,1))+1),$O1555:$O1574),3),"")</f>
        <v/>
      </c>
      <c r="HR1555" s="42" t="str">
        <f t="array" aca="1" ref="HR1555" ca="1">IFERROR(INDEX(nombres[],SMALL(IF(OFFSET(nombres[],0,0,ROWS(nombres[]),1)=HR$1490,ROW(OFFSET(nombres[],0,0,ROWS(nombres[]),1))-ROW(OFFSET(nombres[],0,0,1,1))+1,ROW(OFFSET(nombres[],ROWS(nombres[])-1,0,1,1))+1),$O1555:$O1574),3),"")</f>
        <v/>
      </c>
      <c r="HS1555" s="42" t="str">
        <f t="array" aca="1" ref="HS1555" ca="1">IFERROR(INDEX(nombres[],SMALL(IF(OFFSET(nombres[],0,0,ROWS(nombres[]),1)=HS$1490,ROW(OFFSET(nombres[],0,0,ROWS(nombres[]),1))-ROW(OFFSET(nombres[],0,0,1,1))+1,ROW(OFFSET(nombres[],ROWS(nombres[])-1,0,1,1))+1),$O1555:$O1574),3),"")</f>
        <v/>
      </c>
      <c r="HT1555" s="42" t="str">
        <f t="array" aca="1" ref="HT1555" ca="1">IFERROR(INDEX(nombres[],SMALL(IF(OFFSET(nombres[],0,0,ROWS(nombres[]),1)=HT$1490,ROW(OFFSET(nombres[],0,0,ROWS(nombres[]),1))-ROW(OFFSET(nombres[],0,0,1,1))+1,ROW(OFFSET(nombres[],ROWS(nombres[])-1,0,1,1))+1),$O1555:$O1574),3),"")</f>
        <v/>
      </c>
      <c r="HU1555" s="42" t="str">
        <f t="array" aca="1" ref="HU1555" ca="1">IFERROR(INDEX(nombres[],SMALL(IF(OFFSET(nombres[],0,0,ROWS(nombres[]),1)=HU$1490,ROW(OFFSET(nombres[],0,0,ROWS(nombres[]),1))-ROW(OFFSET(nombres[],0,0,1,1))+1,ROW(OFFSET(nombres[],ROWS(nombres[])-1,0,1,1))+1),$O1555:$O1574),3),"")</f>
        <v/>
      </c>
      <c r="HV1555" s="42" t="str">
        <f t="array" aca="1" ref="HV1555" ca="1">IFERROR(INDEX(nombres[],SMALL(IF(OFFSET(nombres[],0,0,ROWS(nombres[]),1)=HV$1490,ROW(OFFSET(nombres[],0,0,ROWS(nombres[]),1))-ROW(OFFSET(nombres[],0,0,1,1))+1,ROW(OFFSET(nombres[],ROWS(nombres[])-1,0,1,1))+1),$O1555:$O1574),3),"")</f>
        <v/>
      </c>
      <c r="HW1555" s="42" t="str">
        <f t="array" aca="1" ref="HW1555" ca="1">IFERROR(INDEX(nombres[],SMALL(IF(OFFSET(nombres[],0,0,ROWS(nombres[]),1)=HW$1490,ROW(OFFSET(nombres[],0,0,ROWS(nombres[]),1))-ROW(OFFSET(nombres[],0,0,1,1))+1,ROW(OFFSET(nombres[],ROWS(nombres[])-1,0,1,1))+1),$O1555:$O1574),3),"")</f>
        <v/>
      </c>
      <c r="HX1555" s="42" t="str">
        <f t="array" aca="1" ref="HX1555" ca="1">IFERROR(INDEX(nombres[],SMALL(IF(OFFSET(nombres[],0,0,ROWS(nombres[]),1)=HX$1490,ROW(OFFSET(nombres[],0,0,ROWS(nombres[]),1))-ROW(OFFSET(nombres[],0,0,1,1))+1,ROW(OFFSET(nombres[],ROWS(nombres[])-1,0,1,1))+1),$O1555:$O1574),3),"")</f>
        <v/>
      </c>
      <c r="HY1555" s="42" t="str">
        <f t="array" aca="1" ref="HY1555" ca="1">IFERROR(INDEX(nombres[],SMALL(IF(OFFSET(nombres[],0,0,ROWS(nombres[]),1)=HY$1490,ROW(OFFSET(nombres[],0,0,ROWS(nombres[]),1))-ROW(OFFSET(nombres[],0,0,1,1))+1,ROW(OFFSET(nombres[],ROWS(nombres[])-1,0,1,1))+1),$O1555:$O1574),3),"")</f>
        <v/>
      </c>
      <c r="HZ1555" s="42" t="str">
        <f t="array" aca="1" ref="HZ1555" ca="1">IFERROR(INDEX(nombres[],SMALL(IF(OFFSET(nombres[],0,0,ROWS(nombres[]),1)=HZ$1490,ROW(OFFSET(nombres[],0,0,ROWS(nombres[]),1))-ROW(OFFSET(nombres[],0,0,1,1))+1,ROW(OFFSET(nombres[],ROWS(nombres[])-1,0,1,1))+1),$O1555:$O1574),3),"")</f>
        <v/>
      </c>
      <c r="IA1555" s="42" t="str">
        <f t="array" aca="1" ref="IA1555" ca="1">IFERROR(INDEX(nombres[],SMALL(IF(OFFSET(nombres[],0,0,ROWS(nombres[]),1)=IA$1490,ROW(OFFSET(nombres[],0,0,ROWS(nombres[]),1))-ROW(OFFSET(nombres[],0,0,1,1))+1,ROW(OFFSET(nombres[],ROWS(nombres[])-1,0,1,1))+1),$O1555:$O1574),3),"")</f>
        <v/>
      </c>
      <c r="IB1555" s="42" t="str">
        <f t="array" aca="1" ref="IB1555" ca="1">IFERROR(INDEX(nombres[],SMALL(IF(OFFSET(nombres[],0,0,ROWS(nombres[]),1)=IB$1490,ROW(OFFSET(nombres[],0,0,ROWS(nombres[]),1))-ROW(OFFSET(nombres[],0,0,1,1))+1,ROW(OFFSET(nombres[],ROWS(nombres[])-1,0,1,1))+1),$O1555:$O1574),3),"")</f>
        <v/>
      </c>
      <c r="IC1555" s="42" t="str">
        <f t="array" aca="1" ref="IC1555" ca="1">IFERROR(INDEX(nombres[],SMALL(IF(OFFSET(nombres[],0,0,ROWS(nombres[]),1)=IC$1490,ROW(OFFSET(nombres[],0,0,ROWS(nombres[]),1))-ROW(OFFSET(nombres[],0,0,1,1))+1,ROW(OFFSET(nombres[],ROWS(nombres[])-1,0,1,1))+1),$O1555:$O1574),3),"")</f>
        <v/>
      </c>
      <c r="ID1555" s="42" t="str">
        <f t="array" aca="1" ref="ID1555" ca="1">IFERROR(INDEX(nombres[],SMALL(IF(OFFSET(nombres[],0,0,ROWS(nombres[]),1)=ID$1490,ROW(OFFSET(nombres[],0,0,ROWS(nombres[]),1))-ROW(OFFSET(nombres[],0,0,1,1))+1,ROW(OFFSET(nombres[],ROWS(nombres[])-1,0,1,1))+1),$O1555:$O1574),3),"")</f>
        <v/>
      </c>
      <c r="IE1555" s="42" t="str">
        <f t="array" aca="1" ref="IE1555" ca="1">IFERROR(INDEX(nombres[],SMALL(IF(OFFSET(nombres[],0,0,ROWS(nombres[]),1)=IE$1490,ROW(OFFSET(nombres[],0,0,ROWS(nombres[]),1))-ROW(OFFSET(nombres[],0,0,1,1))+1,ROW(OFFSET(nombres[],ROWS(nombres[])-1,0,1,1))+1),$O1555:$O1574),3),"")</f>
        <v/>
      </c>
      <c r="IF1555" s="42" t="str">
        <f t="array" aca="1" ref="IF1555" ca="1">IFERROR(INDEX(nombres[],SMALL(IF(OFFSET(nombres[],0,0,ROWS(nombres[]),1)=IF$1490,ROW(OFFSET(nombres[],0,0,ROWS(nombres[]),1))-ROW(OFFSET(nombres[],0,0,1,1))+1,ROW(OFFSET(nombres[],ROWS(nombres[])-1,0,1,1))+1),$O1555:$O1574),3),"")</f>
        <v/>
      </c>
      <c r="IG1555" s="42" t="str">
        <f t="array" aca="1" ref="IG1555" ca="1">IFERROR(INDEX(nombres[],SMALL(IF(OFFSET(nombres[],0,0,ROWS(nombres[]),1)=IG$1490,ROW(OFFSET(nombres[],0,0,ROWS(nombres[]),1))-ROW(OFFSET(nombres[],0,0,1,1))+1,ROW(OFFSET(nombres[],ROWS(nombres[])-1,0,1,1))+1),$O1555:$O1574),3),"")</f>
        <v/>
      </c>
      <c r="IH1555" s="42" t="str">
        <f t="array" aca="1" ref="IH1555" ca="1">IFERROR(INDEX(nombres[],SMALL(IF(OFFSET(nombres[],0,0,ROWS(nombres[]),1)=IH$1490,ROW(OFFSET(nombres[],0,0,ROWS(nombres[]),1))-ROW(OFFSET(nombres[],0,0,1,1))+1,ROW(OFFSET(nombres[],ROWS(nombres[])-1,0,1,1))+1),$O1555:$O1574),3),"")</f>
        <v/>
      </c>
      <c r="II1555" s="42" t="str">
        <f t="array" aca="1" ref="II1555" ca="1">IFERROR(INDEX(nombres[],SMALL(IF(OFFSET(nombres[],0,0,ROWS(nombres[]),1)=II$1490,ROW(OFFSET(nombres[],0,0,ROWS(nombres[]),1))-ROW(OFFSET(nombres[],0,0,1,1))+1,ROW(OFFSET(nombres[],ROWS(nombres[])-1,0,1,1))+1),$O1555:$O1574),3),"")</f>
        <v/>
      </c>
      <c r="IJ1555" s="42" t="str">
        <f t="array" aca="1" ref="IJ1555" ca="1">IFERROR(INDEX(nombres[],SMALL(IF(OFFSET(nombres[],0,0,ROWS(nombres[]),1)=IJ$1490,ROW(OFFSET(nombres[],0,0,ROWS(nombres[]),1))-ROW(OFFSET(nombres[],0,0,1,1))+1,ROW(OFFSET(nombres[],ROWS(nombres[])-1,0,1,1))+1),$O1555:$O1574),3),"")</f>
        <v/>
      </c>
      <c r="IK1555" s="42" t="str">
        <f t="array" aca="1" ref="IK1555" ca="1">IFERROR(INDEX(nombres[],SMALL(IF(OFFSET(nombres[],0,0,ROWS(nombres[]),1)=IK$1490,ROW(OFFSET(nombres[],0,0,ROWS(nombres[]),1))-ROW(OFFSET(nombres[],0,0,1,1))+1,ROW(OFFSET(nombres[],ROWS(nombres[])-1,0,1,1))+1),$O1555:$O1574),3),"")</f>
        <v/>
      </c>
      <c r="IL1555" s="42" t="str">
        <f t="array" aca="1" ref="IL1555" ca="1">IFERROR(INDEX(nombres[],SMALL(IF(OFFSET(nombres[],0,0,ROWS(nombres[]),1)=IL$1490,ROW(OFFSET(nombres[],0,0,ROWS(nombres[]),1))-ROW(OFFSET(nombres[],0,0,1,1))+1,ROW(OFFSET(nombres[],ROWS(nombres[])-1,0,1,1))+1),$O1555:$O1574),3),"")</f>
        <v/>
      </c>
      <c r="IM1555" s="42" t="str">
        <f t="array" aca="1" ref="IM1555" ca="1">IFERROR(INDEX(nombres[],SMALL(IF(OFFSET(nombres[],0,0,ROWS(nombres[]),1)=IM$1490,ROW(OFFSET(nombres[],0,0,ROWS(nombres[]),1))-ROW(OFFSET(nombres[],0,0,1,1))+1,ROW(OFFSET(nombres[],ROWS(nombres[])-1,0,1,1))+1),$O1555:$O1574),3),"")</f>
        <v/>
      </c>
      <c r="IN1555" s="42" t="str">
        <f t="array" aca="1" ref="IN1555" ca="1">IFERROR(INDEX(nombres[],SMALL(IF(OFFSET(nombres[],0,0,ROWS(nombres[]),1)=IN$1490,ROW(OFFSET(nombres[],0,0,ROWS(nombres[]),1))-ROW(OFFSET(nombres[],0,0,1,1))+1,ROW(OFFSET(nombres[],ROWS(nombres[])-1,0,1,1))+1),$O1555:$O1574),3),"")</f>
        <v/>
      </c>
      <c r="IO1555" s="42" t="str">
        <f t="array" aca="1" ref="IO1555" ca="1">IFERROR(INDEX(nombres[],SMALL(IF(OFFSET(nombres[],0,0,ROWS(nombres[]),1)=IO$1490,ROW(OFFSET(nombres[],0,0,ROWS(nombres[]),1))-ROW(OFFSET(nombres[],0,0,1,1))+1,ROW(OFFSET(nombres[],ROWS(nombres[])-1,0,1,1))+1),$O1555:$O1574),3),"")</f>
        <v/>
      </c>
      <c r="IP1555" s="42" t="str">
        <f t="array" aca="1" ref="IP1555" ca="1">IFERROR(INDEX(nombres[],SMALL(IF(OFFSET(nombres[],0,0,ROWS(nombres[]),1)=IP$1490,ROW(OFFSET(nombres[],0,0,ROWS(nombres[]),1))-ROW(OFFSET(nombres[],0,0,1,1))+1,ROW(OFFSET(nombres[],ROWS(nombres[])-1,0,1,1))+1),$O1555:$O1574),3),"")</f>
        <v/>
      </c>
      <c r="IQ1555" s="42" t="str">
        <f t="array" aca="1" ref="IQ1555" ca="1">IFERROR(INDEX(nombres[],SMALL(IF(OFFSET(nombres[],0,0,ROWS(nombres[]),1)=IQ$1490,ROW(OFFSET(nombres[],0,0,ROWS(nombres[]),1))-ROW(OFFSET(nombres[],0,0,1,1))+1,ROW(OFFSET(nombres[],ROWS(nombres[])-1,0,1,1))+1),$O1555:$O1574),3),"")</f>
        <v/>
      </c>
      <c r="IR1555" s="42" t="str">
        <f t="array" aca="1" ref="IR1555" ca="1">IFERROR(INDEX(nombres[],SMALL(IF(OFFSET(nombres[],0,0,ROWS(nombres[]),1)=IR$1490,ROW(OFFSET(nombres[],0,0,ROWS(nombres[]),1))-ROW(OFFSET(nombres[],0,0,1,1))+1,ROW(OFFSET(nombres[],ROWS(nombres[])-1,0,1,1))+1),$O1555:$O1574),3),"")</f>
        <v/>
      </c>
      <c r="IS1555" s="42" t="str">
        <f t="array" aca="1" ref="IS1555" ca="1">IFERROR(INDEX(nombres[],SMALL(IF(OFFSET(nombres[],0,0,ROWS(nombres[]),1)=IS$1490,ROW(OFFSET(nombres[],0,0,ROWS(nombres[]),1))-ROW(OFFSET(nombres[],0,0,1,1))+1,ROW(OFFSET(nombres[],ROWS(nombres[])-1,0,1,1))+1),$O1555:$O1574),3),"")</f>
        <v/>
      </c>
      <c r="IT1555" s="42" t="str">
        <f t="array" aca="1" ref="IT1555" ca="1">IFERROR(INDEX(nombres[],SMALL(IF(OFFSET(nombres[],0,0,ROWS(nombres[]),1)=IT$1490,ROW(OFFSET(nombres[],0,0,ROWS(nombres[]),1))-ROW(OFFSET(nombres[],0,0,1,1))+1,ROW(OFFSET(nombres[],ROWS(nombres[])-1,0,1,1))+1),$O1555:$O1574),3),"")</f>
        <v/>
      </c>
      <c r="IU1555" s="42" t="str">
        <f t="array" aca="1" ref="IU1555" ca="1">IFERROR(INDEX(nombres[],SMALL(IF(OFFSET(nombres[],0,0,ROWS(nombres[]),1)=IU$1490,ROW(OFFSET(nombres[],0,0,ROWS(nombres[]),1))-ROW(OFFSET(nombres[],0,0,1,1))+1,ROW(OFFSET(nombres[],ROWS(nombres[])-1,0,1,1))+1),$O1555:$O1574),3),"")</f>
        <v/>
      </c>
      <c r="IV1555" s="42" t="str">
        <f t="array" aca="1" ref="IV1555" ca="1">IFERROR(INDEX(nombres[],SMALL(IF(OFFSET(nombres[],0,0,ROWS(nombres[]),1)=IV$1490,ROW(OFFSET(nombres[],0,0,ROWS(nombres[]),1))-ROW(OFFSET(nombres[],0,0,1,1))+1,ROW(OFFSET(nombres[],ROWS(nombres[])-1,0,1,1))+1),$O1555:$O1574),3),"")</f>
        <v/>
      </c>
      <c r="IW1555" s="42" t="str">
        <f t="array" aca="1" ref="IW1555" ca="1">IFERROR(INDEX(nombres[],SMALL(IF(OFFSET(nombres[],0,0,ROWS(nombres[]),1)=IW$1490,ROW(OFFSET(nombres[],0,0,ROWS(nombres[]),1))-ROW(OFFSET(nombres[],0,0,1,1))+1,ROW(OFFSET(nombres[],ROWS(nombres[])-1,0,1,1))+1),$O1555:$O1574),3),"")</f>
        <v/>
      </c>
      <c r="IX1555" s="42" t="str">
        <f t="array" aca="1" ref="IX1555" ca="1">IFERROR(INDEX(nombres[],SMALL(IF(OFFSET(nombres[],0,0,ROWS(nombres[]),1)=IX$1490,ROW(OFFSET(nombres[],0,0,ROWS(nombres[]),1))-ROW(OFFSET(nombres[],0,0,1,1))+1,ROW(OFFSET(nombres[],ROWS(nombres[])-1,0,1,1))+1),$O1555:$O1574),3),"")</f>
        <v/>
      </c>
      <c r="IY1555" s="42" t="str">
        <f t="array" aca="1" ref="IY1555" ca="1">IFERROR(INDEX(nombres[],SMALL(IF(OFFSET(nombres[],0,0,ROWS(nombres[]),1)=IY$1490,ROW(OFFSET(nombres[],0,0,ROWS(nombres[]),1))-ROW(OFFSET(nombres[],0,0,1,1))+1,ROW(OFFSET(nombres[],ROWS(nombres[])-1,0,1,1))+1),$O1555:$O1574),3),"")</f>
        <v/>
      </c>
      <c r="IZ1555" s="42" t="str">
        <f t="array" aca="1" ref="IZ1555" ca="1">IFERROR(INDEX(nombres[],SMALL(IF(OFFSET(nombres[],0,0,ROWS(nombres[]),1)=IZ$1490,ROW(OFFSET(nombres[],0,0,ROWS(nombres[]),1))-ROW(OFFSET(nombres[],0,0,1,1))+1,ROW(OFFSET(nombres[],ROWS(nombres[])-1,0,1,1))+1),$O1555:$O1574),3),"")</f>
        <v/>
      </c>
      <c r="JA1555" s="42" t="str">
        <f t="array" aca="1" ref="JA1555" ca="1">IFERROR(INDEX(nombres[],SMALL(IF(OFFSET(nombres[],0,0,ROWS(nombres[]),1)=JA$1490,ROW(OFFSET(nombres[],0,0,ROWS(nombres[]),1))-ROW(OFFSET(nombres[],0,0,1,1))+1,ROW(OFFSET(nombres[],ROWS(nombres[])-1,0,1,1))+1),$O1555:$O1574),3),"")</f>
        <v/>
      </c>
      <c r="JB1555" s="42" t="str">
        <f t="array" aca="1" ref="JB1555" ca="1">IFERROR(INDEX(nombres[],SMALL(IF(OFFSET(nombres[],0,0,ROWS(nombres[]),1)=JB$1490,ROW(OFFSET(nombres[],0,0,ROWS(nombres[]),1))-ROW(OFFSET(nombres[],0,0,1,1))+1,ROW(OFFSET(nombres[],ROWS(nombres[])-1,0,1,1))+1),$O1555:$O1574),3),"")</f>
        <v/>
      </c>
      <c r="JC1555" s="42" t="str">
        <f t="array" aca="1" ref="JC1555" ca="1">IFERROR(INDEX(nombres[],SMALL(IF(OFFSET(nombres[],0,0,ROWS(nombres[]),1)=JC$1490,ROW(OFFSET(nombres[],0,0,ROWS(nombres[]),1))-ROW(OFFSET(nombres[],0,0,1,1))+1,ROW(OFFSET(nombres[],ROWS(nombres[])-1,0,1,1))+1),$O1555:$O1574),3),"")</f>
        <v/>
      </c>
      <c r="JD1555" s="42" t="str">
        <f t="array" aca="1" ref="JD1555" ca="1">IFERROR(INDEX(nombres[],SMALL(IF(OFFSET(nombres[],0,0,ROWS(nombres[]),1)=JD$1490,ROW(OFFSET(nombres[],0,0,ROWS(nombres[]),1))-ROW(OFFSET(nombres[],0,0,1,1))+1,ROW(OFFSET(nombres[],ROWS(nombres[])-1,0,1,1))+1),$O1555:$O1574),3),"")</f>
        <v/>
      </c>
      <c r="JE1555" s="42" t="str">
        <f t="array" aca="1" ref="JE1555" ca="1">IFERROR(INDEX(nombres[],SMALL(IF(OFFSET(nombres[],0,0,ROWS(nombres[]),1)=JE$1490,ROW(OFFSET(nombres[],0,0,ROWS(nombres[]),1))-ROW(OFFSET(nombres[],0,0,1,1))+1,ROW(OFFSET(nombres[],ROWS(nombres[])-1,0,1,1))+1),$O1555:$O1574),3),"")</f>
        <v/>
      </c>
      <c r="JF1555" s="42" t="str">
        <f t="array" aca="1" ref="JF1555" ca="1">IFERROR(INDEX(nombres[],SMALL(IF(OFFSET(nombres[],0,0,ROWS(nombres[]),1)=JF$1490,ROW(OFFSET(nombres[],0,0,ROWS(nombres[]),1))-ROW(OFFSET(nombres[],0,0,1,1))+1,ROW(OFFSET(nombres[],ROWS(nombres[])-1,0,1,1))+1),$O1555:$O1574),3),"")</f>
        <v/>
      </c>
      <c r="JG1555" s="42" t="str">
        <f t="array" aca="1" ref="JG1555" ca="1">IFERROR(INDEX(nombres[],SMALL(IF(OFFSET(nombres[],0,0,ROWS(nombres[]),1)=JG$1490,ROW(OFFSET(nombres[],0,0,ROWS(nombres[]),1))-ROW(OFFSET(nombres[],0,0,1,1))+1,ROW(OFFSET(nombres[],ROWS(nombres[])-1,0,1,1))+1),$O1555:$O1574),3),"")</f>
        <v/>
      </c>
      <c r="JH1555" s="42" t="str">
        <f t="array" aca="1" ref="JH1555" ca="1">IFERROR(INDEX(nombres[],SMALL(IF(OFFSET(nombres[],0,0,ROWS(nombres[]),1)=JH$1490,ROW(OFFSET(nombres[],0,0,ROWS(nombres[]),1))-ROW(OFFSET(nombres[],0,0,1,1))+1,ROW(OFFSET(nombres[],ROWS(nombres[])-1,0,1,1))+1),$O1555:$O1574),3),"")</f>
        <v/>
      </c>
      <c r="JI1555" s="42" t="str">
        <f t="array" aca="1" ref="JI1555" ca="1">IFERROR(INDEX(nombres[],SMALL(IF(OFFSET(nombres[],0,0,ROWS(nombres[]),1)=JI$1490,ROW(OFFSET(nombres[],0,0,ROWS(nombres[]),1))-ROW(OFFSET(nombres[],0,0,1,1))+1,ROW(OFFSET(nombres[],ROWS(nombres[])-1,0,1,1))+1),$O1555:$O1574),3),"")</f>
        <v/>
      </c>
      <c r="JJ1555" s="42" t="str">
        <f t="array" aca="1" ref="JJ1555" ca="1">IFERROR(INDEX(nombres[],SMALL(IF(OFFSET(nombres[],0,0,ROWS(nombres[]),1)=JJ$1490,ROW(OFFSET(nombres[],0,0,ROWS(nombres[]),1))-ROW(OFFSET(nombres[],0,0,1,1))+1,ROW(OFFSET(nombres[],ROWS(nombres[])-1,0,1,1))+1),$O1555:$O1574),3),"")</f>
        <v/>
      </c>
      <c r="JK1555" s="42" t="str">
        <f t="array" aca="1" ref="JK1555" ca="1">IFERROR(INDEX(nombres[],SMALL(IF(OFFSET(nombres[],0,0,ROWS(nombres[]),1)=JK$1490,ROW(OFFSET(nombres[],0,0,ROWS(nombres[]),1))-ROW(OFFSET(nombres[],0,0,1,1))+1,ROW(OFFSET(nombres[],ROWS(nombres[])-1,0,1,1))+1),$O1555:$O1574),3),"")</f>
        <v/>
      </c>
      <c r="JL1555" s="42" t="str">
        <f t="array" aca="1" ref="JL1555" ca="1">IFERROR(INDEX(nombres[],SMALL(IF(OFFSET(nombres[],0,0,ROWS(nombres[]),1)=JL$1490,ROW(OFFSET(nombres[],0,0,ROWS(nombres[]),1))-ROW(OFFSET(nombres[],0,0,1,1))+1,ROW(OFFSET(nombres[],ROWS(nombres[])-1,0,1,1))+1),$O1555:$O1574),3),"")</f>
        <v/>
      </c>
      <c r="JM1555" s="42" t="str">
        <f t="array" aca="1" ref="JM1555" ca="1">IFERROR(INDEX(nombres[],SMALL(IF(OFFSET(nombres[],0,0,ROWS(nombres[]),1)=JM$1490,ROW(OFFSET(nombres[],0,0,ROWS(nombres[]),1))-ROW(OFFSET(nombres[],0,0,1,1))+1,ROW(OFFSET(nombres[],ROWS(nombres[])-1,0,1,1))+1),$O1555:$O1574),3),"")</f>
        <v/>
      </c>
      <c r="JN1555" s="42" t="str">
        <f t="array" aca="1" ref="JN1555" ca="1">IFERROR(INDEX(nombres[],SMALL(IF(OFFSET(nombres[],0,0,ROWS(nombres[]),1)=JN$1490,ROW(OFFSET(nombres[],0,0,ROWS(nombres[]),1))-ROW(OFFSET(nombres[],0,0,1,1))+1,ROW(OFFSET(nombres[],ROWS(nombres[])-1,0,1,1))+1),$O1555:$O1574),3),"")</f>
        <v/>
      </c>
      <c r="JO1555" s="42" t="str">
        <f t="array" aca="1" ref="JO1555" ca="1">IFERROR(INDEX(nombres[],SMALL(IF(OFFSET(nombres[],0,0,ROWS(nombres[]),1)=JO$1490,ROW(OFFSET(nombres[],0,0,ROWS(nombres[]),1))-ROW(OFFSET(nombres[],0,0,1,1))+1,ROW(OFFSET(nombres[],ROWS(nombres[])-1,0,1,1))+1),$O1555:$O1574),3),"")</f>
        <v/>
      </c>
      <c r="JP1555" s="42" t="str">
        <f t="array" aca="1" ref="JP1555" ca="1">IFERROR(INDEX(nombres[],SMALL(IF(OFFSET(nombres[],0,0,ROWS(nombres[]),1)=JP$1490,ROW(OFFSET(nombres[],0,0,ROWS(nombres[]),1))-ROW(OFFSET(nombres[],0,0,1,1))+1,ROW(OFFSET(nombres[],ROWS(nombres[])-1,0,1,1))+1),$O1555:$O1574),3),"")</f>
        <v/>
      </c>
      <c r="JQ1555" s="42" t="str">
        <f t="array" aca="1" ref="JQ1555" ca="1">IFERROR(INDEX(nombres[],SMALL(IF(OFFSET(nombres[],0,0,ROWS(nombres[]),1)=JQ$1490,ROW(OFFSET(nombres[],0,0,ROWS(nombres[]),1))-ROW(OFFSET(nombres[],0,0,1,1))+1,ROW(OFFSET(nombres[],ROWS(nombres[])-1,0,1,1))+1),$O1555:$O1574),3),"")</f>
        <v/>
      </c>
      <c r="JR1555" s="42" t="str">
        <f t="array" aca="1" ref="JR1555" ca="1">IFERROR(INDEX(nombres[],SMALL(IF(OFFSET(nombres[],0,0,ROWS(nombres[]),1)=JR$1490,ROW(OFFSET(nombres[],0,0,ROWS(nombres[]),1))-ROW(OFFSET(nombres[],0,0,1,1))+1,ROW(OFFSET(nombres[],ROWS(nombres[])-1,0,1,1))+1),$O1555:$O1574),3),"")</f>
        <v/>
      </c>
      <c r="JS1555" s="42" t="str">
        <f t="array" aca="1" ref="JS1555" ca="1">IFERROR(INDEX(nombres[],SMALL(IF(OFFSET(nombres[],0,0,ROWS(nombres[]),1)=JS$1490,ROW(OFFSET(nombres[],0,0,ROWS(nombres[]),1))-ROW(OFFSET(nombres[],0,0,1,1))+1,ROW(OFFSET(nombres[],ROWS(nombres[])-1,0,1,1))+1),$O1555:$O1574),3),"")</f>
        <v/>
      </c>
      <c r="JT1555" s="42" t="str">
        <f t="array" aca="1" ref="JT1555" ca="1">IFERROR(INDEX(nombres[],SMALL(IF(OFFSET(nombres[],0,0,ROWS(nombres[]),1)=JT$1490,ROW(OFFSET(nombres[],0,0,ROWS(nombres[]),1))-ROW(OFFSET(nombres[],0,0,1,1))+1,ROW(OFFSET(nombres[],ROWS(nombres[])-1,0,1,1))+1),$O1555:$O1574),3),"")</f>
        <v/>
      </c>
      <c r="JU1555" s="42" t="str">
        <f t="array" aca="1" ref="JU1555" ca="1">IFERROR(INDEX(nombres[],SMALL(IF(OFFSET(nombres[],0,0,ROWS(nombres[]),1)=JU$1490,ROW(OFFSET(nombres[],0,0,ROWS(nombres[]),1))-ROW(OFFSET(nombres[],0,0,1,1))+1,ROW(OFFSET(nombres[],ROWS(nombres[])-1,0,1,1))+1),$O1555:$O1574),3),"")</f>
        <v/>
      </c>
      <c r="JV1555" s="42" t="str">
        <f t="array" aca="1" ref="JV1555" ca="1">IFERROR(INDEX(nombres[],SMALL(IF(OFFSET(nombres[],0,0,ROWS(nombres[]),1)=JV$1490,ROW(OFFSET(nombres[],0,0,ROWS(nombres[]),1))-ROW(OFFSET(nombres[],0,0,1,1))+1,ROW(OFFSET(nombres[],ROWS(nombres[])-1,0,1,1))+1),$O1555:$O1574),3),"")</f>
        <v/>
      </c>
      <c r="JW1555" s="42" t="str">
        <f t="array" aca="1" ref="JW1555" ca="1">IFERROR(INDEX(nombres[],SMALL(IF(OFFSET(nombres[],0,0,ROWS(nombres[]),1)=JW$1490,ROW(OFFSET(nombres[],0,0,ROWS(nombres[]),1))-ROW(OFFSET(nombres[],0,0,1,1))+1,ROW(OFFSET(nombres[],ROWS(nombres[])-1,0,1,1))+1),$O1555:$O1574),3),"")</f>
        <v/>
      </c>
      <c r="JX1555" s="42" t="str">
        <f t="array" aca="1" ref="JX1555" ca="1">IFERROR(INDEX(nombres[],SMALL(IF(OFFSET(nombres[],0,0,ROWS(nombres[]),1)=JX$1490,ROW(OFFSET(nombres[],0,0,ROWS(nombres[]),1))-ROW(OFFSET(nombres[],0,0,1,1))+1,ROW(OFFSET(nombres[],ROWS(nombres[])-1,0,1,1))+1),$O1555:$O1574),3),"")</f>
        <v/>
      </c>
      <c r="JY1555" s="42" t="str">
        <f t="array" aca="1" ref="JY1555" ca="1">IFERROR(INDEX(nombres[],SMALL(IF(OFFSET(nombres[],0,0,ROWS(nombres[]),1)=JY$1490,ROW(OFFSET(nombres[],0,0,ROWS(nombres[]),1))-ROW(OFFSET(nombres[],0,0,1,1))+1,ROW(OFFSET(nombres[],ROWS(nombres[])-1,0,1,1))+1),$O1555:$O1574),3),"")</f>
        <v/>
      </c>
      <c r="JZ1555" s="42" t="str">
        <f t="array" aca="1" ref="JZ1555" ca="1">IFERROR(INDEX(nombres[],SMALL(IF(OFFSET(nombres[],0,0,ROWS(nombres[]),1)=JZ$1490,ROW(OFFSET(nombres[],0,0,ROWS(nombres[]),1))-ROW(OFFSET(nombres[],0,0,1,1))+1,ROW(OFFSET(nombres[],ROWS(nombres[])-1,0,1,1))+1),$O1555:$O1574),3),"")</f>
        <v/>
      </c>
      <c r="KA1555" s="42" t="str">
        <f t="array" aca="1" ref="KA1555" ca="1">IFERROR(INDEX(nombres[],SMALL(IF(OFFSET(nombres[],0,0,ROWS(nombres[]),1)=KA$1490,ROW(OFFSET(nombres[],0,0,ROWS(nombres[]),1))-ROW(OFFSET(nombres[],0,0,1,1))+1,ROW(OFFSET(nombres[],ROWS(nombres[])-1,0,1,1))+1),$O1555:$O1574),3),"")</f>
        <v/>
      </c>
      <c r="KB1555" s="42" t="str">
        <f t="array" aca="1" ref="KB1555" ca="1">IFERROR(INDEX(nombres[],SMALL(IF(OFFSET(nombres[],0,0,ROWS(nombres[]),1)=KB$1490,ROW(OFFSET(nombres[],0,0,ROWS(nombres[]),1))-ROW(OFFSET(nombres[],0,0,1,1))+1,ROW(OFFSET(nombres[],ROWS(nombres[])-1,0,1,1))+1),$O1555:$O1574),3),"")</f>
        <v/>
      </c>
      <c r="KC1555" s="42" t="str">
        <f t="array" aca="1" ref="KC1555" ca="1">IFERROR(INDEX(nombres[],SMALL(IF(OFFSET(nombres[],0,0,ROWS(nombres[]),1)=KC$1490,ROW(OFFSET(nombres[],0,0,ROWS(nombres[]),1))-ROW(OFFSET(nombres[],0,0,1,1))+1,ROW(OFFSET(nombres[],ROWS(nombres[])-1,0,1,1))+1),$O1555:$O1574),3),"")</f>
        <v/>
      </c>
      <c r="KD1555" s="42" t="str">
        <f t="array" aca="1" ref="KD1555" ca="1">IFERROR(INDEX(nombres[],SMALL(IF(OFFSET(nombres[],0,0,ROWS(nombres[]),1)=KD$1490,ROW(OFFSET(nombres[],0,0,ROWS(nombres[]),1))-ROW(OFFSET(nombres[],0,0,1,1))+1,ROW(OFFSET(nombres[],ROWS(nombres[])-1,0,1,1))+1),$O1555:$O1574),3),"")</f>
        <v/>
      </c>
      <c r="KE1555" s="42" t="str">
        <f t="array" aca="1" ref="KE1555" ca="1">IFERROR(INDEX(nombres[],SMALL(IF(OFFSET(nombres[],0,0,ROWS(nombres[]),1)=KE$1490,ROW(OFFSET(nombres[],0,0,ROWS(nombres[]),1))-ROW(OFFSET(nombres[],0,0,1,1))+1,ROW(OFFSET(nombres[],ROWS(nombres[])-1,0,1,1))+1),$O1555:$O1574),3),"")</f>
        <v/>
      </c>
      <c r="KF1555" s="42" t="str">
        <f t="array" aca="1" ref="KF1555" ca="1">IFERROR(INDEX(nombres[],SMALL(IF(OFFSET(nombres[],0,0,ROWS(nombres[]),1)=KF$1490,ROW(OFFSET(nombres[],0,0,ROWS(nombres[]),1))-ROW(OFFSET(nombres[],0,0,1,1))+1,ROW(OFFSET(nombres[],ROWS(nombres[])-1,0,1,1))+1),$O1555:$O1574),3),"")</f>
        <v/>
      </c>
      <c r="KG1555" s="42" t="str">
        <f t="array" aca="1" ref="KG1555" ca="1">IFERROR(INDEX(nombres[],SMALL(IF(OFFSET(nombres[],0,0,ROWS(nombres[]),1)=KG$1490,ROW(OFFSET(nombres[],0,0,ROWS(nombres[]),1))-ROW(OFFSET(nombres[],0,0,1,1))+1,ROW(OFFSET(nombres[],ROWS(nombres[])-1,0,1,1))+1),$O1555:$O1574),3),"")</f>
        <v/>
      </c>
      <c r="KH1555" s="42" t="str">
        <f t="array" aca="1" ref="KH1555" ca="1">IFERROR(INDEX(nombres[],SMALL(IF(OFFSET(nombres[],0,0,ROWS(nombres[]),1)=KH$1490,ROW(OFFSET(nombres[],0,0,ROWS(nombres[]),1))-ROW(OFFSET(nombres[],0,0,1,1))+1,ROW(OFFSET(nombres[],ROWS(nombres[])-1,0,1,1))+1),$O1555:$O1574),3),"")</f>
        <v/>
      </c>
      <c r="KI1555" s="42" t="str">
        <f t="array" aca="1" ref="KI1555" ca="1">IFERROR(INDEX(nombres[],SMALL(IF(OFFSET(nombres[],0,0,ROWS(nombres[]),1)=KI$1490,ROW(OFFSET(nombres[],0,0,ROWS(nombres[]),1))-ROW(OFFSET(nombres[],0,0,1,1))+1,ROW(OFFSET(nombres[],ROWS(nombres[])-1,0,1,1))+1),$O1555:$O1574),3),"")</f>
        <v/>
      </c>
      <c r="KJ1555" s="42" t="str">
        <f t="array" aca="1" ref="KJ1555" ca="1">IFERROR(INDEX(nombres[],SMALL(IF(OFFSET(nombres[],0,0,ROWS(nombres[]),1)=KJ$1490,ROW(OFFSET(nombres[],0,0,ROWS(nombres[]),1))-ROW(OFFSET(nombres[],0,0,1,1))+1,ROW(OFFSET(nombres[],ROWS(nombres[])-1,0,1,1))+1),$O1555:$O1574),3),"")</f>
        <v/>
      </c>
      <c r="KK1555" s="42" t="str">
        <f t="array" aca="1" ref="KK1555" ca="1">IFERROR(INDEX(nombres[],SMALL(IF(OFFSET(nombres[],0,0,ROWS(nombres[]),1)=KK$1490,ROW(OFFSET(nombres[],0,0,ROWS(nombres[]),1))-ROW(OFFSET(nombres[],0,0,1,1))+1,ROW(OFFSET(nombres[],ROWS(nombres[])-1,0,1,1))+1),$O1555:$O1574),3),"")</f>
        <v/>
      </c>
      <c r="KL1555" s="42" t="str">
        <f t="array" aca="1" ref="KL1555" ca="1">IFERROR(INDEX(nombres[],SMALL(IF(OFFSET(nombres[],0,0,ROWS(nombres[]),1)=KL$1490,ROW(OFFSET(nombres[],0,0,ROWS(nombres[]),1))-ROW(OFFSET(nombres[],0,0,1,1))+1,ROW(OFFSET(nombres[],ROWS(nombres[])-1,0,1,1))+1),$O1555:$O1574),3),"")</f>
        <v/>
      </c>
      <c r="KM1555" s="42" t="str">
        <f t="array" aca="1" ref="KM1555" ca="1">IFERROR(INDEX(nombres[],SMALL(IF(OFFSET(nombres[],0,0,ROWS(nombres[]),1)=KM$1490,ROW(OFFSET(nombres[],0,0,ROWS(nombres[]),1))-ROW(OFFSET(nombres[],0,0,1,1))+1,ROW(OFFSET(nombres[],ROWS(nombres[])-1,0,1,1))+1),$O1555:$O1574),3),"")</f>
        <v/>
      </c>
      <c r="KN1555" s="42" t="str">
        <f t="array" aca="1" ref="KN1555" ca="1">IFERROR(INDEX(nombres[],SMALL(IF(OFFSET(nombres[],0,0,ROWS(nombres[]),1)=KN$1490,ROW(OFFSET(nombres[],0,0,ROWS(nombres[]),1))-ROW(OFFSET(nombres[],0,0,1,1))+1,ROW(OFFSET(nombres[],ROWS(nombres[])-1,0,1,1))+1),$O1555:$O1574),3),"")</f>
        <v/>
      </c>
      <c r="KO1555" s="42" t="str">
        <f t="array" aca="1" ref="KO1555" ca="1">IFERROR(INDEX(nombres[],SMALL(IF(OFFSET(nombres[],0,0,ROWS(nombres[]),1)=KO$1490,ROW(OFFSET(nombres[],0,0,ROWS(nombres[]),1))-ROW(OFFSET(nombres[],0,0,1,1))+1,ROW(OFFSET(nombres[],ROWS(nombres[])-1,0,1,1))+1),$O1555:$O1574),3),"")</f>
        <v/>
      </c>
      <c r="KP1555" s="42" t="str">
        <f t="array" aca="1" ref="KP1555" ca="1">IFERROR(INDEX(nombres[],SMALL(IF(OFFSET(nombres[],0,0,ROWS(nombres[]),1)=KP$1490,ROW(OFFSET(nombres[],0,0,ROWS(nombres[]),1))-ROW(OFFSET(nombres[],0,0,1,1))+1,ROW(OFFSET(nombres[],ROWS(nombres[])-1,0,1,1))+1),$O1555:$O1574),3),"")</f>
        <v/>
      </c>
      <c r="KQ1555" s="42" t="str">
        <f t="array" aca="1" ref="KQ1555" ca="1">IFERROR(INDEX(nombres[],SMALL(IF(OFFSET(nombres[],0,0,ROWS(nombres[]),1)=KQ$1490,ROW(OFFSET(nombres[],0,0,ROWS(nombres[]),1))-ROW(OFFSET(nombres[],0,0,1,1))+1,ROW(OFFSET(nombres[],ROWS(nombres[])-1,0,1,1))+1),$O1555:$O1574),3),"")</f>
        <v/>
      </c>
      <c r="KR1555" s="42" t="str">
        <f t="array" aca="1" ref="KR1555" ca="1">IFERROR(INDEX(nombres[],SMALL(IF(OFFSET(nombres[],0,0,ROWS(nombres[]),1)=KR$1490,ROW(OFFSET(nombres[],0,0,ROWS(nombres[]),1))-ROW(OFFSET(nombres[],0,0,1,1))+1,ROW(OFFSET(nombres[],ROWS(nombres[])-1,0,1,1))+1),$O1555:$O1574),3),"")</f>
        <v/>
      </c>
      <c r="KS1555" s="42" t="str">
        <f t="array" aca="1" ref="KS1555" ca="1">IFERROR(INDEX(nombres[],SMALL(IF(OFFSET(nombres[],0,0,ROWS(nombres[]),1)=KS$1490,ROW(OFFSET(nombres[],0,0,ROWS(nombres[]),1))-ROW(OFFSET(nombres[],0,0,1,1))+1,ROW(OFFSET(nombres[],ROWS(nombres[])-1,0,1,1))+1),$O1555:$O1574),3),"")</f>
        <v/>
      </c>
      <c r="KT1555" s="42" t="str">
        <f t="array" aca="1" ref="KT1555" ca="1">IFERROR(INDEX(nombres[],SMALL(IF(OFFSET(nombres[],0,0,ROWS(nombres[]),1)=KT$1490,ROW(OFFSET(nombres[],0,0,ROWS(nombres[]),1))-ROW(OFFSET(nombres[],0,0,1,1))+1,ROW(OFFSET(nombres[],ROWS(nombres[])-1,0,1,1))+1),$O1555:$O1574),3),"")</f>
        <v/>
      </c>
      <c r="KU1555" s="42" t="str">
        <f t="array" aca="1" ref="KU1555" ca="1">IFERROR(INDEX(nombres[],SMALL(IF(OFFSET(nombres[],0,0,ROWS(nombres[]),1)=KU$1490,ROW(OFFSET(nombres[],0,0,ROWS(nombres[]),1))-ROW(OFFSET(nombres[],0,0,1,1))+1,ROW(OFFSET(nombres[],ROWS(nombres[])-1,0,1,1))+1),$O1555:$O1574),3),"")</f>
        <v/>
      </c>
      <c r="KV1555" s="42" t="str">
        <f t="array" aca="1" ref="KV1555" ca="1">IFERROR(INDEX(nombres[],SMALL(IF(OFFSET(nombres[],0,0,ROWS(nombres[]),1)=KV$1490,ROW(OFFSET(nombres[],0,0,ROWS(nombres[]),1))-ROW(OFFSET(nombres[],0,0,1,1))+1,ROW(OFFSET(nombres[],ROWS(nombres[])-1,0,1,1))+1),$O1555:$O1574),3),"")</f>
        <v/>
      </c>
      <c r="KW1555" s="42" t="str">
        <f t="array" aca="1" ref="KW1555" ca="1">IFERROR(INDEX(nombres[],SMALL(IF(OFFSET(nombres[],0,0,ROWS(nombres[]),1)=KW$1490,ROW(OFFSET(nombres[],0,0,ROWS(nombres[]),1))-ROW(OFFSET(nombres[],0,0,1,1))+1,ROW(OFFSET(nombres[],ROWS(nombres[])-1,0,1,1))+1),$O1555:$O1574),3),"")</f>
        <v/>
      </c>
      <c r="KX1555" s="42" t="str">
        <f t="array" aca="1" ref="KX1555" ca="1">IFERROR(INDEX(nombres[],SMALL(IF(OFFSET(nombres[],0,0,ROWS(nombres[]),1)=KX$1490,ROW(OFFSET(nombres[],0,0,ROWS(nombres[]),1))-ROW(OFFSET(nombres[],0,0,1,1))+1,ROW(OFFSET(nombres[],ROWS(nombres[])-1,0,1,1))+1),$O1555:$O1574),3),"")</f>
        <v/>
      </c>
      <c r="KY1555" s="42" t="str">
        <f t="array" aca="1" ref="KY1555" ca="1">IFERROR(INDEX(nombres[],SMALL(IF(OFFSET(nombres[],0,0,ROWS(nombres[]),1)=KY$1490,ROW(OFFSET(nombres[],0,0,ROWS(nombres[]),1))-ROW(OFFSET(nombres[],0,0,1,1))+1,ROW(OFFSET(nombres[],ROWS(nombres[])-1,0,1,1))+1),$O1555:$O1574),3),"")</f>
        <v/>
      </c>
      <c r="KZ1555" s="42" t="str">
        <f t="array" aca="1" ref="KZ1555" ca="1">IFERROR(INDEX(nombres[],SMALL(IF(OFFSET(nombres[],0,0,ROWS(nombres[]),1)=KZ$1490,ROW(OFFSET(nombres[],0,0,ROWS(nombres[]),1))-ROW(OFFSET(nombres[],0,0,1,1))+1,ROW(OFFSET(nombres[],ROWS(nombres[])-1,0,1,1))+1),$O1555:$O1574),3),"")</f>
        <v/>
      </c>
      <c r="LA1555" s="42" t="str">
        <f t="array" aca="1" ref="LA1555" ca="1">IFERROR(INDEX(nombres[],SMALL(IF(OFFSET(nombres[],0,0,ROWS(nombres[]),1)=LA$1490,ROW(OFFSET(nombres[],0,0,ROWS(nombres[]),1))-ROW(OFFSET(nombres[],0,0,1,1))+1,ROW(OFFSET(nombres[],ROWS(nombres[])-1,0,1,1))+1),$O1555:$O1574),3),"")</f>
        <v/>
      </c>
      <c r="LB1555" s="42" t="str">
        <f t="array" aca="1" ref="LB1555" ca="1">IFERROR(INDEX(nombres[],SMALL(IF(OFFSET(nombres[],0,0,ROWS(nombres[]),1)=LB$1490,ROW(OFFSET(nombres[],0,0,ROWS(nombres[]),1))-ROW(OFFSET(nombres[],0,0,1,1))+1,ROW(OFFSET(nombres[],ROWS(nombres[])-1,0,1,1))+1),$O1555:$O1574),3),"")</f>
        <v/>
      </c>
      <c r="LC1555" s="42" t="str">
        <f t="array" aca="1" ref="LC1555" ca="1">IFERROR(INDEX(nombres[],SMALL(IF(OFFSET(nombres[],0,0,ROWS(nombres[]),1)=LC$1490,ROW(OFFSET(nombres[],0,0,ROWS(nombres[]),1))-ROW(OFFSET(nombres[],0,0,1,1))+1,ROW(OFFSET(nombres[],ROWS(nombres[])-1,0,1,1))+1),$O1555:$O1574),3),"")</f>
        <v/>
      </c>
      <c r="LD1555" s="42" t="str">
        <f t="array" aca="1" ref="LD1555" ca="1">IFERROR(INDEX(nombres[],SMALL(IF(OFFSET(nombres[],0,0,ROWS(nombres[]),1)=LD$1490,ROW(OFFSET(nombres[],0,0,ROWS(nombres[]),1))-ROW(OFFSET(nombres[],0,0,1,1))+1,ROW(OFFSET(nombres[],ROWS(nombres[])-1,0,1,1))+1),$O1555:$O1574),3),"")</f>
        <v/>
      </c>
      <c r="LE1555" s="42" t="str">
        <f t="array" aca="1" ref="LE1555" ca="1">IFERROR(INDEX(nombres[],SMALL(IF(OFFSET(nombres[],0,0,ROWS(nombres[]),1)=LE$1490,ROW(OFFSET(nombres[],0,0,ROWS(nombres[]),1))-ROW(OFFSET(nombres[],0,0,1,1))+1,ROW(OFFSET(nombres[],ROWS(nombres[])-1,0,1,1))+1),$O1555:$O1574),3),"")</f>
        <v/>
      </c>
      <c r="LF1555" s="42" t="str">
        <f t="array" aca="1" ref="LF1555" ca="1">IFERROR(INDEX(nombres[],SMALL(IF(OFFSET(nombres[],0,0,ROWS(nombres[]),1)=LF$1490,ROW(OFFSET(nombres[],0,0,ROWS(nombres[]),1))-ROW(OFFSET(nombres[],0,0,1,1))+1,ROW(OFFSET(nombres[],ROWS(nombres[])-1,0,1,1))+1),$O1555:$O1574),3),"")</f>
        <v/>
      </c>
      <c r="LG1555" s="42" t="str">
        <f t="array" aca="1" ref="LG1555" ca="1">IFERROR(INDEX(nombres[],SMALL(IF(OFFSET(nombres[],0,0,ROWS(nombres[]),1)=LG$1490,ROW(OFFSET(nombres[],0,0,ROWS(nombres[]),1))-ROW(OFFSET(nombres[],0,0,1,1))+1,ROW(OFFSET(nombres[],ROWS(nombres[])-1,0,1,1))+1),$O1555:$O1574),3),"")</f>
        <v/>
      </c>
      <c r="LH1555" s="42" t="str">
        <f t="array" aca="1" ref="LH1555" ca="1">IFERROR(INDEX(nombres[],SMALL(IF(OFFSET(nombres[],0,0,ROWS(nombres[]),1)=LH$1490,ROW(OFFSET(nombres[],0,0,ROWS(nombres[]),1))-ROW(OFFSET(nombres[],0,0,1,1))+1,ROW(OFFSET(nombres[],ROWS(nombres[])-1,0,1,1))+1),$O1555:$O1574),3),"")</f>
        <v/>
      </c>
      <c r="LI1555" s="42" t="str">
        <f t="array" aca="1" ref="LI1555" ca="1">IFERROR(INDEX(nombres[],SMALL(IF(OFFSET(nombres[],0,0,ROWS(nombres[]),1)=LI$1490,ROW(OFFSET(nombres[],0,0,ROWS(nombres[]),1))-ROW(OFFSET(nombres[],0,0,1,1))+1,ROW(OFFSET(nombres[],ROWS(nombres[])-1,0,1,1))+1),$O1555:$O1574),3),"")</f>
        <v/>
      </c>
      <c r="LJ1555" s="42" t="str">
        <f t="array" aca="1" ref="LJ1555" ca="1">IFERROR(INDEX(nombres[],SMALL(IF(OFFSET(nombres[],0,0,ROWS(nombres[]),1)=LJ$1490,ROW(OFFSET(nombres[],0,0,ROWS(nombres[]),1))-ROW(OFFSET(nombres[],0,0,1,1))+1,ROW(OFFSET(nombres[],ROWS(nombres[])-1,0,1,1))+1),$O1555:$O1574),3),"")</f>
        <v/>
      </c>
      <c r="LK1555" s="42" t="str">
        <f t="array" aca="1" ref="LK1555" ca="1">IFERROR(INDEX(nombres[],SMALL(IF(OFFSET(nombres[],0,0,ROWS(nombres[]),1)=LK$1490,ROW(OFFSET(nombres[],0,0,ROWS(nombres[]),1))-ROW(OFFSET(nombres[],0,0,1,1))+1,ROW(OFFSET(nombres[],ROWS(nombres[])-1,0,1,1))+1),$O1555:$O1574),3),"")</f>
        <v/>
      </c>
      <c r="LL1555" s="42" t="str">
        <f t="array" aca="1" ref="LL1555" ca="1">IFERROR(INDEX(nombres[],SMALL(IF(OFFSET(nombres[],0,0,ROWS(nombres[]),1)=LL$1490,ROW(OFFSET(nombres[],0,0,ROWS(nombres[]),1))-ROW(OFFSET(nombres[],0,0,1,1))+1,ROW(OFFSET(nombres[],ROWS(nombres[])-1,0,1,1))+1),$O1555:$O1574),3),"")</f>
        <v/>
      </c>
      <c r="LM1555" s="42" t="str">
        <f t="array" aca="1" ref="LM1555" ca="1">IFERROR(INDEX(nombres[],SMALL(IF(OFFSET(nombres[],0,0,ROWS(nombres[]),1)=LM$1490,ROW(OFFSET(nombres[],0,0,ROWS(nombres[]),1))-ROW(OFFSET(nombres[],0,0,1,1))+1,ROW(OFFSET(nombres[],ROWS(nombres[])-1,0,1,1))+1),$O1555:$O1574),3),"")</f>
        <v/>
      </c>
      <c r="LN1555" s="42" t="str">
        <f t="array" aca="1" ref="LN1555" ca="1">IFERROR(INDEX(nombres[],SMALL(IF(OFFSET(nombres[],0,0,ROWS(nombres[]),1)=LN$1490,ROW(OFFSET(nombres[],0,0,ROWS(nombres[]),1))-ROW(OFFSET(nombres[],0,0,1,1))+1,ROW(OFFSET(nombres[],ROWS(nombres[])-1,0,1,1))+1),$O1555:$O1574),3),"")</f>
        <v/>
      </c>
      <c r="LO1555" s="42" t="str">
        <f t="array" aca="1" ref="LO1555" ca="1">IFERROR(INDEX(nombres[],SMALL(IF(OFFSET(nombres[],0,0,ROWS(nombres[]),1)=LO$1490,ROW(OFFSET(nombres[],0,0,ROWS(nombres[]),1))-ROW(OFFSET(nombres[],0,0,1,1))+1,ROW(OFFSET(nombres[],ROWS(nombres[])-1,0,1,1))+1),$O1555:$O1574),3),"")</f>
        <v/>
      </c>
      <c r="LP1555" s="42" t="str">
        <f t="array" aca="1" ref="LP1555" ca="1">IFERROR(INDEX(nombres[],SMALL(IF(OFFSET(nombres[],0,0,ROWS(nombres[]),1)=LP$1490,ROW(OFFSET(nombres[],0,0,ROWS(nombres[]),1))-ROW(OFFSET(nombres[],0,0,1,1))+1,ROW(OFFSET(nombres[],ROWS(nombres[])-1,0,1,1))+1),$O1555:$O1574),3),"")</f>
        <v/>
      </c>
      <c r="LQ1555" s="42" t="str">
        <f t="array" aca="1" ref="LQ1555" ca="1">IFERROR(INDEX(nombres[],SMALL(IF(OFFSET(nombres[],0,0,ROWS(nombres[]),1)=LQ$1490,ROW(OFFSET(nombres[],0,0,ROWS(nombres[]),1))-ROW(OFFSET(nombres[],0,0,1,1))+1,ROW(OFFSET(nombres[],ROWS(nombres[])-1,0,1,1))+1),$O1555:$O1574),3),"")</f>
        <v/>
      </c>
      <c r="LR1555" s="42" t="str">
        <f t="array" aca="1" ref="LR1555" ca="1">IFERROR(INDEX(nombres[],SMALL(IF(OFFSET(nombres[],0,0,ROWS(nombres[]),1)=LR$1490,ROW(OFFSET(nombres[],0,0,ROWS(nombres[]),1))-ROW(OFFSET(nombres[],0,0,1,1))+1,ROW(OFFSET(nombres[],ROWS(nombres[])-1,0,1,1))+1),$O1555:$O1574),3),"")</f>
        <v/>
      </c>
      <c r="LS1555" s="42" t="str">
        <f t="array" aca="1" ref="LS1555" ca="1">IFERROR(INDEX(nombres[],SMALL(IF(OFFSET(nombres[],0,0,ROWS(nombres[]),1)=LS$1490,ROW(OFFSET(nombres[],0,0,ROWS(nombres[]),1))-ROW(OFFSET(nombres[],0,0,1,1))+1,ROW(OFFSET(nombres[],ROWS(nombres[])-1,0,1,1))+1),$O1555:$O1574),3),"")</f>
        <v/>
      </c>
      <c r="LT1555" s="42" t="str">
        <f t="array" aca="1" ref="LT1555" ca="1">IFERROR(INDEX(nombres[],SMALL(IF(OFFSET(nombres[],0,0,ROWS(nombres[]),1)=LT$1490,ROW(OFFSET(nombres[],0,0,ROWS(nombres[]),1))-ROW(OFFSET(nombres[],0,0,1,1))+1,ROW(OFFSET(nombres[],ROWS(nombres[])-1,0,1,1))+1),$O1555:$O1574),3),"")</f>
        <v/>
      </c>
      <c r="LU1555" s="42" t="str">
        <f t="array" aca="1" ref="LU1555" ca="1">IFERROR(INDEX(nombres[],SMALL(IF(OFFSET(nombres[],0,0,ROWS(nombres[]),1)=LU$1490,ROW(OFFSET(nombres[],0,0,ROWS(nombres[]),1))-ROW(OFFSET(nombres[],0,0,1,1))+1,ROW(OFFSET(nombres[],ROWS(nombres[])-1,0,1,1))+1),$O1555:$O1574),3),"")</f>
        <v/>
      </c>
      <c r="LV1555" s="42" t="str">
        <f t="array" aca="1" ref="LV1555" ca="1">IFERROR(INDEX(nombres[],SMALL(IF(OFFSET(nombres[],0,0,ROWS(nombres[]),1)=LV$1490,ROW(OFFSET(nombres[],0,0,ROWS(nombres[]),1))-ROW(OFFSET(nombres[],0,0,1,1))+1,ROW(OFFSET(nombres[],ROWS(nombres[])-1,0,1,1))+1),$O1555:$O1574),3),"")</f>
        <v/>
      </c>
      <c r="LW1555" s="42" t="str">
        <f t="array" aca="1" ref="LW1555" ca="1">IFERROR(INDEX(nombres[],SMALL(IF(OFFSET(nombres[],0,0,ROWS(nombres[]),1)=LW$1490,ROW(OFFSET(nombres[],0,0,ROWS(nombres[]),1))-ROW(OFFSET(nombres[],0,0,1,1))+1,ROW(OFFSET(nombres[],ROWS(nombres[])-1,0,1,1))+1),$O1555:$O1574),3),"")</f>
        <v/>
      </c>
      <c r="LX1555" s="42" t="str">
        <f t="array" aca="1" ref="LX1555" ca="1">IFERROR(INDEX(nombres[],SMALL(IF(OFFSET(nombres[],0,0,ROWS(nombres[]),1)=LX$1490,ROW(OFFSET(nombres[],0,0,ROWS(nombres[]),1))-ROW(OFFSET(nombres[],0,0,1,1))+1,ROW(OFFSET(nombres[],ROWS(nombres[])-1,0,1,1))+1),$O1555:$O1574),3),"")</f>
        <v/>
      </c>
      <c r="LY1555" s="42" t="str">
        <f t="array" aca="1" ref="LY1555" ca="1">IFERROR(INDEX(nombres[],SMALL(IF(OFFSET(nombres[],0,0,ROWS(nombres[]),1)=LY$1490,ROW(OFFSET(nombres[],0,0,ROWS(nombres[]),1))-ROW(OFFSET(nombres[],0,0,1,1))+1,ROW(OFFSET(nombres[],ROWS(nombres[])-1,0,1,1))+1),$O1555:$O1574),3),"")</f>
        <v/>
      </c>
      <c r="LZ1555" s="42" t="str">
        <f t="array" aca="1" ref="LZ1555" ca="1">IFERROR(INDEX(nombres[],SMALL(IF(OFFSET(nombres[],0,0,ROWS(nombres[]),1)=LZ$1490,ROW(OFFSET(nombres[],0,0,ROWS(nombres[]),1))-ROW(OFFSET(nombres[],0,0,1,1))+1,ROW(OFFSET(nombres[],ROWS(nombres[])-1,0,1,1))+1),$O1555:$O1574),3),"")</f>
        <v/>
      </c>
      <c r="MA1555" s="42" t="str">
        <f t="array" aca="1" ref="MA1555" ca="1">IFERROR(INDEX(nombres[],SMALL(IF(OFFSET(nombres[],0,0,ROWS(nombres[]),1)=MA$1490,ROW(OFFSET(nombres[],0,0,ROWS(nombres[]),1))-ROW(OFFSET(nombres[],0,0,1,1))+1,ROW(OFFSET(nombres[],ROWS(nombres[])-1,0,1,1))+1),$O1555:$O1574),3),"")</f>
        <v/>
      </c>
      <c r="MB1555" s="42" t="str">
        <f t="array" aca="1" ref="MB1555" ca="1">IFERROR(INDEX(nombres[],SMALL(IF(OFFSET(nombres[],0,0,ROWS(nombres[]),1)=MB$1490,ROW(OFFSET(nombres[],0,0,ROWS(nombres[]),1))-ROW(OFFSET(nombres[],0,0,1,1))+1,ROW(OFFSET(nombres[],ROWS(nombres[])-1,0,1,1))+1),$O1555:$O1574),3),"")</f>
        <v/>
      </c>
      <c r="MC1555" s="42" t="str">
        <f t="array" aca="1" ref="MC1555" ca="1">IFERROR(INDEX(nombres[],SMALL(IF(OFFSET(nombres[],0,0,ROWS(nombres[]),1)=MC$1490,ROW(OFFSET(nombres[],0,0,ROWS(nombres[]),1))-ROW(OFFSET(nombres[],0,0,1,1))+1,ROW(OFFSET(nombres[],ROWS(nombres[])-1,0,1,1))+1),$O1555:$O1574),3),"")</f>
        <v/>
      </c>
      <c r="MD1555" s="42" t="str">
        <f t="array" aca="1" ref="MD1555" ca="1">IFERROR(INDEX(nombres[],SMALL(IF(OFFSET(nombres[],0,0,ROWS(nombres[]),1)=MD$1490,ROW(OFFSET(nombres[],0,0,ROWS(nombres[]),1))-ROW(OFFSET(nombres[],0,0,1,1))+1,ROW(OFFSET(nombres[],ROWS(nombres[])-1,0,1,1))+1),$O1555:$O1574),3),"")</f>
        <v/>
      </c>
      <c r="ME1555" s="42" t="str">
        <f t="array" aca="1" ref="ME1555" ca="1">IFERROR(INDEX(nombres[],SMALL(IF(OFFSET(nombres[],0,0,ROWS(nombres[]),1)=ME$1490,ROW(OFFSET(nombres[],0,0,ROWS(nombres[]),1))-ROW(OFFSET(nombres[],0,0,1,1))+1,ROW(OFFSET(nombres[],ROWS(nombres[])-1,0,1,1))+1),$O1555:$O1574),3),"")</f>
        <v/>
      </c>
      <c r="MF1555" s="42" t="str">
        <f t="array" aca="1" ref="MF1555" ca="1">IFERROR(INDEX(nombres[],SMALL(IF(OFFSET(nombres[],0,0,ROWS(nombres[]),1)=MF$1490,ROW(OFFSET(nombres[],0,0,ROWS(nombres[]),1))-ROW(OFFSET(nombres[],0,0,1,1))+1,ROW(OFFSET(nombres[],ROWS(nombres[])-1,0,1,1))+1),$O1555:$O1574),3),"")</f>
        <v/>
      </c>
      <c r="MG1555" s="42" t="str">
        <f t="array" aca="1" ref="MG1555" ca="1">IFERROR(INDEX(nombres[],SMALL(IF(OFFSET(nombres[],0,0,ROWS(nombres[]),1)=MG$1490,ROW(OFFSET(nombres[],0,0,ROWS(nombres[]),1))-ROW(OFFSET(nombres[],0,0,1,1))+1,ROW(OFFSET(nombres[],ROWS(nombres[])-1,0,1,1))+1),$O1555:$O1574),3),"")</f>
        <v/>
      </c>
      <c r="MH1555" s="42" t="str">
        <f t="array" aca="1" ref="MH1555" ca="1">IFERROR(INDEX(nombres[],SMALL(IF(OFFSET(nombres[],0,0,ROWS(nombres[]),1)=MH$1490,ROW(OFFSET(nombres[],0,0,ROWS(nombres[]),1))-ROW(OFFSET(nombres[],0,0,1,1))+1,ROW(OFFSET(nombres[],ROWS(nombres[])-1,0,1,1))+1),$O1555:$O1574),3),"")</f>
        <v/>
      </c>
      <c r="MI1555" s="42" t="str">
        <f t="array" aca="1" ref="MI1555" ca="1">IFERROR(INDEX(nombres[],SMALL(IF(OFFSET(nombres[],0,0,ROWS(nombres[]),1)=MI$1490,ROW(OFFSET(nombres[],0,0,ROWS(nombres[]),1))-ROW(OFFSET(nombres[],0,0,1,1))+1,ROW(OFFSET(nombres[],ROWS(nombres[])-1,0,1,1))+1),$O1555:$O1574),3),"")</f>
        <v/>
      </c>
      <c r="MJ1555" s="42" t="str">
        <f t="array" aca="1" ref="MJ1555" ca="1">IFERROR(INDEX(nombres[],SMALL(IF(OFFSET(nombres[],0,0,ROWS(nombres[]),1)=MJ$1490,ROW(OFFSET(nombres[],0,0,ROWS(nombres[]),1))-ROW(OFFSET(nombres[],0,0,1,1))+1,ROW(OFFSET(nombres[],ROWS(nombres[])-1,0,1,1))+1),$O1555:$O1574),3),"")</f>
        <v/>
      </c>
      <c r="MK1555" s="42" t="str">
        <f t="array" aca="1" ref="MK1555" ca="1">IFERROR(INDEX(nombres[],SMALL(IF(OFFSET(nombres[],0,0,ROWS(nombres[]),1)=MK$1490,ROW(OFFSET(nombres[],0,0,ROWS(nombres[]),1))-ROW(OFFSET(nombres[],0,0,1,1))+1,ROW(OFFSET(nombres[],ROWS(nombres[])-1,0,1,1))+1),$O1555:$O1574),3),"")</f>
        <v/>
      </c>
      <c r="ML1555" s="42" t="str">
        <f t="array" aca="1" ref="ML1555" ca="1">IFERROR(INDEX(nombres[],SMALL(IF(OFFSET(nombres[],0,0,ROWS(nombres[]),1)=ML$1490,ROW(OFFSET(nombres[],0,0,ROWS(nombres[]),1))-ROW(OFFSET(nombres[],0,0,1,1))+1,ROW(OFFSET(nombres[],ROWS(nombres[])-1,0,1,1))+1),$O1555:$O1574),3),"")</f>
        <v/>
      </c>
      <c r="MM1555" s="42" t="str">
        <f t="array" aca="1" ref="MM1555" ca="1">IFERROR(INDEX(nombres[],SMALL(IF(OFFSET(nombres[],0,0,ROWS(nombres[]),1)=MM$1490,ROW(OFFSET(nombres[],0,0,ROWS(nombres[]),1))-ROW(OFFSET(nombres[],0,0,1,1))+1,ROW(OFFSET(nombres[],ROWS(nombres[])-1,0,1,1))+1),$O1555:$O1574),3),"")</f>
        <v/>
      </c>
      <c r="MN1555" s="42" t="str">
        <f t="array" aca="1" ref="MN1555" ca="1">IFERROR(INDEX(nombres[],SMALL(IF(OFFSET(nombres[],0,0,ROWS(nombres[]),1)=MN$1490,ROW(OFFSET(nombres[],0,0,ROWS(nombres[]),1))-ROW(OFFSET(nombres[],0,0,1,1))+1,ROW(OFFSET(nombres[],ROWS(nombres[])-1,0,1,1))+1),$O1555:$O1574),3),"")</f>
        <v/>
      </c>
      <c r="MO1555" s="42" t="str">
        <f t="array" aca="1" ref="MO1555" ca="1">IFERROR(INDEX(nombres[],SMALL(IF(OFFSET(nombres[],0,0,ROWS(nombres[]),1)=MO$1490,ROW(OFFSET(nombres[],0,0,ROWS(nombres[]),1))-ROW(OFFSET(nombres[],0,0,1,1))+1,ROW(OFFSET(nombres[],ROWS(nombres[])-1,0,1,1))+1),$O1555:$O1574),3),"")</f>
        <v/>
      </c>
      <c r="MP1555" s="42" t="str">
        <f t="array" aca="1" ref="MP1555" ca="1">IFERROR(INDEX(nombres[],SMALL(IF(OFFSET(nombres[],0,0,ROWS(nombres[]),1)=MP$1490,ROW(OFFSET(nombres[],0,0,ROWS(nombres[]),1))-ROW(OFFSET(nombres[],0,0,1,1))+1,ROW(OFFSET(nombres[],ROWS(nombres[])-1,0,1,1))+1),$O1555:$O1574),3),"")</f>
        <v/>
      </c>
      <c r="MQ1555" s="42" t="str">
        <f t="array" aca="1" ref="MQ1555" ca="1">IFERROR(INDEX(nombres[],SMALL(IF(OFFSET(nombres[],0,0,ROWS(nombres[]),1)=MQ$1490,ROW(OFFSET(nombres[],0,0,ROWS(nombres[]),1))-ROW(OFFSET(nombres[],0,0,1,1))+1,ROW(OFFSET(nombres[],ROWS(nombres[])-1,0,1,1))+1),$O1555:$O1574),3),"")</f>
        <v/>
      </c>
      <c r="MR1555" s="42" t="str">
        <f t="array" aca="1" ref="MR1555" ca="1">IFERROR(INDEX(nombres[],SMALL(IF(OFFSET(nombres[],0,0,ROWS(nombres[]),1)=MR$1490,ROW(OFFSET(nombres[],0,0,ROWS(nombres[]),1))-ROW(OFFSET(nombres[],0,0,1,1))+1,ROW(OFFSET(nombres[],ROWS(nombres[])-1,0,1,1))+1),$O1555:$O1574),3),"")</f>
        <v/>
      </c>
      <c r="MS1555" s="42" t="str">
        <f t="array" aca="1" ref="MS1555" ca="1">IFERROR(INDEX(nombres[],SMALL(IF(OFFSET(nombres[],0,0,ROWS(nombres[]),1)=MS$1490,ROW(OFFSET(nombres[],0,0,ROWS(nombres[]),1))-ROW(OFFSET(nombres[],0,0,1,1))+1,ROW(OFFSET(nombres[],ROWS(nombres[])-1,0,1,1))+1),$O1555:$O1574),3),"")</f>
        <v/>
      </c>
      <c r="MT1555" s="42" t="str">
        <f t="array" aca="1" ref="MT1555" ca="1">IFERROR(INDEX(nombres[],SMALL(IF(OFFSET(nombres[],0,0,ROWS(nombres[]),1)=MT$1490,ROW(OFFSET(nombres[],0,0,ROWS(nombres[]),1))-ROW(OFFSET(nombres[],0,0,1,1))+1,ROW(OFFSET(nombres[],ROWS(nombres[])-1,0,1,1))+1),$O1555:$O1574),3),"")</f>
        <v/>
      </c>
      <c r="MU1555" s="42" t="str">
        <f t="array" aca="1" ref="MU1555" ca="1">IFERROR(INDEX(nombres[],SMALL(IF(OFFSET(nombres[],0,0,ROWS(nombres[]),1)=MU$1490,ROW(OFFSET(nombres[],0,0,ROWS(nombres[]),1))-ROW(OFFSET(nombres[],0,0,1,1))+1,ROW(OFFSET(nombres[],ROWS(nombres[])-1,0,1,1))+1),$O1555:$O1574),3),"")</f>
        <v/>
      </c>
      <c r="MV1555" s="42" t="str">
        <f t="array" aca="1" ref="MV1555" ca="1">IFERROR(INDEX(nombres[],SMALL(IF(OFFSET(nombres[],0,0,ROWS(nombres[]),1)=MV$1490,ROW(OFFSET(nombres[],0,0,ROWS(nombres[]),1))-ROW(OFFSET(nombres[],0,0,1,1))+1,ROW(OFFSET(nombres[],ROWS(nombres[])-1,0,1,1))+1),$O1555:$O1574),3),"")</f>
        <v/>
      </c>
      <c r="MW1555" s="42" t="str">
        <f t="array" aca="1" ref="MW1555" ca="1">IFERROR(INDEX(nombres[],SMALL(IF(OFFSET(nombres[],0,0,ROWS(nombres[]),1)=MW$1490,ROW(OFFSET(nombres[],0,0,ROWS(nombres[]),1))-ROW(OFFSET(nombres[],0,0,1,1))+1,ROW(OFFSET(nombres[],ROWS(nombres[])-1,0,1,1))+1),$O1555:$O1574),3),"")</f>
        <v/>
      </c>
      <c r="MX1555" s="42" t="str">
        <f t="array" aca="1" ref="MX1555" ca="1">IFERROR(INDEX(nombres[],SMALL(IF(OFFSET(nombres[],0,0,ROWS(nombres[]),1)=MX$1490,ROW(OFFSET(nombres[],0,0,ROWS(nombres[]),1))-ROW(OFFSET(nombres[],0,0,1,1))+1,ROW(OFFSET(nombres[],ROWS(nombres[])-1,0,1,1))+1),$O1555:$O1574),3),"")</f>
        <v/>
      </c>
      <c r="MY1555" s="42" t="str">
        <f t="array" aca="1" ref="MY1555" ca="1">IFERROR(INDEX(nombres[],SMALL(IF(OFFSET(nombres[],0,0,ROWS(nombres[]),1)=MY$1490,ROW(OFFSET(nombres[],0,0,ROWS(nombres[]),1))-ROW(OFFSET(nombres[],0,0,1,1))+1,ROW(OFFSET(nombres[],ROWS(nombres[])-1,0,1,1))+1),$O1555:$O1574),3),"")</f>
        <v/>
      </c>
      <c r="MZ1555" s="42" t="str">
        <f t="array" aca="1" ref="MZ1555" ca="1">IFERROR(INDEX(nombres[],SMALL(IF(OFFSET(nombres[],0,0,ROWS(nombres[]),1)=MZ$1490,ROW(OFFSET(nombres[],0,0,ROWS(nombres[]),1))-ROW(OFFSET(nombres[],0,0,1,1))+1,ROW(OFFSET(nombres[],ROWS(nombres[])-1,0,1,1))+1),$O1555:$O1574),3),"")</f>
        <v/>
      </c>
      <c r="NA1555" s="42" t="str">
        <f t="array" aca="1" ref="NA1555" ca="1">IFERROR(INDEX(nombres[],SMALL(IF(OFFSET(nombres[],0,0,ROWS(nombres[]),1)=NA$1490,ROW(OFFSET(nombres[],0,0,ROWS(nombres[]),1))-ROW(OFFSET(nombres[],0,0,1,1))+1,ROW(OFFSET(nombres[],ROWS(nombres[])-1,0,1,1))+1),$O1555:$O1574),3),"")</f>
        <v/>
      </c>
      <c r="NB1555" s="42" t="str">
        <f t="array" aca="1" ref="NB1555" ca="1">IFERROR(INDEX(nombres[],SMALL(IF(OFFSET(nombres[],0,0,ROWS(nombres[]),1)=NB$1490,ROW(OFFSET(nombres[],0,0,ROWS(nombres[]),1))-ROW(OFFSET(nombres[],0,0,1,1))+1,ROW(OFFSET(nombres[],ROWS(nombres[])-1,0,1,1))+1),$O1555:$O1574),3),"")</f>
        <v/>
      </c>
      <c r="NC1555" s="42" t="str">
        <f t="array" aca="1" ref="NC1555" ca="1">IFERROR(INDEX(nombres[],SMALL(IF(OFFSET(nombres[],0,0,ROWS(nombres[]),1)=NC$1490,ROW(OFFSET(nombres[],0,0,ROWS(nombres[]),1))-ROW(OFFSET(nombres[],0,0,1,1))+1,ROW(OFFSET(nombres[],ROWS(nombres[])-1,0,1,1))+1),$O1555:$O1574),3),"")</f>
        <v/>
      </c>
      <c r="ND1555" s="42" t="str">
        <f t="array" aca="1" ref="ND1555" ca="1">IFERROR(INDEX(nombres[],SMALL(IF(OFFSET(nombres[],0,0,ROWS(nombres[]),1)=ND$1490,ROW(OFFSET(nombres[],0,0,ROWS(nombres[]),1))-ROW(OFFSET(nombres[],0,0,1,1))+1,ROW(OFFSET(nombres[],ROWS(nombres[])-1,0,1,1))+1),$O1555:$O1574),3),"")</f>
        <v/>
      </c>
      <c r="NE1555" s="42" t="str">
        <f t="array" aca="1" ref="NE1555" ca="1">IFERROR(INDEX(nombres[],SMALL(IF(OFFSET(nombres[],0,0,ROWS(nombres[]),1)=NE$1490,ROW(OFFSET(nombres[],0,0,ROWS(nombres[]),1))-ROW(OFFSET(nombres[],0,0,1,1))+1,ROW(OFFSET(nombres[],ROWS(nombres[])-1,0,1,1))+1),$O1555:$O1574),3),"")</f>
        <v/>
      </c>
      <c r="NF1555" s="42" t="str">
        <f t="array" aca="1" ref="NF1555" ca="1">IFERROR(INDEX(nombres[],SMALL(IF(OFFSET(nombres[],0,0,ROWS(nombres[]),1)=NF$1490,ROW(OFFSET(nombres[],0,0,ROWS(nombres[]),1))-ROW(OFFSET(nombres[],0,0,1,1))+1,ROW(OFFSET(nombres[],ROWS(nombres[])-1,0,1,1))+1),$O1555:$O1574),3),"")</f>
        <v/>
      </c>
      <c r="NG1555" s="42" t="str">
        <f t="array" aca="1" ref="NG1555" ca="1">IFERROR(INDEX(nombres[],SMALL(IF(OFFSET(nombres[],0,0,ROWS(nombres[]),1)=NG$1490,ROW(OFFSET(nombres[],0,0,ROWS(nombres[]),1))-ROW(OFFSET(nombres[],0,0,1,1))+1,ROW(OFFSET(nombres[],ROWS(nombres[])-1,0,1,1))+1),$O1555:$O1574),3),"")</f>
        <v/>
      </c>
      <c r="NH1555" s="42" t="str">
        <f t="array" aca="1" ref="NH1555" ca="1">IFERROR(INDEX(nombres[],SMALL(IF(OFFSET(nombres[],0,0,ROWS(nombres[]),1)=NH$1490,ROW(OFFSET(nombres[],0,0,ROWS(nombres[]),1))-ROW(OFFSET(nombres[],0,0,1,1))+1,ROW(OFFSET(nombres[],ROWS(nombres[])-1,0,1,1))+1),$O1555:$O1574),3),"")</f>
        <v/>
      </c>
      <c r="NI1555" s="42" t="str">
        <f t="array" aca="1" ref="NI1555" ca="1">IFERROR(INDEX(nombres[],SMALL(IF(OFFSET(nombres[],0,0,ROWS(nombres[]),1)=NI$1490,ROW(OFFSET(nombres[],0,0,ROWS(nombres[]),1))-ROW(OFFSET(nombres[],0,0,1,1))+1,ROW(OFFSET(nombres[],ROWS(nombres[])-1,0,1,1))+1),$O1555:$O1574),3),"")</f>
        <v/>
      </c>
      <c r="NJ1555" s="42" t="str">
        <f t="array" aca="1" ref="NJ1555" ca="1">IFERROR(INDEX(nombres[],SMALL(IF(OFFSET(nombres[],0,0,ROWS(nombres[]),1)=NJ$1490,ROW(OFFSET(nombres[],0,0,ROWS(nombres[]),1))-ROW(OFFSET(nombres[],0,0,1,1))+1,ROW(OFFSET(nombres[],ROWS(nombres[])-1,0,1,1))+1),$O1555:$O1574),3),"")</f>
        <v/>
      </c>
      <c r="NK1555" s="42" t="str">
        <f t="array" aca="1" ref="NK1555" ca="1">IFERROR(INDEX(nombres[],SMALL(IF(OFFSET(nombres[],0,0,ROWS(nombres[]),1)=NK$1490,ROW(OFFSET(nombres[],0,0,ROWS(nombres[]),1))-ROW(OFFSET(nombres[],0,0,1,1))+1,ROW(OFFSET(nombres[],ROWS(nombres[])-1,0,1,1))+1),$O1555:$O1574),3),"")</f>
        <v/>
      </c>
      <c r="NL1555" s="42" t="str">
        <f t="array" aca="1" ref="NL1555" ca="1">IFERROR(INDEX(nombres[],SMALL(IF(OFFSET(nombres[],0,0,ROWS(nombres[]),1)=NL$1490,ROW(OFFSET(nombres[],0,0,ROWS(nombres[]),1))-ROW(OFFSET(nombres[],0,0,1,1))+1,ROW(OFFSET(nombres[],ROWS(nombres[])-1,0,1,1))+1),$O1555:$O1574),3),"")</f>
        <v/>
      </c>
      <c r="NM1555" s="42" t="str">
        <f t="array" aca="1" ref="NM1555" ca="1">IFERROR(INDEX(nombres[],SMALL(IF(OFFSET(nombres[],0,0,ROWS(nombres[]),1)=NM$1490,ROW(OFFSET(nombres[],0,0,ROWS(nombres[]),1))-ROW(OFFSET(nombres[],0,0,1,1))+1,ROW(OFFSET(nombres[],ROWS(nombres[])-1,0,1,1))+1),$O1555:$O1574),3),"")</f>
        <v/>
      </c>
      <c r="NN1555" s="42" t="str">
        <f t="array" aca="1" ref="NN1555" ca="1">IFERROR(INDEX(nombres[],SMALL(IF(OFFSET(nombres[],0,0,ROWS(nombres[]),1)=NN$1490,ROW(OFFSET(nombres[],0,0,ROWS(nombres[]),1))-ROW(OFFSET(nombres[],0,0,1,1))+1,ROW(OFFSET(nombres[],ROWS(nombres[])-1,0,1,1))+1),$O1555:$O1574),3),"")</f>
        <v/>
      </c>
      <c r="NO1555" s="42" t="str">
        <f t="array" aca="1" ref="NO1555" ca="1">IFERROR(INDEX(nombres[],SMALL(IF(OFFSET(nombres[],0,0,ROWS(nombres[]),1)=NO$1490,ROW(OFFSET(nombres[],0,0,ROWS(nombres[]),1))-ROW(OFFSET(nombres[],0,0,1,1))+1,ROW(OFFSET(nombres[],ROWS(nombres[])-1,0,1,1))+1),$O1555:$O1574),3),"")</f>
        <v/>
      </c>
      <c r="NP1555" s="42" t="str">
        <f t="array" aca="1" ref="NP1555" ca="1">IFERROR(INDEX(nombres[],SMALL(IF(OFFSET(nombres[],0,0,ROWS(nombres[]),1)=NP$1490,ROW(OFFSET(nombres[],0,0,ROWS(nombres[]),1))-ROW(OFFSET(nombres[],0,0,1,1))+1,ROW(OFFSET(nombres[],ROWS(nombres[])-1,0,1,1))+1),$O1555:$O1574),3),"")</f>
        <v/>
      </c>
      <c r="NQ1555" s="42" t="str">
        <f t="array" aca="1" ref="NQ1555" ca="1">IFERROR(INDEX(nombres[],SMALL(IF(OFFSET(nombres[],0,0,ROWS(nombres[]),1)=NQ$1490,ROW(OFFSET(nombres[],0,0,ROWS(nombres[]),1))-ROW(OFFSET(nombres[],0,0,1,1))+1,ROW(OFFSET(nombres[],ROWS(nombres[])-1,0,1,1))+1),$O1555:$O1574),3),"")</f>
        <v/>
      </c>
      <c r="NR1555" s="42" t="str">
        <f t="array" aca="1" ref="NR1555" ca="1">IFERROR(INDEX(nombres[],SMALL(IF(OFFSET(nombres[],0,0,ROWS(nombres[]),1)=NR$1490,ROW(OFFSET(nombres[],0,0,ROWS(nombres[]),1))-ROW(OFFSET(nombres[],0,0,1,1))+1,ROW(OFFSET(nombres[],ROWS(nombres[])-1,0,1,1))+1),$O1555:$O1574),3),"")</f>
        <v/>
      </c>
      <c r="NS1555" s="42" t="str">
        <f t="array" aca="1" ref="NS1555" ca="1">IFERROR(INDEX(nombres[],SMALL(IF(OFFSET(nombres[],0,0,ROWS(nombres[]),1)=NS$1490,ROW(OFFSET(nombres[],0,0,ROWS(nombres[]),1))-ROW(OFFSET(nombres[],0,0,1,1))+1,ROW(OFFSET(nombres[],ROWS(nombres[])-1,0,1,1))+1),$O1555:$O1574),3),"")</f>
        <v/>
      </c>
      <c r="NT1555" s="42" t="str">
        <f t="array" aca="1" ref="NT1555" ca="1">IFERROR(INDEX(nombres[],SMALL(IF(OFFSET(nombres[],0,0,ROWS(nombres[]),1)=NT$1490,ROW(OFFSET(nombres[],0,0,ROWS(nombres[]),1))-ROW(OFFSET(nombres[],0,0,1,1))+1,ROW(OFFSET(nombres[],ROWS(nombres[])-1,0,1,1))+1),$O1555:$O1574),3),"")</f>
        <v/>
      </c>
      <c r="NU1555" s="42" t="str">
        <f t="array" aca="1" ref="NU1555" ca="1">IFERROR(INDEX(nombres[],SMALL(IF(OFFSET(nombres[],0,0,ROWS(nombres[]),1)=NU$1490,ROW(OFFSET(nombres[],0,0,ROWS(nombres[]),1))-ROW(OFFSET(nombres[],0,0,1,1))+1,ROW(OFFSET(nombres[],ROWS(nombres[])-1,0,1,1))+1),$O1555:$O1574),3),"")</f>
        <v/>
      </c>
      <c r="NV1555" s="42" t="str">
        <f t="array" aca="1" ref="NV1555" ca="1">IFERROR(INDEX(nombres[],SMALL(IF(OFFSET(nombres[],0,0,ROWS(nombres[]),1)=NV$1490,ROW(OFFSET(nombres[],0,0,ROWS(nombres[]),1))-ROW(OFFSET(nombres[],0,0,1,1))+1,ROW(OFFSET(nombres[],ROWS(nombres[])-1,0,1,1))+1),$O1555:$O1574),3),"")</f>
        <v/>
      </c>
      <c r="NW1555" s="42" t="str">
        <f t="array" aca="1" ref="NW1555" ca="1">IFERROR(INDEX(nombres[],SMALL(IF(OFFSET(nombres[],0,0,ROWS(nombres[]),1)=NW$1490,ROW(OFFSET(nombres[],0,0,ROWS(nombres[]),1))-ROW(OFFSET(nombres[],0,0,1,1))+1,ROW(OFFSET(nombres[],ROWS(nombres[])-1,0,1,1))+1),$O1555:$O1574),3),"")</f>
        <v/>
      </c>
      <c r="NX1555" s="42" t="str">
        <f t="array" aca="1" ref="NX1555" ca="1">IFERROR(INDEX(nombres[],SMALL(IF(OFFSET(nombres[],0,0,ROWS(nombres[]),1)=NX$1490,ROW(OFFSET(nombres[],0,0,ROWS(nombres[]),1))-ROW(OFFSET(nombres[],0,0,1,1))+1,ROW(OFFSET(nombres[],ROWS(nombres[])-1,0,1,1))+1),$O1555:$O1574),3),"")</f>
        <v/>
      </c>
      <c r="NY1555" s="42" t="str">
        <f t="array" aca="1" ref="NY1555" ca="1">IFERROR(INDEX(nombres[],SMALL(IF(OFFSET(nombres[],0,0,ROWS(nombres[]),1)=NY$1490,ROW(OFFSET(nombres[],0,0,ROWS(nombres[]),1))-ROW(OFFSET(nombres[],0,0,1,1))+1,ROW(OFFSET(nombres[],ROWS(nombres[])-1,0,1,1))+1),$O1555:$O1574),3),"")</f>
        <v/>
      </c>
      <c r="NZ1555" s="42" t="str">
        <f t="array" aca="1" ref="NZ1555" ca="1">IFERROR(INDEX(nombres[],SMALL(IF(OFFSET(nombres[],0,0,ROWS(nombres[]),1)=NZ$1490,ROW(OFFSET(nombres[],0,0,ROWS(nombres[]),1))-ROW(OFFSET(nombres[],0,0,1,1))+1,ROW(OFFSET(nombres[],ROWS(nombres[])-1,0,1,1))+1),$O1555:$O1574),3),"")</f>
        <v/>
      </c>
      <c r="OA1555" s="42" t="str">
        <f t="array" aca="1" ref="OA1555" ca="1">IFERROR(INDEX(nombres[],SMALL(IF(OFFSET(nombres[],0,0,ROWS(nombres[]),1)=OA$1490,ROW(OFFSET(nombres[],0,0,ROWS(nombres[]),1))-ROW(OFFSET(nombres[],0,0,1,1))+1,ROW(OFFSET(nombres[],ROWS(nombres[])-1,0,1,1))+1),$O1555:$O1574),3),"")</f>
        <v/>
      </c>
      <c r="OB1555" s="42" t="str">
        <f t="array" aca="1" ref="OB1555" ca="1">IFERROR(INDEX(nombres[],SMALL(IF(OFFSET(nombres[],0,0,ROWS(nombres[]),1)=OB$1490,ROW(OFFSET(nombres[],0,0,ROWS(nombres[]),1))-ROW(OFFSET(nombres[],0,0,1,1))+1,ROW(OFFSET(nombres[],ROWS(nombres[])-1,0,1,1))+1),$O1555:$O1574),3),"")</f>
        <v/>
      </c>
      <c r="OC1555" s="42" t="str">
        <f t="array" aca="1" ref="OC1555" ca="1">IFERROR(INDEX(nombres[],SMALL(IF(OFFSET(nombres[],0,0,ROWS(nombres[]),1)=OC$1490,ROW(OFFSET(nombres[],0,0,ROWS(nombres[]),1))-ROW(OFFSET(nombres[],0,0,1,1))+1,ROW(OFFSET(nombres[],ROWS(nombres[])-1,0,1,1))+1),$O1555:$O1574),3),"")</f>
        <v/>
      </c>
      <c r="OD1555" s="42" t="str">
        <f t="array" aca="1" ref="OD1555" ca="1">IFERROR(INDEX(nombres[],SMALL(IF(OFFSET(nombres[],0,0,ROWS(nombres[]),1)=OD$1490,ROW(OFFSET(nombres[],0,0,ROWS(nombres[]),1))-ROW(OFFSET(nombres[],0,0,1,1))+1,ROW(OFFSET(nombres[],ROWS(nombres[])-1,0,1,1))+1),$O1555:$O1574),3),"")</f>
        <v/>
      </c>
      <c r="OE1555" s="42" t="str">
        <f t="array" aca="1" ref="OE1555" ca="1">IFERROR(INDEX(nombres[],SMALL(IF(OFFSET(nombres[],0,0,ROWS(nombres[]),1)=OE$1490,ROW(OFFSET(nombres[],0,0,ROWS(nombres[]),1))-ROW(OFFSET(nombres[],0,0,1,1))+1,ROW(OFFSET(nombres[],ROWS(nombres[])-1,0,1,1))+1),$O1555:$O1574),3),"")</f>
        <v/>
      </c>
      <c r="OF1555" s="42" t="str">
        <f t="array" aca="1" ref="OF1555" ca="1">IFERROR(INDEX(nombres[],SMALL(IF(OFFSET(nombres[],0,0,ROWS(nombres[]),1)=OF$1490,ROW(OFFSET(nombres[],0,0,ROWS(nombres[]),1))-ROW(OFFSET(nombres[],0,0,1,1))+1,ROW(OFFSET(nombres[],ROWS(nombres[])-1,0,1,1))+1),$O1555:$O1574),3),"")</f>
        <v/>
      </c>
      <c r="OG1555" s="42" t="str">
        <f t="array" aca="1" ref="OG1555" ca="1">IFERROR(INDEX(nombres[],SMALL(IF(OFFSET(nombres[],0,0,ROWS(nombres[]),1)=OG$1490,ROW(OFFSET(nombres[],0,0,ROWS(nombres[]),1))-ROW(OFFSET(nombres[],0,0,1,1))+1,ROW(OFFSET(nombres[],ROWS(nombres[])-1,0,1,1))+1),$O1555:$O1574),3),"")</f>
        <v/>
      </c>
      <c r="OH1555" s="42" t="str">
        <f t="array" aca="1" ref="OH1555" ca="1">IFERROR(INDEX(nombres[],SMALL(IF(OFFSET(nombres[],0,0,ROWS(nombres[]),1)=OH$1490,ROW(OFFSET(nombres[],0,0,ROWS(nombres[]),1))-ROW(OFFSET(nombres[],0,0,1,1))+1,ROW(OFFSET(nombres[],ROWS(nombres[])-1,0,1,1))+1),$O1555:$O1574),3),"")</f>
        <v/>
      </c>
      <c r="OI1555" s="42" t="str">
        <f t="array" aca="1" ref="OI1555" ca="1">IFERROR(INDEX(nombres[],SMALL(IF(OFFSET(nombres[],0,0,ROWS(nombres[]),1)=OI$1490,ROW(OFFSET(nombres[],0,0,ROWS(nombres[]),1))-ROW(OFFSET(nombres[],0,0,1,1))+1,ROW(OFFSET(nombres[],ROWS(nombres[])-1,0,1,1))+1),$O1555:$O1574),3),"")</f>
        <v/>
      </c>
      <c r="OJ1555" s="42" t="str">
        <f t="array" aca="1" ref="OJ1555" ca="1">IFERROR(INDEX(nombres[],SMALL(IF(OFFSET(nombres[],0,0,ROWS(nombres[]),1)=OJ$1490,ROW(OFFSET(nombres[],0,0,ROWS(nombres[]),1))-ROW(OFFSET(nombres[],0,0,1,1))+1,ROW(OFFSET(nombres[],ROWS(nombres[])-1,0,1,1))+1),$O1555:$O1574),3),"")</f>
        <v/>
      </c>
      <c r="OK1555" s="42" t="str">
        <f t="array" aca="1" ref="OK1555" ca="1">IFERROR(INDEX(nombres[],SMALL(IF(OFFSET(nombres[],0,0,ROWS(nombres[]),1)=OK$1490,ROW(OFFSET(nombres[],0,0,ROWS(nombres[]),1))-ROW(OFFSET(nombres[],0,0,1,1))+1,ROW(OFFSET(nombres[],ROWS(nombres[])-1,0,1,1))+1),$O1555:$O1574),3),"")</f>
        <v/>
      </c>
      <c r="OL1555" s="42" t="str">
        <f t="array" aca="1" ref="OL1555" ca="1">IFERROR(INDEX(nombres[],SMALL(IF(OFFSET(nombres[],0,0,ROWS(nombres[]),1)=OL$1490,ROW(OFFSET(nombres[],0,0,ROWS(nombres[]),1))-ROW(OFFSET(nombres[],0,0,1,1))+1,ROW(OFFSET(nombres[],ROWS(nombres[])-1,0,1,1))+1),$O1555:$O1574),3),"")</f>
        <v/>
      </c>
      <c r="OM1555" s="42" t="str">
        <f t="array" aca="1" ref="OM1555" ca="1">IFERROR(INDEX(nombres[],SMALL(IF(OFFSET(nombres[],0,0,ROWS(nombres[]),1)=OM$1490,ROW(OFFSET(nombres[],0,0,ROWS(nombres[]),1))-ROW(OFFSET(nombres[],0,0,1,1))+1,ROW(OFFSET(nombres[],ROWS(nombres[])-1,0,1,1))+1),$O1555:$O1574),3),"")</f>
        <v/>
      </c>
      <c r="ON1555" s="42" t="str">
        <f t="array" aca="1" ref="ON1555" ca="1">IFERROR(INDEX(nombres[],SMALL(IF(OFFSET(nombres[],0,0,ROWS(nombres[]),1)=ON$1490,ROW(OFFSET(nombres[],0,0,ROWS(nombres[]),1))-ROW(OFFSET(nombres[],0,0,1,1))+1,ROW(OFFSET(nombres[],ROWS(nombres[])-1,0,1,1))+1),$O1555:$O1574),3),"")</f>
        <v/>
      </c>
      <c r="OO1555" s="42" t="str">
        <f t="array" aca="1" ref="OO1555" ca="1">IFERROR(INDEX(nombres[],SMALL(IF(OFFSET(nombres[],0,0,ROWS(nombres[]),1)=OO$1490,ROW(OFFSET(nombres[],0,0,ROWS(nombres[]),1))-ROW(OFFSET(nombres[],0,0,1,1))+1,ROW(OFFSET(nombres[],ROWS(nombres[])-1,0,1,1))+1),$O1555:$O1574),3),"")</f>
        <v/>
      </c>
      <c r="OP1555" s="42" t="str">
        <f t="array" aca="1" ref="OP1555" ca="1">IFERROR(INDEX(nombres[],SMALL(IF(OFFSET(nombres[],0,0,ROWS(nombres[]),1)=OP$1490,ROW(OFFSET(nombres[],0,0,ROWS(nombres[]),1))-ROW(OFFSET(nombres[],0,0,1,1))+1,ROW(OFFSET(nombres[],ROWS(nombres[])-1,0,1,1))+1),$O1555:$O1574),3),"")</f>
        <v/>
      </c>
      <c r="OQ1555" s="42" t="str">
        <f t="array" aca="1" ref="OQ1555" ca="1">IFERROR(INDEX(nombres[],SMALL(IF(OFFSET(nombres[],0,0,ROWS(nombres[]),1)=OQ$1490,ROW(OFFSET(nombres[],0,0,ROWS(nombres[]),1))-ROW(OFFSET(nombres[],0,0,1,1))+1,ROW(OFFSET(nombres[],ROWS(nombres[])-1,0,1,1))+1),$O1555:$O1574),3),"")</f>
        <v/>
      </c>
      <c r="OR1555" s="42" t="str">
        <f t="array" aca="1" ref="OR1555" ca="1">IFERROR(INDEX(nombres[],SMALL(IF(OFFSET(nombres[],0,0,ROWS(nombres[]),1)=OR$1490,ROW(OFFSET(nombres[],0,0,ROWS(nombres[]),1))-ROW(OFFSET(nombres[],0,0,1,1))+1,ROW(OFFSET(nombres[],ROWS(nombres[])-1,0,1,1))+1),$O1555:$O1574),3),"")</f>
        <v/>
      </c>
      <c r="OS1555" s="42" t="str">
        <f t="array" aca="1" ref="OS1555" ca="1">IFERROR(INDEX(nombres[],SMALL(IF(OFFSET(nombres[],0,0,ROWS(nombres[]),1)=OS$1490,ROW(OFFSET(nombres[],0,0,ROWS(nombres[]),1))-ROW(OFFSET(nombres[],0,0,1,1))+1,ROW(OFFSET(nombres[],ROWS(nombres[])-1,0,1,1))+1),$O1555:$O1574),3),"")</f>
        <v/>
      </c>
      <c r="OT1555" s="42" t="str">
        <f t="array" aca="1" ref="OT1555" ca="1">IFERROR(INDEX(nombres[],SMALL(IF(OFFSET(nombres[],0,0,ROWS(nombres[]),1)=OT$1490,ROW(OFFSET(nombres[],0,0,ROWS(nombres[]),1))-ROW(OFFSET(nombres[],0,0,1,1))+1,ROW(OFFSET(nombres[],ROWS(nombres[])-1,0,1,1))+1),$O1555:$O1574),3),"")</f>
        <v/>
      </c>
      <c r="OU1555" s="42" t="str">
        <f t="array" aca="1" ref="OU1555" ca="1">IFERROR(INDEX(nombres[],SMALL(IF(OFFSET(nombres[],0,0,ROWS(nombres[]),1)=OU$1490,ROW(OFFSET(nombres[],0,0,ROWS(nombres[]),1))-ROW(OFFSET(nombres[],0,0,1,1))+1,ROW(OFFSET(nombres[],ROWS(nombres[])-1,0,1,1))+1),$O1555:$O1574),3),"")</f>
        <v/>
      </c>
      <c r="OV1555" s="42" t="str">
        <f t="array" aca="1" ref="OV1555" ca="1">IFERROR(INDEX(nombres[],SMALL(IF(OFFSET(nombres[],0,0,ROWS(nombres[]),1)=OV$1490,ROW(OFFSET(nombres[],0,0,ROWS(nombres[]),1))-ROW(OFFSET(nombres[],0,0,1,1))+1,ROW(OFFSET(nombres[],ROWS(nombres[])-1,0,1,1))+1),$O1555:$O1574),3),"")</f>
        <v/>
      </c>
      <c r="OW1555" s="42" t="str">
        <f t="array" aca="1" ref="OW1555" ca="1">IFERROR(INDEX(nombres[],SMALL(IF(OFFSET(nombres[],0,0,ROWS(nombres[]),1)=OW$1490,ROW(OFFSET(nombres[],0,0,ROWS(nombres[]),1))-ROW(OFFSET(nombres[],0,0,1,1))+1,ROW(OFFSET(nombres[],ROWS(nombres[])-1,0,1,1))+1),$O1555:$O1574),3),"")</f>
        <v/>
      </c>
      <c r="OX1555" s="42" t="str">
        <f t="array" aca="1" ref="OX1555" ca="1">IFERROR(INDEX(nombres[],SMALL(IF(OFFSET(nombres[],0,0,ROWS(nombres[]),1)=OX$1490,ROW(OFFSET(nombres[],0,0,ROWS(nombres[]),1))-ROW(OFFSET(nombres[],0,0,1,1))+1,ROW(OFFSET(nombres[],ROWS(nombres[])-1,0,1,1))+1),$O1555:$O1574),3),"")</f>
        <v/>
      </c>
      <c r="OY1555" s="42" t="str">
        <f t="array" aca="1" ref="OY1555" ca="1">IFERROR(INDEX(nombres[],SMALL(IF(OFFSET(nombres[],0,0,ROWS(nombres[]),1)=OY$1490,ROW(OFFSET(nombres[],0,0,ROWS(nombres[]),1))-ROW(OFFSET(nombres[],0,0,1,1))+1,ROW(OFFSET(nombres[],ROWS(nombres[])-1,0,1,1))+1),$O1555:$O1574),3),"")</f>
        <v/>
      </c>
      <c r="OZ1555" s="42" t="str">
        <f t="array" aca="1" ref="OZ1555" ca="1">IFERROR(INDEX(nombres[],SMALL(IF(OFFSET(nombres[],0,0,ROWS(nombres[]),1)=OZ$1490,ROW(OFFSET(nombres[],0,0,ROWS(nombres[]),1))-ROW(OFFSET(nombres[],0,0,1,1))+1,ROW(OFFSET(nombres[],ROWS(nombres[])-1,0,1,1))+1),$O1555:$O1574),3),"")</f>
        <v/>
      </c>
      <c r="PA1555" s="42" t="str">
        <f t="array" aca="1" ref="PA1555" ca="1">IFERROR(INDEX(nombres[],SMALL(IF(OFFSET(nombres[],0,0,ROWS(nombres[]),1)=PA$1490,ROW(OFFSET(nombres[],0,0,ROWS(nombres[]),1))-ROW(OFFSET(nombres[],0,0,1,1))+1,ROW(OFFSET(nombres[],ROWS(nombres[])-1,0,1,1))+1),$O1555:$O1574),3),"")</f>
        <v/>
      </c>
      <c r="PB1555" s="42" t="str">
        <f t="array" aca="1" ref="PB1555" ca="1">IFERROR(INDEX(nombres[],SMALL(IF(OFFSET(nombres[],0,0,ROWS(nombres[]),1)=PB$1490,ROW(OFFSET(nombres[],0,0,ROWS(nombres[]),1))-ROW(OFFSET(nombres[],0,0,1,1))+1,ROW(OFFSET(nombres[],ROWS(nombres[])-1,0,1,1))+1),$O1555:$O1574),3),"")</f>
        <v/>
      </c>
      <c r="PC1555" s="42" t="str">
        <f t="array" aca="1" ref="PC1555" ca="1">IFERROR(INDEX(nombres[],SMALL(IF(OFFSET(nombres[],0,0,ROWS(nombres[]),1)=PC$1490,ROW(OFFSET(nombres[],0,0,ROWS(nombres[]),1))-ROW(OFFSET(nombres[],0,0,1,1))+1,ROW(OFFSET(nombres[],ROWS(nombres[])-1,0,1,1))+1),$O1555:$O1574),3),"")</f>
        <v/>
      </c>
      <c r="PD1555" s="42" t="str">
        <f t="array" aca="1" ref="PD1555" ca="1">IFERROR(INDEX(nombres[],SMALL(IF(OFFSET(nombres[],0,0,ROWS(nombres[]),1)=PD$1490,ROW(OFFSET(nombres[],0,0,ROWS(nombres[]),1))-ROW(OFFSET(nombres[],0,0,1,1))+1,ROW(OFFSET(nombres[],ROWS(nombres[])-1,0,1,1))+1),$O1555:$O1574),3),"")</f>
        <v/>
      </c>
      <c r="PE1555" s="42" t="str">
        <f t="array" aca="1" ref="PE1555" ca="1">IFERROR(INDEX(nombres[],SMALL(IF(OFFSET(nombres[],0,0,ROWS(nombres[]),1)=PE$1490,ROW(OFFSET(nombres[],0,0,ROWS(nombres[]),1))-ROW(OFFSET(nombres[],0,0,1,1))+1,ROW(OFFSET(nombres[],ROWS(nombres[])-1,0,1,1))+1),$O1555:$O1574),3),"")</f>
        <v/>
      </c>
      <c r="PF1555" s="42" t="str">
        <f t="array" aca="1" ref="PF1555" ca="1">IFERROR(INDEX(nombres[],SMALL(IF(OFFSET(nombres[],0,0,ROWS(nombres[]),1)=PF$1490,ROW(OFFSET(nombres[],0,0,ROWS(nombres[]),1))-ROW(OFFSET(nombres[],0,0,1,1))+1,ROW(OFFSET(nombres[],ROWS(nombres[])-1,0,1,1))+1),$O1555:$O1574),3),"")</f>
        <v/>
      </c>
      <c r="PG1555" s="42" t="str">
        <f t="array" aca="1" ref="PG1555" ca="1">IFERROR(INDEX(nombres[],SMALL(IF(OFFSET(nombres[],0,0,ROWS(nombres[]),1)=PG$1490,ROW(OFFSET(nombres[],0,0,ROWS(nombres[]),1))-ROW(OFFSET(nombres[],0,0,1,1))+1,ROW(OFFSET(nombres[],ROWS(nombres[])-1,0,1,1))+1),$O1555:$O1574),3),"")</f>
        <v/>
      </c>
      <c r="PH1555" s="42" t="str">
        <f t="array" aca="1" ref="PH1555" ca="1">IFERROR(INDEX(nombres[],SMALL(IF(OFFSET(nombres[],0,0,ROWS(nombres[]),1)=PH$1490,ROW(OFFSET(nombres[],0,0,ROWS(nombres[]),1))-ROW(OFFSET(nombres[],0,0,1,1))+1,ROW(OFFSET(nombres[],ROWS(nombres[])-1,0,1,1))+1),$O1555:$O1574),3),"")</f>
        <v/>
      </c>
      <c r="PI1555" s="42" t="str">
        <f t="array" aca="1" ref="PI1555" ca="1">IFERROR(INDEX(nombres[],SMALL(IF(OFFSET(nombres[],0,0,ROWS(nombres[]),1)=PI$1490,ROW(OFFSET(nombres[],0,0,ROWS(nombres[]),1))-ROW(OFFSET(nombres[],0,0,1,1))+1,ROW(OFFSET(nombres[],ROWS(nombres[])-1,0,1,1))+1),$O1555:$O1574),3),"")</f>
        <v/>
      </c>
      <c r="PJ1555" s="42" t="str">
        <f t="array" aca="1" ref="PJ1555" ca="1">IFERROR(INDEX(nombres[],SMALL(IF(OFFSET(nombres[],0,0,ROWS(nombres[]),1)=PJ$1490,ROW(OFFSET(nombres[],0,0,ROWS(nombres[]),1))-ROW(OFFSET(nombres[],0,0,1,1))+1,ROW(OFFSET(nombres[],ROWS(nombres[])-1,0,1,1))+1),$O1555:$O1574),3),"")</f>
        <v/>
      </c>
      <c r="PK1555" s="42" t="str">
        <f t="array" aca="1" ref="PK1555" ca="1">IFERROR(INDEX(nombres[],SMALL(IF(OFFSET(nombres[],0,0,ROWS(nombres[]),1)=PK$1490,ROW(OFFSET(nombres[],0,0,ROWS(nombres[]),1))-ROW(OFFSET(nombres[],0,0,1,1))+1,ROW(OFFSET(nombres[],ROWS(nombres[])-1,0,1,1))+1),$O1555:$O1574),3),"")</f>
        <v/>
      </c>
      <c r="PL1555" s="42" t="str">
        <f t="array" aca="1" ref="PL1555" ca="1">IFERROR(INDEX(nombres[],SMALL(IF(OFFSET(nombres[],0,0,ROWS(nombres[]),1)=PL$1490,ROW(OFFSET(nombres[],0,0,ROWS(nombres[]),1))-ROW(OFFSET(nombres[],0,0,1,1))+1,ROW(OFFSET(nombres[],ROWS(nombres[])-1,0,1,1))+1),$O1555:$O1574),3),"")</f>
        <v/>
      </c>
      <c r="PM1555" s="42" t="str">
        <f t="array" aca="1" ref="PM1555" ca="1">IFERROR(INDEX(nombres[],SMALL(IF(OFFSET(nombres[],0,0,ROWS(nombres[]),1)=PM$1490,ROW(OFFSET(nombres[],0,0,ROWS(nombres[]),1))-ROW(OFFSET(nombres[],0,0,1,1))+1,ROW(OFFSET(nombres[],ROWS(nombres[])-1,0,1,1))+1),$O1555:$O1574),3),"")</f>
        <v/>
      </c>
      <c r="PN1555" s="42" t="str">
        <f t="array" aca="1" ref="PN1555" ca="1">IFERROR(INDEX(nombres[],SMALL(IF(OFFSET(nombres[],0,0,ROWS(nombres[]),1)=PN$1490,ROW(OFFSET(nombres[],0,0,ROWS(nombres[]),1))-ROW(OFFSET(nombres[],0,0,1,1))+1,ROW(OFFSET(nombres[],ROWS(nombres[])-1,0,1,1))+1),$O1555:$O1574),3),"")</f>
        <v/>
      </c>
      <c r="PO1555" s="42" t="str">
        <f t="array" aca="1" ref="PO1555" ca="1">IFERROR(INDEX(nombres[],SMALL(IF(OFFSET(nombres[],0,0,ROWS(nombres[]),1)=PO$1490,ROW(OFFSET(nombres[],0,0,ROWS(nombres[]),1))-ROW(OFFSET(nombres[],0,0,1,1))+1,ROW(OFFSET(nombres[],ROWS(nombres[])-1,0,1,1))+1),$O1555:$O1574),3),"")</f>
        <v/>
      </c>
      <c r="PP1555" s="42" t="str">
        <f t="array" aca="1" ref="PP1555" ca="1">IFERROR(INDEX(nombres[],SMALL(IF(OFFSET(nombres[],0,0,ROWS(nombres[]),1)=PP$1490,ROW(OFFSET(nombres[],0,0,ROWS(nombres[]),1))-ROW(OFFSET(nombres[],0,0,1,1))+1,ROW(OFFSET(nombres[],ROWS(nombres[])-1,0,1,1))+1),$O1555:$O1574),3),"")</f>
        <v/>
      </c>
      <c r="PQ1555" s="42" t="str">
        <f t="array" aca="1" ref="PQ1555" ca="1">IFERROR(INDEX(nombres[],SMALL(IF(OFFSET(nombres[],0,0,ROWS(nombres[]),1)=PQ$1490,ROW(OFFSET(nombres[],0,0,ROWS(nombres[]),1))-ROW(OFFSET(nombres[],0,0,1,1))+1,ROW(OFFSET(nombres[],ROWS(nombres[])-1,0,1,1))+1),$O1555:$O1574),3),"")</f>
        <v/>
      </c>
      <c r="PR1555" s="42" t="str">
        <f t="array" aca="1" ref="PR1555" ca="1">IFERROR(INDEX(nombres[],SMALL(IF(OFFSET(nombres[],0,0,ROWS(nombres[]),1)=PR$1490,ROW(OFFSET(nombres[],0,0,ROWS(nombres[]),1))-ROW(OFFSET(nombres[],0,0,1,1))+1,ROW(OFFSET(nombres[],ROWS(nombres[])-1,0,1,1))+1),$O1555:$O1574),3),"")</f>
        <v/>
      </c>
      <c r="PS1555" s="42" t="str">
        <f t="array" aca="1" ref="PS1555" ca="1">IFERROR(INDEX(nombres[],SMALL(IF(OFFSET(nombres[],0,0,ROWS(nombres[]),1)=PS$1490,ROW(OFFSET(nombres[],0,0,ROWS(nombres[]),1))-ROW(OFFSET(nombres[],0,0,1,1))+1,ROW(OFFSET(nombres[],ROWS(nombres[])-1,0,1,1))+1),$O1555:$O1574),3),"")</f>
        <v/>
      </c>
      <c r="PT1555" s="42" t="str">
        <f t="array" aca="1" ref="PT1555" ca="1">IFERROR(INDEX(nombres[],SMALL(IF(OFFSET(nombres[],0,0,ROWS(nombres[]),1)=PT$1490,ROW(OFFSET(nombres[],0,0,ROWS(nombres[]),1))-ROW(OFFSET(nombres[],0,0,1,1))+1,ROW(OFFSET(nombres[],ROWS(nombres[])-1,0,1,1))+1),$O1555:$O1574),3),"")</f>
        <v/>
      </c>
      <c r="PU1555" s="42" t="str">
        <f t="array" aca="1" ref="PU1555" ca="1">IFERROR(INDEX(nombres[],SMALL(IF(OFFSET(nombres[],0,0,ROWS(nombres[]),1)=PU$1490,ROW(OFFSET(nombres[],0,0,ROWS(nombres[]),1))-ROW(OFFSET(nombres[],0,0,1,1))+1,ROW(OFFSET(nombres[],ROWS(nombres[])-1,0,1,1))+1),$O1555:$O1574),3),"")</f>
        <v/>
      </c>
      <c r="PV1555" s="42" t="str">
        <f t="array" aca="1" ref="PV1555" ca="1">IFERROR(INDEX(nombres[],SMALL(IF(OFFSET(nombres[],0,0,ROWS(nombres[]),1)=PV$1490,ROW(OFFSET(nombres[],0,0,ROWS(nombres[]),1))-ROW(OFFSET(nombres[],0,0,1,1))+1,ROW(OFFSET(nombres[],ROWS(nombres[])-1,0,1,1))+1),$O1555:$O1574),3),"")</f>
        <v/>
      </c>
      <c r="PW1555" s="42" t="str">
        <f t="array" aca="1" ref="PW1555" ca="1">IFERROR(INDEX(nombres[],SMALL(IF(OFFSET(nombres[],0,0,ROWS(nombres[]),1)=PW$1490,ROW(OFFSET(nombres[],0,0,ROWS(nombres[]),1))-ROW(OFFSET(nombres[],0,0,1,1))+1,ROW(OFFSET(nombres[],ROWS(nombres[])-1,0,1,1))+1),$O1555:$O1574),3),"")</f>
        <v/>
      </c>
      <c r="PX1555" s="42" t="str">
        <f t="array" aca="1" ref="PX1555" ca="1">IFERROR(INDEX(nombres[],SMALL(IF(OFFSET(nombres[],0,0,ROWS(nombres[]),1)=PX$1490,ROW(OFFSET(nombres[],0,0,ROWS(nombres[]),1))-ROW(OFFSET(nombres[],0,0,1,1))+1,ROW(OFFSET(nombres[],ROWS(nombres[])-1,0,1,1))+1),$O1555:$O1574),3),"")</f>
        <v/>
      </c>
      <c r="PY1555" s="42" t="str">
        <f t="array" aca="1" ref="PY1555" ca="1">IFERROR(INDEX(nombres[],SMALL(IF(OFFSET(nombres[],0,0,ROWS(nombres[]),1)=PY$1490,ROW(OFFSET(nombres[],0,0,ROWS(nombres[]),1))-ROW(OFFSET(nombres[],0,0,1,1))+1,ROW(OFFSET(nombres[],ROWS(nombres[])-1,0,1,1))+1),$O1555:$O1574),3),"")</f>
        <v/>
      </c>
      <c r="PZ1555" s="42" t="str">
        <f t="array" aca="1" ref="PZ1555" ca="1">IFERROR(INDEX(nombres[],SMALL(IF(OFFSET(nombres[],0,0,ROWS(nombres[]),1)=PZ$1490,ROW(OFFSET(nombres[],0,0,ROWS(nombres[]),1))-ROW(OFFSET(nombres[],0,0,1,1))+1,ROW(OFFSET(nombres[],ROWS(nombres[])-1,0,1,1))+1),$O1555:$O1574),3),"")</f>
        <v/>
      </c>
      <c r="QA1555" s="42" t="str">
        <f t="array" aca="1" ref="QA1555" ca="1">IFERROR(INDEX(nombres[],SMALL(IF(OFFSET(nombres[],0,0,ROWS(nombres[]),1)=QA$1490,ROW(OFFSET(nombres[],0,0,ROWS(nombres[]),1))-ROW(OFFSET(nombres[],0,0,1,1))+1,ROW(OFFSET(nombres[],ROWS(nombres[])-1,0,1,1))+1),$O1555:$O1574),3),"")</f>
        <v/>
      </c>
      <c r="QB1555" s="42" t="str">
        <f t="array" aca="1" ref="QB1555" ca="1">IFERROR(INDEX(nombres[],SMALL(IF(OFFSET(nombres[],0,0,ROWS(nombres[]),1)=QB$1490,ROW(OFFSET(nombres[],0,0,ROWS(nombres[]),1))-ROW(OFFSET(nombres[],0,0,1,1))+1,ROW(OFFSET(nombres[],ROWS(nombres[])-1,0,1,1))+1),$O1555:$O1574),3),"")</f>
        <v/>
      </c>
      <c r="QC1555" s="42" t="str">
        <f t="array" aca="1" ref="QC1555" ca="1">IFERROR(INDEX(nombres[],SMALL(IF(OFFSET(nombres[],0,0,ROWS(nombres[]),1)=QC$1490,ROW(OFFSET(nombres[],0,0,ROWS(nombres[]),1))-ROW(OFFSET(nombres[],0,0,1,1))+1,ROW(OFFSET(nombres[],ROWS(nombres[])-1,0,1,1))+1),$O1555:$O1574),3),"")</f>
        <v/>
      </c>
      <c r="QD1555" s="42" t="str">
        <f t="array" aca="1" ref="QD1555" ca="1">IFERROR(INDEX(nombres[],SMALL(IF(OFFSET(nombres[],0,0,ROWS(nombres[]),1)=QD$1490,ROW(OFFSET(nombres[],0,0,ROWS(nombres[]),1))-ROW(OFFSET(nombres[],0,0,1,1))+1,ROW(OFFSET(nombres[],ROWS(nombres[])-1,0,1,1))+1),$O1555:$O1574),3),"")</f>
        <v/>
      </c>
      <c r="QE1555" s="42" t="str">
        <f t="array" aca="1" ref="QE1555" ca="1">IFERROR(INDEX(nombres[],SMALL(IF(OFFSET(nombres[],0,0,ROWS(nombres[]),1)=QE$1490,ROW(OFFSET(nombres[],0,0,ROWS(nombres[]),1))-ROW(OFFSET(nombres[],0,0,1,1))+1,ROW(OFFSET(nombres[],ROWS(nombres[])-1,0,1,1))+1),$O1555:$O1574),3),"")</f>
        <v/>
      </c>
      <c r="QF1555" s="42" t="str">
        <f t="array" aca="1" ref="QF1555" ca="1">IFERROR(INDEX(nombres[],SMALL(IF(OFFSET(nombres[],0,0,ROWS(nombres[]),1)=QF$1490,ROW(OFFSET(nombres[],0,0,ROWS(nombres[]),1))-ROW(OFFSET(nombres[],0,0,1,1))+1,ROW(OFFSET(nombres[],ROWS(nombres[])-1,0,1,1))+1),$O1555:$O1574),3),"")</f>
        <v/>
      </c>
      <c r="QG1555" s="42" t="str">
        <f t="array" aca="1" ref="QG1555" ca="1">IFERROR(INDEX(nombres[],SMALL(IF(OFFSET(nombres[],0,0,ROWS(nombres[]),1)=QG$1490,ROW(OFFSET(nombres[],0,0,ROWS(nombres[]),1))-ROW(OFFSET(nombres[],0,0,1,1))+1,ROW(OFFSET(nombres[],ROWS(nombres[])-1,0,1,1))+1),$O1555:$O1574),3),"")</f>
        <v/>
      </c>
      <c r="QH1555" s="42" t="str">
        <f t="array" aca="1" ref="QH1555" ca="1">IFERROR(INDEX(nombres[],SMALL(IF(OFFSET(nombres[],0,0,ROWS(nombres[]),1)=QH$1490,ROW(OFFSET(nombres[],0,0,ROWS(nombres[]),1))-ROW(OFFSET(nombres[],0,0,1,1))+1,ROW(OFFSET(nombres[],ROWS(nombres[])-1,0,1,1))+1),$O1555:$O1574),3),"")</f>
        <v/>
      </c>
      <c r="QI1555" s="42" t="str">
        <f t="array" aca="1" ref="QI1555" ca="1">IFERROR(INDEX(nombres[],SMALL(IF(OFFSET(nombres[],0,0,ROWS(nombres[]),1)=QI$1490,ROW(OFFSET(nombres[],0,0,ROWS(nombres[]),1))-ROW(OFFSET(nombres[],0,0,1,1))+1,ROW(OFFSET(nombres[],ROWS(nombres[])-1,0,1,1))+1),$O1555:$O1574),3),"")</f>
        <v/>
      </c>
      <c r="QJ1555" s="42" t="str">
        <f t="array" aca="1" ref="QJ1555" ca="1">IFERROR(INDEX(nombres[],SMALL(IF(OFFSET(nombres[],0,0,ROWS(nombres[]),1)=QJ$1490,ROW(OFFSET(nombres[],0,0,ROWS(nombres[]),1))-ROW(OFFSET(nombres[],0,0,1,1))+1,ROW(OFFSET(nombres[],ROWS(nombres[])-1,0,1,1))+1),$O1555:$O1574),3),"")</f>
        <v/>
      </c>
      <c r="QK1555" s="42" t="str">
        <f t="array" aca="1" ref="QK1555" ca="1">IFERROR(INDEX(nombres[],SMALL(IF(OFFSET(nombres[],0,0,ROWS(nombres[]),1)=QK$1490,ROW(OFFSET(nombres[],0,0,ROWS(nombres[]),1))-ROW(OFFSET(nombres[],0,0,1,1))+1,ROW(OFFSET(nombres[],ROWS(nombres[])-1,0,1,1))+1),$O1555:$O1574),3),"")</f>
        <v/>
      </c>
      <c r="QL1555" s="42" t="str">
        <f t="array" aca="1" ref="QL1555" ca="1">IFERROR(INDEX(nombres[],SMALL(IF(OFFSET(nombres[],0,0,ROWS(nombres[]),1)=QL$1490,ROW(OFFSET(nombres[],0,0,ROWS(nombres[]),1))-ROW(OFFSET(nombres[],0,0,1,1))+1,ROW(OFFSET(nombres[],ROWS(nombres[])-1,0,1,1))+1),$O1555:$O1574),3),"")</f>
        <v/>
      </c>
      <c r="QM1555" s="42" t="str">
        <f t="array" aca="1" ref="QM1555" ca="1">IFERROR(INDEX(nombres[],SMALL(IF(OFFSET(nombres[],0,0,ROWS(nombres[]),1)=QM$1490,ROW(OFFSET(nombres[],0,0,ROWS(nombres[]),1))-ROW(OFFSET(nombres[],0,0,1,1))+1,ROW(OFFSET(nombres[],ROWS(nombres[])-1,0,1,1))+1),$O1555:$O1574),3),"")</f>
        <v/>
      </c>
      <c r="QN1555" s="42" t="str">
        <f t="array" aca="1" ref="QN1555" ca="1">IFERROR(INDEX(nombres[],SMALL(IF(OFFSET(nombres[],0,0,ROWS(nombres[]),1)=QN$1490,ROW(OFFSET(nombres[],0,0,ROWS(nombres[]),1))-ROW(OFFSET(nombres[],0,0,1,1))+1,ROW(OFFSET(nombres[],ROWS(nombres[])-1,0,1,1))+1),$O1555:$O1574),3),"")</f>
        <v/>
      </c>
      <c r="QO1555" s="42" t="str">
        <f t="array" aca="1" ref="QO1555" ca="1">IFERROR(INDEX(nombres[],SMALL(IF(OFFSET(nombres[],0,0,ROWS(nombres[]),1)=QO$1490,ROW(OFFSET(nombres[],0,0,ROWS(nombres[]),1))-ROW(OFFSET(nombres[],0,0,1,1))+1,ROW(OFFSET(nombres[],ROWS(nombres[])-1,0,1,1))+1),$O1555:$O1574),3),"")</f>
        <v/>
      </c>
      <c r="QP1555" s="42" t="str">
        <f t="array" aca="1" ref="QP1555" ca="1">IFERROR(INDEX(nombres[],SMALL(IF(OFFSET(nombres[],0,0,ROWS(nombres[]),1)=QP$1490,ROW(OFFSET(nombres[],0,0,ROWS(nombres[]),1))-ROW(OFFSET(nombres[],0,0,1,1))+1,ROW(OFFSET(nombres[],ROWS(nombres[])-1,0,1,1))+1),$O1555:$O1574),3),"")</f>
        <v/>
      </c>
      <c r="QQ1555" s="42" t="str">
        <f t="array" aca="1" ref="QQ1555" ca="1">IFERROR(INDEX(nombres[],SMALL(IF(OFFSET(nombres[],0,0,ROWS(nombres[]),1)=QQ$1490,ROW(OFFSET(nombres[],0,0,ROWS(nombres[]),1))-ROW(OFFSET(nombres[],0,0,1,1))+1,ROW(OFFSET(nombres[],ROWS(nombres[])-1,0,1,1))+1),$O1555:$O1574),3),"")</f>
        <v/>
      </c>
      <c r="QR1555" s="42" t="str">
        <f t="array" aca="1" ref="QR1555" ca="1">IFERROR(INDEX(nombres[],SMALL(IF(OFFSET(nombres[],0,0,ROWS(nombres[]),1)=QR$1490,ROW(OFFSET(nombres[],0,0,ROWS(nombres[]),1))-ROW(OFFSET(nombres[],0,0,1,1))+1,ROW(OFFSET(nombres[],ROWS(nombres[])-1,0,1,1))+1),$O1555:$O1574),3),"")</f>
        <v/>
      </c>
      <c r="QS1555" s="42" t="str">
        <f t="array" aca="1" ref="QS1555" ca="1">IFERROR(INDEX(nombres[],SMALL(IF(OFFSET(nombres[],0,0,ROWS(nombres[]),1)=QS$1490,ROW(OFFSET(nombres[],0,0,ROWS(nombres[]),1))-ROW(OFFSET(nombres[],0,0,1,1))+1,ROW(OFFSET(nombres[],ROWS(nombres[])-1,0,1,1))+1),$O1555:$O1574),3),"")</f>
        <v/>
      </c>
      <c r="QT1555" s="42" t="str">
        <f t="array" aca="1" ref="QT1555" ca="1">IFERROR(INDEX(nombres[],SMALL(IF(OFFSET(nombres[],0,0,ROWS(nombres[]),1)=QT$1490,ROW(OFFSET(nombres[],0,0,ROWS(nombres[]),1))-ROW(OFFSET(nombres[],0,0,1,1))+1,ROW(OFFSET(nombres[],ROWS(nombres[])-1,0,1,1))+1),$O1555:$O1574),3),"")</f>
        <v/>
      </c>
      <c r="QU1555" s="42" t="str">
        <f t="array" aca="1" ref="QU1555" ca="1">IFERROR(INDEX(nombres[],SMALL(IF(OFFSET(nombres[],0,0,ROWS(nombres[]),1)=QU$1490,ROW(OFFSET(nombres[],0,0,ROWS(nombres[]),1))-ROW(OFFSET(nombres[],0,0,1,1))+1,ROW(OFFSET(nombres[],ROWS(nombres[])-1,0,1,1))+1),$O1555:$O1574),3),"")</f>
        <v/>
      </c>
      <c r="QV1555" s="42" t="str">
        <f t="array" aca="1" ref="QV1555" ca="1">IFERROR(INDEX(nombres[],SMALL(IF(OFFSET(nombres[],0,0,ROWS(nombres[]),1)=QV$1490,ROW(OFFSET(nombres[],0,0,ROWS(nombres[]),1))-ROW(OFFSET(nombres[],0,0,1,1))+1,ROW(OFFSET(nombres[],ROWS(nombres[])-1,0,1,1))+1),$O1555:$O1574),3),"")</f>
        <v/>
      </c>
      <c r="QW1555" s="42" t="str">
        <f t="array" aca="1" ref="QW1555" ca="1">IFERROR(INDEX(nombres[],SMALL(IF(OFFSET(nombres[],0,0,ROWS(nombres[]),1)=QW$1490,ROW(OFFSET(nombres[],0,0,ROWS(nombres[]),1))-ROW(OFFSET(nombres[],0,0,1,1))+1,ROW(OFFSET(nombres[],ROWS(nombres[])-1,0,1,1))+1),$O1555:$O1574),3),"")</f>
        <v/>
      </c>
      <c r="QX1555" s="42" t="str">
        <f t="array" aca="1" ref="QX1555" ca="1">IFERROR(INDEX(nombres[],SMALL(IF(OFFSET(nombres[],0,0,ROWS(nombres[]),1)=QX$1490,ROW(OFFSET(nombres[],0,0,ROWS(nombres[]),1))-ROW(OFFSET(nombres[],0,0,1,1))+1,ROW(OFFSET(nombres[],ROWS(nombres[])-1,0,1,1))+1),$O1555:$O1574),3),"")</f>
        <v/>
      </c>
      <c r="QY1555" s="42" t="str">
        <f t="array" aca="1" ref="QY1555" ca="1">IFERROR(INDEX(nombres[],SMALL(IF(OFFSET(nombres[],0,0,ROWS(nombres[]),1)=QY$1490,ROW(OFFSET(nombres[],0,0,ROWS(nombres[]),1))-ROW(OFFSET(nombres[],0,0,1,1))+1,ROW(OFFSET(nombres[],ROWS(nombres[])-1,0,1,1))+1),$O1555:$O1574),3),"")</f>
        <v/>
      </c>
      <c r="QZ1555" s="42" t="str">
        <f t="array" aca="1" ref="QZ1555" ca="1">IFERROR(INDEX(nombres[],SMALL(IF(OFFSET(nombres[],0,0,ROWS(nombres[]),1)=QZ$1490,ROW(OFFSET(nombres[],0,0,ROWS(nombres[]),1))-ROW(OFFSET(nombres[],0,0,1,1))+1,ROW(OFFSET(nombres[],ROWS(nombres[])-1,0,1,1))+1),$O1555:$O1574),3),"")</f>
        <v/>
      </c>
      <c r="RA1555" s="42" t="str">
        <f t="array" aca="1" ref="RA1555" ca="1">IFERROR(INDEX(nombres[],SMALL(IF(OFFSET(nombres[],0,0,ROWS(nombres[]),1)=RA$1490,ROW(OFFSET(nombres[],0,0,ROWS(nombres[]),1))-ROW(OFFSET(nombres[],0,0,1,1))+1,ROW(OFFSET(nombres[],ROWS(nombres[])-1,0,1,1))+1),$O1555:$O1574),3),"")</f>
        <v/>
      </c>
      <c r="RB1555" s="42" t="str">
        <f t="array" aca="1" ref="RB1555" ca="1">IFERROR(INDEX(nombres[],SMALL(IF(OFFSET(nombres[],0,0,ROWS(nombres[]),1)=RB$1490,ROW(OFFSET(nombres[],0,0,ROWS(nombres[]),1))-ROW(OFFSET(nombres[],0,0,1,1))+1,ROW(OFFSET(nombres[],ROWS(nombres[])-1,0,1,1))+1),$O1555:$O1574),3),"")</f>
        <v/>
      </c>
      <c r="RC1555" s="42" t="str">
        <f t="array" aca="1" ref="RC1555" ca="1">IFERROR(INDEX(nombres[],SMALL(IF(OFFSET(nombres[],0,0,ROWS(nombres[]),1)=RC$1490,ROW(OFFSET(nombres[],0,0,ROWS(nombres[]),1))-ROW(OFFSET(nombres[],0,0,1,1))+1,ROW(OFFSET(nombres[],ROWS(nombres[])-1,0,1,1))+1),$O1555:$O1574),3),"")</f>
        <v/>
      </c>
      <c r="RD1555" s="42" t="str">
        <f t="array" aca="1" ref="RD1555" ca="1">IFERROR(INDEX(nombres[],SMALL(IF(OFFSET(nombres[],0,0,ROWS(nombres[]),1)=RD$1490,ROW(OFFSET(nombres[],0,0,ROWS(nombres[]),1))-ROW(OFFSET(nombres[],0,0,1,1))+1,ROW(OFFSET(nombres[],ROWS(nombres[])-1,0,1,1))+1),$O1555:$O1574),3),"")</f>
        <v/>
      </c>
      <c r="RE1555" s="42" t="str">
        <f t="array" aca="1" ref="RE1555" ca="1">IFERROR(INDEX(nombres[],SMALL(IF(OFFSET(nombres[],0,0,ROWS(nombres[]),1)=RE$1490,ROW(OFFSET(nombres[],0,0,ROWS(nombres[]),1))-ROW(OFFSET(nombres[],0,0,1,1))+1,ROW(OFFSET(nombres[],ROWS(nombres[])-1,0,1,1))+1),$O1555:$O1574),3),"")</f>
        <v/>
      </c>
      <c r="RF1555" s="42" t="str">
        <f t="array" aca="1" ref="RF1555" ca="1">IFERROR(INDEX(nombres[],SMALL(IF(OFFSET(nombres[],0,0,ROWS(nombres[]),1)=RF$1490,ROW(OFFSET(nombres[],0,0,ROWS(nombres[]),1))-ROW(OFFSET(nombres[],0,0,1,1))+1,ROW(OFFSET(nombres[],ROWS(nombres[])-1,0,1,1))+1),$O1555:$O1574),3),"")</f>
        <v/>
      </c>
      <c r="RG1555" s="42" t="str">
        <f t="array" aca="1" ref="RG1555" ca="1">IFERROR(INDEX(nombres[],SMALL(IF(OFFSET(nombres[],0,0,ROWS(nombres[]),1)=RG$1490,ROW(OFFSET(nombres[],0,0,ROWS(nombres[]),1))-ROW(OFFSET(nombres[],0,0,1,1))+1,ROW(OFFSET(nombres[],ROWS(nombres[])-1,0,1,1))+1),$O1555:$O1574),3),"")</f>
        <v/>
      </c>
      <c r="RH1555" s="42" t="str">
        <f t="array" aca="1" ref="RH1555" ca="1">IFERROR(INDEX(nombres[],SMALL(IF(OFFSET(nombres[],0,0,ROWS(nombres[]),1)=RH$1490,ROW(OFFSET(nombres[],0,0,ROWS(nombres[]),1))-ROW(OFFSET(nombres[],0,0,1,1))+1,ROW(OFFSET(nombres[],ROWS(nombres[])-1,0,1,1))+1),$O1555:$O1574),3),"")</f>
        <v/>
      </c>
      <c r="RI1555" s="42" t="str">
        <f t="array" aca="1" ref="RI1555" ca="1">IFERROR(INDEX(nombres[],SMALL(IF(OFFSET(nombres[],0,0,ROWS(nombres[]),1)=RI$1490,ROW(OFFSET(nombres[],0,0,ROWS(nombres[]),1))-ROW(OFFSET(nombres[],0,0,1,1))+1,ROW(OFFSET(nombres[],ROWS(nombres[])-1,0,1,1))+1),$O1555:$O1574),3),"")</f>
        <v/>
      </c>
      <c r="RJ1555" s="42" t="str">
        <f t="array" aca="1" ref="RJ1555" ca="1">IFERROR(INDEX(nombres[],SMALL(IF(OFFSET(nombres[],0,0,ROWS(nombres[]),1)=RJ$1490,ROW(OFFSET(nombres[],0,0,ROWS(nombres[]),1))-ROW(OFFSET(nombres[],0,0,1,1))+1,ROW(OFFSET(nombres[],ROWS(nombres[])-1,0,1,1))+1),$O1555:$O1574),3),"")</f>
        <v/>
      </c>
      <c r="RK1555" s="42" t="str">
        <f t="array" aca="1" ref="RK1555" ca="1">IFERROR(INDEX(nombres[],SMALL(IF(OFFSET(nombres[],0,0,ROWS(nombres[]),1)=RK$1490,ROW(OFFSET(nombres[],0,0,ROWS(nombres[]),1))-ROW(OFFSET(nombres[],0,0,1,1))+1,ROW(OFFSET(nombres[],ROWS(nombres[])-1,0,1,1))+1),$O1555:$O1574),3),"")</f>
        <v/>
      </c>
      <c r="RL1555" s="42" t="str">
        <f t="array" aca="1" ref="RL1555" ca="1">IFERROR(INDEX(nombres[],SMALL(IF(OFFSET(nombres[],0,0,ROWS(nombres[]),1)=RL$1490,ROW(OFFSET(nombres[],0,0,ROWS(nombres[]),1))-ROW(OFFSET(nombres[],0,0,1,1))+1,ROW(OFFSET(nombres[],ROWS(nombres[])-1,0,1,1))+1),$O1555:$O1574),3),"")</f>
        <v/>
      </c>
      <c r="RM1555" s="42" t="str">
        <f t="array" aca="1" ref="RM1555" ca="1">IFERROR(INDEX(nombres[],SMALL(IF(OFFSET(nombres[],0,0,ROWS(nombres[]),1)=RM$1490,ROW(OFFSET(nombres[],0,0,ROWS(nombres[]),1))-ROW(OFFSET(nombres[],0,0,1,1))+1,ROW(OFFSET(nombres[],ROWS(nombres[])-1,0,1,1))+1),$O1555:$O1574),3),"")</f>
        <v/>
      </c>
      <c r="RN1555" s="42" t="str">
        <f t="array" aca="1" ref="RN1555" ca="1">IFERROR(INDEX(nombres[],SMALL(IF(OFFSET(nombres[],0,0,ROWS(nombres[]),1)=RN$1490,ROW(OFFSET(nombres[],0,0,ROWS(nombres[]),1))-ROW(OFFSET(nombres[],0,0,1,1))+1,ROW(OFFSET(nombres[],ROWS(nombres[])-1,0,1,1))+1),$O1555:$O1574),3),"")</f>
        <v/>
      </c>
      <c r="RO1555" s="42" t="str">
        <f t="array" aca="1" ref="RO1555" ca="1">IFERROR(INDEX(nombres[],SMALL(IF(OFFSET(nombres[],0,0,ROWS(nombres[]),1)=RO$1490,ROW(OFFSET(nombres[],0,0,ROWS(nombres[]),1))-ROW(OFFSET(nombres[],0,0,1,1))+1,ROW(OFFSET(nombres[],ROWS(nombres[])-1,0,1,1))+1),$O1555:$O1574),3),"")</f>
        <v/>
      </c>
      <c r="RP1555" s="42" t="str">
        <f t="array" aca="1" ref="RP1555" ca="1">IFERROR(INDEX(nombres[],SMALL(IF(OFFSET(nombres[],0,0,ROWS(nombres[]),1)=RP$1490,ROW(OFFSET(nombres[],0,0,ROWS(nombres[]),1))-ROW(OFFSET(nombres[],0,0,1,1))+1,ROW(OFFSET(nombres[],ROWS(nombres[])-1,0,1,1))+1),$O1555:$O1574),3),"")</f>
        <v/>
      </c>
      <c r="RQ1555" s="42" t="str">
        <f t="array" aca="1" ref="RQ1555" ca="1">IFERROR(INDEX(nombres[],SMALL(IF(OFFSET(nombres[],0,0,ROWS(nombres[]),1)=RQ$1490,ROW(OFFSET(nombres[],0,0,ROWS(nombres[]),1))-ROW(OFFSET(nombres[],0,0,1,1))+1,ROW(OFFSET(nombres[],ROWS(nombres[])-1,0,1,1))+1),$O1555:$O1574),3),"")</f>
        <v/>
      </c>
      <c r="RR1555" s="42" t="str">
        <f t="array" aca="1" ref="RR1555" ca="1">IFERROR(INDEX(nombres[],SMALL(IF(OFFSET(nombres[],0,0,ROWS(nombres[]),1)=RR$1490,ROW(OFFSET(nombres[],0,0,ROWS(nombres[]),1))-ROW(OFFSET(nombres[],0,0,1,1))+1,ROW(OFFSET(nombres[],ROWS(nombres[])-1,0,1,1))+1),$O1555:$O1574),3),"")</f>
        <v/>
      </c>
      <c r="RS1555" s="42" t="str">
        <f t="array" aca="1" ref="RS1555" ca="1">IFERROR(INDEX(nombres[],SMALL(IF(OFFSET(nombres[],0,0,ROWS(nombres[]),1)=RS$1490,ROW(OFFSET(nombres[],0,0,ROWS(nombres[]),1))-ROW(OFFSET(nombres[],0,0,1,1))+1,ROW(OFFSET(nombres[],ROWS(nombres[])-1,0,1,1))+1),$O1555:$O1574),3),"")</f>
        <v/>
      </c>
      <c r="RT1555" s="42" t="str">
        <f t="array" aca="1" ref="RT1555" ca="1">IFERROR(INDEX(nombres[],SMALL(IF(OFFSET(nombres[],0,0,ROWS(nombres[]),1)=RT$1490,ROW(OFFSET(nombres[],0,0,ROWS(nombres[]),1))-ROW(OFFSET(nombres[],0,0,1,1))+1,ROW(OFFSET(nombres[],ROWS(nombres[])-1,0,1,1))+1),$O1555:$O1574),3),"")</f>
        <v/>
      </c>
      <c r="RU1555" s="42" t="str">
        <f t="array" aca="1" ref="RU1555" ca="1">IFERROR(INDEX(nombres[],SMALL(IF(OFFSET(nombres[],0,0,ROWS(nombres[]),1)=RU$1490,ROW(OFFSET(nombres[],0,0,ROWS(nombres[]),1))-ROW(OFFSET(nombres[],0,0,1,1))+1,ROW(OFFSET(nombres[],ROWS(nombres[])-1,0,1,1))+1),$O1555:$O1574),3),"")</f>
        <v/>
      </c>
      <c r="RV1555" s="42" t="str">
        <f t="array" aca="1" ref="RV1555" ca="1">IFERROR(INDEX(nombres[],SMALL(IF(OFFSET(nombres[],0,0,ROWS(nombres[]),1)=RV$1490,ROW(OFFSET(nombres[],0,0,ROWS(nombres[]),1))-ROW(OFFSET(nombres[],0,0,1,1))+1,ROW(OFFSET(nombres[],ROWS(nombres[])-1,0,1,1))+1),$O1555:$O1574),3),"")</f>
        <v/>
      </c>
      <c r="RW1555" s="42" t="str">
        <f t="array" aca="1" ref="RW1555" ca="1">IFERROR(INDEX(nombres[],SMALL(IF(OFFSET(nombres[],0,0,ROWS(nombres[]),1)=RW$1490,ROW(OFFSET(nombres[],0,0,ROWS(nombres[]),1))-ROW(OFFSET(nombres[],0,0,1,1))+1,ROW(OFFSET(nombres[],ROWS(nombres[])-1,0,1,1))+1),$O1555:$O1574),3),"")</f>
        <v/>
      </c>
      <c r="RX1555" s="42" t="str">
        <f t="array" aca="1" ref="RX1555" ca="1">IFERROR(INDEX(nombres[],SMALL(IF(OFFSET(nombres[],0,0,ROWS(nombres[]),1)=RX$1490,ROW(OFFSET(nombres[],0,0,ROWS(nombres[]),1))-ROW(OFFSET(nombres[],0,0,1,1))+1,ROW(OFFSET(nombres[],ROWS(nombres[])-1,0,1,1))+1),$O1555:$O1574),3),"")</f>
        <v/>
      </c>
      <c r="RY1555" s="42" t="str">
        <f t="array" aca="1" ref="RY1555" ca="1">IFERROR(INDEX(nombres[],SMALL(IF(OFFSET(nombres[],0,0,ROWS(nombres[]),1)=RY$1490,ROW(OFFSET(nombres[],0,0,ROWS(nombres[]),1))-ROW(OFFSET(nombres[],0,0,1,1))+1,ROW(OFFSET(nombres[],ROWS(nombres[])-1,0,1,1))+1),$O1555:$O1574),3),"")</f>
        <v/>
      </c>
      <c r="RZ1555" s="42" t="str">
        <f t="array" aca="1" ref="RZ1555" ca="1">IFERROR(INDEX(nombres[],SMALL(IF(OFFSET(nombres[],0,0,ROWS(nombres[]),1)=RZ$1490,ROW(OFFSET(nombres[],0,0,ROWS(nombres[]),1))-ROW(OFFSET(nombres[],0,0,1,1))+1,ROW(OFFSET(nombres[],ROWS(nombres[])-1,0,1,1))+1),$O1555:$O1574),3),"")</f>
        <v/>
      </c>
      <c r="SA1555" s="42" t="str">
        <f t="array" aca="1" ref="SA1555" ca="1">IFERROR(INDEX(nombres[],SMALL(IF(OFFSET(nombres[],0,0,ROWS(nombres[]),1)=SA$1490,ROW(OFFSET(nombres[],0,0,ROWS(nombres[]),1))-ROW(OFFSET(nombres[],0,0,1,1))+1,ROW(OFFSET(nombres[],ROWS(nombres[])-1,0,1,1))+1),$O1555:$O1574),3),"")</f>
        <v/>
      </c>
      <c r="SB1555" s="42" t="str">
        <f t="array" aca="1" ref="SB1555" ca="1">IFERROR(INDEX(nombres[],SMALL(IF(OFFSET(nombres[],0,0,ROWS(nombres[]),1)=SB$1490,ROW(OFFSET(nombres[],0,0,ROWS(nombres[]),1))-ROW(OFFSET(nombres[],0,0,1,1))+1,ROW(OFFSET(nombres[],ROWS(nombres[])-1,0,1,1))+1),$O1555:$O1574),3),"")</f>
        <v/>
      </c>
      <c r="SC1555" s="42" t="str">
        <f t="array" aca="1" ref="SC1555" ca="1">IFERROR(INDEX(nombres[],SMALL(IF(OFFSET(nombres[],0,0,ROWS(nombres[]),1)=SC$1490,ROW(OFFSET(nombres[],0,0,ROWS(nombres[]),1))-ROW(OFFSET(nombres[],0,0,1,1))+1,ROW(OFFSET(nombres[],ROWS(nombres[])-1,0,1,1))+1),$O1555:$O1574),3),"")</f>
        <v/>
      </c>
      <c r="SD1555" s="42" t="str">
        <f t="array" aca="1" ref="SD1555" ca="1">IFERROR(INDEX(nombres[],SMALL(IF(OFFSET(nombres[],0,0,ROWS(nombres[]),1)=SD$1490,ROW(OFFSET(nombres[],0,0,ROWS(nombres[]),1))-ROW(OFFSET(nombres[],0,0,1,1))+1,ROW(OFFSET(nombres[],ROWS(nombres[])-1,0,1,1))+1),$O1555:$O1574),3),"")</f>
        <v/>
      </c>
      <c r="SE1555" s="42" t="str">
        <f t="array" aca="1" ref="SE1555" ca="1">IFERROR(INDEX(nombres[],SMALL(IF(OFFSET(nombres[],0,0,ROWS(nombres[]),1)=SE$1490,ROW(OFFSET(nombres[],0,0,ROWS(nombres[]),1))-ROW(OFFSET(nombres[],0,0,1,1))+1,ROW(OFFSET(nombres[],ROWS(nombres[])-1,0,1,1))+1),$O1555:$O1574),3),"")</f>
        <v/>
      </c>
      <c r="SF1555" s="42" t="str">
        <f t="array" aca="1" ref="SF1555" ca="1">IFERROR(INDEX(nombres[],SMALL(IF(OFFSET(nombres[],0,0,ROWS(nombres[]),1)=SF$1490,ROW(OFFSET(nombres[],0,0,ROWS(nombres[]),1))-ROW(OFFSET(nombres[],0,0,1,1))+1,ROW(OFFSET(nombres[],ROWS(nombres[])-1,0,1,1))+1),$O1555:$O1574),3),"")</f>
        <v/>
      </c>
      <c r="SG1555" s="42" t="str">
        <f t="array" aca="1" ref="SG1555" ca="1">IFERROR(INDEX(nombres[],SMALL(IF(OFFSET(nombres[],0,0,ROWS(nombres[]),1)=SG$1490,ROW(OFFSET(nombres[],0,0,ROWS(nombres[]),1))-ROW(OFFSET(nombres[],0,0,1,1))+1,ROW(OFFSET(nombres[],ROWS(nombres[])-1,0,1,1))+1),$O1555:$O1574),3),"")</f>
        <v/>
      </c>
      <c r="SH1555" s="42" t="str">
        <f t="array" aca="1" ref="SH1555" ca="1">IFERROR(INDEX(nombres[],SMALL(IF(OFFSET(nombres[],0,0,ROWS(nombres[]),1)=SH$1490,ROW(OFFSET(nombres[],0,0,ROWS(nombres[]),1))-ROW(OFFSET(nombres[],0,0,1,1))+1,ROW(OFFSET(nombres[],ROWS(nombres[])-1,0,1,1))+1),$O1555:$O1574),3),"")</f>
        <v/>
      </c>
      <c r="SI1555" s="42" t="str">
        <f t="array" aca="1" ref="SI1555" ca="1">IFERROR(INDEX(nombres[],SMALL(IF(OFFSET(nombres[],0,0,ROWS(nombres[]),1)=SI$1490,ROW(OFFSET(nombres[],0,0,ROWS(nombres[]),1))-ROW(OFFSET(nombres[],0,0,1,1))+1,ROW(OFFSET(nombres[],ROWS(nombres[])-1,0,1,1))+1),$O1555:$O1574),3),"")</f>
        <v/>
      </c>
      <c r="SJ1555" s="42" t="str">
        <f t="array" aca="1" ref="SJ1555" ca="1">IFERROR(INDEX(nombres[],SMALL(IF(OFFSET(nombres[],0,0,ROWS(nombres[]),1)=SJ$1490,ROW(OFFSET(nombres[],0,0,ROWS(nombres[]),1))-ROW(OFFSET(nombres[],0,0,1,1))+1,ROW(OFFSET(nombres[],ROWS(nombres[])-1,0,1,1))+1),$O1555:$O1574),3),"")</f>
        <v/>
      </c>
      <c r="SK1555" s="42" t="str">
        <f t="array" aca="1" ref="SK1555" ca="1">IFERROR(INDEX(nombres[],SMALL(IF(OFFSET(nombres[],0,0,ROWS(nombres[]),1)=SK$1490,ROW(OFFSET(nombres[],0,0,ROWS(nombres[]),1))-ROW(OFFSET(nombres[],0,0,1,1))+1,ROW(OFFSET(nombres[],ROWS(nombres[])-1,0,1,1))+1),$O1555:$O1574),3),"")</f>
        <v/>
      </c>
      <c r="SL1555" s="42" t="str">
        <f t="array" aca="1" ref="SL1555" ca="1">IFERROR(INDEX(nombres[],SMALL(IF(OFFSET(nombres[],0,0,ROWS(nombres[]),1)=SL$1490,ROW(OFFSET(nombres[],0,0,ROWS(nombres[]),1))-ROW(OFFSET(nombres[],0,0,1,1))+1,ROW(OFFSET(nombres[],ROWS(nombres[])-1,0,1,1))+1),$O1555:$O1574),3),"")</f>
        <v/>
      </c>
      <c r="SM1555" s="42" t="str">
        <f t="array" aca="1" ref="SM1555" ca="1">IFERROR(INDEX(nombres[],SMALL(IF(OFFSET(nombres[],0,0,ROWS(nombres[]),1)=SM$1490,ROW(OFFSET(nombres[],0,0,ROWS(nombres[]),1))-ROW(OFFSET(nombres[],0,0,1,1))+1,ROW(OFFSET(nombres[],ROWS(nombres[])-1,0,1,1))+1),$O1555:$O1574),3),"")</f>
        <v/>
      </c>
      <c r="SN1555" s="42" t="str">
        <f t="array" aca="1" ref="SN1555" ca="1">IFERROR(INDEX(nombres[],SMALL(IF(OFFSET(nombres[],0,0,ROWS(nombres[]),1)=SN$1490,ROW(OFFSET(nombres[],0,0,ROWS(nombres[]),1))-ROW(OFFSET(nombres[],0,0,1,1))+1,ROW(OFFSET(nombres[],ROWS(nombres[])-1,0,1,1))+1),$O1555:$O1574),3),"")</f>
        <v/>
      </c>
      <c r="SO1555" s="42" t="str">
        <f t="array" aca="1" ref="SO1555" ca="1">IFERROR(INDEX(nombres[],SMALL(IF(OFFSET(nombres[],0,0,ROWS(nombres[]),1)=SO$1490,ROW(OFFSET(nombres[],0,0,ROWS(nombres[]),1))-ROW(OFFSET(nombres[],0,0,1,1))+1,ROW(OFFSET(nombres[],ROWS(nombres[])-1,0,1,1))+1),$O1555:$O1574),3),"")</f>
        <v/>
      </c>
      <c r="SP1555" s="42" t="str">
        <f t="array" aca="1" ref="SP1555" ca="1">IFERROR(INDEX(nombres[],SMALL(IF(OFFSET(nombres[],0,0,ROWS(nombres[]),1)=SP$1490,ROW(OFFSET(nombres[],0,0,ROWS(nombres[]),1))-ROW(OFFSET(nombres[],0,0,1,1))+1,ROW(OFFSET(nombres[],ROWS(nombres[])-1,0,1,1))+1),$O1555:$O1574),3),"")</f>
        <v/>
      </c>
      <c r="SQ1555" s="42" t="str">
        <f t="array" aca="1" ref="SQ1555" ca="1">IFERROR(INDEX(nombres[],SMALL(IF(OFFSET(nombres[],0,0,ROWS(nombres[]),1)=SQ$1490,ROW(OFFSET(nombres[],0,0,ROWS(nombres[]),1))-ROW(OFFSET(nombres[],0,0,1,1))+1,ROW(OFFSET(nombres[],ROWS(nombres[])-1,0,1,1))+1),$O1555:$O1574),3),"")</f>
        <v/>
      </c>
      <c r="SR1555" s="42" t="str">
        <f t="array" aca="1" ref="SR1555" ca="1">IFERROR(INDEX(nombres[],SMALL(IF(OFFSET(nombres[],0,0,ROWS(nombres[]),1)=SR$1490,ROW(OFFSET(nombres[],0,0,ROWS(nombres[]),1))-ROW(OFFSET(nombres[],0,0,1,1))+1,ROW(OFFSET(nombres[],ROWS(nombres[])-1,0,1,1))+1),$O1555:$O1574),3),"")</f>
        <v/>
      </c>
      <c r="SS1555" s="42" t="str">
        <f t="array" aca="1" ref="SS1555" ca="1">IFERROR(INDEX(nombres[],SMALL(IF(OFFSET(nombres[],0,0,ROWS(nombres[]),1)=SS$1490,ROW(OFFSET(nombres[],0,0,ROWS(nombres[]),1))-ROW(OFFSET(nombres[],0,0,1,1))+1,ROW(OFFSET(nombres[],ROWS(nombres[])-1,0,1,1))+1),$O1555:$O1574),3),"")</f>
        <v/>
      </c>
      <c r="ST1555" s="42" t="str">
        <f t="array" aca="1" ref="ST1555" ca="1">IFERROR(INDEX(nombres[],SMALL(IF(OFFSET(nombres[],0,0,ROWS(nombres[]),1)=ST$1490,ROW(OFFSET(nombres[],0,0,ROWS(nombres[]),1))-ROW(OFFSET(nombres[],0,0,1,1))+1,ROW(OFFSET(nombres[],ROWS(nombres[])-1,0,1,1))+1),$O1555:$O1574),3),"")</f>
        <v/>
      </c>
      <c r="SU1555" s="42" t="str">
        <f t="array" aca="1" ref="SU1555" ca="1">IFERROR(INDEX(nombres[],SMALL(IF(OFFSET(nombres[],0,0,ROWS(nombres[]),1)=SU$1490,ROW(OFFSET(nombres[],0,0,ROWS(nombres[]),1))-ROW(OFFSET(nombres[],0,0,1,1))+1,ROW(OFFSET(nombres[],ROWS(nombres[])-1,0,1,1))+1),$O1555:$O1574),3),"")</f>
        <v/>
      </c>
      <c r="SV1555" s="42" t="str">
        <f t="array" aca="1" ref="SV1555" ca="1">IFERROR(INDEX(nombres[],SMALL(IF(OFFSET(nombres[],0,0,ROWS(nombres[]),1)=SV$1490,ROW(OFFSET(nombres[],0,0,ROWS(nombres[]),1))-ROW(OFFSET(nombres[],0,0,1,1))+1,ROW(OFFSET(nombres[],ROWS(nombres[])-1,0,1,1))+1),$O1555:$O1574),3),"")</f>
        <v/>
      </c>
      <c r="SW1555" s="42" t="str">
        <f t="array" aca="1" ref="SW1555" ca="1">IFERROR(INDEX(nombres[],SMALL(IF(OFFSET(nombres[],0,0,ROWS(nombres[]),1)=SW$1490,ROW(OFFSET(nombres[],0,0,ROWS(nombres[]),1))-ROW(OFFSET(nombres[],0,0,1,1))+1,ROW(OFFSET(nombres[],ROWS(nombres[])-1,0,1,1))+1),$O1555:$O1574),3),"")</f>
        <v/>
      </c>
      <c r="SX1555" s="42" t="str">
        <f t="array" aca="1" ref="SX1555" ca="1">IFERROR(INDEX(nombres[],SMALL(IF(OFFSET(nombres[],0,0,ROWS(nombres[]),1)=SX$1490,ROW(OFFSET(nombres[],0,0,ROWS(nombres[]),1))-ROW(OFFSET(nombres[],0,0,1,1))+1,ROW(OFFSET(nombres[],ROWS(nombres[])-1,0,1,1))+1),$O1555:$O1574),3),"")</f>
        <v/>
      </c>
      <c r="SY1555" s="42" t="str">
        <f t="array" aca="1" ref="SY1555" ca="1">IFERROR(INDEX(nombres[],SMALL(IF(OFFSET(nombres[],0,0,ROWS(nombres[]),1)=SY$1490,ROW(OFFSET(nombres[],0,0,ROWS(nombres[]),1))-ROW(OFFSET(nombres[],0,0,1,1))+1,ROW(OFFSET(nombres[],ROWS(nombres[])-1,0,1,1))+1),$O1555:$O1574),3),"")</f>
        <v/>
      </c>
      <c r="SZ1555" s="42" t="str">
        <f t="array" aca="1" ref="SZ1555" ca="1">IFERROR(INDEX(nombres[],SMALL(IF(OFFSET(nombres[],0,0,ROWS(nombres[]),1)=SZ$1490,ROW(OFFSET(nombres[],0,0,ROWS(nombres[]),1))-ROW(OFFSET(nombres[],0,0,1,1))+1,ROW(OFFSET(nombres[],ROWS(nombres[])-1,0,1,1))+1),$O1555:$O1574),3),"")</f>
        <v/>
      </c>
      <c r="TA1555" s="42" t="str">
        <f t="array" aca="1" ref="TA1555" ca="1">IFERROR(INDEX(nombres[],SMALL(IF(OFFSET(nombres[],0,0,ROWS(nombres[]),1)=TA$1490,ROW(OFFSET(nombres[],0,0,ROWS(nombres[]),1))-ROW(OFFSET(nombres[],0,0,1,1))+1,ROW(OFFSET(nombres[],ROWS(nombres[])-1,0,1,1))+1),$O1555:$O1574),3),"")</f>
        <v/>
      </c>
      <c r="TB1555" s="42" t="str">
        <f t="array" aca="1" ref="TB1555" ca="1">IFERROR(INDEX(nombres[],SMALL(IF(OFFSET(nombres[],0,0,ROWS(nombres[]),1)=TB$1490,ROW(OFFSET(nombres[],0,0,ROWS(nombres[]),1))-ROW(OFFSET(nombres[],0,0,1,1))+1,ROW(OFFSET(nombres[],ROWS(nombres[])-1,0,1,1))+1),$O1555:$O1574),3),"")</f>
        <v/>
      </c>
      <c r="TC1555" s="42" t="str">
        <f t="array" aca="1" ref="TC1555" ca="1">IFERROR(INDEX(nombres[],SMALL(IF(OFFSET(nombres[],0,0,ROWS(nombres[]),1)=TC$1490,ROW(OFFSET(nombres[],0,0,ROWS(nombres[]),1))-ROW(OFFSET(nombres[],0,0,1,1))+1,ROW(OFFSET(nombres[],ROWS(nombres[])-1,0,1,1))+1),$O1555:$O1574),3),"")</f>
        <v/>
      </c>
      <c r="TD1555" s="42" t="str">
        <f t="array" aca="1" ref="TD1555" ca="1">IFERROR(INDEX(nombres[],SMALL(IF(OFFSET(nombres[],0,0,ROWS(nombres[]),1)=TD$1490,ROW(OFFSET(nombres[],0,0,ROWS(nombres[]),1))-ROW(OFFSET(nombres[],0,0,1,1))+1,ROW(OFFSET(nombres[],ROWS(nombres[])-1,0,1,1))+1),$O1555:$O1574),3),"")</f>
        <v/>
      </c>
      <c r="TE1555" s="42" t="str">
        <f t="array" aca="1" ref="TE1555" ca="1">IFERROR(INDEX(nombres[],SMALL(IF(OFFSET(nombres[],0,0,ROWS(nombres[]),1)=TE$1490,ROW(OFFSET(nombres[],0,0,ROWS(nombres[]),1))-ROW(OFFSET(nombres[],0,0,1,1))+1,ROW(OFFSET(nombres[],ROWS(nombres[])-1,0,1,1))+1),$O1555:$O1574),3),"")</f>
        <v/>
      </c>
      <c r="TF1555" s="42" t="str">
        <f t="array" aca="1" ref="TF1555" ca="1">IFERROR(INDEX(nombres[],SMALL(IF(OFFSET(nombres[],0,0,ROWS(nombres[]),1)=TF$1490,ROW(OFFSET(nombres[],0,0,ROWS(nombres[]),1))-ROW(OFFSET(nombres[],0,0,1,1))+1,ROW(OFFSET(nombres[],ROWS(nombres[])-1,0,1,1))+1),$O1555:$O1574),3),"")</f>
        <v/>
      </c>
      <c r="TG1555" s="42" t="str">
        <f t="array" aca="1" ref="TG1555" ca="1">IFERROR(INDEX(nombres[],SMALL(IF(OFFSET(nombres[],0,0,ROWS(nombres[]),1)=TG$1490,ROW(OFFSET(nombres[],0,0,ROWS(nombres[]),1))-ROW(OFFSET(nombres[],0,0,1,1))+1,ROW(OFFSET(nombres[],ROWS(nombres[])-1,0,1,1))+1),$O1555:$O1574),3),"")</f>
        <v/>
      </c>
      <c r="TH1555" s="42" t="str">
        <f t="array" aca="1" ref="TH1555" ca="1">IFERROR(INDEX(nombres[],SMALL(IF(OFFSET(nombres[],0,0,ROWS(nombres[]),1)=TH$1490,ROW(OFFSET(nombres[],0,0,ROWS(nombres[]),1))-ROW(OFFSET(nombres[],0,0,1,1))+1,ROW(OFFSET(nombres[],ROWS(nombres[])-1,0,1,1))+1),$O1555:$O1574),3),"")</f>
        <v/>
      </c>
      <c r="TI1555" s="42" t="str">
        <f t="array" aca="1" ref="TI1555" ca="1">IFERROR(INDEX(nombres[],SMALL(IF(OFFSET(nombres[],0,0,ROWS(nombres[]),1)=TI$1490,ROW(OFFSET(nombres[],0,0,ROWS(nombres[]),1))-ROW(OFFSET(nombres[],0,0,1,1))+1,ROW(OFFSET(nombres[],ROWS(nombres[])-1,0,1,1))+1),$O1555:$O1574),3),"")</f>
        <v/>
      </c>
      <c r="TJ1555" s="42" t="str">
        <f t="array" aca="1" ref="TJ1555" ca="1">IFERROR(INDEX(nombres[],SMALL(IF(OFFSET(nombres[],0,0,ROWS(nombres[]),1)=TJ$1490,ROW(OFFSET(nombres[],0,0,ROWS(nombres[]),1))-ROW(OFFSET(nombres[],0,0,1,1))+1,ROW(OFFSET(nombres[],ROWS(nombres[])-1,0,1,1))+1),$O1555:$O1574),3),"")</f>
        <v/>
      </c>
      <c r="TK1555" s="42" t="str">
        <f t="array" aca="1" ref="TK1555" ca="1">IFERROR(INDEX(nombres[],SMALL(IF(OFFSET(nombres[],0,0,ROWS(nombres[]),1)=TK$1490,ROW(OFFSET(nombres[],0,0,ROWS(nombres[]),1))-ROW(OFFSET(nombres[],0,0,1,1))+1,ROW(OFFSET(nombres[],ROWS(nombres[])-1,0,1,1))+1),$O1555:$O1574),3),"")</f>
        <v/>
      </c>
      <c r="TL1555" s="42" t="str">
        <f t="array" aca="1" ref="TL1555" ca="1">IFERROR(INDEX(nombres[],SMALL(IF(OFFSET(nombres[],0,0,ROWS(nombres[]),1)=TL$1490,ROW(OFFSET(nombres[],0,0,ROWS(nombres[]),1))-ROW(OFFSET(nombres[],0,0,1,1))+1,ROW(OFFSET(nombres[],ROWS(nombres[])-1,0,1,1))+1),$O1555:$O1574),3),"")</f>
        <v/>
      </c>
      <c r="TM1555" s="42" t="str">
        <f t="array" aca="1" ref="TM1555" ca="1">IFERROR(INDEX(nombres[],SMALL(IF(OFFSET(nombres[],0,0,ROWS(nombres[]),1)=TM$1490,ROW(OFFSET(nombres[],0,0,ROWS(nombres[]),1))-ROW(OFFSET(nombres[],0,0,1,1))+1,ROW(OFFSET(nombres[],ROWS(nombres[])-1,0,1,1))+1),$O1555:$O1574),3),"")</f>
        <v/>
      </c>
      <c r="TN1555" s="42" t="str">
        <f t="array" aca="1" ref="TN1555" ca="1">IFERROR(INDEX(nombres[],SMALL(IF(OFFSET(nombres[],0,0,ROWS(nombres[]),1)=TN$1490,ROW(OFFSET(nombres[],0,0,ROWS(nombres[]),1))-ROW(OFFSET(nombres[],0,0,1,1))+1,ROW(OFFSET(nombres[],ROWS(nombres[])-1,0,1,1))+1),$O1555:$O1574),3),"")</f>
        <v/>
      </c>
      <c r="TO1555" s="42" t="str">
        <f t="array" aca="1" ref="TO1555" ca="1">IFERROR(INDEX(nombres[],SMALL(IF(OFFSET(nombres[],0,0,ROWS(nombres[]),1)=TO$1490,ROW(OFFSET(nombres[],0,0,ROWS(nombres[]),1))-ROW(OFFSET(nombres[],0,0,1,1))+1,ROW(OFFSET(nombres[],ROWS(nombres[])-1,0,1,1))+1),$O1555:$O1574),3),"")</f>
        <v/>
      </c>
      <c r="TP1555" s="42" t="str">
        <f t="array" aca="1" ref="TP1555" ca="1">IFERROR(INDEX(nombres[],SMALL(IF(OFFSET(nombres[],0,0,ROWS(nombres[]),1)=TP$1490,ROW(OFFSET(nombres[],0,0,ROWS(nombres[]),1))-ROW(OFFSET(nombres[],0,0,1,1))+1,ROW(OFFSET(nombres[],ROWS(nombres[])-1,0,1,1))+1),$O1555:$O1574),3),"")</f>
        <v/>
      </c>
      <c r="TQ1555" s="42" t="str">
        <f t="array" aca="1" ref="TQ1555" ca="1">IFERROR(INDEX(nombres[],SMALL(IF(OFFSET(nombres[],0,0,ROWS(nombres[]),1)=TQ$1490,ROW(OFFSET(nombres[],0,0,ROWS(nombres[]),1))-ROW(OFFSET(nombres[],0,0,1,1))+1,ROW(OFFSET(nombres[],ROWS(nombres[])-1,0,1,1))+1),$O1555:$O1574),3),"")</f>
        <v/>
      </c>
      <c r="TR1555" s="42" t="str">
        <f t="array" aca="1" ref="TR1555" ca="1">IFERROR(INDEX(nombres[],SMALL(IF(OFFSET(nombres[],0,0,ROWS(nombres[]),1)=TR$1490,ROW(OFFSET(nombres[],0,0,ROWS(nombres[]),1))-ROW(OFFSET(nombres[],0,0,1,1))+1,ROW(OFFSET(nombres[],ROWS(nombres[])-1,0,1,1))+1),$O1555:$O1574),3),"")</f>
        <v/>
      </c>
      <c r="TS1555" s="42" t="str">
        <f t="array" aca="1" ref="TS1555" ca="1">IFERROR(INDEX(nombres[],SMALL(IF(OFFSET(nombres[],0,0,ROWS(nombres[]),1)=TS$1490,ROW(OFFSET(nombres[],0,0,ROWS(nombres[]),1))-ROW(OFFSET(nombres[],0,0,1,1))+1,ROW(OFFSET(nombres[],ROWS(nombres[])-1,0,1,1))+1),$O1555:$O1574),3),"")</f>
        <v/>
      </c>
      <c r="TT1555" s="42" t="str">
        <f t="array" aca="1" ref="TT1555" ca="1">IFERROR(INDEX(nombres[],SMALL(IF(OFFSET(nombres[],0,0,ROWS(nombres[]),1)=TT$1490,ROW(OFFSET(nombres[],0,0,ROWS(nombres[]),1))-ROW(OFFSET(nombres[],0,0,1,1))+1,ROW(OFFSET(nombres[],ROWS(nombres[])-1,0,1,1))+1),$O1555:$O1574),3),"")</f>
        <v/>
      </c>
      <c r="TU1555" s="42" t="str">
        <f t="array" aca="1" ref="TU1555" ca="1">IFERROR(INDEX(nombres[],SMALL(IF(OFFSET(nombres[],0,0,ROWS(nombres[]),1)=TU$1490,ROW(OFFSET(nombres[],0,0,ROWS(nombres[]),1))-ROW(OFFSET(nombres[],0,0,1,1))+1,ROW(OFFSET(nombres[],ROWS(nombres[])-1,0,1,1))+1),$O1555:$O1574),3),"")</f>
        <v/>
      </c>
      <c r="TV1555" s="42" t="str">
        <f t="array" aca="1" ref="TV1555" ca="1">IFERROR(INDEX(nombres[],SMALL(IF(OFFSET(nombres[],0,0,ROWS(nombres[]),1)=TV$1490,ROW(OFFSET(nombres[],0,0,ROWS(nombres[]),1))-ROW(OFFSET(nombres[],0,0,1,1))+1,ROW(OFFSET(nombres[],ROWS(nombres[])-1,0,1,1))+1),$O1555:$O1574),3),"")</f>
        <v/>
      </c>
      <c r="TW1555" s="42" t="str">
        <f t="array" aca="1" ref="TW1555" ca="1">IFERROR(INDEX(nombres[],SMALL(IF(OFFSET(nombres[],0,0,ROWS(nombres[]),1)=TW$1490,ROW(OFFSET(nombres[],0,0,ROWS(nombres[]),1))-ROW(OFFSET(nombres[],0,0,1,1))+1,ROW(OFFSET(nombres[],ROWS(nombres[])-1,0,1,1))+1),$O1555:$O1574),3),"")</f>
        <v/>
      </c>
      <c r="TX1555" s="42" t="str">
        <f t="array" aca="1" ref="TX1555" ca="1">IFERROR(INDEX(nombres[],SMALL(IF(OFFSET(nombres[],0,0,ROWS(nombres[]),1)=TX$1490,ROW(OFFSET(nombres[],0,0,ROWS(nombres[]),1))-ROW(OFFSET(nombres[],0,0,1,1))+1,ROW(OFFSET(nombres[],ROWS(nombres[])-1,0,1,1))+1),$O1555:$O1574),3),"")</f>
        <v/>
      </c>
      <c r="TY1555" s="42" t="str">
        <f t="array" aca="1" ref="TY1555" ca="1">IFERROR(INDEX(nombres[],SMALL(IF(OFFSET(nombres[],0,0,ROWS(nombres[]),1)=TY$1490,ROW(OFFSET(nombres[],0,0,ROWS(nombres[]),1))-ROW(OFFSET(nombres[],0,0,1,1))+1,ROW(OFFSET(nombres[],ROWS(nombres[])-1,0,1,1))+1),$O1555:$O1574),3),"")</f>
        <v/>
      </c>
      <c r="TZ1555" s="42" t="str">
        <f t="array" aca="1" ref="TZ1555" ca="1">IFERROR(INDEX(nombres[],SMALL(IF(OFFSET(nombres[],0,0,ROWS(nombres[]),1)=TZ$1490,ROW(OFFSET(nombres[],0,0,ROWS(nombres[]),1))-ROW(OFFSET(nombres[],0,0,1,1))+1,ROW(OFFSET(nombres[],ROWS(nombres[])-1,0,1,1))+1),$O1555:$O1574),3),"")</f>
        <v/>
      </c>
      <c r="UA1555" s="42" t="str">
        <f t="array" aca="1" ref="UA1555" ca="1">IFERROR(INDEX(nombres[],SMALL(IF(OFFSET(nombres[],0,0,ROWS(nombres[]),1)=UA$1490,ROW(OFFSET(nombres[],0,0,ROWS(nombres[]),1))-ROW(OFFSET(nombres[],0,0,1,1))+1,ROW(OFFSET(nombres[],ROWS(nombres[])-1,0,1,1))+1),$O1555:$O1574),3),"")</f>
        <v/>
      </c>
      <c r="UB1555" s="42" t="str">
        <f t="array" aca="1" ref="UB1555" ca="1">IFERROR(INDEX(nombres[],SMALL(IF(OFFSET(nombres[],0,0,ROWS(nombres[]),1)=UB$1490,ROW(OFFSET(nombres[],0,0,ROWS(nombres[]),1))-ROW(OFFSET(nombres[],0,0,1,1))+1,ROW(OFFSET(nombres[],ROWS(nombres[])-1,0,1,1))+1),$O1555:$O1574),3),"")</f>
        <v/>
      </c>
      <c r="UC1555" s="42" t="str">
        <f t="array" aca="1" ref="UC1555" ca="1">IFERROR(INDEX(nombres[],SMALL(IF(OFFSET(nombres[],0,0,ROWS(nombres[]),1)=UC$1490,ROW(OFFSET(nombres[],0,0,ROWS(nombres[]),1))-ROW(OFFSET(nombres[],0,0,1,1))+1,ROW(OFFSET(nombres[],ROWS(nombres[])-1,0,1,1))+1),$O1555:$O1574),3),"")</f>
        <v/>
      </c>
      <c r="UD1555" s="42" t="str">
        <f t="array" aca="1" ref="UD1555" ca="1">IFERROR(INDEX(nombres[],SMALL(IF(OFFSET(nombres[],0,0,ROWS(nombres[]),1)=UD$1490,ROW(OFFSET(nombres[],0,0,ROWS(nombres[]),1))-ROW(OFFSET(nombres[],0,0,1,1))+1,ROW(OFFSET(nombres[],ROWS(nombres[])-1,0,1,1))+1),$O1555:$O1574),3),"")</f>
        <v/>
      </c>
      <c r="UE1555" s="42" t="str">
        <f t="array" aca="1" ref="UE1555" ca="1">IFERROR(INDEX(nombres[],SMALL(IF(OFFSET(nombres[],0,0,ROWS(nombres[]),1)=UE$1490,ROW(OFFSET(nombres[],0,0,ROWS(nombres[]),1))-ROW(OFFSET(nombres[],0,0,1,1))+1,ROW(OFFSET(nombres[],ROWS(nombres[])-1,0,1,1))+1),$O1555:$O1574),3),"")</f>
        <v/>
      </c>
      <c r="UF1555" s="42" t="str">
        <f t="array" aca="1" ref="UF1555" ca="1">IFERROR(INDEX(nombres[],SMALL(IF(OFFSET(nombres[],0,0,ROWS(nombres[]),1)=UF$1490,ROW(OFFSET(nombres[],0,0,ROWS(nombres[]),1))-ROW(OFFSET(nombres[],0,0,1,1))+1,ROW(OFFSET(nombres[],ROWS(nombres[])-1,0,1,1))+1),$O1555:$O1574),3),"")</f>
        <v/>
      </c>
      <c r="UG1555" s="42" t="str">
        <f t="array" aca="1" ref="UG1555" ca="1">IFERROR(INDEX(nombres[],SMALL(IF(OFFSET(nombres[],0,0,ROWS(nombres[]),1)=UG$1490,ROW(OFFSET(nombres[],0,0,ROWS(nombres[]),1))-ROW(OFFSET(nombres[],0,0,1,1))+1,ROW(OFFSET(nombres[],ROWS(nombres[])-1,0,1,1))+1),$O1555:$O1574),3),"")</f>
        <v/>
      </c>
      <c r="UH1555" s="42" t="str">
        <f t="array" aca="1" ref="UH1555" ca="1">IFERROR(INDEX(nombres[],SMALL(IF(OFFSET(nombres[],0,0,ROWS(nombres[]),1)=UH$1490,ROW(OFFSET(nombres[],0,0,ROWS(nombres[]),1))-ROW(OFFSET(nombres[],0,0,1,1))+1,ROW(OFFSET(nombres[],ROWS(nombres[])-1,0,1,1))+1),$O1555:$O1574),3),"")</f>
        <v/>
      </c>
      <c r="UI1555" s="42" t="str">
        <f t="array" aca="1" ref="UI1555" ca="1">IFERROR(INDEX(nombres[],SMALL(IF(OFFSET(nombres[],0,0,ROWS(nombres[]),1)=UI$1490,ROW(OFFSET(nombres[],0,0,ROWS(nombres[]),1))-ROW(OFFSET(nombres[],0,0,1,1))+1,ROW(OFFSET(nombres[],ROWS(nombres[])-1,0,1,1))+1),$O1555:$O1574),3),"")</f>
        <v/>
      </c>
      <c r="UJ1555" s="42" t="str">
        <f t="array" aca="1" ref="UJ1555" ca="1">IFERROR(INDEX(nombres[],SMALL(IF(OFFSET(nombres[],0,0,ROWS(nombres[]),1)=UJ$1490,ROW(OFFSET(nombres[],0,0,ROWS(nombres[]),1))-ROW(OFFSET(nombres[],0,0,1,1))+1,ROW(OFFSET(nombres[],ROWS(nombres[])-1,0,1,1))+1),$O1555:$O1574),3),"")</f>
        <v/>
      </c>
      <c r="UK1555" s="42" t="str">
        <f t="array" aca="1" ref="UK1555" ca="1">IFERROR(INDEX(nombres[],SMALL(IF(OFFSET(nombres[],0,0,ROWS(nombres[]),1)=UK$1490,ROW(OFFSET(nombres[],0,0,ROWS(nombres[]),1))-ROW(OFFSET(nombres[],0,0,1,1))+1,ROW(OFFSET(nombres[],ROWS(nombres[])-1,0,1,1))+1),$O1555:$O1574),3),"")</f>
        <v/>
      </c>
      <c r="UL1555" s="42" t="str">
        <f t="array" aca="1" ref="UL1555" ca="1">IFERROR(INDEX(nombres[],SMALL(IF(OFFSET(nombres[],0,0,ROWS(nombres[]),1)=UL$1490,ROW(OFFSET(nombres[],0,0,ROWS(nombres[]),1))-ROW(OFFSET(nombres[],0,0,1,1))+1,ROW(OFFSET(nombres[],ROWS(nombres[])-1,0,1,1))+1),$O1555:$O1574),3),"")</f>
        <v/>
      </c>
      <c r="UM1555" s="42" t="str">
        <f t="array" aca="1" ref="UM1555" ca="1">IFERROR(INDEX(nombres[],SMALL(IF(OFFSET(nombres[],0,0,ROWS(nombres[]),1)=UM$1490,ROW(OFFSET(nombres[],0,0,ROWS(nombres[]),1))-ROW(OFFSET(nombres[],0,0,1,1))+1,ROW(OFFSET(nombres[],ROWS(nombres[])-1,0,1,1))+1),$O1555:$O1574),3),"")</f>
        <v/>
      </c>
      <c r="UN1555" s="42" t="str">
        <f t="array" aca="1" ref="UN1555" ca="1">IFERROR(INDEX(nombres[],SMALL(IF(OFFSET(nombres[],0,0,ROWS(nombres[]),1)=UN$1490,ROW(OFFSET(nombres[],0,0,ROWS(nombres[]),1))-ROW(OFFSET(nombres[],0,0,1,1))+1,ROW(OFFSET(nombres[],ROWS(nombres[])-1,0,1,1))+1),$O1555:$O1574),3),"")</f>
        <v/>
      </c>
      <c r="UO1555" s="42" t="str">
        <f t="array" aca="1" ref="UO1555" ca="1">IFERROR(INDEX(nombres[],SMALL(IF(OFFSET(nombres[],0,0,ROWS(nombres[]),1)=UO$1490,ROW(OFFSET(nombres[],0,0,ROWS(nombres[]),1))-ROW(OFFSET(nombres[],0,0,1,1))+1,ROW(OFFSET(nombres[],ROWS(nombres[])-1,0,1,1))+1),$O1555:$O1574),3),"")</f>
        <v/>
      </c>
      <c r="UP1555" s="42" t="str">
        <f t="array" aca="1" ref="UP1555" ca="1">IFERROR(INDEX(nombres[],SMALL(IF(OFFSET(nombres[],0,0,ROWS(nombres[]),1)=UP$1490,ROW(OFFSET(nombres[],0,0,ROWS(nombres[]),1))-ROW(OFFSET(nombres[],0,0,1,1))+1,ROW(OFFSET(nombres[],ROWS(nombres[])-1,0,1,1))+1),$O1555:$O1574),3),"")</f>
        <v/>
      </c>
      <c r="UQ1555" s="42" t="str">
        <f t="array" aca="1" ref="UQ1555" ca="1">IFERROR(INDEX(nombres[],SMALL(IF(OFFSET(nombres[],0,0,ROWS(nombres[]),1)=UQ$1490,ROW(OFFSET(nombres[],0,0,ROWS(nombres[]),1))-ROW(OFFSET(nombres[],0,0,1,1))+1,ROW(OFFSET(nombres[],ROWS(nombres[])-1,0,1,1))+1),$O1555:$O1574),3),"")</f>
        <v/>
      </c>
      <c r="UR1555" s="42" t="str">
        <f t="array" aca="1" ref="UR1555" ca="1">IFERROR(INDEX(nombres[],SMALL(IF(OFFSET(nombres[],0,0,ROWS(nombres[]),1)=UR$1490,ROW(OFFSET(nombres[],0,0,ROWS(nombres[]),1))-ROW(OFFSET(nombres[],0,0,1,1))+1,ROW(OFFSET(nombres[],ROWS(nombres[])-1,0,1,1))+1),$O1555:$O1574),3),"")</f>
        <v/>
      </c>
      <c r="US1555" s="42" t="str">
        <f t="array" aca="1" ref="US1555" ca="1">IFERROR(INDEX(nombres[],SMALL(IF(OFFSET(nombres[],0,0,ROWS(nombres[]),1)=US$1490,ROW(OFFSET(nombres[],0,0,ROWS(nombres[]),1))-ROW(OFFSET(nombres[],0,0,1,1))+1,ROW(OFFSET(nombres[],ROWS(nombres[])-1,0,1,1))+1),$O1555:$O1574),3),"")</f>
        <v/>
      </c>
      <c r="UT1555" s="42" t="str">
        <f t="array" aca="1" ref="UT1555" ca="1">IFERROR(INDEX(nombres[],SMALL(IF(OFFSET(nombres[],0,0,ROWS(nombres[]),1)=UT$1490,ROW(OFFSET(nombres[],0,0,ROWS(nombres[]),1))-ROW(OFFSET(nombres[],0,0,1,1))+1,ROW(OFFSET(nombres[],ROWS(nombres[])-1,0,1,1))+1),$O1555:$O1574),3),"")</f>
        <v/>
      </c>
      <c r="UU1555" s="42" t="str">
        <f t="array" aca="1" ref="UU1555" ca="1">IFERROR(INDEX(nombres[],SMALL(IF(OFFSET(nombres[],0,0,ROWS(nombres[]),1)=UU$1490,ROW(OFFSET(nombres[],0,0,ROWS(nombres[]),1))-ROW(OFFSET(nombres[],0,0,1,1))+1,ROW(OFFSET(nombres[],ROWS(nombres[])-1,0,1,1))+1),$O1555:$O1574),3),"")</f>
        <v/>
      </c>
      <c r="UV1555" s="42" t="str">
        <f t="array" aca="1" ref="UV1555" ca="1">IFERROR(INDEX(nombres[],SMALL(IF(OFFSET(nombres[],0,0,ROWS(nombres[]),1)=UV$1490,ROW(OFFSET(nombres[],0,0,ROWS(nombres[]),1))-ROW(OFFSET(nombres[],0,0,1,1))+1,ROW(OFFSET(nombres[],ROWS(nombres[])-1,0,1,1))+1),$O1555:$O1574),3),"")</f>
        <v/>
      </c>
      <c r="UW1555" s="42" t="str">
        <f t="array" aca="1" ref="UW1555" ca="1">IFERROR(INDEX(nombres[],SMALL(IF(OFFSET(nombres[],0,0,ROWS(nombres[]),1)=UW$1490,ROW(OFFSET(nombres[],0,0,ROWS(nombres[]),1))-ROW(OFFSET(nombres[],0,0,1,1))+1,ROW(OFFSET(nombres[],ROWS(nombres[])-1,0,1,1))+1),$O1555:$O1574),3),"")</f>
        <v/>
      </c>
      <c r="UX1555" s="42" t="str">
        <f t="array" aca="1" ref="UX1555" ca="1">IFERROR(INDEX(nombres[],SMALL(IF(OFFSET(nombres[],0,0,ROWS(nombres[]),1)=UX$1490,ROW(OFFSET(nombres[],0,0,ROWS(nombres[]),1))-ROW(OFFSET(nombres[],0,0,1,1))+1,ROW(OFFSET(nombres[],ROWS(nombres[])-1,0,1,1))+1),$O1555:$O1574),3),"")</f>
        <v/>
      </c>
      <c r="UY1555" s="42" t="str">
        <f t="array" aca="1" ref="UY1555" ca="1">IFERROR(INDEX(nombres[],SMALL(IF(OFFSET(nombres[],0,0,ROWS(nombres[]),1)=UY$1490,ROW(OFFSET(nombres[],0,0,ROWS(nombres[]),1))-ROW(OFFSET(nombres[],0,0,1,1))+1,ROW(OFFSET(nombres[],ROWS(nombres[])-1,0,1,1))+1),$O1555:$O1574),3),"")</f>
        <v/>
      </c>
      <c r="UZ1555" s="42" t="str">
        <f t="array" aca="1" ref="UZ1555" ca="1">IFERROR(INDEX(nombres[],SMALL(IF(OFFSET(nombres[],0,0,ROWS(nombres[]),1)=UZ$1490,ROW(OFFSET(nombres[],0,0,ROWS(nombres[]),1))-ROW(OFFSET(nombres[],0,0,1,1))+1,ROW(OFFSET(nombres[],ROWS(nombres[])-1,0,1,1))+1),$O1555:$O1574),3),"")</f>
        <v/>
      </c>
      <c r="VA1555" s="42" t="str">
        <f t="array" aca="1" ref="VA1555" ca="1">IFERROR(INDEX(nombres[],SMALL(IF(OFFSET(nombres[],0,0,ROWS(nombres[]),1)=VA$1490,ROW(OFFSET(nombres[],0,0,ROWS(nombres[]),1))-ROW(OFFSET(nombres[],0,0,1,1))+1,ROW(OFFSET(nombres[],ROWS(nombres[])-1,0,1,1))+1),$O1555:$O1574),3),"")</f>
        <v/>
      </c>
      <c r="VB1555" s="42" t="str">
        <f t="array" aca="1" ref="VB1555" ca="1">IFERROR(INDEX(nombres[],SMALL(IF(OFFSET(nombres[],0,0,ROWS(nombres[]),1)=VB$1490,ROW(OFFSET(nombres[],0,0,ROWS(nombres[]),1))-ROW(OFFSET(nombres[],0,0,1,1))+1,ROW(OFFSET(nombres[],ROWS(nombres[])-1,0,1,1))+1),$O1555:$O1574),3),"")</f>
        <v/>
      </c>
      <c r="VC1555" s="42" t="str">
        <f t="array" aca="1" ref="VC1555" ca="1">IFERROR(INDEX(nombres[],SMALL(IF(OFFSET(nombres[],0,0,ROWS(nombres[]),1)=VC$1490,ROW(OFFSET(nombres[],0,0,ROWS(nombres[]),1))-ROW(OFFSET(nombres[],0,0,1,1))+1,ROW(OFFSET(nombres[],ROWS(nombres[])-1,0,1,1))+1),$O1555:$O1574),3),"")</f>
        <v/>
      </c>
      <c r="VD1555" s="42" t="str">
        <f t="array" aca="1" ref="VD1555" ca="1">IFERROR(INDEX(nombres[],SMALL(IF(OFFSET(nombres[],0,0,ROWS(nombres[]),1)=VD$1490,ROW(OFFSET(nombres[],0,0,ROWS(nombres[]),1))-ROW(OFFSET(nombres[],0,0,1,1))+1,ROW(OFFSET(nombres[],ROWS(nombres[])-1,0,1,1))+1),$O1555:$O1574),3),"")</f>
        <v/>
      </c>
      <c r="VE1555" s="42" t="str">
        <f t="array" aca="1" ref="VE1555" ca="1">IFERROR(INDEX(nombres[],SMALL(IF(OFFSET(nombres[],0,0,ROWS(nombres[]),1)=VE$1490,ROW(OFFSET(nombres[],0,0,ROWS(nombres[]),1))-ROW(OFFSET(nombres[],0,0,1,1))+1,ROW(OFFSET(nombres[],ROWS(nombres[])-1,0,1,1))+1),$O1555:$O1574),3),"")</f>
        <v/>
      </c>
      <c r="VF1555" s="42" t="str">
        <f t="array" aca="1" ref="VF1555" ca="1">IFERROR(INDEX(nombres[],SMALL(IF(OFFSET(nombres[],0,0,ROWS(nombres[]),1)=VF$1490,ROW(OFFSET(nombres[],0,0,ROWS(nombres[]),1))-ROW(OFFSET(nombres[],0,0,1,1))+1,ROW(OFFSET(nombres[],ROWS(nombres[])-1,0,1,1))+1),$O1555:$O1574),3),"")</f>
        <v/>
      </c>
      <c r="VG1555" s="42" t="str">
        <f t="array" aca="1" ref="VG1555" ca="1">IFERROR(INDEX(nombres[],SMALL(IF(OFFSET(nombres[],0,0,ROWS(nombres[]),1)=VG$1490,ROW(OFFSET(nombres[],0,0,ROWS(nombres[]),1))-ROW(OFFSET(nombres[],0,0,1,1))+1,ROW(OFFSET(nombres[],ROWS(nombres[])-1,0,1,1))+1),$O1555:$O1574),3),"")</f>
        <v/>
      </c>
      <c r="VH1555" s="42" t="str">
        <f t="array" aca="1" ref="VH1555" ca="1">IFERROR(INDEX(nombres[],SMALL(IF(OFFSET(nombres[],0,0,ROWS(nombres[]),1)=VH$1490,ROW(OFFSET(nombres[],0,0,ROWS(nombres[]),1))-ROW(OFFSET(nombres[],0,0,1,1))+1,ROW(OFFSET(nombres[],ROWS(nombres[])-1,0,1,1))+1),$O1555:$O1574),3),"")</f>
        <v/>
      </c>
      <c r="VI1555" s="42" t="str">
        <f t="array" aca="1" ref="VI1555" ca="1">IFERROR(INDEX(nombres[],SMALL(IF(OFFSET(nombres[],0,0,ROWS(nombres[]),1)=VI$1490,ROW(OFFSET(nombres[],0,0,ROWS(nombres[]),1))-ROW(OFFSET(nombres[],0,0,1,1))+1,ROW(OFFSET(nombres[],ROWS(nombres[])-1,0,1,1))+1),$O1555:$O1574),3),"")</f>
        <v/>
      </c>
      <c r="VJ1555" s="42" t="str">
        <f t="array" aca="1" ref="VJ1555" ca="1">IFERROR(INDEX(nombres[],SMALL(IF(OFFSET(nombres[],0,0,ROWS(nombres[]),1)=VJ$1490,ROW(OFFSET(nombres[],0,0,ROWS(nombres[]),1))-ROW(OFFSET(nombres[],0,0,1,1))+1,ROW(OFFSET(nombres[],ROWS(nombres[])-1,0,1,1))+1),$O1555:$O1574),3),"")</f>
        <v/>
      </c>
      <c r="VK1555" s="42" t="str">
        <f t="array" aca="1" ref="VK1555" ca="1">IFERROR(INDEX(nombres[],SMALL(IF(OFFSET(nombres[],0,0,ROWS(nombres[]),1)=VK$1490,ROW(OFFSET(nombres[],0,0,ROWS(nombres[]),1))-ROW(OFFSET(nombres[],0,0,1,1))+1,ROW(OFFSET(nombres[],ROWS(nombres[])-1,0,1,1))+1),$O1555:$O1574),3),"")</f>
        <v/>
      </c>
      <c r="VL1555" s="42" t="str">
        <f t="array" aca="1" ref="VL1555" ca="1">IFERROR(INDEX(nombres[],SMALL(IF(OFFSET(nombres[],0,0,ROWS(nombres[]),1)=VL$1490,ROW(OFFSET(nombres[],0,0,ROWS(nombres[]),1))-ROW(OFFSET(nombres[],0,0,1,1))+1,ROW(OFFSET(nombres[],ROWS(nombres[])-1,0,1,1))+1),$O1555:$O1574),3),"")</f>
        <v/>
      </c>
      <c r="VM1555" s="42" t="str">
        <f t="array" aca="1" ref="VM1555" ca="1">IFERROR(INDEX(nombres[],SMALL(IF(OFFSET(nombres[],0,0,ROWS(nombres[]),1)=VM$1490,ROW(OFFSET(nombres[],0,0,ROWS(nombres[]),1))-ROW(OFFSET(nombres[],0,0,1,1))+1,ROW(OFFSET(nombres[],ROWS(nombres[])-1,0,1,1))+1),$O1555:$O1574),3),"")</f>
        <v/>
      </c>
      <c r="VN1555" s="42" t="str">
        <f t="array" aca="1" ref="VN1555" ca="1">IFERROR(INDEX(nombres[],SMALL(IF(OFFSET(nombres[],0,0,ROWS(nombres[]),1)=VN$1490,ROW(OFFSET(nombres[],0,0,ROWS(nombres[]),1))-ROW(OFFSET(nombres[],0,0,1,1))+1,ROW(OFFSET(nombres[],ROWS(nombres[])-1,0,1,1))+1),$O1555:$O1574),3),"")</f>
        <v/>
      </c>
      <c r="VO1555" s="42" t="str">
        <f t="array" aca="1" ref="VO1555" ca="1">IFERROR(INDEX(nombres[],SMALL(IF(OFFSET(nombres[],0,0,ROWS(nombres[]),1)=VO$1490,ROW(OFFSET(nombres[],0,0,ROWS(nombres[]),1))-ROW(OFFSET(nombres[],0,0,1,1))+1,ROW(OFFSET(nombres[],ROWS(nombres[])-1,0,1,1))+1),$O1555:$O1574),3),"")</f>
        <v/>
      </c>
      <c r="VP1555" s="42" t="str">
        <f t="array" aca="1" ref="VP1555" ca="1">IFERROR(INDEX(nombres[],SMALL(IF(OFFSET(nombres[],0,0,ROWS(nombres[]),1)=VP$1490,ROW(OFFSET(nombres[],0,0,ROWS(nombres[]),1))-ROW(OFFSET(nombres[],0,0,1,1))+1,ROW(OFFSET(nombres[],ROWS(nombres[])-1,0,1,1))+1),$O1555:$O1574),3),"")</f>
        <v/>
      </c>
      <c r="VQ1555" s="42" t="str">
        <f t="array" aca="1" ref="VQ1555" ca="1">IFERROR(INDEX(nombres[],SMALL(IF(OFFSET(nombres[],0,0,ROWS(nombres[]),1)=VQ$1490,ROW(OFFSET(nombres[],0,0,ROWS(nombres[]),1))-ROW(OFFSET(nombres[],0,0,1,1))+1,ROW(OFFSET(nombres[],ROWS(nombres[])-1,0,1,1))+1),$O1555:$O1574),3),"")</f>
        <v/>
      </c>
      <c r="VR1555" s="42" t="str">
        <f t="array" aca="1" ref="VR1555" ca="1">IFERROR(INDEX(nombres[],SMALL(IF(OFFSET(nombres[],0,0,ROWS(nombres[]),1)=VR$1490,ROW(OFFSET(nombres[],0,0,ROWS(nombres[]),1))-ROW(OFFSET(nombres[],0,0,1,1))+1,ROW(OFFSET(nombres[],ROWS(nombres[])-1,0,1,1))+1),$O1555:$O1574),3),"")</f>
        <v/>
      </c>
      <c r="VS1555" s="42" t="str">
        <f t="array" aca="1" ref="VS1555" ca="1">IFERROR(INDEX(nombres[],SMALL(IF(OFFSET(nombres[],0,0,ROWS(nombres[]),1)=VS$1490,ROW(OFFSET(nombres[],0,0,ROWS(nombres[]),1))-ROW(OFFSET(nombres[],0,0,1,1))+1,ROW(OFFSET(nombres[],ROWS(nombres[])-1,0,1,1))+1),$O1555:$O1574),3),"")</f>
        <v/>
      </c>
      <c r="VT1555" s="42" t="str">
        <f t="array" aca="1" ref="VT1555" ca="1">IFERROR(INDEX(nombres[],SMALL(IF(OFFSET(nombres[],0,0,ROWS(nombres[]),1)=VT$1490,ROW(OFFSET(nombres[],0,0,ROWS(nombres[]),1))-ROW(OFFSET(nombres[],0,0,1,1))+1,ROW(OFFSET(nombres[],ROWS(nombres[])-1,0,1,1))+1),$O1555:$O1574),3),"")</f>
        <v/>
      </c>
      <c r="VU1555" s="42" t="str">
        <f t="array" aca="1" ref="VU1555" ca="1">IFERROR(INDEX(nombres[],SMALL(IF(OFFSET(nombres[],0,0,ROWS(nombres[]),1)=VU$1490,ROW(OFFSET(nombres[],0,0,ROWS(nombres[]),1))-ROW(OFFSET(nombres[],0,0,1,1))+1,ROW(OFFSET(nombres[],ROWS(nombres[])-1,0,1,1))+1),$O1555:$O1574),3),"")</f>
        <v/>
      </c>
      <c r="VV1555" s="42" t="str">
        <f t="array" aca="1" ref="VV1555" ca="1">IFERROR(INDEX(nombres[],SMALL(IF(OFFSET(nombres[],0,0,ROWS(nombres[]),1)=VV$1490,ROW(OFFSET(nombres[],0,0,ROWS(nombres[]),1))-ROW(OFFSET(nombres[],0,0,1,1))+1,ROW(OFFSET(nombres[],ROWS(nombres[])-1,0,1,1))+1),$O1555:$O1574),3),"")</f>
        <v/>
      </c>
      <c r="VW1555" s="42" t="str">
        <f t="array" aca="1" ref="VW1555" ca="1">IFERROR(INDEX(nombres[],SMALL(IF(OFFSET(nombres[],0,0,ROWS(nombres[]),1)=VW$1490,ROW(OFFSET(nombres[],0,0,ROWS(nombres[]),1))-ROW(OFFSET(nombres[],0,0,1,1))+1,ROW(OFFSET(nombres[],ROWS(nombres[])-1,0,1,1))+1),$O1555:$O1574),3),"")</f>
        <v/>
      </c>
      <c r="VX1555" s="42" t="str">
        <f t="array" aca="1" ref="VX1555" ca="1">IFERROR(INDEX(nombres[],SMALL(IF(OFFSET(nombres[],0,0,ROWS(nombres[]),1)=VX$1490,ROW(OFFSET(nombres[],0,0,ROWS(nombres[]),1))-ROW(OFFSET(nombres[],0,0,1,1))+1,ROW(OFFSET(nombres[],ROWS(nombres[])-1,0,1,1))+1),$O1555:$O1574),3),"")</f>
        <v/>
      </c>
      <c r="VY1555" s="42" t="str">
        <f t="array" aca="1" ref="VY1555" ca="1">IFERROR(INDEX(nombres[],SMALL(IF(OFFSET(nombres[],0,0,ROWS(nombres[]),1)=VY$1490,ROW(OFFSET(nombres[],0,0,ROWS(nombres[]),1))-ROW(OFFSET(nombres[],0,0,1,1))+1,ROW(OFFSET(nombres[],ROWS(nombres[])-1,0,1,1))+1),$O1555:$O1574),3),"")</f>
        <v/>
      </c>
      <c r="VZ1555" s="42" t="str">
        <f t="array" aca="1" ref="VZ1555" ca="1">IFERROR(INDEX(nombres[],SMALL(IF(OFFSET(nombres[],0,0,ROWS(nombres[]),1)=VZ$1490,ROW(OFFSET(nombres[],0,0,ROWS(nombres[]),1))-ROW(OFFSET(nombres[],0,0,1,1))+1,ROW(OFFSET(nombres[],ROWS(nombres[])-1,0,1,1))+1),$O1555:$O1574),3),"")</f>
        <v/>
      </c>
      <c r="WA1555" s="42" t="str">
        <f t="array" aca="1" ref="WA1555" ca="1">IFERROR(INDEX(nombres[],SMALL(IF(OFFSET(nombres[],0,0,ROWS(nombres[]),1)=WA$1490,ROW(OFFSET(nombres[],0,0,ROWS(nombres[]),1))-ROW(OFFSET(nombres[],0,0,1,1))+1,ROW(OFFSET(nombres[],ROWS(nombres[])-1,0,1,1))+1),$O1555:$O1574),3),"")</f>
        <v/>
      </c>
      <c r="WB1555" s="42" t="str">
        <f t="array" aca="1" ref="WB1555" ca="1">IFERROR(INDEX(nombres[],SMALL(IF(OFFSET(nombres[],0,0,ROWS(nombres[]),1)=WB$1490,ROW(OFFSET(nombres[],0,0,ROWS(nombres[]),1))-ROW(OFFSET(nombres[],0,0,1,1))+1,ROW(OFFSET(nombres[],ROWS(nombres[])-1,0,1,1))+1),$O1555:$O1574),3),"")</f>
        <v/>
      </c>
      <c r="WC1555" s="42" t="str">
        <f t="array" aca="1" ref="WC1555" ca="1">IFERROR(INDEX(nombres[],SMALL(IF(OFFSET(nombres[],0,0,ROWS(nombres[]),1)=WC$1490,ROW(OFFSET(nombres[],0,0,ROWS(nombres[]),1))-ROW(OFFSET(nombres[],0,0,1,1))+1,ROW(OFFSET(nombres[],ROWS(nombres[])-1,0,1,1))+1),$O1555:$O1574),3),"")</f>
        <v/>
      </c>
      <c r="WD1555" s="42" t="str">
        <f t="array" aca="1" ref="WD1555" ca="1">IFERROR(INDEX(nombres[],SMALL(IF(OFFSET(nombres[],0,0,ROWS(nombres[]),1)=WD$1490,ROW(OFFSET(nombres[],0,0,ROWS(nombres[]),1))-ROW(OFFSET(nombres[],0,0,1,1))+1,ROW(OFFSET(nombres[],ROWS(nombres[])-1,0,1,1))+1),$O1555:$O1574),3),"")</f>
        <v/>
      </c>
      <c r="WE1555" s="42" t="str">
        <f t="array" aca="1" ref="WE1555" ca="1">IFERROR(INDEX(nombres[],SMALL(IF(OFFSET(nombres[],0,0,ROWS(nombres[]),1)=WE$1490,ROW(OFFSET(nombres[],0,0,ROWS(nombres[]),1))-ROW(OFFSET(nombres[],0,0,1,1))+1,ROW(OFFSET(nombres[],ROWS(nombres[])-1,0,1,1))+1),$O1555:$O1574),3),"")</f>
        <v/>
      </c>
      <c r="WF1555" s="42" t="str">
        <f t="array" aca="1" ref="WF1555" ca="1">IFERROR(INDEX(nombres[],SMALL(IF(OFFSET(nombres[],0,0,ROWS(nombres[]),1)=WF$1490,ROW(OFFSET(nombres[],0,0,ROWS(nombres[]),1))-ROW(OFFSET(nombres[],0,0,1,1))+1,ROW(OFFSET(nombres[],ROWS(nombres[])-1,0,1,1))+1),$O1555:$O1574),3),"")</f>
        <v/>
      </c>
      <c r="WG1555" s="42" t="str">
        <f t="array" aca="1" ref="WG1555" ca="1">IFERROR(INDEX(nombres[],SMALL(IF(OFFSET(nombres[],0,0,ROWS(nombres[]),1)=WG$1490,ROW(OFFSET(nombres[],0,0,ROWS(nombres[]),1))-ROW(OFFSET(nombres[],0,0,1,1))+1,ROW(OFFSET(nombres[],ROWS(nombres[])-1,0,1,1))+1),$O1555:$O1574),3),"")</f>
        <v/>
      </c>
      <c r="WH1555" s="42" t="str">
        <f t="array" aca="1" ref="WH1555" ca="1">IFERROR(INDEX(nombres[],SMALL(IF(OFFSET(nombres[],0,0,ROWS(nombres[]),1)=WH$1490,ROW(OFFSET(nombres[],0,0,ROWS(nombres[]),1))-ROW(OFFSET(nombres[],0,0,1,1))+1,ROW(OFFSET(nombres[],ROWS(nombres[])-1,0,1,1))+1),$O1555:$O1574),3),"")</f>
        <v/>
      </c>
      <c r="WI1555" s="42" t="str">
        <f t="array" aca="1" ref="WI1555" ca="1">IFERROR(INDEX(nombres[],SMALL(IF(OFFSET(nombres[],0,0,ROWS(nombres[]),1)=WI$1490,ROW(OFFSET(nombres[],0,0,ROWS(nombres[]),1))-ROW(OFFSET(nombres[],0,0,1,1))+1,ROW(OFFSET(nombres[],ROWS(nombres[])-1,0,1,1))+1),$O1555:$O1574),3),"")</f>
        <v/>
      </c>
      <c r="WJ1555" s="42" t="str">
        <f t="array" aca="1" ref="WJ1555" ca="1">IFERROR(INDEX(nombres[],SMALL(IF(OFFSET(nombres[],0,0,ROWS(nombres[]),1)=WJ$1490,ROW(OFFSET(nombres[],0,0,ROWS(nombres[]),1))-ROW(OFFSET(nombres[],0,0,1,1))+1,ROW(OFFSET(nombres[],ROWS(nombres[])-1,0,1,1))+1),$O1555:$O1574),3),"")</f>
        <v/>
      </c>
      <c r="WK1555" s="42" t="str">
        <f t="array" aca="1" ref="WK1555" ca="1">IFERROR(INDEX(nombres[],SMALL(IF(OFFSET(nombres[],0,0,ROWS(nombres[]),1)=WK$1490,ROW(OFFSET(nombres[],0,0,ROWS(nombres[]),1))-ROW(OFFSET(nombres[],0,0,1,1))+1,ROW(OFFSET(nombres[],ROWS(nombres[])-1,0,1,1))+1),$O1555:$O1574),3),"")</f>
        <v/>
      </c>
      <c r="WL1555" s="42" t="str">
        <f t="array" aca="1" ref="WL1555" ca="1">IFERROR(INDEX(nombres[],SMALL(IF(OFFSET(nombres[],0,0,ROWS(nombres[]),1)=WL$1490,ROW(OFFSET(nombres[],0,0,ROWS(nombres[]),1))-ROW(OFFSET(nombres[],0,0,1,1))+1,ROW(OFFSET(nombres[],ROWS(nombres[])-1,0,1,1))+1),$O1555:$O1574),3),"")</f>
        <v/>
      </c>
      <c r="WM1555" s="42" t="str">
        <f t="array" aca="1" ref="WM1555" ca="1">IFERROR(INDEX(nombres[],SMALL(IF(OFFSET(nombres[],0,0,ROWS(nombres[]),1)=WM$1490,ROW(OFFSET(nombres[],0,0,ROWS(nombres[]),1))-ROW(OFFSET(nombres[],0,0,1,1))+1,ROW(OFFSET(nombres[],ROWS(nombres[])-1,0,1,1))+1),$O1555:$O1574),3),"")</f>
        <v/>
      </c>
      <c r="WN1555" s="42" t="str">
        <f t="array" aca="1" ref="WN1555" ca="1">IFERROR(INDEX(nombres[],SMALL(IF(OFFSET(nombres[],0,0,ROWS(nombres[]),1)=WN$1490,ROW(OFFSET(nombres[],0,0,ROWS(nombres[]),1))-ROW(OFFSET(nombres[],0,0,1,1))+1,ROW(OFFSET(nombres[],ROWS(nombres[])-1,0,1,1))+1),$O1555:$O1574),3),"")</f>
        <v/>
      </c>
      <c r="WO1555" s="42" t="str">
        <f t="array" aca="1" ref="WO1555" ca="1">IFERROR(INDEX(nombres[],SMALL(IF(OFFSET(nombres[],0,0,ROWS(nombres[]),1)=WO$1490,ROW(OFFSET(nombres[],0,0,ROWS(nombres[]),1))-ROW(OFFSET(nombres[],0,0,1,1))+1,ROW(OFFSET(nombres[],ROWS(nombres[])-1,0,1,1))+1),$O1555:$O1574),3),"")</f>
        <v/>
      </c>
      <c r="WP1555" s="42" t="str">
        <f t="array" aca="1" ref="WP1555" ca="1">IFERROR(INDEX(nombres[],SMALL(IF(OFFSET(nombres[],0,0,ROWS(nombres[]),1)=WP$1490,ROW(OFFSET(nombres[],0,0,ROWS(nombres[]),1))-ROW(OFFSET(nombres[],0,0,1,1))+1,ROW(OFFSET(nombres[],ROWS(nombres[])-1,0,1,1))+1),$O1555:$O1574),3),"")</f>
        <v/>
      </c>
      <c r="WQ1555" s="42" t="str">
        <f t="array" aca="1" ref="WQ1555" ca="1">IFERROR(INDEX(nombres[],SMALL(IF(OFFSET(nombres[],0,0,ROWS(nombres[]),1)=WQ$1490,ROW(OFFSET(nombres[],0,0,ROWS(nombres[]),1))-ROW(OFFSET(nombres[],0,0,1,1))+1,ROW(OFFSET(nombres[],ROWS(nombres[])-1,0,1,1))+1),$O1555:$O1574),3),"")</f>
        <v/>
      </c>
      <c r="WR1555" s="42" t="str">
        <f t="array" aca="1" ref="WR1555" ca="1">IFERROR(INDEX(nombres[],SMALL(IF(OFFSET(nombres[],0,0,ROWS(nombres[]),1)=WR$1490,ROW(OFFSET(nombres[],0,0,ROWS(nombres[]),1))-ROW(OFFSET(nombres[],0,0,1,1))+1,ROW(OFFSET(nombres[],ROWS(nombres[])-1,0,1,1))+1),$O1555:$O1574),3),"")</f>
        <v/>
      </c>
      <c r="WS1555" s="42" t="str">
        <f t="array" aca="1" ref="WS1555" ca="1">IFERROR(INDEX(nombres[],SMALL(IF(OFFSET(nombres[],0,0,ROWS(nombres[]),1)=WS$1490,ROW(OFFSET(nombres[],0,0,ROWS(nombres[]),1))-ROW(OFFSET(nombres[],0,0,1,1))+1,ROW(OFFSET(nombres[],ROWS(nombres[])-1,0,1,1))+1),$O1555:$O1574),3),"")</f>
        <v/>
      </c>
      <c r="WT1555" s="42" t="str">
        <f t="array" aca="1" ref="WT1555" ca="1">IFERROR(INDEX(nombres[],SMALL(IF(OFFSET(nombres[],0,0,ROWS(nombres[]),1)=WT$1490,ROW(OFFSET(nombres[],0,0,ROWS(nombres[]),1))-ROW(OFFSET(nombres[],0,0,1,1))+1,ROW(OFFSET(nombres[],ROWS(nombres[])-1,0,1,1))+1),$O1555:$O1574),3),"")</f>
        <v/>
      </c>
      <c r="WU1555" s="42" t="str">
        <f t="array" aca="1" ref="WU1555" ca="1">IFERROR(INDEX(nombres[],SMALL(IF(OFFSET(nombres[],0,0,ROWS(nombres[]),1)=WU$1490,ROW(OFFSET(nombres[],0,0,ROWS(nombres[]),1))-ROW(OFFSET(nombres[],0,0,1,1))+1,ROW(OFFSET(nombres[],ROWS(nombres[])-1,0,1,1))+1),$O1555:$O1574),3),"")</f>
        <v/>
      </c>
      <c r="WV1555" s="42" t="str">
        <f t="array" aca="1" ref="WV1555" ca="1">IFERROR(INDEX(nombres[],SMALL(IF(OFFSET(nombres[],0,0,ROWS(nombres[]),1)=WV$1490,ROW(OFFSET(nombres[],0,0,ROWS(nombres[]),1))-ROW(OFFSET(nombres[],0,0,1,1))+1,ROW(OFFSET(nombres[],ROWS(nombres[])-1,0,1,1))+1),$O1555:$O1574),3),"")</f>
        <v/>
      </c>
      <c r="WW1555" s="42" t="str">
        <f t="array" aca="1" ref="WW1555" ca="1">IFERROR(INDEX(nombres[],SMALL(IF(OFFSET(nombres[],0,0,ROWS(nombres[]),1)=WW$1490,ROW(OFFSET(nombres[],0,0,ROWS(nombres[]),1))-ROW(OFFSET(nombres[],0,0,1,1))+1,ROW(OFFSET(nombres[],ROWS(nombres[])-1,0,1,1))+1),$O1555:$O1574),3),"")</f>
        <v/>
      </c>
      <c r="WX1555" s="42" t="str">
        <f t="array" aca="1" ref="WX1555" ca="1">IFERROR(INDEX(nombres[],SMALL(IF(OFFSET(nombres[],0,0,ROWS(nombres[]),1)=WX$1490,ROW(OFFSET(nombres[],0,0,ROWS(nombres[]),1))-ROW(OFFSET(nombres[],0,0,1,1))+1,ROW(OFFSET(nombres[],ROWS(nombres[])-1,0,1,1))+1),$O1555:$O1574),3),"")</f>
        <v/>
      </c>
      <c r="WY1555" s="42" t="str">
        <f t="array" aca="1" ref="WY1555" ca="1">IFERROR(INDEX(nombres[],SMALL(IF(OFFSET(nombres[],0,0,ROWS(nombres[]),1)=WY$1490,ROW(OFFSET(nombres[],0,0,ROWS(nombres[]),1))-ROW(OFFSET(nombres[],0,0,1,1))+1,ROW(OFFSET(nombres[],ROWS(nombres[])-1,0,1,1))+1),$O1555:$O1574),3),"")</f>
        <v/>
      </c>
      <c r="WZ1555" s="42" t="str">
        <f t="array" aca="1" ref="WZ1555" ca="1">IFERROR(INDEX(nombres[],SMALL(IF(OFFSET(nombres[],0,0,ROWS(nombres[]),1)=WZ$1490,ROW(OFFSET(nombres[],0,0,ROWS(nombres[]),1))-ROW(OFFSET(nombres[],0,0,1,1))+1,ROW(OFFSET(nombres[],ROWS(nombres[])-1,0,1,1))+1),$O1555:$O1574),3),"")</f>
        <v/>
      </c>
      <c r="XA1555" s="42" t="str">
        <f t="array" aca="1" ref="XA1555" ca="1">IFERROR(INDEX(nombres[],SMALL(IF(OFFSET(nombres[],0,0,ROWS(nombres[]),1)=XA$1490,ROW(OFFSET(nombres[],0,0,ROWS(nombres[]),1))-ROW(OFFSET(nombres[],0,0,1,1))+1,ROW(OFFSET(nombres[],ROWS(nombres[])-1,0,1,1))+1),$O1555:$O1574),3),"")</f>
        <v/>
      </c>
      <c r="XB1555" s="42" t="str">
        <f t="array" aca="1" ref="XB1555" ca="1">IFERROR(INDEX(nombres[],SMALL(IF(OFFSET(nombres[],0,0,ROWS(nombres[]),1)=XB$1490,ROW(OFFSET(nombres[],0,0,ROWS(nombres[]),1))-ROW(OFFSET(nombres[],0,0,1,1))+1,ROW(OFFSET(nombres[],ROWS(nombres[])-1,0,1,1))+1),$O1555:$O1574),3),"")</f>
        <v/>
      </c>
      <c r="XC1555" s="42" t="str">
        <f t="array" aca="1" ref="XC1555" ca="1">IFERROR(INDEX(nombres[],SMALL(IF(OFFSET(nombres[],0,0,ROWS(nombres[]),1)=XC$1490,ROW(OFFSET(nombres[],0,0,ROWS(nombres[]),1))-ROW(OFFSET(nombres[],0,0,1,1))+1,ROW(OFFSET(nombres[],ROWS(nombres[])-1,0,1,1))+1),$O1555:$O1574),3),"")</f>
        <v/>
      </c>
      <c r="XD1555" s="42" t="str">
        <f t="array" aca="1" ref="XD1555" ca="1">IFERROR(INDEX(nombres[],SMALL(IF(OFFSET(nombres[],0,0,ROWS(nombres[]),1)=XD$1490,ROW(OFFSET(nombres[],0,0,ROWS(nombres[]),1))-ROW(OFFSET(nombres[],0,0,1,1))+1,ROW(OFFSET(nombres[],ROWS(nombres[])-1,0,1,1))+1),$O1555:$O1574),3),"")</f>
        <v/>
      </c>
      <c r="XE1555" s="42" t="str">
        <f t="array" aca="1" ref="XE1555" ca="1">IFERROR(INDEX(nombres[],SMALL(IF(OFFSET(nombres[],0,0,ROWS(nombres[]),1)=XE$1490,ROW(OFFSET(nombres[],0,0,ROWS(nombres[]),1))-ROW(OFFSET(nombres[],0,0,1,1))+1,ROW(OFFSET(nombres[],ROWS(nombres[])-1,0,1,1))+1),$O1555:$O1574),3),"")</f>
        <v/>
      </c>
      <c r="XF1555" s="42" t="str">
        <f t="array" aca="1" ref="XF1555" ca="1">IFERROR(INDEX(nombres[],SMALL(IF(OFFSET(nombres[],0,0,ROWS(nombres[]),1)=XF$1490,ROW(OFFSET(nombres[],0,0,ROWS(nombres[]),1))-ROW(OFFSET(nombres[],0,0,1,1))+1,ROW(OFFSET(nombres[],ROWS(nombres[])-1,0,1,1))+1),$O1555:$O1574),3),"")</f>
        <v/>
      </c>
      <c r="XG1555" s="42" t="str">
        <f t="array" aca="1" ref="XG1555" ca="1">IFERROR(INDEX(nombres[],SMALL(IF(OFFSET(nombres[],0,0,ROWS(nombres[]),1)=XG$1490,ROW(OFFSET(nombres[],0,0,ROWS(nombres[]),1))-ROW(OFFSET(nombres[],0,0,1,1))+1,ROW(OFFSET(nombres[],ROWS(nombres[])-1,0,1,1))+1),$O1555:$O1574),3),"")</f>
        <v/>
      </c>
      <c r="XH1555" s="42" t="str">
        <f t="array" aca="1" ref="XH1555" ca="1">IFERROR(INDEX(nombres[],SMALL(IF(OFFSET(nombres[],0,0,ROWS(nombres[]),1)=XH$1490,ROW(OFFSET(nombres[],0,0,ROWS(nombres[]),1))-ROW(OFFSET(nombres[],0,0,1,1))+1,ROW(OFFSET(nombres[],ROWS(nombres[])-1,0,1,1))+1),$O1555:$O1574),3),"")</f>
        <v/>
      </c>
      <c r="XI1555" s="42" t="str">
        <f t="array" aca="1" ref="XI1555" ca="1">IFERROR(INDEX(nombres[],SMALL(IF(OFFSET(nombres[],0,0,ROWS(nombres[]),1)=XI$1490,ROW(OFFSET(nombres[],0,0,ROWS(nombres[]),1))-ROW(OFFSET(nombres[],0,0,1,1))+1,ROW(OFFSET(nombres[],ROWS(nombres[])-1,0,1,1))+1),$O1555:$O1574),3),"")</f>
        <v/>
      </c>
      <c r="XJ1555" s="42" t="str">
        <f t="array" aca="1" ref="XJ1555" ca="1">IFERROR(INDEX(nombres[],SMALL(IF(OFFSET(nombres[],0,0,ROWS(nombres[]),1)=XJ$1490,ROW(OFFSET(nombres[],0,0,ROWS(nombres[]),1))-ROW(OFFSET(nombres[],0,0,1,1))+1,ROW(OFFSET(nombres[],ROWS(nombres[])-1,0,1,1))+1),$O1555:$O1574),3),"")</f>
        <v/>
      </c>
      <c r="XK1555" s="42" t="str">
        <f t="array" aca="1" ref="XK1555" ca="1">IFERROR(INDEX(nombres[],SMALL(IF(OFFSET(nombres[],0,0,ROWS(nombres[]),1)=XK$1490,ROW(OFFSET(nombres[],0,0,ROWS(nombres[]),1))-ROW(OFFSET(nombres[],0,0,1,1))+1,ROW(OFFSET(nombres[],ROWS(nombres[])-1,0,1,1))+1),$O1555:$O1574),3),"")</f>
        <v/>
      </c>
      <c r="XL1555" s="42" t="str">
        <f t="array" aca="1" ref="XL1555" ca="1">IFERROR(INDEX(nombres[],SMALL(IF(OFFSET(nombres[],0,0,ROWS(nombres[]),1)=XL$1490,ROW(OFFSET(nombres[],0,0,ROWS(nombres[]),1))-ROW(OFFSET(nombres[],0,0,1,1))+1,ROW(OFFSET(nombres[],ROWS(nombres[])-1,0,1,1))+1),$O1555:$O1574),3),"")</f>
        <v/>
      </c>
      <c r="XM1555" s="42" t="str">
        <f t="array" aca="1" ref="XM1555" ca="1">IFERROR(INDEX(nombres[],SMALL(IF(OFFSET(nombres[],0,0,ROWS(nombres[]),1)=XM$1490,ROW(OFFSET(nombres[],0,0,ROWS(nombres[]),1))-ROW(OFFSET(nombres[],0,0,1,1))+1,ROW(OFFSET(nombres[],ROWS(nombres[])-1,0,1,1))+1),$O1555:$O1574),3),"")</f>
        <v/>
      </c>
      <c r="XN1555" s="42" t="str">
        <f t="array" aca="1" ref="XN1555" ca="1">IFERROR(INDEX(nombres[],SMALL(IF(OFFSET(nombres[],0,0,ROWS(nombres[]),1)=XN$1490,ROW(OFFSET(nombres[],0,0,ROWS(nombres[]),1))-ROW(OFFSET(nombres[],0,0,1,1))+1,ROW(OFFSET(nombres[],ROWS(nombres[])-1,0,1,1))+1),$O1555:$O1574),3),"")</f>
        <v/>
      </c>
      <c r="XO1555" s="42" t="str">
        <f t="array" aca="1" ref="XO1555" ca="1">IFERROR(INDEX(nombres[],SMALL(IF(OFFSET(nombres[],0,0,ROWS(nombres[]),1)=XO$1490,ROW(OFFSET(nombres[],0,0,ROWS(nombres[]),1))-ROW(OFFSET(nombres[],0,0,1,1))+1,ROW(OFFSET(nombres[],ROWS(nombres[])-1,0,1,1))+1),$O1555:$O1574),3),"")</f>
        <v/>
      </c>
      <c r="XP1555" s="42" t="str">
        <f t="array" aca="1" ref="XP1555" ca="1">IFERROR(INDEX(nombres[],SMALL(IF(OFFSET(nombres[],0,0,ROWS(nombres[]),1)=XP$1490,ROW(OFFSET(nombres[],0,0,ROWS(nombres[]),1))-ROW(OFFSET(nombres[],0,0,1,1))+1,ROW(OFFSET(nombres[],ROWS(nombres[])-1,0,1,1))+1),$O1555:$O1574),3),"")</f>
        <v/>
      </c>
      <c r="XQ1555" s="42" t="str">
        <f t="array" aca="1" ref="XQ1555" ca="1">IFERROR(INDEX(nombres[],SMALL(IF(OFFSET(nombres[],0,0,ROWS(nombres[]),1)=XQ$1490,ROW(OFFSET(nombres[],0,0,ROWS(nombres[]),1))-ROW(OFFSET(nombres[],0,0,1,1))+1,ROW(OFFSET(nombres[],ROWS(nombres[])-1,0,1,1))+1),$O1555:$O1574),3),"")</f>
        <v/>
      </c>
      <c r="XR1555" s="42" t="str">
        <f t="array" aca="1" ref="XR1555" ca="1">IFERROR(INDEX(nombres[],SMALL(IF(OFFSET(nombres[],0,0,ROWS(nombres[]),1)=XR$1490,ROW(OFFSET(nombres[],0,0,ROWS(nombres[]),1))-ROW(OFFSET(nombres[],0,0,1,1))+1,ROW(OFFSET(nombres[],ROWS(nombres[])-1,0,1,1))+1),$O1555:$O1574),3),"")</f>
        <v/>
      </c>
      <c r="XS1555" s="42" t="str">
        <f t="array" aca="1" ref="XS1555" ca="1">IFERROR(INDEX(nombres[],SMALL(IF(OFFSET(nombres[],0,0,ROWS(nombres[]),1)=XS$1490,ROW(OFFSET(nombres[],0,0,ROWS(nombres[]),1))-ROW(OFFSET(nombres[],0,0,1,1))+1,ROW(OFFSET(nombres[],ROWS(nombres[])-1,0,1,1))+1),$O1555:$O1574),3),"")</f>
        <v/>
      </c>
      <c r="XT1555" s="42" t="str">
        <f t="array" aca="1" ref="XT1555" ca="1">IFERROR(INDEX(nombres[],SMALL(IF(OFFSET(nombres[],0,0,ROWS(nombres[]),1)=XT$1490,ROW(OFFSET(nombres[],0,0,ROWS(nombres[]),1))-ROW(OFFSET(nombres[],0,0,1,1))+1,ROW(OFFSET(nombres[],ROWS(nombres[])-1,0,1,1))+1),$O1555:$O1574),3),"")</f>
        <v/>
      </c>
      <c r="XU1555" s="42" t="str">
        <f t="array" aca="1" ref="XU1555" ca="1">IFERROR(INDEX(nombres[],SMALL(IF(OFFSET(nombres[],0,0,ROWS(nombres[]),1)=XU$1490,ROW(OFFSET(nombres[],0,0,ROWS(nombres[]),1))-ROW(OFFSET(nombres[],0,0,1,1))+1,ROW(OFFSET(nombres[],ROWS(nombres[])-1,0,1,1))+1),$O1555:$O1574),3),"")</f>
        <v/>
      </c>
      <c r="XV1555" s="42" t="str">
        <f t="array" aca="1" ref="XV1555" ca="1">IFERROR(INDEX(nombres[],SMALL(IF(OFFSET(nombres[],0,0,ROWS(nombres[]),1)=XV$1490,ROW(OFFSET(nombres[],0,0,ROWS(nombres[]),1))-ROW(OFFSET(nombres[],0,0,1,1))+1,ROW(OFFSET(nombres[],ROWS(nombres[])-1,0,1,1))+1),$O1555:$O1574),3),"")</f>
        <v/>
      </c>
      <c r="XW1555" s="42" t="str">
        <f t="array" aca="1" ref="XW1555" ca="1">IFERROR(INDEX(nombres[],SMALL(IF(OFFSET(nombres[],0,0,ROWS(nombres[]),1)=XW$1490,ROW(OFFSET(nombres[],0,0,ROWS(nombres[]),1))-ROW(OFFSET(nombres[],0,0,1,1))+1,ROW(OFFSET(nombres[],ROWS(nombres[])-1,0,1,1))+1),$O1555:$O1574),3),"")</f>
        <v/>
      </c>
      <c r="XX1555" s="42" t="str">
        <f t="array" aca="1" ref="XX1555" ca="1">IFERROR(INDEX(nombres[],SMALL(IF(OFFSET(nombres[],0,0,ROWS(nombres[]),1)=XX$1490,ROW(OFFSET(nombres[],0,0,ROWS(nombres[]),1))-ROW(OFFSET(nombres[],0,0,1,1))+1,ROW(OFFSET(nombres[],ROWS(nombres[])-1,0,1,1))+1),$O1555:$O1574),3),"")</f>
        <v/>
      </c>
      <c r="XY1555" s="42" t="str">
        <f t="array" aca="1" ref="XY1555" ca="1">IFERROR(INDEX(nombres[],SMALL(IF(OFFSET(nombres[],0,0,ROWS(nombres[]),1)=XY$1490,ROW(OFFSET(nombres[],0,0,ROWS(nombres[]),1))-ROW(OFFSET(nombres[],0,0,1,1))+1,ROW(OFFSET(nombres[],ROWS(nombres[])-1,0,1,1))+1),$O1555:$O1574),3),"")</f>
        <v/>
      </c>
      <c r="XZ1555" s="42" t="str">
        <f t="array" aca="1" ref="XZ1555" ca="1">IFERROR(INDEX(nombres[],SMALL(IF(OFFSET(nombres[],0,0,ROWS(nombres[]),1)=XZ$1490,ROW(OFFSET(nombres[],0,0,ROWS(nombres[]),1))-ROW(OFFSET(nombres[],0,0,1,1))+1,ROW(OFFSET(nombres[],ROWS(nombres[])-1,0,1,1))+1),$O1555:$O1574),3),"")</f>
        <v/>
      </c>
      <c r="YA1555" s="42" t="str">
        <f t="array" aca="1" ref="YA1555" ca="1">IFERROR(INDEX(nombres[],SMALL(IF(OFFSET(nombres[],0,0,ROWS(nombres[]),1)=YA$1490,ROW(OFFSET(nombres[],0,0,ROWS(nombres[]),1))-ROW(OFFSET(nombres[],0,0,1,1))+1,ROW(OFFSET(nombres[],ROWS(nombres[])-1,0,1,1))+1),$O1555:$O1574),3),"")</f>
        <v/>
      </c>
      <c r="YB1555" s="42" t="str">
        <f t="array" aca="1" ref="YB1555" ca="1">IFERROR(INDEX(nombres[],SMALL(IF(OFFSET(nombres[],0,0,ROWS(nombres[]),1)=YB$1490,ROW(OFFSET(nombres[],0,0,ROWS(nombres[]),1))-ROW(OFFSET(nombres[],0,0,1,1))+1,ROW(OFFSET(nombres[],ROWS(nombres[])-1,0,1,1))+1),$O1555:$O1574),3),"")</f>
        <v/>
      </c>
      <c r="YC1555" s="42" t="str">
        <f t="array" aca="1" ref="YC1555" ca="1">IFERROR(INDEX(nombres[],SMALL(IF(OFFSET(nombres[],0,0,ROWS(nombres[]),1)=YC$1490,ROW(OFFSET(nombres[],0,0,ROWS(nombres[]),1))-ROW(OFFSET(nombres[],0,0,1,1))+1,ROW(OFFSET(nombres[],ROWS(nombres[])-1,0,1,1))+1),$O1555:$O1574),3),"")</f>
        <v/>
      </c>
      <c r="YD1555" s="42" t="str">
        <f t="array" aca="1" ref="YD1555" ca="1">IFERROR(INDEX(nombres[],SMALL(IF(OFFSET(nombres[],0,0,ROWS(nombres[]),1)=YD$1490,ROW(OFFSET(nombres[],0,0,ROWS(nombres[]),1))-ROW(OFFSET(nombres[],0,0,1,1))+1,ROW(OFFSET(nombres[],ROWS(nombres[])-1,0,1,1))+1),$O1555:$O1574),3),"")</f>
        <v/>
      </c>
      <c r="YE1555" s="42" t="str">
        <f t="array" aca="1" ref="YE1555" ca="1">IFERROR(INDEX(nombres[],SMALL(IF(OFFSET(nombres[],0,0,ROWS(nombres[]),1)=YE$1490,ROW(OFFSET(nombres[],0,0,ROWS(nombres[]),1))-ROW(OFFSET(nombres[],0,0,1,1))+1,ROW(OFFSET(nombres[],ROWS(nombres[])-1,0,1,1))+1),$O1555:$O1574),3),"")</f>
        <v/>
      </c>
      <c r="YF1555" s="42" t="str">
        <f t="array" aca="1" ref="YF1555" ca="1">IFERROR(INDEX(nombres[],SMALL(IF(OFFSET(nombres[],0,0,ROWS(nombres[]),1)=YF$1490,ROW(OFFSET(nombres[],0,0,ROWS(nombres[]),1))-ROW(OFFSET(nombres[],0,0,1,1))+1,ROW(OFFSET(nombres[],ROWS(nombres[])-1,0,1,1))+1),$O1555:$O1574),3),"")</f>
        <v/>
      </c>
      <c r="YG1555" s="42" t="str">
        <f t="array" aca="1" ref="YG1555" ca="1">IFERROR(INDEX(nombres[],SMALL(IF(OFFSET(nombres[],0,0,ROWS(nombres[]),1)=YG$1490,ROW(OFFSET(nombres[],0,0,ROWS(nombres[]),1))-ROW(OFFSET(nombres[],0,0,1,1))+1,ROW(OFFSET(nombres[],ROWS(nombres[])-1,0,1,1))+1),$O1555:$O1574),3),"")</f>
        <v/>
      </c>
      <c r="YH1555" s="42" t="str">
        <f t="array" aca="1" ref="YH1555" ca="1">IFERROR(INDEX(nombres[],SMALL(IF(OFFSET(nombres[],0,0,ROWS(nombres[]),1)=YH$1490,ROW(OFFSET(nombres[],0,0,ROWS(nombres[]),1))-ROW(OFFSET(nombres[],0,0,1,1))+1,ROW(OFFSET(nombres[],ROWS(nombres[])-1,0,1,1))+1),$O1555:$O1574),3),"")</f>
        <v/>
      </c>
      <c r="YI1555" s="42" t="str">
        <f t="array" aca="1" ref="YI1555" ca="1">IFERROR(INDEX(nombres[],SMALL(IF(OFFSET(nombres[],0,0,ROWS(nombres[]),1)=YI$1490,ROW(OFFSET(nombres[],0,0,ROWS(nombres[]),1))-ROW(OFFSET(nombres[],0,0,1,1))+1,ROW(OFFSET(nombres[],ROWS(nombres[])-1,0,1,1))+1),$O1555:$O1574),3),"")</f>
        <v/>
      </c>
      <c r="YJ1555" s="42" t="str">
        <f t="array" aca="1" ref="YJ1555" ca="1">IFERROR(INDEX(nombres[],SMALL(IF(OFFSET(nombres[],0,0,ROWS(nombres[]),1)=YJ$1490,ROW(OFFSET(nombres[],0,0,ROWS(nombres[]),1))-ROW(OFFSET(nombres[],0,0,1,1))+1,ROW(OFFSET(nombres[],ROWS(nombres[])-1,0,1,1))+1),$O1555:$O1574),3),"")</f>
        <v/>
      </c>
      <c r="YK1555" s="42" t="str">
        <f t="array" aca="1" ref="YK1555" ca="1">IFERROR(INDEX(nombres[],SMALL(IF(OFFSET(nombres[],0,0,ROWS(nombres[]),1)=YK$1490,ROW(OFFSET(nombres[],0,0,ROWS(nombres[]),1))-ROW(OFFSET(nombres[],0,0,1,1))+1,ROW(OFFSET(nombres[],ROWS(nombres[])-1,0,1,1))+1),$O1555:$O1574),3),"")</f>
        <v/>
      </c>
      <c r="YL1555" s="42" t="str">
        <f t="array" aca="1" ref="YL1555" ca="1">IFERROR(INDEX(nombres[],SMALL(IF(OFFSET(nombres[],0,0,ROWS(nombres[]),1)=YL$1490,ROW(OFFSET(nombres[],0,0,ROWS(nombres[]),1))-ROW(OFFSET(nombres[],0,0,1,1))+1,ROW(OFFSET(nombres[],ROWS(nombres[])-1,0,1,1))+1),$O1555:$O1574),3),"")</f>
        <v/>
      </c>
      <c r="YM1555" s="42" t="str">
        <f t="array" aca="1" ref="YM1555" ca="1">IFERROR(INDEX(nombres[],SMALL(IF(OFFSET(nombres[],0,0,ROWS(nombres[]),1)=YM$1490,ROW(OFFSET(nombres[],0,0,ROWS(nombres[]),1))-ROW(OFFSET(nombres[],0,0,1,1))+1,ROW(OFFSET(nombres[],ROWS(nombres[])-1,0,1,1))+1),$O1555:$O1574),3),"")</f>
        <v/>
      </c>
      <c r="YN1555" s="42" t="str">
        <f t="array" aca="1" ref="YN1555" ca="1">IFERROR(INDEX(nombres[],SMALL(IF(OFFSET(nombres[],0,0,ROWS(nombres[]),1)=YN$1490,ROW(OFFSET(nombres[],0,0,ROWS(nombres[]),1))-ROW(OFFSET(nombres[],0,0,1,1))+1,ROW(OFFSET(nombres[],ROWS(nombres[])-1,0,1,1))+1),$O1555:$O1574),3),"")</f>
        <v/>
      </c>
      <c r="YO1555" s="42" t="str">
        <f t="array" aca="1" ref="YO1555" ca="1">IFERROR(INDEX(nombres[],SMALL(IF(OFFSET(nombres[],0,0,ROWS(nombres[]),1)=YO$1490,ROW(OFFSET(nombres[],0,0,ROWS(nombres[]),1))-ROW(OFFSET(nombres[],0,0,1,1))+1,ROW(OFFSET(nombres[],ROWS(nombres[])-1,0,1,1))+1),$O1555:$O1574),3),"")</f>
        <v/>
      </c>
      <c r="YP1555" s="42" t="str">
        <f t="array" aca="1" ref="YP1555" ca="1">IFERROR(INDEX(nombres[],SMALL(IF(OFFSET(nombres[],0,0,ROWS(nombres[]),1)=YP$1490,ROW(OFFSET(nombres[],0,0,ROWS(nombres[]),1))-ROW(OFFSET(nombres[],0,0,1,1))+1,ROW(OFFSET(nombres[],ROWS(nombres[])-1,0,1,1))+1),$O1555:$O1574),3),"")</f>
        <v/>
      </c>
      <c r="YQ1555" s="42" t="str">
        <f t="array" aca="1" ref="YQ1555" ca="1">IFERROR(INDEX(nombres[],SMALL(IF(OFFSET(nombres[],0,0,ROWS(nombres[]),1)=YQ$1490,ROW(OFFSET(nombres[],0,0,ROWS(nombres[]),1))-ROW(OFFSET(nombres[],0,0,1,1))+1,ROW(OFFSET(nombres[],ROWS(nombres[])-1,0,1,1))+1),$O1555:$O1574),3),"")</f>
        <v/>
      </c>
      <c r="YR1555" s="42" t="str">
        <f t="array" aca="1" ref="YR1555" ca="1">IFERROR(INDEX(nombres[],SMALL(IF(OFFSET(nombres[],0,0,ROWS(nombres[]),1)=YR$1490,ROW(OFFSET(nombres[],0,0,ROWS(nombres[]),1))-ROW(OFFSET(nombres[],0,0,1,1))+1,ROW(OFFSET(nombres[],ROWS(nombres[])-1,0,1,1))+1),$O1555:$O1574),3),"")</f>
        <v/>
      </c>
      <c r="YS1555" s="42" t="str">
        <f t="array" aca="1" ref="YS1555" ca="1">IFERROR(INDEX(nombres[],SMALL(IF(OFFSET(nombres[],0,0,ROWS(nombres[]),1)=YS$1490,ROW(OFFSET(nombres[],0,0,ROWS(nombres[]),1))-ROW(OFFSET(nombres[],0,0,1,1))+1,ROW(OFFSET(nombres[],ROWS(nombres[])-1,0,1,1))+1),$O1555:$O1574),3),"")</f>
        <v/>
      </c>
      <c r="YT1555" s="42" t="str">
        <f t="array" aca="1" ref="YT1555" ca="1">IFERROR(INDEX(nombres[],SMALL(IF(OFFSET(nombres[],0,0,ROWS(nombres[]),1)=YT$1490,ROW(OFFSET(nombres[],0,0,ROWS(nombres[]),1))-ROW(OFFSET(nombres[],0,0,1,1))+1,ROW(OFFSET(nombres[],ROWS(nombres[])-1,0,1,1))+1),$O1555:$O1574),3),"")</f>
        <v/>
      </c>
      <c r="YU1555" s="42" t="str">
        <f t="array" aca="1" ref="YU1555" ca="1">IFERROR(INDEX(nombres[],SMALL(IF(OFFSET(nombres[],0,0,ROWS(nombres[]),1)=YU$1490,ROW(OFFSET(nombres[],0,0,ROWS(nombres[]),1))-ROW(OFFSET(nombres[],0,0,1,1))+1,ROW(OFFSET(nombres[],ROWS(nombres[])-1,0,1,1))+1),$O1555:$O1574),3),"")</f>
        <v/>
      </c>
      <c r="YV1555" s="42" t="str">
        <f t="array" aca="1" ref="YV1555" ca="1">IFERROR(INDEX(nombres[],SMALL(IF(OFFSET(nombres[],0,0,ROWS(nombres[]),1)=YV$1490,ROW(OFFSET(nombres[],0,0,ROWS(nombres[]),1))-ROW(OFFSET(nombres[],0,0,1,1))+1,ROW(OFFSET(nombres[],ROWS(nombres[])-1,0,1,1))+1),$O1555:$O1574),3),"")</f>
        <v/>
      </c>
      <c r="YW1555" s="42" t="str">
        <f t="array" aca="1" ref="YW1555" ca="1">IFERROR(INDEX(nombres[],SMALL(IF(OFFSET(nombres[],0,0,ROWS(nombres[]),1)=YW$1490,ROW(OFFSET(nombres[],0,0,ROWS(nombres[]),1))-ROW(OFFSET(nombres[],0,0,1,1))+1,ROW(OFFSET(nombres[],ROWS(nombres[])-1,0,1,1))+1),$O1555:$O1574),3),"")</f>
        <v/>
      </c>
      <c r="YX1555" s="42" t="str">
        <f t="array" aca="1" ref="YX1555" ca="1">IFERROR(INDEX(nombres[],SMALL(IF(OFFSET(nombres[],0,0,ROWS(nombres[]),1)=YX$1490,ROW(OFFSET(nombres[],0,0,ROWS(nombres[]),1))-ROW(OFFSET(nombres[],0,0,1,1))+1,ROW(OFFSET(nombres[],ROWS(nombres[])-1,0,1,1))+1),$O1555:$O1574),3),"")</f>
        <v/>
      </c>
      <c r="YY1555" s="42" t="str">
        <f t="array" aca="1" ref="YY1555" ca="1">IFERROR(INDEX(nombres[],SMALL(IF(OFFSET(nombres[],0,0,ROWS(nombres[]),1)=YY$1490,ROW(OFFSET(nombres[],0,0,ROWS(nombres[]),1))-ROW(OFFSET(nombres[],0,0,1,1))+1,ROW(OFFSET(nombres[],ROWS(nombres[])-1,0,1,1))+1),$O1555:$O1574),3),"")</f>
        <v/>
      </c>
      <c r="YZ1555" s="42" t="str">
        <f t="array" aca="1" ref="YZ1555" ca="1">IFERROR(INDEX(nombres[],SMALL(IF(OFFSET(nombres[],0,0,ROWS(nombres[]),1)=YZ$1490,ROW(OFFSET(nombres[],0,0,ROWS(nombres[]),1))-ROW(OFFSET(nombres[],0,0,1,1))+1,ROW(OFFSET(nombres[],ROWS(nombres[])-1,0,1,1))+1),$O1555:$O1574),3),"")</f>
        <v/>
      </c>
      <c r="ZA1555" s="42" t="str">
        <f t="array" aca="1" ref="ZA1555" ca="1">IFERROR(INDEX(nombres[],SMALL(IF(OFFSET(nombres[],0,0,ROWS(nombres[]),1)=ZA$1490,ROW(OFFSET(nombres[],0,0,ROWS(nombres[]),1))-ROW(OFFSET(nombres[],0,0,1,1))+1,ROW(OFFSET(nombres[],ROWS(nombres[])-1,0,1,1))+1),$O1555:$O1574),3),"")</f>
        <v/>
      </c>
      <c r="ZB1555" s="42" t="str">
        <f t="array" aca="1" ref="ZB1555" ca="1">IFERROR(INDEX(nombres[],SMALL(IF(OFFSET(nombres[],0,0,ROWS(nombres[]),1)=ZB$1490,ROW(OFFSET(nombres[],0,0,ROWS(nombres[]),1))-ROW(OFFSET(nombres[],0,0,1,1))+1,ROW(OFFSET(nombres[],ROWS(nombres[])-1,0,1,1))+1),$O1555:$O1574),3),"")</f>
        <v/>
      </c>
      <c r="ZC1555" s="42" t="str">
        <f t="array" aca="1" ref="ZC1555" ca="1">IFERROR(INDEX(nombres[],SMALL(IF(OFFSET(nombres[],0,0,ROWS(nombres[]),1)=ZC$1490,ROW(OFFSET(nombres[],0,0,ROWS(nombres[]),1))-ROW(OFFSET(nombres[],0,0,1,1))+1,ROW(OFFSET(nombres[],ROWS(nombres[])-1,0,1,1))+1),$O1555:$O1574),3),"")</f>
        <v/>
      </c>
      <c r="ZD1555" s="42" t="str">
        <f t="array" aca="1" ref="ZD1555" ca="1">IFERROR(INDEX(nombres[],SMALL(IF(OFFSET(nombres[],0,0,ROWS(nombres[]),1)=ZD$1490,ROW(OFFSET(nombres[],0,0,ROWS(nombres[]),1))-ROW(OFFSET(nombres[],0,0,1,1))+1,ROW(OFFSET(nombres[],ROWS(nombres[])-1,0,1,1))+1),$O1555:$O1574),3),"")</f>
        <v/>
      </c>
      <c r="ZE1555" s="42" t="str">
        <f t="array" aca="1" ref="ZE1555" ca="1">IFERROR(INDEX(nombres[],SMALL(IF(OFFSET(nombres[],0,0,ROWS(nombres[]),1)=ZE$1490,ROW(OFFSET(nombres[],0,0,ROWS(nombres[]),1))-ROW(OFFSET(nombres[],0,0,1,1))+1,ROW(OFFSET(nombres[],ROWS(nombres[])-1,0,1,1))+1),$O1555:$O1574),3),"")</f>
        <v/>
      </c>
      <c r="ZF1555" s="42" t="str">
        <f t="array" aca="1" ref="ZF1555" ca="1">IFERROR(INDEX(nombres[],SMALL(IF(OFFSET(nombres[],0,0,ROWS(nombres[]),1)=ZF$1490,ROW(OFFSET(nombres[],0,0,ROWS(nombres[]),1))-ROW(OFFSET(nombres[],0,0,1,1))+1,ROW(OFFSET(nombres[],ROWS(nombres[])-1,0,1,1))+1),$O1555:$O1574),3),"")</f>
        <v/>
      </c>
      <c r="ZG1555" s="42" t="str">
        <f t="array" aca="1" ref="ZG1555" ca="1">IFERROR(INDEX(nombres[],SMALL(IF(OFFSET(nombres[],0,0,ROWS(nombres[]),1)=ZG$1490,ROW(OFFSET(nombres[],0,0,ROWS(nombres[]),1))-ROW(OFFSET(nombres[],0,0,1,1))+1,ROW(OFFSET(nombres[],ROWS(nombres[])-1,0,1,1))+1),$O1555:$O1574),3),"")</f>
        <v/>
      </c>
      <c r="ZH1555" s="42" t="str">
        <f t="array" aca="1" ref="ZH1555" ca="1">IFERROR(INDEX(nombres[],SMALL(IF(OFFSET(nombres[],0,0,ROWS(nombres[]),1)=ZH$1490,ROW(OFFSET(nombres[],0,0,ROWS(nombres[]),1))-ROW(OFFSET(nombres[],0,0,1,1))+1,ROW(OFFSET(nombres[],ROWS(nombres[])-1,0,1,1))+1),$O1555:$O1574),3),"")</f>
        <v/>
      </c>
      <c r="ZI1555" s="42" t="str">
        <f t="array" aca="1" ref="ZI1555" ca="1">IFERROR(INDEX(nombres[],SMALL(IF(OFFSET(nombres[],0,0,ROWS(nombres[]),1)=ZI$1490,ROW(OFFSET(nombres[],0,0,ROWS(nombres[]),1))-ROW(OFFSET(nombres[],0,0,1,1))+1,ROW(OFFSET(nombres[],ROWS(nombres[])-1,0,1,1))+1),$O1555:$O1574),3),"")</f>
        <v/>
      </c>
      <c r="ZJ1555" s="42" t="str">
        <f t="array" aca="1" ref="ZJ1555" ca="1">IFERROR(INDEX(nombres[],SMALL(IF(OFFSET(nombres[],0,0,ROWS(nombres[]),1)=ZJ$1490,ROW(OFFSET(nombres[],0,0,ROWS(nombres[]),1))-ROW(OFFSET(nombres[],0,0,1,1))+1,ROW(OFFSET(nombres[],ROWS(nombres[])-1,0,1,1))+1),$O1555:$O1574),3),"")</f>
        <v/>
      </c>
      <c r="ZK1555" s="42" t="str">
        <f t="array" aca="1" ref="ZK1555" ca="1">IFERROR(INDEX(nombres[],SMALL(IF(OFFSET(nombres[],0,0,ROWS(nombres[]),1)=ZK$1490,ROW(OFFSET(nombres[],0,0,ROWS(nombres[]),1))-ROW(OFFSET(nombres[],0,0,1,1))+1,ROW(OFFSET(nombres[],ROWS(nombres[])-1,0,1,1))+1),$O1555:$O1574),3),"")</f>
        <v/>
      </c>
      <c r="ZL1555" s="42" t="str">
        <f t="array" aca="1" ref="ZL1555" ca="1">IFERROR(INDEX(nombres[],SMALL(IF(OFFSET(nombres[],0,0,ROWS(nombres[]),1)=ZL$1490,ROW(OFFSET(nombres[],0,0,ROWS(nombres[]),1))-ROW(OFFSET(nombres[],0,0,1,1))+1,ROW(OFFSET(nombres[],ROWS(nombres[])-1,0,1,1))+1),$O1555:$O1574),3),"")</f>
        <v/>
      </c>
      <c r="ZM1555" s="42" t="str">
        <f t="array" aca="1" ref="ZM1555" ca="1">IFERROR(INDEX(nombres[],SMALL(IF(OFFSET(nombres[],0,0,ROWS(nombres[]),1)=ZM$1490,ROW(OFFSET(nombres[],0,0,ROWS(nombres[]),1))-ROW(OFFSET(nombres[],0,0,1,1))+1,ROW(OFFSET(nombres[],ROWS(nombres[])-1,0,1,1))+1),$O1555:$O1574),3),"")</f>
        <v/>
      </c>
      <c r="ZN1555" s="42" t="str">
        <f t="array" aca="1" ref="ZN1555" ca="1">IFERROR(INDEX(nombres[],SMALL(IF(OFFSET(nombres[],0,0,ROWS(nombres[]),1)=ZN$1490,ROW(OFFSET(nombres[],0,0,ROWS(nombres[]),1))-ROW(OFFSET(nombres[],0,0,1,1))+1,ROW(OFFSET(nombres[],ROWS(nombres[])-1,0,1,1))+1),$O1555:$O1574),3),"")</f>
        <v/>
      </c>
      <c r="ZO1555" s="42" t="str">
        <f t="array" aca="1" ref="ZO1555" ca="1">IFERROR(INDEX(nombres[],SMALL(IF(OFFSET(nombres[],0,0,ROWS(nombres[]),1)=ZO$1490,ROW(OFFSET(nombres[],0,0,ROWS(nombres[]),1))-ROW(OFFSET(nombres[],0,0,1,1))+1,ROW(OFFSET(nombres[],ROWS(nombres[])-1,0,1,1))+1),$O1555:$O1574),3),"")</f>
        <v/>
      </c>
      <c r="ZP1555" s="42" t="str">
        <f t="array" aca="1" ref="ZP1555" ca="1">IFERROR(INDEX(nombres[],SMALL(IF(OFFSET(nombres[],0,0,ROWS(nombres[]),1)=ZP$1490,ROW(OFFSET(nombres[],0,0,ROWS(nombres[]),1))-ROW(OFFSET(nombres[],0,0,1,1))+1,ROW(OFFSET(nombres[],ROWS(nombres[])-1,0,1,1))+1),$O1555:$O1574),3),"")</f>
        <v/>
      </c>
      <c r="ZQ1555" s="42" t="str">
        <f t="array" aca="1" ref="ZQ1555" ca="1">IFERROR(INDEX(nombres[],SMALL(IF(OFFSET(nombres[],0,0,ROWS(nombres[]),1)=ZQ$1490,ROW(OFFSET(nombres[],0,0,ROWS(nombres[]),1))-ROW(OFFSET(nombres[],0,0,1,1))+1,ROW(OFFSET(nombres[],ROWS(nombres[])-1,0,1,1))+1),$O1555:$O1574),3),"")</f>
        <v/>
      </c>
      <c r="ZR1555" s="42" t="str">
        <f t="array" aca="1" ref="ZR1555" ca="1">IFERROR(INDEX(nombres[],SMALL(IF(OFFSET(nombres[],0,0,ROWS(nombres[]),1)=ZR$1490,ROW(OFFSET(nombres[],0,0,ROWS(nombres[]),1))-ROW(OFFSET(nombres[],0,0,1,1))+1,ROW(OFFSET(nombres[],ROWS(nombres[])-1,0,1,1))+1),$O1555:$O1574),3),"")</f>
        <v/>
      </c>
      <c r="ZS1555" s="42" t="str">
        <f t="array" aca="1" ref="ZS1555" ca="1">IFERROR(INDEX(nombres[],SMALL(IF(OFFSET(nombres[],0,0,ROWS(nombres[]),1)=ZS$1490,ROW(OFFSET(nombres[],0,0,ROWS(nombres[]),1))-ROW(OFFSET(nombres[],0,0,1,1))+1,ROW(OFFSET(nombres[],ROWS(nombres[])-1,0,1,1))+1),$O1555:$O1574),3),"")</f>
        <v/>
      </c>
      <c r="ZT1555" s="42" t="str">
        <f t="array" aca="1" ref="ZT1555" ca="1">IFERROR(INDEX(nombres[],SMALL(IF(OFFSET(nombres[],0,0,ROWS(nombres[]),1)=ZT$1490,ROW(OFFSET(nombres[],0,0,ROWS(nombres[]),1))-ROW(OFFSET(nombres[],0,0,1,1))+1,ROW(OFFSET(nombres[],ROWS(nombres[])-1,0,1,1))+1),$O1555:$O1574),3),"")</f>
        <v/>
      </c>
      <c r="ZU1555" s="42" t="str">
        <f t="array" aca="1" ref="ZU1555" ca="1">IFERROR(INDEX(nombres[],SMALL(IF(OFFSET(nombres[],0,0,ROWS(nombres[]),1)=ZU$1490,ROW(OFFSET(nombres[],0,0,ROWS(nombres[]),1))-ROW(OFFSET(nombres[],0,0,1,1))+1,ROW(OFFSET(nombres[],ROWS(nombres[])-1,0,1,1))+1),$O1555:$O1574),3),"")</f>
        <v/>
      </c>
      <c r="ZV1555" s="42" t="str">
        <f t="array" aca="1" ref="ZV1555" ca="1">IFERROR(INDEX(nombres[],SMALL(IF(OFFSET(nombres[],0,0,ROWS(nombres[]),1)=ZV$1490,ROW(OFFSET(nombres[],0,0,ROWS(nombres[]),1))-ROW(OFFSET(nombres[],0,0,1,1))+1,ROW(OFFSET(nombres[],ROWS(nombres[])-1,0,1,1))+1),$O1555:$O1574),3),"")</f>
        <v/>
      </c>
      <c r="ZW1555" s="42" t="str">
        <f t="array" aca="1" ref="ZW1555" ca="1">IFERROR(INDEX(nombres[],SMALL(IF(OFFSET(nombres[],0,0,ROWS(nombres[]),1)=ZW$1490,ROW(OFFSET(nombres[],0,0,ROWS(nombres[]),1))-ROW(OFFSET(nombres[],0,0,1,1))+1,ROW(OFFSET(nombres[],ROWS(nombres[])-1,0,1,1))+1),$O1555:$O1574),3),"")</f>
        <v/>
      </c>
      <c r="ZX1555" s="42" t="str">
        <f t="array" aca="1" ref="ZX1555" ca="1">IFERROR(INDEX(nombres[],SMALL(IF(OFFSET(nombres[],0,0,ROWS(nombres[]),1)=ZX$1490,ROW(OFFSET(nombres[],0,0,ROWS(nombres[]),1))-ROW(OFFSET(nombres[],0,0,1,1))+1,ROW(OFFSET(nombres[],ROWS(nombres[])-1,0,1,1))+1),$O1555:$O1574),3),"")</f>
        <v/>
      </c>
      <c r="ZY1555" s="42" t="str">
        <f t="array" aca="1" ref="ZY1555" ca="1">IFERROR(INDEX(nombres[],SMALL(IF(OFFSET(nombres[],0,0,ROWS(nombres[]),1)=ZY$1490,ROW(OFFSET(nombres[],0,0,ROWS(nombres[]),1))-ROW(OFFSET(nombres[],0,0,1,1))+1,ROW(OFFSET(nombres[],ROWS(nombres[])-1,0,1,1))+1),$O1555:$O1574),3),"")</f>
        <v/>
      </c>
      <c r="ZZ1555" s="42" t="str">
        <f t="array" aca="1" ref="ZZ1555" ca="1">IFERROR(INDEX(nombres[],SMALL(IF(OFFSET(nombres[],0,0,ROWS(nombres[]),1)=ZZ$1490,ROW(OFFSET(nombres[],0,0,ROWS(nombres[]),1))-ROW(OFFSET(nombres[],0,0,1,1))+1,ROW(OFFSET(nombres[],ROWS(nombres[])-1,0,1,1))+1),$O1555:$O1574),3),"")</f>
        <v/>
      </c>
      <c r="AAA1555" s="42" t="str">
        <f t="array" aca="1" ref="AAA1555" ca="1">IFERROR(INDEX(nombres[],SMALL(IF(OFFSET(nombres[],0,0,ROWS(nombres[]),1)=AAA$1490,ROW(OFFSET(nombres[],0,0,ROWS(nombres[]),1))-ROW(OFFSET(nombres[],0,0,1,1))+1,ROW(OFFSET(nombres[],ROWS(nombres[])-1,0,1,1))+1),$O1555:$O1574),3),"")</f>
        <v/>
      </c>
      <c r="AAB1555" s="42" t="str">
        <f t="array" aca="1" ref="AAB1555" ca="1">IFERROR(INDEX(nombres[],SMALL(IF(OFFSET(nombres[],0,0,ROWS(nombres[]),1)=AAB$1490,ROW(OFFSET(nombres[],0,0,ROWS(nombres[]),1))-ROW(OFFSET(nombres[],0,0,1,1))+1,ROW(OFFSET(nombres[],ROWS(nombres[])-1,0,1,1))+1),$O1555:$O1574),3),"")</f>
        <v/>
      </c>
      <c r="AAC1555" s="42" t="str">
        <f t="array" aca="1" ref="AAC1555" ca="1">IFERROR(INDEX(nombres[],SMALL(IF(OFFSET(nombres[],0,0,ROWS(nombres[]),1)=AAC$1490,ROW(OFFSET(nombres[],0,0,ROWS(nombres[]),1))-ROW(OFFSET(nombres[],0,0,1,1))+1,ROW(OFFSET(nombres[],ROWS(nombres[])-1,0,1,1))+1),$O1555:$O1574),3),"")</f>
        <v/>
      </c>
      <c r="AAD1555" s="42" t="str">
        <f t="array" aca="1" ref="AAD1555" ca="1">IFERROR(INDEX(nombres[],SMALL(IF(OFFSET(nombres[],0,0,ROWS(nombres[]),1)=AAD$1490,ROW(OFFSET(nombres[],0,0,ROWS(nombres[]),1))-ROW(OFFSET(nombres[],0,0,1,1))+1,ROW(OFFSET(nombres[],ROWS(nombres[])-1,0,1,1))+1),$O1555:$O1574),3),"")</f>
        <v/>
      </c>
      <c r="AAE1555" s="42" t="str">
        <f t="array" aca="1" ref="AAE1555" ca="1">IFERROR(INDEX(nombres[],SMALL(IF(OFFSET(nombres[],0,0,ROWS(nombres[]),1)=AAE$1490,ROW(OFFSET(nombres[],0,0,ROWS(nombres[]),1))-ROW(OFFSET(nombres[],0,0,1,1))+1,ROW(OFFSET(nombres[],ROWS(nombres[])-1,0,1,1))+1),$O1555:$O1574),3),"")</f>
        <v/>
      </c>
      <c r="AAF1555" s="42" t="str">
        <f t="array" aca="1" ref="AAF1555" ca="1">IFERROR(INDEX(nombres[],SMALL(IF(OFFSET(nombres[],0,0,ROWS(nombres[]),1)=AAF$1490,ROW(OFFSET(nombres[],0,0,ROWS(nombres[]),1))-ROW(OFFSET(nombres[],0,0,1,1))+1,ROW(OFFSET(nombres[],ROWS(nombres[])-1,0,1,1))+1),$O1555:$O1574),3),"")</f>
        <v/>
      </c>
      <c r="AAG1555" s="42" t="str">
        <f t="array" aca="1" ref="AAG1555" ca="1">IFERROR(INDEX(nombres[],SMALL(IF(OFFSET(nombres[],0,0,ROWS(nombres[]),1)=AAG$1490,ROW(OFFSET(nombres[],0,0,ROWS(nombres[]),1))-ROW(OFFSET(nombres[],0,0,1,1))+1,ROW(OFFSET(nombres[],ROWS(nombres[])-1,0,1,1))+1),$O1555:$O1574),3),"")</f>
        <v/>
      </c>
      <c r="AAH1555" s="42" t="str">
        <f t="array" aca="1" ref="AAH1555" ca="1">IFERROR(INDEX(nombres[],SMALL(IF(OFFSET(nombres[],0,0,ROWS(nombres[]),1)=AAH$1490,ROW(OFFSET(nombres[],0,0,ROWS(nombres[]),1))-ROW(OFFSET(nombres[],0,0,1,1))+1,ROW(OFFSET(nombres[],ROWS(nombres[])-1,0,1,1))+1),$O1555:$O1574),3),"")</f>
        <v/>
      </c>
      <c r="AAI1555" s="42" t="str">
        <f t="array" aca="1" ref="AAI1555" ca="1">IFERROR(INDEX(nombres[],SMALL(IF(OFFSET(nombres[],0,0,ROWS(nombres[]),1)=AAI$1490,ROW(OFFSET(nombres[],0,0,ROWS(nombres[]),1))-ROW(OFFSET(nombres[],0,0,1,1))+1,ROW(OFFSET(nombres[],ROWS(nombres[])-1,0,1,1))+1),$O1555:$O1574),3),"")</f>
        <v/>
      </c>
      <c r="AAJ1555" s="42" t="str">
        <f t="array" aca="1" ref="AAJ1555" ca="1">IFERROR(INDEX(nombres[],SMALL(IF(OFFSET(nombres[],0,0,ROWS(nombres[]),1)=AAJ$1490,ROW(OFFSET(nombres[],0,0,ROWS(nombres[]),1))-ROW(OFFSET(nombres[],0,0,1,1))+1,ROW(OFFSET(nombres[],ROWS(nombres[])-1,0,1,1))+1),$O1555:$O1574),3),"")</f>
        <v/>
      </c>
      <c r="AAK1555" s="42" t="str">
        <f t="array" aca="1" ref="AAK1555" ca="1">IFERROR(INDEX(nombres[],SMALL(IF(OFFSET(nombres[],0,0,ROWS(nombres[]),1)=AAK$1490,ROW(OFFSET(nombres[],0,0,ROWS(nombres[]),1))-ROW(OFFSET(nombres[],0,0,1,1))+1,ROW(OFFSET(nombres[],ROWS(nombres[])-1,0,1,1))+1),$O1555:$O1574),3),"")</f>
        <v/>
      </c>
      <c r="AAL1555" s="42" t="str">
        <f t="array" aca="1" ref="AAL1555" ca="1">IFERROR(INDEX(nombres[],SMALL(IF(OFFSET(nombres[],0,0,ROWS(nombres[]),1)=AAL$1490,ROW(OFFSET(nombres[],0,0,ROWS(nombres[]),1))-ROW(OFFSET(nombres[],0,0,1,1))+1,ROW(OFFSET(nombres[],ROWS(nombres[])-1,0,1,1))+1),$O1555:$O1574),3),"")</f>
        <v/>
      </c>
      <c r="AAM1555" s="42" t="str">
        <f t="array" aca="1" ref="AAM1555" ca="1">IFERROR(INDEX(nombres[],SMALL(IF(OFFSET(nombres[],0,0,ROWS(nombres[]),1)=AAM$1490,ROW(OFFSET(nombres[],0,0,ROWS(nombres[]),1))-ROW(OFFSET(nombres[],0,0,1,1))+1,ROW(OFFSET(nombres[],ROWS(nombres[])-1,0,1,1))+1),$O1555:$O1574),3),"")</f>
        <v/>
      </c>
      <c r="AAN1555" s="42" t="str">
        <f t="array" aca="1" ref="AAN1555" ca="1">IFERROR(INDEX(nombres[],SMALL(IF(OFFSET(nombres[],0,0,ROWS(nombres[]),1)=AAN$1490,ROW(OFFSET(nombres[],0,0,ROWS(nombres[]),1))-ROW(OFFSET(nombres[],0,0,1,1))+1,ROW(OFFSET(nombres[],ROWS(nombres[])-1,0,1,1))+1),$O1555:$O1574),3),"")</f>
        <v/>
      </c>
      <c r="AAO1555" s="42" t="str">
        <f t="array" aca="1" ref="AAO1555" ca="1">IFERROR(INDEX(nombres[],SMALL(IF(OFFSET(nombres[],0,0,ROWS(nombres[]),1)=AAO$1490,ROW(OFFSET(nombres[],0,0,ROWS(nombres[]),1))-ROW(OFFSET(nombres[],0,0,1,1))+1,ROW(OFFSET(nombres[],ROWS(nombres[])-1,0,1,1))+1),$O1555:$O1574),3),"")</f>
        <v/>
      </c>
      <c r="AAP1555" s="42" t="str">
        <f t="array" aca="1" ref="AAP1555" ca="1">IFERROR(INDEX(nombres[],SMALL(IF(OFFSET(nombres[],0,0,ROWS(nombres[]),1)=AAP$1490,ROW(OFFSET(nombres[],0,0,ROWS(nombres[]),1))-ROW(OFFSET(nombres[],0,0,1,1))+1,ROW(OFFSET(nombres[],ROWS(nombres[])-1,0,1,1))+1),$O1555:$O1574),3),"")</f>
        <v/>
      </c>
      <c r="AAQ1555" s="42" t="str">
        <f t="array" aca="1" ref="AAQ1555" ca="1">IFERROR(INDEX(nombres[],SMALL(IF(OFFSET(nombres[],0,0,ROWS(nombres[]),1)=AAQ$1490,ROW(OFFSET(nombres[],0,0,ROWS(nombres[]),1))-ROW(OFFSET(nombres[],0,0,1,1))+1,ROW(OFFSET(nombres[],ROWS(nombres[])-1,0,1,1))+1),$O1555:$O1574),3),"")</f>
        <v/>
      </c>
      <c r="AAR1555" s="42" t="str">
        <f t="array" aca="1" ref="AAR1555" ca="1">IFERROR(INDEX(nombres[],SMALL(IF(OFFSET(nombres[],0,0,ROWS(nombres[]),1)=AAR$1490,ROW(OFFSET(nombres[],0,0,ROWS(nombres[]),1))-ROW(OFFSET(nombres[],0,0,1,1))+1,ROW(OFFSET(nombres[],ROWS(nombres[])-1,0,1,1))+1),$O1555:$O1574),3),"")</f>
        <v/>
      </c>
      <c r="AAS1555" s="42" t="str">
        <f t="array" aca="1" ref="AAS1555" ca="1">IFERROR(INDEX(nombres[],SMALL(IF(OFFSET(nombres[],0,0,ROWS(nombres[]),1)=AAS$1490,ROW(OFFSET(nombres[],0,0,ROWS(nombres[]),1))-ROW(OFFSET(nombres[],0,0,1,1))+1,ROW(OFFSET(nombres[],ROWS(nombres[])-1,0,1,1))+1),$O1555:$O1574),3),"")</f>
        <v/>
      </c>
      <c r="AAT1555" s="42" t="str">
        <f t="array" aca="1" ref="AAT1555" ca="1">IFERROR(INDEX(nombres[],SMALL(IF(OFFSET(nombres[],0,0,ROWS(nombres[]),1)=AAT$1490,ROW(OFFSET(nombres[],0,0,ROWS(nombres[]),1))-ROW(OFFSET(nombres[],0,0,1,1))+1,ROW(OFFSET(nombres[],ROWS(nombres[])-1,0,1,1))+1),$O1555:$O1574),3),"")</f>
        <v/>
      </c>
      <c r="AAU1555" s="42" t="str">
        <f t="array" aca="1" ref="AAU1555" ca="1">IFERROR(INDEX(nombres[],SMALL(IF(OFFSET(nombres[],0,0,ROWS(nombres[]),1)=AAU$1490,ROW(OFFSET(nombres[],0,0,ROWS(nombres[]),1))-ROW(OFFSET(nombres[],0,0,1,1))+1,ROW(OFFSET(nombres[],ROWS(nombres[])-1,0,1,1))+1),$O1555:$O1574),3),"")</f>
        <v/>
      </c>
      <c r="AAV1555" s="42" t="str">
        <f t="array" aca="1" ref="AAV1555" ca="1">IFERROR(INDEX(nombres[],SMALL(IF(OFFSET(nombres[],0,0,ROWS(nombres[]),1)=AAV$1490,ROW(OFFSET(nombres[],0,0,ROWS(nombres[]),1))-ROW(OFFSET(nombres[],0,0,1,1))+1,ROW(OFFSET(nombres[],ROWS(nombres[])-1,0,1,1))+1),$O1555:$O1574),3),"")</f>
        <v/>
      </c>
      <c r="AAW1555" s="42" t="str">
        <f t="array" aca="1" ref="AAW1555" ca="1">IFERROR(INDEX(nombres[],SMALL(IF(OFFSET(nombres[],0,0,ROWS(nombres[]),1)=AAW$1490,ROW(OFFSET(nombres[],0,0,ROWS(nombres[]),1))-ROW(OFFSET(nombres[],0,0,1,1))+1,ROW(OFFSET(nombres[],ROWS(nombres[])-1,0,1,1))+1),$O1555:$O1574),3),"")</f>
        <v/>
      </c>
      <c r="AAX1555" s="42" t="str">
        <f t="array" aca="1" ref="AAX1555" ca="1">IFERROR(INDEX(nombres[],SMALL(IF(OFFSET(nombres[],0,0,ROWS(nombres[]),1)=AAX$1490,ROW(OFFSET(nombres[],0,0,ROWS(nombres[]),1))-ROW(OFFSET(nombres[],0,0,1,1))+1,ROW(OFFSET(nombres[],ROWS(nombres[])-1,0,1,1))+1),$O1555:$O1574),3),"")</f>
        <v/>
      </c>
      <c r="AAY1555" s="42" t="str">
        <f t="array" aca="1" ref="AAY1555" ca="1">IFERROR(INDEX(nombres[],SMALL(IF(OFFSET(nombres[],0,0,ROWS(nombres[]),1)=AAY$1490,ROW(OFFSET(nombres[],0,0,ROWS(nombres[]),1))-ROW(OFFSET(nombres[],0,0,1,1))+1,ROW(OFFSET(nombres[],ROWS(nombres[])-1,0,1,1))+1),$O1555:$O1574),3),"")</f>
        <v/>
      </c>
      <c r="AAZ1555" s="42" t="str">
        <f t="array" aca="1" ref="AAZ1555" ca="1">IFERROR(INDEX(nombres[],SMALL(IF(OFFSET(nombres[],0,0,ROWS(nombres[]),1)=AAZ$1490,ROW(OFFSET(nombres[],0,0,ROWS(nombres[]),1))-ROW(OFFSET(nombres[],0,0,1,1))+1,ROW(OFFSET(nombres[],ROWS(nombres[])-1,0,1,1))+1),$O1555:$O1574),3),"")</f>
        <v/>
      </c>
      <c r="ABA1555" s="42" t="str">
        <f t="array" aca="1" ref="ABA1555" ca="1">IFERROR(INDEX(nombres[],SMALL(IF(OFFSET(nombres[],0,0,ROWS(nombres[]),1)=ABA$1490,ROW(OFFSET(nombres[],0,0,ROWS(nombres[]),1))-ROW(OFFSET(nombres[],0,0,1,1))+1,ROW(OFFSET(nombres[],ROWS(nombres[])-1,0,1,1))+1),$O1555:$O1574),3),"")</f>
        <v/>
      </c>
      <c r="ABB1555" s="42" t="str">
        <f t="array" aca="1" ref="ABB1555" ca="1">IFERROR(INDEX(nombres[],SMALL(IF(OFFSET(nombres[],0,0,ROWS(nombres[]),1)=ABB$1490,ROW(OFFSET(nombres[],0,0,ROWS(nombres[]),1))-ROW(OFFSET(nombres[],0,0,1,1))+1,ROW(OFFSET(nombres[],ROWS(nombres[])-1,0,1,1))+1),$O1555:$O1574),3),"")</f>
        <v/>
      </c>
      <c r="ABC1555" s="42" t="str">
        <f t="array" aca="1" ref="ABC1555" ca="1">IFERROR(INDEX(nombres[],SMALL(IF(OFFSET(nombres[],0,0,ROWS(nombres[]),1)=ABC$1490,ROW(OFFSET(nombres[],0,0,ROWS(nombres[]),1))-ROW(OFFSET(nombres[],0,0,1,1))+1,ROW(OFFSET(nombres[],ROWS(nombres[])-1,0,1,1))+1),$O1555:$O1574),3),"")</f>
        <v/>
      </c>
      <c r="ABD1555" s="42" t="str">
        <f t="array" aca="1" ref="ABD1555" ca="1">IFERROR(INDEX(nombres[],SMALL(IF(OFFSET(nombres[],0,0,ROWS(nombres[]),1)=ABD$1490,ROW(OFFSET(nombres[],0,0,ROWS(nombres[]),1))-ROW(OFFSET(nombres[],0,0,1,1))+1,ROW(OFFSET(nombres[],ROWS(nombres[])-1,0,1,1))+1),$O1555:$O1574),3),"")</f>
        <v/>
      </c>
      <c r="ABE1555" s="42" t="str">
        <f t="array" aca="1" ref="ABE1555" ca="1">IFERROR(INDEX(nombres[],SMALL(IF(OFFSET(nombres[],0,0,ROWS(nombres[]),1)=ABE$1490,ROW(OFFSET(nombres[],0,0,ROWS(nombres[]),1))-ROW(OFFSET(nombres[],0,0,1,1))+1,ROW(OFFSET(nombres[],ROWS(nombres[])-1,0,1,1))+1),$O1555:$O1574),3),"")</f>
        <v/>
      </c>
      <c r="ABF1555" s="42" t="str">
        <f t="array" aca="1" ref="ABF1555" ca="1">IFERROR(INDEX(nombres[],SMALL(IF(OFFSET(nombres[],0,0,ROWS(nombres[]),1)=ABF$1490,ROW(OFFSET(nombres[],0,0,ROWS(nombres[]),1))-ROW(OFFSET(nombres[],0,0,1,1))+1,ROW(OFFSET(nombres[],ROWS(nombres[])-1,0,1,1))+1),$O1555:$O1574),3),"")</f>
        <v/>
      </c>
      <c r="ABG1555" s="42" t="str">
        <f t="array" aca="1" ref="ABG1555" ca="1">IFERROR(INDEX(nombres[],SMALL(IF(OFFSET(nombres[],0,0,ROWS(nombres[]),1)=ABG$1490,ROW(OFFSET(nombres[],0,0,ROWS(nombres[]),1))-ROW(OFFSET(nombres[],0,0,1,1))+1,ROW(OFFSET(nombres[],ROWS(nombres[])-1,0,1,1))+1),$O1555:$O1574),3),"")</f>
        <v/>
      </c>
      <c r="ABH1555" s="42" t="str">
        <f t="array" aca="1" ref="ABH1555" ca="1">IFERROR(INDEX(nombres[],SMALL(IF(OFFSET(nombres[],0,0,ROWS(nombres[]),1)=ABH$1490,ROW(OFFSET(nombres[],0,0,ROWS(nombres[]),1))-ROW(OFFSET(nombres[],0,0,1,1))+1,ROW(OFFSET(nombres[],ROWS(nombres[])-1,0,1,1))+1),$O1555:$O1574),3),"")</f>
        <v/>
      </c>
      <c r="ABI1555" s="42" t="str">
        <f t="array" aca="1" ref="ABI1555" ca="1">IFERROR(INDEX(nombres[],SMALL(IF(OFFSET(nombres[],0,0,ROWS(nombres[]),1)=ABI$1490,ROW(OFFSET(nombres[],0,0,ROWS(nombres[]),1))-ROW(OFFSET(nombres[],0,0,1,1))+1,ROW(OFFSET(nombres[],ROWS(nombres[])-1,0,1,1))+1),$O1555:$O1574),3),"")</f>
        <v/>
      </c>
      <c r="ABJ1555" s="42" t="str">
        <f t="array" aca="1" ref="ABJ1555" ca="1">IFERROR(INDEX(nombres[],SMALL(IF(OFFSET(nombres[],0,0,ROWS(nombres[]),1)=ABJ$1490,ROW(OFFSET(nombres[],0,0,ROWS(nombres[]),1))-ROW(OFFSET(nombres[],0,0,1,1))+1,ROW(OFFSET(nombres[],ROWS(nombres[])-1,0,1,1))+1),$O1555:$O1574),3),"")</f>
        <v/>
      </c>
      <c r="ABK1555" s="42" t="str">
        <f t="array" aca="1" ref="ABK1555" ca="1">IFERROR(INDEX(nombres[],SMALL(IF(OFFSET(nombres[],0,0,ROWS(nombres[]),1)=ABK$1490,ROW(OFFSET(nombres[],0,0,ROWS(nombres[]),1))-ROW(OFFSET(nombres[],0,0,1,1))+1,ROW(OFFSET(nombres[],ROWS(nombres[])-1,0,1,1))+1),$O1555:$O1574),3),"")</f>
        <v/>
      </c>
      <c r="ABL1555" s="42" t="str">
        <f t="array" aca="1" ref="ABL1555" ca="1">IFERROR(INDEX(nombres[],SMALL(IF(OFFSET(nombres[],0,0,ROWS(nombres[]),1)=ABL$1490,ROW(OFFSET(nombres[],0,0,ROWS(nombres[]),1))-ROW(OFFSET(nombres[],0,0,1,1))+1,ROW(OFFSET(nombres[],ROWS(nombres[])-1,0,1,1))+1),$O1555:$O1574),3),"")</f>
        <v/>
      </c>
      <c r="ABM1555" s="42" t="str">
        <f t="array" aca="1" ref="ABM1555" ca="1">IFERROR(INDEX(nombres[],SMALL(IF(OFFSET(nombres[],0,0,ROWS(nombres[]),1)=ABM$1490,ROW(OFFSET(nombres[],0,0,ROWS(nombres[]),1))-ROW(OFFSET(nombres[],0,0,1,1))+1,ROW(OFFSET(nombres[],ROWS(nombres[])-1,0,1,1))+1),$O1555:$O1574),3),"")</f>
        <v/>
      </c>
      <c r="ABN1555" s="42" t="str">
        <f t="array" aca="1" ref="ABN1555" ca="1">IFERROR(INDEX(nombres[],SMALL(IF(OFFSET(nombres[],0,0,ROWS(nombres[]),1)=ABN$1490,ROW(OFFSET(nombres[],0,0,ROWS(nombres[]),1))-ROW(OFFSET(nombres[],0,0,1,1))+1,ROW(OFFSET(nombres[],ROWS(nombres[])-1,0,1,1))+1),$O1555:$O1574),3),"")</f>
        <v/>
      </c>
      <c r="ABO1555" s="42" t="str">
        <f t="array" aca="1" ref="ABO1555" ca="1">IFERROR(INDEX(nombres[],SMALL(IF(OFFSET(nombres[],0,0,ROWS(nombres[]),1)=ABO$1490,ROW(OFFSET(nombres[],0,0,ROWS(nombres[]),1))-ROW(OFFSET(nombres[],0,0,1,1))+1,ROW(OFFSET(nombres[],ROWS(nombres[])-1,0,1,1))+1),$O1555:$O1574),3),"")</f>
        <v/>
      </c>
      <c r="ABP1555" s="42" t="str">
        <f t="array" aca="1" ref="ABP1555" ca="1">IFERROR(INDEX(nombres[],SMALL(IF(OFFSET(nombres[],0,0,ROWS(nombres[]),1)=ABP$1490,ROW(OFFSET(nombres[],0,0,ROWS(nombres[]),1))-ROW(OFFSET(nombres[],0,0,1,1))+1,ROW(OFFSET(nombres[],ROWS(nombres[])-1,0,1,1))+1),$O1555:$O1574),3),"")</f>
        <v/>
      </c>
      <c r="ABQ1555" s="42" t="str">
        <f t="array" aca="1" ref="ABQ1555" ca="1">IFERROR(INDEX(nombres[],SMALL(IF(OFFSET(nombres[],0,0,ROWS(nombres[]),1)=ABQ$1490,ROW(OFFSET(nombres[],0,0,ROWS(nombres[]),1))-ROW(OFFSET(nombres[],0,0,1,1))+1,ROW(OFFSET(nombres[],ROWS(nombres[])-1,0,1,1))+1),$O1555:$O1574),3),"")</f>
        <v/>
      </c>
      <c r="ABR1555" s="42" t="str">
        <f t="array" aca="1" ref="ABR1555" ca="1">IFERROR(INDEX(nombres[],SMALL(IF(OFFSET(nombres[],0,0,ROWS(nombres[]),1)=ABR$1490,ROW(OFFSET(nombres[],0,0,ROWS(nombres[]),1))-ROW(OFFSET(nombres[],0,0,1,1))+1,ROW(OFFSET(nombres[],ROWS(nombres[])-1,0,1,1))+1),$O1555:$O1574),3),"")</f>
        <v/>
      </c>
      <c r="ABS1555" s="42" t="str">
        <f t="array" aca="1" ref="ABS1555" ca="1">IFERROR(INDEX(nombres[],SMALL(IF(OFFSET(nombres[],0,0,ROWS(nombres[]),1)=ABS$1490,ROW(OFFSET(nombres[],0,0,ROWS(nombres[]),1))-ROW(OFFSET(nombres[],0,0,1,1))+1,ROW(OFFSET(nombres[],ROWS(nombres[])-1,0,1,1))+1),$O1555:$O1574),3),"")</f>
        <v/>
      </c>
      <c r="ABT1555" s="42" t="str">
        <f t="array" aca="1" ref="ABT1555" ca="1">IFERROR(INDEX(nombres[],SMALL(IF(OFFSET(nombres[],0,0,ROWS(nombres[]),1)=ABT$1490,ROW(OFFSET(nombres[],0,0,ROWS(nombres[]),1))-ROW(OFFSET(nombres[],0,0,1,1))+1,ROW(OFFSET(nombres[],ROWS(nombres[])-1,0,1,1))+1),$O1555:$O1574),3),"")</f>
        <v/>
      </c>
      <c r="ABU1555" s="42" t="str">
        <f t="array" aca="1" ref="ABU1555" ca="1">IFERROR(INDEX(nombres[],SMALL(IF(OFFSET(nombres[],0,0,ROWS(nombres[]),1)=ABU$1490,ROW(OFFSET(nombres[],0,0,ROWS(nombres[]),1))-ROW(OFFSET(nombres[],0,0,1,1))+1,ROW(OFFSET(nombres[],ROWS(nombres[])-1,0,1,1))+1),$O1555:$O1574),3),"")</f>
        <v/>
      </c>
      <c r="ABV1555" s="42" t="str">
        <f t="array" aca="1" ref="ABV1555" ca="1">IFERROR(INDEX(nombres[],SMALL(IF(OFFSET(nombres[],0,0,ROWS(nombres[]),1)=ABV$1490,ROW(OFFSET(nombres[],0,0,ROWS(nombres[]),1))-ROW(OFFSET(nombres[],0,0,1,1))+1,ROW(OFFSET(nombres[],ROWS(nombres[])-1,0,1,1))+1),$O1555:$O1574),3),"")</f>
        <v/>
      </c>
      <c r="ABW1555" s="42" t="str">
        <f t="array" aca="1" ref="ABW1555" ca="1">IFERROR(INDEX(nombres[],SMALL(IF(OFFSET(nombres[],0,0,ROWS(nombres[]),1)=ABW$1490,ROW(OFFSET(nombres[],0,0,ROWS(nombres[]),1))-ROW(OFFSET(nombres[],0,0,1,1))+1,ROW(OFFSET(nombres[],ROWS(nombres[])-1,0,1,1))+1),$O1555:$O1574),3),"")</f>
        <v/>
      </c>
      <c r="ABX1555" s="42" t="str">
        <f t="array" aca="1" ref="ABX1555" ca="1">IFERROR(INDEX(nombres[],SMALL(IF(OFFSET(nombres[],0,0,ROWS(nombres[]),1)=ABX$1490,ROW(OFFSET(nombres[],0,0,ROWS(nombres[]),1))-ROW(OFFSET(nombres[],0,0,1,1))+1,ROW(OFFSET(nombres[],ROWS(nombres[])-1,0,1,1))+1),$O1555:$O1574),3),"")</f>
        <v/>
      </c>
      <c r="ABY1555" s="42" t="str">
        <f t="array" aca="1" ref="ABY1555" ca="1">IFERROR(INDEX(nombres[],SMALL(IF(OFFSET(nombres[],0,0,ROWS(nombres[]),1)=ABY$1490,ROW(OFFSET(nombres[],0,0,ROWS(nombres[]),1))-ROW(OFFSET(nombres[],0,0,1,1))+1,ROW(OFFSET(nombres[],ROWS(nombres[])-1,0,1,1))+1),$O1555:$O1574),3),"")</f>
        <v/>
      </c>
      <c r="ABZ1555" s="42" t="str">
        <f t="array" aca="1" ref="ABZ1555" ca="1">IFERROR(INDEX(nombres[],SMALL(IF(OFFSET(nombres[],0,0,ROWS(nombres[]),1)=ABZ$1490,ROW(OFFSET(nombres[],0,0,ROWS(nombres[]),1))-ROW(OFFSET(nombres[],0,0,1,1))+1,ROW(OFFSET(nombres[],ROWS(nombres[])-1,0,1,1))+1),$O1555:$O1574),3),"")</f>
        <v/>
      </c>
      <c r="ACA1555" s="42" t="str">
        <f t="array" aca="1" ref="ACA1555" ca="1">IFERROR(INDEX(nombres[],SMALL(IF(OFFSET(nombres[],0,0,ROWS(nombres[]),1)=ACA$1490,ROW(OFFSET(nombres[],0,0,ROWS(nombres[]),1))-ROW(OFFSET(nombres[],0,0,1,1))+1,ROW(OFFSET(nombres[],ROWS(nombres[])-1,0,1,1))+1),$O1555:$O1574),3),"")</f>
        <v/>
      </c>
      <c r="ACB1555" s="42" t="str">
        <f t="array" aca="1" ref="ACB1555" ca="1">IFERROR(INDEX(nombres[],SMALL(IF(OFFSET(nombres[],0,0,ROWS(nombres[]),1)=ACB$1490,ROW(OFFSET(nombres[],0,0,ROWS(nombres[]),1))-ROW(OFFSET(nombres[],0,0,1,1))+1,ROW(OFFSET(nombres[],ROWS(nombres[])-1,0,1,1))+1),$O1555:$O1574),3),"")</f>
        <v/>
      </c>
      <c r="ACC1555" s="42" t="str">
        <f t="array" aca="1" ref="ACC1555" ca="1">IFERROR(INDEX(nombres[],SMALL(IF(OFFSET(nombres[],0,0,ROWS(nombres[]),1)=ACC$1490,ROW(OFFSET(nombres[],0,0,ROWS(nombres[]),1))-ROW(OFFSET(nombres[],0,0,1,1))+1,ROW(OFFSET(nombres[],ROWS(nombres[])-1,0,1,1))+1),$O1555:$O1574),3),"")</f>
        <v/>
      </c>
      <c r="ACD1555" s="42" t="str">
        <f t="array" aca="1" ref="ACD1555" ca="1">IFERROR(INDEX(nombres[],SMALL(IF(OFFSET(nombres[],0,0,ROWS(nombres[]),1)=ACD$1490,ROW(OFFSET(nombres[],0,0,ROWS(nombres[]),1))-ROW(OFFSET(nombres[],0,0,1,1))+1,ROW(OFFSET(nombres[],ROWS(nombres[])-1,0,1,1))+1),$O1555:$O1574),3),"")</f>
        <v/>
      </c>
      <c r="ACE1555" s="42" t="str">
        <f t="array" aca="1" ref="ACE1555" ca="1">IFERROR(INDEX(nombres[],SMALL(IF(OFFSET(nombres[],0,0,ROWS(nombres[]),1)=ACE$1490,ROW(OFFSET(nombres[],0,0,ROWS(nombres[]),1))-ROW(OFFSET(nombres[],0,0,1,1))+1,ROW(OFFSET(nombres[],ROWS(nombres[])-1,0,1,1))+1),$O1555:$O1574),3),"")</f>
        <v/>
      </c>
      <c r="ACF1555" s="42" t="str">
        <f t="array" aca="1" ref="ACF1555" ca="1">IFERROR(INDEX(nombres[],SMALL(IF(OFFSET(nombres[],0,0,ROWS(nombres[]),1)=ACF$1490,ROW(OFFSET(nombres[],0,0,ROWS(nombres[]),1))-ROW(OFFSET(nombres[],0,0,1,1))+1,ROW(OFFSET(nombres[],ROWS(nombres[])-1,0,1,1))+1),$O1555:$O1574),3),"")</f>
        <v/>
      </c>
      <c r="ACG1555" s="42" t="str">
        <f t="array" aca="1" ref="ACG1555" ca="1">IFERROR(INDEX(nombres[],SMALL(IF(OFFSET(nombres[],0,0,ROWS(nombres[]),1)=ACG$1490,ROW(OFFSET(nombres[],0,0,ROWS(nombres[]),1))-ROW(OFFSET(nombres[],0,0,1,1))+1,ROW(OFFSET(nombres[],ROWS(nombres[])-1,0,1,1))+1),$O1555:$O1574),3),"")</f>
        <v/>
      </c>
      <c r="ACH1555" s="42" t="str">
        <f t="array" aca="1" ref="ACH1555" ca="1">IFERROR(INDEX(nombres[],SMALL(IF(OFFSET(nombres[],0,0,ROWS(nombres[]),1)=ACH$1490,ROW(OFFSET(nombres[],0,0,ROWS(nombres[]),1))-ROW(OFFSET(nombres[],0,0,1,1))+1,ROW(OFFSET(nombres[],ROWS(nombres[])-1,0,1,1))+1),$O1555:$O1574),3),"")</f>
        <v/>
      </c>
      <c r="ACI1555" s="42" t="str">
        <f t="array" aca="1" ref="ACI1555" ca="1">IFERROR(INDEX(nombres[],SMALL(IF(OFFSET(nombres[],0,0,ROWS(nombres[]),1)=ACI$1490,ROW(OFFSET(nombres[],0,0,ROWS(nombres[]),1))-ROW(OFFSET(nombres[],0,0,1,1))+1,ROW(OFFSET(nombres[],ROWS(nombres[])-1,0,1,1))+1),$O1555:$O1574),3),"")</f>
        <v/>
      </c>
      <c r="ACJ1555" s="42" t="str">
        <f t="array" aca="1" ref="ACJ1555" ca="1">IFERROR(INDEX(nombres[],SMALL(IF(OFFSET(nombres[],0,0,ROWS(nombres[]),1)=ACJ$1490,ROW(OFFSET(nombres[],0,0,ROWS(nombres[]),1))-ROW(OFFSET(nombres[],0,0,1,1))+1,ROW(OFFSET(nombres[],ROWS(nombres[])-1,0,1,1))+1),$O1555:$O1574),3),"")</f>
        <v/>
      </c>
      <c r="ACK1555" s="42" t="str">
        <f t="array" aca="1" ref="ACK1555" ca="1">IFERROR(INDEX(nombres[],SMALL(IF(OFFSET(nombres[],0,0,ROWS(nombres[]),1)=ACK$1490,ROW(OFFSET(nombres[],0,0,ROWS(nombres[]),1))-ROW(OFFSET(nombres[],0,0,1,1))+1,ROW(OFFSET(nombres[],ROWS(nombres[])-1,0,1,1))+1),$O1555:$O1574),3),"")</f>
        <v/>
      </c>
      <c r="ACL1555" s="42" t="str">
        <f t="array" aca="1" ref="ACL1555" ca="1">IFERROR(INDEX(nombres[],SMALL(IF(OFFSET(nombres[],0,0,ROWS(nombres[]),1)=ACL$1490,ROW(OFFSET(nombres[],0,0,ROWS(nombres[]),1))-ROW(OFFSET(nombres[],0,0,1,1))+1,ROW(OFFSET(nombres[],ROWS(nombres[])-1,0,1,1))+1),$O1555:$O1574),3),"")</f>
        <v/>
      </c>
      <c r="ACM1555" s="42" t="str">
        <f t="array" aca="1" ref="ACM1555" ca="1">IFERROR(INDEX(nombres[],SMALL(IF(OFFSET(nombres[],0,0,ROWS(nombres[]),1)=ACM$1490,ROW(OFFSET(nombres[],0,0,ROWS(nombres[]),1))-ROW(OFFSET(nombres[],0,0,1,1))+1,ROW(OFFSET(nombres[],ROWS(nombres[])-1,0,1,1))+1),$O1555:$O1574),3),"")</f>
        <v/>
      </c>
      <c r="ACN1555" s="42" t="str">
        <f t="array" aca="1" ref="ACN1555" ca="1">IFERROR(INDEX(nombres[],SMALL(IF(OFFSET(nombres[],0,0,ROWS(nombres[]),1)=ACN$1490,ROW(OFFSET(nombres[],0,0,ROWS(nombres[]),1))-ROW(OFFSET(nombres[],0,0,1,1))+1,ROW(OFFSET(nombres[],ROWS(nombres[])-1,0,1,1))+1),$O1555:$O1574),3),"")</f>
        <v/>
      </c>
      <c r="ACO1555" s="42" t="str">
        <f t="array" aca="1" ref="ACO1555" ca="1">IFERROR(INDEX(nombres[],SMALL(IF(OFFSET(nombres[],0,0,ROWS(nombres[]),1)=ACO$1490,ROW(OFFSET(nombres[],0,0,ROWS(nombres[]),1))-ROW(OFFSET(nombres[],0,0,1,1))+1,ROW(OFFSET(nombres[],ROWS(nombres[])-1,0,1,1))+1),$O1555:$O1574),3),"")</f>
        <v/>
      </c>
      <c r="ACP1555" s="42" t="str">
        <f t="array" aca="1" ref="ACP1555" ca="1">IFERROR(INDEX(nombres[],SMALL(IF(OFFSET(nombres[],0,0,ROWS(nombres[]),1)=ACP$1490,ROW(OFFSET(nombres[],0,0,ROWS(nombres[]),1))-ROW(OFFSET(nombres[],0,0,1,1))+1,ROW(OFFSET(nombres[],ROWS(nombres[])-1,0,1,1))+1),$O1555:$O1574),3),"")</f>
        <v/>
      </c>
      <c r="ACQ1555" s="42" t="str">
        <f t="array" aca="1" ref="ACQ1555" ca="1">IFERROR(INDEX(nombres[],SMALL(IF(OFFSET(nombres[],0,0,ROWS(nombres[]),1)=ACQ$1490,ROW(OFFSET(nombres[],0,0,ROWS(nombres[]),1))-ROW(OFFSET(nombres[],0,0,1,1))+1,ROW(OFFSET(nombres[],ROWS(nombres[])-1,0,1,1))+1),$O1555:$O1574),3),"")</f>
        <v/>
      </c>
      <c r="ACR1555" s="42" t="str">
        <f t="array" aca="1" ref="ACR1555" ca="1">IFERROR(INDEX(nombres[],SMALL(IF(OFFSET(nombres[],0,0,ROWS(nombres[]),1)=ACR$1490,ROW(OFFSET(nombres[],0,0,ROWS(nombres[]),1))-ROW(OFFSET(nombres[],0,0,1,1))+1,ROW(OFFSET(nombres[],ROWS(nombres[])-1,0,1,1))+1),$O1555:$O1574),3),"")</f>
        <v/>
      </c>
      <c r="ACS1555" s="42" t="str">
        <f t="array" aca="1" ref="ACS1555" ca="1">IFERROR(INDEX(nombres[],SMALL(IF(OFFSET(nombres[],0,0,ROWS(nombres[]),1)=ACS$1490,ROW(OFFSET(nombres[],0,0,ROWS(nombres[]),1))-ROW(OFFSET(nombres[],0,0,1,1))+1,ROW(OFFSET(nombres[],ROWS(nombres[])-1,0,1,1))+1),$O1555:$O1574),3),"")</f>
        <v/>
      </c>
      <c r="ACT1555" s="42" t="str">
        <f t="array" aca="1" ref="ACT1555" ca="1">IFERROR(INDEX(nombres[],SMALL(IF(OFFSET(nombres[],0,0,ROWS(nombres[]),1)=ACT$1490,ROW(OFFSET(nombres[],0,0,ROWS(nombres[]),1))-ROW(OFFSET(nombres[],0,0,1,1))+1,ROW(OFFSET(nombres[],ROWS(nombres[])-1,0,1,1))+1),$O1555:$O1574),3),"")</f>
        <v/>
      </c>
      <c r="ACU1555" s="42" t="str">
        <f t="array" aca="1" ref="ACU1555" ca="1">IFERROR(INDEX(nombres[],SMALL(IF(OFFSET(nombres[],0,0,ROWS(nombres[]),1)=ACU$1490,ROW(OFFSET(nombres[],0,0,ROWS(nombres[]),1))-ROW(OFFSET(nombres[],0,0,1,1))+1,ROW(OFFSET(nombres[],ROWS(nombres[])-1,0,1,1))+1),$O1555:$O1574),3),"")</f>
        <v/>
      </c>
      <c r="ACV1555" s="42" t="str">
        <f t="array" aca="1" ref="ACV1555" ca="1">IFERROR(INDEX(nombres[],SMALL(IF(OFFSET(nombres[],0,0,ROWS(nombres[]),1)=ACV$1490,ROW(OFFSET(nombres[],0,0,ROWS(nombres[]),1))-ROW(OFFSET(nombres[],0,0,1,1))+1,ROW(OFFSET(nombres[],ROWS(nombres[])-1,0,1,1))+1),$O1555:$O1574),3),"")</f>
        <v/>
      </c>
      <c r="ACW1555" s="42" t="str">
        <f t="array" aca="1" ref="ACW1555" ca="1">IFERROR(INDEX(nombres[],SMALL(IF(OFFSET(nombres[],0,0,ROWS(nombres[]),1)=ACW$1490,ROW(OFFSET(nombres[],0,0,ROWS(nombres[]),1))-ROW(OFFSET(nombres[],0,0,1,1))+1,ROW(OFFSET(nombres[],ROWS(nombres[])-1,0,1,1))+1),$O1555:$O1574),3),"")</f>
        <v/>
      </c>
      <c r="ACX1555" s="42" t="str">
        <f t="array" aca="1" ref="ACX1555" ca="1">IFERROR(INDEX(nombres[],SMALL(IF(OFFSET(nombres[],0,0,ROWS(nombres[]),1)=ACX$1490,ROW(OFFSET(nombres[],0,0,ROWS(nombres[]),1))-ROW(OFFSET(nombres[],0,0,1,1))+1,ROW(OFFSET(nombres[],ROWS(nombres[])-1,0,1,1))+1),$O1555:$O1574),3),"")</f>
        <v/>
      </c>
      <c r="ACY1555" s="42" t="str">
        <f t="array" aca="1" ref="ACY1555" ca="1">IFERROR(INDEX(nombres[],SMALL(IF(OFFSET(nombres[],0,0,ROWS(nombres[]),1)=ACY$1490,ROW(OFFSET(nombres[],0,0,ROWS(nombres[]),1))-ROW(OFFSET(nombres[],0,0,1,1))+1,ROW(OFFSET(nombres[],ROWS(nombres[])-1,0,1,1))+1),$O1555:$O1574),3),"")</f>
        <v/>
      </c>
      <c r="ACZ1555" s="42" t="str">
        <f t="array" aca="1" ref="ACZ1555" ca="1">IFERROR(INDEX(nombres[],SMALL(IF(OFFSET(nombres[],0,0,ROWS(nombres[]),1)=ACZ$1490,ROW(OFFSET(nombres[],0,0,ROWS(nombres[]),1))-ROW(OFFSET(nombres[],0,0,1,1))+1,ROW(OFFSET(nombres[],ROWS(nombres[])-1,0,1,1))+1),$O1555:$O1574),3),"")</f>
        <v/>
      </c>
      <c r="ADA1555" s="42" t="str">
        <f t="array" aca="1" ref="ADA1555" ca="1">IFERROR(INDEX(nombres[],SMALL(IF(OFFSET(nombres[],0,0,ROWS(nombres[]),1)=ADA$1490,ROW(OFFSET(nombres[],0,0,ROWS(nombres[]),1))-ROW(OFFSET(nombres[],0,0,1,1))+1,ROW(OFFSET(nombres[],ROWS(nombres[])-1,0,1,1))+1),$O1555:$O1574),3),"")</f>
        <v/>
      </c>
      <c r="ADB1555" s="42" t="str">
        <f t="array" aca="1" ref="ADB1555" ca="1">IFERROR(INDEX(nombres[],SMALL(IF(OFFSET(nombres[],0,0,ROWS(nombres[]),1)=ADB$1490,ROW(OFFSET(nombres[],0,0,ROWS(nombres[]),1))-ROW(OFFSET(nombres[],0,0,1,1))+1,ROW(OFFSET(nombres[],ROWS(nombres[])-1,0,1,1))+1),$O1555:$O1574),3),"")</f>
        <v/>
      </c>
      <c r="ADC1555" s="42" t="str">
        <f t="array" aca="1" ref="ADC1555" ca="1">IFERROR(INDEX(nombres[],SMALL(IF(OFFSET(nombres[],0,0,ROWS(nombres[]),1)=ADC$1490,ROW(OFFSET(nombres[],0,0,ROWS(nombres[]),1))-ROW(OFFSET(nombres[],0,0,1,1))+1,ROW(OFFSET(nombres[],ROWS(nombres[])-1,0,1,1))+1),$O1555:$O1574),3),"")</f>
        <v/>
      </c>
      <c r="ADD1555" s="42" t="str">
        <f t="array" aca="1" ref="ADD1555" ca="1">IFERROR(INDEX(nombres[],SMALL(IF(OFFSET(nombres[],0,0,ROWS(nombres[]),1)=ADD$1490,ROW(OFFSET(nombres[],0,0,ROWS(nombres[]),1))-ROW(OFFSET(nombres[],0,0,1,1))+1,ROW(OFFSET(nombres[],ROWS(nombres[])-1,0,1,1))+1),$O1555:$O1574),3),"")</f>
        <v/>
      </c>
      <c r="ADE1555" s="42" t="str">
        <f t="array" aca="1" ref="ADE1555" ca="1">IFERROR(INDEX(nombres[],SMALL(IF(OFFSET(nombres[],0,0,ROWS(nombres[]),1)=ADE$1490,ROW(OFFSET(nombres[],0,0,ROWS(nombres[]),1))-ROW(OFFSET(nombres[],0,0,1,1))+1,ROW(OFFSET(nombres[],ROWS(nombres[])-1,0,1,1))+1),$O1555:$O1574),3),"")</f>
        <v/>
      </c>
      <c r="ADF1555" s="42" t="str">
        <f t="array" aca="1" ref="ADF1555" ca="1">IFERROR(INDEX(nombres[],SMALL(IF(OFFSET(nombres[],0,0,ROWS(nombres[]),1)=ADF$1490,ROW(OFFSET(nombres[],0,0,ROWS(nombres[]),1))-ROW(OFFSET(nombres[],0,0,1,1))+1,ROW(OFFSET(nombres[],ROWS(nombres[])-1,0,1,1))+1),$O1555:$O1574),3),"")</f>
        <v/>
      </c>
      <c r="ADG1555" s="42" t="str">
        <f t="array" aca="1" ref="ADG1555" ca="1">IFERROR(INDEX(nombres[],SMALL(IF(OFFSET(nombres[],0,0,ROWS(nombres[]),1)=ADG$1490,ROW(OFFSET(nombres[],0,0,ROWS(nombres[]),1))-ROW(OFFSET(nombres[],0,0,1,1))+1,ROW(OFFSET(nombres[],ROWS(nombres[])-1,0,1,1))+1),$O1555:$O1574),3),"")</f>
        <v/>
      </c>
      <c r="ADH1555" s="42" t="str">
        <f t="array" aca="1" ref="ADH1555" ca="1">IFERROR(INDEX(nombres[],SMALL(IF(OFFSET(nombres[],0,0,ROWS(nombres[]),1)=ADH$1490,ROW(OFFSET(nombres[],0,0,ROWS(nombres[]),1))-ROW(OFFSET(nombres[],0,0,1,1))+1,ROW(OFFSET(nombres[],ROWS(nombres[])-1,0,1,1))+1),$O1555:$O1574),3),"")</f>
        <v/>
      </c>
      <c r="ADI1555" s="42" t="str">
        <f t="array" aca="1" ref="ADI1555" ca="1">IFERROR(INDEX(nombres[],SMALL(IF(OFFSET(nombres[],0,0,ROWS(nombres[]),1)=ADI$1490,ROW(OFFSET(nombres[],0,0,ROWS(nombres[]),1))-ROW(OFFSET(nombres[],0,0,1,1))+1,ROW(OFFSET(nombres[],ROWS(nombres[])-1,0,1,1))+1),$O1555:$O1574),3),"")</f>
        <v/>
      </c>
      <c r="ADJ1555" s="42" t="str">
        <f t="array" aca="1" ref="ADJ1555" ca="1">IFERROR(INDEX(nombres[],SMALL(IF(OFFSET(nombres[],0,0,ROWS(nombres[]),1)=ADJ$1490,ROW(OFFSET(nombres[],0,0,ROWS(nombres[]),1))-ROW(OFFSET(nombres[],0,0,1,1))+1,ROW(OFFSET(nombres[],ROWS(nombres[])-1,0,1,1))+1),$O1555:$O1574),3),"")</f>
        <v/>
      </c>
      <c r="ADK1555" s="42" t="str">
        <f t="array" aca="1" ref="ADK1555" ca="1">IFERROR(INDEX(nombres[],SMALL(IF(OFFSET(nombres[],0,0,ROWS(nombres[]),1)=ADK$1490,ROW(OFFSET(nombres[],0,0,ROWS(nombres[]),1))-ROW(OFFSET(nombres[],0,0,1,1))+1,ROW(OFFSET(nombres[],ROWS(nombres[])-1,0,1,1))+1),$O1555:$O1574),3),"")</f>
        <v/>
      </c>
      <c r="ADL1555" s="42" t="str">
        <f t="array" aca="1" ref="ADL1555" ca="1">IFERROR(INDEX(nombres[],SMALL(IF(OFFSET(nombres[],0,0,ROWS(nombres[]),1)=ADL$1490,ROW(OFFSET(nombres[],0,0,ROWS(nombres[]),1))-ROW(OFFSET(nombres[],0,0,1,1))+1,ROW(OFFSET(nombres[],ROWS(nombres[])-1,0,1,1))+1),$O1555:$O1574),3),"")</f>
        <v/>
      </c>
      <c r="ADM1555" s="42" t="str">
        <f t="array" aca="1" ref="ADM1555" ca="1">IFERROR(INDEX(nombres[],SMALL(IF(OFFSET(nombres[],0,0,ROWS(nombres[]),1)=ADM$1490,ROW(OFFSET(nombres[],0,0,ROWS(nombres[]),1))-ROW(OFFSET(nombres[],0,0,1,1))+1,ROW(OFFSET(nombres[],ROWS(nombres[])-1,0,1,1))+1),$O1555:$O1574),3),"")</f>
        <v/>
      </c>
      <c r="ADN1555" s="42" t="str">
        <f t="array" aca="1" ref="ADN1555" ca="1">IFERROR(INDEX(nombres[],SMALL(IF(OFFSET(nombres[],0,0,ROWS(nombres[]),1)=ADN$1490,ROW(OFFSET(nombres[],0,0,ROWS(nombres[]),1))-ROW(OFFSET(nombres[],0,0,1,1))+1,ROW(OFFSET(nombres[],ROWS(nombres[])-1,0,1,1))+1),$O1555:$O1574),3),"")</f>
        <v/>
      </c>
      <c r="ADO1555" s="42" t="str">
        <f t="array" aca="1" ref="ADO1555" ca="1">IFERROR(INDEX(nombres[],SMALL(IF(OFFSET(nombres[],0,0,ROWS(nombres[]),1)=ADO$1490,ROW(OFFSET(nombres[],0,0,ROWS(nombres[]),1))-ROW(OFFSET(nombres[],0,0,1,1))+1,ROW(OFFSET(nombres[],ROWS(nombres[])-1,0,1,1))+1),$O1555:$O1574),3),"")</f>
        <v/>
      </c>
      <c r="ADP1555" s="42" t="str">
        <f t="array" aca="1" ref="ADP1555" ca="1">IFERROR(INDEX(nombres[],SMALL(IF(OFFSET(nombres[],0,0,ROWS(nombres[]),1)=ADP$1490,ROW(OFFSET(nombres[],0,0,ROWS(nombres[]),1))-ROW(OFFSET(nombres[],0,0,1,1))+1,ROW(OFFSET(nombres[],ROWS(nombres[])-1,0,1,1))+1),$O1555:$O1574),3),"")</f>
        <v/>
      </c>
      <c r="ADQ1555" s="42" t="str">
        <f t="array" aca="1" ref="ADQ1555" ca="1">IFERROR(INDEX(nombres[],SMALL(IF(OFFSET(nombres[],0,0,ROWS(nombres[]),1)=ADQ$1490,ROW(OFFSET(nombres[],0,0,ROWS(nombres[]),1))-ROW(OFFSET(nombres[],0,0,1,1))+1,ROW(OFFSET(nombres[],ROWS(nombres[])-1,0,1,1))+1),$O1555:$O1574),3),"")</f>
        <v/>
      </c>
      <c r="ADR1555" s="42" t="str">
        <f t="array" aca="1" ref="ADR1555" ca="1">IFERROR(INDEX(nombres[],SMALL(IF(OFFSET(nombres[],0,0,ROWS(nombres[]),1)=ADR$1490,ROW(OFFSET(nombres[],0,0,ROWS(nombres[]),1))-ROW(OFFSET(nombres[],0,0,1,1))+1,ROW(OFFSET(nombres[],ROWS(nombres[])-1,0,1,1))+1),$O1555:$O1574),3),"")</f>
        <v/>
      </c>
      <c r="ADS1555" s="42" t="str">
        <f t="array" aca="1" ref="ADS1555" ca="1">IFERROR(INDEX(nombres[],SMALL(IF(OFFSET(nombres[],0,0,ROWS(nombres[]),1)=ADS$1490,ROW(OFFSET(nombres[],0,0,ROWS(nombres[]),1))-ROW(OFFSET(nombres[],0,0,1,1))+1,ROW(OFFSET(nombres[],ROWS(nombres[])-1,0,1,1))+1),$O1555:$O1574),3),"")</f>
        <v/>
      </c>
      <c r="ADT1555" s="42" t="str">
        <f t="array" aca="1" ref="ADT1555" ca="1">IFERROR(INDEX(nombres[],SMALL(IF(OFFSET(nombres[],0,0,ROWS(nombres[]),1)=ADT$1490,ROW(OFFSET(nombres[],0,0,ROWS(nombres[]),1))-ROW(OFFSET(nombres[],0,0,1,1))+1,ROW(OFFSET(nombres[],ROWS(nombres[])-1,0,1,1))+1),$O1555:$O1574),3),"")</f>
        <v/>
      </c>
      <c r="ADU1555" s="42" t="str">
        <f t="array" aca="1" ref="ADU1555" ca="1">IFERROR(INDEX(nombres[],SMALL(IF(OFFSET(nombres[],0,0,ROWS(nombres[]),1)=ADU$1490,ROW(OFFSET(nombres[],0,0,ROWS(nombres[]),1))-ROW(OFFSET(nombres[],0,0,1,1))+1,ROW(OFFSET(nombres[],ROWS(nombres[])-1,0,1,1))+1),$O1555:$O1574),3),"")</f>
        <v/>
      </c>
      <c r="ADV1555" s="42" t="str">
        <f t="array" aca="1" ref="ADV1555" ca="1">IFERROR(INDEX(nombres[],SMALL(IF(OFFSET(nombres[],0,0,ROWS(nombres[]),1)=ADV$1490,ROW(OFFSET(nombres[],0,0,ROWS(nombres[]),1))-ROW(OFFSET(nombres[],0,0,1,1))+1,ROW(OFFSET(nombres[],ROWS(nombres[])-1,0,1,1))+1),$O1555:$O1574),3),"")</f>
        <v/>
      </c>
      <c r="ADW1555" s="42" t="str">
        <f t="array" aca="1" ref="ADW1555" ca="1">IFERROR(INDEX(nombres[],SMALL(IF(OFFSET(nombres[],0,0,ROWS(nombres[]),1)=ADW$1490,ROW(OFFSET(nombres[],0,0,ROWS(nombres[]),1))-ROW(OFFSET(nombres[],0,0,1,1))+1,ROW(OFFSET(nombres[],ROWS(nombres[])-1,0,1,1))+1),$O1555:$O1574),3),"")</f>
        <v/>
      </c>
      <c r="ADX1555" s="42" t="str">
        <f t="array" aca="1" ref="ADX1555" ca="1">IFERROR(INDEX(nombres[],SMALL(IF(OFFSET(nombres[],0,0,ROWS(nombres[]),1)=ADX$1490,ROW(OFFSET(nombres[],0,0,ROWS(nombres[]),1))-ROW(OFFSET(nombres[],0,0,1,1))+1,ROW(OFFSET(nombres[],ROWS(nombres[])-1,0,1,1))+1),$O1555:$O1574),3),"")</f>
        <v/>
      </c>
      <c r="ADY1555" s="42" t="str">
        <f t="array" aca="1" ref="ADY1555" ca="1">IFERROR(INDEX(nombres[],SMALL(IF(OFFSET(nombres[],0,0,ROWS(nombres[]),1)=ADY$1490,ROW(OFFSET(nombres[],0,0,ROWS(nombres[]),1))-ROW(OFFSET(nombres[],0,0,1,1))+1,ROW(OFFSET(nombres[],ROWS(nombres[])-1,0,1,1))+1),$O1555:$O1574),3),"")</f>
        <v/>
      </c>
      <c r="ADZ1555" s="42" t="str">
        <f t="array" aca="1" ref="ADZ1555" ca="1">IFERROR(INDEX(nombres[],SMALL(IF(OFFSET(nombres[],0,0,ROWS(nombres[]),1)=ADZ$1490,ROW(OFFSET(nombres[],0,0,ROWS(nombres[]),1))-ROW(OFFSET(nombres[],0,0,1,1))+1,ROW(OFFSET(nombres[],ROWS(nombres[])-1,0,1,1))+1),$O1555:$O1574),3),"")</f>
        <v/>
      </c>
      <c r="AEA1555" s="42" t="str">
        <f t="array" aca="1" ref="AEA1555" ca="1">IFERROR(INDEX(nombres[],SMALL(IF(OFFSET(nombres[],0,0,ROWS(nombres[]),1)=AEA$1490,ROW(OFFSET(nombres[],0,0,ROWS(nombres[]),1))-ROW(OFFSET(nombres[],0,0,1,1))+1,ROW(OFFSET(nombres[],ROWS(nombres[])-1,0,1,1))+1),$O1555:$O1574),3),"")</f>
        <v/>
      </c>
      <c r="AEB1555" s="42" t="str">
        <f t="array" aca="1" ref="AEB1555" ca="1">IFERROR(INDEX(nombres[],SMALL(IF(OFFSET(nombres[],0,0,ROWS(nombres[]),1)=AEB$1490,ROW(OFFSET(nombres[],0,0,ROWS(nombres[]),1))-ROW(OFFSET(nombres[],0,0,1,1))+1,ROW(OFFSET(nombres[],ROWS(nombres[])-1,0,1,1))+1),$O1555:$O1574),3),"")</f>
        <v/>
      </c>
      <c r="AEC1555" s="42" t="str">
        <f t="array" aca="1" ref="AEC1555" ca="1">IFERROR(INDEX(nombres[],SMALL(IF(OFFSET(nombres[],0,0,ROWS(nombres[]),1)=AEC$1490,ROW(OFFSET(nombres[],0,0,ROWS(nombres[]),1))-ROW(OFFSET(nombres[],0,0,1,1))+1,ROW(OFFSET(nombres[],ROWS(nombres[])-1,0,1,1))+1),$O1555:$O1574),3),"")</f>
        <v/>
      </c>
      <c r="AED1555" s="42" t="str">
        <f t="array" aca="1" ref="AED1555" ca="1">IFERROR(INDEX(nombres[],SMALL(IF(OFFSET(nombres[],0,0,ROWS(nombres[]),1)=AED$1490,ROW(OFFSET(nombres[],0,0,ROWS(nombres[]),1))-ROW(OFFSET(nombres[],0,0,1,1))+1,ROW(OFFSET(nombres[],ROWS(nombres[])-1,0,1,1))+1),$O1555:$O1574),3),"")</f>
        <v/>
      </c>
      <c r="AEE1555" s="42" t="str">
        <f t="array" aca="1" ref="AEE1555" ca="1">IFERROR(INDEX(nombres[],SMALL(IF(OFFSET(nombres[],0,0,ROWS(nombres[]),1)=AEE$1490,ROW(OFFSET(nombres[],0,0,ROWS(nombres[]),1))-ROW(OFFSET(nombres[],0,0,1,1))+1,ROW(OFFSET(nombres[],ROWS(nombres[])-1,0,1,1))+1),$O1555:$O1574),3),"")</f>
        <v/>
      </c>
      <c r="AEF1555" s="42" t="str">
        <f t="array" aca="1" ref="AEF1555" ca="1">IFERROR(INDEX(nombres[],SMALL(IF(OFFSET(nombres[],0,0,ROWS(nombres[]),1)=AEF$1490,ROW(OFFSET(nombres[],0,0,ROWS(nombres[]),1))-ROW(OFFSET(nombres[],0,0,1,1))+1,ROW(OFFSET(nombres[],ROWS(nombres[])-1,0,1,1))+1),$O1555:$O1574),3),"")</f>
        <v/>
      </c>
      <c r="AEG1555" s="42" t="str">
        <f t="array" aca="1" ref="AEG1555" ca="1">IFERROR(INDEX(nombres[],SMALL(IF(OFFSET(nombres[],0,0,ROWS(nombres[]),1)=AEG$1490,ROW(OFFSET(nombres[],0,0,ROWS(nombres[]),1))-ROW(OFFSET(nombres[],0,0,1,1))+1,ROW(OFFSET(nombres[],ROWS(nombres[])-1,0,1,1))+1),$O1555:$O1574),3),"")</f>
        <v/>
      </c>
      <c r="AEH1555" s="42" t="str">
        <f t="array" aca="1" ref="AEH1555" ca="1">IFERROR(INDEX(nombres[],SMALL(IF(OFFSET(nombres[],0,0,ROWS(nombres[]),1)=AEH$1490,ROW(OFFSET(nombres[],0,0,ROWS(nombres[]),1))-ROW(OFFSET(nombres[],0,0,1,1))+1,ROW(OFFSET(nombres[],ROWS(nombres[])-1,0,1,1))+1),$O1555:$O1574),3),"")</f>
        <v/>
      </c>
      <c r="AEI1555" s="42" t="str">
        <f t="array" aca="1" ref="AEI1555" ca="1">IFERROR(INDEX(nombres[],SMALL(IF(OFFSET(nombres[],0,0,ROWS(nombres[]),1)=AEI$1490,ROW(OFFSET(nombres[],0,0,ROWS(nombres[]),1))-ROW(OFFSET(nombres[],0,0,1,1))+1,ROW(OFFSET(nombres[],ROWS(nombres[])-1,0,1,1))+1),$O1555:$O1574),3),"")</f>
        <v/>
      </c>
      <c r="AEJ1555" s="42" t="str">
        <f t="array" aca="1" ref="AEJ1555" ca="1">IFERROR(INDEX(nombres[],SMALL(IF(OFFSET(nombres[],0,0,ROWS(nombres[]),1)=AEJ$1490,ROW(OFFSET(nombres[],0,0,ROWS(nombres[]),1))-ROW(OFFSET(nombres[],0,0,1,1))+1,ROW(OFFSET(nombres[],ROWS(nombres[])-1,0,1,1))+1),$O1555:$O1574),3),"")</f>
        <v/>
      </c>
      <c r="AEK1555" s="42" t="str">
        <f t="array" aca="1" ref="AEK1555" ca="1">IFERROR(INDEX(nombres[],SMALL(IF(OFFSET(nombres[],0,0,ROWS(nombres[]),1)=AEK$1490,ROW(OFFSET(nombres[],0,0,ROWS(nombres[]),1))-ROW(OFFSET(nombres[],0,0,1,1))+1,ROW(OFFSET(nombres[],ROWS(nombres[])-1,0,1,1))+1),$O1555:$O1574),3),"")</f>
        <v/>
      </c>
      <c r="AEL1555" s="42" t="str">
        <f t="array" aca="1" ref="AEL1555" ca="1">IFERROR(INDEX(nombres[],SMALL(IF(OFFSET(nombres[],0,0,ROWS(nombres[]),1)=AEL$1490,ROW(OFFSET(nombres[],0,0,ROWS(nombres[]),1))-ROW(OFFSET(nombres[],0,0,1,1))+1,ROW(OFFSET(nombres[],ROWS(nombres[])-1,0,1,1))+1),$O1555:$O1574),3),"")</f>
        <v/>
      </c>
      <c r="AEM1555" s="42" t="str">
        <f t="array" aca="1" ref="AEM1555" ca="1">IFERROR(INDEX(nombres[],SMALL(IF(OFFSET(nombres[],0,0,ROWS(nombres[]),1)=AEM$1490,ROW(OFFSET(nombres[],0,0,ROWS(nombres[]),1))-ROW(OFFSET(nombres[],0,0,1,1))+1,ROW(OFFSET(nombres[],ROWS(nombres[])-1,0,1,1))+1),$O1555:$O1574),3),"")</f>
        <v/>
      </c>
      <c r="AEN1555" s="42" t="str">
        <f t="array" aca="1" ref="AEN1555" ca="1">IFERROR(INDEX(nombres[],SMALL(IF(OFFSET(nombres[],0,0,ROWS(nombres[]),1)=AEN$1490,ROW(OFFSET(nombres[],0,0,ROWS(nombres[]),1))-ROW(OFFSET(nombres[],0,0,1,1))+1,ROW(OFFSET(nombres[],ROWS(nombres[])-1,0,1,1))+1),$O1555:$O1574),3),"")</f>
        <v/>
      </c>
      <c r="AEO1555" s="42" t="str">
        <f t="array" aca="1" ref="AEO1555" ca="1">IFERROR(INDEX(nombres[],SMALL(IF(OFFSET(nombres[],0,0,ROWS(nombres[]),1)=AEO$1490,ROW(OFFSET(nombres[],0,0,ROWS(nombres[]),1))-ROW(OFFSET(nombres[],0,0,1,1))+1,ROW(OFFSET(nombres[],ROWS(nombres[])-1,0,1,1))+1),$O1555:$O1574),3),"")</f>
        <v/>
      </c>
      <c r="AEP1555" s="42" t="str">
        <f t="array" aca="1" ref="AEP1555" ca="1">IFERROR(INDEX(nombres[],SMALL(IF(OFFSET(nombres[],0,0,ROWS(nombres[]),1)=AEP$1490,ROW(OFFSET(nombres[],0,0,ROWS(nombres[]),1))-ROW(OFFSET(nombres[],0,0,1,1))+1,ROW(OFFSET(nombres[],ROWS(nombres[])-1,0,1,1))+1),$O1555:$O1574),3),"")</f>
        <v/>
      </c>
      <c r="AEQ1555" s="42" t="str">
        <f t="array" aca="1" ref="AEQ1555" ca="1">IFERROR(INDEX(nombres[],SMALL(IF(OFFSET(nombres[],0,0,ROWS(nombres[]),1)=AEQ$1490,ROW(OFFSET(nombres[],0,0,ROWS(nombres[]),1))-ROW(OFFSET(nombres[],0,0,1,1))+1,ROW(OFFSET(nombres[],ROWS(nombres[])-1,0,1,1))+1),$O1555:$O1574),3),"")</f>
        <v/>
      </c>
      <c r="AER1555" s="42" t="str">
        <f t="array" aca="1" ref="AER1555" ca="1">IFERROR(INDEX(nombres[],SMALL(IF(OFFSET(nombres[],0,0,ROWS(nombres[]),1)=AER$1490,ROW(OFFSET(nombres[],0,0,ROWS(nombres[]),1))-ROW(OFFSET(nombres[],0,0,1,1))+1,ROW(OFFSET(nombres[],ROWS(nombres[])-1,0,1,1))+1),$O1555:$O1574),3),"")</f>
        <v/>
      </c>
      <c r="AES1555" s="42" t="str">
        <f t="array" aca="1" ref="AES1555" ca="1">IFERROR(INDEX(nombres[],SMALL(IF(OFFSET(nombres[],0,0,ROWS(nombres[]),1)=AES$1490,ROW(OFFSET(nombres[],0,0,ROWS(nombres[]),1))-ROW(OFFSET(nombres[],0,0,1,1))+1,ROW(OFFSET(nombres[],ROWS(nombres[])-1,0,1,1))+1),$O1555:$O1574),3),"")</f>
        <v/>
      </c>
      <c r="AET1555" s="42" t="str">
        <f t="array" aca="1" ref="AET1555" ca="1">IFERROR(INDEX(nombres[],SMALL(IF(OFFSET(nombres[],0,0,ROWS(nombres[]),1)=AET$1490,ROW(OFFSET(nombres[],0,0,ROWS(nombres[]),1))-ROW(OFFSET(nombres[],0,0,1,1))+1,ROW(OFFSET(nombres[],ROWS(nombres[])-1,0,1,1))+1),$O1555:$O1574),3),"")</f>
        <v/>
      </c>
      <c r="AEU1555" s="42" t="str">
        <f t="array" aca="1" ref="AEU1555" ca="1">IFERROR(INDEX(nombres[],SMALL(IF(OFFSET(nombres[],0,0,ROWS(nombres[]),1)=AEU$1490,ROW(OFFSET(nombres[],0,0,ROWS(nombres[]),1))-ROW(OFFSET(nombres[],0,0,1,1))+1,ROW(OFFSET(nombres[],ROWS(nombres[])-1,0,1,1))+1),$O1555:$O1574),3),"")</f>
        <v/>
      </c>
      <c r="AEV1555" s="42" t="str">
        <f t="array" aca="1" ref="AEV1555" ca="1">IFERROR(INDEX(nombres[],SMALL(IF(OFFSET(nombres[],0,0,ROWS(nombres[]),1)=AEV$1490,ROW(OFFSET(nombres[],0,0,ROWS(nombres[]),1))-ROW(OFFSET(nombres[],0,0,1,1))+1,ROW(OFFSET(nombres[],ROWS(nombres[])-1,0,1,1))+1),$O1555:$O1574),3),"")</f>
        <v/>
      </c>
      <c r="AEW1555" s="42" t="str">
        <f t="array" aca="1" ref="AEW1555" ca="1">IFERROR(INDEX(nombres[],SMALL(IF(OFFSET(nombres[],0,0,ROWS(nombres[]),1)=AEW$1490,ROW(OFFSET(nombres[],0,0,ROWS(nombres[]),1))-ROW(OFFSET(nombres[],0,0,1,1))+1,ROW(OFFSET(nombres[],ROWS(nombres[])-1,0,1,1))+1),$O1555:$O1574),3),"")</f>
        <v/>
      </c>
      <c r="AEX1555" s="42" t="str">
        <f t="array" aca="1" ref="AEX1555" ca="1">IFERROR(INDEX(nombres[],SMALL(IF(OFFSET(nombres[],0,0,ROWS(nombres[]),1)=AEX$1490,ROW(OFFSET(nombres[],0,0,ROWS(nombres[]),1))-ROW(OFFSET(nombres[],0,0,1,1))+1,ROW(OFFSET(nombres[],ROWS(nombres[])-1,0,1,1))+1),$O1555:$O1574),3),"")</f>
        <v/>
      </c>
      <c r="AEY1555" s="42" t="str">
        <f t="array" aca="1" ref="AEY1555" ca="1">IFERROR(INDEX(nombres[],SMALL(IF(OFFSET(nombres[],0,0,ROWS(nombres[]),1)=AEY$1490,ROW(OFFSET(nombres[],0,0,ROWS(nombres[]),1))-ROW(OFFSET(nombres[],0,0,1,1))+1,ROW(OFFSET(nombres[],ROWS(nombres[])-1,0,1,1))+1),$O1555:$O1574),3),"")</f>
        <v/>
      </c>
      <c r="AEZ1555" s="42" t="str">
        <f t="array" aca="1" ref="AEZ1555" ca="1">IFERROR(INDEX(nombres[],SMALL(IF(OFFSET(nombres[],0,0,ROWS(nombres[]),1)=AEZ$1490,ROW(OFFSET(nombres[],0,0,ROWS(nombres[]),1))-ROW(OFFSET(nombres[],0,0,1,1))+1,ROW(OFFSET(nombres[],ROWS(nombres[])-1,0,1,1))+1),$O1555:$O1574),3),"")</f>
        <v/>
      </c>
      <c r="AFA1555" s="42" t="str">
        <f t="array" aca="1" ref="AFA1555" ca="1">IFERROR(INDEX(nombres[],SMALL(IF(OFFSET(nombres[],0,0,ROWS(nombres[]),1)=AFA$1490,ROW(OFFSET(nombres[],0,0,ROWS(nombres[]),1))-ROW(OFFSET(nombres[],0,0,1,1))+1,ROW(OFFSET(nombres[],ROWS(nombres[])-1,0,1,1))+1),$O1555:$O1574),3),"")</f>
        <v/>
      </c>
      <c r="AFB1555" s="42" t="str">
        <f t="array" aca="1" ref="AFB1555" ca="1">IFERROR(INDEX(nombres[],SMALL(IF(OFFSET(nombres[],0,0,ROWS(nombres[]),1)=AFB$1490,ROW(OFFSET(nombres[],0,0,ROWS(nombres[]),1))-ROW(OFFSET(nombres[],0,0,1,1))+1,ROW(OFFSET(nombres[],ROWS(nombres[])-1,0,1,1))+1),$O1555:$O1574),3),"")</f>
        <v/>
      </c>
      <c r="AFC1555" s="42" t="str">
        <f t="array" aca="1" ref="AFC1555" ca="1">IFERROR(INDEX(nombres[],SMALL(IF(OFFSET(nombres[],0,0,ROWS(nombres[]),1)=AFC$1490,ROW(OFFSET(nombres[],0,0,ROWS(nombres[]),1))-ROW(OFFSET(nombres[],0,0,1,1))+1,ROW(OFFSET(nombres[],ROWS(nombres[])-1,0,1,1))+1),$O1555:$O1574),3),"")</f>
        <v/>
      </c>
      <c r="AFD1555" s="42" t="str">
        <f t="array" aca="1" ref="AFD1555" ca="1">IFERROR(INDEX(nombres[],SMALL(IF(OFFSET(nombres[],0,0,ROWS(nombres[]),1)=AFD$1490,ROW(OFFSET(nombres[],0,0,ROWS(nombres[]),1))-ROW(OFFSET(nombres[],0,0,1,1))+1,ROW(OFFSET(nombres[],ROWS(nombres[])-1,0,1,1))+1),$O1555:$O1574),3),"")</f>
        <v/>
      </c>
      <c r="AFE1555" s="42" t="str">
        <f t="array" aca="1" ref="AFE1555" ca="1">IFERROR(INDEX(nombres[],SMALL(IF(OFFSET(nombres[],0,0,ROWS(nombres[]),1)=AFE$1490,ROW(OFFSET(nombres[],0,0,ROWS(nombres[]),1))-ROW(OFFSET(nombres[],0,0,1,1))+1,ROW(OFFSET(nombres[],ROWS(nombres[])-1,0,1,1))+1),$O1555:$O1574),3),"")</f>
        <v/>
      </c>
      <c r="AFF1555" s="42" t="str">
        <f t="array" aca="1" ref="AFF1555" ca="1">IFERROR(INDEX(nombres[],SMALL(IF(OFFSET(nombres[],0,0,ROWS(nombres[]),1)=AFF$1490,ROW(OFFSET(nombres[],0,0,ROWS(nombres[]),1))-ROW(OFFSET(nombres[],0,0,1,1))+1,ROW(OFFSET(nombres[],ROWS(nombres[])-1,0,1,1))+1),$O1555:$O1574),3),"")</f>
        <v/>
      </c>
      <c r="AFG1555" s="42" t="str">
        <f t="array" aca="1" ref="AFG1555" ca="1">IFERROR(INDEX(nombres[],SMALL(IF(OFFSET(nombres[],0,0,ROWS(nombres[]),1)=AFG$1490,ROW(OFFSET(nombres[],0,0,ROWS(nombres[]),1))-ROW(OFFSET(nombres[],0,0,1,1))+1,ROW(OFFSET(nombres[],ROWS(nombres[])-1,0,1,1))+1),$O1555:$O1574),3),"")</f>
        <v/>
      </c>
      <c r="AFH1555" s="42" t="str">
        <f t="array" aca="1" ref="AFH1555" ca="1">IFERROR(INDEX(nombres[],SMALL(IF(OFFSET(nombres[],0,0,ROWS(nombres[]),1)=AFH$1490,ROW(OFFSET(nombres[],0,0,ROWS(nombres[]),1))-ROW(OFFSET(nombres[],0,0,1,1))+1,ROW(OFFSET(nombres[],ROWS(nombres[])-1,0,1,1))+1),$O1555:$O1574),3),"")</f>
        <v/>
      </c>
      <c r="AFI1555" s="42" t="str">
        <f t="array" aca="1" ref="AFI1555" ca="1">IFERROR(INDEX(nombres[],SMALL(IF(OFFSET(nombres[],0,0,ROWS(nombres[]),1)=AFI$1490,ROW(OFFSET(nombres[],0,0,ROWS(nombres[]),1))-ROW(OFFSET(nombres[],0,0,1,1))+1,ROW(OFFSET(nombres[],ROWS(nombres[])-1,0,1,1))+1),$O1555:$O1574),3),"")</f>
        <v/>
      </c>
      <c r="AFJ1555" s="42" t="str">
        <f t="array" aca="1" ref="AFJ1555" ca="1">IFERROR(INDEX(nombres[],SMALL(IF(OFFSET(nombres[],0,0,ROWS(nombres[]),1)=AFJ$1490,ROW(OFFSET(nombres[],0,0,ROWS(nombres[]),1))-ROW(OFFSET(nombres[],0,0,1,1))+1,ROW(OFFSET(nombres[],ROWS(nombres[])-1,0,1,1))+1),$O1555:$O1574),3),"")</f>
        <v/>
      </c>
      <c r="AFK1555" s="42" t="str">
        <f t="array" aca="1" ref="AFK1555" ca="1">IFERROR(INDEX(nombres[],SMALL(IF(OFFSET(nombres[],0,0,ROWS(nombres[]),1)=AFK$1490,ROW(OFFSET(nombres[],0,0,ROWS(nombres[]),1))-ROW(OFFSET(nombres[],0,0,1,1))+1,ROW(OFFSET(nombres[],ROWS(nombres[])-1,0,1,1))+1),$O1555:$O1574),3),"")</f>
        <v/>
      </c>
      <c r="AFL1555" s="42" t="str">
        <f t="array" aca="1" ref="AFL1555" ca="1">IFERROR(INDEX(nombres[],SMALL(IF(OFFSET(nombres[],0,0,ROWS(nombres[]),1)=AFL$1490,ROW(OFFSET(nombres[],0,0,ROWS(nombres[]),1))-ROW(OFFSET(nombres[],0,0,1,1))+1,ROW(OFFSET(nombres[],ROWS(nombres[])-1,0,1,1))+1),$O1555:$O1574),3),"")</f>
        <v/>
      </c>
      <c r="AFM1555" s="42" t="str">
        <f t="array" aca="1" ref="AFM1555" ca="1">IFERROR(INDEX(nombres[],SMALL(IF(OFFSET(nombres[],0,0,ROWS(nombres[]),1)=AFM$1490,ROW(OFFSET(nombres[],0,0,ROWS(nombres[]),1))-ROW(OFFSET(nombres[],0,0,1,1))+1,ROW(OFFSET(nombres[],ROWS(nombres[])-1,0,1,1))+1),$O1555:$O1574),3),"")</f>
        <v/>
      </c>
      <c r="AFN1555" s="42" t="str">
        <f t="array" aca="1" ref="AFN1555" ca="1">IFERROR(INDEX(nombres[],SMALL(IF(OFFSET(nombres[],0,0,ROWS(nombres[]),1)=AFN$1490,ROW(OFFSET(nombres[],0,0,ROWS(nombres[]),1))-ROW(OFFSET(nombres[],0,0,1,1))+1,ROW(OFFSET(nombres[],ROWS(nombres[])-1,0,1,1))+1),$O1555:$O1574),3),"")</f>
        <v/>
      </c>
      <c r="AFO1555" s="42" t="str">
        <f t="array" aca="1" ref="AFO1555" ca="1">IFERROR(INDEX(nombres[],SMALL(IF(OFFSET(nombres[],0,0,ROWS(nombres[]),1)=AFO$1490,ROW(OFFSET(nombres[],0,0,ROWS(nombres[]),1))-ROW(OFFSET(nombres[],0,0,1,1))+1,ROW(OFFSET(nombres[],ROWS(nombres[])-1,0,1,1))+1),$O1555:$O1574),3),"")</f>
        <v/>
      </c>
      <c r="AFP1555" s="42" t="str">
        <f t="array" aca="1" ref="AFP1555" ca="1">IFERROR(INDEX(nombres[],SMALL(IF(OFFSET(nombres[],0,0,ROWS(nombres[]),1)=AFP$1490,ROW(OFFSET(nombres[],0,0,ROWS(nombres[]),1))-ROW(OFFSET(nombres[],0,0,1,1))+1,ROW(OFFSET(nombres[],ROWS(nombres[])-1,0,1,1))+1),$O1555:$O1574),3),"")</f>
        <v/>
      </c>
      <c r="AFQ1555" s="42" t="str">
        <f t="array" aca="1" ref="AFQ1555" ca="1">IFERROR(INDEX(nombres[],SMALL(IF(OFFSET(nombres[],0,0,ROWS(nombres[]),1)=AFQ$1490,ROW(OFFSET(nombres[],0,0,ROWS(nombres[]),1))-ROW(OFFSET(nombres[],0,0,1,1))+1,ROW(OFFSET(nombres[],ROWS(nombres[])-1,0,1,1))+1),$O1555:$O1574),3),"")</f>
        <v/>
      </c>
      <c r="AFR1555" s="42" t="str">
        <f t="array" aca="1" ref="AFR1555" ca="1">IFERROR(INDEX(nombres[],SMALL(IF(OFFSET(nombres[],0,0,ROWS(nombres[]),1)=AFR$1490,ROW(OFFSET(nombres[],0,0,ROWS(nombres[]),1))-ROW(OFFSET(nombres[],0,0,1,1))+1,ROW(OFFSET(nombres[],ROWS(nombres[])-1,0,1,1))+1),$O1555:$O1574),3),"")</f>
        <v/>
      </c>
      <c r="AFS1555" s="42" t="str">
        <f t="array" aca="1" ref="AFS1555" ca="1">IFERROR(INDEX(nombres[],SMALL(IF(OFFSET(nombres[],0,0,ROWS(nombres[]),1)=AFS$1490,ROW(OFFSET(nombres[],0,0,ROWS(nombres[]),1))-ROW(OFFSET(nombres[],0,0,1,1))+1,ROW(OFFSET(nombres[],ROWS(nombres[])-1,0,1,1))+1),$O1555:$O1574),3),"")</f>
        <v/>
      </c>
      <c r="AFT1555" s="42" t="str">
        <f t="array" aca="1" ref="AFT1555" ca="1">IFERROR(INDEX(nombres[],SMALL(IF(OFFSET(nombres[],0,0,ROWS(nombres[]),1)=AFT$1490,ROW(OFFSET(nombres[],0,0,ROWS(nombres[]),1))-ROW(OFFSET(nombres[],0,0,1,1))+1,ROW(OFFSET(nombres[],ROWS(nombres[])-1,0,1,1))+1),$O1555:$O1574),3),"")</f>
        <v/>
      </c>
      <c r="AFU1555" s="42" t="str">
        <f t="array" aca="1" ref="AFU1555" ca="1">IFERROR(INDEX(nombres[],SMALL(IF(OFFSET(nombres[],0,0,ROWS(nombres[]),1)=AFU$1490,ROW(OFFSET(nombres[],0,0,ROWS(nombres[]),1))-ROW(OFFSET(nombres[],0,0,1,1))+1,ROW(OFFSET(nombres[],ROWS(nombres[])-1,0,1,1))+1),$O1555:$O1574),3),"")</f>
        <v/>
      </c>
      <c r="AFV1555" s="42" t="str">
        <f t="array" aca="1" ref="AFV1555" ca="1">IFERROR(INDEX(nombres[],SMALL(IF(OFFSET(nombres[],0,0,ROWS(nombres[]),1)=AFV$1490,ROW(OFFSET(nombres[],0,0,ROWS(nombres[]),1))-ROW(OFFSET(nombres[],0,0,1,1))+1,ROW(OFFSET(nombres[],ROWS(nombres[])-1,0,1,1))+1),$O1555:$O1574),3),"")</f>
        <v/>
      </c>
      <c r="AFW1555" s="42" t="str">
        <f t="array" aca="1" ref="AFW1555" ca="1">IFERROR(INDEX(nombres[],SMALL(IF(OFFSET(nombres[],0,0,ROWS(nombres[]),1)=AFW$1490,ROW(OFFSET(nombres[],0,0,ROWS(nombres[]),1))-ROW(OFFSET(nombres[],0,0,1,1))+1,ROW(OFFSET(nombres[],ROWS(nombres[])-1,0,1,1))+1),$O1555:$O1574),3),"")</f>
        <v/>
      </c>
      <c r="AFX1555" s="42" t="str">
        <f t="array" aca="1" ref="AFX1555" ca="1">IFERROR(INDEX(nombres[],SMALL(IF(OFFSET(nombres[],0,0,ROWS(nombres[]),1)=AFX$1490,ROW(OFFSET(nombres[],0,0,ROWS(nombres[]),1))-ROW(OFFSET(nombres[],0,0,1,1))+1,ROW(OFFSET(nombres[],ROWS(nombres[])-1,0,1,1))+1),$O1555:$O1574),3),"")</f>
        <v/>
      </c>
      <c r="AFY1555" s="42" t="str">
        <f t="array" aca="1" ref="AFY1555" ca="1">IFERROR(INDEX(nombres[],SMALL(IF(OFFSET(nombres[],0,0,ROWS(nombres[]),1)=AFY$1490,ROW(OFFSET(nombres[],0,0,ROWS(nombres[]),1))-ROW(OFFSET(nombres[],0,0,1,1))+1,ROW(OFFSET(nombres[],ROWS(nombres[])-1,0,1,1))+1),$O1555:$O1574),3),"")</f>
        <v/>
      </c>
      <c r="AFZ1555" s="42" t="str">
        <f t="array" aca="1" ref="AFZ1555" ca="1">IFERROR(INDEX(nombres[],SMALL(IF(OFFSET(nombres[],0,0,ROWS(nombres[]),1)=AFZ$1490,ROW(OFFSET(nombres[],0,0,ROWS(nombres[]),1))-ROW(OFFSET(nombres[],0,0,1,1))+1,ROW(OFFSET(nombres[],ROWS(nombres[])-1,0,1,1))+1),$O1555:$O1574),3),"")</f>
        <v/>
      </c>
      <c r="AGA1555" s="42" t="str">
        <f t="array" aca="1" ref="AGA1555" ca="1">IFERROR(INDEX(nombres[],SMALL(IF(OFFSET(nombres[],0,0,ROWS(nombres[]),1)=AGA$1490,ROW(OFFSET(nombres[],0,0,ROWS(nombres[]),1))-ROW(OFFSET(nombres[],0,0,1,1))+1,ROW(OFFSET(nombres[],ROWS(nombres[])-1,0,1,1))+1),$O1555:$O1574),3),"")</f>
        <v/>
      </c>
      <c r="AGB1555" s="42" t="str">
        <f t="array" aca="1" ref="AGB1555" ca="1">IFERROR(INDEX(nombres[],SMALL(IF(OFFSET(nombres[],0,0,ROWS(nombres[]),1)=AGB$1490,ROW(OFFSET(nombres[],0,0,ROWS(nombres[]),1))-ROW(OFFSET(nombres[],0,0,1,1))+1,ROW(OFFSET(nombres[],ROWS(nombres[])-1,0,1,1))+1),$O1555:$O1574),3),"")</f>
        <v/>
      </c>
      <c r="AGC1555" s="42" t="str">
        <f t="array" aca="1" ref="AGC1555" ca="1">IFERROR(INDEX(nombres[],SMALL(IF(OFFSET(nombres[],0,0,ROWS(nombres[]),1)=AGC$1490,ROW(OFFSET(nombres[],0,0,ROWS(nombres[]),1))-ROW(OFFSET(nombres[],0,0,1,1))+1,ROW(OFFSET(nombres[],ROWS(nombres[])-1,0,1,1))+1),$O1555:$O1574),3),"")</f>
        <v/>
      </c>
      <c r="AGD1555" s="42" t="str">
        <f t="array" aca="1" ref="AGD1555" ca="1">IFERROR(INDEX(nombres[],SMALL(IF(OFFSET(nombres[],0,0,ROWS(nombres[]),1)=AGD$1490,ROW(OFFSET(nombres[],0,0,ROWS(nombres[]),1))-ROW(OFFSET(nombres[],0,0,1,1))+1,ROW(OFFSET(nombres[],ROWS(nombres[])-1,0,1,1))+1),$O1555:$O1574),3),"")</f>
        <v/>
      </c>
      <c r="AGE1555" s="42" t="str">
        <f t="array" aca="1" ref="AGE1555" ca="1">IFERROR(INDEX(nombres[],SMALL(IF(OFFSET(nombres[],0,0,ROWS(nombres[]),1)=AGE$1490,ROW(OFFSET(nombres[],0,0,ROWS(nombres[]),1))-ROW(OFFSET(nombres[],0,0,1,1))+1,ROW(OFFSET(nombres[],ROWS(nombres[])-1,0,1,1))+1),$O1555:$O1574),3),"")</f>
        <v/>
      </c>
      <c r="AGF1555" s="42" t="str">
        <f t="array" aca="1" ref="AGF1555" ca="1">IFERROR(INDEX(nombres[],SMALL(IF(OFFSET(nombres[],0,0,ROWS(nombres[]),1)=AGF$1490,ROW(OFFSET(nombres[],0,0,ROWS(nombres[]),1))-ROW(OFFSET(nombres[],0,0,1,1))+1,ROW(OFFSET(nombres[],ROWS(nombres[])-1,0,1,1))+1),$O1555:$O1574),3),"")</f>
        <v/>
      </c>
      <c r="AGG1555" s="42" t="str">
        <f t="array" aca="1" ref="AGG1555" ca="1">IFERROR(INDEX(nombres[],SMALL(IF(OFFSET(nombres[],0,0,ROWS(nombres[]),1)=AGG$1490,ROW(OFFSET(nombres[],0,0,ROWS(nombres[]),1))-ROW(OFFSET(nombres[],0,0,1,1))+1,ROW(OFFSET(nombres[],ROWS(nombres[])-1,0,1,1))+1),$O1555:$O1574),3),"")</f>
        <v/>
      </c>
      <c r="AGH1555" s="42" t="str">
        <f t="array" aca="1" ref="AGH1555" ca="1">IFERROR(INDEX(nombres[],SMALL(IF(OFFSET(nombres[],0,0,ROWS(nombres[]),1)=AGH$1490,ROW(OFFSET(nombres[],0,0,ROWS(nombres[]),1))-ROW(OFFSET(nombres[],0,0,1,1))+1,ROW(OFFSET(nombres[],ROWS(nombres[])-1,0,1,1))+1),$O1555:$O1574),3),"")</f>
        <v/>
      </c>
      <c r="AGI1555" s="42" t="str">
        <f t="array" aca="1" ref="AGI1555" ca="1">IFERROR(INDEX(nombres[],SMALL(IF(OFFSET(nombres[],0,0,ROWS(nombres[]),1)=AGI$1490,ROW(OFFSET(nombres[],0,0,ROWS(nombres[]),1))-ROW(OFFSET(nombres[],0,0,1,1))+1,ROW(OFFSET(nombres[],ROWS(nombres[])-1,0,1,1))+1),$O1555:$O1574),3),"")</f>
        <v/>
      </c>
      <c r="AGJ1555" s="42" t="str">
        <f t="array" aca="1" ref="AGJ1555" ca="1">IFERROR(INDEX(nombres[],SMALL(IF(OFFSET(nombres[],0,0,ROWS(nombres[]),1)=AGJ$1490,ROW(OFFSET(nombres[],0,0,ROWS(nombres[]),1))-ROW(OFFSET(nombres[],0,0,1,1))+1,ROW(OFFSET(nombres[],ROWS(nombres[])-1,0,1,1))+1),$O1555:$O1574),3),"")</f>
        <v/>
      </c>
      <c r="AGK1555" s="42" t="str">
        <f t="array" aca="1" ref="AGK1555" ca="1">IFERROR(INDEX(nombres[],SMALL(IF(OFFSET(nombres[],0,0,ROWS(nombres[]),1)=AGK$1490,ROW(OFFSET(nombres[],0,0,ROWS(nombres[]),1))-ROW(OFFSET(nombres[],0,0,1,1))+1,ROW(OFFSET(nombres[],ROWS(nombres[])-1,0,1,1))+1),$O1555:$O1574),3),"")</f>
        <v/>
      </c>
      <c r="AGL1555" s="42" t="str">
        <f t="array" aca="1" ref="AGL1555" ca="1">IFERROR(INDEX(nombres[],SMALL(IF(OFFSET(nombres[],0,0,ROWS(nombres[]),1)=AGL$1490,ROW(OFFSET(nombres[],0,0,ROWS(nombres[]),1))-ROW(OFFSET(nombres[],0,0,1,1))+1,ROW(OFFSET(nombres[],ROWS(nombres[])-1,0,1,1))+1),$O1555:$O1574),3),"")</f>
        <v/>
      </c>
      <c r="AGM1555" s="42" t="str">
        <f t="array" aca="1" ref="AGM1555" ca="1">IFERROR(INDEX(nombres[],SMALL(IF(OFFSET(nombres[],0,0,ROWS(nombres[]),1)=AGM$1490,ROW(OFFSET(nombres[],0,0,ROWS(nombres[]),1))-ROW(OFFSET(nombres[],0,0,1,1))+1,ROW(OFFSET(nombres[],ROWS(nombres[])-1,0,1,1))+1),$O1555:$O1574),3),"")</f>
        <v/>
      </c>
      <c r="AGN1555" s="42" t="str">
        <f t="array" aca="1" ref="AGN1555" ca="1">IFERROR(INDEX(nombres[],SMALL(IF(OFFSET(nombres[],0,0,ROWS(nombres[]),1)=AGN$1490,ROW(OFFSET(nombres[],0,0,ROWS(nombres[]),1))-ROW(OFFSET(nombres[],0,0,1,1))+1,ROW(OFFSET(nombres[],ROWS(nombres[])-1,0,1,1))+1),$O1555:$O1574),3),"")</f>
        <v/>
      </c>
    </row>
    <row r="1556" spans="15:872" x14ac:dyDescent="0.25">
      <c r="O1556" s="42">
        <v>20</v>
      </c>
      <c r="P1556" s="42" t="str">
        <f t="array" aca="1" ref="P1556" ca="1">IFERROR(INDEX(nombres[],SMALL(IF(OFFSET(nombres[],0,0,ROWS(nombres[]),1)=P$1490,ROW(OFFSET(nombres[],0,0,ROWS(nombres[]),1))-ROW(OFFSET(nombres[],0,0,1,1))+1,ROW(OFFSET(nombres[],ROWS(nombres[])-1,0,1,1))+1),$O1556:$O1575),3),"")</f>
        <v/>
      </c>
      <c r="Q1556" s="42" t="str">
        <f t="array" aca="1" ref="Q1556" ca="1">IFERROR(INDEX(nombres[],SMALL(IF(OFFSET(nombres[],0,0,ROWS(nombres[]),1)=Q$1490,ROW(OFFSET(nombres[],0,0,ROWS(nombres[]),1))-ROW(OFFSET(nombres[],0,0,1,1))+1,ROW(OFFSET(nombres[],ROWS(nombres[])-1,0,1,1))+1),$O1556:$O1575),3),"")</f>
        <v/>
      </c>
      <c r="R1556" s="42" t="str">
        <f t="array" aca="1" ref="R1556" ca="1">IFERROR(INDEX(nombres[],SMALL(IF(OFFSET(nombres[],0,0,ROWS(nombres[]),1)=R$1490,ROW(OFFSET(nombres[],0,0,ROWS(nombres[]),1))-ROW(OFFSET(nombres[],0,0,1,1))+1,ROW(OFFSET(nombres[],ROWS(nombres[])-1,0,1,1))+1),$O1556:$O1575),3),"")</f>
        <v/>
      </c>
      <c r="S1556" s="42" t="str">
        <f t="array" aca="1" ref="S1556" ca="1">IFERROR(INDEX(nombres[],SMALL(IF(OFFSET(nombres[],0,0,ROWS(nombres[]),1)=S$1490,ROW(OFFSET(nombres[],0,0,ROWS(nombres[]),1))-ROW(OFFSET(nombres[],0,0,1,1))+1,ROW(OFFSET(nombres[],ROWS(nombres[])-1,0,1,1))+1),$O1556:$O1575),3),"")</f>
        <v/>
      </c>
      <c r="T1556" s="42" t="str">
        <f t="array" aca="1" ref="T1556" ca="1">IFERROR(INDEX(nombres[],SMALL(IF(OFFSET(nombres[],0,0,ROWS(nombres[]),1)=T$1490,ROW(OFFSET(nombres[],0,0,ROWS(nombres[]),1))-ROW(OFFSET(nombres[],0,0,1,1))+1,ROW(OFFSET(nombres[],ROWS(nombres[])-1,0,1,1))+1),$O1556:$O1575),3),"")</f>
        <v/>
      </c>
      <c r="U1556" s="42" t="str">
        <f t="array" aca="1" ref="U1556" ca="1">IFERROR(INDEX(nombres[],SMALL(IF(OFFSET(nombres[],0,0,ROWS(nombres[]),1)=U$1490,ROW(OFFSET(nombres[],0,0,ROWS(nombres[]),1))-ROW(OFFSET(nombres[],0,0,1,1))+1,ROW(OFFSET(nombres[],ROWS(nombres[])-1,0,1,1))+1),$O1556:$O1575),3),"")</f>
        <v/>
      </c>
      <c r="V1556" s="42" t="str">
        <f t="array" aca="1" ref="V1556" ca="1">IFERROR(INDEX(nombres[],SMALL(IF(OFFSET(nombres[],0,0,ROWS(nombres[]),1)=V$1490,ROW(OFFSET(nombres[],0,0,ROWS(nombres[]),1))-ROW(OFFSET(nombres[],0,0,1,1))+1,ROW(OFFSET(nombres[],ROWS(nombres[])-1,0,1,1))+1),$O1556:$O1575),3),"")</f>
        <v/>
      </c>
      <c r="W1556" s="42" t="str">
        <f t="array" aca="1" ref="W1556" ca="1">IFERROR(INDEX(nombres[],SMALL(IF(OFFSET(nombres[],0,0,ROWS(nombres[]),1)=W$1490,ROW(OFFSET(nombres[],0,0,ROWS(nombres[]),1))-ROW(OFFSET(nombres[],0,0,1,1))+1,ROW(OFFSET(nombres[],ROWS(nombres[])-1,0,1,1))+1),$O1556:$O1575),3),"")</f>
        <v/>
      </c>
      <c r="X1556" s="42" t="str">
        <f t="array" aca="1" ref="X1556" ca="1">IFERROR(INDEX(nombres[],SMALL(IF(OFFSET(nombres[],0,0,ROWS(nombres[]),1)=X$1490,ROW(OFFSET(nombres[],0,0,ROWS(nombres[]),1))-ROW(OFFSET(nombres[],0,0,1,1))+1,ROW(OFFSET(nombres[],ROWS(nombres[])-1,0,1,1))+1),$O1556:$O1575),3),"")</f>
        <v/>
      </c>
      <c r="Y1556" s="42" t="str">
        <f t="array" aca="1" ref="Y1556" ca="1">IFERROR(INDEX(nombres[],SMALL(IF(OFFSET(nombres[],0,0,ROWS(nombres[]),1)=Y$1490,ROW(OFFSET(nombres[],0,0,ROWS(nombres[]),1))-ROW(OFFSET(nombres[],0,0,1,1))+1,ROW(OFFSET(nombres[],ROWS(nombres[])-1,0,1,1))+1),$O1556:$O1575),3),"")</f>
        <v/>
      </c>
      <c r="Z1556" s="42" t="str">
        <f t="array" aca="1" ref="Z1556" ca="1">IFERROR(INDEX(nombres[],SMALL(IF(OFFSET(nombres[],0,0,ROWS(nombres[]),1)=Z$1490,ROW(OFFSET(nombres[],0,0,ROWS(nombres[]),1))-ROW(OFFSET(nombres[],0,0,1,1))+1,ROW(OFFSET(nombres[],ROWS(nombres[])-1,0,1,1))+1),$O1556:$O1575),3),"")</f>
        <v/>
      </c>
      <c r="AA1556" s="42" t="str">
        <f t="array" aca="1" ref="AA1556" ca="1">IFERROR(INDEX(nombres[],SMALL(IF(OFFSET(nombres[],0,0,ROWS(nombres[]),1)=AA$1490,ROW(OFFSET(nombres[],0,0,ROWS(nombres[]),1))-ROW(OFFSET(nombres[],0,0,1,1))+1,ROW(OFFSET(nombres[],ROWS(nombres[])-1,0,1,1))+1),$O1556:$O1575),3),"")</f>
        <v/>
      </c>
      <c r="AB1556" s="42" t="str">
        <f t="array" aca="1" ref="AB1556" ca="1">IFERROR(INDEX(nombres[],SMALL(IF(OFFSET(nombres[],0,0,ROWS(nombres[]),1)=AB$1490,ROW(OFFSET(nombres[],0,0,ROWS(nombres[]),1))-ROW(OFFSET(nombres[],0,0,1,1))+1,ROW(OFFSET(nombres[],ROWS(nombres[])-1,0,1,1))+1),$O1556:$O1575),3),"")</f>
        <v/>
      </c>
      <c r="AC1556" s="42" t="str">
        <f t="array" aca="1" ref="AC1556" ca="1">IFERROR(INDEX(nombres[],SMALL(IF(OFFSET(nombres[],0,0,ROWS(nombres[]),1)=AC$1490,ROW(OFFSET(nombres[],0,0,ROWS(nombres[]),1))-ROW(OFFSET(nombres[],0,0,1,1))+1,ROW(OFFSET(nombres[],ROWS(nombres[])-1,0,1,1))+1),$O1556:$O1575),3),"")</f>
        <v/>
      </c>
      <c r="AD1556" s="42" t="str">
        <f t="array" aca="1" ref="AD1556" ca="1">IFERROR(INDEX(nombres[],SMALL(IF(OFFSET(nombres[],0,0,ROWS(nombres[]),1)=AD$1490,ROW(OFFSET(nombres[],0,0,ROWS(nombres[]),1))-ROW(OFFSET(nombres[],0,0,1,1))+1,ROW(OFFSET(nombres[],ROWS(nombres[])-1,0,1,1))+1),$O1556:$O1575),3),"")</f>
        <v/>
      </c>
      <c r="AE1556" s="42" t="str">
        <f t="array" aca="1" ref="AE1556" ca="1">IFERROR(INDEX(nombres[],SMALL(IF(OFFSET(nombres[],0,0,ROWS(nombres[]),1)=AE$1490,ROW(OFFSET(nombres[],0,0,ROWS(nombres[]),1))-ROW(OFFSET(nombres[],0,0,1,1))+1,ROW(OFFSET(nombres[],ROWS(nombres[])-1,0,1,1))+1),$O1556:$O1575),3),"")</f>
        <v/>
      </c>
      <c r="AF1556" s="42" t="str">
        <f t="array" aca="1" ref="AF1556" ca="1">IFERROR(INDEX(nombres[],SMALL(IF(OFFSET(nombres[],0,0,ROWS(nombres[]),1)=AF$1490,ROW(OFFSET(nombres[],0,0,ROWS(nombres[]),1))-ROW(OFFSET(nombres[],0,0,1,1))+1,ROW(OFFSET(nombres[],ROWS(nombres[])-1,0,1,1))+1),$O1556:$O1575),3),"")</f>
        <v/>
      </c>
      <c r="AG1556" s="42" t="str">
        <f t="array" aca="1" ref="AG1556" ca="1">IFERROR(INDEX(nombres[],SMALL(IF(OFFSET(nombres[],0,0,ROWS(nombres[]),1)=AG$1490,ROW(OFFSET(nombres[],0,0,ROWS(nombres[]),1))-ROW(OFFSET(nombres[],0,0,1,1))+1,ROW(OFFSET(nombres[],ROWS(nombres[])-1,0,1,1))+1),$O1556:$O1575),3),"")</f>
        <v/>
      </c>
      <c r="AH1556" s="42" t="str">
        <f t="array" aca="1" ref="AH1556" ca="1">IFERROR(INDEX(nombres[],SMALL(IF(OFFSET(nombres[],0,0,ROWS(nombres[]),1)=AH$1490,ROW(OFFSET(nombres[],0,0,ROWS(nombres[]),1))-ROW(OFFSET(nombres[],0,0,1,1))+1,ROW(OFFSET(nombres[],ROWS(nombres[])-1,0,1,1))+1),$O1556:$O1575),3),"")</f>
        <v/>
      </c>
      <c r="AI1556" s="42" t="str">
        <f t="array" aca="1" ref="AI1556" ca="1">IFERROR(INDEX(nombres[],SMALL(IF(OFFSET(nombres[],0,0,ROWS(nombres[]),1)=AI$1490,ROW(OFFSET(nombres[],0,0,ROWS(nombres[]),1))-ROW(OFFSET(nombres[],0,0,1,1))+1,ROW(OFFSET(nombres[],ROWS(nombres[])-1,0,1,1))+1),$O1556:$O1575),3),"")</f>
        <v/>
      </c>
      <c r="AJ1556" s="42" t="str">
        <f t="array" aca="1" ref="AJ1556" ca="1">IFERROR(INDEX(nombres[],SMALL(IF(OFFSET(nombres[],0,0,ROWS(nombres[]),1)=AJ$1490,ROW(OFFSET(nombres[],0,0,ROWS(nombres[]),1))-ROW(OFFSET(nombres[],0,0,1,1))+1,ROW(OFFSET(nombres[],ROWS(nombres[])-1,0,1,1))+1),$O1556:$O1575),3),"")</f>
        <v/>
      </c>
      <c r="AK1556" s="42" t="str">
        <f t="array" aca="1" ref="AK1556" ca="1">IFERROR(INDEX(nombres[],SMALL(IF(OFFSET(nombres[],0,0,ROWS(nombres[]),1)=AK$1490,ROW(OFFSET(nombres[],0,0,ROWS(nombres[]),1))-ROW(OFFSET(nombres[],0,0,1,1))+1,ROW(OFFSET(nombres[],ROWS(nombres[])-1,0,1,1))+1),$O1556:$O1575),3),"")</f>
        <v/>
      </c>
      <c r="AL1556" s="42" t="str">
        <f t="array" aca="1" ref="AL1556" ca="1">IFERROR(INDEX(nombres[],SMALL(IF(OFFSET(nombres[],0,0,ROWS(nombres[]),1)=AL$1490,ROW(OFFSET(nombres[],0,0,ROWS(nombres[]),1))-ROW(OFFSET(nombres[],0,0,1,1))+1,ROW(OFFSET(nombres[],ROWS(nombres[])-1,0,1,1))+1),$O1556:$O1575),3),"")</f>
        <v/>
      </c>
      <c r="AM1556" s="42" t="str">
        <f t="array" aca="1" ref="AM1556" ca="1">IFERROR(INDEX(nombres[],SMALL(IF(OFFSET(nombres[],0,0,ROWS(nombres[]),1)=AM$1490,ROW(OFFSET(nombres[],0,0,ROWS(nombres[]),1))-ROW(OFFSET(nombres[],0,0,1,1))+1,ROW(OFFSET(nombres[],ROWS(nombres[])-1,0,1,1))+1),$O1556:$O1575),3),"")</f>
        <v/>
      </c>
      <c r="AN1556" s="42" t="str">
        <f t="array" aca="1" ref="AN1556" ca="1">IFERROR(INDEX(nombres[],SMALL(IF(OFFSET(nombres[],0,0,ROWS(nombres[]),1)=AN$1490,ROW(OFFSET(nombres[],0,0,ROWS(nombres[]),1))-ROW(OFFSET(nombres[],0,0,1,1))+1,ROW(OFFSET(nombres[],ROWS(nombres[])-1,0,1,1))+1),$O1556:$O1575),3),"")</f>
        <v/>
      </c>
      <c r="AO1556" s="42" t="str">
        <f t="array" aca="1" ref="AO1556" ca="1">IFERROR(INDEX(nombres[],SMALL(IF(OFFSET(nombres[],0,0,ROWS(nombres[]),1)=AO$1490,ROW(OFFSET(nombres[],0,0,ROWS(nombres[]),1))-ROW(OFFSET(nombres[],0,0,1,1))+1,ROW(OFFSET(nombres[],ROWS(nombres[])-1,0,1,1))+1),$O1556:$O1575),3),"")</f>
        <v/>
      </c>
      <c r="AP1556" s="42" t="str">
        <f t="array" aca="1" ref="AP1556" ca="1">IFERROR(INDEX(nombres[],SMALL(IF(OFFSET(nombres[],0,0,ROWS(nombres[]),1)=AP$1490,ROW(OFFSET(nombres[],0,0,ROWS(nombres[]),1))-ROW(OFFSET(nombres[],0,0,1,1))+1,ROW(OFFSET(nombres[],ROWS(nombres[])-1,0,1,1))+1),$O1556:$O1575),3),"")</f>
        <v/>
      </c>
      <c r="AQ1556" s="42" t="str">
        <f t="array" aca="1" ref="AQ1556" ca="1">IFERROR(INDEX(nombres[],SMALL(IF(OFFSET(nombres[],0,0,ROWS(nombres[]),1)=AQ$1490,ROW(OFFSET(nombres[],0,0,ROWS(nombres[]),1))-ROW(OFFSET(nombres[],0,0,1,1))+1,ROW(OFFSET(nombres[],ROWS(nombres[])-1,0,1,1))+1),$O1556:$O1575),3),"")</f>
        <v/>
      </c>
      <c r="AR1556" s="42" t="str">
        <f t="array" aca="1" ref="AR1556" ca="1">IFERROR(INDEX(nombres[],SMALL(IF(OFFSET(nombres[],0,0,ROWS(nombres[]),1)=AR$1490,ROW(OFFSET(nombres[],0,0,ROWS(nombres[]),1))-ROW(OFFSET(nombres[],0,0,1,1))+1,ROW(OFFSET(nombres[],ROWS(nombres[])-1,0,1,1))+1),$O1556:$O1575),3),"")</f>
        <v/>
      </c>
      <c r="AS1556" s="42" t="str">
        <f t="array" aca="1" ref="AS1556" ca="1">IFERROR(INDEX(nombres[],SMALL(IF(OFFSET(nombres[],0,0,ROWS(nombres[]),1)=AS$1490,ROW(OFFSET(nombres[],0,0,ROWS(nombres[]),1))-ROW(OFFSET(nombres[],0,0,1,1))+1,ROW(OFFSET(nombres[],ROWS(nombres[])-1,0,1,1))+1),$O1556:$O1575),3),"")</f>
        <v/>
      </c>
      <c r="AT1556" s="42" t="str">
        <f t="array" aca="1" ref="AT1556" ca="1">IFERROR(INDEX(nombres[],SMALL(IF(OFFSET(nombres[],0,0,ROWS(nombres[]),1)=AT$1490,ROW(OFFSET(nombres[],0,0,ROWS(nombres[]),1))-ROW(OFFSET(nombres[],0,0,1,1))+1,ROW(OFFSET(nombres[],ROWS(nombres[])-1,0,1,1))+1),$O1556:$O1575),3),"")</f>
        <v/>
      </c>
      <c r="AU1556" s="42" t="str">
        <f t="array" aca="1" ref="AU1556" ca="1">IFERROR(INDEX(nombres[],SMALL(IF(OFFSET(nombres[],0,0,ROWS(nombres[]),1)=AU$1490,ROW(OFFSET(nombres[],0,0,ROWS(nombres[]),1))-ROW(OFFSET(nombres[],0,0,1,1))+1,ROW(OFFSET(nombres[],ROWS(nombres[])-1,0,1,1))+1),$O1556:$O1575),3),"")</f>
        <v/>
      </c>
      <c r="AV1556" s="42" t="str">
        <f t="array" aca="1" ref="AV1556" ca="1">IFERROR(INDEX(nombres[],SMALL(IF(OFFSET(nombres[],0,0,ROWS(nombres[]),1)=AV$1490,ROW(OFFSET(nombres[],0,0,ROWS(nombres[]),1))-ROW(OFFSET(nombres[],0,0,1,1))+1,ROW(OFFSET(nombres[],ROWS(nombres[])-1,0,1,1))+1),$O1556:$O1575),3),"")</f>
        <v/>
      </c>
      <c r="AW1556" s="42" t="str">
        <f t="array" aca="1" ref="AW1556" ca="1">IFERROR(INDEX(nombres[],SMALL(IF(OFFSET(nombres[],0,0,ROWS(nombres[]),1)=AW$1490,ROW(OFFSET(nombres[],0,0,ROWS(nombres[]),1))-ROW(OFFSET(nombres[],0,0,1,1))+1,ROW(OFFSET(nombres[],ROWS(nombres[])-1,0,1,1))+1),$O1556:$O1575),3),"")</f>
        <v/>
      </c>
      <c r="AX1556" s="42" t="str">
        <f t="array" aca="1" ref="AX1556" ca="1">IFERROR(INDEX(nombres[],SMALL(IF(OFFSET(nombres[],0,0,ROWS(nombres[]),1)=AX$1490,ROW(OFFSET(nombres[],0,0,ROWS(nombres[]),1))-ROW(OFFSET(nombres[],0,0,1,1))+1,ROW(OFFSET(nombres[],ROWS(nombres[])-1,0,1,1))+1),$O1556:$O1575),3),"")</f>
        <v/>
      </c>
      <c r="AY1556" s="42" t="str">
        <f t="array" aca="1" ref="AY1556" ca="1">IFERROR(INDEX(nombres[],SMALL(IF(OFFSET(nombres[],0,0,ROWS(nombres[]),1)=AY$1490,ROW(OFFSET(nombres[],0,0,ROWS(nombres[]),1))-ROW(OFFSET(nombres[],0,0,1,1))+1,ROW(OFFSET(nombres[],ROWS(nombres[])-1,0,1,1))+1),$O1556:$O1575),3),"")</f>
        <v/>
      </c>
      <c r="AZ1556" s="42" t="str">
        <f t="array" aca="1" ref="AZ1556" ca="1">IFERROR(INDEX(nombres[],SMALL(IF(OFFSET(nombres[],0,0,ROWS(nombres[]),1)=AZ$1490,ROW(OFFSET(nombres[],0,0,ROWS(nombres[]),1))-ROW(OFFSET(nombres[],0,0,1,1))+1,ROW(OFFSET(nombres[],ROWS(nombres[])-1,0,1,1))+1),$O1556:$O1575),3),"")</f>
        <v/>
      </c>
      <c r="BA1556" s="42" t="str">
        <f t="array" aca="1" ref="BA1556" ca="1">IFERROR(INDEX(nombres[],SMALL(IF(OFFSET(nombres[],0,0,ROWS(nombres[]),1)=BA$1490,ROW(OFFSET(nombres[],0,0,ROWS(nombres[]),1))-ROW(OFFSET(nombres[],0,0,1,1))+1,ROW(OFFSET(nombres[],ROWS(nombres[])-1,0,1,1))+1),$O1556:$O1575),3),"")</f>
        <v/>
      </c>
      <c r="BB1556" s="42" t="str">
        <f t="array" aca="1" ref="BB1556" ca="1">IFERROR(INDEX(nombres[],SMALL(IF(OFFSET(nombres[],0,0,ROWS(nombres[]),1)=BB$1490,ROW(OFFSET(nombres[],0,0,ROWS(nombres[]),1))-ROW(OFFSET(nombres[],0,0,1,1))+1,ROW(OFFSET(nombres[],ROWS(nombres[])-1,0,1,1))+1),$O1556:$O1575),3),"")</f>
        <v/>
      </c>
      <c r="BC1556" s="42" t="str">
        <f t="array" aca="1" ref="BC1556" ca="1">IFERROR(INDEX(nombres[],SMALL(IF(OFFSET(nombres[],0,0,ROWS(nombres[]),1)=BC$1490,ROW(OFFSET(nombres[],0,0,ROWS(nombres[]),1))-ROW(OFFSET(nombres[],0,0,1,1))+1,ROW(OFFSET(nombres[],ROWS(nombres[])-1,0,1,1))+1),$O1556:$O1575),3),"")</f>
        <v/>
      </c>
      <c r="BD1556" s="42" t="str">
        <f t="array" aca="1" ref="BD1556" ca="1">IFERROR(INDEX(nombres[],SMALL(IF(OFFSET(nombres[],0,0,ROWS(nombres[]),1)=BD$1490,ROW(OFFSET(nombres[],0,0,ROWS(nombres[]),1))-ROW(OFFSET(nombres[],0,0,1,1))+1,ROW(OFFSET(nombres[],ROWS(nombres[])-1,0,1,1))+1),$O1556:$O1575),3),"")</f>
        <v/>
      </c>
      <c r="BE1556" s="42" t="str">
        <f t="array" aca="1" ref="BE1556" ca="1">IFERROR(INDEX(nombres[],SMALL(IF(OFFSET(nombres[],0,0,ROWS(nombres[]),1)=BE$1490,ROW(OFFSET(nombres[],0,0,ROWS(nombres[]),1))-ROW(OFFSET(nombres[],0,0,1,1))+1,ROW(OFFSET(nombres[],ROWS(nombres[])-1,0,1,1))+1),$O1556:$O1575),3),"")</f>
        <v/>
      </c>
      <c r="BF1556" s="42" t="str">
        <f t="array" aca="1" ref="BF1556" ca="1">IFERROR(INDEX(nombres[],SMALL(IF(OFFSET(nombres[],0,0,ROWS(nombres[]),1)=BF$1490,ROW(OFFSET(nombres[],0,0,ROWS(nombres[]),1))-ROW(OFFSET(nombres[],0,0,1,1))+1,ROW(OFFSET(nombres[],ROWS(nombres[])-1,0,1,1))+1),$O1556:$O1575),3),"")</f>
        <v/>
      </c>
      <c r="BG1556" s="42" t="str">
        <f t="array" aca="1" ref="BG1556" ca="1">IFERROR(INDEX(nombres[],SMALL(IF(OFFSET(nombres[],0,0,ROWS(nombres[]),1)=BG$1490,ROW(OFFSET(nombres[],0,0,ROWS(nombres[]),1))-ROW(OFFSET(nombres[],0,0,1,1))+1,ROW(OFFSET(nombres[],ROWS(nombres[])-1,0,1,1))+1),$O1556:$O1575),3),"")</f>
        <v/>
      </c>
      <c r="BH1556" s="42" t="str">
        <f t="array" aca="1" ref="BH1556" ca="1">IFERROR(INDEX(nombres[],SMALL(IF(OFFSET(nombres[],0,0,ROWS(nombres[]),1)=BH$1490,ROW(OFFSET(nombres[],0,0,ROWS(nombres[]),1))-ROW(OFFSET(nombres[],0,0,1,1))+1,ROW(OFFSET(nombres[],ROWS(nombres[])-1,0,1,1))+1),$O1556:$O1575),3),"")</f>
        <v/>
      </c>
      <c r="BI1556" s="42" t="str">
        <f t="array" aca="1" ref="BI1556" ca="1">IFERROR(INDEX(nombres[],SMALL(IF(OFFSET(nombres[],0,0,ROWS(nombres[]),1)=BI$1490,ROW(OFFSET(nombres[],0,0,ROWS(nombres[]),1))-ROW(OFFSET(nombres[],0,0,1,1))+1,ROW(OFFSET(nombres[],ROWS(nombres[])-1,0,1,1))+1),$O1556:$O1575),3),"")</f>
        <v/>
      </c>
      <c r="BJ1556" s="42" t="str">
        <f t="array" aca="1" ref="BJ1556" ca="1">IFERROR(INDEX(nombres[],SMALL(IF(OFFSET(nombres[],0,0,ROWS(nombres[]),1)=BJ$1490,ROW(OFFSET(nombres[],0,0,ROWS(nombres[]),1))-ROW(OFFSET(nombres[],0,0,1,1))+1,ROW(OFFSET(nombres[],ROWS(nombres[])-1,0,1,1))+1),$O1556:$O1575),3),"")</f>
        <v/>
      </c>
      <c r="BK1556" s="42" t="str">
        <f t="array" aca="1" ref="BK1556" ca="1">IFERROR(INDEX(nombres[],SMALL(IF(OFFSET(nombres[],0,0,ROWS(nombres[]),1)=BK$1490,ROW(OFFSET(nombres[],0,0,ROWS(nombres[]),1))-ROW(OFFSET(nombres[],0,0,1,1))+1,ROW(OFFSET(nombres[],ROWS(nombres[])-1,0,1,1))+1),$O1556:$O1575),3),"")</f>
        <v/>
      </c>
      <c r="BL1556" s="42" t="str">
        <f t="array" aca="1" ref="BL1556" ca="1">IFERROR(INDEX(nombres[],SMALL(IF(OFFSET(nombres[],0,0,ROWS(nombres[]),1)=BL$1490,ROW(OFFSET(nombres[],0,0,ROWS(nombres[]),1))-ROW(OFFSET(nombres[],0,0,1,1))+1,ROW(OFFSET(nombres[],ROWS(nombres[])-1,0,1,1))+1),$O1556:$O1575),3),"")</f>
        <v/>
      </c>
      <c r="BM1556" s="42" t="str">
        <f t="array" aca="1" ref="BM1556" ca="1">IFERROR(INDEX(nombres[],SMALL(IF(OFFSET(nombres[],0,0,ROWS(nombres[]),1)=BM$1490,ROW(OFFSET(nombres[],0,0,ROWS(nombres[]),1))-ROW(OFFSET(nombres[],0,0,1,1))+1,ROW(OFFSET(nombres[],ROWS(nombres[])-1,0,1,1))+1),$O1556:$O1575),3),"")</f>
        <v/>
      </c>
      <c r="BN1556" s="42" t="str">
        <f t="array" aca="1" ref="BN1556" ca="1">IFERROR(INDEX(nombres[],SMALL(IF(OFFSET(nombres[],0,0,ROWS(nombres[]),1)=BN$1490,ROW(OFFSET(nombres[],0,0,ROWS(nombres[]),1))-ROW(OFFSET(nombres[],0,0,1,1))+1,ROW(OFFSET(nombres[],ROWS(nombres[])-1,0,1,1))+1),$O1556:$O1575),3),"")</f>
        <v/>
      </c>
      <c r="BO1556" s="42" t="str">
        <f t="array" aca="1" ref="BO1556" ca="1">IFERROR(INDEX(nombres[],SMALL(IF(OFFSET(nombres[],0,0,ROWS(nombres[]),1)=BO$1490,ROW(OFFSET(nombres[],0,0,ROWS(nombres[]),1))-ROW(OFFSET(nombres[],0,0,1,1))+1,ROW(OFFSET(nombres[],ROWS(nombres[])-1,0,1,1))+1),$O1556:$O1575),3),"")</f>
        <v/>
      </c>
      <c r="BP1556" s="42" t="str">
        <f t="array" aca="1" ref="BP1556" ca="1">IFERROR(INDEX(nombres[],SMALL(IF(OFFSET(nombres[],0,0,ROWS(nombres[]),1)=BP$1490,ROW(OFFSET(nombres[],0,0,ROWS(nombres[]),1))-ROW(OFFSET(nombres[],0,0,1,1))+1,ROW(OFFSET(nombres[],ROWS(nombres[])-1,0,1,1))+1),$O1556:$O1575),3),"")</f>
        <v/>
      </c>
      <c r="BQ1556" s="42" t="str">
        <f t="array" aca="1" ref="BQ1556" ca="1">IFERROR(INDEX(nombres[],SMALL(IF(OFFSET(nombres[],0,0,ROWS(nombres[]),1)=BQ$1490,ROW(OFFSET(nombres[],0,0,ROWS(nombres[]),1))-ROW(OFFSET(nombres[],0,0,1,1))+1,ROW(OFFSET(nombres[],ROWS(nombres[])-1,0,1,1))+1),$O1556:$O1575),3),"")</f>
        <v/>
      </c>
      <c r="BR1556" s="42" t="str">
        <f t="array" aca="1" ref="BR1556" ca="1">IFERROR(INDEX(nombres[],SMALL(IF(OFFSET(nombres[],0,0,ROWS(nombres[]),1)=BR$1490,ROW(OFFSET(nombres[],0,0,ROWS(nombres[]),1))-ROW(OFFSET(nombres[],0,0,1,1))+1,ROW(OFFSET(nombres[],ROWS(nombres[])-1,0,1,1))+1),$O1556:$O1575),3),"")</f>
        <v/>
      </c>
      <c r="BS1556" s="42" t="str">
        <f t="array" aca="1" ref="BS1556" ca="1">IFERROR(INDEX(nombres[],SMALL(IF(OFFSET(nombres[],0,0,ROWS(nombres[]),1)=BS$1490,ROW(OFFSET(nombres[],0,0,ROWS(nombres[]),1))-ROW(OFFSET(nombres[],0,0,1,1))+1,ROW(OFFSET(nombres[],ROWS(nombres[])-1,0,1,1))+1),$O1556:$O1575),3),"")</f>
        <v/>
      </c>
      <c r="BT1556" s="42" t="str">
        <f t="array" aca="1" ref="BT1556" ca="1">IFERROR(INDEX(nombres[],SMALL(IF(OFFSET(nombres[],0,0,ROWS(nombres[]),1)=BT$1490,ROW(OFFSET(nombres[],0,0,ROWS(nombres[]),1))-ROW(OFFSET(nombres[],0,0,1,1))+1,ROW(OFFSET(nombres[],ROWS(nombres[])-1,0,1,1))+1),$O1556:$O1575),3),"")</f>
        <v/>
      </c>
      <c r="BU1556" s="42" t="str">
        <f t="array" aca="1" ref="BU1556" ca="1">IFERROR(INDEX(nombres[],SMALL(IF(OFFSET(nombres[],0,0,ROWS(nombres[]),1)=BU$1490,ROW(OFFSET(nombres[],0,0,ROWS(nombres[]),1))-ROW(OFFSET(nombres[],0,0,1,1))+1,ROW(OFFSET(nombres[],ROWS(nombres[])-1,0,1,1))+1),$O1556:$O1575),3),"")</f>
        <v/>
      </c>
      <c r="BV1556" s="42" t="str">
        <f t="array" aca="1" ref="BV1556" ca="1">IFERROR(INDEX(nombres[],SMALL(IF(OFFSET(nombres[],0,0,ROWS(nombres[]),1)=BV$1490,ROW(OFFSET(nombres[],0,0,ROWS(nombres[]),1))-ROW(OFFSET(nombres[],0,0,1,1))+1,ROW(OFFSET(nombres[],ROWS(nombres[])-1,0,1,1))+1),$O1556:$O1575),3),"")</f>
        <v/>
      </c>
      <c r="BW1556" s="42" t="str">
        <f t="array" aca="1" ref="BW1556" ca="1">IFERROR(INDEX(nombres[],SMALL(IF(OFFSET(nombres[],0,0,ROWS(nombres[]),1)=BW$1490,ROW(OFFSET(nombres[],0,0,ROWS(nombres[]),1))-ROW(OFFSET(nombres[],0,0,1,1))+1,ROW(OFFSET(nombres[],ROWS(nombres[])-1,0,1,1))+1),$O1556:$O1575),3),"")</f>
        <v/>
      </c>
      <c r="BX1556" s="42" t="str">
        <f t="array" aca="1" ref="BX1556" ca="1">IFERROR(INDEX(nombres[],SMALL(IF(OFFSET(nombres[],0,0,ROWS(nombres[]),1)=BX$1490,ROW(OFFSET(nombres[],0,0,ROWS(nombres[]),1))-ROW(OFFSET(nombres[],0,0,1,1))+1,ROW(OFFSET(nombres[],ROWS(nombres[])-1,0,1,1))+1),$O1556:$O1575),3),"")</f>
        <v/>
      </c>
      <c r="BY1556" s="42" t="str">
        <f t="array" aca="1" ref="BY1556" ca="1">IFERROR(INDEX(nombres[],SMALL(IF(OFFSET(nombres[],0,0,ROWS(nombres[]),1)=BY$1490,ROW(OFFSET(nombres[],0,0,ROWS(nombres[]),1))-ROW(OFFSET(nombres[],0,0,1,1))+1,ROW(OFFSET(nombres[],ROWS(nombres[])-1,0,1,1))+1),$O1556:$O1575),3),"")</f>
        <v/>
      </c>
      <c r="BZ1556" s="42" t="str">
        <f t="array" aca="1" ref="BZ1556" ca="1">IFERROR(INDEX(nombres[],SMALL(IF(OFFSET(nombres[],0,0,ROWS(nombres[]),1)=BZ$1490,ROW(OFFSET(nombres[],0,0,ROWS(nombres[]),1))-ROW(OFFSET(nombres[],0,0,1,1))+1,ROW(OFFSET(nombres[],ROWS(nombres[])-1,0,1,1))+1),$O1556:$O1575),3),"")</f>
        <v/>
      </c>
      <c r="CA1556" s="42" t="str">
        <f t="array" aca="1" ref="CA1556" ca="1">IFERROR(INDEX(nombres[],SMALL(IF(OFFSET(nombres[],0,0,ROWS(nombres[]),1)=CA$1490,ROW(OFFSET(nombres[],0,0,ROWS(nombres[]),1))-ROW(OFFSET(nombres[],0,0,1,1))+1,ROW(OFFSET(nombres[],ROWS(nombres[])-1,0,1,1))+1),$O1556:$O1575),3),"")</f>
        <v/>
      </c>
      <c r="CB1556" s="42" t="str">
        <f t="array" aca="1" ref="CB1556" ca="1">IFERROR(INDEX(nombres[],SMALL(IF(OFFSET(nombres[],0,0,ROWS(nombres[]),1)=CB$1490,ROW(OFFSET(nombres[],0,0,ROWS(nombres[]),1))-ROW(OFFSET(nombres[],0,0,1,1))+1,ROW(OFFSET(nombres[],ROWS(nombres[])-1,0,1,1))+1),$O1556:$O1575),3),"")</f>
        <v/>
      </c>
      <c r="CC1556" s="42" t="str">
        <f t="array" aca="1" ref="CC1556" ca="1">IFERROR(INDEX(nombres[],SMALL(IF(OFFSET(nombres[],0,0,ROWS(nombres[]),1)=CC$1490,ROW(OFFSET(nombres[],0,0,ROWS(nombres[]),1))-ROW(OFFSET(nombres[],0,0,1,1))+1,ROW(OFFSET(nombres[],ROWS(nombres[])-1,0,1,1))+1),$O1556:$O1575),3),"")</f>
        <v/>
      </c>
      <c r="CD1556" s="42" t="str">
        <f t="array" aca="1" ref="CD1556" ca="1">IFERROR(INDEX(nombres[],SMALL(IF(OFFSET(nombres[],0,0,ROWS(nombres[]),1)=CD$1490,ROW(OFFSET(nombres[],0,0,ROWS(nombres[]),1))-ROW(OFFSET(nombres[],0,0,1,1))+1,ROW(OFFSET(nombres[],ROWS(nombres[])-1,0,1,1))+1),$O1556:$O1575),3),"")</f>
        <v/>
      </c>
      <c r="CE1556" s="42" t="str">
        <f t="array" aca="1" ref="CE1556" ca="1">IFERROR(INDEX(nombres[],SMALL(IF(OFFSET(nombres[],0,0,ROWS(nombres[]),1)=CE$1490,ROW(OFFSET(nombres[],0,0,ROWS(nombres[]),1))-ROW(OFFSET(nombres[],0,0,1,1))+1,ROW(OFFSET(nombres[],ROWS(nombres[])-1,0,1,1))+1),$O1556:$O1575),3),"")</f>
        <v/>
      </c>
      <c r="CF1556" s="42" t="str">
        <f t="array" aca="1" ref="CF1556" ca="1">IFERROR(INDEX(nombres[],SMALL(IF(OFFSET(nombres[],0,0,ROWS(nombres[]),1)=CF$1490,ROW(OFFSET(nombres[],0,0,ROWS(nombres[]),1))-ROW(OFFSET(nombres[],0,0,1,1))+1,ROW(OFFSET(nombres[],ROWS(nombres[])-1,0,1,1))+1),$O1556:$O1575),3),"")</f>
        <v/>
      </c>
      <c r="CG1556" s="42" t="str">
        <f t="array" aca="1" ref="CG1556" ca="1">IFERROR(INDEX(nombres[],SMALL(IF(OFFSET(nombres[],0,0,ROWS(nombres[]),1)=CG$1490,ROW(OFFSET(nombres[],0,0,ROWS(nombres[]),1))-ROW(OFFSET(nombres[],0,0,1,1))+1,ROW(OFFSET(nombres[],ROWS(nombres[])-1,0,1,1))+1),$O1556:$O1575),3),"")</f>
        <v/>
      </c>
      <c r="CH1556" s="42" t="str">
        <f t="array" aca="1" ref="CH1556" ca="1">IFERROR(INDEX(nombres[],SMALL(IF(OFFSET(nombres[],0,0,ROWS(nombres[]),1)=CH$1490,ROW(OFFSET(nombres[],0,0,ROWS(nombres[]),1))-ROW(OFFSET(nombres[],0,0,1,1))+1,ROW(OFFSET(nombres[],ROWS(nombres[])-1,0,1,1))+1),$O1556:$O1575),3),"")</f>
        <v/>
      </c>
      <c r="CI1556" s="42" t="str">
        <f t="array" aca="1" ref="CI1556" ca="1">IFERROR(INDEX(nombres[],SMALL(IF(OFFSET(nombres[],0,0,ROWS(nombres[]),1)=CI$1490,ROW(OFFSET(nombres[],0,0,ROWS(nombres[]),1))-ROW(OFFSET(nombres[],0,0,1,1))+1,ROW(OFFSET(nombres[],ROWS(nombres[])-1,0,1,1))+1),$O1556:$O1575),3),"")</f>
        <v/>
      </c>
      <c r="CJ1556" s="42" t="str">
        <f t="array" aca="1" ref="CJ1556" ca="1">IFERROR(INDEX(nombres[],SMALL(IF(OFFSET(nombres[],0,0,ROWS(nombres[]),1)=CJ$1490,ROW(OFFSET(nombres[],0,0,ROWS(nombres[]),1))-ROW(OFFSET(nombres[],0,0,1,1))+1,ROW(OFFSET(nombres[],ROWS(nombres[])-1,0,1,1))+1),$O1556:$O1575),3),"")</f>
        <v/>
      </c>
      <c r="CK1556" s="42" t="str">
        <f t="array" aca="1" ref="CK1556" ca="1">IFERROR(INDEX(nombres[],SMALL(IF(OFFSET(nombres[],0,0,ROWS(nombres[]),1)=CK$1490,ROW(OFFSET(nombres[],0,0,ROWS(nombres[]),1))-ROW(OFFSET(nombres[],0,0,1,1))+1,ROW(OFFSET(nombres[],ROWS(nombres[])-1,0,1,1))+1),$O1556:$O1575),3),"")</f>
        <v/>
      </c>
      <c r="CL1556" s="42" t="str">
        <f t="array" aca="1" ref="CL1556" ca="1">IFERROR(INDEX(nombres[],SMALL(IF(OFFSET(nombres[],0,0,ROWS(nombres[]),1)=CL$1490,ROW(OFFSET(nombres[],0,0,ROWS(nombres[]),1))-ROW(OFFSET(nombres[],0,0,1,1))+1,ROW(OFFSET(nombres[],ROWS(nombres[])-1,0,1,1))+1),$O1556:$O1575),3),"")</f>
        <v/>
      </c>
      <c r="CM1556" s="42" t="str">
        <f t="array" aca="1" ref="CM1556" ca="1">IFERROR(INDEX(nombres[],SMALL(IF(OFFSET(nombres[],0,0,ROWS(nombres[]),1)=CM$1490,ROW(OFFSET(nombres[],0,0,ROWS(nombres[]),1))-ROW(OFFSET(nombres[],0,0,1,1))+1,ROW(OFFSET(nombres[],ROWS(nombres[])-1,0,1,1))+1),$O1556:$O1575),3),"")</f>
        <v/>
      </c>
      <c r="CN1556" s="42" t="str">
        <f t="array" aca="1" ref="CN1556" ca="1">IFERROR(INDEX(nombres[],SMALL(IF(OFFSET(nombres[],0,0,ROWS(nombres[]),1)=CN$1490,ROW(OFFSET(nombres[],0,0,ROWS(nombres[]),1))-ROW(OFFSET(nombres[],0,0,1,1))+1,ROW(OFFSET(nombres[],ROWS(nombres[])-1,0,1,1))+1),$O1556:$O1575),3),"")</f>
        <v/>
      </c>
      <c r="CO1556" s="42" t="str">
        <f t="array" aca="1" ref="CO1556" ca="1">IFERROR(INDEX(nombres[],SMALL(IF(OFFSET(nombres[],0,0,ROWS(nombres[]),1)=CO$1490,ROW(OFFSET(nombres[],0,0,ROWS(nombres[]),1))-ROW(OFFSET(nombres[],0,0,1,1))+1,ROW(OFFSET(nombres[],ROWS(nombres[])-1,0,1,1))+1),$O1556:$O1575),3),"")</f>
        <v/>
      </c>
      <c r="CP1556" s="42" t="str">
        <f t="array" aca="1" ref="CP1556" ca="1">IFERROR(INDEX(nombres[],SMALL(IF(OFFSET(nombres[],0,0,ROWS(nombres[]),1)=CP$1490,ROW(OFFSET(nombres[],0,0,ROWS(nombres[]),1))-ROW(OFFSET(nombres[],0,0,1,1))+1,ROW(OFFSET(nombres[],ROWS(nombres[])-1,0,1,1))+1),$O1556:$O1575),3),"")</f>
        <v/>
      </c>
      <c r="CQ1556" s="42" t="str">
        <f t="array" aca="1" ref="CQ1556" ca="1">IFERROR(INDEX(nombres[],SMALL(IF(OFFSET(nombres[],0,0,ROWS(nombres[]),1)=CQ$1490,ROW(OFFSET(nombres[],0,0,ROWS(nombres[]),1))-ROW(OFFSET(nombres[],0,0,1,1))+1,ROW(OFFSET(nombres[],ROWS(nombres[])-1,0,1,1))+1),$O1556:$O1575),3),"")</f>
        <v/>
      </c>
      <c r="CR1556" s="42" t="str">
        <f t="array" aca="1" ref="CR1556" ca="1">IFERROR(INDEX(nombres[],SMALL(IF(OFFSET(nombres[],0,0,ROWS(nombres[]),1)=CR$1490,ROW(OFFSET(nombres[],0,0,ROWS(nombres[]),1))-ROW(OFFSET(nombres[],0,0,1,1))+1,ROW(OFFSET(nombres[],ROWS(nombres[])-1,0,1,1))+1),$O1556:$O1575),3),"")</f>
        <v/>
      </c>
      <c r="CS1556" s="42" t="str">
        <f t="array" aca="1" ref="CS1556" ca="1">IFERROR(INDEX(nombres[],SMALL(IF(OFFSET(nombres[],0,0,ROWS(nombres[]),1)=CS$1490,ROW(OFFSET(nombres[],0,0,ROWS(nombres[]),1))-ROW(OFFSET(nombres[],0,0,1,1))+1,ROW(OFFSET(nombres[],ROWS(nombres[])-1,0,1,1))+1),$O1556:$O1575),3),"")</f>
        <v/>
      </c>
      <c r="CT1556" s="42" t="str">
        <f t="array" aca="1" ref="CT1556" ca="1">IFERROR(INDEX(nombres[],SMALL(IF(OFFSET(nombres[],0,0,ROWS(nombres[]),1)=CT$1490,ROW(OFFSET(nombres[],0,0,ROWS(nombres[]),1))-ROW(OFFSET(nombres[],0,0,1,1))+1,ROW(OFFSET(nombres[],ROWS(nombres[])-1,0,1,1))+1),$O1556:$O1575),3),"")</f>
        <v/>
      </c>
      <c r="CU1556" s="42" t="str">
        <f t="array" aca="1" ref="CU1556" ca="1">IFERROR(INDEX(nombres[],SMALL(IF(OFFSET(nombres[],0,0,ROWS(nombres[]),1)=CU$1490,ROW(OFFSET(nombres[],0,0,ROWS(nombres[]),1))-ROW(OFFSET(nombres[],0,0,1,1))+1,ROW(OFFSET(nombres[],ROWS(nombres[])-1,0,1,1))+1),$O1556:$O1575),3),"")</f>
        <v/>
      </c>
      <c r="CV1556" s="42" t="str">
        <f t="array" aca="1" ref="CV1556" ca="1">IFERROR(INDEX(nombres[],SMALL(IF(OFFSET(nombres[],0,0,ROWS(nombres[]),1)=CV$1490,ROW(OFFSET(nombres[],0,0,ROWS(nombres[]),1))-ROW(OFFSET(nombres[],0,0,1,1))+1,ROW(OFFSET(nombres[],ROWS(nombres[])-1,0,1,1))+1),$O1556:$O1575),3),"")</f>
        <v/>
      </c>
      <c r="CW1556" s="42" t="str">
        <f t="array" aca="1" ref="CW1556" ca="1">IFERROR(INDEX(nombres[],SMALL(IF(OFFSET(nombres[],0,0,ROWS(nombres[]),1)=CW$1490,ROW(OFFSET(nombres[],0,0,ROWS(nombres[]),1))-ROW(OFFSET(nombres[],0,0,1,1))+1,ROW(OFFSET(nombres[],ROWS(nombres[])-1,0,1,1))+1),$O1556:$O1575),3),"")</f>
        <v/>
      </c>
      <c r="CX1556" s="42" t="str">
        <f t="array" aca="1" ref="CX1556" ca="1">IFERROR(INDEX(nombres[],SMALL(IF(OFFSET(nombres[],0,0,ROWS(nombres[]),1)=CX$1490,ROW(OFFSET(nombres[],0,0,ROWS(nombres[]),1))-ROW(OFFSET(nombres[],0,0,1,1))+1,ROW(OFFSET(nombres[],ROWS(nombres[])-1,0,1,1))+1),$O1556:$O1575),3),"")</f>
        <v/>
      </c>
      <c r="CY1556" s="42" t="str">
        <f t="array" aca="1" ref="CY1556" ca="1">IFERROR(INDEX(nombres[],SMALL(IF(OFFSET(nombres[],0,0,ROWS(nombres[]),1)=CY$1490,ROW(OFFSET(nombres[],0,0,ROWS(nombres[]),1))-ROW(OFFSET(nombres[],0,0,1,1))+1,ROW(OFFSET(nombres[],ROWS(nombres[])-1,0,1,1))+1),$O1556:$O1575),3),"")</f>
        <v/>
      </c>
      <c r="CZ1556" s="42" t="str">
        <f t="array" aca="1" ref="CZ1556" ca="1">IFERROR(INDEX(nombres[],SMALL(IF(OFFSET(nombres[],0,0,ROWS(nombres[]),1)=CZ$1490,ROW(OFFSET(nombres[],0,0,ROWS(nombres[]),1))-ROW(OFFSET(nombres[],0,0,1,1))+1,ROW(OFFSET(nombres[],ROWS(nombres[])-1,0,1,1))+1),$O1556:$O1575),3),"")</f>
        <v/>
      </c>
      <c r="DA1556" s="42" t="str">
        <f t="array" aca="1" ref="DA1556" ca="1">IFERROR(INDEX(nombres[],SMALL(IF(OFFSET(nombres[],0,0,ROWS(nombres[]),1)=DA$1490,ROW(OFFSET(nombres[],0,0,ROWS(nombres[]),1))-ROW(OFFSET(nombres[],0,0,1,1))+1,ROW(OFFSET(nombres[],ROWS(nombres[])-1,0,1,1))+1),$O1556:$O1575),3),"")</f>
        <v/>
      </c>
      <c r="DB1556" s="42" t="str">
        <f t="array" aca="1" ref="DB1556" ca="1">IFERROR(INDEX(nombres[],SMALL(IF(OFFSET(nombres[],0,0,ROWS(nombres[]),1)=DB$1490,ROW(OFFSET(nombres[],0,0,ROWS(nombres[]),1))-ROW(OFFSET(nombres[],0,0,1,1))+1,ROW(OFFSET(nombres[],ROWS(nombres[])-1,0,1,1))+1),$O1556:$O1575),3),"")</f>
        <v/>
      </c>
      <c r="DC1556" s="42" t="str">
        <f t="array" aca="1" ref="DC1556" ca="1">IFERROR(INDEX(nombres[],SMALL(IF(OFFSET(nombres[],0,0,ROWS(nombres[]),1)=DC$1490,ROW(OFFSET(nombres[],0,0,ROWS(nombres[]),1))-ROW(OFFSET(nombres[],0,0,1,1))+1,ROW(OFFSET(nombres[],ROWS(nombres[])-1,0,1,1))+1),$O1556:$O1575),3),"")</f>
        <v/>
      </c>
      <c r="DD1556" s="42" t="str">
        <f t="array" aca="1" ref="DD1556" ca="1">IFERROR(INDEX(nombres[],SMALL(IF(OFFSET(nombres[],0,0,ROWS(nombres[]),1)=DD$1490,ROW(OFFSET(nombres[],0,0,ROWS(nombres[]),1))-ROW(OFFSET(nombres[],0,0,1,1))+1,ROW(OFFSET(nombres[],ROWS(nombres[])-1,0,1,1))+1),$O1556:$O1575),3),"")</f>
        <v/>
      </c>
      <c r="DE1556" s="42" t="str">
        <f t="array" aca="1" ref="DE1556" ca="1">IFERROR(INDEX(nombres[],SMALL(IF(OFFSET(nombres[],0,0,ROWS(nombres[]),1)=DE$1490,ROW(OFFSET(nombres[],0,0,ROWS(nombres[]),1))-ROW(OFFSET(nombres[],0,0,1,1))+1,ROW(OFFSET(nombres[],ROWS(nombres[])-1,0,1,1))+1),$O1556:$O1575),3),"")</f>
        <v/>
      </c>
      <c r="DF1556" s="42" t="str">
        <f t="array" aca="1" ref="DF1556" ca="1">IFERROR(INDEX(nombres[],SMALL(IF(OFFSET(nombres[],0,0,ROWS(nombres[]),1)=DF$1490,ROW(OFFSET(nombres[],0,0,ROWS(nombres[]),1))-ROW(OFFSET(nombres[],0,0,1,1))+1,ROW(OFFSET(nombres[],ROWS(nombres[])-1,0,1,1))+1),$O1556:$O1575),3),"")</f>
        <v/>
      </c>
      <c r="DG1556" s="42" t="str">
        <f t="array" aca="1" ref="DG1556" ca="1">IFERROR(INDEX(nombres[],SMALL(IF(OFFSET(nombres[],0,0,ROWS(nombres[]),1)=DG$1490,ROW(OFFSET(nombres[],0,0,ROWS(nombres[]),1))-ROW(OFFSET(nombres[],0,0,1,1))+1,ROW(OFFSET(nombres[],ROWS(nombres[])-1,0,1,1))+1),$O1556:$O1575),3),"")</f>
        <v/>
      </c>
      <c r="DH1556" s="42" t="str">
        <f t="array" aca="1" ref="DH1556" ca="1">IFERROR(INDEX(nombres[],SMALL(IF(OFFSET(nombres[],0,0,ROWS(nombres[]),1)=DH$1490,ROW(OFFSET(nombres[],0,0,ROWS(nombres[]),1))-ROW(OFFSET(nombres[],0,0,1,1))+1,ROW(OFFSET(nombres[],ROWS(nombres[])-1,0,1,1))+1),$O1556:$O1575),3),"")</f>
        <v/>
      </c>
      <c r="DI1556" s="42" t="str">
        <f t="array" aca="1" ref="DI1556" ca="1">IFERROR(INDEX(nombres[],SMALL(IF(OFFSET(nombres[],0,0,ROWS(nombres[]),1)=DI$1490,ROW(OFFSET(nombres[],0,0,ROWS(nombres[]),1))-ROW(OFFSET(nombres[],0,0,1,1))+1,ROW(OFFSET(nombres[],ROWS(nombres[])-1,0,1,1))+1),$O1556:$O1575),3),"")</f>
        <v/>
      </c>
      <c r="DJ1556" s="42" t="str">
        <f t="array" aca="1" ref="DJ1556" ca="1">IFERROR(INDEX(nombres[],SMALL(IF(OFFSET(nombres[],0,0,ROWS(nombres[]),1)=DJ$1490,ROW(OFFSET(nombres[],0,0,ROWS(nombres[]),1))-ROW(OFFSET(nombres[],0,0,1,1))+1,ROW(OFFSET(nombres[],ROWS(nombres[])-1,0,1,1))+1),$O1556:$O1575),3),"")</f>
        <v/>
      </c>
      <c r="DK1556" s="42" t="str">
        <f t="array" aca="1" ref="DK1556" ca="1">IFERROR(INDEX(nombres[],SMALL(IF(OFFSET(nombres[],0,0,ROWS(nombres[]),1)=DK$1490,ROW(OFFSET(nombres[],0,0,ROWS(nombres[]),1))-ROW(OFFSET(nombres[],0,0,1,1))+1,ROW(OFFSET(nombres[],ROWS(nombres[])-1,0,1,1))+1),$O1556:$O1575),3),"")</f>
        <v/>
      </c>
      <c r="DL1556" s="42" t="str">
        <f t="array" aca="1" ref="DL1556" ca="1">IFERROR(INDEX(nombres[],SMALL(IF(OFFSET(nombres[],0,0,ROWS(nombres[]),1)=DL$1490,ROW(OFFSET(nombres[],0,0,ROWS(nombres[]),1))-ROW(OFFSET(nombres[],0,0,1,1))+1,ROW(OFFSET(nombres[],ROWS(nombres[])-1,0,1,1))+1),$O1556:$O1575),3),"")</f>
        <v/>
      </c>
      <c r="DM1556" s="42" t="str">
        <f t="array" aca="1" ref="DM1556" ca="1">IFERROR(INDEX(nombres[],SMALL(IF(OFFSET(nombres[],0,0,ROWS(nombres[]),1)=DM$1490,ROW(OFFSET(nombres[],0,0,ROWS(nombres[]),1))-ROW(OFFSET(nombres[],0,0,1,1))+1,ROW(OFFSET(nombres[],ROWS(nombres[])-1,0,1,1))+1),$O1556:$O1575),3),"")</f>
        <v/>
      </c>
      <c r="DN1556" s="42" t="str">
        <f t="array" aca="1" ref="DN1556" ca="1">IFERROR(INDEX(nombres[],SMALL(IF(OFFSET(nombres[],0,0,ROWS(nombres[]),1)=DN$1490,ROW(OFFSET(nombres[],0,0,ROWS(nombres[]),1))-ROW(OFFSET(nombres[],0,0,1,1))+1,ROW(OFFSET(nombres[],ROWS(nombres[])-1,0,1,1))+1),$O1556:$O1575),3),"")</f>
        <v/>
      </c>
      <c r="DO1556" s="42" t="str">
        <f t="array" aca="1" ref="DO1556" ca="1">IFERROR(INDEX(nombres[],SMALL(IF(OFFSET(nombres[],0,0,ROWS(nombres[]),1)=DO$1490,ROW(OFFSET(nombres[],0,0,ROWS(nombres[]),1))-ROW(OFFSET(nombres[],0,0,1,1))+1,ROW(OFFSET(nombres[],ROWS(nombres[])-1,0,1,1))+1),$O1556:$O1575),3),"")</f>
        <v/>
      </c>
      <c r="DP1556" s="42" t="str">
        <f t="array" aca="1" ref="DP1556" ca="1">IFERROR(INDEX(nombres[],SMALL(IF(OFFSET(nombres[],0,0,ROWS(nombres[]),1)=DP$1490,ROW(OFFSET(nombres[],0,0,ROWS(nombres[]),1))-ROW(OFFSET(nombres[],0,0,1,1))+1,ROW(OFFSET(nombres[],ROWS(nombres[])-1,0,1,1))+1),$O1556:$O1575),3),"")</f>
        <v/>
      </c>
      <c r="DQ1556" s="42" t="str">
        <f t="array" aca="1" ref="DQ1556" ca="1">IFERROR(INDEX(nombres[],SMALL(IF(OFFSET(nombres[],0,0,ROWS(nombres[]),1)=DQ$1490,ROW(OFFSET(nombres[],0,0,ROWS(nombres[]),1))-ROW(OFFSET(nombres[],0,0,1,1))+1,ROW(OFFSET(nombres[],ROWS(nombres[])-1,0,1,1))+1),$O1556:$O1575),3),"")</f>
        <v/>
      </c>
      <c r="DR1556" s="42" t="str">
        <f t="array" aca="1" ref="DR1556" ca="1">IFERROR(INDEX(nombres[],SMALL(IF(OFFSET(nombres[],0,0,ROWS(nombres[]),1)=DR$1490,ROW(OFFSET(nombres[],0,0,ROWS(nombres[]),1))-ROW(OFFSET(nombres[],0,0,1,1))+1,ROW(OFFSET(nombres[],ROWS(nombres[])-1,0,1,1))+1),$O1556:$O1575),3),"")</f>
        <v/>
      </c>
      <c r="DS1556" s="42" t="str">
        <f t="array" aca="1" ref="DS1556" ca="1">IFERROR(INDEX(nombres[],SMALL(IF(OFFSET(nombres[],0,0,ROWS(nombres[]),1)=DS$1490,ROW(OFFSET(nombres[],0,0,ROWS(nombres[]),1))-ROW(OFFSET(nombres[],0,0,1,1))+1,ROW(OFFSET(nombres[],ROWS(nombres[])-1,0,1,1))+1),$O1556:$O1575),3),"")</f>
        <v/>
      </c>
      <c r="DT1556" s="42" t="str">
        <f t="array" aca="1" ref="DT1556" ca="1">IFERROR(INDEX(nombres[],SMALL(IF(OFFSET(nombres[],0,0,ROWS(nombres[]),1)=DT$1490,ROW(OFFSET(nombres[],0,0,ROWS(nombres[]),1))-ROW(OFFSET(nombres[],0,0,1,1))+1,ROW(OFFSET(nombres[],ROWS(nombres[])-1,0,1,1))+1),$O1556:$O1575),3),"")</f>
        <v/>
      </c>
      <c r="DU1556" s="42" t="str">
        <f t="array" aca="1" ref="DU1556" ca="1">IFERROR(INDEX(nombres[],SMALL(IF(OFFSET(nombres[],0,0,ROWS(nombres[]),1)=DU$1490,ROW(OFFSET(nombres[],0,0,ROWS(nombres[]),1))-ROW(OFFSET(nombres[],0,0,1,1))+1,ROW(OFFSET(nombres[],ROWS(nombres[])-1,0,1,1))+1),$O1556:$O1575),3),"")</f>
        <v/>
      </c>
      <c r="DV1556" s="42" t="str">
        <f t="array" aca="1" ref="DV1556" ca="1">IFERROR(INDEX(nombres[],SMALL(IF(OFFSET(nombres[],0,0,ROWS(nombres[]),1)=DV$1490,ROW(OFFSET(nombres[],0,0,ROWS(nombres[]),1))-ROW(OFFSET(nombres[],0,0,1,1))+1,ROW(OFFSET(nombres[],ROWS(nombres[])-1,0,1,1))+1),$O1556:$O1575),3),"")</f>
        <v/>
      </c>
      <c r="DW1556" s="42" t="str">
        <f t="array" aca="1" ref="DW1556" ca="1">IFERROR(INDEX(nombres[],SMALL(IF(OFFSET(nombres[],0,0,ROWS(nombres[]),1)=DW$1490,ROW(OFFSET(nombres[],0,0,ROWS(nombres[]),1))-ROW(OFFSET(nombres[],0,0,1,1))+1,ROW(OFFSET(nombres[],ROWS(nombres[])-1,0,1,1))+1),$O1556:$O1575),3),"")</f>
        <v/>
      </c>
      <c r="DX1556" s="42" t="str">
        <f t="array" aca="1" ref="DX1556" ca="1">IFERROR(INDEX(nombres[],SMALL(IF(OFFSET(nombres[],0,0,ROWS(nombres[]),1)=DX$1490,ROW(OFFSET(nombres[],0,0,ROWS(nombres[]),1))-ROW(OFFSET(nombres[],0,0,1,1))+1,ROW(OFFSET(nombres[],ROWS(nombres[])-1,0,1,1))+1),$O1556:$O1575),3),"")</f>
        <v/>
      </c>
      <c r="DY1556" s="42" t="str">
        <f t="array" aca="1" ref="DY1556" ca="1">IFERROR(INDEX(nombres[],SMALL(IF(OFFSET(nombres[],0,0,ROWS(nombres[]),1)=DY$1490,ROW(OFFSET(nombres[],0,0,ROWS(nombres[]),1))-ROW(OFFSET(nombres[],0,0,1,1))+1,ROW(OFFSET(nombres[],ROWS(nombres[])-1,0,1,1))+1),$O1556:$O1575),3),"")</f>
        <v/>
      </c>
      <c r="DZ1556" s="42" t="str">
        <f t="array" aca="1" ref="DZ1556" ca="1">IFERROR(INDEX(nombres[],SMALL(IF(OFFSET(nombres[],0,0,ROWS(nombres[]),1)=DZ$1490,ROW(OFFSET(nombres[],0,0,ROWS(nombres[]),1))-ROW(OFFSET(nombres[],0,0,1,1))+1,ROW(OFFSET(nombres[],ROWS(nombres[])-1,0,1,1))+1),$O1556:$O1575),3),"")</f>
        <v/>
      </c>
      <c r="EA1556" s="42" t="str">
        <f t="array" aca="1" ref="EA1556" ca="1">IFERROR(INDEX(nombres[],SMALL(IF(OFFSET(nombres[],0,0,ROWS(nombres[]),1)=EA$1490,ROW(OFFSET(nombres[],0,0,ROWS(nombres[]),1))-ROW(OFFSET(nombres[],0,0,1,1))+1,ROW(OFFSET(nombres[],ROWS(nombres[])-1,0,1,1))+1),$O1556:$O1575),3),"")</f>
        <v/>
      </c>
      <c r="EB1556" s="42" t="str">
        <f t="array" aca="1" ref="EB1556" ca="1">IFERROR(INDEX(nombres[],SMALL(IF(OFFSET(nombres[],0,0,ROWS(nombres[]),1)=EB$1490,ROW(OFFSET(nombres[],0,0,ROWS(nombres[]),1))-ROW(OFFSET(nombres[],0,0,1,1))+1,ROW(OFFSET(nombres[],ROWS(nombres[])-1,0,1,1))+1),$O1556:$O1575),3),"")</f>
        <v/>
      </c>
      <c r="EC1556" s="42" t="str">
        <f t="array" aca="1" ref="EC1556" ca="1">IFERROR(INDEX(nombres[],SMALL(IF(OFFSET(nombres[],0,0,ROWS(nombres[]),1)=EC$1490,ROW(OFFSET(nombres[],0,0,ROWS(nombres[]),1))-ROW(OFFSET(nombres[],0,0,1,1))+1,ROW(OFFSET(nombres[],ROWS(nombres[])-1,0,1,1))+1),$O1556:$O1575),3),"")</f>
        <v/>
      </c>
      <c r="ED1556" s="42" t="str">
        <f t="array" aca="1" ref="ED1556" ca="1">IFERROR(INDEX(nombres[],SMALL(IF(OFFSET(nombres[],0,0,ROWS(nombres[]),1)=ED$1490,ROW(OFFSET(nombres[],0,0,ROWS(nombres[]),1))-ROW(OFFSET(nombres[],0,0,1,1))+1,ROW(OFFSET(nombres[],ROWS(nombres[])-1,0,1,1))+1),$O1556:$O1575),3),"")</f>
        <v/>
      </c>
      <c r="EE1556" s="42" t="str">
        <f t="array" aca="1" ref="EE1556" ca="1">IFERROR(INDEX(nombres[],SMALL(IF(OFFSET(nombres[],0,0,ROWS(nombres[]),1)=EE$1490,ROW(OFFSET(nombres[],0,0,ROWS(nombres[]),1))-ROW(OFFSET(nombres[],0,0,1,1))+1,ROW(OFFSET(nombres[],ROWS(nombres[])-1,0,1,1))+1),$O1556:$O1575),3),"")</f>
        <v/>
      </c>
      <c r="EF1556" s="42" t="str">
        <f t="array" aca="1" ref="EF1556" ca="1">IFERROR(INDEX(nombres[],SMALL(IF(OFFSET(nombres[],0,0,ROWS(nombres[]),1)=EF$1490,ROW(OFFSET(nombres[],0,0,ROWS(nombres[]),1))-ROW(OFFSET(nombres[],0,0,1,1))+1,ROW(OFFSET(nombres[],ROWS(nombres[])-1,0,1,1))+1),$O1556:$O1575),3),"")</f>
        <v/>
      </c>
      <c r="EG1556" s="42" t="str">
        <f t="array" aca="1" ref="EG1556" ca="1">IFERROR(INDEX(nombres[],SMALL(IF(OFFSET(nombres[],0,0,ROWS(nombres[]),1)=EG$1490,ROW(OFFSET(nombres[],0,0,ROWS(nombres[]),1))-ROW(OFFSET(nombres[],0,0,1,1))+1,ROW(OFFSET(nombres[],ROWS(nombres[])-1,0,1,1))+1),$O1556:$O1575),3),"")</f>
        <v/>
      </c>
      <c r="EH1556" s="42" t="str">
        <f t="array" aca="1" ref="EH1556" ca="1">IFERROR(INDEX(nombres[],SMALL(IF(OFFSET(nombres[],0,0,ROWS(nombres[]),1)=EH$1490,ROW(OFFSET(nombres[],0,0,ROWS(nombres[]),1))-ROW(OFFSET(nombres[],0,0,1,1))+1,ROW(OFFSET(nombres[],ROWS(nombres[])-1,0,1,1))+1),$O1556:$O1575),3),"")</f>
        <v/>
      </c>
      <c r="EI1556" s="42" t="str">
        <f t="array" aca="1" ref="EI1556" ca="1">IFERROR(INDEX(nombres[],SMALL(IF(OFFSET(nombres[],0,0,ROWS(nombres[]),1)=EI$1490,ROW(OFFSET(nombres[],0,0,ROWS(nombres[]),1))-ROW(OFFSET(nombres[],0,0,1,1))+1,ROW(OFFSET(nombres[],ROWS(nombres[])-1,0,1,1))+1),$O1556:$O1575),3),"")</f>
        <v/>
      </c>
      <c r="EJ1556" s="42" t="str">
        <f t="array" aca="1" ref="EJ1556" ca="1">IFERROR(INDEX(nombres[],SMALL(IF(OFFSET(nombres[],0,0,ROWS(nombres[]),1)=EJ$1490,ROW(OFFSET(nombres[],0,0,ROWS(nombres[]),1))-ROW(OFFSET(nombres[],0,0,1,1))+1,ROW(OFFSET(nombres[],ROWS(nombres[])-1,0,1,1))+1),$O1556:$O1575),3),"")</f>
        <v/>
      </c>
      <c r="EK1556" s="42" t="str">
        <f t="array" aca="1" ref="EK1556" ca="1">IFERROR(INDEX(nombres[],SMALL(IF(OFFSET(nombres[],0,0,ROWS(nombres[]),1)=EK$1490,ROW(OFFSET(nombres[],0,0,ROWS(nombres[]),1))-ROW(OFFSET(nombres[],0,0,1,1))+1,ROW(OFFSET(nombres[],ROWS(nombres[])-1,0,1,1))+1),$O1556:$O1575),3),"")</f>
        <v/>
      </c>
      <c r="EL1556" s="42" t="str">
        <f t="array" aca="1" ref="EL1556" ca="1">IFERROR(INDEX(nombres[],SMALL(IF(OFFSET(nombres[],0,0,ROWS(nombres[]),1)=EL$1490,ROW(OFFSET(nombres[],0,0,ROWS(nombres[]),1))-ROW(OFFSET(nombres[],0,0,1,1))+1,ROW(OFFSET(nombres[],ROWS(nombres[])-1,0,1,1))+1),$O1556:$O1575),3),"")</f>
        <v/>
      </c>
      <c r="EM1556" s="42" t="str">
        <f t="array" aca="1" ref="EM1556" ca="1">IFERROR(INDEX(nombres[],SMALL(IF(OFFSET(nombres[],0,0,ROWS(nombres[]),1)=EM$1490,ROW(OFFSET(nombres[],0,0,ROWS(nombres[]),1))-ROW(OFFSET(nombres[],0,0,1,1))+1,ROW(OFFSET(nombres[],ROWS(nombres[])-1,0,1,1))+1),$O1556:$O1575),3),"")</f>
        <v/>
      </c>
      <c r="EN1556" s="42" t="str">
        <f t="array" aca="1" ref="EN1556" ca="1">IFERROR(INDEX(nombres[],SMALL(IF(OFFSET(nombres[],0,0,ROWS(nombres[]),1)=EN$1490,ROW(OFFSET(nombres[],0,0,ROWS(nombres[]),1))-ROW(OFFSET(nombres[],0,0,1,1))+1,ROW(OFFSET(nombres[],ROWS(nombres[])-1,0,1,1))+1),$O1556:$O1575),3),"")</f>
        <v/>
      </c>
      <c r="EO1556" s="42" t="str">
        <f t="array" aca="1" ref="EO1556" ca="1">IFERROR(INDEX(nombres[],SMALL(IF(OFFSET(nombres[],0,0,ROWS(nombres[]),1)=EO$1490,ROW(OFFSET(nombres[],0,0,ROWS(nombres[]),1))-ROW(OFFSET(nombres[],0,0,1,1))+1,ROW(OFFSET(nombres[],ROWS(nombres[])-1,0,1,1))+1),$O1556:$O1575),3),"")</f>
        <v/>
      </c>
      <c r="EP1556" s="42" t="str">
        <f t="array" aca="1" ref="EP1556" ca="1">IFERROR(INDEX(nombres[],SMALL(IF(OFFSET(nombres[],0,0,ROWS(nombres[]),1)=EP$1490,ROW(OFFSET(nombres[],0,0,ROWS(nombres[]),1))-ROW(OFFSET(nombres[],0,0,1,1))+1,ROW(OFFSET(nombres[],ROWS(nombres[])-1,0,1,1))+1),$O1556:$O1575),3),"")</f>
        <v/>
      </c>
      <c r="EQ1556" s="42" t="str">
        <f t="array" aca="1" ref="EQ1556" ca="1">IFERROR(INDEX(nombres[],SMALL(IF(OFFSET(nombres[],0,0,ROWS(nombres[]),1)=EQ$1490,ROW(OFFSET(nombres[],0,0,ROWS(nombres[]),1))-ROW(OFFSET(nombres[],0,0,1,1))+1,ROW(OFFSET(nombres[],ROWS(nombres[])-1,0,1,1))+1),$O1556:$O1575),3),"")</f>
        <v/>
      </c>
      <c r="ER1556" s="42" t="str">
        <f t="array" aca="1" ref="ER1556" ca="1">IFERROR(INDEX(nombres[],SMALL(IF(OFFSET(nombres[],0,0,ROWS(nombres[]),1)=ER$1490,ROW(OFFSET(nombres[],0,0,ROWS(nombres[]),1))-ROW(OFFSET(nombres[],0,0,1,1))+1,ROW(OFFSET(nombres[],ROWS(nombres[])-1,0,1,1))+1),$O1556:$O1575),3),"")</f>
        <v/>
      </c>
      <c r="ES1556" s="42" t="str">
        <f t="array" aca="1" ref="ES1556" ca="1">IFERROR(INDEX(nombres[],SMALL(IF(OFFSET(nombres[],0,0,ROWS(nombres[]),1)=ES$1490,ROW(OFFSET(nombres[],0,0,ROWS(nombres[]),1))-ROW(OFFSET(nombres[],0,0,1,1))+1,ROW(OFFSET(nombres[],ROWS(nombres[])-1,0,1,1))+1),$O1556:$O1575),3),"")</f>
        <v/>
      </c>
      <c r="ET1556" s="42" t="str">
        <f t="array" aca="1" ref="ET1556" ca="1">IFERROR(INDEX(nombres[],SMALL(IF(OFFSET(nombres[],0,0,ROWS(nombres[]),1)=ET$1490,ROW(OFFSET(nombres[],0,0,ROWS(nombres[]),1))-ROW(OFFSET(nombres[],0,0,1,1))+1,ROW(OFFSET(nombres[],ROWS(nombres[])-1,0,1,1))+1),$O1556:$O1575),3),"")</f>
        <v/>
      </c>
      <c r="EU1556" s="42" t="str">
        <f t="array" aca="1" ref="EU1556" ca="1">IFERROR(INDEX(nombres[],SMALL(IF(OFFSET(nombres[],0,0,ROWS(nombres[]),1)=EU$1490,ROW(OFFSET(nombres[],0,0,ROWS(nombres[]),1))-ROW(OFFSET(nombres[],0,0,1,1))+1,ROW(OFFSET(nombres[],ROWS(nombres[])-1,0,1,1))+1),$O1556:$O1575),3),"")</f>
        <v/>
      </c>
      <c r="EV1556" s="42" t="str">
        <f t="array" aca="1" ref="EV1556" ca="1">IFERROR(INDEX(nombres[],SMALL(IF(OFFSET(nombres[],0,0,ROWS(nombres[]),1)=EV$1490,ROW(OFFSET(nombres[],0,0,ROWS(nombres[]),1))-ROW(OFFSET(nombres[],0,0,1,1))+1,ROW(OFFSET(nombres[],ROWS(nombres[])-1,0,1,1))+1),$O1556:$O1575),3),"")</f>
        <v/>
      </c>
      <c r="EW1556" s="42" t="str">
        <f t="array" aca="1" ref="EW1556" ca="1">IFERROR(INDEX(nombres[],SMALL(IF(OFFSET(nombres[],0,0,ROWS(nombres[]),1)=EW$1490,ROW(OFFSET(nombres[],0,0,ROWS(nombres[]),1))-ROW(OFFSET(nombres[],0,0,1,1))+1,ROW(OFFSET(nombres[],ROWS(nombres[])-1,0,1,1))+1),$O1556:$O1575),3),"")</f>
        <v/>
      </c>
      <c r="EX1556" s="42" t="str">
        <f t="array" aca="1" ref="EX1556" ca="1">IFERROR(INDEX(nombres[],SMALL(IF(OFFSET(nombres[],0,0,ROWS(nombres[]),1)=EX$1490,ROW(OFFSET(nombres[],0,0,ROWS(nombres[]),1))-ROW(OFFSET(nombres[],0,0,1,1))+1,ROW(OFFSET(nombres[],ROWS(nombres[])-1,0,1,1))+1),$O1556:$O1575),3),"")</f>
        <v/>
      </c>
      <c r="EY1556" s="42" t="str">
        <f t="array" aca="1" ref="EY1556" ca="1">IFERROR(INDEX(nombres[],SMALL(IF(OFFSET(nombres[],0,0,ROWS(nombres[]),1)=EY$1490,ROW(OFFSET(nombres[],0,0,ROWS(nombres[]),1))-ROW(OFFSET(nombres[],0,0,1,1))+1,ROW(OFFSET(nombres[],ROWS(nombres[])-1,0,1,1))+1),$O1556:$O1575),3),"")</f>
        <v/>
      </c>
      <c r="EZ1556" s="42" t="str">
        <f t="array" aca="1" ref="EZ1556" ca="1">IFERROR(INDEX(nombres[],SMALL(IF(OFFSET(nombres[],0,0,ROWS(nombres[]),1)=EZ$1490,ROW(OFFSET(nombres[],0,0,ROWS(nombres[]),1))-ROW(OFFSET(nombres[],0,0,1,1))+1,ROW(OFFSET(nombres[],ROWS(nombres[])-1,0,1,1))+1),$O1556:$O1575),3),"")</f>
        <v/>
      </c>
      <c r="FA1556" s="42" t="str">
        <f t="array" aca="1" ref="FA1556" ca="1">IFERROR(INDEX(nombres[],SMALL(IF(OFFSET(nombres[],0,0,ROWS(nombres[]),1)=FA$1490,ROW(OFFSET(nombres[],0,0,ROWS(nombres[]),1))-ROW(OFFSET(nombres[],0,0,1,1))+1,ROW(OFFSET(nombres[],ROWS(nombres[])-1,0,1,1))+1),$O1556:$O1575),3),"")</f>
        <v/>
      </c>
      <c r="FB1556" s="42" t="str">
        <f t="array" aca="1" ref="FB1556" ca="1">IFERROR(INDEX(nombres[],SMALL(IF(OFFSET(nombres[],0,0,ROWS(nombres[]),1)=FB$1490,ROW(OFFSET(nombres[],0,0,ROWS(nombres[]),1))-ROW(OFFSET(nombres[],0,0,1,1))+1,ROW(OFFSET(nombres[],ROWS(nombres[])-1,0,1,1))+1),$O1556:$O1575),3),"")</f>
        <v/>
      </c>
      <c r="FC1556" s="42" t="str">
        <f t="array" aca="1" ref="FC1556" ca="1">IFERROR(INDEX(nombres[],SMALL(IF(OFFSET(nombres[],0,0,ROWS(nombres[]),1)=FC$1490,ROW(OFFSET(nombres[],0,0,ROWS(nombres[]),1))-ROW(OFFSET(nombres[],0,0,1,1))+1,ROW(OFFSET(nombres[],ROWS(nombres[])-1,0,1,1))+1),$O1556:$O1575),3),"")</f>
        <v/>
      </c>
      <c r="FD1556" s="42" t="str">
        <f t="array" aca="1" ref="FD1556" ca="1">IFERROR(INDEX(nombres[],SMALL(IF(OFFSET(nombres[],0,0,ROWS(nombres[]),1)=FD$1490,ROW(OFFSET(nombres[],0,0,ROWS(nombres[]),1))-ROW(OFFSET(nombres[],0,0,1,1))+1,ROW(OFFSET(nombres[],ROWS(nombres[])-1,0,1,1))+1),$O1556:$O1575),3),"")</f>
        <v/>
      </c>
      <c r="FE1556" s="42" t="str">
        <f t="array" aca="1" ref="FE1556" ca="1">IFERROR(INDEX(nombres[],SMALL(IF(OFFSET(nombres[],0,0,ROWS(nombres[]),1)=FE$1490,ROW(OFFSET(nombres[],0,0,ROWS(nombres[]),1))-ROW(OFFSET(nombres[],0,0,1,1))+1,ROW(OFFSET(nombres[],ROWS(nombres[])-1,0,1,1))+1),$O1556:$O1575),3),"")</f>
        <v/>
      </c>
      <c r="FF1556" s="42" t="str">
        <f t="array" aca="1" ref="FF1556" ca="1">IFERROR(INDEX(nombres[],SMALL(IF(OFFSET(nombres[],0,0,ROWS(nombres[]),1)=FF$1490,ROW(OFFSET(nombres[],0,0,ROWS(nombres[]),1))-ROW(OFFSET(nombres[],0,0,1,1))+1,ROW(OFFSET(nombres[],ROWS(nombres[])-1,0,1,1))+1),$O1556:$O1575),3),"")</f>
        <v/>
      </c>
      <c r="FG1556" s="42" t="str">
        <f t="array" aca="1" ref="FG1556" ca="1">IFERROR(INDEX(nombres[],SMALL(IF(OFFSET(nombres[],0,0,ROWS(nombres[]),1)=FG$1490,ROW(OFFSET(nombres[],0,0,ROWS(nombres[]),1))-ROW(OFFSET(nombres[],0,0,1,1))+1,ROW(OFFSET(nombres[],ROWS(nombres[])-1,0,1,1))+1),$O1556:$O1575),3),"")</f>
        <v/>
      </c>
      <c r="FH1556" s="42" t="str">
        <f t="array" aca="1" ref="FH1556" ca="1">IFERROR(INDEX(nombres[],SMALL(IF(OFFSET(nombres[],0,0,ROWS(nombres[]),1)=FH$1490,ROW(OFFSET(nombres[],0,0,ROWS(nombres[]),1))-ROW(OFFSET(nombres[],0,0,1,1))+1,ROW(OFFSET(nombres[],ROWS(nombres[])-1,0,1,1))+1),$O1556:$O1575),3),"")</f>
        <v/>
      </c>
      <c r="FI1556" s="42" t="str">
        <f t="array" aca="1" ref="FI1556" ca="1">IFERROR(INDEX(nombres[],SMALL(IF(OFFSET(nombres[],0,0,ROWS(nombres[]),1)=FI$1490,ROW(OFFSET(nombres[],0,0,ROWS(nombres[]),1))-ROW(OFFSET(nombres[],0,0,1,1))+1,ROW(OFFSET(nombres[],ROWS(nombres[])-1,0,1,1))+1),$O1556:$O1575),3),"")</f>
        <v/>
      </c>
      <c r="FJ1556" s="42" t="str">
        <f t="array" aca="1" ref="FJ1556" ca="1">IFERROR(INDEX(nombres[],SMALL(IF(OFFSET(nombres[],0,0,ROWS(nombres[]),1)=FJ$1490,ROW(OFFSET(nombres[],0,0,ROWS(nombres[]),1))-ROW(OFFSET(nombres[],0,0,1,1))+1,ROW(OFFSET(nombres[],ROWS(nombres[])-1,0,1,1))+1),$O1556:$O1575),3),"")</f>
        <v/>
      </c>
      <c r="FK1556" s="42" t="str">
        <f t="array" aca="1" ref="FK1556" ca="1">IFERROR(INDEX(nombres[],SMALL(IF(OFFSET(nombres[],0,0,ROWS(nombres[]),1)=FK$1490,ROW(OFFSET(nombres[],0,0,ROWS(nombres[]),1))-ROW(OFFSET(nombres[],0,0,1,1))+1,ROW(OFFSET(nombres[],ROWS(nombres[])-1,0,1,1))+1),$O1556:$O1575),3),"")</f>
        <v/>
      </c>
      <c r="FL1556" s="42" t="str">
        <f t="array" aca="1" ref="FL1556" ca="1">IFERROR(INDEX(nombres[],SMALL(IF(OFFSET(nombres[],0,0,ROWS(nombres[]),1)=FL$1490,ROW(OFFSET(nombres[],0,0,ROWS(nombres[]),1))-ROW(OFFSET(nombres[],0,0,1,1))+1,ROW(OFFSET(nombres[],ROWS(nombres[])-1,0,1,1))+1),$O1556:$O1575),3),"")</f>
        <v/>
      </c>
      <c r="FM1556" s="42" t="str">
        <f t="array" aca="1" ref="FM1556" ca="1">IFERROR(INDEX(nombres[],SMALL(IF(OFFSET(nombres[],0,0,ROWS(nombres[]),1)=FM$1490,ROW(OFFSET(nombres[],0,0,ROWS(nombres[]),1))-ROW(OFFSET(nombres[],0,0,1,1))+1,ROW(OFFSET(nombres[],ROWS(nombres[])-1,0,1,1))+1),$O1556:$O1575),3),"")</f>
        <v/>
      </c>
      <c r="FN1556" s="42" t="str">
        <f t="array" aca="1" ref="FN1556" ca="1">IFERROR(INDEX(nombres[],SMALL(IF(OFFSET(nombres[],0,0,ROWS(nombres[]),1)=FN$1490,ROW(OFFSET(nombres[],0,0,ROWS(nombres[]),1))-ROW(OFFSET(nombres[],0,0,1,1))+1,ROW(OFFSET(nombres[],ROWS(nombres[])-1,0,1,1))+1),$O1556:$O1575),3),"")</f>
        <v/>
      </c>
      <c r="FO1556" s="42" t="str">
        <f t="array" aca="1" ref="FO1556" ca="1">IFERROR(INDEX(nombres[],SMALL(IF(OFFSET(nombres[],0,0,ROWS(nombres[]),1)=FO$1490,ROW(OFFSET(nombres[],0,0,ROWS(nombres[]),1))-ROW(OFFSET(nombres[],0,0,1,1))+1,ROW(OFFSET(nombres[],ROWS(nombres[])-1,0,1,1))+1),$O1556:$O1575),3),"")</f>
        <v/>
      </c>
      <c r="FP1556" s="42" t="str">
        <f t="array" aca="1" ref="FP1556" ca="1">IFERROR(INDEX(nombres[],SMALL(IF(OFFSET(nombres[],0,0,ROWS(nombres[]),1)=FP$1490,ROW(OFFSET(nombres[],0,0,ROWS(nombres[]),1))-ROW(OFFSET(nombres[],0,0,1,1))+1,ROW(OFFSET(nombres[],ROWS(nombres[])-1,0,1,1))+1),$O1556:$O1575),3),"")</f>
        <v/>
      </c>
      <c r="FQ1556" s="42" t="str">
        <f t="array" aca="1" ref="FQ1556" ca="1">IFERROR(INDEX(nombres[],SMALL(IF(OFFSET(nombres[],0,0,ROWS(nombres[]),1)=FQ$1490,ROW(OFFSET(nombres[],0,0,ROWS(nombres[]),1))-ROW(OFFSET(nombres[],0,0,1,1))+1,ROW(OFFSET(nombres[],ROWS(nombres[])-1,0,1,1))+1),$O1556:$O1575),3),"")</f>
        <v/>
      </c>
      <c r="FR1556" s="42" t="str">
        <f t="array" aca="1" ref="FR1556" ca="1">IFERROR(INDEX(nombres[],SMALL(IF(OFFSET(nombres[],0,0,ROWS(nombres[]),1)=FR$1490,ROW(OFFSET(nombres[],0,0,ROWS(nombres[]),1))-ROW(OFFSET(nombres[],0,0,1,1))+1,ROW(OFFSET(nombres[],ROWS(nombres[])-1,0,1,1))+1),$O1556:$O1575),3),"")</f>
        <v/>
      </c>
      <c r="FS1556" s="42" t="str">
        <f t="array" aca="1" ref="FS1556" ca="1">IFERROR(INDEX(nombres[],SMALL(IF(OFFSET(nombres[],0,0,ROWS(nombres[]),1)=FS$1490,ROW(OFFSET(nombres[],0,0,ROWS(nombres[]),1))-ROW(OFFSET(nombres[],0,0,1,1))+1,ROW(OFFSET(nombres[],ROWS(nombres[])-1,0,1,1))+1),$O1556:$O1575),3),"")</f>
        <v/>
      </c>
      <c r="FT1556" s="42" t="str">
        <f t="array" aca="1" ref="FT1556" ca="1">IFERROR(INDEX(nombres[],SMALL(IF(OFFSET(nombres[],0,0,ROWS(nombres[]),1)=FT$1490,ROW(OFFSET(nombres[],0,0,ROWS(nombres[]),1))-ROW(OFFSET(nombres[],0,0,1,1))+1,ROW(OFFSET(nombres[],ROWS(nombres[])-1,0,1,1))+1),$O1556:$O1575),3),"")</f>
        <v/>
      </c>
      <c r="FU1556" s="42" t="str">
        <f t="array" aca="1" ref="FU1556" ca="1">IFERROR(INDEX(nombres[],SMALL(IF(OFFSET(nombres[],0,0,ROWS(nombres[]),1)=FU$1490,ROW(OFFSET(nombres[],0,0,ROWS(nombres[]),1))-ROW(OFFSET(nombres[],0,0,1,1))+1,ROW(OFFSET(nombres[],ROWS(nombres[])-1,0,1,1))+1),$O1556:$O1575),3),"")</f>
        <v/>
      </c>
      <c r="FV1556" s="42" t="str">
        <f t="array" aca="1" ref="FV1556" ca="1">IFERROR(INDEX(nombres[],SMALL(IF(OFFSET(nombres[],0,0,ROWS(nombres[]),1)=FV$1490,ROW(OFFSET(nombres[],0,0,ROWS(nombres[]),1))-ROW(OFFSET(nombres[],0,0,1,1))+1,ROW(OFFSET(nombres[],ROWS(nombres[])-1,0,1,1))+1),$O1556:$O1575),3),"")</f>
        <v/>
      </c>
      <c r="FW1556" s="42" t="str">
        <f t="array" aca="1" ref="FW1556" ca="1">IFERROR(INDEX(nombres[],SMALL(IF(OFFSET(nombres[],0,0,ROWS(nombres[]),1)=FW$1490,ROW(OFFSET(nombres[],0,0,ROWS(nombres[]),1))-ROW(OFFSET(nombres[],0,0,1,1))+1,ROW(OFFSET(nombres[],ROWS(nombres[])-1,0,1,1))+1),$O1556:$O1575),3),"")</f>
        <v/>
      </c>
      <c r="FX1556" s="42" t="str">
        <f t="array" aca="1" ref="FX1556" ca="1">IFERROR(INDEX(nombres[],SMALL(IF(OFFSET(nombres[],0,0,ROWS(nombres[]),1)=FX$1490,ROW(OFFSET(nombres[],0,0,ROWS(nombres[]),1))-ROW(OFFSET(nombres[],0,0,1,1))+1,ROW(OFFSET(nombres[],ROWS(nombres[])-1,0,1,1))+1),$O1556:$O1575),3),"")</f>
        <v/>
      </c>
      <c r="FY1556" s="42" t="str">
        <f t="array" aca="1" ref="FY1556" ca="1">IFERROR(INDEX(nombres[],SMALL(IF(OFFSET(nombres[],0,0,ROWS(nombres[]),1)=FY$1490,ROW(OFFSET(nombres[],0,0,ROWS(nombres[]),1))-ROW(OFFSET(nombres[],0,0,1,1))+1,ROW(OFFSET(nombres[],ROWS(nombres[])-1,0,1,1))+1),$O1556:$O1575),3),"")</f>
        <v/>
      </c>
      <c r="FZ1556" s="42" t="str">
        <f t="array" aca="1" ref="FZ1556" ca="1">IFERROR(INDEX(nombres[],SMALL(IF(OFFSET(nombres[],0,0,ROWS(nombres[]),1)=FZ$1490,ROW(OFFSET(nombres[],0,0,ROWS(nombres[]),1))-ROW(OFFSET(nombres[],0,0,1,1))+1,ROW(OFFSET(nombres[],ROWS(nombres[])-1,0,1,1))+1),$O1556:$O1575),3),"")</f>
        <v/>
      </c>
      <c r="GA1556" s="42" t="str">
        <f t="array" aca="1" ref="GA1556" ca="1">IFERROR(INDEX(nombres[],SMALL(IF(OFFSET(nombres[],0,0,ROWS(nombres[]),1)=GA$1490,ROW(OFFSET(nombres[],0,0,ROWS(nombres[]),1))-ROW(OFFSET(nombres[],0,0,1,1))+1,ROW(OFFSET(nombres[],ROWS(nombres[])-1,0,1,1))+1),$O1556:$O1575),3),"")</f>
        <v/>
      </c>
      <c r="GB1556" s="42" t="str">
        <f t="array" aca="1" ref="GB1556" ca="1">IFERROR(INDEX(nombres[],SMALL(IF(OFFSET(nombres[],0,0,ROWS(nombres[]),1)=GB$1490,ROW(OFFSET(nombres[],0,0,ROWS(nombres[]),1))-ROW(OFFSET(nombres[],0,0,1,1))+1,ROW(OFFSET(nombres[],ROWS(nombres[])-1,0,1,1))+1),$O1556:$O1575),3),"")</f>
        <v/>
      </c>
      <c r="GC1556" s="42" t="str">
        <f t="array" aca="1" ref="GC1556" ca="1">IFERROR(INDEX(nombres[],SMALL(IF(OFFSET(nombres[],0,0,ROWS(nombres[]),1)=GC$1490,ROW(OFFSET(nombres[],0,0,ROWS(nombres[]),1))-ROW(OFFSET(nombres[],0,0,1,1))+1,ROW(OFFSET(nombres[],ROWS(nombres[])-1,0,1,1))+1),$O1556:$O1575),3),"")</f>
        <v/>
      </c>
      <c r="GD1556" s="42" t="str">
        <f t="array" aca="1" ref="GD1556" ca="1">IFERROR(INDEX(nombres[],SMALL(IF(OFFSET(nombres[],0,0,ROWS(nombres[]),1)=GD$1490,ROW(OFFSET(nombres[],0,0,ROWS(nombres[]),1))-ROW(OFFSET(nombres[],0,0,1,1))+1,ROW(OFFSET(nombres[],ROWS(nombres[])-1,0,1,1))+1),$O1556:$O1575),3),"")</f>
        <v/>
      </c>
      <c r="GE1556" s="42" t="str">
        <f t="array" aca="1" ref="GE1556" ca="1">IFERROR(INDEX(nombres[],SMALL(IF(OFFSET(nombres[],0,0,ROWS(nombres[]),1)=GE$1490,ROW(OFFSET(nombres[],0,0,ROWS(nombres[]),1))-ROW(OFFSET(nombres[],0,0,1,1))+1,ROW(OFFSET(nombres[],ROWS(nombres[])-1,0,1,1))+1),$O1556:$O1575),3),"")</f>
        <v/>
      </c>
      <c r="GF1556" s="42" t="str">
        <f t="array" aca="1" ref="GF1556" ca="1">IFERROR(INDEX(nombres[],SMALL(IF(OFFSET(nombres[],0,0,ROWS(nombres[]),1)=GF$1490,ROW(OFFSET(nombres[],0,0,ROWS(nombres[]),1))-ROW(OFFSET(nombres[],0,0,1,1))+1,ROW(OFFSET(nombres[],ROWS(nombres[])-1,0,1,1))+1),$O1556:$O1575),3),"")</f>
        <v/>
      </c>
      <c r="GG1556" s="42" t="str">
        <f t="array" aca="1" ref="GG1556" ca="1">IFERROR(INDEX(nombres[],SMALL(IF(OFFSET(nombres[],0,0,ROWS(nombres[]),1)=GG$1490,ROW(OFFSET(nombres[],0,0,ROWS(nombres[]),1))-ROW(OFFSET(nombres[],0,0,1,1))+1,ROW(OFFSET(nombres[],ROWS(nombres[])-1,0,1,1))+1),$O1556:$O1575),3),"")</f>
        <v/>
      </c>
      <c r="GH1556" s="42" t="str">
        <f t="array" aca="1" ref="GH1556" ca="1">IFERROR(INDEX(nombres[],SMALL(IF(OFFSET(nombres[],0,0,ROWS(nombres[]),1)=GH$1490,ROW(OFFSET(nombres[],0,0,ROWS(nombres[]),1))-ROW(OFFSET(nombres[],0,0,1,1))+1,ROW(OFFSET(nombres[],ROWS(nombres[])-1,0,1,1))+1),$O1556:$O1575),3),"")</f>
        <v/>
      </c>
      <c r="GI1556" s="42" t="str">
        <f t="array" aca="1" ref="GI1556" ca="1">IFERROR(INDEX(nombres[],SMALL(IF(OFFSET(nombres[],0,0,ROWS(nombres[]),1)=GI$1490,ROW(OFFSET(nombres[],0,0,ROWS(nombres[]),1))-ROW(OFFSET(nombres[],0,0,1,1))+1,ROW(OFFSET(nombres[],ROWS(nombres[])-1,0,1,1))+1),$O1556:$O1575),3),"")</f>
        <v/>
      </c>
      <c r="GJ1556" s="42" t="str">
        <f t="array" aca="1" ref="GJ1556" ca="1">IFERROR(INDEX(nombres[],SMALL(IF(OFFSET(nombres[],0,0,ROWS(nombres[]),1)=GJ$1490,ROW(OFFSET(nombres[],0,0,ROWS(nombres[]),1))-ROW(OFFSET(nombres[],0,0,1,1))+1,ROW(OFFSET(nombres[],ROWS(nombres[])-1,0,1,1))+1),$O1556:$O1575),3),"")</f>
        <v/>
      </c>
      <c r="GK1556" s="42" t="str">
        <f t="array" aca="1" ref="GK1556" ca="1">IFERROR(INDEX(nombres[],SMALL(IF(OFFSET(nombres[],0,0,ROWS(nombres[]),1)=GK$1490,ROW(OFFSET(nombres[],0,0,ROWS(nombres[]),1))-ROW(OFFSET(nombres[],0,0,1,1))+1,ROW(OFFSET(nombres[],ROWS(nombres[])-1,0,1,1))+1),$O1556:$O1575),3),"")</f>
        <v/>
      </c>
      <c r="GL1556" s="42" t="str">
        <f t="array" aca="1" ref="GL1556" ca="1">IFERROR(INDEX(nombres[],SMALL(IF(OFFSET(nombres[],0,0,ROWS(nombres[]),1)=GL$1490,ROW(OFFSET(nombres[],0,0,ROWS(nombres[]),1))-ROW(OFFSET(nombres[],0,0,1,1))+1,ROW(OFFSET(nombres[],ROWS(nombres[])-1,0,1,1))+1),$O1556:$O1575),3),"")</f>
        <v/>
      </c>
      <c r="GM1556" s="42" t="str">
        <f t="array" aca="1" ref="GM1556" ca="1">IFERROR(INDEX(nombres[],SMALL(IF(OFFSET(nombres[],0,0,ROWS(nombres[]),1)=GM$1490,ROW(OFFSET(nombres[],0,0,ROWS(nombres[]),1))-ROW(OFFSET(nombres[],0,0,1,1))+1,ROW(OFFSET(nombres[],ROWS(nombres[])-1,0,1,1))+1),$O1556:$O1575),3),"")</f>
        <v/>
      </c>
      <c r="GN1556" s="42" t="str">
        <f t="array" aca="1" ref="GN1556" ca="1">IFERROR(INDEX(nombres[],SMALL(IF(OFFSET(nombres[],0,0,ROWS(nombres[]),1)=GN$1490,ROW(OFFSET(nombres[],0,0,ROWS(nombres[]),1))-ROW(OFFSET(nombres[],0,0,1,1))+1,ROW(OFFSET(nombres[],ROWS(nombres[])-1,0,1,1))+1),$O1556:$O1575),3),"")</f>
        <v/>
      </c>
      <c r="GO1556" s="42" t="str">
        <f t="array" aca="1" ref="GO1556" ca="1">IFERROR(INDEX(nombres[],SMALL(IF(OFFSET(nombres[],0,0,ROWS(nombres[]),1)=GO$1490,ROW(OFFSET(nombres[],0,0,ROWS(nombres[]),1))-ROW(OFFSET(nombres[],0,0,1,1))+1,ROW(OFFSET(nombres[],ROWS(nombres[])-1,0,1,1))+1),$O1556:$O1575),3),"")</f>
        <v/>
      </c>
      <c r="GP1556" s="42" t="str">
        <f t="array" aca="1" ref="GP1556" ca="1">IFERROR(INDEX(nombres[],SMALL(IF(OFFSET(nombres[],0,0,ROWS(nombres[]),1)=GP$1490,ROW(OFFSET(nombres[],0,0,ROWS(nombres[]),1))-ROW(OFFSET(nombres[],0,0,1,1))+1,ROW(OFFSET(nombres[],ROWS(nombres[])-1,0,1,1))+1),$O1556:$O1575),3),"")</f>
        <v/>
      </c>
      <c r="GQ1556" s="42" t="str">
        <f t="array" aca="1" ref="GQ1556" ca="1">IFERROR(INDEX(nombres[],SMALL(IF(OFFSET(nombres[],0,0,ROWS(nombres[]),1)=GQ$1490,ROW(OFFSET(nombres[],0,0,ROWS(nombres[]),1))-ROW(OFFSET(nombres[],0,0,1,1))+1,ROW(OFFSET(nombres[],ROWS(nombres[])-1,0,1,1))+1),$O1556:$O1575),3),"")</f>
        <v/>
      </c>
      <c r="GR1556" s="42" t="str">
        <f t="array" aca="1" ref="GR1556" ca="1">IFERROR(INDEX(nombres[],SMALL(IF(OFFSET(nombres[],0,0,ROWS(nombres[]),1)=GR$1490,ROW(OFFSET(nombres[],0,0,ROWS(nombres[]),1))-ROW(OFFSET(nombres[],0,0,1,1))+1,ROW(OFFSET(nombres[],ROWS(nombres[])-1,0,1,1))+1),$O1556:$O1575),3),"")</f>
        <v/>
      </c>
      <c r="GS1556" s="42" t="str">
        <f t="array" aca="1" ref="GS1556" ca="1">IFERROR(INDEX(nombres[],SMALL(IF(OFFSET(nombres[],0,0,ROWS(nombres[]),1)=GS$1490,ROW(OFFSET(nombres[],0,0,ROWS(nombres[]),1))-ROW(OFFSET(nombres[],0,0,1,1))+1,ROW(OFFSET(nombres[],ROWS(nombres[])-1,0,1,1))+1),$O1556:$O1575),3),"")</f>
        <v/>
      </c>
      <c r="GT1556" s="42" t="str">
        <f t="array" aca="1" ref="GT1556" ca="1">IFERROR(INDEX(nombres[],SMALL(IF(OFFSET(nombres[],0,0,ROWS(nombres[]),1)=GT$1490,ROW(OFFSET(nombres[],0,0,ROWS(nombres[]),1))-ROW(OFFSET(nombres[],0,0,1,1))+1,ROW(OFFSET(nombres[],ROWS(nombres[])-1,0,1,1))+1),$O1556:$O1575),3),"")</f>
        <v/>
      </c>
      <c r="GU1556" s="42" t="str">
        <f t="array" aca="1" ref="GU1556" ca="1">IFERROR(INDEX(nombres[],SMALL(IF(OFFSET(nombres[],0,0,ROWS(nombres[]),1)=GU$1490,ROW(OFFSET(nombres[],0,0,ROWS(nombres[]),1))-ROW(OFFSET(nombres[],0,0,1,1))+1,ROW(OFFSET(nombres[],ROWS(nombres[])-1,0,1,1))+1),$O1556:$O1575),3),"")</f>
        <v/>
      </c>
      <c r="GV1556" s="42" t="str">
        <f t="array" aca="1" ref="GV1556" ca="1">IFERROR(INDEX(nombres[],SMALL(IF(OFFSET(nombres[],0,0,ROWS(nombres[]),1)=GV$1490,ROW(OFFSET(nombres[],0,0,ROWS(nombres[]),1))-ROW(OFFSET(nombres[],0,0,1,1))+1,ROW(OFFSET(nombres[],ROWS(nombres[])-1,0,1,1))+1),$O1556:$O1575),3),"")</f>
        <v/>
      </c>
      <c r="GW1556" s="42" t="str">
        <f t="array" aca="1" ref="GW1556" ca="1">IFERROR(INDEX(nombres[],SMALL(IF(OFFSET(nombres[],0,0,ROWS(nombres[]),1)=GW$1490,ROW(OFFSET(nombres[],0,0,ROWS(nombres[]),1))-ROW(OFFSET(nombres[],0,0,1,1))+1,ROW(OFFSET(nombres[],ROWS(nombres[])-1,0,1,1))+1),$O1556:$O1575),3),"")</f>
        <v/>
      </c>
      <c r="GX1556" s="42" t="str">
        <f t="array" aca="1" ref="GX1556" ca="1">IFERROR(INDEX(nombres[],SMALL(IF(OFFSET(nombres[],0,0,ROWS(nombres[]),1)=GX$1490,ROW(OFFSET(nombres[],0,0,ROWS(nombres[]),1))-ROW(OFFSET(nombres[],0,0,1,1))+1,ROW(OFFSET(nombres[],ROWS(nombres[])-1,0,1,1))+1),$O1556:$O1575),3),"")</f>
        <v/>
      </c>
      <c r="GY1556" s="42" t="str">
        <f t="array" aca="1" ref="GY1556" ca="1">IFERROR(INDEX(nombres[],SMALL(IF(OFFSET(nombres[],0,0,ROWS(nombres[]),1)=GY$1490,ROW(OFFSET(nombres[],0,0,ROWS(nombres[]),1))-ROW(OFFSET(nombres[],0,0,1,1))+1,ROW(OFFSET(nombres[],ROWS(nombres[])-1,0,1,1))+1),$O1556:$O1575),3),"")</f>
        <v/>
      </c>
      <c r="GZ1556" s="42" t="str">
        <f t="array" aca="1" ref="GZ1556" ca="1">IFERROR(INDEX(nombres[],SMALL(IF(OFFSET(nombres[],0,0,ROWS(nombres[]),1)=GZ$1490,ROW(OFFSET(nombres[],0,0,ROWS(nombres[]),1))-ROW(OFFSET(nombres[],0,0,1,1))+1,ROW(OFFSET(nombres[],ROWS(nombres[])-1,0,1,1))+1),$O1556:$O1575),3),"")</f>
        <v/>
      </c>
      <c r="HA1556" s="42" t="str">
        <f t="array" aca="1" ref="HA1556" ca="1">IFERROR(INDEX(nombres[],SMALL(IF(OFFSET(nombres[],0,0,ROWS(nombres[]),1)=HA$1490,ROW(OFFSET(nombres[],0,0,ROWS(nombres[]),1))-ROW(OFFSET(nombres[],0,0,1,1))+1,ROW(OFFSET(nombres[],ROWS(nombres[])-1,0,1,1))+1),$O1556:$O1575),3),"")</f>
        <v/>
      </c>
      <c r="HB1556" s="42" t="str">
        <f t="array" aca="1" ref="HB1556" ca="1">IFERROR(INDEX(nombres[],SMALL(IF(OFFSET(nombres[],0,0,ROWS(nombres[]),1)=HB$1490,ROW(OFFSET(nombres[],0,0,ROWS(nombres[]),1))-ROW(OFFSET(nombres[],0,0,1,1))+1,ROW(OFFSET(nombres[],ROWS(nombres[])-1,0,1,1))+1),$O1556:$O1575),3),"")</f>
        <v/>
      </c>
      <c r="HC1556" s="42" t="str">
        <f t="array" aca="1" ref="HC1556" ca="1">IFERROR(INDEX(nombres[],SMALL(IF(OFFSET(nombres[],0,0,ROWS(nombres[]),1)=HC$1490,ROW(OFFSET(nombres[],0,0,ROWS(nombres[]),1))-ROW(OFFSET(nombres[],0,0,1,1))+1,ROW(OFFSET(nombres[],ROWS(nombres[])-1,0,1,1))+1),$O1556:$O1575),3),"")</f>
        <v/>
      </c>
      <c r="HD1556" s="42" t="str">
        <f t="array" aca="1" ref="HD1556" ca="1">IFERROR(INDEX(nombres[],SMALL(IF(OFFSET(nombres[],0,0,ROWS(nombres[]),1)=HD$1490,ROW(OFFSET(nombres[],0,0,ROWS(nombres[]),1))-ROW(OFFSET(nombres[],0,0,1,1))+1,ROW(OFFSET(nombres[],ROWS(nombres[])-1,0,1,1))+1),$O1556:$O1575),3),"")</f>
        <v/>
      </c>
      <c r="HE1556" s="42" t="str">
        <f t="array" aca="1" ref="HE1556" ca="1">IFERROR(INDEX(nombres[],SMALL(IF(OFFSET(nombres[],0,0,ROWS(nombres[]),1)=HE$1490,ROW(OFFSET(nombres[],0,0,ROWS(nombres[]),1))-ROW(OFFSET(nombres[],0,0,1,1))+1,ROW(OFFSET(nombres[],ROWS(nombres[])-1,0,1,1))+1),$O1556:$O1575),3),"")</f>
        <v/>
      </c>
      <c r="HF1556" s="42" t="str">
        <f t="array" aca="1" ref="HF1556" ca="1">IFERROR(INDEX(nombres[],SMALL(IF(OFFSET(nombres[],0,0,ROWS(nombres[]),1)=HF$1490,ROW(OFFSET(nombres[],0,0,ROWS(nombres[]),1))-ROW(OFFSET(nombres[],0,0,1,1))+1,ROW(OFFSET(nombres[],ROWS(nombres[])-1,0,1,1))+1),$O1556:$O1575),3),"")</f>
        <v/>
      </c>
      <c r="HG1556" s="42" t="str">
        <f t="array" aca="1" ref="HG1556" ca="1">IFERROR(INDEX(nombres[],SMALL(IF(OFFSET(nombres[],0,0,ROWS(nombres[]),1)=HG$1490,ROW(OFFSET(nombres[],0,0,ROWS(nombres[]),1))-ROW(OFFSET(nombres[],0,0,1,1))+1,ROW(OFFSET(nombres[],ROWS(nombres[])-1,0,1,1))+1),$O1556:$O1575),3),"")</f>
        <v/>
      </c>
      <c r="HH1556" s="42" t="str">
        <f t="array" aca="1" ref="HH1556" ca="1">IFERROR(INDEX(nombres[],SMALL(IF(OFFSET(nombres[],0,0,ROWS(nombres[]),1)=HH$1490,ROW(OFFSET(nombres[],0,0,ROWS(nombres[]),1))-ROW(OFFSET(nombres[],0,0,1,1))+1,ROW(OFFSET(nombres[],ROWS(nombres[])-1,0,1,1))+1),$O1556:$O1575),3),"")</f>
        <v/>
      </c>
      <c r="HI1556" s="42" t="str">
        <f t="array" aca="1" ref="HI1556" ca="1">IFERROR(INDEX(nombres[],SMALL(IF(OFFSET(nombres[],0,0,ROWS(nombres[]),1)=HI$1490,ROW(OFFSET(nombres[],0,0,ROWS(nombres[]),1))-ROW(OFFSET(nombres[],0,0,1,1))+1,ROW(OFFSET(nombres[],ROWS(nombres[])-1,0,1,1))+1),$O1556:$O1575),3),"")</f>
        <v/>
      </c>
      <c r="HJ1556" s="42" t="str">
        <f t="array" aca="1" ref="HJ1556" ca="1">IFERROR(INDEX(nombres[],SMALL(IF(OFFSET(nombres[],0,0,ROWS(nombres[]),1)=HJ$1490,ROW(OFFSET(nombres[],0,0,ROWS(nombres[]),1))-ROW(OFFSET(nombres[],0,0,1,1))+1,ROW(OFFSET(nombres[],ROWS(nombres[])-1,0,1,1))+1),$O1556:$O1575),3),"")</f>
        <v/>
      </c>
      <c r="HK1556" s="42" t="str">
        <f t="array" aca="1" ref="HK1556" ca="1">IFERROR(INDEX(nombres[],SMALL(IF(OFFSET(nombres[],0,0,ROWS(nombres[]),1)=HK$1490,ROW(OFFSET(nombres[],0,0,ROWS(nombres[]),1))-ROW(OFFSET(nombres[],0,0,1,1))+1,ROW(OFFSET(nombres[],ROWS(nombres[])-1,0,1,1))+1),$O1556:$O1575),3),"")</f>
        <v/>
      </c>
      <c r="HL1556" s="42" t="str">
        <f t="array" aca="1" ref="HL1556" ca="1">IFERROR(INDEX(nombres[],SMALL(IF(OFFSET(nombres[],0,0,ROWS(nombres[]),1)=HL$1490,ROW(OFFSET(nombres[],0,0,ROWS(nombres[]),1))-ROW(OFFSET(nombres[],0,0,1,1))+1,ROW(OFFSET(nombres[],ROWS(nombres[])-1,0,1,1))+1),$O1556:$O1575),3),"")</f>
        <v/>
      </c>
      <c r="HM1556" s="42" t="str">
        <f t="array" aca="1" ref="HM1556" ca="1">IFERROR(INDEX(nombres[],SMALL(IF(OFFSET(nombres[],0,0,ROWS(nombres[]),1)=HM$1490,ROW(OFFSET(nombres[],0,0,ROWS(nombres[]),1))-ROW(OFFSET(nombres[],0,0,1,1))+1,ROW(OFFSET(nombres[],ROWS(nombres[])-1,0,1,1))+1),$O1556:$O1575),3),"")</f>
        <v/>
      </c>
      <c r="HN1556" s="42" t="str">
        <f t="array" aca="1" ref="HN1556" ca="1">IFERROR(INDEX(nombres[],SMALL(IF(OFFSET(nombres[],0,0,ROWS(nombres[]),1)=HN$1490,ROW(OFFSET(nombres[],0,0,ROWS(nombres[]),1))-ROW(OFFSET(nombres[],0,0,1,1))+1,ROW(OFFSET(nombres[],ROWS(nombres[])-1,0,1,1))+1),$O1556:$O1575),3),"")</f>
        <v/>
      </c>
      <c r="HO1556" s="42" t="str">
        <f t="array" aca="1" ref="HO1556" ca="1">IFERROR(INDEX(nombres[],SMALL(IF(OFFSET(nombres[],0,0,ROWS(nombres[]),1)=HO$1490,ROW(OFFSET(nombres[],0,0,ROWS(nombres[]),1))-ROW(OFFSET(nombres[],0,0,1,1))+1,ROW(OFFSET(nombres[],ROWS(nombres[])-1,0,1,1))+1),$O1556:$O1575),3),"")</f>
        <v/>
      </c>
      <c r="HP1556" s="42" t="str">
        <f t="array" aca="1" ref="HP1556" ca="1">IFERROR(INDEX(nombres[],SMALL(IF(OFFSET(nombres[],0,0,ROWS(nombres[]),1)=HP$1490,ROW(OFFSET(nombres[],0,0,ROWS(nombres[]),1))-ROW(OFFSET(nombres[],0,0,1,1))+1,ROW(OFFSET(nombres[],ROWS(nombres[])-1,0,1,1))+1),$O1556:$O1575),3),"")</f>
        <v/>
      </c>
      <c r="HQ1556" s="42" t="str">
        <f t="array" aca="1" ref="HQ1556" ca="1">IFERROR(INDEX(nombres[],SMALL(IF(OFFSET(nombres[],0,0,ROWS(nombres[]),1)=HQ$1490,ROW(OFFSET(nombres[],0,0,ROWS(nombres[]),1))-ROW(OFFSET(nombres[],0,0,1,1))+1,ROW(OFFSET(nombres[],ROWS(nombres[])-1,0,1,1))+1),$O1556:$O1575),3),"")</f>
        <v/>
      </c>
      <c r="HR1556" s="42" t="str">
        <f t="array" aca="1" ref="HR1556" ca="1">IFERROR(INDEX(nombres[],SMALL(IF(OFFSET(nombres[],0,0,ROWS(nombres[]),1)=HR$1490,ROW(OFFSET(nombres[],0,0,ROWS(nombres[]),1))-ROW(OFFSET(nombres[],0,0,1,1))+1,ROW(OFFSET(nombres[],ROWS(nombres[])-1,0,1,1))+1),$O1556:$O1575),3),"")</f>
        <v/>
      </c>
      <c r="HS1556" s="42" t="str">
        <f t="array" aca="1" ref="HS1556" ca="1">IFERROR(INDEX(nombres[],SMALL(IF(OFFSET(nombres[],0,0,ROWS(nombres[]),1)=HS$1490,ROW(OFFSET(nombres[],0,0,ROWS(nombres[]),1))-ROW(OFFSET(nombres[],0,0,1,1))+1,ROW(OFFSET(nombres[],ROWS(nombres[])-1,0,1,1))+1),$O1556:$O1575),3),"")</f>
        <v/>
      </c>
      <c r="HT1556" s="42" t="str">
        <f t="array" aca="1" ref="HT1556" ca="1">IFERROR(INDEX(nombres[],SMALL(IF(OFFSET(nombres[],0,0,ROWS(nombres[]),1)=HT$1490,ROW(OFFSET(nombres[],0,0,ROWS(nombres[]),1))-ROW(OFFSET(nombres[],0,0,1,1))+1,ROW(OFFSET(nombres[],ROWS(nombres[])-1,0,1,1))+1),$O1556:$O1575),3),"")</f>
        <v/>
      </c>
      <c r="HU1556" s="42" t="str">
        <f t="array" aca="1" ref="HU1556" ca="1">IFERROR(INDEX(nombres[],SMALL(IF(OFFSET(nombres[],0,0,ROWS(nombres[]),1)=HU$1490,ROW(OFFSET(nombres[],0,0,ROWS(nombres[]),1))-ROW(OFFSET(nombres[],0,0,1,1))+1,ROW(OFFSET(nombres[],ROWS(nombres[])-1,0,1,1))+1),$O1556:$O1575),3),"")</f>
        <v/>
      </c>
      <c r="HV1556" s="42" t="str">
        <f t="array" aca="1" ref="HV1556" ca="1">IFERROR(INDEX(nombres[],SMALL(IF(OFFSET(nombres[],0,0,ROWS(nombres[]),1)=HV$1490,ROW(OFFSET(nombres[],0,0,ROWS(nombres[]),1))-ROW(OFFSET(nombres[],0,0,1,1))+1,ROW(OFFSET(nombres[],ROWS(nombres[])-1,0,1,1))+1),$O1556:$O1575),3),"")</f>
        <v/>
      </c>
      <c r="HW1556" s="42" t="str">
        <f t="array" aca="1" ref="HW1556" ca="1">IFERROR(INDEX(nombres[],SMALL(IF(OFFSET(nombres[],0,0,ROWS(nombres[]),1)=HW$1490,ROW(OFFSET(nombres[],0,0,ROWS(nombres[]),1))-ROW(OFFSET(nombres[],0,0,1,1))+1,ROW(OFFSET(nombres[],ROWS(nombres[])-1,0,1,1))+1),$O1556:$O1575),3),"")</f>
        <v/>
      </c>
      <c r="HX1556" s="42" t="str">
        <f t="array" aca="1" ref="HX1556" ca="1">IFERROR(INDEX(nombres[],SMALL(IF(OFFSET(nombres[],0,0,ROWS(nombres[]),1)=HX$1490,ROW(OFFSET(nombres[],0,0,ROWS(nombres[]),1))-ROW(OFFSET(nombres[],0,0,1,1))+1,ROW(OFFSET(nombres[],ROWS(nombres[])-1,0,1,1))+1),$O1556:$O1575),3),"")</f>
        <v/>
      </c>
      <c r="HY1556" s="42" t="str">
        <f t="array" aca="1" ref="HY1556" ca="1">IFERROR(INDEX(nombres[],SMALL(IF(OFFSET(nombres[],0,0,ROWS(nombres[]),1)=HY$1490,ROW(OFFSET(nombres[],0,0,ROWS(nombres[]),1))-ROW(OFFSET(nombres[],0,0,1,1))+1,ROW(OFFSET(nombres[],ROWS(nombres[])-1,0,1,1))+1),$O1556:$O1575),3),"")</f>
        <v/>
      </c>
      <c r="HZ1556" s="42" t="str">
        <f t="array" aca="1" ref="HZ1556" ca="1">IFERROR(INDEX(nombres[],SMALL(IF(OFFSET(nombres[],0,0,ROWS(nombres[]),1)=HZ$1490,ROW(OFFSET(nombres[],0,0,ROWS(nombres[]),1))-ROW(OFFSET(nombres[],0,0,1,1))+1,ROW(OFFSET(nombres[],ROWS(nombres[])-1,0,1,1))+1),$O1556:$O1575),3),"")</f>
        <v/>
      </c>
      <c r="IA1556" s="42" t="str">
        <f t="array" aca="1" ref="IA1556" ca="1">IFERROR(INDEX(nombres[],SMALL(IF(OFFSET(nombres[],0,0,ROWS(nombres[]),1)=IA$1490,ROW(OFFSET(nombres[],0,0,ROWS(nombres[]),1))-ROW(OFFSET(nombres[],0,0,1,1))+1,ROW(OFFSET(nombres[],ROWS(nombres[])-1,0,1,1))+1),$O1556:$O1575),3),"")</f>
        <v/>
      </c>
      <c r="IB1556" s="42" t="str">
        <f t="array" aca="1" ref="IB1556" ca="1">IFERROR(INDEX(nombres[],SMALL(IF(OFFSET(nombres[],0,0,ROWS(nombres[]),1)=IB$1490,ROW(OFFSET(nombres[],0,0,ROWS(nombres[]),1))-ROW(OFFSET(nombres[],0,0,1,1))+1,ROW(OFFSET(nombres[],ROWS(nombres[])-1,0,1,1))+1),$O1556:$O1575),3),"")</f>
        <v/>
      </c>
      <c r="IC1556" s="42" t="str">
        <f t="array" aca="1" ref="IC1556" ca="1">IFERROR(INDEX(nombres[],SMALL(IF(OFFSET(nombres[],0,0,ROWS(nombres[]),1)=IC$1490,ROW(OFFSET(nombres[],0,0,ROWS(nombres[]),1))-ROW(OFFSET(nombres[],0,0,1,1))+1,ROW(OFFSET(nombres[],ROWS(nombres[])-1,0,1,1))+1),$O1556:$O1575),3),"")</f>
        <v/>
      </c>
      <c r="ID1556" s="42" t="str">
        <f t="array" aca="1" ref="ID1556" ca="1">IFERROR(INDEX(nombres[],SMALL(IF(OFFSET(nombres[],0,0,ROWS(nombres[]),1)=ID$1490,ROW(OFFSET(nombres[],0,0,ROWS(nombres[]),1))-ROW(OFFSET(nombres[],0,0,1,1))+1,ROW(OFFSET(nombres[],ROWS(nombres[])-1,0,1,1))+1),$O1556:$O1575),3),"")</f>
        <v/>
      </c>
      <c r="IE1556" s="42" t="str">
        <f t="array" aca="1" ref="IE1556" ca="1">IFERROR(INDEX(nombres[],SMALL(IF(OFFSET(nombres[],0,0,ROWS(nombres[]),1)=IE$1490,ROW(OFFSET(nombres[],0,0,ROWS(nombres[]),1))-ROW(OFFSET(nombres[],0,0,1,1))+1,ROW(OFFSET(nombres[],ROWS(nombres[])-1,0,1,1))+1),$O1556:$O1575),3),"")</f>
        <v/>
      </c>
      <c r="IF1556" s="42" t="str">
        <f t="array" aca="1" ref="IF1556" ca="1">IFERROR(INDEX(nombres[],SMALL(IF(OFFSET(nombres[],0,0,ROWS(nombres[]),1)=IF$1490,ROW(OFFSET(nombres[],0,0,ROWS(nombres[]),1))-ROW(OFFSET(nombres[],0,0,1,1))+1,ROW(OFFSET(nombres[],ROWS(nombres[])-1,0,1,1))+1),$O1556:$O1575),3),"")</f>
        <v/>
      </c>
      <c r="IG1556" s="42" t="str">
        <f t="array" aca="1" ref="IG1556" ca="1">IFERROR(INDEX(nombres[],SMALL(IF(OFFSET(nombres[],0,0,ROWS(nombres[]),1)=IG$1490,ROW(OFFSET(nombres[],0,0,ROWS(nombres[]),1))-ROW(OFFSET(nombres[],0,0,1,1))+1,ROW(OFFSET(nombres[],ROWS(nombres[])-1,0,1,1))+1),$O1556:$O1575),3),"")</f>
        <v/>
      </c>
      <c r="IH1556" s="42" t="str">
        <f t="array" aca="1" ref="IH1556" ca="1">IFERROR(INDEX(nombres[],SMALL(IF(OFFSET(nombres[],0,0,ROWS(nombres[]),1)=IH$1490,ROW(OFFSET(nombres[],0,0,ROWS(nombres[]),1))-ROW(OFFSET(nombres[],0,0,1,1))+1,ROW(OFFSET(nombres[],ROWS(nombres[])-1,0,1,1))+1),$O1556:$O1575),3),"")</f>
        <v/>
      </c>
      <c r="II1556" s="42" t="str">
        <f t="array" aca="1" ref="II1556" ca="1">IFERROR(INDEX(nombres[],SMALL(IF(OFFSET(nombres[],0,0,ROWS(nombres[]),1)=II$1490,ROW(OFFSET(nombres[],0,0,ROWS(nombres[]),1))-ROW(OFFSET(nombres[],0,0,1,1))+1,ROW(OFFSET(nombres[],ROWS(nombres[])-1,0,1,1))+1),$O1556:$O1575),3),"")</f>
        <v/>
      </c>
      <c r="IJ1556" s="42" t="str">
        <f t="array" aca="1" ref="IJ1556" ca="1">IFERROR(INDEX(nombres[],SMALL(IF(OFFSET(nombres[],0,0,ROWS(nombres[]),1)=IJ$1490,ROW(OFFSET(nombres[],0,0,ROWS(nombres[]),1))-ROW(OFFSET(nombres[],0,0,1,1))+1,ROW(OFFSET(nombres[],ROWS(nombres[])-1,0,1,1))+1),$O1556:$O1575),3),"")</f>
        <v/>
      </c>
      <c r="IK1556" s="42" t="str">
        <f t="array" aca="1" ref="IK1556" ca="1">IFERROR(INDEX(nombres[],SMALL(IF(OFFSET(nombres[],0,0,ROWS(nombres[]),1)=IK$1490,ROW(OFFSET(nombres[],0,0,ROWS(nombres[]),1))-ROW(OFFSET(nombres[],0,0,1,1))+1,ROW(OFFSET(nombres[],ROWS(nombres[])-1,0,1,1))+1),$O1556:$O1575),3),"")</f>
        <v/>
      </c>
      <c r="IL1556" s="42" t="str">
        <f t="array" aca="1" ref="IL1556" ca="1">IFERROR(INDEX(nombres[],SMALL(IF(OFFSET(nombres[],0,0,ROWS(nombres[]),1)=IL$1490,ROW(OFFSET(nombres[],0,0,ROWS(nombres[]),1))-ROW(OFFSET(nombres[],0,0,1,1))+1,ROW(OFFSET(nombres[],ROWS(nombres[])-1,0,1,1))+1),$O1556:$O1575),3),"")</f>
        <v/>
      </c>
      <c r="IM1556" s="42" t="str">
        <f t="array" aca="1" ref="IM1556" ca="1">IFERROR(INDEX(nombres[],SMALL(IF(OFFSET(nombres[],0,0,ROWS(nombres[]),1)=IM$1490,ROW(OFFSET(nombres[],0,0,ROWS(nombres[]),1))-ROW(OFFSET(nombres[],0,0,1,1))+1,ROW(OFFSET(nombres[],ROWS(nombres[])-1,0,1,1))+1),$O1556:$O1575),3),"")</f>
        <v/>
      </c>
      <c r="IN1556" s="42" t="str">
        <f t="array" aca="1" ref="IN1556" ca="1">IFERROR(INDEX(nombres[],SMALL(IF(OFFSET(nombres[],0,0,ROWS(nombres[]),1)=IN$1490,ROW(OFFSET(nombres[],0,0,ROWS(nombres[]),1))-ROW(OFFSET(nombres[],0,0,1,1))+1,ROW(OFFSET(nombres[],ROWS(nombres[])-1,0,1,1))+1),$O1556:$O1575),3),"")</f>
        <v/>
      </c>
      <c r="IO1556" s="42" t="str">
        <f t="array" aca="1" ref="IO1556" ca="1">IFERROR(INDEX(nombres[],SMALL(IF(OFFSET(nombres[],0,0,ROWS(nombres[]),1)=IO$1490,ROW(OFFSET(nombres[],0,0,ROWS(nombres[]),1))-ROW(OFFSET(nombres[],0,0,1,1))+1,ROW(OFFSET(nombres[],ROWS(nombres[])-1,0,1,1))+1),$O1556:$O1575),3),"")</f>
        <v/>
      </c>
      <c r="IP1556" s="42" t="str">
        <f t="array" aca="1" ref="IP1556" ca="1">IFERROR(INDEX(nombres[],SMALL(IF(OFFSET(nombres[],0,0,ROWS(nombres[]),1)=IP$1490,ROW(OFFSET(nombres[],0,0,ROWS(nombres[]),1))-ROW(OFFSET(nombres[],0,0,1,1))+1,ROW(OFFSET(nombres[],ROWS(nombres[])-1,0,1,1))+1),$O1556:$O1575),3),"")</f>
        <v/>
      </c>
      <c r="IQ1556" s="42" t="str">
        <f t="array" aca="1" ref="IQ1556" ca="1">IFERROR(INDEX(nombres[],SMALL(IF(OFFSET(nombres[],0,0,ROWS(nombres[]),1)=IQ$1490,ROW(OFFSET(nombres[],0,0,ROWS(nombres[]),1))-ROW(OFFSET(nombres[],0,0,1,1))+1,ROW(OFFSET(nombres[],ROWS(nombres[])-1,0,1,1))+1),$O1556:$O1575),3),"")</f>
        <v/>
      </c>
      <c r="IR1556" s="42" t="str">
        <f t="array" aca="1" ref="IR1556" ca="1">IFERROR(INDEX(nombres[],SMALL(IF(OFFSET(nombres[],0,0,ROWS(nombres[]),1)=IR$1490,ROW(OFFSET(nombres[],0,0,ROWS(nombres[]),1))-ROW(OFFSET(nombres[],0,0,1,1))+1,ROW(OFFSET(nombres[],ROWS(nombres[])-1,0,1,1))+1),$O1556:$O1575),3),"")</f>
        <v/>
      </c>
      <c r="IS1556" s="42" t="str">
        <f t="array" aca="1" ref="IS1556" ca="1">IFERROR(INDEX(nombres[],SMALL(IF(OFFSET(nombres[],0,0,ROWS(nombres[]),1)=IS$1490,ROW(OFFSET(nombres[],0,0,ROWS(nombres[]),1))-ROW(OFFSET(nombres[],0,0,1,1))+1,ROW(OFFSET(nombres[],ROWS(nombres[])-1,0,1,1))+1),$O1556:$O1575),3),"")</f>
        <v/>
      </c>
      <c r="IT1556" s="42" t="str">
        <f t="array" aca="1" ref="IT1556" ca="1">IFERROR(INDEX(nombres[],SMALL(IF(OFFSET(nombres[],0,0,ROWS(nombres[]),1)=IT$1490,ROW(OFFSET(nombres[],0,0,ROWS(nombres[]),1))-ROW(OFFSET(nombres[],0,0,1,1))+1,ROW(OFFSET(nombres[],ROWS(nombres[])-1,0,1,1))+1),$O1556:$O1575),3),"")</f>
        <v/>
      </c>
      <c r="IU1556" s="42" t="str">
        <f t="array" aca="1" ref="IU1556" ca="1">IFERROR(INDEX(nombres[],SMALL(IF(OFFSET(nombres[],0,0,ROWS(nombres[]),1)=IU$1490,ROW(OFFSET(nombres[],0,0,ROWS(nombres[]),1))-ROW(OFFSET(nombres[],0,0,1,1))+1,ROW(OFFSET(nombres[],ROWS(nombres[])-1,0,1,1))+1),$O1556:$O1575),3),"")</f>
        <v/>
      </c>
      <c r="IV1556" s="42" t="str">
        <f t="array" aca="1" ref="IV1556" ca="1">IFERROR(INDEX(nombres[],SMALL(IF(OFFSET(nombres[],0,0,ROWS(nombres[]),1)=IV$1490,ROW(OFFSET(nombres[],0,0,ROWS(nombres[]),1))-ROW(OFFSET(nombres[],0,0,1,1))+1,ROW(OFFSET(nombres[],ROWS(nombres[])-1,0,1,1))+1),$O1556:$O1575),3),"")</f>
        <v/>
      </c>
      <c r="IW1556" s="42" t="str">
        <f t="array" aca="1" ref="IW1556" ca="1">IFERROR(INDEX(nombres[],SMALL(IF(OFFSET(nombres[],0,0,ROWS(nombres[]),1)=IW$1490,ROW(OFFSET(nombres[],0,0,ROWS(nombres[]),1))-ROW(OFFSET(nombres[],0,0,1,1))+1,ROW(OFFSET(nombres[],ROWS(nombres[])-1,0,1,1))+1),$O1556:$O1575),3),"")</f>
        <v/>
      </c>
      <c r="IX1556" s="42" t="str">
        <f t="array" aca="1" ref="IX1556" ca="1">IFERROR(INDEX(nombres[],SMALL(IF(OFFSET(nombres[],0,0,ROWS(nombres[]),1)=IX$1490,ROW(OFFSET(nombres[],0,0,ROWS(nombres[]),1))-ROW(OFFSET(nombres[],0,0,1,1))+1,ROW(OFFSET(nombres[],ROWS(nombres[])-1,0,1,1))+1),$O1556:$O1575),3),"")</f>
        <v/>
      </c>
      <c r="IY1556" s="42" t="str">
        <f t="array" aca="1" ref="IY1556" ca="1">IFERROR(INDEX(nombres[],SMALL(IF(OFFSET(nombres[],0,0,ROWS(nombres[]),1)=IY$1490,ROW(OFFSET(nombres[],0,0,ROWS(nombres[]),1))-ROW(OFFSET(nombres[],0,0,1,1))+1,ROW(OFFSET(nombres[],ROWS(nombres[])-1,0,1,1))+1),$O1556:$O1575),3),"")</f>
        <v/>
      </c>
      <c r="IZ1556" s="42" t="str">
        <f t="array" aca="1" ref="IZ1556" ca="1">IFERROR(INDEX(nombres[],SMALL(IF(OFFSET(nombres[],0,0,ROWS(nombres[]),1)=IZ$1490,ROW(OFFSET(nombres[],0,0,ROWS(nombres[]),1))-ROW(OFFSET(nombres[],0,0,1,1))+1,ROW(OFFSET(nombres[],ROWS(nombres[])-1,0,1,1))+1),$O1556:$O1575),3),"")</f>
        <v/>
      </c>
      <c r="JA1556" s="42" t="str">
        <f t="array" aca="1" ref="JA1556" ca="1">IFERROR(INDEX(nombres[],SMALL(IF(OFFSET(nombres[],0,0,ROWS(nombres[]),1)=JA$1490,ROW(OFFSET(nombres[],0,0,ROWS(nombres[]),1))-ROW(OFFSET(nombres[],0,0,1,1))+1,ROW(OFFSET(nombres[],ROWS(nombres[])-1,0,1,1))+1),$O1556:$O1575),3),"")</f>
        <v/>
      </c>
      <c r="JB1556" s="42" t="str">
        <f t="array" aca="1" ref="JB1556" ca="1">IFERROR(INDEX(nombres[],SMALL(IF(OFFSET(nombres[],0,0,ROWS(nombres[]),1)=JB$1490,ROW(OFFSET(nombres[],0,0,ROWS(nombres[]),1))-ROW(OFFSET(nombres[],0,0,1,1))+1,ROW(OFFSET(nombres[],ROWS(nombres[])-1,0,1,1))+1),$O1556:$O1575),3),"")</f>
        <v/>
      </c>
      <c r="JC1556" s="42" t="str">
        <f t="array" aca="1" ref="JC1556" ca="1">IFERROR(INDEX(nombres[],SMALL(IF(OFFSET(nombres[],0,0,ROWS(nombres[]),1)=JC$1490,ROW(OFFSET(nombres[],0,0,ROWS(nombres[]),1))-ROW(OFFSET(nombres[],0,0,1,1))+1,ROW(OFFSET(nombres[],ROWS(nombres[])-1,0,1,1))+1),$O1556:$O1575),3),"")</f>
        <v/>
      </c>
      <c r="JD1556" s="42" t="str">
        <f t="array" aca="1" ref="JD1556" ca="1">IFERROR(INDEX(nombres[],SMALL(IF(OFFSET(nombres[],0,0,ROWS(nombres[]),1)=JD$1490,ROW(OFFSET(nombres[],0,0,ROWS(nombres[]),1))-ROW(OFFSET(nombres[],0,0,1,1))+1,ROW(OFFSET(nombres[],ROWS(nombres[])-1,0,1,1))+1),$O1556:$O1575),3),"")</f>
        <v/>
      </c>
      <c r="JE1556" s="42" t="str">
        <f t="array" aca="1" ref="JE1556" ca="1">IFERROR(INDEX(nombres[],SMALL(IF(OFFSET(nombres[],0,0,ROWS(nombres[]),1)=JE$1490,ROW(OFFSET(nombres[],0,0,ROWS(nombres[]),1))-ROW(OFFSET(nombres[],0,0,1,1))+1,ROW(OFFSET(nombres[],ROWS(nombres[])-1,0,1,1))+1),$O1556:$O1575),3),"")</f>
        <v/>
      </c>
      <c r="JF1556" s="42" t="str">
        <f t="array" aca="1" ref="JF1556" ca="1">IFERROR(INDEX(nombres[],SMALL(IF(OFFSET(nombres[],0,0,ROWS(nombres[]),1)=JF$1490,ROW(OFFSET(nombres[],0,0,ROWS(nombres[]),1))-ROW(OFFSET(nombres[],0,0,1,1))+1,ROW(OFFSET(nombres[],ROWS(nombres[])-1,0,1,1))+1),$O1556:$O1575),3),"")</f>
        <v/>
      </c>
      <c r="JG1556" s="42" t="str">
        <f t="array" aca="1" ref="JG1556" ca="1">IFERROR(INDEX(nombres[],SMALL(IF(OFFSET(nombres[],0,0,ROWS(nombres[]),1)=JG$1490,ROW(OFFSET(nombres[],0,0,ROWS(nombres[]),1))-ROW(OFFSET(nombres[],0,0,1,1))+1,ROW(OFFSET(nombres[],ROWS(nombres[])-1,0,1,1))+1),$O1556:$O1575),3),"")</f>
        <v/>
      </c>
      <c r="JH1556" s="42" t="str">
        <f t="array" aca="1" ref="JH1556" ca="1">IFERROR(INDEX(nombres[],SMALL(IF(OFFSET(nombres[],0,0,ROWS(nombres[]),1)=JH$1490,ROW(OFFSET(nombres[],0,0,ROWS(nombres[]),1))-ROW(OFFSET(nombres[],0,0,1,1))+1,ROW(OFFSET(nombres[],ROWS(nombres[])-1,0,1,1))+1),$O1556:$O1575),3),"")</f>
        <v/>
      </c>
      <c r="JI1556" s="42" t="str">
        <f t="array" aca="1" ref="JI1556" ca="1">IFERROR(INDEX(nombres[],SMALL(IF(OFFSET(nombres[],0,0,ROWS(nombres[]),1)=JI$1490,ROW(OFFSET(nombres[],0,0,ROWS(nombres[]),1))-ROW(OFFSET(nombres[],0,0,1,1))+1,ROW(OFFSET(nombres[],ROWS(nombres[])-1,0,1,1))+1),$O1556:$O1575),3),"")</f>
        <v/>
      </c>
      <c r="JJ1556" s="42" t="str">
        <f t="array" aca="1" ref="JJ1556" ca="1">IFERROR(INDEX(nombres[],SMALL(IF(OFFSET(nombres[],0,0,ROWS(nombres[]),1)=JJ$1490,ROW(OFFSET(nombres[],0,0,ROWS(nombres[]),1))-ROW(OFFSET(nombres[],0,0,1,1))+1,ROW(OFFSET(nombres[],ROWS(nombres[])-1,0,1,1))+1),$O1556:$O1575),3),"")</f>
        <v/>
      </c>
      <c r="JK1556" s="42" t="str">
        <f t="array" aca="1" ref="JK1556" ca="1">IFERROR(INDEX(nombres[],SMALL(IF(OFFSET(nombres[],0,0,ROWS(nombres[]),1)=JK$1490,ROW(OFFSET(nombres[],0,0,ROWS(nombres[]),1))-ROW(OFFSET(nombres[],0,0,1,1))+1,ROW(OFFSET(nombres[],ROWS(nombres[])-1,0,1,1))+1),$O1556:$O1575),3),"")</f>
        <v/>
      </c>
      <c r="JL1556" s="42" t="str">
        <f t="array" aca="1" ref="JL1556" ca="1">IFERROR(INDEX(nombres[],SMALL(IF(OFFSET(nombres[],0,0,ROWS(nombres[]),1)=JL$1490,ROW(OFFSET(nombres[],0,0,ROWS(nombres[]),1))-ROW(OFFSET(nombres[],0,0,1,1))+1,ROW(OFFSET(nombres[],ROWS(nombres[])-1,0,1,1))+1),$O1556:$O1575),3),"")</f>
        <v/>
      </c>
      <c r="JM1556" s="42" t="str">
        <f t="array" aca="1" ref="JM1556" ca="1">IFERROR(INDEX(nombres[],SMALL(IF(OFFSET(nombres[],0,0,ROWS(nombres[]),1)=JM$1490,ROW(OFFSET(nombres[],0,0,ROWS(nombres[]),1))-ROW(OFFSET(nombres[],0,0,1,1))+1,ROW(OFFSET(nombres[],ROWS(nombres[])-1,0,1,1))+1),$O1556:$O1575),3),"")</f>
        <v/>
      </c>
      <c r="JN1556" s="42" t="str">
        <f t="array" aca="1" ref="JN1556" ca="1">IFERROR(INDEX(nombres[],SMALL(IF(OFFSET(nombres[],0,0,ROWS(nombres[]),1)=JN$1490,ROW(OFFSET(nombres[],0,0,ROWS(nombres[]),1))-ROW(OFFSET(nombres[],0,0,1,1))+1,ROW(OFFSET(nombres[],ROWS(nombres[])-1,0,1,1))+1),$O1556:$O1575),3),"")</f>
        <v/>
      </c>
      <c r="JO1556" s="42" t="str">
        <f t="array" aca="1" ref="JO1556" ca="1">IFERROR(INDEX(nombres[],SMALL(IF(OFFSET(nombres[],0,0,ROWS(nombres[]),1)=JO$1490,ROW(OFFSET(nombres[],0,0,ROWS(nombres[]),1))-ROW(OFFSET(nombres[],0,0,1,1))+1,ROW(OFFSET(nombres[],ROWS(nombres[])-1,0,1,1))+1),$O1556:$O1575),3),"")</f>
        <v/>
      </c>
      <c r="JP1556" s="42" t="str">
        <f t="array" aca="1" ref="JP1556" ca="1">IFERROR(INDEX(nombres[],SMALL(IF(OFFSET(nombres[],0,0,ROWS(nombres[]),1)=JP$1490,ROW(OFFSET(nombres[],0,0,ROWS(nombres[]),1))-ROW(OFFSET(nombres[],0,0,1,1))+1,ROW(OFFSET(nombres[],ROWS(nombres[])-1,0,1,1))+1),$O1556:$O1575),3),"")</f>
        <v/>
      </c>
      <c r="JQ1556" s="42" t="str">
        <f t="array" aca="1" ref="JQ1556" ca="1">IFERROR(INDEX(nombres[],SMALL(IF(OFFSET(nombres[],0,0,ROWS(nombres[]),1)=JQ$1490,ROW(OFFSET(nombres[],0,0,ROWS(nombres[]),1))-ROW(OFFSET(nombres[],0,0,1,1))+1,ROW(OFFSET(nombres[],ROWS(nombres[])-1,0,1,1))+1),$O1556:$O1575),3),"")</f>
        <v/>
      </c>
      <c r="JR1556" s="42" t="str">
        <f t="array" aca="1" ref="JR1556" ca="1">IFERROR(INDEX(nombres[],SMALL(IF(OFFSET(nombres[],0,0,ROWS(nombres[]),1)=JR$1490,ROW(OFFSET(nombres[],0,0,ROWS(nombres[]),1))-ROW(OFFSET(nombres[],0,0,1,1))+1,ROW(OFFSET(nombres[],ROWS(nombres[])-1,0,1,1))+1),$O1556:$O1575),3),"")</f>
        <v/>
      </c>
      <c r="JS1556" s="42" t="str">
        <f t="array" aca="1" ref="JS1556" ca="1">IFERROR(INDEX(nombres[],SMALL(IF(OFFSET(nombres[],0,0,ROWS(nombres[]),1)=JS$1490,ROW(OFFSET(nombres[],0,0,ROWS(nombres[]),1))-ROW(OFFSET(nombres[],0,0,1,1))+1,ROW(OFFSET(nombres[],ROWS(nombres[])-1,0,1,1))+1),$O1556:$O1575),3),"")</f>
        <v/>
      </c>
      <c r="JT1556" s="42" t="str">
        <f t="array" aca="1" ref="JT1556" ca="1">IFERROR(INDEX(nombres[],SMALL(IF(OFFSET(nombres[],0,0,ROWS(nombres[]),1)=JT$1490,ROW(OFFSET(nombres[],0,0,ROWS(nombres[]),1))-ROW(OFFSET(nombres[],0,0,1,1))+1,ROW(OFFSET(nombres[],ROWS(nombres[])-1,0,1,1))+1),$O1556:$O1575),3),"")</f>
        <v/>
      </c>
      <c r="JU1556" s="42" t="str">
        <f t="array" aca="1" ref="JU1556" ca="1">IFERROR(INDEX(nombres[],SMALL(IF(OFFSET(nombres[],0,0,ROWS(nombres[]),1)=JU$1490,ROW(OFFSET(nombres[],0,0,ROWS(nombres[]),1))-ROW(OFFSET(nombres[],0,0,1,1))+1,ROW(OFFSET(nombres[],ROWS(nombres[])-1,0,1,1))+1),$O1556:$O1575),3),"")</f>
        <v/>
      </c>
      <c r="JV1556" s="42" t="str">
        <f t="array" aca="1" ref="JV1556" ca="1">IFERROR(INDEX(nombres[],SMALL(IF(OFFSET(nombres[],0,0,ROWS(nombres[]),1)=JV$1490,ROW(OFFSET(nombres[],0,0,ROWS(nombres[]),1))-ROW(OFFSET(nombres[],0,0,1,1))+1,ROW(OFFSET(nombres[],ROWS(nombres[])-1,0,1,1))+1),$O1556:$O1575),3),"")</f>
        <v/>
      </c>
      <c r="JW1556" s="42" t="str">
        <f t="array" aca="1" ref="JW1556" ca="1">IFERROR(INDEX(nombres[],SMALL(IF(OFFSET(nombres[],0,0,ROWS(nombres[]),1)=JW$1490,ROW(OFFSET(nombres[],0,0,ROWS(nombres[]),1))-ROW(OFFSET(nombres[],0,0,1,1))+1,ROW(OFFSET(nombres[],ROWS(nombres[])-1,0,1,1))+1),$O1556:$O1575),3),"")</f>
        <v/>
      </c>
      <c r="JX1556" s="42" t="str">
        <f t="array" aca="1" ref="JX1556" ca="1">IFERROR(INDEX(nombres[],SMALL(IF(OFFSET(nombres[],0,0,ROWS(nombres[]),1)=JX$1490,ROW(OFFSET(nombres[],0,0,ROWS(nombres[]),1))-ROW(OFFSET(nombres[],0,0,1,1))+1,ROW(OFFSET(nombres[],ROWS(nombres[])-1,0,1,1))+1),$O1556:$O1575),3),"")</f>
        <v/>
      </c>
      <c r="JY1556" s="42" t="str">
        <f t="array" aca="1" ref="JY1556" ca="1">IFERROR(INDEX(nombres[],SMALL(IF(OFFSET(nombres[],0,0,ROWS(nombres[]),1)=JY$1490,ROW(OFFSET(nombres[],0,0,ROWS(nombres[]),1))-ROW(OFFSET(nombres[],0,0,1,1))+1,ROW(OFFSET(nombres[],ROWS(nombres[])-1,0,1,1))+1),$O1556:$O1575),3),"")</f>
        <v/>
      </c>
      <c r="JZ1556" s="42" t="str">
        <f t="array" aca="1" ref="JZ1556" ca="1">IFERROR(INDEX(nombres[],SMALL(IF(OFFSET(nombres[],0,0,ROWS(nombres[]),1)=JZ$1490,ROW(OFFSET(nombres[],0,0,ROWS(nombres[]),1))-ROW(OFFSET(nombres[],0,0,1,1))+1,ROW(OFFSET(nombres[],ROWS(nombres[])-1,0,1,1))+1),$O1556:$O1575),3),"")</f>
        <v/>
      </c>
      <c r="KA1556" s="42" t="str">
        <f t="array" aca="1" ref="KA1556" ca="1">IFERROR(INDEX(nombres[],SMALL(IF(OFFSET(nombres[],0,0,ROWS(nombres[]),1)=KA$1490,ROW(OFFSET(nombres[],0,0,ROWS(nombres[]),1))-ROW(OFFSET(nombres[],0,0,1,1))+1,ROW(OFFSET(nombres[],ROWS(nombres[])-1,0,1,1))+1),$O1556:$O1575),3),"")</f>
        <v/>
      </c>
      <c r="KB1556" s="42" t="str">
        <f t="array" aca="1" ref="KB1556" ca="1">IFERROR(INDEX(nombres[],SMALL(IF(OFFSET(nombres[],0,0,ROWS(nombres[]),1)=KB$1490,ROW(OFFSET(nombres[],0,0,ROWS(nombres[]),1))-ROW(OFFSET(nombres[],0,0,1,1))+1,ROW(OFFSET(nombres[],ROWS(nombres[])-1,0,1,1))+1),$O1556:$O1575),3),"")</f>
        <v/>
      </c>
      <c r="KC1556" s="42" t="str">
        <f t="array" aca="1" ref="KC1556" ca="1">IFERROR(INDEX(nombres[],SMALL(IF(OFFSET(nombres[],0,0,ROWS(nombres[]),1)=KC$1490,ROW(OFFSET(nombres[],0,0,ROWS(nombres[]),1))-ROW(OFFSET(nombres[],0,0,1,1))+1,ROW(OFFSET(nombres[],ROWS(nombres[])-1,0,1,1))+1),$O1556:$O1575),3),"")</f>
        <v/>
      </c>
      <c r="KD1556" s="42" t="str">
        <f t="array" aca="1" ref="KD1556" ca="1">IFERROR(INDEX(nombres[],SMALL(IF(OFFSET(nombres[],0,0,ROWS(nombres[]),1)=KD$1490,ROW(OFFSET(nombres[],0,0,ROWS(nombres[]),1))-ROW(OFFSET(nombres[],0,0,1,1))+1,ROW(OFFSET(nombres[],ROWS(nombres[])-1,0,1,1))+1),$O1556:$O1575),3),"")</f>
        <v/>
      </c>
      <c r="KE1556" s="42" t="str">
        <f t="array" aca="1" ref="KE1556" ca="1">IFERROR(INDEX(nombres[],SMALL(IF(OFFSET(nombres[],0,0,ROWS(nombres[]),1)=KE$1490,ROW(OFFSET(nombres[],0,0,ROWS(nombres[]),1))-ROW(OFFSET(nombres[],0,0,1,1))+1,ROW(OFFSET(nombres[],ROWS(nombres[])-1,0,1,1))+1),$O1556:$O1575),3),"")</f>
        <v/>
      </c>
      <c r="KF1556" s="42" t="str">
        <f t="array" aca="1" ref="KF1556" ca="1">IFERROR(INDEX(nombres[],SMALL(IF(OFFSET(nombres[],0,0,ROWS(nombres[]),1)=KF$1490,ROW(OFFSET(nombres[],0,0,ROWS(nombres[]),1))-ROW(OFFSET(nombres[],0,0,1,1))+1,ROW(OFFSET(nombres[],ROWS(nombres[])-1,0,1,1))+1),$O1556:$O1575),3),"")</f>
        <v/>
      </c>
      <c r="KG1556" s="42" t="str">
        <f t="array" aca="1" ref="KG1556" ca="1">IFERROR(INDEX(nombres[],SMALL(IF(OFFSET(nombres[],0,0,ROWS(nombres[]),1)=KG$1490,ROW(OFFSET(nombres[],0,0,ROWS(nombres[]),1))-ROW(OFFSET(nombres[],0,0,1,1))+1,ROW(OFFSET(nombres[],ROWS(nombres[])-1,0,1,1))+1),$O1556:$O1575),3),"")</f>
        <v/>
      </c>
      <c r="KH1556" s="42" t="str">
        <f t="array" aca="1" ref="KH1556" ca="1">IFERROR(INDEX(nombres[],SMALL(IF(OFFSET(nombres[],0,0,ROWS(nombres[]),1)=KH$1490,ROW(OFFSET(nombres[],0,0,ROWS(nombres[]),1))-ROW(OFFSET(nombres[],0,0,1,1))+1,ROW(OFFSET(nombres[],ROWS(nombres[])-1,0,1,1))+1),$O1556:$O1575),3),"")</f>
        <v/>
      </c>
      <c r="KI1556" s="42" t="str">
        <f t="array" aca="1" ref="KI1556" ca="1">IFERROR(INDEX(nombres[],SMALL(IF(OFFSET(nombres[],0,0,ROWS(nombres[]),1)=KI$1490,ROW(OFFSET(nombres[],0,0,ROWS(nombres[]),1))-ROW(OFFSET(nombres[],0,0,1,1))+1,ROW(OFFSET(nombres[],ROWS(nombres[])-1,0,1,1))+1),$O1556:$O1575),3),"")</f>
        <v/>
      </c>
      <c r="KJ1556" s="42" t="str">
        <f t="array" aca="1" ref="KJ1556" ca="1">IFERROR(INDEX(nombres[],SMALL(IF(OFFSET(nombres[],0,0,ROWS(nombres[]),1)=KJ$1490,ROW(OFFSET(nombres[],0,0,ROWS(nombres[]),1))-ROW(OFFSET(nombres[],0,0,1,1))+1,ROW(OFFSET(nombres[],ROWS(nombres[])-1,0,1,1))+1),$O1556:$O1575),3),"")</f>
        <v/>
      </c>
      <c r="KK1556" s="42" t="str">
        <f t="array" aca="1" ref="KK1556" ca="1">IFERROR(INDEX(nombres[],SMALL(IF(OFFSET(nombres[],0,0,ROWS(nombres[]),1)=KK$1490,ROW(OFFSET(nombres[],0,0,ROWS(nombres[]),1))-ROW(OFFSET(nombres[],0,0,1,1))+1,ROW(OFFSET(nombres[],ROWS(nombres[])-1,0,1,1))+1),$O1556:$O1575),3),"")</f>
        <v/>
      </c>
      <c r="KL1556" s="42" t="str">
        <f t="array" aca="1" ref="KL1556" ca="1">IFERROR(INDEX(nombres[],SMALL(IF(OFFSET(nombres[],0,0,ROWS(nombres[]),1)=KL$1490,ROW(OFFSET(nombres[],0,0,ROWS(nombres[]),1))-ROW(OFFSET(nombres[],0,0,1,1))+1,ROW(OFFSET(nombres[],ROWS(nombres[])-1,0,1,1))+1),$O1556:$O1575),3),"")</f>
        <v/>
      </c>
      <c r="KM1556" s="42" t="str">
        <f t="array" aca="1" ref="KM1556" ca="1">IFERROR(INDEX(nombres[],SMALL(IF(OFFSET(nombres[],0,0,ROWS(nombres[]),1)=KM$1490,ROW(OFFSET(nombres[],0,0,ROWS(nombres[]),1))-ROW(OFFSET(nombres[],0,0,1,1))+1,ROW(OFFSET(nombres[],ROWS(nombres[])-1,0,1,1))+1),$O1556:$O1575),3),"")</f>
        <v/>
      </c>
      <c r="KN1556" s="42" t="str">
        <f t="array" aca="1" ref="KN1556" ca="1">IFERROR(INDEX(nombres[],SMALL(IF(OFFSET(nombres[],0,0,ROWS(nombres[]),1)=KN$1490,ROW(OFFSET(nombres[],0,0,ROWS(nombres[]),1))-ROW(OFFSET(nombres[],0,0,1,1))+1,ROW(OFFSET(nombres[],ROWS(nombres[])-1,0,1,1))+1),$O1556:$O1575),3),"")</f>
        <v/>
      </c>
      <c r="KO1556" s="42" t="str">
        <f t="array" aca="1" ref="KO1556" ca="1">IFERROR(INDEX(nombres[],SMALL(IF(OFFSET(nombres[],0,0,ROWS(nombres[]),1)=KO$1490,ROW(OFFSET(nombres[],0,0,ROWS(nombres[]),1))-ROW(OFFSET(nombres[],0,0,1,1))+1,ROW(OFFSET(nombres[],ROWS(nombres[])-1,0,1,1))+1),$O1556:$O1575),3),"")</f>
        <v/>
      </c>
      <c r="KP1556" s="42" t="str">
        <f t="array" aca="1" ref="KP1556" ca="1">IFERROR(INDEX(nombres[],SMALL(IF(OFFSET(nombres[],0,0,ROWS(nombres[]),1)=KP$1490,ROW(OFFSET(nombres[],0,0,ROWS(nombres[]),1))-ROW(OFFSET(nombres[],0,0,1,1))+1,ROW(OFFSET(nombres[],ROWS(nombres[])-1,0,1,1))+1),$O1556:$O1575),3),"")</f>
        <v/>
      </c>
      <c r="KQ1556" s="42" t="str">
        <f t="array" aca="1" ref="KQ1556" ca="1">IFERROR(INDEX(nombres[],SMALL(IF(OFFSET(nombres[],0,0,ROWS(nombres[]),1)=KQ$1490,ROW(OFFSET(nombres[],0,0,ROWS(nombres[]),1))-ROW(OFFSET(nombres[],0,0,1,1))+1,ROW(OFFSET(nombres[],ROWS(nombres[])-1,0,1,1))+1),$O1556:$O1575),3),"")</f>
        <v/>
      </c>
      <c r="KR1556" s="42" t="str">
        <f t="array" aca="1" ref="KR1556" ca="1">IFERROR(INDEX(nombres[],SMALL(IF(OFFSET(nombres[],0,0,ROWS(nombres[]),1)=KR$1490,ROW(OFFSET(nombres[],0,0,ROWS(nombres[]),1))-ROW(OFFSET(nombres[],0,0,1,1))+1,ROW(OFFSET(nombres[],ROWS(nombres[])-1,0,1,1))+1),$O1556:$O1575),3),"")</f>
        <v/>
      </c>
      <c r="KS1556" s="42" t="str">
        <f t="array" aca="1" ref="KS1556" ca="1">IFERROR(INDEX(nombres[],SMALL(IF(OFFSET(nombres[],0,0,ROWS(nombres[]),1)=KS$1490,ROW(OFFSET(nombres[],0,0,ROWS(nombres[]),1))-ROW(OFFSET(nombres[],0,0,1,1))+1,ROW(OFFSET(nombres[],ROWS(nombres[])-1,0,1,1))+1),$O1556:$O1575),3),"")</f>
        <v/>
      </c>
      <c r="KT1556" s="42" t="str">
        <f t="array" aca="1" ref="KT1556" ca="1">IFERROR(INDEX(nombres[],SMALL(IF(OFFSET(nombres[],0,0,ROWS(nombres[]),1)=KT$1490,ROW(OFFSET(nombres[],0,0,ROWS(nombres[]),1))-ROW(OFFSET(nombres[],0,0,1,1))+1,ROW(OFFSET(nombres[],ROWS(nombres[])-1,0,1,1))+1),$O1556:$O1575),3),"")</f>
        <v/>
      </c>
      <c r="KU1556" s="42" t="str">
        <f t="array" aca="1" ref="KU1556" ca="1">IFERROR(INDEX(nombres[],SMALL(IF(OFFSET(nombres[],0,0,ROWS(nombres[]),1)=KU$1490,ROW(OFFSET(nombres[],0,0,ROWS(nombres[]),1))-ROW(OFFSET(nombres[],0,0,1,1))+1,ROW(OFFSET(nombres[],ROWS(nombres[])-1,0,1,1))+1),$O1556:$O1575),3),"")</f>
        <v/>
      </c>
      <c r="KV1556" s="42" t="str">
        <f t="array" aca="1" ref="KV1556" ca="1">IFERROR(INDEX(nombres[],SMALL(IF(OFFSET(nombres[],0,0,ROWS(nombres[]),1)=KV$1490,ROW(OFFSET(nombres[],0,0,ROWS(nombres[]),1))-ROW(OFFSET(nombres[],0,0,1,1))+1,ROW(OFFSET(nombres[],ROWS(nombres[])-1,0,1,1))+1),$O1556:$O1575),3),"")</f>
        <v/>
      </c>
      <c r="KW1556" s="42" t="str">
        <f t="array" aca="1" ref="KW1556" ca="1">IFERROR(INDEX(nombres[],SMALL(IF(OFFSET(nombres[],0,0,ROWS(nombres[]),1)=KW$1490,ROW(OFFSET(nombres[],0,0,ROWS(nombres[]),1))-ROW(OFFSET(nombres[],0,0,1,1))+1,ROW(OFFSET(nombres[],ROWS(nombres[])-1,0,1,1))+1),$O1556:$O1575),3),"")</f>
        <v/>
      </c>
      <c r="KX1556" s="42" t="str">
        <f t="array" aca="1" ref="KX1556" ca="1">IFERROR(INDEX(nombres[],SMALL(IF(OFFSET(nombres[],0,0,ROWS(nombres[]),1)=KX$1490,ROW(OFFSET(nombres[],0,0,ROWS(nombres[]),1))-ROW(OFFSET(nombres[],0,0,1,1))+1,ROW(OFFSET(nombres[],ROWS(nombres[])-1,0,1,1))+1),$O1556:$O1575),3),"")</f>
        <v/>
      </c>
      <c r="KY1556" s="42" t="str">
        <f t="array" aca="1" ref="KY1556" ca="1">IFERROR(INDEX(nombres[],SMALL(IF(OFFSET(nombres[],0,0,ROWS(nombres[]),1)=KY$1490,ROW(OFFSET(nombres[],0,0,ROWS(nombres[]),1))-ROW(OFFSET(nombres[],0,0,1,1))+1,ROW(OFFSET(nombres[],ROWS(nombres[])-1,0,1,1))+1),$O1556:$O1575),3),"")</f>
        <v/>
      </c>
      <c r="KZ1556" s="42" t="str">
        <f t="array" aca="1" ref="KZ1556" ca="1">IFERROR(INDEX(nombres[],SMALL(IF(OFFSET(nombres[],0,0,ROWS(nombres[]),1)=KZ$1490,ROW(OFFSET(nombres[],0,0,ROWS(nombres[]),1))-ROW(OFFSET(nombres[],0,0,1,1))+1,ROW(OFFSET(nombres[],ROWS(nombres[])-1,0,1,1))+1),$O1556:$O1575),3),"")</f>
        <v/>
      </c>
      <c r="LA1556" s="42" t="str">
        <f t="array" aca="1" ref="LA1556" ca="1">IFERROR(INDEX(nombres[],SMALL(IF(OFFSET(nombres[],0,0,ROWS(nombres[]),1)=LA$1490,ROW(OFFSET(nombres[],0,0,ROWS(nombres[]),1))-ROW(OFFSET(nombres[],0,0,1,1))+1,ROW(OFFSET(nombres[],ROWS(nombres[])-1,0,1,1))+1),$O1556:$O1575),3),"")</f>
        <v/>
      </c>
      <c r="LB1556" s="42" t="str">
        <f t="array" aca="1" ref="LB1556" ca="1">IFERROR(INDEX(nombres[],SMALL(IF(OFFSET(nombres[],0,0,ROWS(nombres[]),1)=LB$1490,ROW(OFFSET(nombres[],0,0,ROWS(nombres[]),1))-ROW(OFFSET(nombres[],0,0,1,1))+1,ROW(OFFSET(nombres[],ROWS(nombres[])-1,0,1,1))+1),$O1556:$O1575),3),"")</f>
        <v/>
      </c>
      <c r="LC1556" s="42" t="str">
        <f t="array" aca="1" ref="LC1556" ca="1">IFERROR(INDEX(nombres[],SMALL(IF(OFFSET(nombres[],0,0,ROWS(nombres[]),1)=LC$1490,ROW(OFFSET(nombres[],0,0,ROWS(nombres[]),1))-ROW(OFFSET(nombres[],0,0,1,1))+1,ROW(OFFSET(nombres[],ROWS(nombres[])-1,0,1,1))+1),$O1556:$O1575),3),"")</f>
        <v/>
      </c>
      <c r="LD1556" s="42" t="str">
        <f t="array" aca="1" ref="LD1556" ca="1">IFERROR(INDEX(nombres[],SMALL(IF(OFFSET(nombres[],0,0,ROWS(nombres[]),1)=LD$1490,ROW(OFFSET(nombres[],0,0,ROWS(nombres[]),1))-ROW(OFFSET(nombres[],0,0,1,1))+1,ROW(OFFSET(nombres[],ROWS(nombres[])-1,0,1,1))+1),$O1556:$O1575),3),"")</f>
        <v/>
      </c>
      <c r="LE1556" s="42" t="str">
        <f t="array" aca="1" ref="LE1556" ca="1">IFERROR(INDEX(nombres[],SMALL(IF(OFFSET(nombres[],0,0,ROWS(nombres[]),1)=LE$1490,ROW(OFFSET(nombres[],0,0,ROWS(nombres[]),1))-ROW(OFFSET(nombres[],0,0,1,1))+1,ROW(OFFSET(nombres[],ROWS(nombres[])-1,0,1,1))+1),$O1556:$O1575),3),"")</f>
        <v/>
      </c>
      <c r="LF1556" s="42" t="str">
        <f t="array" aca="1" ref="LF1556" ca="1">IFERROR(INDEX(nombres[],SMALL(IF(OFFSET(nombres[],0,0,ROWS(nombres[]),1)=LF$1490,ROW(OFFSET(nombres[],0,0,ROWS(nombres[]),1))-ROW(OFFSET(nombres[],0,0,1,1))+1,ROW(OFFSET(nombres[],ROWS(nombres[])-1,0,1,1))+1),$O1556:$O1575),3),"")</f>
        <v/>
      </c>
      <c r="LG1556" s="42" t="str">
        <f t="array" aca="1" ref="LG1556" ca="1">IFERROR(INDEX(nombres[],SMALL(IF(OFFSET(nombres[],0,0,ROWS(nombres[]),1)=LG$1490,ROW(OFFSET(nombres[],0,0,ROWS(nombres[]),1))-ROW(OFFSET(nombres[],0,0,1,1))+1,ROW(OFFSET(nombres[],ROWS(nombres[])-1,0,1,1))+1),$O1556:$O1575),3),"")</f>
        <v/>
      </c>
      <c r="LH1556" s="42" t="str">
        <f t="array" aca="1" ref="LH1556" ca="1">IFERROR(INDEX(nombres[],SMALL(IF(OFFSET(nombres[],0,0,ROWS(nombres[]),1)=LH$1490,ROW(OFFSET(nombres[],0,0,ROWS(nombres[]),1))-ROW(OFFSET(nombres[],0,0,1,1))+1,ROW(OFFSET(nombres[],ROWS(nombres[])-1,0,1,1))+1),$O1556:$O1575),3),"")</f>
        <v/>
      </c>
      <c r="LI1556" s="42" t="str">
        <f t="array" aca="1" ref="LI1556" ca="1">IFERROR(INDEX(nombres[],SMALL(IF(OFFSET(nombres[],0,0,ROWS(nombres[]),1)=LI$1490,ROW(OFFSET(nombres[],0,0,ROWS(nombres[]),1))-ROW(OFFSET(nombres[],0,0,1,1))+1,ROW(OFFSET(nombres[],ROWS(nombres[])-1,0,1,1))+1),$O1556:$O1575),3),"")</f>
        <v/>
      </c>
      <c r="LJ1556" s="42" t="str">
        <f t="array" aca="1" ref="LJ1556" ca="1">IFERROR(INDEX(nombres[],SMALL(IF(OFFSET(nombres[],0,0,ROWS(nombres[]),1)=LJ$1490,ROW(OFFSET(nombres[],0,0,ROWS(nombres[]),1))-ROW(OFFSET(nombres[],0,0,1,1))+1,ROW(OFFSET(nombres[],ROWS(nombres[])-1,0,1,1))+1),$O1556:$O1575),3),"")</f>
        <v/>
      </c>
      <c r="LK1556" s="42" t="str">
        <f t="array" aca="1" ref="LK1556" ca="1">IFERROR(INDEX(nombres[],SMALL(IF(OFFSET(nombres[],0,0,ROWS(nombres[]),1)=LK$1490,ROW(OFFSET(nombres[],0,0,ROWS(nombres[]),1))-ROW(OFFSET(nombres[],0,0,1,1))+1,ROW(OFFSET(nombres[],ROWS(nombres[])-1,0,1,1))+1),$O1556:$O1575),3),"")</f>
        <v/>
      </c>
      <c r="LL1556" s="42" t="str">
        <f t="array" aca="1" ref="LL1556" ca="1">IFERROR(INDEX(nombres[],SMALL(IF(OFFSET(nombres[],0,0,ROWS(nombres[]),1)=LL$1490,ROW(OFFSET(nombres[],0,0,ROWS(nombres[]),1))-ROW(OFFSET(nombres[],0,0,1,1))+1,ROW(OFFSET(nombres[],ROWS(nombres[])-1,0,1,1))+1),$O1556:$O1575),3),"")</f>
        <v/>
      </c>
      <c r="LM1556" s="42" t="str">
        <f t="array" aca="1" ref="LM1556" ca="1">IFERROR(INDEX(nombres[],SMALL(IF(OFFSET(nombres[],0,0,ROWS(nombres[]),1)=LM$1490,ROW(OFFSET(nombres[],0,0,ROWS(nombres[]),1))-ROW(OFFSET(nombres[],0,0,1,1))+1,ROW(OFFSET(nombres[],ROWS(nombres[])-1,0,1,1))+1),$O1556:$O1575),3),"")</f>
        <v/>
      </c>
      <c r="LN1556" s="42" t="str">
        <f t="array" aca="1" ref="LN1556" ca="1">IFERROR(INDEX(nombres[],SMALL(IF(OFFSET(nombres[],0,0,ROWS(nombres[]),1)=LN$1490,ROW(OFFSET(nombres[],0,0,ROWS(nombres[]),1))-ROW(OFFSET(nombres[],0,0,1,1))+1,ROW(OFFSET(nombres[],ROWS(nombres[])-1,0,1,1))+1),$O1556:$O1575),3),"")</f>
        <v/>
      </c>
      <c r="LO1556" s="42" t="str">
        <f t="array" aca="1" ref="LO1556" ca="1">IFERROR(INDEX(nombres[],SMALL(IF(OFFSET(nombres[],0,0,ROWS(nombres[]),1)=LO$1490,ROW(OFFSET(nombres[],0,0,ROWS(nombres[]),1))-ROW(OFFSET(nombres[],0,0,1,1))+1,ROW(OFFSET(nombres[],ROWS(nombres[])-1,0,1,1))+1),$O1556:$O1575),3),"")</f>
        <v/>
      </c>
      <c r="LP1556" s="42" t="str">
        <f t="array" aca="1" ref="LP1556" ca="1">IFERROR(INDEX(nombres[],SMALL(IF(OFFSET(nombres[],0,0,ROWS(nombres[]),1)=LP$1490,ROW(OFFSET(nombres[],0,0,ROWS(nombres[]),1))-ROW(OFFSET(nombres[],0,0,1,1))+1,ROW(OFFSET(nombres[],ROWS(nombres[])-1,0,1,1))+1),$O1556:$O1575),3),"")</f>
        <v/>
      </c>
      <c r="LQ1556" s="42" t="str">
        <f t="array" aca="1" ref="LQ1556" ca="1">IFERROR(INDEX(nombres[],SMALL(IF(OFFSET(nombres[],0,0,ROWS(nombres[]),1)=LQ$1490,ROW(OFFSET(nombres[],0,0,ROWS(nombres[]),1))-ROW(OFFSET(nombres[],0,0,1,1))+1,ROW(OFFSET(nombres[],ROWS(nombres[])-1,0,1,1))+1),$O1556:$O1575),3),"")</f>
        <v/>
      </c>
      <c r="LR1556" s="42" t="str">
        <f t="array" aca="1" ref="LR1556" ca="1">IFERROR(INDEX(nombres[],SMALL(IF(OFFSET(nombres[],0,0,ROWS(nombres[]),1)=LR$1490,ROW(OFFSET(nombres[],0,0,ROWS(nombres[]),1))-ROW(OFFSET(nombres[],0,0,1,1))+1,ROW(OFFSET(nombres[],ROWS(nombres[])-1,0,1,1))+1),$O1556:$O1575),3),"")</f>
        <v/>
      </c>
      <c r="LS1556" s="42" t="str">
        <f t="array" aca="1" ref="LS1556" ca="1">IFERROR(INDEX(nombres[],SMALL(IF(OFFSET(nombres[],0,0,ROWS(nombres[]),1)=LS$1490,ROW(OFFSET(nombres[],0,0,ROWS(nombres[]),1))-ROW(OFFSET(nombres[],0,0,1,1))+1,ROW(OFFSET(nombres[],ROWS(nombres[])-1,0,1,1))+1),$O1556:$O1575),3),"")</f>
        <v/>
      </c>
      <c r="LT1556" s="42" t="str">
        <f t="array" aca="1" ref="LT1556" ca="1">IFERROR(INDEX(nombres[],SMALL(IF(OFFSET(nombres[],0,0,ROWS(nombres[]),1)=LT$1490,ROW(OFFSET(nombres[],0,0,ROWS(nombres[]),1))-ROW(OFFSET(nombres[],0,0,1,1))+1,ROW(OFFSET(nombres[],ROWS(nombres[])-1,0,1,1))+1),$O1556:$O1575),3),"")</f>
        <v/>
      </c>
      <c r="LU1556" s="42" t="str">
        <f t="array" aca="1" ref="LU1556" ca="1">IFERROR(INDEX(nombres[],SMALL(IF(OFFSET(nombres[],0,0,ROWS(nombres[]),1)=LU$1490,ROW(OFFSET(nombres[],0,0,ROWS(nombres[]),1))-ROW(OFFSET(nombres[],0,0,1,1))+1,ROW(OFFSET(nombres[],ROWS(nombres[])-1,0,1,1))+1),$O1556:$O1575),3),"")</f>
        <v/>
      </c>
      <c r="LV1556" s="42" t="str">
        <f t="array" aca="1" ref="LV1556" ca="1">IFERROR(INDEX(nombres[],SMALL(IF(OFFSET(nombres[],0,0,ROWS(nombres[]),1)=LV$1490,ROW(OFFSET(nombres[],0,0,ROWS(nombres[]),1))-ROW(OFFSET(nombres[],0,0,1,1))+1,ROW(OFFSET(nombres[],ROWS(nombres[])-1,0,1,1))+1),$O1556:$O1575),3),"")</f>
        <v/>
      </c>
      <c r="LW1556" s="42" t="str">
        <f t="array" aca="1" ref="LW1556" ca="1">IFERROR(INDEX(nombres[],SMALL(IF(OFFSET(nombres[],0,0,ROWS(nombres[]),1)=LW$1490,ROW(OFFSET(nombres[],0,0,ROWS(nombres[]),1))-ROW(OFFSET(nombres[],0,0,1,1))+1,ROW(OFFSET(nombres[],ROWS(nombres[])-1,0,1,1))+1),$O1556:$O1575),3),"")</f>
        <v/>
      </c>
      <c r="LX1556" s="42" t="str">
        <f t="array" aca="1" ref="LX1556" ca="1">IFERROR(INDEX(nombres[],SMALL(IF(OFFSET(nombres[],0,0,ROWS(nombres[]),1)=LX$1490,ROW(OFFSET(nombres[],0,0,ROWS(nombres[]),1))-ROW(OFFSET(nombres[],0,0,1,1))+1,ROW(OFFSET(nombres[],ROWS(nombres[])-1,0,1,1))+1),$O1556:$O1575),3),"")</f>
        <v/>
      </c>
      <c r="LY1556" s="42" t="str">
        <f t="array" aca="1" ref="LY1556" ca="1">IFERROR(INDEX(nombres[],SMALL(IF(OFFSET(nombres[],0,0,ROWS(nombres[]),1)=LY$1490,ROW(OFFSET(nombres[],0,0,ROWS(nombres[]),1))-ROW(OFFSET(nombres[],0,0,1,1))+1,ROW(OFFSET(nombres[],ROWS(nombres[])-1,0,1,1))+1),$O1556:$O1575),3),"")</f>
        <v/>
      </c>
      <c r="LZ1556" s="42" t="str">
        <f t="array" aca="1" ref="LZ1556" ca="1">IFERROR(INDEX(nombres[],SMALL(IF(OFFSET(nombres[],0,0,ROWS(nombres[]),1)=LZ$1490,ROW(OFFSET(nombres[],0,0,ROWS(nombres[]),1))-ROW(OFFSET(nombres[],0,0,1,1))+1,ROW(OFFSET(nombres[],ROWS(nombres[])-1,0,1,1))+1),$O1556:$O1575),3),"")</f>
        <v/>
      </c>
      <c r="MA1556" s="42" t="str">
        <f t="array" aca="1" ref="MA1556" ca="1">IFERROR(INDEX(nombres[],SMALL(IF(OFFSET(nombres[],0,0,ROWS(nombres[]),1)=MA$1490,ROW(OFFSET(nombres[],0,0,ROWS(nombres[]),1))-ROW(OFFSET(nombres[],0,0,1,1))+1,ROW(OFFSET(nombres[],ROWS(nombres[])-1,0,1,1))+1),$O1556:$O1575),3),"")</f>
        <v/>
      </c>
      <c r="MB1556" s="42" t="str">
        <f t="array" aca="1" ref="MB1556" ca="1">IFERROR(INDEX(nombres[],SMALL(IF(OFFSET(nombres[],0,0,ROWS(nombres[]),1)=MB$1490,ROW(OFFSET(nombres[],0,0,ROWS(nombres[]),1))-ROW(OFFSET(nombres[],0,0,1,1))+1,ROW(OFFSET(nombres[],ROWS(nombres[])-1,0,1,1))+1),$O1556:$O1575),3),"")</f>
        <v/>
      </c>
      <c r="MC1556" s="42" t="str">
        <f t="array" aca="1" ref="MC1556" ca="1">IFERROR(INDEX(nombres[],SMALL(IF(OFFSET(nombres[],0,0,ROWS(nombres[]),1)=MC$1490,ROW(OFFSET(nombres[],0,0,ROWS(nombres[]),1))-ROW(OFFSET(nombres[],0,0,1,1))+1,ROW(OFFSET(nombres[],ROWS(nombres[])-1,0,1,1))+1),$O1556:$O1575),3),"")</f>
        <v/>
      </c>
      <c r="MD1556" s="42" t="str">
        <f t="array" aca="1" ref="MD1556" ca="1">IFERROR(INDEX(nombres[],SMALL(IF(OFFSET(nombres[],0,0,ROWS(nombres[]),1)=MD$1490,ROW(OFFSET(nombres[],0,0,ROWS(nombres[]),1))-ROW(OFFSET(nombres[],0,0,1,1))+1,ROW(OFFSET(nombres[],ROWS(nombres[])-1,0,1,1))+1),$O1556:$O1575),3),"")</f>
        <v/>
      </c>
      <c r="ME1556" s="42" t="str">
        <f t="array" aca="1" ref="ME1556" ca="1">IFERROR(INDEX(nombres[],SMALL(IF(OFFSET(nombres[],0,0,ROWS(nombres[]),1)=ME$1490,ROW(OFFSET(nombres[],0,0,ROWS(nombres[]),1))-ROW(OFFSET(nombres[],0,0,1,1))+1,ROW(OFFSET(nombres[],ROWS(nombres[])-1,0,1,1))+1),$O1556:$O1575),3),"")</f>
        <v/>
      </c>
      <c r="MF1556" s="42" t="str">
        <f t="array" aca="1" ref="MF1556" ca="1">IFERROR(INDEX(nombres[],SMALL(IF(OFFSET(nombres[],0,0,ROWS(nombres[]),1)=MF$1490,ROW(OFFSET(nombres[],0,0,ROWS(nombres[]),1))-ROW(OFFSET(nombres[],0,0,1,1))+1,ROW(OFFSET(nombres[],ROWS(nombres[])-1,0,1,1))+1),$O1556:$O1575),3),"")</f>
        <v/>
      </c>
      <c r="MG1556" s="42" t="str">
        <f t="array" aca="1" ref="MG1556" ca="1">IFERROR(INDEX(nombres[],SMALL(IF(OFFSET(nombres[],0,0,ROWS(nombres[]),1)=MG$1490,ROW(OFFSET(nombres[],0,0,ROWS(nombres[]),1))-ROW(OFFSET(nombres[],0,0,1,1))+1,ROW(OFFSET(nombres[],ROWS(nombres[])-1,0,1,1))+1),$O1556:$O1575),3),"")</f>
        <v/>
      </c>
      <c r="MH1556" s="42" t="str">
        <f t="array" aca="1" ref="MH1556" ca="1">IFERROR(INDEX(nombres[],SMALL(IF(OFFSET(nombres[],0,0,ROWS(nombres[]),1)=MH$1490,ROW(OFFSET(nombres[],0,0,ROWS(nombres[]),1))-ROW(OFFSET(nombres[],0,0,1,1))+1,ROW(OFFSET(nombres[],ROWS(nombres[])-1,0,1,1))+1),$O1556:$O1575),3),"")</f>
        <v/>
      </c>
      <c r="MI1556" s="42" t="str">
        <f t="array" aca="1" ref="MI1556" ca="1">IFERROR(INDEX(nombres[],SMALL(IF(OFFSET(nombres[],0,0,ROWS(nombres[]),1)=MI$1490,ROW(OFFSET(nombres[],0,0,ROWS(nombres[]),1))-ROW(OFFSET(nombres[],0,0,1,1))+1,ROW(OFFSET(nombres[],ROWS(nombres[])-1,0,1,1))+1),$O1556:$O1575),3),"")</f>
        <v/>
      </c>
      <c r="MJ1556" s="42" t="str">
        <f t="array" aca="1" ref="MJ1556" ca="1">IFERROR(INDEX(nombres[],SMALL(IF(OFFSET(nombres[],0,0,ROWS(nombres[]),1)=MJ$1490,ROW(OFFSET(nombres[],0,0,ROWS(nombres[]),1))-ROW(OFFSET(nombres[],0,0,1,1))+1,ROW(OFFSET(nombres[],ROWS(nombres[])-1,0,1,1))+1),$O1556:$O1575),3),"")</f>
        <v/>
      </c>
      <c r="MK1556" s="42" t="str">
        <f t="array" aca="1" ref="MK1556" ca="1">IFERROR(INDEX(nombres[],SMALL(IF(OFFSET(nombres[],0,0,ROWS(nombres[]),1)=MK$1490,ROW(OFFSET(nombres[],0,0,ROWS(nombres[]),1))-ROW(OFFSET(nombres[],0,0,1,1))+1,ROW(OFFSET(nombres[],ROWS(nombres[])-1,0,1,1))+1),$O1556:$O1575),3),"")</f>
        <v/>
      </c>
      <c r="ML1556" s="42" t="str">
        <f t="array" aca="1" ref="ML1556" ca="1">IFERROR(INDEX(nombres[],SMALL(IF(OFFSET(nombres[],0,0,ROWS(nombres[]),1)=ML$1490,ROW(OFFSET(nombres[],0,0,ROWS(nombres[]),1))-ROW(OFFSET(nombres[],0,0,1,1))+1,ROW(OFFSET(nombres[],ROWS(nombres[])-1,0,1,1))+1),$O1556:$O1575),3),"")</f>
        <v/>
      </c>
      <c r="MM1556" s="42" t="str">
        <f t="array" aca="1" ref="MM1556" ca="1">IFERROR(INDEX(nombres[],SMALL(IF(OFFSET(nombres[],0,0,ROWS(nombres[]),1)=MM$1490,ROW(OFFSET(nombres[],0,0,ROWS(nombres[]),1))-ROW(OFFSET(nombres[],0,0,1,1))+1,ROW(OFFSET(nombres[],ROWS(nombres[])-1,0,1,1))+1),$O1556:$O1575),3),"")</f>
        <v/>
      </c>
      <c r="MN1556" s="42" t="str">
        <f t="array" aca="1" ref="MN1556" ca="1">IFERROR(INDEX(nombres[],SMALL(IF(OFFSET(nombres[],0,0,ROWS(nombres[]),1)=MN$1490,ROW(OFFSET(nombres[],0,0,ROWS(nombres[]),1))-ROW(OFFSET(nombres[],0,0,1,1))+1,ROW(OFFSET(nombres[],ROWS(nombres[])-1,0,1,1))+1),$O1556:$O1575),3),"")</f>
        <v/>
      </c>
      <c r="MO1556" s="42" t="str">
        <f t="array" aca="1" ref="MO1556" ca="1">IFERROR(INDEX(nombres[],SMALL(IF(OFFSET(nombres[],0,0,ROWS(nombres[]),1)=MO$1490,ROW(OFFSET(nombres[],0,0,ROWS(nombres[]),1))-ROW(OFFSET(nombres[],0,0,1,1))+1,ROW(OFFSET(nombres[],ROWS(nombres[])-1,0,1,1))+1),$O1556:$O1575),3),"")</f>
        <v/>
      </c>
      <c r="MP1556" s="42" t="str">
        <f t="array" aca="1" ref="MP1556" ca="1">IFERROR(INDEX(nombres[],SMALL(IF(OFFSET(nombres[],0,0,ROWS(nombres[]),1)=MP$1490,ROW(OFFSET(nombres[],0,0,ROWS(nombres[]),1))-ROW(OFFSET(nombres[],0,0,1,1))+1,ROW(OFFSET(nombres[],ROWS(nombres[])-1,0,1,1))+1),$O1556:$O1575),3),"")</f>
        <v/>
      </c>
      <c r="MQ1556" s="42" t="str">
        <f t="array" aca="1" ref="MQ1556" ca="1">IFERROR(INDEX(nombres[],SMALL(IF(OFFSET(nombres[],0,0,ROWS(nombres[]),1)=MQ$1490,ROW(OFFSET(nombres[],0,0,ROWS(nombres[]),1))-ROW(OFFSET(nombres[],0,0,1,1))+1,ROW(OFFSET(nombres[],ROWS(nombres[])-1,0,1,1))+1),$O1556:$O1575),3),"")</f>
        <v/>
      </c>
      <c r="MR1556" s="42" t="str">
        <f t="array" aca="1" ref="MR1556" ca="1">IFERROR(INDEX(nombres[],SMALL(IF(OFFSET(nombres[],0,0,ROWS(nombres[]),1)=MR$1490,ROW(OFFSET(nombres[],0,0,ROWS(nombres[]),1))-ROW(OFFSET(nombres[],0,0,1,1))+1,ROW(OFFSET(nombres[],ROWS(nombres[])-1,0,1,1))+1),$O1556:$O1575),3),"")</f>
        <v/>
      </c>
      <c r="MS1556" s="42" t="str">
        <f t="array" aca="1" ref="MS1556" ca="1">IFERROR(INDEX(nombres[],SMALL(IF(OFFSET(nombres[],0,0,ROWS(nombres[]),1)=MS$1490,ROW(OFFSET(nombres[],0,0,ROWS(nombres[]),1))-ROW(OFFSET(nombres[],0,0,1,1))+1,ROW(OFFSET(nombres[],ROWS(nombres[])-1,0,1,1))+1),$O1556:$O1575),3),"")</f>
        <v/>
      </c>
      <c r="MT1556" s="42" t="str">
        <f t="array" aca="1" ref="MT1556" ca="1">IFERROR(INDEX(nombres[],SMALL(IF(OFFSET(nombres[],0,0,ROWS(nombres[]),1)=MT$1490,ROW(OFFSET(nombres[],0,0,ROWS(nombres[]),1))-ROW(OFFSET(nombres[],0,0,1,1))+1,ROW(OFFSET(nombres[],ROWS(nombres[])-1,0,1,1))+1),$O1556:$O1575),3),"")</f>
        <v/>
      </c>
      <c r="MU1556" s="42" t="str">
        <f t="array" aca="1" ref="MU1556" ca="1">IFERROR(INDEX(nombres[],SMALL(IF(OFFSET(nombres[],0,0,ROWS(nombres[]),1)=MU$1490,ROW(OFFSET(nombres[],0,0,ROWS(nombres[]),1))-ROW(OFFSET(nombres[],0,0,1,1))+1,ROW(OFFSET(nombres[],ROWS(nombres[])-1,0,1,1))+1),$O1556:$O1575),3),"")</f>
        <v/>
      </c>
      <c r="MV1556" s="42" t="str">
        <f t="array" aca="1" ref="MV1556" ca="1">IFERROR(INDEX(nombres[],SMALL(IF(OFFSET(nombres[],0,0,ROWS(nombres[]),1)=MV$1490,ROW(OFFSET(nombres[],0,0,ROWS(nombres[]),1))-ROW(OFFSET(nombres[],0,0,1,1))+1,ROW(OFFSET(nombres[],ROWS(nombres[])-1,0,1,1))+1),$O1556:$O1575),3),"")</f>
        <v/>
      </c>
      <c r="MW1556" s="42" t="str">
        <f t="array" aca="1" ref="MW1556" ca="1">IFERROR(INDEX(nombres[],SMALL(IF(OFFSET(nombres[],0,0,ROWS(nombres[]),1)=MW$1490,ROW(OFFSET(nombres[],0,0,ROWS(nombres[]),1))-ROW(OFFSET(nombres[],0,0,1,1))+1,ROW(OFFSET(nombres[],ROWS(nombres[])-1,0,1,1))+1),$O1556:$O1575),3),"")</f>
        <v/>
      </c>
      <c r="MX1556" s="42" t="str">
        <f t="array" aca="1" ref="MX1556" ca="1">IFERROR(INDEX(nombres[],SMALL(IF(OFFSET(nombres[],0,0,ROWS(nombres[]),1)=MX$1490,ROW(OFFSET(nombres[],0,0,ROWS(nombres[]),1))-ROW(OFFSET(nombres[],0,0,1,1))+1,ROW(OFFSET(nombres[],ROWS(nombres[])-1,0,1,1))+1),$O1556:$O1575),3),"")</f>
        <v/>
      </c>
      <c r="MY1556" s="42" t="str">
        <f t="array" aca="1" ref="MY1556" ca="1">IFERROR(INDEX(nombres[],SMALL(IF(OFFSET(nombres[],0,0,ROWS(nombres[]),1)=MY$1490,ROW(OFFSET(nombres[],0,0,ROWS(nombres[]),1))-ROW(OFFSET(nombres[],0,0,1,1))+1,ROW(OFFSET(nombres[],ROWS(nombres[])-1,0,1,1))+1),$O1556:$O1575),3),"")</f>
        <v/>
      </c>
      <c r="MZ1556" s="42" t="str">
        <f t="array" aca="1" ref="MZ1556" ca="1">IFERROR(INDEX(nombres[],SMALL(IF(OFFSET(nombres[],0,0,ROWS(nombres[]),1)=MZ$1490,ROW(OFFSET(nombres[],0,0,ROWS(nombres[]),1))-ROW(OFFSET(nombres[],0,0,1,1))+1,ROW(OFFSET(nombres[],ROWS(nombres[])-1,0,1,1))+1),$O1556:$O1575),3),"")</f>
        <v/>
      </c>
      <c r="NA1556" s="42" t="str">
        <f t="array" aca="1" ref="NA1556" ca="1">IFERROR(INDEX(nombres[],SMALL(IF(OFFSET(nombres[],0,0,ROWS(nombres[]),1)=NA$1490,ROW(OFFSET(nombres[],0,0,ROWS(nombres[]),1))-ROW(OFFSET(nombres[],0,0,1,1))+1,ROW(OFFSET(nombres[],ROWS(nombres[])-1,0,1,1))+1),$O1556:$O1575),3),"")</f>
        <v/>
      </c>
      <c r="NB1556" s="42" t="str">
        <f t="array" aca="1" ref="NB1556" ca="1">IFERROR(INDEX(nombres[],SMALL(IF(OFFSET(nombres[],0,0,ROWS(nombres[]),1)=NB$1490,ROW(OFFSET(nombres[],0,0,ROWS(nombres[]),1))-ROW(OFFSET(nombres[],0,0,1,1))+1,ROW(OFFSET(nombres[],ROWS(nombres[])-1,0,1,1))+1),$O1556:$O1575),3),"")</f>
        <v/>
      </c>
      <c r="NC1556" s="42" t="str">
        <f t="array" aca="1" ref="NC1556" ca="1">IFERROR(INDEX(nombres[],SMALL(IF(OFFSET(nombres[],0,0,ROWS(nombres[]),1)=NC$1490,ROW(OFFSET(nombres[],0,0,ROWS(nombres[]),1))-ROW(OFFSET(nombres[],0,0,1,1))+1,ROW(OFFSET(nombres[],ROWS(nombres[])-1,0,1,1))+1),$O1556:$O1575),3),"")</f>
        <v/>
      </c>
      <c r="ND1556" s="42" t="str">
        <f t="array" aca="1" ref="ND1556" ca="1">IFERROR(INDEX(nombres[],SMALL(IF(OFFSET(nombres[],0,0,ROWS(nombres[]),1)=ND$1490,ROW(OFFSET(nombres[],0,0,ROWS(nombres[]),1))-ROW(OFFSET(nombres[],0,0,1,1))+1,ROW(OFFSET(nombres[],ROWS(nombres[])-1,0,1,1))+1),$O1556:$O1575),3),"")</f>
        <v/>
      </c>
      <c r="NE1556" s="42" t="str">
        <f t="array" aca="1" ref="NE1556" ca="1">IFERROR(INDEX(nombres[],SMALL(IF(OFFSET(nombres[],0,0,ROWS(nombres[]),1)=NE$1490,ROW(OFFSET(nombres[],0,0,ROWS(nombres[]),1))-ROW(OFFSET(nombres[],0,0,1,1))+1,ROW(OFFSET(nombres[],ROWS(nombres[])-1,0,1,1))+1),$O1556:$O1575),3),"")</f>
        <v/>
      </c>
      <c r="NF1556" s="42" t="str">
        <f t="array" aca="1" ref="NF1556" ca="1">IFERROR(INDEX(nombres[],SMALL(IF(OFFSET(nombres[],0,0,ROWS(nombres[]),1)=NF$1490,ROW(OFFSET(nombres[],0,0,ROWS(nombres[]),1))-ROW(OFFSET(nombres[],0,0,1,1))+1,ROW(OFFSET(nombres[],ROWS(nombres[])-1,0,1,1))+1),$O1556:$O1575),3),"")</f>
        <v/>
      </c>
      <c r="NG1556" s="42" t="str">
        <f t="array" aca="1" ref="NG1556" ca="1">IFERROR(INDEX(nombres[],SMALL(IF(OFFSET(nombres[],0,0,ROWS(nombres[]),1)=NG$1490,ROW(OFFSET(nombres[],0,0,ROWS(nombres[]),1))-ROW(OFFSET(nombres[],0,0,1,1))+1,ROW(OFFSET(nombres[],ROWS(nombres[])-1,0,1,1))+1),$O1556:$O1575),3),"")</f>
        <v/>
      </c>
      <c r="NH1556" s="42" t="str">
        <f t="array" aca="1" ref="NH1556" ca="1">IFERROR(INDEX(nombres[],SMALL(IF(OFFSET(nombres[],0,0,ROWS(nombres[]),1)=NH$1490,ROW(OFFSET(nombres[],0,0,ROWS(nombres[]),1))-ROW(OFFSET(nombres[],0,0,1,1))+1,ROW(OFFSET(nombres[],ROWS(nombres[])-1,0,1,1))+1),$O1556:$O1575),3),"")</f>
        <v/>
      </c>
      <c r="NI1556" s="42" t="str">
        <f t="array" aca="1" ref="NI1556" ca="1">IFERROR(INDEX(nombres[],SMALL(IF(OFFSET(nombres[],0,0,ROWS(nombres[]),1)=NI$1490,ROW(OFFSET(nombres[],0,0,ROWS(nombres[]),1))-ROW(OFFSET(nombres[],0,0,1,1))+1,ROW(OFFSET(nombres[],ROWS(nombres[])-1,0,1,1))+1),$O1556:$O1575),3),"")</f>
        <v/>
      </c>
      <c r="NJ1556" s="42" t="str">
        <f t="array" aca="1" ref="NJ1556" ca="1">IFERROR(INDEX(nombres[],SMALL(IF(OFFSET(nombres[],0,0,ROWS(nombres[]),1)=NJ$1490,ROW(OFFSET(nombres[],0,0,ROWS(nombres[]),1))-ROW(OFFSET(nombres[],0,0,1,1))+1,ROW(OFFSET(nombres[],ROWS(nombres[])-1,0,1,1))+1),$O1556:$O1575),3),"")</f>
        <v/>
      </c>
      <c r="NK1556" s="42" t="str">
        <f t="array" aca="1" ref="NK1556" ca="1">IFERROR(INDEX(nombres[],SMALL(IF(OFFSET(nombres[],0,0,ROWS(nombres[]),1)=NK$1490,ROW(OFFSET(nombres[],0,0,ROWS(nombres[]),1))-ROW(OFFSET(nombres[],0,0,1,1))+1,ROW(OFFSET(nombres[],ROWS(nombres[])-1,0,1,1))+1),$O1556:$O1575),3),"")</f>
        <v/>
      </c>
      <c r="NL1556" s="42" t="str">
        <f t="array" aca="1" ref="NL1556" ca="1">IFERROR(INDEX(nombres[],SMALL(IF(OFFSET(nombres[],0,0,ROWS(nombres[]),1)=NL$1490,ROW(OFFSET(nombres[],0,0,ROWS(nombres[]),1))-ROW(OFFSET(nombres[],0,0,1,1))+1,ROW(OFFSET(nombres[],ROWS(nombres[])-1,0,1,1))+1),$O1556:$O1575),3),"")</f>
        <v/>
      </c>
      <c r="NM1556" s="42" t="str">
        <f t="array" aca="1" ref="NM1556" ca="1">IFERROR(INDEX(nombres[],SMALL(IF(OFFSET(nombres[],0,0,ROWS(nombres[]),1)=NM$1490,ROW(OFFSET(nombres[],0,0,ROWS(nombres[]),1))-ROW(OFFSET(nombres[],0,0,1,1))+1,ROW(OFFSET(nombres[],ROWS(nombres[])-1,0,1,1))+1),$O1556:$O1575),3),"")</f>
        <v/>
      </c>
      <c r="NN1556" s="42" t="str">
        <f t="array" aca="1" ref="NN1556" ca="1">IFERROR(INDEX(nombres[],SMALL(IF(OFFSET(nombres[],0,0,ROWS(nombres[]),1)=NN$1490,ROW(OFFSET(nombres[],0,0,ROWS(nombres[]),1))-ROW(OFFSET(nombres[],0,0,1,1))+1,ROW(OFFSET(nombres[],ROWS(nombres[])-1,0,1,1))+1),$O1556:$O1575),3),"")</f>
        <v/>
      </c>
      <c r="NO1556" s="42" t="str">
        <f t="array" aca="1" ref="NO1556" ca="1">IFERROR(INDEX(nombres[],SMALL(IF(OFFSET(nombres[],0,0,ROWS(nombres[]),1)=NO$1490,ROW(OFFSET(nombres[],0,0,ROWS(nombres[]),1))-ROW(OFFSET(nombres[],0,0,1,1))+1,ROW(OFFSET(nombres[],ROWS(nombres[])-1,0,1,1))+1),$O1556:$O1575),3),"")</f>
        <v/>
      </c>
      <c r="NP1556" s="42" t="str">
        <f t="array" aca="1" ref="NP1556" ca="1">IFERROR(INDEX(nombres[],SMALL(IF(OFFSET(nombres[],0,0,ROWS(nombres[]),1)=NP$1490,ROW(OFFSET(nombres[],0,0,ROWS(nombres[]),1))-ROW(OFFSET(nombres[],0,0,1,1))+1,ROW(OFFSET(nombres[],ROWS(nombres[])-1,0,1,1))+1),$O1556:$O1575),3),"")</f>
        <v/>
      </c>
      <c r="NQ1556" s="42" t="str">
        <f t="array" aca="1" ref="NQ1556" ca="1">IFERROR(INDEX(nombres[],SMALL(IF(OFFSET(nombres[],0,0,ROWS(nombres[]),1)=NQ$1490,ROW(OFFSET(nombres[],0,0,ROWS(nombres[]),1))-ROW(OFFSET(nombres[],0,0,1,1))+1,ROW(OFFSET(nombres[],ROWS(nombres[])-1,0,1,1))+1),$O1556:$O1575),3),"")</f>
        <v/>
      </c>
      <c r="NR1556" s="42" t="str">
        <f t="array" aca="1" ref="NR1556" ca="1">IFERROR(INDEX(nombres[],SMALL(IF(OFFSET(nombres[],0,0,ROWS(nombres[]),1)=NR$1490,ROW(OFFSET(nombres[],0,0,ROWS(nombres[]),1))-ROW(OFFSET(nombres[],0,0,1,1))+1,ROW(OFFSET(nombres[],ROWS(nombres[])-1,0,1,1))+1),$O1556:$O1575),3),"")</f>
        <v/>
      </c>
      <c r="NS1556" s="42" t="str">
        <f t="array" aca="1" ref="NS1556" ca="1">IFERROR(INDEX(nombres[],SMALL(IF(OFFSET(nombres[],0,0,ROWS(nombres[]),1)=NS$1490,ROW(OFFSET(nombres[],0,0,ROWS(nombres[]),1))-ROW(OFFSET(nombres[],0,0,1,1))+1,ROW(OFFSET(nombres[],ROWS(nombres[])-1,0,1,1))+1),$O1556:$O1575),3),"")</f>
        <v/>
      </c>
      <c r="NT1556" s="42" t="str">
        <f t="array" aca="1" ref="NT1556" ca="1">IFERROR(INDEX(nombres[],SMALL(IF(OFFSET(nombres[],0,0,ROWS(nombres[]),1)=NT$1490,ROW(OFFSET(nombres[],0,0,ROWS(nombres[]),1))-ROW(OFFSET(nombres[],0,0,1,1))+1,ROW(OFFSET(nombres[],ROWS(nombres[])-1,0,1,1))+1),$O1556:$O1575),3),"")</f>
        <v/>
      </c>
      <c r="NU1556" s="42" t="str">
        <f t="array" aca="1" ref="NU1556" ca="1">IFERROR(INDEX(nombres[],SMALL(IF(OFFSET(nombres[],0,0,ROWS(nombres[]),1)=NU$1490,ROW(OFFSET(nombres[],0,0,ROWS(nombres[]),1))-ROW(OFFSET(nombres[],0,0,1,1))+1,ROW(OFFSET(nombres[],ROWS(nombres[])-1,0,1,1))+1),$O1556:$O1575),3),"")</f>
        <v/>
      </c>
      <c r="NV1556" s="42" t="str">
        <f t="array" aca="1" ref="NV1556" ca="1">IFERROR(INDEX(nombres[],SMALL(IF(OFFSET(nombres[],0,0,ROWS(nombres[]),1)=NV$1490,ROW(OFFSET(nombres[],0,0,ROWS(nombres[]),1))-ROW(OFFSET(nombres[],0,0,1,1))+1,ROW(OFFSET(nombres[],ROWS(nombres[])-1,0,1,1))+1),$O1556:$O1575),3),"")</f>
        <v/>
      </c>
      <c r="NW1556" s="42" t="str">
        <f t="array" aca="1" ref="NW1556" ca="1">IFERROR(INDEX(nombres[],SMALL(IF(OFFSET(nombres[],0,0,ROWS(nombres[]),1)=NW$1490,ROW(OFFSET(nombres[],0,0,ROWS(nombres[]),1))-ROW(OFFSET(nombres[],0,0,1,1))+1,ROW(OFFSET(nombres[],ROWS(nombres[])-1,0,1,1))+1),$O1556:$O1575),3),"")</f>
        <v/>
      </c>
      <c r="NX1556" s="42" t="str">
        <f t="array" aca="1" ref="NX1556" ca="1">IFERROR(INDEX(nombres[],SMALL(IF(OFFSET(nombres[],0,0,ROWS(nombres[]),1)=NX$1490,ROW(OFFSET(nombres[],0,0,ROWS(nombres[]),1))-ROW(OFFSET(nombres[],0,0,1,1))+1,ROW(OFFSET(nombres[],ROWS(nombres[])-1,0,1,1))+1),$O1556:$O1575),3),"")</f>
        <v/>
      </c>
      <c r="NY1556" s="42" t="str">
        <f t="array" aca="1" ref="NY1556" ca="1">IFERROR(INDEX(nombres[],SMALL(IF(OFFSET(nombres[],0,0,ROWS(nombres[]),1)=NY$1490,ROW(OFFSET(nombres[],0,0,ROWS(nombres[]),1))-ROW(OFFSET(nombres[],0,0,1,1))+1,ROW(OFFSET(nombres[],ROWS(nombres[])-1,0,1,1))+1),$O1556:$O1575),3),"")</f>
        <v/>
      </c>
      <c r="NZ1556" s="42" t="str">
        <f t="array" aca="1" ref="NZ1556" ca="1">IFERROR(INDEX(nombres[],SMALL(IF(OFFSET(nombres[],0,0,ROWS(nombres[]),1)=NZ$1490,ROW(OFFSET(nombres[],0,0,ROWS(nombres[]),1))-ROW(OFFSET(nombres[],0,0,1,1))+1,ROW(OFFSET(nombres[],ROWS(nombres[])-1,0,1,1))+1),$O1556:$O1575),3),"")</f>
        <v/>
      </c>
      <c r="OA1556" s="42" t="str">
        <f t="array" aca="1" ref="OA1556" ca="1">IFERROR(INDEX(nombres[],SMALL(IF(OFFSET(nombres[],0,0,ROWS(nombres[]),1)=OA$1490,ROW(OFFSET(nombres[],0,0,ROWS(nombres[]),1))-ROW(OFFSET(nombres[],0,0,1,1))+1,ROW(OFFSET(nombres[],ROWS(nombres[])-1,0,1,1))+1),$O1556:$O1575),3),"")</f>
        <v/>
      </c>
      <c r="OB1556" s="42" t="str">
        <f t="array" aca="1" ref="OB1556" ca="1">IFERROR(INDEX(nombres[],SMALL(IF(OFFSET(nombres[],0,0,ROWS(nombres[]),1)=OB$1490,ROW(OFFSET(nombres[],0,0,ROWS(nombres[]),1))-ROW(OFFSET(nombres[],0,0,1,1))+1,ROW(OFFSET(nombres[],ROWS(nombres[])-1,0,1,1))+1),$O1556:$O1575),3),"")</f>
        <v/>
      </c>
      <c r="OC1556" s="42" t="str">
        <f t="array" aca="1" ref="OC1556" ca="1">IFERROR(INDEX(nombres[],SMALL(IF(OFFSET(nombres[],0,0,ROWS(nombres[]),1)=OC$1490,ROW(OFFSET(nombres[],0,0,ROWS(nombres[]),1))-ROW(OFFSET(nombres[],0,0,1,1))+1,ROW(OFFSET(nombres[],ROWS(nombres[])-1,0,1,1))+1),$O1556:$O1575),3),"")</f>
        <v/>
      </c>
      <c r="OD1556" s="42" t="str">
        <f t="array" aca="1" ref="OD1556" ca="1">IFERROR(INDEX(nombres[],SMALL(IF(OFFSET(nombres[],0,0,ROWS(nombres[]),1)=OD$1490,ROW(OFFSET(nombres[],0,0,ROWS(nombres[]),1))-ROW(OFFSET(nombres[],0,0,1,1))+1,ROW(OFFSET(nombres[],ROWS(nombres[])-1,0,1,1))+1),$O1556:$O1575),3),"")</f>
        <v/>
      </c>
      <c r="OE1556" s="42" t="str">
        <f t="array" aca="1" ref="OE1556" ca="1">IFERROR(INDEX(nombres[],SMALL(IF(OFFSET(nombres[],0,0,ROWS(nombres[]),1)=OE$1490,ROW(OFFSET(nombres[],0,0,ROWS(nombres[]),1))-ROW(OFFSET(nombres[],0,0,1,1))+1,ROW(OFFSET(nombres[],ROWS(nombres[])-1,0,1,1))+1),$O1556:$O1575),3),"")</f>
        <v/>
      </c>
      <c r="OF1556" s="42" t="str">
        <f t="array" aca="1" ref="OF1556" ca="1">IFERROR(INDEX(nombres[],SMALL(IF(OFFSET(nombres[],0,0,ROWS(nombres[]),1)=OF$1490,ROW(OFFSET(nombres[],0,0,ROWS(nombres[]),1))-ROW(OFFSET(nombres[],0,0,1,1))+1,ROW(OFFSET(nombres[],ROWS(nombres[])-1,0,1,1))+1),$O1556:$O1575),3),"")</f>
        <v/>
      </c>
      <c r="OG1556" s="42" t="str">
        <f t="array" aca="1" ref="OG1556" ca="1">IFERROR(INDEX(nombres[],SMALL(IF(OFFSET(nombres[],0,0,ROWS(nombres[]),1)=OG$1490,ROW(OFFSET(nombres[],0,0,ROWS(nombres[]),1))-ROW(OFFSET(nombres[],0,0,1,1))+1,ROW(OFFSET(nombres[],ROWS(nombres[])-1,0,1,1))+1),$O1556:$O1575),3),"")</f>
        <v/>
      </c>
      <c r="OH1556" s="42" t="str">
        <f t="array" aca="1" ref="OH1556" ca="1">IFERROR(INDEX(nombres[],SMALL(IF(OFFSET(nombres[],0,0,ROWS(nombres[]),1)=OH$1490,ROW(OFFSET(nombres[],0,0,ROWS(nombres[]),1))-ROW(OFFSET(nombres[],0,0,1,1))+1,ROW(OFFSET(nombres[],ROWS(nombres[])-1,0,1,1))+1),$O1556:$O1575),3),"")</f>
        <v/>
      </c>
      <c r="OI1556" s="42" t="str">
        <f t="array" aca="1" ref="OI1556" ca="1">IFERROR(INDEX(nombres[],SMALL(IF(OFFSET(nombres[],0,0,ROWS(nombres[]),1)=OI$1490,ROW(OFFSET(nombres[],0,0,ROWS(nombres[]),1))-ROW(OFFSET(nombres[],0,0,1,1))+1,ROW(OFFSET(nombres[],ROWS(nombres[])-1,0,1,1))+1),$O1556:$O1575),3),"")</f>
        <v/>
      </c>
      <c r="OJ1556" s="42" t="str">
        <f t="array" aca="1" ref="OJ1556" ca="1">IFERROR(INDEX(nombres[],SMALL(IF(OFFSET(nombres[],0,0,ROWS(nombres[]),1)=OJ$1490,ROW(OFFSET(nombres[],0,0,ROWS(nombres[]),1))-ROW(OFFSET(nombres[],0,0,1,1))+1,ROW(OFFSET(nombres[],ROWS(nombres[])-1,0,1,1))+1),$O1556:$O1575),3),"")</f>
        <v/>
      </c>
      <c r="OK1556" s="42" t="str">
        <f t="array" aca="1" ref="OK1556" ca="1">IFERROR(INDEX(nombres[],SMALL(IF(OFFSET(nombres[],0,0,ROWS(nombres[]),1)=OK$1490,ROW(OFFSET(nombres[],0,0,ROWS(nombres[]),1))-ROW(OFFSET(nombres[],0,0,1,1))+1,ROW(OFFSET(nombres[],ROWS(nombres[])-1,0,1,1))+1),$O1556:$O1575),3),"")</f>
        <v/>
      </c>
      <c r="OL1556" s="42" t="str">
        <f t="array" aca="1" ref="OL1556" ca="1">IFERROR(INDEX(nombres[],SMALL(IF(OFFSET(nombres[],0,0,ROWS(nombres[]),1)=OL$1490,ROW(OFFSET(nombres[],0,0,ROWS(nombres[]),1))-ROW(OFFSET(nombres[],0,0,1,1))+1,ROW(OFFSET(nombres[],ROWS(nombres[])-1,0,1,1))+1),$O1556:$O1575),3),"")</f>
        <v/>
      </c>
      <c r="OM1556" s="42" t="str">
        <f t="array" aca="1" ref="OM1556" ca="1">IFERROR(INDEX(nombres[],SMALL(IF(OFFSET(nombres[],0,0,ROWS(nombres[]),1)=OM$1490,ROW(OFFSET(nombres[],0,0,ROWS(nombres[]),1))-ROW(OFFSET(nombres[],0,0,1,1))+1,ROW(OFFSET(nombres[],ROWS(nombres[])-1,0,1,1))+1),$O1556:$O1575),3),"")</f>
        <v/>
      </c>
      <c r="ON1556" s="42" t="str">
        <f t="array" aca="1" ref="ON1556" ca="1">IFERROR(INDEX(nombres[],SMALL(IF(OFFSET(nombres[],0,0,ROWS(nombres[]),1)=ON$1490,ROW(OFFSET(nombres[],0,0,ROWS(nombres[]),1))-ROW(OFFSET(nombres[],0,0,1,1))+1,ROW(OFFSET(nombres[],ROWS(nombres[])-1,0,1,1))+1),$O1556:$O1575),3),"")</f>
        <v/>
      </c>
      <c r="OO1556" s="42" t="str">
        <f t="array" aca="1" ref="OO1556" ca="1">IFERROR(INDEX(nombres[],SMALL(IF(OFFSET(nombres[],0,0,ROWS(nombres[]),1)=OO$1490,ROW(OFFSET(nombres[],0,0,ROWS(nombres[]),1))-ROW(OFFSET(nombres[],0,0,1,1))+1,ROW(OFFSET(nombres[],ROWS(nombres[])-1,0,1,1))+1),$O1556:$O1575),3),"")</f>
        <v/>
      </c>
      <c r="OP1556" s="42" t="str">
        <f t="array" aca="1" ref="OP1556" ca="1">IFERROR(INDEX(nombres[],SMALL(IF(OFFSET(nombres[],0,0,ROWS(nombres[]),1)=OP$1490,ROW(OFFSET(nombres[],0,0,ROWS(nombres[]),1))-ROW(OFFSET(nombres[],0,0,1,1))+1,ROW(OFFSET(nombres[],ROWS(nombres[])-1,0,1,1))+1),$O1556:$O1575),3),"")</f>
        <v/>
      </c>
      <c r="OQ1556" s="42" t="str">
        <f t="array" aca="1" ref="OQ1556" ca="1">IFERROR(INDEX(nombres[],SMALL(IF(OFFSET(nombres[],0,0,ROWS(nombres[]),1)=OQ$1490,ROW(OFFSET(nombres[],0,0,ROWS(nombres[]),1))-ROW(OFFSET(nombres[],0,0,1,1))+1,ROW(OFFSET(nombres[],ROWS(nombres[])-1,0,1,1))+1),$O1556:$O1575),3),"")</f>
        <v/>
      </c>
      <c r="OR1556" s="42" t="str">
        <f t="array" aca="1" ref="OR1556" ca="1">IFERROR(INDEX(nombres[],SMALL(IF(OFFSET(nombres[],0,0,ROWS(nombres[]),1)=OR$1490,ROW(OFFSET(nombres[],0,0,ROWS(nombres[]),1))-ROW(OFFSET(nombres[],0,0,1,1))+1,ROW(OFFSET(nombres[],ROWS(nombres[])-1,0,1,1))+1),$O1556:$O1575),3),"")</f>
        <v/>
      </c>
      <c r="OS1556" s="42" t="str">
        <f t="array" aca="1" ref="OS1556" ca="1">IFERROR(INDEX(nombres[],SMALL(IF(OFFSET(nombres[],0,0,ROWS(nombres[]),1)=OS$1490,ROW(OFFSET(nombres[],0,0,ROWS(nombres[]),1))-ROW(OFFSET(nombres[],0,0,1,1))+1,ROW(OFFSET(nombres[],ROWS(nombres[])-1,0,1,1))+1),$O1556:$O1575),3),"")</f>
        <v/>
      </c>
      <c r="OT1556" s="42" t="str">
        <f t="array" aca="1" ref="OT1556" ca="1">IFERROR(INDEX(nombres[],SMALL(IF(OFFSET(nombres[],0,0,ROWS(nombres[]),1)=OT$1490,ROW(OFFSET(nombres[],0,0,ROWS(nombres[]),1))-ROW(OFFSET(nombres[],0,0,1,1))+1,ROW(OFFSET(nombres[],ROWS(nombres[])-1,0,1,1))+1),$O1556:$O1575),3),"")</f>
        <v/>
      </c>
      <c r="OU1556" s="42" t="str">
        <f t="array" aca="1" ref="OU1556" ca="1">IFERROR(INDEX(nombres[],SMALL(IF(OFFSET(nombres[],0,0,ROWS(nombres[]),1)=OU$1490,ROW(OFFSET(nombres[],0,0,ROWS(nombres[]),1))-ROW(OFFSET(nombres[],0,0,1,1))+1,ROW(OFFSET(nombres[],ROWS(nombres[])-1,0,1,1))+1),$O1556:$O1575),3),"")</f>
        <v/>
      </c>
      <c r="OV1556" s="42" t="str">
        <f t="array" aca="1" ref="OV1556" ca="1">IFERROR(INDEX(nombres[],SMALL(IF(OFFSET(nombres[],0,0,ROWS(nombres[]),1)=OV$1490,ROW(OFFSET(nombres[],0,0,ROWS(nombres[]),1))-ROW(OFFSET(nombres[],0,0,1,1))+1,ROW(OFFSET(nombres[],ROWS(nombres[])-1,0,1,1))+1),$O1556:$O1575),3),"")</f>
        <v/>
      </c>
      <c r="OW1556" s="42" t="str">
        <f t="array" aca="1" ref="OW1556" ca="1">IFERROR(INDEX(nombres[],SMALL(IF(OFFSET(nombres[],0,0,ROWS(nombres[]),1)=OW$1490,ROW(OFFSET(nombres[],0,0,ROWS(nombres[]),1))-ROW(OFFSET(nombres[],0,0,1,1))+1,ROW(OFFSET(nombres[],ROWS(nombres[])-1,0,1,1))+1),$O1556:$O1575),3),"")</f>
        <v/>
      </c>
      <c r="OX1556" s="42" t="str">
        <f t="array" aca="1" ref="OX1556" ca="1">IFERROR(INDEX(nombres[],SMALL(IF(OFFSET(nombres[],0,0,ROWS(nombres[]),1)=OX$1490,ROW(OFFSET(nombres[],0,0,ROWS(nombres[]),1))-ROW(OFFSET(nombres[],0,0,1,1))+1,ROW(OFFSET(nombres[],ROWS(nombres[])-1,0,1,1))+1),$O1556:$O1575),3),"")</f>
        <v/>
      </c>
      <c r="OY1556" s="42" t="str">
        <f t="array" aca="1" ref="OY1556" ca="1">IFERROR(INDEX(nombres[],SMALL(IF(OFFSET(nombres[],0,0,ROWS(nombres[]),1)=OY$1490,ROW(OFFSET(nombres[],0,0,ROWS(nombres[]),1))-ROW(OFFSET(nombres[],0,0,1,1))+1,ROW(OFFSET(nombres[],ROWS(nombres[])-1,0,1,1))+1),$O1556:$O1575),3),"")</f>
        <v/>
      </c>
      <c r="OZ1556" s="42" t="str">
        <f t="array" aca="1" ref="OZ1556" ca="1">IFERROR(INDEX(nombres[],SMALL(IF(OFFSET(nombres[],0,0,ROWS(nombres[]),1)=OZ$1490,ROW(OFFSET(nombres[],0,0,ROWS(nombres[]),1))-ROW(OFFSET(nombres[],0,0,1,1))+1,ROW(OFFSET(nombres[],ROWS(nombres[])-1,0,1,1))+1),$O1556:$O1575),3),"")</f>
        <v/>
      </c>
      <c r="PA1556" s="42" t="str">
        <f t="array" aca="1" ref="PA1556" ca="1">IFERROR(INDEX(nombres[],SMALL(IF(OFFSET(nombres[],0,0,ROWS(nombres[]),1)=PA$1490,ROW(OFFSET(nombres[],0,0,ROWS(nombres[]),1))-ROW(OFFSET(nombres[],0,0,1,1))+1,ROW(OFFSET(nombres[],ROWS(nombres[])-1,0,1,1))+1),$O1556:$O1575),3),"")</f>
        <v/>
      </c>
      <c r="PB1556" s="42" t="str">
        <f t="array" aca="1" ref="PB1556" ca="1">IFERROR(INDEX(nombres[],SMALL(IF(OFFSET(nombres[],0,0,ROWS(nombres[]),1)=PB$1490,ROW(OFFSET(nombres[],0,0,ROWS(nombres[]),1))-ROW(OFFSET(nombres[],0,0,1,1))+1,ROW(OFFSET(nombres[],ROWS(nombres[])-1,0,1,1))+1),$O1556:$O1575),3),"")</f>
        <v/>
      </c>
      <c r="PC1556" s="42" t="str">
        <f t="array" aca="1" ref="PC1556" ca="1">IFERROR(INDEX(nombres[],SMALL(IF(OFFSET(nombres[],0,0,ROWS(nombres[]),1)=PC$1490,ROW(OFFSET(nombres[],0,0,ROWS(nombres[]),1))-ROW(OFFSET(nombres[],0,0,1,1))+1,ROW(OFFSET(nombres[],ROWS(nombres[])-1,0,1,1))+1),$O1556:$O1575),3),"")</f>
        <v/>
      </c>
      <c r="PD1556" s="42" t="str">
        <f t="array" aca="1" ref="PD1556" ca="1">IFERROR(INDEX(nombres[],SMALL(IF(OFFSET(nombres[],0,0,ROWS(nombres[]),1)=PD$1490,ROW(OFFSET(nombres[],0,0,ROWS(nombres[]),1))-ROW(OFFSET(nombres[],0,0,1,1))+1,ROW(OFFSET(nombres[],ROWS(nombres[])-1,0,1,1))+1),$O1556:$O1575),3),"")</f>
        <v/>
      </c>
      <c r="PE1556" s="42" t="str">
        <f t="array" aca="1" ref="PE1556" ca="1">IFERROR(INDEX(nombres[],SMALL(IF(OFFSET(nombres[],0,0,ROWS(nombres[]),1)=PE$1490,ROW(OFFSET(nombres[],0,0,ROWS(nombres[]),1))-ROW(OFFSET(nombres[],0,0,1,1))+1,ROW(OFFSET(nombres[],ROWS(nombres[])-1,0,1,1))+1),$O1556:$O1575),3),"")</f>
        <v/>
      </c>
      <c r="PF1556" s="42" t="str">
        <f t="array" aca="1" ref="PF1556" ca="1">IFERROR(INDEX(nombres[],SMALL(IF(OFFSET(nombres[],0,0,ROWS(nombres[]),1)=PF$1490,ROW(OFFSET(nombres[],0,0,ROWS(nombres[]),1))-ROW(OFFSET(nombres[],0,0,1,1))+1,ROW(OFFSET(nombres[],ROWS(nombres[])-1,0,1,1))+1),$O1556:$O1575),3),"")</f>
        <v/>
      </c>
      <c r="PG1556" s="42" t="str">
        <f t="array" aca="1" ref="PG1556" ca="1">IFERROR(INDEX(nombres[],SMALL(IF(OFFSET(nombres[],0,0,ROWS(nombres[]),1)=PG$1490,ROW(OFFSET(nombres[],0,0,ROWS(nombres[]),1))-ROW(OFFSET(nombres[],0,0,1,1))+1,ROW(OFFSET(nombres[],ROWS(nombres[])-1,0,1,1))+1),$O1556:$O1575),3),"")</f>
        <v/>
      </c>
      <c r="PH1556" s="42" t="str">
        <f t="array" aca="1" ref="PH1556" ca="1">IFERROR(INDEX(nombres[],SMALL(IF(OFFSET(nombres[],0,0,ROWS(nombres[]),1)=PH$1490,ROW(OFFSET(nombres[],0,0,ROWS(nombres[]),1))-ROW(OFFSET(nombres[],0,0,1,1))+1,ROW(OFFSET(nombres[],ROWS(nombres[])-1,0,1,1))+1),$O1556:$O1575),3),"")</f>
        <v/>
      </c>
      <c r="PI1556" s="42" t="str">
        <f t="array" aca="1" ref="PI1556" ca="1">IFERROR(INDEX(nombres[],SMALL(IF(OFFSET(nombres[],0,0,ROWS(nombres[]),1)=PI$1490,ROW(OFFSET(nombres[],0,0,ROWS(nombres[]),1))-ROW(OFFSET(nombres[],0,0,1,1))+1,ROW(OFFSET(nombres[],ROWS(nombres[])-1,0,1,1))+1),$O1556:$O1575),3),"")</f>
        <v/>
      </c>
      <c r="PJ1556" s="42" t="str">
        <f t="array" aca="1" ref="PJ1556" ca="1">IFERROR(INDEX(nombres[],SMALL(IF(OFFSET(nombres[],0,0,ROWS(nombres[]),1)=PJ$1490,ROW(OFFSET(nombres[],0,0,ROWS(nombres[]),1))-ROW(OFFSET(nombres[],0,0,1,1))+1,ROW(OFFSET(nombres[],ROWS(nombres[])-1,0,1,1))+1),$O1556:$O1575),3),"")</f>
        <v/>
      </c>
      <c r="PK1556" s="42" t="str">
        <f t="array" aca="1" ref="PK1556" ca="1">IFERROR(INDEX(nombres[],SMALL(IF(OFFSET(nombres[],0,0,ROWS(nombres[]),1)=PK$1490,ROW(OFFSET(nombres[],0,0,ROWS(nombres[]),1))-ROW(OFFSET(nombres[],0,0,1,1))+1,ROW(OFFSET(nombres[],ROWS(nombres[])-1,0,1,1))+1),$O1556:$O1575),3),"")</f>
        <v/>
      </c>
      <c r="PL1556" s="42" t="str">
        <f t="array" aca="1" ref="PL1556" ca="1">IFERROR(INDEX(nombres[],SMALL(IF(OFFSET(nombres[],0,0,ROWS(nombres[]),1)=PL$1490,ROW(OFFSET(nombres[],0,0,ROWS(nombres[]),1))-ROW(OFFSET(nombres[],0,0,1,1))+1,ROW(OFFSET(nombres[],ROWS(nombres[])-1,0,1,1))+1),$O1556:$O1575),3),"")</f>
        <v/>
      </c>
      <c r="PM1556" s="42" t="str">
        <f t="array" aca="1" ref="PM1556" ca="1">IFERROR(INDEX(nombres[],SMALL(IF(OFFSET(nombres[],0,0,ROWS(nombres[]),1)=PM$1490,ROW(OFFSET(nombres[],0,0,ROWS(nombres[]),1))-ROW(OFFSET(nombres[],0,0,1,1))+1,ROW(OFFSET(nombres[],ROWS(nombres[])-1,0,1,1))+1),$O1556:$O1575),3),"")</f>
        <v/>
      </c>
      <c r="PN1556" s="42" t="str">
        <f t="array" aca="1" ref="PN1556" ca="1">IFERROR(INDEX(nombres[],SMALL(IF(OFFSET(nombres[],0,0,ROWS(nombres[]),1)=PN$1490,ROW(OFFSET(nombres[],0,0,ROWS(nombres[]),1))-ROW(OFFSET(nombres[],0,0,1,1))+1,ROW(OFFSET(nombres[],ROWS(nombres[])-1,0,1,1))+1),$O1556:$O1575),3),"")</f>
        <v/>
      </c>
      <c r="PO1556" s="42" t="str">
        <f t="array" aca="1" ref="PO1556" ca="1">IFERROR(INDEX(nombres[],SMALL(IF(OFFSET(nombres[],0,0,ROWS(nombres[]),1)=PO$1490,ROW(OFFSET(nombres[],0,0,ROWS(nombres[]),1))-ROW(OFFSET(nombres[],0,0,1,1))+1,ROW(OFFSET(nombres[],ROWS(nombres[])-1,0,1,1))+1),$O1556:$O1575),3),"")</f>
        <v/>
      </c>
      <c r="PP1556" s="42" t="str">
        <f t="array" aca="1" ref="PP1556" ca="1">IFERROR(INDEX(nombres[],SMALL(IF(OFFSET(nombres[],0,0,ROWS(nombres[]),1)=PP$1490,ROW(OFFSET(nombres[],0,0,ROWS(nombres[]),1))-ROW(OFFSET(nombres[],0,0,1,1))+1,ROW(OFFSET(nombres[],ROWS(nombres[])-1,0,1,1))+1),$O1556:$O1575),3),"")</f>
        <v/>
      </c>
      <c r="PQ1556" s="42" t="str">
        <f t="array" aca="1" ref="PQ1556" ca="1">IFERROR(INDEX(nombres[],SMALL(IF(OFFSET(nombres[],0,0,ROWS(nombres[]),1)=PQ$1490,ROW(OFFSET(nombres[],0,0,ROWS(nombres[]),1))-ROW(OFFSET(nombres[],0,0,1,1))+1,ROW(OFFSET(nombres[],ROWS(nombres[])-1,0,1,1))+1),$O1556:$O1575),3),"")</f>
        <v/>
      </c>
      <c r="PR1556" s="42" t="str">
        <f t="array" aca="1" ref="PR1556" ca="1">IFERROR(INDEX(nombres[],SMALL(IF(OFFSET(nombres[],0,0,ROWS(nombres[]),1)=PR$1490,ROW(OFFSET(nombres[],0,0,ROWS(nombres[]),1))-ROW(OFFSET(nombres[],0,0,1,1))+1,ROW(OFFSET(nombres[],ROWS(nombres[])-1,0,1,1))+1),$O1556:$O1575),3),"")</f>
        <v/>
      </c>
      <c r="PS1556" s="42" t="str">
        <f t="array" aca="1" ref="PS1556" ca="1">IFERROR(INDEX(nombres[],SMALL(IF(OFFSET(nombres[],0,0,ROWS(nombres[]),1)=PS$1490,ROW(OFFSET(nombres[],0,0,ROWS(nombres[]),1))-ROW(OFFSET(nombres[],0,0,1,1))+1,ROW(OFFSET(nombres[],ROWS(nombres[])-1,0,1,1))+1),$O1556:$O1575),3),"")</f>
        <v/>
      </c>
      <c r="PT1556" s="42" t="str">
        <f t="array" aca="1" ref="PT1556" ca="1">IFERROR(INDEX(nombres[],SMALL(IF(OFFSET(nombres[],0,0,ROWS(nombres[]),1)=PT$1490,ROW(OFFSET(nombres[],0,0,ROWS(nombres[]),1))-ROW(OFFSET(nombres[],0,0,1,1))+1,ROW(OFFSET(nombres[],ROWS(nombres[])-1,0,1,1))+1),$O1556:$O1575),3),"")</f>
        <v/>
      </c>
      <c r="PU1556" s="42" t="str">
        <f t="array" aca="1" ref="PU1556" ca="1">IFERROR(INDEX(nombres[],SMALL(IF(OFFSET(nombres[],0,0,ROWS(nombres[]),1)=PU$1490,ROW(OFFSET(nombres[],0,0,ROWS(nombres[]),1))-ROW(OFFSET(nombres[],0,0,1,1))+1,ROW(OFFSET(nombres[],ROWS(nombres[])-1,0,1,1))+1),$O1556:$O1575),3),"")</f>
        <v/>
      </c>
      <c r="PV1556" s="42" t="str">
        <f t="array" aca="1" ref="PV1556" ca="1">IFERROR(INDEX(nombres[],SMALL(IF(OFFSET(nombres[],0,0,ROWS(nombres[]),1)=PV$1490,ROW(OFFSET(nombres[],0,0,ROWS(nombres[]),1))-ROW(OFFSET(nombres[],0,0,1,1))+1,ROW(OFFSET(nombres[],ROWS(nombres[])-1,0,1,1))+1),$O1556:$O1575),3),"")</f>
        <v/>
      </c>
      <c r="PW1556" s="42" t="str">
        <f t="array" aca="1" ref="PW1556" ca="1">IFERROR(INDEX(nombres[],SMALL(IF(OFFSET(nombres[],0,0,ROWS(nombres[]),1)=PW$1490,ROW(OFFSET(nombres[],0,0,ROWS(nombres[]),1))-ROW(OFFSET(nombres[],0,0,1,1))+1,ROW(OFFSET(nombres[],ROWS(nombres[])-1,0,1,1))+1),$O1556:$O1575),3),"")</f>
        <v/>
      </c>
      <c r="PX1556" s="42" t="str">
        <f t="array" aca="1" ref="PX1556" ca="1">IFERROR(INDEX(nombres[],SMALL(IF(OFFSET(nombres[],0,0,ROWS(nombres[]),1)=PX$1490,ROW(OFFSET(nombres[],0,0,ROWS(nombres[]),1))-ROW(OFFSET(nombres[],0,0,1,1))+1,ROW(OFFSET(nombres[],ROWS(nombres[])-1,0,1,1))+1),$O1556:$O1575),3),"")</f>
        <v/>
      </c>
      <c r="PY1556" s="42" t="str">
        <f t="array" aca="1" ref="PY1556" ca="1">IFERROR(INDEX(nombres[],SMALL(IF(OFFSET(nombres[],0,0,ROWS(nombres[]),1)=PY$1490,ROW(OFFSET(nombres[],0,0,ROWS(nombres[]),1))-ROW(OFFSET(nombres[],0,0,1,1))+1,ROW(OFFSET(nombres[],ROWS(nombres[])-1,0,1,1))+1),$O1556:$O1575),3),"")</f>
        <v/>
      </c>
      <c r="PZ1556" s="42" t="str">
        <f t="array" aca="1" ref="PZ1556" ca="1">IFERROR(INDEX(nombres[],SMALL(IF(OFFSET(nombres[],0,0,ROWS(nombres[]),1)=PZ$1490,ROW(OFFSET(nombres[],0,0,ROWS(nombres[]),1))-ROW(OFFSET(nombres[],0,0,1,1))+1,ROW(OFFSET(nombres[],ROWS(nombres[])-1,0,1,1))+1),$O1556:$O1575),3),"")</f>
        <v/>
      </c>
      <c r="QA1556" s="42" t="str">
        <f t="array" aca="1" ref="QA1556" ca="1">IFERROR(INDEX(nombres[],SMALL(IF(OFFSET(nombres[],0,0,ROWS(nombres[]),1)=QA$1490,ROW(OFFSET(nombres[],0,0,ROWS(nombres[]),1))-ROW(OFFSET(nombres[],0,0,1,1))+1,ROW(OFFSET(nombres[],ROWS(nombres[])-1,0,1,1))+1),$O1556:$O1575),3),"")</f>
        <v/>
      </c>
      <c r="QB1556" s="42" t="str">
        <f t="array" aca="1" ref="QB1556" ca="1">IFERROR(INDEX(nombres[],SMALL(IF(OFFSET(nombres[],0,0,ROWS(nombres[]),1)=QB$1490,ROW(OFFSET(nombres[],0,0,ROWS(nombres[]),1))-ROW(OFFSET(nombres[],0,0,1,1))+1,ROW(OFFSET(nombres[],ROWS(nombres[])-1,0,1,1))+1),$O1556:$O1575),3),"")</f>
        <v/>
      </c>
      <c r="QC1556" s="42" t="str">
        <f t="array" aca="1" ref="QC1556" ca="1">IFERROR(INDEX(nombres[],SMALL(IF(OFFSET(nombres[],0,0,ROWS(nombres[]),1)=QC$1490,ROW(OFFSET(nombres[],0,0,ROWS(nombres[]),1))-ROW(OFFSET(nombres[],0,0,1,1))+1,ROW(OFFSET(nombres[],ROWS(nombres[])-1,0,1,1))+1),$O1556:$O1575),3),"")</f>
        <v/>
      </c>
      <c r="QD1556" s="42" t="str">
        <f t="array" aca="1" ref="QD1556" ca="1">IFERROR(INDEX(nombres[],SMALL(IF(OFFSET(nombres[],0,0,ROWS(nombres[]),1)=QD$1490,ROW(OFFSET(nombres[],0,0,ROWS(nombres[]),1))-ROW(OFFSET(nombres[],0,0,1,1))+1,ROW(OFFSET(nombres[],ROWS(nombres[])-1,0,1,1))+1),$O1556:$O1575),3),"")</f>
        <v/>
      </c>
      <c r="QE1556" s="42" t="str">
        <f t="array" aca="1" ref="QE1556" ca="1">IFERROR(INDEX(nombres[],SMALL(IF(OFFSET(nombres[],0,0,ROWS(nombres[]),1)=QE$1490,ROW(OFFSET(nombres[],0,0,ROWS(nombres[]),1))-ROW(OFFSET(nombres[],0,0,1,1))+1,ROW(OFFSET(nombres[],ROWS(nombres[])-1,0,1,1))+1),$O1556:$O1575),3),"")</f>
        <v/>
      </c>
      <c r="QF1556" s="42" t="str">
        <f t="array" aca="1" ref="QF1556" ca="1">IFERROR(INDEX(nombres[],SMALL(IF(OFFSET(nombres[],0,0,ROWS(nombres[]),1)=QF$1490,ROW(OFFSET(nombres[],0,0,ROWS(nombres[]),1))-ROW(OFFSET(nombres[],0,0,1,1))+1,ROW(OFFSET(nombres[],ROWS(nombres[])-1,0,1,1))+1),$O1556:$O1575),3),"")</f>
        <v/>
      </c>
      <c r="QG1556" s="42" t="str">
        <f t="array" aca="1" ref="QG1556" ca="1">IFERROR(INDEX(nombres[],SMALL(IF(OFFSET(nombres[],0,0,ROWS(nombres[]),1)=QG$1490,ROW(OFFSET(nombres[],0,0,ROWS(nombres[]),1))-ROW(OFFSET(nombres[],0,0,1,1))+1,ROW(OFFSET(nombres[],ROWS(nombres[])-1,0,1,1))+1),$O1556:$O1575),3),"")</f>
        <v/>
      </c>
      <c r="QH1556" s="42" t="str">
        <f t="array" aca="1" ref="QH1556" ca="1">IFERROR(INDEX(nombres[],SMALL(IF(OFFSET(nombres[],0,0,ROWS(nombres[]),1)=QH$1490,ROW(OFFSET(nombres[],0,0,ROWS(nombres[]),1))-ROW(OFFSET(nombres[],0,0,1,1))+1,ROW(OFFSET(nombres[],ROWS(nombres[])-1,0,1,1))+1),$O1556:$O1575),3),"")</f>
        <v/>
      </c>
      <c r="QI1556" s="42" t="str">
        <f t="array" aca="1" ref="QI1556" ca="1">IFERROR(INDEX(nombres[],SMALL(IF(OFFSET(nombres[],0,0,ROWS(nombres[]),1)=QI$1490,ROW(OFFSET(nombres[],0,0,ROWS(nombres[]),1))-ROW(OFFSET(nombres[],0,0,1,1))+1,ROW(OFFSET(nombres[],ROWS(nombres[])-1,0,1,1))+1),$O1556:$O1575),3),"")</f>
        <v/>
      </c>
      <c r="QJ1556" s="42" t="str">
        <f t="array" aca="1" ref="QJ1556" ca="1">IFERROR(INDEX(nombres[],SMALL(IF(OFFSET(nombres[],0,0,ROWS(nombres[]),1)=QJ$1490,ROW(OFFSET(nombres[],0,0,ROWS(nombres[]),1))-ROW(OFFSET(nombres[],0,0,1,1))+1,ROW(OFFSET(nombres[],ROWS(nombres[])-1,0,1,1))+1),$O1556:$O1575),3),"")</f>
        <v/>
      </c>
      <c r="QK1556" s="42" t="str">
        <f t="array" aca="1" ref="QK1556" ca="1">IFERROR(INDEX(nombres[],SMALL(IF(OFFSET(nombres[],0,0,ROWS(nombres[]),1)=QK$1490,ROW(OFFSET(nombres[],0,0,ROWS(nombres[]),1))-ROW(OFFSET(nombres[],0,0,1,1))+1,ROW(OFFSET(nombres[],ROWS(nombres[])-1,0,1,1))+1),$O1556:$O1575),3),"")</f>
        <v/>
      </c>
      <c r="QL1556" s="42" t="str">
        <f t="array" aca="1" ref="QL1556" ca="1">IFERROR(INDEX(nombres[],SMALL(IF(OFFSET(nombres[],0,0,ROWS(nombres[]),1)=QL$1490,ROW(OFFSET(nombres[],0,0,ROWS(nombres[]),1))-ROW(OFFSET(nombres[],0,0,1,1))+1,ROW(OFFSET(nombres[],ROWS(nombres[])-1,0,1,1))+1),$O1556:$O1575),3),"")</f>
        <v/>
      </c>
      <c r="QM1556" s="42" t="str">
        <f t="array" aca="1" ref="QM1556" ca="1">IFERROR(INDEX(nombres[],SMALL(IF(OFFSET(nombres[],0,0,ROWS(nombres[]),1)=QM$1490,ROW(OFFSET(nombres[],0,0,ROWS(nombres[]),1))-ROW(OFFSET(nombres[],0,0,1,1))+1,ROW(OFFSET(nombres[],ROWS(nombres[])-1,0,1,1))+1),$O1556:$O1575),3),"")</f>
        <v/>
      </c>
      <c r="QN1556" s="42" t="str">
        <f t="array" aca="1" ref="QN1556" ca="1">IFERROR(INDEX(nombres[],SMALL(IF(OFFSET(nombres[],0,0,ROWS(nombres[]),1)=QN$1490,ROW(OFFSET(nombres[],0,0,ROWS(nombres[]),1))-ROW(OFFSET(nombres[],0,0,1,1))+1,ROW(OFFSET(nombres[],ROWS(nombres[])-1,0,1,1))+1),$O1556:$O1575),3),"")</f>
        <v/>
      </c>
      <c r="QO1556" s="42" t="str">
        <f t="array" aca="1" ref="QO1556" ca="1">IFERROR(INDEX(nombres[],SMALL(IF(OFFSET(nombres[],0,0,ROWS(nombres[]),1)=QO$1490,ROW(OFFSET(nombres[],0,0,ROWS(nombres[]),1))-ROW(OFFSET(nombres[],0,0,1,1))+1,ROW(OFFSET(nombres[],ROWS(nombres[])-1,0,1,1))+1),$O1556:$O1575),3),"")</f>
        <v/>
      </c>
      <c r="QP1556" s="42" t="str">
        <f t="array" aca="1" ref="QP1556" ca="1">IFERROR(INDEX(nombres[],SMALL(IF(OFFSET(nombres[],0,0,ROWS(nombres[]),1)=QP$1490,ROW(OFFSET(nombres[],0,0,ROWS(nombres[]),1))-ROW(OFFSET(nombres[],0,0,1,1))+1,ROW(OFFSET(nombres[],ROWS(nombres[])-1,0,1,1))+1),$O1556:$O1575),3),"")</f>
        <v/>
      </c>
      <c r="QQ1556" s="42" t="str">
        <f t="array" aca="1" ref="QQ1556" ca="1">IFERROR(INDEX(nombres[],SMALL(IF(OFFSET(nombres[],0,0,ROWS(nombres[]),1)=QQ$1490,ROW(OFFSET(nombres[],0,0,ROWS(nombres[]),1))-ROW(OFFSET(nombres[],0,0,1,1))+1,ROW(OFFSET(nombres[],ROWS(nombres[])-1,0,1,1))+1),$O1556:$O1575),3),"")</f>
        <v/>
      </c>
      <c r="QR1556" s="42" t="str">
        <f t="array" aca="1" ref="QR1556" ca="1">IFERROR(INDEX(nombres[],SMALL(IF(OFFSET(nombres[],0,0,ROWS(nombres[]),1)=QR$1490,ROW(OFFSET(nombres[],0,0,ROWS(nombres[]),1))-ROW(OFFSET(nombres[],0,0,1,1))+1,ROW(OFFSET(nombres[],ROWS(nombres[])-1,0,1,1))+1),$O1556:$O1575),3),"")</f>
        <v/>
      </c>
      <c r="QS1556" s="42" t="str">
        <f t="array" aca="1" ref="QS1556" ca="1">IFERROR(INDEX(nombres[],SMALL(IF(OFFSET(nombres[],0,0,ROWS(nombres[]),1)=QS$1490,ROW(OFFSET(nombres[],0,0,ROWS(nombres[]),1))-ROW(OFFSET(nombres[],0,0,1,1))+1,ROW(OFFSET(nombres[],ROWS(nombres[])-1,0,1,1))+1),$O1556:$O1575),3),"")</f>
        <v/>
      </c>
      <c r="QT1556" s="42" t="str">
        <f t="array" aca="1" ref="QT1556" ca="1">IFERROR(INDEX(nombres[],SMALL(IF(OFFSET(nombres[],0,0,ROWS(nombres[]),1)=QT$1490,ROW(OFFSET(nombres[],0,0,ROWS(nombres[]),1))-ROW(OFFSET(nombres[],0,0,1,1))+1,ROW(OFFSET(nombres[],ROWS(nombres[])-1,0,1,1))+1),$O1556:$O1575),3),"")</f>
        <v/>
      </c>
      <c r="QU1556" s="42" t="str">
        <f t="array" aca="1" ref="QU1556" ca="1">IFERROR(INDEX(nombres[],SMALL(IF(OFFSET(nombres[],0,0,ROWS(nombres[]),1)=QU$1490,ROW(OFFSET(nombres[],0,0,ROWS(nombres[]),1))-ROW(OFFSET(nombres[],0,0,1,1))+1,ROW(OFFSET(nombres[],ROWS(nombres[])-1,0,1,1))+1),$O1556:$O1575),3),"")</f>
        <v/>
      </c>
      <c r="QV1556" s="42" t="str">
        <f t="array" aca="1" ref="QV1556" ca="1">IFERROR(INDEX(nombres[],SMALL(IF(OFFSET(nombres[],0,0,ROWS(nombres[]),1)=QV$1490,ROW(OFFSET(nombres[],0,0,ROWS(nombres[]),1))-ROW(OFFSET(nombres[],0,0,1,1))+1,ROW(OFFSET(nombres[],ROWS(nombres[])-1,0,1,1))+1),$O1556:$O1575),3),"")</f>
        <v/>
      </c>
      <c r="QW1556" s="42" t="str">
        <f t="array" aca="1" ref="QW1556" ca="1">IFERROR(INDEX(nombres[],SMALL(IF(OFFSET(nombres[],0,0,ROWS(nombres[]),1)=QW$1490,ROW(OFFSET(nombres[],0,0,ROWS(nombres[]),1))-ROW(OFFSET(nombres[],0,0,1,1))+1,ROW(OFFSET(nombres[],ROWS(nombres[])-1,0,1,1))+1),$O1556:$O1575),3),"")</f>
        <v/>
      </c>
      <c r="QX1556" s="42" t="str">
        <f t="array" aca="1" ref="QX1556" ca="1">IFERROR(INDEX(nombres[],SMALL(IF(OFFSET(nombres[],0,0,ROWS(nombres[]),1)=QX$1490,ROW(OFFSET(nombres[],0,0,ROWS(nombres[]),1))-ROW(OFFSET(nombres[],0,0,1,1))+1,ROW(OFFSET(nombres[],ROWS(nombres[])-1,0,1,1))+1),$O1556:$O1575),3),"")</f>
        <v/>
      </c>
      <c r="QY1556" s="42" t="str">
        <f t="array" aca="1" ref="QY1556" ca="1">IFERROR(INDEX(nombres[],SMALL(IF(OFFSET(nombres[],0,0,ROWS(nombres[]),1)=QY$1490,ROW(OFFSET(nombres[],0,0,ROWS(nombres[]),1))-ROW(OFFSET(nombres[],0,0,1,1))+1,ROW(OFFSET(nombres[],ROWS(nombres[])-1,0,1,1))+1),$O1556:$O1575),3),"")</f>
        <v/>
      </c>
      <c r="QZ1556" s="42" t="str">
        <f t="array" aca="1" ref="QZ1556" ca="1">IFERROR(INDEX(nombres[],SMALL(IF(OFFSET(nombres[],0,0,ROWS(nombres[]),1)=QZ$1490,ROW(OFFSET(nombres[],0,0,ROWS(nombres[]),1))-ROW(OFFSET(nombres[],0,0,1,1))+1,ROW(OFFSET(nombres[],ROWS(nombres[])-1,0,1,1))+1),$O1556:$O1575),3),"")</f>
        <v/>
      </c>
      <c r="RA1556" s="42" t="str">
        <f t="array" aca="1" ref="RA1556" ca="1">IFERROR(INDEX(nombres[],SMALL(IF(OFFSET(nombres[],0,0,ROWS(nombres[]),1)=RA$1490,ROW(OFFSET(nombres[],0,0,ROWS(nombres[]),1))-ROW(OFFSET(nombres[],0,0,1,1))+1,ROW(OFFSET(nombres[],ROWS(nombres[])-1,0,1,1))+1),$O1556:$O1575),3),"")</f>
        <v/>
      </c>
      <c r="RB1556" s="42" t="str">
        <f t="array" aca="1" ref="RB1556" ca="1">IFERROR(INDEX(nombres[],SMALL(IF(OFFSET(nombres[],0,0,ROWS(nombres[]),1)=RB$1490,ROW(OFFSET(nombres[],0,0,ROWS(nombres[]),1))-ROW(OFFSET(nombres[],0,0,1,1))+1,ROW(OFFSET(nombres[],ROWS(nombres[])-1,0,1,1))+1),$O1556:$O1575),3),"")</f>
        <v/>
      </c>
      <c r="RC1556" s="42" t="str">
        <f t="array" aca="1" ref="RC1556" ca="1">IFERROR(INDEX(nombres[],SMALL(IF(OFFSET(nombres[],0,0,ROWS(nombres[]),1)=RC$1490,ROW(OFFSET(nombres[],0,0,ROWS(nombres[]),1))-ROW(OFFSET(nombres[],0,0,1,1))+1,ROW(OFFSET(nombres[],ROWS(nombres[])-1,0,1,1))+1),$O1556:$O1575),3),"")</f>
        <v/>
      </c>
      <c r="RD1556" s="42" t="str">
        <f t="array" aca="1" ref="RD1556" ca="1">IFERROR(INDEX(nombres[],SMALL(IF(OFFSET(nombres[],0,0,ROWS(nombres[]),1)=RD$1490,ROW(OFFSET(nombres[],0,0,ROWS(nombres[]),1))-ROW(OFFSET(nombres[],0,0,1,1))+1,ROW(OFFSET(nombres[],ROWS(nombres[])-1,0,1,1))+1),$O1556:$O1575),3),"")</f>
        <v/>
      </c>
      <c r="RE1556" s="42" t="str">
        <f t="array" aca="1" ref="RE1556" ca="1">IFERROR(INDEX(nombres[],SMALL(IF(OFFSET(nombres[],0,0,ROWS(nombres[]),1)=RE$1490,ROW(OFFSET(nombres[],0,0,ROWS(nombres[]),1))-ROW(OFFSET(nombres[],0,0,1,1))+1,ROW(OFFSET(nombres[],ROWS(nombres[])-1,0,1,1))+1),$O1556:$O1575),3),"")</f>
        <v/>
      </c>
      <c r="RF1556" s="42" t="str">
        <f t="array" aca="1" ref="RF1556" ca="1">IFERROR(INDEX(nombres[],SMALL(IF(OFFSET(nombres[],0,0,ROWS(nombres[]),1)=RF$1490,ROW(OFFSET(nombres[],0,0,ROWS(nombres[]),1))-ROW(OFFSET(nombres[],0,0,1,1))+1,ROW(OFFSET(nombres[],ROWS(nombres[])-1,0,1,1))+1),$O1556:$O1575),3),"")</f>
        <v/>
      </c>
      <c r="RG1556" s="42" t="str">
        <f t="array" aca="1" ref="RG1556" ca="1">IFERROR(INDEX(nombres[],SMALL(IF(OFFSET(nombres[],0,0,ROWS(nombres[]),1)=RG$1490,ROW(OFFSET(nombres[],0,0,ROWS(nombres[]),1))-ROW(OFFSET(nombres[],0,0,1,1))+1,ROW(OFFSET(nombres[],ROWS(nombres[])-1,0,1,1))+1),$O1556:$O1575),3),"")</f>
        <v/>
      </c>
      <c r="RH1556" s="42" t="str">
        <f t="array" aca="1" ref="RH1556" ca="1">IFERROR(INDEX(nombres[],SMALL(IF(OFFSET(nombres[],0,0,ROWS(nombres[]),1)=RH$1490,ROW(OFFSET(nombres[],0,0,ROWS(nombres[]),1))-ROW(OFFSET(nombres[],0,0,1,1))+1,ROW(OFFSET(nombres[],ROWS(nombres[])-1,0,1,1))+1),$O1556:$O1575),3),"")</f>
        <v/>
      </c>
      <c r="RI1556" s="42" t="str">
        <f t="array" aca="1" ref="RI1556" ca="1">IFERROR(INDEX(nombres[],SMALL(IF(OFFSET(nombres[],0,0,ROWS(nombres[]),1)=RI$1490,ROW(OFFSET(nombres[],0,0,ROWS(nombres[]),1))-ROW(OFFSET(nombres[],0,0,1,1))+1,ROW(OFFSET(nombres[],ROWS(nombres[])-1,0,1,1))+1),$O1556:$O1575),3),"")</f>
        <v/>
      </c>
      <c r="RJ1556" s="42" t="str">
        <f t="array" aca="1" ref="RJ1556" ca="1">IFERROR(INDEX(nombres[],SMALL(IF(OFFSET(nombres[],0,0,ROWS(nombres[]),1)=RJ$1490,ROW(OFFSET(nombres[],0,0,ROWS(nombres[]),1))-ROW(OFFSET(nombres[],0,0,1,1))+1,ROW(OFFSET(nombres[],ROWS(nombres[])-1,0,1,1))+1),$O1556:$O1575),3),"")</f>
        <v/>
      </c>
      <c r="RK1556" s="42" t="str">
        <f t="array" aca="1" ref="RK1556" ca="1">IFERROR(INDEX(nombres[],SMALL(IF(OFFSET(nombres[],0,0,ROWS(nombres[]),1)=RK$1490,ROW(OFFSET(nombres[],0,0,ROWS(nombres[]),1))-ROW(OFFSET(nombres[],0,0,1,1))+1,ROW(OFFSET(nombres[],ROWS(nombres[])-1,0,1,1))+1),$O1556:$O1575),3),"")</f>
        <v/>
      </c>
      <c r="RL1556" s="42" t="str">
        <f t="array" aca="1" ref="RL1556" ca="1">IFERROR(INDEX(nombres[],SMALL(IF(OFFSET(nombres[],0,0,ROWS(nombres[]),1)=RL$1490,ROW(OFFSET(nombres[],0,0,ROWS(nombres[]),1))-ROW(OFFSET(nombres[],0,0,1,1))+1,ROW(OFFSET(nombres[],ROWS(nombres[])-1,0,1,1))+1),$O1556:$O1575),3),"")</f>
        <v/>
      </c>
      <c r="RM1556" s="42" t="str">
        <f t="array" aca="1" ref="RM1556" ca="1">IFERROR(INDEX(nombres[],SMALL(IF(OFFSET(nombres[],0,0,ROWS(nombres[]),1)=RM$1490,ROW(OFFSET(nombres[],0,0,ROWS(nombres[]),1))-ROW(OFFSET(nombres[],0,0,1,1))+1,ROW(OFFSET(nombres[],ROWS(nombres[])-1,0,1,1))+1),$O1556:$O1575),3),"")</f>
        <v/>
      </c>
      <c r="RN1556" s="42" t="str">
        <f t="array" aca="1" ref="RN1556" ca="1">IFERROR(INDEX(nombres[],SMALL(IF(OFFSET(nombres[],0,0,ROWS(nombres[]),1)=RN$1490,ROW(OFFSET(nombres[],0,0,ROWS(nombres[]),1))-ROW(OFFSET(nombres[],0,0,1,1))+1,ROW(OFFSET(nombres[],ROWS(nombres[])-1,0,1,1))+1),$O1556:$O1575),3),"")</f>
        <v/>
      </c>
      <c r="RO1556" s="42" t="str">
        <f t="array" aca="1" ref="RO1556" ca="1">IFERROR(INDEX(nombres[],SMALL(IF(OFFSET(nombres[],0,0,ROWS(nombres[]),1)=RO$1490,ROW(OFFSET(nombres[],0,0,ROWS(nombres[]),1))-ROW(OFFSET(nombres[],0,0,1,1))+1,ROW(OFFSET(nombres[],ROWS(nombres[])-1,0,1,1))+1),$O1556:$O1575),3),"")</f>
        <v/>
      </c>
      <c r="RP1556" s="42" t="str">
        <f t="array" aca="1" ref="RP1556" ca="1">IFERROR(INDEX(nombres[],SMALL(IF(OFFSET(nombres[],0,0,ROWS(nombres[]),1)=RP$1490,ROW(OFFSET(nombres[],0,0,ROWS(nombres[]),1))-ROW(OFFSET(nombres[],0,0,1,1))+1,ROW(OFFSET(nombres[],ROWS(nombres[])-1,0,1,1))+1),$O1556:$O1575),3),"")</f>
        <v/>
      </c>
      <c r="RQ1556" s="42" t="str">
        <f t="array" aca="1" ref="RQ1556" ca="1">IFERROR(INDEX(nombres[],SMALL(IF(OFFSET(nombres[],0,0,ROWS(nombres[]),1)=RQ$1490,ROW(OFFSET(nombres[],0,0,ROWS(nombres[]),1))-ROW(OFFSET(nombres[],0,0,1,1))+1,ROW(OFFSET(nombres[],ROWS(nombres[])-1,0,1,1))+1),$O1556:$O1575),3),"")</f>
        <v/>
      </c>
      <c r="RR1556" s="42" t="str">
        <f t="array" aca="1" ref="RR1556" ca="1">IFERROR(INDEX(nombres[],SMALL(IF(OFFSET(nombres[],0,0,ROWS(nombres[]),1)=RR$1490,ROW(OFFSET(nombres[],0,0,ROWS(nombres[]),1))-ROW(OFFSET(nombres[],0,0,1,1))+1,ROW(OFFSET(nombres[],ROWS(nombres[])-1,0,1,1))+1),$O1556:$O1575),3),"")</f>
        <v/>
      </c>
      <c r="RS1556" s="42" t="str">
        <f t="array" aca="1" ref="RS1556" ca="1">IFERROR(INDEX(nombres[],SMALL(IF(OFFSET(nombres[],0,0,ROWS(nombres[]),1)=RS$1490,ROW(OFFSET(nombres[],0,0,ROWS(nombres[]),1))-ROW(OFFSET(nombres[],0,0,1,1))+1,ROW(OFFSET(nombres[],ROWS(nombres[])-1,0,1,1))+1),$O1556:$O1575),3),"")</f>
        <v/>
      </c>
      <c r="RT1556" s="42" t="str">
        <f t="array" aca="1" ref="RT1556" ca="1">IFERROR(INDEX(nombres[],SMALL(IF(OFFSET(nombres[],0,0,ROWS(nombres[]),1)=RT$1490,ROW(OFFSET(nombres[],0,0,ROWS(nombres[]),1))-ROW(OFFSET(nombres[],0,0,1,1))+1,ROW(OFFSET(nombres[],ROWS(nombres[])-1,0,1,1))+1),$O1556:$O1575),3),"")</f>
        <v/>
      </c>
      <c r="RU1556" s="42" t="str">
        <f t="array" aca="1" ref="RU1556" ca="1">IFERROR(INDEX(nombres[],SMALL(IF(OFFSET(nombres[],0,0,ROWS(nombres[]),1)=RU$1490,ROW(OFFSET(nombres[],0,0,ROWS(nombres[]),1))-ROW(OFFSET(nombres[],0,0,1,1))+1,ROW(OFFSET(nombres[],ROWS(nombres[])-1,0,1,1))+1),$O1556:$O1575),3),"")</f>
        <v/>
      </c>
      <c r="RV1556" s="42" t="str">
        <f t="array" aca="1" ref="RV1556" ca="1">IFERROR(INDEX(nombres[],SMALL(IF(OFFSET(nombres[],0,0,ROWS(nombres[]),1)=RV$1490,ROW(OFFSET(nombres[],0,0,ROWS(nombres[]),1))-ROW(OFFSET(nombres[],0,0,1,1))+1,ROW(OFFSET(nombres[],ROWS(nombres[])-1,0,1,1))+1),$O1556:$O1575),3),"")</f>
        <v/>
      </c>
      <c r="RW1556" s="42" t="str">
        <f t="array" aca="1" ref="RW1556" ca="1">IFERROR(INDEX(nombres[],SMALL(IF(OFFSET(nombres[],0,0,ROWS(nombres[]),1)=RW$1490,ROW(OFFSET(nombres[],0,0,ROWS(nombres[]),1))-ROW(OFFSET(nombres[],0,0,1,1))+1,ROW(OFFSET(nombres[],ROWS(nombres[])-1,0,1,1))+1),$O1556:$O1575),3),"")</f>
        <v/>
      </c>
      <c r="RX1556" s="42" t="str">
        <f t="array" aca="1" ref="RX1556" ca="1">IFERROR(INDEX(nombres[],SMALL(IF(OFFSET(nombres[],0,0,ROWS(nombres[]),1)=RX$1490,ROW(OFFSET(nombres[],0,0,ROWS(nombres[]),1))-ROW(OFFSET(nombres[],0,0,1,1))+1,ROW(OFFSET(nombres[],ROWS(nombres[])-1,0,1,1))+1),$O1556:$O1575),3),"")</f>
        <v/>
      </c>
      <c r="RY1556" s="42" t="str">
        <f t="array" aca="1" ref="RY1556" ca="1">IFERROR(INDEX(nombres[],SMALL(IF(OFFSET(nombres[],0,0,ROWS(nombres[]),1)=RY$1490,ROW(OFFSET(nombres[],0,0,ROWS(nombres[]),1))-ROW(OFFSET(nombres[],0,0,1,1))+1,ROW(OFFSET(nombres[],ROWS(nombres[])-1,0,1,1))+1),$O1556:$O1575),3),"")</f>
        <v/>
      </c>
      <c r="RZ1556" s="42" t="str">
        <f t="array" aca="1" ref="RZ1556" ca="1">IFERROR(INDEX(nombres[],SMALL(IF(OFFSET(nombres[],0,0,ROWS(nombres[]),1)=RZ$1490,ROW(OFFSET(nombres[],0,0,ROWS(nombres[]),1))-ROW(OFFSET(nombres[],0,0,1,1))+1,ROW(OFFSET(nombres[],ROWS(nombres[])-1,0,1,1))+1),$O1556:$O1575),3),"")</f>
        <v/>
      </c>
      <c r="SA1556" s="42" t="str">
        <f t="array" aca="1" ref="SA1556" ca="1">IFERROR(INDEX(nombres[],SMALL(IF(OFFSET(nombres[],0,0,ROWS(nombres[]),1)=SA$1490,ROW(OFFSET(nombres[],0,0,ROWS(nombres[]),1))-ROW(OFFSET(nombres[],0,0,1,1))+1,ROW(OFFSET(nombres[],ROWS(nombres[])-1,0,1,1))+1),$O1556:$O1575),3),"")</f>
        <v/>
      </c>
      <c r="SB1556" s="42" t="str">
        <f t="array" aca="1" ref="SB1556" ca="1">IFERROR(INDEX(nombres[],SMALL(IF(OFFSET(nombres[],0,0,ROWS(nombres[]),1)=SB$1490,ROW(OFFSET(nombres[],0,0,ROWS(nombres[]),1))-ROW(OFFSET(nombres[],0,0,1,1))+1,ROW(OFFSET(nombres[],ROWS(nombres[])-1,0,1,1))+1),$O1556:$O1575),3),"")</f>
        <v/>
      </c>
      <c r="SC1556" s="42" t="str">
        <f t="array" aca="1" ref="SC1556" ca="1">IFERROR(INDEX(nombres[],SMALL(IF(OFFSET(nombres[],0,0,ROWS(nombres[]),1)=SC$1490,ROW(OFFSET(nombres[],0,0,ROWS(nombres[]),1))-ROW(OFFSET(nombres[],0,0,1,1))+1,ROW(OFFSET(nombres[],ROWS(nombres[])-1,0,1,1))+1),$O1556:$O1575),3),"")</f>
        <v/>
      </c>
      <c r="SD1556" s="42" t="str">
        <f t="array" aca="1" ref="SD1556" ca="1">IFERROR(INDEX(nombres[],SMALL(IF(OFFSET(nombres[],0,0,ROWS(nombres[]),1)=SD$1490,ROW(OFFSET(nombres[],0,0,ROWS(nombres[]),1))-ROW(OFFSET(nombres[],0,0,1,1))+1,ROW(OFFSET(nombres[],ROWS(nombres[])-1,0,1,1))+1),$O1556:$O1575),3),"")</f>
        <v/>
      </c>
      <c r="SE1556" s="42" t="str">
        <f t="array" aca="1" ref="SE1556" ca="1">IFERROR(INDEX(nombres[],SMALL(IF(OFFSET(nombres[],0,0,ROWS(nombres[]),1)=SE$1490,ROW(OFFSET(nombres[],0,0,ROWS(nombres[]),1))-ROW(OFFSET(nombres[],0,0,1,1))+1,ROW(OFFSET(nombres[],ROWS(nombres[])-1,0,1,1))+1),$O1556:$O1575),3),"")</f>
        <v/>
      </c>
      <c r="SF1556" s="42" t="str">
        <f t="array" aca="1" ref="SF1556" ca="1">IFERROR(INDEX(nombres[],SMALL(IF(OFFSET(nombres[],0,0,ROWS(nombres[]),1)=SF$1490,ROW(OFFSET(nombres[],0,0,ROWS(nombres[]),1))-ROW(OFFSET(nombres[],0,0,1,1))+1,ROW(OFFSET(nombres[],ROWS(nombres[])-1,0,1,1))+1),$O1556:$O1575),3),"")</f>
        <v/>
      </c>
      <c r="SG1556" s="42" t="str">
        <f t="array" aca="1" ref="SG1556" ca="1">IFERROR(INDEX(nombres[],SMALL(IF(OFFSET(nombres[],0,0,ROWS(nombres[]),1)=SG$1490,ROW(OFFSET(nombres[],0,0,ROWS(nombres[]),1))-ROW(OFFSET(nombres[],0,0,1,1))+1,ROW(OFFSET(nombres[],ROWS(nombres[])-1,0,1,1))+1),$O1556:$O1575),3),"")</f>
        <v/>
      </c>
      <c r="SH1556" s="42" t="str">
        <f t="array" aca="1" ref="SH1556" ca="1">IFERROR(INDEX(nombres[],SMALL(IF(OFFSET(nombres[],0,0,ROWS(nombres[]),1)=SH$1490,ROW(OFFSET(nombres[],0,0,ROWS(nombres[]),1))-ROW(OFFSET(nombres[],0,0,1,1))+1,ROW(OFFSET(nombres[],ROWS(nombres[])-1,0,1,1))+1),$O1556:$O1575),3),"")</f>
        <v/>
      </c>
      <c r="SI1556" s="42" t="str">
        <f t="array" aca="1" ref="SI1556" ca="1">IFERROR(INDEX(nombres[],SMALL(IF(OFFSET(nombres[],0,0,ROWS(nombres[]),1)=SI$1490,ROW(OFFSET(nombres[],0,0,ROWS(nombres[]),1))-ROW(OFFSET(nombres[],0,0,1,1))+1,ROW(OFFSET(nombres[],ROWS(nombres[])-1,0,1,1))+1),$O1556:$O1575),3),"")</f>
        <v/>
      </c>
      <c r="SJ1556" s="42" t="str">
        <f t="array" aca="1" ref="SJ1556" ca="1">IFERROR(INDEX(nombres[],SMALL(IF(OFFSET(nombres[],0,0,ROWS(nombres[]),1)=SJ$1490,ROW(OFFSET(nombres[],0,0,ROWS(nombres[]),1))-ROW(OFFSET(nombres[],0,0,1,1))+1,ROW(OFFSET(nombres[],ROWS(nombres[])-1,0,1,1))+1),$O1556:$O1575),3),"")</f>
        <v/>
      </c>
      <c r="SK1556" s="42" t="str">
        <f t="array" aca="1" ref="SK1556" ca="1">IFERROR(INDEX(nombres[],SMALL(IF(OFFSET(nombres[],0,0,ROWS(nombres[]),1)=SK$1490,ROW(OFFSET(nombres[],0,0,ROWS(nombres[]),1))-ROW(OFFSET(nombres[],0,0,1,1))+1,ROW(OFFSET(nombres[],ROWS(nombres[])-1,0,1,1))+1),$O1556:$O1575),3),"")</f>
        <v/>
      </c>
      <c r="SL1556" s="42" t="str">
        <f t="array" aca="1" ref="SL1556" ca="1">IFERROR(INDEX(nombres[],SMALL(IF(OFFSET(nombres[],0,0,ROWS(nombres[]),1)=SL$1490,ROW(OFFSET(nombres[],0,0,ROWS(nombres[]),1))-ROW(OFFSET(nombres[],0,0,1,1))+1,ROW(OFFSET(nombres[],ROWS(nombres[])-1,0,1,1))+1),$O1556:$O1575),3),"")</f>
        <v/>
      </c>
      <c r="SM1556" s="42" t="str">
        <f t="array" aca="1" ref="SM1556" ca="1">IFERROR(INDEX(nombres[],SMALL(IF(OFFSET(nombres[],0,0,ROWS(nombres[]),1)=SM$1490,ROW(OFFSET(nombres[],0,0,ROWS(nombres[]),1))-ROW(OFFSET(nombres[],0,0,1,1))+1,ROW(OFFSET(nombres[],ROWS(nombres[])-1,0,1,1))+1),$O1556:$O1575),3),"")</f>
        <v/>
      </c>
      <c r="SN1556" s="42" t="str">
        <f t="array" aca="1" ref="SN1556" ca="1">IFERROR(INDEX(nombres[],SMALL(IF(OFFSET(nombres[],0,0,ROWS(nombres[]),1)=SN$1490,ROW(OFFSET(nombres[],0,0,ROWS(nombres[]),1))-ROW(OFFSET(nombres[],0,0,1,1))+1,ROW(OFFSET(nombres[],ROWS(nombres[])-1,0,1,1))+1),$O1556:$O1575),3),"")</f>
        <v/>
      </c>
      <c r="SO1556" s="42" t="str">
        <f t="array" aca="1" ref="SO1556" ca="1">IFERROR(INDEX(nombres[],SMALL(IF(OFFSET(nombres[],0,0,ROWS(nombres[]),1)=SO$1490,ROW(OFFSET(nombres[],0,0,ROWS(nombres[]),1))-ROW(OFFSET(nombres[],0,0,1,1))+1,ROW(OFFSET(nombres[],ROWS(nombres[])-1,0,1,1))+1),$O1556:$O1575),3),"")</f>
        <v/>
      </c>
      <c r="SP1556" s="42" t="str">
        <f t="array" aca="1" ref="SP1556" ca="1">IFERROR(INDEX(nombres[],SMALL(IF(OFFSET(nombres[],0,0,ROWS(nombres[]),1)=SP$1490,ROW(OFFSET(nombres[],0,0,ROWS(nombres[]),1))-ROW(OFFSET(nombres[],0,0,1,1))+1,ROW(OFFSET(nombres[],ROWS(nombres[])-1,0,1,1))+1),$O1556:$O1575),3),"")</f>
        <v/>
      </c>
      <c r="SQ1556" s="42" t="str">
        <f t="array" aca="1" ref="SQ1556" ca="1">IFERROR(INDEX(nombres[],SMALL(IF(OFFSET(nombres[],0,0,ROWS(nombres[]),1)=SQ$1490,ROW(OFFSET(nombres[],0,0,ROWS(nombres[]),1))-ROW(OFFSET(nombres[],0,0,1,1))+1,ROW(OFFSET(nombres[],ROWS(nombres[])-1,0,1,1))+1),$O1556:$O1575),3),"")</f>
        <v/>
      </c>
      <c r="SR1556" s="42" t="str">
        <f t="array" aca="1" ref="SR1556" ca="1">IFERROR(INDEX(nombres[],SMALL(IF(OFFSET(nombres[],0,0,ROWS(nombres[]),1)=SR$1490,ROW(OFFSET(nombres[],0,0,ROWS(nombres[]),1))-ROW(OFFSET(nombres[],0,0,1,1))+1,ROW(OFFSET(nombres[],ROWS(nombres[])-1,0,1,1))+1),$O1556:$O1575),3),"")</f>
        <v/>
      </c>
      <c r="SS1556" s="42" t="str">
        <f t="array" aca="1" ref="SS1556" ca="1">IFERROR(INDEX(nombres[],SMALL(IF(OFFSET(nombres[],0,0,ROWS(nombres[]),1)=SS$1490,ROW(OFFSET(nombres[],0,0,ROWS(nombres[]),1))-ROW(OFFSET(nombres[],0,0,1,1))+1,ROW(OFFSET(nombres[],ROWS(nombres[])-1,0,1,1))+1),$O1556:$O1575),3),"")</f>
        <v/>
      </c>
      <c r="ST1556" s="42" t="str">
        <f t="array" aca="1" ref="ST1556" ca="1">IFERROR(INDEX(nombres[],SMALL(IF(OFFSET(nombres[],0,0,ROWS(nombres[]),1)=ST$1490,ROW(OFFSET(nombres[],0,0,ROWS(nombres[]),1))-ROW(OFFSET(nombres[],0,0,1,1))+1,ROW(OFFSET(nombres[],ROWS(nombres[])-1,0,1,1))+1),$O1556:$O1575),3),"")</f>
        <v/>
      </c>
      <c r="SU1556" s="42" t="str">
        <f t="array" aca="1" ref="SU1556" ca="1">IFERROR(INDEX(nombres[],SMALL(IF(OFFSET(nombres[],0,0,ROWS(nombres[]),1)=SU$1490,ROW(OFFSET(nombres[],0,0,ROWS(nombres[]),1))-ROW(OFFSET(nombres[],0,0,1,1))+1,ROW(OFFSET(nombres[],ROWS(nombres[])-1,0,1,1))+1),$O1556:$O1575),3),"")</f>
        <v/>
      </c>
      <c r="SV1556" s="42" t="str">
        <f t="array" aca="1" ref="SV1556" ca="1">IFERROR(INDEX(nombres[],SMALL(IF(OFFSET(nombres[],0,0,ROWS(nombres[]),1)=SV$1490,ROW(OFFSET(nombres[],0,0,ROWS(nombres[]),1))-ROW(OFFSET(nombres[],0,0,1,1))+1,ROW(OFFSET(nombres[],ROWS(nombres[])-1,0,1,1))+1),$O1556:$O1575),3),"")</f>
        <v/>
      </c>
      <c r="SW1556" s="42" t="str">
        <f t="array" aca="1" ref="SW1556" ca="1">IFERROR(INDEX(nombres[],SMALL(IF(OFFSET(nombres[],0,0,ROWS(nombres[]),1)=SW$1490,ROW(OFFSET(nombres[],0,0,ROWS(nombres[]),1))-ROW(OFFSET(nombres[],0,0,1,1))+1,ROW(OFFSET(nombres[],ROWS(nombres[])-1,0,1,1))+1),$O1556:$O1575),3),"")</f>
        <v/>
      </c>
      <c r="SX1556" s="42" t="str">
        <f t="array" aca="1" ref="SX1556" ca="1">IFERROR(INDEX(nombres[],SMALL(IF(OFFSET(nombres[],0,0,ROWS(nombres[]),1)=SX$1490,ROW(OFFSET(nombres[],0,0,ROWS(nombres[]),1))-ROW(OFFSET(nombres[],0,0,1,1))+1,ROW(OFFSET(nombres[],ROWS(nombres[])-1,0,1,1))+1),$O1556:$O1575),3),"")</f>
        <v/>
      </c>
      <c r="SY1556" s="42" t="str">
        <f t="array" aca="1" ref="SY1556" ca="1">IFERROR(INDEX(nombres[],SMALL(IF(OFFSET(nombres[],0,0,ROWS(nombres[]),1)=SY$1490,ROW(OFFSET(nombres[],0,0,ROWS(nombres[]),1))-ROW(OFFSET(nombres[],0,0,1,1))+1,ROW(OFFSET(nombres[],ROWS(nombres[])-1,0,1,1))+1),$O1556:$O1575),3),"")</f>
        <v/>
      </c>
      <c r="SZ1556" s="42" t="str">
        <f t="array" aca="1" ref="SZ1556" ca="1">IFERROR(INDEX(nombres[],SMALL(IF(OFFSET(nombres[],0,0,ROWS(nombres[]),1)=SZ$1490,ROW(OFFSET(nombres[],0,0,ROWS(nombres[]),1))-ROW(OFFSET(nombres[],0,0,1,1))+1,ROW(OFFSET(nombres[],ROWS(nombres[])-1,0,1,1))+1),$O1556:$O1575),3),"")</f>
        <v/>
      </c>
      <c r="TA1556" s="42" t="str">
        <f t="array" aca="1" ref="TA1556" ca="1">IFERROR(INDEX(nombres[],SMALL(IF(OFFSET(nombres[],0,0,ROWS(nombres[]),1)=TA$1490,ROW(OFFSET(nombres[],0,0,ROWS(nombres[]),1))-ROW(OFFSET(nombres[],0,0,1,1))+1,ROW(OFFSET(nombres[],ROWS(nombres[])-1,0,1,1))+1),$O1556:$O1575),3),"")</f>
        <v/>
      </c>
      <c r="TB1556" s="42" t="str">
        <f t="array" aca="1" ref="TB1556" ca="1">IFERROR(INDEX(nombres[],SMALL(IF(OFFSET(nombres[],0,0,ROWS(nombres[]),1)=TB$1490,ROW(OFFSET(nombres[],0,0,ROWS(nombres[]),1))-ROW(OFFSET(nombres[],0,0,1,1))+1,ROW(OFFSET(nombres[],ROWS(nombres[])-1,0,1,1))+1),$O1556:$O1575),3),"")</f>
        <v/>
      </c>
      <c r="TC1556" s="42" t="str">
        <f t="array" aca="1" ref="TC1556" ca="1">IFERROR(INDEX(nombres[],SMALL(IF(OFFSET(nombres[],0,0,ROWS(nombres[]),1)=TC$1490,ROW(OFFSET(nombres[],0,0,ROWS(nombres[]),1))-ROW(OFFSET(nombres[],0,0,1,1))+1,ROW(OFFSET(nombres[],ROWS(nombres[])-1,0,1,1))+1),$O1556:$O1575),3),"")</f>
        <v/>
      </c>
      <c r="TD1556" s="42" t="str">
        <f t="array" aca="1" ref="TD1556" ca="1">IFERROR(INDEX(nombres[],SMALL(IF(OFFSET(nombres[],0,0,ROWS(nombres[]),1)=TD$1490,ROW(OFFSET(nombres[],0,0,ROWS(nombres[]),1))-ROW(OFFSET(nombres[],0,0,1,1))+1,ROW(OFFSET(nombres[],ROWS(nombres[])-1,0,1,1))+1),$O1556:$O1575),3),"")</f>
        <v/>
      </c>
      <c r="TE1556" s="42" t="str">
        <f t="array" aca="1" ref="TE1556" ca="1">IFERROR(INDEX(nombres[],SMALL(IF(OFFSET(nombres[],0,0,ROWS(nombres[]),1)=TE$1490,ROW(OFFSET(nombres[],0,0,ROWS(nombres[]),1))-ROW(OFFSET(nombres[],0,0,1,1))+1,ROW(OFFSET(nombres[],ROWS(nombres[])-1,0,1,1))+1),$O1556:$O1575),3),"")</f>
        <v/>
      </c>
      <c r="TF1556" s="42" t="str">
        <f t="array" aca="1" ref="TF1556" ca="1">IFERROR(INDEX(nombres[],SMALL(IF(OFFSET(nombres[],0,0,ROWS(nombres[]),1)=TF$1490,ROW(OFFSET(nombres[],0,0,ROWS(nombres[]),1))-ROW(OFFSET(nombres[],0,0,1,1))+1,ROW(OFFSET(nombres[],ROWS(nombres[])-1,0,1,1))+1),$O1556:$O1575),3),"")</f>
        <v/>
      </c>
      <c r="TG1556" s="42" t="str">
        <f t="array" aca="1" ref="TG1556" ca="1">IFERROR(INDEX(nombres[],SMALL(IF(OFFSET(nombres[],0,0,ROWS(nombres[]),1)=TG$1490,ROW(OFFSET(nombres[],0,0,ROWS(nombres[]),1))-ROW(OFFSET(nombres[],0,0,1,1))+1,ROW(OFFSET(nombres[],ROWS(nombres[])-1,0,1,1))+1),$O1556:$O1575),3),"")</f>
        <v/>
      </c>
      <c r="TH1556" s="42" t="str">
        <f t="array" aca="1" ref="TH1556" ca="1">IFERROR(INDEX(nombres[],SMALL(IF(OFFSET(nombres[],0,0,ROWS(nombres[]),1)=TH$1490,ROW(OFFSET(nombres[],0,0,ROWS(nombres[]),1))-ROW(OFFSET(nombres[],0,0,1,1))+1,ROW(OFFSET(nombres[],ROWS(nombres[])-1,0,1,1))+1),$O1556:$O1575),3),"")</f>
        <v/>
      </c>
      <c r="TI1556" s="42" t="str">
        <f t="array" aca="1" ref="TI1556" ca="1">IFERROR(INDEX(nombres[],SMALL(IF(OFFSET(nombres[],0,0,ROWS(nombres[]),1)=TI$1490,ROW(OFFSET(nombres[],0,0,ROWS(nombres[]),1))-ROW(OFFSET(nombres[],0,0,1,1))+1,ROW(OFFSET(nombres[],ROWS(nombres[])-1,0,1,1))+1),$O1556:$O1575),3),"")</f>
        <v/>
      </c>
      <c r="TJ1556" s="42" t="str">
        <f t="array" aca="1" ref="TJ1556" ca="1">IFERROR(INDEX(nombres[],SMALL(IF(OFFSET(nombres[],0,0,ROWS(nombres[]),1)=TJ$1490,ROW(OFFSET(nombres[],0,0,ROWS(nombres[]),1))-ROW(OFFSET(nombres[],0,0,1,1))+1,ROW(OFFSET(nombres[],ROWS(nombres[])-1,0,1,1))+1),$O1556:$O1575),3),"")</f>
        <v/>
      </c>
      <c r="TK1556" s="42" t="str">
        <f t="array" aca="1" ref="TK1556" ca="1">IFERROR(INDEX(nombres[],SMALL(IF(OFFSET(nombres[],0,0,ROWS(nombres[]),1)=TK$1490,ROW(OFFSET(nombres[],0,0,ROWS(nombres[]),1))-ROW(OFFSET(nombres[],0,0,1,1))+1,ROW(OFFSET(nombres[],ROWS(nombres[])-1,0,1,1))+1),$O1556:$O1575),3),"")</f>
        <v/>
      </c>
      <c r="TL1556" s="42" t="str">
        <f t="array" aca="1" ref="TL1556" ca="1">IFERROR(INDEX(nombres[],SMALL(IF(OFFSET(nombres[],0,0,ROWS(nombres[]),1)=TL$1490,ROW(OFFSET(nombres[],0,0,ROWS(nombres[]),1))-ROW(OFFSET(nombres[],0,0,1,1))+1,ROW(OFFSET(nombres[],ROWS(nombres[])-1,0,1,1))+1),$O1556:$O1575),3),"")</f>
        <v/>
      </c>
      <c r="TM1556" s="42" t="str">
        <f t="array" aca="1" ref="TM1556" ca="1">IFERROR(INDEX(nombres[],SMALL(IF(OFFSET(nombres[],0,0,ROWS(nombres[]),1)=TM$1490,ROW(OFFSET(nombres[],0,0,ROWS(nombres[]),1))-ROW(OFFSET(nombres[],0,0,1,1))+1,ROW(OFFSET(nombres[],ROWS(nombres[])-1,0,1,1))+1),$O1556:$O1575),3),"")</f>
        <v/>
      </c>
      <c r="TN1556" s="42" t="str">
        <f t="array" aca="1" ref="TN1556" ca="1">IFERROR(INDEX(nombres[],SMALL(IF(OFFSET(nombres[],0,0,ROWS(nombres[]),1)=TN$1490,ROW(OFFSET(nombres[],0,0,ROWS(nombres[]),1))-ROW(OFFSET(nombres[],0,0,1,1))+1,ROW(OFFSET(nombres[],ROWS(nombres[])-1,0,1,1))+1),$O1556:$O1575),3),"")</f>
        <v/>
      </c>
      <c r="TO1556" s="42" t="str">
        <f t="array" aca="1" ref="TO1556" ca="1">IFERROR(INDEX(nombres[],SMALL(IF(OFFSET(nombres[],0,0,ROWS(nombres[]),1)=TO$1490,ROW(OFFSET(nombres[],0,0,ROWS(nombres[]),1))-ROW(OFFSET(nombres[],0,0,1,1))+1,ROW(OFFSET(nombres[],ROWS(nombres[])-1,0,1,1))+1),$O1556:$O1575),3),"")</f>
        <v/>
      </c>
      <c r="TP1556" s="42" t="str">
        <f t="array" aca="1" ref="TP1556" ca="1">IFERROR(INDEX(nombres[],SMALL(IF(OFFSET(nombres[],0,0,ROWS(nombres[]),1)=TP$1490,ROW(OFFSET(nombres[],0,0,ROWS(nombres[]),1))-ROW(OFFSET(nombres[],0,0,1,1))+1,ROW(OFFSET(nombres[],ROWS(nombres[])-1,0,1,1))+1),$O1556:$O1575),3),"")</f>
        <v/>
      </c>
      <c r="TQ1556" s="42" t="str">
        <f t="array" aca="1" ref="TQ1556" ca="1">IFERROR(INDEX(nombres[],SMALL(IF(OFFSET(nombres[],0,0,ROWS(nombres[]),1)=TQ$1490,ROW(OFFSET(nombres[],0,0,ROWS(nombres[]),1))-ROW(OFFSET(nombres[],0,0,1,1))+1,ROW(OFFSET(nombres[],ROWS(nombres[])-1,0,1,1))+1),$O1556:$O1575),3),"")</f>
        <v/>
      </c>
      <c r="TR1556" s="42" t="str">
        <f t="array" aca="1" ref="TR1556" ca="1">IFERROR(INDEX(nombres[],SMALL(IF(OFFSET(nombres[],0,0,ROWS(nombres[]),1)=TR$1490,ROW(OFFSET(nombres[],0,0,ROWS(nombres[]),1))-ROW(OFFSET(nombres[],0,0,1,1))+1,ROW(OFFSET(nombres[],ROWS(nombres[])-1,0,1,1))+1),$O1556:$O1575),3),"")</f>
        <v/>
      </c>
      <c r="TS1556" s="42" t="str">
        <f t="array" aca="1" ref="TS1556" ca="1">IFERROR(INDEX(nombres[],SMALL(IF(OFFSET(nombres[],0,0,ROWS(nombres[]),1)=TS$1490,ROW(OFFSET(nombres[],0,0,ROWS(nombres[]),1))-ROW(OFFSET(nombres[],0,0,1,1))+1,ROW(OFFSET(nombres[],ROWS(nombres[])-1,0,1,1))+1),$O1556:$O1575),3),"")</f>
        <v/>
      </c>
      <c r="TT1556" s="42" t="str">
        <f t="array" aca="1" ref="TT1556" ca="1">IFERROR(INDEX(nombres[],SMALL(IF(OFFSET(nombres[],0,0,ROWS(nombres[]),1)=TT$1490,ROW(OFFSET(nombres[],0,0,ROWS(nombres[]),1))-ROW(OFFSET(nombres[],0,0,1,1))+1,ROW(OFFSET(nombres[],ROWS(nombres[])-1,0,1,1))+1),$O1556:$O1575),3),"")</f>
        <v/>
      </c>
      <c r="TU1556" s="42" t="str">
        <f t="array" aca="1" ref="TU1556" ca="1">IFERROR(INDEX(nombres[],SMALL(IF(OFFSET(nombres[],0,0,ROWS(nombres[]),1)=TU$1490,ROW(OFFSET(nombres[],0,0,ROWS(nombres[]),1))-ROW(OFFSET(nombres[],0,0,1,1))+1,ROW(OFFSET(nombres[],ROWS(nombres[])-1,0,1,1))+1),$O1556:$O1575),3),"")</f>
        <v/>
      </c>
      <c r="TV1556" s="42" t="str">
        <f t="array" aca="1" ref="TV1556" ca="1">IFERROR(INDEX(nombres[],SMALL(IF(OFFSET(nombres[],0,0,ROWS(nombres[]),1)=TV$1490,ROW(OFFSET(nombres[],0,0,ROWS(nombres[]),1))-ROW(OFFSET(nombres[],0,0,1,1))+1,ROW(OFFSET(nombres[],ROWS(nombres[])-1,0,1,1))+1),$O1556:$O1575),3),"")</f>
        <v/>
      </c>
      <c r="TW1556" s="42" t="str">
        <f t="array" aca="1" ref="TW1556" ca="1">IFERROR(INDEX(nombres[],SMALL(IF(OFFSET(nombres[],0,0,ROWS(nombres[]),1)=TW$1490,ROW(OFFSET(nombres[],0,0,ROWS(nombres[]),1))-ROW(OFFSET(nombres[],0,0,1,1))+1,ROW(OFFSET(nombres[],ROWS(nombres[])-1,0,1,1))+1),$O1556:$O1575),3),"")</f>
        <v/>
      </c>
      <c r="TX1556" s="42" t="str">
        <f t="array" aca="1" ref="TX1556" ca="1">IFERROR(INDEX(nombres[],SMALL(IF(OFFSET(nombres[],0,0,ROWS(nombres[]),1)=TX$1490,ROW(OFFSET(nombres[],0,0,ROWS(nombres[]),1))-ROW(OFFSET(nombres[],0,0,1,1))+1,ROW(OFFSET(nombres[],ROWS(nombres[])-1,0,1,1))+1),$O1556:$O1575),3),"")</f>
        <v/>
      </c>
      <c r="TY1556" s="42" t="str">
        <f t="array" aca="1" ref="TY1556" ca="1">IFERROR(INDEX(nombres[],SMALL(IF(OFFSET(nombres[],0,0,ROWS(nombres[]),1)=TY$1490,ROW(OFFSET(nombres[],0,0,ROWS(nombres[]),1))-ROW(OFFSET(nombres[],0,0,1,1))+1,ROW(OFFSET(nombres[],ROWS(nombres[])-1,0,1,1))+1),$O1556:$O1575),3),"")</f>
        <v/>
      </c>
      <c r="TZ1556" s="42" t="str">
        <f t="array" aca="1" ref="TZ1556" ca="1">IFERROR(INDEX(nombres[],SMALL(IF(OFFSET(nombres[],0,0,ROWS(nombres[]),1)=TZ$1490,ROW(OFFSET(nombres[],0,0,ROWS(nombres[]),1))-ROW(OFFSET(nombres[],0,0,1,1))+1,ROW(OFFSET(nombres[],ROWS(nombres[])-1,0,1,1))+1),$O1556:$O1575),3),"")</f>
        <v/>
      </c>
      <c r="UA1556" s="42" t="str">
        <f t="array" aca="1" ref="UA1556" ca="1">IFERROR(INDEX(nombres[],SMALL(IF(OFFSET(nombres[],0,0,ROWS(nombres[]),1)=UA$1490,ROW(OFFSET(nombres[],0,0,ROWS(nombres[]),1))-ROW(OFFSET(nombres[],0,0,1,1))+1,ROW(OFFSET(nombres[],ROWS(nombres[])-1,0,1,1))+1),$O1556:$O1575),3),"")</f>
        <v/>
      </c>
      <c r="UB1556" s="42" t="str">
        <f t="array" aca="1" ref="UB1556" ca="1">IFERROR(INDEX(nombres[],SMALL(IF(OFFSET(nombres[],0,0,ROWS(nombres[]),1)=UB$1490,ROW(OFFSET(nombres[],0,0,ROWS(nombres[]),1))-ROW(OFFSET(nombres[],0,0,1,1))+1,ROW(OFFSET(nombres[],ROWS(nombres[])-1,0,1,1))+1),$O1556:$O1575),3),"")</f>
        <v/>
      </c>
      <c r="UC1556" s="42" t="str">
        <f t="array" aca="1" ref="UC1556" ca="1">IFERROR(INDEX(nombres[],SMALL(IF(OFFSET(nombres[],0,0,ROWS(nombres[]),1)=UC$1490,ROW(OFFSET(nombres[],0,0,ROWS(nombres[]),1))-ROW(OFFSET(nombres[],0,0,1,1))+1,ROW(OFFSET(nombres[],ROWS(nombres[])-1,0,1,1))+1),$O1556:$O1575),3),"")</f>
        <v/>
      </c>
      <c r="UD1556" s="42" t="str">
        <f t="array" aca="1" ref="UD1556" ca="1">IFERROR(INDEX(nombres[],SMALL(IF(OFFSET(nombres[],0,0,ROWS(nombres[]),1)=UD$1490,ROW(OFFSET(nombres[],0,0,ROWS(nombres[]),1))-ROW(OFFSET(nombres[],0,0,1,1))+1,ROW(OFFSET(nombres[],ROWS(nombres[])-1,0,1,1))+1),$O1556:$O1575),3),"")</f>
        <v/>
      </c>
      <c r="UE1556" s="42" t="str">
        <f t="array" aca="1" ref="UE1556" ca="1">IFERROR(INDEX(nombres[],SMALL(IF(OFFSET(nombres[],0,0,ROWS(nombres[]),1)=UE$1490,ROW(OFFSET(nombres[],0,0,ROWS(nombres[]),1))-ROW(OFFSET(nombres[],0,0,1,1))+1,ROW(OFFSET(nombres[],ROWS(nombres[])-1,0,1,1))+1),$O1556:$O1575),3),"")</f>
        <v/>
      </c>
      <c r="UF1556" s="42" t="str">
        <f t="array" aca="1" ref="UF1556" ca="1">IFERROR(INDEX(nombres[],SMALL(IF(OFFSET(nombres[],0,0,ROWS(nombres[]),1)=UF$1490,ROW(OFFSET(nombres[],0,0,ROWS(nombres[]),1))-ROW(OFFSET(nombres[],0,0,1,1))+1,ROW(OFFSET(nombres[],ROWS(nombres[])-1,0,1,1))+1),$O1556:$O1575),3),"")</f>
        <v/>
      </c>
      <c r="UG1556" s="42" t="str">
        <f t="array" aca="1" ref="UG1556" ca="1">IFERROR(INDEX(nombres[],SMALL(IF(OFFSET(nombres[],0,0,ROWS(nombres[]),1)=UG$1490,ROW(OFFSET(nombres[],0,0,ROWS(nombres[]),1))-ROW(OFFSET(nombres[],0,0,1,1))+1,ROW(OFFSET(nombres[],ROWS(nombres[])-1,0,1,1))+1),$O1556:$O1575),3),"")</f>
        <v/>
      </c>
      <c r="UH1556" s="42" t="str">
        <f t="array" aca="1" ref="UH1556" ca="1">IFERROR(INDEX(nombres[],SMALL(IF(OFFSET(nombres[],0,0,ROWS(nombres[]),1)=UH$1490,ROW(OFFSET(nombres[],0,0,ROWS(nombres[]),1))-ROW(OFFSET(nombres[],0,0,1,1))+1,ROW(OFFSET(nombres[],ROWS(nombres[])-1,0,1,1))+1),$O1556:$O1575),3),"")</f>
        <v/>
      </c>
      <c r="UI1556" s="42" t="str">
        <f t="array" aca="1" ref="UI1556" ca="1">IFERROR(INDEX(nombres[],SMALL(IF(OFFSET(nombres[],0,0,ROWS(nombres[]),1)=UI$1490,ROW(OFFSET(nombres[],0,0,ROWS(nombres[]),1))-ROW(OFFSET(nombres[],0,0,1,1))+1,ROW(OFFSET(nombres[],ROWS(nombres[])-1,0,1,1))+1),$O1556:$O1575),3),"")</f>
        <v/>
      </c>
      <c r="UJ1556" s="42" t="str">
        <f t="array" aca="1" ref="UJ1556" ca="1">IFERROR(INDEX(nombres[],SMALL(IF(OFFSET(nombres[],0,0,ROWS(nombres[]),1)=UJ$1490,ROW(OFFSET(nombres[],0,0,ROWS(nombres[]),1))-ROW(OFFSET(nombres[],0,0,1,1))+1,ROW(OFFSET(nombres[],ROWS(nombres[])-1,0,1,1))+1),$O1556:$O1575),3),"")</f>
        <v/>
      </c>
      <c r="UK1556" s="42" t="str">
        <f t="array" aca="1" ref="UK1556" ca="1">IFERROR(INDEX(nombres[],SMALL(IF(OFFSET(nombres[],0,0,ROWS(nombres[]),1)=UK$1490,ROW(OFFSET(nombres[],0,0,ROWS(nombres[]),1))-ROW(OFFSET(nombres[],0,0,1,1))+1,ROW(OFFSET(nombres[],ROWS(nombres[])-1,0,1,1))+1),$O1556:$O1575),3),"")</f>
        <v/>
      </c>
      <c r="UL1556" s="42" t="str">
        <f t="array" aca="1" ref="UL1556" ca="1">IFERROR(INDEX(nombres[],SMALL(IF(OFFSET(nombres[],0,0,ROWS(nombres[]),1)=UL$1490,ROW(OFFSET(nombres[],0,0,ROWS(nombres[]),1))-ROW(OFFSET(nombres[],0,0,1,1))+1,ROW(OFFSET(nombres[],ROWS(nombres[])-1,0,1,1))+1),$O1556:$O1575),3),"")</f>
        <v/>
      </c>
      <c r="UM1556" s="42" t="str">
        <f t="array" aca="1" ref="UM1556" ca="1">IFERROR(INDEX(nombres[],SMALL(IF(OFFSET(nombres[],0,0,ROWS(nombres[]),1)=UM$1490,ROW(OFFSET(nombres[],0,0,ROWS(nombres[]),1))-ROW(OFFSET(nombres[],0,0,1,1))+1,ROW(OFFSET(nombres[],ROWS(nombres[])-1,0,1,1))+1),$O1556:$O1575),3),"")</f>
        <v/>
      </c>
      <c r="UN1556" s="42" t="str">
        <f t="array" aca="1" ref="UN1556" ca="1">IFERROR(INDEX(nombres[],SMALL(IF(OFFSET(nombres[],0,0,ROWS(nombres[]),1)=UN$1490,ROW(OFFSET(nombres[],0,0,ROWS(nombres[]),1))-ROW(OFFSET(nombres[],0,0,1,1))+1,ROW(OFFSET(nombres[],ROWS(nombres[])-1,0,1,1))+1),$O1556:$O1575),3),"")</f>
        <v/>
      </c>
      <c r="UO1556" s="42" t="str">
        <f t="array" aca="1" ref="UO1556" ca="1">IFERROR(INDEX(nombres[],SMALL(IF(OFFSET(nombres[],0,0,ROWS(nombres[]),1)=UO$1490,ROW(OFFSET(nombres[],0,0,ROWS(nombres[]),1))-ROW(OFFSET(nombres[],0,0,1,1))+1,ROW(OFFSET(nombres[],ROWS(nombres[])-1,0,1,1))+1),$O1556:$O1575),3),"")</f>
        <v/>
      </c>
      <c r="UP1556" s="42" t="str">
        <f t="array" aca="1" ref="UP1556" ca="1">IFERROR(INDEX(nombres[],SMALL(IF(OFFSET(nombres[],0,0,ROWS(nombres[]),1)=UP$1490,ROW(OFFSET(nombres[],0,0,ROWS(nombres[]),1))-ROW(OFFSET(nombres[],0,0,1,1))+1,ROW(OFFSET(nombres[],ROWS(nombres[])-1,0,1,1))+1),$O1556:$O1575),3),"")</f>
        <v/>
      </c>
      <c r="UQ1556" s="42" t="str">
        <f t="array" aca="1" ref="UQ1556" ca="1">IFERROR(INDEX(nombres[],SMALL(IF(OFFSET(nombres[],0,0,ROWS(nombres[]),1)=UQ$1490,ROW(OFFSET(nombres[],0,0,ROWS(nombres[]),1))-ROW(OFFSET(nombres[],0,0,1,1))+1,ROW(OFFSET(nombres[],ROWS(nombres[])-1,0,1,1))+1),$O1556:$O1575),3),"")</f>
        <v/>
      </c>
      <c r="UR1556" s="42" t="str">
        <f t="array" aca="1" ref="UR1556" ca="1">IFERROR(INDEX(nombres[],SMALL(IF(OFFSET(nombres[],0,0,ROWS(nombres[]),1)=UR$1490,ROW(OFFSET(nombres[],0,0,ROWS(nombres[]),1))-ROW(OFFSET(nombres[],0,0,1,1))+1,ROW(OFFSET(nombres[],ROWS(nombres[])-1,0,1,1))+1),$O1556:$O1575),3),"")</f>
        <v/>
      </c>
      <c r="US1556" s="42" t="str">
        <f t="array" aca="1" ref="US1556" ca="1">IFERROR(INDEX(nombres[],SMALL(IF(OFFSET(nombres[],0,0,ROWS(nombres[]),1)=US$1490,ROW(OFFSET(nombres[],0,0,ROWS(nombres[]),1))-ROW(OFFSET(nombres[],0,0,1,1))+1,ROW(OFFSET(nombres[],ROWS(nombres[])-1,0,1,1))+1),$O1556:$O1575),3),"")</f>
        <v/>
      </c>
      <c r="UT1556" s="42" t="str">
        <f t="array" aca="1" ref="UT1556" ca="1">IFERROR(INDEX(nombres[],SMALL(IF(OFFSET(nombres[],0,0,ROWS(nombres[]),1)=UT$1490,ROW(OFFSET(nombres[],0,0,ROWS(nombres[]),1))-ROW(OFFSET(nombres[],0,0,1,1))+1,ROW(OFFSET(nombres[],ROWS(nombres[])-1,0,1,1))+1),$O1556:$O1575),3),"")</f>
        <v/>
      </c>
      <c r="UU1556" s="42" t="str">
        <f t="array" aca="1" ref="UU1556" ca="1">IFERROR(INDEX(nombres[],SMALL(IF(OFFSET(nombres[],0,0,ROWS(nombres[]),1)=UU$1490,ROW(OFFSET(nombres[],0,0,ROWS(nombres[]),1))-ROW(OFFSET(nombres[],0,0,1,1))+1,ROW(OFFSET(nombres[],ROWS(nombres[])-1,0,1,1))+1),$O1556:$O1575),3),"")</f>
        <v/>
      </c>
      <c r="UV1556" s="42" t="str">
        <f t="array" aca="1" ref="UV1556" ca="1">IFERROR(INDEX(nombres[],SMALL(IF(OFFSET(nombres[],0,0,ROWS(nombres[]),1)=UV$1490,ROW(OFFSET(nombres[],0,0,ROWS(nombres[]),1))-ROW(OFFSET(nombres[],0,0,1,1))+1,ROW(OFFSET(nombres[],ROWS(nombres[])-1,0,1,1))+1),$O1556:$O1575),3),"")</f>
        <v/>
      </c>
      <c r="UW1556" s="42" t="str">
        <f t="array" aca="1" ref="UW1556" ca="1">IFERROR(INDEX(nombres[],SMALL(IF(OFFSET(nombres[],0,0,ROWS(nombres[]),1)=UW$1490,ROW(OFFSET(nombres[],0,0,ROWS(nombres[]),1))-ROW(OFFSET(nombres[],0,0,1,1))+1,ROW(OFFSET(nombres[],ROWS(nombres[])-1,0,1,1))+1),$O1556:$O1575),3),"")</f>
        <v/>
      </c>
      <c r="UX1556" s="42" t="str">
        <f t="array" aca="1" ref="UX1556" ca="1">IFERROR(INDEX(nombres[],SMALL(IF(OFFSET(nombres[],0,0,ROWS(nombres[]),1)=UX$1490,ROW(OFFSET(nombres[],0,0,ROWS(nombres[]),1))-ROW(OFFSET(nombres[],0,0,1,1))+1,ROW(OFFSET(nombres[],ROWS(nombres[])-1,0,1,1))+1),$O1556:$O1575),3),"")</f>
        <v/>
      </c>
      <c r="UY1556" s="42" t="str">
        <f t="array" aca="1" ref="UY1556" ca="1">IFERROR(INDEX(nombres[],SMALL(IF(OFFSET(nombres[],0,0,ROWS(nombres[]),1)=UY$1490,ROW(OFFSET(nombres[],0,0,ROWS(nombres[]),1))-ROW(OFFSET(nombres[],0,0,1,1))+1,ROW(OFFSET(nombres[],ROWS(nombres[])-1,0,1,1))+1),$O1556:$O1575),3),"")</f>
        <v/>
      </c>
      <c r="UZ1556" s="42" t="str">
        <f t="array" aca="1" ref="UZ1556" ca="1">IFERROR(INDEX(nombres[],SMALL(IF(OFFSET(nombres[],0,0,ROWS(nombres[]),1)=UZ$1490,ROW(OFFSET(nombres[],0,0,ROWS(nombres[]),1))-ROW(OFFSET(nombres[],0,0,1,1))+1,ROW(OFFSET(nombres[],ROWS(nombres[])-1,0,1,1))+1),$O1556:$O1575),3),"")</f>
        <v/>
      </c>
      <c r="VA1556" s="42" t="str">
        <f t="array" aca="1" ref="VA1556" ca="1">IFERROR(INDEX(nombres[],SMALL(IF(OFFSET(nombres[],0,0,ROWS(nombres[]),1)=VA$1490,ROW(OFFSET(nombres[],0,0,ROWS(nombres[]),1))-ROW(OFFSET(nombres[],0,0,1,1))+1,ROW(OFFSET(nombres[],ROWS(nombres[])-1,0,1,1))+1),$O1556:$O1575),3),"")</f>
        <v/>
      </c>
      <c r="VB1556" s="42" t="str">
        <f t="array" aca="1" ref="VB1556" ca="1">IFERROR(INDEX(nombres[],SMALL(IF(OFFSET(nombres[],0,0,ROWS(nombres[]),1)=VB$1490,ROW(OFFSET(nombres[],0,0,ROWS(nombres[]),1))-ROW(OFFSET(nombres[],0,0,1,1))+1,ROW(OFFSET(nombres[],ROWS(nombres[])-1,0,1,1))+1),$O1556:$O1575),3),"")</f>
        <v/>
      </c>
      <c r="VC1556" s="42" t="str">
        <f t="array" aca="1" ref="VC1556" ca="1">IFERROR(INDEX(nombres[],SMALL(IF(OFFSET(nombres[],0,0,ROWS(nombres[]),1)=VC$1490,ROW(OFFSET(nombres[],0,0,ROWS(nombres[]),1))-ROW(OFFSET(nombres[],0,0,1,1))+1,ROW(OFFSET(nombres[],ROWS(nombres[])-1,0,1,1))+1),$O1556:$O1575),3),"")</f>
        <v/>
      </c>
      <c r="VD1556" s="42" t="str">
        <f t="array" aca="1" ref="VD1556" ca="1">IFERROR(INDEX(nombres[],SMALL(IF(OFFSET(nombres[],0,0,ROWS(nombres[]),1)=VD$1490,ROW(OFFSET(nombres[],0,0,ROWS(nombres[]),1))-ROW(OFFSET(nombres[],0,0,1,1))+1,ROW(OFFSET(nombres[],ROWS(nombres[])-1,0,1,1))+1),$O1556:$O1575),3),"")</f>
        <v/>
      </c>
      <c r="VE1556" s="42" t="str">
        <f t="array" aca="1" ref="VE1556" ca="1">IFERROR(INDEX(nombres[],SMALL(IF(OFFSET(nombres[],0,0,ROWS(nombres[]),1)=VE$1490,ROW(OFFSET(nombres[],0,0,ROWS(nombres[]),1))-ROW(OFFSET(nombres[],0,0,1,1))+1,ROW(OFFSET(nombres[],ROWS(nombres[])-1,0,1,1))+1),$O1556:$O1575),3),"")</f>
        <v/>
      </c>
      <c r="VF1556" s="42" t="str">
        <f t="array" aca="1" ref="VF1556" ca="1">IFERROR(INDEX(nombres[],SMALL(IF(OFFSET(nombres[],0,0,ROWS(nombres[]),1)=VF$1490,ROW(OFFSET(nombres[],0,0,ROWS(nombres[]),1))-ROW(OFFSET(nombres[],0,0,1,1))+1,ROW(OFFSET(nombres[],ROWS(nombres[])-1,0,1,1))+1),$O1556:$O1575),3),"")</f>
        <v/>
      </c>
      <c r="VG1556" s="42" t="str">
        <f t="array" aca="1" ref="VG1556" ca="1">IFERROR(INDEX(nombres[],SMALL(IF(OFFSET(nombres[],0,0,ROWS(nombres[]),1)=VG$1490,ROW(OFFSET(nombres[],0,0,ROWS(nombres[]),1))-ROW(OFFSET(nombres[],0,0,1,1))+1,ROW(OFFSET(nombres[],ROWS(nombres[])-1,0,1,1))+1),$O1556:$O1575),3),"")</f>
        <v/>
      </c>
      <c r="VH1556" s="42" t="str">
        <f t="array" aca="1" ref="VH1556" ca="1">IFERROR(INDEX(nombres[],SMALL(IF(OFFSET(nombres[],0,0,ROWS(nombres[]),1)=VH$1490,ROW(OFFSET(nombres[],0,0,ROWS(nombres[]),1))-ROW(OFFSET(nombres[],0,0,1,1))+1,ROW(OFFSET(nombres[],ROWS(nombres[])-1,0,1,1))+1),$O1556:$O1575),3),"")</f>
        <v/>
      </c>
      <c r="VI1556" s="42" t="str">
        <f t="array" aca="1" ref="VI1556" ca="1">IFERROR(INDEX(nombres[],SMALL(IF(OFFSET(nombres[],0,0,ROWS(nombres[]),1)=VI$1490,ROW(OFFSET(nombres[],0,0,ROWS(nombres[]),1))-ROW(OFFSET(nombres[],0,0,1,1))+1,ROW(OFFSET(nombres[],ROWS(nombres[])-1,0,1,1))+1),$O1556:$O1575),3),"")</f>
        <v/>
      </c>
      <c r="VJ1556" s="42" t="str">
        <f t="array" aca="1" ref="VJ1556" ca="1">IFERROR(INDEX(nombres[],SMALL(IF(OFFSET(nombres[],0,0,ROWS(nombres[]),1)=VJ$1490,ROW(OFFSET(nombres[],0,0,ROWS(nombres[]),1))-ROW(OFFSET(nombres[],0,0,1,1))+1,ROW(OFFSET(nombres[],ROWS(nombres[])-1,0,1,1))+1),$O1556:$O1575),3),"")</f>
        <v/>
      </c>
      <c r="VK1556" s="42" t="str">
        <f t="array" aca="1" ref="VK1556" ca="1">IFERROR(INDEX(nombres[],SMALL(IF(OFFSET(nombres[],0,0,ROWS(nombres[]),1)=VK$1490,ROW(OFFSET(nombres[],0,0,ROWS(nombres[]),1))-ROW(OFFSET(nombres[],0,0,1,1))+1,ROW(OFFSET(nombres[],ROWS(nombres[])-1,0,1,1))+1),$O1556:$O1575),3),"")</f>
        <v/>
      </c>
      <c r="VL1556" s="42" t="str">
        <f t="array" aca="1" ref="VL1556" ca="1">IFERROR(INDEX(nombres[],SMALL(IF(OFFSET(nombres[],0,0,ROWS(nombres[]),1)=VL$1490,ROW(OFFSET(nombres[],0,0,ROWS(nombres[]),1))-ROW(OFFSET(nombres[],0,0,1,1))+1,ROW(OFFSET(nombres[],ROWS(nombres[])-1,0,1,1))+1),$O1556:$O1575),3),"")</f>
        <v/>
      </c>
      <c r="VM1556" s="42" t="str">
        <f t="array" aca="1" ref="VM1556" ca="1">IFERROR(INDEX(nombres[],SMALL(IF(OFFSET(nombres[],0,0,ROWS(nombres[]),1)=VM$1490,ROW(OFFSET(nombres[],0,0,ROWS(nombres[]),1))-ROW(OFFSET(nombres[],0,0,1,1))+1,ROW(OFFSET(nombres[],ROWS(nombres[])-1,0,1,1))+1),$O1556:$O1575),3),"")</f>
        <v/>
      </c>
      <c r="VN1556" s="42" t="str">
        <f t="array" aca="1" ref="VN1556" ca="1">IFERROR(INDEX(nombres[],SMALL(IF(OFFSET(nombres[],0,0,ROWS(nombres[]),1)=VN$1490,ROW(OFFSET(nombres[],0,0,ROWS(nombres[]),1))-ROW(OFFSET(nombres[],0,0,1,1))+1,ROW(OFFSET(nombres[],ROWS(nombres[])-1,0,1,1))+1),$O1556:$O1575),3),"")</f>
        <v/>
      </c>
      <c r="VO1556" s="42" t="str">
        <f t="array" aca="1" ref="VO1556" ca="1">IFERROR(INDEX(nombres[],SMALL(IF(OFFSET(nombres[],0,0,ROWS(nombres[]),1)=VO$1490,ROW(OFFSET(nombres[],0,0,ROWS(nombres[]),1))-ROW(OFFSET(nombres[],0,0,1,1))+1,ROW(OFFSET(nombres[],ROWS(nombres[])-1,0,1,1))+1),$O1556:$O1575),3),"")</f>
        <v/>
      </c>
      <c r="VP1556" s="42" t="str">
        <f t="array" aca="1" ref="VP1556" ca="1">IFERROR(INDEX(nombres[],SMALL(IF(OFFSET(nombres[],0,0,ROWS(nombres[]),1)=VP$1490,ROW(OFFSET(nombres[],0,0,ROWS(nombres[]),1))-ROW(OFFSET(nombres[],0,0,1,1))+1,ROW(OFFSET(nombres[],ROWS(nombres[])-1,0,1,1))+1),$O1556:$O1575),3),"")</f>
        <v/>
      </c>
      <c r="VQ1556" s="42" t="str">
        <f t="array" aca="1" ref="VQ1556" ca="1">IFERROR(INDEX(nombres[],SMALL(IF(OFFSET(nombres[],0,0,ROWS(nombres[]),1)=VQ$1490,ROW(OFFSET(nombres[],0,0,ROWS(nombres[]),1))-ROW(OFFSET(nombres[],0,0,1,1))+1,ROW(OFFSET(nombres[],ROWS(nombres[])-1,0,1,1))+1),$O1556:$O1575),3),"")</f>
        <v/>
      </c>
      <c r="VR1556" s="42" t="str">
        <f t="array" aca="1" ref="VR1556" ca="1">IFERROR(INDEX(nombres[],SMALL(IF(OFFSET(nombres[],0,0,ROWS(nombres[]),1)=VR$1490,ROW(OFFSET(nombres[],0,0,ROWS(nombres[]),1))-ROW(OFFSET(nombres[],0,0,1,1))+1,ROW(OFFSET(nombres[],ROWS(nombres[])-1,0,1,1))+1),$O1556:$O1575),3),"")</f>
        <v/>
      </c>
      <c r="VS1556" s="42" t="str">
        <f t="array" aca="1" ref="VS1556" ca="1">IFERROR(INDEX(nombres[],SMALL(IF(OFFSET(nombres[],0,0,ROWS(nombres[]),1)=VS$1490,ROW(OFFSET(nombres[],0,0,ROWS(nombres[]),1))-ROW(OFFSET(nombres[],0,0,1,1))+1,ROW(OFFSET(nombres[],ROWS(nombres[])-1,0,1,1))+1),$O1556:$O1575),3),"")</f>
        <v/>
      </c>
      <c r="VT1556" s="42" t="str">
        <f t="array" aca="1" ref="VT1556" ca="1">IFERROR(INDEX(nombres[],SMALL(IF(OFFSET(nombres[],0,0,ROWS(nombres[]),1)=VT$1490,ROW(OFFSET(nombres[],0,0,ROWS(nombres[]),1))-ROW(OFFSET(nombres[],0,0,1,1))+1,ROW(OFFSET(nombres[],ROWS(nombres[])-1,0,1,1))+1),$O1556:$O1575),3),"")</f>
        <v/>
      </c>
      <c r="VU1556" s="42" t="str">
        <f t="array" aca="1" ref="VU1556" ca="1">IFERROR(INDEX(nombres[],SMALL(IF(OFFSET(nombres[],0,0,ROWS(nombres[]),1)=VU$1490,ROW(OFFSET(nombres[],0,0,ROWS(nombres[]),1))-ROW(OFFSET(nombres[],0,0,1,1))+1,ROW(OFFSET(nombres[],ROWS(nombres[])-1,0,1,1))+1),$O1556:$O1575),3),"")</f>
        <v/>
      </c>
      <c r="VV1556" s="42" t="str">
        <f t="array" aca="1" ref="VV1556" ca="1">IFERROR(INDEX(nombres[],SMALL(IF(OFFSET(nombres[],0,0,ROWS(nombres[]),1)=VV$1490,ROW(OFFSET(nombres[],0,0,ROWS(nombres[]),1))-ROW(OFFSET(nombres[],0,0,1,1))+1,ROW(OFFSET(nombres[],ROWS(nombres[])-1,0,1,1))+1),$O1556:$O1575),3),"")</f>
        <v/>
      </c>
      <c r="VW1556" s="42" t="str">
        <f t="array" aca="1" ref="VW1556" ca="1">IFERROR(INDEX(nombres[],SMALL(IF(OFFSET(nombres[],0,0,ROWS(nombres[]),1)=VW$1490,ROW(OFFSET(nombres[],0,0,ROWS(nombres[]),1))-ROW(OFFSET(nombres[],0,0,1,1))+1,ROW(OFFSET(nombres[],ROWS(nombres[])-1,0,1,1))+1),$O1556:$O1575),3),"")</f>
        <v/>
      </c>
      <c r="VX1556" s="42" t="str">
        <f t="array" aca="1" ref="VX1556" ca="1">IFERROR(INDEX(nombres[],SMALL(IF(OFFSET(nombres[],0,0,ROWS(nombres[]),1)=VX$1490,ROW(OFFSET(nombres[],0,0,ROWS(nombres[]),1))-ROW(OFFSET(nombres[],0,0,1,1))+1,ROW(OFFSET(nombres[],ROWS(nombres[])-1,0,1,1))+1),$O1556:$O1575),3),"")</f>
        <v/>
      </c>
      <c r="VY1556" s="42" t="str">
        <f t="array" aca="1" ref="VY1556" ca="1">IFERROR(INDEX(nombres[],SMALL(IF(OFFSET(nombres[],0,0,ROWS(nombres[]),1)=VY$1490,ROW(OFFSET(nombres[],0,0,ROWS(nombres[]),1))-ROW(OFFSET(nombres[],0,0,1,1))+1,ROW(OFFSET(nombres[],ROWS(nombres[])-1,0,1,1))+1),$O1556:$O1575),3),"")</f>
        <v/>
      </c>
      <c r="VZ1556" s="42" t="str">
        <f t="array" aca="1" ref="VZ1556" ca="1">IFERROR(INDEX(nombres[],SMALL(IF(OFFSET(nombres[],0,0,ROWS(nombres[]),1)=VZ$1490,ROW(OFFSET(nombres[],0,0,ROWS(nombres[]),1))-ROW(OFFSET(nombres[],0,0,1,1))+1,ROW(OFFSET(nombres[],ROWS(nombres[])-1,0,1,1))+1),$O1556:$O1575),3),"")</f>
        <v/>
      </c>
      <c r="WA1556" s="42" t="str">
        <f t="array" aca="1" ref="WA1556" ca="1">IFERROR(INDEX(nombres[],SMALL(IF(OFFSET(nombres[],0,0,ROWS(nombres[]),1)=WA$1490,ROW(OFFSET(nombres[],0,0,ROWS(nombres[]),1))-ROW(OFFSET(nombres[],0,0,1,1))+1,ROW(OFFSET(nombres[],ROWS(nombres[])-1,0,1,1))+1),$O1556:$O1575),3),"")</f>
        <v/>
      </c>
      <c r="WB1556" s="42" t="str">
        <f t="array" aca="1" ref="WB1556" ca="1">IFERROR(INDEX(nombres[],SMALL(IF(OFFSET(nombres[],0,0,ROWS(nombres[]),1)=WB$1490,ROW(OFFSET(nombres[],0,0,ROWS(nombres[]),1))-ROW(OFFSET(nombres[],0,0,1,1))+1,ROW(OFFSET(nombres[],ROWS(nombres[])-1,0,1,1))+1),$O1556:$O1575),3),"")</f>
        <v/>
      </c>
      <c r="WC1556" s="42" t="str">
        <f t="array" aca="1" ref="WC1556" ca="1">IFERROR(INDEX(nombres[],SMALL(IF(OFFSET(nombres[],0,0,ROWS(nombres[]),1)=WC$1490,ROW(OFFSET(nombres[],0,0,ROWS(nombres[]),1))-ROW(OFFSET(nombres[],0,0,1,1))+1,ROW(OFFSET(nombres[],ROWS(nombres[])-1,0,1,1))+1),$O1556:$O1575),3),"")</f>
        <v/>
      </c>
      <c r="WD1556" s="42" t="str">
        <f t="array" aca="1" ref="WD1556" ca="1">IFERROR(INDEX(nombres[],SMALL(IF(OFFSET(nombres[],0,0,ROWS(nombres[]),1)=WD$1490,ROW(OFFSET(nombres[],0,0,ROWS(nombres[]),1))-ROW(OFFSET(nombres[],0,0,1,1))+1,ROW(OFFSET(nombres[],ROWS(nombres[])-1,0,1,1))+1),$O1556:$O1575),3),"")</f>
        <v/>
      </c>
      <c r="WE1556" s="42" t="str">
        <f t="array" aca="1" ref="WE1556" ca="1">IFERROR(INDEX(nombres[],SMALL(IF(OFFSET(nombres[],0,0,ROWS(nombres[]),1)=WE$1490,ROW(OFFSET(nombres[],0,0,ROWS(nombres[]),1))-ROW(OFFSET(nombres[],0,0,1,1))+1,ROW(OFFSET(nombres[],ROWS(nombres[])-1,0,1,1))+1),$O1556:$O1575),3),"")</f>
        <v/>
      </c>
      <c r="WF1556" s="42" t="str">
        <f t="array" aca="1" ref="WF1556" ca="1">IFERROR(INDEX(nombres[],SMALL(IF(OFFSET(nombres[],0,0,ROWS(nombres[]),1)=WF$1490,ROW(OFFSET(nombres[],0,0,ROWS(nombres[]),1))-ROW(OFFSET(nombres[],0,0,1,1))+1,ROW(OFFSET(nombres[],ROWS(nombres[])-1,0,1,1))+1),$O1556:$O1575),3),"")</f>
        <v/>
      </c>
      <c r="WG1556" s="42" t="str">
        <f t="array" aca="1" ref="WG1556" ca="1">IFERROR(INDEX(nombres[],SMALL(IF(OFFSET(nombres[],0,0,ROWS(nombres[]),1)=WG$1490,ROW(OFFSET(nombres[],0,0,ROWS(nombres[]),1))-ROW(OFFSET(nombres[],0,0,1,1))+1,ROW(OFFSET(nombres[],ROWS(nombres[])-1,0,1,1))+1),$O1556:$O1575),3),"")</f>
        <v/>
      </c>
      <c r="WH1556" s="42" t="str">
        <f t="array" aca="1" ref="WH1556" ca="1">IFERROR(INDEX(nombres[],SMALL(IF(OFFSET(nombres[],0,0,ROWS(nombres[]),1)=WH$1490,ROW(OFFSET(nombres[],0,0,ROWS(nombres[]),1))-ROW(OFFSET(nombres[],0,0,1,1))+1,ROW(OFFSET(nombres[],ROWS(nombres[])-1,0,1,1))+1),$O1556:$O1575),3),"")</f>
        <v/>
      </c>
      <c r="WI1556" s="42" t="str">
        <f t="array" aca="1" ref="WI1556" ca="1">IFERROR(INDEX(nombres[],SMALL(IF(OFFSET(nombres[],0,0,ROWS(nombres[]),1)=WI$1490,ROW(OFFSET(nombres[],0,0,ROWS(nombres[]),1))-ROW(OFFSET(nombres[],0,0,1,1))+1,ROW(OFFSET(nombres[],ROWS(nombres[])-1,0,1,1))+1),$O1556:$O1575),3),"")</f>
        <v/>
      </c>
      <c r="WJ1556" s="42" t="str">
        <f t="array" aca="1" ref="WJ1556" ca="1">IFERROR(INDEX(nombres[],SMALL(IF(OFFSET(nombres[],0,0,ROWS(nombres[]),1)=WJ$1490,ROW(OFFSET(nombres[],0,0,ROWS(nombres[]),1))-ROW(OFFSET(nombres[],0,0,1,1))+1,ROW(OFFSET(nombres[],ROWS(nombres[])-1,0,1,1))+1),$O1556:$O1575),3),"")</f>
        <v/>
      </c>
      <c r="WK1556" s="42" t="str">
        <f t="array" aca="1" ref="WK1556" ca="1">IFERROR(INDEX(nombres[],SMALL(IF(OFFSET(nombres[],0,0,ROWS(nombres[]),1)=WK$1490,ROW(OFFSET(nombres[],0,0,ROWS(nombres[]),1))-ROW(OFFSET(nombres[],0,0,1,1))+1,ROW(OFFSET(nombres[],ROWS(nombres[])-1,0,1,1))+1),$O1556:$O1575),3),"")</f>
        <v/>
      </c>
      <c r="WL1556" s="42" t="str">
        <f t="array" aca="1" ref="WL1556" ca="1">IFERROR(INDEX(nombres[],SMALL(IF(OFFSET(nombres[],0,0,ROWS(nombres[]),1)=WL$1490,ROW(OFFSET(nombres[],0,0,ROWS(nombres[]),1))-ROW(OFFSET(nombres[],0,0,1,1))+1,ROW(OFFSET(nombres[],ROWS(nombres[])-1,0,1,1))+1),$O1556:$O1575),3),"")</f>
        <v/>
      </c>
      <c r="WM1556" s="42" t="str">
        <f t="array" aca="1" ref="WM1556" ca="1">IFERROR(INDEX(nombres[],SMALL(IF(OFFSET(nombres[],0,0,ROWS(nombres[]),1)=WM$1490,ROW(OFFSET(nombres[],0,0,ROWS(nombres[]),1))-ROW(OFFSET(nombres[],0,0,1,1))+1,ROW(OFFSET(nombres[],ROWS(nombres[])-1,0,1,1))+1),$O1556:$O1575),3),"")</f>
        <v/>
      </c>
      <c r="WN1556" s="42" t="str">
        <f t="array" aca="1" ref="WN1556" ca="1">IFERROR(INDEX(nombres[],SMALL(IF(OFFSET(nombres[],0,0,ROWS(nombres[]),1)=WN$1490,ROW(OFFSET(nombres[],0,0,ROWS(nombres[]),1))-ROW(OFFSET(nombres[],0,0,1,1))+1,ROW(OFFSET(nombres[],ROWS(nombres[])-1,0,1,1))+1),$O1556:$O1575),3),"")</f>
        <v/>
      </c>
      <c r="WO1556" s="42" t="str">
        <f t="array" aca="1" ref="WO1556" ca="1">IFERROR(INDEX(nombres[],SMALL(IF(OFFSET(nombres[],0,0,ROWS(nombres[]),1)=WO$1490,ROW(OFFSET(nombres[],0,0,ROWS(nombres[]),1))-ROW(OFFSET(nombres[],0,0,1,1))+1,ROW(OFFSET(nombres[],ROWS(nombres[])-1,0,1,1))+1),$O1556:$O1575),3),"")</f>
        <v/>
      </c>
      <c r="WP1556" s="42" t="str">
        <f t="array" aca="1" ref="WP1556" ca="1">IFERROR(INDEX(nombres[],SMALL(IF(OFFSET(nombres[],0,0,ROWS(nombres[]),1)=WP$1490,ROW(OFFSET(nombres[],0,0,ROWS(nombres[]),1))-ROW(OFFSET(nombres[],0,0,1,1))+1,ROW(OFFSET(nombres[],ROWS(nombres[])-1,0,1,1))+1),$O1556:$O1575),3),"")</f>
        <v/>
      </c>
      <c r="WQ1556" s="42" t="str">
        <f t="array" aca="1" ref="WQ1556" ca="1">IFERROR(INDEX(nombres[],SMALL(IF(OFFSET(nombres[],0,0,ROWS(nombres[]),1)=WQ$1490,ROW(OFFSET(nombres[],0,0,ROWS(nombres[]),1))-ROW(OFFSET(nombres[],0,0,1,1))+1,ROW(OFFSET(nombres[],ROWS(nombres[])-1,0,1,1))+1),$O1556:$O1575),3),"")</f>
        <v/>
      </c>
      <c r="WR1556" s="42" t="str">
        <f t="array" aca="1" ref="WR1556" ca="1">IFERROR(INDEX(nombres[],SMALL(IF(OFFSET(nombres[],0,0,ROWS(nombres[]),1)=WR$1490,ROW(OFFSET(nombres[],0,0,ROWS(nombres[]),1))-ROW(OFFSET(nombres[],0,0,1,1))+1,ROW(OFFSET(nombres[],ROWS(nombres[])-1,0,1,1))+1),$O1556:$O1575),3),"")</f>
        <v/>
      </c>
      <c r="WS1556" s="42" t="str">
        <f t="array" aca="1" ref="WS1556" ca="1">IFERROR(INDEX(nombres[],SMALL(IF(OFFSET(nombres[],0,0,ROWS(nombres[]),1)=WS$1490,ROW(OFFSET(nombres[],0,0,ROWS(nombres[]),1))-ROW(OFFSET(nombres[],0,0,1,1))+1,ROW(OFFSET(nombres[],ROWS(nombres[])-1,0,1,1))+1),$O1556:$O1575),3),"")</f>
        <v/>
      </c>
      <c r="WT1556" s="42" t="str">
        <f t="array" aca="1" ref="WT1556" ca="1">IFERROR(INDEX(nombres[],SMALL(IF(OFFSET(nombres[],0,0,ROWS(nombres[]),1)=WT$1490,ROW(OFFSET(nombres[],0,0,ROWS(nombres[]),1))-ROW(OFFSET(nombres[],0,0,1,1))+1,ROW(OFFSET(nombres[],ROWS(nombres[])-1,0,1,1))+1),$O1556:$O1575),3),"")</f>
        <v/>
      </c>
      <c r="WU1556" s="42" t="str">
        <f t="array" aca="1" ref="WU1556" ca="1">IFERROR(INDEX(nombres[],SMALL(IF(OFFSET(nombres[],0,0,ROWS(nombres[]),1)=WU$1490,ROW(OFFSET(nombres[],0,0,ROWS(nombres[]),1))-ROW(OFFSET(nombres[],0,0,1,1))+1,ROW(OFFSET(nombres[],ROWS(nombres[])-1,0,1,1))+1),$O1556:$O1575),3),"")</f>
        <v/>
      </c>
      <c r="WV1556" s="42" t="str">
        <f t="array" aca="1" ref="WV1556" ca="1">IFERROR(INDEX(nombres[],SMALL(IF(OFFSET(nombres[],0,0,ROWS(nombres[]),1)=WV$1490,ROW(OFFSET(nombres[],0,0,ROWS(nombres[]),1))-ROW(OFFSET(nombres[],0,0,1,1))+1,ROW(OFFSET(nombres[],ROWS(nombres[])-1,0,1,1))+1),$O1556:$O1575),3),"")</f>
        <v/>
      </c>
      <c r="WW1556" s="42" t="str">
        <f t="array" aca="1" ref="WW1556" ca="1">IFERROR(INDEX(nombres[],SMALL(IF(OFFSET(nombres[],0,0,ROWS(nombres[]),1)=WW$1490,ROW(OFFSET(nombres[],0,0,ROWS(nombres[]),1))-ROW(OFFSET(nombres[],0,0,1,1))+1,ROW(OFFSET(nombres[],ROWS(nombres[])-1,0,1,1))+1),$O1556:$O1575),3),"")</f>
        <v/>
      </c>
      <c r="WX1556" s="42" t="str">
        <f t="array" aca="1" ref="WX1556" ca="1">IFERROR(INDEX(nombres[],SMALL(IF(OFFSET(nombres[],0,0,ROWS(nombres[]),1)=WX$1490,ROW(OFFSET(nombres[],0,0,ROWS(nombres[]),1))-ROW(OFFSET(nombres[],0,0,1,1))+1,ROW(OFFSET(nombres[],ROWS(nombres[])-1,0,1,1))+1),$O1556:$O1575),3),"")</f>
        <v/>
      </c>
      <c r="WY1556" s="42" t="str">
        <f t="array" aca="1" ref="WY1556" ca="1">IFERROR(INDEX(nombres[],SMALL(IF(OFFSET(nombres[],0,0,ROWS(nombres[]),1)=WY$1490,ROW(OFFSET(nombres[],0,0,ROWS(nombres[]),1))-ROW(OFFSET(nombres[],0,0,1,1))+1,ROW(OFFSET(nombres[],ROWS(nombres[])-1,0,1,1))+1),$O1556:$O1575),3),"")</f>
        <v/>
      </c>
      <c r="WZ1556" s="42" t="str">
        <f t="array" aca="1" ref="WZ1556" ca="1">IFERROR(INDEX(nombres[],SMALL(IF(OFFSET(nombres[],0,0,ROWS(nombres[]),1)=WZ$1490,ROW(OFFSET(nombres[],0,0,ROWS(nombres[]),1))-ROW(OFFSET(nombres[],0,0,1,1))+1,ROW(OFFSET(nombres[],ROWS(nombres[])-1,0,1,1))+1),$O1556:$O1575),3),"")</f>
        <v/>
      </c>
      <c r="XA1556" s="42" t="str">
        <f t="array" aca="1" ref="XA1556" ca="1">IFERROR(INDEX(nombres[],SMALL(IF(OFFSET(nombres[],0,0,ROWS(nombres[]),1)=XA$1490,ROW(OFFSET(nombres[],0,0,ROWS(nombres[]),1))-ROW(OFFSET(nombres[],0,0,1,1))+1,ROW(OFFSET(nombres[],ROWS(nombres[])-1,0,1,1))+1),$O1556:$O1575),3),"")</f>
        <v/>
      </c>
      <c r="XB1556" s="42" t="str">
        <f t="array" aca="1" ref="XB1556" ca="1">IFERROR(INDEX(nombres[],SMALL(IF(OFFSET(nombres[],0,0,ROWS(nombres[]),1)=XB$1490,ROW(OFFSET(nombres[],0,0,ROWS(nombres[]),1))-ROW(OFFSET(nombres[],0,0,1,1))+1,ROW(OFFSET(nombres[],ROWS(nombres[])-1,0,1,1))+1),$O1556:$O1575),3),"")</f>
        <v/>
      </c>
      <c r="XC1556" s="42" t="str">
        <f t="array" aca="1" ref="XC1556" ca="1">IFERROR(INDEX(nombres[],SMALL(IF(OFFSET(nombres[],0,0,ROWS(nombres[]),1)=XC$1490,ROW(OFFSET(nombres[],0,0,ROWS(nombres[]),1))-ROW(OFFSET(nombres[],0,0,1,1))+1,ROW(OFFSET(nombres[],ROWS(nombres[])-1,0,1,1))+1),$O1556:$O1575),3),"")</f>
        <v/>
      </c>
      <c r="XD1556" s="42" t="str">
        <f t="array" aca="1" ref="XD1556" ca="1">IFERROR(INDEX(nombres[],SMALL(IF(OFFSET(nombres[],0,0,ROWS(nombres[]),1)=XD$1490,ROW(OFFSET(nombres[],0,0,ROWS(nombres[]),1))-ROW(OFFSET(nombres[],0,0,1,1))+1,ROW(OFFSET(nombres[],ROWS(nombres[])-1,0,1,1))+1),$O1556:$O1575),3),"")</f>
        <v/>
      </c>
      <c r="XE1556" s="42" t="str">
        <f t="array" aca="1" ref="XE1556" ca="1">IFERROR(INDEX(nombres[],SMALL(IF(OFFSET(nombres[],0,0,ROWS(nombres[]),1)=XE$1490,ROW(OFFSET(nombres[],0,0,ROWS(nombres[]),1))-ROW(OFFSET(nombres[],0,0,1,1))+1,ROW(OFFSET(nombres[],ROWS(nombres[])-1,0,1,1))+1),$O1556:$O1575),3),"")</f>
        <v/>
      </c>
      <c r="XF1556" s="42" t="str">
        <f t="array" aca="1" ref="XF1556" ca="1">IFERROR(INDEX(nombres[],SMALL(IF(OFFSET(nombres[],0,0,ROWS(nombres[]),1)=XF$1490,ROW(OFFSET(nombres[],0,0,ROWS(nombres[]),1))-ROW(OFFSET(nombres[],0,0,1,1))+1,ROW(OFFSET(nombres[],ROWS(nombres[])-1,0,1,1))+1),$O1556:$O1575),3),"")</f>
        <v/>
      </c>
      <c r="XG1556" s="42" t="str">
        <f t="array" aca="1" ref="XG1556" ca="1">IFERROR(INDEX(nombres[],SMALL(IF(OFFSET(nombres[],0,0,ROWS(nombres[]),1)=XG$1490,ROW(OFFSET(nombres[],0,0,ROWS(nombres[]),1))-ROW(OFFSET(nombres[],0,0,1,1))+1,ROW(OFFSET(nombres[],ROWS(nombres[])-1,0,1,1))+1),$O1556:$O1575),3),"")</f>
        <v/>
      </c>
      <c r="XH1556" s="42" t="str">
        <f t="array" aca="1" ref="XH1556" ca="1">IFERROR(INDEX(nombres[],SMALL(IF(OFFSET(nombres[],0,0,ROWS(nombres[]),1)=XH$1490,ROW(OFFSET(nombres[],0,0,ROWS(nombres[]),1))-ROW(OFFSET(nombres[],0,0,1,1))+1,ROW(OFFSET(nombres[],ROWS(nombres[])-1,0,1,1))+1),$O1556:$O1575),3),"")</f>
        <v/>
      </c>
      <c r="XI1556" s="42" t="str">
        <f t="array" aca="1" ref="XI1556" ca="1">IFERROR(INDEX(nombres[],SMALL(IF(OFFSET(nombres[],0,0,ROWS(nombres[]),1)=XI$1490,ROW(OFFSET(nombres[],0,0,ROWS(nombres[]),1))-ROW(OFFSET(nombres[],0,0,1,1))+1,ROW(OFFSET(nombres[],ROWS(nombres[])-1,0,1,1))+1),$O1556:$O1575),3),"")</f>
        <v/>
      </c>
      <c r="XJ1556" s="42" t="str">
        <f t="array" aca="1" ref="XJ1556" ca="1">IFERROR(INDEX(nombres[],SMALL(IF(OFFSET(nombres[],0,0,ROWS(nombres[]),1)=XJ$1490,ROW(OFFSET(nombres[],0,0,ROWS(nombres[]),1))-ROW(OFFSET(nombres[],0,0,1,1))+1,ROW(OFFSET(nombres[],ROWS(nombres[])-1,0,1,1))+1),$O1556:$O1575),3),"")</f>
        <v/>
      </c>
      <c r="XK1556" s="42" t="str">
        <f t="array" aca="1" ref="XK1556" ca="1">IFERROR(INDEX(nombres[],SMALL(IF(OFFSET(nombres[],0,0,ROWS(nombres[]),1)=XK$1490,ROW(OFFSET(nombres[],0,0,ROWS(nombres[]),1))-ROW(OFFSET(nombres[],0,0,1,1))+1,ROW(OFFSET(nombres[],ROWS(nombres[])-1,0,1,1))+1),$O1556:$O1575),3),"")</f>
        <v/>
      </c>
      <c r="XL1556" s="42" t="str">
        <f t="array" aca="1" ref="XL1556" ca="1">IFERROR(INDEX(nombres[],SMALL(IF(OFFSET(nombres[],0,0,ROWS(nombres[]),1)=XL$1490,ROW(OFFSET(nombres[],0,0,ROWS(nombres[]),1))-ROW(OFFSET(nombres[],0,0,1,1))+1,ROW(OFFSET(nombres[],ROWS(nombres[])-1,0,1,1))+1),$O1556:$O1575),3),"")</f>
        <v/>
      </c>
      <c r="XM1556" s="42" t="str">
        <f t="array" aca="1" ref="XM1556" ca="1">IFERROR(INDEX(nombres[],SMALL(IF(OFFSET(nombres[],0,0,ROWS(nombres[]),1)=XM$1490,ROW(OFFSET(nombres[],0,0,ROWS(nombres[]),1))-ROW(OFFSET(nombres[],0,0,1,1))+1,ROW(OFFSET(nombres[],ROWS(nombres[])-1,0,1,1))+1),$O1556:$O1575),3),"")</f>
        <v/>
      </c>
      <c r="XN1556" s="42" t="str">
        <f t="array" aca="1" ref="XN1556" ca="1">IFERROR(INDEX(nombres[],SMALL(IF(OFFSET(nombres[],0,0,ROWS(nombres[]),1)=XN$1490,ROW(OFFSET(nombres[],0,0,ROWS(nombres[]),1))-ROW(OFFSET(nombres[],0,0,1,1))+1,ROW(OFFSET(nombres[],ROWS(nombres[])-1,0,1,1))+1),$O1556:$O1575),3),"")</f>
        <v/>
      </c>
      <c r="XO1556" s="42" t="str">
        <f t="array" aca="1" ref="XO1556" ca="1">IFERROR(INDEX(nombres[],SMALL(IF(OFFSET(nombres[],0,0,ROWS(nombres[]),1)=XO$1490,ROW(OFFSET(nombres[],0,0,ROWS(nombres[]),1))-ROW(OFFSET(nombres[],0,0,1,1))+1,ROW(OFFSET(nombres[],ROWS(nombres[])-1,0,1,1))+1),$O1556:$O1575),3),"")</f>
        <v/>
      </c>
      <c r="XP1556" s="42" t="str">
        <f t="array" aca="1" ref="XP1556" ca="1">IFERROR(INDEX(nombres[],SMALL(IF(OFFSET(nombres[],0,0,ROWS(nombres[]),1)=XP$1490,ROW(OFFSET(nombres[],0,0,ROWS(nombres[]),1))-ROW(OFFSET(nombres[],0,0,1,1))+1,ROW(OFFSET(nombres[],ROWS(nombres[])-1,0,1,1))+1),$O1556:$O1575),3),"")</f>
        <v/>
      </c>
      <c r="XQ1556" s="42" t="str">
        <f t="array" aca="1" ref="XQ1556" ca="1">IFERROR(INDEX(nombres[],SMALL(IF(OFFSET(nombres[],0,0,ROWS(nombres[]),1)=XQ$1490,ROW(OFFSET(nombres[],0,0,ROWS(nombres[]),1))-ROW(OFFSET(nombres[],0,0,1,1))+1,ROW(OFFSET(nombres[],ROWS(nombres[])-1,0,1,1))+1),$O1556:$O1575),3),"")</f>
        <v/>
      </c>
      <c r="XR1556" s="42" t="str">
        <f t="array" aca="1" ref="XR1556" ca="1">IFERROR(INDEX(nombres[],SMALL(IF(OFFSET(nombres[],0,0,ROWS(nombres[]),1)=XR$1490,ROW(OFFSET(nombres[],0,0,ROWS(nombres[]),1))-ROW(OFFSET(nombres[],0,0,1,1))+1,ROW(OFFSET(nombres[],ROWS(nombres[])-1,0,1,1))+1),$O1556:$O1575),3),"")</f>
        <v/>
      </c>
      <c r="XS1556" s="42" t="str">
        <f t="array" aca="1" ref="XS1556" ca="1">IFERROR(INDEX(nombres[],SMALL(IF(OFFSET(nombres[],0,0,ROWS(nombres[]),1)=XS$1490,ROW(OFFSET(nombres[],0,0,ROWS(nombres[]),1))-ROW(OFFSET(nombres[],0,0,1,1))+1,ROW(OFFSET(nombres[],ROWS(nombres[])-1,0,1,1))+1),$O1556:$O1575),3),"")</f>
        <v/>
      </c>
      <c r="XT1556" s="42" t="str">
        <f t="array" aca="1" ref="XT1556" ca="1">IFERROR(INDEX(nombres[],SMALL(IF(OFFSET(nombres[],0,0,ROWS(nombres[]),1)=XT$1490,ROW(OFFSET(nombres[],0,0,ROWS(nombres[]),1))-ROW(OFFSET(nombres[],0,0,1,1))+1,ROW(OFFSET(nombres[],ROWS(nombres[])-1,0,1,1))+1),$O1556:$O1575),3),"")</f>
        <v/>
      </c>
      <c r="XU1556" s="42" t="str">
        <f t="array" aca="1" ref="XU1556" ca="1">IFERROR(INDEX(nombres[],SMALL(IF(OFFSET(nombres[],0,0,ROWS(nombres[]),1)=XU$1490,ROW(OFFSET(nombres[],0,0,ROWS(nombres[]),1))-ROW(OFFSET(nombres[],0,0,1,1))+1,ROW(OFFSET(nombres[],ROWS(nombres[])-1,0,1,1))+1),$O1556:$O1575),3),"")</f>
        <v/>
      </c>
      <c r="XV1556" s="42" t="str">
        <f t="array" aca="1" ref="XV1556" ca="1">IFERROR(INDEX(nombres[],SMALL(IF(OFFSET(nombres[],0,0,ROWS(nombres[]),1)=XV$1490,ROW(OFFSET(nombres[],0,0,ROWS(nombres[]),1))-ROW(OFFSET(nombres[],0,0,1,1))+1,ROW(OFFSET(nombres[],ROWS(nombres[])-1,0,1,1))+1),$O1556:$O1575),3),"")</f>
        <v/>
      </c>
      <c r="XW1556" s="42" t="str">
        <f t="array" aca="1" ref="XW1556" ca="1">IFERROR(INDEX(nombres[],SMALL(IF(OFFSET(nombres[],0,0,ROWS(nombres[]),1)=XW$1490,ROW(OFFSET(nombres[],0,0,ROWS(nombres[]),1))-ROW(OFFSET(nombres[],0,0,1,1))+1,ROW(OFFSET(nombres[],ROWS(nombres[])-1,0,1,1))+1),$O1556:$O1575),3),"")</f>
        <v/>
      </c>
      <c r="XX1556" s="42" t="str">
        <f t="array" aca="1" ref="XX1556" ca="1">IFERROR(INDEX(nombres[],SMALL(IF(OFFSET(nombres[],0,0,ROWS(nombres[]),1)=XX$1490,ROW(OFFSET(nombres[],0,0,ROWS(nombres[]),1))-ROW(OFFSET(nombres[],0,0,1,1))+1,ROW(OFFSET(nombres[],ROWS(nombres[])-1,0,1,1))+1),$O1556:$O1575),3),"")</f>
        <v/>
      </c>
      <c r="XY1556" s="42" t="str">
        <f t="array" aca="1" ref="XY1556" ca="1">IFERROR(INDEX(nombres[],SMALL(IF(OFFSET(nombres[],0,0,ROWS(nombres[]),1)=XY$1490,ROW(OFFSET(nombres[],0,0,ROWS(nombres[]),1))-ROW(OFFSET(nombres[],0,0,1,1))+1,ROW(OFFSET(nombres[],ROWS(nombres[])-1,0,1,1))+1),$O1556:$O1575),3),"")</f>
        <v/>
      </c>
      <c r="XZ1556" s="42" t="str">
        <f t="array" aca="1" ref="XZ1556" ca="1">IFERROR(INDEX(nombres[],SMALL(IF(OFFSET(nombres[],0,0,ROWS(nombres[]),1)=XZ$1490,ROW(OFFSET(nombres[],0,0,ROWS(nombres[]),1))-ROW(OFFSET(nombres[],0,0,1,1))+1,ROW(OFFSET(nombres[],ROWS(nombres[])-1,0,1,1))+1),$O1556:$O1575),3),"")</f>
        <v/>
      </c>
      <c r="YA1556" s="42" t="str">
        <f t="array" aca="1" ref="YA1556" ca="1">IFERROR(INDEX(nombres[],SMALL(IF(OFFSET(nombres[],0,0,ROWS(nombres[]),1)=YA$1490,ROW(OFFSET(nombres[],0,0,ROWS(nombres[]),1))-ROW(OFFSET(nombres[],0,0,1,1))+1,ROW(OFFSET(nombres[],ROWS(nombres[])-1,0,1,1))+1),$O1556:$O1575),3),"")</f>
        <v/>
      </c>
      <c r="YB1556" s="42" t="str">
        <f t="array" aca="1" ref="YB1556" ca="1">IFERROR(INDEX(nombres[],SMALL(IF(OFFSET(nombres[],0,0,ROWS(nombres[]),1)=YB$1490,ROW(OFFSET(nombres[],0,0,ROWS(nombres[]),1))-ROW(OFFSET(nombres[],0,0,1,1))+1,ROW(OFFSET(nombres[],ROWS(nombres[])-1,0,1,1))+1),$O1556:$O1575),3),"")</f>
        <v/>
      </c>
      <c r="YC1556" s="42" t="str">
        <f t="array" aca="1" ref="YC1556" ca="1">IFERROR(INDEX(nombres[],SMALL(IF(OFFSET(nombres[],0,0,ROWS(nombres[]),1)=YC$1490,ROW(OFFSET(nombres[],0,0,ROWS(nombres[]),1))-ROW(OFFSET(nombres[],0,0,1,1))+1,ROW(OFFSET(nombres[],ROWS(nombres[])-1,0,1,1))+1),$O1556:$O1575),3),"")</f>
        <v/>
      </c>
      <c r="YD1556" s="42" t="str">
        <f t="array" aca="1" ref="YD1556" ca="1">IFERROR(INDEX(nombres[],SMALL(IF(OFFSET(nombres[],0,0,ROWS(nombres[]),1)=YD$1490,ROW(OFFSET(nombres[],0,0,ROWS(nombres[]),1))-ROW(OFFSET(nombres[],0,0,1,1))+1,ROW(OFFSET(nombres[],ROWS(nombres[])-1,0,1,1))+1),$O1556:$O1575),3),"")</f>
        <v/>
      </c>
      <c r="YE1556" s="42" t="str">
        <f t="array" aca="1" ref="YE1556" ca="1">IFERROR(INDEX(nombres[],SMALL(IF(OFFSET(nombres[],0,0,ROWS(nombres[]),1)=YE$1490,ROW(OFFSET(nombres[],0,0,ROWS(nombres[]),1))-ROW(OFFSET(nombres[],0,0,1,1))+1,ROW(OFFSET(nombres[],ROWS(nombres[])-1,0,1,1))+1),$O1556:$O1575),3),"")</f>
        <v/>
      </c>
      <c r="YF1556" s="42" t="str">
        <f t="array" aca="1" ref="YF1556" ca="1">IFERROR(INDEX(nombres[],SMALL(IF(OFFSET(nombres[],0,0,ROWS(nombres[]),1)=YF$1490,ROW(OFFSET(nombres[],0,0,ROWS(nombres[]),1))-ROW(OFFSET(nombres[],0,0,1,1))+1,ROW(OFFSET(nombres[],ROWS(nombres[])-1,0,1,1))+1),$O1556:$O1575),3),"")</f>
        <v/>
      </c>
      <c r="YG1556" s="42" t="str">
        <f t="array" aca="1" ref="YG1556" ca="1">IFERROR(INDEX(nombres[],SMALL(IF(OFFSET(nombres[],0,0,ROWS(nombres[]),1)=YG$1490,ROW(OFFSET(nombres[],0,0,ROWS(nombres[]),1))-ROW(OFFSET(nombres[],0,0,1,1))+1,ROW(OFFSET(nombres[],ROWS(nombres[])-1,0,1,1))+1),$O1556:$O1575),3),"")</f>
        <v/>
      </c>
      <c r="YH1556" s="42" t="str">
        <f t="array" aca="1" ref="YH1556" ca="1">IFERROR(INDEX(nombres[],SMALL(IF(OFFSET(nombres[],0,0,ROWS(nombres[]),1)=YH$1490,ROW(OFFSET(nombres[],0,0,ROWS(nombres[]),1))-ROW(OFFSET(nombres[],0,0,1,1))+1,ROW(OFFSET(nombres[],ROWS(nombres[])-1,0,1,1))+1),$O1556:$O1575),3),"")</f>
        <v/>
      </c>
      <c r="YI1556" s="42" t="str">
        <f t="array" aca="1" ref="YI1556" ca="1">IFERROR(INDEX(nombres[],SMALL(IF(OFFSET(nombres[],0,0,ROWS(nombres[]),1)=YI$1490,ROW(OFFSET(nombres[],0,0,ROWS(nombres[]),1))-ROW(OFFSET(nombres[],0,0,1,1))+1,ROW(OFFSET(nombres[],ROWS(nombres[])-1,0,1,1))+1),$O1556:$O1575),3),"")</f>
        <v/>
      </c>
      <c r="YJ1556" s="42" t="str">
        <f t="array" aca="1" ref="YJ1556" ca="1">IFERROR(INDEX(nombres[],SMALL(IF(OFFSET(nombres[],0,0,ROWS(nombres[]),1)=YJ$1490,ROW(OFFSET(nombres[],0,0,ROWS(nombres[]),1))-ROW(OFFSET(nombres[],0,0,1,1))+1,ROW(OFFSET(nombres[],ROWS(nombres[])-1,0,1,1))+1),$O1556:$O1575),3),"")</f>
        <v/>
      </c>
      <c r="YK1556" s="42" t="str">
        <f t="array" aca="1" ref="YK1556" ca="1">IFERROR(INDEX(nombres[],SMALL(IF(OFFSET(nombres[],0,0,ROWS(nombres[]),1)=YK$1490,ROW(OFFSET(nombres[],0,0,ROWS(nombres[]),1))-ROW(OFFSET(nombres[],0,0,1,1))+1,ROW(OFFSET(nombres[],ROWS(nombres[])-1,0,1,1))+1),$O1556:$O1575),3),"")</f>
        <v/>
      </c>
      <c r="YL1556" s="42" t="str">
        <f t="array" aca="1" ref="YL1556" ca="1">IFERROR(INDEX(nombres[],SMALL(IF(OFFSET(nombres[],0,0,ROWS(nombres[]),1)=YL$1490,ROW(OFFSET(nombres[],0,0,ROWS(nombres[]),1))-ROW(OFFSET(nombres[],0,0,1,1))+1,ROW(OFFSET(nombres[],ROWS(nombres[])-1,0,1,1))+1),$O1556:$O1575),3),"")</f>
        <v/>
      </c>
      <c r="YM1556" s="42" t="str">
        <f t="array" aca="1" ref="YM1556" ca="1">IFERROR(INDEX(nombres[],SMALL(IF(OFFSET(nombres[],0,0,ROWS(nombres[]),1)=YM$1490,ROW(OFFSET(nombres[],0,0,ROWS(nombres[]),1))-ROW(OFFSET(nombres[],0,0,1,1))+1,ROW(OFFSET(nombres[],ROWS(nombres[])-1,0,1,1))+1),$O1556:$O1575),3),"")</f>
        <v/>
      </c>
      <c r="YN1556" s="42" t="str">
        <f t="array" aca="1" ref="YN1556" ca="1">IFERROR(INDEX(nombres[],SMALL(IF(OFFSET(nombres[],0,0,ROWS(nombres[]),1)=YN$1490,ROW(OFFSET(nombres[],0,0,ROWS(nombres[]),1))-ROW(OFFSET(nombres[],0,0,1,1))+1,ROW(OFFSET(nombres[],ROWS(nombres[])-1,0,1,1))+1),$O1556:$O1575),3),"")</f>
        <v/>
      </c>
      <c r="YO1556" s="42" t="str">
        <f t="array" aca="1" ref="YO1556" ca="1">IFERROR(INDEX(nombres[],SMALL(IF(OFFSET(nombres[],0,0,ROWS(nombres[]),1)=YO$1490,ROW(OFFSET(nombres[],0,0,ROWS(nombres[]),1))-ROW(OFFSET(nombres[],0,0,1,1))+1,ROW(OFFSET(nombres[],ROWS(nombres[])-1,0,1,1))+1),$O1556:$O1575),3),"")</f>
        <v/>
      </c>
      <c r="YP1556" s="42" t="str">
        <f t="array" aca="1" ref="YP1556" ca="1">IFERROR(INDEX(nombres[],SMALL(IF(OFFSET(nombres[],0,0,ROWS(nombres[]),1)=YP$1490,ROW(OFFSET(nombres[],0,0,ROWS(nombres[]),1))-ROW(OFFSET(nombres[],0,0,1,1))+1,ROW(OFFSET(nombres[],ROWS(nombres[])-1,0,1,1))+1),$O1556:$O1575),3),"")</f>
        <v/>
      </c>
      <c r="YQ1556" s="42" t="str">
        <f t="array" aca="1" ref="YQ1556" ca="1">IFERROR(INDEX(nombres[],SMALL(IF(OFFSET(nombres[],0,0,ROWS(nombres[]),1)=YQ$1490,ROW(OFFSET(nombres[],0,0,ROWS(nombres[]),1))-ROW(OFFSET(nombres[],0,0,1,1))+1,ROW(OFFSET(nombres[],ROWS(nombres[])-1,0,1,1))+1),$O1556:$O1575),3),"")</f>
        <v/>
      </c>
      <c r="YR1556" s="42" t="str">
        <f t="array" aca="1" ref="YR1556" ca="1">IFERROR(INDEX(nombres[],SMALL(IF(OFFSET(nombres[],0,0,ROWS(nombres[]),1)=YR$1490,ROW(OFFSET(nombres[],0,0,ROWS(nombres[]),1))-ROW(OFFSET(nombres[],0,0,1,1))+1,ROW(OFFSET(nombres[],ROWS(nombres[])-1,0,1,1))+1),$O1556:$O1575),3),"")</f>
        <v/>
      </c>
      <c r="YS1556" s="42" t="str">
        <f t="array" aca="1" ref="YS1556" ca="1">IFERROR(INDEX(nombres[],SMALL(IF(OFFSET(nombres[],0,0,ROWS(nombres[]),1)=YS$1490,ROW(OFFSET(nombres[],0,0,ROWS(nombres[]),1))-ROW(OFFSET(nombres[],0,0,1,1))+1,ROW(OFFSET(nombres[],ROWS(nombres[])-1,0,1,1))+1),$O1556:$O1575),3),"")</f>
        <v/>
      </c>
      <c r="YT1556" s="42" t="str">
        <f t="array" aca="1" ref="YT1556" ca="1">IFERROR(INDEX(nombres[],SMALL(IF(OFFSET(nombres[],0,0,ROWS(nombres[]),1)=YT$1490,ROW(OFFSET(nombres[],0,0,ROWS(nombres[]),1))-ROW(OFFSET(nombres[],0,0,1,1))+1,ROW(OFFSET(nombres[],ROWS(nombres[])-1,0,1,1))+1),$O1556:$O1575),3),"")</f>
        <v/>
      </c>
      <c r="YU1556" s="42" t="str">
        <f t="array" aca="1" ref="YU1556" ca="1">IFERROR(INDEX(nombres[],SMALL(IF(OFFSET(nombres[],0,0,ROWS(nombres[]),1)=YU$1490,ROW(OFFSET(nombres[],0,0,ROWS(nombres[]),1))-ROW(OFFSET(nombres[],0,0,1,1))+1,ROW(OFFSET(nombres[],ROWS(nombres[])-1,0,1,1))+1),$O1556:$O1575),3),"")</f>
        <v/>
      </c>
      <c r="YV1556" s="42" t="str">
        <f t="array" aca="1" ref="YV1556" ca="1">IFERROR(INDEX(nombres[],SMALL(IF(OFFSET(nombres[],0,0,ROWS(nombres[]),1)=YV$1490,ROW(OFFSET(nombres[],0,0,ROWS(nombres[]),1))-ROW(OFFSET(nombres[],0,0,1,1))+1,ROW(OFFSET(nombres[],ROWS(nombres[])-1,0,1,1))+1),$O1556:$O1575),3),"")</f>
        <v/>
      </c>
      <c r="YW1556" s="42" t="str">
        <f t="array" aca="1" ref="YW1556" ca="1">IFERROR(INDEX(nombres[],SMALL(IF(OFFSET(nombres[],0,0,ROWS(nombres[]),1)=YW$1490,ROW(OFFSET(nombres[],0,0,ROWS(nombres[]),1))-ROW(OFFSET(nombres[],0,0,1,1))+1,ROW(OFFSET(nombres[],ROWS(nombres[])-1,0,1,1))+1),$O1556:$O1575),3),"")</f>
        <v/>
      </c>
      <c r="YX1556" s="42" t="str">
        <f t="array" aca="1" ref="YX1556" ca="1">IFERROR(INDEX(nombres[],SMALL(IF(OFFSET(nombres[],0,0,ROWS(nombres[]),1)=YX$1490,ROW(OFFSET(nombres[],0,0,ROWS(nombres[]),1))-ROW(OFFSET(nombres[],0,0,1,1))+1,ROW(OFFSET(nombres[],ROWS(nombres[])-1,0,1,1))+1),$O1556:$O1575),3),"")</f>
        <v/>
      </c>
      <c r="YY1556" s="42" t="str">
        <f t="array" aca="1" ref="YY1556" ca="1">IFERROR(INDEX(nombres[],SMALL(IF(OFFSET(nombres[],0,0,ROWS(nombres[]),1)=YY$1490,ROW(OFFSET(nombres[],0,0,ROWS(nombres[]),1))-ROW(OFFSET(nombres[],0,0,1,1))+1,ROW(OFFSET(nombres[],ROWS(nombres[])-1,0,1,1))+1),$O1556:$O1575),3),"")</f>
        <v/>
      </c>
      <c r="YZ1556" s="42" t="str">
        <f t="array" aca="1" ref="YZ1556" ca="1">IFERROR(INDEX(nombres[],SMALL(IF(OFFSET(nombres[],0,0,ROWS(nombres[]),1)=YZ$1490,ROW(OFFSET(nombres[],0,0,ROWS(nombres[]),1))-ROW(OFFSET(nombres[],0,0,1,1))+1,ROW(OFFSET(nombres[],ROWS(nombres[])-1,0,1,1))+1),$O1556:$O1575),3),"")</f>
        <v/>
      </c>
      <c r="ZA1556" s="42" t="str">
        <f t="array" aca="1" ref="ZA1556" ca="1">IFERROR(INDEX(nombres[],SMALL(IF(OFFSET(nombres[],0,0,ROWS(nombres[]),1)=ZA$1490,ROW(OFFSET(nombres[],0,0,ROWS(nombres[]),1))-ROW(OFFSET(nombres[],0,0,1,1))+1,ROW(OFFSET(nombres[],ROWS(nombres[])-1,0,1,1))+1),$O1556:$O1575),3),"")</f>
        <v/>
      </c>
      <c r="ZB1556" s="42" t="str">
        <f t="array" aca="1" ref="ZB1556" ca="1">IFERROR(INDEX(nombres[],SMALL(IF(OFFSET(nombres[],0,0,ROWS(nombres[]),1)=ZB$1490,ROW(OFFSET(nombres[],0,0,ROWS(nombres[]),1))-ROW(OFFSET(nombres[],0,0,1,1))+1,ROW(OFFSET(nombres[],ROWS(nombres[])-1,0,1,1))+1),$O1556:$O1575),3),"")</f>
        <v/>
      </c>
      <c r="ZC1556" s="42" t="str">
        <f t="array" aca="1" ref="ZC1556" ca="1">IFERROR(INDEX(nombres[],SMALL(IF(OFFSET(nombres[],0,0,ROWS(nombres[]),1)=ZC$1490,ROW(OFFSET(nombres[],0,0,ROWS(nombres[]),1))-ROW(OFFSET(nombres[],0,0,1,1))+1,ROW(OFFSET(nombres[],ROWS(nombres[])-1,0,1,1))+1),$O1556:$O1575),3),"")</f>
        <v/>
      </c>
      <c r="ZD1556" s="42" t="str">
        <f t="array" aca="1" ref="ZD1556" ca="1">IFERROR(INDEX(nombres[],SMALL(IF(OFFSET(nombres[],0,0,ROWS(nombres[]),1)=ZD$1490,ROW(OFFSET(nombres[],0,0,ROWS(nombres[]),1))-ROW(OFFSET(nombres[],0,0,1,1))+1,ROW(OFFSET(nombres[],ROWS(nombres[])-1,0,1,1))+1),$O1556:$O1575),3),"")</f>
        <v/>
      </c>
      <c r="ZE1556" s="42" t="str">
        <f t="array" aca="1" ref="ZE1556" ca="1">IFERROR(INDEX(nombres[],SMALL(IF(OFFSET(nombres[],0,0,ROWS(nombres[]),1)=ZE$1490,ROW(OFFSET(nombres[],0,0,ROWS(nombres[]),1))-ROW(OFFSET(nombres[],0,0,1,1))+1,ROW(OFFSET(nombres[],ROWS(nombres[])-1,0,1,1))+1),$O1556:$O1575),3),"")</f>
        <v/>
      </c>
      <c r="ZF1556" s="42" t="str">
        <f t="array" aca="1" ref="ZF1556" ca="1">IFERROR(INDEX(nombres[],SMALL(IF(OFFSET(nombres[],0,0,ROWS(nombres[]),1)=ZF$1490,ROW(OFFSET(nombres[],0,0,ROWS(nombres[]),1))-ROW(OFFSET(nombres[],0,0,1,1))+1,ROW(OFFSET(nombres[],ROWS(nombres[])-1,0,1,1))+1),$O1556:$O1575),3),"")</f>
        <v/>
      </c>
      <c r="ZG1556" s="42" t="str">
        <f t="array" aca="1" ref="ZG1556" ca="1">IFERROR(INDEX(nombres[],SMALL(IF(OFFSET(nombres[],0,0,ROWS(nombres[]),1)=ZG$1490,ROW(OFFSET(nombres[],0,0,ROWS(nombres[]),1))-ROW(OFFSET(nombres[],0,0,1,1))+1,ROW(OFFSET(nombres[],ROWS(nombres[])-1,0,1,1))+1),$O1556:$O1575),3),"")</f>
        <v/>
      </c>
      <c r="ZH1556" s="42" t="str">
        <f t="array" aca="1" ref="ZH1556" ca="1">IFERROR(INDEX(nombres[],SMALL(IF(OFFSET(nombres[],0,0,ROWS(nombres[]),1)=ZH$1490,ROW(OFFSET(nombres[],0,0,ROWS(nombres[]),1))-ROW(OFFSET(nombres[],0,0,1,1))+1,ROW(OFFSET(nombres[],ROWS(nombres[])-1,0,1,1))+1),$O1556:$O1575),3),"")</f>
        <v/>
      </c>
      <c r="ZI1556" s="42" t="str">
        <f t="array" aca="1" ref="ZI1556" ca="1">IFERROR(INDEX(nombres[],SMALL(IF(OFFSET(nombres[],0,0,ROWS(nombres[]),1)=ZI$1490,ROW(OFFSET(nombres[],0,0,ROWS(nombres[]),1))-ROW(OFFSET(nombres[],0,0,1,1))+1,ROW(OFFSET(nombres[],ROWS(nombres[])-1,0,1,1))+1),$O1556:$O1575),3),"")</f>
        <v/>
      </c>
      <c r="ZJ1556" s="42" t="str">
        <f t="array" aca="1" ref="ZJ1556" ca="1">IFERROR(INDEX(nombres[],SMALL(IF(OFFSET(nombres[],0,0,ROWS(nombres[]),1)=ZJ$1490,ROW(OFFSET(nombres[],0,0,ROWS(nombres[]),1))-ROW(OFFSET(nombres[],0,0,1,1))+1,ROW(OFFSET(nombres[],ROWS(nombres[])-1,0,1,1))+1),$O1556:$O1575),3),"")</f>
        <v/>
      </c>
      <c r="ZK1556" s="42" t="str">
        <f t="array" aca="1" ref="ZK1556" ca="1">IFERROR(INDEX(nombres[],SMALL(IF(OFFSET(nombres[],0,0,ROWS(nombres[]),1)=ZK$1490,ROW(OFFSET(nombres[],0,0,ROWS(nombres[]),1))-ROW(OFFSET(nombres[],0,0,1,1))+1,ROW(OFFSET(nombres[],ROWS(nombres[])-1,0,1,1))+1),$O1556:$O1575),3),"")</f>
        <v/>
      </c>
      <c r="ZL1556" s="42" t="str">
        <f t="array" aca="1" ref="ZL1556" ca="1">IFERROR(INDEX(nombres[],SMALL(IF(OFFSET(nombres[],0,0,ROWS(nombres[]),1)=ZL$1490,ROW(OFFSET(nombres[],0,0,ROWS(nombres[]),1))-ROW(OFFSET(nombres[],0,0,1,1))+1,ROW(OFFSET(nombres[],ROWS(nombres[])-1,0,1,1))+1),$O1556:$O1575),3),"")</f>
        <v/>
      </c>
      <c r="ZM1556" s="42" t="str">
        <f t="array" aca="1" ref="ZM1556" ca="1">IFERROR(INDEX(nombres[],SMALL(IF(OFFSET(nombres[],0,0,ROWS(nombres[]),1)=ZM$1490,ROW(OFFSET(nombres[],0,0,ROWS(nombres[]),1))-ROW(OFFSET(nombres[],0,0,1,1))+1,ROW(OFFSET(nombres[],ROWS(nombres[])-1,0,1,1))+1),$O1556:$O1575),3),"")</f>
        <v/>
      </c>
      <c r="ZN1556" s="42" t="str">
        <f t="array" aca="1" ref="ZN1556" ca="1">IFERROR(INDEX(nombres[],SMALL(IF(OFFSET(nombres[],0,0,ROWS(nombres[]),1)=ZN$1490,ROW(OFFSET(nombres[],0,0,ROWS(nombres[]),1))-ROW(OFFSET(nombres[],0,0,1,1))+1,ROW(OFFSET(nombres[],ROWS(nombres[])-1,0,1,1))+1),$O1556:$O1575),3),"")</f>
        <v/>
      </c>
      <c r="ZO1556" s="42" t="str">
        <f t="array" aca="1" ref="ZO1556" ca="1">IFERROR(INDEX(nombres[],SMALL(IF(OFFSET(nombres[],0,0,ROWS(nombres[]),1)=ZO$1490,ROW(OFFSET(nombres[],0,0,ROWS(nombres[]),1))-ROW(OFFSET(nombres[],0,0,1,1))+1,ROW(OFFSET(nombres[],ROWS(nombres[])-1,0,1,1))+1),$O1556:$O1575),3),"")</f>
        <v/>
      </c>
      <c r="ZP1556" s="42" t="str">
        <f t="array" aca="1" ref="ZP1556" ca="1">IFERROR(INDEX(nombres[],SMALL(IF(OFFSET(nombres[],0,0,ROWS(nombres[]),1)=ZP$1490,ROW(OFFSET(nombres[],0,0,ROWS(nombres[]),1))-ROW(OFFSET(nombres[],0,0,1,1))+1,ROW(OFFSET(nombres[],ROWS(nombres[])-1,0,1,1))+1),$O1556:$O1575),3),"")</f>
        <v/>
      </c>
      <c r="ZQ1556" s="42" t="str">
        <f t="array" aca="1" ref="ZQ1556" ca="1">IFERROR(INDEX(nombres[],SMALL(IF(OFFSET(nombres[],0,0,ROWS(nombres[]),1)=ZQ$1490,ROW(OFFSET(nombres[],0,0,ROWS(nombres[]),1))-ROW(OFFSET(nombres[],0,0,1,1))+1,ROW(OFFSET(nombres[],ROWS(nombres[])-1,0,1,1))+1),$O1556:$O1575),3),"")</f>
        <v/>
      </c>
      <c r="ZR1556" s="42" t="str">
        <f t="array" aca="1" ref="ZR1556" ca="1">IFERROR(INDEX(nombres[],SMALL(IF(OFFSET(nombres[],0,0,ROWS(nombres[]),1)=ZR$1490,ROW(OFFSET(nombres[],0,0,ROWS(nombres[]),1))-ROW(OFFSET(nombres[],0,0,1,1))+1,ROW(OFFSET(nombres[],ROWS(nombres[])-1,0,1,1))+1),$O1556:$O1575),3),"")</f>
        <v/>
      </c>
      <c r="ZS1556" s="42" t="str">
        <f t="array" aca="1" ref="ZS1556" ca="1">IFERROR(INDEX(nombres[],SMALL(IF(OFFSET(nombres[],0,0,ROWS(nombres[]),1)=ZS$1490,ROW(OFFSET(nombres[],0,0,ROWS(nombres[]),1))-ROW(OFFSET(nombres[],0,0,1,1))+1,ROW(OFFSET(nombres[],ROWS(nombres[])-1,0,1,1))+1),$O1556:$O1575),3),"")</f>
        <v/>
      </c>
      <c r="ZT1556" s="42" t="str">
        <f t="array" aca="1" ref="ZT1556" ca="1">IFERROR(INDEX(nombres[],SMALL(IF(OFFSET(nombres[],0,0,ROWS(nombres[]),1)=ZT$1490,ROW(OFFSET(nombres[],0,0,ROWS(nombres[]),1))-ROW(OFFSET(nombres[],0,0,1,1))+1,ROW(OFFSET(nombres[],ROWS(nombres[])-1,0,1,1))+1),$O1556:$O1575),3),"")</f>
        <v/>
      </c>
      <c r="ZU1556" s="42" t="str">
        <f t="array" aca="1" ref="ZU1556" ca="1">IFERROR(INDEX(nombres[],SMALL(IF(OFFSET(nombres[],0,0,ROWS(nombres[]),1)=ZU$1490,ROW(OFFSET(nombres[],0,0,ROWS(nombres[]),1))-ROW(OFFSET(nombres[],0,0,1,1))+1,ROW(OFFSET(nombres[],ROWS(nombres[])-1,0,1,1))+1),$O1556:$O1575),3),"")</f>
        <v/>
      </c>
      <c r="ZV1556" s="42" t="str">
        <f t="array" aca="1" ref="ZV1556" ca="1">IFERROR(INDEX(nombres[],SMALL(IF(OFFSET(nombres[],0,0,ROWS(nombres[]),1)=ZV$1490,ROW(OFFSET(nombres[],0,0,ROWS(nombres[]),1))-ROW(OFFSET(nombres[],0,0,1,1))+1,ROW(OFFSET(nombres[],ROWS(nombres[])-1,0,1,1))+1),$O1556:$O1575),3),"")</f>
        <v/>
      </c>
      <c r="ZW1556" s="42" t="str">
        <f t="array" aca="1" ref="ZW1556" ca="1">IFERROR(INDEX(nombres[],SMALL(IF(OFFSET(nombres[],0,0,ROWS(nombres[]),1)=ZW$1490,ROW(OFFSET(nombres[],0,0,ROWS(nombres[]),1))-ROW(OFFSET(nombres[],0,0,1,1))+1,ROW(OFFSET(nombres[],ROWS(nombres[])-1,0,1,1))+1),$O1556:$O1575),3),"")</f>
        <v/>
      </c>
      <c r="ZX1556" s="42" t="str">
        <f t="array" aca="1" ref="ZX1556" ca="1">IFERROR(INDEX(nombres[],SMALL(IF(OFFSET(nombres[],0,0,ROWS(nombres[]),1)=ZX$1490,ROW(OFFSET(nombres[],0,0,ROWS(nombres[]),1))-ROW(OFFSET(nombres[],0,0,1,1))+1,ROW(OFFSET(nombres[],ROWS(nombres[])-1,0,1,1))+1),$O1556:$O1575),3),"")</f>
        <v/>
      </c>
      <c r="ZY1556" s="42" t="str">
        <f t="array" aca="1" ref="ZY1556" ca="1">IFERROR(INDEX(nombres[],SMALL(IF(OFFSET(nombres[],0,0,ROWS(nombres[]),1)=ZY$1490,ROW(OFFSET(nombres[],0,0,ROWS(nombres[]),1))-ROW(OFFSET(nombres[],0,0,1,1))+1,ROW(OFFSET(nombres[],ROWS(nombres[])-1,0,1,1))+1),$O1556:$O1575),3),"")</f>
        <v/>
      </c>
      <c r="ZZ1556" s="42" t="str">
        <f t="array" aca="1" ref="ZZ1556" ca="1">IFERROR(INDEX(nombres[],SMALL(IF(OFFSET(nombres[],0,0,ROWS(nombres[]),1)=ZZ$1490,ROW(OFFSET(nombres[],0,0,ROWS(nombres[]),1))-ROW(OFFSET(nombres[],0,0,1,1))+1,ROW(OFFSET(nombres[],ROWS(nombres[])-1,0,1,1))+1),$O1556:$O1575),3),"")</f>
        <v/>
      </c>
      <c r="AAA1556" s="42" t="str">
        <f t="array" aca="1" ref="AAA1556" ca="1">IFERROR(INDEX(nombres[],SMALL(IF(OFFSET(nombres[],0,0,ROWS(nombres[]),1)=AAA$1490,ROW(OFFSET(nombres[],0,0,ROWS(nombres[]),1))-ROW(OFFSET(nombres[],0,0,1,1))+1,ROW(OFFSET(nombres[],ROWS(nombres[])-1,0,1,1))+1),$O1556:$O1575),3),"")</f>
        <v/>
      </c>
      <c r="AAB1556" s="42" t="str">
        <f t="array" aca="1" ref="AAB1556" ca="1">IFERROR(INDEX(nombres[],SMALL(IF(OFFSET(nombres[],0,0,ROWS(nombres[]),1)=AAB$1490,ROW(OFFSET(nombres[],0,0,ROWS(nombres[]),1))-ROW(OFFSET(nombres[],0,0,1,1))+1,ROW(OFFSET(nombres[],ROWS(nombres[])-1,0,1,1))+1),$O1556:$O1575),3),"")</f>
        <v/>
      </c>
      <c r="AAC1556" s="42" t="str">
        <f t="array" aca="1" ref="AAC1556" ca="1">IFERROR(INDEX(nombres[],SMALL(IF(OFFSET(nombres[],0,0,ROWS(nombres[]),1)=AAC$1490,ROW(OFFSET(nombres[],0,0,ROWS(nombres[]),1))-ROW(OFFSET(nombres[],0,0,1,1))+1,ROW(OFFSET(nombres[],ROWS(nombres[])-1,0,1,1))+1),$O1556:$O1575),3),"")</f>
        <v/>
      </c>
      <c r="AAD1556" s="42" t="str">
        <f t="array" aca="1" ref="AAD1556" ca="1">IFERROR(INDEX(nombres[],SMALL(IF(OFFSET(nombres[],0,0,ROWS(nombres[]),1)=AAD$1490,ROW(OFFSET(nombres[],0,0,ROWS(nombres[]),1))-ROW(OFFSET(nombres[],0,0,1,1))+1,ROW(OFFSET(nombres[],ROWS(nombres[])-1,0,1,1))+1),$O1556:$O1575),3),"")</f>
        <v/>
      </c>
      <c r="AAE1556" s="42" t="str">
        <f t="array" aca="1" ref="AAE1556" ca="1">IFERROR(INDEX(nombres[],SMALL(IF(OFFSET(nombres[],0,0,ROWS(nombres[]),1)=AAE$1490,ROW(OFFSET(nombres[],0,0,ROWS(nombres[]),1))-ROW(OFFSET(nombres[],0,0,1,1))+1,ROW(OFFSET(nombres[],ROWS(nombres[])-1,0,1,1))+1),$O1556:$O1575),3),"")</f>
        <v/>
      </c>
      <c r="AAF1556" s="42" t="str">
        <f t="array" aca="1" ref="AAF1556" ca="1">IFERROR(INDEX(nombres[],SMALL(IF(OFFSET(nombres[],0,0,ROWS(nombres[]),1)=AAF$1490,ROW(OFFSET(nombres[],0,0,ROWS(nombres[]),1))-ROW(OFFSET(nombres[],0,0,1,1))+1,ROW(OFFSET(nombres[],ROWS(nombres[])-1,0,1,1))+1),$O1556:$O1575),3),"")</f>
        <v/>
      </c>
      <c r="AAG1556" s="42" t="str">
        <f t="array" aca="1" ref="AAG1556" ca="1">IFERROR(INDEX(nombres[],SMALL(IF(OFFSET(nombres[],0,0,ROWS(nombres[]),1)=AAG$1490,ROW(OFFSET(nombres[],0,0,ROWS(nombres[]),1))-ROW(OFFSET(nombres[],0,0,1,1))+1,ROW(OFFSET(nombres[],ROWS(nombres[])-1,0,1,1))+1),$O1556:$O1575),3),"")</f>
        <v/>
      </c>
      <c r="AAH1556" s="42" t="str">
        <f t="array" aca="1" ref="AAH1556" ca="1">IFERROR(INDEX(nombres[],SMALL(IF(OFFSET(nombres[],0,0,ROWS(nombres[]),1)=AAH$1490,ROW(OFFSET(nombres[],0,0,ROWS(nombres[]),1))-ROW(OFFSET(nombres[],0,0,1,1))+1,ROW(OFFSET(nombres[],ROWS(nombres[])-1,0,1,1))+1),$O1556:$O1575),3),"")</f>
        <v/>
      </c>
      <c r="AAI1556" s="42" t="str">
        <f t="array" aca="1" ref="AAI1556" ca="1">IFERROR(INDEX(nombres[],SMALL(IF(OFFSET(nombres[],0,0,ROWS(nombres[]),1)=AAI$1490,ROW(OFFSET(nombres[],0,0,ROWS(nombres[]),1))-ROW(OFFSET(nombres[],0,0,1,1))+1,ROW(OFFSET(nombres[],ROWS(nombres[])-1,0,1,1))+1),$O1556:$O1575),3),"")</f>
        <v/>
      </c>
      <c r="AAJ1556" s="42" t="str">
        <f t="array" aca="1" ref="AAJ1556" ca="1">IFERROR(INDEX(nombres[],SMALL(IF(OFFSET(nombres[],0,0,ROWS(nombres[]),1)=AAJ$1490,ROW(OFFSET(nombres[],0,0,ROWS(nombres[]),1))-ROW(OFFSET(nombres[],0,0,1,1))+1,ROW(OFFSET(nombres[],ROWS(nombres[])-1,0,1,1))+1),$O1556:$O1575),3),"")</f>
        <v/>
      </c>
      <c r="AAK1556" s="42" t="str">
        <f t="array" aca="1" ref="AAK1556" ca="1">IFERROR(INDEX(nombres[],SMALL(IF(OFFSET(nombres[],0,0,ROWS(nombres[]),1)=AAK$1490,ROW(OFFSET(nombres[],0,0,ROWS(nombres[]),1))-ROW(OFFSET(nombres[],0,0,1,1))+1,ROW(OFFSET(nombres[],ROWS(nombres[])-1,0,1,1))+1),$O1556:$O1575),3),"")</f>
        <v/>
      </c>
      <c r="AAL1556" s="42" t="str">
        <f t="array" aca="1" ref="AAL1556" ca="1">IFERROR(INDEX(nombres[],SMALL(IF(OFFSET(nombres[],0,0,ROWS(nombres[]),1)=AAL$1490,ROW(OFFSET(nombres[],0,0,ROWS(nombres[]),1))-ROW(OFFSET(nombres[],0,0,1,1))+1,ROW(OFFSET(nombres[],ROWS(nombres[])-1,0,1,1))+1),$O1556:$O1575),3),"")</f>
        <v/>
      </c>
      <c r="AAM1556" s="42" t="str">
        <f t="array" aca="1" ref="AAM1556" ca="1">IFERROR(INDEX(nombres[],SMALL(IF(OFFSET(nombres[],0,0,ROWS(nombres[]),1)=AAM$1490,ROW(OFFSET(nombres[],0,0,ROWS(nombres[]),1))-ROW(OFFSET(nombres[],0,0,1,1))+1,ROW(OFFSET(nombres[],ROWS(nombres[])-1,0,1,1))+1),$O1556:$O1575),3),"")</f>
        <v/>
      </c>
      <c r="AAN1556" s="42" t="str">
        <f t="array" aca="1" ref="AAN1556" ca="1">IFERROR(INDEX(nombres[],SMALL(IF(OFFSET(nombres[],0,0,ROWS(nombres[]),1)=AAN$1490,ROW(OFFSET(nombres[],0,0,ROWS(nombres[]),1))-ROW(OFFSET(nombres[],0,0,1,1))+1,ROW(OFFSET(nombres[],ROWS(nombres[])-1,0,1,1))+1),$O1556:$O1575),3),"")</f>
        <v/>
      </c>
      <c r="AAO1556" s="42" t="str">
        <f t="array" aca="1" ref="AAO1556" ca="1">IFERROR(INDEX(nombres[],SMALL(IF(OFFSET(nombres[],0,0,ROWS(nombres[]),1)=AAO$1490,ROW(OFFSET(nombres[],0,0,ROWS(nombres[]),1))-ROW(OFFSET(nombres[],0,0,1,1))+1,ROW(OFFSET(nombres[],ROWS(nombres[])-1,0,1,1))+1),$O1556:$O1575),3),"")</f>
        <v/>
      </c>
      <c r="AAP1556" s="42" t="str">
        <f t="array" aca="1" ref="AAP1556" ca="1">IFERROR(INDEX(nombres[],SMALL(IF(OFFSET(nombres[],0,0,ROWS(nombres[]),1)=AAP$1490,ROW(OFFSET(nombres[],0,0,ROWS(nombres[]),1))-ROW(OFFSET(nombres[],0,0,1,1))+1,ROW(OFFSET(nombres[],ROWS(nombres[])-1,0,1,1))+1),$O1556:$O1575),3),"")</f>
        <v/>
      </c>
      <c r="AAQ1556" s="42" t="str">
        <f t="array" aca="1" ref="AAQ1556" ca="1">IFERROR(INDEX(nombres[],SMALL(IF(OFFSET(nombres[],0,0,ROWS(nombres[]),1)=AAQ$1490,ROW(OFFSET(nombres[],0,0,ROWS(nombres[]),1))-ROW(OFFSET(nombres[],0,0,1,1))+1,ROW(OFFSET(nombres[],ROWS(nombres[])-1,0,1,1))+1),$O1556:$O1575),3),"")</f>
        <v/>
      </c>
      <c r="AAR1556" s="42" t="str">
        <f t="array" aca="1" ref="AAR1556" ca="1">IFERROR(INDEX(nombres[],SMALL(IF(OFFSET(nombres[],0,0,ROWS(nombres[]),1)=AAR$1490,ROW(OFFSET(nombres[],0,0,ROWS(nombres[]),1))-ROW(OFFSET(nombres[],0,0,1,1))+1,ROW(OFFSET(nombres[],ROWS(nombres[])-1,0,1,1))+1),$O1556:$O1575),3),"")</f>
        <v/>
      </c>
      <c r="AAS1556" s="42" t="str">
        <f t="array" aca="1" ref="AAS1556" ca="1">IFERROR(INDEX(nombres[],SMALL(IF(OFFSET(nombres[],0,0,ROWS(nombres[]),1)=AAS$1490,ROW(OFFSET(nombres[],0,0,ROWS(nombres[]),1))-ROW(OFFSET(nombres[],0,0,1,1))+1,ROW(OFFSET(nombres[],ROWS(nombres[])-1,0,1,1))+1),$O1556:$O1575),3),"")</f>
        <v/>
      </c>
      <c r="AAT1556" s="42" t="str">
        <f t="array" aca="1" ref="AAT1556" ca="1">IFERROR(INDEX(nombres[],SMALL(IF(OFFSET(nombres[],0,0,ROWS(nombres[]),1)=AAT$1490,ROW(OFFSET(nombres[],0,0,ROWS(nombres[]),1))-ROW(OFFSET(nombres[],0,0,1,1))+1,ROW(OFFSET(nombres[],ROWS(nombres[])-1,0,1,1))+1),$O1556:$O1575),3),"")</f>
        <v/>
      </c>
      <c r="AAU1556" s="42" t="str">
        <f t="array" aca="1" ref="AAU1556" ca="1">IFERROR(INDEX(nombres[],SMALL(IF(OFFSET(nombres[],0,0,ROWS(nombres[]),1)=AAU$1490,ROW(OFFSET(nombres[],0,0,ROWS(nombres[]),1))-ROW(OFFSET(nombres[],0,0,1,1))+1,ROW(OFFSET(nombres[],ROWS(nombres[])-1,0,1,1))+1),$O1556:$O1575),3),"")</f>
        <v/>
      </c>
      <c r="AAV1556" s="42" t="str">
        <f t="array" aca="1" ref="AAV1556" ca="1">IFERROR(INDEX(nombres[],SMALL(IF(OFFSET(nombres[],0,0,ROWS(nombres[]),1)=AAV$1490,ROW(OFFSET(nombres[],0,0,ROWS(nombres[]),1))-ROW(OFFSET(nombres[],0,0,1,1))+1,ROW(OFFSET(nombres[],ROWS(nombres[])-1,0,1,1))+1),$O1556:$O1575),3),"")</f>
        <v/>
      </c>
      <c r="AAW1556" s="42" t="str">
        <f t="array" aca="1" ref="AAW1556" ca="1">IFERROR(INDEX(nombres[],SMALL(IF(OFFSET(nombres[],0,0,ROWS(nombres[]),1)=AAW$1490,ROW(OFFSET(nombres[],0,0,ROWS(nombres[]),1))-ROW(OFFSET(nombres[],0,0,1,1))+1,ROW(OFFSET(nombres[],ROWS(nombres[])-1,0,1,1))+1),$O1556:$O1575),3),"")</f>
        <v/>
      </c>
      <c r="AAX1556" s="42" t="str">
        <f t="array" aca="1" ref="AAX1556" ca="1">IFERROR(INDEX(nombres[],SMALL(IF(OFFSET(nombres[],0,0,ROWS(nombres[]),1)=AAX$1490,ROW(OFFSET(nombres[],0,0,ROWS(nombres[]),1))-ROW(OFFSET(nombres[],0,0,1,1))+1,ROW(OFFSET(nombres[],ROWS(nombres[])-1,0,1,1))+1),$O1556:$O1575),3),"")</f>
        <v/>
      </c>
      <c r="AAY1556" s="42" t="str">
        <f t="array" aca="1" ref="AAY1556" ca="1">IFERROR(INDEX(nombres[],SMALL(IF(OFFSET(nombres[],0,0,ROWS(nombres[]),1)=AAY$1490,ROW(OFFSET(nombres[],0,0,ROWS(nombres[]),1))-ROW(OFFSET(nombres[],0,0,1,1))+1,ROW(OFFSET(nombres[],ROWS(nombres[])-1,0,1,1))+1),$O1556:$O1575),3),"")</f>
        <v/>
      </c>
      <c r="AAZ1556" s="42" t="str">
        <f t="array" aca="1" ref="AAZ1556" ca="1">IFERROR(INDEX(nombres[],SMALL(IF(OFFSET(nombres[],0,0,ROWS(nombres[]),1)=AAZ$1490,ROW(OFFSET(nombres[],0,0,ROWS(nombres[]),1))-ROW(OFFSET(nombres[],0,0,1,1))+1,ROW(OFFSET(nombres[],ROWS(nombres[])-1,0,1,1))+1),$O1556:$O1575),3),"")</f>
        <v/>
      </c>
      <c r="ABA1556" s="42" t="str">
        <f t="array" aca="1" ref="ABA1556" ca="1">IFERROR(INDEX(nombres[],SMALL(IF(OFFSET(nombres[],0,0,ROWS(nombres[]),1)=ABA$1490,ROW(OFFSET(nombres[],0,0,ROWS(nombres[]),1))-ROW(OFFSET(nombres[],0,0,1,1))+1,ROW(OFFSET(nombres[],ROWS(nombres[])-1,0,1,1))+1),$O1556:$O1575),3),"")</f>
        <v/>
      </c>
      <c r="ABB1556" s="42" t="str">
        <f t="array" aca="1" ref="ABB1556" ca="1">IFERROR(INDEX(nombres[],SMALL(IF(OFFSET(nombres[],0,0,ROWS(nombres[]),1)=ABB$1490,ROW(OFFSET(nombres[],0,0,ROWS(nombres[]),1))-ROW(OFFSET(nombres[],0,0,1,1))+1,ROW(OFFSET(nombres[],ROWS(nombres[])-1,0,1,1))+1),$O1556:$O1575),3),"")</f>
        <v/>
      </c>
      <c r="ABC1556" s="42" t="str">
        <f t="array" aca="1" ref="ABC1556" ca="1">IFERROR(INDEX(nombres[],SMALL(IF(OFFSET(nombres[],0,0,ROWS(nombres[]),1)=ABC$1490,ROW(OFFSET(nombres[],0,0,ROWS(nombres[]),1))-ROW(OFFSET(nombres[],0,0,1,1))+1,ROW(OFFSET(nombres[],ROWS(nombres[])-1,0,1,1))+1),$O1556:$O1575),3),"")</f>
        <v/>
      </c>
      <c r="ABD1556" s="42" t="str">
        <f t="array" aca="1" ref="ABD1556" ca="1">IFERROR(INDEX(nombres[],SMALL(IF(OFFSET(nombres[],0,0,ROWS(nombres[]),1)=ABD$1490,ROW(OFFSET(nombres[],0,0,ROWS(nombres[]),1))-ROW(OFFSET(nombres[],0,0,1,1))+1,ROW(OFFSET(nombres[],ROWS(nombres[])-1,0,1,1))+1),$O1556:$O1575),3),"")</f>
        <v/>
      </c>
      <c r="ABE1556" s="42" t="str">
        <f t="array" aca="1" ref="ABE1556" ca="1">IFERROR(INDEX(nombres[],SMALL(IF(OFFSET(nombres[],0,0,ROWS(nombres[]),1)=ABE$1490,ROW(OFFSET(nombres[],0,0,ROWS(nombres[]),1))-ROW(OFFSET(nombres[],0,0,1,1))+1,ROW(OFFSET(nombres[],ROWS(nombres[])-1,0,1,1))+1),$O1556:$O1575),3),"")</f>
        <v/>
      </c>
      <c r="ABF1556" s="42" t="str">
        <f t="array" aca="1" ref="ABF1556" ca="1">IFERROR(INDEX(nombres[],SMALL(IF(OFFSET(nombres[],0,0,ROWS(nombres[]),1)=ABF$1490,ROW(OFFSET(nombres[],0,0,ROWS(nombres[]),1))-ROW(OFFSET(nombres[],0,0,1,1))+1,ROW(OFFSET(nombres[],ROWS(nombres[])-1,0,1,1))+1),$O1556:$O1575),3),"")</f>
        <v/>
      </c>
      <c r="ABG1556" s="42" t="str">
        <f t="array" aca="1" ref="ABG1556" ca="1">IFERROR(INDEX(nombres[],SMALL(IF(OFFSET(nombres[],0,0,ROWS(nombres[]),1)=ABG$1490,ROW(OFFSET(nombres[],0,0,ROWS(nombres[]),1))-ROW(OFFSET(nombres[],0,0,1,1))+1,ROW(OFFSET(nombres[],ROWS(nombres[])-1,0,1,1))+1),$O1556:$O1575),3),"")</f>
        <v/>
      </c>
      <c r="ABH1556" s="42" t="str">
        <f t="array" aca="1" ref="ABH1556" ca="1">IFERROR(INDEX(nombres[],SMALL(IF(OFFSET(nombres[],0,0,ROWS(nombres[]),1)=ABH$1490,ROW(OFFSET(nombres[],0,0,ROWS(nombres[]),1))-ROW(OFFSET(nombres[],0,0,1,1))+1,ROW(OFFSET(nombres[],ROWS(nombres[])-1,0,1,1))+1),$O1556:$O1575),3),"")</f>
        <v/>
      </c>
      <c r="ABI1556" s="42" t="str">
        <f t="array" aca="1" ref="ABI1556" ca="1">IFERROR(INDEX(nombres[],SMALL(IF(OFFSET(nombres[],0,0,ROWS(nombres[]),1)=ABI$1490,ROW(OFFSET(nombres[],0,0,ROWS(nombres[]),1))-ROW(OFFSET(nombres[],0,0,1,1))+1,ROW(OFFSET(nombres[],ROWS(nombres[])-1,0,1,1))+1),$O1556:$O1575),3),"")</f>
        <v/>
      </c>
      <c r="ABJ1556" s="42" t="str">
        <f t="array" aca="1" ref="ABJ1556" ca="1">IFERROR(INDEX(nombres[],SMALL(IF(OFFSET(nombres[],0,0,ROWS(nombres[]),1)=ABJ$1490,ROW(OFFSET(nombres[],0,0,ROWS(nombres[]),1))-ROW(OFFSET(nombres[],0,0,1,1))+1,ROW(OFFSET(nombres[],ROWS(nombres[])-1,0,1,1))+1),$O1556:$O1575),3),"")</f>
        <v/>
      </c>
      <c r="ABK1556" s="42" t="str">
        <f t="array" aca="1" ref="ABK1556" ca="1">IFERROR(INDEX(nombres[],SMALL(IF(OFFSET(nombres[],0,0,ROWS(nombres[]),1)=ABK$1490,ROW(OFFSET(nombres[],0,0,ROWS(nombres[]),1))-ROW(OFFSET(nombres[],0,0,1,1))+1,ROW(OFFSET(nombres[],ROWS(nombres[])-1,0,1,1))+1),$O1556:$O1575),3),"")</f>
        <v/>
      </c>
      <c r="ABL1556" s="42" t="str">
        <f t="array" aca="1" ref="ABL1556" ca="1">IFERROR(INDEX(nombres[],SMALL(IF(OFFSET(nombres[],0,0,ROWS(nombres[]),1)=ABL$1490,ROW(OFFSET(nombres[],0,0,ROWS(nombres[]),1))-ROW(OFFSET(nombres[],0,0,1,1))+1,ROW(OFFSET(nombres[],ROWS(nombres[])-1,0,1,1))+1),$O1556:$O1575),3),"")</f>
        <v/>
      </c>
      <c r="ABM1556" s="42" t="str">
        <f t="array" aca="1" ref="ABM1556" ca="1">IFERROR(INDEX(nombres[],SMALL(IF(OFFSET(nombres[],0,0,ROWS(nombres[]),1)=ABM$1490,ROW(OFFSET(nombres[],0,0,ROWS(nombres[]),1))-ROW(OFFSET(nombres[],0,0,1,1))+1,ROW(OFFSET(nombres[],ROWS(nombres[])-1,0,1,1))+1),$O1556:$O1575),3),"")</f>
        <v/>
      </c>
      <c r="ABN1556" s="42" t="str">
        <f t="array" aca="1" ref="ABN1556" ca="1">IFERROR(INDEX(nombres[],SMALL(IF(OFFSET(nombres[],0,0,ROWS(nombres[]),1)=ABN$1490,ROW(OFFSET(nombres[],0,0,ROWS(nombres[]),1))-ROW(OFFSET(nombres[],0,0,1,1))+1,ROW(OFFSET(nombres[],ROWS(nombres[])-1,0,1,1))+1),$O1556:$O1575),3),"")</f>
        <v/>
      </c>
      <c r="ABO1556" s="42" t="str">
        <f t="array" aca="1" ref="ABO1556" ca="1">IFERROR(INDEX(nombres[],SMALL(IF(OFFSET(nombres[],0,0,ROWS(nombres[]),1)=ABO$1490,ROW(OFFSET(nombres[],0,0,ROWS(nombres[]),1))-ROW(OFFSET(nombres[],0,0,1,1))+1,ROW(OFFSET(nombres[],ROWS(nombres[])-1,0,1,1))+1),$O1556:$O1575),3),"")</f>
        <v/>
      </c>
      <c r="ABP1556" s="42" t="str">
        <f t="array" aca="1" ref="ABP1556" ca="1">IFERROR(INDEX(nombres[],SMALL(IF(OFFSET(nombres[],0,0,ROWS(nombres[]),1)=ABP$1490,ROW(OFFSET(nombres[],0,0,ROWS(nombres[]),1))-ROW(OFFSET(nombres[],0,0,1,1))+1,ROW(OFFSET(nombres[],ROWS(nombres[])-1,0,1,1))+1),$O1556:$O1575),3),"")</f>
        <v/>
      </c>
      <c r="ABQ1556" s="42" t="str">
        <f t="array" aca="1" ref="ABQ1556" ca="1">IFERROR(INDEX(nombres[],SMALL(IF(OFFSET(nombres[],0,0,ROWS(nombres[]),1)=ABQ$1490,ROW(OFFSET(nombres[],0,0,ROWS(nombres[]),1))-ROW(OFFSET(nombres[],0,0,1,1))+1,ROW(OFFSET(nombres[],ROWS(nombres[])-1,0,1,1))+1),$O1556:$O1575),3),"")</f>
        <v/>
      </c>
      <c r="ABR1556" s="42" t="str">
        <f t="array" aca="1" ref="ABR1556" ca="1">IFERROR(INDEX(nombres[],SMALL(IF(OFFSET(nombres[],0,0,ROWS(nombres[]),1)=ABR$1490,ROW(OFFSET(nombres[],0,0,ROWS(nombres[]),1))-ROW(OFFSET(nombres[],0,0,1,1))+1,ROW(OFFSET(nombres[],ROWS(nombres[])-1,0,1,1))+1),$O1556:$O1575),3),"")</f>
        <v/>
      </c>
      <c r="ABS1556" s="42" t="str">
        <f t="array" aca="1" ref="ABS1556" ca="1">IFERROR(INDEX(nombres[],SMALL(IF(OFFSET(nombres[],0,0,ROWS(nombres[]),1)=ABS$1490,ROW(OFFSET(nombres[],0,0,ROWS(nombres[]),1))-ROW(OFFSET(nombres[],0,0,1,1))+1,ROW(OFFSET(nombres[],ROWS(nombres[])-1,0,1,1))+1),$O1556:$O1575),3),"")</f>
        <v/>
      </c>
      <c r="ABT1556" s="42" t="str">
        <f t="array" aca="1" ref="ABT1556" ca="1">IFERROR(INDEX(nombres[],SMALL(IF(OFFSET(nombres[],0,0,ROWS(nombres[]),1)=ABT$1490,ROW(OFFSET(nombres[],0,0,ROWS(nombres[]),1))-ROW(OFFSET(nombres[],0,0,1,1))+1,ROW(OFFSET(nombres[],ROWS(nombres[])-1,0,1,1))+1),$O1556:$O1575),3),"")</f>
        <v/>
      </c>
      <c r="ABU1556" s="42" t="str">
        <f t="array" aca="1" ref="ABU1556" ca="1">IFERROR(INDEX(nombres[],SMALL(IF(OFFSET(nombres[],0,0,ROWS(nombres[]),1)=ABU$1490,ROW(OFFSET(nombres[],0,0,ROWS(nombres[]),1))-ROW(OFFSET(nombres[],0,0,1,1))+1,ROW(OFFSET(nombres[],ROWS(nombres[])-1,0,1,1))+1),$O1556:$O1575),3),"")</f>
        <v/>
      </c>
      <c r="ABV1556" s="42" t="str">
        <f t="array" aca="1" ref="ABV1556" ca="1">IFERROR(INDEX(nombres[],SMALL(IF(OFFSET(nombres[],0,0,ROWS(nombres[]),1)=ABV$1490,ROW(OFFSET(nombres[],0,0,ROWS(nombres[]),1))-ROW(OFFSET(nombres[],0,0,1,1))+1,ROW(OFFSET(nombres[],ROWS(nombres[])-1,0,1,1))+1),$O1556:$O1575),3),"")</f>
        <v/>
      </c>
      <c r="ABW1556" s="42" t="str">
        <f t="array" aca="1" ref="ABW1556" ca="1">IFERROR(INDEX(nombres[],SMALL(IF(OFFSET(nombres[],0,0,ROWS(nombres[]),1)=ABW$1490,ROW(OFFSET(nombres[],0,0,ROWS(nombres[]),1))-ROW(OFFSET(nombres[],0,0,1,1))+1,ROW(OFFSET(nombres[],ROWS(nombres[])-1,0,1,1))+1),$O1556:$O1575),3),"")</f>
        <v/>
      </c>
      <c r="ABX1556" s="42" t="str">
        <f t="array" aca="1" ref="ABX1556" ca="1">IFERROR(INDEX(nombres[],SMALL(IF(OFFSET(nombres[],0,0,ROWS(nombres[]),1)=ABX$1490,ROW(OFFSET(nombres[],0,0,ROWS(nombres[]),1))-ROW(OFFSET(nombres[],0,0,1,1))+1,ROW(OFFSET(nombres[],ROWS(nombres[])-1,0,1,1))+1),$O1556:$O1575),3),"")</f>
        <v/>
      </c>
      <c r="ABY1556" s="42" t="str">
        <f t="array" aca="1" ref="ABY1556" ca="1">IFERROR(INDEX(nombres[],SMALL(IF(OFFSET(nombres[],0,0,ROWS(nombres[]),1)=ABY$1490,ROW(OFFSET(nombres[],0,0,ROWS(nombres[]),1))-ROW(OFFSET(nombres[],0,0,1,1))+1,ROW(OFFSET(nombres[],ROWS(nombres[])-1,0,1,1))+1),$O1556:$O1575),3),"")</f>
        <v/>
      </c>
      <c r="ABZ1556" s="42" t="str">
        <f t="array" aca="1" ref="ABZ1556" ca="1">IFERROR(INDEX(nombres[],SMALL(IF(OFFSET(nombres[],0,0,ROWS(nombres[]),1)=ABZ$1490,ROW(OFFSET(nombres[],0,0,ROWS(nombres[]),1))-ROW(OFFSET(nombres[],0,0,1,1))+1,ROW(OFFSET(nombres[],ROWS(nombres[])-1,0,1,1))+1),$O1556:$O1575),3),"")</f>
        <v/>
      </c>
      <c r="ACA1556" s="42" t="str">
        <f t="array" aca="1" ref="ACA1556" ca="1">IFERROR(INDEX(nombres[],SMALL(IF(OFFSET(nombres[],0,0,ROWS(nombres[]),1)=ACA$1490,ROW(OFFSET(nombres[],0,0,ROWS(nombres[]),1))-ROW(OFFSET(nombres[],0,0,1,1))+1,ROW(OFFSET(nombres[],ROWS(nombres[])-1,0,1,1))+1),$O1556:$O1575),3),"")</f>
        <v/>
      </c>
      <c r="ACB1556" s="42" t="str">
        <f t="array" aca="1" ref="ACB1556" ca="1">IFERROR(INDEX(nombres[],SMALL(IF(OFFSET(nombres[],0,0,ROWS(nombres[]),1)=ACB$1490,ROW(OFFSET(nombres[],0,0,ROWS(nombres[]),1))-ROW(OFFSET(nombres[],0,0,1,1))+1,ROW(OFFSET(nombres[],ROWS(nombres[])-1,0,1,1))+1),$O1556:$O1575),3),"")</f>
        <v/>
      </c>
      <c r="ACC1556" s="42" t="str">
        <f t="array" aca="1" ref="ACC1556" ca="1">IFERROR(INDEX(nombres[],SMALL(IF(OFFSET(nombres[],0,0,ROWS(nombres[]),1)=ACC$1490,ROW(OFFSET(nombres[],0,0,ROWS(nombres[]),1))-ROW(OFFSET(nombres[],0,0,1,1))+1,ROW(OFFSET(nombres[],ROWS(nombres[])-1,0,1,1))+1),$O1556:$O1575),3),"")</f>
        <v/>
      </c>
      <c r="ACD1556" s="42" t="str">
        <f t="array" aca="1" ref="ACD1556" ca="1">IFERROR(INDEX(nombres[],SMALL(IF(OFFSET(nombres[],0,0,ROWS(nombres[]),1)=ACD$1490,ROW(OFFSET(nombres[],0,0,ROWS(nombres[]),1))-ROW(OFFSET(nombres[],0,0,1,1))+1,ROW(OFFSET(nombres[],ROWS(nombres[])-1,0,1,1))+1),$O1556:$O1575),3),"")</f>
        <v/>
      </c>
      <c r="ACE1556" s="42" t="str">
        <f t="array" aca="1" ref="ACE1556" ca="1">IFERROR(INDEX(nombres[],SMALL(IF(OFFSET(nombres[],0,0,ROWS(nombres[]),1)=ACE$1490,ROW(OFFSET(nombres[],0,0,ROWS(nombres[]),1))-ROW(OFFSET(nombres[],0,0,1,1))+1,ROW(OFFSET(nombres[],ROWS(nombres[])-1,0,1,1))+1),$O1556:$O1575),3),"")</f>
        <v/>
      </c>
      <c r="ACF1556" s="42" t="str">
        <f t="array" aca="1" ref="ACF1556" ca="1">IFERROR(INDEX(nombres[],SMALL(IF(OFFSET(nombres[],0,0,ROWS(nombres[]),1)=ACF$1490,ROW(OFFSET(nombres[],0,0,ROWS(nombres[]),1))-ROW(OFFSET(nombres[],0,0,1,1))+1,ROW(OFFSET(nombres[],ROWS(nombres[])-1,0,1,1))+1),$O1556:$O1575),3),"")</f>
        <v/>
      </c>
      <c r="ACG1556" s="42" t="str">
        <f t="array" aca="1" ref="ACG1556" ca="1">IFERROR(INDEX(nombres[],SMALL(IF(OFFSET(nombres[],0,0,ROWS(nombres[]),1)=ACG$1490,ROW(OFFSET(nombres[],0,0,ROWS(nombres[]),1))-ROW(OFFSET(nombres[],0,0,1,1))+1,ROW(OFFSET(nombres[],ROWS(nombres[])-1,0,1,1))+1),$O1556:$O1575),3),"")</f>
        <v/>
      </c>
      <c r="ACH1556" s="42" t="str">
        <f t="array" aca="1" ref="ACH1556" ca="1">IFERROR(INDEX(nombres[],SMALL(IF(OFFSET(nombres[],0,0,ROWS(nombres[]),1)=ACH$1490,ROW(OFFSET(nombres[],0,0,ROWS(nombres[]),1))-ROW(OFFSET(nombres[],0,0,1,1))+1,ROW(OFFSET(nombres[],ROWS(nombres[])-1,0,1,1))+1),$O1556:$O1575),3),"")</f>
        <v/>
      </c>
      <c r="ACI1556" s="42" t="str">
        <f t="array" aca="1" ref="ACI1556" ca="1">IFERROR(INDEX(nombres[],SMALL(IF(OFFSET(nombres[],0,0,ROWS(nombres[]),1)=ACI$1490,ROW(OFFSET(nombres[],0,0,ROWS(nombres[]),1))-ROW(OFFSET(nombres[],0,0,1,1))+1,ROW(OFFSET(nombres[],ROWS(nombres[])-1,0,1,1))+1),$O1556:$O1575),3),"")</f>
        <v/>
      </c>
      <c r="ACJ1556" s="42" t="str">
        <f t="array" aca="1" ref="ACJ1556" ca="1">IFERROR(INDEX(nombres[],SMALL(IF(OFFSET(nombres[],0,0,ROWS(nombres[]),1)=ACJ$1490,ROW(OFFSET(nombres[],0,0,ROWS(nombres[]),1))-ROW(OFFSET(nombres[],0,0,1,1))+1,ROW(OFFSET(nombres[],ROWS(nombres[])-1,0,1,1))+1),$O1556:$O1575),3),"")</f>
        <v/>
      </c>
      <c r="ACK1556" s="42" t="str">
        <f t="array" aca="1" ref="ACK1556" ca="1">IFERROR(INDEX(nombres[],SMALL(IF(OFFSET(nombres[],0,0,ROWS(nombres[]),1)=ACK$1490,ROW(OFFSET(nombres[],0,0,ROWS(nombres[]),1))-ROW(OFFSET(nombres[],0,0,1,1))+1,ROW(OFFSET(nombres[],ROWS(nombres[])-1,0,1,1))+1),$O1556:$O1575),3),"")</f>
        <v/>
      </c>
      <c r="ACL1556" s="42" t="str">
        <f t="array" aca="1" ref="ACL1556" ca="1">IFERROR(INDEX(nombres[],SMALL(IF(OFFSET(nombres[],0,0,ROWS(nombres[]),1)=ACL$1490,ROW(OFFSET(nombres[],0,0,ROWS(nombres[]),1))-ROW(OFFSET(nombres[],0,0,1,1))+1,ROW(OFFSET(nombres[],ROWS(nombres[])-1,0,1,1))+1),$O1556:$O1575),3),"")</f>
        <v/>
      </c>
      <c r="ACM1556" s="42" t="str">
        <f t="array" aca="1" ref="ACM1556" ca="1">IFERROR(INDEX(nombres[],SMALL(IF(OFFSET(nombres[],0,0,ROWS(nombres[]),1)=ACM$1490,ROW(OFFSET(nombres[],0,0,ROWS(nombres[]),1))-ROW(OFFSET(nombres[],0,0,1,1))+1,ROW(OFFSET(nombres[],ROWS(nombres[])-1,0,1,1))+1),$O1556:$O1575),3),"")</f>
        <v/>
      </c>
      <c r="ACN1556" s="42" t="str">
        <f t="array" aca="1" ref="ACN1556" ca="1">IFERROR(INDEX(nombres[],SMALL(IF(OFFSET(nombres[],0,0,ROWS(nombres[]),1)=ACN$1490,ROW(OFFSET(nombres[],0,0,ROWS(nombres[]),1))-ROW(OFFSET(nombres[],0,0,1,1))+1,ROW(OFFSET(nombres[],ROWS(nombres[])-1,0,1,1))+1),$O1556:$O1575),3),"")</f>
        <v/>
      </c>
      <c r="ACO1556" s="42" t="str">
        <f t="array" aca="1" ref="ACO1556" ca="1">IFERROR(INDEX(nombres[],SMALL(IF(OFFSET(nombres[],0,0,ROWS(nombres[]),1)=ACO$1490,ROW(OFFSET(nombres[],0,0,ROWS(nombres[]),1))-ROW(OFFSET(nombres[],0,0,1,1))+1,ROW(OFFSET(nombres[],ROWS(nombres[])-1,0,1,1))+1),$O1556:$O1575),3),"")</f>
        <v/>
      </c>
      <c r="ACP1556" s="42" t="str">
        <f t="array" aca="1" ref="ACP1556" ca="1">IFERROR(INDEX(nombres[],SMALL(IF(OFFSET(nombres[],0,0,ROWS(nombres[]),1)=ACP$1490,ROW(OFFSET(nombres[],0,0,ROWS(nombres[]),1))-ROW(OFFSET(nombres[],0,0,1,1))+1,ROW(OFFSET(nombres[],ROWS(nombres[])-1,0,1,1))+1),$O1556:$O1575),3),"")</f>
        <v/>
      </c>
      <c r="ACQ1556" s="42" t="str">
        <f t="array" aca="1" ref="ACQ1556" ca="1">IFERROR(INDEX(nombres[],SMALL(IF(OFFSET(nombres[],0,0,ROWS(nombres[]),1)=ACQ$1490,ROW(OFFSET(nombres[],0,0,ROWS(nombres[]),1))-ROW(OFFSET(nombres[],0,0,1,1))+1,ROW(OFFSET(nombres[],ROWS(nombres[])-1,0,1,1))+1),$O1556:$O1575),3),"")</f>
        <v/>
      </c>
      <c r="ACR1556" s="42" t="str">
        <f t="array" aca="1" ref="ACR1556" ca="1">IFERROR(INDEX(nombres[],SMALL(IF(OFFSET(nombres[],0,0,ROWS(nombres[]),1)=ACR$1490,ROW(OFFSET(nombres[],0,0,ROWS(nombres[]),1))-ROW(OFFSET(nombres[],0,0,1,1))+1,ROW(OFFSET(nombres[],ROWS(nombres[])-1,0,1,1))+1),$O1556:$O1575),3),"")</f>
        <v/>
      </c>
      <c r="ACS1556" s="42" t="str">
        <f t="array" aca="1" ref="ACS1556" ca="1">IFERROR(INDEX(nombres[],SMALL(IF(OFFSET(nombres[],0,0,ROWS(nombres[]),1)=ACS$1490,ROW(OFFSET(nombres[],0,0,ROWS(nombres[]),1))-ROW(OFFSET(nombres[],0,0,1,1))+1,ROW(OFFSET(nombres[],ROWS(nombres[])-1,0,1,1))+1),$O1556:$O1575),3),"")</f>
        <v/>
      </c>
      <c r="ACT1556" s="42" t="str">
        <f t="array" aca="1" ref="ACT1556" ca="1">IFERROR(INDEX(nombres[],SMALL(IF(OFFSET(nombres[],0,0,ROWS(nombres[]),1)=ACT$1490,ROW(OFFSET(nombres[],0,0,ROWS(nombres[]),1))-ROW(OFFSET(nombres[],0,0,1,1))+1,ROW(OFFSET(nombres[],ROWS(nombres[])-1,0,1,1))+1),$O1556:$O1575),3),"")</f>
        <v/>
      </c>
      <c r="ACU1556" s="42" t="str">
        <f t="array" aca="1" ref="ACU1556" ca="1">IFERROR(INDEX(nombres[],SMALL(IF(OFFSET(nombres[],0,0,ROWS(nombres[]),1)=ACU$1490,ROW(OFFSET(nombres[],0,0,ROWS(nombres[]),1))-ROW(OFFSET(nombres[],0,0,1,1))+1,ROW(OFFSET(nombres[],ROWS(nombres[])-1,0,1,1))+1),$O1556:$O1575),3),"")</f>
        <v/>
      </c>
      <c r="ACV1556" s="42" t="str">
        <f t="array" aca="1" ref="ACV1556" ca="1">IFERROR(INDEX(nombres[],SMALL(IF(OFFSET(nombres[],0,0,ROWS(nombres[]),1)=ACV$1490,ROW(OFFSET(nombres[],0,0,ROWS(nombres[]),1))-ROW(OFFSET(nombres[],0,0,1,1))+1,ROW(OFFSET(nombres[],ROWS(nombres[])-1,0,1,1))+1),$O1556:$O1575),3),"")</f>
        <v/>
      </c>
      <c r="ACW1556" s="42" t="str">
        <f t="array" aca="1" ref="ACW1556" ca="1">IFERROR(INDEX(nombres[],SMALL(IF(OFFSET(nombres[],0,0,ROWS(nombres[]),1)=ACW$1490,ROW(OFFSET(nombres[],0,0,ROWS(nombres[]),1))-ROW(OFFSET(nombres[],0,0,1,1))+1,ROW(OFFSET(nombres[],ROWS(nombres[])-1,0,1,1))+1),$O1556:$O1575),3),"")</f>
        <v/>
      </c>
      <c r="ACX1556" s="42" t="str">
        <f t="array" aca="1" ref="ACX1556" ca="1">IFERROR(INDEX(nombres[],SMALL(IF(OFFSET(nombres[],0,0,ROWS(nombres[]),1)=ACX$1490,ROW(OFFSET(nombres[],0,0,ROWS(nombres[]),1))-ROW(OFFSET(nombres[],0,0,1,1))+1,ROW(OFFSET(nombres[],ROWS(nombres[])-1,0,1,1))+1),$O1556:$O1575),3),"")</f>
        <v/>
      </c>
      <c r="ACY1556" s="42" t="str">
        <f t="array" aca="1" ref="ACY1556" ca="1">IFERROR(INDEX(nombres[],SMALL(IF(OFFSET(nombres[],0,0,ROWS(nombres[]),1)=ACY$1490,ROW(OFFSET(nombres[],0,0,ROWS(nombres[]),1))-ROW(OFFSET(nombres[],0,0,1,1))+1,ROW(OFFSET(nombres[],ROWS(nombres[])-1,0,1,1))+1),$O1556:$O1575),3),"")</f>
        <v/>
      </c>
      <c r="ACZ1556" s="42" t="str">
        <f t="array" aca="1" ref="ACZ1556" ca="1">IFERROR(INDEX(nombres[],SMALL(IF(OFFSET(nombres[],0,0,ROWS(nombres[]),1)=ACZ$1490,ROW(OFFSET(nombres[],0,0,ROWS(nombres[]),1))-ROW(OFFSET(nombres[],0,0,1,1))+1,ROW(OFFSET(nombres[],ROWS(nombres[])-1,0,1,1))+1),$O1556:$O1575),3),"")</f>
        <v/>
      </c>
      <c r="ADA1556" s="42" t="str">
        <f t="array" aca="1" ref="ADA1556" ca="1">IFERROR(INDEX(nombres[],SMALL(IF(OFFSET(nombres[],0,0,ROWS(nombres[]),1)=ADA$1490,ROW(OFFSET(nombres[],0,0,ROWS(nombres[]),1))-ROW(OFFSET(nombres[],0,0,1,1))+1,ROW(OFFSET(nombres[],ROWS(nombres[])-1,0,1,1))+1),$O1556:$O1575),3),"")</f>
        <v/>
      </c>
      <c r="ADB1556" s="42" t="str">
        <f t="array" aca="1" ref="ADB1556" ca="1">IFERROR(INDEX(nombres[],SMALL(IF(OFFSET(nombres[],0,0,ROWS(nombres[]),1)=ADB$1490,ROW(OFFSET(nombres[],0,0,ROWS(nombres[]),1))-ROW(OFFSET(nombres[],0,0,1,1))+1,ROW(OFFSET(nombres[],ROWS(nombres[])-1,0,1,1))+1),$O1556:$O1575),3),"")</f>
        <v/>
      </c>
      <c r="ADC1556" s="42" t="str">
        <f t="array" aca="1" ref="ADC1556" ca="1">IFERROR(INDEX(nombres[],SMALL(IF(OFFSET(nombres[],0,0,ROWS(nombres[]),1)=ADC$1490,ROW(OFFSET(nombres[],0,0,ROWS(nombres[]),1))-ROW(OFFSET(nombres[],0,0,1,1))+1,ROW(OFFSET(nombres[],ROWS(nombres[])-1,0,1,1))+1),$O1556:$O1575),3),"")</f>
        <v/>
      </c>
      <c r="ADD1556" s="42" t="str">
        <f t="array" aca="1" ref="ADD1556" ca="1">IFERROR(INDEX(nombres[],SMALL(IF(OFFSET(nombres[],0,0,ROWS(nombres[]),1)=ADD$1490,ROW(OFFSET(nombres[],0,0,ROWS(nombres[]),1))-ROW(OFFSET(nombres[],0,0,1,1))+1,ROW(OFFSET(nombres[],ROWS(nombres[])-1,0,1,1))+1),$O1556:$O1575),3),"")</f>
        <v/>
      </c>
      <c r="ADE1556" s="42" t="str">
        <f t="array" aca="1" ref="ADE1556" ca="1">IFERROR(INDEX(nombres[],SMALL(IF(OFFSET(nombres[],0,0,ROWS(nombres[]),1)=ADE$1490,ROW(OFFSET(nombres[],0,0,ROWS(nombres[]),1))-ROW(OFFSET(nombres[],0,0,1,1))+1,ROW(OFFSET(nombres[],ROWS(nombres[])-1,0,1,1))+1),$O1556:$O1575),3),"")</f>
        <v/>
      </c>
      <c r="ADF1556" s="42" t="str">
        <f t="array" aca="1" ref="ADF1556" ca="1">IFERROR(INDEX(nombres[],SMALL(IF(OFFSET(nombres[],0,0,ROWS(nombres[]),1)=ADF$1490,ROW(OFFSET(nombres[],0,0,ROWS(nombres[]),1))-ROW(OFFSET(nombres[],0,0,1,1))+1,ROW(OFFSET(nombres[],ROWS(nombres[])-1,0,1,1))+1),$O1556:$O1575),3),"")</f>
        <v/>
      </c>
      <c r="ADG1556" s="42" t="str">
        <f t="array" aca="1" ref="ADG1556" ca="1">IFERROR(INDEX(nombres[],SMALL(IF(OFFSET(nombres[],0,0,ROWS(nombres[]),1)=ADG$1490,ROW(OFFSET(nombres[],0,0,ROWS(nombres[]),1))-ROW(OFFSET(nombres[],0,0,1,1))+1,ROW(OFFSET(nombres[],ROWS(nombres[])-1,0,1,1))+1),$O1556:$O1575),3),"")</f>
        <v/>
      </c>
      <c r="ADH1556" s="42" t="str">
        <f t="array" aca="1" ref="ADH1556" ca="1">IFERROR(INDEX(nombres[],SMALL(IF(OFFSET(nombres[],0,0,ROWS(nombres[]),1)=ADH$1490,ROW(OFFSET(nombres[],0,0,ROWS(nombres[]),1))-ROW(OFFSET(nombres[],0,0,1,1))+1,ROW(OFFSET(nombres[],ROWS(nombres[])-1,0,1,1))+1),$O1556:$O1575),3),"")</f>
        <v/>
      </c>
      <c r="ADI1556" s="42" t="str">
        <f t="array" aca="1" ref="ADI1556" ca="1">IFERROR(INDEX(nombres[],SMALL(IF(OFFSET(nombres[],0,0,ROWS(nombres[]),1)=ADI$1490,ROW(OFFSET(nombres[],0,0,ROWS(nombres[]),1))-ROW(OFFSET(nombres[],0,0,1,1))+1,ROW(OFFSET(nombres[],ROWS(nombres[])-1,0,1,1))+1),$O1556:$O1575),3),"")</f>
        <v/>
      </c>
      <c r="ADJ1556" s="42" t="str">
        <f t="array" aca="1" ref="ADJ1556" ca="1">IFERROR(INDEX(nombres[],SMALL(IF(OFFSET(nombres[],0,0,ROWS(nombres[]),1)=ADJ$1490,ROW(OFFSET(nombres[],0,0,ROWS(nombres[]),1))-ROW(OFFSET(nombres[],0,0,1,1))+1,ROW(OFFSET(nombres[],ROWS(nombres[])-1,0,1,1))+1),$O1556:$O1575),3),"")</f>
        <v/>
      </c>
      <c r="ADK1556" s="42" t="str">
        <f t="array" aca="1" ref="ADK1556" ca="1">IFERROR(INDEX(nombres[],SMALL(IF(OFFSET(nombres[],0,0,ROWS(nombres[]),1)=ADK$1490,ROW(OFFSET(nombres[],0,0,ROWS(nombres[]),1))-ROW(OFFSET(nombres[],0,0,1,1))+1,ROW(OFFSET(nombres[],ROWS(nombres[])-1,0,1,1))+1),$O1556:$O1575),3),"")</f>
        <v/>
      </c>
      <c r="ADL1556" s="42" t="str">
        <f t="array" aca="1" ref="ADL1556" ca="1">IFERROR(INDEX(nombres[],SMALL(IF(OFFSET(nombres[],0,0,ROWS(nombres[]),1)=ADL$1490,ROW(OFFSET(nombres[],0,0,ROWS(nombres[]),1))-ROW(OFFSET(nombres[],0,0,1,1))+1,ROW(OFFSET(nombres[],ROWS(nombres[])-1,0,1,1))+1),$O1556:$O1575),3),"")</f>
        <v/>
      </c>
      <c r="ADM1556" s="42" t="str">
        <f t="array" aca="1" ref="ADM1556" ca="1">IFERROR(INDEX(nombres[],SMALL(IF(OFFSET(nombres[],0,0,ROWS(nombres[]),1)=ADM$1490,ROW(OFFSET(nombres[],0,0,ROWS(nombres[]),1))-ROW(OFFSET(nombres[],0,0,1,1))+1,ROW(OFFSET(nombres[],ROWS(nombres[])-1,0,1,1))+1),$O1556:$O1575),3),"")</f>
        <v/>
      </c>
      <c r="ADN1556" s="42" t="str">
        <f t="array" aca="1" ref="ADN1556" ca="1">IFERROR(INDEX(nombres[],SMALL(IF(OFFSET(nombres[],0,0,ROWS(nombres[]),1)=ADN$1490,ROW(OFFSET(nombres[],0,0,ROWS(nombres[]),1))-ROW(OFFSET(nombres[],0,0,1,1))+1,ROW(OFFSET(nombres[],ROWS(nombres[])-1,0,1,1))+1),$O1556:$O1575),3),"")</f>
        <v/>
      </c>
      <c r="ADO1556" s="42" t="str">
        <f t="array" aca="1" ref="ADO1556" ca="1">IFERROR(INDEX(nombres[],SMALL(IF(OFFSET(nombres[],0,0,ROWS(nombres[]),1)=ADO$1490,ROW(OFFSET(nombres[],0,0,ROWS(nombres[]),1))-ROW(OFFSET(nombres[],0,0,1,1))+1,ROW(OFFSET(nombres[],ROWS(nombres[])-1,0,1,1))+1),$O1556:$O1575),3),"")</f>
        <v/>
      </c>
      <c r="ADP1556" s="42" t="str">
        <f t="array" aca="1" ref="ADP1556" ca="1">IFERROR(INDEX(nombres[],SMALL(IF(OFFSET(nombres[],0,0,ROWS(nombres[]),1)=ADP$1490,ROW(OFFSET(nombres[],0,0,ROWS(nombres[]),1))-ROW(OFFSET(nombres[],0,0,1,1))+1,ROW(OFFSET(nombres[],ROWS(nombres[])-1,0,1,1))+1),$O1556:$O1575),3),"")</f>
        <v/>
      </c>
      <c r="ADQ1556" s="42" t="str">
        <f t="array" aca="1" ref="ADQ1556" ca="1">IFERROR(INDEX(nombres[],SMALL(IF(OFFSET(nombres[],0,0,ROWS(nombres[]),1)=ADQ$1490,ROW(OFFSET(nombres[],0,0,ROWS(nombres[]),1))-ROW(OFFSET(nombres[],0,0,1,1))+1,ROW(OFFSET(nombres[],ROWS(nombres[])-1,0,1,1))+1),$O1556:$O1575),3),"")</f>
        <v/>
      </c>
      <c r="ADR1556" s="42" t="str">
        <f t="array" aca="1" ref="ADR1556" ca="1">IFERROR(INDEX(nombres[],SMALL(IF(OFFSET(nombres[],0,0,ROWS(nombres[]),1)=ADR$1490,ROW(OFFSET(nombres[],0,0,ROWS(nombres[]),1))-ROW(OFFSET(nombres[],0,0,1,1))+1,ROW(OFFSET(nombres[],ROWS(nombres[])-1,0,1,1))+1),$O1556:$O1575),3),"")</f>
        <v/>
      </c>
      <c r="ADS1556" s="42" t="str">
        <f t="array" aca="1" ref="ADS1556" ca="1">IFERROR(INDEX(nombres[],SMALL(IF(OFFSET(nombres[],0,0,ROWS(nombres[]),1)=ADS$1490,ROW(OFFSET(nombres[],0,0,ROWS(nombres[]),1))-ROW(OFFSET(nombres[],0,0,1,1))+1,ROW(OFFSET(nombres[],ROWS(nombres[])-1,0,1,1))+1),$O1556:$O1575),3),"")</f>
        <v/>
      </c>
      <c r="ADT1556" s="42" t="str">
        <f t="array" aca="1" ref="ADT1556" ca="1">IFERROR(INDEX(nombres[],SMALL(IF(OFFSET(nombres[],0,0,ROWS(nombres[]),1)=ADT$1490,ROW(OFFSET(nombres[],0,0,ROWS(nombres[]),1))-ROW(OFFSET(nombres[],0,0,1,1))+1,ROW(OFFSET(nombres[],ROWS(nombres[])-1,0,1,1))+1),$O1556:$O1575),3),"")</f>
        <v/>
      </c>
      <c r="ADU1556" s="42" t="str">
        <f t="array" aca="1" ref="ADU1556" ca="1">IFERROR(INDEX(nombres[],SMALL(IF(OFFSET(nombres[],0,0,ROWS(nombres[]),1)=ADU$1490,ROW(OFFSET(nombres[],0,0,ROWS(nombres[]),1))-ROW(OFFSET(nombres[],0,0,1,1))+1,ROW(OFFSET(nombres[],ROWS(nombres[])-1,0,1,1))+1),$O1556:$O1575),3),"")</f>
        <v/>
      </c>
      <c r="ADV1556" s="42" t="str">
        <f t="array" aca="1" ref="ADV1556" ca="1">IFERROR(INDEX(nombres[],SMALL(IF(OFFSET(nombres[],0,0,ROWS(nombres[]),1)=ADV$1490,ROW(OFFSET(nombres[],0,0,ROWS(nombres[]),1))-ROW(OFFSET(nombres[],0,0,1,1))+1,ROW(OFFSET(nombres[],ROWS(nombres[])-1,0,1,1))+1),$O1556:$O1575),3),"")</f>
        <v/>
      </c>
      <c r="ADW1556" s="42" t="str">
        <f t="array" aca="1" ref="ADW1556" ca="1">IFERROR(INDEX(nombres[],SMALL(IF(OFFSET(nombres[],0,0,ROWS(nombres[]),1)=ADW$1490,ROW(OFFSET(nombres[],0,0,ROWS(nombres[]),1))-ROW(OFFSET(nombres[],0,0,1,1))+1,ROW(OFFSET(nombres[],ROWS(nombres[])-1,0,1,1))+1),$O1556:$O1575),3),"")</f>
        <v/>
      </c>
      <c r="ADX1556" s="42" t="str">
        <f t="array" aca="1" ref="ADX1556" ca="1">IFERROR(INDEX(nombres[],SMALL(IF(OFFSET(nombres[],0,0,ROWS(nombres[]),1)=ADX$1490,ROW(OFFSET(nombres[],0,0,ROWS(nombres[]),1))-ROW(OFFSET(nombres[],0,0,1,1))+1,ROW(OFFSET(nombres[],ROWS(nombres[])-1,0,1,1))+1),$O1556:$O1575),3),"")</f>
        <v/>
      </c>
      <c r="ADY1556" s="42" t="str">
        <f t="array" aca="1" ref="ADY1556" ca="1">IFERROR(INDEX(nombres[],SMALL(IF(OFFSET(nombres[],0,0,ROWS(nombres[]),1)=ADY$1490,ROW(OFFSET(nombres[],0,0,ROWS(nombres[]),1))-ROW(OFFSET(nombres[],0,0,1,1))+1,ROW(OFFSET(nombres[],ROWS(nombres[])-1,0,1,1))+1),$O1556:$O1575),3),"")</f>
        <v/>
      </c>
      <c r="ADZ1556" s="42" t="str">
        <f t="array" aca="1" ref="ADZ1556" ca="1">IFERROR(INDEX(nombres[],SMALL(IF(OFFSET(nombres[],0,0,ROWS(nombres[]),1)=ADZ$1490,ROW(OFFSET(nombres[],0,0,ROWS(nombres[]),1))-ROW(OFFSET(nombres[],0,0,1,1))+1,ROW(OFFSET(nombres[],ROWS(nombres[])-1,0,1,1))+1),$O1556:$O1575),3),"")</f>
        <v/>
      </c>
      <c r="AEA1556" s="42" t="str">
        <f t="array" aca="1" ref="AEA1556" ca="1">IFERROR(INDEX(nombres[],SMALL(IF(OFFSET(nombres[],0,0,ROWS(nombres[]),1)=AEA$1490,ROW(OFFSET(nombres[],0,0,ROWS(nombres[]),1))-ROW(OFFSET(nombres[],0,0,1,1))+1,ROW(OFFSET(nombres[],ROWS(nombres[])-1,0,1,1))+1),$O1556:$O1575),3),"")</f>
        <v/>
      </c>
      <c r="AEB1556" s="42" t="str">
        <f t="array" aca="1" ref="AEB1556" ca="1">IFERROR(INDEX(nombres[],SMALL(IF(OFFSET(nombres[],0,0,ROWS(nombres[]),1)=AEB$1490,ROW(OFFSET(nombres[],0,0,ROWS(nombres[]),1))-ROW(OFFSET(nombres[],0,0,1,1))+1,ROW(OFFSET(nombres[],ROWS(nombres[])-1,0,1,1))+1),$O1556:$O1575),3),"")</f>
        <v/>
      </c>
      <c r="AEC1556" s="42" t="str">
        <f t="array" aca="1" ref="AEC1556" ca="1">IFERROR(INDEX(nombres[],SMALL(IF(OFFSET(nombres[],0,0,ROWS(nombres[]),1)=AEC$1490,ROW(OFFSET(nombres[],0,0,ROWS(nombres[]),1))-ROW(OFFSET(nombres[],0,0,1,1))+1,ROW(OFFSET(nombres[],ROWS(nombres[])-1,0,1,1))+1),$O1556:$O1575),3),"")</f>
        <v/>
      </c>
      <c r="AED1556" s="42" t="str">
        <f t="array" aca="1" ref="AED1556" ca="1">IFERROR(INDEX(nombres[],SMALL(IF(OFFSET(nombres[],0,0,ROWS(nombres[]),1)=AED$1490,ROW(OFFSET(nombres[],0,0,ROWS(nombres[]),1))-ROW(OFFSET(nombres[],0,0,1,1))+1,ROW(OFFSET(nombres[],ROWS(nombres[])-1,0,1,1))+1),$O1556:$O1575),3),"")</f>
        <v/>
      </c>
      <c r="AEE1556" s="42" t="str">
        <f t="array" aca="1" ref="AEE1556" ca="1">IFERROR(INDEX(nombres[],SMALL(IF(OFFSET(nombres[],0,0,ROWS(nombres[]),1)=AEE$1490,ROW(OFFSET(nombres[],0,0,ROWS(nombres[]),1))-ROW(OFFSET(nombres[],0,0,1,1))+1,ROW(OFFSET(nombres[],ROWS(nombres[])-1,0,1,1))+1),$O1556:$O1575),3),"")</f>
        <v/>
      </c>
      <c r="AEF1556" s="42" t="str">
        <f t="array" aca="1" ref="AEF1556" ca="1">IFERROR(INDEX(nombres[],SMALL(IF(OFFSET(nombres[],0,0,ROWS(nombres[]),1)=AEF$1490,ROW(OFFSET(nombres[],0,0,ROWS(nombres[]),1))-ROW(OFFSET(nombres[],0,0,1,1))+1,ROW(OFFSET(nombres[],ROWS(nombres[])-1,0,1,1))+1),$O1556:$O1575),3),"")</f>
        <v/>
      </c>
      <c r="AEG1556" s="42" t="str">
        <f t="array" aca="1" ref="AEG1556" ca="1">IFERROR(INDEX(nombres[],SMALL(IF(OFFSET(nombres[],0,0,ROWS(nombres[]),1)=AEG$1490,ROW(OFFSET(nombres[],0,0,ROWS(nombres[]),1))-ROW(OFFSET(nombres[],0,0,1,1))+1,ROW(OFFSET(nombres[],ROWS(nombres[])-1,0,1,1))+1),$O1556:$O1575),3),"")</f>
        <v/>
      </c>
      <c r="AEH1556" s="42" t="str">
        <f t="array" aca="1" ref="AEH1556" ca="1">IFERROR(INDEX(nombres[],SMALL(IF(OFFSET(nombres[],0,0,ROWS(nombres[]),1)=AEH$1490,ROW(OFFSET(nombres[],0,0,ROWS(nombres[]),1))-ROW(OFFSET(nombres[],0,0,1,1))+1,ROW(OFFSET(nombres[],ROWS(nombres[])-1,0,1,1))+1),$O1556:$O1575),3),"")</f>
        <v/>
      </c>
      <c r="AEI1556" s="42" t="str">
        <f t="array" aca="1" ref="AEI1556" ca="1">IFERROR(INDEX(nombres[],SMALL(IF(OFFSET(nombres[],0,0,ROWS(nombres[]),1)=AEI$1490,ROW(OFFSET(nombres[],0,0,ROWS(nombres[]),1))-ROW(OFFSET(nombres[],0,0,1,1))+1,ROW(OFFSET(nombres[],ROWS(nombres[])-1,0,1,1))+1),$O1556:$O1575),3),"")</f>
        <v/>
      </c>
      <c r="AEJ1556" s="42" t="str">
        <f t="array" aca="1" ref="AEJ1556" ca="1">IFERROR(INDEX(nombres[],SMALL(IF(OFFSET(nombres[],0,0,ROWS(nombres[]),1)=AEJ$1490,ROW(OFFSET(nombres[],0,0,ROWS(nombres[]),1))-ROW(OFFSET(nombres[],0,0,1,1))+1,ROW(OFFSET(nombres[],ROWS(nombres[])-1,0,1,1))+1),$O1556:$O1575),3),"")</f>
        <v/>
      </c>
      <c r="AEK1556" s="42" t="str">
        <f t="array" aca="1" ref="AEK1556" ca="1">IFERROR(INDEX(nombres[],SMALL(IF(OFFSET(nombres[],0,0,ROWS(nombres[]),1)=AEK$1490,ROW(OFFSET(nombres[],0,0,ROWS(nombres[]),1))-ROW(OFFSET(nombres[],0,0,1,1))+1,ROW(OFFSET(nombres[],ROWS(nombres[])-1,0,1,1))+1),$O1556:$O1575),3),"")</f>
        <v/>
      </c>
      <c r="AEL1556" s="42" t="str">
        <f t="array" aca="1" ref="AEL1556" ca="1">IFERROR(INDEX(nombres[],SMALL(IF(OFFSET(nombres[],0,0,ROWS(nombres[]),1)=AEL$1490,ROW(OFFSET(nombres[],0,0,ROWS(nombres[]),1))-ROW(OFFSET(nombres[],0,0,1,1))+1,ROW(OFFSET(nombres[],ROWS(nombres[])-1,0,1,1))+1),$O1556:$O1575),3),"")</f>
        <v/>
      </c>
      <c r="AEM1556" s="42" t="str">
        <f t="array" aca="1" ref="AEM1556" ca="1">IFERROR(INDEX(nombres[],SMALL(IF(OFFSET(nombres[],0,0,ROWS(nombres[]),1)=AEM$1490,ROW(OFFSET(nombres[],0,0,ROWS(nombres[]),1))-ROW(OFFSET(nombres[],0,0,1,1))+1,ROW(OFFSET(nombres[],ROWS(nombres[])-1,0,1,1))+1),$O1556:$O1575),3),"")</f>
        <v/>
      </c>
      <c r="AEN1556" s="42" t="str">
        <f t="array" aca="1" ref="AEN1556" ca="1">IFERROR(INDEX(nombres[],SMALL(IF(OFFSET(nombres[],0,0,ROWS(nombres[]),1)=AEN$1490,ROW(OFFSET(nombres[],0,0,ROWS(nombres[]),1))-ROW(OFFSET(nombres[],0,0,1,1))+1,ROW(OFFSET(nombres[],ROWS(nombres[])-1,0,1,1))+1),$O1556:$O1575),3),"")</f>
        <v/>
      </c>
      <c r="AEO1556" s="42" t="str">
        <f t="array" aca="1" ref="AEO1556" ca="1">IFERROR(INDEX(nombres[],SMALL(IF(OFFSET(nombres[],0,0,ROWS(nombres[]),1)=AEO$1490,ROW(OFFSET(nombres[],0,0,ROWS(nombres[]),1))-ROW(OFFSET(nombres[],0,0,1,1))+1,ROW(OFFSET(nombres[],ROWS(nombres[])-1,0,1,1))+1),$O1556:$O1575),3),"")</f>
        <v/>
      </c>
      <c r="AEP1556" s="42" t="str">
        <f t="array" aca="1" ref="AEP1556" ca="1">IFERROR(INDEX(nombres[],SMALL(IF(OFFSET(nombres[],0,0,ROWS(nombres[]),1)=AEP$1490,ROW(OFFSET(nombres[],0,0,ROWS(nombres[]),1))-ROW(OFFSET(nombres[],0,0,1,1))+1,ROW(OFFSET(nombres[],ROWS(nombres[])-1,0,1,1))+1),$O1556:$O1575),3),"")</f>
        <v/>
      </c>
      <c r="AEQ1556" s="42" t="str">
        <f t="array" aca="1" ref="AEQ1556" ca="1">IFERROR(INDEX(nombres[],SMALL(IF(OFFSET(nombres[],0,0,ROWS(nombres[]),1)=AEQ$1490,ROW(OFFSET(nombres[],0,0,ROWS(nombres[]),1))-ROW(OFFSET(nombres[],0,0,1,1))+1,ROW(OFFSET(nombres[],ROWS(nombres[])-1,0,1,1))+1),$O1556:$O1575),3),"")</f>
        <v/>
      </c>
      <c r="AER1556" s="42" t="str">
        <f t="array" aca="1" ref="AER1556" ca="1">IFERROR(INDEX(nombres[],SMALL(IF(OFFSET(nombres[],0,0,ROWS(nombres[]),1)=AER$1490,ROW(OFFSET(nombres[],0,0,ROWS(nombres[]),1))-ROW(OFFSET(nombres[],0,0,1,1))+1,ROW(OFFSET(nombres[],ROWS(nombres[])-1,0,1,1))+1),$O1556:$O1575),3),"")</f>
        <v/>
      </c>
      <c r="AES1556" s="42" t="str">
        <f t="array" aca="1" ref="AES1556" ca="1">IFERROR(INDEX(nombres[],SMALL(IF(OFFSET(nombres[],0,0,ROWS(nombres[]),1)=AES$1490,ROW(OFFSET(nombres[],0,0,ROWS(nombres[]),1))-ROW(OFFSET(nombres[],0,0,1,1))+1,ROW(OFFSET(nombres[],ROWS(nombres[])-1,0,1,1))+1),$O1556:$O1575),3),"")</f>
        <v/>
      </c>
      <c r="AET1556" s="42" t="str">
        <f t="array" aca="1" ref="AET1556" ca="1">IFERROR(INDEX(nombres[],SMALL(IF(OFFSET(nombres[],0,0,ROWS(nombres[]),1)=AET$1490,ROW(OFFSET(nombres[],0,0,ROWS(nombres[]),1))-ROW(OFFSET(nombres[],0,0,1,1))+1,ROW(OFFSET(nombres[],ROWS(nombres[])-1,0,1,1))+1),$O1556:$O1575),3),"")</f>
        <v/>
      </c>
      <c r="AEU1556" s="42" t="str">
        <f t="array" aca="1" ref="AEU1556" ca="1">IFERROR(INDEX(nombres[],SMALL(IF(OFFSET(nombres[],0,0,ROWS(nombres[]),1)=AEU$1490,ROW(OFFSET(nombres[],0,0,ROWS(nombres[]),1))-ROW(OFFSET(nombres[],0,0,1,1))+1,ROW(OFFSET(nombres[],ROWS(nombres[])-1,0,1,1))+1),$O1556:$O1575),3),"")</f>
        <v/>
      </c>
      <c r="AEV1556" s="42" t="str">
        <f t="array" aca="1" ref="AEV1556" ca="1">IFERROR(INDEX(nombres[],SMALL(IF(OFFSET(nombres[],0,0,ROWS(nombres[]),1)=AEV$1490,ROW(OFFSET(nombres[],0,0,ROWS(nombres[]),1))-ROW(OFFSET(nombres[],0,0,1,1))+1,ROW(OFFSET(nombres[],ROWS(nombres[])-1,0,1,1))+1),$O1556:$O1575),3),"")</f>
        <v/>
      </c>
      <c r="AEW1556" s="42" t="str">
        <f t="array" aca="1" ref="AEW1556" ca="1">IFERROR(INDEX(nombres[],SMALL(IF(OFFSET(nombres[],0,0,ROWS(nombres[]),1)=AEW$1490,ROW(OFFSET(nombres[],0,0,ROWS(nombres[]),1))-ROW(OFFSET(nombres[],0,0,1,1))+1,ROW(OFFSET(nombres[],ROWS(nombres[])-1,0,1,1))+1),$O1556:$O1575),3),"")</f>
        <v/>
      </c>
      <c r="AEX1556" s="42" t="str">
        <f t="array" aca="1" ref="AEX1556" ca="1">IFERROR(INDEX(nombres[],SMALL(IF(OFFSET(nombres[],0,0,ROWS(nombres[]),1)=AEX$1490,ROW(OFFSET(nombres[],0,0,ROWS(nombres[]),1))-ROW(OFFSET(nombres[],0,0,1,1))+1,ROW(OFFSET(nombres[],ROWS(nombres[])-1,0,1,1))+1),$O1556:$O1575),3),"")</f>
        <v/>
      </c>
      <c r="AEY1556" s="42" t="str">
        <f t="array" aca="1" ref="AEY1556" ca="1">IFERROR(INDEX(nombres[],SMALL(IF(OFFSET(nombres[],0,0,ROWS(nombres[]),1)=AEY$1490,ROW(OFFSET(nombres[],0,0,ROWS(nombres[]),1))-ROW(OFFSET(nombres[],0,0,1,1))+1,ROW(OFFSET(nombres[],ROWS(nombres[])-1,0,1,1))+1),$O1556:$O1575),3),"")</f>
        <v/>
      </c>
      <c r="AEZ1556" s="42" t="str">
        <f t="array" aca="1" ref="AEZ1556" ca="1">IFERROR(INDEX(nombres[],SMALL(IF(OFFSET(nombres[],0,0,ROWS(nombres[]),1)=AEZ$1490,ROW(OFFSET(nombres[],0,0,ROWS(nombres[]),1))-ROW(OFFSET(nombres[],0,0,1,1))+1,ROW(OFFSET(nombres[],ROWS(nombres[])-1,0,1,1))+1),$O1556:$O1575),3),"")</f>
        <v/>
      </c>
      <c r="AFA1556" s="42" t="str">
        <f t="array" aca="1" ref="AFA1556" ca="1">IFERROR(INDEX(nombres[],SMALL(IF(OFFSET(nombres[],0,0,ROWS(nombres[]),1)=AFA$1490,ROW(OFFSET(nombres[],0,0,ROWS(nombres[]),1))-ROW(OFFSET(nombres[],0,0,1,1))+1,ROW(OFFSET(nombres[],ROWS(nombres[])-1,0,1,1))+1),$O1556:$O1575),3),"")</f>
        <v/>
      </c>
      <c r="AFB1556" s="42" t="str">
        <f t="array" aca="1" ref="AFB1556" ca="1">IFERROR(INDEX(nombres[],SMALL(IF(OFFSET(nombres[],0,0,ROWS(nombres[]),1)=AFB$1490,ROW(OFFSET(nombres[],0,0,ROWS(nombres[]),1))-ROW(OFFSET(nombres[],0,0,1,1))+1,ROW(OFFSET(nombres[],ROWS(nombres[])-1,0,1,1))+1),$O1556:$O1575),3),"")</f>
        <v/>
      </c>
      <c r="AFC1556" s="42" t="str">
        <f t="array" aca="1" ref="AFC1556" ca="1">IFERROR(INDEX(nombres[],SMALL(IF(OFFSET(nombres[],0,0,ROWS(nombres[]),1)=AFC$1490,ROW(OFFSET(nombres[],0,0,ROWS(nombres[]),1))-ROW(OFFSET(nombres[],0,0,1,1))+1,ROW(OFFSET(nombres[],ROWS(nombres[])-1,0,1,1))+1),$O1556:$O1575),3),"")</f>
        <v/>
      </c>
      <c r="AFD1556" s="42" t="str">
        <f t="array" aca="1" ref="AFD1556" ca="1">IFERROR(INDEX(nombres[],SMALL(IF(OFFSET(nombres[],0,0,ROWS(nombres[]),1)=AFD$1490,ROW(OFFSET(nombres[],0,0,ROWS(nombres[]),1))-ROW(OFFSET(nombres[],0,0,1,1))+1,ROW(OFFSET(nombres[],ROWS(nombres[])-1,0,1,1))+1),$O1556:$O1575),3),"")</f>
        <v/>
      </c>
      <c r="AFE1556" s="42" t="str">
        <f t="array" aca="1" ref="AFE1556" ca="1">IFERROR(INDEX(nombres[],SMALL(IF(OFFSET(nombres[],0,0,ROWS(nombres[]),1)=AFE$1490,ROW(OFFSET(nombres[],0,0,ROWS(nombres[]),1))-ROW(OFFSET(nombres[],0,0,1,1))+1,ROW(OFFSET(nombres[],ROWS(nombres[])-1,0,1,1))+1),$O1556:$O1575),3),"")</f>
        <v/>
      </c>
      <c r="AFF1556" s="42" t="str">
        <f t="array" aca="1" ref="AFF1556" ca="1">IFERROR(INDEX(nombres[],SMALL(IF(OFFSET(nombres[],0,0,ROWS(nombres[]),1)=AFF$1490,ROW(OFFSET(nombres[],0,0,ROWS(nombres[]),1))-ROW(OFFSET(nombres[],0,0,1,1))+1,ROW(OFFSET(nombres[],ROWS(nombres[])-1,0,1,1))+1),$O1556:$O1575),3),"")</f>
        <v/>
      </c>
      <c r="AFG1556" s="42" t="str">
        <f t="array" aca="1" ref="AFG1556" ca="1">IFERROR(INDEX(nombres[],SMALL(IF(OFFSET(nombres[],0,0,ROWS(nombres[]),1)=AFG$1490,ROW(OFFSET(nombres[],0,0,ROWS(nombres[]),1))-ROW(OFFSET(nombres[],0,0,1,1))+1,ROW(OFFSET(nombres[],ROWS(nombres[])-1,0,1,1))+1),$O1556:$O1575),3),"")</f>
        <v/>
      </c>
      <c r="AFH1556" s="42" t="str">
        <f t="array" aca="1" ref="AFH1556" ca="1">IFERROR(INDEX(nombres[],SMALL(IF(OFFSET(nombres[],0,0,ROWS(nombres[]),1)=AFH$1490,ROW(OFFSET(nombres[],0,0,ROWS(nombres[]),1))-ROW(OFFSET(nombres[],0,0,1,1))+1,ROW(OFFSET(nombres[],ROWS(nombres[])-1,0,1,1))+1),$O1556:$O1575),3),"")</f>
        <v/>
      </c>
      <c r="AFI1556" s="42" t="str">
        <f t="array" aca="1" ref="AFI1556" ca="1">IFERROR(INDEX(nombres[],SMALL(IF(OFFSET(nombres[],0,0,ROWS(nombres[]),1)=AFI$1490,ROW(OFFSET(nombres[],0,0,ROWS(nombres[]),1))-ROW(OFFSET(nombres[],0,0,1,1))+1,ROW(OFFSET(nombres[],ROWS(nombres[])-1,0,1,1))+1),$O1556:$O1575),3),"")</f>
        <v/>
      </c>
      <c r="AFJ1556" s="42" t="str">
        <f t="array" aca="1" ref="AFJ1556" ca="1">IFERROR(INDEX(nombres[],SMALL(IF(OFFSET(nombres[],0,0,ROWS(nombres[]),1)=AFJ$1490,ROW(OFFSET(nombres[],0,0,ROWS(nombres[]),1))-ROW(OFFSET(nombres[],0,0,1,1))+1,ROW(OFFSET(nombres[],ROWS(nombres[])-1,0,1,1))+1),$O1556:$O1575),3),"")</f>
        <v/>
      </c>
      <c r="AFK1556" s="42" t="str">
        <f t="array" aca="1" ref="AFK1556" ca="1">IFERROR(INDEX(nombres[],SMALL(IF(OFFSET(nombres[],0,0,ROWS(nombres[]),1)=AFK$1490,ROW(OFFSET(nombres[],0,0,ROWS(nombres[]),1))-ROW(OFFSET(nombres[],0,0,1,1))+1,ROW(OFFSET(nombres[],ROWS(nombres[])-1,0,1,1))+1),$O1556:$O1575),3),"")</f>
        <v/>
      </c>
      <c r="AFL1556" s="42" t="str">
        <f t="array" aca="1" ref="AFL1556" ca="1">IFERROR(INDEX(nombres[],SMALL(IF(OFFSET(nombres[],0,0,ROWS(nombres[]),1)=AFL$1490,ROW(OFFSET(nombres[],0,0,ROWS(nombres[]),1))-ROW(OFFSET(nombres[],0,0,1,1))+1,ROW(OFFSET(nombres[],ROWS(nombres[])-1,0,1,1))+1),$O1556:$O1575),3),"")</f>
        <v/>
      </c>
      <c r="AFM1556" s="42" t="str">
        <f t="array" aca="1" ref="AFM1556" ca="1">IFERROR(INDEX(nombres[],SMALL(IF(OFFSET(nombres[],0,0,ROWS(nombres[]),1)=AFM$1490,ROW(OFFSET(nombres[],0,0,ROWS(nombres[]),1))-ROW(OFFSET(nombres[],0,0,1,1))+1,ROW(OFFSET(nombres[],ROWS(nombres[])-1,0,1,1))+1),$O1556:$O1575),3),"")</f>
        <v/>
      </c>
      <c r="AFN1556" s="42" t="str">
        <f t="array" aca="1" ref="AFN1556" ca="1">IFERROR(INDEX(nombres[],SMALL(IF(OFFSET(nombres[],0,0,ROWS(nombres[]),1)=AFN$1490,ROW(OFFSET(nombres[],0,0,ROWS(nombres[]),1))-ROW(OFFSET(nombres[],0,0,1,1))+1,ROW(OFFSET(nombres[],ROWS(nombres[])-1,0,1,1))+1),$O1556:$O1575),3),"")</f>
        <v/>
      </c>
      <c r="AFO1556" s="42" t="str">
        <f t="array" aca="1" ref="AFO1556" ca="1">IFERROR(INDEX(nombres[],SMALL(IF(OFFSET(nombres[],0,0,ROWS(nombres[]),1)=AFO$1490,ROW(OFFSET(nombres[],0,0,ROWS(nombres[]),1))-ROW(OFFSET(nombres[],0,0,1,1))+1,ROW(OFFSET(nombres[],ROWS(nombres[])-1,0,1,1))+1),$O1556:$O1575),3),"")</f>
        <v/>
      </c>
      <c r="AFP1556" s="42" t="str">
        <f t="array" aca="1" ref="AFP1556" ca="1">IFERROR(INDEX(nombres[],SMALL(IF(OFFSET(nombres[],0,0,ROWS(nombres[]),1)=AFP$1490,ROW(OFFSET(nombres[],0,0,ROWS(nombres[]),1))-ROW(OFFSET(nombres[],0,0,1,1))+1,ROW(OFFSET(nombres[],ROWS(nombres[])-1,0,1,1))+1),$O1556:$O1575),3),"")</f>
        <v/>
      </c>
      <c r="AFQ1556" s="42" t="str">
        <f t="array" aca="1" ref="AFQ1556" ca="1">IFERROR(INDEX(nombres[],SMALL(IF(OFFSET(nombres[],0,0,ROWS(nombres[]),1)=AFQ$1490,ROW(OFFSET(nombres[],0,0,ROWS(nombres[]),1))-ROW(OFFSET(nombres[],0,0,1,1))+1,ROW(OFFSET(nombres[],ROWS(nombres[])-1,0,1,1))+1),$O1556:$O1575),3),"")</f>
        <v/>
      </c>
      <c r="AFR1556" s="42" t="str">
        <f t="array" aca="1" ref="AFR1556" ca="1">IFERROR(INDEX(nombres[],SMALL(IF(OFFSET(nombres[],0,0,ROWS(nombres[]),1)=AFR$1490,ROW(OFFSET(nombres[],0,0,ROWS(nombres[]),1))-ROW(OFFSET(nombres[],0,0,1,1))+1,ROW(OFFSET(nombres[],ROWS(nombres[])-1,0,1,1))+1),$O1556:$O1575),3),"")</f>
        <v/>
      </c>
      <c r="AFS1556" s="42" t="str">
        <f t="array" aca="1" ref="AFS1556" ca="1">IFERROR(INDEX(nombres[],SMALL(IF(OFFSET(nombres[],0,0,ROWS(nombres[]),1)=AFS$1490,ROW(OFFSET(nombres[],0,0,ROWS(nombres[]),1))-ROW(OFFSET(nombres[],0,0,1,1))+1,ROW(OFFSET(nombres[],ROWS(nombres[])-1,0,1,1))+1),$O1556:$O1575),3),"")</f>
        <v/>
      </c>
      <c r="AFT1556" s="42" t="str">
        <f t="array" aca="1" ref="AFT1556" ca="1">IFERROR(INDEX(nombres[],SMALL(IF(OFFSET(nombres[],0,0,ROWS(nombres[]),1)=AFT$1490,ROW(OFFSET(nombres[],0,0,ROWS(nombres[]),1))-ROW(OFFSET(nombres[],0,0,1,1))+1,ROW(OFFSET(nombres[],ROWS(nombres[])-1,0,1,1))+1),$O1556:$O1575),3),"")</f>
        <v/>
      </c>
      <c r="AFU1556" s="42" t="str">
        <f t="array" aca="1" ref="AFU1556" ca="1">IFERROR(INDEX(nombres[],SMALL(IF(OFFSET(nombres[],0,0,ROWS(nombres[]),1)=AFU$1490,ROW(OFFSET(nombres[],0,0,ROWS(nombres[]),1))-ROW(OFFSET(nombres[],0,0,1,1))+1,ROW(OFFSET(nombres[],ROWS(nombres[])-1,0,1,1))+1),$O1556:$O1575),3),"")</f>
        <v/>
      </c>
      <c r="AFV1556" s="42" t="str">
        <f t="array" aca="1" ref="AFV1556" ca="1">IFERROR(INDEX(nombres[],SMALL(IF(OFFSET(nombres[],0,0,ROWS(nombres[]),1)=AFV$1490,ROW(OFFSET(nombres[],0,0,ROWS(nombres[]),1))-ROW(OFFSET(nombres[],0,0,1,1))+1,ROW(OFFSET(nombres[],ROWS(nombres[])-1,0,1,1))+1),$O1556:$O1575),3),"")</f>
        <v/>
      </c>
      <c r="AFW1556" s="42" t="str">
        <f t="array" aca="1" ref="AFW1556" ca="1">IFERROR(INDEX(nombres[],SMALL(IF(OFFSET(nombres[],0,0,ROWS(nombres[]),1)=AFW$1490,ROW(OFFSET(nombres[],0,0,ROWS(nombres[]),1))-ROW(OFFSET(nombres[],0,0,1,1))+1,ROW(OFFSET(nombres[],ROWS(nombres[])-1,0,1,1))+1),$O1556:$O1575),3),"")</f>
        <v/>
      </c>
      <c r="AFX1556" s="42" t="str">
        <f t="array" aca="1" ref="AFX1556" ca="1">IFERROR(INDEX(nombres[],SMALL(IF(OFFSET(nombres[],0,0,ROWS(nombres[]),1)=AFX$1490,ROW(OFFSET(nombres[],0,0,ROWS(nombres[]),1))-ROW(OFFSET(nombres[],0,0,1,1))+1,ROW(OFFSET(nombres[],ROWS(nombres[])-1,0,1,1))+1),$O1556:$O1575),3),"")</f>
        <v/>
      </c>
      <c r="AFY1556" s="42" t="str">
        <f t="array" aca="1" ref="AFY1556" ca="1">IFERROR(INDEX(nombres[],SMALL(IF(OFFSET(nombres[],0,0,ROWS(nombres[]),1)=AFY$1490,ROW(OFFSET(nombres[],0,0,ROWS(nombres[]),1))-ROW(OFFSET(nombres[],0,0,1,1))+1,ROW(OFFSET(nombres[],ROWS(nombres[])-1,0,1,1))+1),$O1556:$O1575),3),"")</f>
        <v/>
      </c>
      <c r="AFZ1556" s="42" t="str">
        <f t="array" aca="1" ref="AFZ1556" ca="1">IFERROR(INDEX(nombres[],SMALL(IF(OFFSET(nombres[],0,0,ROWS(nombres[]),1)=AFZ$1490,ROW(OFFSET(nombres[],0,0,ROWS(nombres[]),1))-ROW(OFFSET(nombres[],0,0,1,1))+1,ROW(OFFSET(nombres[],ROWS(nombres[])-1,0,1,1))+1),$O1556:$O1575),3),"")</f>
        <v/>
      </c>
      <c r="AGA1556" s="42" t="str">
        <f t="array" aca="1" ref="AGA1556" ca="1">IFERROR(INDEX(nombres[],SMALL(IF(OFFSET(nombres[],0,0,ROWS(nombres[]),1)=AGA$1490,ROW(OFFSET(nombres[],0,0,ROWS(nombres[]),1))-ROW(OFFSET(nombres[],0,0,1,1))+1,ROW(OFFSET(nombres[],ROWS(nombres[])-1,0,1,1))+1),$O1556:$O1575),3),"")</f>
        <v/>
      </c>
      <c r="AGB1556" s="42" t="str">
        <f t="array" aca="1" ref="AGB1556" ca="1">IFERROR(INDEX(nombres[],SMALL(IF(OFFSET(nombres[],0,0,ROWS(nombres[]),1)=AGB$1490,ROW(OFFSET(nombres[],0,0,ROWS(nombres[]),1))-ROW(OFFSET(nombres[],0,0,1,1))+1,ROW(OFFSET(nombres[],ROWS(nombres[])-1,0,1,1))+1),$O1556:$O1575),3),"")</f>
        <v/>
      </c>
      <c r="AGC1556" s="42" t="str">
        <f t="array" aca="1" ref="AGC1556" ca="1">IFERROR(INDEX(nombres[],SMALL(IF(OFFSET(nombres[],0,0,ROWS(nombres[]),1)=AGC$1490,ROW(OFFSET(nombres[],0,0,ROWS(nombres[]),1))-ROW(OFFSET(nombres[],0,0,1,1))+1,ROW(OFFSET(nombres[],ROWS(nombres[])-1,0,1,1))+1),$O1556:$O1575),3),"")</f>
        <v/>
      </c>
      <c r="AGD1556" s="42" t="str">
        <f t="array" aca="1" ref="AGD1556" ca="1">IFERROR(INDEX(nombres[],SMALL(IF(OFFSET(nombres[],0,0,ROWS(nombres[]),1)=AGD$1490,ROW(OFFSET(nombres[],0,0,ROWS(nombres[]),1))-ROW(OFFSET(nombres[],0,0,1,1))+1,ROW(OFFSET(nombres[],ROWS(nombres[])-1,0,1,1))+1),$O1556:$O1575),3),"")</f>
        <v/>
      </c>
      <c r="AGE1556" s="42" t="str">
        <f t="array" aca="1" ref="AGE1556" ca="1">IFERROR(INDEX(nombres[],SMALL(IF(OFFSET(nombres[],0,0,ROWS(nombres[]),1)=AGE$1490,ROW(OFFSET(nombres[],0,0,ROWS(nombres[]),1))-ROW(OFFSET(nombres[],0,0,1,1))+1,ROW(OFFSET(nombres[],ROWS(nombres[])-1,0,1,1))+1),$O1556:$O1575),3),"")</f>
        <v/>
      </c>
      <c r="AGF1556" s="42" t="str">
        <f t="array" aca="1" ref="AGF1556" ca="1">IFERROR(INDEX(nombres[],SMALL(IF(OFFSET(nombres[],0,0,ROWS(nombres[]),1)=AGF$1490,ROW(OFFSET(nombres[],0,0,ROWS(nombres[]),1))-ROW(OFFSET(nombres[],0,0,1,1))+1,ROW(OFFSET(nombres[],ROWS(nombres[])-1,0,1,1))+1),$O1556:$O1575),3),"")</f>
        <v/>
      </c>
      <c r="AGG1556" s="42" t="str">
        <f t="array" aca="1" ref="AGG1556" ca="1">IFERROR(INDEX(nombres[],SMALL(IF(OFFSET(nombres[],0,0,ROWS(nombres[]),1)=AGG$1490,ROW(OFFSET(nombres[],0,0,ROWS(nombres[]),1))-ROW(OFFSET(nombres[],0,0,1,1))+1,ROW(OFFSET(nombres[],ROWS(nombres[])-1,0,1,1))+1),$O1556:$O1575),3),"")</f>
        <v/>
      </c>
      <c r="AGH1556" s="42" t="str">
        <f t="array" aca="1" ref="AGH1556" ca="1">IFERROR(INDEX(nombres[],SMALL(IF(OFFSET(nombres[],0,0,ROWS(nombres[]),1)=AGH$1490,ROW(OFFSET(nombres[],0,0,ROWS(nombres[]),1))-ROW(OFFSET(nombres[],0,0,1,1))+1,ROW(OFFSET(nombres[],ROWS(nombres[])-1,0,1,1))+1),$O1556:$O1575),3),"")</f>
        <v/>
      </c>
      <c r="AGI1556" s="42" t="str">
        <f t="array" aca="1" ref="AGI1556" ca="1">IFERROR(INDEX(nombres[],SMALL(IF(OFFSET(nombres[],0,0,ROWS(nombres[]),1)=AGI$1490,ROW(OFFSET(nombres[],0,0,ROWS(nombres[]),1))-ROW(OFFSET(nombres[],0,0,1,1))+1,ROW(OFFSET(nombres[],ROWS(nombres[])-1,0,1,1))+1),$O1556:$O1575),3),"")</f>
        <v/>
      </c>
      <c r="AGJ1556" s="42" t="str">
        <f t="array" aca="1" ref="AGJ1556" ca="1">IFERROR(INDEX(nombres[],SMALL(IF(OFFSET(nombres[],0,0,ROWS(nombres[]),1)=AGJ$1490,ROW(OFFSET(nombres[],0,0,ROWS(nombres[]),1))-ROW(OFFSET(nombres[],0,0,1,1))+1,ROW(OFFSET(nombres[],ROWS(nombres[])-1,0,1,1))+1),$O1556:$O1575),3),"")</f>
        <v/>
      </c>
      <c r="AGK1556" s="42" t="str">
        <f t="array" aca="1" ref="AGK1556" ca="1">IFERROR(INDEX(nombres[],SMALL(IF(OFFSET(nombres[],0,0,ROWS(nombres[]),1)=AGK$1490,ROW(OFFSET(nombres[],0,0,ROWS(nombres[]),1))-ROW(OFFSET(nombres[],0,0,1,1))+1,ROW(OFFSET(nombres[],ROWS(nombres[])-1,0,1,1))+1),$O1556:$O1575),3),"")</f>
        <v/>
      </c>
      <c r="AGL1556" s="42" t="str">
        <f t="array" aca="1" ref="AGL1556" ca="1">IFERROR(INDEX(nombres[],SMALL(IF(OFFSET(nombres[],0,0,ROWS(nombres[]),1)=AGL$1490,ROW(OFFSET(nombres[],0,0,ROWS(nombres[]),1))-ROW(OFFSET(nombres[],0,0,1,1))+1,ROW(OFFSET(nombres[],ROWS(nombres[])-1,0,1,1))+1),$O1556:$O1575),3),"")</f>
        <v/>
      </c>
      <c r="AGM1556" s="42" t="str">
        <f t="array" aca="1" ref="AGM1556" ca="1">IFERROR(INDEX(nombres[],SMALL(IF(OFFSET(nombres[],0,0,ROWS(nombres[]),1)=AGM$1490,ROW(OFFSET(nombres[],0,0,ROWS(nombres[]),1))-ROW(OFFSET(nombres[],0,0,1,1))+1,ROW(OFFSET(nombres[],ROWS(nombres[])-1,0,1,1))+1),$O1556:$O1575),3),"")</f>
        <v/>
      </c>
      <c r="AGN1556" s="42" t="str">
        <f t="array" aca="1" ref="AGN1556" ca="1">IFERROR(INDEX(nombres[],SMALL(IF(OFFSET(nombres[],0,0,ROWS(nombres[]),1)=AGN$1490,ROW(OFFSET(nombres[],0,0,ROWS(nombres[]),1))-ROW(OFFSET(nombres[],0,0,1,1))+1,ROW(OFFSET(nombres[],ROWS(nombres[])-1,0,1,1))+1),$O1556:$O1575),3),"")</f>
        <v/>
      </c>
    </row>
  </sheetData>
  <sheetProtection algorithmName="SHA-512" hashValue="oxTMin98Y+801b1exbAHSysSjIj9zH43AdZ6n5JQfWq8DyN7jJSvj1KqtDkfKBterQhbYikAspRtTllTywwNDw==" saltValue="2Ny34+ZiqCeYdl01UTI3Xg==" spinCount="100000" sheet="1" objects="1" scenarios="1"/>
  <mergeCells count="1">
    <mergeCell ref="A1:K1"/>
  </mergeCells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6DE14-9BF5-4F88-85E2-6BAEE882DB85}">
  <sheetPr codeName="Hoja8">
    <tabColor rgb="FF00B050"/>
  </sheetPr>
  <dimension ref="A1:K150"/>
  <sheetViews>
    <sheetView workbookViewId="0">
      <selection activeCell="D14" sqref="D14"/>
    </sheetView>
  </sheetViews>
  <sheetFormatPr baseColWidth="10" defaultRowHeight="13.2" x14ac:dyDescent="0.25"/>
  <cols>
    <col min="1" max="1" width="9.109375" style="51" customWidth="1"/>
    <col min="2" max="2" width="30" style="51" customWidth="1"/>
    <col min="3" max="3" width="14.6640625" style="51" customWidth="1"/>
    <col min="4" max="5" width="14.44140625" style="51" customWidth="1"/>
    <col min="6" max="11" width="13" style="51" customWidth="1"/>
    <col min="12" max="255" width="11.5546875" style="51"/>
    <col min="256" max="256" width="4.88671875" style="51" customWidth="1"/>
    <col min="257" max="257" width="30" style="51" customWidth="1"/>
    <col min="258" max="258" width="14.6640625" style="51" customWidth="1"/>
    <col min="259" max="259" width="14.44140625" style="51" customWidth="1"/>
    <col min="260" max="266" width="11.5546875" style="51"/>
    <col min="267" max="267" width="23.88671875" style="51" customWidth="1"/>
    <col min="268" max="511" width="11.5546875" style="51"/>
    <col min="512" max="512" width="4.88671875" style="51" customWidth="1"/>
    <col min="513" max="513" width="30" style="51" customWidth="1"/>
    <col min="514" max="514" width="14.6640625" style="51" customWidth="1"/>
    <col min="515" max="515" width="14.44140625" style="51" customWidth="1"/>
    <col min="516" max="522" width="11.5546875" style="51"/>
    <col min="523" max="523" width="23.88671875" style="51" customWidth="1"/>
    <col min="524" max="767" width="11.5546875" style="51"/>
    <col min="768" max="768" width="4.88671875" style="51" customWidth="1"/>
    <col min="769" max="769" width="30" style="51" customWidth="1"/>
    <col min="770" max="770" width="14.6640625" style="51" customWidth="1"/>
    <col min="771" max="771" width="14.44140625" style="51" customWidth="1"/>
    <col min="772" max="778" width="11.5546875" style="51"/>
    <col min="779" max="779" width="23.88671875" style="51" customWidth="1"/>
    <col min="780" max="1023" width="11.5546875" style="51"/>
    <col min="1024" max="1024" width="4.88671875" style="51" customWidth="1"/>
    <col min="1025" max="1025" width="30" style="51" customWidth="1"/>
    <col min="1026" max="1026" width="14.6640625" style="51" customWidth="1"/>
    <col min="1027" max="1027" width="14.44140625" style="51" customWidth="1"/>
    <col min="1028" max="1034" width="11.5546875" style="51"/>
    <col min="1035" max="1035" width="23.88671875" style="51" customWidth="1"/>
    <col min="1036" max="1279" width="11.5546875" style="51"/>
    <col min="1280" max="1280" width="4.88671875" style="51" customWidth="1"/>
    <col min="1281" max="1281" width="30" style="51" customWidth="1"/>
    <col min="1282" max="1282" width="14.6640625" style="51" customWidth="1"/>
    <col min="1283" max="1283" width="14.44140625" style="51" customWidth="1"/>
    <col min="1284" max="1290" width="11.5546875" style="51"/>
    <col min="1291" max="1291" width="23.88671875" style="51" customWidth="1"/>
    <col min="1292" max="1535" width="11.5546875" style="51"/>
    <col min="1536" max="1536" width="4.88671875" style="51" customWidth="1"/>
    <col min="1537" max="1537" width="30" style="51" customWidth="1"/>
    <col min="1538" max="1538" width="14.6640625" style="51" customWidth="1"/>
    <col min="1539" max="1539" width="14.44140625" style="51" customWidth="1"/>
    <col min="1540" max="1546" width="11.5546875" style="51"/>
    <col min="1547" max="1547" width="23.88671875" style="51" customWidth="1"/>
    <col min="1548" max="1791" width="11.5546875" style="51"/>
    <col min="1792" max="1792" width="4.88671875" style="51" customWidth="1"/>
    <col min="1793" max="1793" width="30" style="51" customWidth="1"/>
    <col min="1794" max="1794" width="14.6640625" style="51" customWidth="1"/>
    <col min="1795" max="1795" width="14.44140625" style="51" customWidth="1"/>
    <col min="1796" max="1802" width="11.5546875" style="51"/>
    <col min="1803" max="1803" width="23.88671875" style="51" customWidth="1"/>
    <col min="1804" max="2047" width="11.5546875" style="51"/>
    <col min="2048" max="2048" width="4.88671875" style="51" customWidth="1"/>
    <col min="2049" max="2049" width="30" style="51" customWidth="1"/>
    <col min="2050" max="2050" width="14.6640625" style="51" customWidth="1"/>
    <col min="2051" max="2051" width="14.44140625" style="51" customWidth="1"/>
    <col min="2052" max="2058" width="11.5546875" style="51"/>
    <col min="2059" max="2059" width="23.88671875" style="51" customWidth="1"/>
    <col min="2060" max="2303" width="11.5546875" style="51"/>
    <col min="2304" max="2304" width="4.88671875" style="51" customWidth="1"/>
    <col min="2305" max="2305" width="30" style="51" customWidth="1"/>
    <col min="2306" max="2306" width="14.6640625" style="51" customWidth="1"/>
    <col min="2307" max="2307" width="14.44140625" style="51" customWidth="1"/>
    <col min="2308" max="2314" width="11.5546875" style="51"/>
    <col min="2315" max="2315" width="23.88671875" style="51" customWidth="1"/>
    <col min="2316" max="2559" width="11.5546875" style="51"/>
    <col min="2560" max="2560" width="4.88671875" style="51" customWidth="1"/>
    <col min="2561" max="2561" width="30" style="51" customWidth="1"/>
    <col min="2562" max="2562" width="14.6640625" style="51" customWidth="1"/>
    <col min="2563" max="2563" width="14.44140625" style="51" customWidth="1"/>
    <col min="2564" max="2570" width="11.5546875" style="51"/>
    <col min="2571" max="2571" width="23.88671875" style="51" customWidth="1"/>
    <col min="2572" max="2815" width="11.5546875" style="51"/>
    <col min="2816" max="2816" width="4.88671875" style="51" customWidth="1"/>
    <col min="2817" max="2817" width="30" style="51" customWidth="1"/>
    <col min="2818" max="2818" width="14.6640625" style="51" customWidth="1"/>
    <col min="2819" max="2819" width="14.44140625" style="51" customWidth="1"/>
    <col min="2820" max="2826" width="11.5546875" style="51"/>
    <col min="2827" max="2827" width="23.88671875" style="51" customWidth="1"/>
    <col min="2828" max="3071" width="11.5546875" style="51"/>
    <col min="3072" max="3072" width="4.88671875" style="51" customWidth="1"/>
    <col min="3073" max="3073" width="30" style="51" customWidth="1"/>
    <col min="3074" max="3074" width="14.6640625" style="51" customWidth="1"/>
    <col min="3075" max="3075" width="14.44140625" style="51" customWidth="1"/>
    <col min="3076" max="3082" width="11.5546875" style="51"/>
    <col min="3083" max="3083" width="23.88671875" style="51" customWidth="1"/>
    <col min="3084" max="3327" width="11.5546875" style="51"/>
    <col min="3328" max="3328" width="4.88671875" style="51" customWidth="1"/>
    <col min="3329" max="3329" width="30" style="51" customWidth="1"/>
    <col min="3330" max="3330" width="14.6640625" style="51" customWidth="1"/>
    <col min="3331" max="3331" width="14.44140625" style="51" customWidth="1"/>
    <col min="3332" max="3338" width="11.5546875" style="51"/>
    <col min="3339" max="3339" width="23.88671875" style="51" customWidth="1"/>
    <col min="3340" max="3583" width="11.5546875" style="51"/>
    <col min="3584" max="3584" width="4.88671875" style="51" customWidth="1"/>
    <col min="3585" max="3585" width="30" style="51" customWidth="1"/>
    <col min="3586" max="3586" width="14.6640625" style="51" customWidth="1"/>
    <col min="3587" max="3587" width="14.44140625" style="51" customWidth="1"/>
    <col min="3588" max="3594" width="11.5546875" style="51"/>
    <col min="3595" max="3595" width="23.88671875" style="51" customWidth="1"/>
    <col min="3596" max="3839" width="11.5546875" style="51"/>
    <col min="3840" max="3840" width="4.88671875" style="51" customWidth="1"/>
    <col min="3841" max="3841" width="30" style="51" customWidth="1"/>
    <col min="3842" max="3842" width="14.6640625" style="51" customWidth="1"/>
    <col min="3843" max="3843" width="14.44140625" style="51" customWidth="1"/>
    <col min="3844" max="3850" width="11.5546875" style="51"/>
    <col min="3851" max="3851" width="23.88671875" style="51" customWidth="1"/>
    <col min="3852" max="4095" width="11.5546875" style="51"/>
    <col min="4096" max="4096" width="4.88671875" style="51" customWidth="1"/>
    <col min="4097" max="4097" width="30" style="51" customWidth="1"/>
    <col min="4098" max="4098" width="14.6640625" style="51" customWidth="1"/>
    <col min="4099" max="4099" width="14.44140625" style="51" customWidth="1"/>
    <col min="4100" max="4106" width="11.5546875" style="51"/>
    <col min="4107" max="4107" width="23.88671875" style="51" customWidth="1"/>
    <col min="4108" max="4351" width="11.5546875" style="51"/>
    <col min="4352" max="4352" width="4.88671875" style="51" customWidth="1"/>
    <col min="4353" max="4353" width="30" style="51" customWidth="1"/>
    <col min="4354" max="4354" width="14.6640625" style="51" customWidth="1"/>
    <col min="4355" max="4355" width="14.44140625" style="51" customWidth="1"/>
    <col min="4356" max="4362" width="11.5546875" style="51"/>
    <col min="4363" max="4363" width="23.88671875" style="51" customWidth="1"/>
    <col min="4364" max="4607" width="11.5546875" style="51"/>
    <col min="4608" max="4608" width="4.88671875" style="51" customWidth="1"/>
    <col min="4609" max="4609" width="30" style="51" customWidth="1"/>
    <col min="4610" max="4610" width="14.6640625" style="51" customWidth="1"/>
    <col min="4611" max="4611" width="14.44140625" style="51" customWidth="1"/>
    <col min="4612" max="4618" width="11.5546875" style="51"/>
    <col min="4619" max="4619" width="23.88671875" style="51" customWidth="1"/>
    <col min="4620" max="4863" width="11.5546875" style="51"/>
    <col min="4864" max="4864" width="4.88671875" style="51" customWidth="1"/>
    <col min="4865" max="4865" width="30" style="51" customWidth="1"/>
    <col min="4866" max="4866" width="14.6640625" style="51" customWidth="1"/>
    <col min="4867" max="4867" width="14.44140625" style="51" customWidth="1"/>
    <col min="4868" max="4874" width="11.5546875" style="51"/>
    <col min="4875" max="4875" width="23.88671875" style="51" customWidth="1"/>
    <col min="4876" max="5119" width="11.5546875" style="51"/>
    <col min="5120" max="5120" width="4.88671875" style="51" customWidth="1"/>
    <col min="5121" max="5121" width="30" style="51" customWidth="1"/>
    <col min="5122" max="5122" width="14.6640625" style="51" customWidth="1"/>
    <col min="5123" max="5123" width="14.44140625" style="51" customWidth="1"/>
    <col min="5124" max="5130" width="11.5546875" style="51"/>
    <col min="5131" max="5131" width="23.88671875" style="51" customWidth="1"/>
    <col min="5132" max="5375" width="11.5546875" style="51"/>
    <col min="5376" max="5376" width="4.88671875" style="51" customWidth="1"/>
    <col min="5377" max="5377" width="30" style="51" customWidth="1"/>
    <col min="5378" max="5378" width="14.6640625" style="51" customWidth="1"/>
    <col min="5379" max="5379" width="14.44140625" style="51" customWidth="1"/>
    <col min="5380" max="5386" width="11.5546875" style="51"/>
    <col min="5387" max="5387" width="23.88671875" style="51" customWidth="1"/>
    <col min="5388" max="5631" width="11.5546875" style="51"/>
    <col min="5632" max="5632" width="4.88671875" style="51" customWidth="1"/>
    <col min="5633" max="5633" width="30" style="51" customWidth="1"/>
    <col min="5634" max="5634" width="14.6640625" style="51" customWidth="1"/>
    <col min="5635" max="5635" width="14.44140625" style="51" customWidth="1"/>
    <col min="5636" max="5642" width="11.5546875" style="51"/>
    <col min="5643" max="5643" width="23.88671875" style="51" customWidth="1"/>
    <col min="5644" max="5887" width="11.5546875" style="51"/>
    <col min="5888" max="5888" width="4.88671875" style="51" customWidth="1"/>
    <col min="5889" max="5889" width="30" style="51" customWidth="1"/>
    <col min="5890" max="5890" width="14.6640625" style="51" customWidth="1"/>
    <col min="5891" max="5891" width="14.44140625" style="51" customWidth="1"/>
    <col min="5892" max="5898" width="11.5546875" style="51"/>
    <col min="5899" max="5899" width="23.88671875" style="51" customWidth="1"/>
    <col min="5900" max="6143" width="11.5546875" style="51"/>
    <col min="6144" max="6144" width="4.88671875" style="51" customWidth="1"/>
    <col min="6145" max="6145" width="30" style="51" customWidth="1"/>
    <col min="6146" max="6146" width="14.6640625" style="51" customWidth="1"/>
    <col min="6147" max="6147" width="14.44140625" style="51" customWidth="1"/>
    <col min="6148" max="6154" width="11.5546875" style="51"/>
    <col min="6155" max="6155" width="23.88671875" style="51" customWidth="1"/>
    <col min="6156" max="6399" width="11.5546875" style="51"/>
    <col min="6400" max="6400" width="4.88671875" style="51" customWidth="1"/>
    <col min="6401" max="6401" width="30" style="51" customWidth="1"/>
    <col min="6402" max="6402" width="14.6640625" style="51" customWidth="1"/>
    <col min="6403" max="6403" width="14.44140625" style="51" customWidth="1"/>
    <col min="6404" max="6410" width="11.5546875" style="51"/>
    <col min="6411" max="6411" width="23.88671875" style="51" customWidth="1"/>
    <col min="6412" max="6655" width="11.5546875" style="51"/>
    <col min="6656" max="6656" width="4.88671875" style="51" customWidth="1"/>
    <col min="6657" max="6657" width="30" style="51" customWidth="1"/>
    <col min="6658" max="6658" width="14.6640625" style="51" customWidth="1"/>
    <col min="6659" max="6659" width="14.44140625" style="51" customWidth="1"/>
    <col min="6660" max="6666" width="11.5546875" style="51"/>
    <col min="6667" max="6667" width="23.88671875" style="51" customWidth="1"/>
    <col min="6668" max="6911" width="11.5546875" style="51"/>
    <col min="6912" max="6912" width="4.88671875" style="51" customWidth="1"/>
    <col min="6913" max="6913" width="30" style="51" customWidth="1"/>
    <col min="6914" max="6914" width="14.6640625" style="51" customWidth="1"/>
    <col min="6915" max="6915" width="14.44140625" style="51" customWidth="1"/>
    <col min="6916" max="6922" width="11.5546875" style="51"/>
    <col min="6923" max="6923" width="23.88671875" style="51" customWidth="1"/>
    <col min="6924" max="7167" width="11.5546875" style="51"/>
    <col min="7168" max="7168" width="4.88671875" style="51" customWidth="1"/>
    <col min="7169" max="7169" width="30" style="51" customWidth="1"/>
    <col min="7170" max="7170" width="14.6640625" style="51" customWidth="1"/>
    <col min="7171" max="7171" width="14.44140625" style="51" customWidth="1"/>
    <col min="7172" max="7178" width="11.5546875" style="51"/>
    <col min="7179" max="7179" width="23.88671875" style="51" customWidth="1"/>
    <col min="7180" max="7423" width="11.5546875" style="51"/>
    <col min="7424" max="7424" width="4.88671875" style="51" customWidth="1"/>
    <col min="7425" max="7425" width="30" style="51" customWidth="1"/>
    <col min="7426" max="7426" width="14.6640625" style="51" customWidth="1"/>
    <col min="7427" max="7427" width="14.44140625" style="51" customWidth="1"/>
    <col min="7428" max="7434" width="11.5546875" style="51"/>
    <col min="7435" max="7435" width="23.88671875" style="51" customWidth="1"/>
    <col min="7436" max="7679" width="11.5546875" style="51"/>
    <col min="7680" max="7680" width="4.88671875" style="51" customWidth="1"/>
    <col min="7681" max="7681" width="30" style="51" customWidth="1"/>
    <col min="7682" max="7682" width="14.6640625" style="51" customWidth="1"/>
    <col min="7683" max="7683" width="14.44140625" style="51" customWidth="1"/>
    <col min="7684" max="7690" width="11.5546875" style="51"/>
    <col min="7691" max="7691" width="23.88671875" style="51" customWidth="1"/>
    <col min="7692" max="7935" width="11.5546875" style="51"/>
    <col min="7936" max="7936" width="4.88671875" style="51" customWidth="1"/>
    <col min="7937" max="7937" width="30" style="51" customWidth="1"/>
    <col min="7938" max="7938" width="14.6640625" style="51" customWidth="1"/>
    <col min="7939" max="7939" width="14.44140625" style="51" customWidth="1"/>
    <col min="7940" max="7946" width="11.5546875" style="51"/>
    <col min="7947" max="7947" width="23.88671875" style="51" customWidth="1"/>
    <col min="7948" max="8191" width="11.5546875" style="51"/>
    <col min="8192" max="8192" width="4.88671875" style="51" customWidth="1"/>
    <col min="8193" max="8193" width="30" style="51" customWidth="1"/>
    <col min="8194" max="8194" width="14.6640625" style="51" customWidth="1"/>
    <col min="8195" max="8195" width="14.44140625" style="51" customWidth="1"/>
    <col min="8196" max="8202" width="11.5546875" style="51"/>
    <col min="8203" max="8203" width="23.88671875" style="51" customWidth="1"/>
    <col min="8204" max="8447" width="11.5546875" style="51"/>
    <col min="8448" max="8448" width="4.88671875" style="51" customWidth="1"/>
    <col min="8449" max="8449" width="30" style="51" customWidth="1"/>
    <col min="8450" max="8450" width="14.6640625" style="51" customWidth="1"/>
    <col min="8451" max="8451" width="14.44140625" style="51" customWidth="1"/>
    <col min="8452" max="8458" width="11.5546875" style="51"/>
    <col min="8459" max="8459" width="23.88671875" style="51" customWidth="1"/>
    <col min="8460" max="8703" width="11.5546875" style="51"/>
    <col min="8704" max="8704" width="4.88671875" style="51" customWidth="1"/>
    <col min="8705" max="8705" width="30" style="51" customWidth="1"/>
    <col min="8706" max="8706" width="14.6640625" style="51" customWidth="1"/>
    <col min="8707" max="8707" width="14.44140625" style="51" customWidth="1"/>
    <col min="8708" max="8714" width="11.5546875" style="51"/>
    <col min="8715" max="8715" width="23.88671875" style="51" customWidth="1"/>
    <col min="8716" max="8959" width="11.5546875" style="51"/>
    <col min="8960" max="8960" width="4.88671875" style="51" customWidth="1"/>
    <col min="8961" max="8961" width="30" style="51" customWidth="1"/>
    <col min="8962" max="8962" width="14.6640625" style="51" customWidth="1"/>
    <col min="8963" max="8963" width="14.44140625" style="51" customWidth="1"/>
    <col min="8964" max="8970" width="11.5546875" style="51"/>
    <col min="8971" max="8971" width="23.88671875" style="51" customWidth="1"/>
    <col min="8972" max="9215" width="11.5546875" style="51"/>
    <col min="9216" max="9216" width="4.88671875" style="51" customWidth="1"/>
    <col min="9217" max="9217" width="30" style="51" customWidth="1"/>
    <col min="9218" max="9218" width="14.6640625" style="51" customWidth="1"/>
    <col min="9219" max="9219" width="14.44140625" style="51" customWidth="1"/>
    <col min="9220" max="9226" width="11.5546875" style="51"/>
    <col min="9227" max="9227" width="23.88671875" style="51" customWidth="1"/>
    <col min="9228" max="9471" width="11.5546875" style="51"/>
    <col min="9472" max="9472" width="4.88671875" style="51" customWidth="1"/>
    <col min="9473" max="9473" width="30" style="51" customWidth="1"/>
    <col min="9474" max="9474" width="14.6640625" style="51" customWidth="1"/>
    <col min="9475" max="9475" width="14.44140625" style="51" customWidth="1"/>
    <col min="9476" max="9482" width="11.5546875" style="51"/>
    <col min="9483" max="9483" width="23.88671875" style="51" customWidth="1"/>
    <col min="9484" max="9727" width="11.5546875" style="51"/>
    <col min="9728" max="9728" width="4.88671875" style="51" customWidth="1"/>
    <col min="9729" max="9729" width="30" style="51" customWidth="1"/>
    <col min="9730" max="9730" width="14.6640625" style="51" customWidth="1"/>
    <col min="9731" max="9731" width="14.44140625" style="51" customWidth="1"/>
    <col min="9732" max="9738" width="11.5546875" style="51"/>
    <col min="9739" max="9739" width="23.88671875" style="51" customWidth="1"/>
    <col min="9740" max="9983" width="11.5546875" style="51"/>
    <col min="9984" max="9984" width="4.88671875" style="51" customWidth="1"/>
    <col min="9985" max="9985" width="30" style="51" customWidth="1"/>
    <col min="9986" max="9986" width="14.6640625" style="51" customWidth="1"/>
    <col min="9987" max="9987" width="14.44140625" style="51" customWidth="1"/>
    <col min="9988" max="9994" width="11.5546875" style="51"/>
    <col min="9995" max="9995" width="23.88671875" style="51" customWidth="1"/>
    <col min="9996" max="10239" width="11.5546875" style="51"/>
    <col min="10240" max="10240" width="4.88671875" style="51" customWidth="1"/>
    <col min="10241" max="10241" width="30" style="51" customWidth="1"/>
    <col min="10242" max="10242" width="14.6640625" style="51" customWidth="1"/>
    <col min="10243" max="10243" width="14.44140625" style="51" customWidth="1"/>
    <col min="10244" max="10250" width="11.5546875" style="51"/>
    <col min="10251" max="10251" width="23.88671875" style="51" customWidth="1"/>
    <col min="10252" max="10495" width="11.5546875" style="51"/>
    <col min="10496" max="10496" width="4.88671875" style="51" customWidth="1"/>
    <col min="10497" max="10497" width="30" style="51" customWidth="1"/>
    <col min="10498" max="10498" width="14.6640625" style="51" customWidth="1"/>
    <col min="10499" max="10499" width="14.44140625" style="51" customWidth="1"/>
    <col min="10500" max="10506" width="11.5546875" style="51"/>
    <col min="10507" max="10507" width="23.88671875" style="51" customWidth="1"/>
    <col min="10508" max="10751" width="11.5546875" style="51"/>
    <col min="10752" max="10752" width="4.88671875" style="51" customWidth="1"/>
    <col min="10753" max="10753" width="30" style="51" customWidth="1"/>
    <col min="10754" max="10754" width="14.6640625" style="51" customWidth="1"/>
    <col min="10755" max="10755" width="14.44140625" style="51" customWidth="1"/>
    <col min="10756" max="10762" width="11.5546875" style="51"/>
    <col min="10763" max="10763" width="23.88671875" style="51" customWidth="1"/>
    <col min="10764" max="11007" width="11.5546875" style="51"/>
    <col min="11008" max="11008" width="4.88671875" style="51" customWidth="1"/>
    <col min="11009" max="11009" width="30" style="51" customWidth="1"/>
    <col min="11010" max="11010" width="14.6640625" style="51" customWidth="1"/>
    <col min="11011" max="11011" width="14.44140625" style="51" customWidth="1"/>
    <col min="11012" max="11018" width="11.5546875" style="51"/>
    <col min="11019" max="11019" width="23.88671875" style="51" customWidth="1"/>
    <col min="11020" max="11263" width="11.5546875" style="51"/>
    <col min="11264" max="11264" width="4.88671875" style="51" customWidth="1"/>
    <col min="11265" max="11265" width="30" style="51" customWidth="1"/>
    <col min="11266" max="11266" width="14.6640625" style="51" customWidth="1"/>
    <col min="11267" max="11267" width="14.44140625" style="51" customWidth="1"/>
    <col min="11268" max="11274" width="11.5546875" style="51"/>
    <col min="11275" max="11275" width="23.88671875" style="51" customWidth="1"/>
    <col min="11276" max="11519" width="11.5546875" style="51"/>
    <col min="11520" max="11520" width="4.88671875" style="51" customWidth="1"/>
    <col min="11521" max="11521" width="30" style="51" customWidth="1"/>
    <col min="11522" max="11522" width="14.6640625" style="51" customWidth="1"/>
    <col min="11523" max="11523" width="14.44140625" style="51" customWidth="1"/>
    <col min="11524" max="11530" width="11.5546875" style="51"/>
    <col min="11531" max="11531" width="23.88671875" style="51" customWidth="1"/>
    <col min="11532" max="11775" width="11.5546875" style="51"/>
    <col min="11776" max="11776" width="4.88671875" style="51" customWidth="1"/>
    <col min="11777" max="11777" width="30" style="51" customWidth="1"/>
    <col min="11778" max="11778" width="14.6640625" style="51" customWidth="1"/>
    <col min="11779" max="11779" width="14.44140625" style="51" customWidth="1"/>
    <col min="11780" max="11786" width="11.5546875" style="51"/>
    <col min="11787" max="11787" width="23.88671875" style="51" customWidth="1"/>
    <col min="11788" max="12031" width="11.5546875" style="51"/>
    <col min="12032" max="12032" width="4.88671875" style="51" customWidth="1"/>
    <col min="12033" max="12033" width="30" style="51" customWidth="1"/>
    <col min="12034" max="12034" width="14.6640625" style="51" customWidth="1"/>
    <col min="12035" max="12035" width="14.44140625" style="51" customWidth="1"/>
    <col min="12036" max="12042" width="11.5546875" style="51"/>
    <col min="12043" max="12043" width="23.88671875" style="51" customWidth="1"/>
    <col min="12044" max="12287" width="11.5546875" style="51"/>
    <col min="12288" max="12288" width="4.88671875" style="51" customWidth="1"/>
    <col min="12289" max="12289" width="30" style="51" customWidth="1"/>
    <col min="12290" max="12290" width="14.6640625" style="51" customWidth="1"/>
    <col min="12291" max="12291" width="14.44140625" style="51" customWidth="1"/>
    <col min="12292" max="12298" width="11.5546875" style="51"/>
    <col min="12299" max="12299" width="23.88671875" style="51" customWidth="1"/>
    <col min="12300" max="12543" width="11.5546875" style="51"/>
    <col min="12544" max="12544" width="4.88671875" style="51" customWidth="1"/>
    <col min="12545" max="12545" width="30" style="51" customWidth="1"/>
    <col min="12546" max="12546" width="14.6640625" style="51" customWidth="1"/>
    <col min="12547" max="12547" width="14.44140625" style="51" customWidth="1"/>
    <col min="12548" max="12554" width="11.5546875" style="51"/>
    <col min="12555" max="12555" width="23.88671875" style="51" customWidth="1"/>
    <col min="12556" max="12799" width="11.5546875" style="51"/>
    <col min="12800" max="12800" width="4.88671875" style="51" customWidth="1"/>
    <col min="12801" max="12801" width="30" style="51" customWidth="1"/>
    <col min="12802" max="12802" width="14.6640625" style="51" customWidth="1"/>
    <col min="12803" max="12803" width="14.44140625" style="51" customWidth="1"/>
    <col min="12804" max="12810" width="11.5546875" style="51"/>
    <col min="12811" max="12811" width="23.88671875" style="51" customWidth="1"/>
    <col min="12812" max="13055" width="11.5546875" style="51"/>
    <col min="13056" max="13056" width="4.88671875" style="51" customWidth="1"/>
    <col min="13057" max="13057" width="30" style="51" customWidth="1"/>
    <col min="13058" max="13058" width="14.6640625" style="51" customWidth="1"/>
    <col min="13059" max="13059" width="14.44140625" style="51" customWidth="1"/>
    <col min="13060" max="13066" width="11.5546875" style="51"/>
    <col min="13067" max="13067" width="23.88671875" style="51" customWidth="1"/>
    <col min="13068" max="13311" width="11.5546875" style="51"/>
    <col min="13312" max="13312" width="4.88671875" style="51" customWidth="1"/>
    <col min="13313" max="13313" width="30" style="51" customWidth="1"/>
    <col min="13314" max="13314" width="14.6640625" style="51" customWidth="1"/>
    <col min="13315" max="13315" width="14.44140625" style="51" customWidth="1"/>
    <col min="13316" max="13322" width="11.5546875" style="51"/>
    <col min="13323" max="13323" width="23.88671875" style="51" customWidth="1"/>
    <col min="13324" max="13567" width="11.5546875" style="51"/>
    <col min="13568" max="13568" width="4.88671875" style="51" customWidth="1"/>
    <col min="13569" max="13569" width="30" style="51" customWidth="1"/>
    <col min="13570" max="13570" width="14.6640625" style="51" customWidth="1"/>
    <col min="13571" max="13571" width="14.44140625" style="51" customWidth="1"/>
    <col min="13572" max="13578" width="11.5546875" style="51"/>
    <col min="13579" max="13579" width="23.88671875" style="51" customWidth="1"/>
    <col min="13580" max="13823" width="11.5546875" style="51"/>
    <col min="13824" max="13824" width="4.88671875" style="51" customWidth="1"/>
    <col min="13825" max="13825" width="30" style="51" customWidth="1"/>
    <col min="13826" max="13826" width="14.6640625" style="51" customWidth="1"/>
    <col min="13827" max="13827" width="14.44140625" style="51" customWidth="1"/>
    <col min="13828" max="13834" width="11.5546875" style="51"/>
    <col min="13835" max="13835" width="23.88671875" style="51" customWidth="1"/>
    <col min="13836" max="14079" width="11.5546875" style="51"/>
    <col min="14080" max="14080" width="4.88671875" style="51" customWidth="1"/>
    <col min="14081" max="14081" width="30" style="51" customWidth="1"/>
    <col min="14082" max="14082" width="14.6640625" style="51" customWidth="1"/>
    <col min="14083" max="14083" width="14.44140625" style="51" customWidth="1"/>
    <col min="14084" max="14090" width="11.5546875" style="51"/>
    <col min="14091" max="14091" width="23.88671875" style="51" customWidth="1"/>
    <col min="14092" max="14335" width="11.5546875" style="51"/>
    <col min="14336" max="14336" width="4.88671875" style="51" customWidth="1"/>
    <col min="14337" max="14337" width="30" style="51" customWidth="1"/>
    <col min="14338" max="14338" width="14.6640625" style="51" customWidth="1"/>
    <col min="14339" max="14339" width="14.44140625" style="51" customWidth="1"/>
    <col min="14340" max="14346" width="11.5546875" style="51"/>
    <col min="14347" max="14347" width="23.88671875" style="51" customWidth="1"/>
    <col min="14348" max="14591" width="11.5546875" style="51"/>
    <col min="14592" max="14592" width="4.88671875" style="51" customWidth="1"/>
    <col min="14593" max="14593" width="30" style="51" customWidth="1"/>
    <col min="14594" max="14594" width="14.6640625" style="51" customWidth="1"/>
    <col min="14595" max="14595" width="14.44140625" style="51" customWidth="1"/>
    <col min="14596" max="14602" width="11.5546875" style="51"/>
    <col min="14603" max="14603" width="23.88671875" style="51" customWidth="1"/>
    <col min="14604" max="14847" width="11.5546875" style="51"/>
    <col min="14848" max="14848" width="4.88671875" style="51" customWidth="1"/>
    <col min="14849" max="14849" width="30" style="51" customWidth="1"/>
    <col min="14850" max="14850" width="14.6640625" style="51" customWidth="1"/>
    <col min="14851" max="14851" width="14.44140625" style="51" customWidth="1"/>
    <col min="14852" max="14858" width="11.5546875" style="51"/>
    <col min="14859" max="14859" width="23.88671875" style="51" customWidth="1"/>
    <col min="14860" max="15103" width="11.5546875" style="51"/>
    <col min="15104" max="15104" width="4.88671875" style="51" customWidth="1"/>
    <col min="15105" max="15105" width="30" style="51" customWidth="1"/>
    <col min="15106" max="15106" width="14.6640625" style="51" customWidth="1"/>
    <col min="15107" max="15107" width="14.44140625" style="51" customWidth="1"/>
    <col min="15108" max="15114" width="11.5546875" style="51"/>
    <col min="15115" max="15115" width="23.88671875" style="51" customWidth="1"/>
    <col min="15116" max="15359" width="11.5546875" style="51"/>
    <col min="15360" max="15360" width="4.88671875" style="51" customWidth="1"/>
    <col min="15361" max="15361" width="30" style="51" customWidth="1"/>
    <col min="15362" max="15362" width="14.6640625" style="51" customWidth="1"/>
    <col min="15363" max="15363" width="14.44140625" style="51" customWidth="1"/>
    <col min="15364" max="15370" width="11.5546875" style="51"/>
    <col min="15371" max="15371" width="23.88671875" style="51" customWidth="1"/>
    <col min="15372" max="15615" width="11.5546875" style="51"/>
    <col min="15616" max="15616" width="4.88671875" style="51" customWidth="1"/>
    <col min="15617" max="15617" width="30" style="51" customWidth="1"/>
    <col min="15618" max="15618" width="14.6640625" style="51" customWidth="1"/>
    <col min="15619" max="15619" width="14.44140625" style="51" customWidth="1"/>
    <col min="15620" max="15626" width="11.5546875" style="51"/>
    <col min="15627" max="15627" width="23.88671875" style="51" customWidth="1"/>
    <col min="15628" max="15871" width="11.5546875" style="51"/>
    <col min="15872" max="15872" width="4.88671875" style="51" customWidth="1"/>
    <col min="15873" max="15873" width="30" style="51" customWidth="1"/>
    <col min="15874" max="15874" width="14.6640625" style="51" customWidth="1"/>
    <col min="15875" max="15875" width="14.44140625" style="51" customWidth="1"/>
    <col min="15876" max="15882" width="11.5546875" style="51"/>
    <col min="15883" max="15883" width="23.88671875" style="51" customWidth="1"/>
    <col min="15884" max="16127" width="11.5546875" style="51"/>
    <col min="16128" max="16128" width="4.88671875" style="51" customWidth="1"/>
    <col min="16129" max="16129" width="30" style="51" customWidth="1"/>
    <col min="16130" max="16130" width="14.6640625" style="51" customWidth="1"/>
    <col min="16131" max="16131" width="14.44140625" style="51" customWidth="1"/>
    <col min="16132" max="16138" width="11.5546875" style="51"/>
    <col min="16139" max="16139" width="23.88671875" style="51" customWidth="1"/>
    <col min="16140" max="16384" width="11.5546875" style="51"/>
  </cols>
  <sheetData>
    <row r="1" spans="1:11" ht="21" x14ac:dyDescent="0.4">
      <c r="A1" s="280" t="s">
        <v>468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</row>
    <row r="2" spans="1:11" ht="14.25" customHeight="1" x14ac:dyDescent="0.25">
      <c r="A2" s="279" t="s">
        <v>649</v>
      </c>
      <c r="B2" s="279"/>
      <c r="C2" s="279" t="s">
        <v>67</v>
      </c>
      <c r="D2" s="279"/>
      <c r="E2" s="56"/>
      <c r="F2" s="55" t="s">
        <v>460</v>
      </c>
      <c r="G2" s="57" t="s">
        <v>72</v>
      </c>
      <c r="H2" s="55" t="s">
        <v>469</v>
      </c>
      <c r="I2" s="58" t="s">
        <v>482</v>
      </c>
      <c r="J2" s="58" t="s">
        <v>482</v>
      </c>
      <c r="K2" s="59"/>
    </row>
    <row r="3" spans="1:11" ht="14.25" customHeight="1" x14ac:dyDescent="0.25">
      <c r="A3" s="279">
        <v>2024</v>
      </c>
      <c r="B3" s="279"/>
      <c r="C3" s="279"/>
      <c r="D3" s="279"/>
      <c r="E3" s="56"/>
      <c r="F3" s="55" t="s">
        <v>470</v>
      </c>
      <c r="G3" s="57" t="s">
        <v>471</v>
      </c>
      <c r="H3" s="55" t="s">
        <v>472</v>
      </c>
      <c r="I3" s="58" t="s">
        <v>473</v>
      </c>
      <c r="J3" s="58" t="s">
        <v>474</v>
      </c>
      <c r="K3" s="57" t="s">
        <v>475</v>
      </c>
    </row>
    <row r="4" spans="1:11" s="62" customFormat="1" x14ac:dyDescent="0.3">
      <c r="A4" s="60" t="s">
        <v>476</v>
      </c>
      <c r="B4" s="60" t="s">
        <v>477</v>
      </c>
      <c r="C4" s="60" t="s">
        <v>478</v>
      </c>
      <c r="D4" s="60" t="s">
        <v>29</v>
      </c>
      <c r="E4" s="60" t="s">
        <v>479</v>
      </c>
      <c r="F4" s="60" t="s">
        <v>480</v>
      </c>
      <c r="G4" s="61" t="s">
        <v>480</v>
      </c>
      <c r="H4" s="60" t="s">
        <v>480</v>
      </c>
      <c r="I4" s="61" t="s">
        <v>480</v>
      </c>
      <c r="J4" s="61" t="s">
        <v>480</v>
      </c>
      <c r="K4" s="61" t="s">
        <v>481</v>
      </c>
    </row>
    <row r="5" spans="1:11" ht="13.5" customHeight="1" x14ac:dyDescent="0.25">
      <c r="A5" s="63">
        <v>1</v>
      </c>
      <c r="B5" s="150" t="s">
        <v>483</v>
      </c>
      <c r="C5" s="65" t="s">
        <v>484</v>
      </c>
      <c r="D5" s="63" t="s">
        <v>670</v>
      </c>
      <c r="E5" s="65" t="s">
        <v>485</v>
      </c>
      <c r="F5" s="65">
        <v>160</v>
      </c>
      <c r="G5" s="66">
        <v>7000</v>
      </c>
      <c r="H5" s="67">
        <v>0</v>
      </c>
      <c r="I5" s="64">
        <f>IF(B5="","",(G5/F5)*H5)</f>
        <v>0</v>
      </c>
      <c r="J5" s="66">
        <v>0</v>
      </c>
      <c r="K5" s="64">
        <f>IF(B5="","",G5-I5-J5)</f>
        <v>7000</v>
      </c>
    </row>
    <row r="6" spans="1:11" ht="13.5" customHeight="1" x14ac:dyDescent="0.25">
      <c r="A6" s="63">
        <v>2</v>
      </c>
      <c r="B6" s="150" t="s">
        <v>486</v>
      </c>
      <c r="C6" s="65" t="s">
        <v>487</v>
      </c>
      <c r="D6" s="63" t="s">
        <v>671</v>
      </c>
      <c r="E6" s="65" t="s">
        <v>488</v>
      </c>
      <c r="F6" s="65">
        <v>160</v>
      </c>
      <c r="G6" s="66">
        <v>7000</v>
      </c>
      <c r="H6" s="67">
        <v>0</v>
      </c>
      <c r="I6" s="64">
        <f t="shared" ref="I6:I64" si="0">IF(B6="","",(G6/F6)*H6)</f>
        <v>0</v>
      </c>
      <c r="J6" s="66">
        <v>0</v>
      </c>
      <c r="K6" s="64">
        <f t="shared" ref="K6:K64" si="1">IF(B6="","",G6-I6-J6)</f>
        <v>7000</v>
      </c>
    </row>
    <row r="7" spans="1:11" ht="13.5" customHeight="1" x14ac:dyDescent="0.25">
      <c r="A7" s="63">
        <v>3</v>
      </c>
      <c r="B7" s="150" t="s">
        <v>489</v>
      </c>
      <c r="C7" s="65" t="s">
        <v>490</v>
      </c>
      <c r="D7" s="63" t="s">
        <v>672</v>
      </c>
      <c r="E7" s="65" t="s">
        <v>491</v>
      </c>
      <c r="F7" s="65">
        <v>160</v>
      </c>
      <c r="G7" s="66">
        <v>4500</v>
      </c>
      <c r="H7" s="67">
        <v>0</v>
      </c>
      <c r="I7" s="64">
        <f t="shared" si="0"/>
        <v>0</v>
      </c>
      <c r="J7" s="66">
        <v>0</v>
      </c>
      <c r="K7" s="64">
        <f t="shared" si="1"/>
        <v>4500</v>
      </c>
    </row>
    <row r="8" spans="1:11" ht="13.5" customHeight="1" x14ac:dyDescent="0.25">
      <c r="A8" s="63">
        <v>4</v>
      </c>
      <c r="B8" s="150" t="s">
        <v>492</v>
      </c>
      <c r="C8" s="65" t="s">
        <v>493</v>
      </c>
      <c r="D8" s="63" t="s">
        <v>673</v>
      </c>
      <c r="E8" s="65" t="s">
        <v>494</v>
      </c>
      <c r="F8" s="65">
        <v>160</v>
      </c>
      <c r="G8" s="66">
        <v>4500</v>
      </c>
      <c r="H8" s="67">
        <v>0</v>
      </c>
      <c r="I8" s="64">
        <f t="shared" si="0"/>
        <v>0</v>
      </c>
      <c r="J8" s="66">
        <v>0</v>
      </c>
      <c r="K8" s="64">
        <f t="shared" si="1"/>
        <v>4500</v>
      </c>
    </row>
    <row r="9" spans="1:11" ht="13.5" customHeight="1" x14ac:dyDescent="0.25">
      <c r="A9" s="63">
        <v>5</v>
      </c>
      <c r="B9" s="150" t="s">
        <v>497</v>
      </c>
      <c r="C9" s="65" t="s">
        <v>498</v>
      </c>
      <c r="D9" s="63" t="s">
        <v>674</v>
      </c>
      <c r="E9" s="65" t="s">
        <v>499</v>
      </c>
      <c r="F9" s="65">
        <v>160</v>
      </c>
      <c r="G9" s="66">
        <v>1160.5</v>
      </c>
      <c r="H9" s="67">
        <v>0</v>
      </c>
      <c r="I9" s="64">
        <f t="shared" si="0"/>
        <v>0</v>
      </c>
      <c r="J9" s="66">
        <v>0</v>
      </c>
      <c r="K9" s="64">
        <f t="shared" si="1"/>
        <v>1160.5</v>
      </c>
    </row>
    <row r="10" spans="1:11" ht="13.5" customHeight="1" x14ac:dyDescent="0.25">
      <c r="A10" s="63">
        <v>6</v>
      </c>
      <c r="B10" s="150" t="s">
        <v>500</v>
      </c>
      <c r="C10" s="65" t="s">
        <v>420</v>
      </c>
      <c r="D10" s="63" t="s">
        <v>675</v>
      </c>
      <c r="E10" s="65" t="s">
        <v>501</v>
      </c>
      <c r="F10" s="65">
        <v>160</v>
      </c>
      <c r="G10" s="66">
        <v>2000</v>
      </c>
      <c r="H10" s="67">
        <v>0</v>
      </c>
      <c r="I10" s="64">
        <f t="shared" si="0"/>
        <v>0</v>
      </c>
      <c r="J10" s="66">
        <v>0</v>
      </c>
      <c r="K10" s="64">
        <f t="shared" si="1"/>
        <v>2000</v>
      </c>
    </row>
    <row r="11" spans="1:11" ht="15" customHeight="1" x14ac:dyDescent="0.25">
      <c r="A11" s="63">
        <v>7</v>
      </c>
      <c r="B11" s="150" t="s">
        <v>502</v>
      </c>
      <c r="C11" s="65" t="s">
        <v>503</v>
      </c>
      <c r="D11" s="63" t="s">
        <v>676</v>
      </c>
      <c r="E11" s="65" t="s">
        <v>504</v>
      </c>
      <c r="F11" s="65">
        <v>160</v>
      </c>
      <c r="G11" s="66">
        <v>1350</v>
      </c>
      <c r="H11" s="67">
        <v>0</v>
      </c>
      <c r="I11" s="64">
        <f t="shared" si="0"/>
        <v>0</v>
      </c>
      <c r="J11" s="66">
        <v>0</v>
      </c>
      <c r="K11" s="64">
        <f t="shared" si="1"/>
        <v>1350</v>
      </c>
    </row>
    <row r="12" spans="1:11" ht="13.5" customHeight="1" x14ac:dyDescent="0.25">
      <c r="A12" s="63">
        <v>8</v>
      </c>
      <c r="B12" s="150" t="s">
        <v>505</v>
      </c>
      <c r="C12" s="65" t="s">
        <v>506</v>
      </c>
      <c r="D12" s="63" t="s">
        <v>677</v>
      </c>
      <c r="E12" s="65" t="s">
        <v>507</v>
      </c>
      <c r="F12" s="65">
        <v>160</v>
      </c>
      <c r="G12" s="66">
        <v>2077</v>
      </c>
      <c r="H12" s="67">
        <v>0</v>
      </c>
      <c r="I12" s="64">
        <f t="shared" si="0"/>
        <v>0</v>
      </c>
      <c r="J12" s="66">
        <v>0</v>
      </c>
      <c r="K12" s="64">
        <f t="shared" si="1"/>
        <v>2077</v>
      </c>
    </row>
    <row r="13" spans="1:11" ht="13.5" customHeight="1" x14ac:dyDescent="0.25">
      <c r="A13" s="63">
        <v>13</v>
      </c>
      <c r="B13" s="150" t="s">
        <v>1729</v>
      </c>
      <c r="C13" s="65" t="s">
        <v>521</v>
      </c>
      <c r="D13" s="63" t="s">
        <v>678</v>
      </c>
      <c r="E13" s="65" t="s">
        <v>522</v>
      </c>
      <c r="F13" s="65">
        <v>160</v>
      </c>
      <c r="G13" s="66">
        <v>1500</v>
      </c>
      <c r="H13" s="67">
        <v>0</v>
      </c>
      <c r="I13" s="64">
        <f t="shared" si="0"/>
        <v>0</v>
      </c>
      <c r="J13" s="66">
        <v>0</v>
      </c>
      <c r="K13" s="64">
        <f t="shared" si="1"/>
        <v>1500</v>
      </c>
    </row>
    <row r="14" spans="1:11" ht="13.5" customHeight="1" x14ac:dyDescent="0.25">
      <c r="A14" s="63">
        <v>14</v>
      </c>
      <c r="B14" s="150" t="s">
        <v>523</v>
      </c>
      <c r="C14" s="65" t="s">
        <v>524</v>
      </c>
      <c r="D14" s="63" t="s">
        <v>679</v>
      </c>
      <c r="E14" s="65" t="s">
        <v>525</v>
      </c>
      <c r="F14" s="65">
        <v>160</v>
      </c>
      <c r="G14" s="66">
        <v>2606</v>
      </c>
      <c r="H14" s="67">
        <v>0</v>
      </c>
      <c r="I14" s="64">
        <f t="shared" si="0"/>
        <v>0</v>
      </c>
      <c r="J14" s="66">
        <v>0</v>
      </c>
      <c r="K14" s="64">
        <f t="shared" si="1"/>
        <v>2606</v>
      </c>
    </row>
    <row r="15" spans="1:11" ht="13.5" customHeight="1" x14ac:dyDescent="0.25">
      <c r="A15" s="63">
        <v>15</v>
      </c>
      <c r="B15" s="150" t="s">
        <v>526</v>
      </c>
      <c r="C15" s="65" t="s">
        <v>527</v>
      </c>
      <c r="D15" s="63" t="s">
        <v>680</v>
      </c>
      <c r="E15" s="65" t="s">
        <v>528</v>
      </c>
      <c r="F15" s="65">
        <v>160</v>
      </c>
      <c r="G15" s="66">
        <v>1500</v>
      </c>
      <c r="H15" s="67">
        <v>0</v>
      </c>
      <c r="I15" s="64">
        <f t="shared" si="0"/>
        <v>0</v>
      </c>
      <c r="J15" s="66">
        <v>0</v>
      </c>
      <c r="K15" s="64">
        <f t="shared" si="1"/>
        <v>1500</v>
      </c>
    </row>
    <row r="16" spans="1:11" ht="13.5" customHeight="1" x14ac:dyDescent="0.25">
      <c r="A16" s="63">
        <v>16</v>
      </c>
      <c r="B16" s="150" t="s">
        <v>529</v>
      </c>
      <c r="C16" s="65" t="s">
        <v>530</v>
      </c>
      <c r="D16" s="63" t="s">
        <v>681</v>
      </c>
      <c r="E16" s="65" t="s">
        <v>531</v>
      </c>
      <c r="F16" s="65">
        <v>160</v>
      </c>
      <c r="G16" s="66">
        <v>3500</v>
      </c>
      <c r="H16" s="67">
        <v>0</v>
      </c>
      <c r="I16" s="64">
        <f t="shared" si="0"/>
        <v>0</v>
      </c>
      <c r="J16" s="66">
        <v>0</v>
      </c>
      <c r="K16" s="64">
        <f t="shared" si="1"/>
        <v>3500</v>
      </c>
    </row>
    <row r="17" spans="1:11" ht="13.5" customHeight="1" x14ac:dyDescent="0.25">
      <c r="A17" s="63">
        <v>17</v>
      </c>
      <c r="B17" s="150" t="s">
        <v>532</v>
      </c>
      <c r="C17" s="65" t="s">
        <v>533</v>
      </c>
      <c r="D17" s="63" t="s">
        <v>682</v>
      </c>
      <c r="E17" s="65" t="s">
        <v>534</v>
      </c>
      <c r="F17" s="65">
        <v>160</v>
      </c>
      <c r="G17" s="66">
        <v>2378</v>
      </c>
      <c r="H17" s="67">
        <v>0</v>
      </c>
      <c r="I17" s="64">
        <f t="shared" si="0"/>
        <v>0</v>
      </c>
      <c r="J17" s="66">
        <v>0</v>
      </c>
      <c r="K17" s="64">
        <f t="shared" si="1"/>
        <v>2378</v>
      </c>
    </row>
    <row r="18" spans="1:11" ht="13.5" customHeight="1" x14ac:dyDescent="0.25">
      <c r="A18" s="63">
        <v>18</v>
      </c>
      <c r="B18" s="150" t="s">
        <v>535</v>
      </c>
      <c r="C18" s="65" t="s">
        <v>536</v>
      </c>
      <c r="D18" s="63" t="s">
        <v>683</v>
      </c>
      <c r="E18" s="65" t="s">
        <v>537</v>
      </c>
      <c r="F18" s="65">
        <v>160</v>
      </c>
      <c r="G18" s="66">
        <v>1531</v>
      </c>
      <c r="H18" s="67">
        <v>0</v>
      </c>
      <c r="I18" s="64">
        <f t="shared" si="0"/>
        <v>0</v>
      </c>
      <c r="J18" s="66">
        <v>0</v>
      </c>
      <c r="K18" s="64">
        <f t="shared" si="1"/>
        <v>1531</v>
      </c>
    </row>
    <row r="19" spans="1:11" ht="13.5" customHeight="1" x14ac:dyDescent="0.25">
      <c r="A19" s="63">
        <v>19</v>
      </c>
      <c r="B19" s="150" t="s">
        <v>538</v>
      </c>
      <c r="C19" s="65" t="s">
        <v>539</v>
      </c>
      <c r="D19" s="63" t="s">
        <v>684</v>
      </c>
      <c r="E19" s="65" t="s">
        <v>540</v>
      </c>
      <c r="F19" s="65">
        <v>160</v>
      </c>
      <c r="G19" s="66">
        <v>1500</v>
      </c>
      <c r="H19" s="67">
        <v>0</v>
      </c>
      <c r="I19" s="64">
        <f t="shared" si="0"/>
        <v>0</v>
      </c>
      <c r="J19" s="66">
        <v>0</v>
      </c>
      <c r="K19" s="64">
        <f t="shared" si="1"/>
        <v>1500</v>
      </c>
    </row>
    <row r="20" spans="1:11" ht="13.5" customHeight="1" x14ac:dyDescent="0.25">
      <c r="A20" s="63">
        <v>20</v>
      </c>
      <c r="B20" s="150" t="s">
        <v>541</v>
      </c>
      <c r="C20" s="65" t="s">
        <v>542</v>
      </c>
      <c r="D20" s="63" t="s">
        <v>685</v>
      </c>
      <c r="E20" s="65" t="s">
        <v>543</v>
      </c>
      <c r="F20" s="65">
        <v>160</v>
      </c>
      <c r="G20" s="66">
        <v>1400</v>
      </c>
      <c r="H20" s="67">
        <v>0</v>
      </c>
      <c r="I20" s="64">
        <f t="shared" si="0"/>
        <v>0</v>
      </c>
      <c r="J20" s="66">
        <v>0</v>
      </c>
      <c r="K20" s="64">
        <f t="shared" si="1"/>
        <v>1400</v>
      </c>
    </row>
    <row r="21" spans="1:11" ht="13.5" customHeight="1" x14ac:dyDescent="0.25">
      <c r="A21" s="63">
        <v>21</v>
      </c>
      <c r="B21" s="150" t="s">
        <v>544</v>
      </c>
      <c r="C21" s="65" t="s">
        <v>545</v>
      </c>
      <c r="D21" s="63" t="s">
        <v>686</v>
      </c>
      <c r="E21" s="65" t="s">
        <v>546</v>
      </c>
      <c r="F21" s="65">
        <v>160</v>
      </c>
      <c r="G21" s="66">
        <v>2383.5</v>
      </c>
      <c r="H21" s="67">
        <v>0</v>
      </c>
      <c r="I21" s="64">
        <f t="shared" si="0"/>
        <v>0</v>
      </c>
      <c r="J21" s="66">
        <v>0</v>
      </c>
      <c r="K21" s="64">
        <f t="shared" si="1"/>
        <v>2383.5</v>
      </c>
    </row>
    <row r="22" spans="1:11" ht="13.5" customHeight="1" x14ac:dyDescent="0.25">
      <c r="A22" s="63">
        <v>22</v>
      </c>
      <c r="B22" s="150" t="s">
        <v>547</v>
      </c>
      <c r="C22" s="65" t="s">
        <v>548</v>
      </c>
      <c r="D22" s="63" t="s">
        <v>687</v>
      </c>
      <c r="E22" s="65" t="s">
        <v>549</v>
      </c>
      <c r="F22" s="65">
        <v>160</v>
      </c>
      <c r="G22" s="66">
        <v>1700</v>
      </c>
      <c r="H22" s="67">
        <v>0</v>
      </c>
      <c r="I22" s="64">
        <f t="shared" si="0"/>
        <v>0</v>
      </c>
      <c r="J22" s="66">
        <v>0</v>
      </c>
      <c r="K22" s="64">
        <f t="shared" si="1"/>
        <v>1700</v>
      </c>
    </row>
    <row r="23" spans="1:11" ht="13.5" customHeight="1" x14ac:dyDescent="0.25">
      <c r="A23" s="63">
        <v>23</v>
      </c>
      <c r="B23" s="150" t="s">
        <v>550</v>
      </c>
      <c r="C23" s="65" t="s">
        <v>551</v>
      </c>
      <c r="D23" s="63" t="s">
        <v>688</v>
      </c>
      <c r="E23" s="65" t="s">
        <v>552</v>
      </c>
      <c r="F23" s="65">
        <v>160</v>
      </c>
      <c r="G23" s="66">
        <v>3387</v>
      </c>
      <c r="H23" s="67">
        <v>0</v>
      </c>
      <c r="I23" s="64">
        <f t="shared" si="0"/>
        <v>0</v>
      </c>
      <c r="J23" s="66">
        <v>0</v>
      </c>
      <c r="K23" s="64">
        <f t="shared" si="1"/>
        <v>3387</v>
      </c>
    </row>
    <row r="24" spans="1:11" ht="13.5" customHeight="1" x14ac:dyDescent="0.25">
      <c r="A24" s="63">
        <v>24</v>
      </c>
      <c r="B24" s="150" t="s">
        <v>553</v>
      </c>
      <c r="C24" s="65" t="s">
        <v>554</v>
      </c>
      <c r="D24" s="63" t="s">
        <v>689</v>
      </c>
      <c r="E24" s="65">
        <v>0</v>
      </c>
      <c r="F24" s="65">
        <v>160</v>
      </c>
      <c r="G24" s="66">
        <v>2500</v>
      </c>
      <c r="H24" s="67">
        <v>0</v>
      </c>
      <c r="I24" s="64">
        <f t="shared" si="0"/>
        <v>0</v>
      </c>
      <c r="J24" s="66">
        <v>0</v>
      </c>
      <c r="K24" s="64">
        <f t="shared" si="1"/>
        <v>2500</v>
      </c>
    </row>
    <row r="25" spans="1:11" ht="13.5" customHeight="1" x14ac:dyDescent="0.25">
      <c r="A25" s="63">
        <v>25</v>
      </c>
      <c r="B25" s="150" t="s">
        <v>555</v>
      </c>
      <c r="C25" s="65" t="s">
        <v>556</v>
      </c>
      <c r="D25" s="63" t="s">
        <v>690</v>
      </c>
      <c r="E25" s="65" t="s">
        <v>557</v>
      </c>
      <c r="F25" s="65">
        <v>160</v>
      </c>
      <c r="G25" s="66">
        <v>3000</v>
      </c>
      <c r="H25" s="67">
        <v>0</v>
      </c>
      <c r="I25" s="64">
        <f t="shared" si="0"/>
        <v>0</v>
      </c>
      <c r="J25" s="66">
        <v>0</v>
      </c>
      <c r="K25" s="64">
        <f t="shared" si="1"/>
        <v>3000</v>
      </c>
    </row>
    <row r="26" spans="1:11" ht="13.5" customHeight="1" x14ac:dyDescent="0.25">
      <c r="A26" s="63">
        <v>26</v>
      </c>
      <c r="B26" s="150" t="s">
        <v>558</v>
      </c>
      <c r="C26" s="65" t="s">
        <v>559</v>
      </c>
      <c r="D26" s="63" t="s">
        <v>691</v>
      </c>
      <c r="E26" s="65" t="s">
        <v>560</v>
      </c>
      <c r="F26" s="65">
        <v>160</v>
      </c>
      <c r="G26" s="66">
        <v>4538</v>
      </c>
      <c r="H26" s="67">
        <v>0</v>
      </c>
      <c r="I26" s="64">
        <f t="shared" si="0"/>
        <v>0</v>
      </c>
      <c r="J26" s="66">
        <v>0</v>
      </c>
      <c r="K26" s="64">
        <f t="shared" si="1"/>
        <v>4538</v>
      </c>
    </row>
    <row r="27" spans="1:11" ht="13.5" customHeight="1" x14ac:dyDescent="0.25">
      <c r="A27" s="63">
        <v>27</v>
      </c>
      <c r="B27" s="150" t="s">
        <v>561</v>
      </c>
      <c r="C27" s="65" t="s">
        <v>562</v>
      </c>
      <c r="D27" s="63" t="s">
        <v>692</v>
      </c>
      <c r="E27" s="65" t="s">
        <v>563</v>
      </c>
      <c r="F27" s="65">
        <v>160</v>
      </c>
      <c r="G27" s="66">
        <v>3400</v>
      </c>
      <c r="H27" s="67">
        <v>0</v>
      </c>
      <c r="I27" s="64">
        <f t="shared" si="0"/>
        <v>0</v>
      </c>
      <c r="J27" s="66">
        <v>0</v>
      </c>
      <c r="K27" s="64">
        <f t="shared" si="1"/>
        <v>3400</v>
      </c>
    </row>
    <row r="28" spans="1:11" ht="13.5" customHeight="1" x14ac:dyDescent="0.25">
      <c r="A28" s="63">
        <v>28</v>
      </c>
      <c r="B28" s="150" t="s">
        <v>564</v>
      </c>
      <c r="C28" s="65" t="s">
        <v>565</v>
      </c>
      <c r="D28" s="63" t="s">
        <v>693</v>
      </c>
      <c r="E28" s="65" t="s">
        <v>566</v>
      </c>
      <c r="F28" s="65">
        <v>160</v>
      </c>
      <c r="G28" s="66">
        <v>3100</v>
      </c>
      <c r="H28" s="67">
        <v>0</v>
      </c>
      <c r="I28" s="64">
        <f t="shared" si="0"/>
        <v>0</v>
      </c>
      <c r="J28" s="66">
        <v>0</v>
      </c>
      <c r="K28" s="64">
        <f t="shared" si="1"/>
        <v>3100</v>
      </c>
    </row>
    <row r="29" spans="1:11" ht="13.5" customHeight="1" x14ac:dyDescent="0.25">
      <c r="A29" s="63">
        <v>29</v>
      </c>
      <c r="B29" s="150" t="s">
        <v>567</v>
      </c>
      <c r="C29" s="65" t="s">
        <v>568</v>
      </c>
      <c r="D29" s="63" t="s">
        <v>694</v>
      </c>
      <c r="E29" s="65" t="s">
        <v>569</v>
      </c>
      <c r="F29" s="65">
        <v>160</v>
      </c>
      <c r="G29" s="66">
        <v>2200</v>
      </c>
      <c r="H29" s="67">
        <v>0</v>
      </c>
      <c r="I29" s="64">
        <f t="shared" si="0"/>
        <v>0</v>
      </c>
      <c r="J29" s="66">
        <v>0</v>
      </c>
      <c r="K29" s="64">
        <f t="shared" si="1"/>
        <v>2200</v>
      </c>
    </row>
    <row r="30" spans="1:11" ht="13.5" customHeight="1" x14ac:dyDescent="0.25">
      <c r="A30" s="63">
        <v>30</v>
      </c>
      <c r="B30" s="150" t="s">
        <v>570</v>
      </c>
      <c r="C30" s="65" t="s">
        <v>571</v>
      </c>
      <c r="D30" s="63" t="s">
        <v>695</v>
      </c>
      <c r="E30" s="65" t="s">
        <v>572</v>
      </c>
      <c r="F30" s="65">
        <v>160</v>
      </c>
      <c r="G30" s="66">
        <v>1000</v>
      </c>
      <c r="H30" s="67">
        <v>0</v>
      </c>
      <c r="I30" s="64">
        <f t="shared" si="0"/>
        <v>0</v>
      </c>
      <c r="J30" s="66">
        <v>0</v>
      </c>
      <c r="K30" s="64">
        <f t="shared" si="1"/>
        <v>1000</v>
      </c>
    </row>
    <row r="31" spans="1:11" ht="13.5" customHeight="1" x14ac:dyDescent="0.25">
      <c r="A31" s="63">
        <v>31</v>
      </c>
      <c r="B31" s="150" t="s">
        <v>573</v>
      </c>
      <c r="C31" s="65" t="s">
        <v>574</v>
      </c>
      <c r="D31" s="63" t="s">
        <v>696</v>
      </c>
      <c r="E31" s="65" t="s">
        <v>575</v>
      </c>
      <c r="F31" s="65">
        <v>160</v>
      </c>
      <c r="G31" s="66">
        <v>3900</v>
      </c>
      <c r="H31" s="67">
        <v>0</v>
      </c>
      <c r="I31" s="64">
        <f t="shared" si="0"/>
        <v>0</v>
      </c>
      <c r="J31" s="66">
        <v>0</v>
      </c>
      <c r="K31" s="64">
        <f t="shared" si="1"/>
        <v>3900</v>
      </c>
    </row>
    <row r="32" spans="1:11" ht="13.5" customHeight="1" x14ac:dyDescent="0.25">
      <c r="A32" s="63">
        <v>32</v>
      </c>
      <c r="B32" s="150" t="s">
        <v>576</v>
      </c>
      <c r="C32" s="65" t="s">
        <v>562</v>
      </c>
      <c r="D32" s="63" t="s">
        <v>697</v>
      </c>
      <c r="E32" s="65">
        <v>0</v>
      </c>
      <c r="F32" s="65">
        <v>160</v>
      </c>
      <c r="G32" s="66">
        <v>3000</v>
      </c>
      <c r="H32" s="67">
        <v>0</v>
      </c>
      <c r="I32" s="64">
        <f t="shared" si="0"/>
        <v>0</v>
      </c>
      <c r="J32" s="66">
        <v>0</v>
      </c>
      <c r="K32" s="64">
        <f t="shared" si="1"/>
        <v>3000</v>
      </c>
    </row>
    <row r="33" spans="1:11" ht="13.5" customHeight="1" x14ac:dyDescent="0.25">
      <c r="A33" s="63">
        <v>33</v>
      </c>
      <c r="B33" s="150" t="s">
        <v>577</v>
      </c>
      <c r="C33" s="65" t="s">
        <v>578</v>
      </c>
      <c r="D33" s="63" t="s">
        <v>698</v>
      </c>
      <c r="E33" s="65" t="s">
        <v>579</v>
      </c>
      <c r="F33" s="65">
        <v>160</v>
      </c>
      <c r="G33" s="66">
        <v>2600</v>
      </c>
      <c r="H33" s="67">
        <v>0</v>
      </c>
      <c r="I33" s="64">
        <f t="shared" si="0"/>
        <v>0</v>
      </c>
      <c r="J33" s="66">
        <v>0</v>
      </c>
      <c r="K33" s="64">
        <f t="shared" si="1"/>
        <v>2600</v>
      </c>
    </row>
    <row r="34" spans="1:11" ht="13.5" customHeight="1" x14ac:dyDescent="0.25">
      <c r="A34" s="63">
        <v>34</v>
      </c>
      <c r="B34" s="150" t="s">
        <v>580</v>
      </c>
      <c r="C34" s="65" t="s">
        <v>568</v>
      </c>
      <c r="D34" s="63" t="s">
        <v>699</v>
      </c>
      <c r="E34" s="65" t="s">
        <v>581</v>
      </c>
      <c r="F34" s="65">
        <v>160</v>
      </c>
      <c r="G34" s="66">
        <v>1944</v>
      </c>
      <c r="H34" s="67">
        <v>0</v>
      </c>
      <c r="I34" s="64">
        <f t="shared" si="0"/>
        <v>0</v>
      </c>
      <c r="J34" s="66">
        <v>0</v>
      </c>
      <c r="K34" s="64">
        <f t="shared" si="1"/>
        <v>1944</v>
      </c>
    </row>
    <row r="35" spans="1:11" ht="13.5" customHeight="1" x14ac:dyDescent="0.25">
      <c r="A35" s="63">
        <v>35</v>
      </c>
      <c r="B35" s="150" t="s">
        <v>582</v>
      </c>
      <c r="C35" s="65" t="s">
        <v>583</v>
      </c>
      <c r="D35" s="63" t="s">
        <v>700</v>
      </c>
      <c r="E35" s="65" t="s">
        <v>584</v>
      </c>
      <c r="F35" s="65">
        <v>160</v>
      </c>
      <c r="G35" s="66">
        <v>4220</v>
      </c>
      <c r="H35" s="67">
        <v>0</v>
      </c>
      <c r="I35" s="64">
        <f t="shared" si="0"/>
        <v>0</v>
      </c>
      <c r="J35" s="66">
        <v>0</v>
      </c>
      <c r="K35" s="64">
        <f t="shared" si="1"/>
        <v>4220</v>
      </c>
    </row>
    <row r="36" spans="1:11" ht="13.5" customHeight="1" x14ac:dyDescent="0.25">
      <c r="A36" s="63">
        <v>36</v>
      </c>
      <c r="B36" s="150" t="s">
        <v>585</v>
      </c>
      <c r="C36" s="65" t="s">
        <v>586</v>
      </c>
      <c r="D36" s="63" t="s">
        <v>701</v>
      </c>
      <c r="E36" s="65" t="s">
        <v>587</v>
      </c>
      <c r="F36" s="65">
        <v>160</v>
      </c>
      <c r="G36" s="66">
        <v>2637.5</v>
      </c>
      <c r="H36" s="67">
        <v>0</v>
      </c>
      <c r="I36" s="64">
        <f t="shared" si="0"/>
        <v>0</v>
      </c>
      <c r="J36" s="66">
        <v>0</v>
      </c>
      <c r="K36" s="64">
        <f t="shared" si="1"/>
        <v>2637.5</v>
      </c>
    </row>
    <row r="37" spans="1:11" ht="13.5" customHeight="1" x14ac:dyDescent="0.25">
      <c r="A37" s="63">
        <v>37</v>
      </c>
      <c r="B37" s="150" t="s">
        <v>588</v>
      </c>
      <c r="C37" s="65" t="s">
        <v>589</v>
      </c>
      <c r="D37" s="63" t="s">
        <v>702</v>
      </c>
      <c r="E37" s="65">
        <v>0</v>
      </c>
      <c r="F37" s="65">
        <v>160</v>
      </c>
      <c r="G37" s="66">
        <v>3050</v>
      </c>
      <c r="H37" s="67">
        <v>0</v>
      </c>
      <c r="I37" s="64">
        <f t="shared" si="0"/>
        <v>0</v>
      </c>
      <c r="J37" s="66">
        <v>0</v>
      </c>
      <c r="K37" s="64">
        <f t="shared" si="1"/>
        <v>3050</v>
      </c>
    </row>
    <row r="38" spans="1:11" ht="13.5" customHeight="1" x14ac:dyDescent="0.25">
      <c r="A38" s="63">
        <v>38</v>
      </c>
      <c r="B38" s="150" t="s">
        <v>590</v>
      </c>
      <c r="C38" s="65" t="s">
        <v>591</v>
      </c>
      <c r="D38" s="63" t="s">
        <v>703</v>
      </c>
      <c r="E38" s="65">
        <v>0</v>
      </c>
      <c r="F38" s="65">
        <v>160</v>
      </c>
      <c r="G38" s="66">
        <v>2900</v>
      </c>
      <c r="H38" s="67">
        <v>0</v>
      </c>
      <c r="I38" s="64">
        <f t="shared" si="0"/>
        <v>0</v>
      </c>
      <c r="J38" s="66">
        <v>0</v>
      </c>
      <c r="K38" s="64">
        <f t="shared" si="1"/>
        <v>2900</v>
      </c>
    </row>
    <row r="39" spans="1:11" ht="13.5" customHeight="1" x14ac:dyDescent="0.25">
      <c r="A39" s="63">
        <v>39</v>
      </c>
      <c r="B39" s="150" t="s">
        <v>592</v>
      </c>
      <c r="C39" s="65" t="s">
        <v>593</v>
      </c>
      <c r="D39" s="63" t="s">
        <v>704</v>
      </c>
      <c r="E39" s="65">
        <v>0</v>
      </c>
      <c r="F39" s="65">
        <v>160</v>
      </c>
      <c r="G39" s="66">
        <v>1800</v>
      </c>
      <c r="H39" s="67">
        <v>0</v>
      </c>
      <c r="I39" s="64">
        <f t="shared" si="0"/>
        <v>0</v>
      </c>
      <c r="J39" s="66">
        <v>0</v>
      </c>
      <c r="K39" s="64">
        <f t="shared" si="1"/>
        <v>1800</v>
      </c>
    </row>
    <row r="40" spans="1:11" ht="13.5" customHeight="1" x14ac:dyDescent="0.25">
      <c r="A40" s="63">
        <v>40</v>
      </c>
      <c r="B40" s="150" t="s">
        <v>594</v>
      </c>
      <c r="C40" s="65" t="s">
        <v>595</v>
      </c>
      <c r="D40" s="63" t="s">
        <v>705</v>
      </c>
      <c r="E40" s="65">
        <v>0</v>
      </c>
      <c r="F40" s="65">
        <v>160</v>
      </c>
      <c r="G40" s="66">
        <v>2215.5</v>
      </c>
      <c r="H40" s="67">
        <v>0</v>
      </c>
      <c r="I40" s="64">
        <f t="shared" si="0"/>
        <v>0</v>
      </c>
      <c r="J40" s="66">
        <v>0</v>
      </c>
      <c r="K40" s="64">
        <f t="shared" si="1"/>
        <v>2215.5</v>
      </c>
    </row>
    <row r="41" spans="1:11" ht="13.5" customHeight="1" x14ac:dyDescent="0.25">
      <c r="A41" s="63">
        <v>41</v>
      </c>
      <c r="B41" s="150" t="s">
        <v>596</v>
      </c>
      <c r="C41" s="65" t="s">
        <v>595</v>
      </c>
      <c r="D41" s="63" t="s">
        <v>706</v>
      </c>
      <c r="E41" s="65">
        <v>0</v>
      </c>
      <c r="F41" s="65">
        <v>160</v>
      </c>
      <c r="G41" s="66">
        <v>2005</v>
      </c>
      <c r="H41" s="67">
        <v>0</v>
      </c>
      <c r="I41" s="64">
        <f t="shared" si="0"/>
        <v>0</v>
      </c>
      <c r="J41" s="66">
        <v>0</v>
      </c>
      <c r="K41" s="64">
        <f t="shared" si="1"/>
        <v>2005</v>
      </c>
    </row>
    <row r="42" spans="1:11" ht="13.5" customHeight="1" x14ac:dyDescent="0.25">
      <c r="A42" s="63">
        <v>42</v>
      </c>
      <c r="B42" s="150" t="s">
        <v>597</v>
      </c>
      <c r="C42" s="65" t="s">
        <v>595</v>
      </c>
      <c r="D42" s="63" t="s">
        <v>707</v>
      </c>
      <c r="E42" s="65">
        <v>0</v>
      </c>
      <c r="F42" s="65">
        <v>160</v>
      </c>
      <c r="G42" s="66">
        <v>1750</v>
      </c>
      <c r="H42" s="67">
        <v>0</v>
      </c>
      <c r="I42" s="64">
        <f t="shared" si="0"/>
        <v>0</v>
      </c>
      <c r="J42" s="66">
        <v>0</v>
      </c>
      <c r="K42" s="64">
        <f t="shared" si="1"/>
        <v>1750</v>
      </c>
    </row>
    <row r="43" spans="1:11" ht="13.5" customHeight="1" x14ac:dyDescent="0.25">
      <c r="A43" s="63">
        <v>43</v>
      </c>
      <c r="B43" s="150" t="s">
        <v>598</v>
      </c>
      <c r="C43" s="65" t="s">
        <v>595</v>
      </c>
      <c r="D43" s="63" t="s">
        <v>708</v>
      </c>
      <c r="E43" s="65">
        <v>0</v>
      </c>
      <c r="F43" s="65">
        <v>160</v>
      </c>
      <c r="G43" s="66">
        <v>1900</v>
      </c>
      <c r="H43" s="67">
        <v>0</v>
      </c>
      <c r="I43" s="64">
        <f t="shared" si="0"/>
        <v>0</v>
      </c>
      <c r="J43" s="66">
        <v>0</v>
      </c>
      <c r="K43" s="64">
        <f t="shared" si="1"/>
        <v>1900</v>
      </c>
    </row>
    <row r="44" spans="1:11" ht="13.5" customHeight="1" x14ac:dyDescent="0.25">
      <c r="A44" s="63">
        <v>44</v>
      </c>
      <c r="B44" s="150" t="s">
        <v>599</v>
      </c>
      <c r="C44" s="65" t="s">
        <v>600</v>
      </c>
      <c r="D44" s="63" t="s">
        <v>709</v>
      </c>
      <c r="E44" s="65">
        <v>0</v>
      </c>
      <c r="F44" s="65">
        <v>160</v>
      </c>
      <c r="G44" s="66">
        <v>1741</v>
      </c>
      <c r="H44" s="67">
        <v>0</v>
      </c>
      <c r="I44" s="64">
        <f t="shared" si="0"/>
        <v>0</v>
      </c>
      <c r="J44" s="66">
        <v>0</v>
      </c>
      <c r="K44" s="64">
        <f t="shared" si="1"/>
        <v>1741</v>
      </c>
    </row>
    <row r="45" spans="1:11" ht="13.5" customHeight="1" x14ac:dyDescent="0.25">
      <c r="A45" s="63">
        <v>45</v>
      </c>
      <c r="B45" s="150" t="s">
        <v>601</v>
      </c>
      <c r="C45" s="65" t="s">
        <v>602</v>
      </c>
      <c r="D45" s="63" t="s">
        <v>710</v>
      </c>
      <c r="E45" s="65" t="s">
        <v>603</v>
      </c>
      <c r="F45" s="65">
        <v>160</v>
      </c>
      <c r="G45" s="66">
        <v>1800</v>
      </c>
      <c r="H45" s="67">
        <v>0</v>
      </c>
      <c r="I45" s="64">
        <f t="shared" si="0"/>
        <v>0</v>
      </c>
      <c r="J45" s="66">
        <v>0</v>
      </c>
      <c r="K45" s="64">
        <f t="shared" si="1"/>
        <v>1800</v>
      </c>
    </row>
    <row r="46" spans="1:11" ht="13.5" customHeight="1" x14ac:dyDescent="0.25">
      <c r="A46" s="63">
        <v>46</v>
      </c>
      <c r="B46" s="150" t="s">
        <v>604</v>
      </c>
      <c r="C46" s="65" t="s">
        <v>605</v>
      </c>
      <c r="D46" s="63" t="s">
        <v>711</v>
      </c>
      <c r="E46" s="65">
        <v>0</v>
      </c>
      <c r="F46" s="65">
        <v>160</v>
      </c>
      <c r="G46" s="66">
        <v>2500</v>
      </c>
      <c r="H46" s="67">
        <v>0</v>
      </c>
      <c r="I46" s="64">
        <f t="shared" si="0"/>
        <v>0</v>
      </c>
      <c r="J46" s="66">
        <v>0</v>
      </c>
      <c r="K46" s="64">
        <f t="shared" si="1"/>
        <v>2500</v>
      </c>
    </row>
    <row r="47" spans="1:11" ht="13.5" customHeight="1" x14ac:dyDescent="0.25">
      <c r="A47" s="63">
        <v>47</v>
      </c>
      <c r="B47" s="150" t="s">
        <v>606</v>
      </c>
      <c r="C47" s="65" t="s">
        <v>607</v>
      </c>
      <c r="D47" s="63" t="s">
        <v>712</v>
      </c>
      <c r="E47" s="65">
        <v>0</v>
      </c>
      <c r="F47" s="65">
        <v>160</v>
      </c>
      <c r="G47" s="66">
        <v>1000</v>
      </c>
      <c r="H47" s="67">
        <v>0</v>
      </c>
      <c r="I47" s="64">
        <f t="shared" si="0"/>
        <v>0</v>
      </c>
      <c r="J47" s="66">
        <v>0</v>
      </c>
      <c r="K47" s="64">
        <f t="shared" si="1"/>
        <v>1000</v>
      </c>
    </row>
    <row r="48" spans="1:11" ht="13.5" customHeight="1" x14ac:dyDescent="0.25">
      <c r="A48" s="63">
        <v>48</v>
      </c>
      <c r="B48" s="150" t="s">
        <v>608</v>
      </c>
      <c r="C48" s="65" t="s">
        <v>595</v>
      </c>
      <c r="D48" s="63" t="s">
        <v>713</v>
      </c>
      <c r="E48" s="65" t="s">
        <v>609</v>
      </c>
      <c r="F48" s="65">
        <v>160</v>
      </c>
      <c r="G48" s="66">
        <v>1000</v>
      </c>
      <c r="H48" s="67">
        <v>0</v>
      </c>
      <c r="I48" s="64">
        <f t="shared" si="0"/>
        <v>0</v>
      </c>
      <c r="J48" s="66">
        <v>0</v>
      </c>
      <c r="K48" s="64">
        <f t="shared" si="1"/>
        <v>1000</v>
      </c>
    </row>
    <row r="49" spans="1:11" ht="13.5" customHeight="1" x14ac:dyDescent="0.25">
      <c r="A49" s="63">
        <v>49</v>
      </c>
      <c r="B49" s="150" t="s">
        <v>610</v>
      </c>
      <c r="C49" s="65" t="s">
        <v>611</v>
      </c>
      <c r="D49" s="63" t="s">
        <v>714</v>
      </c>
      <c r="E49" s="65">
        <v>0</v>
      </c>
      <c r="F49" s="65">
        <v>160</v>
      </c>
      <c r="G49" s="66">
        <v>1000</v>
      </c>
      <c r="H49" s="67">
        <v>0</v>
      </c>
      <c r="I49" s="64">
        <f t="shared" si="0"/>
        <v>0</v>
      </c>
      <c r="J49" s="66">
        <v>0</v>
      </c>
      <c r="K49" s="64">
        <f t="shared" si="1"/>
        <v>1000</v>
      </c>
    </row>
    <row r="50" spans="1:11" ht="13.5" customHeight="1" x14ac:dyDescent="0.25">
      <c r="A50" s="63">
        <v>50</v>
      </c>
      <c r="B50" s="150" t="s">
        <v>612</v>
      </c>
      <c r="C50" s="65" t="s">
        <v>602</v>
      </c>
      <c r="D50" s="63" t="s">
        <v>715</v>
      </c>
      <c r="E50" s="65">
        <v>0</v>
      </c>
      <c r="F50" s="65">
        <v>160</v>
      </c>
      <c r="G50" s="66">
        <v>1000</v>
      </c>
      <c r="H50" s="67">
        <v>0</v>
      </c>
      <c r="I50" s="64">
        <f t="shared" si="0"/>
        <v>0</v>
      </c>
      <c r="J50" s="66">
        <v>0</v>
      </c>
      <c r="K50" s="64">
        <f t="shared" si="1"/>
        <v>1000</v>
      </c>
    </row>
    <row r="51" spans="1:11" ht="13.5" customHeight="1" x14ac:dyDescent="0.25">
      <c r="A51" s="63">
        <v>51</v>
      </c>
      <c r="B51" s="150" t="s">
        <v>613</v>
      </c>
      <c r="C51" s="65" t="s">
        <v>595</v>
      </c>
      <c r="D51" s="63" t="s">
        <v>716</v>
      </c>
      <c r="E51" s="65">
        <v>0</v>
      </c>
      <c r="F51" s="65">
        <v>160</v>
      </c>
      <c r="G51" s="66">
        <v>1000</v>
      </c>
      <c r="H51" s="67">
        <v>0</v>
      </c>
      <c r="I51" s="64">
        <f t="shared" si="0"/>
        <v>0</v>
      </c>
      <c r="J51" s="66">
        <v>0</v>
      </c>
      <c r="K51" s="64">
        <f t="shared" si="1"/>
        <v>1000</v>
      </c>
    </row>
    <row r="52" spans="1:11" ht="13.5" customHeight="1" x14ac:dyDescent="0.25">
      <c r="A52" s="63">
        <v>52</v>
      </c>
      <c r="B52" s="150" t="s">
        <v>614</v>
      </c>
      <c r="C52" s="65" t="s">
        <v>595</v>
      </c>
      <c r="D52" s="63" t="s">
        <v>717</v>
      </c>
      <c r="E52" s="65">
        <v>0</v>
      </c>
      <c r="F52" s="65">
        <v>160</v>
      </c>
      <c r="G52" s="66">
        <v>1000</v>
      </c>
      <c r="H52" s="67">
        <v>0</v>
      </c>
      <c r="I52" s="64">
        <f t="shared" si="0"/>
        <v>0</v>
      </c>
      <c r="J52" s="66">
        <v>0</v>
      </c>
      <c r="K52" s="64">
        <f t="shared" si="1"/>
        <v>1000</v>
      </c>
    </row>
    <row r="53" spans="1:11" ht="13.5" customHeight="1" x14ac:dyDescent="0.25">
      <c r="A53" s="63">
        <v>53</v>
      </c>
      <c r="B53" s="150" t="s">
        <v>615</v>
      </c>
      <c r="C53" s="65" t="s">
        <v>602</v>
      </c>
      <c r="D53" s="63" t="s">
        <v>718</v>
      </c>
      <c r="E53" s="65">
        <v>0</v>
      </c>
      <c r="F53" s="65">
        <v>160</v>
      </c>
      <c r="G53" s="66">
        <v>1000</v>
      </c>
      <c r="H53" s="67">
        <v>0</v>
      </c>
      <c r="I53" s="64">
        <f t="shared" si="0"/>
        <v>0</v>
      </c>
      <c r="J53" s="66">
        <v>0</v>
      </c>
      <c r="K53" s="64">
        <f t="shared" si="1"/>
        <v>1000</v>
      </c>
    </row>
    <row r="54" spans="1:11" ht="13.5" customHeight="1" x14ac:dyDescent="0.25">
      <c r="A54" s="63">
        <v>54</v>
      </c>
      <c r="B54" s="150" t="s">
        <v>483</v>
      </c>
      <c r="C54" s="65" t="s">
        <v>484</v>
      </c>
      <c r="D54" s="63" t="s">
        <v>719</v>
      </c>
      <c r="E54" s="65" t="s">
        <v>485</v>
      </c>
      <c r="F54" s="65">
        <v>160</v>
      </c>
      <c r="G54" s="66">
        <v>1000</v>
      </c>
      <c r="H54" s="67">
        <v>0</v>
      </c>
      <c r="I54" s="64">
        <f t="shared" si="0"/>
        <v>0</v>
      </c>
      <c r="J54" s="66">
        <v>0</v>
      </c>
      <c r="K54" s="64">
        <f t="shared" si="1"/>
        <v>1000</v>
      </c>
    </row>
    <row r="55" spans="1:11" ht="13.5" customHeight="1" x14ac:dyDescent="0.25">
      <c r="A55" s="63">
        <v>55</v>
      </c>
      <c r="B55" s="150" t="s">
        <v>486</v>
      </c>
      <c r="C55" s="65" t="s">
        <v>487</v>
      </c>
      <c r="D55" s="63" t="s">
        <v>720</v>
      </c>
      <c r="E55" s="65" t="s">
        <v>488</v>
      </c>
      <c r="F55" s="65">
        <v>160</v>
      </c>
      <c r="G55" s="66">
        <v>1000</v>
      </c>
      <c r="H55" s="67">
        <v>0</v>
      </c>
      <c r="I55" s="64">
        <f t="shared" si="0"/>
        <v>0</v>
      </c>
      <c r="J55" s="66">
        <v>0</v>
      </c>
      <c r="K55" s="64">
        <f t="shared" si="1"/>
        <v>1000</v>
      </c>
    </row>
    <row r="56" spans="1:11" ht="13.5" customHeight="1" x14ac:dyDescent="0.25">
      <c r="A56" s="63">
        <v>56</v>
      </c>
      <c r="B56" s="150" t="s">
        <v>489</v>
      </c>
      <c r="C56" s="65" t="s">
        <v>490</v>
      </c>
      <c r="D56" s="63" t="s">
        <v>721</v>
      </c>
      <c r="E56" s="65" t="s">
        <v>491</v>
      </c>
      <c r="F56" s="65">
        <v>160</v>
      </c>
      <c r="G56" s="66">
        <v>1000</v>
      </c>
      <c r="H56" s="67">
        <v>0</v>
      </c>
      <c r="I56" s="64">
        <f t="shared" si="0"/>
        <v>0</v>
      </c>
      <c r="J56" s="66">
        <v>0</v>
      </c>
      <c r="K56" s="64">
        <f t="shared" si="1"/>
        <v>1000</v>
      </c>
    </row>
    <row r="57" spans="1:11" ht="13.5" customHeight="1" x14ac:dyDescent="0.25">
      <c r="A57" s="63">
        <v>57</v>
      </c>
      <c r="B57" s="150" t="s">
        <v>492</v>
      </c>
      <c r="C57" s="65" t="s">
        <v>493</v>
      </c>
      <c r="D57" s="63" t="s">
        <v>722</v>
      </c>
      <c r="E57" s="65" t="s">
        <v>494</v>
      </c>
      <c r="F57" s="65">
        <v>160</v>
      </c>
      <c r="G57" s="66">
        <v>1000</v>
      </c>
      <c r="H57" s="67">
        <v>0</v>
      </c>
      <c r="I57" s="64">
        <f t="shared" si="0"/>
        <v>0</v>
      </c>
      <c r="J57" s="66">
        <v>0</v>
      </c>
      <c r="K57" s="64">
        <f t="shared" si="1"/>
        <v>1000</v>
      </c>
    </row>
    <row r="58" spans="1:11" ht="13.5" customHeight="1" x14ac:dyDescent="0.25">
      <c r="A58" s="63">
        <v>58</v>
      </c>
      <c r="B58" s="150" t="s">
        <v>495</v>
      </c>
      <c r="C58" s="65" t="s">
        <v>141</v>
      </c>
      <c r="D58" s="63" t="s">
        <v>723</v>
      </c>
      <c r="E58" s="65" t="s">
        <v>496</v>
      </c>
      <c r="F58" s="65">
        <v>160</v>
      </c>
      <c r="G58" s="66">
        <v>1000</v>
      </c>
      <c r="H58" s="67">
        <v>0</v>
      </c>
      <c r="I58" s="64">
        <f t="shared" si="0"/>
        <v>0</v>
      </c>
      <c r="J58" s="66">
        <v>0</v>
      </c>
      <c r="K58" s="64">
        <f t="shared" si="1"/>
        <v>1000</v>
      </c>
    </row>
    <row r="59" spans="1:11" ht="13.5" customHeight="1" x14ac:dyDescent="0.25">
      <c r="A59" s="63">
        <v>59</v>
      </c>
      <c r="B59" s="150" t="s">
        <v>616</v>
      </c>
      <c r="C59" s="65" t="s">
        <v>617</v>
      </c>
      <c r="D59" s="63" t="s">
        <v>724</v>
      </c>
      <c r="E59" s="65" t="s">
        <v>618</v>
      </c>
      <c r="F59" s="65">
        <v>160</v>
      </c>
      <c r="G59" s="66">
        <v>1000</v>
      </c>
      <c r="H59" s="67">
        <v>0</v>
      </c>
      <c r="I59" s="64">
        <f t="shared" si="0"/>
        <v>0</v>
      </c>
      <c r="J59" s="66">
        <v>0</v>
      </c>
      <c r="K59" s="64">
        <f t="shared" si="1"/>
        <v>1000</v>
      </c>
    </row>
    <row r="60" spans="1:11" ht="13.5" customHeight="1" x14ac:dyDescent="0.25">
      <c r="A60" s="63">
        <v>60</v>
      </c>
      <c r="B60" s="150" t="s">
        <v>500</v>
      </c>
      <c r="C60" s="65" t="s">
        <v>420</v>
      </c>
      <c r="D60" s="63" t="s">
        <v>725</v>
      </c>
      <c r="E60" s="65" t="s">
        <v>501</v>
      </c>
      <c r="F60" s="65">
        <v>160</v>
      </c>
      <c r="G60" s="66">
        <v>1000</v>
      </c>
      <c r="H60" s="67">
        <v>0</v>
      </c>
      <c r="I60" s="64">
        <f t="shared" si="0"/>
        <v>0</v>
      </c>
      <c r="J60" s="66">
        <v>0</v>
      </c>
      <c r="K60" s="64">
        <f t="shared" si="1"/>
        <v>1000</v>
      </c>
    </row>
    <row r="61" spans="1:11" ht="13.5" customHeight="1" x14ac:dyDescent="0.25">
      <c r="A61" s="63">
        <v>61</v>
      </c>
      <c r="B61" s="150" t="s">
        <v>502</v>
      </c>
      <c r="C61" s="65" t="s">
        <v>503</v>
      </c>
      <c r="D61" s="63" t="s">
        <v>726</v>
      </c>
      <c r="E61" s="65" t="s">
        <v>504</v>
      </c>
      <c r="F61" s="65">
        <v>160</v>
      </c>
      <c r="G61" s="66">
        <v>1000</v>
      </c>
      <c r="H61" s="67">
        <v>0</v>
      </c>
      <c r="I61" s="64">
        <f t="shared" si="0"/>
        <v>0</v>
      </c>
      <c r="J61" s="66">
        <v>0</v>
      </c>
      <c r="K61" s="64">
        <f t="shared" si="1"/>
        <v>1000</v>
      </c>
    </row>
    <row r="62" spans="1:11" ht="13.5" customHeight="1" x14ac:dyDescent="0.25">
      <c r="A62" s="63">
        <v>62</v>
      </c>
      <c r="B62" s="150" t="s">
        <v>619</v>
      </c>
      <c r="C62" s="65" t="s">
        <v>620</v>
      </c>
      <c r="D62" s="63" t="s">
        <v>727</v>
      </c>
      <c r="E62" s="65" t="s">
        <v>621</v>
      </c>
      <c r="F62" s="65">
        <v>160</v>
      </c>
      <c r="G62" s="66">
        <v>1000</v>
      </c>
      <c r="H62" s="67">
        <v>0</v>
      </c>
      <c r="I62" s="64">
        <f t="shared" si="0"/>
        <v>0</v>
      </c>
      <c r="J62" s="66">
        <v>0</v>
      </c>
      <c r="K62" s="64">
        <f t="shared" si="1"/>
        <v>1000</v>
      </c>
    </row>
    <row r="63" spans="1:11" ht="13.5" customHeight="1" x14ac:dyDescent="0.25">
      <c r="A63" s="63">
        <v>63</v>
      </c>
      <c r="B63" s="150" t="s">
        <v>497</v>
      </c>
      <c r="C63" s="65" t="s">
        <v>498</v>
      </c>
      <c r="D63" s="63" t="s">
        <v>728</v>
      </c>
      <c r="E63" s="65" t="s">
        <v>499</v>
      </c>
      <c r="F63" s="65">
        <v>160</v>
      </c>
      <c r="G63" s="66">
        <v>1000</v>
      </c>
      <c r="H63" s="67">
        <v>0</v>
      </c>
      <c r="I63" s="64">
        <f t="shared" si="0"/>
        <v>0</v>
      </c>
      <c r="J63" s="66">
        <v>0</v>
      </c>
      <c r="K63" s="64">
        <f t="shared" si="1"/>
        <v>1000</v>
      </c>
    </row>
    <row r="64" spans="1:11" ht="13.5" customHeight="1" x14ac:dyDescent="0.25">
      <c r="A64" s="63">
        <v>64</v>
      </c>
      <c r="B64" s="150" t="s">
        <v>511</v>
      </c>
      <c r="C64" s="65" t="s">
        <v>512</v>
      </c>
      <c r="D64" s="63" t="s">
        <v>729</v>
      </c>
      <c r="E64" s="65" t="s">
        <v>513</v>
      </c>
      <c r="F64" s="65">
        <v>160</v>
      </c>
      <c r="G64" s="66">
        <v>1000</v>
      </c>
      <c r="H64" s="67">
        <v>0</v>
      </c>
      <c r="I64" s="64">
        <f t="shared" si="0"/>
        <v>0</v>
      </c>
      <c r="J64" s="66">
        <v>0</v>
      </c>
      <c r="K64" s="64">
        <f t="shared" si="1"/>
        <v>1000</v>
      </c>
    </row>
    <row r="65" spans="1:11" ht="13.5" customHeight="1" x14ac:dyDescent="0.25">
      <c r="A65" s="63">
        <v>65</v>
      </c>
      <c r="B65" s="150" t="s">
        <v>514</v>
      </c>
      <c r="C65" s="65" t="s">
        <v>515</v>
      </c>
      <c r="D65" s="63" t="s">
        <v>730</v>
      </c>
      <c r="E65" s="65" t="s">
        <v>516</v>
      </c>
      <c r="F65" s="65">
        <v>160</v>
      </c>
      <c r="G65" s="66">
        <v>1000</v>
      </c>
      <c r="H65" s="67">
        <v>0</v>
      </c>
      <c r="I65" s="64">
        <f t="shared" ref="I65:I128" si="2">IF(B65="","",(G65/F65)*H65)</f>
        <v>0</v>
      </c>
      <c r="J65" s="66">
        <v>0</v>
      </c>
      <c r="K65" s="64">
        <f t="shared" ref="K65:K128" si="3">IF(B65="","",G65-I65-J65)</f>
        <v>1000</v>
      </c>
    </row>
    <row r="66" spans="1:11" ht="13.5" customHeight="1" x14ac:dyDescent="0.25">
      <c r="A66" s="63">
        <v>66</v>
      </c>
      <c r="B66" s="150" t="s">
        <v>505</v>
      </c>
      <c r="C66" s="65" t="s">
        <v>506</v>
      </c>
      <c r="D66" s="63" t="s">
        <v>731</v>
      </c>
      <c r="E66" s="65" t="s">
        <v>507</v>
      </c>
      <c r="F66" s="65">
        <v>160</v>
      </c>
      <c r="G66" s="66">
        <v>1000</v>
      </c>
      <c r="H66" s="67">
        <v>0</v>
      </c>
      <c r="I66" s="64">
        <f t="shared" si="2"/>
        <v>0</v>
      </c>
      <c r="J66" s="66">
        <v>0</v>
      </c>
      <c r="K66" s="64">
        <f t="shared" si="3"/>
        <v>1000</v>
      </c>
    </row>
    <row r="67" spans="1:11" ht="13.5" customHeight="1" x14ac:dyDescent="0.25">
      <c r="A67" s="63">
        <v>67</v>
      </c>
      <c r="B67" s="150" t="s">
        <v>508</v>
      </c>
      <c r="C67" s="65" t="s">
        <v>509</v>
      </c>
      <c r="D67" s="63" t="s">
        <v>732</v>
      </c>
      <c r="E67" s="65" t="s">
        <v>510</v>
      </c>
      <c r="F67" s="65">
        <v>160</v>
      </c>
      <c r="G67" s="66">
        <v>1000</v>
      </c>
      <c r="H67" s="67">
        <v>0</v>
      </c>
      <c r="I67" s="64">
        <f t="shared" si="2"/>
        <v>0</v>
      </c>
      <c r="J67" s="66">
        <v>0</v>
      </c>
      <c r="K67" s="64">
        <f t="shared" si="3"/>
        <v>1000</v>
      </c>
    </row>
    <row r="68" spans="1:11" ht="13.5" customHeight="1" x14ac:dyDescent="0.25">
      <c r="A68" s="63">
        <v>68</v>
      </c>
      <c r="B68" s="150" t="s">
        <v>517</v>
      </c>
      <c r="C68" s="65" t="s">
        <v>518</v>
      </c>
      <c r="D68" s="63" t="s">
        <v>733</v>
      </c>
      <c r="E68" s="65" t="s">
        <v>519</v>
      </c>
      <c r="F68" s="65">
        <v>160</v>
      </c>
      <c r="G68" s="66">
        <v>1000</v>
      </c>
      <c r="H68" s="67">
        <v>0</v>
      </c>
      <c r="I68" s="64">
        <f t="shared" si="2"/>
        <v>0</v>
      </c>
      <c r="J68" s="66">
        <v>0</v>
      </c>
      <c r="K68" s="64">
        <f t="shared" si="3"/>
        <v>1000</v>
      </c>
    </row>
    <row r="69" spans="1:11" ht="13.5" customHeight="1" x14ac:dyDescent="0.25">
      <c r="A69" s="63">
        <v>69</v>
      </c>
      <c r="B69" s="150" t="s">
        <v>520</v>
      </c>
      <c r="C69" s="65" t="s">
        <v>521</v>
      </c>
      <c r="D69" s="63" t="s">
        <v>734</v>
      </c>
      <c r="E69" s="65" t="s">
        <v>522</v>
      </c>
      <c r="F69" s="65">
        <v>160</v>
      </c>
      <c r="G69" s="66">
        <v>1000</v>
      </c>
      <c r="H69" s="67">
        <v>0</v>
      </c>
      <c r="I69" s="64">
        <f t="shared" si="2"/>
        <v>0</v>
      </c>
      <c r="J69" s="66">
        <v>0</v>
      </c>
      <c r="K69" s="64">
        <f t="shared" si="3"/>
        <v>1000</v>
      </c>
    </row>
    <row r="70" spans="1:11" ht="13.5" customHeight="1" x14ac:dyDescent="0.25">
      <c r="A70" s="63">
        <v>70</v>
      </c>
      <c r="B70" s="150" t="s">
        <v>622</v>
      </c>
      <c r="C70" s="65" t="s">
        <v>623</v>
      </c>
      <c r="D70" s="63" t="s">
        <v>735</v>
      </c>
      <c r="E70" s="65" t="s">
        <v>624</v>
      </c>
      <c r="F70" s="65">
        <v>160</v>
      </c>
      <c r="G70" s="66">
        <v>1000</v>
      </c>
      <c r="H70" s="67">
        <v>0</v>
      </c>
      <c r="I70" s="64">
        <f t="shared" si="2"/>
        <v>0</v>
      </c>
      <c r="J70" s="66">
        <v>0</v>
      </c>
      <c r="K70" s="64">
        <f t="shared" si="3"/>
        <v>1000</v>
      </c>
    </row>
    <row r="71" spans="1:11" ht="13.5" customHeight="1" x14ac:dyDescent="0.25">
      <c r="A71" s="63">
        <v>71</v>
      </c>
      <c r="B71" s="150" t="s">
        <v>625</v>
      </c>
      <c r="C71" s="65" t="s">
        <v>626</v>
      </c>
      <c r="D71" s="63" t="s">
        <v>736</v>
      </c>
      <c r="E71" s="65" t="s">
        <v>627</v>
      </c>
      <c r="F71" s="65">
        <v>160</v>
      </c>
      <c r="G71" s="66">
        <v>1000</v>
      </c>
      <c r="H71" s="67">
        <v>0</v>
      </c>
      <c r="I71" s="64">
        <f t="shared" si="2"/>
        <v>0</v>
      </c>
      <c r="J71" s="66">
        <v>0</v>
      </c>
      <c r="K71" s="64">
        <f t="shared" si="3"/>
        <v>1000</v>
      </c>
    </row>
    <row r="72" spans="1:11" ht="13.5" customHeight="1" x14ac:dyDescent="0.25">
      <c r="A72" s="63">
        <v>72</v>
      </c>
      <c r="B72" s="150" t="s">
        <v>532</v>
      </c>
      <c r="C72" s="65" t="s">
        <v>533</v>
      </c>
      <c r="D72" s="63" t="s">
        <v>737</v>
      </c>
      <c r="E72" s="65" t="s">
        <v>534</v>
      </c>
      <c r="F72" s="65">
        <v>160</v>
      </c>
      <c r="G72" s="66">
        <v>1000</v>
      </c>
      <c r="H72" s="67">
        <v>0</v>
      </c>
      <c r="I72" s="64">
        <f t="shared" si="2"/>
        <v>0</v>
      </c>
      <c r="J72" s="66">
        <v>0</v>
      </c>
      <c r="K72" s="64">
        <f t="shared" si="3"/>
        <v>1000</v>
      </c>
    </row>
    <row r="73" spans="1:11" ht="13.5" customHeight="1" x14ac:dyDescent="0.25">
      <c r="A73" s="63">
        <v>73</v>
      </c>
      <c r="B73" s="150" t="s">
        <v>535</v>
      </c>
      <c r="C73" s="65" t="s">
        <v>536</v>
      </c>
      <c r="D73" s="63" t="s">
        <v>738</v>
      </c>
      <c r="E73" s="65" t="s">
        <v>537</v>
      </c>
      <c r="F73" s="65">
        <v>160</v>
      </c>
      <c r="G73" s="66">
        <v>1000</v>
      </c>
      <c r="H73" s="67">
        <v>0</v>
      </c>
      <c r="I73" s="64">
        <f t="shared" si="2"/>
        <v>0</v>
      </c>
      <c r="J73" s="66">
        <v>0</v>
      </c>
      <c r="K73" s="64">
        <f t="shared" si="3"/>
        <v>1000</v>
      </c>
    </row>
    <row r="74" spans="1:11" ht="13.5" customHeight="1" x14ac:dyDescent="0.25">
      <c r="A74" s="63">
        <v>74</v>
      </c>
      <c r="B74" s="150" t="s">
        <v>529</v>
      </c>
      <c r="C74" s="65" t="s">
        <v>530</v>
      </c>
      <c r="D74" s="63" t="s">
        <v>739</v>
      </c>
      <c r="E74" s="65" t="s">
        <v>531</v>
      </c>
      <c r="F74" s="65">
        <v>160</v>
      </c>
      <c r="G74" s="66">
        <v>1000</v>
      </c>
      <c r="H74" s="67">
        <v>0</v>
      </c>
      <c r="I74" s="64">
        <f t="shared" si="2"/>
        <v>0</v>
      </c>
      <c r="J74" s="66">
        <v>0</v>
      </c>
      <c r="K74" s="64">
        <f t="shared" si="3"/>
        <v>1000</v>
      </c>
    </row>
    <row r="75" spans="1:11" ht="13.5" customHeight="1" x14ac:dyDescent="0.25">
      <c r="A75" s="63">
        <v>75</v>
      </c>
      <c r="B75" s="150" t="s">
        <v>526</v>
      </c>
      <c r="C75" s="65" t="s">
        <v>527</v>
      </c>
      <c r="D75" s="63" t="s">
        <v>740</v>
      </c>
      <c r="E75" s="65" t="s">
        <v>528</v>
      </c>
      <c r="F75" s="65">
        <v>160</v>
      </c>
      <c r="G75" s="66">
        <v>1000</v>
      </c>
      <c r="H75" s="67">
        <v>0</v>
      </c>
      <c r="I75" s="64">
        <f t="shared" si="2"/>
        <v>0</v>
      </c>
      <c r="J75" s="66">
        <v>0</v>
      </c>
      <c r="K75" s="64">
        <f t="shared" si="3"/>
        <v>1000</v>
      </c>
    </row>
    <row r="76" spans="1:11" ht="13.5" customHeight="1" x14ac:dyDescent="0.25">
      <c r="A76" s="63">
        <v>76</v>
      </c>
      <c r="B76" s="150" t="s">
        <v>523</v>
      </c>
      <c r="C76" s="65" t="s">
        <v>524</v>
      </c>
      <c r="D76" s="63" t="s">
        <v>741</v>
      </c>
      <c r="E76" s="65" t="s">
        <v>525</v>
      </c>
      <c r="F76" s="65">
        <v>160</v>
      </c>
      <c r="G76" s="66">
        <v>1000</v>
      </c>
      <c r="H76" s="67">
        <v>0</v>
      </c>
      <c r="I76" s="64">
        <f t="shared" si="2"/>
        <v>0</v>
      </c>
      <c r="J76" s="66">
        <v>0</v>
      </c>
      <c r="K76" s="64">
        <f t="shared" si="3"/>
        <v>1000</v>
      </c>
    </row>
    <row r="77" spans="1:11" ht="13.5" customHeight="1" x14ac:dyDescent="0.25">
      <c r="A77" s="63">
        <v>77</v>
      </c>
      <c r="B77" s="150" t="s">
        <v>538</v>
      </c>
      <c r="C77" s="65" t="s">
        <v>539</v>
      </c>
      <c r="D77" s="63" t="s">
        <v>742</v>
      </c>
      <c r="E77" s="65" t="s">
        <v>540</v>
      </c>
      <c r="F77" s="65">
        <v>160</v>
      </c>
      <c r="G77" s="66">
        <v>1000</v>
      </c>
      <c r="H77" s="67">
        <v>0</v>
      </c>
      <c r="I77" s="64">
        <f t="shared" si="2"/>
        <v>0</v>
      </c>
      <c r="J77" s="66">
        <v>0</v>
      </c>
      <c r="K77" s="64">
        <f t="shared" si="3"/>
        <v>1000</v>
      </c>
    </row>
    <row r="78" spans="1:11" ht="13.5" customHeight="1" x14ac:dyDescent="0.25">
      <c r="A78" s="63">
        <v>78</v>
      </c>
      <c r="B78" s="150" t="s">
        <v>628</v>
      </c>
      <c r="C78" s="65" t="s">
        <v>629</v>
      </c>
      <c r="D78" s="63" t="s">
        <v>743</v>
      </c>
      <c r="E78" s="65" t="s">
        <v>630</v>
      </c>
      <c r="F78" s="65">
        <v>160</v>
      </c>
      <c r="G78" s="66">
        <v>1000</v>
      </c>
      <c r="H78" s="67">
        <v>0</v>
      </c>
      <c r="I78" s="64">
        <f t="shared" si="2"/>
        <v>0</v>
      </c>
      <c r="J78" s="66">
        <v>0</v>
      </c>
      <c r="K78" s="64">
        <f t="shared" si="3"/>
        <v>1000</v>
      </c>
    </row>
    <row r="79" spans="1:11" ht="13.5" customHeight="1" x14ac:dyDescent="0.25">
      <c r="A79" s="63">
        <v>79</v>
      </c>
      <c r="B79" s="150" t="s">
        <v>541</v>
      </c>
      <c r="C79" s="65" t="s">
        <v>542</v>
      </c>
      <c r="D79" s="63" t="s">
        <v>744</v>
      </c>
      <c r="E79" s="65" t="s">
        <v>543</v>
      </c>
      <c r="F79" s="65">
        <v>160</v>
      </c>
      <c r="G79" s="66">
        <v>1000</v>
      </c>
      <c r="H79" s="67">
        <v>0</v>
      </c>
      <c r="I79" s="64">
        <f t="shared" si="2"/>
        <v>0</v>
      </c>
      <c r="J79" s="66">
        <v>0</v>
      </c>
      <c r="K79" s="64">
        <f t="shared" si="3"/>
        <v>1000</v>
      </c>
    </row>
    <row r="80" spans="1:11" ht="13.5" customHeight="1" x14ac:dyDescent="0.25">
      <c r="A80" s="63">
        <v>80</v>
      </c>
      <c r="B80" s="150" t="s">
        <v>544</v>
      </c>
      <c r="C80" s="65" t="s">
        <v>545</v>
      </c>
      <c r="D80" s="63" t="s">
        <v>745</v>
      </c>
      <c r="E80" s="65" t="s">
        <v>546</v>
      </c>
      <c r="F80" s="65">
        <v>160</v>
      </c>
      <c r="G80" s="66">
        <v>1000</v>
      </c>
      <c r="H80" s="67">
        <v>0</v>
      </c>
      <c r="I80" s="64">
        <f t="shared" si="2"/>
        <v>0</v>
      </c>
      <c r="J80" s="66">
        <v>0</v>
      </c>
      <c r="K80" s="64">
        <f t="shared" si="3"/>
        <v>1000</v>
      </c>
    </row>
    <row r="81" spans="1:11" ht="13.5" customHeight="1" x14ac:dyDescent="0.25">
      <c r="A81" s="63">
        <v>81</v>
      </c>
      <c r="B81" s="150" t="s">
        <v>547</v>
      </c>
      <c r="C81" s="65" t="s">
        <v>548</v>
      </c>
      <c r="D81" s="63" t="s">
        <v>746</v>
      </c>
      <c r="E81" s="65" t="s">
        <v>549</v>
      </c>
      <c r="F81" s="65">
        <v>160</v>
      </c>
      <c r="G81" s="66">
        <v>1000</v>
      </c>
      <c r="H81" s="67">
        <v>0</v>
      </c>
      <c r="I81" s="64">
        <f t="shared" si="2"/>
        <v>0</v>
      </c>
      <c r="J81" s="66">
        <v>0</v>
      </c>
      <c r="K81" s="64">
        <f t="shared" si="3"/>
        <v>1000</v>
      </c>
    </row>
    <row r="82" spans="1:11" ht="13.5" customHeight="1" x14ac:dyDescent="0.25">
      <c r="A82" s="63">
        <v>82</v>
      </c>
      <c r="B82" s="150" t="s">
        <v>550</v>
      </c>
      <c r="C82" s="65" t="s">
        <v>551</v>
      </c>
      <c r="D82" s="63" t="s">
        <v>747</v>
      </c>
      <c r="E82" s="65" t="s">
        <v>552</v>
      </c>
      <c r="F82" s="65">
        <v>160</v>
      </c>
      <c r="G82" s="66">
        <v>1000</v>
      </c>
      <c r="H82" s="67">
        <v>0</v>
      </c>
      <c r="I82" s="64">
        <f t="shared" si="2"/>
        <v>0</v>
      </c>
      <c r="J82" s="66">
        <v>0</v>
      </c>
      <c r="K82" s="64">
        <f t="shared" si="3"/>
        <v>1000</v>
      </c>
    </row>
    <row r="83" spans="1:11" ht="13.5" customHeight="1" x14ac:dyDescent="0.25">
      <c r="A83" s="63">
        <v>83</v>
      </c>
      <c r="B83" s="150" t="s">
        <v>553</v>
      </c>
      <c r="C83" s="65" t="s">
        <v>554</v>
      </c>
      <c r="D83" s="63" t="s">
        <v>748</v>
      </c>
      <c r="E83" s="65">
        <v>0</v>
      </c>
      <c r="F83" s="65">
        <v>160</v>
      </c>
      <c r="G83" s="66">
        <v>1000</v>
      </c>
      <c r="H83" s="67">
        <v>0</v>
      </c>
      <c r="I83" s="64">
        <f t="shared" si="2"/>
        <v>0</v>
      </c>
      <c r="J83" s="66">
        <v>0</v>
      </c>
      <c r="K83" s="64">
        <f t="shared" si="3"/>
        <v>1000</v>
      </c>
    </row>
    <row r="84" spans="1:11" ht="13.5" customHeight="1" x14ac:dyDescent="0.25">
      <c r="A84" s="63">
        <v>84</v>
      </c>
      <c r="B84" s="150" t="s">
        <v>631</v>
      </c>
      <c r="C84" s="65" t="s">
        <v>632</v>
      </c>
      <c r="D84" s="63" t="s">
        <v>749</v>
      </c>
      <c r="E84" s="65" t="s">
        <v>633</v>
      </c>
      <c r="F84" s="65">
        <v>160</v>
      </c>
      <c r="G84" s="66">
        <v>1000</v>
      </c>
      <c r="H84" s="67">
        <v>0</v>
      </c>
      <c r="I84" s="64">
        <f t="shared" si="2"/>
        <v>0</v>
      </c>
      <c r="J84" s="66">
        <v>0</v>
      </c>
      <c r="K84" s="64">
        <f t="shared" si="3"/>
        <v>1000</v>
      </c>
    </row>
    <row r="85" spans="1:11" ht="13.5" customHeight="1" x14ac:dyDescent="0.25">
      <c r="A85" s="63">
        <v>85</v>
      </c>
      <c r="B85" s="150" t="s">
        <v>555</v>
      </c>
      <c r="C85" s="65" t="s">
        <v>556</v>
      </c>
      <c r="D85" s="63" t="s">
        <v>750</v>
      </c>
      <c r="E85" s="65" t="s">
        <v>557</v>
      </c>
      <c r="F85" s="65">
        <v>160</v>
      </c>
      <c r="G85" s="66">
        <v>1000</v>
      </c>
      <c r="H85" s="67">
        <v>0</v>
      </c>
      <c r="I85" s="64">
        <f t="shared" si="2"/>
        <v>0</v>
      </c>
      <c r="J85" s="66">
        <v>0</v>
      </c>
      <c r="K85" s="64">
        <f t="shared" si="3"/>
        <v>1000</v>
      </c>
    </row>
    <row r="86" spans="1:11" ht="13.5" customHeight="1" x14ac:dyDescent="0.25">
      <c r="A86" s="63">
        <v>86</v>
      </c>
      <c r="B86" s="150" t="s">
        <v>558</v>
      </c>
      <c r="C86" s="65" t="s">
        <v>559</v>
      </c>
      <c r="D86" s="63" t="s">
        <v>751</v>
      </c>
      <c r="E86" s="65" t="s">
        <v>560</v>
      </c>
      <c r="F86" s="65">
        <v>160</v>
      </c>
      <c r="G86" s="66">
        <v>1000</v>
      </c>
      <c r="H86" s="67">
        <v>0</v>
      </c>
      <c r="I86" s="64">
        <f t="shared" si="2"/>
        <v>0</v>
      </c>
      <c r="J86" s="66">
        <v>0</v>
      </c>
      <c r="K86" s="64">
        <f t="shared" si="3"/>
        <v>1000</v>
      </c>
    </row>
    <row r="87" spans="1:11" ht="13.5" customHeight="1" x14ac:dyDescent="0.25">
      <c r="A87" s="63">
        <v>87</v>
      </c>
      <c r="B87" s="150" t="s">
        <v>561</v>
      </c>
      <c r="C87" s="65" t="s">
        <v>562</v>
      </c>
      <c r="D87" s="63" t="s">
        <v>752</v>
      </c>
      <c r="E87" s="65" t="s">
        <v>563</v>
      </c>
      <c r="F87" s="65">
        <v>160</v>
      </c>
      <c r="G87" s="66">
        <v>1000</v>
      </c>
      <c r="H87" s="67">
        <v>0</v>
      </c>
      <c r="I87" s="64">
        <f t="shared" si="2"/>
        <v>0</v>
      </c>
      <c r="J87" s="66">
        <v>0</v>
      </c>
      <c r="K87" s="64">
        <f t="shared" si="3"/>
        <v>1000</v>
      </c>
    </row>
    <row r="88" spans="1:11" ht="13.5" customHeight="1" x14ac:dyDescent="0.25">
      <c r="A88" s="63">
        <v>88</v>
      </c>
      <c r="B88" s="150" t="s">
        <v>634</v>
      </c>
      <c r="C88" s="65" t="s">
        <v>635</v>
      </c>
      <c r="D88" s="63" t="s">
        <v>753</v>
      </c>
      <c r="E88" s="65">
        <v>0</v>
      </c>
      <c r="F88" s="65">
        <v>160</v>
      </c>
      <c r="G88" s="66">
        <v>1000</v>
      </c>
      <c r="H88" s="67">
        <v>0</v>
      </c>
      <c r="I88" s="64">
        <f t="shared" si="2"/>
        <v>0</v>
      </c>
      <c r="J88" s="66">
        <v>0</v>
      </c>
      <c r="K88" s="64">
        <f t="shared" si="3"/>
        <v>1000</v>
      </c>
    </row>
    <row r="89" spans="1:11" ht="13.5" customHeight="1" x14ac:dyDescent="0.25">
      <c r="A89" s="63">
        <v>89</v>
      </c>
      <c r="B89" s="150" t="s">
        <v>567</v>
      </c>
      <c r="C89" s="65" t="s">
        <v>568</v>
      </c>
      <c r="D89" s="63" t="s">
        <v>754</v>
      </c>
      <c r="E89" s="65" t="s">
        <v>569</v>
      </c>
      <c r="F89" s="65">
        <v>160</v>
      </c>
      <c r="G89" s="66">
        <v>1000</v>
      </c>
      <c r="H89" s="67">
        <v>0</v>
      </c>
      <c r="I89" s="64">
        <f t="shared" si="2"/>
        <v>0</v>
      </c>
      <c r="J89" s="66">
        <v>0</v>
      </c>
      <c r="K89" s="64">
        <f t="shared" si="3"/>
        <v>1000</v>
      </c>
    </row>
    <row r="90" spans="1:11" ht="13.5" customHeight="1" x14ac:dyDescent="0.25">
      <c r="A90" s="63">
        <v>90</v>
      </c>
      <c r="B90" s="150" t="s">
        <v>636</v>
      </c>
      <c r="C90" s="65" t="s">
        <v>637</v>
      </c>
      <c r="D90" s="63" t="s">
        <v>755</v>
      </c>
      <c r="E90" s="65" t="s">
        <v>638</v>
      </c>
      <c r="F90" s="65">
        <v>160</v>
      </c>
      <c r="G90" s="66">
        <v>1000</v>
      </c>
      <c r="H90" s="67">
        <v>0</v>
      </c>
      <c r="I90" s="64">
        <f t="shared" si="2"/>
        <v>0</v>
      </c>
      <c r="J90" s="66">
        <v>0</v>
      </c>
      <c r="K90" s="64">
        <f t="shared" si="3"/>
        <v>1000</v>
      </c>
    </row>
    <row r="91" spans="1:11" ht="13.5" customHeight="1" x14ac:dyDescent="0.25">
      <c r="A91" s="63">
        <v>91</v>
      </c>
      <c r="B91" s="150" t="s">
        <v>573</v>
      </c>
      <c r="C91" s="65" t="s">
        <v>574</v>
      </c>
      <c r="D91" s="63" t="s">
        <v>756</v>
      </c>
      <c r="E91" s="65" t="s">
        <v>575</v>
      </c>
      <c r="F91" s="65">
        <v>160</v>
      </c>
      <c r="G91" s="66">
        <v>1000</v>
      </c>
      <c r="H91" s="67">
        <v>0</v>
      </c>
      <c r="I91" s="64">
        <f t="shared" si="2"/>
        <v>0</v>
      </c>
      <c r="J91" s="66">
        <v>0</v>
      </c>
      <c r="K91" s="64">
        <f t="shared" si="3"/>
        <v>1000</v>
      </c>
    </row>
    <row r="92" spans="1:11" ht="13.5" customHeight="1" x14ac:dyDescent="0.25">
      <c r="A92" s="63">
        <v>92</v>
      </c>
      <c r="B92" s="150" t="s">
        <v>564</v>
      </c>
      <c r="C92" s="65" t="s">
        <v>565</v>
      </c>
      <c r="D92" s="63" t="s">
        <v>757</v>
      </c>
      <c r="E92" s="65" t="s">
        <v>566</v>
      </c>
      <c r="F92" s="65">
        <v>160</v>
      </c>
      <c r="G92" s="66">
        <v>1000</v>
      </c>
      <c r="H92" s="67">
        <v>0</v>
      </c>
      <c r="I92" s="64">
        <f t="shared" si="2"/>
        <v>0</v>
      </c>
      <c r="J92" s="66">
        <v>0</v>
      </c>
      <c r="K92" s="64">
        <f t="shared" si="3"/>
        <v>1000</v>
      </c>
    </row>
    <row r="93" spans="1:11" ht="13.5" customHeight="1" x14ac:dyDescent="0.25">
      <c r="A93" s="63">
        <v>93</v>
      </c>
      <c r="B93" s="150" t="s">
        <v>580</v>
      </c>
      <c r="C93" s="65" t="s">
        <v>568</v>
      </c>
      <c r="D93" s="63" t="s">
        <v>758</v>
      </c>
      <c r="E93" s="65" t="s">
        <v>581</v>
      </c>
      <c r="F93" s="65">
        <v>160</v>
      </c>
      <c r="G93" s="66">
        <v>1000</v>
      </c>
      <c r="H93" s="67">
        <v>0</v>
      </c>
      <c r="I93" s="64">
        <f t="shared" si="2"/>
        <v>0</v>
      </c>
      <c r="J93" s="66">
        <v>0</v>
      </c>
      <c r="K93" s="64">
        <f t="shared" si="3"/>
        <v>1000</v>
      </c>
    </row>
    <row r="94" spans="1:11" ht="13.5" customHeight="1" x14ac:dyDescent="0.25">
      <c r="A94" s="63">
        <v>94</v>
      </c>
      <c r="B94" s="150" t="s">
        <v>582</v>
      </c>
      <c r="C94" s="65" t="s">
        <v>583</v>
      </c>
      <c r="D94" s="63" t="s">
        <v>759</v>
      </c>
      <c r="E94" s="65" t="s">
        <v>584</v>
      </c>
      <c r="F94" s="65">
        <v>160</v>
      </c>
      <c r="G94" s="66">
        <v>1000</v>
      </c>
      <c r="H94" s="67">
        <v>0</v>
      </c>
      <c r="I94" s="64">
        <f t="shared" si="2"/>
        <v>0</v>
      </c>
      <c r="J94" s="66">
        <v>0</v>
      </c>
      <c r="K94" s="64">
        <f t="shared" si="3"/>
        <v>1000</v>
      </c>
    </row>
    <row r="95" spans="1:11" ht="13.5" customHeight="1" x14ac:dyDescent="0.25">
      <c r="A95" s="63">
        <v>95</v>
      </c>
      <c r="B95" s="150" t="s">
        <v>577</v>
      </c>
      <c r="C95" s="65" t="s">
        <v>578</v>
      </c>
      <c r="D95" s="63" t="s">
        <v>760</v>
      </c>
      <c r="E95" s="65" t="s">
        <v>579</v>
      </c>
      <c r="F95" s="65">
        <v>160</v>
      </c>
      <c r="G95" s="66">
        <v>1000</v>
      </c>
      <c r="H95" s="67">
        <v>0</v>
      </c>
      <c r="I95" s="64">
        <f t="shared" si="2"/>
        <v>0</v>
      </c>
      <c r="J95" s="66">
        <v>0</v>
      </c>
      <c r="K95" s="64">
        <f t="shared" si="3"/>
        <v>1000</v>
      </c>
    </row>
    <row r="96" spans="1:11" ht="13.5" customHeight="1" x14ac:dyDescent="0.25">
      <c r="A96" s="63">
        <v>96</v>
      </c>
      <c r="B96" s="150" t="s">
        <v>639</v>
      </c>
      <c r="C96" s="65" t="s">
        <v>640</v>
      </c>
      <c r="D96" s="63" t="s">
        <v>761</v>
      </c>
      <c r="E96" s="65">
        <v>0</v>
      </c>
      <c r="F96" s="65">
        <v>160</v>
      </c>
      <c r="G96" s="66">
        <v>1000</v>
      </c>
      <c r="H96" s="67">
        <v>0</v>
      </c>
      <c r="I96" s="64">
        <f t="shared" si="2"/>
        <v>0</v>
      </c>
      <c r="J96" s="66">
        <v>0</v>
      </c>
      <c r="K96" s="64">
        <f t="shared" si="3"/>
        <v>1000</v>
      </c>
    </row>
    <row r="97" spans="1:11" ht="13.5" customHeight="1" x14ac:dyDescent="0.25">
      <c r="A97" s="63">
        <v>97</v>
      </c>
      <c r="B97" s="150" t="s">
        <v>641</v>
      </c>
      <c r="C97" s="65" t="s">
        <v>562</v>
      </c>
      <c r="D97" s="63" t="s">
        <v>762</v>
      </c>
      <c r="E97" s="65">
        <v>0</v>
      </c>
      <c r="F97" s="65">
        <v>160</v>
      </c>
      <c r="G97" s="66">
        <v>1000</v>
      </c>
      <c r="H97" s="67">
        <v>0</v>
      </c>
      <c r="I97" s="64">
        <f t="shared" si="2"/>
        <v>0</v>
      </c>
      <c r="J97" s="66">
        <v>0</v>
      </c>
      <c r="K97" s="64">
        <f t="shared" si="3"/>
        <v>1000</v>
      </c>
    </row>
    <row r="98" spans="1:11" ht="13.5" customHeight="1" x14ac:dyDescent="0.25">
      <c r="A98" s="63">
        <v>98</v>
      </c>
      <c r="B98" s="150" t="s">
        <v>576</v>
      </c>
      <c r="C98" s="65" t="s">
        <v>562</v>
      </c>
      <c r="D98" s="63" t="s">
        <v>763</v>
      </c>
      <c r="E98" s="65" t="s">
        <v>642</v>
      </c>
      <c r="F98" s="65">
        <v>160</v>
      </c>
      <c r="G98" s="66">
        <v>1000</v>
      </c>
      <c r="H98" s="67">
        <v>0</v>
      </c>
      <c r="I98" s="64">
        <f t="shared" si="2"/>
        <v>0</v>
      </c>
      <c r="J98" s="66">
        <v>0</v>
      </c>
      <c r="K98" s="64">
        <f t="shared" si="3"/>
        <v>1000</v>
      </c>
    </row>
    <row r="99" spans="1:11" ht="13.5" customHeight="1" x14ac:dyDescent="0.25">
      <c r="A99" s="63">
        <v>99</v>
      </c>
      <c r="B99" s="150" t="s">
        <v>643</v>
      </c>
      <c r="C99" s="65" t="s">
        <v>644</v>
      </c>
      <c r="D99" s="63" t="s">
        <v>764</v>
      </c>
      <c r="E99" s="65">
        <v>0</v>
      </c>
      <c r="F99" s="65">
        <v>160</v>
      </c>
      <c r="G99" s="66">
        <v>1000</v>
      </c>
      <c r="H99" s="67">
        <v>0</v>
      </c>
      <c r="I99" s="64">
        <f t="shared" si="2"/>
        <v>0</v>
      </c>
      <c r="J99" s="66">
        <v>0</v>
      </c>
      <c r="K99" s="64">
        <f t="shared" si="3"/>
        <v>1000</v>
      </c>
    </row>
    <row r="100" spans="1:11" ht="13.5" customHeight="1" x14ac:dyDescent="0.25">
      <c r="A100" s="63">
        <v>100</v>
      </c>
      <c r="B100" s="150" t="s">
        <v>645</v>
      </c>
      <c r="C100" s="65" t="s">
        <v>646</v>
      </c>
      <c r="D100" s="63" t="s">
        <v>765</v>
      </c>
      <c r="E100" s="65">
        <v>0</v>
      </c>
      <c r="F100" s="65">
        <v>160</v>
      </c>
      <c r="G100" s="66">
        <v>1000</v>
      </c>
      <c r="H100" s="67">
        <v>0</v>
      </c>
      <c r="I100" s="64">
        <f t="shared" si="2"/>
        <v>0</v>
      </c>
      <c r="J100" s="66">
        <v>0</v>
      </c>
      <c r="K100" s="64">
        <f t="shared" si="3"/>
        <v>1000</v>
      </c>
    </row>
    <row r="101" spans="1:11" ht="13.5" customHeight="1" x14ac:dyDescent="0.25">
      <c r="A101" s="63">
        <v>101</v>
      </c>
      <c r="B101" s="150" t="s">
        <v>570</v>
      </c>
      <c r="C101" s="65" t="s">
        <v>571</v>
      </c>
      <c r="D101" s="63" t="s">
        <v>766</v>
      </c>
      <c r="E101" s="65" t="s">
        <v>572</v>
      </c>
      <c r="F101" s="65">
        <v>160</v>
      </c>
      <c r="G101" s="66">
        <v>1000</v>
      </c>
      <c r="H101" s="67">
        <v>0</v>
      </c>
      <c r="I101" s="64">
        <f t="shared" si="2"/>
        <v>0</v>
      </c>
      <c r="J101" s="66">
        <v>0</v>
      </c>
      <c r="K101" s="64">
        <f t="shared" si="3"/>
        <v>1000</v>
      </c>
    </row>
    <row r="102" spans="1:11" ht="13.5" customHeight="1" x14ac:dyDescent="0.25">
      <c r="A102" s="63">
        <v>102</v>
      </c>
      <c r="B102" s="150" t="s">
        <v>585</v>
      </c>
      <c r="C102" s="65" t="s">
        <v>586</v>
      </c>
      <c r="D102" s="63" t="s">
        <v>767</v>
      </c>
      <c r="E102" s="65" t="s">
        <v>587</v>
      </c>
      <c r="F102" s="65">
        <v>160</v>
      </c>
      <c r="G102" s="66">
        <v>1000</v>
      </c>
      <c r="H102" s="67">
        <v>0</v>
      </c>
      <c r="I102" s="64">
        <f t="shared" si="2"/>
        <v>0</v>
      </c>
      <c r="J102" s="66">
        <v>0</v>
      </c>
      <c r="K102" s="64">
        <f t="shared" si="3"/>
        <v>1000</v>
      </c>
    </row>
    <row r="103" spans="1:11" ht="13.5" customHeight="1" x14ac:dyDescent="0.25">
      <c r="A103" s="63">
        <v>103</v>
      </c>
      <c r="B103" s="150" t="s">
        <v>647</v>
      </c>
      <c r="C103" s="65" t="s">
        <v>498</v>
      </c>
      <c r="D103" s="63" t="s">
        <v>768</v>
      </c>
      <c r="E103" s="65">
        <v>0</v>
      </c>
      <c r="F103" s="65">
        <v>160</v>
      </c>
      <c r="G103" s="66">
        <v>1000</v>
      </c>
      <c r="H103" s="67">
        <v>0</v>
      </c>
      <c r="I103" s="64">
        <f t="shared" si="2"/>
        <v>0</v>
      </c>
      <c r="J103" s="66">
        <v>0</v>
      </c>
      <c r="K103" s="64">
        <f t="shared" si="3"/>
        <v>1000</v>
      </c>
    </row>
    <row r="104" spans="1:11" ht="13.5" customHeight="1" x14ac:dyDescent="0.25">
      <c r="A104" s="63">
        <v>104</v>
      </c>
      <c r="B104" s="150" t="s">
        <v>648</v>
      </c>
      <c r="C104" s="65" t="s">
        <v>490</v>
      </c>
      <c r="D104" s="63" t="s">
        <v>769</v>
      </c>
      <c r="E104" s="65">
        <v>0</v>
      </c>
      <c r="F104" s="65">
        <v>160</v>
      </c>
      <c r="G104" s="66">
        <v>1000</v>
      </c>
      <c r="H104" s="67">
        <v>0</v>
      </c>
      <c r="I104" s="64">
        <f t="shared" si="2"/>
        <v>0</v>
      </c>
      <c r="J104" s="66">
        <v>0</v>
      </c>
      <c r="K104" s="64">
        <f t="shared" si="3"/>
        <v>1000</v>
      </c>
    </row>
    <row r="105" spans="1:11" ht="13.5" customHeight="1" x14ac:dyDescent="0.25">
      <c r="A105" s="63">
        <v>105</v>
      </c>
      <c r="B105" s="150" t="s">
        <v>588</v>
      </c>
      <c r="C105" s="65" t="s">
        <v>589</v>
      </c>
      <c r="D105" s="63" t="s">
        <v>770</v>
      </c>
      <c r="E105" s="65">
        <v>0</v>
      </c>
      <c r="F105" s="65">
        <v>160</v>
      </c>
      <c r="G105" s="66">
        <v>1000</v>
      </c>
      <c r="H105" s="67">
        <v>0</v>
      </c>
      <c r="I105" s="64">
        <f t="shared" si="2"/>
        <v>0</v>
      </c>
      <c r="J105" s="66">
        <v>0</v>
      </c>
      <c r="K105" s="64">
        <f t="shared" si="3"/>
        <v>1000</v>
      </c>
    </row>
    <row r="106" spans="1:11" ht="13.5" customHeight="1" x14ac:dyDescent="0.25">
      <c r="A106" s="63">
        <v>106</v>
      </c>
      <c r="B106" s="150" t="s">
        <v>590</v>
      </c>
      <c r="C106" s="65" t="s">
        <v>591</v>
      </c>
      <c r="D106" s="63" t="s">
        <v>771</v>
      </c>
      <c r="E106" s="65">
        <v>0</v>
      </c>
      <c r="F106" s="65">
        <v>160</v>
      </c>
      <c r="G106" s="66">
        <v>1000</v>
      </c>
      <c r="H106" s="67">
        <v>0</v>
      </c>
      <c r="I106" s="64">
        <f t="shared" si="2"/>
        <v>0</v>
      </c>
      <c r="J106" s="66">
        <v>0</v>
      </c>
      <c r="K106" s="64">
        <f t="shared" si="3"/>
        <v>1000</v>
      </c>
    </row>
    <row r="107" spans="1:11" ht="13.5" customHeight="1" x14ac:dyDescent="0.25">
      <c r="A107" s="63">
        <v>107</v>
      </c>
      <c r="B107" s="150" t="s">
        <v>592</v>
      </c>
      <c r="C107" s="65" t="s">
        <v>593</v>
      </c>
      <c r="D107" s="63" t="s">
        <v>772</v>
      </c>
      <c r="E107" s="65">
        <v>0</v>
      </c>
      <c r="F107" s="65">
        <v>160</v>
      </c>
      <c r="G107" s="66">
        <v>1000</v>
      </c>
      <c r="H107" s="67">
        <v>0</v>
      </c>
      <c r="I107" s="64">
        <f t="shared" si="2"/>
        <v>0</v>
      </c>
      <c r="J107" s="66">
        <v>0</v>
      </c>
      <c r="K107" s="64">
        <f t="shared" si="3"/>
        <v>1000</v>
      </c>
    </row>
    <row r="108" spans="1:11" ht="13.5" customHeight="1" x14ac:dyDescent="0.25">
      <c r="A108" s="63">
        <v>108</v>
      </c>
      <c r="B108" s="65"/>
      <c r="C108" s="65"/>
      <c r="D108" s="63" t="s">
        <v>773</v>
      </c>
      <c r="E108" s="65"/>
      <c r="F108" s="65"/>
      <c r="G108" s="66"/>
      <c r="H108" s="67"/>
      <c r="I108" s="64" t="str">
        <f t="shared" si="2"/>
        <v/>
      </c>
      <c r="J108" s="66"/>
      <c r="K108" s="64" t="str">
        <f t="shared" si="3"/>
        <v/>
      </c>
    </row>
    <row r="109" spans="1:11" ht="13.5" customHeight="1" x14ac:dyDescent="0.25">
      <c r="A109" s="63">
        <v>109</v>
      </c>
      <c r="B109" s="65"/>
      <c r="C109" s="65"/>
      <c r="D109" s="63" t="s">
        <v>774</v>
      </c>
      <c r="E109" s="65"/>
      <c r="F109" s="65"/>
      <c r="G109" s="66"/>
      <c r="H109" s="67"/>
      <c r="I109" s="64" t="str">
        <f t="shared" si="2"/>
        <v/>
      </c>
      <c r="J109" s="66"/>
      <c r="K109" s="64" t="str">
        <f t="shared" si="3"/>
        <v/>
      </c>
    </row>
    <row r="110" spans="1:11" ht="13.5" customHeight="1" x14ac:dyDescent="0.25">
      <c r="A110" s="63">
        <v>110</v>
      </c>
      <c r="B110" s="65"/>
      <c r="C110" s="65"/>
      <c r="D110" s="63" t="s">
        <v>775</v>
      </c>
      <c r="E110" s="65"/>
      <c r="F110" s="65"/>
      <c r="G110" s="66"/>
      <c r="H110" s="67"/>
      <c r="I110" s="64" t="str">
        <f t="shared" si="2"/>
        <v/>
      </c>
      <c r="J110" s="66"/>
      <c r="K110" s="64" t="str">
        <f t="shared" si="3"/>
        <v/>
      </c>
    </row>
    <row r="111" spans="1:11" ht="13.5" customHeight="1" x14ac:dyDescent="0.25">
      <c r="A111" s="63">
        <v>111</v>
      </c>
      <c r="B111" s="65"/>
      <c r="C111" s="65"/>
      <c r="D111" s="63" t="s">
        <v>776</v>
      </c>
      <c r="E111" s="65"/>
      <c r="F111" s="65"/>
      <c r="G111" s="66"/>
      <c r="H111" s="67"/>
      <c r="I111" s="64" t="str">
        <f t="shared" si="2"/>
        <v/>
      </c>
      <c r="J111" s="66"/>
      <c r="K111" s="64" t="str">
        <f t="shared" si="3"/>
        <v/>
      </c>
    </row>
    <row r="112" spans="1:11" ht="13.5" customHeight="1" x14ac:dyDescent="0.25">
      <c r="A112" s="63">
        <v>112</v>
      </c>
      <c r="B112" s="65"/>
      <c r="C112" s="65"/>
      <c r="D112" s="63" t="s">
        <v>777</v>
      </c>
      <c r="E112" s="65"/>
      <c r="F112" s="65"/>
      <c r="G112" s="66"/>
      <c r="H112" s="67"/>
      <c r="I112" s="64" t="str">
        <f t="shared" si="2"/>
        <v/>
      </c>
      <c r="J112" s="66"/>
      <c r="K112" s="64" t="str">
        <f t="shared" si="3"/>
        <v/>
      </c>
    </row>
    <row r="113" spans="1:11" ht="13.5" customHeight="1" x14ac:dyDescent="0.25">
      <c r="A113" s="63">
        <v>113</v>
      </c>
      <c r="B113" s="65"/>
      <c r="C113" s="65"/>
      <c r="D113" s="63" t="s">
        <v>778</v>
      </c>
      <c r="E113" s="65"/>
      <c r="F113" s="65"/>
      <c r="G113" s="66"/>
      <c r="H113" s="67"/>
      <c r="I113" s="64" t="str">
        <f t="shared" si="2"/>
        <v/>
      </c>
      <c r="J113" s="66"/>
      <c r="K113" s="64" t="str">
        <f t="shared" si="3"/>
        <v/>
      </c>
    </row>
    <row r="114" spans="1:11" ht="13.5" customHeight="1" x14ac:dyDescent="0.25">
      <c r="A114" s="63">
        <v>114</v>
      </c>
      <c r="B114" s="65"/>
      <c r="C114" s="65"/>
      <c r="D114" s="63" t="s">
        <v>779</v>
      </c>
      <c r="E114" s="65"/>
      <c r="F114" s="65"/>
      <c r="G114" s="66"/>
      <c r="H114" s="67"/>
      <c r="I114" s="64" t="str">
        <f t="shared" si="2"/>
        <v/>
      </c>
      <c r="J114" s="66"/>
      <c r="K114" s="64" t="str">
        <f t="shared" si="3"/>
        <v/>
      </c>
    </row>
    <row r="115" spans="1:11" ht="13.5" customHeight="1" x14ac:dyDescent="0.25">
      <c r="A115" s="63">
        <v>115</v>
      </c>
      <c r="B115" s="65"/>
      <c r="C115" s="65"/>
      <c r="D115" s="63" t="s">
        <v>780</v>
      </c>
      <c r="E115" s="65"/>
      <c r="F115" s="65"/>
      <c r="G115" s="66"/>
      <c r="H115" s="67"/>
      <c r="I115" s="64" t="str">
        <f t="shared" si="2"/>
        <v/>
      </c>
      <c r="J115" s="66"/>
      <c r="K115" s="64" t="str">
        <f t="shared" si="3"/>
        <v/>
      </c>
    </row>
    <row r="116" spans="1:11" ht="13.5" customHeight="1" x14ac:dyDescent="0.25">
      <c r="A116" s="63">
        <v>116</v>
      </c>
      <c r="B116" s="65"/>
      <c r="C116" s="65"/>
      <c r="D116" s="63" t="s">
        <v>781</v>
      </c>
      <c r="E116" s="65"/>
      <c r="F116" s="65"/>
      <c r="G116" s="66"/>
      <c r="H116" s="67"/>
      <c r="I116" s="64" t="str">
        <f t="shared" si="2"/>
        <v/>
      </c>
      <c r="J116" s="66"/>
      <c r="K116" s="64" t="str">
        <f t="shared" si="3"/>
        <v/>
      </c>
    </row>
    <row r="117" spans="1:11" ht="13.5" customHeight="1" x14ac:dyDescent="0.25">
      <c r="A117" s="63">
        <v>117</v>
      </c>
      <c r="B117" s="65"/>
      <c r="C117" s="65"/>
      <c r="D117" s="63" t="s">
        <v>782</v>
      </c>
      <c r="E117" s="65"/>
      <c r="F117" s="65"/>
      <c r="G117" s="66"/>
      <c r="H117" s="67"/>
      <c r="I117" s="64" t="str">
        <f t="shared" si="2"/>
        <v/>
      </c>
      <c r="J117" s="66"/>
      <c r="K117" s="64" t="str">
        <f t="shared" si="3"/>
        <v/>
      </c>
    </row>
    <row r="118" spans="1:11" ht="13.5" customHeight="1" x14ac:dyDescent="0.25">
      <c r="A118" s="63">
        <v>118</v>
      </c>
      <c r="B118" s="65"/>
      <c r="C118" s="65"/>
      <c r="D118" s="63" t="s">
        <v>783</v>
      </c>
      <c r="E118" s="65"/>
      <c r="F118" s="65"/>
      <c r="G118" s="66"/>
      <c r="H118" s="67"/>
      <c r="I118" s="64" t="str">
        <f t="shared" si="2"/>
        <v/>
      </c>
      <c r="J118" s="66"/>
      <c r="K118" s="64" t="str">
        <f t="shared" si="3"/>
        <v/>
      </c>
    </row>
    <row r="119" spans="1:11" ht="13.5" customHeight="1" x14ac:dyDescent="0.25">
      <c r="A119" s="63">
        <v>119</v>
      </c>
      <c r="B119" s="65"/>
      <c r="C119" s="65"/>
      <c r="D119" s="63" t="s">
        <v>784</v>
      </c>
      <c r="E119" s="65"/>
      <c r="F119" s="65"/>
      <c r="G119" s="66"/>
      <c r="H119" s="67"/>
      <c r="I119" s="64" t="str">
        <f t="shared" si="2"/>
        <v/>
      </c>
      <c r="J119" s="66"/>
      <c r="K119" s="64" t="str">
        <f t="shared" si="3"/>
        <v/>
      </c>
    </row>
    <row r="120" spans="1:11" ht="13.5" customHeight="1" x14ac:dyDescent="0.25">
      <c r="A120" s="63">
        <v>120</v>
      </c>
      <c r="B120" s="65"/>
      <c r="C120" s="65"/>
      <c r="D120" s="63" t="s">
        <v>785</v>
      </c>
      <c r="E120" s="65"/>
      <c r="F120" s="65"/>
      <c r="G120" s="66"/>
      <c r="H120" s="67"/>
      <c r="I120" s="64" t="str">
        <f t="shared" si="2"/>
        <v/>
      </c>
      <c r="J120" s="66"/>
      <c r="K120" s="64" t="str">
        <f t="shared" si="3"/>
        <v/>
      </c>
    </row>
    <row r="121" spans="1:11" ht="13.5" customHeight="1" x14ac:dyDescent="0.25">
      <c r="A121" s="63">
        <v>121</v>
      </c>
      <c r="B121" s="65"/>
      <c r="C121" s="65"/>
      <c r="D121" s="63" t="s">
        <v>786</v>
      </c>
      <c r="E121" s="65"/>
      <c r="F121" s="65"/>
      <c r="G121" s="66"/>
      <c r="H121" s="67"/>
      <c r="I121" s="64" t="str">
        <f t="shared" si="2"/>
        <v/>
      </c>
      <c r="J121" s="66"/>
      <c r="K121" s="64" t="str">
        <f t="shared" si="3"/>
        <v/>
      </c>
    </row>
    <row r="122" spans="1:11" ht="13.5" customHeight="1" x14ac:dyDescent="0.25">
      <c r="A122" s="63">
        <v>122</v>
      </c>
      <c r="B122" s="65"/>
      <c r="C122" s="65"/>
      <c r="D122" s="63" t="s">
        <v>787</v>
      </c>
      <c r="E122" s="65"/>
      <c r="F122" s="65"/>
      <c r="G122" s="66"/>
      <c r="H122" s="67"/>
      <c r="I122" s="64" t="str">
        <f t="shared" si="2"/>
        <v/>
      </c>
      <c r="J122" s="66"/>
      <c r="K122" s="64" t="str">
        <f t="shared" si="3"/>
        <v/>
      </c>
    </row>
    <row r="123" spans="1:11" ht="13.5" customHeight="1" x14ac:dyDescent="0.25">
      <c r="A123" s="63">
        <v>123</v>
      </c>
      <c r="B123" s="65"/>
      <c r="C123" s="65"/>
      <c r="D123" s="63" t="s">
        <v>788</v>
      </c>
      <c r="E123" s="65"/>
      <c r="F123" s="65"/>
      <c r="G123" s="66"/>
      <c r="H123" s="67"/>
      <c r="I123" s="64" t="str">
        <f t="shared" si="2"/>
        <v/>
      </c>
      <c r="J123" s="66"/>
      <c r="K123" s="64" t="str">
        <f t="shared" si="3"/>
        <v/>
      </c>
    </row>
    <row r="124" spans="1:11" ht="13.5" customHeight="1" x14ac:dyDescent="0.25">
      <c r="A124" s="63">
        <v>124</v>
      </c>
      <c r="B124" s="65"/>
      <c r="C124" s="65"/>
      <c r="D124" s="63" t="s">
        <v>789</v>
      </c>
      <c r="E124" s="65"/>
      <c r="F124" s="65"/>
      <c r="G124" s="66"/>
      <c r="H124" s="67"/>
      <c r="I124" s="64" t="str">
        <f t="shared" si="2"/>
        <v/>
      </c>
      <c r="J124" s="66"/>
      <c r="K124" s="64" t="str">
        <f t="shared" si="3"/>
        <v/>
      </c>
    </row>
    <row r="125" spans="1:11" ht="13.5" customHeight="1" x14ac:dyDescent="0.25">
      <c r="A125" s="63">
        <v>125</v>
      </c>
      <c r="B125" s="65"/>
      <c r="C125" s="65"/>
      <c r="D125" s="63" t="s">
        <v>790</v>
      </c>
      <c r="E125" s="65"/>
      <c r="F125" s="65"/>
      <c r="G125" s="66"/>
      <c r="H125" s="67"/>
      <c r="I125" s="64" t="str">
        <f t="shared" si="2"/>
        <v/>
      </c>
      <c r="J125" s="66"/>
      <c r="K125" s="64" t="str">
        <f t="shared" si="3"/>
        <v/>
      </c>
    </row>
    <row r="126" spans="1:11" ht="13.5" customHeight="1" x14ac:dyDescent="0.25">
      <c r="A126" s="63">
        <v>126</v>
      </c>
      <c r="B126" s="65"/>
      <c r="C126" s="65"/>
      <c r="D126" s="63" t="s">
        <v>791</v>
      </c>
      <c r="E126" s="65"/>
      <c r="F126" s="65"/>
      <c r="G126" s="66"/>
      <c r="H126" s="67"/>
      <c r="I126" s="64" t="str">
        <f t="shared" si="2"/>
        <v/>
      </c>
      <c r="J126" s="66"/>
      <c r="K126" s="64" t="str">
        <f t="shared" si="3"/>
        <v/>
      </c>
    </row>
    <row r="127" spans="1:11" ht="13.5" customHeight="1" x14ac:dyDescent="0.25">
      <c r="A127" s="63">
        <v>127</v>
      </c>
      <c r="B127" s="65"/>
      <c r="C127" s="65"/>
      <c r="D127" s="63" t="s">
        <v>792</v>
      </c>
      <c r="E127" s="65"/>
      <c r="F127" s="65"/>
      <c r="G127" s="66"/>
      <c r="H127" s="67"/>
      <c r="I127" s="64" t="str">
        <f t="shared" si="2"/>
        <v/>
      </c>
      <c r="J127" s="66"/>
      <c r="K127" s="64" t="str">
        <f t="shared" si="3"/>
        <v/>
      </c>
    </row>
    <row r="128" spans="1:11" ht="13.5" customHeight="1" x14ac:dyDescent="0.25">
      <c r="A128" s="63">
        <v>128</v>
      </c>
      <c r="B128" s="65"/>
      <c r="C128" s="65"/>
      <c r="D128" s="63" t="s">
        <v>793</v>
      </c>
      <c r="E128" s="65"/>
      <c r="F128" s="65"/>
      <c r="G128" s="66"/>
      <c r="H128" s="67"/>
      <c r="I128" s="64" t="str">
        <f t="shared" si="2"/>
        <v/>
      </c>
      <c r="J128" s="66"/>
      <c r="K128" s="64" t="str">
        <f t="shared" si="3"/>
        <v/>
      </c>
    </row>
    <row r="129" spans="1:11" ht="13.5" customHeight="1" x14ac:dyDescent="0.25">
      <c r="A129" s="63">
        <v>129</v>
      </c>
      <c r="B129" s="65"/>
      <c r="C129" s="65"/>
      <c r="D129" s="63" t="s">
        <v>794</v>
      </c>
      <c r="E129" s="65"/>
      <c r="F129" s="65"/>
      <c r="G129" s="66"/>
      <c r="H129" s="67"/>
      <c r="I129" s="64" t="str">
        <f t="shared" ref="I129:I149" si="4">IF(B129="","",(G129/F129)*H129)</f>
        <v/>
      </c>
      <c r="J129" s="66"/>
      <c r="K129" s="64" t="str">
        <f t="shared" ref="K129:K149" si="5">IF(B129="","",G129-I129-J129)</f>
        <v/>
      </c>
    </row>
    <row r="130" spans="1:11" ht="13.5" customHeight="1" x14ac:dyDescent="0.25">
      <c r="A130" s="63">
        <v>130</v>
      </c>
      <c r="B130" s="65"/>
      <c r="C130" s="65"/>
      <c r="D130" s="63" t="s">
        <v>795</v>
      </c>
      <c r="E130" s="65"/>
      <c r="F130" s="65"/>
      <c r="G130" s="66"/>
      <c r="H130" s="67"/>
      <c r="I130" s="64" t="str">
        <f t="shared" si="4"/>
        <v/>
      </c>
      <c r="J130" s="66"/>
      <c r="K130" s="64" t="str">
        <f t="shared" si="5"/>
        <v/>
      </c>
    </row>
    <row r="131" spans="1:11" ht="13.5" customHeight="1" x14ac:dyDescent="0.25">
      <c r="A131" s="63">
        <v>131</v>
      </c>
      <c r="B131" s="65"/>
      <c r="C131" s="65"/>
      <c r="D131" s="63" t="s">
        <v>796</v>
      </c>
      <c r="E131" s="65"/>
      <c r="F131" s="65"/>
      <c r="G131" s="66"/>
      <c r="H131" s="67"/>
      <c r="I131" s="64" t="str">
        <f t="shared" si="4"/>
        <v/>
      </c>
      <c r="J131" s="66"/>
      <c r="K131" s="64" t="str">
        <f t="shared" si="5"/>
        <v/>
      </c>
    </row>
    <row r="132" spans="1:11" ht="13.5" customHeight="1" x14ac:dyDescent="0.25">
      <c r="A132" s="63">
        <v>132</v>
      </c>
      <c r="B132" s="65"/>
      <c r="C132" s="65"/>
      <c r="D132" s="63" t="s">
        <v>797</v>
      </c>
      <c r="E132" s="65"/>
      <c r="F132" s="65"/>
      <c r="G132" s="66"/>
      <c r="H132" s="67"/>
      <c r="I132" s="64" t="str">
        <f t="shared" si="4"/>
        <v/>
      </c>
      <c r="J132" s="66"/>
      <c r="K132" s="64" t="str">
        <f t="shared" si="5"/>
        <v/>
      </c>
    </row>
    <row r="133" spans="1:11" ht="13.5" customHeight="1" x14ac:dyDescent="0.25">
      <c r="A133" s="63">
        <v>133</v>
      </c>
      <c r="B133" s="65"/>
      <c r="C133" s="65"/>
      <c r="D133" s="63" t="s">
        <v>798</v>
      </c>
      <c r="E133" s="65"/>
      <c r="F133" s="65"/>
      <c r="G133" s="66"/>
      <c r="H133" s="67"/>
      <c r="I133" s="64" t="str">
        <f t="shared" si="4"/>
        <v/>
      </c>
      <c r="J133" s="66"/>
      <c r="K133" s="64" t="str">
        <f t="shared" si="5"/>
        <v/>
      </c>
    </row>
    <row r="134" spans="1:11" ht="13.5" customHeight="1" x14ac:dyDescent="0.25">
      <c r="A134" s="63">
        <v>134</v>
      </c>
      <c r="B134" s="65"/>
      <c r="C134" s="65"/>
      <c r="D134" s="63" t="s">
        <v>799</v>
      </c>
      <c r="E134" s="65"/>
      <c r="F134" s="65"/>
      <c r="G134" s="66"/>
      <c r="H134" s="67"/>
      <c r="I134" s="64" t="str">
        <f t="shared" si="4"/>
        <v/>
      </c>
      <c r="J134" s="66"/>
      <c r="K134" s="64" t="str">
        <f t="shared" si="5"/>
        <v/>
      </c>
    </row>
    <row r="135" spans="1:11" ht="13.5" customHeight="1" x14ac:dyDescent="0.25">
      <c r="A135" s="63">
        <v>135</v>
      </c>
      <c r="B135" s="65"/>
      <c r="C135" s="65"/>
      <c r="D135" s="63" t="s">
        <v>800</v>
      </c>
      <c r="E135" s="65"/>
      <c r="F135" s="65"/>
      <c r="G135" s="66"/>
      <c r="H135" s="67"/>
      <c r="I135" s="64" t="str">
        <f t="shared" si="4"/>
        <v/>
      </c>
      <c r="J135" s="66"/>
      <c r="K135" s="64" t="str">
        <f t="shared" si="5"/>
        <v/>
      </c>
    </row>
    <row r="136" spans="1:11" ht="13.5" customHeight="1" x14ac:dyDescent="0.25">
      <c r="A136" s="63">
        <v>136</v>
      </c>
      <c r="B136" s="65"/>
      <c r="C136" s="65"/>
      <c r="D136" s="63" t="s">
        <v>801</v>
      </c>
      <c r="E136" s="65"/>
      <c r="F136" s="65"/>
      <c r="G136" s="66"/>
      <c r="H136" s="67"/>
      <c r="I136" s="64" t="str">
        <f t="shared" si="4"/>
        <v/>
      </c>
      <c r="J136" s="66"/>
      <c r="K136" s="64" t="str">
        <f t="shared" si="5"/>
        <v/>
      </c>
    </row>
    <row r="137" spans="1:11" ht="13.5" customHeight="1" x14ac:dyDescent="0.25">
      <c r="A137" s="63">
        <v>137</v>
      </c>
      <c r="B137" s="65"/>
      <c r="C137" s="65"/>
      <c r="D137" s="63" t="s">
        <v>802</v>
      </c>
      <c r="E137" s="65"/>
      <c r="F137" s="65"/>
      <c r="G137" s="66"/>
      <c r="H137" s="67"/>
      <c r="I137" s="64" t="str">
        <f t="shared" si="4"/>
        <v/>
      </c>
      <c r="J137" s="66"/>
      <c r="K137" s="64" t="str">
        <f t="shared" si="5"/>
        <v/>
      </c>
    </row>
    <row r="138" spans="1:11" ht="13.5" customHeight="1" x14ac:dyDescent="0.25">
      <c r="A138" s="63">
        <v>138</v>
      </c>
      <c r="B138" s="65"/>
      <c r="C138" s="65"/>
      <c r="D138" s="63" t="s">
        <v>803</v>
      </c>
      <c r="E138" s="65"/>
      <c r="F138" s="65"/>
      <c r="G138" s="66"/>
      <c r="H138" s="67"/>
      <c r="I138" s="64" t="str">
        <f t="shared" si="4"/>
        <v/>
      </c>
      <c r="J138" s="66"/>
      <c r="K138" s="64" t="str">
        <f t="shared" si="5"/>
        <v/>
      </c>
    </row>
    <row r="139" spans="1:11" ht="13.5" customHeight="1" x14ac:dyDescent="0.25">
      <c r="A139" s="63">
        <v>139</v>
      </c>
      <c r="B139" s="65"/>
      <c r="C139" s="65"/>
      <c r="D139" s="63" t="s">
        <v>804</v>
      </c>
      <c r="E139" s="65"/>
      <c r="F139" s="65"/>
      <c r="G139" s="66"/>
      <c r="H139" s="67"/>
      <c r="I139" s="64" t="str">
        <f t="shared" si="4"/>
        <v/>
      </c>
      <c r="J139" s="66"/>
      <c r="K139" s="64" t="str">
        <f t="shared" si="5"/>
        <v/>
      </c>
    </row>
    <row r="140" spans="1:11" ht="13.5" customHeight="1" x14ac:dyDescent="0.25">
      <c r="A140" s="63">
        <v>140</v>
      </c>
      <c r="B140" s="65"/>
      <c r="C140" s="65"/>
      <c r="D140" s="63" t="s">
        <v>805</v>
      </c>
      <c r="E140" s="65"/>
      <c r="F140" s="65"/>
      <c r="G140" s="66"/>
      <c r="H140" s="67"/>
      <c r="I140" s="64" t="str">
        <f t="shared" si="4"/>
        <v/>
      </c>
      <c r="J140" s="66"/>
      <c r="K140" s="64" t="str">
        <f t="shared" si="5"/>
        <v/>
      </c>
    </row>
    <row r="141" spans="1:11" ht="13.5" customHeight="1" x14ac:dyDescent="0.25">
      <c r="A141" s="63">
        <v>141</v>
      </c>
      <c r="B141" s="65"/>
      <c r="C141" s="65"/>
      <c r="D141" s="63" t="s">
        <v>806</v>
      </c>
      <c r="E141" s="65"/>
      <c r="F141" s="65"/>
      <c r="G141" s="66"/>
      <c r="H141" s="67"/>
      <c r="I141" s="64" t="str">
        <f t="shared" si="4"/>
        <v/>
      </c>
      <c r="J141" s="66"/>
      <c r="K141" s="64" t="str">
        <f t="shared" si="5"/>
        <v/>
      </c>
    </row>
    <row r="142" spans="1:11" ht="13.5" customHeight="1" x14ac:dyDescent="0.25">
      <c r="A142" s="63">
        <v>142</v>
      </c>
      <c r="B142" s="65"/>
      <c r="C142" s="65"/>
      <c r="D142" s="63" t="s">
        <v>807</v>
      </c>
      <c r="E142" s="65"/>
      <c r="F142" s="65"/>
      <c r="G142" s="66"/>
      <c r="H142" s="67"/>
      <c r="I142" s="64" t="str">
        <f t="shared" si="4"/>
        <v/>
      </c>
      <c r="J142" s="66"/>
      <c r="K142" s="64" t="str">
        <f t="shared" si="5"/>
        <v/>
      </c>
    </row>
    <row r="143" spans="1:11" ht="13.5" customHeight="1" x14ac:dyDescent="0.25">
      <c r="A143" s="63">
        <v>143</v>
      </c>
      <c r="B143" s="65"/>
      <c r="C143" s="65"/>
      <c r="D143" s="63" t="s">
        <v>808</v>
      </c>
      <c r="E143" s="65"/>
      <c r="F143" s="65"/>
      <c r="G143" s="66"/>
      <c r="H143" s="67"/>
      <c r="I143" s="64" t="str">
        <f t="shared" si="4"/>
        <v/>
      </c>
      <c r="J143" s="66"/>
      <c r="K143" s="64" t="str">
        <f t="shared" si="5"/>
        <v/>
      </c>
    </row>
    <row r="144" spans="1:11" ht="13.5" customHeight="1" x14ac:dyDescent="0.25">
      <c r="A144" s="63">
        <v>144</v>
      </c>
      <c r="B144" s="65"/>
      <c r="C144" s="65"/>
      <c r="D144" s="63" t="s">
        <v>809</v>
      </c>
      <c r="E144" s="65"/>
      <c r="F144" s="65"/>
      <c r="G144" s="66"/>
      <c r="H144" s="67"/>
      <c r="I144" s="64" t="str">
        <f t="shared" si="4"/>
        <v/>
      </c>
      <c r="J144" s="66"/>
      <c r="K144" s="64" t="str">
        <f t="shared" si="5"/>
        <v/>
      </c>
    </row>
    <row r="145" spans="1:11" ht="13.5" customHeight="1" x14ac:dyDescent="0.25">
      <c r="A145" s="63">
        <v>145</v>
      </c>
      <c r="B145" s="65"/>
      <c r="C145" s="65"/>
      <c r="D145" s="63" t="s">
        <v>810</v>
      </c>
      <c r="E145" s="65"/>
      <c r="F145" s="65"/>
      <c r="G145" s="66"/>
      <c r="H145" s="67"/>
      <c r="I145" s="64" t="str">
        <f t="shared" si="4"/>
        <v/>
      </c>
      <c r="J145" s="66"/>
      <c r="K145" s="64" t="str">
        <f t="shared" si="5"/>
        <v/>
      </c>
    </row>
    <row r="146" spans="1:11" ht="13.5" customHeight="1" x14ac:dyDescent="0.25">
      <c r="A146" s="63">
        <v>146</v>
      </c>
      <c r="B146" s="65"/>
      <c r="C146" s="65"/>
      <c r="D146" s="63" t="s">
        <v>811</v>
      </c>
      <c r="E146" s="65"/>
      <c r="F146" s="65"/>
      <c r="G146" s="66"/>
      <c r="H146" s="67"/>
      <c r="I146" s="64" t="str">
        <f t="shared" si="4"/>
        <v/>
      </c>
      <c r="J146" s="66"/>
      <c r="K146" s="64" t="str">
        <f t="shared" si="5"/>
        <v/>
      </c>
    </row>
    <row r="147" spans="1:11" ht="13.5" customHeight="1" x14ac:dyDescent="0.25">
      <c r="A147" s="63">
        <v>147</v>
      </c>
      <c r="B147" s="65"/>
      <c r="C147" s="65"/>
      <c r="D147" s="63" t="s">
        <v>812</v>
      </c>
      <c r="E147" s="65"/>
      <c r="F147" s="65"/>
      <c r="G147" s="66"/>
      <c r="H147" s="67"/>
      <c r="I147" s="64" t="str">
        <f t="shared" si="4"/>
        <v/>
      </c>
      <c r="J147" s="66"/>
      <c r="K147" s="64" t="str">
        <f t="shared" si="5"/>
        <v/>
      </c>
    </row>
    <row r="148" spans="1:11" ht="13.5" customHeight="1" x14ac:dyDescent="0.25">
      <c r="A148" s="63">
        <v>148</v>
      </c>
      <c r="B148" s="65"/>
      <c r="C148" s="65"/>
      <c r="D148" s="63" t="s">
        <v>813</v>
      </c>
      <c r="E148" s="65"/>
      <c r="F148" s="65"/>
      <c r="G148" s="66"/>
      <c r="H148" s="67"/>
      <c r="I148" s="64" t="str">
        <f t="shared" si="4"/>
        <v/>
      </c>
      <c r="J148" s="66"/>
      <c r="K148" s="64" t="str">
        <f t="shared" si="5"/>
        <v/>
      </c>
    </row>
    <row r="149" spans="1:11" ht="13.5" customHeight="1" x14ac:dyDescent="0.25">
      <c r="A149" s="63">
        <v>149</v>
      </c>
      <c r="B149" s="65"/>
      <c r="C149" s="65"/>
      <c r="D149" s="63" t="s">
        <v>814</v>
      </c>
      <c r="E149" s="65"/>
      <c r="F149" s="65"/>
      <c r="G149" s="66"/>
      <c r="H149" s="67"/>
      <c r="I149" s="64" t="str">
        <f t="shared" si="4"/>
        <v/>
      </c>
      <c r="J149" s="66"/>
      <c r="K149" s="64" t="str">
        <f t="shared" si="5"/>
        <v/>
      </c>
    </row>
    <row r="150" spans="1:11" ht="13.5" customHeight="1" x14ac:dyDescent="0.25">
      <c r="A150" s="52"/>
      <c r="B150" s="52"/>
      <c r="C150" s="52"/>
      <c r="D150" s="53"/>
      <c r="E150" s="53"/>
      <c r="F150" s="54">
        <f t="shared" ref="F150:K150" si="6">SUM(F5:F149)</f>
        <v>16480</v>
      </c>
      <c r="G150" s="54">
        <f t="shared" si="6"/>
        <v>173674</v>
      </c>
      <c r="H150" s="54">
        <f t="shared" si="6"/>
        <v>0</v>
      </c>
      <c r="I150" s="54">
        <f t="shared" si="6"/>
        <v>0</v>
      </c>
      <c r="J150" s="54">
        <f t="shared" si="6"/>
        <v>0</v>
      </c>
      <c r="K150" s="54">
        <f t="shared" si="6"/>
        <v>173674</v>
      </c>
    </row>
  </sheetData>
  <mergeCells count="4">
    <mergeCell ref="A3:D3"/>
    <mergeCell ref="A2:B2"/>
    <mergeCell ref="C2:D2"/>
    <mergeCell ref="A1:K1"/>
  </mergeCells>
  <phoneticPr fontId="19" type="noConversion"/>
  <pageMargins left="0.59055118110236227" right="0.78740157480314965" top="0.11811023622047245" bottom="0.11811023622047245" header="0" footer="0"/>
  <pageSetup paperSize="5" orientation="landscape" horizont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F300-508F-4603-83BE-2F85DB50B8A2}">
  <sheetPr codeName="Hoja3">
    <tabColor rgb="FF00B050"/>
  </sheetPr>
  <dimension ref="A1:B40"/>
  <sheetViews>
    <sheetView zoomScale="90" zoomScaleNormal="90" workbookViewId="0">
      <selection activeCell="A12" sqref="A12"/>
    </sheetView>
  </sheetViews>
  <sheetFormatPr baseColWidth="10" defaultColWidth="55.6640625" defaultRowHeight="15" x14ac:dyDescent="0.25"/>
  <cols>
    <col min="1" max="1" width="65.88671875" style="42" customWidth="1"/>
    <col min="2" max="16384" width="55.6640625" style="42"/>
  </cols>
  <sheetData>
    <row r="1" spans="1:2" ht="24.6" x14ac:dyDescent="0.4">
      <c r="A1" s="43" t="s">
        <v>826</v>
      </c>
      <c r="B1" s="43" t="s">
        <v>1732</v>
      </c>
    </row>
    <row r="2" spans="1:2" ht="15.6" x14ac:dyDescent="0.3">
      <c r="A2" s="44" t="s">
        <v>432</v>
      </c>
      <c r="B2" s="71" t="s">
        <v>822</v>
      </c>
    </row>
    <row r="3" spans="1:2" x14ac:dyDescent="0.25">
      <c r="A3" s="45" t="s">
        <v>433</v>
      </c>
      <c r="B3" s="71" t="s">
        <v>829</v>
      </c>
    </row>
    <row r="4" spans="1:2" x14ac:dyDescent="0.25">
      <c r="A4" s="45" t="s">
        <v>1708</v>
      </c>
      <c r="B4" s="71" t="s">
        <v>827</v>
      </c>
    </row>
    <row r="5" spans="1:2" x14ac:dyDescent="0.25">
      <c r="A5" s="45" t="s">
        <v>1707</v>
      </c>
      <c r="B5" s="71" t="s">
        <v>828</v>
      </c>
    </row>
    <row r="6" spans="1:2" x14ac:dyDescent="0.25">
      <c r="A6" s="45" t="s">
        <v>1705</v>
      </c>
      <c r="B6" s="71" t="s">
        <v>830</v>
      </c>
    </row>
    <row r="7" spans="1:2" x14ac:dyDescent="0.25">
      <c r="A7" s="45" t="s">
        <v>1706</v>
      </c>
      <c r="B7" s="71" t="s">
        <v>831</v>
      </c>
    </row>
    <row r="8" spans="1:2" x14ac:dyDescent="0.25">
      <c r="A8" s="45" t="s">
        <v>1730</v>
      </c>
      <c r="B8" s="71" t="s">
        <v>832</v>
      </c>
    </row>
    <row r="9" spans="1:2" x14ac:dyDescent="0.25">
      <c r="A9" s="45" t="s">
        <v>1731</v>
      </c>
      <c r="B9" s="71" t="s">
        <v>833</v>
      </c>
    </row>
    <row r="10" spans="1:2" x14ac:dyDescent="0.25">
      <c r="A10" s="45" t="s">
        <v>1903</v>
      </c>
      <c r="B10" s="71" t="s">
        <v>834</v>
      </c>
    </row>
    <row r="11" spans="1:2" x14ac:dyDescent="0.25">
      <c r="A11" s="45" t="s">
        <v>1902</v>
      </c>
      <c r="B11" s="71" t="s">
        <v>835</v>
      </c>
    </row>
    <row r="12" spans="1:2" x14ac:dyDescent="0.25">
      <c r="A12" s="45" t="s">
        <v>2082</v>
      </c>
    </row>
    <row r="13" spans="1:2" x14ac:dyDescent="0.25">
      <c r="A13" s="45" t="s">
        <v>843</v>
      </c>
    </row>
    <row r="14" spans="1:2" x14ac:dyDescent="0.25">
      <c r="A14" s="45" t="s">
        <v>844</v>
      </c>
    </row>
    <row r="15" spans="1:2" x14ac:dyDescent="0.25">
      <c r="A15" s="45" t="s">
        <v>845</v>
      </c>
    </row>
    <row r="16" spans="1:2" x14ac:dyDescent="0.25">
      <c r="A16" s="45" t="s">
        <v>435</v>
      </c>
    </row>
    <row r="17" spans="1:1" x14ac:dyDescent="0.25">
      <c r="A17" s="45" t="s">
        <v>2085</v>
      </c>
    </row>
    <row r="18" spans="1:1" x14ac:dyDescent="0.25">
      <c r="A18" s="45" t="s">
        <v>447</v>
      </c>
    </row>
    <row r="19" spans="1:1" x14ac:dyDescent="0.25">
      <c r="A19" s="45" t="s">
        <v>448</v>
      </c>
    </row>
    <row r="20" spans="1:1" x14ac:dyDescent="0.25">
      <c r="A20" s="45" t="s">
        <v>449</v>
      </c>
    </row>
    <row r="21" spans="1:1" x14ac:dyDescent="0.25">
      <c r="A21" s="45" t="s">
        <v>450</v>
      </c>
    </row>
    <row r="22" spans="1:1" x14ac:dyDescent="0.25">
      <c r="A22" s="46" t="s">
        <v>441</v>
      </c>
    </row>
    <row r="23" spans="1:1" x14ac:dyDescent="0.25">
      <c r="A23" s="46" t="s">
        <v>652</v>
      </c>
    </row>
    <row r="24" spans="1:1" x14ac:dyDescent="0.25">
      <c r="A24" s="46" t="s">
        <v>445</v>
      </c>
    </row>
    <row r="25" spans="1:1" x14ac:dyDescent="0.25">
      <c r="A25" s="46" t="s">
        <v>443</v>
      </c>
    </row>
    <row r="26" spans="1:1" x14ac:dyDescent="0.25">
      <c r="A26" s="46" t="s">
        <v>436</v>
      </c>
    </row>
    <row r="27" spans="1:1" x14ac:dyDescent="0.25">
      <c r="A27" s="46" t="s">
        <v>444</v>
      </c>
    </row>
    <row r="28" spans="1:1" x14ac:dyDescent="0.25">
      <c r="A28" s="46" t="s">
        <v>446</v>
      </c>
    </row>
    <row r="29" spans="1:1" x14ac:dyDescent="0.25">
      <c r="A29" s="46" t="s">
        <v>440</v>
      </c>
    </row>
    <row r="30" spans="1:1" x14ac:dyDescent="0.25">
      <c r="A30" s="46" t="s">
        <v>437</v>
      </c>
    </row>
    <row r="31" spans="1:1" x14ac:dyDescent="0.25">
      <c r="A31" s="46" t="s">
        <v>651</v>
      </c>
    </row>
    <row r="32" spans="1:1" x14ac:dyDescent="0.25">
      <c r="A32" s="46" t="s">
        <v>650</v>
      </c>
    </row>
    <row r="33" spans="1:1" x14ac:dyDescent="0.25">
      <c r="A33" s="46" t="s">
        <v>442</v>
      </c>
    </row>
    <row r="34" spans="1:1" x14ac:dyDescent="0.25">
      <c r="A34" s="46" t="s">
        <v>438</v>
      </c>
    </row>
    <row r="35" spans="1:1" x14ac:dyDescent="0.25">
      <c r="A35" s="46" t="s">
        <v>439</v>
      </c>
    </row>
    <row r="36" spans="1:1" x14ac:dyDescent="0.25">
      <c r="A36" s="46" t="s">
        <v>846</v>
      </c>
    </row>
    <row r="37" spans="1:1" x14ac:dyDescent="0.25">
      <c r="A37" s="46" t="s">
        <v>847</v>
      </c>
    </row>
    <row r="38" spans="1:1" x14ac:dyDescent="0.25">
      <c r="A38" s="46" t="s">
        <v>848</v>
      </c>
    </row>
    <row r="39" spans="1:1" x14ac:dyDescent="0.25">
      <c r="A39" s="46" t="s">
        <v>849</v>
      </c>
    </row>
    <row r="40" spans="1:1" x14ac:dyDescent="0.25">
      <c r="A40" s="46" t="s">
        <v>850</v>
      </c>
    </row>
  </sheetData>
  <sortState xmlns:xlrd2="http://schemas.microsoft.com/office/spreadsheetml/2017/richdata2" ref="A3:A21">
    <sortCondition ref="A3:A2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4D39-0918-4D18-ABA2-42769211A048}">
  <dimension ref="A1:A2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1685</v>
      </c>
    </row>
    <row r="2" spans="1:1" x14ac:dyDescent="0.3">
      <c r="A2" t="s">
        <v>1686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S44"/>
  <sheetViews>
    <sheetView topLeftCell="A7" zoomScale="80" zoomScaleNormal="80" workbookViewId="0">
      <selection activeCell="A10" sqref="A10:C10"/>
    </sheetView>
  </sheetViews>
  <sheetFormatPr baseColWidth="10" defaultColWidth="11.44140625" defaultRowHeight="13.8" x14ac:dyDescent="0.25"/>
  <cols>
    <col min="1" max="10" width="9.6640625" style="14" customWidth="1"/>
    <col min="11" max="11" width="11" style="14" customWidth="1"/>
    <col min="12" max="14" width="9.6640625" style="14" customWidth="1"/>
    <col min="15" max="15" width="10.109375" style="14" customWidth="1"/>
    <col min="16" max="16" width="2" style="14" customWidth="1"/>
    <col min="17" max="16384" width="11.44140625" style="14"/>
  </cols>
  <sheetData>
    <row r="1" spans="1:19" ht="22.5" customHeight="1" x14ac:dyDescent="0.25">
      <c r="A1" s="334" t="s">
        <v>824</v>
      </c>
      <c r="B1" s="334"/>
      <c r="C1" s="334"/>
      <c r="D1" s="334"/>
      <c r="E1" s="334"/>
      <c r="F1" s="334"/>
      <c r="G1" s="334"/>
      <c r="H1" s="334"/>
      <c r="I1" s="334"/>
      <c r="J1" s="334"/>
    </row>
    <row r="2" spans="1:19" ht="24.75" customHeight="1" thickBot="1" x14ac:dyDescent="0.3">
      <c r="A2" s="334"/>
      <c r="B2" s="334"/>
      <c r="C2" s="334"/>
      <c r="D2" s="334"/>
      <c r="E2" s="334"/>
      <c r="F2" s="334"/>
      <c r="G2" s="334"/>
      <c r="H2" s="334"/>
      <c r="I2" s="334"/>
      <c r="J2" s="334"/>
    </row>
    <row r="3" spans="1:19" ht="24.75" customHeight="1" thickBot="1" x14ac:dyDescent="0.3">
      <c r="A3" s="15" t="s">
        <v>51</v>
      </c>
      <c r="B3" s="5"/>
      <c r="C3" s="16"/>
      <c r="E3" s="296">
        <v>2024319</v>
      </c>
      <c r="F3" s="297"/>
      <c r="G3" s="16"/>
      <c r="H3" s="16"/>
      <c r="I3" s="290"/>
      <c r="J3" s="290"/>
      <c r="K3" s="290"/>
      <c r="L3" s="16"/>
      <c r="M3" s="16"/>
      <c r="N3" s="16"/>
      <c r="O3" s="16"/>
    </row>
    <row r="4" spans="1:19" ht="24.75" customHeight="1" thickBot="1" x14ac:dyDescent="0.3">
      <c r="A4" s="15" t="s">
        <v>84</v>
      </c>
      <c r="B4" s="5"/>
      <c r="C4" s="16"/>
      <c r="E4" s="298">
        <f ca="1">TODAY()</f>
        <v>45364</v>
      </c>
      <c r="F4" s="299"/>
      <c r="G4" s="299"/>
      <c r="H4" s="300"/>
      <c r="I4" s="16"/>
      <c r="J4" s="17"/>
      <c r="K4" s="18" t="s">
        <v>62</v>
      </c>
      <c r="L4" s="304" t="str">
        <f>VLOOKUP(E3,CODIGOS!A1:L584,7,)</f>
        <v>69545912m/73764802p</v>
      </c>
      <c r="M4" s="305"/>
      <c r="N4" s="305"/>
      <c r="O4" s="306"/>
    </row>
    <row r="5" spans="1:19" ht="32.25" customHeight="1" thickBot="1" x14ac:dyDescent="0.3">
      <c r="A5" s="15" t="s">
        <v>38</v>
      </c>
      <c r="B5" s="5"/>
      <c r="C5" s="16"/>
      <c r="E5" s="301" t="str">
        <f>VLOOKUP(E3,CODIGOS!A1:L584,5,)</f>
        <v>HECTOR ROJAS</v>
      </c>
      <c r="F5" s="302"/>
      <c r="G5" s="302"/>
      <c r="H5" s="302"/>
      <c r="I5" s="302"/>
      <c r="J5" s="303"/>
      <c r="K5" s="5" t="s">
        <v>50</v>
      </c>
      <c r="L5" s="291">
        <f>VLOOKUP(E3,CODIGOS!A1:L584,6,)</f>
        <v>3108019</v>
      </c>
      <c r="M5" s="292"/>
      <c r="N5" s="292"/>
      <c r="O5" s="293"/>
    </row>
    <row r="6" spans="1:19" ht="24.75" customHeight="1" thickBot="1" x14ac:dyDescent="0.3">
      <c r="A6" s="15" t="s">
        <v>85</v>
      </c>
      <c r="B6" s="5"/>
      <c r="C6" s="16"/>
      <c r="E6" s="301" t="str">
        <f>VLOOKUP(E3,CODIGOS!A1:L584,4,)</f>
        <v>GRISSEL - HECTOR</v>
      </c>
      <c r="F6" s="302"/>
      <c r="G6" s="302"/>
      <c r="H6" s="302"/>
      <c r="I6" s="302"/>
      <c r="J6" s="303"/>
      <c r="K6" s="5" t="s">
        <v>41</v>
      </c>
      <c r="L6" s="294" t="str">
        <f>VLOOKUP(E3,CODIGOS!A1:L584,2,)</f>
        <v>5° Sec</v>
      </c>
      <c r="M6" s="295"/>
      <c r="N6" s="19"/>
      <c r="O6" s="19"/>
    </row>
    <row r="7" spans="1:19" ht="24.75" customHeight="1" thickBot="1" x14ac:dyDescent="0.3">
      <c r="A7" s="15" t="s">
        <v>42</v>
      </c>
      <c r="D7" s="311">
        <f>VLOOKUP(E3,CODIGOS!A1:L584,9,)</f>
        <v>823</v>
      </c>
      <c r="E7" s="312"/>
      <c r="F7" s="313" t="s">
        <v>86</v>
      </c>
      <c r="G7" s="314"/>
      <c r="H7" s="315"/>
      <c r="I7" s="316" t="str">
        <f>VLOOKUP(E3,CODIGOS!A1:L584,8,)</f>
        <v/>
      </c>
      <c r="J7" s="317"/>
      <c r="K7" s="5" t="s">
        <v>40</v>
      </c>
      <c r="L7" s="318" t="str">
        <f>VLOOKUP(E3,CODIGOS!A1:L584,12,)</f>
        <v>SECUNDARIA</v>
      </c>
      <c r="M7" s="319"/>
      <c r="N7" s="319"/>
      <c r="O7" s="320"/>
    </row>
    <row r="8" spans="1:19" ht="24.75" customHeight="1" thickBot="1" x14ac:dyDescent="0.3">
      <c r="A8" s="15" t="s">
        <v>39</v>
      </c>
      <c r="B8" s="5"/>
      <c r="C8" s="16"/>
      <c r="E8" s="307" t="str">
        <f>VLOOKUP(E3,CODIGOS!A1:L584,3,)</f>
        <v>Rojas Arias Alvaro Fabricio</v>
      </c>
      <c r="F8" s="308"/>
      <c r="G8" s="309"/>
      <c r="H8" s="309"/>
      <c r="I8" s="309"/>
      <c r="J8" s="308"/>
      <c r="K8" s="308"/>
      <c r="L8" s="308"/>
      <c r="M8" s="308"/>
      <c r="N8" s="308"/>
      <c r="O8" s="310"/>
      <c r="R8" s="5"/>
      <c r="S8" s="16"/>
    </row>
    <row r="9" spans="1:19" ht="26.1" customHeight="1" x14ac:dyDescent="0.3">
      <c r="A9" s="321" t="s">
        <v>49</v>
      </c>
      <c r="B9" s="322"/>
      <c r="C9" s="323"/>
      <c r="D9" s="321" t="s">
        <v>49</v>
      </c>
      <c r="E9" s="322"/>
      <c r="F9" s="322"/>
      <c r="G9" s="325" t="s">
        <v>49</v>
      </c>
      <c r="H9" s="325"/>
      <c r="I9" s="325"/>
      <c r="J9" s="322" t="s">
        <v>49</v>
      </c>
      <c r="K9" s="322"/>
      <c r="L9" s="323"/>
      <c r="M9" s="321" t="s">
        <v>49</v>
      </c>
      <c r="N9" s="322"/>
      <c r="O9" s="323"/>
      <c r="R9" s="20"/>
    </row>
    <row r="10" spans="1:19" ht="30" customHeight="1" x14ac:dyDescent="0.35">
      <c r="A10" s="287" t="s">
        <v>56</v>
      </c>
      <c r="B10" s="288"/>
      <c r="C10" s="288"/>
      <c r="D10" s="287" t="s">
        <v>56</v>
      </c>
      <c r="E10" s="288"/>
      <c r="F10" s="288"/>
      <c r="G10" s="287" t="s">
        <v>56</v>
      </c>
      <c r="H10" s="288"/>
      <c r="I10" s="288"/>
      <c r="J10" s="287" t="s">
        <v>56</v>
      </c>
      <c r="K10" s="288"/>
      <c r="L10" s="288"/>
      <c r="M10" s="287" t="s">
        <v>56</v>
      </c>
      <c r="N10" s="288"/>
      <c r="O10" s="289"/>
    </row>
    <row r="11" spans="1:19" s="16" customFormat="1" ht="26.1" customHeight="1" x14ac:dyDescent="0.3">
      <c r="A11" s="284" t="s">
        <v>43</v>
      </c>
      <c r="B11" s="285"/>
      <c r="C11" s="285"/>
      <c r="D11" s="284" t="s">
        <v>45</v>
      </c>
      <c r="E11" s="285"/>
      <c r="F11" s="286"/>
      <c r="G11" s="285" t="s">
        <v>46</v>
      </c>
      <c r="H11" s="285"/>
      <c r="I11" s="285"/>
      <c r="J11" s="284" t="s">
        <v>47</v>
      </c>
      <c r="K11" s="285"/>
      <c r="L11" s="286"/>
      <c r="M11" s="285" t="s">
        <v>48</v>
      </c>
      <c r="N11" s="285"/>
      <c r="O11" s="286"/>
    </row>
    <row r="12" spans="1:19" ht="35.1" customHeight="1" x14ac:dyDescent="0.35">
      <c r="A12" s="29" t="s">
        <v>44</v>
      </c>
      <c r="B12" s="30"/>
      <c r="C12" s="30"/>
      <c r="D12" s="29" t="s">
        <v>44</v>
      </c>
      <c r="E12" s="30"/>
      <c r="F12" s="31"/>
      <c r="G12" s="30" t="s">
        <v>44</v>
      </c>
      <c r="H12" s="30"/>
      <c r="I12" s="30"/>
      <c r="J12" s="29" t="s">
        <v>44</v>
      </c>
      <c r="K12" s="32"/>
      <c r="L12" s="33"/>
      <c r="M12" s="30" t="s">
        <v>44</v>
      </c>
      <c r="N12" s="30"/>
      <c r="O12" s="31"/>
    </row>
    <row r="13" spans="1:19" ht="35.1" customHeight="1" x14ac:dyDescent="0.35">
      <c r="A13" s="34" t="s">
        <v>55</v>
      </c>
      <c r="B13" s="30"/>
      <c r="C13" s="30"/>
      <c r="D13" s="34" t="s">
        <v>55</v>
      </c>
      <c r="E13" s="30"/>
      <c r="F13" s="31"/>
      <c r="G13" s="35" t="s">
        <v>55</v>
      </c>
      <c r="H13" s="30"/>
      <c r="I13" s="30"/>
      <c r="J13" s="34" t="s">
        <v>55</v>
      </c>
      <c r="K13" s="32"/>
      <c r="L13" s="33"/>
      <c r="M13" s="35" t="s">
        <v>55</v>
      </c>
      <c r="N13" s="30"/>
      <c r="O13" s="31"/>
    </row>
    <row r="14" spans="1:19" ht="39.9" customHeight="1" x14ac:dyDescent="0.35">
      <c r="A14" s="29"/>
      <c r="B14" s="30"/>
      <c r="C14" s="30"/>
      <c r="D14" s="29"/>
      <c r="E14" s="30"/>
      <c r="F14" s="31"/>
      <c r="G14" s="30"/>
      <c r="H14" s="30"/>
      <c r="I14" s="30"/>
      <c r="J14" s="29"/>
      <c r="K14" s="32"/>
      <c r="L14" s="33"/>
      <c r="M14" s="30"/>
      <c r="N14" s="30"/>
      <c r="O14" s="31"/>
    </row>
    <row r="15" spans="1:19" ht="39.9" customHeight="1" thickBot="1" x14ac:dyDescent="0.4">
      <c r="A15" s="36"/>
      <c r="B15" s="37"/>
      <c r="C15" s="37"/>
      <c r="D15" s="36"/>
      <c r="E15" s="37"/>
      <c r="F15" s="38"/>
      <c r="G15" s="39"/>
      <c r="H15" s="37"/>
      <c r="I15" s="37"/>
      <c r="J15" s="36"/>
      <c r="K15" s="40"/>
      <c r="L15" s="41"/>
      <c r="M15" s="39"/>
      <c r="N15" s="37"/>
      <c r="O15" s="38"/>
    </row>
    <row r="16" spans="1:19" ht="26.1" customHeight="1" x14ac:dyDescent="0.3">
      <c r="A16" s="321" t="s">
        <v>49</v>
      </c>
      <c r="B16" s="322"/>
      <c r="C16" s="323"/>
      <c r="D16" s="321" t="s">
        <v>49</v>
      </c>
      <c r="E16" s="322"/>
      <c r="F16" s="323"/>
      <c r="G16" s="321" t="s">
        <v>49</v>
      </c>
      <c r="H16" s="322"/>
      <c r="I16" s="323"/>
      <c r="J16" s="321" t="s">
        <v>49</v>
      </c>
      <c r="K16" s="322"/>
      <c r="L16" s="323"/>
      <c r="M16" s="321" t="s">
        <v>49</v>
      </c>
      <c r="N16" s="322"/>
      <c r="O16" s="323"/>
    </row>
    <row r="17" spans="1:15" ht="30" customHeight="1" x14ac:dyDescent="0.35">
      <c r="A17" s="287" t="s">
        <v>56</v>
      </c>
      <c r="B17" s="288"/>
      <c r="C17" s="288"/>
      <c r="D17" s="287" t="s">
        <v>56</v>
      </c>
      <c r="E17" s="288"/>
      <c r="F17" s="288"/>
      <c r="G17" s="287" t="s">
        <v>56</v>
      </c>
      <c r="H17" s="288"/>
      <c r="I17" s="288"/>
      <c r="J17" s="287" t="s">
        <v>56</v>
      </c>
      <c r="K17" s="288"/>
      <c r="L17" s="288"/>
      <c r="M17" s="287" t="s">
        <v>56</v>
      </c>
      <c r="N17" s="288"/>
      <c r="O17" s="289"/>
    </row>
    <row r="18" spans="1:15" s="16" customFormat="1" ht="26.1" customHeight="1" x14ac:dyDescent="0.3">
      <c r="A18" s="284" t="s">
        <v>57</v>
      </c>
      <c r="B18" s="285"/>
      <c r="C18" s="285"/>
      <c r="D18" s="284" t="s">
        <v>58</v>
      </c>
      <c r="E18" s="285"/>
      <c r="F18" s="286"/>
      <c r="G18" s="285" t="s">
        <v>59</v>
      </c>
      <c r="H18" s="285"/>
      <c r="I18" s="285"/>
      <c r="J18" s="284" t="s">
        <v>60</v>
      </c>
      <c r="K18" s="285"/>
      <c r="L18" s="286"/>
      <c r="M18" s="285" t="s">
        <v>61</v>
      </c>
      <c r="N18" s="285"/>
      <c r="O18" s="286"/>
    </row>
    <row r="19" spans="1:15" ht="35.1" customHeight="1" x14ac:dyDescent="0.35">
      <c r="A19" s="29" t="s">
        <v>44</v>
      </c>
      <c r="B19" s="30"/>
      <c r="C19" s="30"/>
      <c r="D19" s="29" t="s">
        <v>44</v>
      </c>
      <c r="E19" s="30"/>
      <c r="F19" s="31"/>
      <c r="G19" s="30" t="s">
        <v>44</v>
      </c>
      <c r="H19" s="30"/>
      <c r="I19" s="30"/>
      <c r="J19" s="29" t="s">
        <v>44</v>
      </c>
      <c r="K19" s="30"/>
      <c r="L19" s="31"/>
      <c r="M19" s="30" t="s">
        <v>44</v>
      </c>
      <c r="N19" s="30"/>
      <c r="O19" s="33"/>
    </row>
    <row r="20" spans="1:15" ht="35.1" customHeight="1" x14ac:dyDescent="0.35">
      <c r="A20" s="34" t="s">
        <v>55</v>
      </c>
      <c r="B20" s="30"/>
      <c r="C20" s="30"/>
      <c r="D20" s="34" t="s">
        <v>55</v>
      </c>
      <c r="E20" s="30"/>
      <c r="F20" s="31"/>
      <c r="G20" s="35" t="s">
        <v>55</v>
      </c>
      <c r="H20" s="30"/>
      <c r="I20" s="30"/>
      <c r="J20" s="34" t="s">
        <v>55</v>
      </c>
      <c r="K20" s="30"/>
      <c r="L20" s="31"/>
      <c r="M20" s="35" t="s">
        <v>55</v>
      </c>
      <c r="N20" s="30"/>
      <c r="O20" s="33"/>
    </row>
    <row r="21" spans="1:15" ht="39.9" customHeight="1" x14ac:dyDescent="0.35">
      <c r="A21" s="29"/>
      <c r="B21" s="30"/>
      <c r="C21" s="30"/>
      <c r="D21" s="29"/>
      <c r="E21" s="30"/>
      <c r="F21" s="31"/>
      <c r="G21" s="30"/>
      <c r="H21" s="30"/>
      <c r="I21" s="30"/>
      <c r="J21" s="29"/>
      <c r="K21" s="30"/>
      <c r="L21" s="31"/>
      <c r="M21" s="30"/>
      <c r="N21" s="30"/>
      <c r="O21" s="33"/>
    </row>
    <row r="22" spans="1:15" ht="39.9" customHeight="1" thickBot="1" x14ac:dyDescent="0.4">
      <c r="A22" s="36"/>
      <c r="B22" s="37"/>
      <c r="C22" s="37"/>
      <c r="D22" s="36"/>
      <c r="E22" s="37"/>
      <c r="F22" s="38"/>
      <c r="G22" s="39"/>
      <c r="H22" s="37"/>
      <c r="I22" s="37"/>
      <c r="J22" s="36"/>
      <c r="K22" s="37"/>
      <c r="L22" s="38"/>
      <c r="M22" s="39"/>
      <c r="N22" s="37"/>
      <c r="O22" s="41"/>
    </row>
    <row r="23" spans="1:15" ht="24.75" customHeight="1" x14ac:dyDescent="0.25"/>
    <row r="24" spans="1:15" ht="24.75" customHeight="1" x14ac:dyDescent="0.25"/>
    <row r="25" spans="1:15" ht="24.75" customHeight="1" x14ac:dyDescent="0.25">
      <c r="A25" s="283" t="s">
        <v>63</v>
      </c>
      <c r="B25" s="283"/>
      <c r="C25" s="283"/>
      <c r="D25" s="283"/>
      <c r="E25" s="283"/>
      <c r="F25" s="283"/>
      <c r="G25" s="283"/>
      <c r="H25" s="283"/>
      <c r="I25" s="283"/>
      <c r="J25" s="283"/>
      <c r="K25" s="283"/>
    </row>
    <row r="26" spans="1:15" ht="24.75" customHeight="1" thickBot="1" x14ac:dyDescent="0.3">
      <c r="A26" s="283" t="s">
        <v>823</v>
      </c>
      <c r="B26" s="283"/>
      <c r="C26" s="283"/>
      <c r="D26" s="283"/>
      <c r="E26" s="283"/>
      <c r="F26" s="283"/>
      <c r="G26" s="283"/>
      <c r="H26" s="283"/>
      <c r="I26" s="283"/>
      <c r="J26" s="283"/>
    </row>
    <row r="27" spans="1:15" ht="24.75" customHeight="1" thickBot="1" x14ac:dyDescent="0.3">
      <c r="A27" s="15" t="s">
        <v>51</v>
      </c>
      <c r="B27" s="5"/>
      <c r="C27" s="16"/>
      <c r="E27" s="326">
        <f>+E3</f>
        <v>2024319</v>
      </c>
      <c r="F27" s="327"/>
      <c r="G27" s="16"/>
      <c r="H27" s="328" t="s">
        <v>310</v>
      </c>
      <c r="I27" s="328"/>
      <c r="J27" s="328"/>
      <c r="K27" s="21" t="s">
        <v>311</v>
      </c>
      <c r="L27" s="21" t="s">
        <v>312</v>
      </c>
      <c r="M27" s="21" t="s">
        <v>313</v>
      </c>
      <c r="N27" s="21" t="s">
        <v>314</v>
      </c>
    </row>
    <row r="28" spans="1:15" ht="24.75" customHeight="1" thickBot="1" x14ac:dyDescent="0.3">
      <c r="A28" s="15" t="s">
        <v>84</v>
      </c>
      <c r="B28" s="5"/>
      <c r="C28" s="16"/>
      <c r="E28" s="298">
        <f ca="1">+E4</f>
        <v>45364</v>
      </c>
      <c r="F28" s="299"/>
      <c r="G28" s="299" t="e">
        <f>VLOOKUP(#REF!,CODIGOS!#REF!,2,)</f>
        <v>#REF!</v>
      </c>
      <c r="H28" s="324"/>
      <c r="I28" s="16"/>
      <c r="J28" s="16"/>
      <c r="L28" s="18" t="s">
        <v>41</v>
      </c>
      <c r="M28" s="281" t="str">
        <f>VLOOKUP(E3,CODIGOS!A1:L584,2,)</f>
        <v>5° Sec</v>
      </c>
      <c r="N28" s="282"/>
      <c r="O28" s="16"/>
    </row>
    <row r="29" spans="1:15" ht="24.75" customHeight="1" thickBot="1" x14ac:dyDescent="0.3">
      <c r="A29" s="22" t="s">
        <v>88</v>
      </c>
      <c r="B29" s="23"/>
      <c r="C29" s="24"/>
      <c r="D29" s="24"/>
      <c r="E29" s="25"/>
      <c r="F29" s="25"/>
      <c r="G29" s="329">
        <f>VLOOKUP(E27,CODIGOS!A1:L563,10,)</f>
        <v>627</v>
      </c>
      <c r="H29" s="330"/>
      <c r="I29" s="26" t="s">
        <v>87</v>
      </c>
      <c r="J29" s="27"/>
      <c r="K29" s="28" t="str">
        <f>VLOOKUP(E27,CODIGOS!A1:L563,8,)</f>
        <v/>
      </c>
      <c r="L29" s="18" t="s">
        <v>40</v>
      </c>
      <c r="M29" s="318" t="str">
        <f>VLOOKUP(E27,CODIGOS!A1:L563,12,)</f>
        <v>SECUNDARIA</v>
      </c>
      <c r="N29" s="319"/>
      <c r="O29" s="320"/>
    </row>
    <row r="30" spans="1:15" ht="24.75" customHeight="1" thickBot="1" x14ac:dyDescent="0.3">
      <c r="A30" s="15" t="s">
        <v>39</v>
      </c>
      <c r="B30" s="5"/>
      <c r="C30" s="16"/>
      <c r="E30" s="331" t="str">
        <f>VLOOKUP(E27,CODIGOS!A1:L563,3,)</f>
        <v>Rojas Arias Alvaro Fabricio</v>
      </c>
      <c r="F30" s="332"/>
      <c r="G30" s="332"/>
      <c r="H30" s="332"/>
      <c r="I30" s="332"/>
      <c r="J30" s="332"/>
      <c r="K30" s="332"/>
      <c r="L30" s="332"/>
      <c r="M30" s="332"/>
      <c r="N30" s="332"/>
      <c r="O30" s="333"/>
    </row>
    <row r="31" spans="1:15" ht="26.1" customHeight="1" x14ac:dyDescent="0.3">
      <c r="A31" s="321" t="s">
        <v>49</v>
      </c>
      <c r="B31" s="322"/>
      <c r="C31" s="323"/>
      <c r="D31" s="321" t="s">
        <v>49</v>
      </c>
      <c r="E31" s="322"/>
      <c r="F31" s="323"/>
      <c r="G31" s="321" t="s">
        <v>49</v>
      </c>
      <c r="H31" s="322"/>
      <c r="I31" s="323"/>
      <c r="J31" s="321" t="s">
        <v>49</v>
      </c>
      <c r="K31" s="322"/>
      <c r="L31" s="323"/>
      <c r="M31" s="321" t="s">
        <v>49</v>
      </c>
      <c r="N31" s="322"/>
      <c r="O31" s="323"/>
    </row>
    <row r="32" spans="1:15" ht="30" customHeight="1" x14ac:dyDescent="0.35">
      <c r="A32" s="287" t="s">
        <v>56</v>
      </c>
      <c r="B32" s="288"/>
      <c r="C32" s="288"/>
      <c r="D32" s="287" t="s">
        <v>56</v>
      </c>
      <c r="E32" s="288"/>
      <c r="F32" s="288"/>
      <c r="G32" s="287" t="s">
        <v>56</v>
      </c>
      <c r="H32" s="288"/>
      <c r="I32" s="288"/>
      <c r="J32" s="287" t="s">
        <v>56</v>
      </c>
      <c r="K32" s="288"/>
      <c r="L32" s="288"/>
      <c r="M32" s="287" t="s">
        <v>56</v>
      </c>
      <c r="N32" s="288"/>
      <c r="O32" s="289"/>
    </row>
    <row r="33" spans="1:15" s="16" customFormat="1" ht="26.1" customHeight="1" x14ac:dyDescent="0.3">
      <c r="A33" s="284" t="s">
        <v>43</v>
      </c>
      <c r="B33" s="285"/>
      <c r="C33" s="285"/>
      <c r="D33" s="284" t="s">
        <v>45</v>
      </c>
      <c r="E33" s="285"/>
      <c r="F33" s="286"/>
      <c r="G33" s="285" t="s">
        <v>46</v>
      </c>
      <c r="H33" s="285"/>
      <c r="I33" s="285"/>
      <c r="J33" s="284" t="s">
        <v>47</v>
      </c>
      <c r="K33" s="285"/>
      <c r="L33" s="286"/>
      <c r="M33" s="285" t="s">
        <v>48</v>
      </c>
      <c r="N33" s="285"/>
      <c r="O33" s="286"/>
    </row>
    <row r="34" spans="1:15" ht="35.1" customHeight="1" x14ac:dyDescent="0.35">
      <c r="A34" s="29" t="s">
        <v>44</v>
      </c>
      <c r="B34" s="30"/>
      <c r="C34" s="30"/>
      <c r="D34" s="29" t="s">
        <v>44</v>
      </c>
      <c r="E34" s="30"/>
      <c r="F34" s="31"/>
      <c r="G34" s="30" t="s">
        <v>44</v>
      </c>
      <c r="H34" s="30"/>
      <c r="I34" s="30"/>
      <c r="J34" s="29" t="s">
        <v>44</v>
      </c>
      <c r="K34" s="32"/>
      <c r="L34" s="33"/>
      <c r="M34" s="30" t="s">
        <v>44</v>
      </c>
      <c r="N34" s="30"/>
      <c r="O34" s="31"/>
    </row>
    <row r="35" spans="1:15" ht="35.1" customHeight="1" x14ac:dyDescent="0.35">
      <c r="A35" s="34" t="s">
        <v>55</v>
      </c>
      <c r="B35" s="30"/>
      <c r="C35" s="30"/>
      <c r="D35" s="34" t="s">
        <v>55</v>
      </c>
      <c r="E35" s="30"/>
      <c r="F35" s="31"/>
      <c r="G35" s="35" t="s">
        <v>55</v>
      </c>
      <c r="H35" s="30"/>
      <c r="I35" s="30"/>
      <c r="J35" s="34" t="s">
        <v>55</v>
      </c>
      <c r="K35" s="32"/>
      <c r="L35" s="33"/>
      <c r="M35" s="35" t="s">
        <v>55</v>
      </c>
      <c r="N35" s="30"/>
      <c r="O35" s="31"/>
    </row>
    <row r="36" spans="1:15" ht="39.9" customHeight="1" x14ac:dyDescent="0.35">
      <c r="A36" s="29"/>
      <c r="B36" s="30"/>
      <c r="C36" s="30"/>
      <c r="D36" s="29"/>
      <c r="E36" s="30"/>
      <c r="F36" s="31"/>
      <c r="G36" s="30"/>
      <c r="H36" s="30"/>
      <c r="I36" s="30"/>
      <c r="J36" s="29"/>
      <c r="K36" s="32"/>
      <c r="L36" s="33"/>
      <c r="M36" s="30"/>
      <c r="N36" s="30"/>
      <c r="O36" s="31"/>
    </row>
    <row r="37" spans="1:15" ht="39.9" customHeight="1" thickBot="1" x14ac:dyDescent="0.4">
      <c r="A37" s="36"/>
      <c r="B37" s="37"/>
      <c r="C37" s="37"/>
      <c r="D37" s="36"/>
      <c r="E37" s="37"/>
      <c r="F37" s="38"/>
      <c r="G37" s="39"/>
      <c r="H37" s="37"/>
      <c r="I37" s="37"/>
      <c r="J37" s="36"/>
      <c r="K37" s="40"/>
      <c r="L37" s="41"/>
      <c r="M37" s="39"/>
      <c r="N37" s="37"/>
      <c r="O37" s="38"/>
    </row>
    <row r="38" spans="1:15" ht="30" customHeight="1" x14ac:dyDescent="0.3">
      <c r="A38" s="321" t="s">
        <v>49</v>
      </c>
      <c r="B38" s="322"/>
      <c r="C38" s="323"/>
      <c r="D38" s="321" t="s">
        <v>49</v>
      </c>
      <c r="E38" s="322"/>
      <c r="F38" s="323"/>
      <c r="G38" s="321" t="s">
        <v>49</v>
      </c>
      <c r="H38" s="322"/>
      <c r="I38" s="323"/>
      <c r="J38" s="321" t="s">
        <v>49</v>
      </c>
      <c r="K38" s="322"/>
      <c r="L38" s="323"/>
      <c r="M38" s="321" t="s">
        <v>49</v>
      </c>
      <c r="N38" s="322"/>
      <c r="O38" s="323"/>
    </row>
    <row r="39" spans="1:15" ht="30" customHeight="1" x14ac:dyDescent="0.35">
      <c r="A39" s="287" t="s">
        <v>56</v>
      </c>
      <c r="B39" s="288"/>
      <c r="C39" s="288"/>
      <c r="D39" s="287" t="s">
        <v>56</v>
      </c>
      <c r="E39" s="288"/>
      <c r="F39" s="288"/>
      <c r="G39" s="287" t="s">
        <v>56</v>
      </c>
      <c r="H39" s="288"/>
      <c r="I39" s="288"/>
      <c r="J39" s="287" t="s">
        <v>56</v>
      </c>
      <c r="K39" s="288"/>
      <c r="L39" s="288"/>
      <c r="M39" s="287" t="s">
        <v>56</v>
      </c>
      <c r="N39" s="288"/>
      <c r="O39" s="289"/>
    </row>
    <row r="40" spans="1:15" s="16" customFormat="1" ht="26.1" customHeight="1" x14ac:dyDescent="0.3">
      <c r="A40" s="284" t="s">
        <v>57</v>
      </c>
      <c r="B40" s="285"/>
      <c r="C40" s="285"/>
      <c r="D40" s="284" t="s">
        <v>58</v>
      </c>
      <c r="E40" s="285"/>
      <c r="F40" s="286"/>
      <c r="G40" s="285" t="s">
        <v>59</v>
      </c>
      <c r="H40" s="285"/>
      <c r="I40" s="285"/>
      <c r="J40" s="284" t="s">
        <v>60</v>
      </c>
      <c r="K40" s="285"/>
      <c r="L40" s="286"/>
      <c r="M40" s="285" t="s">
        <v>61</v>
      </c>
      <c r="N40" s="285"/>
      <c r="O40" s="286"/>
    </row>
    <row r="41" spans="1:15" ht="30" customHeight="1" x14ac:dyDescent="0.35">
      <c r="A41" s="29" t="s">
        <v>44</v>
      </c>
      <c r="B41" s="30"/>
      <c r="C41" s="30"/>
      <c r="D41" s="29" t="s">
        <v>44</v>
      </c>
      <c r="E41" s="30"/>
      <c r="F41" s="31"/>
      <c r="G41" s="30" t="s">
        <v>44</v>
      </c>
      <c r="H41" s="30"/>
      <c r="I41" s="30"/>
      <c r="J41" s="29" t="s">
        <v>44</v>
      </c>
      <c r="K41" s="30"/>
      <c r="L41" s="31"/>
      <c r="M41" s="30" t="s">
        <v>44</v>
      </c>
      <c r="N41" s="30"/>
      <c r="O41" s="33"/>
    </row>
    <row r="42" spans="1:15" ht="35.1" customHeight="1" x14ac:dyDescent="0.35">
      <c r="A42" s="34" t="s">
        <v>55</v>
      </c>
      <c r="B42" s="30"/>
      <c r="C42" s="30"/>
      <c r="D42" s="34" t="s">
        <v>55</v>
      </c>
      <c r="E42" s="30"/>
      <c r="F42" s="31"/>
      <c r="G42" s="35" t="s">
        <v>55</v>
      </c>
      <c r="H42" s="30"/>
      <c r="I42" s="30"/>
      <c r="J42" s="34" t="s">
        <v>55</v>
      </c>
      <c r="K42" s="30"/>
      <c r="L42" s="31"/>
      <c r="M42" s="35" t="s">
        <v>55</v>
      </c>
      <c r="N42" s="30"/>
      <c r="O42" s="33"/>
    </row>
    <row r="43" spans="1:15" ht="39.9" customHeight="1" x14ac:dyDescent="0.35">
      <c r="A43" s="29"/>
      <c r="B43" s="30"/>
      <c r="C43" s="30"/>
      <c r="D43" s="29"/>
      <c r="E43" s="30"/>
      <c r="F43" s="31"/>
      <c r="G43" s="30"/>
      <c r="H43" s="30"/>
      <c r="I43" s="30"/>
      <c r="J43" s="29"/>
      <c r="K43" s="30"/>
      <c r="L43" s="31"/>
      <c r="M43" s="30"/>
      <c r="N43" s="30"/>
      <c r="O43" s="33"/>
    </row>
    <row r="44" spans="1:15" ht="39.9" customHeight="1" thickBot="1" x14ac:dyDescent="0.4">
      <c r="A44" s="36"/>
      <c r="B44" s="37"/>
      <c r="C44" s="37"/>
      <c r="D44" s="36"/>
      <c r="E44" s="37"/>
      <c r="F44" s="38"/>
      <c r="G44" s="39"/>
      <c r="H44" s="37"/>
      <c r="I44" s="37"/>
      <c r="J44" s="36"/>
      <c r="K44" s="37"/>
      <c r="L44" s="38"/>
      <c r="M44" s="39"/>
      <c r="N44" s="37"/>
      <c r="O44" s="41"/>
    </row>
  </sheetData>
  <sheetProtection algorithmName="SHA-512" hashValue="hacSrNvQerP9Ky7SKB1DymdaKw1nVZZk7wbE6kVS1u6uf1aJha8AL9hhIxf0QM8vygmkWUdlflk0jXt56nyMjA==" saltValue="F0iVjCN+loj32ezApl3M8g==" spinCount="100000" sheet="1" objects="1" scenarios="1"/>
  <mergeCells count="83">
    <mergeCell ref="M40:O40"/>
    <mergeCell ref="A1:J2"/>
    <mergeCell ref="A31:C31"/>
    <mergeCell ref="D31:F31"/>
    <mergeCell ref="G31:I31"/>
    <mergeCell ref="J31:L31"/>
    <mergeCell ref="A40:C40"/>
    <mergeCell ref="D40:F40"/>
    <mergeCell ref="G40:I40"/>
    <mergeCell ref="J40:L40"/>
    <mergeCell ref="M38:O38"/>
    <mergeCell ref="A39:C39"/>
    <mergeCell ref="D39:F39"/>
    <mergeCell ref="G39:I39"/>
    <mergeCell ref="J39:L39"/>
    <mergeCell ref="M31:O31"/>
    <mergeCell ref="G29:H29"/>
    <mergeCell ref="E30:O30"/>
    <mergeCell ref="M29:O29"/>
    <mergeCell ref="M39:O39"/>
    <mergeCell ref="J32:L32"/>
    <mergeCell ref="G38:I38"/>
    <mergeCell ref="J38:L38"/>
    <mergeCell ref="M32:O32"/>
    <mergeCell ref="A9:C9"/>
    <mergeCell ref="D9:F9"/>
    <mergeCell ref="G9:I9"/>
    <mergeCell ref="J9:L9"/>
    <mergeCell ref="E27:F27"/>
    <mergeCell ref="A10:C10"/>
    <mergeCell ref="D16:F16"/>
    <mergeCell ref="A16:C16"/>
    <mergeCell ref="H27:J27"/>
    <mergeCell ref="M16:O16"/>
    <mergeCell ref="J16:L16"/>
    <mergeCell ref="G16:I16"/>
    <mergeCell ref="M11:O11"/>
    <mergeCell ref="A38:C38"/>
    <mergeCell ref="D38:F38"/>
    <mergeCell ref="A25:K25"/>
    <mergeCell ref="E28:H28"/>
    <mergeCell ref="A32:C32"/>
    <mergeCell ref="D32:F32"/>
    <mergeCell ref="G32:I32"/>
    <mergeCell ref="A33:C33"/>
    <mergeCell ref="D33:F33"/>
    <mergeCell ref="G33:I33"/>
    <mergeCell ref="J33:L33"/>
    <mergeCell ref="M33:O33"/>
    <mergeCell ref="E8:O8"/>
    <mergeCell ref="D7:E7"/>
    <mergeCell ref="F7:H7"/>
    <mergeCell ref="I7:J7"/>
    <mergeCell ref="M10:O10"/>
    <mergeCell ref="J10:L10"/>
    <mergeCell ref="G10:I10"/>
    <mergeCell ref="L7:O7"/>
    <mergeCell ref="D10:F10"/>
    <mergeCell ref="M9:O9"/>
    <mergeCell ref="I3:K3"/>
    <mergeCell ref="L5:O5"/>
    <mergeCell ref="L6:M6"/>
    <mergeCell ref="E3:F3"/>
    <mergeCell ref="E4:H4"/>
    <mergeCell ref="E5:J5"/>
    <mergeCell ref="E6:J6"/>
    <mergeCell ref="L4:O4"/>
    <mergeCell ref="M28:N28"/>
    <mergeCell ref="A26:J26"/>
    <mergeCell ref="D11:F11"/>
    <mergeCell ref="G11:I11"/>
    <mergeCell ref="J11:L11"/>
    <mergeCell ref="A18:C18"/>
    <mergeCell ref="J18:L18"/>
    <mergeCell ref="M18:O18"/>
    <mergeCell ref="D17:F17"/>
    <mergeCell ref="G17:I17"/>
    <mergeCell ref="J17:L17"/>
    <mergeCell ref="M17:O17"/>
    <mergeCell ref="D18:F18"/>
    <mergeCell ref="G18:I18"/>
    <mergeCell ref="A17:C17"/>
    <mergeCell ref="A11:C11"/>
  </mergeCells>
  <printOptions horizontalCentered="1"/>
  <pageMargins left="0.48" right="0" top="0.24" bottom="0.22" header="0.27" footer="0.14000000000000001"/>
  <pageSetup paperSize="345" scale="63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A1:M18"/>
  <sheetViews>
    <sheetView topLeftCell="A2" workbookViewId="0">
      <selection activeCell="D8" sqref="D8"/>
    </sheetView>
  </sheetViews>
  <sheetFormatPr baseColWidth="10" defaultRowHeight="14.4" x14ac:dyDescent="0.3"/>
  <cols>
    <col min="1" max="1" width="17.109375" customWidth="1"/>
    <col min="2" max="2" width="17.5546875" bestFit="1" customWidth="1"/>
  </cols>
  <sheetData>
    <row r="1" spans="1:13" ht="33" customHeight="1" x14ac:dyDescent="0.3"/>
    <row r="2" spans="1:13" ht="33" customHeight="1" x14ac:dyDescent="0.3"/>
    <row r="3" spans="1:13" ht="33" customHeight="1" x14ac:dyDescent="0.3"/>
    <row r="4" spans="1:13" x14ac:dyDescent="0.3">
      <c r="A4" s="6" t="s">
        <v>64</v>
      </c>
      <c r="B4" s="7" t="s">
        <v>65</v>
      </c>
      <c r="C4" s="335" t="s">
        <v>66</v>
      </c>
      <c r="D4" s="335"/>
      <c r="E4" s="335" t="s">
        <v>67</v>
      </c>
      <c r="F4" s="335"/>
      <c r="G4" s="335" t="s">
        <v>68</v>
      </c>
      <c r="H4" s="335"/>
      <c r="I4" s="335" t="s">
        <v>69</v>
      </c>
      <c r="J4" s="335"/>
      <c r="K4" s="335" t="s">
        <v>70</v>
      </c>
      <c r="L4" s="335"/>
      <c r="M4" s="2"/>
    </row>
    <row r="5" spans="1:13" x14ac:dyDescent="0.3">
      <c r="A5" s="8" t="s">
        <v>74</v>
      </c>
      <c r="B5" s="9" t="s">
        <v>73</v>
      </c>
      <c r="C5" s="10" t="s">
        <v>71</v>
      </c>
      <c r="D5" s="10" t="s">
        <v>72</v>
      </c>
      <c r="E5" s="10" t="s">
        <v>71</v>
      </c>
      <c r="F5" s="10" t="s">
        <v>72</v>
      </c>
      <c r="G5" s="10" t="s">
        <v>71</v>
      </c>
      <c r="H5" s="10" t="s">
        <v>72</v>
      </c>
      <c r="I5" s="10" t="s">
        <v>71</v>
      </c>
      <c r="J5" s="10" t="s">
        <v>72</v>
      </c>
      <c r="K5" s="10" t="s">
        <v>71</v>
      </c>
      <c r="L5" s="10" t="s">
        <v>72</v>
      </c>
      <c r="M5" s="2"/>
    </row>
    <row r="6" spans="1:13" s="4" customFormat="1" ht="41.25" customHeight="1" x14ac:dyDescent="0.3">
      <c r="A6" s="11" t="s">
        <v>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5"/>
    </row>
    <row r="7" spans="1:13" s="4" customFormat="1" ht="41.25" customHeight="1" x14ac:dyDescent="0.3">
      <c r="A7" s="12" t="s">
        <v>76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5"/>
    </row>
    <row r="8" spans="1:13" s="4" customFormat="1" ht="41.25" customHeight="1" x14ac:dyDescent="0.3">
      <c r="A8" s="11" t="s">
        <v>82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5"/>
    </row>
    <row r="9" spans="1:13" s="4" customFormat="1" ht="41.25" customHeight="1" x14ac:dyDescent="0.3">
      <c r="A9" s="11" t="s">
        <v>83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5"/>
    </row>
    <row r="10" spans="1:13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3">
      <c r="A12" s="6" t="s">
        <v>64</v>
      </c>
      <c r="B12" s="7" t="s">
        <v>65</v>
      </c>
      <c r="C12" s="335" t="s">
        <v>77</v>
      </c>
      <c r="D12" s="335"/>
      <c r="E12" s="335" t="s">
        <v>78</v>
      </c>
      <c r="F12" s="335"/>
      <c r="G12" s="335" t="s">
        <v>79</v>
      </c>
      <c r="H12" s="335"/>
      <c r="I12" s="335" t="s">
        <v>80</v>
      </c>
      <c r="J12" s="335"/>
      <c r="K12" s="335" t="s">
        <v>81</v>
      </c>
      <c r="L12" s="335"/>
      <c r="M12" s="2"/>
    </row>
    <row r="13" spans="1:13" x14ac:dyDescent="0.3">
      <c r="A13" s="8" t="s">
        <v>74</v>
      </c>
      <c r="B13" s="9" t="s">
        <v>73</v>
      </c>
      <c r="C13" s="10" t="s">
        <v>71</v>
      </c>
      <c r="D13" s="10" t="s">
        <v>72</v>
      </c>
      <c r="E13" s="10" t="s">
        <v>71</v>
      </c>
      <c r="F13" s="10" t="s">
        <v>72</v>
      </c>
      <c r="G13" s="10" t="s">
        <v>71</v>
      </c>
      <c r="H13" s="10" t="s">
        <v>72</v>
      </c>
      <c r="I13" s="10" t="s">
        <v>71</v>
      </c>
      <c r="J13" s="10" t="s">
        <v>72</v>
      </c>
      <c r="K13" s="10" t="s">
        <v>71</v>
      </c>
      <c r="L13" s="10" t="s">
        <v>72</v>
      </c>
      <c r="M13" s="2"/>
    </row>
    <row r="14" spans="1:13" ht="39" customHeight="1" x14ac:dyDescent="0.3">
      <c r="A14" s="11" t="s">
        <v>75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2"/>
    </row>
    <row r="15" spans="1:13" ht="39" customHeight="1" x14ac:dyDescent="0.3">
      <c r="A15" s="12" t="s">
        <v>76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2"/>
    </row>
    <row r="16" spans="1:13" s="4" customFormat="1" ht="39" customHeight="1" x14ac:dyDescent="0.3">
      <c r="A16" s="11" t="s">
        <v>82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5"/>
    </row>
    <row r="17" spans="1:13" s="4" customFormat="1" ht="39" customHeight="1" x14ac:dyDescent="0.3">
      <c r="A17" s="11" t="s">
        <v>83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5"/>
    </row>
    <row r="18" spans="1:13" ht="39" customHeight="1" x14ac:dyDescent="0.3"/>
  </sheetData>
  <sheetProtection algorithmName="SHA-512" hashValue="z71+4siZ3Mg7yqF88+dQ8pi5dxYWrgGp2T5+OJRLWvuVum9f3lOiav8R6GJqlEFJaGxPKkzdfoCjURVC6sNBCg==" saltValue="UeIJbTY0/eyVvBwL8LWZkQ==" spinCount="100000" sheet="1" objects="1" scenarios="1"/>
  <mergeCells count="10">
    <mergeCell ref="C12:D12"/>
    <mergeCell ref="E12:F12"/>
    <mergeCell ref="G12:H12"/>
    <mergeCell ref="I12:J12"/>
    <mergeCell ref="K12:L12"/>
    <mergeCell ref="C4:D4"/>
    <mergeCell ref="E4:F4"/>
    <mergeCell ref="G4:H4"/>
    <mergeCell ref="I4:J4"/>
    <mergeCell ref="K4:L4"/>
  </mergeCells>
  <printOptions horizontalCentered="1"/>
  <pageMargins left="0.15748031496062992" right="0.59055118110236227" top="6.771653543307087" bottom="0.38" header="0.31496062992125984" footer="0.11811023622047245"/>
  <pageSetup paperSize="345" scale="65" fitToHeight="0"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4"/>
    <pageSetUpPr fitToPage="1"/>
  </sheetPr>
  <dimension ref="A1:E860"/>
  <sheetViews>
    <sheetView zoomScale="120" zoomScaleNormal="12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baseColWidth="10" defaultColWidth="11.5546875" defaultRowHeight="14.4" x14ac:dyDescent="0.3"/>
  <cols>
    <col min="1" max="1" width="11.6640625" customWidth="1"/>
    <col min="2" max="2" width="53.44140625" bestFit="1" customWidth="1"/>
    <col min="4" max="4" width="10.88671875" customWidth="1"/>
    <col min="5" max="5" width="17.5546875" customWidth="1"/>
  </cols>
  <sheetData>
    <row r="1" spans="1:5" ht="17.399999999999999" x14ac:dyDescent="0.3">
      <c r="A1" s="336" t="s">
        <v>316</v>
      </c>
      <c r="B1" s="336"/>
      <c r="C1" s="336"/>
      <c r="D1" s="336"/>
      <c r="E1" s="336"/>
    </row>
    <row r="2" spans="1:5" ht="22.2" x14ac:dyDescent="0.35">
      <c r="A2" s="336" t="s">
        <v>825</v>
      </c>
      <c r="B2" s="336"/>
      <c r="C2" s="336"/>
      <c r="D2" s="336"/>
      <c r="E2" s="336"/>
    </row>
    <row r="3" spans="1:5" ht="15.6" x14ac:dyDescent="0.3">
      <c r="A3" s="89" t="s">
        <v>29</v>
      </c>
      <c r="B3" s="90" t="s">
        <v>37</v>
      </c>
      <c r="C3" s="91" t="s">
        <v>317</v>
      </c>
      <c r="D3" s="91" t="s">
        <v>318</v>
      </c>
      <c r="E3" s="91" t="s">
        <v>319</v>
      </c>
    </row>
    <row r="4" spans="1:5" x14ac:dyDescent="0.3">
      <c r="A4" s="92">
        <f>CODIGOS!A2</f>
        <v>2024001</v>
      </c>
      <c r="B4" s="93" t="str">
        <f>CODIGOS!C2</f>
        <v>Acha Terrazas Samantha Isabela</v>
      </c>
      <c r="C4" s="49"/>
      <c r="D4" s="49"/>
      <c r="E4" s="49"/>
    </row>
    <row r="5" spans="1:5" x14ac:dyDescent="0.3">
      <c r="A5" s="92">
        <f>CODIGOS!A3</f>
        <v>2024002</v>
      </c>
      <c r="B5" s="93" t="str">
        <f>CODIGOS!C3</f>
        <v>Agreda Alvarez Isabella Eduarda</v>
      </c>
      <c r="C5" s="50"/>
      <c r="D5" s="50"/>
      <c r="E5" s="50"/>
    </row>
    <row r="6" spans="1:5" x14ac:dyDescent="0.3">
      <c r="A6" s="92">
        <f>CODIGOS!A4</f>
        <v>2024003</v>
      </c>
      <c r="B6" s="93" t="str">
        <f>CODIGOS!C4</f>
        <v>Aguayo Stofel Bruno Cristian</v>
      </c>
      <c r="C6" s="50"/>
      <c r="D6" s="50"/>
      <c r="E6" s="50"/>
    </row>
    <row r="7" spans="1:5" x14ac:dyDescent="0.3">
      <c r="A7" s="92">
        <f>CODIGOS!A5</f>
        <v>2024004</v>
      </c>
      <c r="B7" s="93" t="str">
        <f>CODIGOS!C5</f>
        <v>Aguila Sejas Adrian - Matias</v>
      </c>
      <c r="C7" s="50"/>
      <c r="D7" s="50"/>
      <c r="E7" s="50"/>
    </row>
    <row r="8" spans="1:5" x14ac:dyDescent="0.3">
      <c r="A8" s="92">
        <f>CODIGOS!A6</f>
        <v>2024005</v>
      </c>
      <c r="B8" s="93" t="str">
        <f>CODIGOS!C6</f>
        <v>Aguilar Eguez Oscar Fabian</v>
      </c>
      <c r="C8" s="50"/>
      <c r="D8" s="50"/>
      <c r="E8" s="50"/>
    </row>
    <row r="9" spans="1:5" x14ac:dyDescent="0.3">
      <c r="A9" s="92">
        <f>CODIGOS!A7</f>
        <v>2024006</v>
      </c>
      <c r="B9" s="93" t="str">
        <f>CODIGOS!C7</f>
        <v>Alcocer Gutierrez Noah Francisco</v>
      </c>
      <c r="C9" s="50"/>
      <c r="D9" s="50"/>
      <c r="E9" s="50"/>
    </row>
    <row r="10" spans="1:5" x14ac:dyDescent="0.3">
      <c r="A10" s="92">
        <f>CODIGOS!A8</f>
        <v>2024007</v>
      </c>
      <c r="B10" s="93" t="str">
        <f>CODIGOS!C8</f>
        <v>Aldazoro Mendoza Adan Andres</v>
      </c>
      <c r="C10" s="50"/>
      <c r="D10" s="50"/>
      <c r="E10" s="50"/>
    </row>
    <row r="11" spans="1:5" x14ac:dyDescent="0.3">
      <c r="A11" s="92">
        <f>CODIGOS!A9</f>
        <v>2024008</v>
      </c>
      <c r="B11" s="93" t="str">
        <f>CODIGOS!C9</f>
        <v>Almanza Merida Alejandra</v>
      </c>
      <c r="C11" s="50"/>
      <c r="D11" s="50"/>
      <c r="E11" s="50"/>
    </row>
    <row r="12" spans="1:5" x14ac:dyDescent="0.3">
      <c r="A12" s="92">
        <f>CODIGOS!A10</f>
        <v>2024009</v>
      </c>
      <c r="B12" s="93" t="str">
        <f>CODIGOS!C10</f>
        <v>Almanza Soria Andres Maximo</v>
      </c>
      <c r="C12" s="50"/>
      <c r="D12" s="50"/>
      <c r="E12" s="50"/>
    </row>
    <row r="13" spans="1:5" x14ac:dyDescent="0.3">
      <c r="A13" s="92">
        <f>CODIGOS!A11</f>
        <v>2024318</v>
      </c>
      <c r="B13" s="93" t="str">
        <f>CODIGOS!C11</f>
        <v>Almeida Tobias Beck</v>
      </c>
      <c r="C13" s="50"/>
      <c r="D13" s="50"/>
      <c r="E13" s="50"/>
    </row>
    <row r="14" spans="1:5" x14ac:dyDescent="0.3">
      <c r="A14" s="92">
        <f>CODIGOS!A12</f>
        <v>2024010</v>
      </c>
      <c r="B14" s="93" t="str">
        <f>CODIGOS!C12</f>
        <v>Alvarez Chaira Vivian Alicira</v>
      </c>
      <c r="C14" s="50"/>
      <c r="D14" s="50"/>
      <c r="E14" s="50"/>
    </row>
    <row r="15" spans="1:5" x14ac:dyDescent="0.3">
      <c r="A15" s="92">
        <f>CODIGOS!A13</f>
        <v>2024011</v>
      </c>
      <c r="B15" s="93" t="str">
        <f>CODIGOS!C13</f>
        <v>Amurrio Ivanovic Ethan Tomislav</v>
      </c>
      <c r="C15" s="50"/>
      <c r="D15" s="50"/>
      <c r="E15" s="50"/>
    </row>
    <row r="16" spans="1:5" x14ac:dyDescent="0.3">
      <c r="A16" s="92">
        <f>CODIGOS!A14</f>
        <v>2024012</v>
      </c>
      <c r="B16" s="93" t="str">
        <f>CODIGOS!C14</f>
        <v>Anaya Gutierrez Luciana Beatriz</v>
      </c>
      <c r="C16" s="50"/>
      <c r="D16" s="50"/>
      <c r="E16" s="50"/>
    </row>
    <row r="17" spans="1:5" x14ac:dyDescent="0.3">
      <c r="A17" s="92">
        <f>CODIGOS!A15</f>
        <v>2024013</v>
      </c>
      <c r="B17" s="93" t="str">
        <f>CODIGOS!C15</f>
        <v>Andrade Gonzales Luciana</v>
      </c>
      <c r="C17" s="50"/>
      <c r="D17" s="50"/>
      <c r="E17" s="50"/>
    </row>
    <row r="18" spans="1:5" x14ac:dyDescent="0.3">
      <c r="A18" s="92">
        <f>CODIGOS!A16</f>
        <v>2024014</v>
      </c>
      <c r="B18" s="93" t="str">
        <f>CODIGOS!C16</f>
        <v>Angulo Balderrama Fabricio - Santiago</v>
      </c>
      <c r="C18" s="50"/>
      <c r="D18" s="50"/>
      <c r="E18" s="50"/>
    </row>
    <row r="19" spans="1:5" x14ac:dyDescent="0.3">
      <c r="A19" s="92">
        <f>CODIGOS!A17</f>
        <v>2024015</v>
      </c>
      <c r="B19" s="93" t="str">
        <f>CODIGOS!C17</f>
        <v>Antezana Aranibar Javier Leandro</v>
      </c>
      <c r="C19" s="50"/>
      <c r="D19" s="50"/>
      <c r="E19" s="50"/>
    </row>
    <row r="20" spans="1:5" x14ac:dyDescent="0.3">
      <c r="A20" s="92">
        <f>CODIGOS!A18</f>
        <v>2024016</v>
      </c>
      <c r="B20" s="93" t="str">
        <f>CODIGOS!C18</f>
        <v>Antezana Rojas Andrea Abril</v>
      </c>
      <c r="C20" s="50"/>
      <c r="D20" s="50"/>
      <c r="E20" s="50"/>
    </row>
    <row r="21" spans="1:5" x14ac:dyDescent="0.3">
      <c r="A21" s="92">
        <f>CODIGOS!A19</f>
        <v>2024017</v>
      </c>
      <c r="B21" s="93" t="str">
        <f>CODIGOS!C19</f>
        <v>Antezana Rojas Santiago Israel - Mateo Isaac</v>
      </c>
      <c r="C21" s="50"/>
      <c r="D21" s="50"/>
      <c r="E21" s="50"/>
    </row>
    <row r="22" spans="1:5" x14ac:dyDescent="0.3">
      <c r="A22" s="92">
        <f>CODIGOS!A20</f>
        <v>2024018</v>
      </c>
      <c r="B22" s="93" t="str">
        <f>CODIGOS!C20</f>
        <v>Antezana Torrez Maite Valentina - Matias Andre</v>
      </c>
      <c r="C22" s="50"/>
      <c r="D22" s="50"/>
      <c r="E22" s="50"/>
    </row>
    <row r="23" spans="1:5" x14ac:dyDescent="0.3">
      <c r="A23" s="92">
        <f>CODIGOS!A21</f>
        <v>2024019</v>
      </c>
      <c r="B23" s="93" t="str">
        <f>CODIGOS!C21</f>
        <v>Apaza Carrasco Esther Julia</v>
      </c>
      <c r="C23" s="50"/>
      <c r="D23" s="50"/>
      <c r="E23" s="50"/>
    </row>
    <row r="24" spans="1:5" x14ac:dyDescent="0.3">
      <c r="A24" s="92">
        <f>CODIGOS!A22</f>
        <v>2024020</v>
      </c>
      <c r="B24" s="93" t="str">
        <f>CODIGOS!C22</f>
        <v>Arandia Cahuana Alissa - Matias</v>
      </c>
      <c r="C24" s="50"/>
      <c r="D24" s="50"/>
      <c r="E24" s="50"/>
    </row>
    <row r="25" spans="1:5" x14ac:dyDescent="0.3">
      <c r="A25" s="92">
        <f>CODIGOS!A23</f>
        <v>2024021</v>
      </c>
      <c r="B25" s="93" t="str">
        <f>CODIGOS!C23</f>
        <v>Arce Romero Sara Areliz</v>
      </c>
      <c r="C25" s="50"/>
      <c r="D25" s="50"/>
      <c r="E25" s="50"/>
    </row>
    <row r="26" spans="1:5" x14ac:dyDescent="0.3">
      <c r="A26" s="92">
        <f>CODIGOS!A24</f>
        <v>2024022</v>
      </c>
      <c r="B26" s="93" t="str">
        <f>CODIGOS!C24</f>
        <v>Arispe Carpio Sebastian</v>
      </c>
      <c r="C26" s="50"/>
      <c r="D26" s="50"/>
      <c r="E26" s="50"/>
    </row>
    <row r="27" spans="1:5" x14ac:dyDescent="0.3">
      <c r="A27" s="92">
        <f>CODIGOS!A25</f>
        <v>2024023</v>
      </c>
      <c r="B27" s="93" t="str">
        <f>CODIGOS!C25</f>
        <v>Arnez Almanza Ivana Massiel</v>
      </c>
      <c r="C27" s="50"/>
      <c r="D27" s="50"/>
      <c r="E27" s="50"/>
    </row>
    <row r="28" spans="1:5" x14ac:dyDescent="0.3">
      <c r="A28" s="92">
        <f>CODIGOS!A26</f>
        <v>2024024</v>
      </c>
      <c r="B28" s="93" t="str">
        <f>CODIGOS!C26</f>
        <v>Arnez Vallejo Mariana</v>
      </c>
      <c r="C28" s="50"/>
      <c r="D28" s="50"/>
      <c r="E28" s="50"/>
    </row>
    <row r="29" spans="1:5" x14ac:dyDescent="0.3">
      <c r="A29" s="92">
        <f>CODIGOS!A27</f>
        <v>2024025</v>
      </c>
      <c r="B29" s="93" t="str">
        <f>CODIGOS!C27</f>
        <v>Arnez Vargas Juan Pablo - Renata</v>
      </c>
      <c r="C29" s="50"/>
      <c r="D29" s="50"/>
      <c r="E29" s="50"/>
    </row>
    <row r="30" spans="1:5" x14ac:dyDescent="0.3">
      <c r="A30" s="92">
        <f>CODIGOS!A28</f>
        <v>2024026</v>
      </c>
      <c r="B30" s="93" t="str">
        <f>CODIGOS!C28</f>
        <v>Arnez Vergara Rodrigo Hernan</v>
      </c>
      <c r="C30" s="50"/>
      <c r="D30" s="50"/>
      <c r="E30" s="50"/>
    </row>
    <row r="31" spans="1:5" x14ac:dyDescent="0.3">
      <c r="A31" s="92">
        <f>CODIGOS!A29</f>
        <v>2024027</v>
      </c>
      <c r="B31" s="93" t="str">
        <f>CODIGOS!C29</f>
        <v>Arze Puri Genesis Ainara - Luis Diego</v>
      </c>
      <c r="C31" s="50"/>
      <c r="D31" s="50"/>
      <c r="E31" s="50"/>
    </row>
    <row r="32" spans="1:5" x14ac:dyDescent="0.3">
      <c r="A32" s="92">
        <f>CODIGOS!A30</f>
        <v>2024028</v>
      </c>
      <c r="B32" s="93" t="str">
        <f>CODIGOS!C30</f>
        <v>Aviles Villalpando Santiago - Martina</v>
      </c>
      <c r="C32" s="50"/>
      <c r="D32" s="50"/>
      <c r="E32" s="50"/>
    </row>
    <row r="33" spans="1:5" x14ac:dyDescent="0.3">
      <c r="A33" s="92">
        <f>CODIGOS!A31</f>
        <v>2024029</v>
      </c>
      <c r="B33" s="93" t="str">
        <f>CODIGOS!C31</f>
        <v>Ayala Gonzales Diana Victoria</v>
      </c>
      <c r="C33" s="50"/>
      <c r="D33" s="50"/>
      <c r="E33" s="50"/>
    </row>
    <row r="34" spans="1:5" x14ac:dyDescent="0.3">
      <c r="A34" s="92">
        <f>CODIGOS!A32</f>
        <v>2024030</v>
      </c>
      <c r="B34" s="93" t="str">
        <f>CODIGOS!C32</f>
        <v>Balderrama Molina Caitli Antonella</v>
      </c>
      <c r="C34" s="50"/>
      <c r="D34" s="50"/>
      <c r="E34" s="50"/>
    </row>
    <row r="35" spans="1:5" x14ac:dyDescent="0.3">
      <c r="A35" s="92">
        <f>CODIGOS!A33</f>
        <v>2024031</v>
      </c>
      <c r="B35" s="93" t="str">
        <f>CODIGOS!C33</f>
        <v>Barrientos Flores Derek Ariel</v>
      </c>
      <c r="C35" s="50"/>
      <c r="D35" s="50"/>
      <c r="E35" s="50"/>
    </row>
    <row r="36" spans="1:5" x14ac:dyDescent="0.3">
      <c r="A36" s="92">
        <f>CODIGOS!A34</f>
        <v>2024032</v>
      </c>
      <c r="B36" s="93" t="str">
        <f>CODIGOS!C34</f>
        <v>Barrientos Octavio Rafael</v>
      </c>
      <c r="C36" s="50"/>
      <c r="D36" s="50"/>
      <c r="E36" s="50"/>
    </row>
    <row r="37" spans="1:5" x14ac:dyDescent="0.3">
      <c r="A37" s="92">
        <f>CODIGOS!A35</f>
        <v>2024033</v>
      </c>
      <c r="B37" s="93" t="str">
        <f>CODIGOS!C35</f>
        <v>Bautista Jaramillo Maira - Rodrigo - Camila</v>
      </c>
      <c r="C37" s="50"/>
      <c r="D37" s="50"/>
      <c r="E37" s="50"/>
    </row>
    <row r="38" spans="1:5" x14ac:dyDescent="0.3">
      <c r="A38" s="92">
        <f>CODIGOS!A36</f>
        <v>2024034</v>
      </c>
      <c r="B38" s="93" t="str">
        <f>CODIGOS!C36</f>
        <v>Becerra Soria Addie Renata</v>
      </c>
      <c r="C38" s="50"/>
      <c r="D38" s="50"/>
      <c r="E38" s="50"/>
    </row>
    <row r="39" spans="1:5" x14ac:dyDescent="0.3">
      <c r="A39" s="92">
        <f>CODIGOS!A37</f>
        <v>2024035</v>
      </c>
      <c r="B39" s="93" t="str">
        <f>CODIGOS!C37</f>
        <v>Bejarano Bianchi Ezequiel - Giancarlo - Micaela</v>
      </c>
      <c r="C39" s="50"/>
      <c r="D39" s="50"/>
      <c r="E39" s="50"/>
    </row>
    <row r="40" spans="1:5" x14ac:dyDescent="0.3">
      <c r="A40" s="92">
        <f>CODIGOS!A38</f>
        <v>2024036</v>
      </c>
      <c r="B40" s="93" t="str">
        <f>CODIGOS!C38</f>
        <v>Bellido La Faye Zarah</v>
      </c>
      <c r="C40" s="50"/>
      <c r="D40" s="50"/>
      <c r="E40" s="50"/>
    </row>
    <row r="41" spans="1:5" x14ac:dyDescent="0.3">
      <c r="A41" s="92">
        <f>CODIGOS!A39</f>
        <v>2024037</v>
      </c>
      <c r="B41" s="93" t="str">
        <f>CODIGOS!C39</f>
        <v>Beltran Avila Danna Sofia</v>
      </c>
      <c r="C41" s="50"/>
      <c r="D41" s="50"/>
      <c r="E41" s="50"/>
    </row>
    <row r="42" spans="1:5" x14ac:dyDescent="0.3">
      <c r="A42" s="92">
        <f>CODIGOS!A40</f>
        <v>2024038</v>
      </c>
      <c r="B42" s="93" t="str">
        <f>CODIGOS!C40</f>
        <v xml:space="preserve">Betti Goitia Luciano - Genaro - Isis </v>
      </c>
      <c r="C42" s="50"/>
      <c r="D42" s="50"/>
      <c r="E42" s="50"/>
    </row>
    <row r="43" spans="1:5" x14ac:dyDescent="0.3">
      <c r="A43" s="92">
        <f>CODIGOS!A41</f>
        <v>2024039</v>
      </c>
      <c r="B43" s="93" t="str">
        <f>CODIGOS!C41</f>
        <v>Bispo De Queiroz Pedro</v>
      </c>
      <c r="C43" s="50"/>
      <c r="D43" s="50"/>
      <c r="E43" s="50"/>
    </row>
    <row r="44" spans="1:5" x14ac:dyDescent="0.3">
      <c r="A44" s="92">
        <f>CODIGOS!A42</f>
        <v>2024040</v>
      </c>
      <c r="B44" s="93" t="str">
        <f>CODIGOS!C42</f>
        <v>Bonuccelli Fernandez Nicolas Rafael</v>
      </c>
      <c r="C44" s="50"/>
      <c r="D44" s="50"/>
      <c r="E44" s="50"/>
    </row>
    <row r="45" spans="1:5" x14ac:dyDescent="0.3">
      <c r="A45" s="92">
        <f>CODIGOS!A43</f>
        <v>2024041</v>
      </c>
      <c r="B45" s="93" t="str">
        <f>CODIGOS!C43</f>
        <v>Borda Rojas Victoria Micaela - Oscar Mateo</v>
      </c>
      <c r="C45" s="50"/>
      <c r="D45" s="50"/>
      <c r="E45" s="50"/>
    </row>
    <row r="46" spans="1:5" x14ac:dyDescent="0.3">
      <c r="A46" s="92">
        <f>CODIGOS!A44</f>
        <v>2024042</v>
      </c>
      <c r="B46" s="93" t="str">
        <f>CODIGOS!C44</f>
        <v>Buitrago Ortega Pedro</v>
      </c>
      <c r="C46" s="50"/>
      <c r="D46" s="50"/>
      <c r="E46" s="50"/>
    </row>
    <row r="47" spans="1:5" x14ac:dyDescent="0.3">
      <c r="A47" s="92">
        <f>CODIGOS!A45</f>
        <v>2024043</v>
      </c>
      <c r="B47" s="93" t="str">
        <f>CODIGOS!C45</f>
        <v>Bustillo Flores Sofia Victoria</v>
      </c>
      <c r="C47" s="50"/>
      <c r="D47" s="50"/>
      <c r="E47" s="50"/>
    </row>
    <row r="48" spans="1:5" x14ac:dyDescent="0.3">
      <c r="A48" s="92">
        <f>CODIGOS!A46</f>
        <v>2024044</v>
      </c>
      <c r="B48" s="93" t="str">
        <f>CODIGOS!C46</f>
        <v>Caballero Rojas Natan Jesus</v>
      </c>
      <c r="C48" s="50"/>
      <c r="D48" s="50"/>
      <c r="E48" s="50"/>
    </row>
    <row r="49" spans="1:5" x14ac:dyDescent="0.3">
      <c r="A49" s="92">
        <f>CODIGOS!A47</f>
        <v>2024045</v>
      </c>
      <c r="B49" s="93" t="str">
        <f>CODIGOS!C47</f>
        <v>Caero Paredes Gianna - Andy - Lara</v>
      </c>
      <c r="C49" s="50"/>
      <c r="D49" s="50"/>
      <c r="E49" s="50"/>
    </row>
    <row r="50" spans="1:5" x14ac:dyDescent="0.3">
      <c r="A50" s="92">
        <f>CODIGOS!A48</f>
        <v>2024046</v>
      </c>
      <c r="B50" s="93" t="str">
        <f>CODIGOS!C48</f>
        <v>Calbimonte Zurita Sofia Berta - Alejandra Belen</v>
      </c>
      <c r="C50" s="50"/>
      <c r="D50" s="50"/>
      <c r="E50" s="50"/>
    </row>
    <row r="51" spans="1:5" x14ac:dyDescent="0.3">
      <c r="A51" s="92">
        <f>CODIGOS!A49</f>
        <v>2024047</v>
      </c>
      <c r="B51" s="93" t="str">
        <f>CODIGOS!C49</f>
        <v xml:space="preserve">Calderon Callisaya Emma - Fabio </v>
      </c>
      <c r="C51" s="50"/>
      <c r="D51" s="50"/>
      <c r="E51" s="50"/>
    </row>
    <row r="52" spans="1:5" x14ac:dyDescent="0.3">
      <c r="A52" s="92">
        <f>CODIGOS!A50</f>
        <v>2024048</v>
      </c>
      <c r="B52" s="93" t="str">
        <f>CODIGOS!C50</f>
        <v>Calderon Sanchez Flor Ariadne - Jaime Anibal</v>
      </c>
      <c r="C52" s="50"/>
      <c r="D52" s="50"/>
      <c r="E52" s="50"/>
    </row>
    <row r="53" spans="1:5" x14ac:dyDescent="0.3">
      <c r="A53" s="92">
        <f>CODIGOS!A51</f>
        <v>2024317</v>
      </c>
      <c r="B53" s="93" t="str">
        <f>CODIGOS!C51</f>
        <v>Camacho Lopez Andres Alejandro</v>
      </c>
      <c r="C53" s="50"/>
      <c r="D53" s="50"/>
      <c r="E53" s="50"/>
    </row>
    <row r="54" spans="1:5" x14ac:dyDescent="0.3">
      <c r="A54" s="92" t="e">
        <f>CODIGOS!#REF!</f>
        <v>#REF!</v>
      </c>
      <c r="B54" s="93" t="e">
        <f>CODIGOS!#REF!</f>
        <v>#REF!</v>
      </c>
      <c r="C54" s="50"/>
      <c r="D54" s="50"/>
      <c r="E54" s="50"/>
    </row>
    <row r="55" spans="1:5" x14ac:dyDescent="0.3">
      <c r="A55" s="92">
        <f>CODIGOS!A52</f>
        <v>2024049</v>
      </c>
      <c r="B55" s="93" t="str">
        <f>CODIGOS!C52</f>
        <v>Camacho Reyes Alejandra Noemi</v>
      </c>
      <c r="C55" s="50"/>
      <c r="D55" s="50"/>
      <c r="E55" s="50"/>
    </row>
    <row r="56" spans="1:5" x14ac:dyDescent="0.3">
      <c r="A56" s="92">
        <f>CODIGOS!A53</f>
        <v>2024050</v>
      </c>
      <c r="B56" s="93" t="str">
        <f>CODIGOS!C53</f>
        <v>Campero Siancas Rafael</v>
      </c>
      <c r="C56" s="50"/>
      <c r="D56" s="50"/>
      <c r="E56" s="50"/>
    </row>
    <row r="57" spans="1:5" x14ac:dyDescent="0.3">
      <c r="A57" s="92">
        <f>CODIGOS!A54</f>
        <v>2024051</v>
      </c>
      <c r="B57" s="93" t="str">
        <f>CODIGOS!C54</f>
        <v>Campos Hermosa Ayar Ulises</v>
      </c>
      <c r="C57" s="50"/>
      <c r="D57" s="50"/>
      <c r="E57" s="50"/>
    </row>
    <row r="58" spans="1:5" x14ac:dyDescent="0.3">
      <c r="A58" s="92">
        <f>CODIGOS!A55</f>
        <v>2024052</v>
      </c>
      <c r="B58" s="93" t="str">
        <f>CODIGOS!C55</f>
        <v>Campos Ignacio Santiago</v>
      </c>
      <c r="C58" s="50"/>
      <c r="D58" s="50"/>
      <c r="E58" s="50"/>
    </row>
    <row r="59" spans="1:5" x14ac:dyDescent="0.3">
      <c r="A59" s="92">
        <f>CODIGOS!A56</f>
        <v>2024053</v>
      </c>
      <c r="B59" s="93" t="str">
        <f>CODIGOS!C56</f>
        <v>Campos Maida Amir</v>
      </c>
      <c r="C59" s="50"/>
      <c r="D59" s="50"/>
      <c r="E59" s="50"/>
    </row>
    <row r="60" spans="1:5" x14ac:dyDescent="0.3">
      <c r="A60" s="92">
        <f>CODIGOS!A57</f>
        <v>2024054</v>
      </c>
      <c r="B60" s="93" t="str">
        <f>CODIGOS!C57</f>
        <v>Canedo Mendoza Luis Mario - Juan Marco</v>
      </c>
      <c r="C60" s="50"/>
      <c r="D60" s="50"/>
      <c r="E60" s="50"/>
    </row>
    <row r="61" spans="1:5" x14ac:dyDescent="0.3">
      <c r="A61" s="92" t="e">
        <f>CODIGOS!#REF!</f>
        <v>#REF!</v>
      </c>
      <c r="B61" s="93" t="e">
        <f>CODIGOS!#REF!</f>
        <v>#REF!</v>
      </c>
      <c r="C61" s="50"/>
      <c r="D61" s="50"/>
      <c r="E61" s="50"/>
    </row>
    <row r="62" spans="1:5" x14ac:dyDescent="0.3">
      <c r="A62" s="92">
        <f>CODIGOS!A58</f>
        <v>2024055</v>
      </c>
      <c r="B62" s="93" t="str">
        <f>CODIGOS!C58</f>
        <v>Cardenas Martinez Fernanda del Pilar</v>
      </c>
      <c r="C62" s="50"/>
      <c r="D62" s="50"/>
      <c r="E62" s="50"/>
    </row>
    <row r="63" spans="1:5" x14ac:dyDescent="0.3">
      <c r="A63" s="92">
        <f>CODIGOS!A59</f>
        <v>2024056</v>
      </c>
      <c r="B63" s="93" t="str">
        <f>CODIGOS!C59</f>
        <v>Cardozo Franco David Andre - Johnny Leonardo</v>
      </c>
      <c r="C63" s="50"/>
      <c r="D63" s="50"/>
      <c r="E63" s="50"/>
    </row>
    <row r="64" spans="1:5" x14ac:dyDescent="0.3">
      <c r="A64" s="92">
        <f>CODIGOS!A60</f>
        <v>2024057</v>
      </c>
      <c r="B64" s="93" t="str">
        <f>CODIGOS!C60</f>
        <v>Cardozo Jose Manuel</v>
      </c>
      <c r="C64" s="50"/>
      <c r="D64" s="50"/>
      <c r="E64" s="50"/>
    </row>
    <row r="65" spans="1:5" x14ac:dyDescent="0.3">
      <c r="A65" s="92">
        <f>CODIGOS!A61</f>
        <v>2024058</v>
      </c>
      <c r="B65" s="93" t="str">
        <f>CODIGOS!C61</f>
        <v>Carvajal Arispe Bruno Renato</v>
      </c>
      <c r="C65" s="50"/>
      <c r="D65" s="50"/>
      <c r="E65" s="50"/>
    </row>
    <row r="66" spans="1:5" x14ac:dyDescent="0.3">
      <c r="A66" s="92" t="e">
        <f>CODIGOS!#REF!</f>
        <v>#REF!</v>
      </c>
      <c r="B66" s="93" t="e">
        <f>CODIGOS!#REF!</f>
        <v>#REF!</v>
      </c>
      <c r="C66" s="50"/>
      <c r="D66" s="50"/>
      <c r="E66" s="50"/>
    </row>
    <row r="67" spans="1:5" x14ac:dyDescent="0.3">
      <c r="A67" s="92">
        <f>CODIGOS!A62</f>
        <v>2024059</v>
      </c>
      <c r="B67" s="93" t="str">
        <f>CODIGOS!C62</f>
        <v>Carvajal Rodriguez Sara - Sofia</v>
      </c>
      <c r="C67" s="50"/>
      <c r="D67" s="50"/>
      <c r="E67" s="50"/>
    </row>
    <row r="68" spans="1:5" x14ac:dyDescent="0.3">
      <c r="A68" s="92">
        <f>CODIGOS!A63</f>
        <v>2024060</v>
      </c>
      <c r="B68" s="93" t="str">
        <f>CODIGOS!C63</f>
        <v>Castro Machado Micaela - Hugo</v>
      </c>
      <c r="C68" s="50"/>
      <c r="D68" s="50"/>
      <c r="E68" s="50"/>
    </row>
    <row r="69" spans="1:5" x14ac:dyDescent="0.3">
      <c r="A69" s="92">
        <f>CODIGOS!A64</f>
        <v>2024061</v>
      </c>
      <c r="B69" s="93" t="str">
        <f>CODIGOS!C64</f>
        <v>Castro Oropeza Julieta Thais</v>
      </c>
      <c r="C69" s="50"/>
      <c r="D69" s="50"/>
      <c r="E69" s="50"/>
    </row>
    <row r="70" spans="1:5" x14ac:dyDescent="0.3">
      <c r="A70" s="92">
        <f>CODIGOS!A65</f>
        <v>2024062</v>
      </c>
      <c r="B70" s="93" t="str">
        <f>CODIGOS!C65</f>
        <v>Chacon Perez Sissy - Bruno - Sofia</v>
      </c>
      <c r="C70" s="50"/>
      <c r="D70" s="50"/>
      <c r="E70" s="50"/>
    </row>
    <row r="71" spans="1:5" x14ac:dyDescent="0.3">
      <c r="A71" s="92">
        <f>CODIGOS!A66</f>
        <v>2024063</v>
      </c>
      <c r="B71" s="93" t="str">
        <f>CODIGOS!C66</f>
        <v>Chavez Ruiz Lourdes Belen</v>
      </c>
      <c r="C71" s="50"/>
      <c r="D71" s="50"/>
      <c r="E71" s="50"/>
    </row>
    <row r="72" spans="1:5" x14ac:dyDescent="0.3">
      <c r="A72" s="92">
        <f>CODIGOS!A67</f>
        <v>2024320</v>
      </c>
      <c r="B72" s="93" t="str">
        <f>CODIGOS!C67</f>
        <v>Cho Jaramillo Taesan Zabdiel</v>
      </c>
      <c r="C72" s="50"/>
      <c r="D72" s="50"/>
      <c r="E72" s="50"/>
    </row>
    <row r="73" spans="1:5" x14ac:dyDescent="0.3">
      <c r="A73" s="92">
        <f>CODIGOS!A68</f>
        <v>2024064</v>
      </c>
      <c r="B73" s="93" t="str">
        <f>CODIGOS!C68</f>
        <v>Choque Lopez Jonan Nacor</v>
      </c>
      <c r="C73" s="50"/>
      <c r="D73" s="50"/>
      <c r="E73" s="50"/>
    </row>
    <row r="74" spans="1:5" x14ac:dyDescent="0.3">
      <c r="A74" s="92">
        <f>CODIGOS!A69</f>
        <v>2024065</v>
      </c>
      <c r="B74" s="93" t="str">
        <f>CODIGOS!C69</f>
        <v>Choque Vega Mayte - Mario - Maria</v>
      </c>
      <c r="C74" s="50"/>
      <c r="D74" s="50"/>
      <c r="E74" s="50"/>
    </row>
    <row r="75" spans="1:5" x14ac:dyDescent="0.3">
      <c r="A75" s="92">
        <f>CODIGOS!A70</f>
        <v>2024316</v>
      </c>
      <c r="B75" s="93" t="str">
        <f>CODIGOS!C70</f>
        <v>Coffiel Zambrana Santiago</v>
      </c>
      <c r="C75" s="50"/>
      <c r="D75" s="50"/>
      <c r="E75" s="50"/>
    </row>
    <row r="76" spans="1:5" x14ac:dyDescent="0.3">
      <c r="A76" s="92">
        <f>CODIGOS!A71</f>
        <v>2024066</v>
      </c>
      <c r="B76" s="93" t="str">
        <f>CODIGOS!C71</f>
        <v>Colque Sanchez Anderson</v>
      </c>
      <c r="C76" s="50"/>
      <c r="D76" s="50"/>
      <c r="E76" s="50"/>
    </row>
    <row r="77" spans="1:5" x14ac:dyDescent="0.3">
      <c r="A77" s="92">
        <f>CODIGOS!A72</f>
        <v>2024067</v>
      </c>
      <c r="B77" s="93" t="str">
        <f>CODIGOS!C72</f>
        <v>Condori Huanca Esther Abigail - Natalia Elizabeth</v>
      </c>
      <c r="C77" s="50"/>
      <c r="D77" s="50"/>
      <c r="E77" s="50"/>
    </row>
    <row r="78" spans="1:5" x14ac:dyDescent="0.3">
      <c r="A78" s="92">
        <f>CODIGOS!A73</f>
        <v>2024068</v>
      </c>
      <c r="B78" s="93" t="str">
        <f>CODIGOS!C73</f>
        <v>Condori Ochoa Nikole Daniela</v>
      </c>
      <c r="C78" s="50"/>
      <c r="D78" s="50"/>
      <c r="E78" s="50"/>
    </row>
    <row r="79" spans="1:5" x14ac:dyDescent="0.3">
      <c r="A79" s="92">
        <f>CODIGOS!A74</f>
        <v>2024069</v>
      </c>
      <c r="B79" s="93" t="str">
        <f>CODIGOS!C74</f>
        <v>Cordero Quiroga Anghelo - Keyla</v>
      </c>
      <c r="C79" s="50"/>
      <c r="D79" s="50"/>
      <c r="E79" s="50"/>
    </row>
    <row r="80" spans="1:5" x14ac:dyDescent="0.3">
      <c r="A80" s="92">
        <f>CODIGOS!A75</f>
        <v>2024070</v>
      </c>
      <c r="B80" s="93" t="str">
        <f>CODIGOS!C75</f>
        <v>Coronado Alvarez Micaela Alejandra - Renata Camila</v>
      </c>
      <c r="C80" s="50"/>
      <c r="D80" s="50"/>
      <c r="E80" s="50"/>
    </row>
    <row r="81" spans="1:5" x14ac:dyDescent="0.3">
      <c r="A81" s="92">
        <f>CODIGOS!A76</f>
        <v>2024071</v>
      </c>
      <c r="B81" s="93" t="str">
        <f>CODIGOS!C76</f>
        <v>Crespo Caballero Luciano Ramiro</v>
      </c>
      <c r="C81" s="50"/>
      <c r="D81" s="50"/>
      <c r="E81" s="50"/>
    </row>
    <row r="82" spans="1:5" x14ac:dyDescent="0.3">
      <c r="A82" s="92">
        <f>CODIGOS!A77</f>
        <v>2024072</v>
      </c>
      <c r="B82" s="93" t="str">
        <f>CODIGOS!C77</f>
        <v>Cuenca Rodrigo Isabella Valentina</v>
      </c>
      <c r="C82" s="50"/>
      <c r="D82" s="50"/>
      <c r="E82" s="50"/>
    </row>
    <row r="83" spans="1:5" x14ac:dyDescent="0.3">
      <c r="A83" s="92">
        <f>CODIGOS!A78</f>
        <v>2024073</v>
      </c>
      <c r="B83" s="93" t="str">
        <f>CODIGOS!C78</f>
        <v>Cuentas Avila Johann Alejandro</v>
      </c>
      <c r="C83" s="50"/>
      <c r="D83" s="50"/>
      <c r="E83" s="50"/>
    </row>
    <row r="84" spans="1:5" x14ac:dyDescent="0.3">
      <c r="A84" s="92">
        <f>CODIGOS!A79</f>
        <v>2024074</v>
      </c>
      <c r="B84" s="93" t="str">
        <f>CODIGOS!C79</f>
        <v>Del Llano Camacho Samantha Elena</v>
      </c>
      <c r="C84" s="50"/>
      <c r="D84" s="50"/>
      <c r="E84" s="50"/>
    </row>
    <row r="85" spans="1:5" x14ac:dyDescent="0.3">
      <c r="A85" s="92">
        <f>CODIGOS!A80</f>
        <v>2024075</v>
      </c>
      <c r="B85" s="93" t="str">
        <f>CODIGOS!C80</f>
        <v>Diaz Magne Alexia</v>
      </c>
      <c r="C85" s="50"/>
      <c r="D85" s="50"/>
      <c r="E85" s="50"/>
    </row>
    <row r="86" spans="1:5" x14ac:dyDescent="0.3">
      <c r="A86" s="92">
        <f>CODIGOS!A81</f>
        <v>2024076</v>
      </c>
      <c r="B86" s="93" t="str">
        <f>CODIGOS!C81</f>
        <v>Dominguez Pol Estrella Miel</v>
      </c>
      <c r="C86" s="50"/>
      <c r="D86" s="50"/>
      <c r="E86" s="50"/>
    </row>
    <row r="87" spans="1:5" x14ac:dyDescent="0.3">
      <c r="A87" s="92">
        <f>CODIGOS!A82</f>
        <v>2024077</v>
      </c>
      <c r="B87" s="93" t="str">
        <f>CODIGOS!C82</f>
        <v xml:space="preserve">Duarte Numbela Iker Dadier </v>
      </c>
      <c r="C87" s="50"/>
      <c r="D87" s="50"/>
      <c r="E87" s="50"/>
    </row>
    <row r="88" spans="1:5" x14ac:dyDescent="0.3">
      <c r="A88" s="92">
        <f>CODIGOS!A83</f>
        <v>2024078</v>
      </c>
      <c r="B88" s="93" t="str">
        <f>CODIGOS!C83</f>
        <v>Eid Vargas Julian Octavio</v>
      </c>
      <c r="C88" s="50"/>
      <c r="D88" s="50"/>
      <c r="E88" s="50"/>
    </row>
    <row r="89" spans="1:5" x14ac:dyDescent="0.3">
      <c r="A89" s="92">
        <f>CODIGOS!A84</f>
        <v>2024079</v>
      </c>
      <c r="B89" s="93" t="str">
        <f>CODIGOS!C84</f>
        <v>Erostegui Torrejon Gabriel</v>
      </c>
      <c r="C89" s="50"/>
      <c r="D89" s="50"/>
      <c r="E89" s="50"/>
    </row>
    <row r="90" spans="1:5" x14ac:dyDescent="0.3">
      <c r="A90" s="92">
        <f>CODIGOS!A85</f>
        <v>2024080</v>
      </c>
      <c r="B90" s="93" t="str">
        <f>CODIGOS!C85</f>
        <v>Escobar Flores Ema - Zoe - Abi</v>
      </c>
      <c r="C90" s="50"/>
      <c r="D90" s="50"/>
      <c r="E90" s="50"/>
    </row>
    <row r="91" spans="1:5" x14ac:dyDescent="0.3">
      <c r="A91" s="92">
        <f>CODIGOS!A86</f>
        <v>2024081</v>
      </c>
      <c r="B91" s="93" t="str">
        <f>CODIGOS!C86</f>
        <v>Espinoza Muñoz Ruben Sebastian</v>
      </c>
      <c r="C91" s="50"/>
      <c r="D91" s="50"/>
      <c r="E91" s="50"/>
    </row>
    <row r="92" spans="1:5" x14ac:dyDescent="0.3">
      <c r="A92" s="92">
        <f>CODIGOS!A87</f>
        <v>2024082</v>
      </c>
      <c r="B92" s="93" t="str">
        <f>CODIGOS!C87</f>
        <v>Espinoza Rada Angel Fabian</v>
      </c>
      <c r="C92" s="50"/>
      <c r="D92" s="50"/>
      <c r="E92" s="50"/>
    </row>
    <row r="93" spans="1:5" x14ac:dyDescent="0.3">
      <c r="A93" s="92">
        <f>CODIGOS!A88</f>
        <v>2024083</v>
      </c>
      <c r="B93" s="93" t="str">
        <f>CODIGOS!C88</f>
        <v>Espinoza Velasquez Laia - Alia</v>
      </c>
      <c r="C93" s="50"/>
      <c r="D93" s="50"/>
      <c r="E93" s="50"/>
    </row>
    <row r="94" spans="1:5" x14ac:dyDescent="0.3">
      <c r="A94" s="92">
        <f>CODIGOS!A89</f>
        <v>2024084</v>
      </c>
      <c r="B94" s="93" t="str">
        <f>CODIGOS!C89</f>
        <v>Fanola Calderon Matias Rodrigo</v>
      </c>
      <c r="C94" s="50"/>
      <c r="D94" s="50"/>
      <c r="E94" s="50"/>
    </row>
    <row r="95" spans="1:5" x14ac:dyDescent="0.3">
      <c r="A95" s="92">
        <f>CODIGOS!A90</f>
        <v>2024085</v>
      </c>
      <c r="B95" s="93" t="str">
        <f>CODIGOS!C90</f>
        <v>Farris Bustamante Lorenzo - Gael</v>
      </c>
      <c r="C95" s="50"/>
      <c r="D95" s="50"/>
      <c r="E95" s="50"/>
    </row>
    <row r="96" spans="1:5" x14ac:dyDescent="0.3">
      <c r="A96" s="92">
        <f>CODIGOS!A91</f>
        <v>2024086</v>
      </c>
      <c r="B96" s="93" t="str">
        <f>CODIGOS!C91</f>
        <v>Fernandez Lafuente Isabella</v>
      </c>
      <c r="C96" s="50"/>
      <c r="D96" s="50"/>
      <c r="E96" s="50"/>
    </row>
    <row r="97" spans="1:5" x14ac:dyDescent="0.3">
      <c r="A97" s="92">
        <f>CODIGOS!A92</f>
        <v>2024087</v>
      </c>
      <c r="B97" s="93" t="str">
        <f>CODIGOS!C92</f>
        <v>Fernandez Loredo Luka German</v>
      </c>
      <c r="C97" s="50"/>
      <c r="D97" s="50"/>
      <c r="E97" s="50"/>
    </row>
    <row r="98" spans="1:5" x14ac:dyDescent="0.3">
      <c r="A98" s="92">
        <f>CODIGOS!A93</f>
        <v>2024088</v>
      </c>
      <c r="B98" s="93" t="str">
        <f>CODIGOS!C93</f>
        <v xml:space="preserve">Fernandez Orellana Florencia </v>
      </c>
      <c r="C98" s="50"/>
      <c r="D98" s="50"/>
      <c r="E98" s="50"/>
    </row>
    <row r="99" spans="1:5" x14ac:dyDescent="0.3">
      <c r="A99" s="92">
        <f>CODIGOS!A94</f>
        <v>2024089</v>
      </c>
      <c r="B99" s="93" t="str">
        <f>CODIGOS!C94</f>
        <v>Fernandez Tambo Samantha - Santiago</v>
      </c>
      <c r="C99" s="50"/>
      <c r="D99" s="50"/>
      <c r="E99" s="50"/>
    </row>
    <row r="100" spans="1:5" x14ac:dyDescent="0.3">
      <c r="A100" s="92">
        <f>CODIGOS!A95</f>
        <v>2024090</v>
      </c>
      <c r="B100" s="93" t="str">
        <f>CODIGOS!C95</f>
        <v>Fernandez Terrazas Luis Matias</v>
      </c>
      <c r="C100" s="50"/>
      <c r="D100" s="50"/>
      <c r="E100" s="50"/>
    </row>
    <row r="101" spans="1:5" x14ac:dyDescent="0.3">
      <c r="A101" s="92">
        <f>CODIGOS!A96</f>
        <v>2024091</v>
      </c>
      <c r="B101" s="93" t="str">
        <f>CODIGOS!C96</f>
        <v>Fernandez Torrico Ruben</v>
      </c>
      <c r="C101" s="50"/>
      <c r="D101" s="50"/>
      <c r="E101" s="50"/>
    </row>
    <row r="102" spans="1:5" x14ac:dyDescent="0.3">
      <c r="A102" s="92">
        <f>CODIGOS!A97</f>
        <v>2024092</v>
      </c>
      <c r="B102" s="93" t="str">
        <f>CODIGOS!C97</f>
        <v>Fernandez Vargas Estefania Avril - Oscar Tadeo</v>
      </c>
      <c r="C102" s="50"/>
      <c r="D102" s="50"/>
      <c r="E102" s="50"/>
    </row>
    <row r="103" spans="1:5" x14ac:dyDescent="0.3">
      <c r="A103" s="92">
        <f>CODIGOS!A98</f>
        <v>2024093</v>
      </c>
      <c r="B103" s="93" t="str">
        <f>CODIGOS!C98</f>
        <v>Ferrel Benitez Andres Mateo</v>
      </c>
      <c r="C103" s="50"/>
      <c r="D103" s="50"/>
      <c r="E103" s="50"/>
    </row>
    <row r="104" spans="1:5" x14ac:dyDescent="0.3">
      <c r="A104" s="92">
        <f>CODIGOS!A99</f>
        <v>2024094</v>
      </c>
      <c r="B104" s="93" t="str">
        <f>CODIGOS!C99</f>
        <v>Fiorilo Rivero Luca</v>
      </c>
      <c r="C104" s="50"/>
      <c r="D104" s="50"/>
      <c r="E104" s="50"/>
    </row>
    <row r="105" spans="1:5" x14ac:dyDescent="0.3">
      <c r="A105" s="92">
        <f>CODIGOS!A100</f>
        <v>2024095</v>
      </c>
      <c r="B105" s="93" t="str">
        <f>CODIGOS!C100</f>
        <v>Fiorilo Rivero Mia Belen</v>
      </c>
      <c r="C105" s="50"/>
      <c r="D105" s="50"/>
      <c r="E105" s="50"/>
    </row>
    <row r="106" spans="1:5" x14ac:dyDescent="0.3">
      <c r="A106" s="92">
        <f>CODIGOS!A101</f>
        <v>2024096</v>
      </c>
      <c r="B106" s="93" t="str">
        <f>CODIGOS!C101</f>
        <v>Fiorilo Rivero Sophia Natalia</v>
      </c>
      <c r="C106" s="50"/>
      <c r="D106" s="50"/>
      <c r="E106" s="50"/>
    </row>
    <row r="107" spans="1:5" x14ac:dyDescent="0.3">
      <c r="A107" s="92">
        <f>CODIGOS!A102</f>
        <v>2024097</v>
      </c>
      <c r="B107" s="93" t="str">
        <f>CODIGOS!C102</f>
        <v>Flores Cespedes Aaron Tony</v>
      </c>
      <c r="C107" s="50"/>
      <c r="D107" s="50"/>
      <c r="E107" s="50"/>
    </row>
    <row r="108" spans="1:5" x14ac:dyDescent="0.3">
      <c r="A108" s="92">
        <f>CODIGOS!A103</f>
        <v>2024098</v>
      </c>
      <c r="B108" s="93" t="str">
        <f>CODIGOS!C103</f>
        <v>Flores La Fuente Valentina</v>
      </c>
      <c r="C108" s="50"/>
      <c r="D108" s="50"/>
      <c r="E108" s="50"/>
    </row>
    <row r="109" spans="1:5" x14ac:dyDescent="0.3">
      <c r="A109" s="92">
        <f>CODIGOS!A104</f>
        <v>2024099</v>
      </c>
      <c r="B109" s="93" t="str">
        <f>CODIGOS!C104</f>
        <v>Fuentes Mano Matias</v>
      </c>
      <c r="C109" s="50"/>
      <c r="D109" s="50"/>
      <c r="E109" s="50"/>
    </row>
    <row r="110" spans="1:5" x14ac:dyDescent="0.3">
      <c r="A110" s="92">
        <f>CODIGOS!A105</f>
        <v>2024100</v>
      </c>
      <c r="B110" s="93" t="str">
        <f>CODIGOS!C105</f>
        <v>Galindo Valencia Lucia - Andres</v>
      </c>
      <c r="C110" s="50"/>
      <c r="D110" s="50"/>
      <c r="E110" s="50"/>
    </row>
    <row r="111" spans="1:5" x14ac:dyDescent="0.3">
      <c r="A111" s="92">
        <f>CODIGOS!A106</f>
        <v>2024101</v>
      </c>
      <c r="B111" s="93" t="str">
        <f>CODIGOS!C106</f>
        <v>Gallinate Calderon Camila</v>
      </c>
      <c r="C111" s="50"/>
      <c r="D111" s="50"/>
      <c r="E111" s="50"/>
    </row>
    <row r="112" spans="1:5" x14ac:dyDescent="0.3">
      <c r="A112" s="92">
        <f>CODIGOS!A107</f>
        <v>2024102</v>
      </c>
      <c r="B112" s="93" t="str">
        <f>CODIGOS!C107</f>
        <v>Gandarillas Valle Isabel</v>
      </c>
      <c r="C112" s="50"/>
      <c r="D112" s="50"/>
      <c r="E112" s="50"/>
    </row>
    <row r="113" spans="1:5" x14ac:dyDescent="0.3">
      <c r="A113" s="92">
        <f>CODIGOS!A108</f>
        <v>2024103</v>
      </c>
      <c r="B113" s="93" t="str">
        <f>CODIGOS!C108</f>
        <v>Garcia Cespedes Valentina Hemily</v>
      </c>
      <c r="C113" s="50"/>
      <c r="D113" s="50"/>
      <c r="E113" s="50"/>
    </row>
    <row r="114" spans="1:5" x14ac:dyDescent="0.3">
      <c r="A114" s="92">
        <f>CODIGOS!A109</f>
        <v>2024104</v>
      </c>
      <c r="B114" s="93" t="str">
        <f>CODIGOS!C109</f>
        <v>Garcia Mendoza Dante</v>
      </c>
      <c r="C114" s="50"/>
      <c r="D114" s="50"/>
      <c r="E114" s="50"/>
    </row>
    <row r="115" spans="1:5" x14ac:dyDescent="0.3">
      <c r="A115" s="92">
        <f>CODIGOS!A110</f>
        <v>2024105</v>
      </c>
      <c r="B115" s="93" t="str">
        <f>CODIGOS!C110</f>
        <v>Garcia Rodriguez Bruno Antonio</v>
      </c>
      <c r="C115" s="50"/>
      <c r="D115" s="50"/>
      <c r="E115" s="50"/>
    </row>
    <row r="116" spans="1:5" x14ac:dyDescent="0.3">
      <c r="A116" s="92">
        <f>CODIGOS!A111</f>
        <v>2024106</v>
      </c>
      <c r="B116" s="93" t="str">
        <f>CODIGOS!C111</f>
        <v>Garcia Rodriguez Renata Daniela</v>
      </c>
      <c r="C116" s="50"/>
      <c r="D116" s="50"/>
      <c r="E116" s="50"/>
    </row>
    <row r="117" spans="1:5" x14ac:dyDescent="0.3">
      <c r="A117" s="92">
        <f>CODIGOS!A112</f>
        <v>2024107</v>
      </c>
      <c r="B117" s="93" t="str">
        <f>CODIGOS!C112</f>
        <v>Garcia Zambrana Stefany</v>
      </c>
      <c r="C117" s="50"/>
      <c r="D117" s="50"/>
      <c r="E117" s="50"/>
    </row>
    <row r="118" spans="1:5" x14ac:dyDescent="0.3">
      <c r="A118" s="92">
        <f>CODIGOS!A113</f>
        <v>2024108</v>
      </c>
      <c r="B118" s="93" t="str">
        <f>CODIGOS!C113</f>
        <v>Garron Garron Raquel - Felipe</v>
      </c>
      <c r="C118" s="50"/>
      <c r="D118" s="50"/>
      <c r="E118" s="50"/>
    </row>
    <row r="119" spans="1:5" x14ac:dyDescent="0.3">
      <c r="A119" s="92">
        <f>CODIGOS!A114</f>
        <v>2024109</v>
      </c>
      <c r="B119" s="93" t="str">
        <f>CODIGOS!C114</f>
        <v>Gimenez Pavisic Pia - Luka</v>
      </c>
      <c r="C119" s="50"/>
      <c r="D119" s="50"/>
      <c r="E119" s="50"/>
    </row>
    <row r="120" spans="1:5" x14ac:dyDescent="0.3">
      <c r="A120" s="92">
        <f>CODIGOS!A115</f>
        <v>2024110</v>
      </c>
      <c r="B120" s="93" t="str">
        <f>CODIGOS!C115</f>
        <v>Gomez Mariscal Facundo</v>
      </c>
      <c r="C120" s="50"/>
      <c r="D120" s="50"/>
      <c r="E120" s="50"/>
    </row>
    <row r="121" spans="1:5" x14ac:dyDescent="0.3">
      <c r="A121" s="92">
        <f>CODIGOS!A116</f>
        <v>2024111</v>
      </c>
      <c r="B121" s="93" t="str">
        <f>CODIGOS!C116</f>
        <v>Gonzales Barrios Ashly Rose</v>
      </c>
      <c r="C121" s="50"/>
      <c r="D121" s="50"/>
      <c r="E121" s="50"/>
    </row>
    <row r="122" spans="1:5" x14ac:dyDescent="0.3">
      <c r="A122" s="92">
        <f>CODIGOS!A117</f>
        <v>2024112</v>
      </c>
      <c r="B122" s="93" t="str">
        <f>CODIGOS!C117</f>
        <v xml:space="preserve">Gonzales Prada Mercado Haniel Simone </v>
      </c>
      <c r="C122" s="50"/>
      <c r="D122" s="50"/>
      <c r="E122" s="50"/>
    </row>
    <row r="123" spans="1:5" x14ac:dyDescent="0.3">
      <c r="A123" s="92">
        <f>CODIGOS!A118</f>
        <v>2024113</v>
      </c>
      <c r="B123" s="93" t="str">
        <f>CODIGOS!C118</f>
        <v xml:space="preserve">Gruel Saravia Alek Owen - Bastian Werner </v>
      </c>
      <c r="C123" s="50"/>
      <c r="D123" s="50"/>
      <c r="E123" s="50"/>
    </row>
    <row r="124" spans="1:5" x14ac:dyDescent="0.3">
      <c r="A124" s="92">
        <f>CODIGOS!A119</f>
        <v>2024114</v>
      </c>
      <c r="B124" s="93" t="str">
        <f>CODIGOS!C119</f>
        <v>Gutierrez Vargas Zoe Victoria</v>
      </c>
      <c r="C124" s="50"/>
      <c r="D124" s="50"/>
      <c r="E124" s="50"/>
    </row>
    <row r="125" spans="1:5" x14ac:dyDescent="0.3">
      <c r="A125" s="92">
        <f>CODIGOS!A120</f>
        <v>2024115</v>
      </c>
      <c r="B125" s="93" t="str">
        <f>CODIGOS!C120</f>
        <v>Guzman Quispe Danna Carolina</v>
      </c>
      <c r="C125" s="50"/>
      <c r="D125" s="50"/>
      <c r="E125" s="50"/>
    </row>
    <row r="126" spans="1:5" x14ac:dyDescent="0.3">
      <c r="A126" s="92">
        <f>CODIGOS!A121</f>
        <v>2024116</v>
      </c>
      <c r="B126" s="93" t="str">
        <f>CODIGOS!C121</f>
        <v>Hinojosa Almaquio Uma Aynara</v>
      </c>
      <c r="C126" s="50"/>
      <c r="D126" s="50"/>
      <c r="E126" s="50"/>
    </row>
    <row r="127" spans="1:5" x14ac:dyDescent="0.3">
      <c r="A127" s="92">
        <f>CODIGOS!A122</f>
        <v>2024117</v>
      </c>
      <c r="B127" s="93" t="str">
        <f>CODIGOS!C122</f>
        <v>Hinojosa Montoya Leonardo -  Arturo</v>
      </c>
      <c r="C127" s="50"/>
      <c r="D127" s="50"/>
      <c r="E127" s="50"/>
    </row>
    <row r="128" spans="1:5" x14ac:dyDescent="0.3">
      <c r="A128" s="92">
        <f>CODIGOS!A123</f>
        <v>2024118</v>
      </c>
      <c r="B128" s="93" t="str">
        <f>CODIGOS!C123</f>
        <v>Hinojosa Pinaya Daniel - Gabriel</v>
      </c>
      <c r="C128" s="50"/>
      <c r="D128" s="50"/>
      <c r="E128" s="50"/>
    </row>
    <row r="129" spans="1:5" x14ac:dyDescent="0.3">
      <c r="A129" s="92">
        <f>CODIGOS!A124</f>
        <v>2024119</v>
      </c>
      <c r="B129" s="93" t="str">
        <f>CODIGOS!C124</f>
        <v>Huanca Amurrio Isabella - Valentina</v>
      </c>
      <c r="C129" s="50"/>
      <c r="D129" s="50"/>
      <c r="E129" s="50"/>
    </row>
    <row r="130" spans="1:5" x14ac:dyDescent="0.3">
      <c r="A130" s="92">
        <f>CODIGOS!A125</f>
        <v>2024120</v>
      </c>
      <c r="B130" s="93" t="str">
        <f>CODIGOS!C125</f>
        <v>Huanca Terceros Milan - Isha Luana</v>
      </c>
      <c r="C130" s="50"/>
      <c r="D130" s="50"/>
      <c r="E130" s="50"/>
    </row>
    <row r="131" spans="1:5" x14ac:dyDescent="0.3">
      <c r="A131" s="92">
        <f>CODIGOS!A126</f>
        <v>2024121</v>
      </c>
      <c r="B131" s="93" t="str">
        <f>CODIGOS!C126</f>
        <v>Humerez La Faye Nicolas</v>
      </c>
      <c r="C131" s="50"/>
      <c r="D131" s="50"/>
      <c r="E131" s="50"/>
    </row>
    <row r="132" spans="1:5" x14ac:dyDescent="0.3">
      <c r="A132" s="92">
        <f>CODIGOS!A127</f>
        <v>2024122</v>
      </c>
      <c r="B132" s="93" t="str">
        <f>CODIGOS!C127</f>
        <v>Ibañez Sebastian Ignacio</v>
      </c>
      <c r="C132" s="50"/>
      <c r="D132" s="50"/>
      <c r="E132" s="50"/>
    </row>
    <row r="133" spans="1:5" x14ac:dyDescent="0.3">
      <c r="A133" s="92">
        <f>CODIGOS!A128</f>
        <v>2024123</v>
      </c>
      <c r="B133" s="93" t="str">
        <f>CODIGOS!C128</f>
        <v>Inchausty Vargas Luciana Valeria</v>
      </c>
      <c r="C133" s="50"/>
      <c r="D133" s="50"/>
      <c r="E133" s="50"/>
    </row>
    <row r="134" spans="1:5" x14ac:dyDescent="0.3">
      <c r="A134" s="92">
        <f>CODIGOS!A129</f>
        <v>2024124</v>
      </c>
      <c r="B134" s="93" t="str">
        <f>CODIGOS!C129</f>
        <v>Irigoyen Llosa Lila Raquel - Pedro Pablo</v>
      </c>
      <c r="C134" s="50"/>
      <c r="D134" s="50"/>
      <c r="E134" s="50"/>
    </row>
    <row r="135" spans="1:5" x14ac:dyDescent="0.3">
      <c r="A135" s="92">
        <f>CODIGOS!A130</f>
        <v>2024125</v>
      </c>
      <c r="B135" s="93" t="str">
        <f>CODIGOS!C130</f>
        <v>Isrrael Mercado Daniela</v>
      </c>
      <c r="C135" s="50"/>
      <c r="D135" s="50"/>
      <c r="E135" s="50"/>
    </row>
    <row r="136" spans="1:5" x14ac:dyDescent="0.3">
      <c r="A136" s="92">
        <f>CODIGOS!A131</f>
        <v>2024126</v>
      </c>
      <c r="B136" s="93" t="str">
        <f>CODIGOS!C131</f>
        <v>Jaldin Herbas Catalina</v>
      </c>
      <c r="C136" s="50"/>
      <c r="D136" s="50"/>
      <c r="E136" s="50"/>
    </row>
    <row r="137" spans="1:5" x14ac:dyDescent="0.3">
      <c r="A137" s="92">
        <f>CODIGOS!A132</f>
        <v>2024127</v>
      </c>
      <c r="B137" s="93" t="str">
        <f>CODIGOS!C132</f>
        <v>Jaldin Vasquez Matias - Santiago</v>
      </c>
      <c r="C137" s="50"/>
      <c r="D137" s="50"/>
      <c r="E137" s="50"/>
    </row>
    <row r="138" spans="1:5" x14ac:dyDescent="0.3">
      <c r="A138" s="92">
        <f>CODIGOS!A133</f>
        <v>2024128</v>
      </c>
      <c r="B138" s="93" t="str">
        <f>CODIGOS!C133</f>
        <v>Jalil De La Zerda Jania Thais</v>
      </c>
      <c r="C138" s="50"/>
      <c r="D138" s="50"/>
      <c r="E138" s="50"/>
    </row>
    <row r="139" spans="1:5" x14ac:dyDescent="0.3">
      <c r="A139" s="92">
        <f>CODIGOS!A134</f>
        <v>2024129</v>
      </c>
      <c r="B139" s="93" t="str">
        <f>CODIGOS!C134</f>
        <v>Jimenez Ancasi Fernanda Lucia</v>
      </c>
      <c r="C139" s="50"/>
      <c r="D139" s="50"/>
      <c r="E139" s="50"/>
    </row>
    <row r="140" spans="1:5" x14ac:dyDescent="0.3">
      <c r="A140" s="92">
        <f>CODIGOS!A135</f>
        <v>2024130</v>
      </c>
      <c r="B140" s="93" t="str">
        <f>CODIGOS!C135</f>
        <v>Jimenez Quiroga Laura</v>
      </c>
      <c r="C140" s="50"/>
      <c r="D140" s="50"/>
      <c r="E140" s="50"/>
    </row>
    <row r="141" spans="1:5" x14ac:dyDescent="0.3">
      <c r="A141" s="92" t="e">
        <f>CODIGOS!#REF!</f>
        <v>#REF!</v>
      </c>
      <c r="B141" s="93" t="e">
        <f>CODIGOS!#REF!</f>
        <v>#REF!</v>
      </c>
      <c r="C141" s="50"/>
      <c r="D141" s="50"/>
      <c r="E141" s="50"/>
    </row>
    <row r="142" spans="1:5" x14ac:dyDescent="0.3">
      <c r="A142" s="92" t="e">
        <f>CODIGOS!#REF!</f>
        <v>#REF!</v>
      </c>
      <c r="B142" s="93" t="e">
        <f>CODIGOS!#REF!</f>
        <v>#REF!</v>
      </c>
      <c r="C142" s="50"/>
      <c r="D142" s="50"/>
      <c r="E142" s="50"/>
    </row>
    <row r="143" spans="1:5" x14ac:dyDescent="0.3">
      <c r="A143" s="92">
        <f>CODIGOS!A136</f>
        <v>2024131</v>
      </c>
      <c r="B143" s="93" t="str">
        <f>CODIGOS!C136</f>
        <v xml:space="preserve">Lara Parrilla Mauricio Mateo </v>
      </c>
      <c r="C143" s="50"/>
      <c r="D143" s="50"/>
      <c r="E143" s="50"/>
    </row>
    <row r="144" spans="1:5" x14ac:dyDescent="0.3">
      <c r="A144" s="92">
        <f>CODIGOS!A137</f>
        <v>2024132</v>
      </c>
      <c r="B144" s="93" t="str">
        <f>CODIGOS!C137</f>
        <v>Larrazabal Mateo Antonio</v>
      </c>
      <c r="C144" s="50"/>
      <c r="D144" s="50"/>
      <c r="E144" s="50"/>
    </row>
    <row r="145" spans="1:5" x14ac:dyDescent="0.3">
      <c r="A145" s="92">
        <f>CODIGOS!A138</f>
        <v>2024133</v>
      </c>
      <c r="B145" s="93" t="str">
        <f>CODIGOS!C138</f>
        <v>Ledezma Torres Renata Roma</v>
      </c>
      <c r="C145" s="50"/>
      <c r="D145" s="50"/>
      <c r="E145" s="50"/>
    </row>
    <row r="146" spans="1:5" x14ac:dyDescent="0.3">
      <c r="A146" s="92">
        <f>CODIGOS!A139</f>
        <v>2024134</v>
      </c>
      <c r="B146" s="93" t="str">
        <f>CODIGOS!C139</f>
        <v>Lizarazu Skipper Elliot - Julia - Ellie</v>
      </c>
      <c r="C146" s="50"/>
      <c r="D146" s="50"/>
      <c r="E146" s="50"/>
    </row>
    <row r="147" spans="1:5" x14ac:dyDescent="0.3">
      <c r="A147" s="92">
        <f>CODIGOS!A140</f>
        <v>2024135</v>
      </c>
      <c r="B147" s="93" t="str">
        <f>CODIGOS!C140</f>
        <v>Lopez Andrew Manuel - Gabriel - Maria Jose</v>
      </c>
      <c r="C147" s="50"/>
      <c r="D147" s="50"/>
      <c r="E147" s="50"/>
    </row>
    <row r="148" spans="1:5" x14ac:dyDescent="0.3">
      <c r="A148" s="92">
        <f>CODIGOS!A141</f>
        <v>2024136</v>
      </c>
      <c r="B148" s="93" t="str">
        <f>CODIGOS!C141</f>
        <v>Lopez Marcus Matias - Anabella</v>
      </c>
      <c r="C148" s="50"/>
      <c r="D148" s="50"/>
      <c r="E148" s="50"/>
    </row>
    <row r="149" spans="1:5" x14ac:dyDescent="0.3">
      <c r="A149" s="92">
        <f>CODIGOS!A142</f>
        <v>2024315</v>
      </c>
      <c r="B149" s="93" t="str">
        <f>CODIGOS!C142</f>
        <v>Lopez Matamoros Andre</v>
      </c>
      <c r="C149" s="50"/>
      <c r="D149" s="50"/>
      <c r="E149" s="50"/>
    </row>
    <row r="150" spans="1:5" x14ac:dyDescent="0.3">
      <c r="A150" s="92">
        <f>CODIGOS!A143</f>
        <v>2024137</v>
      </c>
      <c r="B150" s="93" t="str">
        <f>CODIGOS!C143</f>
        <v>Lopez Mendoza Rebeca</v>
      </c>
      <c r="C150" s="50"/>
      <c r="D150" s="50"/>
      <c r="E150" s="50"/>
    </row>
    <row r="151" spans="1:5" x14ac:dyDescent="0.3">
      <c r="A151" s="92">
        <f>CODIGOS!A144</f>
        <v>2024138</v>
      </c>
      <c r="B151" s="93" t="str">
        <f>CODIGOS!C144</f>
        <v>Lopez Quiroga Camilo Alejandro</v>
      </c>
      <c r="C151" s="50"/>
      <c r="D151" s="50"/>
      <c r="E151" s="50"/>
    </row>
    <row r="152" spans="1:5" x14ac:dyDescent="0.3">
      <c r="A152" s="92">
        <f>CODIGOS!A145</f>
        <v>2024139</v>
      </c>
      <c r="B152" s="93" t="str">
        <f>CODIGOS!C145</f>
        <v>Lora Espinoza Sarah</v>
      </c>
      <c r="C152" s="50"/>
      <c r="D152" s="50"/>
      <c r="E152" s="50"/>
    </row>
    <row r="153" spans="1:5" x14ac:dyDescent="0.3">
      <c r="A153" s="92">
        <f>CODIGOS!A146</f>
        <v>2024140</v>
      </c>
      <c r="B153" s="93" t="str">
        <f>CODIGOS!C146</f>
        <v>Lora Soria Galvarro Santiago</v>
      </c>
      <c r="C153" s="50"/>
      <c r="D153" s="50"/>
      <c r="E153" s="50"/>
    </row>
    <row r="154" spans="1:5" x14ac:dyDescent="0.3">
      <c r="A154" s="92">
        <f>CODIGOS!A147</f>
        <v>2024141</v>
      </c>
      <c r="B154" s="93" t="str">
        <f>CODIGOS!C147</f>
        <v>Loredo Molina Frederick Artem</v>
      </c>
      <c r="C154" s="50"/>
      <c r="D154" s="50"/>
      <c r="E154" s="50"/>
    </row>
    <row r="155" spans="1:5" x14ac:dyDescent="0.3">
      <c r="A155" s="92">
        <f>CODIGOS!A148</f>
        <v>2024142</v>
      </c>
      <c r="B155" s="93" t="str">
        <f>CODIGOS!C148</f>
        <v>Loria Alvarez Luciana Valentina</v>
      </c>
      <c r="C155" s="50"/>
      <c r="D155" s="50"/>
      <c r="E155" s="50"/>
    </row>
    <row r="156" spans="1:5" x14ac:dyDescent="0.3">
      <c r="A156" s="92" t="e">
        <f>CODIGOS!#REF!</f>
        <v>#REF!</v>
      </c>
      <c r="B156" s="93" t="e">
        <f>CODIGOS!#REF!</f>
        <v>#REF!</v>
      </c>
      <c r="C156" s="50"/>
      <c r="D156" s="50"/>
      <c r="E156" s="50"/>
    </row>
    <row r="157" spans="1:5" x14ac:dyDescent="0.3">
      <c r="A157" s="92">
        <f>CODIGOS!A149</f>
        <v>2024143</v>
      </c>
      <c r="B157" s="93" t="str">
        <f>CODIGOS!C149</f>
        <v>Luna Machicado Joaquin Ignacio - Maria Belen</v>
      </c>
      <c r="C157" s="50"/>
      <c r="D157" s="50"/>
      <c r="E157" s="50"/>
    </row>
    <row r="158" spans="1:5" x14ac:dyDescent="0.3">
      <c r="A158" s="92">
        <f>CODIGOS!A150</f>
        <v>2024144</v>
      </c>
      <c r="B158" s="93" t="str">
        <f>CODIGOS!C150</f>
        <v>Luna Quiroz Mia Isabella</v>
      </c>
      <c r="C158" s="50"/>
      <c r="D158" s="50"/>
      <c r="E158" s="50"/>
    </row>
    <row r="159" spans="1:5" x14ac:dyDescent="0.3">
      <c r="A159" s="92">
        <f>CODIGOS!A151</f>
        <v>2024145</v>
      </c>
      <c r="B159" s="93" t="str">
        <f>CODIGOS!C151</f>
        <v>Machado Mendoza Gabriela</v>
      </c>
      <c r="C159" s="50"/>
      <c r="D159" s="50"/>
      <c r="E159" s="50"/>
    </row>
    <row r="160" spans="1:5" x14ac:dyDescent="0.3">
      <c r="A160" s="92">
        <f>CODIGOS!A152</f>
        <v>2024146</v>
      </c>
      <c r="B160" s="93" t="str">
        <f>CODIGOS!C152</f>
        <v>Maldonado Lozada Nicolas Andre</v>
      </c>
      <c r="C160" s="50"/>
      <c r="D160" s="50"/>
      <c r="E160" s="50"/>
    </row>
    <row r="161" spans="1:5" x14ac:dyDescent="0.3">
      <c r="A161" s="92">
        <f>CODIGOS!A153</f>
        <v>2024147</v>
      </c>
      <c r="B161" s="93" t="str">
        <f>CODIGOS!C153</f>
        <v>Marciandi Gongora Sophie</v>
      </c>
      <c r="C161" s="50"/>
      <c r="D161" s="50"/>
      <c r="E161" s="50"/>
    </row>
    <row r="162" spans="1:5" x14ac:dyDescent="0.3">
      <c r="A162" s="92">
        <f>CODIGOS!A154</f>
        <v>2024148</v>
      </c>
      <c r="B162" s="93" t="str">
        <f>CODIGOS!C154</f>
        <v>Mariscal Coll Hugo Ramiro</v>
      </c>
      <c r="C162" s="50"/>
      <c r="D162" s="50"/>
      <c r="E162" s="50"/>
    </row>
    <row r="163" spans="1:5" x14ac:dyDescent="0.3">
      <c r="A163" s="92">
        <f>CODIGOS!A155</f>
        <v>2024149</v>
      </c>
      <c r="B163" s="93" t="str">
        <f>CODIGOS!C155</f>
        <v>Martinez Guardia Victor Felipe - Victor Sebastian</v>
      </c>
      <c r="C163" s="50"/>
      <c r="D163" s="50"/>
      <c r="E163" s="50"/>
    </row>
    <row r="164" spans="1:5" x14ac:dyDescent="0.3">
      <c r="A164" s="92">
        <f>CODIGOS!A156</f>
        <v>2024150</v>
      </c>
      <c r="B164" s="93" t="str">
        <f>CODIGOS!C156</f>
        <v>Martinez Teran Montserrat Maia</v>
      </c>
      <c r="C164" s="50"/>
      <c r="D164" s="50"/>
      <c r="E164" s="50"/>
    </row>
    <row r="165" spans="1:5" x14ac:dyDescent="0.3">
      <c r="A165" s="92">
        <f>CODIGOS!A157</f>
        <v>2024151</v>
      </c>
      <c r="B165" s="93" t="str">
        <f>CODIGOS!C157</f>
        <v>Mejia Mareño Santiago</v>
      </c>
      <c r="C165" s="50"/>
      <c r="D165" s="50"/>
      <c r="E165" s="50"/>
    </row>
    <row r="166" spans="1:5" x14ac:dyDescent="0.3">
      <c r="A166" s="92">
        <f>CODIGOS!A158</f>
        <v>2024323</v>
      </c>
      <c r="B166" s="93" t="str">
        <f>CODIGOS!C158</f>
        <v>Mejia Rivero Luana</v>
      </c>
      <c r="C166" s="50"/>
      <c r="D166" s="50"/>
      <c r="E166" s="50"/>
    </row>
    <row r="167" spans="1:5" x14ac:dyDescent="0.3">
      <c r="A167" s="92">
        <f>CODIGOS!A159</f>
        <v>2024152</v>
      </c>
      <c r="B167" s="93" t="str">
        <f>CODIGOS!C159</f>
        <v>Melgarejo Villarroel Lucas David</v>
      </c>
      <c r="C167" s="50"/>
      <c r="D167" s="50"/>
      <c r="E167" s="50"/>
    </row>
    <row r="168" spans="1:5" x14ac:dyDescent="0.3">
      <c r="A168" s="92">
        <f>CODIGOS!A160</f>
        <v>2024153</v>
      </c>
      <c r="B168" s="93" t="str">
        <f>CODIGOS!C160</f>
        <v>Mendoza Feusi Flurin Isondu</v>
      </c>
      <c r="C168" s="50"/>
      <c r="D168" s="50"/>
      <c r="E168" s="50"/>
    </row>
    <row r="169" spans="1:5" x14ac:dyDescent="0.3">
      <c r="A169" s="92">
        <f>CODIGOS!A161</f>
        <v>2024154</v>
      </c>
      <c r="B169" s="93" t="str">
        <f>CODIGOS!C161</f>
        <v>Meneces Chavare Camila Martina - Dylan Mateo</v>
      </c>
      <c r="C169" s="50"/>
      <c r="D169" s="50"/>
      <c r="E169" s="50"/>
    </row>
    <row r="170" spans="1:5" x14ac:dyDescent="0.3">
      <c r="A170" s="92">
        <f>CODIGOS!A162</f>
        <v>2024164</v>
      </c>
      <c r="B170" s="93" t="str">
        <f>CODIGOS!C162</f>
        <v>Meneses Acha Gloria - Carola</v>
      </c>
      <c r="C170" s="50"/>
      <c r="D170" s="50"/>
      <c r="E170" s="50"/>
    </row>
    <row r="171" spans="1:5" x14ac:dyDescent="0.3">
      <c r="A171" s="92">
        <f>CODIGOS!A163</f>
        <v>2024155</v>
      </c>
      <c r="B171" s="93" t="str">
        <f>CODIGOS!C163</f>
        <v>Meneses Velasco Santiago - Sara</v>
      </c>
      <c r="C171" s="50"/>
      <c r="D171" s="50"/>
      <c r="E171" s="50"/>
    </row>
    <row r="172" spans="1:5" x14ac:dyDescent="0.3">
      <c r="A172" s="92">
        <f>CODIGOS!A164</f>
        <v>2024156</v>
      </c>
      <c r="B172" s="93" t="str">
        <f>CODIGOS!C164</f>
        <v>Mercado Gomez Laura Luana</v>
      </c>
      <c r="C172" s="50"/>
      <c r="D172" s="50"/>
      <c r="E172" s="50"/>
    </row>
    <row r="173" spans="1:5" x14ac:dyDescent="0.3">
      <c r="A173" s="92">
        <f>CODIGOS!A165</f>
        <v>2024157</v>
      </c>
      <c r="B173" s="93" t="str">
        <f>CODIGOS!C165</f>
        <v xml:space="preserve">Mercado Herrera Bruno Ignacio </v>
      </c>
      <c r="C173" s="50"/>
      <c r="D173" s="50"/>
      <c r="E173" s="50"/>
    </row>
    <row r="174" spans="1:5" x14ac:dyDescent="0.3">
      <c r="A174" s="92">
        <f>CODIGOS!A166</f>
        <v>2024158</v>
      </c>
      <c r="B174" s="93" t="str">
        <f>CODIGOS!C166</f>
        <v>Mercado Herrera Carlos Arturo</v>
      </c>
      <c r="C174" s="50"/>
      <c r="D174" s="50"/>
      <c r="E174" s="50"/>
    </row>
    <row r="175" spans="1:5" x14ac:dyDescent="0.3">
      <c r="A175" s="92">
        <f>CODIGOS!A167</f>
        <v>2024159</v>
      </c>
      <c r="B175" s="93" t="str">
        <f>CODIGOS!C167</f>
        <v>Mercado Quiroga Nicolas Andre - Rodrigo David</v>
      </c>
      <c r="C175" s="50"/>
      <c r="D175" s="50"/>
      <c r="E175" s="50"/>
    </row>
    <row r="176" spans="1:5" x14ac:dyDescent="0.3">
      <c r="A176" s="92">
        <f>CODIGOS!A168</f>
        <v>2024160</v>
      </c>
      <c r="B176" s="93" t="str">
        <f>CODIGOS!C168</f>
        <v>Mercado Rojas Maria Belen</v>
      </c>
      <c r="C176" s="50"/>
      <c r="D176" s="50"/>
      <c r="E176" s="50"/>
    </row>
    <row r="177" spans="1:5" x14ac:dyDescent="0.3">
      <c r="A177" s="92">
        <f>CODIGOS!A169</f>
        <v>2024161</v>
      </c>
      <c r="B177" s="93" t="str">
        <f>CODIGOS!C169</f>
        <v>Mercado Suaznabar Cecilia</v>
      </c>
      <c r="C177" s="50"/>
      <c r="D177" s="50"/>
      <c r="E177" s="50"/>
    </row>
    <row r="178" spans="1:5" x14ac:dyDescent="0.3">
      <c r="A178" s="92">
        <f>CODIGOS!A170</f>
        <v>2024162</v>
      </c>
      <c r="B178" s="93" t="str">
        <f>CODIGOS!C170</f>
        <v>Mercado Suaznabar Sofia</v>
      </c>
      <c r="C178" s="50"/>
      <c r="D178" s="50"/>
      <c r="E178" s="50"/>
    </row>
    <row r="179" spans="1:5" x14ac:dyDescent="0.3">
      <c r="A179" s="92">
        <f>CODIGOS!A171</f>
        <v>2024163</v>
      </c>
      <c r="B179" s="93" t="str">
        <f>CODIGOS!C171</f>
        <v>Merida Guardia Santiago Benjamin</v>
      </c>
      <c r="C179" s="50"/>
      <c r="D179" s="50"/>
      <c r="E179" s="50"/>
    </row>
    <row r="180" spans="1:5" x14ac:dyDescent="0.3">
      <c r="A180" s="92">
        <f>CODIGOS!A172</f>
        <v>2024165</v>
      </c>
      <c r="B180" s="93" t="str">
        <f>CODIGOS!C172</f>
        <v>Michel Krpan Aitana</v>
      </c>
      <c r="C180" s="50"/>
      <c r="D180" s="50"/>
      <c r="E180" s="50"/>
    </row>
    <row r="181" spans="1:5" x14ac:dyDescent="0.3">
      <c r="A181" s="92">
        <f>CODIGOS!A173</f>
        <v>2024166</v>
      </c>
      <c r="B181" s="93" t="str">
        <f>CODIGOS!C173</f>
        <v>Miguez Magne Arelys - Caleb</v>
      </c>
      <c r="C181" s="50"/>
      <c r="D181" s="50"/>
      <c r="E181" s="50"/>
    </row>
    <row r="182" spans="1:5" x14ac:dyDescent="0.3">
      <c r="A182" s="92">
        <f>CODIGOS!A174</f>
        <v>2024167</v>
      </c>
      <c r="B182" s="93" t="str">
        <f>CODIGOS!C174</f>
        <v>Miranda Villarroel Hernán Orlando</v>
      </c>
      <c r="C182" s="50"/>
      <c r="D182" s="50"/>
      <c r="E182" s="50"/>
    </row>
    <row r="183" spans="1:5" x14ac:dyDescent="0.3">
      <c r="A183" s="92">
        <f>CODIGOS!A175</f>
        <v>2024168</v>
      </c>
      <c r="B183" s="93" t="str">
        <f>CODIGOS!C175</f>
        <v>Montan Leal Kyra - Walter Kayron</v>
      </c>
      <c r="C183" s="50"/>
      <c r="D183" s="50"/>
      <c r="E183" s="50"/>
    </row>
    <row r="184" spans="1:5" x14ac:dyDescent="0.3">
      <c r="A184" s="92">
        <f>CODIGOS!A176</f>
        <v>2024169</v>
      </c>
      <c r="B184" s="93" t="str">
        <f>CODIGOS!C176</f>
        <v>Montaño Rossell Valentin Santiago</v>
      </c>
      <c r="C184" s="50"/>
      <c r="D184" s="50"/>
      <c r="E184" s="50"/>
    </row>
    <row r="185" spans="1:5" x14ac:dyDescent="0.3">
      <c r="A185" s="92">
        <f>CODIGOS!A177</f>
        <v>2024170</v>
      </c>
      <c r="B185" s="93" t="str">
        <f>CODIGOS!C177</f>
        <v>Montes Fernandez Mateo Andre - Lucas Dario</v>
      </c>
      <c r="C185" s="50"/>
      <c r="D185" s="50"/>
      <c r="E185" s="50"/>
    </row>
    <row r="186" spans="1:5" x14ac:dyDescent="0.3">
      <c r="A186" s="92">
        <f>CODIGOS!A178</f>
        <v>2024171</v>
      </c>
      <c r="B186" s="93" t="str">
        <f>CODIGOS!C178</f>
        <v xml:space="preserve">Mora Illanes Leandro - Dylan </v>
      </c>
      <c r="C186" s="50"/>
      <c r="D186" s="50"/>
      <c r="E186" s="50"/>
    </row>
    <row r="187" spans="1:5" x14ac:dyDescent="0.3">
      <c r="A187" s="92">
        <f>CODIGOS!A179</f>
        <v>2024172</v>
      </c>
      <c r="B187" s="93" t="str">
        <f>CODIGOS!C179</f>
        <v>Moreira Jalil Jose Nicolas</v>
      </c>
      <c r="C187" s="50"/>
      <c r="D187" s="50"/>
      <c r="E187" s="50"/>
    </row>
    <row r="188" spans="1:5" x14ac:dyDescent="0.3">
      <c r="A188" s="92">
        <f>CODIGOS!A180</f>
        <v>2024173</v>
      </c>
      <c r="B188" s="93" t="str">
        <f>CODIGOS!C180</f>
        <v>Muñoz Polglase Rafael Dylan</v>
      </c>
      <c r="C188" s="50"/>
      <c r="D188" s="50"/>
      <c r="E188" s="50"/>
    </row>
    <row r="189" spans="1:5" x14ac:dyDescent="0.3">
      <c r="A189" s="92">
        <f>CODIGOS!A181</f>
        <v>2024174</v>
      </c>
      <c r="B189" s="93" t="str">
        <f>CODIGOS!C181</f>
        <v>Muriel Oroza Agustina Gabriela</v>
      </c>
      <c r="C189" s="50"/>
      <c r="D189" s="50"/>
      <c r="E189" s="50"/>
    </row>
    <row r="190" spans="1:5" x14ac:dyDescent="0.3">
      <c r="A190" s="92">
        <f>CODIGOS!A182</f>
        <v>2024175</v>
      </c>
      <c r="B190" s="93" t="str">
        <f>CODIGOS!C182</f>
        <v>Murillo Frontanilla Luciano Eduardo - Matias Esteban</v>
      </c>
      <c r="C190" s="50"/>
      <c r="D190" s="50"/>
      <c r="E190" s="50"/>
    </row>
    <row r="191" spans="1:5" x14ac:dyDescent="0.3">
      <c r="A191" s="92">
        <f>CODIGOS!A183</f>
        <v>2024176</v>
      </c>
      <c r="B191" s="93" t="str">
        <f>CODIGOS!C183</f>
        <v xml:space="preserve">Numbela Saavedra Fabrizio - Agustín - Rafael </v>
      </c>
      <c r="C191" s="50"/>
      <c r="D191" s="50"/>
      <c r="E191" s="50"/>
    </row>
    <row r="192" spans="1:5" x14ac:dyDescent="0.3">
      <c r="A192" s="92">
        <f>CODIGOS!A184</f>
        <v>2024177</v>
      </c>
      <c r="B192" s="93" t="str">
        <f>CODIGOS!C184</f>
        <v>Obando Choque Jose Matias</v>
      </c>
      <c r="C192" s="50"/>
      <c r="D192" s="50"/>
      <c r="E192" s="50"/>
    </row>
    <row r="193" spans="1:5" x14ac:dyDescent="0.3">
      <c r="A193" s="92">
        <f>CODIGOS!A185</f>
        <v>2024178</v>
      </c>
      <c r="B193" s="93" t="str">
        <f>CODIGOS!C185</f>
        <v>Olarte Fuentes Diana Arlett</v>
      </c>
      <c r="C193" s="50"/>
      <c r="D193" s="50"/>
      <c r="E193" s="50"/>
    </row>
    <row r="194" spans="1:5" x14ac:dyDescent="0.3">
      <c r="A194" s="92">
        <f>CODIGOS!A186</f>
        <v>2024179</v>
      </c>
      <c r="B194" s="93" t="str">
        <f>CODIGOS!C186</f>
        <v xml:space="preserve">Olmos Delgadillo Renata - Ignacio </v>
      </c>
      <c r="C194" s="50"/>
      <c r="D194" s="50"/>
      <c r="E194" s="50"/>
    </row>
    <row r="195" spans="1:5" x14ac:dyDescent="0.3">
      <c r="A195" s="92">
        <f>CODIGOS!A187</f>
        <v>2024180</v>
      </c>
      <c r="B195" s="93" t="str">
        <f>CODIGOS!C187</f>
        <v>Oporto Trujillo Ulises</v>
      </c>
      <c r="C195" s="50"/>
      <c r="D195" s="50"/>
      <c r="E195" s="50"/>
    </row>
    <row r="196" spans="1:5" x14ac:dyDescent="0.3">
      <c r="A196" s="92">
        <f>CODIGOS!A188</f>
        <v>2024181</v>
      </c>
      <c r="B196" s="93" t="str">
        <f>CODIGOS!C188</f>
        <v>Orellana Bautista Herberth - Alvaro</v>
      </c>
      <c r="C196" s="50"/>
      <c r="D196" s="50"/>
      <c r="E196" s="50"/>
    </row>
    <row r="197" spans="1:5" x14ac:dyDescent="0.3">
      <c r="A197" s="92">
        <f>CODIGOS!A189</f>
        <v>2024182</v>
      </c>
      <c r="B197" s="93" t="str">
        <f>CODIGOS!C189</f>
        <v xml:space="preserve">Ortega Escudero Gianella - Raphaella - Isabella </v>
      </c>
      <c r="C197" s="50"/>
      <c r="D197" s="50"/>
      <c r="E197" s="50"/>
    </row>
    <row r="198" spans="1:5" x14ac:dyDescent="0.3">
      <c r="A198" s="92">
        <f>CODIGOS!A190</f>
        <v>2024183</v>
      </c>
      <c r="B198" s="93" t="str">
        <f>CODIGOS!C190</f>
        <v>Ortega Rojas Brisa</v>
      </c>
      <c r="C198" s="50"/>
      <c r="D198" s="50"/>
      <c r="E198" s="50"/>
    </row>
    <row r="199" spans="1:5" x14ac:dyDescent="0.3">
      <c r="A199" s="92">
        <f>CODIGOS!A191</f>
        <v>2024314</v>
      </c>
      <c r="B199" s="93" t="str">
        <f>CODIGOS!C191</f>
        <v>Ortuño Rivero Yuri Elias</v>
      </c>
      <c r="C199" s="50"/>
      <c r="D199" s="50"/>
      <c r="E199" s="50"/>
    </row>
    <row r="200" spans="1:5" x14ac:dyDescent="0.3">
      <c r="A200" s="92">
        <f>CODIGOS!A192</f>
        <v>2024184</v>
      </c>
      <c r="B200" s="93" t="str">
        <f>CODIGOS!C192</f>
        <v>Pacheco Perez Ramiro Vladimir</v>
      </c>
      <c r="C200" s="50"/>
      <c r="D200" s="50"/>
      <c r="E200" s="50"/>
    </row>
    <row r="201" spans="1:5" x14ac:dyDescent="0.3">
      <c r="A201" s="92">
        <f>CODIGOS!A193</f>
        <v>2024185</v>
      </c>
      <c r="B201" s="93" t="str">
        <f>CODIGOS!C193</f>
        <v>Padilla Alonso Ciro</v>
      </c>
      <c r="C201" s="50"/>
      <c r="D201" s="50"/>
      <c r="E201" s="50"/>
    </row>
    <row r="202" spans="1:5" x14ac:dyDescent="0.3">
      <c r="A202" s="92">
        <f>CODIGOS!A194</f>
        <v>2024186</v>
      </c>
      <c r="B202" s="93" t="str">
        <f>CODIGOS!C194</f>
        <v>Paniagua Ortega Luciana - Violetta</v>
      </c>
      <c r="C202" s="50"/>
      <c r="D202" s="50"/>
      <c r="E202" s="50"/>
    </row>
    <row r="203" spans="1:5" x14ac:dyDescent="0.3">
      <c r="A203" s="92">
        <f>CODIGOS!A195</f>
        <v>2024187</v>
      </c>
      <c r="B203" s="93" t="str">
        <f>CODIGOS!C195</f>
        <v>Paniagua Torrico Isabel Andrea</v>
      </c>
      <c r="C203" s="50"/>
      <c r="D203" s="50"/>
      <c r="E203" s="50"/>
    </row>
    <row r="204" spans="1:5" x14ac:dyDescent="0.3">
      <c r="A204" s="92">
        <f>CODIGOS!A196</f>
        <v>2024188</v>
      </c>
      <c r="B204" s="93" t="str">
        <f>CODIGOS!C196</f>
        <v>Pardo Bernal Alejandra</v>
      </c>
      <c r="C204" s="50"/>
      <c r="D204" s="50"/>
      <c r="E204" s="50"/>
    </row>
    <row r="205" spans="1:5" x14ac:dyDescent="0.3">
      <c r="A205" s="92">
        <f>CODIGOS!A197</f>
        <v>2024189</v>
      </c>
      <c r="B205" s="93" t="str">
        <f>CODIGOS!C197</f>
        <v>Pardo Ergueta Sophie Alejandra</v>
      </c>
      <c r="C205" s="50"/>
      <c r="D205" s="50"/>
      <c r="E205" s="50"/>
    </row>
    <row r="206" spans="1:5" x14ac:dyDescent="0.3">
      <c r="A206" s="92">
        <f>CODIGOS!A198</f>
        <v>2024190</v>
      </c>
      <c r="B206" s="93" t="str">
        <f>CODIGOS!C198</f>
        <v>Pardo Lopez Alexia Abigail</v>
      </c>
      <c r="C206" s="50"/>
      <c r="D206" s="50"/>
      <c r="E206" s="50"/>
    </row>
    <row r="207" spans="1:5" x14ac:dyDescent="0.3">
      <c r="A207" s="92">
        <f>CODIGOS!A199</f>
        <v>2024191</v>
      </c>
      <c r="B207" s="93" t="str">
        <f>CODIGOS!C199</f>
        <v>Pardo Lopez Benjamin - Joaquin</v>
      </c>
      <c r="C207" s="50"/>
      <c r="D207" s="50"/>
      <c r="E207" s="50"/>
    </row>
    <row r="208" spans="1:5" x14ac:dyDescent="0.3">
      <c r="A208" s="92">
        <f>CODIGOS!A200</f>
        <v>2024192</v>
      </c>
      <c r="B208" s="93" t="str">
        <f>CODIGOS!C200</f>
        <v xml:space="preserve">Parrado Ruiz Gustavo - Gabriel </v>
      </c>
      <c r="C208" s="50"/>
      <c r="D208" s="50"/>
      <c r="E208" s="50"/>
    </row>
    <row r="209" spans="1:5" x14ac:dyDescent="0.3">
      <c r="A209" s="92">
        <f>CODIGOS!A201</f>
        <v>2024193</v>
      </c>
      <c r="B209" s="93" t="str">
        <f>CODIGOS!C201</f>
        <v>Patiño Vargas Christopher Dylan</v>
      </c>
      <c r="C209" s="50"/>
      <c r="D209" s="50"/>
      <c r="E209" s="50"/>
    </row>
    <row r="210" spans="1:5" x14ac:dyDescent="0.3">
      <c r="A210" s="92">
        <f>CODIGOS!A202</f>
        <v>2024194</v>
      </c>
      <c r="B210" s="93" t="str">
        <f>CODIGOS!C202</f>
        <v>Paz Santa Cruz Agustin - Antonio Francisco</v>
      </c>
      <c r="C210" s="50"/>
      <c r="D210" s="50"/>
      <c r="E210" s="50"/>
    </row>
    <row r="211" spans="1:5" x14ac:dyDescent="0.3">
      <c r="A211" s="92">
        <f>CODIGOS!A203</f>
        <v>2024195</v>
      </c>
      <c r="B211" s="93" t="str">
        <f>CODIGOS!C203</f>
        <v>Peñaloza Prado Rafael Andres - Nicolas Luis</v>
      </c>
      <c r="C211" s="50"/>
      <c r="D211" s="50"/>
      <c r="E211" s="50"/>
    </row>
    <row r="212" spans="1:5" x14ac:dyDescent="0.3">
      <c r="A212" s="92">
        <f>CODIGOS!A204</f>
        <v>2024196</v>
      </c>
      <c r="B212" s="93" t="str">
        <f>CODIGOS!C204</f>
        <v>Peñarrieta Numbela Joaquín Ignacio - Saya Mei</v>
      </c>
      <c r="C212" s="50"/>
      <c r="D212" s="50"/>
      <c r="E212" s="50"/>
    </row>
    <row r="213" spans="1:5" x14ac:dyDescent="0.3">
      <c r="A213" s="92">
        <f>CODIGOS!A205</f>
        <v>2024197</v>
      </c>
      <c r="B213" s="93" t="str">
        <f>CODIGOS!C205</f>
        <v>Perez Rocabado Jorge Adrian - Andre Sebastian</v>
      </c>
      <c r="C213" s="50"/>
      <c r="D213" s="50"/>
      <c r="E213" s="50"/>
    </row>
    <row r="214" spans="1:5" x14ac:dyDescent="0.3">
      <c r="A214" s="92">
        <f>CODIGOS!A206</f>
        <v>2024198</v>
      </c>
      <c r="B214" s="93" t="str">
        <f>CODIGOS!C206</f>
        <v xml:space="preserve">Perez Suarez Victoria - Mariana - Luciana </v>
      </c>
      <c r="C214" s="50"/>
      <c r="D214" s="50"/>
      <c r="E214" s="50"/>
    </row>
    <row r="215" spans="1:5" x14ac:dyDescent="0.3">
      <c r="A215" s="92">
        <f>CODIGOS!A207</f>
        <v>2024199</v>
      </c>
      <c r="B215" s="93" t="str">
        <f>CODIGOS!C207</f>
        <v>Ponce Zurita Andrea Paola</v>
      </c>
      <c r="C215" s="50"/>
      <c r="D215" s="50"/>
      <c r="E215" s="50"/>
    </row>
    <row r="216" spans="1:5" x14ac:dyDescent="0.3">
      <c r="A216" s="92">
        <f>CODIGOS!A208</f>
        <v>2024200</v>
      </c>
      <c r="B216" s="93" t="str">
        <f>CODIGOS!C208</f>
        <v>Poots Pedrozo Oliver - Alexa</v>
      </c>
      <c r="C216" s="50"/>
      <c r="D216" s="50"/>
      <c r="E216" s="50"/>
    </row>
    <row r="217" spans="1:5" x14ac:dyDescent="0.3">
      <c r="A217" s="92">
        <f>CODIGOS!A209</f>
        <v>2024201</v>
      </c>
      <c r="B217" s="93" t="str">
        <f>CODIGOS!C209</f>
        <v>Prieto Gonzales Maria Jose</v>
      </c>
      <c r="C217" s="50"/>
      <c r="D217" s="50"/>
      <c r="E217" s="50"/>
    </row>
    <row r="218" spans="1:5" x14ac:dyDescent="0.3">
      <c r="A218" s="92">
        <f>CODIGOS!A210</f>
        <v>2024202</v>
      </c>
      <c r="B218" s="93" t="str">
        <f>CODIGOS!C210</f>
        <v>Quinteros David Gabriel</v>
      </c>
      <c r="C218" s="50"/>
      <c r="D218" s="50"/>
      <c r="E218" s="50"/>
    </row>
    <row r="219" spans="1:5" x14ac:dyDescent="0.3">
      <c r="A219" s="92">
        <f>CODIGOS!A211</f>
        <v>2024203</v>
      </c>
      <c r="B219" s="93" t="str">
        <f>CODIGOS!C211</f>
        <v>Quiñones Crespo Rodrigo - Sebastian</v>
      </c>
      <c r="C219" s="50"/>
      <c r="D219" s="50"/>
      <c r="E219" s="50"/>
    </row>
    <row r="220" spans="1:5" x14ac:dyDescent="0.3">
      <c r="A220" s="92">
        <f>CODIGOS!A212</f>
        <v>2024204</v>
      </c>
      <c r="B220" s="93" t="str">
        <f>CODIGOS!C212</f>
        <v>Quiroga Bazoalto Luana Daniela</v>
      </c>
      <c r="C220" s="50"/>
      <c r="D220" s="50"/>
      <c r="E220" s="50"/>
    </row>
    <row r="221" spans="1:5" x14ac:dyDescent="0.3">
      <c r="A221" s="92">
        <f>CODIGOS!A213</f>
        <v>2024205</v>
      </c>
      <c r="B221" s="93" t="str">
        <f>CODIGOS!C213</f>
        <v>Quiroga Gandarillas Carlos Gabriel</v>
      </c>
      <c r="C221" s="50"/>
      <c r="D221" s="50"/>
      <c r="E221" s="50"/>
    </row>
    <row r="222" spans="1:5" x14ac:dyDescent="0.3">
      <c r="A222" s="92">
        <f>CODIGOS!A214</f>
        <v>2024206</v>
      </c>
      <c r="B222" s="93" t="str">
        <f>CODIGOS!C214</f>
        <v>Quiroga Guerra Ian - Kael - Shanna</v>
      </c>
      <c r="C222" s="50"/>
      <c r="D222" s="50"/>
      <c r="E222" s="50"/>
    </row>
    <row r="223" spans="1:5" x14ac:dyDescent="0.3">
      <c r="A223" s="92">
        <f>CODIGOS!A215</f>
        <v>2024207</v>
      </c>
      <c r="B223" s="93" t="str">
        <f>CODIGOS!C215</f>
        <v>Quiroga Perez Elian -  Erick</v>
      </c>
      <c r="C223" s="50"/>
      <c r="D223" s="50"/>
      <c r="E223" s="50"/>
    </row>
    <row r="224" spans="1:5" x14ac:dyDescent="0.3">
      <c r="A224" s="92">
        <f>CODIGOS!A216</f>
        <v>2024208</v>
      </c>
      <c r="B224" s="93" t="str">
        <f>CODIGOS!C216</f>
        <v>Quiroga Ramirez Sofia Isabella</v>
      </c>
      <c r="C224" s="50"/>
      <c r="D224" s="50"/>
      <c r="E224" s="50"/>
    </row>
    <row r="225" spans="1:5" x14ac:dyDescent="0.3">
      <c r="A225" s="92">
        <f>CODIGOS!A217</f>
        <v>2024209</v>
      </c>
      <c r="B225" s="93" t="str">
        <f>CODIGOS!C217</f>
        <v>Quiroga Siles Alejandra Viviana</v>
      </c>
      <c r="C225" s="50"/>
      <c r="D225" s="50"/>
      <c r="E225" s="50"/>
    </row>
    <row r="226" spans="1:5" x14ac:dyDescent="0.3">
      <c r="A226" s="92">
        <f>CODIGOS!A218</f>
        <v>2024210</v>
      </c>
      <c r="B226" s="93" t="str">
        <f>CODIGOS!C218</f>
        <v>Ramallo Caero Romina</v>
      </c>
      <c r="C226" s="50"/>
      <c r="D226" s="50"/>
      <c r="E226" s="50"/>
    </row>
    <row r="227" spans="1:5" x14ac:dyDescent="0.3">
      <c r="A227" s="92">
        <f>CODIGOS!A219</f>
        <v>2024211</v>
      </c>
      <c r="B227" s="93" t="str">
        <f>CODIGOS!C219</f>
        <v>Ramos Rojas Katerin Bianca - Jessica Mariel</v>
      </c>
      <c r="C227" s="50"/>
      <c r="D227" s="50"/>
      <c r="E227" s="50"/>
    </row>
    <row r="228" spans="1:5" x14ac:dyDescent="0.3">
      <c r="A228" s="92">
        <f>CODIGOS!A220</f>
        <v>2024212</v>
      </c>
      <c r="B228" s="93" t="str">
        <f>CODIGOS!C220</f>
        <v>Ramos Viamont Luna Isabella</v>
      </c>
      <c r="C228" s="50"/>
      <c r="D228" s="50"/>
      <c r="E228" s="50"/>
    </row>
    <row r="229" spans="1:5" x14ac:dyDescent="0.3">
      <c r="A229" s="92">
        <f>CODIGOS!A221</f>
        <v>2024213</v>
      </c>
      <c r="B229" s="93" t="str">
        <f>CODIGOS!C221</f>
        <v>Revollo Aquino Helena</v>
      </c>
      <c r="C229" s="50"/>
      <c r="D229" s="50"/>
      <c r="E229" s="50"/>
    </row>
    <row r="230" spans="1:5" x14ac:dyDescent="0.3">
      <c r="A230" s="92">
        <f>CODIGOS!A222</f>
        <v>2024214</v>
      </c>
      <c r="B230" s="93" t="str">
        <f>CODIGOS!C222</f>
        <v>Revollo Lopez Raffaella</v>
      </c>
      <c r="C230" s="50"/>
      <c r="D230" s="50"/>
      <c r="E230" s="50"/>
    </row>
    <row r="231" spans="1:5" x14ac:dyDescent="0.3">
      <c r="A231" s="92">
        <f>CODIGOS!A223</f>
        <v>2024215</v>
      </c>
      <c r="B231" s="93" t="str">
        <f>CODIGOS!C223</f>
        <v>Revollo Medrano Zoe Lynn</v>
      </c>
      <c r="C231" s="50"/>
      <c r="D231" s="50"/>
      <c r="E231" s="50"/>
    </row>
    <row r="232" spans="1:5" x14ac:dyDescent="0.3">
      <c r="A232" s="92">
        <f>CODIGOS!A224</f>
        <v>2024216</v>
      </c>
      <c r="B232" s="93" t="str">
        <f>CODIGOS!C224</f>
        <v>Reynolds Arispe Mariel - Vanessa</v>
      </c>
      <c r="C232" s="50"/>
      <c r="D232" s="50"/>
      <c r="E232" s="50"/>
    </row>
    <row r="233" spans="1:5" x14ac:dyDescent="0.3">
      <c r="A233" s="92">
        <f>CODIGOS!A225</f>
        <v>2024217</v>
      </c>
      <c r="B233" s="93" t="str">
        <f>CODIGOS!C225</f>
        <v>Rico Flores Valentina Salome</v>
      </c>
      <c r="C233" s="50"/>
      <c r="D233" s="50"/>
      <c r="E233" s="50"/>
    </row>
    <row r="234" spans="1:5" x14ac:dyDescent="0.3">
      <c r="A234" s="92">
        <f>CODIGOS!A226</f>
        <v>2024218</v>
      </c>
      <c r="B234" s="93" t="str">
        <f>CODIGOS!C226</f>
        <v>Rioja Tisco Andres Dominic - Dennisse Jhoana</v>
      </c>
      <c r="C234" s="50"/>
      <c r="D234" s="50"/>
      <c r="E234" s="50"/>
    </row>
    <row r="235" spans="1:5" x14ac:dyDescent="0.3">
      <c r="A235" s="92">
        <f>CODIGOS!A227</f>
        <v>2024219</v>
      </c>
      <c r="B235" s="93" t="str">
        <f>CODIGOS!C227</f>
        <v>Rios Quiroga Mauricio</v>
      </c>
      <c r="C235" s="50"/>
      <c r="D235" s="50"/>
      <c r="E235" s="50"/>
    </row>
    <row r="236" spans="1:5" x14ac:dyDescent="0.3">
      <c r="A236" s="92">
        <f>CODIGOS!A228</f>
        <v>2024321</v>
      </c>
      <c r="B236" s="93" t="str">
        <f>CODIGOS!C228</f>
        <v>Robles Mendoza Maria Victoria</v>
      </c>
      <c r="C236" s="50"/>
      <c r="D236" s="50"/>
      <c r="E236" s="50"/>
    </row>
    <row r="237" spans="1:5" x14ac:dyDescent="0.3">
      <c r="A237" s="92">
        <f>CODIGOS!A229</f>
        <v>2024220</v>
      </c>
      <c r="B237" s="93" t="str">
        <f>CODIGOS!C229</f>
        <v>Robles Mendoza Mariela Valeria</v>
      </c>
      <c r="C237" s="50"/>
      <c r="D237" s="50"/>
      <c r="E237" s="50"/>
    </row>
    <row r="238" spans="1:5" x14ac:dyDescent="0.3">
      <c r="A238" s="92">
        <f>CODIGOS!A230</f>
        <v>2024221</v>
      </c>
      <c r="B238" s="93" t="str">
        <f>CODIGOS!C230</f>
        <v>Rocabado Andia Luciana - Mariana</v>
      </c>
      <c r="C238" s="50"/>
      <c r="D238" s="50"/>
      <c r="E238" s="50"/>
    </row>
    <row r="239" spans="1:5" x14ac:dyDescent="0.3">
      <c r="A239" s="92">
        <f>CODIGOS!A231</f>
        <v>2024222</v>
      </c>
      <c r="B239" s="93" t="str">
        <f>CODIGOS!C231</f>
        <v>Rocabado Sempertegui Guadalupe</v>
      </c>
      <c r="C239" s="50"/>
      <c r="D239" s="50"/>
      <c r="E239" s="50"/>
    </row>
    <row r="240" spans="1:5" x14ac:dyDescent="0.3">
      <c r="A240" s="92">
        <f>CODIGOS!A232</f>
        <v>2024223</v>
      </c>
      <c r="B240" s="93" t="str">
        <f>CODIGOS!C232</f>
        <v>Rocha Pinto Kiara Adelaida - Mateo Mauricio</v>
      </c>
      <c r="C240" s="50"/>
      <c r="D240" s="50"/>
      <c r="E240" s="50"/>
    </row>
    <row r="241" spans="1:5" x14ac:dyDescent="0.3">
      <c r="A241" s="92">
        <f>CODIGOS!A233</f>
        <v>2024224</v>
      </c>
      <c r="B241" s="93" t="str">
        <f>CODIGOS!C233</f>
        <v>Rodriguez Shütt Santiago - Martina</v>
      </c>
      <c r="C241" s="50"/>
      <c r="D241" s="50"/>
      <c r="E241" s="50"/>
    </row>
    <row r="242" spans="1:5" x14ac:dyDescent="0.3">
      <c r="A242" s="92">
        <f>CODIGOS!A234</f>
        <v>2024319</v>
      </c>
      <c r="B242" s="93" t="str">
        <f>CODIGOS!C234</f>
        <v>Rojas Arias Alvaro Fabricio</v>
      </c>
      <c r="C242" s="50"/>
      <c r="D242" s="50"/>
      <c r="E242" s="50"/>
    </row>
    <row r="243" spans="1:5" x14ac:dyDescent="0.3">
      <c r="A243" s="92">
        <f>CODIGOS!A235</f>
        <v>2024225</v>
      </c>
      <c r="B243" s="93" t="str">
        <f>CODIGOS!C235</f>
        <v>Rojas Flores Renata Liah</v>
      </c>
      <c r="C243" s="50"/>
      <c r="D243" s="50"/>
      <c r="E243" s="50"/>
    </row>
    <row r="244" spans="1:5" x14ac:dyDescent="0.3">
      <c r="A244" s="92">
        <f>CODIGOS!A236</f>
        <v>2024226</v>
      </c>
      <c r="B244" s="93" t="str">
        <f>CODIGOS!C236</f>
        <v>Rojas Gabriel Emanuel</v>
      </c>
      <c r="C244" s="50"/>
      <c r="D244" s="50"/>
      <c r="E244" s="50"/>
    </row>
    <row r="245" spans="1:5" x14ac:dyDescent="0.3">
      <c r="A245" s="92">
        <f>CODIGOS!A237</f>
        <v>2024227</v>
      </c>
      <c r="B245" s="93" t="str">
        <f>CODIGOS!C237</f>
        <v>Rojas Mora Thiago</v>
      </c>
      <c r="C245" s="50"/>
      <c r="D245" s="50"/>
      <c r="E245" s="50"/>
    </row>
    <row r="246" spans="1:5" x14ac:dyDescent="0.3">
      <c r="A246" s="92">
        <f>CODIGOS!A238</f>
        <v>2024228</v>
      </c>
      <c r="B246" s="93" t="str">
        <f>CODIGOS!C238</f>
        <v>Rojas Peña Abel Santiago</v>
      </c>
      <c r="C246" s="50"/>
      <c r="D246" s="50"/>
      <c r="E246" s="50"/>
    </row>
    <row r="247" spans="1:5" x14ac:dyDescent="0.3">
      <c r="A247" s="92">
        <f>CODIGOS!A239</f>
        <v>2024229</v>
      </c>
      <c r="B247" s="93" t="str">
        <f>CODIGOS!C239</f>
        <v>Rojas Rios Camila</v>
      </c>
      <c r="C247" s="50"/>
      <c r="D247" s="50"/>
      <c r="E247" s="50"/>
    </row>
    <row r="248" spans="1:5" x14ac:dyDescent="0.3">
      <c r="A248" s="92">
        <f>CODIGOS!A240</f>
        <v>2024230</v>
      </c>
      <c r="B248" s="93" t="str">
        <f>CODIGOS!C240</f>
        <v>Rojas Roman Valeria Gabriela</v>
      </c>
      <c r="C248" s="50"/>
      <c r="D248" s="50"/>
      <c r="E248" s="50"/>
    </row>
    <row r="249" spans="1:5" x14ac:dyDescent="0.3">
      <c r="A249" s="92">
        <f>CODIGOS!A241</f>
        <v>2024231</v>
      </c>
      <c r="B249" s="93" t="str">
        <f>CODIGOS!C241</f>
        <v xml:space="preserve">Rojas Zaconeta Sebastian </v>
      </c>
      <c r="C249" s="50"/>
      <c r="D249" s="50"/>
      <c r="E249" s="50"/>
    </row>
    <row r="250" spans="1:5" x14ac:dyDescent="0.3">
      <c r="A250" s="92">
        <f>CODIGOS!A242</f>
        <v>2024232</v>
      </c>
      <c r="B250" s="93" t="str">
        <f>CODIGOS!C242</f>
        <v>Roman Saavedra Ariana Montserrat</v>
      </c>
      <c r="C250" s="50"/>
      <c r="D250" s="50"/>
      <c r="E250" s="50"/>
    </row>
    <row r="251" spans="1:5" x14ac:dyDescent="0.3">
      <c r="A251" s="92">
        <f>CODIGOS!A243</f>
        <v>2024233</v>
      </c>
      <c r="B251" s="93" t="str">
        <f>CODIGOS!C243</f>
        <v>Rosas Uriona Gilma Sofia</v>
      </c>
      <c r="C251" s="50"/>
      <c r="D251" s="50"/>
      <c r="E251" s="50"/>
    </row>
    <row r="252" spans="1:5" x14ac:dyDescent="0.3">
      <c r="A252" s="92">
        <f>CODIGOS!A244</f>
        <v>2024234</v>
      </c>
      <c r="B252" s="93" t="str">
        <f>CODIGOS!C244</f>
        <v>Rudon Fischer Carly - Aiden - Lukas</v>
      </c>
      <c r="C252" s="50"/>
      <c r="D252" s="50"/>
      <c r="E252" s="50"/>
    </row>
    <row r="253" spans="1:5" x14ac:dyDescent="0.3">
      <c r="A253" s="92">
        <f>CODIGOS!A245</f>
        <v>2024235</v>
      </c>
      <c r="B253" s="93" t="str">
        <f>CODIGOS!C245</f>
        <v>Saavedra Almaraz Sergio Gabriel</v>
      </c>
      <c r="C253" s="50"/>
      <c r="D253" s="50"/>
      <c r="E253" s="50"/>
    </row>
    <row r="254" spans="1:5" x14ac:dyDescent="0.3">
      <c r="A254" s="92">
        <f>CODIGOS!A246</f>
        <v>2024236</v>
      </c>
      <c r="B254" s="93" t="str">
        <f>CODIGOS!C246</f>
        <v>Saavedra Alvarez Diego - Valeria</v>
      </c>
      <c r="C254" s="50"/>
      <c r="D254" s="50"/>
      <c r="E254" s="50"/>
    </row>
    <row r="255" spans="1:5" x14ac:dyDescent="0.3">
      <c r="A255" s="92">
        <f>CODIGOS!A247</f>
        <v>2024237</v>
      </c>
      <c r="B255" s="93" t="str">
        <f>CODIGOS!C247</f>
        <v>Saavedra Bustamante Mateo</v>
      </c>
      <c r="C255" s="50"/>
      <c r="D255" s="50"/>
      <c r="E255" s="50"/>
    </row>
    <row r="256" spans="1:5" x14ac:dyDescent="0.3">
      <c r="A256" s="92">
        <f>CODIGOS!A248</f>
        <v>2024238</v>
      </c>
      <c r="B256" s="93" t="str">
        <f>CODIGOS!C248</f>
        <v xml:space="preserve">Salamanca Soriano Constanza Isabel </v>
      </c>
      <c r="C256" s="50"/>
      <c r="D256" s="50"/>
      <c r="E256" s="50"/>
    </row>
    <row r="257" spans="1:5" x14ac:dyDescent="0.3">
      <c r="A257" s="92">
        <f>CODIGOS!A249</f>
        <v>2024239</v>
      </c>
      <c r="B257" s="93" t="str">
        <f>CODIGOS!C249</f>
        <v>Salazar Bozo Stephany Raquel</v>
      </c>
      <c r="C257" s="50"/>
      <c r="D257" s="50"/>
      <c r="E257" s="50"/>
    </row>
    <row r="258" spans="1:5" x14ac:dyDescent="0.3">
      <c r="A258" s="92">
        <f>CODIGOS!A250</f>
        <v>2024240</v>
      </c>
      <c r="B258" s="93" t="str">
        <f>CODIGOS!C250</f>
        <v>Salazar Cardona Fabianne</v>
      </c>
      <c r="C258" s="50"/>
      <c r="D258" s="50"/>
      <c r="E258" s="50"/>
    </row>
    <row r="259" spans="1:5" x14ac:dyDescent="0.3">
      <c r="A259" s="92">
        <f>CODIGOS!A251</f>
        <v>2024241</v>
      </c>
      <c r="B259" s="93" t="str">
        <f>CODIGOS!C251</f>
        <v>Salazar Cardona Fabianne</v>
      </c>
      <c r="C259" s="50"/>
      <c r="D259" s="50"/>
      <c r="E259" s="50"/>
    </row>
    <row r="260" spans="1:5" x14ac:dyDescent="0.3">
      <c r="A260" s="92">
        <f>CODIGOS!A252</f>
        <v>2024242</v>
      </c>
      <c r="B260" s="93" t="str">
        <f>CODIGOS!C252</f>
        <v>Salazar Mariaca Sara</v>
      </c>
      <c r="C260" s="50"/>
      <c r="D260" s="50"/>
      <c r="E260" s="50"/>
    </row>
    <row r="261" spans="1:5" x14ac:dyDescent="0.3">
      <c r="A261" s="92">
        <f>CODIGOS!A253</f>
        <v>2024243</v>
      </c>
      <c r="B261" s="93" t="str">
        <f>CODIGOS!C253</f>
        <v>Salguero Suaznabar Santiago</v>
      </c>
      <c r="C261" s="50"/>
      <c r="D261" s="50"/>
      <c r="E261" s="50"/>
    </row>
    <row r="262" spans="1:5" x14ac:dyDescent="0.3">
      <c r="A262" s="92">
        <f>CODIGOS!A254</f>
        <v>2024244</v>
      </c>
      <c r="B262" s="93" t="str">
        <f>CODIGOS!C254</f>
        <v>Salinas Arandia Francisco</v>
      </c>
      <c r="C262" s="50"/>
      <c r="D262" s="50"/>
      <c r="E262" s="50"/>
    </row>
    <row r="263" spans="1:5" x14ac:dyDescent="0.3">
      <c r="A263" s="92">
        <f>CODIGOS!A255</f>
        <v>2024245</v>
      </c>
      <c r="B263" s="93" t="str">
        <f>CODIGOS!C255</f>
        <v>Salinas Suarez Jared Eliud - Jabes Duncan</v>
      </c>
      <c r="C263" s="50"/>
      <c r="D263" s="50"/>
      <c r="E263" s="50"/>
    </row>
    <row r="264" spans="1:5" x14ac:dyDescent="0.3">
      <c r="A264" s="92">
        <f>CODIGOS!A256</f>
        <v>2024246</v>
      </c>
      <c r="B264" s="93" t="str">
        <f>CODIGOS!C256</f>
        <v>Sanabria Coronel Raquel - Nicolas</v>
      </c>
      <c r="C264" s="50"/>
      <c r="D264" s="50"/>
      <c r="E264" s="50"/>
    </row>
    <row r="265" spans="1:5" x14ac:dyDescent="0.3">
      <c r="A265" s="92">
        <f>CODIGOS!A257</f>
        <v>2024247</v>
      </c>
      <c r="B265" s="93" t="str">
        <f>CODIGOS!C257</f>
        <v>Sanchez Aguirre Rachel</v>
      </c>
      <c r="C265" s="50"/>
      <c r="D265" s="50"/>
      <c r="E265" s="50"/>
    </row>
    <row r="266" spans="1:5" x14ac:dyDescent="0.3">
      <c r="A266" s="92">
        <f>CODIGOS!A258</f>
        <v>2024248</v>
      </c>
      <c r="B266" s="93" t="str">
        <f>CODIGOS!C258</f>
        <v>Sanchez Cuesta Alicia</v>
      </c>
      <c r="C266" s="50"/>
      <c r="D266" s="50"/>
      <c r="E266" s="50"/>
    </row>
    <row r="267" spans="1:5" x14ac:dyDescent="0.3">
      <c r="A267" s="92">
        <f>CODIGOS!A259</f>
        <v>2024249</v>
      </c>
      <c r="B267" s="93" t="str">
        <f>CODIGOS!C259</f>
        <v>Sanchez Saavedra Mario Roberto - Alexia Sofia</v>
      </c>
      <c r="C267" s="50"/>
      <c r="D267" s="50"/>
      <c r="E267" s="50"/>
    </row>
    <row r="268" spans="1:5" x14ac:dyDescent="0.3">
      <c r="A268" s="92">
        <f>CODIGOS!A260</f>
        <v>2024250</v>
      </c>
      <c r="B268" s="93" t="str">
        <f>CODIGOS!C260</f>
        <v>Sanchez Zenteno Valentina Sophia</v>
      </c>
      <c r="C268" s="50"/>
      <c r="D268" s="50"/>
      <c r="E268" s="50"/>
    </row>
    <row r="269" spans="1:5" x14ac:dyDescent="0.3">
      <c r="A269" s="92">
        <f>CODIGOS!A261</f>
        <v>2024251</v>
      </c>
      <c r="B269" s="93" t="str">
        <f>CODIGOS!C261</f>
        <v>Sandoval Guzman Ignacio</v>
      </c>
      <c r="C269" s="50"/>
      <c r="D269" s="50"/>
      <c r="E269" s="50"/>
    </row>
    <row r="270" spans="1:5" x14ac:dyDescent="0.3">
      <c r="A270" s="92">
        <f>CODIGOS!A262</f>
        <v>2024252</v>
      </c>
      <c r="B270" s="93" t="str">
        <f>CODIGOS!C262</f>
        <v>Santelices Chavez Danna Nazarena</v>
      </c>
      <c r="C270" s="50"/>
      <c r="D270" s="50"/>
      <c r="E270" s="50"/>
    </row>
    <row r="271" spans="1:5" x14ac:dyDescent="0.3">
      <c r="A271" s="92">
        <f>CODIGOS!A263</f>
        <v>2024253</v>
      </c>
      <c r="B271" s="93" t="str">
        <f>CODIGOS!C263</f>
        <v>Sanzetenea Zambrana Kira Gabriela - Suri Daniela</v>
      </c>
      <c r="C271" s="50"/>
      <c r="D271" s="50"/>
      <c r="E271" s="50"/>
    </row>
    <row r="272" spans="1:5" x14ac:dyDescent="0.3">
      <c r="A272" s="92">
        <f>CODIGOS!A264</f>
        <v>2024254</v>
      </c>
      <c r="B272" s="93" t="str">
        <f>CODIGOS!C264</f>
        <v>Saunero De Los Rios Fernando</v>
      </c>
      <c r="C272" s="50"/>
      <c r="D272" s="50"/>
      <c r="E272" s="50"/>
    </row>
    <row r="273" spans="1:5" x14ac:dyDescent="0.3">
      <c r="A273" s="92">
        <f>CODIGOS!A265</f>
        <v>2024255</v>
      </c>
      <c r="B273" s="93" t="str">
        <f>CODIGOS!C265</f>
        <v>Seguel Chopitea Tomas Alonzo</v>
      </c>
      <c r="C273" s="50"/>
      <c r="D273" s="50"/>
      <c r="E273" s="50"/>
    </row>
    <row r="274" spans="1:5" x14ac:dyDescent="0.3">
      <c r="A274" s="92">
        <f>CODIGOS!A266</f>
        <v>2024256</v>
      </c>
      <c r="B274" s="93" t="str">
        <f>CODIGOS!C266</f>
        <v>Sejas Campos Zulma Isabela</v>
      </c>
      <c r="C274" s="50"/>
      <c r="D274" s="50"/>
      <c r="E274" s="50"/>
    </row>
    <row r="275" spans="1:5" x14ac:dyDescent="0.3">
      <c r="A275" s="92">
        <f>CODIGOS!A267</f>
        <v>2024257</v>
      </c>
      <c r="B275" s="93" t="str">
        <f>CODIGOS!C267</f>
        <v>Sejas Rojas Nicolas - Oscar</v>
      </c>
      <c r="C275" s="50"/>
      <c r="D275" s="50"/>
      <c r="E275" s="50"/>
    </row>
    <row r="276" spans="1:5" x14ac:dyDescent="0.3">
      <c r="A276" s="92">
        <f>CODIGOS!A268</f>
        <v>2024258</v>
      </c>
      <c r="B276" s="93" t="str">
        <f>CODIGOS!C268</f>
        <v>Sejas Zapata Fernanda Gabriela - Rodrigo Gabriel</v>
      </c>
      <c r="C276" s="50"/>
      <c r="D276" s="50"/>
      <c r="E276" s="50"/>
    </row>
    <row r="277" spans="1:5" x14ac:dyDescent="0.3">
      <c r="A277" s="92">
        <f>CODIGOS!A269</f>
        <v>2024259</v>
      </c>
      <c r="B277" s="93" t="str">
        <f>CODIGOS!C269</f>
        <v>Sejas Zurita Shemi Shiore</v>
      </c>
      <c r="C277" s="50"/>
      <c r="D277" s="50"/>
      <c r="E277" s="50"/>
    </row>
    <row r="278" spans="1:5" x14ac:dyDescent="0.3">
      <c r="A278" s="92">
        <f>CODIGOS!A270</f>
        <v>2024260</v>
      </c>
      <c r="B278" s="93" t="str">
        <f>CODIGOS!C270</f>
        <v>Seleme Cuentas Carlos Alejandro</v>
      </c>
      <c r="C278" s="50"/>
      <c r="D278" s="50"/>
      <c r="E278" s="50"/>
    </row>
    <row r="279" spans="1:5" x14ac:dyDescent="0.3">
      <c r="A279" s="92">
        <f>CODIGOS!A271</f>
        <v>2024261</v>
      </c>
      <c r="B279" s="93" t="str">
        <f>CODIGOS!C271</f>
        <v>Serrudo Campos Lia Rafaela</v>
      </c>
      <c r="C279" s="50"/>
      <c r="D279" s="50"/>
      <c r="E279" s="50"/>
    </row>
    <row r="280" spans="1:5" x14ac:dyDescent="0.3">
      <c r="A280" s="92">
        <f>CODIGOS!A272</f>
        <v>2024262</v>
      </c>
      <c r="B280" s="93" t="str">
        <f>CODIGOS!C272</f>
        <v>Siles Mariscal Sarai Belen</v>
      </c>
      <c r="C280" s="50"/>
      <c r="D280" s="50"/>
      <c r="E280" s="50"/>
    </row>
    <row r="281" spans="1:5" x14ac:dyDescent="0.3">
      <c r="A281" s="92">
        <f>CODIGOS!A273</f>
        <v>2024263</v>
      </c>
      <c r="B281" s="93" t="str">
        <f>CODIGOS!C273</f>
        <v>Siles Rosas Luciano Vlentin</v>
      </c>
      <c r="C281" s="50"/>
      <c r="D281" s="50"/>
      <c r="E281" s="50"/>
    </row>
    <row r="282" spans="1:5" x14ac:dyDescent="0.3">
      <c r="A282" s="92">
        <f>CODIGOS!A274</f>
        <v>2024264</v>
      </c>
      <c r="B282" s="93" t="str">
        <f>CODIGOS!C274</f>
        <v>Solis Bustamante Thiago Mauricio</v>
      </c>
      <c r="C282" s="50"/>
      <c r="D282" s="50"/>
      <c r="E282" s="50"/>
    </row>
    <row r="283" spans="1:5" x14ac:dyDescent="0.3">
      <c r="A283" s="92">
        <f>CODIGOS!A275</f>
        <v>2024265</v>
      </c>
      <c r="B283" s="93" t="str">
        <f>CODIGOS!C275</f>
        <v>Solis Rocha Eilyn Valery</v>
      </c>
      <c r="C283" s="50"/>
      <c r="D283" s="50"/>
      <c r="E283" s="50"/>
    </row>
    <row r="284" spans="1:5" x14ac:dyDescent="0.3">
      <c r="A284" s="92">
        <f>CODIGOS!A276</f>
        <v>2024266</v>
      </c>
      <c r="B284" s="93" t="str">
        <f>CODIGOS!C276</f>
        <v>Soraire Almanza Joaquin - Adrian</v>
      </c>
      <c r="C284" s="50"/>
      <c r="D284" s="50"/>
      <c r="E284" s="50"/>
    </row>
    <row r="285" spans="1:5" x14ac:dyDescent="0.3">
      <c r="A285" s="92">
        <f>CODIGOS!A277</f>
        <v>2024267</v>
      </c>
      <c r="B285" s="93" t="str">
        <f>CODIGOS!C277</f>
        <v>Soria Camargo Bianca Paris</v>
      </c>
      <c r="C285" s="50"/>
      <c r="D285" s="50"/>
      <c r="E285" s="50"/>
    </row>
    <row r="286" spans="1:5" x14ac:dyDescent="0.3">
      <c r="A286" s="92">
        <f>CODIGOS!A278</f>
        <v>2024268</v>
      </c>
      <c r="B286" s="93" t="str">
        <f>CODIGOS!C278</f>
        <v>Sotomayor Canedo Ariel Eduardo</v>
      </c>
      <c r="C286" s="50"/>
      <c r="D286" s="50"/>
      <c r="E286" s="50"/>
    </row>
    <row r="287" spans="1:5" x14ac:dyDescent="0.3">
      <c r="A287" s="92">
        <f>CODIGOS!A279</f>
        <v>2024269</v>
      </c>
      <c r="B287" s="93" t="str">
        <f>CODIGOS!C279</f>
        <v>Taborga Fernandez Dayne - Hayley</v>
      </c>
      <c r="C287" s="50"/>
      <c r="D287" s="50"/>
      <c r="E287" s="50"/>
    </row>
    <row r="288" spans="1:5" x14ac:dyDescent="0.3">
      <c r="A288" s="92">
        <f>CODIGOS!A280</f>
        <v>2024270</v>
      </c>
      <c r="B288" s="93" t="str">
        <f>CODIGOS!C280</f>
        <v>Taya Carmona Sofia Keiko</v>
      </c>
      <c r="C288" s="50"/>
      <c r="D288" s="50"/>
      <c r="E288" s="50"/>
    </row>
    <row r="289" spans="1:5" x14ac:dyDescent="0.3">
      <c r="A289" s="92">
        <f>CODIGOS!A281</f>
        <v>2024271</v>
      </c>
      <c r="B289" s="93" t="str">
        <f>CODIGOS!C281</f>
        <v>Teran Galarza Ernesto</v>
      </c>
      <c r="C289" s="50"/>
      <c r="D289" s="50"/>
      <c r="E289" s="50"/>
    </row>
    <row r="290" spans="1:5" x14ac:dyDescent="0.3">
      <c r="A290" s="92">
        <f>CODIGOS!A282</f>
        <v>2024272</v>
      </c>
      <c r="B290" s="93" t="str">
        <f>CODIGOS!C282</f>
        <v xml:space="preserve">Teran Uberhuaga Arleth - Itzel - Gabriel </v>
      </c>
      <c r="C290" s="50"/>
      <c r="D290" s="50"/>
      <c r="E290" s="50"/>
    </row>
    <row r="291" spans="1:5" x14ac:dyDescent="0.3">
      <c r="A291" s="92">
        <f>CODIGOS!A283</f>
        <v>2024273</v>
      </c>
      <c r="B291" s="93" t="str">
        <f>CODIGOS!C283</f>
        <v>Terrazas Daza Diego</v>
      </c>
      <c r="C291" s="50"/>
      <c r="D291" s="50"/>
      <c r="E291" s="50"/>
    </row>
    <row r="292" spans="1:5" x14ac:dyDescent="0.3">
      <c r="A292" s="92">
        <f>CODIGOS!A284</f>
        <v>2024274</v>
      </c>
      <c r="B292" s="93" t="str">
        <f>CODIGOS!C284</f>
        <v>Terrazas Tapia Sebastian</v>
      </c>
      <c r="C292" s="50"/>
      <c r="D292" s="50"/>
      <c r="E292" s="50"/>
    </row>
    <row r="293" spans="1:5" x14ac:dyDescent="0.3">
      <c r="A293" s="92">
        <f>CODIGOS!A285</f>
        <v>2024275</v>
      </c>
      <c r="B293" s="93" t="str">
        <f>CODIGOS!C285</f>
        <v xml:space="preserve">Tordoya Cossio Abigail - Ezequiel </v>
      </c>
      <c r="C293" s="50"/>
      <c r="D293" s="50"/>
      <c r="E293" s="50"/>
    </row>
    <row r="294" spans="1:5" x14ac:dyDescent="0.3">
      <c r="A294" s="92">
        <f>CODIGOS!A286</f>
        <v>2024276</v>
      </c>
      <c r="B294" s="93" t="str">
        <f>CODIGOS!C286</f>
        <v>Tordoya Gonzales Oksana Kristine - Rizvan</v>
      </c>
      <c r="C294" s="50"/>
      <c r="D294" s="50"/>
      <c r="E294" s="50"/>
    </row>
    <row r="295" spans="1:5" x14ac:dyDescent="0.3">
      <c r="A295" s="92">
        <f>CODIGOS!A287</f>
        <v>2024277</v>
      </c>
      <c r="B295" s="93" t="str">
        <f>CODIGOS!C287</f>
        <v xml:space="preserve">Torrico Condori Pablo - Julia </v>
      </c>
      <c r="C295" s="50"/>
      <c r="D295" s="50"/>
      <c r="E295" s="50"/>
    </row>
    <row r="296" spans="1:5" x14ac:dyDescent="0.3">
      <c r="A296" s="92">
        <f>CODIGOS!A288</f>
        <v>2024278</v>
      </c>
      <c r="B296" s="93" t="str">
        <f>CODIGOS!C288</f>
        <v>Torrico Guillen Nadira Rafaela - Naihara Jaylene</v>
      </c>
      <c r="C296" s="50"/>
      <c r="D296" s="50"/>
      <c r="E296" s="50"/>
    </row>
    <row r="297" spans="1:5" x14ac:dyDescent="0.3">
      <c r="A297" s="92">
        <f>CODIGOS!A289</f>
        <v>2024279</v>
      </c>
      <c r="B297" s="93" t="str">
        <f>CODIGOS!C289</f>
        <v>Torrico Quezada Shaiel Fernanda</v>
      </c>
      <c r="C297" s="50"/>
      <c r="D297" s="50"/>
      <c r="E297" s="50"/>
    </row>
    <row r="298" spans="1:5" x14ac:dyDescent="0.3">
      <c r="A298" s="92">
        <f>CODIGOS!A290</f>
        <v>2024280</v>
      </c>
      <c r="B298" s="93" t="str">
        <f>CODIGOS!C290</f>
        <v>Torrico Vidaurre Adrian - Fabio</v>
      </c>
      <c r="C298" s="50"/>
      <c r="D298" s="50"/>
      <c r="E298" s="50"/>
    </row>
    <row r="299" spans="1:5" x14ac:dyDescent="0.3">
      <c r="A299" s="92">
        <f>CODIGOS!A291</f>
        <v>2024281</v>
      </c>
      <c r="B299" s="93" t="str">
        <f>CODIGOS!C291</f>
        <v>Trigo Peñarrieta Victoria - Julian</v>
      </c>
      <c r="C299" s="50"/>
      <c r="D299" s="50"/>
      <c r="E299" s="50"/>
    </row>
    <row r="300" spans="1:5" x14ac:dyDescent="0.3">
      <c r="A300" s="92">
        <f>CODIGOS!A292</f>
        <v>2024282</v>
      </c>
      <c r="B300" s="93" t="str">
        <f>CODIGOS!C292</f>
        <v>Triveño Ruiz Fernando - Sebastian - Pedro</v>
      </c>
      <c r="C300" s="50"/>
      <c r="D300" s="50"/>
      <c r="E300" s="50"/>
    </row>
    <row r="301" spans="1:5" x14ac:dyDescent="0.3">
      <c r="A301" s="92" t="e">
        <f>CODIGOS!#REF!</f>
        <v>#REF!</v>
      </c>
      <c r="B301" s="93" t="e">
        <f>CODIGOS!#REF!</f>
        <v>#REF!</v>
      </c>
      <c r="C301" s="50"/>
      <c r="D301" s="50"/>
      <c r="E301" s="50"/>
    </row>
    <row r="302" spans="1:5" x14ac:dyDescent="0.3">
      <c r="A302" s="92">
        <f>CODIGOS!A293</f>
        <v>2024283</v>
      </c>
      <c r="B302" s="93" t="str">
        <f>CODIGOS!C293</f>
        <v>Trujillo Castro Isabella</v>
      </c>
      <c r="C302" s="50"/>
      <c r="D302" s="50"/>
      <c r="E302" s="50"/>
    </row>
    <row r="303" spans="1:5" x14ac:dyDescent="0.3">
      <c r="A303" s="92">
        <f>CODIGOS!A294</f>
        <v>2024284</v>
      </c>
      <c r="B303" s="93" t="str">
        <f>CODIGOS!C294</f>
        <v>Uriona Zurita Rashel</v>
      </c>
      <c r="C303" s="50"/>
      <c r="D303" s="50"/>
      <c r="E303" s="50"/>
    </row>
    <row r="304" spans="1:5" x14ac:dyDescent="0.3">
      <c r="A304" s="92">
        <f>CODIGOS!A295</f>
        <v>2024285</v>
      </c>
      <c r="B304" s="93" t="str">
        <f>CODIGOS!C295</f>
        <v>Ustariz San Martin Loana</v>
      </c>
      <c r="C304" s="50"/>
      <c r="D304" s="50"/>
      <c r="E304" s="50"/>
    </row>
    <row r="305" spans="1:5" x14ac:dyDescent="0.3">
      <c r="A305" s="92">
        <f>CODIGOS!A296</f>
        <v>2024286</v>
      </c>
      <c r="B305" s="93" t="str">
        <f>CODIGOS!C296</f>
        <v>Vaca Montaño Rafael</v>
      </c>
      <c r="C305" s="50"/>
      <c r="D305" s="50"/>
      <c r="E305" s="50"/>
    </row>
    <row r="306" spans="1:5" x14ac:dyDescent="0.3">
      <c r="A306" s="92">
        <f>CODIGOS!A297</f>
        <v>2024287</v>
      </c>
      <c r="B306" s="93" t="str">
        <f>CODIGOS!C297</f>
        <v>Valdez Flores Dana Porsha</v>
      </c>
      <c r="C306" s="50"/>
      <c r="D306" s="50"/>
      <c r="E306" s="50"/>
    </row>
    <row r="307" spans="1:5" x14ac:dyDescent="0.3">
      <c r="A307" s="92">
        <f>CODIGOS!A298</f>
        <v>2024288</v>
      </c>
      <c r="B307" s="93" t="str">
        <f>CODIGOS!C298</f>
        <v>Valdez Vargas Novak - Ian</v>
      </c>
      <c r="C307" s="50"/>
      <c r="D307" s="50"/>
      <c r="E307" s="50"/>
    </row>
    <row r="308" spans="1:5" x14ac:dyDescent="0.3">
      <c r="A308" s="92">
        <f>CODIGOS!A299</f>
        <v>2024289</v>
      </c>
      <c r="B308" s="93" t="str">
        <f>CODIGOS!C299</f>
        <v>Valencia Maldonado Felipe - Nestor</v>
      </c>
      <c r="C308" s="50"/>
      <c r="D308" s="50"/>
      <c r="E308" s="50"/>
    </row>
    <row r="309" spans="1:5" x14ac:dyDescent="0.3">
      <c r="A309" s="92">
        <f>CODIGOS!A300</f>
        <v>2024290</v>
      </c>
      <c r="B309" s="93" t="str">
        <f>CODIGOS!C300</f>
        <v>Vallejos Mamani Jhoel Abdiel</v>
      </c>
      <c r="C309" s="50"/>
      <c r="D309" s="50"/>
      <c r="E309" s="50"/>
    </row>
    <row r="310" spans="1:5" x14ac:dyDescent="0.3">
      <c r="A310" s="92">
        <f>CODIGOS!A301</f>
        <v>2024291</v>
      </c>
      <c r="B310" s="93" t="str">
        <f>CODIGOS!C301</f>
        <v>Valverde Padilla Luciana - Jorge - Matias</v>
      </c>
      <c r="C310" s="50"/>
      <c r="D310" s="50"/>
      <c r="E310" s="50"/>
    </row>
    <row r="311" spans="1:5" x14ac:dyDescent="0.3">
      <c r="A311" s="92">
        <f>CODIGOS!A302</f>
        <v>2024292</v>
      </c>
      <c r="B311" s="93" t="str">
        <f>CODIGOS!C302</f>
        <v>Vargas Caussin Dilmar Sebastian</v>
      </c>
      <c r="C311" s="50"/>
      <c r="D311" s="50"/>
      <c r="E311" s="50"/>
    </row>
    <row r="312" spans="1:5" x14ac:dyDescent="0.3">
      <c r="A312" s="92">
        <f>CODIGOS!A303</f>
        <v>2024293</v>
      </c>
      <c r="B312" s="93" t="str">
        <f>CODIGOS!C303</f>
        <v>Vargas Gomez Maria Jose</v>
      </c>
      <c r="C312" s="50"/>
      <c r="D312" s="50"/>
      <c r="E312" s="50"/>
    </row>
    <row r="313" spans="1:5" x14ac:dyDescent="0.3">
      <c r="A313" s="92">
        <f>CODIGOS!A304</f>
        <v>2024294</v>
      </c>
      <c r="B313" s="93" t="str">
        <f>CODIGOS!C304</f>
        <v>Vargas Salazar Benjamin Guido</v>
      </c>
      <c r="C313" s="50"/>
      <c r="D313" s="50"/>
      <c r="E313" s="50"/>
    </row>
    <row r="314" spans="1:5" x14ac:dyDescent="0.3">
      <c r="A314" s="92">
        <f>CODIGOS!A305</f>
        <v>2024295</v>
      </c>
      <c r="B314" s="93" t="str">
        <f>CODIGOS!C305</f>
        <v>Vargas Suarez Diana - Carolina</v>
      </c>
      <c r="C314" s="50"/>
      <c r="D314" s="50"/>
      <c r="E314" s="50"/>
    </row>
    <row r="315" spans="1:5" x14ac:dyDescent="0.3">
      <c r="A315" s="92">
        <f>CODIGOS!A306</f>
        <v>2024296</v>
      </c>
      <c r="B315" s="93" t="str">
        <f>CODIGOS!C306</f>
        <v>Vargas-Magne Requez Zoe</v>
      </c>
      <c r="C315" s="50"/>
      <c r="D315" s="50"/>
      <c r="E315" s="50"/>
    </row>
    <row r="316" spans="1:5" x14ac:dyDescent="0.3">
      <c r="A316" s="92">
        <f>CODIGOS!A307</f>
        <v>2024297</v>
      </c>
      <c r="B316" s="93" t="str">
        <f>CODIGOS!C307</f>
        <v>Vega Florero Nataly Thais - Thiago Adrian</v>
      </c>
      <c r="C316" s="50"/>
      <c r="D316" s="50"/>
      <c r="E316" s="50"/>
    </row>
    <row r="317" spans="1:5" x14ac:dyDescent="0.3">
      <c r="A317" s="92">
        <f>CODIGOS!A308</f>
        <v>2024298</v>
      </c>
      <c r="B317" s="93" t="str">
        <f>CODIGOS!C308</f>
        <v>Veizaga  Aguilar Isabella - Genesis Antonella</v>
      </c>
      <c r="C317" s="50"/>
      <c r="D317" s="50"/>
      <c r="E317" s="50"/>
    </row>
    <row r="318" spans="1:5" x14ac:dyDescent="0.3">
      <c r="A318" s="92">
        <f>CODIGOS!A309</f>
        <v>2024322</v>
      </c>
      <c r="B318" s="93" t="str">
        <f>CODIGOS!C309</f>
        <v>Velasco Adad Dayanara</v>
      </c>
      <c r="C318" s="50"/>
      <c r="D318" s="50"/>
      <c r="E318" s="50"/>
    </row>
    <row r="319" spans="1:5" x14ac:dyDescent="0.3">
      <c r="A319" s="92">
        <f>CODIGOS!A310</f>
        <v>2024299</v>
      </c>
      <c r="B319" s="93" t="str">
        <f>CODIGOS!C310</f>
        <v>Venegas Arce Julian Horacio</v>
      </c>
      <c r="C319" s="50"/>
      <c r="D319" s="50"/>
      <c r="E319" s="50"/>
    </row>
    <row r="320" spans="1:5" x14ac:dyDescent="0.3">
      <c r="A320" s="92">
        <f>CODIGOS!A311</f>
        <v>2024300</v>
      </c>
      <c r="B320" s="93" t="str">
        <f>CODIGOS!C311</f>
        <v>Vera Ledezma Annelisse</v>
      </c>
      <c r="C320" s="50"/>
      <c r="D320" s="50"/>
      <c r="E320" s="50"/>
    </row>
    <row r="321" spans="1:5" x14ac:dyDescent="0.3">
      <c r="A321" s="92">
        <f>CODIGOS!A312</f>
        <v>2024301</v>
      </c>
      <c r="B321" s="93" t="str">
        <f>CODIGOS!C312</f>
        <v>Veselnoi Cahuana Catalina - Zara Luciana</v>
      </c>
      <c r="C321" s="50"/>
      <c r="D321" s="50"/>
      <c r="E321" s="50"/>
    </row>
    <row r="322" spans="1:5" x14ac:dyDescent="0.3">
      <c r="A322" s="92">
        <f>CODIGOS!A313</f>
        <v>2024302</v>
      </c>
      <c r="B322" s="93" t="str">
        <f>CODIGOS!C313</f>
        <v xml:space="preserve">Vidaurre Galindo Salvador </v>
      </c>
      <c r="C322" s="50"/>
      <c r="D322" s="50"/>
      <c r="E322" s="50"/>
    </row>
    <row r="323" spans="1:5" x14ac:dyDescent="0.3">
      <c r="A323" s="92">
        <f>CODIGOS!A314</f>
        <v>2024303</v>
      </c>
      <c r="B323" s="93" t="str">
        <f>CODIGOS!C314</f>
        <v>Villarreal Pariente Matias Sebastian</v>
      </c>
      <c r="C323" s="50"/>
      <c r="D323" s="50"/>
      <c r="E323" s="50"/>
    </row>
    <row r="324" spans="1:5" x14ac:dyDescent="0.3">
      <c r="A324" s="92">
        <f>CODIGOS!A315</f>
        <v>2024304</v>
      </c>
      <c r="B324" s="93" t="str">
        <f>CODIGOS!C315</f>
        <v xml:space="preserve">Villarroel Bustamante Facundo - Mateo </v>
      </c>
      <c r="C324" s="50"/>
      <c r="D324" s="50"/>
      <c r="E324" s="50"/>
    </row>
    <row r="325" spans="1:5" x14ac:dyDescent="0.3">
      <c r="A325" s="92">
        <f>CODIGOS!A316</f>
        <v>2024305</v>
      </c>
      <c r="B325" s="93" t="str">
        <f>CODIGOS!C316</f>
        <v>Villarroel Rojas Sebastian</v>
      </c>
      <c r="C325" s="50"/>
      <c r="D325" s="50"/>
      <c r="E325" s="50"/>
    </row>
    <row r="326" spans="1:5" x14ac:dyDescent="0.3">
      <c r="A326" s="92">
        <f>CODIGOS!A317</f>
        <v>2024306</v>
      </c>
      <c r="B326" s="93" t="str">
        <f>CODIGOS!C317</f>
        <v>Villarroel Vlahovic Neda Angelica - Novak Alberto</v>
      </c>
      <c r="C326" s="50"/>
      <c r="D326" s="50"/>
      <c r="E326" s="50"/>
    </row>
    <row r="327" spans="1:5" x14ac:dyDescent="0.3">
      <c r="A327" s="92">
        <f>CODIGOS!A318</f>
        <v>2024307</v>
      </c>
      <c r="B327" s="93" t="str">
        <f>CODIGOS!C318</f>
        <v>Viviani Hinojosa Sebastian Leonardo</v>
      </c>
      <c r="C327" s="50"/>
      <c r="D327" s="50"/>
      <c r="E327" s="50"/>
    </row>
    <row r="328" spans="1:5" x14ac:dyDescent="0.3">
      <c r="A328" s="92">
        <f>CODIGOS!A319</f>
        <v>2024308</v>
      </c>
      <c r="B328" s="93" t="str">
        <f>CODIGOS!C319</f>
        <v>Zambrana Alvarez Santiago Lukas Mair</v>
      </c>
      <c r="C328" s="50"/>
      <c r="D328" s="50"/>
      <c r="E328" s="50"/>
    </row>
    <row r="329" spans="1:5" x14ac:dyDescent="0.3">
      <c r="A329" s="92">
        <f>CODIGOS!A320</f>
        <v>2024309</v>
      </c>
      <c r="B329" s="93" t="str">
        <f>CODIGOS!C320</f>
        <v>Zambrana La Fuente Mateo - Camila -Thiago</v>
      </c>
      <c r="C329" s="50"/>
      <c r="D329" s="50"/>
      <c r="E329" s="50"/>
    </row>
    <row r="330" spans="1:5" x14ac:dyDescent="0.3">
      <c r="A330" s="92">
        <f>CODIGOS!A321</f>
        <v>2024310</v>
      </c>
      <c r="B330" s="93" t="str">
        <f>CODIGOS!C321</f>
        <v>Zapata Velasco Luciano Andre</v>
      </c>
      <c r="C330" s="50"/>
      <c r="D330" s="50"/>
      <c r="E330" s="50"/>
    </row>
    <row r="331" spans="1:5" x14ac:dyDescent="0.3">
      <c r="A331" s="92">
        <f>CODIGOS!A322</f>
        <v>2024311</v>
      </c>
      <c r="B331" s="93" t="str">
        <f>CODIGOS!C322</f>
        <v>Zema Nuñez Fernanda Paola - Leonardo Jhoel</v>
      </c>
      <c r="C331" s="50"/>
      <c r="D331" s="50"/>
      <c r="E331" s="50"/>
    </row>
    <row r="332" spans="1:5" x14ac:dyDescent="0.3">
      <c r="A332" s="92">
        <f>CODIGOS!A323</f>
        <v>2024312</v>
      </c>
      <c r="B332" s="93" t="str">
        <f>CODIGOS!C323</f>
        <v>Zenteno Aduviri Lyanna Meredith</v>
      </c>
      <c r="C332" s="50"/>
      <c r="D332" s="50"/>
      <c r="E332" s="50"/>
    </row>
    <row r="333" spans="1:5" x14ac:dyDescent="0.3">
      <c r="A333" s="92">
        <f>CODIGOS!A324</f>
        <v>2024313</v>
      </c>
      <c r="B333" s="93" t="str">
        <f>CODIGOS!C324</f>
        <v>Zenteno Tomas Zoe Dayneth</v>
      </c>
      <c r="C333" s="50"/>
      <c r="D333" s="50"/>
      <c r="E333" s="50"/>
    </row>
    <row r="334" spans="1:5" x14ac:dyDescent="0.3">
      <c r="A334" s="92">
        <f>CODIGOS!A325</f>
        <v>2024324</v>
      </c>
      <c r="B334" s="93">
        <f>CODIGOS!C325</f>
        <v>0</v>
      </c>
      <c r="C334" s="50"/>
      <c r="D334" s="50"/>
      <c r="E334" s="50"/>
    </row>
    <row r="335" spans="1:5" x14ac:dyDescent="0.3">
      <c r="A335" s="92">
        <f>CODIGOS!A326</f>
        <v>2024325</v>
      </c>
      <c r="B335" s="93">
        <f>CODIGOS!C326</f>
        <v>0</v>
      </c>
      <c r="C335" s="50"/>
      <c r="D335" s="50"/>
      <c r="E335" s="50"/>
    </row>
    <row r="336" spans="1:5" x14ac:dyDescent="0.3">
      <c r="A336" s="92">
        <f>CODIGOS!A327</f>
        <v>2024326</v>
      </c>
      <c r="B336" s="93">
        <f>CODIGOS!C327</f>
        <v>0</v>
      </c>
      <c r="C336" s="50"/>
      <c r="D336" s="50"/>
      <c r="E336" s="50"/>
    </row>
    <row r="337" spans="1:5" x14ac:dyDescent="0.3">
      <c r="A337" s="92">
        <f>CODIGOS!A328</f>
        <v>2024327</v>
      </c>
      <c r="B337" s="93">
        <f>CODIGOS!C328</f>
        <v>0</v>
      </c>
      <c r="C337" s="50"/>
      <c r="D337" s="50"/>
      <c r="E337" s="50"/>
    </row>
    <row r="338" spans="1:5" x14ac:dyDescent="0.3">
      <c r="A338" s="92">
        <f>CODIGOS!A329</f>
        <v>2024328</v>
      </c>
      <c r="B338" s="93">
        <f>CODIGOS!C329</f>
        <v>0</v>
      </c>
      <c r="C338" s="50"/>
      <c r="D338" s="50"/>
      <c r="E338" s="50"/>
    </row>
    <row r="339" spans="1:5" x14ac:dyDescent="0.3">
      <c r="A339" s="92">
        <f>CODIGOS!A330</f>
        <v>2024329</v>
      </c>
      <c r="B339" s="93">
        <f>CODIGOS!C330</f>
        <v>0</v>
      </c>
      <c r="C339" s="50"/>
      <c r="D339" s="50"/>
      <c r="E339" s="50"/>
    </row>
    <row r="340" spans="1:5" x14ac:dyDescent="0.3">
      <c r="A340" s="92">
        <f>CODIGOS!A331</f>
        <v>2024330</v>
      </c>
      <c r="B340" s="93">
        <f>CODIGOS!C331</f>
        <v>0</v>
      </c>
      <c r="C340" s="50"/>
      <c r="D340" s="50"/>
      <c r="E340" s="50"/>
    </row>
    <row r="341" spans="1:5" x14ac:dyDescent="0.3">
      <c r="A341" s="92">
        <f>CODIGOS!A332</f>
        <v>2024331</v>
      </c>
      <c r="B341" s="93">
        <f>CODIGOS!C332</f>
        <v>0</v>
      </c>
      <c r="C341" s="50"/>
      <c r="D341" s="50"/>
      <c r="E341" s="50"/>
    </row>
    <row r="342" spans="1:5" x14ac:dyDescent="0.3">
      <c r="A342" s="92">
        <f>CODIGOS!A333</f>
        <v>2024339</v>
      </c>
      <c r="B342" s="93">
        <f>CODIGOS!C333</f>
        <v>0</v>
      </c>
      <c r="C342" s="50"/>
      <c r="D342" s="50"/>
      <c r="E342" s="50"/>
    </row>
    <row r="343" spans="1:5" x14ac:dyDescent="0.3">
      <c r="A343" s="92">
        <f>CODIGOS!A334</f>
        <v>2024340</v>
      </c>
      <c r="B343" s="93">
        <f>CODIGOS!C334</f>
        <v>0</v>
      </c>
      <c r="C343" s="50"/>
      <c r="D343" s="50"/>
      <c r="E343" s="50"/>
    </row>
    <row r="344" spans="1:5" x14ac:dyDescent="0.3">
      <c r="A344" s="92">
        <f>CODIGOS!A335</f>
        <v>2024341</v>
      </c>
      <c r="B344" s="93">
        <f>CODIGOS!C335</f>
        <v>0</v>
      </c>
      <c r="C344" s="50"/>
      <c r="D344" s="50"/>
      <c r="E344" s="50"/>
    </row>
    <row r="345" spans="1:5" x14ac:dyDescent="0.3">
      <c r="A345" s="92">
        <f>CODIGOS!A336</f>
        <v>2024342</v>
      </c>
      <c r="B345" s="93">
        <f>CODIGOS!C336</f>
        <v>0</v>
      </c>
      <c r="C345" s="50"/>
      <c r="D345" s="50"/>
      <c r="E345" s="50"/>
    </row>
    <row r="346" spans="1:5" x14ac:dyDescent="0.3">
      <c r="A346" s="92">
        <f>CODIGOS!A337</f>
        <v>2024343</v>
      </c>
      <c r="B346" s="93">
        <f>CODIGOS!C337</f>
        <v>0</v>
      </c>
      <c r="C346" s="50"/>
      <c r="D346" s="50"/>
      <c r="E346" s="50"/>
    </row>
    <row r="347" spans="1:5" x14ac:dyDescent="0.3">
      <c r="A347" s="92">
        <f>CODIGOS!A338</f>
        <v>2024344</v>
      </c>
      <c r="B347" s="93">
        <f>CODIGOS!C338</f>
        <v>0</v>
      </c>
      <c r="C347" s="50"/>
      <c r="D347" s="50"/>
      <c r="E347" s="50"/>
    </row>
    <row r="348" spans="1:5" x14ac:dyDescent="0.3">
      <c r="A348" s="92">
        <f>CODIGOS!A339</f>
        <v>2024345</v>
      </c>
      <c r="B348" s="93">
        <f>CODIGOS!C339</f>
        <v>0</v>
      </c>
      <c r="C348" s="50"/>
      <c r="D348" s="50"/>
      <c r="E348" s="50"/>
    </row>
    <row r="349" spans="1:5" x14ac:dyDescent="0.3">
      <c r="A349" s="92">
        <f>CODIGOS!A340</f>
        <v>2024346</v>
      </c>
      <c r="B349" s="93">
        <f>CODIGOS!C340</f>
        <v>0</v>
      </c>
      <c r="C349" s="50"/>
      <c r="D349" s="50"/>
      <c r="E349" s="50"/>
    </row>
    <row r="350" spans="1:5" x14ac:dyDescent="0.3">
      <c r="A350" s="92">
        <f>CODIGOS!A341</f>
        <v>2024347</v>
      </c>
      <c r="B350" s="93">
        <f>CODIGOS!C341</f>
        <v>0</v>
      </c>
      <c r="C350" s="50"/>
      <c r="D350" s="50"/>
      <c r="E350" s="50"/>
    </row>
    <row r="351" spans="1:5" x14ac:dyDescent="0.3">
      <c r="A351" s="92">
        <f>CODIGOS!A342</f>
        <v>2024348</v>
      </c>
      <c r="B351" s="93">
        <f>CODIGOS!C342</f>
        <v>0</v>
      </c>
      <c r="C351" s="50"/>
      <c r="D351" s="50"/>
      <c r="E351" s="50"/>
    </row>
    <row r="352" spans="1:5" x14ac:dyDescent="0.3">
      <c r="A352" s="92">
        <f>CODIGOS!A343</f>
        <v>2024349</v>
      </c>
      <c r="B352" s="93">
        <f>CODIGOS!C343</f>
        <v>0</v>
      </c>
      <c r="C352" s="50"/>
      <c r="D352" s="50"/>
      <c r="E352" s="50"/>
    </row>
    <row r="353" spans="1:5" x14ac:dyDescent="0.3">
      <c r="A353" s="92">
        <f>CODIGOS!A344</f>
        <v>2024350</v>
      </c>
      <c r="B353" s="93">
        <f>CODIGOS!C344</f>
        <v>0</v>
      </c>
      <c r="C353" s="50"/>
      <c r="D353" s="50"/>
      <c r="E353" s="50"/>
    </row>
    <row r="354" spans="1:5" x14ac:dyDescent="0.3">
      <c r="A354" s="92">
        <f>CODIGOS!A345</f>
        <v>2024351</v>
      </c>
      <c r="B354" s="93">
        <f>CODIGOS!C345</f>
        <v>0</v>
      </c>
      <c r="C354" s="50"/>
      <c r="D354" s="50"/>
      <c r="E354" s="50"/>
    </row>
    <row r="355" spans="1:5" x14ac:dyDescent="0.3">
      <c r="A355" s="92">
        <f>CODIGOS!A346</f>
        <v>2024352</v>
      </c>
      <c r="B355" s="93">
        <f>CODIGOS!C346</f>
        <v>0</v>
      </c>
      <c r="C355" s="50"/>
      <c r="D355" s="50"/>
      <c r="E355" s="50"/>
    </row>
    <row r="356" spans="1:5" x14ac:dyDescent="0.3">
      <c r="A356" s="92">
        <f>CODIGOS!A347</f>
        <v>2024353</v>
      </c>
      <c r="B356" s="93">
        <f>CODIGOS!C347</f>
        <v>0</v>
      </c>
      <c r="C356" s="50"/>
      <c r="D356" s="50"/>
      <c r="E356" s="50"/>
    </row>
    <row r="357" spans="1:5" x14ac:dyDescent="0.3">
      <c r="A357" s="92">
        <f>CODIGOS!A348</f>
        <v>2024354</v>
      </c>
      <c r="B357" s="93">
        <f>CODIGOS!C348</f>
        <v>0</v>
      </c>
      <c r="C357" s="50"/>
      <c r="D357" s="50"/>
      <c r="E357" s="50"/>
    </row>
    <row r="358" spans="1:5" x14ac:dyDescent="0.3">
      <c r="A358" s="92">
        <f>CODIGOS!A349</f>
        <v>2024355</v>
      </c>
      <c r="B358" s="93">
        <f>CODIGOS!C349</f>
        <v>0</v>
      </c>
      <c r="C358" s="50"/>
      <c r="D358" s="50"/>
      <c r="E358" s="50"/>
    </row>
    <row r="359" spans="1:5" x14ac:dyDescent="0.3">
      <c r="A359" s="92">
        <f>CODIGOS!A350</f>
        <v>2024356</v>
      </c>
      <c r="B359" s="93">
        <f>CODIGOS!C350</f>
        <v>0</v>
      </c>
      <c r="C359" s="50"/>
      <c r="D359" s="50"/>
      <c r="E359" s="50"/>
    </row>
    <row r="360" spans="1:5" x14ac:dyDescent="0.3">
      <c r="A360" s="92">
        <f>CODIGOS!A351</f>
        <v>2024357</v>
      </c>
      <c r="B360" s="93">
        <f>CODIGOS!C351</f>
        <v>0</v>
      </c>
      <c r="C360" s="50"/>
      <c r="D360" s="50"/>
      <c r="E360" s="50"/>
    </row>
    <row r="361" spans="1:5" x14ac:dyDescent="0.3">
      <c r="A361" s="92">
        <f>CODIGOS!A352</f>
        <v>2024358</v>
      </c>
      <c r="B361" s="93">
        <f>CODIGOS!C352</f>
        <v>0</v>
      </c>
      <c r="C361" s="50"/>
      <c r="D361" s="50"/>
      <c r="E361" s="50"/>
    </row>
    <row r="362" spans="1:5" x14ac:dyDescent="0.3">
      <c r="A362" s="92">
        <f>CODIGOS!A353</f>
        <v>2024359</v>
      </c>
      <c r="B362" s="93">
        <f>CODIGOS!C353</f>
        <v>0</v>
      </c>
      <c r="C362" s="50"/>
      <c r="D362" s="50"/>
      <c r="E362" s="50"/>
    </row>
    <row r="363" spans="1:5" x14ac:dyDescent="0.3">
      <c r="A363" s="92">
        <f>CODIGOS!A354</f>
        <v>2024360</v>
      </c>
      <c r="B363" s="93">
        <f>CODIGOS!C354</f>
        <v>0</v>
      </c>
      <c r="C363" s="50"/>
      <c r="D363" s="50"/>
      <c r="E363" s="50"/>
    </row>
    <row r="364" spans="1:5" x14ac:dyDescent="0.3">
      <c r="A364" s="92">
        <f>CODIGOS!A355</f>
        <v>2024361</v>
      </c>
      <c r="B364" s="93">
        <f>CODIGOS!C355</f>
        <v>0</v>
      </c>
      <c r="C364" s="50"/>
      <c r="D364" s="50"/>
      <c r="E364" s="50"/>
    </row>
    <row r="365" spans="1:5" x14ac:dyDescent="0.3">
      <c r="A365" s="92">
        <f>CODIGOS!A356</f>
        <v>2024362</v>
      </c>
      <c r="B365" s="93">
        <f>CODIGOS!C356</f>
        <v>0</v>
      </c>
      <c r="C365" s="50"/>
      <c r="D365" s="50"/>
      <c r="E365" s="50"/>
    </row>
    <row r="366" spans="1:5" x14ac:dyDescent="0.3">
      <c r="A366" s="92">
        <f>CODIGOS!A357</f>
        <v>2024363</v>
      </c>
      <c r="B366" s="93">
        <f>CODIGOS!C357</f>
        <v>0</v>
      </c>
      <c r="C366" s="50"/>
      <c r="D366" s="50"/>
      <c r="E366" s="50"/>
    </row>
    <row r="367" spans="1:5" x14ac:dyDescent="0.3">
      <c r="A367" s="92">
        <f>CODIGOS!A358</f>
        <v>2024364</v>
      </c>
      <c r="B367" s="93">
        <f>CODIGOS!C358</f>
        <v>0</v>
      </c>
      <c r="C367" s="50"/>
      <c r="D367" s="50"/>
      <c r="E367" s="50"/>
    </row>
    <row r="368" spans="1:5" x14ac:dyDescent="0.3">
      <c r="A368" s="92">
        <f>CODIGOS!A359</f>
        <v>2024365</v>
      </c>
      <c r="B368" s="93">
        <f>CODIGOS!C359</f>
        <v>0</v>
      </c>
      <c r="C368" s="50"/>
      <c r="D368" s="50"/>
      <c r="E368" s="50"/>
    </row>
    <row r="369" spans="1:5" x14ac:dyDescent="0.3">
      <c r="A369" s="92">
        <f>CODIGOS!A360</f>
        <v>2024366</v>
      </c>
      <c r="B369" s="93">
        <f>CODIGOS!C360</f>
        <v>0</v>
      </c>
      <c r="C369" s="50"/>
      <c r="D369" s="50"/>
      <c r="E369" s="50"/>
    </row>
    <row r="370" spans="1:5" x14ac:dyDescent="0.3">
      <c r="A370" s="92">
        <f>CODIGOS!A361</f>
        <v>2024367</v>
      </c>
      <c r="B370" s="93">
        <f>CODIGOS!C361</f>
        <v>0</v>
      </c>
      <c r="C370" s="50"/>
      <c r="D370" s="50"/>
      <c r="E370" s="50"/>
    </row>
    <row r="371" spans="1:5" x14ac:dyDescent="0.3">
      <c r="A371" s="92">
        <f>CODIGOS!A362</f>
        <v>2024368</v>
      </c>
      <c r="B371" s="93">
        <f>CODIGOS!C362</f>
        <v>0</v>
      </c>
      <c r="C371" s="50"/>
      <c r="D371" s="50"/>
      <c r="E371" s="50"/>
    </row>
    <row r="372" spans="1:5" x14ac:dyDescent="0.3">
      <c r="A372" s="92">
        <f>CODIGOS!A363</f>
        <v>2024369</v>
      </c>
      <c r="B372" s="93">
        <f>CODIGOS!C363</f>
        <v>0</v>
      </c>
      <c r="C372" s="50"/>
      <c r="D372" s="50"/>
      <c r="E372" s="50"/>
    </row>
    <row r="373" spans="1:5" x14ac:dyDescent="0.3">
      <c r="A373" s="92">
        <f>CODIGOS!A364</f>
        <v>2024370</v>
      </c>
      <c r="B373" s="93">
        <f>CODIGOS!C364</f>
        <v>0</v>
      </c>
      <c r="C373" s="50"/>
      <c r="D373" s="50"/>
      <c r="E373" s="50"/>
    </row>
    <row r="374" spans="1:5" x14ac:dyDescent="0.3">
      <c r="A374" s="92">
        <f>CODIGOS!A365</f>
        <v>2024371</v>
      </c>
      <c r="B374" s="93">
        <f>CODIGOS!C365</f>
        <v>0</v>
      </c>
      <c r="C374" s="50"/>
      <c r="D374" s="50"/>
      <c r="E374" s="50"/>
    </row>
    <row r="375" spans="1:5" x14ac:dyDescent="0.3">
      <c r="A375" s="92">
        <f>CODIGOS!A366</f>
        <v>2024372</v>
      </c>
      <c r="B375" s="93">
        <f>CODIGOS!C366</f>
        <v>0</v>
      </c>
      <c r="C375" s="50"/>
      <c r="D375" s="50"/>
      <c r="E375" s="50"/>
    </row>
    <row r="376" spans="1:5" x14ac:dyDescent="0.3">
      <c r="A376" s="92">
        <f>CODIGOS!A367</f>
        <v>2024373</v>
      </c>
      <c r="B376" s="93">
        <f>CODIGOS!C367</f>
        <v>0</v>
      </c>
      <c r="C376" s="50"/>
      <c r="D376" s="50"/>
      <c r="E376" s="50"/>
    </row>
    <row r="377" spans="1:5" x14ac:dyDescent="0.3">
      <c r="A377" s="92">
        <f>CODIGOS!A368</f>
        <v>2024374</v>
      </c>
      <c r="B377" s="93">
        <f>CODIGOS!C368</f>
        <v>0</v>
      </c>
      <c r="C377" s="50"/>
      <c r="D377" s="50"/>
      <c r="E377" s="50"/>
    </row>
    <row r="378" spans="1:5" x14ac:dyDescent="0.3">
      <c r="A378" s="92">
        <f>CODIGOS!A369</f>
        <v>2024375</v>
      </c>
      <c r="B378" s="93">
        <f>CODIGOS!C369</f>
        <v>0</v>
      </c>
      <c r="C378" s="50"/>
      <c r="D378" s="50"/>
      <c r="E378" s="50"/>
    </row>
    <row r="379" spans="1:5" x14ac:dyDescent="0.3">
      <c r="A379" s="92">
        <f>CODIGOS!A370</f>
        <v>2024376</v>
      </c>
      <c r="B379" s="93">
        <f>CODIGOS!C370</f>
        <v>0</v>
      </c>
      <c r="C379" s="50"/>
      <c r="D379" s="50"/>
      <c r="E379" s="50"/>
    </row>
    <row r="380" spans="1:5" x14ac:dyDescent="0.3">
      <c r="A380" s="92">
        <f>CODIGOS!A371</f>
        <v>2024377</v>
      </c>
      <c r="B380" s="93">
        <f>CODIGOS!C371</f>
        <v>0</v>
      </c>
      <c r="C380" s="50"/>
      <c r="D380" s="50"/>
      <c r="E380" s="50"/>
    </row>
    <row r="381" spans="1:5" x14ac:dyDescent="0.3">
      <c r="A381" s="92">
        <f>CODIGOS!A372</f>
        <v>2024378</v>
      </c>
      <c r="B381" s="93">
        <f>CODIGOS!C372</f>
        <v>0</v>
      </c>
      <c r="C381" s="50"/>
      <c r="D381" s="50"/>
      <c r="E381" s="50"/>
    </row>
    <row r="382" spans="1:5" x14ac:dyDescent="0.3">
      <c r="A382" s="92">
        <f>CODIGOS!A373</f>
        <v>2024379</v>
      </c>
      <c r="B382" s="93">
        <f>CODIGOS!C373</f>
        <v>0</v>
      </c>
      <c r="C382" s="50"/>
      <c r="D382" s="50"/>
      <c r="E382" s="50"/>
    </row>
    <row r="383" spans="1:5" x14ac:dyDescent="0.3">
      <c r="A383" s="92">
        <f>CODIGOS!A374</f>
        <v>2024380</v>
      </c>
      <c r="B383" s="93">
        <f>CODIGOS!C374</f>
        <v>0</v>
      </c>
      <c r="C383" s="50"/>
      <c r="D383" s="50"/>
      <c r="E383" s="50"/>
    </row>
    <row r="384" spans="1:5" x14ac:dyDescent="0.3">
      <c r="A384" s="92">
        <f>CODIGOS!A375</f>
        <v>2024381</v>
      </c>
      <c r="B384" s="93">
        <f>CODIGOS!C375</f>
        <v>0</v>
      </c>
      <c r="C384" s="50"/>
      <c r="D384" s="50"/>
      <c r="E384" s="50"/>
    </row>
    <row r="385" spans="1:5" x14ac:dyDescent="0.3">
      <c r="A385" s="92">
        <f>CODIGOS!A376</f>
        <v>2024382</v>
      </c>
      <c r="B385" s="93">
        <f>CODIGOS!C376</f>
        <v>0</v>
      </c>
      <c r="C385" s="50"/>
      <c r="D385" s="50"/>
      <c r="E385" s="50"/>
    </row>
    <row r="386" spans="1:5" x14ac:dyDescent="0.3">
      <c r="A386" s="92">
        <f>CODIGOS!A377</f>
        <v>2024383</v>
      </c>
      <c r="B386" s="93">
        <f>CODIGOS!C377</f>
        <v>0</v>
      </c>
      <c r="C386" s="50"/>
      <c r="D386" s="50"/>
      <c r="E386" s="50"/>
    </row>
    <row r="387" spans="1:5" x14ac:dyDescent="0.3">
      <c r="A387" s="92">
        <f>CODIGOS!A378</f>
        <v>2024384</v>
      </c>
      <c r="B387" s="93">
        <f>CODIGOS!C378</f>
        <v>0</v>
      </c>
      <c r="C387" s="50"/>
      <c r="D387" s="50"/>
      <c r="E387" s="50"/>
    </row>
    <row r="388" spans="1:5" x14ac:dyDescent="0.3">
      <c r="A388" s="92">
        <f>CODIGOS!A379</f>
        <v>2024385</v>
      </c>
      <c r="B388" s="93">
        <f>CODIGOS!C379</f>
        <v>0</v>
      </c>
      <c r="C388" s="50"/>
      <c r="D388" s="50"/>
      <c r="E388" s="50"/>
    </row>
    <row r="389" spans="1:5" x14ac:dyDescent="0.3">
      <c r="A389" s="92">
        <f>CODIGOS!A380</f>
        <v>2024386</v>
      </c>
      <c r="B389" s="93">
        <f>CODIGOS!C380</f>
        <v>0</v>
      </c>
      <c r="C389" s="50"/>
      <c r="D389" s="50"/>
      <c r="E389" s="50"/>
    </row>
    <row r="390" spans="1:5" x14ac:dyDescent="0.3">
      <c r="A390" s="92">
        <f>CODIGOS!A381</f>
        <v>2024387</v>
      </c>
      <c r="B390" s="93">
        <f>CODIGOS!C381</f>
        <v>0</v>
      </c>
      <c r="C390" s="50"/>
      <c r="D390" s="50"/>
      <c r="E390" s="50"/>
    </row>
    <row r="391" spans="1:5" x14ac:dyDescent="0.3">
      <c r="A391" s="92">
        <f>CODIGOS!A382</f>
        <v>2024388</v>
      </c>
      <c r="B391" s="93">
        <f>CODIGOS!C382</f>
        <v>0</v>
      </c>
      <c r="C391" s="50"/>
      <c r="D391" s="50"/>
      <c r="E391" s="50"/>
    </row>
    <row r="392" spans="1:5" x14ac:dyDescent="0.3">
      <c r="A392" s="92">
        <f>CODIGOS!A383</f>
        <v>2024389</v>
      </c>
      <c r="B392" s="93">
        <f>CODIGOS!C383</f>
        <v>0</v>
      </c>
      <c r="C392" s="50"/>
      <c r="D392" s="50"/>
      <c r="E392" s="50"/>
    </row>
    <row r="393" spans="1:5" x14ac:dyDescent="0.3">
      <c r="A393" s="92">
        <f>CODIGOS!A384</f>
        <v>2024390</v>
      </c>
      <c r="B393" s="93">
        <f>CODIGOS!C384</f>
        <v>0</v>
      </c>
      <c r="C393" s="50"/>
      <c r="D393" s="50"/>
      <c r="E393" s="50"/>
    </row>
    <row r="394" spans="1:5" x14ac:dyDescent="0.3">
      <c r="A394" s="92">
        <f>CODIGOS!A385</f>
        <v>2024391</v>
      </c>
      <c r="B394" s="93">
        <f>CODIGOS!C385</f>
        <v>0</v>
      </c>
      <c r="C394" s="50"/>
      <c r="D394" s="50"/>
      <c r="E394" s="50"/>
    </row>
    <row r="395" spans="1:5" x14ac:dyDescent="0.3">
      <c r="A395" s="92">
        <f>CODIGOS!A386</f>
        <v>2024392</v>
      </c>
      <c r="B395" s="93">
        <f>CODIGOS!C386</f>
        <v>0</v>
      </c>
      <c r="C395" s="50"/>
      <c r="D395" s="50"/>
      <c r="E395" s="50"/>
    </row>
    <row r="396" spans="1:5" x14ac:dyDescent="0.3">
      <c r="A396" s="92">
        <f>CODIGOS!A387</f>
        <v>2024393</v>
      </c>
      <c r="B396" s="93">
        <f>CODIGOS!C387</f>
        <v>0</v>
      </c>
      <c r="C396" s="50"/>
      <c r="D396" s="50"/>
      <c r="E396" s="50"/>
    </row>
    <row r="397" spans="1:5" x14ac:dyDescent="0.3">
      <c r="A397" s="92">
        <f>CODIGOS!A388</f>
        <v>2024394</v>
      </c>
      <c r="B397" s="93">
        <f>CODIGOS!C388</f>
        <v>0</v>
      </c>
      <c r="C397" s="50"/>
      <c r="D397" s="50"/>
      <c r="E397" s="50"/>
    </row>
    <row r="398" spans="1:5" x14ac:dyDescent="0.3">
      <c r="A398" s="92">
        <f>CODIGOS!A389</f>
        <v>2024395</v>
      </c>
      <c r="B398" s="93">
        <f>CODIGOS!C389</f>
        <v>0</v>
      </c>
      <c r="C398" s="50"/>
      <c r="D398" s="50"/>
      <c r="E398" s="50"/>
    </row>
    <row r="399" spans="1:5" x14ac:dyDescent="0.3">
      <c r="A399" s="92">
        <f>CODIGOS!A390</f>
        <v>2024396</v>
      </c>
      <c r="B399" s="93">
        <f>CODIGOS!C390</f>
        <v>0</v>
      </c>
      <c r="C399" s="50"/>
      <c r="D399" s="50"/>
      <c r="E399" s="50"/>
    </row>
    <row r="400" spans="1:5" x14ac:dyDescent="0.3">
      <c r="A400" s="92">
        <f>CODIGOS!A391</f>
        <v>2024397</v>
      </c>
      <c r="B400" s="93">
        <f>CODIGOS!C391</f>
        <v>0</v>
      </c>
      <c r="C400" s="50"/>
      <c r="D400" s="50"/>
      <c r="E400" s="50"/>
    </row>
    <row r="401" spans="1:5" x14ac:dyDescent="0.3">
      <c r="A401" s="92">
        <f>CODIGOS!A392</f>
        <v>2024398</v>
      </c>
      <c r="B401" s="93">
        <f>CODIGOS!C392</f>
        <v>0</v>
      </c>
      <c r="C401" s="50"/>
      <c r="D401" s="50"/>
      <c r="E401" s="50"/>
    </row>
    <row r="402" spans="1:5" x14ac:dyDescent="0.3">
      <c r="A402" s="92">
        <f>CODIGOS!A393</f>
        <v>2024399</v>
      </c>
      <c r="B402" s="93">
        <f>CODIGOS!C393</f>
        <v>0</v>
      </c>
      <c r="C402" s="50"/>
      <c r="D402" s="50"/>
      <c r="E402" s="50"/>
    </row>
    <row r="403" spans="1:5" x14ac:dyDescent="0.3">
      <c r="A403" s="92">
        <f>CODIGOS!A394</f>
        <v>2024400</v>
      </c>
      <c r="B403" s="93">
        <f>CODIGOS!C394</f>
        <v>0</v>
      </c>
      <c r="C403" s="50"/>
      <c r="D403" s="50"/>
      <c r="E403" s="50"/>
    </row>
    <row r="404" spans="1:5" x14ac:dyDescent="0.3">
      <c r="A404" s="92">
        <f>CODIGOS!A395</f>
        <v>2024401</v>
      </c>
      <c r="B404" s="93">
        <f>CODIGOS!C395</f>
        <v>0</v>
      </c>
      <c r="C404" s="50"/>
      <c r="D404" s="50"/>
      <c r="E404" s="50"/>
    </row>
    <row r="405" spans="1:5" x14ac:dyDescent="0.3">
      <c r="A405" s="92">
        <f>CODIGOS!A396</f>
        <v>2024402</v>
      </c>
      <c r="B405" s="93">
        <f>CODIGOS!C396</f>
        <v>0</v>
      </c>
      <c r="C405" s="50"/>
      <c r="D405" s="50"/>
      <c r="E405" s="50"/>
    </row>
    <row r="406" spans="1:5" x14ac:dyDescent="0.3">
      <c r="A406" s="92">
        <f>CODIGOS!A397</f>
        <v>2024403</v>
      </c>
      <c r="B406" s="93">
        <f>CODIGOS!C397</f>
        <v>0</v>
      </c>
      <c r="C406" s="50"/>
      <c r="D406" s="50"/>
      <c r="E406" s="50"/>
    </row>
    <row r="407" spans="1:5" x14ac:dyDescent="0.3">
      <c r="A407" s="92">
        <f>CODIGOS!A398</f>
        <v>2024404</v>
      </c>
      <c r="B407" s="93">
        <f>CODIGOS!C398</f>
        <v>0</v>
      </c>
      <c r="C407" s="50"/>
      <c r="D407" s="50"/>
      <c r="E407" s="50"/>
    </row>
    <row r="408" spans="1:5" x14ac:dyDescent="0.3">
      <c r="A408" s="92">
        <f>CODIGOS!A399</f>
        <v>2024405</v>
      </c>
      <c r="B408" s="93">
        <f>CODIGOS!C399</f>
        <v>0</v>
      </c>
      <c r="C408" s="50"/>
      <c r="D408" s="50"/>
      <c r="E408" s="50"/>
    </row>
    <row r="409" spans="1:5" x14ac:dyDescent="0.3">
      <c r="A409" s="92">
        <f>CODIGOS!A400</f>
        <v>2024406</v>
      </c>
      <c r="B409" s="93">
        <f>CODIGOS!C400</f>
        <v>0</v>
      </c>
      <c r="C409" s="50"/>
      <c r="D409" s="50"/>
      <c r="E409" s="50"/>
    </row>
    <row r="410" spans="1:5" x14ac:dyDescent="0.3">
      <c r="A410" s="92">
        <f>CODIGOS!A401</f>
        <v>2024407</v>
      </c>
      <c r="B410" s="93">
        <f>CODIGOS!C401</f>
        <v>0</v>
      </c>
      <c r="C410" s="50"/>
      <c r="D410" s="50"/>
      <c r="E410" s="50"/>
    </row>
    <row r="411" spans="1:5" x14ac:dyDescent="0.3">
      <c r="A411" s="92">
        <f>CODIGOS!A402</f>
        <v>2024408</v>
      </c>
      <c r="B411" s="93">
        <f>CODIGOS!C402</f>
        <v>0</v>
      </c>
      <c r="C411" s="50"/>
      <c r="D411" s="50"/>
      <c r="E411" s="50"/>
    </row>
    <row r="412" spans="1:5" x14ac:dyDescent="0.3">
      <c r="A412" s="92">
        <f>CODIGOS!A403</f>
        <v>2024409</v>
      </c>
      <c r="B412" s="93">
        <f>CODIGOS!C403</f>
        <v>0</v>
      </c>
      <c r="C412" s="50"/>
      <c r="D412" s="50"/>
      <c r="E412" s="50"/>
    </row>
    <row r="413" spans="1:5" x14ac:dyDescent="0.3">
      <c r="A413" s="92">
        <f>CODIGOS!A404</f>
        <v>2024410</v>
      </c>
      <c r="B413" s="93">
        <f>CODIGOS!C404</f>
        <v>0</v>
      </c>
      <c r="C413" s="50"/>
      <c r="D413" s="50"/>
      <c r="E413" s="50"/>
    </row>
    <row r="414" spans="1:5" x14ac:dyDescent="0.3">
      <c r="A414" s="92">
        <f>CODIGOS!A405</f>
        <v>2024411</v>
      </c>
      <c r="B414" s="93">
        <f>CODIGOS!C405</f>
        <v>0</v>
      </c>
      <c r="C414" s="50"/>
      <c r="D414" s="50"/>
      <c r="E414" s="50"/>
    </row>
    <row r="415" spans="1:5" x14ac:dyDescent="0.3">
      <c r="A415" s="92">
        <f>CODIGOS!A406</f>
        <v>2024412</v>
      </c>
      <c r="B415" s="93">
        <f>CODIGOS!C406</f>
        <v>0</v>
      </c>
      <c r="C415" s="50"/>
      <c r="D415" s="50"/>
      <c r="E415" s="50"/>
    </row>
    <row r="416" spans="1:5" x14ac:dyDescent="0.3">
      <c r="A416" s="92">
        <f>CODIGOS!A407</f>
        <v>2024413</v>
      </c>
      <c r="B416" s="93">
        <f>CODIGOS!C407</f>
        <v>0</v>
      </c>
      <c r="C416" s="50"/>
      <c r="D416" s="50"/>
      <c r="E416" s="50"/>
    </row>
    <row r="417" spans="1:5" x14ac:dyDescent="0.3">
      <c r="A417" s="92">
        <f>CODIGOS!A408</f>
        <v>2024414</v>
      </c>
      <c r="B417" s="93">
        <f>CODIGOS!C408</f>
        <v>0</v>
      </c>
      <c r="C417" s="50"/>
      <c r="D417" s="50"/>
      <c r="E417" s="50"/>
    </row>
    <row r="418" spans="1:5" x14ac:dyDescent="0.3">
      <c r="A418" s="92">
        <f>CODIGOS!A409</f>
        <v>2024415</v>
      </c>
      <c r="B418" s="93">
        <f>CODIGOS!C409</f>
        <v>0</v>
      </c>
      <c r="C418" s="50"/>
      <c r="D418" s="50"/>
      <c r="E418" s="50"/>
    </row>
    <row r="419" spans="1:5" x14ac:dyDescent="0.3">
      <c r="A419" s="92">
        <f>CODIGOS!A410</f>
        <v>2024416</v>
      </c>
      <c r="B419" s="93">
        <f>CODIGOS!C410</f>
        <v>0</v>
      </c>
      <c r="C419" s="50"/>
      <c r="D419" s="50"/>
      <c r="E419" s="50"/>
    </row>
    <row r="420" spans="1:5" x14ac:dyDescent="0.3">
      <c r="A420" s="92">
        <f>CODIGOS!A411</f>
        <v>2024417</v>
      </c>
      <c r="B420" s="93">
        <f>CODIGOS!C411</f>
        <v>0</v>
      </c>
      <c r="C420" s="50"/>
      <c r="D420" s="50"/>
      <c r="E420" s="50"/>
    </row>
    <row r="421" spans="1:5" x14ac:dyDescent="0.3">
      <c r="A421" s="92">
        <f>CODIGOS!A412</f>
        <v>2024418</v>
      </c>
      <c r="B421" s="93">
        <f>CODIGOS!C412</f>
        <v>0</v>
      </c>
      <c r="C421" s="50"/>
      <c r="D421" s="50"/>
      <c r="E421" s="50"/>
    </row>
    <row r="422" spans="1:5" x14ac:dyDescent="0.3">
      <c r="A422" s="92">
        <f>CODIGOS!A413</f>
        <v>2024419</v>
      </c>
      <c r="B422" s="93">
        <f>CODIGOS!C413</f>
        <v>0</v>
      </c>
      <c r="C422" s="50"/>
      <c r="D422" s="50"/>
      <c r="E422" s="50"/>
    </row>
    <row r="423" spans="1:5" x14ac:dyDescent="0.3">
      <c r="A423" s="92">
        <f>CODIGOS!A414</f>
        <v>2024420</v>
      </c>
      <c r="B423" s="93">
        <f>CODIGOS!C414</f>
        <v>0</v>
      </c>
      <c r="C423" s="50"/>
      <c r="D423" s="50"/>
      <c r="E423" s="50"/>
    </row>
    <row r="424" spans="1:5" x14ac:dyDescent="0.3">
      <c r="A424" s="92">
        <f>CODIGOS!A415</f>
        <v>2024421</v>
      </c>
      <c r="B424" s="93">
        <f>CODIGOS!C415</f>
        <v>0</v>
      </c>
      <c r="C424" s="50"/>
      <c r="D424" s="50"/>
      <c r="E424" s="50"/>
    </row>
    <row r="425" spans="1:5" x14ac:dyDescent="0.3">
      <c r="A425" s="92">
        <f>CODIGOS!A416</f>
        <v>2024422</v>
      </c>
      <c r="B425" s="93">
        <f>CODIGOS!C416</f>
        <v>0</v>
      </c>
      <c r="C425" s="50"/>
      <c r="D425" s="50"/>
      <c r="E425" s="50"/>
    </row>
    <row r="426" spans="1:5" x14ac:dyDescent="0.3">
      <c r="A426" s="92">
        <f>CODIGOS!A417</f>
        <v>2024423</v>
      </c>
      <c r="B426" s="93">
        <f>CODIGOS!C417</f>
        <v>0</v>
      </c>
      <c r="C426" s="50"/>
      <c r="D426" s="50"/>
      <c r="E426" s="50"/>
    </row>
    <row r="427" spans="1:5" x14ac:dyDescent="0.3">
      <c r="A427" s="92">
        <f>CODIGOS!A418</f>
        <v>2024424</v>
      </c>
      <c r="B427" s="93">
        <f>CODIGOS!C418</f>
        <v>0</v>
      </c>
      <c r="C427" s="50"/>
      <c r="D427" s="50"/>
      <c r="E427" s="50"/>
    </row>
    <row r="428" spans="1:5" x14ac:dyDescent="0.3">
      <c r="A428" s="92">
        <f>CODIGOS!A419</f>
        <v>2024425</v>
      </c>
      <c r="B428" s="93">
        <f>CODIGOS!C419</f>
        <v>0</v>
      </c>
      <c r="C428" s="50"/>
      <c r="D428" s="50"/>
      <c r="E428" s="50"/>
    </row>
    <row r="429" spans="1:5" x14ac:dyDescent="0.3">
      <c r="A429" s="92">
        <f>CODIGOS!A420</f>
        <v>2024426</v>
      </c>
      <c r="B429" s="93">
        <f>CODIGOS!C420</f>
        <v>0</v>
      </c>
      <c r="C429" s="50"/>
      <c r="D429" s="50"/>
      <c r="E429" s="50"/>
    </row>
    <row r="430" spans="1:5" x14ac:dyDescent="0.3">
      <c r="A430" s="92">
        <f>CODIGOS!A421</f>
        <v>2024427</v>
      </c>
      <c r="B430" s="93">
        <f>CODIGOS!C421</f>
        <v>0</v>
      </c>
      <c r="C430" s="50"/>
      <c r="D430" s="50"/>
      <c r="E430" s="50"/>
    </row>
    <row r="431" spans="1:5" x14ac:dyDescent="0.3">
      <c r="A431" s="92">
        <f>CODIGOS!A422</f>
        <v>2024428</v>
      </c>
      <c r="B431" s="93">
        <f>CODIGOS!C422</f>
        <v>0</v>
      </c>
      <c r="C431" s="50"/>
      <c r="D431" s="50"/>
      <c r="E431" s="50"/>
    </row>
    <row r="432" spans="1:5" x14ac:dyDescent="0.3">
      <c r="A432" s="92">
        <f>CODIGOS!A423</f>
        <v>2024429</v>
      </c>
      <c r="B432" s="93">
        <f>CODIGOS!C423</f>
        <v>0</v>
      </c>
      <c r="C432" s="50"/>
      <c r="D432" s="50"/>
      <c r="E432" s="50"/>
    </row>
    <row r="433" spans="1:5" x14ac:dyDescent="0.3">
      <c r="A433" s="92">
        <f>CODIGOS!A424</f>
        <v>2024430</v>
      </c>
      <c r="B433" s="93">
        <f>CODIGOS!C424</f>
        <v>0</v>
      </c>
      <c r="C433" s="50"/>
      <c r="D433" s="50"/>
      <c r="E433" s="50"/>
    </row>
    <row r="434" spans="1:5" x14ac:dyDescent="0.3">
      <c r="A434" s="92">
        <f>CODIGOS!A425</f>
        <v>2024431</v>
      </c>
      <c r="B434" s="93">
        <f>CODIGOS!C425</f>
        <v>0</v>
      </c>
      <c r="C434" s="50"/>
      <c r="D434" s="50"/>
      <c r="E434" s="50"/>
    </row>
    <row r="435" spans="1:5" x14ac:dyDescent="0.3">
      <c r="A435" s="92">
        <f>CODIGOS!A426</f>
        <v>2024432</v>
      </c>
      <c r="B435" s="93">
        <f>CODIGOS!C426</f>
        <v>0</v>
      </c>
      <c r="C435" s="50"/>
      <c r="D435" s="50"/>
      <c r="E435" s="50"/>
    </row>
    <row r="436" spans="1:5" x14ac:dyDescent="0.3">
      <c r="A436" s="92">
        <f>CODIGOS!A427</f>
        <v>2024433</v>
      </c>
      <c r="B436" s="93">
        <f>CODIGOS!C427</f>
        <v>0</v>
      </c>
      <c r="C436" s="50"/>
      <c r="D436" s="50"/>
      <c r="E436" s="50"/>
    </row>
    <row r="437" spans="1:5" x14ac:dyDescent="0.3">
      <c r="A437" s="92">
        <f>CODIGOS!A428</f>
        <v>2024434</v>
      </c>
      <c r="B437" s="93">
        <f>CODIGOS!C428</f>
        <v>0</v>
      </c>
      <c r="C437" s="50"/>
      <c r="D437" s="50"/>
      <c r="E437" s="50"/>
    </row>
    <row r="438" spans="1:5" x14ac:dyDescent="0.3">
      <c r="A438" s="92">
        <f>CODIGOS!A429</f>
        <v>2024435</v>
      </c>
      <c r="B438" s="93">
        <f>CODIGOS!C429</f>
        <v>0</v>
      </c>
      <c r="C438" s="50"/>
      <c r="D438" s="50"/>
      <c r="E438" s="50"/>
    </row>
    <row r="439" spans="1:5" x14ac:dyDescent="0.3">
      <c r="A439" s="92">
        <f>CODIGOS!A430</f>
        <v>2024436</v>
      </c>
      <c r="B439" s="93">
        <f>CODIGOS!C430</f>
        <v>0</v>
      </c>
      <c r="C439" s="50"/>
      <c r="D439" s="50"/>
      <c r="E439" s="50"/>
    </row>
    <row r="440" spans="1:5" x14ac:dyDescent="0.3">
      <c r="A440" s="92">
        <f>CODIGOS!A431</f>
        <v>2024437</v>
      </c>
      <c r="B440" s="93">
        <f>CODIGOS!C431</f>
        <v>0</v>
      </c>
      <c r="C440" s="50"/>
      <c r="D440" s="50"/>
      <c r="E440" s="50"/>
    </row>
    <row r="441" spans="1:5" x14ac:dyDescent="0.3">
      <c r="A441" s="92">
        <f>CODIGOS!A432</f>
        <v>2024438</v>
      </c>
      <c r="B441" s="93">
        <f>CODIGOS!C432</f>
        <v>0</v>
      </c>
      <c r="C441" s="50"/>
      <c r="D441" s="50"/>
      <c r="E441" s="50"/>
    </row>
    <row r="442" spans="1:5" x14ac:dyDescent="0.3">
      <c r="A442" s="92">
        <f>CODIGOS!A433</f>
        <v>2024439</v>
      </c>
      <c r="B442" s="93">
        <f>CODIGOS!C433</f>
        <v>0</v>
      </c>
      <c r="C442" s="50"/>
      <c r="D442" s="50"/>
      <c r="E442" s="50"/>
    </row>
    <row r="443" spans="1:5" x14ac:dyDescent="0.3">
      <c r="A443" s="92">
        <f>CODIGOS!A434</f>
        <v>2024440</v>
      </c>
      <c r="B443" s="93">
        <f>CODIGOS!C434</f>
        <v>0</v>
      </c>
      <c r="C443" s="50"/>
      <c r="D443" s="50"/>
      <c r="E443" s="50"/>
    </row>
    <row r="444" spans="1:5" x14ac:dyDescent="0.3">
      <c r="A444" s="92">
        <f>CODIGOS!A435</f>
        <v>2024441</v>
      </c>
      <c r="B444" s="93">
        <f>CODIGOS!C435</f>
        <v>0</v>
      </c>
      <c r="C444" s="50"/>
      <c r="D444" s="50"/>
      <c r="E444" s="50"/>
    </row>
    <row r="445" spans="1:5" x14ac:dyDescent="0.3">
      <c r="A445" s="92">
        <f>CODIGOS!A436</f>
        <v>2024442</v>
      </c>
      <c r="B445" s="93">
        <f>CODIGOS!C436</f>
        <v>0</v>
      </c>
      <c r="C445" s="50"/>
      <c r="D445" s="50"/>
      <c r="E445" s="50"/>
    </row>
    <row r="446" spans="1:5" x14ac:dyDescent="0.3">
      <c r="A446" s="92">
        <f>CODIGOS!A437</f>
        <v>2024443</v>
      </c>
      <c r="B446" s="93">
        <f>CODIGOS!C437</f>
        <v>0</v>
      </c>
      <c r="C446" s="50"/>
      <c r="D446" s="50"/>
      <c r="E446" s="50"/>
    </row>
    <row r="447" spans="1:5" x14ac:dyDescent="0.3">
      <c r="A447" s="92">
        <f>CODIGOS!A438</f>
        <v>2024444</v>
      </c>
      <c r="B447" s="93">
        <f>CODIGOS!C438</f>
        <v>0</v>
      </c>
      <c r="C447" s="50"/>
      <c r="D447" s="50"/>
      <c r="E447" s="50"/>
    </row>
    <row r="448" spans="1:5" x14ac:dyDescent="0.3">
      <c r="A448" s="92">
        <f>CODIGOS!A439</f>
        <v>2024445</v>
      </c>
      <c r="B448" s="93">
        <f>CODIGOS!C439</f>
        <v>0</v>
      </c>
      <c r="C448" s="50"/>
      <c r="D448" s="50"/>
      <c r="E448" s="50"/>
    </row>
    <row r="449" spans="1:5" x14ac:dyDescent="0.3">
      <c r="A449" s="92">
        <f>CODIGOS!A440</f>
        <v>2024446</v>
      </c>
      <c r="B449" s="93">
        <f>CODIGOS!C440</f>
        <v>0</v>
      </c>
      <c r="C449" s="50"/>
      <c r="D449" s="50"/>
      <c r="E449" s="50"/>
    </row>
    <row r="450" spans="1:5" x14ac:dyDescent="0.3">
      <c r="A450" s="92">
        <f>CODIGOS!A441</f>
        <v>2024447</v>
      </c>
      <c r="B450" s="93">
        <f>CODIGOS!C441</f>
        <v>0</v>
      </c>
      <c r="C450" s="50"/>
      <c r="D450" s="50"/>
      <c r="E450" s="50"/>
    </row>
    <row r="451" spans="1:5" x14ac:dyDescent="0.3">
      <c r="A451" s="92">
        <f>CODIGOS!A442</f>
        <v>2024448</v>
      </c>
      <c r="B451" s="93">
        <f>CODIGOS!C442</f>
        <v>0</v>
      </c>
      <c r="C451" s="50"/>
      <c r="D451" s="50"/>
      <c r="E451" s="50"/>
    </row>
    <row r="452" spans="1:5" x14ac:dyDescent="0.3">
      <c r="A452" s="92">
        <f>CODIGOS!A443</f>
        <v>2024449</v>
      </c>
      <c r="B452" s="93">
        <f>CODIGOS!C443</f>
        <v>0</v>
      </c>
      <c r="C452" s="50"/>
      <c r="D452" s="50"/>
      <c r="E452" s="50"/>
    </row>
    <row r="453" spans="1:5" x14ac:dyDescent="0.3">
      <c r="A453" s="92">
        <f>CODIGOS!A444</f>
        <v>2024450</v>
      </c>
      <c r="B453" s="93">
        <f>CODIGOS!C444</f>
        <v>0</v>
      </c>
      <c r="C453" s="50"/>
      <c r="D453" s="50"/>
      <c r="E453" s="50"/>
    </row>
    <row r="454" spans="1:5" x14ac:dyDescent="0.3">
      <c r="A454" s="92">
        <f>CODIGOS!A445</f>
        <v>2024451</v>
      </c>
      <c r="B454" s="93">
        <f>CODIGOS!C445</f>
        <v>0</v>
      </c>
      <c r="C454" s="50"/>
      <c r="D454" s="50"/>
      <c r="E454" s="50"/>
    </row>
    <row r="455" spans="1:5" x14ac:dyDescent="0.3">
      <c r="A455" s="92">
        <f>CODIGOS!A446</f>
        <v>2024452</v>
      </c>
      <c r="B455" s="93">
        <f>CODIGOS!C446</f>
        <v>0</v>
      </c>
      <c r="C455" s="50"/>
      <c r="D455" s="50"/>
      <c r="E455" s="50"/>
    </row>
    <row r="456" spans="1:5" x14ac:dyDescent="0.3">
      <c r="A456" s="92">
        <f>CODIGOS!A447</f>
        <v>2024453</v>
      </c>
      <c r="B456" s="93">
        <f>CODIGOS!C447</f>
        <v>0</v>
      </c>
      <c r="C456" s="50"/>
      <c r="D456" s="50"/>
      <c r="E456" s="50"/>
    </row>
    <row r="457" spans="1:5" x14ac:dyDescent="0.3">
      <c r="A457" s="92">
        <f>CODIGOS!A448</f>
        <v>2024454</v>
      </c>
      <c r="B457" s="93">
        <f>CODIGOS!C448</f>
        <v>0</v>
      </c>
      <c r="C457" s="50"/>
      <c r="D457" s="50"/>
      <c r="E457" s="50"/>
    </row>
    <row r="458" spans="1:5" x14ac:dyDescent="0.3">
      <c r="A458" s="92">
        <f>CODIGOS!A449</f>
        <v>2024455</v>
      </c>
      <c r="B458" s="93">
        <f>CODIGOS!C449</f>
        <v>0</v>
      </c>
      <c r="C458" s="50"/>
      <c r="D458" s="50"/>
      <c r="E458" s="50"/>
    </row>
    <row r="459" spans="1:5" x14ac:dyDescent="0.3">
      <c r="A459" s="92">
        <f>CODIGOS!A450</f>
        <v>2024456</v>
      </c>
      <c r="B459" s="93">
        <f>CODIGOS!C450</f>
        <v>0</v>
      </c>
      <c r="C459" s="50"/>
      <c r="D459" s="50"/>
      <c r="E459" s="50"/>
    </row>
    <row r="460" spans="1:5" x14ac:dyDescent="0.3">
      <c r="A460" s="92">
        <f>CODIGOS!A451</f>
        <v>2024457</v>
      </c>
      <c r="B460" s="93">
        <f>CODIGOS!C451</f>
        <v>0</v>
      </c>
      <c r="C460" s="50"/>
      <c r="D460" s="50"/>
      <c r="E460" s="50"/>
    </row>
    <row r="461" spans="1:5" x14ac:dyDescent="0.3">
      <c r="A461" s="92">
        <f>CODIGOS!A452</f>
        <v>2024458</v>
      </c>
      <c r="B461" s="93">
        <f>CODIGOS!C452</f>
        <v>0</v>
      </c>
      <c r="C461" s="50"/>
      <c r="D461" s="50"/>
      <c r="E461" s="50"/>
    </row>
    <row r="462" spans="1:5" x14ac:dyDescent="0.3">
      <c r="A462" s="92">
        <f>CODIGOS!A453</f>
        <v>2024459</v>
      </c>
      <c r="B462" s="93">
        <f>CODIGOS!C453</f>
        <v>0</v>
      </c>
      <c r="C462" s="50"/>
      <c r="D462" s="50"/>
      <c r="E462" s="50"/>
    </row>
    <row r="463" spans="1:5" x14ac:dyDescent="0.3">
      <c r="A463" s="92">
        <f>CODIGOS!A454</f>
        <v>2024460</v>
      </c>
      <c r="B463" s="93">
        <f>CODIGOS!C454</f>
        <v>0</v>
      </c>
      <c r="C463" s="50"/>
      <c r="D463" s="50"/>
      <c r="E463" s="50"/>
    </row>
    <row r="464" spans="1:5" x14ac:dyDescent="0.3">
      <c r="A464" s="92">
        <f>CODIGOS!A455</f>
        <v>2024461</v>
      </c>
      <c r="B464" s="93">
        <f>CODIGOS!C455</f>
        <v>0</v>
      </c>
      <c r="C464" s="50"/>
      <c r="D464" s="50"/>
      <c r="E464" s="50"/>
    </row>
    <row r="465" spans="1:5" x14ac:dyDescent="0.3">
      <c r="A465" s="92">
        <f>CODIGOS!A456</f>
        <v>2024462</v>
      </c>
      <c r="B465" s="93">
        <f>CODIGOS!C456</f>
        <v>0</v>
      </c>
      <c r="C465" s="50"/>
      <c r="D465" s="50"/>
      <c r="E465" s="50"/>
    </row>
    <row r="466" spans="1:5" x14ac:dyDescent="0.3">
      <c r="A466" s="92">
        <f>CODIGOS!A457</f>
        <v>2024463</v>
      </c>
      <c r="B466" s="93">
        <f>CODIGOS!C457</f>
        <v>0</v>
      </c>
      <c r="C466" s="50"/>
      <c r="D466" s="50"/>
      <c r="E466" s="50"/>
    </row>
    <row r="467" spans="1:5" x14ac:dyDescent="0.3">
      <c r="A467" s="92">
        <f>CODIGOS!A458</f>
        <v>2024464</v>
      </c>
      <c r="B467" s="93">
        <f>CODIGOS!C458</f>
        <v>0</v>
      </c>
      <c r="C467" s="50"/>
      <c r="D467" s="50"/>
      <c r="E467" s="50"/>
    </row>
    <row r="468" spans="1:5" x14ac:dyDescent="0.3">
      <c r="A468" s="92">
        <f>CODIGOS!A459</f>
        <v>2024465</v>
      </c>
      <c r="B468" s="93">
        <f>CODIGOS!C459</f>
        <v>0</v>
      </c>
      <c r="C468" s="50"/>
      <c r="D468" s="50"/>
      <c r="E468" s="50"/>
    </row>
    <row r="469" spans="1:5" x14ac:dyDescent="0.3">
      <c r="A469" s="92">
        <f>CODIGOS!A460</f>
        <v>2024466</v>
      </c>
      <c r="B469" s="93">
        <f>CODIGOS!C460</f>
        <v>0</v>
      </c>
      <c r="C469" s="50"/>
      <c r="D469" s="50"/>
      <c r="E469" s="50"/>
    </row>
    <row r="470" spans="1:5" x14ac:dyDescent="0.3">
      <c r="A470" s="92">
        <f>CODIGOS!A461</f>
        <v>2024467</v>
      </c>
      <c r="B470" s="93">
        <f>CODIGOS!C461</f>
        <v>0</v>
      </c>
      <c r="C470" s="50"/>
      <c r="D470" s="50"/>
      <c r="E470" s="50"/>
    </row>
    <row r="471" spans="1:5" x14ac:dyDescent="0.3">
      <c r="A471" s="92">
        <f>CODIGOS!A462</f>
        <v>2024468</v>
      </c>
      <c r="B471" s="93">
        <f>CODIGOS!C462</f>
        <v>0</v>
      </c>
      <c r="C471" s="50"/>
      <c r="D471" s="50"/>
      <c r="E471" s="50"/>
    </row>
    <row r="472" spans="1:5" x14ac:dyDescent="0.3">
      <c r="A472" s="92">
        <f>CODIGOS!A463</f>
        <v>2024469</v>
      </c>
      <c r="B472" s="93">
        <f>CODIGOS!C463</f>
        <v>0</v>
      </c>
      <c r="C472" s="50"/>
      <c r="D472" s="50"/>
      <c r="E472" s="50"/>
    </row>
    <row r="473" spans="1:5" x14ac:dyDescent="0.3">
      <c r="A473" s="92">
        <f>CODIGOS!A464</f>
        <v>2024470</v>
      </c>
      <c r="B473" s="93">
        <f>CODIGOS!C464</f>
        <v>0</v>
      </c>
      <c r="C473" s="50"/>
      <c r="D473" s="50"/>
      <c r="E473" s="50"/>
    </row>
    <row r="474" spans="1:5" x14ac:dyDescent="0.3">
      <c r="A474" s="92">
        <f>CODIGOS!A465</f>
        <v>2024471</v>
      </c>
      <c r="B474" s="93">
        <f>CODIGOS!C465</f>
        <v>0</v>
      </c>
      <c r="C474" s="50"/>
      <c r="D474" s="50"/>
      <c r="E474" s="50"/>
    </row>
    <row r="475" spans="1:5" x14ac:dyDescent="0.3">
      <c r="A475" s="92">
        <f>CODIGOS!A466</f>
        <v>2024472</v>
      </c>
      <c r="B475" s="93">
        <f>CODIGOS!C466</f>
        <v>0</v>
      </c>
      <c r="C475" s="50"/>
      <c r="D475" s="50"/>
      <c r="E475" s="50"/>
    </row>
    <row r="476" spans="1:5" x14ac:dyDescent="0.3">
      <c r="A476" s="92">
        <f>CODIGOS!A467</f>
        <v>2024473</v>
      </c>
      <c r="B476" s="93">
        <f>CODIGOS!C467</f>
        <v>0</v>
      </c>
      <c r="C476" s="50"/>
      <c r="D476" s="50"/>
      <c r="E476" s="50"/>
    </row>
    <row r="477" spans="1:5" x14ac:dyDescent="0.3">
      <c r="A477" s="92">
        <f>CODIGOS!A468</f>
        <v>2024474</v>
      </c>
      <c r="B477" s="93">
        <f>CODIGOS!C468</f>
        <v>0</v>
      </c>
      <c r="C477" s="50"/>
      <c r="D477" s="50"/>
      <c r="E477" s="50"/>
    </row>
    <row r="478" spans="1:5" x14ac:dyDescent="0.3">
      <c r="A478" s="92">
        <f>CODIGOS!A469</f>
        <v>2024475</v>
      </c>
      <c r="B478" s="93">
        <f>CODIGOS!C469</f>
        <v>0</v>
      </c>
      <c r="C478" s="50"/>
      <c r="D478" s="50"/>
      <c r="E478" s="50"/>
    </row>
    <row r="479" spans="1:5" x14ac:dyDescent="0.3">
      <c r="A479" s="92">
        <f>CODIGOS!A470</f>
        <v>2024476</v>
      </c>
      <c r="B479" s="93">
        <f>CODIGOS!C470</f>
        <v>0</v>
      </c>
      <c r="C479" s="50"/>
      <c r="D479" s="50"/>
      <c r="E479" s="50"/>
    </row>
    <row r="480" spans="1:5" x14ac:dyDescent="0.3">
      <c r="A480" s="92">
        <f>CODIGOS!A471</f>
        <v>2024477</v>
      </c>
      <c r="B480" s="93">
        <f>CODIGOS!C471</f>
        <v>0</v>
      </c>
      <c r="C480" s="50"/>
      <c r="D480" s="50"/>
      <c r="E480" s="50"/>
    </row>
    <row r="481" spans="1:5" x14ac:dyDescent="0.3">
      <c r="A481" s="92">
        <f>CODIGOS!A472</f>
        <v>2024478</v>
      </c>
      <c r="B481" s="93">
        <f>CODIGOS!C472</f>
        <v>0</v>
      </c>
      <c r="C481" s="50"/>
      <c r="D481" s="50"/>
      <c r="E481" s="50"/>
    </row>
    <row r="482" spans="1:5" x14ac:dyDescent="0.3">
      <c r="A482" s="92">
        <f>CODIGOS!A473</f>
        <v>2024479</v>
      </c>
      <c r="B482" s="93">
        <f>CODIGOS!C473</f>
        <v>0</v>
      </c>
      <c r="C482" s="50"/>
      <c r="D482" s="50"/>
      <c r="E482" s="50"/>
    </row>
    <row r="483" spans="1:5" x14ac:dyDescent="0.3">
      <c r="A483" s="92">
        <f>CODIGOS!A474</f>
        <v>2024480</v>
      </c>
      <c r="B483" s="93">
        <f>CODIGOS!C474</f>
        <v>0</v>
      </c>
      <c r="C483" s="50"/>
      <c r="D483" s="50"/>
      <c r="E483" s="50"/>
    </row>
    <row r="484" spans="1:5" x14ac:dyDescent="0.3">
      <c r="A484" s="92">
        <f>CODIGOS!A475</f>
        <v>2024481</v>
      </c>
      <c r="B484" s="93">
        <f>CODIGOS!C475</f>
        <v>0</v>
      </c>
      <c r="C484" s="50"/>
      <c r="D484" s="50"/>
      <c r="E484" s="50"/>
    </row>
    <row r="485" spans="1:5" x14ac:dyDescent="0.3">
      <c r="A485" s="92">
        <f>CODIGOS!A476</f>
        <v>2024482</v>
      </c>
      <c r="B485" s="93">
        <f>CODIGOS!C476</f>
        <v>0</v>
      </c>
      <c r="C485" s="50"/>
      <c r="D485" s="50"/>
      <c r="E485" s="50"/>
    </row>
    <row r="486" spans="1:5" x14ac:dyDescent="0.3">
      <c r="A486" s="92">
        <f>CODIGOS!A477</f>
        <v>2024483</v>
      </c>
      <c r="B486" s="93">
        <f>CODIGOS!C477</f>
        <v>0</v>
      </c>
      <c r="C486" s="50"/>
      <c r="D486" s="50"/>
      <c r="E486" s="50"/>
    </row>
    <row r="487" spans="1:5" x14ac:dyDescent="0.3">
      <c r="A487" s="92">
        <f>CODIGOS!A478</f>
        <v>2024484</v>
      </c>
      <c r="B487" s="93">
        <f>CODIGOS!C478</f>
        <v>0</v>
      </c>
      <c r="C487" s="50"/>
      <c r="D487" s="50"/>
      <c r="E487" s="50"/>
    </row>
    <row r="488" spans="1:5" x14ac:dyDescent="0.3">
      <c r="A488" s="92">
        <f>CODIGOS!A479</f>
        <v>2024485</v>
      </c>
      <c r="B488" s="93">
        <f>CODIGOS!C479</f>
        <v>0</v>
      </c>
      <c r="C488" s="50"/>
      <c r="D488" s="50"/>
      <c r="E488" s="50"/>
    </row>
    <row r="489" spans="1:5" x14ac:dyDescent="0.3">
      <c r="A489" s="92">
        <f>CODIGOS!A480</f>
        <v>2024486</v>
      </c>
      <c r="B489" s="93">
        <f>CODIGOS!C480</f>
        <v>0</v>
      </c>
      <c r="C489" s="50"/>
      <c r="D489" s="50"/>
      <c r="E489" s="50"/>
    </row>
    <row r="490" spans="1:5" x14ac:dyDescent="0.3">
      <c r="A490" s="92">
        <f>CODIGOS!A481</f>
        <v>2024487</v>
      </c>
      <c r="B490" s="93">
        <f>CODIGOS!C481</f>
        <v>0</v>
      </c>
      <c r="C490" s="50"/>
      <c r="D490" s="50"/>
      <c r="E490" s="50"/>
    </row>
    <row r="491" spans="1:5" x14ac:dyDescent="0.3">
      <c r="A491" s="92">
        <f>CODIGOS!A482</f>
        <v>2024488</v>
      </c>
      <c r="B491" s="93">
        <f>CODIGOS!C482</f>
        <v>0</v>
      </c>
      <c r="C491" s="50"/>
      <c r="D491" s="50"/>
      <c r="E491" s="50"/>
    </row>
    <row r="492" spans="1:5" x14ac:dyDescent="0.3">
      <c r="A492" s="92">
        <f>CODIGOS!A483</f>
        <v>2024489</v>
      </c>
      <c r="B492" s="93">
        <f>CODIGOS!C483</f>
        <v>0</v>
      </c>
      <c r="C492" s="50"/>
      <c r="D492" s="50"/>
      <c r="E492" s="50"/>
    </row>
    <row r="493" spans="1:5" x14ac:dyDescent="0.3">
      <c r="A493" s="92">
        <f>CODIGOS!A484</f>
        <v>2024490</v>
      </c>
      <c r="B493" s="93">
        <f>CODIGOS!C484</f>
        <v>0</v>
      </c>
      <c r="C493" s="50"/>
      <c r="D493" s="50"/>
      <c r="E493" s="50"/>
    </row>
    <row r="494" spans="1:5" x14ac:dyDescent="0.3">
      <c r="A494" s="92">
        <f>CODIGOS!A485</f>
        <v>2024491</v>
      </c>
      <c r="B494" s="93">
        <f>CODIGOS!C485</f>
        <v>0</v>
      </c>
      <c r="C494" s="50"/>
      <c r="D494" s="50"/>
      <c r="E494" s="50"/>
    </row>
    <row r="495" spans="1:5" x14ac:dyDescent="0.3">
      <c r="A495" s="92">
        <f>CODIGOS!A486</f>
        <v>2024492</v>
      </c>
      <c r="B495" s="93">
        <f>CODIGOS!C486</f>
        <v>0</v>
      </c>
      <c r="C495" s="50"/>
      <c r="D495" s="50"/>
      <c r="E495" s="50"/>
    </row>
    <row r="496" spans="1:5" x14ac:dyDescent="0.3">
      <c r="A496" s="92">
        <f>CODIGOS!A487</f>
        <v>2024493</v>
      </c>
      <c r="B496" s="93">
        <f>CODIGOS!C487</f>
        <v>0</v>
      </c>
      <c r="C496" s="50"/>
      <c r="D496" s="50"/>
      <c r="E496" s="50"/>
    </row>
    <row r="497" spans="1:5" x14ac:dyDescent="0.3">
      <c r="A497" s="92">
        <f>CODIGOS!A488</f>
        <v>2024494</v>
      </c>
      <c r="B497" s="93">
        <f>CODIGOS!C488</f>
        <v>0</v>
      </c>
      <c r="C497" s="50"/>
      <c r="D497" s="50"/>
      <c r="E497" s="50"/>
    </row>
    <row r="498" spans="1:5" x14ac:dyDescent="0.3">
      <c r="A498" s="92">
        <f>CODIGOS!A489</f>
        <v>2024495</v>
      </c>
      <c r="B498" s="93">
        <f>CODIGOS!C489</f>
        <v>0</v>
      </c>
      <c r="C498" s="50"/>
      <c r="D498" s="50"/>
      <c r="E498" s="50"/>
    </row>
    <row r="499" spans="1:5" x14ac:dyDescent="0.3">
      <c r="A499" s="92">
        <f>CODIGOS!A490</f>
        <v>2024496</v>
      </c>
      <c r="B499" s="93">
        <f>CODIGOS!C490</f>
        <v>0</v>
      </c>
      <c r="C499" s="50"/>
      <c r="D499" s="50"/>
      <c r="E499" s="50"/>
    </row>
    <row r="500" spans="1:5" x14ac:dyDescent="0.3">
      <c r="A500" s="92">
        <f>CODIGOS!A491</f>
        <v>2024497</v>
      </c>
      <c r="B500" s="93">
        <f>CODIGOS!C491</f>
        <v>0</v>
      </c>
      <c r="C500" s="50"/>
      <c r="D500" s="50"/>
      <c r="E500" s="50"/>
    </row>
    <row r="501" spans="1:5" x14ac:dyDescent="0.3">
      <c r="A501" s="92">
        <f>CODIGOS!A492</f>
        <v>2024498</v>
      </c>
      <c r="B501" s="93">
        <f>CODIGOS!C492</f>
        <v>0</v>
      </c>
      <c r="C501" s="50"/>
      <c r="D501" s="50"/>
      <c r="E501" s="50"/>
    </row>
    <row r="502" spans="1:5" x14ac:dyDescent="0.3">
      <c r="A502" s="92">
        <f>CODIGOS!A493</f>
        <v>2024499</v>
      </c>
      <c r="B502" s="93">
        <f>CODIGOS!C493</f>
        <v>0</v>
      </c>
      <c r="C502" s="50"/>
      <c r="D502" s="50"/>
      <c r="E502" s="50"/>
    </row>
    <row r="503" spans="1:5" x14ac:dyDescent="0.3">
      <c r="A503" s="92">
        <f>CODIGOS!A494</f>
        <v>2024500</v>
      </c>
      <c r="B503" s="93">
        <f>CODIGOS!C494</f>
        <v>0</v>
      </c>
      <c r="C503" s="50"/>
      <c r="D503" s="50"/>
      <c r="E503" s="50"/>
    </row>
    <row r="504" spans="1:5" x14ac:dyDescent="0.3">
      <c r="A504" s="92">
        <f>CODIGOS!A495</f>
        <v>2024501</v>
      </c>
      <c r="B504" s="93">
        <f>CODIGOS!C495</f>
        <v>0</v>
      </c>
      <c r="C504" s="50"/>
      <c r="D504" s="50"/>
      <c r="E504" s="50"/>
    </row>
    <row r="505" spans="1:5" x14ac:dyDescent="0.3">
      <c r="A505" s="92">
        <f>CODIGOS!A496</f>
        <v>2024502</v>
      </c>
      <c r="B505" s="93">
        <f>CODIGOS!C496</f>
        <v>0</v>
      </c>
      <c r="C505" s="50"/>
      <c r="D505" s="50"/>
      <c r="E505" s="50"/>
    </row>
    <row r="506" spans="1:5" x14ac:dyDescent="0.3">
      <c r="A506" s="92">
        <f>CODIGOS!A497</f>
        <v>2024503</v>
      </c>
      <c r="B506" s="93">
        <f>CODIGOS!C497</f>
        <v>0</v>
      </c>
      <c r="C506" s="50"/>
      <c r="D506" s="50"/>
      <c r="E506" s="50"/>
    </row>
    <row r="507" spans="1:5" x14ac:dyDescent="0.3">
      <c r="A507" s="92">
        <f>CODIGOS!A498</f>
        <v>2024504</v>
      </c>
      <c r="B507" s="93">
        <f>CODIGOS!C498</f>
        <v>0</v>
      </c>
      <c r="C507" s="50"/>
      <c r="D507" s="50"/>
      <c r="E507" s="50"/>
    </row>
    <row r="508" spans="1:5" x14ac:dyDescent="0.3">
      <c r="A508" s="92">
        <f>CODIGOS!A499</f>
        <v>2024505</v>
      </c>
      <c r="B508" s="93">
        <f>CODIGOS!C499</f>
        <v>0</v>
      </c>
      <c r="C508" s="50"/>
      <c r="D508" s="50"/>
      <c r="E508" s="50"/>
    </row>
    <row r="509" spans="1:5" x14ac:dyDescent="0.3">
      <c r="A509" s="92">
        <f>CODIGOS!A500</f>
        <v>2024506</v>
      </c>
      <c r="B509" s="93">
        <f>CODIGOS!C500</f>
        <v>0</v>
      </c>
      <c r="C509" s="50"/>
      <c r="D509" s="50"/>
      <c r="E509" s="50"/>
    </row>
    <row r="510" spans="1:5" x14ac:dyDescent="0.3">
      <c r="A510" s="92">
        <f>CODIGOS!A501</f>
        <v>2024507</v>
      </c>
      <c r="B510" s="93">
        <f>CODIGOS!C501</f>
        <v>0</v>
      </c>
      <c r="C510" s="50"/>
      <c r="D510" s="50"/>
      <c r="E510" s="50"/>
    </row>
    <row r="511" spans="1:5" x14ac:dyDescent="0.3">
      <c r="A511" s="92">
        <f>CODIGOS!A502</f>
        <v>2024508</v>
      </c>
      <c r="B511" s="93">
        <f>CODIGOS!C502</f>
        <v>0</v>
      </c>
      <c r="C511" s="50"/>
      <c r="D511" s="50"/>
      <c r="E511" s="50"/>
    </row>
    <row r="512" spans="1:5" x14ac:dyDescent="0.3">
      <c r="A512" s="92">
        <f>CODIGOS!A503</f>
        <v>2024509</v>
      </c>
      <c r="B512" s="93">
        <f>CODIGOS!C503</f>
        <v>0</v>
      </c>
      <c r="C512" s="50"/>
      <c r="D512" s="50"/>
      <c r="E512" s="50"/>
    </row>
    <row r="513" spans="1:5" x14ac:dyDescent="0.3">
      <c r="A513" s="92">
        <f>CODIGOS!A504</f>
        <v>2024510</v>
      </c>
      <c r="B513" s="93">
        <f>CODIGOS!C504</f>
        <v>0</v>
      </c>
      <c r="C513" s="50"/>
      <c r="D513" s="50"/>
      <c r="E513" s="50"/>
    </row>
    <row r="514" spans="1:5" x14ac:dyDescent="0.3">
      <c r="A514" s="92">
        <f>CODIGOS!A505</f>
        <v>2024511</v>
      </c>
      <c r="B514" s="93">
        <f>CODIGOS!C505</f>
        <v>0</v>
      </c>
      <c r="C514" s="50"/>
      <c r="D514" s="50"/>
      <c r="E514" s="50"/>
    </row>
    <row r="515" spans="1:5" x14ac:dyDescent="0.3">
      <c r="A515" s="92">
        <f>CODIGOS!A506</f>
        <v>2024512</v>
      </c>
      <c r="B515" s="93">
        <f>CODIGOS!C506</f>
        <v>0</v>
      </c>
      <c r="C515" s="50"/>
      <c r="D515" s="50"/>
      <c r="E515" s="50"/>
    </row>
    <row r="516" spans="1:5" x14ac:dyDescent="0.3">
      <c r="A516" s="92">
        <f>CODIGOS!A507</f>
        <v>2024513</v>
      </c>
      <c r="B516" s="93">
        <f>CODIGOS!C507</f>
        <v>0</v>
      </c>
      <c r="C516" s="50"/>
      <c r="D516" s="50"/>
      <c r="E516" s="50"/>
    </row>
    <row r="517" spans="1:5" x14ac:dyDescent="0.3">
      <c r="A517" s="92">
        <f>CODIGOS!A508</f>
        <v>2024514</v>
      </c>
      <c r="B517" s="93">
        <f>CODIGOS!C508</f>
        <v>0</v>
      </c>
      <c r="C517" s="50"/>
      <c r="D517" s="50"/>
      <c r="E517" s="50"/>
    </row>
    <row r="518" spans="1:5" x14ac:dyDescent="0.3">
      <c r="A518" s="92">
        <f>CODIGOS!A509</f>
        <v>2024515</v>
      </c>
      <c r="B518" s="93">
        <f>CODIGOS!C509</f>
        <v>0</v>
      </c>
      <c r="C518" s="50"/>
      <c r="D518" s="50"/>
      <c r="E518" s="50"/>
    </row>
    <row r="519" spans="1:5" x14ac:dyDescent="0.3">
      <c r="A519" s="92">
        <f>CODIGOS!A510</f>
        <v>2024516</v>
      </c>
      <c r="B519" s="93">
        <f>CODIGOS!C510</f>
        <v>0</v>
      </c>
      <c r="C519" s="50"/>
      <c r="D519" s="50"/>
      <c r="E519" s="50"/>
    </row>
    <row r="520" spans="1:5" x14ac:dyDescent="0.3">
      <c r="A520" s="92">
        <f>CODIGOS!A511</f>
        <v>2024517</v>
      </c>
      <c r="B520" s="93">
        <f>CODIGOS!C511</f>
        <v>0</v>
      </c>
      <c r="C520" s="50"/>
      <c r="D520" s="50"/>
      <c r="E520" s="50"/>
    </row>
    <row r="521" spans="1:5" x14ac:dyDescent="0.3">
      <c r="A521" s="92">
        <f>CODIGOS!A512</f>
        <v>2024518</v>
      </c>
      <c r="B521" s="93">
        <f>CODIGOS!C512</f>
        <v>0</v>
      </c>
      <c r="C521" s="50"/>
      <c r="D521" s="50"/>
      <c r="E521" s="50"/>
    </row>
    <row r="522" spans="1:5" x14ac:dyDescent="0.3">
      <c r="A522" s="92">
        <f>CODIGOS!A513</f>
        <v>2024519</v>
      </c>
      <c r="B522" s="93">
        <f>CODIGOS!C513</f>
        <v>0</v>
      </c>
      <c r="C522" s="50"/>
      <c r="D522" s="50"/>
      <c r="E522" s="50"/>
    </row>
    <row r="523" spans="1:5" x14ac:dyDescent="0.3">
      <c r="A523" s="92">
        <f>CODIGOS!A514</f>
        <v>2024520</v>
      </c>
      <c r="B523" s="93">
        <f>CODIGOS!C514</f>
        <v>0</v>
      </c>
      <c r="C523" s="50"/>
      <c r="D523" s="50"/>
      <c r="E523" s="50"/>
    </row>
    <row r="524" spans="1:5" x14ac:dyDescent="0.3">
      <c r="A524" s="92">
        <f>CODIGOS!A515</f>
        <v>2024521</v>
      </c>
      <c r="B524" s="93">
        <f>CODIGOS!C515</f>
        <v>0</v>
      </c>
      <c r="C524" s="50"/>
      <c r="D524" s="50"/>
      <c r="E524" s="50"/>
    </row>
    <row r="525" spans="1:5" x14ac:dyDescent="0.3">
      <c r="A525" s="92">
        <f>CODIGOS!A516</f>
        <v>2024522</v>
      </c>
      <c r="B525" s="93">
        <f>CODIGOS!C516</f>
        <v>0</v>
      </c>
      <c r="C525" s="50"/>
      <c r="D525" s="50"/>
      <c r="E525" s="50"/>
    </row>
    <row r="526" spans="1:5" x14ac:dyDescent="0.3">
      <c r="A526" s="92">
        <f>CODIGOS!A517</f>
        <v>2024523</v>
      </c>
      <c r="B526" s="93">
        <f>CODIGOS!C517</f>
        <v>0</v>
      </c>
      <c r="C526" s="50"/>
      <c r="D526" s="50"/>
      <c r="E526" s="50"/>
    </row>
    <row r="527" spans="1:5" x14ac:dyDescent="0.3">
      <c r="A527" s="92">
        <f>CODIGOS!A518</f>
        <v>2024524</v>
      </c>
      <c r="B527" s="93">
        <f>CODIGOS!C518</f>
        <v>0</v>
      </c>
      <c r="C527" s="50"/>
      <c r="D527" s="50"/>
      <c r="E527" s="50"/>
    </row>
    <row r="528" spans="1:5" x14ac:dyDescent="0.3">
      <c r="A528" s="92">
        <f>CODIGOS!A519</f>
        <v>2024525</v>
      </c>
      <c r="B528" s="93">
        <f>CODIGOS!C519</f>
        <v>0</v>
      </c>
      <c r="C528" s="50"/>
      <c r="D528" s="50"/>
      <c r="E528" s="50"/>
    </row>
    <row r="529" spans="1:5" x14ac:dyDescent="0.3">
      <c r="A529" s="92">
        <f>CODIGOS!A520</f>
        <v>2024526</v>
      </c>
      <c r="B529" s="93">
        <f>CODIGOS!C520</f>
        <v>0</v>
      </c>
      <c r="C529" s="50"/>
      <c r="D529" s="50"/>
      <c r="E529" s="50"/>
    </row>
    <row r="530" spans="1:5" x14ac:dyDescent="0.3">
      <c r="A530" s="92">
        <f>CODIGOS!A521</f>
        <v>2024527</v>
      </c>
      <c r="B530" s="93">
        <f>CODIGOS!C521</f>
        <v>0</v>
      </c>
      <c r="C530" s="50"/>
      <c r="D530" s="50"/>
      <c r="E530" s="50"/>
    </row>
    <row r="531" spans="1:5" x14ac:dyDescent="0.3">
      <c r="A531" s="92">
        <f>CODIGOS!A522</f>
        <v>2024528</v>
      </c>
      <c r="B531" s="93">
        <f>CODIGOS!C522</f>
        <v>0</v>
      </c>
      <c r="C531" s="50"/>
      <c r="D531" s="50"/>
      <c r="E531" s="50"/>
    </row>
    <row r="532" spans="1:5" x14ac:dyDescent="0.3">
      <c r="A532" s="92">
        <f>CODIGOS!A523</f>
        <v>2024529</v>
      </c>
      <c r="B532" s="93">
        <f>CODIGOS!C523</f>
        <v>0</v>
      </c>
      <c r="C532" s="50"/>
      <c r="D532" s="50"/>
      <c r="E532" s="50"/>
    </row>
    <row r="533" spans="1:5" x14ac:dyDescent="0.3">
      <c r="A533" s="92">
        <f>CODIGOS!A524</f>
        <v>2024530</v>
      </c>
      <c r="B533" s="93">
        <f>CODIGOS!C524</f>
        <v>0</v>
      </c>
      <c r="C533" s="50"/>
      <c r="D533" s="50"/>
      <c r="E533" s="50"/>
    </row>
    <row r="534" spans="1:5" x14ac:dyDescent="0.3">
      <c r="A534" s="92">
        <f>CODIGOS!A525</f>
        <v>2024531</v>
      </c>
      <c r="B534" s="93">
        <f>CODIGOS!C525</f>
        <v>0</v>
      </c>
      <c r="C534" s="50"/>
      <c r="D534" s="50"/>
      <c r="E534" s="50"/>
    </row>
    <row r="535" spans="1:5" x14ac:dyDescent="0.3">
      <c r="A535" s="92">
        <f>CODIGOS!A526</f>
        <v>2024532</v>
      </c>
      <c r="B535" s="93">
        <f>CODIGOS!C526</f>
        <v>0</v>
      </c>
      <c r="C535" s="50"/>
      <c r="D535" s="50"/>
      <c r="E535" s="50"/>
    </row>
    <row r="536" spans="1:5" x14ac:dyDescent="0.3">
      <c r="A536" s="92">
        <f>CODIGOS!A527</f>
        <v>2024533</v>
      </c>
      <c r="B536" s="93">
        <f>CODIGOS!C527</f>
        <v>0</v>
      </c>
      <c r="C536" s="50"/>
      <c r="D536" s="50"/>
      <c r="E536" s="50"/>
    </row>
    <row r="537" spans="1:5" x14ac:dyDescent="0.3">
      <c r="A537" s="92">
        <f>CODIGOS!A528</f>
        <v>2024534</v>
      </c>
      <c r="B537" s="93">
        <f>CODIGOS!C528</f>
        <v>0</v>
      </c>
      <c r="C537" s="50"/>
      <c r="D537" s="50"/>
      <c r="E537" s="50"/>
    </row>
    <row r="538" spans="1:5" x14ac:dyDescent="0.3">
      <c r="A538" s="92">
        <f>CODIGOS!A529</f>
        <v>2024535</v>
      </c>
      <c r="B538" s="93">
        <f>CODIGOS!C529</f>
        <v>0</v>
      </c>
      <c r="C538" s="50"/>
      <c r="D538" s="50"/>
      <c r="E538" s="50"/>
    </row>
    <row r="539" spans="1:5" x14ac:dyDescent="0.3">
      <c r="A539" s="92">
        <f>CODIGOS!A530</f>
        <v>2024536</v>
      </c>
      <c r="B539" s="93">
        <f>CODIGOS!C530</f>
        <v>0</v>
      </c>
      <c r="C539" s="50"/>
      <c r="D539" s="50"/>
      <c r="E539" s="50"/>
    </row>
    <row r="540" spans="1:5" x14ac:dyDescent="0.3">
      <c r="A540" s="92">
        <f>CODIGOS!A531</f>
        <v>2024537</v>
      </c>
      <c r="B540" s="93">
        <f>CODIGOS!C531</f>
        <v>0</v>
      </c>
      <c r="C540" s="50"/>
      <c r="D540" s="50"/>
      <c r="E540" s="50"/>
    </row>
    <row r="541" spans="1:5" x14ac:dyDescent="0.3">
      <c r="A541" s="92">
        <f>CODIGOS!A532</f>
        <v>2024538</v>
      </c>
      <c r="B541" s="93">
        <f>CODIGOS!C532</f>
        <v>0</v>
      </c>
      <c r="C541" s="50"/>
      <c r="D541" s="50"/>
      <c r="E541" s="50"/>
    </row>
    <row r="542" spans="1:5" x14ac:dyDescent="0.3">
      <c r="A542" s="92">
        <f>CODIGOS!A533</f>
        <v>2024539</v>
      </c>
      <c r="B542" s="93">
        <f>CODIGOS!C533</f>
        <v>0</v>
      </c>
      <c r="C542" s="50"/>
      <c r="D542" s="50"/>
      <c r="E542" s="50"/>
    </row>
    <row r="543" spans="1:5" x14ac:dyDescent="0.3">
      <c r="A543" s="92">
        <f>CODIGOS!A534</f>
        <v>2024540</v>
      </c>
      <c r="B543" s="93">
        <f>CODIGOS!C534</f>
        <v>0</v>
      </c>
      <c r="C543" s="50"/>
      <c r="D543" s="50"/>
      <c r="E543" s="50"/>
    </row>
    <row r="544" spans="1:5" x14ac:dyDescent="0.3">
      <c r="A544" s="92">
        <f>CODIGOS!A535</f>
        <v>2024541</v>
      </c>
      <c r="B544" s="93">
        <f>CODIGOS!C535</f>
        <v>0</v>
      </c>
      <c r="C544" s="50"/>
      <c r="D544" s="50"/>
      <c r="E544" s="50"/>
    </row>
    <row r="545" spans="1:5" x14ac:dyDescent="0.3">
      <c r="A545" s="92">
        <f>CODIGOS!A536</f>
        <v>2024542</v>
      </c>
      <c r="B545" s="93">
        <f>CODIGOS!C536</f>
        <v>0</v>
      </c>
      <c r="C545" s="50"/>
      <c r="D545" s="50"/>
      <c r="E545" s="50"/>
    </row>
    <row r="546" spans="1:5" x14ac:dyDescent="0.3">
      <c r="A546" s="92">
        <f>CODIGOS!A537</f>
        <v>2024543</v>
      </c>
      <c r="B546" s="93">
        <f>CODIGOS!C537</f>
        <v>0</v>
      </c>
      <c r="C546" s="50"/>
      <c r="D546" s="50"/>
      <c r="E546" s="50"/>
    </row>
    <row r="547" spans="1:5" x14ac:dyDescent="0.3">
      <c r="A547" s="92">
        <f>CODIGOS!A538</f>
        <v>2024544</v>
      </c>
      <c r="B547" s="93">
        <f>CODIGOS!C538</f>
        <v>0</v>
      </c>
      <c r="C547" s="50"/>
      <c r="D547" s="50"/>
      <c r="E547" s="50"/>
    </row>
    <row r="548" spans="1:5" x14ac:dyDescent="0.3">
      <c r="A548" s="92">
        <f>CODIGOS!A539</f>
        <v>2024545</v>
      </c>
      <c r="B548" s="93">
        <f>CODIGOS!C539</f>
        <v>0</v>
      </c>
      <c r="C548" s="50"/>
      <c r="D548" s="50"/>
      <c r="E548" s="50"/>
    </row>
    <row r="549" spans="1:5" x14ac:dyDescent="0.3">
      <c r="A549" s="92">
        <f>CODIGOS!A540</f>
        <v>2024546</v>
      </c>
      <c r="B549" s="93">
        <f>CODIGOS!C540</f>
        <v>0</v>
      </c>
      <c r="C549" s="50"/>
      <c r="D549" s="50"/>
      <c r="E549" s="50"/>
    </row>
    <row r="550" spans="1:5" x14ac:dyDescent="0.3">
      <c r="A550" s="92">
        <f>CODIGOS!A541</f>
        <v>2024547</v>
      </c>
      <c r="B550" s="93">
        <f>CODIGOS!C541</f>
        <v>0</v>
      </c>
      <c r="C550" s="50"/>
      <c r="D550" s="50"/>
      <c r="E550" s="50"/>
    </row>
    <row r="551" spans="1:5" x14ac:dyDescent="0.3">
      <c r="A551" s="92">
        <f>CODIGOS!A542</f>
        <v>2024548</v>
      </c>
      <c r="B551" s="93">
        <f>CODIGOS!C542</f>
        <v>0</v>
      </c>
      <c r="C551" s="50"/>
      <c r="D551" s="50"/>
      <c r="E551" s="50"/>
    </row>
    <row r="552" spans="1:5" x14ac:dyDescent="0.3">
      <c r="A552" s="92">
        <f>CODIGOS!A543</f>
        <v>2024549</v>
      </c>
      <c r="B552" s="93">
        <f>CODIGOS!C543</f>
        <v>0</v>
      </c>
      <c r="C552" s="50"/>
      <c r="D552" s="50"/>
      <c r="E552" s="50"/>
    </row>
    <row r="553" spans="1:5" x14ac:dyDescent="0.3">
      <c r="A553" s="92">
        <f>CODIGOS!A544</f>
        <v>2024550</v>
      </c>
      <c r="B553" s="93">
        <f>CODIGOS!C544</f>
        <v>0</v>
      </c>
      <c r="C553" s="50"/>
      <c r="D553" s="50"/>
      <c r="E553" s="50"/>
    </row>
    <row r="554" spans="1:5" x14ac:dyDescent="0.3">
      <c r="A554" s="92">
        <f>CODIGOS!A545</f>
        <v>2024551</v>
      </c>
      <c r="B554" s="93">
        <f>CODIGOS!C545</f>
        <v>0</v>
      </c>
      <c r="C554" s="50"/>
      <c r="D554" s="50"/>
      <c r="E554" s="50"/>
    </row>
    <row r="555" spans="1:5" x14ac:dyDescent="0.3">
      <c r="A555" s="92">
        <f>CODIGOS!A546</f>
        <v>2024552</v>
      </c>
      <c r="B555" s="93">
        <f>CODIGOS!C546</f>
        <v>0</v>
      </c>
      <c r="C555" s="50"/>
      <c r="D555" s="50"/>
      <c r="E555" s="50"/>
    </row>
    <row r="556" spans="1:5" x14ac:dyDescent="0.3">
      <c r="A556" s="92">
        <f>CODIGOS!A547</f>
        <v>2024553</v>
      </c>
      <c r="B556" s="93">
        <f>CODIGOS!C547</f>
        <v>0</v>
      </c>
      <c r="C556" s="50"/>
      <c r="D556" s="50"/>
      <c r="E556" s="50"/>
    </row>
    <row r="557" spans="1:5" x14ac:dyDescent="0.3">
      <c r="A557" s="92">
        <f>CODIGOS!A548</f>
        <v>2024554</v>
      </c>
      <c r="B557" s="93">
        <f>CODIGOS!C548</f>
        <v>0</v>
      </c>
      <c r="C557" s="50"/>
      <c r="D557" s="50"/>
      <c r="E557" s="50"/>
    </row>
    <row r="558" spans="1:5" x14ac:dyDescent="0.3">
      <c r="A558" s="92">
        <f>CODIGOS!A549</f>
        <v>2024555</v>
      </c>
      <c r="B558" s="93">
        <f>CODIGOS!C549</f>
        <v>0</v>
      </c>
      <c r="C558" s="50"/>
      <c r="D558" s="50"/>
      <c r="E558" s="50"/>
    </row>
    <row r="559" spans="1:5" x14ac:dyDescent="0.3">
      <c r="A559" s="92">
        <f>CODIGOS!A550</f>
        <v>2024556</v>
      </c>
      <c r="B559" s="93">
        <f>CODIGOS!C550</f>
        <v>0</v>
      </c>
      <c r="C559" s="50"/>
      <c r="D559" s="50"/>
      <c r="E559" s="50"/>
    </row>
    <row r="560" spans="1:5" x14ac:dyDescent="0.3">
      <c r="A560" s="92">
        <f>CODIGOS!A551</f>
        <v>2024557</v>
      </c>
      <c r="B560" s="93">
        <f>CODIGOS!C551</f>
        <v>0</v>
      </c>
      <c r="C560" s="50"/>
      <c r="D560" s="50"/>
      <c r="E560" s="50"/>
    </row>
    <row r="561" spans="1:5" x14ac:dyDescent="0.3">
      <c r="A561" s="92">
        <f>CODIGOS!A552</f>
        <v>2024558</v>
      </c>
      <c r="B561" s="93">
        <f>CODIGOS!C552</f>
        <v>0</v>
      </c>
      <c r="C561" s="50"/>
      <c r="D561" s="50"/>
      <c r="E561" s="50"/>
    </row>
    <row r="562" spans="1:5" x14ac:dyDescent="0.3">
      <c r="A562" s="92">
        <f>CODIGOS!A553</f>
        <v>2024559</v>
      </c>
      <c r="B562" s="93">
        <f>CODIGOS!C553</f>
        <v>0</v>
      </c>
      <c r="C562" s="50"/>
      <c r="D562" s="50"/>
      <c r="E562" s="50"/>
    </row>
    <row r="563" spans="1:5" x14ac:dyDescent="0.3">
      <c r="A563" s="92">
        <f>CODIGOS!A554</f>
        <v>2024560</v>
      </c>
      <c r="B563" s="93">
        <f>CODIGOS!C554</f>
        <v>0</v>
      </c>
      <c r="C563" s="50"/>
      <c r="D563" s="50"/>
      <c r="E563" s="50"/>
    </row>
    <row r="564" spans="1:5" x14ac:dyDescent="0.3">
      <c r="A564" s="92">
        <f>CODIGOS!A555</f>
        <v>2024561</v>
      </c>
      <c r="B564" s="93">
        <f>CODIGOS!C555</f>
        <v>0</v>
      </c>
      <c r="C564" s="50"/>
      <c r="D564" s="50"/>
      <c r="E564" s="50"/>
    </row>
    <row r="565" spans="1:5" x14ac:dyDescent="0.3">
      <c r="A565" s="92">
        <f>CODIGOS!A556</f>
        <v>2024562</v>
      </c>
      <c r="B565" s="93">
        <f>CODIGOS!C556</f>
        <v>0</v>
      </c>
      <c r="C565" s="50"/>
      <c r="D565" s="50"/>
      <c r="E565" s="50"/>
    </row>
    <row r="566" spans="1:5" x14ac:dyDescent="0.3">
      <c r="A566" s="92">
        <f>CODIGOS!A557</f>
        <v>2024563</v>
      </c>
      <c r="B566" s="93">
        <f>CODIGOS!C557</f>
        <v>0</v>
      </c>
      <c r="C566" s="50"/>
      <c r="D566" s="50"/>
      <c r="E566" s="50"/>
    </row>
    <row r="567" spans="1:5" x14ac:dyDescent="0.3">
      <c r="A567" s="92">
        <f>CODIGOS!A558</f>
        <v>2024564</v>
      </c>
      <c r="B567" s="93">
        <f>CODIGOS!C558</f>
        <v>0</v>
      </c>
      <c r="C567" s="50"/>
      <c r="D567" s="50"/>
      <c r="E567" s="50"/>
    </row>
    <row r="568" spans="1:5" x14ac:dyDescent="0.3">
      <c r="A568" s="92">
        <f>CODIGOS!A559</f>
        <v>2024565</v>
      </c>
      <c r="B568" s="93">
        <f>CODIGOS!C559</f>
        <v>0</v>
      </c>
      <c r="C568" s="50"/>
      <c r="D568" s="50"/>
      <c r="E568" s="50"/>
    </row>
    <row r="569" spans="1:5" x14ac:dyDescent="0.3">
      <c r="A569" s="92">
        <f>CODIGOS!A560</f>
        <v>2024566</v>
      </c>
      <c r="B569" s="93">
        <f>CODIGOS!C560</f>
        <v>0</v>
      </c>
      <c r="C569" s="50"/>
      <c r="D569" s="50"/>
      <c r="E569" s="50"/>
    </row>
    <row r="570" spans="1:5" x14ac:dyDescent="0.3">
      <c r="A570" s="92">
        <f>CODIGOS!A561</f>
        <v>2024567</v>
      </c>
      <c r="B570" s="93">
        <f>CODIGOS!C561</f>
        <v>0</v>
      </c>
      <c r="C570" s="50"/>
      <c r="D570" s="50"/>
      <c r="E570" s="50"/>
    </row>
    <row r="571" spans="1:5" x14ac:dyDescent="0.3">
      <c r="A571" s="92">
        <f>CODIGOS!A562</f>
        <v>2024568</v>
      </c>
      <c r="B571" s="93">
        <f>CODIGOS!C562</f>
        <v>0</v>
      </c>
      <c r="C571" s="50"/>
      <c r="D571" s="50"/>
      <c r="E571" s="50"/>
    </row>
    <row r="572" spans="1:5" x14ac:dyDescent="0.3">
      <c r="A572" s="92">
        <f>CODIGOS!A563</f>
        <v>2024569</v>
      </c>
      <c r="B572" s="93">
        <f>CODIGOS!C563</f>
        <v>0</v>
      </c>
      <c r="C572" s="50"/>
      <c r="D572" s="50"/>
      <c r="E572" s="50"/>
    </row>
    <row r="573" spans="1:5" x14ac:dyDescent="0.3">
      <c r="A573" s="92">
        <f>CODIGOS!A564</f>
        <v>2024570</v>
      </c>
      <c r="B573" s="93">
        <f>CODIGOS!C564</f>
        <v>0</v>
      </c>
      <c r="C573" s="50"/>
      <c r="D573" s="50"/>
      <c r="E573" s="50"/>
    </row>
    <row r="574" spans="1:5" x14ac:dyDescent="0.3">
      <c r="A574" s="92">
        <f>CODIGOS!A565</f>
        <v>2024571</v>
      </c>
      <c r="B574" s="93">
        <f>CODIGOS!C565</f>
        <v>0</v>
      </c>
      <c r="C574" s="50"/>
      <c r="D574" s="50"/>
      <c r="E574" s="50"/>
    </row>
    <row r="575" spans="1:5" x14ac:dyDescent="0.3">
      <c r="A575" s="92">
        <f>CODIGOS!A566</f>
        <v>2024572</v>
      </c>
      <c r="B575" s="93">
        <f>CODIGOS!C566</f>
        <v>0</v>
      </c>
      <c r="C575" s="50"/>
      <c r="D575" s="50"/>
      <c r="E575" s="50"/>
    </row>
    <row r="576" spans="1:5" x14ac:dyDescent="0.3">
      <c r="A576" s="92">
        <f>CODIGOS!A567</f>
        <v>2024573</v>
      </c>
      <c r="B576" s="93">
        <f>CODIGOS!C567</f>
        <v>0</v>
      </c>
      <c r="C576" s="50"/>
      <c r="D576" s="50"/>
      <c r="E576" s="50"/>
    </row>
    <row r="577" spans="1:5" x14ac:dyDescent="0.3">
      <c r="A577" s="92">
        <f>CODIGOS!A568</f>
        <v>2024574</v>
      </c>
      <c r="B577" s="93">
        <f>CODIGOS!C568</f>
        <v>0</v>
      </c>
      <c r="C577" s="50"/>
      <c r="D577" s="50"/>
      <c r="E577" s="50"/>
    </row>
    <row r="578" spans="1:5" x14ac:dyDescent="0.3">
      <c r="A578" s="92">
        <f>CODIGOS!A569</f>
        <v>2024575</v>
      </c>
      <c r="B578" s="93">
        <f>CODIGOS!C569</f>
        <v>0</v>
      </c>
      <c r="C578" s="50"/>
      <c r="D578" s="50"/>
      <c r="E578" s="50"/>
    </row>
    <row r="579" spans="1:5" x14ac:dyDescent="0.3">
      <c r="A579" s="92">
        <f>CODIGOS!A570</f>
        <v>2024576</v>
      </c>
      <c r="B579" s="93">
        <f>CODIGOS!C570</f>
        <v>0</v>
      </c>
      <c r="C579" s="50"/>
      <c r="D579" s="50"/>
      <c r="E579" s="50"/>
    </row>
    <row r="580" spans="1:5" x14ac:dyDescent="0.3">
      <c r="A580" s="92">
        <f>CODIGOS!A571</f>
        <v>2024577</v>
      </c>
      <c r="B580" s="93">
        <f>CODIGOS!C571</f>
        <v>0</v>
      </c>
      <c r="C580" s="50"/>
      <c r="D580" s="50"/>
      <c r="E580" s="50"/>
    </row>
    <row r="581" spans="1:5" x14ac:dyDescent="0.3">
      <c r="A581" s="92">
        <f>CODIGOS!A572</f>
        <v>2024578</v>
      </c>
      <c r="B581" s="93">
        <f>CODIGOS!C572</f>
        <v>0</v>
      </c>
      <c r="C581" s="50"/>
      <c r="D581" s="50"/>
      <c r="E581" s="50"/>
    </row>
    <row r="582" spans="1:5" x14ac:dyDescent="0.3">
      <c r="A582" s="92">
        <f>CODIGOS!A573</f>
        <v>2024579</v>
      </c>
      <c r="B582" s="93">
        <f>CODIGOS!C573</f>
        <v>0</v>
      </c>
      <c r="C582" s="50"/>
      <c r="D582" s="50"/>
      <c r="E582" s="50"/>
    </row>
    <row r="583" spans="1:5" x14ac:dyDescent="0.3">
      <c r="A583" s="92">
        <f>CODIGOS!A574</f>
        <v>2024847</v>
      </c>
      <c r="B583" s="93">
        <f>CODIGOS!C574</f>
        <v>0</v>
      </c>
      <c r="C583" s="50"/>
      <c r="D583" s="50"/>
      <c r="E583" s="50"/>
    </row>
    <row r="584" spans="1:5" x14ac:dyDescent="0.3">
      <c r="A584" s="92">
        <f>CODIGOS!A575</f>
        <v>2024848</v>
      </c>
      <c r="B584" s="93">
        <f>CODIGOS!C575</f>
        <v>0</v>
      </c>
      <c r="C584" s="50"/>
      <c r="D584" s="50"/>
      <c r="E584" s="50"/>
    </row>
    <row r="585" spans="1:5" x14ac:dyDescent="0.3">
      <c r="A585" s="92">
        <f>CODIGOS!A576</f>
        <v>2024849</v>
      </c>
      <c r="B585" s="93">
        <f>CODIGOS!C576</f>
        <v>0</v>
      </c>
      <c r="C585" s="50"/>
      <c r="D585" s="50"/>
      <c r="E585" s="50"/>
    </row>
    <row r="586" spans="1:5" x14ac:dyDescent="0.3">
      <c r="A586" s="92">
        <f>CODIGOS!A577</f>
        <v>2024850</v>
      </c>
      <c r="B586" s="93">
        <f>CODIGOS!C577</f>
        <v>0</v>
      </c>
      <c r="C586" s="50"/>
      <c r="D586" s="50"/>
      <c r="E586" s="50"/>
    </row>
    <row r="587" spans="1:5" x14ac:dyDescent="0.3">
      <c r="A587" s="92">
        <f>CODIGOS!A578</f>
        <v>2024851</v>
      </c>
      <c r="B587" s="93">
        <f>CODIGOS!C578</f>
        <v>0</v>
      </c>
      <c r="C587" s="50"/>
      <c r="D587" s="50"/>
      <c r="E587" s="50"/>
    </row>
    <row r="588" spans="1:5" x14ac:dyDescent="0.3">
      <c r="A588" s="92">
        <f>CODIGOS!A579</f>
        <v>2024852</v>
      </c>
      <c r="B588" s="93">
        <f>CODIGOS!C579</f>
        <v>0</v>
      </c>
      <c r="C588" s="50"/>
      <c r="D588" s="50"/>
      <c r="E588" s="50"/>
    </row>
    <row r="589" spans="1:5" x14ac:dyDescent="0.3">
      <c r="A589" s="92">
        <f>CODIGOS!A580</f>
        <v>2024853</v>
      </c>
      <c r="B589" s="93">
        <f>CODIGOS!C580</f>
        <v>0</v>
      </c>
      <c r="C589" s="50"/>
      <c r="D589" s="50"/>
      <c r="E589" s="50"/>
    </row>
    <row r="590" spans="1:5" x14ac:dyDescent="0.3">
      <c r="A590" s="92">
        <f>CODIGOS!A581</f>
        <v>2024854</v>
      </c>
      <c r="B590" s="93">
        <f>CODIGOS!C581</f>
        <v>0</v>
      </c>
      <c r="C590" s="50"/>
      <c r="D590" s="50"/>
      <c r="E590" s="50"/>
    </row>
    <row r="591" spans="1:5" x14ac:dyDescent="0.3">
      <c r="A591" s="92">
        <f>CODIGOS!A582</f>
        <v>2024855</v>
      </c>
      <c r="B591" s="93">
        <f>CODIGOS!C582</f>
        <v>0</v>
      </c>
      <c r="C591" s="50"/>
      <c r="D591" s="50"/>
      <c r="E591" s="50"/>
    </row>
    <row r="592" spans="1:5" x14ac:dyDescent="0.3">
      <c r="A592" s="92">
        <f>CODIGOS!A583</f>
        <v>2024856</v>
      </c>
      <c r="B592" s="93">
        <f>CODIGOS!C583</f>
        <v>0</v>
      </c>
      <c r="C592" s="50"/>
      <c r="D592" s="50"/>
      <c r="E592" s="50"/>
    </row>
    <row r="593" spans="1:5" x14ac:dyDescent="0.3">
      <c r="A593" s="92">
        <f>CODIGOS!A584</f>
        <v>2024857</v>
      </c>
      <c r="B593" s="93">
        <f>CODIGOS!C584</f>
        <v>0</v>
      </c>
      <c r="C593" s="50"/>
      <c r="D593" s="50"/>
      <c r="E593" s="50"/>
    </row>
    <row r="594" spans="1:5" x14ac:dyDescent="0.3">
      <c r="A594" s="92">
        <f>CODIGOS!A585</f>
        <v>0</v>
      </c>
      <c r="B594" s="93">
        <f>CODIGOS!C585</f>
        <v>0</v>
      </c>
      <c r="C594" s="50"/>
      <c r="D594" s="50"/>
      <c r="E594" s="50"/>
    </row>
    <row r="595" spans="1:5" x14ac:dyDescent="0.3">
      <c r="A595" s="92">
        <f>CODIGOS!A586</f>
        <v>0</v>
      </c>
      <c r="B595" s="93">
        <f>CODIGOS!C586</f>
        <v>0</v>
      </c>
      <c r="C595" s="50"/>
      <c r="D595" s="50"/>
      <c r="E595" s="50"/>
    </row>
    <row r="596" spans="1:5" x14ac:dyDescent="0.3">
      <c r="A596" s="92">
        <f>CODIGOS!A587</f>
        <v>0</v>
      </c>
      <c r="B596" s="93">
        <f>CODIGOS!C587</f>
        <v>0</v>
      </c>
      <c r="C596" s="50"/>
      <c r="D596" s="50"/>
      <c r="E596" s="50"/>
    </row>
    <row r="597" spans="1:5" x14ac:dyDescent="0.3">
      <c r="A597" s="92">
        <f>CODIGOS!A588</f>
        <v>0</v>
      </c>
      <c r="B597" s="93">
        <f>CODIGOS!C588</f>
        <v>0</v>
      </c>
      <c r="C597" s="50"/>
      <c r="D597" s="50"/>
      <c r="E597" s="50"/>
    </row>
    <row r="598" spans="1:5" x14ac:dyDescent="0.3">
      <c r="A598" s="92">
        <f>CODIGOS!A589</f>
        <v>0</v>
      </c>
      <c r="B598" s="93">
        <f>CODIGOS!C589</f>
        <v>0</v>
      </c>
      <c r="C598" s="50"/>
      <c r="D598" s="50"/>
      <c r="E598" s="50"/>
    </row>
    <row r="599" spans="1:5" x14ac:dyDescent="0.3">
      <c r="A599" s="92">
        <f>CODIGOS!A590</f>
        <v>0</v>
      </c>
      <c r="B599" s="93">
        <f>CODIGOS!C590</f>
        <v>0</v>
      </c>
      <c r="C599" s="50"/>
      <c r="D599" s="50"/>
      <c r="E599" s="50"/>
    </row>
    <row r="600" spans="1:5" x14ac:dyDescent="0.3">
      <c r="A600" s="92">
        <f>CODIGOS!A591</f>
        <v>0</v>
      </c>
      <c r="B600" s="93">
        <f>CODIGOS!C591</f>
        <v>0</v>
      </c>
      <c r="C600" s="50"/>
      <c r="D600" s="50"/>
      <c r="E600" s="50"/>
    </row>
    <row r="601" spans="1:5" x14ac:dyDescent="0.3">
      <c r="A601" s="92">
        <f>CODIGOS!A592</f>
        <v>0</v>
      </c>
      <c r="B601" s="93">
        <f>CODIGOS!C592</f>
        <v>0</v>
      </c>
      <c r="C601" s="50"/>
      <c r="D601" s="50"/>
      <c r="E601" s="50"/>
    </row>
    <row r="602" spans="1:5" x14ac:dyDescent="0.3">
      <c r="A602" s="92">
        <f>CODIGOS!A593</f>
        <v>0</v>
      </c>
      <c r="B602" s="93">
        <f>CODIGOS!C593</f>
        <v>0</v>
      </c>
      <c r="C602" s="50"/>
      <c r="D602" s="50"/>
      <c r="E602" s="50"/>
    </row>
    <row r="603" spans="1:5" x14ac:dyDescent="0.3">
      <c r="A603" s="92">
        <f>CODIGOS!A594</f>
        <v>0</v>
      </c>
      <c r="B603" s="93">
        <f>CODIGOS!C594</f>
        <v>0</v>
      </c>
      <c r="C603" s="50"/>
      <c r="D603" s="50"/>
      <c r="E603" s="50"/>
    </row>
    <row r="604" spans="1:5" x14ac:dyDescent="0.3">
      <c r="A604" s="92">
        <f>CODIGOS!A595</f>
        <v>0</v>
      </c>
      <c r="B604" s="93">
        <f>CODIGOS!C595</f>
        <v>0</v>
      </c>
      <c r="C604" s="50"/>
      <c r="D604" s="50"/>
      <c r="E604" s="50"/>
    </row>
    <row r="605" spans="1:5" x14ac:dyDescent="0.3">
      <c r="A605" s="92">
        <f>CODIGOS!A596</f>
        <v>0</v>
      </c>
      <c r="B605" s="93">
        <f>CODIGOS!C596</f>
        <v>0</v>
      </c>
      <c r="C605" s="50"/>
      <c r="D605" s="50"/>
      <c r="E605" s="50"/>
    </row>
    <row r="606" spans="1:5" x14ac:dyDescent="0.3">
      <c r="A606" s="92">
        <f>CODIGOS!A597</f>
        <v>0</v>
      </c>
      <c r="B606" s="93">
        <f>CODIGOS!C597</f>
        <v>0</v>
      </c>
      <c r="C606" s="50"/>
      <c r="D606" s="50"/>
      <c r="E606" s="50"/>
    </row>
    <row r="607" spans="1:5" x14ac:dyDescent="0.3">
      <c r="A607" s="92">
        <f>CODIGOS!A598</f>
        <v>0</v>
      </c>
      <c r="B607" s="93">
        <f>CODIGOS!C598</f>
        <v>0</v>
      </c>
      <c r="C607" s="50"/>
      <c r="D607" s="50"/>
      <c r="E607" s="50"/>
    </row>
    <row r="608" spans="1:5" x14ac:dyDescent="0.3">
      <c r="A608" s="92">
        <f>CODIGOS!A599</f>
        <v>0</v>
      </c>
      <c r="B608" s="93">
        <f>CODIGOS!C599</f>
        <v>0</v>
      </c>
      <c r="C608" s="50"/>
      <c r="D608" s="50"/>
      <c r="E608" s="50"/>
    </row>
    <row r="609" spans="1:5" x14ac:dyDescent="0.3">
      <c r="A609" s="92">
        <f>CODIGOS!A600</f>
        <v>0</v>
      </c>
      <c r="B609" s="93">
        <f>CODIGOS!C600</f>
        <v>0</v>
      </c>
      <c r="C609" s="50"/>
      <c r="D609" s="50"/>
      <c r="E609" s="50"/>
    </row>
    <row r="610" spans="1:5" x14ac:dyDescent="0.3">
      <c r="A610" s="92">
        <f>CODIGOS!A601</f>
        <v>0</v>
      </c>
      <c r="B610" s="93">
        <f>CODIGOS!C601</f>
        <v>0</v>
      </c>
      <c r="C610" s="50"/>
      <c r="D610" s="50"/>
      <c r="E610" s="50"/>
    </row>
    <row r="611" spans="1:5" x14ac:dyDescent="0.3">
      <c r="A611" s="92">
        <f>CODIGOS!A602</f>
        <v>0</v>
      </c>
      <c r="B611" s="93">
        <f>CODIGOS!C602</f>
        <v>0</v>
      </c>
      <c r="C611" s="50"/>
      <c r="D611" s="50"/>
      <c r="E611" s="50"/>
    </row>
    <row r="612" spans="1:5" x14ac:dyDescent="0.3">
      <c r="A612" s="92">
        <f>CODIGOS!A603</f>
        <v>0</v>
      </c>
      <c r="B612" s="93">
        <f>CODIGOS!C603</f>
        <v>0</v>
      </c>
      <c r="C612" s="50"/>
      <c r="D612" s="50"/>
      <c r="E612" s="50"/>
    </row>
    <row r="613" spans="1:5" x14ac:dyDescent="0.3">
      <c r="A613" s="92">
        <f>CODIGOS!A604</f>
        <v>0</v>
      </c>
      <c r="B613" s="93">
        <f>CODIGOS!C604</f>
        <v>0</v>
      </c>
      <c r="C613" s="50"/>
      <c r="D613" s="50"/>
      <c r="E613" s="50"/>
    </row>
    <row r="614" spans="1:5" x14ac:dyDescent="0.3">
      <c r="A614" s="92">
        <f>CODIGOS!A605</f>
        <v>0</v>
      </c>
      <c r="B614" s="93">
        <f>CODIGOS!C605</f>
        <v>0</v>
      </c>
      <c r="C614" s="50"/>
      <c r="D614" s="50"/>
      <c r="E614" s="50"/>
    </row>
    <row r="615" spans="1:5" x14ac:dyDescent="0.3">
      <c r="A615" s="92">
        <f>CODIGOS!A606</f>
        <v>0</v>
      </c>
      <c r="B615" s="93">
        <f>CODIGOS!C606</f>
        <v>0</v>
      </c>
      <c r="C615" s="50"/>
      <c r="D615" s="50"/>
      <c r="E615" s="50"/>
    </row>
    <row r="616" spans="1:5" x14ac:dyDescent="0.3">
      <c r="A616" s="92">
        <f>CODIGOS!A607</f>
        <v>0</v>
      </c>
      <c r="B616" s="93">
        <f>CODIGOS!C607</f>
        <v>0</v>
      </c>
      <c r="C616" s="50"/>
      <c r="D616" s="50"/>
      <c r="E616" s="50"/>
    </row>
    <row r="617" spans="1:5" x14ac:dyDescent="0.3">
      <c r="A617" s="92">
        <f>CODIGOS!A608</f>
        <v>0</v>
      </c>
      <c r="B617" s="93">
        <f>CODIGOS!C608</f>
        <v>0</v>
      </c>
      <c r="C617" s="50"/>
      <c r="D617" s="50"/>
      <c r="E617" s="50"/>
    </row>
    <row r="618" spans="1:5" x14ac:dyDescent="0.3">
      <c r="A618" s="92">
        <f>CODIGOS!A609</f>
        <v>0</v>
      </c>
      <c r="B618" s="93">
        <f>CODIGOS!C609</f>
        <v>0</v>
      </c>
      <c r="C618" s="50"/>
      <c r="D618" s="50"/>
      <c r="E618" s="50"/>
    </row>
    <row r="619" spans="1:5" x14ac:dyDescent="0.3">
      <c r="A619" s="92">
        <f>CODIGOS!A610</f>
        <v>0</v>
      </c>
      <c r="B619" s="93">
        <f>CODIGOS!C610</f>
        <v>0</v>
      </c>
      <c r="C619" s="50"/>
      <c r="D619" s="50"/>
      <c r="E619" s="50"/>
    </row>
    <row r="620" spans="1:5" x14ac:dyDescent="0.3">
      <c r="A620" s="92">
        <f>CODIGOS!A611</f>
        <v>0</v>
      </c>
      <c r="B620" s="93">
        <f>CODIGOS!C611</f>
        <v>0</v>
      </c>
      <c r="C620" s="50"/>
      <c r="D620" s="50"/>
      <c r="E620" s="50"/>
    </row>
    <row r="621" spans="1:5" x14ac:dyDescent="0.3">
      <c r="A621" s="92">
        <f>CODIGOS!A612</f>
        <v>0</v>
      </c>
      <c r="B621" s="93">
        <f>CODIGOS!C612</f>
        <v>0</v>
      </c>
      <c r="C621" s="50"/>
      <c r="D621" s="50"/>
      <c r="E621" s="50"/>
    </row>
    <row r="622" spans="1:5" x14ac:dyDescent="0.3">
      <c r="A622" s="92">
        <f>CODIGOS!A613</f>
        <v>0</v>
      </c>
      <c r="B622" s="93">
        <f>CODIGOS!C613</f>
        <v>0</v>
      </c>
      <c r="C622" s="50"/>
      <c r="D622" s="50"/>
      <c r="E622" s="50"/>
    </row>
    <row r="623" spans="1:5" x14ac:dyDescent="0.3">
      <c r="A623" s="92">
        <f>CODIGOS!A614</f>
        <v>0</v>
      </c>
      <c r="B623" s="93">
        <f>CODIGOS!C614</f>
        <v>0</v>
      </c>
      <c r="C623" s="50"/>
      <c r="D623" s="50"/>
      <c r="E623" s="50"/>
    </row>
    <row r="624" spans="1:5" x14ac:dyDescent="0.3">
      <c r="A624" s="92">
        <f>CODIGOS!A615</f>
        <v>0</v>
      </c>
      <c r="B624" s="93">
        <f>CODIGOS!C615</f>
        <v>0</v>
      </c>
      <c r="C624" s="50"/>
      <c r="D624" s="50"/>
      <c r="E624" s="50"/>
    </row>
    <row r="625" spans="1:5" x14ac:dyDescent="0.3">
      <c r="A625" s="92">
        <f>CODIGOS!A616</f>
        <v>0</v>
      </c>
      <c r="B625" s="93">
        <f>CODIGOS!C616</f>
        <v>0</v>
      </c>
      <c r="C625" s="50"/>
      <c r="D625" s="50"/>
      <c r="E625" s="50"/>
    </row>
    <row r="626" spans="1:5" x14ac:dyDescent="0.3">
      <c r="A626" s="92">
        <f>CODIGOS!A617</f>
        <v>0</v>
      </c>
      <c r="B626" s="93">
        <f>CODIGOS!C617</f>
        <v>0</v>
      </c>
      <c r="C626" s="50"/>
      <c r="D626" s="50"/>
      <c r="E626" s="50"/>
    </row>
    <row r="627" spans="1:5" x14ac:dyDescent="0.3">
      <c r="A627" s="92">
        <f>CODIGOS!A618</f>
        <v>0</v>
      </c>
      <c r="B627" s="93">
        <f>CODIGOS!C618</f>
        <v>0</v>
      </c>
      <c r="C627" s="50"/>
      <c r="D627" s="50"/>
      <c r="E627" s="50"/>
    </row>
    <row r="628" spans="1:5" x14ac:dyDescent="0.3">
      <c r="A628" s="92">
        <f>CODIGOS!A619</f>
        <v>0</v>
      </c>
      <c r="B628" s="93">
        <f>CODIGOS!C619</f>
        <v>0</v>
      </c>
      <c r="C628" s="50"/>
      <c r="D628" s="50"/>
      <c r="E628" s="50"/>
    </row>
    <row r="629" spans="1:5" x14ac:dyDescent="0.3">
      <c r="A629" s="92">
        <f>CODIGOS!A620</f>
        <v>0</v>
      </c>
      <c r="B629" s="93">
        <f>CODIGOS!C620</f>
        <v>0</v>
      </c>
      <c r="C629" s="50"/>
      <c r="D629" s="50"/>
      <c r="E629" s="50"/>
    </row>
    <row r="630" spans="1:5" x14ac:dyDescent="0.3">
      <c r="A630" s="92">
        <f>CODIGOS!A621</f>
        <v>0</v>
      </c>
      <c r="B630" s="93">
        <f>CODIGOS!C621</f>
        <v>0</v>
      </c>
      <c r="C630" s="50"/>
      <c r="D630" s="50"/>
      <c r="E630" s="50"/>
    </row>
    <row r="631" spans="1:5" x14ac:dyDescent="0.3">
      <c r="A631" s="92">
        <f>CODIGOS!A622</f>
        <v>0</v>
      </c>
      <c r="B631" s="93">
        <f>CODIGOS!C622</f>
        <v>0</v>
      </c>
      <c r="C631" s="50"/>
      <c r="D631" s="50"/>
      <c r="E631" s="50"/>
    </row>
    <row r="632" spans="1:5" x14ac:dyDescent="0.3">
      <c r="A632" s="92">
        <f>CODIGOS!A623</f>
        <v>0</v>
      </c>
      <c r="B632" s="93">
        <f>CODIGOS!C623</f>
        <v>0</v>
      </c>
      <c r="C632" s="50"/>
      <c r="D632" s="50"/>
      <c r="E632" s="50"/>
    </row>
    <row r="633" spans="1:5" x14ac:dyDescent="0.3">
      <c r="A633" s="92">
        <f>CODIGOS!A624</f>
        <v>0</v>
      </c>
      <c r="B633" s="93">
        <f>CODIGOS!C624</f>
        <v>0</v>
      </c>
      <c r="C633" s="50"/>
      <c r="D633" s="50"/>
      <c r="E633" s="50"/>
    </row>
    <row r="634" spans="1:5" x14ac:dyDescent="0.3">
      <c r="A634" s="92">
        <f>CODIGOS!A625</f>
        <v>0</v>
      </c>
      <c r="B634" s="93">
        <f>CODIGOS!C625</f>
        <v>0</v>
      </c>
      <c r="C634" s="50"/>
      <c r="D634" s="50"/>
      <c r="E634" s="50"/>
    </row>
    <row r="635" spans="1:5" x14ac:dyDescent="0.3">
      <c r="A635" s="92">
        <f>CODIGOS!A626</f>
        <v>0</v>
      </c>
      <c r="B635" s="93">
        <f>CODIGOS!C626</f>
        <v>0</v>
      </c>
      <c r="C635" s="50"/>
      <c r="D635" s="50"/>
      <c r="E635" s="50"/>
    </row>
    <row r="636" spans="1:5" x14ac:dyDescent="0.3">
      <c r="A636" s="92">
        <f>CODIGOS!A627</f>
        <v>0</v>
      </c>
      <c r="B636" s="93">
        <f>CODIGOS!C627</f>
        <v>0</v>
      </c>
      <c r="C636" s="50"/>
      <c r="D636" s="50"/>
      <c r="E636" s="50"/>
    </row>
    <row r="637" spans="1:5" x14ac:dyDescent="0.3">
      <c r="A637" s="92">
        <f>CODIGOS!A628</f>
        <v>0</v>
      </c>
      <c r="B637" s="93">
        <f>CODIGOS!C628</f>
        <v>0</v>
      </c>
      <c r="C637" s="50"/>
      <c r="D637" s="50"/>
      <c r="E637" s="50"/>
    </row>
    <row r="638" spans="1:5" x14ac:dyDescent="0.3">
      <c r="A638" s="92">
        <f>CODIGOS!A629</f>
        <v>0</v>
      </c>
      <c r="B638" s="93">
        <f>CODIGOS!C629</f>
        <v>0</v>
      </c>
      <c r="C638" s="50"/>
      <c r="D638" s="50"/>
      <c r="E638" s="50"/>
    </row>
    <row r="639" spans="1:5" x14ac:dyDescent="0.3">
      <c r="A639" s="92">
        <f>CODIGOS!A630</f>
        <v>0</v>
      </c>
      <c r="B639" s="93">
        <f>CODIGOS!C630</f>
        <v>0</v>
      </c>
      <c r="C639" s="50"/>
      <c r="D639" s="50"/>
      <c r="E639" s="50"/>
    </row>
    <row r="640" spans="1:5" x14ac:dyDescent="0.3">
      <c r="A640" s="92">
        <f>CODIGOS!A631</f>
        <v>0</v>
      </c>
      <c r="B640" s="93">
        <f>CODIGOS!C631</f>
        <v>0</v>
      </c>
      <c r="C640" s="50"/>
      <c r="D640" s="50"/>
      <c r="E640" s="50"/>
    </row>
    <row r="641" spans="1:5" x14ac:dyDescent="0.3">
      <c r="A641" s="92">
        <f>CODIGOS!A632</f>
        <v>0</v>
      </c>
      <c r="B641" s="93">
        <f>CODIGOS!C632</f>
        <v>0</v>
      </c>
      <c r="C641" s="50"/>
      <c r="D641" s="50"/>
      <c r="E641" s="50"/>
    </row>
    <row r="642" spans="1:5" x14ac:dyDescent="0.3">
      <c r="A642" s="92">
        <f>CODIGOS!A633</f>
        <v>0</v>
      </c>
      <c r="B642" s="93">
        <f>CODIGOS!C633</f>
        <v>0</v>
      </c>
      <c r="C642" s="50"/>
      <c r="D642" s="50"/>
      <c r="E642" s="50"/>
    </row>
    <row r="643" spans="1:5" x14ac:dyDescent="0.3">
      <c r="A643" s="92">
        <f>CODIGOS!A634</f>
        <v>0</v>
      </c>
      <c r="B643" s="93">
        <f>CODIGOS!C634</f>
        <v>0</v>
      </c>
      <c r="C643" s="50"/>
      <c r="D643" s="50"/>
      <c r="E643" s="50"/>
    </row>
    <row r="644" spans="1:5" x14ac:dyDescent="0.3">
      <c r="A644" s="92">
        <f>CODIGOS!A635</f>
        <v>0</v>
      </c>
      <c r="B644" s="93">
        <f>CODIGOS!C635</f>
        <v>0</v>
      </c>
      <c r="C644" s="50"/>
      <c r="D644" s="50"/>
      <c r="E644" s="50"/>
    </row>
    <row r="645" spans="1:5" x14ac:dyDescent="0.3">
      <c r="A645" s="92">
        <f>CODIGOS!A636</f>
        <v>0</v>
      </c>
      <c r="B645" s="93">
        <f>CODIGOS!C636</f>
        <v>0</v>
      </c>
      <c r="C645" s="50"/>
      <c r="D645" s="50"/>
      <c r="E645" s="50"/>
    </row>
    <row r="646" spans="1:5" x14ac:dyDescent="0.3">
      <c r="A646" s="92">
        <f>CODIGOS!A637</f>
        <v>0</v>
      </c>
      <c r="B646" s="93">
        <f>CODIGOS!C637</f>
        <v>0</v>
      </c>
      <c r="C646" s="50"/>
      <c r="D646" s="50"/>
      <c r="E646" s="50"/>
    </row>
    <row r="647" spans="1:5" x14ac:dyDescent="0.3">
      <c r="A647" s="92">
        <f>CODIGOS!A638</f>
        <v>0</v>
      </c>
      <c r="B647" s="93">
        <f>CODIGOS!C638</f>
        <v>0</v>
      </c>
      <c r="C647" s="50"/>
      <c r="D647" s="50"/>
      <c r="E647" s="50"/>
    </row>
    <row r="648" spans="1:5" x14ac:dyDescent="0.3">
      <c r="A648" s="92">
        <f>CODIGOS!A639</f>
        <v>0</v>
      </c>
      <c r="B648" s="93">
        <f>CODIGOS!C639</f>
        <v>0</v>
      </c>
      <c r="C648" s="50"/>
      <c r="D648" s="50"/>
      <c r="E648" s="50"/>
    </row>
    <row r="649" spans="1:5" x14ac:dyDescent="0.3">
      <c r="A649" s="92">
        <f>CODIGOS!A640</f>
        <v>0</v>
      </c>
      <c r="B649" s="93">
        <f>CODIGOS!C640</f>
        <v>0</v>
      </c>
      <c r="C649" s="50"/>
      <c r="D649" s="50"/>
      <c r="E649" s="50"/>
    </row>
    <row r="650" spans="1:5" x14ac:dyDescent="0.3">
      <c r="A650" s="92">
        <f>CODIGOS!A641</f>
        <v>0</v>
      </c>
      <c r="B650" s="93">
        <f>CODIGOS!C641</f>
        <v>0</v>
      </c>
      <c r="C650" s="50"/>
      <c r="D650" s="50"/>
      <c r="E650" s="50"/>
    </row>
    <row r="651" spans="1:5" x14ac:dyDescent="0.3">
      <c r="A651" s="92">
        <f>CODIGOS!A642</f>
        <v>0</v>
      </c>
      <c r="B651" s="93">
        <f>CODIGOS!C642</f>
        <v>0</v>
      </c>
      <c r="C651" s="50"/>
      <c r="D651" s="50"/>
      <c r="E651" s="50"/>
    </row>
    <row r="652" spans="1:5" x14ac:dyDescent="0.3">
      <c r="A652" s="92">
        <f>CODIGOS!A643</f>
        <v>0</v>
      </c>
      <c r="B652" s="93">
        <f>CODIGOS!C643</f>
        <v>0</v>
      </c>
      <c r="C652" s="50"/>
      <c r="D652" s="50"/>
      <c r="E652" s="50"/>
    </row>
    <row r="653" spans="1:5" x14ac:dyDescent="0.3">
      <c r="A653" s="92">
        <f>CODIGOS!A644</f>
        <v>0</v>
      </c>
      <c r="B653" s="93">
        <f>CODIGOS!C644</f>
        <v>0</v>
      </c>
      <c r="C653" s="50"/>
      <c r="D653" s="50"/>
      <c r="E653" s="50"/>
    </row>
    <row r="654" spans="1:5" x14ac:dyDescent="0.3">
      <c r="A654" s="92">
        <f>CODIGOS!A645</f>
        <v>0</v>
      </c>
      <c r="B654" s="93">
        <f>CODIGOS!C645</f>
        <v>0</v>
      </c>
      <c r="C654" s="50"/>
      <c r="D654" s="50"/>
      <c r="E654" s="50"/>
    </row>
    <row r="655" spans="1:5" x14ac:dyDescent="0.3">
      <c r="A655" s="92">
        <f>CODIGOS!A646</f>
        <v>0</v>
      </c>
      <c r="B655" s="93">
        <f>CODIGOS!C646</f>
        <v>0</v>
      </c>
      <c r="C655" s="50"/>
      <c r="D655" s="50"/>
      <c r="E655" s="50"/>
    </row>
    <row r="656" spans="1:5" x14ac:dyDescent="0.3">
      <c r="A656" s="92">
        <f>CODIGOS!A647</f>
        <v>0</v>
      </c>
      <c r="B656" s="93">
        <f>CODIGOS!C647</f>
        <v>0</v>
      </c>
      <c r="C656" s="50"/>
      <c r="D656" s="50"/>
      <c r="E656" s="50"/>
    </row>
    <row r="657" spans="1:5" x14ac:dyDescent="0.3">
      <c r="A657" s="92">
        <f>CODIGOS!A648</f>
        <v>0</v>
      </c>
      <c r="B657" s="93">
        <f>CODIGOS!C648</f>
        <v>0</v>
      </c>
      <c r="C657" s="50"/>
      <c r="D657" s="50"/>
      <c r="E657" s="50"/>
    </row>
    <row r="658" spans="1:5" x14ac:dyDescent="0.3">
      <c r="A658" s="92">
        <f>CODIGOS!A649</f>
        <v>0</v>
      </c>
      <c r="B658" s="93">
        <f>CODIGOS!C649</f>
        <v>0</v>
      </c>
      <c r="C658" s="50"/>
      <c r="D658" s="50"/>
      <c r="E658" s="50"/>
    </row>
    <row r="659" spans="1:5" x14ac:dyDescent="0.3">
      <c r="A659" s="92">
        <f>CODIGOS!A650</f>
        <v>0</v>
      </c>
      <c r="B659" s="93">
        <f>CODIGOS!C650</f>
        <v>0</v>
      </c>
      <c r="C659" s="50"/>
      <c r="D659" s="50"/>
      <c r="E659" s="50"/>
    </row>
    <row r="660" spans="1:5" x14ac:dyDescent="0.3">
      <c r="A660" s="92">
        <f>CODIGOS!A651</f>
        <v>0</v>
      </c>
      <c r="B660" s="93">
        <f>CODIGOS!C651</f>
        <v>0</v>
      </c>
      <c r="C660" s="50"/>
      <c r="D660" s="50"/>
      <c r="E660" s="50"/>
    </row>
    <row r="661" spans="1:5" x14ac:dyDescent="0.3">
      <c r="A661" s="92">
        <f>CODIGOS!A652</f>
        <v>0</v>
      </c>
      <c r="B661" s="93">
        <f>CODIGOS!C652</f>
        <v>0</v>
      </c>
      <c r="C661" s="50"/>
      <c r="D661" s="50"/>
      <c r="E661" s="50"/>
    </row>
    <row r="662" spans="1:5" x14ac:dyDescent="0.3">
      <c r="A662" s="92">
        <f>CODIGOS!A653</f>
        <v>0</v>
      </c>
      <c r="B662" s="93">
        <f>CODIGOS!C653</f>
        <v>0</v>
      </c>
      <c r="C662" s="50"/>
      <c r="D662" s="50"/>
      <c r="E662" s="50"/>
    </row>
    <row r="663" spans="1:5" x14ac:dyDescent="0.3">
      <c r="A663" s="92">
        <f>CODIGOS!A654</f>
        <v>0</v>
      </c>
      <c r="B663" s="93">
        <f>CODIGOS!C654</f>
        <v>0</v>
      </c>
      <c r="C663" s="50"/>
      <c r="D663" s="50"/>
      <c r="E663" s="50"/>
    </row>
    <row r="664" spans="1:5" x14ac:dyDescent="0.3">
      <c r="A664" s="92">
        <f>CODIGOS!A655</f>
        <v>0</v>
      </c>
      <c r="B664" s="93">
        <f>CODIGOS!C655</f>
        <v>0</v>
      </c>
      <c r="C664" s="50"/>
      <c r="D664" s="50"/>
      <c r="E664" s="50"/>
    </row>
    <row r="665" spans="1:5" x14ac:dyDescent="0.3">
      <c r="A665" s="92">
        <f>CODIGOS!A656</f>
        <v>0</v>
      </c>
      <c r="B665" s="93">
        <f>CODIGOS!C656</f>
        <v>0</v>
      </c>
      <c r="C665" s="50"/>
      <c r="D665" s="50"/>
      <c r="E665" s="50"/>
    </row>
    <row r="666" spans="1:5" x14ac:dyDescent="0.3">
      <c r="A666" s="92">
        <f>CODIGOS!A657</f>
        <v>0</v>
      </c>
      <c r="B666" s="93">
        <f>CODIGOS!C657</f>
        <v>0</v>
      </c>
      <c r="C666" s="50"/>
      <c r="D666" s="50"/>
      <c r="E666" s="50"/>
    </row>
    <row r="667" spans="1:5" x14ac:dyDescent="0.3">
      <c r="A667" s="92">
        <f>CODIGOS!A658</f>
        <v>0</v>
      </c>
      <c r="B667" s="93">
        <f>CODIGOS!C658</f>
        <v>0</v>
      </c>
      <c r="C667" s="50"/>
      <c r="D667" s="50"/>
      <c r="E667" s="50"/>
    </row>
    <row r="668" spans="1:5" x14ac:dyDescent="0.3">
      <c r="A668" s="92">
        <f>CODIGOS!A659</f>
        <v>0</v>
      </c>
      <c r="B668" s="93">
        <f>CODIGOS!C659</f>
        <v>0</v>
      </c>
      <c r="C668" s="50"/>
      <c r="D668" s="50"/>
      <c r="E668" s="50"/>
    </row>
    <row r="669" spans="1:5" x14ac:dyDescent="0.3">
      <c r="A669" s="92">
        <f>CODIGOS!A660</f>
        <v>0</v>
      </c>
      <c r="B669" s="93">
        <f>CODIGOS!C660</f>
        <v>0</v>
      </c>
      <c r="C669" s="50"/>
      <c r="D669" s="50"/>
      <c r="E669" s="50"/>
    </row>
    <row r="670" spans="1:5" x14ac:dyDescent="0.3">
      <c r="A670" s="92">
        <f>CODIGOS!A661</f>
        <v>0</v>
      </c>
      <c r="B670" s="93">
        <f>CODIGOS!C661</f>
        <v>0</v>
      </c>
      <c r="C670" s="50"/>
      <c r="D670" s="50"/>
      <c r="E670" s="50"/>
    </row>
    <row r="671" spans="1:5" x14ac:dyDescent="0.3">
      <c r="A671" s="92">
        <f>CODIGOS!A662</f>
        <v>0</v>
      </c>
      <c r="B671" s="93">
        <f>CODIGOS!C662</f>
        <v>0</v>
      </c>
      <c r="C671" s="50"/>
      <c r="D671" s="50"/>
      <c r="E671" s="50"/>
    </row>
    <row r="672" spans="1:5" x14ac:dyDescent="0.3">
      <c r="A672" s="92">
        <f>CODIGOS!A663</f>
        <v>0</v>
      </c>
      <c r="B672" s="93">
        <f>CODIGOS!C663</f>
        <v>0</v>
      </c>
      <c r="C672" s="50"/>
      <c r="D672" s="50"/>
      <c r="E672" s="50"/>
    </row>
    <row r="673" spans="1:5" x14ac:dyDescent="0.3">
      <c r="A673" s="92">
        <f>CODIGOS!A664</f>
        <v>0</v>
      </c>
      <c r="B673" s="93">
        <f>CODIGOS!C664</f>
        <v>0</v>
      </c>
      <c r="C673" s="50"/>
      <c r="D673" s="50"/>
      <c r="E673" s="50"/>
    </row>
    <row r="674" spans="1:5" x14ac:dyDescent="0.3">
      <c r="A674" s="92">
        <f>CODIGOS!A665</f>
        <v>0</v>
      </c>
      <c r="B674" s="93">
        <f>CODIGOS!C665</f>
        <v>0</v>
      </c>
      <c r="C674" s="50"/>
      <c r="D674" s="50"/>
      <c r="E674" s="50"/>
    </row>
    <row r="675" spans="1:5" x14ac:dyDescent="0.3">
      <c r="A675" s="92">
        <f>CODIGOS!A666</f>
        <v>0</v>
      </c>
      <c r="B675" s="93">
        <f>CODIGOS!C666</f>
        <v>0</v>
      </c>
      <c r="C675" s="50"/>
      <c r="D675" s="50"/>
      <c r="E675" s="50"/>
    </row>
    <row r="676" spans="1:5" x14ac:dyDescent="0.3">
      <c r="A676" s="92">
        <f>CODIGOS!A667</f>
        <v>0</v>
      </c>
      <c r="B676" s="93">
        <f>CODIGOS!C667</f>
        <v>0</v>
      </c>
      <c r="C676" s="50"/>
      <c r="D676" s="50"/>
      <c r="E676" s="50"/>
    </row>
    <row r="677" spans="1:5" x14ac:dyDescent="0.3">
      <c r="A677" s="92">
        <f>CODIGOS!A668</f>
        <v>0</v>
      </c>
      <c r="B677" s="93">
        <f>CODIGOS!C668</f>
        <v>0</v>
      </c>
      <c r="C677" s="50"/>
      <c r="D677" s="50"/>
      <c r="E677" s="50"/>
    </row>
    <row r="678" spans="1:5" x14ac:dyDescent="0.3">
      <c r="A678" s="92">
        <f>CODIGOS!A669</f>
        <v>0</v>
      </c>
      <c r="B678" s="93">
        <f>CODIGOS!C669</f>
        <v>0</v>
      </c>
      <c r="C678" s="50"/>
      <c r="D678" s="50"/>
      <c r="E678" s="50"/>
    </row>
    <row r="679" spans="1:5" x14ac:dyDescent="0.3">
      <c r="A679" s="92">
        <f>CODIGOS!A670</f>
        <v>0</v>
      </c>
      <c r="B679" s="93">
        <f>CODIGOS!C670</f>
        <v>0</v>
      </c>
      <c r="C679" s="50"/>
      <c r="D679" s="50"/>
      <c r="E679" s="50"/>
    </row>
    <row r="680" spans="1:5" x14ac:dyDescent="0.3">
      <c r="A680" s="92">
        <f>CODIGOS!A671</f>
        <v>0</v>
      </c>
      <c r="B680" s="93">
        <f>CODIGOS!C671</f>
        <v>0</v>
      </c>
      <c r="C680" s="50"/>
      <c r="D680" s="50"/>
      <c r="E680" s="50"/>
    </row>
    <row r="681" spans="1:5" x14ac:dyDescent="0.3">
      <c r="A681" s="92">
        <f>CODIGOS!A672</f>
        <v>0</v>
      </c>
      <c r="B681" s="93">
        <f>CODIGOS!C672</f>
        <v>0</v>
      </c>
      <c r="C681" s="50"/>
      <c r="D681" s="50"/>
      <c r="E681" s="50"/>
    </row>
    <row r="682" spans="1:5" x14ac:dyDescent="0.3">
      <c r="A682" s="92">
        <f>CODIGOS!A673</f>
        <v>0</v>
      </c>
      <c r="B682" s="93">
        <f>CODIGOS!C673</f>
        <v>0</v>
      </c>
      <c r="C682" s="50"/>
      <c r="D682" s="50"/>
      <c r="E682" s="50"/>
    </row>
    <row r="683" spans="1:5" x14ac:dyDescent="0.3">
      <c r="A683" s="92">
        <f>CODIGOS!A674</f>
        <v>0</v>
      </c>
      <c r="B683" s="93">
        <f>CODIGOS!C674</f>
        <v>0</v>
      </c>
      <c r="C683" s="50"/>
      <c r="D683" s="50"/>
      <c r="E683" s="50"/>
    </row>
    <row r="684" spans="1:5" x14ac:dyDescent="0.3">
      <c r="A684" s="92">
        <f>CODIGOS!A675</f>
        <v>0</v>
      </c>
      <c r="B684" s="93">
        <f>CODIGOS!C675</f>
        <v>0</v>
      </c>
      <c r="C684" s="50"/>
      <c r="D684" s="50"/>
      <c r="E684" s="50"/>
    </row>
    <row r="685" spans="1:5" x14ac:dyDescent="0.3">
      <c r="A685" s="92">
        <f>CODIGOS!A676</f>
        <v>0</v>
      </c>
      <c r="B685" s="93">
        <f>CODIGOS!C676</f>
        <v>0</v>
      </c>
      <c r="C685" s="50"/>
      <c r="D685" s="50"/>
      <c r="E685" s="50"/>
    </row>
    <row r="686" spans="1:5" x14ac:dyDescent="0.3">
      <c r="A686" s="92">
        <f>CODIGOS!A677</f>
        <v>0</v>
      </c>
      <c r="B686" s="93">
        <f>CODIGOS!C677</f>
        <v>0</v>
      </c>
      <c r="C686" s="50"/>
      <c r="D686" s="50"/>
      <c r="E686" s="50"/>
    </row>
    <row r="687" spans="1:5" x14ac:dyDescent="0.3">
      <c r="A687" s="92">
        <f>CODIGOS!A678</f>
        <v>0</v>
      </c>
      <c r="B687" s="93">
        <f>CODIGOS!C678</f>
        <v>0</v>
      </c>
      <c r="C687" s="50"/>
      <c r="D687" s="50"/>
      <c r="E687" s="50"/>
    </row>
    <row r="688" spans="1:5" x14ac:dyDescent="0.3">
      <c r="A688" s="92">
        <f>CODIGOS!A679</f>
        <v>0</v>
      </c>
      <c r="B688" s="93">
        <f>CODIGOS!C679</f>
        <v>0</v>
      </c>
      <c r="C688" s="50"/>
      <c r="D688" s="50"/>
      <c r="E688" s="50"/>
    </row>
    <row r="689" spans="1:5" x14ac:dyDescent="0.3">
      <c r="A689" s="92">
        <f>CODIGOS!A680</f>
        <v>0</v>
      </c>
      <c r="B689" s="93">
        <f>CODIGOS!C680</f>
        <v>0</v>
      </c>
      <c r="C689" s="50"/>
      <c r="D689" s="50"/>
      <c r="E689" s="50"/>
    </row>
    <row r="690" spans="1:5" x14ac:dyDescent="0.3">
      <c r="A690" s="92">
        <f>CODIGOS!A681</f>
        <v>0</v>
      </c>
      <c r="B690" s="93">
        <f>CODIGOS!C681</f>
        <v>0</v>
      </c>
      <c r="C690" s="50"/>
      <c r="D690" s="50"/>
      <c r="E690" s="50"/>
    </row>
    <row r="691" spans="1:5" x14ac:dyDescent="0.3">
      <c r="A691" s="92">
        <f>CODIGOS!A682</f>
        <v>0</v>
      </c>
      <c r="B691" s="93">
        <f>CODIGOS!C682</f>
        <v>0</v>
      </c>
      <c r="C691" s="50"/>
      <c r="D691" s="50"/>
      <c r="E691" s="50"/>
    </row>
    <row r="692" spans="1:5" x14ac:dyDescent="0.3">
      <c r="A692" s="92">
        <f>CODIGOS!A683</f>
        <v>0</v>
      </c>
      <c r="B692" s="93">
        <f>CODIGOS!C683</f>
        <v>0</v>
      </c>
      <c r="C692" s="50"/>
      <c r="D692" s="50"/>
      <c r="E692" s="50"/>
    </row>
    <row r="693" spans="1:5" x14ac:dyDescent="0.3">
      <c r="A693" s="92">
        <f>CODIGOS!A684</f>
        <v>0</v>
      </c>
      <c r="B693" s="93">
        <f>CODIGOS!C684</f>
        <v>0</v>
      </c>
      <c r="C693" s="50"/>
      <c r="D693" s="50"/>
      <c r="E693" s="50"/>
    </row>
    <row r="694" spans="1:5" x14ac:dyDescent="0.3">
      <c r="A694" s="92">
        <f>CODIGOS!A685</f>
        <v>0</v>
      </c>
      <c r="B694" s="93">
        <f>CODIGOS!C685</f>
        <v>0</v>
      </c>
      <c r="C694" s="50"/>
      <c r="D694" s="50"/>
      <c r="E694" s="50"/>
    </row>
    <row r="695" spans="1:5" x14ac:dyDescent="0.3">
      <c r="A695" s="92">
        <f>CODIGOS!A686</f>
        <v>0</v>
      </c>
      <c r="B695" s="93">
        <f>CODIGOS!C686</f>
        <v>0</v>
      </c>
      <c r="C695" s="50"/>
      <c r="D695" s="50"/>
      <c r="E695" s="50"/>
    </row>
    <row r="696" spans="1:5" x14ac:dyDescent="0.3">
      <c r="A696" s="92">
        <f>CODIGOS!A687</f>
        <v>0</v>
      </c>
      <c r="B696" s="93">
        <f>CODIGOS!C687</f>
        <v>0</v>
      </c>
      <c r="C696" s="50"/>
      <c r="D696" s="50"/>
      <c r="E696" s="50"/>
    </row>
    <row r="697" spans="1:5" x14ac:dyDescent="0.3">
      <c r="A697" s="92">
        <f>CODIGOS!A688</f>
        <v>0</v>
      </c>
      <c r="B697" s="93">
        <f>CODIGOS!C688</f>
        <v>0</v>
      </c>
      <c r="C697" s="50"/>
      <c r="D697" s="50"/>
      <c r="E697" s="50"/>
    </row>
    <row r="698" spans="1:5" x14ac:dyDescent="0.3">
      <c r="A698" s="92">
        <f>CODIGOS!A689</f>
        <v>0</v>
      </c>
      <c r="B698" s="93">
        <f>CODIGOS!C689</f>
        <v>0</v>
      </c>
      <c r="C698" s="50"/>
      <c r="D698" s="50"/>
      <c r="E698" s="50"/>
    </row>
    <row r="699" spans="1:5" x14ac:dyDescent="0.3">
      <c r="A699" s="92">
        <f>CODIGOS!A690</f>
        <v>0</v>
      </c>
      <c r="B699" s="93">
        <f>CODIGOS!C690</f>
        <v>0</v>
      </c>
      <c r="C699" s="50"/>
      <c r="D699" s="50"/>
      <c r="E699" s="50"/>
    </row>
    <row r="700" spans="1:5" x14ac:dyDescent="0.3">
      <c r="A700" s="92">
        <f>CODIGOS!A691</f>
        <v>0</v>
      </c>
      <c r="B700" s="93">
        <f>CODIGOS!C691</f>
        <v>0</v>
      </c>
      <c r="C700" s="50"/>
      <c r="D700" s="50"/>
      <c r="E700" s="50"/>
    </row>
    <row r="701" spans="1:5" x14ac:dyDescent="0.3">
      <c r="A701" s="92">
        <f>CODIGOS!A692</f>
        <v>0</v>
      </c>
      <c r="B701" s="93">
        <f>CODIGOS!C692</f>
        <v>0</v>
      </c>
      <c r="C701" s="50"/>
      <c r="D701" s="50"/>
      <c r="E701" s="50"/>
    </row>
    <row r="702" spans="1:5" x14ac:dyDescent="0.3">
      <c r="A702" s="92">
        <f>CODIGOS!A693</f>
        <v>0</v>
      </c>
      <c r="B702" s="93">
        <f>CODIGOS!C693</f>
        <v>0</v>
      </c>
      <c r="C702" s="50"/>
      <c r="D702" s="50"/>
      <c r="E702" s="50"/>
    </row>
    <row r="703" spans="1:5" x14ac:dyDescent="0.3">
      <c r="A703" s="92">
        <f>CODIGOS!A694</f>
        <v>0</v>
      </c>
      <c r="B703" s="93">
        <f>CODIGOS!C694</f>
        <v>0</v>
      </c>
      <c r="C703" s="50"/>
      <c r="D703" s="50"/>
      <c r="E703" s="50"/>
    </row>
    <row r="704" spans="1:5" x14ac:dyDescent="0.3">
      <c r="A704" s="92">
        <f>CODIGOS!A695</f>
        <v>0</v>
      </c>
      <c r="B704" s="93">
        <f>CODIGOS!C695</f>
        <v>0</v>
      </c>
      <c r="C704" s="50"/>
      <c r="D704" s="50"/>
      <c r="E704" s="50"/>
    </row>
    <row r="705" spans="1:5" x14ac:dyDescent="0.3">
      <c r="A705" s="92">
        <f>CODIGOS!A696</f>
        <v>0</v>
      </c>
      <c r="B705" s="93">
        <f>CODIGOS!C696</f>
        <v>0</v>
      </c>
      <c r="C705" s="50"/>
      <c r="D705" s="50"/>
      <c r="E705" s="50"/>
    </row>
    <row r="706" spans="1:5" x14ac:dyDescent="0.3">
      <c r="A706" s="92">
        <f>CODIGOS!A697</f>
        <v>0</v>
      </c>
      <c r="B706" s="93">
        <f>CODIGOS!C697</f>
        <v>0</v>
      </c>
      <c r="C706" s="50"/>
      <c r="D706" s="50"/>
      <c r="E706" s="50"/>
    </row>
    <row r="707" spans="1:5" x14ac:dyDescent="0.3">
      <c r="A707" s="92">
        <f>CODIGOS!A698</f>
        <v>0</v>
      </c>
      <c r="B707" s="93">
        <f>CODIGOS!C698</f>
        <v>0</v>
      </c>
      <c r="C707" s="50"/>
      <c r="D707" s="50"/>
      <c r="E707" s="50"/>
    </row>
    <row r="708" spans="1:5" x14ac:dyDescent="0.3">
      <c r="A708" s="92">
        <f>CODIGOS!A699</f>
        <v>0</v>
      </c>
      <c r="B708" s="93">
        <f>CODIGOS!C699</f>
        <v>0</v>
      </c>
      <c r="C708" s="50"/>
      <c r="D708" s="50"/>
      <c r="E708" s="50"/>
    </row>
    <row r="709" spans="1:5" x14ac:dyDescent="0.3">
      <c r="A709" s="92">
        <f>CODIGOS!A700</f>
        <v>0</v>
      </c>
      <c r="B709" s="93">
        <f>CODIGOS!C700</f>
        <v>0</v>
      </c>
      <c r="C709" s="50"/>
      <c r="D709" s="50"/>
      <c r="E709" s="50"/>
    </row>
    <row r="710" spans="1:5" x14ac:dyDescent="0.3">
      <c r="A710" s="92">
        <f>CODIGOS!A701</f>
        <v>0</v>
      </c>
      <c r="B710" s="93">
        <f>CODIGOS!C701</f>
        <v>0</v>
      </c>
      <c r="C710" s="50"/>
      <c r="D710" s="50"/>
      <c r="E710" s="50"/>
    </row>
    <row r="711" spans="1:5" x14ac:dyDescent="0.3">
      <c r="A711" s="92">
        <f>CODIGOS!A702</f>
        <v>0</v>
      </c>
      <c r="B711" s="93">
        <f>CODIGOS!C702</f>
        <v>0</v>
      </c>
      <c r="C711" s="50"/>
      <c r="D711" s="50"/>
      <c r="E711" s="50"/>
    </row>
    <row r="712" spans="1:5" x14ac:dyDescent="0.3">
      <c r="A712" s="92">
        <f>CODIGOS!A703</f>
        <v>0</v>
      </c>
      <c r="B712" s="93">
        <f>CODIGOS!C703</f>
        <v>0</v>
      </c>
      <c r="C712" s="50"/>
      <c r="D712" s="50"/>
      <c r="E712" s="50"/>
    </row>
    <row r="713" spans="1:5" x14ac:dyDescent="0.3">
      <c r="A713" s="92">
        <f>CODIGOS!A704</f>
        <v>0</v>
      </c>
      <c r="B713" s="93">
        <f>CODIGOS!C704</f>
        <v>0</v>
      </c>
      <c r="C713" s="50"/>
      <c r="D713" s="50"/>
      <c r="E713" s="50"/>
    </row>
    <row r="714" spans="1:5" x14ac:dyDescent="0.3">
      <c r="A714" s="92">
        <f>CODIGOS!A705</f>
        <v>0</v>
      </c>
      <c r="B714" s="93">
        <f>CODIGOS!C705</f>
        <v>0</v>
      </c>
      <c r="C714" s="50"/>
      <c r="D714" s="50"/>
      <c r="E714" s="50"/>
    </row>
    <row r="715" spans="1:5" x14ac:dyDescent="0.3">
      <c r="A715" s="92">
        <f>CODIGOS!A706</f>
        <v>0</v>
      </c>
      <c r="B715" s="93">
        <f>CODIGOS!C706</f>
        <v>0</v>
      </c>
      <c r="C715" s="50"/>
      <c r="D715" s="50"/>
      <c r="E715" s="50"/>
    </row>
    <row r="716" spans="1:5" x14ac:dyDescent="0.3">
      <c r="A716" s="92">
        <f>CODIGOS!A707</f>
        <v>0</v>
      </c>
      <c r="B716" s="93">
        <f>CODIGOS!C707</f>
        <v>0</v>
      </c>
      <c r="C716" s="50"/>
      <c r="D716" s="50"/>
      <c r="E716" s="50"/>
    </row>
    <row r="717" spans="1:5" x14ac:dyDescent="0.3">
      <c r="A717" s="92">
        <f>CODIGOS!A708</f>
        <v>0</v>
      </c>
      <c r="B717" s="93">
        <f>CODIGOS!C708</f>
        <v>0</v>
      </c>
      <c r="C717" s="50"/>
      <c r="D717" s="50"/>
      <c r="E717" s="50"/>
    </row>
    <row r="718" spans="1:5" x14ac:dyDescent="0.3">
      <c r="A718" s="92">
        <f>CODIGOS!A709</f>
        <v>0</v>
      </c>
      <c r="B718" s="93">
        <f>CODIGOS!C709</f>
        <v>0</v>
      </c>
      <c r="C718" s="50"/>
      <c r="D718" s="50"/>
      <c r="E718" s="50"/>
    </row>
    <row r="719" spans="1:5" x14ac:dyDescent="0.3">
      <c r="A719" s="92">
        <f>CODIGOS!A710</f>
        <v>0</v>
      </c>
      <c r="B719" s="93">
        <f>CODIGOS!C710</f>
        <v>0</v>
      </c>
      <c r="C719" s="50"/>
      <c r="D719" s="50"/>
      <c r="E719" s="50"/>
    </row>
    <row r="720" spans="1:5" x14ac:dyDescent="0.3">
      <c r="A720" s="92">
        <f>CODIGOS!A711</f>
        <v>0</v>
      </c>
      <c r="B720" s="93">
        <f>CODIGOS!C711</f>
        <v>0</v>
      </c>
      <c r="C720" s="50"/>
      <c r="D720" s="50"/>
      <c r="E720" s="50"/>
    </row>
    <row r="721" spans="1:5" x14ac:dyDescent="0.3">
      <c r="A721" s="92">
        <f>CODIGOS!A712</f>
        <v>0</v>
      </c>
      <c r="B721" s="93">
        <f>CODIGOS!C712</f>
        <v>0</v>
      </c>
      <c r="C721" s="50"/>
      <c r="D721" s="50"/>
      <c r="E721" s="50"/>
    </row>
    <row r="722" spans="1:5" x14ac:dyDescent="0.3">
      <c r="A722" s="92">
        <f>CODIGOS!A713</f>
        <v>0</v>
      </c>
      <c r="B722" s="93">
        <f>CODIGOS!C713</f>
        <v>0</v>
      </c>
      <c r="C722" s="50"/>
      <c r="D722" s="50"/>
      <c r="E722" s="50"/>
    </row>
    <row r="723" spans="1:5" x14ac:dyDescent="0.3">
      <c r="A723" s="92">
        <f>CODIGOS!A714</f>
        <v>0</v>
      </c>
      <c r="B723" s="93">
        <f>CODIGOS!C714</f>
        <v>0</v>
      </c>
      <c r="C723" s="50"/>
      <c r="D723" s="50"/>
      <c r="E723" s="50"/>
    </row>
    <row r="724" spans="1:5" x14ac:dyDescent="0.3">
      <c r="A724" s="92">
        <f>CODIGOS!A715</f>
        <v>0</v>
      </c>
      <c r="B724" s="93">
        <f>CODIGOS!C715</f>
        <v>0</v>
      </c>
      <c r="C724" s="50"/>
      <c r="D724" s="50"/>
      <c r="E724" s="50"/>
    </row>
    <row r="725" spans="1:5" x14ac:dyDescent="0.3">
      <c r="A725" s="92">
        <f>CODIGOS!A716</f>
        <v>0</v>
      </c>
      <c r="B725" s="93">
        <f>CODIGOS!C716</f>
        <v>0</v>
      </c>
      <c r="C725" s="50"/>
      <c r="D725" s="50"/>
      <c r="E725" s="50"/>
    </row>
    <row r="726" spans="1:5" x14ac:dyDescent="0.3">
      <c r="A726" s="92">
        <f>CODIGOS!A717</f>
        <v>0</v>
      </c>
      <c r="B726" s="93">
        <f>CODIGOS!C717</f>
        <v>0</v>
      </c>
      <c r="C726" s="50"/>
      <c r="D726" s="50"/>
      <c r="E726" s="50"/>
    </row>
    <row r="727" spans="1:5" x14ac:dyDescent="0.3">
      <c r="A727" s="92">
        <f>CODIGOS!A718</f>
        <v>0</v>
      </c>
      <c r="B727" s="93">
        <f>CODIGOS!C718</f>
        <v>0</v>
      </c>
      <c r="C727" s="50"/>
      <c r="D727" s="50"/>
      <c r="E727" s="50"/>
    </row>
    <row r="728" spans="1:5" x14ac:dyDescent="0.3">
      <c r="A728" s="92">
        <f>CODIGOS!A719</f>
        <v>0</v>
      </c>
      <c r="B728" s="93">
        <f>CODIGOS!C719</f>
        <v>0</v>
      </c>
      <c r="C728" s="50"/>
      <c r="D728" s="50"/>
      <c r="E728" s="50"/>
    </row>
    <row r="729" spans="1:5" x14ac:dyDescent="0.3">
      <c r="A729" s="92">
        <f>CODIGOS!A720</f>
        <v>0</v>
      </c>
      <c r="B729" s="93">
        <f>CODIGOS!C720</f>
        <v>0</v>
      </c>
      <c r="C729" s="50"/>
      <c r="D729" s="50"/>
      <c r="E729" s="50"/>
    </row>
    <row r="730" spans="1:5" x14ac:dyDescent="0.3">
      <c r="A730" s="92">
        <f>CODIGOS!A721</f>
        <v>0</v>
      </c>
      <c r="B730" s="93">
        <f>CODIGOS!C721</f>
        <v>0</v>
      </c>
      <c r="C730" s="50"/>
      <c r="D730" s="50"/>
      <c r="E730" s="50"/>
    </row>
    <row r="731" spans="1:5" x14ac:dyDescent="0.3">
      <c r="A731" s="92">
        <f>CODIGOS!A722</f>
        <v>0</v>
      </c>
      <c r="B731" s="93">
        <f>CODIGOS!C722</f>
        <v>0</v>
      </c>
      <c r="C731" s="50"/>
      <c r="D731" s="50"/>
      <c r="E731" s="50"/>
    </row>
    <row r="732" spans="1:5" x14ac:dyDescent="0.3">
      <c r="A732" s="92">
        <f>CODIGOS!A723</f>
        <v>0</v>
      </c>
      <c r="B732" s="93">
        <f>CODIGOS!C723</f>
        <v>0</v>
      </c>
      <c r="C732" s="50"/>
      <c r="D732" s="50"/>
      <c r="E732" s="50"/>
    </row>
    <row r="733" spans="1:5" x14ac:dyDescent="0.3">
      <c r="A733" s="92">
        <f>CODIGOS!A724</f>
        <v>0</v>
      </c>
      <c r="B733" s="93">
        <f>CODIGOS!C724</f>
        <v>0</v>
      </c>
      <c r="C733" s="50"/>
      <c r="D733" s="50"/>
      <c r="E733" s="50"/>
    </row>
    <row r="734" spans="1:5" x14ac:dyDescent="0.3">
      <c r="A734" s="92">
        <f>CODIGOS!A725</f>
        <v>0</v>
      </c>
      <c r="B734" s="93">
        <f>CODIGOS!C725</f>
        <v>0</v>
      </c>
      <c r="C734" s="50"/>
      <c r="D734" s="50"/>
      <c r="E734" s="50"/>
    </row>
    <row r="735" spans="1:5" x14ac:dyDescent="0.3">
      <c r="A735" s="92">
        <f>CODIGOS!A726</f>
        <v>0</v>
      </c>
      <c r="B735" s="93">
        <f>CODIGOS!C726</f>
        <v>0</v>
      </c>
      <c r="C735" s="50"/>
      <c r="D735" s="50"/>
      <c r="E735" s="50"/>
    </row>
    <row r="736" spans="1:5" x14ac:dyDescent="0.3">
      <c r="A736" s="92">
        <f>CODIGOS!A727</f>
        <v>0</v>
      </c>
      <c r="B736" s="93">
        <f>CODIGOS!C727</f>
        <v>0</v>
      </c>
      <c r="C736" s="50"/>
      <c r="D736" s="50"/>
      <c r="E736" s="50"/>
    </row>
    <row r="737" spans="1:5" x14ac:dyDescent="0.3">
      <c r="A737" s="92">
        <f>CODIGOS!A728</f>
        <v>0</v>
      </c>
      <c r="B737" s="93">
        <f>CODIGOS!C728</f>
        <v>0</v>
      </c>
      <c r="C737" s="50"/>
      <c r="D737" s="50"/>
      <c r="E737" s="50"/>
    </row>
    <row r="738" spans="1:5" x14ac:dyDescent="0.3">
      <c r="A738" s="92">
        <f>CODIGOS!A729</f>
        <v>0</v>
      </c>
      <c r="B738" s="93">
        <f>CODIGOS!C729</f>
        <v>0</v>
      </c>
      <c r="C738" s="50"/>
      <c r="D738" s="50"/>
      <c r="E738" s="50"/>
    </row>
    <row r="739" spans="1:5" x14ac:dyDescent="0.3">
      <c r="A739" s="92">
        <f>CODIGOS!A730</f>
        <v>0</v>
      </c>
      <c r="B739" s="93">
        <f>CODIGOS!C730</f>
        <v>0</v>
      </c>
      <c r="C739" s="50"/>
      <c r="D739" s="50"/>
      <c r="E739" s="50"/>
    </row>
    <row r="740" spans="1:5" x14ac:dyDescent="0.3">
      <c r="A740" s="92">
        <f>CODIGOS!A731</f>
        <v>0</v>
      </c>
      <c r="B740" s="93">
        <f>CODIGOS!C731</f>
        <v>0</v>
      </c>
      <c r="C740" s="50"/>
      <c r="D740" s="50"/>
      <c r="E740" s="50"/>
    </row>
    <row r="741" spans="1:5" x14ac:dyDescent="0.3">
      <c r="A741" s="92">
        <f>CODIGOS!A732</f>
        <v>0</v>
      </c>
      <c r="B741" s="93">
        <f>CODIGOS!C732</f>
        <v>0</v>
      </c>
      <c r="C741" s="50"/>
      <c r="D741" s="50"/>
      <c r="E741" s="50"/>
    </row>
    <row r="742" spans="1:5" x14ac:dyDescent="0.3">
      <c r="A742" s="92">
        <f>CODIGOS!A733</f>
        <v>0</v>
      </c>
      <c r="B742" s="93">
        <f>CODIGOS!C733</f>
        <v>0</v>
      </c>
      <c r="C742" s="50"/>
      <c r="D742" s="50"/>
      <c r="E742" s="50"/>
    </row>
    <row r="743" spans="1:5" x14ac:dyDescent="0.3">
      <c r="A743" s="92">
        <f>CODIGOS!A734</f>
        <v>0</v>
      </c>
      <c r="B743" s="93">
        <f>CODIGOS!C734</f>
        <v>0</v>
      </c>
      <c r="C743" s="50"/>
      <c r="D743" s="50"/>
      <c r="E743" s="50"/>
    </row>
    <row r="744" spans="1:5" x14ac:dyDescent="0.3">
      <c r="A744" s="92">
        <f>CODIGOS!A735</f>
        <v>0</v>
      </c>
      <c r="B744" s="93">
        <f>CODIGOS!C735</f>
        <v>0</v>
      </c>
      <c r="C744" s="50"/>
      <c r="D744" s="50"/>
      <c r="E744" s="50"/>
    </row>
    <row r="745" spans="1:5" x14ac:dyDescent="0.3">
      <c r="A745" s="92">
        <f>CODIGOS!A736</f>
        <v>0</v>
      </c>
      <c r="B745" s="93">
        <f>CODIGOS!C736</f>
        <v>0</v>
      </c>
      <c r="C745" s="50"/>
      <c r="D745" s="50"/>
      <c r="E745" s="50"/>
    </row>
    <row r="746" spans="1:5" x14ac:dyDescent="0.3">
      <c r="A746" s="92">
        <f>CODIGOS!A737</f>
        <v>0</v>
      </c>
      <c r="B746" s="93">
        <f>CODIGOS!C737</f>
        <v>0</v>
      </c>
      <c r="C746" s="50"/>
      <c r="D746" s="50"/>
      <c r="E746" s="50"/>
    </row>
    <row r="747" spans="1:5" x14ac:dyDescent="0.3">
      <c r="A747" s="92">
        <f>CODIGOS!A738</f>
        <v>0</v>
      </c>
      <c r="B747" s="93">
        <f>CODIGOS!C738</f>
        <v>0</v>
      </c>
      <c r="C747" s="50"/>
      <c r="D747" s="50"/>
      <c r="E747" s="50"/>
    </row>
    <row r="748" spans="1:5" x14ac:dyDescent="0.3">
      <c r="A748" s="92">
        <f>CODIGOS!A739</f>
        <v>0</v>
      </c>
      <c r="B748" s="93">
        <f>CODIGOS!C739</f>
        <v>0</v>
      </c>
      <c r="C748" s="50"/>
      <c r="D748" s="50"/>
      <c r="E748" s="50"/>
    </row>
    <row r="749" spans="1:5" x14ac:dyDescent="0.3">
      <c r="A749" s="92">
        <f>CODIGOS!A740</f>
        <v>0</v>
      </c>
      <c r="B749" s="93">
        <f>CODIGOS!C740</f>
        <v>0</v>
      </c>
      <c r="C749" s="50"/>
      <c r="D749" s="50"/>
      <c r="E749" s="50"/>
    </row>
    <row r="750" spans="1:5" x14ac:dyDescent="0.3">
      <c r="A750" s="92">
        <f>CODIGOS!A741</f>
        <v>0</v>
      </c>
      <c r="B750" s="93">
        <f>CODIGOS!C741</f>
        <v>0</v>
      </c>
      <c r="C750" s="50"/>
      <c r="D750" s="50"/>
      <c r="E750" s="50"/>
    </row>
    <row r="751" spans="1:5" x14ac:dyDescent="0.3">
      <c r="A751" s="92">
        <f>CODIGOS!A742</f>
        <v>0</v>
      </c>
      <c r="B751" s="93">
        <f>CODIGOS!C742</f>
        <v>0</v>
      </c>
      <c r="C751" s="50"/>
      <c r="D751" s="50"/>
      <c r="E751" s="50"/>
    </row>
    <row r="752" spans="1:5" x14ac:dyDescent="0.3">
      <c r="A752" s="92">
        <f>CODIGOS!A743</f>
        <v>0</v>
      </c>
      <c r="B752" s="93">
        <f>CODIGOS!C743</f>
        <v>0</v>
      </c>
      <c r="C752" s="50"/>
      <c r="D752" s="50"/>
      <c r="E752" s="50"/>
    </row>
    <row r="753" spans="1:5" x14ac:dyDescent="0.3">
      <c r="A753" s="92">
        <f>CODIGOS!A744</f>
        <v>0</v>
      </c>
      <c r="B753" s="93">
        <f>CODIGOS!C744</f>
        <v>0</v>
      </c>
      <c r="C753" s="50"/>
      <c r="D753" s="50"/>
      <c r="E753" s="50"/>
    </row>
    <row r="754" spans="1:5" x14ac:dyDescent="0.3">
      <c r="A754" s="92">
        <f>CODIGOS!A745</f>
        <v>0</v>
      </c>
      <c r="B754" s="93">
        <f>CODIGOS!C745</f>
        <v>0</v>
      </c>
      <c r="C754" s="50"/>
      <c r="D754" s="50"/>
      <c r="E754" s="50"/>
    </row>
    <row r="755" spans="1:5" x14ac:dyDescent="0.3">
      <c r="A755" s="92">
        <f>CODIGOS!A746</f>
        <v>0</v>
      </c>
      <c r="B755" s="93">
        <f>CODIGOS!C746</f>
        <v>0</v>
      </c>
      <c r="C755" s="50"/>
      <c r="D755" s="50"/>
      <c r="E755" s="50"/>
    </row>
    <row r="756" spans="1:5" x14ac:dyDescent="0.3">
      <c r="A756" s="92">
        <f>CODIGOS!A747</f>
        <v>0</v>
      </c>
      <c r="B756" s="93">
        <f>CODIGOS!C747</f>
        <v>0</v>
      </c>
      <c r="C756" s="50"/>
      <c r="D756" s="50"/>
      <c r="E756" s="50"/>
    </row>
    <row r="757" spans="1:5" x14ac:dyDescent="0.3">
      <c r="A757" s="92">
        <f>CODIGOS!A748</f>
        <v>0</v>
      </c>
      <c r="B757" s="93">
        <f>CODIGOS!C748</f>
        <v>0</v>
      </c>
      <c r="C757" s="50"/>
      <c r="D757" s="50"/>
      <c r="E757" s="50"/>
    </row>
    <row r="758" spans="1:5" x14ac:dyDescent="0.3">
      <c r="A758" s="92">
        <f>CODIGOS!A749</f>
        <v>0</v>
      </c>
      <c r="B758" s="93">
        <f>CODIGOS!C749</f>
        <v>0</v>
      </c>
      <c r="C758" s="50"/>
      <c r="D758" s="50"/>
      <c r="E758" s="50"/>
    </row>
    <row r="759" spans="1:5" x14ac:dyDescent="0.3">
      <c r="A759" s="92">
        <f>CODIGOS!A750</f>
        <v>0</v>
      </c>
      <c r="B759" s="93">
        <f>CODIGOS!C750</f>
        <v>0</v>
      </c>
      <c r="C759" s="50"/>
      <c r="D759" s="50"/>
      <c r="E759" s="50"/>
    </row>
    <row r="760" spans="1:5" x14ac:dyDescent="0.3">
      <c r="A760" s="92">
        <f>CODIGOS!A751</f>
        <v>0</v>
      </c>
      <c r="B760" s="93">
        <f>CODIGOS!C751</f>
        <v>0</v>
      </c>
      <c r="C760" s="50"/>
      <c r="D760" s="50"/>
      <c r="E760" s="50"/>
    </row>
    <row r="761" spans="1:5" x14ac:dyDescent="0.3">
      <c r="A761" s="92">
        <f>CODIGOS!A752</f>
        <v>0</v>
      </c>
      <c r="B761" s="93">
        <f>CODIGOS!C752</f>
        <v>0</v>
      </c>
      <c r="C761" s="50"/>
      <c r="D761" s="50"/>
      <c r="E761" s="50"/>
    </row>
    <row r="762" spans="1:5" x14ac:dyDescent="0.3">
      <c r="A762" s="92">
        <f>CODIGOS!A753</f>
        <v>0</v>
      </c>
      <c r="B762" s="93">
        <f>CODIGOS!C753</f>
        <v>0</v>
      </c>
      <c r="C762" s="50"/>
      <c r="D762" s="50"/>
      <c r="E762" s="50"/>
    </row>
    <row r="763" spans="1:5" x14ac:dyDescent="0.3">
      <c r="A763" s="92">
        <f>CODIGOS!A754</f>
        <v>0</v>
      </c>
      <c r="B763" s="93">
        <f>CODIGOS!C754</f>
        <v>0</v>
      </c>
      <c r="C763" s="50"/>
      <c r="D763" s="50"/>
      <c r="E763" s="50"/>
    </row>
    <row r="764" spans="1:5" x14ac:dyDescent="0.3">
      <c r="A764" s="92">
        <f>CODIGOS!A755</f>
        <v>0</v>
      </c>
      <c r="B764" s="93">
        <f>CODIGOS!C755</f>
        <v>0</v>
      </c>
      <c r="C764" s="50"/>
      <c r="D764" s="50"/>
      <c r="E764" s="50"/>
    </row>
    <row r="765" spans="1:5" x14ac:dyDescent="0.3">
      <c r="A765" s="92">
        <f>CODIGOS!A756</f>
        <v>0</v>
      </c>
      <c r="B765" s="93">
        <f>CODIGOS!C756</f>
        <v>0</v>
      </c>
      <c r="C765" s="50"/>
      <c r="D765" s="50"/>
      <c r="E765" s="50"/>
    </row>
    <row r="766" spans="1:5" x14ac:dyDescent="0.3">
      <c r="A766" s="92">
        <f>CODIGOS!A757</f>
        <v>0</v>
      </c>
      <c r="B766" s="93">
        <f>CODIGOS!C757</f>
        <v>0</v>
      </c>
      <c r="C766" s="50"/>
      <c r="D766" s="50"/>
      <c r="E766" s="50"/>
    </row>
    <row r="767" spans="1:5" x14ac:dyDescent="0.3">
      <c r="A767" s="92">
        <f>CODIGOS!A758</f>
        <v>0</v>
      </c>
      <c r="B767" s="93">
        <f>CODIGOS!C758</f>
        <v>0</v>
      </c>
      <c r="C767" s="50"/>
      <c r="D767" s="50"/>
      <c r="E767" s="50"/>
    </row>
    <row r="768" spans="1:5" x14ac:dyDescent="0.3">
      <c r="A768" s="92">
        <f>CODIGOS!A759</f>
        <v>0</v>
      </c>
      <c r="B768" s="93">
        <f>CODIGOS!C759</f>
        <v>0</v>
      </c>
      <c r="C768" s="50"/>
      <c r="D768" s="50"/>
      <c r="E768" s="50"/>
    </row>
    <row r="769" spans="1:5" x14ac:dyDescent="0.3">
      <c r="A769" s="92">
        <f>CODIGOS!A760</f>
        <v>0</v>
      </c>
      <c r="B769" s="93">
        <f>CODIGOS!C760</f>
        <v>0</v>
      </c>
      <c r="C769" s="50"/>
      <c r="D769" s="50"/>
      <c r="E769" s="50"/>
    </row>
    <row r="770" spans="1:5" x14ac:dyDescent="0.3">
      <c r="A770" s="92">
        <f>CODIGOS!A761</f>
        <v>0</v>
      </c>
      <c r="B770" s="93">
        <f>CODIGOS!C761</f>
        <v>0</v>
      </c>
      <c r="C770" s="50"/>
      <c r="D770" s="50"/>
      <c r="E770" s="50"/>
    </row>
    <row r="771" spans="1:5" x14ac:dyDescent="0.3">
      <c r="A771" s="92">
        <f>CODIGOS!A762</f>
        <v>0</v>
      </c>
      <c r="B771" s="93">
        <f>CODIGOS!C762</f>
        <v>0</v>
      </c>
      <c r="C771" s="50"/>
      <c r="D771" s="50"/>
      <c r="E771" s="50"/>
    </row>
    <row r="772" spans="1:5" x14ac:dyDescent="0.3">
      <c r="A772" s="92">
        <f>CODIGOS!A763</f>
        <v>0</v>
      </c>
      <c r="B772" s="93">
        <f>CODIGOS!C763</f>
        <v>0</v>
      </c>
      <c r="C772" s="50"/>
      <c r="D772" s="50"/>
      <c r="E772" s="50"/>
    </row>
    <row r="773" spans="1:5" x14ac:dyDescent="0.3">
      <c r="A773" s="92">
        <f>CODIGOS!A764</f>
        <v>0</v>
      </c>
      <c r="B773" s="93">
        <f>CODIGOS!C764</f>
        <v>0</v>
      </c>
      <c r="C773" s="50"/>
      <c r="D773" s="50"/>
      <c r="E773" s="50"/>
    </row>
    <row r="774" spans="1:5" x14ac:dyDescent="0.3">
      <c r="A774" s="92">
        <f>CODIGOS!A765</f>
        <v>0</v>
      </c>
      <c r="B774" s="93">
        <f>CODIGOS!C765</f>
        <v>0</v>
      </c>
      <c r="C774" s="50"/>
      <c r="D774" s="50"/>
      <c r="E774" s="50"/>
    </row>
    <row r="775" spans="1:5" x14ac:dyDescent="0.3">
      <c r="A775" s="92">
        <f>CODIGOS!A766</f>
        <v>0</v>
      </c>
      <c r="B775" s="93">
        <f>CODIGOS!C766</f>
        <v>0</v>
      </c>
      <c r="C775" s="50"/>
      <c r="D775" s="50"/>
      <c r="E775" s="50"/>
    </row>
    <row r="776" spans="1:5" x14ac:dyDescent="0.3">
      <c r="A776" s="92">
        <f>CODIGOS!A767</f>
        <v>0</v>
      </c>
      <c r="B776" s="93">
        <f>CODIGOS!C767</f>
        <v>0</v>
      </c>
      <c r="C776" s="50"/>
      <c r="D776" s="50"/>
      <c r="E776" s="50"/>
    </row>
    <row r="777" spans="1:5" x14ac:dyDescent="0.3">
      <c r="A777" s="92">
        <f>CODIGOS!A768</f>
        <v>0</v>
      </c>
      <c r="B777" s="93">
        <f>CODIGOS!C768</f>
        <v>0</v>
      </c>
      <c r="C777" s="50"/>
      <c r="D777" s="50"/>
      <c r="E777" s="50"/>
    </row>
    <row r="778" spans="1:5" x14ac:dyDescent="0.3">
      <c r="A778" s="92">
        <f>CODIGOS!A769</f>
        <v>0</v>
      </c>
      <c r="B778" s="93">
        <f>CODIGOS!C769</f>
        <v>0</v>
      </c>
      <c r="C778" s="50"/>
      <c r="D778" s="50"/>
      <c r="E778" s="50"/>
    </row>
    <row r="779" spans="1:5" x14ac:dyDescent="0.3">
      <c r="A779" s="92">
        <f>CODIGOS!A770</f>
        <v>0</v>
      </c>
      <c r="B779" s="93">
        <f>CODIGOS!C770</f>
        <v>0</v>
      </c>
      <c r="C779" s="50"/>
      <c r="D779" s="50"/>
      <c r="E779" s="50"/>
    </row>
    <row r="780" spans="1:5" x14ac:dyDescent="0.3">
      <c r="A780" s="92">
        <f>CODIGOS!A771</f>
        <v>0</v>
      </c>
      <c r="B780" s="93">
        <f>CODIGOS!C771</f>
        <v>0</v>
      </c>
      <c r="C780" s="50"/>
      <c r="D780" s="50"/>
      <c r="E780" s="50"/>
    </row>
    <row r="781" spans="1:5" x14ac:dyDescent="0.3">
      <c r="A781" s="92">
        <f>CODIGOS!A772</f>
        <v>0</v>
      </c>
      <c r="B781" s="93">
        <f>CODIGOS!C772</f>
        <v>0</v>
      </c>
      <c r="C781" s="50"/>
      <c r="D781" s="50"/>
      <c r="E781" s="50"/>
    </row>
    <row r="782" spans="1:5" x14ac:dyDescent="0.3">
      <c r="A782" s="92">
        <f>CODIGOS!A773</f>
        <v>0</v>
      </c>
      <c r="B782" s="93">
        <f>CODIGOS!C773</f>
        <v>0</v>
      </c>
      <c r="C782" s="50"/>
      <c r="D782" s="50"/>
      <c r="E782" s="50"/>
    </row>
    <row r="783" spans="1:5" x14ac:dyDescent="0.3">
      <c r="A783" s="92">
        <f>CODIGOS!A774</f>
        <v>0</v>
      </c>
      <c r="B783" s="93">
        <f>CODIGOS!C774</f>
        <v>0</v>
      </c>
      <c r="C783" s="50"/>
      <c r="D783" s="50"/>
      <c r="E783" s="50"/>
    </row>
    <row r="784" spans="1:5" x14ac:dyDescent="0.3">
      <c r="A784" s="92">
        <f>CODIGOS!A775</f>
        <v>0</v>
      </c>
      <c r="B784" s="93">
        <f>CODIGOS!C775</f>
        <v>0</v>
      </c>
      <c r="C784" s="50"/>
      <c r="D784" s="50"/>
      <c r="E784" s="50"/>
    </row>
    <row r="785" spans="1:5" x14ac:dyDescent="0.3">
      <c r="A785" s="92">
        <f>CODIGOS!A776</f>
        <v>0</v>
      </c>
      <c r="B785" s="93">
        <f>CODIGOS!C776</f>
        <v>0</v>
      </c>
      <c r="C785" s="50"/>
      <c r="D785" s="50"/>
      <c r="E785" s="50"/>
    </row>
    <row r="786" spans="1:5" x14ac:dyDescent="0.3">
      <c r="A786" s="92">
        <f>CODIGOS!A777</f>
        <v>0</v>
      </c>
      <c r="B786" s="93">
        <f>CODIGOS!C777</f>
        <v>0</v>
      </c>
      <c r="C786" s="50"/>
      <c r="D786" s="50"/>
      <c r="E786" s="50"/>
    </row>
    <row r="787" spans="1:5" x14ac:dyDescent="0.3">
      <c r="A787" s="92">
        <f>CODIGOS!A778</f>
        <v>0</v>
      </c>
      <c r="B787" s="93">
        <f>CODIGOS!C778</f>
        <v>0</v>
      </c>
      <c r="C787" s="50"/>
      <c r="D787" s="50"/>
      <c r="E787" s="50"/>
    </row>
    <row r="788" spans="1:5" x14ac:dyDescent="0.3">
      <c r="A788" s="92">
        <f>CODIGOS!A779</f>
        <v>0</v>
      </c>
      <c r="B788" s="93">
        <f>CODIGOS!C779</f>
        <v>0</v>
      </c>
      <c r="C788" s="50"/>
      <c r="D788" s="50"/>
      <c r="E788" s="50"/>
    </row>
    <row r="789" spans="1:5" x14ac:dyDescent="0.3">
      <c r="A789" s="92">
        <f>CODIGOS!A780</f>
        <v>0</v>
      </c>
      <c r="B789" s="93">
        <f>CODIGOS!C780</f>
        <v>0</v>
      </c>
      <c r="C789" s="50"/>
      <c r="D789" s="50"/>
      <c r="E789" s="50"/>
    </row>
    <row r="790" spans="1:5" x14ac:dyDescent="0.3">
      <c r="A790" s="92">
        <f>CODIGOS!A781</f>
        <v>0</v>
      </c>
      <c r="B790" s="93">
        <f>CODIGOS!C781</f>
        <v>0</v>
      </c>
      <c r="C790" s="50"/>
      <c r="D790" s="50"/>
      <c r="E790" s="50"/>
    </row>
    <row r="791" spans="1:5" x14ac:dyDescent="0.3">
      <c r="A791" s="92">
        <f>CODIGOS!A782</f>
        <v>0</v>
      </c>
      <c r="B791" s="93">
        <f>CODIGOS!C782</f>
        <v>0</v>
      </c>
      <c r="C791" s="50"/>
      <c r="D791" s="50"/>
      <c r="E791" s="50"/>
    </row>
    <row r="792" spans="1:5" x14ac:dyDescent="0.3">
      <c r="A792" s="92">
        <f>CODIGOS!A783</f>
        <v>0</v>
      </c>
      <c r="B792" s="93">
        <f>CODIGOS!C783</f>
        <v>0</v>
      </c>
      <c r="C792" s="50"/>
      <c r="D792" s="50"/>
      <c r="E792" s="50"/>
    </row>
    <row r="793" spans="1:5" x14ac:dyDescent="0.3">
      <c r="A793" s="92">
        <f>CODIGOS!A784</f>
        <v>0</v>
      </c>
      <c r="B793" s="93">
        <f>CODIGOS!C784</f>
        <v>0</v>
      </c>
      <c r="C793" s="50"/>
      <c r="D793" s="50"/>
      <c r="E793" s="50"/>
    </row>
    <row r="794" spans="1:5" x14ac:dyDescent="0.3">
      <c r="A794" s="92">
        <f>CODIGOS!A785</f>
        <v>0</v>
      </c>
      <c r="B794" s="93">
        <f>CODIGOS!C785</f>
        <v>0</v>
      </c>
      <c r="C794" s="50"/>
      <c r="D794" s="50"/>
      <c r="E794" s="50"/>
    </row>
    <row r="795" spans="1:5" x14ac:dyDescent="0.3">
      <c r="A795" s="92">
        <f>CODIGOS!A786</f>
        <v>0</v>
      </c>
      <c r="B795" s="93">
        <f>CODIGOS!C786</f>
        <v>0</v>
      </c>
      <c r="C795" s="50"/>
      <c r="D795" s="50"/>
      <c r="E795" s="50"/>
    </row>
    <row r="796" spans="1:5" x14ac:dyDescent="0.3">
      <c r="A796" s="92">
        <f>CODIGOS!A787</f>
        <v>0</v>
      </c>
      <c r="B796" s="93">
        <f>CODIGOS!C787</f>
        <v>0</v>
      </c>
      <c r="C796" s="50"/>
      <c r="D796" s="50"/>
      <c r="E796" s="50"/>
    </row>
    <row r="797" spans="1:5" x14ac:dyDescent="0.3">
      <c r="A797" s="92">
        <f>CODIGOS!A788</f>
        <v>0</v>
      </c>
      <c r="B797" s="93">
        <f>CODIGOS!C788</f>
        <v>0</v>
      </c>
      <c r="C797" s="50"/>
      <c r="D797" s="50"/>
      <c r="E797" s="50"/>
    </row>
    <row r="798" spans="1:5" x14ac:dyDescent="0.3">
      <c r="A798" s="92">
        <f>CODIGOS!A789</f>
        <v>0</v>
      </c>
      <c r="B798" s="93">
        <f>CODIGOS!C789</f>
        <v>0</v>
      </c>
      <c r="C798" s="50"/>
      <c r="D798" s="50"/>
      <c r="E798" s="50"/>
    </row>
    <row r="799" spans="1:5" x14ac:dyDescent="0.3">
      <c r="A799" s="92">
        <f>CODIGOS!A790</f>
        <v>0</v>
      </c>
      <c r="B799" s="93">
        <f>CODIGOS!C790</f>
        <v>0</v>
      </c>
      <c r="C799" s="50"/>
      <c r="D799" s="50"/>
      <c r="E799" s="50"/>
    </row>
    <row r="800" spans="1:5" x14ac:dyDescent="0.3">
      <c r="A800" s="92">
        <f>CODIGOS!A791</f>
        <v>0</v>
      </c>
      <c r="B800" s="93">
        <f>CODIGOS!C791</f>
        <v>0</v>
      </c>
      <c r="C800" s="50"/>
      <c r="D800" s="50"/>
      <c r="E800" s="50"/>
    </row>
    <row r="801" spans="1:5" x14ac:dyDescent="0.3">
      <c r="A801" s="92">
        <f>CODIGOS!A792</f>
        <v>0</v>
      </c>
      <c r="B801" s="93">
        <f>CODIGOS!C792</f>
        <v>0</v>
      </c>
      <c r="C801" s="50"/>
      <c r="D801" s="50"/>
      <c r="E801" s="50"/>
    </row>
    <row r="802" spans="1:5" x14ac:dyDescent="0.3">
      <c r="A802" s="92">
        <f>CODIGOS!A793</f>
        <v>0</v>
      </c>
      <c r="B802" s="93">
        <f>CODIGOS!C793</f>
        <v>0</v>
      </c>
      <c r="C802" s="50"/>
      <c r="D802" s="50"/>
      <c r="E802" s="50"/>
    </row>
    <row r="803" spans="1:5" x14ac:dyDescent="0.3">
      <c r="A803" s="92">
        <f>CODIGOS!A794</f>
        <v>0</v>
      </c>
      <c r="B803" s="93">
        <f>CODIGOS!C794</f>
        <v>0</v>
      </c>
      <c r="C803" s="50"/>
      <c r="D803" s="50"/>
      <c r="E803" s="50"/>
    </row>
    <row r="804" spans="1:5" x14ac:dyDescent="0.3">
      <c r="A804" s="92">
        <f>CODIGOS!A795</f>
        <v>0</v>
      </c>
      <c r="B804" s="93">
        <f>CODIGOS!C795</f>
        <v>0</v>
      </c>
      <c r="C804" s="50"/>
      <c r="D804" s="50"/>
      <c r="E804" s="50"/>
    </row>
    <row r="805" spans="1:5" x14ac:dyDescent="0.3">
      <c r="A805" s="92">
        <f>CODIGOS!A796</f>
        <v>0</v>
      </c>
      <c r="B805" s="93">
        <f>CODIGOS!C796</f>
        <v>0</v>
      </c>
      <c r="C805" s="50"/>
      <c r="D805" s="50"/>
      <c r="E805" s="50"/>
    </row>
    <row r="806" spans="1:5" x14ac:dyDescent="0.3">
      <c r="A806" s="92">
        <f>CODIGOS!A797</f>
        <v>0</v>
      </c>
      <c r="B806" s="93">
        <f>CODIGOS!C797</f>
        <v>0</v>
      </c>
      <c r="C806" s="50"/>
      <c r="D806" s="50"/>
      <c r="E806" s="50"/>
    </row>
    <row r="807" spans="1:5" x14ac:dyDescent="0.3">
      <c r="A807" s="92">
        <f>CODIGOS!A798</f>
        <v>0</v>
      </c>
      <c r="B807" s="93">
        <f>CODIGOS!C798</f>
        <v>0</v>
      </c>
      <c r="C807" s="50"/>
      <c r="D807" s="50"/>
      <c r="E807" s="50"/>
    </row>
    <row r="808" spans="1:5" x14ac:dyDescent="0.3">
      <c r="A808" s="92">
        <f>CODIGOS!A799</f>
        <v>0</v>
      </c>
      <c r="B808" s="93">
        <f>CODIGOS!C799</f>
        <v>0</v>
      </c>
      <c r="C808" s="50"/>
      <c r="D808" s="50"/>
      <c r="E808" s="50"/>
    </row>
    <row r="809" spans="1:5" x14ac:dyDescent="0.3">
      <c r="A809" s="92">
        <f>CODIGOS!A800</f>
        <v>0</v>
      </c>
      <c r="B809" s="93">
        <f>CODIGOS!C800</f>
        <v>0</v>
      </c>
      <c r="C809" s="50"/>
      <c r="D809" s="50"/>
      <c r="E809" s="50"/>
    </row>
    <row r="810" spans="1:5" x14ac:dyDescent="0.3">
      <c r="A810" s="92">
        <f>CODIGOS!A801</f>
        <v>0</v>
      </c>
      <c r="B810" s="93">
        <f>CODIGOS!C801</f>
        <v>0</v>
      </c>
      <c r="C810" s="50"/>
      <c r="D810" s="50"/>
      <c r="E810" s="50"/>
    </row>
    <row r="811" spans="1:5" x14ac:dyDescent="0.3">
      <c r="A811" s="92">
        <f>CODIGOS!A802</f>
        <v>0</v>
      </c>
      <c r="B811" s="93">
        <f>CODIGOS!C802</f>
        <v>0</v>
      </c>
      <c r="C811" s="50"/>
      <c r="D811" s="50"/>
      <c r="E811" s="50"/>
    </row>
    <row r="812" spans="1:5" x14ac:dyDescent="0.3">
      <c r="A812" s="92">
        <f>CODIGOS!A803</f>
        <v>0</v>
      </c>
      <c r="B812" s="93">
        <f>CODIGOS!C803</f>
        <v>0</v>
      </c>
      <c r="C812" s="50"/>
      <c r="D812" s="50"/>
      <c r="E812" s="50"/>
    </row>
    <row r="813" spans="1:5" x14ac:dyDescent="0.3">
      <c r="A813" s="92">
        <f>CODIGOS!A804</f>
        <v>0</v>
      </c>
      <c r="B813" s="93">
        <f>CODIGOS!C804</f>
        <v>0</v>
      </c>
      <c r="C813" s="50"/>
      <c r="D813" s="50"/>
      <c r="E813" s="50"/>
    </row>
    <row r="814" spans="1:5" x14ac:dyDescent="0.3">
      <c r="A814" s="92">
        <f>CODIGOS!A805</f>
        <v>0</v>
      </c>
      <c r="B814" s="93">
        <f>CODIGOS!C805</f>
        <v>0</v>
      </c>
      <c r="C814" s="50"/>
      <c r="D814" s="50"/>
      <c r="E814" s="50"/>
    </row>
    <row r="815" spans="1:5" x14ac:dyDescent="0.3">
      <c r="A815" s="92">
        <f>CODIGOS!A806</f>
        <v>0</v>
      </c>
      <c r="B815" s="93">
        <f>CODIGOS!C806</f>
        <v>0</v>
      </c>
      <c r="C815" s="50"/>
      <c r="D815" s="50"/>
      <c r="E815" s="50"/>
    </row>
    <row r="816" spans="1:5" x14ac:dyDescent="0.3">
      <c r="A816" s="92">
        <f>CODIGOS!A807</f>
        <v>0</v>
      </c>
      <c r="B816" s="93">
        <f>CODIGOS!C807</f>
        <v>0</v>
      </c>
      <c r="C816" s="50"/>
      <c r="D816" s="50"/>
      <c r="E816" s="50"/>
    </row>
    <row r="817" spans="1:5" x14ac:dyDescent="0.3">
      <c r="A817" s="92">
        <f>CODIGOS!A808</f>
        <v>0</v>
      </c>
      <c r="B817" s="93">
        <f>CODIGOS!C808</f>
        <v>0</v>
      </c>
      <c r="C817" s="50"/>
      <c r="D817" s="50"/>
      <c r="E817" s="50"/>
    </row>
    <row r="818" spans="1:5" x14ac:dyDescent="0.3">
      <c r="A818" s="92">
        <f>CODIGOS!A809</f>
        <v>0</v>
      </c>
      <c r="B818" s="93">
        <f>CODIGOS!C809</f>
        <v>0</v>
      </c>
      <c r="C818" s="50"/>
      <c r="D818" s="50"/>
      <c r="E818" s="50"/>
    </row>
    <row r="819" spans="1:5" x14ac:dyDescent="0.3">
      <c r="A819" s="92">
        <f>CODIGOS!A810</f>
        <v>0</v>
      </c>
      <c r="B819" s="93">
        <f>CODIGOS!C810</f>
        <v>0</v>
      </c>
      <c r="C819" s="50"/>
      <c r="D819" s="50"/>
      <c r="E819" s="50"/>
    </row>
    <row r="820" spans="1:5" x14ac:dyDescent="0.3">
      <c r="A820" s="92">
        <f>CODIGOS!A811</f>
        <v>0</v>
      </c>
      <c r="B820" s="93">
        <f>CODIGOS!C811</f>
        <v>0</v>
      </c>
      <c r="C820" s="50"/>
      <c r="D820" s="50"/>
      <c r="E820" s="50"/>
    </row>
    <row r="821" spans="1:5" x14ac:dyDescent="0.3">
      <c r="A821" s="92">
        <f>CODIGOS!A812</f>
        <v>0</v>
      </c>
      <c r="B821" s="93">
        <f>CODIGOS!C812</f>
        <v>0</v>
      </c>
      <c r="C821" s="50"/>
      <c r="D821" s="50"/>
      <c r="E821" s="50"/>
    </row>
    <row r="822" spans="1:5" x14ac:dyDescent="0.3">
      <c r="A822" s="92">
        <f>CODIGOS!A813</f>
        <v>0</v>
      </c>
      <c r="B822" s="93">
        <f>CODIGOS!C813</f>
        <v>0</v>
      </c>
      <c r="C822" s="50"/>
      <c r="D822" s="50"/>
      <c r="E822" s="50"/>
    </row>
    <row r="823" spans="1:5" x14ac:dyDescent="0.3">
      <c r="A823" s="92">
        <f>CODIGOS!A814</f>
        <v>0</v>
      </c>
      <c r="B823" s="93">
        <f>CODIGOS!C814</f>
        <v>0</v>
      </c>
      <c r="C823" s="50"/>
      <c r="D823" s="50"/>
      <c r="E823" s="50"/>
    </row>
    <row r="824" spans="1:5" x14ac:dyDescent="0.3">
      <c r="A824" s="92">
        <f>CODIGOS!A815</f>
        <v>0</v>
      </c>
      <c r="B824" s="93">
        <f>CODIGOS!C815</f>
        <v>0</v>
      </c>
      <c r="C824" s="50"/>
      <c r="D824" s="50"/>
      <c r="E824" s="50"/>
    </row>
    <row r="825" spans="1:5" x14ac:dyDescent="0.3">
      <c r="A825" s="92">
        <f>CODIGOS!A816</f>
        <v>0</v>
      </c>
      <c r="B825" s="93">
        <f>CODIGOS!C816</f>
        <v>0</v>
      </c>
      <c r="C825" s="50"/>
      <c r="D825" s="50"/>
      <c r="E825" s="50"/>
    </row>
    <row r="826" spans="1:5" x14ac:dyDescent="0.3">
      <c r="A826" s="92">
        <f>CODIGOS!A817</f>
        <v>0</v>
      </c>
      <c r="B826" s="93">
        <f>CODIGOS!C817</f>
        <v>0</v>
      </c>
      <c r="C826" s="50"/>
      <c r="D826" s="50"/>
      <c r="E826" s="50"/>
    </row>
    <row r="827" spans="1:5" x14ac:dyDescent="0.3">
      <c r="A827" s="92">
        <f>CODIGOS!A818</f>
        <v>0</v>
      </c>
      <c r="B827" s="93">
        <f>CODIGOS!C818</f>
        <v>0</v>
      </c>
      <c r="C827" s="50"/>
      <c r="D827" s="50"/>
      <c r="E827" s="50"/>
    </row>
    <row r="828" spans="1:5" x14ac:dyDescent="0.3">
      <c r="A828" s="92">
        <f>CODIGOS!A819</f>
        <v>0</v>
      </c>
      <c r="B828" s="93">
        <f>CODIGOS!C819</f>
        <v>0</v>
      </c>
      <c r="C828" s="50"/>
      <c r="D828" s="50"/>
      <c r="E828" s="50"/>
    </row>
    <row r="829" spans="1:5" x14ac:dyDescent="0.3">
      <c r="A829" s="92">
        <f>CODIGOS!A820</f>
        <v>0</v>
      </c>
      <c r="B829" s="93">
        <f>CODIGOS!C820</f>
        <v>0</v>
      </c>
      <c r="C829" s="50"/>
      <c r="D829" s="50"/>
      <c r="E829" s="50"/>
    </row>
    <row r="830" spans="1:5" x14ac:dyDescent="0.3">
      <c r="A830" s="92">
        <f>CODIGOS!A821</f>
        <v>0</v>
      </c>
      <c r="B830" s="93">
        <f>CODIGOS!C821</f>
        <v>0</v>
      </c>
      <c r="C830" s="50"/>
      <c r="D830" s="50"/>
      <c r="E830" s="50"/>
    </row>
    <row r="831" spans="1:5" x14ac:dyDescent="0.3">
      <c r="A831" s="92">
        <f>CODIGOS!A822</f>
        <v>0</v>
      </c>
      <c r="B831" s="93">
        <f>CODIGOS!C822</f>
        <v>0</v>
      </c>
      <c r="C831" s="50"/>
      <c r="D831" s="50"/>
      <c r="E831" s="50"/>
    </row>
    <row r="832" spans="1:5" x14ac:dyDescent="0.3">
      <c r="A832" s="92">
        <f>CODIGOS!A823</f>
        <v>0</v>
      </c>
      <c r="B832" s="93">
        <f>CODIGOS!C823</f>
        <v>0</v>
      </c>
      <c r="C832" s="50"/>
      <c r="D832" s="50"/>
      <c r="E832" s="50"/>
    </row>
    <row r="833" spans="1:5" x14ac:dyDescent="0.3">
      <c r="A833" s="92">
        <f>CODIGOS!A824</f>
        <v>0</v>
      </c>
      <c r="B833" s="93">
        <f>CODIGOS!C824</f>
        <v>0</v>
      </c>
      <c r="C833" s="50"/>
      <c r="D833" s="50"/>
      <c r="E833" s="50"/>
    </row>
    <row r="834" spans="1:5" x14ac:dyDescent="0.3">
      <c r="A834" s="92">
        <f>CODIGOS!A825</f>
        <v>0</v>
      </c>
      <c r="B834" s="93">
        <f>CODIGOS!C825</f>
        <v>0</v>
      </c>
      <c r="C834" s="50"/>
      <c r="D834" s="50"/>
      <c r="E834" s="50"/>
    </row>
    <row r="835" spans="1:5" x14ac:dyDescent="0.3">
      <c r="A835" s="92">
        <f>CODIGOS!A826</f>
        <v>0</v>
      </c>
      <c r="B835" s="93">
        <f>CODIGOS!C826</f>
        <v>0</v>
      </c>
      <c r="C835" s="50"/>
      <c r="D835" s="50"/>
      <c r="E835" s="50"/>
    </row>
    <row r="836" spans="1:5" x14ac:dyDescent="0.3">
      <c r="A836" s="92">
        <f>CODIGOS!A827</f>
        <v>0</v>
      </c>
      <c r="B836" s="93">
        <f>CODIGOS!C827</f>
        <v>0</v>
      </c>
      <c r="C836" s="50"/>
      <c r="D836" s="50"/>
      <c r="E836" s="50"/>
    </row>
    <row r="837" spans="1:5" x14ac:dyDescent="0.3">
      <c r="A837" s="92">
        <f>CODIGOS!A828</f>
        <v>0</v>
      </c>
      <c r="B837" s="93">
        <f>CODIGOS!C828</f>
        <v>0</v>
      </c>
      <c r="C837" s="50"/>
      <c r="D837" s="50"/>
      <c r="E837" s="50"/>
    </row>
    <row r="838" spans="1:5" x14ac:dyDescent="0.3">
      <c r="A838" s="92">
        <f>CODIGOS!A829</f>
        <v>0</v>
      </c>
      <c r="B838" s="93">
        <f>CODIGOS!C829</f>
        <v>0</v>
      </c>
      <c r="C838" s="50"/>
      <c r="D838" s="50"/>
      <c r="E838" s="50"/>
    </row>
    <row r="839" spans="1:5" x14ac:dyDescent="0.3">
      <c r="A839" s="92">
        <f>CODIGOS!A830</f>
        <v>0</v>
      </c>
      <c r="B839" s="93">
        <f>CODIGOS!C830</f>
        <v>0</v>
      </c>
      <c r="C839" s="50"/>
      <c r="D839" s="50"/>
      <c r="E839" s="50"/>
    </row>
    <row r="840" spans="1:5" x14ac:dyDescent="0.3">
      <c r="A840" s="92">
        <f>CODIGOS!A831</f>
        <v>0</v>
      </c>
      <c r="B840" s="93">
        <f>CODIGOS!C831</f>
        <v>0</v>
      </c>
      <c r="C840" s="50"/>
      <c r="D840" s="50"/>
      <c r="E840" s="50"/>
    </row>
    <row r="841" spans="1:5" x14ac:dyDescent="0.3">
      <c r="A841" s="92">
        <f>CODIGOS!A832</f>
        <v>0</v>
      </c>
      <c r="B841" s="93">
        <f>CODIGOS!C832</f>
        <v>0</v>
      </c>
      <c r="C841" s="50"/>
      <c r="D841" s="50"/>
      <c r="E841" s="50"/>
    </row>
    <row r="842" spans="1:5" x14ac:dyDescent="0.3">
      <c r="A842" s="92">
        <f>CODIGOS!A833</f>
        <v>0</v>
      </c>
      <c r="B842" s="93">
        <f>CODIGOS!C833</f>
        <v>0</v>
      </c>
      <c r="C842" s="50"/>
      <c r="D842" s="50"/>
      <c r="E842" s="50"/>
    </row>
    <row r="843" spans="1:5" x14ac:dyDescent="0.3">
      <c r="A843" s="92">
        <f>CODIGOS!A834</f>
        <v>0</v>
      </c>
      <c r="B843" s="93">
        <f>CODIGOS!C834</f>
        <v>0</v>
      </c>
      <c r="C843" s="50"/>
      <c r="D843" s="50"/>
      <c r="E843" s="50"/>
    </row>
    <row r="844" spans="1:5" x14ac:dyDescent="0.3">
      <c r="A844" s="92">
        <f>CODIGOS!A835</f>
        <v>0</v>
      </c>
      <c r="B844" s="93">
        <f>CODIGOS!C835</f>
        <v>0</v>
      </c>
      <c r="C844" s="50"/>
      <c r="D844" s="50"/>
      <c r="E844" s="50"/>
    </row>
    <row r="845" spans="1:5" x14ac:dyDescent="0.3">
      <c r="A845" s="92">
        <f>CODIGOS!A836</f>
        <v>0</v>
      </c>
      <c r="B845" s="93">
        <f>CODIGOS!C836</f>
        <v>0</v>
      </c>
      <c r="C845" s="50"/>
      <c r="D845" s="50"/>
      <c r="E845" s="50"/>
    </row>
    <row r="846" spans="1:5" x14ac:dyDescent="0.3">
      <c r="A846" s="92">
        <f>CODIGOS!A837</f>
        <v>0</v>
      </c>
      <c r="B846" s="93">
        <f>CODIGOS!C837</f>
        <v>0</v>
      </c>
      <c r="C846" s="50"/>
      <c r="D846" s="50"/>
      <c r="E846" s="50"/>
    </row>
    <row r="847" spans="1:5" x14ac:dyDescent="0.3">
      <c r="A847" s="92">
        <f>CODIGOS!A838</f>
        <v>0</v>
      </c>
      <c r="B847" s="93">
        <f>CODIGOS!C838</f>
        <v>0</v>
      </c>
      <c r="C847" s="50"/>
      <c r="D847" s="50"/>
      <c r="E847" s="50"/>
    </row>
    <row r="848" spans="1:5" x14ac:dyDescent="0.3">
      <c r="A848" s="92">
        <f>CODIGOS!A839</f>
        <v>0</v>
      </c>
      <c r="B848" s="93">
        <f>CODIGOS!C839</f>
        <v>0</v>
      </c>
      <c r="C848" s="50"/>
      <c r="D848" s="50"/>
      <c r="E848" s="50"/>
    </row>
    <row r="849" spans="1:5" x14ac:dyDescent="0.3">
      <c r="A849" s="92">
        <f>CODIGOS!A840</f>
        <v>0</v>
      </c>
      <c r="B849" s="93">
        <f>CODIGOS!C840</f>
        <v>0</v>
      </c>
      <c r="C849" s="50"/>
      <c r="D849" s="50"/>
      <c r="E849" s="50"/>
    </row>
    <row r="850" spans="1:5" x14ac:dyDescent="0.3">
      <c r="A850" s="92">
        <f>CODIGOS!A841</f>
        <v>0</v>
      </c>
      <c r="B850" s="93">
        <f>CODIGOS!C841</f>
        <v>0</v>
      </c>
      <c r="C850" s="50"/>
      <c r="D850" s="50"/>
      <c r="E850" s="50"/>
    </row>
    <row r="851" spans="1:5" x14ac:dyDescent="0.3">
      <c r="A851" s="92">
        <f>CODIGOS!A842</f>
        <v>0</v>
      </c>
      <c r="B851" s="93">
        <f>CODIGOS!C842</f>
        <v>0</v>
      </c>
      <c r="C851" s="50"/>
      <c r="D851" s="50"/>
      <c r="E851" s="50"/>
    </row>
    <row r="852" spans="1:5" x14ac:dyDescent="0.3">
      <c r="A852" s="92">
        <f>CODIGOS!A843</f>
        <v>0</v>
      </c>
      <c r="B852" s="93">
        <f>CODIGOS!C843</f>
        <v>0</v>
      </c>
      <c r="C852" s="50"/>
      <c r="D852" s="50"/>
      <c r="E852" s="50"/>
    </row>
    <row r="853" spans="1:5" x14ac:dyDescent="0.3">
      <c r="A853" s="92">
        <f>CODIGOS!A844</f>
        <v>0</v>
      </c>
      <c r="B853" s="93">
        <f>CODIGOS!C844</f>
        <v>0</v>
      </c>
      <c r="C853" s="50"/>
      <c r="D853" s="50"/>
      <c r="E853" s="50"/>
    </row>
    <row r="854" spans="1:5" x14ac:dyDescent="0.3">
      <c r="A854" s="92">
        <f>CODIGOS!A845</f>
        <v>0</v>
      </c>
      <c r="B854" s="93">
        <f>CODIGOS!C845</f>
        <v>0</v>
      </c>
      <c r="C854" s="50"/>
      <c r="D854" s="50"/>
      <c r="E854" s="50"/>
    </row>
    <row r="855" spans="1:5" x14ac:dyDescent="0.3">
      <c r="A855" s="92">
        <f>CODIGOS!A846</f>
        <v>0</v>
      </c>
      <c r="B855" s="93">
        <f>CODIGOS!C846</f>
        <v>0</v>
      </c>
      <c r="C855" s="50"/>
      <c r="D855" s="50"/>
      <c r="E855" s="50"/>
    </row>
    <row r="856" spans="1:5" x14ac:dyDescent="0.3">
      <c r="A856" s="92">
        <f>CODIGOS!A847</f>
        <v>0</v>
      </c>
      <c r="B856" s="93">
        <f>CODIGOS!C847</f>
        <v>0</v>
      </c>
      <c r="C856" s="50"/>
      <c r="D856" s="50"/>
      <c r="E856" s="50"/>
    </row>
    <row r="857" spans="1:5" x14ac:dyDescent="0.3">
      <c r="A857" s="92">
        <f>CODIGOS!A848</f>
        <v>0</v>
      </c>
      <c r="B857" s="93">
        <f>CODIGOS!C848</f>
        <v>0</v>
      </c>
      <c r="C857" s="50"/>
      <c r="D857" s="50"/>
      <c r="E857" s="50"/>
    </row>
    <row r="858" spans="1:5" x14ac:dyDescent="0.3">
      <c r="A858" s="92">
        <f>CODIGOS!A849</f>
        <v>0</v>
      </c>
      <c r="B858" s="93">
        <f>CODIGOS!C849</f>
        <v>0</v>
      </c>
      <c r="C858" s="50"/>
      <c r="D858" s="50"/>
      <c r="E858" s="50"/>
    </row>
    <row r="859" spans="1:5" x14ac:dyDescent="0.3">
      <c r="A859" s="92">
        <f>CODIGOS!A850</f>
        <v>0</v>
      </c>
      <c r="B859" s="93">
        <f>CODIGOS!C850</f>
        <v>0</v>
      </c>
      <c r="C859" s="50"/>
      <c r="D859" s="50"/>
      <c r="E859" s="50"/>
    </row>
    <row r="860" spans="1:5" x14ac:dyDescent="0.3">
      <c r="A860" s="92">
        <f>CODIGOS!A851</f>
        <v>0</v>
      </c>
      <c r="B860" s="93">
        <f>CODIGOS!C851</f>
        <v>0</v>
      </c>
      <c r="C860" s="50"/>
      <c r="D860" s="50"/>
      <c r="E860" s="50"/>
    </row>
  </sheetData>
  <sheetProtection algorithmName="SHA-512" hashValue="Fz3LxRYwmt8XWAm6+XeVfeITkYhkKLo1Ez/qtY5XvN6jO0pBZ5gNpc4zcsoI06zjg47lF+H2Z91qvyOcUzLb+A==" saltValue="odkfDJbJ27ljXyJcC79I9Q==" spinCount="100000" sheet="1" objects="1" scenarios="1"/>
  <mergeCells count="2">
    <mergeCell ref="A1:E1"/>
    <mergeCell ref="A2:E2"/>
  </mergeCells>
  <pageMargins left="0.52" right="0.23622047244094491" top="0.35433070866141736" bottom="0.35433070866141736" header="0.31496062992125984" footer="0.31496062992125984"/>
  <pageSetup scale="94" fitToHeight="0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083A4C-F7FA-493C-84D2-E68BF6A37B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6</vt:i4>
      </vt:variant>
    </vt:vector>
  </HeadingPairs>
  <TitlesOfParts>
    <vt:vector size="18" baseType="lpstr">
      <vt:lpstr>IMPRESION ING DESP</vt:lpstr>
      <vt:lpstr>RECIBO INGRESOS AKADIA</vt:lpstr>
      <vt:lpstr>RECIBO INGRESOS DESPERTAD</vt:lpstr>
      <vt:lpstr>RECIBO EGRESOS</vt:lpstr>
      <vt:lpstr>CODIGOS</vt:lpstr>
      <vt:lpstr>FLUJO DE CAJA</vt:lpstr>
      <vt:lpstr>SUELDOS</vt:lpstr>
      <vt:lpstr>LISTAS</vt:lpstr>
      <vt:lpstr>Hoja1</vt:lpstr>
      <vt:lpstr>tarj ANVERSO</vt:lpstr>
      <vt:lpstr>tarj REVERSO</vt:lpstr>
      <vt:lpstr>SEGURO</vt:lpstr>
      <vt:lpstr>CODIGOS!Área_de_impresión</vt:lpstr>
      <vt:lpstr>'RECIBO EGRESOS'!Área_de_impresión</vt:lpstr>
      <vt:lpstr>'RECIBO INGRESOS AKADIA'!Área_de_impresión</vt:lpstr>
      <vt:lpstr>'RECIBO INGRESOS DESPERTAD'!Área_de_impresión</vt:lpstr>
      <vt:lpstr>SEGURO!Área_de_impresión</vt:lpstr>
      <vt:lpstr>SEGURO!Títulos_a_imprimir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Rafita Antequera</cp:lastModifiedBy>
  <cp:lastPrinted>2024-03-13T17:10:11Z</cp:lastPrinted>
  <dcterms:created xsi:type="dcterms:W3CDTF">2018-08-16T13:31:16Z</dcterms:created>
  <dcterms:modified xsi:type="dcterms:W3CDTF">2024-03-13T21:13:18Z</dcterms:modified>
</cp:coreProperties>
</file>